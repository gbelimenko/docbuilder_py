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Odin\departments\Хим-Курьер\Редакция_нефтехимии_оргсинтеза\Международные рынки\Propylene\Цены\"/>
    </mc:Choice>
  </mc:AlternateContent>
  <bookViews>
    <workbookView xWindow="0" yWindow="1215" windowWidth="15570" windowHeight="8385" activeTab="4"/>
  </bookViews>
  <sheets>
    <sheet name="Гадская табличка" sheetId="12" r:id="rId1"/>
    <sheet name="Title page" sheetId="11" r:id="rId2"/>
    <sheet name="Propylene EU and US" sheetId="2" r:id="rId3"/>
    <sheet name="Propylene Asia" sheetId="5" r:id="rId4"/>
    <sheet name="Charts" sheetId="9" r:id="rId5"/>
    <sheet name="Database" sheetId="3" r:id="rId6"/>
    <sheet name="calc_MCP" sheetId="7" r:id="rId7"/>
    <sheet name="calc_Charts" sheetId="8" r:id="rId8"/>
    <sheet name="Title_page" sheetId="13" r:id="rId9"/>
    <sheet name="Лист1" sheetId="14" r:id="rId10"/>
  </sheets>
  <definedNames>
    <definedName name="OLE_LINK1" localSheetId="3">'Propylene Asia'!$B$2</definedName>
    <definedName name="OLE_LINK1" localSheetId="2">'Propylene EU and US'!$C$2</definedName>
    <definedName name="OLE_LINK2" localSheetId="3">'Propylene Asia'!$C$2</definedName>
    <definedName name="OLE_LINK2" localSheetId="2">'Propylene EU and US'!$D$2</definedName>
    <definedName name="OLE_LINK3" localSheetId="2">'Propylene EU and US'!$C$14</definedName>
    <definedName name="OLE_LINK4" localSheetId="2">'Propylene EU and US'!$E$14</definedName>
    <definedName name="SM_Europe" localSheetId="2">'Propylene EU and US'!$A$11</definedName>
  </definedNames>
  <calcPr calcId="162913"/>
</workbook>
</file>

<file path=xl/calcChain.xml><?xml version="1.0" encoding="utf-8"?>
<calcChain xmlns="http://schemas.openxmlformats.org/spreadsheetml/2006/main">
  <c r="A25" i="11" l="1"/>
  <c r="BT29" i="13" l="1"/>
  <c r="BS29" i="13" l="1"/>
  <c r="BR29" i="13" l="1"/>
  <c r="A27" i="11" l="1"/>
  <c r="BQ29" i="13" l="1"/>
  <c r="BP29" i="13" l="1"/>
  <c r="BO29" i="13" l="1"/>
  <c r="A18" i="11" l="1"/>
  <c r="BN29" i="13" l="1"/>
  <c r="BM29" i="13" l="1"/>
  <c r="BL29" i="13" l="1"/>
  <c r="BK29" i="13" l="1"/>
  <c r="BJ29" i="13" l="1"/>
  <c r="BI29" i="13" l="1"/>
  <c r="D12" i="2" l="1"/>
  <c r="C12" i="2"/>
  <c r="AK29" i="13" l="1"/>
  <c r="AL29" i="13"/>
  <c r="AM29" i="13"/>
  <c r="AN29" i="13"/>
  <c r="AO29" i="13"/>
  <c r="AP29" i="13"/>
  <c r="AQ29" i="13"/>
  <c r="AR29" i="13"/>
  <c r="AS29" i="13"/>
  <c r="AT29" i="13"/>
  <c r="AU29" i="13"/>
  <c r="AV29" i="13"/>
  <c r="AW29" i="13"/>
  <c r="AX29" i="13"/>
  <c r="AY29" i="13"/>
  <c r="AZ29" i="13"/>
  <c r="BA29" i="13"/>
  <c r="BB29" i="13"/>
  <c r="BC29" i="13"/>
  <c r="BD29" i="13"/>
  <c r="BE29" i="13"/>
  <c r="BF29" i="13"/>
  <c r="BG29" i="13"/>
  <c r="BH29" i="13"/>
  <c r="AJ29" i="13"/>
  <c r="B29" i="5" l="1"/>
  <c r="E86" i="8" l="1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D86" i="8"/>
  <c r="C86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D85" i="8"/>
  <c r="C85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D34" i="8"/>
  <c r="C34" i="8"/>
  <c r="C12" i="8" l="1"/>
  <c r="C14" i="8"/>
  <c r="DF33" i="3" l="1"/>
  <c r="F49" i="8" l="1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E49" i="8"/>
  <c r="D49" i="8"/>
  <c r="C49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E48" i="8"/>
  <c r="D48" i="8"/>
  <c r="C48" i="8"/>
  <c r="D40" i="2" l="1"/>
  <c r="C40" i="2"/>
  <c r="E14" i="8" l="1"/>
  <c r="E27" i="8" s="1"/>
  <c r="F14" i="8"/>
  <c r="F27" i="8" s="1"/>
  <c r="G14" i="8"/>
  <c r="G27" i="8" s="1"/>
  <c r="H14" i="8"/>
  <c r="H27" i="8" s="1"/>
  <c r="I14" i="8"/>
  <c r="I27" i="8" s="1"/>
  <c r="J14" i="8"/>
  <c r="J27" i="8" s="1"/>
  <c r="K14" i="8"/>
  <c r="K27" i="8" s="1"/>
  <c r="L14" i="8"/>
  <c r="L27" i="8" s="1"/>
  <c r="M14" i="8"/>
  <c r="M27" i="8" s="1"/>
  <c r="N14" i="8"/>
  <c r="N27" i="8" s="1"/>
  <c r="O14" i="8"/>
  <c r="O27" i="8" s="1"/>
  <c r="P14" i="8"/>
  <c r="P27" i="8" s="1"/>
  <c r="Q14" i="8"/>
  <c r="Q27" i="8" s="1"/>
  <c r="R14" i="8"/>
  <c r="R27" i="8" s="1"/>
  <c r="S14" i="8"/>
  <c r="S27" i="8" s="1"/>
  <c r="T14" i="8"/>
  <c r="T27" i="8" s="1"/>
  <c r="U14" i="8"/>
  <c r="U27" i="8" s="1"/>
  <c r="V14" i="8"/>
  <c r="V27" i="8" s="1"/>
  <c r="W14" i="8"/>
  <c r="W27" i="8" s="1"/>
  <c r="X14" i="8"/>
  <c r="X27" i="8" s="1"/>
  <c r="Y14" i="8"/>
  <c r="Y27" i="8" s="1"/>
  <c r="Z14" i="8"/>
  <c r="Z27" i="8" s="1"/>
  <c r="AA14" i="8"/>
  <c r="AA27" i="8" s="1"/>
  <c r="AB14" i="8"/>
  <c r="AB27" i="8" s="1"/>
  <c r="D14" i="8"/>
  <c r="D27" i="8" s="1"/>
  <c r="C27" i="8"/>
  <c r="AB65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F33" i="8"/>
  <c r="E33" i="8"/>
  <c r="D33" i="8"/>
  <c r="C33" i="8"/>
  <c r="C29" i="8" l="1"/>
  <c r="C28" i="8"/>
  <c r="AB29" i="8"/>
  <c r="AB28" i="8"/>
  <c r="Z29" i="8"/>
  <c r="Z28" i="8"/>
  <c r="X29" i="8"/>
  <c r="X28" i="8"/>
  <c r="V29" i="8"/>
  <c r="V28" i="8"/>
  <c r="T29" i="8"/>
  <c r="T28" i="8"/>
  <c r="R29" i="8"/>
  <c r="R28" i="8"/>
  <c r="P29" i="8"/>
  <c r="P28" i="8"/>
  <c r="N29" i="8"/>
  <c r="N28" i="8"/>
  <c r="L29" i="8"/>
  <c r="L28" i="8"/>
  <c r="J29" i="8"/>
  <c r="J28" i="8"/>
  <c r="H29" i="8"/>
  <c r="H28" i="8"/>
  <c r="F29" i="8"/>
  <c r="F28" i="8"/>
  <c r="D29" i="8"/>
  <c r="D28" i="8"/>
  <c r="AA29" i="8"/>
  <c r="AA28" i="8"/>
  <c r="Y29" i="8"/>
  <c r="Y28" i="8"/>
  <c r="W29" i="8"/>
  <c r="W28" i="8"/>
  <c r="U29" i="8"/>
  <c r="U28" i="8"/>
  <c r="S29" i="8"/>
  <c r="S28" i="8"/>
  <c r="Q29" i="8"/>
  <c r="Q28" i="8"/>
  <c r="O29" i="8"/>
  <c r="O28" i="8"/>
  <c r="M29" i="8"/>
  <c r="M28" i="8"/>
  <c r="K29" i="8"/>
  <c r="K28" i="8"/>
  <c r="I29" i="8"/>
  <c r="I28" i="8"/>
  <c r="G29" i="8"/>
  <c r="G28" i="8"/>
  <c r="E29" i="8"/>
  <c r="E28" i="8"/>
  <c r="J30" i="8" l="1"/>
  <c r="R30" i="8"/>
  <c r="Z30" i="8"/>
  <c r="E30" i="8"/>
  <c r="G30" i="8"/>
  <c r="I30" i="8"/>
  <c r="K30" i="8"/>
  <c r="M30" i="8"/>
  <c r="O30" i="8"/>
  <c r="Q30" i="8"/>
  <c r="S30" i="8"/>
  <c r="U30" i="8"/>
  <c r="W30" i="8"/>
  <c r="Y30" i="8"/>
  <c r="AA30" i="8"/>
  <c r="D30" i="8"/>
  <c r="F30" i="8"/>
  <c r="H30" i="8"/>
  <c r="L30" i="8"/>
  <c r="N30" i="8"/>
  <c r="P30" i="8"/>
  <c r="T30" i="8"/>
  <c r="V30" i="8"/>
  <c r="X30" i="8"/>
  <c r="AB30" i="8"/>
  <c r="C30" i="8"/>
  <c r="BY33" i="3" l="1"/>
  <c r="BZ33" i="3"/>
  <c r="CA33" i="3"/>
  <c r="CB33" i="3"/>
  <c r="CC33" i="3"/>
  <c r="CD33" i="3"/>
  <c r="CE33" i="3"/>
  <c r="CF33" i="3"/>
  <c r="CG33" i="3"/>
  <c r="C65" i="8" s="1"/>
  <c r="CH33" i="3"/>
  <c r="D65" i="8" s="1"/>
  <c r="CI33" i="3"/>
  <c r="E65" i="8" s="1"/>
  <c r="CJ33" i="3"/>
  <c r="F65" i="8" s="1"/>
  <c r="CK33" i="3"/>
  <c r="G65" i="8" s="1"/>
  <c r="CL33" i="3"/>
  <c r="H65" i="8" s="1"/>
  <c r="CM33" i="3"/>
  <c r="I65" i="8" s="1"/>
  <c r="CN33" i="3"/>
  <c r="J65" i="8" s="1"/>
  <c r="CO33" i="3"/>
  <c r="K65" i="8" s="1"/>
  <c r="CP33" i="3"/>
  <c r="L65" i="8" s="1"/>
  <c r="CQ33" i="3"/>
  <c r="M65" i="8" s="1"/>
  <c r="CR33" i="3"/>
  <c r="N65" i="8" s="1"/>
  <c r="CS33" i="3"/>
  <c r="O65" i="8" s="1"/>
  <c r="CT33" i="3"/>
  <c r="P65" i="8" s="1"/>
  <c r="CU33" i="3"/>
  <c r="Q65" i="8" s="1"/>
  <c r="CV33" i="3"/>
  <c r="R65" i="8" s="1"/>
  <c r="CW33" i="3"/>
  <c r="S65" i="8" s="1"/>
  <c r="CX33" i="3"/>
  <c r="T65" i="8" s="1"/>
  <c r="CY33" i="3"/>
  <c r="U65" i="8" s="1"/>
  <c r="CZ33" i="3"/>
  <c r="V65" i="8" s="1"/>
  <c r="DA33" i="3"/>
  <c r="W65" i="8" s="1"/>
  <c r="DB33" i="3"/>
  <c r="X65" i="8" s="1"/>
  <c r="DC33" i="3"/>
  <c r="Y65" i="8" s="1"/>
  <c r="DD33" i="3"/>
  <c r="Z65" i="8" s="1"/>
  <c r="DE33" i="3"/>
  <c r="AA65" i="8" s="1"/>
  <c r="C39" i="13" l="1"/>
  <c r="D29" i="13" l="1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C29" i="13"/>
  <c r="C41" i="13" l="1"/>
  <c r="P11" i="7"/>
  <c r="D33" i="2" l="1"/>
  <c r="F4" i="12" l="1"/>
  <c r="E4" i="12"/>
  <c r="V3" i="2"/>
  <c r="V2" i="2"/>
  <c r="U3" i="2"/>
  <c r="U2" i="2"/>
  <c r="DA20" i="7" l="1"/>
  <c r="DA19" i="7" s="1"/>
  <c r="DA18" i="7" s="1"/>
  <c r="DA17" i="7"/>
  <c r="D6" i="7"/>
  <c r="E6" i="7"/>
  <c r="CD6" i="7"/>
  <c r="CE6" i="7"/>
  <c r="CF6" i="7"/>
  <c r="CG6" i="7"/>
  <c r="CH6" i="7"/>
  <c r="CI6" i="7"/>
  <c r="CJ6" i="7"/>
  <c r="CK6" i="7"/>
  <c r="CL6" i="7"/>
  <c r="CM6" i="7"/>
  <c r="CN6" i="7"/>
  <c r="CO6" i="7"/>
  <c r="CP6" i="7"/>
  <c r="CQ6" i="7"/>
  <c r="CR6" i="7"/>
  <c r="CS6" i="7"/>
  <c r="CT6" i="7"/>
  <c r="CU6" i="7"/>
  <c r="CV6" i="7"/>
  <c r="CW6" i="7"/>
  <c r="CX6" i="7"/>
  <c r="CY6" i="7"/>
  <c r="CZ6" i="7"/>
  <c r="DA6" i="7"/>
  <c r="DB6" i="7"/>
  <c r="DC6" i="7"/>
  <c r="DD6" i="7"/>
  <c r="DE6" i="7"/>
  <c r="DF6" i="7"/>
  <c r="DG6" i="7"/>
  <c r="DH6" i="7"/>
  <c r="DI6" i="7"/>
  <c r="DJ6" i="7"/>
  <c r="DK6" i="7"/>
  <c r="DL6" i="7"/>
  <c r="DM6" i="7"/>
  <c r="DN6" i="7"/>
  <c r="DO6" i="7"/>
  <c r="DP6" i="7"/>
  <c r="DQ6" i="7"/>
  <c r="DR6" i="7"/>
  <c r="DS6" i="7"/>
  <c r="DT6" i="7"/>
  <c r="DU6" i="7"/>
  <c r="DV6" i="7"/>
  <c r="DW6" i="7"/>
  <c r="DX6" i="7"/>
  <c r="DY6" i="7"/>
  <c r="DZ6" i="7"/>
  <c r="EA6" i="7"/>
  <c r="EB6" i="7"/>
  <c r="EC6" i="7"/>
  <c r="ED6" i="7"/>
  <c r="EE6" i="7"/>
  <c r="EF6" i="7"/>
  <c r="EG6" i="7"/>
  <c r="EH6" i="7"/>
  <c r="EI6" i="7"/>
  <c r="EJ6" i="7"/>
  <c r="EK6" i="7"/>
  <c r="EL6" i="7"/>
  <c r="EM6" i="7"/>
  <c r="EN6" i="7"/>
  <c r="EO6" i="7"/>
  <c r="EP6" i="7"/>
  <c r="EQ6" i="7"/>
  <c r="ER6" i="7"/>
  <c r="ES6" i="7"/>
  <c r="ET6" i="7"/>
  <c r="EU6" i="7"/>
  <c r="EV6" i="7"/>
  <c r="EW6" i="7"/>
  <c r="EX6" i="7"/>
  <c r="EY6" i="7"/>
  <c r="EZ6" i="7"/>
  <c r="FA6" i="7"/>
  <c r="FB6" i="7"/>
  <c r="FC6" i="7"/>
  <c r="FD6" i="7"/>
  <c r="FE6" i="7"/>
  <c r="FF6" i="7"/>
  <c r="FG6" i="7"/>
  <c r="FH6" i="7"/>
  <c r="FI6" i="7"/>
  <c r="FJ6" i="7"/>
  <c r="FK6" i="7"/>
  <c r="FL6" i="7"/>
  <c r="FM6" i="7"/>
  <c r="FN6" i="7"/>
  <c r="FO6" i="7"/>
  <c r="FP6" i="7"/>
  <c r="FQ6" i="7"/>
  <c r="FR6" i="7"/>
  <c r="FS6" i="7"/>
  <c r="FT6" i="7"/>
  <c r="FU6" i="7"/>
  <c r="FV6" i="7"/>
  <c r="FW6" i="7"/>
  <c r="FX6" i="7"/>
  <c r="FY6" i="7"/>
  <c r="FZ6" i="7"/>
  <c r="GA6" i="7"/>
  <c r="GB6" i="7"/>
  <c r="GC6" i="7"/>
  <c r="GD6" i="7"/>
  <c r="GE6" i="7"/>
  <c r="GF6" i="7"/>
  <c r="GG6" i="7"/>
  <c r="GH6" i="7"/>
  <c r="GI6" i="7"/>
  <c r="GJ6" i="7"/>
  <c r="GK6" i="7"/>
  <c r="GL6" i="7"/>
  <c r="GM6" i="7"/>
  <c r="GN6" i="7"/>
  <c r="GO6" i="7"/>
  <c r="GP6" i="7"/>
  <c r="GQ6" i="7"/>
  <c r="GR6" i="7"/>
  <c r="GS6" i="7"/>
  <c r="GT6" i="7"/>
  <c r="GU6" i="7"/>
  <c r="GV6" i="7"/>
  <c r="GW6" i="7"/>
  <c r="GX6" i="7"/>
  <c r="GY6" i="7"/>
  <c r="GZ6" i="7"/>
  <c r="HA6" i="7"/>
  <c r="HB6" i="7"/>
  <c r="HC6" i="7"/>
  <c r="HD6" i="7"/>
  <c r="HE6" i="7"/>
  <c r="HF6" i="7"/>
  <c r="HG6" i="7"/>
  <c r="HH6" i="7"/>
  <c r="HI6" i="7"/>
  <c r="HJ6" i="7"/>
  <c r="HK6" i="7"/>
  <c r="HL6" i="7"/>
  <c r="HM6" i="7"/>
  <c r="HN6" i="7"/>
  <c r="HO6" i="7"/>
  <c r="HP6" i="7"/>
  <c r="HQ6" i="7"/>
  <c r="HR6" i="7"/>
  <c r="HS6" i="7"/>
  <c r="HT6" i="7"/>
  <c r="HU6" i="7"/>
  <c r="HV6" i="7"/>
  <c r="HW6" i="7"/>
  <c r="HX6" i="7"/>
  <c r="HY6" i="7"/>
  <c r="HZ6" i="7"/>
  <c r="IA6" i="7"/>
  <c r="IB6" i="7"/>
  <c r="IC6" i="7"/>
  <c r="ID6" i="7"/>
  <c r="IE6" i="7"/>
  <c r="IF6" i="7"/>
  <c r="IG6" i="7"/>
  <c r="IH6" i="7"/>
  <c r="II6" i="7"/>
  <c r="IJ6" i="7"/>
  <c r="IK6" i="7"/>
  <c r="IL6" i="7"/>
  <c r="IM6" i="7"/>
  <c r="IN6" i="7"/>
  <c r="IO6" i="7"/>
  <c r="IP6" i="7"/>
  <c r="IQ6" i="7"/>
  <c r="IR6" i="7"/>
  <c r="IS6" i="7"/>
  <c r="IT6" i="7"/>
  <c r="IU6" i="7"/>
  <c r="IV6" i="7"/>
  <c r="IW6" i="7"/>
  <c r="IX6" i="7"/>
  <c r="IY6" i="7"/>
  <c r="IZ6" i="7"/>
  <c r="JA6" i="7"/>
  <c r="JB6" i="7"/>
  <c r="JC6" i="7"/>
  <c r="JD6" i="7"/>
  <c r="JE6" i="7"/>
  <c r="JF6" i="7"/>
  <c r="JG6" i="7"/>
  <c r="JH6" i="7"/>
  <c r="JI6" i="7"/>
  <c r="JJ6" i="7"/>
  <c r="JK6" i="7"/>
  <c r="JL6" i="7"/>
  <c r="JM6" i="7"/>
  <c r="JN6" i="7"/>
  <c r="JO6" i="7"/>
  <c r="JP6" i="7"/>
  <c r="JQ6" i="7"/>
  <c r="JR6" i="7"/>
  <c r="JS6" i="7"/>
  <c r="JT6" i="7"/>
  <c r="JU6" i="7"/>
  <c r="JV6" i="7"/>
  <c r="JW6" i="7"/>
  <c r="JX6" i="7"/>
  <c r="JY6" i="7"/>
  <c r="JZ6" i="7"/>
  <c r="KA6" i="7"/>
  <c r="KB6" i="7"/>
  <c r="KC6" i="7"/>
  <c r="KD6" i="7"/>
  <c r="KE6" i="7"/>
  <c r="KF6" i="7"/>
  <c r="KG6" i="7"/>
  <c r="KH6" i="7"/>
  <c r="KI6" i="7"/>
  <c r="KJ6" i="7"/>
  <c r="KK6" i="7"/>
  <c r="KL6" i="7"/>
  <c r="KM6" i="7"/>
  <c r="KN6" i="7"/>
  <c r="KO6" i="7"/>
  <c r="KP6" i="7"/>
  <c r="KQ6" i="7"/>
  <c r="KR6" i="7"/>
  <c r="KS6" i="7"/>
  <c r="KT6" i="7"/>
  <c r="KU6" i="7"/>
  <c r="KV6" i="7"/>
  <c r="KW6" i="7"/>
  <c r="KX6" i="7"/>
  <c r="KY6" i="7"/>
  <c r="KZ6" i="7"/>
  <c r="LA6" i="7"/>
  <c r="LB6" i="7"/>
  <c r="LC6" i="7"/>
  <c r="LD6" i="7"/>
  <c r="LE6" i="7"/>
  <c r="LF6" i="7"/>
  <c r="LG6" i="7"/>
  <c r="LH6" i="7"/>
  <c r="LI6" i="7"/>
  <c r="LJ6" i="7"/>
  <c r="LK6" i="7"/>
  <c r="LL6" i="7"/>
  <c r="LM6" i="7"/>
  <c r="LN6" i="7"/>
  <c r="LO6" i="7"/>
  <c r="LP6" i="7"/>
  <c r="LQ6" i="7"/>
  <c r="LR6" i="7"/>
  <c r="LS6" i="7"/>
  <c r="LT6" i="7"/>
  <c r="LU6" i="7"/>
  <c r="LV6" i="7"/>
  <c r="LW6" i="7"/>
  <c r="LX6" i="7"/>
  <c r="LY6" i="7"/>
  <c r="LZ6" i="7"/>
  <c r="MA6" i="7"/>
  <c r="MB6" i="7"/>
  <c r="MC6" i="7"/>
  <c r="MD6" i="7"/>
  <c r="ME6" i="7"/>
  <c r="MF6" i="7"/>
  <c r="MG6" i="7"/>
  <c r="MH6" i="7"/>
  <c r="MI6" i="7"/>
  <c r="MJ6" i="7"/>
  <c r="MK6" i="7"/>
  <c r="ML6" i="7"/>
  <c r="MM6" i="7"/>
  <c r="MN6" i="7"/>
  <c r="MO6" i="7"/>
  <c r="MP6" i="7"/>
  <c r="MQ6" i="7"/>
  <c r="MR6" i="7"/>
  <c r="MS6" i="7"/>
  <c r="MT6" i="7"/>
  <c r="MU6" i="7"/>
  <c r="MV6" i="7"/>
  <c r="MW6" i="7"/>
  <c r="MX6" i="7"/>
  <c r="MY6" i="7"/>
  <c r="MZ6" i="7"/>
  <c r="NA6" i="7"/>
  <c r="NB6" i="7"/>
  <c r="NC6" i="7"/>
  <c r="ND6" i="7"/>
  <c r="NE6" i="7"/>
  <c r="NF6" i="7"/>
  <c r="NG6" i="7"/>
  <c r="NH6" i="7"/>
  <c r="NI6" i="7"/>
  <c r="NJ6" i="7"/>
  <c r="NK6" i="7"/>
  <c r="NL6" i="7"/>
  <c r="NM6" i="7"/>
  <c r="NN6" i="7"/>
  <c r="NO6" i="7"/>
  <c r="NP6" i="7"/>
  <c r="NQ6" i="7"/>
  <c r="NR6" i="7"/>
  <c r="NS6" i="7"/>
  <c r="NT6" i="7"/>
  <c r="NU6" i="7"/>
  <c r="NV6" i="7"/>
  <c r="NW6" i="7"/>
  <c r="NX6" i="7"/>
  <c r="NY6" i="7"/>
  <c r="NZ6" i="7"/>
  <c r="OA6" i="7"/>
  <c r="OB6" i="7"/>
  <c r="OC6" i="7"/>
  <c r="OD6" i="7"/>
  <c r="OE6" i="7"/>
  <c r="OF6" i="7"/>
  <c r="OG6" i="7"/>
  <c r="OH6" i="7"/>
  <c r="OI6" i="7"/>
  <c r="OJ6" i="7"/>
  <c r="OK6" i="7"/>
  <c r="OL6" i="7"/>
  <c r="OM6" i="7"/>
  <c r="ON6" i="7"/>
  <c r="OO6" i="7"/>
  <c r="OP6" i="7"/>
  <c r="OQ6" i="7"/>
  <c r="OR6" i="7"/>
  <c r="OS6" i="7"/>
  <c r="OT6" i="7"/>
  <c r="OU6" i="7"/>
  <c r="OV6" i="7"/>
  <c r="OW6" i="7"/>
  <c r="OX6" i="7"/>
  <c r="OY6" i="7"/>
  <c r="OZ6" i="7"/>
  <c r="PA6" i="7"/>
  <c r="PB6" i="7"/>
  <c r="PC6" i="7"/>
  <c r="PD6" i="7"/>
  <c r="PE6" i="7"/>
  <c r="PF6" i="7"/>
  <c r="PG6" i="7"/>
  <c r="PH6" i="7"/>
  <c r="PI6" i="7"/>
  <c r="PJ6" i="7"/>
  <c r="PK6" i="7"/>
  <c r="PL6" i="7"/>
  <c r="PM6" i="7"/>
  <c r="PN6" i="7"/>
  <c r="PO6" i="7"/>
  <c r="PP6" i="7"/>
  <c r="PQ6" i="7"/>
  <c r="PR6" i="7"/>
  <c r="PS6" i="7"/>
  <c r="PT6" i="7"/>
  <c r="PU6" i="7"/>
  <c r="PV6" i="7"/>
  <c r="PW6" i="7"/>
  <c r="PX6" i="7"/>
  <c r="PY6" i="7"/>
  <c r="PZ6" i="7"/>
  <c r="QA6" i="7"/>
  <c r="QB6" i="7"/>
  <c r="QC6" i="7"/>
  <c r="QD6" i="7"/>
  <c r="QE6" i="7"/>
  <c r="QF6" i="7"/>
  <c r="QG6" i="7"/>
  <c r="QH6" i="7"/>
  <c r="QI6" i="7"/>
  <c r="QJ6" i="7"/>
  <c r="QK6" i="7"/>
  <c r="QL6" i="7"/>
  <c r="QM6" i="7"/>
  <c r="QN6" i="7"/>
  <c r="QO6" i="7"/>
  <c r="QP6" i="7"/>
  <c r="QQ6" i="7"/>
  <c r="QR6" i="7"/>
  <c r="QS6" i="7"/>
  <c r="QT6" i="7"/>
  <c r="QU6" i="7"/>
  <c r="QV6" i="7"/>
  <c r="QW6" i="7"/>
  <c r="QX6" i="7"/>
  <c r="QY6" i="7"/>
  <c r="QZ6" i="7"/>
  <c r="RA6" i="7"/>
  <c r="RB6" i="7"/>
  <c r="RC6" i="7"/>
  <c r="RD6" i="7"/>
  <c r="RE6" i="7"/>
  <c r="RF6" i="7"/>
  <c r="RG6" i="7"/>
  <c r="RH6" i="7"/>
  <c r="RI6" i="7"/>
  <c r="RJ6" i="7"/>
  <c r="RK6" i="7"/>
  <c r="RL6" i="7"/>
  <c r="RM6" i="7"/>
  <c r="RN6" i="7"/>
  <c r="RO6" i="7"/>
  <c r="RP6" i="7"/>
  <c r="RQ6" i="7"/>
  <c r="RR6" i="7"/>
  <c r="RS6" i="7"/>
  <c r="RT6" i="7"/>
  <c r="RU6" i="7"/>
  <c r="RV6" i="7"/>
  <c r="RW6" i="7"/>
  <c r="RX6" i="7"/>
  <c r="RY6" i="7"/>
  <c r="RZ6" i="7"/>
  <c r="SA6" i="7"/>
  <c r="SB6" i="7"/>
  <c r="SC6" i="7"/>
  <c r="SD6" i="7"/>
  <c r="SE6" i="7"/>
  <c r="SF6" i="7"/>
  <c r="SG6" i="7"/>
  <c r="SH6" i="7"/>
  <c r="SI6" i="7"/>
  <c r="SJ6" i="7"/>
  <c r="SK6" i="7"/>
  <c r="SL6" i="7"/>
  <c r="SM6" i="7"/>
  <c r="SN6" i="7"/>
  <c r="SO6" i="7"/>
  <c r="SP6" i="7"/>
  <c r="SQ6" i="7"/>
  <c r="SR6" i="7"/>
  <c r="SS6" i="7"/>
  <c r="ST6" i="7"/>
  <c r="SU6" i="7"/>
  <c r="SV6" i="7"/>
  <c r="SW6" i="7"/>
  <c r="SX6" i="7"/>
  <c r="SY6" i="7"/>
  <c r="SZ6" i="7"/>
  <c r="TA6" i="7"/>
  <c r="TB6" i="7"/>
  <c r="TC6" i="7"/>
  <c r="TD6" i="7"/>
  <c r="TE6" i="7"/>
  <c r="TF6" i="7"/>
  <c r="TG6" i="7"/>
  <c r="TH6" i="7"/>
  <c r="TI6" i="7"/>
  <c r="TJ6" i="7"/>
  <c r="TK6" i="7"/>
  <c r="TL6" i="7"/>
  <c r="TM6" i="7"/>
  <c r="TN6" i="7"/>
  <c r="TO6" i="7"/>
  <c r="TP6" i="7"/>
  <c r="TQ6" i="7"/>
  <c r="TR6" i="7"/>
  <c r="TS6" i="7"/>
  <c r="TT6" i="7"/>
  <c r="TU6" i="7"/>
  <c r="TV6" i="7"/>
  <c r="TW6" i="7"/>
  <c r="TX6" i="7"/>
  <c r="TY6" i="7"/>
  <c r="TZ6" i="7"/>
  <c r="UA6" i="7"/>
  <c r="UB6" i="7"/>
  <c r="UC6" i="7"/>
  <c r="UD6" i="7"/>
  <c r="UE6" i="7"/>
  <c r="UF6" i="7"/>
  <c r="UG6" i="7"/>
  <c r="UH6" i="7"/>
  <c r="UI6" i="7"/>
  <c r="UJ6" i="7"/>
  <c r="UK6" i="7"/>
  <c r="UL6" i="7"/>
  <c r="UM6" i="7"/>
  <c r="UN6" i="7"/>
  <c r="UO6" i="7"/>
  <c r="UP6" i="7"/>
  <c r="UQ6" i="7"/>
  <c r="UR6" i="7"/>
  <c r="US6" i="7"/>
  <c r="UT6" i="7"/>
  <c r="UU6" i="7"/>
  <c r="UV6" i="7"/>
  <c r="UW6" i="7"/>
  <c r="UX6" i="7"/>
  <c r="UY6" i="7"/>
  <c r="UZ6" i="7"/>
  <c r="VA6" i="7"/>
  <c r="VB6" i="7"/>
  <c r="VC6" i="7"/>
  <c r="VD6" i="7"/>
  <c r="VE6" i="7"/>
  <c r="VF6" i="7"/>
  <c r="VG6" i="7"/>
  <c r="VH6" i="7"/>
  <c r="VI6" i="7"/>
  <c r="VJ6" i="7"/>
  <c r="VK6" i="7"/>
  <c r="VL6" i="7"/>
  <c r="VM6" i="7"/>
  <c r="VN6" i="7"/>
  <c r="VO6" i="7"/>
  <c r="VP6" i="7"/>
  <c r="VQ6" i="7"/>
  <c r="VR6" i="7"/>
  <c r="VS6" i="7"/>
  <c r="VT6" i="7"/>
  <c r="VU6" i="7"/>
  <c r="VV6" i="7"/>
  <c r="VW6" i="7"/>
  <c r="VX6" i="7"/>
  <c r="VY6" i="7"/>
  <c r="VZ6" i="7"/>
  <c r="WA6" i="7"/>
  <c r="WB6" i="7"/>
  <c r="WC6" i="7"/>
  <c r="WD6" i="7"/>
  <c r="WE6" i="7"/>
  <c r="WF6" i="7"/>
  <c r="WG6" i="7"/>
  <c r="WH6" i="7"/>
  <c r="WI6" i="7"/>
  <c r="WJ6" i="7"/>
  <c r="WK6" i="7"/>
  <c r="WL6" i="7"/>
  <c r="WM6" i="7"/>
  <c r="WN6" i="7"/>
  <c r="WO6" i="7"/>
  <c r="WP6" i="7"/>
  <c r="WQ6" i="7"/>
  <c r="WR6" i="7"/>
  <c r="WS6" i="7"/>
  <c r="WT6" i="7"/>
  <c r="WU6" i="7"/>
  <c r="WV6" i="7"/>
  <c r="WW6" i="7"/>
  <c r="WX6" i="7"/>
  <c r="WY6" i="7"/>
  <c r="WZ6" i="7"/>
  <c r="XA6" i="7"/>
  <c r="XB6" i="7"/>
  <c r="XC6" i="7"/>
  <c r="XD6" i="7"/>
  <c r="XE6" i="7"/>
  <c r="XF6" i="7"/>
  <c r="XG6" i="7"/>
  <c r="XH6" i="7"/>
  <c r="XI6" i="7"/>
  <c r="XJ6" i="7"/>
  <c r="XK6" i="7"/>
  <c r="XL6" i="7"/>
  <c r="XM6" i="7"/>
  <c r="XN6" i="7"/>
  <c r="XO6" i="7"/>
  <c r="XP6" i="7"/>
  <c r="XQ6" i="7"/>
  <c r="XR6" i="7"/>
  <c r="XS6" i="7"/>
  <c r="XT6" i="7"/>
  <c r="XU6" i="7"/>
  <c r="XV6" i="7"/>
  <c r="XW6" i="7"/>
  <c r="XX6" i="7"/>
  <c r="XY6" i="7"/>
  <c r="XZ6" i="7"/>
  <c r="YA6" i="7"/>
  <c r="YB6" i="7"/>
  <c r="YC6" i="7"/>
  <c r="YD6" i="7"/>
  <c r="YE6" i="7"/>
  <c r="YF6" i="7"/>
  <c r="YG6" i="7"/>
  <c r="YH6" i="7"/>
  <c r="YI6" i="7"/>
  <c r="YJ6" i="7"/>
  <c r="YK6" i="7"/>
  <c r="YL6" i="7"/>
  <c r="YM6" i="7"/>
  <c r="YN6" i="7"/>
  <c r="YO6" i="7"/>
  <c r="YP6" i="7"/>
  <c r="YQ6" i="7"/>
  <c r="YR6" i="7"/>
  <c r="YS6" i="7"/>
  <c r="YT6" i="7"/>
  <c r="YU6" i="7"/>
  <c r="YV6" i="7"/>
  <c r="YW6" i="7"/>
  <c r="YX6" i="7"/>
  <c r="YY6" i="7"/>
  <c r="YZ6" i="7"/>
  <c r="ZA6" i="7"/>
  <c r="ZB6" i="7"/>
  <c r="ZC6" i="7"/>
  <c r="ZD6" i="7"/>
  <c r="ZE6" i="7"/>
  <c r="ZF6" i="7"/>
  <c r="ZG6" i="7"/>
  <c r="ZH6" i="7"/>
  <c r="ZI6" i="7"/>
  <c r="ZJ6" i="7"/>
  <c r="ZK6" i="7"/>
  <c r="ZL6" i="7"/>
  <c r="ZM6" i="7"/>
  <c r="ZN6" i="7"/>
  <c r="ZO6" i="7"/>
  <c r="ZP6" i="7"/>
  <c r="ZQ6" i="7"/>
  <c r="ZR6" i="7"/>
  <c r="ZS6" i="7"/>
  <c r="ZT6" i="7"/>
  <c r="ZU6" i="7"/>
  <c r="ZV6" i="7"/>
  <c r="ZW6" i="7"/>
  <c r="ZX6" i="7"/>
  <c r="ZY6" i="7"/>
  <c r="ZZ6" i="7"/>
  <c r="AAA6" i="7"/>
  <c r="AAB6" i="7"/>
  <c r="AAC6" i="7"/>
  <c r="AAD6" i="7"/>
  <c r="AAE6" i="7"/>
  <c r="AAF6" i="7"/>
  <c r="AAG6" i="7"/>
  <c r="AAH6" i="7"/>
  <c r="AAI6" i="7"/>
  <c r="AAJ6" i="7"/>
  <c r="AAK6" i="7"/>
  <c r="AAL6" i="7"/>
  <c r="AAM6" i="7"/>
  <c r="AAN6" i="7"/>
  <c r="AAO6" i="7"/>
  <c r="AAP6" i="7"/>
  <c r="AAQ6" i="7"/>
  <c r="AAR6" i="7"/>
  <c r="AAS6" i="7"/>
  <c r="AAT6" i="7"/>
  <c r="AAU6" i="7"/>
  <c r="AAV6" i="7"/>
  <c r="AAW6" i="7"/>
  <c r="AAX6" i="7"/>
  <c r="AAY6" i="7"/>
  <c r="AAZ6" i="7"/>
  <c r="ABA6" i="7"/>
  <c r="ABB6" i="7"/>
  <c r="ABC6" i="7"/>
  <c r="ABD6" i="7"/>
  <c r="ABE6" i="7"/>
  <c r="ABF6" i="7"/>
  <c r="ABG6" i="7"/>
  <c r="ABH6" i="7"/>
  <c r="ABI6" i="7"/>
  <c r="ABJ6" i="7"/>
  <c r="ABK6" i="7"/>
  <c r="ABL6" i="7"/>
  <c r="ABM6" i="7"/>
  <c r="ABN6" i="7"/>
  <c r="ABO6" i="7"/>
  <c r="ABP6" i="7"/>
  <c r="ABQ6" i="7"/>
  <c r="ABR6" i="7"/>
  <c r="ABS6" i="7"/>
  <c r="ABT6" i="7"/>
  <c r="ABU6" i="7"/>
  <c r="ABV6" i="7"/>
  <c r="ABW6" i="7"/>
  <c r="ABX6" i="7"/>
  <c r="ABY6" i="7"/>
  <c r="ABZ6" i="7"/>
  <c r="ACA6" i="7"/>
  <c r="ACB6" i="7"/>
  <c r="ACC6" i="7"/>
  <c r="ACD6" i="7"/>
  <c r="ACE6" i="7"/>
  <c r="ACF6" i="7"/>
  <c r="ACG6" i="7"/>
  <c r="ACH6" i="7"/>
  <c r="ACI6" i="7"/>
  <c r="ACJ6" i="7"/>
  <c r="ACK6" i="7"/>
  <c r="ACL6" i="7"/>
  <c r="ACM6" i="7"/>
  <c r="ACN6" i="7"/>
  <c r="ACO6" i="7"/>
  <c r="ACP6" i="7"/>
  <c r="ACQ6" i="7"/>
  <c r="ACR6" i="7"/>
  <c r="ACS6" i="7"/>
  <c r="ACT6" i="7"/>
  <c r="ACU6" i="7"/>
  <c r="ACV6" i="7"/>
  <c r="ACW6" i="7"/>
  <c r="ACX6" i="7"/>
  <c r="ACY6" i="7"/>
  <c r="ACZ6" i="7"/>
  <c r="ADA6" i="7"/>
  <c r="ADB6" i="7"/>
  <c r="ADC6" i="7"/>
  <c r="ADD6" i="7"/>
  <c r="ADE6" i="7"/>
  <c r="ADF6" i="7"/>
  <c r="ADG6" i="7"/>
  <c r="ADH6" i="7"/>
  <c r="ADI6" i="7"/>
  <c r="ADJ6" i="7"/>
  <c r="ADK6" i="7"/>
  <c r="ADL6" i="7"/>
  <c r="ADM6" i="7"/>
  <c r="ADN6" i="7"/>
  <c r="ADO6" i="7"/>
  <c r="ADP6" i="7"/>
  <c r="ADQ6" i="7"/>
  <c r="ADR6" i="7"/>
  <c r="ADS6" i="7"/>
  <c r="ADT6" i="7"/>
  <c r="ADU6" i="7"/>
  <c r="ADV6" i="7"/>
  <c r="ADW6" i="7"/>
  <c r="ADX6" i="7"/>
  <c r="ADY6" i="7"/>
  <c r="ADZ6" i="7"/>
  <c r="AEA6" i="7"/>
  <c r="AEB6" i="7"/>
  <c r="AEC6" i="7"/>
  <c r="AED6" i="7"/>
  <c r="AEE6" i="7"/>
  <c r="AEF6" i="7"/>
  <c r="AEG6" i="7"/>
  <c r="AEH6" i="7"/>
  <c r="AEI6" i="7"/>
  <c r="AEJ6" i="7"/>
  <c r="AEK6" i="7"/>
  <c r="AEL6" i="7"/>
  <c r="AEM6" i="7"/>
  <c r="AEN6" i="7"/>
  <c r="AEO6" i="7"/>
  <c r="AEP6" i="7"/>
  <c r="AEQ6" i="7"/>
  <c r="AER6" i="7"/>
  <c r="AES6" i="7"/>
  <c r="AET6" i="7"/>
  <c r="AEU6" i="7"/>
  <c r="AEV6" i="7"/>
  <c r="AEW6" i="7"/>
  <c r="AEX6" i="7"/>
  <c r="AEY6" i="7"/>
  <c r="AEZ6" i="7"/>
  <c r="AFA6" i="7"/>
  <c r="AFB6" i="7"/>
  <c r="AFC6" i="7"/>
  <c r="AFD6" i="7"/>
  <c r="AFE6" i="7"/>
  <c r="AFF6" i="7"/>
  <c r="AFG6" i="7"/>
  <c r="AFH6" i="7"/>
  <c r="AFI6" i="7"/>
  <c r="AFJ6" i="7"/>
  <c r="AFK6" i="7"/>
  <c r="AFL6" i="7"/>
  <c r="AFM6" i="7"/>
  <c r="AFN6" i="7"/>
  <c r="AFO6" i="7"/>
  <c r="AFP6" i="7"/>
  <c r="AFQ6" i="7"/>
  <c r="AFR6" i="7"/>
  <c r="AFS6" i="7"/>
  <c r="AFT6" i="7"/>
  <c r="AFU6" i="7"/>
  <c r="AFV6" i="7"/>
  <c r="AFW6" i="7"/>
  <c r="AFX6" i="7"/>
  <c r="AFY6" i="7"/>
  <c r="AFZ6" i="7"/>
  <c r="AGA6" i="7"/>
  <c r="AGB6" i="7"/>
  <c r="AGC6" i="7"/>
  <c r="AGD6" i="7"/>
  <c r="AGE6" i="7"/>
  <c r="AGF6" i="7"/>
  <c r="AGG6" i="7"/>
  <c r="AGH6" i="7"/>
  <c r="AGI6" i="7"/>
  <c r="AGJ6" i="7"/>
  <c r="AGK6" i="7"/>
  <c r="AGL6" i="7"/>
  <c r="AGM6" i="7"/>
  <c r="AGN6" i="7"/>
  <c r="AGO6" i="7"/>
  <c r="AGP6" i="7"/>
  <c r="AGQ6" i="7"/>
  <c r="AGR6" i="7"/>
  <c r="AGS6" i="7"/>
  <c r="AGT6" i="7"/>
  <c r="AGU6" i="7"/>
  <c r="AGV6" i="7"/>
  <c r="AGW6" i="7"/>
  <c r="AGX6" i="7"/>
  <c r="AGY6" i="7"/>
  <c r="AGZ6" i="7"/>
  <c r="AHA6" i="7"/>
  <c r="AHB6" i="7"/>
  <c r="AHC6" i="7"/>
  <c r="AHD6" i="7"/>
  <c r="AHE6" i="7"/>
  <c r="AHF6" i="7"/>
  <c r="AHG6" i="7"/>
  <c r="AHH6" i="7"/>
  <c r="AHI6" i="7"/>
  <c r="AHJ6" i="7"/>
  <c r="AHK6" i="7"/>
  <c r="AHL6" i="7"/>
  <c r="AHM6" i="7"/>
  <c r="AHN6" i="7"/>
  <c r="AHO6" i="7"/>
  <c r="AHP6" i="7"/>
  <c r="AHQ6" i="7"/>
  <c r="AHR6" i="7"/>
  <c r="AHS6" i="7"/>
  <c r="AHT6" i="7"/>
  <c r="AHU6" i="7"/>
  <c r="AHV6" i="7"/>
  <c r="AHW6" i="7"/>
  <c r="AHX6" i="7"/>
  <c r="AHY6" i="7"/>
  <c r="AHZ6" i="7"/>
  <c r="AIA6" i="7"/>
  <c r="AIB6" i="7"/>
  <c r="AIC6" i="7"/>
  <c r="AID6" i="7"/>
  <c r="AIE6" i="7"/>
  <c r="AIF6" i="7"/>
  <c r="AIG6" i="7"/>
  <c r="AIH6" i="7"/>
  <c r="AII6" i="7"/>
  <c r="AIJ6" i="7"/>
  <c r="AIK6" i="7"/>
  <c r="AIL6" i="7"/>
  <c r="AIM6" i="7"/>
  <c r="AIN6" i="7"/>
  <c r="AIO6" i="7"/>
  <c r="AIP6" i="7"/>
  <c r="AIQ6" i="7"/>
  <c r="AIR6" i="7"/>
  <c r="AIS6" i="7"/>
  <c r="AIT6" i="7"/>
  <c r="AIU6" i="7"/>
  <c r="AIV6" i="7"/>
  <c r="AIW6" i="7"/>
  <c r="AIX6" i="7"/>
  <c r="AIY6" i="7"/>
  <c r="AIZ6" i="7"/>
  <c r="AJA6" i="7"/>
  <c r="AJB6" i="7"/>
  <c r="AJC6" i="7"/>
  <c r="AJD6" i="7"/>
  <c r="AJE6" i="7"/>
  <c r="AJF6" i="7"/>
  <c r="AJG6" i="7"/>
  <c r="AJH6" i="7"/>
  <c r="AJI6" i="7"/>
  <c r="AJJ6" i="7"/>
  <c r="AJK6" i="7"/>
  <c r="AJL6" i="7"/>
  <c r="AJM6" i="7"/>
  <c r="AJN6" i="7"/>
  <c r="AJO6" i="7"/>
  <c r="AJP6" i="7"/>
  <c r="AJQ6" i="7"/>
  <c r="AJR6" i="7"/>
  <c r="AJS6" i="7"/>
  <c r="AJT6" i="7"/>
  <c r="AJU6" i="7"/>
  <c r="AJV6" i="7"/>
  <c r="AJW6" i="7"/>
  <c r="AJX6" i="7"/>
  <c r="AJY6" i="7"/>
  <c r="AJZ6" i="7"/>
  <c r="AKA6" i="7"/>
  <c r="AKB6" i="7"/>
  <c r="AKC6" i="7"/>
  <c r="AKD6" i="7"/>
  <c r="AKE6" i="7"/>
  <c r="AKF6" i="7"/>
  <c r="AKG6" i="7"/>
  <c r="AKH6" i="7"/>
  <c r="AKI6" i="7"/>
  <c r="AKJ6" i="7"/>
  <c r="AKK6" i="7"/>
  <c r="AKL6" i="7"/>
  <c r="AKM6" i="7"/>
  <c r="AKN6" i="7"/>
  <c r="AKO6" i="7"/>
  <c r="AKP6" i="7"/>
  <c r="AKQ6" i="7"/>
  <c r="AKR6" i="7"/>
  <c r="AKS6" i="7"/>
  <c r="AKT6" i="7"/>
  <c r="AKU6" i="7"/>
  <c r="AKV6" i="7"/>
  <c r="AKW6" i="7"/>
  <c r="AKX6" i="7"/>
  <c r="AKY6" i="7"/>
  <c r="AKZ6" i="7"/>
  <c r="ALA6" i="7"/>
  <c r="ALB6" i="7"/>
  <c r="ALC6" i="7"/>
  <c r="ALD6" i="7"/>
  <c r="ALE6" i="7"/>
  <c r="ALF6" i="7"/>
  <c r="ALG6" i="7"/>
  <c r="ALH6" i="7"/>
  <c r="ALI6" i="7"/>
  <c r="ALJ6" i="7"/>
  <c r="ALK6" i="7"/>
  <c r="ALL6" i="7"/>
  <c r="ALM6" i="7"/>
  <c r="ALN6" i="7"/>
  <c r="ALO6" i="7"/>
  <c r="ALP6" i="7"/>
  <c r="ALQ6" i="7"/>
  <c r="ALR6" i="7"/>
  <c r="ALS6" i="7"/>
  <c r="ALT6" i="7"/>
  <c r="ALU6" i="7"/>
  <c r="ALV6" i="7"/>
  <c r="ALW6" i="7"/>
  <c r="ALX6" i="7"/>
  <c r="ALY6" i="7"/>
  <c r="ALZ6" i="7"/>
  <c r="AMA6" i="7"/>
  <c r="AMB6" i="7"/>
  <c r="AMC6" i="7"/>
  <c r="AMD6" i="7"/>
  <c r="AME6" i="7"/>
  <c r="AMF6" i="7"/>
  <c r="AMG6" i="7"/>
  <c r="AMH6" i="7"/>
  <c r="AMI6" i="7"/>
  <c r="AMJ6" i="7"/>
  <c r="AMK6" i="7"/>
  <c r="AML6" i="7"/>
  <c r="AMM6" i="7"/>
  <c r="AMN6" i="7"/>
  <c r="AMO6" i="7"/>
  <c r="AMP6" i="7"/>
  <c r="AMQ6" i="7"/>
  <c r="AMR6" i="7"/>
  <c r="AMS6" i="7"/>
  <c r="AMT6" i="7"/>
  <c r="AMU6" i="7"/>
  <c r="AMV6" i="7"/>
  <c r="AMW6" i="7"/>
  <c r="AMX6" i="7"/>
  <c r="AMY6" i="7"/>
  <c r="AMZ6" i="7"/>
  <c r="ANA6" i="7"/>
  <c r="ANB6" i="7"/>
  <c r="ANC6" i="7"/>
  <c r="AND6" i="7"/>
  <c r="ANE6" i="7"/>
  <c r="ANF6" i="7"/>
  <c r="ANG6" i="7"/>
  <c r="ANH6" i="7"/>
  <c r="ANI6" i="7"/>
  <c r="ANJ6" i="7"/>
  <c r="ANK6" i="7"/>
  <c r="ANL6" i="7"/>
  <c r="ANM6" i="7"/>
  <c r="ANN6" i="7"/>
  <c r="ANO6" i="7"/>
  <c r="ANP6" i="7"/>
  <c r="ANQ6" i="7"/>
  <c r="ANR6" i="7"/>
  <c r="ANS6" i="7"/>
  <c r="ANT6" i="7"/>
  <c r="ANU6" i="7"/>
  <c r="ANV6" i="7"/>
  <c r="ANW6" i="7"/>
  <c r="ANX6" i="7"/>
  <c r="ANY6" i="7"/>
  <c r="ANZ6" i="7"/>
  <c r="AOA6" i="7"/>
  <c r="AOB6" i="7"/>
  <c r="AOC6" i="7"/>
  <c r="AOD6" i="7"/>
  <c r="AOE6" i="7"/>
  <c r="AOF6" i="7"/>
  <c r="AOG6" i="7"/>
  <c r="AOH6" i="7"/>
  <c r="AOI6" i="7"/>
  <c r="AOJ6" i="7"/>
  <c r="AOK6" i="7"/>
  <c r="AOL6" i="7"/>
  <c r="AOM6" i="7"/>
  <c r="AON6" i="7"/>
  <c r="AOO6" i="7"/>
  <c r="AOP6" i="7"/>
  <c r="AOQ6" i="7"/>
  <c r="AOR6" i="7"/>
  <c r="AOS6" i="7"/>
  <c r="AOT6" i="7"/>
  <c r="AOU6" i="7"/>
  <c r="AOV6" i="7"/>
  <c r="AOW6" i="7"/>
  <c r="AOX6" i="7"/>
  <c r="AOY6" i="7"/>
  <c r="AOZ6" i="7"/>
  <c r="APA6" i="7"/>
  <c r="APB6" i="7"/>
  <c r="APC6" i="7"/>
  <c r="APD6" i="7"/>
  <c r="APE6" i="7"/>
  <c r="APF6" i="7"/>
  <c r="APG6" i="7"/>
  <c r="APH6" i="7"/>
  <c r="API6" i="7"/>
  <c r="APJ6" i="7"/>
  <c r="APK6" i="7"/>
  <c r="APL6" i="7"/>
  <c r="APM6" i="7"/>
  <c r="APN6" i="7"/>
  <c r="APO6" i="7"/>
  <c r="APP6" i="7"/>
  <c r="APQ6" i="7"/>
  <c r="APR6" i="7"/>
  <c r="APS6" i="7"/>
  <c r="APT6" i="7"/>
  <c r="APU6" i="7"/>
  <c r="APV6" i="7"/>
  <c r="APW6" i="7"/>
  <c r="APX6" i="7"/>
  <c r="APY6" i="7"/>
  <c r="APZ6" i="7"/>
  <c r="AQA6" i="7"/>
  <c r="AQB6" i="7"/>
  <c r="AQC6" i="7"/>
  <c r="AQD6" i="7"/>
  <c r="AQE6" i="7"/>
  <c r="AQF6" i="7"/>
  <c r="AQG6" i="7"/>
  <c r="AQH6" i="7"/>
  <c r="AQI6" i="7"/>
  <c r="AQJ6" i="7"/>
  <c r="AQK6" i="7"/>
  <c r="AQL6" i="7"/>
  <c r="AQM6" i="7"/>
  <c r="AQN6" i="7"/>
  <c r="AQO6" i="7"/>
  <c r="AQP6" i="7"/>
  <c r="AQQ6" i="7"/>
  <c r="AQR6" i="7"/>
  <c r="AQS6" i="7"/>
  <c r="AQT6" i="7"/>
  <c r="AQU6" i="7"/>
  <c r="AQV6" i="7"/>
  <c r="AQW6" i="7"/>
  <c r="AQX6" i="7"/>
  <c r="AQY6" i="7"/>
  <c r="AQZ6" i="7"/>
  <c r="ARA6" i="7"/>
  <c r="ARB6" i="7"/>
  <c r="ARC6" i="7"/>
  <c r="ARD6" i="7"/>
  <c r="ARE6" i="7"/>
  <c r="ARF6" i="7"/>
  <c r="ARG6" i="7"/>
  <c r="ARH6" i="7"/>
  <c r="ARI6" i="7"/>
  <c r="ARJ6" i="7"/>
  <c r="ARK6" i="7"/>
  <c r="ARL6" i="7"/>
  <c r="ARM6" i="7"/>
  <c r="ARN6" i="7"/>
  <c r="ARO6" i="7"/>
  <c r="ARP6" i="7"/>
  <c r="ARQ6" i="7"/>
  <c r="ARR6" i="7"/>
  <c r="ARS6" i="7"/>
  <c r="ART6" i="7"/>
  <c r="ARU6" i="7"/>
  <c r="ARV6" i="7"/>
  <c r="ARW6" i="7"/>
  <c r="ARX6" i="7"/>
  <c r="ARY6" i="7"/>
  <c r="ARZ6" i="7"/>
  <c r="ASA6" i="7"/>
  <c r="ASB6" i="7"/>
  <c r="ASC6" i="7"/>
  <c r="ASD6" i="7"/>
  <c r="ASE6" i="7"/>
  <c r="ASF6" i="7"/>
  <c r="ASG6" i="7"/>
  <c r="ASH6" i="7"/>
  <c r="ASI6" i="7"/>
  <c r="ASJ6" i="7"/>
  <c r="ASK6" i="7"/>
  <c r="ASL6" i="7"/>
  <c r="ASM6" i="7"/>
  <c r="ASN6" i="7"/>
  <c r="ASO6" i="7"/>
  <c r="ASP6" i="7"/>
  <c r="ASQ6" i="7"/>
  <c r="ASR6" i="7"/>
  <c r="ASS6" i="7"/>
  <c r="AST6" i="7"/>
  <c r="ASU6" i="7"/>
  <c r="ASV6" i="7"/>
  <c r="ASW6" i="7"/>
  <c r="ASX6" i="7"/>
  <c r="ASY6" i="7"/>
  <c r="ASZ6" i="7"/>
  <c r="ATA6" i="7"/>
  <c r="ATB6" i="7"/>
  <c r="ATC6" i="7"/>
  <c r="ATD6" i="7"/>
  <c r="ATE6" i="7"/>
  <c r="ATF6" i="7"/>
  <c r="ATG6" i="7"/>
  <c r="ATH6" i="7"/>
  <c r="ATI6" i="7"/>
  <c r="ATJ6" i="7"/>
  <c r="ATK6" i="7"/>
  <c r="ATL6" i="7"/>
  <c r="ATM6" i="7"/>
  <c r="ATN6" i="7"/>
  <c r="ATO6" i="7"/>
  <c r="ATP6" i="7"/>
  <c r="ATQ6" i="7"/>
  <c r="ATR6" i="7"/>
  <c r="ATS6" i="7"/>
  <c r="ATT6" i="7"/>
  <c r="ATU6" i="7"/>
  <c r="ATV6" i="7"/>
  <c r="ATW6" i="7"/>
  <c r="ATX6" i="7"/>
  <c r="ATY6" i="7"/>
  <c r="ATZ6" i="7"/>
  <c r="AUA6" i="7"/>
  <c r="AUB6" i="7"/>
  <c r="AUC6" i="7"/>
  <c r="AUD6" i="7"/>
  <c r="AUE6" i="7"/>
  <c r="AUF6" i="7"/>
  <c r="AUG6" i="7"/>
  <c r="AUH6" i="7"/>
  <c r="AUI6" i="7"/>
  <c r="AUJ6" i="7"/>
  <c r="AUK6" i="7"/>
  <c r="AUL6" i="7"/>
  <c r="AUM6" i="7"/>
  <c r="AUN6" i="7"/>
  <c r="AUO6" i="7"/>
  <c r="AUP6" i="7"/>
  <c r="AUQ6" i="7"/>
  <c r="AUR6" i="7"/>
  <c r="AUS6" i="7"/>
  <c r="AUT6" i="7"/>
  <c r="AUU6" i="7"/>
  <c r="AUV6" i="7"/>
  <c r="AUW6" i="7"/>
  <c r="AUX6" i="7"/>
  <c r="AUY6" i="7"/>
  <c r="AUZ6" i="7"/>
  <c r="AVA6" i="7"/>
  <c r="AVB6" i="7"/>
  <c r="AVC6" i="7"/>
  <c r="AVD6" i="7"/>
  <c r="AVE6" i="7"/>
  <c r="AVF6" i="7"/>
  <c r="AVG6" i="7"/>
  <c r="AVH6" i="7"/>
  <c r="AVI6" i="7"/>
  <c r="AVJ6" i="7"/>
  <c r="AVK6" i="7"/>
  <c r="AVL6" i="7"/>
  <c r="AVM6" i="7"/>
  <c r="AVN6" i="7"/>
  <c r="AVO6" i="7"/>
  <c r="AVP6" i="7"/>
  <c r="AVQ6" i="7"/>
  <c r="AVR6" i="7"/>
  <c r="AVS6" i="7"/>
  <c r="AVT6" i="7"/>
  <c r="AVU6" i="7"/>
  <c r="AVV6" i="7"/>
  <c r="AVW6" i="7"/>
  <c r="AVX6" i="7"/>
  <c r="AVY6" i="7"/>
  <c r="AVZ6" i="7"/>
  <c r="AWA6" i="7"/>
  <c r="AWB6" i="7"/>
  <c r="AWC6" i="7"/>
  <c r="AWD6" i="7"/>
  <c r="AWE6" i="7"/>
  <c r="AWF6" i="7"/>
  <c r="AWG6" i="7"/>
  <c r="AWH6" i="7"/>
  <c r="AWI6" i="7"/>
  <c r="AWJ6" i="7"/>
  <c r="AWK6" i="7"/>
  <c r="AWL6" i="7"/>
  <c r="AWM6" i="7"/>
  <c r="AWN6" i="7"/>
  <c r="AWO6" i="7"/>
  <c r="AWP6" i="7"/>
  <c r="AWQ6" i="7"/>
  <c r="AWR6" i="7"/>
  <c r="AWS6" i="7"/>
  <c r="AWT6" i="7"/>
  <c r="AWU6" i="7"/>
  <c r="AWV6" i="7"/>
  <c r="AWW6" i="7"/>
  <c r="AWX6" i="7"/>
  <c r="AWY6" i="7"/>
  <c r="AWZ6" i="7"/>
  <c r="AXA6" i="7"/>
  <c r="AXB6" i="7"/>
  <c r="AXC6" i="7"/>
  <c r="AXD6" i="7"/>
  <c r="AXE6" i="7"/>
  <c r="AXF6" i="7"/>
  <c r="AXG6" i="7"/>
  <c r="AXH6" i="7"/>
  <c r="AXI6" i="7"/>
  <c r="AXJ6" i="7"/>
  <c r="AXK6" i="7"/>
  <c r="AXL6" i="7"/>
  <c r="AXM6" i="7"/>
  <c r="AXN6" i="7"/>
  <c r="AXO6" i="7"/>
  <c r="AXP6" i="7"/>
  <c r="AXQ6" i="7"/>
  <c r="AXR6" i="7"/>
  <c r="AXS6" i="7"/>
  <c r="AXT6" i="7"/>
  <c r="AXU6" i="7"/>
  <c r="AXV6" i="7"/>
  <c r="AXW6" i="7"/>
  <c r="AXX6" i="7"/>
  <c r="AXY6" i="7"/>
  <c r="AXZ6" i="7"/>
  <c r="AYA6" i="7"/>
  <c r="AYB6" i="7"/>
  <c r="AYC6" i="7"/>
  <c r="AYD6" i="7"/>
  <c r="AYE6" i="7"/>
  <c r="AYF6" i="7"/>
  <c r="AYG6" i="7"/>
  <c r="AYH6" i="7"/>
  <c r="AYI6" i="7"/>
  <c r="AYJ6" i="7"/>
  <c r="AYK6" i="7"/>
  <c r="AYL6" i="7"/>
  <c r="AYM6" i="7"/>
  <c r="AYN6" i="7"/>
  <c r="AYO6" i="7"/>
  <c r="AYP6" i="7"/>
  <c r="AYQ6" i="7"/>
  <c r="AYR6" i="7"/>
  <c r="AYS6" i="7"/>
  <c r="AYT6" i="7"/>
  <c r="AYU6" i="7"/>
  <c r="AYV6" i="7"/>
  <c r="AYW6" i="7"/>
  <c r="AYX6" i="7"/>
  <c r="AYY6" i="7"/>
  <c r="AYZ6" i="7"/>
  <c r="AZA6" i="7"/>
  <c r="AZB6" i="7"/>
  <c r="AZC6" i="7"/>
  <c r="AZD6" i="7"/>
  <c r="AZE6" i="7"/>
  <c r="AZF6" i="7"/>
  <c r="AZG6" i="7"/>
  <c r="AZH6" i="7"/>
  <c r="AZI6" i="7"/>
  <c r="AZJ6" i="7"/>
  <c r="AZK6" i="7"/>
  <c r="AZL6" i="7"/>
  <c r="AZM6" i="7"/>
  <c r="AZN6" i="7"/>
  <c r="AZO6" i="7"/>
  <c r="AZP6" i="7"/>
  <c r="AZQ6" i="7"/>
  <c r="AZR6" i="7"/>
  <c r="AZS6" i="7"/>
  <c r="AZT6" i="7"/>
  <c r="AZU6" i="7"/>
  <c r="AZV6" i="7"/>
  <c r="AZW6" i="7"/>
  <c r="AZX6" i="7"/>
  <c r="AZY6" i="7"/>
  <c r="AZZ6" i="7"/>
  <c r="BAA6" i="7"/>
  <c r="BAB6" i="7"/>
  <c r="BAC6" i="7"/>
  <c r="BAD6" i="7"/>
  <c r="BAE6" i="7"/>
  <c r="BAF6" i="7"/>
  <c r="BAG6" i="7"/>
  <c r="BAH6" i="7"/>
  <c r="BAI6" i="7"/>
  <c r="BAJ6" i="7"/>
  <c r="BAK6" i="7"/>
  <c r="BAL6" i="7"/>
  <c r="BAM6" i="7"/>
  <c r="BAN6" i="7"/>
  <c r="BAO6" i="7"/>
  <c r="BAP6" i="7"/>
  <c r="BAQ6" i="7"/>
  <c r="BAR6" i="7"/>
  <c r="BAS6" i="7"/>
  <c r="BAT6" i="7"/>
  <c r="BAU6" i="7"/>
  <c r="BAV6" i="7"/>
  <c r="BAW6" i="7"/>
  <c r="BAX6" i="7"/>
  <c r="BAY6" i="7"/>
  <c r="BAZ6" i="7"/>
  <c r="BBA6" i="7"/>
  <c r="BBB6" i="7"/>
  <c r="BBC6" i="7"/>
  <c r="BBD6" i="7"/>
  <c r="BBE6" i="7"/>
  <c r="BBF6" i="7"/>
  <c r="BBG6" i="7"/>
  <c r="BBH6" i="7"/>
  <c r="BBI6" i="7"/>
  <c r="BBJ6" i="7"/>
  <c r="BBK6" i="7"/>
  <c r="BBL6" i="7"/>
  <c r="BBM6" i="7"/>
  <c r="BBN6" i="7"/>
  <c r="BBO6" i="7"/>
  <c r="BBP6" i="7"/>
  <c r="BBQ6" i="7"/>
  <c r="BBR6" i="7"/>
  <c r="BBS6" i="7"/>
  <c r="BBT6" i="7"/>
  <c r="BBU6" i="7"/>
  <c r="BBV6" i="7"/>
  <c r="BBW6" i="7"/>
  <c r="BBX6" i="7"/>
  <c r="BBY6" i="7"/>
  <c r="BBZ6" i="7"/>
  <c r="BCA6" i="7"/>
  <c r="BCB6" i="7"/>
  <c r="BCC6" i="7"/>
  <c r="BCD6" i="7"/>
  <c r="BCE6" i="7"/>
  <c r="BCF6" i="7"/>
  <c r="BCG6" i="7"/>
  <c r="BCH6" i="7"/>
  <c r="BCI6" i="7"/>
  <c r="BCJ6" i="7"/>
  <c r="BCK6" i="7"/>
  <c r="BCL6" i="7"/>
  <c r="BCM6" i="7"/>
  <c r="BCN6" i="7"/>
  <c r="BCO6" i="7"/>
  <c r="BCP6" i="7"/>
  <c r="BCQ6" i="7"/>
  <c r="BCR6" i="7"/>
  <c r="BCS6" i="7"/>
  <c r="BCT6" i="7"/>
  <c r="BCU6" i="7"/>
  <c r="BCV6" i="7"/>
  <c r="BCW6" i="7"/>
  <c r="BCX6" i="7"/>
  <c r="BCY6" i="7"/>
  <c r="BCZ6" i="7"/>
  <c r="BDA6" i="7"/>
  <c r="BDB6" i="7"/>
  <c r="BDC6" i="7"/>
  <c r="BDD6" i="7"/>
  <c r="BDE6" i="7"/>
  <c r="BDF6" i="7"/>
  <c r="BDG6" i="7"/>
  <c r="BDH6" i="7"/>
  <c r="BDI6" i="7"/>
  <c r="BDJ6" i="7"/>
  <c r="BDK6" i="7"/>
  <c r="BDL6" i="7"/>
  <c r="BDM6" i="7"/>
  <c r="BDN6" i="7"/>
  <c r="BDO6" i="7"/>
  <c r="BDP6" i="7"/>
  <c r="BDQ6" i="7"/>
  <c r="BDR6" i="7"/>
  <c r="BDS6" i="7"/>
  <c r="BDT6" i="7"/>
  <c r="BDU6" i="7"/>
  <c r="BDV6" i="7"/>
  <c r="BDW6" i="7"/>
  <c r="BDX6" i="7"/>
  <c r="BDY6" i="7"/>
  <c r="BDZ6" i="7"/>
  <c r="BEA6" i="7"/>
  <c r="BEB6" i="7"/>
  <c r="BEC6" i="7"/>
  <c r="BED6" i="7"/>
  <c r="BEE6" i="7"/>
  <c r="BEF6" i="7"/>
  <c r="BEG6" i="7"/>
  <c r="BEH6" i="7"/>
  <c r="BEI6" i="7"/>
  <c r="BEJ6" i="7"/>
  <c r="BEK6" i="7"/>
  <c r="BEL6" i="7"/>
  <c r="BEM6" i="7"/>
  <c r="BEN6" i="7"/>
  <c r="BEO6" i="7"/>
  <c r="BEP6" i="7"/>
  <c r="BEQ6" i="7"/>
  <c r="BER6" i="7"/>
  <c r="BES6" i="7"/>
  <c r="BET6" i="7"/>
  <c r="BEU6" i="7"/>
  <c r="BEV6" i="7"/>
  <c r="BEW6" i="7"/>
  <c r="BEX6" i="7"/>
  <c r="BEY6" i="7"/>
  <c r="BEZ6" i="7"/>
  <c r="BFA6" i="7"/>
  <c r="BFB6" i="7"/>
  <c r="BFC6" i="7"/>
  <c r="BFD6" i="7"/>
  <c r="BFE6" i="7"/>
  <c r="BFF6" i="7"/>
  <c r="BFG6" i="7"/>
  <c r="BFH6" i="7"/>
  <c r="BFI6" i="7"/>
  <c r="BFJ6" i="7"/>
  <c r="BFK6" i="7"/>
  <c r="BFL6" i="7"/>
  <c r="BFM6" i="7"/>
  <c r="BFN6" i="7"/>
  <c r="BFO6" i="7"/>
  <c r="BFP6" i="7"/>
  <c r="BFQ6" i="7"/>
  <c r="BFR6" i="7"/>
  <c r="BFS6" i="7"/>
  <c r="BFT6" i="7"/>
  <c r="BFU6" i="7"/>
  <c r="BFV6" i="7"/>
  <c r="BFW6" i="7"/>
  <c r="BFX6" i="7"/>
  <c r="BFY6" i="7"/>
  <c r="BFZ6" i="7"/>
  <c r="BGA6" i="7"/>
  <c r="BGB6" i="7"/>
  <c r="BGC6" i="7"/>
  <c r="BGD6" i="7"/>
  <c r="BGE6" i="7"/>
  <c r="BGF6" i="7"/>
  <c r="BGG6" i="7"/>
  <c r="BGH6" i="7"/>
  <c r="BGI6" i="7"/>
  <c r="BGJ6" i="7"/>
  <c r="BGK6" i="7"/>
  <c r="BGL6" i="7"/>
  <c r="BGM6" i="7"/>
  <c r="BGN6" i="7"/>
  <c r="BGO6" i="7"/>
  <c r="BGP6" i="7"/>
  <c r="BGQ6" i="7"/>
  <c r="BGR6" i="7"/>
  <c r="BGS6" i="7"/>
  <c r="BGT6" i="7"/>
  <c r="BGU6" i="7"/>
  <c r="BGV6" i="7"/>
  <c r="BGW6" i="7"/>
  <c r="BGX6" i="7"/>
  <c r="BGY6" i="7"/>
  <c r="BGZ6" i="7"/>
  <c r="BHA6" i="7"/>
  <c r="BHB6" i="7"/>
  <c r="BHC6" i="7"/>
  <c r="BHD6" i="7"/>
  <c r="BHE6" i="7"/>
  <c r="BHF6" i="7"/>
  <c r="BHG6" i="7"/>
  <c r="BHH6" i="7"/>
  <c r="BHI6" i="7"/>
  <c r="BHJ6" i="7"/>
  <c r="BHK6" i="7"/>
  <c r="BHL6" i="7"/>
  <c r="BHM6" i="7"/>
  <c r="BHN6" i="7"/>
  <c r="BHO6" i="7"/>
  <c r="BHP6" i="7"/>
  <c r="BHQ6" i="7"/>
  <c r="BHR6" i="7"/>
  <c r="BHS6" i="7"/>
  <c r="BHT6" i="7"/>
  <c r="BHU6" i="7"/>
  <c r="BHV6" i="7"/>
  <c r="BHW6" i="7"/>
  <c r="BHX6" i="7"/>
  <c r="BHY6" i="7"/>
  <c r="BHZ6" i="7"/>
  <c r="BIA6" i="7"/>
  <c r="BIB6" i="7"/>
  <c r="BIC6" i="7"/>
  <c r="BID6" i="7"/>
  <c r="BIE6" i="7"/>
  <c r="BIF6" i="7"/>
  <c r="BIG6" i="7"/>
  <c r="BIH6" i="7"/>
  <c r="BII6" i="7"/>
  <c r="BIJ6" i="7"/>
  <c r="BIK6" i="7"/>
  <c r="BIL6" i="7"/>
  <c r="BIM6" i="7"/>
  <c r="BIN6" i="7"/>
  <c r="BIO6" i="7"/>
  <c r="BIP6" i="7"/>
  <c r="BIQ6" i="7"/>
  <c r="BIR6" i="7"/>
  <c r="BIS6" i="7"/>
  <c r="BIT6" i="7"/>
  <c r="BIU6" i="7"/>
  <c r="BIV6" i="7"/>
  <c r="BIW6" i="7"/>
  <c r="BIX6" i="7"/>
  <c r="BIY6" i="7"/>
  <c r="BIZ6" i="7"/>
  <c r="BJA6" i="7"/>
  <c r="BJB6" i="7"/>
  <c r="BJC6" i="7"/>
  <c r="BJD6" i="7"/>
  <c r="BJE6" i="7"/>
  <c r="BJF6" i="7"/>
  <c r="BJG6" i="7"/>
  <c r="BJH6" i="7"/>
  <c r="BJI6" i="7"/>
  <c r="BJJ6" i="7"/>
  <c r="BJK6" i="7"/>
  <c r="BJL6" i="7"/>
  <c r="BJM6" i="7"/>
  <c r="BJN6" i="7"/>
  <c r="BJO6" i="7"/>
  <c r="BJP6" i="7"/>
  <c r="BJQ6" i="7"/>
  <c r="BJR6" i="7"/>
  <c r="BJS6" i="7"/>
  <c r="BJT6" i="7"/>
  <c r="BJU6" i="7"/>
  <c r="BJV6" i="7"/>
  <c r="BJW6" i="7"/>
  <c r="BJX6" i="7"/>
  <c r="BJY6" i="7"/>
  <c r="BJZ6" i="7"/>
  <c r="BKA6" i="7"/>
  <c r="BKB6" i="7"/>
  <c r="BKC6" i="7"/>
  <c r="BKD6" i="7"/>
  <c r="BKE6" i="7"/>
  <c r="BKF6" i="7"/>
  <c r="BKG6" i="7"/>
  <c r="BKH6" i="7"/>
  <c r="BKI6" i="7"/>
  <c r="BKJ6" i="7"/>
  <c r="BKK6" i="7"/>
  <c r="BKL6" i="7"/>
  <c r="BKM6" i="7"/>
  <c r="BKN6" i="7"/>
  <c r="BKO6" i="7"/>
  <c r="BKP6" i="7"/>
  <c r="BKQ6" i="7"/>
  <c r="BKR6" i="7"/>
  <c r="BKS6" i="7"/>
  <c r="BKT6" i="7"/>
  <c r="BKU6" i="7"/>
  <c r="BKV6" i="7"/>
  <c r="BKW6" i="7"/>
  <c r="BKX6" i="7"/>
  <c r="BKY6" i="7"/>
  <c r="BKZ6" i="7"/>
  <c r="BLA6" i="7"/>
  <c r="BLB6" i="7"/>
  <c r="BLC6" i="7"/>
  <c r="BLD6" i="7"/>
  <c r="BLE6" i="7"/>
  <c r="BLF6" i="7"/>
  <c r="BLG6" i="7"/>
  <c r="BLH6" i="7"/>
  <c r="BLI6" i="7"/>
  <c r="BLJ6" i="7"/>
  <c r="BLK6" i="7"/>
  <c r="BLL6" i="7"/>
  <c r="BLM6" i="7"/>
  <c r="BLN6" i="7"/>
  <c r="BLO6" i="7"/>
  <c r="BLP6" i="7"/>
  <c r="BLQ6" i="7"/>
  <c r="BLR6" i="7"/>
  <c r="BLS6" i="7"/>
  <c r="BLT6" i="7"/>
  <c r="BLU6" i="7"/>
  <c r="BLV6" i="7"/>
  <c r="BLW6" i="7"/>
  <c r="BLX6" i="7"/>
  <c r="BLY6" i="7"/>
  <c r="BLZ6" i="7"/>
  <c r="BMA6" i="7"/>
  <c r="BMB6" i="7"/>
  <c r="BMC6" i="7"/>
  <c r="BMD6" i="7"/>
  <c r="BME6" i="7"/>
  <c r="BMF6" i="7"/>
  <c r="BMG6" i="7"/>
  <c r="BMH6" i="7"/>
  <c r="BMI6" i="7"/>
  <c r="BMJ6" i="7"/>
  <c r="BMK6" i="7"/>
  <c r="BML6" i="7"/>
  <c r="BMM6" i="7"/>
  <c r="BMN6" i="7"/>
  <c r="BMO6" i="7"/>
  <c r="BMP6" i="7"/>
  <c r="BMQ6" i="7"/>
  <c r="BMR6" i="7"/>
  <c r="BMS6" i="7"/>
  <c r="BMT6" i="7"/>
  <c r="BMU6" i="7"/>
  <c r="BMV6" i="7"/>
  <c r="BMW6" i="7"/>
  <c r="BMX6" i="7"/>
  <c r="BMY6" i="7"/>
  <c r="BMZ6" i="7"/>
  <c r="BNA6" i="7"/>
  <c r="BNB6" i="7"/>
  <c r="BNC6" i="7"/>
  <c r="BND6" i="7"/>
  <c r="BNE6" i="7"/>
  <c r="BNF6" i="7"/>
  <c r="BNG6" i="7"/>
  <c r="BNH6" i="7"/>
  <c r="BNI6" i="7"/>
  <c r="BNJ6" i="7"/>
  <c r="BNK6" i="7"/>
  <c r="BNL6" i="7"/>
  <c r="BNM6" i="7"/>
  <c r="BNN6" i="7"/>
  <c r="BNO6" i="7"/>
  <c r="BNP6" i="7"/>
  <c r="BNQ6" i="7"/>
  <c r="BNR6" i="7"/>
  <c r="BNS6" i="7"/>
  <c r="BNT6" i="7"/>
  <c r="BNU6" i="7"/>
  <c r="BNV6" i="7"/>
  <c r="BNW6" i="7"/>
  <c r="BNX6" i="7"/>
  <c r="BNY6" i="7"/>
  <c r="BNZ6" i="7"/>
  <c r="BOA6" i="7"/>
  <c r="BOB6" i="7"/>
  <c r="BOC6" i="7"/>
  <c r="BOD6" i="7"/>
  <c r="BOE6" i="7"/>
  <c r="BOF6" i="7"/>
  <c r="BOG6" i="7"/>
  <c r="BOH6" i="7"/>
  <c r="BOI6" i="7"/>
  <c r="BOJ6" i="7"/>
  <c r="BOK6" i="7"/>
  <c r="BOL6" i="7"/>
  <c r="BOM6" i="7"/>
  <c r="BON6" i="7"/>
  <c r="BOO6" i="7"/>
  <c r="BOP6" i="7"/>
  <c r="BOQ6" i="7"/>
  <c r="BOR6" i="7"/>
  <c r="BOS6" i="7"/>
  <c r="BOT6" i="7"/>
  <c r="BOU6" i="7"/>
  <c r="BOV6" i="7"/>
  <c r="BOW6" i="7"/>
  <c r="BOX6" i="7"/>
  <c r="BOY6" i="7"/>
  <c r="BOZ6" i="7"/>
  <c r="BPA6" i="7"/>
  <c r="BPB6" i="7"/>
  <c r="BPC6" i="7"/>
  <c r="BPD6" i="7"/>
  <c r="BPE6" i="7"/>
  <c r="BPF6" i="7"/>
  <c r="BPG6" i="7"/>
  <c r="BPH6" i="7"/>
  <c r="BPI6" i="7"/>
  <c r="BPJ6" i="7"/>
  <c r="BPK6" i="7"/>
  <c r="BPL6" i="7"/>
  <c r="BPM6" i="7"/>
  <c r="BPN6" i="7"/>
  <c r="BPO6" i="7"/>
  <c r="BPP6" i="7"/>
  <c r="BPQ6" i="7"/>
  <c r="BPR6" i="7"/>
  <c r="BPS6" i="7"/>
  <c r="BPT6" i="7"/>
  <c r="BPU6" i="7"/>
  <c r="BPV6" i="7"/>
  <c r="BPW6" i="7"/>
  <c r="BPX6" i="7"/>
  <c r="BPY6" i="7"/>
  <c r="BPZ6" i="7"/>
  <c r="BQA6" i="7"/>
  <c r="BQB6" i="7"/>
  <c r="BQC6" i="7"/>
  <c r="BQD6" i="7"/>
  <c r="BQE6" i="7"/>
  <c r="BQF6" i="7"/>
  <c r="BQG6" i="7"/>
  <c r="BQH6" i="7"/>
  <c r="BQI6" i="7"/>
  <c r="BQJ6" i="7"/>
  <c r="BQK6" i="7"/>
  <c r="BQL6" i="7"/>
  <c r="BQM6" i="7"/>
  <c r="BQN6" i="7"/>
  <c r="BQO6" i="7"/>
  <c r="BQP6" i="7"/>
  <c r="BQQ6" i="7"/>
  <c r="BQR6" i="7"/>
  <c r="BQS6" i="7"/>
  <c r="BQT6" i="7"/>
  <c r="BQU6" i="7"/>
  <c r="BQV6" i="7"/>
  <c r="BQW6" i="7"/>
  <c r="BQX6" i="7"/>
  <c r="BQY6" i="7"/>
  <c r="BQZ6" i="7"/>
  <c r="BRA6" i="7"/>
  <c r="BRB6" i="7"/>
  <c r="BRC6" i="7"/>
  <c r="BRD6" i="7"/>
  <c r="BRE6" i="7"/>
  <c r="BRF6" i="7"/>
  <c r="BRG6" i="7"/>
  <c r="BRH6" i="7"/>
  <c r="BRI6" i="7"/>
  <c r="BRJ6" i="7"/>
  <c r="BRK6" i="7"/>
  <c r="BRL6" i="7"/>
  <c r="BRM6" i="7"/>
  <c r="BRN6" i="7"/>
  <c r="BRO6" i="7"/>
  <c r="BRP6" i="7"/>
  <c r="BRQ6" i="7"/>
  <c r="BRR6" i="7"/>
  <c r="BRS6" i="7"/>
  <c r="BRT6" i="7"/>
  <c r="BRU6" i="7"/>
  <c r="BRV6" i="7"/>
  <c r="BRW6" i="7"/>
  <c r="BRX6" i="7"/>
  <c r="BRY6" i="7"/>
  <c r="BRZ6" i="7"/>
  <c r="BSA6" i="7"/>
  <c r="BSB6" i="7"/>
  <c r="BSC6" i="7"/>
  <c r="BSD6" i="7"/>
  <c r="BSE6" i="7"/>
  <c r="BSF6" i="7"/>
  <c r="BSG6" i="7"/>
  <c r="BSH6" i="7"/>
  <c r="BSI6" i="7"/>
  <c r="BSJ6" i="7"/>
  <c r="BSK6" i="7"/>
  <c r="BSL6" i="7"/>
  <c r="BSM6" i="7"/>
  <c r="BSN6" i="7"/>
  <c r="BSO6" i="7"/>
  <c r="BSP6" i="7"/>
  <c r="BSQ6" i="7"/>
  <c r="BSR6" i="7"/>
  <c r="BSS6" i="7"/>
  <c r="BST6" i="7"/>
  <c r="BSU6" i="7"/>
  <c r="BSV6" i="7"/>
  <c r="BSW6" i="7"/>
  <c r="BSX6" i="7"/>
  <c r="BSY6" i="7"/>
  <c r="BSZ6" i="7"/>
  <c r="BTA6" i="7"/>
  <c r="BTB6" i="7"/>
  <c r="BTC6" i="7"/>
  <c r="BTD6" i="7"/>
  <c r="BTE6" i="7"/>
  <c r="BTF6" i="7"/>
  <c r="BTG6" i="7"/>
  <c r="BTH6" i="7"/>
  <c r="BTI6" i="7"/>
  <c r="BTJ6" i="7"/>
  <c r="BTK6" i="7"/>
  <c r="BTL6" i="7"/>
  <c r="BTM6" i="7"/>
  <c r="BTN6" i="7"/>
  <c r="BTO6" i="7"/>
  <c r="BTP6" i="7"/>
  <c r="BTQ6" i="7"/>
  <c r="BTR6" i="7"/>
  <c r="BTS6" i="7"/>
  <c r="BTT6" i="7"/>
  <c r="BTU6" i="7"/>
  <c r="BTV6" i="7"/>
  <c r="BTW6" i="7"/>
  <c r="BTX6" i="7"/>
  <c r="BTY6" i="7"/>
  <c r="BTZ6" i="7"/>
  <c r="BUA6" i="7"/>
  <c r="BUB6" i="7"/>
  <c r="BUC6" i="7"/>
  <c r="BUD6" i="7"/>
  <c r="BUE6" i="7"/>
  <c r="BUF6" i="7"/>
  <c r="BUG6" i="7"/>
  <c r="BUH6" i="7"/>
  <c r="BUI6" i="7"/>
  <c r="BUJ6" i="7"/>
  <c r="BUK6" i="7"/>
  <c r="BUL6" i="7"/>
  <c r="BUM6" i="7"/>
  <c r="BUN6" i="7"/>
  <c r="BUO6" i="7"/>
  <c r="BUP6" i="7"/>
  <c r="BUQ6" i="7"/>
  <c r="BUR6" i="7"/>
  <c r="BUS6" i="7"/>
  <c r="BUT6" i="7"/>
  <c r="BUU6" i="7"/>
  <c r="BUV6" i="7"/>
  <c r="BUW6" i="7"/>
  <c r="BUX6" i="7"/>
  <c r="BUY6" i="7"/>
  <c r="BUZ6" i="7"/>
  <c r="BVA6" i="7"/>
  <c r="BVB6" i="7"/>
  <c r="BVC6" i="7"/>
  <c r="BVD6" i="7"/>
  <c r="BVE6" i="7"/>
  <c r="BVF6" i="7"/>
  <c r="BVG6" i="7"/>
  <c r="BVH6" i="7"/>
  <c r="BVI6" i="7"/>
  <c r="BVJ6" i="7"/>
  <c r="BVK6" i="7"/>
  <c r="BVL6" i="7"/>
  <c r="BVM6" i="7"/>
  <c r="BVN6" i="7"/>
  <c r="BVO6" i="7"/>
  <c r="BVP6" i="7"/>
  <c r="BVQ6" i="7"/>
  <c r="BVR6" i="7"/>
  <c r="BVS6" i="7"/>
  <c r="BVT6" i="7"/>
  <c r="BVU6" i="7"/>
  <c r="BVV6" i="7"/>
  <c r="BVW6" i="7"/>
  <c r="BVX6" i="7"/>
  <c r="BVY6" i="7"/>
  <c r="BVZ6" i="7"/>
  <c r="BWA6" i="7"/>
  <c r="BWB6" i="7"/>
  <c r="BWC6" i="7"/>
  <c r="BWD6" i="7"/>
  <c r="BWE6" i="7"/>
  <c r="BWF6" i="7"/>
  <c r="BWG6" i="7"/>
  <c r="BWH6" i="7"/>
  <c r="BWI6" i="7"/>
  <c r="BWJ6" i="7"/>
  <c r="BWK6" i="7"/>
  <c r="BWL6" i="7"/>
  <c r="BWM6" i="7"/>
  <c r="BWN6" i="7"/>
  <c r="BWO6" i="7"/>
  <c r="BWP6" i="7"/>
  <c r="BWQ6" i="7"/>
  <c r="BWR6" i="7"/>
  <c r="BWS6" i="7"/>
  <c r="BWT6" i="7"/>
  <c r="BWU6" i="7"/>
  <c r="BWV6" i="7"/>
  <c r="BWW6" i="7"/>
  <c r="BWX6" i="7"/>
  <c r="BWY6" i="7"/>
  <c r="BWZ6" i="7"/>
  <c r="BXA6" i="7"/>
  <c r="BXB6" i="7"/>
  <c r="BXC6" i="7"/>
  <c r="BXD6" i="7"/>
  <c r="BXE6" i="7"/>
  <c r="BXF6" i="7"/>
  <c r="BXG6" i="7"/>
  <c r="BXH6" i="7"/>
  <c r="BXI6" i="7"/>
  <c r="BXJ6" i="7"/>
  <c r="BXK6" i="7"/>
  <c r="BXL6" i="7"/>
  <c r="BXM6" i="7"/>
  <c r="BXN6" i="7"/>
  <c r="BXO6" i="7"/>
  <c r="BXP6" i="7"/>
  <c r="BXQ6" i="7"/>
  <c r="BXR6" i="7"/>
  <c r="BXS6" i="7"/>
  <c r="BXT6" i="7"/>
  <c r="BXU6" i="7"/>
  <c r="BXV6" i="7"/>
  <c r="BXW6" i="7"/>
  <c r="BXX6" i="7"/>
  <c r="BXY6" i="7"/>
  <c r="BXZ6" i="7"/>
  <c r="BYA6" i="7"/>
  <c r="BYB6" i="7"/>
  <c r="BYC6" i="7"/>
  <c r="BYD6" i="7"/>
  <c r="BYE6" i="7"/>
  <c r="BYF6" i="7"/>
  <c r="BYG6" i="7"/>
  <c r="BYH6" i="7"/>
  <c r="BYI6" i="7"/>
  <c r="BYJ6" i="7"/>
  <c r="BYK6" i="7"/>
  <c r="BYL6" i="7"/>
  <c r="BYM6" i="7"/>
  <c r="BYN6" i="7"/>
  <c r="BYO6" i="7"/>
  <c r="BYP6" i="7"/>
  <c r="BYQ6" i="7"/>
  <c r="BYR6" i="7"/>
  <c r="BYS6" i="7"/>
  <c r="BYT6" i="7"/>
  <c r="BYU6" i="7"/>
  <c r="BYV6" i="7"/>
  <c r="BYW6" i="7"/>
  <c r="BYX6" i="7"/>
  <c r="BYY6" i="7"/>
  <c r="BYZ6" i="7"/>
  <c r="BZA6" i="7"/>
  <c r="BZB6" i="7"/>
  <c r="BZC6" i="7"/>
  <c r="BZD6" i="7"/>
  <c r="BZE6" i="7"/>
  <c r="BZF6" i="7"/>
  <c r="BZG6" i="7"/>
  <c r="BZH6" i="7"/>
  <c r="BZI6" i="7"/>
  <c r="BZJ6" i="7"/>
  <c r="BZK6" i="7"/>
  <c r="BZL6" i="7"/>
  <c r="BZM6" i="7"/>
  <c r="BZN6" i="7"/>
  <c r="BZO6" i="7"/>
  <c r="BZP6" i="7"/>
  <c r="BZQ6" i="7"/>
  <c r="BZR6" i="7"/>
  <c r="BZS6" i="7"/>
  <c r="BZT6" i="7"/>
  <c r="BZU6" i="7"/>
  <c r="BZV6" i="7"/>
  <c r="BZW6" i="7"/>
  <c r="BZX6" i="7"/>
  <c r="BZY6" i="7"/>
  <c r="BZZ6" i="7"/>
  <c r="CAA6" i="7"/>
  <c r="CAB6" i="7"/>
  <c r="CAC6" i="7"/>
  <c r="CAD6" i="7"/>
  <c r="CAE6" i="7"/>
  <c r="CAF6" i="7"/>
  <c r="CAG6" i="7"/>
  <c r="CAH6" i="7"/>
  <c r="CAI6" i="7"/>
  <c r="CAJ6" i="7"/>
  <c r="CAK6" i="7"/>
  <c r="CAL6" i="7"/>
  <c r="CAM6" i="7"/>
  <c r="CAN6" i="7"/>
  <c r="CAO6" i="7"/>
  <c r="CAP6" i="7"/>
  <c r="CAQ6" i="7"/>
  <c r="CAR6" i="7"/>
  <c r="CAS6" i="7"/>
  <c r="CAT6" i="7"/>
  <c r="CAU6" i="7"/>
  <c r="CAV6" i="7"/>
  <c r="CAW6" i="7"/>
  <c r="CAX6" i="7"/>
  <c r="CAY6" i="7"/>
  <c r="CAZ6" i="7"/>
  <c r="CBA6" i="7"/>
  <c r="CBB6" i="7"/>
  <c r="CBC6" i="7"/>
  <c r="CBD6" i="7"/>
  <c r="CBE6" i="7"/>
  <c r="CBF6" i="7"/>
  <c r="CBG6" i="7"/>
  <c r="CBH6" i="7"/>
  <c r="CBI6" i="7"/>
  <c r="CBJ6" i="7"/>
  <c r="CBK6" i="7"/>
  <c r="CBL6" i="7"/>
  <c r="CBM6" i="7"/>
  <c r="CBN6" i="7"/>
  <c r="CBO6" i="7"/>
  <c r="CBP6" i="7"/>
  <c r="CBQ6" i="7"/>
  <c r="CBR6" i="7"/>
  <c r="CBS6" i="7"/>
  <c r="CBT6" i="7"/>
  <c r="CBU6" i="7"/>
  <c r="CBV6" i="7"/>
  <c r="CBW6" i="7"/>
  <c r="CBX6" i="7"/>
  <c r="CBY6" i="7"/>
  <c r="CBZ6" i="7"/>
  <c r="CCA6" i="7"/>
  <c r="CCB6" i="7"/>
  <c r="CCC6" i="7"/>
  <c r="CCD6" i="7"/>
  <c r="CCE6" i="7"/>
  <c r="CCF6" i="7"/>
  <c r="CCG6" i="7"/>
  <c r="CCH6" i="7"/>
  <c r="CCI6" i="7"/>
  <c r="CCJ6" i="7"/>
  <c r="CCK6" i="7"/>
  <c r="CCL6" i="7"/>
  <c r="CCM6" i="7"/>
  <c r="CCN6" i="7"/>
  <c r="CCO6" i="7"/>
  <c r="CCP6" i="7"/>
  <c r="CCQ6" i="7"/>
  <c r="CCR6" i="7"/>
  <c r="CCS6" i="7"/>
  <c r="CCT6" i="7"/>
  <c r="CCU6" i="7"/>
  <c r="CCV6" i="7"/>
  <c r="CCW6" i="7"/>
  <c r="CCX6" i="7"/>
  <c r="CCY6" i="7"/>
  <c r="CCZ6" i="7"/>
  <c r="CDA6" i="7"/>
  <c r="CDB6" i="7"/>
  <c r="CDC6" i="7"/>
  <c r="CDD6" i="7"/>
  <c r="CDE6" i="7"/>
  <c r="CDF6" i="7"/>
  <c r="CDG6" i="7"/>
  <c r="CDH6" i="7"/>
  <c r="CDI6" i="7"/>
  <c r="CDJ6" i="7"/>
  <c r="CDK6" i="7"/>
  <c r="CDL6" i="7"/>
  <c r="CDM6" i="7"/>
  <c r="CDN6" i="7"/>
  <c r="CDO6" i="7"/>
  <c r="CDP6" i="7"/>
  <c r="CDQ6" i="7"/>
  <c r="CDR6" i="7"/>
  <c r="CDS6" i="7"/>
  <c r="CDT6" i="7"/>
  <c r="CDU6" i="7"/>
  <c r="CDV6" i="7"/>
  <c r="CDW6" i="7"/>
  <c r="CDX6" i="7"/>
  <c r="CDY6" i="7"/>
  <c r="CDZ6" i="7"/>
  <c r="CEA6" i="7"/>
  <c r="CEB6" i="7"/>
  <c r="CEC6" i="7"/>
  <c r="CED6" i="7"/>
  <c r="CEE6" i="7"/>
  <c r="CEF6" i="7"/>
  <c r="CEG6" i="7"/>
  <c r="CEH6" i="7"/>
  <c r="CEI6" i="7"/>
  <c r="CEJ6" i="7"/>
  <c r="CEK6" i="7"/>
  <c r="CEL6" i="7"/>
  <c r="CEM6" i="7"/>
  <c r="CEN6" i="7"/>
  <c r="CEO6" i="7"/>
  <c r="CEP6" i="7"/>
  <c r="CEQ6" i="7"/>
  <c r="CER6" i="7"/>
  <c r="CES6" i="7"/>
  <c r="CET6" i="7"/>
  <c r="CEU6" i="7"/>
  <c r="CEV6" i="7"/>
  <c r="CEW6" i="7"/>
  <c r="CEX6" i="7"/>
  <c r="CEY6" i="7"/>
  <c r="CEZ6" i="7"/>
  <c r="CFA6" i="7"/>
  <c r="CFB6" i="7"/>
  <c r="CFC6" i="7"/>
  <c r="CFD6" i="7"/>
  <c r="CFE6" i="7"/>
  <c r="CFF6" i="7"/>
  <c r="CFG6" i="7"/>
  <c r="CFH6" i="7"/>
  <c r="CFI6" i="7"/>
  <c r="CFJ6" i="7"/>
  <c r="CFK6" i="7"/>
  <c r="CFL6" i="7"/>
  <c r="CFM6" i="7"/>
  <c r="CFN6" i="7"/>
  <c r="CFO6" i="7"/>
  <c r="CFP6" i="7"/>
  <c r="CFQ6" i="7"/>
  <c r="CFR6" i="7"/>
  <c r="CFS6" i="7"/>
  <c r="CFT6" i="7"/>
  <c r="CFU6" i="7"/>
  <c r="CFV6" i="7"/>
  <c r="CFW6" i="7"/>
  <c r="CFX6" i="7"/>
  <c r="CFY6" i="7"/>
  <c r="CFZ6" i="7"/>
  <c r="CGA6" i="7"/>
  <c r="CGB6" i="7"/>
  <c r="CGC6" i="7"/>
  <c r="CGD6" i="7"/>
  <c r="CGE6" i="7"/>
  <c r="CGF6" i="7"/>
  <c r="CGG6" i="7"/>
  <c r="CGH6" i="7"/>
  <c r="CGI6" i="7"/>
  <c r="CGJ6" i="7"/>
  <c r="CGK6" i="7"/>
  <c r="CGL6" i="7"/>
  <c r="CGM6" i="7"/>
  <c r="CGN6" i="7"/>
  <c r="CGO6" i="7"/>
  <c r="CGP6" i="7"/>
  <c r="CGQ6" i="7"/>
  <c r="CGR6" i="7"/>
  <c r="CGS6" i="7"/>
  <c r="CGT6" i="7"/>
  <c r="CGU6" i="7"/>
  <c r="CGV6" i="7"/>
  <c r="CGW6" i="7"/>
  <c r="CGX6" i="7"/>
  <c r="CGY6" i="7"/>
  <c r="CGZ6" i="7"/>
  <c r="CHA6" i="7"/>
  <c r="CHB6" i="7"/>
  <c r="CHC6" i="7"/>
  <c r="CHD6" i="7"/>
  <c r="CHE6" i="7"/>
  <c r="CHF6" i="7"/>
  <c r="CHG6" i="7"/>
  <c r="CHH6" i="7"/>
  <c r="CHI6" i="7"/>
  <c r="CHJ6" i="7"/>
  <c r="CHK6" i="7"/>
  <c r="CHL6" i="7"/>
  <c r="CHM6" i="7"/>
  <c r="CHN6" i="7"/>
  <c r="CHO6" i="7"/>
  <c r="CHP6" i="7"/>
  <c r="CHQ6" i="7"/>
  <c r="CHR6" i="7"/>
  <c r="CHS6" i="7"/>
  <c r="CHT6" i="7"/>
  <c r="CHU6" i="7"/>
  <c r="CHV6" i="7"/>
  <c r="CHW6" i="7"/>
  <c r="CHX6" i="7"/>
  <c r="CHY6" i="7"/>
  <c r="CHZ6" i="7"/>
  <c r="CIA6" i="7"/>
  <c r="CIB6" i="7"/>
  <c r="CIC6" i="7"/>
  <c r="CID6" i="7"/>
  <c r="CIE6" i="7"/>
  <c r="CIF6" i="7"/>
  <c r="CIG6" i="7"/>
  <c r="CIH6" i="7"/>
  <c r="CII6" i="7"/>
  <c r="CIJ6" i="7"/>
  <c r="CIK6" i="7"/>
  <c r="CIL6" i="7"/>
  <c r="CIM6" i="7"/>
  <c r="CIN6" i="7"/>
  <c r="CIO6" i="7"/>
  <c r="CIP6" i="7"/>
  <c r="CIQ6" i="7"/>
  <c r="CIR6" i="7"/>
  <c r="CIS6" i="7"/>
  <c r="CIT6" i="7"/>
  <c r="CIU6" i="7"/>
  <c r="CIV6" i="7"/>
  <c r="CIW6" i="7"/>
  <c r="CIX6" i="7"/>
  <c r="CIY6" i="7"/>
  <c r="CIZ6" i="7"/>
  <c r="CJA6" i="7"/>
  <c r="CJB6" i="7"/>
  <c r="CJC6" i="7"/>
  <c r="CJD6" i="7"/>
  <c r="CJE6" i="7"/>
  <c r="CJF6" i="7"/>
  <c r="CJG6" i="7"/>
  <c r="CJH6" i="7"/>
  <c r="CJI6" i="7"/>
  <c r="CJJ6" i="7"/>
  <c r="CJK6" i="7"/>
  <c r="CJL6" i="7"/>
  <c r="CJM6" i="7"/>
  <c r="CJN6" i="7"/>
  <c r="CJO6" i="7"/>
  <c r="CJP6" i="7"/>
  <c r="CJQ6" i="7"/>
  <c r="CJR6" i="7"/>
  <c r="CJS6" i="7"/>
  <c r="CJT6" i="7"/>
  <c r="CJU6" i="7"/>
  <c r="CJV6" i="7"/>
  <c r="CJW6" i="7"/>
  <c r="CJX6" i="7"/>
  <c r="CJY6" i="7"/>
  <c r="CJZ6" i="7"/>
  <c r="CKA6" i="7"/>
  <c r="CKB6" i="7"/>
  <c r="CKC6" i="7"/>
  <c r="CKD6" i="7"/>
  <c r="CKE6" i="7"/>
  <c r="CKF6" i="7"/>
  <c r="CKG6" i="7"/>
  <c r="CKH6" i="7"/>
  <c r="CKI6" i="7"/>
  <c r="CKJ6" i="7"/>
  <c r="CKK6" i="7"/>
  <c r="CKL6" i="7"/>
  <c r="CKM6" i="7"/>
  <c r="CKN6" i="7"/>
  <c r="CKO6" i="7"/>
  <c r="CKP6" i="7"/>
  <c r="CKQ6" i="7"/>
  <c r="CKR6" i="7"/>
  <c r="CKS6" i="7"/>
  <c r="CKT6" i="7"/>
  <c r="CKU6" i="7"/>
  <c r="CKV6" i="7"/>
  <c r="CKW6" i="7"/>
  <c r="CKX6" i="7"/>
  <c r="CKY6" i="7"/>
  <c r="CKZ6" i="7"/>
  <c r="CLA6" i="7"/>
  <c r="CLB6" i="7"/>
  <c r="CLC6" i="7"/>
  <c r="CLD6" i="7"/>
  <c r="CLE6" i="7"/>
  <c r="CLF6" i="7"/>
  <c r="CLG6" i="7"/>
  <c r="CLH6" i="7"/>
  <c r="CLI6" i="7"/>
  <c r="CLJ6" i="7"/>
  <c r="CLK6" i="7"/>
  <c r="CLL6" i="7"/>
  <c r="CLM6" i="7"/>
  <c r="CLN6" i="7"/>
  <c r="CLO6" i="7"/>
  <c r="CLP6" i="7"/>
  <c r="CLQ6" i="7"/>
  <c r="CLR6" i="7"/>
  <c r="CLS6" i="7"/>
  <c r="CLT6" i="7"/>
  <c r="CLU6" i="7"/>
  <c r="CLV6" i="7"/>
  <c r="CLW6" i="7"/>
  <c r="CLX6" i="7"/>
  <c r="CLY6" i="7"/>
  <c r="CLZ6" i="7"/>
  <c r="CMA6" i="7"/>
  <c r="CMB6" i="7"/>
  <c r="CMC6" i="7"/>
  <c r="CMD6" i="7"/>
  <c r="CME6" i="7"/>
  <c r="CMF6" i="7"/>
  <c r="CMG6" i="7"/>
  <c r="CMH6" i="7"/>
  <c r="CMI6" i="7"/>
  <c r="CMJ6" i="7"/>
  <c r="CMK6" i="7"/>
  <c r="CML6" i="7"/>
  <c r="CMM6" i="7"/>
  <c r="CMN6" i="7"/>
  <c r="CMO6" i="7"/>
  <c r="CMP6" i="7"/>
  <c r="CMQ6" i="7"/>
  <c r="CMR6" i="7"/>
  <c r="CMS6" i="7"/>
  <c r="CMT6" i="7"/>
  <c r="CMU6" i="7"/>
  <c r="CMV6" i="7"/>
  <c r="CMW6" i="7"/>
  <c r="CMX6" i="7"/>
  <c r="CMY6" i="7"/>
  <c r="CMZ6" i="7"/>
  <c r="CNA6" i="7"/>
  <c r="CNB6" i="7"/>
  <c r="CNC6" i="7"/>
  <c r="CND6" i="7"/>
  <c r="CNE6" i="7"/>
  <c r="CNF6" i="7"/>
  <c r="CNG6" i="7"/>
  <c r="CNH6" i="7"/>
  <c r="CNI6" i="7"/>
  <c r="CNJ6" i="7"/>
  <c r="CNK6" i="7"/>
  <c r="CNL6" i="7"/>
  <c r="CNM6" i="7"/>
  <c r="CNN6" i="7"/>
  <c r="CNO6" i="7"/>
  <c r="CNP6" i="7"/>
  <c r="CNQ6" i="7"/>
  <c r="CNR6" i="7"/>
  <c r="CNS6" i="7"/>
  <c r="CNT6" i="7"/>
  <c r="CNU6" i="7"/>
  <c r="CNV6" i="7"/>
  <c r="CNW6" i="7"/>
  <c r="CNX6" i="7"/>
  <c r="CNY6" i="7"/>
  <c r="CNZ6" i="7"/>
  <c r="COA6" i="7"/>
  <c r="COB6" i="7"/>
  <c r="COC6" i="7"/>
  <c r="COD6" i="7"/>
  <c r="COE6" i="7"/>
  <c r="COF6" i="7"/>
  <c r="COG6" i="7"/>
  <c r="COH6" i="7"/>
  <c r="COI6" i="7"/>
  <c r="COJ6" i="7"/>
  <c r="COK6" i="7"/>
  <c r="COL6" i="7"/>
  <c r="COM6" i="7"/>
  <c r="CON6" i="7"/>
  <c r="COO6" i="7"/>
  <c r="COP6" i="7"/>
  <c r="COQ6" i="7"/>
  <c r="COR6" i="7"/>
  <c r="COS6" i="7"/>
  <c r="COT6" i="7"/>
  <c r="COU6" i="7"/>
  <c r="COV6" i="7"/>
  <c r="COW6" i="7"/>
  <c r="COX6" i="7"/>
  <c r="COY6" i="7"/>
  <c r="COZ6" i="7"/>
  <c r="CPA6" i="7"/>
  <c r="CPB6" i="7"/>
  <c r="CPC6" i="7"/>
  <c r="CPD6" i="7"/>
  <c r="CPE6" i="7"/>
  <c r="CPF6" i="7"/>
  <c r="CPG6" i="7"/>
  <c r="CPH6" i="7"/>
  <c r="CPI6" i="7"/>
  <c r="CPJ6" i="7"/>
  <c r="CPK6" i="7"/>
  <c r="CPL6" i="7"/>
  <c r="CPM6" i="7"/>
  <c r="CPN6" i="7"/>
  <c r="CPO6" i="7"/>
  <c r="CPP6" i="7"/>
  <c r="CPQ6" i="7"/>
  <c r="CPR6" i="7"/>
  <c r="CPS6" i="7"/>
  <c r="CPT6" i="7"/>
  <c r="CPU6" i="7"/>
  <c r="CPV6" i="7"/>
  <c r="CPW6" i="7"/>
  <c r="CPX6" i="7"/>
  <c r="CPY6" i="7"/>
  <c r="CPZ6" i="7"/>
  <c r="CQA6" i="7"/>
  <c r="CQB6" i="7"/>
  <c r="CQC6" i="7"/>
  <c r="CQD6" i="7"/>
  <c r="CQE6" i="7"/>
  <c r="CQF6" i="7"/>
  <c r="CQG6" i="7"/>
  <c r="CQH6" i="7"/>
  <c r="CQI6" i="7"/>
  <c r="CQJ6" i="7"/>
  <c r="CQK6" i="7"/>
  <c r="CQL6" i="7"/>
  <c r="CQM6" i="7"/>
  <c r="CQN6" i="7"/>
  <c r="CQO6" i="7"/>
  <c r="CQP6" i="7"/>
  <c r="CQQ6" i="7"/>
  <c r="CQR6" i="7"/>
  <c r="CQS6" i="7"/>
  <c r="CQT6" i="7"/>
  <c r="CQU6" i="7"/>
  <c r="CQV6" i="7"/>
  <c r="CQW6" i="7"/>
  <c r="CQX6" i="7"/>
  <c r="CQY6" i="7"/>
  <c r="CQZ6" i="7"/>
  <c r="CRA6" i="7"/>
  <c r="CRB6" i="7"/>
  <c r="CRC6" i="7"/>
  <c r="CRD6" i="7"/>
  <c r="CRE6" i="7"/>
  <c r="CRF6" i="7"/>
  <c r="CRG6" i="7"/>
  <c r="CRH6" i="7"/>
  <c r="CRI6" i="7"/>
  <c r="CRJ6" i="7"/>
  <c r="CRK6" i="7"/>
  <c r="CRL6" i="7"/>
  <c r="CRM6" i="7"/>
  <c r="CRN6" i="7"/>
  <c r="CRO6" i="7"/>
  <c r="CRP6" i="7"/>
  <c r="CRQ6" i="7"/>
  <c r="CRR6" i="7"/>
  <c r="CRS6" i="7"/>
  <c r="CRT6" i="7"/>
  <c r="CRU6" i="7"/>
  <c r="CRV6" i="7"/>
  <c r="CRW6" i="7"/>
  <c r="CRX6" i="7"/>
  <c r="CRY6" i="7"/>
  <c r="CRZ6" i="7"/>
  <c r="CSA6" i="7"/>
  <c r="CSB6" i="7"/>
  <c r="CSC6" i="7"/>
  <c r="CSD6" i="7"/>
  <c r="CSE6" i="7"/>
  <c r="CSF6" i="7"/>
  <c r="CSG6" i="7"/>
  <c r="CSH6" i="7"/>
  <c r="CSI6" i="7"/>
  <c r="CSJ6" i="7"/>
  <c r="CSK6" i="7"/>
  <c r="CSL6" i="7"/>
  <c r="CSM6" i="7"/>
  <c r="CSN6" i="7"/>
  <c r="CSO6" i="7"/>
  <c r="CSP6" i="7"/>
  <c r="CSQ6" i="7"/>
  <c r="CSR6" i="7"/>
  <c r="CSS6" i="7"/>
  <c r="CST6" i="7"/>
  <c r="CSU6" i="7"/>
  <c r="CSV6" i="7"/>
  <c r="CSW6" i="7"/>
  <c r="CSX6" i="7"/>
  <c r="CSY6" i="7"/>
  <c r="CSZ6" i="7"/>
  <c r="CTA6" i="7"/>
  <c r="CTB6" i="7"/>
  <c r="CTC6" i="7"/>
  <c r="CTD6" i="7"/>
  <c r="CTE6" i="7"/>
  <c r="CTF6" i="7"/>
  <c r="CTG6" i="7"/>
  <c r="CTH6" i="7"/>
  <c r="CTI6" i="7"/>
  <c r="CTJ6" i="7"/>
  <c r="CTK6" i="7"/>
  <c r="CTL6" i="7"/>
  <c r="CTM6" i="7"/>
  <c r="CTN6" i="7"/>
  <c r="CTO6" i="7"/>
  <c r="CTP6" i="7"/>
  <c r="CTQ6" i="7"/>
  <c r="CTR6" i="7"/>
  <c r="CTS6" i="7"/>
  <c r="CTT6" i="7"/>
  <c r="CTU6" i="7"/>
  <c r="CTV6" i="7"/>
  <c r="CTW6" i="7"/>
  <c r="CTX6" i="7"/>
  <c r="CTY6" i="7"/>
  <c r="CTZ6" i="7"/>
  <c r="CUA6" i="7"/>
  <c r="CUB6" i="7"/>
  <c r="CUC6" i="7"/>
  <c r="CUD6" i="7"/>
  <c r="CUE6" i="7"/>
  <c r="CUF6" i="7"/>
  <c r="CUG6" i="7"/>
  <c r="CUH6" i="7"/>
  <c r="CUI6" i="7"/>
  <c r="CUJ6" i="7"/>
  <c r="CUK6" i="7"/>
  <c r="CUL6" i="7"/>
  <c r="CUM6" i="7"/>
  <c r="CUN6" i="7"/>
  <c r="CUO6" i="7"/>
  <c r="CUP6" i="7"/>
  <c r="CUQ6" i="7"/>
  <c r="CUR6" i="7"/>
  <c r="CUS6" i="7"/>
  <c r="CUT6" i="7"/>
  <c r="CUU6" i="7"/>
  <c r="CUV6" i="7"/>
  <c r="CUW6" i="7"/>
  <c r="CUX6" i="7"/>
  <c r="CUY6" i="7"/>
  <c r="CUZ6" i="7"/>
  <c r="CVA6" i="7"/>
  <c r="CVB6" i="7"/>
  <c r="CVC6" i="7"/>
  <c r="CVD6" i="7"/>
  <c r="CVE6" i="7"/>
  <c r="CVF6" i="7"/>
  <c r="CVG6" i="7"/>
  <c r="CVH6" i="7"/>
  <c r="CVI6" i="7"/>
  <c r="CVJ6" i="7"/>
  <c r="CVK6" i="7"/>
  <c r="CVL6" i="7"/>
  <c r="CVM6" i="7"/>
  <c r="CVN6" i="7"/>
  <c r="CVO6" i="7"/>
  <c r="CVP6" i="7"/>
  <c r="CVQ6" i="7"/>
  <c r="CVR6" i="7"/>
  <c r="CVS6" i="7"/>
  <c r="CVT6" i="7"/>
  <c r="CVU6" i="7"/>
  <c r="CVV6" i="7"/>
  <c r="CVW6" i="7"/>
  <c r="CVX6" i="7"/>
  <c r="CVY6" i="7"/>
  <c r="CVZ6" i="7"/>
  <c r="CWA6" i="7"/>
  <c r="CWB6" i="7"/>
  <c r="CWC6" i="7"/>
  <c r="CWD6" i="7"/>
  <c r="CWE6" i="7"/>
  <c r="CWF6" i="7"/>
  <c r="CWG6" i="7"/>
  <c r="CWH6" i="7"/>
  <c r="CWI6" i="7"/>
  <c r="CWJ6" i="7"/>
  <c r="CWK6" i="7"/>
  <c r="CWL6" i="7"/>
  <c r="CWM6" i="7"/>
  <c r="CWN6" i="7"/>
  <c r="CWO6" i="7"/>
  <c r="CWP6" i="7"/>
  <c r="CWQ6" i="7"/>
  <c r="CWR6" i="7"/>
  <c r="CWS6" i="7"/>
  <c r="CWT6" i="7"/>
  <c r="CWU6" i="7"/>
  <c r="CWV6" i="7"/>
  <c r="CWW6" i="7"/>
  <c r="CWX6" i="7"/>
  <c r="CWY6" i="7"/>
  <c r="CWZ6" i="7"/>
  <c r="CXA6" i="7"/>
  <c r="CXB6" i="7"/>
  <c r="CXC6" i="7"/>
  <c r="CXD6" i="7"/>
  <c r="CXE6" i="7"/>
  <c r="CXF6" i="7"/>
  <c r="CXG6" i="7"/>
  <c r="CXH6" i="7"/>
  <c r="CXI6" i="7"/>
  <c r="CXJ6" i="7"/>
  <c r="CXK6" i="7"/>
  <c r="CXL6" i="7"/>
  <c r="CXM6" i="7"/>
  <c r="CXN6" i="7"/>
  <c r="CXO6" i="7"/>
  <c r="CXP6" i="7"/>
  <c r="CXQ6" i="7"/>
  <c r="CXR6" i="7"/>
  <c r="CXS6" i="7"/>
  <c r="CXT6" i="7"/>
  <c r="CXU6" i="7"/>
  <c r="CXV6" i="7"/>
  <c r="CXW6" i="7"/>
  <c r="CXX6" i="7"/>
  <c r="CXY6" i="7"/>
  <c r="CXZ6" i="7"/>
  <c r="CYA6" i="7"/>
  <c r="CYB6" i="7"/>
  <c r="CYC6" i="7"/>
  <c r="CYD6" i="7"/>
  <c r="CYE6" i="7"/>
  <c r="CYF6" i="7"/>
  <c r="CYG6" i="7"/>
  <c r="CYH6" i="7"/>
  <c r="CYI6" i="7"/>
  <c r="CYJ6" i="7"/>
  <c r="CYK6" i="7"/>
  <c r="CYL6" i="7"/>
  <c r="CYM6" i="7"/>
  <c r="CYN6" i="7"/>
  <c r="CYO6" i="7"/>
  <c r="CYP6" i="7"/>
  <c r="CYQ6" i="7"/>
  <c r="CYR6" i="7"/>
  <c r="CYS6" i="7"/>
  <c r="CYT6" i="7"/>
  <c r="CYU6" i="7"/>
  <c r="CYV6" i="7"/>
  <c r="CYW6" i="7"/>
  <c r="CYX6" i="7"/>
  <c r="CYY6" i="7"/>
  <c r="CYZ6" i="7"/>
  <c r="CZA6" i="7"/>
  <c r="CZB6" i="7"/>
  <c r="CZC6" i="7"/>
  <c r="CZD6" i="7"/>
  <c r="CZE6" i="7"/>
  <c r="CZF6" i="7"/>
  <c r="CZG6" i="7"/>
  <c r="CZH6" i="7"/>
  <c r="CZI6" i="7"/>
  <c r="CZJ6" i="7"/>
  <c r="CZK6" i="7"/>
  <c r="CZL6" i="7"/>
  <c r="CZM6" i="7"/>
  <c r="CZN6" i="7"/>
  <c r="CZO6" i="7"/>
  <c r="CZP6" i="7"/>
  <c r="CZQ6" i="7"/>
  <c r="CZR6" i="7"/>
  <c r="CZS6" i="7"/>
  <c r="CZT6" i="7"/>
  <c r="CZU6" i="7"/>
  <c r="CZV6" i="7"/>
  <c r="CZW6" i="7"/>
  <c r="CZX6" i="7"/>
  <c r="CZY6" i="7"/>
  <c r="CZZ6" i="7"/>
  <c r="DAA6" i="7"/>
  <c r="DAB6" i="7"/>
  <c r="DAC6" i="7"/>
  <c r="DAD6" i="7"/>
  <c r="DAE6" i="7"/>
  <c r="DAF6" i="7"/>
  <c r="DAG6" i="7"/>
  <c r="DAH6" i="7"/>
  <c r="DAI6" i="7"/>
  <c r="DAJ6" i="7"/>
  <c r="DAK6" i="7"/>
  <c r="DAL6" i="7"/>
  <c r="DAM6" i="7"/>
  <c r="DAN6" i="7"/>
  <c r="DAO6" i="7"/>
  <c r="DAP6" i="7"/>
  <c r="DAQ6" i="7"/>
  <c r="DAR6" i="7"/>
  <c r="DAS6" i="7"/>
  <c r="DAT6" i="7"/>
  <c r="DAU6" i="7"/>
  <c r="DAV6" i="7"/>
  <c r="DAW6" i="7"/>
  <c r="DAX6" i="7"/>
  <c r="DAY6" i="7"/>
  <c r="DAZ6" i="7"/>
  <c r="DBA6" i="7"/>
  <c r="DBB6" i="7"/>
  <c r="DBC6" i="7"/>
  <c r="DBD6" i="7"/>
  <c r="DBE6" i="7"/>
  <c r="DBF6" i="7"/>
  <c r="DBG6" i="7"/>
  <c r="DBH6" i="7"/>
  <c r="DBI6" i="7"/>
  <c r="DBJ6" i="7"/>
  <c r="DBK6" i="7"/>
  <c r="DBL6" i="7"/>
  <c r="DBM6" i="7"/>
  <c r="DBN6" i="7"/>
  <c r="DBO6" i="7"/>
  <c r="DBP6" i="7"/>
  <c r="DBQ6" i="7"/>
  <c r="DBR6" i="7"/>
  <c r="DBS6" i="7"/>
  <c r="DBT6" i="7"/>
  <c r="DBU6" i="7"/>
  <c r="DBV6" i="7"/>
  <c r="DBW6" i="7"/>
  <c r="DBX6" i="7"/>
  <c r="DBY6" i="7"/>
  <c r="DBZ6" i="7"/>
  <c r="DCA6" i="7"/>
  <c r="DCB6" i="7"/>
  <c r="DCC6" i="7"/>
  <c r="DCD6" i="7"/>
  <c r="DCE6" i="7"/>
  <c r="DCF6" i="7"/>
  <c r="DCG6" i="7"/>
  <c r="DCH6" i="7"/>
  <c r="DCI6" i="7"/>
  <c r="DCJ6" i="7"/>
  <c r="DCK6" i="7"/>
  <c r="DCL6" i="7"/>
  <c r="DCM6" i="7"/>
  <c r="DCN6" i="7"/>
  <c r="DCO6" i="7"/>
  <c r="DCP6" i="7"/>
  <c r="DCQ6" i="7"/>
  <c r="DCR6" i="7"/>
  <c r="DCS6" i="7"/>
  <c r="DCT6" i="7"/>
  <c r="DCU6" i="7"/>
  <c r="DCV6" i="7"/>
  <c r="DCW6" i="7"/>
  <c r="DCX6" i="7"/>
  <c r="DCY6" i="7"/>
  <c r="DCZ6" i="7"/>
  <c r="DDA6" i="7"/>
  <c r="DDB6" i="7"/>
  <c r="DDC6" i="7"/>
  <c r="DDD6" i="7"/>
  <c r="DDE6" i="7"/>
  <c r="DDF6" i="7"/>
  <c r="DDG6" i="7"/>
  <c r="DDH6" i="7"/>
  <c r="DDI6" i="7"/>
  <c r="DDJ6" i="7"/>
  <c r="DDK6" i="7"/>
  <c r="DDL6" i="7"/>
  <c r="DDM6" i="7"/>
  <c r="DDN6" i="7"/>
  <c r="DDO6" i="7"/>
  <c r="DDP6" i="7"/>
  <c r="DDQ6" i="7"/>
  <c r="DDR6" i="7"/>
  <c r="DDS6" i="7"/>
  <c r="DDT6" i="7"/>
  <c r="DDU6" i="7"/>
  <c r="DDV6" i="7"/>
  <c r="DDW6" i="7"/>
  <c r="DDX6" i="7"/>
  <c r="DDY6" i="7"/>
  <c r="DDZ6" i="7"/>
  <c r="DEA6" i="7"/>
  <c r="DEB6" i="7"/>
  <c r="DEC6" i="7"/>
  <c r="DED6" i="7"/>
  <c r="DEE6" i="7"/>
  <c r="DEF6" i="7"/>
  <c r="DEG6" i="7"/>
  <c r="DEH6" i="7"/>
  <c r="DEI6" i="7"/>
  <c r="DEJ6" i="7"/>
  <c r="DEK6" i="7"/>
  <c r="DEL6" i="7"/>
  <c r="DEM6" i="7"/>
  <c r="DEN6" i="7"/>
  <c r="DEO6" i="7"/>
  <c r="DEP6" i="7"/>
  <c r="DEQ6" i="7"/>
  <c r="DER6" i="7"/>
  <c r="DES6" i="7"/>
  <c r="DET6" i="7"/>
  <c r="DEU6" i="7"/>
  <c r="DEV6" i="7"/>
  <c r="DEW6" i="7"/>
  <c r="DEX6" i="7"/>
  <c r="DEY6" i="7"/>
  <c r="DEZ6" i="7"/>
  <c r="DFA6" i="7"/>
  <c r="DFB6" i="7"/>
  <c r="DFC6" i="7"/>
  <c r="DFD6" i="7"/>
  <c r="DFE6" i="7"/>
  <c r="DFF6" i="7"/>
  <c r="DFG6" i="7"/>
  <c r="DFH6" i="7"/>
  <c r="DFI6" i="7"/>
  <c r="DFJ6" i="7"/>
  <c r="DFK6" i="7"/>
  <c r="DFL6" i="7"/>
  <c r="DFM6" i="7"/>
  <c r="DFN6" i="7"/>
  <c r="DFO6" i="7"/>
  <c r="DFP6" i="7"/>
  <c r="DFQ6" i="7"/>
  <c r="DFR6" i="7"/>
  <c r="DFS6" i="7"/>
  <c r="DFT6" i="7"/>
  <c r="DFU6" i="7"/>
  <c r="DFV6" i="7"/>
  <c r="DFW6" i="7"/>
  <c r="DFX6" i="7"/>
  <c r="DFY6" i="7"/>
  <c r="DFZ6" i="7"/>
  <c r="DGA6" i="7"/>
  <c r="DGB6" i="7"/>
  <c r="DGC6" i="7"/>
  <c r="DGD6" i="7"/>
  <c r="DGE6" i="7"/>
  <c r="DGF6" i="7"/>
  <c r="DGG6" i="7"/>
  <c r="DGH6" i="7"/>
  <c r="DGI6" i="7"/>
  <c r="DGJ6" i="7"/>
  <c r="DGK6" i="7"/>
  <c r="DGL6" i="7"/>
  <c r="DGM6" i="7"/>
  <c r="DGN6" i="7"/>
  <c r="DGO6" i="7"/>
  <c r="DGP6" i="7"/>
  <c r="DGQ6" i="7"/>
  <c r="DGR6" i="7"/>
  <c r="DGS6" i="7"/>
  <c r="DGT6" i="7"/>
  <c r="DGU6" i="7"/>
  <c r="DGV6" i="7"/>
  <c r="DGW6" i="7"/>
  <c r="DGX6" i="7"/>
  <c r="DGY6" i="7"/>
  <c r="DGZ6" i="7"/>
  <c r="DHA6" i="7"/>
  <c r="DHB6" i="7"/>
  <c r="DHC6" i="7"/>
  <c r="DHD6" i="7"/>
  <c r="DHE6" i="7"/>
  <c r="DHF6" i="7"/>
  <c r="DHG6" i="7"/>
  <c r="DHH6" i="7"/>
  <c r="DHI6" i="7"/>
  <c r="DHJ6" i="7"/>
  <c r="DHK6" i="7"/>
  <c r="DHL6" i="7"/>
  <c r="DHM6" i="7"/>
  <c r="DHN6" i="7"/>
  <c r="DHO6" i="7"/>
  <c r="DHP6" i="7"/>
  <c r="DHQ6" i="7"/>
  <c r="DHR6" i="7"/>
  <c r="DHS6" i="7"/>
  <c r="DHT6" i="7"/>
  <c r="DHU6" i="7"/>
  <c r="DHV6" i="7"/>
  <c r="DHW6" i="7"/>
  <c r="DHX6" i="7"/>
  <c r="DHY6" i="7"/>
  <c r="DHZ6" i="7"/>
  <c r="DIA6" i="7"/>
  <c r="DIB6" i="7"/>
  <c r="DIC6" i="7"/>
  <c r="DID6" i="7"/>
  <c r="DIE6" i="7"/>
  <c r="DIF6" i="7"/>
  <c r="DIG6" i="7"/>
  <c r="DIH6" i="7"/>
  <c r="DII6" i="7"/>
  <c r="DIJ6" i="7"/>
  <c r="DIK6" i="7"/>
  <c r="DIL6" i="7"/>
  <c r="DIM6" i="7"/>
  <c r="DIN6" i="7"/>
  <c r="DIO6" i="7"/>
  <c r="DIP6" i="7"/>
  <c r="DIQ6" i="7"/>
  <c r="DIR6" i="7"/>
  <c r="DIS6" i="7"/>
  <c r="DIT6" i="7"/>
  <c r="DIU6" i="7"/>
  <c r="DIV6" i="7"/>
  <c r="DIW6" i="7"/>
  <c r="DIX6" i="7"/>
  <c r="DIY6" i="7"/>
  <c r="DIZ6" i="7"/>
  <c r="DJA6" i="7"/>
  <c r="DJB6" i="7"/>
  <c r="DJC6" i="7"/>
  <c r="DJD6" i="7"/>
  <c r="DJE6" i="7"/>
  <c r="DJF6" i="7"/>
  <c r="DJG6" i="7"/>
  <c r="DJH6" i="7"/>
  <c r="DJI6" i="7"/>
  <c r="DJJ6" i="7"/>
  <c r="DJK6" i="7"/>
  <c r="DJL6" i="7"/>
  <c r="DJM6" i="7"/>
  <c r="DJN6" i="7"/>
  <c r="DJO6" i="7"/>
  <c r="DJP6" i="7"/>
  <c r="DJQ6" i="7"/>
  <c r="DJR6" i="7"/>
  <c r="DJS6" i="7"/>
  <c r="DJT6" i="7"/>
  <c r="DJU6" i="7"/>
  <c r="DJV6" i="7"/>
  <c r="DJW6" i="7"/>
  <c r="DJX6" i="7"/>
  <c r="DJY6" i="7"/>
  <c r="DJZ6" i="7"/>
  <c r="DKA6" i="7"/>
  <c r="DKB6" i="7"/>
  <c r="DKC6" i="7"/>
  <c r="DKD6" i="7"/>
  <c r="DKE6" i="7"/>
  <c r="DKF6" i="7"/>
  <c r="DKG6" i="7"/>
  <c r="DKH6" i="7"/>
  <c r="DKI6" i="7"/>
  <c r="DKJ6" i="7"/>
  <c r="DKK6" i="7"/>
  <c r="DKL6" i="7"/>
  <c r="DKM6" i="7"/>
  <c r="DKN6" i="7"/>
  <c r="DKO6" i="7"/>
  <c r="DKP6" i="7"/>
  <c r="DKQ6" i="7"/>
  <c r="DKR6" i="7"/>
  <c r="DKS6" i="7"/>
  <c r="DKT6" i="7"/>
  <c r="DKU6" i="7"/>
  <c r="DKV6" i="7"/>
  <c r="DKW6" i="7"/>
  <c r="DKX6" i="7"/>
  <c r="DKY6" i="7"/>
  <c r="DKZ6" i="7"/>
  <c r="DLA6" i="7"/>
  <c r="DLB6" i="7"/>
  <c r="DLC6" i="7"/>
  <c r="DLD6" i="7"/>
  <c r="DLE6" i="7"/>
  <c r="DLF6" i="7"/>
  <c r="DLG6" i="7"/>
  <c r="DLH6" i="7"/>
  <c r="DLI6" i="7"/>
  <c r="DLJ6" i="7"/>
  <c r="DLK6" i="7"/>
  <c r="DLL6" i="7"/>
  <c r="DLM6" i="7"/>
  <c r="DLN6" i="7"/>
  <c r="DLO6" i="7"/>
  <c r="DLP6" i="7"/>
  <c r="DLQ6" i="7"/>
  <c r="DLR6" i="7"/>
  <c r="DLS6" i="7"/>
  <c r="DLT6" i="7"/>
  <c r="DLU6" i="7"/>
  <c r="DLV6" i="7"/>
  <c r="DLW6" i="7"/>
  <c r="DLX6" i="7"/>
  <c r="DLY6" i="7"/>
  <c r="DLZ6" i="7"/>
  <c r="DMA6" i="7"/>
  <c r="DMB6" i="7"/>
  <c r="DMC6" i="7"/>
  <c r="DMD6" i="7"/>
  <c r="DME6" i="7"/>
  <c r="DMF6" i="7"/>
  <c r="DMG6" i="7"/>
  <c r="DMH6" i="7"/>
  <c r="DMI6" i="7"/>
  <c r="DMJ6" i="7"/>
  <c r="DMK6" i="7"/>
  <c r="DML6" i="7"/>
  <c r="DMM6" i="7"/>
  <c r="DMN6" i="7"/>
  <c r="DMO6" i="7"/>
  <c r="DMP6" i="7"/>
  <c r="DMQ6" i="7"/>
  <c r="DMR6" i="7"/>
  <c r="DMS6" i="7"/>
  <c r="DMT6" i="7"/>
  <c r="DMU6" i="7"/>
  <c r="DMV6" i="7"/>
  <c r="DMW6" i="7"/>
  <c r="DMX6" i="7"/>
  <c r="DMY6" i="7"/>
  <c r="DMZ6" i="7"/>
  <c r="DNA6" i="7"/>
  <c r="DNB6" i="7"/>
  <c r="DNC6" i="7"/>
  <c r="DND6" i="7"/>
  <c r="DNE6" i="7"/>
  <c r="DNF6" i="7"/>
  <c r="DNG6" i="7"/>
  <c r="DNH6" i="7"/>
  <c r="DNI6" i="7"/>
  <c r="DNJ6" i="7"/>
  <c r="DNK6" i="7"/>
  <c r="DNL6" i="7"/>
  <c r="DNM6" i="7"/>
  <c r="DNN6" i="7"/>
  <c r="DNO6" i="7"/>
  <c r="DNP6" i="7"/>
  <c r="DNQ6" i="7"/>
  <c r="DNR6" i="7"/>
  <c r="DNS6" i="7"/>
  <c r="DNT6" i="7"/>
  <c r="DNU6" i="7"/>
  <c r="DNV6" i="7"/>
  <c r="DNW6" i="7"/>
  <c r="DNX6" i="7"/>
  <c r="DNY6" i="7"/>
  <c r="DNZ6" i="7"/>
  <c r="DOA6" i="7"/>
  <c r="DOB6" i="7"/>
  <c r="DOC6" i="7"/>
  <c r="DOD6" i="7"/>
  <c r="DOE6" i="7"/>
  <c r="DOF6" i="7"/>
  <c r="DOG6" i="7"/>
  <c r="DOH6" i="7"/>
  <c r="DOI6" i="7"/>
  <c r="DOJ6" i="7"/>
  <c r="DOK6" i="7"/>
  <c r="DOL6" i="7"/>
  <c r="DOM6" i="7"/>
  <c r="DON6" i="7"/>
  <c r="DOO6" i="7"/>
  <c r="DOP6" i="7"/>
  <c r="DOQ6" i="7"/>
  <c r="DOR6" i="7"/>
  <c r="DOS6" i="7"/>
  <c r="DOT6" i="7"/>
  <c r="DOU6" i="7"/>
  <c r="DOV6" i="7"/>
  <c r="DOW6" i="7"/>
  <c r="DOX6" i="7"/>
  <c r="DOY6" i="7"/>
  <c r="DOZ6" i="7"/>
  <c r="DPA6" i="7"/>
  <c r="DPB6" i="7"/>
  <c r="DPC6" i="7"/>
  <c r="DPD6" i="7"/>
  <c r="DPE6" i="7"/>
  <c r="DPF6" i="7"/>
  <c r="DPG6" i="7"/>
  <c r="DPH6" i="7"/>
  <c r="DPI6" i="7"/>
  <c r="DPJ6" i="7"/>
  <c r="DPK6" i="7"/>
  <c r="DPL6" i="7"/>
  <c r="DPM6" i="7"/>
  <c r="DPN6" i="7"/>
  <c r="DPO6" i="7"/>
  <c r="DPP6" i="7"/>
  <c r="DPQ6" i="7"/>
  <c r="DPR6" i="7"/>
  <c r="DPS6" i="7"/>
  <c r="DPT6" i="7"/>
  <c r="DPU6" i="7"/>
  <c r="DPV6" i="7"/>
  <c r="DPW6" i="7"/>
  <c r="DPX6" i="7"/>
  <c r="DPY6" i="7"/>
  <c r="DPZ6" i="7"/>
  <c r="DQA6" i="7"/>
  <c r="DQB6" i="7"/>
  <c r="DQC6" i="7"/>
  <c r="DQD6" i="7"/>
  <c r="DQE6" i="7"/>
  <c r="DQF6" i="7"/>
  <c r="DQG6" i="7"/>
  <c r="DQH6" i="7"/>
  <c r="DQI6" i="7"/>
  <c r="DQJ6" i="7"/>
  <c r="DQK6" i="7"/>
  <c r="DQL6" i="7"/>
  <c r="DQM6" i="7"/>
  <c r="DQN6" i="7"/>
  <c r="DQO6" i="7"/>
  <c r="DQP6" i="7"/>
  <c r="DQQ6" i="7"/>
  <c r="DQR6" i="7"/>
  <c r="DQS6" i="7"/>
  <c r="DQT6" i="7"/>
  <c r="DQU6" i="7"/>
  <c r="DQV6" i="7"/>
  <c r="DQW6" i="7"/>
  <c r="DQX6" i="7"/>
  <c r="DQY6" i="7"/>
  <c r="DQZ6" i="7"/>
  <c r="DRA6" i="7"/>
  <c r="DRB6" i="7"/>
  <c r="DRC6" i="7"/>
  <c r="DRD6" i="7"/>
  <c r="DRE6" i="7"/>
  <c r="DRF6" i="7"/>
  <c r="DRG6" i="7"/>
  <c r="DRH6" i="7"/>
  <c r="DRI6" i="7"/>
  <c r="DRJ6" i="7"/>
  <c r="DRK6" i="7"/>
  <c r="DRL6" i="7"/>
  <c r="DRM6" i="7"/>
  <c r="DRN6" i="7"/>
  <c r="DRO6" i="7"/>
  <c r="DRP6" i="7"/>
  <c r="DRQ6" i="7"/>
  <c r="DRR6" i="7"/>
  <c r="DRS6" i="7"/>
  <c r="DRT6" i="7"/>
  <c r="DRU6" i="7"/>
  <c r="DRV6" i="7"/>
  <c r="DRW6" i="7"/>
  <c r="DRX6" i="7"/>
  <c r="DRY6" i="7"/>
  <c r="DRZ6" i="7"/>
  <c r="DSA6" i="7"/>
  <c r="DSB6" i="7"/>
  <c r="DSC6" i="7"/>
  <c r="DSD6" i="7"/>
  <c r="DSE6" i="7"/>
  <c r="DSF6" i="7"/>
  <c r="DSG6" i="7"/>
  <c r="DSH6" i="7"/>
  <c r="DSI6" i="7"/>
  <c r="DSJ6" i="7"/>
  <c r="DSK6" i="7"/>
  <c r="DSL6" i="7"/>
  <c r="DSM6" i="7"/>
  <c r="DSN6" i="7"/>
  <c r="DSO6" i="7"/>
  <c r="DSP6" i="7"/>
  <c r="DSQ6" i="7"/>
  <c r="DSR6" i="7"/>
  <c r="DSS6" i="7"/>
  <c r="DST6" i="7"/>
  <c r="DSU6" i="7"/>
  <c r="DSV6" i="7"/>
  <c r="DSW6" i="7"/>
  <c r="DSX6" i="7"/>
  <c r="DSY6" i="7"/>
  <c r="DSZ6" i="7"/>
  <c r="DTA6" i="7"/>
  <c r="DTB6" i="7"/>
  <c r="DTC6" i="7"/>
  <c r="DTD6" i="7"/>
  <c r="DTE6" i="7"/>
  <c r="DTF6" i="7"/>
  <c r="DTG6" i="7"/>
  <c r="DTH6" i="7"/>
  <c r="DTI6" i="7"/>
  <c r="DTJ6" i="7"/>
  <c r="DTK6" i="7"/>
  <c r="DTL6" i="7"/>
  <c r="DTM6" i="7"/>
  <c r="DTN6" i="7"/>
  <c r="DTO6" i="7"/>
  <c r="DTP6" i="7"/>
  <c r="DTQ6" i="7"/>
  <c r="DTR6" i="7"/>
  <c r="DTS6" i="7"/>
  <c r="DTT6" i="7"/>
  <c r="DTU6" i="7"/>
  <c r="DTV6" i="7"/>
  <c r="DTW6" i="7"/>
  <c r="DTX6" i="7"/>
  <c r="DTY6" i="7"/>
  <c r="DTZ6" i="7"/>
  <c r="DUA6" i="7"/>
  <c r="DUB6" i="7"/>
  <c r="DUC6" i="7"/>
  <c r="DUD6" i="7"/>
  <c r="DUE6" i="7"/>
  <c r="DUF6" i="7"/>
  <c r="DUG6" i="7"/>
  <c r="DUH6" i="7"/>
  <c r="DUI6" i="7"/>
  <c r="DUJ6" i="7"/>
  <c r="DUK6" i="7"/>
  <c r="DUL6" i="7"/>
  <c r="DUM6" i="7"/>
  <c r="DUN6" i="7"/>
  <c r="DUO6" i="7"/>
  <c r="DUP6" i="7"/>
  <c r="DUQ6" i="7"/>
  <c r="DUR6" i="7"/>
  <c r="DUS6" i="7"/>
  <c r="DUT6" i="7"/>
  <c r="DUU6" i="7"/>
  <c r="DUV6" i="7"/>
  <c r="DUW6" i="7"/>
  <c r="DUX6" i="7"/>
  <c r="DUY6" i="7"/>
  <c r="DUZ6" i="7"/>
  <c r="DVA6" i="7"/>
  <c r="DVB6" i="7"/>
  <c r="DVC6" i="7"/>
  <c r="DVD6" i="7"/>
  <c r="DVE6" i="7"/>
  <c r="DVF6" i="7"/>
  <c r="DVG6" i="7"/>
  <c r="DVH6" i="7"/>
  <c r="DVI6" i="7"/>
  <c r="DVJ6" i="7"/>
  <c r="DVK6" i="7"/>
  <c r="DVL6" i="7"/>
  <c r="DVM6" i="7"/>
  <c r="DVN6" i="7"/>
  <c r="DVO6" i="7"/>
  <c r="DVP6" i="7"/>
  <c r="DVQ6" i="7"/>
  <c r="DVR6" i="7"/>
  <c r="DVS6" i="7"/>
  <c r="DVT6" i="7"/>
  <c r="DVU6" i="7"/>
  <c r="DVV6" i="7"/>
  <c r="DVW6" i="7"/>
  <c r="DVX6" i="7"/>
  <c r="DVY6" i="7"/>
  <c r="DVZ6" i="7"/>
  <c r="DWA6" i="7"/>
  <c r="DWB6" i="7"/>
  <c r="DWC6" i="7"/>
  <c r="DWD6" i="7"/>
  <c r="DWE6" i="7"/>
  <c r="DWF6" i="7"/>
  <c r="DWG6" i="7"/>
  <c r="DWH6" i="7"/>
  <c r="DWI6" i="7"/>
  <c r="DWJ6" i="7"/>
  <c r="DWK6" i="7"/>
  <c r="DWL6" i="7"/>
  <c r="DWM6" i="7"/>
  <c r="DWN6" i="7"/>
  <c r="DWO6" i="7"/>
  <c r="DWP6" i="7"/>
  <c r="DWQ6" i="7"/>
  <c r="DWR6" i="7"/>
  <c r="DWS6" i="7"/>
  <c r="DWT6" i="7"/>
  <c r="DWU6" i="7"/>
  <c r="DWV6" i="7"/>
  <c r="DWW6" i="7"/>
  <c r="DWX6" i="7"/>
  <c r="DWY6" i="7"/>
  <c r="DWZ6" i="7"/>
  <c r="DXA6" i="7"/>
  <c r="DXB6" i="7"/>
  <c r="DXC6" i="7"/>
  <c r="DXD6" i="7"/>
  <c r="DXE6" i="7"/>
  <c r="DXF6" i="7"/>
  <c r="DXG6" i="7"/>
  <c r="DXH6" i="7"/>
  <c r="DXI6" i="7"/>
  <c r="DXJ6" i="7"/>
  <c r="DXK6" i="7"/>
  <c r="DXL6" i="7"/>
  <c r="DXM6" i="7"/>
  <c r="DXN6" i="7"/>
  <c r="DXO6" i="7"/>
  <c r="DXP6" i="7"/>
  <c r="DXQ6" i="7"/>
  <c r="DXR6" i="7"/>
  <c r="DXS6" i="7"/>
  <c r="DXT6" i="7"/>
  <c r="DXU6" i="7"/>
  <c r="DXV6" i="7"/>
  <c r="DXW6" i="7"/>
  <c r="DXX6" i="7"/>
  <c r="DXY6" i="7"/>
  <c r="DXZ6" i="7"/>
  <c r="DYA6" i="7"/>
  <c r="DYB6" i="7"/>
  <c r="DYC6" i="7"/>
  <c r="DYD6" i="7"/>
  <c r="DYE6" i="7"/>
  <c r="DYF6" i="7"/>
  <c r="DYG6" i="7"/>
  <c r="DYH6" i="7"/>
  <c r="DYI6" i="7"/>
  <c r="DYJ6" i="7"/>
  <c r="DYK6" i="7"/>
  <c r="DYL6" i="7"/>
  <c r="DYM6" i="7"/>
  <c r="DYN6" i="7"/>
  <c r="DYO6" i="7"/>
  <c r="DYP6" i="7"/>
  <c r="DYQ6" i="7"/>
  <c r="DYR6" i="7"/>
  <c r="DYS6" i="7"/>
  <c r="DYT6" i="7"/>
  <c r="DYU6" i="7"/>
  <c r="DYV6" i="7"/>
  <c r="DYW6" i="7"/>
  <c r="DYX6" i="7"/>
  <c r="DYY6" i="7"/>
  <c r="DYZ6" i="7"/>
  <c r="DZA6" i="7"/>
  <c r="DZB6" i="7"/>
  <c r="DZC6" i="7"/>
  <c r="DZD6" i="7"/>
  <c r="DZE6" i="7"/>
  <c r="DZF6" i="7"/>
  <c r="DZG6" i="7"/>
  <c r="DZH6" i="7"/>
  <c r="DZI6" i="7"/>
  <c r="DZJ6" i="7"/>
  <c r="DZK6" i="7"/>
  <c r="DZL6" i="7"/>
  <c r="DZM6" i="7"/>
  <c r="DZN6" i="7"/>
  <c r="DZO6" i="7"/>
  <c r="DZP6" i="7"/>
  <c r="DZQ6" i="7"/>
  <c r="DZR6" i="7"/>
  <c r="DZS6" i="7"/>
  <c r="DZT6" i="7"/>
  <c r="DZU6" i="7"/>
  <c r="DZV6" i="7"/>
  <c r="DZW6" i="7"/>
  <c r="DZX6" i="7"/>
  <c r="DZY6" i="7"/>
  <c r="DZZ6" i="7"/>
  <c r="EAA6" i="7"/>
  <c r="EAB6" i="7"/>
  <c r="EAC6" i="7"/>
  <c r="EAD6" i="7"/>
  <c r="EAE6" i="7"/>
  <c r="EAF6" i="7"/>
  <c r="EAG6" i="7"/>
  <c r="EAH6" i="7"/>
  <c r="EAI6" i="7"/>
  <c r="EAJ6" i="7"/>
  <c r="EAK6" i="7"/>
  <c r="EAL6" i="7"/>
  <c r="EAM6" i="7"/>
  <c r="EAN6" i="7"/>
  <c r="EAO6" i="7"/>
  <c r="EAP6" i="7"/>
  <c r="EAQ6" i="7"/>
  <c r="EAR6" i="7"/>
  <c r="EAS6" i="7"/>
  <c r="EAT6" i="7"/>
  <c r="EAU6" i="7"/>
  <c r="EAV6" i="7"/>
  <c r="EAW6" i="7"/>
  <c r="EAX6" i="7"/>
  <c r="EAY6" i="7"/>
  <c r="EAZ6" i="7"/>
  <c r="EBA6" i="7"/>
  <c r="EBB6" i="7"/>
  <c r="EBC6" i="7"/>
  <c r="EBD6" i="7"/>
  <c r="EBE6" i="7"/>
  <c r="EBF6" i="7"/>
  <c r="EBG6" i="7"/>
  <c r="EBH6" i="7"/>
  <c r="EBI6" i="7"/>
  <c r="EBJ6" i="7"/>
  <c r="EBK6" i="7"/>
  <c r="EBL6" i="7"/>
  <c r="EBM6" i="7"/>
  <c r="EBN6" i="7"/>
  <c r="EBO6" i="7"/>
  <c r="EBP6" i="7"/>
  <c r="EBQ6" i="7"/>
  <c r="EBR6" i="7"/>
  <c r="EBS6" i="7"/>
  <c r="EBT6" i="7"/>
  <c r="EBU6" i="7"/>
  <c r="EBV6" i="7"/>
  <c r="EBW6" i="7"/>
  <c r="EBX6" i="7"/>
  <c r="EBY6" i="7"/>
  <c r="EBZ6" i="7"/>
  <c r="ECA6" i="7"/>
  <c r="ECB6" i="7"/>
  <c r="ECC6" i="7"/>
  <c r="ECD6" i="7"/>
  <c r="ECE6" i="7"/>
  <c r="ECF6" i="7"/>
  <c r="ECG6" i="7"/>
  <c r="ECH6" i="7"/>
  <c r="ECI6" i="7"/>
  <c r="ECJ6" i="7"/>
  <c r="ECK6" i="7"/>
  <c r="ECL6" i="7"/>
  <c r="ECM6" i="7"/>
  <c r="ECN6" i="7"/>
  <c r="ECO6" i="7"/>
  <c r="ECP6" i="7"/>
  <c r="ECQ6" i="7"/>
  <c r="ECR6" i="7"/>
  <c r="ECS6" i="7"/>
  <c r="ECT6" i="7"/>
  <c r="ECU6" i="7"/>
  <c r="ECV6" i="7"/>
  <c r="ECW6" i="7"/>
  <c r="ECX6" i="7"/>
  <c r="ECY6" i="7"/>
  <c r="ECZ6" i="7"/>
  <c r="EDA6" i="7"/>
  <c r="EDB6" i="7"/>
  <c r="EDC6" i="7"/>
  <c r="EDD6" i="7"/>
  <c r="EDE6" i="7"/>
  <c r="EDF6" i="7"/>
  <c r="EDG6" i="7"/>
  <c r="EDH6" i="7"/>
  <c r="EDI6" i="7"/>
  <c r="EDJ6" i="7"/>
  <c r="EDK6" i="7"/>
  <c r="EDL6" i="7"/>
  <c r="EDM6" i="7"/>
  <c r="EDN6" i="7"/>
  <c r="EDO6" i="7"/>
  <c r="EDP6" i="7"/>
  <c r="EDQ6" i="7"/>
  <c r="EDR6" i="7"/>
  <c r="EDS6" i="7"/>
  <c r="EDT6" i="7"/>
  <c r="EDU6" i="7"/>
  <c r="EDV6" i="7"/>
  <c r="EDW6" i="7"/>
  <c r="EDX6" i="7"/>
  <c r="EDY6" i="7"/>
  <c r="EDZ6" i="7"/>
  <c r="EEA6" i="7"/>
  <c r="EEB6" i="7"/>
  <c r="EEC6" i="7"/>
  <c r="EED6" i="7"/>
  <c r="EEE6" i="7"/>
  <c r="EEF6" i="7"/>
  <c r="EEG6" i="7"/>
  <c r="EEH6" i="7"/>
  <c r="EEI6" i="7"/>
  <c r="EEJ6" i="7"/>
  <c r="EEK6" i="7"/>
  <c r="EEL6" i="7"/>
  <c r="EEM6" i="7"/>
  <c r="EEN6" i="7"/>
  <c r="EEO6" i="7"/>
  <c r="EEP6" i="7"/>
  <c r="EEQ6" i="7"/>
  <c r="EER6" i="7"/>
  <c r="EES6" i="7"/>
  <c r="EET6" i="7"/>
  <c r="EEU6" i="7"/>
  <c r="EEV6" i="7"/>
  <c r="EEW6" i="7"/>
  <c r="EEX6" i="7"/>
  <c r="EEY6" i="7"/>
  <c r="EEZ6" i="7"/>
  <c r="EFA6" i="7"/>
  <c r="EFB6" i="7"/>
  <c r="EFC6" i="7"/>
  <c r="EFD6" i="7"/>
  <c r="EFE6" i="7"/>
  <c r="EFF6" i="7"/>
  <c r="EFG6" i="7"/>
  <c r="EFH6" i="7"/>
  <c r="EFI6" i="7"/>
  <c r="EFJ6" i="7"/>
  <c r="EFK6" i="7"/>
  <c r="EFL6" i="7"/>
  <c r="EFM6" i="7"/>
  <c r="EFN6" i="7"/>
  <c r="EFO6" i="7"/>
  <c r="EFP6" i="7"/>
  <c r="EFQ6" i="7"/>
  <c r="EFR6" i="7"/>
  <c r="EFS6" i="7"/>
  <c r="EFT6" i="7"/>
  <c r="EFU6" i="7"/>
  <c r="EFV6" i="7"/>
  <c r="EFW6" i="7"/>
  <c r="EFX6" i="7"/>
  <c r="EFY6" i="7"/>
  <c r="EFZ6" i="7"/>
  <c r="EGA6" i="7"/>
  <c r="EGB6" i="7"/>
  <c r="EGC6" i="7"/>
  <c r="EGD6" i="7"/>
  <c r="EGE6" i="7"/>
  <c r="EGF6" i="7"/>
  <c r="EGG6" i="7"/>
  <c r="EGH6" i="7"/>
  <c r="EGI6" i="7"/>
  <c r="EGJ6" i="7"/>
  <c r="EGK6" i="7"/>
  <c r="EGL6" i="7"/>
  <c r="EGM6" i="7"/>
  <c r="EGN6" i="7"/>
  <c r="EGO6" i="7"/>
  <c r="EGP6" i="7"/>
  <c r="EGQ6" i="7"/>
  <c r="EGR6" i="7"/>
  <c r="EGS6" i="7"/>
  <c r="EGT6" i="7"/>
  <c r="EGU6" i="7"/>
  <c r="EGV6" i="7"/>
  <c r="EGW6" i="7"/>
  <c r="EGX6" i="7"/>
  <c r="EGY6" i="7"/>
  <c r="EGZ6" i="7"/>
  <c r="EHA6" i="7"/>
  <c r="EHB6" i="7"/>
  <c r="EHC6" i="7"/>
  <c r="EHD6" i="7"/>
  <c r="EHE6" i="7"/>
  <c r="EHF6" i="7"/>
  <c r="EHG6" i="7"/>
  <c r="EHH6" i="7"/>
  <c r="EHI6" i="7"/>
  <c r="EHJ6" i="7"/>
  <c r="EHK6" i="7"/>
  <c r="EHL6" i="7"/>
  <c r="EHM6" i="7"/>
  <c r="EHN6" i="7"/>
  <c r="EHO6" i="7"/>
  <c r="EHP6" i="7"/>
  <c r="EHQ6" i="7"/>
  <c r="EHR6" i="7"/>
  <c r="EHS6" i="7"/>
  <c r="EHT6" i="7"/>
  <c r="EHU6" i="7"/>
  <c r="EHV6" i="7"/>
  <c r="EHW6" i="7"/>
  <c r="EHX6" i="7"/>
  <c r="EHY6" i="7"/>
  <c r="EHZ6" i="7"/>
  <c r="EIA6" i="7"/>
  <c r="EIB6" i="7"/>
  <c r="EIC6" i="7"/>
  <c r="EID6" i="7"/>
  <c r="EIE6" i="7"/>
  <c r="EIF6" i="7"/>
  <c r="EIG6" i="7"/>
  <c r="EIH6" i="7"/>
  <c r="EII6" i="7"/>
  <c r="EIJ6" i="7"/>
  <c r="EIK6" i="7"/>
  <c r="EIL6" i="7"/>
  <c r="EIM6" i="7"/>
  <c r="EIN6" i="7"/>
  <c r="EIO6" i="7"/>
  <c r="EIP6" i="7"/>
  <c r="EIQ6" i="7"/>
  <c r="EIR6" i="7"/>
  <c r="EIS6" i="7"/>
  <c r="EIT6" i="7"/>
  <c r="EIU6" i="7"/>
  <c r="EIV6" i="7"/>
  <c r="EIW6" i="7"/>
  <c r="EIX6" i="7"/>
  <c r="EIY6" i="7"/>
  <c r="EIZ6" i="7"/>
  <c r="EJA6" i="7"/>
  <c r="EJB6" i="7"/>
  <c r="EJC6" i="7"/>
  <c r="EJD6" i="7"/>
  <c r="EJE6" i="7"/>
  <c r="EJF6" i="7"/>
  <c r="EJG6" i="7"/>
  <c r="EJH6" i="7"/>
  <c r="EJI6" i="7"/>
  <c r="EJJ6" i="7"/>
  <c r="EJK6" i="7"/>
  <c r="EJL6" i="7"/>
  <c r="EJM6" i="7"/>
  <c r="EJN6" i="7"/>
  <c r="EJO6" i="7"/>
  <c r="EJP6" i="7"/>
  <c r="EJQ6" i="7"/>
  <c r="EJR6" i="7"/>
  <c r="EJS6" i="7"/>
  <c r="EJT6" i="7"/>
  <c r="EJU6" i="7"/>
  <c r="EJV6" i="7"/>
  <c r="EJW6" i="7"/>
  <c r="EJX6" i="7"/>
  <c r="EJY6" i="7"/>
  <c r="EJZ6" i="7"/>
  <c r="EKA6" i="7"/>
  <c r="EKB6" i="7"/>
  <c r="EKC6" i="7"/>
  <c r="EKD6" i="7"/>
  <c r="EKE6" i="7"/>
  <c r="EKF6" i="7"/>
  <c r="EKG6" i="7"/>
  <c r="EKH6" i="7"/>
  <c r="EKI6" i="7"/>
  <c r="EKJ6" i="7"/>
  <c r="EKK6" i="7"/>
  <c r="EKL6" i="7"/>
  <c r="EKM6" i="7"/>
  <c r="EKN6" i="7"/>
  <c r="EKO6" i="7"/>
  <c r="EKP6" i="7"/>
  <c r="EKQ6" i="7"/>
  <c r="EKR6" i="7"/>
  <c r="EKS6" i="7"/>
  <c r="EKT6" i="7"/>
  <c r="EKU6" i="7"/>
  <c r="EKV6" i="7"/>
  <c r="EKW6" i="7"/>
  <c r="EKX6" i="7"/>
  <c r="EKY6" i="7"/>
  <c r="EKZ6" i="7"/>
  <c r="ELA6" i="7"/>
  <c r="ELB6" i="7"/>
  <c r="ELC6" i="7"/>
  <c r="ELD6" i="7"/>
  <c r="ELE6" i="7"/>
  <c r="ELF6" i="7"/>
  <c r="ELG6" i="7"/>
  <c r="ELH6" i="7"/>
  <c r="ELI6" i="7"/>
  <c r="ELJ6" i="7"/>
  <c r="ELK6" i="7"/>
  <c r="ELL6" i="7"/>
  <c r="ELM6" i="7"/>
  <c r="ELN6" i="7"/>
  <c r="ELO6" i="7"/>
  <c r="ELP6" i="7"/>
  <c r="ELQ6" i="7"/>
  <c r="ELR6" i="7"/>
  <c r="ELS6" i="7"/>
  <c r="ELT6" i="7"/>
  <c r="ELU6" i="7"/>
  <c r="ELV6" i="7"/>
  <c r="ELW6" i="7"/>
  <c r="ELX6" i="7"/>
  <c r="ELY6" i="7"/>
  <c r="ELZ6" i="7"/>
  <c r="EMA6" i="7"/>
  <c r="EMB6" i="7"/>
  <c r="EMC6" i="7"/>
  <c r="EMD6" i="7"/>
  <c r="EME6" i="7"/>
  <c r="EMF6" i="7"/>
  <c r="EMG6" i="7"/>
  <c r="EMH6" i="7"/>
  <c r="EMI6" i="7"/>
  <c r="EMJ6" i="7"/>
  <c r="EMK6" i="7"/>
  <c r="EML6" i="7"/>
  <c r="EMM6" i="7"/>
  <c r="EMN6" i="7"/>
  <c r="EMO6" i="7"/>
  <c r="EMP6" i="7"/>
  <c r="EMQ6" i="7"/>
  <c r="EMR6" i="7"/>
  <c r="EMS6" i="7"/>
  <c r="EMT6" i="7"/>
  <c r="EMU6" i="7"/>
  <c r="EMV6" i="7"/>
  <c r="EMW6" i="7"/>
  <c r="EMX6" i="7"/>
  <c r="EMY6" i="7"/>
  <c r="EMZ6" i="7"/>
  <c r="ENA6" i="7"/>
  <c r="ENB6" i="7"/>
  <c r="ENC6" i="7"/>
  <c r="END6" i="7"/>
  <c r="ENE6" i="7"/>
  <c r="ENF6" i="7"/>
  <c r="ENG6" i="7"/>
  <c r="ENH6" i="7"/>
  <c r="ENI6" i="7"/>
  <c r="ENJ6" i="7"/>
  <c r="ENK6" i="7"/>
  <c r="ENL6" i="7"/>
  <c r="ENM6" i="7"/>
  <c r="ENN6" i="7"/>
  <c r="ENO6" i="7"/>
  <c r="ENP6" i="7"/>
  <c r="ENQ6" i="7"/>
  <c r="ENR6" i="7"/>
  <c r="ENS6" i="7"/>
  <c r="ENT6" i="7"/>
  <c r="ENU6" i="7"/>
  <c r="ENV6" i="7"/>
  <c r="ENW6" i="7"/>
  <c r="ENX6" i="7"/>
  <c r="ENY6" i="7"/>
  <c r="ENZ6" i="7"/>
  <c r="EOA6" i="7"/>
  <c r="EOB6" i="7"/>
  <c r="EOC6" i="7"/>
  <c r="EOD6" i="7"/>
  <c r="EOE6" i="7"/>
  <c r="EOF6" i="7"/>
  <c r="EOG6" i="7"/>
  <c r="EOH6" i="7"/>
  <c r="EOI6" i="7"/>
  <c r="EOJ6" i="7"/>
  <c r="EOK6" i="7"/>
  <c r="EOL6" i="7"/>
  <c r="EOM6" i="7"/>
  <c r="EON6" i="7"/>
  <c r="EOO6" i="7"/>
  <c r="EOP6" i="7"/>
  <c r="EOQ6" i="7"/>
  <c r="EOR6" i="7"/>
  <c r="EOS6" i="7"/>
  <c r="EOT6" i="7"/>
  <c r="EOU6" i="7"/>
  <c r="EOV6" i="7"/>
  <c r="EOW6" i="7"/>
  <c r="EOX6" i="7"/>
  <c r="EOY6" i="7"/>
  <c r="EOZ6" i="7"/>
  <c r="EPA6" i="7"/>
  <c r="EPB6" i="7"/>
  <c r="EPC6" i="7"/>
  <c r="EPD6" i="7"/>
  <c r="EPE6" i="7"/>
  <c r="EPF6" i="7"/>
  <c r="EPG6" i="7"/>
  <c r="EPH6" i="7"/>
  <c r="EPI6" i="7"/>
  <c r="EPJ6" i="7"/>
  <c r="EPK6" i="7"/>
  <c r="EPL6" i="7"/>
  <c r="EPM6" i="7"/>
  <c r="EPN6" i="7"/>
  <c r="EPO6" i="7"/>
  <c r="EPP6" i="7"/>
  <c r="EPQ6" i="7"/>
  <c r="EPR6" i="7"/>
  <c r="EPS6" i="7"/>
  <c r="EPT6" i="7"/>
  <c r="EPU6" i="7"/>
  <c r="EPV6" i="7"/>
  <c r="EPW6" i="7"/>
  <c r="EPX6" i="7"/>
  <c r="EPY6" i="7"/>
  <c r="EPZ6" i="7"/>
  <c r="EQA6" i="7"/>
  <c r="EQB6" i="7"/>
  <c r="EQC6" i="7"/>
  <c r="EQD6" i="7"/>
  <c r="EQE6" i="7"/>
  <c r="EQF6" i="7"/>
  <c r="EQG6" i="7"/>
  <c r="EQH6" i="7"/>
  <c r="EQI6" i="7"/>
  <c r="EQJ6" i="7"/>
  <c r="EQK6" i="7"/>
  <c r="EQL6" i="7"/>
  <c r="EQM6" i="7"/>
  <c r="EQN6" i="7"/>
  <c r="EQO6" i="7"/>
  <c r="EQP6" i="7"/>
  <c r="EQQ6" i="7"/>
  <c r="EQR6" i="7"/>
  <c r="EQS6" i="7"/>
  <c r="EQT6" i="7"/>
  <c r="EQU6" i="7"/>
  <c r="EQV6" i="7"/>
  <c r="EQW6" i="7"/>
  <c r="EQX6" i="7"/>
  <c r="EQY6" i="7"/>
  <c r="EQZ6" i="7"/>
  <c r="ERA6" i="7"/>
  <c r="ERB6" i="7"/>
  <c r="ERC6" i="7"/>
  <c r="ERD6" i="7"/>
  <c r="ERE6" i="7"/>
  <c r="ERF6" i="7"/>
  <c r="ERG6" i="7"/>
  <c r="ERH6" i="7"/>
  <c r="ERI6" i="7"/>
  <c r="ERJ6" i="7"/>
  <c r="ERK6" i="7"/>
  <c r="ERL6" i="7"/>
  <c r="ERM6" i="7"/>
  <c r="ERN6" i="7"/>
  <c r="ERO6" i="7"/>
  <c r="ERP6" i="7"/>
  <c r="ERQ6" i="7"/>
  <c r="ERR6" i="7"/>
  <c r="ERS6" i="7"/>
  <c r="ERT6" i="7"/>
  <c r="ERU6" i="7"/>
  <c r="ERV6" i="7"/>
  <c r="ERW6" i="7"/>
  <c r="ERX6" i="7"/>
  <c r="ERY6" i="7"/>
  <c r="ERZ6" i="7"/>
  <c r="ESA6" i="7"/>
  <c r="ESB6" i="7"/>
  <c r="ESC6" i="7"/>
  <c r="ESD6" i="7"/>
  <c r="ESE6" i="7"/>
  <c r="ESF6" i="7"/>
  <c r="ESG6" i="7"/>
  <c r="ESH6" i="7"/>
  <c r="ESI6" i="7"/>
  <c r="ESJ6" i="7"/>
  <c r="ESK6" i="7"/>
  <c r="ESL6" i="7"/>
  <c r="ESM6" i="7"/>
  <c r="ESN6" i="7"/>
  <c r="ESO6" i="7"/>
  <c r="ESP6" i="7"/>
  <c r="ESQ6" i="7"/>
  <c r="ESR6" i="7"/>
  <c r="ESS6" i="7"/>
  <c r="EST6" i="7"/>
  <c r="ESU6" i="7"/>
  <c r="ESV6" i="7"/>
  <c r="ESW6" i="7"/>
  <c r="ESX6" i="7"/>
  <c r="ESY6" i="7"/>
  <c r="ESZ6" i="7"/>
  <c r="ETA6" i="7"/>
  <c r="ETB6" i="7"/>
  <c r="ETC6" i="7"/>
  <c r="ETD6" i="7"/>
  <c r="ETE6" i="7"/>
  <c r="ETF6" i="7"/>
  <c r="ETG6" i="7"/>
  <c r="ETH6" i="7"/>
  <c r="ETI6" i="7"/>
  <c r="ETJ6" i="7"/>
  <c r="ETK6" i="7"/>
  <c r="ETL6" i="7"/>
  <c r="ETM6" i="7"/>
  <c r="ETN6" i="7"/>
  <c r="ETO6" i="7"/>
  <c r="ETP6" i="7"/>
  <c r="ETQ6" i="7"/>
  <c r="ETR6" i="7"/>
  <c r="ETS6" i="7"/>
  <c r="ETT6" i="7"/>
  <c r="ETU6" i="7"/>
  <c r="ETV6" i="7"/>
  <c r="ETW6" i="7"/>
  <c r="ETX6" i="7"/>
  <c r="ETY6" i="7"/>
  <c r="ETZ6" i="7"/>
  <c r="EUA6" i="7"/>
  <c r="EUB6" i="7"/>
  <c r="EUC6" i="7"/>
  <c r="EUD6" i="7"/>
  <c r="EUE6" i="7"/>
  <c r="EUF6" i="7"/>
  <c r="EUG6" i="7"/>
  <c r="EUH6" i="7"/>
  <c r="EUI6" i="7"/>
  <c r="EUJ6" i="7"/>
  <c r="EUK6" i="7"/>
  <c r="EUL6" i="7"/>
  <c r="EUM6" i="7"/>
  <c r="EUN6" i="7"/>
  <c r="EUO6" i="7"/>
  <c r="EUP6" i="7"/>
  <c r="EUQ6" i="7"/>
  <c r="EUR6" i="7"/>
  <c r="EUS6" i="7"/>
  <c r="EUT6" i="7"/>
  <c r="EUU6" i="7"/>
  <c r="EUV6" i="7"/>
  <c r="EUW6" i="7"/>
  <c r="EUX6" i="7"/>
  <c r="EUY6" i="7"/>
  <c r="EUZ6" i="7"/>
  <c r="EVA6" i="7"/>
  <c r="EVB6" i="7"/>
  <c r="EVC6" i="7"/>
  <c r="EVD6" i="7"/>
  <c r="EVE6" i="7"/>
  <c r="EVF6" i="7"/>
  <c r="EVG6" i="7"/>
  <c r="EVH6" i="7"/>
  <c r="EVI6" i="7"/>
  <c r="EVJ6" i="7"/>
  <c r="EVK6" i="7"/>
  <c r="EVL6" i="7"/>
  <c r="EVM6" i="7"/>
  <c r="EVN6" i="7"/>
  <c r="EVO6" i="7"/>
  <c r="EVP6" i="7"/>
  <c r="EVQ6" i="7"/>
  <c r="EVR6" i="7"/>
  <c r="EVS6" i="7"/>
  <c r="EVT6" i="7"/>
  <c r="EVU6" i="7"/>
  <c r="EVV6" i="7"/>
  <c r="EVW6" i="7"/>
  <c r="EVX6" i="7"/>
  <c r="EVY6" i="7"/>
  <c r="EVZ6" i="7"/>
  <c r="EWA6" i="7"/>
  <c r="EWB6" i="7"/>
  <c r="EWC6" i="7"/>
  <c r="EWD6" i="7"/>
  <c r="EWE6" i="7"/>
  <c r="EWF6" i="7"/>
  <c r="EWG6" i="7"/>
  <c r="EWH6" i="7"/>
  <c r="EWI6" i="7"/>
  <c r="EWJ6" i="7"/>
  <c r="EWK6" i="7"/>
  <c r="EWL6" i="7"/>
  <c r="EWM6" i="7"/>
  <c r="EWN6" i="7"/>
  <c r="EWO6" i="7"/>
  <c r="EWP6" i="7"/>
  <c r="EWQ6" i="7"/>
  <c r="EWR6" i="7"/>
  <c r="EWS6" i="7"/>
  <c r="EWT6" i="7"/>
  <c r="EWU6" i="7"/>
  <c r="EWV6" i="7"/>
  <c r="EWW6" i="7"/>
  <c r="EWX6" i="7"/>
  <c r="EWY6" i="7"/>
  <c r="EWZ6" i="7"/>
  <c r="EXA6" i="7"/>
  <c r="EXB6" i="7"/>
  <c r="EXC6" i="7"/>
  <c r="EXD6" i="7"/>
  <c r="EXE6" i="7"/>
  <c r="EXF6" i="7"/>
  <c r="EXG6" i="7"/>
  <c r="EXH6" i="7"/>
  <c r="EXI6" i="7"/>
  <c r="EXJ6" i="7"/>
  <c r="EXK6" i="7"/>
  <c r="EXL6" i="7"/>
  <c r="EXM6" i="7"/>
  <c r="EXN6" i="7"/>
  <c r="EXO6" i="7"/>
  <c r="EXP6" i="7"/>
  <c r="EXQ6" i="7"/>
  <c r="EXR6" i="7"/>
  <c r="EXS6" i="7"/>
  <c r="EXT6" i="7"/>
  <c r="EXU6" i="7"/>
  <c r="EXV6" i="7"/>
  <c r="EXW6" i="7"/>
  <c r="EXX6" i="7"/>
  <c r="EXY6" i="7"/>
  <c r="EXZ6" i="7"/>
  <c r="EYA6" i="7"/>
  <c r="EYB6" i="7"/>
  <c r="EYC6" i="7"/>
  <c r="EYD6" i="7"/>
  <c r="EYE6" i="7"/>
  <c r="EYF6" i="7"/>
  <c r="EYG6" i="7"/>
  <c r="EYH6" i="7"/>
  <c r="EYI6" i="7"/>
  <c r="EYJ6" i="7"/>
  <c r="EYK6" i="7"/>
  <c r="EYL6" i="7"/>
  <c r="EYM6" i="7"/>
  <c r="EYN6" i="7"/>
  <c r="EYO6" i="7"/>
  <c r="EYP6" i="7"/>
  <c r="EYQ6" i="7"/>
  <c r="EYR6" i="7"/>
  <c r="EYS6" i="7"/>
  <c r="EYT6" i="7"/>
  <c r="EYU6" i="7"/>
  <c r="EYV6" i="7"/>
  <c r="EYW6" i="7"/>
  <c r="EYX6" i="7"/>
  <c r="EYY6" i="7"/>
  <c r="EYZ6" i="7"/>
  <c r="EZA6" i="7"/>
  <c r="EZB6" i="7"/>
  <c r="EZC6" i="7"/>
  <c r="EZD6" i="7"/>
  <c r="EZE6" i="7"/>
  <c r="EZF6" i="7"/>
  <c r="EZG6" i="7"/>
  <c r="EZH6" i="7"/>
  <c r="EZI6" i="7"/>
  <c r="EZJ6" i="7"/>
  <c r="EZK6" i="7"/>
  <c r="EZL6" i="7"/>
  <c r="EZM6" i="7"/>
  <c r="EZN6" i="7"/>
  <c r="EZO6" i="7"/>
  <c r="EZP6" i="7"/>
  <c r="EZQ6" i="7"/>
  <c r="EZR6" i="7"/>
  <c r="EZS6" i="7"/>
  <c r="EZT6" i="7"/>
  <c r="EZU6" i="7"/>
  <c r="EZV6" i="7"/>
  <c r="EZW6" i="7"/>
  <c r="EZX6" i="7"/>
  <c r="EZY6" i="7"/>
  <c r="EZZ6" i="7"/>
  <c r="FAA6" i="7"/>
  <c r="FAB6" i="7"/>
  <c r="FAC6" i="7"/>
  <c r="FAD6" i="7"/>
  <c r="FAE6" i="7"/>
  <c r="FAF6" i="7"/>
  <c r="FAG6" i="7"/>
  <c r="FAH6" i="7"/>
  <c r="FAI6" i="7"/>
  <c r="FAJ6" i="7"/>
  <c r="FAK6" i="7"/>
  <c r="FAL6" i="7"/>
  <c r="FAM6" i="7"/>
  <c r="FAN6" i="7"/>
  <c r="FAO6" i="7"/>
  <c r="FAP6" i="7"/>
  <c r="FAQ6" i="7"/>
  <c r="FAR6" i="7"/>
  <c r="FAS6" i="7"/>
  <c r="FAT6" i="7"/>
  <c r="FAU6" i="7"/>
  <c r="FAV6" i="7"/>
  <c r="FAW6" i="7"/>
  <c r="FAX6" i="7"/>
  <c r="FAY6" i="7"/>
  <c r="FAZ6" i="7"/>
  <c r="FBA6" i="7"/>
  <c r="FBB6" i="7"/>
  <c r="FBC6" i="7"/>
  <c r="FBD6" i="7"/>
  <c r="FBE6" i="7"/>
  <c r="FBF6" i="7"/>
  <c r="FBG6" i="7"/>
  <c r="FBH6" i="7"/>
  <c r="FBI6" i="7"/>
  <c r="FBJ6" i="7"/>
  <c r="FBK6" i="7"/>
  <c r="FBL6" i="7"/>
  <c r="FBM6" i="7"/>
  <c r="FBN6" i="7"/>
  <c r="FBO6" i="7"/>
  <c r="FBP6" i="7"/>
  <c r="FBQ6" i="7"/>
  <c r="FBR6" i="7"/>
  <c r="FBS6" i="7"/>
  <c r="FBT6" i="7"/>
  <c r="FBU6" i="7"/>
  <c r="FBV6" i="7"/>
  <c r="FBW6" i="7"/>
  <c r="FBX6" i="7"/>
  <c r="FBY6" i="7"/>
  <c r="FBZ6" i="7"/>
  <c r="FCA6" i="7"/>
  <c r="FCB6" i="7"/>
  <c r="FCC6" i="7"/>
  <c r="FCD6" i="7"/>
  <c r="FCE6" i="7"/>
  <c r="FCF6" i="7"/>
  <c r="FCG6" i="7"/>
  <c r="FCH6" i="7"/>
  <c r="FCI6" i="7"/>
  <c r="FCJ6" i="7"/>
  <c r="FCK6" i="7"/>
  <c r="FCL6" i="7"/>
  <c r="FCM6" i="7"/>
  <c r="FCN6" i="7"/>
  <c r="FCO6" i="7"/>
  <c r="FCP6" i="7"/>
  <c r="FCQ6" i="7"/>
  <c r="FCR6" i="7"/>
  <c r="FCS6" i="7"/>
  <c r="FCT6" i="7"/>
  <c r="FCU6" i="7"/>
  <c r="FCV6" i="7"/>
  <c r="FCW6" i="7"/>
  <c r="FCX6" i="7"/>
  <c r="FCY6" i="7"/>
  <c r="FCZ6" i="7"/>
  <c r="FDA6" i="7"/>
  <c r="FDB6" i="7"/>
  <c r="FDC6" i="7"/>
  <c r="FDD6" i="7"/>
  <c r="FDE6" i="7"/>
  <c r="FDF6" i="7"/>
  <c r="FDG6" i="7"/>
  <c r="FDH6" i="7"/>
  <c r="FDI6" i="7"/>
  <c r="FDJ6" i="7"/>
  <c r="FDK6" i="7"/>
  <c r="FDL6" i="7"/>
  <c r="FDM6" i="7"/>
  <c r="FDN6" i="7"/>
  <c r="FDO6" i="7"/>
  <c r="FDP6" i="7"/>
  <c r="FDQ6" i="7"/>
  <c r="FDR6" i="7"/>
  <c r="FDS6" i="7"/>
  <c r="FDT6" i="7"/>
  <c r="FDU6" i="7"/>
  <c r="FDV6" i="7"/>
  <c r="FDW6" i="7"/>
  <c r="FDX6" i="7"/>
  <c r="FDY6" i="7"/>
  <c r="FDZ6" i="7"/>
  <c r="FEA6" i="7"/>
  <c r="FEB6" i="7"/>
  <c r="FEC6" i="7"/>
  <c r="FED6" i="7"/>
  <c r="FEE6" i="7"/>
  <c r="FEF6" i="7"/>
  <c r="FEG6" i="7"/>
  <c r="FEH6" i="7"/>
  <c r="FEI6" i="7"/>
  <c r="FEJ6" i="7"/>
  <c r="FEK6" i="7"/>
  <c r="FEL6" i="7"/>
  <c r="FEM6" i="7"/>
  <c r="FEN6" i="7"/>
  <c r="FEO6" i="7"/>
  <c r="FEP6" i="7"/>
  <c r="FEQ6" i="7"/>
  <c r="FER6" i="7"/>
  <c r="FES6" i="7"/>
  <c r="FET6" i="7"/>
  <c r="FEU6" i="7"/>
  <c r="FEV6" i="7"/>
  <c r="FEW6" i="7"/>
  <c r="FEX6" i="7"/>
  <c r="FEY6" i="7"/>
  <c r="FEZ6" i="7"/>
  <c r="FFA6" i="7"/>
  <c r="FFB6" i="7"/>
  <c r="FFC6" i="7"/>
  <c r="FFD6" i="7"/>
  <c r="FFE6" i="7"/>
  <c r="FFF6" i="7"/>
  <c r="FFG6" i="7"/>
  <c r="FFH6" i="7"/>
  <c r="FFI6" i="7"/>
  <c r="FFJ6" i="7"/>
  <c r="FFK6" i="7"/>
  <c r="FFL6" i="7"/>
  <c r="FFM6" i="7"/>
  <c r="FFN6" i="7"/>
  <c r="FFO6" i="7"/>
  <c r="FFP6" i="7"/>
  <c r="FFQ6" i="7"/>
  <c r="FFR6" i="7"/>
  <c r="FFS6" i="7"/>
  <c r="FFT6" i="7"/>
  <c r="FFU6" i="7"/>
  <c r="FFV6" i="7"/>
  <c r="FFW6" i="7"/>
  <c r="FFX6" i="7"/>
  <c r="FFY6" i="7"/>
  <c r="FFZ6" i="7"/>
  <c r="FGA6" i="7"/>
  <c r="FGB6" i="7"/>
  <c r="FGC6" i="7"/>
  <c r="FGD6" i="7"/>
  <c r="FGE6" i="7"/>
  <c r="FGF6" i="7"/>
  <c r="FGG6" i="7"/>
  <c r="FGH6" i="7"/>
  <c r="FGI6" i="7"/>
  <c r="FGJ6" i="7"/>
  <c r="FGK6" i="7"/>
  <c r="FGL6" i="7"/>
  <c r="FGM6" i="7"/>
  <c r="FGN6" i="7"/>
  <c r="FGO6" i="7"/>
  <c r="FGP6" i="7"/>
  <c r="FGQ6" i="7"/>
  <c r="FGR6" i="7"/>
  <c r="FGS6" i="7"/>
  <c r="FGT6" i="7"/>
  <c r="FGU6" i="7"/>
  <c r="FGV6" i="7"/>
  <c r="FGW6" i="7"/>
  <c r="FGX6" i="7"/>
  <c r="FGY6" i="7"/>
  <c r="FGZ6" i="7"/>
  <c r="FHA6" i="7"/>
  <c r="FHB6" i="7"/>
  <c r="FHC6" i="7"/>
  <c r="FHD6" i="7"/>
  <c r="FHE6" i="7"/>
  <c r="FHF6" i="7"/>
  <c r="FHG6" i="7"/>
  <c r="FHH6" i="7"/>
  <c r="FHI6" i="7"/>
  <c r="FHJ6" i="7"/>
  <c r="FHK6" i="7"/>
  <c r="FHL6" i="7"/>
  <c r="FHM6" i="7"/>
  <c r="FHN6" i="7"/>
  <c r="FHO6" i="7"/>
  <c r="FHP6" i="7"/>
  <c r="FHQ6" i="7"/>
  <c r="FHR6" i="7"/>
  <c r="FHS6" i="7"/>
  <c r="FHT6" i="7"/>
  <c r="FHU6" i="7"/>
  <c r="FHV6" i="7"/>
  <c r="FHW6" i="7"/>
  <c r="FHX6" i="7"/>
  <c r="FHY6" i="7"/>
  <c r="FHZ6" i="7"/>
  <c r="FIA6" i="7"/>
  <c r="FIB6" i="7"/>
  <c r="FIC6" i="7"/>
  <c r="FID6" i="7"/>
  <c r="FIE6" i="7"/>
  <c r="FIF6" i="7"/>
  <c r="FIG6" i="7"/>
  <c r="FIH6" i="7"/>
  <c r="FII6" i="7"/>
  <c r="FIJ6" i="7"/>
  <c r="FIK6" i="7"/>
  <c r="FIL6" i="7"/>
  <c r="FIM6" i="7"/>
  <c r="FIN6" i="7"/>
  <c r="FIO6" i="7"/>
  <c r="FIP6" i="7"/>
  <c r="FIQ6" i="7"/>
  <c r="FIR6" i="7"/>
  <c r="FIS6" i="7"/>
  <c r="FIT6" i="7"/>
  <c r="FIU6" i="7"/>
  <c r="FIV6" i="7"/>
  <c r="FIW6" i="7"/>
  <c r="FIX6" i="7"/>
  <c r="FIY6" i="7"/>
  <c r="FIZ6" i="7"/>
  <c r="FJA6" i="7"/>
  <c r="FJB6" i="7"/>
  <c r="FJC6" i="7"/>
  <c r="FJD6" i="7"/>
  <c r="FJE6" i="7"/>
  <c r="FJF6" i="7"/>
  <c r="FJG6" i="7"/>
  <c r="FJH6" i="7"/>
  <c r="FJI6" i="7"/>
  <c r="FJJ6" i="7"/>
  <c r="FJK6" i="7"/>
  <c r="FJL6" i="7"/>
  <c r="FJM6" i="7"/>
  <c r="FJN6" i="7"/>
  <c r="FJO6" i="7"/>
  <c r="FJP6" i="7"/>
  <c r="FJQ6" i="7"/>
  <c r="FJR6" i="7"/>
  <c r="FJS6" i="7"/>
  <c r="FJT6" i="7"/>
  <c r="FJU6" i="7"/>
  <c r="FJV6" i="7"/>
  <c r="FJW6" i="7"/>
  <c r="FJX6" i="7"/>
  <c r="FJY6" i="7"/>
  <c r="FJZ6" i="7"/>
  <c r="FKA6" i="7"/>
  <c r="FKB6" i="7"/>
  <c r="FKC6" i="7"/>
  <c r="FKD6" i="7"/>
  <c r="FKE6" i="7"/>
  <c r="FKF6" i="7"/>
  <c r="FKG6" i="7"/>
  <c r="FKH6" i="7"/>
  <c r="FKI6" i="7"/>
  <c r="FKJ6" i="7"/>
  <c r="FKK6" i="7"/>
  <c r="FKL6" i="7"/>
  <c r="FKM6" i="7"/>
  <c r="FKN6" i="7"/>
  <c r="FKO6" i="7"/>
  <c r="FKP6" i="7"/>
  <c r="FKQ6" i="7"/>
  <c r="FKR6" i="7"/>
  <c r="FKS6" i="7"/>
  <c r="FKT6" i="7"/>
  <c r="FKU6" i="7"/>
  <c r="FKV6" i="7"/>
  <c r="FKW6" i="7"/>
  <c r="FKX6" i="7"/>
  <c r="FKY6" i="7"/>
  <c r="FKZ6" i="7"/>
  <c r="FLA6" i="7"/>
  <c r="FLB6" i="7"/>
  <c r="FLC6" i="7"/>
  <c r="FLD6" i="7"/>
  <c r="FLE6" i="7"/>
  <c r="FLF6" i="7"/>
  <c r="FLG6" i="7"/>
  <c r="FLH6" i="7"/>
  <c r="FLI6" i="7"/>
  <c r="FLJ6" i="7"/>
  <c r="FLK6" i="7"/>
  <c r="FLL6" i="7"/>
  <c r="FLM6" i="7"/>
  <c r="FLN6" i="7"/>
  <c r="FLO6" i="7"/>
  <c r="FLP6" i="7"/>
  <c r="FLQ6" i="7"/>
  <c r="FLR6" i="7"/>
  <c r="FLS6" i="7"/>
  <c r="FLT6" i="7"/>
  <c r="FLU6" i="7"/>
  <c r="FLV6" i="7"/>
  <c r="FLW6" i="7"/>
  <c r="FLX6" i="7"/>
  <c r="FLY6" i="7"/>
  <c r="FLZ6" i="7"/>
  <c r="FMA6" i="7"/>
  <c r="FMB6" i="7"/>
  <c r="FMC6" i="7"/>
  <c r="FMD6" i="7"/>
  <c r="FME6" i="7"/>
  <c r="FMF6" i="7"/>
  <c r="FMG6" i="7"/>
  <c r="FMH6" i="7"/>
  <c r="FMI6" i="7"/>
  <c r="FMJ6" i="7"/>
  <c r="FMK6" i="7"/>
  <c r="FML6" i="7"/>
  <c r="FMM6" i="7"/>
  <c r="FMN6" i="7"/>
  <c r="FMO6" i="7"/>
  <c r="FMP6" i="7"/>
  <c r="FMQ6" i="7"/>
  <c r="FMR6" i="7"/>
  <c r="FMS6" i="7"/>
  <c r="FMT6" i="7"/>
  <c r="FMU6" i="7"/>
  <c r="FMV6" i="7"/>
  <c r="FMW6" i="7"/>
  <c r="FMX6" i="7"/>
  <c r="FMY6" i="7"/>
  <c r="FMZ6" i="7"/>
  <c r="FNA6" i="7"/>
  <c r="FNB6" i="7"/>
  <c r="FNC6" i="7"/>
  <c r="FND6" i="7"/>
  <c r="FNE6" i="7"/>
  <c r="FNF6" i="7"/>
  <c r="FNG6" i="7"/>
  <c r="FNH6" i="7"/>
  <c r="FNI6" i="7"/>
  <c r="FNJ6" i="7"/>
  <c r="FNK6" i="7"/>
  <c r="FNL6" i="7"/>
  <c r="FNM6" i="7"/>
  <c r="FNN6" i="7"/>
  <c r="FNO6" i="7"/>
  <c r="FNP6" i="7"/>
  <c r="FNQ6" i="7"/>
  <c r="FNR6" i="7"/>
  <c r="FNS6" i="7"/>
  <c r="FNT6" i="7"/>
  <c r="FNU6" i="7"/>
  <c r="FNV6" i="7"/>
  <c r="FNW6" i="7"/>
  <c r="FNX6" i="7"/>
  <c r="FNY6" i="7"/>
  <c r="FNZ6" i="7"/>
  <c r="FOA6" i="7"/>
  <c r="FOB6" i="7"/>
  <c r="FOC6" i="7"/>
  <c r="FOD6" i="7"/>
  <c r="FOE6" i="7"/>
  <c r="FOF6" i="7"/>
  <c r="FOG6" i="7"/>
  <c r="FOH6" i="7"/>
  <c r="FOI6" i="7"/>
  <c r="FOJ6" i="7"/>
  <c r="FOK6" i="7"/>
  <c r="FOL6" i="7"/>
  <c r="FOM6" i="7"/>
  <c r="FON6" i="7"/>
  <c r="FOO6" i="7"/>
  <c r="FOP6" i="7"/>
  <c r="FOQ6" i="7"/>
  <c r="FOR6" i="7"/>
  <c r="FOS6" i="7"/>
  <c r="FOT6" i="7"/>
  <c r="FOU6" i="7"/>
  <c r="FOV6" i="7"/>
  <c r="FOW6" i="7"/>
  <c r="FOX6" i="7"/>
  <c r="FOY6" i="7"/>
  <c r="FOZ6" i="7"/>
  <c r="FPA6" i="7"/>
  <c r="FPB6" i="7"/>
  <c r="FPC6" i="7"/>
  <c r="FPD6" i="7"/>
  <c r="FPE6" i="7"/>
  <c r="FPF6" i="7"/>
  <c r="FPG6" i="7"/>
  <c r="FPH6" i="7"/>
  <c r="FPI6" i="7"/>
  <c r="FPJ6" i="7"/>
  <c r="FPK6" i="7"/>
  <c r="FPL6" i="7"/>
  <c r="FPM6" i="7"/>
  <c r="FPN6" i="7"/>
  <c r="FPO6" i="7"/>
  <c r="FPP6" i="7"/>
  <c r="FPQ6" i="7"/>
  <c r="FPR6" i="7"/>
  <c r="FPS6" i="7"/>
  <c r="FPT6" i="7"/>
  <c r="FPU6" i="7"/>
  <c r="FPV6" i="7"/>
  <c r="FPW6" i="7"/>
  <c r="FPX6" i="7"/>
  <c r="FPY6" i="7"/>
  <c r="FPZ6" i="7"/>
  <c r="FQA6" i="7"/>
  <c r="FQB6" i="7"/>
  <c r="FQC6" i="7"/>
  <c r="FQD6" i="7"/>
  <c r="FQE6" i="7"/>
  <c r="FQF6" i="7"/>
  <c r="FQG6" i="7"/>
  <c r="FQH6" i="7"/>
  <c r="FQI6" i="7"/>
  <c r="FQJ6" i="7"/>
  <c r="FQK6" i="7"/>
  <c r="FQL6" i="7"/>
  <c r="FQM6" i="7"/>
  <c r="FQN6" i="7"/>
  <c r="FQO6" i="7"/>
  <c r="FQP6" i="7"/>
  <c r="FQQ6" i="7"/>
  <c r="FQR6" i="7"/>
  <c r="FQS6" i="7"/>
  <c r="FQT6" i="7"/>
  <c r="FQU6" i="7"/>
  <c r="FQV6" i="7"/>
  <c r="FQW6" i="7"/>
  <c r="FQX6" i="7"/>
  <c r="FQY6" i="7"/>
  <c r="FQZ6" i="7"/>
  <c r="FRA6" i="7"/>
  <c r="FRB6" i="7"/>
  <c r="FRC6" i="7"/>
  <c r="FRD6" i="7"/>
  <c r="FRE6" i="7"/>
  <c r="FRF6" i="7"/>
  <c r="FRG6" i="7"/>
  <c r="FRH6" i="7"/>
  <c r="FRI6" i="7"/>
  <c r="FRJ6" i="7"/>
  <c r="FRK6" i="7"/>
  <c r="FRL6" i="7"/>
  <c r="FRM6" i="7"/>
  <c r="FRN6" i="7"/>
  <c r="FRO6" i="7"/>
  <c r="FRP6" i="7"/>
  <c r="FRQ6" i="7"/>
  <c r="FRR6" i="7"/>
  <c r="FRS6" i="7"/>
  <c r="FRT6" i="7"/>
  <c r="FRU6" i="7"/>
  <c r="FRV6" i="7"/>
  <c r="FRW6" i="7"/>
  <c r="FRX6" i="7"/>
  <c r="FRY6" i="7"/>
  <c r="FRZ6" i="7"/>
  <c r="FSA6" i="7"/>
  <c r="FSB6" i="7"/>
  <c r="FSC6" i="7"/>
  <c r="FSD6" i="7"/>
  <c r="FSE6" i="7"/>
  <c r="FSF6" i="7"/>
  <c r="FSG6" i="7"/>
  <c r="FSH6" i="7"/>
  <c r="FSI6" i="7"/>
  <c r="FSJ6" i="7"/>
  <c r="FSK6" i="7"/>
  <c r="FSL6" i="7"/>
  <c r="FSM6" i="7"/>
  <c r="FSN6" i="7"/>
  <c r="FSO6" i="7"/>
  <c r="FSP6" i="7"/>
  <c r="FSQ6" i="7"/>
  <c r="FSR6" i="7"/>
  <c r="FSS6" i="7"/>
  <c r="FST6" i="7"/>
  <c r="FSU6" i="7"/>
  <c r="FSV6" i="7"/>
  <c r="FSW6" i="7"/>
  <c r="FSX6" i="7"/>
  <c r="FSY6" i="7"/>
  <c r="FSZ6" i="7"/>
  <c r="FTA6" i="7"/>
  <c r="FTB6" i="7"/>
  <c r="FTC6" i="7"/>
  <c r="FTD6" i="7"/>
  <c r="FTE6" i="7"/>
  <c r="FTF6" i="7"/>
  <c r="FTG6" i="7"/>
  <c r="FTH6" i="7"/>
  <c r="FTI6" i="7"/>
  <c r="FTJ6" i="7"/>
  <c r="FTK6" i="7"/>
  <c r="FTL6" i="7"/>
  <c r="FTM6" i="7"/>
  <c r="FTN6" i="7"/>
  <c r="FTO6" i="7"/>
  <c r="FTP6" i="7"/>
  <c r="FTQ6" i="7"/>
  <c r="FTR6" i="7"/>
  <c r="FTS6" i="7"/>
  <c r="FTT6" i="7"/>
  <c r="FTU6" i="7"/>
  <c r="FTV6" i="7"/>
  <c r="FTW6" i="7"/>
  <c r="FTX6" i="7"/>
  <c r="FTY6" i="7"/>
  <c r="FTZ6" i="7"/>
  <c r="FUA6" i="7"/>
  <c r="FUB6" i="7"/>
  <c r="FUC6" i="7"/>
  <c r="FUD6" i="7"/>
  <c r="FUE6" i="7"/>
  <c r="FUF6" i="7"/>
  <c r="FUG6" i="7"/>
  <c r="FUH6" i="7"/>
  <c r="FUI6" i="7"/>
  <c r="FUJ6" i="7"/>
  <c r="FUK6" i="7"/>
  <c r="FUL6" i="7"/>
  <c r="FUM6" i="7"/>
  <c r="FUN6" i="7"/>
  <c r="FUO6" i="7"/>
  <c r="FUP6" i="7"/>
  <c r="FUQ6" i="7"/>
  <c r="FUR6" i="7"/>
  <c r="FUS6" i="7"/>
  <c r="FUT6" i="7"/>
  <c r="FUU6" i="7"/>
  <c r="FUV6" i="7"/>
  <c r="FUW6" i="7"/>
  <c r="FUX6" i="7"/>
  <c r="FUY6" i="7"/>
  <c r="FUZ6" i="7"/>
  <c r="FVA6" i="7"/>
  <c r="FVB6" i="7"/>
  <c r="FVC6" i="7"/>
  <c r="FVD6" i="7"/>
  <c r="FVE6" i="7"/>
  <c r="FVF6" i="7"/>
  <c r="FVG6" i="7"/>
  <c r="FVH6" i="7"/>
  <c r="FVI6" i="7"/>
  <c r="FVJ6" i="7"/>
  <c r="FVK6" i="7"/>
  <c r="FVL6" i="7"/>
  <c r="FVM6" i="7"/>
  <c r="FVN6" i="7"/>
  <c r="FVO6" i="7"/>
  <c r="FVP6" i="7"/>
  <c r="FVQ6" i="7"/>
  <c r="FVR6" i="7"/>
  <c r="FVS6" i="7"/>
  <c r="FVT6" i="7"/>
  <c r="FVU6" i="7"/>
  <c r="FVV6" i="7"/>
  <c r="FVW6" i="7"/>
  <c r="FVX6" i="7"/>
  <c r="FVY6" i="7"/>
  <c r="FVZ6" i="7"/>
  <c r="FWA6" i="7"/>
  <c r="FWB6" i="7"/>
  <c r="FWC6" i="7"/>
  <c r="FWD6" i="7"/>
  <c r="FWE6" i="7"/>
  <c r="FWF6" i="7"/>
  <c r="FWG6" i="7"/>
  <c r="FWH6" i="7"/>
  <c r="FWI6" i="7"/>
  <c r="FWJ6" i="7"/>
  <c r="FWK6" i="7"/>
  <c r="FWL6" i="7"/>
  <c r="FWM6" i="7"/>
  <c r="FWN6" i="7"/>
  <c r="FWO6" i="7"/>
  <c r="FWP6" i="7"/>
  <c r="FWQ6" i="7"/>
  <c r="FWR6" i="7"/>
  <c r="FWS6" i="7"/>
  <c r="FWT6" i="7"/>
  <c r="FWU6" i="7"/>
  <c r="FWV6" i="7"/>
  <c r="FWW6" i="7"/>
  <c r="FWX6" i="7"/>
  <c r="FWY6" i="7"/>
  <c r="FWZ6" i="7"/>
  <c r="FXA6" i="7"/>
  <c r="FXB6" i="7"/>
  <c r="FXC6" i="7"/>
  <c r="FXD6" i="7"/>
  <c r="FXE6" i="7"/>
  <c r="FXF6" i="7"/>
  <c r="FXG6" i="7"/>
  <c r="FXH6" i="7"/>
  <c r="FXI6" i="7"/>
  <c r="FXJ6" i="7"/>
  <c r="FXK6" i="7"/>
  <c r="FXL6" i="7"/>
  <c r="FXM6" i="7"/>
  <c r="FXN6" i="7"/>
  <c r="FXO6" i="7"/>
  <c r="FXP6" i="7"/>
  <c r="FXQ6" i="7"/>
  <c r="FXR6" i="7"/>
  <c r="FXS6" i="7"/>
  <c r="FXT6" i="7"/>
  <c r="FXU6" i="7"/>
  <c r="FXV6" i="7"/>
  <c r="FXW6" i="7"/>
  <c r="FXX6" i="7"/>
  <c r="FXY6" i="7"/>
  <c r="FXZ6" i="7"/>
  <c r="FYA6" i="7"/>
  <c r="FYB6" i="7"/>
  <c r="FYC6" i="7"/>
  <c r="FYD6" i="7"/>
  <c r="FYE6" i="7"/>
  <c r="FYF6" i="7"/>
  <c r="FYG6" i="7"/>
  <c r="FYH6" i="7"/>
  <c r="FYI6" i="7"/>
  <c r="FYJ6" i="7"/>
  <c r="FYK6" i="7"/>
  <c r="FYL6" i="7"/>
  <c r="FYM6" i="7"/>
  <c r="FYN6" i="7"/>
  <c r="FYO6" i="7"/>
  <c r="FYP6" i="7"/>
  <c r="FYQ6" i="7"/>
  <c r="FYR6" i="7"/>
  <c r="FYS6" i="7"/>
  <c r="FYT6" i="7"/>
  <c r="FYU6" i="7"/>
  <c r="FYV6" i="7"/>
  <c r="FYW6" i="7"/>
  <c r="FYX6" i="7"/>
  <c r="FYY6" i="7"/>
  <c r="FYZ6" i="7"/>
  <c r="FZA6" i="7"/>
  <c r="FZB6" i="7"/>
  <c r="FZC6" i="7"/>
  <c r="FZD6" i="7"/>
  <c r="FZE6" i="7"/>
  <c r="FZF6" i="7"/>
  <c r="FZG6" i="7"/>
  <c r="FZH6" i="7"/>
  <c r="FZI6" i="7"/>
  <c r="FZJ6" i="7"/>
  <c r="FZK6" i="7"/>
  <c r="FZL6" i="7"/>
  <c r="FZM6" i="7"/>
  <c r="FZN6" i="7"/>
  <c r="FZO6" i="7"/>
  <c r="FZP6" i="7"/>
  <c r="FZQ6" i="7"/>
  <c r="FZR6" i="7"/>
  <c r="FZS6" i="7"/>
  <c r="FZT6" i="7"/>
  <c r="FZU6" i="7"/>
  <c r="FZV6" i="7"/>
  <c r="FZW6" i="7"/>
  <c r="FZX6" i="7"/>
  <c r="FZY6" i="7"/>
  <c r="FZZ6" i="7"/>
  <c r="GAA6" i="7"/>
  <c r="GAB6" i="7"/>
  <c r="GAC6" i="7"/>
  <c r="GAD6" i="7"/>
  <c r="GAE6" i="7"/>
  <c r="GAF6" i="7"/>
  <c r="GAG6" i="7"/>
  <c r="GAH6" i="7"/>
  <c r="GAI6" i="7"/>
  <c r="GAJ6" i="7"/>
  <c r="GAK6" i="7"/>
  <c r="GAL6" i="7"/>
  <c r="GAM6" i="7"/>
  <c r="GAN6" i="7"/>
  <c r="GAO6" i="7"/>
  <c r="GAP6" i="7"/>
  <c r="GAQ6" i="7"/>
  <c r="GAR6" i="7"/>
  <c r="GAS6" i="7"/>
  <c r="GAT6" i="7"/>
  <c r="GAU6" i="7"/>
  <c r="GAV6" i="7"/>
  <c r="GAW6" i="7"/>
  <c r="GAX6" i="7"/>
  <c r="GAY6" i="7"/>
  <c r="GAZ6" i="7"/>
  <c r="GBA6" i="7"/>
  <c r="GBB6" i="7"/>
  <c r="GBC6" i="7"/>
  <c r="GBD6" i="7"/>
  <c r="GBE6" i="7"/>
  <c r="GBF6" i="7"/>
  <c r="GBG6" i="7"/>
  <c r="GBH6" i="7"/>
  <c r="GBI6" i="7"/>
  <c r="GBJ6" i="7"/>
  <c r="GBK6" i="7"/>
  <c r="GBL6" i="7"/>
  <c r="GBM6" i="7"/>
  <c r="GBN6" i="7"/>
  <c r="GBO6" i="7"/>
  <c r="GBP6" i="7"/>
  <c r="GBQ6" i="7"/>
  <c r="GBR6" i="7"/>
  <c r="GBS6" i="7"/>
  <c r="GBT6" i="7"/>
  <c r="GBU6" i="7"/>
  <c r="GBV6" i="7"/>
  <c r="GBW6" i="7"/>
  <c r="GBX6" i="7"/>
  <c r="GBY6" i="7"/>
  <c r="GBZ6" i="7"/>
  <c r="GCA6" i="7"/>
  <c r="GCB6" i="7"/>
  <c r="GCC6" i="7"/>
  <c r="GCD6" i="7"/>
  <c r="GCE6" i="7"/>
  <c r="GCF6" i="7"/>
  <c r="GCG6" i="7"/>
  <c r="GCH6" i="7"/>
  <c r="GCI6" i="7"/>
  <c r="GCJ6" i="7"/>
  <c r="GCK6" i="7"/>
  <c r="GCL6" i="7"/>
  <c r="GCM6" i="7"/>
  <c r="GCN6" i="7"/>
  <c r="GCO6" i="7"/>
  <c r="GCP6" i="7"/>
  <c r="GCQ6" i="7"/>
  <c r="GCR6" i="7"/>
  <c r="GCS6" i="7"/>
  <c r="GCT6" i="7"/>
  <c r="GCU6" i="7"/>
  <c r="GCV6" i="7"/>
  <c r="GCW6" i="7"/>
  <c r="GCX6" i="7"/>
  <c r="GCY6" i="7"/>
  <c r="GCZ6" i="7"/>
  <c r="GDA6" i="7"/>
  <c r="GDB6" i="7"/>
  <c r="GDC6" i="7"/>
  <c r="GDD6" i="7"/>
  <c r="GDE6" i="7"/>
  <c r="GDF6" i="7"/>
  <c r="GDG6" i="7"/>
  <c r="GDH6" i="7"/>
  <c r="GDI6" i="7"/>
  <c r="GDJ6" i="7"/>
  <c r="GDK6" i="7"/>
  <c r="GDL6" i="7"/>
  <c r="GDM6" i="7"/>
  <c r="GDN6" i="7"/>
  <c r="GDO6" i="7"/>
  <c r="GDP6" i="7"/>
  <c r="GDQ6" i="7"/>
  <c r="GDR6" i="7"/>
  <c r="GDS6" i="7"/>
  <c r="GDT6" i="7"/>
  <c r="GDU6" i="7"/>
  <c r="GDV6" i="7"/>
  <c r="GDW6" i="7"/>
  <c r="GDX6" i="7"/>
  <c r="GDY6" i="7"/>
  <c r="GDZ6" i="7"/>
  <c r="GEA6" i="7"/>
  <c r="GEB6" i="7"/>
  <c r="GEC6" i="7"/>
  <c r="GED6" i="7"/>
  <c r="GEE6" i="7"/>
  <c r="GEF6" i="7"/>
  <c r="GEG6" i="7"/>
  <c r="GEH6" i="7"/>
  <c r="GEI6" i="7"/>
  <c r="GEJ6" i="7"/>
  <c r="GEK6" i="7"/>
  <c r="GEL6" i="7"/>
  <c r="GEM6" i="7"/>
  <c r="GEN6" i="7"/>
  <c r="GEO6" i="7"/>
  <c r="GEP6" i="7"/>
  <c r="GEQ6" i="7"/>
  <c r="GER6" i="7"/>
  <c r="GES6" i="7"/>
  <c r="GET6" i="7"/>
  <c r="GEU6" i="7"/>
  <c r="GEV6" i="7"/>
  <c r="GEW6" i="7"/>
  <c r="GEX6" i="7"/>
  <c r="GEY6" i="7"/>
  <c r="GEZ6" i="7"/>
  <c r="GFA6" i="7"/>
  <c r="GFB6" i="7"/>
  <c r="GFC6" i="7"/>
  <c r="GFD6" i="7"/>
  <c r="GFE6" i="7"/>
  <c r="GFF6" i="7"/>
  <c r="GFG6" i="7"/>
  <c r="GFH6" i="7"/>
  <c r="GFI6" i="7"/>
  <c r="GFJ6" i="7"/>
  <c r="GFK6" i="7"/>
  <c r="GFL6" i="7"/>
  <c r="GFM6" i="7"/>
  <c r="GFN6" i="7"/>
  <c r="GFO6" i="7"/>
  <c r="GFP6" i="7"/>
  <c r="GFQ6" i="7"/>
  <c r="GFR6" i="7"/>
  <c r="GFS6" i="7"/>
  <c r="GFT6" i="7"/>
  <c r="GFU6" i="7"/>
  <c r="GFV6" i="7"/>
  <c r="GFW6" i="7"/>
  <c r="GFX6" i="7"/>
  <c r="GFY6" i="7"/>
  <c r="GFZ6" i="7"/>
  <c r="GGA6" i="7"/>
  <c r="GGB6" i="7"/>
  <c r="GGC6" i="7"/>
  <c r="GGD6" i="7"/>
  <c r="GGE6" i="7"/>
  <c r="GGF6" i="7"/>
  <c r="GGG6" i="7"/>
  <c r="GGH6" i="7"/>
  <c r="GGI6" i="7"/>
  <c r="GGJ6" i="7"/>
  <c r="GGK6" i="7"/>
  <c r="GGL6" i="7"/>
  <c r="GGM6" i="7"/>
  <c r="GGN6" i="7"/>
  <c r="GGO6" i="7"/>
  <c r="GGP6" i="7"/>
  <c r="GGQ6" i="7"/>
  <c r="GGR6" i="7"/>
  <c r="GGS6" i="7"/>
  <c r="GGT6" i="7"/>
  <c r="GGU6" i="7"/>
  <c r="GGV6" i="7"/>
  <c r="GGW6" i="7"/>
  <c r="GGX6" i="7"/>
  <c r="GGY6" i="7"/>
  <c r="GGZ6" i="7"/>
  <c r="GHA6" i="7"/>
  <c r="GHB6" i="7"/>
  <c r="GHC6" i="7"/>
  <c r="GHD6" i="7"/>
  <c r="GHE6" i="7"/>
  <c r="GHF6" i="7"/>
  <c r="GHG6" i="7"/>
  <c r="GHH6" i="7"/>
  <c r="GHI6" i="7"/>
  <c r="GHJ6" i="7"/>
  <c r="GHK6" i="7"/>
  <c r="GHL6" i="7"/>
  <c r="GHM6" i="7"/>
  <c r="GHN6" i="7"/>
  <c r="GHO6" i="7"/>
  <c r="GHP6" i="7"/>
  <c r="GHQ6" i="7"/>
  <c r="GHR6" i="7"/>
  <c r="GHS6" i="7"/>
  <c r="GHT6" i="7"/>
  <c r="GHU6" i="7"/>
  <c r="GHV6" i="7"/>
  <c r="GHW6" i="7"/>
  <c r="GHX6" i="7"/>
  <c r="GHY6" i="7"/>
  <c r="GHZ6" i="7"/>
  <c r="GIA6" i="7"/>
  <c r="GIB6" i="7"/>
  <c r="GIC6" i="7"/>
  <c r="GID6" i="7"/>
  <c r="GIE6" i="7"/>
  <c r="GIF6" i="7"/>
  <c r="GIG6" i="7"/>
  <c r="GIH6" i="7"/>
  <c r="GII6" i="7"/>
  <c r="GIJ6" i="7"/>
  <c r="GIK6" i="7"/>
  <c r="GIL6" i="7"/>
  <c r="GIM6" i="7"/>
  <c r="GIN6" i="7"/>
  <c r="GIO6" i="7"/>
  <c r="GIP6" i="7"/>
  <c r="GIQ6" i="7"/>
  <c r="GIR6" i="7"/>
  <c r="GIS6" i="7"/>
  <c r="GIT6" i="7"/>
  <c r="GIU6" i="7"/>
  <c r="GIV6" i="7"/>
  <c r="GIW6" i="7"/>
  <c r="GIX6" i="7"/>
  <c r="GIY6" i="7"/>
  <c r="GIZ6" i="7"/>
  <c r="GJA6" i="7"/>
  <c r="GJB6" i="7"/>
  <c r="GJC6" i="7"/>
  <c r="GJD6" i="7"/>
  <c r="GJE6" i="7"/>
  <c r="GJF6" i="7"/>
  <c r="GJG6" i="7"/>
  <c r="GJH6" i="7"/>
  <c r="GJI6" i="7"/>
  <c r="GJJ6" i="7"/>
  <c r="GJK6" i="7"/>
  <c r="GJL6" i="7"/>
  <c r="GJM6" i="7"/>
  <c r="GJN6" i="7"/>
  <c r="GJO6" i="7"/>
  <c r="GJP6" i="7"/>
  <c r="GJQ6" i="7"/>
  <c r="GJR6" i="7"/>
  <c r="GJS6" i="7"/>
  <c r="GJT6" i="7"/>
  <c r="GJU6" i="7"/>
  <c r="GJV6" i="7"/>
  <c r="GJW6" i="7"/>
  <c r="GJX6" i="7"/>
  <c r="GJY6" i="7"/>
  <c r="GJZ6" i="7"/>
  <c r="GKA6" i="7"/>
  <c r="GKB6" i="7"/>
  <c r="GKC6" i="7"/>
  <c r="GKD6" i="7"/>
  <c r="GKE6" i="7"/>
  <c r="GKF6" i="7"/>
  <c r="GKG6" i="7"/>
  <c r="GKH6" i="7"/>
  <c r="GKI6" i="7"/>
  <c r="GKJ6" i="7"/>
  <c r="GKK6" i="7"/>
  <c r="GKL6" i="7"/>
  <c r="GKM6" i="7"/>
  <c r="GKN6" i="7"/>
  <c r="GKO6" i="7"/>
  <c r="GKP6" i="7"/>
  <c r="GKQ6" i="7"/>
  <c r="GKR6" i="7"/>
  <c r="GKS6" i="7"/>
  <c r="GKT6" i="7"/>
  <c r="GKU6" i="7"/>
  <c r="GKV6" i="7"/>
  <c r="GKW6" i="7"/>
  <c r="GKX6" i="7"/>
  <c r="GKY6" i="7"/>
  <c r="GKZ6" i="7"/>
  <c r="GLA6" i="7"/>
  <c r="GLB6" i="7"/>
  <c r="GLC6" i="7"/>
  <c r="GLD6" i="7"/>
  <c r="GLE6" i="7"/>
  <c r="GLF6" i="7"/>
  <c r="GLG6" i="7"/>
  <c r="GLH6" i="7"/>
  <c r="GLI6" i="7"/>
  <c r="GLJ6" i="7"/>
  <c r="GLK6" i="7"/>
  <c r="GLL6" i="7"/>
  <c r="GLM6" i="7"/>
  <c r="GLN6" i="7"/>
  <c r="GLO6" i="7"/>
  <c r="GLP6" i="7"/>
  <c r="GLQ6" i="7"/>
  <c r="GLR6" i="7"/>
  <c r="GLS6" i="7"/>
  <c r="GLT6" i="7"/>
  <c r="GLU6" i="7"/>
  <c r="GLV6" i="7"/>
  <c r="GLW6" i="7"/>
  <c r="GLX6" i="7"/>
  <c r="GLY6" i="7"/>
  <c r="GLZ6" i="7"/>
  <c r="GMA6" i="7"/>
  <c r="GMB6" i="7"/>
  <c r="GMC6" i="7"/>
  <c r="GMD6" i="7"/>
  <c r="GME6" i="7"/>
  <c r="GMF6" i="7"/>
  <c r="GMG6" i="7"/>
  <c r="GMH6" i="7"/>
  <c r="GMI6" i="7"/>
  <c r="GMJ6" i="7"/>
  <c r="GMK6" i="7"/>
  <c r="GML6" i="7"/>
  <c r="GMM6" i="7"/>
  <c r="GMN6" i="7"/>
  <c r="GMO6" i="7"/>
  <c r="GMP6" i="7"/>
  <c r="GMQ6" i="7"/>
  <c r="GMR6" i="7"/>
  <c r="GMS6" i="7"/>
  <c r="GMT6" i="7"/>
  <c r="GMU6" i="7"/>
  <c r="GMV6" i="7"/>
  <c r="GMW6" i="7"/>
  <c r="GMX6" i="7"/>
  <c r="GMY6" i="7"/>
  <c r="GMZ6" i="7"/>
  <c r="GNA6" i="7"/>
  <c r="GNB6" i="7"/>
  <c r="GNC6" i="7"/>
  <c r="GND6" i="7"/>
  <c r="GNE6" i="7"/>
  <c r="GNF6" i="7"/>
  <c r="GNG6" i="7"/>
  <c r="GNH6" i="7"/>
  <c r="GNI6" i="7"/>
  <c r="GNJ6" i="7"/>
  <c r="GNK6" i="7"/>
  <c r="GNL6" i="7"/>
  <c r="GNM6" i="7"/>
  <c r="GNN6" i="7"/>
  <c r="GNO6" i="7"/>
  <c r="GNP6" i="7"/>
  <c r="GNQ6" i="7"/>
  <c r="GNR6" i="7"/>
  <c r="GNS6" i="7"/>
  <c r="GNT6" i="7"/>
  <c r="GNU6" i="7"/>
  <c r="GNV6" i="7"/>
  <c r="GNW6" i="7"/>
  <c r="GNX6" i="7"/>
  <c r="GNY6" i="7"/>
  <c r="GNZ6" i="7"/>
  <c r="GOA6" i="7"/>
  <c r="GOB6" i="7"/>
  <c r="GOC6" i="7"/>
  <c r="GOD6" i="7"/>
  <c r="GOE6" i="7"/>
  <c r="GOF6" i="7"/>
  <c r="GOG6" i="7"/>
  <c r="GOH6" i="7"/>
  <c r="GOI6" i="7"/>
  <c r="GOJ6" i="7"/>
  <c r="GOK6" i="7"/>
  <c r="GOL6" i="7"/>
  <c r="GOM6" i="7"/>
  <c r="GON6" i="7"/>
  <c r="GOO6" i="7"/>
  <c r="GOP6" i="7"/>
  <c r="GOQ6" i="7"/>
  <c r="GOR6" i="7"/>
  <c r="GOS6" i="7"/>
  <c r="GOT6" i="7"/>
  <c r="GOU6" i="7"/>
  <c r="GOV6" i="7"/>
  <c r="GOW6" i="7"/>
  <c r="GOX6" i="7"/>
  <c r="GOY6" i="7"/>
  <c r="GOZ6" i="7"/>
  <c r="GPA6" i="7"/>
  <c r="GPB6" i="7"/>
  <c r="GPC6" i="7"/>
  <c r="GPD6" i="7"/>
  <c r="GPE6" i="7"/>
  <c r="GPF6" i="7"/>
  <c r="GPG6" i="7"/>
  <c r="GPH6" i="7"/>
  <c r="GPI6" i="7"/>
  <c r="GPJ6" i="7"/>
  <c r="GPK6" i="7"/>
  <c r="GPL6" i="7"/>
  <c r="GPM6" i="7"/>
  <c r="GPN6" i="7"/>
  <c r="GPO6" i="7"/>
  <c r="GPP6" i="7"/>
  <c r="GPQ6" i="7"/>
  <c r="GPR6" i="7"/>
  <c r="GPS6" i="7"/>
  <c r="GPT6" i="7"/>
  <c r="GPU6" i="7"/>
  <c r="GPV6" i="7"/>
  <c r="GPW6" i="7"/>
  <c r="GPX6" i="7"/>
  <c r="GPY6" i="7"/>
  <c r="GPZ6" i="7"/>
  <c r="GQA6" i="7"/>
  <c r="GQB6" i="7"/>
  <c r="GQC6" i="7"/>
  <c r="GQD6" i="7"/>
  <c r="GQE6" i="7"/>
  <c r="GQF6" i="7"/>
  <c r="GQG6" i="7"/>
  <c r="GQH6" i="7"/>
  <c r="GQI6" i="7"/>
  <c r="GQJ6" i="7"/>
  <c r="GQK6" i="7"/>
  <c r="GQL6" i="7"/>
  <c r="GQM6" i="7"/>
  <c r="GQN6" i="7"/>
  <c r="GQO6" i="7"/>
  <c r="GQP6" i="7"/>
  <c r="GQQ6" i="7"/>
  <c r="GQR6" i="7"/>
  <c r="GQS6" i="7"/>
  <c r="GQT6" i="7"/>
  <c r="GQU6" i="7"/>
  <c r="GQV6" i="7"/>
  <c r="GQW6" i="7"/>
  <c r="GQX6" i="7"/>
  <c r="GQY6" i="7"/>
  <c r="GQZ6" i="7"/>
  <c r="GRA6" i="7"/>
  <c r="GRB6" i="7"/>
  <c r="GRC6" i="7"/>
  <c r="GRD6" i="7"/>
  <c r="GRE6" i="7"/>
  <c r="GRF6" i="7"/>
  <c r="GRG6" i="7"/>
  <c r="GRH6" i="7"/>
  <c r="GRI6" i="7"/>
  <c r="GRJ6" i="7"/>
  <c r="GRK6" i="7"/>
  <c r="GRL6" i="7"/>
  <c r="GRM6" i="7"/>
  <c r="GRN6" i="7"/>
  <c r="GRO6" i="7"/>
  <c r="GRP6" i="7"/>
  <c r="GRQ6" i="7"/>
  <c r="GRR6" i="7"/>
  <c r="GRS6" i="7"/>
  <c r="GRT6" i="7"/>
  <c r="GRU6" i="7"/>
  <c r="GRV6" i="7"/>
  <c r="GRW6" i="7"/>
  <c r="GRX6" i="7"/>
  <c r="GRY6" i="7"/>
  <c r="GRZ6" i="7"/>
  <c r="GSA6" i="7"/>
  <c r="GSB6" i="7"/>
  <c r="GSC6" i="7"/>
  <c r="GSD6" i="7"/>
  <c r="GSE6" i="7"/>
  <c r="GSF6" i="7"/>
  <c r="GSG6" i="7"/>
  <c r="GSH6" i="7"/>
  <c r="GSI6" i="7"/>
  <c r="GSJ6" i="7"/>
  <c r="GSK6" i="7"/>
  <c r="GSL6" i="7"/>
  <c r="GSM6" i="7"/>
  <c r="GSN6" i="7"/>
  <c r="GSO6" i="7"/>
  <c r="GSP6" i="7"/>
  <c r="GSQ6" i="7"/>
  <c r="GSR6" i="7"/>
  <c r="GSS6" i="7"/>
  <c r="GST6" i="7"/>
  <c r="GSU6" i="7"/>
  <c r="GSV6" i="7"/>
  <c r="GSW6" i="7"/>
  <c r="GSX6" i="7"/>
  <c r="GSY6" i="7"/>
  <c r="GSZ6" i="7"/>
  <c r="GTA6" i="7"/>
  <c r="GTB6" i="7"/>
  <c r="GTC6" i="7"/>
  <c r="GTD6" i="7"/>
  <c r="GTE6" i="7"/>
  <c r="GTF6" i="7"/>
  <c r="GTG6" i="7"/>
  <c r="GTH6" i="7"/>
  <c r="GTI6" i="7"/>
  <c r="GTJ6" i="7"/>
  <c r="GTK6" i="7"/>
  <c r="GTL6" i="7"/>
  <c r="GTM6" i="7"/>
  <c r="GTN6" i="7"/>
  <c r="GTO6" i="7"/>
  <c r="GTP6" i="7"/>
  <c r="GTQ6" i="7"/>
  <c r="GTR6" i="7"/>
  <c r="GTS6" i="7"/>
  <c r="GTT6" i="7"/>
  <c r="GTU6" i="7"/>
  <c r="GTV6" i="7"/>
  <c r="GTW6" i="7"/>
  <c r="GTX6" i="7"/>
  <c r="GTY6" i="7"/>
  <c r="GTZ6" i="7"/>
  <c r="GUA6" i="7"/>
  <c r="GUB6" i="7"/>
  <c r="GUC6" i="7"/>
  <c r="GUD6" i="7"/>
  <c r="GUE6" i="7"/>
  <c r="GUF6" i="7"/>
  <c r="GUG6" i="7"/>
  <c r="GUH6" i="7"/>
  <c r="GUI6" i="7"/>
  <c r="GUJ6" i="7"/>
  <c r="GUK6" i="7"/>
  <c r="GUL6" i="7"/>
  <c r="GUM6" i="7"/>
  <c r="GUN6" i="7"/>
  <c r="GUO6" i="7"/>
  <c r="GUP6" i="7"/>
  <c r="GUQ6" i="7"/>
  <c r="GUR6" i="7"/>
  <c r="GUS6" i="7"/>
  <c r="GUT6" i="7"/>
  <c r="GUU6" i="7"/>
  <c r="GUV6" i="7"/>
  <c r="GUW6" i="7"/>
  <c r="GUX6" i="7"/>
  <c r="GUY6" i="7"/>
  <c r="GUZ6" i="7"/>
  <c r="GVA6" i="7"/>
  <c r="GVB6" i="7"/>
  <c r="GVC6" i="7"/>
  <c r="GVD6" i="7"/>
  <c r="GVE6" i="7"/>
  <c r="GVF6" i="7"/>
  <c r="GVG6" i="7"/>
  <c r="GVH6" i="7"/>
  <c r="GVI6" i="7"/>
  <c r="GVJ6" i="7"/>
  <c r="GVK6" i="7"/>
  <c r="GVL6" i="7"/>
  <c r="GVM6" i="7"/>
  <c r="GVN6" i="7"/>
  <c r="GVO6" i="7"/>
  <c r="GVP6" i="7"/>
  <c r="GVQ6" i="7"/>
  <c r="GVR6" i="7"/>
  <c r="GVS6" i="7"/>
  <c r="GVT6" i="7"/>
  <c r="GVU6" i="7"/>
  <c r="GVV6" i="7"/>
  <c r="GVW6" i="7"/>
  <c r="GVX6" i="7"/>
  <c r="GVY6" i="7"/>
  <c r="GVZ6" i="7"/>
  <c r="GWA6" i="7"/>
  <c r="GWB6" i="7"/>
  <c r="GWC6" i="7"/>
  <c r="GWD6" i="7"/>
  <c r="GWE6" i="7"/>
  <c r="GWF6" i="7"/>
  <c r="GWG6" i="7"/>
  <c r="GWH6" i="7"/>
  <c r="GWI6" i="7"/>
  <c r="GWJ6" i="7"/>
  <c r="GWK6" i="7"/>
  <c r="GWL6" i="7"/>
  <c r="GWM6" i="7"/>
  <c r="GWN6" i="7"/>
  <c r="GWO6" i="7"/>
  <c r="GWP6" i="7"/>
  <c r="GWQ6" i="7"/>
  <c r="GWR6" i="7"/>
  <c r="GWS6" i="7"/>
  <c r="GWT6" i="7"/>
  <c r="GWU6" i="7"/>
  <c r="GWV6" i="7"/>
  <c r="GWW6" i="7"/>
  <c r="GWX6" i="7"/>
  <c r="GWY6" i="7"/>
  <c r="GWZ6" i="7"/>
  <c r="GXA6" i="7"/>
  <c r="GXB6" i="7"/>
  <c r="GXC6" i="7"/>
  <c r="GXD6" i="7"/>
  <c r="GXE6" i="7"/>
  <c r="GXF6" i="7"/>
  <c r="GXG6" i="7"/>
  <c r="GXH6" i="7"/>
  <c r="GXI6" i="7"/>
  <c r="GXJ6" i="7"/>
  <c r="GXK6" i="7"/>
  <c r="GXL6" i="7"/>
  <c r="GXM6" i="7"/>
  <c r="GXN6" i="7"/>
  <c r="GXO6" i="7"/>
  <c r="GXP6" i="7"/>
  <c r="GXQ6" i="7"/>
  <c r="GXR6" i="7"/>
  <c r="GXS6" i="7"/>
  <c r="GXT6" i="7"/>
  <c r="GXU6" i="7"/>
  <c r="GXV6" i="7"/>
  <c r="GXW6" i="7"/>
  <c r="GXX6" i="7"/>
  <c r="GXY6" i="7"/>
  <c r="GXZ6" i="7"/>
  <c r="GYA6" i="7"/>
  <c r="GYB6" i="7"/>
  <c r="GYC6" i="7"/>
  <c r="GYD6" i="7"/>
  <c r="GYE6" i="7"/>
  <c r="GYF6" i="7"/>
  <c r="GYG6" i="7"/>
  <c r="GYH6" i="7"/>
  <c r="GYI6" i="7"/>
  <c r="GYJ6" i="7"/>
  <c r="GYK6" i="7"/>
  <c r="GYL6" i="7"/>
  <c r="GYM6" i="7"/>
  <c r="GYN6" i="7"/>
  <c r="GYO6" i="7"/>
  <c r="GYP6" i="7"/>
  <c r="GYQ6" i="7"/>
  <c r="GYR6" i="7"/>
  <c r="GYS6" i="7"/>
  <c r="GYT6" i="7"/>
  <c r="GYU6" i="7"/>
  <c r="GYV6" i="7"/>
  <c r="GYW6" i="7"/>
  <c r="GYX6" i="7"/>
  <c r="GYY6" i="7"/>
  <c r="GYZ6" i="7"/>
  <c r="GZA6" i="7"/>
  <c r="GZB6" i="7"/>
  <c r="GZC6" i="7"/>
  <c r="GZD6" i="7"/>
  <c r="GZE6" i="7"/>
  <c r="GZF6" i="7"/>
  <c r="GZG6" i="7"/>
  <c r="GZH6" i="7"/>
  <c r="GZI6" i="7"/>
  <c r="GZJ6" i="7"/>
  <c r="GZK6" i="7"/>
  <c r="GZL6" i="7"/>
  <c r="GZM6" i="7"/>
  <c r="GZN6" i="7"/>
  <c r="GZO6" i="7"/>
  <c r="GZP6" i="7"/>
  <c r="GZQ6" i="7"/>
  <c r="GZR6" i="7"/>
  <c r="GZS6" i="7"/>
  <c r="GZT6" i="7"/>
  <c r="GZU6" i="7"/>
  <c r="GZV6" i="7"/>
  <c r="GZW6" i="7"/>
  <c r="GZX6" i="7"/>
  <c r="GZY6" i="7"/>
  <c r="GZZ6" i="7"/>
  <c r="HAA6" i="7"/>
  <c r="HAB6" i="7"/>
  <c r="HAC6" i="7"/>
  <c r="HAD6" i="7"/>
  <c r="HAE6" i="7"/>
  <c r="HAF6" i="7"/>
  <c r="HAG6" i="7"/>
  <c r="HAH6" i="7"/>
  <c r="HAI6" i="7"/>
  <c r="HAJ6" i="7"/>
  <c r="HAK6" i="7"/>
  <c r="HAL6" i="7"/>
  <c r="HAM6" i="7"/>
  <c r="HAN6" i="7"/>
  <c r="HAO6" i="7"/>
  <c r="HAP6" i="7"/>
  <c r="HAQ6" i="7"/>
  <c r="HAR6" i="7"/>
  <c r="HAS6" i="7"/>
  <c r="HAT6" i="7"/>
  <c r="HAU6" i="7"/>
  <c r="HAV6" i="7"/>
  <c r="HAW6" i="7"/>
  <c r="HAX6" i="7"/>
  <c r="HAY6" i="7"/>
  <c r="HAZ6" i="7"/>
  <c r="HBA6" i="7"/>
  <c r="HBB6" i="7"/>
  <c r="HBC6" i="7"/>
  <c r="HBD6" i="7"/>
  <c r="HBE6" i="7"/>
  <c r="HBF6" i="7"/>
  <c r="HBG6" i="7"/>
  <c r="HBH6" i="7"/>
  <c r="HBI6" i="7"/>
  <c r="HBJ6" i="7"/>
  <c r="HBK6" i="7"/>
  <c r="HBL6" i="7"/>
  <c r="HBM6" i="7"/>
  <c r="HBN6" i="7"/>
  <c r="HBO6" i="7"/>
  <c r="HBP6" i="7"/>
  <c r="HBQ6" i="7"/>
  <c r="HBR6" i="7"/>
  <c r="HBS6" i="7"/>
  <c r="HBT6" i="7"/>
  <c r="HBU6" i="7"/>
  <c r="HBV6" i="7"/>
  <c r="HBW6" i="7"/>
  <c r="HBX6" i="7"/>
  <c r="HBY6" i="7"/>
  <c r="HBZ6" i="7"/>
  <c r="HCA6" i="7"/>
  <c r="HCB6" i="7"/>
  <c r="HCC6" i="7"/>
  <c r="HCD6" i="7"/>
  <c r="HCE6" i="7"/>
  <c r="HCF6" i="7"/>
  <c r="HCG6" i="7"/>
  <c r="HCH6" i="7"/>
  <c r="HCI6" i="7"/>
  <c r="HCJ6" i="7"/>
  <c r="HCK6" i="7"/>
  <c r="HCL6" i="7"/>
  <c r="HCM6" i="7"/>
  <c r="HCN6" i="7"/>
  <c r="HCO6" i="7"/>
  <c r="HCP6" i="7"/>
  <c r="HCQ6" i="7"/>
  <c r="HCR6" i="7"/>
  <c r="HCS6" i="7"/>
  <c r="HCT6" i="7"/>
  <c r="HCU6" i="7"/>
  <c r="HCV6" i="7"/>
  <c r="HCW6" i="7"/>
  <c r="HCX6" i="7"/>
  <c r="HCY6" i="7"/>
  <c r="HCZ6" i="7"/>
  <c r="HDA6" i="7"/>
  <c r="HDB6" i="7"/>
  <c r="HDC6" i="7"/>
  <c r="HDD6" i="7"/>
  <c r="HDE6" i="7"/>
  <c r="HDF6" i="7"/>
  <c r="HDG6" i="7"/>
  <c r="HDH6" i="7"/>
  <c r="HDI6" i="7"/>
  <c r="HDJ6" i="7"/>
  <c r="HDK6" i="7"/>
  <c r="HDL6" i="7"/>
  <c r="HDM6" i="7"/>
  <c r="HDN6" i="7"/>
  <c r="HDO6" i="7"/>
  <c r="HDP6" i="7"/>
  <c r="HDQ6" i="7"/>
  <c r="HDR6" i="7"/>
  <c r="HDS6" i="7"/>
  <c r="HDT6" i="7"/>
  <c r="HDU6" i="7"/>
  <c r="HDV6" i="7"/>
  <c r="HDW6" i="7"/>
  <c r="HDX6" i="7"/>
  <c r="HDY6" i="7"/>
  <c r="HDZ6" i="7"/>
  <c r="HEA6" i="7"/>
  <c r="HEB6" i="7"/>
  <c r="HEC6" i="7"/>
  <c r="HED6" i="7"/>
  <c r="HEE6" i="7"/>
  <c r="HEF6" i="7"/>
  <c r="HEG6" i="7"/>
  <c r="HEH6" i="7"/>
  <c r="HEI6" i="7"/>
  <c r="HEJ6" i="7"/>
  <c r="HEK6" i="7"/>
  <c r="HEL6" i="7"/>
  <c r="HEM6" i="7"/>
  <c r="HEN6" i="7"/>
  <c r="HEO6" i="7"/>
  <c r="HEP6" i="7"/>
  <c r="HEQ6" i="7"/>
  <c r="HER6" i="7"/>
  <c r="HES6" i="7"/>
  <c r="HET6" i="7"/>
  <c r="HEU6" i="7"/>
  <c r="HEV6" i="7"/>
  <c r="HEW6" i="7"/>
  <c r="HEX6" i="7"/>
  <c r="HEY6" i="7"/>
  <c r="HEZ6" i="7"/>
  <c r="HFA6" i="7"/>
  <c r="HFB6" i="7"/>
  <c r="HFC6" i="7"/>
  <c r="HFD6" i="7"/>
  <c r="HFE6" i="7"/>
  <c r="HFF6" i="7"/>
  <c r="HFG6" i="7"/>
  <c r="HFH6" i="7"/>
  <c r="HFI6" i="7"/>
  <c r="HFJ6" i="7"/>
  <c r="HFK6" i="7"/>
  <c r="HFL6" i="7"/>
  <c r="HFM6" i="7"/>
  <c r="HFN6" i="7"/>
  <c r="HFO6" i="7"/>
  <c r="HFP6" i="7"/>
  <c r="HFQ6" i="7"/>
  <c r="HFR6" i="7"/>
  <c r="HFS6" i="7"/>
  <c r="HFT6" i="7"/>
  <c r="HFU6" i="7"/>
  <c r="HFV6" i="7"/>
  <c r="HFW6" i="7"/>
  <c r="HFX6" i="7"/>
  <c r="HFY6" i="7"/>
  <c r="HFZ6" i="7"/>
  <c r="HGA6" i="7"/>
  <c r="HGB6" i="7"/>
  <c r="HGC6" i="7"/>
  <c r="HGD6" i="7"/>
  <c r="HGE6" i="7"/>
  <c r="HGF6" i="7"/>
  <c r="HGG6" i="7"/>
  <c r="HGH6" i="7"/>
  <c r="HGI6" i="7"/>
  <c r="HGJ6" i="7"/>
  <c r="HGK6" i="7"/>
  <c r="HGL6" i="7"/>
  <c r="HGM6" i="7"/>
  <c r="HGN6" i="7"/>
  <c r="HGO6" i="7"/>
  <c r="HGP6" i="7"/>
  <c r="HGQ6" i="7"/>
  <c r="HGR6" i="7"/>
  <c r="HGS6" i="7"/>
  <c r="HGT6" i="7"/>
  <c r="HGU6" i="7"/>
  <c r="HGV6" i="7"/>
  <c r="HGW6" i="7"/>
  <c r="HGX6" i="7"/>
  <c r="HGY6" i="7"/>
  <c r="HGZ6" i="7"/>
  <c r="HHA6" i="7"/>
  <c r="HHB6" i="7"/>
  <c r="HHC6" i="7"/>
  <c r="HHD6" i="7"/>
  <c r="HHE6" i="7"/>
  <c r="HHF6" i="7"/>
  <c r="HHG6" i="7"/>
  <c r="HHH6" i="7"/>
  <c r="HHI6" i="7"/>
  <c r="HHJ6" i="7"/>
  <c r="HHK6" i="7"/>
  <c r="HHL6" i="7"/>
  <c r="HHM6" i="7"/>
  <c r="HHN6" i="7"/>
  <c r="HHO6" i="7"/>
  <c r="HHP6" i="7"/>
  <c r="HHQ6" i="7"/>
  <c r="HHR6" i="7"/>
  <c r="HHS6" i="7"/>
  <c r="HHT6" i="7"/>
  <c r="HHU6" i="7"/>
  <c r="HHV6" i="7"/>
  <c r="HHW6" i="7"/>
  <c r="HHX6" i="7"/>
  <c r="HHY6" i="7"/>
  <c r="HHZ6" i="7"/>
  <c r="HIA6" i="7"/>
  <c r="HIB6" i="7"/>
  <c r="HIC6" i="7"/>
  <c r="HID6" i="7"/>
  <c r="HIE6" i="7"/>
  <c r="HIF6" i="7"/>
  <c r="HIG6" i="7"/>
  <c r="HIH6" i="7"/>
  <c r="HII6" i="7"/>
  <c r="HIJ6" i="7"/>
  <c r="HIK6" i="7"/>
  <c r="HIL6" i="7"/>
  <c r="HIM6" i="7"/>
  <c r="HIN6" i="7"/>
  <c r="HIO6" i="7"/>
  <c r="HIP6" i="7"/>
  <c r="HIQ6" i="7"/>
  <c r="HIR6" i="7"/>
  <c r="HIS6" i="7"/>
  <c r="HIT6" i="7"/>
  <c r="HIU6" i="7"/>
  <c r="HIV6" i="7"/>
  <c r="HIW6" i="7"/>
  <c r="HIX6" i="7"/>
  <c r="HIY6" i="7"/>
  <c r="HIZ6" i="7"/>
  <c r="HJA6" i="7"/>
  <c r="HJB6" i="7"/>
  <c r="HJC6" i="7"/>
  <c r="HJD6" i="7"/>
  <c r="HJE6" i="7"/>
  <c r="HJF6" i="7"/>
  <c r="HJG6" i="7"/>
  <c r="HJH6" i="7"/>
  <c r="HJI6" i="7"/>
  <c r="HJJ6" i="7"/>
  <c r="HJK6" i="7"/>
  <c r="HJL6" i="7"/>
  <c r="HJM6" i="7"/>
  <c r="HJN6" i="7"/>
  <c r="HJO6" i="7"/>
  <c r="HJP6" i="7"/>
  <c r="HJQ6" i="7"/>
  <c r="HJR6" i="7"/>
  <c r="HJS6" i="7"/>
  <c r="HJT6" i="7"/>
  <c r="HJU6" i="7"/>
  <c r="HJV6" i="7"/>
  <c r="HJW6" i="7"/>
  <c r="HJX6" i="7"/>
  <c r="HJY6" i="7"/>
  <c r="HJZ6" i="7"/>
  <c r="HKA6" i="7"/>
  <c r="HKB6" i="7"/>
  <c r="HKC6" i="7"/>
  <c r="HKD6" i="7"/>
  <c r="HKE6" i="7"/>
  <c r="HKF6" i="7"/>
  <c r="HKG6" i="7"/>
  <c r="HKH6" i="7"/>
  <c r="HKI6" i="7"/>
  <c r="HKJ6" i="7"/>
  <c r="HKK6" i="7"/>
  <c r="HKL6" i="7"/>
  <c r="HKM6" i="7"/>
  <c r="HKN6" i="7"/>
  <c r="HKO6" i="7"/>
  <c r="HKP6" i="7"/>
  <c r="HKQ6" i="7"/>
  <c r="HKR6" i="7"/>
  <c r="HKS6" i="7"/>
  <c r="HKT6" i="7"/>
  <c r="HKU6" i="7"/>
  <c r="HKV6" i="7"/>
  <c r="HKW6" i="7"/>
  <c r="HKX6" i="7"/>
  <c r="HKY6" i="7"/>
  <c r="HKZ6" i="7"/>
  <c r="HLA6" i="7"/>
  <c r="HLB6" i="7"/>
  <c r="HLC6" i="7"/>
  <c r="HLD6" i="7"/>
  <c r="HLE6" i="7"/>
  <c r="HLF6" i="7"/>
  <c r="HLG6" i="7"/>
  <c r="HLH6" i="7"/>
  <c r="HLI6" i="7"/>
  <c r="HLJ6" i="7"/>
  <c r="HLK6" i="7"/>
  <c r="HLL6" i="7"/>
  <c r="HLM6" i="7"/>
  <c r="HLN6" i="7"/>
  <c r="HLO6" i="7"/>
  <c r="HLP6" i="7"/>
  <c r="HLQ6" i="7"/>
  <c r="HLR6" i="7"/>
  <c r="HLS6" i="7"/>
  <c r="HLT6" i="7"/>
  <c r="HLU6" i="7"/>
  <c r="HLV6" i="7"/>
  <c r="HLW6" i="7"/>
  <c r="HLX6" i="7"/>
  <c r="HLY6" i="7"/>
  <c r="HLZ6" i="7"/>
  <c r="HMA6" i="7"/>
  <c r="HMB6" i="7"/>
  <c r="HMC6" i="7"/>
  <c r="HMD6" i="7"/>
  <c r="HME6" i="7"/>
  <c r="HMF6" i="7"/>
  <c r="HMG6" i="7"/>
  <c r="HMH6" i="7"/>
  <c r="HMI6" i="7"/>
  <c r="HMJ6" i="7"/>
  <c r="HMK6" i="7"/>
  <c r="HML6" i="7"/>
  <c r="HMM6" i="7"/>
  <c r="HMN6" i="7"/>
  <c r="HMO6" i="7"/>
  <c r="HMP6" i="7"/>
  <c r="HMQ6" i="7"/>
  <c r="HMR6" i="7"/>
  <c r="HMS6" i="7"/>
  <c r="HMT6" i="7"/>
  <c r="HMU6" i="7"/>
  <c r="HMV6" i="7"/>
  <c r="HMW6" i="7"/>
  <c r="HMX6" i="7"/>
  <c r="HMY6" i="7"/>
  <c r="HMZ6" i="7"/>
  <c r="HNA6" i="7"/>
  <c r="HNB6" i="7"/>
  <c r="HNC6" i="7"/>
  <c r="HND6" i="7"/>
  <c r="HNE6" i="7"/>
  <c r="HNF6" i="7"/>
  <c r="HNG6" i="7"/>
  <c r="HNH6" i="7"/>
  <c r="HNI6" i="7"/>
  <c r="HNJ6" i="7"/>
  <c r="HNK6" i="7"/>
  <c r="HNL6" i="7"/>
  <c r="HNM6" i="7"/>
  <c r="HNN6" i="7"/>
  <c r="HNO6" i="7"/>
  <c r="HNP6" i="7"/>
  <c r="HNQ6" i="7"/>
  <c r="HNR6" i="7"/>
  <c r="HNS6" i="7"/>
  <c r="HNT6" i="7"/>
  <c r="HNU6" i="7"/>
  <c r="HNV6" i="7"/>
  <c r="HNW6" i="7"/>
  <c r="HNX6" i="7"/>
  <c r="HNY6" i="7"/>
  <c r="HNZ6" i="7"/>
  <c r="HOA6" i="7"/>
  <c r="HOB6" i="7"/>
  <c r="HOC6" i="7"/>
  <c r="HOD6" i="7"/>
  <c r="HOE6" i="7"/>
  <c r="HOF6" i="7"/>
  <c r="HOG6" i="7"/>
  <c r="HOH6" i="7"/>
  <c r="HOI6" i="7"/>
  <c r="HOJ6" i="7"/>
  <c r="HOK6" i="7"/>
  <c r="HOL6" i="7"/>
  <c r="HOM6" i="7"/>
  <c r="HON6" i="7"/>
  <c r="HOO6" i="7"/>
  <c r="HOP6" i="7"/>
  <c r="HOQ6" i="7"/>
  <c r="HOR6" i="7"/>
  <c r="HOS6" i="7"/>
  <c r="HOT6" i="7"/>
  <c r="HOU6" i="7"/>
  <c r="HOV6" i="7"/>
  <c r="HOW6" i="7"/>
  <c r="HOX6" i="7"/>
  <c r="HOY6" i="7"/>
  <c r="HOZ6" i="7"/>
  <c r="HPA6" i="7"/>
  <c r="HPB6" i="7"/>
  <c r="HPC6" i="7"/>
  <c r="HPD6" i="7"/>
  <c r="HPE6" i="7"/>
  <c r="HPF6" i="7"/>
  <c r="HPG6" i="7"/>
  <c r="HPH6" i="7"/>
  <c r="HPI6" i="7"/>
  <c r="HPJ6" i="7"/>
  <c r="HPK6" i="7"/>
  <c r="HPL6" i="7"/>
  <c r="HPM6" i="7"/>
  <c r="HPN6" i="7"/>
  <c r="HPO6" i="7"/>
  <c r="HPP6" i="7"/>
  <c r="HPQ6" i="7"/>
  <c r="HPR6" i="7"/>
  <c r="HPS6" i="7"/>
  <c r="HPT6" i="7"/>
  <c r="HPU6" i="7"/>
  <c r="HPV6" i="7"/>
  <c r="HPW6" i="7"/>
  <c r="HPX6" i="7"/>
  <c r="HPY6" i="7"/>
  <c r="HPZ6" i="7"/>
  <c r="HQA6" i="7"/>
  <c r="HQB6" i="7"/>
  <c r="HQC6" i="7"/>
  <c r="HQD6" i="7"/>
  <c r="HQE6" i="7"/>
  <c r="HQF6" i="7"/>
  <c r="HQG6" i="7"/>
  <c r="HQH6" i="7"/>
  <c r="HQI6" i="7"/>
  <c r="HQJ6" i="7"/>
  <c r="HQK6" i="7"/>
  <c r="HQL6" i="7"/>
  <c r="HQM6" i="7"/>
  <c r="HQN6" i="7"/>
  <c r="HQO6" i="7"/>
  <c r="HQP6" i="7"/>
  <c r="HQQ6" i="7"/>
  <c r="HQR6" i="7"/>
  <c r="HQS6" i="7"/>
  <c r="HQT6" i="7"/>
  <c r="HQU6" i="7"/>
  <c r="HQV6" i="7"/>
  <c r="HQW6" i="7"/>
  <c r="HQX6" i="7"/>
  <c r="HQY6" i="7"/>
  <c r="HQZ6" i="7"/>
  <c r="HRA6" i="7"/>
  <c r="HRB6" i="7"/>
  <c r="HRC6" i="7"/>
  <c r="HRD6" i="7"/>
  <c r="HRE6" i="7"/>
  <c r="HRF6" i="7"/>
  <c r="HRG6" i="7"/>
  <c r="HRH6" i="7"/>
  <c r="HRI6" i="7"/>
  <c r="HRJ6" i="7"/>
  <c r="HRK6" i="7"/>
  <c r="HRL6" i="7"/>
  <c r="HRM6" i="7"/>
  <c r="HRN6" i="7"/>
  <c r="HRO6" i="7"/>
  <c r="HRP6" i="7"/>
  <c r="HRQ6" i="7"/>
  <c r="HRR6" i="7"/>
  <c r="HRS6" i="7"/>
  <c r="HRT6" i="7"/>
  <c r="HRU6" i="7"/>
  <c r="HRV6" i="7"/>
  <c r="HRW6" i="7"/>
  <c r="HRX6" i="7"/>
  <c r="HRY6" i="7"/>
  <c r="HRZ6" i="7"/>
  <c r="HSA6" i="7"/>
  <c r="HSB6" i="7"/>
  <c r="HSC6" i="7"/>
  <c r="HSD6" i="7"/>
  <c r="HSE6" i="7"/>
  <c r="HSF6" i="7"/>
  <c r="HSG6" i="7"/>
  <c r="HSH6" i="7"/>
  <c r="HSI6" i="7"/>
  <c r="HSJ6" i="7"/>
  <c r="HSK6" i="7"/>
  <c r="HSL6" i="7"/>
  <c r="HSM6" i="7"/>
  <c r="HSN6" i="7"/>
  <c r="HSO6" i="7"/>
  <c r="HSP6" i="7"/>
  <c r="HSQ6" i="7"/>
  <c r="HSR6" i="7"/>
  <c r="HSS6" i="7"/>
  <c r="HST6" i="7"/>
  <c r="HSU6" i="7"/>
  <c r="HSV6" i="7"/>
  <c r="HSW6" i="7"/>
  <c r="HSX6" i="7"/>
  <c r="HSY6" i="7"/>
  <c r="HSZ6" i="7"/>
  <c r="HTA6" i="7"/>
  <c r="HTB6" i="7"/>
  <c r="HTC6" i="7"/>
  <c r="HTD6" i="7"/>
  <c r="HTE6" i="7"/>
  <c r="HTF6" i="7"/>
  <c r="HTG6" i="7"/>
  <c r="HTH6" i="7"/>
  <c r="HTI6" i="7"/>
  <c r="HTJ6" i="7"/>
  <c r="HTK6" i="7"/>
  <c r="HTL6" i="7"/>
  <c r="HTM6" i="7"/>
  <c r="HTN6" i="7"/>
  <c r="HTO6" i="7"/>
  <c r="HTP6" i="7"/>
  <c r="HTQ6" i="7"/>
  <c r="HTR6" i="7"/>
  <c r="HTS6" i="7"/>
  <c r="HTT6" i="7"/>
  <c r="HTU6" i="7"/>
  <c r="HTV6" i="7"/>
  <c r="HTW6" i="7"/>
  <c r="HTX6" i="7"/>
  <c r="HTY6" i="7"/>
  <c r="HTZ6" i="7"/>
  <c r="HUA6" i="7"/>
  <c r="HUB6" i="7"/>
  <c r="HUC6" i="7"/>
  <c r="HUD6" i="7"/>
  <c r="HUE6" i="7"/>
  <c r="HUF6" i="7"/>
  <c r="HUG6" i="7"/>
  <c r="HUH6" i="7"/>
  <c r="HUI6" i="7"/>
  <c r="HUJ6" i="7"/>
  <c r="HUK6" i="7"/>
  <c r="HUL6" i="7"/>
  <c r="HUM6" i="7"/>
  <c r="HUN6" i="7"/>
  <c r="HUO6" i="7"/>
  <c r="HUP6" i="7"/>
  <c r="HUQ6" i="7"/>
  <c r="HUR6" i="7"/>
  <c r="HUS6" i="7"/>
  <c r="HUT6" i="7"/>
  <c r="HUU6" i="7"/>
  <c r="HUV6" i="7"/>
  <c r="HUW6" i="7"/>
  <c r="HUX6" i="7"/>
  <c r="HUY6" i="7"/>
  <c r="HUZ6" i="7"/>
  <c r="HVA6" i="7"/>
  <c r="HVB6" i="7"/>
  <c r="HVC6" i="7"/>
  <c r="HVD6" i="7"/>
  <c r="HVE6" i="7"/>
  <c r="HVF6" i="7"/>
  <c r="HVG6" i="7"/>
  <c r="HVH6" i="7"/>
  <c r="HVI6" i="7"/>
  <c r="HVJ6" i="7"/>
  <c r="HVK6" i="7"/>
  <c r="HVL6" i="7"/>
  <c r="HVM6" i="7"/>
  <c r="HVN6" i="7"/>
  <c r="HVO6" i="7"/>
  <c r="HVP6" i="7"/>
  <c r="HVQ6" i="7"/>
  <c r="HVR6" i="7"/>
  <c r="HVS6" i="7"/>
  <c r="HVT6" i="7"/>
  <c r="HVU6" i="7"/>
  <c r="HVV6" i="7"/>
  <c r="HVW6" i="7"/>
  <c r="HVX6" i="7"/>
  <c r="HVY6" i="7"/>
  <c r="HVZ6" i="7"/>
  <c r="HWA6" i="7"/>
  <c r="HWB6" i="7"/>
  <c r="HWC6" i="7"/>
  <c r="HWD6" i="7"/>
  <c r="HWE6" i="7"/>
  <c r="HWF6" i="7"/>
  <c r="HWG6" i="7"/>
  <c r="HWH6" i="7"/>
  <c r="HWI6" i="7"/>
  <c r="HWJ6" i="7"/>
  <c r="HWK6" i="7"/>
  <c r="HWL6" i="7"/>
  <c r="HWM6" i="7"/>
  <c r="HWN6" i="7"/>
  <c r="HWO6" i="7"/>
  <c r="HWP6" i="7"/>
  <c r="HWQ6" i="7"/>
  <c r="HWR6" i="7"/>
  <c r="HWS6" i="7"/>
  <c r="HWT6" i="7"/>
  <c r="HWU6" i="7"/>
  <c r="HWV6" i="7"/>
  <c r="HWW6" i="7"/>
  <c r="HWX6" i="7"/>
  <c r="HWY6" i="7"/>
  <c r="HWZ6" i="7"/>
  <c r="HXA6" i="7"/>
  <c r="HXB6" i="7"/>
  <c r="HXC6" i="7"/>
  <c r="HXD6" i="7"/>
  <c r="HXE6" i="7"/>
  <c r="HXF6" i="7"/>
  <c r="HXG6" i="7"/>
  <c r="HXH6" i="7"/>
  <c r="HXI6" i="7"/>
  <c r="HXJ6" i="7"/>
  <c r="HXK6" i="7"/>
  <c r="HXL6" i="7"/>
  <c r="HXM6" i="7"/>
  <c r="HXN6" i="7"/>
  <c r="HXO6" i="7"/>
  <c r="HXP6" i="7"/>
  <c r="HXQ6" i="7"/>
  <c r="HXR6" i="7"/>
  <c r="HXS6" i="7"/>
  <c r="HXT6" i="7"/>
  <c r="HXU6" i="7"/>
  <c r="HXV6" i="7"/>
  <c r="HXW6" i="7"/>
  <c r="HXX6" i="7"/>
  <c r="HXY6" i="7"/>
  <c r="HXZ6" i="7"/>
  <c r="HYA6" i="7"/>
  <c r="HYB6" i="7"/>
  <c r="HYC6" i="7"/>
  <c r="HYD6" i="7"/>
  <c r="HYE6" i="7"/>
  <c r="HYF6" i="7"/>
  <c r="HYG6" i="7"/>
  <c r="HYH6" i="7"/>
  <c r="HYI6" i="7"/>
  <c r="HYJ6" i="7"/>
  <c r="HYK6" i="7"/>
  <c r="HYL6" i="7"/>
  <c r="HYM6" i="7"/>
  <c r="HYN6" i="7"/>
  <c r="HYO6" i="7"/>
  <c r="HYP6" i="7"/>
  <c r="HYQ6" i="7"/>
  <c r="HYR6" i="7"/>
  <c r="HYS6" i="7"/>
  <c r="HYT6" i="7"/>
  <c r="HYU6" i="7"/>
  <c r="HYV6" i="7"/>
  <c r="HYW6" i="7"/>
  <c r="HYX6" i="7"/>
  <c r="HYY6" i="7"/>
  <c r="HYZ6" i="7"/>
  <c r="HZA6" i="7"/>
  <c r="HZB6" i="7"/>
  <c r="HZC6" i="7"/>
  <c r="HZD6" i="7"/>
  <c r="HZE6" i="7"/>
  <c r="HZF6" i="7"/>
  <c r="HZG6" i="7"/>
  <c r="HZH6" i="7"/>
  <c r="HZI6" i="7"/>
  <c r="HZJ6" i="7"/>
  <c r="HZK6" i="7"/>
  <c r="HZL6" i="7"/>
  <c r="HZM6" i="7"/>
  <c r="HZN6" i="7"/>
  <c r="HZO6" i="7"/>
  <c r="HZP6" i="7"/>
  <c r="HZQ6" i="7"/>
  <c r="HZR6" i="7"/>
  <c r="HZS6" i="7"/>
  <c r="HZT6" i="7"/>
  <c r="HZU6" i="7"/>
  <c r="HZV6" i="7"/>
  <c r="HZW6" i="7"/>
  <c r="HZX6" i="7"/>
  <c r="HZY6" i="7"/>
  <c r="HZZ6" i="7"/>
  <c r="IAA6" i="7"/>
  <c r="IAB6" i="7"/>
  <c r="IAC6" i="7"/>
  <c r="IAD6" i="7"/>
  <c r="IAE6" i="7"/>
  <c r="IAF6" i="7"/>
  <c r="IAG6" i="7"/>
  <c r="IAH6" i="7"/>
  <c r="IAI6" i="7"/>
  <c r="IAJ6" i="7"/>
  <c r="IAK6" i="7"/>
  <c r="IAL6" i="7"/>
  <c r="IAM6" i="7"/>
  <c r="IAN6" i="7"/>
  <c r="IAO6" i="7"/>
  <c r="IAP6" i="7"/>
  <c r="IAQ6" i="7"/>
  <c r="IAR6" i="7"/>
  <c r="IAS6" i="7"/>
  <c r="IAT6" i="7"/>
  <c r="IAU6" i="7"/>
  <c r="IAV6" i="7"/>
  <c r="IAW6" i="7"/>
  <c r="IAX6" i="7"/>
  <c r="IAY6" i="7"/>
  <c r="IAZ6" i="7"/>
  <c r="IBA6" i="7"/>
  <c r="IBB6" i="7"/>
  <c r="IBC6" i="7"/>
  <c r="IBD6" i="7"/>
  <c r="IBE6" i="7"/>
  <c r="IBF6" i="7"/>
  <c r="IBG6" i="7"/>
  <c r="IBH6" i="7"/>
  <c r="IBI6" i="7"/>
  <c r="IBJ6" i="7"/>
  <c r="IBK6" i="7"/>
  <c r="IBL6" i="7"/>
  <c r="IBM6" i="7"/>
  <c r="IBN6" i="7"/>
  <c r="IBO6" i="7"/>
  <c r="IBP6" i="7"/>
  <c r="IBQ6" i="7"/>
  <c r="IBR6" i="7"/>
  <c r="IBS6" i="7"/>
  <c r="IBT6" i="7"/>
  <c r="IBU6" i="7"/>
  <c r="IBV6" i="7"/>
  <c r="IBW6" i="7"/>
  <c r="IBX6" i="7"/>
  <c r="IBY6" i="7"/>
  <c r="IBZ6" i="7"/>
  <c r="ICA6" i="7"/>
  <c r="ICB6" i="7"/>
  <c r="ICC6" i="7"/>
  <c r="ICD6" i="7"/>
  <c r="ICE6" i="7"/>
  <c r="ICF6" i="7"/>
  <c r="ICG6" i="7"/>
  <c r="ICH6" i="7"/>
  <c r="ICI6" i="7"/>
  <c r="ICJ6" i="7"/>
  <c r="ICK6" i="7"/>
  <c r="ICL6" i="7"/>
  <c r="ICM6" i="7"/>
  <c r="ICN6" i="7"/>
  <c r="ICO6" i="7"/>
  <c r="ICP6" i="7"/>
  <c r="ICQ6" i="7"/>
  <c r="ICR6" i="7"/>
  <c r="ICS6" i="7"/>
  <c r="ICT6" i="7"/>
  <c r="ICU6" i="7"/>
  <c r="ICV6" i="7"/>
  <c r="ICW6" i="7"/>
  <c r="ICX6" i="7"/>
  <c r="ICY6" i="7"/>
  <c r="ICZ6" i="7"/>
  <c r="IDA6" i="7"/>
  <c r="IDB6" i="7"/>
  <c r="IDC6" i="7"/>
  <c r="IDD6" i="7"/>
  <c r="IDE6" i="7"/>
  <c r="IDF6" i="7"/>
  <c r="IDG6" i="7"/>
  <c r="IDH6" i="7"/>
  <c r="IDI6" i="7"/>
  <c r="IDJ6" i="7"/>
  <c r="IDK6" i="7"/>
  <c r="IDL6" i="7"/>
  <c r="IDM6" i="7"/>
  <c r="IDN6" i="7"/>
  <c r="IDO6" i="7"/>
  <c r="IDP6" i="7"/>
  <c r="IDQ6" i="7"/>
  <c r="IDR6" i="7"/>
  <c r="IDS6" i="7"/>
  <c r="IDT6" i="7"/>
  <c r="IDU6" i="7"/>
  <c r="IDV6" i="7"/>
  <c r="IDW6" i="7"/>
  <c r="IDX6" i="7"/>
  <c r="IDY6" i="7"/>
  <c r="IDZ6" i="7"/>
  <c r="IEA6" i="7"/>
  <c r="IEB6" i="7"/>
  <c r="IEC6" i="7"/>
  <c r="IED6" i="7"/>
  <c r="IEE6" i="7"/>
  <c r="IEF6" i="7"/>
  <c r="IEG6" i="7"/>
  <c r="IEH6" i="7"/>
  <c r="IEI6" i="7"/>
  <c r="IEJ6" i="7"/>
  <c r="IEK6" i="7"/>
  <c r="IEL6" i="7"/>
  <c r="IEM6" i="7"/>
  <c r="IEN6" i="7"/>
  <c r="IEO6" i="7"/>
  <c r="IEP6" i="7"/>
  <c r="IEQ6" i="7"/>
  <c r="IER6" i="7"/>
  <c r="IES6" i="7"/>
  <c r="IET6" i="7"/>
  <c r="IEU6" i="7"/>
  <c r="IEV6" i="7"/>
  <c r="IEW6" i="7"/>
  <c r="IEX6" i="7"/>
  <c r="IEY6" i="7"/>
  <c r="IEZ6" i="7"/>
  <c r="IFA6" i="7"/>
  <c r="IFB6" i="7"/>
  <c r="IFC6" i="7"/>
  <c r="IFD6" i="7"/>
  <c r="IFE6" i="7"/>
  <c r="IFF6" i="7"/>
  <c r="IFG6" i="7"/>
  <c r="IFH6" i="7"/>
  <c r="IFI6" i="7"/>
  <c r="IFJ6" i="7"/>
  <c r="IFK6" i="7"/>
  <c r="IFL6" i="7"/>
  <c r="IFM6" i="7"/>
  <c r="IFN6" i="7"/>
  <c r="IFO6" i="7"/>
  <c r="IFP6" i="7"/>
  <c r="IFQ6" i="7"/>
  <c r="IFR6" i="7"/>
  <c r="IFS6" i="7"/>
  <c r="IFT6" i="7"/>
  <c r="IFU6" i="7"/>
  <c r="IFV6" i="7"/>
  <c r="IFW6" i="7"/>
  <c r="IFX6" i="7"/>
  <c r="IFY6" i="7"/>
  <c r="IFZ6" i="7"/>
  <c r="IGA6" i="7"/>
  <c r="IGB6" i="7"/>
  <c r="IGC6" i="7"/>
  <c r="IGD6" i="7"/>
  <c r="IGE6" i="7"/>
  <c r="IGF6" i="7"/>
  <c r="IGG6" i="7"/>
  <c r="IGH6" i="7"/>
  <c r="IGI6" i="7"/>
  <c r="IGJ6" i="7"/>
  <c r="IGK6" i="7"/>
  <c r="IGL6" i="7"/>
  <c r="IGM6" i="7"/>
  <c r="IGN6" i="7"/>
  <c r="IGO6" i="7"/>
  <c r="IGP6" i="7"/>
  <c r="IGQ6" i="7"/>
  <c r="IGR6" i="7"/>
  <c r="IGS6" i="7"/>
  <c r="IGT6" i="7"/>
  <c r="IGU6" i="7"/>
  <c r="IGV6" i="7"/>
  <c r="IGW6" i="7"/>
  <c r="IGX6" i="7"/>
  <c r="IGY6" i="7"/>
  <c r="IGZ6" i="7"/>
  <c r="IHA6" i="7"/>
  <c r="IHB6" i="7"/>
  <c r="IHC6" i="7"/>
  <c r="IHD6" i="7"/>
  <c r="IHE6" i="7"/>
  <c r="IHF6" i="7"/>
  <c r="IHG6" i="7"/>
  <c r="IHH6" i="7"/>
  <c r="IHI6" i="7"/>
  <c r="IHJ6" i="7"/>
  <c r="IHK6" i="7"/>
  <c r="IHL6" i="7"/>
  <c r="IHM6" i="7"/>
  <c r="IHN6" i="7"/>
  <c r="IHO6" i="7"/>
  <c r="IHP6" i="7"/>
  <c r="IHQ6" i="7"/>
  <c r="IHR6" i="7"/>
  <c r="IHS6" i="7"/>
  <c r="IHT6" i="7"/>
  <c r="IHU6" i="7"/>
  <c r="IHV6" i="7"/>
  <c r="IHW6" i="7"/>
  <c r="IHX6" i="7"/>
  <c r="IHY6" i="7"/>
  <c r="IHZ6" i="7"/>
  <c r="IIA6" i="7"/>
  <c r="IIB6" i="7"/>
  <c r="IIC6" i="7"/>
  <c r="IID6" i="7"/>
  <c r="IIE6" i="7"/>
  <c r="IIF6" i="7"/>
  <c r="IIG6" i="7"/>
  <c r="IIH6" i="7"/>
  <c r="III6" i="7"/>
  <c r="IIJ6" i="7"/>
  <c r="IIK6" i="7"/>
  <c r="IIL6" i="7"/>
  <c r="IIM6" i="7"/>
  <c r="IIN6" i="7"/>
  <c r="IIO6" i="7"/>
  <c r="IIP6" i="7"/>
  <c r="IIQ6" i="7"/>
  <c r="IIR6" i="7"/>
  <c r="IIS6" i="7"/>
  <c r="IIT6" i="7"/>
  <c r="IIU6" i="7"/>
  <c r="IIV6" i="7"/>
  <c r="IIW6" i="7"/>
  <c r="IIX6" i="7"/>
  <c r="IIY6" i="7"/>
  <c r="IIZ6" i="7"/>
  <c r="IJA6" i="7"/>
  <c r="IJB6" i="7"/>
  <c r="IJC6" i="7"/>
  <c r="IJD6" i="7"/>
  <c r="IJE6" i="7"/>
  <c r="IJF6" i="7"/>
  <c r="IJG6" i="7"/>
  <c r="IJH6" i="7"/>
  <c r="IJI6" i="7"/>
  <c r="IJJ6" i="7"/>
  <c r="IJK6" i="7"/>
  <c r="IJL6" i="7"/>
  <c r="IJM6" i="7"/>
  <c r="IJN6" i="7"/>
  <c r="IJO6" i="7"/>
  <c r="IJP6" i="7"/>
  <c r="IJQ6" i="7"/>
  <c r="IJR6" i="7"/>
  <c r="IJS6" i="7"/>
  <c r="IJT6" i="7"/>
  <c r="IJU6" i="7"/>
  <c r="IJV6" i="7"/>
  <c r="IJW6" i="7"/>
  <c r="IJX6" i="7"/>
  <c r="IJY6" i="7"/>
  <c r="IJZ6" i="7"/>
  <c r="IKA6" i="7"/>
  <c r="IKB6" i="7"/>
  <c r="IKC6" i="7"/>
  <c r="IKD6" i="7"/>
  <c r="IKE6" i="7"/>
  <c r="IKF6" i="7"/>
  <c r="IKG6" i="7"/>
  <c r="IKH6" i="7"/>
  <c r="IKI6" i="7"/>
  <c r="IKJ6" i="7"/>
  <c r="IKK6" i="7"/>
  <c r="IKL6" i="7"/>
  <c r="IKM6" i="7"/>
  <c r="IKN6" i="7"/>
  <c r="IKO6" i="7"/>
  <c r="IKP6" i="7"/>
  <c r="IKQ6" i="7"/>
  <c r="IKR6" i="7"/>
  <c r="IKS6" i="7"/>
  <c r="IKT6" i="7"/>
  <c r="IKU6" i="7"/>
  <c r="IKV6" i="7"/>
  <c r="IKW6" i="7"/>
  <c r="IKX6" i="7"/>
  <c r="IKY6" i="7"/>
  <c r="IKZ6" i="7"/>
  <c r="ILA6" i="7"/>
  <c r="ILB6" i="7"/>
  <c r="ILC6" i="7"/>
  <c r="ILD6" i="7"/>
  <c r="ILE6" i="7"/>
  <c r="ILF6" i="7"/>
  <c r="ILG6" i="7"/>
  <c r="ILH6" i="7"/>
  <c r="ILI6" i="7"/>
  <c r="ILJ6" i="7"/>
  <c r="ILK6" i="7"/>
  <c r="ILL6" i="7"/>
  <c r="ILM6" i="7"/>
  <c r="ILN6" i="7"/>
  <c r="ILO6" i="7"/>
  <c r="ILP6" i="7"/>
  <c r="ILQ6" i="7"/>
  <c r="ILR6" i="7"/>
  <c r="ILS6" i="7"/>
  <c r="ILT6" i="7"/>
  <c r="ILU6" i="7"/>
  <c r="ILV6" i="7"/>
  <c r="ILW6" i="7"/>
  <c r="ILX6" i="7"/>
  <c r="ILY6" i="7"/>
  <c r="ILZ6" i="7"/>
  <c r="IMA6" i="7"/>
  <c r="IMB6" i="7"/>
  <c r="IMC6" i="7"/>
  <c r="IMD6" i="7"/>
  <c r="IME6" i="7"/>
  <c r="IMF6" i="7"/>
  <c r="IMG6" i="7"/>
  <c r="IMH6" i="7"/>
  <c r="IMI6" i="7"/>
  <c r="IMJ6" i="7"/>
  <c r="IMK6" i="7"/>
  <c r="IML6" i="7"/>
  <c r="IMM6" i="7"/>
  <c r="IMN6" i="7"/>
  <c r="IMO6" i="7"/>
  <c r="IMP6" i="7"/>
  <c r="IMQ6" i="7"/>
  <c r="IMR6" i="7"/>
  <c r="IMS6" i="7"/>
  <c r="IMT6" i="7"/>
  <c r="IMU6" i="7"/>
  <c r="IMV6" i="7"/>
  <c r="IMW6" i="7"/>
  <c r="IMX6" i="7"/>
  <c r="IMY6" i="7"/>
  <c r="IMZ6" i="7"/>
  <c r="INA6" i="7"/>
  <c r="INB6" i="7"/>
  <c r="INC6" i="7"/>
  <c r="IND6" i="7"/>
  <c r="INE6" i="7"/>
  <c r="INF6" i="7"/>
  <c r="ING6" i="7"/>
  <c r="INH6" i="7"/>
  <c r="INI6" i="7"/>
  <c r="INJ6" i="7"/>
  <c r="INK6" i="7"/>
  <c r="INL6" i="7"/>
  <c r="INM6" i="7"/>
  <c r="INN6" i="7"/>
  <c r="INO6" i="7"/>
  <c r="INP6" i="7"/>
  <c r="INQ6" i="7"/>
  <c r="INR6" i="7"/>
  <c r="INS6" i="7"/>
  <c r="INT6" i="7"/>
  <c r="INU6" i="7"/>
  <c r="INV6" i="7"/>
  <c r="INW6" i="7"/>
  <c r="INX6" i="7"/>
  <c r="INY6" i="7"/>
  <c r="INZ6" i="7"/>
  <c r="IOA6" i="7"/>
  <c r="IOB6" i="7"/>
  <c r="IOC6" i="7"/>
  <c r="IOD6" i="7"/>
  <c r="IOE6" i="7"/>
  <c r="IOF6" i="7"/>
  <c r="IOG6" i="7"/>
  <c r="IOH6" i="7"/>
  <c r="IOI6" i="7"/>
  <c r="IOJ6" i="7"/>
  <c r="IOK6" i="7"/>
  <c r="IOL6" i="7"/>
  <c r="IOM6" i="7"/>
  <c r="ION6" i="7"/>
  <c r="IOO6" i="7"/>
  <c r="IOP6" i="7"/>
  <c r="IOQ6" i="7"/>
  <c r="IOR6" i="7"/>
  <c r="IOS6" i="7"/>
  <c r="IOT6" i="7"/>
  <c r="IOU6" i="7"/>
  <c r="IOV6" i="7"/>
  <c r="IOW6" i="7"/>
  <c r="IOX6" i="7"/>
  <c r="IOY6" i="7"/>
  <c r="IOZ6" i="7"/>
  <c r="IPA6" i="7"/>
  <c r="IPB6" i="7"/>
  <c r="IPC6" i="7"/>
  <c r="IPD6" i="7"/>
  <c r="IPE6" i="7"/>
  <c r="IPF6" i="7"/>
  <c r="IPG6" i="7"/>
  <c r="IPH6" i="7"/>
  <c r="IPI6" i="7"/>
  <c r="IPJ6" i="7"/>
  <c r="IPK6" i="7"/>
  <c r="IPL6" i="7"/>
  <c r="IPM6" i="7"/>
  <c r="IPN6" i="7"/>
  <c r="IPO6" i="7"/>
  <c r="IPP6" i="7"/>
  <c r="IPQ6" i="7"/>
  <c r="IPR6" i="7"/>
  <c r="IPS6" i="7"/>
  <c r="IPT6" i="7"/>
  <c r="IPU6" i="7"/>
  <c r="IPV6" i="7"/>
  <c r="IPW6" i="7"/>
  <c r="IPX6" i="7"/>
  <c r="IPY6" i="7"/>
  <c r="IPZ6" i="7"/>
  <c r="IQA6" i="7"/>
  <c r="IQB6" i="7"/>
  <c r="IQC6" i="7"/>
  <c r="IQD6" i="7"/>
  <c r="IQE6" i="7"/>
  <c r="IQF6" i="7"/>
  <c r="IQG6" i="7"/>
  <c r="IQH6" i="7"/>
  <c r="IQI6" i="7"/>
  <c r="IQJ6" i="7"/>
  <c r="IQK6" i="7"/>
  <c r="IQL6" i="7"/>
  <c r="IQM6" i="7"/>
  <c r="IQN6" i="7"/>
  <c r="IQO6" i="7"/>
  <c r="IQP6" i="7"/>
  <c r="IQQ6" i="7"/>
  <c r="IQR6" i="7"/>
  <c r="IQS6" i="7"/>
  <c r="IQT6" i="7"/>
  <c r="IQU6" i="7"/>
  <c r="IQV6" i="7"/>
  <c r="IQW6" i="7"/>
  <c r="IQX6" i="7"/>
  <c r="IQY6" i="7"/>
  <c r="IQZ6" i="7"/>
  <c r="IRA6" i="7"/>
  <c r="IRB6" i="7"/>
  <c r="IRC6" i="7"/>
  <c r="IRD6" i="7"/>
  <c r="IRE6" i="7"/>
  <c r="IRF6" i="7"/>
  <c r="IRG6" i="7"/>
  <c r="IRH6" i="7"/>
  <c r="IRI6" i="7"/>
  <c r="IRJ6" i="7"/>
  <c r="IRK6" i="7"/>
  <c r="IRL6" i="7"/>
  <c r="IRM6" i="7"/>
  <c r="IRN6" i="7"/>
  <c r="IRO6" i="7"/>
  <c r="IRP6" i="7"/>
  <c r="IRQ6" i="7"/>
  <c r="IRR6" i="7"/>
  <c r="IRS6" i="7"/>
  <c r="IRT6" i="7"/>
  <c r="IRU6" i="7"/>
  <c r="IRV6" i="7"/>
  <c r="IRW6" i="7"/>
  <c r="IRX6" i="7"/>
  <c r="IRY6" i="7"/>
  <c r="IRZ6" i="7"/>
  <c r="ISA6" i="7"/>
  <c r="ISB6" i="7"/>
  <c r="ISC6" i="7"/>
  <c r="ISD6" i="7"/>
  <c r="ISE6" i="7"/>
  <c r="ISF6" i="7"/>
  <c r="ISG6" i="7"/>
  <c r="ISH6" i="7"/>
  <c r="ISI6" i="7"/>
  <c r="ISJ6" i="7"/>
  <c r="ISK6" i="7"/>
  <c r="ISL6" i="7"/>
  <c r="ISM6" i="7"/>
  <c r="ISN6" i="7"/>
  <c r="ISO6" i="7"/>
  <c r="ISP6" i="7"/>
  <c r="ISQ6" i="7"/>
  <c r="ISR6" i="7"/>
  <c r="ISS6" i="7"/>
  <c r="IST6" i="7"/>
  <c r="ISU6" i="7"/>
  <c r="ISV6" i="7"/>
  <c r="ISW6" i="7"/>
  <c r="ISX6" i="7"/>
  <c r="ISY6" i="7"/>
  <c r="ISZ6" i="7"/>
  <c r="ITA6" i="7"/>
  <c r="ITB6" i="7"/>
  <c r="ITC6" i="7"/>
  <c r="ITD6" i="7"/>
  <c r="ITE6" i="7"/>
  <c r="ITF6" i="7"/>
  <c r="ITG6" i="7"/>
  <c r="ITH6" i="7"/>
  <c r="ITI6" i="7"/>
  <c r="ITJ6" i="7"/>
  <c r="ITK6" i="7"/>
  <c r="ITL6" i="7"/>
  <c r="ITM6" i="7"/>
  <c r="ITN6" i="7"/>
  <c r="ITO6" i="7"/>
  <c r="ITP6" i="7"/>
  <c r="ITQ6" i="7"/>
  <c r="ITR6" i="7"/>
  <c r="ITS6" i="7"/>
  <c r="ITT6" i="7"/>
  <c r="ITU6" i="7"/>
  <c r="ITV6" i="7"/>
  <c r="ITW6" i="7"/>
  <c r="ITX6" i="7"/>
  <c r="ITY6" i="7"/>
  <c r="ITZ6" i="7"/>
  <c r="IUA6" i="7"/>
  <c r="IUB6" i="7"/>
  <c r="IUC6" i="7"/>
  <c r="IUD6" i="7"/>
  <c r="IUE6" i="7"/>
  <c r="IUF6" i="7"/>
  <c r="IUG6" i="7"/>
  <c r="IUH6" i="7"/>
  <c r="IUI6" i="7"/>
  <c r="IUJ6" i="7"/>
  <c r="IUK6" i="7"/>
  <c r="IUL6" i="7"/>
  <c r="IUM6" i="7"/>
  <c r="IUN6" i="7"/>
  <c r="IUO6" i="7"/>
  <c r="IUP6" i="7"/>
  <c r="IUQ6" i="7"/>
  <c r="IUR6" i="7"/>
  <c r="IUS6" i="7"/>
  <c r="IUT6" i="7"/>
  <c r="IUU6" i="7"/>
  <c r="IUV6" i="7"/>
  <c r="IUW6" i="7"/>
  <c r="IUX6" i="7"/>
  <c r="IUY6" i="7"/>
  <c r="IUZ6" i="7"/>
  <c r="IVA6" i="7"/>
  <c r="IVB6" i="7"/>
  <c r="IVC6" i="7"/>
  <c r="IVD6" i="7"/>
  <c r="IVE6" i="7"/>
  <c r="IVF6" i="7"/>
  <c r="IVG6" i="7"/>
  <c r="IVH6" i="7"/>
  <c r="IVI6" i="7"/>
  <c r="IVJ6" i="7"/>
  <c r="IVK6" i="7"/>
  <c r="IVL6" i="7"/>
  <c r="IVM6" i="7"/>
  <c r="IVN6" i="7"/>
  <c r="IVO6" i="7"/>
  <c r="IVP6" i="7"/>
  <c r="IVQ6" i="7"/>
  <c r="IVR6" i="7"/>
  <c r="IVS6" i="7"/>
  <c r="IVT6" i="7"/>
  <c r="IVU6" i="7"/>
  <c r="IVV6" i="7"/>
  <c r="IVW6" i="7"/>
  <c r="IVX6" i="7"/>
  <c r="IVY6" i="7"/>
  <c r="IVZ6" i="7"/>
  <c r="IWA6" i="7"/>
  <c r="IWB6" i="7"/>
  <c r="IWC6" i="7"/>
  <c r="IWD6" i="7"/>
  <c r="IWE6" i="7"/>
  <c r="IWF6" i="7"/>
  <c r="IWG6" i="7"/>
  <c r="IWH6" i="7"/>
  <c r="IWI6" i="7"/>
  <c r="IWJ6" i="7"/>
  <c r="IWK6" i="7"/>
  <c r="IWL6" i="7"/>
  <c r="IWM6" i="7"/>
  <c r="IWN6" i="7"/>
  <c r="IWO6" i="7"/>
  <c r="IWP6" i="7"/>
  <c r="IWQ6" i="7"/>
  <c r="IWR6" i="7"/>
  <c r="IWS6" i="7"/>
  <c r="IWT6" i="7"/>
  <c r="IWU6" i="7"/>
  <c r="IWV6" i="7"/>
  <c r="IWW6" i="7"/>
  <c r="IWX6" i="7"/>
  <c r="IWY6" i="7"/>
  <c r="IWZ6" i="7"/>
  <c r="IXA6" i="7"/>
  <c r="IXB6" i="7"/>
  <c r="IXC6" i="7"/>
  <c r="IXD6" i="7"/>
  <c r="IXE6" i="7"/>
  <c r="IXF6" i="7"/>
  <c r="IXG6" i="7"/>
  <c r="IXH6" i="7"/>
  <c r="IXI6" i="7"/>
  <c r="IXJ6" i="7"/>
  <c r="IXK6" i="7"/>
  <c r="IXL6" i="7"/>
  <c r="IXM6" i="7"/>
  <c r="IXN6" i="7"/>
  <c r="IXO6" i="7"/>
  <c r="IXP6" i="7"/>
  <c r="IXQ6" i="7"/>
  <c r="IXR6" i="7"/>
  <c r="IXS6" i="7"/>
  <c r="IXT6" i="7"/>
  <c r="IXU6" i="7"/>
  <c r="IXV6" i="7"/>
  <c r="IXW6" i="7"/>
  <c r="IXX6" i="7"/>
  <c r="IXY6" i="7"/>
  <c r="IXZ6" i="7"/>
  <c r="IYA6" i="7"/>
  <c r="IYB6" i="7"/>
  <c r="IYC6" i="7"/>
  <c r="IYD6" i="7"/>
  <c r="IYE6" i="7"/>
  <c r="IYF6" i="7"/>
  <c r="IYG6" i="7"/>
  <c r="IYH6" i="7"/>
  <c r="IYI6" i="7"/>
  <c r="IYJ6" i="7"/>
  <c r="IYK6" i="7"/>
  <c r="IYL6" i="7"/>
  <c r="IYM6" i="7"/>
  <c r="IYN6" i="7"/>
  <c r="IYO6" i="7"/>
  <c r="IYP6" i="7"/>
  <c r="IYQ6" i="7"/>
  <c r="IYR6" i="7"/>
  <c r="IYS6" i="7"/>
  <c r="IYT6" i="7"/>
  <c r="IYU6" i="7"/>
  <c r="IYV6" i="7"/>
  <c r="IYW6" i="7"/>
  <c r="IYX6" i="7"/>
  <c r="IYY6" i="7"/>
  <c r="IYZ6" i="7"/>
  <c r="IZA6" i="7"/>
  <c r="IZB6" i="7"/>
  <c r="IZC6" i="7"/>
  <c r="IZD6" i="7"/>
  <c r="IZE6" i="7"/>
  <c r="IZF6" i="7"/>
  <c r="IZG6" i="7"/>
  <c r="IZH6" i="7"/>
  <c r="IZI6" i="7"/>
  <c r="IZJ6" i="7"/>
  <c r="IZK6" i="7"/>
  <c r="IZL6" i="7"/>
  <c r="IZM6" i="7"/>
  <c r="IZN6" i="7"/>
  <c r="IZO6" i="7"/>
  <c r="IZP6" i="7"/>
  <c r="IZQ6" i="7"/>
  <c r="IZR6" i="7"/>
  <c r="IZS6" i="7"/>
  <c r="IZT6" i="7"/>
  <c r="IZU6" i="7"/>
  <c r="IZV6" i="7"/>
  <c r="IZW6" i="7"/>
  <c r="IZX6" i="7"/>
  <c r="IZY6" i="7"/>
  <c r="IZZ6" i="7"/>
  <c r="JAA6" i="7"/>
  <c r="JAB6" i="7"/>
  <c r="JAC6" i="7"/>
  <c r="JAD6" i="7"/>
  <c r="JAE6" i="7"/>
  <c r="JAF6" i="7"/>
  <c r="JAG6" i="7"/>
  <c r="JAH6" i="7"/>
  <c r="JAI6" i="7"/>
  <c r="JAJ6" i="7"/>
  <c r="JAK6" i="7"/>
  <c r="JAL6" i="7"/>
  <c r="JAM6" i="7"/>
  <c r="JAN6" i="7"/>
  <c r="JAO6" i="7"/>
  <c r="JAP6" i="7"/>
  <c r="JAQ6" i="7"/>
  <c r="JAR6" i="7"/>
  <c r="JAS6" i="7"/>
  <c r="JAT6" i="7"/>
  <c r="JAU6" i="7"/>
  <c r="JAV6" i="7"/>
  <c r="JAW6" i="7"/>
  <c r="JAX6" i="7"/>
  <c r="JAY6" i="7"/>
  <c r="JAZ6" i="7"/>
  <c r="JBA6" i="7"/>
  <c r="JBB6" i="7"/>
  <c r="JBC6" i="7"/>
  <c r="JBD6" i="7"/>
  <c r="JBE6" i="7"/>
  <c r="JBF6" i="7"/>
  <c r="JBG6" i="7"/>
  <c r="JBH6" i="7"/>
  <c r="JBI6" i="7"/>
  <c r="JBJ6" i="7"/>
  <c r="JBK6" i="7"/>
  <c r="JBL6" i="7"/>
  <c r="JBM6" i="7"/>
  <c r="JBN6" i="7"/>
  <c r="JBO6" i="7"/>
  <c r="JBP6" i="7"/>
  <c r="JBQ6" i="7"/>
  <c r="JBR6" i="7"/>
  <c r="JBS6" i="7"/>
  <c r="JBT6" i="7"/>
  <c r="JBU6" i="7"/>
  <c r="JBV6" i="7"/>
  <c r="JBW6" i="7"/>
  <c r="JBX6" i="7"/>
  <c r="JBY6" i="7"/>
  <c r="JBZ6" i="7"/>
  <c r="JCA6" i="7"/>
  <c r="JCB6" i="7"/>
  <c r="JCC6" i="7"/>
  <c r="JCD6" i="7"/>
  <c r="JCE6" i="7"/>
  <c r="JCF6" i="7"/>
  <c r="JCG6" i="7"/>
  <c r="JCH6" i="7"/>
  <c r="JCI6" i="7"/>
  <c r="JCJ6" i="7"/>
  <c r="JCK6" i="7"/>
  <c r="JCL6" i="7"/>
  <c r="JCM6" i="7"/>
  <c r="JCN6" i="7"/>
  <c r="JCO6" i="7"/>
  <c r="JCP6" i="7"/>
  <c r="JCQ6" i="7"/>
  <c r="JCR6" i="7"/>
  <c r="JCS6" i="7"/>
  <c r="JCT6" i="7"/>
  <c r="JCU6" i="7"/>
  <c r="JCV6" i="7"/>
  <c r="JCW6" i="7"/>
  <c r="JCX6" i="7"/>
  <c r="JCY6" i="7"/>
  <c r="JCZ6" i="7"/>
  <c r="JDA6" i="7"/>
  <c r="JDB6" i="7"/>
  <c r="JDC6" i="7"/>
  <c r="JDD6" i="7"/>
  <c r="JDE6" i="7"/>
  <c r="JDF6" i="7"/>
  <c r="JDG6" i="7"/>
  <c r="JDH6" i="7"/>
  <c r="JDI6" i="7"/>
  <c r="JDJ6" i="7"/>
  <c r="JDK6" i="7"/>
  <c r="JDL6" i="7"/>
  <c r="JDM6" i="7"/>
  <c r="JDN6" i="7"/>
  <c r="JDO6" i="7"/>
  <c r="JDP6" i="7"/>
  <c r="JDQ6" i="7"/>
  <c r="JDR6" i="7"/>
  <c r="JDS6" i="7"/>
  <c r="JDT6" i="7"/>
  <c r="JDU6" i="7"/>
  <c r="JDV6" i="7"/>
  <c r="JDW6" i="7"/>
  <c r="JDX6" i="7"/>
  <c r="JDY6" i="7"/>
  <c r="JDZ6" i="7"/>
  <c r="JEA6" i="7"/>
  <c r="JEB6" i="7"/>
  <c r="JEC6" i="7"/>
  <c r="JED6" i="7"/>
  <c r="JEE6" i="7"/>
  <c r="JEF6" i="7"/>
  <c r="JEG6" i="7"/>
  <c r="JEH6" i="7"/>
  <c r="JEI6" i="7"/>
  <c r="JEJ6" i="7"/>
  <c r="JEK6" i="7"/>
  <c r="JEL6" i="7"/>
  <c r="JEM6" i="7"/>
  <c r="JEN6" i="7"/>
  <c r="JEO6" i="7"/>
  <c r="JEP6" i="7"/>
  <c r="JEQ6" i="7"/>
  <c r="JER6" i="7"/>
  <c r="JES6" i="7"/>
  <c r="JET6" i="7"/>
  <c r="JEU6" i="7"/>
  <c r="JEV6" i="7"/>
  <c r="JEW6" i="7"/>
  <c r="JEX6" i="7"/>
  <c r="JEY6" i="7"/>
  <c r="JEZ6" i="7"/>
  <c r="JFA6" i="7"/>
  <c r="JFB6" i="7"/>
  <c r="JFC6" i="7"/>
  <c r="JFD6" i="7"/>
  <c r="JFE6" i="7"/>
  <c r="JFF6" i="7"/>
  <c r="JFG6" i="7"/>
  <c r="JFH6" i="7"/>
  <c r="JFI6" i="7"/>
  <c r="JFJ6" i="7"/>
  <c r="JFK6" i="7"/>
  <c r="JFL6" i="7"/>
  <c r="JFM6" i="7"/>
  <c r="JFN6" i="7"/>
  <c r="JFO6" i="7"/>
  <c r="JFP6" i="7"/>
  <c r="JFQ6" i="7"/>
  <c r="JFR6" i="7"/>
  <c r="JFS6" i="7"/>
  <c r="JFT6" i="7"/>
  <c r="JFU6" i="7"/>
  <c r="JFV6" i="7"/>
  <c r="JFW6" i="7"/>
  <c r="JFX6" i="7"/>
  <c r="JFY6" i="7"/>
  <c r="JFZ6" i="7"/>
  <c r="JGA6" i="7"/>
  <c r="JGB6" i="7"/>
  <c r="JGC6" i="7"/>
  <c r="JGD6" i="7"/>
  <c r="JGE6" i="7"/>
  <c r="JGF6" i="7"/>
  <c r="JGG6" i="7"/>
  <c r="JGH6" i="7"/>
  <c r="JGI6" i="7"/>
  <c r="JGJ6" i="7"/>
  <c r="JGK6" i="7"/>
  <c r="JGL6" i="7"/>
  <c r="JGM6" i="7"/>
  <c r="JGN6" i="7"/>
  <c r="JGO6" i="7"/>
  <c r="JGP6" i="7"/>
  <c r="JGQ6" i="7"/>
  <c r="JGR6" i="7"/>
  <c r="JGS6" i="7"/>
  <c r="JGT6" i="7"/>
  <c r="JGU6" i="7"/>
  <c r="JGV6" i="7"/>
  <c r="JGW6" i="7"/>
  <c r="JGX6" i="7"/>
  <c r="JGY6" i="7"/>
  <c r="JGZ6" i="7"/>
  <c r="JHA6" i="7"/>
  <c r="JHB6" i="7"/>
  <c r="JHC6" i="7"/>
  <c r="JHD6" i="7"/>
  <c r="JHE6" i="7"/>
  <c r="JHF6" i="7"/>
  <c r="JHG6" i="7"/>
  <c r="JHH6" i="7"/>
  <c r="JHI6" i="7"/>
  <c r="JHJ6" i="7"/>
  <c r="JHK6" i="7"/>
  <c r="JHL6" i="7"/>
  <c r="JHM6" i="7"/>
  <c r="JHN6" i="7"/>
  <c r="JHO6" i="7"/>
  <c r="JHP6" i="7"/>
  <c r="JHQ6" i="7"/>
  <c r="JHR6" i="7"/>
  <c r="JHS6" i="7"/>
  <c r="JHT6" i="7"/>
  <c r="JHU6" i="7"/>
  <c r="JHV6" i="7"/>
  <c r="JHW6" i="7"/>
  <c r="JHX6" i="7"/>
  <c r="JHY6" i="7"/>
  <c r="JHZ6" i="7"/>
  <c r="JIA6" i="7"/>
  <c r="JIB6" i="7"/>
  <c r="JIC6" i="7"/>
  <c r="JID6" i="7"/>
  <c r="JIE6" i="7"/>
  <c r="JIF6" i="7"/>
  <c r="JIG6" i="7"/>
  <c r="JIH6" i="7"/>
  <c r="JII6" i="7"/>
  <c r="JIJ6" i="7"/>
  <c r="JIK6" i="7"/>
  <c r="JIL6" i="7"/>
  <c r="JIM6" i="7"/>
  <c r="JIN6" i="7"/>
  <c r="JIO6" i="7"/>
  <c r="JIP6" i="7"/>
  <c r="JIQ6" i="7"/>
  <c r="JIR6" i="7"/>
  <c r="JIS6" i="7"/>
  <c r="JIT6" i="7"/>
  <c r="JIU6" i="7"/>
  <c r="JIV6" i="7"/>
  <c r="JIW6" i="7"/>
  <c r="JIX6" i="7"/>
  <c r="JIY6" i="7"/>
  <c r="JIZ6" i="7"/>
  <c r="JJA6" i="7"/>
  <c r="JJB6" i="7"/>
  <c r="JJC6" i="7"/>
  <c r="JJD6" i="7"/>
  <c r="JJE6" i="7"/>
  <c r="JJF6" i="7"/>
  <c r="JJG6" i="7"/>
  <c r="JJH6" i="7"/>
  <c r="JJI6" i="7"/>
  <c r="JJJ6" i="7"/>
  <c r="JJK6" i="7"/>
  <c r="JJL6" i="7"/>
  <c r="JJM6" i="7"/>
  <c r="JJN6" i="7"/>
  <c r="JJO6" i="7"/>
  <c r="JJP6" i="7"/>
  <c r="JJQ6" i="7"/>
  <c r="JJR6" i="7"/>
  <c r="JJS6" i="7"/>
  <c r="JJT6" i="7"/>
  <c r="JJU6" i="7"/>
  <c r="JJV6" i="7"/>
  <c r="JJW6" i="7"/>
  <c r="JJX6" i="7"/>
  <c r="JJY6" i="7"/>
  <c r="JJZ6" i="7"/>
  <c r="JKA6" i="7"/>
  <c r="JKB6" i="7"/>
  <c r="JKC6" i="7"/>
  <c r="JKD6" i="7"/>
  <c r="JKE6" i="7"/>
  <c r="JKF6" i="7"/>
  <c r="JKG6" i="7"/>
  <c r="JKH6" i="7"/>
  <c r="JKI6" i="7"/>
  <c r="JKJ6" i="7"/>
  <c r="JKK6" i="7"/>
  <c r="JKL6" i="7"/>
  <c r="JKM6" i="7"/>
  <c r="JKN6" i="7"/>
  <c r="JKO6" i="7"/>
  <c r="JKP6" i="7"/>
  <c r="JKQ6" i="7"/>
  <c r="JKR6" i="7"/>
  <c r="JKS6" i="7"/>
  <c r="JKT6" i="7"/>
  <c r="JKU6" i="7"/>
  <c r="JKV6" i="7"/>
  <c r="JKW6" i="7"/>
  <c r="JKX6" i="7"/>
  <c r="JKY6" i="7"/>
  <c r="JKZ6" i="7"/>
  <c r="JLA6" i="7"/>
  <c r="JLB6" i="7"/>
  <c r="JLC6" i="7"/>
  <c r="JLD6" i="7"/>
  <c r="JLE6" i="7"/>
  <c r="JLF6" i="7"/>
  <c r="JLG6" i="7"/>
  <c r="JLH6" i="7"/>
  <c r="JLI6" i="7"/>
  <c r="JLJ6" i="7"/>
  <c r="JLK6" i="7"/>
  <c r="JLL6" i="7"/>
  <c r="JLM6" i="7"/>
  <c r="JLN6" i="7"/>
  <c r="JLO6" i="7"/>
  <c r="JLP6" i="7"/>
  <c r="JLQ6" i="7"/>
  <c r="JLR6" i="7"/>
  <c r="JLS6" i="7"/>
  <c r="JLT6" i="7"/>
  <c r="JLU6" i="7"/>
  <c r="JLV6" i="7"/>
  <c r="JLW6" i="7"/>
  <c r="JLX6" i="7"/>
  <c r="JLY6" i="7"/>
  <c r="JLZ6" i="7"/>
  <c r="JMA6" i="7"/>
  <c r="JMB6" i="7"/>
  <c r="JMC6" i="7"/>
  <c r="JMD6" i="7"/>
  <c r="JME6" i="7"/>
  <c r="JMF6" i="7"/>
  <c r="JMG6" i="7"/>
  <c r="JMH6" i="7"/>
  <c r="JMI6" i="7"/>
  <c r="JMJ6" i="7"/>
  <c r="JMK6" i="7"/>
  <c r="JML6" i="7"/>
  <c r="JMM6" i="7"/>
  <c r="JMN6" i="7"/>
  <c r="JMO6" i="7"/>
  <c r="JMP6" i="7"/>
  <c r="JMQ6" i="7"/>
  <c r="JMR6" i="7"/>
  <c r="JMS6" i="7"/>
  <c r="JMT6" i="7"/>
  <c r="JMU6" i="7"/>
  <c r="JMV6" i="7"/>
  <c r="JMW6" i="7"/>
  <c r="JMX6" i="7"/>
  <c r="JMY6" i="7"/>
  <c r="JMZ6" i="7"/>
  <c r="JNA6" i="7"/>
  <c r="JNB6" i="7"/>
  <c r="JNC6" i="7"/>
  <c r="JND6" i="7"/>
  <c r="JNE6" i="7"/>
  <c r="JNF6" i="7"/>
  <c r="JNG6" i="7"/>
  <c r="JNH6" i="7"/>
  <c r="JNI6" i="7"/>
  <c r="JNJ6" i="7"/>
  <c r="JNK6" i="7"/>
  <c r="JNL6" i="7"/>
  <c r="JNM6" i="7"/>
  <c r="JNN6" i="7"/>
  <c r="JNO6" i="7"/>
  <c r="JNP6" i="7"/>
  <c r="JNQ6" i="7"/>
  <c r="JNR6" i="7"/>
  <c r="JNS6" i="7"/>
  <c r="JNT6" i="7"/>
  <c r="JNU6" i="7"/>
  <c r="JNV6" i="7"/>
  <c r="JNW6" i="7"/>
  <c r="JNX6" i="7"/>
  <c r="JNY6" i="7"/>
  <c r="JNZ6" i="7"/>
  <c r="JOA6" i="7"/>
  <c r="JOB6" i="7"/>
  <c r="JOC6" i="7"/>
  <c r="JOD6" i="7"/>
  <c r="JOE6" i="7"/>
  <c r="JOF6" i="7"/>
  <c r="JOG6" i="7"/>
  <c r="JOH6" i="7"/>
  <c r="JOI6" i="7"/>
  <c r="JOJ6" i="7"/>
  <c r="JOK6" i="7"/>
  <c r="JOL6" i="7"/>
  <c r="JOM6" i="7"/>
  <c r="JON6" i="7"/>
  <c r="JOO6" i="7"/>
  <c r="JOP6" i="7"/>
  <c r="JOQ6" i="7"/>
  <c r="JOR6" i="7"/>
  <c r="JOS6" i="7"/>
  <c r="JOT6" i="7"/>
  <c r="JOU6" i="7"/>
  <c r="JOV6" i="7"/>
  <c r="JOW6" i="7"/>
  <c r="JOX6" i="7"/>
  <c r="JOY6" i="7"/>
  <c r="JOZ6" i="7"/>
  <c r="JPA6" i="7"/>
  <c r="JPB6" i="7"/>
  <c r="JPC6" i="7"/>
  <c r="JPD6" i="7"/>
  <c r="JPE6" i="7"/>
  <c r="JPF6" i="7"/>
  <c r="JPG6" i="7"/>
  <c r="JPH6" i="7"/>
  <c r="JPI6" i="7"/>
  <c r="JPJ6" i="7"/>
  <c r="JPK6" i="7"/>
  <c r="JPL6" i="7"/>
  <c r="JPM6" i="7"/>
  <c r="JPN6" i="7"/>
  <c r="JPO6" i="7"/>
  <c r="JPP6" i="7"/>
  <c r="JPQ6" i="7"/>
  <c r="JPR6" i="7"/>
  <c r="JPS6" i="7"/>
  <c r="JPT6" i="7"/>
  <c r="JPU6" i="7"/>
  <c r="JPV6" i="7"/>
  <c r="JPW6" i="7"/>
  <c r="JPX6" i="7"/>
  <c r="JPY6" i="7"/>
  <c r="JPZ6" i="7"/>
  <c r="JQA6" i="7"/>
  <c r="JQB6" i="7"/>
  <c r="JQC6" i="7"/>
  <c r="JQD6" i="7"/>
  <c r="JQE6" i="7"/>
  <c r="JQF6" i="7"/>
  <c r="JQG6" i="7"/>
  <c r="JQH6" i="7"/>
  <c r="JQI6" i="7"/>
  <c r="JQJ6" i="7"/>
  <c r="JQK6" i="7"/>
  <c r="JQL6" i="7"/>
  <c r="JQM6" i="7"/>
  <c r="JQN6" i="7"/>
  <c r="JQO6" i="7"/>
  <c r="JQP6" i="7"/>
  <c r="JQQ6" i="7"/>
  <c r="JQR6" i="7"/>
  <c r="JQS6" i="7"/>
  <c r="JQT6" i="7"/>
  <c r="JQU6" i="7"/>
  <c r="JQV6" i="7"/>
  <c r="JQW6" i="7"/>
  <c r="JQX6" i="7"/>
  <c r="JQY6" i="7"/>
  <c r="JQZ6" i="7"/>
  <c r="JRA6" i="7"/>
  <c r="JRB6" i="7"/>
  <c r="JRC6" i="7"/>
  <c r="JRD6" i="7"/>
  <c r="JRE6" i="7"/>
  <c r="JRF6" i="7"/>
  <c r="JRG6" i="7"/>
  <c r="JRH6" i="7"/>
  <c r="JRI6" i="7"/>
  <c r="JRJ6" i="7"/>
  <c r="JRK6" i="7"/>
  <c r="JRL6" i="7"/>
  <c r="JRM6" i="7"/>
  <c r="JRN6" i="7"/>
  <c r="JRO6" i="7"/>
  <c r="JRP6" i="7"/>
  <c r="JRQ6" i="7"/>
  <c r="JRR6" i="7"/>
  <c r="JRS6" i="7"/>
  <c r="JRT6" i="7"/>
  <c r="JRU6" i="7"/>
  <c r="JRV6" i="7"/>
  <c r="JRW6" i="7"/>
  <c r="JRX6" i="7"/>
  <c r="JRY6" i="7"/>
  <c r="JRZ6" i="7"/>
  <c r="JSA6" i="7"/>
  <c r="JSB6" i="7"/>
  <c r="JSC6" i="7"/>
  <c r="JSD6" i="7"/>
  <c r="JSE6" i="7"/>
  <c r="JSF6" i="7"/>
  <c r="JSG6" i="7"/>
  <c r="JSH6" i="7"/>
  <c r="JSI6" i="7"/>
  <c r="JSJ6" i="7"/>
  <c r="JSK6" i="7"/>
  <c r="JSL6" i="7"/>
  <c r="JSM6" i="7"/>
  <c r="JSN6" i="7"/>
  <c r="JSO6" i="7"/>
  <c r="JSP6" i="7"/>
  <c r="JSQ6" i="7"/>
  <c r="JSR6" i="7"/>
  <c r="JSS6" i="7"/>
  <c r="JST6" i="7"/>
  <c r="JSU6" i="7"/>
  <c r="JSV6" i="7"/>
  <c r="JSW6" i="7"/>
  <c r="JSX6" i="7"/>
  <c r="JSY6" i="7"/>
  <c r="JSZ6" i="7"/>
  <c r="JTA6" i="7"/>
  <c r="JTB6" i="7"/>
  <c r="JTC6" i="7"/>
  <c r="JTD6" i="7"/>
  <c r="JTE6" i="7"/>
  <c r="JTF6" i="7"/>
  <c r="JTG6" i="7"/>
  <c r="JTH6" i="7"/>
  <c r="JTI6" i="7"/>
  <c r="JTJ6" i="7"/>
  <c r="JTK6" i="7"/>
  <c r="JTL6" i="7"/>
  <c r="JTM6" i="7"/>
  <c r="JTN6" i="7"/>
  <c r="JTO6" i="7"/>
  <c r="JTP6" i="7"/>
  <c r="JTQ6" i="7"/>
  <c r="JTR6" i="7"/>
  <c r="JTS6" i="7"/>
  <c r="JTT6" i="7"/>
  <c r="JTU6" i="7"/>
  <c r="JTV6" i="7"/>
  <c r="JTW6" i="7"/>
  <c r="JTX6" i="7"/>
  <c r="JTY6" i="7"/>
  <c r="JTZ6" i="7"/>
  <c r="JUA6" i="7"/>
  <c r="JUB6" i="7"/>
  <c r="JUC6" i="7"/>
  <c r="JUD6" i="7"/>
  <c r="JUE6" i="7"/>
  <c r="JUF6" i="7"/>
  <c r="JUG6" i="7"/>
  <c r="JUH6" i="7"/>
  <c r="JUI6" i="7"/>
  <c r="JUJ6" i="7"/>
  <c r="JUK6" i="7"/>
  <c r="JUL6" i="7"/>
  <c r="JUM6" i="7"/>
  <c r="JUN6" i="7"/>
  <c r="JUO6" i="7"/>
  <c r="JUP6" i="7"/>
  <c r="JUQ6" i="7"/>
  <c r="JUR6" i="7"/>
  <c r="JUS6" i="7"/>
  <c r="JUT6" i="7"/>
  <c r="JUU6" i="7"/>
  <c r="JUV6" i="7"/>
  <c r="JUW6" i="7"/>
  <c r="JUX6" i="7"/>
  <c r="JUY6" i="7"/>
  <c r="JUZ6" i="7"/>
  <c r="JVA6" i="7"/>
  <c r="JVB6" i="7"/>
  <c r="JVC6" i="7"/>
  <c r="JVD6" i="7"/>
  <c r="JVE6" i="7"/>
  <c r="JVF6" i="7"/>
  <c r="JVG6" i="7"/>
  <c r="JVH6" i="7"/>
  <c r="JVI6" i="7"/>
  <c r="JVJ6" i="7"/>
  <c r="JVK6" i="7"/>
  <c r="JVL6" i="7"/>
  <c r="JVM6" i="7"/>
  <c r="JVN6" i="7"/>
  <c r="JVO6" i="7"/>
  <c r="JVP6" i="7"/>
  <c r="JVQ6" i="7"/>
  <c r="JVR6" i="7"/>
  <c r="JVS6" i="7"/>
  <c r="JVT6" i="7"/>
  <c r="JVU6" i="7"/>
  <c r="JVV6" i="7"/>
  <c r="JVW6" i="7"/>
  <c r="JVX6" i="7"/>
  <c r="JVY6" i="7"/>
  <c r="JVZ6" i="7"/>
  <c r="JWA6" i="7"/>
  <c r="JWB6" i="7"/>
  <c r="JWC6" i="7"/>
  <c r="JWD6" i="7"/>
  <c r="JWE6" i="7"/>
  <c r="JWF6" i="7"/>
  <c r="JWG6" i="7"/>
  <c r="JWH6" i="7"/>
  <c r="JWI6" i="7"/>
  <c r="JWJ6" i="7"/>
  <c r="JWK6" i="7"/>
  <c r="JWL6" i="7"/>
  <c r="JWM6" i="7"/>
  <c r="JWN6" i="7"/>
  <c r="JWO6" i="7"/>
  <c r="JWP6" i="7"/>
  <c r="JWQ6" i="7"/>
  <c r="JWR6" i="7"/>
  <c r="JWS6" i="7"/>
  <c r="JWT6" i="7"/>
  <c r="JWU6" i="7"/>
  <c r="JWV6" i="7"/>
  <c r="JWW6" i="7"/>
  <c r="JWX6" i="7"/>
  <c r="JWY6" i="7"/>
  <c r="JWZ6" i="7"/>
  <c r="JXA6" i="7"/>
  <c r="JXB6" i="7"/>
  <c r="JXC6" i="7"/>
  <c r="JXD6" i="7"/>
  <c r="JXE6" i="7"/>
  <c r="JXF6" i="7"/>
  <c r="JXG6" i="7"/>
  <c r="JXH6" i="7"/>
  <c r="JXI6" i="7"/>
  <c r="JXJ6" i="7"/>
  <c r="JXK6" i="7"/>
  <c r="JXL6" i="7"/>
  <c r="JXM6" i="7"/>
  <c r="JXN6" i="7"/>
  <c r="JXO6" i="7"/>
  <c r="JXP6" i="7"/>
  <c r="JXQ6" i="7"/>
  <c r="JXR6" i="7"/>
  <c r="JXS6" i="7"/>
  <c r="JXT6" i="7"/>
  <c r="JXU6" i="7"/>
  <c r="JXV6" i="7"/>
  <c r="JXW6" i="7"/>
  <c r="JXX6" i="7"/>
  <c r="JXY6" i="7"/>
  <c r="JXZ6" i="7"/>
  <c r="JYA6" i="7"/>
  <c r="JYB6" i="7"/>
  <c r="JYC6" i="7"/>
  <c r="JYD6" i="7"/>
  <c r="JYE6" i="7"/>
  <c r="JYF6" i="7"/>
  <c r="JYG6" i="7"/>
  <c r="JYH6" i="7"/>
  <c r="JYI6" i="7"/>
  <c r="JYJ6" i="7"/>
  <c r="JYK6" i="7"/>
  <c r="JYL6" i="7"/>
  <c r="JYM6" i="7"/>
  <c r="JYN6" i="7"/>
  <c r="JYO6" i="7"/>
  <c r="JYP6" i="7"/>
  <c r="JYQ6" i="7"/>
  <c r="JYR6" i="7"/>
  <c r="JYS6" i="7"/>
  <c r="JYT6" i="7"/>
  <c r="JYU6" i="7"/>
  <c r="JYV6" i="7"/>
  <c r="JYW6" i="7"/>
  <c r="JYX6" i="7"/>
  <c r="JYY6" i="7"/>
  <c r="JYZ6" i="7"/>
  <c r="JZA6" i="7"/>
  <c r="JZB6" i="7"/>
  <c r="JZC6" i="7"/>
  <c r="JZD6" i="7"/>
  <c r="JZE6" i="7"/>
  <c r="JZF6" i="7"/>
  <c r="JZG6" i="7"/>
  <c r="JZH6" i="7"/>
  <c r="JZI6" i="7"/>
  <c r="JZJ6" i="7"/>
  <c r="JZK6" i="7"/>
  <c r="JZL6" i="7"/>
  <c r="JZM6" i="7"/>
  <c r="JZN6" i="7"/>
  <c r="JZO6" i="7"/>
  <c r="JZP6" i="7"/>
  <c r="JZQ6" i="7"/>
  <c r="JZR6" i="7"/>
  <c r="JZS6" i="7"/>
  <c r="JZT6" i="7"/>
  <c r="JZU6" i="7"/>
  <c r="JZV6" i="7"/>
  <c r="JZW6" i="7"/>
  <c r="JZX6" i="7"/>
  <c r="JZY6" i="7"/>
  <c r="JZZ6" i="7"/>
  <c r="KAA6" i="7"/>
  <c r="KAB6" i="7"/>
  <c r="KAC6" i="7"/>
  <c r="KAD6" i="7"/>
  <c r="KAE6" i="7"/>
  <c r="KAF6" i="7"/>
  <c r="KAG6" i="7"/>
  <c r="KAH6" i="7"/>
  <c r="KAI6" i="7"/>
  <c r="KAJ6" i="7"/>
  <c r="KAK6" i="7"/>
  <c r="KAL6" i="7"/>
  <c r="KAM6" i="7"/>
  <c r="KAN6" i="7"/>
  <c r="KAO6" i="7"/>
  <c r="KAP6" i="7"/>
  <c r="KAQ6" i="7"/>
  <c r="KAR6" i="7"/>
  <c r="KAS6" i="7"/>
  <c r="KAT6" i="7"/>
  <c r="KAU6" i="7"/>
  <c r="KAV6" i="7"/>
  <c r="KAW6" i="7"/>
  <c r="KAX6" i="7"/>
  <c r="KAY6" i="7"/>
  <c r="KAZ6" i="7"/>
  <c r="KBA6" i="7"/>
  <c r="KBB6" i="7"/>
  <c r="KBC6" i="7"/>
  <c r="KBD6" i="7"/>
  <c r="KBE6" i="7"/>
  <c r="KBF6" i="7"/>
  <c r="KBG6" i="7"/>
  <c r="KBH6" i="7"/>
  <c r="KBI6" i="7"/>
  <c r="KBJ6" i="7"/>
  <c r="KBK6" i="7"/>
  <c r="KBL6" i="7"/>
  <c r="KBM6" i="7"/>
  <c r="KBN6" i="7"/>
  <c r="KBO6" i="7"/>
  <c r="KBP6" i="7"/>
  <c r="KBQ6" i="7"/>
  <c r="KBR6" i="7"/>
  <c r="KBS6" i="7"/>
  <c r="KBT6" i="7"/>
  <c r="KBU6" i="7"/>
  <c r="KBV6" i="7"/>
  <c r="KBW6" i="7"/>
  <c r="KBX6" i="7"/>
  <c r="KBY6" i="7"/>
  <c r="KBZ6" i="7"/>
  <c r="KCA6" i="7"/>
  <c r="KCB6" i="7"/>
  <c r="KCC6" i="7"/>
  <c r="KCD6" i="7"/>
  <c r="KCE6" i="7"/>
  <c r="KCF6" i="7"/>
  <c r="KCG6" i="7"/>
  <c r="KCH6" i="7"/>
  <c r="KCI6" i="7"/>
  <c r="KCJ6" i="7"/>
  <c r="KCK6" i="7"/>
  <c r="KCL6" i="7"/>
  <c r="KCM6" i="7"/>
  <c r="KCN6" i="7"/>
  <c r="KCO6" i="7"/>
  <c r="KCP6" i="7"/>
  <c r="KCQ6" i="7"/>
  <c r="KCR6" i="7"/>
  <c r="KCS6" i="7"/>
  <c r="KCT6" i="7"/>
  <c r="KCU6" i="7"/>
  <c r="KCV6" i="7"/>
  <c r="KCW6" i="7"/>
  <c r="KCX6" i="7"/>
  <c r="KCY6" i="7"/>
  <c r="KCZ6" i="7"/>
  <c r="KDA6" i="7"/>
  <c r="KDB6" i="7"/>
  <c r="KDC6" i="7"/>
  <c r="KDD6" i="7"/>
  <c r="KDE6" i="7"/>
  <c r="KDF6" i="7"/>
  <c r="KDG6" i="7"/>
  <c r="KDH6" i="7"/>
  <c r="KDI6" i="7"/>
  <c r="KDJ6" i="7"/>
  <c r="KDK6" i="7"/>
  <c r="KDL6" i="7"/>
  <c r="KDM6" i="7"/>
  <c r="KDN6" i="7"/>
  <c r="KDO6" i="7"/>
  <c r="KDP6" i="7"/>
  <c r="KDQ6" i="7"/>
  <c r="KDR6" i="7"/>
  <c r="KDS6" i="7"/>
  <c r="KDT6" i="7"/>
  <c r="KDU6" i="7"/>
  <c r="KDV6" i="7"/>
  <c r="KDW6" i="7"/>
  <c r="KDX6" i="7"/>
  <c r="KDY6" i="7"/>
  <c r="KDZ6" i="7"/>
  <c r="KEA6" i="7"/>
  <c r="KEB6" i="7"/>
  <c r="KEC6" i="7"/>
  <c r="KED6" i="7"/>
  <c r="KEE6" i="7"/>
  <c r="KEF6" i="7"/>
  <c r="KEG6" i="7"/>
  <c r="KEH6" i="7"/>
  <c r="KEI6" i="7"/>
  <c r="KEJ6" i="7"/>
  <c r="KEK6" i="7"/>
  <c r="KEL6" i="7"/>
  <c r="KEM6" i="7"/>
  <c r="KEN6" i="7"/>
  <c r="KEO6" i="7"/>
  <c r="KEP6" i="7"/>
  <c r="KEQ6" i="7"/>
  <c r="KER6" i="7"/>
  <c r="KES6" i="7"/>
  <c r="KET6" i="7"/>
  <c r="KEU6" i="7"/>
  <c r="KEV6" i="7"/>
  <c r="KEW6" i="7"/>
  <c r="KEX6" i="7"/>
  <c r="KEY6" i="7"/>
  <c r="KEZ6" i="7"/>
  <c r="KFA6" i="7"/>
  <c r="KFB6" i="7"/>
  <c r="KFC6" i="7"/>
  <c r="KFD6" i="7"/>
  <c r="KFE6" i="7"/>
  <c r="KFF6" i="7"/>
  <c r="KFG6" i="7"/>
  <c r="KFH6" i="7"/>
  <c r="KFI6" i="7"/>
  <c r="KFJ6" i="7"/>
  <c r="KFK6" i="7"/>
  <c r="KFL6" i="7"/>
  <c r="KFM6" i="7"/>
  <c r="KFN6" i="7"/>
  <c r="KFO6" i="7"/>
  <c r="KFP6" i="7"/>
  <c r="KFQ6" i="7"/>
  <c r="KFR6" i="7"/>
  <c r="KFS6" i="7"/>
  <c r="KFT6" i="7"/>
  <c r="KFU6" i="7"/>
  <c r="KFV6" i="7"/>
  <c r="KFW6" i="7"/>
  <c r="KFX6" i="7"/>
  <c r="KFY6" i="7"/>
  <c r="KFZ6" i="7"/>
  <c r="KGA6" i="7"/>
  <c r="KGB6" i="7"/>
  <c r="KGC6" i="7"/>
  <c r="KGD6" i="7"/>
  <c r="KGE6" i="7"/>
  <c r="KGF6" i="7"/>
  <c r="KGG6" i="7"/>
  <c r="KGH6" i="7"/>
  <c r="KGI6" i="7"/>
  <c r="KGJ6" i="7"/>
  <c r="KGK6" i="7"/>
  <c r="KGL6" i="7"/>
  <c r="KGM6" i="7"/>
  <c r="KGN6" i="7"/>
  <c r="KGO6" i="7"/>
  <c r="KGP6" i="7"/>
  <c r="KGQ6" i="7"/>
  <c r="KGR6" i="7"/>
  <c r="KGS6" i="7"/>
  <c r="KGT6" i="7"/>
  <c r="KGU6" i="7"/>
  <c r="KGV6" i="7"/>
  <c r="KGW6" i="7"/>
  <c r="KGX6" i="7"/>
  <c r="KGY6" i="7"/>
  <c r="KGZ6" i="7"/>
  <c r="KHA6" i="7"/>
  <c r="KHB6" i="7"/>
  <c r="KHC6" i="7"/>
  <c r="KHD6" i="7"/>
  <c r="KHE6" i="7"/>
  <c r="KHF6" i="7"/>
  <c r="KHG6" i="7"/>
  <c r="KHH6" i="7"/>
  <c r="KHI6" i="7"/>
  <c r="KHJ6" i="7"/>
  <c r="KHK6" i="7"/>
  <c r="KHL6" i="7"/>
  <c r="KHM6" i="7"/>
  <c r="KHN6" i="7"/>
  <c r="KHO6" i="7"/>
  <c r="KHP6" i="7"/>
  <c r="KHQ6" i="7"/>
  <c r="KHR6" i="7"/>
  <c r="KHS6" i="7"/>
  <c r="KHT6" i="7"/>
  <c r="KHU6" i="7"/>
  <c r="KHV6" i="7"/>
  <c r="KHW6" i="7"/>
  <c r="KHX6" i="7"/>
  <c r="KHY6" i="7"/>
  <c r="KHZ6" i="7"/>
  <c r="KIA6" i="7"/>
  <c r="KIB6" i="7"/>
  <c r="KIC6" i="7"/>
  <c r="KID6" i="7"/>
  <c r="KIE6" i="7"/>
  <c r="KIF6" i="7"/>
  <c r="KIG6" i="7"/>
  <c r="KIH6" i="7"/>
  <c r="KII6" i="7"/>
  <c r="KIJ6" i="7"/>
  <c r="KIK6" i="7"/>
  <c r="KIL6" i="7"/>
  <c r="KIM6" i="7"/>
  <c r="KIN6" i="7"/>
  <c r="KIO6" i="7"/>
  <c r="KIP6" i="7"/>
  <c r="KIQ6" i="7"/>
  <c r="KIR6" i="7"/>
  <c r="KIS6" i="7"/>
  <c r="KIT6" i="7"/>
  <c r="KIU6" i="7"/>
  <c r="KIV6" i="7"/>
  <c r="KIW6" i="7"/>
  <c r="KIX6" i="7"/>
  <c r="KIY6" i="7"/>
  <c r="KIZ6" i="7"/>
  <c r="KJA6" i="7"/>
  <c r="KJB6" i="7"/>
  <c r="KJC6" i="7"/>
  <c r="KJD6" i="7"/>
  <c r="KJE6" i="7"/>
  <c r="KJF6" i="7"/>
  <c r="KJG6" i="7"/>
  <c r="KJH6" i="7"/>
  <c r="KJI6" i="7"/>
  <c r="KJJ6" i="7"/>
  <c r="KJK6" i="7"/>
  <c r="KJL6" i="7"/>
  <c r="KJM6" i="7"/>
  <c r="KJN6" i="7"/>
  <c r="KJO6" i="7"/>
  <c r="KJP6" i="7"/>
  <c r="KJQ6" i="7"/>
  <c r="KJR6" i="7"/>
  <c r="KJS6" i="7"/>
  <c r="KJT6" i="7"/>
  <c r="KJU6" i="7"/>
  <c r="KJV6" i="7"/>
  <c r="KJW6" i="7"/>
  <c r="KJX6" i="7"/>
  <c r="KJY6" i="7"/>
  <c r="KJZ6" i="7"/>
  <c r="KKA6" i="7"/>
  <c r="KKB6" i="7"/>
  <c r="KKC6" i="7"/>
  <c r="KKD6" i="7"/>
  <c r="KKE6" i="7"/>
  <c r="KKF6" i="7"/>
  <c r="KKG6" i="7"/>
  <c r="KKH6" i="7"/>
  <c r="KKI6" i="7"/>
  <c r="KKJ6" i="7"/>
  <c r="KKK6" i="7"/>
  <c r="KKL6" i="7"/>
  <c r="KKM6" i="7"/>
  <c r="KKN6" i="7"/>
  <c r="KKO6" i="7"/>
  <c r="KKP6" i="7"/>
  <c r="KKQ6" i="7"/>
  <c r="KKR6" i="7"/>
  <c r="KKS6" i="7"/>
  <c r="KKT6" i="7"/>
  <c r="KKU6" i="7"/>
  <c r="KKV6" i="7"/>
  <c r="KKW6" i="7"/>
  <c r="KKX6" i="7"/>
  <c r="KKY6" i="7"/>
  <c r="KKZ6" i="7"/>
  <c r="KLA6" i="7"/>
  <c r="KLB6" i="7"/>
  <c r="KLC6" i="7"/>
  <c r="KLD6" i="7"/>
  <c r="KLE6" i="7"/>
  <c r="KLF6" i="7"/>
  <c r="KLG6" i="7"/>
  <c r="KLH6" i="7"/>
  <c r="KLI6" i="7"/>
  <c r="KLJ6" i="7"/>
  <c r="KLK6" i="7"/>
  <c r="KLL6" i="7"/>
  <c r="KLM6" i="7"/>
  <c r="KLN6" i="7"/>
  <c r="KLO6" i="7"/>
  <c r="KLP6" i="7"/>
  <c r="KLQ6" i="7"/>
  <c r="KLR6" i="7"/>
  <c r="KLS6" i="7"/>
  <c r="KLT6" i="7"/>
  <c r="KLU6" i="7"/>
  <c r="KLV6" i="7"/>
  <c r="KLW6" i="7"/>
  <c r="KLX6" i="7"/>
  <c r="KLY6" i="7"/>
  <c r="KLZ6" i="7"/>
  <c r="KMA6" i="7"/>
  <c r="KMB6" i="7"/>
  <c r="KMC6" i="7"/>
  <c r="KMD6" i="7"/>
  <c r="KME6" i="7"/>
  <c r="KMF6" i="7"/>
  <c r="KMG6" i="7"/>
  <c r="KMH6" i="7"/>
  <c r="KMI6" i="7"/>
  <c r="KMJ6" i="7"/>
  <c r="KMK6" i="7"/>
  <c r="KML6" i="7"/>
  <c r="KMM6" i="7"/>
  <c r="KMN6" i="7"/>
  <c r="KMO6" i="7"/>
  <c r="KMP6" i="7"/>
  <c r="KMQ6" i="7"/>
  <c r="KMR6" i="7"/>
  <c r="KMS6" i="7"/>
  <c r="KMT6" i="7"/>
  <c r="KMU6" i="7"/>
  <c r="KMV6" i="7"/>
  <c r="KMW6" i="7"/>
  <c r="KMX6" i="7"/>
  <c r="KMY6" i="7"/>
  <c r="KMZ6" i="7"/>
  <c r="KNA6" i="7"/>
  <c r="KNB6" i="7"/>
  <c r="KNC6" i="7"/>
  <c r="KND6" i="7"/>
  <c r="KNE6" i="7"/>
  <c r="KNF6" i="7"/>
  <c r="KNG6" i="7"/>
  <c r="KNH6" i="7"/>
  <c r="KNI6" i="7"/>
  <c r="KNJ6" i="7"/>
  <c r="KNK6" i="7"/>
  <c r="KNL6" i="7"/>
  <c r="KNM6" i="7"/>
  <c r="KNN6" i="7"/>
  <c r="KNO6" i="7"/>
  <c r="KNP6" i="7"/>
  <c r="KNQ6" i="7"/>
  <c r="KNR6" i="7"/>
  <c r="KNS6" i="7"/>
  <c r="KNT6" i="7"/>
  <c r="KNU6" i="7"/>
  <c r="KNV6" i="7"/>
  <c r="KNW6" i="7"/>
  <c r="KNX6" i="7"/>
  <c r="KNY6" i="7"/>
  <c r="KNZ6" i="7"/>
  <c r="KOA6" i="7"/>
  <c r="KOB6" i="7"/>
  <c r="KOC6" i="7"/>
  <c r="KOD6" i="7"/>
  <c r="KOE6" i="7"/>
  <c r="KOF6" i="7"/>
  <c r="KOG6" i="7"/>
  <c r="KOH6" i="7"/>
  <c r="KOI6" i="7"/>
  <c r="KOJ6" i="7"/>
  <c r="KOK6" i="7"/>
  <c r="KOL6" i="7"/>
  <c r="KOM6" i="7"/>
  <c r="KON6" i="7"/>
  <c r="KOO6" i="7"/>
  <c r="KOP6" i="7"/>
  <c r="KOQ6" i="7"/>
  <c r="KOR6" i="7"/>
  <c r="KOS6" i="7"/>
  <c r="KOT6" i="7"/>
  <c r="KOU6" i="7"/>
  <c r="KOV6" i="7"/>
  <c r="KOW6" i="7"/>
  <c r="KOX6" i="7"/>
  <c r="KOY6" i="7"/>
  <c r="KOZ6" i="7"/>
  <c r="KPA6" i="7"/>
  <c r="KPB6" i="7"/>
  <c r="KPC6" i="7"/>
  <c r="KPD6" i="7"/>
  <c r="KPE6" i="7"/>
  <c r="KPF6" i="7"/>
  <c r="KPG6" i="7"/>
  <c r="KPH6" i="7"/>
  <c r="KPI6" i="7"/>
  <c r="KPJ6" i="7"/>
  <c r="KPK6" i="7"/>
  <c r="KPL6" i="7"/>
  <c r="KPM6" i="7"/>
  <c r="KPN6" i="7"/>
  <c r="KPO6" i="7"/>
  <c r="KPP6" i="7"/>
  <c r="KPQ6" i="7"/>
  <c r="KPR6" i="7"/>
  <c r="KPS6" i="7"/>
  <c r="KPT6" i="7"/>
  <c r="KPU6" i="7"/>
  <c r="KPV6" i="7"/>
  <c r="KPW6" i="7"/>
  <c r="KPX6" i="7"/>
  <c r="KPY6" i="7"/>
  <c r="KPZ6" i="7"/>
  <c r="KQA6" i="7"/>
  <c r="KQB6" i="7"/>
  <c r="KQC6" i="7"/>
  <c r="KQD6" i="7"/>
  <c r="KQE6" i="7"/>
  <c r="KQF6" i="7"/>
  <c r="KQG6" i="7"/>
  <c r="KQH6" i="7"/>
  <c r="KQI6" i="7"/>
  <c r="KQJ6" i="7"/>
  <c r="KQK6" i="7"/>
  <c r="KQL6" i="7"/>
  <c r="KQM6" i="7"/>
  <c r="KQN6" i="7"/>
  <c r="KQO6" i="7"/>
  <c r="KQP6" i="7"/>
  <c r="KQQ6" i="7"/>
  <c r="KQR6" i="7"/>
  <c r="KQS6" i="7"/>
  <c r="KQT6" i="7"/>
  <c r="KQU6" i="7"/>
  <c r="KQV6" i="7"/>
  <c r="KQW6" i="7"/>
  <c r="KQX6" i="7"/>
  <c r="KQY6" i="7"/>
  <c r="KQZ6" i="7"/>
  <c r="KRA6" i="7"/>
  <c r="KRB6" i="7"/>
  <c r="KRC6" i="7"/>
  <c r="KRD6" i="7"/>
  <c r="KRE6" i="7"/>
  <c r="KRF6" i="7"/>
  <c r="KRG6" i="7"/>
  <c r="KRH6" i="7"/>
  <c r="KRI6" i="7"/>
  <c r="KRJ6" i="7"/>
  <c r="KRK6" i="7"/>
  <c r="KRL6" i="7"/>
  <c r="KRM6" i="7"/>
  <c r="KRN6" i="7"/>
  <c r="KRO6" i="7"/>
  <c r="KRP6" i="7"/>
  <c r="KRQ6" i="7"/>
  <c r="KRR6" i="7"/>
  <c r="KRS6" i="7"/>
  <c r="KRT6" i="7"/>
  <c r="KRU6" i="7"/>
  <c r="KRV6" i="7"/>
  <c r="KRW6" i="7"/>
  <c r="KRX6" i="7"/>
  <c r="KRY6" i="7"/>
  <c r="KRZ6" i="7"/>
  <c r="KSA6" i="7"/>
  <c r="KSB6" i="7"/>
  <c r="KSC6" i="7"/>
  <c r="KSD6" i="7"/>
  <c r="KSE6" i="7"/>
  <c r="KSF6" i="7"/>
  <c r="KSG6" i="7"/>
  <c r="KSH6" i="7"/>
  <c r="KSI6" i="7"/>
  <c r="KSJ6" i="7"/>
  <c r="KSK6" i="7"/>
  <c r="KSL6" i="7"/>
  <c r="KSM6" i="7"/>
  <c r="KSN6" i="7"/>
  <c r="KSO6" i="7"/>
  <c r="KSP6" i="7"/>
  <c r="KSQ6" i="7"/>
  <c r="KSR6" i="7"/>
  <c r="KSS6" i="7"/>
  <c r="KST6" i="7"/>
  <c r="KSU6" i="7"/>
  <c r="KSV6" i="7"/>
  <c r="KSW6" i="7"/>
  <c r="KSX6" i="7"/>
  <c r="KSY6" i="7"/>
  <c r="KSZ6" i="7"/>
  <c r="KTA6" i="7"/>
  <c r="KTB6" i="7"/>
  <c r="KTC6" i="7"/>
  <c r="KTD6" i="7"/>
  <c r="KTE6" i="7"/>
  <c r="KTF6" i="7"/>
  <c r="KTG6" i="7"/>
  <c r="KTH6" i="7"/>
  <c r="KTI6" i="7"/>
  <c r="KTJ6" i="7"/>
  <c r="KTK6" i="7"/>
  <c r="KTL6" i="7"/>
  <c r="KTM6" i="7"/>
  <c r="KTN6" i="7"/>
  <c r="KTO6" i="7"/>
  <c r="KTP6" i="7"/>
  <c r="KTQ6" i="7"/>
  <c r="KTR6" i="7"/>
  <c r="KTS6" i="7"/>
  <c r="KTT6" i="7"/>
  <c r="KTU6" i="7"/>
  <c r="KTV6" i="7"/>
  <c r="KTW6" i="7"/>
  <c r="KTX6" i="7"/>
  <c r="KTY6" i="7"/>
  <c r="KTZ6" i="7"/>
  <c r="KUA6" i="7"/>
  <c r="KUB6" i="7"/>
  <c r="KUC6" i="7"/>
  <c r="KUD6" i="7"/>
  <c r="KUE6" i="7"/>
  <c r="KUF6" i="7"/>
  <c r="KUG6" i="7"/>
  <c r="KUH6" i="7"/>
  <c r="KUI6" i="7"/>
  <c r="KUJ6" i="7"/>
  <c r="KUK6" i="7"/>
  <c r="KUL6" i="7"/>
  <c r="KUM6" i="7"/>
  <c r="KUN6" i="7"/>
  <c r="KUO6" i="7"/>
  <c r="KUP6" i="7"/>
  <c r="KUQ6" i="7"/>
  <c r="KUR6" i="7"/>
  <c r="KUS6" i="7"/>
  <c r="KUT6" i="7"/>
  <c r="KUU6" i="7"/>
  <c r="KUV6" i="7"/>
  <c r="KUW6" i="7"/>
  <c r="KUX6" i="7"/>
  <c r="KUY6" i="7"/>
  <c r="KUZ6" i="7"/>
  <c r="KVA6" i="7"/>
  <c r="KVB6" i="7"/>
  <c r="KVC6" i="7"/>
  <c r="KVD6" i="7"/>
  <c r="KVE6" i="7"/>
  <c r="KVF6" i="7"/>
  <c r="KVG6" i="7"/>
  <c r="KVH6" i="7"/>
  <c r="KVI6" i="7"/>
  <c r="KVJ6" i="7"/>
  <c r="KVK6" i="7"/>
  <c r="KVL6" i="7"/>
  <c r="KVM6" i="7"/>
  <c r="KVN6" i="7"/>
  <c r="KVO6" i="7"/>
  <c r="KVP6" i="7"/>
  <c r="KVQ6" i="7"/>
  <c r="KVR6" i="7"/>
  <c r="KVS6" i="7"/>
  <c r="KVT6" i="7"/>
  <c r="KVU6" i="7"/>
  <c r="KVV6" i="7"/>
  <c r="KVW6" i="7"/>
  <c r="KVX6" i="7"/>
  <c r="KVY6" i="7"/>
  <c r="KVZ6" i="7"/>
  <c r="KWA6" i="7"/>
  <c r="KWB6" i="7"/>
  <c r="KWC6" i="7"/>
  <c r="KWD6" i="7"/>
  <c r="KWE6" i="7"/>
  <c r="KWF6" i="7"/>
  <c r="KWG6" i="7"/>
  <c r="KWH6" i="7"/>
  <c r="KWI6" i="7"/>
  <c r="KWJ6" i="7"/>
  <c r="KWK6" i="7"/>
  <c r="KWL6" i="7"/>
  <c r="KWM6" i="7"/>
  <c r="KWN6" i="7"/>
  <c r="KWO6" i="7"/>
  <c r="KWP6" i="7"/>
  <c r="KWQ6" i="7"/>
  <c r="KWR6" i="7"/>
  <c r="KWS6" i="7"/>
  <c r="KWT6" i="7"/>
  <c r="KWU6" i="7"/>
  <c r="KWV6" i="7"/>
  <c r="KWW6" i="7"/>
  <c r="KWX6" i="7"/>
  <c r="KWY6" i="7"/>
  <c r="KWZ6" i="7"/>
  <c r="KXA6" i="7"/>
  <c r="KXB6" i="7"/>
  <c r="KXC6" i="7"/>
  <c r="KXD6" i="7"/>
  <c r="KXE6" i="7"/>
  <c r="KXF6" i="7"/>
  <c r="KXG6" i="7"/>
  <c r="KXH6" i="7"/>
  <c r="KXI6" i="7"/>
  <c r="KXJ6" i="7"/>
  <c r="KXK6" i="7"/>
  <c r="KXL6" i="7"/>
  <c r="KXM6" i="7"/>
  <c r="KXN6" i="7"/>
  <c r="KXO6" i="7"/>
  <c r="KXP6" i="7"/>
  <c r="KXQ6" i="7"/>
  <c r="KXR6" i="7"/>
  <c r="KXS6" i="7"/>
  <c r="KXT6" i="7"/>
  <c r="KXU6" i="7"/>
  <c r="KXV6" i="7"/>
  <c r="KXW6" i="7"/>
  <c r="KXX6" i="7"/>
  <c r="KXY6" i="7"/>
  <c r="KXZ6" i="7"/>
  <c r="KYA6" i="7"/>
  <c r="KYB6" i="7"/>
  <c r="KYC6" i="7"/>
  <c r="KYD6" i="7"/>
  <c r="KYE6" i="7"/>
  <c r="KYF6" i="7"/>
  <c r="KYG6" i="7"/>
  <c r="KYH6" i="7"/>
  <c r="KYI6" i="7"/>
  <c r="KYJ6" i="7"/>
  <c r="KYK6" i="7"/>
  <c r="KYL6" i="7"/>
  <c r="KYM6" i="7"/>
  <c r="KYN6" i="7"/>
  <c r="KYO6" i="7"/>
  <c r="KYP6" i="7"/>
  <c r="KYQ6" i="7"/>
  <c r="KYR6" i="7"/>
  <c r="KYS6" i="7"/>
  <c r="KYT6" i="7"/>
  <c r="KYU6" i="7"/>
  <c r="KYV6" i="7"/>
  <c r="KYW6" i="7"/>
  <c r="KYX6" i="7"/>
  <c r="KYY6" i="7"/>
  <c r="KYZ6" i="7"/>
  <c r="KZA6" i="7"/>
  <c r="KZB6" i="7"/>
  <c r="KZC6" i="7"/>
  <c r="KZD6" i="7"/>
  <c r="KZE6" i="7"/>
  <c r="KZF6" i="7"/>
  <c r="KZG6" i="7"/>
  <c r="KZH6" i="7"/>
  <c r="KZI6" i="7"/>
  <c r="KZJ6" i="7"/>
  <c r="KZK6" i="7"/>
  <c r="KZL6" i="7"/>
  <c r="KZM6" i="7"/>
  <c r="KZN6" i="7"/>
  <c r="KZO6" i="7"/>
  <c r="KZP6" i="7"/>
  <c r="KZQ6" i="7"/>
  <c r="KZR6" i="7"/>
  <c r="KZS6" i="7"/>
  <c r="KZT6" i="7"/>
  <c r="KZU6" i="7"/>
  <c r="KZV6" i="7"/>
  <c r="KZW6" i="7"/>
  <c r="KZX6" i="7"/>
  <c r="KZY6" i="7"/>
  <c r="KZZ6" i="7"/>
  <c r="LAA6" i="7"/>
  <c r="LAB6" i="7"/>
  <c r="LAC6" i="7"/>
  <c r="LAD6" i="7"/>
  <c r="LAE6" i="7"/>
  <c r="LAF6" i="7"/>
  <c r="LAG6" i="7"/>
  <c r="LAH6" i="7"/>
  <c r="LAI6" i="7"/>
  <c r="LAJ6" i="7"/>
  <c r="LAK6" i="7"/>
  <c r="LAL6" i="7"/>
  <c r="LAM6" i="7"/>
  <c r="LAN6" i="7"/>
  <c r="LAO6" i="7"/>
  <c r="LAP6" i="7"/>
  <c r="LAQ6" i="7"/>
  <c r="LAR6" i="7"/>
  <c r="LAS6" i="7"/>
  <c r="LAT6" i="7"/>
  <c r="LAU6" i="7"/>
  <c r="LAV6" i="7"/>
  <c r="LAW6" i="7"/>
  <c r="LAX6" i="7"/>
  <c r="LAY6" i="7"/>
  <c r="LAZ6" i="7"/>
  <c r="LBA6" i="7"/>
  <c r="LBB6" i="7"/>
  <c r="LBC6" i="7"/>
  <c r="LBD6" i="7"/>
  <c r="LBE6" i="7"/>
  <c r="LBF6" i="7"/>
  <c r="LBG6" i="7"/>
  <c r="LBH6" i="7"/>
  <c r="LBI6" i="7"/>
  <c r="LBJ6" i="7"/>
  <c r="LBK6" i="7"/>
  <c r="LBL6" i="7"/>
  <c r="LBM6" i="7"/>
  <c r="LBN6" i="7"/>
  <c r="LBO6" i="7"/>
  <c r="LBP6" i="7"/>
  <c r="LBQ6" i="7"/>
  <c r="LBR6" i="7"/>
  <c r="LBS6" i="7"/>
  <c r="LBT6" i="7"/>
  <c r="LBU6" i="7"/>
  <c r="LBV6" i="7"/>
  <c r="LBW6" i="7"/>
  <c r="LBX6" i="7"/>
  <c r="LBY6" i="7"/>
  <c r="LBZ6" i="7"/>
  <c r="LCA6" i="7"/>
  <c r="LCB6" i="7"/>
  <c r="LCC6" i="7"/>
  <c r="LCD6" i="7"/>
  <c r="LCE6" i="7"/>
  <c r="LCF6" i="7"/>
  <c r="LCG6" i="7"/>
  <c r="LCH6" i="7"/>
  <c r="LCI6" i="7"/>
  <c r="LCJ6" i="7"/>
  <c r="LCK6" i="7"/>
  <c r="LCL6" i="7"/>
  <c r="LCM6" i="7"/>
  <c r="LCN6" i="7"/>
  <c r="LCO6" i="7"/>
  <c r="LCP6" i="7"/>
  <c r="LCQ6" i="7"/>
  <c r="LCR6" i="7"/>
  <c r="LCS6" i="7"/>
  <c r="LCT6" i="7"/>
  <c r="LCU6" i="7"/>
  <c r="LCV6" i="7"/>
  <c r="LCW6" i="7"/>
  <c r="LCX6" i="7"/>
  <c r="LCY6" i="7"/>
  <c r="LCZ6" i="7"/>
  <c r="LDA6" i="7"/>
  <c r="LDB6" i="7"/>
  <c r="LDC6" i="7"/>
  <c r="LDD6" i="7"/>
  <c r="LDE6" i="7"/>
  <c r="LDF6" i="7"/>
  <c r="LDG6" i="7"/>
  <c r="LDH6" i="7"/>
  <c r="LDI6" i="7"/>
  <c r="LDJ6" i="7"/>
  <c r="LDK6" i="7"/>
  <c r="LDL6" i="7"/>
  <c r="LDM6" i="7"/>
  <c r="LDN6" i="7"/>
  <c r="LDO6" i="7"/>
  <c r="LDP6" i="7"/>
  <c r="LDQ6" i="7"/>
  <c r="LDR6" i="7"/>
  <c r="LDS6" i="7"/>
  <c r="LDT6" i="7"/>
  <c r="LDU6" i="7"/>
  <c r="LDV6" i="7"/>
  <c r="LDW6" i="7"/>
  <c r="LDX6" i="7"/>
  <c r="LDY6" i="7"/>
  <c r="LDZ6" i="7"/>
  <c r="LEA6" i="7"/>
  <c r="LEB6" i="7"/>
  <c r="LEC6" i="7"/>
  <c r="LED6" i="7"/>
  <c r="LEE6" i="7"/>
  <c r="LEF6" i="7"/>
  <c r="LEG6" i="7"/>
  <c r="LEH6" i="7"/>
  <c r="LEI6" i="7"/>
  <c r="LEJ6" i="7"/>
  <c r="LEK6" i="7"/>
  <c r="LEL6" i="7"/>
  <c r="LEM6" i="7"/>
  <c r="LEN6" i="7"/>
  <c r="LEO6" i="7"/>
  <c r="LEP6" i="7"/>
  <c r="LEQ6" i="7"/>
  <c r="LER6" i="7"/>
  <c r="LES6" i="7"/>
  <c r="LET6" i="7"/>
  <c r="LEU6" i="7"/>
  <c r="LEV6" i="7"/>
  <c r="LEW6" i="7"/>
  <c r="LEX6" i="7"/>
  <c r="LEY6" i="7"/>
  <c r="LEZ6" i="7"/>
  <c r="LFA6" i="7"/>
  <c r="LFB6" i="7"/>
  <c r="LFC6" i="7"/>
  <c r="LFD6" i="7"/>
  <c r="LFE6" i="7"/>
  <c r="LFF6" i="7"/>
  <c r="LFG6" i="7"/>
  <c r="LFH6" i="7"/>
  <c r="LFI6" i="7"/>
  <c r="LFJ6" i="7"/>
  <c r="LFK6" i="7"/>
  <c r="LFL6" i="7"/>
  <c r="LFM6" i="7"/>
  <c r="LFN6" i="7"/>
  <c r="LFO6" i="7"/>
  <c r="LFP6" i="7"/>
  <c r="LFQ6" i="7"/>
  <c r="LFR6" i="7"/>
  <c r="LFS6" i="7"/>
  <c r="LFT6" i="7"/>
  <c r="LFU6" i="7"/>
  <c r="LFV6" i="7"/>
  <c r="LFW6" i="7"/>
  <c r="LFX6" i="7"/>
  <c r="LFY6" i="7"/>
  <c r="LFZ6" i="7"/>
  <c r="LGA6" i="7"/>
  <c r="LGB6" i="7"/>
  <c r="LGC6" i="7"/>
  <c r="LGD6" i="7"/>
  <c r="LGE6" i="7"/>
  <c r="LGF6" i="7"/>
  <c r="LGG6" i="7"/>
  <c r="LGH6" i="7"/>
  <c r="LGI6" i="7"/>
  <c r="LGJ6" i="7"/>
  <c r="LGK6" i="7"/>
  <c r="LGL6" i="7"/>
  <c r="LGM6" i="7"/>
  <c r="LGN6" i="7"/>
  <c r="LGO6" i="7"/>
  <c r="LGP6" i="7"/>
  <c r="LGQ6" i="7"/>
  <c r="LGR6" i="7"/>
  <c r="LGS6" i="7"/>
  <c r="LGT6" i="7"/>
  <c r="LGU6" i="7"/>
  <c r="LGV6" i="7"/>
  <c r="LGW6" i="7"/>
  <c r="LGX6" i="7"/>
  <c r="LGY6" i="7"/>
  <c r="LGZ6" i="7"/>
  <c r="LHA6" i="7"/>
  <c r="LHB6" i="7"/>
  <c r="LHC6" i="7"/>
  <c r="LHD6" i="7"/>
  <c r="LHE6" i="7"/>
  <c r="LHF6" i="7"/>
  <c r="LHG6" i="7"/>
  <c r="LHH6" i="7"/>
  <c r="LHI6" i="7"/>
  <c r="LHJ6" i="7"/>
  <c r="LHK6" i="7"/>
  <c r="LHL6" i="7"/>
  <c r="LHM6" i="7"/>
  <c r="LHN6" i="7"/>
  <c r="LHO6" i="7"/>
  <c r="LHP6" i="7"/>
  <c r="LHQ6" i="7"/>
  <c r="LHR6" i="7"/>
  <c r="LHS6" i="7"/>
  <c r="LHT6" i="7"/>
  <c r="LHU6" i="7"/>
  <c r="LHV6" i="7"/>
  <c r="LHW6" i="7"/>
  <c r="LHX6" i="7"/>
  <c r="LHY6" i="7"/>
  <c r="LHZ6" i="7"/>
  <c r="LIA6" i="7"/>
  <c r="LIB6" i="7"/>
  <c r="LIC6" i="7"/>
  <c r="LID6" i="7"/>
  <c r="LIE6" i="7"/>
  <c r="LIF6" i="7"/>
  <c r="LIG6" i="7"/>
  <c r="LIH6" i="7"/>
  <c r="LII6" i="7"/>
  <c r="LIJ6" i="7"/>
  <c r="LIK6" i="7"/>
  <c r="LIL6" i="7"/>
  <c r="LIM6" i="7"/>
  <c r="LIN6" i="7"/>
  <c r="LIO6" i="7"/>
  <c r="LIP6" i="7"/>
  <c r="LIQ6" i="7"/>
  <c r="LIR6" i="7"/>
  <c r="LIS6" i="7"/>
  <c r="LIT6" i="7"/>
  <c r="LIU6" i="7"/>
  <c r="LIV6" i="7"/>
  <c r="LIW6" i="7"/>
  <c r="LIX6" i="7"/>
  <c r="LIY6" i="7"/>
  <c r="LIZ6" i="7"/>
  <c r="LJA6" i="7"/>
  <c r="LJB6" i="7"/>
  <c r="LJC6" i="7"/>
  <c r="LJD6" i="7"/>
  <c r="LJE6" i="7"/>
  <c r="LJF6" i="7"/>
  <c r="LJG6" i="7"/>
  <c r="LJH6" i="7"/>
  <c r="LJI6" i="7"/>
  <c r="LJJ6" i="7"/>
  <c r="LJK6" i="7"/>
  <c r="LJL6" i="7"/>
  <c r="LJM6" i="7"/>
  <c r="LJN6" i="7"/>
  <c r="LJO6" i="7"/>
  <c r="LJP6" i="7"/>
  <c r="LJQ6" i="7"/>
  <c r="LJR6" i="7"/>
  <c r="LJS6" i="7"/>
  <c r="LJT6" i="7"/>
  <c r="LJU6" i="7"/>
  <c r="LJV6" i="7"/>
  <c r="LJW6" i="7"/>
  <c r="LJX6" i="7"/>
  <c r="LJY6" i="7"/>
  <c r="LJZ6" i="7"/>
  <c r="LKA6" i="7"/>
  <c r="LKB6" i="7"/>
  <c r="LKC6" i="7"/>
  <c r="LKD6" i="7"/>
  <c r="LKE6" i="7"/>
  <c r="LKF6" i="7"/>
  <c r="LKG6" i="7"/>
  <c r="LKH6" i="7"/>
  <c r="LKI6" i="7"/>
  <c r="LKJ6" i="7"/>
  <c r="LKK6" i="7"/>
  <c r="LKL6" i="7"/>
  <c r="LKM6" i="7"/>
  <c r="LKN6" i="7"/>
  <c r="LKO6" i="7"/>
  <c r="LKP6" i="7"/>
  <c r="LKQ6" i="7"/>
  <c r="LKR6" i="7"/>
  <c r="LKS6" i="7"/>
  <c r="LKT6" i="7"/>
  <c r="LKU6" i="7"/>
  <c r="LKV6" i="7"/>
  <c r="LKW6" i="7"/>
  <c r="LKX6" i="7"/>
  <c r="LKY6" i="7"/>
  <c r="LKZ6" i="7"/>
  <c r="LLA6" i="7"/>
  <c r="LLB6" i="7"/>
  <c r="LLC6" i="7"/>
  <c r="LLD6" i="7"/>
  <c r="LLE6" i="7"/>
  <c r="LLF6" i="7"/>
  <c r="LLG6" i="7"/>
  <c r="LLH6" i="7"/>
  <c r="LLI6" i="7"/>
  <c r="LLJ6" i="7"/>
  <c r="LLK6" i="7"/>
  <c r="LLL6" i="7"/>
  <c r="LLM6" i="7"/>
  <c r="LLN6" i="7"/>
  <c r="LLO6" i="7"/>
  <c r="LLP6" i="7"/>
  <c r="LLQ6" i="7"/>
  <c r="LLR6" i="7"/>
  <c r="LLS6" i="7"/>
  <c r="LLT6" i="7"/>
  <c r="LLU6" i="7"/>
  <c r="LLV6" i="7"/>
  <c r="LLW6" i="7"/>
  <c r="LLX6" i="7"/>
  <c r="LLY6" i="7"/>
  <c r="LLZ6" i="7"/>
  <c r="LMA6" i="7"/>
  <c r="LMB6" i="7"/>
  <c r="LMC6" i="7"/>
  <c r="LMD6" i="7"/>
  <c r="LME6" i="7"/>
  <c r="LMF6" i="7"/>
  <c r="LMG6" i="7"/>
  <c r="LMH6" i="7"/>
  <c r="LMI6" i="7"/>
  <c r="LMJ6" i="7"/>
  <c r="LMK6" i="7"/>
  <c r="LML6" i="7"/>
  <c r="LMM6" i="7"/>
  <c r="LMN6" i="7"/>
  <c r="LMO6" i="7"/>
  <c r="LMP6" i="7"/>
  <c r="LMQ6" i="7"/>
  <c r="LMR6" i="7"/>
  <c r="LMS6" i="7"/>
  <c r="LMT6" i="7"/>
  <c r="LMU6" i="7"/>
  <c r="LMV6" i="7"/>
  <c r="LMW6" i="7"/>
  <c r="LMX6" i="7"/>
  <c r="LMY6" i="7"/>
  <c r="LMZ6" i="7"/>
  <c r="LNA6" i="7"/>
  <c r="LNB6" i="7"/>
  <c r="LNC6" i="7"/>
  <c r="LND6" i="7"/>
  <c r="LNE6" i="7"/>
  <c r="LNF6" i="7"/>
  <c r="LNG6" i="7"/>
  <c r="LNH6" i="7"/>
  <c r="LNI6" i="7"/>
  <c r="LNJ6" i="7"/>
  <c r="LNK6" i="7"/>
  <c r="LNL6" i="7"/>
  <c r="LNM6" i="7"/>
  <c r="LNN6" i="7"/>
  <c r="LNO6" i="7"/>
  <c r="LNP6" i="7"/>
  <c r="LNQ6" i="7"/>
  <c r="LNR6" i="7"/>
  <c r="LNS6" i="7"/>
  <c r="LNT6" i="7"/>
  <c r="LNU6" i="7"/>
  <c r="LNV6" i="7"/>
  <c r="LNW6" i="7"/>
  <c r="LNX6" i="7"/>
  <c r="LNY6" i="7"/>
  <c r="LNZ6" i="7"/>
  <c r="LOA6" i="7"/>
  <c r="LOB6" i="7"/>
  <c r="LOC6" i="7"/>
  <c r="LOD6" i="7"/>
  <c r="LOE6" i="7"/>
  <c r="LOF6" i="7"/>
  <c r="LOG6" i="7"/>
  <c r="LOH6" i="7"/>
  <c r="LOI6" i="7"/>
  <c r="LOJ6" i="7"/>
  <c r="LOK6" i="7"/>
  <c r="LOL6" i="7"/>
  <c r="LOM6" i="7"/>
  <c r="LON6" i="7"/>
  <c r="LOO6" i="7"/>
  <c r="LOP6" i="7"/>
  <c r="LOQ6" i="7"/>
  <c r="LOR6" i="7"/>
  <c r="LOS6" i="7"/>
  <c r="LOT6" i="7"/>
  <c r="LOU6" i="7"/>
  <c r="LOV6" i="7"/>
  <c r="LOW6" i="7"/>
  <c r="LOX6" i="7"/>
  <c r="LOY6" i="7"/>
  <c r="LOZ6" i="7"/>
  <c r="LPA6" i="7"/>
  <c r="LPB6" i="7"/>
  <c r="LPC6" i="7"/>
  <c r="LPD6" i="7"/>
  <c r="LPE6" i="7"/>
  <c r="LPF6" i="7"/>
  <c r="LPG6" i="7"/>
  <c r="LPH6" i="7"/>
  <c r="LPI6" i="7"/>
  <c r="LPJ6" i="7"/>
  <c r="LPK6" i="7"/>
  <c r="LPL6" i="7"/>
  <c r="LPM6" i="7"/>
  <c r="LPN6" i="7"/>
  <c r="LPO6" i="7"/>
  <c r="LPP6" i="7"/>
  <c r="LPQ6" i="7"/>
  <c r="LPR6" i="7"/>
  <c r="LPS6" i="7"/>
  <c r="LPT6" i="7"/>
  <c r="LPU6" i="7"/>
  <c r="LPV6" i="7"/>
  <c r="LPW6" i="7"/>
  <c r="LPX6" i="7"/>
  <c r="LPY6" i="7"/>
  <c r="LPZ6" i="7"/>
  <c r="LQA6" i="7"/>
  <c r="LQB6" i="7"/>
  <c r="LQC6" i="7"/>
  <c r="LQD6" i="7"/>
  <c r="LQE6" i="7"/>
  <c r="LQF6" i="7"/>
  <c r="LQG6" i="7"/>
  <c r="LQH6" i="7"/>
  <c r="LQI6" i="7"/>
  <c r="LQJ6" i="7"/>
  <c r="LQK6" i="7"/>
  <c r="LQL6" i="7"/>
  <c r="LQM6" i="7"/>
  <c r="LQN6" i="7"/>
  <c r="LQO6" i="7"/>
  <c r="LQP6" i="7"/>
  <c r="LQQ6" i="7"/>
  <c r="LQR6" i="7"/>
  <c r="LQS6" i="7"/>
  <c r="LQT6" i="7"/>
  <c r="LQU6" i="7"/>
  <c r="LQV6" i="7"/>
  <c r="LQW6" i="7"/>
  <c r="LQX6" i="7"/>
  <c r="LQY6" i="7"/>
  <c r="LQZ6" i="7"/>
  <c r="LRA6" i="7"/>
  <c r="LRB6" i="7"/>
  <c r="LRC6" i="7"/>
  <c r="LRD6" i="7"/>
  <c r="LRE6" i="7"/>
  <c r="LRF6" i="7"/>
  <c r="LRG6" i="7"/>
  <c r="LRH6" i="7"/>
  <c r="LRI6" i="7"/>
  <c r="LRJ6" i="7"/>
  <c r="LRK6" i="7"/>
  <c r="LRL6" i="7"/>
  <c r="LRM6" i="7"/>
  <c r="LRN6" i="7"/>
  <c r="LRO6" i="7"/>
  <c r="LRP6" i="7"/>
  <c r="LRQ6" i="7"/>
  <c r="LRR6" i="7"/>
  <c r="LRS6" i="7"/>
  <c r="LRT6" i="7"/>
  <c r="LRU6" i="7"/>
  <c r="LRV6" i="7"/>
  <c r="LRW6" i="7"/>
  <c r="LRX6" i="7"/>
  <c r="LRY6" i="7"/>
  <c r="LRZ6" i="7"/>
  <c r="LSA6" i="7"/>
  <c r="LSB6" i="7"/>
  <c r="LSC6" i="7"/>
  <c r="LSD6" i="7"/>
  <c r="LSE6" i="7"/>
  <c r="LSF6" i="7"/>
  <c r="LSG6" i="7"/>
  <c r="LSH6" i="7"/>
  <c r="LSI6" i="7"/>
  <c r="LSJ6" i="7"/>
  <c r="LSK6" i="7"/>
  <c r="LSL6" i="7"/>
  <c r="LSM6" i="7"/>
  <c r="LSN6" i="7"/>
  <c r="LSO6" i="7"/>
  <c r="LSP6" i="7"/>
  <c r="LSQ6" i="7"/>
  <c r="LSR6" i="7"/>
  <c r="LSS6" i="7"/>
  <c r="LST6" i="7"/>
  <c r="LSU6" i="7"/>
  <c r="LSV6" i="7"/>
  <c r="LSW6" i="7"/>
  <c r="LSX6" i="7"/>
  <c r="LSY6" i="7"/>
  <c r="LSZ6" i="7"/>
  <c r="LTA6" i="7"/>
  <c r="LTB6" i="7"/>
  <c r="LTC6" i="7"/>
  <c r="LTD6" i="7"/>
  <c r="LTE6" i="7"/>
  <c r="LTF6" i="7"/>
  <c r="LTG6" i="7"/>
  <c r="LTH6" i="7"/>
  <c r="LTI6" i="7"/>
  <c r="LTJ6" i="7"/>
  <c r="LTK6" i="7"/>
  <c r="LTL6" i="7"/>
  <c r="LTM6" i="7"/>
  <c r="LTN6" i="7"/>
  <c r="LTO6" i="7"/>
  <c r="LTP6" i="7"/>
  <c r="LTQ6" i="7"/>
  <c r="LTR6" i="7"/>
  <c r="LTS6" i="7"/>
  <c r="LTT6" i="7"/>
  <c r="LTU6" i="7"/>
  <c r="LTV6" i="7"/>
  <c r="LTW6" i="7"/>
  <c r="LTX6" i="7"/>
  <c r="LTY6" i="7"/>
  <c r="LTZ6" i="7"/>
  <c r="LUA6" i="7"/>
  <c r="LUB6" i="7"/>
  <c r="LUC6" i="7"/>
  <c r="LUD6" i="7"/>
  <c r="LUE6" i="7"/>
  <c r="LUF6" i="7"/>
  <c r="LUG6" i="7"/>
  <c r="LUH6" i="7"/>
  <c r="LUI6" i="7"/>
  <c r="LUJ6" i="7"/>
  <c r="LUK6" i="7"/>
  <c r="LUL6" i="7"/>
  <c r="LUM6" i="7"/>
  <c r="LUN6" i="7"/>
  <c r="LUO6" i="7"/>
  <c r="LUP6" i="7"/>
  <c r="LUQ6" i="7"/>
  <c r="LUR6" i="7"/>
  <c r="LUS6" i="7"/>
  <c r="LUT6" i="7"/>
  <c r="LUU6" i="7"/>
  <c r="LUV6" i="7"/>
  <c r="LUW6" i="7"/>
  <c r="LUX6" i="7"/>
  <c r="LUY6" i="7"/>
  <c r="LUZ6" i="7"/>
  <c r="LVA6" i="7"/>
  <c r="LVB6" i="7"/>
  <c r="LVC6" i="7"/>
  <c r="LVD6" i="7"/>
  <c r="LVE6" i="7"/>
  <c r="LVF6" i="7"/>
  <c r="LVG6" i="7"/>
  <c r="LVH6" i="7"/>
  <c r="LVI6" i="7"/>
  <c r="LVJ6" i="7"/>
  <c r="LVK6" i="7"/>
  <c r="LVL6" i="7"/>
  <c r="LVM6" i="7"/>
  <c r="LVN6" i="7"/>
  <c r="LVO6" i="7"/>
  <c r="LVP6" i="7"/>
  <c r="LVQ6" i="7"/>
  <c r="LVR6" i="7"/>
  <c r="LVS6" i="7"/>
  <c r="LVT6" i="7"/>
  <c r="LVU6" i="7"/>
  <c r="LVV6" i="7"/>
  <c r="LVW6" i="7"/>
  <c r="LVX6" i="7"/>
  <c r="LVY6" i="7"/>
  <c r="LVZ6" i="7"/>
  <c r="LWA6" i="7"/>
  <c r="LWB6" i="7"/>
  <c r="LWC6" i="7"/>
  <c r="LWD6" i="7"/>
  <c r="LWE6" i="7"/>
  <c r="LWF6" i="7"/>
  <c r="LWG6" i="7"/>
  <c r="LWH6" i="7"/>
  <c r="LWI6" i="7"/>
  <c r="LWJ6" i="7"/>
  <c r="LWK6" i="7"/>
  <c r="LWL6" i="7"/>
  <c r="LWM6" i="7"/>
  <c r="LWN6" i="7"/>
  <c r="LWO6" i="7"/>
  <c r="LWP6" i="7"/>
  <c r="LWQ6" i="7"/>
  <c r="LWR6" i="7"/>
  <c r="LWS6" i="7"/>
  <c r="LWT6" i="7"/>
  <c r="LWU6" i="7"/>
  <c r="LWV6" i="7"/>
  <c r="LWW6" i="7"/>
  <c r="LWX6" i="7"/>
  <c r="LWY6" i="7"/>
  <c r="LWZ6" i="7"/>
  <c r="LXA6" i="7"/>
  <c r="LXB6" i="7"/>
  <c r="LXC6" i="7"/>
  <c r="LXD6" i="7"/>
  <c r="LXE6" i="7"/>
  <c r="LXF6" i="7"/>
  <c r="LXG6" i="7"/>
  <c r="LXH6" i="7"/>
  <c r="LXI6" i="7"/>
  <c r="LXJ6" i="7"/>
  <c r="LXK6" i="7"/>
  <c r="LXL6" i="7"/>
  <c r="LXM6" i="7"/>
  <c r="LXN6" i="7"/>
  <c r="LXO6" i="7"/>
  <c r="LXP6" i="7"/>
  <c r="LXQ6" i="7"/>
  <c r="LXR6" i="7"/>
  <c r="LXS6" i="7"/>
  <c r="LXT6" i="7"/>
  <c r="LXU6" i="7"/>
  <c r="LXV6" i="7"/>
  <c r="LXW6" i="7"/>
  <c r="LXX6" i="7"/>
  <c r="LXY6" i="7"/>
  <c r="LXZ6" i="7"/>
  <c r="LYA6" i="7"/>
  <c r="LYB6" i="7"/>
  <c r="LYC6" i="7"/>
  <c r="LYD6" i="7"/>
  <c r="LYE6" i="7"/>
  <c r="LYF6" i="7"/>
  <c r="LYG6" i="7"/>
  <c r="LYH6" i="7"/>
  <c r="LYI6" i="7"/>
  <c r="LYJ6" i="7"/>
  <c r="LYK6" i="7"/>
  <c r="LYL6" i="7"/>
  <c r="LYM6" i="7"/>
  <c r="LYN6" i="7"/>
  <c r="LYO6" i="7"/>
  <c r="LYP6" i="7"/>
  <c r="LYQ6" i="7"/>
  <c r="LYR6" i="7"/>
  <c r="LYS6" i="7"/>
  <c r="LYT6" i="7"/>
  <c r="LYU6" i="7"/>
  <c r="LYV6" i="7"/>
  <c r="LYW6" i="7"/>
  <c r="LYX6" i="7"/>
  <c r="LYY6" i="7"/>
  <c r="LYZ6" i="7"/>
  <c r="LZA6" i="7"/>
  <c r="LZB6" i="7"/>
  <c r="LZC6" i="7"/>
  <c r="LZD6" i="7"/>
  <c r="LZE6" i="7"/>
  <c r="LZF6" i="7"/>
  <c r="LZG6" i="7"/>
  <c r="LZH6" i="7"/>
  <c r="LZI6" i="7"/>
  <c r="LZJ6" i="7"/>
  <c r="LZK6" i="7"/>
  <c r="LZL6" i="7"/>
  <c r="LZM6" i="7"/>
  <c r="LZN6" i="7"/>
  <c r="LZO6" i="7"/>
  <c r="LZP6" i="7"/>
  <c r="LZQ6" i="7"/>
  <c r="LZR6" i="7"/>
  <c r="LZS6" i="7"/>
  <c r="LZT6" i="7"/>
  <c r="LZU6" i="7"/>
  <c r="LZV6" i="7"/>
  <c r="LZW6" i="7"/>
  <c r="LZX6" i="7"/>
  <c r="LZY6" i="7"/>
  <c r="LZZ6" i="7"/>
  <c r="MAA6" i="7"/>
  <c r="MAB6" i="7"/>
  <c r="MAC6" i="7"/>
  <c r="MAD6" i="7"/>
  <c r="MAE6" i="7"/>
  <c r="MAF6" i="7"/>
  <c r="MAG6" i="7"/>
  <c r="MAH6" i="7"/>
  <c r="MAI6" i="7"/>
  <c r="MAJ6" i="7"/>
  <c r="MAK6" i="7"/>
  <c r="MAL6" i="7"/>
  <c r="MAM6" i="7"/>
  <c r="MAN6" i="7"/>
  <c r="MAO6" i="7"/>
  <c r="MAP6" i="7"/>
  <c r="MAQ6" i="7"/>
  <c r="MAR6" i="7"/>
  <c r="MAS6" i="7"/>
  <c r="MAT6" i="7"/>
  <c r="MAU6" i="7"/>
  <c r="MAV6" i="7"/>
  <c r="MAW6" i="7"/>
  <c r="MAX6" i="7"/>
  <c r="MAY6" i="7"/>
  <c r="MAZ6" i="7"/>
  <c r="MBA6" i="7"/>
  <c r="MBB6" i="7"/>
  <c r="MBC6" i="7"/>
  <c r="MBD6" i="7"/>
  <c r="MBE6" i="7"/>
  <c r="MBF6" i="7"/>
  <c r="MBG6" i="7"/>
  <c r="MBH6" i="7"/>
  <c r="MBI6" i="7"/>
  <c r="MBJ6" i="7"/>
  <c r="MBK6" i="7"/>
  <c r="MBL6" i="7"/>
  <c r="MBM6" i="7"/>
  <c r="MBN6" i="7"/>
  <c r="MBO6" i="7"/>
  <c r="MBP6" i="7"/>
  <c r="MBQ6" i="7"/>
  <c r="MBR6" i="7"/>
  <c r="MBS6" i="7"/>
  <c r="MBT6" i="7"/>
  <c r="MBU6" i="7"/>
  <c r="MBV6" i="7"/>
  <c r="MBW6" i="7"/>
  <c r="MBX6" i="7"/>
  <c r="MBY6" i="7"/>
  <c r="MBZ6" i="7"/>
  <c r="MCA6" i="7"/>
  <c r="MCB6" i="7"/>
  <c r="MCC6" i="7"/>
  <c r="MCD6" i="7"/>
  <c r="MCE6" i="7"/>
  <c r="MCF6" i="7"/>
  <c r="MCG6" i="7"/>
  <c r="MCH6" i="7"/>
  <c r="MCI6" i="7"/>
  <c r="MCJ6" i="7"/>
  <c r="MCK6" i="7"/>
  <c r="MCL6" i="7"/>
  <c r="MCM6" i="7"/>
  <c r="MCN6" i="7"/>
  <c r="MCO6" i="7"/>
  <c r="MCP6" i="7"/>
  <c r="MCQ6" i="7"/>
  <c r="MCR6" i="7"/>
  <c r="MCS6" i="7"/>
  <c r="MCT6" i="7"/>
  <c r="MCU6" i="7"/>
  <c r="MCV6" i="7"/>
  <c r="MCW6" i="7"/>
  <c r="MCX6" i="7"/>
  <c r="MCY6" i="7"/>
  <c r="MCZ6" i="7"/>
  <c r="MDA6" i="7"/>
  <c r="MDB6" i="7"/>
  <c r="MDC6" i="7"/>
  <c r="MDD6" i="7"/>
  <c r="MDE6" i="7"/>
  <c r="MDF6" i="7"/>
  <c r="MDG6" i="7"/>
  <c r="MDH6" i="7"/>
  <c r="MDI6" i="7"/>
  <c r="MDJ6" i="7"/>
  <c r="MDK6" i="7"/>
  <c r="MDL6" i="7"/>
  <c r="MDM6" i="7"/>
  <c r="MDN6" i="7"/>
  <c r="MDO6" i="7"/>
  <c r="MDP6" i="7"/>
  <c r="MDQ6" i="7"/>
  <c r="MDR6" i="7"/>
  <c r="MDS6" i="7"/>
  <c r="MDT6" i="7"/>
  <c r="MDU6" i="7"/>
  <c r="MDV6" i="7"/>
  <c r="MDW6" i="7"/>
  <c r="MDX6" i="7"/>
  <c r="MDY6" i="7"/>
  <c r="MDZ6" i="7"/>
  <c r="MEA6" i="7"/>
  <c r="MEB6" i="7"/>
  <c r="MEC6" i="7"/>
  <c r="MED6" i="7"/>
  <c r="MEE6" i="7"/>
  <c r="MEF6" i="7"/>
  <c r="MEG6" i="7"/>
  <c r="MEH6" i="7"/>
  <c r="MEI6" i="7"/>
  <c r="MEJ6" i="7"/>
  <c r="MEK6" i="7"/>
  <c r="MEL6" i="7"/>
  <c r="MEM6" i="7"/>
  <c r="MEN6" i="7"/>
  <c r="MEO6" i="7"/>
  <c r="MEP6" i="7"/>
  <c r="MEQ6" i="7"/>
  <c r="MER6" i="7"/>
  <c r="MES6" i="7"/>
  <c r="MET6" i="7"/>
  <c r="MEU6" i="7"/>
  <c r="MEV6" i="7"/>
  <c r="MEW6" i="7"/>
  <c r="MEX6" i="7"/>
  <c r="MEY6" i="7"/>
  <c r="MEZ6" i="7"/>
  <c r="MFA6" i="7"/>
  <c r="MFB6" i="7"/>
  <c r="MFC6" i="7"/>
  <c r="MFD6" i="7"/>
  <c r="MFE6" i="7"/>
  <c r="MFF6" i="7"/>
  <c r="MFG6" i="7"/>
  <c r="MFH6" i="7"/>
  <c r="MFI6" i="7"/>
  <c r="MFJ6" i="7"/>
  <c r="MFK6" i="7"/>
  <c r="MFL6" i="7"/>
  <c r="MFM6" i="7"/>
  <c r="MFN6" i="7"/>
  <c r="MFO6" i="7"/>
  <c r="MFP6" i="7"/>
  <c r="MFQ6" i="7"/>
  <c r="MFR6" i="7"/>
  <c r="MFS6" i="7"/>
  <c r="MFT6" i="7"/>
  <c r="MFU6" i="7"/>
  <c r="MFV6" i="7"/>
  <c r="MFW6" i="7"/>
  <c r="MFX6" i="7"/>
  <c r="MFY6" i="7"/>
  <c r="MFZ6" i="7"/>
  <c r="MGA6" i="7"/>
  <c r="MGB6" i="7"/>
  <c r="MGC6" i="7"/>
  <c r="MGD6" i="7"/>
  <c r="MGE6" i="7"/>
  <c r="MGF6" i="7"/>
  <c r="MGG6" i="7"/>
  <c r="MGH6" i="7"/>
  <c r="MGI6" i="7"/>
  <c r="MGJ6" i="7"/>
  <c r="MGK6" i="7"/>
  <c r="MGL6" i="7"/>
  <c r="MGM6" i="7"/>
  <c r="MGN6" i="7"/>
  <c r="MGO6" i="7"/>
  <c r="MGP6" i="7"/>
  <c r="MGQ6" i="7"/>
  <c r="MGR6" i="7"/>
  <c r="MGS6" i="7"/>
  <c r="MGT6" i="7"/>
  <c r="MGU6" i="7"/>
  <c r="MGV6" i="7"/>
  <c r="MGW6" i="7"/>
  <c r="MGX6" i="7"/>
  <c r="MGY6" i="7"/>
  <c r="MGZ6" i="7"/>
  <c r="MHA6" i="7"/>
  <c r="MHB6" i="7"/>
  <c r="MHC6" i="7"/>
  <c r="MHD6" i="7"/>
  <c r="MHE6" i="7"/>
  <c r="MHF6" i="7"/>
  <c r="MHG6" i="7"/>
  <c r="MHH6" i="7"/>
  <c r="MHI6" i="7"/>
  <c r="MHJ6" i="7"/>
  <c r="MHK6" i="7"/>
  <c r="MHL6" i="7"/>
  <c r="MHM6" i="7"/>
  <c r="MHN6" i="7"/>
  <c r="MHO6" i="7"/>
  <c r="MHP6" i="7"/>
  <c r="MHQ6" i="7"/>
  <c r="MHR6" i="7"/>
  <c r="MHS6" i="7"/>
  <c r="MHT6" i="7"/>
  <c r="MHU6" i="7"/>
  <c r="MHV6" i="7"/>
  <c r="MHW6" i="7"/>
  <c r="MHX6" i="7"/>
  <c r="MHY6" i="7"/>
  <c r="MHZ6" i="7"/>
  <c r="MIA6" i="7"/>
  <c r="MIB6" i="7"/>
  <c r="MIC6" i="7"/>
  <c r="MID6" i="7"/>
  <c r="MIE6" i="7"/>
  <c r="MIF6" i="7"/>
  <c r="MIG6" i="7"/>
  <c r="MIH6" i="7"/>
  <c r="MII6" i="7"/>
  <c r="MIJ6" i="7"/>
  <c r="MIK6" i="7"/>
  <c r="MIL6" i="7"/>
  <c r="MIM6" i="7"/>
  <c r="MIN6" i="7"/>
  <c r="MIO6" i="7"/>
  <c r="MIP6" i="7"/>
  <c r="MIQ6" i="7"/>
  <c r="MIR6" i="7"/>
  <c r="MIS6" i="7"/>
  <c r="MIT6" i="7"/>
  <c r="MIU6" i="7"/>
  <c r="MIV6" i="7"/>
  <c r="MIW6" i="7"/>
  <c r="MIX6" i="7"/>
  <c r="MIY6" i="7"/>
  <c r="MIZ6" i="7"/>
  <c r="MJA6" i="7"/>
  <c r="MJB6" i="7"/>
  <c r="MJC6" i="7"/>
  <c r="MJD6" i="7"/>
  <c r="MJE6" i="7"/>
  <c r="MJF6" i="7"/>
  <c r="MJG6" i="7"/>
  <c r="MJH6" i="7"/>
  <c r="MJI6" i="7"/>
  <c r="MJJ6" i="7"/>
  <c r="MJK6" i="7"/>
  <c r="MJL6" i="7"/>
  <c r="MJM6" i="7"/>
  <c r="MJN6" i="7"/>
  <c r="MJO6" i="7"/>
  <c r="MJP6" i="7"/>
  <c r="MJQ6" i="7"/>
  <c r="MJR6" i="7"/>
  <c r="MJS6" i="7"/>
  <c r="MJT6" i="7"/>
  <c r="MJU6" i="7"/>
  <c r="MJV6" i="7"/>
  <c r="MJW6" i="7"/>
  <c r="MJX6" i="7"/>
  <c r="MJY6" i="7"/>
  <c r="MJZ6" i="7"/>
  <c r="MKA6" i="7"/>
  <c r="MKB6" i="7"/>
  <c r="MKC6" i="7"/>
  <c r="MKD6" i="7"/>
  <c r="MKE6" i="7"/>
  <c r="MKF6" i="7"/>
  <c r="MKG6" i="7"/>
  <c r="MKH6" i="7"/>
  <c r="MKI6" i="7"/>
  <c r="MKJ6" i="7"/>
  <c r="MKK6" i="7"/>
  <c r="MKL6" i="7"/>
  <c r="MKM6" i="7"/>
  <c r="MKN6" i="7"/>
  <c r="MKO6" i="7"/>
  <c r="MKP6" i="7"/>
  <c r="MKQ6" i="7"/>
  <c r="MKR6" i="7"/>
  <c r="MKS6" i="7"/>
  <c r="MKT6" i="7"/>
  <c r="MKU6" i="7"/>
  <c r="MKV6" i="7"/>
  <c r="MKW6" i="7"/>
  <c r="MKX6" i="7"/>
  <c r="MKY6" i="7"/>
  <c r="MKZ6" i="7"/>
  <c r="MLA6" i="7"/>
  <c r="MLB6" i="7"/>
  <c r="MLC6" i="7"/>
  <c r="MLD6" i="7"/>
  <c r="MLE6" i="7"/>
  <c r="MLF6" i="7"/>
  <c r="MLG6" i="7"/>
  <c r="MLH6" i="7"/>
  <c r="MLI6" i="7"/>
  <c r="MLJ6" i="7"/>
  <c r="MLK6" i="7"/>
  <c r="MLL6" i="7"/>
  <c r="MLM6" i="7"/>
  <c r="MLN6" i="7"/>
  <c r="MLO6" i="7"/>
  <c r="MLP6" i="7"/>
  <c r="MLQ6" i="7"/>
  <c r="MLR6" i="7"/>
  <c r="MLS6" i="7"/>
  <c r="MLT6" i="7"/>
  <c r="MLU6" i="7"/>
  <c r="MLV6" i="7"/>
  <c r="MLW6" i="7"/>
  <c r="MLX6" i="7"/>
  <c r="MLY6" i="7"/>
  <c r="MLZ6" i="7"/>
  <c r="MMA6" i="7"/>
  <c r="MMB6" i="7"/>
  <c r="MMC6" i="7"/>
  <c r="MMD6" i="7"/>
  <c r="MME6" i="7"/>
  <c r="MMF6" i="7"/>
  <c r="MMG6" i="7"/>
  <c r="MMH6" i="7"/>
  <c r="MMI6" i="7"/>
  <c r="MMJ6" i="7"/>
  <c r="MMK6" i="7"/>
  <c r="MML6" i="7"/>
  <c r="MMM6" i="7"/>
  <c r="MMN6" i="7"/>
  <c r="MMO6" i="7"/>
  <c r="MMP6" i="7"/>
  <c r="MMQ6" i="7"/>
  <c r="MMR6" i="7"/>
  <c r="MMS6" i="7"/>
  <c r="MMT6" i="7"/>
  <c r="MMU6" i="7"/>
  <c r="MMV6" i="7"/>
  <c r="MMW6" i="7"/>
  <c r="MMX6" i="7"/>
  <c r="MMY6" i="7"/>
  <c r="MMZ6" i="7"/>
  <c r="MNA6" i="7"/>
  <c r="MNB6" i="7"/>
  <c r="MNC6" i="7"/>
  <c r="MND6" i="7"/>
  <c r="MNE6" i="7"/>
  <c r="MNF6" i="7"/>
  <c r="MNG6" i="7"/>
  <c r="MNH6" i="7"/>
  <c r="MNI6" i="7"/>
  <c r="MNJ6" i="7"/>
  <c r="MNK6" i="7"/>
  <c r="MNL6" i="7"/>
  <c r="MNM6" i="7"/>
  <c r="MNN6" i="7"/>
  <c r="MNO6" i="7"/>
  <c r="MNP6" i="7"/>
  <c r="MNQ6" i="7"/>
  <c r="MNR6" i="7"/>
  <c r="MNS6" i="7"/>
  <c r="MNT6" i="7"/>
  <c r="MNU6" i="7"/>
  <c r="MNV6" i="7"/>
  <c r="MNW6" i="7"/>
  <c r="MNX6" i="7"/>
  <c r="MNY6" i="7"/>
  <c r="MNZ6" i="7"/>
  <c r="MOA6" i="7"/>
  <c r="MOB6" i="7"/>
  <c r="MOC6" i="7"/>
  <c r="MOD6" i="7"/>
  <c r="MOE6" i="7"/>
  <c r="MOF6" i="7"/>
  <c r="MOG6" i="7"/>
  <c r="MOH6" i="7"/>
  <c r="MOI6" i="7"/>
  <c r="MOJ6" i="7"/>
  <c r="MOK6" i="7"/>
  <c r="MOL6" i="7"/>
  <c r="MOM6" i="7"/>
  <c r="MON6" i="7"/>
  <c r="MOO6" i="7"/>
  <c r="MOP6" i="7"/>
  <c r="MOQ6" i="7"/>
  <c r="MOR6" i="7"/>
  <c r="MOS6" i="7"/>
  <c r="MOT6" i="7"/>
  <c r="MOU6" i="7"/>
  <c r="MOV6" i="7"/>
  <c r="MOW6" i="7"/>
  <c r="MOX6" i="7"/>
  <c r="MOY6" i="7"/>
  <c r="MOZ6" i="7"/>
  <c r="MPA6" i="7"/>
  <c r="MPB6" i="7"/>
  <c r="MPC6" i="7"/>
  <c r="MPD6" i="7"/>
  <c r="MPE6" i="7"/>
  <c r="MPF6" i="7"/>
  <c r="MPG6" i="7"/>
  <c r="MPH6" i="7"/>
  <c r="MPI6" i="7"/>
  <c r="MPJ6" i="7"/>
  <c r="MPK6" i="7"/>
  <c r="MPL6" i="7"/>
  <c r="MPM6" i="7"/>
  <c r="MPN6" i="7"/>
  <c r="MPO6" i="7"/>
  <c r="MPP6" i="7"/>
  <c r="MPQ6" i="7"/>
  <c r="MPR6" i="7"/>
  <c r="MPS6" i="7"/>
  <c r="MPT6" i="7"/>
  <c r="MPU6" i="7"/>
  <c r="MPV6" i="7"/>
  <c r="MPW6" i="7"/>
  <c r="MPX6" i="7"/>
  <c r="MPY6" i="7"/>
  <c r="MPZ6" i="7"/>
  <c r="MQA6" i="7"/>
  <c r="MQB6" i="7"/>
  <c r="MQC6" i="7"/>
  <c r="MQD6" i="7"/>
  <c r="MQE6" i="7"/>
  <c r="MQF6" i="7"/>
  <c r="MQG6" i="7"/>
  <c r="MQH6" i="7"/>
  <c r="MQI6" i="7"/>
  <c r="MQJ6" i="7"/>
  <c r="MQK6" i="7"/>
  <c r="MQL6" i="7"/>
  <c r="MQM6" i="7"/>
  <c r="MQN6" i="7"/>
  <c r="MQO6" i="7"/>
  <c r="MQP6" i="7"/>
  <c r="MQQ6" i="7"/>
  <c r="MQR6" i="7"/>
  <c r="MQS6" i="7"/>
  <c r="MQT6" i="7"/>
  <c r="MQU6" i="7"/>
  <c r="MQV6" i="7"/>
  <c r="MQW6" i="7"/>
  <c r="MQX6" i="7"/>
  <c r="MQY6" i="7"/>
  <c r="MQZ6" i="7"/>
  <c r="MRA6" i="7"/>
  <c r="MRB6" i="7"/>
  <c r="MRC6" i="7"/>
  <c r="MRD6" i="7"/>
  <c r="MRE6" i="7"/>
  <c r="MRF6" i="7"/>
  <c r="MRG6" i="7"/>
  <c r="MRH6" i="7"/>
  <c r="MRI6" i="7"/>
  <c r="MRJ6" i="7"/>
  <c r="MRK6" i="7"/>
  <c r="MRL6" i="7"/>
  <c r="MRM6" i="7"/>
  <c r="MRN6" i="7"/>
  <c r="MRO6" i="7"/>
  <c r="MRP6" i="7"/>
  <c r="MRQ6" i="7"/>
  <c r="MRR6" i="7"/>
  <c r="MRS6" i="7"/>
  <c r="MRT6" i="7"/>
  <c r="MRU6" i="7"/>
  <c r="MRV6" i="7"/>
  <c r="MRW6" i="7"/>
  <c r="MRX6" i="7"/>
  <c r="MRY6" i="7"/>
  <c r="MRZ6" i="7"/>
  <c r="MSA6" i="7"/>
  <c r="MSB6" i="7"/>
  <c r="MSC6" i="7"/>
  <c r="MSD6" i="7"/>
  <c r="MSE6" i="7"/>
  <c r="MSF6" i="7"/>
  <c r="MSG6" i="7"/>
  <c r="MSH6" i="7"/>
  <c r="MSI6" i="7"/>
  <c r="MSJ6" i="7"/>
  <c r="MSK6" i="7"/>
  <c r="MSL6" i="7"/>
  <c r="MSM6" i="7"/>
  <c r="MSN6" i="7"/>
  <c r="MSO6" i="7"/>
  <c r="MSP6" i="7"/>
  <c r="MSQ6" i="7"/>
  <c r="MSR6" i="7"/>
  <c r="MSS6" i="7"/>
  <c r="MST6" i="7"/>
  <c r="MSU6" i="7"/>
  <c r="MSV6" i="7"/>
  <c r="MSW6" i="7"/>
  <c r="MSX6" i="7"/>
  <c r="MSY6" i="7"/>
  <c r="MSZ6" i="7"/>
  <c r="MTA6" i="7"/>
  <c r="MTB6" i="7"/>
  <c r="MTC6" i="7"/>
  <c r="MTD6" i="7"/>
  <c r="MTE6" i="7"/>
  <c r="MTF6" i="7"/>
  <c r="MTG6" i="7"/>
  <c r="MTH6" i="7"/>
  <c r="MTI6" i="7"/>
  <c r="MTJ6" i="7"/>
  <c r="MTK6" i="7"/>
  <c r="MTL6" i="7"/>
  <c r="MTM6" i="7"/>
  <c r="MTN6" i="7"/>
  <c r="MTO6" i="7"/>
  <c r="MTP6" i="7"/>
  <c r="MTQ6" i="7"/>
  <c r="MTR6" i="7"/>
  <c r="MTS6" i="7"/>
  <c r="MTT6" i="7"/>
  <c r="MTU6" i="7"/>
  <c r="MTV6" i="7"/>
  <c r="MTW6" i="7"/>
  <c r="MTX6" i="7"/>
  <c r="MTY6" i="7"/>
  <c r="MTZ6" i="7"/>
  <c r="MUA6" i="7"/>
  <c r="MUB6" i="7"/>
  <c r="MUC6" i="7"/>
  <c r="MUD6" i="7"/>
  <c r="MUE6" i="7"/>
  <c r="MUF6" i="7"/>
  <c r="MUG6" i="7"/>
  <c r="MUH6" i="7"/>
  <c r="MUI6" i="7"/>
  <c r="MUJ6" i="7"/>
  <c r="MUK6" i="7"/>
  <c r="MUL6" i="7"/>
  <c r="MUM6" i="7"/>
  <c r="MUN6" i="7"/>
  <c r="MUO6" i="7"/>
  <c r="MUP6" i="7"/>
  <c r="MUQ6" i="7"/>
  <c r="MUR6" i="7"/>
  <c r="MUS6" i="7"/>
  <c r="MUT6" i="7"/>
  <c r="MUU6" i="7"/>
  <c r="MUV6" i="7"/>
  <c r="MUW6" i="7"/>
  <c r="MUX6" i="7"/>
  <c r="MUY6" i="7"/>
  <c r="MUZ6" i="7"/>
  <c r="MVA6" i="7"/>
  <c r="MVB6" i="7"/>
  <c r="MVC6" i="7"/>
  <c r="MVD6" i="7"/>
  <c r="MVE6" i="7"/>
  <c r="MVF6" i="7"/>
  <c r="MVG6" i="7"/>
  <c r="MVH6" i="7"/>
  <c r="MVI6" i="7"/>
  <c r="MVJ6" i="7"/>
  <c r="MVK6" i="7"/>
  <c r="MVL6" i="7"/>
  <c r="MVM6" i="7"/>
  <c r="MVN6" i="7"/>
  <c r="MVO6" i="7"/>
  <c r="MVP6" i="7"/>
  <c r="MVQ6" i="7"/>
  <c r="MVR6" i="7"/>
  <c r="MVS6" i="7"/>
  <c r="MVT6" i="7"/>
  <c r="MVU6" i="7"/>
  <c r="MVV6" i="7"/>
  <c r="MVW6" i="7"/>
  <c r="MVX6" i="7"/>
  <c r="MVY6" i="7"/>
  <c r="MVZ6" i="7"/>
  <c r="MWA6" i="7"/>
  <c r="MWB6" i="7"/>
  <c r="MWC6" i="7"/>
  <c r="MWD6" i="7"/>
  <c r="MWE6" i="7"/>
  <c r="MWF6" i="7"/>
  <c r="MWG6" i="7"/>
  <c r="MWH6" i="7"/>
  <c r="MWI6" i="7"/>
  <c r="MWJ6" i="7"/>
  <c r="MWK6" i="7"/>
  <c r="MWL6" i="7"/>
  <c r="MWM6" i="7"/>
  <c r="MWN6" i="7"/>
  <c r="MWO6" i="7"/>
  <c r="MWP6" i="7"/>
  <c r="MWQ6" i="7"/>
  <c r="MWR6" i="7"/>
  <c r="MWS6" i="7"/>
  <c r="MWT6" i="7"/>
  <c r="MWU6" i="7"/>
  <c r="MWV6" i="7"/>
  <c r="MWW6" i="7"/>
  <c r="MWX6" i="7"/>
  <c r="MWY6" i="7"/>
  <c r="MWZ6" i="7"/>
  <c r="MXA6" i="7"/>
  <c r="MXB6" i="7"/>
  <c r="MXC6" i="7"/>
  <c r="MXD6" i="7"/>
  <c r="MXE6" i="7"/>
  <c r="MXF6" i="7"/>
  <c r="MXG6" i="7"/>
  <c r="MXH6" i="7"/>
  <c r="MXI6" i="7"/>
  <c r="MXJ6" i="7"/>
  <c r="MXK6" i="7"/>
  <c r="MXL6" i="7"/>
  <c r="MXM6" i="7"/>
  <c r="MXN6" i="7"/>
  <c r="MXO6" i="7"/>
  <c r="MXP6" i="7"/>
  <c r="MXQ6" i="7"/>
  <c r="MXR6" i="7"/>
  <c r="MXS6" i="7"/>
  <c r="MXT6" i="7"/>
  <c r="MXU6" i="7"/>
  <c r="MXV6" i="7"/>
  <c r="MXW6" i="7"/>
  <c r="MXX6" i="7"/>
  <c r="MXY6" i="7"/>
  <c r="MXZ6" i="7"/>
  <c r="MYA6" i="7"/>
  <c r="MYB6" i="7"/>
  <c r="MYC6" i="7"/>
  <c r="MYD6" i="7"/>
  <c r="MYE6" i="7"/>
  <c r="MYF6" i="7"/>
  <c r="MYG6" i="7"/>
  <c r="MYH6" i="7"/>
  <c r="MYI6" i="7"/>
  <c r="MYJ6" i="7"/>
  <c r="MYK6" i="7"/>
  <c r="MYL6" i="7"/>
  <c r="MYM6" i="7"/>
  <c r="MYN6" i="7"/>
  <c r="MYO6" i="7"/>
  <c r="MYP6" i="7"/>
  <c r="MYQ6" i="7"/>
  <c r="MYR6" i="7"/>
  <c r="MYS6" i="7"/>
  <c r="MYT6" i="7"/>
  <c r="MYU6" i="7"/>
  <c r="MYV6" i="7"/>
  <c r="MYW6" i="7"/>
  <c r="MYX6" i="7"/>
  <c r="MYY6" i="7"/>
  <c r="MYZ6" i="7"/>
  <c r="MZA6" i="7"/>
  <c r="MZB6" i="7"/>
  <c r="MZC6" i="7"/>
  <c r="MZD6" i="7"/>
  <c r="MZE6" i="7"/>
  <c r="MZF6" i="7"/>
  <c r="MZG6" i="7"/>
  <c r="MZH6" i="7"/>
  <c r="MZI6" i="7"/>
  <c r="MZJ6" i="7"/>
  <c r="MZK6" i="7"/>
  <c r="MZL6" i="7"/>
  <c r="MZM6" i="7"/>
  <c r="MZN6" i="7"/>
  <c r="MZO6" i="7"/>
  <c r="MZP6" i="7"/>
  <c r="MZQ6" i="7"/>
  <c r="MZR6" i="7"/>
  <c r="MZS6" i="7"/>
  <c r="MZT6" i="7"/>
  <c r="MZU6" i="7"/>
  <c r="MZV6" i="7"/>
  <c r="MZW6" i="7"/>
  <c r="MZX6" i="7"/>
  <c r="MZY6" i="7"/>
  <c r="MZZ6" i="7"/>
  <c r="NAA6" i="7"/>
  <c r="NAB6" i="7"/>
  <c r="NAC6" i="7"/>
  <c r="NAD6" i="7"/>
  <c r="NAE6" i="7"/>
  <c r="NAF6" i="7"/>
  <c r="NAG6" i="7"/>
  <c r="NAH6" i="7"/>
  <c r="NAI6" i="7"/>
  <c r="NAJ6" i="7"/>
  <c r="NAK6" i="7"/>
  <c r="NAL6" i="7"/>
  <c r="NAM6" i="7"/>
  <c r="NAN6" i="7"/>
  <c r="NAO6" i="7"/>
  <c r="NAP6" i="7"/>
  <c r="NAQ6" i="7"/>
  <c r="NAR6" i="7"/>
  <c r="NAS6" i="7"/>
  <c r="NAT6" i="7"/>
  <c r="NAU6" i="7"/>
  <c r="NAV6" i="7"/>
  <c r="NAW6" i="7"/>
  <c r="NAX6" i="7"/>
  <c r="NAY6" i="7"/>
  <c r="NAZ6" i="7"/>
  <c r="NBA6" i="7"/>
  <c r="NBB6" i="7"/>
  <c r="NBC6" i="7"/>
  <c r="NBD6" i="7"/>
  <c r="NBE6" i="7"/>
  <c r="NBF6" i="7"/>
  <c r="NBG6" i="7"/>
  <c r="NBH6" i="7"/>
  <c r="NBI6" i="7"/>
  <c r="NBJ6" i="7"/>
  <c r="NBK6" i="7"/>
  <c r="NBL6" i="7"/>
  <c r="NBM6" i="7"/>
  <c r="NBN6" i="7"/>
  <c r="NBO6" i="7"/>
  <c r="NBP6" i="7"/>
  <c r="NBQ6" i="7"/>
  <c r="NBR6" i="7"/>
  <c r="NBS6" i="7"/>
  <c r="NBT6" i="7"/>
  <c r="NBU6" i="7"/>
  <c r="NBV6" i="7"/>
  <c r="NBW6" i="7"/>
  <c r="NBX6" i="7"/>
  <c r="NBY6" i="7"/>
  <c r="NBZ6" i="7"/>
  <c r="NCA6" i="7"/>
  <c r="NCB6" i="7"/>
  <c r="NCC6" i="7"/>
  <c r="NCD6" i="7"/>
  <c r="NCE6" i="7"/>
  <c r="NCF6" i="7"/>
  <c r="NCG6" i="7"/>
  <c r="NCH6" i="7"/>
  <c r="NCI6" i="7"/>
  <c r="NCJ6" i="7"/>
  <c r="NCK6" i="7"/>
  <c r="NCL6" i="7"/>
  <c r="NCM6" i="7"/>
  <c r="NCN6" i="7"/>
  <c r="NCO6" i="7"/>
  <c r="NCP6" i="7"/>
  <c r="NCQ6" i="7"/>
  <c r="NCR6" i="7"/>
  <c r="NCS6" i="7"/>
  <c r="NCT6" i="7"/>
  <c r="NCU6" i="7"/>
  <c r="NCV6" i="7"/>
  <c r="NCW6" i="7"/>
  <c r="NCX6" i="7"/>
  <c r="NCY6" i="7"/>
  <c r="NCZ6" i="7"/>
  <c r="NDA6" i="7"/>
  <c r="NDB6" i="7"/>
  <c r="NDC6" i="7"/>
  <c r="NDD6" i="7"/>
  <c r="NDE6" i="7"/>
  <c r="NDF6" i="7"/>
  <c r="NDG6" i="7"/>
  <c r="NDH6" i="7"/>
  <c r="NDI6" i="7"/>
  <c r="NDJ6" i="7"/>
  <c r="NDK6" i="7"/>
  <c r="NDL6" i="7"/>
  <c r="NDM6" i="7"/>
  <c r="NDN6" i="7"/>
  <c r="NDO6" i="7"/>
  <c r="NDP6" i="7"/>
  <c r="NDQ6" i="7"/>
  <c r="NDR6" i="7"/>
  <c r="NDS6" i="7"/>
  <c r="NDT6" i="7"/>
  <c r="NDU6" i="7"/>
  <c r="NDV6" i="7"/>
  <c r="NDW6" i="7"/>
  <c r="NDX6" i="7"/>
  <c r="NDY6" i="7"/>
  <c r="NDZ6" i="7"/>
  <c r="NEA6" i="7"/>
  <c r="NEB6" i="7"/>
  <c r="NEC6" i="7"/>
  <c r="NED6" i="7"/>
  <c r="NEE6" i="7"/>
  <c r="NEF6" i="7"/>
  <c r="NEG6" i="7"/>
  <c r="NEH6" i="7"/>
  <c r="NEI6" i="7"/>
  <c r="NEJ6" i="7"/>
  <c r="NEK6" i="7"/>
  <c r="NEL6" i="7"/>
  <c r="NEM6" i="7"/>
  <c r="NEN6" i="7"/>
  <c r="NEO6" i="7"/>
  <c r="NEP6" i="7"/>
  <c r="NEQ6" i="7"/>
  <c r="NER6" i="7"/>
  <c r="NES6" i="7"/>
  <c r="NET6" i="7"/>
  <c r="NEU6" i="7"/>
  <c r="NEV6" i="7"/>
  <c r="NEW6" i="7"/>
  <c r="NEX6" i="7"/>
  <c r="NEY6" i="7"/>
  <c r="NEZ6" i="7"/>
  <c r="NFA6" i="7"/>
  <c r="NFB6" i="7"/>
  <c r="NFC6" i="7"/>
  <c r="NFD6" i="7"/>
  <c r="NFE6" i="7"/>
  <c r="NFF6" i="7"/>
  <c r="NFG6" i="7"/>
  <c r="NFH6" i="7"/>
  <c r="NFI6" i="7"/>
  <c r="NFJ6" i="7"/>
  <c r="NFK6" i="7"/>
  <c r="NFL6" i="7"/>
  <c r="NFM6" i="7"/>
  <c r="NFN6" i="7"/>
  <c r="NFO6" i="7"/>
  <c r="NFP6" i="7"/>
  <c r="NFQ6" i="7"/>
  <c r="NFR6" i="7"/>
  <c r="NFS6" i="7"/>
  <c r="NFT6" i="7"/>
  <c r="NFU6" i="7"/>
  <c r="NFV6" i="7"/>
  <c r="NFW6" i="7"/>
  <c r="NFX6" i="7"/>
  <c r="NFY6" i="7"/>
  <c r="NFZ6" i="7"/>
  <c r="NGA6" i="7"/>
  <c r="NGB6" i="7"/>
  <c r="NGC6" i="7"/>
  <c r="NGD6" i="7"/>
  <c r="NGE6" i="7"/>
  <c r="NGF6" i="7"/>
  <c r="NGG6" i="7"/>
  <c r="NGH6" i="7"/>
  <c r="NGI6" i="7"/>
  <c r="NGJ6" i="7"/>
  <c r="NGK6" i="7"/>
  <c r="NGL6" i="7"/>
  <c r="NGM6" i="7"/>
  <c r="NGN6" i="7"/>
  <c r="NGO6" i="7"/>
  <c r="NGP6" i="7"/>
  <c r="NGQ6" i="7"/>
  <c r="NGR6" i="7"/>
  <c r="NGS6" i="7"/>
  <c r="NGT6" i="7"/>
  <c r="NGU6" i="7"/>
  <c r="NGV6" i="7"/>
  <c r="NGW6" i="7"/>
  <c r="NGX6" i="7"/>
  <c r="NGY6" i="7"/>
  <c r="NGZ6" i="7"/>
  <c r="NHA6" i="7"/>
  <c r="NHB6" i="7"/>
  <c r="NHC6" i="7"/>
  <c r="NHD6" i="7"/>
  <c r="NHE6" i="7"/>
  <c r="NHF6" i="7"/>
  <c r="NHG6" i="7"/>
  <c r="NHH6" i="7"/>
  <c r="NHI6" i="7"/>
  <c r="NHJ6" i="7"/>
  <c r="NHK6" i="7"/>
  <c r="NHL6" i="7"/>
  <c r="NHM6" i="7"/>
  <c r="NHN6" i="7"/>
  <c r="NHO6" i="7"/>
  <c r="NHP6" i="7"/>
  <c r="NHQ6" i="7"/>
  <c r="NHR6" i="7"/>
  <c r="NHS6" i="7"/>
  <c r="NHT6" i="7"/>
  <c r="NHU6" i="7"/>
  <c r="NHV6" i="7"/>
  <c r="NHW6" i="7"/>
  <c r="NHX6" i="7"/>
  <c r="NHY6" i="7"/>
  <c r="NHZ6" i="7"/>
  <c r="NIA6" i="7"/>
  <c r="NIB6" i="7"/>
  <c r="NIC6" i="7"/>
  <c r="NID6" i="7"/>
  <c r="NIE6" i="7"/>
  <c r="NIF6" i="7"/>
  <c r="NIG6" i="7"/>
  <c r="NIH6" i="7"/>
  <c r="NII6" i="7"/>
  <c r="NIJ6" i="7"/>
  <c r="NIK6" i="7"/>
  <c r="NIL6" i="7"/>
  <c r="NIM6" i="7"/>
  <c r="NIN6" i="7"/>
  <c r="NIO6" i="7"/>
  <c r="NIP6" i="7"/>
  <c r="NIQ6" i="7"/>
  <c r="NIR6" i="7"/>
  <c r="NIS6" i="7"/>
  <c r="NIT6" i="7"/>
  <c r="NIU6" i="7"/>
  <c r="NIV6" i="7"/>
  <c r="NIW6" i="7"/>
  <c r="NIX6" i="7"/>
  <c r="NIY6" i="7"/>
  <c r="NIZ6" i="7"/>
  <c r="NJA6" i="7"/>
  <c r="NJB6" i="7"/>
  <c r="NJC6" i="7"/>
  <c r="NJD6" i="7"/>
  <c r="NJE6" i="7"/>
  <c r="NJF6" i="7"/>
  <c r="NJG6" i="7"/>
  <c r="NJH6" i="7"/>
  <c r="NJI6" i="7"/>
  <c r="NJJ6" i="7"/>
  <c r="NJK6" i="7"/>
  <c r="NJL6" i="7"/>
  <c r="NJM6" i="7"/>
  <c r="NJN6" i="7"/>
  <c r="NJO6" i="7"/>
  <c r="NJP6" i="7"/>
  <c r="NJQ6" i="7"/>
  <c r="NJR6" i="7"/>
  <c r="NJS6" i="7"/>
  <c r="NJT6" i="7"/>
  <c r="NJU6" i="7"/>
  <c r="NJV6" i="7"/>
  <c r="NJW6" i="7"/>
  <c r="NJX6" i="7"/>
  <c r="NJY6" i="7"/>
  <c r="NJZ6" i="7"/>
  <c r="NKA6" i="7"/>
  <c r="NKB6" i="7"/>
  <c r="NKC6" i="7"/>
  <c r="NKD6" i="7"/>
  <c r="NKE6" i="7"/>
  <c r="NKF6" i="7"/>
  <c r="NKG6" i="7"/>
  <c r="NKH6" i="7"/>
  <c r="NKI6" i="7"/>
  <c r="NKJ6" i="7"/>
  <c r="NKK6" i="7"/>
  <c r="NKL6" i="7"/>
  <c r="NKM6" i="7"/>
  <c r="NKN6" i="7"/>
  <c r="NKO6" i="7"/>
  <c r="NKP6" i="7"/>
  <c r="NKQ6" i="7"/>
  <c r="NKR6" i="7"/>
  <c r="NKS6" i="7"/>
  <c r="NKT6" i="7"/>
  <c r="NKU6" i="7"/>
  <c r="NKV6" i="7"/>
  <c r="NKW6" i="7"/>
  <c r="NKX6" i="7"/>
  <c r="NKY6" i="7"/>
  <c r="NKZ6" i="7"/>
  <c r="NLA6" i="7"/>
  <c r="NLB6" i="7"/>
  <c r="NLC6" i="7"/>
  <c r="NLD6" i="7"/>
  <c r="NLE6" i="7"/>
  <c r="NLF6" i="7"/>
  <c r="NLG6" i="7"/>
  <c r="NLH6" i="7"/>
  <c r="NLI6" i="7"/>
  <c r="NLJ6" i="7"/>
  <c r="NLK6" i="7"/>
  <c r="NLL6" i="7"/>
  <c r="NLM6" i="7"/>
  <c r="NLN6" i="7"/>
  <c r="NLO6" i="7"/>
  <c r="NLP6" i="7"/>
  <c r="NLQ6" i="7"/>
  <c r="NLR6" i="7"/>
  <c r="NLS6" i="7"/>
  <c r="NLT6" i="7"/>
  <c r="NLU6" i="7"/>
  <c r="NLV6" i="7"/>
  <c r="NLW6" i="7"/>
  <c r="NLX6" i="7"/>
  <c r="NLY6" i="7"/>
  <c r="NLZ6" i="7"/>
  <c r="NMA6" i="7"/>
  <c r="NMB6" i="7"/>
  <c r="NMC6" i="7"/>
  <c r="NMD6" i="7"/>
  <c r="NME6" i="7"/>
  <c r="NMF6" i="7"/>
  <c r="NMG6" i="7"/>
  <c r="NMH6" i="7"/>
  <c r="NMI6" i="7"/>
  <c r="NMJ6" i="7"/>
  <c r="NMK6" i="7"/>
  <c r="NML6" i="7"/>
  <c r="NMM6" i="7"/>
  <c r="NMN6" i="7"/>
  <c r="NMO6" i="7"/>
  <c r="NMP6" i="7"/>
  <c r="NMQ6" i="7"/>
  <c r="NMR6" i="7"/>
  <c r="NMS6" i="7"/>
  <c r="NMT6" i="7"/>
  <c r="NMU6" i="7"/>
  <c r="NMV6" i="7"/>
  <c r="NMW6" i="7"/>
  <c r="NMX6" i="7"/>
  <c r="NMY6" i="7"/>
  <c r="NMZ6" i="7"/>
  <c r="NNA6" i="7"/>
  <c r="NNB6" i="7"/>
  <c r="NNC6" i="7"/>
  <c r="NND6" i="7"/>
  <c r="NNE6" i="7"/>
  <c r="NNF6" i="7"/>
  <c r="NNG6" i="7"/>
  <c r="NNH6" i="7"/>
  <c r="NNI6" i="7"/>
  <c r="NNJ6" i="7"/>
  <c r="NNK6" i="7"/>
  <c r="NNL6" i="7"/>
  <c r="NNM6" i="7"/>
  <c r="NNN6" i="7"/>
  <c r="NNO6" i="7"/>
  <c r="NNP6" i="7"/>
  <c r="NNQ6" i="7"/>
  <c r="NNR6" i="7"/>
  <c r="NNS6" i="7"/>
  <c r="NNT6" i="7"/>
  <c r="NNU6" i="7"/>
  <c r="NNV6" i="7"/>
  <c r="NNW6" i="7"/>
  <c r="NNX6" i="7"/>
  <c r="NNY6" i="7"/>
  <c r="NNZ6" i="7"/>
  <c r="NOA6" i="7"/>
  <c r="NOB6" i="7"/>
  <c r="NOC6" i="7"/>
  <c r="NOD6" i="7"/>
  <c r="NOE6" i="7"/>
  <c r="NOF6" i="7"/>
  <c r="NOG6" i="7"/>
  <c r="NOH6" i="7"/>
  <c r="NOI6" i="7"/>
  <c r="NOJ6" i="7"/>
  <c r="NOK6" i="7"/>
  <c r="NOL6" i="7"/>
  <c r="NOM6" i="7"/>
  <c r="NON6" i="7"/>
  <c r="NOO6" i="7"/>
  <c r="NOP6" i="7"/>
  <c r="NOQ6" i="7"/>
  <c r="NOR6" i="7"/>
  <c r="NOS6" i="7"/>
  <c r="NOT6" i="7"/>
  <c r="NOU6" i="7"/>
  <c r="NOV6" i="7"/>
  <c r="NOW6" i="7"/>
  <c r="NOX6" i="7"/>
  <c r="NOY6" i="7"/>
  <c r="NOZ6" i="7"/>
  <c r="NPA6" i="7"/>
  <c r="NPB6" i="7"/>
  <c r="NPC6" i="7"/>
  <c r="NPD6" i="7"/>
  <c r="NPE6" i="7"/>
  <c r="NPF6" i="7"/>
  <c r="NPG6" i="7"/>
  <c r="NPH6" i="7"/>
  <c r="NPI6" i="7"/>
  <c r="NPJ6" i="7"/>
  <c r="NPK6" i="7"/>
  <c r="NPL6" i="7"/>
  <c r="NPM6" i="7"/>
  <c r="NPN6" i="7"/>
  <c r="NPO6" i="7"/>
  <c r="NPP6" i="7"/>
  <c r="NPQ6" i="7"/>
  <c r="NPR6" i="7"/>
  <c r="NPS6" i="7"/>
  <c r="NPT6" i="7"/>
  <c r="NPU6" i="7"/>
  <c r="NPV6" i="7"/>
  <c r="NPW6" i="7"/>
  <c r="NPX6" i="7"/>
  <c r="NPY6" i="7"/>
  <c r="NPZ6" i="7"/>
  <c r="NQA6" i="7"/>
  <c r="NQB6" i="7"/>
  <c r="NQC6" i="7"/>
  <c r="NQD6" i="7"/>
  <c r="NQE6" i="7"/>
  <c r="NQF6" i="7"/>
  <c r="NQG6" i="7"/>
  <c r="NQH6" i="7"/>
  <c r="NQI6" i="7"/>
  <c r="NQJ6" i="7"/>
  <c r="NQK6" i="7"/>
  <c r="NQL6" i="7"/>
  <c r="NQM6" i="7"/>
  <c r="NQN6" i="7"/>
  <c r="NQO6" i="7"/>
  <c r="NQP6" i="7"/>
  <c r="NQQ6" i="7"/>
  <c r="NQR6" i="7"/>
  <c r="NQS6" i="7"/>
  <c r="NQT6" i="7"/>
  <c r="NQU6" i="7"/>
  <c r="NQV6" i="7"/>
  <c r="NQW6" i="7"/>
  <c r="NQX6" i="7"/>
  <c r="NQY6" i="7"/>
  <c r="NQZ6" i="7"/>
  <c r="NRA6" i="7"/>
  <c r="NRB6" i="7"/>
  <c r="NRC6" i="7"/>
  <c r="NRD6" i="7"/>
  <c r="NRE6" i="7"/>
  <c r="NRF6" i="7"/>
  <c r="NRG6" i="7"/>
  <c r="NRH6" i="7"/>
  <c r="NRI6" i="7"/>
  <c r="NRJ6" i="7"/>
  <c r="NRK6" i="7"/>
  <c r="NRL6" i="7"/>
  <c r="NRM6" i="7"/>
  <c r="NRN6" i="7"/>
  <c r="NRO6" i="7"/>
  <c r="NRP6" i="7"/>
  <c r="NRQ6" i="7"/>
  <c r="NRR6" i="7"/>
  <c r="NRS6" i="7"/>
  <c r="NRT6" i="7"/>
  <c r="NRU6" i="7"/>
  <c r="NRV6" i="7"/>
  <c r="NRW6" i="7"/>
  <c r="NRX6" i="7"/>
  <c r="NRY6" i="7"/>
  <c r="NRZ6" i="7"/>
  <c r="NSA6" i="7"/>
  <c r="NSB6" i="7"/>
  <c r="NSC6" i="7"/>
  <c r="NSD6" i="7"/>
  <c r="NSE6" i="7"/>
  <c r="NSF6" i="7"/>
  <c r="NSG6" i="7"/>
  <c r="NSH6" i="7"/>
  <c r="NSI6" i="7"/>
  <c r="NSJ6" i="7"/>
  <c r="NSK6" i="7"/>
  <c r="NSL6" i="7"/>
  <c r="NSM6" i="7"/>
  <c r="NSN6" i="7"/>
  <c r="NSO6" i="7"/>
  <c r="NSP6" i="7"/>
  <c r="NSQ6" i="7"/>
  <c r="NSR6" i="7"/>
  <c r="NSS6" i="7"/>
  <c r="NST6" i="7"/>
  <c r="NSU6" i="7"/>
  <c r="NSV6" i="7"/>
  <c r="NSW6" i="7"/>
  <c r="NSX6" i="7"/>
  <c r="NSY6" i="7"/>
  <c r="NSZ6" i="7"/>
  <c r="NTA6" i="7"/>
  <c r="NTB6" i="7"/>
  <c r="NTC6" i="7"/>
  <c r="NTD6" i="7"/>
  <c r="NTE6" i="7"/>
  <c r="NTF6" i="7"/>
  <c r="NTG6" i="7"/>
  <c r="NTH6" i="7"/>
  <c r="NTI6" i="7"/>
  <c r="NTJ6" i="7"/>
  <c r="NTK6" i="7"/>
  <c r="NTL6" i="7"/>
  <c r="NTM6" i="7"/>
  <c r="NTN6" i="7"/>
  <c r="NTO6" i="7"/>
  <c r="NTP6" i="7"/>
  <c r="NTQ6" i="7"/>
  <c r="NTR6" i="7"/>
  <c r="NTS6" i="7"/>
  <c r="NTT6" i="7"/>
  <c r="NTU6" i="7"/>
  <c r="NTV6" i="7"/>
  <c r="NTW6" i="7"/>
  <c r="NTX6" i="7"/>
  <c r="NTY6" i="7"/>
  <c r="NTZ6" i="7"/>
  <c r="NUA6" i="7"/>
  <c r="NUB6" i="7"/>
  <c r="NUC6" i="7"/>
  <c r="NUD6" i="7"/>
  <c r="NUE6" i="7"/>
  <c r="NUF6" i="7"/>
  <c r="NUG6" i="7"/>
  <c r="NUH6" i="7"/>
  <c r="NUI6" i="7"/>
  <c r="NUJ6" i="7"/>
  <c r="NUK6" i="7"/>
  <c r="NUL6" i="7"/>
  <c r="NUM6" i="7"/>
  <c r="NUN6" i="7"/>
  <c r="NUO6" i="7"/>
  <c r="NUP6" i="7"/>
  <c r="NUQ6" i="7"/>
  <c r="NUR6" i="7"/>
  <c r="NUS6" i="7"/>
  <c r="NUT6" i="7"/>
  <c r="NUU6" i="7"/>
  <c r="NUV6" i="7"/>
  <c r="NUW6" i="7"/>
  <c r="NUX6" i="7"/>
  <c r="NUY6" i="7"/>
  <c r="NUZ6" i="7"/>
  <c r="NVA6" i="7"/>
  <c r="NVB6" i="7"/>
  <c r="NVC6" i="7"/>
  <c r="NVD6" i="7"/>
  <c r="NVE6" i="7"/>
  <c r="NVF6" i="7"/>
  <c r="NVG6" i="7"/>
  <c r="NVH6" i="7"/>
  <c r="NVI6" i="7"/>
  <c r="NVJ6" i="7"/>
  <c r="NVK6" i="7"/>
  <c r="NVL6" i="7"/>
  <c r="NVM6" i="7"/>
  <c r="NVN6" i="7"/>
  <c r="NVO6" i="7"/>
  <c r="NVP6" i="7"/>
  <c r="NVQ6" i="7"/>
  <c r="NVR6" i="7"/>
  <c r="NVS6" i="7"/>
  <c r="NVT6" i="7"/>
  <c r="NVU6" i="7"/>
  <c r="NVV6" i="7"/>
  <c r="NVW6" i="7"/>
  <c r="NVX6" i="7"/>
  <c r="NVY6" i="7"/>
  <c r="NVZ6" i="7"/>
  <c r="NWA6" i="7"/>
  <c r="NWB6" i="7"/>
  <c r="NWC6" i="7"/>
  <c r="NWD6" i="7"/>
  <c r="NWE6" i="7"/>
  <c r="NWF6" i="7"/>
  <c r="NWG6" i="7"/>
  <c r="NWH6" i="7"/>
  <c r="NWI6" i="7"/>
  <c r="NWJ6" i="7"/>
  <c r="NWK6" i="7"/>
  <c r="NWL6" i="7"/>
  <c r="NWM6" i="7"/>
  <c r="NWN6" i="7"/>
  <c r="NWO6" i="7"/>
  <c r="NWP6" i="7"/>
  <c r="NWQ6" i="7"/>
  <c r="NWR6" i="7"/>
  <c r="NWS6" i="7"/>
  <c r="NWT6" i="7"/>
  <c r="NWU6" i="7"/>
  <c r="NWV6" i="7"/>
  <c r="NWW6" i="7"/>
  <c r="NWX6" i="7"/>
  <c r="NWY6" i="7"/>
  <c r="NWZ6" i="7"/>
  <c r="NXA6" i="7"/>
  <c r="NXB6" i="7"/>
  <c r="NXC6" i="7"/>
  <c r="NXD6" i="7"/>
  <c r="NXE6" i="7"/>
  <c r="NXF6" i="7"/>
  <c r="NXG6" i="7"/>
  <c r="NXH6" i="7"/>
  <c r="NXI6" i="7"/>
  <c r="NXJ6" i="7"/>
  <c r="NXK6" i="7"/>
  <c r="NXL6" i="7"/>
  <c r="NXM6" i="7"/>
  <c r="NXN6" i="7"/>
  <c r="NXO6" i="7"/>
  <c r="NXP6" i="7"/>
  <c r="NXQ6" i="7"/>
  <c r="NXR6" i="7"/>
  <c r="NXS6" i="7"/>
  <c r="NXT6" i="7"/>
  <c r="NXU6" i="7"/>
  <c r="NXV6" i="7"/>
  <c r="NXW6" i="7"/>
  <c r="NXX6" i="7"/>
  <c r="NXY6" i="7"/>
  <c r="NXZ6" i="7"/>
  <c r="NYA6" i="7"/>
  <c r="NYB6" i="7"/>
  <c r="NYC6" i="7"/>
  <c r="NYD6" i="7"/>
  <c r="NYE6" i="7"/>
  <c r="NYF6" i="7"/>
  <c r="NYG6" i="7"/>
  <c r="NYH6" i="7"/>
  <c r="NYI6" i="7"/>
  <c r="NYJ6" i="7"/>
  <c r="NYK6" i="7"/>
  <c r="NYL6" i="7"/>
  <c r="NYM6" i="7"/>
  <c r="NYN6" i="7"/>
  <c r="NYO6" i="7"/>
  <c r="NYP6" i="7"/>
  <c r="NYQ6" i="7"/>
  <c r="NYR6" i="7"/>
  <c r="NYS6" i="7"/>
  <c r="NYT6" i="7"/>
  <c r="NYU6" i="7"/>
  <c r="NYV6" i="7"/>
  <c r="NYW6" i="7"/>
  <c r="NYX6" i="7"/>
  <c r="NYY6" i="7"/>
  <c r="NYZ6" i="7"/>
  <c r="NZA6" i="7"/>
  <c r="NZB6" i="7"/>
  <c r="NZC6" i="7"/>
  <c r="NZD6" i="7"/>
  <c r="NZE6" i="7"/>
  <c r="NZF6" i="7"/>
  <c r="NZG6" i="7"/>
  <c r="NZH6" i="7"/>
  <c r="NZI6" i="7"/>
  <c r="NZJ6" i="7"/>
  <c r="NZK6" i="7"/>
  <c r="NZL6" i="7"/>
  <c r="NZM6" i="7"/>
  <c r="NZN6" i="7"/>
  <c r="NZO6" i="7"/>
  <c r="NZP6" i="7"/>
  <c r="NZQ6" i="7"/>
  <c r="NZR6" i="7"/>
  <c r="NZS6" i="7"/>
  <c r="NZT6" i="7"/>
  <c r="NZU6" i="7"/>
  <c r="NZV6" i="7"/>
  <c r="NZW6" i="7"/>
  <c r="NZX6" i="7"/>
  <c r="NZY6" i="7"/>
  <c r="NZZ6" i="7"/>
  <c r="OAA6" i="7"/>
  <c r="OAB6" i="7"/>
  <c r="OAC6" i="7"/>
  <c r="OAD6" i="7"/>
  <c r="OAE6" i="7"/>
  <c r="OAF6" i="7"/>
  <c r="OAG6" i="7"/>
  <c r="OAH6" i="7"/>
  <c r="OAI6" i="7"/>
  <c r="OAJ6" i="7"/>
  <c r="OAK6" i="7"/>
  <c r="OAL6" i="7"/>
  <c r="OAM6" i="7"/>
  <c r="OAN6" i="7"/>
  <c r="OAO6" i="7"/>
  <c r="OAP6" i="7"/>
  <c r="OAQ6" i="7"/>
  <c r="OAR6" i="7"/>
  <c r="OAS6" i="7"/>
  <c r="OAT6" i="7"/>
  <c r="OAU6" i="7"/>
  <c r="OAV6" i="7"/>
  <c r="OAW6" i="7"/>
  <c r="OAX6" i="7"/>
  <c r="OAY6" i="7"/>
  <c r="OAZ6" i="7"/>
  <c r="OBA6" i="7"/>
  <c r="OBB6" i="7"/>
  <c r="OBC6" i="7"/>
  <c r="OBD6" i="7"/>
  <c r="OBE6" i="7"/>
  <c r="OBF6" i="7"/>
  <c r="OBG6" i="7"/>
  <c r="OBH6" i="7"/>
  <c r="OBI6" i="7"/>
  <c r="OBJ6" i="7"/>
  <c r="OBK6" i="7"/>
  <c r="OBL6" i="7"/>
  <c r="OBM6" i="7"/>
  <c r="OBN6" i="7"/>
  <c r="OBO6" i="7"/>
  <c r="OBP6" i="7"/>
  <c r="OBQ6" i="7"/>
  <c r="OBR6" i="7"/>
  <c r="OBS6" i="7"/>
  <c r="OBT6" i="7"/>
  <c r="OBU6" i="7"/>
  <c r="OBV6" i="7"/>
  <c r="OBW6" i="7"/>
  <c r="OBX6" i="7"/>
  <c r="OBY6" i="7"/>
  <c r="OBZ6" i="7"/>
  <c r="OCA6" i="7"/>
  <c r="OCB6" i="7"/>
  <c r="OCC6" i="7"/>
  <c r="OCD6" i="7"/>
  <c r="OCE6" i="7"/>
  <c r="OCF6" i="7"/>
  <c r="OCG6" i="7"/>
  <c r="OCH6" i="7"/>
  <c r="OCI6" i="7"/>
  <c r="OCJ6" i="7"/>
  <c r="OCK6" i="7"/>
  <c r="OCL6" i="7"/>
  <c r="OCM6" i="7"/>
  <c r="OCN6" i="7"/>
  <c r="OCO6" i="7"/>
  <c r="OCP6" i="7"/>
  <c r="OCQ6" i="7"/>
  <c r="OCR6" i="7"/>
  <c r="OCS6" i="7"/>
  <c r="OCT6" i="7"/>
  <c r="OCU6" i="7"/>
  <c r="OCV6" i="7"/>
  <c r="OCW6" i="7"/>
  <c r="OCX6" i="7"/>
  <c r="OCY6" i="7"/>
  <c r="OCZ6" i="7"/>
  <c r="ODA6" i="7"/>
  <c r="ODB6" i="7"/>
  <c r="ODC6" i="7"/>
  <c r="ODD6" i="7"/>
  <c r="ODE6" i="7"/>
  <c r="ODF6" i="7"/>
  <c r="ODG6" i="7"/>
  <c r="ODH6" i="7"/>
  <c r="ODI6" i="7"/>
  <c r="ODJ6" i="7"/>
  <c r="ODK6" i="7"/>
  <c r="ODL6" i="7"/>
  <c r="ODM6" i="7"/>
  <c r="ODN6" i="7"/>
  <c r="ODO6" i="7"/>
  <c r="ODP6" i="7"/>
  <c r="ODQ6" i="7"/>
  <c r="ODR6" i="7"/>
  <c r="ODS6" i="7"/>
  <c r="ODT6" i="7"/>
  <c r="ODU6" i="7"/>
  <c r="ODV6" i="7"/>
  <c r="ODW6" i="7"/>
  <c r="ODX6" i="7"/>
  <c r="ODY6" i="7"/>
  <c r="ODZ6" i="7"/>
  <c r="OEA6" i="7"/>
  <c r="OEB6" i="7"/>
  <c r="OEC6" i="7"/>
  <c r="OED6" i="7"/>
  <c r="OEE6" i="7"/>
  <c r="OEF6" i="7"/>
  <c r="OEG6" i="7"/>
  <c r="OEH6" i="7"/>
  <c r="OEI6" i="7"/>
  <c r="OEJ6" i="7"/>
  <c r="OEK6" i="7"/>
  <c r="OEL6" i="7"/>
  <c r="OEM6" i="7"/>
  <c r="OEN6" i="7"/>
  <c r="OEO6" i="7"/>
  <c r="OEP6" i="7"/>
  <c r="OEQ6" i="7"/>
  <c r="OER6" i="7"/>
  <c r="OES6" i="7"/>
  <c r="OET6" i="7"/>
  <c r="OEU6" i="7"/>
  <c r="OEV6" i="7"/>
  <c r="OEW6" i="7"/>
  <c r="OEX6" i="7"/>
  <c r="OEY6" i="7"/>
  <c r="OEZ6" i="7"/>
  <c r="OFA6" i="7"/>
  <c r="OFB6" i="7"/>
  <c r="OFC6" i="7"/>
  <c r="OFD6" i="7"/>
  <c r="OFE6" i="7"/>
  <c r="OFF6" i="7"/>
  <c r="OFG6" i="7"/>
  <c r="OFH6" i="7"/>
  <c r="OFI6" i="7"/>
  <c r="OFJ6" i="7"/>
  <c r="OFK6" i="7"/>
  <c r="OFL6" i="7"/>
  <c r="OFM6" i="7"/>
  <c r="OFN6" i="7"/>
  <c r="OFO6" i="7"/>
  <c r="OFP6" i="7"/>
  <c r="OFQ6" i="7"/>
  <c r="OFR6" i="7"/>
  <c r="OFS6" i="7"/>
  <c r="OFT6" i="7"/>
  <c r="OFU6" i="7"/>
  <c r="OFV6" i="7"/>
  <c r="OFW6" i="7"/>
  <c r="OFX6" i="7"/>
  <c r="OFY6" i="7"/>
  <c r="OFZ6" i="7"/>
  <c r="OGA6" i="7"/>
  <c r="OGB6" i="7"/>
  <c r="OGC6" i="7"/>
  <c r="OGD6" i="7"/>
  <c r="OGE6" i="7"/>
  <c r="OGF6" i="7"/>
  <c r="OGG6" i="7"/>
  <c r="OGH6" i="7"/>
  <c r="OGI6" i="7"/>
  <c r="OGJ6" i="7"/>
  <c r="OGK6" i="7"/>
  <c r="OGL6" i="7"/>
  <c r="OGM6" i="7"/>
  <c r="OGN6" i="7"/>
  <c r="OGO6" i="7"/>
  <c r="OGP6" i="7"/>
  <c r="OGQ6" i="7"/>
  <c r="OGR6" i="7"/>
  <c r="OGS6" i="7"/>
  <c r="OGT6" i="7"/>
  <c r="OGU6" i="7"/>
  <c r="OGV6" i="7"/>
  <c r="OGW6" i="7"/>
  <c r="OGX6" i="7"/>
  <c r="OGY6" i="7"/>
  <c r="OGZ6" i="7"/>
  <c r="OHA6" i="7"/>
  <c r="OHB6" i="7"/>
  <c r="OHC6" i="7"/>
  <c r="OHD6" i="7"/>
  <c r="OHE6" i="7"/>
  <c r="OHF6" i="7"/>
  <c r="OHG6" i="7"/>
  <c r="OHH6" i="7"/>
  <c r="OHI6" i="7"/>
  <c r="OHJ6" i="7"/>
  <c r="OHK6" i="7"/>
  <c r="OHL6" i="7"/>
  <c r="OHM6" i="7"/>
  <c r="OHN6" i="7"/>
  <c r="OHO6" i="7"/>
  <c r="OHP6" i="7"/>
  <c r="OHQ6" i="7"/>
  <c r="OHR6" i="7"/>
  <c r="OHS6" i="7"/>
  <c r="OHT6" i="7"/>
  <c r="OHU6" i="7"/>
  <c r="OHV6" i="7"/>
  <c r="OHW6" i="7"/>
  <c r="OHX6" i="7"/>
  <c r="OHY6" i="7"/>
  <c r="OHZ6" i="7"/>
  <c r="OIA6" i="7"/>
  <c r="OIB6" i="7"/>
  <c r="OIC6" i="7"/>
  <c r="OID6" i="7"/>
  <c r="OIE6" i="7"/>
  <c r="OIF6" i="7"/>
  <c r="OIG6" i="7"/>
  <c r="OIH6" i="7"/>
  <c r="OII6" i="7"/>
  <c r="OIJ6" i="7"/>
  <c r="OIK6" i="7"/>
  <c r="OIL6" i="7"/>
  <c r="OIM6" i="7"/>
  <c r="OIN6" i="7"/>
  <c r="OIO6" i="7"/>
  <c r="OIP6" i="7"/>
  <c r="OIQ6" i="7"/>
  <c r="OIR6" i="7"/>
  <c r="OIS6" i="7"/>
  <c r="OIT6" i="7"/>
  <c r="OIU6" i="7"/>
  <c r="OIV6" i="7"/>
  <c r="OIW6" i="7"/>
  <c r="OIX6" i="7"/>
  <c r="OIY6" i="7"/>
  <c r="OIZ6" i="7"/>
  <c r="OJA6" i="7"/>
  <c r="OJB6" i="7"/>
  <c r="OJC6" i="7"/>
  <c r="OJD6" i="7"/>
  <c r="OJE6" i="7"/>
  <c r="OJF6" i="7"/>
  <c r="OJG6" i="7"/>
  <c r="OJH6" i="7"/>
  <c r="OJI6" i="7"/>
  <c r="OJJ6" i="7"/>
  <c r="OJK6" i="7"/>
  <c r="OJL6" i="7"/>
  <c r="OJM6" i="7"/>
  <c r="OJN6" i="7"/>
  <c r="OJO6" i="7"/>
  <c r="OJP6" i="7"/>
  <c r="OJQ6" i="7"/>
  <c r="OJR6" i="7"/>
  <c r="OJS6" i="7"/>
  <c r="OJT6" i="7"/>
  <c r="OJU6" i="7"/>
  <c r="OJV6" i="7"/>
  <c r="OJW6" i="7"/>
  <c r="OJX6" i="7"/>
  <c r="OJY6" i="7"/>
  <c r="OJZ6" i="7"/>
  <c r="OKA6" i="7"/>
  <c r="OKB6" i="7"/>
  <c r="OKC6" i="7"/>
  <c r="OKD6" i="7"/>
  <c r="OKE6" i="7"/>
  <c r="OKF6" i="7"/>
  <c r="OKG6" i="7"/>
  <c r="OKH6" i="7"/>
  <c r="OKI6" i="7"/>
  <c r="OKJ6" i="7"/>
  <c r="OKK6" i="7"/>
  <c r="OKL6" i="7"/>
  <c r="OKM6" i="7"/>
  <c r="OKN6" i="7"/>
  <c r="OKO6" i="7"/>
  <c r="OKP6" i="7"/>
  <c r="OKQ6" i="7"/>
  <c r="OKR6" i="7"/>
  <c r="OKS6" i="7"/>
  <c r="OKT6" i="7"/>
  <c r="OKU6" i="7"/>
  <c r="OKV6" i="7"/>
  <c r="OKW6" i="7"/>
  <c r="OKX6" i="7"/>
  <c r="OKY6" i="7"/>
  <c r="OKZ6" i="7"/>
  <c r="OLA6" i="7"/>
  <c r="OLB6" i="7"/>
  <c r="OLC6" i="7"/>
  <c r="OLD6" i="7"/>
  <c r="OLE6" i="7"/>
  <c r="OLF6" i="7"/>
  <c r="OLG6" i="7"/>
  <c r="OLH6" i="7"/>
  <c r="OLI6" i="7"/>
  <c r="OLJ6" i="7"/>
  <c r="OLK6" i="7"/>
  <c r="OLL6" i="7"/>
  <c r="OLM6" i="7"/>
  <c r="OLN6" i="7"/>
  <c r="OLO6" i="7"/>
  <c r="OLP6" i="7"/>
  <c r="OLQ6" i="7"/>
  <c r="OLR6" i="7"/>
  <c r="OLS6" i="7"/>
  <c r="OLT6" i="7"/>
  <c r="OLU6" i="7"/>
  <c r="OLV6" i="7"/>
  <c r="OLW6" i="7"/>
  <c r="OLX6" i="7"/>
  <c r="OLY6" i="7"/>
  <c r="OLZ6" i="7"/>
  <c r="OMA6" i="7"/>
  <c r="OMB6" i="7"/>
  <c r="OMC6" i="7"/>
  <c r="OMD6" i="7"/>
  <c r="OME6" i="7"/>
  <c r="OMF6" i="7"/>
  <c r="OMG6" i="7"/>
  <c r="OMH6" i="7"/>
  <c r="OMI6" i="7"/>
  <c r="OMJ6" i="7"/>
  <c r="OMK6" i="7"/>
  <c r="OML6" i="7"/>
  <c r="OMM6" i="7"/>
  <c r="OMN6" i="7"/>
  <c r="OMO6" i="7"/>
  <c r="OMP6" i="7"/>
  <c r="OMQ6" i="7"/>
  <c r="OMR6" i="7"/>
  <c r="OMS6" i="7"/>
  <c r="OMT6" i="7"/>
  <c r="OMU6" i="7"/>
  <c r="OMV6" i="7"/>
  <c r="OMW6" i="7"/>
  <c r="OMX6" i="7"/>
  <c r="OMY6" i="7"/>
  <c r="OMZ6" i="7"/>
  <c r="ONA6" i="7"/>
  <c r="ONB6" i="7"/>
  <c r="ONC6" i="7"/>
  <c r="OND6" i="7"/>
  <c r="ONE6" i="7"/>
  <c r="ONF6" i="7"/>
  <c r="ONG6" i="7"/>
  <c r="ONH6" i="7"/>
  <c r="ONI6" i="7"/>
  <c r="ONJ6" i="7"/>
  <c r="ONK6" i="7"/>
  <c r="ONL6" i="7"/>
  <c r="ONM6" i="7"/>
  <c r="ONN6" i="7"/>
  <c r="ONO6" i="7"/>
  <c r="ONP6" i="7"/>
  <c r="ONQ6" i="7"/>
  <c r="ONR6" i="7"/>
  <c r="ONS6" i="7"/>
  <c r="ONT6" i="7"/>
  <c r="ONU6" i="7"/>
  <c r="ONV6" i="7"/>
  <c r="ONW6" i="7"/>
  <c r="ONX6" i="7"/>
  <c r="ONY6" i="7"/>
  <c r="ONZ6" i="7"/>
  <c r="OOA6" i="7"/>
  <c r="OOB6" i="7"/>
  <c r="OOC6" i="7"/>
  <c r="OOD6" i="7"/>
  <c r="OOE6" i="7"/>
  <c r="OOF6" i="7"/>
  <c r="OOG6" i="7"/>
  <c r="OOH6" i="7"/>
  <c r="OOI6" i="7"/>
  <c r="OOJ6" i="7"/>
  <c r="OOK6" i="7"/>
  <c r="OOL6" i="7"/>
  <c r="OOM6" i="7"/>
  <c r="OON6" i="7"/>
  <c r="OOO6" i="7"/>
  <c r="OOP6" i="7"/>
  <c r="OOQ6" i="7"/>
  <c r="OOR6" i="7"/>
  <c r="OOS6" i="7"/>
  <c r="OOT6" i="7"/>
  <c r="OOU6" i="7"/>
  <c r="OOV6" i="7"/>
  <c r="OOW6" i="7"/>
  <c r="OOX6" i="7"/>
  <c r="OOY6" i="7"/>
  <c r="OOZ6" i="7"/>
  <c r="OPA6" i="7"/>
  <c r="OPB6" i="7"/>
  <c r="OPC6" i="7"/>
  <c r="OPD6" i="7"/>
  <c r="OPE6" i="7"/>
  <c r="OPF6" i="7"/>
  <c r="OPG6" i="7"/>
  <c r="OPH6" i="7"/>
  <c r="OPI6" i="7"/>
  <c r="OPJ6" i="7"/>
  <c r="OPK6" i="7"/>
  <c r="OPL6" i="7"/>
  <c r="OPM6" i="7"/>
  <c r="OPN6" i="7"/>
  <c r="OPO6" i="7"/>
  <c r="OPP6" i="7"/>
  <c r="OPQ6" i="7"/>
  <c r="OPR6" i="7"/>
  <c r="OPS6" i="7"/>
  <c r="OPT6" i="7"/>
  <c r="OPU6" i="7"/>
  <c r="OPV6" i="7"/>
  <c r="OPW6" i="7"/>
  <c r="OPX6" i="7"/>
  <c r="OPY6" i="7"/>
  <c r="OPZ6" i="7"/>
  <c r="OQA6" i="7"/>
  <c r="OQB6" i="7"/>
  <c r="OQC6" i="7"/>
  <c r="OQD6" i="7"/>
  <c r="OQE6" i="7"/>
  <c r="OQF6" i="7"/>
  <c r="OQG6" i="7"/>
  <c r="OQH6" i="7"/>
  <c r="OQI6" i="7"/>
  <c r="OQJ6" i="7"/>
  <c r="OQK6" i="7"/>
  <c r="OQL6" i="7"/>
  <c r="OQM6" i="7"/>
  <c r="OQN6" i="7"/>
  <c r="OQO6" i="7"/>
  <c r="OQP6" i="7"/>
  <c r="OQQ6" i="7"/>
  <c r="OQR6" i="7"/>
  <c r="OQS6" i="7"/>
  <c r="OQT6" i="7"/>
  <c r="OQU6" i="7"/>
  <c r="OQV6" i="7"/>
  <c r="OQW6" i="7"/>
  <c r="OQX6" i="7"/>
  <c r="OQY6" i="7"/>
  <c r="OQZ6" i="7"/>
  <c r="ORA6" i="7"/>
  <c r="ORB6" i="7"/>
  <c r="ORC6" i="7"/>
  <c r="ORD6" i="7"/>
  <c r="ORE6" i="7"/>
  <c r="ORF6" i="7"/>
  <c r="ORG6" i="7"/>
  <c r="ORH6" i="7"/>
  <c r="ORI6" i="7"/>
  <c r="ORJ6" i="7"/>
  <c r="ORK6" i="7"/>
  <c r="ORL6" i="7"/>
  <c r="ORM6" i="7"/>
  <c r="ORN6" i="7"/>
  <c r="ORO6" i="7"/>
  <c r="ORP6" i="7"/>
  <c r="ORQ6" i="7"/>
  <c r="ORR6" i="7"/>
  <c r="ORS6" i="7"/>
  <c r="ORT6" i="7"/>
  <c r="ORU6" i="7"/>
  <c r="ORV6" i="7"/>
  <c r="ORW6" i="7"/>
  <c r="ORX6" i="7"/>
  <c r="ORY6" i="7"/>
  <c r="ORZ6" i="7"/>
  <c r="OSA6" i="7"/>
  <c r="OSB6" i="7"/>
  <c r="OSC6" i="7"/>
  <c r="OSD6" i="7"/>
  <c r="OSE6" i="7"/>
  <c r="OSF6" i="7"/>
  <c r="OSG6" i="7"/>
  <c r="OSH6" i="7"/>
  <c r="OSI6" i="7"/>
  <c r="OSJ6" i="7"/>
  <c r="OSK6" i="7"/>
  <c r="OSL6" i="7"/>
  <c r="OSM6" i="7"/>
  <c r="OSN6" i="7"/>
  <c r="OSO6" i="7"/>
  <c r="OSP6" i="7"/>
  <c r="OSQ6" i="7"/>
  <c r="OSR6" i="7"/>
  <c r="OSS6" i="7"/>
  <c r="OST6" i="7"/>
  <c r="OSU6" i="7"/>
  <c r="OSV6" i="7"/>
  <c r="OSW6" i="7"/>
  <c r="OSX6" i="7"/>
  <c r="OSY6" i="7"/>
  <c r="OSZ6" i="7"/>
  <c r="OTA6" i="7"/>
  <c r="OTB6" i="7"/>
  <c r="OTC6" i="7"/>
  <c r="OTD6" i="7"/>
  <c r="OTE6" i="7"/>
  <c r="OTF6" i="7"/>
  <c r="OTG6" i="7"/>
  <c r="OTH6" i="7"/>
  <c r="OTI6" i="7"/>
  <c r="OTJ6" i="7"/>
  <c r="OTK6" i="7"/>
  <c r="OTL6" i="7"/>
  <c r="OTM6" i="7"/>
  <c r="OTN6" i="7"/>
  <c r="OTO6" i="7"/>
  <c r="OTP6" i="7"/>
  <c r="OTQ6" i="7"/>
  <c r="OTR6" i="7"/>
  <c r="OTS6" i="7"/>
  <c r="OTT6" i="7"/>
  <c r="OTU6" i="7"/>
  <c r="OTV6" i="7"/>
  <c r="OTW6" i="7"/>
  <c r="OTX6" i="7"/>
  <c r="OTY6" i="7"/>
  <c r="OTZ6" i="7"/>
  <c r="OUA6" i="7"/>
  <c r="OUB6" i="7"/>
  <c r="OUC6" i="7"/>
  <c r="OUD6" i="7"/>
  <c r="OUE6" i="7"/>
  <c r="OUF6" i="7"/>
  <c r="OUG6" i="7"/>
  <c r="OUH6" i="7"/>
  <c r="OUI6" i="7"/>
  <c r="OUJ6" i="7"/>
  <c r="OUK6" i="7"/>
  <c r="OUL6" i="7"/>
  <c r="OUM6" i="7"/>
  <c r="OUN6" i="7"/>
  <c r="OUO6" i="7"/>
  <c r="OUP6" i="7"/>
  <c r="OUQ6" i="7"/>
  <c r="OUR6" i="7"/>
  <c r="OUS6" i="7"/>
  <c r="OUT6" i="7"/>
  <c r="OUU6" i="7"/>
  <c r="OUV6" i="7"/>
  <c r="OUW6" i="7"/>
  <c r="OUX6" i="7"/>
  <c r="OUY6" i="7"/>
  <c r="OUZ6" i="7"/>
  <c r="OVA6" i="7"/>
  <c r="OVB6" i="7"/>
  <c r="OVC6" i="7"/>
  <c r="OVD6" i="7"/>
  <c r="OVE6" i="7"/>
  <c r="OVF6" i="7"/>
  <c r="OVG6" i="7"/>
  <c r="OVH6" i="7"/>
  <c r="OVI6" i="7"/>
  <c r="OVJ6" i="7"/>
  <c r="OVK6" i="7"/>
  <c r="OVL6" i="7"/>
  <c r="OVM6" i="7"/>
  <c r="OVN6" i="7"/>
  <c r="OVO6" i="7"/>
  <c r="OVP6" i="7"/>
  <c r="OVQ6" i="7"/>
  <c r="OVR6" i="7"/>
  <c r="OVS6" i="7"/>
  <c r="OVT6" i="7"/>
  <c r="OVU6" i="7"/>
  <c r="OVV6" i="7"/>
  <c r="OVW6" i="7"/>
  <c r="OVX6" i="7"/>
  <c r="OVY6" i="7"/>
  <c r="OVZ6" i="7"/>
  <c r="OWA6" i="7"/>
  <c r="OWB6" i="7"/>
  <c r="OWC6" i="7"/>
  <c r="OWD6" i="7"/>
  <c r="OWE6" i="7"/>
  <c r="OWF6" i="7"/>
  <c r="OWG6" i="7"/>
  <c r="OWH6" i="7"/>
  <c r="OWI6" i="7"/>
  <c r="OWJ6" i="7"/>
  <c r="OWK6" i="7"/>
  <c r="OWL6" i="7"/>
  <c r="OWM6" i="7"/>
  <c r="OWN6" i="7"/>
  <c r="OWO6" i="7"/>
  <c r="OWP6" i="7"/>
  <c r="OWQ6" i="7"/>
  <c r="OWR6" i="7"/>
  <c r="OWS6" i="7"/>
  <c r="OWT6" i="7"/>
  <c r="OWU6" i="7"/>
  <c r="OWV6" i="7"/>
  <c r="OWW6" i="7"/>
  <c r="OWX6" i="7"/>
  <c r="OWY6" i="7"/>
  <c r="OWZ6" i="7"/>
  <c r="OXA6" i="7"/>
  <c r="OXB6" i="7"/>
  <c r="OXC6" i="7"/>
  <c r="OXD6" i="7"/>
  <c r="OXE6" i="7"/>
  <c r="OXF6" i="7"/>
  <c r="OXG6" i="7"/>
  <c r="OXH6" i="7"/>
  <c r="OXI6" i="7"/>
  <c r="OXJ6" i="7"/>
  <c r="OXK6" i="7"/>
  <c r="OXL6" i="7"/>
  <c r="OXM6" i="7"/>
  <c r="OXN6" i="7"/>
  <c r="OXO6" i="7"/>
  <c r="OXP6" i="7"/>
  <c r="OXQ6" i="7"/>
  <c r="OXR6" i="7"/>
  <c r="OXS6" i="7"/>
  <c r="OXT6" i="7"/>
  <c r="OXU6" i="7"/>
  <c r="OXV6" i="7"/>
  <c r="OXW6" i="7"/>
  <c r="OXX6" i="7"/>
  <c r="OXY6" i="7"/>
  <c r="OXZ6" i="7"/>
  <c r="OYA6" i="7"/>
  <c r="OYB6" i="7"/>
  <c r="OYC6" i="7"/>
  <c r="OYD6" i="7"/>
  <c r="OYE6" i="7"/>
  <c r="OYF6" i="7"/>
  <c r="OYG6" i="7"/>
  <c r="OYH6" i="7"/>
  <c r="OYI6" i="7"/>
  <c r="OYJ6" i="7"/>
  <c r="OYK6" i="7"/>
  <c r="OYL6" i="7"/>
  <c r="OYM6" i="7"/>
  <c r="OYN6" i="7"/>
  <c r="OYO6" i="7"/>
  <c r="OYP6" i="7"/>
  <c r="OYQ6" i="7"/>
  <c r="OYR6" i="7"/>
  <c r="OYS6" i="7"/>
  <c r="OYT6" i="7"/>
  <c r="OYU6" i="7"/>
  <c r="OYV6" i="7"/>
  <c r="OYW6" i="7"/>
  <c r="OYX6" i="7"/>
  <c r="OYY6" i="7"/>
  <c r="OYZ6" i="7"/>
  <c r="OZA6" i="7"/>
  <c r="OZB6" i="7"/>
  <c r="OZC6" i="7"/>
  <c r="OZD6" i="7"/>
  <c r="OZE6" i="7"/>
  <c r="OZF6" i="7"/>
  <c r="OZG6" i="7"/>
  <c r="OZH6" i="7"/>
  <c r="OZI6" i="7"/>
  <c r="OZJ6" i="7"/>
  <c r="OZK6" i="7"/>
  <c r="OZL6" i="7"/>
  <c r="OZM6" i="7"/>
  <c r="OZN6" i="7"/>
  <c r="OZO6" i="7"/>
  <c r="OZP6" i="7"/>
  <c r="OZQ6" i="7"/>
  <c r="OZR6" i="7"/>
  <c r="OZS6" i="7"/>
  <c r="OZT6" i="7"/>
  <c r="OZU6" i="7"/>
  <c r="OZV6" i="7"/>
  <c r="OZW6" i="7"/>
  <c r="OZX6" i="7"/>
  <c r="OZY6" i="7"/>
  <c r="OZZ6" i="7"/>
  <c r="PAA6" i="7"/>
  <c r="PAB6" i="7"/>
  <c r="PAC6" i="7"/>
  <c r="PAD6" i="7"/>
  <c r="PAE6" i="7"/>
  <c r="PAF6" i="7"/>
  <c r="PAG6" i="7"/>
  <c r="PAH6" i="7"/>
  <c r="PAI6" i="7"/>
  <c r="PAJ6" i="7"/>
  <c r="PAK6" i="7"/>
  <c r="PAL6" i="7"/>
  <c r="PAM6" i="7"/>
  <c r="PAN6" i="7"/>
  <c r="PAO6" i="7"/>
  <c r="PAP6" i="7"/>
  <c r="PAQ6" i="7"/>
  <c r="PAR6" i="7"/>
  <c r="PAS6" i="7"/>
  <c r="PAT6" i="7"/>
  <c r="PAU6" i="7"/>
  <c r="PAV6" i="7"/>
  <c r="PAW6" i="7"/>
  <c r="PAX6" i="7"/>
  <c r="PAY6" i="7"/>
  <c r="PAZ6" i="7"/>
  <c r="PBA6" i="7"/>
  <c r="PBB6" i="7"/>
  <c r="PBC6" i="7"/>
  <c r="PBD6" i="7"/>
  <c r="PBE6" i="7"/>
  <c r="PBF6" i="7"/>
  <c r="PBG6" i="7"/>
  <c r="PBH6" i="7"/>
  <c r="PBI6" i="7"/>
  <c r="PBJ6" i="7"/>
  <c r="PBK6" i="7"/>
  <c r="PBL6" i="7"/>
  <c r="PBM6" i="7"/>
  <c r="PBN6" i="7"/>
  <c r="PBO6" i="7"/>
  <c r="PBP6" i="7"/>
  <c r="PBQ6" i="7"/>
  <c r="PBR6" i="7"/>
  <c r="PBS6" i="7"/>
  <c r="PBT6" i="7"/>
  <c r="PBU6" i="7"/>
  <c r="PBV6" i="7"/>
  <c r="PBW6" i="7"/>
  <c r="PBX6" i="7"/>
  <c r="PBY6" i="7"/>
  <c r="PBZ6" i="7"/>
  <c r="PCA6" i="7"/>
  <c r="PCB6" i="7"/>
  <c r="PCC6" i="7"/>
  <c r="PCD6" i="7"/>
  <c r="PCE6" i="7"/>
  <c r="PCF6" i="7"/>
  <c r="PCG6" i="7"/>
  <c r="PCH6" i="7"/>
  <c r="PCI6" i="7"/>
  <c r="PCJ6" i="7"/>
  <c r="PCK6" i="7"/>
  <c r="PCL6" i="7"/>
  <c r="PCM6" i="7"/>
  <c r="PCN6" i="7"/>
  <c r="PCO6" i="7"/>
  <c r="PCP6" i="7"/>
  <c r="PCQ6" i="7"/>
  <c r="PCR6" i="7"/>
  <c r="PCS6" i="7"/>
  <c r="PCT6" i="7"/>
  <c r="PCU6" i="7"/>
  <c r="PCV6" i="7"/>
  <c r="PCW6" i="7"/>
  <c r="PCX6" i="7"/>
  <c r="PCY6" i="7"/>
  <c r="PCZ6" i="7"/>
  <c r="PDA6" i="7"/>
  <c r="PDB6" i="7"/>
  <c r="PDC6" i="7"/>
  <c r="PDD6" i="7"/>
  <c r="PDE6" i="7"/>
  <c r="PDF6" i="7"/>
  <c r="PDG6" i="7"/>
  <c r="PDH6" i="7"/>
  <c r="PDI6" i="7"/>
  <c r="PDJ6" i="7"/>
  <c r="PDK6" i="7"/>
  <c r="PDL6" i="7"/>
  <c r="PDM6" i="7"/>
  <c r="PDN6" i="7"/>
  <c r="PDO6" i="7"/>
  <c r="PDP6" i="7"/>
  <c r="PDQ6" i="7"/>
  <c r="PDR6" i="7"/>
  <c r="PDS6" i="7"/>
  <c r="PDT6" i="7"/>
  <c r="PDU6" i="7"/>
  <c r="PDV6" i="7"/>
  <c r="PDW6" i="7"/>
  <c r="PDX6" i="7"/>
  <c r="PDY6" i="7"/>
  <c r="PDZ6" i="7"/>
  <c r="PEA6" i="7"/>
  <c r="PEB6" i="7"/>
  <c r="PEC6" i="7"/>
  <c r="PED6" i="7"/>
  <c r="PEE6" i="7"/>
  <c r="PEF6" i="7"/>
  <c r="PEG6" i="7"/>
  <c r="PEH6" i="7"/>
  <c r="PEI6" i="7"/>
  <c r="PEJ6" i="7"/>
  <c r="PEK6" i="7"/>
  <c r="PEL6" i="7"/>
  <c r="PEM6" i="7"/>
  <c r="PEN6" i="7"/>
  <c r="PEO6" i="7"/>
  <c r="PEP6" i="7"/>
  <c r="PEQ6" i="7"/>
  <c r="PER6" i="7"/>
  <c r="PES6" i="7"/>
  <c r="PET6" i="7"/>
  <c r="PEU6" i="7"/>
  <c r="PEV6" i="7"/>
  <c r="PEW6" i="7"/>
  <c r="PEX6" i="7"/>
  <c r="PEY6" i="7"/>
  <c r="PEZ6" i="7"/>
  <c r="PFA6" i="7"/>
  <c r="PFB6" i="7"/>
  <c r="PFC6" i="7"/>
  <c r="PFD6" i="7"/>
  <c r="PFE6" i="7"/>
  <c r="PFF6" i="7"/>
  <c r="PFG6" i="7"/>
  <c r="PFH6" i="7"/>
  <c r="PFI6" i="7"/>
  <c r="PFJ6" i="7"/>
  <c r="PFK6" i="7"/>
  <c r="PFL6" i="7"/>
  <c r="PFM6" i="7"/>
  <c r="PFN6" i="7"/>
  <c r="PFO6" i="7"/>
  <c r="PFP6" i="7"/>
  <c r="PFQ6" i="7"/>
  <c r="PFR6" i="7"/>
  <c r="PFS6" i="7"/>
  <c r="PFT6" i="7"/>
  <c r="PFU6" i="7"/>
  <c r="PFV6" i="7"/>
  <c r="PFW6" i="7"/>
  <c r="PFX6" i="7"/>
  <c r="PFY6" i="7"/>
  <c r="PFZ6" i="7"/>
  <c r="PGA6" i="7"/>
  <c r="PGB6" i="7"/>
  <c r="PGC6" i="7"/>
  <c r="PGD6" i="7"/>
  <c r="PGE6" i="7"/>
  <c r="PGF6" i="7"/>
  <c r="PGG6" i="7"/>
  <c r="PGH6" i="7"/>
  <c r="PGI6" i="7"/>
  <c r="PGJ6" i="7"/>
  <c r="PGK6" i="7"/>
  <c r="PGL6" i="7"/>
  <c r="PGM6" i="7"/>
  <c r="PGN6" i="7"/>
  <c r="PGO6" i="7"/>
  <c r="PGP6" i="7"/>
  <c r="PGQ6" i="7"/>
  <c r="PGR6" i="7"/>
  <c r="PGS6" i="7"/>
  <c r="PGT6" i="7"/>
  <c r="PGU6" i="7"/>
  <c r="PGV6" i="7"/>
  <c r="PGW6" i="7"/>
  <c r="PGX6" i="7"/>
  <c r="PGY6" i="7"/>
  <c r="PGZ6" i="7"/>
  <c r="PHA6" i="7"/>
  <c r="PHB6" i="7"/>
  <c r="PHC6" i="7"/>
  <c r="PHD6" i="7"/>
  <c r="PHE6" i="7"/>
  <c r="PHF6" i="7"/>
  <c r="PHG6" i="7"/>
  <c r="PHH6" i="7"/>
  <c r="PHI6" i="7"/>
  <c r="PHJ6" i="7"/>
  <c r="PHK6" i="7"/>
  <c r="PHL6" i="7"/>
  <c r="PHM6" i="7"/>
  <c r="PHN6" i="7"/>
  <c r="PHO6" i="7"/>
  <c r="PHP6" i="7"/>
  <c r="PHQ6" i="7"/>
  <c r="PHR6" i="7"/>
  <c r="PHS6" i="7"/>
  <c r="PHT6" i="7"/>
  <c r="PHU6" i="7"/>
  <c r="PHV6" i="7"/>
  <c r="PHW6" i="7"/>
  <c r="PHX6" i="7"/>
  <c r="PHY6" i="7"/>
  <c r="PHZ6" i="7"/>
  <c r="PIA6" i="7"/>
  <c r="PIB6" i="7"/>
  <c r="PIC6" i="7"/>
  <c r="PID6" i="7"/>
  <c r="PIE6" i="7"/>
  <c r="PIF6" i="7"/>
  <c r="PIG6" i="7"/>
  <c r="PIH6" i="7"/>
  <c r="PII6" i="7"/>
  <c r="PIJ6" i="7"/>
  <c r="PIK6" i="7"/>
  <c r="PIL6" i="7"/>
  <c r="PIM6" i="7"/>
  <c r="PIN6" i="7"/>
  <c r="PIO6" i="7"/>
  <c r="PIP6" i="7"/>
  <c r="PIQ6" i="7"/>
  <c r="PIR6" i="7"/>
  <c r="PIS6" i="7"/>
  <c r="PIT6" i="7"/>
  <c r="PIU6" i="7"/>
  <c r="PIV6" i="7"/>
  <c r="PIW6" i="7"/>
  <c r="PIX6" i="7"/>
  <c r="PIY6" i="7"/>
  <c r="PIZ6" i="7"/>
  <c r="PJA6" i="7"/>
  <c r="PJB6" i="7"/>
  <c r="PJC6" i="7"/>
  <c r="PJD6" i="7"/>
  <c r="PJE6" i="7"/>
  <c r="PJF6" i="7"/>
  <c r="PJG6" i="7"/>
  <c r="PJH6" i="7"/>
  <c r="PJI6" i="7"/>
  <c r="PJJ6" i="7"/>
  <c r="PJK6" i="7"/>
  <c r="PJL6" i="7"/>
  <c r="PJM6" i="7"/>
  <c r="PJN6" i="7"/>
  <c r="PJO6" i="7"/>
  <c r="PJP6" i="7"/>
  <c r="PJQ6" i="7"/>
  <c r="PJR6" i="7"/>
  <c r="PJS6" i="7"/>
  <c r="PJT6" i="7"/>
  <c r="PJU6" i="7"/>
  <c r="PJV6" i="7"/>
  <c r="PJW6" i="7"/>
  <c r="PJX6" i="7"/>
  <c r="PJY6" i="7"/>
  <c r="PJZ6" i="7"/>
  <c r="PKA6" i="7"/>
  <c r="PKB6" i="7"/>
  <c r="PKC6" i="7"/>
  <c r="PKD6" i="7"/>
  <c r="PKE6" i="7"/>
  <c r="PKF6" i="7"/>
  <c r="PKG6" i="7"/>
  <c r="PKH6" i="7"/>
  <c r="PKI6" i="7"/>
  <c r="PKJ6" i="7"/>
  <c r="PKK6" i="7"/>
  <c r="PKL6" i="7"/>
  <c r="PKM6" i="7"/>
  <c r="PKN6" i="7"/>
  <c r="PKO6" i="7"/>
  <c r="PKP6" i="7"/>
  <c r="PKQ6" i="7"/>
  <c r="PKR6" i="7"/>
  <c r="PKS6" i="7"/>
  <c r="PKT6" i="7"/>
  <c r="PKU6" i="7"/>
  <c r="PKV6" i="7"/>
  <c r="PKW6" i="7"/>
  <c r="PKX6" i="7"/>
  <c r="PKY6" i="7"/>
  <c r="PKZ6" i="7"/>
  <c r="PLA6" i="7"/>
  <c r="PLB6" i="7"/>
  <c r="PLC6" i="7"/>
  <c r="PLD6" i="7"/>
  <c r="PLE6" i="7"/>
  <c r="PLF6" i="7"/>
  <c r="PLG6" i="7"/>
  <c r="PLH6" i="7"/>
  <c r="PLI6" i="7"/>
  <c r="PLJ6" i="7"/>
  <c r="PLK6" i="7"/>
  <c r="PLL6" i="7"/>
  <c r="PLM6" i="7"/>
  <c r="PLN6" i="7"/>
  <c r="PLO6" i="7"/>
  <c r="PLP6" i="7"/>
  <c r="PLQ6" i="7"/>
  <c r="PLR6" i="7"/>
  <c r="PLS6" i="7"/>
  <c r="PLT6" i="7"/>
  <c r="PLU6" i="7"/>
  <c r="PLV6" i="7"/>
  <c r="PLW6" i="7"/>
  <c r="PLX6" i="7"/>
  <c r="PLY6" i="7"/>
  <c r="PLZ6" i="7"/>
  <c r="PMA6" i="7"/>
  <c r="PMB6" i="7"/>
  <c r="PMC6" i="7"/>
  <c r="PMD6" i="7"/>
  <c r="PME6" i="7"/>
  <c r="PMF6" i="7"/>
  <c r="PMG6" i="7"/>
  <c r="PMH6" i="7"/>
  <c r="PMI6" i="7"/>
  <c r="PMJ6" i="7"/>
  <c r="PMK6" i="7"/>
  <c r="PML6" i="7"/>
  <c r="PMM6" i="7"/>
  <c r="PMN6" i="7"/>
  <c r="PMO6" i="7"/>
  <c r="PMP6" i="7"/>
  <c r="PMQ6" i="7"/>
  <c r="PMR6" i="7"/>
  <c r="PMS6" i="7"/>
  <c r="PMT6" i="7"/>
  <c r="PMU6" i="7"/>
  <c r="PMV6" i="7"/>
  <c r="PMW6" i="7"/>
  <c r="PMX6" i="7"/>
  <c r="PMY6" i="7"/>
  <c r="PMZ6" i="7"/>
  <c r="PNA6" i="7"/>
  <c r="PNB6" i="7"/>
  <c r="PNC6" i="7"/>
  <c r="PND6" i="7"/>
  <c r="PNE6" i="7"/>
  <c r="PNF6" i="7"/>
  <c r="PNG6" i="7"/>
  <c r="PNH6" i="7"/>
  <c r="PNI6" i="7"/>
  <c r="PNJ6" i="7"/>
  <c r="PNK6" i="7"/>
  <c r="PNL6" i="7"/>
  <c r="PNM6" i="7"/>
  <c r="PNN6" i="7"/>
  <c r="PNO6" i="7"/>
  <c r="PNP6" i="7"/>
  <c r="PNQ6" i="7"/>
  <c r="PNR6" i="7"/>
  <c r="PNS6" i="7"/>
  <c r="PNT6" i="7"/>
  <c r="PNU6" i="7"/>
  <c r="PNV6" i="7"/>
  <c r="PNW6" i="7"/>
  <c r="PNX6" i="7"/>
  <c r="PNY6" i="7"/>
  <c r="PNZ6" i="7"/>
  <c r="POA6" i="7"/>
  <c r="POB6" i="7"/>
  <c r="POC6" i="7"/>
  <c r="POD6" i="7"/>
  <c r="POE6" i="7"/>
  <c r="POF6" i="7"/>
  <c r="POG6" i="7"/>
  <c r="POH6" i="7"/>
  <c r="POI6" i="7"/>
  <c r="POJ6" i="7"/>
  <c r="POK6" i="7"/>
  <c r="POL6" i="7"/>
  <c r="POM6" i="7"/>
  <c r="PON6" i="7"/>
  <c r="POO6" i="7"/>
  <c r="POP6" i="7"/>
  <c r="POQ6" i="7"/>
  <c r="POR6" i="7"/>
  <c r="POS6" i="7"/>
  <c r="POT6" i="7"/>
  <c r="POU6" i="7"/>
  <c r="POV6" i="7"/>
  <c r="POW6" i="7"/>
  <c r="POX6" i="7"/>
  <c r="POY6" i="7"/>
  <c r="POZ6" i="7"/>
  <c r="PPA6" i="7"/>
  <c r="PPB6" i="7"/>
  <c r="PPC6" i="7"/>
  <c r="PPD6" i="7"/>
  <c r="PPE6" i="7"/>
  <c r="PPF6" i="7"/>
  <c r="PPG6" i="7"/>
  <c r="PPH6" i="7"/>
  <c r="PPI6" i="7"/>
  <c r="PPJ6" i="7"/>
  <c r="PPK6" i="7"/>
  <c r="PPL6" i="7"/>
  <c r="PPM6" i="7"/>
  <c r="PPN6" i="7"/>
  <c r="PPO6" i="7"/>
  <c r="PPP6" i="7"/>
  <c r="PPQ6" i="7"/>
  <c r="PPR6" i="7"/>
  <c r="PPS6" i="7"/>
  <c r="PPT6" i="7"/>
  <c r="PPU6" i="7"/>
  <c r="PPV6" i="7"/>
  <c r="PPW6" i="7"/>
  <c r="PPX6" i="7"/>
  <c r="PPY6" i="7"/>
  <c r="PPZ6" i="7"/>
  <c r="PQA6" i="7"/>
  <c r="PQB6" i="7"/>
  <c r="PQC6" i="7"/>
  <c r="PQD6" i="7"/>
  <c r="PQE6" i="7"/>
  <c r="PQF6" i="7"/>
  <c r="PQG6" i="7"/>
  <c r="PQH6" i="7"/>
  <c r="PQI6" i="7"/>
  <c r="PQJ6" i="7"/>
  <c r="PQK6" i="7"/>
  <c r="PQL6" i="7"/>
  <c r="PQM6" i="7"/>
  <c r="PQN6" i="7"/>
  <c r="PQO6" i="7"/>
  <c r="PQP6" i="7"/>
  <c r="PQQ6" i="7"/>
  <c r="PQR6" i="7"/>
  <c r="PQS6" i="7"/>
  <c r="PQT6" i="7"/>
  <c r="PQU6" i="7"/>
  <c r="PQV6" i="7"/>
  <c r="PQW6" i="7"/>
  <c r="PQX6" i="7"/>
  <c r="PQY6" i="7"/>
  <c r="PQZ6" i="7"/>
  <c r="PRA6" i="7"/>
  <c r="PRB6" i="7"/>
  <c r="PRC6" i="7"/>
  <c r="PRD6" i="7"/>
  <c r="PRE6" i="7"/>
  <c r="PRF6" i="7"/>
  <c r="PRG6" i="7"/>
  <c r="PRH6" i="7"/>
  <c r="PRI6" i="7"/>
  <c r="PRJ6" i="7"/>
  <c r="PRK6" i="7"/>
  <c r="PRL6" i="7"/>
  <c r="PRM6" i="7"/>
  <c r="PRN6" i="7"/>
  <c r="PRO6" i="7"/>
  <c r="PRP6" i="7"/>
  <c r="PRQ6" i="7"/>
  <c r="PRR6" i="7"/>
  <c r="PRS6" i="7"/>
  <c r="PRT6" i="7"/>
  <c r="PRU6" i="7"/>
  <c r="PRV6" i="7"/>
  <c r="PRW6" i="7"/>
  <c r="PRX6" i="7"/>
  <c r="PRY6" i="7"/>
  <c r="PRZ6" i="7"/>
  <c r="PSA6" i="7"/>
  <c r="PSB6" i="7"/>
  <c r="PSC6" i="7"/>
  <c r="PSD6" i="7"/>
  <c r="PSE6" i="7"/>
  <c r="PSF6" i="7"/>
  <c r="PSG6" i="7"/>
  <c r="PSH6" i="7"/>
  <c r="PSI6" i="7"/>
  <c r="PSJ6" i="7"/>
  <c r="PSK6" i="7"/>
  <c r="PSL6" i="7"/>
  <c r="PSM6" i="7"/>
  <c r="PSN6" i="7"/>
  <c r="PSO6" i="7"/>
  <c r="PSP6" i="7"/>
  <c r="PSQ6" i="7"/>
  <c r="PSR6" i="7"/>
  <c r="PSS6" i="7"/>
  <c r="PST6" i="7"/>
  <c r="PSU6" i="7"/>
  <c r="PSV6" i="7"/>
  <c r="PSW6" i="7"/>
  <c r="PSX6" i="7"/>
  <c r="PSY6" i="7"/>
  <c r="PSZ6" i="7"/>
  <c r="PTA6" i="7"/>
  <c r="PTB6" i="7"/>
  <c r="PTC6" i="7"/>
  <c r="PTD6" i="7"/>
  <c r="PTE6" i="7"/>
  <c r="PTF6" i="7"/>
  <c r="PTG6" i="7"/>
  <c r="PTH6" i="7"/>
  <c r="PTI6" i="7"/>
  <c r="PTJ6" i="7"/>
  <c r="PTK6" i="7"/>
  <c r="PTL6" i="7"/>
  <c r="PTM6" i="7"/>
  <c r="PTN6" i="7"/>
  <c r="PTO6" i="7"/>
  <c r="PTP6" i="7"/>
  <c r="PTQ6" i="7"/>
  <c r="PTR6" i="7"/>
  <c r="PTS6" i="7"/>
  <c r="PTT6" i="7"/>
  <c r="PTU6" i="7"/>
  <c r="PTV6" i="7"/>
  <c r="PTW6" i="7"/>
  <c r="PTX6" i="7"/>
  <c r="PTY6" i="7"/>
  <c r="PTZ6" i="7"/>
  <c r="PUA6" i="7"/>
  <c r="PUB6" i="7"/>
  <c r="PUC6" i="7"/>
  <c r="PUD6" i="7"/>
  <c r="PUE6" i="7"/>
  <c r="PUF6" i="7"/>
  <c r="PUG6" i="7"/>
  <c r="PUH6" i="7"/>
  <c r="PUI6" i="7"/>
  <c r="PUJ6" i="7"/>
  <c r="PUK6" i="7"/>
  <c r="PUL6" i="7"/>
  <c r="PUM6" i="7"/>
  <c r="PUN6" i="7"/>
  <c r="PUO6" i="7"/>
  <c r="PUP6" i="7"/>
  <c r="PUQ6" i="7"/>
  <c r="PUR6" i="7"/>
  <c r="PUS6" i="7"/>
  <c r="PUT6" i="7"/>
  <c r="PUU6" i="7"/>
  <c r="PUV6" i="7"/>
  <c r="PUW6" i="7"/>
  <c r="PUX6" i="7"/>
  <c r="PUY6" i="7"/>
  <c r="PUZ6" i="7"/>
  <c r="PVA6" i="7"/>
  <c r="PVB6" i="7"/>
  <c r="PVC6" i="7"/>
  <c r="PVD6" i="7"/>
  <c r="PVE6" i="7"/>
  <c r="PVF6" i="7"/>
  <c r="PVG6" i="7"/>
  <c r="PVH6" i="7"/>
  <c r="PVI6" i="7"/>
  <c r="PVJ6" i="7"/>
  <c r="PVK6" i="7"/>
  <c r="PVL6" i="7"/>
  <c r="PVM6" i="7"/>
  <c r="PVN6" i="7"/>
  <c r="PVO6" i="7"/>
  <c r="PVP6" i="7"/>
  <c r="PVQ6" i="7"/>
  <c r="PVR6" i="7"/>
  <c r="PVS6" i="7"/>
  <c r="PVT6" i="7"/>
  <c r="PVU6" i="7"/>
  <c r="PVV6" i="7"/>
  <c r="PVW6" i="7"/>
  <c r="PVX6" i="7"/>
  <c r="PVY6" i="7"/>
  <c r="PVZ6" i="7"/>
  <c r="PWA6" i="7"/>
  <c r="PWB6" i="7"/>
  <c r="PWC6" i="7"/>
  <c r="PWD6" i="7"/>
  <c r="PWE6" i="7"/>
  <c r="PWF6" i="7"/>
  <c r="PWG6" i="7"/>
  <c r="PWH6" i="7"/>
  <c r="PWI6" i="7"/>
  <c r="PWJ6" i="7"/>
  <c r="PWK6" i="7"/>
  <c r="PWL6" i="7"/>
  <c r="PWM6" i="7"/>
  <c r="PWN6" i="7"/>
  <c r="PWO6" i="7"/>
  <c r="PWP6" i="7"/>
  <c r="PWQ6" i="7"/>
  <c r="PWR6" i="7"/>
  <c r="PWS6" i="7"/>
  <c r="PWT6" i="7"/>
  <c r="PWU6" i="7"/>
  <c r="PWV6" i="7"/>
  <c r="PWW6" i="7"/>
  <c r="PWX6" i="7"/>
  <c r="PWY6" i="7"/>
  <c r="PWZ6" i="7"/>
  <c r="PXA6" i="7"/>
  <c r="PXB6" i="7"/>
  <c r="PXC6" i="7"/>
  <c r="PXD6" i="7"/>
  <c r="PXE6" i="7"/>
  <c r="PXF6" i="7"/>
  <c r="PXG6" i="7"/>
  <c r="PXH6" i="7"/>
  <c r="PXI6" i="7"/>
  <c r="PXJ6" i="7"/>
  <c r="PXK6" i="7"/>
  <c r="PXL6" i="7"/>
  <c r="PXM6" i="7"/>
  <c r="PXN6" i="7"/>
  <c r="PXO6" i="7"/>
  <c r="PXP6" i="7"/>
  <c r="PXQ6" i="7"/>
  <c r="PXR6" i="7"/>
  <c r="PXS6" i="7"/>
  <c r="PXT6" i="7"/>
  <c r="PXU6" i="7"/>
  <c r="PXV6" i="7"/>
  <c r="PXW6" i="7"/>
  <c r="PXX6" i="7"/>
  <c r="PXY6" i="7"/>
  <c r="PXZ6" i="7"/>
  <c r="PYA6" i="7"/>
  <c r="PYB6" i="7"/>
  <c r="PYC6" i="7"/>
  <c r="PYD6" i="7"/>
  <c r="PYE6" i="7"/>
  <c r="PYF6" i="7"/>
  <c r="PYG6" i="7"/>
  <c r="PYH6" i="7"/>
  <c r="PYI6" i="7"/>
  <c r="PYJ6" i="7"/>
  <c r="PYK6" i="7"/>
  <c r="PYL6" i="7"/>
  <c r="PYM6" i="7"/>
  <c r="PYN6" i="7"/>
  <c r="PYO6" i="7"/>
  <c r="PYP6" i="7"/>
  <c r="PYQ6" i="7"/>
  <c r="PYR6" i="7"/>
  <c r="PYS6" i="7"/>
  <c r="PYT6" i="7"/>
  <c r="PYU6" i="7"/>
  <c r="PYV6" i="7"/>
  <c r="PYW6" i="7"/>
  <c r="PYX6" i="7"/>
  <c r="PYY6" i="7"/>
  <c r="PYZ6" i="7"/>
  <c r="PZA6" i="7"/>
  <c r="PZB6" i="7"/>
  <c r="PZC6" i="7"/>
  <c r="PZD6" i="7"/>
  <c r="PZE6" i="7"/>
  <c r="PZF6" i="7"/>
  <c r="PZG6" i="7"/>
  <c r="PZH6" i="7"/>
  <c r="PZI6" i="7"/>
  <c r="PZJ6" i="7"/>
  <c r="PZK6" i="7"/>
  <c r="PZL6" i="7"/>
  <c r="PZM6" i="7"/>
  <c r="PZN6" i="7"/>
  <c r="PZO6" i="7"/>
  <c r="PZP6" i="7"/>
  <c r="PZQ6" i="7"/>
  <c r="PZR6" i="7"/>
  <c r="PZS6" i="7"/>
  <c r="PZT6" i="7"/>
  <c r="PZU6" i="7"/>
  <c r="PZV6" i="7"/>
  <c r="PZW6" i="7"/>
  <c r="PZX6" i="7"/>
  <c r="PZY6" i="7"/>
  <c r="PZZ6" i="7"/>
  <c r="QAA6" i="7"/>
  <c r="QAB6" i="7"/>
  <c r="QAC6" i="7"/>
  <c r="QAD6" i="7"/>
  <c r="QAE6" i="7"/>
  <c r="QAF6" i="7"/>
  <c r="QAG6" i="7"/>
  <c r="QAH6" i="7"/>
  <c r="QAI6" i="7"/>
  <c r="QAJ6" i="7"/>
  <c r="QAK6" i="7"/>
  <c r="QAL6" i="7"/>
  <c r="QAM6" i="7"/>
  <c r="QAN6" i="7"/>
  <c r="QAO6" i="7"/>
  <c r="QAP6" i="7"/>
  <c r="QAQ6" i="7"/>
  <c r="QAR6" i="7"/>
  <c r="QAS6" i="7"/>
  <c r="QAT6" i="7"/>
  <c r="QAU6" i="7"/>
  <c r="QAV6" i="7"/>
  <c r="QAW6" i="7"/>
  <c r="QAX6" i="7"/>
  <c r="QAY6" i="7"/>
  <c r="QAZ6" i="7"/>
  <c r="QBA6" i="7"/>
  <c r="QBB6" i="7"/>
  <c r="QBC6" i="7"/>
  <c r="QBD6" i="7"/>
  <c r="QBE6" i="7"/>
  <c r="QBF6" i="7"/>
  <c r="QBG6" i="7"/>
  <c r="QBH6" i="7"/>
  <c r="QBI6" i="7"/>
  <c r="QBJ6" i="7"/>
  <c r="QBK6" i="7"/>
  <c r="QBL6" i="7"/>
  <c r="QBM6" i="7"/>
  <c r="QBN6" i="7"/>
  <c r="QBO6" i="7"/>
  <c r="QBP6" i="7"/>
  <c r="QBQ6" i="7"/>
  <c r="QBR6" i="7"/>
  <c r="QBS6" i="7"/>
  <c r="QBT6" i="7"/>
  <c r="QBU6" i="7"/>
  <c r="QBV6" i="7"/>
  <c r="QBW6" i="7"/>
  <c r="QBX6" i="7"/>
  <c r="QBY6" i="7"/>
  <c r="QBZ6" i="7"/>
  <c r="QCA6" i="7"/>
  <c r="QCB6" i="7"/>
  <c r="QCC6" i="7"/>
  <c r="QCD6" i="7"/>
  <c r="QCE6" i="7"/>
  <c r="QCF6" i="7"/>
  <c r="QCG6" i="7"/>
  <c r="QCH6" i="7"/>
  <c r="QCI6" i="7"/>
  <c r="QCJ6" i="7"/>
  <c r="QCK6" i="7"/>
  <c r="QCL6" i="7"/>
  <c r="QCM6" i="7"/>
  <c r="QCN6" i="7"/>
  <c r="QCO6" i="7"/>
  <c r="QCP6" i="7"/>
  <c r="QCQ6" i="7"/>
  <c r="QCR6" i="7"/>
  <c r="QCS6" i="7"/>
  <c r="QCT6" i="7"/>
  <c r="QCU6" i="7"/>
  <c r="QCV6" i="7"/>
  <c r="QCW6" i="7"/>
  <c r="QCX6" i="7"/>
  <c r="QCY6" i="7"/>
  <c r="QCZ6" i="7"/>
  <c r="QDA6" i="7"/>
  <c r="QDB6" i="7"/>
  <c r="QDC6" i="7"/>
  <c r="QDD6" i="7"/>
  <c r="QDE6" i="7"/>
  <c r="QDF6" i="7"/>
  <c r="QDG6" i="7"/>
  <c r="QDH6" i="7"/>
  <c r="QDI6" i="7"/>
  <c r="QDJ6" i="7"/>
  <c r="QDK6" i="7"/>
  <c r="QDL6" i="7"/>
  <c r="QDM6" i="7"/>
  <c r="QDN6" i="7"/>
  <c r="QDO6" i="7"/>
  <c r="QDP6" i="7"/>
  <c r="QDQ6" i="7"/>
  <c r="QDR6" i="7"/>
  <c r="QDS6" i="7"/>
  <c r="QDT6" i="7"/>
  <c r="QDU6" i="7"/>
  <c r="QDV6" i="7"/>
  <c r="QDW6" i="7"/>
  <c r="QDX6" i="7"/>
  <c r="QDY6" i="7"/>
  <c r="QDZ6" i="7"/>
  <c r="QEA6" i="7"/>
  <c r="QEB6" i="7"/>
  <c r="QEC6" i="7"/>
  <c r="QED6" i="7"/>
  <c r="QEE6" i="7"/>
  <c r="QEF6" i="7"/>
  <c r="QEG6" i="7"/>
  <c r="QEH6" i="7"/>
  <c r="QEI6" i="7"/>
  <c r="QEJ6" i="7"/>
  <c r="QEK6" i="7"/>
  <c r="QEL6" i="7"/>
  <c r="QEM6" i="7"/>
  <c r="QEN6" i="7"/>
  <c r="QEO6" i="7"/>
  <c r="QEP6" i="7"/>
  <c r="QEQ6" i="7"/>
  <c r="QER6" i="7"/>
  <c r="QES6" i="7"/>
  <c r="QET6" i="7"/>
  <c r="QEU6" i="7"/>
  <c r="QEV6" i="7"/>
  <c r="QEW6" i="7"/>
  <c r="QEX6" i="7"/>
  <c r="QEY6" i="7"/>
  <c r="QEZ6" i="7"/>
  <c r="QFA6" i="7"/>
  <c r="QFB6" i="7"/>
  <c r="QFC6" i="7"/>
  <c r="QFD6" i="7"/>
  <c r="QFE6" i="7"/>
  <c r="QFF6" i="7"/>
  <c r="QFG6" i="7"/>
  <c r="QFH6" i="7"/>
  <c r="QFI6" i="7"/>
  <c r="QFJ6" i="7"/>
  <c r="QFK6" i="7"/>
  <c r="QFL6" i="7"/>
  <c r="QFM6" i="7"/>
  <c r="QFN6" i="7"/>
  <c r="QFO6" i="7"/>
  <c r="QFP6" i="7"/>
  <c r="QFQ6" i="7"/>
  <c r="QFR6" i="7"/>
  <c r="QFS6" i="7"/>
  <c r="QFT6" i="7"/>
  <c r="QFU6" i="7"/>
  <c r="QFV6" i="7"/>
  <c r="QFW6" i="7"/>
  <c r="QFX6" i="7"/>
  <c r="QFY6" i="7"/>
  <c r="QFZ6" i="7"/>
  <c r="QGA6" i="7"/>
  <c r="QGB6" i="7"/>
  <c r="QGC6" i="7"/>
  <c r="QGD6" i="7"/>
  <c r="QGE6" i="7"/>
  <c r="QGF6" i="7"/>
  <c r="QGG6" i="7"/>
  <c r="QGH6" i="7"/>
  <c r="QGI6" i="7"/>
  <c r="QGJ6" i="7"/>
  <c r="QGK6" i="7"/>
  <c r="QGL6" i="7"/>
  <c r="QGM6" i="7"/>
  <c r="QGN6" i="7"/>
  <c r="QGO6" i="7"/>
  <c r="QGP6" i="7"/>
  <c r="QGQ6" i="7"/>
  <c r="QGR6" i="7"/>
  <c r="QGS6" i="7"/>
  <c r="QGT6" i="7"/>
  <c r="QGU6" i="7"/>
  <c r="QGV6" i="7"/>
  <c r="QGW6" i="7"/>
  <c r="QGX6" i="7"/>
  <c r="QGY6" i="7"/>
  <c r="QGZ6" i="7"/>
  <c r="QHA6" i="7"/>
  <c r="QHB6" i="7"/>
  <c r="QHC6" i="7"/>
  <c r="QHD6" i="7"/>
  <c r="QHE6" i="7"/>
  <c r="QHF6" i="7"/>
  <c r="QHG6" i="7"/>
  <c r="QHH6" i="7"/>
  <c r="QHI6" i="7"/>
  <c r="QHJ6" i="7"/>
  <c r="QHK6" i="7"/>
  <c r="QHL6" i="7"/>
  <c r="QHM6" i="7"/>
  <c r="QHN6" i="7"/>
  <c r="QHO6" i="7"/>
  <c r="QHP6" i="7"/>
  <c r="QHQ6" i="7"/>
  <c r="QHR6" i="7"/>
  <c r="QHS6" i="7"/>
  <c r="QHT6" i="7"/>
  <c r="QHU6" i="7"/>
  <c r="QHV6" i="7"/>
  <c r="QHW6" i="7"/>
  <c r="QHX6" i="7"/>
  <c r="QHY6" i="7"/>
  <c r="QHZ6" i="7"/>
  <c r="QIA6" i="7"/>
  <c r="QIB6" i="7"/>
  <c r="QIC6" i="7"/>
  <c r="QID6" i="7"/>
  <c r="QIE6" i="7"/>
  <c r="QIF6" i="7"/>
  <c r="QIG6" i="7"/>
  <c r="QIH6" i="7"/>
  <c r="QII6" i="7"/>
  <c r="QIJ6" i="7"/>
  <c r="QIK6" i="7"/>
  <c r="QIL6" i="7"/>
  <c r="QIM6" i="7"/>
  <c r="QIN6" i="7"/>
  <c r="QIO6" i="7"/>
  <c r="QIP6" i="7"/>
  <c r="QIQ6" i="7"/>
  <c r="QIR6" i="7"/>
  <c r="QIS6" i="7"/>
  <c r="QIT6" i="7"/>
  <c r="QIU6" i="7"/>
  <c r="QIV6" i="7"/>
  <c r="QIW6" i="7"/>
  <c r="QIX6" i="7"/>
  <c r="QIY6" i="7"/>
  <c r="QIZ6" i="7"/>
  <c r="QJA6" i="7"/>
  <c r="QJB6" i="7"/>
  <c r="QJC6" i="7"/>
  <c r="QJD6" i="7"/>
  <c r="QJE6" i="7"/>
  <c r="QJF6" i="7"/>
  <c r="QJG6" i="7"/>
  <c r="QJH6" i="7"/>
  <c r="QJI6" i="7"/>
  <c r="QJJ6" i="7"/>
  <c r="QJK6" i="7"/>
  <c r="QJL6" i="7"/>
  <c r="QJM6" i="7"/>
  <c r="QJN6" i="7"/>
  <c r="QJO6" i="7"/>
  <c r="QJP6" i="7"/>
  <c r="QJQ6" i="7"/>
  <c r="QJR6" i="7"/>
  <c r="QJS6" i="7"/>
  <c r="QJT6" i="7"/>
  <c r="QJU6" i="7"/>
  <c r="QJV6" i="7"/>
  <c r="QJW6" i="7"/>
  <c r="QJX6" i="7"/>
  <c r="QJY6" i="7"/>
  <c r="QJZ6" i="7"/>
  <c r="QKA6" i="7"/>
  <c r="QKB6" i="7"/>
  <c r="QKC6" i="7"/>
  <c r="QKD6" i="7"/>
  <c r="QKE6" i="7"/>
  <c r="QKF6" i="7"/>
  <c r="QKG6" i="7"/>
  <c r="QKH6" i="7"/>
  <c r="QKI6" i="7"/>
  <c r="QKJ6" i="7"/>
  <c r="QKK6" i="7"/>
  <c r="QKL6" i="7"/>
  <c r="QKM6" i="7"/>
  <c r="QKN6" i="7"/>
  <c r="QKO6" i="7"/>
  <c r="QKP6" i="7"/>
  <c r="QKQ6" i="7"/>
  <c r="QKR6" i="7"/>
  <c r="QKS6" i="7"/>
  <c r="QKT6" i="7"/>
  <c r="QKU6" i="7"/>
  <c r="QKV6" i="7"/>
  <c r="QKW6" i="7"/>
  <c r="QKX6" i="7"/>
  <c r="QKY6" i="7"/>
  <c r="QKZ6" i="7"/>
  <c r="QLA6" i="7"/>
  <c r="QLB6" i="7"/>
  <c r="QLC6" i="7"/>
  <c r="QLD6" i="7"/>
  <c r="QLE6" i="7"/>
  <c r="QLF6" i="7"/>
  <c r="QLG6" i="7"/>
  <c r="QLH6" i="7"/>
  <c r="QLI6" i="7"/>
  <c r="QLJ6" i="7"/>
  <c r="QLK6" i="7"/>
  <c r="QLL6" i="7"/>
  <c r="QLM6" i="7"/>
  <c r="QLN6" i="7"/>
  <c r="QLO6" i="7"/>
  <c r="QLP6" i="7"/>
  <c r="QLQ6" i="7"/>
  <c r="QLR6" i="7"/>
  <c r="QLS6" i="7"/>
  <c r="QLT6" i="7"/>
  <c r="QLU6" i="7"/>
  <c r="QLV6" i="7"/>
  <c r="QLW6" i="7"/>
  <c r="QLX6" i="7"/>
  <c r="QLY6" i="7"/>
  <c r="QLZ6" i="7"/>
  <c r="QMA6" i="7"/>
  <c r="QMB6" i="7"/>
  <c r="QMC6" i="7"/>
  <c r="QMD6" i="7"/>
  <c r="QME6" i="7"/>
  <c r="QMF6" i="7"/>
  <c r="QMG6" i="7"/>
  <c r="QMH6" i="7"/>
  <c r="QMI6" i="7"/>
  <c r="QMJ6" i="7"/>
  <c r="QMK6" i="7"/>
  <c r="QML6" i="7"/>
  <c r="QMM6" i="7"/>
  <c r="QMN6" i="7"/>
  <c r="QMO6" i="7"/>
  <c r="QMP6" i="7"/>
  <c r="QMQ6" i="7"/>
  <c r="QMR6" i="7"/>
  <c r="QMS6" i="7"/>
  <c r="QMT6" i="7"/>
  <c r="QMU6" i="7"/>
  <c r="QMV6" i="7"/>
  <c r="QMW6" i="7"/>
  <c r="QMX6" i="7"/>
  <c r="QMY6" i="7"/>
  <c r="QMZ6" i="7"/>
  <c r="QNA6" i="7"/>
  <c r="QNB6" i="7"/>
  <c r="QNC6" i="7"/>
  <c r="QND6" i="7"/>
  <c r="QNE6" i="7"/>
  <c r="QNF6" i="7"/>
  <c r="QNG6" i="7"/>
  <c r="QNH6" i="7"/>
  <c r="QNI6" i="7"/>
  <c r="QNJ6" i="7"/>
  <c r="QNK6" i="7"/>
  <c r="QNL6" i="7"/>
  <c r="QNM6" i="7"/>
  <c r="QNN6" i="7"/>
  <c r="QNO6" i="7"/>
  <c r="QNP6" i="7"/>
  <c r="QNQ6" i="7"/>
  <c r="QNR6" i="7"/>
  <c r="QNS6" i="7"/>
  <c r="QNT6" i="7"/>
  <c r="QNU6" i="7"/>
  <c r="QNV6" i="7"/>
  <c r="QNW6" i="7"/>
  <c r="QNX6" i="7"/>
  <c r="QNY6" i="7"/>
  <c r="QNZ6" i="7"/>
  <c r="QOA6" i="7"/>
  <c r="QOB6" i="7"/>
  <c r="QOC6" i="7"/>
  <c r="QOD6" i="7"/>
  <c r="QOE6" i="7"/>
  <c r="QOF6" i="7"/>
  <c r="QOG6" i="7"/>
  <c r="QOH6" i="7"/>
  <c r="QOI6" i="7"/>
  <c r="QOJ6" i="7"/>
  <c r="QOK6" i="7"/>
  <c r="QOL6" i="7"/>
  <c r="QOM6" i="7"/>
  <c r="QON6" i="7"/>
  <c r="QOO6" i="7"/>
  <c r="QOP6" i="7"/>
  <c r="QOQ6" i="7"/>
  <c r="QOR6" i="7"/>
  <c r="QOS6" i="7"/>
  <c r="QOT6" i="7"/>
  <c r="QOU6" i="7"/>
  <c r="QOV6" i="7"/>
  <c r="QOW6" i="7"/>
  <c r="QOX6" i="7"/>
  <c r="QOY6" i="7"/>
  <c r="QOZ6" i="7"/>
  <c r="QPA6" i="7"/>
  <c r="QPB6" i="7"/>
  <c r="QPC6" i="7"/>
  <c r="QPD6" i="7"/>
  <c r="QPE6" i="7"/>
  <c r="QPF6" i="7"/>
  <c r="QPG6" i="7"/>
  <c r="QPH6" i="7"/>
  <c r="QPI6" i="7"/>
  <c r="QPJ6" i="7"/>
  <c r="QPK6" i="7"/>
  <c r="QPL6" i="7"/>
  <c r="QPM6" i="7"/>
  <c r="QPN6" i="7"/>
  <c r="QPO6" i="7"/>
  <c r="QPP6" i="7"/>
  <c r="QPQ6" i="7"/>
  <c r="QPR6" i="7"/>
  <c r="QPS6" i="7"/>
  <c r="QPT6" i="7"/>
  <c r="QPU6" i="7"/>
  <c r="QPV6" i="7"/>
  <c r="QPW6" i="7"/>
  <c r="QPX6" i="7"/>
  <c r="QPY6" i="7"/>
  <c r="QPZ6" i="7"/>
  <c r="QQA6" i="7"/>
  <c r="QQB6" i="7"/>
  <c r="QQC6" i="7"/>
  <c r="QQD6" i="7"/>
  <c r="QQE6" i="7"/>
  <c r="QQF6" i="7"/>
  <c r="QQG6" i="7"/>
  <c r="QQH6" i="7"/>
  <c r="QQI6" i="7"/>
  <c r="QQJ6" i="7"/>
  <c r="QQK6" i="7"/>
  <c r="QQL6" i="7"/>
  <c r="QQM6" i="7"/>
  <c r="QQN6" i="7"/>
  <c r="QQO6" i="7"/>
  <c r="QQP6" i="7"/>
  <c r="QQQ6" i="7"/>
  <c r="QQR6" i="7"/>
  <c r="QQS6" i="7"/>
  <c r="QQT6" i="7"/>
  <c r="QQU6" i="7"/>
  <c r="QQV6" i="7"/>
  <c r="QQW6" i="7"/>
  <c r="QQX6" i="7"/>
  <c r="QQY6" i="7"/>
  <c r="QQZ6" i="7"/>
  <c r="QRA6" i="7"/>
  <c r="QRB6" i="7"/>
  <c r="QRC6" i="7"/>
  <c r="QRD6" i="7"/>
  <c r="QRE6" i="7"/>
  <c r="QRF6" i="7"/>
  <c r="QRG6" i="7"/>
  <c r="QRH6" i="7"/>
  <c r="QRI6" i="7"/>
  <c r="QRJ6" i="7"/>
  <c r="QRK6" i="7"/>
  <c r="QRL6" i="7"/>
  <c r="QRM6" i="7"/>
  <c r="QRN6" i="7"/>
  <c r="QRO6" i="7"/>
  <c r="QRP6" i="7"/>
  <c r="QRQ6" i="7"/>
  <c r="QRR6" i="7"/>
  <c r="QRS6" i="7"/>
  <c r="QRT6" i="7"/>
  <c r="QRU6" i="7"/>
  <c r="QRV6" i="7"/>
  <c r="QRW6" i="7"/>
  <c r="QRX6" i="7"/>
  <c r="QRY6" i="7"/>
  <c r="QRZ6" i="7"/>
  <c r="QSA6" i="7"/>
  <c r="QSB6" i="7"/>
  <c r="QSC6" i="7"/>
  <c r="QSD6" i="7"/>
  <c r="QSE6" i="7"/>
  <c r="QSF6" i="7"/>
  <c r="QSG6" i="7"/>
  <c r="QSH6" i="7"/>
  <c r="QSI6" i="7"/>
  <c r="QSJ6" i="7"/>
  <c r="QSK6" i="7"/>
  <c r="QSL6" i="7"/>
  <c r="QSM6" i="7"/>
  <c r="QSN6" i="7"/>
  <c r="QSO6" i="7"/>
  <c r="QSP6" i="7"/>
  <c r="QSQ6" i="7"/>
  <c r="QSR6" i="7"/>
  <c r="QSS6" i="7"/>
  <c r="QST6" i="7"/>
  <c r="QSU6" i="7"/>
  <c r="QSV6" i="7"/>
  <c r="QSW6" i="7"/>
  <c r="QSX6" i="7"/>
  <c r="QSY6" i="7"/>
  <c r="QSZ6" i="7"/>
  <c r="QTA6" i="7"/>
  <c r="QTB6" i="7"/>
  <c r="QTC6" i="7"/>
  <c r="QTD6" i="7"/>
  <c r="QTE6" i="7"/>
  <c r="QTF6" i="7"/>
  <c r="QTG6" i="7"/>
  <c r="QTH6" i="7"/>
  <c r="QTI6" i="7"/>
  <c r="QTJ6" i="7"/>
  <c r="QTK6" i="7"/>
  <c r="QTL6" i="7"/>
  <c r="QTM6" i="7"/>
  <c r="QTN6" i="7"/>
  <c r="QTO6" i="7"/>
  <c r="QTP6" i="7"/>
  <c r="QTQ6" i="7"/>
  <c r="QTR6" i="7"/>
  <c r="QTS6" i="7"/>
  <c r="QTT6" i="7"/>
  <c r="QTU6" i="7"/>
  <c r="QTV6" i="7"/>
  <c r="QTW6" i="7"/>
  <c r="QTX6" i="7"/>
  <c r="QTY6" i="7"/>
  <c r="QTZ6" i="7"/>
  <c r="QUA6" i="7"/>
  <c r="QUB6" i="7"/>
  <c r="QUC6" i="7"/>
  <c r="QUD6" i="7"/>
  <c r="QUE6" i="7"/>
  <c r="QUF6" i="7"/>
  <c r="QUG6" i="7"/>
  <c r="QUH6" i="7"/>
  <c r="QUI6" i="7"/>
  <c r="QUJ6" i="7"/>
  <c r="QUK6" i="7"/>
  <c r="QUL6" i="7"/>
  <c r="QUM6" i="7"/>
  <c r="QUN6" i="7"/>
  <c r="QUO6" i="7"/>
  <c r="QUP6" i="7"/>
  <c r="QUQ6" i="7"/>
  <c r="QUR6" i="7"/>
  <c r="QUS6" i="7"/>
  <c r="QUT6" i="7"/>
  <c r="QUU6" i="7"/>
  <c r="QUV6" i="7"/>
  <c r="QUW6" i="7"/>
  <c r="QUX6" i="7"/>
  <c r="QUY6" i="7"/>
  <c r="QUZ6" i="7"/>
  <c r="QVA6" i="7"/>
  <c r="QVB6" i="7"/>
  <c r="QVC6" i="7"/>
  <c r="QVD6" i="7"/>
  <c r="QVE6" i="7"/>
  <c r="QVF6" i="7"/>
  <c r="QVG6" i="7"/>
  <c r="QVH6" i="7"/>
  <c r="QVI6" i="7"/>
  <c r="QVJ6" i="7"/>
  <c r="QVK6" i="7"/>
  <c r="QVL6" i="7"/>
  <c r="QVM6" i="7"/>
  <c r="QVN6" i="7"/>
  <c r="QVO6" i="7"/>
  <c r="QVP6" i="7"/>
  <c r="QVQ6" i="7"/>
  <c r="QVR6" i="7"/>
  <c r="QVS6" i="7"/>
  <c r="QVT6" i="7"/>
  <c r="QVU6" i="7"/>
  <c r="QVV6" i="7"/>
  <c r="QVW6" i="7"/>
  <c r="QVX6" i="7"/>
  <c r="QVY6" i="7"/>
  <c r="QVZ6" i="7"/>
  <c r="QWA6" i="7"/>
  <c r="QWB6" i="7"/>
  <c r="QWC6" i="7"/>
  <c r="QWD6" i="7"/>
  <c r="QWE6" i="7"/>
  <c r="QWF6" i="7"/>
  <c r="QWG6" i="7"/>
  <c r="QWH6" i="7"/>
  <c r="QWI6" i="7"/>
  <c r="QWJ6" i="7"/>
  <c r="QWK6" i="7"/>
  <c r="QWL6" i="7"/>
  <c r="QWM6" i="7"/>
  <c r="QWN6" i="7"/>
  <c r="QWO6" i="7"/>
  <c r="QWP6" i="7"/>
  <c r="QWQ6" i="7"/>
  <c r="QWR6" i="7"/>
  <c r="QWS6" i="7"/>
  <c r="QWT6" i="7"/>
  <c r="QWU6" i="7"/>
  <c r="QWV6" i="7"/>
  <c r="QWW6" i="7"/>
  <c r="QWX6" i="7"/>
  <c r="QWY6" i="7"/>
  <c r="QWZ6" i="7"/>
  <c r="QXA6" i="7"/>
  <c r="QXB6" i="7"/>
  <c r="QXC6" i="7"/>
  <c r="QXD6" i="7"/>
  <c r="QXE6" i="7"/>
  <c r="QXF6" i="7"/>
  <c r="QXG6" i="7"/>
  <c r="QXH6" i="7"/>
  <c r="QXI6" i="7"/>
  <c r="QXJ6" i="7"/>
  <c r="QXK6" i="7"/>
  <c r="QXL6" i="7"/>
  <c r="QXM6" i="7"/>
  <c r="QXN6" i="7"/>
  <c r="QXO6" i="7"/>
  <c r="QXP6" i="7"/>
  <c r="QXQ6" i="7"/>
  <c r="QXR6" i="7"/>
  <c r="QXS6" i="7"/>
  <c r="QXT6" i="7"/>
  <c r="QXU6" i="7"/>
  <c r="QXV6" i="7"/>
  <c r="QXW6" i="7"/>
  <c r="QXX6" i="7"/>
  <c r="QXY6" i="7"/>
  <c r="QXZ6" i="7"/>
  <c r="QYA6" i="7"/>
  <c r="QYB6" i="7"/>
  <c r="QYC6" i="7"/>
  <c r="QYD6" i="7"/>
  <c r="QYE6" i="7"/>
  <c r="QYF6" i="7"/>
  <c r="QYG6" i="7"/>
  <c r="QYH6" i="7"/>
  <c r="QYI6" i="7"/>
  <c r="QYJ6" i="7"/>
  <c r="QYK6" i="7"/>
  <c r="QYL6" i="7"/>
  <c r="QYM6" i="7"/>
  <c r="QYN6" i="7"/>
  <c r="QYO6" i="7"/>
  <c r="QYP6" i="7"/>
  <c r="QYQ6" i="7"/>
  <c r="QYR6" i="7"/>
  <c r="QYS6" i="7"/>
  <c r="QYT6" i="7"/>
  <c r="QYU6" i="7"/>
  <c r="QYV6" i="7"/>
  <c r="QYW6" i="7"/>
  <c r="QYX6" i="7"/>
  <c r="QYY6" i="7"/>
  <c r="QYZ6" i="7"/>
  <c r="QZA6" i="7"/>
  <c r="QZB6" i="7"/>
  <c r="QZC6" i="7"/>
  <c r="QZD6" i="7"/>
  <c r="QZE6" i="7"/>
  <c r="QZF6" i="7"/>
  <c r="QZG6" i="7"/>
  <c r="QZH6" i="7"/>
  <c r="QZI6" i="7"/>
  <c r="QZJ6" i="7"/>
  <c r="QZK6" i="7"/>
  <c r="QZL6" i="7"/>
  <c r="QZM6" i="7"/>
  <c r="QZN6" i="7"/>
  <c r="QZO6" i="7"/>
  <c r="QZP6" i="7"/>
  <c r="QZQ6" i="7"/>
  <c r="QZR6" i="7"/>
  <c r="QZS6" i="7"/>
  <c r="QZT6" i="7"/>
  <c r="QZU6" i="7"/>
  <c r="QZV6" i="7"/>
  <c r="QZW6" i="7"/>
  <c r="QZX6" i="7"/>
  <c r="QZY6" i="7"/>
  <c r="QZZ6" i="7"/>
  <c r="RAA6" i="7"/>
  <c r="RAB6" i="7"/>
  <c r="RAC6" i="7"/>
  <c r="RAD6" i="7"/>
  <c r="RAE6" i="7"/>
  <c r="RAF6" i="7"/>
  <c r="RAG6" i="7"/>
  <c r="RAH6" i="7"/>
  <c r="RAI6" i="7"/>
  <c r="RAJ6" i="7"/>
  <c r="RAK6" i="7"/>
  <c r="RAL6" i="7"/>
  <c r="RAM6" i="7"/>
  <c r="RAN6" i="7"/>
  <c r="RAO6" i="7"/>
  <c r="RAP6" i="7"/>
  <c r="RAQ6" i="7"/>
  <c r="RAR6" i="7"/>
  <c r="RAS6" i="7"/>
  <c r="RAT6" i="7"/>
  <c r="RAU6" i="7"/>
  <c r="RAV6" i="7"/>
  <c r="RAW6" i="7"/>
  <c r="RAX6" i="7"/>
  <c r="RAY6" i="7"/>
  <c r="RAZ6" i="7"/>
  <c r="RBA6" i="7"/>
  <c r="RBB6" i="7"/>
  <c r="RBC6" i="7"/>
  <c r="RBD6" i="7"/>
  <c r="RBE6" i="7"/>
  <c r="RBF6" i="7"/>
  <c r="RBG6" i="7"/>
  <c r="RBH6" i="7"/>
  <c r="RBI6" i="7"/>
  <c r="RBJ6" i="7"/>
  <c r="RBK6" i="7"/>
  <c r="RBL6" i="7"/>
  <c r="RBM6" i="7"/>
  <c r="RBN6" i="7"/>
  <c r="RBO6" i="7"/>
  <c r="RBP6" i="7"/>
  <c r="RBQ6" i="7"/>
  <c r="RBR6" i="7"/>
  <c r="RBS6" i="7"/>
  <c r="RBT6" i="7"/>
  <c r="RBU6" i="7"/>
  <c r="RBV6" i="7"/>
  <c r="RBW6" i="7"/>
  <c r="RBX6" i="7"/>
  <c r="RBY6" i="7"/>
  <c r="RBZ6" i="7"/>
  <c r="RCA6" i="7"/>
  <c r="RCB6" i="7"/>
  <c r="RCC6" i="7"/>
  <c r="RCD6" i="7"/>
  <c r="RCE6" i="7"/>
  <c r="RCF6" i="7"/>
  <c r="RCG6" i="7"/>
  <c r="RCH6" i="7"/>
  <c r="RCI6" i="7"/>
  <c r="RCJ6" i="7"/>
  <c r="RCK6" i="7"/>
  <c r="RCL6" i="7"/>
  <c r="RCM6" i="7"/>
  <c r="RCN6" i="7"/>
  <c r="RCO6" i="7"/>
  <c r="RCP6" i="7"/>
  <c r="RCQ6" i="7"/>
  <c r="RCR6" i="7"/>
  <c r="RCS6" i="7"/>
  <c r="RCT6" i="7"/>
  <c r="RCU6" i="7"/>
  <c r="RCV6" i="7"/>
  <c r="RCW6" i="7"/>
  <c r="RCX6" i="7"/>
  <c r="RCY6" i="7"/>
  <c r="RCZ6" i="7"/>
  <c r="RDA6" i="7"/>
  <c r="RDB6" i="7"/>
  <c r="RDC6" i="7"/>
  <c r="RDD6" i="7"/>
  <c r="RDE6" i="7"/>
  <c r="RDF6" i="7"/>
  <c r="RDG6" i="7"/>
  <c r="RDH6" i="7"/>
  <c r="RDI6" i="7"/>
  <c r="RDJ6" i="7"/>
  <c r="RDK6" i="7"/>
  <c r="RDL6" i="7"/>
  <c r="RDM6" i="7"/>
  <c r="RDN6" i="7"/>
  <c r="RDO6" i="7"/>
  <c r="RDP6" i="7"/>
  <c r="RDQ6" i="7"/>
  <c r="RDR6" i="7"/>
  <c r="RDS6" i="7"/>
  <c r="RDT6" i="7"/>
  <c r="RDU6" i="7"/>
  <c r="RDV6" i="7"/>
  <c r="RDW6" i="7"/>
  <c r="RDX6" i="7"/>
  <c r="RDY6" i="7"/>
  <c r="RDZ6" i="7"/>
  <c r="REA6" i="7"/>
  <c r="REB6" i="7"/>
  <c r="REC6" i="7"/>
  <c r="RED6" i="7"/>
  <c r="REE6" i="7"/>
  <c r="REF6" i="7"/>
  <c r="REG6" i="7"/>
  <c r="REH6" i="7"/>
  <c r="REI6" i="7"/>
  <c r="REJ6" i="7"/>
  <c r="REK6" i="7"/>
  <c r="REL6" i="7"/>
  <c r="REM6" i="7"/>
  <c r="REN6" i="7"/>
  <c r="REO6" i="7"/>
  <c r="REP6" i="7"/>
  <c r="REQ6" i="7"/>
  <c r="RER6" i="7"/>
  <c r="RES6" i="7"/>
  <c r="RET6" i="7"/>
  <c r="REU6" i="7"/>
  <c r="REV6" i="7"/>
  <c r="REW6" i="7"/>
  <c r="REX6" i="7"/>
  <c r="REY6" i="7"/>
  <c r="REZ6" i="7"/>
  <c r="RFA6" i="7"/>
  <c r="RFB6" i="7"/>
  <c r="RFC6" i="7"/>
  <c r="RFD6" i="7"/>
  <c r="RFE6" i="7"/>
  <c r="RFF6" i="7"/>
  <c r="RFG6" i="7"/>
  <c r="RFH6" i="7"/>
  <c r="RFI6" i="7"/>
  <c r="RFJ6" i="7"/>
  <c r="RFK6" i="7"/>
  <c r="RFL6" i="7"/>
  <c r="RFM6" i="7"/>
  <c r="RFN6" i="7"/>
  <c r="RFO6" i="7"/>
  <c r="RFP6" i="7"/>
  <c r="RFQ6" i="7"/>
  <c r="RFR6" i="7"/>
  <c r="RFS6" i="7"/>
  <c r="RFT6" i="7"/>
  <c r="RFU6" i="7"/>
  <c r="RFV6" i="7"/>
  <c r="RFW6" i="7"/>
  <c r="RFX6" i="7"/>
  <c r="RFY6" i="7"/>
  <c r="RFZ6" i="7"/>
  <c r="RGA6" i="7"/>
  <c r="RGB6" i="7"/>
  <c r="RGC6" i="7"/>
  <c r="RGD6" i="7"/>
  <c r="RGE6" i="7"/>
  <c r="RGF6" i="7"/>
  <c r="RGG6" i="7"/>
  <c r="RGH6" i="7"/>
  <c r="RGI6" i="7"/>
  <c r="RGJ6" i="7"/>
  <c r="RGK6" i="7"/>
  <c r="RGL6" i="7"/>
  <c r="RGM6" i="7"/>
  <c r="RGN6" i="7"/>
  <c r="RGO6" i="7"/>
  <c r="RGP6" i="7"/>
  <c r="RGQ6" i="7"/>
  <c r="RGR6" i="7"/>
  <c r="RGS6" i="7"/>
  <c r="RGT6" i="7"/>
  <c r="RGU6" i="7"/>
  <c r="RGV6" i="7"/>
  <c r="RGW6" i="7"/>
  <c r="RGX6" i="7"/>
  <c r="RGY6" i="7"/>
  <c r="RGZ6" i="7"/>
  <c r="RHA6" i="7"/>
  <c r="RHB6" i="7"/>
  <c r="RHC6" i="7"/>
  <c r="RHD6" i="7"/>
  <c r="RHE6" i="7"/>
  <c r="RHF6" i="7"/>
  <c r="RHG6" i="7"/>
  <c r="RHH6" i="7"/>
  <c r="RHI6" i="7"/>
  <c r="RHJ6" i="7"/>
  <c r="RHK6" i="7"/>
  <c r="RHL6" i="7"/>
  <c r="RHM6" i="7"/>
  <c r="RHN6" i="7"/>
  <c r="RHO6" i="7"/>
  <c r="RHP6" i="7"/>
  <c r="RHQ6" i="7"/>
  <c r="RHR6" i="7"/>
  <c r="RHS6" i="7"/>
  <c r="RHT6" i="7"/>
  <c r="RHU6" i="7"/>
  <c r="RHV6" i="7"/>
  <c r="RHW6" i="7"/>
  <c r="RHX6" i="7"/>
  <c r="RHY6" i="7"/>
  <c r="RHZ6" i="7"/>
  <c r="RIA6" i="7"/>
  <c r="RIB6" i="7"/>
  <c r="RIC6" i="7"/>
  <c r="RID6" i="7"/>
  <c r="RIE6" i="7"/>
  <c r="RIF6" i="7"/>
  <c r="RIG6" i="7"/>
  <c r="RIH6" i="7"/>
  <c r="RII6" i="7"/>
  <c r="RIJ6" i="7"/>
  <c r="RIK6" i="7"/>
  <c r="RIL6" i="7"/>
  <c r="RIM6" i="7"/>
  <c r="RIN6" i="7"/>
  <c r="RIO6" i="7"/>
  <c r="RIP6" i="7"/>
  <c r="RIQ6" i="7"/>
  <c r="RIR6" i="7"/>
  <c r="RIS6" i="7"/>
  <c r="RIT6" i="7"/>
  <c r="RIU6" i="7"/>
  <c r="RIV6" i="7"/>
  <c r="RIW6" i="7"/>
  <c r="RIX6" i="7"/>
  <c r="RIY6" i="7"/>
  <c r="RIZ6" i="7"/>
  <c r="RJA6" i="7"/>
  <c r="RJB6" i="7"/>
  <c r="RJC6" i="7"/>
  <c r="RJD6" i="7"/>
  <c r="RJE6" i="7"/>
  <c r="RJF6" i="7"/>
  <c r="RJG6" i="7"/>
  <c r="RJH6" i="7"/>
  <c r="RJI6" i="7"/>
  <c r="RJJ6" i="7"/>
  <c r="RJK6" i="7"/>
  <c r="RJL6" i="7"/>
  <c r="RJM6" i="7"/>
  <c r="RJN6" i="7"/>
  <c r="RJO6" i="7"/>
  <c r="RJP6" i="7"/>
  <c r="RJQ6" i="7"/>
  <c r="RJR6" i="7"/>
  <c r="RJS6" i="7"/>
  <c r="RJT6" i="7"/>
  <c r="RJU6" i="7"/>
  <c r="RJV6" i="7"/>
  <c r="RJW6" i="7"/>
  <c r="RJX6" i="7"/>
  <c r="RJY6" i="7"/>
  <c r="RJZ6" i="7"/>
  <c r="RKA6" i="7"/>
  <c r="RKB6" i="7"/>
  <c r="RKC6" i="7"/>
  <c r="RKD6" i="7"/>
  <c r="RKE6" i="7"/>
  <c r="RKF6" i="7"/>
  <c r="RKG6" i="7"/>
  <c r="RKH6" i="7"/>
  <c r="RKI6" i="7"/>
  <c r="RKJ6" i="7"/>
  <c r="RKK6" i="7"/>
  <c r="RKL6" i="7"/>
  <c r="RKM6" i="7"/>
  <c r="RKN6" i="7"/>
  <c r="RKO6" i="7"/>
  <c r="RKP6" i="7"/>
  <c r="RKQ6" i="7"/>
  <c r="RKR6" i="7"/>
  <c r="RKS6" i="7"/>
  <c r="RKT6" i="7"/>
  <c r="RKU6" i="7"/>
  <c r="RKV6" i="7"/>
  <c r="RKW6" i="7"/>
  <c r="RKX6" i="7"/>
  <c r="RKY6" i="7"/>
  <c r="RKZ6" i="7"/>
  <c r="RLA6" i="7"/>
  <c r="RLB6" i="7"/>
  <c r="RLC6" i="7"/>
  <c r="RLD6" i="7"/>
  <c r="RLE6" i="7"/>
  <c r="RLF6" i="7"/>
  <c r="RLG6" i="7"/>
  <c r="RLH6" i="7"/>
  <c r="RLI6" i="7"/>
  <c r="RLJ6" i="7"/>
  <c r="RLK6" i="7"/>
  <c r="RLL6" i="7"/>
  <c r="RLM6" i="7"/>
  <c r="RLN6" i="7"/>
  <c r="RLO6" i="7"/>
  <c r="RLP6" i="7"/>
  <c r="RLQ6" i="7"/>
  <c r="RLR6" i="7"/>
  <c r="RLS6" i="7"/>
  <c r="RLT6" i="7"/>
  <c r="RLU6" i="7"/>
  <c r="RLV6" i="7"/>
  <c r="RLW6" i="7"/>
  <c r="RLX6" i="7"/>
  <c r="RLY6" i="7"/>
  <c r="RLZ6" i="7"/>
  <c r="RMA6" i="7"/>
  <c r="RMB6" i="7"/>
  <c r="RMC6" i="7"/>
  <c r="RMD6" i="7"/>
  <c r="RME6" i="7"/>
  <c r="RMF6" i="7"/>
  <c r="RMG6" i="7"/>
  <c r="RMH6" i="7"/>
  <c r="RMI6" i="7"/>
  <c r="RMJ6" i="7"/>
  <c r="RMK6" i="7"/>
  <c r="RML6" i="7"/>
  <c r="RMM6" i="7"/>
  <c r="RMN6" i="7"/>
  <c r="RMO6" i="7"/>
  <c r="RMP6" i="7"/>
  <c r="RMQ6" i="7"/>
  <c r="RMR6" i="7"/>
  <c r="RMS6" i="7"/>
  <c r="RMT6" i="7"/>
  <c r="RMU6" i="7"/>
  <c r="RMV6" i="7"/>
  <c r="RMW6" i="7"/>
  <c r="RMX6" i="7"/>
  <c r="RMY6" i="7"/>
  <c r="RMZ6" i="7"/>
  <c r="RNA6" i="7"/>
  <c r="RNB6" i="7"/>
  <c r="RNC6" i="7"/>
  <c r="RND6" i="7"/>
  <c r="RNE6" i="7"/>
  <c r="RNF6" i="7"/>
  <c r="RNG6" i="7"/>
  <c r="RNH6" i="7"/>
  <c r="RNI6" i="7"/>
  <c r="RNJ6" i="7"/>
  <c r="RNK6" i="7"/>
  <c r="RNL6" i="7"/>
  <c r="RNM6" i="7"/>
  <c r="RNN6" i="7"/>
  <c r="RNO6" i="7"/>
  <c r="RNP6" i="7"/>
  <c r="RNQ6" i="7"/>
  <c r="RNR6" i="7"/>
  <c r="RNS6" i="7"/>
  <c r="RNT6" i="7"/>
  <c r="RNU6" i="7"/>
  <c r="RNV6" i="7"/>
  <c r="RNW6" i="7"/>
  <c r="RNX6" i="7"/>
  <c r="RNY6" i="7"/>
  <c r="RNZ6" i="7"/>
  <c r="ROA6" i="7"/>
  <c r="ROB6" i="7"/>
  <c r="ROC6" i="7"/>
  <c r="ROD6" i="7"/>
  <c r="ROE6" i="7"/>
  <c r="ROF6" i="7"/>
  <c r="ROG6" i="7"/>
  <c r="ROH6" i="7"/>
  <c r="ROI6" i="7"/>
  <c r="ROJ6" i="7"/>
  <c r="ROK6" i="7"/>
  <c r="ROL6" i="7"/>
  <c r="ROM6" i="7"/>
  <c r="RON6" i="7"/>
  <c r="ROO6" i="7"/>
  <c r="ROP6" i="7"/>
  <c r="ROQ6" i="7"/>
  <c r="ROR6" i="7"/>
  <c r="ROS6" i="7"/>
  <c r="ROT6" i="7"/>
  <c r="ROU6" i="7"/>
  <c r="ROV6" i="7"/>
  <c r="ROW6" i="7"/>
  <c r="ROX6" i="7"/>
  <c r="ROY6" i="7"/>
  <c r="ROZ6" i="7"/>
  <c r="RPA6" i="7"/>
  <c r="RPB6" i="7"/>
  <c r="RPC6" i="7"/>
  <c r="RPD6" i="7"/>
  <c r="RPE6" i="7"/>
  <c r="RPF6" i="7"/>
  <c r="RPG6" i="7"/>
  <c r="RPH6" i="7"/>
  <c r="RPI6" i="7"/>
  <c r="RPJ6" i="7"/>
  <c r="RPK6" i="7"/>
  <c r="RPL6" i="7"/>
  <c r="RPM6" i="7"/>
  <c r="RPN6" i="7"/>
  <c r="RPO6" i="7"/>
  <c r="RPP6" i="7"/>
  <c r="RPQ6" i="7"/>
  <c r="RPR6" i="7"/>
  <c r="RPS6" i="7"/>
  <c r="RPT6" i="7"/>
  <c r="RPU6" i="7"/>
  <c r="RPV6" i="7"/>
  <c r="RPW6" i="7"/>
  <c r="RPX6" i="7"/>
  <c r="RPY6" i="7"/>
  <c r="RPZ6" i="7"/>
  <c r="RQA6" i="7"/>
  <c r="RQB6" i="7"/>
  <c r="RQC6" i="7"/>
  <c r="RQD6" i="7"/>
  <c r="RQE6" i="7"/>
  <c r="RQF6" i="7"/>
  <c r="RQG6" i="7"/>
  <c r="RQH6" i="7"/>
  <c r="RQI6" i="7"/>
  <c r="RQJ6" i="7"/>
  <c r="RQK6" i="7"/>
  <c r="RQL6" i="7"/>
  <c r="RQM6" i="7"/>
  <c r="RQN6" i="7"/>
  <c r="RQO6" i="7"/>
  <c r="RQP6" i="7"/>
  <c r="RQQ6" i="7"/>
  <c r="RQR6" i="7"/>
  <c r="RQS6" i="7"/>
  <c r="RQT6" i="7"/>
  <c r="RQU6" i="7"/>
  <c r="RQV6" i="7"/>
  <c r="RQW6" i="7"/>
  <c r="RQX6" i="7"/>
  <c r="RQY6" i="7"/>
  <c r="RQZ6" i="7"/>
  <c r="RRA6" i="7"/>
  <c r="RRB6" i="7"/>
  <c r="RRC6" i="7"/>
  <c r="RRD6" i="7"/>
  <c r="RRE6" i="7"/>
  <c r="RRF6" i="7"/>
  <c r="RRG6" i="7"/>
  <c r="RRH6" i="7"/>
  <c r="RRI6" i="7"/>
  <c r="RRJ6" i="7"/>
  <c r="RRK6" i="7"/>
  <c r="RRL6" i="7"/>
  <c r="RRM6" i="7"/>
  <c r="RRN6" i="7"/>
  <c r="RRO6" i="7"/>
  <c r="RRP6" i="7"/>
  <c r="RRQ6" i="7"/>
  <c r="RRR6" i="7"/>
  <c r="RRS6" i="7"/>
  <c r="RRT6" i="7"/>
  <c r="RRU6" i="7"/>
  <c r="RRV6" i="7"/>
  <c r="RRW6" i="7"/>
  <c r="RRX6" i="7"/>
  <c r="RRY6" i="7"/>
  <c r="RRZ6" i="7"/>
  <c r="RSA6" i="7"/>
  <c r="RSB6" i="7"/>
  <c r="RSC6" i="7"/>
  <c r="RSD6" i="7"/>
  <c r="RSE6" i="7"/>
  <c r="RSF6" i="7"/>
  <c r="RSG6" i="7"/>
  <c r="RSH6" i="7"/>
  <c r="RSI6" i="7"/>
  <c r="RSJ6" i="7"/>
  <c r="RSK6" i="7"/>
  <c r="RSL6" i="7"/>
  <c r="RSM6" i="7"/>
  <c r="RSN6" i="7"/>
  <c r="RSO6" i="7"/>
  <c r="RSP6" i="7"/>
  <c r="RSQ6" i="7"/>
  <c r="RSR6" i="7"/>
  <c r="RSS6" i="7"/>
  <c r="RST6" i="7"/>
  <c r="RSU6" i="7"/>
  <c r="RSV6" i="7"/>
  <c r="RSW6" i="7"/>
  <c r="RSX6" i="7"/>
  <c r="RSY6" i="7"/>
  <c r="RSZ6" i="7"/>
  <c r="RTA6" i="7"/>
  <c r="RTB6" i="7"/>
  <c r="RTC6" i="7"/>
  <c r="RTD6" i="7"/>
  <c r="RTE6" i="7"/>
  <c r="RTF6" i="7"/>
  <c r="RTG6" i="7"/>
  <c r="RTH6" i="7"/>
  <c r="RTI6" i="7"/>
  <c r="RTJ6" i="7"/>
  <c r="RTK6" i="7"/>
  <c r="RTL6" i="7"/>
  <c r="RTM6" i="7"/>
  <c r="RTN6" i="7"/>
  <c r="RTO6" i="7"/>
  <c r="RTP6" i="7"/>
  <c r="RTQ6" i="7"/>
  <c r="RTR6" i="7"/>
  <c r="RTS6" i="7"/>
  <c r="RTT6" i="7"/>
  <c r="RTU6" i="7"/>
  <c r="RTV6" i="7"/>
  <c r="RTW6" i="7"/>
  <c r="RTX6" i="7"/>
  <c r="RTY6" i="7"/>
  <c r="RTZ6" i="7"/>
  <c r="RUA6" i="7"/>
  <c r="RUB6" i="7"/>
  <c r="RUC6" i="7"/>
  <c r="RUD6" i="7"/>
  <c r="RUE6" i="7"/>
  <c r="RUF6" i="7"/>
  <c r="RUG6" i="7"/>
  <c r="RUH6" i="7"/>
  <c r="RUI6" i="7"/>
  <c r="RUJ6" i="7"/>
  <c r="RUK6" i="7"/>
  <c r="RUL6" i="7"/>
  <c r="RUM6" i="7"/>
  <c r="RUN6" i="7"/>
  <c r="RUO6" i="7"/>
  <c r="RUP6" i="7"/>
  <c r="RUQ6" i="7"/>
  <c r="RUR6" i="7"/>
  <c r="RUS6" i="7"/>
  <c r="RUT6" i="7"/>
  <c r="RUU6" i="7"/>
  <c r="RUV6" i="7"/>
  <c r="RUW6" i="7"/>
  <c r="RUX6" i="7"/>
  <c r="RUY6" i="7"/>
  <c r="RUZ6" i="7"/>
  <c r="RVA6" i="7"/>
  <c r="RVB6" i="7"/>
  <c r="RVC6" i="7"/>
  <c r="RVD6" i="7"/>
  <c r="RVE6" i="7"/>
  <c r="RVF6" i="7"/>
  <c r="RVG6" i="7"/>
  <c r="RVH6" i="7"/>
  <c r="RVI6" i="7"/>
  <c r="RVJ6" i="7"/>
  <c r="RVK6" i="7"/>
  <c r="RVL6" i="7"/>
  <c r="RVM6" i="7"/>
  <c r="RVN6" i="7"/>
  <c r="RVO6" i="7"/>
  <c r="RVP6" i="7"/>
  <c r="RVQ6" i="7"/>
  <c r="RVR6" i="7"/>
  <c r="RVS6" i="7"/>
  <c r="RVT6" i="7"/>
  <c r="RVU6" i="7"/>
  <c r="RVV6" i="7"/>
  <c r="RVW6" i="7"/>
  <c r="RVX6" i="7"/>
  <c r="RVY6" i="7"/>
  <c r="RVZ6" i="7"/>
  <c r="RWA6" i="7"/>
  <c r="RWB6" i="7"/>
  <c r="RWC6" i="7"/>
  <c r="RWD6" i="7"/>
  <c r="RWE6" i="7"/>
  <c r="RWF6" i="7"/>
  <c r="RWG6" i="7"/>
  <c r="RWH6" i="7"/>
  <c r="RWI6" i="7"/>
  <c r="RWJ6" i="7"/>
  <c r="RWK6" i="7"/>
  <c r="RWL6" i="7"/>
  <c r="RWM6" i="7"/>
  <c r="RWN6" i="7"/>
  <c r="RWO6" i="7"/>
  <c r="RWP6" i="7"/>
  <c r="RWQ6" i="7"/>
  <c r="RWR6" i="7"/>
  <c r="RWS6" i="7"/>
  <c r="RWT6" i="7"/>
  <c r="RWU6" i="7"/>
  <c r="RWV6" i="7"/>
  <c r="RWW6" i="7"/>
  <c r="RWX6" i="7"/>
  <c r="RWY6" i="7"/>
  <c r="RWZ6" i="7"/>
  <c r="RXA6" i="7"/>
  <c r="RXB6" i="7"/>
  <c r="RXC6" i="7"/>
  <c r="RXD6" i="7"/>
  <c r="RXE6" i="7"/>
  <c r="RXF6" i="7"/>
  <c r="RXG6" i="7"/>
  <c r="RXH6" i="7"/>
  <c r="RXI6" i="7"/>
  <c r="RXJ6" i="7"/>
  <c r="RXK6" i="7"/>
  <c r="RXL6" i="7"/>
  <c r="RXM6" i="7"/>
  <c r="RXN6" i="7"/>
  <c r="RXO6" i="7"/>
  <c r="RXP6" i="7"/>
  <c r="RXQ6" i="7"/>
  <c r="RXR6" i="7"/>
  <c r="RXS6" i="7"/>
  <c r="RXT6" i="7"/>
  <c r="RXU6" i="7"/>
  <c r="RXV6" i="7"/>
  <c r="RXW6" i="7"/>
  <c r="RXX6" i="7"/>
  <c r="RXY6" i="7"/>
  <c r="RXZ6" i="7"/>
  <c r="RYA6" i="7"/>
  <c r="RYB6" i="7"/>
  <c r="RYC6" i="7"/>
  <c r="RYD6" i="7"/>
  <c r="RYE6" i="7"/>
  <c r="RYF6" i="7"/>
  <c r="RYG6" i="7"/>
  <c r="RYH6" i="7"/>
  <c r="RYI6" i="7"/>
  <c r="RYJ6" i="7"/>
  <c r="RYK6" i="7"/>
  <c r="RYL6" i="7"/>
  <c r="RYM6" i="7"/>
  <c r="RYN6" i="7"/>
  <c r="RYO6" i="7"/>
  <c r="RYP6" i="7"/>
  <c r="RYQ6" i="7"/>
  <c r="RYR6" i="7"/>
  <c r="RYS6" i="7"/>
  <c r="RYT6" i="7"/>
  <c r="RYU6" i="7"/>
  <c r="RYV6" i="7"/>
  <c r="RYW6" i="7"/>
  <c r="RYX6" i="7"/>
  <c r="RYY6" i="7"/>
  <c r="RYZ6" i="7"/>
  <c r="RZA6" i="7"/>
  <c r="RZB6" i="7"/>
  <c r="RZC6" i="7"/>
  <c r="RZD6" i="7"/>
  <c r="RZE6" i="7"/>
  <c r="RZF6" i="7"/>
  <c r="RZG6" i="7"/>
  <c r="RZH6" i="7"/>
  <c r="RZI6" i="7"/>
  <c r="RZJ6" i="7"/>
  <c r="RZK6" i="7"/>
  <c r="RZL6" i="7"/>
  <c r="RZM6" i="7"/>
  <c r="RZN6" i="7"/>
  <c r="RZO6" i="7"/>
  <c r="RZP6" i="7"/>
  <c r="RZQ6" i="7"/>
  <c r="RZR6" i="7"/>
  <c r="RZS6" i="7"/>
  <c r="RZT6" i="7"/>
  <c r="RZU6" i="7"/>
  <c r="RZV6" i="7"/>
  <c r="RZW6" i="7"/>
  <c r="RZX6" i="7"/>
  <c r="RZY6" i="7"/>
  <c r="RZZ6" i="7"/>
  <c r="SAA6" i="7"/>
  <c r="SAB6" i="7"/>
  <c r="SAC6" i="7"/>
  <c r="SAD6" i="7"/>
  <c r="SAE6" i="7"/>
  <c r="SAF6" i="7"/>
  <c r="SAG6" i="7"/>
  <c r="SAH6" i="7"/>
  <c r="SAI6" i="7"/>
  <c r="SAJ6" i="7"/>
  <c r="SAK6" i="7"/>
  <c r="SAL6" i="7"/>
  <c r="SAM6" i="7"/>
  <c r="SAN6" i="7"/>
  <c r="SAO6" i="7"/>
  <c r="SAP6" i="7"/>
  <c r="SAQ6" i="7"/>
  <c r="SAR6" i="7"/>
  <c r="SAS6" i="7"/>
  <c r="SAT6" i="7"/>
  <c r="SAU6" i="7"/>
  <c r="SAV6" i="7"/>
  <c r="SAW6" i="7"/>
  <c r="SAX6" i="7"/>
  <c r="SAY6" i="7"/>
  <c r="SAZ6" i="7"/>
  <c r="SBA6" i="7"/>
  <c r="SBB6" i="7"/>
  <c r="SBC6" i="7"/>
  <c r="SBD6" i="7"/>
  <c r="SBE6" i="7"/>
  <c r="SBF6" i="7"/>
  <c r="SBG6" i="7"/>
  <c r="SBH6" i="7"/>
  <c r="SBI6" i="7"/>
  <c r="SBJ6" i="7"/>
  <c r="SBK6" i="7"/>
  <c r="SBL6" i="7"/>
  <c r="SBM6" i="7"/>
  <c r="SBN6" i="7"/>
  <c r="SBO6" i="7"/>
  <c r="SBP6" i="7"/>
  <c r="SBQ6" i="7"/>
  <c r="SBR6" i="7"/>
  <c r="SBS6" i="7"/>
  <c r="SBT6" i="7"/>
  <c r="SBU6" i="7"/>
  <c r="SBV6" i="7"/>
  <c r="SBW6" i="7"/>
  <c r="SBX6" i="7"/>
  <c r="SBY6" i="7"/>
  <c r="SBZ6" i="7"/>
  <c r="SCA6" i="7"/>
  <c r="SCB6" i="7"/>
  <c r="SCC6" i="7"/>
  <c r="SCD6" i="7"/>
  <c r="SCE6" i="7"/>
  <c r="SCF6" i="7"/>
  <c r="SCG6" i="7"/>
  <c r="SCH6" i="7"/>
  <c r="SCI6" i="7"/>
  <c r="SCJ6" i="7"/>
  <c r="SCK6" i="7"/>
  <c r="SCL6" i="7"/>
  <c r="SCM6" i="7"/>
  <c r="SCN6" i="7"/>
  <c r="SCO6" i="7"/>
  <c r="SCP6" i="7"/>
  <c r="SCQ6" i="7"/>
  <c r="SCR6" i="7"/>
  <c r="SCS6" i="7"/>
  <c r="SCT6" i="7"/>
  <c r="SCU6" i="7"/>
  <c r="SCV6" i="7"/>
  <c r="SCW6" i="7"/>
  <c r="SCX6" i="7"/>
  <c r="SCY6" i="7"/>
  <c r="SCZ6" i="7"/>
  <c r="SDA6" i="7"/>
  <c r="SDB6" i="7"/>
  <c r="SDC6" i="7"/>
  <c r="SDD6" i="7"/>
  <c r="SDE6" i="7"/>
  <c r="SDF6" i="7"/>
  <c r="SDG6" i="7"/>
  <c r="SDH6" i="7"/>
  <c r="SDI6" i="7"/>
  <c r="SDJ6" i="7"/>
  <c r="SDK6" i="7"/>
  <c r="SDL6" i="7"/>
  <c r="SDM6" i="7"/>
  <c r="SDN6" i="7"/>
  <c r="SDO6" i="7"/>
  <c r="SDP6" i="7"/>
  <c r="SDQ6" i="7"/>
  <c r="SDR6" i="7"/>
  <c r="SDS6" i="7"/>
  <c r="SDT6" i="7"/>
  <c r="SDU6" i="7"/>
  <c r="SDV6" i="7"/>
  <c r="SDW6" i="7"/>
  <c r="SDX6" i="7"/>
  <c r="SDY6" i="7"/>
  <c r="SDZ6" i="7"/>
  <c r="SEA6" i="7"/>
  <c r="SEB6" i="7"/>
  <c r="SEC6" i="7"/>
  <c r="SED6" i="7"/>
  <c r="SEE6" i="7"/>
  <c r="SEF6" i="7"/>
  <c r="SEG6" i="7"/>
  <c r="SEH6" i="7"/>
  <c r="SEI6" i="7"/>
  <c r="SEJ6" i="7"/>
  <c r="SEK6" i="7"/>
  <c r="SEL6" i="7"/>
  <c r="SEM6" i="7"/>
  <c r="SEN6" i="7"/>
  <c r="SEO6" i="7"/>
  <c r="SEP6" i="7"/>
  <c r="SEQ6" i="7"/>
  <c r="SER6" i="7"/>
  <c r="SES6" i="7"/>
  <c r="SET6" i="7"/>
  <c r="SEU6" i="7"/>
  <c r="SEV6" i="7"/>
  <c r="SEW6" i="7"/>
  <c r="SEX6" i="7"/>
  <c r="SEY6" i="7"/>
  <c r="SEZ6" i="7"/>
  <c r="SFA6" i="7"/>
  <c r="SFB6" i="7"/>
  <c r="SFC6" i="7"/>
  <c r="SFD6" i="7"/>
  <c r="SFE6" i="7"/>
  <c r="SFF6" i="7"/>
  <c r="SFG6" i="7"/>
  <c r="SFH6" i="7"/>
  <c r="SFI6" i="7"/>
  <c r="SFJ6" i="7"/>
  <c r="SFK6" i="7"/>
  <c r="SFL6" i="7"/>
  <c r="SFM6" i="7"/>
  <c r="SFN6" i="7"/>
  <c r="SFO6" i="7"/>
  <c r="SFP6" i="7"/>
  <c r="SFQ6" i="7"/>
  <c r="SFR6" i="7"/>
  <c r="SFS6" i="7"/>
  <c r="SFT6" i="7"/>
  <c r="SFU6" i="7"/>
  <c r="SFV6" i="7"/>
  <c r="SFW6" i="7"/>
  <c r="SFX6" i="7"/>
  <c r="SFY6" i="7"/>
  <c r="SFZ6" i="7"/>
  <c r="SGA6" i="7"/>
  <c r="SGB6" i="7"/>
  <c r="SGC6" i="7"/>
  <c r="SGD6" i="7"/>
  <c r="SGE6" i="7"/>
  <c r="SGF6" i="7"/>
  <c r="SGG6" i="7"/>
  <c r="SGH6" i="7"/>
  <c r="SGI6" i="7"/>
  <c r="SGJ6" i="7"/>
  <c r="SGK6" i="7"/>
  <c r="SGL6" i="7"/>
  <c r="SGM6" i="7"/>
  <c r="SGN6" i="7"/>
  <c r="SGO6" i="7"/>
  <c r="SGP6" i="7"/>
  <c r="SGQ6" i="7"/>
  <c r="SGR6" i="7"/>
  <c r="SGS6" i="7"/>
  <c r="SGT6" i="7"/>
  <c r="SGU6" i="7"/>
  <c r="SGV6" i="7"/>
  <c r="SGW6" i="7"/>
  <c r="SGX6" i="7"/>
  <c r="SGY6" i="7"/>
  <c r="SGZ6" i="7"/>
  <c r="SHA6" i="7"/>
  <c r="SHB6" i="7"/>
  <c r="SHC6" i="7"/>
  <c r="SHD6" i="7"/>
  <c r="SHE6" i="7"/>
  <c r="SHF6" i="7"/>
  <c r="SHG6" i="7"/>
  <c r="SHH6" i="7"/>
  <c r="SHI6" i="7"/>
  <c r="SHJ6" i="7"/>
  <c r="SHK6" i="7"/>
  <c r="SHL6" i="7"/>
  <c r="SHM6" i="7"/>
  <c r="SHN6" i="7"/>
  <c r="SHO6" i="7"/>
  <c r="SHP6" i="7"/>
  <c r="SHQ6" i="7"/>
  <c r="SHR6" i="7"/>
  <c r="SHS6" i="7"/>
  <c r="SHT6" i="7"/>
  <c r="SHU6" i="7"/>
  <c r="SHV6" i="7"/>
  <c r="SHW6" i="7"/>
  <c r="SHX6" i="7"/>
  <c r="SHY6" i="7"/>
  <c r="SHZ6" i="7"/>
  <c r="SIA6" i="7"/>
  <c r="SIB6" i="7"/>
  <c r="SIC6" i="7"/>
  <c r="SID6" i="7"/>
  <c r="SIE6" i="7"/>
  <c r="SIF6" i="7"/>
  <c r="SIG6" i="7"/>
  <c r="SIH6" i="7"/>
  <c r="SII6" i="7"/>
  <c r="SIJ6" i="7"/>
  <c r="SIK6" i="7"/>
  <c r="SIL6" i="7"/>
  <c r="SIM6" i="7"/>
  <c r="SIN6" i="7"/>
  <c r="SIO6" i="7"/>
  <c r="SIP6" i="7"/>
  <c r="SIQ6" i="7"/>
  <c r="SIR6" i="7"/>
  <c r="SIS6" i="7"/>
  <c r="SIT6" i="7"/>
  <c r="SIU6" i="7"/>
  <c r="SIV6" i="7"/>
  <c r="SIW6" i="7"/>
  <c r="SIX6" i="7"/>
  <c r="SIY6" i="7"/>
  <c r="SIZ6" i="7"/>
  <c r="SJA6" i="7"/>
  <c r="SJB6" i="7"/>
  <c r="SJC6" i="7"/>
  <c r="SJD6" i="7"/>
  <c r="SJE6" i="7"/>
  <c r="SJF6" i="7"/>
  <c r="SJG6" i="7"/>
  <c r="SJH6" i="7"/>
  <c r="SJI6" i="7"/>
  <c r="SJJ6" i="7"/>
  <c r="SJK6" i="7"/>
  <c r="SJL6" i="7"/>
  <c r="SJM6" i="7"/>
  <c r="SJN6" i="7"/>
  <c r="SJO6" i="7"/>
  <c r="SJP6" i="7"/>
  <c r="SJQ6" i="7"/>
  <c r="SJR6" i="7"/>
  <c r="SJS6" i="7"/>
  <c r="SJT6" i="7"/>
  <c r="SJU6" i="7"/>
  <c r="SJV6" i="7"/>
  <c r="SJW6" i="7"/>
  <c r="SJX6" i="7"/>
  <c r="SJY6" i="7"/>
  <c r="SJZ6" i="7"/>
  <c r="SKA6" i="7"/>
  <c r="SKB6" i="7"/>
  <c r="SKC6" i="7"/>
  <c r="SKD6" i="7"/>
  <c r="SKE6" i="7"/>
  <c r="SKF6" i="7"/>
  <c r="SKG6" i="7"/>
  <c r="SKH6" i="7"/>
  <c r="SKI6" i="7"/>
  <c r="SKJ6" i="7"/>
  <c r="SKK6" i="7"/>
  <c r="SKL6" i="7"/>
  <c r="SKM6" i="7"/>
  <c r="SKN6" i="7"/>
  <c r="SKO6" i="7"/>
  <c r="SKP6" i="7"/>
  <c r="SKQ6" i="7"/>
  <c r="SKR6" i="7"/>
  <c r="SKS6" i="7"/>
  <c r="SKT6" i="7"/>
  <c r="SKU6" i="7"/>
  <c r="SKV6" i="7"/>
  <c r="SKW6" i="7"/>
  <c r="SKX6" i="7"/>
  <c r="SKY6" i="7"/>
  <c r="SKZ6" i="7"/>
  <c r="SLA6" i="7"/>
  <c r="SLB6" i="7"/>
  <c r="SLC6" i="7"/>
  <c r="SLD6" i="7"/>
  <c r="SLE6" i="7"/>
  <c r="SLF6" i="7"/>
  <c r="SLG6" i="7"/>
  <c r="SLH6" i="7"/>
  <c r="SLI6" i="7"/>
  <c r="SLJ6" i="7"/>
  <c r="SLK6" i="7"/>
  <c r="SLL6" i="7"/>
  <c r="SLM6" i="7"/>
  <c r="SLN6" i="7"/>
  <c r="SLO6" i="7"/>
  <c r="SLP6" i="7"/>
  <c r="SLQ6" i="7"/>
  <c r="SLR6" i="7"/>
  <c r="SLS6" i="7"/>
  <c r="SLT6" i="7"/>
  <c r="SLU6" i="7"/>
  <c r="SLV6" i="7"/>
  <c r="SLW6" i="7"/>
  <c r="SLX6" i="7"/>
  <c r="SLY6" i="7"/>
  <c r="SLZ6" i="7"/>
  <c r="SMA6" i="7"/>
  <c r="SMB6" i="7"/>
  <c r="SMC6" i="7"/>
  <c r="SMD6" i="7"/>
  <c r="SME6" i="7"/>
  <c r="SMF6" i="7"/>
  <c r="SMG6" i="7"/>
  <c r="SMH6" i="7"/>
  <c r="SMI6" i="7"/>
  <c r="SMJ6" i="7"/>
  <c r="SMK6" i="7"/>
  <c r="SML6" i="7"/>
  <c r="SMM6" i="7"/>
  <c r="SMN6" i="7"/>
  <c r="SMO6" i="7"/>
  <c r="SMP6" i="7"/>
  <c r="SMQ6" i="7"/>
  <c r="SMR6" i="7"/>
  <c r="SMS6" i="7"/>
  <c r="SMT6" i="7"/>
  <c r="SMU6" i="7"/>
  <c r="SMV6" i="7"/>
  <c r="SMW6" i="7"/>
  <c r="SMX6" i="7"/>
  <c r="SMY6" i="7"/>
  <c r="SMZ6" i="7"/>
  <c r="SNA6" i="7"/>
  <c r="SNB6" i="7"/>
  <c r="SNC6" i="7"/>
  <c r="SND6" i="7"/>
  <c r="SNE6" i="7"/>
  <c r="SNF6" i="7"/>
  <c r="SNG6" i="7"/>
  <c r="SNH6" i="7"/>
  <c r="SNI6" i="7"/>
  <c r="SNJ6" i="7"/>
  <c r="SNK6" i="7"/>
  <c r="SNL6" i="7"/>
  <c r="SNM6" i="7"/>
  <c r="SNN6" i="7"/>
  <c r="SNO6" i="7"/>
  <c r="SNP6" i="7"/>
  <c r="SNQ6" i="7"/>
  <c r="SNR6" i="7"/>
  <c r="SNS6" i="7"/>
  <c r="SNT6" i="7"/>
  <c r="SNU6" i="7"/>
  <c r="SNV6" i="7"/>
  <c r="SNW6" i="7"/>
  <c r="SNX6" i="7"/>
  <c r="SNY6" i="7"/>
  <c r="SNZ6" i="7"/>
  <c r="SOA6" i="7"/>
  <c r="SOB6" i="7"/>
  <c r="SOC6" i="7"/>
  <c r="SOD6" i="7"/>
  <c r="SOE6" i="7"/>
  <c r="SOF6" i="7"/>
  <c r="SOG6" i="7"/>
  <c r="SOH6" i="7"/>
  <c r="SOI6" i="7"/>
  <c r="SOJ6" i="7"/>
  <c r="SOK6" i="7"/>
  <c r="SOL6" i="7"/>
  <c r="SOM6" i="7"/>
  <c r="SON6" i="7"/>
  <c r="SOO6" i="7"/>
  <c r="SOP6" i="7"/>
  <c r="SOQ6" i="7"/>
  <c r="SOR6" i="7"/>
  <c r="SOS6" i="7"/>
  <c r="SOT6" i="7"/>
  <c r="SOU6" i="7"/>
  <c r="SOV6" i="7"/>
  <c r="SOW6" i="7"/>
  <c r="SOX6" i="7"/>
  <c r="SOY6" i="7"/>
  <c r="SOZ6" i="7"/>
  <c r="SPA6" i="7"/>
  <c r="SPB6" i="7"/>
  <c r="SPC6" i="7"/>
  <c r="SPD6" i="7"/>
  <c r="SPE6" i="7"/>
  <c r="SPF6" i="7"/>
  <c r="SPG6" i="7"/>
  <c r="SPH6" i="7"/>
  <c r="SPI6" i="7"/>
  <c r="SPJ6" i="7"/>
  <c r="SPK6" i="7"/>
  <c r="SPL6" i="7"/>
  <c r="SPM6" i="7"/>
  <c r="SPN6" i="7"/>
  <c r="SPO6" i="7"/>
  <c r="SPP6" i="7"/>
  <c r="SPQ6" i="7"/>
  <c r="SPR6" i="7"/>
  <c r="SPS6" i="7"/>
  <c r="SPT6" i="7"/>
  <c r="SPU6" i="7"/>
  <c r="SPV6" i="7"/>
  <c r="SPW6" i="7"/>
  <c r="SPX6" i="7"/>
  <c r="SPY6" i="7"/>
  <c r="SPZ6" i="7"/>
  <c r="SQA6" i="7"/>
  <c r="SQB6" i="7"/>
  <c r="SQC6" i="7"/>
  <c r="SQD6" i="7"/>
  <c r="SQE6" i="7"/>
  <c r="SQF6" i="7"/>
  <c r="SQG6" i="7"/>
  <c r="SQH6" i="7"/>
  <c r="SQI6" i="7"/>
  <c r="SQJ6" i="7"/>
  <c r="SQK6" i="7"/>
  <c r="SQL6" i="7"/>
  <c r="SQM6" i="7"/>
  <c r="SQN6" i="7"/>
  <c r="SQO6" i="7"/>
  <c r="SQP6" i="7"/>
  <c r="SQQ6" i="7"/>
  <c r="SQR6" i="7"/>
  <c r="SQS6" i="7"/>
  <c r="SQT6" i="7"/>
  <c r="SQU6" i="7"/>
  <c r="SQV6" i="7"/>
  <c r="SQW6" i="7"/>
  <c r="SQX6" i="7"/>
  <c r="SQY6" i="7"/>
  <c r="SQZ6" i="7"/>
  <c r="SRA6" i="7"/>
  <c r="SRB6" i="7"/>
  <c r="SRC6" i="7"/>
  <c r="SRD6" i="7"/>
  <c r="SRE6" i="7"/>
  <c r="SRF6" i="7"/>
  <c r="SRG6" i="7"/>
  <c r="SRH6" i="7"/>
  <c r="SRI6" i="7"/>
  <c r="SRJ6" i="7"/>
  <c r="SRK6" i="7"/>
  <c r="SRL6" i="7"/>
  <c r="SRM6" i="7"/>
  <c r="SRN6" i="7"/>
  <c r="SRO6" i="7"/>
  <c r="SRP6" i="7"/>
  <c r="SRQ6" i="7"/>
  <c r="SRR6" i="7"/>
  <c r="SRS6" i="7"/>
  <c r="SRT6" i="7"/>
  <c r="SRU6" i="7"/>
  <c r="SRV6" i="7"/>
  <c r="SRW6" i="7"/>
  <c r="SRX6" i="7"/>
  <c r="SRY6" i="7"/>
  <c r="SRZ6" i="7"/>
  <c r="SSA6" i="7"/>
  <c r="SSB6" i="7"/>
  <c r="SSC6" i="7"/>
  <c r="SSD6" i="7"/>
  <c r="SSE6" i="7"/>
  <c r="SSF6" i="7"/>
  <c r="SSG6" i="7"/>
  <c r="SSH6" i="7"/>
  <c r="SSI6" i="7"/>
  <c r="SSJ6" i="7"/>
  <c r="SSK6" i="7"/>
  <c r="SSL6" i="7"/>
  <c r="SSM6" i="7"/>
  <c r="SSN6" i="7"/>
  <c r="SSO6" i="7"/>
  <c r="SSP6" i="7"/>
  <c r="SSQ6" i="7"/>
  <c r="SSR6" i="7"/>
  <c r="SSS6" i="7"/>
  <c r="SST6" i="7"/>
  <c r="SSU6" i="7"/>
  <c r="SSV6" i="7"/>
  <c r="SSW6" i="7"/>
  <c r="SSX6" i="7"/>
  <c r="SSY6" i="7"/>
  <c r="SSZ6" i="7"/>
  <c r="STA6" i="7"/>
  <c r="STB6" i="7"/>
  <c r="STC6" i="7"/>
  <c r="STD6" i="7"/>
  <c r="STE6" i="7"/>
  <c r="STF6" i="7"/>
  <c r="STG6" i="7"/>
  <c r="STH6" i="7"/>
  <c r="STI6" i="7"/>
  <c r="STJ6" i="7"/>
  <c r="STK6" i="7"/>
  <c r="STL6" i="7"/>
  <c r="STM6" i="7"/>
  <c r="STN6" i="7"/>
  <c r="STO6" i="7"/>
  <c r="STP6" i="7"/>
  <c r="STQ6" i="7"/>
  <c r="STR6" i="7"/>
  <c r="STS6" i="7"/>
  <c r="STT6" i="7"/>
  <c r="STU6" i="7"/>
  <c r="STV6" i="7"/>
  <c r="STW6" i="7"/>
  <c r="STX6" i="7"/>
  <c r="STY6" i="7"/>
  <c r="STZ6" i="7"/>
  <c r="SUA6" i="7"/>
  <c r="SUB6" i="7"/>
  <c r="SUC6" i="7"/>
  <c r="SUD6" i="7"/>
  <c r="SUE6" i="7"/>
  <c r="SUF6" i="7"/>
  <c r="SUG6" i="7"/>
  <c r="SUH6" i="7"/>
  <c r="SUI6" i="7"/>
  <c r="SUJ6" i="7"/>
  <c r="SUK6" i="7"/>
  <c r="SUL6" i="7"/>
  <c r="SUM6" i="7"/>
  <c r="SUN6" i="7"/>
  <c r="SUO6" i="7"/>
  <c r="SUP6" i="7"/>
  <c r="SUQ6" i="7"/>
  <c r="SUR6" i="7"/>
  <c r="SUS6" i="7"/>
  <c r="SUT6" i="7"/>
  <c r="SUU6" i="7"/>
  <c r="SUV6" i="7"/>
  <c r="SUW6" i="7"/>
  <c r="SUX6" i="7"/>
  <c r="SUY6" i="7"/>
  <c r="SUZ6" i="7"/>
  <c r="SVA6" i="7"/>
  <c r="SVB6" i="7"/>
  <c r="SVC6" i="7"/>
  <c r="SVD6" i="7"/>
  <c r="SVE6" i="7"/>
  <c r="SVF6" i="7"/>
  <c r="SVG6" i="7"/>
  <c r="SVH6" i="7"/>
  <c r="SVI6" i="7"/>
  <c r="SVJ6" i="7"/>
  <c r="SVK6" i="7"/>
  <c r="SVL6" i="7"/>
  <c r="SVM6" i="7"/>
  <c r="SVN6" i="7"/>
  <c r="SVO6" i="7"/>
  <c r="SVP6" i="7"/>
  <c r="SVQ6" i="7"/>
  <c r="SVR6" i="7"/>
  <c r="SVS6" i="7"/>
  <c r="SVT6" i="7"/>
  <c r="SVU6" i="7"/>
  <c r="SVV6" i="7"/>
  <c r="SVW6" i="7"/>
  <c r="SVX6" i="7"/>
  <c r="SVY6" i="7"/>
  <c r="SVZ6" i="7"/>
  <c r="SWA6" i="7"/>
  <c r="SWB6" i="7"/>
  <c r="SWC6" i="7"/>
  <c r="SWD6" i="7"/>
  <c r="SWE6" i="7"/>
  <c r="SWF6" i="7"/>
  <c r="SWG6" i="7"/>
  <c r="SWH6" i="7"/>
  <c r="SWI6" i="7"/>
  <c r="SWJ6" i="7"/>
  <c r="SWK6" i="7"/>
  <c r="SWL6" i="7"/>
  <c r="SWM6" i="7"/>
  <c r="SWN6" i="7"/>
  <c r="SWO6" i="7"/>
  <c r="SWP6" i="7"/>
  <c r="SWQ6" i="7"/>
  <c r="SWR6" i="7"/>
  <c r="SWS6" i="7"/>
  <c r="SWT6" i="7"/>
  <c r="SWU6" i="7"/>
  <c r="SWV6" i="7"/>
  <c r="SWW6" i="7"/>
  <c r="SWX6" i="7"/>
  <c r="SWY6" i="7"/>
  <c r="SWZ6" i="7"/>
  <c r="SXA6" i="7"/>
  <c r="SXB6" i="7"/>
  <c r="SXC6" i="7"/>
  <c r="SXD6" i="7"/>
  <c r="SXE6" i="7"/>
  <c r="SXF6" i="7"/>
  <c r="SXG6" i="7"/>
  <c r="SXH6" i="7"/>
  <c r="SXI6" i="7"/>
  <c r="SXJ6" i="7"/>
  <c r="SXK6" i="7"/>
  <c r="SXL6" i="7"/>
  <c r="SXM6" i="7"/>
  <c r="SXN6" i="7"/>
  <c r="SXO6" i="7"/>
  <c r="SXP6" i="7"/>
  <c r="SXQ6" i="7"/>
  <c r="SXR6" i="7"/>
  <c r="SXS6" i="7"/>
  <c r="SXT6" i="7"/>
  <c r="SXU6" i="7"/>
  <c r="SXV6" i="7"/>
  <c r="SXW6" i="7"/>
  <c r="SXX6" i="7"/>
  <c r="SXY6" i="7"/>
  <c r="SXZ6" i="7"/>
  <c r="SYA6" i="7"/>
  <c r="SYB6" i="7"/>
  <c r="SYC6" i="7"/>
  <c r="SYD6" i="7"/>
  <c r="SYE6" i="7"/>
  <c r="SYF6" i="7"/>
  <c r="SYG6" i="7"/>
  <c r="SYH6" i="7"/>
  <c r="SYI6" i="7"/>
  <c r="SYJ6" i="7"/>
  <c r="SYK6" i="7"/>
  <c r="SYL6" i="7"/>
  <c r="SYM6" i="7"/>
  <c r="SYN6" i="7"/>
  <c r="SYO6" i="7"/>
  <c r="SYP6" i="7"/>
  <c r="SYQ6" i="7"/>
  <c r="SYR6" i="7"/>
  <c r="SYS6" i="7"/>
  <c r="SYT6" i="7"/>
  <c r="SYU6" i="7"/>
  <c r="SYV6" i="7"/>
  <c r="SYW6" i="7"/>
  <c r="SYX6" i="7"/>
  <c r="SYY6" i="7"/>
  <c r="SYZ6" i="7"/>
  <c r="SZA6" i="7"/>
  <c r="SZB6" i="7"/>
  <c r="SZC6" i="7"/>
  <c r="SZD6" i="7"/>
  <c r="SZE6" i="7"/>
  <c r="SZF6" i="7"/>
  <c r="SZG6" i="7"/>
  <c r="SZH6" i="7"/>
  <c r="SZI6" i="7"/>
  <c r="SZJ6" i="7"/>
  <c r="SZK6" i="7"/>
  <c r="SZL6" i="7"/>
  <c r="SZM6" i="7"/>
  <c r="SZN6" i="7"/>
  <c r="SZO6" i="7"/>
  <c r="SZP6" i="7"/>
  <c r="SZQ6" i="7"/>
  <c r="SZR6" i="7"/>
  <c r="SZS6" i="7"/>
  <c r="SZT6" i="7"/>
  <c r="SZU6" i="7"/>
  <c r="SZV6" i="7"/>
  <c r="SZW6" i="7"/>
  <c r="SZX6" i="7"/>
  <c r="SZY6" i="7"/>
  <c r="SZZ6" i="7"/>
  <c r="TAA6" i="7"/>
  <c r="TAB6" i="7"/>
  <c r="TAC6" i="7"/>
  <c r="TAD6" i="7"/>
  <c r="TAE6" i="7"/>
  <c r="TAF6" i="7"/>
  <c r="TAG6" i="7"/>
  <c r="TAH6" i="7"/>
  <c r="TAI6" i="7"/>
  <c r="TAJ6" i="7"/>
  <c r="TAK6" i="7"/>
  <c r="TAL6" i="7"/>
  <c r="TAM6" i="7"/>
  <c r="TAN6" i="7"/>
  <c r="TAO6" i="7"/>
  <c r="TAP6" i="7"/>
  <c r="TAQ6" i="7"/>
  <c r="TAR6" i="7"/>
  <c r="TAS6" i="7"/>
  <c r="TAT6" i="7"/>
  <c r="TAU6" i="7"/>
  <c r="TAV6" i="7"/>
  <c r="TAW6" i="7"/>
  <c r="TAX6" i="7"/>
  <c r="TAY6" i="7"/>
  <c r="TAZ6" i="7"/>
  <c r="TBA6" i="7"/>
  <c r="TBB6" i="7"/>
  <c r="TBC6" i="7"/>
  <c r="TBD6" i="7"/>
  <c r="TBE6" i="7"/>
  <c r="TBF6" i="7"/>
  <c r="TBG6" i="7"/>
  <c r="TBH6" i="7"/>
  <c r="TBI6" i="7"/>
  <c r="TBJ6" i="7"/>
  <c r="TBK6" i="7"/>
  <c r="TBL6" i="7"/>
  <c r="TBM6" i="7"/>
  <c r="TBN6" i="7"/>
  <c r="TBO6" i="7"/>
  <c r="TBP6" i="7"/>
  <c r="TBQ6" i="7"/>
  <c r="TBR6" i="7"/>
  <c r="TBS6" i="7"/>
  <c r="TBT6" i="7"/>
  <c r="TBU6" i="7"/>
  <c r="TBV6" i="7"/>
  <c r="TBW6" i="7"/>
  <c r="TBX6" i="7"/>
  <c r="TBY6" i="7"/>
  <c r="TBZ6" i="7"/>
  <c r="TCA6" i="7"/>
  <c r="TCB6" i="7"/>
  <c r="TCC6" i="7"/>
  <c r="TCD6" i="7"/>
  <c r="TCE6" i="7"/>
  <c r="TCF6" i="7"/>
  <c r="TCG6" i="7"/>
  <c r="TCH6" i="7"/>
  <c r="TCI6" i="7"/>
  <c r="TCJ6" i="7"/>
  <c r="TCK6" i="7"/>
  <c r="TCL6" i="7"/>
  <c r="TCM6" i="7"/>
  <c r="TCN6" i="7"/>
  <c r="TCO6" i="7"/>
  <c r="TCP6" i="7"/>
  <c r="TCQ6" i="7"/>
  <c r="TCR6" i="7"/>
  <c r="TCS6" i="7"/>
  <c r="TCT6" i="7"/>
  <c r="TCU6" i="7"/>
  <c r="TCV6" i="7"/>
  <c r="TCW6" i="7"/>
  <c r="TCX6" i="7"/>
  <c r="TCY6" i="7"/>
  <c r="TCZ6" i="7"/>
  <c r="TDA6" i="7"/>
  <c r="TDB6" i="7"/>
  <c r="TDC6" i="7"/>
  <c r="TDD6" i="7"/>
  <c r="TDE6" i="7"/>
  <c r="TDF6" i="7"/>
  <c r="TDG6" i="7"/>
  <c r="TDH6" i="7"/>
  <c r="TDI6" i="7"/>
  <c r="TDJ6" i="7"/>
  <c r="TDK6" i="7"/>
  <c r="TDL6" i="7"/>
  <c r="TDM6" i="7"/>
  <c r="TDN6" i="7"/>
  <c r="TDO6" i="7"/>
  <c r="TDP6" i="7"/>
  <c r="TDQ6" i="7"/>
  <c r="TDR6" i="7"/>
  <c r="TDS6" i="7"/>
  <c r="TDT6" i="7"/>
  <c r="TDU6" i="7"/>
  <c r="TDV6" i="7"/>
  <c r="TDW6" i="7"/>
  <c r="TDX6" i="7"/>
  <c r="TDY6" i="7"/>
  <c r="TDZ6" i="7"/>
  <c r="TEA6" i="7"/>
  <c r="TEB6" i="7"/>
  <c r="TEC6" i="7"/>
  <c r="TED6" i="7"/>
  <c r="TEE6" i="7"/>
  <c r="TEF6" i="7"/>
  <c r="TEG6" i="7"/>
  <c r="TEH6" i="7"/>
  <c r="TEI6" i="7"/>
  <c r="TEJ6" i="7"/>
  <c r="TEK6" i="7"/>
  <c r="TEL6" i="7"/>
  <c r="TEM6" i="7"/>
  <c r="TEN6" i="7"/>
  <c r="TEO6" i="7"/>
  <c r="TEP6" i="7"/>
  <c r="TEQ6" i="7"/>
  <c r="TER6" i="7"/>
  <c r="TES6" i="7"/>
  <c r="TET6" i="7"/>
  <c r="TEU6" i="7"/>
  <c r="TEV6" i="7"/>
  <c r="TEW6" i="7"/>
  <c r="TEX6" i="7"/>
  <c r="TEY6" i="7"/>
  <c r="TEZ6" i="7"/>
  <c r="TFA6" i="7"/>
  <c r="TFB6" i="7"/>
  <c r="TFC6" i="7"/>
  <c r="TFD6" i="7"/>
  <c r="TFE6" i="7"/>
  <c r="TFF6" i="7"/>
  <c r="TFG6" i="7"/>
  <c r="TFH6" i="7"/>
  <c r="TFI6" i="7"/>
  <c r="TFJ6" i="7"/>
  <c r="TFK6" i="7"/>
  <c r="TFL6" i="7"/>
  <c r="TFM6" i="7"/>
  <c r="TFN6" i="7"/>
  <c r="TFO6" i="7"/>
  <c r="TFP6" i="7"/>
  <c r="TFQ6" i="7"/>
  <c r="TFR6" i="7"/>
  <c r="TFS6" i="7"/>
  <c r="TFT6" i="7"/>
  <c r="TFU6" i="7"/>
  <c r="TFV6" i="7"/>
  <c r="TFW6" i="7"/>
  <c r="TFX6" i="7"/>
  <c r="TFY6" i="7"/>
  <c r="TFZ6" i="7"/>
  <c r="TGA6" i="7"/>
  <c r="TGB6" i="7"/>
  <c r="TGC6" i="7"/>
  <c r="TGD6" i="7"/>
  <c r="TGE6" i="7"/>
  <c r="TGF6" i="7"/>
  <c r="TGG6" i="7"/>
  <c r="TGH6" i="7"/>
  <c r="TGI6" i="7"/>
  <c r="TGJ6" i="7"/>
  <c r="TGK6" i="7"/>
  <c r="TGL6" i="7"/>
  <c r="TGM6" i="7"/>
  <c r="TGN6" i="7"/>
  <c r="TGO6" i="7"/>
  <c r="TGP6" i="7"/>
  <c r="TGQ6" i="7"/>
  <c r="TGR6" i="7"/>
  <c r="TGS6" i="7"/>
  <c r="TGT6" i="7"/>
  <c r="TGU6" i="7"/>
  <c r="TGV6" i="7"/>
  <c r="TGW6" i="7"/>
  <c r="TGX6" i="7"/>
  <c r="TGY6" i="7"/>
  <c r="TGZ6" i="7"/>
  <c r="THA6" i="7"/>
  <c r="THB6" i="7"/>
  <c r="THC6" i="7"/>
  <c r="THD6" i="7"/>
  <c r="THE6" i="7"/>
  <c r="THF6" i="7"/>
  <c r="THG6" i="7"/>
  <c r="THH6" i="7"/>
  <c r="THI6" i="7"/>
  <c r="THJ6" i="7"/>
  <c r="THK6" i="7"/>
  <c r="THL6" i="7"/>
  <c r="THM6" i="7"/>
  <c r="THN6" i="7"/>
  <c r="THO6" i="7"/>
  <c r="THP6" i="7"/>
  <c r="THQ6" i="7"/>
  <c r="THR6" i="7"/>
  <c r="THS6" i="7"/>
  <c r="THT6" i="7"/>
  <c r="THU6" i="7"/>
  <c r="THV6" i="7"/>
  <c r="THW6" i="7"/>
  <c r="THX6" i="7"/>
  <c r="THY6" i="7"/>
  <c r="THZ6" i="7"/>
  <c r="TIA6" i="7"/>
  <c r="TIB6" i="7"/>
  <c r="TIC6" i="7"/>
  <c r="TID6" i="7"/>
  <c r="TIE6" i="7"/>
  <c r="TIF6" i="7"/>
  <c r="TIG6" i="7"/>
  <c r="TIH6" i="7"/>
  <c r="TII6" i="7"/>
  <c r="TIJ6" i="7"/>
  <c r="TIK6" i="7"/>
  <c r="TIL6" i="7"/>
  <c r="TIM6" i="7"/>
  <c r="TIN6" i="7"/>
  <c r="TIO6" i="7"/>
  <c r="TIP6" i="7"/>
  <c r="TIQ6" i="7"/>
  <c r="TIR6" i="7"/>
  <c r="TIS6" i="7"/>
  <c r="TIT6" i="7"/>
  <c r="TIU6" i="7"/>
  <c r="TIV6" i="7"/>
  <c r="TIW6" i="7"/>
  <c r="TIX6" i="7"/>
  <c r="TIY6" i="7"/>
  <c r="TIZ6" i="7"/>
  <c r="TJA6" i="7"/>
  <c r="TJB6" i="7"/>
  <c r="TJC6" i="7"/>
  <c r="TJD6" i="7"/>
  <c r="TJE6" i="7"/>
  <c r="TJF6" i="7"/>
  <c r="TJG6" i="7"/>
  <c r="TJH6" i="7"/>
  <c r="TJI6" i="7"/>
  <c r="TJJ6" i="7"/>
  <c r="TJK6" i="7"/>
  <c r="TJL6" i="7"/>
  <c r="TJM6" i="7"/>
  <c r="TJN6" i="7"/>
  <c r="TJO6" i="7"/>
  <c r="TJP6" i="7"/>
  <c r="TJQ6" i="7"/>
  <c r="TJR6" i="7"/>
  <c r="TJS6" i="7"/>
  <c r="TJT6" i="7"/>
  <c r="TJU6" i="7"/>
  <c r="TJV6" i="7"/>
  <c r="TJW6" i="7"/>
  <c r="TJX6" i="7"/>
  <c r="TJY6" i="7"/>
  <c r="TJZ6" i="7"/>
  <c r="TKA6" i="7"/>
  <c r="TKB6" i="7"/>
  <c r="TKC6" i="7"/>
  <c r="TKD6" i="7"/>
  <c r="TKE6" i="7"/>
  <c r="TKF6" i="7"/>
  <c r="TKG6" i="7"/>
  <c r="TKH6" i="7"/>
  <c r="TKI6" i="7"/>
  <c r="TKJ6" i="7"/>
  <c r="TKK6" i="7"/>
  <c r="TKL6" i="7"/>
  <c r="TKM6" i="7"/>
  <c r="TKN6" i="7"/>
  <c r="TKO6" i="7"/>
  <c r="TKP6" i="7"/>
  <c r="TKQ6" i="7"/>
  <c r="TKR6" i="7"/>
  <c r="TKS6" i="7"/>
  <c r="TKT6" i="7"/>
  <c r="TKU6" i="7"/>
  <c r="TKV6" i="7"/>
  <c r="TKW6" i="7"/>
  <c r="TKX6" i="7"/>
  <c r="TKY6" i="7"/>
  <c r="TKZ6" i="7"/>
  <c r="TLA6" i="7"/>
  <c r="TLB6" i="7"/>
  <c r="TLC6" i="7"/>
  <c r="TLD6" i="7"/>
  <c r="TLE6" i="7"/>
  <c r="TLF6" i="7"/>
  <c r="TLG6" i="7"/>
  <c r="TLH6" i="7"/>
  <c r="TLI6" i="7"/>
  <c r="TLJ6" i="7"/>
  <c r="TLK6" i="7"/>
  <c r="TLL6" i="7"/>
  <c r="TLM6" i="7"/>
  <c r="TLN6" i="7"/>
  <c r="TLO6" i="7"/>
  <c r="TLP6" i="7"/>
  <c r="TLQ6" i="7"/>
  <c r="TLR6" i="7"/>
  <c r="TLS6" i="7"/>
  <c r="TLT6" i="7"/>
  <c r="TLU6" i="7"/>
  <c r="TLV6" i="7"/>
  <c r="TLW6" i="7"/>
  <c r="TLX6" i="7"/>
  <c r="TLY6" i="7"/>
  <c r="TLZ6" i="7"/>
  <c r="TMA6" i="7"/>
  <c r="TMB6" i="7"/>
  <c r="TMC6" i="7"/>
  <c r="TMD6" i="7"/>
  <c r="TME6" i="7"/>
  <c r="TMF6" i="7"/>
  <c r="TMG6" i="7"/>
  <c r="TMH6" i="7"/>
  <c r="TMI6" i="7"/>
  <c r="TMJ6" i="7"/>
  <c r="TMK6" i="7"/>
  <c r="TML6" i="7"/>
  <c r="TMM6" i="7"/>
  <c r="TMN6" i="7"/>
  <c r="TMO6" i="7"/>
  <c r="TMP6" i="7"/>
  <c r="TMQ6" i="7"/>
  <c r="TMR6" i="7"/>
  <c r="TMS6" i="7"/>
  <c r="TMT6" i="7"/>
  <c r="TMU6" i="7"/>
  <c r="TMV6" i="7"/>
  <c r="TMW6" i="7"/>
  <c r="TMX6" i="7"/>
  <c r="TMY6" i="7"/>
  <c r="TMZ6" i="7"/>
  <c r="TNA6" i="7"/>
  <c r="TNB6" i="7"/>
  <c r="TNC6" i="7"/>
  <c r="TND6" i="7"/>
  <c r="TNE6" i="7"/>
  <c r="TNF6" i="7"/>
  <c r="TNG6" i="7"/>
  <c r="TNH6" i="7"/>
  <c r="TNI6" i="7"/>
  <c r="TNJ6" i="7"/>
  <c r="TNK6" i="7"/>
  <c r="TNL6" i="7"/>
  <c r="TNM6" i="7"/>
  <c r="TNN6" i="7"/>
  <c r="TNO6" i="7"/>
  <c r="TNP6" i="7"/>
  <c r="TNQ6" i="7"/>
  <c r="TNR6" i="7"/>
  <c r="TNS6" i="7"/>
  <c r="TNT6" i="7"/>
  <c r="TNU6" i="7"/>
  <c r="TNV6" i="7"/>
  <c r="TNW6" i="7"/>
  <c r="TNX6" i="7"/>
  <c r="TNY6" i="7"/>
  <c r="TNZ6" i="7"/>
  <c r="TOA6" i="7"/>
  <c r="TOB6" i="7"/>
  <c r="TOC6" i="7"/>
  <c r="TOD6" i="7"/>
  <c r="TOE6" i="7"/>
  <c r="TOF6" i="7"/>
  <c r="TOG6" i="7"/>
  <c r="TOH6" i="7"/>
  <c r="TOI6" i="7"/>
  <c r="TOJ6" i="7"/>
  <c r="TOK6" i="7"/>
  <c r="TOL6" i="7"/>
  <c r="TOM6" i="7"/>
  <c r="TON6" i="7"/>
  <c r="TOO6" i="7"/>
  <c r="TOP6" i="7"/>
  <c r="TOQ6" i="7"/>
  <c r="TOR6" i="7"/>
  <c r="TOS6" i="7"/>
  <c r="TOT6" i="7"/>
  <c r="TOU6" i="7"/>
  <c r="TOV6" i="7"/>
  <c r="TOW6" i="7"/>
  <c r="TOX6" i="7"/>
  <c r="TOY6" i="7"/>
  <c r="TOZ6" i="7"/>
  <c r="TPA6" i="7"/>
  <c r="TPB6" i="7"/>
  <c r="TPC6" i="7"/>
  <c r="TPD6" i="7"/>
  <c r="TPE6" i="7"/>
  <c r="TPF6" i="7"/>
  <c r="TPG6" i="7"/>
  <c r="TPH6" i="7"/>
  <c r="TPI6" i="7"/>
  <c r="TPJ6" i="7"/>
  <c r="TPK6" i="7"/>
  <c r="TPL6" i="7"/>
  <c r="TPM6" i="7"/>
  <c r="TPN6" i="7"/>
  <c r="TPO6" i="7"/>
  <c r="TPP6" i="7"/>
  <c r="TPQ6" i="7"/>
  <c r="TPR6" i="7"/>
  <c r="TPS6" i="7"/>
  <c r="TPT6" i="7"/>
  <c r="TPU6" i="7"/>
  <c r="TPV6" i="7"/>
  <c r="TPW6" i="7"/>
  <c r="TPX6" i="7"/>
  <c r="TPY6" i="7"/>
  <c r="TPZ6" i="7"/>
  <c r="TQA6" i="7"/>
  <c r="TQB6" i="7"/>
  <c r="TQC6" i="7"/>
  <c r="TQD6" i="7"/>
  <c r="TQE6" i="7"/>
  <c r="TQF6" i="7"/>
  <c r="TQG6" i="7"/>
  <c r="TQH6" i="7"/>
  <c r="TQI6" i="7"/>
  <c r="TQJ6" i="7"/>
  <c r="TQK6" i="7"/>
  <c r="TQL6" i="7"/>
  <c r="TQM6" i="7"/>
  <c r="TQN6" i="7"/>
  <c r="TQO6" i="7"/>
  <c r="TQP6" i="7"/>
  <c r="TQQ6" i="7"/>
  <c r="TQR6" i="7"/>
  <c r="TQS6" i="7"/>
  <c r="TQT6" i="7"/>
  <c r="TQU6" i="7"/>
  <c r="TQV6" i="7"/>
  <c r="TQW6" i="7"/>
  <c r="TQX6" i="7"/>
  <c r="TQY6" i="7"/>
  <c r="TQZ6" i="7"/>
  <c r="TRA6" i="7"/>
  <c r="TRB6" i="7"/>
  <c r="TRC6" i="7"/>
  <c r="TRD6" i="7"/>
  <c r="TRE6" i="7"/>
  <c r="TRF6" i="7"/>
  <c r="TRG6" i="7"/>
  <c r="TRH6" i="7"/>
  <c r="TRI6" i="7"/>
  <c r="TRJ6" i="7"/>
  <c r="TRK6" i="7"/>
  <c r="TRL6" i="7"/>
  <c r="TRM6" i="7"/>
  <c r="TRN6" i="7"/>
  <c r="TRO6" i="7"/>
  <c r="TRP6" i="7"/>
  <c r="TRQ6" i="7"/>
  <c r="TRR6" i="7"/>
  <c r="TRS6" i="7"/>
  <c r="TRT6" i="7"/>
  <c r="TRU6" i="7"/>
  <c r="TRV6" i="7"/>
  <c r="TRW6" i="7"/>
  <c r="TRX6" i="7"/>
  <c r="TRY6" i="7"/>
  <c r="TRZ6" i="7"/>
  <c r="TSA6" i="7"/>
  <c r="TSB6" i="7"/>
  <c r="TSC6" i="7"/>
  <c r="TSD6" i="7"/>
  <c r="TSE6" i="7"/>
  <c r="TSF6" i="7"/>
  <c r="TSG6" i="7"/>
  <c r="TSH6" i="7"/>
  <c r="TSI6" i="7"/>
  <c r="TSJ6" i="7"/>
  <c r="TSK6" i="7"/>
  <c r="TSL6" i="7"/>
  <c r="TSM6" i="7"/>
  <c r="TSN6" i="7"/>
  <c r="TSO6" i="7"/>
  <c r="TSP6" i="7"/>
  <c r="TSQ6" i="7"/>
  <c r="TSR6" i="7"/>
  <c r="TSS6" i="7"/>
  <c r="TST6" i="7"/>
  <c r="TSU6" i="7"/>
  <c r="TSV6" i="7"/>
  <c r="TSW6" i="7"/>
  <c r="TSX6" i="7"/>
  <c r="TSY6" i="7"/>
  <c r="TSZ6" i="7"/>
  <c r="TTA6" i="7"/>
  <c r="TTB6" i="7"/>
  <c r="TTC6" i="7"/>
  <c r="TTD6" i="7"/>
  <c r="TTE6" i="7"/>
  <c r="TTF6" i="7"/>
  <c r="TTG6" i="7"/>
  <c r="TTH6" i="7"/>
  <c r="TTI6" i="7"/>
  <c r="TTJ6" i="7"/>
  <c r="TTK6" i="7"/>
  <c r="TTL6" i="7"/>
  <c r="TTM6" i="7"/>
  <c r="TTN6" i="7"/>
  <c r="TTO6" i="7"/>
  <c r="TTP6" i="7"/>
  <c r="TTQ6" i="7"/>
  <c r="TTR6" i="7"/>
  <c r="TTS6" i="7"/>
  <c r="TTT6" i="7"/>
  <c r="TTU6" i="7"/>
  <c r="TTV6" i="7"/>
  <c r="TTW6" i="7"/>
  <c r="TTX6" i="7"/>
  <c r="TTY6" i="7"/>
  <c r="TTZ6" i="7"/>
  <c r="TUA6" i="7"/>
  <c r="TUB6" i="7"/>
  <c r="TUC6" i="7"/>
  <c r="TUD6" i="7"/>
  <c r="TUE6" i="7"/>
  <c r="TUF6" i="7"/>
  <c r="TUG6" i="7"/>
  <c r="TUH6" i="7"/>
  <c r="TUI6" i="7"/>
  <c r="TUJ6" i="7"/>
  <c r="TUK6" i="7"/>
  <c r="TUL6" i="7"/>
  <c r="TUM6" i="7"/>
  <c r="TUN6" i="7"/>
  <c r="TUO6" i="7"/>
  <c r="TUP6" i="7"/>
  <c r="TUQ6" i="7"/>
  <c r="TUR6" i="7"/>
  <c r="TUS6" i="7"/>
  <c r="TUT6" i="7"/>
  <c r="TUU6" i="7"/>
  <c r="TUV6" i="7"/>
  <c r="TUW6" i="7"/>
  <c r="TUX6" i="7"/>
  <c r="TUY6" i="7"/>
  <c r="TUZ6" i="7"/>
  <c r="TVA6" i="7"/>
  <c r="TVB6" i="7"/>
  <c r="TVC6" i="7"/>
  <c r="TVD6" i="7"/>
  <c r="TVE6" i="7"/>
  <c r="TVF6" i="7"/>
  <c r="TVG6" i="7"/>
  <c r="TVH6" i="7"/>
  <c r="TVI6" i="7"/>
  <c r="TVJ6" i="7"/>
  <c r="TVK6" i="7"/>
  <c r="TVL6" i="7"/>
  <c r="TVM6" i="7"/>
  <c r="TVN6" i="7"/>
  <c r="TVO6" i="7"/>
  <c r="TVP6" i="7"/>
  <c r="TVQ6" i="7"/>
  <c r="TVR6" i="7"/>
  <c r="TVS6" i="7"/>
  <c r="TVT6" i="7"/>
  <c r="TVU6" i="7"/>
  <c r="TVV6" i="7"/>
  <c r="TVW6" i="7"/>
  <c r="TVX6" i="7"/>
  <c r="TVY6" i="7"/>
  <c r="TVZ6" i="7"/>
  <c r="TWA6" i="7"/>
  <c r="TWB6" i="7"/>
  <c r="TWC6" i="7"/>
  <c r="TWD6" i="7"/>
  <c r="TWE6" i="7"/>
  <c r="TWF6" i="7"/>
  <c r="TWG6" i="7"/>
  <c r="TWH6" i="7"/>
  <c r="TWI6" i="7"/>
  <c r="TWJ6" i="7"/>
  <c r="TWK6" i="7"/>
  <c r="TWL6" i="7"/>
  <c r="TWM6" i="7"/>
  <c r="TWN6" i="7"/>
  <c r="TWO6" i="7"/>
  <c r="TWP6" i="7"/>
  <c r="TWQ6" i="7"/>
  <c r="TWR6" i="7"/>
  <c r="TWS6" i="7"/>
  <c r="TWT6" i="7"/>
  <c r="TWU6" i="7"/>
  <c r="TWV6" i="7"/>
  <c r="TWW6" i="7"/>
  <c r="TWX6" i="7"/>
  <c r="TWY6" i="7"/>
  <c r="TWZ6" i="7"/>
  <c r="TXA6" i="7"/>
  <c r="TXB6" i="7"/>
  <c r="TXC6" i="7"/>
  <c r="TXD6" i="7"/>
  <c r="TXE6" i="7"/>
  <c r="TXF6" i="7"/>
  <c r="TXG6" i="7"/>
  <c r="TXH6" i="7"/>
  <c r="TXI6" i="7"/>
  <c r="TXJ6" i="7"/>
  <c r="TXK6" i="7"/>
  <c r="TXL6" i="7"/>
  <c r="TXM6" i="7"/>
  <c r="TXN6" i="7"/>
  <c r="TXO6" i="7"/>
  <c r="TXP6" i="7"/>
  <c r="TXQ6" i="7"/>
  <c r="TXR6" i="7"/>
  <c r="TXS6" i="7"/>
  <c r="TXT6" i="7"/>
  <c r="TXU6" i="7"/>
  <c r="TXV6" i="7"/>
  <c r="TXW6" i="7"/>
  <c r="TXX6" i="7"/>
  <c r="TXY6" i="7"/>
  <c r="TXZ6" i="7"/>
  <c r="TYA6" i="7"/>
  <c r="TYB6" i="7"/>
  <c r="TYC6" i="7"/>
  <c r="TYD6" i="7"/>
  <c r="TYE6" i="7"/>
  <c r="TYF6" i="7"/>
  <c r="TYG6" i="7"/>
  <c r="TYH6" i="7"/>
  <c r="TYI6" i="7"/>
  <c r="TYJ6" i="7"/>
  <c r="TYK6" i="7"/>
  <c r="TYL6" i="7"/>
  <c r="TYM6" i="7"/>
  <c r="TYN6" i="7"/>
  <c r="TYO6" i="7"/>
  <c r="TYP6" i="7"/>
  <c r="TYQ6" i="7"/>
  <c r="TYR6" i="7"/>
  <c r="TYS6" i="7"/>
  <c r="TYT6" i="7"/>
  <c r="TYU6" i="7"/>
  <c r="TYV6" i="7"/>
  <c r="TYW6" i="7"/>
  <c r="TYX6" i="7"/>
  <c r="TYY6" i="7"/>
  <c r="TYZ6" i="7"/>
  <c r="TZA6" i="7"/>
  <c r="TZB6" i="7"/>
  <c r="TZC6" i="7"/>
  <c r="TZD6" i="7"/>
  <c r="TZE6" i="7"/>
  <c r="TZF6" i="7"/>
  <c r="TZG6" i="7"/>
  <c r="TZH6" i="7"/>
  <c r="TZI6" i="7"/>
  <c r="TZJ6" i="7"/>
  <c r="TZK6" i="7"/>
  <c r="TZL6" i="7"/>
  <c r="TZM6" i="7"/>
  <c r="TZN6" i="7"/>
  <c r="TZO6" i="7"/>
  <c r="TZP6" i="7"/>
  <c r="TZQ6" i="7"/>
  <c r="TZR6" i="7"/>
  <c r="TZS6" i="7"/>
  <c r="TZT6" i="7"/>
  <c r="TZU6" i="7"/>
  <c r="TZV6" i="7"/>
  <c r="TZW6" i="7"/>
  <c r="TZX6" i="7"/>
  <c r="TZY6" i="7"/>
  <c r="TZZ6" i="7"/>
  <c r="UAA6" i="7"/>
  <c r="UAB6" i="7"/>
  <c r="UAC6" i="7"/>
  <c r="UAD6" i="7"/>
  <c r="UAE6" i="7"/>
  <c r="UAF6" i="7"/>
  <c r="UAG6" i="7"/>
  <c r="UAH6" i="7"/>
  <c r="UAI6" i="7"/>
  <c r="UAJ6" i="7"/>
  <c r="UAK6" i="7"/>
  <c r="UAL6" i="7"/>
  <c r="UAM6" i="7"/>
  <c r="UAN6" i="7"/>
  <c r="UAO6" i="7"/>
  <c r="UAP6" i="7"/>
  <c r="UAQ6" i="7"/>
  <c r="UAR6" i="7"/>
  <c r="UAS6" i="7"/>
  <c r="UAT6" i="7"/>
  <c r="UAU6" i="7"/>
  <c r="UAV6" i="7"/>
  <c r="UAW6" i="7"/>
  <c r="UAX6" i="7"/>
  <c r="UAY6" i="7"/>
  <c r="UAZ6" i="7"/>
  <c r="UBA6" i="7"/>
  <c r="UBB6" i="7"/>
  <c r="UBC6" i="7"/>
  <c r="UBD6" i="7"/>
  <c r="UBE6" i="7"/>
  <c r="UBF6" i="7"/>
  <c r="UBG6" i="7"/>
  <c r="UBH6" i="7"/>
  <c r="UBI6" i="7"/>
  <c r="UBJ6" i="7"/>
  <c r="UBK6" i="7"/>
  <c r="UBL6" i="7"/>
  <c r="UBM6" i="7"/>
  <c r="UBN6" i="7"/>
  <c r="UBO6" i="7"/>
  <c r="UBP6" i="7"/>
  <c r="UBQ6" i="7"/>
  <c r="UBR6" i="7"/>
  <c r="UBS6" i="7"/>
  <c r="UBT6" i="7"/>
  <c r="UBU6" i="7"/>
  <c r="UBV6" i="7"/>
  <c r="UBW6" i="7"/>
  <c r="UBX6" i="7"/>
  <c r="UBY6" i="7"/>
  <c r="UBZ6" i="7"/>
  <c r="UCA6" i="7"/>
  <c r="UCB6" i="7"/>
  <c r="UCC6" i="7"/>
  <c r="UCD6" i="7"/>
  <c r="UCE6" i="7"/>
  <c r="UCF6" i="7"/>
  <c r="UCG6" i="7"/>
  <c r="UCH6" i="7"/>
  <c r="UCI6" i="7"/>
  <c r="UCJ6" i="7"/>
  <c r="UCK6" i="7"/>
  <c r="UCL6" i="7"/>
  <c r="UCM6" i="7"/>
  <c r="UCN6" i="7"/>
  <c r="UCO6" i="7"/>
  <c r="UCP6" i="7"/>
  <c r="UCQ6" i="7"/>
  <c r="UCR6" i="7"/>
  <c r="UCS6" i="7"/>
  <c r="UCT6" i="7"/>
  <c r="UCU6" i="7"/>
  <c r="UCV6" i="7"/>
  <c r="UCW6" i="7"/>
  <c r="UCX6" i="7"/>
  <c r="UCY6" i="7"/>
  <c r="UCZ6" i="7"/>
  <c r="UDA6" i="7"/>
  <c r="UDB6" i="7"/>
  <c r="UDC6" i="7"/>
  <c r="UDD6" i="7"/>
  <c r="UDE6" i="7"/>
  <c r="UDF6" i="7"/>
  <c r="UDG6" i="7"/>
  <c r="UDH6" i="7"/>
  <c r="UDI6" i="7"/>
  <c r="UDJ6" i="7"/>
  <c r="UDK6" i="7"/>
  <c r="UDL6" i="7"/>
  <c r="UDM6" i="7"/>
  <c r="UDN6" i="7"/>
  <c r="UDO6" i="7"/>
  <c r="UDP6" i="7"/>
  <c r="UDQ6" i="7"/>
  <c r="UDR6" i="7"/>
  <c r="UDS6" i="7"/>
  <c r="UDT6" i="7"/>
  <c r="UDU6" i="7"/>
  <c r="UDV6" i="7"/>
  <c r="UDW6" i="7"/>
  <c r="UDX6" i="7"/>
  <c r="UDY6" i="7"/>
  <c r="UDZ6" i="7"/>
  <c r="UEA6" i="7"/>
  <c r="UEB6" i="7"/>
  <c r="UEC6" i="7"/>
  <c r="UED6" i="7"/>
  <c r="UEE6" i="7"/>
  <c r="UEF6" i="7"/>
  <c r="UEG6" i="7"/>
  <c r="UEH6" i="7"/>
  <c r="UEI6" i="7"/>
  <c r="UEJ6" i="7"/>
  <c r="UEK6" i="7"/>
  <c r="UEL6" i="7"/>
  <c r="UEM6" i="7"/>
  <c r="UEN6" i="7"/>
  <c r="UEO6" i="7"/>
  <c r="UEP6" i="7"/>
  <c r="UEQ6" i="7"/>
  <c r="UER6" i="7"/>
  <c r="UES6" i="7"/>
  <c r="UET6" i="7"/>
  <c r="UEU6" i="7"/>
  <c r="UEV6" i="7"/>
  <c r="UEW6" i="7"/>
  <c r="UEX6" i="7"/>
  <c r="UEY6" i="7"/>
  <c r="UEZ6" i="7"/>
  <c r="UFA6" i="7"/>
  <c r="UFB6" i="7"/>
  <c r="UFC6" i="7"/>
  <c r="UFD6" i="7"/>
  <c r="UFE6" i="7"/>
  <c r="UFF6" i="7"/>
  <c r="UFG6" i="7"/>
  <c r="UFH6" i="7"/>
  <c r="UFI6" i="7"/>
  <c r="UFJ6" i="7"/>
  <c r="UFK6" i="7"/>
  <c r="UFL6" i="7"/>
  <c r="UFM6" i="7"/>
  <c r="UFN6" i="7"/>
  <c r="UFO6" i="7"/>
  <c r="UFP6" i="7"/>
  <c r="UFQ6" i="7"/>
  <c r="UFR6" i="7"/>
  <c r="UFS6" i="7"/>
  <c r="UFT6" i="7"/>
  <c r="UFU6" i="7"/>
  <c r="UFV6" i="7"/>
  <c r="UFW6" i="7"/>
  <c r="UFX6" i="7"/>
  <c r="UFY6" i="7"/>
  <c r="UFZ6" i="7"/>
  <c r="UGA6" i="7"/>
  <c r="UGB6" i="7"/>
  <c r="UGC6" i="7"/>
  <c r="UGD6" i="7"/>
  <c r="UGE6" i="7"/>
  <c r="UGF6" i="7"/>
  <c r="UGG6" i="7"/>
  <c r="UGH6" i="7"/>
  <c r="UGI6" i="7"/>
  <c r="UGJ6" i="7"/>
  <c r="UGK6" i="7"/>
  <c r="UGL6" i="7"/>
  <c r="UGM6" i="7"/>
  <c r="UGN6" i="7"/>
  <c r="UGO6" i="7"/>
  <c r="UGP6" i="7"/>
  <c r="UGQ6" i="7"/>
  <c r="UGR6" i="7"/>
  <c r="UGS6" i="7"/>
  <c r="UGT6" i="7"/>
  <c r="UGU6" i="7"/>
  <c r="UGV6" i="7"/>
  <c r="UGW6" i="7"/>
  <c r="UGX6" i="7"/>
  <c r="UGY6" i="7"/>
  <c r="UGZ6" i="7"/>
  <c r="UHA6" i="7"/>
  <c r="UHB6" i="7"/>
  <c r="UHC6" i="7"/>
  <c r="UHD6" i="7"/>
  <c r="UHE6" i="7"/>
  <c r="UHF6" i="7"/>
  <c r="UHG6" i="7"/>
  <c r="UHH6" i="7"/>
  <c r="UHI6" i="7"/>
  <c r="UHJ6" i="7"/>
  <c r="UHK6" i="7"/>
  <c r="UHL6" i="7"/>
  <c r="UHM6" i="7"/>
  <c r="UHN6" i="7"/>
  <c r="UHO6" i="7"/>
  <c r="UHP6" i="7"/>
  <c r="UHQ6" i="7"/>
  <c r="UHR6" i="7"/>
  <c r="UHS6" i="7"/>
  <c r="UHT6" i="7"/>
  <c r="UHU6" i="7"/>
  <c r="UHV6" i="7"/>
  <c r="UHW6" i="7"/>
  <c r="UHX6" i="7"/>
  <c r="UHY6" i="7"/>
  <c r="UHZ6" i="7"/>
  <c r="UIA6" i="7"/>
  <c r="UIB6" i="7"/>
  <c r="UIC6" i="7"/>
  <c r="UID6" i="7"/>
  <c r="UIE6" i="7"/>
  <c r="UIF6" i="7"/>
  <c r="UIG6" i="7"/>
  <c r="UIH6" i="7"/>
  <c r="UII6" i="7"/>
  <c r="UIJ6" i="7"/>
  <c r="UIK6" i="7"/>
  <c r="UIL6" i="7"/>
  <c r="UIM6" i="7"/>
  <c r="UIN6" i="7"/>
  <c r="UIO6" i="7"/>
  <c r="UIP6" i="7"/>
  <c r="UIQ6" i="7"/>
  <c r="UIR6" i="7"/>
  <c r="UIS6" i="7"/>
  <c r="UIT6" i="7"/>
  <c r="UIU6" i="7"/>
  <c r="UIV6" i="7"/>
  <c r="UIW6" i="7"/>
  <c r="UIX6" i="7"/>
  <c r="UIY6" i="7"/>
  <c r="UIZ6" i="7"/>
  <c r="UJA6" i="7"/>
  <c r="UJB6" i="7"/>
  <c r="UJC6" i="7"/>
  <c r="UJD6" i="7"/>
  <c r="UJE6" i="7"/>
  <c r="UJF6" i="7"/>
  <c r="UJG6" i="7"/>
  <c r="UJH6" i="7"/>
  <c r="UJI6" i="7"/>
  <c r="UJJ6" i="7"/>
  <c r="UJK6" i="7"/>
  <c r="UJL6" i="7"/>
  <c r="UJM6" i="7"/>
  <c r="UJN6" i="7"/>
  <c r="UJO6" i="7"/>
  <c r="UJP6" i="7"/>
  <c r="UJQ6" i="7"/>
  <c r="UJR6" i="7"/>
  <c r="UJS6" i="7"/>
  <c r="UJT6" i="7"/>
  <c r="UJU6" i="7"/>
  <c r="UJV6" i="7"/>
  <c r="UJW6" i="7"/>
  <c r="UJX6" i="7"/>
  <c r="UJY6" i="7"/>
  <c r="UJZ6" i="7"/>
  <c r="UKA6" i="7"/>
  <c r="UKB6" i="7"/>
  <c r="UKC6" i="7"/>
  <c r="UKD6" i="7"/>
  <c r="UKE6" i="7"/>
  <c r="UKF6" i="7"/>
  <c r="UKG6" i="7"/>
  <c r="UKH6" i="7"/>
  <c r="UKI6" i="7"/>
  <c r="UKJ6" i="7"/>
  <c r="UKK6" i="7"/>
  <c r="UKL6" i="7"/>
  <c r="UKM6" i="7"/>
  <c r="UKN6" i="7"/>
  <c r="UKO6" i="7"/>
  <c r="UKP6" i="7"/>
  <c r="UKQ6" i="7"/>
  <c r="UKR6" i="7"/>
  <c r="UKS6" i="7"/>
  <c r="UKT6" i="7"/>
  <c r="UKU6" i="7"/>
  <c r="UKV6" i="7"/>
  <c r="UKW6" i="7"/>
  <c r="UKX6" i="7"/>
  <c r="UKY6" i="7"/>
  <c r="UKZ6" i="7"/>
  <c r="ULA6" i="7"/>
  <c r="ULB6" i="7"/>
  <c r="ULC6" i="7"/>
  <c r="ULD6" i="7"/>
  <c r="ULE6" i="7"/>
  <c r="ULF6" i="7"/>
  <c r="ULG6" i="7"/>
  <c r="ULH6" i="7"/>
  <c r="ULI6" i="7"/>
  <c r="ULJ6" i="7"/>
  <c r="ULK6" i="7"/>
  <c r="ULL6" i="7"/>
  <c r="ULM6" i="7"/>
  <c r="ULN6" i="7"/>
  <c r="ULO6" i="7"/>
  <c r="ULP6" i="7"/>
  <c r="ULQ6" i="7"/>
  <c r="ULR6" i="7"/>
  <c r="ULS6" i="7"/>
  <c r="ULT6" i="7"/>
  <c r="ULU6" i="7"/>
  <c r="ULV6" i="7"/>
  <c r="ULW6" i="7"/>
  <c r="ULX6" i="7"/>
  <c r="ULY6" i="7"/>
  <c r="ULZ6" i="7"/>
  <c r="UMA6" i="7"/>
  <c r="UMB6" i="7"/>
  <c r="UMC6" i="7"/>
  <c r="UMD6" i="7"/>
  <c r="UME6" i="7"/>
  <c r="UMF6" i="7"/>
  <c r="UMG6" i="7"/>
  <c r="UMH6" i="7"/>
  <c r="UMI6" i="7"/>
  <c r="UMJ6" i="7"/>
  <c r="UMK6" i="7"/>
  <c r="UML6" i="7"/>
  <c r="UMM6" i="7"/>
  <c r="UMN6" i="7"/>
  <c r="UMO6" i="7"/>
  <c r="UMP6" i="7"/>
  <c r="UMQ6" i="7"/>
  <c r="UMR6" i="7"/>
  <c r="UMS6" i="7"/>
  <c r="UMT6" i="7"/>
  <c r="UMU6" i="7"/>
  <c r="UMV6" i="7"/>
  <c r="UMW6" i="7"/>
  <c r="UMX6" i="7"/>
  <c r="UMY6" i="7"/>
  <c r="UMZ6" i="7"/>
  <c r="UNA6" i="7"/>
  <c r="UNB6" i="7"/>
  <c r="UNC6" i="7"/>
  <c r="UND6" i="7"/>
  <c r="UNE6" i="7"/>
  <c r="UNF6" i="7"/>
  <c r="UNG6" i="7"/>
  <c r="UNH6" i="7"/>
  <c r="UNI6" i="7"/>
  <c r="UNJ6" i="7"/>
  <c r="UNK6" i="7"/>
  <c r="UNL6" i="7"/>
  <c r="UNM6" i="7"/>
  <c r="UNN6" i="7"/>
  <c r="UNO6" i="7"/>
  <c r="UNP6" i="7"/>
  <c r="UNQ6" i="7"/>
  <c r="UNR6" i="7"/>
  <c r="UNS6" i="7"/>
  <c r="UNT6" i="7"/>
  <c r="UNU6" i="7"/>
  <c r="UNV6" i="7"/>
  <c r="UNW6" i="7"/>
  <c r="UNX6" i="7"/>
  <c r="UNY6" i="7"/>
  <c r="UNZ6" i="7"/>
  <c r="UOA6" i="7"/>
  <c r="UOB6" i="7"/>
  <c r="UOC6" i="7"/>
  <c r="UOD6" i="7"/>
  <c r="UOE6" i="7"/>
  <c r="UOF6" i="7"/>
  <c r="UOG6" i="7"/>
  <c r="UOH6" i="7"/>
  <c r="UOI6" i="7"/>
  <c r="UOJ6" i="7"/>
  <c r="UOK6" i="7"/>
  <c r="UOL6" i="7"/>
  <c r="UOM6" i="7"/>
  <c r="UON6" i="7"/>
  <c r="UOO6" i="7"/>
  <c r="UOP6" i="7"/>
  <c r="UOQ6" i="7"/>
  <c r="UOR6" i="7"/>
  <c r="UOS6" i="7"/>
  <c r="UOT6" i="7"/>
  <c r="UOU6" i="7"/>
  <c r="UOV6" i="7"/>
  <c r="UOW6" i="7"/>
  <c r="UOX6" i="7"/>
  <c r="UOY6" i="7"/>
  <c r="UOZ6" i="7"/>
  <c r="UPA6" i="7"/>
  <c r="UPB6" i="7"/>
  <c r="UPC6" i="7"/>
  <c r="UPD6" i="7"/>
  <c r="UPE6" i="7"/>
  <c r="UPF6" i="7"/>
  <c r="UPG6" i="7"/>
  <c r="UPH6" i="7"/>
  <c r="UPI6" i="7"/>
  <c r="UPJ6" i="7"/>
  <c r="UPK6" i="7"/>
  <c r="UPL6" i="7"/>
  <c r="UPM6" i="7"/>
  <c r="UPN6" i="7"/>
  <c r="UPO6" i="7"/>
  <c r="UPP6" i="7"/>
  <c r="UPQ6" i="7"/>
  <c r="UPR6" i="7"/>
  <c r="UPS6" i="7"/>
  <c r="UPT6" i="7"/>
  <c r="UPU6" i="7"/>
  <c r="UPV6" i="7"/>
  <c r="UPW6" i="7"/>
  <c r="UPX6" i="7"/>
  <c r="UPY6" i="7"/>
  <c r="UPZ6" i="7"/>
  <c r="UQA6" i="7"/>
  <c r="UQB6" i="7"/>
  <c r="UQC6" i="7"/>
  <c r="UQD6" i="7"/>
  <c r="UQE6" i="7"/>
  <c r="UQF6" i="7"/>
  <c r="UQG6" i="7"/>
  <c r="UQH6" i="7"/>
  <c r="UQI6" i="7"/>
  <c r="UQJ6" i="7"/>
  <c r="UQK6" i="7"/>
  <c r="UQL6" i="7"/>
  <c r="UQM6" i="7"/>
  <c r="UQN6" i="7"/>
  <c r="UQO6" i="7"/>
  <c r="UQP6" i="7"/>
  <c r="UQQ6" i="7"/>
  <c r="UQR6" i="7"/>
  <c r="UQS6" i="7"/>
  <c r="UQT6" i="7"/>
  <c r="UQU6" i="7"/>
  <c r="UQV6" i="7"/>
  <c r="UQW6" i="7"/>
  <c r="UQX6" i="7"/>
  <c r="UQY6" i="7"/>
  <c r="UQZ6" i="7"/>
  <c r="URA6" i="7"/>
  <c r="URB6" i="7"/>
  <c r="URC6" i="7"/>
  <c r="URD6" i="7"/>
  <c r="URE6" i="7"/>
  <c r="URF6" i="7"/>
  <c r="URG6" i="7"/>
  <c r="URH6" i="7"/>
  <c r="URI6" i="7"/>
  <c r="URJ6" i="7"/>
  <c r="URK6" i="7"/>
  <c r="URL6" i="7"/>
  <c r="URM6" i="7"/>
  <c r="URN6" i="7"/>
  <c r="URO6" i="7"/>
  <c r="URP6" i="7"/>
  <c r="URQ6" i="7"/>
  <c r="URR6" i="7"/>
  <c r="URS6" i="7"/>
  <c r="URT6" i="7"/>
  <c r="URU6" i="7"/>
  <c r="URV6" i="7"/>
  <c r="URW6" i="7"/>
  <c r="URX6" i="7"/>
  <c r="URY6" i="7"/>
  <c r="URZ6" i="7"/>
  <c r="USA6" i="7"/>
  <c r="USB6" i="7"/>
  <c r="USC6" i="7"/>
  <c r="USD6" i="7"/>
  <c r="USE6" i="7"/>
  <c r="USF6" i="7"/>
  <c r="USG6" i="7"/>
  <c r="USH6" i="7"/>
  <c r="USI6" i="7"/>
  <c r="USJ6" i="7"/>
  <c r="USK6" i="7"/>
  <c r="USL6" i="7"/>
  <c r="USM6" i="7"/>
  <c r="USN6" i="7"/>
  <c r="USO6" i="7"/>
  <c r="USP6" i="7"/>
  <c r="USQ6" i="7"/>
  <c r="USR6" i="7"/>
  <c r="USS6" i="7"/>
  <c r="UST6" i="7"/>
  <c r="USU6" i="7"/>
  <c r="USV6" i="7"/>
  <c r="USW6" i="7"/>
  <c r="USX6" i="7"/>
  <c r="USY6" i="7"/>
  <c r="USZ6" i="7"/>
  <c r="UTA6" i="7"/>
  <c r="UTB6" i="7"/>
  <c r="UTC6" i="7"/>
  <c r="UTD6" i="7"/>
  <c r="UTE6" i="7"/>
  <c r="UTF6" i="7"/>
  <c r="UTG6" i="7"/>
  <c r="UTH6" i="7"/>
  <c r="UTI6" i="7"/>
  <c r="UTJ6" i="7"/>
  <c r="UTK6" i="7"/>
  <c r="UTL6" i="7"/>
  <c r="UTM6" i="7"/>
  <c r="UTN6" i="7"/>
  <c r="UTO6" i="7"/>
  <c r="UTP6" i="7"/>
  <c r="UTQ6" i="7"/>
  <c r="UTR6" i="7"/>
  <c r="UTS6" i="7"/>
  <c r="UTT6" i="7"/>
  <c r="UTU6" i="7"/>
  <c r="UTV6" i="7"/>
  <c r="UTW6" i="7"/>
  <c r="UTX6" i="7"/>
  <c r="UTY6" i="7"/>
  <c r="UTZ6" i="7"/>
  <c r="UUA6" i="7"/>
  <c r="UUB6" i="7"/>
  <c r="UUC6" i="7"/>
  <c r="UUD6" i="7"/>
  <c r="UUE6" i="7"/>
  <c r="UUF6" i="7"/>
  <c r="UUG6" i="7"/>
  <c r="UUH6" i="7"/>
  <c r="UUI6" i="7"/>
  <c r="UUJ6" i="7"/>
  <c r="UUK6" i="7"/>
  <c r="UUL6" i="7"/>
  <c r="UUM6" i="7"/>
  <c r="UUN6" i="7"/>
  <c r="UUO6" i="7"/>
  <c r="UUP6" i="7"/>
  <c r="UUQ6" i="7"/>
  <c r="UUR6" i="7"/>
  <c r="UUS6" i="7"/>
  <c r="UUT6" i="7"/>
  <c r="UUU6" i="7"/>
  <c r="UUV6" i="7"/>
  <c r="UUW6" i="7"/>
  <c r="UUX6" i="7"/>
  <c r="UUY6" i="7"/>
  <c r="UUZ6" i="7"/>
  <c r="UVA6" i="7"/>
  <c r="UVB6" i="7"/>
  <c r="UVC6" i="7"/>
  <c r="UVD6" i="7"/>
  <c r="UVE6" i="7"/>
  <c r="UVF6" i="7"/>
  <c r="UVG6" i="7"/>
  <c r="UVH6" i="7"/>
  <c r="UVI6" i="7"/>
  <c r="UVJ6" i="7"/>
  <c r="UVK6" i="7"/>
  <c r="UVL6" i="7"/>
  <c r="UVM6" i="7"/>
  <c r="UVN6" i="7"/>
  <c r="UVO6" i="7"/>
  <c r="UVP6" i="7"/>
  <c r="UVQ6" i="7"/>
  <c r="UVR6" i="7"/>
  <c r="UVS6" i="7"/>
  <c r="UVT6" i="7"/>
  <c r="UVU6" i="7"/>
  <c r="UVV6" i="7"/>
  <c r="UVW6" i="7"/>
  <c r="UVX6" i="7"/>
  <c r="UVY6" i="7"/>
  <c r="UVZ6" i="7"/>
  <c r="UWA6" i="7"/>
  <c r="UWB6" i="7"/>
  <c r="UWC6" i="7"/>
  <c r="UWD6" i="7"/>
  <c r="UWE6" i="7"/>
  <c r="UWF6" i="7"/>
  <c r="UWG6" i="7"/>
  <c r="UWH6" i="7"/>
  <c r="UWI6" i="7"/>
  <c r="UWJ6" i="7"/>
  <c r="UWK6" i="7"/>
  <c r="UWL6" i="7"/>
  <c r="UWM6" i="7"/>
  <c r="UWN6" i="7"/>
  <c r="UWO6" i="7"/>
  <c r="UWP6" i="7"/>
  <c r="UWQ6" i="7"/>
  <c r="UWR6" i="7"/>
  <c r="UWS6" i="7"/>
  <c r="UWT6" i="7"/>
  <c r="UWU6" i="7"/>
  <c r="UWV6" i="7"/>
  <c r="UWW6" i="7"/>
  <c r="UWX6" i="7"/>
  <c r="UWY6" i="7"/>
  <c r="UWZ6" i="7"/>
  <c r="UXA6" i="7"/>
  <c r="UXB6" i="7"/>
  <c r="UXC6" i="7"/>
  <c r="UXD6" i="7"/>
  <c r="UXE6" i="7"/>
  <c r="UXF6" i="7"/>
  <c r="UXG6" i="7"/>
  <c r="UXH6" i="7"/>
  <c r="UXI6" i="7"/>
  <c r="UXJ6" i="7"/>
  <c r="UXK6" i="7"/>
  <c r="UXL6" i="7"/>
  <c r="UXM6" i="7"/>
  <c r="UXN6" i="7"/>
  <c r="UXO6" i="7"/>
  <c r="UXP6" i="7"/>
  <c r="UXQ6" i="7"/>
  <c r="UXR6" i="7"/>
  <c r="UXS6" i="7"/>
  <c r="UXT6" i="7"/>
  <c r="UXU6" i="7"/>
  <c r="UXV6" i="7"/>
  <c r="UXW6" i="7"/>
  <c r="UXX6" i="7"/>
  <c r="UXY6" i="7"/>
  <c r="UXZ6" i="7"/>
  <c r="UYA6" i="7"/>
  <c r="UYB6" i="7"/>
  <c r="UYC6" i="7"/>
  <c r="UYD6" i="7"/>
  <c r="UYE6" i="7"/>
  <c r="UYF6" i="7"/>
  <c r="UYG6" i="7"/>
  <c r="UYH6" i="7"/>
  <c r="UYI6" i="7"/>
  <c r="UYJ6" i="7"/>
  <c r="UYK6" i="7"/>
  <c r="UYL6" i="7"/>
  <c r="UYM6" i="7"/>
  <c r="UYN6" i="7"/>
  <c r="UYO6" i="7"/>
  <c r="UYP6" i="7"/>
  <c r="UYQ6" i="7"/>
  <c r="UYR6" i="7"/>
  <c r="UYS6" i="7"/>
  <c r="UYT6" i="7"/>
  <c r="UYU6" i="7"/>
  <c r="UYV6" i="7"/>
  <c r="UYW6" i="7"/>
  <c r="UYX6" i="7"/>
  <c r="UYY6" i="7"/>
  <c r="UYZ6" i="7"/>
  <c r="UZA6" i="7"/>
  <c r="UZB6" i="7"/>
  <c r="UZC6" i="7"/>
  <c r="UZD6" i="7"/>
  <c r="UZE6" i="7"/>
  <c r="UZF6" i="7"/>
  <c r="UZG6" i="7"/>
  <c r="UZH6" i="7"/>
  <c r="UZI6" i="7"/>
  <c r="UZJ6" i="7"/>
  <c r="UZK6" i="7"/>
  <c r="UZL6" i="7"/>
  <c r="UZM6" i="7"/>
  <c r="UZN6" i="7"/>
  <c r="UZO6" i="7"/>
  <c r="UZP6" i="7"/>
  <c r="UZQ6" i="7"/>
  <c r="UZR6" i="7"/>
  <c r="UZS6" i="7"/>
  <c r="UZT6" i="7"/>
  <c r="UZU6" i="7"/>
  <c r="UZV6" i="7"/>
  <c r="UZW6" i="7"/>
  <c r="UZX6" i="7"/>
  <c r="UZY6" i="7"/>
  <c r="UZZ6" i="7"/>
  <c r="VAA6" i="7"/>
  <c r="VAB6" i="7"/>
  <c r="VAC6" i="7"/>
  <c r="VAD6" i="7"/>
  <c r="VAE6" i="7"/>
  <c r="VAF6" i="7"/>
  <c r="VAG6" i="7"/>
  <c r="VAH6" i="7"/>
  <c r="VAI6" i="7"/>
  <c r="VAJ6" i="7"/>
  <c r="VAK6" i="7"/>
  <c r="VAL6" i="7"/>
  <c r="VAM6" i="7"/>
  <c r="VAN6" i="7"/>
  <c r="VAO6" i="7"/>
  <c r="VAP6" i="7"/>
  <c r="VAQ6" i="7"/>
  <c r="VAR6" i="7"/>
  <c r="VAS6" i="7"/>
  <c r="VAT6" i="7"/>
  <c r="VAU6" i="7"/>
  <c r="VAV6" i="7"/>
  <c r="VAW6" i="7"/>
  <c r="VAX6" i="7"/>
  <c r="VAY6" i="7"/>
  <c r="VAZ6" i="7"/>
  <c r="VBA6" i="7"/>
  <c r="VBB6" i="7"/>
  <c r="VBC6" i="7"/>
  <c r="VBD6" i="7"/>
  <c r="VBE6" i="7"/>
  <c r="VBF6" i="7"/>
  <c r="VBG6" i="7"/>
  <c r="VBH6" i="7"/>
  <c r="VBI6" i="7"/>
  <c r="VBJ6" i="7"/>
  <c r="VBK6" i="7"/>
  <c r="VBL6" i="7"/>
  <c r="VBM6" i="7"/>
  <c r="VBN6" i="7"/>
  <c r="VBO6" i="7"/>
  <c r="VBP6" i="7"/>
  <c r="VBQ6" i="7"/>
  <c r="VBR6" i="7"/>
  <c r="VBS6" i="7"/>
  <c r="VBT6" i="7"/>
  <c r="VBU6" i="7"/>
  <c r="VBV6" i="7"/>
  <c r="VBW6" i="7"/>
  <c r="VBX6" i="7"/>
  <c r="VBY6" i="7"/>
  <c r="VBZ6" i="7"/>
  <c r="VCA6" i="7"/>
  <c r="VCB6" i="7"/>
  <c r="VCC6" i="7"/>
  <c r="VCD6" i="7"/>
  <c r="VCE6" i="7"/>
  <c r="VCF6" i="7"/>
  <c r="VCG6" i="7"/>
  <c r="VCH6" i="7"/>
  <c r="VCI6" i="7"/>
  <c r="VCJ6" i="7"/>
  <c r="VCK6" i="7"/>
  <c r="VCL6" i="7"/>
  <c r="VCM6" i="7"/>
  <c r="VCN6" i="7"/>
  <c r="VCO6" i="7"/>
  <c r="VCP6" i="7"/>
  <c r="VCQ6" i="7"/>
  <c r="VCR6" i="7"/>
  <c r="VCS6" i="7"/>
  <c r="VCT6" i="7"/>
  <c r="VCU6" i="7"/>
  <c r="VCV6" i="7"/>
  <c r="VCW6" i="7"/>
  <c r="VCX6" i="7"/>
  <c r="VCY6" i="7"/>
  <c r="VCZ6" i="7"/>
  <c r="VDA6" i="7"/>
  <c r="VDB6" i="7"/>
  <c r="VDC6" i="7"/>
  <c r="VDD6" i="7"/>
  <c r="VDE6" i="7"/>
  <c r="VDF6" i="7"/>
  <c r="VDG6" i="7"/>
  <c r="VDH6" i="7"/>
  <c r="VDI6" i="7"/>
  <c r="VDJ6" i="7"/>
  <c r="VDK6" i="7"/>
  <c r="VDL6" i="7"/>
  <c r="VDM6" i="7"/>
  <c r="VDN6" i="7"/>
  <c r="VDO6" i="7"/>
  <c r="VDP6" i="7"/>
  <c r="VDQ6" i="7"/>
  <c r="VDR6" i="7"/>
  <c r="VDS6" i="7"/>
  <c r="VDT6" i="7"/>
  <c r="VDU6" i="7"/>
  <c r="VDV6" i="7"/>
  <c r="VDW6" i="7"/>
  <c r="VDX6" i="7"/>
  <c r="VDY6" i="7"/>
  <c r="VDZ6" i="7"/>
  <c r="VEA6" i="7"/>
  <c r="VEB6" i="7"/>
  <c r="VEC6" i="7"/>
  <c r="VED6" i="7"/>
  <c r="VEE6" i="7"/>
  <c r="VEF6" i="7"/>
  <c r="VEG6" i="7"/>
  <c r="VEH6" i="7"/>
  <c r="VEI6" i="7"/>
  <c r="VEJ6" i="7"/>
  <c r="VEK6" i="7"/>
  <c r="VEL6" i="7"/>
  <c r="VEM6" i="7"/>
  <c r="VEN6" i="7"/>
  <c r="VEO6" i="7"/>
  <c r="VEP6" i="7"/>
  <c r="VEQ6" i="7"/>
  <c r="VER6" i="7"/>
  <c r="VES6" i="7"/>
  <c r="VET6" i="7"/>
  <c r="VEU6" i="7"/>
  <c r="VEV6" i="7"/>
  <c r="VEW6" i="7"/>
  <c r="VEX6" i="7"/>
  <c r="VEY6" i="7"/>
  <c r="VEZ6" i="7"/>
  <c r="VFA6" i="7"/>
  <c r="VFB6" i="7"/>
  <c r="VFC6" i="7"/>
  <c r="VFD6" i="7"/>
  <c r="VFE6" i="7"/>
  <c r="VFF6" i="7"/>
  <c r="VFG6" i="7"/>
  <c r="VFH6" i="7"/>
  <c r="VFI6" i="7"/>
  <c r="VFJ6" i="7"/>
  <c r="VFK6" i="7"/>
  <c r="VFL6" i="7"/>
  <c r="VFM6" i="7"/>
  <c r="VFN6" i="7"/>
  <c r="VFO6" i="7"/>
  <c r="VFP6" i="7"/>
  <c r="VFQ6" i="7"/>
  <c r="VFR6" i="7"/>
  <c r="VFS6" i="7"/>
  <c r="VFT6" i="7"/>
  <c r="VFU6" i="7"/>
  <c r="VFV6" i="7"/>
  <c r="VFW6" i="7"/>
  <c r="VFX6" i="7"/>
  <c r="VFY6" i="7"/>
  <c r="VFZ6" i="7"/>
  <c r="VGA6" i="7"/>
  <c r="VGB6" i="7"/>
  <c r="VGC6" i="7"/>
  <c r="VGD6" i="7"/>
  <c r="VGE6" i="7"/>
  <c r="VGF6" i="7"/>
  <c r="VGG6" i="7"/>
  <c r="VGH6" i="7"/>
  <c r="VGI6" i="7"/>
  <c r="VGJ6" i="7"/>
  <c r="VGK6" i="7"/>
  <c r="VGL6" i="7"/>
  <c r="VGM6" i="7"/>
  <c r="VGN6" i="7"/>
  <c r="VGO6" i="7"/>
  <c r="VGP6" i="7"/>
  <c r="VGQ6" i="7"/>
  <c r="VGR6" i="7"/>
  <c r="VGS6" i="7"/>
  <c r="VGT6" i="7"/>
  <c r="VGU6" i="7"/>
  <c r="VGV6" i="7"/>
  <c r="VGW6" i="7"/>
  <c r="VGX6" i="7"/>
  <c r="VGY6" i="7"/>
  <c r="VGZ6" i="7"/>
  <c r="VHA6" i="7"/>
  <c r="VHB6" i="7"/>
  <c r="VHC6" i="7"/>
  <c r="VHD6" i="7"/>
  <c r="VHE6" i="7"/>
  <c r="VHF6" i="7"/>
  <c r="VHG6" i="7"/>
  <c r="VHH6" i="7"/>
  <c r="VHI6" i="7"/>
  <c r="VHJ6" i="7"/>
  <c r="VHK6" i="7"/>
  <c r="VHL6" i="7"/>
  <c r="VHM6" i="7"/>
  <c r="VHN6" i="7"/>
  <c r="VHO6" i="7"/>
  <c r="VHP6" i="7"/>
  <c r="VHQ6" i="7"/>
  <c r="VHR6" i="7"/>
  <c r="VHS6" i="7"/>
  <c r="VHT6" i="7"/>
  <c r="VHU6" i="7"/>
  <c r="VHV6" i="7"/>
  <c r="VHW6" i="7"/>
  <c r="VHX6" i="7"/>
  <c r="VHY6" i="7"/>
  <c r="VHZ6" i="7"/>
  <c r="VIA6" i="7"/>
  <c r="VIB6" i="7"/>
  <c r="VIC6" i="7"/>
  <c r="VID6" i="7"/>
  <c r="VIE6" i="7"/>
  <c r="VIF6" i="7"/>
  <c r="VIG6" i="7"/>
  <c r="VIH6" i="7"/>
  <c r="VII6" i="7"/>
  <c r="VIJ6" i="7"/>
  <c r="VIK6" i="7"/>
  <c r="VIL6" i="7"/>
  <c r="VIM6" i="7"/>
  <c r="VIN6" i="7"/>
  <c r="VIO6" i="7"/>
  <c r="VIP6" i="7"/>
  <c r="VIQ6" i="7"/>
  <c r="VIR6" i="7"/>
  <c r="VIS6" i="7"/>
  <c r="VIT6" i="7"/>
  <c r="VIU6" i="7"/>
  <c r="VIV6" i="7"/>
  <c r="VIW6" i="7"/>
  <c r="VIX6" i="7"/>
  <c r="VIY6" i="7"/>
  <c r="VIZ6" i="7"/>
  <c r="VJA6" i="7"/>
  <c r="VJB6" i="7"/>
  <c r="VJC6" i="7"/>
  <c r="VJD6" i="7"/>
  <c r="VJE6" i="7"/>
  <c r="VJF6" i="7"/>
  <c r="VJG6" i="7"/>
  <c r="VJH6" i="7"/>
  <c r="VJI6" i="7"/>
  <c r="VJJ6" i="7"/>
  <c r="VJK6" i="7"/>
  <c r="VJL6" i="7"/>
  <c r="VJM6" i="7"/>
  <c r="VJN6" i="7"/>
  <c r="VJO6" i="7"/>
  <c r="VJP6" i="7"/>
  <c r="VJQ6" i="7"/>
  <c r="VJR6" i="7"/>
  <c r="VJS6" i="7"/>
  <c r="VJT6" i="7"/>
  <c r="VJU6" i="7"/>
  <c r="VJV6" i="7"/>
  <c r="VJW6" i="7"/>
  <c r="VJX6" i="7"/>
  <c r="VJY6" i="7"/>
  <c r="VJZ6" i="7"/>
  <c r="VKA6" i="7"/>
  <c r="VKB6" i="7"/>
  <c r="VKC6" i="7"/>
  <c r="VKD6" i="7"/>
  <c r="VKE6" i="7"/>
  <c r="VKF6" i="7"/>
  <c r="VKG6" i="7"/>
  <c r="VKH6" i="7"/>
  <c r="VKI6" i="7"/>
  <c r="VKJ6" i="7"/>
  <c r="VKK6" i="7"/>
  <c r="VKL6" i="7"/>
  <c r="VKM6" i="7"/>
  <c r="VKN6" i="7"/>
  <c r="VKO6" i="7"/>
  <c r="VKP6" i="7"/>
  <c r="VKQ6" i="7"/>
  <c r="VKR6" i="7"/>
  <c r="VKS6" i="7"/>
  <c r="VKT6" i="7"/>
  <c r="VKU6" i="7"/>
  <c r="VKV6" i="7"/>
  <c r="VKW6" i="7"/>
  <c r="VKX6" i="7"/>
  <c r="VKY6" i="7"/>
  <c r="VKZ6" i="7"/>
  <c r="VLA6" i="7"/>
  <c r="VLB6" i="7"/>
  <c r="VLC6" i="7"/>
  <c r="VLD6" i="7"/>
  <c r="VLE6" i="7"/>
  <c r="VLF6" i="7"/>
  <c r="VLG6" i="7"/>
  <c r="VLH6" i="7"/>
  <c r="VLI6" i="7"/>
  <c r="VLJ6" i="7"/>
  <c r="VLK6" i="7"/>
  <c r="VLL6" i="7"/>
  <c r="VLM6" i="7"/>
  <c r="VLN6" i="7"/>
  <c r="VLO6" i="7"/>
  <c r="VLP6" i="7"/>
  <c r="VLQ6" i="7"/>
  <c r="VLR6" i="7"/>
  <c r="VLS6" i="7"/>
  <c r="VLT6" i="7"/>
  <c r="VLU6" i="7"/>
  <c r="VLV6" i="7"/>
  <c r="VLW6" i="7"/>
  <c r="VLX6" i="7"/>
  <c r="VLY6" i="7"/>
  <c r="VLZ6" i="7"/>
  <c r="VMA6" i="7"/>
  <c r="VMB6" i="7"/>
  <c r="VMC6" i="7"/>
  <c r="VMD6" i="7"/>
  <c r="VME6" i="7"/>
  <c r="VMF6" i="7"/>
  <c r="VMG6" i="7"/>
  <c r="VMH6" i="7"/>
  <c r="VMI6" i="7"/>
  <c r="VMJ6" i="7"/>
  <c r="VMK6" i="7"/>
  <c r="VML6" i="7"/>
  <c r="VMM6" i="7"/>
  <c r="VMN6" i="7"/>
  <c r="VMO6" i="7"/>
  <c r="VMP6" i="7"/>
  <c r="VMQ6" i="7"/>
  <c r="VMR6" i="7"/>
  <c r="VMS6" i="7"/>
  <c r="VMT6" i="7"/>
  <c r="VMU6" i="7"/>
  <c r="VMV6" i="7"/>
  <c r="VMW6" i="7"/>
  <c r="VMX6" i="7"/>
  <c r="VMY6" i="7"/>
  <c r="VMZ6" i="7"/>
  <c r="VNA6" i="7"/>
  <c r="VNB6" i="7"/>
  <c r="VNC6" i="7"/>
  <c r="VND6" i="7"/>
  <c r="VNE6" i="7"/>
  <c r="VNF6" i="7"/>
  <c r="VNG6" i="7"/>
  <c r="VNH6" i="7"/>
  <c r="VNI6" i="7"/>
  <c r="VNJ6" i="7"/>
  <c r="VNK6" i="7"/>
  <c r="VNL6" i="7"/>
  <c r="VNM6" i="7"/>
  <c r="VNN6" i="7"/>
  <c r="VNO6" i="7"/>
  <c r="VNP6" i="7"/>
  <c r="VNQ6" i="7"/>
  <c r="VNR6" i="7"/>
  <c r="VNS6" i="7"/>
  <c r="VNT6" i="7"/>
  <c r="VNU6" i="7"/>
  <c r="VNV6" i="7"/>
  <c r="VNW6" i="7"/>
  <c r="VNX6" i="7"/>
  <c r="VNY6" i="7"/>
  <c r="VNZ6" i="7"/>
  <c r="VOA6" i="7"/>
  <c r="VOB6" i="7"/>
  <c r="VOC6" i="7"/>
  <c r="VOD6" i="7"/>
  <c r="VOE6" i="7"/>
  <c r="VOF6" i="7"/>
  <c r="VOG6" i="7"/>
  <c r="VOH6" i="7"/>
  <c r="VOI6" i="7"/>
  <c r="VOJ6" i="7"/>
  <c r="VOK6" i="7"/>
  <c r="VOL6" i="7"/>
  <c r="VOM6" i="7"/>
  <c r="VON6" i="7"/>
  <c r="VOO6" i="7"/>
  <c r="VOP6" i="7"/>
  <c r="VOQ6" i="7"/>
  <c r="VOR6" i="7"/>
  <c r="VOS6" i="7"/>
  <c r="VOT6" i="7"/>
  <c r="VOU6" i="7"/>
  <c r="VOV6" i="7"/>
  <c r="VOW6" i="7"/>
  <c r="VOX6" i="7"/>
  <c r="VOY6" i="7"/>
  <c r="VOZ6" i="7"/>
  <c r="VPA6" i="7"/>
  <c r="VPB6" i="7"/>
  <c r="VPC6" i="7"/>
  <c r="VPD6" i="7"/>
  <c r="VPE6" i="7"/>
  <c r="VPF6" i="7"/>
  <c r="VPG6" i="7"/>
  <c r="VPH6" i="7"/>
  <c r="VPI6" i="7"/>
  <c r="VPJ6" i="7"/>
  <c r="VPK6" i="7"/>
  <c r="VPL6" i="7"/>
  <c r="VPM6" i="7"/>
  <c r="VPN6" i="7"/>
  <c r="VPO6" i="7"/>
  <c r="VPP6" i="7"/>
  <c r="VPQ6" i="7"/>
  <c r="VPR6" i="7"/>
  <c r="VPS6" i="7"/>
  <c r="VPT6" i="7"/>
  <c r="VPU6" i="7"/>
  <c r="VPV6" i="7"/>
  <c r="VPW6" i="7"/>
  <c r="VPX6" i="7"/>
  <c r="VPY6" i="7"/>
  <c r="VPZ6" i="7"/>
  <c r="VQA6" i="7"/>
  <c r="VQB6" i="7"/>
  <c r="VQC6" i="7"/>
  <c r="VQD6" i="7"/>
  <c r="VQE6" i="7"/>
  <c r="VQF6" i="7"/>
  <c r="VQG6" i="7"/>
  <c r="VQH6" i="7"/>
  <c r="VQI6" i="7"/>
  <c r="VQJ6" i="7"/>
  <c r="VQK6" i="7"/>
  <c r="VQL6" i="7"/>
  <c r="VQM6" i="7"/>
  <c r="VQN6" i="7"/>
  <c r="VQO6" i="7"/>
  <c r="VQP6" i="7"/>
  <c r="VQQ6" i="7"/>
  <c r="VQR6" i="7"/>
  <c r="VQS6" i="7"/>
  <c r="VQT6" i="7"/>
  <c r="VQU6" i="7"/>
  <c r="VQV6" i="7"/>
  <c r="VQW6" i="7"/>
  <c r="VQX6" i="7"/>
  <c r="VQY6" i="7"/>
  <c r="VQZ6" i="7"/>
  <c r="VRA6" i="7"/>
  <c r="VRB6" i="7"/>
  <c r="VRC6" i="7"/>
  <c r="VRD6" i="7"/>
  <c r="VRE6" i="7"/>
  <c r="VRF6" i="7"/>
  <c r="VRG6" i="7"/>
  <c r="VRH6" i="7"/>
  <c r="VRI6" i="7"/>
  <c r="VRJ6" i="7"/>
  <c r="VRK6" i="7"/>
  <c r="VRL6" i="7"/>
  <c r="VRM6" i="7"/>
  <c r="VRN6" i="7"/>
  <c r="VRO6" i="7"/>
  <c r="VRP6" i="7"/>
  <c r="VRQ6" i="7"/>
  <c r="VRR6" i="7"/>
  <c r="VRS6" i="7"/>
  <c r="VRT6" i="7"/>
  <c r="VRU6" i="7"/>
  <c r="VRV6" i="7"/>
  <c r="VRW6" i="7"/>
  <c r="VRX6" i="7"/>
  <c r="VRY6" i="7"/>
  <c r="VRZ6" i="7"/>
  <c r="VSA6" i="7"/>
  <c r="VSB6" i="7"/>
  <c r="VSC6" i="7"/>
  <c r="VSD6" i="7"/>
  <c r="VSE6" i="7"/>
  <c r="VSF6" i="7"/>
  <c r="VSG6" i="7"/>
  <c r="VSH6" i="7"/>
  <c r="VSI6" i="7"/>
  <c r="VSJ6" i="7"/>
  <c r="VSK6" i="7"/>
  <c r="VSL6" i="7"/>
  <c r="VSM6" i="7"/>
  <c r="VSN6" i="7"/>
  <c r="VSO6" i="7"/>
  <c r="VSP6" i="7"/>
  <c r="VSQ6" i="7"/>
  <c r="VSR6" i="7"/>
  <c r="VSS6" i="7"/>
  <c r="VST6" i="7"/>
  <c r="VSU6" i="7"/>
  <c r="VSV6" i="7"/>
  <c r="VSW6" i="7"/>
  <c r="VSX6" i="7"/>
  <c r="VSY6" i="7"/>
  <c r="VSZ6" i="7"/>
  <c r="VTA6" i="7"/>
  <c r="VTB6" i="7"/>
  <c r="VTC6" i="7"/>
  <c r="VTD6" i="7"/>
  <c r="VTE6" i="7"/>
  <c r="VTF6" i="7"/>
  <c r="VTG6" i="7"/>
  <c r="VTH6" i="7"/>
  <c r="VTI6" i="7"/>
  <c r="VTJ6" i="7"/>
  <c r="VTK6" i="7"/>
  <c r="VTL6" i="7"/>
  <c r="VTM6" i="7"/>
  <c r="VTN6" i="7"/>
  <c r="VTO6" i="7"/>
  <c r="VTP6" i="7"/>
  <c r="VTQ6" i="7"/>
  <c r="VTR6" i="7"/>
  <c r="VTS6" i="7"/>
  <c r="VTT6" i="7"/>
  <c r="VTU6" i="7"/>
  <c r="VTV6" i="7"/>
  <c r="VTW6" i="7"/>
  <c r="VTX6" i="7"/>
  <c r="VTY6" i="7"/>
  <c r="VTZ6" i="7"/>
  <c r="VUA6" i="7"/>
  <c r="VUB6" i="7"/>
  <c r="VUC6" i="7"/>
  <c r="VUD6" i="7"/>
  <c r="VUE6" i="7"/>
  <c r="VUF6" i="7"/>
  <c r="VUG6" i="7"/>
  <c r="VUH6" i="7"/>
  <c r="VUI6" i="7"/>
  <c r="VUJ6" i="7"/>
  <c r="VUK6" i="7"/>
  <c r="VUL6" i="7"/>
  <c r="VUM6" i="7"/>
  <c r="VUN6" i="7"/>
  <c r="VUO6" i="7"/>
  <c r="VUP6" i="7"/>
  <c r="VUQ6" i="7"/>
  <c r="VUR6" i="7"/>
  <c r="VUS6" i="7"/>
  <c r="VUT6" i="7"/>
  <c r="VUU6" i="7"/>
  <c r="VUV6" i="7"/>
  <c r="VUW6" i="7"/>
  <c r="VUX6" i="7"/>
  <c r="VUY6" i="7"/>
  <c r="VUZ6" i="7"/>
  <c r="VVA6" i="7"/>
  <c r="VVB6" i="7"/>
  <c r="VVC6" i="7"/>
  <c r="VVD6" i="7"/>
  <c r="VVE6" i="7"/>
  <c r="VVF6" i="7"/>
  <c r="VVG6" i="7"/>
  <c r="VVH6" i="7"/>
  <c r="VVI6" i="7"/>
  <c r="VVJ6" i="7"/>
  <c r="VVK6" i="7"/>
  <c r="VVL6" i="7"/>
  <c r="VVM6" i="7"/>
  <c r="VVN6" i="7"/>
  <c r="VVO6" i="7"/>
  <c r="VVP6" i="7"/>
  <c r="VVQ6" i="7"/>
  <c r="VVR6" i="7"/>
  <c r="VVS6" i="7"/>
  <c r="VVT6" i="7"/>
  <c r="VVU6" i="7"/>
  <c r="VVV6" i="7"/>
  <c r="VVW6" i="7"/>
  <c r="VVX6" i="7"/>
  <c r="VVY6" i="7"/>
  <c r="VVZ6" i="7"/>
  <c r="VWA6" i="7"/>
  <c r="VWB6" i="7"/>
  <c r="VWC6" i="7"/>
  <c r="VWD6" i="7"/>
  <c r="VWE6" i="7"/>
  <c r="VWF6" i="7"/>
  <c r="VWG6" i="7"/>
  <c r="VWH6" i="7"/>
  <c r="VWI6" i="7"/>
  <c r="VWJ6" i="7"/>
  <c r="VWK6" i="7"/>
  <c r="VWL6" i="7"/>
  <c r="VWM6" i="7"/>
  <c r="VWN6" i="7"/>
  <c r="VWO6" i="7"/>
  <c r="VWP6" i="7"/>
  <c r="VWQ6" i="7"/>
  <c r="VWR6" i="7"/>
  <c r="VWS6" i="7"/>
  <c r="VWT6" i="7"/>
  <c r="VWU6" i="7"/>
  <c r="VWV6" i="7"/>
  <c r="VWW6" i="7"/>
  <c r="VWX6" i="7"/>
  <c r="VWY6" i="7"/>
  <c r="VWZ6" i="7"/>
  <c r="VXA6" i="7"/>
  <c r="VXB6" i="7"/>
  <c r="VXC6" i="7"/>
  <c r="VXD6" i="7"/>
  <c r="VXE6" i="7"/>
  <c r="VXF6" i="7"/>
  <c r="VXG6" i="7"/>
  <c r="VXH6" i="7"/>
  <c r="VXI6" i="7"/>
  <c r="VXJ6" i="7"/>
  <c r="VXK6" i="7"/>
  <c r="VXL6" i="7"/>
  <c r="VXM6" i="7"/>
  <c r="VXN6" i="7"/>
  <c r="VXO6" i="7"/>
  <c r="VXP6" i="7"/>
  <c r="VXQ6" i="7"/>
  <c r="VXR6" i="7"/>
  <c r="VXS6" i="7"/>
  <c r="VXT6" i="7"/>
  <c r="VXU6" i="7"/>
  <c r="VXV6" i="7"/>
  <c r="VXW6" i="7"/>
  <c r="VXX6" i="7"/>
  <c r="VXY6" i="7"/>
  <c r="VXZ6" i="7"/>
  <c r="VYA6" i="7"/>
  <c r="VYB6" i="7"/>
  <c r="VYC6" i="7"/>
  <c r="VYD6" i="7"/>
  <c r="VYE6" i="7"/>
  <c r="VYF6" i="7"/>
  <c r="VYG6" i="7"/>
  <c r="VYH6" i="7"/>
  <c r="VYI6" i="7"/>
  <c r="VYJ6" i="7"/>
  <c r="VYK6" i="7"/>
  <c r="VYL6" i="7"/>
  <c r="VYM6" i="7"/>
  <c r="VYN6" i="7"/>
  <c r="VYO6" i="7"/>
  <c r="VYP6" i="7"/>
  <c r="VYQ6" i="7"/>
  <c r="VYR6" i="7"/>
  <c r="VYS6" i="7"/>
  <c r="VYT6" i="7"/>
  <c r="VYU6" i="7"/>
  <c r="VYV6" i="7"/>
  <c r="VYW6" i="7"/>
  <c r="VYX6" i="7"/>
  <c r="VYY6" i="7"/>
  <c r="VYZ6" i="7"/>
  <c r="VZA6" i="7"/>
  <c r="VZB6" i="7"/>
  <c r="VZC6" i="7"/>
  <c r="VZD6" i="7"/>
  <c r="VZE6" i="7"/>
  <c r="VZF6" i="7"/>
  <c r="VZG6" i="7"/>
  <c r="VZH6" i="7"/>
  <c r="VZI6" i="7"/>
  <c r="VZJ6" i="7"/>
  <c r="VZK6" i="7"/>
  <c r="VZL6" i="7"/>
  <c r="VZM6" i="7"/>
  <c r="VZN6" i="7"/>
  <c r="VZO6" i="7"/>
  <c r="VZP6" i="7"/>
  <c r="VZQ6" i="7"/>
  <c r="VZR6" i="7"/>
  <c r="VZS6" i="7"/>
  <c r="VZT6" i="7"/>
  <c r="VZU6" i="7"/>
  <c r="VZV6" i="7"/>
  <c r="VZW6" i="7"/>
  <c r="VZX6" i="7"/>
  <c r="VZY6" i="7"/>
  <c r="VZZ6" i="7"/>
  <c r="WAA6" i="7"/>
  <c r="WAB6" i="7"/>
  <c r="WAC6" i="7"/>
  <c r="WAD6" i="7"/>
  <c r="WAE6" i="7"/>
  <c r="WAF6" i="7"/>
  <c r="WAG6" i="7"/>
  <c r="WAH6" i="7"/>
  <c r="WAI6" i="7"/>
  <c r="WAJ6" i="7"/>
  <c r="WAK6" i="7"/>
  <c r="WAL6" i="7"/>
  <c r="WAM6" i="7"/>
  <c r="WAN6" i="7"/>
  <c r="WAO6" i="7"/>
  <c r="WAP6" i="7"/>
  <c r="WAQ6" i="7"/>
  <c r="WAR6" i="7"/>
  <c r="WAS6" i="7"/>
  <c r="WAT6" i="7"/>
  <c r="WAU6" i="7"/>
  <c r="WAV6" i="7"/>
  <c r="WAW6" i="7"/>
  <c r="WAX6" i="7"/>
  <c r="WAY6" i="7"/>
  <c r="WAZ6" i="7"/>
  <c r="WBA6" i="7"/>
  <c r="WBB6" i="7"/>
  <c r="WBC6" i="7"/>
  <c r="WBD6" i="7"/>
  <c r="WBE6" i="7"/>
  <c r="WBF6" i="7"/>
  <c r="WBG6" i="7"/>
  <c r="WBH6" i="7"/>
  <c r="WBI6" i="7"/>
  <c r="WBJ6" i="7"/>
  <c r="WBK6" i="7"/>
  <c r="WBL6" i="7"/>
  <c r="WBM6" i="7"/>
  <c r="WBN6" i="7"/>
  <c r="WBO6" i="7"/>
  <c r="WBP6" i="7"/>
  <c r="WBQ6" i="7"/>
  <c r="WBR6" i="7"/>
  <c r="WBS6" i="7"/>
  <c r="WBT6" i="7"/>
  <c r="WBU6" i="7"/>
  <c r="WBV6" i="7"/>
  <c r="WBW6" i="7"/>
  <c r="WBX6" i="7"/>
  <c r="WBY6" i="7"/>
  <c r="WBZ6" i="7"/>
  <c r="WCA6" i="7"/>
  <c r="WCB6" i="7"/>
  <c r="WCC6" i="7"/>
  <c r="WCD6" i="7"/>
  <c r="WCE6" i="7"/>
  <c r="WCF6" i="7"/>
  <c r="WCG6" i="7"/>
  <c r="WCH6" i="7"/>
  <c r="WCI6" i="7"/>
  <c r="WCJ6" i="7"/>
  <c r="WCK6" i="7"/>
  <c r="WCL6" i="7"/>
  <c r="WCM6" i="7"/>
  <c r="WCN6" i="7"/>
  <c r="WCO6" i="7"/>
  <c r="WCP6" i="7"/>
  <c r="WCQ6" i="7"/>
  <c r="WCR6" i="7"/>
  <c r="WCS6" i="7"/>
  <c r="WCT6" i="7"/>
  <c r="WCU6" i="7"/>
  <c r="WCV6" i="7"/>
  <c r="WCW6" i="7"/>
  <c r="WCX6" i="7"/>
  <c r="WCY6" i="7"/>
  <c r="WCZ6" i="7"/>
  <c r="WDA6" i="7"/>
  <c r="WDB6" i="7"/>
  <c r="WDC6" i="7"/>
  <c r="WDD6" i="7"/>
  <c r="WDE6" i="7"/>
  <c r="WDF6" i="7"/>
  <c r="WDG6" i="7"/>
  <c r="WDH6" i="7"/>
  <c r="WDI6" i="7"/>
  <c r="WDJ6" i="7"/>
  <c r="WDK6" i="7"/>
  <c r="WDL6" i="7"/>
  <c r="WDM6" i="7"/>
  <c r="WDN6" i="7"/>
  <c r="WDO6" i="7"/>
  <c r="WDP6" i="7"/>
  <c r="WDQ6" i="7"/>
  <c r="WDR6" i="7"/>
  <c r="WDS6" i="7"/>
  <c r="WDT6" i="7"/>
  <c r="WDU6" i="7"/>
  <c r="WDV6" i="7"/>
  <c r="WDW6" i="7"/>
  <c r="WDX6" i="7"/>
  <c r="WDY6" i="7"/>
  <c r="WDZ6" i="7"/>
  <c r="WEA6" i="7"/>
  <c r="WEB6" i="7"/>
  <c r="WEC6" i="7"/>
  <c r="WED6" i="7"/>
  <c r="WEE6" i="7"/>
  <c r="WEF6" i="7"/>
  <c r="WEG6" i="7"/>
  <c r="WEH6" i="7"/>
  <c r="WEI6" i="7"/>
  <c r="WEJ6" i="7"/>
  <c r="WEK6" i="7"/>
  <c r="WEL6" i="7"/>
  <c r="WEM6" i="7"/>
  <c r="WEN6" i="7"/>
  <c r="WEO6" i="7"/>
  <c r="WEP6" i="7"/>
  <c r="WEQ6" i="7"/>
  <c r="WER6" i="7"/>
  <c r="WES6" i="7"/>
  <c r="WET6" i="7"/>
  <c r="WEU6" i="7"/>
  <c r="WEV6" i="7"/>
  <c r="WEW6" i="7"/>
  <c r="WEX6" i="7"/>
  <c r="WEY6" i="7"/>
  <c r="WEZ6" i="7"/>
  <c r="WFA6" i="7"/>
  <c r="WFB6" i="7"/>
  <c r="WFC6" i="7"/>
  <c r="WFD6" i="7"/>
  <c r="WFE6" i="7"/>
  <c r="WFF6" i="7"/>
  <c r="WFG6" i="7"/>
  <c r="WFH6" i="7"/>
  <c r="WFI6" i="7"/>
  <c r="WFJ6" i="7"/>
  <c r="WFK6" i="7"/>
  <c r="WFL6" i="7"/>
  <c r="WFM6" i="7"/>
  <c r="WFN6" i="7"/>
  <c r="WFO6" i="7"/>
  <c r="WFP6" i="7"/>
  <c r="WFQ6" i="7"/>
  <c r="WFR6" i="7"/>
  <c r="WFS6" i="7"/>
  <c r="WFT6" i="7"/>
  <c r="WFU6" i="7"/>
  <c r="WFV6" i="7"/>
  <c r="WFW6" i="7"/>
  <c r="WFX6" i="7"/>
  <c r="WFY6" i="7"/>
  <c r="WFZ6" i="7"/>
  <c r="WGA6" i="7"/>
  <c r="WGB6" i="7"/>
  <c r="WGC6" i="7"/>
  <c r="WGD6" i="7"/>
  <c r="WGE6" i="7"/>
  <c r="WGF6" i="7"/>
  <c r="WGG6" i="7"/>
  <c r="WGH6" i="7"/>
  <c r="WGI6" i="7"/>
  <c r="WGJ6" i="7"/>
  <c r="WGK6" i="7"/>
  <c r="WGL6" i="7"/>
  <c r="WGM6" i="7"/>
  <c r="WGN6" i="7"/>
  <c r="WGO6" i="7"/>
  <c r="WGP6" i="7"/>
  <c r="WGQ6" i="7"/>
  <c r="WGR6" i="7"/>
  <c r="WGS6" i="7"/>
  <c r="WGT6" i="7"/>
  <c r="WGU6" i="7"/>
  <c r="WGV6" i="7"/>
  <c r="WGW6" i="7"/>
  <c r="WGX6" i="7"/>
  <c r="WGY6" i="7"/>
  <c r="WGZ6" i="7"/>
  <c r="WHA6" i="7"/>
  <c r="WHB6" i="7"/>
  <c r="WHC6" i="7"/>
  <c r="WHD6" i="7"/>
  <c r="WHE6" i="7"/>
  <c r="WHF6" i="7"/>
  <c r="WHG6" i="7"/>
  <c r="WHH6" i="7"/>
  <c r="WHI6" i="7"/>
  <c r="WHJ6" i="7"/>
  <c r="WHK6" i="7"/>
  <c r="WHL6" i="7"/>
  <c r="WHM6" i="7"/>
  <c r="WHN6" i="7"/>
  <c r="WHO6" i="7"/>
  <c r="WHP6" i="7"/>
  <c r="WHQ6" i="7"/>
  <c r="WHR6" i="7"/>
  <c r="WHS6" i="7"/>
  <c r="WHT6" i="7"/>
  <c r="WHU6" i="7"/>
  <c r="WHV6" i="7"/>
  <c r="WHW6" i="7"/>
  <c r="WHX6" i="7"/>
  <c r="WHY6" i="7"/>
  <c r="WHZ6" i="7"/>
  <c r="WIA6" i="7"/>
  <c r="WIB6" i="7"/>
  <c r="WIC6" i="7"/>
  <c r="WID6" i="7"/>
  <c r="WIE6" i="7"/>
  <c r="WIF6" i="7"/>
  <c r="WIG6" i="7"/>
  <c r="WIH6" i="7"/>
  <c r="WII6" i="7"/>
  <c r="WIJ6" i="7"/>
  <c r="WIK6" i="7"/>
  <c r="WIL6" i="7"/>
  <c r="WIM6" i="7"/>
  <c r="WIN6" i="7"/>
  <c r="WIO6" i="7"/>
  <c r="WIP6" i="7"/>
  <c r="WIQ6" i="7"/>
  <c r="WIR6" i="7"/>
  <c r="WIS6" i="7"/>
  <c r="WIT6" i="7"/>
  <c r="WIU6" i="7"/>
  <c r="WIV6" i="7"/>
  <c r="WIW6" i="7"/>
  <c r="WIX6" i="7"/>
  <c r="WIY6" i="7"/>
  <c r="WIZ6" i="7"/>
  <c r="WJA6" i="7"/>
  <c r="WJB6" i="7"/>
  <c r="WJC6" i="7"/>
  <c r="WJD6" i="7"/>
  <c r="WJE6" i="7"/>
  <c r="WJF6" i="7"/>
  <c r="WJG6" i="7"/>
  <c r="WJH6" i="7"/>
  <c r="WJI6" i="7"/>
  <c r="WJJ6" i="7"/>
  <c r="WJK6" i="7"/>
  <c r="WJL6" i="7"/>
  <c r="WJM6" i="7"/>
  <c r="WJN6" i="7"/>
  <c r="WJO6" i="7"/>
  <c r="WJP6" i="7"/>
  <c r="WJQ6" i="7"/>
  <c r="WJR6" i="7"/>
  <c r="WJS6" i="7"/>
  <c r="WJT6" i="7"/>
  <c r="WJU6" i="7"/>
  <c r="WJV6" i="7"/>
  <c r="WJW6" i="7"/>
  <c r="WJX6" i="7"/>
  <c r="WJY6" i="7"/>
  <c r="WJZ6" i="7"/>
  <c r="WKA6" i="7"/>
  <c r="WKB6" i="7"/>
  <c r="WKC6" i="7"/>
  <c r="WKD6" i="7"/>
  <c r="WKE6" i="7"/>
  <c r="WKF6" i="7"/>
  <c r="WKG6" i="7"/>
  <c r="WKH6" i="7"/>
  <c r="WKI6" i="7"/>
  <c r="WKJ6" i="7"/>
  <c r="WKK6" i="7"/>
  <c r="WKL6" i="7"/>
  <c r="WKM6" i="7"/>
  <c r="WKN6" i="7"/>
  <c r="WKO6" i="7"/>
  <c r="WKP6" i="7"/>
  <c r="WKQ6" i="7"/>
  <c r="WKR6" i="7"/>
  <c r="WKS6" i="7"/>
  <c r="WKT6" i="7"/>
  <c r="WKU6" i="7"/>
  <c r="WKV6" i="7"/>
  <c r="WKW6" i="7"/>
  <c r="WKX6" i="7"/>
  <c r="WKY6" i="7"/>
  <c r="WKZ6" i="7"/>
  <c r="WLA6" i="7"/>
  <c r="WLB6" i="7"/>
  <c r="WLC6" i="7"/>
  <c r="WLD6" i="7"/>
  <c r="WLE6" i="7"/>
  <c r="WLF6" i="7"/>
  <c r="WLG6" i="7"/>
  <c r="WLH6" i="7"/>
  <c r="WLI6" i="7"/>
  <c r="WLJ6" i="7"/>
  <c r="WLK6" i="7"/>
  <c r="WLL6" i="7"/>
  <c r="WLM6" i="7"/>
  <c r="WLN6" i="7"/>
  <c r="WLO6" i="7"/>
  <c r="WLP6" i="7"/>
  <c r="WLQ6" i="7"/>
  <c r="WLR6" i="7"/>
  <c r="WLS6" i="7"/>
  <c r="WLT6" i="7"/>
  <c r="WLU6" i="7"/>
  <c r="WLV6" i="7"/>
  <c r="WLW6" i="7"/>
  <c r="WLX6" i="7"/>
  <c r="WLY6" i="7"/>
  <c r="WLZ6" i="7"/>
  <c r="WMA6" i="7"/>
  <c r="WMB6" i="7"/>
  <c r="WMC6" i="7"/>
  <c r="WMD6" i="7"/>
  <c r="WME6" i="7"/>
  <c r="WMF6" i="7"/>
  <c r="WMG6" i="7"/>
  <c r="WMH6" i="7"/>
  <c r="WMI6" i="7"/>
  <c r="WMJ6" i="7"/>
  <c r="WMK6" i="7"/>
  <c r="WML6" i="7"/>
  <c r="WMM6" i="7"/>
  <c r="WMN6" i="7"/>
  <c r="WMO6" i="7"/>
  <c r="WMP6" i="7"/>
  <c r="WMQ6" i="7"/>
  <c r="WMR6" i="7"/>
  <c r="WMS6" i="7"/>
  <c r="WMT6" i="7"/>
  <c r="WMU6" i="7"/>
  <c r="WMV6" i="7"/>
  <c r="WMW6" i="7"/>
  <c r="WMX6" i="7"/>
  <c r="WMY6" i="7"/>
  <c r="WMZ6" i="7"/>
  <c r="WNA6" i="7"/>
  <c r="WNB6" i="7"/>
  <c r="WNC6" i="7"/>
  <c r="WND6" i="7"/>
  <c r="WNE6" i="7"/>
  <c r="WNF6" i="7"/>
  <c r="WNG6" i="7"/>
  <c r="WNH6" i="7"/>
  <c r="WNI6" i="7"/>
  <c r="WNJ6" i="7"/>
  <c r="WNK6" i="7"/>
  <c r="WNL6" i="7"/>
  <c r="WNM6" i="7"/>
  <c r="WNN6" i="7"/>
  <c r="WNO6" i="7"/>
  <c r="WNP6" i="7"/>
  <c r="WNQ6" i="7"/>
  <c r="WNR6" i="7"/>
  <c r="WNS6" i="7"/>
  <c r="WNT6" i="7"/>
  <c r="WNU6" i="7"/>
  <c r="WNV6" i="7"/>
  <c r="WNW6" i="7"/>
  <c r="WNX6" i="7"/>
  <c r="WNY6" i="7"/>
  <c r="WNZ6" i="7"/>
  <c r="WOA6" i="7"/>
  <c r="WOB6" i="7"/>
  <c r="WOC6" i="7"/>
  <c r="WOD6" i="7"/>
  <c r="WOE6" i="7"/>
  <c r="WOF6" i="7"/>
  <c r="WOG6" i="7"/>
  <c r="WOH6" i="7"/>
  <c r="WOI6" i="7"/>
  <c r="WOJ6" i="7"/>
  <c r="WOK6" i="7"/>
  <c r="WOL6" i="7"/>
  <c r="WOM6" i="7"/>
  <c r="WON6" i="7"/>
  <c r="WOO6" i="7"/>
  <c r="WOP6" i="7"/>
  <c r="WOQ6" i="7"/>
  <c r="WOR6" i="7"/>
  <c r="WOS6" i="7"/>
  <c r="WOT6" i="7"/>
  <c r="WOU6" i="7"/>
  <c r="WOV6" i="7"/>
  <c r="WOW6" i="7"/>
  <c r="WOX6" i="7"/>
  <c r="WOY6" i="7"/>
  <c r="WOZ6" i="7"/>
  <c r="WPA6" i="7"/>
  <c r="WPB6" i="7"/>
  <c r="WPC6" i="7"/>
  <c r="WPD6" i="7"/>
  <c r="WPE6" i="7"/>
  <c r="WPF6" i="7"/>
  <c r="WPG6" i="7"/>
  <c r="WPH6" i="7"/>
  <c r="WPI6" i="7"/>
  <c r="WPJ6" i="7"/>
  <c r="WPK6" i="7"/>
  <c r="WPL6" i="7"/>
  <c r="WPM6" i="7"/>
  <c r="WPN6" i="7"/>
  <c r="WPO6" i="7"/>
  <c r="WPP6" i="7"/>
  <c r="WPQ6" i="7"/>
  <c r="WPR6" i="7"/>
  <c r="WPS6" i="7"/>
  <c r="WPT6" i="7"/>
  <c r="WPU6" i="7"/>
  <c r="WPV6" i="7"/>
  <c r="WPW6" i="7"/>
  <c r="WPX6" i="7"/>
  <c r="WPY6" i="7"/>
  <c r="WPZ6" i="7"/>
  <c r="WQA6" i="7"/>
  <c r="WQB6" i="7"/>
  <c r="WQC6" i="7"/>
  <c r="WQD6" i="7"/>
  <c r="WQE6" i="7"/>
  <c r="WQF6" i="7"/>
  <c r="WQG6" i="7"/>
  <c r="WQH6" i="7"/>
  <c r="WQI6" i="7"/>
  <c r="WQJ6" i="7"/>
  <c r="WQK6" i="7"/>
  <c r="WQL6" i="7"/>
  <c r="WQM6" i="7"/>
  <c r="WQN6" i="7"/>
  <c r="WQO6" i="7"/>
  <c r="WQP6" i="7"/>
  <c r="WQQ6" i="7"/>
  <c r="WQR6" i="7"/>
  <c r="WQS6" i="7"/>
  <c r="WQT6" i="7"/>
  <c r="WQU6" i="7"/>
  <c r="WQV6" i="7"/>
  <c r="WQW6" i="7"/>
  <c r="WQX6" i="7"/>
  <c r="WQY6" i="7"/>
  <c r="WQZ6" i="7"/>
  <c r="WRA6" i="7"/>
  <c r="WRB6" i="7"/>
  <c r="WRC6" i="7"/>
  <c r="WRD6" i="7"/>
  <c r="WRE6" i="7"/>
  <c r="WRF6" i="7"/>
  <c r="WRG6" i="7"/>
  <c r="WRH6" i="7"/>
  <c r="WRI6" i="7"/>
  <c r="WRJ6" i="7"/>
  <c r="WRK6" i="7"/>
  <c r="WRL6" i="7"/>
  <c r="WRM6" i="7"/>
  <c r="WRN6" i="7"/>
  <c r="WRO6" i="7"/>
  <c r="WRP6" i="7"/>
  <c r="WRQ6" i="7"/>
  <c r="WRR6" i="7"/>
  <c r="WRS6" i="7"/>
  <c r="WRT6" i="7"/>
  <c r="WRU6" i="7"/>
  <c r="WRV6" i="7"/>
  <c r="WRW6" i="7"/>
  <c r="WRX6" i="7"/>
  <c r="WRY6" i="7"/>
  <c r="WRZ6" i="7"/>
  <c r="WSA6" i="7"/>
  <c r="WSB6" i="7"/>
  <c r="WSC6" i="7"/>
  <c r="WSD6" i="7"/>
  <c r="WSE6" i="7"/>
  <c r="WSF6" i="7"/>
  <c r="WSG6" i="7"/>
  <c r="WSH6" i="7"/>
  <c r="WSI6" i="7"/>
  <c r="WSJ6" i="7"/>
  <c r="WSK6" i="7"/>
  <c r="WSL6" i="7"/>
  <c r="WSM6" i="7"/>
  <c r="WSN6" i="7"/>
  <c r="WSO6" i="7"/>
  <c r="WSP6" i="7"/>
  <c r="WSQ6" i="7"/>
  <c r="WSR6" i="7"/>
  <c r="WSS6" i="7"/>
  <c r="WST6" i="7"/>
  <c r="WSU6" i="7"/>
  <c r="WSV6" i="7"/>
  <c r="WSW6" i="7"/>
  <c r="WSX6" i="7"/>
  <c r="WSY6" i="7"/>
  <c r="WSZ6" i="7"/>
  <c r="WTA6" i="7"/>
  <c r="WTB6" i="7"/>
  <c r="WTC6" i="7"/>
  <c r="WTD6" i="7"/>
  <c r="WTE6" i="7"/>
  <c r="WTF6" i="7"/>
  <c r="WTG6" i="7"/>
  <c r="WTH6" i="7"/>
  <c r="WTI6" i="7"/>
  <c r="WTJ6" i="7"/>
  <c r="WTK6" i="7"/>
  <c r="WTL6" i="7"/>
  <c r="WTM6" i="7"/>
  <c r="WTN6" i="7"/>
  <c r="WTO6" i="7"/>
  <c r="WTP6" i="7"/>
  <c r="WTQ6" i="7"/>
  <c r="WTR6" i="7"/>
  <c r="WTS6" i="7"/>
  <c r="WTT6" i="7"/>
  <c r="WTU6" i="7"/>
  <c r="WTV6" i="7"/>
  <c r="WTW6" i="7"/>
  <c r="WTX6" i="7"/>
  <c r="WTY6" i="7"/>
  <c r="WTZ6" i="7"/>
  <c r="WUA6" i="7"/>
  <c r="WUB6" i="7"/>
  <c r="WUC6" i="7"/>
  <c r="WUD6" i="7"/>
  <c r="WUE6" i="7"/>
  <c r="WUF6" i="7"/>
  <c r="WUG6" i="7"/>
  <c r="WUH6" i="7"/>
  <c r="WUI6" i="7"/>
  <c r="WUJ6" i="7"/>
  <c r="WUK6" i="7"/>
  <c r="WUL6" i="7"/>
  <c r="WUM6" i="7"/>
  <c r="WUN6" i="7"/>
  <c r="WUO6" i="7"/>
  <c r="WUP6" i="7"/>
  <c r="WUQ6" i="7"/>
  <c r="WUR6" i="7"/>
  <c r="WUS6" i="7"/>
  <c r="WUT6" i="7"/>
  <c r="WUU6" i="7"/>
  <c r="WUV6" i="7"/>
  <c r="WUW6" i="7"/>
  <c r="WUX6" i="7"/>
  <c r="WUY6" i="7"/>
  <c r="WUZ6" i="7"/>
  <c r="WVA6" i="7"/>
  <c r="WVB6" i="7"/>
  <c r="WVC6" i="7"/>
  <c r="WVD6" i="7"/>
  <c r="WVE6" i="7"/>
  <c r="WVF6" i="7"/>
  <c r="WVG6" i="7"/>
  <c r="WVH6" i="7"/>
  <c r="WVI6" i="7"/>
  <c r="WVJ6" i="7"/>
  <c r="WVK6" i="7"/>
  <c r="WVL6" i="7"/>
  <c r="WVM6" i="7"/>
  <c r="WVN6" i="7"/>
  <c r="WVO6" i="7"/>
  <c r="WVP6" i="7"/>
  <c r="WVQ6" i="7"/>
  <c r="WVR6" i="7"/>
  <c r="WVS6" i="7"/>
  <c r="WVT6" i="7"/>
  <c r="WVU6" i="7"/>
  <c r="WVV6" i="7"/>
  <c r="WVW6" i="7"/>
  <c r="WVX6" i="7"/>
  <c r="WVY6" i="7"/>
  <c r="WVZ6" i="7"/>
  <c r="WWA6" i="7"/>
  <c r="WWB6" i="7"/>
  <c r="WWC6" i="7"/>
  <c r="WWD6" i="7"/>
  <c r="WWE6" i="7"/>
  <c r="WWF6" i="7"/>
  <c r="WWG6" i="7"/>
  <c r="WWH6" i="7"/>
  <c r="WWI6" i="7"/>
  <c r="WWJ6" i="7"/>
  <c r="WWK6" i="7"/>
  <c r="WWL6" i="7"/>
  <c r="WWM6" i="7"/>
  <c r="WWN6" i="7"/>
  <c r="WWO6" i="7"/>
  <c r="WWP6" i="7"/>
  <c r="WWQ6" i="7"/>
  <c r="WWR6" i="7"/>
  <c r="WWS6" i="7"/>
  <c r="WWT6" i="7"/>
  <c r="WWU6" i="7"/>
  <c r="WWV6" i="7"/>
  <c r="WWW6" i="7"/>
  <c r="WWX6" i="7"/>
  <c r="WWY6" i="7"/>
  <c r="WWZ6" i="7"/>
  <c r="WXA6" i="7"/>
  <c r="WXB6" i="7"/>
  <c r="WXC6" i="7"/>
  <c r="WXD6" i="7"/>
  <c r="WXE6" i="7"/>
  <c r="WXF6" i="7"/>
  <c r="WXG6" i="7"/>
  <c r="WXH6" i="7"/>
  <c r="WXI6" i="7"/>
  <c r="WXJ6" i="7"/>
  <c r="WXK6" i="7"/>
  <c r="WXL6" i="7"/>
  <c r="WXM6" i="7"/>
  <c r="WXN6" i="7"/>
  <c r="WXO6" i="7"/>
  <c r="WXP6" i="7"/>
  <c r="WXQ6" i="7"/>
  <c r="WXR6" i="7"/>
  <c r="WXS6" i="7"/>
  <c r="WXT6" i="7"/>
  <c r="WXU6" i="7"/>
  <c r="WXV6" i="7"/>
  <c r="WXW6" i="7"/>
  <c r="WXX6" i="7"/>
  <c r="WXY6" i="7"/>
  <c r="WXZ6" i="7"/>
  <c r="WYA6" i="7"/>
  <c r="WYB6" i="7"/>
  <c r="WYC6" i="7"/>
  <c r="WYD6" i="7"/>
  <c r="WYE6" i="7"/>
  <c r="WYF6" i="7"/>
  <c r="WYG6" i="7"/>
  <c r="WYH6" i="7"/>
  <c r="WYI6" i="7"/>
  <c r="WYJ6" i="7"/>
  <c r="WYK6" i="7"/>
  <c r="WYL6" i="7"/>
  <c r="WYM6" i="7"/>
  <c r="WYN6" i="7"/>
  <c r="WYO6" i="7"/>
  <c r="WYP6" i="7"/>
  <c r="WYQ6" i="7"/>
  <c r="WYR6" i="7"/>
  <c r="WYS6" i="7"/>
  <c r="WYT6" i="7"/>
  <c r="WYU6" i="7"/>
  <c r="WYV6" i="7"/>
  <c r="WYW6" i="7"/>
  <c r="WYX6" i="7"/>
  <c r="WYY6" i="7"/>
  <c r="WYZ6" i="7"/>
  <c r="WZA6" i="7"/>
  <c r="WZB6" i="7"/>
  <c r="WZC6" i="7"/>
  <c r="WZD6" i="7"/>
  <c r="WZE6" i="7"/>
  <c r="WZF6" i="7"/>
  <c r="WZG6" i="7"/>
  <c r="WZH6" i="7"/>
  <c r="WZI6" i="7"/>
  <c r="WZJ6" i="7"/>
  <c r="WZK6" i="7"/>
  <c r="WZL6" i="7"/>
  <c r="WZM6" i="7"/>
  <c r="WZN6" i="7"/>
  <c r="WZO6" i="7"/>
  <c r="WZP6" i="7"/>
  <c r="WZQ6" i="7"/>
  <c r="WZR6" i="7"/>
  <c r="WZS6" i="7"/>
  <c r="WZT6" i="7"/>
  <c r="WZU6" i="7"/>
  <c r="WZV6" i="7"/>
  <c r="WZW6" i="7"/>
  <c r="WZX6" i="7"/>
  <c r="WZY6" i="7"/>
  <c r="WZZ6" i="7"/>
  <c r="XAA6" i="7"/>
  <c r="XAB6" i="7"/>
  <c r="XAC6" i="7"/>
  <c r="XAD6" i="7"/>
  <c r="XAE6" i="7"/>
  <c r="XAF6" i="7"/>
  <c r="XAG6" i="7"/>
  <c r="XAH6" i="7"/>
  <c r="XAI6" i="7"/>
  <c r="XAJ6" i="7"/>
  <c r="XAK6" i="7"/>
  <c r="XAL6" i="7"/>
  <c r="XAM6" i="7"/>
  <c r="XAN6" i="7"/>
  <c r="XAO6" i="7"/>
  <c r="XAP6" i="7"/>
  <c r="XAQ6" i="7"/>
  <c r="XAR6" i="7"/>
  <c r="XAS6" i="7"/>
  <c r="XAT6" i="7"/>
  <c r="XAU6" i="7"/>
  <c r="XAV6" i="7"/>
  <c r="XAW6" i="7"/>
  <c r="XAX6" i="7"/>
  <c r="XAY6" i="7"/>
  <c r="XAZ6" i="7"/>
  <c r="XBA6" i="7"/>
  <c r="XBB6" i="7"/>
  <c r="XBC6" i="7"/>
  <c r="XBD6" i="7"/>
  <c r="XBE6" i="7"/>
  <c r="XBF6" i="7"/>
  <c r="XBG6" i="7"/>
  <c r="XBH6" i="7"/>
  <c r="XBI6" i="7"/>
  <c r="XBJ6" i="7"/>
  <c r="XBK6" i="7"/>
  <c r="XBL6" i="7"/>
  <c r="XBM6" i="7"/>
  <c r="XBN6" i="7"/>
  <c r="XBO6" i="7"/>
  <c r="XBP6" i="7"/>
  <c r="XBQ6" i="7"/>
  <c r="XBR6" i="7"/>
  <c r="XBS6" i="7"/>
  <c r="XBT6" i="7"/>
  <c r="XBU6" i="7"/>
  <c r="XBV6" i="7"/>
  <c r="XBW6" i="7"/>
  <c r="XBX6" i="7"/>
  <c r="XBY6" i="7"/>
  <c r="XBZ6" i="7"/>
  <c r="XCA6" i="7"/>
  <c r="XCB6" i="7"/>
  <c r="XCC6" i="7"/>
  <c r="XCD6" i="7"/>
  <c r="XCE6" i="7"/>
  <c r="XCF6" i="7"/>
  <c r="XCG6" i="7"/>
  <c r="XCH6" i="7"/>
  <c r="XCI6" i="7"/>
  <c r="XCJ6" i="7"/>
  <c r="XCK6" i="7"/>
  <c r="XCL6" i="7"/>
  <c r="XCM6" i="7"/>
  <c r="XCN6" i="7"/>
  <c r="XCO6" i="7"/>
  <c r="XCP6" i="7"/>
  <c r="XCQ6" i="7"/>
  <c r="XCR6" i="7"/>
  <c r="XCS6" i="7"/>
  <c r="XCT6" i="7"/>
  <c r="XCU6" i="7"/>
  <c r="XCV6" i="7"/>
  <c r="XCW6" i="7"/>
  <c r="XCX6" i="7"/>
  <c r="XCY6" i="7"/>
  <c r="XCZ6" i="7"/>
  <c r="XDA6" i="7"/>
  <c r="XDB6" i="7"/>
  <c r="XDC6" i="7"/>
  <c r="XDD6" i="7"/>
  <c r="XDE6" i="7"/>
  <c r="XDF6" i="7"/>
  <c r="XDG6" i="7"/>
  <c r="XDH6" i="7"/>
  <c r="XDI6" i="7"/>
  <c r="XDJ6" i="7"/>
  <c r="XDK6" i="7"/>
  <c r="XDL6" i="7"/>
  <c r="XDM6" i="7"/>
  <c r="XDN6" i="7"/>
  <c r="XDO6" i="7"/>
  <c r="XDP6" i="7"/>
  <c r="XDQ6" i="7"/>
  <c r="XDR6" i="7"/>
  <c r="XDS6" i="7"/>
  <c r="XDT6" i="7"/>
  <c r="XDU6" i="7"/>
  <c r="XDV6" i="7"/>
  <c r="XDW6" i="7"/>
  <c r="XDX6" i="7"/>
  <c r="XDY6" i="7"/>
  <c r="XDZ6" i="7"/>
  <c r="XEA6" i="7"/>
  <c r="XEB6" i="7"/>
  <c r="XEC6" i="7"/>
  <c r="XED6" i="7"/>
  <c r="XEE6" i="7"/>
  <c r="XEF6" i="7"/>
  <c r="XEG6" i="7"/>
  <c r="XEH6" i="7"/>
  <c r="XEI6" i="7"/>
  <c r="XEJ6" i="7"/>
  <c r="XEK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BV6" i="7"/>
  <c r="BW6" i="7"/>
  <c r="BX6" i="7"/>
  <c r="BY6" i="7"/>
  <c r="BZ6" i="7"/>
  <c r="CA6" i="7"/>
  <c r="CB6" i="7"/>
  <c r="CC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F6" i="7"/>
  <c r="AB20" i="7"/>
  <c r="AB19" i="7" s="1"/>
  <c r="AB17" i="7"/>
  <c r="D24" i="2"/>
  <c r="D14" i="2"/>
  <c r="C24" i="2"/>
  <c r="D15" i="2"/>
  <c r="C20" i="2"/>
  <c r="C25" i="2"/>
  <c r="D20" i="2"/>
  <c r="D25" i="2"/>
  <c r="D18" i="2"/>
  <c r="C23" i="2"/>
  <c r="C18" i="2"/>
  <c r="D19" i="2"/>
  <c r="C19" i="2"/>
  <c r="C14" i="2"/>
  <c r="F23" i="12" l="1"/>
  <c r="E23" i="12"/>
  <c r="F22" i="12"/>
  <c r="E22" i="12"/>
  <c r="E21" i="12"/>
  <c r="F16" i="12"/>
  <c r="E16" i="12"/>
  <c r="F15" i="12"/>
  <c r="E15" i="12"/>
  <c r="F14" i="12"/>
  <c r="E14" i="12"/>
  <c r="I24" i="2"/>
  <c r="J24" i="2" s="1"/>
  <c r="N20" i="2"/>
  <c r="O20" i="2" s="1"/>
  <c r="I20" i="2"/>
  <c r="K20" i="2" s="1"/>
  <c r="I25" i="2"/>
  <c r="K25" i="2" s="1"/>
  <c r="N25" i="2"/>
  <c r="O25" i="2" s="1"/>
  <c r="N24" i="2"/>
  <c r="P24" i="2" s="1"/>
  <c r="AA17" i="7"/>
  <c r="AA19" i="7"/>
  <c r="AB18" i="7"/>
  <c r="K24" i="2" l="1"/>
  <c r="L24" i="2" s="1"/>
  <c r="P25" i="2"/>
  <c r="Q25" i="2" s="1"/>
  <c r="J20" i="2"/>
  <c r="L20" i="2" s="1"/>
  <c r="J25" i="2"/>
  <c r="L25" i="2" s="1"/>
  <c r="P20" i="2"/>
  <c r="Q20" i="2" s="1"/>
  <c r="O24" i="2"/>
  <c r="Q24" i="2" s="1"/>
  <c r="AA18" i="7"/>
  <c r="Z17" i="7"/>
  <c r="Z19" i="7"/>
  <c r="S25" i="2" l="1"/>
  <c r="F25" i="2" s="1"/>
  <c r="S24" i="2"/>
  <c r="F24" i="2" s="1"/>
  <c r="S20" i="2"/>
  <c r="F20" i="2" s="1"/>
  <c r="Y17" i="7"/>
  <c r="Y19" i="7"/>
  <c r="Z18" i="7"/>
  <c r="E25" i="2" l="1"/>
  <c r="G23" i="12"/>
  <c r="E24" i="2"/>
  <c r="G22" i="12"/>
  <c r="E20" i="2"/>
  <c r="G15" i="12"/>
  <c r="X19" i="7"/>
  <c r="Y18" i="7"/>
  <c r="X17" i="7"/>
  <c r="W17" i="7" l="1"/>
  <c r="W19" i="7"/>
  <c r="X18" i="7"/>
  <c r="V19" i="7" l="1"/>
  <c r="V17" i="7"/>
  <c r="W18" i="7"/>
  <c r="U17" i="7" l="1"/>
  <c r="U19" i="7"/>
  <c r="V18" i="7"/>
  <c r="T19" i="7" l="1"/>
  <c r="U18" i="7"/>
  <c r="T17" i="7"/>
  <c r="S17" i="7" l="1"/>
  <c r="T18" i="7"/>
  <c r="S19" i="7"/>
  <c r="R19" i="7" l="1"/>
  <c r="S18" i="7"/>
  <c r="R17" i="7"/>
  <c r="Q17" i="7" l="1"/>
  <c r="Q19" i="7"/>
  <c r="R18" i="7"/>
  <c r="Q18" i="7" l="1"/>
  <c r="P19" i="7"/>
  <c r="P17" i="7"/>
  <c r="O17" i="7" l="1"/>
  <c r="O19" i="7"/>
  <c r="P18" i="7"/>
  <c r="N19" i="7" l="1"/>
  <c r="O18" i="7"/>
  <c r="N17" i="7"/>
  <c r="M17" i="7" l="1"/>
  <c r="N18" i="7"/>
  <c r="M19" i="7"/>
  <c r="L19" i="7" l="1"/>
  <c r="M18" i="7"/>
  <c r="L17" i="7"/>
  <c r="K17" i="7" l="1"/>
  <c r="K19" i="7"/>
  <c r="L18" i="7"/>
  <c r="J19" i="7" l="1"/>
  <c r="K18" i="7"/>
  <c r="J17" i="7"/>
  <c r="I17" i="7" l="1"/>
  <c r="I19" i="7"/>
  <c r="J18" i="7"/>
  <c r="H19" i="7" l="1"/>
  <c r="I18" i="7"/>
  <c r="H17" i="7"/>
  <c r="G17" i="7" l="1"/>
  <c r="G19" i="7"/>
  <c r="H18" i="7"/>
  <c r="F19" i="7" l="1"/>
  <c r="G18" i="7"/>
  <c r="F17" i="7"/>
  <c r="E17" i="7" l="1"/>
  <c r="E19" i="7"/>
  <c r="F18" i="7"/>
  <c r="D19" i="7" l="1"/>
  <c r="D18" i="7" s="1"/>
  <c r="E18" i="7"/>
  <c r="D17" i="7"/>
  <c r="P8" i="7" l="1"/>
  <c r="P10" i="7" l="1"/>
  <c r="K8" i="7" l="1"/>
  <c r="P9" i="7"/>
  <c r="F8" i="7"/>
  <c r="J8" i="7"/>
  <c r="N8" i="7"/>
  <c r="G8" i="7"/>
  <c r="D10" i="7"/>
  <c r="D9" i="7" s="1"/>
  <c r="O10" i="7"/>
  <c r="O9" i="7" s="1"/>
  <c r="O8" i="7"/>
  <c r="D8" i="7"/>
  <c r="H8" i="7"/>
  <c r="L8" i="7"/>
  <c r="E8" i="7"/>
  <c r="I8" i="7"/>
  <c r="M8" i="7"/>
  <c r="M10" i="7"/>
  <c r="M9" i="7" s="1"/>
  <c r="K10" i="7"/>
  <c r="K9" i="7" s="1"/>
  <c r="I10" i="7"/>
  <c r="I9" i="7" s="1"/>
  <c r="G10" i="7"/>
  <c r="G9" i="7" s="1"/>
  <c r="E10" i="7"/>
  <c r="E9" i="7" s="1"/>
  <c r="N10" i="7"/>
  <c r="N9" i="7" s="1"/>
  <c r="L10" i="7"/>
  <c r="L9" i="7" s="1"/>
  <c r="J10" i="7"/>
  <c r="J9" i="7" s="1"/>
  <c r="H10" i="7"/>
  <c r="H9" i="7" s="1"/>
  <c r="F10" i="7"/>
  <c r="F9" i="7" s="1"/>
  <c r="K28" i="9" l="1"/>
  <c r="J28" i="9"/>
  <c r="N28" i="9"/>
  <c r="F28" i="9"/>
  <c r="H28" i="9"/>
  <c r="I29" i="9"/>
  <c r="O29" i="9"/>
  <c r="I28" i="9"/>
  <c r="E29" i="9"/>
  <c r="M29" i="9"/>
  <c r="G29" i="9"/>
  <c r="K29" i="9"/>
  <c r="L28" i="9"/>
  <c r="D28" i="9"/>
  <c r="G28" i="9"/>
  <c r="C28" i="9"/>
  <c r="O28" i="9"/>
  <c r="C29" i="9"/>
  <c r="M28" i="9"/>
  <c r="E28" i="9"/>
  <c r="XEJ4" i="7" l="1"/>
  <c r="XEK4" i="7"/>
  <c r="XEJ5" i="7"/>
  <c r="XEK5" i="7"/>
  <c r="XCG4" i="7"/>
  <c r="XCH4" i="7"/>
  <c r="XCI4" i="7"/>
  <c r="XCJ4" i="7"/>
  <c r="XCK4" i="7"/>
  <c r="XCL4" i="7"/>
  <c r="XCM4" i="7"/>
  <c r="XCN4" i="7"/>
  <c r="XCO4" i="7"/>
  <c r="XCP4" i="7"/>
  <c r="XCQ4" i="7"/>
  <c r="XCR4" i="7"/>
  <c r="XCS4" i="7"/>
  <c r="XCT4" i="7"/>
  <c r="XCU4" i="7"/>
  <c r="XCV4" i="7"/>
  <c r="XCW4" i="7"/>
  <c r="XCX4" i="7"/>
  <c r="XCY4" i="7"/>
  <c r="XCZ4" i="7"/>
  <c r="XDA4" i="7"/>
  <c r="XDB4" i="7"/>
  <c r="XDC4" i="7"/>
  <c r="XDD4" i="7"/>
  <c r="XDE4" i="7"/>
  <c r="XDF4" i="7"/>
  <c r="XDG4" i="7"/>
  <c r="XDH4" i="7"/>
  <c r="XDI4" i="7"/>
  <c r="XDJ4" i="7"/>
  <c r="XDK4" i="7"/>
  <c r="XDL4" i="7"/>
  <c r="XDM4" i="7"/>
  <c r="XDN4" i="7"/>
  <c r="XDO4" i="7"/>
  <c r="XDP4" i="7"/>
  <c r="XDQ4" i="7"/>
  <c r="XDR4" i="7"/>
  <c r="XDS4" i="7"/>
  <c r="XDT4" i="7"/>
  <c r="XDU4" i="7"/>
  <c r="XDV4" i="7"/>
  <c r="XDW4" i="7"/>
  <c r="XDX4" i="7"/>
  <c r="XDY4" i="7"/>
  <c r="XDZ4" i="7"/>
  <c r="XEA4" i="7"/>
  <c r="XEB4" i="7"/>
  <c r="XEC4" i="7"/>
  <c r="XED4" i="7"/>
  <c r="XEE4" i="7"/>
  <c r="XEF4" i="7"/>
  <c r="XEG4" i="7"/>
  <c r="XEH4" i="7"/>
  <c r="XEI4" i="7"/>
  <c r="XCG5" i="7"/>
  <c r="XCH5" i="7"/>
  <c r="XCI5" i="7"/>
  <c r="XCJ5" i="7"/>
  <c r="XCK5" i="7"/>
  <c r="XCL5" i="7"/>
  <c r="XCM5" i="7"/>
  <c r="XCN5" i="7"/>
  <c r="XCO5" i="7"/>
  <c r="XCP5" i="7"/>
  <c r="XCQ5" i="7"/>
  <c r="XCR5" i="7"/>
  <c r="XCS5" i="7"/>
  <c r="XCT5" i="7"/>
  <c r="XCU5" i="7"/>
  <c r="XCV5" i="7"/>
  <c r="XCW5" i="7"/>
  <c r="XCX5" i="7"/>
  <c r="XCY5" i="7"/>
  <c r="XCZ5" i="7"/>
  <c r="XDA5" i="7"/>
  <c r="XDB5" i="7"/>
  <c r="XDC5" i="7"/>
  <c r="XDD5" i="7"/>
  <c r="XDE5" i="7"/>
  <c r="XDF5" i="7"/>
  <c r="XDG5" i="7"/>
  <c r="XDH5" i="7"/>
  <c r="XDI5" i="7"/>
  <c r="XDJ5" i="7"/>
  <c r="XDK5" i="7"/>
  <c r="XDL5" i="7"/>
  <c r="XDM5" i="7"/>
  <c r="XDN5" i="7"/>
  <c r="XDO5" i="7"/>
  <c r="XDP5" i="7"/>
  <c r="XDQ5" i="7"/>
  <c r="XDR5" i="7"/>
  <c r="XDS5" i="7"/>
  <c r="XDT5" i="7"/>
  <c r="XDU5" i="7"/>
  <c r="XDV5" i="7"/>
  <c r="XDW5" i="7"/>
  <c r="XDX5" i="7"/>
  <c r="XDY5" i="7"/>
  <c r="XDZ5" i="7"/>
  <c r="XEA5" i="7"/>
  <c r="XEB5" i="7"/>
  <c r="XEC5" i="7"/>
  <c r="XED5" i="7"/>
  <c r="XEE5" i="7"/>
  <c r="XEF5" i="7"/>
  <c r="XEG5" i="7"/>
  <c r="XEH5" i="7"/>
  <c r="XEI5" i="7"/>
  <c r="FVM4" i="7"/>
  <c r="FVN4" i="7"/>
  <c r="FVO4" i="7"/>
  <c r="FVP4" i="7"/>
  <c r="FVQ4" i="7"/>
  <c r="FVR4" i="7"/>
  <c r="FVS4" i="7"/>
  <c r="FVT4" i="7"/>
  <c r="FVU4" i="7"/>
  <c r="FVV4" i="7"/>
  <c r="FVW4" i="7"/>
  <c r="FVX4" i="7"/>
  <c r="FVY4" i="7"/>
  <c r="FVZ4" i="7"/>
  <c r="FWA4" i="7"/>
  <c r="FWB4" i="7"/>
  <c r="FWC4" i="7"/>
  <c r="FWD4" i="7"/>
  <c r="FWE4" i="7"/>
  <c r="FWF4" i="7"/>
  <c r="FWG4" i="7"/>
  <c r="FWH4" i="7"/>
  <c r="FWI4" i="7"/>
  <c r="FWJ4" i="7"/>
  <c r="FWK4" i="7"/>
  <c r="FWL4" i="7"/>
  <c r="FWM4" i="7"/>
  <c r="FWN4" i="7"/>
  <c r="FWO4" i="7"/>
  <c r="FWP4" i="7"/>
  <c r="FWQ4" i="7"/>
  <c r="FWR4" i="7"/>
  <c r="FWS4" i="7"/>
  <c r="FWT4" i="7"/>
  <c r="FWU4" i="7"/>
  <c r="FWV4" i="7"/>
  <c r="FWW4" i="7"/>
  <c r="FWX4" i="7"/>
  <c r="FWY4" i="7"/>
  <c r="FWZ4" i="7"/>
  <c r="FXA4" i="7"/>
  <c r="FXB4" i="7"/>
  <c r="FXC4" i="7"/>
  <c r="FXD4" i="7"/>
  <c r="FXE4" i="7"/>
  <c r="FXF4" i="7"/>
  <c r="FXG4" i="7"/>
  <c r="FXH4" i="7"/>
  <c r="FXI4" i="7"/>
  <c r="FXJ4" i="7"/>
  <c r="FXK4" i="7"/>
  <c r="FXL4" i="7"/>
  <c r="FXM4" i="7"/>
  <c r="FXN4" i="7"/>
  <c r="FXO4" i="7"/>
  <c r="FXP4" i="7"/>
  <c r="FXQ4" i="7"/>
  <c r="FXR4" i="7"/>
  <c r="FXS4" i="7"/>
  <c r="FXT4" i="7"/>
  <c r="FXU4" i="7"/>
  <c r="FXV4" i="7"/>
  <c r="FXW4" i="7"/>
  <c r="FXX4" i="7"/>
  <c r="FXY4" i="7"/>
  <c r="FXZ4" i="7"/>
  <c r="FYA4" i="7"/>
  <c r="FYB4" i="7"/>
  <c r="FYC4" i="7"/>
  <c r="FYD4" i="7"/>
  <c r="FYE4" i="7"/>
  <c r="FYF4" i="7"/>
  <c r="FYG4" i="7"/>
  <c r="FYH4" i="7"/>
  <c r="FYI4" i="7"/>
  <c r="FYJ4" i="7"/>
  <c r="FYK4" i="7"/>
  <c r="FYL4" i="7"/>
  <c r="FYM4" i="7"/>
  <c r="FYN4" i="7"/>
  <c r="FYO4" i="7"/>
  <c r="FYP4" i="7"/>
  <c r="FYQ4" i="7"/>
  <c r="FYR4" i="7"/>
  <c r="FYS4" i="7"/>
  <c r="FYT4" i="7"/>
  <c r="FYU4" i="7"/>
  <c r="FYV4" i="7"/>
  <c r="FYW4" i="7"/>
  <c r="FYX4" i="7"/>
  <c r="FYY4" i="7"/>
  <c r="FYZ4" i="7"/>
  <c r="FZA4" i="7"/>
  <c r="FZB4" i="7"/>
  <c r="FZC4" i="7"/>
  <c r="FZD4" i="7"/>
  <c r="FZE4" i="7"/>
  <c r="FZF4" i="7"/>
  <c r="FZG4" i="7"/>
  <c r="FZH4" i="7"/>
  <c r="FZI4" i="7"/>
  <c r="FZJ4" i="7"/>
  <c r="FZK4" i="7"/>
  <c r="FZL4" i="7"/>
  <c r="FZM4" i="7"/>
  <c r="FZN4" i="7"/>
  <c r="FZO4" i="7"/>
  <c r="FZP4" i="7"/>
  <c r="FZQ4" i="7"/>
  <c r="FZR4" i="7"/>
  <c r="FZS4" i="7"/>
  <c r="FZT4" i="7"/>
  <c r="FZU4" i="7"/>
  <c r="FZV4" i="7"/>
  <c r="FZW4" i="7"/>
  <c r="FZX4" i="7"/>
  <c r="FZY4" i="7"/>
  <c r="FZZ4" i="7"/>
  <c r="GAA4" i="7"/>
  <c r="GAB4" i="7"/>
  <c r="GAC4" i="7"/>
  <c r="GAD4" i="7"/>
  <c r="GAE4" i="7"/>
  <c r="GAF4" i="7"/>
  <c r="GAG4" i="7"/>
  <c r="GAH4" i="7"/>
  <c r="GAI4" i="7"/>
  <c r="GAJ4" i="7"/>
  <c r="GAK4" i="7"/>
  <c r="GAL4" i="7"/>
  <c r="GAM4" i="7"/>
  <c r="GAN4" i="7"/>
  <c r="GAO4" i="7"/>
  <c r="GAP4" i="7"/>
  <c r="GAQ4" i="7"/>
  <c r="GAR4" i="7"/>
  <c r="GAS4" i="7"/>
  <c r="GAT4" i="7"/>
  <c r="GAU4" i="7"/>
  <c r="GAV4" i="7"/>
  <c r="GAW4" i="7"/>
  <c r="GAX4" i="7"/>
  <c r="GAY4" i="7"/>
  <c r="GAZ4" i="7"/>
  <c r="GBA4" i="7"/>
  <c r="GBB4" i="7"/>
  <c r="GBC4" i="7"/>
  <c r="GBD4" i="7"/>
  <c r="GBE4" i="7"/>
  <c r="GBF4" i="7"/>
  <c r="GBG4" i="7"/>
  <c r="GBH4" i="7"/>
  <c r="GBI4" i="7"/>
  <c r="GBJ4" i="7"/>
  <c r="GBK4" i="7"/>
  <c r="GBL4" i="7"/>
  <c r="GBM4" i="7"/>
  <c r="GBN4" i="7"/>
  <c r="GBO4" i="7"/>
  <c r="GBP4" i="7"/>
  <c r="GBQ4" i="7"/>
  <c r="GBR4" i="7"/>
  <c r="GBS4" i="7"/>
  <c r="GBT4" i="7"/>
  <c r="GBU4" i="7"/>
  <c r="GBV4" i="7"/>
  <c r="GBW4" i="7"/>
  <c r="GBX4" i="7"/>
  <c r="GBY4" i="7"/>
  <c r="GBZ4" i="7"/>
  <c r="GCA4" i="7"/>
  <c r="GCB4" i="7"/>
  <c r="GCC4" i="7"/>
  <c r="GCD4" i="7"/>
  <c r="GCE4" i="7"/>
  <c r="GCF4" i="7"/>
  <c r="GCG4" i="7"/>
  <c r="GCH4" i="7"/>
  <c r="GCI4" i="7"/>
  <c r="GCJ4" i="7"/>
  <c r="GCK4" i="7"/>
  <c r="GCL4" i="7"/>
  <c r="GCM4" i="7"/>
  <c r="GCN4" i="7"/>
  <c r="GCO4" i="7"/>
  <c r="GCP4" i="7"/>
  <c r="GCQ4" i="7"/>
  <c r="GCR4" i="7"/>
  <c r="GCS4" i="7"/>
  <c r="GCT4" i="7"/>
  <c r="GCU4" i="7"/>
  <c r="GCV4" i="7"/>
  <c r="GCW4" i="7"/>
  <c r="GCX4" i="7"/>
  <c r="GCY4" i="7"/>
  <c r="GCZ4" i="7"/>
  <c r="GDA4" i="7"/>
  <c r="GDB4" i="7"/>
  <c r="GDC4" i="7"/>
  <c r="GDD4" i="7"/>
  <c r="GDE4" i="7"/>
  <c r="GDF4" i="7"/>
  <c r="GDG4" i="7"/>
  <c r="GDH4" i="7"/>
  <c r="GDI4" i="7"/>
  <c r="GDJ4" i="7"/>
  <c r="GDK4" i="7"/>
  <c r="GDL4" i="7"/>
  <c r="GDM4" i="7"/>
  <c r="GDN4" i="7"/>
  <c r="GDO4" i="7"/>
  <c r="GDP4" i="7"/>
  <c r="GDQ4" i="7"/>
  <c r="GDR4" i="7"/>
  <c r="GDS4" i="7"/>
  <c r="GDT4" i="7"/>
  <c r="GDU4" i="7"/>
  <c r="GDV4" i="7"/>
  <c r="GDW4" i="7"/>
  <c r="GDX4" i="7"/>
  <c r="GDY4" i="7"/>
  <c r="GDZ4" i="7"/>
  <c r="GEA4" i="7"/>
  <c r="GEB4" i="7"/>
  <c r="GEC4" i="7"/>
  <c r="GED4" i="7"/>
  <c r="GEE4" i="7"/>
  <c r="GEF4" i="7"/>
  <c r="GEG4" i="7"/>
  <c r="GEH4" i="7"/>
  <c r="GEI4" i="7"/>
  <c r="GEJ4" i="7"/>
  <c r="GEK4" i="7"/>
  <c r="GEL4" i="7"/>
  <c r="GEM4" i="7"/>
  <c r="GEN4" i="7"/>
  <c r="GEO4" i="7"/>
  <c r="GEP4" i="7"/>
  <c r="GEQ4" i="7"/>
  <c r="GER4" i="7"/>
  <c r="GES4" i="7"/>
  <c r="GET4" i="7"/>
  <c r="GEU4" i="7"/>
  <c r="GEV4" i="7"/>
  <c r="GEW4" i="7"/>
  <c r="GEX4" i="7"/>
  <c r="GEY4" i="7"/>
  <c r="GEZ4" i="7"/>
  <c r="GFA4" i="7"/>
  <c r="GFB4" i="7"/>
  <c r="GFC4" i="7"/>
  <c r="GFD4" i="7"/>
  <c r="GFE4" i="7"/>
  <c r="GFF4" i="7"/>
  <c r="GFG4" i="7"/>
  <c r="GFH4" i="7"/>
  <c r="GFI4" i="7"/>
  <c r="GFJ4" i="7"/>
  <c r="GFK4" i="7"/>
  <c r="GFL4" i="7"/>
  <c r="GFM4" i="7"/>
  <c r="GFN4" i="7"/>
  <c r="GFO4" i="7"/>
  <c r="GFP4" i="7"/>
  <c r="GFQ4" i="7"/>
  <c r="GFR4" i="7"/>
  <c r="GFS4" i="7"/>
  <c r="GFT4" i="7"/>
  <c r="GFU4" i="7"/>
  <c r="GFV4" i="7"/>
  <c r="GFW4" i="7"/>
  <c r="GFX4" i="7"/>
  <c r="GFY4" i="7"/>
  <c r="GFZ4" i="7"/>
  <c r="GGA4" i="7"/>
  <c r="GGB4" i="7"/>
  <c r="GGC4" i="7"/>
  <c r="GGD4" i="7"/>
  <c r="GGE4" i="7"/>
  <c r="GGF4" i="7"/>
  <c r="GGG4" i="7"/>
  <c r="GGH4" i="7"/>
  <c r="GGI4" i="7"/>
  <c r="GGJ4" i="7"/>
  <c r="GGK4" i="7"/>
  <c r="GGL4" i="7"/>
  <c r="GGM4" i="7"/>
  <c r="GGN4" i="7"/>
  <c r="GGO4" i="7"/>
  <c r="GGP4" i="7"/>
  <c r="GGQ4" i="7"/>
  <c r="GGR4" i="7"/>
  <c r="GGS4" i="7"/>
  <c r="GGT4" i="7"/>
  <c r="GGU4" i="7"/>
  <c r="GGV4" i="7"/>
  <c r="GGW4" i="7"/>
  <c r="GGX4" i="7"/>
  <c r="GGY4" i="7"/>
  <c r="GGZ4" i="7"/>
  <c r="GHA4" i="7"/>
  <c r="GHB4" i="7"/>
  <c r="GHC4" i="7"/>
  <c r="GHD4" i="7"/>
  <c r="GHE4" i="7"/>
  <c r="GHF4" i="7"/>
  <c r="GHG4" i="7"/>
  <c r="GHH4" i="7"/>
  <c r="GHI4" i="7"/>
  <c r="GHJ4" i="7"/>
  <c r="GHK4" i="7"/>
  <c r="GHL4" i="7"/>
  <c r="GHM4" i="7"/>
  <c r="GHN4" i="7"/>
  <c r="GHO4" i="7"/>
  <c r="GHP4" i="7"/>
  <c r="GHQ4" i="7"/>
  <c r="GHR4" i="7"/>
  <c r="GHS4" i="7"/>
  <c r="GHT4" i="7"/>
  <c r="GHU4" i="7"/>
  <c r="GHV4" i="7"/>
  <c r="GHW4" i="7"/>
  <c r="GHX4" i="7"/>
  <c r="GHY4" i="7"/>
  <c r="GHZ4" i="7"/>
  <c r="GIA4" i="7"/>
  <c r="GIB4" i="7"/>
  <c r="GIC4" i="7"/>
  <c r="GID4" i="7"/>
  <c r="GIE4" i="7"/>
  <c r="GIF4" i="7"/>
  <c r="GIG4" i="7"/>
  <c r="GIH4" i="7"/>
  <c r="GII4" i="7"/>
  <c r="GIJ4" i="7"/>
  <c r="GIK4" i="7"/>
  <c r="GIL4" i="7"/>
  <c r="GIM4" i="7"/>
  <c r="GIN4" i="7"/>
  <c r="GIO4" i="7"/>
  <c r="GIP4" i="7"/>
  <c r="GIQ4" i="7"/>
  <c r="GIR4" i="7"/>
  <c r="GIS4" i="7"/>
  <c r="GIT4" i="7"/>
  <c r="GIU4" i="7"/>
  <c r="GIV4" i="7"/>
  <c r="GIW4" i="7"/>
  <c r="GIX4" i="7"/>
  <c r="GIY4" i="7"/>
  <c r="GIZ4" i="7"/>
  <c r="GJA4" i="7"/>
  <c r="GJB4" i="7"/>
  <c r="GJC4" i="7"/>
  <c r="GJD4" i="7"/>
  <c r="GJE4" i="7"/>
  <c r="GJF4" i="7"/>
  <c r="GJG4" i="7"/>
  <c r="GJH4" i="7"/>
  <c r="GJI4" i="7"/>
  <c r="GJJ4" i="7"/>
  <c r="GJK4" i="7"/>
  <c r="GJL4" i="7"/>
  <c r="GJM4" i="7"/>
  <c r="GJN4" i="7"/>
  <c r="GJO4" i="7"/>
  <c r="GJP4" i="7"/>
  <c r="GJQ4" i="7"/>
  <c r="GJR4" i="7"/>
  <c r="GJS4" i="7"/>
  <c r="GJT4" i="7"/>
  <c r="GJU4" i="7"/>
  <c r="GJV4" i="7"/>
  <c r="GJW4" i="7"/>
  <c r="GJX4" i="7"/>
  <c r="GJY4" i="7"/>
  <c r="GJZ4" i="7"/>
  <c r="GKA4" i="7"/>
  <c r="GKB4" i="7"/>
  <c r="GKC4" i="7"/>
  <c r="GKD4" i="7"/>
  <c r="GKE4" i="7"/>
  <c r="GKF4" i="7"/>
  <c r="GKG4" i="7"/>
  <c r="GKH4" i="7"/>
  <c r="GKI4" i="7"/>
  <c r="GKJ4" i="7"/>
  <c r="GKK4" i="7"/>
  <c r="GKL4" i="7"/>
  <c r="GKM4" i="7"/>
  <c r="GKN4" i="7"/>
  <c r="GKO4" i="7"/>
  <c r="GKP4" i="7"/>
  <c r="GKQ4" i="7"/>
  <c r="GKR4" i="7"/>
  <c r="GKS4" i="7"/>
  <c r="GKT4" i="7"/>
  <c r="GKU4" i="7"/>
  <c r="GKV4" i="7"/>
  <c r="GKW4" i="7"/>
  <c r="GKX4" i="7"/>
  <c r="GKY4" i="7"/>
  <c r="GKZ4" i="7"/>
  <c r="GLA4" i="7"/>
  <c r="GLB4" i="7"/>
  <c r="GLC4" i="7"/>
  <c r="GLD4" i="7"/>
  <c r="GLE4" i="7"/>
  <c r="GLF4" i="7"/>
  <c r="GLG4" i="7"/>
  <c r="GLH4" i="7"/>
  <c r="GLI4" i="7"/>
  <c r="GLJ4" i="7"/>
  <c r="GLK4" i="7"/>
  <c r="GLL4" i="7"/>
  <c r="GLM4" i="7"/>
  <c r="GLN4" i="7"/>
  <c r="GLO4" i="7"/>
  <c r="GLP4" i="7"/>
  <c r="GLQ4" i="7"/>
  <c r="GLR4" i="7"/>
  <c r="GLS4" i="7"/>
  <c r="GLT4" i="7"/>
  <c r="GLU4" i="7"/>
  <c r="GLV4" i="7"/>
  <c r="GLW4" i="7"/>
  <c r="GLX4" i="7"/>
  <c r="GLY4" i="7"/>
  <c r="GLZ4" i="7"/>
  <c r="GMA4" i="7"/>
  <c r="GMB4" i="7"/>
  <c r="GMC4" i="7"/>
  <c r="GMD4" i="7"/>
  <c r="GME4" i="7"/>
  <c r="GMF4" i="7"/>
  <c r="GMG4" i="7"/>
  <c r="GMH4" i="7"/>
  <c r="GMI4" i="7"/>
  <c r="GMJ4" i="7"/>
  <c r="GMK4" i="7"/>
  <c r="GML4" i="7"/>
  <c r="GMM4" i="7"/>
  <c r="GMN4" i="7"/>
  <c r="GMO4" i="7"/>
  <c r="GMP4" i="7"/>
  <c r="GMQ4" i="7"/>
  <c r="GMR4" i="7"/>
  <c r="GMS4" i="7"/>
  <c r="GMT4" i="7"/>
  <c r="GMU4" i="7"/>
  <c r="GMV4" i="7"/>
  <c r="GMW4" i="7"/>
  <c r="GMX4" i="7"/>
  <c r="GMY4" i="7"/>
  <c r="GMZ4" i="7"/>
  <c r="GNA4" i="7"/>
  <c r="GNB4" i="7"/>
  <c r="GNC4" i="7"/>
  <c r="GND4" i="7"/>
  <c r="GNE4" i="7"/>
  <c r="GNF4" i="7"/>
  <c r="GNG4" i="7"/>
  <c r="GNH4" i="7"/>
  <c r="GNI4" i="7"/>
  <c r="GNJ4" i="7"/>
  <c r="GNK4" i="7"/>
  <c r="GNL4" i="7"/>
  <c r="GNM4" i="7"/>
  <c r="GNN4" i="7"/>
  <c r="GNO4" i="7"/>
  <c r="GNP4" i="7"/>
  <c r="GNQ4" i="7"/>
  <c r="GNR4" i="7"/>
  <c r="GNS4" i="7"/>
  <c r="GNT4" i="7"/>
  <c r="GNU4" i="7"/>
  <c r="GNV4" i="7"/>
  <c r="GNW4" i="7"/>
  <c r="GNX4" i="7"/>
  <c r="GNY4" i="7"/>
  <c r="GNZ4" i="7"/>
  <c r="GOA4" i="7"/>
  <c r="GOB4" i="7"/>
  <c r="GOC4" i="7"/>
  <c r="GOD4" i="7"/>
  <c r="GOE4" i="7"/>
  <c r="GOF4" i="7"/>
  <c r="GOG4" i="7"/>
  <c r="GOH4" i="7"/>
  <c r="GOI4" i="7"/>
  <c r="GOJ4" i="7"/>
  <c r="GOK4" i="7"/>
  <c r="GOL4" i="7"/>
  <c r="GOM4" i="7"/>
  <c r="GON4" i="7"/>
  <c r="GOO4" i="7"/>
  <c r="GOP4" i="7"/>
  <c r="GOQ4" i="7"/>
  <c r="GOR4" i="7"/>
  <c r="GOS4" i="7"/>
  <c r="GOT4" i="7"/>
  <c r="GOU4" i="7"/>
  <c r="GOV4" i="7"/>
  <c r="GOW4" i="7"/>
  <c r="GOX4" i="7"/>
  <c r="GOY4" i="7"/>
  <c r="GOZ4" i="7"/>
  <c r="GPA4" i="7"/>
  <c r="GPB4" i="7"/>
  <c r="GPC4" i="7"/>
  <c r="GPD4" i="7"/>
  <c r="GPE4" i="7"/>
  <c r="GPF4" i="7"/>
  <c r="GPG4" i="7"/>
  <c r="GPH4" i="7"/>
  <c r="GPI4" i="7"/>
  <c r="GPJ4" i="7"/>
  <c r="GPK4" i="7"/>
  <c r="GPL4" i="7"/>
  <c r="GPM4" i="7"/>
  <c r="GPN4" i="7"/>
  <c r="GPO4" i="7"/>
  <c r="GPP4" i="7"/>
  <c r="GPQ4" i="7"/>
  <c r="GPR4" i="7"/>
  <c r="GPS4" i="7"/>
  <c r="GPT4" i="7"/>
  <c r="GPU4" i="7"/>
  <c r="GPV4" i="7"/>
  <c r="GPW4" i="7"/>
  <c r="GPX4" i="7"/>
  <c r="GPY4" i="7"/>
  <c r="GPZ4" i="7"/>
  <c r="GQA4" i="7"/>
  <c r="GQB4" i="7"/>
  <c r="GQC4" i="7"/>
  <c r="GQD4" i="7"/>
  <c r="GQE4" i="7"/>
  <c r="GQF4" i="7"/>
  <c r="GQG4" i="7"/>
  <c r="GQH4" i="7"/>
  <c r="GQI4" i="7"/>
  <c r="GQJ4" i="7"/>
  <c r="GQK4" i="7"/>
  <c r="GQL4" i="7"/>
  <c r="GQM4" i="7"/>
  <c r="GQN4" i="7"/>
  <c r="GQO4" i="7"/>
  <c r="GQP4" i="7"/>
  <c r="GQQ4" i="7"/>
  <c r="GQR4" i="7"/>
  <c r="GQS4" i="7"/>
  <c r="GQT4" i="7"/>
  <c r="GQU4" i="7"/>
  <c r="GQV4" i="7"/>
  <c r="GQW4" i="7"/>
  <c r="GQX4" i="7"/>
  <c r="GQY4" i="7"/>
  <c r="GQZ4" i="7"/>
  <c r="GRA4" i="7"/>
  <c r="GRB4" i="7"/>
  <c r="GRC4" i="7"/>
  <c r="GRD4" i="7"/>
  <c r="GRE4" i="7"/>
  <c r="GRF4" i="7"/>
  <c r="GRG4" i="7"/>
  <c r="GRH4" i="7"/>
  <c r="GRI4" i="7"/>
  <c r="GRJ4" i="7"/>
  <c r="GRK4" i="7"/>
  <c r="GRL4" i="7"/>
  <c r="GRM4" i="7"/>
  <c r="GRN4" i="7"/>
  <c r="GRO4" i="7"/>
  <c r="GRP4" i="7"/>
  <c r="GRQ4" i="7"/>
  <c r="GRR4" i="7"/>
  <c r="GRS4" i="7"/>
  <c r="GRT4" i="7"/>
  <c r="GRU4" i="7"/>
  <c r="GRV4" i="7"/>
  <c r="GRW4" i="7"/>
  <c r="GRX4" i="7"/>
  <c r="GRY4" i="7"/>
  <c r="GRZ4" i="7"/>
  <c r="GSA4" i="7"/>
  <c r="GSB4" i="7"/>
  <c r="GSC4" i="7"/>
  <c r="GSD4" i="7"/>
  <c r="GSE4" i="7"/>
  <c r="GSF4" i="7"/>
  <c r="GSG4" i="7"/>
  <c r="GSH4" i="7"/>
  <c r="GSI4" i="7"/>
  <c r="GSJ4" i="7"/>
  <c r="GSK4" i="7"/>
  <c r="GSL4" i="7"/>
  <c r="GSM4" i="7"/>
  <c r="GSN4" i="7"/>
  <c r="GSO4" i="7"/>
  <c r="GSP4" i="7"/>
  <c r="GSQ4" i="7"/>
  <c r="GSR4" i="7"/>
  <c r="GSS4" i="7"/>
  <c r="GST4" i="7"/>
  <c r="GSU4" i="7"/>
  <c r="GSV4" i="7"/>
  <c r="GSW4" i="7"/>
  <c r="GSX4" i="7"/>
  <c r="GSY4" i="7"/>
  <c r="GSZ4" i="7"/>
  <c r="GTA4" i="7"/>
  <c r="GTB4" i="7"/>
  <c r="GTC4" i="7"/>
  <c r="GTD4" i="7"/>
  <c r="GTE4" i="7"/>
  <c r="GTF4" i="7"/>
  <c r="GTG4" i="7"/>
  <c r="GTH4" i="7"/>
  <c r="GTI4" i="7"/>
  <c r="GTJ4" i="7"/>
  <c r="GTK4" i="7"/>
  <c r="GTL4" i="7"/>
  <c r="GTM4" i="7"/>
  <c r="GTN4" i="7"/>
  <c r="GTO4" i="7"/>
  <c r="GTP4" i="7"/>
  <c r="GTQ4" i="7"/>
  <c r="GTR4" i="7"/>
  <c r="GTS4" i="7"/>
  <c r="GTT4" i="7"/>
  <c r="GTU4" i="7"/>
  <c r="GTV4" i="7"/>
  <c r="GTW4" i="7"/>
  <c r="GTX4" i="7"/>
  <c r="GTY4" i="7"/>
  <c r="GTZ4" i="7"/>
  <c r="GUA4" i="7"/>
  <c r="GUB4" i="7"/>
  <c r="GUC4" i="7"/>
  <c r="GUD4" i="7"/>
  <c r="GUE4" i="7"/>
  <c r="GUF4" i="7"/>
  <c r="GUG4" i="7"/>
  <c r="GUH4" i="7"/>
  <c r="GUI4" i="7"/>
  <c r="GUJ4" i="7"/>
  <c r="GUK4" i="7"/>
  <c r="GUL4" i="7"/>
  <c r="GUM4" i="7"/>
  <c r="GUN4" i="7"/>
  <c r="GUO4" i="7"/>
  <c r="GUP4" i="7"/>
  <c r="GUQ4" i="7"/>
  <c r="GUR4" i="7"/>
  <c r="GUS4" i="7"/>
  <c r="GUT4" i="7"/>
  <c r="GUU4" i="7"/>
  <c r="GUV4" i="7"/>
  <c r="GUW4" i="7"/>
  <c r="GUX4" i="7"/>
  <c r="GUY4" i="7"/>
  <c r="GUZ4" i="7"/>
  <c r="GVA4" i="7"/>
  <c r="GVB4" i="7"/>
  <c r="GVC4" i="7"/>
  <c r="GVD4" i="7"/>
  <c r="GVE4" i="7"/>
  <c r="GVF4" i="7"/>
  <c r="GVG4" i="7"/>
  <c r="GVH4" i="7"/>
  <c r="GVI4" i="7"/>
  <c r="GVJ4" i="7"/>
  <c r="GVK4" i="7"/>
  <c r="GVL4" i="7"/>
  <c r="GVM4" i="7"/>
  <c r="GVN4" i="7"/>
  <c r="GVO4" i="7"/>
  <c r="GVP4" i="7"/>
  <c r="GVQ4" i="7"/>
  <c r="GVR4" i="7"/>
  <c r="GVS4" i="7"/>
  <c r="GVT4" i="7"/>
  <c r="GVU4" i="7"/>
  <c r="GVV4" i="7"/>
  <c r="GVW4" i="7"/>
  <c r="GVX4" i="7"/>
  <c r="GVY4" i="7"/>
  <c r="GVZ4" i="7"/>
  <c r="GWA4" i="7"/>
  <c r="GWB4" i="7"/>
  <c r="GWC4" i="7"/>
  <c r="GWD4" i="7"/>
  <c r="GWE4" i="7"/>
  <c r="GWF4" i="7"/>
  <c r="GWG4" i="7"/>
  <c r="GWH4" i="7"/>
  <c r="GWI4" i="7"/>
  <c r="GWJ4" i="7"/>
  <c r="GWK4" i="7"/>
  <c r="GWL4" i="7"/>
  <c r="GWM4" i="7"/>
  <c r="GWN4" i="7"/>
  <c r="GWO4" i="7"/>
  <c r="GWP4" i="7"/>
  <c r="GWQ4" i="7"/>
  <c r="GWR4" i="7"/>
  <c r="GWS4" i="7"/>
  <c r="GWT4" i="7"/>
  <c r="GWU4" i="7"/>
  <c r="GWV4" i="7"/>
  <c r="GWW4" i="7"/>
  <c r="GWX4" i="7"/>
  <c r="GWY4" i="7"/>
  <c r="GWZ4" i="7"/>
  <c r="GXA4" i="7"/>
  <c r="GXB4" i="7"/>
  <c r="GXC4" i="7"/>
  <c r="GXD4" i="7"/>
  <c r="GXE4" i="7"/>
  <c r="GXF4" i="7"/>
  <c r="GXG4" i="7"/>
  <c r="GXH4" i="7"/>
  <c r="GXI4" i="7"/>
  <c r="GXJ4" i="7"/>
  <c r="GXK4" i="7"/>
  <c r="GXL4" i="7"/>
  <c r="GXM4" i="7"/>
  <c r="GXN4" i="7"/>
  <c r="GXO4" i="7"/>
  <c r="GXP4" i="7"/>
  <c r="GXQ4" i="7"/>
  <c r="GXR4" i="7"/>
  <c r="GXS4" i="7"/>
  <c r="GXT4" i="7"/>
  <c r="GXU4" i="7"/>
  <c r="GXV4" i="7"/>
  <c r="GXW4" i="7"/>
  <c r="GXX4" i="7"/>
  <c r="GXY4" i="7"/>
  <c r="GXZ4" i="7"/>
  <c r="GYA4" i="7"/>
  <c r="GYB4" i="7"/>
  <c r="GYC4" i="7"/>
  <c r="GYD4" i="7"/>
  <c r="GYE4" i="7"/>
  <c r="GYF4" i="7"/>
  <c r="GYG4" i="7"/>
  <c r="GYH4" i="7"/>
  <c r="GYI4" i="7"/>
  <c r="GYJ4" i="7"/>
  <c r="GYK4" i="7"/>
  <c r="GYL4" i="7"/>
  <c r="GYM4" i="7"/>
  <c r="GYN4" i="7"/>
  <c r="GYO4" i="7"/>
  <c r="GYP4" i="7"/>
  <c r="GYQ4" i="7"/>
  <c r="GYR4" i="7"/>
  <c r="GYS4" i="7"/>
  <c r="GYT4" i="7"/>
  <c r="GYU4" i="7"/>
  <c r="GYV4" i="7"/>
  <c r="GYW4" i="7"/>
  <c r="GYX4" i="7"/>
  <c r="GYY4" i="7"/>
  <c r="GYZ4" i="7"/>
  <c r="GZA4" i="7"/>
  <c r="GZB4" i="7"/>
  <c r="GZC4" i="7"/>
  <c r="GZD4" i="7"/>
  <c r="GZE4" i="7"/>
  <c r="GZF4" i="7"/>
  <c r="GZG4" i="7"/>
  <c r="GZH4" i="7"/>
  <c r="GZI4" i="7"/>
  <c r="GZJ4" i="7"/>
  <c r="GZK4" i="7"/>
  <c r="GZL4" i="7"/>
  <c r="GZM4" i="7"/>
  <c r="GZN4" i="7"/>
  <c r="GZO4" i="7"/>
  <c r="GZP4" i="7"/>
  <c r="GZQ4" i="7"/>
  <c r="GZR4" i="7"/>
  <c r="GZS4" i="7"/>
  <c r="GZT4" i="7"/>
  <c r="GZU4" i="7"/>
  <c r="GZV4" i="7"/>
  <c r="GZW4" i="7"/>
  <c r="GZX4" i="7"/>
  <c r="GZY4" i="7"/>
  <c r="GZZ4" i="7"/>
  <c r="HAA4" i="7"/>
  <c r="HAB4" i="7"/>
  <c r="HAC4" i="7"/>
  <c r="HAD4" i="7"/>
  <c r="HAE4" i="7"/>
  <c r="HAF4" i="7"/>
  <c r="HAG4" i="7"/>
  <c r="HAH4" i="7"/>
  <c r="HAI4" i="7"/>
  <c r="HAJ4" i="7"/>
  <c r="HAK4" i="7"/>
  <c r="HAL4" i="7"/>
  <c r="HAM4" i="7"/>
  <c r="HAN4" i="7"/>
  <c r="HAO4" i="7"/>
  <c r="HAP4" i="7"/>
  <c r="HAQ4" i="7"/>
  <c r="HAR4" i="7"/>
  <c r="HAS4" i="7"/>
  <c r="HAT4" i="7"/>
  <c r="HAU4" i="7"/>
  <c r="HAV4" i="7"/>
  <c r="HAW4" i="7"/>
  <c r="HAX4" i="7"/>
  <c r="HAY4" i="7"/>
  <c r="HAZ4" i="7"/>
  <c r="HBA4" i="7"/>
  <c r="HBB4" i="7"/>
  <c r="HBC4" i="7"/>
  <c r="HBD4" i="7"/>
  <c r="HBE4" i="7"/>
  <c r="HBF4" i="7"/>
  <c r="HBG4" i="7"/>
  <c r="HBH4" i="7"/>
  <c r="HBI4" i="7"/>
  <c r="HBJ4" i="7"/>
  <c r="HBK4" i="7"/>
  <c r="HBL4" i="7"/>
  <c r="HBM4" i="7"/>
  <c r="HBN4" i="7"/>
  <c r="HBO4" i="7"/>
  <c r="HBP4" i="7"/>
  <c r="HBQ4" i="7"/>
  <c r="HBR4" i="7"/>
  <c r="HBS4" i="7"/>
  <c r="HBT4" i="7"/>
  <c r="HBU4" i="7"/>
  <c r="HBV4" i="7"/>
  <c r="HBW4" i="7"/>
  <c r="HBX4" i="7"/>
  <c r="HBY4" i="7"/>
  <c r="HBZ4" i="7"/>
  <c r="HCA4" i="7"/>
  <c r="HCB4" i="7"/>
  <c r="HCC4" i="7"/>
  <c r="HCD4" i="7"/>
  <c r="HCE4" i="7"/>
  <c r="HCF4" i="7"/>
  <c r="HCG4" i="7"/>
  <c r="HCH4" i="7"/>
  <c r="HCI4" i="7"/>
  <c r="HCJ4" i="7"/>
  <c r="HCK4" i="7"/>
  <c r="HCL4" i="7"/>
  <c r="HCM4" i="7"/>
  <c r="HCN4" i="7"/>
  <c r="HCO4" i="7"/>
  <c r="HCP4" i="7"/>
  <c r="HCQ4" i="7"/>
  <c r="HCR4" i="7"/>
  <c r="HCS4" i="7"/>
  <c r="HCT4" i="7"/>
  <c r="HCU4" i="7"/>
  <c r="HCV4" i="7"/>
  <c r="HCW4" i="7"/>
  <c r="HCX4" i="7"/>
  <c r="HCY4" i="7"/>
  <c r="HCZ4" i="7"/>
  <c r="HDA4" i="7"/>
  <c r="HDB4" i="7"/>
  <c r="HDC4" i="7"/>
  <c r="HDD4" i="7"/>
  <c r="HDE4" i="7"/>
  <c r="HDF4" i="7"/>
  <c r="HDG4" i="7"/>
  <c r="HDH4" i="7"/>
  <c r="HDI4" i="7"/>
  <c r="HDJ4" i="7"/>
  <c r="HDK4" i="7"/>
  <c r="HDL4" i="7"/>
  <c r="HDM4" i="7"/>
  <c r="HDN4" i="7"/>
  <c r="HDO4" i="7"/>
  <c r="HDP4" i="7"/>
  <c r="HDQ4" i="7"/>
  <c r="HDR4" i="7"/>
  <c r="HDS4" i="7"/>
  <c r="HDT4" i="7"/>
  <c r="HDU4" i="7"/>
  <c r="HDV4" i="7"/>
  <c r="HDW4" i="7"/>
  <c r="HDX4" i="7"/>
  <c r="HDY4" i="7"/>
  <c r="HDZ4" i="7"/>
  <c r="HEA4" i="7"/>
  <c r="HEB4" i="7"/>
  <c r="HEC4" i="7"/>
  <c r="HED4" i="7"/>
  <c r="HEE4" i="7"/>
  <c r="HEF4" i="7"/>
  <c r="HEG4" i="7"/>
  <c r="HEH4" i="7"/>
  <c r="HEI4" i="7"/>
  <c r="HEJ4" i="7"/>
  <c r="HEK4" i="7"/>
  <c r="HEL4" i="7"/>
  <c r="HEM4" i="7"/>
  <c r="HEN4" i="7"/>
  <c r="HEO4" i="7"/>
  <c r="HEP4" i="7"/>
  <c r="HEQ4" i="7"/>
  <c r="HER4" i="7"/>
  <c r="HES4" i="7"/>
  <c r="HET4" i="7"/>
  <c r="HEU4" i="7"/>
  <c r="HEV4" i="7"/>
  <c r="HEW4" i="7"/>
  <c r="HEX4" i="7"/>
  <c r="HEY4" i="7"/>
  <c r="HEZ4" i="7"/>
  <c r="HFA4" i="7"/>
  <c r="HFB4" i="7"/>
  <c r="HFC4" i="7"/>
  <c r="HFD4" i="7"/>
  <c r="HFE4" i="7"/>
  <c r="HFF4" i="7"/>
  <c r="HFG4" i="7"/>
  <c r="HFH4" i="7"/>
  <c r="HFI4" i="7"/>
  <c r="HFJ4" i="7"/>
  <c r="HFK4" i="7"/>
  <c r="HFL4" i="7"/>
  <c r="HFM4" i="7"/>
  <c r="HFN4" i="7"/>
  <c r="HFO4" i="7"/>
  <c r="HFP4" i="7"/>
  <c r="HFQ4" i="7"/>
  <c r="HFR4" i="7"/>
  <c r="HFS4" i="7"/>
  <c r="HFT4" i="7"/>
  <c r="HFU4" i="7"/>
  <c r="HFV4" i="7"/>
  <c r="HFW4" i="7"/>
  <c r="HFX4" i="7"/>
  <c r="HFY4" i="7"/>
  <c r="HFZ4" i="7"/>
  <c r="HGA4" i="7"/>
  <c r="HGB4" i="7"/>
  <c r="HGC4" i="7"/>
  <c r="HGD4" i="7"/>
  <c r="HGE4" i="7"/>
  <c r="HGF4" i="7"/>
  <c r="HGG4" i="7"/>
  <c r="HGH4" i="7"/>
  <c r="HGI4" i="7"/>
  <c r="HGJ4" i="7"/>
  <c r="HGK4" i="7"/>
  <c r="HGL4" i="7"/>
  <c r="HGM4" i="7"/>
  <c r="HGN4" i="7"/>
  <c r="HGO4" i="7"/>
  <c r="HGP4" i="7"/>
  <c r="HGQ4" i="7"/>
  <c r="HGR4" i="7"/>
  <c r="HGS4" i="7"/>
  <c r="HGT4" i="7"/>
  <c r="HGU4" i="7"/>
  <c r="HGV4" i="7"/>
  <c r="HGW4" i="7"/>
  <c r="HGX4" i="7"/>
  <c r="HGY4" i="7"/>
  <c r="HGZ4" i="7"/>
  <c r="HHA4" i="7"/>
  <c r="HHB4" i="7"/>
  <c r="HHC4" i="7"/>
  <c r="HHD4" i="7"/>
  <c r="HHE4" i="7"/>
  <c r="HHF4" i="7"/>
  <c r="HHG4" i="7"/>
  <c r="HHH4" i="7"/>
  <c r="HHI4" i="7"/>
  <c r="HHJ4" i="7"/>
  <c r="HHK4" i="7"/>
  <c r="HHL4" i="7"/>
  <c r="HHM4" i="7"/>
  <c r="HHN4" i="7"/>
  <c r="HHO4" i="7"/>
  <c r="HHP4" i="7"/>
  <c r="HHQ4" i="7"/>
  <c r="HHR4" i="7"/>
  <c r="HHS4" i="7"/>
  <c r="HHT4" i="7"/>
  <c r="HHU4" i="7"/>
  <c r="HHV4" i="7"/>
  <c r="HHW4" i="7"/>
  <c r="HHX4" i="7"/>
  <c r="HHY4" i="7"/>
  <c r="HHZ4" i="7"/>
  <c r="HIA4" i="7"/>
  <c r="HIB4" i="7"/>
  <c r="HIC4" i="7"/>
  <c r="HID4" i="7"/>
  <c r="HIE4" i="7"/>
  <c r="HIF4" i="7"/>
  <c r="HIG4" i="7"/>
  <c r="HIH4" i="7"/>
  <c r="HII4" i="7"/>
  <c r="HIJ4" i="7"/>
  <c r="HIK4" i="7"/>
  <c r="HIL4" i="7"/>
  <c r="HIM4" i="7"/>
  <c r="HIN4" i="7"/>
  <c r="HIO4" i="7"/>
  <c r="HIP4" i="7"/>
  <c r="HIQ4" i="7"/>
  <c r="HIR4" i="7"/>
  <c r="HIS4" i="7"/>
  <c r="HIT4" i="7"/>
  <c r="HIU4" i="7"/>
  <c r="HIV4" i="7"/>
  <c r="HIW4" i="7"/>
  <c r="HIX4" i="7"/>
  <c r="HIY4" i="7"/>
  <c r="HIZ4" i="7"/>
  <c r="HJA4" i="7"/>
  <c r="HJB4" i="7"/>
  <c r="HJC4" i="7"/>
  <c r="HJD4" i="7"/>
  <c r="HJE4" i="7"/>
  <c r="HJF4" i="7"/>
  <c r="HJG4" i="7"/>
  <c r="HJH4" i="7"/>
  <c r="HJI4" i="7"/>
  <c r="HJJ4" i="7"/>
  <c r="HJK4" i="7"/>
  <c r="HJL4" i="7"/>
  <c r="HJM4" i="7"/>
  <c r="HJN4" i="7"/>
  <c r="HJO4" i="7"/>
  <c r="HJP4" i="7"/>
  <c r="HJQ4" i="7"/>
  <c r="HJR4" i="7"/>
  <c r="HJS4" i="7"/>
  <c r="HJT4" i="7"/>
  <c r="HJU4" i="7"/>
  <c r="HJV4" i="7"/>
  <c r="HJW4" i="7"/>
  <c r="HJX4" i="7"/>
  <c r="HJY4" i="7"/>
  <c r="HJZ4" i="7"/>
  <c r="HKA4" i="7"/>
  <c r="HKB4" i="7"/>
  <c r="HKC4" i="7"/>
  <c r="HKD4" i="7"/>
  <c r="HKE4" i="7"/>
  <c r="HKF4" i="7"/>
  <c r="HKG4" i="7"/>
  <c r="HKH4" i="7"/>
  <c r="HKI4" i="7"/>
  <c r="HKJ4" i="7"/>
  <c r="HKK4" i="7"/>
  <c r="HKL4" i="7"/>
  <c r="HKM4" i="7"/>
  <c r="HKN4" i="7"/>
  <c r="HKO4" i="7"/>
  <c r="HKP4" i="7"/>
  <c r="HKQ4" i="7"/>
  <c r="HKR4" i="7"/>
  <c r="HKS4" i="7"/>
  <c r="HKT4" i="7"/>
  <c r="HKU4" i="7"/>
  <c r="HKV4" i="7"/>
  <c r="HKW4" i="7"/>
  <c r="HKX4" i="7"/>
  <c r="HKY4" i="7"/>
  <c r="HKZ4" i="7"/>
  <c r="HLA4" i="7"/>
  <c r="HLB4" i="7"/>
  <c r="HLC4" i="7"/>
  <c r="HLD4" i="7"/>
  <c r="HLE4" i="7"/>
  <c r="HLF4" i="7"/>
  <c r="HLG4" i="7"/>
  <c r="HLH4" i="7"/>
  <c r="HLI4" i="7"/>
  <c r="HLJ4" i="7"/>
  <c r="HLK4" i="7"/>
  <c r="HLL4" i="7"/>
  <c r="HLM4" i="7"/>
  <c r="HLN4" i="7"/>
  <c r="HLO4" i="7"/>
  <c r="HLP4" i="7"/>
  <c r="HLQ4" i="7"/>
  <c r="HLR4" i="7"/>
  <c r="HLS4" i="7"/>
  <c r="HLT4" i="7"/>
  <c r="HLU4" i="7"/>
  <c r="HLV4" i="7"/>
  <c r="HLW4" i="7"/>
  <c r="HLX4" i="7"/>
  <c r="HLY4" i="7"/>
  <c r="HLZ4" i="7"/>
  <c r="HMA4" i="7"/>
  <c r="HMB4" i="7"/>
  <c r="HMC4" i="7"/>
  <c r="HMD4" i="7"/>
  <c r="HME4" i="7"/>
  <c r="HMF4" i="7"/>
  <c r="HMG4" i="7"/>
  <c r="HMH4" i="7"/>
  <c r="HMI4" i="7"/>
  <c r="HMJ4" i="7"/>
  <c r="HMK4" i="7"/>
  <c r="HML4" i="7"/>
  <c r="HMM4" i="7"/>
  <c r="HMN4" i="7"/>
  <c r="HMO4" i="7"/>
  <c r="HMP4" i="7"/>
  <c r="HMQ4" i="7"/>
  <c r="HMR4" i="7"/>
  <c r="HMS4" i="7"/>
  <c r="HMT4" i="7"/>
  <c r="HMU4" i="7"/>
  <c r="HMV4" i="7"/>
  <c r="HMW4" i="7"/>
  <c r="HMX4" i="7"/>
  <c r="HMY4" i="7"/>
  <c r="HMZ4" i="7"/>
  <c r="HNA4" i="7"/>
  <c r="HNB4" i="7"/>
  <c r="HNC4" i="7"/>
  <c r="HND4" i="7"/>
  <c r="HNE4" i="7"/>
  <c r="HNF4" i="7"/>
  <c r="HNG4" i="7"/>
  <c r="HNH4" i="7"/>
  <c r="HNI4" i="7"/>
  <c r="HNJ4" i="7"/>
  <c r="HNK4" i="7"/>
  <c r="HNL4" i="7"/>
  <c r="HNM4" i="7"/>
  <c r="HNN4" i="7"/>
  <c r="HNO4" i="7"/>
  <c r="HNP4" i="7"/>
  <c r="HNQ4" i="7"/>
  <c r="HNR4" i="7"/>
  <c r="HNS4" i="7"/>
  <c r="HNT4" i="7"/>
  <c r="HNU4" i="7"/>
  <c r="HNV4" i="7"/>
  <c r="HNW4" i="7"/>
  <c r="HNX4" i="7"/>
  <c r="HNY4" i="7"/>
  <c r="HNZ4" i="7"/>
  <c r="HOA4" i="7"/>
  <c r="HOB4" i="7"/>
  <c r="HOC4" i="7"/>
  <c r="HOD4" i="7"/>
  <c r="HOE4" i="7"/>
  <c r="HOF4" i="7"/>
  <c r="HOG4" i="7"/>
  <c r="HOH4" i="7"/>
  <c r="HOI4" i="7"/>
  <c r="HOJ4" i="7"/>
  <c r="HOK4" i="7"/>
  <c r="HOL4" i="7"/>
  <c r="HOM4" i="7"/>
  <c r="HON4" i="7"/>
  <c r="HOO4" i="7"/>
  <c r="HOP4" i="7"/>
  <c r="HOQ4" i="7"/>
  <c r="HOR4" i="7"/>
  <c r="HOS4" i="7"/>
  <c r="HOT4" i="7"/>
  <c r="HOU4" i="7"/>
  <c r="HOV4" i="7"/>
  <c r="HOW4" i="7"/>
  <c r="HOX4" i="7"/>
  <c r="HOY4" i="7"/>
  <c r="HOZ4" i="7"/>
  <c r="HPA4" i="7"/>
  <c r="HPB4" i="7"/>
  <c r="HPC4" i="7"/>
  <c r="HPD4" i="7"/>
  <c r="HPE4" i="7"/>
  <c r="HPF4" i="7"/>
  <c r="HPG4" i="7"/>
  <c r="HPH4" i="7"/>
  <c r="HPI4" i="7"/>
  <c r="HPJ4" i="7"/>
  <c r="HPK4" i="7"/>
  <c r="HPL4" i="7"/>
  <c r="HPM4" i="7"/>
  <c r="HPN4" i="7"/>
  <c r="HPO4" i="7"/>
  <c r="HPP4" i="7"/>
  <c r="HPQ4" i="7"/>
  <c r="HPR4" i="7"/>
  <c r="HPS4" i="7"/>
  <c r="HPT4" i="7"/>
  <c r="HPU4" i="7"/>
  <c r="HPV4" i="7"/>
  <c r="HPW4" i="7"/>
  <c r="HPX4" i="7"/>
  <c r="HPY4" i="7"/>
  <c r="HPZ4" i="7"/>
  <c r="HQA4" i="7"/>
  <c r="HQB4" i="7"/>
  <c r="HQC4" i="7"/>
  <c r="HQD4" i="7"/>
  <c r="HQE4" i="7"/>
  <c r="HQF4" i="7"/>
  <c r="HQG4" i="7"/>
  <c r="HQH4" i="7"/>
  <c r="HQI4" i="7"/>
  <c r="HQJ4" i="7"/>
  <c r="HQK4" i="7"/>
  <c r="HQL4" i="7"/>
  <c r="HQM4" i="7"/>
  <c r="HQN4" i="7"/>
  <c r="HQO4" i="7"/>
  <c r="HQP4" i="7"/>
  <c r="HQQ4" i="7"/>
  <c r="HQR4" i="7"/>
  <c r="HQS4" i="7"/>
  <c r="HQT4" i="7"/>
  <c r="HQU4" i="7"/>
  <c r="HQV4" i="7"/>
  <c r="HQW4" i="7"/>
  <c r="HQX4" i="7"/>
  <c r="HQY4" i="7"/>
  <c r="HQZ4" i="7"/>
  <c r="HRA4" i="7"/>
  <c r="HRB4" i="7"/>
  <c r="HRC4" i="7"/>
  <c r="HRD4" i="7"/>
  <c r="HRE4" i="7"/>
  <c r="HRF4" i="7"/>
  <c r="HRG4" i="7"/>
  <c r="HRH4" i="7"/>
  <c r="HRI4" i="7"/>
  <c r="HRJ4" i="7"/>
  <c r="HRK4" i="7"/>
  <c r="HRL4" i="7"/>
  <c r="HRM4" i="7"/>
  <c r="HRN4" i="7"/>
  <c r="HRO4" i="7"/>
  <c r="HRP4" i="7"/>
  <c r="HRQ4" i="7"/>
  <c r="HRR4" i="7"/>
  <c r="HRS4" i="7"/>
  <c r="HRT4" i="7"/>
  <c r="HRU4" i="7"/>
  <c r="HRV4" i="7"/>
  <c r="HRW4" i="7"/>
  <c r="HRX4" i="7"/>
  <c r="HRY4" i="7"/>
  <c r="HRZ4" i="7"/>
  <c r="HSA4" i="7"/>
  <c r="HSB4" i="7"/>
  <c r="HSC4" i="7"/>
  <c r="HSD4" i="7"/>
  <c r="HSE4" i="7"/>
  <c r="HSF4" i="7"/>
  <c r="HSG4" i="7"/>
  <c r="HSH4" i="7"/>
  <c r="HSI4" i="7"/>
  <c r="HSJ4" i="7"/>
  <c r="HSK4" i="7"/>
  <c r="HSL4" i="7"/>
  <c r="HSM4" i="7"/>
  <c r="HSN4" i="7"/>
  <c r="HSO4" i="7"/>
  <c r="HSP4" i="7"/>
  <c r="HSQ4" i="7"/>
  <c r="HSR4" i="7"/>
  <c r="HSS4" i="7"/>
  <c r="HST4" i="7"/>
  <c r="HSU4" i="7"/>
  <c r="HSV4" i="7"/>
  <c r="HSW4" i="7"/>
  <c r="HSX4" i="7"/>
  <c r="HSY4" i="7"/>
  <c r="HSZ4" i="7"/>
  <c r="HTA4" i="7"/>
  <c r="HTB4" i="7"/>
  <c r="HTC4" i="7"/>
  <c r="HTD4" i="7"/>
  <c r="HTE4" i="7"/>
  <c r="HTF4" i="7"/>
  <c r="HTG4" i="7"/>
  <c r="HTH4" i="7"/>
  <c r="HTI4" i="7"/>
  <c r="HTJ4" i="7"/>
  <c r="HTK4" i="7"/>
  <c r="HTL4" i="7"/>
  <c r="HTM4" i="7"/>
  <c r="HTN4" i="7"/>
  <c r="HTO4" i="7"/>
  <c r="HTP4" i="7"/>
  <c r="HTQ4" i="7"/>
  <c r="HTR4" i="7"/>
  <c r="HTS4" i="7"/>
  <c r="HTT4" i="7"/>
  <c r="HTU4" i="7"/>
  <c r="HTV4" i="7"/>
  <c r="HTW4" i="7"/>
  <c r="HTX4" i="7"/>
  <c r="HTY4" i="7"/>
  <c r="HTZ4" i="7"/>
  <c r="HUA4" i="7"/>
  <c r="HUB4" i="7"/>
  <c r="HUC4" i="7"/>
  <c r="HUD4" i="7"/>
  <c r="HUE4" i="7"/>
  <c r="HUF4" i="7"/>
  <c r="HUG4" i="7"/>
  <c r="HUH4" i="7"/>
  <c r="HUI4" i="7"/>
  <c r="HUJ4" i="7"/>
  <c r="HUK4" i="7"/>
  <c r="HUL4" i="7"/>
  <c r="HUM4" i="7"/>
  <c r="HUN4" i="7"/>
  <c r="HUO4" i="7"/>
  <c r="HUP4" i="7"/>
  <c r="HUQ4" i="7"/>
  <c r="HUR4" i="7"/>
  <c r="HUS4" i="7"/>
  <c r="HUT4" i="7"/>
  <c r="HUU4" i="7"/>
  <c r="HUV4" i="7"/>
  <c r="HUW4" i="7"/>
  <c r="HUX4" i="7"/>
  <c r="HUY4" i="7"/>
  <c r="HUZ4" i="7"/>
  <c r="HVA4" i="7"/>
  <c r="HVB4" i="7"/>
  <c r="HVC4" i="7"/>
  <c r="HVD4" i="7"/>
  <c r="HVE4" i="7"/>
  <c r="HVF4" i="7"/>
  <c r="HVG4" i="7"/>
  <c r="HVH4" i="7"/>
  <c r="HVI4" i="7"/>
  <c r="HVJ4" i="7"/>
  <c r="HVK4" i="7"/>
  <c r="HVL4" i="7"/>
  <c r="HVM4" i="7"/>
  <c r="HVN4" i="7"/>
  <c r="HVO4" i="7"/>
  <c r="HVP4" i="7"/>
  <c r="HVQ4" i="7"/>
  <c r="HVR4" i="7"/>
  <c r="HVS4" i="7"/>
  <c r="HVT4" i="7"/>
  <c r="HVU4" i="7"/>
  <c r="HVV4" i="7"/>
  <c r="HVW4" i="7"/>
  <c r="HVX4" i="7"/>
  <c r="HVY4" i="7"/>
  <c r="HVZ4" i="7"/>
  <c r="HWA4" i="7"/>
  <c r="HWB4" i="7"/>
  <c r="HWC4" i="7"/>
  <c r="HWD4" i="7"/>
  <c r="HWE4" i="7"/>
  <c r="HWF4" i="7"/>
  <c r="HWG4" i="7"/>
  <c r="HWH4" i="7"/>
  <c r="HWI4" i="7"/>
  <c r="HWJ4" i="7"/>
  <c r="HWK4" i="7"/>
  <c r="HWL4" i="7"/>
  <c r="HWM4" i="7"/>
  <c r="HWN4" i="7"/>
  <c r="HWO4" i="7"/>
  <c r="HWP4" i="7"/>
  <c r="HWQ4" i="7"/>
  <c r="HWR4" i="7"/>
  <c r="HWS4" i="7"/>
  <c r="HWT4" i="7"/>
  <c r="HWU4" i="7"/>
  <c r="HWV4" i="7"/>
  <c r="HWW4" i="7"/>
  <c r="HWX4" i="7"/>
  <c r="HWY4" i="7"/>
  <c r="HWZ4" i="7"/>
  <c r="HXA4" i="7"/>
  <c r="HXB4" i="7"/>
  <c r="HXC4" i="7"/>
  <c r="HXD4" i="7"/>
  <c r="HXE4" i="7"/>
  <c r="HXF4" i="7"/>
  <c r="HXG4" i="7"/>
  <c r="HXH4" i="7"/>
  <c r="HXI4" i="7"/>
  <c r="HXJ4" i="7"/>
  <c r="HXK4" i="7"/>
  <c r="HXL4" i="7"/>
  <c r="HXM4" i="7"/>
  <c r="HXN4" i="7"/>
  <c r="HXO4" i="7"/>
  <c r="HXP4" i="7"/>
  <c r="HXQ4" i="7"/>
  <c r="HXR4" i="7"/>
  <c r="HXS4" i="7"/>
  <c r="HXT4" i="7"/>
  <c r="HXU4" i="7"/>
  <c r="HXV4" i="7"/>
  <c r="HXW4" i="7"/>
  <c r="HXX4" i="7"/>
  <c r="HXY4" i="7"/>
  <c r="HXZ4" i="7"/>
  <c r="HYA4" i="7"/>
  <c r="HYB4" i="7"/>
  <c r="HYC4" i="7"/>
  <c r="HYD4" i="7"/>
  <c r="HYE4" i="7"/>
  <c r="HYF4" i="7"/>
  <c r="HYG4" i="7"/>
  <c r="HYH4" i="7"/>
  <c r="HYI4" i="7"/>
  <c r="HYJ4" i="7"/>
  <c r="HYK4" i="7"/>
  <c r="HYL4" i="7"/>
  <c r="HYM4" i="7"/>
  <c r="HYN4" i="7"/>
  <c r="HYO4" i="7"/>
  <c r="HYP4" i="7"/>
  <c r="HYQ4" i="7"/>
  <c r="HYR4" i="7"/>
  <c r="HYS4" i="7"/>
  <c r="HYT4" i="7"/>
  <c r="HYU4" i="7"/>
  <c r="HYV4" i="7"/>
  <c r="HYW4" i="7"/>
  <c r="HYX4" i="7"/>
  <c r="HYY4" i="7"/>
  <c r="HYZ4" i="7"/>
  <c r="HZA4" i="7"/>
  <c r="HZB4" i="7"/>
  <c r="HZC4" i="7"/>
  <c r="HZD4" i="7"/>
  <c r="HZE4" i="7"/>
  <c r="HZF4" i="7"/>
  <c r="HZG4" i="7"/>
  <c r="HZH4" i="7"/>
  <c r="HZI4" i="7"/>
  <c r="HZJ4" i="7"/>
  <c r="HZK4" i="7"/>
  <c r="HZL4" i="7"/>
  <c r="HZM4" i="7"/>
  <c r="HZN4" i="7"/>
  <c r="HZO4" i="7"/>
  <c r="HZP4" i="7"/>
  <c r="HZQ4" i="7"/>
  <c r="HZR4" i="7"/>
  <c r="HZS4" i="7"/>
  <c r="HZT4" i="7"/>
  <c r="HZU4" i="7"/>
  <c r="HZV4" i="7"/>
  <c r="HZW4" i="7"/>
  <c r="HZX4" i="7"/>
  <c r="HZY4" i="7"/>
  <c r="HZZ4" i="7"/>
  <c r="IAA4" i="7"/>
  <c r="IAB4" i="7"/>
  <c r="IAC4" i="7"/>
  <c r="IAD4" i="7"/>
  <c r="IAE4" i="7"/>
  <c r="IAF4" i="7"/>
  <c r="IAG4" i="7"/>
  <c r="IAH4" i="7"/>
  <c r="IAI4" i="7"/>
  <c r="IAJ4" i="7"/>
  <c r="IAK4" i="7"/>
  <c r="IAL4" i="7"/>
  <c r="IAM4" i="7"/>
  <c r="IAN4" i="7"/>
  <c r="IAO4" i="7"/>
  <c r="IAP4" i="7"/>
  <c r="IAQ4" i="7"/>
  <c r="IAR4" i="7"/>
  <c r="IAS4" i="7"/>
  <c r="IAT4" i="7"/>
  <c r="IAU4" i="7"/>
  <c r="IAV4" i="7"/>
  <c r="IAW4" i="7"/>
  <c r="IAX4" i="7"/>
  <c r="IAY4" i="7"/>
  <c r="IAZ4" i="7"/>
  <c r="IBA4" i="7"/>
  <c r="IBB4" i="7"/>
  <c r="IBC4" i="7"/>
  <c r="IBD4" i="7"/>
  <c r="IBE4" i="7"/>
  <c r="IBF4" i="7"/>
  <c r="IBG4" i="7"/>
  <c r="IBH4" i="7"/>
  <c r="IBI4" i="7"/>
  <c r="IBJ4" i="7"/>
  <c r="IBK4" i="7"/>
  <c r="IBL4" i="7"/>
  <c r="IBM4" i="7"/>
  <c r="IBN4" i="7"/>
  <c r="IBO4" i="7"/>
  <c r="IBP4" i="7"/>
  <c r="IBQ4" i="7"/>
  <c r="IBR4" i="7"/>
  <c r="IBS4" i="7"/>
  <c r="IBT4" i="7"/>
  <c r="IBU4" i="7"/>
  <c r="IBV4" i="7"/>
  <c r="IBW4" i="7"/>
  <c r="IBX4" i="7"/>
  <c r="IBY4" i="7"/>
  <c r="IBZ4" i="7"/>
  <c r="ICA4" i="7"/>
  <c r="ICB4" i="7"/>
  <c r="ICC4" i="7"/>
  <c r="ICD4" i="7"/>
  <c r="ICE4" i="7"/>
  <c r="ICF4" i="7"/>
  <c r="ICG4" i="7"/>
  <c r="ICH4" i="7"/>
  <c r="ICI4" i="7"/>
  <c r="ICJ4" i="7"/>
  <c r="ICK4" i="7"/>
  <c r="ICL4" i="7"/>
  <c r="ICM4" i="7"/>
  <c r="ICN4" i="7"/>
  <c r="ICO4" i="7"/>
  <c r="ICP4" i="7"/>
  <c r="ICQ4" i="7"/>
  <c r="ICR4" i="7"/>
  <c r="ICS4" i="7"/>
  <c r="ICT4" i="7"/>
  <c r="ICU4" i="7"/>
  <c r="ICV4" i="7"/>
  <c r="ICW4" i="7"/>
  <c r="ICX4" i="7"/>
  <c r="ICY4" i="7"/>
  <c r="ICZ4" i="7"/>
  <c r="IDA4" i="7"/>
  <c r="IDB4" i="7"/>
  <c r="IDC4" i="7"/>
  <c r="IDD4" i="7"/>
  <c r="IDE4" i="7"/>
  <c r="IDF4" i="7"/>
  <c r="IDG4" i="7"/>
  <c r="IDH4" i="7"/>
  <c r="IDI4" i="7"/>
  <c r="IDJ4" i="7"/>
  <c r="IDK4" i="7"/>
  <c r="IDL4" i="7"/>
  <c r="IDM4" i="7"/>
  <c r="IDN4" i="7"/>
  <c r="IDO4" i="7"/>
  <c r="IDP4" i="7"/>
  <c r="IDQ4" i="7"/>
  <c r="IDR4" i="7"/>
  <c r="IDS4" i="7"/>
  <c r="IDT4" i="7"/>
  <c r="IDU4" i="7"/>
  <c r="IDV4" i="7"/>
  <c r="IDW4" i="7"/>
  <c r="IDX4" i="7"/>
  <c r="IDY4" i="7"/>
  <c r="IDZ4" i="7"/>
  <c r="IEA4" i="7"/>
  <c r="IEB4" i="7"/>
  <c r="IEC4" i="7"/>
  <c r="IED4" i="7"/>
  <c r="IEE4" i="7"/>
  <c r="IEF4" i="7"/>
  <c r="IEG4" i="7"/>
  <c r="IEH4" i="7"/>
  <c r="IEI4" i="7"/>
  <c r="IEJ4" i="7"/>
  <c r="IEK4" i="7"/>
  <c r="IEL4" i="7"/>
  <c r="IEM4" i="7"/>
  <c r="IEN4" i="7"/>
  <c r="IEO4" i="7"/>
  <c r="IEP4" i="7"/>
  <c r="IEQ4" i="7"/>
  <c r="IER4" i="7"/>
  <c r="IES4" i="7"/>
  <c r="IET4" i="7"/>
  <c r="IEU4" i="7"/>
  <c r="IEV4" i="7"/>
  <c r="IEW4" i="7"/>
  <c r="IEX4" i="7"/>
  <c r="IEY4" i="7"/>
  <c r="IEZ4" i="7"/>
  <c r="IFA4" i="7"/>
  <c r="IFB4" i="7"/>
  <c r="IFC4" i="7"/>
  <c r="IFD4" i="7"/>
  <c r="IFE4" i="7"/>
  <c r="IFF4" i="7"/>
  <c r="IFG4" i="7"/>
  <c r="IFH4" i="7"/>
  <c r="IFI4" i="7"/>
  <c r="IFJ4" i="7"/>
  <c r="IFK4" i="7"/>
  <c r="IFL4" i="7"/>
  <c r="IFM4" i="7"/>
  <c r="IFN4" i="7"/>
  <c r="IFO4" i="7"/>
  <c r="IFP4" i="7"/>
  <c r="IFQ4" i="7"/>
  <c r="IFR4" i="7"/>
  <c r="IFS4" i="7"/>
  <c r="IFT4" i="7"/>
  <c r="IFU4" i="7"/>
  <c r="IFV4" i="7"/>
  <c r="IFW4" i="7"/>
  <c r="IFX4" i="7"/>
  <c r="IFY4" i="7"/>
  <c r="IFZ4" i="7"/>
  <c r="IGA4" i="7"/>
  <c r="IGB4" i="7"/>
  <c r="IGC4" i="7"/>
  <c r="IGD4" i="7"/>
  <c r="IGE4" i="7"/>
  <c r="IGF4" i="7"/>
  <c r="IGG4" i="7"/>
  <c r="IGH4" i="7"/>
  <c r="IGI4" i="7"/>
  <c r="IGJ4" i="7"/>
  <c r="IGK4" i="7"/>
  <c r="IGL4" i="7"/>
  <c r="IGM4" i="7"/>
  <c r="IGN4" i="7"/>
  <c r="IGO4" i="7"/>
  <c r="IGP4" i="7"/>
  <c r="IGQ4" i="7"/>
  <c r="IGR4" i="7"/>
  <c r="IGS4" i="7"/>
  <c r="IGT4" i="7"/>
  <c r="IGU4" i="7"/>
  <c r="IGV4" i="7"/>
  <c r="IGW4" i="7"/>
  <c r="IGX4" i="7"/>
  <c r="IGY4" i="7"/>
  <c r="IGZ4" i="7"/>
  <c r="IHA4" i="7"/>
  <c r="IHB4" i="7"/>
  <c r="IHC4" i="7"/>
  <c r="IHD4" i="7"/>
  <c r="IHE4" i="7"/>
  <c r="IHF4" i="7"/>
  <c r="IHG4" i="7"/>
  <c r="IHH4" i="7"/>
  <c r="IHI4" i="7"/>
  <c r="IHJ4" i="7"/>
  <c r="IHK4" i="7"/>
  <c r="IHL4" i="7"/>
  <c r="IHM4" i="7"/>
  <c r="IHN4" i="7"/>
  <c r="IHO4" i="7"/>
  <c r="IHP4" i="7"/>
  <c r="IHQ4" i="7"/>
  <c r="IHR4" i="7"/>
  <c r="IHS4" i="7"/>
  <c r="IHT4" i="7"/>
  <c r="IHU4" i="7"/>
  <c r="IHV4" i="7"/>
  <c r="IHW4" i="7"/>
  <c r="IHX4" i="7"/>
  <c r="IHY4" i="7"/>
  <c r="IHZ4" i="7"/>
  <c r="IIA4" i="7"/>
  <c r="IIB4" i="7"/>
  <c r="IIC4" i="7"/>
  <c r="IID4" i="7"/>
  <c r="IIE4" i="7"/>
  <c r="IIF4" i="7"/>
  <c r="IIG4" i="7"/>
  <c r="IIH4" i="7"/>
  <c r="III4" i="7"/>
  <c r="IIJ4" i="7"/>
  <c r="IIK4" i="7"/>
  <c r="IIL4" i="7"/>
  <c r="IIM4" i="7"/>
  <c r="IIN4" i="7"/>
  <c r="IIO4" i="7"/>
  <c r="IIP4" i="7"/>
  <c r="IIQ4" i="7"/>
  <c r="IIR4" i="7"/>
  <c r="IIS4" i="7"/>
  <c r="IIT4" i="7"/>
  <c r="IIU4" i="7"/>
  <c r="IIV4" i="7"/>
  <c r="IIW4" i="7"/>
  <c r="IIX4" i="7"/>
  <c r="IIY4" i="7"/>
  <c r="IIZ4" i="7"/>
  <c r="IJA4" i="7"/>
  <c r="IJB4" i="7"/>
  <c r="IJC4" i="7"/>
  <c r="IJD4" i="7"/>
  <c r="IJE4" i="7"/>
  <c r="IJF4" i="7"/>
  <c r="IJG4" i="7"/>
  <c r="IJH4" i="7"/>
  <c r="IJI4" i="7"/>
  <c r="IJJ4" i="7"/>
  <c r="IJK4" i="7"/>
  <c r="IJL4" i="7"/>
  <c r="IJM4" i="7"/>
  <c r="IJN4" i="7"/>
  <c r="IJO4" i="7"/>
  <c r="IJP4" i="7"/>
  <c r="IJQ4" i="7"/>
  <c r="IJR4" i="7"/>
  <c r="IJS4" i="7"/>
  <c r="IJT4" i="7"/>
  <c r="IJU4" i="7"/>
  <c r="IJV4" i="7"/>
  <c r="IJW4" i="7"/>
  <c r="IJX4" i="7"/>
  <c r="IJY4" i="7"/>
  <c r="IJZ4" i="7"/>
  <c r="IKA4" i="7"/>
  <c r="IKB4" i="7"/>
  <c r="IKC4" i="7"/>
  <c r="IKD4" i="7"/>
  <c r="IKE4" i="7"/>
  <c r="IKF4" i="7"/>
  <c r="IKG4" i="7"/>
  <c r="IKH4" i="7"/>
  <c r="IKI4" i="7"/>
  <c r="IKJ4" i="7"/>
  <c r="IKK4" i="7"/>
  <c r="IKL4" i="7"/>
  <c r="IKM4" i="7"/>
  <c r="IKN4" i="7"/>
  <c r="IKO4" i="7"/>
  <c r="IKP4" i="7"/>
  <c r="IKQ4" i="7"/>
  <c r="IKR4" i="7"/>
  <c r="IKS4" i="7"/>
  <c r="IKT4" i="7"/>
  <c r="IKU4" i="7"/>
  <c r="IKV4" i="7"/>
  <c r="IKW4" i="7"/>
  <c r="IKX4" i="7"/>
  <c r="IKY4" i="7"/>
  <c r="IKZ4" i="7"/>
  <c r="ILA4" i="7"/>
  <c r="ILB4" i="7"/>
  <c r="ILC4" i="7"/>
  <c r="ILD4" i="7"/>
  <c r="ILE4" i="7"/>
  <c r="ILF4" i="7"/>
  <c r="ILG4" i="7"/>
  <c r="ILH4" i="7"/>
  <c r="ILI4" i="7"/>
  <c r="ILJ4" i="7"/>
  <c r="ILK4" i="7"/>
  <c r="ILL4" i="7"/>
  <c r="ILM4" i="7"/>
  <c r="ILN4" i="7"/>
  <c r="ILO4" i="7"/>
  <c r="ILP4" i="7"/>
  <c r="ILQ4" i="7"/>
  <c r="ILR4" i="7"/>
  <c r="ILS4" i="7"/>
  <c r="ILT4" i="7"/>
  <c r="ILU4" i="7"/>
  <c r="ILV4" i="7"/>
  <c r="ILW4" i="7"/>
  <c r="ILX4" i="7"/>
  <c r="ILY4" i="7"/>
  <c r="ILZ4" i="7"/>
  <c r="IMA4" i="7"/>
  <c r="IMB4" i="7"/>
  <c r="IMC4" i="7"/>
  <c r="IMD4" i="7"/>
  <c r="IME4" i="7"/>
  <c r="IMF4" i="7"/>
  <c r="IMG4" i="7"/>
  <c r="IMH4" i="7"/>
  <c r="IMI4" i="7"/>
  <c r="IMJ4" i="7"/>
  <c r="IMK4" i="7"/>
  <c r="IML4" i="7"/>
  <c r="IMM4" i="7"/>
  <c r="IMN4" i="7"/>
  <c r="IMO4" i="7"/>
  <c r="IMP4" i="7"/>
  <c r="IMQ4" i="7"/>
  <c r="IMR4" i="7"/>
  <c r="IMS4" i="7"/>
  <c r="IMT4" i="7"/>
  <c r="IMU4" i="7"/>
  <c r="IMV4" i="7"/>
  <c r="IMW4" i="7"/>
  <c r="IMX4" i="7"/>
  <c r="IMY4" i="7"/>
  <c r="IMZ4" i="7"/>
  <c r="INA4" i="7"/>
  <c r="INB4" i="7"/>
  <c r="INC4" i="7"/>
  <c r="IND4" i="7"/>
  <c r="INE4" i="7"/>
  <c r="INF4" i="7"/>
  <c r="ING4" i="7"/>
  <c r="INH4" i="7"/>
  <c r="INI4" i="7"/>
  <c r="INJ4" i="7"/>
  <c r="INK4" i="7"/>
  <c r="INL4" i="7"/>
  <c r="INM4" i="7"/>
  <c r="INN4" i="7"/>
  <c r="INO4" i="7"/>
  <c r="INP4" i="7"/>
  <c r="INQ4" i="7"/>
  <c r="INR4" i="7"/>
  <c r="INS4" i="7"/>
  <c r="INT4" i="7"/>
  <c r="INU4" i="7"/>
  <c r="INV4" i="7"/>
  <c r="INW4" i="7"/>
  <c r="INX4" i="7"/>
  <c r="INY4" i="7"/>
  <c r="INZ4" i="7"/>
  <c r="IOA4" i="7"/>
  <c r="IOB4" i="7"/>
  <c r="IOC4" i="7"/>
  <c r="IOD4" i="7"/>
  <c r="IOE4" i="7"/>
  <c r="IOF4" i="7"/>
  <c r="IOG4" i="7"/>
  <c r="IOH4" i="7"/>
  <c r="IOI4" i="7"/>
  <c r="IOJ4" i="7"/>
  <c r="IOK4" i="7"/>
  <c r="IOL4" i="7"/>
  <c r="IOM4" i="7"/>
  <c r="ION4" i="7"/>
  <c r="IOO4" i="7"/>
  <c r="IOP4" i="7"/>
  <c r="IOQ4" i="7"/>
  <c r="IOR4" i="7"/>
  <c r="IOS4" i="7"/>
  <c r="IOT4" i="7"/>
  <c r="IOU4" i="7"/>
  <c r="IOV4" i="7"/>
  <c r="IOW4" i="7"/>
  <c r="IOX4" i="7"/>
  <c r="IOY4" i="7"/>
  <c r="IOZ4" i="7"/>
  <c r="IPA4" i="7"/>
  <c r="IPB4" i="7"/>
  <c r="IPC4" i="7"/>
  <c r="IPD4" i="7"/>
  <c r="IPE4" i="7"/>
  <c r="IPF4" i="7"/>
  <c r="IPG4" i="7"/>
  <c r="IPH4" i="7"/>
  <c r="IPI4" i="7"/>
  <c r="IPJ4" i="7"/>
  <c r="IPK4" i="7"/>
  <c r="IPL4" i="7"/>
  <c r="IPM4" i="7"/>
  <c r="IPN4" i="7"/>
  <c r="IPO4" i="7"/>
  <c r="IPP4" i="7"/>
  <c r="IPQ4" i="7"/>
  <c r="IPR4" i="7"/>
  <c r="IPS4" i="7"/>
  <c r="IPT4" i="7"/>
  <c r="IPU4" i="7"/>
  <c r="IPV4" i="7"/>
  <c r="IPW4" i="7"/>
  <c r="IPX4" i="7"/>
  <c r="IPY4" i="7"/>
  <c r="IPZ4" i="7"/>
  <c r="IQA4" i="7"/>
  <c r="IQB4" i="7"/>
  <c r="IQC4" i="7"/>
  <c r="IQD4" i="7"/>
  <c r="IQE4" i="7"/>
  <c r="IQF4" i="7"/>
  <c r="IQG4" i="7"/>
  <c r="IQH4" i="7"/>
  <c r="IQI4" i="7"/>
  <c r="IQJ4" i="7"/>
  <c r="IQK4" i="7"/>
  <c r="IQL4" i="7"/>
  <c r="IQM4" i="7"/>
  <c r="IQN4" i="7"/>
  <c r="IQO4" i="7"/>
  <c r="IQP4" i="7"/>
  <c r="IQQ4" i="7"/>
  <c r="IQR4" i="7"/>
  <c r="IQS4" i="7"/>
  <c r="IQT4" i="7"/>
  <c r="IQU4" i="7"/>
  <c r="IQV4" i="7"/>
  <c r="IQW4" i="7"/>
  <c r="IQX4" i="7"/>
  <c r="IQY4" i="7"/>
  <c r="IQZ4" i="7"/>
  <c r="IRA4" i="7"/>
  <c r="IRB4" i="7"/>
  <c r="IRC4" i="7"/>
  <c r="IRD4" i="7"/>
  <c r="IRE4" i="7"/>
  <c r="IRF4" i="7"/>
  <c r="IRG4" i="7"/>
  <c r="IRH4" i="7"/>
  <c r="IRI4" i="7"/>
  <c r="IRJ4" i="7"/>
  <c r="IRK4" i="7"/>
  <c r="IRL4" i="7"/>
  <c r="IRM4" i="7"/>
  <c r="IRN4" i="7"/>
  <c r="IRO4" i="7"/>
  <c r="IRP4" i="7"/>
  <c r="IRQ4" i="7"/>
  <c r="IRR4" i="7"/>
  <c r="IRS4" i="7"/>
  <c r="IRT4" i="7"/>
  <c r="IRU4" i="7"/>
  <c r="IRV4" i="7"/>
  <c r="IRW4" i="7"/>
  <c r="IRX4" i="7"/>
  <c r="IRY4" i="7"/>
  <c r="IRZ4" i="7"/>
  <c r="ISA4" i="7"/>
  <c r="ISB4" i="7"/>
  <c r="ISC4" i="7"/>
  <c r="ISD4" i="7"/>
  <c r="ISE4" i="7"/>
  <c r="ISF4" i="7"/>
  <c r="ISG4" i="7"/>
  <c r="ISH4" i="7"/>
  <c r="ISI4" i="7"/>
  <c r="ISJ4" i="7"/>
  <c r="ISK4" i="7"/>
  <c r="ISL4" i="7"/>
  <c r="ISM4" i="7"/>
  <c r="ISN4" i="7"/>
  <c r="ISO4" i="7"/>
  <c r="ISP4" i="7"/>
  <c r="ISQ4" i="7"/>
  <c r="ISR4" i="7"/>
  <c r="ISS4" i="7"/>
  <c r="IST4" i="7"/>
  <c r="ISU4" i="7"/>
  <c r="ISV4" i="7"/>
  <c r="ISW4" i="7"/>
  <c r="ISX4" i="7"/>
  <c r="ISY4" i="7"/>
  <c r="ISZ4" i="7"/>
  <c r="ITA4" i="7"/>
  <c r="ITB4" i="7"/>
  <c r="ITC4" i="7"/>
  <c r="ITD4" i="7"/>
  <c r="ITE4" i="7"/>
  <c r="ITF4" i="7"/>
  <c r="ITG4" i="7"/>
  <c r="ITH4" i="7"/>
  <c r="ITI4" i="7"/>
  <c r="ITJ4" i="7"/>
  <c r="ITK4" i="7"/>
  <c r="ITL4" i="7"/>
  <c r="ITM4" i="7"/>
  <c r="ITN4" i="7"/>
  <c r="ITO4" i="7"/>
  <c r="ITP4" i="7"/>
  <c r="ITQ4" i="7"/>
  <c r="ITR4" i="7"/>
  <c r="ITS4" i="7"/>
  <c r="ITT4" i="7"/>
  <c r="ITU4" i="7"/>
  <c r="ITV4" i="7"/>
  <c r="ITW4" i="7"/>
  <c r="ITX4" i="7"/>
  <c r="ITY4" i="7"/>
  <c r="ITZ4" i="7"/>
  <c r="IUA4" i="7"/>
  <c r="IUB4" i="7"/>
  <c r="IUC4" i="7"/>
  <c r="IUD4" i="7"/>
  <c r="IUE4" i="7"/>
  <c r="IUF4" i="7"/>
  <c r="IUG4" i="7"/>
  <c r="IUH4" i="7"/>
  <c r="IUI4" i="7"/>
  <c r="IUJ4" i="7"/>
  <c r="IUK4" i="7"/>
  <c r="IUL4" i="7"/>
  <c r="IUM4" i="7"/>
  <c r="IUN4" i="7"/>
  <c r="IUO4" i="7"/>
  <c r="IUP4" i="7"/>
  <c r="IUQ4" i="7"/>
  <c r="IUR4" i="7"/>
  <c r="IUS4" i="7"/>
  <c r="IUT4" i="7"/>
  <c r="IUU4" i="7"/>
  <c r="IUV4" i="7"/>
  <c r="IUW4" i="7"/>
  <c r="IUX4" i="7"/>
  <c r="IUY4" i="7"/>
  <c r="IUZ4" i="7"/>
  <c r="IVA4" i="7"/>
  <c r="IVB4" i="7"/>
  <c r="IVC4" i="7"/>
  <c r="IVD4" i="7"/>
  <c r="IVE4" i="7"/>
  <c r="IVF4" i="7"/>
  <c r="IVG4" i="7"/>
  <c r="IVH4" i="7"/>
  <c r="IVI4" i="7"/>
  <c r="IVJ4" i="7"/>
  <c r="IVK4" i="7"/>
  <c r="IVL4" i="7"/>
  <c r="IVM4" i="7"/>
  <c r="IVN4" i="7"/>
  <c r="IVO4" i="7"/>
  <c r="IVP4" i="7"/>
  <c r="IVQ4" i="7"/>
  <c r="IVR4" i="7"/>
  <c r="IVS4" i="7"/>
  <c r="IVT4" i="7"/>
  <c r="IVU4" i="7"/>
  <c r="IVV4" i="7"/>
  <c r="IVW4" i="7"/>
  <c r="IVX4" i="7"/>
  <c r="IVY4" i="7"/>
  <c r="IVZ4" i="7"/>
  <c r="IWA4" i="7"/>
  <c r="IWB4" i="7"/>
  <c r="IWC4" i="7"/>
  <c r="IWD4" i="7"/>
  <c r="IWE4" i="7"/>
  <c r="IWF4" i="7"/>
  <c r="IWG4" i="7"/>
  <c r="IWH4" i="7"/>
  <c r="IWI4" i="7"/>
  <c r="IWJ4" i="7"/>
  <c r="IWK4" i="7"/>
  <c r="IWL4" i="7"/>
  <c r="IWM4" i="7"/>
  <c r="IWN4" i="7"/>
  <c r="IWO4" i="7"/>
  <c r="IWP4" i="7"/>
  <c r="IWQ4" i="7"/>
  <c r="IWR4" i="7"/>
  <c r="IWS4" i="7"/>
  <c r="IWT4" i="7"/>
  <c r="IWU4" i="7"/>
  <c r="IWV4" i="7"/>
  <c r="IWW4" i="7"/>
  <c r="IWX4" i="7"/>
  <c r="IWY4" i="7"/>
  <c r="IWZ4" i="7"/>
  <c r="IXA4" i="7"/>
  <c r="IXB4" i="7"/>
  <c r="IXC4" i="7"/>
  <c r="IXD4" i="7"/>
  <c r="IXE4" i="7"/>
  <c r="IXF4" i="7"/>
  <c r="IXG4" i="7"/>
  <c r="IXH4" i="7"/>
  <c r="IXI4" i="7"/>
  <c r="IXJ4" i="7"/>
  <c r="IXK4" i="7"/>
  <c r="IXL4" i="7"/>
  <c r="IXM4" i="7"/>
  <c r="IXN4" i="7"/>
  <c r="IXO4" i="7"/>
  <c r="IXP4" i="7"/>
  <c r="IXQ4" i="7"/>
  <c r="IXR4" i="7"/>
  <c r="IXS4" i="7"/>
  <c r="IXT4" i="7"/>
  <c r="IXU4" i="7"/>
  <c r="IXV4" i="7"/>
  <c r="IXW4" i="7"/>
  <c r="IXX4" i="7"/>
  <c r="IXY4" i="7"/>
  <c r="IXZ4" i="7"/>
  <c r="IYA4" i="7"/>
  <c r="IYB4" i="7"/>
  <c r="IYC4" i="7"/>
  <c r="IYD4" i="7"/>
  <c r="IYE4" i="7"/>
  <c r="IYF4" i="7"/>
  <c r="IYG4" i="7"/>
  <c r="IYH4" i="7"/>
  <c r="IYI4" i="7"/>
  <c r="IYJ4" i="7"/>
  <c r="IYK4" i="7"/>
  <c r="IYL4" i="7"/>
  <c r="IYM4" i="7"/>
  <c r="IYN4" i="7"/>
  <c r="IYO4" i="7"/>
  <c r="IYP4" i="7"/>
  <c r="IYQ4" i="7"/>
  <c r="IYR4" i="7"/>
  <c r="IYS4" i="7"/>
  <c r="IYT4" i="7"/>
  <c r="IYU4" i="7"/>
  <c r="IYV4" i="7"/>
  <c r="IYW4" i="7"/>
  <c r="IYX4" i="7"/>
  <c r="IYY4" i="7"/>
  <c r="IYZ4" i="7"/>
  <c r="IZA4" i="7"/>
  <c r="IZB4" i="7"/>
  <c r="IZC4" i="7"/>
  <c r="IZD4" i="7"/>
  <c r="IZE4" i="7"/>
  <c r="IZF4" i="7"/>
  <c r="IZG4" i="7"/>
  <c r="IZH4" i="7"/>
  <c r="IZI4" i="7"/>
  <c r="IZJ4" i="7"/>
  <c r="IZK4" i="7"/>
  <c r="IZL4" i="7"/>
  <c r="IZM4" i="7"/>
  <c r="IZN4" i="7"/>
  <c r="IZO4" i="7"/>
  <c r="IZP4" i="7"/>
  <c r="IZQ4" i="7"/>
  <c r="IZR4" i="7"/>
  <c r="IZS4" i="7"/>
  <c r="IZT4" i="7"/>
  <c r="IZU4" i="7"/>
  <c r="IZV4" i="7"/>
  <c r="IZW4" i="7"/>
  <c r="IZX4" i="7"/>
  <c r="IZY4" i="7"/>
  <c r="IZZ4" i="7"/>
  <c r="JAA4" i="7"/>
  <c r="JAB4" i="7"/>
  <c r="JAC4" i="7"/>
  <c r="JAD4" i="7"/>
  <c r="JAE4" i="7"/>
  <c r="JAF4" i="7"/>
  <c r="JAG4" i="7"/>
  <c r="JAH4" i="7"/>
  <c r="JAI4" i="7"/>
  <c r="JAJ4" i="7"/>
  <c r="JAK4" i="7"/>
  <c r="JAL4" i="7"/>
  <c r="JAM4" i="7"/>
  <c r="JAN4" i="7"/>
  <c r="JAO4" i="7"/>
  <c r="JAP4" i="7"/>
  <c r="JAQ4" i="7"/>
  <c r="JAR4" i="7"/>
  <c r="JAS4" i="7"/>
  <c r="JAT4" i="7"/>
  <c r="JAU4" i="7"/>
  <c r="JAV4" i="7"/>
  <c r="JAW4" i="7"/>
  <c r="JAX4" i="7"/>
  <c r="JAY4" i="7"/>
  <c r="JAZ4" i="7"/>
  <c r="JBA4" i="7"/>
  <c r="JBB4" i="7"/>
  <c r="JBC4" i="7"/>
  <c r="JBD4" i="7"/>
  <c r="JBE4" i="7"/>
  <c r="JBF4" i="7"/>
  <c r="JBG4" i="7"/>
  <c r="JBH4" i="7"/>
  <c r="JBI4" i="7"/>
  <c r="JBJ4" i="7"/>
  <c r="JBK4" i="7"/>
  <c r="JBL4" i="7"/>
  <c r="JBM4" i="7"/>
  <c r="JBN4" i="7"/>
  <c r="JBO4" i="7"/>
  <c r="JBP4" i="7"/>
  <c r="JBQ4" i="7"/>
  <c r="JBR4" i="7"/>
  <c r="JBS4" i="7"/>
  <c r="JBT4" i="7"/>
  <c r="JBU4" i="7"/>
  <c r="JBV4" i="7"/>
  <c r="JBW4" i="7"/>
  <c r="JBX4" i="7"/>
  <c r="JBY4" i="7"/>
  <c r="JBZ4" i="7"/>
  <c r="JCA4" i="7"/>
  <c r="JCB4" i="7"/>
  <c r="JCC4" i="7"/>
  <c r="JCD4" i="7"/>
  <c r="JCE4" i="7"/>
  <c r="JCF4" i="7"/>
  <c r="JCG4" i="7"/>
  <c r="JCH4" i="7"/>
  <c r="JCI4" i="7"/>
  <c r="JCJ4" i="7"/>
  <c r="JCK4" i="7"/>
  <c r="JCL4" i="7"/>
  <c r="JCM4" i="7"/>
  <c r="JCN4" i="7"/>
  <c r="JCO4" i="7"/>
  <c r="JCP4" i="7"/>
  <c r="JCQ4" i="7"/>
  <c r="JCR4" i="7"/>
  <c r="JCS4" i="7"/>
  <c r="JCT4" i="7"/>
  <c r="JCU4" i="7"/>
  <c r="JCV4" i="7"/>
  <c r="JCW4" i="7"/>
  <c r="JCX4" i="7"/>
  <c r="JCY4" i="7"/>
  <c r="JCZ4" i="7"/>
  <c r="JDA4" i="7"/>
  <c r="JDB4" i="7"/>
  <c r="JDC4" i="7"/>
  <c r="JDD4" i="7"/>
  <c r="JDE4" i="7"/>
  <c r="JDF4" i="7"/>
  <c r="JDG4" i="7"/>
  <c r="JDH4" i="7"/>
  <c r="JDI4" i="7"/>
  <c r="JDJ4" i="7"/>
  <c r="JDK4" i="7"/>
  <c r="JDL4" i="7"/>
  <c r="JDM4" i="7"/>
  <c r="JDN4" i="7"/>
  <c r="JDO4" i="7"/>
  <c r="JDP4" i="7"/>
  <c r="JDQ4" i="7"/>
  <c r="JDR4" i="7"/>
  <c r="JDS4" i="7"/>
  <c r="JDT4" i="7"/>
  <c r="JDU4" i="7"/>
  <c r="JDV4" i="7"/>
  <c r="JDW4" i="7"/>
  <c r="JDX4" i="7"/>
  <c r="JDY4" i="7"/>
  <c r="JDZ4" i="7"/>
  <c r="JEA4" i="7"/>
  <c r="JEB4" i="7"/>
  <c r="JEC4" i="7"/>
  <c r="JED4" i="7"/>
  <c r="JEE4" i="7"/>
  <c r="JEF4" i="7"/>
  <c r="JEG4" i="7"/>
  <c r="JEH4" i="7"/>
  <c r="JEI4" i="7"/>
  <c r="JEJ4" i="7"/>
  <c r="JEK4" i="7"/>
  <c r="JEL4" i="7"/>
  <c r="JEM4" i="7"/>
  <c r="JEN4" i="7"/>
  <c r="JEO4" i="7"/>
  <c r="JEP4" i="7"/>
  <c r="JEQ4" i="7"/>
  <c r="JER4" i="7"/>
  <c r="JES4" i="7"/>
  <c r="JET4" i="7"/>
  <c r="JEU4" i="7"/>
  <c r="JEV4" i="7"/>
  <c r="JEW4" i="7"/>
  <c r="JEX4" i="7"/>
  <c r="JEY4" i="7"/>
  <c r="JEZ4" i="7"/>
  <c r="JFA4" i="7"/>
  <c r="JFB4" i="7"/>
  <c r="JFC4" i="7"/>
  <c r="JFD4" i="7"/>
  <c r="JFE4" i="7"/>
  <c r="JFF4" i="7"/>
  <c r="JFG4" i="7"/>
  <c r="JFH4" i="7"/>
  <c r="JFI4" i="7"/>
  <c r="JFJ4" i="7"/>
  <c r="JFK4" i="7"/>
  <c r="JFL4" i="7"/>
  <c r="JFM4" i="7"/>
  <c r="JFN4" i="7"/>
  <c r="JFO4" i="7"/>
  <c r="JFP4" i="7"/>
  <c r="JFQ4" i="7"/>
  <c r="JFR4" i="7"/>
  <c r="JFS4" i="7"/>
  <c r="JFT4" i="7"/>
  <c r="JFU4" i="7"/>
  <c r="JFV4" i="7"/>
  <c r="JFW4" i="7"/>
  <c r="JFX4" i="7"/>
  <c r="JFY4" i="7"/>
  <c r="JFZ4" i="7"/>
  <c r="JGA4" i="7"/>
  <c r="JGB4" i="7"/>
  <c r="JGC4" i="7"/>
  <c r="JGD4" i="7"/>
  <c r="JGE4" i="7"/>
  <c r="JGF4" i="7"/>
  <c r="JGG4" i="7"/>
  <c r="JGH4" i="7"/>
  <c r="JGI4" i="7"/>
  <c r="JGJ4" i="7"/>
  <c r="JGK4" i="7"/>
  <c r="JGL4" i="7"/>
  <c r="JGM4" i="7"/>
  <c r="JGN4" i="7"/>
  <c r="JGO4" i="7"/>
  <c r="JGP4" i="7"/>
  <c r="JGQ4" i="7"/>
  <c r="JGR4" i="7"/>
  <c r="JGS4" i="7"/>
  <c r="JGT4" i="7"/>
  <c r="JGU4" i="7"/>
  <c r="JGV4" i="7"/>
  <c r="JGW4" i="7"/>
  <c r="JGX4" i="7"/>
  <c r="JGY4" i="7"/>
  <c r="JGZ4" i="7"/>
  <c r="JHA4" i="7"/>
  <c r="JHB4" i="7"/>
  <c r="JHC4" i="7"/>
  <c r="JHD4" i="7"/>
  <c r="JHE4" i="7"/>
  <c r="JHF4" i="7"/>
  <c r="JHG4" i="7"/>
  <c r="JHH4" i="7"/>
  <c r="JHI4" i="7"/>
  <c r="JHJ4" i="7"/>
  <c r="JHK4" i="7"/>
  <c r="JHL4" i="7"/>
  <c r="JHM4" i="7"/>
  <c r="JHN4" i="7"/>
  <c r="JHO4" i="7"/>
  <c r="JHP4" i="7"/>
  <c r="JHQ4" i="7"/>
  <c r="JHR4" i="7"/>
  <c r="JHS4" i="7"/>
  <c r="JHT4" i="7"/>
  <c r="JHU4" i="7"/>
  <c r="JHV4" i="7"/>
  <c r="JHW4" i="7"/>
  <c r="JHX4" i="7"/>
  <c r="JHY4" i="7"/>
  <c r="JHZ4" i="7"/>
  <c r="JIA4" i="7"/>
  <c r="JIB4" i="7"/>
  <c r="JIC4" i="7"/>
  <c r="JID4" i="7"/>
  <c r="JIE4" i="7"/>
  <c r="JIF4" i="7"/>
  <c r="JIG4" i="7"/>
  <c r="JIH4" i="7"/>
  <c r="JII4" i="7"/>
  <c r="JIJ4" i="7"/>
  <c r="JIK4" i="7"/>
  <c r="JIL4" i="7"/>
  <c r="JIM4" i="7"/>
  <c r="JIN4" i="7"/>
  <c r="JIO4" i="7"/>
  <c r="JIP4" i="7"/>
  <c r="JIQ4" i="7"/>
  <c r="JIR4" i="7"/>
  <c r="JIS4" i="7"/>
  <c r="JIT4" i="7"/>
  <c r="JIU4" i="7"/>
  <c r="JIV4" i="7"/>
  <c r="JIW4" i="7"/>
  <c r="JIX4" i="7"/>
  <c r="JIY4" i="7"/>
  <c r="JIZ4" i="7"/>
  <c r="JJA4" i="7"/>
  <c r="JJB4" i="7"/>
  <c r="JJC4" i="7"/>
  <c r="JJD4" i="7"/>
  <c r="JJE4" i="7"/>
  <c r="JJF4" i="7"/>
  <c r="JJG4" i="7"/>
  <c r="JJH4" i="7"/>
  <c r="JJI4" i="7"/>
  <c r="JJJ4" i="7"/>
  <c r="JJK4" i="7"/>
  <c r="JJL4" i="7"/>
  <c r="JJM4" i="7"/>
  <c r="JJN4" i="7"/>
  <c r="JJO4" i="7"/>
  <c r="JJP4" i="7"/>
  <c r="JJQ4" i="7"/>
  <c r="JJR4" i="7"/>
  <c r="JJS4" i="7"/>
  <c r="JJT4" i="7"/>
  <c r="JJU4" i="7"/>
  <c r="JJV4" i="7"/>
  <c r="JJW4" i="7"/>
  <c r="JJX4" i="7"/>
  <c r="JJY4" i="7"/>
  <c r="JJZ4" i="7"/>
  <c r="JKA4" i="7"/>
  <c r="JKB4" i="7"/>
  <c r="JKC4" i="7"/>
  <c r="JKD4" i="7"/>
  <c r="JKE4" i="7"/>
  <c r="JKF4" i="7"/>
  <c r="JKG4" i="7"/>
  <c r="JKH4" i="7"/>
  <c r="JKI4" i="7"/>
  <c r="JKJ4" i="7"/>
  <c r="JKK4" i="7"/>
  <c r="JKL4" i="7"/>
  <c r="JKM4" i="7"/>
  <c r="JKN4" i="7"/>
  <c r="JKO4" i="7"/>
  <c r="JKP4" i="7"/>
  <c r="JKQ4" i="7"/>
  <c r="JKR4" i="7"/>
  <c r="JKS4" i="7"/>
  <c r="JKT4" i="7"/>
  <c r="JKU4" i="7"/>
  <c r="JKV4" i="7"/>
  <c r="JKW4" i="7"/>
  <c r="JKX4" i="7"/>
  <c r="JKY4" i="7"/>
  <c r="JKZ4" i="7"/>
  <c r="JLA4" i="7"/>
  <c r="JLB4" i="7"/>
  <c r="JLC4" i="7"/>
  <c r="JLD4" i="7"/>
  <c r="JLE4" i="7"/>
  <c r="JLF4" i="7"/>
  <c r="JLG4" i="7"/>
  <c r="JLH4" i="7"/>
  <c r="JLI4" i="7"/>
  <c r="JLJ4" i="7"/>
  <c r="JLK4" i="7"/>
  <c r="JLL4" i="7"/>
  <c r="JLM4" i="7"/>
  <c r="JLN4" i="7"/>
  <c r="JLO4" i="7"/>
  <c r="JLP4" i="7"/>
  <c r="JLQ4" i="7"/>
  <c r="JLR4" i="7"/>
  <c r="JLS4" i="7"/>
  <c r="JLT4" i="7"/>
  <c r="JLU4" i="7"/>
  <c r="JLV4" i="7"/>
  <c r="JLW4" i="7"/>
  <c r="JLX4" i="7"/>
  <c r="JLY4" i="7"/>
  <c r="JLZ4" i="7"/>
  <c r="JMA4" i="7"/>
  <c r="JMB4" i="7"/>
  <c r="JMC4" i="7"/>
  <c r="JMD4" i="7"/>
  <c r="JME4" i="7"/>
  <c r="JMF4" i="7"/>
  <c r="JMG4" i="7"/>
  <c r="JMH4" i="7"/>
  <c r="JMI4" i="7"/>
  <c r="JMJ4" i="7"/>
  <c r="JMK4" i="7"/>
  <c r="JML4" i="7"/>
  <c r="JMM4" i="7"/>
  <c r="JMN4" i="7"/>
  <c r="JMO4" i="7"/>
  <c r="JMP4" i="7"/>
  <c r="JMQ4" i="7"/>
  <c r="JMR4" i="7"/>
  <c r="JMS4" i="7"/>
  <c r="JMT4" i="7"/>
  <c r="JMU4" i="7"/>
  <c r="JMV4" i="7"/>
  <c r="JMW4" i="7"/>
  <c r="JMX4" i="7"/>
  <c r="JMY4" i="7"/>
  <c r="JMZ4" i="7"/>
  <c r="JNA4" i="7"/>
  <c r="JNB4" i="7"/>
  <c r="JNC4" i="7"/>
  <c r="JND4" i="7"/>
  <c r="JNE4" i="7"/>
  <c r="JNF4" i="7"/>
  <c r="JNG4" i="7"/>
  <c r="JNH4" i="7"/>
  <c r="JNI4" i="7"/>
  <c r="JNJ4" i="7"/>
  <c r="JNK4" i="7"/>
  <c r="JNL4" i="7"/>
  <c r="JNM4" i="7"/>
  <c r="JNN4" i="7"/>
  <c r="JNO4" i="7"/>
  <c r="JNP4" i="7"/>
  <c r="JNQ4" i="7"/>
  <c r="JNR4" i="7"/>
  <c r="JNS4" i="7"/>
  <c r="JNT4" i="7"/>
  <c r="JNU4" i="7"/>
  <c r="JNV4" i="7"/>
  <c r="JNW4" i="7"/>
  <c r="JNX4" i="7"/>
  <c r="JNY4" i="7"/>
  <c r="JNZ4" i="7"/>
  <c r="JOA4" i="7"/>
  <c r="JOB4" i="7"/>
  <c r="JOC4" i="7"/>
  <c r="JOD4" i="7"/>
  <c r="JOE4" i="7"/>
  <c r="JOF4" i="7"/>
  <c r="JOG4" i="7"/>
  <c r="JOH4" i="7"/>
  <c r="JOI4" i="7"/>
  <c r="JOJ4" i="7"/>
  <c r="JOK4" i="7"/>
  <c r="JOL4" i="7"/>
  <c r="JOM4" i="7"/>
  <c r="JON4" i="7"/>
  <c r="JOO4" i="7"/>
  <c r="JOP4" i="7"/>
  <c r="JOQ4" i="7"/>
  <c r="JOR4" i="7"/>
  <c r="JOS4" i="7"/>
  <c r="JOT4" i="7"/>
  <c r="JOU4" i="7"/>
  <c r="JOV4" i="7"/>
  <c r="JOW4" i="7"/>
  <c r="JOX4" i="7"/>
  <c r="JOY4" i="7"/>
  <c r="JOZ4" i="7"/>
  <c r="JPA4" i="7"/>
  <c r="JPB4" i="7"/>
  <c r="JPC4" i="7"/>
  <c r="JPD4" i="7"/>
  <c r="JPE4" i="7"/>
  <c r="JPF4" i="7"/>
  <c r="JPG4" i="7"/>
  <c r="JPH4" i="7"/>
  <c r="JPI4" i="7"/>
  <c r="JPJ4" i="7"/>
  <c r="JPK4" i="7"/>
  <c r="JPL4" i="7"/>
  <c r="JPM4" i="7"/>
  <c r="JPN4" i="7"/>
  <c r="JPO4" i="7"/>
  <c r="JPP4" i="7"/>
  <c r="JPQ4" i="7"/>
  <c r="JPR4" i="7"/>
  <c r="JPS4" i="7"/>
  <c r="JPT4" i="7"/>
  <c r="JPU4" i="7"/>
  <c r="JPV4" i="7"/>
  <c r="JPW4" i="7"/>
  <c r="JPX4" i="7"/>
  <c r="JPY4" i="7"/>
  <c r="JPZ4" i="7"/>
  <c r="JQA4" i="7"/>
  <c r="JQB4" i="7"/>
  <c r="JQC4" i="7"/>
  <c r="JQD4" i="7"/>
  <c r="JQE4" i="7"/>
  <c r="JQF4" i="7"/>
  <c r="JQG4" i="7"/>
  <c r="JQH4" i="7"/>
  <c r="JQI4" i="7"/>
  <c r="JQJ4" i="7"/>
  <c r="JQK4" i="7"/>
  <c r="JQL4" i="7"/>
  <c r="JQM4" i="7"/>
  <c r="JQN4" i="7"/>
  <c r="JQO4" i="7"/>
  <c r="JQP4" i="7"/>
  <c r="JQQ4" i="7"/>
  <c r="JQR4" i="7"/>
  <c r="JQS4" i="7"/>
  <c r="JQT4" i="7"/>
  <c r="JQU4" i="7"/>
  <c r="JQV4" i="7"/>
  <c r="JQW4" i="7"/>
  <c r="JQX4" i="7"/>
  <c r="JQY4" i="7"/>
  <c r="JQZ4" i="7"/>
  <c r="JRA4" i="7"/>
  <c r="JRB4" i="7"/>
  <c r="JRC4" i="7"/>
  <c r="JRD4" i="7"/>
  <c r="JRE4" i="7"/>
  <c r="JRF4" i="7"/>
  <c r="JRG4" i="7"/>
  <c r="JRH4" i="7"/>
  <c r="JRI4" i="7"/>
  <c r="JRJ4" i="7"/>
  <c r="JRK4" i="7"/>
  <c r="JRL4" i="7"/>
  <c r="JRM4" i="7"/>
  <c r="JRN4" i="7"/>
  <c r="JRO4" i="7"/>
  <c r="JRP4" i="7"/>
  <c r="JRQ4" i="7"/>
  <c r="JRR4" i="7"/>
  <c r="JRS4" i="7"/>
  <c r="JRT4" i="7"/>
  <c r="JRU4" i="7"/>
  <c r="JRV4" i="7"/>
  <c r="JRW4" i="7"/>
  <c r="JRX4" i="7"/>
  <c r="JRY4" i="7"/>
  <c r="JRZ4" i="7"/>
  <c r="JSA4" i="7"/>
  <c r="JSB4" i="7"/>
  <c r="JSC4" i="7"/>
  <c r="JSD4" i="7"/>
  <c r="JSE4" i="7"/>
  <c r="JSF4" i="7"/>
  <c r="JSG4" i="7"/>
  <c r="JSH4" i="7"/>
  <c r="JSI4" i="7"/>
  <c r="JSJ4" i="7"/>
  <c r="JSK4" i="7"/>
  <c r="JSL4" i="7"/>
  <c r="JSM4" i="7"/>
  <c r="JSN4" i="7"/>
  <c r="JSO4" i="7"/>
  <c r="JSP4" i="7"/>
  <c r="JSQ4" i="7"/>
  <c r="JSR4" i="7"/>
  <c r="JSS4" i="7"/>
  <c r="JST4" i="7"/>
  <c r="JSU4" i="7"/>
  <c r="JSV4" i="7"/>
  <c r="JSW4" i="7"/>
  <c r="JSX4" i="7"/>
  <c r="JSY4" i="7"/>
  <c r="JSZ4" i="7"/>
  <c r="JTA4" i="7"/>
  <c r="JTB4" i="7"/>
  <c r="JTC4" i="7"/>
  <c r="JTD4" i="7"/>
  <c r="JTE4" i="7"/>
  <c r="JTF4" i="7"/>
  <c r="JTG4" i="7"/>
  <c r="JTH4" i="7"/>
  <c r="JTI4" i="7"/>
  <c r="JTJ4" i="7"/>
  <c r="JTK4" i="7"/>
  <c r="JTL4" i="7"/>
  <c r="JTM4" i="7"/>
  <c r="JTN4" i="7"/>
  <c r="JTO4" i="7"/>
  <c r="JTP4" i="7"/>
  <c r="JTQ4" i="7"/>
  <c r="JTR4" i="7"/>
  <c r="JTS4" i="7"/>
  <c r="JTT4" i="7"/>
  <c r="JTU4" i="7"/>
  <c r="JTV4" i="7"/>
  <c r="JTW4" i="7"/>
  <c r="JTX4" i="7"/>
  <c r="JTY4" i="7"/>
  <c r="JTZ4" i="7"/>
  <c r="JUA4" i="7"/>
  <c r="JUB4" i="7"/>
  <c r="JUC4" i="7"/>
  <c r="JUD4" i="7"/>
  <c r="JUE4" i="7"/>
  <c r="JUF4" i="7"/>
  <c r="JUG4" i="7"/>
  <c r="JUH4" i="7"/>
  <c r="JUI4" i="7"/>
  <c r="JUJ4" i="7"/>
  <c r="JUK4" i="7"/>
  <c r="JUL4" i="7"/>
  <c r="JUM4" i="7"/>
  <c r="JUN4" i="7"/>
  <c r="JUO4" i="7"/>
  <c r="JUP4" i="7"/>
  <c r="JUQ4" i="7"/>
  <c r="JUR4" i="7"/>
  <c r="JUS4" i="7"/>
  <c r="JUT4" i="7"/>
  <c r="JUU4" i="7"/>
  <c r="JUV4" i="7"/>
  <c r="JUW4" i="7"/>
  <c r="JUX4" i="7"/>
  <c r="JUY4" i="7"/>
  <c r="JUZ4" i="7"/>
  <c r="JVA4" i="7"/>
  <c r="JVB4" i="7"/>
  <c r="JVC4" i="7"/>
  <c r="JVD4" i="7"/>
  <c r="JVE4" i="7"/>
  <c r="JVF4" i="7"/>
  <c r="JVG4" i="7"/>
  <c r="JVH4" i="7"/>
  <c r="JVI4" i="7"/>
  <c r="JVJ4" i="7"/>
  <c r="JVK4" i="7"/>
  <c r="JVL4" i="7"/>
  <c r="JVM4" i="7"/>
  <c r="JVN4" i="7"/>
  <c r="JVO4" i="7"/>
  <c r="JVP4" i="7"/>
  <c r="JVQ4" i="7"/>
  <c r="JVR4" i="7"/>
  <c r="JVS4" i="7"/>
  <c r="JVT4" i="7"/>
  <c r="JVU4" i="7"/>
  <c r="JVV4" i="7"/>
  <c r="JVW4" i="7"/>
  <c r="JVX4" i="7"/>
  <c r="JVY4" i="7"/>
  <c r="JVZ4" i="7"/>
  <c r="JWA4" i="7"/>
  <c r="JWB4" i="7"/>
  <c r="JWC4" i="7"/>
  <c r="JWD4" i="7"/>
  <c r="JWE4" i="7"/>
  <c r="JWF4" i="7"/>
  <c r="JWG4" i="7"/>
  <c r="JWH4" i="7"/>
  <c r="JWI4" i="7"/>
  <c r="JWJ4" i="7"/>
  <c r="JWK4" i="7"/>
  <c r="JWL4" i="7"/>
  <c r="JWM4" i="7"/>
  <c r="JWN4" i="7"/>
  <c r="JWO4" i="7"/>
  <c r="JWP4" i="7"/>
  <c r="JWQ4" i="7"/>
  <c r="JWR4" i="7"/>
  <c r="JWS4" i="7"/>
  <c r="JWT4" i="7"/>
  <c r="JWU4" i="7"/>
  <c r="JWV4" i="7"/>
  <c r="JWW4" i="7"/>
  <c r="JWX4" i="7"/>
  <c r="JWY4" i="7"/>
  <c r="JWZ4" i="7"/>
  <c r="JXA4" i="7"/>
  <c r="JXB4" i="7"/>
  <c r="JXC4" i="7"/>
  <c r="JXD4" i="7"/>
  <c r="JXE4" i="7"/>
  <c r="JXF4" i="7"/>
  <c r="JXG4" i="7"/>
  <c r="JXH4" i="7"/>
  <c r="JXI4" i="7"/>
  <c r="JXJ4" i="7"/>
  <c r="JXK4" i="7"/>
  <c r="JXL4" i="7"/>
  <c r="JXM4" i="7"/>
  <c r="JXN4" i="7"/>
  <c r="JXO4" i="7"/>
  <c r="JXP4" i="7"/>
  <c r="JXQ4" i="7"/>
  <c r="JXR4" i="7"/>
  <c r="JXS4" i="7"/>
  <c r="JXT4" i="7"/>
  <c r="JXU4" i="7"/>
  <c r="JXV4" i="7"/>
  <c r="JXW4" i="7"/>
  <c r="JXX4" i="7"/>
  <c r="JXY4" i="7"/>
  <c r="JXZ4" i="7"/>
  <c r="JYA4" i="7"/>
  <c r="JYB4" i="7"/>
  <c r="JYC4" i="7"/>
  <c r="JYD4" i="7"/>
  <c r="JYE4" i="7"/>
  <c r="JYF4" i="7"/>
  <c r="JYG4" i="7"/>
  <c r="JYH4" i="7"/>
  <c r="JYI4" i="7"/>
  <c r="JYJ4" i="7"/>
  <c r="JYK4" i="7"/>
  <c r="JYL4" i="7"/>
  <c r="JYM4" i="7"/>
  <c r="JYN4" i="7"/>
  <c r="JYO4" i="7"/>
  <c r="JYP4" i="7"/>
  <c r="JYQ4" i="7"/>
  <c r="JYR4" i="7"/>
  <c r="JYS4" i="7"/>
  <c r="JYT4" i="7"/>
  <c r="JYU4" i="7"/>
  <c r="JYV4" i="7"/>
  <c r="JYW4" i="7"/>
  <c r="JYX4" i="7"/>
  <c r="JYY4" i="7"/>
  <c r="JYZ4" i="7"/>
  <c r="JZA4" i="7"/>
  <c r="JZB4" i="7"/>
  <c r="JZC4" i="7"/>
  <c r="JZD4" i="7"/>
  <c r="JZE4" i="7"/>
  <c r="JZF4" i="7"/>
  <c r="JZG4" i="7"/>
  <c r="JZH4" i="7"/>
  <c r="JZI4" i="7"/>
  <c r="JZJ4" i="7"/>
  <c r="JZK4" i="7"/>
  <c r="JZL4" i="7"/>
  <c r="JZM4" i="7"/>
  <c r="JZN4" i="7"/>
  <c r="JZO4" i="7"/>
  <c r="JZP4" i="7"/>
  <c r="JZQ4" i="7"/>
  <c r="JZR4" i="7"/>
  <c r="JZS4" i="7"/>
  <c r="JZT4" i="7"/>
  <c r="JZU4" i="7"/>
  <c r="JZV4" i="7"/>
  <c r="JZW4" i="7"/>
  <c r="JZX4" i="7"/>
  <c r="JZY4" i="7"/>
  <c r="JZZ4" i="7"/>
  <c r="KAA4" i="7"/>
  <c r="KAB4" i="7"/>
  <c r="KAC4" i="7"/>
  <c r="KAD4" i="7"/>
  <c r="KAE4" i="7"/>
  <c r="KAF4" i="7"/>
  <c r="KAG4" i="7"/>
  <c r="KAH4" i="7"/>
  <c r="KAI4" i="7"/>
  <c r="KAJ4" i="7"/>
  <c r="KAK4" i="7"/>
  <c r="KAL4" i="7"/>
  <c r="KAM4" i="7"/>
  <c r="KAN4" i="7"/>
  <c r="KAO4" i="7"/>
  <c r="KAP4" i="7"/>
  <c r="KAQ4" i="7"/>
  <c r="KAR4" i="7"/>
  <c r="KAS4" i="7"/>
  <c r="KAT4" i="7"/>
  <c r="KAU4" i="7"/>
  <c r="KAV4" i="7"/>
  <c r="KAW4" i="7"/>
  <c r="KAX4" i="7"/>
  <c r="KAY4" i="7"/>
  <c r="KAZ4" i="7"/>
  <c r="KBA4" i="7"/>
  <c r="KBB4" i="7"/>
  <c r="KBC4" i="7"/>
  <c r="KBD4" i="7"/>
  <c r="KBE4" i="7"/>
  <c r="KBF4" i="7"/>
  <c r="KBG4" i="7"/>
  <c r="KBH4" i="7"/>
  <c r="KBI4" i="7"/>
  <c r="KBJ4" i="7"/>
  <c r="KBK4" i="7"/>
  <c r="KBL4" i="7"/>
  <c r="KBM4" i="7"/>
  <c r="KBN4" i="7"/>
  <c r="KBO4" i="7"/>
  <c r="KBP4" i="7"/>
  <c r="KBQ4" i="7"/>
  <c r="KBR4" i="7"/>
  <c r="KBS4" i="7"/>
  <c r="KBT4" i="7"/>
  <c r="KBU4" i="7"/>
  <c r="KBV4" i="7"/>
  <c r="KBW4" i="7"/>
  <c r="KBX4" i="7"/>
  <c r="KBY4" i="7"/>
  <c r="KBZ4" i="7"/>
  <c r="KCA4" i="7"/>
  <c r="KCB4" i="7"/>
  <c r="KCC4" i="7"/>
  <c r="KCD4" i="7"/>
  <c r="KCE4" i="7"/>
  <c r="KCF4" i="7"/>
  <c r="KCG4" i="7"/>
  <c r="KCH4" i="7"/>
  <c r="KCI4" i="7"/>
  <c r="KCJ4" i="7"/>
  <c r="KCK4" i="7"/>
  <c r="KCL4" i="7"/>
  <c r="KCM4" i="7"/>
  <c r="KCN4" i="7"/>
  <c r="KCO4" i="7"/>
  <c r="KCP4" i="7"/>
  <c r="KCQ4" i="7"/>
  <c r="KCR4" i="7"/>
  <c r="KCS4" i="7"/>
  <c r="KCT4" i="7"/>
  <c r="KCU4" i="7"/>
  <c r="KCV4" i="7"/>
  <c r="KCW4" i="7"/>
  <c r="KCX4" i="7"/>
  <c r="KCY4" i="7"/>
  <c r="KCZ4" i="7"/>
  <c r="KDA4" i="7"/>
  <c r="KDB4" i="7"/>
  <c r="KDC4" i="7"/>
  <c r="KDD4" i="7"/>
  <c r="KDE4" i="7"/>
  <c r="KDF4" i="7"/>
  <c r="KDG4" i="7"/>
  <c r="KDH4" i="7"/>
  <c r="KDI4" i="7"/>
  <c r="KDJ4" i="7"/>
  <c r="KDK4" i="7"/>
  <c r="KDL4" i="7"/>
  <c r="KDM4" i="7"/>
  <c r="KDN4" i="7"/>
  <c r="KDO4" i="7"/>
  <c r="KDP4" i="7"/>
  <c r="KDQ4" i="7"/>
  <c r="KDR4" i="7"/>
  <c r="KDS4" i="7"/>
  <c r="KDT4" i="7"/>
  <c r="KDU4" i="7"/>
  <c r="KDV4" i="7"/>
  <c r="KDW4" i="7"/>
  <c r="KDX4" i="7"/>
  <c r="KDY4" i="7"/>
  <c r="KDZ4" i="7"/>
  <c r="KEA4" i="7"/>
  <c r="KEB4" i="7"/>
  <c r="KEC4" i="7"/>
  <c r="KED4" i="7"/>
  <c r="KEE4" i="7"/>
  <c r="KEF4" i="7"/>
  <c r="KEG4" i="7"/>
  <c r="KEH4" i="7"/>
  <c r="KEI4" i="7"/>
  <c r="KEJ4" i="7"/>
  <c r="KEK4" i="7"/>
  <c r="KEL4" i="7"/>
  <c r="KEM4" i="7"/>
  <c r="KEN4" i="7"/>
  <c r="KEO4" i="7"/>
  <c r="KEP4" i="7"/>
  <c r="KEQ4" i="7"/>
  <c r="KER4" i="7"/>
  <c r="KES4" i="7"/>
  <c r="KET4" i="7"/>
  <c r="KEU4" i="7"/>
  <c r="KEV4" i="7"/>
  <c r="KEW4" i="7"/>
  <c r="KEX4" i="7"/>
  <c r="KEY4" i="7"/>
  <c r="KEZ4" i="7"/>
  <c r="KFA4" i="7"/>
  <c r="KFB4" i="7"/>
  <c r="KFC4" i="7"/>
  <c r="KFD4" i="7"/>
  <c r="KFE4" i="7"/>
  <c r="KFF4" i="7"/>
  <c r="KFG4" i="7"/>
  <c r="KFH4" i="7"/>
  <c r="KFI4" i="7"/>
  <c r="KFJ4" i="7"/>
  <c r="KFK4" i="7"/>
  <c r="KFL4" i="7"/>
  <c r="KFM4" i="7"/>
  <c r="KFN4" i="7"/>
  <c r="KFO4" i="7"/>
  <c r="KFP4" i="7"/>
  <c r="KFQ4" i="7"/>
  <c r="KFR4" i="7"/>
  <c r="KFS4" i="7"/>
  <c r="KFT4" i="7"/>
  <c r="KFU4" i="7"/>
  <c r="KFV4" i="7"/>
  <c r="KFW4" i="7"/>
  <c r="KFX4" i="7"/>
  <c r="KFY4" i="7"/>
  <c r="KFZ4" i="7"/>
  <c r="KGA4" i="7"/>
  <c r="KGB4" i="7"/>
  <c r="KGC4" i="7"/>
  <c r="KGD4" i="7"/>
  <c r="KGE4" i="7"/>
  <c r="KGF4" i="7"/>
  <c r="KGG4" i="7"/>
  <c r="KGH4" i="7"/>
  <c r="KGI4" i="7"/>
  <c r="KGJ4" i="7"/>
  <c r="KGK4" i="7"/>
  <c r="KGL4" i="7"/>
  <c r="KGM4" i="7"/>
  <c r="KGN4" i="7"/>
  <c r="KGO4" i="7"/>
  <c r="KGP4" i="7"/>
  <c r="KGQ4" i="7"/>
  <c r="KGR4" i="7"/>
  <c r="KGS4" i="7"/>
  <c r="KGT4" i="7"/>
  <c r="KGU4" i="7"/>
  <c r="KGV4" i="7"/>
  <c r="KGW4" i="7"/>
  <c r="KGX4" i="7"/>
  <c r="KGY4" i="7"/>
  <c r="KGZ4" i="7"/>
  <c r="KHA4" i="7"/>
  <c r="KHB4" i="7"/>
  <c r="KHC4" i="7"/>
  <c r="KHD4" i="7"/>
  <c r="KHE4" i="7"/>
  <c r="KHF4" i="7"/>
  <c r="KHG4" i="7"/>
  <c r="KHH4" i="7"/>
  <c r="KHI4" i="7"/>
  <c r="KHJ4" i="7"/>
  <c r="KHK4" i="7"/>
  <c r="KHL4" i="7"/>
  <c r="KHM4" i="7"/>
  <c r="KHN4" i="7"/>
  <c r="KHO4" i="7"/>
  <c r="KHP4" i="7"/>
  <c r="KHQ4" i="7"/>
  <c r="KHR4" i="7"/>
  <c r="KHS4" i="7"/>
  <c r="KHT4" i="7"/>
  <c r="KHU4" i="7"/>
  <c r="KHV4" i="7"/>
  <c r="KHW4" i="7"/>
  <c r="KHX4" i="7"/>
  <c r="KHY4" i="7"/>
  <c r="KHZ4" i="7"/>
  <c r="KIA4" i="7"/>
  <c r="KIB4" i="7"/>
  <c r="KIC4" i="7"/>
  <c r="KID4" i="7"/>
  <c r="KIE4" i="7"/>
  <c r="KIF4" i="7"/>
  <c r="KIG4" i="7"/>
  <c r="KIH4" i="7"/>
  <c r="KII4" i="7"/>
  <c r="KIJ4" i="7"/>
  <c r="KIK4" i="7"/>
  <c r="KIL4" i="7"/>
  <c r="KIM4" i="7"/>
  <c r="KIN4" i="7"/>
  <c r="KIO4" i="7"/>
  <c r="KIP4" i="7"/>
  <c r="KIQ4" i="7"/>
  <c r="KIR4" i="7"/>
  <c r="KIS4" i="7"/>
  <c r="KIT4" i="7"/>
  <c r="KIU4" i="7"/>
  <c r="KIV4" i="7"/>
  <c r="KIW4" i="7"/>
  <c r="KIX4" i="7"/>
  <c r="KIY4" i="7"/>
  <c r="KIZ4" i="7"/>
  <c r="KJA4" i="7"/>
  <c r="KJB4" i="7"/>
  <c r="KJC4" i="7"/>
  <c r="KJD4" i="7"/>
  <c r="KJE4" i="7"/>
  <c r="KJF4" i="7"/>
  <c r="KJG4" i="7"/>
  <c r="KJH4" i="7"/>
  <c r="KJI4" i="7"/>
  <c r="KJJ4" i="7"/>
  <c r="KJK4" i="7"/>
  <c r="KJL4" i="7"/>
  <c r="KJM4" i="7"/>
  <c r="KJN4" i="7"/>
  <c r="KJO4" i="7"/>
  <c r="KJP4" i="7"/>
  <c r="KJQ4" i="7"/>
  <c r="KJR4" i="7"/>
  <c r="KJS4" i="7"/>
  <c r="KJT4" i="7"/>
  <c r="KJU4" i="7"/>
  <c r="KJV4" i="7"/>
  <c r="KJW4" i="7"/>
  <c r="KJX4" i="7"/>
  <c r="KJY4" i="7"/>
  <c r="KJZ4" i="7"/>
  <c r="KKA4" i="7"/>
  <c r="KKB4" i="7"/>
  <c r="KKC4" i="7"/>
  <c r="KKD4" i="7"/>
  <c r="KKE4" i="7"/>
  <c r="KKF4" i="7"/>
  <c r="KKG4" i="7"/>
  <c r="KKH4" i="7"/>
  <c r="KKI4" i="7"/>
  <c r="KKJ4" i="7"/>
  <c r="KKK4" i="7"/>
  <c r="KKL4" i="7"/>
  <c r="KKM4" i="7"/>
  <c r="KKN4" i="7"/>
  <c r="KKO4" i="7"/>
  <c r="KKP4" i="7"/>
  <c r="KKQ4" i="7"/>
  <c r="KKR4" i="7"/>
  <c r="KKS4" i="7"/>
  <c r="KKT4" i="7"/>
  <c r="KKU4" i="7"/>
  <c r="KKV4" i="7"/>
  <c r="KKW4" i="7"/>
  <c r="KKX4" i="7"/>
  <c r="KKY4" i="7"/>
  <c r="KKZ4" i="7"/>
  <c r="KLA4" i="7"/>
  <c r="KLB4" i="7"/>
  <c r="KLC4" i="7"/>
  <c r="KLD4" i="7"/>
  <c r="KLE4" i="7"/>
  <c r="KLF4" i="7"/>
  <c r="KLG4" i="7"/>
  <c r="KLH4" i="7"/>
  <c r="KLI4" i="7"/>
  <c r="KLJ4" i="7"/>
  <c r="KLK4" i="7"/>
  <c r="KLL4" i="7"/>
  <c r="KLM4" i="7"/>
  <c r="KLN4" i="7"/>
  <c r="KLO4" i="7"/>
  <c r="KLP4" i="7"/>
  <c r="KLQ4" i="7"/>
  <c r="KLR4" i="7"/>
  <c r="KLS4" i="7"/>
  <c r="KLT4" i="7"/>
  <c r="KLU4" i="7"/>
  <c r="KLV4" i="7"/>
  <c r="KLW4" i="7"/>
  <c r="KLX4" i="7"/>
  <c r="KLY4" i="7"/>
  <c r="KLZ4" i="7"/>
  <c r="KMA4" i="7"/>
  <c r="KMB4" i="7"/>
  <c r="KMC4" i="7"/>
  <c r="KMD4" i="7"/>
  <c r="KME4" i="7"/>
  <c r="KMF4" i="7"/>
  <c r="KMG4" i="7"/>
  <c r="KMH4" i="7"/>
  <c r="KMI4" i="7"/>
  <c r="KMJ4" i="7"/>
  <c r="KMK4" i="7"/>
  <c r="KML4" i="7"/>
  <c r="KMM4" i="7"/>
  <c r="KMN4" i="7"/>
  <c r="KMO4" i="7"/>
  <c r="KMP4" i="7"/>
  <c r="KMQ4" i="7"/>
  <c r="KMR4" i="7"/>
  <c r="KMS4" i="7"/>
  <c r="KMT4" i="7"/>
  <c r="KMU4" i="7"/>
  <c r="KMV4" i="7"/>
  <c r="KMW4" i="7"/>
  <c r="KMX4" i="7"/>
  <c r="KMY4" i="7"/>
  <c r="KMZ4" i="7"/>
  <c r="KNA4" i="7"/>
  <c r="KNB4" i="7"/>
  <c r="KNC4" i="7"/>
  <c r="KND4" i="7"/>
  <c r="KNE4" i="7"/>
  <c r="KNF4" i="7"/>
  <c r="KNG4" i="7"/>
  <c r="KNH4" i="7"/>
  <c r="KNI4" i="7"/>
  <c r="KNJ4" i="7"/>
  <c r="KNK4" i="7"/>
  <c r="KNL4" i="7"/>
  <c r="KNM4" i="7"/>
  <c r="KNN4" i="7"/>
  <c r="KNO4" i="7"/>
  <c r="KNP4" i="7"/>
  <c r="KNQ4" i="7"/>
  <c r="KNR4" i="7"/>
  <c r="KNS4" i="7"/>
  <c r="KNT4" i="7"/>
  <c r="KNU4" i="7"/>
  <c r="KNV4" i="7"/>
  <c r="KNW4" i="7"/>
  <c r="KNX4" i="7"/>
  <c r="KNY4" i="7"/>
  <c r="KNZ4" i="7"/>
  <c r="KOA4" i="7"/>
  <c r="KOB4" i="7"/>
  <c r="KOC4" i="7"/>
  <c r="KOD4" i="7"/>
  <c r="KOE4" i="7"/>
  <c r="KOF4" i="7"/>
  <c r="KOG4" i="7"/>
  <c r="KOH4" i="7"/>
  <c r="KOI4" i="7"/>
  <c r="KOJ4" i="7"/>
  <c r="KOK4" i="7"/>
  <c r="KOL4" i="7"/>
  <c r="KOM4" i="7"/>
  <c r="KON4" i="7"/>
  <c r="KOO4" i="7"/>
  <c r="KOP4" i="7"/>
  <c r="KOQ4" i="7"/>
  <c r="KOR4" i="7"/>
  <c r="KOS4" i="7"/>
  <c r="KOT4" i="7"/>
  <c r="KOU4" i="7"/>
  <c r="KOV4" i="7"/>
  <c r="KOW4" i="7"/>
  <c r="KOX4" i="7"/>
  <c r="KOY4" i="7"/>
  <c r="KOZ4" i="7"/>
  <c r="KPA4" i="7"/>
  <c r="KPB4" i="7"/>
  <c r="KPC4" i="7"/>
  <c r="KPD4" i="7"/>
  <c r="KPE4" i="7"/>
  <c r="KPF4" i="7"/>
  <c r="KPG4" i="7"/>
  <c r="KPH4" i="7"/>
  <c r="KPI4" i="7"/>
  <c r="KPJ4" i="7"/>
  <c r="KPK4" i="7"/>
  <c r="KPL4" i="7"/>
  <c r="KPM4" i="7"/>
  <c r="KPN4" i="7"/>
  <c r="KPO4" i="7"/>
  <c r="KPP4" i="7"/>
  <c r="KPQ4" i="7"/>
  <c r="KPR4" i="7"/>
  <c r="KPS4" i="7"/>
  <c r="KPT4" i="7"/>
  <c r="KPU4" i="7"/>
  <c r="KPV4" i="7"/>
  <c r="KPW4" i="7"/>
  <c r="KPX4" i="7"/>
  <c r="KPY4" i="7"/>
  <c r="KPZ4" i="7"/>
  <c r="KQA4" i="7"/>
  <c r="KQB4" i="7"/>
  <c r="KQC4" i="7"/>
  <c r="KQD4" i="7"/>
  <c r="KQE4" i="7"/>
  <c r="KQF4" i="7"/>
  <c r="KQG4" i="7"/>
  <c r="KQH4" i="7"/>
  <c r="KQI4" i="7"/>
  <c r="KQJ4" i="7"/>
  <c r="KQK4" i="7"/>
  <c r="KQL4" i="7"/>
  <c r="KQM4" i="7"/>
  <c r="KQN4" i="7"/>
  <c r="KQO4" i="7"/>
  <c r="KQP4" i="7"/>
  <c r="KQQ4" i="7"/>
  <c r="KQR4" i="7"/>
  <c r="KQS4" i="7"/>
  <c r="KQT4" i="7"/>
  <c r="KQU4" i="7"/>
  <c r="KQV4" i="7"/>
  <c r="KQW4" i="7"/>
  <c r="KQX4" i="7"/>
  <c r="KQY4" i="7"/>
  <c r="KQZ4" i="7"/>
  <c r="KRA4" i="7"/>
  <c r="KRB4" i="7"/>
  <c r="KRC4" i="7"/>
  <c r="KRD4" i="7"/>
  <c r="KRE4" i="7"/>
  <c r="KRF4" i="7"/>
  <c r="KRG4" i="7"/>
  <c r="KRH4" i="7"/>
  <c r="KRI4" i="7"/>
  <c r="KRJ4" i="7"/>
  <c r="KRK4" i="7"/>
  <c r="KRL4" i="7"/>
  <c r="KRM4" i="7"/>
  <c r="KRN4" i="7"/>
  <c r="KRO4" i="7"/>
  <c r="KRP4" i="7"/>
  <c r="KRQ4" i="7"/>
  <c r="KRR4" i="7"/>
  <c r="KRS4" i="7"/>
  <c r="KRT4" i="7"/>
  <c r="KRU4" i="7"/>
  <c r="KRV4" i="7"/>
  <c r="KRW4" i="7"/>
  <c r="KRX4" i="7"/>
  <c r="KRY4" i="7"/>
  <c r="KRZ4" i="7"/>
  <c r="KSA4" i="7"/>
  <c r="KSB4" i="7"/>
  <c r="KSC4" i="7"/>
  <c r="KSD4" i="7"/>
  <c r="KSE4" i="7"/>
  <c r="KSF4" i="7"/>
  <c r="KSG4" i="7"/>
  <c r="KSH4" i="7"/>
  <c r="KSI4" i="7"/>
  <c r="KSJ4" i="7"/>
  <c r="KSK4" i="7"/>
  <c r="KSL4" i="7"/>
  <c r="KSM4" i="7"/>
  <c r="KSN4" i="7"/>
  <c r="KSO4" i="7"/>
  <c r="KSP4" i="7"/>
  <c r="KSQ4" i="7"/>
  <c r="KSR4" i="7"/>
  <c r="KSS4" i="7"/>
  <c r="KST4" i="7"/>
  <c r="KSU4" i="7"/>
  <c r="KSV4" i="7"/>
  <c r="KSW4" i="7"/>
  <c r="KSX4" i="7"/>
  <c r="KSY4" i="7"/>
  <c r="KSZ4" i="7"/>
  <c r="KTA4" i="7"/>
  <c r="KTB4" i="7"/>
  <c r="KTC4" i="7"/>
  <c r="KTD4" i="7"/>
  <c r="KTE4" i="7"/>
  <c r="KTF4" i="7"/>
  <c r="KTG4" i="7"/>
  <c r="KTH4" i="7"/>
  <c r="KTI4" i="7"/>
  <c r="KTJ4" i="7"/>
  <c r="KTK4" i="7"/>
  <c r="KTL4" i="7"/>
  <c r="KTM4" i="7"/>
  <c r="KTN4" i="7"/>
  <c r="KTO4" i="7"/>
  <c r="KTP4" i="7"/>
  <c r="KTQ4" i="7"/>
  <c r="KTR4" i="7"/>
  <c r="KTS4" i="7"/>
  <c r="KTT4" i="7"/>
  <c r="KTU4" i="7"/>
  <c r="KTV4" i="7"/>
  <c r="KTW4" i="7"/>
  <c r="KTX4" i="7"/>
  <c r="KTY4" i="7"/>
  <c r="KTZ4" i="7"/>
  <c r="KUA4" i="7"/>
  <c r="KUB4" i="7"/>
  <c r="KUC4" i="7"/>
  <c r="KUD4" i="7"/>
  <c r="KUE4" i="7"/>
  <c r="KUF4" i="7"/>
  <c r="KUG4" i="7"/>
  <c r="KUH4" i="7"/>
  <c r="KUI4" i="7"/>
  <c r="KUJ4" i="7"/>
  <c r="KUK4" i="7"/>
  <c r="KUL4" i="7"/>
  <c r="KUM4" i="7"/>
  <c r="KUN4" i="7"/>
  <c r="KUO4" i="7"/>
  <c r="KUP4" i="7"/>
  <c r="KUQ4" i="7"/>
  <c r="KUR4" i="7"/>
  <c r="KUS4" i="7"/>
  <c r="KUT4" i="7"/>
  <c r="KUU4" i="7"/>
  <c r="KUV4" i="7"/>
  <c r="KUW4" i="7"/>
  <c r="KUX4" i="7"/>
  <c r="KUY4" i="7"/>
  <c r="KUZ4" i="7"/>
  <c r="KVA4" i="7"/>
  <c r="KVB4" i="7"/>
  <c r="KVC4" i="7"/>
  <c r="KVD4" i="7"/>
  <c r="KVE4" i="7"/>
  <c r="KVF4" i="7"/>
  <c r="KVG4" i="7"/>
  <c r="KVH4" i="7"/>
  <c r="KVI4" i="7"/>
  <c r="KVJ4" i="7"/>
  <c r="KVK4" i="7"/>
  <c r="KVL4" i="7"/>
  <c r="KVM4" i="7"/>
  <c r="KVN4" i="7"/>
  <c r="KVO4" i="7"/>
  <c r="KVP4" i="7"/>
  <c r="KVQ4" i="7"/>
  <c r="KVR4" i="7"/>
  <c r="KVS4" i="7"/>
  <c r="KVT4" i="7"/>
  <c r="KVU4" i="7"/>
  <c r="KVV4" i="7"/>
  <c r="KVW4" i="7"/>
  <c r="KVX4" i="7"/>
  <c r="KVY4" i="7"/>
  <c r="KVZ4" i="7"/>
  <c r="KWA4" i="7"/>
  <c r="KWB4" i="7"/>
  <c r="KWC4" i="7"/>
  <c r="KWD4" i="7"/>
  <c r="KWE4" i="7"/>
  <c r="KWF4" i="7"/>
  <c r="KWG4" i="7"/>
  <c r="KWH4" i="7"/>
  <c r="KWI4" i="7"/>
  <c r="KWJ4" i="7"/>
  <c r="KWK4" i="7"/>
  <c r="KWL4" i="7"/>
  <c r="KWM4" i="7"/>
  <c r="KWN4" i="7"/>
  <c r="KWO4" i="7"/>
  <c r="KWP4" i="7"/>
  <c r="KWQ4" i="7"/>
  <c r="KWR4" i="7"/>
  <c r="KWS4" i="7"/>
  <c r="KWT4" i="7"/>
  <c r="KWU4" i="7"/>
  <c r="KWV4" i="7"/>
  <c r="KWW4" i="7"/>
  <c r="KWX4" i="7"/>
  <c r="KWY4" i="7"/>
  <c r="KWZ4" i="7"/>
  <c r="KXA4" i="7"/>
  <c r="KXB4" i="7"/>
  <c r="KXC4" i="7"/>
  <c r="KXD4" i="7"/>
  <c r="KXE4" i="7"/>
  <c r="KXF4" i="7"/>
  <c r="KXG4" i="7"/>
  <c r="KXH4" i="7"/>
  <c r="KXI4" i="7"/>
  <c r="KXJ4" i="7"/>
  <c r="KXK4" i="7"/>
  <c r="KXL4" i="7"/>
  <c r="KXM4" i="7"/>
  <c r="KXN4" i="7"/>
  <c r="KXO4" i="7"/>
  <c r="KXP4" i="7"/>
  <c r="KXQ4" i="7"/>
  <c r="KXR4" i="7"/>
  <c r="KXS4" i="7"/>
  <c r="KXT4" i="7"/>
  <c r="KXU4" i="7"/>
  <c r="KXV4" i="7"/>
  <c r="KXW4" i="7"/>
  <c r="KXX4" i="7"/>
  <c r="KXY4" i="7"/>
  <c r="KXZ4" i="7"/>
  <c r="KYA4" i="7"/>
  <c r="KYB4" i="7"/>
  <c r="KYC4" i="7"/>
  <c r="KYD4" i="7"/>
  <c r="KYE4" i="7"/>
  <c r="KYF4" i="7"/>
  <c r="KYG4" i="7"/>
  <c r="KYH4" i="7"/>
  <c r="KYI4" i="7"/>
  <c r="KYJ4" i="7"/>
  <c r="KYK4" i="7"/>
  <c r="KYL4" i="7"/>
  <c r="KYM4" i="7"/>
  <c r="KYN4" i="7"/>
  <c r="KYO4" i="7"/>
  <c r="KYP4" i="7"/>
  <c r="KYQ4" i="7"/>
  <c r="KYR4" i="7"/>
  <c r="KYS4" i="7"/>
  <c r="KYT4" i="7"/>
  <c r="KYU4" i="7"/>
  <c r="KYV4" i="7"/>
  <c r="KYW4" i="7"/>
  <c r="KYX4" i="7"/>
  <c r="KYY4" i="7"/>
  <c r="KYZ4" i="7"/>
  <c r="KZA4" i="7"/>
  <c r="KZB4" i="7"/>
  <c r="KZC4" i="7"/>
  <c r="KZD4" i="7"/>
  <c r="KZE4" i="7"/>
  <c r="KZF4" i="7"/>
  <c r="KZG4" i="7"/>
  <c r="KZH4" i="7"/>
  <c r="KZI4" i="7"/>
  <c r="KZJ4" i="7"/>
  <c r="KZK4" i="7"/>
  <c r="KZL4" i="7"/>
  <c r="KZM4" i="7"/>
  <c r="KZN4" i="7"/>
  <c r="KZO4" i="7"/>
  <c r="KZP4" i="7"/>
  <c r="KZQ4" i="7"/>
  <c r="KZR4" i="7"/>
  <c r="KZS4" i="7"/>
  <c r="KZT4" i="7"/>
  <c r="KZU4" i="7"/>
  <c r="KZV4" i="7"/>
  <c r="KZW4" i="7"/>
  <c r="KZX4" i="7"/>
  <c r="KZY4" i="7"/>
  <c r="KZZ4" i="7"/>
  <c r="LAA4" i="7"/>
  <c r="LAB4" i="7"/>
  <c r="LAC4" i="7"/>
  <c r="LAD4" i="7"/>
  <c r="LAE4" i="7"/>
  <c r="LAF4" i="7"/>
  <c r="LAG4" i="7"/>
  <c r="LAH4" i="7"/>
  <c r="LAI4" i="7"/>
  <c r="LAJ4" i="7"/>
  <c r="LAK4" i="7"/>
  <c r="LAL4" i="7"/>
  <c r="LAM4" i="7"/>
  <c r="LAN4" i="7"/>
  <c r="LAO4" i="7"/>
  <c r="LAP4" i="7"/>
  <c r="LAQ4" i="7"/>
  <c r="LAR4" i="7"/>
  <c r="LAS4" i="7"/>
  <c r="LAT4" i="7"/>
  <c r="LAU4" i="7"/>
  <c r="LAV4" i="7"/>
  <c r="LAW4" i="7"/>
  <c r="LAX4" i="7"/>
  <c r="LAY4" i="7"/>
  <c r="LAZ4" i="7"/>
  <c r="LBA4" i="7"/>
  <c r="LBB4" i="7"/>
  <c r="LBC4" i="7"/>
  <c r="LBD4" i="7"/>
  <c r="LBE4" i="7"/>
  <c r="LBF4" i="7"/>
  <c r="LBG4" i="7"/>
  <c r="LBH4" i="7"/>
  <c r="LBI4" i="7"/>
  <c r="LBJ4" i="7"/>
  <c r="LBK4" i="7"/>
  <c r="LBL4" i="7"/>
  <c r="LBM4" i="7"/>
  <c r="LBN4" i="7"/>
  <c r="LBO4" i="7"/>
  <c r="LBP4" i="7"/>
  <c r="LBQ4" i="7"/>
  <c r="LBR4" i="7"/>
  <c r="LBS4" i="7"/>
  <c r="LBT4" i="7"/>
  <c r="LBU4" i="7"/>
  <c r="LBV4" i="7"/>
  <c r="LBW4" i="7"/>
  <c r="LBX4" i="7"/>
  <c r="LBY4" i="7"/>
  <c r="LBZ4" i="7"/>
  <c r="LCA4" i="7"/>
  <c r="LCB4" i="7"/>
  <c r="LCC4" i="7"/>
  <c r="LCD4" i="7"/>
  <c r="LCE4" i="7"/>
  <c r="LCF4" i="7"/>
  <c r="LCG4" i="7"/>
  <c r="LCH4" i="7"/>
  <c r="LCI4" i="7"/>
  <c r="LCJ4" i="7"/>
  <c r="LCK4" i="7"/>
  <c r="LCL4" i="7"/>
  <c r="LCM4" i="7"/>
  <c r="LCN4" i="7"/>
  <c r="LCO4" i="7"/>
  <c r="LCP4" i="7"/>
  <c r="LCQ4" i="7"/>
  <c r="LCR4" i="7"/>
  <c r="LCS4" i="7"/>
  <c r="LCT4" i="7"/>
  <c r="LCU4" i="7"/>
  <c r="LCV4" i="7"/>
  <c r="LCW4" i="7"/>
  <c r="LCX4" i="7"/>
  <c r="LCY4" i="7"/>
  <c r="LCZ4" i="7"/>
  <c r="LDA4" i="7"/>
  <c r="LDB4" i="7"/>
  <c r="LDC4" i="7"/>
  <c r="LDD4" i="7"/>
  <c r="LDE4" i="7"/>
  <c r="LDF4" i="7"/>
  <c r="LDG4" i="7"/>
  <c r="LDH4" i="7"/>
  <c r="LDI4" i="7"/>
  <c r="LDJ4" i="7"/>
  <c r="LDK4" i="7"/>
  <c r="LDL4" i="7"/>
  <c r="LDM4" i="7"/>
  <c r="LDN4" i="7"/>
  <c r="LDO4" i="7"/>
  <c r="LDP4" i="7"/>
  <c r="LDQ4" i="7"/>
  <c r="LDR4" i="7"/>
  <c r="LDS4" i="7"/>
  <c r="LDT4" i="7"/>
  <c r="LDU4" i="7"/>
  <c r="LDV4" i="7"/>
  <c r="LDW4" i="7"/>
  <c r="LDX4" i="7"/>
  <c r="LDY4" i="7"/>
  <c r="LDZ4" i="7"/>
  <c r="LEA4" i="7"/>
  <c r="LEB4" i="7"/>
  <c r="LEC4" i="7"/>
  <c r="LED4" i="7"/>
  <c r="LEE4" i="7"/>
  <c r="LEF4" i="7"/>
  <c r="LEG4" i="7"/>
  <c r="LEH4" i="7"/>
  <c r="LEI4" i="7"/>
  <c r="LEJ4" i="7"/>
  <c r="LEK4" i="7"/>
  <c r="LEL4" i="7"/>
  <c r="LEM4" i="7"/>
  <c r="LEN4" i="7"/>
  <c r="LEO4" i="7"/>
  <c r="LEP4" i="7"/>
  <c r="LEQ4" i="7"/>
  <c r="LER4" i="7"/>
  <c r="LES4" i="7"/>
  <c r="LET4" i="7"/>
  <c r="LEU4" i="7"/>
  <c r="LEV4" i="7"/>
  <c r="LEW4" i="7"/>
  <c r="LEX4" i="7"/>
  <c r="LEY4" i="7"/>
  <c r="LEZ4" i="7"/>
  <c r="LFA4" i="7"/>
  <c r="LFB4" i="7"/>
  <c r="LFC4" i="7"/>
  <c r="LFD4" i="7"/>
  <c r="LFE4" i="7"/>
  <c r="LFF4" i="7"/>
  <c r="LFG4" i="7"/>
  <c r="LFH4" i="7"/>
  <c r="LFI4" i="7"/>
  <c r="LFJ4" i="7"/>
  <c r="LFK4" i="7"/>
  <c r="LFL4" i="7"/>
  <c r="LFM4" i="7"/>
  <c r="LFN4" i="7"/>
  <c r="LFO4" i="7"/>
  <c r="LFP4" i="7"/>
  <c r="LFQ4" i="7"/>
  <c r="LFR4" i="7"/>
  <c r="LFS4" i="7"/>
  <c r="LFT4" i="7"/>
  <c r="LFU4" i="7"/>
  <c r="LFV4" i="7"/>
  <c r="LFW4" i="7"/>
  <c r="LFX4" i="7"/>
  <c r="LFY4" i="7"/>
  <c r="LFZ4" i="7"/>
  <c r="LGA4" i="7"/>
  <c r="LGB4" i="7"/>
  <c r="LGC4" i="7"/>
  <c r="LGD4" i="7"/>
  <c r="LGE4" i="7"/>
  <c r="LGF4" i="7"/>
  <c r="LGG4" i="7"/>
  <c r="LGH4" i="7"/>
  <c r="LGI4" i="7"/>
  <c r="LGJ4" i="7"/>
  <c r="LGK4" i="7"/>
  <c r="LGL4" i="7"/>
  <c r="LGM4" i="7"/>
  <c r="LGN4" i="7"/>
  <c r="LGO4" i="7"/>
  <c r="LGP4" i="7"/>
  <c r="LGQ4" i="7"/>
  <c r="LGR4" i="7"/>
  <c r="LGS4" i="7"/>
  <c r="LGT4" i="7"/>
  <c r="LGU4" i="7"/>
  <c r="LGV4" i="7"/>
  <c r="LGW4" i="7"/>
  <c r="LGX4" i="7"/>
  <c r="LGY4" i="7"/>
  <c r="LGZ4" i="7"/>
  <c r="LHA4" i="7"/>
  <c r="LHB4" i="7"/>
  <c r="LHC4" i="7"/>
  <c r="LHD4" i="7"/>
  <c r="LHE4" i="7"/>
  <c r="LHF4" i="7"/>
  <c r="LHG4" i="7"/>
  <c r="LHH4" i="7"/>
  <c r="LHI4" i="7"/>
  <c r="LHJ4" i="7"/>
  <c r="LHK4" i="7"/>
  <c r="LHL4" i="7"/>
  <c r="LHM4" i="7"/>
  <c r="LHN4" i="7"/>
  <c r="LHO4" i="7"/>
  <c r="LHP4" i="7"/>
  <c r="LHQ4" i="7"/>
  <c r="LHR4" i="7"/>
  <c r="LHS4" i="7"/>
  <c r="LHT4" i="7"/>
  <c r="LHU4" i="7"/>
  <c r="LHV4" i="7"/>
  <c r="LHW4" i="7"/>
  <c r="LHX4" i="7"/>
  <c r="LHY4" i="7"/>
  <c r="LHZ4" i="7"/>
  <c r="LIA4" i="7"/>
  <c r="LIB4" i="7"/>
  <c r="LIC4" i="7"/>
  <c r="LID4" i="7"/>
  <c r="LIE4" i="7"/>
  <c r="LIF4" i="7"/>
  <c r="LIG4" i="7"/>
  <c r="LIH4" i="7"/>
  <c r="LII4" i="7"/>
  <c r="LIJ4" i="7"/>
  <c r="LIK4" i="7"/>
  <c r="LIL4" i="7"/>
  <c r="LIM4" i="7"/>
  <c r="LIN4" i="7"/>
  <c r="LIO4" i="7"/>
  <c r="LIP4" i="7"/>
  <c r="LIQ4" i="7"/>
  <c r="LIR4" i="7"/>
  <c r="LIS4" i="7"/>
  <c r="LIT4" i="7"/>
  <c r="LIU4" i="7"/>
  <c r="LIV4" i="7"/>
  <c r="LIW4" i="7"/>
  <c r="LIX4" i="7"/>
  <c r="LIY4" i="7"/>
  <c r="LIZ4" i="7"/>
  <c r="LJA4" i="7"/>
  <c r="LJB4" i="7"/>
  <c r="LJC4" i="7"/>
  <c r="LJD4" i="7"/>
  <c r="LJE4" i="7"/>
  <c r="LJF4" i="7"/>
  <c r="LJG4" i="7"/>
  <c r="LJH4" i="7"/>
  <c r="LJI4" i="7"/>
  <c r="LJJ4" i="7"/>
  <c r="LJK4" i="7"/>
  <c r="LJL4" i="7"/>
  <c r="LJM4" i="7"/>
  <c r="LJN4" i="7"/>
  <c r="LJO4" i="7"/>
  <c r="LJP4" i="7"/>
  <c r="LJQ4" i="7"/>
  <c r="LJR4" i="7"/>
  <c r="LJS4" i="7"/>
  <c r="LJT4" i="7"/>
  <c r="LJU4" i="7"/>
  <c r="LJV4" i="7"/>
  <c r="LJW4" i="7"/>
  <c r="LJX4" i="7"/>
  <c r="LJY4" i="7"/>
  <c r="LJZ4" i="7"/>
  <c r="LKA4" i="7"/>
  <c r="LKB4" i="7"/>
  <c r="LKC4" i="7"/>
  <c r="LKD4" i="7"/>
  <c r="LKE4" i="7"/>
  <c r="LKF4" i="7"/>
  <c r="LKG4" i="7"/>
  <c r="LKH4" i="7"/>
  <c r="LKI4" i="7"/>
  <c r="LKJ4" i="7"/>
  <c r="LKK4" i="7"/>
  <c r="LKL4" i="7"/>
  <c r="LKM4" i="7"/>
  <c r="LKN4" i="7"/>
  <c r="LKO4" i="7"/>
  <c r="LKP4" i="7"/>
  <c r="LKQ4" i="7"/>
  <c r="LKR4" i="7"/>
  <c r="LKS4" i="7"/>
  <c r="LKT4" i="7"/>
  <c r="LKU4" i="7"/>
  <c r="LKV4" i="7"/>
  <c r="LKW4" i="7"/>
  <c r="LKX4" i="7"/>
  <c r="LKY4" i="7"/>
  <c r="LKZ4" i="7"/>
  <c r="LLA4" i="7"/>
  <c r="LLB4" i="7"/>
  <c r="LLC4" i="7"/>
  <c r="LLD4" i="7"/>
  <c r="LLE4" i="7"/>
  <c r="LLF4" i="7"/>
  <c r="LLG4" i="7"/>
  <c r="LLH4" i="7"/>
  <c r="LLI4" i="7"/>
  <c r="LLJ4" i="7"/>
  <c r="LLK4" i="7"/>
  <c r="LLL4" i="7"/>
  <c r="LLM4" i="7"/>
  <c r="LLN4" i="7"/>
  <c r="LLO4" i="7"/>
  <c r="LLP4" i="7"/>
  <c r="LLQ4" i="7"/>
  <c r="LLR4" i="7"/>
  <c r="LLS4" i="7"/>
  <c r="LLT4" i="7"/>
  <c r="LLU4" i="7"/>
  <c r="LLV4" i="7"/>
  <c r="LLW4" i="7"/>
  <c r="LLX4" i="7"/>
  <c r="LLY4" i="7"/>
  <c r="LLZ4" i="7"/>
  <c r="LMA4" i="7"/>
  <c r="LMB4" i="7"/>
  <c r="LMC4" i="7"/>
  <c r="LMD4" i="7"/>
  <c r="LME4" i="7"/>
  <c r="LMF4" i="7"/>
  <c r="LMG4" i="7"/>
  <c r="LMH4" i="7"/>
  <c r="LMI4" i="7"/>
  <c r="LMJ4" i="7"/>
  <c r="LMK4" i="7"/>
  <c r="LML4" i="7"/>
  <c r="LMM4" i="7"/>
  <c r="LMN4" i="7"/>
  <c r="LMO4" i="7"/>
  <c r="LMP4" i="7"/>
  <c r="LMQ4" i="7"/>
  <c r="LMR4" i="7"/>
  <c r="LMS4" i="7"/>
  <c r="LMT4" i="7"/>
  <c r="LMU4" i="7"/>
  <c r="LMV4" i="7"/>
  <c r="LMW4" i="7"/>
  <c r="LMX4" i="7"/>
  <c r="LMY4" i="7"/>
  <c r="LMZ4" i="7"/>
  <c r="LNA4" i="7"/>
  <c r="LNB4" i="7"/>
  <c r="LNC4" i="7"/>
  <c r="LND4" i="7"/>
  <c r="LNE4" i="7"/>
  <c r="LNF4" i="7"/>
  <c r="LNG4" i="7"/>
  <c r="LNH4" i="7"/>
  <c r="LNI4" i="7"/>
  <c r="LNJ4" i="7"/>
  <c r="LNK4" i="7"/>
  <c r="LNL4" i="7"/>
  <c r="LNM4" i="7"/>
  <c r="LNN4" i="7"/>
  <c r="LNO4" i="7"/>
  <c r="LNP4" i="7"/>
  <c r="LNQ4" i="7"/>
  <c r="LNR4" i="7"/>
  <c r="LNS4" i="7"/>
  <c r="LNT4" i="7"/>
  <c r="LNU4" i="7"/>
  <c r="LNV4" i="7"/>
  <c r="LNW4" i="7"/>
  <c r="LNX4" i="7"/>
  <c r="LNY4" i="7"/>
  <c r="LNZ4" i="7"/>
  <c r="LOA4" i="7"/>
  <c r="LOB4" i="7"/>
  <c r="LOC4" i="7"/>
  <c r="LOD4" i="7"/>
  <c r="LOE4" i="7"/>
  <c r="LOF4" i="7"/>
  <c r="LOG4" i="7"/>
  <c r="LOH4" i="7"/>
  <c r="LOI4" i="7"/>
  <c r="LOJ4" i="7"/>
  <c r="LOK4" i="7"/>
  <c r="LOL4" i="7"/>
  <c r="LOM4" i="7"/>
  <c r="LON4" i="7"/>
  <c r="LOO4" i="7"/>
  <c r="LOP4" i="7"/>
  <c r="LOQ4" i="7"/>
  <c r="LOR4" i="7"/>
  <c r="LOS4" i="7"/>
  <c r="LOT4" i="7"/>
  <c r="LOU4" i="7"/>
  <c r="LOV4" i="7"/>
  <c r="LOW4" i="7"/>
  <c r="LOX4" i="7"/>
  <c r="LOY4" i="7"/>
  <c r="LOZ4" i="7"/>
  <c r="LPA4" i="7"/>
  <c r="LPB4" i="7"/>
  <c r="LPC4" i="7"/>
  <c r="LPD4" i="7"/>
  <c r="LPE4" i="7"/>
  <c r="LPF4" i="7"/>
  <c r="LPG4" i="7"/>
  <c r="LPH4" i="7"/>
  <c r="LPI4" i="7"/>
  <c r="LPJ4" i="7"/>
  <c r="LPK4" i="7"/>
  <c r="LPL4" i="7"/>
  <c r="LPM4" i="7"/>
  <c r="LPN4" i="7"/>
  <c r="LPO4" i="7"/>
  <c r="LPP4" i="7"/>
  <c r="LPQ4" i="7"/>
  <c r="LPR4" i="7"/>
  <c r="LPS4" i="7"/>
  <c r="LPT4" i="7"/>
  <c r="LPU4" i="7"/>
  <c r="LPV4" i="7"/>
  <c r="LPW4" i="7"/>
  <c r="LPX4" i="7"/>
  <c r="LPY4" i="7"/>
  <c r="LPZ4" i="7"/>
  <c r="LQA4" i="7"/>
  <c r="LQB4" i="7"/>
  <c r="LQC4" i="7"/>
  <c r="LQD4" i="7"/>
  <c r="LQE4" i="7"/>
  <c r="LQF4" i="7"/>
  <c r="LQG4" i="7"/>
  <c r="LQH4" i="7"/>
  <c r="LQI4" i="7"/>
  <c r="LQJ4" i="7"/>
  <c r="LQK4" i="7"/>
  <c r="LQL4" i="7"/>
  <c r="LQM4" i="7"/>
  <c r="LQN4" i="7"/>
  <c r="LQO4" i="7"/>
  <c r="LQP4" i="7"/>
  <c r="LQQ4" i="7"/>
  <c r="LQR4" i="7"/>
  <c r="LQS4" i="7"/>
  <c r="LQT4" i="7"/>
  <c r="LQU4" i="7"/>
  <c r="LQV4" i="7"/>
  <c r="LQW4" i="7"/>
  <c r="LQX4" i="7"/>
  <c r="LQY4" i="7"/>
  <c r="LQZ4" i="7"/>
  <c r="LRA4" i="7"/>
  <c r="LRB4" i="7"/>
  <c r="LRC4" i="7"/>
  <c r="LRD4" i="7"/>
  <c r="LRE4" i="7"/>
  <c r="LRF4" i="7"/>
  <c r="LRG4" i="7"/>
  <c r="LRH4" i="7"/>
  <c r="LRI4" i="7"/>
  <c r="LRJ4" i="7"/>
  <c r="LRK4" i="7"/>
  <c r="LRL4" i="7"/>
  <c r="LRM4" i="7"/>
  <c r="LRN4" i="7"/>
  <c r="LRO4" i="7"/>
  <c r="LRP4" i="7"/>
  <c r="LRQ4" i="7"/>
  <c r="LRR4" i="7"/>
  <c r="LRS4" i="7"/>
  <c r="LRT4" i="7"/>
  <c r="LRU4" i="7"/>
  <c r="LRV4" i="7"/>
  <c r="LRW4" i="7"/>
  <c r="LRX4" i="7"/>
  <c r="LRY4" i="7"/>
  <c r="LRZ4" i="7"/>
  <c r="LSA4" i="7"/>
  <c r="LSB4" i="7"/>
  <c r="LSC4" i="7"/>
  <c r="LSD4" i="7"/>
  <c r="LSE4" i="7"/>
  <c r="LSF4" i="7"/>
  <c r="LSG4" i="7"/>
  <c r="LSH4" i="7"/>
  <c r="LSI4" i="7"/>
  <c r="LSJ4" i="7"/>
  <c r="LSK4" i="7"/>
  <c r="LSL4" i="7"/>
  <c r="LSM4" i="7"/>
  <c r="LSN4" i="7"/>
  <c r="LSO4" i="7"/>
  <c r="LSP4" i="7"/>
  <c r="LSQ4" i="7"/>
  <c r="LSR4" i="7"/>
  <c r="LSS4" i="7"/>
  <c r="LST4" i="7"/>
  <c r="LSU4" i="7"/>
  <c r="LSV4" i="7"/>
  <c r="LSW4" i="7"/>
  <c r="LSX4" i="7"/>
  <c r="LSY4" i="7"/>
  <c r="LSZ4" i="7"/>
  <c r="LTA4" i="7"/>
  <c r="LTB4" i="7"/>
  <c r="LTC4" i="7"/>
  <c r="LTD4" i="7"/>
  <c r="LTE4" i="7"/>
  <c r="LTF4" i="7"/>
  <c r="LTG4" i="7"/>
  <c r="LTH4" i="7"/>
  <c r="LTI4" i="7"/>
  <c r="LTJ4" i="7"/>
  <c r="LTK4" i="7"/>
  <c r="LTL4" i="7"/>
  <c r="LTM4" i="7"/>
  <c r="LTN4" i="7"/>
  <c r="LTO4" i="7"/>
  <c r="LTP4" i="7"/>
  <c r="LTQ4" i="7"/>
  <c r="LTR4" i="7"/>
  <c r="LTS4" i="7"/>
  <c r="LTT4" i="7"/>
  <c r="LTU4" i="7"/>
  <c r="LTV4" i="7"/>
  <c r="LTW4" i="7"/>
  <c r="LTX4" i="7"/>
  <c r="LTY4" i="7"/>
  <c r="LTZ4" i="7"/>
  <c r="LUA4" i="7"/>
  <c r="LUB4" i="7"/>
  <c r="LUC4" i="7"/>
  <c r="LUD4" i="7"/>
  <c r="LUE4" i="7"/>
  <c r="LUF4" i="7"/>
  <c r="LUG4" i="7"/>
  <c r="LUH4" i="7"/>
  <c r="LUI4" i="7"/>
  <c r="LUJ4" i="7"/>
  <c r="LUK4" i="7"/>
  <c r="LUL4" i="7"/>
  <c r="LUM4" i="7"/>
  <c r="LUN4" i="7"/>
  <c r="LUO4" i="7"/>
  <c r="LUP4" i="7"/>
  <c r="LUQ4" i="7"/>
  <c r="LUR4" i="7"/>
  <c r="LUS4" i="7"/>
  <c r="LUT4" i="7"/>
  <c r="LUU4" i="7"/>
  <c r="LUV4" i="7"/>
  <c r="LUW4" i="7"/>
  <c r="LUX4" i="7"/>
  <c r="LUY4" i="7"/>
  <c r="LUZ4" i="7"/>
  <c r="LVA4" i="7"/>
  <c r="LVB4" i="7"/>
  <c r="LVC4" i="7"/>
  <c r="LVD4" i="7"/>
  <c r="LVE4" i="7"/>
  <c r="LVF4" i="7"/>
  <c r="LVG4" i="7"/>
  <c r="LVH4" i="7"/>
  <c r="LVI4" i="7"/>
  <c r="LVJ4" i="7"/>
  <c r="LVK4" i="7"/>
  <c r="LVL4" i="7"/>
  <c r="LVM4" i="7"/>
  <c r="LVN4" i="7"/>
  <c r="LVO4" i="7"/>
  <c r="LVP4" i="7"/>
  <c r="LVQ4" i="7"/>
  <c r="LVR4" i="7"/>
  <c r="LVS4" i="7"/>
  <c r="LVT4" i="7"/>
  <c r="LVU4" i="7"/>
  <c r="LVV4" i="7"/>
  <c r="LVW4" i="7"/>
  <c r="LVX4" i="7"/>
  <c r="LVY4" i="7"/>
  <c r="LVZ4" i="7"/>
  <c r="LWA4" i="7"/>
  <c r="LWB4" i="7"/>
  <c r="LWC4" i="7"/>
  <c r="LWD4" i="7"/>
  <c r="LWE4" i="7"/>
  <c r="LWF4" i="7"/>
  <c r="LWG4" i="7"/>
  <c r="LWH4" i="7"/>
  <c r="LWI4" i="7"/>
  <c r="LWJ4" i="7"/>
  <c r="LWK4" i="7"/>
  <c r="LWL4" i="7"/>
  <c r="LWM4" i="7"/>
  <c r="LWN4" i="7"/>
  <c r="LWO4" i="7"/>
  <c r="LWP4" i="7"/>
  <c r="LWQ4" i="7"/>
  <c r="LWR4" i="7"/>
  <c r="LWS4" i="7"/>
  <c r="LWT4" i="7"/>
  <c r="LWU4" i="7"/>
  <c r="LWV4" i="7"/>
  <c r="LWW4" i="7"/>
  <c r="LWX4" i="7"/>
  <c r="LWY4" i="7"/>
  <c r="LWZ4" i="7"/>
  <c r="LXA4" i="7"/>
  <c r="LXB4" i="7"/>
  <c r="LXC4" i="7"/>
  <c r="LXD4" i="7"/>
  <c r="LXE4" i="7"/>
  <c r="LXF4" i="7"/>
  <c r="LXG4" i="7"/>
  <c r="LXH4" i="7"/>
  <c r="LXI4" i="7"/>
  <c r="LXJ4" i="7"/>
  <c r="LXK4" i="7"/>
  <c r="LXL4" i="7"/>
  <c r="LXM4" i="7"/>
  <c r="LXN4" i="7"/>
  <c r="LXO4" i="7"/>
  <c r="LXP4" i="7"/>
  <c r="LXQ4" i="7"/>
  <c r="LXR4" i="7"/>
  <c r="LXS4" i="7"/>
  <c r="LXT4" i="7"/>
  <c r="LXU4" i="7"/>
  <c r="LXV4" i="7"/>
  <c r="LXW4" i="7"/>
  <c r="LXX4" i="7"/>
  <c r="LXY4" i="7"/>
  <c r="LXZ4" i="7"/>
  <c r="LYA4" i="7"/>
  <c r="LYB4" i="7"/>
  <c r="LYC4" i="7"/>
  <c r="LYD4" i="7"/>
  <c r="LYE4" i="7"/>
  <c r="LYF4" i="7"/>
  <c r="LYG4" i="7"/>
  <c r="LYH4" i="7"/>
  <c r="LYI4" i="7"/>
  <c r="LYJ4" i="7"/>
  <c r="LYK4" i="7"/>
  <c r="LYL4" i="7"/>
  <c r="LYM4" i="7"/>
  <c r="LYN4" i="7"/>
  <c r="LYO4" i="7"/>
  <c r="LYP4" i="7"/>
  <c r="LYQ4" i="7"/>
  <c r="LYR4" i="7"/>
  <c r="LYS4" i="7"/>
  <c r="LYT4" i="7"/>
  <c r="LYU4" i="7"/>
  <c r="LYV4" i="7"/>
  <c r="LYW4" i="7"/>
  <c r="LYX4" i="7"/>
  <c r="LYY4" i="7"/>
  <c r="LYZ4" i="7"/>
  <c r="LZA4" i="7"/>
  <c r="LZB4" i="7"/>
  <c r="LZC4" i="7"/>
  <c r="LZD4" i="7"/>
  <c r="LZE4" i="7"/>
  <c r="LZF4" i="7"/>
  <c r="LZG4" i="7"/>
  <c r="LZH4" i="7"/>
  <c r="LZI4" i="7"/>
  <c r="LZJ4" i="7"/>
  <c r="LZK4" i="7"/>
  <c r="LZL4" i="7"/>
  <c r="LZM4" i="7"/>
  <c r="LZN4" i="7"/>
  <c r="LZO4" i="7"/>
  <c r="LZP4" i="7"/>
  <c r="LZQ4" i="7"/>
  <c r="LZR4" i="7"/>
  <c r="LZS4" i="7"/>
  <c r="LZT4" i="7"/>
  <c r="LZU4" i="7"/>
  <c r="LZV4" i="7"/>
  <c r="LZW4" i="7"/>
  <c r="LZX4" i="7"/>
  <c r="LZY4" i="7"/>
  <c r="LZZ4" i="7"/>
  <c r="MAA4" i="7"/>
  <c r="MAB4" i="7"/>
  <c r="MAC4" i="7"/>
  <c r="MAD4" i="7"/>
  <c r="MAE4" i="7"/>
  <c r="MAF4" i="7"/>
  <c r="MAG4" i="7"/>
  <c r="MAH4" i="7"/>
  <c r="MAI4" i="7"/>
  <c r="MAJ4" i="7"/>
  <c r="MAK4" i="7"/>
  <c r="MAL4" i="7"/>
  <c r="MAM4" i="7"/>
  <c r="MAN4" i="7"/>
  <c r="MAO4" i="7"/>
  <c r="MAP4" i="7"/>
  <c r="MAQ4" i="7"/>
  <c r="MAR4" i="7"/>
  <c r="MAS4" i="7"/>
  <c r="MAT4" i="7"/>
  <c r="MAU4" i="7"/>
  <c r="MAV4" i="7"/>
  <c r="MAW4" i="7"/>
  <c r="MAX4" i="7"/>
  <c r="MAY4" i="7"/>
  <c r="MAZ4" i="7"/>
  <c r="MBA4" i="7"/>
  <c r="MBB4" i="7"/>
  <c r="MBC4" i="7"/>
  <c r="MBD4" i="7"/>
  <c r="MBE4" i="7"/>
  <c r="MBF4" i="7"/>
  <c r="MBG4" i="7"/>
  <c r="MBH4" i="7"/>
  <c r="MBI4" i="7"/>
  <c r="MBJ4" i="7"/>
  <c r="MBK4" i="7"/>
  <c r="MBL4" i="7"/>
  <c r="MBM4" i="7"/>
  <c r="MBN4" i="7"/>
  <c r="MBO4" i="7"/>
  <c r="MBP4" i="7"/>
  <c r="MBQ4" i="7"/>
  <c r="MBR4" i="7"/>
  <c r="MBS4" i="7"/>
  <c r="MBT4" i="7"/>
  <c r="MBU4" i="7"/>
  <c r="MBV4" i="7"/>
  <c r="MBW4" i="7"/>
  <c r="MBX4" i="7"/>
  <c r="MBY4" i="7"/>
  <c r="MBZ4" i="7"/>
  <c r="MCA4" i="7"/>
  <c r="MCB4" i="7"/>
  <c r="MCC4" i="7"/>
  <c r="MCD4" i="7"/>
  <c r="MCE4" i="7"/>
  <c r="MCF4" i="7"/>
  <c r="MCG4" i="7"/>
  <c r="MCH4" i="7"/>
  <c r="MCI4" i="7"/>
  <c r="MCJ4" i="7"/>
  <c r="MCK4" i="7"/>
  <c r="MCL4" i="7"/>
  <c r="MCM4" i="7"/>
  <c r="MCN4" i="7"/>
  <c r="MCO4" i="7"/>
  <c r="MCP4" i="7"/>
  <c r="MCQ4" i="7"/>
  <c r="MCR4" i="7"/>
  <c r="MCS4" i="7"/>
  <c r="MCT4" i="7"/>
  <c r="MCU4" i="7"/>
  <c r="MCV4" i="7"/>
  <c r="MCW4" i="7"/>
  <c r="MCX4" i="7"/>
  <c r="MCY4" i="7"/>
  <c r="MCZ4" i="7"/>
  <c r="MDA4" i="7"/>
  <c r="MDB4" i="7"/>
  <c r="MDC4" i="7"/>
  <c r="MDD4" i="7"/>
  <c r="MDE4" i="7"/>
  <c r="MDF4" i="7"/>
  <c r="MDG4" i="7"/>
  <c r="MDH4" i="7"/>
  <c r="MDI4" i="7"/>
  <c r="MDJ4" i="7"/>
  <c r="MDK4" i="7"/>
  <c r="MDL4" i="7"/>
  <c r="MDM4" i="7"/>
  <c r="MDN4" i="7"/>
  <c r="MDO4" i="7"/>
  <c r="MDP4" i="7"/>
  <c r="MDQ4" i="7"/>
  <c r="MDR4" i="7"/>
  <c r="MDS4" i="7"/>
  <c r="MDT4" i="7"/>
  <c r="MDU4" i="7"/>
  <c r="MDV4" i="7"/>
  <c r="MDW4" i="7"/>
  <c r="MDX4" i="7"/>
  <c r="MDY4" i="7"/>
  <c r="MDZ4" i="7"/>
  <c r="MEA4" i="7"/>
  <c r="MEB4" i="7"/>
  <c r="MEC4" i="7"/>
  <c r="MED4" i="7"/>
  <c r="MEE4" i="7"/>
  <c r="MEF4" i="7"/>
  <c r="MEG4" i="7"/>
  <c r="MEH4" i="7"/>
  <c r="MEI4" i="7"/>
  <c r="MEJ4" i="7"/>
  <c r="MEK4" i="7"/>
  <c r="MEL4" i="7"/>
  <c r="MEM4" i="7"/>
  <c r="MEN4" i="7"/>
  <c r="MEO4" i="7"/>
  <c r="MEP4" i="7"/>
  <c r="MEQ4" i="7"/>
  <c r="MER4" i="7"/>
  <c r="MES4" i="7"/>
  <c r="MET4" i="7"/>
  <c r="MEU4" i="7"/>
  <c r="MEV4" i="7"/>
  <c r="MEW4" i="7"/>
  <c r="MEX4" i="7"/>
  <c r="MEY4" i="7"/>
  <c r="MEZ4" i="7"/>
  <c r="MFA4" i="7"/>
  <c r="MFB4" i="7"/>
  <c r="MFC4" i="7"/>
  <c r="MFD4" i="7"/>
  <c r="MFE4" i="7"/>
  <c r="MFF4" i="7"/>
  <c r="MFG4" i="7"/>
  <c r="MFH4" i="7"/>
  <c r="MFI4" i="7"/>
  <c r="MFJ4" i="7"/>
  <c r="MFK4" i="7"/>
  <c r="MFL4" i="7"/>
  <c r="MFM4" i="7"/>
  <c r="MFN4" i="7"/>
  <c r="MFO4" i="7"/>
  <c r="MFP4" i="7"/>
  <c r="MFQ4" i="7"/>
  <c r="MFR4" i="7"/>
  <c r="MFS4" i="7"/>
  <c r="MFT4" i="7"/>
  <c r="MFU4" i="7"/>
  <c r="MFV4" i="7"/>
  <c r="MFW4" i="7"/>
  <c r="MFX4" i="7"/>
  <c r="MFY4" i="7"/>
  <c r="MFZ4" i="7"/>
  <c r="MGA4" i="7"/>
  <c r="MGB4" i="7"/>
  <c r="MGC4" i="7"/>
  <c r="MGD4" i="7"/>
  <c r="MGE4" i="7"/>
  <c r="MGF4" i="7"/>
  <c r="MGG4" i="7"/>
  <c r="MGH4" i="7"/>
  <c r="MGI4" i="7"/>
  <c r="MGJ4" i="7"/>
  <c r="MGK4" i="7"/>
  <c r="MGL4" i="7"/>
  <c r="MGM4" i="7"/>
  <c r="MGN4" i="7"/>
  <c r="MGO4" i="7"/>
  <c r="MGP4" i="7"/>
  <c r="MGQ4" i="7"/>
  <c r="MGR4" i="7"/>
  <c r="MGS4" i="7"/>
  <c r="MGT4" i="7"/>
  <c r="MGU4" i="7"/>
  <c r="MGV4" i="7"/>
  <c r="MGW4" i="7"/>
  <c r="MGX4" i="7"/>
  <c r="MGY4" i="7"/>
  <c r="MGZ4" i="7"/>
  <c r="MHA4" i="7"/>
  <c r="MHB4" i="7"/>
  <c r="MHC4" i="7"/>
  <c r="MHD4" i="7"/>
  <c r="MHE4" i="7"/>
  <c r="MHF4" i="7"/>
  <c r="MHG4" i="7"/>
  <c r="MHH4" i="7"/>
  <c r="MHI4" i="7"/>
  <c r="MHJ4" i="7"/>
  <c r="MHK4" i="7"/>
  <c r="MHL4" i="7"/>
  <c r="MHM4" i="7"/>
  <c r="MHN4" i="7"/>
  <c r="MHO4" i="7"/>
  <c r="MHP4" i="7"/>
  <c r="MHQ4" i="7"/>
  <c r="MHR4" i="7"/>
  <c r="MHS4" i="7"/>
  <c r="MHT4" i="7"/>
  <c r="MHU4" i="7"/>
  <c r="MHV4" i="7"/>
  <c r="MHW4" i="7"/>
  <c r="MHX4" i="7"/>
  <c r="MHY4" i="7"/>
  <c r="MHZ4" i="7"/>
  <c r="MIA4" i="7"/>
  <c r="MIB4" i="7"/>
  <c r="MIC4" i="7"/>
  <c r="MID4" i="7"/>
  <c r="MIE4" i="7"/>
  <c r="MIF4" i="7"/>
  <c r="MIG4" i="7"/>
  <c r="MIH4" i="7"/>
  <c r="MII4" i="7"/>
  <c r="MIJ4" i="7"/>
  <c r="MIK4" i="7"/>
  <c r="MIL4" i="7"/>
  <c r="MIM4" i="7"/>
  <c r="MIN4" i="7"/>
  <c r="MIO4" i="7"/>
  <c r="MIP4" i="7"/>
  <c r="MIQ4" i="7"/>
  <c r="MIR4" i="7"/>
  <c r="MIS4" i="7"/>
  <c r="MIT4" i="7"/>
  <c r="MIU4" i="7"/>
  <c r="MIV4" i="7"/>
  <c r="MIW4" i="7"/>
  <c r="MIX4" i="7"/>
  <c r="MIY4" i="7"/>
  <c r="MIZ4" i="7"/>
  <c r="MJA4" i="7"/>
  <c r="MJB4" i="7"/>
  <c r="MJC4" i="7"/>
  <c r="MJD4" i="7"/>
  <c r="MJE4" i="7"/>
  <c r="MJF4" i="7"/>
  <c r="MJG4" i="7"/>
  <c r="MJH4" i="7"/>
  <c r="MJI4" i="7"/>
  <c r="MJJ4" i="7"/>
  <c r="MJK4" i="7"/>
  <c r="MJL4" i="7"/>
  <c r="MJM4" i="7"/>
  <c r="MJN4" i="7"/>
  <c r="MJO4" i="7"/>
  <c r="MJP4" i="7"/>
  <c r="MJQ4" i="7"/>
  <c r="MJR4" i="7"/>
  <c r="MJS4" i="7"/>
  <c r="MJT4" i="7"/>
  <c r="MJU4" i="7"/>
  <c r="MJV4" i="7"/>
  <c r="MJW4" i="7"/>
  <c r="MJX4" i="7"/>
  <c r="MJY4" i="7"/>
  <c r="MJZ4" i="7"/>
  <c r="MKA4" i="7"/>
  <c r="MKB4" i="7"/>
  <c r="MKC4" i="7"/>
  <c r="MKD4" i="7"/>
  <c r="MKE4" i="7"/>
  <c r="MKF4" i="7"/>
  <c r="MKG4" i="7"/>
  <c r="MKH4" i="7"/>
  <c r="MKI4" i="7"/>
  <c r="MKJ4" i="7"/>
  <c r="MKK4" i="7"/>
  <c r="MKL4" i="7"/>
  <c r="MKM4" i="7"/>
  <c r="MKN4" i="7"/>
  <c r="MKO4" i="7"/>
  <c r="MKP4" i="7"/>
  <c r="MKQ4" i="7"/>
  <c r="MKR4" i="7"/>
  <c r="MKS4" i="7"/>
  <c r="MKT4" i="7"/>
  <c r="MKU4" i="7"/>
  <c r="MKV4" i="7"/>
  <c r="MKW4" i="7"/>
  <c r="MKX4" i="7"/>
  <c r="MKY4" i="7"/>
  <c r="MKZ4" i="7"/>
  <c r="MLA4" i="7"/>
  <c r="MLB4" i="7"/>
  <c r="MLC4" i="7"/>
  <c r="MLD4" i="7"/>
  <c r="MLE4" i="7"/>
  <c r="MLF4" i="7"/>
  <c r="MLG4" i="7"/>
  <c r="MLH4" i="7"/>
  <c r="MLI4" i="7"/>
  <c r="MLJ4" i="7"/>
  <c r="MLK4" i="7"/>
  <c r="MLL4" i="7"/>
  <c r="MLM4" i="7"/>
  <c r="MLN4" i="7"/>
  <c r="MLO4" i="7"/>
  <c r="MLP4" i="7"/>
  <c r="MLQ4" i="7"/>
  <c r="MLR4" i="7"/>
  <c r="MLS4" i="7"/>
  <c r="MLT4" i="7"/>
  <c r="MLU4" i="7"/>
  <c r="MLV4" i="7"/>
  <c r="MLW4" i="7"/>
  <c r="MLX4" i="7"/>
  <c r="MLY4" i="7"/>
  <c r="MLZ4" i="7"/>
  <c r="MMA4" i="7"/>
  <c r="MMB4" i="7"/>
  <c r="MMC4" i="7"/>
  <c r="MMD4" i="7"/>
  <c r="MME4" i="7"/>
  <c r="MMF4" i="7"/>
  <c r="MMG4" i="7"/>
  <c r="MMH4" i="7"/>
  <c r="MMI4" i="7"/>
  <c r="MMJ4" i="7"/>
  <c r="MMK4" i="7"/>
  <c r="MML4" i="7"/>
  <c r="MMM4" i="7"/>
  <c r="MMN4" i="7"/>
  <c r="MMO4" i="7"/>
  <c r="MMP4" i="7"/>
  <c r="MMQ4" i="7"/>
  <c r="MMR4" i="7"/>
  <c r="MMS4" i="7"/>
  <c r="MMT4" i="7"/>
  <c r="MMU4" i="7"/>
  <c r="MMV4" i="7"/>
  <c r="MMW4" i="7"/>
  <c r="MMX4" i="7"/>
  <c r="MMY4" i="7"/>
  <c r="MMZ4" i="7"/>
  <c r="MNA4" i="7"/>
  <c r="MNB4" i="7"/>
  <c r="MNC4" i="7"/>
  <c r="MND4" i="7"/>
  <c r="MNE4" i="7"/>
  <c r="MNF4" i="7"/>
  <c r="MNG4" i="7"/>
  <c r="MNH4" i="7"/>
  <c r="MNI4" i="7"/>
  <c r="MNJ4" i="7"/>
  <c r="MNK4" i="7"/>
  <c r="MNL4" i="7"/>
  <c r="MNM4" i="7"/>
  <c r="MNN4" i="7"/>
  <c r="MNO4" i="7"/>
  <c r="MNP4" i="7"/>
  <c r="MNQ4" i="7"/>
  <c r="MNR4" i="7"/>
  <c r="MNS4" i="7"/>
  <c r="MNT4" i="7"/>
  <c r="MNU4" i="7"/>
  <c r="MNV4" i="7"/>
  <c r="MNW4" i="7"/>
  <c r="MNX4" i="7"/>
  <c r="MNY4" i="7"/>
  <c r="MNZ4" i="7"/>
  <c r="MOA4" i="7"/>
  <c r="MOB4" i="7"/>
  <c r="MOC4" i="7"/>
  <c r="MOD4" i="7"/>
  <c r="MOE4" i="7"/>
  <c r="MOF4" i="7"/>
  <c r="MOG4" i="7"/>
  <c r="MOH4" i="7"/>
  <c r="MOI4" i="7"/>
  <c r="MOJ4" i="7"/>
  <c r="MOK4" i="7"/>
  <c r="MOL4" i="7"/>
  <c r="MOM4" i="7"/>
  <c r="MON4" i="7"/>
  <c r="MOO4" i="7"/>
  <c r="MOP4" i="7"/>
  <c r="MOQ4" i="7"/>
  <c r="MOR4" i="7"/>
  <c r="MOS4" i="7"/>
  <c r="MOT4" i="7"/>
  <c r="MOU4" i="7"/>
  <c r="MOV4" i="7"/>
  <c r="MOW4" i="7"/>
  <c r="MOX4" i="7"/>
  <c r="MOY4" i="7"/>
  <c r="MOZ4" i="7"/>
  <c r="MPA4" i="7"/>
  <c r="MPB4" i="7"/>
  <c r="MPC4" i="7"/>
  <c r="MPD4" i="7"/>
  <c r="MPE4" i="7"/>
  <c r="MPF4" i="7"/>
  <c r="MPG4" i="7"/>
  <c r="MPH4" i="7"/>
  <c r="MPI4" i="7"/>
  <c r="MPJ4" i="7"/>
  <c r="MPK4" i="7"/>
  <c r="MPL4" i="7"/>
  <c r="MPM4" i="7"/>
  <c r="MPN4" i="7"/>
  <c r="MPO4" i="7"/>
  <c r="MPP4" i="7"/>
  <c r="MPQ4" i="7"/>
  <c r="MPR4" i="7"/>
  <c r="MPS4" i="7"/>
  <c r="MPT4" i="7"/>
  <c r="MPU4" i="7"/>
  <c r="MPV4" i="7"/>
  <c r="MPW4" i="7"/>
  <c r="MPX4" i="7"/>
  <c r="MPY4" i="7"/>
  <c r="MPZ4" i="7"/>
  <c r="MQA4" i="7"/>
  <c r="MQB4" i="7"/>
  <c r="MQC4" i="7"/>
  <c r="MQD4" i="7"/>
  <c r="MQE4" i="7"/>
  <c r="MQF4" i="7"/>
  <c r="MQG4" i="7"/>
  <c r="MQH4" i="7"/>
  <c r="MQI4" i="7"/>
  <c r="MQJ4" i="7"/>
  <c r="MQK4" i="7"/>
  <c r="MQL4" i="7"/>
  <c r="MQM4" i="7"/>
  <c r="MQN4" i="7"/>
  <c r="MQO4" i="7"/>
  <c r="MQP4" i="7"/>
  <c r="MQQ4" i="7"/>
  <c r="MQR4" i="7"/>
  <c r="MQS4" i="7"/>
  <c r="MQT4" i="7"/>
  <c r="MQU4" i="7"/>
  <c r="MQV4" i="7"/>
  <c r="MQW4" i="7"/>
  <c r="MQX4" i="7"/>
  <c r="MQY4" i="7"/>
  <c r="MQZ4" i="7"/>
  <c r="MRA4" i="7"/>
  <c r="MRB4" i="7"/>
  <c r="MRC4" i="7"/>
  <c r="MRD4" i="7"/>
  <c r="MRE4" i="7"/>
  <c r="MRF4" i="7"/>
  <c r="MRG4" i="7"/>
  <c r="MRH4" i="7"/>
  <c r="MRI4" i="7"/>
  <c r="MRJ4" i="7"/>
  <c r="MRK4" i="7"/>
  <c r="MRL4" i="7"/>
  <c r="MRM4" i="7"/>
  <c r="MRN4" i="7"/>
  <c r="MRO4" i="7"/>
  <c r="MRP4" i="7"/>
  <c r="MRQ4" i="7"/>
  <c r="MRR4" i="7"/>
  <c r="MRS4" i="7"/>
  <c r="MRT4" i="7"/>
  <c r="MRU4" i="7"/>
  <c r="MRV4" i="7"/>
  <c r="MRW4" i="7"/>
  <c r="MRX4" i="7"/>
  <c r="MRY4" i="7"/>
  <c r="MRZ4" i="7"/>
  <c r="MSA4" i="7"/>
  <c r="MSB4" i="7"/>
  <c r="MSC4" i="7"/>
  <c r="MSD4" i="7"/>
  <c r="MSE4" i="7"/>
  <c r="MSF4" i="7"/>
  <c r="MSG4" i="7"/>
  <c r="MSH4" i="7"/>
  <c r="MSI4" i="7"/>
  <c r="MSJ4" i="7"/>
  <c r="MSK4" i="7"/>
  <c r="MSL4" i="7"/>
  <c r="MSM4" i="7"/>
  <c r="MSN4" i="7"/>
  <c r="MSO4" i="7"/>
  <c r="MSP4" i="7"/>
  <c r="MSQ4" i="7"/>
  <c r="MSR4" i="7"/>
  <c r="MSS4" i="7"/>
  <c r="MST4" i="7"/>
  <c r="MSU4" i="7"/>
  <c r="MSV4" i="7"/>
  <c r="MSW4" i="7"/>
  <c r="MSX4" i="7"/>
  <c r="MSY4" i="7"/>
  <c r="MSZ4" i="7"/>
  <c r="MTA4" i="7"/>
  <c r="MTB4" i="7"/>
  <c r="MTC4" i="7"/>
  <c r="MTD4" i="7"/>
  <c r="MTE4" i="7"/>
  <c r="MTF4" i="7"/>
  <c r="MTG4" i="7"/>
  <c r="MTH4" i="7"/>
  <c r="MTI4" i="7"/>
  <c r="MTJ4" i="7"/>
  <c r="MTK4" i="7"/>
  <c r="MTL4" i="7"/>
  <c r="MTM4" i="7"/>
  <c r="MTN4" i="7"/>
  <c r="MTO4" i="7"/>
  <c r="MTP4" i="7"/>
  <c r="MTQ4" i="7"/>
  <c r="MTR4" i="7"/>
  <c r="MTS4" i="7"/>
  <c r="MTT4" i="7"/>
  <c r="MTU4" i="7"/>
  <c r="MTV4" i="7"/>
  <c r="MTW4" i="7"/>
  <c r="MTX4" i="7"/>
  <c r="MTY4" i="7"/>
  <c r="MTZ4" i="7"/>
  <c r="MUA4" i="7"/>
  <c r="MUB4" i="7"/>
  <c r="MUC4" i="7"/>
  <c r="MUD4" i="7"/>
  <c r="MUE4" i="7"/>
  <c r="MUF4" i="7"/>
  <c r="MUG4" i="7"/>
  <c r="MUH4" i="7"/>
  <c r="MUI4" i="7"/>
  <c r="MUJ4" i="7"/>
  <c r="MUK4" i="7"/>
  <c r="MUL4" i="7"/>
  <c r="MUM4" i="7"/>
  <c r="MUN4" i="7"/>
  <c r="MUO4" i="7"/>
  <c r="MUP4" i="7"/>
  <c r="MUQ4" i="7"/>
  <c r="MUR4" i="7"/>
  <c r="MUS4" i="7"/>
  <c r="MUT4" i="7"/>
  <c r="MUU4" i="7"/>
  <c r="MUV4" i="7"/>
  <c r="MUW4" i="7"/>
  <c r="MUX4" i="7"/>
  <c r="MUY4" i="7"/>
  <c r="MUZ4" i="7"/>
  <c r="MVA4" i="7"/>
  <c r="MVB4" i="7"/>
  <c r="MVC4" i="7"/>
  <c r="MVD4" i="7"/>
  <c r="MVE4" i="7"/>
  <c r="MVF4" i="7"/>
  <c r="MVG4" i="7"/>
  <c r="MVH4" i="7"/>
  <c r="MVI4" i="7"/>
  <c r="MVJ4" i="7"/>
  <c r="MVK4" i="7"/>
  <c r="MVL4" i="7"/>
  <c r="MVM4" i="7"/>
  <c r="MVN4" i="7"/>
  <c r="MVO4" i="7"/>
  <c r="MVP4" i="7"/>
  <c r="MVQ4" i="7"/>
  <c r="MVR4" i="7"/>
  <c r="MVS4" i="7"/>
  <c r="MVT4" i="7"/>
  <c r="MVU4" i="7"/>
  <c r="MVV4" i="7"/>
  <c r="MVW4" i="7"/>
  <c r="MVX4" i="7"/>
  <c r="MVY4" i="7"/>
  <c r="MVZ4" i="7"/>
  <c r="MWA4" i="7"/>
  <c r="MWB4" i="7"/>
  <c r="MWC4" i="7"/>
  <c r="MWD4" i="7"/>
  <c r="MWE4" i="7"/>
  <c r="MWF4" i="7"/>
  <c r="MWG4" i="7"/>
  <c r="MWH4" i="7"/>
  <c r="MWI4" i="7"/>
  <c r="MWJ4" i="7"/>
  <c r="MWK4" i="7"/>
  <c r="MWL4" i="7"/>
  <c r="MWM4" i="7"/>
  <c r="MWN4" i="7"/>
  <c r="MWO4" i="7"/>
  <c r="MWP4" i="7"/>
  <c r="MWQ4" i="7"/>
  <c r="MWR4" i="7"/>
  <c r="MWS4" i="7"/>
  <c r="MWT4" i="7"/>
  <c r="MWU4" i="7"/>
  <c r="MWV4" i="7"/>
  <c r="MWW4" i="7"/>
  <c r="MWX4" i="7"/>
  <c r="MWY4" i="7"/>
  <c r="MWZ4" i="7"/>
  <c r="MXA4" i="7"/>
  <c r="MXB4" i="7"/>
  <c r="MXC4" i="7"/>
  <c r="MXD4" i="7"/>
  <c r="MXE4" i="7"/>
  <c r="MXF4" i="7"/>
  <c r="MXG4" i="7"/>
  <c r="MXH4" i="7"/>
  <c r="MXI4" i="7"/>
  <c r="MXJ4" i="7"/>
  <c r="MXK4" i="7"/>
  <c r="MXL4" i="7"/>
  <c r="MXM4" i="7"/>
  <c r="MXN4" i="7"/>
  <c r="MXO4" i="7"/>
  <c r="MXP4" i="7"/>
  <c r="MXQ4" i="7"/>
  <c r="MXR4" i="7"/>
  <c r="MXS4" i="7"/>
  <c r="MXT4" i="7"/>
  <c r="MXU4" i="7"/>
  <c r="MXV4" i="7"/>
  <c r="MXW4" i="7"/>
  <c r="MXX4" i="7"/>
  <c r="MXY4" i="7"/>
  <c r="MXZ4" i="7"/>
  <c r="MYA4" i="7"/>
  <c r="MYB4" i="7"/>
  <c r="MYC4" i="7"/>
  <c r="MYD4" i="7"/>
  <c r="MYE4" i="7"/>
  <c r="MYF4" i="7"/>
  <c r="MYG4" i="7"/>
  <c r="MYH4" i="7"/>
  <c r="MYI4" i="7"/>
  <c r="MYJ4" i="7"/>
  <c r="MYK4" i="7"/>
  <c r="MYL4" i="7"/>
  <c r="MYM4" i="7"/>
  <c r="MYN4" i="7"/>
  <c r="MYO4" i="7"/>
  <c r="MYP4" i="7"/>
  <c r="MYQ4" i="7"/>
  <c r="MYR4" i="7"/>
  <c r="MYS4" i="7"/>
  <c r="MYT4" i="7"/>
  <c r="MYU4" i="7"/>
  <c r="MYV4" i="7"/>
  <c r="MYW4" i="7"/>
  <c r="MYX4" i="7"/>
  <c r="MYY4" i="7"/>
  <c r="MYZ4" i="7"/>
  <c r="MZA4" i="7"/>
  <c r="MZB4" i="7"/>
  <c r="MZC4" i="7"/>
  <c r="MZD4" i="7"/>
  <c r="MZE4" i="7"/>
  <c r="MZF4" i="7"/>
  <c r="MZG4" i="7"/>
  <c r="MZH4" i="7"/>
  <c r="MZI4" i="7"/>
  <c r="MZJ4" i="7"/>
  <c r="MZK4" i="7"/>
  <c r="MZL4" i="7"/>
  <c r="MZM4" i="7"/>
  <c r="MZN4" i="7"/>
  <c r="MZO4" i="7"/>
  <c r="MZP4" i="7"/>
  <c r="MZQ4" i="7"/>
  <c r="MZR4" i="7"/>
  <c r="MZS4" i="7"/>
  <c r="MZT4" i="7"/>
  <c r="MZU4" i="7"/>
  <c r="MZV4" i="7"/>
  <c r="MZW4" i="7"/>
  <c r="MZX4" i="7"/>
  <c r="MZY4" i="7"/>
  <c r="MZZ4" i="7"/>
  <c r="NAA4" i="7"/>
  <c r="NAB4" i="7"/>
  <c r="NAC4" i="7"/>
  <c r="NAD4" i="7"/>
  <c r="NAE4" i="7"/>
  <c r="NAF4" i="7"/>
  <c r="NAG4" i="7"/>
  <c r="NAH4" i="7"/>
  <c r="NAI4" i="7"/>
  <c r="NAJ4" i="7"/>
  <c r="NAK4" i="7"/>
  <c r="NAL4" i="7"/>
  <c r="NAM4" i="7"/>
  <c r="NAN4" i="7"/>
  <c r="NAO4" i="7"/>
  <c r="NAP4" i="7"/>
  <c r="NAQ4" i="7"/>
  <c r="NAR4" i="7"/>
  <c r="NAS4" i="7"/>
  <c r="NAT4" i="7"/>
  <c r="NAU4" i="7"/>
  <c r="NAV4" i="7"/>
  <c r="NAW4" i="7"/>
  <c r="NAX4" i="7"/>
  <c r="NAY4" i="7"/>
  <c r="NAZ4" i="7"/>
  <c r="NBA4" i="7"/>
  <c r="NBB4" i="7"/>
  <c r="NBC4" i="7"/>
  <c r="NBD4" i="7"/>
  <c r="NBE4" i="7"/>
  <c r="NBF4" i="7"/>
  <c r="NBG4" i="7"/>
  <c r="NBH4" i="7"/>
  <c r="NBI4" i="7"/>
  <c r="NBJ4" i="7"/>
  <c r="NBK4" i="7"/>
  <c r="NBL4" i="7"/>
  <c r="NBM4" i="7"/>
  <c r="NBN4" i="7"/>
  <c r="NBO4" i="7"/>
  <c r="NBP4" i="7"/>
  <c r="NBQ4" i="7"/>
  <c r="NBR4" i="7"/>
  <c r="NBS4" i="7"/>
  <c r="NBT4" i="7"/>
  <c r="NBU4" i="7"/>
  <c r="NBV4" i="7"/>
  <c r="NBW4" i="7"/>
  <c r="NBX4" i="7"/>
  <c r="NBY4" i="7"/>
  <c r="NBZ4" i="7"/>
  <c r="NCA4" i="7"/>
  <c r="NCB4" i="7"/>
  <c r="NCC4" i="7"/>
  <c r="NCD4" i="7"/>
  <c r="NCE4" i="7"/>
  <c r="NCF4" i="7"/>
  <c r="NCG4" i="7"/>
  <c r="NCH4" i="7"/>
  <c r="NCI4" i="7"/>
  <c r="NCJ4" i="7"/>
  <c r="NCK4" i="7"/>
  <c r="NCL4" i="7"/>
  <c r="NCM4" i="7"/>
  <c r="NCN4" i="7"/>
  <c r="NCO4" i="7"/>
  <c r="NCP4" i="7"/>
  <c r="NCQ4" i="7"/>
  <c r="NCR4" i="7"/>
  <c r="NCS4" i="7"/>
  <c r="NCT4" i="7"/>
  <c r="NCU4" i="7"/>
  <c r="NCV4" i="7"/>
  <c r="NCW4" i="7"/>
  <c r="NCX4" i="7"/>
  <c r="NCY4" i="7"/>
  <c r="NCZ4" i="7"/>
  <c r="NDA4" i="7"/>
  <c r="NDB4" i="7"/>
  <c r="NDC4" i="7"/>
  <c r="NDD4" i="7"/>
  <c r="NDE4" i="7"/>
  <c r="NDF4" i="7"/>
  <c r="NDG4" i="7"/>
  <c r="NDH4" i="7"/>
  <c r="NDI4" i="7"/>
  <c r="NDJ4" i="7"/>
  <c r="NDK4" i="7"/>
  <c r="NDL4" i="7"/>
  <c r="NDM4" i="7"/>
  <c r="NDN4" i="7"/>
  <c r="NDO4" i="7"/>
  <c r="NDP4" i="7"/>
  <c r="NDQ4" i="7"/>
  <c r="NDR4" i="7"/>
  <c r="NDS4" i="7"/>
  <c r="NDT4" i="7"/>
  <c r="NDU4" i="7"/>
  <c r="NDV4" i="7"/>
  <c r="NDW4" i="7"/>
  <c r="NDX4" i="7"/>
  <c r="NDY4" i="7"/>
  <c r="NDZ4" i="7"/>
  <c r="NEA4" i="7"/>
  <c r="NEB4" i="7"/>
  <c r="NEC4" i="7"/>
  <c r="NED4" i="7"/>
  <c r="NEE4" i="7"/>
  <c r="NEF4" i="7"/>
  <c r="NEG4" i="7"/>
  <c r="NEH4" i="7"/>
  <c r="NEI4" i="7"/>
  <c r="NEJ4" i="7"/>
  <c r="NEK4" i="7"/>
  <c r="NEL4" i="7"/>
  <c r="NEM4" i="7"/>
  <c r="NEN4" i="7"/>
  <c r="NEO4" i="7"/>
  <c r="NEP4" i="7"/>
  <c r="NEQ4" i="7"/>
  <c r="NER4" i="7"/>
  <c r="NES4" i="7"/>
  <c r="NET4" i="7"/>
  <c r="NEU4" i="7"/>
  <c r="NEV4" i="7"/>
  <c r="NEW4" i="7"/>
  <c r="NEX4" i="7"/>
  <c r="NEY4" i="7"/>
  <c r="NEZ4" i="7"/>
  <c r="NFA4" i="7"/>
  <c r="NFB4" i="7"/>
  <c r="NFC4" i="7"/>
  <c r="NFD4" i="7"/>
  <c r="NFE4" i="7"/>
  <c r="NFF4" i="7"/>
  <c r="NFG4" i="7"/>
  <c r="NFH4" i="7"/>
  <c r="NFI4" i="7"/>
  <c r="NFJ4" i="7"/>
  <c r="NFK4" i="7"/>
  <c r="NFL4" i="7"/>
  <c r="NFM4" i="7"/>
  <c r="NFN4" i="7"/>
  <c r="NFO4" i="7"/>
  <c r="NFP4" i="7"/>
  <c r="NFQ4" i="7"/>
  <c r="NFR4" i="7"/>
  <c r="NFS4" i="7"/>
  <c r="NFT4" i="7"/>
  <c r="NFU4" i="7"/>
  <c r="NFV4" i="7"/>
  <c r="NFW4" i="7"/>
  <c r="NFX4" i="7"/>
  <c r="NFY4" i="7"/>
  <c r="NFZ4" i="7"/>
  <c r="NGA4" i="7"/>
  <c r="NGB4" i="7"/>
  <c r="NGC4" i="7"/>
  <c r="NGD4" i="7"/>
  <c r="NGE4" i="7"/>
  <c r="NGF4" i="7"/>
  <c r="NGG4" i="7"/>
  <c r="NGH4" i="7"/>
  <c r="NGI4" i="7"/>
  <c r="NGJ4" i="7"/>
  <c r="NGK4" i="7"/>
  <c r="NGL4" i="7"/>
  <c r="NGM4" i="7"/>
  <c r="NGN4" i="7"/>
  <c r="NGO4" i="7"/>
  <c r="NGP4" i="7"/>
  <c r="NGQ4" i="7"/>
  <c r="NGR4" i="7"/>
  <c r="NGS4" i="7"/>
  <c r="NGT4" i="7"/>
  <c r="NGU4" i="7"/>
  <c r="NGV4" i="7"/>
  <c r="NGW4" i="7"/>
  <c r="NGX4" i="7"/>
  <c r="NGY4" i="7"/>
  <c r="NGZ4" i="7"/>
  <c r="NHA4" i="7"/>
  <c r="NHB4" i="7"/>
  <c r="NHC4" i="7"/>
  <c r="NHD4" i="7"/>
  <c r="NHE4" i="7"/>
  <c r="NHF4" i="7"/>
  <c r="NHG4" i="7"/>
  <c r="NHH4" i="7"/>
  <c r="NHI4" i="7"/>
  <c r="NHJ4" i="7"/>
  <c r="NHK4" i="7"/>
  <c r="NHL4" i="7"/>
  <c r="NHM4" i="7"/>
  <c r="NHN4" i="7"/>
  <c r="NHO4" i="7"/>
  <c r="NHP4" i="7"/>
  <c r="NHQ4" i="7"/>
  <c r="NHR4" i="7"/>
  <c r="NHS4" i="7"/>
  <c r="NHT4" i="7"/>
  <c r="NHU4" i="7"/>
  <c r="NHV4" i="7"/>
  <c r="NHW4" i="7"/>
  <c r="NHX4" i="7"/>
  <c r="NHY4" i="7"/>
  <c r="NHZ4" i="7"/>
  <c r="NIA4" i="7"/>
  <c r="NIB4" i="7"/>
  <c r="NIC4" i="7"/>
  <c r="NID4" i="7"/>
  <c r="NIE4" i="7"/>
  <c r="NIF4" i="7"/>
  <c r="NIG4" i="7"/>
  <c r="NIH4" i="7"/>
  <c r="NII4" i="7"/>
  <c r="NIJ4" i="7"/>
  <c r="NIK4" i="7"/>
  <c r="NIL4" i="7"/>
  <c r="NIM4" i="7"/>
  <c r="NIN4" i="7"/>
  <c r="NIO4" i="7"/>
  <c r="NIP4" i="7"/>
  <c r="NIQ4" i="7"/>
  <c r="NIR4" i="7"/>
  <c r="NIS4" i="7"/>
  <c r="NIT4" i="7"/>
  <c r="NIU4" i="7"/>
  <c r="NIV4" i="7"/>
  <c r="NIW4" i="7"/>
  <c r="NIX4" i="7"/>
  <c r="NIY4" i="7"/>
  <c r="NIZ4" i="7"/>
  <c r="NJA4" i="7"/>
  <c r="NJB4" i="7"/>
  <c r="NJC4" i="7"/>
  <c r="NJD4" i="7"/>
  <c r="NJE4" i="7"/>
  <c r="NJF4" i="7"/>
  <c r="NJG4" i="7"/>
  <c r="NJH4" i="7"/>
  <c r="NJI4" i="7"/>
  <c r="NJJ4" i="7"/>
  <c r="NJK4" i="7"/>
  <c r="NJL4" i="7"/>
  <c r="NJM4" i="7"/>
  <c r="NJN4" i="7"/>
  <c r="NJO4" i="7"/>
  <c r="NJP4" i="7"/>
  <c r="NJQ4" i="7"/>
  <c r="NJR4" i="7"/>
  <c r="NJS4" i="7"/>
  <c r="NJT4" i="7"/>
  <c r="NJU4" i="7"/>
  <c r="NJV4" i="7"/>
  <c r="NJW4" i="7"/>
  <c r="NJX4" i="7"/>
  <c r="NJY4" i="7"/>
  <c r="NJZ4" i="7"/>
  <c r="NKA4" i="7"/>
  <c r="NKB4" i="7"/>
  <c r="NKC4" i="7"/>
  <c r="NKD4" i="7"/>
  <c r="NKE4" i="7"/>
  <c r="NKF4" i="7"/>
  <c r="NKG4" i="7"/>
  <c r="NKH4" i="7"/>
  <c r="NKI4" i="7"/>
  <c r="NKJ4" i="7"/>
  <c r="NKK4" i="7"/>
  <c r="NKL4" i="7"/>
  <c r="NKM4" i="7"/>
  <c r="NKN4" i="7"/>
  <c r="NKO4" i="7"/>
  <c r="NKP4" i="7"/>
  <c r="NKQ4" i="7"/>
  <c r="NKR4" i="7"/>
  <c r="NKS4" i="7"/>
  <c r="NKT4" i="7"/>
  <c r="NKU4" i="7"/>
  <c r="NKV4" i="7"/>
  <c r="NKW4" i="7"/>
  <c r="NKX4" i="7"/>
  <c r="NKY4" i="7"/>
  <c r="NKZ4" i="7"/>
  <c r="NLA4" i="7"/>
  <c r="NLB4" i="7"/>
  <c r="NLC4" i="7"/>
  <c r="NLD4" i="7"/>
  <c r="NLE4" i="7"/>
  <c r="NLF4" i="7"/>
  <c r="NLG4" i="7"/>
  <c r="NLH4" i="7"/>
  <c r="NLI4" i="7"/>
  <c r="NLJ4" i="7"/>
  <c r="NLK4" i="7"/>
  <c r="NLL4" i="7"/>
  <c r="NLM4" i="7"/>
  <c r="NLN4" i="7"/>
  <c r="NLO4" i="7"/>
  <c r="NLP4" i="7"/>
  <c r="NLQ4" i="7"/>
  <c r="NLR4" i="7"/>
  <c r="NLS4" i="7"/>
  <c r="NLT4" i="7"/>
  <c r="NLU4" i="7"/>
  <c r="NLV4" i="7"/>
  <c r="NLW4" i="7"/>
  <c r="NLX4" i="7"/>
  <c r="NLY4" i="7"/>
  <c r="NLZ4" i="7"/>
  <c r="NMA4" i="7"/>
  <c r="NMB4" i="7"/>
  <c r="NMC4" i="7"/>
  <c r="NMD4" i="7"/>
  <c r="NME4" i="7"/>
  <c r="NMF4" i="7"/>
  <c r="NMG4" i="7"/>
  <c r="NMH4" i="7"/>
  <c r="NMI4" i="7"/>
  <c r="NMJ4" i="7"/>
  <c r="NMK4" i="7"/>
  <c r="NML4" i="7"/>
  <c r="NMM4" i="7"/>
  <c r="NMN4" i="7"/>
  <c r="NMO4" i="7"/>
  <c r="NMP4" i="7"/>
  <c r="NMQ4" i="7"/>
  <c r="NMR4" i="7"/>
  <c r="NMS4" i="7"/>
  <c r="NMT4" i="7"/>
  <c r="NMU4" i="7"/>
  <c r="NMV4" i="7"/>
  <c r="NMW4" i="7"/>
  <c r="NMX4" i="7"/>
  <c r="NMY4" i="7"/>
  <c r="NMZ4" i="7"/>
  <c r="NNA4" i="7"/>
  <c r="NNB4" i="7"/>
  <c r="NNC4" i="7"/>
  <c r="NND4" i="7"/>
  <c r="NNE4" i="7"/>
  <c r="NNF4" i="7"/>
  <c r="NNG4" i="7"/>
  <c r="NNH4" i="7"/>
  <c r="NNI4" i="7"/>
  <c r="NNJ4" i="7"/>
  <c r="NNK4" i="7"/>
  <c r="NNL4" i="7"/>
  <c r="NNM4" i="7"/>
  <c r="NNN4" i="7"/>
  <c r="NNO4" i="7"/>
  <c r="NNP4" i="7"/>
  <c r="NNQ4" i="7"/>
  <c r="NNR4" i="7"/>
  <c r="NNS4" i="7"/>
  <c r="NNT4" i="7"/>
  <c r="NNU4" i="7"/>
  <c r="NNV4" i="7"/>
  <c r="NNW4" i="7"/>
  <c r="NNX4" i="7"/>
  <c r="NNY4" i="7"/>
  <c r="NNZ4" i="7"/>
  <c r="NOA4" i="7"/>
  <c r="NOB4" i="7"/>
  <c r="NOC4" i="7"/>
  <c r="NOD4" i="7"/>
  <c r="NOE4" i="7"/>
  <c r="NOF4" i="7"/>
  <c r="NOG4" i="7"/>
  <c r="NOH4" i="7"/>
  <c r="NOI4" i="7"/>
  <c r="NOJ4" i="7"/>
  <c r="NOK4" i="7"/>
  <c r="NOL4" i="7"/>
  <c r="NOM4" i="7"/>
  <c r="NON4" i="7"/>
  <c r="NOO4" i="7"/>
  <c r="NOP4" i="7"/>
  <c r="NOQ4" i="7"/>
  <c r="NOR4" i="7"/>
  <c r="NOS4" i="7"/>
  <c r="NOT4" i="7"/>
  <c r="NOU4" i="7"/>
  <c r="NOV4" i="7"/>
  <c r="NOW4" i="7"/>
  <c r="NOX4" i="7"/>
  <c r="NOY4" i="7"/>
  <c r="NOZ4" i="7"/>
  <c r="NPA4" i="7"/>
  <c r="NPB4" i="7"/>
  <c r="NPC4" i="7"/>
  <c r="NPD4" i="7"/>
  <c r="NPE4" i="7"/>
  <c r="NPF4" i="7"/>
  <c r="NPG4" i="7"/>
  <c r="NPH4" i="7"/>
  <c r="NPI4" i="7"/>
  <c r="NPJ4" i="7"/>
  <c r="NPK4" i="7"/>
  <c r="NPL4" i="7"/>
  <c r="NPM4" i="7"/>
  <c r="NPN4" i="7"/>
  <c r="NPO4" i="7"/>
  <c r="NPP4" i="7"/>
  <c r="NPQ4" i="7"/>
  <c r="NPR4" i="7"/>
  <c r="NPS4" i="7"/>
  <c r="NPT4" i="7"/>
  <c r="NPU4" i="7"/>
  <c r="NPV4" i="7"/>
  <c r="NPW4" i="7"/>
  <c r="NPX4" i="7"/>
  <c r="NPY4" i="7"/>
  <c r="NPZ4" i="7"/>
  <c r="NQA4" i="7"/>
  <c r="NQB4" i="7"/>
  <c r="NQC4" i="7"/>
  <c r="NQD4" i="7"/>
  <c r="NQE4" i="7"/>
  <c r="NQF4" i="7"/>
  <c r="NQG4" i="7"/>
  <c r="NQH4" i="7"/>
  <c r="NQI4" i="7"/>
  <c r="NQJ4" i="7"/>
  <c r="NQK4" i="7"/>
  <c r="NQL4" i="7"/>
  <c r="NQM4" i="7"/>
  <c r="NQN4" i="7"/>
  <c r="NQO4" i="7"/>
  <c r="NQP4" i="7"/>
  <c r="NQQ4" i="7"/>
  <c r="NQR4" i="7"/>
  <c r="NQS4" i="7"/>
  <c r="NQT4" i="7"/>
  <c r="NQU4" i="7"/>
  <c r="NQV4" i="7"/>
  <c r="NQW4" i="7"/>
  <c r="NQX4" i="7"/>
  <c r="NQY4" i="7"/>
  <c r="NQZ4" i="7"/>
  <c r="NRA4" i="7"/>
  <c r="NRB4" i="7"/>
  <c r="NRC4" i="7"/>
  <c r="NRD4" i="7"/>
  <c r="NRE4" i="7"/>
  <c r="NRF4" i="7"/>
  <c r="NRG4" i="7"/>
  <c r="NRH4" i="7"/>
  <c r="NRI4" i="7"/>
  <c r="NRJ4" i="7"/>
  <c r="NRK4" i="7"/>
  <c r="NRL4" i="7"/>
  <c r="NRM4" i="7"/>
  <c r="NRN4" i="7"/>
  <c r="NRO4" i="7"/>
  <c r="NRP4" i="7"/>
  <c r="NRQ4" i="7"/>
  <c r="NRR4" i="7"/>
  <c r="NRS4" i="7"/>
  <c r="NRT4" i="7"/>
  <c r="NRU4" i="7"/>
  <c r="NRV4" i="7"/>
  <c r="NRW4" i="7"/>
  <c r="NRX4" i="7"/>
  <c r="NRY4" i="7"/>
  <c r="NRZ4" i="7"/>
  <c r="NSA4" i="7"/>
  <c r="NSB4" i="7"/>
  <c r="NSC4" i="7"/>
  <c r="NSD4" i="7"/>
  <c r="NSE4" i="7"/>
  <c r="NSF4" i="7"/>
  <c r="NSG4" i="7"/>
  <c r="NSH4" i="7"/>
  <c r="NSI4" i="7"/>
  <c r="NSJ4" i="7"/>
  <c r="NSK4" i="7"/>
  <c r="NSL4" i="7"/>
  <c r="NSM4" i="7"/>
  <c r="NSN4" i="7"/>
  <c r="NSO4" i="7"/>
  <c r="NSP4" i="7"/>
  <c r="NSQ4" i="7"/>
  <c r="NSR4" i="7"/>
  <c r="NSS4" i="7"/>
  <c r="NST4" i="7"/>
  <c r="NSU4" i="7"/>
  <c r="NSV4" i="7"/>
  <c r="NSW4" i="7"/>
  <c r="NSX4" i="7"/>
  <c r="NSY4" i="7"/>
  <c r="NSZ4" i="7"/>
  <c r="NTA4" i="7"/>
  <c r="NTB4" i="7"/>
  <c r="NTC4" i="7"/>
  <c r="NTD4" i="7"/>
  <c r="NTE4" i="7"/>
  <c r="NTF4" i="7"/>
  <c r="NTG4" i="7"/>
  <c r="NTH4" i="7"/>
  <c r="NTI4" i="7"/>
  <c r="NTJ4" i="7"/>
  <c r="NTK4" i="7"/>
  <c r="NTL4" i="7"/>
  <c r="NTM4" i="7"/>
  <c r="NTN4" i="7"/>
  <c r="NTO4" i="7"/>
  <c r="NTP4" i="7"/>
  <c r="NTQ4" i="7"/>
  <c r="NTR4" i="7"/>
  <c r="NTS4" i="7"/>
  <c r="NTT4" i="7"/>
  <c r="NTU4" i="7"/>
  <c r="NTV4" i="7"/>
  <c r="NTW4" i="7"/>
  <c r="NTX4" i="7"/>
  <c r="NTY4" i="7"/>
  <c r="NTZ4" i="7"/>
  <c r="NUA4" i="7"/>
  <c r="NUB4" i="7"/>
  <c r="NUC4" i="7"/>
  <c r="NUD4" i="7"/>
  <c r="NUE4" i="7"/>
  <c r="NUF4" i="7"/>
  <c r="NUG4" i="7"/>
  <c r="NUH4" i="7"/>
  <c r="NUI4" i="7"/>
  <c r="NUJ4" i="7"/>
  <c r="NUK4" i="7"/>
  <c r="NUL4" i="7"/>
  <c r="NUM4" i="7"/>
  <c r="NUN4" i="7"/>
  <c r="NUO4" i="7"/>
  <c r="NUP4" i="7"/>
  <c r="NUQ4" i="7"/>
  <c r="NUR4" i="7"/>
  <c r="NUS4" i="7"/>
  <c r="NUT4" i="7"/>
  <c r="NUU4" i="7"/>
  <c r="NUV4" i="7"/>
  <c r="NUW4" i="7"/>
  <c r="NUX4" i="7"/>
  <c r="NUY4" i="7"/>
  <c r="NUZ4" i="7"/>
  <c r="NVA4" i="7"/>
  <c r="NVB4" i="7"/>
  <c r="NVC4" i="7"/>
  <c r="NVD4" i="7"/>
  <c r="NVE4" i="7"/>
  <c r="NVF4" i="7"/>
  <c r="NVG4" i="7"/>
  <c r="NVH4" i="7"/>
  <c r="NVI4" i="7"/>
  <c r="NVJ4" i="7"/>
  <c r="NVK4" i="7"/>
  <c r="NVL4" i="7"/>
  <c r="NVM4" i="7"/>
  <c r="NVN4" i="7"/>
  <c r="NVO4" i="7"/>
  <c r="NVP4" i="7"/>
  <c r="NVQ4" i="7"/>
  <c r="NVR4" i="7"/>
  <c r="NVS4" i="7"/>
  <c r="NVT4" i="7"/>
  <c r="NVU4" i="7"/>
  <c r="NVV4" i="7"/>
  <c r="NVW4" i="7"/>
  <c r="NVX4" i="7"/>
  <c r="NVY4" i="7"/>
  <c r="NVZ4" i="7"/>
  <c r="NWA4" i="7"/>
  <c r="NWB4" i="7"/>
  <c r="NWC4" i="7"/>
  <c r="NWD4" i="7"/>
  <c r="NWE4" i="7"/>
  <c r="NWF4" i="7"/>
  <c r="NWG4" i="7"/>
  <c r="NWH4" i="7"/>
  <c r="NWI4" i="7"/>
  <c r="NWJ4" i="7"/>
  <c r="NWK4" i="7"/>
  <c r="NWL4" i="7"/>
  <c r="NWM4" i="7"/>
  <c r="NWN4" i="7"/>
  <c r="NWO4" i="7"/>
  <c r="NWP4" i="7"/>
  <c r="NWQ4" i="7"/>
  <c r="NWR4" i="7"/>
  <c r="NWS4" i="7"/>
  <c r="NWT4" i="7"/>
  <c r="NWU4" i="7"/>
  <c r="NWV4" i="7"/>
  <c r="NWW4" i="7"/>
  <c r="NWX4" i="7"/>
  <c r="NWY4" i="7"/>
  <c r="NWZ4" i="7"/>
  <c r="NXA4" i="7"/>
  <c r="NXB4" i="7"/>
  <c r="NXC4" i="7"/>
  <c r="NXD4" i="7"/>
  <c r="NXE4" i="7"/>
  <c r="NXF4" i="7"/>
  <c r="NXG4" i="7"/>
  <c r="NXH4" i="7"/>
  <c r="NXI4" i="7"/>
  <c r="NXJ4" i="7"/>
  <c r="NXK4" i="7"/>
  <c r="NXL4" i="7"/>
  <c r="NXM4" i="7"/>
  <c r="NXN4" i="7"/>
  <c r="NXO4" i="7"/>
  <c r="NXP4" i="7"/>
  <c r="NXQ4" i="7"/>
  <c r="NXR4" i="7"/>
  <c r="NXS4" i="7"/>
  <c r="NXT4" i="7"/>
  <c r="NXU4" i="7"/>
  <c r="NXV4" i="7"/>
  <c r="NXW4" i="7"/>
  <c r="NXX4" i="7"/>
  <c r="NXY4" i="7"/>
  <c r="NXZ4" i="7"/>
  <c r="NYA4" i="7"/>
  <c r="NYB4" i="7"/>
  <c r="NYC4" i="7"/>
  <c r="NYD4" i="7"/>
  <c r="NYE4" i="7"/>
  <c r="NYF4" i="7"/>
  <c r="NYG4" i="7"/>
  <c r="NYH4" i="7"/>
  <c r="NYI4" i="7"/>
  <c r="NYJ4" i="7"/>
  <c r="NYK4" i="7"/>
  <c r="NYL4" i="7"/>
  <c r="NYM4" i="7"/>
  <c r="NYN4" i="7"/>
  <c r="NYO4" i="7"/>
  <c r="NYP4" i="7"/>
  <c r="NYQ4" i="7"/>
  <c r="NYR4" i="7"/>
  <c r="NYS4" i="7"/>
  <c r="NYT4" i="7"/>
  <c r="NYU4" i="7"/>
  <c r="NYV4" i="7"/>
  <c r="NYW4" i="7"/>
  <c r="NYX4" i="7"/>
  <c r="NYY4" i="7"/>
  <c r="NYZ4" i="7"/>
  <c r="NZA4" i="7"/>
  <c r="NZB4" i="7"/>
  <c r="NZC4" i="7"/>
  <c r="NZD4" i="7"/>
  <c r="NZE4" i="7"/>
  <c r="NZF4" i="7"/>
  <c r="NZG4" i="7"/>
  <c r="NZH4" i="7"/>
  <c r="NZI4" i="7"/>
  <c r="NZJ4" i="7"/>
  <c r="NZK4" i="7"/>
  <c r="NZL4" i="7"/>
  <c r="NZM4" i="7"/>
  <c r="NZN4" i="7"/>
  <c r="NZO4" i="7"/>
  <c r="NZP4" i="7"/>
  <c r="NZQ4" i="7"/>
  <c r="NZR4" i="7"/>
  <c r="NZS4" i="7"/>
  <c r="NZT4" i="7"/>
  <c r="NZU4" i="7"/>
  <c r="NZV4" i="7"/>
  <c r="NZW4" i="7"/>
  <c r="NZX4" i="7"/>
  <c r="NZY4" i="7"/>
  <c r="NZZ4" i="7"/>
  <c r="OAA4" i="7"/>
  <c r="OAB4" i="7"/>
  <c r="OAC4" i="7"/>
  <c r="OAD4" i="7"/>
  <c r="OAE4" i="7"/>
  <c r="OAF4" i="7"/>
  <c r="OAG4" i="7"/>
  <c r="OAH4" i="7"/>
  <c r="OAI4" i="7"/>
  <c r="OAJ4" i="7"/>
  <c r="OAK4" i="7"/>
  <c r="OAL4" i="7"/>
  <c r="OAM4" i="7"/>
  <c r="OAN4" i="7"/>
  <c r="OAO4" i="7"/>
  <c r="OAP4" i="7"/>
  <c r="OAQ4" i="7"/>
  <c r="OAR4" i="7"/>
  <c r="OAS4" i="7"/>
  <c r="OAT4" i="7"/>
  <c r="OAU4" i="7"/>
  <c r="OAV4" i="7"/>
  <c r="OAW4" i="7"/>
  <c r="OAX4" i="7"/>
  <c r="OAY4" i="7"/>
  <c r="OAZ4" i="7"/>
  <c r="OBA4" i="7"/>
  <c r="OBB4" i="7"/>
  <c r="OBC4" i="7"/>
  <c r="OBD4" i="7"/>
  <c r="OBE4" i="7"/>
  <c r="OBF4" i="7"/>
  <c r="OBG4" i="7"/>
  <c r="OBH4" i="7"/>
  <c r="OBI4" i="7"/>
  <c r="OBJ4" i="7"/>
  <c r="OBK4" i="7"/>
  <c r="OBL4" i="7"/>
  <c r="OBM4" i="7"/>
  <c r="OBN4" i="7"/>
  <c r="OBO4" i="7"/>
  <c r="OBP4" i="7"/>
  <c r="OBQ4" i="7"/>
  <c r="OBR4" i="7"/>
  <c r="OBS4" i="7"/>
  <c r="OBT4" i="7"/>
  <c r="OBU4" i="7"/>
  <c r="OBV4" i="7"/>
  <c r="OBW4" i="7"/>
  <c r="OBX4" i="7"/>
  <c r="OBY4" i="7"/>
  <c r="OBZ4" i="7"/>
  <c r="OCA4" i="7"/>
  <c r="OCB4" i="7"/>
  <c r="OCC4" i="7"/>
  <c r="OCD4" i="7"/>
  <c r="OCE4" i="7"/>
  <c r="OCF4" i="7"/>
  <c r="OCG4" i="7"/>
  <c r="OCH4" i="7"/>
  <c r="OCI4" i="7"/>
  <c r="OCJ4" i="7"/>
  <c r="OCK4" i="7"/>
  <c r="OCL4" i="7"/>
  <c r="OCM4" i="7"/>
  <c r="OCN4" i="7"/>
  <c r="OCO4" i="7"/>
  <c r="OCP4" i="7"/>
  <c r="OCQ4" i="7"/>
  <c r="OCR4" i="7"/>
  <c r="OCS4" i="7"/>
  <c r="OCT4" i="7"/>
  <c r="OCU4" i="7"/>
  <c r="OCV4" i="7"/>
  <c r="OCW4" i="7"/>
  <c r="OCX4" i="7"/>
  <c r="OCY4" i="7"/>
  <c r="OCZ4" i="7"/>
  <c r="ODA4" i="7"/>
  <c r="ODB4" i="7"/>
  <c r="ODC4" i="7"/>
  <c r="ODD4" i="7"/>
  <c r="ODE4" i="7"/>
  <c r="ODF4" i="7"/>
  <c r="ODG4" i="7"/>
  <c r="ODH4" i="7"/>
  <c r="ODI4" i="7"/>
  <c r="ODJ4" i="7"/>
  <c r="ODK4" i="7"/>
  <c r="ODL4" i="7"/>
  <c r="ODM4" i="7"/>
  <c r="ODN4" i="7"/>
  <c r="ODO4" i="7"/>
  <c r="ODP4" i="7"/>
  <c r="ODQ4" i="7"/>
  <c r="ODR4" i="7"/>
  <c r="ODS4" i="7"/>
  <c r="ODT4" i="7"/>
  <c r="ODU4" i="7"/>
  <c r="ODV4" i="7"/>
  <c r="ODW4" i="7"/>
  <c r="ODX4" i="7"/>
  <c r="ODY4" i="7"/>
  <c r="ODZ4" i="7"/>
  <c r="OEA4" i="7"/>
  <c r="OEB4" i="7"/>
  <c r="OEC4" i="7"/>
  <c r="OED4" i="7"/>
  <c r="OEE4" i="7"/>
  <c r="OEF4" i="7"/>
  <c r="OEG4" i="7"/>
  <c r="OEH4" i="7"/>
  <c r="OEI4" i="7"/>
  <c r="OEJ4" i="7"/>
  <c r="OEK4" i="7"/>
  <c r="OEL4" i="7"/>
  <c r="OEM4" i="7"/>
  <c r="OEN4" i="7"/>
  <c r="OEO4" i="7"/>
  <c r="OEP4" i="7"/>
  <c r="OEQ4" i="7"/>
  <c r="OER4" i="7"/>
  <c r="OES4" i="7"/>
  <c r="OET4" i="7"/>
  <c r="OEU4" i="7"/>
  <c r="OEV4" i="7"/>
  <c r="OEW4" i="7"/>
  <c r="OEX4" i="7"/>
  <c r="OEY4" i="7"/>
  <c r="OEZ4" i="7"/>
  <c r="OFA4" i="7"/>
  <c r="OFB4" i="7"/>
  <c r="OFC4" i="7"/>
  <c r="OFD4" i="7"/>
  <c r="OFE4" i="7"/>
  <c r="OFF4" i="7"/>
  <c r="OFG4" i="7"/>
  <c r="OFH4" i="7"/>
  <c r="OFI4" i="7"/>
  <c r="OFJ4" i="7"/>
  <c r="OFK4" i="7"/>
  <c r="OFL4" i="7"/>
  <c r="OFM4" i="7"/>
  <c r="OFN4" i="7"/>
  <c r="OFO4" i="7"/>
  <c r="OFP4" i="7"/>
  <c r="OFQ4" i="7"/>
  <c r="OFR4" i="7"/>
  <c r="OFS4" i="7"/>
  <c r="OFT4" i="7"/>
  <c r="OFU4" i="7"/>
  <c r="OFV4" i="7"/>
  <c r="OFW4" i="7"/>
  <c r="OFX4" i="7"/>
  <c r="OFY4" i="7"/>
  <c r="OFZ4" i="7"/>
  <c r="OGA4" i="7"/>
  <c r="OGB4" i="7"/>
  <c r="OGC4" i="7"/>
  <c r="OGD4" i="7"/>
  <c r="OGE4" i="7"/>
  <c r="OGF4" i="7"/>
  <c r="OGG4" i="7"/>
  <c r="OGH4" i="7"/>
  <c r="OGI4" i="7"/>
  <c r="OGJ4" i="7"/>
  <c r="OGK4" i="7"/>
  <c r="OGL4" i="7"/>
  <c r="OGM4" i="7"/>
  <c r="OGN4" i="7"/>
  <c r="OGO4" i="7"/>
  <c r="OGP4" i="7"/>
  <c r="OGQ4" i="7"/>
  <c r="OGR4" i="7"/>
  <c r="OGS4" i="7"/>
  <c r="OGT4" i="7"/>
  <c r="OGU4" i="7"/>
  <c r="OGV4" i="7"/>
  <c r="OGW4" i="7"/>
  <c r="OGX4" i="7"/>
  <c r="OGY4" i="7"/>
  <c r="OGZ4" i="7"/>
  <c r="OHA4" i="7"/>
  <c r="OHB4" i="7"/>
  <c r="OHC4" i="7"/>
  <c r="OHD4" i="7"/>
  <c r="OHE4" i="7"/>
  <c r="OHF4" i="7"/>
  <c r="OHG4" i="7"/>
  <c r="OHH4" i="7"/>
  <c r="OHI4" i="7"/>
  <c r="OHJ4" i="7"/>
  <c r="OHK4" i="7"/>
  <c r="OHL4" i="7"/>
  <c r="OHM4" i="7"/>
  <c r="OHN4" i="7"/>
  <c r="OHO4" i="7"/>
  <c r="OHP4" i="7"/>
  <c r="OHQ4" i="7"/>
  <c r="OHR4" i="7"/>
  <c r="OHS4" i="7"/>
  <c r="OHT4" i="7"/>
  <c r="OHU4" i="7"/>
  <c r="OHV4" i="7"/>
  <c r="OHW4" i="7"/>
  <c r="OHX4" i="7"/>
  <c r="OHY4" i="7"/>
  <c r="OHZ4" i="7"/>
  <c r="OIA4" i="7"/>
  <c r="OIB4" i="7"/>
  <c r="OIC4" i="7"/>
  <c r="OID4" i="7"/>
  <c r="OIE4" i="7"/>
  <c r="OIF4" i="7"/>
  <c r="OIG4" i="7"/>
  <c r="OIH4" i="7"/>
  <c r="OII4" i="7"/>
  <c r="OIJ4" i="7"/>
  <c r="OIK4" i="7"/>
  <c r="OIL4" i="7"/>
  <c r="OIM4" i="7"/>
  <c r="OIN4" i="7"/>
  <c r="OIO4" i="7"/>
  <c r="OIP4" i="7"/>
  <c r="OIQ4" i="7"/>
  <c r="OIR4" i="7"/>
  <c r="OIS4" i="7"/>
  <c r="OIT4" i="7"/>
  <c r="OIU4" i="7"/>
  <c r="OIV4" i="7"/>
  <c r="OIW4" i="7"/>
  <c r="OIX4" i="7"/>
  <c r="OIY4" i="7"/>
  <c r="OIZ4" i="7"/>
  <c r="OJA4" i="7"/>
  <c r="OJB4" i="7"/>
  <c r="OJC4" i="7"/>
  <c r="OJD4" i="7"/>
  <c r="OJE4" i="7"/>
  <c r="OJF4" i="7"/>
  <c r="OJG4" i="7"/>
  <c r="OJH4" i="7"/>
  <c r="OJI4" i="7"/>
  <c r="OJJ4" i="7"/>
  <c r="OJK4" i="7"/>
  <c r="OJL4" i="7"/>
  <c r="OJM4" i="7"/>
  <c r="OJN4" i="7"/>
  <c r="OJO4" i="7"/>
  <c r="OJP4" i="7"/>
  <c r="OJQ4" i="7"/>
  <c r="OJR4" i="7"/>
  <c r="OJS4" i="7"/>
  <c r="OJT4" i="7"/>
  <c r="OJU4" i="7"/>
  <c r="OJV4" i="7"/>
  <c r="OJW4" i="7"/>
  <c r="OJX4" i="7"/>
  <c r="OJY4" i="7"/>
  <c r="OJZ4" i="7"/>
  <c r="OKA4" i="7"/>
  <c r="OKB4" i="7"/>
  <c r="OKC4" i="7"/>
  <c r="OKD4" i="7"/>
  <c r="OKE4" i="7"/>
  <c r="OKF4" i="7"/>
  <c r="OKG4" i="7"/>
  <c r="OKH4" i="7"/>
  <c r="OKI4" i="7"/>
  <c r="OKJ4" i="7"/>
  <c r="OKK4" i="7"/>
  <c r="OKL4" i="7"/>
  <c r="OKM4" i="7"/>
  <c r="OKN4" i="7"/>
  <c r="OKO4" i="7"/>
  <c r="OKP4" i="7"/>
  <c r="OKQ4" i="7"/>
  <c r="OKR4" i="7"/>
  <c r="OKS4" i="7"/>
  <c r="OKT4" i="7"/>
  <c r="OKU4" i="7"/>
  <c r="OKV4" i="7"/>
  <c r="OKW4" i="7"/>
  <c r="OKX4" i="7"/>
  <c r="OKY4" i="7"/>
  <c r="OKZ4" i="7"/>
  <c r="OLA4" i="7"/>
  <c r="OLB4" i="7"/>
  <c r="OLC4" i="7"/>
  <c r="OLD4" i="7"/>
  <c r="OLE4" i="7"/>
  <c r="OLF4" i="7"/>
  <c r="OLG4" i="7"/>
  <c r="OLH4" i="7"/>
  <c r="OLI4" i="7"/>
  <c r="OLJ4" i="7"/>
  <c r="OLK4" i="7"/>
  <c r="OLL4" i="7"/>
  <c r="OLM4" i="7"/>
  <c r="OLN4" i="7"/>
  <c r="OLO4" i="7"/>
  <c r="OLP4" i="7"/>
  <c r="OLQ4" i="7"/>
  <c r="OLR4" i="7"/>
  <c r="OLS4" i="7"/>
  <c r="OLT4" i="7"/>
  <c r="OLU4" i="7"/>
  <c r="OLV4" i="7"/>
  <c r="OLW4" i="7"/>
  <c r="OLX4" i="7"/>
  <c r="OLY4" i="7"/>
  <c r="OLZ4" i="7"/>
  <c r="OMA4" i="7"/>
  <c r="OMB4" i="7"/>
  <c r="OMC4" i="7"/>
  <c r="OMD4" i="7"/>
  <c r="OME4" i="7"/>
  <c r="OMF4" i="7"/>
  <c r="OMG4" i="7"/>
  <c r="OMH4" i="7"/>
  <c r="OMI4" i="7"/>
  <c r="OMJ4" i="7"/>
  <c r="OMK4" i="7"/>
  <c r="OML4" i="7"/>
  <c r="OMM4" i="7"/>
  <c r="OMN4" i="7"/>
  <c r="OMO4" i="7"/>
  <c r="OMP4" i="7"/>
  <c r="OMQ4" i="7"/>
  <c r="OMR4" i="7"/>
  <c r="OMS4" i="7"/>
  <c r="OMT4" i="7"/>
  <c r="OMU4" i="7"/>
  <c r="OMV4" i="7"/>
  <c r="OMW4" i="7"/>
  <c r="OMX4" i="7"/>
  <c r="OMY4" i="7"/>
  <c r="OMZ4" i="7"/>
  <c r="ONA4" i="7"/>
  <c r="ONB4" i="7"/>
  <c r="ONC4" i="7"/>
  <c r="OND4" i="7"/>
  <c r="ONE4" i="7"/>
  <c r="ONF4" i="7"/>
  <c r="ONG4" i="7"/>
  <c r="ONH4" i="7"/>
  <c r="ONI4" i="7"/>
  <c r="ONJ4" i="7"/>
  <c r="ONK4" i="7"/>
  <c r="ONL4" i="7"/>
  <c r="ONM4" i="7"/>
  <c r="ONN4" i="7"/>
  <c r="ONO4" i="7"/>
  <c r="ONP4" i="7"/>
  <c r="ONQ4" i="7"/>
  <c r="ONR4" i="7"/>
  <c r="ONS4" i="7"/>
  <c r="ONT4" i="7"/>
  <c r="ONU4" i="7"/>
  <c r="ONV4" i="7"/>
  <c r="ONW4" i="7"/>
  <c r="ONX4" i="7"/>
  <c r="ONY4" i="7"/>
  <c r="ONZ4" i="7"/>
  <c r="OOA4" i="7"/>
  <c r="OOB4" i="7"/>
  <c r="OOC4" i="7"/>
  <c r="OOD4" i="7"/>
  <c r="OOE4" i="7"/>
  <c r="OOF4" i="7"/>
  <c r="OOG4" i="7"/>
  <c r="OOH4" i="7"/>
  <c r="OOI4" i="7"/>
  <c r="OOJ4" i="7"/>
  <c r="OOK4" i="7"/>
  <c r="OOL4" i="7"/>
  <c r="OOM4" i="7"/>
  <c r="OON4" i="7"/>
  <c r="OOO4" i="7"/>
  <c r="OOP4" i="7"/>
  <c r="OOQ4" i="7"/>
  <c r="OOR4" i="7"/>
  <c r="OOS4" i="7"/>
  <c r="OOT4" i="7"/>
  <c r="OOU4" i="7"/>
  <c r="OOV4" i="7"/>
  <c r="OOW4" i="7"/>
  <c r="OOX4" i="7"/>
  <c r="OOY4" i="7"/>
  <c r="OOZ4" i="7"/>
  <c r="OPA4" i="7"/>
  <c r="OPB4" i="7"/>
  <c r="OPC4" i="7"/>
  <c r="OPD4" i="7"/>
  <c r="OPE4" i="7"/>
  <c r="OPF4" i="7"/>
  <c r="OPG4" i="7"/>
  <c r="OPH4" i="7"/>
  <c r="OPI4" i="7"/>
  <c r="OPJ4" i="7"/>
  <c r="OPK4" i="7"/>
  <c r="OPL4" i="7"/>
  <c r="OPM4" i="7"/>
  <c r="OPN4" i="7"/>
  <c r="OPO4" i="7"/>
  <c r="OPP4" i="7"/>
  <c r="OPQ4" i="7"/>
  <c r="OPR4" i="7"/>
  <c r="OPS4" i="7"/>
  <c r="OPT4" i="7"/>
  <c r="OPU4" i="7"/>
  <c r="OPV4" i="7"/>
  <c r="OPW4" i="7"/>
  <c r="OPX4" i="7"/>
  <c r="OPY4" i="7"/>
  <c r="OPZ4" i="7"/>
  <c r="OQA4" i="7"/>
  <c r="OQB4" i="7"/>
  <c r="OQC4" i="7"/>
  <c r="OQD4" i="7"/>
  <c r="OQE4" i="7"/>
  <c r="OQF4" i="7"/>
  <c r="OQG4" i="7"/>
  <c r="OQH4" i="7"/>
  <c r="OQI4" i="7"/>
  <c r="OQJ4" i="7"/>
  <c r="OQK4" i="7"/>
  <c r="OQL4" i="7"/>
  <c r="OQM4" i="7"/>
  <c r="OQN4" i="7"/>
  <c r="OQO4" i="7"/>
  <c r="OQP4" i="7"/>
  <c r="OQQ4" i="7"/>
  <c r="OQR4" i="7"/>
  <c r="OQS4" i="7"/>
  <c r="OQT4" i="7"/>
  <c r="OQU4" i="7"/>
  <c r="OQV4" i="7"/>
  <c r="OQW4" i="7"/>
  <c r="OQX4" i="7"/>
  <c r="OQY4" i="7"/>
  <c r="OQZ4" i="7"/>
  <c r="ORA4" i="7"/>
  <c r="ORB4" i="7"/>
  <c r="ORC4" i="7"/>
  <c r="ORD4" i="7"/>
  <c r="ORE4" i="7"/>
  <c r="ORF4" i="7"/>
  <c r="ORG4" i="7"/>
  <c r="ORH4" i="7"/>
  <c r="ORI4" i="7"/>
  <c r="ORJ4" i="7"/>
  <c r="ORK4" i="7"/>
  <c r="ORL4" i="7"/>
  <c r="ORM4" i="7"/>
  <c r="ORN4" i="7"/>
  <c r="ORO4" i="7"/>
  <c r="ORP4" i="7"/>
  <c r="ORQ4" i="7"/>
  <c r="ORR4" i="7"/>
  <c r="ORS4" i="7"/>
  <c r="ORT4" i="7"/>
  <c r="ORU4" i="7"/>
  <c r="ORV4" i="7"/>
  <c r="ORW4" i="7"/>
  <c r="ORX4" i="7"/>
  <c r="ORY4" i="7"/>
  <c r="ORZ4" i="7"/>
  <c r="OSA4" i="7"/>
  <c r="OSB4" i="7"/>
  <c r="OSC4" i="7"/>
  <c r="OSD4" i="7"/>
  <c r="OSE4" i="7"/>
  <c r="OSF4" i="7"/>
  <c r="OSG4" i="7"/>
  <c r="OSH4" i="7"/>
  <c r="OSI4" i="7"/>
  <c r="OSJ4" i="7"/>
  <c r="OSK4" i="7"/>
  <c r="OSL4" i="7"/>
  <c r="OSM4" i="7"/>
  <c r="OSN4" i="7"/>
  <c r="OSO4" i="7"/>
  <c r="OSP4" i="7"/>
  <c r="OSQ4" i="7"/>
  <c r="OSR4" i="7"/>
  <c r="OSS4" i="7"/>
  <c r="OST4" i="7"/>
  <c r="OSU4" i="7"/>
  <c r="OSV4" i="7"/>
  <c r="OSW4" i="7"/>
  <c r="OSX4" i="7"/>
  <c r="OSY4" i="7"/>
  <c r="OSZ4" i="7"/>
  <c r="OTA4" i="7"/>
  <c r="OTB4" i="7"/>
  <c r="OTC4" i="7"/>
  <c r="OTD4" i="7"/>
  <c r="OTE4" i="7"/>
  <c r="OTF4" i="7"/>
  <c r="OTG4" i="7"/>
  <c r="OTH4" i="7"/>
  <c r="OTI4" i="7"/>
  <c r="OTJ4" i="7"/>
  <c r="OTK4" i="7"/>
  <c r="OTL4" i="7"/>
  <c r="OTM4" i="7"/>
  <c r="OTN4" i="7"/>
  <c r="OTO4" i="7"/>
  <c r="OTP4" i="7"/>
  <c r="OTQ4" i="7"/>
  <c r="OTR4" i="7"/>
  <c r="OTS4" i="7"/>
  <c r="OTT4" i="7"/>
  <c r="OTU4" i="7"/>
  <c r="OTV4" i="7"/>
  <c r="OTW4" i="7"/>
  <c r="OTX4" i="7"/>
  <c r="OTY4" i="7"/>
  <c r="OTZ4" i="7"/>
  <c r="OUA4" i="7"/>
  <c r="OUB4" i="7"/>
  <c r="OUC4" i="7"/>
  <c r="OUD4" i="7"/>
  <c r="OUE4" i="7"/>
  <c r="OUF4" i="7"/>
  <c r="OUG4" i="7"/>
  <c r="OUH4" i="7"/>
  <c r="OUI4" i="7"/>
  <c r="OUJ4" i="7"/>
  <c r="OUK4" i="7"/>
  <c r="OUL4" i="7"/>
  <c r="OUM4" i="7"/>
  <c r="OUN4" i="7"/>
  <c r="OUO4" i="7"/>
  <c r="OUP4" i="7"/>
  <c r="OUQ4" i="7"/>
  <c r="OUR4" i="7"/>
  <c r="OUS4" i="7"/>
  <c r="OUT4" i="7"/>
  <c r="OUU4" i="7"/>
  <c r="OUV4" i="7"/>
  <c r="OUW4" i="7"/>
  <c r="OUX4" i="7"/>
  <c r="OUY4" i="7"/>
  <c r="OUZ4" i="7"/>
  <c r="OVA4" i="7"/>
  <c r="OVB4" i="7"/>
  <c r="OVC4" i="7"/>
  <c r="OVD4" i="7"/>
  <c r="OVE4" i="7"/>
  <c r="OVF4" i="7"/>
  <c r="OVG4" i="7"/>
  <c r="OVH4" i="7"/>
  <c r="OVI4" i="7"/>
  <c r="OVJ4" i="7"/>
  <c r="OVK4" i="7"/>
  <c r="OVL4" i="7"/>
  <c r="OVM4" i="7"/>
  <c r="OVN4" i="7"/>
  <c r="OVO4" i="7"/>
  <c r="OVP4" i="7"/>
  <c r="OVQ4" i="7"/>
  <c r="OVR4" i="7"/>
  <c r="OVS4" i="7"/>
  <c r="OVT4" i="7"/>
  <c r="OVU4" i="7"/>
  <c r="OVV4" i="7"/>
  <c r="OVW4" i="7"/>
  <c r="OVX4" i="7"/>
  <c r="OVY4" i="7"/>
  <c r="OVZ4" i="7"/>
  <c r="OWA4" i="7"/>
  <c r="OWB4" i="7"/>
  <c r="OWC4" i="7"/>
  <c r="OWD4" i="7"/>
  <c r="OWE4" i="7"/>
  <c r="OWF4" i="7"/>
  <c r="OWG4" i="7"/>
  <c r="OWH4" i="7"/>
  <c r="OWI4" i="7"/>
  <c r="OWJ4" i="7"/>
  <c r="OWK4" i="7"/>
  <c r="OWL4" i="7"/>
  <c r="OWM4" i="7"/>
  <c r="OWN4" i="7"/>
  <c r="OWO4" i="7"/>
  <c r="OWP4" i="7"/>
  <c r="OWQ4" i="7"/>
  <c r="OWR4" i="7"/>
  <c r="OWS4" i="7"/>
  <c r="OWT4" i="7"/>
  <c r="OWU4" i="7"/>
  <c r="OWV4" i="7"/>
  <c r="OWW4" i="7"/>
  <c r="OWX4" i="7"/>
  <c r="OWY4" i="7"/>
  <c r="OWZ4" i="7"/>
  <c r="OXA4" i="7"/>
  <c r="OXB4" i="7"/>
  <c r="OXC4" i="7"/>
  <c r="OXD4" i="7"/>
  <c r="OXE4" i="7"/>
  <c r="OXF4" i="7"/>
  <c r="OXG4" i="7"/>
  <c r="OXH4" i="7"/>
  <c r="OXI4" i="7"/>
  <c r="OXJ4" i="7"/>
  <c r="OXK4" i="7"/>
  <c r="OXL4" i="7"/>
  <c r="OXM4" i="7"/>
  <c r="OXN4" i="7"/>
  <c r="OXO4" i="7"/>
  <c r="OXP4" i="7"/>
  <c r="OXQ4" i="7"/>
  <c r="OXR4" i="7"/>
  <c r="OXS4" i="7"/>
  <c r="OXT4" i="7"/>
  <c r="OXU4" i="7"/>
  <c r="OXV4" i="7"/>
  <c r="OXW4" i="7"/>
  <c r="OXX4" i="7"/>
  <c r="OXY4" i="7"/>
  <c r="OXZ4" i="7"/>
  <c r="OYA4" i="7"/>
  <c r="OYB4" i="7"/>
  <c r="OYC4" i="7"/>
  <c r="OYD4" i="7"/>
  <c r="OYE4" i="7"/>
  <c r="OYF4" i="7"/>
  <c r="OYG4" i="7"/>
  <c r="OYH4" i="7"/>
  <c r="OYI4" i="7"/>
  <c r="OYJ4" i="7"/>
  <c r="OYK4" i="7"/>
  <c r="OYL4" i="7"/>
  <c r="OYM4" i="7"/>
  <c r="OYN4" i="7"/>
  <c r="OYO4" i="7"/>
  <c r="OYP4" i="7"/>
  <c r="OYQ4" i="7"/>
  <c r="OYR4" i="7"/>
  <c r="OYS4" i="7"/>
  <c r="OYT4" i="7"/>
  <c r="OYU4" i="7"/>
  <c r="OYV4" i="7"/>
  <c r="OYW4" i="7"/>
  <c r="OYX4" i="7"/>
  <c r="OYY4" i="7"/>
  <c r="OYZ4" i="7"/>
  <c r="OZA4" i="7"/>
  <c r="OZB4" i="7"/>
  <c r="OZC4" i="7"/>
  <c r="OZD4" i="7"/>
  <c r="OZE4" i="7"/>
  <c r="OZF4" i="7"/>
  <c r="OZG4" i="7"/>
  <c r="OZH4" i="7"/>
  <c r="OZI4" i="7"/>
  <c r="OZJ4" i="7"/>
  <c r="OZK4" i="7"/>
  <c r="OZL4" i="7"/>
  <c r="OZM4" i="7"/>
  <c r="OZN4" i="7"/>
  <c r="OZO4" i="7"/>
  <c r="OZP4" i="7"/>
  <c r="OZQ4" i="7"/>
  <c r="OZR4" i="7"/>
  <c r="OZS4" i="7"/>
  <c r="OZT4" i="7"/>
  <c r="OZU4" i="7"/>
  <c r="OZV4" i="7"/>
  <c r="OZW4" i="7"/>
  <c r="OZX4" i="7"/>
  <c r="OZY4" i="7"/>
  <c r="OZZ4" i="7"/>
  <c r="PAA4" i="7"/>
  <c r="PAB4" i="7"/>
  <c r="PAC4" i="7"/>
  <c r="PAD4" i="7"/>
  <c r="PAE4" i="7"/>
  <c r="PAF4" i="7"/>
  <c r="PAG4" i="7"/>
  <c r="PAH4" i="7"/>
  <c r="PAI4" i="7"/>
  <c r="PAJ4" i="7"/>
  <c r="PAK4" i="7"/>
  <c r="PAL4" i="7"/>
  <c r="PAM4" i="7"/>
  <c r="PAN4" i="7"/>
  <c r="PAO4" i="7"/>
  <c r="PAP4" i="7"/>
  <c r="PAQ4" i="7"/>
  <c r="PAR4" i="7"/>
  <c r="PAS4" i="7"/>
  <c r="PAT4" i="7"/>
  <c r="PAU4" i="7"/>
  <c r="PAV4" i="7"/>
  <c r="PAW4" i="7"/>
  <c r="PAX4" i="7"/>
  <c r="PAY4" i="7"/>
  <c r="PAZ4" i="7"/>
  <c r="PBA4" i="7"/>
  <c r="PBB4" i="7"/>
  <c r="PBC4" i="7"/>
  <c r="PBD4" i="7"/>
  <c r="PBE4" i="7"/>
  <c r="PBF4" i="7"/>
  <c r="PBG4" i="7"/>
  <c r="PBH4" i="7"/>
  <c r="PBI4" i="7"/>
  <c r="PBJ4" i="7"/>
  <c r="PBK4" i="7"/>
  <c r="PBL4" i="7"/>
  <c r="PBM4" i="7"/>
  <c r="PBN4" i="7"/>
  <c r="PBO4" i="7"/>
  <c r="PBP4" i="7"/>
  <c r="PBQ4" i="7"/>
  <c r="PBR4" i="7"/>
  <c r="PBS4" i="7"/>
  <c r="PBT4" i="7"/>
  <c r="PBU4" i="7"/>
  <c r="PBV4" i="7"/>
  <c r="PBW4" i="7"/>
  <c r="PBX4" i="7"/>
  <c r="PBY4" i="7"/>
  <c r="PBZ4" i="7"/>
  <c r="PCA4" i="7"/>
  <c r="PCB4" i="7"/>
  <c r="PCC4" i="7"/>
  <c r="PCD4" i="7"/>
  <c r="PCE4" i="7"/>
  <c r="PCF4" i="7"/>
  <c r="PCG4" i="7"/>
  <c r="PCH4" i="7"/>
  <c r="PCI4" i="7"/>
  <c r="PCJ4" i="7"/>
  <c r="PCK4" i="7"/>
  <c r="PCL4" i="7"/>
  <c r="PCM4" i="7"/>
  <c r="PCN4" i="7"/>
  <c r="PCO4" i="7"/>
  <c r="PCP4" i="7"/>
  <c r="PCQ4" i="7"/>
  <c r="PCR4" i="7"/>
  <c r="PCS4" i="7"/>
  <c r="PCT4" i="7"/>
  <c r="PCU4" i="7"/>
  <c r="PCV4" i="7"/>
  <c r="PCW4" i="7"/>
  <c r="PCX4" i="7"/>
  <c r="PCY4" i="7"/>
  <c r="PCZ4" i="7"/>
  <c r="PDA4" i="7"/>
  <c r="PDB4" i="7"/>
  <c r="PDC4" i="7"/>
  <c r="PDD4" i="7"/>
  <c r="PDE4" i="7"/>
  <c r="PDF4" i="7"/>
  <c r="PDG4" i="7"/>
  <c r="PDH4" i="7"/>
  <c r="PDI4" i="7"/>
  <c r="PDJ4" i="7"/>
  <c r="PDK4" i="7"/>
  <c r="PDL4" i="7"/>
  <c r="PDM4" i="7"/>
  <c r="PDN4" i="7"/>
  <c r="PDO4" i="7"/>
  <c r="PDP4" i="7"/>
  <c r="PDQ4" i="7"/>
  <c r="PDR4" i="7"/>
  <c r="PDS4" i="7"/>
  <c r="PDT4" i="7"/>
  <c r="PDU4" i="7"/>
  <c r="PDV4" i="7"/>
  <c r="PDW4" i="7"/>
  <c r="PDX4" i="7"/>
  <c r="PDY4" i="7"/>
  <c r="PDZ4" i="7"/>
  <c r="PEA4" i="7"/>
  <c r="PEB4" i="7"/>
  <c r="PEC4" i="7"/>
  <c r="PED4" i="7"/>
  <c r="PEE4" i="7"/>
  <c r="PEF4" i="7"/>
  <c r="PEG4" i="7"/>
  <c r="PEH4" i="7"/>
  <c r="PEI4" i="7"/>
  <c r="PEJ4" i="7"/>
  <c r="PEK4" i="7"/>
  <c r="PEL4" i="7"/>
  <c r="PEM4" i="7"/>
  <c r="PEN4" i="7"/>
  <c r="PEO4" i="7"/>
  <c r="PEP4" i="7"/>
  <c r="PEQ4" i="7"/>
  <c r="PER4" i="7"/>
  <c r="PES4" i="7"/>
  <c r="PET4" i="7"/>
  <c r="PEU4" i="7"/>
  <c r="PEV4" i="7"/>
  <c r="PEW4" i="7"/>
  <c r="PEX4" i="7"/>
  <c r="PEY4" i="7"/>
  <c r="PEZ4" i="7"/>
  <c r="PFA4" i="7"/>
  <c r="PFB4" i="7"/>
  <c r="PFC4" i="7"/>
  <c r="PFD4" i="7"/>
  <c r="PFE4" i="7"/>
  <c r="PFF4" i="7"/>
  <c r="PFG4" i="7"/>
  <c r="PFH4" i="7"/>
  <c r="PFI4" i="7"/>
  <c r="PFJ4" i="7"/>
  <c r="PFK4" i="7"/>
  <c r="PFL4" i="7"/>
  <c r="PFM4" i="7"/>
  <c r="PFN4" i="7"/>
  <c r="PFO4" i="7"/>
  <c r="PFP4" i="7"/>
  <c r="PFQ4" i="7"/>
  <c r="PFR4" i="7"/>
  <c r="PFS4" i="7"/>
  <c r="PFT4" i="7"/>
  <c r="PFU4" i="7"/>
  <c r="PFV4" i="7"/>
  <c r="PFW4" i="7"/>
  <c r="PFX4" i="7"/>
  <c r="PFY4" i="7"/>
  <c r="PFZ4" i="7"/>
  <c r="PGA4" i="7"/>
  <c r="PGB4" i="7"/>
  <c r="PGC4" i="7"/>
  <c r="PGD4" i="7"/>
  <c r="PGE4" i="7"/>
  <c r="PGF4" i="7"/>
  <c r="PGG4" i="7"/>
  <c r="PGH4" i="7"/>
  <c r="PGI4" i="7"/>
  <c r="PGJ4" i="7"/>
  <c r="PGK4" i="7"/>
  <c r="PGL4" i="7"/>
  <c r="PGM4" i="7"/>
  <c r="PGN4" i="7"/>
  <c r="PGO4" i="7"/>
  <c r="PGP4" i="7"/>
  <c r="PGQ4" i="7"/>
  <c r="PGR4" i="7"/>
  <c r="PGS4" i="7"/>
  <c r="PGT4" i="7"/>
  <c r="PGU4" i="7"/>
  <c r="PGV4" i="7"/>
  <c r="PGW4" i="7"/>
  <c r="PGX4" i="7"/>
  <c r="PGY4" i="7"/>
  <c r="PGZ4" i="7"/>
  <c r="PHA4" i="7"/>
  <c r="PHB4" i="7"/>
  <c r="PHC4" i="7"/>
  <c r="PHD4" i="7"/>
  <c r="PHE4" i="7"/>
  <c r="PHF4" i="7"/>
  <c r="PHG4" i="7"/>
  <c r="PHH4" i="7"/>
  <c r="PHI4" i="7"/>
  <c r="PHJ4" i="7"/>
  <c r="PHK4" i="7"/>
  <c r="PHL4" i="7"/>
  <c r="PHM4" i="7"/>
  <c r="PHN4" i="7"/>
  <c r="PHO4" i="7"/>
  <c r="PHP4" i="7"/>
  <c r="PHQ4" i="7"/>
  <c r="PHR4" i="7"/>
  <c r="PHS4" i="7"/>
  <c r="PHT4" i="7"/>
  <c r="PHU4" i="7"/>
  <c r="PHV4" i="7"/>
  <c r="PHW4" i="7"/>
  <c r="PHX4" i="7"/>
  <c r="PHY4" i="7"/>
  <c r="PHZ4" i="7"/>
  <c r="PIA4" i="7"/>
  <c r="PIB4" i="7"/>
  <c r="PIC4" i="7"/>
  <c r="PID4" i="7"/>
  <c r="PIE4" i="7"/>
  <c r="PIF4" i="7"/>
  <c r="PIG4" i="7"/>
  <c r="PIH4" i="7"/>
  <c r="PII4" i="7"/>
  <c r="PIJ4" i="7"/>
  <c r="PIK4" i="7"/>
  <c r="PIL4" i="7"/>
  <c r="PIM4" i="7"/>
  <c r="PIN4" i="7"/>
  <c r="PIO4" i="7"/>
  <c r="PIP4" i="7"/>
  <c r="PIQ4" i="7"/>
  <c r="PIR4" i="7"/>
  <c r="PIS4" i="7"/>
  <c r="PIT4" i="7"/>
  <c r="PIU4" i="7"/>
  <c r="PIV4" i="7"/>
  <c r="PIW4" i="7"/>
  <c r="PIX4" i="7"/>
  <c r="PIY4" i="7"/>
  <c r="PIZ4" i="7"/>
  <c r="PJA4" i="7"/>
  <c r="PJB4" i="7"/>
  <c r="PJC4" i="7"/>
  <c r="PJD4" i="7"/>
  <c r="PJE4" i="7"/>
  <c r="PJF4" i="7"/>
  <c r="PJG4" i="7"/>
  <c r="PJH4" i="7"/>
  <c r="PJI4" i="7"/>
  <c r="PJJ4" i="7"/>
  <c r="PJK4" i="7"/>
  <c r="PJL4" i="7"/>
  <c r="PJM4" i="7"/>
  <c r="PJN4" i="7"/>
  <c r="PJO4" i="7"/>
  <c r="PJP4" i="7"/>
  <c r="PJQ4" i="7"/>
  <c r="PJR4" i="7"/>
  <c r="PJS4" i="7"/>
  <c r="PJT4" i="7"/>
  <c r="PJU4" i="7"/>
  <c r="PJV4" i="7"/>
  <c r="PJW4" i="7"/>
  <c r="PJX4" i="7"/>
  <c r="PJY4" i="7"/>
  <c r="PJZ4" i="7"/>
  <c r="PKA4" i="7"/>
  <c r="PKB4" i="7"/>
  <c r="PKC4" i="7"/>
  <c r="PKD4" i="7"/>
  <c r="PKE4" i="7"/>
  <c r="PKF4" i="7"/>
  <c r="PKG4" i="7"/>
  <c r="PKH4" i="7"/>
  <c r="PKI4" i="7"/>
  <c r="PKJ4" i="7"/>
  <c r="PKK4" i="7"/>
  <c r="PKL4" i="7"/>
  <c r="PKM4" i="7"/>
  <c r="PKN4" i="7"/>
  <c r="PKO4" i="7"/>
  <c r="PKP4" i="7"/>
  <c r="PKQ4" i="7"/>
  <c r="PKR4" i="7"/>
  <c r="PKS4" i="7"/>
  <c r="PKT4" i="7"/>
  <c r="PKU4" i="7"/>
  <c r="PKV4" i="7"/>
  <c r="PKW4" i="7"/>
  <c r="PKX4" i="7"/>
  <c r="PKY4" i="7"/>
  <c r="PKZ4" i="7"/>
  <c r="PLA4" i="7"/>
  <c r="PLB4" i="7"/>
  <c r="PLC4" i="7"/>
  <c r="PLD4" i="7"/>
  <c r="PLE4" i="7"/>
  <c r="PLF4" i="7"/>
  <c r="PLG4" i="7"/>
  <c r="PLH4" i="7"/>
  <c r="PLI4" i="7"/>
  <c r="PLJ4" i="7"/>
  <c r="PLK4" i="7"/>
  <c r="PLL4" i="7"/>
  <c r="PLM4" i="7"/>
  <c r="PLN4" i="7"/>
  <c r="PLO4" i="7"/>
  <c r="PLP4" i="7"/>
  <c r="PLQ4" i="7"/>
  <c r="PLR4" i="7"/>
  <c r="PLS4" i="7"/>
  <c r="PLT4" i="7"/>
  <c r="PLU4" i="7"/>
  <c r="PLV4" i="7"/>
  <c r="PLW4" i="7"/>
  <c r="PLX4" i="7"/>
  <c r="PLY4" i="7"/>
  <c r="PLZ4" i="7"/>
  <c r="PMA4" i="7"/>
  <c r="PMB4" i="7"/>
  <c r="PMC4" i="7"/>
  <c r="PMD4" i="7"/>
  <c r="PME4" i="7"/>
  <c r="PMF4" i="7"/>
  <c r="PMG4" i="7"/>
  <c r="PMH4" i="7"/>
  <c r="PMI4" i="7"/>
  <c r="PMJ4" i="7"/>
  <c r="PMK4" i="7"/>
  <c r="PML4" i="7"/>
  <c r="PMM4" i="7"/>
  <c r="PMN4" i="7"/>
  <c r="PMO4" i="7"/>
  <c r="PMP4" i="7"/>
  <c r="PMQ4" i="7"/>
  <c r="PMR4" i="7"/>
  <c r="PMS4" i="7"/>
  <c r="PMT4" i="7"/>
  <c r="PMU4" i="7"/>
  <c r="PMV4" i="7"/>
  <c r="PMW4" i="7"/>
  <c r="PMX4" i="7"/>
  <c r="PMY4" i="7"/>
  <c r="PMZ4" i="7"/>
  <c r="PNA4" i="7"/>
  <c r="PNB4" i="7"/>
  <c r="PNC4" i="7"/>
  <c r="PND4" i="7"/>
  <c r="PNE4" i="7"/>
  <c r="PNF4" i="7"/>
  <c r="PNG4" i="7"/>
  <c r="PNH4" i="7"/>
  <c r="PNI4" i="7"/>
  <c r="PNJ4" i="7"/>
  <c r="PNK4" i="7"/>
  <c r="PNL4" i="7"/>
  <c r="PNM4" i="7"/>
  <c r="PNN4" i="7"/>
  <c r="PNO4" i="7"/>
  <c r="PNP4" i="7"/>
  <c r="PNQ4" i="7"/>
  <c r="PNR4" i="7"/>
  <c r="PNS4" i="7"/>
  <c r="PNT4" i="7"/>
  <c r="PNU4" i="7"/>
  <c r="PNV4" i="7"/>
  <c r="PNW4" i="7"/>
  <c r="PNX4" i="7"/>
  <c r="PNY4" i="7"/>
  <c r="PNZ4" i="7"/>
  <c r="POA4" i="7"/>
  <c r="POB4" i="7"/>
  <c r="POC4" i="7"/>
  <c r="POD4" i="7"/>
  <c r="POE4" i="7"/>
  <c r="POF4" i="7"/>
  <c r="POG4" i="7"/>
  <c r="POH4" i="7"/>
  <c r="POI4" i="7"/>
  <c r="POJ4" i="7"/>
  <c r="POK4" i="7"/>
  <c r="POL4" i="7"/>
  <c r="POM4" i="7"/>
  <c r="PON4" i="7"/>
  <c r="POO4" i="7"/>
  <c r="POP4" i="7"/>
  <c r="POQ4" i="7"/>
  <c r="POR4" i="7"/>
  <c r="POS4" i="7"/>
  <c r="POT4" i="7"/>
  <c r="POU4" i="7"/>
  <c r="POV4" i="7"/>
  <c r="POW4" i="7"/>
  <c r="POX4" i="7"/>
  <c r="POY4" i="7"/>
  <c r="POZ4" i="7"/>
  <c r="PPA4" i="7"/>
  <c r="PPB4" i="7"/>
  <c r="PPC4" i="7"/>
  <c r="PPD4" i="7"/>
  <c r="PPE4" i="7"/>
  <c r="PPF4" i="7"/>
  <c r="PPG4" i="7"/>
  <c r="PPH4" i="7"/>
  <c r="PPI4" i="7"/>
  <c r="PPJ4" i="7"/>
  <c r="PPK4" i="7"/>
  <c r="PPL4" i="7"/>
  <c r="PPM4" i="7"/>
  <c r="PPN4" i="7"/>
  <c r="PPO4" i="7"/>
  <c r="PPP4" i="7"/>
  <c r="PPQ4" i="7"/>
  <c r="PPR4" i="7"/>
  <c r="PPS4" i="7"/>
  <c r="PPT4" i="7"/>
  <c r="PPU4" i="7"/>
  <c r="PPV4" i="7"/>
  <c r="PPW4" i="7"/>
  <c r="PPX4" i="7"/>
  <c r="PPY4" i="7"/>
  <c r="PPZ4" i="7"/>
  <c r="PQA4" i="7"/>
  <c r="PQB4" i="7"/>
  <c r="PQC4" i="7"/>
  <c r="PQD4" i="7"/>
  <c r="PQE4" i="7"/>
  <c r="PQF4" i="7"/>
  <c r="PQG4" i="7"/>
  <c r="PQH4" i="7"/>
  <c r="PQI4" i="7"/>
  <c r="PQJ4" i="7"/>
  <c r="PQK4" i="7"/>
  <c r="PQL4" i="7"/>
  <c r="PQM4" i="7"/>
  <c r="PQN4" i="7"/>
  <c r="PQO4" i="7"/>
  <c r="PQP4" i="7"/>
  <c r="PQQ4" i="7"/>
  <c r="PQR4" i="7"/>
  <c r="PQS4" i="7"/>
  <c r="PQT4" i="7"/>
  <c r="PQU4" i="7"/>
  <c r="PQV4" i="7"/>
  <c r="PQW4" i="7"/>
  <c r="PQX4" i="7"/>
  <c r="PQY4" i="7"/>
  <c r="PQZ4" i="7"/>
  <c r="PRA4" i="7"/>
  <c r="PRB4" i="7"/>
  <c r="PRC4" i="7"/>
  <c r="PRD4" i="7"/>
  <c r="PRE4" i="7"/>
  <c r="PRF4" i="7"/>
  <c r="PRG4" i="7"/>
  <c r="PRH4" i="7"/>
  <c r="PRI4" i="7"/>
  <c r="PRJ4" i="7"/>
  <c r="PRK4" i="7"/>
  <c r="PRL4" i="7"/>
  <c r="PRM4" i="7"/>
  <c r="PRN4" i="7"/>
  <c r="PRO4" i="7"/>
  <c r="PRP4" i="7"/>
  <c r="PRQ4" i="7"/>
  <c r="PRR4" i="7"/>
  <c r="PRS4" i="7"/>
  <c r="PRT4" i="7"/>
  <c r="PRU4" i="7"/>
  <c r="PRV4" i="7"/>
  <c r="PRW4" i="7"/>
  <c r="PRX4" i="7"/>
  <c r="PRY4" i="7"/>
  <c r="PRZ4" i="7"/>
  <c r="PSA4" i="7"/>
  <c r="PSB4" i="7"/>
  <c r="PSC4" i="7"/>
  <c r="PSD4" i="7"/>
  <c r="PSE4" i="7"/>
  <c r="PSF4" i="7"/>
  <c r="PSG4" i="7"/>
  <c r="PSH4" i="7"/>
  <c r="PSI4" i="7"/>
  <c r="PSJ4" i="7"/>
  <c r="PSK4" i="7"/>
  <c r="PSL4" i="7"/>
  <c r="PSM4" i="7"/>
  <c r="PSN4" i="7"/>
  <c r="PSO4" i="7"/>
  <c r="PSP4" i="7"/>
  <c r="PSQ4" i="7"/>
  <c r="PSR4" i="7"/>
  <c r="PSS4" i="7"/>
  <c r="PST4" i="7"/>
  <c r="PSU4" i="7"/>
  <c r="PSV4" i="7"/>
  <c r="PSW4" i="7"/>
  <c r="PSX4" i="7"/>
  <c r="PSY4" i="7"/>
  <c r="PSZ4" i="7"/>
  <c r="PTA4" i="7"/>
  <c r="PTB4" i="7"/>
  <c r="PTC4" i="7"/>
  <c r="PTD4" i="7"/>
  <c r="PTE4" i="7"/>
  <c r="PTF4" i="7"/>
  <c r="PTG4" i="7"/>
  <c r="PTH4" i="7"/>
  <c r="PTI4" i="7"/>
  <c r="PTJ4" i="7"/>
  <c r="PTK4" i="7"/>
  <c r="PTL4" i="7"/>
  <c r="PTM4" i="7"/>
  <c r="PTN4" i="7"/>
  <c r="PTO4" i="7"/>
  <c r="PTP4" i="7"/>
  <c r="PTQ4" i="7"/>
  <c r="PTR4" i="7"/>
  <c r="PTS4" i="7"/>
  <c r="PTT4" i="7"/>
  <c r="PTU4" i="7"/>
  <c r="PTV4" i="7"/>
  <c r="PTW4" i="7"/>
  <c r="PTX4" i="7"/>
  <c r="PTY4" i="7"/>
  <c r="PTZ4" i="7"/>
  <c r="PUA4" i="7"/>
  <c r="PUB4" i="7"/>
  <c r="PUC4" i="7"/>
  <c r="PUD4" i="7"/>
  <c r="PUE4" i="7"/>
  <c r="PUF4" i="7"/>
  <c r="PUG4" i="7"/>
  <c r="PUH4" i="7"/>
  <c r="PUI4" i="7"/>
  <c r="PUJ4" i="7"/>
  <c r="PUK4" i="7"/>
  <c r="PUL4" i="7"/>
  <c r="PUM4" i="7"/>
  <c r="PUN4" i="7"/>
  <c r="PUO4" i="7"/>
  <c r="PUP4" i="7"/>
  <c r="PUQ4" i="7"/>
  <c r="PUR4" i="7"/>
  <c r="PUS4" i="7"/>
  <c r="PUT4" i="7"/>
  <c r="PUU4" i="7"/>
  <c r="PUV4" i="7"/>
  <c r="PUW4" i="7"/>
  <c r="PUX4" i="7"/>
  <c r="PUY4" i="7"/>
  <c r="PUZ4" i="7"/>
  <c r="PVA4" i="7"/>
  <c r="PVB4" i="7"/>
  <c r="PVC4" i="7"/>
  <c r="PVD4" i="7"/>
  <c r="PVE4" i="7"/>
  <c r="PVF4" i="7"/>
  <c r="PVG4" i="7"/>
  <c r="PVH4" i="7"/>
  <c r="PVI4" i="7"/>
  <c r="PVJ4" i="7"/>
  <c r="PVK4" i="7"/>
  <c r="PVL4" i="7"/>
  <c r="PVM4" i="7"/>
  <c r="PVN4" i="7"/>
  <c r="PVO4" i="7"/>
  <c r="PVP4" i="7"/>
  <c r="PVQ4" i="7"/>
  <c r="PVR4" i="7"/>
  <c r="PVS4" i="7"/>
  <c r="PVT4" i="7"/>
  <c r="PVU4" i="7"/>
  <c r="PVV4" i="7"/>
  <c r="PVW4" i="7"/>
  <c r="PVX4" i="7"/>
  <c r="PVY4" i="7"/>
  <c r="PVZ4" i="7"/>
  <c r="PWA4" i="7"/>
  <c r="PWB4" i="7"/>
  <c r="PWC4" i="7"/>
  <c r="PWD4" i="7"/>
  <c r="PWE4" i="7"/>
  <c r="PWF4" i="7"/>
  <c r="PWG4" i="7"/>
  <c r="PWH4" i="7"/>
  <c r="PWI4" i="7"/>
  <c r="PWJ4" i="7"/>
  <c r="PWK4" i="7"/>
  <c r="PWL4" i="7"/>
  <c r="PWM4" i="7"/>
  <c r="PWN4" i="7"/>
  <c r="PWO4" i="7"/>
  <c r="PWP4" i="7"/>
  <c r="PWQ4" i="7"/>
  <c r="PWR4" i="7"/>
  <c r="PWS4" i="7"/>
  <c r="PWT4" i="7"/>
  <c r="PWU4" i="7"/>
  <c r="PWV4" i="7"/>
  <c r="PWW4" i="7"/>
  <c r="PWX4" i="7"/>
  <c r="PWY4" i="7"/>
  <c r="PWZ4" i="7"/>
  <c r="PXA4" i="7"/>
  <c r="PXB4" i="7"/>
  <c r="PXC4" i="7"/>
  <c r="PXD4" i="7"/>
  <c r="PXE4" i="7"/>
  <c r="PXF4" i="7"/>
  <c r="PXG4" i="7"/>
  <c r="PXH4" i="7"/>
  <c r="PXI4" i="7"/>
  <c r="PXJ4" i="7"/>
  <c r="PXK4" i="7"/>
  <c r="PXL4" i="7"/>
  <c r="PXM4" i="7"/>
  <c r="PXN4" i="7"/>
  <c r="PXO4" i="7"/>
  <c r="PXP4" i="7"/>
  <c r="PXQ4" i="7"/>
  <c r="PXR4" i="7"/>
  <c r="PXS4" i="7"/>
  <c r="PXT4" i="7"/>
  <c r="PXU4" i="7"/>
  <c r="PXV4" i="7"/>
  <c r="PXW4" i="7"/>
  <c r="PXX4" i="7"/>
  <c r="PXY4" i="7"/>
  <c r="PXZ4" i="7"/>
  <c r="PYA4" i="7"/>
  <c r="PYB4" i="7"/>
  <c r="PYC4" i="7"/>
  <c r="PYD4" i="7"/>
  <c r="PYE4" i="7"/>
  <c r="PYF4" i="7"/>
  <c r="PYG4" i="7"/>
  <c r="PYH4" i="7"/>
  <c r="PYI4" i="7"/>
  <c r="PYJ4" i="7"/>
  <c r="PYK4" i="7"/>
  <c r="PYL4" i="7"/>
  <c r="PYM4" i="7"/>
  <c r="PYN4" i="7"/>
  <c r="PYO4" i="7"/>
  <c r="PYP4" i="7"/>
  <c r="PYQ4" i="7"/>
  <c r="PYR4" i="7"/>
  <c r="PYS4" i="7"/>
  <c r="PYT4" i="7"/>
  <c r="PYU4" i="7"/>
  <c r="PYV4" i="7"/>
  <c r="PYW4" i="7"/>
  <c r="PYX4" i="7"/>
  <c r="PYY4" i="7"/>
  <c r="PYZ4" i="7"/>
  <c r="PZA4" i="7"/>
  <c r="PZB4" i="7"/>
  <c r="PZC4" i="7"/>
  <c r="PZD4" i="7"/>
  <c r="PZE4" i="7"/>
  <c r="PZF4" i="7"/>
  <c r="PZG4" i="7"/>
  <c r="PZH4" i="7"/>
  <c r="PZI4" i="7"/>
  <c r="PZJ4" i="7"/>
  <c r="PZK4" i="7"/>
  <c r="PZL4" i="7"/>
  <c r="PZM4" i="7"/>
  <c r="PZN4" i="7"/>
  <c r="PZO4" i="7"/>
  <c r="PZP4" i="7"/>
  <c r="PZQ4" i="7"/>
  <c r="PZR4" i="7"/>
  <c r="PZS4" i="7"/>
  <c r="PZT4" i="7"/>
  <c r="PZU4" i="7"/>
  <c r="PZV4" i="7"/>
  <c r="PZW4" i="7"/>
  <c r="PZX4" i="7"/>
  <c r="PZY4" i="7"/>
  <c r="PZZ4" i="7"/>
  <c r="QAA4" i="7"/>
  <c r="QAB4" i="7"/>
  <c r="QAC4" i="7"/>
  <c r="QAD4" i="7"/>
  <c r="QAE4" i="7"/>
  <c r="QAF4" i="7"/>
  <c r="QAG4" i="7"/>
  <c r="QAH4" i="7"/>
  <c r="QAI4" i="7"/>
  <c r="QAJ4" i="7"/>
  <c r="QAK4" i="7"/>
  <c r="QAL4" i="7"/>
  <c r="QAM4" i="7"/>
  <c r="QAN4" i="7"/>
  <c r="QAO4" i="7"/>
  <c r="QAP4" i="7"/>
  <c r="QAQ4" i="7"/>
  <c r="QAR4" i="7"/>
  <c r="QAS4" i="7"/>
  <c r="QAT4" i="7"/>
  <c r="QAU4" i="7"/>
  <c r="QAV4" i="7"/>
  <c r="QAW4" i="7"/>
  <c r="QAX4" i="7"/>
  <c r="QAY4" i="7"/>
  <c r="QAZ4" i="7"/>
  <c r="QBA4" i="7"/>
  <c r="QBB4" i="7"/>
  <c r="QBC4" i="7"/>
  <c r="QBD4" i="7"/>
  <c r="QBE4" i="7"/>
  <c r="QBF4" i="7"/>
  <c r="QBG4" i="7"/>
  <c r="QBH4" i="7"/>
  <c r="QBI4" i="7"/>
  <c r="QBJ4" i="7"/>
  <c r="QBK4" i="7"/>
  <c r="QBL4" i="7"/>
  <c r="QBM4" i="7"/>
  <c r="QBN4" i="7"/>
  <c r="QBO4" i="7"/>
  <c r="QBP4" i="7"/>
  <c r="QBQ4" i="7"/>
  <c r="QBR4" i="7"/>
  <c r="QBS4" i="7"/>
  <c r="QBT4" i="7"/>
  <c r="QBU4" i="7"/>
  <c r="QBV4" i="7"/>
  <c r="QBW4" i="7"/>
  <c r="QBX4" i="7"/>
  <c r="QBY4" i="7"/>
  <c r="QBZ4" i="7"/>
  <c r="QCA4" i="7"/>
  <c r="QCB4" i="7"/>
  <c r="QCC4" i="7"/>
  <c r="QCD4" i="7"/>
  <c r="QCE4" i="7"/>
  <c r="QCF4" i="7"/>
  <c r="QCG4" i="7"/>
  <c r="QCH4" i="7"/>
  <c r="QCI4" i="7"/>
  <c r="QCJ4" i="7"/>
  <c r="QCK4" i="7"/>
  <c r="QCL4" i="7"/>
  <c r="QCM4" i="7"/>
  <c r="QCN4" i="7"/>
  <c r="QCO4" i="7"/>
  <c r="QCP4" i="7"/>
  <c r="QCQ4" i="7"/>
  <c r="QCR4" i="7"/>
  <c r="QCS4" i="7"/>
  <c r="QCT4" i="7"/>
  <c r="QCU4" i="7"/>
  <c r="QCV4" i="7"/>
  <c r="QCW4" i="7"/>
  <c r="QCX4" i="7"/>
  <c r="QCY4" i="7"/>
  <c r="QCZ4" i="7"/>
  <c r="QDA4" i="7"/>
  <c r="QDB4" i="7"/>
  <c r="QDC4" i="7"/>
  <c r="QDD4" i="7"/>
  <c r="QDE4" i="7"/>
  <c r="QDF4" i="7"/>
  <c r="QDG4" i="7"/>
  <c r="QDH4" i="7"/>
  <c r="QDI4" i="7"/>
  <c r="QDJ4" i="7"/>
  <c r="QDK4" i="7"/>
  <c r="QDL4" i="7"/>
  <c r="QDM4" i="7"/>
  <c r="QDN4" i="7"/>
  <c r="QDO4" i="7"/>
  <c r="QDP4" i="7"/>
  <c r="QDQ4" i="7"/>
  <c r="QDR4" i="7"/>
  <c r="QDS4" i="7"/>
  <c r="QDT4" i="7"/>
  <c r="QDU4" i="7"/>
  <c r="QDV4" i="7"/>
  <c r="QDW4" i="7"/>
  <c r="QDX4" i="7"/>
  <c r="QDY4" i="7"/>
  <c r="QDZ4" i="7"/>
  <c r="QEA4" i="7"/>
  <c r="QEB4" i="7"/>
  <c r="QEC4" i="7"/>
  <c r="QED4" i="7"/>
  <c r="QEE4" i="7"/>
  <c r="QEF4" i="7"/>
  <c r="QEG4" i="7"/>
  <c r="QEH4" i="7"/>
  <c r="QEI4" i="7"/>
  <c r="QEJ4" i="7"/>
  <c r="QEK4" i="7"/>
  <c r="QEL4" i="7"/>
  <c r="QEM4" i="7"/>
  <c r="QEN4" i="7"/>
  <c r="QEO4" i="7"/>
  <c r="QEP4" i="7"/>
  <c r="QEQ4" i="7"/>
  <c r="QER4" i="7"/>
  <c r="QES4" i="7"/>
  <c r="QET4" i="7"/>
  <c r="QEU4" i="7"/>
  <c r="QEV4" i="7"/>
  <c r="QEW4" i="7"/>
  <c r="QEX4" i="7"/>
  <c r="QEY4" i="7"/>
  <c r="QEZ4" i="7"/>
  <c r="QFA4" i="7"/>
  <c r="QFB4" i="7"/>
  <c r="QFC4" i="7"/>
  <c r="QFD4" i="7"/>
  <c r="QFE4" i="7"/>
  <c r="QFF4" i="7"/>
  <c r="QFG4" i="7"/>
  <c r="QFH4" i="7"/>
  <c r="QFI4" i="7"/>
  <c r="QFJ4" i="7"/>
  <c r="QFK4" i="7"/>
  <c r="QFL4" i="7"/>
  <c r="QFM4" i="7"/>
  <c r="QFN4" i="7"/>
  <c r="QFO4" i="7"/>
  <c r="QFP4" i="7"/>
  <c r="QFQ4" i="7"/>
  <c r="QFR4" i="7"/>
  <c r="QFS4" i="7"/>
  <c r="QFT4" i="7"/>
  <c r="QFU4" i="7"/>
  <c r="QFV4" i="7"/>
  <c r="QFW4" i="7"/>
  <c r="QFX4" i="7"/>
  <c r="QFY4" i="7"/>
  <c r="QFZ4" i="7"/>
  <c r="QGA4" i="7"/>
  <c r="QGB4" i="7"/>
  <c r="QGC4" i="7"/>
  <c r="QGD4" i="7"/>
  <c r="QGE4" i="7"/>
  <c r="QGF4" i="7"/>
  <c r="QGG4" i="7"/>
  <c r="QGH4" i="7"/>
  <c r="QGI4" i="7"/>
  <c r="QGJ4" i="7"/>
  <c r="QGK4" i="7"/>
  <c r="QGL4" i="7"/>
  <c r="QGM4" i="7"/>
  <c r="QGN4" i="7"/>
  <c r="QGO4" i="7"/>
  <c r="QGP4" i="7"/>
  <c r="QGQ4" i="7"/>
  <c r="QGR4" i="7"/>
  <c r="QGS4" i="7"/>
  <c r="QGT4" i="7"/>
  <c r="QGU4" i="7"/>
  <c r="QGV4" i="7"/>
  <c r="QGW4" i="7"/>
  <c r="QGX4" i="7"/>
  <c r="QGY4" i="7"/>
  <c r="QGZ4" i="7"/>
  <c r="QHA4" i="7"/>
  <c r="QHB4" i="7"/>
  <c r="QHC4" i="7"/>
  <c r="QHD4" i="7"/>
  <c r="QHE4" i="7"/>
  <c r="QHF4" i="7"/>
  <c r="QHG4" i="7"/>
  <c r="QHH4" i="7"/>
  <c r="QHI4" i="7"/>
  <c r="QHJ4" i="7"/>
  <c r="QHK4" i="7"/>
  <c r="QHL4" i="7"/>
  <c r="QHM4" i="7"/>
  <c r="QHN4" i="7"/>
  <c r="QHO4" i="7"/>
  <c r="QHP4" i="7"/>
  <c r="QHQ4" i="7"/>
  <c r="QHR4" i="7"/>
  <c r="QHS4" i="7"/>
  <c r="QHT4" i="7"/>
  <c r="QHU4" i="7"/>
  <c r="QHV4" i="7"/>
  <c r="QHW4" i="7"/>
  <c r="QHX4" i="7"/>
  <c r="QHY4" i="7"/>
  <c r="QHZ4" i="7"/>
  <c r="QIA4" i="7"/>
  <c r="QIB4" i="7"/>
  <c r="QIC4" i="7"/>
  <c r="QID4" i="7"/>
  <c r="QIE4" i="7"/>
  <c r="QIF4" i="7"/>
  <c r="QIG4" i="7"/>
  <c r="QIH4" i="7"/>
  <c r="QII4" i="7"/>
  <c r="QIJ4" i="7"/>
  <c r="QIK4" i="7"/>
  <c r="QIL4" i="7"/>
  <c r="QIM4" i="7"/>
  <c r="QIN4" i="7"/>
  <c r="QIO4" i="7"/>
  <c r="QIP4" i="7"/>
  <c r="QIQ4" i="7"/>
  <c r="QIR4" i="7"/>
  <c r="QIS4" i="7"/>
  <c r="QIT4" i="7"/>
  <c r="QIU4" i="7"/>
  <c r="QIV4" i="7"/>
  <c r="QIW4" i="7"/>
  <c r="QIX4" i="7"/>
  <c r="QIY4" i="7"/>
  <c r="QIZ4" i="7"/>
  <c r="QJA4" i="7"/>
  <c r="QJB4" i="7"/>
  <c r="QJC4" i="7"/>
  <c r="QJD4" i="7"/>
  <c r="QJE4" i="7"/>
  <c r="QJF4" i="7"/>
  <c r="QJG4" i="7"/>
  <c r="QJH4" i="7"/>
  <c r="QJI4" i="7"/>
  <c r="QJJ4" i="7"/>
  <c r="QJK4" i="7"/>
  <c r="QJL4" i="7"/>
  <c r="QJM4" i="7"/>
  <c r="QJN4" i="7"/>
  <c r="QJO4" i="7"/>
  <c r="QJP4" i="7"/>
  <c r="QJQ4" i="7"/>
  <c r="QJR4" i="7"/>
  <c r="QJS4" i="7"/>
  <c r="QJT4" i="7"/>
  <c r="QJU4" i="7"/>
  <c r="QJV4" i="7"/>
  <c r="QJW4" i="7"/>
  <c r="QJX4" i="7"/>
  <c r="QJY4" i="7"/>
  <c r="QJZ4" i="7"/>
  <c r="QKA4" i="7"/>
  <c r="QKB4" i="7"/>
  <c r="QKC4" i="7"/>
  <c r="QKD4" i="7"/>
  <c r="QKE4" i="7"/>
  <c r="QKF4" i="7"/>
  <c r="QKG4" i="7"/>
  <c r="QKH4" i="7"/>
  <c r="QKI4" i="7"/>
  <c r="QKJ4" i="7"/>
  <c r="QKK4" i="7"/>
  <c r="QKL4" i="7"/>
  <c r="QKM4" i="7"/>
  <c r="QKN4" i="7"/>
  <c r="QKO4" i="7"/>
  <c r="QKP4" i="7"/>
  <c r="QKQ4" i="7"/>
  <c r="QKR4" i="7"/>
  <c r="QKS4" i="7"/>
  <c r="QKT4" i="7"/>
  <c r="QKU4" i="7"/>
  <c r="QKV4" i="7"/>
  <c r="QKW4" i="7"/>
  <c r="QKX4" i="7"/>
  <c r="QKY4" i="7"/>
  <c r="QKZ4" i="7"/>
  <c r="QLA4" i="7"/>
  <c r="QLB4" i="7"/>
  <c r="QLC4" i="7"/>
  <c r="QLD4" i="7"/>
  <c r="QLE4" i="7"/>
  <c r="QLF4" i="7"/>
  <c r="QLG4" i="7"/>
  <c r="QLH4" i="7"/>
  <c r="QLI4" i="7"/>
  <c r="QLJ4" i="7"/>
  <c r="QLK4" i="7"/>
  <c r="QLL4" i="7"/>
  <c r="QLM4" i="7"/>
  <c r="QLN4" i="7"/>
  <c r="QLO4" i="7"/>
  <c r="QLP4" i="7"/>
  <c r="QLQ4" i="7"/>
  <c r="QLR4" i="7"/>
  <c r="QLS4" i="7"/>
  <c r="QLT4" i="7"/>
  <c r="QLU4" i="7"/>
  <c r="QLV4" i="7"/>
  <c r="QLW4" i="7"/>
  <c r="QLX4" i="7"/>
  <c r="QLY4" i="7"/>
  <c r="QLZ4" i="7"/>
  <c r="QMA4" i="7"/>
  <c r="QMB4" i="7"/>
  <c r="QMC4" i="7"/>
  <c r="QMD4" i="7"/>
  <c r="QME4" i="7"/>
  <c r="QMF4" i="7"/>
  <c r="QMG4" i="7"/>
  <c r="QMH4" i="7"/>
  <c r="QMI4" i="7"/>
  <c r="QMJ4" i="7"/>
  <c r="QMK4" i="7"/>
  <c r="QML4" i="7"/>
  <c r="QMM4" i="7"/>
  <c r="QMN4" i="7"/>
  <c r="QMO4" i="7"/>
  <c r="QMP4" i="7"/>
  <c r="QMQ4" i="7"/>
  <c r="QMR4" i="7"/>
  <c r="QMS4" i="7"/>
  <c r="QMT4" i="7"/>
  <c r="QMU4" i="7"/>
  <c r="QMV4" i="7"/>
  <c r="QMW4" i="7"/>
  <c r="QMX4" i="7"/>
  <c r="QMY4" i="7"/>
  <c r="QMZ4" i="7"/>
  <c r="QNA4" i="7"/>
  <c r="QNB4" i="7"/>
  <c r="QNC4" i="7"/>
  <c r="QND4" i="7"/>
  <c r="QNE4" i="7"/>
  <c r="QNF4" i="7"/>
  <c r="QNG4" i="7"/>
  <c r="QNH4" i="7"/>
  <c r="QNI4" i="7"/>
  <c r="QNJ4" i="7"/>
  <c r="QNK4" i="7"/>
  <c r="QNL4" i="7"/>
  <c r="QNM4" i="7"/>
  <c r="QNN4" i="7"/>
  <c r="QNO4" i="7"/>
  <c r="QNP4" i="7"/>
  <c r="QNQ4" i="7"/>
  <c r="QNR4" i="7"/>
  <c r="QNS4" i="7"/>
  <c r="QNT4" i="7"/>
  <c r="QNU4" i="7"/>
  <c r="QNV4" i="7"/>
  <c r="QNW4" i="7"/>
  <c r="QNX4" i="7"/>
  <c r="QNY4" i="7"/>
  <c r="QNZ4" i="7"/>
  <c r="QOA4" i="7"/>
  <c r="QOB4" i="7"/>
  <c r="QOC4" i="7"/>
  <c r="QOD4" i="7"/>
  <c r="QOE4" i="7"/>
  <c r="QOF4" i="7"/>
  <c r="QOG4" i="7"/>
  <c r="QOH4" i="7"/>
  <c r="QOI4" i="7"/>
  <c r="QOJ4" i="7"/>
  <c r="QOK4" i="7"/>
  <c r="QOL4" i="7"/>
  <c r="QOM4" i="7"/>
  <c r="QON4" i="7"/>
  <c r="QOO4" i="7"/>
  <c r="QOP4" i="7"/>
  <c r="QOQ4" i="7"/>
  <c r="QOR4" i="7"/>
  <c r="QOS4" i="7"/>
  <c r="QOT4" i="7"/>
  <c r="QOU4" i="7"/>
  <c r="QOV4" i="7"/>
  <c r="QOW4" i="7"/>
  <c r="QOX4" i="7"/>
  <c r="QOY4" i="7"/>
  <c r="QOZ4" i="7"/>
  <c r="QPA4" i="7"/>
  <c r="QPB4" i="7"/>
  <c r="QPC4" i="7"/>
  <c r="QPD4" i="7"/>
  <c r="QPE4" i="7"/>
  <c r="QPF4" i="7"/>
  <c r="QPG4" i="7"/>
  <c r="QPH4" i="7"/>
  <c r="QPI4" i="7"/>
  <c r="QPJ4" i="7"/>
  <c r="QPK4" i="7"/>
  <c r="QPL4" i="7"/>
  <c r="QPM4" i="7"/>
  <c r="QPN4" i="7"/>
  <c r="QPO4" i="7"/>
  <c r="QPP4" i="7"/>
  <c r="QPQ4" i="7"/>
  <c r="QPR4" i="7"/>
  <c r="QPS4" i="7"/>
  <c r="QPT4" i="7"/>
  <c r="QPU4" i="7"/>
  <c r="QPV4" i="7"/>
  <c r="QPW4" i="7"/>
  <c r="QPX4" i="7"/>
  <c r="QPY4" i="7"/>
  <c r="QPZ4" i="7"/>
  <c r="QQA4" i="7"/>
  <c r="QQB4" i="7"/>
  <c r="QQC4" i="7"/>
  <c r="QQD4" i="7"/>
  <c r="QQE4" i="7"/>
  <c r="QQF4" i="7"/>
  <c r="QQG4" i="7"/>
  <c r="QQH4" i="7"/>
  <c r="QQI4" i="7"/>
  <c r="QQJ4" i="7"/>
  <c r="QQK4" i="7"/>
  <c r="QQL4" i="7"/>
  <c r="QQM4" i="7"/>
  <c r="QQN4" i="7"/>
  <c r="QQO4" i="7"/>
  <c r="QQP4" i="7"/>
  <c r="QQQ4" i="7"/>
  <c r="QQR4" i="7"/>
  <c r="QQS4" i="7"/>
  <c r="QQT4" i="7"/>
  <c r="QQU4" i="7"/>
  <c r="QQV4" i="7"/>
  <c r="QQW4" i="7"/>
  <c r="QQX4" i="7"/>
  <c r="QQY4" i="7"/>
  <c r="QQZ4" i="7"/>
  <c r="QRA4" i="7"/>
  <c r="QRB4" i="7"/>
  <c r="QRC4" i="7"/>
  <c r="QRD4" i="7"/>
  <c r="QRE4" i="7"/>
  <c r="QRF4" i="7"/>
  <c r="QRG4" i="7"/>
  <c r="QRH4" i="7"/>
  <c r="QRI4" i="7"/>
  <c r="QRJ4" i="7"/>
  <c r="QRK4" i="7"/>
  <c r="QRL4" i="7"/>
  <c r="QRM4" i="7"/>
  <c r="QRN4" i="7"/>
  <c r="QRO4" i="7"/>
  <c r="QRP4" i="7"/>
  <c r="QRQ4" i="7"/>
  <c r="QRR4" i="7"/>
  <c r="QRS4" i="7"/>
  <c r="QRT4" i="7"/>
  <c r="QRU4" i="7"/>
  <c r="QRV4" i="7"/>
  <c r="QRW4" i="7"/>
  <c r="QRX4" i="7"/>
  <c r="QRY4" i="7"/>
  <c r="QRZ4" i="7"/>
  <c r="QSA4" i="7"/>
  <c r="QSB4" i="7"/>
  <c r="QSC4" i="7"/>
  <c r="QSD4" i="7"/>
  <c r="QSE4" i="7"/>
  <c r="QSF4" i="7"/>
  <c r="QSG4" i="7"/>
  <c r="QSH4" i="7"/>
  <c r="QSI4" i="7"/>
  <c r="QSJ4" i="7"/>
  <c r="QSK4" i="7"/>
  <c r="QSL4" i="7"/>
  <c r="QSM4" i="7"/>
  <c r="QSN4" i="7"/>
  <c r="QSO4" i="7"/>
  <c r="QSP4" i="7"/>
  <c r="QSQ4" i="7"/>
  <c r="QSR4" i="7"/>
  <c r="QSS4" i="7"/>
  <c r="QST4" i="7"/>
  <c r="QSU4" i="7"/>
  <c r="QSV4" i="7"/>
  <c r="QSW4" i="7"/>
  <c r="QSX4" i="7"/>
  <c r="QSY4" i="7"/>
  <c r="QSZ4" i="7"/>
  <c r="QTA4" i="7"/>
  <c r="QTB4" i="7"/>
  <c r="QTC4" i="7"/>
  <c r="QTD4" i="7"/>
  <c r="QTE4" i="7"/>
  <c r="QTF4" i="7"/>
  <c r="QTG4" i="7"/>
  <c r="QTH4" i="7"/>
  <c r="QTI4" i="7"/>
  <c r="QTJ4" i="7"/>
  <c r="QTK4" i="7"/>
  <c r="QTL4" i="7"/>
  <c r="QTM4" i="7"/>
  <c r="QTN4" i="7"/>
  <c r="QTO4" i="7"/>
  <c r="QTP4" i="7"/>
  <c r="QTQ4" i="7"/>
  <c r="QTR4" i="7"/>
  <c r="QTS4" i="7"/>
  <c r="QTT4" i="7"/>
  <c r="QTU4" i="7"/>
  <c r="QTV4" i="7"/>
  <c r="QTW4" i="7"/>
  <c r="QTX4" i="7"/>
  <c r="QTY4" i="7"/>
  <c r="QTZ4" i="7"/>
  <c r="QUA4" i="7"/>
  <c r="QUB4" i="7"/>
  <c r="QUC4" i="7"/>
  <c r="QUD4" i="7"/>
  <c r="QUE4" i="7"/>
  <c r="QUF4" i="7"/>
  <c r="QUG4" i="7"/>
  <c r="QUH4" i="7"/>
  <c r="QUI4" i="7"/>
  <c r="QUJ4" i="7"/>
  <c r="QUK4" i="7"/>
  <c r="QUL4" i="7"/>
  <c r="QUM4" i="7"/>
  <c r="QUN4" i="7"/>
  <c r="QUO4" i="7"/>
  <c r="QUP4" i="7"/>
  <c r="QUQ4" i="7"/>
  <c r="QUR4" i="7"/>
  <c r="QUS4" i="7"/>
  <c r="QUT4" i="7"/>
  <c r="QUU4" i="7"/>
  <c r="QUV4" i="7"/>
  <c r="QUW4" i="7"/>
  <c r="QUX4" i="7"/>
  <c r="QUY4" i="7"/>
  <c r="QUZ4" i="7"/>
  <c r="QVA4" i="7"/>
  <c r="QVB4" i="7"/>
  <c r="QVC4" i="7"/>
  <c r="QVD4" i="7"/>
  <c r="QVE4" i="7"/>
  <c r="QVF4" i="7"/>
  <c r="QVG4" i="7"/>
  <c r="QVH4" i="7"/>
  <c r="QVI4" i="7"/>
  <c r="QVJ4" i="7"/>
  <c r="QVK4" i="7"/>
  <c r="QVL4" i="7"/>
  <c r="QVM4" i="7"/>
  <c r="QVN4" i="7"/>
  <c r="QVO4" i="7"/>
  <c r="QVP4" i="7"/>
  <c r="QVQ4" i="7"/>
  <c r="QVR4" i="7"/>
  <c r="QVS4" i="7"/>
  <c r="QVT4" i="7"/>
  <c r="QVU4" i="7"/>
  <c r="QVV4" i="7"/>
  <c r="QVW4" i="7"/>
  <c r="QVX4" i="7"/>
  <c r="QVY4" i="7"/>
  <c r="QVZ4" i="7"/>
  <c r="QWA4" i="7"/>
  <c r="QWB4" i="7"/>
  <c r="QWC4" i="7"/>
  <c r="QWD4" i="7"/>
  <c r="QWE4" i="7"/>
  <c r="QWF4" i="7"/>
  <c r="QWG4" i="7"/>
  <c r="QWH4" i="7"/>
  <c r="QWI4" i="7"/>
  <c r="QWJ4" i="7"/>
  <c r="QWK4" i="7"/>
  <c r="QWL4" i="7"/>
  <c r="QWM4" i="7"/>
  <c r="QWN4" i="7"/>
  <c r="QWO4" i="7"/>
  <c r="QWP4" i="7"/>
  <c r="QWQ4" i="7"/>
  <c r="QWR4" i="7"/>
  <c r="QWS4" i="7"/>
  <c r="QWT4" i="7"/>
  <c r="QWU4" i="7"/>
  <c r="QWV4" i="7"/>
  <c r="QWW4" i="7"/>
  <c r="QWX4" i="7"/>
  <c r="QWY4" i="7"/>
  <c r="QWZ4" i="7"/>
  <c r="QXA4" i="7"/>
  <c r="QXB4" i="7"/>
  <c r="QXC4" i="7"/>
  <c r="QXD4" i="7"/>
  <c r="QXE4" i="7"/>
  <c r="QXF4" i="7"/>
  <c r="QXG4" i="7"/>
  <c r="QXH4" i="7"/>
  <c r="QXI4" i="7"/>
  <c r="QXJ4" i="7"/>
  <c r="QXK4" i="7"/>
  <c r="QXL4" i="7"/>
  <c r="QXM4" i="7"/>
  <c r="QXN4" i="7"/>
  <c r="QXO4" i="7"/>
  <c r="QXP4" i="7"/>
  <c r="QXQ4" i="7"/>
  <c r="QXR4" i="7"/>
  <c r="QXS4" i="7"/>
  <c r="QXT4" i="7"/>
  <c r="QXU4" i="7"/>
  <c r="QXV4" i="7"/>
  <c r="QXW4" i="7"/>
  <c r="QXX4" i="7"/>
  <c r="QXY4" i="7"/>
  <c r="QXZ4" i="7"/>
  <c r="QYA4" i="7"/>
  <c r="QYB4" i="7"/>
  <c r="QYC4" i="7"/>
  <c r="QYD4" i="7"/>
  <c r="QYE4" i="7"/>
  <c r="QYF4" i="7"/>
  <c r="QYG4" i="7"/>
  <c r="QYH4" i="7"/>
  <c r="QYI4" i="7"/>
  <c r="QYJ4" i="7"/>
  <c r="QYK4" i="7"/>
  <c r="QYL4" i="7"/>
  <c r="QYM4" i="7"/>
  <c r="QYN4" i="7"/>
  <c r="QYO4" i="7"/>
  <c r="QYP4" i="7"/>
  <c r="QYQ4" i="7"/>
  <c r="QYR4" i="7"/>
  <c r="QYS4" i="7"/>
  <c r="QYT4" i="7"/>
  <c r="QYU4" i="7"/>
  <c r="QYV4" i="7"/>
  <c r="QYW4" i="7"/>
  <c r="QYX4" i="7"/>
  <c r="QYY4" i="7"/>
  <c r="QYZ4" i="7"/>
  <c r="QZA4" i="7"/>
  <c r="QZB4" i="7"/>
  <c r="QZC4" i="7"/>
  <c r="QZD4" i="7"/>
  <c r="QZE4" i="7"/>
  <c r="QZF4" i="7"/>
  <c r="QZG4" i="7"/>
  <c r="QZH4" i="7"/>
  <c r="QZI4" i="7"/>
  <c r="QZJ4" i="7"/>
  <c r="QZK4" i="7"/>
  <c r="QZL4" i="7"/>
  <c r="QZM4" i="7"/>
  <c r="QZN4" i="7"/>
  <c r="QZO4" i="7"/>
  <c r="QZP4" i="7"/>
  <c r="QZQ4" i="7"/>
  <c r="QZR4" i="7"/>
  <c r="QZS4" i="7"/>
  <c r="QZT4" i="7"/>
  <c r="QZU4" i="7"/>
  <c r="QZV4" i="7"/>
  <c r="QZW4" i="7"/>
  <c r="QZX4" i="7"/>
  <c r="QZY4" i="7"/>
  <c r="QZZ4" i="7"/>
  <c r="RAA4" i="7"/>
  <c r="RAB4" i="7"/>
  <c r="RAC4" i="7"/>
  <c r="RAD4" i="7"/>
  <c r="RAE4" i="7"/>
  <c r="RAF4" i="7"/>
  <c r="RAG4" i="7"/>
  <c r="RAH4" i="7"/>
  <c r="RAI4" i="7"/>
  <c r="RAJ4" i="7"/>
  <c r="RAK4" i="7"/>
  <c r="RAL4" i="7"/>
  <c r="RAM4" i="7"/>
  <c r="RAN4" i="7"/>
  <c r="RAO4" i="7"/>
  <c r="RAP4" i="7"/>
  <c r="RAQ4" i="7"/>
  <c r="RAR4" i="7"/>
  <c r="RAS4" i="7"/>
  <c r="RAT4" i="7"/>
  <c r="RAU4" i="7"/>
  <c r="RAV4" i="7"/>
  <c r="RAW4" i="7"/>
  <c r="RAX4" i="7"/>
  <c r="RAY4" i="7"/>
  <c r="RAZ4" i="7"/>
  <c r="RBA4" i="7"/>
  <c r="RBB4" i="7"/>
  <c r="RBC4" i="7"/>
  <c r="RBD4" i="7"/>
  <c r="RBE4" i="7"/>
  <c r="RBF4" i="7"/>
  <c r="RBG4" i="7"/>
  <c r="RBH4" i="7"/>
  <c r="RBI4" i="7"/>
  <c r="RBJ4" i="7"/>
  <c r="RBK4" i="7"/>
  <c r="RBL4" i="7"/>
  <c r="RBM4" i="7"/>
  <c r="RBN4" i="7"/>
  <c r="RBO4" i="7"/>
  <c r="RBP4" i="7"/>
  <c r="RBQ4" i="7"/>
  <c r="RBR4" i="7"/>
  <c r="RBS4" i="7"/>
  <c r="RBT4" i="7"/>
  <c r="RBU4" i="7"/>
  <c r="RBV4" i="7"/>
  <c r="RBW4" i="7"/>
  <c r="RBX4" i="7"/>
  <c r="RBY4" i="7"/>
  <c r="RBZ4" i="7"/>
  <c r="RCA4" i="7"/>
  <c r="RCB4" i="7"/>
  <c r="RCC4" i="7"/>
  <c r="RCD4" i="7"/>
  <c r="RCE4" i="7"/>
  <c r="RCF4" i="7"/>
  <c r="RCG4" i="7"/>
  <c r="RCH4" i="7"/>
  <c r="RCI4" i="7"/>
  <c r="RCJ4" i="7"/>
  <c r="RCK4" i="7"/>
  <c r="RCL4" i="7"/>
  <c r="RCM4" i="7"/>
  <c r="RCN4" i="7"/>
  <c r="RCO4" i="7"/>
  <c r="RCP4" i="7"/>
  <c r="RCQ4" i="7"/>
  <c r="RCR4" i="7"/>
  <c r="RCS4" i="7"/>
  <c r="RCT4" i="7"/>
  <c r="RCU4" i="7"/>
  <c r="RCV4" i="7"/>
  <c r="RCW4" i="7"/>
  <c r="RCX4" i="7"/>
  <c r="RCY4" i="7"/>
  <c r="RCZ4" i="7"/>
  <c r="RDA4" i="7"/>
  <c r="RDB4" i="7"/>
  <c r="RDC4" i="7"/>
  <c r="RDD4" i="7"/>
  <c r="RDE4" i="7"/>
  <c r="RDF4" i="7"/>
  <c r="RDG4" i="7"/>
  <c r="RDH4" i="7"/>
  <c r="RDI4" i="7"/>
  <c r="RDJ4" i="7"/>
  <c r="RDK4" i="7"/>
  <c r="RDL4" i="7"/>
  <c r="RDM4" i="7"/>
  <c r="RDN4" i="7"/>
  <c r="RDO4" i="7"/>
  <c r="RDP4" i="7"/>
  <c r="RDQ4" i="7"/>
  <c r="RDR4" i="7"/>
  <c r="RDS4" i="7"/>
  <c r="RDT4" i="7"/>
  <c r="RDU4" i="7"/>
  <c r="RDV4" i="7"/>
  <c r="RDW4" i="7"/>
  <c r="RDX4" i="7"/>
  <c r="RDY4" i="7"/>
  <c r="RDZ4" i="7"/>
  <c r="REA4" i="7"/>
  <c r="REB4" i="7"/>
  <c r="REC4" i="7"/>
  <c r="RED4" i="7"/>
  <c r="REE4" i="7"/>
  <c r="REF4" i="7"/>
  <c r="REG4" i="7"/>
  <c r="REH4" i="7"/>
  <c r="REI4" i="7"/>
  <c r="REJ4" i="7"/>
  <c r="REK4" i="7"/>
  <c r="REL4" i="7"/>
  <c r="REM4" i="7"/>
  <c r="REN4" i="7"/>
  <c r="REO4" i="7"/>
  <c r="REP4" i="7"/>
  <c r="REQ4" i="7"/>
  <c r="RER4" i="7"/>
  <c r="RES4" i="7"/>
  <c r="RET4" i="7"/>
  <c r="REU4" i="7"/>
  <c r="REV4" i="7"/>
  <c r="REW4" i="7"/>
  <c r="REX4" i="7"/>
  <c r="REY4" i="7"/>
  <c r="REZ4" i="7"/>
  <c r="RFA4" i="7"/>
  <c r="RFB4" i="7"/>
  <c r="RFC4" i="7"/>
  <c r="RFD4" i="7"/>
  <c r="RFE4" i="7"/>
  <c r="RFF4" i="7"/>
  <c r="RFG4" i="7"/>
  <c r="RFH4" i="7"/>
  <c r="RFI4" i="7"/>
  <c r="RFJ4" i="7"/>
  <c r="RFK4" i="7"/>
  <c r="RFL4" i="7"/>
  <c r="RFM4" i="7"/>
  <c r="RFN4" i="7"/>
  <c r="RFO4" i="7"/>
  <c r="RFP4" i="7"/>
  <c r="RFQ4" i="7"/>
  <c r="RFR4" i="7"/>
  <c r="RFS4" i="7"/>
  <c r="RFT4" i="7"/>
  <c r="RFU4" i="7"/>
  <c r="RFV4" i="7"/>
  <c r="RFW4" i="7"/>
  <c r="RFX4" i="7"/>
  <c r="RFY4" i="7"/>
  <c r="RFZ4" i="7"/>
  <c r="RGA4" i="7"/>
  <c r="RGB4" i="7"/>
  <c r="RGC4" i="7"/>
  <c r="RGD4" i="7"/>
  <c r="RGE4" i="7"/>
  <c r="RGF4" i="7"/>
  <c r="RGG4" i="7"/>
  <c r="RGH4" i="7"/>
  <c r="RGI4" i="7"/>
  <c r="RGJ4" i="7"/>
  <c r="RGK4" i="7"/>
  <c r="RGL4" i="7"/>
  <c r="RGM4" i="7"/>
  <c r="RGN4" i="7"/>
  <c r="RGO4" i="7"/>
  <c r="RGP4" i="7"/>
  <c r="RGQ4" i="7"/>
  <c r="RGR4" i="7"/>
  <c r="RGS4" i="7"/>
  <c r="RGT4" i="7"/>
  <c r="RGU4" i="7"/>
  <c r="RGV4" i="7"/>
  <c r="RGW4" i="7"/>
  <c r="RGX4" i="7"/>
  <c r="RGY4" i="7"/>
  <c r="RGZ4" i="7"/>
  <c r="RHA4" i="7"/>
  <c r="RHB4" i="7"/>
  <c r="RHC4" i="7"/>
  <c r="RHD4" i="7"/>
  <c r="RHE4" i="7"/>
  <c r="RHF4" i="7"/>
  <c r="RHG4" i="7"/>
  <c r="RHH4" i="7"/>
  <c r="RHI4" i="7"/>
  <c r="RHJ4" i="7"/>
  <c r="RHK4" i="7"/>
  <c r="RHL4" i="7"/>
  <c r="RHM4" i="7"/>
  <c r="RHN4" i="7"/>
  <c r="RHO4" i="7"/>
  <c r="RHP4" i="7"/>
  <c r="RHQ4" i="7"/>
  <c r="RHR4" i="7"/>
  <c r="RHS4" i="7"/>
  <c r="RHT4" i="7"/>
  <c r="RHU4" i="7"/>
  <c r="RHV4" i="7"/>
  <c r="RHW4" i="7"/>
  <c r="RHX4" i="7"/>
  <c r="RHY4" i="7"/>
  <c r="RHZ4" i="7"/>
  <c r="RIA4" i="7"/>
  <c r="RIB4" i="7"/>
  <c r="RIC4" i="7"/>
  <c r="RID4" i="7"/>
  <c r="RIE4" i="7"/>
  <c r="RIF4" i="7"/>
  <c r="RIG4" i="7"/>
  <c r="RIH4" i="7"/>
  <c r="RII4" i="7"/>
  <c r="RIJ4" i="7"/>
  <c r="RIK4" i="7"/>
  <c r="RIL4" i="7"/>
  <c r="RIM4" i="7"/>
  <c r="RIN4" i="7"/>
  <c r="RIO4" i="7"/>
  <c r="RIP4" i="7"/>
  <c r="RIQ4" i="7"/>
  <c r="RIR4" i="7"/>
  <c r="RIS4" i="7"/>
  <c r="RIT4" i="7"/>
  <c r="RIU4" i="7"/>
  <c r="RIV4" i="7"/>
  <c r="RIW4" i="7"/>
  <c r="RIX4" i="7"/>
  <c r="RIY4" i="7"/>
  <c r="RIZ4" i="7"/>
  <c r="RJA4" i="7"/>
  <c r="RJB4" i="7"/>
  <c r="RJC4" i="7"/>
  <c r="RJD4" i="7"/>
  <c r="RJE4" i="7"/>
  <c r="RJF4" i="7"/>
  <c r="RJG4" i="7"/>
  <c r="RJH4" i="7"/>
  <c r="RJI4" i="7"/>
  <c r="RJJ4" i="7"/>
  <c r="RJK4" i="7"/>
  <c r="RJL4" i="7"/>
  <c r="RJM4" i="7"/>
  <c r="RJN4" i="7"/>
  <c r="RJO4" i="7"/>
  <c r="RJP4" i="7"/>
  <c r="RJQ4" i="7"/>
  <c r="RJR4" i="7"/>
  <c r="RJS4" i="7"/>
  <c r="RJT4" i="7"/>
  <c r="RJU4" i="7"/>
  <c r="RJV4" i="7"/>
  <c r="RJW4" i="7"/>
  <c r="RJX4" i="7"/>
  <c r="RJY4" i="7"/>
  <c r="RJZ4" i="7"/>
  <c r="RKA4" i="7"/>
  <c r="RKB4" i="7"/>
  <c r="RKC4" i="7"/>
  <c r="RKD4" i="7"/>
  <c r="RKE4" i="7"/>
  <c r="RKF4" i="7"/>
  <c r="RKG4" i="7"/>
  <c r="RKH4" i="7"/>
  <c r="RKI4" i="7"/>
  <c r="RKJ4" i="7"/>
  <c r="RKK4" i="7"/>
  <c r="RKL4" i="7"/>
  <c r="RKM4" i="7"/>
  <c r="RKN4" i="7"/>
  <c r="RKO4" i="7"/>
  <c r="RKP4" i="7"/>
  <c r="RKQ4" i="7"/>
  <c r="RKR4" i="7"/>
  <c r="RKS4" i="7"/>
  <c r="RKT4" i="7"/>
  <c r="RKU4" i="7"/>
  <c r="RKV4" i="7"/>
  <c r="RKW4" i="7"/>
  <c r="RKX4" i="7"/>
  <c r="RKY4" i="7"/>
  <c r="RKZ4" i="7"/>
  <c r="RLA4" i="7"/>
  <c r="RLB4" i="7"/>
  <c r="RLC4" i="7"/>
  <c r="RLD4" i="7"/>
  <c r="RLE4" i="7"/>
  <c r="RLF4" i="7"/>
  <c r="RLG4" i="7"/>
  <c r="RLH4" i="7"/>
  <c r="RLI4" i="7"/>
  <c r="RLJ4" i="7"/>
  <c r="RLK4" i="7"/>
  <c r="RLL4" i="7"/>
  <c r="RLM4" i="7"/>
  <c r="RLN4" i="7"/>
  <c r="RLO4" i="7"/>
  <c r="RLP4" i="7"/>
  <c r="RLQ4" i="7"/>
  <c r="RLR4" i="7"/>
  <c r="RLS4" i="7"/>
  <c r="RLT4" i="7"/>
  <c r="RLU4" i="7"/>
  <c r="RLV4" i="7"/>
  <c r="RLW4" i="7"/>
  <c r="RLX4" i="7"/>
  <c r="RLY4" i="7"/>
  <c r="RLZ4" i="7"/>
  <c r="RMA4" i="7"/>
  <c r="RMB4" i="7"/>
  <c r="RMC4" i="7"/>
  <c r="RMD4" i="7"/>
  <c r="RME4" i="7"/>
  <c r="RMF4" i="7"/>
  <c r="RMG4" i="7"/>
  <c r="RMH4" i="7"/>
  <c r="RMI4" i="7"/>
  <c r="RMJ4" i="7"/>
  <c r="RMK4" i="7"/>
  <c r="RML4" i="7"/>
  <c r="RMM4" i="7"/>
  <c r="RMN4" i="7"/>
  <c r="RMO4" i="7"/>
  <c r="RMP4" i="7"/>
  <c r="RMQ4" i="7"/>
  <c r="RMR4" i="7"/>
  <c r="RMS4" i="7"/>
  <c r="RMT4" i="7"/>
  <c r="RMU4" i="7"/>
  <c r="RMV4" i="7"/>
  <c r="RMW4" i="7"/>
  <c r="RMX4" i="7"/>
  <c r="RMY4" i="7"/>
  <c r="RMZ4" i="7"/>
  <c r="RNA4" i="7"/>
  <c r="RNB4" i="7"/>
  <c r="RNC4" i="7"/>
  <c r="RND4" i="7"/>
  <c r="RNE4" i="7"/>
  <c r="RNF4" i="7"/>
  <c r="RNG4" i="7"/>
  <c r="RNH4" i="7"/>
  <c r="RNI4" i="7"/>
  <c r="RNJ4" i="7"/>
  <c r="RNK4" i="7"/>
  <c r="RNL4" i="7"/>
  <c r="RNM4" i="7"/>
  <c r="RNN4" i="7"/>
  <c r="RNO4" i="7"/>
  <c r="RNP4" i="7"/>
  <c r="RNQ4" i="7"/>
  <c r="RNR4" i="7"/>
  <c r="RNS4" i="7"/>
  <c r="RNT4" i="7"/>
  <c r="RNU4" i="7"/>
  <c r="RNV4" i="7"/>
  <c r="RNW4" i="7"/>
  <c r="RNX4" i="7"/>
  <c r="RNY4" i="7"/>
  <c r="RNZ4" i="7"/>
  <c r="ROA4" i="7"/>
  <c r="ROB4" i="7"/>
  <c r="ROC4" i="7"/>
  <c r="ROD4" i="7"/>
  <c r="ROE4" i="7"/>
  <c r="ROF4" i="7"/>
  <c r="ROG4" i="7"/>
  <c r="ROH4" i="7"/>
  <c r="ROI4" i="7"/>
  <c r="ROJ4" i="7"/>
  <c r="ROK4" i="7"/>
  <c r="ROL4" i="7"/>
  <c r="ROM4" i="7"/>
  <c r="RON4" i="7"/>
  <c r="ROO4" i="7"/>
  <c r="ROP4" i="7"/>
  <c r="ROQ4" i="7"/>
  <c r="ROR4" i="7"/>
  <c r="ROS4" i="7"/>
  <c r="ROT4" i="7"/>
  <c r="ROU4" i="7"/>
  <c r="ROV4" i="7"/>
  <c r="ROW4" i="7"/>
  <c r="ROX4" i="7"/>
  <c r="ROY4" i="7"/>
  <c r="ROZ4" i="7"/>
  <c r="RPA4" i="7"/>
  <c r="RPB4" i="7"/>
  <c r="RPC4" i="7"/>
  <c r="RPD4" i="7"/>
  <c r="RPE4" i="7"/>
  <c r="RPF4" i="7"/>
  <c r="RPG4" i="7"/>
  <c r="RPH4" i="7"/>
  <c r="RPI4" i="7"/>
  <c r="RPJ4" i="7"/>
  <c r="RPK4" i="7"/>
  <c r="RPL4" i="7"/>
  <c r="RPM4" i="7"/>
  <c r="RPN4" i="7"/>
  <c r="RPO4" i="7"/>
  <c r="RPP4" i="7"/>
  <c r="RPQ4" i="7"/>
  <c r="RPR4" i="7"/>
  <c r="RPS4" i="7"/>
  <c r="RPT4" i="7"/>
  <c r="RPU4" i="7"/>
  <c r="RPV4" i="7"/>
  <c r="RPW4" i="7"/>
  <c r="RPX4" i="7"/>
  <c r="RPY4" i="7"/>
  <c r="RPZ4" i="7"/>
  <c r="RQA4" i="7"/>
  <c r="RQB4" i="7"/>
  <c r="RQC4" i="7"/>
  <c r="RQD4" i="7"/>
  <c r="RQE4" i="7"/>
  <c r="RQF4" i="7"/>
  <c r="RQG4" i="7"/>
  <c r="RQH4" i="7"/>
  <c r="RQI4" i="7"/>
  <c r="RQJ4" i="7"/>
  <c r="RQK4" i="7"/>
  <c r="RQL4" i="7"/>
  <c r="RQM4" i="7"/>
  <c r="RQN4" i="7"/>
  <c r="RQO4" i="7"/>
  <c r="RQP4" i="7"/>
  <c r="RQQ4" i="7"/>
  <c r="RQR4" i="7"/>
  <c r="RQS4" i="7"/>
  <c r="RQT4" i="7"/>
  <c r="RQU4" i="7"/>
  <c r="RQV4" i="7"/>
  <c r="RQW4" i="7"/>
  <c r="RQX4" i="7"/>
  <c r="RQY4" i="7"/>
  <c r="RQZ4" i="7"/>
  <c r="RRA4" i="7"/>
  <c r="RRB4" i="7"/>
  <c r="RRC4" i="7"/>
  <c r="RRD4" i="7"/>
  <c r="RRE4" i="7"/>
  <c r="RRF4" i="7"/>
  <c r="RRG4" i="7"/>
  <c r="RRH4" i="7"/>
  <c r="RRI4" i="7"/>
  <c r="RRJ4" i="7"/>
  <c r="RRK4" i="7"/>
  <c r="RRL4" i="7"/>
  <c r="RRM4" i="7"/>
  <c r="RRN4" i="7"/>
  <c r="RRO4" i="7"/>
  <c r="RRP4" i="7"/>
  <c r="RRQ4" i="7"/>
  <c r="RRR4" i="7"/>
  <c r="RRS4" i="7"/>
  <c r="RRT4" i="7"/>
  <c r="RRU4" i="7"/>
  <c r="RRV4" i="7"/>
  <c r="RRW4" i="7"/>
  <c r="RRX4" i="7"/>
  <c r="RRY4" i="7"/>
  <c r="RRZ4" i="7"/>
  <c r="RSA4" i="7"/>
  <c r="RSB4" i="7"/>
  <c r="RSC4" i="7"/>
  <c r="RSD4" i="7"/>
  <c r="RSE4" i="7"/>
  <c r="RSF4" i="7"/>
  <c r="RSG4" i="7"/>
  <c r="RSH4" i="7"/>
  <c r="RSI4" i="7"/>
  <c r="RSJ4" i="7"/>
  <c r="RSK4" i="7"/>
  <c r="RSL4" i="7"/>
  <c r="RSM4" i="7"/>
  <c r="RSN4" i="7"/>
  <c r="RSO4" i="7"/>
  <c r="RSP4" i="7"/>
  <c r="RSQ4" i="7"/>
  <c r="RSR4" i="7"/>
  <c r="RSS4" i="7"/>
  <c r="RST4" i="7"/>
  <c r="RSU4" i="7"/>
  <c r="RSV4" i="7"/>
  <c r="RSW4" i="7"/>
  <c r="RSX4" i="7"/>
  <c r="RSY4" i="7"/>
  <c r="RSZ4" i="7"/>
  <c r="RTA4" i="7"/>
  <c r="RTB4" i="7"/>
  <c r="RTC4" i="7"/>
  <c r="RTD4" i="7"/>
  <c r="RTE4" i="7"/>
  <c r="RTF4" i="7"/>
  <c r="RTG4" i="7"/>
  <c r="RTH4" i="7"/>
  <c r="RTI4" i="7"/>
  <c r="RTJ4" i="7"/>
  <c r="RTK4" i="7"/>
  <c r="RTL4" i="7"/>
  <c r="RTM4" i="7"/>
  <c r="RTN4" i="7"/>
  <c r="RTO4" i="7"/>
  <c r="RTP4" i="7"/>
  <c r="RTQ4" i="7"/>
  <c r="RTR4" i="7"/>
  <c r="RTS4" i="7"/>
  <c r="RTT4" i="7"/>
  <c r="RTU4" i="7"/>
  <c r="RTV4" i="7"/>
  <c r="RTW4" i="7"/>
  <c r="RTX4" i="7"/>
  <c r="RTY4" i="7"/>
  <c r="RTZ4" i="7"/>
  <c r="RUA4" i="7"/>
  <c r="RUB4" i="7"/>
  <c r="RUC4" i="7"/>
  <c r="RUD4" i="7"/>
  <c r="RUE4" i="7"/>
  <c r="RUF4" i="7"/>
  <c r="RUG4" i="7"/>
  <c r="RUH4" i="7"/>
  <c r="RUI4" i="7"/>
  <c r="RUJ4" i="7"/>
  <c r="RUK4" i="7"/>
  <c r="RUL4" i="7"/>
  <c r="RUM4" i="7"/>
  <c r="RUN4" i="7"/>
  <c r="RUO4" i="7"/>
  <c r="RUP4" i="7"/>
  <c r="RUQ4" i="7"/>
  <c r="RUR4" i="7"/>
  <c r="RUS4" i="7"/>
  <c r="RUT4" i="7"/>
  <c r="RUU4" i="7"/>
  <c r="RUV4" i="7"/>
  <c r="RUW4" i="7"/>
  <c r="RUX4" i="7"/>
  <c r="RUY4" i="7"/>
  <c r="RUZ4" i="7"/>
  <c r="RVA4" i="7"/>
  <c r="RVB4" i="7"/>
  <c r="RVC4" i="7"/>
  <c r="RVD4" i="7"/>
  <c r="RVE4" i="7"/>
  <c r="RVF4" i="7"/>
  <c r="RVG4" i="7"/>
  <c r="RVH4" i="7"/>
  <c r="RVI4" i="7"/>
  <c r="RVJ4" i="7"/>
  <c r="RVK4" i="7"/>
  <c r="RVL4" i="7"/>
  <c r="RVM4" i="7"/>
  <c r="RVN4" i="7"/>
  <c r="RVO4" i="7"/>
  <c r="RVP4" i="7"/>
  <c r="RVQ4" i="7"/>
  <c r="RVR4" i="7"/>
  <c r="RVS4" i="7"/>
  <c r="RVT4" i="7"/>
  <c r="RVU4" i="7"/>
  <c r="RVV4" i="7"/>
  <c r="RVW4" i="7"/>
  <c r="RVX4" i="7"/>
  <c r="RVY4" i="7"/>
  <c r="RVZ4" i="7"/>
  <c r="RWA4" i="7"/>
  <c r="RWB4" i="7"/>
  <c r="RWC4" i="7"/>
  <c r="RWD4" i="7"/>
  <c r="RWE4" i="7"/>
  <c r="RWF4" i="7"/>
  <c r="RWG4" i="7"/>
  <c r="RWH4" i="7"/>
  <c r="RWI4" i="7"/>
  <c r="RWJ4" i="7"/>
  <c r="RWK4" i="7"/>
  <c r="RWL4" i="7"/>
  <c r="RWM4" i="7"/>
  <c r="RWN4" i="7"/>
  <c r="RWO4" i="7"/>
  <c r="RWP4" i="7"/>
  <c r="RWQ4" i="7"/>
  <c r="RWR4" i="7"/>
  <c r="RWS4" i="7"/>
  <c r="RWT4" i="7"/>
  <c r="RWU4" i="7"/>
  <c r="RWV4" i="7"/>
  <c r="RWW4" i="7"/>
  <c r="RWX4" i="7"/>
  <c r="RWY4" i="7"/>
  <c r="RWZ4" i="7"/>
  <c r="RXA4" i="7"/>
  <c r="RXB4" i="7"/>
  <c r="RXC4" i="7"/>
  <c r="RXD4" i="7"/>
  <c r="RXE4" i="7"/>
  <c r="RXF4" i="7"/>
  <c r="RXG4" i="7"/>
  <c r="RXH4" i="7"/>
  <c r="RXI4" i="7"/>
  <c r="RXJ4" i="7"/>
  <c r="RXK4" i="7"/>
  <c r="RXL4" i="7"/>
  <c r="RXM4" i="7"/>
  <c r="RXN4" i="7"/>
  <c r="RXO4" i="7"/>
  <c r="RXP4" i="7"/>
  <c r="RXQ4" i="7"/>
  <c r="RXR4" i="7"/>
  <c r="RXS4" i="7"/>
  <c r="RXT4" i="7"/>
  <c r="RXU4" i="7"/>
  <c r="RXV4" i="7"/>
  <c r="RXW4" i="7"/>
  <c r="RXX4" i="7"/>
  <c r="RXY4" i="7"/>
  <c r="RXZ4" i="7"/>
  <c r="RYA4" i="7"/>
  <c r="RYB4" i="7"/>
  <c r="RYC4" i="7"/>
  <c r="RYD4" i="7"/>
  <c r="RYE4" i="7"/>
  <c r="RYF4" i="7"/>
  <c r="RYG4" i="7"/>
  <c r="RYH4" i="7"/>
  <c r="RYI4" i="7"/>
  <c r="RYJ4" i="7"/>
  <c r="RYK4" i="7"/>
  <c r="RYL4" i="7"/>
  <c r="RYM4" i="7"/>
  <c r="RYN4" i="7"/>
  <c r="RYO4" i="7"/>
  <c r="RYP4" i="7"/>
  <c r="RYQ4" i="7"/>
  <c r="RYR4" i="7"/>
  <c r="RYS4" i="7"/>
  <c r="RYT4" i="7"/>
  <c r="RYU4" i="7"/>
  <c r="RYV4" i="7"/>
  <c r="RYW4" i="7"/>
  <c r="RYX4" i="7"/>
  <c r="RYY4" i="7"/>
  <c r="RYZ4" i="7"/>
  <c r="RZA4" i="7"/>
  <c r="RZB4" i="7"/>
  <c r="RZC4" i="7"/>
  <c r="RZD4" i="7"/>
  <c r="RZE4" i="7"/>
  <c r="RZF4" i="7"/>
  <c r="RZG4" i="7"/>
  <c r="RZH4" i="7"/>
  <c r="RZI4" i="7"/>
  <c r="RZJ4" i="7"/>
  <c r="RZK4" i="7"/>
  <c r="RZL4" i="7"/>
  <c r="RZM4" i="7"/>
  <c r="RZN4" i="7"/>
  <c r="RZO4" i="7"/>
  <c r="RZP4" i="7"/>
  <c r="RZQ4" i="7"/>
  <c r="RZR4" i="7"/>
  <c r="RZS4" i="7"/>
  <c r="RZT4" i="7"/>
  <c r="RZU4" i="7"/>
  <c r="RZV4" i="7"/>
  <c r="RZW4" i="7"/>
  <c r="RZX4" i="7"/>
  <c r="RZY4" i="7"/>
  <c r="RZZ4" i="7"/>
  <c r="SAA4" i="7"/>
  <c r="SAB4" i="7"/>
  <c r="SAC4" i="7"/>
  <c r="SAD4" i="7"/>
  <c r="SAE4" i="7"/>
  <c r="SAF4" i="7"/>
  <c r="SAG4" i="7"/>
  <c r="SAH4" i="7"/>
  <c r="SAI4" i="7"/>
  <c r="SAJ4" i="7"/>
  <c r="SAK4" i="7"/>
  <c r="SAL4" i="7"/>
  <c r="SAM4" i="7"/>
  <c r="SAN4" i="7"/>
  <c r="SAO4" i="7"/>
  <c r="SAP4" i="7"/>
  <c r="SAQ4" i="7"/>
  <c r="SAR4" i="7"/>
  <c r="SAS4" i="7"/>
  <c r="SAT4" i="7"/>
  <c r="SAU4" i="7"/>
  <c r="SAV4" i="7"/>
  <c r="SAW4" i="7"/>
  <c r="SAX4" i="7"/>
  <c r="SAY4" i="7"/>
  <c r="SAZ4" i="7"/>
  <c r="SBA4" i="7"/>
  <c r="SBB4" i="7"/>
  <c r="SBC4" i="7"/>
  <c r="SBD4" i="7"/>
  <c r="SBE4" i="7"/>
  <c r="SBF4" i="7"/>
  <c r="SBG4" i="7"/>
  <c r="SBH4" i="7"/>
  <c r="SBI4" i="7"/>
  <c r="SBJ4" i="7"/>
  <c r="SBK4" i="7"/>
  <c r="SBL4" i="7"/>
  <c r="SBM4" i="7"/>
  <c r="SBN4" i="7"/>
  <c r="SBO4" i="7"/>
  <c r="SBP4" i="7"/>
  <c r="SBQ4" i="7"/>
  <c r="SBR4" i="7"/>
  <c r="SBS4" i="7"/>
  <c r="SBT4" i="7"/>
  <c r="SBU4" i="7"/>
  <c r="SBV4" i="7"/>
  <c r="SBW4" i="7"/>
  <c r="SBX4" i="7"/>
  <c r="SBY4" i="7"/>
  <c r="SBZ4" i="7"/>
  <c r="SCA4" i="7"/>
  <c r="SCB4" i="7"/>
  <c r="SCC4" i="7"/>
  <c r="SCD4" i="7"/>
  <c r="SCE4" i="7"/>
  <c r="SCF4" i="7"/>
  <c r="SCG4" i="7"/>
  <c r="SCH4" i="7"/>
  <c r="SCI4" i="7"/>
  <c r="SCJ4" i="7"/>
  <c r="SCK4" i="7"/>
  <c r="SCL4" i="7"/>
  <c r="SCM4" i="7"/>
  <c r="SCN4" i="7"/>
  <c r="SCO4" i="7"/>
  <c r="SCP4" i="7"/>
  <c r="SCQ4" i="7"/>
  <c r="SCR4" i="7"/>
  <c r="SCS4" i="7"/>
  <c r="SCT4" i="7"/>
  <c r="SCU4" i="7"/>
  <c r="SCV4" i="7"/>
  <c r="SCW4" i="7"/>
  <c r="SCX4" i="7"/>
  <c r="SCY4" i="7"/>
  <c r="SCZ4" i="7"/>
  <c r="SDA4" i="7"/>
  <c r="SDB4" i="7"/>
  <c r="SDC4" i="7"/>
  <c r="SDD4" i="7"/>
  <c r="SDE4" i="7"/>
  <c r="SDF4" i="7"/>
  <c r="SDG4" i="7"/>
  <c r="SDH4" i="7"/>
  <c r="SDI4" i="7"/>
  <c r="SDJ4" i="7"/>
  <c r="SDK4" i="7"/>
  <c r="SDL4" i="7"/>
  <c r="SDM4" i="7"/>
  <c r="SDN4" i="7"/>
  <c r="SDO4" i="7"/>
  <c r="SDP4" i="7"/>
  <c r="SDQ4" i="7"/>
  <c r="SDR4" i="7"/>
  <c r="SDS4" i="7"/>
  <c r="SDT4" i="7"/>
  <c r="SDU4" i="7"/>
  <c r="SDV4" i="7"/>
  <c r="SDW4" i="7"/>
  <c r="SDX4" i="7"/>
  <c r="SDY4" i="7"/>
  <c r="SDZ4" i="7"/>
  <c r="SEA4" i="7"/>
  <c r="SEB4" i="7"/>
  <c r="SEC4" i="7"/>
  <c r="SED4" i="7"/>
  <c r="SEE4" i="7"/>
  <c r="SEF4" i="7"/>
  <c r="SEG4" i="7"/>
  <c r="SEH4" i="7"/>
  <c r="SEI4" i="7"/>
  <c r="SEJ4" i="7"/>
  <c r="SEK4" i="7"/>
  <c r="SEL4" i="7"/>
  <c r="SEM4" i="7"/>
  <c r="SEN4" i="7"/>
  <c r="SEO4" i="7"/>
  <c r="SEP4" i="7"/>
  <c r="SEQ4" i="7"/>
  <c r="SER4" i="7"/>
  <c r="SES4" i="7"/>
  <c r="SET4" i="7"/>
  <c r="SEU4" i="7"/>
  <c r="SEV4" i="7"/>
  <c r="SEW4" i="7"/>
  <c r="SEX4" i="7"/>
  <c r="SEY4" i="7"/>
  <c r="SEZ4" i="7"/>
  <c r="SFA4" i="7"/>
  <c r="SFB4" i="7"/>
  <c r="SFC4" i="7"/>
  <c r="SFD4" i="7"/>
  <c r="SFE4" i="7"/>
  <c r="SFF4" i="7"/>
  <c r="SFG4" i="7"/>
  <c r="SFH4" i="7"/>
  <c r="SFI4" i="7"/>
  <c r="SFJ4" i="7"/>
  <c r="SFK4" i="7"/>
  <c r="SFL4" i="7"/>
  <c r="SFM4" i="7"/>
  <c r="SFN4" i="7"/>
  <c r="SFO4" i="7"/>
  <c r="SFP4" i="7"/>
  <c r="SFQ4" i="7"/>
  <c r="SFR4" i="7"/>
  <c r="SFS4" i="7"/>
  <c r="SFT4" i="7"/>
  <c r="SFU4" i="7"/>
  <c r="SFV4" i="7"/>
  <c r="SFW4" i="7"/>
  <c r="SFX4" i="7"/>
  <c r="SFY4" i="7"/>
  <c r="SFZ4" i="7"/>
  <c r="SGA4" i="7"/>
  <c r="SGB4" i="7"/>
  <c r="SGC4" i="7"/>
  <c r="SGD4" i="7"/>
  <c r="SGE4" i="7"/>
  <c r="SGF4" i="7"/>
  <c r="SGG4" i="7"/>
  <c r="SGH4" i="7"/>
  <c r="SGI4" i="7"/>
  <c r="SGJ4" i="7"/>
  <c r="SGK4" i="7"/>
  <c r="SGL4" i="7"/>
  <c r="SGM4" i="7"/>
  <c r="SGN4" i="7"/>
  <c r="SGO4" i="7"/>
  <c r="SGP4" i="7"/>
  <c r="SGQ4" i="7"/>
  <c r="SGR4" i="7"/>
  <c r="SGS4" i="7"/>
  <c r="SGT4" i="7"/>
  <c r="SGU4" i="7"/>
  <c r="SGV4" i="7"/>
  <c r="SGW4" i="7"/>
  <c r="SGX4" i="7"/>
  <c r="SGY4" i="7"/>
  <c r="SGZ4" i="7"/>
  <c r="SHA4" i="7"/>
  <c r="SHB4" i="7"/>
  <c r="SHC4" i="7"/>
  <c r="SHD4" i="7"/>
  <c r="SHE4" i="7"/>
  <c r="SHF4" i="7"/>
  <c r="SHG4" i="7"/>
  <c r="SHH4" i="7"/>
  <c r="SHI4" i="7"/>
  <c r="SHJ4" i="7"/>
  <c r="SHK4" i="7"/>
  <c r="SHL4" i="7"/>
  <c r="SHM4" i="7"/>
  <c r="SHN4" i="7"/>
  <c r="SHO4" i="7"/>
  <c r="SHP4" i="7"/>
  <c r="SHQ4" i="7"/>
  <c r="SHR4" i="7"/>
  <c r="SHS4" i="7"/>
  <c r="SHT4" i="7"/>
  <c r="SHU4" i="7"/>
  <c r="SHV4" i="7"/>
  <c r="SHW4" i="7"/>
  <c r="SHX4" i="7"/>
  <c r="SHY4" i="7"/>
  <c r="SHZ4" i="7"/>
  <c r="SIA4" i="7"/>
  <c r="SIB4" i="7"/>
  <c r="SIC4" i="7"/>
  <c r="SID4" i="7"/>
  <c r="SIE4" i="7"/>
  <c r="SIF4" i="7"/>
  <c r="SIG4" i="7"/>
  <c r="SIH4" i="7"/>
  <c r="SII4" i="7"/>
  <c r="SIJ4" i="7"/>
  <c r="SIK4" i="7"/>
  <c r="SIL4" i="7"/>
  <c r="SIM4" i="7"/>
  <c r="SIN4" i="7"/>
  <c r="SIO4" i="7"/>
  <c r="SIP4" i="7"/>
  <c r="SIQ4" i="7"/>
  <c r="SIR4" i="7"/>
  <c r="SIS4" i="7"/>
  <c r="SIT4" i="7"/>
  <c r="SIU4" i="7"/>
  <c r="SIV4" i="7"/>
  <c r="SIW4" i="7"/>
  <c r="SIX4" i="7"/>
  <c r="SIY4" i="7"/>
  <c r="SIZ4" i="7"/>
  <c r="SJA4" i="7"/>
  <c r="SJB4" i="7"/>
  <c r="SJC4" i="7"/>
  <c r="SJD4" i="7"/>
  <c r="SJE4" i="7"/>
  <c r="SJF4" i="7"/>
  <c r="SJG4" i="7"/>
  <c r="SJH4" i="7"/>
  <c r="SJI4" i="7"/>
  <c r="SJJ4" i="7"/>
  <c r="SJK4" i="7"/>
  <c r="SJL4" i="7"/>
  <c r="SJM4" i="7"/>
  <c r="SJN4" i="7"/>
  <c r="SJO4" i="7"/>
  <c r="SJP4" i="7"/>
  <c r="SJQ4" i="7"/>
  <c r="SJR4" i="7"/>
  <c r="SJS4" i="7"/>
  <c r="SJT4" i="7"/>
  <c r="SJU4" i="7"/>
  <c r="SJV4" i="7"/>
  <c r="SJW4" i="7"/>
  <c r="SJX4" i="7"/>
  <c r="SJY4" i="7"/>
  <c r="SJZ4" i="7"/>
  <c r="SKA4" i="7"/>
  <c r="SKB4" i="7"/>
  <c r="SKC4" i="7"/>
  <c r="SKD4" i="7"/>
  <c r="SKE4" i="7"/>
  <c r="SKF4" i="7"/>
  <c r="SKG4" i="7"/>
  <c r="SKH4" i="7"/>
  <c r="SKI4" i="7"/>
  <c r="SKJ4" i="7"/>
  <c r="SKK4" i="7"/>
  <c r="SKL4" i="7"/>
  <c r="SKM4" i="7"/>
  <c r="SKN4" i="7"/>
  <c r="SKO4" i="7"/>
  <c r="SKP4" i="7"/>
  <c r="SKQ4" i="7"/>
  <c r="SKR4" i="7"/>
  <c r="SKS4" i="7"/>
  <c r="SKT4" i="7"/>
  <c r="SKU4" i="7"/>
  <c r="SKV4" i="7"/>
  <c r="SKW4" i="7"/>
  <c r="SKX4" i="7"/>
  <c r="SKY4" i="7"/>
  <c r="SKZ4" i="7"/>
  <c r="SLA4" i="7"/>
  <c r="SLB4" i="7"/>
  <c r="SLC4" i="7"/>
  <c r="SLD4" i="7"/>
  <c r="SLE4" i="7"/>
  <c r="SLF4" i="7"/>
  <c r="SLG4" i="7"/>
  <c r="SLH4" i="7"/>
  <c r="SLI4" i="7"/>
  <c r="SLJ4" i="7"/>
  <c r="SLK4" i="7"/>
  <c r="SLL4" i="7"/>
  <c r="SLM4" i="7"/>
  <c r="SLN4" i="7"/>
  <c r="SLO4" i="7"/>
  <c r="SLP4" i="7"/>
  <c r="SLQ4" i="7"/>
  <c r="SLR4" i="7"/>
  <c r="SLS4" i="7"/>
  <c r="SLT4" i="7"/>
  <c r="SLU4" i="7"/>
  <c r="SLV4" i="7"/>
  <c r="SLW4" i="7"/>
  <c r="SLX4" i="7"/>
  <c r="SLY4" i="7"/>
  <c r="SLZ4" i="7"/>
  <c r="SMA4" i="7"/>
  <c r="SMB4" i="7"/>
  <c r="SMC4" i="7"/>
  <c r="SMD4" i="7"/>
  <c r="SME4" i="7"/>
  <c r="SMF4" i="7"/>
  <c r="SMG4" i="7"/>
  <c r="SMH4" i="7"/>
  <c r="SMI4" i="7"/>
  <c r="SMJ4" i="7"/>
  <c r="SMK4" i="7"/>
  <c r="SML4" i="7"/>
  <c r="SMM4" i="7"/>
  <c r="SMN4" i="7"/>
  <c r="SMO4" i="7"/>
  <c r="SMP4" i="7"/>
  <c r="SMQ4" i="7"/>
  <c r="SMR4" i="7"/>
  <c r="SMS4" i="7"/>
  <c r="SMT4" i="7"/>
  <c r="SMU4" i="7"/>
  <c r="SMV4" i="7"/>
  <c r="SMW4" i="7"/>
  <c r="SMX4" i="7"/>
  <c r="SMY4" i="7"/>
  <c r="SMZ4" i="7"/>
  <c r="SNA4" i="7"/>
  <c r="SNB4" i="7"/>
  <c r="SNC4" i="7"/>
  <c r="SND4" i="7"/>
  <c r="SNE4" i="7"/>
  <c r="SNF4" i="7"/>
  <c r="SNG4" i="7"/>
  <c r="SNH4" i="7"/>
  <c r="SNI4" i="7"/>
  <c r="SNJ4" i="7"/>
  <c r="SNK4" i="7"/>
  <c r="SNL4" i="7"/>
  <c r="SNM4" i="7"/>
  <c r="SNN4" i="7"/>
  <c r="SNO4" i="7"/>
  <c r="SNP4" i="7"/>
  <c r="SNQ4" i="7"/>
  <c r="SNR4" i="7"/>
  <c r="SNS4" i="7"/>
  <c r="SNT4" i="7"/>
  <c r="SNU4" i="7"/>
  <c r="SNV4" i="7"/>
  <c r="SNW4" i="7"/>
  <c r="SNX4" i="7"/>
  <c r="SNY4" i="7"/>
  <c r="SNZ4" i="7"/>
  <c r="SOA4" i="7"/>
  <c r="SOB4" i="7"/>
  <c r="SOC4" i="7"/>
  <c r="SOD4" i="7"/>
  <c r="SOE4" i="7"/>
  <c r="SOF4" i="7"/>
  <c r="SOG4" i="7"/>
  <c r="SOH4" i="7"/>
  <c r="SOI4" i="7"/>
  <c r="SOJ4" i="7"/>
  <c r="SOK4" i="7"/>
  <c r="SOL4" i="7"/>
  <c r="SOM4" i="7"/>
  <c r="SON4" i="7"/>
  <c r="SOO4" i="7"/>
  <c r="SOP4" i="7"/>
  <c r="SOQ4" i="7"/>
  <c r="SOR4" i="7"/>
  <c r="SOS4" i="7"/>
  <c r="SOT4" i="7"/>
  <c r="SOU4" i="7"/>
  <c r="SOV4" i="7"/>
  <c r="SOW4" i="7"/>
  <c r="SOX4" i="7"/>
  <c r="SOY4" i="7"/>
  <c r="SOZ4" i="7"/>
  <c r="SPA4" i="7"/>
  <c r="SPB4" i="7"/>
  <c r="SPC4" i="7"/>
  <c r="SPD4" i="7"/>
  <c r="SPE4" i="7"/>
  <c r="SPF4" i="7"/>
  <c r="SPG4" i="7"/>
  <c r="SPH4" i="7"/>
  <c r="SPI4" i="7"/>
  <c r="SPJ4" i="7"/>
  <c r="SPK4" i="7"/>
  <c r="SPL4" i="7"/>
  <c r="SPM4" i="7"/>
  <c r="SPN4" i="7"/>
  <c r="SPO4" i="7"/>
  <c r="SPP4" i="7"/>
  <c r="SPQ4" i="7"/>
  <c r="SPR4" i="7"/>
  <c r="SPS4" i="7"/>
  <c r="SPT4" i="7"/>
  <c r="SPU4" i="7"/>
  <c r="SPV4" i="7"/>
  <c r="SPW4" i="7"/>
  <c r="SPX4" i="7"/>
  <c r="SPY4" i="7"/>
  <c r="SPZ4" i="7"/>
  <c r="SQA4" i="7"/>
  <c r="SQB4" i="7"/>
  <c r="SQC4" i="7"/>
  <c r="SQD4" i="7"/>
  <c r="SQE4" i="7"/>
  <c r="SQF4" i="7"/>
  <c r="SQG4" i="7"/>
  <c r="SQH4" i="7"/>
  <c r="SQI4" i="7"/>
  <c r="SQJ4" i="7"/>
  <c r="SQK4" i="7"/>
  <c r="SQL4" i="7"/>
  <c r="SQM4" i="7"/>
  <c r="SQN4" i="7"/>
  <c r="SQO4" i="7"/>
  <c r="SQP4" i="7"/>
  <c r="SQQ4" i="7"/>
  <c r="SQR4" i="7"/>
  <c r="SQS4" i="7"/>
  <c r="SQT4" i="7"/>
  <c r="SQU4" i="7"/>
  <c r="SQV4" i="7"/>
  <c r="SQW4" i="7"/>
  <c r="SQX4" i="7"/>
  <c r="SQY4" i="7"/>
  <c r="SQZ4" i="7"/>
  <c r="SRA4" i="7"/>
  <c r="SRB4" i="7"/>
  <c r="SRC4" i="7"/>
  <c r="SRD4" i="7"/>
  <c r="SRE4" i="7"/>
  <c r="SRF4" i="7"/>
  <c r="SRG4" i="7"/>
  <c r="SRH4" i="7"/>
  <c r="SRI4" i="7"/>
  <c r="SRJ4" i="7"/>
  <c r="SRK4" i="7"/>
  <c r="SRL4" i="7"/>
  <c r="SRM4" i="7"/>
  <c r="SRN4" i="7"/>
  <c r="SRO4" i="7"/>
  <c r="SRP4" i="7"/>
  <c r="SRQ4" i="7"/>
  <c r="SRR4" i="7"/>
  <c r="SRS4" i="7"/>
  <c r="SRT4" i="7"/>
  <c r="SRU4" i="7"/>
  <c r="SRV4" i="7"/>
  <c r="SRW4" i="7"/>
  <c r="SRX4" i="7"/>
  <c r="SRY4" i="7"/>
  <c r="SRZ4" i="7"/>
  <c r="SSA4" i="7"/>
  <c r="SSB4" i="7"/>
  <c r="SSC4" i="7"/>
  <c r="SSD4" i="7"/>
  <c r="SSE4" i="7"/>
  <c r="SSF4" i="7"/>
  <c r="SSG4" i="7"/>
  <c r="SSH4" i="7"/>
  <c r="SSI4" i="7"/>
  <c r="SSJ4" i="7"/>
  <c r="SSK4" i="7"/>
  <c r="SSL4" i="7"/>
  <c r="SSM4" i="7"/>
  <c r="SSN4" i="7"/>
  <c r="SSO4" i="7"/>
  <c r="SSP4" i="7"/>
  <c r="SSQ4" i="7"/>
  <c r="SSR4" i="7"/>
  <c r="SSS4" i="7"/>
  <c r="SST4" i="7"/>
  <c r="SSU4" i="7"/>
  <c r="SSV4" i="7"/>
  <c r="SSW4" i="7"/>
  <c r="SSX4" i="7"/>
  <c r="SSY4" i="7"/>
  <c r="SSZ4" i="7"/>
  <c r="STA4" i="7"/>
  <c r="STB4" i="7"/>
  <c r="STC4" i="7"/>
  <c r="STD4" i="7"/>
  <c r="STE4" i="7"/>
  <c r="STF4" i="7"/>
  <c r="STG4" i="7"/>
  <c r="STH4" i="7"/>
  <c r="STI4" i="7"/>
  <c r="STJ4" i="7"/>
  <c r="STK4" i="7"/>
  <c r="STL4" i="7"/>
  <c r="STM4" i="7"/>
  <c r="STN4" i="7"/>
  <c r="STO4" i="7"/>
  <c r="STP4" i="7"/>
  <c r="STQ4" i="7"/>
  <c r="STR4" i="7"/>
  <c r="STS4" i="7"/>
  <c r="STT4" i="7"/>
  <c r="STU4" i="7"/>
  <c r="STV4" i="7"/>
  <c r="STW4" i="7"/>
  <c r="STX4" i="7"/>
  <c r="STY4" i="7"/>
  <c r="STZ4" i="7"/>
  <c r="SUA4" i="7"/>
  <c r="SUB4" i="7"/>
  <c r="SUC4" i="7"/>
  <c r="SUD4" i="7"/>
  <c r="SUE4" i="7"/>
  <c r="SUF4" i="7"/>
  <c r="SUG4" i="7"/>
  <c r="SUH4" i="7"/>
  <c r="SUI4" i="7"/>
  <c r="SUJ4" i="7"/>
  <c r="SUK4" i="7"/>
  <c r="SUL4" i="7"/>
  <c r="SUM4" i="7"/>
  <c r="SUN4" i="7"/>
  <c r="SUO4" i="7"/>
  <c r="SUP4" i="7"/>
  <c r="SUQ4" i="7"/>
  <c r="SUR4" i="7"/>
  <c r="SUS4" i="7"/>
  <c r="SUT4" i="7"/>
  <c r="SUU4" i="7"/>
  <c r="SUV4" i="7"/>
  <c r="SUW4" i="7"/>
  <c r="SUX4" i="7"/>
  <c r="SUY4" i="7"/>
  <c r="SUZ4" i="7"/>
  <c r="SVA4" i="7"/>
  <c r="SVB4" i="7"/>
  <c r="SVC4" i="7"/>
  <c r="SVD4" i="7"/>
  <c r="SVE4" i="7"/>
  <c r="SVF4" i="7"/>
  <c r="SVG4" i="7"/>
  <c r="SVH4" i="7"/>
  <c r="SVI4" i="7"/>
  <c r="SVJ4" i="7"/>
  <c r="SVK4" i="7"/>
  <c r="SVL4" i="7"/>
  <c r="SVM4" i="7"/>
  <c r="SVN4" i="7"/>
  <c r="SVO4" i="7"/>
  <c r="SVP4" i="7"/>
  <c r="SVQ4" i="7"/>
  <c r="SVR4" i="7"/>
  <c r="SVS4" i="7"/>
  <c r="SVT4" i="7"/>
  <c r="SVU4" i="7"/>
  <c r="SVV4" i="7"/>
  <c r="SVW4" i="7"/>
  <c r="SVX4" i="7"/>
  <c r="SVY4" i="7"/>
  <c r="SVZ4" i="7"/>
  <c r="SWA4" i="7"/>
  <c r="SWB4" i="7"/>
  <c r="SWC4" i="7"/>
  <c r="SWD4" i="7"/>
  <c r="SWE4" i="7"/>
  <c r="SWF4" i="7"/>
  <c r="SWG4" i="7"/>
  <c r="SWH4" i="7"/>
  <c r="SWI4" i="7"/>
  <c r="SWJ4" i="7"/>
  <c r="SWK4" i="7"/>
  <c r="SWL4" i="7"/>
  <c r="SWM4" i="7"/>
  <c r="SWN4" i="7"/>
  <c r="SWO4" i="7"/>
  <c r="SWP4" i="7"/>
  <c r="SWQ4" i="7"/>
  <c r="SWR4" i="7"/>
  <c r="SWS4" i="7"/>
  <c r="SWT4" i="7"/>
  <c r="SWU4" i="7"/>
  <c r="SWV4" i="7"/>
  <c r="SWW4" i="7"/>
  <c r="SWX4" i="7"/>
  <c r="SWY4" i="7"/>
  <c r="SWZ4" i="7"/>
  <c r="SXA4" i="7"/>
  <c r="SXB4" i="7"/>
  <c r="SXC4" i="7"/>
  <c r="SXD4" i="7"/>
  <c r="SXE4" i="7"/>
  <c r="SXF4" i="7"/>
  <c r="SXG4" i="7"/>
  <c r="SXH4" i="7"/>
  <c r="SXI4" i="7"/>
  <c r="SXJ4" i="7"/>
  <c r="SXK4" i="7"/>
  <c r="SXL4" i="7"/>
  <c r="SXM4" i="7"/>
  <c r="SXN4" i="7"/>
  <c r="SXO4" i="7"/>
  <c r="SXP4" i="7"/>
  <c r="SXQ4" i="7"/>
  <c r="SXR4" i="7"/>
  <c r="SXS4" i="7"/>
  <c r="SXT4" i="7"/>
  <c r="SXU4" i="7"/>
  <c r="SXV4" i="7"/>
  <c r="SXW4" i="7"/>
  <c r="SXX4" i="7"/>
  <c r="SXY4" i="7"/>
  <c r="SXZ4" i="7"/>
  <c r="SYA4" i="7"/>
  <c r="SYB4" i="7"/>
  <c r="SYC4" i="7"/>
  <c r="SYD4" i="7"/>
  <c r="SYE4" i="7"/>
  <c r="SYF4" i="7"/>
  <c r="SYG4" i="7"/>
  <c r="SYH4" i="7"/>
  <c r="SYI4" i="7"/>
  <c r="SYJ4" i="7"/>
  <c r="SYK4" i="7"/>
  <c r="SYL4" i="7"/>
  <c r="SYM4" i="7"/>
  <c r="SYN4" i="7"/>
  <c r="SYO4" i="7"/>
  <c r="SYP4" i="7"/>
  <c r="SYQ4" i="7"/>
  <c r="SYR4" i="7"/>
  <c r="SYS4" i="7"/>
  <c r="SYT4" i="7"/>
  <c r="SYU4" i="7"/>
  <c r="SYV4" i="7"/>
  <c r="SYW4" i="7"/>
  <c r="SYX4" i="7"/>
  <c r="SYY4" i="7"/>
  <c r="SYZ4" i="7"/>
  <c r="SZA4" i="7"/>
  <c r="SZB4" i="7"/>
  <c r="SZC4" i="7"/>
  <c r="SZD4" i="7"/>
  <c r="SZE4" i="7"/>
  <c r="SZF4" i="7"/>
  <c r="SZG4" i="7"/>
  <c r="SZH4" i="7"/>
  <c r="SZI4" i="7"/>
  <c r="SZJ4" i="7"/>
  <c r="SZK4" i="7"/>
  <c r="SZL4" i="7"/>
  <c r="SZM4" i="7"/>
  <c r="SZN4" i="7"/>
  <c r="SZO4" i="7"/>
  <c r="SZP4" i="7"/>
  <c r="SZQ4" i="7"/>
  <c r="SZR4" i="7"/>
  <c r="SZS4" i="7"/>
  <c r="SZT4" i="7"/>
  <c r="SZU4" i="7"/>
  <c r="SZV4" i="7"/>
  <c r="SZW4" i="7"/>
  <c r="SZX4" i="7"/>
  <c r="SZY4" i="7"/>
  <c r="SZZ4" i="7"/>
  <c r="TAA4" i="7"/>
  <c r="TAB4" i="7"/>
  <c r="TAC4" i="7"/>
  <c r="TAD4" i="7"/>
  <c r="TAE4" i="7"/>
  <c r="TAF4" i="7"/>
  <c r="TAG4" i="7"/>
  <c r="TAH4" i="7"/>
  <c r="TAI4" i="7"/>
  <c r="TAJ4" i="7"/>
  <c r="TAK4" i="7"/>
  <c r="TAL4" i="7"/>
  <c r="TAM4" i="7"/>
  <c r="TAN4" i="7"/>
  <c r="TAO4" i="7"/>
  <c r="TAP4" i="7"/>
  <c r="TAQ4" i="7"/>
  <c r="TAR4" i="7"/>
  <c r="TAS4" i="7"/>
  <c r="TAT4" i="7"/>
  <c r="TAU4" i="7"/>
  <c r="TAV4" i="7"/>
  <c r="TAW4" i="7"/>
  <c r="TAX4" i="7"/>
  <c r="TAY4" i="7"/>
  <c r="TAZ4" i="7"/>
  <c r="TBA4" i="7"/>
  <c r="TBB4" i="7"/>
  <c r="TBC4" i="7"/>
  <c r="TBD4" i="7"/>
  <c r="TBE4" i="7"/>
  <c r="TBF4" i="7"/>
  <c r="TBG4" i="7"/>
  <c r="TBH4" i="7"/>
  <c r="TBI4" i="7"/>
  <c r="TBJ4" i="7"/>
  <c r="TBK4" i="7"/>
  <c r="TBL4" i="7"/>
  <c r="TBM4" i="7"/>
  <c r="TBN4" i="7"/>
  <c r="TBO4" i="7"/>
  <c r="TBP4" i="7"/>
  <c r="TBQ4" i="7"/>
  <c r="TBR4" i="7"/>
  <c r="TBS4" i="7"/>
  <c r="TBT4" i="7"/>
  <c r="TBU4" i="7"/>
  <c r="TBV4" i="7"/>
  <c r="TBW4" i="7"/>
  <c r="TBX4" i="7"/>
  <c r="TBY4" i="7"/>
  <c r="TBZ4" i="7"/>
  <c r="TCA4" i="7"/>
  <c r="TCB4" i="7"/>
  <c r="TCC4" i="7"/>
  <c r="TCD4" i="7"/>
  <c r="TCE4" i="7"/>
  <c r="TCF4" i="7"/>
  <c r="TCG4" i="7"/>
  <c r="TCH4" i="7"/>
  <c r="TCI4" i="7"/>
  <c r="TCJ4" i="7"/>
  <c r="TCK4" i="7"/>
  <c r="TCL4" i="7"/>
  <c r="TCM4" i="7"/>
  <c r="TCN4" i="7"/>
  <c r="TCO4" i="7"/>
  <c r="TCP4" i="7"/>
  <c r="TCQ4" i="7"/>
  <c r="TCR4" i="7"/>
  <c r="TCS4" i="7"/>
  <c r="TCT4" i="7"/>
  <c r="TCU4" i="7"/>
  <c r="TCV4" i="7"/>
  <c r="TCW4" i="7"/>
  <c r="TCX4" i="7"/>
  <c r="TCY4" i="7"/>
  <c r="TCZ4" i="7"/>
  <c r="TDA4" i="7"/>
  <c r="TDB4" i="7"/>
  <c r="TDC4" i="7"/>
  <c r="TDD4" i="7"/>
  <c r="TDE4" i="7"/>
  <c r="TDF4" i="7"/>
  <c r="TDG4" i="7"/>
  <c r="TDH4" i="7"/>
  <c r="TDI4" i="7"/>
  <c r="TDJ4" i="7"/>
  <c r="TDK4" i="7"/>
  <c r="TDL4" i="7"/>
  <c r="TDM4" i="7"/>
  <c r="TDN4" i="7"/>
  <c r="TDO4" i="7"/>
  <c r="TDP4" i="7"/>
  <c r="TDQ4" i="7"/>
  <c r="TDR4" i="7"/>
  <c r="TDS4" i="7"/>
  <c r="TDT4" i="7"/>
  <c r="TDU4" i="7"/>
  <c r="TDV4" i="7"/>
  <c r="TDW4" i="7"/>
  <c r="TDX4" i="7"/>
  <c r="TDY4" i="7"/>
  <c r="TDZ4" i="7"/>
  <c r="TEA4" i="7"/>
  <c r="TEB4" i="7"/>
  <c r="TEC4" i="7"/>
  <c r="TED4" i="7"/>
  <c r="TEE4" i="7"/>
  <c r="TEF4" i="7"/>
  <c r="TEG4" i="7"/>
  <c r="TEH4" i="7"/>
  <c r="TEI4" i="7"/>
  <c r="TEJ4" i="7"/>
  <c r="TEK4" i="7"/>
  <c r="TEL4" i="7"/>
  <c r="TEM4" i="7"/>
  <c r="TEN4" i="7"/>
  <c r="TEO4" i="7"/>
  <c r="TEP4" i="7"/>
  <c r="TEQ4" i="7"/>
  <c r="TER4" i="7"/>
  <c r="TES4" i="7"/>
  <c r="TET4" i="7"/>
  <c r="TEU4" i="7"/>
  <c r="TEV4" i="7"/>
  <c r="TEW4" i="7"/>
  <c r="TEX4" i="7"/>
  <c r="TEY4" i="7"/>
  <c r="TEZ4" i="7"/>
  <c r="TFA4" i="7"/>
  <c r="TFB4" i="7"/>
  <c r="TFC4" i="7"/>
  <c r="TFD4" i="7"/>
  <c r="TFE4" i="7"/>
  <c r="TFF4" i="7"/>
  <c r="TFG4" i="7"/>
  <c r="TFH4" i="7"/>
  <c r="TFI4" i="7"/>
  <c r="TFJ4" i="7"/>
  <c r="TFK4" i="7"/>
  <c r="TFL4" i="7"/>
  <c r="TFM4" i="7"/>
  <c r="TFN4" i="7"/>
  <c r="TFO4" i="7"/>
  <c r="TFP4" i="7"/>
  <c r="TFQ4" i="7"/>
  <c r="TFR4" i="7"/>
  <c r="TFS4" i="7"/>
  <c r="TFT4" i="7"/>
  <c r="TFU4" i="7"/>
  <c r="TFV4" i="7"/>
  <c r="TFW4" i="7"/>
  <c r="TFX4" i="7"/>
  <c r="TFY4" i="7"/>
  <c r="TFZ4" i="7"/>
  <c r="TGA4" i="7"/>
  <c r="TGB4" i="7"/>
  <c r="TGC4" i="7"/>
  <c r="TGD4" i="7"/>
  <c r="TGE4" i="7"/>
  <c r="TGF4" i="7"/>
  <c r="TGG4" i="7"/>
  <c r="TGH4" i="7"/>
  <c r="TGI4" i="7"/>
  <c r="TGJ4" i="7"/>
  <c r="TGK4" i="7"/>
  <c r="TGL4" i="7"/>
  <c r="TGM4" i="7"/>
  <c r="TGN4" i="7"/>
  <c r="TGO4" i="7"/>
  <c r="TGP4" i="7"/>
  <c r="TGQ4" i="7"/>
  <c r="TGR4" i="7"/>
  <c r="TGS4" i="7"/>
  <c r="TGT4" i="7"/>
  <c r="TGU4" i="7"/>
  <c r="TGV4" i="7"/>
  <c r="TGW4" i="7"/>
  <c r="TGX4" i="7"/>
  <c r="TGY4" i="7"/>
  <c r="TGZ4" i="7"/>
  <c r="THA4" i="7"/>
  <c r="THB4" i="7"/>
  <c r="THC4" i="7"/>
  <c r="THD4" i="7"/>
  <c r="THE4" i="7"/>
  <c r="THF4" i="7"/>
  <c r="THG4" i="7"/>
  <c r="THH4" i="7"/>
  <c r="THI4" i="7"/>
  <c r="THJ4" i="7"/>
  <c r="THK4" i="7"/>
  <c r="THL4" i="7"/>
  <c r="THM4" i="7"/>
  <c r="THN4" i="7"/>
  <c r="THO4" i="7"/>
  <c r="THP4" i="7"/>
  <c r="THQ4" i="7"/>
  <c r="THR4" i="7"/>
  <c r="THS4" i="7"/>
  <c r="THT4" i="7"/>
  <c r="THU4" i="7"/>
  <c r="THV4" i="7"/>
  <c r="THW4" i="7"/>
  <c r="THX4" i="7"/>
  <c r="THY4" i="7"/>
  <c r="THZ4" i="7"/>
  <c r="TIA4" i="7"/>
  <c r="TIB4" i="7"/>
  <c r="TIC4" i="7"/>
  <c r="TID4" i="7"/>
  <c r="TIE4" i="7"/>
  <c r="TIF4" i="7"/>
  <c r="TIG4" i="7"/>
  <c r="TIH4" i="7"/>
  <c r="TII4" i="7"/>
  <c r="TIJ4" i="7"/>
  <c r="TIK4" i="7"/>
  <c r="TIL4" i="7"/>
  <c r="TIM4" i="7"/>
  <c r="TIN4" i="7"/>
  <c r="TIO4" i="7"/>
  <c r="TIP4" i="7"/>
  <c r="TIQ4" i="7"/>
  <c r="TIR4" i="7"/>
  <c r="TIS4" i="7"/>
  <c r="TIT4" i="7"/>
  <c r="TIU4" i="7"/>
  <c r="TIV4" i="7"/>
  <c r="TIW4" i="7"/>
  <c r="TIX4" i="7"/>
  <c r="TIY4" i="7"/>
  <c r="TIZ4" i="7"/>
  <c r="TJA4" i="7"/>
  <c r="TJB4" i="7"/>
  <c r="TJC4" i="7"/>
  <c r="TJD4" i="7"/>
  <c r="TJE4" i="7"/>
  <c r="TJF4" i="7"/>
  <c r="TJG4" i="7"/>
  <c r="TJH4" i="7"/>
  <c r="TJI4" i="7"/>
  <c r="TJJ4" i="7"/>
  <c r="TJK4" i="7"/>
  <c r="TJL4" i="7"/>
  <c r="TJM4" i="7"/>
  <c r="TJN4" i="7"/>
  <c r="TJO4" i="7"/>
  <c r="TJP4" i="7"/>
  <c r="TJQ4" i="7"/>
  <c r="TJR4" i="7"/>
  <c r="TJS4" i="7"/>
  <c r="TJT4" i="7"/>
  <c r="TJU4" i="7"/>
  <c r="TJV4" i="7"/>
  <c r="TJW4" i="7"/>
  <c r="TJX4" i="7"/>
  <c r="TJY4" i="7"/>
  <c r="TJZ4" i="7"/>
  <c r="TKA4" i="7"/>
  <c r="TKB4" i="7"/>
  <c r="TKC4" i="7"/>
  <c r="TKD4" i="7"/>
  <c r="TKE4" i="7"/>
  <c r="TKF4" i="7"/>
  <c r="TKG4" i="7"/>
  <c r="TKH4" i="7"/>
  <c r="TKI4" i="7"/>
  <c r="TKJ4" i="7"/>
  <c r="TKK4" i="7"/>
  <c r="TKL4" i="7"/>
  <c r="TKM4" i="7"/>
  <c r="TKN4" i="7"/>
  <c r="TKO4" i="7"/>
  <c r="TKP4" i="7"/>
  <c r="TKQ4" i="7"/>
  <c r="TKR4" i="7"/>
  <c r="TKS4" i="7"/>
  <c r="TKT4" i="7"/>
  <c r="TKU4" i="7"/>
  <c r="TKV4" i="7"/>
  <c r="TKW4" i="7"/>
  <c r="TKX4" i="7"/>
  <c r="TKY4" i="7"/>
  <c r="TKZ4" i="7"/>
  <c r="TLA4" i="7"/>
  <c r="TLB4" i="7"/>
  <c r="TLC4" i="7"/>
  <c r="TLD4" i="7"/>
  <c r="TLE4" i="7"/>
  <c r="TLF4" i="7"/>
  <c r="TLG4" i="7"/>
  <c r="TLH4" i="7"/>
  <c r="TLI4" i="7"/>
  <c r="TLJ4" i="7"/>
  <c r="TLK4" i="7"/>
  <c r="TLL4" i="7"/>
  <c r="TLM4" i="7"/>
  <c r="TLN4" i="7"/>
  <c r="TLO4" i="7"/>
  <c r="TLP4" i="7"/>
  <c r="TLQ4" i="7"/>
  <c r="TLR4" i="7"/>
  <c r="TLS4" i="7"/>
  <c r="TLT4" i="7"/>
  <c r="TLU4" i="7"/>
  <c r="TLV4" i="7"/>
  <c r="TLW4" i="7"/>
  <c r="TLX4" i="7"/>
  <c r="TLY4" i="7"/>
  <c r="TLZ4" i="7"/>
  <c r="TMA4" i="7"/>
  <c r="TMB4" i="7"/>
  <c r="TMC4" i="7"/>
  <c r="TMD4" i="7"/>
  <c r="TME4" i="7"/>
  <c r="TMF4" i="7"/>
  <c r="TMG4" i="7"/>
  <c r="TMH4" i="7"/>
  <c r="TMI4" i="7"/>
  <c r="TMJ4" i="7"/>
  <c r="TMK4" i="7"/>
  <c r="TML4" i="7"/>
  <c r="TMM4" i="7"/>
  <c r="TMN4" i="7"/>
  <c r="TMO4" i="7"/>
  <c r="TMP4" i="7"/>
  <c r="TMQ4" i="7"/>
  <c r="TMR4" i="7"/>
  <c r="TMS4" i="7"/>
  <c r="TMT4" i="7"/>
  <c r="TMU4" i="7"/>
  <c r="TMV4" i="7"/>
  <c r="TMW4" i="7"/>
  <c r="TMX4" i="7"/>
  <c r="TMY4" i="7"/>
  <c r="TMZ4" i="7"/>
  <c r="TNA4" i="7"/>
  <c r="TNB4" i="7"/>
  <c r="TNC4" i="7"/>
  <c r="TND4" i="7"/>
  <c r="TNE4" i="7"/>
  <c r="TNF4" i="7"/>
  <c r="TNG4" i="7"/>
  <c r="TNH4" i="7"/>
  <c r="TNI4" i="7"/>
  <c r="TNJ4" i="7"/>
  <c r="TNK4" i="7"/>
  <c r="TNL4" i="7"/>
  <c r="TNM4" i="7"/>
  <c r="TNN4" i="7"/>
  <c r="TNO4" i="7"/>
  <c r="TNP4" i="7"/>
  <c r="TNQ4" i="7"/>
  <c r="TNR4" i="7"/>
  <c r="TNS4" i="7"/>
  <c r="TNT4" i="7"/>
  <c r="TNU4" i="7"/>
  <c r="TNV4" i="7"/>
  <c r="TNW4" i="7"/>
  <c r="TNX4" i="7"/>
  <c r="TNY4" i="7"/>
  <c r="TNZ4" i="7"/>
  <c r="TOA4" i="7"/>
  <c r="TOB4" i="7"/>
  <c r="TOC4" i="7"/>
  <c r="TOD4" i="7"/>
  <c r="TOE4" i="7"/>
  <c r="TOF4" i="7"/>
  <c r="TOG4" i="7"/>
  <c r="TOH4" i="7"/>
  <c r="TOI4" i="7"/>
  <c r="TOJ4" i="7"/>
  <c r="TOK4" i="7"/>
  <c r="TOL4" i="7"/>
  <c r="TOM4" i="7"/>
  <c r="TON4" i="7"/>
  <c r="TOO4" i="7"/>
  <c r="TOP4" i="7"/>
  <c r="TOQ4" i="7"/>
  <c r="TOR4" i="7"/>
  <c r="TOS4" i="7"/>
  <c r="TOT4" i="7"/>
  <c r="TOU4" i="7"/>
  <c r="TOV4" i="7"/>
  <c r="TOW4" i="7"/>
  <c r="TOX4" i="7"/>
  <c r="TOY4" i="7"/>
  <c r="TOZ4" i="7"/>
  <c r="TPA4" i="7"/>
  <c r="TPB4" i="7"/>
  <c r="TPC4" i="7"/>
  <c r="TPD4" i="7"/>
  <c r="TPE4" i="7"/>
  <c r="TPF4" i="7"/>
  <c r="TPG4" i="7"/>
  <c r="TPH4" i="7"/>
  <c r="TPI4" i="7"/>
  <c r="TPJ4" i="7"/>
  <c r="TPK4" i="7"/>
  <c r="TPL4" i="7"/>
  <c r="TPM4" i="7"/>
  <c r="TPN4" i="7"/>
  <c r="TPO4" i="7"/>
  <c r="TPP4" i="7"/>
  <c r="TPQ4" i="7"/>
  <c r="TPR4" i="7"/>
  <c r="TPS4" i="7"/>
  <c r="TPT4" i="7"/>
  <c r="TPU4" i="7"/>
  <c r="TPV4" i="7"/>
  <c r="TPW4" i="7"/>
  <c r="TPX4" i="7"/>
  <c r="TPY4" i="7"/>
  <c r="TPZ4" i="7"/>
  <c r="TQA4" i="7"/>
  <c r="TQB4" i="7"/>
  <c r="TQC4" i="7"/>
  <c r="TQD4" i="7"/>
  <c r="TQE4" i="7"/>
  <c r="TQF4" i="7"/>
  <c r="TQG4" i="7"/>
  <c r="TQH4" i="7"/>
  <c r="TQI4" i="7"/>
  <c r="TQJ4" i="7"/>
  <c r="TQK4" i="7"/>
  <c r="TQL4" i="7"/>
  <c r="TQM4" i="7"/>
  <c r="TQN4" i="7"/>
  <c r="TQO4" i="7"/>
  <c r="TQP4" i="7"/>
  <c r="TQQ4" i="7"/>
  <c r="TQR4" i="7"/>
  <c r="TQS4" i="7"/>
  <c r="TQT4" i="7"/>
  <c r="TQU4" i="7"/>
  <c r="TQV4" i="7"/>
  <c r="TQW4" i="7"/>
  <c r="TQX4" i="7"/>
  <c r="TQY4" i="7"/>
  <c r="TQZ4" i="7"/>
  <c r="TRA4" i="7"/>
  <c r="TRB4" i="7"/>
  <c r="TRC4" i="7"/>
  <c r="TRD4" i="7"/>
  <c r="TRE4" i="7"/>
  <c r="TRF4" i="7"/>
  <c r="TRG4" i="7"/>
  <c r="TRH4" i="7"/>
  <c r="TRI4" i="7"/>
  <c r="TRJ4" i="7"/>
  <c r="TRK4" i="7"/>
  <c r="TRL4" i="7"/>
  <c r="TRM4" i="7"/>
  <c r="TRN4" i="7"/>
  <c r="TRO4" i="7"/>
  <c r="TRP4" i="7"/>
  <c r="TRQ4" i="7"/>
  <c r="TRR4" i="7"/>
  <c r="TRS4" i="7"/>
  <c r="TRT4" i="7"/>
  <c r="TRU4" i="7"/>
  <c r="TRV4" i="7"/>
  <c r="TRW4" i="7"/>
  <c r="TRX4" i="7"/>
  <c r="TRY4" i="7"/>
  <c r="TRZ4" i="7"/>
  <c r="TSA4" i="7"/>
  <c r="TSB4" i="7"/>
  <c r="TSC4" i="7"/>
  <c r="TSD4" i="7"/>
  <c r="TSE4" i="7"/>
  <c r="TSF4" i="7"/>
  <c r="TSG4" i="7"/>
  <c r="TSH4" i="7"/>
  <c r="TSI4" i="7"/>
  <c r="TSJ4" i="7"/>
  <c r="TSK4" i="7"/>
  <c r="TSL4" i="7"/>
  <c r="TSM4" i="7"/>
  <c r="TSN4" i="7"/>
  <c r="TSO4" i="7"/>
  <c r="TSP4" i="7"/>
  <c r="TSQ4" i="7"/>
  <c r="TSR4" i="7"/>
  <c r="TSS4" i="7"/>
  <c r="TST4" i="7"/>
  <c r="TSU4" i="7"/>
  <c r="TSV4" i="7"/>
  <c r="TSW4" i="7"/>
  <c r="TSX4" i="7"/>
  <c r="TSY4" i="7"/>
  <c r="TSZ4" i="7"/>
  <c r="TTA4" i="7"/>
  <c r="TTB4" i="7"/>
  <c r="TTC4" i="7"/>
  <c r="TTD4" i="7"/>
  <c r="TTE4" i="7"/>
  <c r="TTF4" i="7"/>
  <c r="TTG4" i="7"/>
  <c r="TTH4" i="7"/>
  <c r="TTI4" i="7"/>
  <c r="TTJ4" i="7"/>
  <c r="TTK4" i="7"/>
  <c r="TTL4" i="7"/>
  <c r="TTM4" i="7"/>
  <c r="TTN4" i="7"/>
  <c r="TTO4" i="7"/>
  <c r="TTP4" i="7"/>
  <c r="TTQ4" i="7"/>
  <c r="TTR4" i="7"/>
  <c r="TTS4" i="7"/>
  <c r="TTT4" i="7"/>
  <c r="TTU4" i="7"/>
  <c r="TTV4" i="7"/>
  <c r="TTW4" i="7"/>
  <c r="TTX4" i="7"/>
  <c r="TTY4" i="7"/>
  <c r="TTZ4" i="7"/>
  <c r="TUA4" i="7"/>
  <c r="TUB4" i="7"/>
  <c r="TUC4" i="7"/>
  <c r="TUD4" i="7"/>
  <c r="TUE4" i="7"/>
  <c r="TUF4" i="7"/>
  <c r="TUG4" i="7"/>
  <c r="TUH4" i="7"/>
  <c r="TUI4" i="7"/>
  <c r="TUJ4" i="7"/>
  <c r="TUK4" i="7"/>
  <c r="TUL4" i="7"/>
  <c r="TUM4" i="7"/>
  <c r="TUN4" i="7"/>
  <c r="TUO4" i="7"/>
  <c r="TUP4" i="7"/>
  <c r="TUQ4" i="7"/>
  <c r="TUR4" i="7"/>
  <c r="TUS4" i="7"/>
  <c r="TUT4" i="7"/>
  <c r="TUU4" i="7"/>
  <c r="TUV4" i="7"/>
  <c r="TUW4" i="7"/>
  <c r="TUX4" i="7"/>
  <c r="TUY4" i="7"/>
  <c r="TUZ4" i="7"/>
  <c r="TVA4" i="7"/>
  <c r="TVB4" i="7"/>
  <c r="TVC4" i="7"/>
  <c r="TVD4" i="7"/>
  <c r="TVE4" i="7"/>
  <c r="TVF4" i="7"/>
  <c r="TVG4" i="7"/>
  <c r="TVH4" i="7"/>
  <c r="TVI4" i="7"/>
  <c r="TVJ4" i="7"/>
  <c r="TVK4" i="7"/>
  <c r="TVL4" i="7"/>
  <c r="TVM4" i="7"/>
  <c r="TVN4" i="7"/>
  <c r="TVO4" i="7"/>
  <c r="TVP4" i="7"/>
  <c r="TVQ4" i="7"/>
  <c r="TVR4" i="7"/>
  <c r="TVS4" i="7"/>
  <c r="TVT4" i="7"/>
  <c r="TVU4" i="7"/>
  <c r="TVV4" i="7"/>
  <c r="TVW4" i="7"/>
  <c r="TVX4" i="7"/>
  <c r="TVY4" i="7"/>
  <c r="TVZ4" i="7"/>
  <c r="TWA4" i="7"/>
  <c r="TWB4" i="7"/>
  <c r="TWC4" i="7"/>
  <c r="TWD4" i="7"/>
  <c r="TWE4" i="7"/>
  <c r="TWF4" i="7"/>
  <c r="TWG4" i="7"/>
  <c r="TWH4" i="7"/>
  <c r="TWI4" i="7"/>
  <c r="TWJ4" i="7"/>
  <c r="TWK4" i="7"/>
  <c r="TWL4" i="7"/>
  <c r="TWM4" i="7"/>
  <c r="TWN4" i="7"/>
  <c r="TWO4" i="7"/>
  <c r="TWP4" i="7"/>
  <c r="TWQ4" i="7"/>
  <c r="TWR4" i="7"/>
  <c r="TWS4" i="7"/>
  <c r="TWT4" i="7"/>
  <c r="TWU4" i="7"/>
  <c r="TWV4" i="7"/>
  <c r="TWW4" i="7"/>
  <c r="TWX4" i="7"/>
  <c r="TWY4" i="7"/>
  <c r="TWZ4" i="7"/>
  <c r="TXA4" i="7"/>
  <c r="TXB4" i="7"/>
  <c r="TXC4" i="7"/>
  <c r="TXD4" i="7"/>
  <c r="TXE4" i="7"/>
  <c r="TXF4" i="7"/>
  <c r="TXG4" i="7"/>
  <c r="TXH4" i="7"/>
  <c r="TXI4" i="7"/>
  <c r="TXJ4" i="7"/>
  <c r="TXK4" i="7"/>
  <c r="TXL4" i="7"/>
  <c r="TXM4" i="7"/>
  <c r="TXN4" i="7"/>
  <c r="TXO4" i="7"/>
  <c r="TXP4" i="7"/>
  <c r="TXQ4" i="7"/>
  <c r="TXR4" i="7"/>
  <c r="TXS4" i="7"/>
  <c r="TXT4" i="7"/>
  <c r="TXU4" i="7"/>
  <c r="TXV4" i="7"/>
  <c r="TXW4" i="7"/>
  <c r="TXX4" i="7"/>
  <c r="TXY4" i="7"/>
  <c r="TXZ4" i="7"/>
  <c r="TYA4" i="7"/>
  <c r="TYB4" i="7"/>
  <c r="TYC4" i="7"/>
  <c r="TYD4" i="7"/>
  <c r="TYE4" i="7"/>
  <c r="TYF4" i="7"/>
  <c r="TYG4" i="7"/>
  <c r="TYH4" i="7"/>
  <c r="TYI4" i="7"/>
  <c r="TYJ4" i="7"/>
  <c r="TYK4" i="7"/>
  <c r="TYL4" i="7"/>
  <c r="TYM4" i="7"/>
  <c r="TYN4" i="7"/>
  <c r="TYO4" i="7"/>
  <c r="TYP4" i="7"/>
  <c r="TYQ4" i="7"/>
  <c r="TYR4" i="7"/>
  <c r="TYS4" i="7"/>
  <c r="TYT4" i="7"/>
  <c r="TYU4" i="7"/>
  <c r="TYV4" i="7"/>
  <c r="TYW4" i="7"/>
  <c r="TYX4" i="7"/>
  <c r="TYY4" i="7"/>
  <c r="TYZ4" i="7"/>
  <c r="TZA4" i="7"/>
  <c r="TZB4" i="7"/>
  <c r="TZC4" i="7"/>
  <c r="TZD4" i="7"/>
  <c r="TZE4" i="7"/>
  <c r="TZF4" i="7"/>
  <c r="TZG4" i="7"/>
  <c r="TZH4" i="7"/>
  <c r="TZI4" i="7"/>
  <c r="TZJ4" i="7"/>
  <c r="TZK4" i="7"/>
  <c r="TZL4" i="7"/>
  <c r="TZM4" i="7"/>
  <c r="TZN4" i="7"/>
  <c r="TZO4" i="7"/>
  <c r="TZP4" i="7"/>
  <c r="TZQ4" i="7"/>
  <c r="TZR4" i="7"/>
  <c r="TZS4" i="7"/>
  <c r="TZT4" i="7"/>
  <c r="TZU4" i="7"/>
  <c r="TZV4" i="7"/>
  <c r="TZW4" i="7"/>
  <c r="TZX4" i="7"/>
  <c r="TZY4" i="7"/>
  <c r="TZZ4" i="7"/>
  <c r="UAA4" i="7"/>
  <c r="UAB4" i="7"/>
  <c r="UAC4" i="7"/>
  <c r="UAD4" i="7"/>
  <c r="UAE4" i="7"/>
  <c r="UAF4" i="7"/>
  <c r="UAG4" i="7"/>
  <c r="UAH4" i="7"/>
  <c r="UAI4" i="7"/>
  <c r="UAJ4" i="7"/>
  <c r="UAK4" i="7"/>
  <c r="UAL4" i="7"/>
  <c r="UAM4" i="7"/>
  <c r="UAN4" i="7"/>
  <c r="UAO4" i="7"/>
  <c r="UAP4" i="7"/>
  <c r="UAQ4" i="7"/>
  <c r="UAR4" i="7"/>
  <c r="UAS4" i="7"/>
  <c r="UAT4" i="7"/>
  <c r="UAU4" i="7"/>
  <c r="UAV4" i="7"/>
  <c r="UAW4" i="7"/>
  <c r="UAX4" i="7"/>
  <c r="UAY4" i="7"/>
  <c r="UAZ4" i="7"/>
  <c r="UBA4" i="7"/>
  <c r="UBB4" i="7"/>
  <c r="UBC4" i="7"/>
  <c r="UBD4" i="7"/>
  <c r="UBE4" i="7"/>
  <c r="UBF4" i="7"/>
  <c r="UBG4" i="7"/>
  <c r="UBH4" i="7"/>
  <c r="UBI4" i="7"/>
  <c r="UBJ4" i="7"/>
  <c r="UBK4" i="7"/>
  <c r="UBL4" i="7"/>
  <c r="UBM4" i="7"/>
  <c r="UBN4" i="7"/>
  <c r="UBO4" i="7"/>
  <c r="UBP4" i="7"/>
  <c r="UBQ4" i="7"/>
  <c r="UBR4" i="7"/>
  <c r="UBS4" i="7"/>
  <c r="UBT4" i="7"/>
  <c r="UBU4" i="7"/>
  <c r="UBV4" i="7"/>
  <c r="UBW4" i="7"/>
  <c r="UBX4" i="7"/>
  <c r="UBY4" i="7"/>
  <c r="UBZ4" i="7"/>
  <c r="UCA4" i="7"/>
  <c r="UCB4" i="7"/>
  <c r="UCC4" i="7"/>
  <c r="UCD4" i="7"/>
  <c r="UCE4" i="7"/>
  <c r="UCF4" i="7"/>
  <c r="UCG4" i="7"/>
  <c r="UCH4" i="7"/>
  <c r="UCI4" i="7"/>
  <c r="UCJ4" i="7"/>
  <c r="UCK4" i="7"/>
  <c r="UCL4" i="7"/>
  <c r="UCM4" i="7"/>
  <c r="UCN4" i="7"/>
  <c r="UCO4" i="7"/>
  <c r="UCP4" i="7"/>
  <c r="UCQ4" i="7"/>
  <c r="UCR4" i="7"/>
  <c r="UCS4" i="7"/>
  <c r="UCT4" i="7"/>
  <c r="UCU4" i="7"/>
  <c r="UCV4" i="7"/>
  <c r="UCW4" i="7"/>
  <c r="UCX4" i="7"/>
  <c r="UCY4" i="7"/>
  <c r="UCZ4" i="7"/>
  <c r="UDA4" i="7"/>
  <c r="UDB4" i="7"/>
  <c r="UDC4" i="7"/>
  <c r="UDD4" i="7"/>
  <c r="UDE4" i="7"/>
  <c r="UDF4" i="7"/>
  <c r="UDG4" i="7"/>
  <c r="UDH4" i="7"/>
  <c r="UDI4" i="7"/>
  <c r="UDJ4" i="7"/>
  <c r="UDK4" i="7"/>
  <c r="UDL4" i="7"/>
  <c r="UDM4" i="7"/>
  <c r="UDN4" i="7"/>
  <c r="UDO4" i="7"/>
  <c r="UDP4" i="7"/>
  <c r="UDQ4" i="7"/>
  <c r="UDR4" i="7"/>
  <c r="UDS4" i="7"/>
  <c r="UDT4" i="7"/>
  <c r="UDU4" i="7"/>
  <c r="UDV4" i="7"/>
  <c r="UDW4" i="7"/>
  <c r="UDX4" i="7"/>
  <c r="UDY4" i="7"/>
  <c r="UDZ4" i="7"/>
  <c r="UEA4" i="7"/>
  <c r="UEB4" i="7"/>
  <c r="UEC4" i="7"/>
  <c r="UED4" i="7"/>
  <c r="UEE4" i="7"/>
  <c r="UEF4" i="7"/>
  <c r="UEG4" i="7"/>
  <c r="UEH4" i="7"/>
  <c r="UEI4" i="7"/>
  <c r="UEJ4" i="7"/>
  <c r="UEK4" i="7"/>
  <c r="UEL4" i="7"/>
  <c r="UEM4" i="7"/>
  <c r="UEN4" i="7"/>
  <c r="UEO4" i="7"/>
  <c r="UEP4" i="7"/>
  <c r="UEQ4" i="7"/>
  <c r="UER4" i="7"/>
  <c r="UES4" i="7"/>
  <c r="UET4" i="7"/>
  <c r="UEU4" i="7"/>
  <c r="UEV4" i="7"/>
  <c r="UEW4" i="7"/>
  <c r="UEX4" i="7"/>
  <c r="UEY4" i="7"/>
  <c r="UEZ4" i="7"/>
  <c r="UFA4" i="7"/>
  <c r="UFB4" i="7"/>
  <c r="UFC4" i="7"/>
  <c r="UFD4" i="7"/>
  <c r="UFE4" i="7"/>
  <c r="UFF4" i="7"/>
  <c r="UFG4" i="7"/>
  <c r="UFH4" i="7"/>
  <c r="UFI4" i="7"/>
  <c r="UFJ4" i="7"/>
  <c r="UFK4" i="7"/>
  <c r="UFL4" i="7"/>
  <c r="UFM4" i="7"/>
  <c r="UFN4" i="7"/>
  <c r="UFO4" i="7"/>
  <c r="UFP4" i="7"/>
  <c r="UFQ4" i="7"/>
  <c r="UFR4" i="7"/>
  <c r="UFS4" i="7"/>
  <c r="UFT4" i="7"/>
  <c r="UFU4" i="7"/>
  <c r="UFV4" i="7"/>
  <c r="UFW4" i="7"/>
  <c r="UFX4" i="7"/>
  <c r="UFY4" i="7"/>
  <c r="UFZ4" i="7"/>
  <c r="UGA4" i="7"/>
  <c r="UGB4" i="7"/>
  <c r="UGC4" i="7"/>
  <c r="UGD4" i="7"/>
  <c r="UGE4" i="7"/>
  <c r="UGF4" i="7"/>
  <c r="UGG4" i="7"/>
  <c r="UGH4" i="7"/>
  <c r="UGI4" i="7"/>
  <c r="UGJ4" i="7"/>
  <c r="UGK4" i="7"/>
  <c r="UGL4" i="7"/>
  <c r="UGM4" i="7"/>
  <c r="UGN4" i="7"/>
  <c r="UGO4" i="7"/>
  <c r="UGP4" i="7"/>
  <c r="UGQ4" i="7"/>
  <c r="UGR4" i="7"/>
  <c r="UGS4" i="7"/>
  <c r="UGT4" i="7"/>
  <c r="UGU4" i="7"/>
  <c r="UGV4" i="7"/>
  <c r="UGW4" i="7"/>
  <c r="UGX4" i="7"/>
  <c r="UGY4" i="7"/>
  <c r="UGZ4" i="7"/>
  <c r="UHA4" i="7"/>
  <c r="UHB4" i="7"/>
  <c r="UHC4" i="7"/>
  <c r="UHD4" i="7"/>
  <c r="UHE4" i="7"/>
  <c r="UHF4" i="7"/>
  <c r="UHG4" i="7"/>
  <c r="UHH4" i="7"/>
  <c r="UHI4" i="7"/>
  <c r="UHJ4" i="7"/>
  <c r="UHK4" i="7"/>
  <c r="UHL4" i="7"/>
  <c r="UHM4" i="7"/>
  <c r="UHN4" i="7"/>
  <c r="UHO4" i="7"/>
  <c r="UHP4" i="7"/>
  <c r="UHQ4" i="7"/>
  <c r="UHR4" i="7"/>
  <c r="UHS4" i="7"/>
  <c r="UHT4" i="7"/>
  <c r="UHU4" i="7"/>
  <c r="UHV4" i="7"/>
  <c r="UHW4" i="7"/>
  <c r="UHX4" i="7"/>
  <c r="UHY4" i="7"/>
  <c r="UHZ4" i="7"/>
  <c r="UIA4" i="7"/>
  <c r="UIB4" i="7"/>
  <c r="UIC4" i="7"/>
  <c r="UID4" i="7"/>
  <c r="UIE4" i="7"/>
  <c r="UIF4" i="7"/>
  <c r="UIG4" i="7"/>
  <c r="UIH4" i="7"/>
  <c r="UII4" i="7"/>
  <c r="UIJ4" i="7"/>
  <c r="UIK4" i="7"/>
  <c r="UIL4" i="7"/>
  <c r="UIM4" i="7"/>
  <c r="UIN4" i="7"/>
  <c r="UIO4" i="7"/>
  <c r="UIP4" i="7"/>
  <c r="UIQ4" i="7"/>
  <c r="UIR4" i="7"/>
  <c r="UIS4" i="7"/>
  <c r="UIT4" i="7"/>
  <c r="UIU4" i="7"/>
  <c r="UIV4" i="7"/>
  <c r="UIW4" i="7"/>
  <c r="UIX4" i="7"/>
  <c r="UIY4" i="7"/>
  <c r="UIZ4" i="7"/>
  <c r="UJA4" i="7"/>
  <c r="UJB4" i="7"/>
  <c r="UJC4" i="7"/>
  <c r="UJD4" i="7"/>
  <c r="UJE4" i="7"/>
  <c r="UJF4" i="7"/>
  <c r="UJG4" i="7"/>
  <c r="UJH4" i="7"/>
  <c r="UJI4" i="7"/>
  <c r="UJJ4" i="7"/>
  <c r="UJK4" i="7"/>
  <c r="UJL4" i="7"/>
  <c r="UJM4" i="7"/>
  <c r="UJN4" i="7"/>
  <c r="UJO4" i="7"/>
  <c r="UJP4" i="7"/>
  <c r="UJQ4" i="7"/>
  <c r="UJR4" i="7"/>
  <c r="UJS4" i="7"/>
  <c r="UJT4" i="7"/>
  <c r="UJU4" i="7"/>
  <c r="UJV4" i="7"/>
  <c r="UJW4" i="7"/>
  <c r="UJX4" i="7"/>
  <c r="UJY4" i="7"/>
  <c r="UJZ4" i="7"/>
  <c r="UKA4" i="7"/>
  <c r="UKB4" i="7"/>
  <c r="UKC4" i="7"/>
  <c r="UKD4" i="7"/>
  <c r="UKE4" i="7"/>
  <c r="UKF4" i="7"/>
  <c r="UKG4" i="7"/>
  <c r="UKH4" i="7"/>
  <c r="UKI4" i="7"/>
  <c r="UKJ4" i="7"/>
  <c r="UKK4" i="7"/>
  <c r="UKL4" i="7"/>
  <c r="UKM4" i="7"/>
  <c r="UKN4" i="7"/>
  <c r="UKO4" i="7"/>
  <c r="UKP4" i="7"/>
  <c r="UKQ4" i="7"/>
  <c r="UKR4" i="7"/>
  <c r="UKS4" i="7"/>
  <c r="UKT4" i="7"/>
  <c r="UKU4" i="7"/>
  <c r="UKV4" i="7"/>
  <c r="UKW4" i="7"/>
  <c r="UKX4" i="7"/>
  <c r="UKY4" i="7"/>
  <c r="UKZ4" i="7"/>
  <c r="ULA4" i="7"/>
  <c r="ULB4" i="7"/>
  <c r="ULC4" i="7"/>
  <c r="ULD4" i="7"/>
  <c r="ULE4" i="7"/>
  <c r="ULF4" i="7"/>
  <c r="ULG4" i="7"/>
  <c r="ULH4" i="7"/>
  <c r="ULI4" i="7"/>
  <c r="ULJ4" i="7"/>
  <c r="ULK4" i="7"/>
  <c r="ULL4" i="7"/>
  <c r="ULM4" i="7"/>
  <c r="ULN4" i="7"/>
  <c r="ULO4" i="7"/>
  <c r="ULP4" i="7"/>
  <c r="ULQ4" i="7"/>
  <c r="ULR4" i="7"/>
  <c r="ULS4" i="7"/>
  <c r="ULT4" i="7"/>
  <c r="ULU4" i="7"/>
  <c r="ULV4" i="7"/>
  <c r="ULW4" i="7"/>
  <c r="ULX4" i="7"/>
  <c r="ULY4" i="7"/>
  <c r="ULZ4" i="7"/>
  <c r="UMA4" i="7"/>
  <c r="UMB4" i="7"/>
  <c r="UMC4" i="7"/>
  <c r="UMD4" i="7"/>
  <c r="UME4" i="7"/>
  <c r="UMF4" i="7"/>
  <c r="UMG4" i="7"/>
  <c r="UMH4" i="7"/>
  <c r="UMI4" i="7"/>
  <c r="UMJ4" i="7"/>
  <c r="UMK4" i="7"/>
  <c r="UML4" i="7"/>
  <c r="UMM4" i="7"/>
  <c r="UMN4" i="7"/>
  <c r="UMO4" i="7"/>
  <c r="UMP4" i="7"/>
  <c r="UMQ4" i="7"/>
  <c r="UMR4" i="7"/>
  <c r="UMS4" i="7"/>
  <c r="UMT4" i="7"/>
  <c r="UMU4" i="7"/>
  <c r="UMV4" i="7"/>
  <c r="UMW4" i="7"/>
  <c r="UMX4" i="7"/>
  <c r="UMY4" i="7"/>
  <c r="UMZ4" i="7"/>
  <c r="UNA4" i="7"/>
  <c r="UNB4" i="7"/>
  <c r="UNC4" i="7"/>
  <c r="UND4" i="7"/>
  <c r="UNE4" i="7"/>
  <c r="UNF4" i="7"/>
  <c r="UNG4" i="7"/>
  <c r="UNH4" i="7"/>
  <c r="UNI4" i="7"/>
  <c r="UNJ4" i="7"/>
  <c r="UNK4" i="7"/>
  <c r="UNL4" i="7"/>
  <c r="UNM4" i="7"/>
  <c r="UNN4" i="7"/>
  <c r="UNO4" i="7"/>
  <c r="UNP4" i="7"/>
  <c r="UNQ4" i="7"/>
  <c r="UNR4" i="7"/>
  <c r="UNS4" i="7"/>
  <c r="UNT4" i="7"/>
  <c r="UNU4" i="7"/>
  <c r="UNV4" i="7"/>
  <c r="UNW4" i="7"/>
  <c r="UNX4" i="7"/>
  <c r="UNY4" i="7"/>
  <c r="UNZ4" i="7"/>
  <c r="UOA4" i="7"/>
  <c r="UOB4" i="7"/>
  <c r="UOC4" i="7"/>
  <c r="UOD4" i="7"/>
  <c r="UOE4" i="7"/>
  <c r="UOF4" i="7"/>
  <c r="UOG4" i="7"/>
  <c r="UOH4" i="7"/>
  <c r="UOI4" i="7"/>
  <c r="UOJ4" i="7"/>
  <c r="UOK4" i="7"/>
  <c r="UOL4" i="7"/>
  <c r="UOM4" i="7"/>
  <c r="UON4" i="7"/>
  <c r="UOO4" i="7"/>
  <c r="UOP4" i="7"/>
  <c r="UOQ4" i="7"/>
  <c r="UOR4" i="7"/>
  <c r="UOS4" i="7"/>
  <c r="UOT4" i="7"/>
  <c r="UOU4" i="7"/>
  <c r="UOV4" i="7"/>
  <c r="UOW4" i="7"/>
  <c r="UOX4" i="7"/>
  <c r="UOY4" i="7"/>
  <c r="UOZ4" i="7"/>
  <c r="UPA4" i="7"/>
  <c r="UPB4" i="7"/>
  <c r="UPC4" i="7"/>
  <c r="UPD4" i="7"/>
  <c r="UPE4" i="7"/>
  <c r="UPF4" i="7"/>
  <c r="UPG4" i="7"/>
  <c r="UPH4" i="7"/>
  <c r="UPI4" i="7"/>
  <c r="UPJ4" i="7"/>
  <c r="UPK4" i="7"/>
  <c r="UPL4" i="7"/>
  <c r="UPM4" i="7"/>
  <c r="UPN4" i="7"/>
  <c r="UPO4" i="7"/>
  <c r="UPP4" i="7"/>
  <c r="UPQ4" i="7"/>
  <c r="UPR4" i="7"/>
  <c r="UPS4" i="7"/>
  <c r="UPT4" i="7"/>
  <c r="UPU4" i="7"/>
  <c r="UPV4" i="7"/>
  <c r="UPW4" i="7"/>
  <c r="UPX4" i="7"/>
  <c r="UPY4" i="7"/>
  <c r="UPZ4" i="7"/>
  <c r="UQA4" i="7"/>
  <c r="UQB4" i="7"/>
  <c r="UQC4" i="7"/>
  <c r="UQD4" i="7"/>
  <c r="UQE4" i="7"/>
  <c r="UQF4" i="7"/>
  <c r="UQG4" i="7"/>
  <c r="UQH4" i="7"/>
  <c r="UQI4" i="7"/>
  <c r="UQJ4" i="7"/>
  <c r="UQK4" i="7"/>
  <c r="UQL4" i="7"/>
  <c r="UQM4" i="7"/>
  <c r="UQN4" i="7"/>
  <c r="UQO4" i="7"/>
  <c r="UQP4" i="7"/>
  <c r="UQQ4" i="7"/>
  <c r="UQR4" i="7"/>
  <c r="UQS4" i="7"/>
  <c r="UQT4" i="7"/>
  <c r="UQU4" i="7"/>
  <c r="UQV4" i="7"/>
  <c r="UQW4" i="7"/>
  <c r="UQX4" i="7"/>
  <c r="UQY4" i="7"/>
  <c r="UQZ4" i="7"/>
  <c r="URA4" i="7"/>
  <c r="URB4" i="7"/>
  <c r="URC4" i="7"/>
  <c r="URD4" i="7"/>
  <c r="URE4" i="7"/>
  <c r="URF4" i="7"/>
  <c r="URG4" i="7"/>
  <c r="URH4" i="7"/>
  <c r="URI4" i="7"/>
  <c r="URJ4" i="7"/>
  <c r="URK4" i="7"/>
  <c r="URL4" i="7"/>
  <c r="URM4" i="7"/>
  <c r="URN4" i="7"/>
  <c r="URO4" i="7"/>
  <c r="URP4" i="7"/>
  <c r="URQ4" i="7"/>
  <c r="URR4" i="7"/>
  <c r="URS4" i="7"/>
  <c r="URT4" i="7"/>
  <c r="URU4" i="7"/>
  <c r="URV4" i="7"/>
  <c r="URW4" i="7"/>
  <c r="URX4" i="7"/>
  <c r="URY4" i="7"/>
  <c r="URZ4" i="7"/>
  <c r="USA4" i="7"/>
  <c r="USB4" i="7"/>
  <c r="USC4" i="7"/>
  <c r="USD4" i="7"/>
  <c r="USE4" i="7"/>
  <c r="USF4" i="7"/>
  <c r="USG4" i="7"/>
  <c r="USH4" i="7"/>
  <c r="USI4" i="7"/>
  <c r="USJ4" i="7"/>
  <c r="USK4" i="7"/>
  <c r="USL4" i="7"/>
  <c r="USM4" i="7"/>
  <c r="USN4" i="7"/>
  <c r="USO4" i="7"/>
  <c r="USP4" i="7"/>
  <c r="USQ4" i="7"/>
  <c r="USR4" i="7"/>
  <c r="USS4" i="7"/>
  <c r="UST4" i="7"/>
  <c r="USU4" i="7"/>
  <c r="USV4" i="7"/>
  <c r="USW4" i="7"/>
  <c r="USX4" i="7"/>
  <c r="USY4" i="7"/>
  <c r="USZ4" i="7"/>
  <c r="UTA4" i="7"/>
  <c r="UTB4" i="7"/>
  <c r="UTC4" i="7"/>
  <c r="UTD4" i="7"/>
  <c r="UTE4" i="7"/>
  <c r="UTF4" i="7"/>
  <c r="UTG4" i="7"/>
  <c r="UTH4" i="7"/>
  <c r="UTI4" i="7"/>
  <c r="UTJ4" i="7"/>
  <c r="UTK4" i="7"/>
  <c r="UTL4" i="7"/>
  <c r="UTM4" i="7"/>
  <c r="UTN4" i="7"/>
  <c r="UTO4" i="7"/>
  <c r="UTP4" i="7"/>
  <c r="UTQ4" i="7"/>
  <c r="UTR4" i="7"/>
  <c r="UTS4" i="7"/>
  <c r="UTT4" i="7"/>
  <c r="UTU4" i="7"/>
  <c r="UTV4" i="7"/>
  <c r="UTW4" i="7"/>
  <c r="UTX4" i="7"/>
  <c r="UTY4" i="7"/>
  <c r="UTZ4" i="7"/>
  <c r="UUA4" i="7"/>
  <c r="UUB4" i="7"/>
  <c r="UUC4" i="7"/>
  <c r="UUD4" i="7"/>
  <c r="UUE4" i="7"/>
  <c r="UUF4" i="7"/>
  <c r="UUG4" i="7"/>
  <c r="UUH4" i="7"/>
  <c r="UUI4" i="7"/>
  <c r="UUJ4" i="7"/>
  <c r="UUK4" i="7"/>
  <c r="UUL4" i="7"/>
  <c r="UUM4" i="7"/>
  <c r="UUN4" i="7"/>
  <c r="UUO4" i="7"/>
  <c r="UUP4" i="7"/>
  <c r="UUQ4" i="7"/>
  <c r="UUR4" i="7"/>
  <c r="UUS4" i="7"/>
  <c r="UUT4" i="7"/>
  <c r="UUU4" i="7"/>
  <c r="UUV4" i="7"/>
  <c r="UUW4" i="7"/>
  <c r="UUX4" i="7"/>
  <c r="UUY4" i="7"/>
  <c r="UUZ4" i="7"/>
  <c r="UVA4" i="7"/>
  <c r="UVB4" i="7"/>
  <c r="UVC4" i="7"/>
  <c r="UVD4" i="7"/>
  <c r="UVE4" i="7"/>
  <c r="UVF4" i="7"/>
  <c r="UVG4" i="7"/>
  <c r="UVH4" i="7"/>
  <c r="UVI4" i="7"/>
  <c r="UVJ4" i="7"/>
  <c r="UVK4" i="7"/>
  <c r="UVL4" i="7"/>
  <c r="UVM4" i="7"/>
  <c r="UVN4" i="7"/>
  <c r="UVO4" i="7"/>
  <c r="UVP4" i="7"/>
  <c r="UVQ4" i="7"/>
  <c r="UVR4" i="7"/>
  <c r="UVS4" i="7"/>
  <c r="UVT4" i="7"/>
  <c r="UVU4" i="7"/>
  <c r="UVV4" i="7"/>
  <c r="UVW4" i="7"/>
  <c r="UVX4" i="7"/>
  <c r="UVY4" i="7"/>
  <c r="UVZ4" i="7"/>
  <c r="UWA4" i="7"/>
  <c r="UWB4" i="7"/>
  <c r="UWC4" i="7"/>
  <c r="UWD4" i="7"/>
  <c r="UWE4" i="7"/>
  <c r="UWF4" i="7"/>
  <c r="UWG4" i="7"/>
  <c r="UWH4" i="7"/>
  <c r="UWI4" i="7"/>
  <c r="UWJ4" i="7"/>
  <c r="UWK4" i="7"/>
  <c r="UWL4" i="7"/>
  <c r="UWM4" i="7"/>
  <c r="UWN4" i="7"/>
  <c r="UWO4" i="7"/>
  <c r="UWP4" i="7"/>
  <c r="UWQ4" i="7"/>
  <c r="UWR4" i="7"/>
  <c r="UWS4" i="7"/>
  <c r="UWT4" i="7"/>
  <c r="UWU4" i="7"/>
  <c r="UWV4" i="7"/>
  <c r="UWW4" i="7"/>
  <c r="UWX4" i="7"/>
  <c r="UWY4" i="7"/>
  <c r="UWZ4" i="7"/>
  <c r="UXA4" i="7"/>
  <c r="UXB4" i="7"/>
  <c r="UXC4" i="7"/>
  <c r="UXD4" i="7"/>
  <c r="UXE4" i="7"/>
  <c r="UXF4" i="7"/>
  <c r="UXG4" i="7"/>
  <c r="UXH4" i="7"/>
  <c r="UXI4" i="7"/>
  <c r="UXJ4" i="7"/>
  <c r="UXK4" i="7"/>
  <c r="UXL4" i="7"/>
  <c r="UXM4" i="7"/>
  <c r="UXN4" i="7"/>
  <c r="UXO4" i="7"/>
  <c r="UXP4" i="7"/>
  <c r="UXQ4" i="7"/>
  <c r="UXR4" i="7"/>
  <c r="UXS4" i="7"/>
  <c r="UXT4" i="7"/>
  <c r="UXU4" i="7"/>
  <c r="UXV4" i="7"/>
  <c r="UXW4" i="7"/>
  <c r="UXX4" i="7"/>
  <c r="UXY4" i="7"/>
  <c r="UXZ4" i="7"/>
  <c r="UYA4" i="7"/>
  <c r="UYB4" i="7"/>
  <c r="UYC4" i="7"/>
  <c r="UYD4" i="7"/>
  <c r="UYE4" i="7"/>
  <c r="UYF4" i="7"/>
  <c r="UYG4" i="7"/>
  <c r="UYH4" i="7"/>
  <c r="UYI4" i="7"/>
  <c r="UYJ4" i="7"/>
  <c r="UYK4" i="7"/>
  <c r="UYL4" i="7"/>
  <c r="UYM4" i="7"/>
  <c r="UYN4" i="7"/>
  <c r="UYO4" i="7"/>
  <c r="UYP4" i="7"/>
  <c r="UYQ4" i="7"/>
  <c r="UYR4" i="7"/>
  <c r="UYS4" i="7"/>
  <c r="UYT4" i="7"/>
  <c r="UYU4" i="7"/>
  <c r="UYV4" i="7"/>
  <c r="UYW4" i="7"/>
  <c r="UYX4" i="7"/>
  <c r="UYY4" i="7"/>
  <c r="UYZ4" i="7"/>
  <c r="UZA4" i="7"/>
  <c r="UZB4" i="7"/>
  <c r="UZC4" i="7"/>
  <c r="UZD4" i="7"/>
  <c r="UZE4" i="7"/>
  <c r="UZF4" i="7"/>
  <c r="UZG4" i="7"/>
  <c r="UZH4" i="7"/>
  <c r="UZI4" i="7"/>
  <c r="UZJ4" i="7"/>
  <c r="UZK4" i="7"/>
  <c r="UZL4" i="7"/>
  <c r="UZM4" i="7"/>
  <c r="UZN4" i="7"/>
  <c r="UZO4" i="7"/>
  <c r="UZP4" i="7"/>
  <c r="UZQ4" i="7"/>
  <c r="UZR4" i="7"/>
  <c r="UZS4" i="7"/>
  <c r="UZT4" i="7"/>
  <c r="UZU4" i="7"/>
  <c r="UZV4" i="7"/>
  <c r="UZW4" i="7"/>
  <c r="UZX4" i="7"/>
  <c r="UZY4" i="7"/>
  <c r="UZZ4" i="7"/>
  <c r="VAA4" i="7"/>
  <c r="VAB4" i="7"/>
  <c r="VAC4" i="7"/>
  <c r="VAD4" i="7"/>
  <c r="VAE4" i="7"/>
  <c r="VAF4" i="7"/>
  <c r="VAG4" i="7"/>
  <c r="VAH4" i="7"/>
  <c r="VAI4" i="7"/>
  <c r="VAJ4" i="7"/>
  <c r="VAK4" i="7"/>
  <c r="VAL4" i="7"/>
  <c r="VAM4" i="7"/>
  <c r="VAN4" i="7"/>
  <c r="VAO4" i="7"/>
  <c r="VAP4" i="7"/>
  <c r="VAQ4" i="7"/>
  <c r="VAR4" i="7"/>
  <c r="VAS4" i="7"/>
  <c r="VAT4" i="7"/>
  <c r="VAU4" i="7"/>
  <c r="VAV4" i="7"/>
  <c r="VAW4" i="7"/>
  <c r="VAX4" i="7"/>
  <c r="VAY4" i="7"/>
  <c r="VAZ4" i="7"/>
  <c r="VBA4" i="7"/>
  <c r="VBB4" i="7"/>
  <c r="VBC4" i="7"/>
  <c r="VBD4" i="7"/>
  <c r="VBE4" i="7"/>
  <c r="VBF4" i="7"/>
  <c r="VBG4" i="7"/>
  <c r="VBH4" i="7"/>
  <c r="VBI4" i="7"/>
  <c r="VBJ4" i="7"/>
  <c r="VBK4" i="7"/>
  <c r="VBL4" i="7"/>
  <c r="VBM4" i="7"/>
  <c r="VBN4" i="7"/>
  <c r="VBO4" i="7"/>
  <c r="VBP4" i="7"/>
  <c r="VBQ4" i="7"/>
  <c r="VBR4" i="7"/>
  <c r="VBS4" i="7"/>
  <c r="VBT4" i="7"/>
  <c r="VBU4" i="7"/>
  <c r="VBV4" i="7"/>
  <c r="VBW4" i="7"/>
  <c r="VBX4" i="7"/>
  <c r="VBY4" i="7"/>
  <c r="VBZ4" i="7"/>
  <c r="VCA4" i="7"/>
  <c r="VCB4" i="7"/>
  <c r="VCC4" i="7"/>
  <c r="VCD4" i="7"/>
  <c r="VCE4" i="7"/>
  <c r="VCF4" i="7"/>
  <c r="VCG4" i="7"/>
  <c r="VCH4" i="7"/>
  <c r="VCI4" i="7"/>
  <c r="VCJ4" i="7"/>
  <c r="VCK4" i="7"/>
  <c r="VCL4" i="7"/>
  <c r="VCM4" i="7"/>
  <c r="VCN4" i="7"/>
  <c r="VCO4" i="7"/>
  <c r="VCP4" i="7"/>
  <c r="VCQ4" i="7"/>
  <c r="VCR4" i="7"/>
  <c r="VCS4" i="7"/>
  <c r="VCT4" i="7"/>
  <c r="VCU4" i="7"/>
  <c r="VCV4" i="7"/>
  <c r="VCW4" i="7"/>
  <c r="VCX4" i="7"/>
  <c r="VCY4" i="7"/>
  <c r="VCZ4" i="7"/>
  <c r="VDA4" i="7"/>
  <c r="VDB4" i="7"/>
  <c r="VDC4" i="7"/>
  <c r="VDD4" i="7"/>
  <c r="VDE4" i="7"/>
  <c r="VDF4" i="7"/>
  <c r="VDG4" i="7"/>
  <c r="VDH4" i="7"/>
  <c r="VDI4" i="7"/>
  <c r="VDJ4" i="7"/>
  <c r="VDK4" i="7"/>
  <c r="VDL4" i="7"/>
  <c r="VDM4" i="7"/>
  <c r="VDN4" i="7"/>
  <c r="VDO4" i="7"/>
  <c r="VDP4" i="7"/>
  <c r="VDQ4" i="7"/>
  <c r="VDR4" i="7"/>
  <c r="VDS4" i="7"/>
  <c r="VDT4" i="7"/>
  <c r="VDU4" i="7"/>
  <c r="VDV4" i="7"/>
  <c r="VDW4" i="7"/>
  <c r="VDX4" i="7"/>
  <c r="VDY4" i="7"/>
  <c r="VDZ4" i="7"/>
  <c r="VEA4" i="7"/>
  <c r="VEB4" i="7"/>
  <c r="VEC4" i="7"/>
  <c r="VED4" i="7"/>
  <c r="VEE4" i="7"/>
  <c r="VEF4" i="7"/>
  <c r="VEG4" i="7"/>
  <c r="VEH4" i="7"/>
  <c r="VEI4" i="7"/>
  <c r="VEJ4" i="7"/>
  <c r="VEK4" i="7"/>
  <c r="VEL4" i="7"/>
  <c r="VEM4" i="7"/>
  <c r="VEN4" i="7"/>
  <c r="VEO4" i="7"/>
  <c r="VEP4" i="7"/>
  <c r="VEQ4" i="7"/>
  <c r="VER4" i="7"/>
  <c r="VES4" i="7"/>
  <c r="VET4" i="7"/>
  <c r="VEU4" i="7"/>
  <c r="VEV4" i="7"/>
  <c r="VEW4" i="7"/>
  <c r="VEX4" i="7"/>
  <c r="VEY4" i="7"/>
  <c r="VEZ4" i="7"/>
  <c r="VFA4" i="7"/>
  <c r="VFB4" i="7"/>
  <c r="VFC4" i="7"/>
  <c r="VFD4" i="7"/>
  <c r="VFE4" i="7"/>
  <c r="VFF4" i="7"/>
  <c r="VFG4" i="7"/>
  <c r="VFH4" i="7"/>
  <c r="VFI4" i="7"/>
  <c r="VFJ4" i="7"/>
  <c r="VFK4" i="7"/>
  <c r="VFL4" i="7"/>
  <c r="VFM4" i="7"/>
  <c r="VFN4" i="7"/>
  <c r="VFO4" i="7"/>
  <c r="VFP4" i="7"/>
  <c r="VFQ4" i="7"/>
  <c r="VFR4" i="7"/>
  <c r="VFS4" i="7"/>
  <c r="VFT4" i="7"/>
  <c r="VFU4" i="7"/>
  <c r="VFV4" i="7"/>
  <c r="VFW4" i="7"/>
  <c r="VFX4" i="7"/>
  <c r="VFY4" i="7"/>
  <c r="VFZ4" i="7"/>
  <c r="VGA4" i="7"/>
  <c r="VGB4" i="7"/>
  <c r="VGC4" i="7"/>
  <c r="VGD4" i="7"/>
  <c r="VGE4" i="7"/>
  <c r="VGF4" i="7"/>
  <c r="VGG4" i="7"/>
  <c r="VGH4" i="7"/>
  <c r="VGI4" i="7"/>
  <c r="VGJ4" i="7"/>
  <c r="VGK4" i="7"/>
  <c r="VGL4" i="7"/>
  <c r="VGM4" i="7"/>
  <c r="VGN4" i="7"/>
  <c r="VGO4" i="7"/>
  <c r="VGP4" i="7"/>
  <c r="VGQ4" i="7"/>
  <c r="VGR4" i="7"/>
  <c r="VGS4" i="7"/>
  <c r="VGT4" i="7"/>
  <c r="VGU4" i="7"/>
  <c r="VGV4" i="7"/>
  <c r="VGW4" i="7"/>
  <c r="VGX4" i="7"/>
  <c r="VGY4" i="7"/>
  <c r="VGZ4" i="7"/>
  <c r="VHA4" i="7"/>
  <c r="VHB4" i="7"/>
  <c r="VHC4" i="7"/>
  <c r="VHD4" i="7"/>
  <c r="VHE4" i="7"/>
  <c r="VHF4" i="7"/>
  <c r="VHG4" i="7"/>
  <c r="VHH4" i="7"/>
  <c r="VHI4" i="7"/>
  <c r="VHJ4" i="7"/>
  <c r="VHK4" i="7"/>
  <c r="VHL4" i="7"/>
  <c r="VHM4" i="7"/>
  <c r="VHN4" i="7"/>
  <c r="VHO4" i="7"/>
  <c r="VHP4" i="7"/>
  <c r="VHQ4" i="7"/>
  <c r="VHR4" i="7"/>
  <c r="VHS4" i="7"/>
  <c r="VHT4" i="7"/>
  <c r="VHU4" i="7"/>
  <c r="VHV4" i="7"/>
  <c r="VHW4" i="7"/>
  <c r="VHX4" i="7"/>
  <c r="VHY4" i="7"/>
  <c r="VHZ4" i="7"/>
  <c r="VIA4" i="7"/>
  <c r="VIB4" i="7"/>
  <c r="VIC4" i="7"/>
  <c r="VID4" i="7"/>
  <c r="VIE4" i="7"/>
  <c r="VIF4" i="7"/>
  <c r="VIG4" i="7"/>
  <c r="VIH4" i="7"/>
  <c r="VII4" i="7"/>
  <c r="VIJ4" i="7"/>
  <c r="VIK4" i="7"/>
  <c r="VIL4" i="7"/>
  <c r="VIM4" i="7"/>
  <c r="VIN4" i="7"/>
  <c r="VIO4" i="7"/>
  <c r="VIP4" i="7"/>
  <c r="VIQ4" i="7"/>
  <c r="VIR4" i="7"/>
  <c r="VIS4" i="7"/>
  <c r="VIT4" i="7"/>
  <c r="VIU4" i="7"/>
  <c r="VIV4" i="7"/>
  <c r="VIW4" i="7"/>
  <c r="VIX4" i="7"/>
  <c r="VIY4" i="7"/>
  <c r="VIZ4" i="7"/>
  <c r="VJA4" i="7"/>
  <c r="VJB4" i="7"/>
  <c r="VJC4" i="7"/>
  <c r="VJD4" i="7"/>
  <c r="VJE4" i="7"/>
  <c r="VJF4" i="7"/>
  <c r="VJG4" i="7"/>
  <c r="VJH4" i="7"/>
  <c r="VJI4" i="7"/>
  <c r="VJJ4" i="7"/>
  <c r="VJK4" i="7"/>
  <c r="VJL4" i="7"/>
  <c r="VJM4" i="7"/>
  <c r="VJN4" i="7"/>
  <c r="VJO4" i="7"/>
  <c r="VJP4" i="7"/>
  <c r="VJQ4" i="7"/>
  <c r="VJR4" i="7"/>
  <c r="VJS4" i="7"/>
  <c r="VJT4" i="7"/>
  <c r="VJU4" i="7"/>
  <c r="VJV4" i="7"/>
  <c r="VJW4" i="7"/>
  <c r="VJX4" i="7"/>
  <c r="VJY4" i="7"/>
  <c r="VJZ4" i="7"/>
  <c r="VKA4" i="7"/>
  <c r="VKB4" i="7"/>
  <c r="VKC4" i="7"/>
  <c r="VKD4" i="7"/>
  <c r="VKE4" i="7"/>
  <c r="VKF4" i="7"/>
  <c r="VKG4" i="7"/>
  <c r="VKH4" i="7"/>
  <c r="VKI4" i="7"/>
  <c r="VKJ4" i="7"/>
  <c r="VKK4" i="7"/>
  <c r="VKL4" i="7"/>
  <c r="VKM4" i="7"/>
  <c r="VKN4" i="7"/>
  <c r="VKO4" i="7"/>
  <c r="VKP4" i="7"/>
  <c r="VKQ4" i="7"/>
  <c r="VKR4" i="7"/>
  <c r="VKS4" i="7"/>
  <c r="VKT4" i="7"/>
  <c r="VKU4" i="7"/>
  <c r="VKV4" i="7"/>
  <c r="VKW4" i="7"/>
  <c r="VKX4" i="7"/>
  <c r="VKY4" i="7"/>
  <c r="VKZ4" i="7"/>
  <c r="VLA4" i="7"/>
  <c r="VLB4" i="7"/>
  <c r="VLC4" i="7"/>
  <c r="VLD4" i="7"/>
  <c r="VLE4" i="7"/>
  <c r="VLF4" i="7"/>
  <c r="VLG4" i="7"/>
  <c r="VLH4" i="7"/>
  <c r="VLI4" i="7"/>
  <c r="VLJ4" i="7"/>
  <c r="VLK4" i="7"/>
  <c r="VLL4" i="7"/>
  <c r="VLM4" i="7"/>
  <c r="VLN4" i="7"/>
  <c r="VLO4" i="7"/>
  <c r="VLP4" i="7"/>
  <c r="VLQ4" i="7"/>
  <c r="VLR4" i="7"/>
  <c r="VLS4" i="7"/>
  <c r="VLT4" i="7"/>
  <c r="VLU4" i="7"/>
  <c r="VLV4" i="7"/>
  <c r="VLW4" i="7"/>
  <c r="VLX4" i="7"/>
  <c r="VLY4" i="7"/>
  <c r="VLZ4" i="7"/>
  <c r="VMA4" i="7"/>
  <c r="VMB4" i="7"/>
  <c r="VMC4" i="7"/>
  <c r="VMD4" i="7"/>
  <c r="VME4" i="7"/>
  <c r="VMF4" i="7"/>
  <c r="VMG4" i="7"/>
  <c r="VMH4" i="7"/>
  <c r="VMI4" i="7"/>
  <c r="VMJ4" i="7"/>
  <c r="VMK4" i="7"/>
  <c r="VML4" i="7"/>
  <c r="VMM4" i="7"/>
  <c r="VMN4" i="7"/>
  <c r="VMO4" i="7"/>
  <c r="VMP4" i="7"/>
  <c r="VMQ4" i="7"/>
  <c r="VMR4" i="7"/>
  <c r="VMS4" i="7"/>
  <c r="VMT4" i="7"/>
  <c r="VMU4" i="7"/>
  <c r="VMV4" i="7"/>
  <c r="VMW4" i="7"/>
  <c r="VMX4" i="7"/>
  <c r="VMY4" i="7"/>
  <c r="VMZ4" i="7"/>
  <c r="VNA4" i="7"/>
  <c r="VNB4" i="7"/>
  <c r="VNC4" i="7"/>
  <c r="VND4" i="7"/>
  <c r="VNE4" i="7"/>
  <c r="VNF4" i="7"/>
  <c r="VNG4" i="7"/>
  <c r="VNH4" i="7"/>
  <c r="VNI4" i="7"/>
  <c r="VNJ4" i="7"/>
  <c r="VNK4" i="7"/>
  <c r="VNL4" i="7"/>
  <c r="VNM4" i="7"/>
  <c r="VNN4" i="7"/>
  <c r="VNO4" i="7"/>
  <c r="VNP4" i="7"/>
  <c r="VNQ4" i="7"/>
  <c r="VNR4" i="7"/>
  <c r="VNS4" i="7"/>
  <c r="VNT4" i="7"/>
  <c r="VNU4" i="7"/>
  <c r="VNV4" i="7"/>
  <c r="VNW4" i="7"/>
  <c r="VNX4" i="7"/>
  <c r="VNY4" i="7"/>
  <c r="VNZ4" i="7"/>
  <c r="VOA4" i="7"/>
  <c r="VOB4" i="7"/>
  <c r="VOC4" i="7"/>
  <c r="VOD4" i="7"/>
  <c r="VOE4" i="7"/>
  <c r="VOF4" i="7"/>
  <c r="VOG4" i="7"/>
  <c r="VOH4" i="7"/>
  <c r="VOI4" i="7"/>
  <c r="VOJ4" i="7"/>
  <c r="VOK4" i="7"/>
  <c r="VOL4" i="7"/>
  <c r="VOM4" i="7"/>
  <c r="VON4" i="7"/>
  <c r="VOO4" i="7"/>
  <c r="VOP4" i="7"/>
  <c r="VOQ4" i="7"/>
  <c r="VOR4" i="7"/>
  <c r="VOS4" i="7"/>
  <c r="VOT4" i="7"/>
  <c r="VOU4" i="7"/>
  <c r="VOV4" i="7"/>
  <c r="VOW4" i="7"/>
  <c r="VOX4" i="7"/>
  <c r="VOY4" i="7"/>
  <c r="VOZ4" i="7"/>
  <c r="VPA4" i="7"/>
  <c r="VPB4" i="7"/>
  <c r="VPC4" i="7"/>
  <c r="VPD4" i="7"/>
  <c r="VPE4" i="7"/>
  <c r="VPF4" i="7"/>
  <c r="VPG4" i="7"/>
  <c r="VPH4" i="7"/>
  <c r="VPI4" i="7"/>
  <c r="VPJ4" i="7"/>
  <c r="VPK4" i="7"/>
  <c r="VPL4" i="7"/>
  <c r="VPM4" i="7"/>
  <c r="VPN4" i="7"/>
  <c r="VPO4" i="7"/>
  <c r="VPP4" i="7"/>
  <c r="VPQ4" i="7"/>
  <c r="VPR4" i="7"/>
  <c r="VPS4" i="7"/>
  <c r="VPT4" i="7"/>
  <c r="VPU4" i="7"/>
  <c r="VPV4" i="7"/>
  <c r="VPW4" i="7"/>
  <c r="VPX4" i="7"/>
  <c r="VPY4" i="7"/>
  <c r="VPZ4" i="7"/>
  <c r="VQA4" i="7"/>
  <c r="VQB4" i="7"/>
  <c r="VQC4" i="7"/>
  <c r="VQD4" i="7"/>
  <c r="VQE4" i="7"/>
  <c r="VQF4" i="7"/>
  <c r="VQG4" i="7"/>
  <c r="VQH4" i="7"/>
  <c r="VQI4" i="7"/>
  <c r="VQJ4" i="7"/>
  <c r="VQK4" i="7"/>
  <c r="VQL4" i="7"/>
  <c r="VQM4" i="7"/>
  <c r="VQN4" i="7"/>
  <c r="VQO4" i="7"/>
  <c r="VQP4" i="7"/>
  <c r="VQQ4" i="7"/>
  <c r="VQR4" i="7"/>
  <c r="VQS4" i="7"/>
  <c r="VQT4" i="7"/>
  <c r="VQU4" i="7"/>
  <c r="VQV4" i="7"/>
  <c r="VQW4" i="7"/>
  <c r="VQX4" i="7"/>
  <c r="VQY4" i="7"/>
  <c r="VQZ4" i="7"/>
  <c r="VRA4" i="7"/>
  <c r="VRB4" i="7"/>
  <c r="VRC4" i="7"/>
  <c r="VRD4" i="7"/>
  <c r="VRE4" i="7"/>
  <c r="VRF4" i="7"/>
  <c r="VRG4" i="7"/>
  <c r="VRH4" i="7"/>
  <c r="VRI4" i="7"/>
  <c r="VRJ4" i="7"/>
  <c r="VRK4" i="7"/>
  <c r="VRL4" i="7"/>
  <c r="VRM4" i="7"/>
  <c r="VRN4" i="7"/>
  <c r="VRO4" i="7"/>
  <c r="VRP4" i="7"/>
  <c r="VRQ4" i="7"/>
  <c r="VRR4" i="7"/>
  <c r="VRS4" i="7"/>
  <c r="VRT4" i="7"/>
  <c r="VRU4" i="7"/>
  <c r="VRV4" i="7"/>
  <c r="VRW4" i="7"/>
  <c r="VRX4" i="7"/>
  <c r="VRY4" i="7"/>
  <c r="VRZ4" i="7"/>
  <c r="VSA4" i="7"/>
  <c r="VSB4" i="7"/>
  <c r="VSC4" i="7"/>
  <c r="VSD4" i="7"/>
  <c r="VSE4" i="7"/>
  <c r="VSF4" i="7"/>
  <c r="VSG4" i="7"/>
  <c r="VSH4" i="7"/>
  <c r="VSI4" i="7"/>
  <c r="VSJ4" i="7"/>
  <c r="VSK4" i="7"/>
  <c r="VSL4" i="7"/>
  <c r="VSM4" i="7"/>
  <c r="VSN4" i="7"/>
  <c r="VSO4" i="7"/>
  <c r="VSP4" i="7"/>
  <c r="VSQ4" i="7"/>
  <c r="VSR4" i="7"/>
  <c r="VSS4" i="7"/>
  <c r="VST4" i="7"/>
  <c r="VSU4" i="7"/>
  <c r="VSV4" i="7"/>
  <c r="VSW4" i="7"/>
  <c r="VSX4" i="7"/>
  <c r="VSY4" i="7"/>
  <c r="VSZ4" i="7"/>
  <c r="VTA4" i="7"/>
  <c r="VTB4" i="7"/>
  <c r="VTC4" i="7"/>
  <c r="VTD4" i="7"/>
  <c r="VTE4" i="7"/>
  <c r="VTF4" i="7"/>
  <c r="VTG4" i="7"/>
  <c r="VTH4" i="7"/>
  <c r="VTI4" i="7"/>
  <c r="VTJ4" i="7"/>
  <c r="VTK4" i="7"/>
  <c r="VTL4" i="7"/>
  <c r="VTM4" i="7"/>
  <c r="VTN4" i="7"/>
  <c r="VTO4" i="7"/>
  <c r="VTP4" i="7"/>
  <c r="VTQ4" i="7"/>
  <c r="VTR4" i="7"/>
  <c r="VTS4" i="7"/>
  <c r="VTT4" i="7"/>
  <c r="VTU4" i="7"/>
  <c r="VTV4" i="7"/>
  <c r="VTW4" i="7"/>
  <c r="VTX4" i="7"/>
  <c r="VTY4" i="7"/>
  <c r="VTZ4" i="7"/>
  <c r="VUA4" i="7"/>
  <c r="VUB4" i="7"/>
  <c r="VUC4" i="7"/>
  <c r="VUD4" i="7"/>
  <c r="VUE4" i="7"/>
  <c r="VUF4" i="7"/>
  <c r="VUG4" i="7"/>
  <c r="VUH4" i="7"/>
  <c r="VUI4" i="7"/>
  <c r="VUJ4" i="7"/>
  <c r="VUK4" i="7"/>
  <c r="VUL4" i="7"/>
  <c r="VUM4" i="7"/>
  <c r="VUN4" i="7"/>
  <c r="VUO4" i="7"/>
  <c r="VUP4" i="7"/>
  <c r="VUQ4" i="7"/>
  <c r="VUR4" i="7"/>
  <c r="VUS4" i="7"/>
  <c r="VUT4" i="7"/>
  <c r="VUU4" i="7"/>
  <c r="VUV4" i="7"/>
  <c r="VUW4" i="7"/>
  <c r="VUX4" i="7"/>
  <c r="VUY4" i="7"/>
  <c r="VUZ4" i="7"/>
  <c r="VVA4" i="7"/>
  <c r="VVB4" i="7"/>
  <c r="VVC4" i="7"/>
  <c r="VVD4" i="7"/>
  <c r="VVE4" i="7"/>
  <c r="VVF4" i="7"/>
  <c r="VVG4" i="7"/>
  <c r="VVH4" i="7"/>
  <c r="VVI4" i="7"/>
  <c r="VVJ4" i="7"/>
  <c r="VVK4" i="7"/>
  <c r="VVL4" i="7"/>
  <c r="VVM4" i="7"/>
  <c r="VVN4" i="7"/>
  <c r="VVO4" i="7"/>
  <c r="VVP4" i="7"/>
  <c r="VVQ4" i="7"/>
  <c r="VVR4" i="7"/>
  <c r="VVS4" i="7"/>
  <c r="VVT4" i="7"/>
  <c r="VVU4" i="7"/>
  <c r="VVV4" i="7"/>
  <c r="VVW4" i="7"/>
  <c r="VVX4" i="7"/>
  <c r="VVY4" i="7"/>
  <c r="VVZ4" i="7"/>
  <c r="VWA4" i="7"/>
  <c r="VWB4" i="7"/>
  <c r="VWC4" i="7"/>
  <c r="VWD4" i="7"/>
  <c r="VWE4" i="7"/>
  <c r="VWF4" i="7"/>
  <c r="VWG4" i="7"/>
  <c r="VWH4" i="7"/>
  <c r="VWI4" i="7"/>
  <c r="VWJ4" i="7"/>
  <c r="VWK4" i="7"/>
  <c r="VWL4" i="7"/>
  <c r="VWM4" i="7"/>
  <c r="VWN4" i="7"/>
  <c r="VWO4" i="7"/>
  <c r="VWP4" i="7"/>
  <c r="VWQ4" i="7"/>
  <c r="VWR4" i="7"/>
  <c r="VWS4" i="7"/>
  <c r="VWT4" i="7"/>
  <c r="VWU4" i="7"/>
  <c r="VWV4" i="7"/>
  <c r="VWW4" i="7"/>
  <c r="VWX4" i="7"/>
  <c r="VWY4" i="7"/>
  <c r="VWZ4" i="7"/>
  <c r="VXA4" i="7"/>
  <c r="VXB4" i="7"/>
  <c r="VXC4" i="7"/>
  <c r="VXD4" i="7"/>
  <c r="VXE4" i="7"/>
  <c r="VXF4" i="7"/>
  <c r="VXG4" i="7"/>
  <c r="VXH4" i="7"/>
  <c r="VXI4" i="7"/>
  <c r="VXJ4" i="7"/>
  <c r="VXK4" i="7"/>
  <c r="VXL4" i="7"/>
  <c r="VXM4" i="7"/>
  <c r="VXN4" i="7"/>
  <c r="VXO4" i="7"/>
  <c r="VXP4" i="7"/>
  <c r="VXQ4" i="7"/>
  <c r="VXR4" i="7"/>
  <c r="VXS4" i="7"/>
  <c r="VXT4" i="7"/>
  <c r="VXU4" i="7"/>
  <c r="VXV4" i="7"/>
  <c r="VXW4" i="7"/>
  <c r="VXX4" i="7"/>
  <c r="VXY4" i="7"/>
  <c r="VXZ4" i="7"/>
  <c r="VYA4" i="7"/>
  <c r="VYB4" i="7"/>
  <c r="VYC4" i="7"/>
  <c r="VYD4" i="7"/>
  <c r="VYE4" i="7"/>
  <c r="VYF4" i="7"/>
  <c r="VYG4" i="7"/>
  <c r="VYH4" i="7"/>
  <c r="VYI4" i="7"/>
  <c r="VYJ4" i="7"/>
  <c r="VYK4" i="7"/>
  <c r="VYL4" i="7"/>
  <c r="VYM4" i="7"/>
  <c r="VYN4" i="7"/>
  <c r="VYO4" i="7"/>
  <c r="VYP4" i="7"/>
  <c r="VYQ4" i="7"/>
  <c r="VYR4" i="7"/>
  <c r="VYS4" i="7"/>
  <c r="VYT4" i="7"/>
  <c r="VYU4" i="7"/>
  <c r="VYV4" i="7"/>
  <c r="VYW4" i="7"/>
  <c r="VYX4" i="7"/>
  <c r="VYY4" i="7"/>
  <c r="VYZ4" i="7"/>
  <c r="VZA4" i="7"/>
  <c r="VZB4" i="7"/>
  <c r="VZC4" i="7"/>
  <c r="VZD4" i="7"/>
  <c r="VZE4" i="7"/>
  <c r="VZF4" i="7"/>
  <c r="VZG4" i="7"/>
  <c r="VZH4" i="7"/>
  <c r="VZI4" i="7"/>
  <c r="VZJ4" i="7"/>
  <c r="VZK4" i="7"/>
  <c r="VZL4" i="7"/>
  <c r="VZM4" i="7"/>
  <c r="VZN4" i="7"/>
  <c r="VZO4" i="7"/>
  <c r="VZP4" i="7"/>
  <c r="VZQ4" i="7"/>
  <c r="VZR4" i="7"/>
  <c r="VZS4" i="7"/>
  <c r="VZT4" i="7"/>
  <c r="VZU4" i="7"/>
  <c r="VZV4" i="7"/>
  <c r="VZW4" i="7"/>
  <c r="VZX4" i="7"/>
  <c r="VZY4" i="7"/>
  <c r="VZZ4" i="7"/>
  <c r="WAA4" i="7"/>
  <c r="WAB4" i="7"/>
  <c r="WAC4" i="7"/>
  <c r="WAD4" i="7"/>
  <c r="WAE4" i="7"/>
  <c r="WAF4" i="7"/>
  <c r="WAG4" i="7"/>
  <c r="WAH4" i="7"/>
  <c r="WAI4" i="7"/>
  <c r="WAJ4" i="7"/>
  <c r="WAK4" i="7"/>
  <c r="WAL4" i="7"/>
  <c r="WAM4" i="7"/>
  <c r="WAN4" i="7"/>
  <c r="WAO4" i="7"/>
  <c r="WAP4" i="7"/>
  <c r="WAQ4" i="7"/>
  <c r="WAR4" i="7"/>
  <c r="WAS4" i="7"/>
  <c r="WAT4" i="7"/>
  <c r="WAU4" i="7"/>
  <c r="WAV4" i="7"/>
  <c r="WAW4" i="7"/>
  <c r="WAX4" i="7"/>
  <c r="WAY4" i="7"/>
  <c r="WAZ4" i="7"/>
  <c r="WBA4" i="7"/>
  <c r="WBB4" i="7"/>
  <c r="WBC4" i="7"/>
  <c r="WBD4" i="7"/>
  <c r="WBE4" i="7"/>
  <c r="WBF4" i="7"/>
  <c r="WBG4" i="7"/>
  <c r="WBH4" i="7"/>
  <c r="WBI4" i="7"/>
  <c r="WBJ4" i="7"/>
  <c r="WBK4" i="7"/>
  <c r="WBL4" i="7"/>
  <c r="WBM4" i="7"/>
  <c r="WBN4" i="7"/>
  <c r="WBO4" i="7"/>
  <c r="WBP4" i="7"/>
  <c r="WBQ4" i="7"/>
  <c r="WBR4" i="7"/>
  <c r="WBS4" i="7"/>
  <c r="WBT4" i="7"/>
  <c r="WBU4" i="7"/>
  <c r="WBV4" i="7"/>
  <c r="WBW4" i="7"/>
  <c r="WBX4" i="7"/>
  <c r="WBY4" i="7"/>
  <c r="WBZ4" i="7"/>
  <c r="WCA4" i="7"/>
  <c r="WCB4" i="7"/>
  <c r="WCC4" i="7"/>
  <c r="WCD4" i="7"/>
  <c r="WCE4" i="7"/>
  <c r="WCF4" i="7"/>
  <c r="WCG4" i="7"/>
  <c r="WCH4" i="7"/>
  <c r="WCI4" i="7"/>
  <c r="WCJ4" i="7"/>
  <c r="WCK4" i="7"/>
  <c r="WCL4" i="7"/>
  <c r="WCM4" i="7"/>
  <c r="WCN4" i="7"/>
  <c r="WCO4" i="7"/>
  <c r="WCP4" i="7"/>
  <c r="WCQ4" i="7"/>
  <c r="WCR4" i="7"/>
  <c r="WCS4" i="7"/>
  <c r="WCT4" i="7"/>
  <c r="WCU4" i="7"/>
  <c r="WCV4" i="7"/>
  <c r="WCW4" i="7"/>
  <c r="WCX4" i="7"/>
  <c r="WCY4" i="7"/>
  <c r="WCZ4" i="7"/>
  <c r="WDA4" i="7"/>
  <c r="WDB4" i="7"/>
  <c r="WDC4" i="7"/>
  <c r="WDD4" i="7"/>
  <c r="WDE4" i="7"/>
  <c r="WDF4" i="7"/>
  <c r="WDG4" i="7"/>
  <c r="WDH4" i="7"/>
  <c r="WDI4" i="7"/>
  <c r="WDJ4" i="7"/>
  <c r="WDK4" i="7"/>
  <c r="WDL4" i="7"/>
  <c r="WDM4" i="7"/>
  <c r="WDN4" i="7"/>
  <c r="WDO4" i="7"/>
  <c r="WDP4" i="7"/>
  <c r="WDQ4" i="7"/>
  <c r="WDR4" i="7"/>
  <c r="WDS4" i="7"/>
  <c r="WDT4" i="7"/>
  <c r="WDU4" i="7"/>
  <c r="WDV4" i="7"/>
  <c r="WDW4" i="7"/>
  <c r="WDX4" i="7"/>
  <c r="WDY4" i="7"/>
  <c r="WDZ4" i="7"/>
  <c r="WEA4" i="7"/>
  <c r="WEB4" i="7"/>
  <c r="WEC4" i="7"/>
  <c r="WED4" i="7"/>
  <c r="WEE4" i="7"/>
  <c r="WEF4" i="7"/>
  <c r="WEG4" i="7"/>
  <c r="WEH4" i="7"/>
  <c r="WEI4" i="7"/>
  <c r="WEJ4" i="7"/>
  <c r="WEK4" i="7"/>
  <c r="WEL4" i="7"/>
  <c r="WEM4" i="7"/>
  <c r="WEN4" i="7"/>
  <c r="WEO4" i="7"/>
  <c r="WEP4" i="7"/>
  <c r="WEQ4" i="7"/>
  <c r="WER4" i="7"/>
  <c r="WES4" i="7"/>
  <c r="WET4" i="7"/>
  <c r="WEU4" i="7"/>
  <c r="WEV4" i="7"/>
  <c r="WEW4" i="7"/>
  <c r="WEX4" i="7"/>
  <c r="WEY4" i="7"/>
  <c r="WEZ4" i="7"/>
  <c r="WFA4" i="7"/>
  <c r="WFB4" i="7"/>
  <c r="WFC4" i="7"/>
  <c r="WFD4" i="7"/>
  <c r="WFE4" i="7"/>
  <c r="WFF4" i="7"/>
  <c r="WFG4" i="7"/>
  <c r="WFH4" i="7"/>
  <c r="WFI4" i="7"/>
  <c r="WFJ4" i="7"/>
  <c r="WFK4" i="7"/>
  <c r="WFL4" i="7"/>
  <c r="WFM4" i="7"/>
  <c r="WFN4" i="7"/>
  <c r="WFO4" i="7"/>
  <c r="WFP4" i="7"/>
  <c r="WFQ4" i="7"/>
  <c r="WFR4" i="7"/>
  <c r="WFS4" i="7"/>
  <c r="WFT4" i="7"/>
  <c r="WFU4" i="7"/>
  <c r="WFV4" i="7"/>
  <c r="WFW4" i="7"/>
  <c r="WFX4" i="7"/>
  <c r="WFY4" i="7"/>
  <c r="WFZ4" i="7"/>
  <c r="WGA4" i="7"/>
  <c r="WGB4" i="7"/>
  <c r="WGC4" i="7"/>
  <c r="WGD4" i="7"/>
  <c r="WGE4" i="7"/>
  <c r="WGF4" i="7"/>
  <c r="WGG4" i="7"/>
  <c r="WGH4" i="7"/>
  <c r="WGI4" i="7"/>
  <c r="WGJ4" i="7"/>
  <c r="WGK4" i="7"/>
  <c r="WGL4" i="7"/>
  <c r="WGM4" i="7"/>
  <c r="WGN4" i="7"/>
  <c r="WGO4" i="7"/>
  <c r="WGP4" i="7"/>
  <c r="WGQ4" i="7"/>
  <c r="WGR4" i="7"/>
  <c r="WGS4" i="7"/>
  <c r="WGT4" i="7"/>
  <c r="WGU4" i="7"/>
  <c r="WGV4" i="7"/>
  <c r="WGW4" i="7"/>
  <c r="WGX4" i="7"/>
  <c r="WGY4" i="7"/>
  <c r="WGZ4" i="7"/>
  <c r="WHA4" i="7"/>
  <c r="WHB4" i="7"/>
  <c r="WHC4" i="7"/>
  <c r="WHD4" i="7"/>
  <c r="WHE4" i="7"/>
  <c r="WHF4" i="7"/>
  <c r="WHG4" i="7"/>
  <c r="WHH4" i="7"/>
  <c r="WHI4" i="7"/>
  <c r="WHJ4" i="7"/>
  <c r="WHK4" i="7"/>
  <c r="WHL4" i="7"/>
  <c r="WHM4" i="7"/>
  <c r="WHN4" i="7"/>
  <c r="WHO4" i="7"/>
  <c r="WHP4" i="7"/>
  <c r="WHQ4" i="7"/>
  <c r="WHR4" i="7"/>
  <c r="WHS4" i="7"/>
  <c r="WHT4" i="7"/>
  <c r="WHU4" i="7"/>
  <c r="WHV4" i="7"/>
  <c r="WHW4" i="7"/>
  <c r="WHX4" i="7"/>
  <c r="WHY4" i="7"/>
  <c r="WHZ4" i="7"/>
  <c r="WIA4" i="7"/>
  <c r="WIB4" i="7"/>
  <c r="WIC4" i="7"/>
  <c r="WID4" i="7"/>
  <c r="WIE4" i="7"/>
  <c r="WIF4" i="7"/>
  <c r="WIG4" i="7"/>
  <c r="WIH4" i="7"/>
  <c r="WII4" i="7"/>
  <c r="WIJ4" i="7"/>
  <c r="WIK4" i="7"/>
  <c r="WIL4" i="7"/>
  <c r="WIM4" i="7"/>
  <c r="WIN4" i="7"/>
  <c r="WIO4" i="7"/>
  <c r="WIP4" i="7"/>
  <c r="WIQ4" i="7"/>
  <c r="WIR4" i="7"/>
  <c r="WIS4" i="7"/>
  <c r="WIT4" i="7"/>
  <c r="WIU4" i="7"/>
  <c r="WIV4" i="7"/>
  <c r="WIW4" i="7"/>
  <c r="WIX4" i="7"/>
  <c r="WIY4" i="7"/>
  <c r="WIZ4" i="7"/>
  <c r="WJA4" i="7"/>
  <c r="WJB4" i="7"/>
  <c r="WJC4" i="7"/>
  <c r="WJD4" i="7"/>
  <c r="WJE4" i="7"/>
  <c r="WJF4" i="7"/>
  <c r="WJG4" i="7"/>
  <c r="WJH4" i="7"/>
  <c r="WJI4" i="7"/>
  <c r="WJJ4" i="7"/>
  <c r="WJK4" i="7"/>
  <c r="WJL4" i="7"/>
  <c r="WJM4" i="7"/>
  <c r="WJN4" i="7"/>
  <c r="WJO4" i="7"/>
  <c r="WJP4" i="7"/>
  <c r="WJQ4" i="7"/>
  <c r="WJR4" i="7"/>
  <c r="WJS4" i="7"/>
  <c r="WJT4" i="7"/>
  <c r="WJU4" i="7"/>
  <c r="WJV4" i="7"/>
  <c r="WJW4" i="7"/>
  <c r="WJX4" i="7"/>
  <c r="WJY4" i="7"/>
  <c r="WJZ4" i="7"/>
  <c r="WKA4" i="7"/>
  <c r="WKB4" i="7"/>
  <c r="WKC4" i="7"/>
  <c r="WKD4" i="7"/>
  <c r="WKE4" i="7"/>
  <c r="WKF4" i="7"/>
  <c r="WKG4" i="7"/>
  <c r="WKH4" i="7"/>
  <c r="WKI4" i="7"/>
  <c r="WKJ4" i="7"/>
  <c r="WKK4" i="7"/>
  <c r="WKL4" i="7"/>
  <c r="WKM4" i="7"/>
  <c r="WKN4" i="7"/>
  <c r="WKO4" i="7"/>
  <c r="WKP4" i="7"/>
  <c r="WKQ4" i="7"/>
  <c r="WKR4" i="7"/>
  <c r="WKS4" i="7"/>
  <c r="WKT4" i="7"/>
  <c r="WKU4" i="7"/>
  <c r="WKV4" i="7"/>
  <c r="WKW4" i="7"/>
  <c r="WKX4" i="7"/>
  <c r="WKY4" i="7"/>
  <c r="WKZ4" i="7"/>
  <c r="WLA4" i="7"/>
  <c r="WLB4" i="7"/>
  <c r="WLC4" i="7"/>
  <c r="WLD4" i="7"/>
  <c r="WLE4" i="7"/>
  <c r="WLF4" i="7"/>
  <c r="WLG4" i="7"/>
  <c r="WLH4" i="7"/>
  <c r="WLI4" i="7"/>
  <c r="WLJ4" i="7"/>
  <c r="WLK4" i="7"/>
  <c r="WLL4" i="7"/>
  <c r="WLM4" i="7"/>
  <c r="WLN4" i="7"/>
  <c r="WLO4" i="7"/>
  <c r="WLP4" i="7"/>
  <c r="WLQ4" i="7"/>
  <c r="WLR4" i="7"/>
  <c r="WLS4" i="7"/>
  <c r="WLT4" i="7"/>
  <c r="WLU4" i="7"/>
  <c r="WLV4" i="7"/>
  <c r="WLW4" i="7"/>
  <c r="WLX4" i="7"/>
  <c r="WLY4" i="7"/>
  <c r="WLZ4" i="7"/>
  <c r="WMA4" i="7"/>
  <c r="WMB4" i="7"/>
  <c r="WMC4" i="7"/>
  <c r="WMD4" i="7"/>
  <c r="WME4" i="7"/>
  <c r="WMF4" i="7"/>
  <c r="WMG4" i="7"/>
  <c r="WMH4" i="7"/>
  <c r="WMI4" i="7"/>
  <c r="WMJ4" i="7"/>
  <c r="WMK4" i="7"/>
  <c r="WML4" i="7"/>
  <c r="WMM4" i="7"/>
  <c r="WMN4" i="7"/>
  <c r="WMO4" i="7"/>
  <c r="WMP4" i="7"/>
  <c r="WMQ4" i="7"/>
  <c r="WMR4" i="7"/>
  <c r="WMS4" i="7"/>
  <c r="WMT4" i="7"/>
  <c r="WMU4" i="7"/>
  <c r="WMV4" i="7"/>
  <c r="WMW4" i="7"/>
  <c r="WMX4" i="7"/>
  <c r="WMY4" i="7"/>
  <c r="WMZ4" i="7"/>
  <c r="WNA4" i="7"/>
  <c r="WNB4" i="7"/>
  <c r="WNC4" i="7"/>
  <c r="WND4" i="7"/>
  <c r="WNE4" i="7"/>
  <c r="WNF4" i="7"/>
  <c r="WNG4" i="7"/>
  <c r="WNH4" i="7"/>
  <c r="WNI4" i="7"/>
  <c r="WNJ4" i="7"/>
  <c r="WNK4" i="7"/>
  <c r="WNL4" i="7"/>
  <c r="WNM4" i="7"/>
  <c r="WNN4" i="7"/>
  <c r="WNO4" i="7"/>
  <c r="WNP4" i="7"/>
  <c r="WNQ4" i="7"/>
  <c r="WNR4" i="7"/>
  <c r="WNS4" i="7"/>
  <c r="WNT4" i="7"/>
  <c r="WNU4" i="7"/>
  <c r="WNV4" i="7"/>
  <c r="WNW4" i="7"/>
  <c r="WNX4" i="7"/>
  <c r="WNY4" i="7"/>
  <c r="WNZ4" i="7"/>
  <c r="WOA4" i="7"/>
  <c r="WOB4" i="7"/>
  <c r="WOC4" i="7"/>
  <c r="WOD4" i="7"/>
  <c r="WOE4" i="7"/>
  <c r="WOF4" i="7"/>
  <c r="WOG4" i="7"/>
  <c r="WOH4" i="7"/>
  <c r="WOI4" i="7"/>
  <c r="WOJ4" i="7"/>
  <c r="WOK4" i="7"/>
  <c r="WOL4" i="7"/>
  <c r="WOM4" i="7"/>
  <c r="WON4" i="7"/>
  <c r="WOO4" i="7"/>
  <c r="WOP4" i="7"/>
  <c r="WOQ4" i="7"/>
  <c r="WOR4" i="7"/>
  <c r="WOS4" i="7"/>
  <c r="WOT4" i="7"/>
  <c r="WOU4" i="7"/>
  <c r="WOV4" i="7"/>
  <c r="WOW4" i="7"/>
  <c r="WOX4" i="7"/>
  <c r="WOY4" i="7"/>
  <c r="WOZ4" i="7"/>
  <c r="WPA4" i="7"/>
  <c r="WPB4" i="7"/>
  <c r="WPC4" i="7"/>
  <c r="WPD4" i="7"/>
  <c r="WPE4" i="7"/>
  <c r="WPF4" i="7"/>
  <c r="WPG4" i="7"/>
  <c r="WPH4" i="7"/>
  <c r="WPI4" i="7"/>
  <c r="WPJ4" i="7"/>
  <c r="WPK4" i="7"/>
  <c r="WPL4" i="7"/>
  <c r="WPM4" i="7"/>
  <c r="WPN4" i="7"/>
  <c r="WPO4" i="7"/>
  <c r="WPP4" i="7"/>
  <c r="WPQ4" i="7"/>
  <c r="WPR4" i="7"/>
  <c r="WPS4" i="7"/>
  <c r="WPT4" i="7"/>
  <c r="WPU4" i="7"/>
  <c r="WPV4" i="7"/>
  <c r="WPW4" i="7"/>
  <c r="WPX4" i="7"/>
  <c r="WPY4" i="7"/>
  <c r="WPZ4" i="7"/>
  <c r="WQA4" i="7"/>
  <c r="WQB4" i="7"/>
  <c r="WQC4" i="7"/>
  <c r="WQD4" i="7"/>
  <c r="WQE4" i="7"/>
  <c r="WQF4" i="7"/>
  <c r="WQG4" i="7"/>
  <c r="WQH4" i="7"/>
  <c r="WQI4" i="7"/>
  <c r="WQJ4" i="7"/>
  <c r="WQK4" i="7"/>
  <c r="WQL4" i="7"/>
  <c r="WQM4" i="7"/>
  <c r="WQN4" i="7"/>
  <c r="WQO4" i="7"/>
  <c r="WQP4" i="7"/>
  <c r="WQQ4" i="7"/>
  <c r="WQR4" i="7"/>
  <c r="WQS4" i="7"/>
  <c r="WQT4" i="7"/>
  <c r="WQU4" i="7"/>
  <c r="WQV4" i="7"/>
  <c r="WQW4" i="7"/>
  <c r="WQX4" i="7"/>
  <c r="WQY4" i="7"/>
  <c r="WQZ4" i="7"/>
  <c r="WRA4" i="7"/>
  <c r="WRB4" i="7"/>
  <c r="WRC4" i="7"/>
  <c r="WRD4" i="7"/>
  <c r="WRE4" i="7"/>
  <c r="WRF4" i="7"/>
  <c r="WRG4" i="7"/>
  <c r="WRH4" i="7"/>
  <c r="WRI4" i="7"/>
  <c r="WRJ4" i="7"/>
  <c r="WRK4" i="7"/>
  <c r="WRL4" i="7"/>
  <c r="WRM4" i="7"/>
  <c r="WRN4" i="7"/>
  <c r="WRO4" i="7"/>
  <c r="WRP4" i="7"/>
  <c r="WRQ4" i="7"/>
  <c r="WRR4" i="7"/>
  <c r="WRS4" i="7"/>
  <c r="WRT4" i="7"/>
  <c r="WRU4" i="7"/>
  <c r="WRV4" i="7"/>
  <c r="WRW4" i="7"/>
  <c r="WRX4" i="7"/>
  <c r="WRY4" i="7"/>
  <c r="WRZ4" i="7"/>
  <c r="WSA4" i="7"/>
  <c r="WSB4" i="7"/>
  <c r="WSC4" i="7"/>
  <c r="WSD4" i="7"/>
  <c r="WSE4" i="7"/>
  <c r="WSF4" i="7"/>
  <c r="WSG4" i="7"/>
  <c r="WSH4" i="7"/>
  <c r="WSI4" i="7"/>
  <c r="WSJ4" i="7"/>
  <c r="WSK4" i="7"/>
  <c r="WSL4" i="7"/>
  <c r="WSM4" i="7"/>
  <c r="WSN4" i="7"/>
  <c r="WSO4" i="7"/>
  <c r="WSP4" i="7"/>
  <c r="WSQ4" i="7"/>
  <c r="WSR4" i="7"/>
  <c r="WSS4" i="7"/>
  <c r="WST4" i="7"/>
  <c r="WSU4" i="7"/>
  <c r="WSV4" i="7"/>
  <c r="WSW4" i="7"/>
  <c r="WSX4" i="7"/>
  <c r="WSY4" i="7"/>
  <c r="WSZ4" i="7"/>
  <c r="WTA4" i="7"/>
  <c r="WTB4" i="7"/>
  <c r="WTC4" i="7"/>
  <c r="WTD4" i="7"/>
  <c r="WTE4" i="7"/>
  <c r="WTF4" i="7"/>
  <c r="WTG4" i="7"/>
  <c r="WTH4" i="7"/>
  <c r="WTI4" i="7"/>
  <c r="WTJ4" i="7"/>
  <c r="WTK4" i="7"/>
  <c r="WTL4" i="7"/>
  <c r="WTM4" i="7"/>
  <c r="WTN4" i="7"/>
  <c r="WTO4" i="7"/>
  <c r="WTP4" i="7"/>
  <c r="WTQ4" i="7"/>
  <c r="WTR4" i="7"/>
  <c r="WTS4" i="7"/>
  <c r="WTT4" i="7"/>
  <c r="WTU4" i="7"/>
  <c r="WTV4" i="7"/>
  <c r="WTW4" i="7"/>
  <c r="WTX4" i="7"/>
  <c r="WTY4" i="7"/>
  <c r="WTZ4" i="7"/>
  <c r="WUA4" i="7"/>
  <c r="WUB4" i="7"/>
  <c r="WUC4" i="7"/>
  <c r="WUD4" i="7"/>
  <c r="WUE4" i="7"/>
  <c r="WUF4" i="7"/>
  <c r="WUG4" i="7"/>
  <c r="WUH4" i="7"/>
  <c r="WUI4" i="7"/>
  <c r="WUJ4" i="7"/>
  <c r="WUK4" i="7"/>
  <c r="WUL4" i="7"/>
  <c r="WUM4" i="7"/>
  <c r="WUN4" i="7"/>
  <c r="WUO4" i="7"/>
  <c r="WUP4" i="7"/>
  <c r="WUQ4" i="7"/>
  <c r="WUR4" i="7"/>
  <c r="WUS4" i="7"/>
  <c r="WUT4" i="7"/>
  <c r="WUU4" i="7"/>
  <c r="WUV4" i="7"/>
  <c r="WUW4" i="7"/>
  <c r="WUX4" i="7"/>
  <c r="WUY4" i="7"/>
  <c r="WUZ4" i="7"/>
  <c r="WVA4" i="7"/>
  <c r="WVB4" i="7"/>
  <c r="WVC4" i="7"/>
  <c r="WVD4" i="7"/>
  <c r="WVE4" i="7"/>
  <c r="WVF4" i="7"/>
  <c r="WVG4" i="7"/>
  <c r="WVH4" i="7"/>
  <c r="WVI4" i="7"/>
  <c r="WVJ4" i="7"/>
  <c r="WVK4" i="7"/>
  <c r="WVL4" i="7"/>
  <c r="WVM4" i="7"/>
  <c r="WVN4" i="7"/>
  <c r="WVO4" i="7"/>
  <c r="WVP4" i="7"/>
  <c r="WVQ4" i="7"/>
  <c r="WVR4" i="7"/>
  <c r="WVS4" i="7"/>
  <c r="WVT4" i="7"/>
  <c r="WVU4" i="7"/>
  <c r="WVV4" i="7"/>
  <c r="WVW4" i="7"/>
  <c r="WVX4" i="7"/>
  <c r="WVY4" i="7"/>
  <c r="WVZ4" i="7"/>
  <c r="WWA4" i="7"/>
  <c r="WWB4" i="7"/>
  <c r="WWC4" i="7"/>
  <c r="WWD4" i="7"/>
  <c r="WWE4" i="7"/>
  <c r="WWF4" i="7"/>
  <c r="WWG4" i="7"/>
  <c r="WWH4" i="7"/>
  <c r="WWI4" i="7"/>
  <c r="WWJ4" i="7"/>
  <c r="WWK4" i="7"/>
  <c r="WWL4" i="7"/>
  <c r="WWM4" i="7"/>
  <c r="WWN4" i="7"/>
  <c r="WWO4" i="7"/>
  <c r="WWP4" i="7"/>
  <c r="WWQ4" i="7"/>
  <c r="WWR4" i="7"/>
  <c r="WWS4" i="7"/>
  <c r="WWT4" i="7"/>
  <c r="WWU4" i="7"/>
  <c r="WWV4" i="7"/>
  <c r="WWW4" i="7"/>
  <c r="WWX4" i="7"/>
  <c r="WWY4" i="7"/>
  <c r="WWZ4" i="7"/>
  <c r="WXA4" i="7"/>
  <c r="WXB4" i="7"/>
  <c r="WXC4" i="7"/>
  <c r="WXD4" i="7"/>
  <c r="WXE4" i="7"/>
  <c r="WXF4" i="7"/>
  <c r="WXG4" i="7"/>
  <c r="WXH4" i="7"/>
  <c r="WXI4" i="7"/>
  <c r="WXJ4" i="7"/>
  <c r="WXK4" i="7"/>
  <c r="WXL4" i="7"/>
  <c r="WXM4" i="7"/>
  <c r="WXN4" i="7"/>
  <c r="WXO4" i="7"/>
  <c r="WXP4" i="7"/>
  <c r="WXQ4" i="7"/>
  <c r="WXR4" i="7"/>
  <c r="WXS4" i="7"/>
  <c r="WXT4" i="7"/>
  <c r="WXU4" i="7"/>
  <c r="WXV4" i="7"/>
  <c r="WXW4" i="7"/>
  <c r="WXX4" i="7"/>
  <c r="WXY4" i="7"/>
  <c r="WXZ4" i="7"/>
  <c r="WYA4" i="7"/>
  <c r="WYB4" i="7"/>
  <c r="WYC4" i="7"/>
  <c r="WYD4" i="7"/>
  <c r="WYE4" i="7"/>
  <c r="WYF4" i="7"/>
  <c r="WYG4" i="7"/>
  <c r="WYH4" i="7"/>
  <c r="WYI4" i="7"/>
  <c r="WYJ4" i="7"/>
  <c r="WYK4" i="7"/>
  <c r="WYL4" i="7"/>
  <c r="WYM4" i="7"/>
  <c r="WYN4" i="7"/>
  <c r="WYO4" i="7"/>
  <c r="WYP4" i="7"/>
  <c r="WYQ4" i="7"/>
  <c r="WYR4" i="7"/>
  <c r="WYS4" i="7"/>
  <c r="WYT4" i="7"/>
  <c r="WYU4" i="7"/>
  <c r="WYV4" i="7"/>
  <c r="WYW4" i="7"/>
  <c r="WYX4" i="7"/>
  <c r="WYY4" i="7"/>
  <c r="WYZ4" i="7"/>
  <c r="WZA4" i="7"/>
  <c r="WZB4" i="7"/>
  <c r="WZC4" i="7"/>
  <c r="WZD4" i="7"/>
  <c r="WZE4" i="7"/>
  <c r="WZF4" i="7"/>
  <c r="WZG4" i="7"/>
  <c r="WZH4" i="7"/>
  <c r="WZI4" i="7"/>
  <c r="WZJ4" i="7"/>
  <c r="WZK4" i="7"/>
  <c r="WZL4" i="7"/>
  <c r="WZM4" i="7"/>
  <c r="WZN4" i="7"/>
  <c r="WZO4" i="7"/>
  <c r="WZP4" i="7"/>
  <c r="WZQ4" i="7"/>
  <c r="WZR4" i="7"/>
  <c r="WZS4" i="7"/>
  <c r="WZT4" i="7"/>
  <c r="WZU4" i="7"/>
  <c r="WZV4" i="7"/>
  <c r="WZW4" i="7"/>
  <c r="WZX4" i="7"/>
  <c r="WZY4" i="7"/>
  <c r="WZZ4" i="7"/>
  <c r="XAA4" i="7"/>
  <c r="XAB4" i="7"/>
  <c r="XAC4" i="7"/>
  <c r="XAD4" i="7"/>
  <c r="XAE4" i="7"/>
  <c r="XAF4" i="7"/>
  <c r="XAG4" i="7"/>
  <c r="XAH4" i="7"/>
  <c r="XAI4" i="7"/>
  <c r="XAJ4" i="7"/>
  <c r="XAK4" i="7"/>
  <c r="XAL4" i="7"/>
  <c r="XAM4" i="7"/>
  <c r="XAN4" i="7"/>
  <c r="XAO4" i="7"/>
  <c r="XAP4" i="7"/>
  <c r="XAQ4" i="7"/>
  <c r="XAR4" i="7"/>
  <c r="XAS4" i="7"/>
  <c r="XAT4" i="7"/>
  <c r="XAU4" i="7"/>
  <c r="XAV4" i="7"/>
  <c r="XAW4" i="7"/>
  <c r="XAX4" i="7"/>
  <c r="XAY4" i="7"/>
  <c r="XAZ4" i="7"/>
  <c r="XBA4" i="7"/>
  <c r="XBB4" i="7"/>
  <c r="XBC4" i="7"/>
  <c r="XBD4" i="7"/>
  <c r="XBE4" i="7"/>
  <c r="XBF4" i="7"/>
  <c r="XBG4" i="7"/>
  <c r="XBH4" i="7"/>
  <c r="XBI4" i="7"/>
  <c r="XBJ4" i="7"/>
  <c r="XBK4" i="7"/>
  <c r="XBL4" i="7"/>
  <c r="XBM4" i="7"/>
  <c r="XBN4" i="7"/>
  <c r="XBO4" i="7"/>
  <c r="XBP4" i="7"/>
  <c r="XBQ4" i="7"/>
  <c r="XBR4" i="7"/>
  <c r="XBS4" i="7"/>
  <c r="XBT4" i="7"/>
  <c r="XBU4" i="7"/>
  <c r="XBV4" i="7"/>
  <c r="XBW4" i="7"/>
  <c r="XBX4" i="7"/>
  <c r="XBY4" i="7"/>
  <c r="XBZ4" i="7"/>
  <c r="XCA4" i="7"/>
  <c r="XCB4" i="7"/>
  <c r="XCC4" i="7"/>
  <c r="XCD4" i="7"/>
  <c r="XCE4" i="7"/>
  <c r="XCF4" i="7"/>
  <c r="FVM5" i="7"/>
  <c r="FVN5" i="7"/>
  <c r="FVO5" i="7"/>
  <c r="FVP5" i="7"/>
  <c r="FVQ5" i="7"/>
  <c r="FVR5" i="7"/>
  <c r="FVS5" i="7"/>
  <c r="FVT5" i="7"/>
  <c r="FVU5" i="7"/>
  <c r="FVV5" i="7"/>
  <c r="FVW5" i="7"/>
  <c r="FVX5" i="7"/>
  <c r="FVY5" i="7"/>
  <c r="FVZ5" i="7"/>
  <c r="FWA5" i="7"/>
  <c r="FWB5" i="7"/>
  <c r="FWC5" i="7"/>
  <c r="FWD5" i="7"/>
  <c r="FWE5" i="7"/>
  <c r="FWF5" i="7"/>
  <c r="FWG5" i="7"/>
  <c r="FWH5" i="7"/>
  <c r="FWI5" i="7"/>
  <c r="FWJ5" i="7"/>
  <c r="FWK5" i="7"/>
  <c r="FWL5" i="7"/>
  <c r="FWM5" i="7"/>
  <c r="FWN5" i="7"/>
  <c r="FWO5" i="7"/>
  <c r="FWP5" i="7"/>
  <c r="FWQ5" i="7"/>
  <c r="FWR5" i="7"/>
  <c r="FWS5" i="7"/>
  <c r="FWT5" i="7"/>
  <c r="FWU5" i="7"/>
  <c r="FWV5" i="7"/>
  <c r="FWW5" i="7"/>
  <c r="FWX5" i="7"/>
  <c r="FWY5" i="7"/>
  <c r="FWZ5" i="7"/>
  <c r="FXA5" i="7"/>
  <c r="FXB5" i="7"/>
  <c r="FXC5" i="7"/>
  <c r="FXD5" i="7"/>
  <c r="FXE5" i="7"/>
  <c r="FXF5" i="7"/>
  <c r="FXG5" i="7"/>
  <c r="FXH5" i="7"/>
  <c r="FXI5" i="7"/>
  <c r="FXJ5" i="7"/>
  <c r="FXK5" i="7"/>
  <c r="FXL5" i="7"/>
  <c r="FXM5" i="7"/>
  <c r="FXN5" i="7"/>
  <c r="FXO5" i="7"/>
  <c r="FXP5" i="7"/>
  <c r="FXQ5" i="7"/>
  <c r="FXR5" i="7"/>
  <c r="FXS5" i="7"/>
  <c r="FXT5" i="7"/>
  <c r="FXU5" i="7"/>
  <c r="FXV5" i="7"/>
  <c r="FXW5" i="7"/>
  <c r="FXX5" i="7"/>
  <c r="FXY5" i="7"/>
  <c r="FXZ5" i="7"/>
  <c r="FYA5" i="7"/>
  <c r="FYB5" i="7"/>
  <c r="FYC5" i="7"/>
  <c r="FYD5" i="7"/>
  <c r="FYE5" i="7"/>
  <c r="FYF5" i="7"/>
  <c r="FYG5" i="7"/>
  <c r="FYH5" i="7"/>
  <c r="FYI5" i="7"/>
  <c r="FYJ5" i="7"/>
  <c r="FYK5" i="7"/>
  <c r="FYL5" i="7"/>
  <c r="FYM5" i="7"/>
  <c r="FYN5" i="7"/>
  <c r="FYO5" i="7"/>
  <c r="FYP5" i="7"/>
  <c r="FYQ5" i="7"/>
  <c r="FYR5" i="7"/>
  <c r="FYS5" i="7"/>
  <c r="FYT5" i="7"/>
  <c r="FYU5" i="7"/>
  <c r="FYV5" i="7"/>
  <c r="FYW5" i="7"/>
  <c r="FYX5" i="7"/>
  <c r="FYY5" i="7"/>
  <c r="FYZ5" i="7"/>
  <c r="FZA5" i="7"/>
  <c r="FZB5" i="7"/>
  <c r="FZC5" i="7"/>
  <c r="FZD5" i="7"/>
  <c r="FZE5" i="7"/>
  <c r="FZF5" i="7"/>
  <c r="FZG5" i="7"/>
  <c r="FZH5" i="7"/>
  <c r="FZI5" i="7"/>
  <c r="FZJ5" i="7"/>
  <c r="FZK5" i="7"/>
  <c r="FZL5" i="7"/>
  <c r="FZM5" i="7"/>
  <c r="FZN5" i="7"/>
  <c r="FZO5" i="7"/>
  <c r="FZP5" i="7"/>
  <c r="FZQ5" i="7"/>
  <c r="FZR5" i="7"/>
  <c r="FZS5" i="7"/>
  <c r="FZT5" i="7"/>
  <c r="FZU5" i="7"/>
  <c r="FZV5" i="7"/>
  <c r="FZW5" i="7"/>
  <c r="FZX5" i="7"/>
  <c r="FZY5" i="7"/>
  <c r="FZZ5" i="7"/>
  <c r="GAA5" i="7"/>
  <c r="GAB5" i="7"/>
  <c r="GAC5" i="7"/>
  <c r="GAD5" i="7"/>
  <c r="GAE5" i="7"/>
  <c r="GAF5" i="7"/>
  <c r="GAG5" i="7"/>
  <c r="GAH5" i="7"/>
  <c r="GAI5" i="7"/>
  <c r="GAJ5" i="7"/>
  <c r="GAK5" i="7"/>
  <c r="GAL5" i="7"/>
  <c r="GAM5" i="7"/>
  <c r="GAN5" i="7"/>
  <c r="GAO5" i="7"/>
  <c r="GAP5" i="7"/>
  <c r="GAQ5" i="7"/>
  <c r="GAR5" i="7"/>
  <c r="GAS5" i="7"/>
  <c r="GAT5" i="7"/>
  <c r="GAU5" i="7"/>
  <c r="GAV5" i="7"/>
  <c r="GAW5" i="7"/>
  <c r="GAX5" i="7"/>
  <c r="GAY5" i="7"/>
  <c r="GAZ5" i="7"/>
  <c r="GBA5" i="7"/>
  <c r="GBB5" i="7"/>
  <c r="GBC5" i="7"/>
  <c r="GBD5" i="7"/>
  <c r="GBE5" i="7"/>
  <c r="GBF5" i="7"/>
  <c r="GBG5" i="7"/>
  <c r="GBH5" i="7"/>
  <c r="GBI5" i="7"/>
  <c r="GBJ5" i="7"/>
  <c r="GBK5" i="7"/>
  <c r="GBL5" i="7"/>
  <c r="GBM5" i="7"/>
  <c r="GBN5" i="7"/>
  <c r="GBO5" i="7"/>
  <c r="GBP5" i="7"/>
  <c r="GBQ5" i="7"/>
  <c r="GBR5" i="7"/>
  <c r="GBS5" i="7"/>
  <c r="GBT5" i="7"/>
  <c r="GBU5" i="7"/>
  <c r="GBV5" i="7"/>
  <c r="GBW5" i="7"/>
  <c r="GBX5" i="7"/>
  <c r="GBY5" i="7"/>
  <c r="GBZ5" i="7"/>
  <c r="GCA5" i="7"/>
  <c r="GCB5" i="7"/>
  <c r="GCC5" i="7"/>
  <c r="GCD5" i="7"/>
  <c r="GCE5" i="7"/>
  <c r="GCF5" i="7"/>
  <c r="GCG5" i="7"/>
  <c r="GCH5" i="7"/>
  <c r="GCI5" i="7"/>
  <c r="GCJ5" i="7"/>
  <c r="GCK5" i="7"/>
  <c r="GCL5" i="7"/>
  <c r="GCM5" i="7"/>
  <c r="GCN5" i="7"/>
  <c r="GCO5" i="7"/>
  <c r="GCP5" i="7"/>
  <c r="GCQ5" i="7"/>
  <c r="GCR5" i="7"/>
  <c r="GCS5" i="7"/>
  <c r="GCT5" i="7"/>
  <c r="GCU5" i="7"/>
  <c r="GCV5" i="7"/>
  <c r="GCW5" i="7"/>
  <c r="GCX5" i="7"/>
  <c r="GCY5" i="7"/>
  <c r="GCZ5" i="7"/>
  <c r="GDA5" i="7"/>
  <c r="GDB5" i="7"/>
  <c r="GDC5" i="7"/>
  <c r="GDD5" i="7"/>
  <c r="GDE5" i="7"/>
  <c r="GDF5" i="7"/>
  <c r="GDG5" i="7"/>
  <c r="GDH5" i="7"/>
  <c r="GDI5" i="7"/>
  <c r="GDJ5" i="7"/>
  <c r="GDK5" i="7"/>
  <c r="GDL5" i="7"/>
  <c r="GDM5" i="7"/>
  <c r="GDN5" i="7"/>
  <c r="GDO5" i="7"/>
  <c r="GDP5" i="7"/>
  <c r="GDQ5" i="7"/>
  <c r="GDR5" i="7"/>
  <c r="GDS5" i="7"/>
  <c r="GDT5" i="7"/>
  <c r="GDU5" i="7"/>
  <c r="GDV5" i="7"/>
  <c r="GDW5" i="7"/>
  <c r="GDX5" i="7"/>
  <c r="GDY5" i="7"/>
  <c r="GDZ5" i="7"/>
  <c r="GEA5" i="7"/>
  <c r="GEB5" i="7"/>
  <c r="GEC5" i="7"/>
  <c r="GED5" i="7"/>
  <c r="GEE5" i="7"/>
  <c r="GEF5" i="7"/>
  <c r="GEG5" i="7"/>
  <c r="GEH5" i="7"/>
  <c r="GEI5" i="7"/>
  <c r="GEJ5" i="7"/>
  <c r="GEK5" i="7"/>
  <c r="GEL5" i="7"/>
  <c r="GEM5" i="7"/>
  <c r="GEN5" i="7"/>
  <c r="GEO5" i="7"/>
  <c r="GEP5" i="7"/>
  <c r="GEQ5" i="7"/>
  <c r="GER5" i="7"/>
  <c r="GES5" i="7"/>
  <c r="GET5" i="7"/>
  <c r="GEU5" i="7"/>
  <c r="GEV5" i="7"/>
  <c r="GEW5" i="7"/>
  <c r="GEX5" i="7"/>
  <c r="GEY5" i="7"/>
  <c r="GEZ5" i="7"/>
  <c r="GFA5" i="7"/>
  <c r="GFB5" i="7"/>
  <c r="GFC5" i="7"/>
  <c r="GFD5" i="7"/>
  <c r="GFE5" i="7"/>
  <c r="GFF5" i="7"/>
  <c r="GFG5" i="7"/>
  <c r="GFH5" i="7"/>
  <c r="GFI5" i="7"/>
  <c r="GFJ5" i="7"/>
  <c r="GFK5" i="7"/>
  <c r="GFL5" i="7"/>
  <c r="GFM5" i="7"/>
  <c r="GFN5" i="7"/>
  <c r="GFO5" i="7"/>
  <c r="GFP5" i="7"/>
  <c r="GFQ5" i="7"/>
  <c r="GFR5" i="7"/>
  <c r="GFS5" i="7"/>
  <c r="GFT5" i="7"/>
  <c r="GFU5" i="7"/>
  <c r="GFV5" i="7"/>
  <c r="GFW5" i="7"/>
  <c r="GFX5" i="7"/>
  <c r="GFY5" i="7"/>
  <c r="GFZ5" i="7"/>
  <c r="GGA5" i="7"/>
  <c r="GGB5" i="7"/>
  <c r="GGC5" i="7"/>
  <c r="GGD5" i="7"/>
  <c r="GGE5" i="7"/>
  <c r="GGF5" i="7"/>
  <c r="GGG5" i="7"/>
  <c r="GGH5" i="7"/>
  <c r="GGI5" i="7"/>
  <c r="GGJ5" i="7"/>
  <c r="GGK5" i="7"/>
  <c r="GGL5" i="7"/>
  <c r="GGM5" i="7"/>
  <c r="GGN5" i="7"/>
  <c r="GGO5" i="7"/>
  <c r="GGP5" i="7"/>
  <c r="GGQ5" i="7"/>
  <c r="GGR5" i="7"/>
  <c r="GGS5" i="7"/>
  <c r="GGT5" i="7"/>
  <c r="GGU5" i="7"/>
  <c r="GGV5" i="7"/>
  <c r="GGW5" i="7"/>
  <c r="GGX5" i="7"/>
  <c r="GGY5" i="7"/>
  <c r="GGZ5" i="7"/>
  <c r="GHA5" i="7"/>
  <c r="GHB5" i="7"/>
  <c r="GHC5" i="7"/>
  <c r="GHD5" i="7"/>
  <c r="GHE5" i="7"/>
  <c r="GHF5" i="7"/>
  <c r="GHG5" i="7"/>
  <c r="GHH5" i="7"/>
  <c r="GHI5" i="7"/>
  <c r="GHJ5" i="7"/>
  <c r="GHK5" i="7"/>
  <c r="GHL5" i="7"/>
  <c r="GHM5" i="7"/>
  <c r="GHN5" i="7"/>
  <c r="GHO5" i="7"/>
  <c r="GHP5" i="7"/>
  <c r="GHQ5" i="7"/>
  <c r="GHR5" i="7"/>
  <c r="GHS5" i="7"/>
  <c r="GHT5" i="7"/>
  <c r="GHU5" i="7"/>
  <c r="GHV5" i="7"/>
  <c r="GHW5" i="7"/>
  <c r="GHX5" i="7"/>
  <c r="GHY5" i="7"/>
  <c r="GHZ5" i="7"/>
  <c r="GIA5" i="7"/>
  <c r="GIB5" i="7"/>
  <c r="GIC5" i="7"/>
  <c r="GID5" i="7"/>
  <c r="GIE5" i="7"/>
  <c r="GIF5" i="7"/>
  <c r="GIG5" i="7"/>
  <c r="GIH5" i="7"/>
  <c r="GII5" i="7"/>
  <c r="GIJ5" i="7"/>
  <c r="GIK5" i="7"/>
  <c r="GIL5" i="7"/>
  <c r="GIM5" i="7"/>
  <c r="GIN5" i="7"/>
  <c r="GIO5" i="7"/>
  <c r="GIP5" i="7"/>
  <c r="GIQ5" i="7"/>
  <c r="GIR5" i="7"/>
  <c r="GIS5" i="7"/>
  <c r="GIT5" i="7"/>
  <c r="GIU5" i="7"/>
  <c r="GIV5" i="7"/>
  <c r="GIW5" i="7"/>
  <c r="GIX5" i="7"/>
  <c r="GIY5" i="7"/>
  <c r="GIZ5" i="7"/>
  <c r="GJA5" i="7"/>
  <c r="GJB5" i="7"/>
  <c r="GJC5" i="7"/>
  <c r="GJD5" i="7"/>
  <c r="GJE5" i="7"/>
  <c r="GJF5" i="7"/>
  <c r="GJG5" i="7"/>
  <c r="GJH5" i="7"/>
  <c r="GJI5" i="7"/>
  <c r="GJJ5" i="7"/>
  <c r="GJK5" i="7"/>
  <c r="GJL5" i="7"/>
  <c r="GJM5" i="7"/>
  <c r="GJN5" i="7"/>
  <c r="GJO5" i="7"/>
  <c r="GJP5" i="7"/>
  <c r="GJQ5" i="7"/>
  <c r="GJR5" i="7"/>
  <c r="GJS5" i="7"/>
  <c r="GJT5" i="7"/>
  <c r="GJU5" i="7"/>
  <c r="GJV5" i="7"/>
  <c r="GJW5" i="7"/>
  <c r="GJX5" i="7"/>
  <c r="GJY5" i="7"/>
  <c r="GJZ5" i="7"/>
  <c r="GKA5" i="7"/>
  <c r="GKB5" i="7"/>
  <c r="GKC5" i="7"/>
  <c r="GKD5" i="7"/>
  <c r="GKE5" i="7"/>
  <c r="GKF5" i="7"/>
  <c r="GKG5" i="7"/>
  <c r="GKH5" i="7"/>
  <c r="GKI5" i="7"/>
  <c r="GKJ5" i="7"/>
  <c r="GKK5" i="7"/>
  <c r="GKL5" i="7"/>
  <c r="GKM5" i="7"/>
  <c r="GKN5" i="7"/>
  <c r="GKO5" i="7"/>
  <c r="GKP5" i="7"/>
  <c r="GKQ5" i="7"/>
  <c r="GKR5" i="7"/>
  <c r="GKS5" i="7"/>
  <c r="GKT5" i="7"/>
  <c r="GKU5" i="7"/>
  <c r="GKV5" i="7"/>
  <c r="GKW5" i="7"/>
  <c r="GKX5" i="7"/>
  <c r="GKY5" i="7"/>
  <c r="GKZ5" i="7"/>
  <c r="GLA5" i="7"/>
  <c r="GLB5" i="7"/>
  <c r="GLC5" i="7"/>
  <c r="GLD5" i="7"/>
  <c r="GLE5" i="7"/>
  <c r="GLF5" i="7"/>
  <c r="GLG5" i="7"/>
  <c r="GLH5" i="7"/>
  <c r="GLI5" i="7"/>
  <c r="GLJ5" i="7"/>
  <c r="GLK5" i="7"/>
  <c r="GLL5" i="7"/>
  <c r="GLM5" i="7"/>
  <c r="GLN5" i="7"/>
  <c r="GLO5" i="7"/>
  <c r="GLP5" i="7"/>
  <c r="GLQ5" i="7"/>
  <c r="GLR5" i="7"/>
  <c r="GLS5" i="7"/>
  <c r="GLT5" i="7"/>
  <c r="GLU5" i="7"/>
  <c r="GLV5" i="7"/>
  <c r="GLW5" i="7"/>
  <c r="GLX5" i="7"/>
  <c r="GLY5" i="7"/>
  <c r="GLZ5" i="7"/>
  <c r="GMA5" i="7"/>
  <c r="GMB5" i="7"/>
  <c r="GMC5" i="7"/>
  <c r="GMD5" i="7"/>
  <c r="GME5" i="7"/>
  <c r="GMF5" i="7"/>
  <c r="GMG5" i="7"/>
  <c r="GMH5" i="7"/>
  <c r="GMI5" i="7"/>
  <c r="GMJ5" i="7"/>
  <c r="GMK5" i="7"/>
  <c r="GML5" i="7"/>
  <c r="GMM5" i="7"/>
  <c r="GMN5" i="7"/>
  <c r="GMO5" i="7"/>
  <c r="GMP5" i="7"/>
  <c r="GMQ5" i="7"/>
  <c r="GMR5" i="7"/>
  <c r="GMS5" i="7"/>
  <c r="GMT5" i="7"/>
  <c r="GMU5" i="7"/>
  <c r="GMV5" i="7"/>
  <c r="GMW5" i="7"/>
  <c r="GMX5" i="7"/>
  <c r="GMY5" i="7"/>
  <c r="GMZ5" i="7"/>
  <c r="GNA5" i="7"/>
  <c r="GNB5" i="7"/>
  <c r="GNC5" i="7"/>
  <c r="GND5" i="7"/>
  <c r="GNE5" i="7"/>
  <c r="GNF5" i="7"/>
  <c r="GNG5" i="7"/>
  <c r="GNH5" i="7"/>
  <c r="GNI5" i="7"/>
  <c r="GNJ5" i="7"/>
  <c r="GNK5" i="7"/>
  <c r="GNL5" i="7"/>
  <c r="GNM5" i="7"/>
  <c r="GNN5" i="7"/>
  <c r="GNO5" i="7"/>
  <c r="GNP5" i="7"/>
  <c r="GNQ5" i="7"/>
  <c r="GNR5" i="7"/>
  <c r="GNS5" i="7"/>
  <c r="GNT5" i="7"/>
  <c r="GNU5" i="7"/>
  <c r="GNV5" i="7"/>
  <c r="GNW5" i="7"/>
  <c r="GNX5" i="7"/>
  <c r="GNY5" i="7"/>
  <c r="GNZ5" i="7"/>
  <c r="GOA5" i="7"/>
  <c r="GOB5" i="7"/>
  <c r="GOC5" i="7"/>
  <c r="GOD5" i="7"/>
  <c r="GOE5" i="7"/>
  <c r="GOF5" i="7"/>
  <c r="GOG5" i="7"/>
  <c r="GOH5" i="7"/>
  <c r="GOI5" i="7"/>
  <c r="GOJ5" i="7"/>
  <c r="GOK5" i="7"/>
  <c r="GOL5" i="7"/>
  <c r="GOM5" i="7"/>
  <c r="GON5" i="7"/>
  <c r="GOO5" i="7"/>
  <c r="GOP5" i="7"/>
  <c r="GOQ5" i="7"/>
  <c r="GOR5" i="7"/>
  <c r="GOS5" i="7"/>
  <c r="GOT5" i="7"/>
  <c r="GOU5" i="7"/>
  <c r="GOV5" i="7"/>
  <c r="GOW5" i="7"/>
  <c r="GOX5" i="7"/>
  <c r="GOY5" i="7"/>
  <c r="GOZ5" i="7"/>
  <c r="GPA5" i="7"/>
  <c r="GPB5" i="7"/>
  <c r="GPC5" i="7"/>
  <c r="GPD5" i="7"/>
  <c r="GPE5" i="7"/>
  <c r="GPF5" i="7"/>
  <c r="GPG5" i="7"/>
  <c r="GPH5" i="7"/>
  <c r="GPI5" i="7"/>
  <c r="GPJ5" i="7"/>
  <c r="GPK5" i="7"/>
  <c r="GPL5" i="7"/>
  <c r="GPM5" i="7"/>
  <c r="GPN5" i="7"/>
  <c r="GPO5" i="7"/>
  <c r="GPP5" i="7"/>
  <c r="GPQ5" i="7"/>
  <c r="GPR5" i="7"/>
  <c r="GPS5" i="7"/>
  <c r="GPT5" i="7"/>
  <c r="GPU5" i="7"/>
  <c r="GPV5" i="7"/>
  <c r="GPW5" i="7"/>
  <c r="GPX5" i="7"/>
  <c r="GPY5" i="7"/>
  <c r="GPZ5" i="7"/>
  <c r="GQA5" i="7"/>
  <c r="GQB5" i="7"/>
  <c r="GQC5" i="7"/>
  <c r="GQD5" i="7"/>
  <c r="GQE5" i="7"/>
  <c r="GQF5" i="7"/>
  <c r="GQG5" i="7"/>
  <c r="GQH5" i="7"/>
  <c r="GQI5" i="7"/>
  <c r="GQJ5" i="7"/>
  <c r="GQK5" i="7"/>
  <c r="GQL5" i="7"/>
  <c r="GQM5" i="7"/>
  <c r="GQN5" i="7"/>
  <c r="GQO5" i="7"/>
  <c r="GQP5" i="7"/>
  <c r="GQQ5" i="7"/>
  <c r="GQR5" i="7"/>
  <c r="GQS5" i="7"/>
  <c r="GQT5" i="7"/>
  <c r="GQU5" i="7"/>
  <c r="GQV5" i="7"/>
  <c r="GQW5" i="7"/>
  <c r="GQX5" i="7"/>
  <c r="GQY5" i="7"/>
  <c r="GQZ5" i="7"/>
  <c r="GRA5" i="7"/>
  <c r="GRB5" i="7"/>
  <c r="GRC5" i="7"/>
  <c r="GRD5" i="7"/>
  <c r="GRE5" i="7"/>
  <c r="GRF5" i="7"/>
  <c r="GRG5" i="7"/>
  <c r="GRH5" i="7"/>
  <c r="GRI5" i="7"/>
  <c r="GRJ5" i="7"/>
  <c r="GRK5" i="7"/>
  <c r="GRL5" i="7"/>
  <c r="GRM5" i="7"/>
  <c r="GRN5" i="7"/>
  <c r="GRO5" i="7"/>
  <c r="GRP5" i="7"/>
  <c r="GRQ5" i="7"/>
  <c r="GRR5" i="7"/>
  <c r="GRS5" i="7"/>
  <c r="GRT5" i="7"/>
  <c r="GRU5" i="7"/>
  <c r="GRV5" i="7"/>
  <c r="GRW5" i="7"/>
  <c r="GRX5" i="7"/>
  <c r="GRY5" i="7"/>
  <c r="GRZ5" i="7"/>
  <c r="GSA5" i="7"/>
  <c r="GSB5" i="7"/>
  <c r="GSC5" i="7"/>
  <c r="GSD5" i="7"/>
  <c r="GSE5" i="7"/>
  <c r="GSF5" i="7"/>
  <c r="GSG5" i="7"/>
  <c r="GSH5" i="7"/>
  <c r="GSI5" i="7"/>
  <c r="GSJ5" i="7"/>
  <c r="GSK5" i="7"/>
  <c r="GSL5" i="7"/>
  <c r="GSM5" i="7"/>
  <c r="GSN5" i="7"/>
  <c r="GSO5" i="7"/>
  <c r="GSP5" i="7"/>
  <c r="GSQ5" i="7"/>
  <c r="GSR5" i="7"/>
  <c r="GSS5" i="7"/>
  <c r="GST5" i="7"/>
  <c r="GSU5" i="7"/>
  <c r="GSV5" i="7"/>
  <c r="GSW5" i="7"/>
  <c r="GSX5" i="7"/>
  <c r="GSY5" i="7"/>
  <c r="GSZ5" i="7"/>
  <c r="GTA5" i="7"/>
  <c r="GTB5" i="7"/>
  <c r="GTC5" i="7"/>
  <c r="GTD5" i="7"/>
  <c r="GTE5" i="7"/>
  <c r="GTF5" i="7"/>
  <c r="GTG5" i="7"/>
  <c r="GTH5" i="7"/>
  <c r="GTI5" i="7"/>
  <c r="GTJ5" i="7"/>
  <c r="GTK5" i="7"/>
  <c r="GTL5" i="7"/>
  <c r="GTM5" i="7"/>
  <c r="GTN5" i="7"/>
  <c r="GTO5" i="7"/>
  <c r="GTP5" i="7"/>
  <c r="GTQ5" i="7"/>
  <c r="GTR5" i="7"/>
  <c r="GTS5" i="7"/>
  <c r="GTT5" i="7"/>
  <c r="GTU5" i="7"/>
  <c r="GTV5" i="7"/>
  <c r="GTW5" i="7"/>
  <c r="GTX5" i="7"/>
  <c r="GTY5" i="7"/>
  <c r="GTZ5" i="7"/>
  <c r="GUA5" i="7"/>
  <c r="GUB5" i="7"/>
  <c r="GUC5" i="7"/>
  <c r="GUD5" i="7"/>
  <c r="GUE5" i="7"/>
  <c r="GUF5" i="7"/>
  <c r="GUG5" i="7"/>
  <c r="GUH5" i="7"/>
  <c r="GUI5" i="7"/>
  <c r="GUJ5" i="7"/>
  <c r="GUK5" i="7"/>
  <c r="GUL5" i="7"/>
  <c r="GUM5" i="7"/>
  <c r="GUN5" i="7"/>
  <c r="GUO5" i="7"/>
  <c r="GUP5" i="7"/>
  <c r="GUQ5" i="7"/>
  <c r="GUR5" i="7"/>
  <c r="GUS5" i="7"/>
  <c r="GUT5" i="7"/>
  <c r="GUU5" i="7"/>
  <c r="GUV5" i="7"/>
  <c r="GUW5" i="7"/>
  <c r="GUX5" i="7"/>
  <c r="GUY5" i="7"/>
  <c r="GUZ5" i="7"/>
  <c r="GVA5" i="7"/>
  <c r="GVB5" i="7"/>
  <c r="GVC5" i="7"/>
  <c r="GVD5" i="7"/>
  <c r="GVE5" i="7"/>
  <c r="GVF5" i="7"/>
  <c r="GVG5" i="7"/>
  <c r="GVH5" i="7"/>
  <c r="GVI5" i="7"/>
  <c r="GVJ5" i="7"/>
  <c r="GVK5" i="7"/>
  <c r="GVL5" i="7"/>
  <c r="GVM5" i="7"/>
  <c r="GVN5" i="7"/>
  <c r="GVO5" i="7"/>
  <c r="GVP5" i="7"/>
  <c r="GVQ5" i="7"/>
  <c r="GVR5" i="7"/>
  <c r="GVS5" i="7"/>
  <c r="GVT5" i="7"/>
  <c r="GVU5" i="7"/>
  <c r="GVV5" i="7"/>
  <c r="GVW5" i="7"/>
  <c r="GVX5" i="7"/>
  <c r="GVY5" i="7"/>
  <c r="GVZ5" i="7"/>
  <c r="GWA5" i="7"/>
  <c r="GWB5" i="7"/>
  <c r="GWC5" i="7"/>
  <c r="GWD5" i="7"/>
  <c r="GWE5" i="7"/>
  <c r="GWF5" i="7"/>
  <c r="GWG5" i="7"/>
  <c r="GWH5" i="7"/>
  <c r="GWI5" i="7"/>
  <c r="GWJ5" i="7"/>
  <c r="GWK5" i="7"/>
  <c r="GWL5" i="7"/>
  <c r="GWM5" i="7"/>
  <c r="GWN5" i="7"/>
  <c r="GWO5" i="7"/>
  <c r="GWP5" i="7"/>
  <c r="GWQ5" i="7"/>
  <c r="GWR5" i="7"/>
  <c r="GWS5" i="7"/>
  <c r="GWT5" i="7"/>
  <c r="GWU5" i="7"/>
  <c r="GWV5" i="7"/>
  <c r="GWW5" i="7"/>
  <c r="GWX5" i="7"/>
  <c r="GWY5" i="7"/>
  <c r="GWZ5" i="7"/>
  <c r="GXA5" i="7"/>
  <c r="GXB5" i="7"/>
  <c r="GXC5" i="7"/>
  <c r="GXD5" i="7"/>
  <c r="GXE5" i="7"/>
  <c r="GXF5" i="7"/>
  <c r="GXG5" i="7"/>
  <c r="GXH5" i="7"/>
  <c r="GXI5" i="7"/>
  <c r="GXJ5" i="7"/>
  <c r="GXK5" i="7"/>
  <c r="GXL5" i="7"/>
  <c r="GXM5" i="7"/>
  <c r="GXN5" i="7"/>
  <c r="GXO5" i="7"/>
  <c r="GXP5" i="7"/>
  <c r="GXQ5" i="7"/>
  <c r="GXR5" i="7"/>
  <c r="GXS5" i="7"/>
  <c r="GXT5" i="7"/>
  <c r="GXU5" i="7"/>
  <c r="GXV5" i="7"/>
  <c r="GXW5" i="7"/>
  <c r="GXX5" i="7"/>
  <c r="GXY5" i="7"/>
  <c r="GXZ5" i="7"/>
  <c r="GYA5" i="7"/>
  <c r="GYB5" i="7"/>
  <c r="GYC5" i="7"/>
  <c r="GYD5" i="7"/>
  <c r="GYE5" i="7"/>
  <c r="GYF5" i="7"/>
  <c r="GYG5" i="7"/>
  <c r="GYH5" i="7"/>
  <c r="GYI5" i="7"/>
  <c r="GYJ5" i="7"/>
  <c r="GYK5" i="7"/>
  <c r="GYL5" i="7"/>
  <c r="GYM5" i="7"/>
  <c r="GYN5" i="7"/>
  <c r="GYO5" i="7"/>
  <c r="GYP5" i="7"/>
  <c r="GYQ5" i="7"/>
  <c r="GYR5" i="7"/>
  <c r="GYS5" i="7"/>
  <c r="GYT5" i="7"/>
  <c r="GYU5" i="7"/>
  <c r="GYV5" i="7"/>
  <c r="GYW5" i="7"/>
  <c r="GYX5" i="7"/>
  <c r="GYY5" i="7"/>
  <c r="GYZ5" i="7"/>
  <c r="GZA5" i="7"/>
  <c r="GZB5" i="7"/>
  <c r="GZC5" i="7"/>
  <c r="GZD5" i="7"/>
  <c r="GZE5" i="7"/>
  <c r="GZF5" i="7"/>
  <c r="GZG5" i="7"/>
  <c r="GZH5" i="7"/>
  <c r="GZI5" i="7"/>
  <c r="GZJ5" i="7"/>
  <c r="GZK5" i="7"/>
  <c r="GZL5" i="7"/>
  <c r="GZM5" i="7"/>
  <c r="GZN5" i="7"/>
  <c r="GZO5" i="7"/>
  <c r="GZP5" i="7"/>
  <c r="GZQ5" i="7"/>
  <c r="GZR5" i="7"/>
  <c r="GZS5" i="7"/>
  <c r="GZT5" i="7"/>
  <c r="GZU5" i="7"/>
  <c r="GZV5" i="7"/>
  <c r="GZW5" i="7"/>
  <c r="GZX5" i="7"/>
  <c r="GZY5" i="7"/>
  <c r="GZZ5" i="7"/>
  <c r="HAA5" i="7"/>
  <c r="HAB5" i="7"/>
  <c r="HAC5" i="7"/>
  <c r="HAD5" i="7"/>
  <c r="HAE5" i="7"/>
  <c r="HAF5" i="7"/>
  <c r="HAG5" i="7"/>
  <c r="HAH5" i="7"/>
  <c r="HAI5" i="7"/>
  <c r="HAJ5" i="7"/>
  <c r="HAK5" i="7"/>
  <c r="HAL5" i="7"/>
  <c r="HAM5" i="7"/>
  <c r="HAN5" i="7"/>
  <c r="HAO5" i="7"/>
  <c r="HAP5" i="7"/>
  <c r="HAQ5" i="7"/>
  <c r="HAR5" i="7"/>
  <c r="HAS5" i="7"/>
  <c r="HAT5" i="7"/>
  <c r="HAU5" i="7"/>
  <c r="HAV5" i="7"/>
  <c r="HAW5" i="7"/>
  <c r="HAX5" i="7"/>
  <c r="HAY5" i="7"/>
  <c r="HAZ5" i="7"/>
  <c r="HBA5" i="7"/>
  <c r="HBB5" i="7"/>
  <c r="HBC5" i="7"/>
  <c r="HBD5" i="7"/>
  <c r="HBE5" i="7"/>
  <c r="HBF5" i="7"/>
  <c r="HBG5" i="7"/>
  <c r="HBH5" i="7"/>
  <c r="HBI5" i="7"/>
  <c r="HBJ5" i="7"/>
  <c r="HBK5" i="7"/>
  <c r="HBL5" i="7"/>
  <c r="HBM5" i="7"/>
  <c r="HBN5" i="7"/>
  <c r="HBO5" i="7"/>
  <c r="HBP5" i="7"/>
  <c r="HBQ5" i="7"/>
  <c r="HBR5" i="7"/>
  <c r="HBS5" i="7"/>
  <c r="HBT5" i="7"/>
  <c r="HBU5" i="7"/>
  <c r="HBV5" i="7"/>
  <c r="HBW5" i="7"/>
  <c r="HBX5" i="7"/>
  <c r="HBY5" i="7"/>
  <c r="HBZ5" i="7"/>
  <c r="HCA5" i="7"/>
  <c r="HCB5" i="7"/>
  <c r="HCC5" i="7"/>
  <c r="HCD5" i="7"/>
  <c r="HCE5" i="7"/>
  <c r="HCF5" i="7"/>
  <c r="HCG5" i="7"/>
  <c r="HCH5" i="7"/>
  <c r="HCI5" i="7"/>
  <c r="HCJ5" i="7"/>
  <c r="HCK5" i="7"/>
  <c r="HCL5" i="7"/>
  <c r="HCM5" i="7"/>
  <c r="HCN5" i="7"/>
  <c r="HCO5" i="7"/>
  <c r="HCP5" i="7"/>
  <c r="HCQ5" i="7"/>
  <c r="HCR5" i="7"/>
  <c r="HCS5" i="7"/>
  <c r="HCT5" i="7"/>
  <c r="HCU5" i="7"/>
  <c r="HCV5" i="7"/>
  <c r="HCW5" i="7"/>
  <c r="HCX5" i="7"/>
  <c r="HCY5" i="7"/>
  <c r="HCZ5" i="7"/>
  <c r="HDA5" i="7"/>
  <c r="HDB5" i="7"/>
  <c r="HDC5" i="7"/>
  <c r="HDD5" i="7"/>
  <c r="HDE5" i="7"/>
  <c r="HDF5" i="7"/>
  <c r="HDG5" i="7"/>
  <c r="HDH5" i="7"/>
  <c r="HDI5" i="7"/>
  <c r="HDJ5" i="7"/>
  <c r="HDK5" i="7"/>
  <c r="HDL5" i="7"/>
  <c r="HDM5" i="7"/>
  <c r="HDN5" i="7"/>
  <c r="HDO5" i="7"/>
  <c r="HDP5" i="7"/>
  <c r="HDQ5" i="7"/>
  <c r="HDR5" i="7"/>
  <c r="HDS5" i="7"/>
  <c r="HDT5" i="7"/>
  <c r="HDU5" i="7"/>
  <c r="HDV5" i="7"/>
  <c r="HDW5" i="7"/>
  <c r="HDX5" i="7"/>
  <c r="HDY5" i="7"/>
  <c r="HDZ5" i="7"/>
  <c r="HEA5" i="7"/>
  <c r="HEB5" i="7"/>
  <c r="HEC5" i="7"/>
  <c r="HED5" i="7"/>
  <c r="HEE5" i="7"/>
  <c r="HEF5" i="7"/>
  <c r="HEG5" i="7"/>
  <c r="HEH5" i="7"/>
  <c r="HEI5" i="7"/>
  <c r="HEJ5" i="7"/>
  <c r="HEK5" i="7"/>
  <c r="HEL5" i="7"/>
  <c r="HEM5" i="7"/>
  <c r="HEN5" i="7"/>
  <c r="HEO5" i="7"/>
  <c r="HEP5" i="7"/>
  <c r="HEQ5" i="7"/>
  <c r="HER5" i="7"/>
  <c r="HES5" i="7"/>
  <c r="HET5" i="7"/>
  <c r="HEU5" i="7"/>
  <c r="HEV5" i="7"/>
  <c r="HEW5" i="7"/>
  <c r="HEX5" i="7"/>
  <c r="HEY5" i="7"/>
  <c r="HEZ5" i="7"/>
  <c r="HFA5" i="7"/>
  <c r="HFB5" i="7"/>
  <c r="HFC5" i="7"/>
  <c r="HFD5" i="7"/>
  <c r="HFE5" i="7"/>
  <c r="HFF5" i="7"/>
  <c r="HFG5" i="7"/>
  <c r="HFH5" i="7"/>
  <c r="HFI5" i="7"/>
  <c r="HFJ5" i="7"/>
  <c r="HFK5" i="7"/>
  <c r="HFL5" i="7"/>
  <c r="HFM5" i="7"/>
  <c r="HFN5" i="7"/>
  <c r="HFO5" i="7"/>
  <c r="HFP5" i="7"/>
  <c r="HFQ5" i="7"/>
  <c r="HFR5" i="7"/>
  <c r="HFS5" i="7"/>
  <c r="HFT5" i="7"/>
  <c r="HFU5" i="7"/>
  <c r="HFV5" i="7"/>
  <c r="HFW5" i="7"/>
  <c r="HFX5" i="7"/>
  <c r="HFY5" i="7"/>
  <c r="HFZ5" i="7"/>
  <c r="HGA5" i="7"/>
  <c r="HGB5" i="7"/>
  <c r="HGC5" i="7"/>
  <c r="HGD5" i="7"/>
  <c r="HGE5" i="7"/>
  <c r="HGF5" i="7"/>
  <c r="HGG5" i="7"/>
  <c r="HGH5" i="7"/>
  <c r="HGI5" i="7"/>
  <c r="HGJ5" i="7"/>
  <c r="HGK5" i="7"/>
  <c r="HGL5" i="7"/>
  <c r="HGM5" i="7"/>
  <c r="HGN5" i="7"/>
  <c r="HGO5" i="7"/>
  <c r="HGP5" i="7"/>
  <c r="HGQ5" i="7"/>
  <c r="HGR5" i="7"/>
  <c r="HGS5" i="7"/>
  <c r="HGT5" i="7"/>
  <c r="HGU5" i="7"/>
  <c r="HGV5" i="7"/>
  <c r="HGW5" i="7"/>
  <c r="HGX5" i="7"/>
  <c r="HGY5" i="7"/>
  <c r="HGZ5" i="7"/>
  <c r="HHA5" i="7"/>
  <c r="HHB5" i="7"/>
  <c r="HHC5" i="7"/>
  <c r="HHD5" i="7"/>
  <c r="HHE5" i="7"/>
  <c r="HHF5" i="7"/>
  <c r="HHG5" i="7"/>
  <c r="HHH5" i="7"/>
  <c r="HHI5" i="7"/>
  <c r="HHJ5" i="7"/>
  <c r="HHK5" i="7"/>
  <c r="HHL5" i="7"/>
  <c r="HHM5" i="7"/>
  <c r="HHN5" i="7"/>
  <c r="HHO5" i="7"/>
  <c r="HHP5" i="7"/>
  <c r="HHQ5" i="7"/>
  <c r="HHR5" i="7"/>
  <c r="HHS5" i="7"/>
  <c r="HHT5" i="7"/>
  <c r="HHU5" i="7"/>
  <c r="HHV5" i="7"/>
  <c r="HHW5" i="7"/>
  <c r="HHX5" i="7"/>
  <c r="HHY5" i="7"/>
  <c r="HHZ5" i="7"/>
  <c r="HIA5" i="7"/>
  <c r="HIB5" i="7"/>
  <c r="HIC5" i="7"/>
  <c r="HID5" i="7"/>
  <c r="HIE5" i="7"/>
  <c r="HIF5" i="7"/>
  <c r="HIG5" i="7"/>
  <c r="HIH5" i="7"/>
  <c r="HII5" i="7"/>
  <c r="HIJ5" i="7"/>
  <c r="HIK5" i="7"/>
  <c r="HIL5" i="7"/>
  <c r="HIM5" i="7"/>
  <c r="HIN5" i="7"/>
  <c r="HIO5" i="7"/>
  <c r="HIP5" i="7"/>
  <c r="HIQ5" i="7"/>
  <c r="HIR5" i="7"/>
  <c r="HIS5" i="7"/>
  <c r="HIT5" i="7"/>
  <c r="HIU5" i="7"/>
  <c r="HIV5" i="7"/>
  <c r="HIW5" i="7"/>
  <c r="HIX5" i="7"/>
  <c r="HIY5" i="7"/>
  <c r="HIZ5" i="7"/>
  <c r="HJA5" i="7"/>
  <c r="HJB5" i="7"/>
  <c r="HJC5" i="7"/>
  <c r="HJD5" i="7"/>
  <c r="HJE5" i="7"/>
  <c r="HJF5" i="7"/>
  <c r="HJG5" i="7"/>
  <c r="HJH5" i="7"/>
  <c r="HJI5" i="7"/>
  <c r="HJJ5" i="7"/>
  <c r="HJK5" i="7"/>
  <c r="HJL5" i="7"/>
  <c r="HJM5" i="7"/>
  <c r="HJN5" i="7"/>
  <c r="HJO5" i="7"/>
  <c r="HJP5" i="7"/>
  <c r="HJQ5" i="7"/>
  <c r="HJR5" i="7"/>
  <c r="HJS5" i="7"/>
  <c r="HJT5" i="7"/>
  <c r="HJU5" i="7"/>
  <c r="HJV5" i="7"/>
  <c r="HJW5" i="7"/>
  <c r="HJX5" i="7"/>
  <c r="HJY5" i="7"/>
  <c r="HJZ5" i="7"/>
  <c r="HKA5" i="7"/>
  <c r="HKB5" i="7"/>
  <c r="HKC5" i="7"/>
  <c r="HKD5" i="7"/>
  <c r="HKE5" i="7"/>
  <c r="HKF5" i="7"/>
  <c r="HKG5" i="7"/>
  <c r="HKH5" i="7"/>
  <c r="HKI5" i="7"/>
  <c r="HKJ5" i="7"/>
  <c r="HKK5" i="7"/>
  <c r="HKL5" i="7"/>
  <c r="HKM5" i="7"/>
  <c r="HKN5" i="7"/>
  <c r="HKO5" i="7"/>
  <c r="HKP5" i="7"/>
  <c r="HKQ5" i="7"/>
  <c r="HKR5" i="7"/>
  <c r="HKS5" i="7"/>
  <c r="HKT5" i="7"/>
  <c r="HKU5" i="7"/>
  <c r="HKV5" i="7"/>
  <c r="HKW5" i="7"/>
  <c r="HKX5" i="7"/>
  <c r="HKY5" i="7"/>
  <c r="HKZ5" i="7"/>
  <c r="HLA5" i="7"/>
  <c r="HLB5" i="7"/>
  <c r="HLC5" i="7"/>
  <c r="HLD5" i="7"/>
  <c r="HLE5" i="7"/>
  <c r="HLF5" i="7"/>
  <c r="HLG5" i="7"/>
  <c r="HLH5" i="7"/>
  <c r="HLI5" i="7"/>
  <c r="HLJ5" i="7"/>
  <c r="HLK5" i="7"/>
  <c r="HLL5" i="7"/>
  <c r="HLM5" i="7"/>
  <c r="HLN5" i="7"/>
  <c r="HLO5" i="7"/>
  <c r="HLP5" i="7"/>
  <c r="HLQ5" i="7"/>
  <c r="HLR5" i="7"/>
  <c r="HLS5" i="7"/>
  <c r="HLT5" i="7"/>
  <c r="HLU5" i="7"/>
  <c r="HLV5" i="7"/>
  <c r="HLW5" i="7"/>
  <c r="HLX5" i="7"/>
  <c r="HLY5" i="7"/>
  <c r="HLZ5" i="7"/>
  <c r="HMA5" i="7"/>
  <c r="HMB5" i="7"/>
  <c r="HMC5" i="7"/>
  <c r="HMD5" i="7"/>
  <c r="HME5" i="7"/>
  <c r="HMF5" i="7"/>
  <c r="HMG5" i="7"/>
  <c r="HMH5" i="7"/>
  <c r="HMI5" i="7"/>
  <c r="HMJ5" i="7"/>
  <c r="HMK5" i="7"/>
  <c r="HML5" i="7"/>
  <c r="HMM5" i="7"/>
  <c r="HMN5" i="7"/>
  <c r="HMO5" i="7"/>
  <c r="HMP5" i="7"/>
  <c r="HMQ5" i="7"/>
  <c r="HMR5" i="7"/>
  <c r="HMS5" i="7"/>
  <c r="HMT5" i="7"/>
  <c r="HMU5" i="7"/>
  <c r="HMV5" i="7"/>
  <c r="HMW5" i="7"/>
  <c r="HMX5" i="7"/>
  <c r="HMY5" i="7"/>
  <c r="HMZ5" i="7"/>
  <c r="HNA5" i="7"/>
  <c r="HNB5" i="7"/>
  <c r="HNC5" i="7"/>
  <c r="HND5" i="7"/>
  <c r="HNE5" i="7"/>
  <c r="HNF5" i="7"/>
  <c r="HNG5" i="7"/>
  <c r="HNH5" i="7"/>
  <c r="HNI5" i="7"/>
  <c r="HNJ5" i="7"/>
  <c r="HNK5" i="7"/>
  <c r="HNL5" i="7"/>
  <c r="HNM5" i="7"/>
  <c r="HNN5" i="7"/>
  <c r="HNO5" i="7"/>
  <c r="HNP5" i="7"/>
  <c r="HNQ5" i="7"/>
  <c r="HNR5" i="7"/>
  <c r="HNS5" i="7"/>
  <c r="HNT5" i="7"/>
  <c r="HNU5" i="7"/>
  <c r="HNV5" i="7"/>
  <c r="HNW5" i="7"/>
  <c r="HNX5" i="7"/>
  <c r="HNY5" i="7"/>
  <c r="HNZ5" i="7"/>
  <c r="HOA5" i="7"/>
  <c r="HOB5" i="7"/>
  <c r="HOC5" i="7"/>
  <c r="HOD5" i="7"/>
  <c r="HOE5" i="7"/>
  <c r="HOF5" i="7"/>
  <c r="HOG5" i="7"/>
  <c r="HOH5" i="7"/>
  <c r="HOI5" i="7"/>
  <c r="HOJ5" i="7"/>
  <c r="HOK5" i="7"/>
  <c r="HOL5" i="7"/>
  <c r="HOM5" i="7"/>
  <c r="HON5" i="7"/>
  <c r="HOO5" i="7"/>
  <c r="HOP5" i="7"/>
  <c r="HOQ5" i="7"/>
  <c r="HOR5" i="7"/>
  <c r="HOS5" i="7"/>
  <c r="HOT5" i="7"/>
  <c r="HOU5" i="7"/>
  <c r="HOV5" i="7"/>
  <c r="HOW5" i="7"/>
  <c r="HOX5" i="7"/>
  <c r="HOY5" i="7"/>
  <c r="HOZ5" i="7"/>
  <c r="HPA5" i="7"/>
  <c r="HPB5" i="7"/>
  <c r="HPC5" i="7"/>
  <c r="HPD5" i="7"/>
  <c r="HPE5" i="7"/>
  <c r="HPF5" i="7"/>
  <c r="HPG5" i="7"/>
  <c r="HPH5" i="7"/>
  <c r="HPI5" i="7"/>
  <c r="HPJ5" i="7"/>
  <c r="HPK5" i="7"/>
  <c r="HPL5" i="7"/>
  <c r="HPM5" i="7"/>
  <c r="HPN5" i="7"/>
  <c r="HPO5" i="7"/>
  <c r="HPP5" i="7"/>
  <c r="HPQ5" i="7"/>
  <c r="HPR5" i="7"/>
  <c r="HPS5" i="7"/>
  <c r="HPT5" i="7"/>
  <c r="HPU5" i="7"/>
  <c r="HPV5" i="7"/>
  <c r="HPW5" i="7"/>
  <c r="HPX5" i="7"/>
  <c r="HPY5" i="7"/>
  <c r="HPZ5" i="7"/>
  <c r="HQA5" i="7"/>
  <c r="HQB5" i="7"/>
  <c r="HQC5" i="7"/>
  <c r="HQD5" i="7"/>
  <c r="HQE5" i="7"/>
  <c r="HQF5" i="7"/>
  <c r="HQG5" i="7"/>
  <c r="HQH5" i="7"/>
  <c r="HQI5" i="7"/>
  <c r="HQJ5" i="7"/>
  <c r="HQK5" i="7"/>
  <c r="HQL5" i="7"/>
  <c r="HQM5" i="7"/>
  <c r="HQN5" i="7"/>
  <c r="HQO5" i="7"/>
  <c r="HQP5" i="7"/>
  <c r="HQQ5" i="7"/>
  <c r="HQR5" i="7"/>
  <c r="HQS5" i="7"/>
  <c r="HQT5" i="7"/>
  <c r="HQU5" i="7"/>
  <c r="HQV5" i="7"/>
  <c r="HQW5" i="7"/>
  <c r="HQX5" i="7"/>
  <c r="HQY5" i="7"/>
  <c r="HQZ5" i="7"/>
  <c r="HRA5" i="7"/>
  <c r="HRB5" i="7"/>
  <c r="HRC5" i="7"/>
  <c r="HRD5" i="7"/>
  <c r="HRE5" i="7"/>
  <c r="HRF5" i="7"/>
  <c r="HRG5" i="7"/>
  <c r="HRH5" i="7"/>
  <c r="HRI5" i="7"/>
  <c r="HRJ5" i="7"/>
  <c r="HRK5" i="7"/>
  <c r="HRL5" i="7"/>
  <c r="HRM5" i="7"/>
  <c r="HRN5" i="7"/>
  <c r="HRO5" i="7"/>
  <c r="HRP5" i="7"/>
  <c r="HRQ5" i="7"/>
  <c r="HRR5" i="7"/>
  <c r="HRS5" i="7"/>
  <c r="HRT5" i="7"/>
  <c r="HRU5" i="7"/>
  <c r="HRV5" i="7"/>
  <c r="HRW5" i="7"/>
  <c r="HRX5" i="7"/>
  <c r="HRY5" i="7"/>
  <c r="HRZ5" i="7"/>
  <c r="HSA5" i="7"/>
  <c r="HSB5" i="7"/>
  <c r="HSC5" i="7"/>
  <c r="HSD5" i="7"/>
  <c r="HSE5" i="7"/>
  <c r="HSF5" i="7"/>
  <c r="HSG5" i="7"/>
  <c r="HSH5" i="7"/>
  <c r="HSI5" i="7"/>
  <c r="HSJ5" i="7"/>
  <c r="HSK5" i="7"/>
  <c r="HSL5" i="7"/>
  <c r="HSM5" i="7"/>
  <c r="HSN5" i="7"/>
  <c r="HSO5" i="7"/>
  <c r="HSP5" i="7"/>
  <c r="HSQ5" i="7"/>
  <c r="HSR5" i="7"/>
  <c r="HSS5" i="7"/>
  <c r="HST5" i="7"/>
  <c r="HSU5" i="7"/>
  <c r="HSV5" i="7"/>
  <c r="HSW5" i="7"/>
  <c r="HSX5" i="7"/>
  <c r="HSY5" i="7"/>
  <c r="HSZ5" i="7"/>
  <c r="HTA5" i="7"/>
  <c r="HTB5" i="7"/>
  <c r="HTC5" i="7"/>
  <c r="HTD5" i="7"/>
  <c r="HTE5" i="7"/>
  <c r="HTF5" i="7"/>
  <c r="HTG5" i="7"/>
  <c r="HTH5" i="7"/>
  <c r="HTI5" i="7"/>
  <c r="HTJ5" i="7"/>
  <c r="HTK5" i="7"/>
  <c r="HTL5" i="7"/>
  <c r="HTM5" i="7"/>
  <c r="HTN5" i="7"/>
  <c r="HTO5" i="7"/>
  <c r="HTP5" i="7"/>
  <c r="HTQ5" i="7"/>
  <c r="HTR5" i="7"/>
  <c r="HTS5" i="7"/>
  <c r="HTT5" i="7"/>
  <c r="HTU5" i="7"/>
  <c r="HTV5" i="7"/>
  <c r="HTW5" i="7"/>
  <c r="HTX5" i="7"/>
  <c r="HTY5" i="7"/>
  <c r="HTZ5" i="7"/>
  <c r="HUA5" i="7"/>
  <c r="HUB5" i="7"/>
  <c r="HUC5" i="7"/>
  <c r="HUD5" i="7"/>
  <c r="HUE5" i="7"/>
  <c r="HUF5" i="7"/>
  <c r="HUG5" i="7"/>
  <c r="HUH5" i="7"/>
  <c r="HUI5" i="7"/>
  <c r="HUJ5" i="7"/>
  <c r="HUK5" i="7"/>
  <c r="HUL5" i="7"/>
  <c r="HUM5" i="7"/>
  <c r="HUN5" i="7"/>
  <c r="HUO5" i="7"/>
  <c r="HUP5" i="7"/>
  <c r="HUQ5" i="7"/>
  <c r="HUR5" i="7"/>
  <c r="HUS5" i="7"/>
  <c r="HUT5" i="7"/>
  <c r="HUU5" i="7"/>
  <c r="HUV5" i="7"/>
  <c r="HUW5" i="7"/>
  <c r="HUX5" i="7"/>
  <c r="HUY5" i="7"/>
  <c r="HUZ5" i="7"/>
  <c r="HVA5" i="7"/>
  <c r="HVB5" i="7"/>
  <c r="HVC5" i="7"/>
  <c r="HVD5" i="7"/>
  <c r="HVE5" i="7"/>
  <c r="HVF5" i="7"/>
  <c r="HVG5" i="7"/>
  <c r="HVH5" i="7"/>
  <c r="HVI5" i="7"/>
  <c r="HVJ5" i="7"/>
  <c r="HVK5" i="7"/>
  <c r="HVL5" i="7"/>
  <c r="HVM5" i="7"/>
  <c r="HVN5" i="7"/>
  <c r="HVO5" i="7"/>
  <c r="HVP5" i="7"/>
  <c r="HVQ5" i="7"/>
  <c r="HVR5" i="7"/>
  <c r="HVS5" i="7"/>
  <c r="HVT5" i="7"/>
  <c r="HVU5" i="7"/>
  <c r="HVV5" i="7"/>
  <c r="HVW5" i="7"/>
  <c r="HVX5" i="7"/>
  <c r="HVY5" i="7"/>
  <c r="HVZ5" i="7"/>
  <c r="HWA5" i="7"/>
  <c r="HWB5" i="7"/>
  <c r="HWC5" i="7"/>
  <c r="HWD5" i="7"/>
  <c r="HWE5" i="7"/>
  <c r="HWF5" i="7"/>
  <c r="HWG5" i="7"/>
  <c r="HWH5" i="7"/>
  <c r="HWI5" i="7"/>
  <c r="HWJ5" i="7"/>
  <c r="HWK5" i="7"/>
  <c r="HWL5" i="7"/>
  <c r="HWM5" i="7"/>
  <c r="HWN5" i="7"/>
  <c r="HWO5" i="7"/>
  <c r="HWP5" i="7"/>
  <c r="HWQ5" i="7"/>
  <c r="HWR5" i="7"/>
  <c r="HWS5" i="7"/>
  <c r="HWT5" i="7"/>
  <c r="HWU5" i="7"/>
  <c r="HWV5" i="7"/>
  <c r="HWW5" i="7"/>
  <c r="HWX5" i="7"/>
  <c r="HWY5" i="7"/>
  <c r="HWZ5" i="7"/>
  <c r="HXA5" i="7"/>
  <c r="HXB5" i="7"/>
  <c r="HXC5" i="7"/>
  <c r="HXD5" i="7"/>
  <c r="HXE5" i="7"/>
  <c r="HXF5" i="7"/>
  <c r="HXG5" i="7"/>
  <c r="HXH5" i="7"/>
  <c r="HXI5" i="7"/>
  <c r="HXJ5" i="7"/>
  <c r="HXK5" i="7"/>
  <c r="HXL5" i="7"/>
  <c r="HXM5" i="7"/>
  <c r="HXN5" i="7"/>
  <c r="HXO5" i="7"/>
  <c r="HXP5" i="7"/>
  <c r="HXQ5" i="7"/>
  <c r="HXR5" i="7"/>
  <c r="HXS5" i="7"/>
  <c r="HXT5" i="7"/>
  <c r="HXU5" i="7"/>
  <c r="HXV5" i="7"/>
  <c r="HXW5" i="7"/>
  <c r="HXX5" i="7"/>
  <c r="HXY5" i="7"/>
  <c r="HXZ5" i="7"/>
  <c r="HYA5" i="7"/>
  <c r="HYB5" i="7"/>
  <c r="HYC5" i="7"/>
  <c r="HYD5" i="7"/>
  <c r="HYE5" i="7"/>
  <c r="HYF5" i="7"/>
  <c r="HYG5" i="7"/>
  <c r="HYH5" i="7"/>
  <c r="HYI5" i="7"/>
  <c r="HYJ5" i="7"/>
  <c r="HYK5" i="7"/>
  <c r="HYL5" i="7"/>
  <c r="HYM5" i="7"/>
  <c r="HYN5" i="7"/>
  <c r="HYO5" i="7"/>
  <c r="HYP5" i="7"/>
  <c r="HYQ5" i="7"/>
  <c r="HYR5" i="7"/>
  <c r="HYS5" i="7"/>
  <c r="HYT5" i="7"/>
  <c r="HYU5" i="7"/>
  <c r="HYV5" i="7"/>
  <c r="HYW5" i="7"/>
  <c r="HYX5" i="7"/>
  <c r="HYY5" i="7"/>
  <c r="HYZ5" i="7"/>
  <c r="HZA5" i="7"/>
  <c r="HZB5" i="7"/>
  <c r="HZC5" i="7"/>
  <c r="HZD5" i="7"/>
  <c r="HZE5" i="7"/>
  <c r="HZF5" i="7"/>
  <c r="HZG5" i="7"/>
  <c r="HZH5" i="7"/>
  <c r="HZI5" i="7"/>
  <c r="HZJ5" i="7"/>
  <c r="HZK5" i="7"/>
  <c r="HZL5" i="7"/>
  <c r="HZM5" i="7"/>
  <c r="HZN5" i="7"/>
  <c r="HZO5" i="7"/>
  <c r="HZP5" i="7"/>
  <c r="HZQ5" i="7"/>
  <c r="HZR5" i="7"/>
  <c r="HZS5" i="7"/>
  <c r="HZT5" i="7"/>
  <c r="HZU5" i="7"/>
  <c r="HZV5" i="7"/>
  <c r="HZW5" i="7"/>
  <c r="HZX5" i="7"/>
  <c r="HZY5" i="7"/>
  <c r="HZZ5" i="7"/>
  <c r="IAA5" i="7"/>
  <c r="IAB5" i="7"/>
  <c r="IAC5" i="7"/>
  <c r="IAD5" i="7"/>
  <c r="IAE5" i="7"/>
  <c r="IAF5" i="7"/>
  <c r="IAG5" i="7"/>
  <c r="IAH5" i="7"/>
  <c r="IAI5" i="7"/>
  <c r="IAJ5" i="7"/>
  <c r="IAK5" i="7"/>
  <c r="IAL5" i="7"/>
  <c r="IAM5" i="7"/>
  <c r="IAN5" i="7"/>
  <c r="IAO5" i="7"/>
  <c r="IAP5" i="7"/>
  <c r="IAQ5" i="7"/>
  <c r="IAR5" i="7"/>
  <c r="IAS5" i="7"/>
  <c r="IAT5" i="7"/>
  <c r="IAU5" i="7"/>
  <c r="IAV5" i="7"/>
  <c r="IAW5" i="7"/>
  <c r="IAX5" i="7"/>
  <c r="IAY5" i="7"/>
  <c r="IAZ5" i="7"/>
  <c r="IBA5" i="7"/>
  <c r="IBB5" i="7"/>
  <c r="IBC5" i="7"/>
  <c r="IBD5" i="7"/>
  <c r="IBE5" i="7"/>
  <c r="IBF5" i="7"/>
  <c r="IBG5" i="7"/>
  <c r="IBH5" i="7"/>
  <c r="IBI5" i="7"/>
  <c r="IBJ5" i="7"/>
  <c r="IBK5" i="7"/>
  <c r="IBL5" i="7"/>
  <c r="IBM5" i="7"/>
  <c r="IBN5" i="7"/>
  <c r="IBO5" i="7"/>
  <c r="IBP5" i="7"/>
  <c r="IBQ5" i="7"/>
  <c r="IBR5" i="7"/>
  <c r="IBS5" i="7"/>
  <c r="IBT5" i="7"/>
  <c r="IBU5" i="7"/>
  <c r="IBV5" i="7"/>
  <c r="IBW5" i="7"/>
  <c r="IBX5" i="7"/>
  <c r="IBY5" i="7"/>
  <c r="IBZ5" i="7"/>
  <c r="ICA5" i="7"/>
  <c r="ICB5" i="7"/>
  <c r="ICC5" i="7"/>
  <c r="ICD5" i="7"/>
  <c r="ICE5" i="7"/>
  <c r="ICF5" i="7"/>
  <c r="ICG5" i="7"/>
  <c r="ICH5" i="7"/>
  <c r="ICI5" i="7"/>
  <c r="ICJ5" i="7"/>
  <c r="ICK5" i="7"/>
  <c r="ICL5" i="7"/>
  <c r="ICM5" i="7"/>
  <c r="ICN5" i="7"/>
  <c r="ICO5" i="7"/>
  <c r="ICP5" i="7"/>
  <c r="ICQ5" i="7"/>
  <c r="ICR5" i="7"/>
  <c r="ICS5" i="7"/>
  <c r="ICT5" i="7"/>
  <c r="ICU5" i="7"/>
  <c r="ICV5" i="7"/>
  <c r="ICW5" i="7"/>
  <c r="ICX5" i="7"/>
  <c r="ICY5" i="7"/>
  <c r="ICZ5" i="7"/>
  <c r="IDA5" i="7"/>
  <c r="IDB5" i="7"/>
  <c r="IDC5" i="7"/>
  <c r="IDD5" i="7"/>
  <c r="IDE5" i="7"/>
  <c r="IDF5" i="7"/>
  <c r="IDG5" i="7"/>
  <c r="IDH5" i="7"/>
  <c r="IDI5" i="7"/>
  <c r="IDJ5" i="7"/>
  <c r="IDK5" i="7"/>
  <c r="IDL5" i="7"/>
  <c r="IDM5" i="7"/>
  <c r="IDN5" i="7"/>
  <c r="IDO5" i="7"/>
  <c r="IDP5" i="7"/>
  <c r="IDQ5" i="7"/>
  <c r="IDR5" i="7"/>
  <c r="IDS5" i="7"/>
  <c r="IDT5" i="7"/>
  <c r="IDU5" i="7"/>
  <c r="IDV5" i="7"/>
  <c r="IDW5" i="7"/>
  <c r="IDX5" i="7"/>
  <c r="IDY5" i="7"/>
  <c r="IDZ5" i="7"/>
  <c r="IEA5" i="7"/>
  <c r="IEB5" i="7"/>
  <c r="IEC5" i="7"/>
  <c r="IED5" i="7"/>
  <c r="IEE5" i="7"/>
  <c r="IEF5" i="7"/>
  <c r="IEG5" i="7"/>
  <c r="IEH5" i="7"/>
  <c r="IEI5" i="7"/>
  <c r="IEJ5" i="7"/>
  <c r="IEK5" i="7"/>
  <c r="IEL5" i="7"/>
  <c r="IEM5" i="7"/>
  <c r="IEN5" i="7"/>
  <c r="IEO5" i="7"/>
  <c r="IEP5" i="7"/>
  <c r="IEQ5" i="7"/>
  <c r="IER5" i="7"/>
  <c r="IES5" i="7"/>
  <c r="IET5" i="7"/>
  <c r="IEU5" i="7"/>
  <c r="IEV5" i="7"/>
  <c r="IEW5" i="7"/>
  <c r="IEX5" i="7"/>
  <c r="IEY5" i="7"/>
  <c r="IEZ5" i="7"/>
  <c r="IFA5" i="7"/>
  <c r="IFB5" i="7"/>
  <c r="IFC5" i="7"/>
  <c r="IFD5" i="7"/>
  <c r="IFE5" i="7"/>
  <c r="IFF5" i="7"/>
  <c r="IFG5" i="7"/>
  <c r="IFH5" i="7"/>
  <c r="IFI5" i="7"/>
  <c r="IFJ5" i="7"/>
  <c r="IFK5" i="7"/>
  <c r="IFL5" i="7"/>
  <c r="IFM5" i="7"/>
  <c r="IFN5" i="7"/>
  <c r="IFO5" i="7"/>
  <c r="IFP5" i="7"/>
  <c r="IFQ5" i="7"/>
  <c r="IFR5" i="7"/>
  <c r="IFS5" i="7"/>
  <c r="IFT5" i="7"/>
  <c r="IFU5" i="7"/>
  <c r="IFV5" i="7"/>
  <c r="IFW5" i="7"/>
  <c r="IFX5" i="7"/>
  <c r="IFY5" i="7"/>
  <c r="IFZ5" i="7"/>
  <c r="IGA5" i="7"/>
  <c r="IGB5" i="7"/>
  <c r="IGC5" i="7"/>
  <c r="IGD5" i="7"/>
  <c r="IGE5" i="7"/>
  <c r="IGF5" i="7"/>
  <c r="IGG5" i="7"/>
  <c r="IGH5" i="7"/>
  <c r="IGI5" i="7"/>
  <c r="IGJ5" i="7"/>
  <c r="IGK5" i="7"/>
  <c r="IGL5" i="7"/>
  <c r="IGM5" i="7"/>
  <c r="IGN5" i="7"/>
  <c r="IGO5" i="7"/>
  <c r="IGP5" i="7"/>
  <c r="IGQ5" i="7"/>
  <c r="IGR5" i="7"/>
  <c r="IGS5" i="7"/>
  <c r="IGT5" i="7"/>
  <c r="IGU5" i="7"/>
  <c r="IGV5" i="7"/>
  <c r="IGW5" i="7"/>
  <c r="IGX5" i="7"/>
  <c r="IGY5" i="7"/>
  <c r="IGZ5" i="7"/>
  <c r="IHA5" i="7"/>
  <c r="IHB5" i="7"/>
  <c r="IHC5" i="7"/>
  <c r="IHD5" i="7"/>
  <c r="IHE5" i="7"/>
  <c r="IHF5" i="7"/>
  <c r="IHG5" i="7"/>
  <c r="IHH5" i="7"/>
  <c r="IHI5" i="7"/>
  <c r="IHJ5" i="7"/>
  <c r="IHK5" i="7"/>
  <c r="IHL5" i="7"/>
  <c r="IHM5" i="7"/>
  <c r="IHN5" i="7"/>
  <c r="IHO5" i="7"/>
  <c r="IHP5" i="7"/>
  <c r="IHQ5" i="7"/>
  <c r="IHR5" i="7"/>
  <c r="IHS5" i="7"/>
  <c r="IHT5" i="7"/>
  <c r="IHU5" i="7"/>
  <c r="IHV5" i="7"/>
  <c r="IHW5" i="7"/>
  <c r="IHX5" i="7"/>
  <c r="IHY5" i="7"/>
  <c r="IHZ5" i="7"/>
  <c r="IIA5" i="7"/>
  <c r="IIB5" i="7"/>
  <c r="IIC5" i="7"/>
  <c r="IID5" i="7"/>
  <c r="IIE5" i="7"/>
  <c r="IIF5" i="7"/>
  <c r="IIG5" i="7"/>
  <c r="IIH5" i="7"/>
  <c r="III5" i="7"/>
  <c r="IIJ5" i="7"/>
  <c r="IIK5" i="7"/>
  <c r="IIL5" i="7"/>
  <c r="IIM5" i="7"/>
  <c r="IIN5" i="7"/>
  <c r="IIO5" i="7"/>
  <c r="IIP5" i="7"/>
  <c r="IIQ5" i="7"/>
  <c r="IIR5" i="7"/>
  <c r="IIS5" i="7"/>
  <c r="IIT5" i="7"/>
  <c r="IIU5" i="7"/>
  <c r="IIV5" i="7"/>
  <c r="IIW5" i="7"/>
  <c r="IIX5" i="7"/>
  <c r="IIY5" i="7"/>
  <c r="IIZ5" i="7"/>
  <c r="IJA5" i="7"/>
  <c r="IJB5" i="7"/>
  <c r="IJC5" i="7"/>
  <c r="IJD5" i="7"/>
  <c r="IJE5" i="7"/>
  <c r="IJF5" i="7"/>
  <c r="IJG5" i="7"/>
  <c r="IJH5" i="7"/>
  <c r="IJI5" i="7"/>
  <c r="IJJ5" i="7"/>
  <c r="IJK5" i="7"/>
  <c r="IJL5" i="7"/>
  <c r="IJM5" i="7"/>
  <c r="IJN5" i="7"/>
  <c r="IJO5" i="7"/>
  <c r="IJP5" i="7"/>
  <c r="IJQ5" i="7"/>
  <c r="IJR5" i="7"/>
  <c r="IJS5" i="7"/>
  <c r="IJT5" i="7"/>
  <c r="IJU5" i="7"/>
  <c r="IJV5" i="7"/>
  <c r="IJW5" i="7"/>
  <c r="IJX5" i="7"/>
  <c r="IJY5" i="7"/>
  <c r="IJZ5" i="7"/>
  <c r="IKA5" i="7"/>
  <c r="IKB5" i="7"/>
  <c r="IKC5" i="7"/>
  <c r="IKD5" i="7"/>
  <c r="IKE5" i="7"/>
  <c r="IKF5" i="7"/>
  <c r="IKG5" i="7"/>
  <c r="IKH5" i="7"/>
  <c r="IKI5" i="7"/>
  <c r="IKJ5" i="7"/>
  <c r="IKK5" i="7"/>
  <c r="IKL5" i="7"/>
  <c r="IKM5" i="7"/>
  <c r="IKN5" i="7"/>
  <c r="IKO5" i="7"/>
  <c r="IKP5" i="7"/>
  <c r="IKQ5" i="7"/>
  <c r="IKR5" i="7"/>
  <c r="IKS5" i="7"/>
  <c r="IKT5" i="7"/>
  <c r="IKU5" i="7"/>
  <c r="IKV5" i="7"/>
  <c r="IKW5" i="7"/>
  <c r="IKX5" i="7"/>
  <c r="IKY5" i="7"/>
  <c r="IKZ5" i="7"/>
  <c r="ILA5" i="7"/>
  <c r="ILB5" i="7"/>
  <c r="ILC5" i="7"/>
  <c r="ILD5" i="7"/>
  <c r="ILE5" i="7"/>
  <c r="ILF5" i="7"/>
  <c r="ILG5" i="7"/>
  <c r="ILH5" i="7"/>
  <c r="ILI5" i="7"/>
  <c r="ILJ5" i="7"/>
  <c r="ILK5" i="7"/>
  <c r="ILL5" i="7"/>
  <c r="ILM5" i="7"/>
  <c r="ILN5" i="7"/>
  <c r="ILO5" i="7"/>
  <c r="ILP5" i="7"/>
  <c r="ILQ5" i="7"/>
  <c r="ILR5" i="7"/>
  <c r="ILS5" i="7"/>
  <c r="ILT5" i="7"/>
  <c r="ILU5" i="7"/>
  <c r="ILV5" i="7"/>
  <c r="ILW5" i="7"/>
  <c r="ILX5" i="7"/>
  <c r="ILY5" i="7"/>
  <c r="ILZ5" i="7"/>
  <c r="IMA5" i="7"/>
  <c r="IMB5" i="7"/>
  <c r="IMC5" i="7"/>
  <c r="IMD5" i="7"/>
  <c r="IME5" i="7"/>
  <c r="IMF5" i="7"/>
  <c r="IMG5" i="7"/>
  <c r="IMH5" i="7"/>
  <c r="IMI5" i="7"/>
  <c r="IMJ5" i="7"/>
  <c r="IMK5" i="7"/>
  <c r="IML5" i="7"/>
  <c r="IMM5" i="7"/>
  <c r="IMN5" i="7"/>
  <c r="IMO5" i="7"/>
  <c r="IMP5" i="7"/>
  <c r="IMQ5" i="7"/>
  <c r="IMR5" i="7"/>
  <c r="IMS5" i="7"/>
  <c r="IMT5" i="7"/>
  <c r="IMU5" i="7"/>
  <c r="IMV5" i="7"/>
  <c r="IMW5" i="7"/>
  <c r="IMX5" i="7"/>
  <c r="IMY5" i="7"/>
  <c r="IMZ5" i="7"/>
  <c r="INA5" i="7"/>
  <c r="INB5" i="7"/>
  <c r="INC5" i="7"/>
  <c r="IND5" i="7"/>
  <c r="INE5" i="7"/>
  <c r="INF5" i="7"/>
  <c r="ING5" i="7"/>
  <c r="INH5" i="7"/>
  <c r="INI5" i="7"/>
  <c r="INJ5" i="7"/>
  <c r="INK5" i="7"/>
  <c r="INL5" i="7"/>
  <c r="INM5" i="7"/>
  <c r="INN5" i="7"/>
  <c r="INO5" i="7"/>
  <c r="INP5" i="7"/>
  <c r="INQ5" i="7"/>
  <c r="INR5" i="7"/>
  <c r="INS5" i="7"/>
  <c r="INT5" i="7"/>
  <c r="INU5" i="7"/>
  <c r="INV5" i="7"/>
  <c r="INW5" i="7"/>
  <c r="INX5" i="7"/>
  <c r="INY5" i="7"/>
  <c r="INZ5" i="7"/>
  <c r="IOA5" i="7"/>
  <c r="IOB5" i="7"/>
  <c r="IOC5" i="7"/>
  <c r="IOD5" i="7"/>
  <c r="IOE5" i="7"/>
  <c r="IOF5" i="7"/>
  <c r="IOG5" i="7"/>
  <c r="IOH5" i="7"/>
  <c r="IOI5" i="7"/>
  <c r="IOJ5" i="7"/>
  <c r="IOK5" i="7"/>
  <c r="IOL5" i="7"/>
  <c r="IOM5" i="7"/>
  <c r="ION5" i="7"/>
  <c r="IOO5" i="7"/>
  <c r="IOP5" i="7"/>
  <c r="IOQ5" i="7"/>
  <c r="IOR5" i="7"/>
  <c r="IOS5" i="7"/>
  <c r="IOT5" i="7"/>
  <c r="IOU5" i="7"/>
  <c r="IOV5" i="7"/>
  <c r="IOW5" i="7"/>
  <c r="IOX5" i="7"/>
  <c r="IOY5" i="7"/>
  <c r="IOZ5" i="7"/>
  <c r="IPA5" i="7"/>
  <c r="IPB5" i="7"/>
  <c r="IPC5" i="7"/>
  <c r="IPD5" i="7"/>
  <c r="IPE5" i="7"/>
  <c r="IPF5" i="7"/>
  <c r="IPG5" i="7"/>
  <c r="IPH5" i="7"/>
  <c r="IPI5" i="7"/>
  <c r="IPJ5" i="7"/>
  <c r="IPK5" i="7"/>
  <c r="IPL5" i="7"/>
  <c r="IPM5" i="7"/>
  <c r="IPN5" i="7"/>
  <c r="IPO5" i="7"/>
  <c r="IPP5" i="7"/>
  <c r="IPQ5" i="7"/>
  <c r="IPR5" i="7"/>
  <c r="IPS5" i="7"/>
  <c r="IPT5" i="7"/>
  <c r="IPU5" i="7"/>
  <c r="IPV5" i="7"/>
  <c r="IPW5" i="7"/>
  <c r="IPX5" i="7"/>
  <c r="IPY5" i="7"/>
  <c r="IPZ5" i="7"/>
  <c r="IQA5" i="7"/>
  <c r="IQB5" i="7"/>
  <c r="IQC5" i="7"/>
  <c r="IQD5" i="7"/>
  <c r="IQE5" i="7"/>
  <c r="IQF5" i="7"/>
  <c r="IQG5" i="7"/>
  <c r="IQH5" i="7"/>
  <c r="IQI5" i="7"/>
  <c r="IQJ5" i="7"/>
  <c r="IQK5" i="7"/>
  <c r="IQL5" i="7"/>
  <c r="IQM5" i="7"/>
  <c r="IQN5" i="7"/>
  <c r="IQO5" i="7"/>
  <c r="IQP5" i="7"/>
  <c r="IQQ5" i="7"/>
  <c r="IQR5" i="7"/>
  <c r="IQS5" i="7"/>
  <c r="IQT5" i="7"/>
  <c r="IQU5" i="7"/>
  <c r="IQV5" i="7"/>
  <c r="IQW5" i="7"/>
  <c r="IQX5" i="7"/>
  <c r="IQY5" i="7"/>
  <c r="IQZ5" i="7"/>
  <c r="IRA5" i="7"/>
  <c r="IRB5" i="7"/>
  <c r="IRC5" i="7"/>
  <c r="IRD5" i="7"/>
  <c r="IRE5" i="7"/>
  <c r="IRF5" i="7"/>
  <c r="IRG5" i="7"/>
  <c r="IRH5" i="7"/>
  <c r="IRI5" i="7"/>
  <c r="IRJ5" i="7"/>
  <c r="IRK5" i="7"/>
  <c r="IRL5" i="7"/>
  <c r="IRM5" i="7"/>
  <c r="IRN5" i="7"/>
  <c r="IRO5" i="7"/>
  <c r="IRP5" i="7"/>
  <c r="IRQ5" i="7"/>
  <c r="IRR5" i="7"/>
  <c r="IRS5" i="7"/>
  <c r="IRT5" i="7"/>
  <c r="IRU5" i="7"/>
  <c r="IRV5" i="7"/>
  <c r="IRW5" i="7"/>
  <c r="IRX5" i="7"/>
  <c r="IRY5" i="7"/>
  <c r="IRZ5" i="7"/>
  <c r="ISA5" i="7"/>
  <c r="ISB5" i="7"/>
  <c r="ISC5" i="7"/>
  <c r="ISD5" i="7"/>
  <c r="ISE5" i="7"/>
  <c r="ISF5" i="7"/>
  <c r="ISG5" i="7"/>
  <c r="ISH5" i="7"/>
  <c r="ISI5" i="7"/>
  <c r="ISJ5" i="7"/>
  <c r="ISK5" i="7"/>
  <c r="ISL5" i="7"/>
  <c r="ISM5" i="7"/>
  <c r="ISN5" i="7"/>
  <c r="ISO5" i="7"/>
  <c r="ISP5" i="7"/>
  <c r="ISQ5" i="7"/>
  <c r="ISR5" i="7"/>
  <c r="ISS5" i="7"/>
  <c r="IST5" i="7"/>
  <c r="ISU5" i="7"/>
  <c r="ISV5" i="7"/>
  <c r="ISW5" i="7"/>
  <c r="ISX5" i="7"/>
  <c r="ISY5" i="7"/>
  <c r="ISZ5" i="7"/>
  <c r="ITA5" i="7"/>
  <c r="ITB5" i="7"/>
  <c r="ITC5" i="7"/>
  <c r="ITD5" i="7"/>
  <c r="ITE5" i="7"/>
  <c r="ITF5" i="7"/>
  <c r="ITG5" i="7"/>
  <c r="ITH5" i="7"/>
  <c r="ITI5" i="7"/>
  <c r="ITJ5" i="7"/>
  <c r="ITK5" i="7"/>
  <c r="ITL5" i="7"/>
  <c r="ITM5" i="7"/>
  <c r="ITN5" i="7"/>
  <c r="ITO5" i="7"/>
  <c r="ITP5" i="7"/>
  <c r="ITQ5" i="7"/>
  <c r="ITR5" i="7"/>
  <c r="ITS5" i="7"/>
  <c r="ITT5" i="7"/>
  <c r="ITU5" i="7"/>
  <c r="ITV5" i="7"/>
  <c r="ITW5" i="7"/>
  <c r="ITX5" i="7"/>
  <c r="ITY5" i="7"/>
  <c r="ITZ5" i="7"/>
  <c r="IUA5" i="7"/>
  <c r="IUB5" i="7"/>
  <c r="IUC5" i="7"/>
  <c r="IUD5" i="7"/>
  <c r="IUE5" i="7"/>
  <c r="IUF5" i="7"/>
  <c r="IUG5" i="7"/>
  <c r="IUH5" i="7"/>
  <c r="IUI5" i="7"/>
  <c r="IUJ5" i="7"/>
  <c r="IUK5" i="7"/>
  <c r="IUL5" i="7"/>
  <c r="IUM5" i="7"/>
  <c r="IUN5" i="7"/>
  <c r="IUO5" i="7"/>
  <c r="IUP5" i="7"/>
  <c r="IUQ5" i="7"/>
  <c r="IUR5" i="7"/>
  <c r="IUS5" i="7"/>
  <c r="IUT5" i="7"/>
  <c r="IUU5" i="7"/>
  <c r="IUV5" i="7"/>
  <c r="IUW5" i="7"/>
  <c r="IUX5" i="7"/>
  <c r="IUY5" i="7"/>
  <c r="IUZ5" i="7"/>
  <c r="IVA5" i="7"/>
  <c r="IVB5" i="7"/>
  <c r="IVC5" i="7"/>
  <c r="IVD5" i="7"/>
  <c r="IVE5" i="7"/>
  <c r="IVF5" i="7"/>
  <c r="IVG5" i="7"/>
  <c r="IVH5" i="7"/>
  <c r="IVI5" i="7"/>
  <c r="IVJ5" i="7"/>
  <c r="IVK5" i="7"/>
  <c r="IVL5" i="7"/>
  <c r="IVM5" i="7"/>
  <c r="IVN5" i="7"/>
  <c r="IVO5" i="7"/>
  <c r="IVP5" i="7"/>
  <c r="IVQ5" i="7"/>
  <c r="IVR5" i="7"/>
  <c r="IVS5" i="7"/>
  <c r="IVT5" i="7"/>
  <c r="IVU5" i="7"/>
  <c r="IVV5" i="7"/>
  <c r="IVW5" i="7"/>
  <c r="IVX5" i="7"/>
  <c r="IVY5" i="7"/>
  <c r="IVZ5" i="7"/>
  <c r="IWA5" i="7"/>
  <c r="IWB5" i="7"/>
  <c r="IWC5" i="7"/>
  <c r="IWD5" i="7"/>
  <c r="IWE5" i="7"/>
  <c r="IWF5" i="7"/>
  <c r="IWG5" i="7"/>
  <c r="IWH5" i="7"/>
  <c r="IWI5" i="7"/>
  <c r="IWJ5" i="7"/>
  <c r="IWK5" i="7"/>
  <c r="IWL5" i="7"/>
  <c r="IWM5" i="7"/>
  <c r="IWN5" i="7"/>
  <c r="IWO5" i="7"/>
  <c r="IWP5" i="7"/>
  <c r="IWQ5" i="7"/>
  <c r="IWR5" i="7"/>
  <c r="IWS5" i="7"/>
  <c r="IWT5" i="7"/>
  <c r="IWU5" i="7"/>
  <c r="IWV5" i="7"/>
  <c r="IWW5" i="7"/>
  <c r="IWX5" i="7"/>
  <c r="IWY5" i="7"/>
  <c r="IWZ5" i="7"/>
  <c r="IXA5" i="7"/>
  <c r="IXB5" i="7"/>
  <c r="IXC5" i="7"/>
  <c r="IXD5" i="7"/>
  <c r="IXE5" i="7"/>
  <c r="IXF5" i="7"/>
  <c r="IXG5" i="7"/>
  <c r="IXH5" i="7"/>
  <c r="IXI5" i="7"/>
  <c r="IXJ5" i="7"/>
  <c r="IXK5" i="7"/>
  <c r="IXL5" i="7"/>
  <c r="IXM5" i="7"/>
  <c r="IXN5" i="7"/>
  <c r="IXO5" i="7"/>
  <c r="IXP5" i="7"/>
  <c r="IXQ5" i="7"/>
  <c r="IXR5" i="7"/>
  <c r="IXS5" i="7"/>
  <c r="IXT5" i="7"/>
  <c r="IXU5" i="7"/>
  <c r="IXV5" i="7"/>
  <c r="IXW5" i="7"/>
  <c r="IXX5" i="7"/>
  <c r="IXY5" i="7"/>
  <c r="IXZ5" i="7"/>
  <c r="IYA5" i="7"/>
  <c r="IYB5" i="7"/>
  <c r="IYC5" i="7"/>
  <c r="IYD5" i="7"/>
  <c r="IYE5" i="7"/>
  <c r="IYF5" i="7"/>
  <c r="IYG5" i="7"/>
  <c r="IYH5" i="7"/>
  <c r="IYI5" i="7"/>
  <c r="IYJ5" i="7"/>
  <c r="IYK5" i="7"/>
  <c r="IYL5" i="7"/>
  <c r="IYM5" i="7"/>
  <c r="IYN5" i="7"/>
  <c r="IYO5" i="7"/>
  <c r="IYP5" i="7"/>
  <c r="IYQ5" i="7"/>
  <c r="IYR5" i="7"/>
  <c r="IYS5" i="7"/>
  <c r="IYT5" i="7"/>
  <c r="IYU5" i="7"/>
  <c r="IYV5" i="7"/>
  <c r="IYW5" i="7"/>
  <c r="IYX5" i="7"/>
  <c r="IYY5" i="7"/>
  <c r="IYZ5" i="7"/>
  <c r="IZA5" i="7"/>
  <c r="IZB5" i="7"/>
  <c r="IZC5" i="7"/>
  <c r="IZD5" i="7"/>
  <c r="IZE5" i="7"/>
  <c r="IZF5" i="7"/>
  <c r="IZG5" i="7"/>
  <c r="IZH5" i="7"/>
  <c r="IZI5" i="7"/>
  <c r="IZJ5" i="7"/>
  <c r="IZK5" i="7"/>
  <c r="IZL5" i="7"/>
  <c r="IZM5" i="7"/>
  <c r="IZN5" i="7"/>
  <c r="IZO5" i="7"/>
  <c r="IZP5" i="7"/>
  <c r="IZQ5" i="7"/>
  <c r="IZR5" i="7"/>
  <c r="IZS5" i="7"/>
  <c r="IZT5" i="7"/>
  <c r="IZU5" i="7"/>
  <c r="IZV5" i="7"/>
  <c r="IZW5" i="7"/>
  <c r="IZX5" i="7"/>
  <c r="IZY5" i="7"/>
  <c r="IZZ5" i="7"/>
  <c r="JAA5" i="7"/>
  <c r="JAB5" i="7"/>
  <c r="JAC5" i="7"/>
  <c r="JAD5" i="7"/>
  <c r="JAE5" i="7"/>
  <c r="JAF5" i="7"/>
  <c r="JAG5" i="7"/>
  <c r="JAH5" i="7"/>
  <c r="JAI5" i="7"/>
  <c r="JAJ5" i="7"/>
  <c r="JAK5" i="7"/>
  <c r="JAL5" i="7"/>
  <c r="JAM5" i="7"/>
  <c r="JAN5" i="7"/>
  <c r="JAO5" i="7"/>
  <c r="JAP5" i="7"/>
  <c r="JAQ5" i="7"/>
  <c r="JAR5" i="7"/>
  <c r="JAS5" i="7"/>
  <c r="JAT5" i="7"/>
  <c r="JAU5" i="7"/>
  <c r="JAV5" i="7"/>
  <c r="JAW5" i="7"/>
  <c r="JAX5" i="7"/>
  <c r="JAY5" i="7"/>
  <c r="JAZ5" i="7"/>
  <c r="JBA5" i="7"/>
  <c r="JBB5" i="7"/>
  <c r="JBC5" i="7"/>
  <c r="JBD5" i="7"/>
  <c r="JBE5" i="7"/>
  <c r="JBF5" i="7"/>
  <c r="JBG5" i="7"/>
  <c r="JBH5" i="7"/>
  <c r="JBI5" i="7"/>
  <c r="JBJ5" i="7"/>
  <c r="JBK5" i="7"/>
  <c r="JBL5" i="7"/>
  <c r="JBM5" i="7"/>
  <c r="JBN5" i="7"/>
  <c r="JBO5" i="7"/>
  <c r="JBP5" i="7"/>
  <c r="JBQ5" i="7"/>
  <c r="JBR5" i="7"/>
  <c r="JBS5" i="7"/>
  <c r="JBT5" i="7"/>
  <c r="JBU5" i="7"/>
  <c r="JBV5" i="7"/>
  <c r="JBW5" i="7"/>
  <c r="JBX5" i="7"/>
  <c r="JBY5" i="7"/>
  <c r="JBZ5" i="7"/>
  <c r="JCA5" i="7"/>
  <c r="JCB5" i="7"/>
  <c r="JCC5" i="7"/>
  <c r="JCD5" i="7"/>
  <c r="JCE5" i="7"/>
  <c r="JCF5" i="7"/>
  <c r="JCG5" i="7"/>
  <c r="JCH5" i="7"/>
  <c r="JCI5" i="7"/>
  <c r="JCJ5" i="7"/>
  <c r="JCK5" i="7"/>
  <c r="JCL5" i="7"/>
  <c r="JCM5" i="7"/>
  <c r="JCN5" i="7"/>
  <c r="JCO5" i="7"/>
  <c r="JCP5" i="7"/>
  <c r="JCQ5" i="7"/>
  <c r="JCR5" i="7"/>
  <c r="JCS5" i="7"/>
  <c r="JCT5" i="7"/>
  <c r="JCU5" i="7"/>
  <c r="JCV5" i="7"/>
  <c r="JCW5" i="7"/>
  <c r="JCX5" i="7"/>
  <c r="JCY5" i="7"/>
  <c r="JCZ5" i="7"/>
  <c r="JDA5" i="7"/>
  <c r="JDB5" i="7"/>
  <c r="JDC5" i="7"/>
  <c r="JDD5" i="7"/>
  <c r="JDE5" i="7"/>
  <c r="JDF5" i="7"/>
  <c r="JDG5" i="7"/>
  <c r="JDH5" i="7"/>
  <c r="JDI5" i="7"/>
  <c r="JDJ5" i="7"/>
  <c r="JDK5" i="7"/>
  <c r="JDL5" i="7"/>
  <c r="JDM5" i="7"/>
  <c r="JDN5" i="7"/>
  <c r="JDO5" i="7"/>
  <c r="JDP5" i="7"/>
  <c r="JDQ5" i="7"/>
  <c r="JDR5" i="7"/>
  <c r="JDS5" i="7"/>
  <c r="JDT5" i="7"/>
  <c r="JDU5" i="7"/>
  <c r="JDV5" i="7"/>
  <c r="JDW5" i="7"/>
  <c r="JDX5" i="7"/>
  <c r="JDY5" i="7"/>
  <c r="JDZ5" i="7"/>
  <c r="JEA5" i="7"/>
  <c r="JEB5" i="7"/>
  <c r="JEC5" i="7"/>
  <c r="JED5" i="7"/>
  <c r="JEE5" i="7"/>
  <c r="JEF5" i="7"/>
  <c r="JEG5" i="7"/>
  <c r="JEH5" i="7"/>
  <c r="JEI5" i="7"/>
  <c r="JEJ5" i="7"/>
  <c r="JEK5" i="7"/>
  <c r="JEL5" i="7"/>
  <c r="JEM5" i="7"/>
  <c r="JEN5" i="7"/>
  <c r="JEO5" i="7"/>
  <c r="JEP5" i="7"/>
  <c r="JEQ5" i="7"/>
  <c r="JER5" i="7"/>
  <c r="JES5" i="7"/>
  <c r="JET5" i="7"/>
  <c r="JEU5" i="7"/>
  <c r="JEV5" i="7"/>
  <c r="JEW5" i="7"/>
  <c r="JEX5" i="7"/>
  <c r="JEY5" i="7"/>
  <c r="JEZ5" i="7"/>
  <c r="JFA5" i="7"/>
  <c r="JFB5" i="7"/>
  <c r="JFC5" i="7"/>
  <c r="JFD5" i="7"/>
  <c r="JFE5" i="7"/>
  <c r="JFF5" i="7"/>
  <c r="JFG5" i="7"/>
  <c r="JFH5" i="7"/>
  <c r="JFI5" i="7"/>
  <c r="JFJ5" i="7"/>
  <c r="JFK5" i="7"/>
  <c r="JFL5" i="7"/>
  <c r="JFM5" i="7"/>
  <c r="JFN5" i="7"/>
  <c r="JFO5" i="7"/>
  <c r="JFP5" i="7"/>
  <c r="JFQ5" i="7"/>
  <c r="JFR5" i="7"/>
  <c r="JFS5" i="7"/>
  <c r="JFT5" i="7"/>
  <c r="JFU5" i="7"/>
  <c r="JFV5" i="7"/>
  <c r="JFW5" i="7"/>
  <c r="JFX5" i="7"/>
  <c r="JFY5" i="7"/>
  <c r="JFZ5" i="7"/>
  <c r="JGA5" i="7"/>
  <c r="JGB5" i="7"/>
  <c r="JGC5" i="7"/>
  <c r="JGD5" i="7"/>
  <c r="JGE5" i="7"/>
  <c r="JGF5" i="7"/>
  <c r="JGG5" i="7"/>
  <c r="JGH5" i="7"/>
  <c r="JGI5" i="7"/>
  <c r="JGJ5" i="7"/>
  <c r="JGK5" i="7"/>
  <c r="JGL5" i="7"/>
  <c r="JGM5" i="7"/>
  <c r="JGN5" i="7"/>
  <c r="JGO5" i="7"/>
  <c r="JGP5" i="7"/>
  <c r="JGQ5" i="7"/>
  <c r="JGR5" i="7"/>
  <c r="JGS5" i="7"/>
  <c r="JGT5" i="7"/>
  <c r="JGU5" i="7"/>
  <c r="JGV5" i="7"/>
  <c r="JGW5" i="7"/>
  <c r="JGX5" i="7"/>
  <c r="JGY5" i="7"/>
  <c r="JGZ5" i="7"/>
  <c r="JHA5" i="7"/>
  <c r="JHB5" i="7"/>
  <c r="JHC5" i="7"/>
  <c r="JHD5" i="7"/>
  <c r="JHE5" i="7"/>
  <c r="JHF5" i="7"/>
  <c r="JHG5" i="7"/>
  <c r="JHH5" i="7"/>
  <c r="JHI5" i="7"/>
  <c r="JHJ5" i="7"/>
  <c r="JHK5" i="7"/>
  <c r="JHL5" i="7"/>
  <c r="JHM5" i="7"/>
  <c r="JHN5" i="7"/>
  <c r="JHO5" i="7"/>
  <c r="JHP5" i="7"/>
  <c r="JHQ5" i="7"/>
  <c r="JHR5" i="7"/>
  <c r="JHS5" i="7"/>
  <c r="JHT5" i="7"/>
  <c r="JHU5" i="7"/>
  <c r="JHV5" i="7"/>
  <c r="JHW5" i="7"/>
  <c r="JHX5" i="7"/>
  <c r="JHY5" i="7"/>
  <c r="JHZ5" i="7"/>
  <c r="JIA5" i="7"/>
  <c r="JIB5" i="7"/>
  <c r="JIC5" i="7"/>
  <c r="JID5" i="7"/>
  <c r="JIE5" i="7"/>
  <c r="JIF5" i="7"/>
  <c r="JIG5" i="7"/>
  <c r="JIH5" i="7"/>
  <c r="JII5" i="7"/>
  <c r="JIJ5" i="7"/>
  <c r="JIK5" i="7"/>
  <c r="JIL5" i="7"/>
  <c r="JIM5" i="7"/>
  <c r="JIN5" i="7"/>
  <c r="JIO5" i="7"/>
  <c r="JIP5" i="7"/>
  <c r="JIQ5" i="7"/>
  <c r="JIR5" i="7"/>
  <c r="JIS5" i="7"/>
  <c r="JIT5" i="7"/>
  <c r="JIU5" i="7"/>
  <c r="JIV5" i="7"/>
  <c r="JIW5" i="7"/>
  <c r="JIX5" i="7"/>
  <c r="JIY5" i="7"/>
  <c r="JIZ5" i="7"/>
  <c r="JJA5" i="7"/>
  <c r="JJB5" i="7"/>
  <c r="JJC5" i="7"/>
  <c r="JJD5" i="7"/>
  <c r="JJE5" i="7"/>
  <c r="JJF5" i="7"/>
  <c r="JJG5" i="7"/>
  <c r="JJH5" i="7"/>
  <c r="JJI5" i="7"/>
  <c r="JJJ5" i="7"/>
  <c r="JJK5" i="7"/>
  <c r="JJL5" i="7"/>
  <c r="JJM5" i="7"/>
  <c r="JJN5" i="7"/>
  <c r="JJO5" i="7"/>
  <c r="JJP5" i="7"/>
  <c r="JJQ5" i="7"/>
  <c r="JJR5" i="7"/>
  <c r="JJS5" i="7"/>
  <c r="JJT5" i="7"/>
  <c r="JJU5" i="7"/>
  <c r="JJV5" i="7"/>
  <c r="JJW5" i="7"/>
  <c r="JJX5" i="7"/>
  <c r="JJY5" i="7"/>
  <c r="JJZ5" i="7"/>
  <c r="JKA5" i="7"/>
  <c r="JKB5" i="7"/>
  <c r="JKC5" i="7"/>
  <c r="JKD5" i="7"/>
  <c r="JKE5" i="7"/>
  <c r="JKF5" i="7"/>
  <c r="JKG5" i="7"/>
  <c r="JKH5" i="7"/>
  <c r="JKI5" i="7"/>
  <c r="JKJ5" i="7"/>
  <c r="JKK5" i="7"/>
  <c r="JKL5" i="7"/>
  <c r="JKM5" i="7"/>
  <c r="JKN5" i="7"/>
  <c r="JKO5" i="7"/>
  <c r="JKP5" i="7"/>
  <c r="JKQ5" i="7"/>
  <c r="JKR5" i="7"/>
  <c r="JKS5" i="7"/>
  <c r="JKT5" i="7"/>
  <c r="JKU5" i="7"/>
  <c r="JKV5" i="7"/>
  <c r="JKW5" i="7"/>
  <c r="JKX5" i="7"/>
  <c r="JKY5" i="7"/>
  <c r="JKZ5" i="7"/>
  <c r="JLA5" i="7"/>
  <c r="JLB5" i="7"/>
  <c r="JLC5" i="7"/>
  <c r="JLD5" i="7"/>
  <c r="JLE5" i="7"/>
  <c r="JLF5" i="7"/>
  <c r="JLG5" i="7"/>
  <c r="JLH5" i="7"/>
  <c r="JLI5" i="7"/>
  <c r="JLJ5" i="7"/>
  <c r="JLK5" i="7"/>
  <c r="JLL5" i="7"/>
  <c r="JLM5" i="7"/>
  <c r="JLN5" i="7"/>
  <c r="JLO5" i="7"/>
  <c r="JLP5" i="7"/>
  <c r="JLQ5" i="7"/>
  <c r="JLR5" i="7"/>
  <c r="JLS5" i="7"/>
  <c r="JLT5" i="7"/>
  <c r="JLU5" i="7"/>
  <c r="JLV5" i="7"/>
  <c r="JLW5" i="7"/>
  <c r="JLX5" i="7"/>
  <c r="JLY5" i="7"/>
  <c r="JLZ5" i="7"/>
  <c r="JMA5" i="7"/>
  <c r="JMB5" i="7"/>
  <c r="JMC5" i="7"/>
  <c r="JMD5" i="7"/>
  <c r="JME5" i="7"/>
  <c r="JMF5" i="7"/>
  <c r="JMG5" i="7"/>
  <c r="JMH5" i="7"/>
  <c r="JMI5" i="7"/>
  <c r="JMJ5" i="7"/>
  <c r="JMK5" i="7"/>
  <c r="JML5" i="7"/>
  <c r="JMM5" i="7"/>
  <c r="JMN5" i="7"/>
  <c r="JMO5" i="7"/>
  <c r="JMP5" i="7"/>
  <c r="JMQ5" i="7"/>
  <c r="JMR5" i="7"/>
  <c r="JMS5" i="7"/>
  <c r="JMT5" i="7"/>
  <c r="JMU5" i="7"/>
  <c r="JMV5" i="7"/>
  <c r="JMW5" i="7"/>
  <c r="JMX5" i="7"/>
  <c r="JMY5" i="7"/>
  <c r="JMZ5" i="7"/>
  <c r="JNA5" i="7"/>
  <c r="JNB5" i="7"/>
  <c r="JNC5" i="7"/>
  <c r="JND5" i="7"/>
  <c r="JNE5" i="7"/>
  <c r="JNF5" i="7"/>
  <c r="JNG5" i="7"/>
  <c r="JNH5" i="7"/>
  <c r="JNI5" i="7"/>
  <c r="JNJ5" i="7"/>
  <c r="JNK5" i="7"/>
  <c r="JNL5" i="7"/>
  <c r="JNM5" i="7"/>
  <c r="JNN5" i="7"/>
  <c r="JNO5" i="7"/>
  <c r="JNP5" i="7"/>
  <c r="JNQ5" i="7"/>
  <c r="JNR5" i="7"/>
  <c r="JNS5" i="7"/>
  <c r="JNT5" i="7"/>
  <c r="JNU5" i="7"/>
  <c r="JNV5" i="7"/>
  <c r="JNW5" i="7"/>
  <c r="JNX5" i="7"/>
  <c r="JNY5" i="7"/>
  <c r="JNZ5" i="7"/>
  <c r="JOA5" i="7"/>
  <c r="JOB5" i="7"/>
  <c r="JOC5" i="7"/>
  <c r="JOD5" i="7"/>
  <c r="JOE5" i="7"/>
  <c r="JOF5" i="7"/>
  <c r="JOG5" i="7"/>
  <c r="JOH5" i="7"/>
  <c r="JOI5" i="7"/>
  <c r="JOJ5" i="7"/>
  <c r="JOK5" i="7"/>
  <c r="JOL5" i="7"/>
  <c r="JOM5" i="7"/>
  <c r="JON5" i="7"/>
  <c r="JOO5" i="7"/>
  <c r="JOP5" i="7"/>
  <c r="JOQ5" i="7"/>
  <c r="JOR5" i="7"/>
  <c r="JOS5" i="7"/>
  <c r="JOT5" i="7"/>
  <c r="JOU5" i="7"/>
  <c r="JOV5" i="7"/>
  <c r="JOW5" i="7"/>
  <c r="JOX5" i="7"/>
  <c r="JOY5" i="7"/>
  <c r="JOZ5" i="7"/>
  <c r="JPA5" i="7"/>
  <c r="JPB5" i="7"/>
  <c r="JPC5" i="7"/>
  <c r="JPD5" i="7"/>
  <c r="JPE5" i="7"/>
  <c r="JPF5" i="7"/>
  <c r="JPG5" i="7"/>
  <c r="JPH5" i="7"/>
  <c r="JPI5" i="7"/>
  <c r="JPJ5" i="7"/>
  <c r="JPK5" i="7"/>
  <c r="JPL5" i="7"/>
  <c r="JPM5" i="7"/>
  <c r="JPN5" i="7"/>
  <c r="JPO5" i="7"/>
  <c r="JPP5" i="7"/>
  <c r="JPQ5" i="7"/>
  <c r="JPR5" i="7"/>
  <c r="JPS5" i="7"/>
  <c r="JPT5" i="7"/>
  <c r="JPU5" i="7"/>
  <c r="JPV5" i="7"/>
  <c r="JPW5" i="7"/>
  <c r="JPX5" i="7"/>
  <c r="JPY5" i="7"/>
  <c r="JPZ5" i="7"/>
  <c r="JQA5" i="7"/>
  <c r="JQB5" i="7"/>
  <c r="JQC5" i="7"/>
  <c r="JQD5" i="7"/>
  <c r="JQE5" i="7"/>
  <c r="JQF5" i="7"/>
  <c r="JQG5" i="7"/>
  <c r="JQH5" i="7"/>
  <c r="JQI5" i="7"/>
  <c r="JQJ5" i="7"/>
  <c r="JQK5" i="7"/>
  <c r="JQL5" i="7"/>
  <c r="JQM5" i="7"/>
  <c r="JQN5" i="7"/>
  <c r="JQO5" i="7"/>
  <c r="JQP5" i="7"/>
  <c r="JQQ5" i="7"/>
  <c r="JQR5" i="7"/>
  <c r="JQS5" i="7"/>
  <c r="JQT5" i="7"/>
  <c r="JQU5" i="7"/>
  <c r="JQV5" i="7"/>
  <c r="JQW5" i="7"/>
  <c r="JQX5" i="7"/>
  <c r="JQY5" i="7"/>
  <c r="JQZ5" i="7"/>
  <c r="JRA5" i="7"/>
  <c r="JRB5" i="7"/>
  <c r="JRC5" i="7"/>
  <c r="JRD5" i="7"/>
  <c r="JRE5" i="7"/>
  <c r="JRF5" i="7"/>
  <c r="JRG5" i="7"/>
  <c r="JRH5" i="7"/>
  <c r="JRI5" i="7"/>
  <c r="JRJ5" i="7"/>
  <c r="JRK5" i="7"/>
  <c r="JRL5" i="7"/>
  <c r="JRM5" i="7"/>
  <c r="JRN5" i="7"/>
  <c r="JRO5" i="7"/>
  <c r="JRP5" i="7"/>
  <c r="JRQ5" i="7"/>
  <c r="JRR5" i="7"/>
  <c r="JRS5" i="7"/>
  <c r="JRT5" i="7"/>
  <c r="JRU5" i="7"/>
  <c r="JRV5" i="7"/>
  <c r="JRW5" i="7"/>
  <c r="JRX5" i="7"/>
  <c r="JRY5" i="7"/>
  <c r="JRZ5" i="7"/>
  <c r="JSA5" i="7"/>
  <c r="JSB5" i="7"/>
  <c r="JSC5" i="7"/>
  <c r="JSD5" i="7"/>
  <c r="JSE5" i="7"/>
  <c r="JSF5" i="7"/>
  <c r="JSG5" i="7"/>
  <c r="JSH5" i="7"/>
  <c r="JSI5" i="7"/>
  <c r="JSJ5" i="7"/>
  <c r="JSK5" i="7"/>
  <c r="JSL5" i="7"/>
  <c r="JSM5" i="7"/>
  <c r="JSN5" i="7"/>
  <c r="JSO5" i="7"/>
  <c r="JSP5" i="7"/>
  <c r="JSQ5" i="7"/>
  <c r="JSR5" i="7"/>
  <c r="JSS5" i="7"/>
  <c r="JST5" i="7"/>
  <c r="JSU5" i="7"/>
  <c r="JSV5" i="7"/>
  <c r="JSW5" i="7"/>
  <c r="JSX5" i="7"/>
  <c r="JSY5" i="7"/>
  <c r="JSZ5" i="7"/>
  <c r="JTA5" i="7"/>
  <c r="JTB5" i="7"/>
  <c r="JTC5" i="7"/>
  <c r="JTD5" i="7"/>
  <c r="JTE5" i="7"/>
  <c r="JTF5" i="7"/>
  <c r="JTG5" i="7"/>
  <c r="JTH5" i="7"/>
  <c r="JTI5" i="7"/>
  <c r="JTJ5" i="7"/>
  <c r="JTK5" i="7"/>
  <c r="JTL5" i="7"/>
  <c r="JTM5" i="7"/>
  <c r="JTN5" i="7"/>
  <c r="JTO5" i="7"/>
  <c r="JTP5" i="7"/>
  <c r="JTQ5" i="7"/>
  <c r="JTR5" i="7"/>
  <c r="JTS5" i="7"/>
  <c r="JTT5" i="7"/>
  <c r="JTU5" i="7"/>
  <c r="JTV5" i="7"/>
  <c r="JTW5" i="7"/>
  <c r="JTX5" i="7"/>
  <c r="JTY5" i="7"/>
  <c r="JTZ5" i="7"/>
  <c r="JUA5" i="7"/>
  <c r="JUB5" i="7"/>
  <c r="JUC5" i="7"/>
  <c r="JUD5" i="7"/>
  <c r="JUE5" i="7"/>
  <c r="JUF5" i="7"/>
  <c r="JUG5" i="7"/>
  <c r="JUH5" i="7"/>
  <c r="JUI5" i="7"/>
  <c r="JUJ5" i="7"/>
  <c r="JUK5" i="7"/>
  <c r="JUL5" i="7"/>
  <c r="JUM5" i="7"/>
  <c r="JUN5" i="7"/>
  <c r="JUO5" i="7"/>
  <c r="JUP5" i="7"/>
  <c r="JUQ5" i="7"/>
  <c r="JUR5" i="7"/>
  <c r="JUS5" i="7"/>
  <c r="JUT5" i="7"/>
  <c r="JUU5" i="7"/>
  <c r="JUV5" i="7"/>
  <c r="JUW5" i="7"/>
  <c r="JUX5" i="7"/>
  <c r="JUY5" i="7"/>
  <c r="JUZ5" i="7"/>
  <c r="JVA5" i="7"/>
  <c r="JVB5" i="7"/>
  <c r="JVC5" i="7"/>
  <c r="JVD5" i="7"/>
  <c r="JVE5" i="7"/>
  <c r="JVF5" i="7"/>
  <c r="JVG5" i="7"/>
  <c r="JVH5" i="7"/>
  <c r="JVI5" i="7"/>
  <c r="JVJ5" i="7"/>
  <c r="JVK5" i="7"/>
  <c r="JVL5" i="7"/>
  <c r="JVM5" i="7"/>
  <c r="JVN5" i="7"/>
  <c r="JVO5" i="7"/>
  <c r="JVP5" i="7"/>
  <c r="JVQ5" i="7"/>
  <c r="JVR5" i="7"/>
  <c r="JVS5" i="7"/>
  <c r="JVT5" i="7"/>
  <c r="JVU5" i="7"/>
  <c r="JVV5" i="7"/>
  <c r="JVW5" i="7"/>
  <c r="JVX5" i="7"/>
  <c r="JVY5" i="7"/>
  <c r="JVZ5" i="7"/>
  <c r="JWA5" i="7"/>
  <c r="JWB5" i="7"/>
  <c r="JWC5" i="7"/>
  <c r="JWD5" i="7"/>
  <c r="JWE5" i="7"/>
  <c r="JWF5" i="7"/>
  <c r="JWG5" i="7"/>
  <c r="JWH5" i="7"/>
  <c r="JWI5" i="7"/>
  <c r="JWJ5" i="7"/>
  <c r="JWK5" i="7"/>
  <c r="JWL5" i="7"/>
  <c r="JWM5" i="7"/>
  <c r="JWN5" i="7"/>
  <c r="JWO5" i="7"/>
  <c r="JWP5" i="7"/>
  <c r="JWQ5" i="7"/>
  <c r="JWR5" i="7"/>
  <c r="JWS5" i="7"/>
  <c r="JWT5" i="7"/>
  <c r="JWU5" i="7"/>
  <c r="JWV5" i="7"/>
  <c r="JWW5" i="7"/>
  <c r="JWX5" i="7"/>
  <c r="JWY5" i="7"/>
  <c r="JWZ5" i="7"/>
  <c r="JXA5" i="7"/>
  <c r="JXB5" i="7"/>
  <c r="JXC5" i="7"/>
  <c r="JXD5" i="7"/>
  <c r="JXE5" i="7"/>
  <c r="JXF5" i="7"/>
  <c r="JXG5" i="7"/>
  <c r="JXH5" i="7"/>
  <c r="JXI5" i="7"/>
  <c r="JXJ5" i="7"/>
  <c r="JXK5" i="7"/>
  <c r="JXL5" i="7"/>
  <c r="JXM5" i="7"/>
  <c r="JXN5" i="7"/>
  <c r="JXO5" i="7"/>
  <c r="JXP5" i="7"/>
  <c r="JXQ5" i="7"/>
  <c r="JXR5" i="7"/>
  <c r="JXS5" i="7"/>
  <c r="JXT5" i="7"/>
  <c r="JXU5" i="7"/>
  <c r="JXV5" i="7"/>
  <c r="JXW5" i="7"/>
  <c r="JXX5" i="7"/>
  <c r="JXY5" i="7"/>
  <c r="JXZ5" i="7"/>
  <c r="JYA5" i="7"/>
  <c r="JYB5" i="7"/>
  <c r="JYC5" i="7"/>
  <c r="JYD5" i="7"/>
  <c r="JYE5" i="7"/>
  <c r="JYF5" i="7"/>
  <c r="JYG5" i="7"/>
  <c r="JYH5" i="7"/>
  <c r="JYI5" i="7"/>
  <c r="JYJ5" i="7"/>
  <c r="JYK5" i="7"/>
  <c r="JYL5" i="7"/>
  <c r="JYM5" i="7"/>
  <c r="JYN5" i="7"/>
  <c r="JYO5" i="7"/>
  <c r="JYP5" i="7"/>
  <c r="JYQ5" i="7"/>
  <c r="JYR5" i="7"/>
  <c r="JYS5" i="7"/>
  <c r="JYT5" i="7"/>
  <c r="JYU5" i="7"/>
  <c r="JYV5" i="7"/>
  <c r="JYW5" i="7"/>
  <c r="JYX5" i="7"/>
  <c r="JYY5" i="7"/>
  <c r="JYZ5" i="7"/>
  <c r="JZA5" i="7"/>
  <c r="JZB5" i="7"/>
  <c r="JZC5" i="7"/>
  <c r="JZD5" i="7"/>
  <c r="JZE5" i="7"/>
  <c r="JZF5" i="7"/>
  <c r="JZG5" i="7"/>
  <c r="JZH5" i="7"/>
  <c r="JZI5" i="7"/>
  <c r="JZJ5" i="7"/>
  <c r="JZK5" i="7"/>
  <c r="JZL5" i="7"/>
  <c r="JZM5" i="7"/>
  <c r="JZN5" i="7"/>
  <c r="JZO5" i="7"/>
  <c r="JZP5" i="7"/>
  <c r="JZQ5" i="7"/>
  <c r="JZR5" i="7"/>
  <c r="JZS5" i="7"/>
  <c r="JZT5" i="7"/>
  <c r="JZU5" i="7"/>
  <c r="JZV5" i="7"/>
  <c r="JZW5" i="7"/>
  <c r="JZX5" i="7"/>
  <c r="JZY5" i="7"/>
  <c r="JZZ5" i="7"/>
  <c r="KAA5" i="7"/>
  <c r="KAB5" i="7"/>
  <c r="KAC5" i="7"/>
  <c r="KAD5" i="7"/>
  <c r="KAE5" i="7"/>
  <c r="KAF5" i="7"/>
  <c r="KAG5" i="7"/>
  <c r="KAH5" i="7"/>
  <c r="KAI5" i="7"/>
  <c r="KAJ5" i="7"/>
  <c r="KAK5" i="7"/>
  <c r="KAL5" i="7"/>
  <c r="KAM5" i="7"/>
  <c r="KAN5" i="7"/>
  <c r="KAO5" i="7"/>
  <c r="KAP5" i="7"/>
  <c r="KAQ5" i="7"/>
  <c r="KAR5" i="7"/>
  <c r="KAS5" i="7"/>
  <c r="KAT5" i="7"/>
  <c r="KAU5" i="7"/>
  <c r="KAV5" i="7"/>
  <c r="KAW5" i="7"/>
  <c r="KAX5" i="7"/>
  <c r="KAY5" i="7"/>
  <c r="KAZ5" i="7"/>
  <c r="KBA5" i="7"/>
  <c r="KBB5" i="7"/>
  <c r="KBC5" i="7"/>
  <c r="KBD5" i="7"/>
  <c r="KBE5" i="7"/>
  <c r="KBF5" i="7"/>
  <c r="KBG5" i="7"/>
  <c r="KBH5" i="7"/>
  <c r="KBI5" i="7"/>
  <c r="KBJ5" i="7"/>
  <c r="KBK5" i="7"/>
  <c r="KBL5" i="7"/>
  <c r="KBM5" i="7"/>
  <c r="KBN5" i="7"/>
  <c r="KBO5" i="7"/>
  <c r="KBP5" i="7"/>
  <c r="KBQ5" i="7"/>
  <c r="KBR5" i="7"/>
  <c r="KBS5" i="7"/>
  <c r="KBT5" i="7"/>
  <c r="KBU5" i="7"/>
  <c r="KBV5" i="7"/>
  <c r="KBW5" i="7"/>
  <c r="KBX5" i="7"/>
  <c r="KBY5" i="7"/>
  <c r="KBZ5" i="7"/>
  <c r="KCA5" i="7"/>
  <c r="KCB5" i="7"/>
  <c r="KCC5" i="7"/>
  <c r="KCD5" i="7"/>
  <c r="KCE5" i="7"/>
  <c r="KCF5" i="7"/>
  <c r="KCG5" i="7"/>
  <c r="KCH5" i="7"/>
  <c r="KCI5" i="7"/>
  <c r="KCJ5" i="7"/>
  <c r="KCK5" i="7"/>
  <c r="KCL5" i="7"/>
  <c r="KCM5" i="7"/>
  <c r="KCN5" i="7"/>
  <c r="KCO5" i="7"/>
  <c r="KCP5" i="7"/>
  <c r="KCQ5" i="7"/>
  <c r="KCR5" i="7"/>
  <c r="KCS5" i="7"/>
  <c r="KCT5" i="7"/>
  <c r="KCU5" i="7"/>
  <c r="KCV5" i="7"/>
  <c r="KCW5" i="7"/>
  <c r="KCX5" i="7"/>
  <c r="KCY5" i="7"/>
  <c r="KCZ5" i="7"/>
  <c r="KDA5" i="7"/>
  <c r="KDB5" i="7"/>
  <c r="KDC5" i="7"/>
  <c r="KDD5" i="7"/>
  <c r="KDE5" i="7"/>
  <c r="KDF5" i="7"/>
  <c r="KDG5" i="7"/>
  <c r="KDH5" i="7"/>
  <c r="KDI5" i="7"/>
  <c r="KDJ5" i="7"/>
  <c r="KDK5" i="7"/>
  <c r="KDL5" i="7"/>
  <c r="KDM5" i="7"/>
  <c r="KDN5" i="7"/>
  <c r="KDO5" i="7"/>
  <c r="KDP5" i="7"/>
  <c r="KDQ5" i="7"/>
  <c r="KDR5" i="7"/>
  <c r="KDS5" i="7"/>
  <c r="KDT5" i="7"/>
  <c r="KDU5" i="7"/>
  <c r="KDV5" i="7"/>
  <c r="KDW5" i="7"/>
  <c r="KDX5" i="7"/>
  <c r="KDY5" i="7"/>
  <c r="KDZ5" i="7"/>
  <c r="KEA5" i="7"/>
  <c r="KEB5" i="7"/>
  <c r="KEC5" i="7"/>
  <c r="KED5" i="7"/>
  <c r="KEE5" i="7"/>
  <c r="KEF5" i="7"/>
  <c r="KEG5" i="7"/>
  <c r="KEH5" i="7"/>
  <c r="KEI5" i="7"/>
  <c r="KEJ5" i="7"/>
  <c r="KEK5" i="7"/>
  <c r="KEL5" i="7"/>
  <c r="KEM5" i="7"/>
  <c r="KEN5" i="7"/>
  <c r="KEO5" i="7"/>
  <c r="KEP5" i="7"/>
  <c r="KEQ5" i="7"/>
  <c r="KER5" i="7"/>
  <c r="KES5" i="7"/>
  <c r="KET5" i="7"/>
  <c r="KEU5" i="7"/>
  <c r="KEV5" i="7"/>
  <c r="KEW5" i="7"/>
  <c r="KEX5" i="7"/>
  <c r="KEY5" i="7"/>
  <c r="KEZ5" i="7"/>
  <c r="KFA5" i="7"/>
  <c r="KFB5" i="7"/>
  <c r="KFC5" i="7"/>
  <c r="KFD5" i="7"/>
  <c r="KFE5" i="7"/>
  <c r="KFF5" i="7"/>
  <c r="KFG5" i="7"/>
  <c r="KFH5" i="7"/>
  <c r="KFI5" i="7"/>
  <c r="KFJ5" i="7"/>
  <c r="KFK5" i="7"/>
  <c r="KFL5" i="7"/>
  <c r="KFM5" i="7"/>
  <c r="KFN5" i="7"/>
  <c r="KFO5" i="7"/>
  <c r="KFP5" i="7"/>
  <c r="KFQ5" i="7"/>
  <c r="KFR5" i="7"/>
  <c r="KFS5" i="7"/>
  <c r="KFT5" i="7"/>
  <c r="KFU5" i="7"/>
  <c r="KFV5" i="7"/>
  <c r="KFW5" i="7"/>
  <c r="KFX5" i="7"/>
  <c r="KFY5" i="7"/>
  <c r="KFZ5" i="7"/>
  <c r="KGA5" i="7"/>
  <c r="KGB5" i="7"/>
  <c r="KGC5" i="7"/>
  <c r="KGD5" i="7"/>
  <c r="KGE5" i="7"/>
  <c r="KGF5" i="7"/>
  <c r="KGG5" i="7"/>
  <c r="KGH5" i="7"/>
  <c r="KGI5" i="7"/>
  <c r="KGJ5" i="7"/>
  <c r="KGK5" i="7"/>
  <c r="KGL5" i="7"/>
  <c r="KGM5" i="7"/>
  <c r="KGN5" i="7"/>
  <c r="KGO5" i="7"/>
  <c r="KGP5" i="7"/>
  <c r="KGQ5" i="7"/>
  <c r="KGR5" i="7"/>
  <c r="KGS5" i="7"/>
  <c r="KGT5" i="7"/>
  <c r="KGU5" i="7"/>
  <c r="KGV5" i="7"/>
  <c r="KGW5" i="7"/>
  <c r="KGX5" i="7"/>
  <c r="KGY5" i="7"/>
  <c r="KGZ5" i="7"/>
  <c r="KHA5" i="7"/>
  <c r="KHB5" i="7"/>
  <c r="KHC5" i="7"/>
  <c r="KHD5" i="7"/>
  <c r="KHE5" i="7"/>
  <c r="KHF5" i="7"/>
  <c r="KHG5" i="7"/>
  <c r="KHH5" i="7"/>
  <c r="KHI5" i="7"/>
  <c r="KHJ5" i="7"/>
  <c r="KHK5" i="7"/>
  <c r="KHL5" i="7"/>
  <c r="KHM5" i="7"/>
  <c r="KHN5" i="7"/>
  <c r="KHO5" i="7"/>
  <c r="KHP5" i="7"/>
  <c r="KHQ5" i="7"/>
  <c r="KHR5" i="7"/>
  <c r="KHS5" i="7"/>
  <c r="KHT5" i="7"/>
  <c r="KHU5" i="7"/>
  <c r="KHV5" i="7"/>
  <c r="KHW5" i="7"/>
  <c r="KHX5" i="7"/>
  <c r="KHY5" i="7"/>
  <c r="KHZ5" i="7"/>
  <c r="KIA5" i="7"/>
  <c r="KIB5" i="7"/>
  <c r="KIC5" i="7"/>
  <c r="KID5" i="7"/>
  <c r="KIE5" i="7"/>
  <c r="KIF5" i="7"/>
  <c r="KIG5" i="7"/>
  <c r="KIH5" i="7"/>
  <c r="KII5" i="7"/>
  <c r="KIJ5" i="7"/>
  <c r="KIK5" i="7"/>
  <c r="KIL5" i="7"/>
  <c r="KIM5" i="7"/>
  <c r="KIN5" i="7"/>
  <c r="KIO5" i="7"/>
  <c r="KIP5" i="7"/>
  <c r="KIQ5" i="7"/>
  <c r="KIR5" i="7"/>
  <c r="KIS5" i="7"/>
  <c r="KIT5" i="7"/>
  <c r="KIU5" i="7"/>
  <c r="KIV5" i="7"/>
  <c r="KIW5" i="7"/>
  <c r="KIX5" i="7"/>
  <c r="KIY5" i="7"/>
  <c r="KIZ5" i="7"/>
  <c r="KJA5" i="7"/>
  <c r="KJB5" i="7"/>
  <c r="KJC5" i="7"/>
  <c r="KJD5" i="7"/>
  <c r="KJE5" i="7"/>
  <c r="KJF5" i="7"/>
  <c r="KJG5" i="7"/>
  <c r="KJH5" i="7"/>
  <c r="KJI5" i="7"/>
  <c r="KJJ5" i="7"/>
  <c r="KJK5" i="7"/>
  <c r="KJL5" i="7"/>
  <c r="KJM5" i="7"/>
  <c r="KJN5" i="7"/>
  <c r="KJO5" i="7"/>
  <c r="KJP5" i="7"/>
  <c r="KJQ5" i="7"/>
  <c r="KJR5" i="7"/>
  <c r="KJS5" i="7"/>
  <c r="KJT5" i="7"/>
  <c r="KJU5" i="7"/>
  <c r="KJV5" i="7"/>
  <c r="KJW5" i="7"/>
  <c r="KJX5" i="7"/>
  <c r="KJY5" i="7"/>
  <c r="KJZ5" i="7"/>
  <c r="KKA5" i="7"/>
  <c r="KKB5" i="7"/>
  <c r="KKC5" i="7"/>
  <c r="KKD5" i="7"/>
  <c r="KKE5" i="7"/>
  <c r="KKF5" i="7"/>
  <c r="KKG5" i="7"/>
  <c r="KKH5" i="7"/>
  <c r="KKI5" i="7"/>
  <c r="KKJ5" i="7"/>
  <c r="KKK5" i="7"/>
  <c r="KKL5" i="7"/>
  <c r="KKM5" i="7"/>
  <c r="KKN5" i="7"/>
  <c r="KKO5" i="7"/>
  <c r="KKP5" i="7"/>
  <c r="KKQ5" i="7"/>
  <c r="KKR5" i="7"/>
  <c r="KKS5" i="7"/>
  <c r="KKT5" i="7"/>
  <c r="KKU5" i="7"/>
  <c r="KKV5" i="7"/>
  <c r="KKW5" i="7"/>
  <c r="KKX5" i="7"/>
  <c r="KKY5" i="7"/>
  <c r="KKZ5" i="7"/>
  <c r="KLA5" i="7"/>
  <c r="KLB5" i="7"/>
  <c r="KLC5" i="7"/>
  <c r="KLD5" i="7"/>
  <c r="KLE5" i="7"/>
  <c r="KLF5" i="7"/>
  <c r="KLG5" i="7"/>
  <c r="KLH5" i="7"/>
  <c r="KLI5" i="7"/>
  <c r="KLJ5" i="7"/>
  <c r="KLK5" i="7"/>
  <c r="KLL5" i="7"/>
  <c r="KLM5" i="7"/>
  <c r="KLN5" i="7"/>
  <c r="KLO5" i="7"/>
  <c r="KLP5" i="7"/>
  <c r="KLQ5" i="7"/>
  <c r="KLR5" i="7"/>
  <c r="KLS5" i="7"/>
  <c r="KLT5" i="7"/>
  <c r="KLU5" i="7"/>
  <c r="KLV5" i="7"/>
  <c r="KLW5" i="7"/>
  <c r="KLX5" i="7"/>
  <c r="KLY5" i="7"/>
  <c r="KLZ5" i="7"/>
  <c r="KMA5" i="7"/>
  <c r="KMB5" i="7"/>
  <c r="KMC5" i="7"/>
  <c r="KMD5" i="7"/>
  <c r="KME5" i="7"/>
  <c r="KMF5" i="7"/>
  <c r="KMG5" i="7"/>
  <c r="KMH5" i="7"/>
  <c r="KMI5" i="7"/>
  <c r="KMJ5" i="7"/>
  <c r="KMK5" i="7"/>
  <c r="KML5" i="7"/>
  <c r="KMM5" i="7"/>
  <c r="KMN5" i="7"/>
  <c r="KMO5" i="7"/>
  <c r="KMP5" i="7"/>
  <c r="KMQ5" i="7"/>
  <c r="KMR5" i="7"/>
  <c r="KMS5" i="7"/>
  <c r="KMT5" i="7"/>
  <c r="KMU5" i="7"/>
  <c r="KMV5" i="7"/>
  <c r="KMW5" i="7"/>
  <c r="KMX5" i="7"/>
  <c r="KMY5" i="7"/>
  <c r="KMZ5" i="7"/>
  <c r="KNA5" i="7"/>
  <c r="KNB5" i="7"/>
  <c r="KNC5" i="7"/>
  <c r="KND5" i="7"/>
  <c r="KNE5" i="7"/>
  <c r="KNF5" i="7"/>
  <c r="KNG5" i="7"/>
  <c r="KNH5" i="7"/>
  <c r="KNI5" i="7"/>
  <c r="KNJ5" i="7"/>
  <c r="KNK5" i="7"/>
  <c r="KNL5" i="7"/>
  <c r="KNM5" i="7"/>
  <c r="KNN5" i="7"/>
  <c r="KNO5" i="7"/>
  <c r="KNP5" i="7"/>
  <c r="KNQ5" i="7"/>
  <c r="KNR5" i="7"/>
  <c r="KNS5" i="7"/>
  <c r="KNT5" i="7"/>
  <c r="KNU5" i="7"/>
  <c r="KNV5" i="7"/>
  <c r="KNW5" i="7"/>
  <c r="KNX5" i="7"/>
  <c r="KNY5" i="7"/>
  <c r="KNZ5" i="7"/>
  <c r="KOA5" i="7"/>
  <c r="KOB5" i="7"/>
  <c r="KOC5" i="7"/>
  <c r="KOD5" i="7"/>
  <c r="KOE5" i="7"/>
  <c r="KOF5" i="7"/>
  <c r="KOG5" i="7"/>
  <c r="KOH5" i="7"/>
  <c r="KOI5" i="7"/>
  <c r="KOJ5" i="7"/>
  <c r="KOK5" i="7"/>
  <c r="KOL5" i="7"/>
  <c r="KOM5" i="7"/>
  <c r="KON5" i="7"/>
  <c r="KOO5" i="7"/>
  <c r="KOP5" i="7"/>
  <c r="KOQ5" i="7"/>
  <c r="KOR5" i="7"/>
  <c r="KOS5" i="7"/>
  <c r="KOT5" i="7"/>
  <c r="KOU5" i="7"/>
  <c r="KOV5" i="7"/>
  <c r="KOW5" i="7"/>
  <c r="KOX5" i="7"/>
  <c r="KOY5" i="7"/>
  <c r="KOZ5" i="7"/>
  <c r="KPA5" i="7"/>
  <c r="KPB5" i="7"/>
  <c r="KPC5" i="7"/>
  <c r="KPD5" i="7"/>
  <c r="KPE5" i="7"/>
  <c r="KPF5" i="7"/>
  <c r="KPG5" i="7"/>
  <c r="KPH5" i="7"/>
  <c r="KPI5" i="7"/>
  <c r="KPJ5" i="7"/>
  <c r="KPK5" i="7"/>
  <c r="KPL5" i="7"/>
  <c r="KPM5" i="7"/>
  <c r="KPN5" i="7"/>
  <c r="KPO5" i="7"/>
  <c r="KPP5" i="7"/>
  <c r="KPQ5" i="7"/>
  <c r="KPR5" i="7"/>
  <c r="KPS5" i="7"/>
  <c r="KPT5" i="7"/>
  <c r="KPU5" i="7"/>
  <c r="KPV5" i="7"/>
  <c r="KPW5" i="7"/>
  <c r="KPX5" i="7"/>
  <c r="KPY5" i="7"/>
  <c r="KPZ5" i="7"/>
  <c r="KQA5" i="7"/>
  <c r="KQB5" i="7"/>
  <c r="KQC5" i="7"/>
  <c r="KQD5" i="7"/>
  <c r="KQE5" i="7"/>
  <c r="KQF5" i="7"/>
  <c r="KQG5" i="7"/>
  <c r="KQH5" i="7"/>
  <c r="KQI5" i="7"/>
  <c r="KQJ5" i="7"/>
  <c r="KQK5" i="7"/>
  <c r="KQL5" i="7"/>
  <c r="KQM5" i="7"/>
  <c r="KQN5" i="7"/>
  <c r="KQO5" i="7"/>
  <c r="KQP5" i="7"/>
  <c r="KQQ5" i="7"/>
  <c r="KQR5" i="7"/>
  <c r="KQS5" i="7"/>
  <c r="KQT5" i="7"/>
  <c r="KQU5" i="7"/>
  <c r="KQV5" i="7"/>
  <c r="KQW5" i="7"/>
  <c r="KQX5" i="7"/>
  <c r="KQY5" i="7"/>
  <c r="KQZ5" i="7"/>
  <c r="KRA5" i="7"/>
  <c r="KRB5" i="7"/>
  <c r="KRC5" i="7"/>
  <c r="KRD5" i="7"/>
  <c r="KRE5" i="7"/>
  <c r="KRF5" i="7"/>
  <c r="KRG5" i="7"/>
  <c r="KRH5" i="7"/>
  <c r="KRI5" i="7"/>
  <c r="KRJ5" i="7"/>
  <c r="KRK5" i="7"/>
  <c r="KRL5" i="7"/>
  <c r="KRM5" i="7"/>
  <c r="KRN5" i="7"/>
  <c r="KRO5" i="7"/>
  <c r="KRP5" i="7"/>
  <c r="KRQ5" i="7"/>
  <c r="KRR5" i="7"/>
  <c r="KRS5" i="7"/>
  <c r="KRT5" i="7"/>
  <c r="KRU5" i="7"/>
  <c r="KRV5" i="7"/>
  <c r="KRW5" i="7"/>
  <c r="KRX5" i="7"/>
  <c r="KRY5" i="7"/>
  <c r="KRZ5" i="7"/>
  <c r="KSA5" i="7"/>
  <c r="KSB5" i="7"/>
  <c r="KSC5" i="7"/>
  <c r="KSD5" i="7"/>
  <c r="KSE5" i="7"/>
  <c r="KSF5" i="7"/>
  <c r="KSG5" i="7"/>
  <c r="KSH5" i="7"/>
  <c r="KSI5" i="7"/>
  <c r="KSJ5" i="7"/>
  <c r="KSK5" i="7"/>
  <c r="KSL5" i="7"/>
  <c r="KSM5" i="7"/>
  <c r="KSN5" i="7"/>
  <c r="KSO5" i="7"/>
  <c r="KSP5" i="7"/>
  <c r="KSQ5" i="7"/>
  <c r="KSR5" i="7"/>
  <c r="KSS5" i="7"/>
  <c r="KST5" i="7"/>
  <c r="KSU5" i="7"/>
  <c r="KSV5" i="7"/>
  <c r="KSW5" i="7"/>
  <c r="KSX5" i="7"/>
  <c r="KSY5" i="7"/>
  <c r="KSZ5" i="7"/>
  <c r="KTA5" i="7"/>
  <c r="KTB5" i="7"/>
  <c r="KTC5" i="7"/>
  <c r="KTD5" i="7"/>
  <c r="KTE5" i="7"/>
  <c r="KTF5" i="7"/>
  <c r="KTG5" i="7"/>
  <c r="KTH5" i="7"/>
  <c r="KTI5" i="7"/>
  <c r="KTJ5" i="7"/>
  <c r="KTK5" i="7"/>
  <c r="KTL5" i="7"/>
  <c r="KTM5" i="7"/>
  <c r="KTN5" i="7"/>
  <c r="KTO5" i="7"/>
  <c r="KTP5" i="7"/>
  <c r="KTQ5" i="7"/>
  <c r="KTR5" i="7"/>
  <c r="KTS5" i="7"/>
  <c r="KTT5" i="7"/>
  <c r="KTU5" i="7"/>
  <c r="KTV5" i="7"/>
  <c r="KTW5" i="7"/>
  <c r="KTX5" i="7"/>
  <c r="KTY5" i="7"/>
  <c r="KTZ5" i="7"/>
  <c r="KUA5" i="7"/>
  <c r="KUB5" i="7"/>
  <c r="KUC5" i="7"/>
  <c r="KUD5" i="7"/>
  <c r="KUE5" i="7"/>
  <c r="KUF5" i="7"/>
  <c r="KUG5" i="7"/>
  <c r="KUH5" i="7"/>
  <c r="KUI5" i="7"/>
  <c r="KUJ5" i="7"/>
  <c r="KUK5" i="7"/>
  <c r="KUL5" i="7"/>
  <c r="KUM5" i="7"/>
  <c r="KUN5" i="7"/>
  <c r="KUO5" i="7"/>
  <c r="KUP5" i="7"/>
  <c r="KUQ5" i="7"/>
  <c r="KUR5" i="7"/>
  <c r="KUS5" i="7"/>
  <c r="KUT5" i="7"/>
  <c r="KUU5" i="7"/>
  <c r="KUV5" i="7"/>
  <c r="KUW5" i="7"/>
  <c r="KUX5" i="7"/>
  <c r="KUY5" i="7"/>
  <c r="KUZ5" i="7"/>
  <c r="KVA5" i="7"/>
  <c r="KVB5" i="7"/>
  <c r="KVC5" i="7"/>
  <c r="KVD5" i="7"/>
  <c r="KVE5" i="7"/>
  <c r="KVF5" i="7"/>
  <c r="KVG5" i="7"/>
  <c r="KVH5" i="7"/>
  <c r="KVI5" i="7"/>
  <c r="KVJ5" i="7"/>
  <c r="KVK5" i="7"/>
  <c r="KVL5" i="7"/>
  <c r="KVM5" i="7"/>
  <c r="KVN5" i="7"/>
  <c r="KVO5" i="7"/>
  <c r="KVP5" i="7"/>
  <c r="KVQ5" i="7"/>
  <c r="KVR5" i="7"/>
  <c r="KVS5" i="7"/>
  <c r="KVT5" i="7"/>
  <c r="KVU5" i="7"/>
  <c r="KVV5" i="7"/>
  <c r="KVW5" i="7"/>
  <c r="KVX5" i="7"/>
  <c r="KVY5" i="7"/>
  <c r="KVZ5" i="7"/>
  <c r="KWA5" i="7"/>
  <c r="KWB5" i="7"/>
  <c r="KWC5" i="7"/>
  <c r="KWD5" i="7"/>
  <c r="KWE5" i="7"/>
  <c r="KWF5" i="7"/>
  <c r="KWG5" i="7"/>
  <c r="KWH5" i="7"/>
  <c r="KWI5" i="7"/>
  <c r="KWJ5" i="7"/>
  <c r="KWK5" i="7"/>
  <c r="KWL5" i="7"/>
  <c r="KWM5" i="7"/>
  <c r="KWN5" i="7"/>
  <c r="KWO5" i="7"/>
  <c r="KWP5" i="7"/>
  <c r="KWQ5" i="7"/>
  <c r="KWR5" i="7"/>
  <c r="KWS5" i="7"/>
  <c r="KWT5" i="7"/>
  <c r="KWU5" i="7"/>
  <c r="KWV5" i="7"/>
  <c r="KWW5" i="7"/>
  <c r="KWX5" i="7"/>
  <c r="KWY5" i="7"/>
  <c r="KWZ5" i="7"/>
  <c r="KXA5" i="7"/>
  <c r="KXB5" i="7"/>
  <c r="KXC5" i="7"/>
  <c r="KXD5" i="7"/>
  <c r="KXE5" i="7"/>
  <c r="KXF5" i="7"/>
  <c r="KXG5" i="7"/>
  <c r="KXH5" i="7"/>
  <c r="KXI5" i="7"/>
  <c r="KXJ5" i="7"/>
  <c r="KXK5" i="7"/>
  <c r="KXL5" i="7"/>
  <c r="KXM5" i="7"/>
  <c r="KXN5" i="7"/>
  <c r="KXO5" i="7"/>
  <c r="KXP5" i="7"/>
  <c r="KXQ5" i="7"/>
  <c r="KXR5" i="7"/>
  <c r="KXS5" i="7"/>
  <c r="KXT5" i="7"/>
  <c r="KXU5" i="7"/>
  <c r="KXV5" i="7"/>
  <c r="KXW5" i="7"/>
  <c r="KXX5" i="7"/>
  <c r="KXY5" i="7"/>
  <c r="KXZ5" i="7"/>
  <c r="KYA5" i="7"/>
  <c r="KYB5" i="7"/>
  <c r="KYC5" i="7"/>
  <c r="KYD5" i="7"/>
  <c r="KYE5" i="7"/>
  <c r="KYF5" i="7"/>
  <c r="KYG5" i="7"/>
  <c r="KYH5" i="7"/>
  <c r="KYI5" i="7"/>
  <c r="KYJ5" i="7"/>
  <c r="KYK5" i="7"/>
  <c r="KYL5" i="7"/>
  <c r="KYM5" i="7"/>
  <c r="KYN5" i="7"/>
  <c r="KYO5" i="7"/>
  <c r="KYP5" i="7"/>
  <c r="KYQ5" i="7"/>
  <c r="KYR5" i="7"/>
  <c r="KYS5" i="7"/>
  <c r="KYT5" i="7"/>
  <c r="KYU5" i="7"/>
  <c r="KYV5" i="7"/>
  <c r="KYW5" i="7"/>
  <c r="KYX5" i="7"/>
  <c r="KYY5" i="7"/>
  <c r="KYZ5" i="7"/>
  <c r="KZA5" i="7"/>
  <c r="KZB5" i="7"/>
  <c r="KZC5" i="7"/>
  <c r="KZD5" i="7"/>
  <c r="KZE5" i="7"/>
  <c r="KZF5" i="7"/>
  <c r="KZG5" i="7"/>
  <c r="KZH5" i="7"/>
  <c r="KZI5" i="7"/>
  <c r="KZJ5" i="7"/>
  <c r="KZK5" i="7"/>
  <c r="KZL5" i="7"/>
  <c r="KZM5" i="7"/>
  <c r="KZN5" i="7"/>
  <c r="KZO5" i="7"/>
  <c r="KZP5" i="7"/>
  <c r="KZQ5" i="7"/>
  <c r="KZR5" i="7"/>
  <c r="KZS5" i="7"/>
  <c r="KZT5" i="7"/>
  <c r="KZU5" i="7"/>
  <c r="KZV5" i="7"/>
  <c r="KZW5" i="7"/>
  <c r="KZX5" i="7"/>
  <c r="KZY5" i="7"/>
  <c r="KZZ5" i="7"/>
  <c r="LAA5" i="7"/>
  <c r="LAB5" i="7"/>
  <c r="LAC5" i="7"/>
  <c r="LAD5" i="7"/>
  <c r="LAE5" i="7"/>
  <c r="LAF5" i="7"/>
  <c r="LAG5" i="7"/>
  <c r="LAH5" i="7"/>
  <c r="LAI5" i="7"/>
  <c r="LAJ5" i="7"/>
  <c r="LAK5" i="7"/>
  <c r="LAL5" i="7"/>
  <c r="LAM5" i="7"/>
  <c r="LAN5" i="7"/>
  <c r="LAO5" i="7"/>
  <c r="LAP5" i="7"/>
  <c r="LAQ5" i="7"/>
  <c r="LAR5" i="7"/>
  <c r="LAS5" i="7"/>
  <c r="LAT5" i="7"/>
  <c r="LAU5" i="7"/>
  <c r="LAV5" i="7"/>
  <c r="LAW5" i="7"/>
  <c r="LAX5" i="7"/>
  <c r="LAY5" i="7"/>
  <c r="LAZ5" i="7"/>
  <c r="LBA5" i="7"/>
  <c r="LBB5" i="7"/>
  <c r="LBC5" i="7"/>
  <c r="LBD5" i="7"/>
  <c r="LBE5" i="7"/>
  <c r="LBF5" i="7"/>
  <c r="LBG5" i="7"/>
  <c r="LBH5" i="7"/>
  <c r="LBI5" i="7"/>
  <c r="LBJ5" i="7"/>
  <c r="LBK5" i="7"/>
  <c r="LBL5" i="7"/>
  <c r="LBM5" i="7"/>
  <c r="LBN5" i="7"/>
  <c r="LBO5" i="7"/>
  <c r="LBP5" i="7"/>
  <c r="LBQ5" i="7"/>
  <c r="LBR5" i="7"/>
  <c r="LBS5" i="7"/>
  <c r="LBT5" i="7"/>
  <c r="LBU5" i="7"/>
  <c r="LBV5" i="7"/>
  <c r="LBW5" i="7"/>
  <c r="LBX5" i="7"/>
  <c r="LBY5" i="7"/>
  <c r="LBZ5" i="7"/>
  <c r="LCA5" i="7"/>
  <c r="LCB5" i="7"/>
  <c r="LCC5" i="7"/>
  <c r="LCD5" i="7"/>
  <c r="LCE5" i="7"/>
  <c r="LCF5" i="7"/>
  <c r="LCG5" i="7"/>
  <c r="LCH5" i="7"/>
  <c r="LCI5" i="7"/>
  <c r="LCJ5" i="7"/>
  <c r="LCK5" i="7"/>
  <c r="LCL5" i="7"/>
  <c r="LCM5" i="7"/>
  <c r="LCN5" i="7"/>
  <c r="LCO5" i="7"/>
  <c r="LCP5" i="7"/>
  <c r="LCQ5" i="7"/>
  <c r="LCR5" i="7"/>
  <c r="LCS5" i="7"/>
  <c r="LCT5" i="7"/>
  <c r="LCU5" i="7"/>
  <c r="LCV5" i="7"/>
  <c r="LCW5" i="7"/>
  <c r="LCX5" i="7"/>
  <c r="LCY5" i="7"/>
  <c r="LCZ5" i="7"/>
  <c r="LDA5" i="7"/>
  <c r="LDB5" i="7"/>
  <c r="LDC5" i="7"/>
  <c r="LDD5" i="7"/>
  <c r="LDE5" i="7"/>
  <c r="LDF5" i="7"/>
  <c r="LDG5" i="7"/>
  <c r="LDH5" i="7"/>
  <c r="LDI5" i="7"/>
  <c r="LDJ5" i="7"/>
  <c r="LDK5" i="7"/>
  <c r="LDL5" i="7"/>
  <c r="LDM5" i="7"/>
  <c r="LDN5" i="7"/>
  <c r="LDO5" i="7"/>
  <c r="LDP5" i="7"/>
  <c r="LDQ5" i="7"/>
  <c r="LDR5" i="7"/>
  <c r="LDS5" i="7"/>
  <c r="LDT5" i="7"/>
  <c r="LDU5" i="7"/>
  <c r="LDV5" i="7"/>
  <c r="LDW5" i="7"/>
  <c r="LDX5" i="7"/>
  <c r="LDY5" i="7"/>
  <c r="LDZ5" i="7"/>
  <c r="LEA5" i="7"/>
  <c r="LEB5" i="7"/>
  <c r="LEC5" i="7"/>
  <c r="LED5" i="7"/>
  <c r="LEE5" i="7"/>
  <c r="LEF5" i="7"/>
  <c r="LEG5" i="7"/>
  <c r="LEH5" i="7"/>
  <c r="LEI5" i="7"/>
  <c r="LEJ5" i="7"/>
  <c r="LEK5" i="7"/>
  <c r="LEL5" i="7"/>
  <c r="LEM5" i="7"/>
  <c r="LEN5" i="7"/>
  <c r="LEO5" i="7"/>
  <c r="LEP5" i="7"/>
  <c r="LEQ5" i="7"/>
  <c r="LER5" i="7"/>
  <c r="LES5" i="7"/>
  <c r="LET5" i="7"/>
  <c r="LEU5" i="7"/>
  <c r="LEV5" i="7"/>
  <c r="LEW5" i="7"/>
  <c r="LEX5" i="7"/>
  <c r="LEY5" i="7"/>
  <c r="LEZ5" i="7"/>
  <c r="LFA5" i="7"/>
  <c r="LFB5" i="7"/>
  <c r="LFC5" i="7"/>
  <c r="LFD5" i="7"/>
  <c r="LFE5" i="7"/>
  <c r="LFF5" i="7"/>
  <c r="LFG5" i="7"/>
  <c r="LFH5" i="7"/>
  <c r="LFI5" i="7"/>
  <c r="LFJ5" i="7"/>
  <c r="LFK5" i="7"/>
  <c r="LFL5" i="7"/>
  <c r="LFM5" i="7"/>
  <c r="LFN5" i="7"/>
  <c r="LFO5" i="7"/>
  <c r="LFP5" i="7"/>
  <c r="LFQ5" i="7"/>
  <c r="LFR5" i="7"/>
  <c r="LFS5" i="7"/>
  <c r="LFT5" i="7"/>
  <c r="LFU5" i="7"/>
  <c r="LFV5" i="7"/>
  <c r="LFW5" i="7"/>
  <c r="LFX5" i="7"/>
  <c r="LFY5" i="7"/>
  <c r="LFZ5" i="7"/>
  <c r="LGA5" i="7"/>
  <c r="LGB5" i="7"/>
  <c r="LGC5" i="7"/>
  <c r="LGD5" i="7"/>
  <c r="LGE5" i="7"/>
  <c r="LGF5" i="7"/>
  <c r="LGG5" i="7"/>
  <c r="LGH5" i="7"/>
  <c r="LGI5" i="7"/>
  <c r="LGJ5" i="7"/>
  <c r="LGK5" i="7"/>
  <c r="LGL5" i="7"/>
  <c r="LGM5" i="7"/>
  <c r="LGN5" i="7"/>
  <c r="LGO5" i="7"/>
  <c r="LGP5" i="7"/>
  <c r="LGQ5" i="7"/>
  <c r="LGR5" i="7"/>
  <c r="LGS5" i="7"/>
  <c r="LGT5" i="7"/>
  <c r="LGU5" i="7"/>
  <c r="LGV5" i="7"/>
  <c r="LGW5" i="7"/>
  <c r="LGX5" i="7"/>
  <c r="LGY5" i="7"/>
  <c r="LGZ5" i="7"/>
  <c r="LHA5" i="7"/>
  <c r="LHB5" i="7"/>
  <c r="LHC5" i="7"/>
  <c r="LHD5" i="7"/>
  <c r="LHE5" i="7"/>
  <c r="LHF5" i="7"/>
  <c r="LHG5" i="7"/>
  <c r="LHH5" i="7"/>
  <c r="LHI5" i="7"/>
  <c r="LHJ5" i="7"/>
  <c r="LHK5" i="7"/>
  <c r="LHL5" i="7"/>
  <c r="LHM5" i="7"/>
  <c r="LHN5" i="7"/>
  <c r="LHO5" i="7"/>
  <c r="LHP5" i="7"/>
  <c r="LHQ5" i="7"/>
  <c r="LHR5" i="7"/>
  <c r="LHS5" i="7"/>
  <c r="LHT5" i="7"/>
  <c r="LHU5" i="7"/>
  <c r="LHV5" i="7"/>
  <c r="LHW5" i="7"/>
  <c r="LHX5" i="7"/>
  <c r="LHY5" i="7"/>
  <c r="LHZ5" i="7"/>
  <c r="LIA5" i="7"/>
  <c r="LIB5" i="7"/>
  <c r="LIC5" i="7"/>
  <c r="LID5" i="7"/>
  <c r="LIE5" i="7"/>
  <c r="LIF5" i="7"/>
  <c r="LIG5" i="7"/>
  <c r="LIH5" i="7"/>
  <c r="LII5" i="7"/>
  <c r="LIJ5" i="7"/>
  <c r="LIK5" i="7"/>
  <c r="LIL5" i="7"/>
  <c r="LIM5" i="7"/>
  <c r="LIN5" i="7"/>
  <c r="LIO5" i="7"/>
  <c r="LIP5" i="7"/>
  <c r="LIQ5" i="7"/>
  <c r="LIR5" i="7"/>
  <c r="LIS5" i="7"/>
  <c r="LIT5" i="7"/>
  <c r="LIU5" i="7"/>
  <c r="LIV5" i="7"/>
  <c r="LIW5" i="7"/>
  <c r="LIX5" i="7"/>
  <c r="LIY5" i="7"/>
  <c r="LIZ5" i="7"/>
  <c r="LJA5" i="7"/>
  <c r="LJB5" i="7"/>
  <c r="LJC5" i="7"/>
  <c r="LJD5" i="7"/>
  <c r="LJE5" i="7"/>
  <c r="LJF5" i="7"/>
  <c r="LJG5" i="7"/>
  <c r="LJH5" i="7"/>
  <c r="LJI5" i="7"/>
  <c r="LJJ5" i="7"/>
  <c r="LJK5" i="7"/>
  <c r="LJL5" i="7"/>
  <c r="LJM5" i="7"/>
  <c r="LJN5" i="7"/>
  <c r="LJO5" i="7"/>
  <c r="LJP5" i="7"/>
  <c r="LJQ5" i="7"/>
  <c r="LJR5" i="7"/>
  <c r="LJS5" i="7"/>
  <c r="LJT5" i="7"/>
  <c r="LJU5" i="7"/>
  <c r="LJV5" i="7"/>
  <c r="LJW5" i="7"/>
  <c r="LJX5" i="7"/>
  <c r="LJY5" i="7"/>
  <c r="LJZ5" i="7"/>
  <c r="LKA5" i="7"/>
  <c r="LKB5" i="7"/>
  <c r="LKC5" i="7"/>
  <c r="LKD5" i="7"/>
  <c r="LKE5" i="7"/>
  <c r="LKF5" i="7"/>
  <c r="LKG5" i="7"/>
  <c r="LKH5" i="7"/>
  <c r="LKI5" i="7"/>
  <c r="LKJ5" i="7"/>
  <c r="LKK5" i="7"/>
  <c r="LKL5" i="7"/>
  <c r="LKM5" i="7"/>
  <c r="LKN5" i="7"/>
  <c r="LKO5" i="7"/>
  <c r="LKP5" i="7"/>
  <c r="LKQ5" i="7"/>
  <c r="LKR5" i="7"/>
  <c r="LKS5" i="7"/>
  <c r="LKT5" i="7"/>
  <c r="LKU5" i="7"/>
  <c r="LKV5" i="7"/>
  <c r="LKW5" i="7"/>
  <c r="LKX5" i="7"/>
  <c r="LKY5" i="7"/>
  <c r="LKZ5" i="7"/>
  <c r="LLA5" i="7"/>
  <c r="LLB5" i="7"/>
  <c r="LLC5" i="7"/>
  <c r="LLD5" i="7"/>
  <c r="LLE5" i="7"/>
  <c r="LLF5" i="7"/>
  <c r="LLG5" i="7"/>
  <c r="LLH5" i="7"/>
  <c r="LLI5" i="7"/>
  <c r="LLJ5" i="7"/>
  <c r="LLK5" i="7"/>
  <c r="LLL5" i="7"/>
  <c r="LLM5" i="7"/>
  <c r="LLN5" i="7"/>
  <c r="LLO5" i="7"/>
  <c r="LLP5" i="7"/>
  <c r="LLQ5" i="7"/>
  <c r="LLR5" i="7"/>
  <c r="LLS5" i="7"/>
  <c r="LLT5" i="7"/>
  <c r="LLU5" i="7"/>
  <c r="LLV5" i="7"/>
  <c r="LLW5" i="7"/>
  <c r="LLX5" i="7"/>
  <c r="LLY5" i="7"/>
  <c r="LLZ5" i="7"/>
  <c r="LMA5" i="7"/>
  <c r="LMB5" i="7"/>
  <c r="LMC5" i="7"/>
  <c r="LMD5" i="7"/>
  <c r="LME5" i="7"/>
  <c r="LMF5" i="7"/>
  <c r="LMG5" i="7"/>
  <c r="LMH5" i="7"/>
  <c r="LMI5" i="7"/>
  <c r="LMJ5" i="7"/>
  <c r="LMK5" i="7"/>
  <c r="LML5" i="7"/>
  <c r="LMM5" i="7"/>
  <c r="LMN5" i="7"/>
  <c r="LMO5" i="7"/>
  <c r="LMP5" i="7"/>
  <c r="LMQ5" i="7"/>
  <c r="LMR5" i="7"/>
  <c r="LMS5" i="7"/>
  <c r="LMT5" i="7"/>
  <c r="LMU5" i="7"/>
  <c r="LMV5" i="7"/>
  <c r="LMW5" i="7"/>
  <c r="LMX5" i="7"/>
  <c r="LMY5" i="7"/>
  <c r="LMZ5" i="7"/>
  <c r="LNA5" i="7"/>
  <c r="LNB5" i="7"/>
  <c r="LNC5" i="7"/>
  <c r="LND5" i="7"/>
  <c r="LNE5" i="7"/>
  <c r="LNF5" i="7"/>
  <c r="LNG5" i="7"/>
  <c r="LNH5" i="7"/>
  <c r="LNI5" i="7"/>
  <c r="LNJ5" i="7"/>
  <c r="LNK5" i="7"/>
  <c r="LNL5" i="7"/>
  <c r="LNM5" i="7"/>
  <c r="LNN5" i="7"/>
  <c r="LNO5" i="7"/>
  <c r="LNP5" i="7"/>
  <c r="LNQ5" i="7"/>
  <c r="LNR5" i="7"/>
  <c r="LNS5" i="7"/>
  <c r="LNT5" i="7"/>
  <c r="LNU5" i="7"/>
  <c r="LNV5" i="7"/>
  <c r="LNW5" i="7"/>
  <c r="LNX5" i="7"/>
  <c r="LNY5" i="7"/>
  <c r="LNZ5" i="7"/>
  <c r="LOA5" i="7"/>
  <c r="LOB5" i="7"/>
  <c r="LOC5" i="7"/>
  <c r="LOD5" i="7"/>
  <c r="LOE5" i="7"/>
  <c r="LOF5" i="7"/>
  <c r="LOG5" i="7"/>
  <c r="LOH5" i="7"/>
  <c r="LOI5" i="7"/>
  <c r="LOJ5" i="7"/>
  <c r="LOK5" i="7"/>
  <c r="LOL5" i="7"/>
  <c r="LOM5" i="7"/>
  <c r="LON5" i="7"/>
  <c r="LOO5" i="7"/>
  <c r="LOP5" i="7"/>
  <c r="LOQ5" i="7"/>
  <c r="LOR5" i="7"/>
  <c r="LOS5" i="7"/>
  <c r="LOT5" i="7"/>
  <c r="LOU5" i="7"/>
  <c r="LOV5" i="7"/>
  <c r="LOW5" i="7"/>
  <c r="LOX5" i="7"/>
  <c r="LOY5" i="7"/>
  <c r="LOZ5" i="7"/>
  <c r="LPA5" i="7"/>
  <c r="LPB5" i="7"/>
  <c r="LPC5" i="7"/>
  <c r="LPD5" i="7"/>
  <c r="LPE5" i="7"/>
  <c r="LPF5" i="7"/>
  <c r="LPG5" i="7"/>
  <c r="LPH5" i="7"/>
  <c r="LPI5" i="7"/>
  <c r="LPJ5" i="7"/>
  <c r="LPK5" i="7"/>
  <c r="LPL5" i="7"/>
  <c r="LPM5" i="7"/>
  <c r="LPN5" i="7"/>
  <c r="LPO5" i="7"/>
  <c r="LPP5" i="7"/>
  <c r="LPQ5" i="7"/>
  <c r="LPR5" i="7"/>
  <c r="LPS5" i="7"/>
  <c r="LPT5" i="7"/>
  <c r="LPU5" i="7"/>
  <c r="LPV5" i="7"/>
  <c r="LPW5" i="7"/>
  <c r="LPX5" i="7"/>
  <c r="LPY5" i="7"/>
  <c r="LPZ5" i="7"/>
  <c r="LQA5" i="7"/>
  <c r="LQB5" i="7"/>
  <c r="LQC5" i="7"/>
  <c r="LQD5" i="7"/>
  <c r="LQE5" i="7"/>
  <c r="LQF5" i="7"/>
  <c r="LQG5" i="7"/>
  <c r="LQH5" i="7"/>
  <c r="LQI5" i="7"/>
  <c r="LQJ5" i="7"/>
  <c r="LQK5" i="7"/>
  <c r="LQL5" i="7"/>
  <c r="LQM5" i="7"/>
  <c r="LQN5" i="7"/>
  <c r="LQO5" i="7"/>
  <c r="LQP5" i="7"/>
  <c r="LQQ5" i="7"/>
  <c r="LQR5" i="7"/>
  <c r="LQS5" i="7"/>
  <c r="LQT5" i="7"/>
  <c r="LQU5" i="7"/>
  <c r="LQV5" i="7"/>
  <c r="LQW5" i="7"/>
  <c r="LQX5" i="7"/>
  <c r="LQY5" i="7"/>
  <c r="LQZ5" i="7"/>
  <c r="LRA5" i="7"/>
  <c r="LRB5" i="7"/>
  <c r="LRC5" i="7"/>
  <c r="LRD5" i="7"/>
  <c r="LRE5" i="7"/>
  <c r="LRF5" i="7"/>
  <c r="LRG5" i="7"/>
  <c r="LRH5" i="7"/>
  <c r="LRI5" i="7"/>
  <c r="LRJ5" i="7"/>
  <c r="LRK5" i="7"/>
  <c r="LRL5" i="7"/>
  <c r="LRM5" i="7"/>
  <c r="LRN5" i="7"/>
  <c r="LRO5" i="7"/>
  <c r="LRP5" i="7"/>
  <c r="LRQ5" i="7"/>
  <c r="LRR5" i="7"/>
  <c r="LRS5" i="7"/>
  <c r="LRT5" i="7"/>
  <c r="LRU5" i="7"/>
  <c r="LRV5" i="7"/>
  <c r="LRW5" i="7"/>
  <c r="LRX5" i="7"/>
  <c r="LRY5" i="7"/>
  <c r="LRZ5" i="7"/>
  <c r="LSA5" i="7"/>
  <c r="LSB5" i="7"/>
  <c r="LSC5" i="7"/>
  <c r="LSD5" i="7"/>
  <c r="LSE5" i="7"/>
  <c r="LSF5" i="7"/>
  <c r="LSG5" i="7"/>
  <c r="LSH5" i="7"/>
  <c r="LSI5" i="7"/>
  <c r="LSJ5" i="7"/>
  <c r="LSK5" i="7"/>
  <c r="LSL5" i="7"/>
  <c r="LSM5" i="7"/>
  <c r="LSN5" i="7"/>
  <c r="LSO5" i="7"/>
  <c r="LSP5" i="7"/>
  <c r="LSQ5" i="7"/>
  <c r="LSR5" i="7"/>
  <c r="LSS5" i="7"/>
  <c r="LST5" i="7"/>
  <c r="LSU5" i="7"/>
  <c r="LSV5" i="7"/>
  <c r="LSW5" i="7"/>
  <c r="LSX5" i="7"/>
  <c r="LSY5" i="7"/>
  <c r="LSZ5" i="7"/>
  <c r="LTA5" i="7"/>
  <c r="LTB5" i="7"/>
  <c r="LTC5" i="7"/>
  <c r="LTD5" i="7"/>
  <c r="LTE5" i="7"/>
  <c r="LTF5" i="7"/>
  <c r="LTG5" i="7"/>
  <c r="LTH5" i="7"/>
  <c r="LTI5" i="7"/>
  <c r="LTJ5" i="7"/>
  <c r="LTK5" i="7"/>
  <c r="LTL5" i="7"/>
  <c r="LTM5" i="7"/>
  <c r="LTN5" i="7"/>
  <c r="LTO5" i="7"/>
  <c r="LTP5" i="7"/>
  <c r="LTQ5" i="7"/>
  <c r="LTR5" i="7"/>
  <c r="LTS5" i="7"/>
  <c r="LTT5" i="7"/>
  <c r="LTU5" i="7"/>
  <c r="LTV5" i="7"/>
  <c r="LTW5" i="7"/>
  <c r="LTX5" i="7"/>
  <c r="LTY5" i="7"/>
  <c r="LTZ5" i="7"/>
  <c r="LUA5" i="7"/>
  <c r="LUB5" i="7"/>
  <c r="LUC5" i="7"/>
  <c r="LUD5" i="7"/>
  <c r="LUE5" i="7"/>
  <c r="LUF5" i="7"/>
  <c r="LUG5" i="7"/>
  <c r="LUH5" i="7"/>
  <c r="LUI5" i="7"/>
  <c r="LUJ5" i="7"/>
  <c r="LUK5" i="7"/>
  <c r="LUL5" i="7"/>
  <c r="LUM5" i="7"/>
  <c r="LUN5" i="7"/>
  <c r="LUO5" i="7"/>
  <c r="LUP5" i="7"/>
  <c r="LUQ5" i="7"/>
  <c r="LUR5" i="7"/>
  <c r="LUS5" i="7"/>
  <c r="LUT5" i="7"/>
  <c r="LUU5" i="7"/>
  <c r="LUV5" i="7"/>
  <c r="LUW5" i="7"/>
  <c r="LUX5" i="7"/>
  <c r="LUY5" i="7"/>
  <c r="LUZ5" i="7"/>
  <c r="LVA5" i="7"/>
  <c r="LVB5" i="7"/>
  <c r="LVC5" i="7"/>
  <c r="LVD5" i="7"/>
  <c r="LVE5" i="7"/>
  <c r="LVF5" i="7"/>
  <c r="LVG5" i="7"/>
  <c r="LVH5" i="7"/>
  <c r="LVI5" i="7"/>
  <c r="LVJ5" i="7"/>
  <c r="LVK5" i="7"/>
  <c r="LVL5" i="7"/>
  <c r="LVM5" i="7"/>
  <c r="LVN5" i="7"/>
  <c r="LVO5" i="7"/>
  <c r="LVP5" i="7"/>
  <c r="LVQ5" i="7"/>
  <c r="LVR5" i="7"/>
  <c r="LVS5" i="7"/>
  <c r="LVT5" i="7"/>
  <c r="LVU5" i="7"/>
  <c r="LVV5" i="7"/>
  <c r="LVW5" i="7"/>
  <c r="LVX5" i="7"/>
  <c r="LVY5" i="7"/>
  <c r="LVZ5" i="7"/>
  <c r="LWA5" i="7"/>
  <c r="LWB5" i="7"/>
  <c r="LWC5" i="7"/>
  <c r="LWD5" i="7"/>
  <c r="LWE5" i="7"/>
  <c r="LWF5" i="7"/>
  <c r="LWG5" i="7"/>
  <c r="LWH5" i="7"/>
  <c r="LWI5" i="7"/>
  <c r="LWJ5" i="7"/>
  <c r="LWK5" i="7"/>
  <c r="LWL5" i="7"/>
  <c r="LWM5" i="7"/>
  <c r="LWN5" i="7"/>
  <c r="LWO5" i="7"/>
  <c r="LWP5" i="7"/>
  <c r="LWQ5" i="7"/>
  <c r="LWR5" i="7"/>
  <c r="LWS5" i="7"/>
  <c r="LWT5" i="7"/>
  <c r="LWU5" i="7"/>
  <c r="LWV5" i="7"/>
  <c r="LWW5" i="7"/>
  <c r="LWX5" i="7"/>
  <c r="LWY5" i="7"/>
  <c r="LWZ5" i="7"/>
  <c r="LXA5" i="7"/>
  <c r="LXB5" i="7"/>
  <c r="LXC5" i="7"/>
  <c r="LXD5" i="7"/>
  <c r="LXE5" i="7"/>
  <c r="LXF5" i="7"/>
  <c r="LXG5" i="7"/>
  <c r="LXH5" i="7"/>
  <c r="LXI5" i="7"/>
  <c r="LXJ5" i="7"/>
  <c r="LXK5" i="7"/>
  <c r="LXL5" i="7"/>
  <c r="LXM5" i="7"/>
  <c r="LXN5" i="7"/>
  <c r="LXO5" i="7"/>
  <c r="LXP5" i="7"/>
  <c r="LXQ5" i="7"/>
  <c r="LXR5" i="7"/>
  <c r="LXS5" i="7"/>
  <c r="LXT5" i="7"/>
  <c r="LXU5" i="7"/>
  <c r="LXV5" i="7"/>
  <c r="LXW5" i="7"/>
  <c r="LXX5" i="7"/>
  <c r="LXY5" i="7"/>
  <c r="LXZ5" i="7"/>
  <c r="LYA5" i="7"/>
  <c r="LYB5" i="7"/>
  <c r="LYC5" i="7"/>
  <c r="LYD5" i="7"/>
  <c r="LYE5" i="7"/>
  <c r="LYF5" i="7"/>
  <c r="LYG5" i="7"/>
  <c r="LYH5" i="7"/>
  <c r="LYI5" i="7"/>
  <c r="LYJ5" i="7"/>
  <c r="LYK5" i="7"/>
  <c r="LYL5" i="7"/>
  <c r="LYM5" i="7"/>
  <c r="LYN5" i="7"/>
  <c r="LYO5" i="7"/>
  <c r="LYP5" i="7"/>
  <c r="LYQ5" i="7"/>
  <c r="LYR5" i="7"/>
  <c r="LYS5" i="7"/>
  <c r="LYT5" i="7"/>
  <c r="LYU5" i="7"/>
  <c r="LYV5" i="7"/>
  <c r="LYW5" i="7"/>
  <c r="LYX5" i="7"/>
  <c r="LYY5" i="7"/>
  <c r="LYZ5" i="7"/>
  <c r="LZA5" i="7"/>
  <c r="LZB5" i="7"/>
  <c r="LZC5" i="7"/>
  <c r="LZD5" i="7"/>
  <c r="LZE5" i="7"/>
  <c r="LZF5" i="7"/>
  <c r="LZG5" i="7"/>
  <c r="LZH5" i="7"/>
  <c r="LZI5" i="7"/>
  <c r="LZJ5" i="7"/>
  <c r="LZK5" i="7"/>
  <c r="LZL5" i="7"/>
  <c r="LZM5" i="7"/>
  <c r="LZN5" i="7"/>
  <c r="LZO5" i="7"/>
  <c r="LZP5" i="7"/>
  <c r="LZQ5" i="7"/>
  <c r="LZR5" i="7"/>
  <c r="LZS5" i="7"/>
  <c r="LZT5" i="7"/>
  <c r="LZU5" i="7"/>
  <c r="LZV5" i="7"/>
  <c r="LZW5" i="7"/>
  <c r="LZX5" i="7"/>
  <c r="LZY5" i="7"/>
  <c r="LZZ5" i="7"/>
  <c r="MAA5" i="7"/>
  <c r="MAB5" i="7"/>
  <c r="MAC5" i="7"/>
  <c r="MAD5" i="7"/>
  <c r="MAE5" i="7"/>
  <c r="MAF5" i="7"/>
  <c r="MAG5" i="7"/>
  <c r="MAH5" i="7"/>
  <c r="MAI5" i="7"/>
  <c r="MAJ5" i="7"/>
  <c r="MAK5" i="7"/>
  <c r="MAL5" i="7"/>
  <c r="MAM5" i="7"/>
  <c r="MAN5" i="7"/>
  <c r="MAO5" i="7"/>
  <c r="MAP5" i="7"/>
  <c r="MAQ5" i="7"/>
  <c r="MAR5" i="7"/>
  <c r="MAS5" i="7"/>
  <c r="MAT5" i="7"/>
  <c r="MAU5" i="7"/>
  <c r="MAV5" i="7"/>
  <c r="MAW5" i="7"/>
  <c r="MAX5" i="7"/>
  <c r="MAY5" i="7"/>
  <c r="MAZ5" i="7"/>
  <c r="MBA5" i="7"/>
  <c r="MBB5" i="7"/>
  <c r="MBC5" i="7"/>
  <c r="MBD5" i="7"/>
  <c r="MBE5" i="7"/>
  <c r="MBF5" i="7"/>
  <c r="MBG5" i="7"/>
  <c r="MBH5" i="7"/>
  <c r="MBI5" i="7"/>
  <c r="MBJ5" i="7"/>
  <c r="MBK5" i="7"/>
  <c r="MBL5" i="7"/>
  <c r="MBM5" i="7"/>
  <c r="MBN5" i="7"/>
  <c r="MBO5" i="7"/>
  <c r="MBP5" i="7"/>
  <c r="MBQ5" i="7"/>
  <c r="MBR5" i="7"/>
  <c r="MBS5" i="7"/>
  <c r="MBT5" i="7"/>
  <c r="MBU5" i="7"/>
  <c r="MBV5" i="7"/>
  <c r="MBW5" i="7"/>
  <c r="MBX5" i="7"/>
  <c r="MBY5" i="7"/>
  <c r="MBZ5" i="7"/>
  <c r="MCA5" i="7"/>
  <c r="MCB5" i="7"/>
  <c r="MCC5" i="7"/>
  <c r="MCD5" i="7"/>
  <c r="MCE5" i="7"/>
  <c r="MCF5" i="7"/>
  <c r="MCG5" i="7"/>
  <c r="MCH5" i="7"/>
  <c r="MCI5" i="7"/>
  <c r="MCJ5" i="7"/>
  <c r="MCK5" i="7"/>
  <c r="MCL5" i="7"/>
  <c r="MCM5" i="7"/>
  <c r="MCN5" i="7"/>
  <c r="MCO5" i="7"/>
  <c r="MCP5" i="7"/>
  <c r="MCQ5" i="7"/>
  <c r="MCR5" i="7"/>
  <c r="MCS5" i="7"/>
  <c r="MCT5" i="7"/>
  <c r="MCU5" i="7"/>
  <c r="MCV5" i="7"/>
  <c r="MCW5" i="7"/>
  <c r="MCX5" i="7"/>
  <c r="MCY5" i="7"/>
  <c r="MCZ5" i="7"/>
  <c r="MDA5" i="7"/>
  <c r="MDB5" i="7"/>
  <c r="MDC5" i="7"/>
  <c r="MDD5" i="7"/>
  <c r="MDE5" i="7"/>
  <c r="MDF5" i="7"/>
  <c r="MDG5" i="7"/>
  <c r="MDH5" i="7"/>
  <c r="MDI5" i="7"/>
  <c r="MDJ5" i="7"/>
  <c r="MDK5" i="7"/>
  <c r="MDL5" i="7"/>
  <c r="MDM5" i="7"/>
  <c r="MDN5" i="7"/>
  <c r="MDO5" i="7"/>
  <c r="MDP5" i="7"/>
  <c r="MDQ5" i="7"/>
  <c r="MDR5" i="7"/>
  <c r="MDS5" i="7"/>
  <c r="MDT5" i="7"/>
  <c r="MDU5" i="7"/>
  <c r="MDV5" i="7"/>
  <c r="MDW5" i="7"/>
  <c r="MDX5" i="7"/>
  <c r="MDY5" i="7"/>
  <c r="MDZ5" i="7"/>
  <c r="MEA5" i="7"/>
  <c r="MEB5" i="7"/>
  <c r="MEC5" i="7"/>
  <c r="MED5" i="7"/>
  <c r="MEE5" i="7"/>
  <c r="MEF5" i="7"/>
  <c r="MEG5" i="7"/>
  <c r="MEH5" i="7"/>
  <c r="MEI5" i="7"/>
  <c r="MEJ5" i="7"/>
  <c r="MEK5" i="7"/>
  <c r="MEL5" i="7"/>
  <c r="MEM5" i="7"/>
  <c r="MEN5" i="7"/>
  <c r="MEO5" i="7"/>
  <c r="MEP5" i="7"/>
  <c r="MEQ5" i="7"/>
  <c r="MER5" i="7"/>
  <c r="MES5" i="7"/>
  <c r="MET5" i="7"/>
  <c r="MEU5" i="7"/>
  <c r="MEV5" i="7"/>
  <c r="MEW5" i="7"/>
  <c r="MEX5" i="7"/>
  <c r="MEY5" i="7"/>
  <c r="MEZ5" i="7"/>
  <c r="MFA5" i="7"/>
  <c r="MFB5" i="7"/>
  <c r="MFC5" i="7"/>
  <c r="MFD5" i="7"/>
  <c r="MFE5" i="7"/>
  <c r="MFF5" i="7"/>
  <c r="MFG5" i="7"/>
  <c r="MFH5" i="7"/>
  <c r="MFI5" i="7"/>
  <c r="MFJ5" i="7"/>
  <c r="MFK5" i="7"/>
  <c r="MFL5" i="7"/>
  <c r="MFM5" i="7"/>
  <c r="MFN5" i="7"/>
  <c r="MFO5" i="7"/>
  <c r="MFP5" i="7"/>
  <c r="MFQ5" i="7"/>
  <c r="MFR5" i="7"/>
  <c r="MFS5" i="7"/>
  <c r="MFT5" i="7"/>
  <c r="MFU5" i="7"/>
  <c r="MFV5" i="7"/>
  <c r="MFW5" i="7"/>
  <c r="MFX5" i="7"/>
  <c r="MFY5" i="7"/>
  <c r="MFZ5" i="7"/>
  <c r="MGA5" i="7"/>
  <c r="MGB5" i="7"/>
  <c r="MGC5" i="7"/>
  <c r="MGD5" i="7"/>
  <c r="MGE5" i="7"/>
  <c r="MGF5" i="7"/>
  <c r="MGG5" i="7"/>
  <c r="MGH5" i="7"/>
  <c r="MGI5" i="7"/>
  <c r="MGJ5" i="7"/>
  <c r="MGK5" i="7"/>
  <c r="MGL5" i="7"/>
  <c r="MGM5" i="7"/>
  <c r="MGN5" i="7"/>
  <c r="MGO5" i="7"/>
  <c r="MGP5" i="7"/>
  <c r="MGQ5" i="7"/>
  <c r="MGR5" i="7"/>
  <c r="MGS5" i="7"/>
  <c r="MGT5" i="7"/>
  <c r="MGU5" i="7"/>
  <c r="MGV5" i="7"/>
  <c r="MGW5" i="7"/>
  <c r="MGX5" i="7"/>
  <c r="MGY5" i="7"/>
  <c r="MGZ5" i="7"/>
  <c r="MHA5" i="7"/>
  <c r="MHB5" i="7"/>
  <c r="MHC5" i="7"/>
  <c r="MHD5" i="7"/>
  <c r="MHE5" i="7"/>
  <c r="MHF5" i="7"/>
  <c r="MHG5" i="7"/>
  <c r="MHH5" i="7"/>
  <c r="MHI5" i="7"/>
  <c r="MHJ5" i="7"/>
  <c r="MHK5" i="7"/>
  <c r="MHL5" i="7"/>
  <c r="MHM5" i="7"/>
  <c r="MHN5" i="7"/>
  <c r="MHO5" i="7"/>
  <c r="MHP5" i="7"/>
  <c r="MHQ5" i="7"/>
  <c r="MHR5" i="7"/>
  <c r="MHS5" i="7"/>
  <c r="MHT5" i="7"/>
  <c r="MHU5" i="7"/>
  <c r="MHV5" i="7"/>
  <c r="MHW5" i="7"/>
  <c r="MHX5" i="7"/>
  <c r="MHY5" i="7"/>
  <c r="MHZ5" i="7"/>
  <c r="MIA5" i="7"/>
  <c r="MIB5" i="7"/>
  <c r="MIC5" i="7"/>
  <c r="MID5" i="7"/>
  <c r="MIE5" i="7"/>
  <c r="MIF5" i="7"/>
  <c r="MIG5" i="7"/>
  <c r="MIH5" i="7"/>
  <c r="MII5" i="7"/>
  <c r="MIJ5" i="7"/>
  <c r="MIK5" i="7"/>
  <c r="MIL5" i="7"/>
  <c r="MIM5" i="7"/>
  <c r="MIN5" i="7"/>
  <c r="MIO5" i="7"/>
  <c r="MIP5" i="7"/>
  <c r="MIQ5" i="7"/>
  <c r="MIR5" i="7"/>
  <c r="MIS5" i="7"/>
  <c r="MIT5" i="7"/>
  <c r="MIU5" i="7"/>
  <c r="MIV5" i="7"/>
  <c r="MIW5" i="7"/>
  <c r="MIX5" i="7"/>
  <c r="MIY5" i="7"/>
  <c r="MIZ5" i="7"/>
  <c r="MJA5" i="7"/>
  <c r="MJB5" i="7"/>
  <c r="MJC5" i="7"/>
  <c r="MJD5" i="7"/>
  <c r="MJE5" i="7"/>
  <c r="MJF5" i="7"/>
  <c r="MJG5" i="7"/>
  <c r="MJH5" i="7"/>
  <c r="MJI5" i="7"/>
  <c r="MJJ5" i="7"/>
  <c r="MJK5" i="7"/>
  <c r="MJL5" i="7"/>
  <c r="MJM5" i="7"/>
  <c r="MJN5" i="7"/>
  <c r="MJO5" i="7"/>
  <c r="MJP5" i="7"/>
  <c r="MJQ5" i="7"/>
  <c r="MJR5" i="7"/>
  <c r="MJS5" i="7"/>
  <c r="MJT5" i="7"/>
  <c r="MJU5" i="7"/>
  <c r="MJV5" i="7"/>
  <c r="MJW5" i="7"/>
  <c r="MJX5" i="7"/>
  <c r="MJY5" i="7"/>
  <c r="MJZ5" i="7"/>
  <c r="MKA5" i="7"/>
  <c r="MKB5" i="7"/>
  <c r="MKC5" i="7"/>
  <c r="MKD5" i="7"/>
  <c r="MKE5" i="7"/>
  <c r="MKF5" i="7"/>
  <c r="MKG5" i="7"/>
  <c r="MKH5" i="7"/>
  <c r="MKI5" i="7"/>
  <c r="MKJ5" i="7"/>
  <c r="MKK5" i="7"/>
  <c r="MKL5" i="7"/>
  <c r="MKM5" i="7"/>
  <c r="MKN5" i="7"/>
  <c r="MKO5" i="7"/>
  <c r="MKP5" i="7"/>
  <c r="MKQ5" i="7"/>
  <c r="MKR5" i="7"/>
  <c r="MKS5" i="7"/>
  <c r="MKT5" i="7"/>
  <c r="MKU5" i="7"/>
  <c r="MKV5" i="7"/>
  <c r="MKW5" i="7"/>
  <c r="MKX5" i="7"/>
  <c r="MKY5" i="7"/>
  <c r="MKZ5" i="7"/>
  <c r="MLA5" i="7"/>
  <c r="MLB5" i="7"/>
  <c r="MLC5" i="7"/>
  <c r="MLD5" i="7"/>
  <c r="MLE5" i="7"/>
  <c r="MLF5" i="7"/>
  <c r="MLG5" i="7"/>
  <c r="MLH5" i="7"/>
  <c r="MLI5" i="7"/>
  <c r="MLJ5" i="7"/>
  <c r="MLK5" i="7"/>
  <c r="MLL5" i="7"/>
  <c r="MLM5" i="7"/>
  <c r="MLN5" i="7"/>
  <c r="MLO5" i="7"/>
  <c r="MLP5" i="7"/>
  <c r="MLQ5" i="7"/>
  <c r="MLR5" i="7"/>
  <c r="MLS5" i="7"/>
  <c r="MLT5" i="7"/>
  <c r="MLU5" i="7"/>
  <c r="MLV5" i="7"/>
  <c r="MLW5" i="7"/>
  <c r="MLX5" i="7"/>
  <c r="MLY5" i="7"/>
  <c r="MLZ5" i="7"/>
  <c r="MMA5" i="7"/>
  <c r="MMB5" i="7"/>
  <c r="MMC5" i="7"/>
  <c r="MMD5" i="7"/>
  <c r="MME5" i="7"/>
  <c r="MMF5" i="7"/>
  <c r="MMG5" i="7"/>
  <c r="MMH5" i="7"/>
  <c r="MMI5" i="7"/>
  <c r="MMJ5" i="7"/>
  <c r="MMK5" i="7"/>
  <c r="MML5" i="7"/>
  <c r="MMM5" i="7"/>
  <c r="MMN5" i="7"/>
  <c r="MMO5" i="7"/>
  <c r="MMP5" i="7"/>
  <c r="MMQ5" i="7"/>
  <c r="MMR5" i="7"/>
  <c r="MMS5" i="7"/>
  <c r="MMT5" i="7"/>
  <c r="MMU5" i="7"/>
  <c r="MMV5" i="7"/>
  <c r="MMW5" i="7"/>
  <c r="MMX5" i="7"/>
  <c r="MMY5" i="7"/>
  <c r="MMZ5" i="7"/>
  <c r="MNA5" i="7"/>
  <c r="MNB5" i="7"/>
  <c r="MNC5" i="7"/>
  <c r="MND5" i="7"/>
  <c r="MNE5" i="7"/>
  <c r="MNF5" i="7"/>
  <c r="MNG5" i="7"/>
  <c r="MNH5" i="7"/>
  <c r="MNI5" i="7"/>
  <c r="MNJ5" i="7"/>
  <c r="MNK5" i="7"/>
  <c r="MNL5" i="7"/>
  <c r="MNM5" i="7"/>
  <c r="MNN5" i="7"/>
  <c r="MNO5" i="7"/>
  <c r="MNP5" i="7"/>
  <c r="MNQ5" i="7"/>
  <c r="MNR5" i="7"/>
  <c r="MNS5" i="7"/>
  <c r="MNT5" i="7"/>
  <c r="MNU5" i="7"/>
  <c r="MNV5" i="7"/>
  <c r="MNW5" i="7"/>
  <c r="MNX5" i="7"/>
  <c r="MNY5" i="7"/>
  <c r="MNZ5" i="7"/>
  <c r="MOA5" i="7"/>
  <c r="MOB5" i="7"/>
  <c r="MOC5" i="7"/>
  <c r="MOD5" i="7"/>
  <c r="MOE5" i="7"/>
  <c r="MOF5" i="7"/>
  <c r="MOG5" i="7"/>
  <c r="MOH5" i="7"/>
  <c r="MOI5" i="7"/>
  <c r="MOJ5" i="7"/>
  <c r="MOK5" i="7"/>
  <c r="MOL5" i="7"/>
  <c r="MOM5" i="7"/>
  <c r="MON5" i="7"/>
  <c r="MOO5" i="7"/>
  <c r="MOP5" i="7"/>
  <c r="MOQ5" i="7"/>
  <c r="MOR5" i="7"/>
  <c r="MOS5" i="7"/>
  <c r="MOT5" i="7"/>
  <c r="MOU5" i="7"/>
  <c r="MOV5" i="7"/>
  <c r="MOW5" i="7"/>
  <c r="MOX5" i="7"/>
  <c r="MOY5" i="7"/>
  <c r="MOZ5" i="7"/>
  <c r="MPA5" i="7"/>
  <c r="MPB5" i="7"/>
  <c r="MPC5" i="7"/>
  <c r="MPD5" i="7"/>
  <c r="MPE5" i="7"/>
  <c r="MPF5" i="7"/>
  <c r="MPG5" i="7"/>
  <c r="MPH5" i="7"/>
  <c r="MPI5" i="7"/>
  <c r="MPJ5" i="7"/>
  <c r="MPK5" i="7"/>
  <c r="MPL5" i="7"/>
  <c r="MPM5" i="7"/>
  <c r="MPN5" i="7"/>
  <c r="MPO5" i="7"/>
  <c r="MPP5" i="7"/>
  <c r="MPQ5" i="7"/>
  <c r="MPR5" i="7"/>
  <c r="MPS5" i="7"/>
  <c r="MPT5" i="7"/>
  <c r="MPU5" i="7"/>
  <c r="MPV5" i="7"/>
  <c r="MPW5" i="7"/>
  <c r="MPX5" i="7"/>
  <c r="MPY5" i="7"/>
  <c r="MPZ5" i="7"/>
  <c r="MQA5" i="7"/>
  <c r="MQB5" i="7"/>
  <c r="MQC5" i="7"/>
  <c r="MQD5" i="7"/>
  <c r="MQE5" i="7"/>
  <c r="MQF5" i="7"/>
  <c r="MQG5" i="7"/>
  <c r="MQH5" i="7"/>
  <c r="MQI5" i="7"/>
  <c r="MQJ5" i="7"/>
  <c r="MQK5" i="7"/>
  <c r="MQL5" i="7"/>
  <c r="MQM5" i="7"/>
  <c r="MQN5" i="7"/>
  <c r="MQO5" i="7"/>
  <c r="MQP5" i="7"/>
  <c r="MQQ5" i="7"/>
  <c r="MQR5" i="7"/>
  <c r="MQS5" i="7"/>
  <c r="MQT5" i="7"/>
  <c r="MQU5" i="7"/>
  <c r="MQV5" i="7"/>
  <c r="MQW5" i="7"/>
  <c r="MQX5" i="7"/>
  <c r="MQY5" i="7"/>
  <c r="MQZ5" i="7"/>
  <c r="MRA5" i="7"/>
  <c r="MRB5" i="7"/>
  <c r="MRC5" i="7"/>
  <c r="MRD5" i="7"/>
  <c r="MRE5" i="7"/>
  <c r="MRF5" i="7"/>
  <c r="MRG5" i="7"/>
  <c r="MRH5" i="7"/>
  <c r="MRI5" i="7"/>
  <c r="MRJ5" i="7"/>
  <c r="MRK5" i="7"/>
  <c r="MRL5" i="7"/>
  <c r="MRM5" i="7"/>
  <c r="MRN5" i="7"/>
  <c r="MRO5" i="7"/>
  <c r="MRP5" i="7"/>
  <c r="MRQ5" i="7"/>
  <c r="MRR5" i="7"/>
  <c r="MRS5" i="7"/>
  <c r="MRT5" i="7"/>
  <c r="MRU5" i="7"/>
  <c r="MRV5" i="7"/>
  <c r="MRW5" i="7"/>
  <c r="MRX5" i="7"/>
  <c r="MRY5" i="7"/>
  <c r="MRZ5" i="7"/>
  <c r="MSA5" i="7"/>
  <c r="MSB5" i="7"/>
  <c r="MSC5" i="7"/>
  <c r="MSD5" i="7"/>
  <c r="MSE5" i="7"/>
  <c r="MSF5" i="7"/>
  <c r="MSG5" i="7"/>
  <c r="MSH5" i="7"/>
  <c r="MSI5" i="7"/>
  <c r="MSJ5" i="7"/>
  <c r="MSK5" i="7"/>
  <c r="MSL5" i="7"/>
  <c r="MSM5" i="7"/>
  <c r="MSN5" i="7"/>
  <c r="MSO5" i="7"/>
  <c r="MSP5" i="7"/>
  <c r="MSQ5" i="7"/>
  <c r="MSR5" i="7"/>
  <c r="MSS5" i="7"/>
  <c r="MST5" i="7"/>
  <c r="MSU5" i="7"/>
  <c r="MSV5" i="7"/>
  <c r="MSW5" i="7"/>
  <c r="MSX5" i="7"/>
  <c r="MSY5" i="7"/>
  <c r="MSZ5" i="7"/>
  <c r="MTA5" i="7"/>
  <c r="MTB5" i="7"/>
  <c r="MTC5" i="7"/>
  <c r="MTD5" i="7"/>
  <c r="MTE5" i="7"/>
  <c r="MTF5" i="7"/>
  <c r="MTG5" i="7"/>
  <c r="MTH5" i="7"/>
  <c r="MTI5" i="7"/>
  <c r="MTJ5" i="7"/>
  <c r="MTK5" i="7"/>
  <c r="MTL5" i="7"/>
  <c r="MTM5" i="7"/>
  <c r="MTN5" i="7"/>
  <c r="MTO5" i="7"/>
  <c r="MTP5" i="7"/>
  <c r="MTQ5" i="7"/>
  <c r="MTR5" i="7"/>
  <c r="MTS5" i="7"/>
  <c r="MTT5" i="7"/>
  <c r="MTU5" i="7"/>
  <c r="MTV5" i="7"/>
  <c r="MTW5" i="7"/>
  <c r="MTX5" i="7"/>
  <c r="MTY5" i="7"/>
  <c r="MTZ5" i="7"/>
  <c r="MUA5" i="7"/>
  <c r="MUB5" i="7"/>
  <c r="MUC5" i="7"/>
  <c r="MUD5" i="7"/>
  <c r="MUE5" i="7"/>
  <c r="MUF5" i="7"/>
  <c r="MUG5" i="7"/>
  <c r="MUH5" i="7"/>
  <c r="MUI5" i="7"/>
  <c r="MUJ5" i="7"/>
  <c r="MUK5" i="7"/>
  <c r="MUL5" i="7"/>
  <c r="MUM5" i="7"/>
  <c r="MUN5" i="7"/>
  <c r="MUO5" i="7"/>
  <c r="MUP5" i="7"/>
  <c r="MUQ5" i="7"/>
  <c r="MUR5" i="7"/>
  <c r="MUS5" i="7"/>
  <c r="MUT5" i="7"/>
  <c r="MUU5" i="7"/>
  <c r="MUV5" i="7"/>
  <c r="MUW5" i="7"/>
  <c r="MUX5" i="7"/>
  <c r="MUY5" i="7"/>
  <c r="MUZ5" i="7"/>
  <c r="MVA5" i="7"/>
  <c r="MVB5" i="7"/>
  <c r="MVC5" i="7"/>
  <c r="MVD5" i="7"/>
  <c r="MVE5" i="7"/>
  <c r="MVF5" i="7"/>
  <c r="MVG5" i="7"/>
  <c r="MVH5" i="7"/>
  <c r="MVI5" i="7"/>
  <c r="MVJ5" i="7"/>
  <c r="MVK5" i="7"/>
  <c r="MVL5" i="7"/>
  <c r="MVM5" i="7"/>
  <c r="MVN5" i="7"/>
  <c r="MVO5" i="7"/>
  <c r="MVP5" i="7"/>
  <c r="MVQ5" i="7"/>
  <c r="MVR5" i="7"/>
  <c r="MVS5" i="7"/>
  <c r="MVT5" i="7"/>
  <c r="MVU5" i="7"/>
  <c r="MVV5" i="7"/>
  <c r="MVW5" i="7"/>
  <c r="MVX5" i="7"/>
  <c r="MVY5" i="7"/>
  <c r="MVZ5" i="7"/>
  <c r="MWA5" i="7"/>
  <c r="MWB5" i="7"/>
  <c r="MWC5" i="7"/>
  <c r="MWD5" i="7"/>
  <c r="MWE5" i="7"/>
  <c r="MWF5" i="7"/>
  <c r="MWG5" i="7"/>
  <c r="MWH5" i="7"/>
  <c r="MWI5" i="7"/>
  <c r="MWJ5" i="7"/>
  <c r="MWK5" i="7"/>
  <c r="MWL5" i="7"/>
  <c r="MWM5" i="7"/>
  <c r="MWN5" i="7"/>
  <c r="MWO5" i="7"/>
  <c r="MWP5" i="7"/>
  <c r="MWQ5" i="7"/>
  <c r="MWR5" i="7"/>
  <c r="MWS5" i="7"/>
  <c r="MWT5" i="7"/>
  <c r="MWU5" i="7"/>
  <c r="MWV5" i="7"/>
  <c r="MWW5" i="7"/>
  <c r="MWX5" i="7"/>
  <c r="MWY5" i="7"/>
  <c r="MWZ5" i="7"/>
  <c r="MXA5" i="7"/>
  <c r="MXB5" i="7"/>
  <c r="MXC5" i="7"/>
  <c r="MXD5" i="7"/>
  <c r="MXE5" i="7"/>
  <c r="MXF5" i="7"/>
  <c r="MXG5" i="7"/>
  <c r="MXH5" i="7"/>
  <c r="MXI5" i="7"/>
  <c r="MXJ5" i="7"/>
  <c r="MXK5" i="7"/>
  <c r="MXL5" i="7"/>
  <c r="MXM5" i="7"/>
  <c r="MXN5" i="7"/>
  <c r="MXO5" i="7"/>
  <c r="MXP5" i="7"/>
  <c r="MXQ5" i="7"/>
  <c r="MXR5" i="7"/>
  <c r="MXS5" i="7"/>
  <c r="MXT5" i="7"/>
  <c r="MXU5" i="7"/>
  <c r="MXV5" i="7"/>
  <c r="MXW5" i="7"/>
  <c r="MXX5" i="7"/>
  <c r="MXY5" i="7"/>
  <c r="MXZ5" i="7"/>
  <c r="MYA5" i="7"/>
  <c r="MYB5" i="7"/>
  <c r="MYC5" i="7"/>
  <c r="MYD5" i="7"/>
  <c r="MYE5" i="7"/>
  <c r="MYF5" i="7"/>
  <c r="MYG5" i="7"/>
  <c r="MYH5" i="7"/>
  <c r="MYI5" i="7"/>
  <c r="MYJ5" i="7"/>
  <c r="MYK5" i="7"/>
  <c r="MYL5" i="7"/>
  <c r="MYM5" i="7"/>
  <c r="MYN5" i="7"/>
  <c r="MYO5" i="7"/>
  <c r="MYP5" i="7"/>
  <c r="MYQ5" i="7"/>
  <c r="MYR5" i="7"/>
  <c r="MYS5" i="7"/>
  <c r="MYT5" i="7"/>
  <c r="MYU5" i="7"/>
  <c r="MYV5" i="7"/>
  <c r="MYW5" i="7"/>
  <c r="MYX5" i="7"/>
  <c r="MYY5" i="7"/>
  <c r="MYZ5" i="7"/>
  <c r="MZA5" i="7"/>
  <c r="MZB5" i="7"/>
  <c r="MZC5" i="7"/>
  <c r="MZD5" i="7"/>
  <c r="MZE5" i="7"/>
  <c r="MZF5" i="7"/>
  <c r="MZG5" i="7"/>
  <c r="MZH5" i="7"/>
  <c r="MZI5" i="7"/>
  <c r="MZJ5" i="7"/>
  <c r="MZK5" i="7"/>
  <c r="MZL5" i="7"/>
  <c r="MZM5" i="7"/>
  <c r="MZN5" i="7"/>
  <c r="MZO5" i="7"/>
  <c r="MZP5" i="7"/>
  <c r="MZQ5" i="7"/>
  <c r="MZR5" i="7"/>
  <c r="MZS5" i="7"/>
  <c r="MZT5" i="7"/>
  <c r="MZU5" i="7"/>
  <c r="MZV5" i="7"/>
  <c r="MZW5" i="7"/>
  <c r="MZX5" i="7"/>
  <c r="MZY5" i="7"/>
  <c r="MZZ5" i="7"/>
  <c r="NAA5" i="7"/>
  <c r="NAB5" i="7"/>
  <c r="NAC5" i="7"/>
  <c r="NAD5" i="7"/>
  <c r="NAE5" i="7"/>
  <c r="NAF5" i="7"/>
  <c r="NAG5" i="7"/>
  <c r="NAH5" i="7"/>
  <c r="NAI5" i="7"/>
  <c r="NAJ5" i="7"/>
  <c r="NAK5" i="7"/>
  <c r="NAL5" i="7"/>
  <c r="NAM5" i="7"/>
  <c r="NAN5" i="7"/>
  <c r="NAO5" i="7"/>
  <c r="NAP5" i="7"/>
  <c r="NAQ5" i="7"/>
  <c r="NAR5" i="7"/>
  <c r="NAS5" i="7"/>
  <c r="NAT5" i="7"/>
  <c r="NAU5" i="7"/>
  <c r="NAV5" i="7"/>
  <c r="NAW5" i="7"/>
  <c r="NAX5" i="7"/>
  <c r="NAY5" i="7"/>
  <c r="NAZ5" i="7"/>
  <c r="NBA5" i="7"/>
  <c r="NBB5" i="7"/>
  <c r="NBC5" i="7"/>
  <c r="NBD5" i="7"/>
  <c r="NBE5" i="7"/>
  <c r="NBF5" i="7"/>
  <c r="NBG5" i="7"/>
  <c r="NBH5" i="7"/>
  <c r="NBI5" i="7"/>
  <c r="NBJ5" i="7"/>
  <c r="NBK5" i="7"/>
  <c r="NBL5" i="7"/>
  <c r="NBM5" i="7"/>
  <c r="NBN5" i="7"/>
  <c r="NBO5" i="7"/>
  <c r="NBP5" i="7"/>
  <c r="NBQ5" i="7"/>
  <c r="NBR5" i="7"/>
  <c r="NBS5" i="7"/>
  <c r="NBT5" i="7"/>
  <c r="NBU5" i="7"/>
  <c r="NBV5" i="7"/>
  <c r="NBW5" i="7"/>
  <c r="NBX5" i="7"/>
  <c r="NBY5" i="7"/>
  <c r="NBZ5" i="7"/>
  <c r="NCA5" i="7"/>
  <c r="NCB5" i="7"/>
  <c r="NCC5" i="7"/>
  <c r="NCD5" i="7"/>
  <c r="NCE5" i="7"/>
  <c r="NCF5" i="7"/>
  <c r="NCG5" i="7"/>
  <c r="NCH5" i="7"/>
  <c r="NCI5" i="7"/>
  <c r="NCJ5" i="7"/>
  <c r="NCK5" i="7"/>
  <c r="NCL5" i="7"/>
  <c r="NCM5" i="7"/>
  <c r="NCN5" i="7"/>
  <c r="NCO5" i="7"/>
  <c r="NCP5" i="7"/>
  <c r="NCQ5" i="7"/>
  <c r="NCR5" i="7"/>
  <c r="NCS5" i="7"/>
  <c r="NCT5" i="7"/>
  <c r="NCU5" i="7"/>
  <c r="NCV5" i="7"/>
  <c r="NCW5" i="7"/>
  <c r="NCX5" i="7"/>
  <c r="NCY5" i="7"/>
  <c r="NCZ5" i="7"/>
  <c r="NDA5" i="7"/>
  <c r="NDB5" i="7"/>
  <c r="NDC5" i="7"/>
  <c r="NDD5" i="7"/>
  <c r="NDE5" i="7"/>
  <c r="NDF5" i="7"/>
  <c r="NDG5" i="7"/>
  <c r="NDH5" i="7"/>
  <c r="NDI5" i="7"/>
  <c r="NDJ5" i="7"/>
  <c r="NDK5" i="7"/>
  <c r="NDL5" i="7"/>
  <c r="NDM5" i="7"/>
  <c r="NDN5" i="7"/>
  <c r="NDO5" i="7"/>
  <c r="NDP5" i="7"/>
  <c r="NDQ5" i="7"/>
  <c r="NDR5" i="7"/>
  <c r="NDS5" i="7"/>
  <c r="NDT5" i="7"/>
  <c r="NDU5" i="7"/>
  <c r="NDV5" i="7"/>
  <c r="NDW5" i="7"/>
  <c r="NDX5" i="7"/>
  <c r="NDY5" i="7"/>
  <c r="NDZ5" i="7"/>
  <c r="NEA5" i="7"/>
  <c r="NEB5" i="7"/>
  <c r="NEC5" i="7"/>
  <c r="NED5" i="7"/>
  <c r="NEE5" i="7"/>
  <c r="NEF5" i="7"/>
  <c r="NEG5" i="7"/>
  <c r="NEH5" i="7"/>
  <c r="NEI5" i="7"/>
  <c r="NEJ5" i="7"/>
  <c r="NEK5" i="7"/>
  <c r="NEL5" i="7"/>
  <c r="NEM5" i="7"/>
  <c r="NEN5" i="7"/>
  <c r="NEO5" i="7"/>
  <c r="NEP5" i="7"/>
  <c r="NEQ5" i="7"/>
  <c r="NER5" i="7"/>
  <c r="NES5" i="7"/>
  <c r="NET5" i="7"/>
  <c r="NEU5" i="7"/>
  <c r="NEV5" i="7"/>
  <c r="NEW5" i="7"/>
  <c r="NEX5" i="7"/>
  <c r="NEY5" i="7"/>
  <c r="NEZ5" i="7"/>
  <c r="NFA5" i="7"/>
  <c r="NFB5" i="7"/>
  <c r="NFC5" i="7"/>
  <c r="NFD5" i="7"/>
  <c r="NFE5" i="7"/>
  <c r="NFF5" i="7"/>
  <c r="NFG5" i="7"/>
  <c r="NFH5" i="7"/>
  <c r="NFI5" i="7"/>
  <c r="NFJ5" i="7"/>
  <c r="NFK5" i="7"/>
  <c r="NFL5" i="7"/>
  <c r="NFM5" i="7"/>
  <c r="NFN5" i="7"/>
  <c r="NFO5" i="7"/>
  <c r="NFP5" i="7"/>
  <c r="NFQ5" i="7"/>
  <c r="NFR5" i="7"/>
  <c r="NFS5" i="7"/>
  <c r="NFT5" i="7"/>
  <c r="NFU5" i="7"/>
  <c r="NFV5" i="7"/>
  <c r="NFW5" i="7"/>
  <c r="NFX5" i="7"/>
  <c r="NFY5" i="7"/>
  <c r="NFZ5" i="7"/>
  <c r="NGA5" i="7"/>
  <c r="NGB5" i="7"/>
  <c r="NGC5" i="7"/>
  <c r="NGD5" i="7"/>
  <c r="NGE5" i="7"/>
  <c r="NGF5" i="7"/>
  <c r="NGG5" i="7"/>
  <c r="NGH5" i="7"/>
  <c r="NGI5" i="7"/>
  <c r="NGJ5" i="7"/>
  <c r="NGK5" i="7"/>
  <c r="NGL5" i="7"/>
  <c r="NGM5" i="7"/>
  <c r="NGN5" i="7"/>
  <c r="NGO5" i="7"/>
  <c r="NGP5" i="7"/>
  <c r="NGQ5" i="7"/>
  <c r="NGR5" i="7"/>
  <c r="NGS5" i="7"/>
  <c r="NGT5" i="7"/>
  <c r="NGU5" i="7"/>
  <c r="NGV5" i="7"/>
  <c r="NGW5" i="7"/>
  <c r="NGX5" i="7"/>
  <c r="NGY5" i="7"/>
  <c r="NGZ5" i="7"/>
  <c r="NHA5" i="7"/>
  <c r="NHB5" i="7"/>
  <c r="NHC5" i="7"/>
  <c r="NHD5" i="7"/>
  <c r="NHE5" i="7"/>
  <c r="NHF5" i="7"/>
  <c r="NHG5" i="7"/>
  <c r="NHH5" i="7"/>
  <c r="NHI5" i="7"/>
  <c r="NHJ5" i="7"/>
  <c r="NHK5" i="7"/>
  <c r="NHL5" i="7"/>
  <c r="NHM5" i="7"/>
  <c r="NHN5" i="7"/>
  <c r="NHO5" i="7"/>
  <c r="NHP5" i="7"/>
  <c r="NHQ5" i="7"/>
  <c r="NHR5" i="7"/>
  <c r="NHS5" i="7"/>
  <c r="NHT5" i="7"/>
  <c r="NHU5" i="7"/>
  <c r="NHV5" i="7"/>
  <c r="NHW5" i="7"/>
  <c r="NHX5" i="7"/>
  <c r="NHY5" i="7"/>
  <c r="NHZ5" i="7"/>
  <c r="NIA5" i="7"/>
  <c r="NIB5" i="7"/>
  <c r="NIC5" i="7"/>
  <c r="NID5" i="7"/>
  <c r="NIE5" i="7"/>
  <c r="NIF5" i="7"/>
  <c r="NIG5" i="7"/>
  <c r="NIH5" i="7"/>
  <c r="NII5" i="7"/>
  <c r="NIJ5" i="7"/>
  <c r="NIK5" i="7"/>
  <c r="NIL5" i="7"/>
  <c r="NIM5" i="7"/>
  <c r="NIN5" i="7"/>
  <c r="NIO5" i="7"/>
  <c r="NIP5" i="7"/>
  <c r="NIQ5" i="7"/>
  <c r="NIR5" i="7"/>
  <c r="NIS5" i="7"/>
  <c r="NIT5" i="7"/>
  <c r="NIU5" i="7"/>
  <c r="NIV5" i="7"/>
  <c r="NIW5" i="7"/>
  <c r="NIX5" i="7"/>
  <c r="NIY5" i="7"/>
  <c r="NIZ5" i="7"/>
  <c r="NJA5" i="7"/>
  <c r="NJB5" i="7"/>
  <c r="NJC5" i="7"/>
  <c r="NJD5" i="7"/>
  <c r="NJE5" i="7"/>
  <c r="NJF5" i="7"/>
  <c r="NJG5" i="7"/>
  <c r="NJH5" i="7"/>
  <c r="NJI5" i="7"/>
  <c r="NJJ5" i="7"/>
  <c r="NJK5" i="7"/>
  <c r="NJL5" i="7"/>
  <c r="NJM5" i="7"/>
  <c r="NJN5" i="7"/>
  <c r="NJO5" i="7"/>
  <c r="NJP5" i="7"/>
  <c r="NJQ5" i="7"/>
  <c r="NJR5" i="7"/>
  <c r="NJS5" i="7"/>
  <c r="NJT5" i="7"/>
  <c r="NJU5" i="7"/>
  <c r="NJV5" i="7"/>
  <c r="NJW5" i="7"/>
  <c r="NJX5" i="7"/>
  <c r="NJY5" i="7"/>
  <c r="NJZ5" i="7"/>
  <c r="NKA5" i="7"/>
  <c r="NKB5" i="7"/>
  <c r="NKC5" i="7"/>
  <c r="NKD5" i="7"/>
  <c r="NKE5" i="7"/>
  <c r="NKF5" i="7"/>
  <c r="NKG5" i="7"/>
  <c r="NKH5" i="7"/>
  <c r="NKI5" i="7"/>
  <c r="NKJ5" i="7"/>
  <c r="NKK5" i="7"/>
  <c r="NKL5" i="7"/>
  <c r="NKM5" i="7"/>
  <c r="NKN5" i="7"/>
  <c r="NKO5" i="7"/>
  <c r="NKP5" i="7"/>
  <c r="NKQ5" i="7"/>
  <c r="NKR5" i="7"/>
  <c r="NKS5" i="7"/>
  <c r="NKT5" i="7"/>
  <c r="NKU5" i="7"/>
  <c r="NKV5" i="7"/>
  <c r="NKW5" i="7"/>
  <c r="NKX5" i="7"/>
  <c r="NKY5" i="7"/>
  <c r="NKZ5" i="7"/>
  <c r="NLA5" i="7"/>
  <c r="NLB5" i="7"/>
  <c r="NLC5" i="7"/>
  <c r="NLD5" i="7"/>
  <c r="NLE5" i="7"/>
  <c r="NLF5" i="7"/>
  <c r="NLG5" i="7"/>
  <c r="NLH5" i="7"/>
  <c r="NLI5" i="7"/>
  <c r="NLJ5" i="7"/>
  <c r="NLK5" i="7"/>
  <c r="NLL5" i="7"/>
  <c r="NLM5" i="7"/>
  <c r="NLN5" i="7"/>
  <c r="NLO5" i="7"/>
  <c r="NLP5" i="7"/>
  <c r="NLQ5" i="7"/>
  <c r="NLR5" i="7"/>
  <c r="NLS5" i="7"/>
  <c r="NLT5" i="7"/>
  <c r="NLU5" i="7"/>
  <c r="NLV5" i="7"/>
  <c r="NLW5" i="7"/>
  <c r="NLX5" i="7"/>
  <c r="NLY5" i="7"/>
  <c r="NLZ5" i="7"/>
  <c r="NMA5" i="7"/>
  <c r="NMB5" i="7"/>
  <c r="NMC5" i="7"/>
  <c r="NMD5" i="7"/>
  <c r="NME5" i="7"/>
  <c r="NMF5" i="7"/>
  <c r="NMG5" i="7"/>
  <c r="NMH5" i="7"/>
  <c r="NMI5" i="7"/>
  <c r="NMJ5" i="7"/>
  <c r="NMK5" i="7"/>
  <c r="NML5" i="7"/>
  <c r="NMM5" i="7"/>
  <c r="NMN5" i="7"/>
  <c r="NMO5" i="7"/>
  <c r="NMP5" i="7"/>
  <c r="NMQ5" i="7"/>
  <c r="NMR5" i="7"/>
  <c r="NMS5" i="7"/>
  <c r="NMT5" i="7"/>
  <c r="NMU5" i="7"/>
  <c r="NMV5" i="7"/>
  <c r="NMW5" i="7"/>
  <c r="NMX5" i="7"/>
  <c r="NMY5" i="7"/>
  <c r="NMZ5" i="7"/>
  <c r="NNA5" i="7"/>
  <c r="NNB5" i="7"/>
  <c r="NNC5" i="7"/>
  <c r="NND5" i="7"/>
  <c r="NNE5" i="7"/>
  <c r="NNF5" i="7"/>
  <c r="NNG5" i="7"/>
  <c r="NNH5" i="7"/>
  <c r="NNI5" i="7"/>
  <c r="NNJ5" i="7"/>
  <c r="NNK5" i="7"/>
  <c r="NNL5" i="7"/>
  <c r="NNM5" i="7"/>
  <c r="NNN5" i="7"/>
  <c r="NNO5" i="7"/>
  <c r="NNP5" i="7"/>
  <c r="NNQ5" i="7"/>
  <c r="NNR5" i="7"/>
  <c r="NNS5" i="7"/>
  <c r="NNT5" i="7"/>
  <c r="NNU5" i="7"/>
  <c r="NNV5" i="7"/>
  <c r="NNW5" i="7"/>
  <c r="NNX5" i="7"/>
  <c r="NNY5" i="7"/>
  <c r="NNZ5" i="7"/>
  <c r="NOA5" i="7"/>
  <c r="NOB5" i="7"/>
  <c r="NOC5" i="7"/>
  <c r="NOD5" i="7"/>
  <c r="NOE5" i="7"/>
  <c r="NOF5" i="7"/>
  <c r="NOG5" i="7"/>
  <c r="NOH5" i="7"/>
  <c r="NOI5" i="7"/>
  <c r="NOJ5" i="7"/>
  <c r="NOK5" i="7"/>
  <c r="NOL5" i="7"/>
  <c r="NOM5" i="7"/>
  <c r="NON5" i="7"/>
  <c r="NOO5" i="7"/>
  <c r="NOP5" i="7"/>
  <c r="NOQ5" i="7"/>
  <c r="NOR5" i="7"/>
  <c r="NOS5" i="7"/>
  <c r="NOT5" i="7"/>
  <c r="NOU5" i="7"/>
  <c r="NOV5" i="7"/>
  <c r="NOW5" i="7"/>
  <c r="NOX5" i="7"/>
  <c r="NOY5" i="7"/>
  <c r="NOZ5" i="7"/>
  <c r="NPA5" i="7"/>
  <c r="NPB5" i="7"/>
  <c r="NPC5" i="7"/>
  <c r="NPD5" i="7"/>
  <c r="NPE5" i="7"/>
  <c r="NPF5" i="7"/>
  <c r="NPG5" i="7"/>
  <c r="NPH5" i="7"/>
  <c r="NPI5" i="7"/>
  <c r="NPJ5" i="7"/>
  <c r="NPK5" i="7"/>
  <c r="NPL5" i="7"/>
  <c r="NPM5" i="7"/>
  <c r="NPN5" i="7"/>
  <c r="NPO5" i="7"/>
  <c r="NPP5" i="7"/>
  <c r="NPQ5" i="7"/>
  <c r="NPR5" i="7"/>
  <c r="NPS5" i="7"/>
  <c r="NPT5" i="7"/>
  <c r="NPU5" i="7"/>
  <c r="NPV5" i="7"/>
  <c r="NPW5" i="7"/>
  <c r="NPX5" i="7"/>
  <c r="NPY5" i="7"/>
  <c r="NPZ5" i="7"/>
  <c r="NQA5" i="7"/>
  <c r="NQB5" i="7"/>
  <c r="NQC5" i="7"/>
  <c r="NQD5" i="7"/>
  <c r="NQE5" i="7"/>
  <c r="NQF5" i="7"/>
  <c r="NQG5" i="7"/>
  <c r="NQH5" i="7"/>
  <c r="NQI5" i="7"/>
  <c r="NQJ5" i="7"/>
  <c r="NQK5" i="7"/>
  <c r="NQL5" i="7"/>
  <c r="NQM5" i="7"/>
  <c r="NQN5" i="7"/>
  <c r="NQO5" i="7"/>
  <c r="NQP5" i="7"/>
  <c r="NQQ5" i="7"/>
  <c r="NQR5" i="7"/>
  <c r="NQS5" i="7"/>
  <c r="NQT5" i="7"/>
  <c r="NQU5" i="7"/>
  <c r="NQV5" i="7"/>
  <c r="NQW5" i="7"/>
  <c r="NQX5" i="7"/>
  <c r="NQY5" i="7"/>
  <c r="NQZ5" i="7"/>
  <c r="NRA5" i="7"/>
  <c r="NRB5" i="7"/>
  <c r="NRC5" i="7"/>
  <c r="NRD5" i="7"/>
  <c r="NRE5" i="7"/>
  <c r="NRF5" i="7"/>
  <c r="NRG5" i="7"/>
  <c r="NRH5" i="7"/>
  <c r="NRI5" i="7"/>
  <c r="NRJ5" i="7"/>
  <c r="NRK5" i="7"/>
  <c r="NRL5" i="7"/>
  <c r="NRM5" i="7"/>
  <c r="NRN5" i="7"/>
  <c r="NRO5" i="7"/>
  <c r="NRP5" i="7"/>
  <c r="NRQ5" i="7"/>
  <c r="NRR5" i="7"/>
  <c r="NRS5" i="7"/>
  <c r="NRT5" i="7"/>
  <c r="NRU5" i="7"/>
  <c r="NRV5" i="7"/>
  <c r="NRW5" i="7"/>
  <c r="NRX5" i="7"/>
  <c r="NRY5" i="7"/>
  <c r="NRZ5" i="7"/>
  <c r="NSA5" i="7"/>
  <c r="NSB5" i="7"/>
  <c r="NSC5" i="7"/>
  <c r="NSD5" i="7"/>
  <c r="NSE5" i="7"/>
  <c r="NSF5" i="7"/>
  <c r="NSG5" i="7"/>
  <c r="NSH5" i="7"/>
  <c r="NSI5" i="7"/>
  <c r="NSJ5" i="7"/>
  <c r="NSK5" i="7"/>
  <c r="NSL5" i="7"/>
  <c r="NSM5" i="7"/>
  <c r="NSN5" i="7"/>
  <c r="NSO5" i="7"/>
  <c r="NSP5" i="7"/>
  <c r="NSQ5" i="7"/>
  <c r="NSR5" i="7"/>
  <c r="NSS5" i="7"/>
  <c r="NST5" i="7"/>
  <c r="NSU5" i="7"/>
  <c r="NSV5" i="7"/>
  <c r="NSW5" i="7"/>
  <c r="NSX5" i="7"/>
  <c r="NSY5" i="7"/>
  <c r="NSZ5" i="7"/>
  <c r="NTA5" i="7"/>
  <c r="NTB5" i="7"/>
  <c r="NTC5" i="7"/>
  <c r="NTD5" i="7"/>
  <c r="NTE5" i="7"/>
  <c r="NTF5" i="7"/>
  <c r="NTG5" i="7"/>
  <c r="NTH5" i="7"/>
  <c r="NTI5" i="7"/>
  <c r="NTJ5" i="7"/>
  <c r="NTK5" i="7"/>
  <c r="NTL5" i="7"/>
  <c r="NTM5" i="7"/>
  <c r="NTN5" i="7"/>
  <c r="NTO5" i="7"/>
  <c r="NTP5" i="7"/>
  <c r="NTQ5" i="7"/>
  <c r="NTR5" i="7"/>
  <c r="NTS5" i="7"/>
  <c r="NTT5" i="7"/>
  <c r="NTU5" i="7"/>
  <c r="NTV5" i="7"/>
  <c r="NTW5" i="7"/>
  <c r="NTX5" i="7"/>
  <c r="NTY5" i="7"/>
  <c r="NTZ5" i="7"/>
  <c r="NUA5" i="7"/>
  <c r="NUB5" i="7"/>
  <c r="NUC5" i="7"/>
  <c r="NUD5" i="7"/>
  <c r="NUE5" i="7"/>
  <c r="NUF5" i="7"/>
  <c r="NUG5" i="7"/>
  <c r="NUH5" i="7"/>
  <c r="NUI5" i="7"/>
  <c r="NUJ5" i="7"/>
  <c r="NUK5" i="7"/>
  <c r="NUL5" i="7"/>
  <c r="NUM5" i="7"/>
  <c r="NUN5" i="7"/>
  <c r="NUO5" i="7"/>
  <c r="NUP5" i="7"/>
  <c r="NUQ5" i="7"/>
  <c r="NUR5" i="7"/>
  <c r="NUS5" i="7"/>
  <c r="NUT5" i="7"/>
  <c r="NUU5" i="7"/>
  <c r="NUV5" i="7"/>
  <c r="NUW5" i="7"/>
  <c r="NUX5" i="7"/>
  <c r="NUY5" i="7"/>
  <c r="NUZ5" i="7"/>
  <c r="NVA5" i="7"/>
  <c r="NVB5" i="7"/>
  <c r="NVC5" i="7"/>
  <c r="NVD5" i="7"/>
  <c r="NVE5" i="7"/>
  <c r="NVF5" i="7"/>
  <c r="NVG5" i="7"/>
  <c r="NVH5" i="7"/>
  <c r="NVI5" i="7"/>
  <c r="NVJ5" i="7"/>
  <c r="NVK5" i="7"/>
  <c r="NVL5" i="7"/>
  <c r="NVM5" i="7"/>
  <c r="NVN5" i="7"/>
  <c r="NVO5" i="7"/>
  <c r="NVP5" i="7"/>
  <c r="NVQ5" i="7"/>
  <c r="NVR5" i="7"/>
  <c r="NVS5" i="7"/>
  <c r="NVT5" i="7"/>
  <c r="NVU5" i="7"/>
  <c r="NVV5" i="7"/>
  <c r="NVW5" i="7"/>
  <c r="NVX5" i="7"/>
  <c r="NVY5" i="7"/>
  <c r="NVZ5" i="7"/>
  <c r="NWA5" i="7"/>
  <c r="NWB5" i="7"/>
  <c r="NWC5" i="7"/>
  <c r="NWD5" i="7"/>
  <c r="NWE5" i="7"/>
  <c r="NWF5" i="7"/>
  <c r="NWG5" i="7"/>
  <c r="NWH5" i="7"/>
  <c r="NWI5" i="7"/>
  <c r="NWJ5" i="7"/>
  <c r="NWK5" i="7"/>
  <c r="NWL5" i="7"/>
  <c r="NWM5" i="7"/>
  <c r="NWN5" i="7"/>
  <c r="NWO5" i="7"/>
  <c r="NWP5" i="7"/>
  <c r="NWQ5" i="7"/>
  <c r="NWR5" i="7"/>
  <c r="NWS5" i="7"/>
  <c r="NWT5" i="7"/>
  <c r="NWU5" i="7"/>
  <c r="NWV5" i="7"/>
  <c r="NWW5" i="7"/>
  <c r="NWX5" i="7"/>
  <c r="NWY5" i="7"/>
  <c r="NWZ5" i="7"/>
  <c r="NXA5" i="7"/>
  <c r="NXB5" i="7"/>
  <c r="NXC5" i="7"/>
  <c r="NXD5" i="7"/>
  <c r="NXE5" i="7"/>
  <c r="NXF5" i="7"/>
  <c r="NXG5" i="7"/>
  <c r="NXH5" i="7"/>
  <c r="NXI5" i="7"/>
  <c r="NXJ5" i="7"/>
  <c r="NXK5" i="7"/>
  <c r="NXL5" i="7"/>
  <c r="NXM5" i="7"/>
  <c r="NXN5" i="7"/>
  <c r="NXO5" i="7"/>
  <c r="NXP5" i="7"/>
  <c r="NXQ5" i="7"/>
  <c r="NXR5" i="7"/>
  <c r="NXS5" i="7"/>
  <c r="NXT5" i="7"/>
  <c r="NXU5" i="7"/>
  <c r="NXV5" i="7"/>
  <c r="NXW5" i="7"/>
  <c r="NXX5" i="7"/>
  <c r="NXY5" i="7"/>
  <c r="NXZ5" i="7"/>
  <c r="NYA5" i="7"/>
  <c r="NYB5" i="7"/>
  <c r="NYC5" i="7"/>
  <c r="NYD5" i="7"/>
  <c r="NYE5" i="7"/>
  <c r="NYF5" i="7"/>
  <c r="NYG5" i="7"/>
  <c r="NYH5" i="7"/>
  <c r="NYI5" i="7"/>
  <c r="NYJ5" i="7"/>
  <c r="NYK5" i="7"/>
  <c r="NYL5" i="7"/>
  <c r="NYM5" i="7"/>
  <c r="NYN5" i="7"/>
  <c r="NYO5" i="7"/>
  <c r="NYP5" i="7"/>
  <c r="NYQ5" i="7"/>
  <c r="NYR5" i="7"/>
  <c r="NYS5" i="7"/>
  <c r="NYT5" i="7"/>
  <c r="NYU5" i="7"/>
  <c r="NYV5" i="7"/>
  <c r="NYW5" i="7"/>
  <c r="NYX5" i="7"/>
  <c r="NYY5" i="7"/>
  <c r="NYZ5" i="7"/>
  <c r="NZA5" i="7"/>
  <c r="NZB5" i="7"/>
  <c r="NZC5" i="7"/>
  <c r="NZD5" i="7"/>
  <c r="NZE5" i="7"/>
  <c r="NZF5" i="7"/>
  <c r="NZG5" i="7"/>
  <c r="NZH5" i="7"/>
  <c r="NZI5" i="7"/>
  <c r="NZJ5" i="7"/>
  <c r="NZK5" i="7"/>
  <c r="NZL5" i="7"/>
  <c r="NZM5" i="7"/>
  <c r="NZN5" i="7"/>
  <c r="NZO5" i="7"/>
  <c r="NZP5" i="7"/>
  <c r="NZQ5" i="7"/>
  <c r="NZR5" i="7"/>
  <c r="NZS5" i="7"/>
  <c r="NZT5" i="7"/>
  <c r="NZU5" i="7"/>
  <c r="NZV5" i="7"/>
  <c r="NZW5" i="7"/>
  <c r="NZX5" i="7"/>
  <c r="NZY5" i="7"/>
  <c r="NZZ5" i="7"/>
  <c r="OAA5" i="7"/>
  <c r="OAB5" i="7"/>
  <c r="OAC5" i="7"/>
  <c r="OAD5" i="7"/>
  <c r="OAE5" i="7"/>
  <c r="OAF5" i="7"/>
  <c r="OAG5" i="7"/>
  <c r="OAH5" i="7"/>
  <c r="OAI5" i="7"/>
  <c r="OAJ5" i="7"/>
  <c r="OAK5" i="7"/>
  <c r="OAL5" i="7"/>
  <c r="OAM5" i="7"/>
  <c r="OAN5" i="7"/>
  <c r="OAO5" i="7"/>
  <c r="OAP5" i="7"/>
  <c r="OAQ5" i="7"/>
  <c r="OAR5" i="7"/>
  <c r="OAS5" i="7"/>
  <c r="OAT5" i="7"/>
  <c r="OAU5" i="7"/>
  <c r="OAV5" i="7"/>
  <c r="OAW5" i="7"/>
  <c r="OAX5" i="7"/>
  <c r="OAY5" i="7"/>
  <c r="OAZ5" i="7"/>
  <c r="OBA5" i="7"/>
  <c r="OBB5" i="7"/>
  <c r="OBC5" i="7"/>
  <c r="OBD5" i="7"/>
  <c r="OBE5" i="7"/>
  <c r="OBF5" i="7"/>
  <c r="OBG5" i="7"/>
  <c r="OBH5" i="7"/>
  <c r="OBI5" i="7"/>
  <c r="OBJ5" i="7"/>
  <c r="OBK5" i="7"/>
  <c r="OBL5" i="7"/>
  <c r="OBM5" i="7"/>
  <c r="OBN5" i="7"/>
  <c r="OBO5" i="7"/>
  <c r="OBP5" i="7"/>
  <c r="OBQ5" i="7"/>
  <c r="OBR5" i="7"/>
  <c r="OBS5" i="7"/>
  <c r="OBT5" i="7"/>
  <c r="OBU5" i="7"/>
  <c r="OBV5" i="7"/>
  <c r="OBW5" i="7"/>
  <c r="OBX5" i="7"/>
  <c r="OBY5" i="7"/>
  <c r="OBZ5" i="7"/>
  <c r="OCA5" i="7"/>
  <c r="OCB5" i="7"/>
  <c r="OCC5" i="7"/>
  <c r="OCD5" i="7"/>
  <c r="OCE5" i="7"/>
  <c r="OCF5" i="7"/>
  <c r="OCG5" i="7"/>
  <c r="OCH5" i="7"/>
  <c r="OCI5" i="7"/>
  <c r="OCJ5" i="7"/>
  <c r="OCK5" i="7"/>
  <c r="OCL5" i="7"/>
  <c r="OCM5" i="7"/>
  <c r="OCN5" i="7"/>
  <c r="OCO5" i="7"/>
  <c r="OCP5" i="7"/>
  <c r="OCQ5" i="7"/>
  <c r="OCR5" i="7"/>
  <c r="OCS5" i="7"/>
  <c r="OCT5" i="7"/>
  <c r="OCU5" i="7"/>
  <c r="OCV5" i="7"/>
  <c r="OCW5" i="7"/>
  <c r="OCX5" i="7"/>
  <c r="OCY5" i="7"/>
  <c r="OCZ5" i="7"/>
  <c r="ODA5" i="7"/>
  <c r="ODB5" i="7"/>
  <c r="ODC5" i="7"/>
  <c r="ODD5" i="7"/>
  <c r="ODE5" i="7"/>
  <c r="ODF5" i="7"/>
  <c r="ODG5" i="7"/>
  <c r="ODH5" i="7"/>
  <c r="ODI5" i="7"/>
  <c r="ODJ5" i="7"/>
  <c r="ODK5" i="7"/>
  <c r="ODL5" i="7"/>
  <c r="ODM5" i="7"/>
  <c r="ODN5" i="7"/>
  <c r="ODO5" i="7"/>
  <c r="ODP5" i="7"/>
  <c r="ODQ5" i="7"/>
  <c r="ODR5" i="7"/>
  <c r="ODS5" i="7"/>
  <c r="ODT5" i="7"/>
  <c r="ODU5" i="7"/>
  <c r="ODV5" i="7"/>
  <c r="ODW5" i="7"/>
  <c r="ODX5" i="7"/>
  <c r="ODY5" i="7"/>
  <c r="ODZ5" i="7"/>
  <c r="OEA5" i="7"/>
  <c r="OEB5" i="7"/>
  <c r="OEC5" i="7"/>
  <c r="OED5" i="7"/>
  <c r="OEE5" i="7"/>
  <c r="OEF5" i="7"/>
  <c r="OEG5" i="7"/>
  <c r="OEH5" i="7"/>
  <c r="OEI5" i="7"/>
  <c r="OEJ5" i="7"/>
  <c r="OEK5" i="7"/>
  <c r="OEL5" i="7"/>
  <c r="OEM5" i="7"/>
  <c r="OEN5" i="7"/>
  <c r="OEO5" i="7"/>
  <c r="OEP5" i="7"/>
  <c r="OEQ5" i="7"/>
  <c r="OER5" i="7"/>
  <c r="OES5" i="7"/>
  <c r="OET5" i="7"/>
  <c r="OEU5" i="7"/>
  <c r="OEV5" i="7"/>
  <c r="OEW5" i="7"/>
  <c r="OEX5" i="7"/>
  <c r="OEY5" i="7"/>
  <c r="OEZ5" i="7"/>
  <c r="OFA5" i="7"/>
  <c r="OFB5" i="7"/>
  <c r="OFC5" i="7"/>
  <c r="OFD5" i="7"/>
  <c r="OFE5" i="7"/>
  <c r="OFF5" i="7"/>
  <c r="OFG5" i="7"/>
  <c r="OFH5" i="7"/>
  <c r="OFI5" i="7"/>
  <c r="OFJ5" i="7"/>
  <c r="OFK5" i="7"/>
  <c r="OFL5" i="7"/>
  <c r="OFM5" i="7"/>
  <c r="OFN5" i="7"/>
  <c r="OFO5" i="7"/>
  <c r="OFP5" i="7"/>
  <c r="OFQ5" i="7"/>
  <c r="OFR5" i="7"/>
  <c r="OFS5" i="7"/>
  <c r="OFT5" i="7"/>
  <c r="OFU5" i="7"/>
  <c r="OFV5" i="7"/>
  <c r="OFW5" i="7"/>
  <c r="OFX5" i="7"/>
  <c r="OFY5" i="7"/>
  <c r="OFZ5" i="7"/>
  <c r="OGA5" i="7"/>
  <c r="OGB5" i="7"/>
  <c r="OGC5" i="7"/>
  <c r="OGD5" i="7"/>
  <c r="OGE5" i="7"/>
  <c r="OGF5" i="7"/>
  <c r="OGG5" i="7"/>
  <c r="OGH5" i="7"/>
  <c r="OGI5" i="7"/>
  <c r="OGJ5" i="7"/>
  <c r="OGK5" i="7"/>
  <c r="OGL5" i="7"/>
  <c r="OGM5" i="7"/>
  <c r="OGN5" i="7"/>
  <c r="OGO5" i="7"/>
  <c r="OGP5" i="7"/>
  <c r="OGQ5" i="7"/>
  <c r="OGR5" i="7"/>
  <c r="OGS5" i="7"/>
  <c r="OGT5" i="7"/>
  <c r="OGU5" i="7"/>
  <c r="OGV5" i="7"/>
  <c r="OGW5" i="7"/>
  <c r="OGX5" i="7"/>
  <c r="OGY5" i="7"/>
  <c r="OGZ5" i="7"/>
  <c r="OHA5" i="7"/>
  <c r="OHB5" i="7"/>
  <c r="OHC5" i="7"/>
  <c r="OHD5" i="7"/>
  <c r="OHE5" i="7"/>
  <c r="OHF5" i="7"/>
  <c r="OHG5" i="7"/>
  <c r="OHH5" i="7"/>
  <c r="OHI5" i="7"/>
  <c r="OHJ5" i="7"/>
  <c r="OHK5" i="7"/>
  <c r="OHL5" i="7"/>
  <c r="OHM5" i="7"/>
  <c r="OHN5" i="7"/>
  <c r="OHO5" i="7"/>
  <c r="OHP5" i="7"/>
  <c r="OHQ5" i="7"/>
  <c r="OHR5" i="7"/>
  <c r="OHS5" i="7"/>
  <c r="OHT5" i="7"/>
  <c r="OHU5" i="7"/>
  <c r="OHV5" i="7"/>
  <c r="OHW5" i="7"/>
  <c r="OHX5" i="7"/>
  <c r="OHY5" i="7"/>
  <c r="OHZ5" i="7"/>
  <c r="OIA5" i="7"/>
  <c r="OIB5" i="7"/>
  <c r="OIC5" i="7"/>
  <c r="OID5" i="7"/>
  <c r="OIE5" i="7"/>
  <c r="OIF5" i="7"/>
  <c r="OIG5" i="7"/>
  <c r="OIH5" i="7"/>
  <c r="OII5" i="7"/>
  <c r="OIJ5" i="7"/>
  <c r="OIK5" i="7"/>
  <c r="OIL5" i="7"/>
  <c r="OIM5" i="7"/>
  <c r="OIN5" i="7"/>
  <c r="OIO5" i="7"/>
  <c r="OIP5" i="7"/>
  <c r="OIQ5" i="7"/>
  <c r="OIR5" i="7"/>
  <c r="OIS5" i="7"/>
  <c r="OIT5" i="7"/>
  <c r="OIU5" i="7"/>
  <c r="OIV5" i="7"/>
  <c r="OIW5" i="7"/>
  <c r="OIX5" i="7"/>
  <c r="OIY5" i="7"/>
  <c r="OIZ5" i="7"/>
  <c r="OJA5" i="7"/>
  <c r="OJB5" i="7"/>
  <c r="OJC5" i="7"/>
  <c r="OJD5" i="7"/>
  <c r="OJE5" i="7"/>
  <c r="OJF5" i="7"/>
  <c r="OJG5" i="7"/>
  <c r="OJH5" i="7"/>
  <c r="OJI5" i="7"/>
  <c r="OJJ5" i="7"/>
  <c r="OJK5" i="7"/>
  <c r="OJL5" i="7"/>
  <c r="OJM5" i="7"/>
  <c r="OJN5" i="7"/>
  <c r="OJO5" i="7"/>
  <c r="OJP5" i="7"/>
  <c r="OJQ5" i="7"/>
  <c r="OJR5" i="7"/>
  <c r="OJS5" i="7"/>
  <c r="OJT5" i="7"/>
  <c r="OJU5" i="7"/>
  <c r="OJV5" i="7"/>
  <c r="OJW5" i="7"/>
  <c r="OJX5" i="7"/>
  <c r="OJY5" i="7"/>
  <c r="OJZ5" i="7"/>
  <c r="OKA5" i="7"/>
  <c r="OKB5" i="7"/>
  <c r="OKC5" i="7"/>
  <c r="OKD5" i="7"/>
  <c r="OKE5" i="7"/>
  <c r="OKF5" i="7"/>
  <c r="OKG5" i="7"/>
  <c r="OKH5" i="7"/>
  <c r="OKI5" i="7"/>
  <c r="OKJ5" i="7"/>
  <c r="OKK5" i="7"/>
  <c r="OKL5" i="7"/>
  <c r="OKM5" i="7"/>
  <c r="OKN5" i="7"/>
  <c r="OKO5" i="7"/>
  <c r="OKP5" i="7"/>
  <c r="OKQ5" i="7"/>
  <c r="OKR5" i="7"/>
  <c r="OKS5" i="7"/>
  <c r="OKT5" i="7"/>
  <c r="OKU5" i="7"/>
  <c r="OKV5" i="7"/>
  <c r="OKW5" i="7"/>
  <c r="OKX5" i="7"/>
  <c r="OKY5" i="7"/>
  <c r="OKZ5" i="7"/>
  <c r="OLA5" i="7"/>
  <c r="OLB5" i="7"/>
  <c r="OLC5" i="7"/>
  <c r="OLD5" i="7"/>
  <c r="OLE5" i="7"/>
  <c r="OLF5" i="7"/>
  <c r="OLG5" i="7"/>
  <c r="OLH5" i="7"/>
  <c r="OLI5" i="7"/>
  <c r="OLJ5" i="7"/>
  <c r="OLK5" i="7"/>
  <c r="OLL5" i="7"/>
  <c r="OLM5" i="7"/>
  <c r="OLN5" i="7"/>
  <c r="OLO5" i="7"/>
  <c r="OLP5" i="7"/>
  <c r="OLQ5" i="7"/>
  <c r="OLR5" i="7"/>
  <c r="OLS5" i="7"/>
  <c r="OLT5" i="7"/>
  <c r="OLU5" i="7"/>
  <c r="OLV5" i="7"/>
  <c r="OLW5" i="7"/>
  <c r="OLX5" i="7"/>
  <c r="OLY5" i="7"/>
  <c r="OLZ5" i="7"/>
  <c r="OMA5" i="7"/>
  <c r="OMB5" i="7"/>
  <c r="OMC5" i="7"/>
  <c r="OMD5" i="7"/>
  <c r="OME5" i="7"/>
  <c r="OMF5" i="7"/>
  <c r="OMG5" i="7"/>
  <c r="OMH5" i="7"/>
  <c r="OMI5" i="7"/>
  <c r="OMJ5" i="7"/>
  <c r="OMK5" i="7"/>
  <c r="OML5" i="7"/>
  <c r="OMM5" i="7"/>
  <c r="OMN5" i="7"/>
  <c r="OMO5" i="7"/>
  <c r="OMP5" i="7"/>
  <c r="OMQ5" i="7"/>
  <c r="OMR5" i="7"/>
  <c r="OMS5" i="7"/>
  <c r="OMT5" i="7"/>
  <c r="OMU5" i="7"/>
  <c r="OMV5" i="7"/>
  <c r="OMW5" i="7"/>
  <c r="OMX5" i="7"/>
  <c r="OMY5" i="7"/>
  <c r="OMZ5" i="7"/>
  <c r="ONA5" i="7"/>
  <c r="ONB5" i="7"/>
  <c r="ONC5" i="7"/>
  <c r="OND5" i="7"/>
  <c r="ONE5" i="7"/>
  <c r="ONF5" i="7"/>
  <c r="ONG5" i="7"/>
  <c r="ONH5" i="7"/>
  <c r="ONI5" i="7"/>
  <c r="ONJ5" i="7"/>
  <c r="ONK5" i="7"/>
  <c r="ONL5" i="7"/>
  <c r="ONM5" i="7"/>
  <c r="ONN5" i="7"/>
  <c r="ONO5" i="7"/>
  <c r="ONP5" i="7"/>
  <c r="ONQ5" i="7"/>
  <c r="ONR5" i="7"/>
  <c r="ONS5" i="7"/>
  <c r="ONT5" i="7"/>
  <c r="ONU5" i="7"/>
  <c r="ONV5" i="7"/>
  <c r="ONW5" i="7"/>
  <c r="ONX5" i="7"/>
  <c r="ONY5" i="7"/>
  <c r="ONZ5" i="7"/>
  <c r="OOA5" i="7"/>
  <c r="OOB5" i="7"/>
  <c r="OOC5" i="7"/>
  <c r="OOD5" i="7"/>
  <c r="OOE5" i="7"/>
  <c r="OOF5" i="7"/>
  <c r="OOG5" i="7"/>
  <c r="OOH5" i="7"/>
  <c r="OOI5" i="7"/>
  <c r="OOJ5" i="7"/>
  <c r="OOK5" i="7"/>
  <c r="OOL5" i="7"/>
  <c r="OOM5" i="7"/>
  <c r="OON5" i="7"/>
  <c r="OOO5" i="7"/>
  <c r="OOP5" i="7"/>
  <c r="OOQ5" i="7"/>
  <c r="OOR5" i="7"/>
  <c r="OOS5" i="7"/>
  <c r="OOT5" i="7"/>
  <c r="OOU5" i="7"/>
  <c r="OOV5" i="7"/>
  <c r="OOW5" i="7"/>
  <c r="OOX5" i="7"/>
  <c r="OOY5" i="7"/>
  <c r="OOZ5" i="7"/>
  <c r="OPA5" i="7"/>
  <c r="OPB5" i="7"/>
  <c r="OPC5" i="7"/>
  <c r="OPD5" i="7"/>
  <c r="OPE5" i="7"/>
  <c r="OPF5" i="7"/>
  <c r="OPG5" i="7"/>
  <c r="OPH5" i="7"/>
  <c r="OPI5" i="7"/>
  <c r="OPJ5" i="7"/>
  <c r="OPK5" i="7"/>
  <c r="OPL5" i="7"/>
  <c r="OPM5" i="7"/>
  <c r="OPN5" i="7"/>
  <c r="OPO5" i="7"/>
  <c r="OPP5" i="7"/>
  <c r="OPQ5" i="7"/>
  <c r="OPR5" i="7"/>
  <c r="OPS5" i="7"/>
  <c r="OPT5" i="7"/>
  <c r="OPU5" i="7"/>
  <c r="OPV5" i="7"/>
  <c r="OPW5" i="7"/>
  <c r="OPX5" i="7"/>
  <c r="OPY5" i="7"/>
  <c r="OPZ5" i="7"/>
  <c r="OQA5" i="7"/>
  <c r="OQB5" i="7"/>
  <c r="OQC5" i="7"/>
  <c r="OQD5" i="7"/>
  <c r="OQE5" i="7"/>
  <c r="OQF5" i="7"/>
  <c r="OQG5" i="7"/>
  <c r="OQH5" i="7"/>
  <c r="OQI5" i="7"/>
  <c r="OQJ5" i="7"/>
  <c r="OQK5" i="7"/>
  <c r="OQL5" i="7"/>
  <c r="OQM5" i="7"/>
  <c r="OQN5" i="7"/>
  <c r="OQO5" i="7"/>
  <c r="OQP5" i="7"/>
  <c r="OQQ5" i="7"/>
  <c r="OQR5" i="7"/>
  <c r="OQS5" i="7"/>
  <c r="OQT5" i="7"/>
  <c r="OQU5" i="7"/>
  <c r="OQV5" i="7"/>
  <c r="OQW5" i="7"/>
  <c r="OQX5" i="7"/>
  <c r="OQY5" i="7"/>
  <c r="OQZ5" i="7"/>
  <c r="ORA5" i="7"/>
  <c r="ORB5" i="7"/>
  <c r="ORC5" i="7"/>
  <c r="ORD5" i="7"/>
  <c r="ORE5" i="7"/>
  <c r="ORF5" i="7"/>
  <c r="ORG5" i="7"/>
  <c r="ORH5" i="7"/>
  <c r="ORI5" i="7"/>
  <c r="ORJ5" i="7"/>
  <c r="ORK5" i="7"/>
  <c r="ORL5" i="7"/>
  <c r="ORM5" i="7"/>
  <c r="ORN5" i="7"/>
  <c r="ORO5" i="7"/>
  <c r="ORP5" i="7"/>
  <c r="ORQ5" i="7"/>
  <c r="ORR5" i="7"/>
  <c r="ORS5" i="7"/>
  <c r="ORT5" i="7"/>
  <c r="ORU5" i="7"/>
  <c r="ORV5" i="7"/>
  <c r="ORW5" i="7"/>
  <c r="ORX5" i="7"/>
  <c r="ORY5" i="7"/>
  <c r="ORZ5" i="7"/>
  <c r="OSA5" i="7"/>
  <c r="OSB5" i="7"/>
  <c r="OSC5" i="7"/>
  <c r="OSD5" i="7"/>
  <c r="OSE5" i="7"/>
  <c r="OSF5" i="7"/>
  <c r="OSG5" i="7"/>
  <c r="OSH5" i="7"/>
  <c r="OSI5" i="7"/>
  <c r="OSJ5" i="7"/>
  <c r="OSK5" i="7"/>
  <c r="OSL5" i="7"/>
  <c r="OSM5" i="7"/>
  <c r="OSN5" i="7"/>
  <c r="OSO5" i="7"/>
  <c r="OSP5" i="7"/>
  <c r="OSQ5" i="7"/>
  <c r="OSR5" i="7"/>
  <c r="OSS5" i="7"/>
  <c r="OST5" i="7"/>
  <c r="OSU5" i="7"/>
  <c r="OSV5" i="7"/>
  <c r="OSW5" i="7"/>
  <c r="OSX5" i="7"/>
  <c r="OSY5" i="7"/>
  <c r="OSZ5" i="7"/>
  <c r="OTA5" i="7"/>
  <c r="OTB5" i="7"/>
  <c r="OTC5" i="7"/>
  <c r="OTD5" i="7"/>
  <c r="OTE5" i="7"/>
  <c r="OTF5" i="7"/>
  <c r="OTG5" i="7"/>
  <c r="OTH5" i="7"/>
  <c r="OTI5" i="7"/>
  <c r="OTJ5" i="7"/>
  <c r="OTK5" i="7"/>
  <c r="OTL5" i="7"/>
  <c r="OTM5" i="7"/>
  <c r="OTN5" i="7"/>
  <c r="OTO5" i="7"/>
  <c r="OTP5" i="7"/>
  <c r="OTQ5" i="7"/>
  <c r="OTR5" i="7"/>
  <c r="OTS5" i="7"/>
  <c r="OTT5" i="7"/>
  <c r="OTU5" i="7"/>
  <c r="OTV5" i="7"/>
  <c r="OTW5" i="7"/>
  <c r="OTX5" i="7"/>
  <c r="OTY5" i="7"/>
  <c r="OTZ5" i="7"/>
  <c r="OUA5" i="7"/>
  <c r="OUB5" i="7"/>
  <c r="OUC5" i="7"/>
  <c r="OUD5" i="7"/>
  <c r="OUE5" i="7"/>
  <c r="OUF5" i="7"/>
  <c r="OUG5" i="7"/>
  <c r="OUH5" i="7"/>
  <c r="OUI5" i="7"/>
  <c r="OUJ5" i="7"/>
  <c r="OUK5" i="7"/>
  <c r="OUL5" i="7"/>
  <c r="OUM5" i="7"/>
  <c r="OUN5" i="7"/>
  <c r="OUO5" i="7"/>
  <c r="OUP5" i="7"/>
  <c r="OUQ5" i="7"/>
  <c r="OUR5" i="7"/>
  <c r="OUS5" i="7"/>
  <c r="OUT5" i="7"/>
  <c r="OUU5" i="7"/>
  <c r="OUV5" i="7"/>
  <c r="OUW5" i="7"/>
  <c r="OUX5" i="7"/>
  <c r="OUY5" i="7"/>
  <c r="OUZ5" i="7"/>
  <c r="OVA5" i="7"/>
  <c r="OVB5" i="7"/>
  <c r="OVC5" i="7"/>
  <c r="OVD5" i="7"/>
  <c r="OVE5" i="7"/>
  <c r="OVF5" i="7"/>
  <c r="OVG5" i="7"/>
  <c r="OVH5" i="7"/>
  <c r="OVI5" i="7"/>
  <c r="OVJ5" i="7"/>
  <c r="OVK5" i="7"/>
  <c r="OVL5" i="7"/>
  <c r="OVM5" i="7"/>
  <c r="OVN5" i="7"/>
  <c r="OVO5" i="7"/>
  <c r="OVP5" i="7"/>
  <c r="OVQ5" i="7"/>
  <c r="OVR5" i="7"/>
  <c r="OVS5" i="7"/>
  <c r="OVT5" i="7"/>
  <c r="OVU5" i="7"/>
  <c r="OVV5" i="7"/>
  <c r="OVW5" i="7"/>
  <c r="OVX5" i="7"/>
  <c r="OVY5" i="7"/>
  <c r="OVZ5" i="7"/>
  <c r="OWA5" i="7"/>
  <c r="OWB5" i="7"/>
  <c r="OWC5" i="7"/>
  <c r="OWD5" i="7"/>
  <c r="OWE5" i="7"/>
  <c r="OWF5" i="7"/>
  <c r="OWG5" i="7"/>
  <c r="OWH5" i="7"/>
  <c r="OWI5" i="7"/>
  <c r="OWJ5" i="7"/>
  <c r="OWK5" i="7"/>
  <c r="OWL5" i="7"/>
  <c r="OWM5" i="7"/>
  <c r="OWN5" i="7"/>
  <c r="OWO5" i="7"/>
  <c r="OWP5" i="7"/>
  <c r="OWQ5" i="7"/>
  <c r="OWR5" i="7"/>
  <c r="OWS5" i="7"/>
  <c r="OWT5" i="7"/>
  <c r="OWU5" i="7"/>
  <c r="OWV5" i="7"/>
  <c r="OWW5" i="7"/>
  <c r="OWX5" i="7"/>
  <c r="OWY5" i="7"/>
  <c r="OWZ5" i="7"/>
  <c r="OXA5" i="7"/>
  <c r="OXB5" i="7"/>
  <c r="OXC5" i="7"/>
  <c r="OXD5" i="7"/>
  <c r="OXE5" i="7"/>
  <c r="OXF5" i="7"/>
  <c r="OXG5" i="7"/>
  <c r="OXH5" i="7"/>
  <c r="OXI5" i="7"/>
  <c r="OXJ5" i="7"/>
  <c r="OXK5" i="7"/>
  <c r="OXL5" i="7"/>
  <c r="OXM5" i="7"/>
  <c r="OXN5" i="7"/>
  <c r="OXO5" i="7"/>
  <c r="OXP5" i="7"/>
  <c r="OXQ5" i="7"/>
  <c r="OXR5" i="7"/>
  <c r="OXS5" i="7"/>
  <c r="OXT5" i="7"/>
  <c r="OXU5" i="7"/>
  <c r="OXV5" i="7"/>
  <c r="OXW5" i="7"/>
  <c r="OXX5" i="7"/>
  <c r="OXY5" i="7"/>
  <c r="OXZ5" i="7"/>
  <c r="OYA5" i="7"/>
  <c r="OYB5" i="7"/>
  <c r="OYC5" i="7"/>
  <c r="OYD5" i="7"/>
  <c r="OYE5" i="7"/>
  <c r="OYF5" i="7"/>
  <c r="OYG5" i="7"/>
  <c r="OYH5" i="7"/>
  <c r="OYI5" i="7"/>
  <c r="OYJ5" i="7"/>
  <c r="OYK5" i="7"/>
  <c r="OYL5" i="7"/>
  <c r="OYM5" i="7"/>
  <c r="OYN5" i="7"/>
  <c r="OYO5" i="7"/>
  <c r="OYP5" i="7"/>
  <c r="OYQ5" i="7"/>
  <c r="OYR5" i="7"/>
  <c r="OYS5" i="7"/>
  <c r="OYT5" i="7"/>
  <c r="OYU5" i="7"/>
  <c r="OYV5" i="7"/>
  <c r="OYW5" i="7"/>
  <c r="OYX5" i="7"/>
  <c r="OYY5" i="7"/>
  <c r="OYZ5" i="7"/>
  <c r="OZA5" i="7"/>
  <c r="OZB5" i="7"/>
  <c r="OZC5" i="7"/>
  <c r="OZD5" i="7"/>
  <c r="OZE5" i="7"/>
  <c r="OZF5" i="7"/>
  <c r="OZG5" i="7"/>
  <c r="OZH5" i="7"/>
  <c r="OZI5" i="7"/>
  <c r="OZJ5" i="7"/>
  <c r="OZK5" i="7"/>
  <c r="OZL5" i="7"/>
  <c r="OZM5" i="7"/>
  <c r="OZN5" i="7"/>
  <c r="OZO5" i="7"/>
  <c r="OZP5" i="7"/>
  <c r="OZQ5" i="7"/>
  <c r="OZR5" i="7"/>
  <c r="OZS5" i="7"/>
  <c r="OZT5" i="7"/>
  <c r="OZU5" i="7"/>
  <c r="OZV5" i="7"/>
  <c r="OZW5" i="7"/>
  <c r="OZX5" i="7"/>
  <c r="OZY5" i="7"/>
  <c r="OZZ5" i="7"/>
  <c r="PAA5" i="7"/>
  <c r="PAB5" i="7"/>
  <c r="PAC5" i="7"/>
  <c r="PAD5" i="7"/>
  <c r="PAE5" i="7"/>
  <c r="PAF5" i="7"/>
  <c r="PAG5" i="7"/>
  <c r="PAH5" i="7"/>
  <c r="PAI5" i="7"/>
  <c r="PAJ5" i="7"/>
  <c r="PAK5" i="7"/>
  <c r="PAL5" i="7"/>
  <c r="PAM5" i="7"/>
  <c r="PAN5" i="7"/>
  <c r="PAO5" i="7"/>
  <c r="PAP5" i="7"/>
  <c r="PAQ5" i="7"/>
  <c r="PAR5" i="7"/>
  <c r="PAS5" i="7"/>
  <c r="PAT5" i="7"/>
  <c r="PAU5" i="7"/>
  <c r="PAV5" i="7"/>
  <c r="PAW5" i="7"/>
  <c r="PAX5" i="7"/>
  <c r="PAY5" i="7"/>
  <c r="PAZ5" i="7"/>
  <c r="PBA5" i="7"/>
  <c r="PBB5" i="7"/>
  <c r="PBC5" i="7"/>
  <c r="PBD5" i="7"/>
  <c r="PBE5" i="7"/>
  <c r="PBF5" i="7"/>
  <c r="PBG5" i="7"/>
  <c r="PBH5" i="7"/>
  <c r="PBI5" i="7"/>
  <c r="PBJ5" i="7"/>
  <c r="PBK5" i="7"/>
  <c r="PBL5" i="7"/>
  <c r="PBM5" i="7"/>
  <c r="PBN5" i="7"/>
  <c r="PBO5" i="7"/>
  <c r="PBP5" i="7"/>
  <c r="PBQ5" i="7"/>
  <c r="PBR5" i="7"/>
  <c r="PBS5" i="7"/>
  <c r="PBT5" i="7"/>
  <c r="PBU5" i="7"/>
  <c r="PBV5" i="7"/>
  <c r="PBW5" i="7"/>
  <c r="PBX5" i="7"/>
  <c r="PBY5" i="7"/>
  <c r="PBZ5" i="7"/>
  <c r="PCA5" i="7"/>
  <c r="PCB5" i="7"/>
  <c r="PCC5" i="7"/>
  <c r="PCD5" i="7"/>
  <c r="PCE5" i="7"/>
  <c r="PCF5" i="7"/>
  <c r="PCG5" i="7"/>
  <c r="PCH5" i="7"/>
  <c r="PCI5" i="7"/>
  <c r="PCJ5" i="7"/>
  <c r="PCK5" i="7"/>
  <c r="PCL5" i="7"/>
  <c r="PCM5" i="7"/>
  <c r="PCN5" i="7"/>
  <c r="PCO5" i="7"/>
  <c r="PCP5" i="7"/>
  <c r="PCQ5" i="7"/>
  <c r="PCR5" i="7"/>
  <c r="PCS5" i="7"/>
  <c r="PCT5" i="7"/>
  <c r="PCU5" i="7"/>
  <c r="PCV5" i="7"/>
  <c r="PCW5" i="7"/>
  <c r="PCX5" i="7"/>
  <c r="PCY5" i="7"/>
  <c r="PCZ5" i="7"/>
  <c r="PDA5" i="7"/>
  <c r="PDB5" i="7"/>
  <c r="PDC5" i="7"/>
  <c r="PDD5" i="7"/>
  <c r="PDE5" i="7"/>
  <c r="PDF5" i="7"/>
  <c r="PDG5" i="7"/>
  <c r="PDH5" i="7"/>
  <c r="PDI5" i="7"/>
  <c r="PDJ5" i="7"/>
  <c r="PDK5" i="7"/>
  <c r="PDL5" i="7"/>
  <c r="PDM5" i="7"/>
  <c r="PDN5" i="7"/>
  <c r="PDO5" i="7"/>
  <c r="PDP5" i="7"/>
  <c r="PDQ5" i="7"/>
  <c r="PDR5" i="7"/>
  <c r="PDS5" i="7"/>
  <c r="PDT5" i="7"/>
  <c r="PDU5" i="7"/>
  <c r="PDV5" i="7"/>
  <c r="PDW5" i="7"/>
  <c r="PDX5" i="7"/>
  <c r="PDY5" i="7"/>
  <c r="PDZ5" i="7"/>
  <c r="PEA5" i="7"/>
  <c r="PEB5" i="7"/>
  <c r="PEC5" i="7"/>
  <c r="PED5" i="7"/>
  <c r="PEE5" i="7"/>
  <c r="PEF5" i="7"/>
  <c r="PEG5" i="7"/>
  <c r="PEH5" i="7"/>
  <c r="PEI5" i="7"/>
  <c r="PEJ5" i="7"/>
  <c r="PEK5" i="7"/>
  <c r="PEL5" i="7"/>
  <c r="PEM5" i="7"/>
  <c r="PEN5" i="7"/>
  <c r="PEO5" i="7"/>
  <c r="PEP5" i="7"/>
  <c r="PEQ5" i="7"/>
  <c r="PER5" i="7"/>
  <c r="PES5" i="7"/>
  <c r="PET5" i="7"/>
  <c r="PEU5" i="7"/>
  <c r="PEV5" i="7"/>
  <c r="PEW5" i="7"/>
  <c r="PEX5" i="7"/>
  <c r="PEY5" i="7"/>
  <c r="PEZ5" i="7"/>
  <c r="PFA5" i="7"/>
  <c r="PFB5" i="7"/>
  <c r="PFC5" i="7"/>
  <c r="PFD5" i="7"/>
  <c r="PFE5" i="7"/>
  <c r="PFF5" i="7"/>
  <c r="PFG5" i="7"/>
  <c r="PFH5" i="7"/>
  <c r="PFI5" i="7"/>
  <c r="PFJ5" i="7"/>
  <c r="PFK5" i="7"/>
  <c r="PFL5" i="7"/>
  <c r="PFM5" i="7"/>
  <c r="PFN5" i="7"/>
  <c r="PFO5" i="7"/>
  <c r="PFP5" i="7"/>
  <c r="PFQ5" i="7"/>
  <c r="PFR5" i="7"/>
  <c r="PFS5" i="7"/>
  <c r="PFT5" i="7"/>
  <c r="PFU5" i="7"/>
  <c r="PFV5" i="7"/>
  <c r="PFW5" i="7"/>
  <c r="PFX5" i="7"/>
  <c r="PFY5" i="7"/>
  <c r="PFZ5" i="7"/>
  <c r="PGA5" i="7"/>
  <c r="PGB5" i="7"/>
  <c r="PGC5" i="7"/>
  <c r="PGD5" i="7"/>
  <c r="PGE5" i="7"/>
  <c r="PGF5" i="7"/>
  <c r="PGG5" i="7"/>
  <c r="PGH5" i="7"/>
  <c r="PGI5" i="7"/>
  <c r="PGJ5" i="7"/>
  <c r="PGK5" i="7"/>
  <c r="PGL5" i="7"/>
  <c r="PGM5" i="7"/>
  <c r="PGN5" i="7"/>
  <c r="PGO5" i="7"/>
  <c r="PGP5" i="7"/>
  <c r="PGQ5" i="7"/>
  <c r="PGR5" i="7"/>
  <c r="PGS5" i="7"/>
  <c r="PGT5" i="7"/>
  <c r="PGU5" i="7"/>
  <c r="PGV5" i="7"/>
  <c r="PGW5" i="7"/>
  <c r="PGX5" i="7"/>
  <c r="PGY5" i="7"/>
  <c r="PGZ5" i="7"/>
  <c r="PHA5" i="7"/>
  <c r="PHB5" i="7"/>
  <c r="PHC5" i="7"/>
  <c r="PHD5" i="7"/>
  <c r="PHE5" i="7"/>
  <c r="PHF5" i="7"/>
  <c r="PHG5" i="7"/>
  <c r="PHH5" i="7"/>
  <c r="PHI5" i="7"/>
  <c r="PHJ5" i="7"/>
  <c r="PHK5" i="7"/>
  <c r="PHL5" i="7"/>
  <c r="PHM5" i="7"/>
  <c r="PHN5" i="7"/>
  <c r="PHO5" i="7"/>
  <c r="PHP5" i="7"/>
  <c r="PHQ5" i="7"/>
  <c r="PHR5" i="7"/>
  <c r="PHS5" i="7"/>
  <c r="PHT5" i="7"/>
  <c r="PHU5" i="7"/>
  <c r="PHV5" i="7"/>
  <c r="PHW5" i="7"/>
  <c r="PHX5" i="7"/>
  <c r="PHY5" i="7"/>
  <c r="PHZ5" i="7"/>
  <c r="PIA5" i="7"/>
  <c r="PIB5" i="7"/>
  <c r="PIC5" i="7"/>
  <c r="PID5" i="7"/>
  <c r="PIE5" i="7"/>
  <c r="PIF5" i="7"/>
  <c r="PIG5" i="7"/>
  <c r="PIH5" i="7"/>
  <c r="PII5" i="7"/>
  <c r="PIJ5" i="7"/>
  <c r="PIK5" i="7"/>
  <c r="PIL5" i="7"/>
  <c r="PIM5" i="7"/>
  <c r="PIN5" i="7"/>
  <c r="PIO5" i="7"/>
  <c r="PIP5" i="7"/>
  <c r="PIQ5" i="7"/>
  <c r="PIR5" i="7"/>
  <c r="PIS5" i="7"/>
  <c r="PIT5" i="7"/>
  <c r="PIU5" i="7"/>
  <c r="PIV5" i="7"/>
  <c r="PIW5" i="7"/>
  <c r="PIX5" i="7"/>
  <c r="PIY5" i="7"/>
  <c r="PIZ5" i="7"/>
  <c r="PJA5" i="7"/>
  <c r="PJB5" i="7"/>
  <c r="PJC5" i="7"/>
  <c r="PJD5" i="7"/>
  <c r="PJE5" i="7"/>
  <c r="PJF5" i="7"/>
  <c r="PJG5" i="7"/>
  <c r="PJH5" i="7"/>
  <c r="PJI5" i="7"/>
  <c r="PJJ5" i="7"/>
  <c r="PJK5" i="7"/>
  <c r="PJL5" i="7"/>
  <c r="PJM5" i="7"/>
  <c r="PJN5" i="7"/>
  <c r="PJO5" i="7"/>
  <c r="PJP5" i="7"/>
  <c r="PJQ5" i="7"/>
  <c r="PJR5" i="7"/>
  <c r="PJS5" i="7"/>
  <c r="PJT5" i="7"/>
  <c r="PJU5" i="7"/>
  <c r="PJV5" i="7"/>
  <c r="PJW5" i="7"/>
  <c r="PJX5" i="7"/>
  <c r="PJY5" i="7"/>
  <c r="PJZ5" i="7"/>
  <c r="PKA5" i="7"/>
  <c r="PKB5" i="7"/>
  <c r="PKC5" i="7"/>
  <c r="PKD5" i="7"/>
  <c r="PKE5" i="7"/>
  <c r="PKF5" i="7"/>
  <c r="PKG5" i="7"/>
  <c r="PKH5" i="7"/>
  <c r="PKI5" i="7"/>
  <c r="PKJ5" i="7"/>
  <c r="PKK5" i="7"/>
  <c r="PKL5" i="7"/>
  <c r="PKM5" i="7"/>
  <c r="PKN5" i="7"/>
  <c r="PKO5" i="7"/>
  <c r="PKP5" i="7"/>
  <c r="PKQ5" i="7"/>
  <c r="PKR5" i="7"/>
  <c r="PKS5" i="7"/>
  <c r="PKT5" i="7"/>
  <c r="PKU5" i="7"/>
  <c r="PKV5" i="7"/>
  <c r="PKW5" i="7"/>
  <c r="PKX5" i="7"/>
  <c r="PKY5" i="7"/>
  <c r="PKZ5" i="7"/>
  <c r="PLA5" i="7"/>
  <c r="PLB5" i="7"/>
  <c r="PLC5" i="7"/>
  <c r="PLD5" i="7"/>
  <c r="PLE5" i="7"/>
  <c r="PLF5" i="7"/>
  <c r="PLG5" i="7"/>
  <c r="PLH5" i="7"/>
  <c r="PLI5" i="7"/>
  <c r="PLJ5" i="7"/>
  <c r="PLK5" i="7"/>
  <c r="PLL5" i="7"/>
  <c r="PLM5" i="7"/>
  <c r="PLN5" i="7"/>
  <c r="PLO5" i="7"/>
  <c r="PLP5" i="7"/>
  <c r="PLQ5" i="7"/>
  <c r="PLR5" i="7"/>
  <c r="PLS5" i="7"/>
  <c r="PLT5" i="7"/>
  <c r="PLU5" i="7"/>
  <c r="PLV5" i="7"/>
  <c r="PLW5" i="7"/>
  <c r="PLX5" i="7"/>
  <c r="PLY5" i="7"/>
  <c r="PLZ5" i="7"/>
  <c r="PMA5" i="7"/>
  <c r="PMB5" i="7"/>
  <c r="PMC5" i="7"/>
  <c r="PMD5" i="7"/>
  <c r="PME5" i="7"/>
  <c r="PMF5" i="7"/>
  <c r="PMG5" i="7"/>
  <c r="PMH5" i="7"/>
  <c r="PMI5" i="7"/>
  <c r="PMJ5" i="7"/>
  <c r="PMK5" i="7"/>
  <c r="PML5" i="7"/>
  <c r="PMM5" i="7"/>
  <c r="PMN5" i="7"/>
  <c r="PMO5" i="7"/>
  <c r="PMP5" i="7"/>
  <c r="PMQ5" i="7"/>
  <c r="PMR5" i="7"/>
  <c r="PMS5" i="7"/>
  <c r="PMT5" i="7"/>
  <c r="PMU5" i="7"/>
  <c r="PMV5" i="7"/>
  <c r="PMW5" i="7"/>
  <c r="PMX5" i="7"/>
  <c r="PMY5" i="7"/>
  <c r="PMZ5" i="7"/>
  <c r="PNA5" i="7"/>
  <c r="PNB5" i="7"/>
  <c r="PNC5" i="7"/>
  <c r="PND5" i="7"/>
  <c r="PNE5" i="7"/>
  <c r="PNF5" i="7"/>
  <c r="PNG5" i="7"/>
  <c r="PNH5" i="7"/>
  <c r="PNI5" i="7"/>
  <c r="PNJ5" i="7"/>
  <c r="PNK5" i="7"/>
  <c r="PNL5" i="7"/>
  <c r="PNM5" i="7"/>
  <c r="PNN5" i="7"/>
  <c r="PNO5" i="7"/>
  <c r="PNP5" i="7"/>
  <c r="PNQ5" i="7"/>
  <c r="PNR5" i="7"/>
  <c r="PNS5" i="7"/>
  <c r="PNT5" i="7"/>
  <c r="PNU5" i="7"/>
  <c r="PNV5" i="7"/>
  <c r="PNW5" i="7"/>
  <c r="PNX5" i="7"/>
  <c r="PNY5" i="7"/>
  <c r="PNZ5" i="7"/>
  <c r="POA5" i="7"/>
  <c r="POB5" i="7"/>
  <c r="POC5" i="7"/>
  <c r="POD5" i="7"/>
  <c r="POE5" i="7"/>
  <c r="POF5" i="7"/>
  <c r="POG5" i="7"/>
  <c r="POH5" i="7"/>
  <c r="POI5" i="7"/>
  <c r="POJ5" i="7"/>
  <c r="POK5" i="7"/>
  <c r="POL5" i="7"/>
  <c r="POM5" i="7"/>
  <c r="PON5" i="7"/>
  <c r="POO5" i="7"/>
  <c r="POP5" i="7"/>
  <c r="POQ5" i="7"/>
  <c r="POR5" i="7"/>
  <c r="POS5" i="7"/>
  <c r="POT5" i="7"/>
  <c r="POU5" i="7"/>
  <c r="POV5" i="7"/>
  <c r="POW5" i="7"/>
  <c r="POX5" i="7"/>
  <c r="POY5" i="7"/>
  <c r="POZ5" i="7"/>
  <c r="PPA5" i="7"/>
  <c r="PPB5" i="7"/>
  <c r="PPC5" i="7"/>
  <c r="PPD5" i="7"/>
  <c r="PPE5" i="7"/>
  <c r="PPF5" i="7"/>
  <c r="PPG5" i="7"/>
  <c r="PPH5" i="7"/>
  <c r="PPI5" i="7"/>
  <c r="PPJ5" i="7"/>
  <c r="PPK5" i="7"/>
  <c r="PPL5" i="7"/>
  <c r="PPM5" i="7"/>
  <c r="PPN5" i="7"/>
  <c r="PPO5" i="7"/>
  <c r="PPP5" i="7"/>
  <c r="PPQ5" i="7"/>
  <c r="PPR5" i="7"/>
  <c r="PPS5" i="7"/>
  <c r="PPT5" i="7"/>
  <c r="PPU5" i="7"/>
  <c r="PPV5" i="7"/>
  <c r="PPW5" i="7"/>
  <c r="PPX5" i="7"/>
  <c r="PPY5" i="7"/>
  <c r="PPZ5" i="7"/>
  <c r="PQA5" i="7"/>
  <c r="PQB5" i="7"/>
  <c r="PQC5" i="7"/>
  <c r="PQD5" i="7"/>
  <c r="PQE5" i="7"/>
  <c r="PQF5" i="7"/>
  <c r="PQG5" i="7"/>
  <c r="PQH5" i="7"/>
  <c r="PQI5" i="7"/>
  <c r="PQJ5" i="7"/>
  <c r="PQK5" i="7"/>
  <c r="PQL5" i="7"/>
  <c r="PQM5" i="7"/>
  <c r="PQN5" i="7"/>
  <c r="PQO5" i="7"/>
  <c r="PQP5" i="7"/>
  <c r="PQQ5" i="7"/>
  <c r="PQR5" i="7"/>
  <c r="PQS5" i="7"/>
  <c r="PQT5" i="7"/>
  <c r="PQU5" i="7"/>
  <c r="PQV5" i="7"/>
  <c r="PQW5" i="7"/>
  <c r="PQX5" i="7"/>
  <c r="PQY5" i="7"/>
  <c r="PQZ5" i="7"/>
  <c r="PRA5" i="7"/>
  <c r="PRB5" i="7"/>
  <c r="PRC5" i="7"/>
  <c r="PRD5" i="7"/>
  <c r="PRE5" i="7"/>
  <c r="PRF5" i="7"/>
  <c r="PRG5" i="7"/>
  <c r="PRH5" i="7"/>
  <c r="PRI5" i="7"/>
  <c r="PRJ5" i="7"/>
  <c r="PRK5" i="7"/>
  <c r="PRL5" i="7"/>
  <c r="PRM5" i="7"/>
  <c r="PRN5" i="7"/>
  <c r="PRO5" i="7"/>
  <c r="PRP5" i="7"/>
  <c r="PRQ5" i="7"/>
  <c r="PRR5" i="7"/>
  <c r="PRS5" i="7"/>
  <c r="PRT5" i="7"/>
  <c r="PRU5" i="7"/>
  <c r="PRV5" i="7"/>
  <c r="PRW5" i="7"/>
  <c r="PRX5" i="7"/>
  <c r="PRY5" i="7"/>
  <c r="PRZ5" i="7"/>
  <c r="PSA5" i="7"/>
  <c r="PSB5" i="7"/>
  <c r="PSC5" i="7"/>
  <c r="PSD5" i="7"/>
  <c r="PSE5" i="7"/>
  <c r="PSF5" i="7"/>
  <c r="PSG5" i="7"/>
  <c r="PSH5" i="7"/>
  <c r="PSI5" i="7"/>
  <c r="PSJ5" i="7"/>
  <c r="PSK5" i="7"/>
  <c r="PSL5" i="7"/>
  <c r="PSM5" i="7"/>
  <c r="PSN5" i="7"/>
  <c r="PSO5" i="7"/>
  <c r="PSP5" i="7"/>
  <c r="PSQ5" i="7"/>
  <c r="PSR5" i="7"/>
  <c r="PSS5" i="7"/>
  <c r="PST5" i="7"/>
  <c r="PSU5" i="7"/>
  <c r="PSV5" i="7"/>
  <c r="PSW5" i="7"/>
  <c r="PSX5" i="7"/>
  <c r="PSY5" i="7"/>
  <c r="PSZ5" i="7"/>
  <c r="PTA5" i="7"/>
  <c r="PTB5" i="7"/>
  <c r="PTC5" i="7"/>
  <c r="PTD5" i="7"/>
  <c r="PTE5" i="7"/>
  <c r="PTF5" i="7"/>
  <c r="PTG5" i="7"/>
  <c r="PTH5" i="7"/>
  <c r="PTI5" i="7"/>
  <c r="PTJ5" i="7"/>
  <c r="PTK5" i="7"/>
  <c r="PTL5" i="7"/>
  <c r="PTM5" i="7"/>
  <c r="PTN5" i="7"/>
  <c r="PTO5" i="7"/>
  <c r="PTP5" i="7"/>
  <c r="PTQ5" i="7"/>
  <c r="PTR5" i="7"/>
  <c r="PTS5" i="7"/>
  <c r="PTT5" i="7"/>
  <c r="PTU5" i="7"/>
  <c r="PTV5" i="7"/>
  <c r="PTW5" i="7"/>
  <c r="PTX5" i="7"/>
  <c r="PTY5" i="7"/>
  <c r="PTZ5" i="7"/>
  <c r="PUA5" i="7"/>
  <c r="PUB5" i="7"/>
  <c r="PUC5" i="7"/>
  <c r="PUD5" i="7"/>
  <c r="PUE5" i="7"/>
  <c r="PUF5" i="7"/>
  <c r="PUG5" i="7"/>
  <c r="PUH5" i="7"/>
  <c r="PUI5" i="7"/>
  <c r="PUJ5" i="7"/>
  <c r="PUK5" i="7"/>
  <c r="PUL5" i="7"/>
  <c r="PUM5" i="7"/>
  <c r="PUN5" i="7"/>
  <c r="PUO5" i="7"/>
  <c r="PUP5" i="7"/>
  <c r="PUQ5" i="7"/>
  <c r="PUR5" i="7"/>
  <c r="PUS5" i="7"/>
  <c r="PUT5" i="7"/>
  <c r="PUU5" i="7"/>
  <c r="PUV5" i="7"/>
  <c r="PUW5" i="7"/>
  <c r="PUX5" i="7"/>
  <c r="PUY5" i="7"/>
  <c r="PUZ5" i="7"/>
  <c r="PVA5" i="7"/>
  <c r="PVB5" i="7"/>
  <c r="PVC5" i="7"/>
  <c r="PVD5" i="7"/>
  <c r="PVE5" i="7"/>
  <c r="PVF5" i="7"/>
  <c r="PVG5" i="7"/>
  <c r="PVH5" i="7"/>
  <c r="PVI5" i="7"/>
  <c r="PVJ5" i="7"/>
  <c r="PVK5" i="7"/>
  <c r="PVL5" i="7"/>
  <c r="PVM5" i="7"/>
  <c r="PVN5" i="7"/>
  <c r="PVO5" i="7"/>
  <c r="PVP5" i="7"/>
  <c r="PVQ5" i="7"/>
  <c r="PVR5" i="7"/>
  <c r="PVS5" i="7"/>
  <c r="PVT5" i="7"/>
  <c r="PVU5" i="7"/>
  <c r="PVV5" i="7"/>
  <c r="PVW5" i="7"/>
  <c r="PVX5" i="7"/>
  <c r="PVY5" i="7"/>
  <c r="PVZ5" i="7"/>
  <c r="PWA5" i="7"/>
  <c r="PWB5" i="7"/>
  <c r="PWC5" i="7"/>
  <c r="PWD5" i="7"/>
  <c r="PWE5" i="7"/>
  <c r="PWF5" i="7"/>
  <c r="PWG5" i="7"/>
  <c r="PWH5" i="7"/>
  <c r="PWI5" i="7"/>
  <c r="PWJ5" i="7"/>
  <c r="PWK5" i="7"/>
  <c r="PWL5" i="7"/>
  <c r="PWM5" i="7"/>
  <c r="PWN5" i="7"/>
  <c r="PWO5" i="7"/>
  <c r="PWP5" i="7"/>
  <c r="PWQ5" i="7"/>
  <c r="PWR5" i="7"/>
  <c r="PWS5" i="7"/>
  <c r="PWT5" i="7"/>
  <c r="PWU5" i="7"/>
  <c r="PWV5" i="7"/>
  <c r="PWW5" i="7"/>
  <c r="PWX5" i="7"/>
  <c r="PWY5" i="7"/>
  <c r="PWZ5" i="7"/>
  <c r="PXA5" i="7"/>
  <c r="PXB5" i="7"/>
  <c r="PXC5" i="7"/>
  <c r="PXD5" i="7"/>
  <c r="PXE5" i="7"/>
  <c r="PXF5" i="7"/>
  <c r="PXG5" i="7"/>
  <c r="PXH5" i="7"/>
  <c r="PXI5" i="7"/>
  <c r="PXJ5" i="7"/>
  <c r="PXK5" i="7"/>
  <c r="PXL5" i="7"/>
  <c r="PXM5" i="7"/>
  <c r="PXN5" i="7"/>
  <c r="PXO5" i="7"/>
  <c r="PXP5" i="7"/>
  <c r="PXQ5" i="7"/>
  <c r="PXR5" i="7"/>
  <c r="PXS5" i="7"/>
  <c r="PXT5" i="7"/>
  <c r="PXU5" i="7"/>
  <c r="PXV5" i="7"/>
  <c r="PXW5" i="7"/>
  <c r="PXX5" i="7"/>
  <c r="PXY5" i="7"/>
  <c r="PXZ5" i="7"/>
  <c r="PYA5" i="7"/>
  <c r="PYB5" i="7"/>
  <c r="PYC5" i="7"/>
  <c r="PYD5" i="7"/>
  <c r="PYE5" i="7"/>
  <c r="PYF5" i="7"/>
  <c r="PYG5" i="7"/>
  <c r="PYH5" i="7"/>
  <c r="PYI5" i="7"/>
  <c r="PYJ5" i="7"/>
  <c r="PYK5" i="7"/>
  <c r="PYL5" i="7"/>
  <c r="PYM5" i="7"/>
  <c r="PYN5" i="7"/>
  <c r="PYO5" i="7"/>
  <c r="PYP5" i="7"/>
  <c r="PYQ5" i="7"/>
  <c r="PYR5" i="7"/>
  <c r="PYS5" i="7"/>
  <c r="PYT5" i="7"/>
  <c r="PYU5" i="7"/>
  <c r="PYV5" i="7"/>
  <c r="PYW5" i="7"/>
  <c r="PYX5" i="7"/>
  <c r="PYY5" i="7"/>
  <c r="PYZ5" i="7"/>
  <c r="PZA5" i="7"/>
  <c r="PZB5" i="7"/>
  <c r="PZC5" i="7"/>
  <c r="PZD5" i="7"/>
  <c r="PZE5" i="7"/>
  <c r="PZF5" i="7"/>
  <c r="PZG5" i="7"/>
  <c r="PZH5" i="7"/>
  <c r="PZI5" i="7"/>
  <c r="PZJ5" i="7"/>
  <c r="PZK5" i="7"/>
  <c r="PZL5" i="7"/>
  <c r="PZM5" i="7"/>
  <c r="PZN5" i="7"/>
  <c r="PZO5" i="7"/>
  <c r="PZP5" i="7"/>
  <c r="PZQ5" i="7"/>
  <c r="PZR5" i="7"/>
  <c r="PZS5" i="7"/>
  <c r="PZT5" i="7"/>
  <c r="PZU5" i="7"/>
  <c r="PZV5" i="7"/>
  <c r="PZW5" i="7"/>
  <c r="PZX5" i="7"/>
  <c r="PZY5" i="7"/>
  <c r="PZZ5" i="7"/>
  <c r="QAA5" i="7"/>
  <c r="QAB5" i="7"/>
  <c r="QAC5" i="7"/>
  <c r="QAD5" i="7"/>
  <c r="QAE5" i="7"/>
  <c r="QAF5" i="7"/>
  <c r="QAG5" i="7"/>
  <c r="QAH5" i="7"/>
  <c r="QAI5" i="7"/>
  <c r="QAJ5" i="7"/>
  <c r="QAK5" i="7"/>
  <c r="QAL5" i="7"/>
  <c r="QAM5" i="7"/>
  <c r="QAN5" i="7"/>
  <c r="QAO5" i="7"/>
  <c r="QAP5" i="7"/>
  <c r="QAQ5" i="7"/>
  <c r="QAR5" i="7"/>
  <c r="QAS5" i="7"/>
  <c r="QAT5" i="7"/>
  <c r="QAU5" i="7"/>
  <c r="QAV5" i="7"/>
  <c r="QAW5" i="7"/>
  <c r="QAX5" i="7"/>
  <c r="QAY5" i="7"/>
  <c r="QAZ5" i="7"/>
  <c r="QBA5" i="7"/>
  <c r="QBB5" i="7"/>
  <c r="QBC5" i="7"/>
  <c r="QBD5" i="7"/>
  <c r="QBE5" i="7"/>
  <c r="QBF5" i="7"/>
  <c r="QBG5" i="7"/>
  <c r="QBH5" i="7"/>
  <c r="QBI5" i="7"/>
  <c r="QBJ5" i="7"/>
  <c r="QBK5" i="7"/>
  <c r="QBL5" i="7"/>
  <c r="QBM5" i="7"/>
  <c r="QBN5" i="7"/>
  <c r="QBO5" i="7"/>
  <c r="QBP5" i="7"/>
  <c r="QBQ5" i="7"/>
  <c r="QBR5" i="7"/>
  <c r="QBS5" i="7"/>
  <c r="QBT5" i="7"/>
  <c r="QBU5" i="7"/>
  <c r="QBV5" i="7"/>
  <c r="QBW5" i="7"/>
  <c r="QBX5" i="7"/>
  <c r="QBY5" i="7"/>
  <c r="QBZ5" i="7"/>
  <c r="QCA5" i="7"/>
  <c r="QCB5" i="7"/>
  <c r="QCC5" i="7"/>
  <c r="QCD5" i="7"/>
  <c r="QCE5" i="7"/>
  <c r="QCF5" i="7"/>
  <c r="QCG5" i="7"/>
  <c r="QCH5" i="7"/>
  <c r="QCI5" i="7"/>
  <c r="QCJ5" i="7"/>
  <c r="QCK5" i="7"/>
  <c r="QCL5" i="7"/>
  <c r="QCM5" i="7"/>
  <c r="QCN5" i="7"/>
  <c r="QCO5" i="7"/>
  <c r="QCP5" i="7"/>
  <c r="QCQ5" i="7"/>
  <c r="QCR5" i="7"/>
  <c r="QCS5" i="7"/>
  <c r="QCT5" i="7"/>
  <c r="QCU5" i="7"/>
  <c r="QCV5" i="7"/>
  <c r="QCW5" i="7"/>
  <c r="QCX5" i="7"/>
  <c r="QCY5" i="7"/>
  <c r="QCZ5" i="7"/>
  <c r="QDA5" i="7"/>
  <c r="QDB5" i="7"/>
  <c r="QDC5" i="7"/>
  <c r="QDD5" i="7"/>
  <c r="QDE5" i="7"/>
  <c r="QDF5" i="7"/>
  <c r="QDG5" i="7"/>
  <c r="QDH5" i="7"/>
  <c r="QDI5" i="7"/>
  <c r="QDJ5" i="7"/>
  <c r="QDK5" i="7"/>
  <c r="QDL5" i="7"/>
  <c r="QDM5" i="7"/>
  <c r="QDN5" i="7"/>
  <c r="QDO5" i="7"/>
  <c r="QDP5" i="7"/>
  <c r="QDQ5" i="7"/>
  <c r="QDR5" i="7"/>
  <c r="QDS5" i="7"/>
  <c r="QDT5" i="7"/>
  <c r="QDU5" i="7"/>
  <c r="QDV5" i="7"/>
  <c r="QDW5" i="7"/>
  <c r="QDX5" i="7"/>
  <c r="QDY5" i="7"/>
  <c r="QDZ5" i="7"/>
  <c r="QEA5" i="7"/>
  <c r="QEB5" i="7"/>
  <c r="QEC5" i="7"/>
  <c r="QED5" i="7"/>
  <c r="QEE5" i="7"/>
  <c r="QEF5" i="7"/>
  <c r="QEG5" i="7"/>
  <c r="QEH5" i="7"/>
  <c r="QEI5" i="7"/>
  <c r="QEJ5" i="7"/>
  <c r="QEK5" i="7"/>
  <c r="QEL5" i="7"/>
  <c r="QEM5" i="7"/>
  <c r="QEN5" i="7"/>
  <c r="QEO5" i="7"/>
  <c r="QEP5" i="7"/>
  <c r="QEQ5" i="7"/>
  <c r="QER5" i="7"/>
  <c r="QES5" i="7"/>
  <c r="QET5" i="7"/>
  <c r="QEU5" i="7"/>
  <c r="QEV5" i="7"/>
  <c r="QEW5" i="7"/>
  <c r="QEX5" i="7"/>
  <c r="QEY5" i="7"/>
  <c r="QEZ5" i="7"/>
  <c r="QFA5" i="7"/>
  <c r="QFB5" i="7"/>
  <c r="QFC5" i="7"/>
  <c r="QFD5" i="7"/>
  <c r="QFE5" i="7"/>
  <c r="QFF5" i="7"/>
  <c r="QFG5" i="7"/>
  <c r="QFH5" i="7"/>
  <c r="QFI5" i="7"/>
  <c r="QFJ5" i="7"/>
  <c r="QFK5" i="7"/>
  <c r="QFL5" i="7"/>
  <c r="QFM5" i="7"/>
  <c r="QFN5" i="7"/>
  <c r="QFO5" i="7"/>
  <c r="QFP5" i="7"/>
  <c r="QFQ5" i="7"/>
  <c r="QFR5" i="7"/>
  <c r="QFS5" i="7"/>
  <c r="QFT5" i="7"/>
  <c r="QFU5" i="7"/>
  <c r="QFV5" i="7"/>
  <c r="QFW5" i="7"/>
  <c r="QFX5" i="7"/>
  <c r="QFY5" i="7"/>
  <c r="QFZ5" i="7"/>
  <c r="QGA5" i="7"/>
  <c r="QGB5" i="7"/>
  <c r="QGC5" i="7"/>
  <c r="QGD5" i="7"/>
  <c r="QGE5" i="7"/>
  <c r="QGF5" i="7"/>
  <c r="QGG5" i="7"/>
  <c r="QGH5" i="7"/>
  <c r="QGI5" i="7"/>
  <c r="QGJ5" i="7"/>
  <c r="QGK5" i="7"/>
  <c r="QGL5" i="7"/>
  <c r="QGM5" i="7"/>
  <c r="QGN5" i="7"/>
  <c r="QGO5" i="7"/>
  <c r="QGP5" i="7"/>
  <c r="QGQ5" i="7"/>
  <c r="QGR5" i="7"/>
  <c r="QGS5" i="7"/>
  <c r="QGT5" i="7"/>
  <c r="QGU5" i="7"/>
  <c r="QGV5" i="7"/>
  <c r="QGW5" i="7"/>
  <c r="QGX5" i="7"/>
  <c r="QGY5" i="7"/>
  <c r="QGZ5" i="7"/>
  <c r="QHA5" i="7"/>
  <c r="QHB5" i="7"/>
  <c r="QHC5" i="7"/>
  <c r="QHD5" i="7"/>
  <c r="QHE5" i="7"/>
  <c r="QHF5" i="7"/>
  <c r="QHG5" i="7"/>
  <c r="QHH5" i="7"/>
  <c r="QHI5" i="7"/>
  <c r="QHJ5" i="7"/>
  <c r="QHK5" i="7"/>
  <c r="QHL5" i="7"/>
  <c r="QHM5" i="7"/>
  <c r="QHN5" i="7"/>
  <c r="QHO5" i="7"/>
  <c r="QHP5" i="7"/>
  <c r="QHQ5" i="7"/>
  <c r="QHR5" i="7"/>
  <c r="QHS5" i="7"/>
  <c r="QHT5" i="7"/>
  <c r="QHU5" i="7"/>
  <c r="QHV5" i="7"/>
  <c r="QHW5" i="7"/>
  <c r="QHX5" i="7"/>
  <c r="QHY5" i="7"/>
  <c r="QHZ5" i="7"/>
  <c r="QIA5" i="7"/>
  <c r="QIB5" i="7"/>
  <c r="QIC5" i="7"/>
  <c r="QID5" i="7"/>
  <c r="QIE5" i="7"/>
  <c r="QIF5" i="7"/>
  <c r="QIG5" i="7"/>
  <c r="QIH5" i="7"/>
  <c r="QII5" i="7"/>
  <c r="QIJ5" i="7"/>
  <c r="QIK5" i="7"/>
  <c r="QIL5" i="7"/>
  <c r="QIM5" i="7"/>
  <c r="QIN5" i="7"/>
  <c r="QIO5" i="7"/>
  <c r="QIP5" i="7"/>
  <c r="QIQ5" i="7"/>
  <c r="QIR5" i="7"/>
  <c r="QIS5" i="7"/>
  <c r="QIT5" i="7"/>
  <c r="QIU5" i="7"/>
  <c r="QIV5" i="7"/>
  <c r="QIW5" i="7"/>
  <c r="QIX5" i="7"/>
  <c r="QIY5" i="7"/>
  <c r="QIZ5" i="7"/>
  <c r="QJA5" i="7"/>
  <c r="QJB5" i="7"/>
  <c r="QJC5" i="7"/>
  <c r="QJD5" i="7"/>
  <c r="QJE5" i="7"/>
  <c r="QJF5" i="7"/>
  <c r="QJG5" i="7"/>
  <c r="QJH5" i="7"/>
  <c r="QJI5" i="7"/>
  <c r="QJJ5" i="7"/>
  <c r="QJK5" i="7"/>
  <c r="QJL5" i="7"/>
  <c r="QJM5" i="7"/>
  <c r="QJN5" i="7"/>
  <c r="QJO5" i="7"/>
  <c r="QJP5" i="7"/>
  <c r="QJQ5" i="7"/>
  <c r="QJR5" i="7"/>
  <c r="QJS5" i="7"/>
  <c r="QJT5" i="7"/>
  <c r="QJU5" i="7"/>
  <c r="QJV5" i="7"/>
  <c r="QJW5" i="7"/>
  <c r="QJX5" i="7"/>
  <c r="QJY5" i="7"/>
  <c r="QJZ5" i="7"/>
  <c r="QKA5" i="7"/>
  <c r="QKB5" i="7"/>
  <c r="QKC5" i="7"/>
  <c r="QKD5" i="7"/>
  <c r="QKE5" i="7"/>
  <c r="QKF5" i="7"/>
  <c r="QKG5" i="7"/>
  <c r="QKH5" i="7"/>
  <c r="QKI5" i="7"/>
  <c r="QKJ5" i="7"/>
  <c r="QKK5" i="7"/>
  <c r="QKL5" i="7"/>
  <c r="QKM5" i="7"/>
  <c r="QKN5" i="7"/>
  <c r="QKO5" i="7"/>
  <c r="QKP5" i="7"/>
  <c r="QKQ5" i="7"/>
  <c r="QKR5" i="7"/>
  <c r="QKS5" i="7"/>
  <c r="QKT5" i="7"/>
  <c r="QKU5" i="7"/>
  <c r="QKV5" i="7"/>
  <c r="QKW5" i="7"/>
  <c r="QKX5" i="7"/>
  <c r="QKY5" i="7"/>
  <c r="QKZ5" i="7"/>
  <c r="QLA5" i="7"/>
  <c r="QLB5" i="7"/>
  <c r="QLC5" i="7"/>
  <c r="QLD5" i="7"/>
  <c r="QLE5" i="7"/>
  <c r="QLF5" i="7"/>
  <c r="QLG5" i="7"/>
  <c r="QLH5" i="7"/>
  <c r="QLI5" i="7"/>
  <c r="QLJ5" i="7"/>
  <c r="QLK5" i="7"/>
  <c r="QLL5" i="7"/>
  <c r="QLM5" i="7"/>
  <c r="QLN5" i="7"/>
  <c r="QLO5" i="7"/>
  <c r="QLP5" i="7"/>
  <c r="QLQ5" i="7"/>
  <c r="QLR5" i="7"/>
  <c r="QLS5" i="7"/>
  <c r="QLT5" i="7"/>
  <c r="QLU5" i="7"/>
  <c r="QLV5" i="7"/>
  <c r="QLW5" i="7"/>
  <c r="QLX5" i="7"/>
  <c r="QLY5" i="7"/>
  <c r="QLZ5" i="7"/>
  <c r="QMA5" i="7"/>
  <c r="QMB5" i="7"/>
  <c r="QMC5" i="7"/>
  <c r="QMD5" i="7"/>
  <c r="QME5" i="7"/>
  <c r="QMF5" i="7"/>
  <c r="QMG5" i="7"/>
  <c r="QMH5" i="7"/>
  <c r="QMI5" i="7"/>
  <c r="QMJ5" i="7"/>
  <c r="QMK5" i="7"/>
  <c r="QML5" i="7"/>
  <c r="QMM5" i="7"/>
  <c r="QMN5" i="7"/>
  <c r="QMO5" i="7"/>
  <c r="QMP5" i="7"/>
  <c r="QMQ5" i="7"/>
  <c r="QMR5" i="7"/>
  <c r="QMS5" i="7"/>
  <c r="QMT5" i="7"/>
  <c r="QMU5" i="7"/>
  <c r="QMV5" i="7"/>
  <c r="QMW5" i="7"/>
  <c r="QMX5" i="7"/>
  <c r="QMY5" i="7"/>
  <c r="QMZ5" i="7"/>
  <c r="QNA5" i="7"/>
  <c r="QNB5" i="7"/>
  <c r="QNC5" i="7"/>
  <c r="QND5" i="7"/>
  <c r="QNE5" i="7"/>
  <c r="QNF5" i="7"/>
  <c r="QNG5" i="7"/>
  <c r="QNH5" i="7"/>
  <c r="QNI5" i="7"/>
  <c r="QNJ5" i="7"/>
  <c r="QNK5" i="7"/>
  <c r="QNL5" i="7"/>
  <c r="QNM5" i="7"/>
  <c r="QNN5" i="7"/>
  <c r="QNO5" i="7"/>
  <c r="QNP5" i="7"/>
  <c r="QNQ5" i="7"/>
  <c r="QNR5" i="7"/>
  <c r="QNS5" i="7"/>
  <c r="QNT5" i="7"/>
  <c r="QNU5" i="7"/>
  <c r="QNV5" i="7"/>
  <c r="QNW5" i="7"/>
  <c r="QNX5" i="7"/>
  <c r="QNY5" i="7"/>
  <c r="QNZ5" i="7"/>
  <c r="QOA5" i="7"/>
  <c r="QOB5" i="7"/>
  <c r="QOC5" i="7"/>
  <c r="QOD5" i="7"/>
  <c r="QOE5" i="7"/>
  <c r="QOF5" i="7"/>
  <c r="QOG5" i="7"/>
  <c r="QOH5" i="7"/>
  <c r="QOI5" i="7"/>
  <c r="QOJ5" i="7"/>
  <c r="QOK5" i="7"/>
  <c r="QOL5" i="7"/>
  <c r="QOM5" i="7"/>
  <c r="QON5" i="7"/>
  <c r="QOO5" i="7"/>
  <c r="QOP5" i="7"/>
  <c r="QOQ5" i="7"/>
  <c r="QOR5" i="7"/>
  <c r="QOS5" i="7"/>
  <c r="QOT5" i="7"/>
  <c r="QOU5" i="7"/>
  <c r="QOV5" i="7"/>
  <c r="QOW5" i="7"/>
  <c r="QOX5" i="7"/>
  <c r="QOY5" i="7"/>
  <c r="QOZ5" i="7"/>
  <c r="QPA5" i="7"/>
  <c r="QPB5" i="7"/>
  <c r="QPC5" i="7"/>
  <c r="QPD5" i="7"/>
  <c r="QPE5" i="7"/>
  <c r="QPF5" i="7"/>
  <c r="QPG5" i="7"/>
  <c r="QPH5" i="7"/>
  <c r="QPI5" i="7"/>
  <c r="QPJ5" i="7"/>
  <c r="QPK5" i="7"/>
  <c r="QPL5" i="7"/>
  <c r="QPM5" i="7"/>
  <c r="QPN5" i="7"/>
  <c r="QPO5" i="7"/>
  <c r="QPP5" i="7"/>
  <c r="QPQ5" i="7"/>
  <c r="QPR5" i="7"/>
  <c r="QPS5" i="7"/>
  <c r="QPT5" i="7"/>
  <c r="QPU5" i="7"/>
  <c r="QPV5" i="7"/>
  <c r="QPW5" i="7"/>
  <c r="QPX5" i="7"/>
  <c r="QPY5" i="7"/>
  <c r="QPZ5" i="7"/>
  <c r="QQA5" i="7"/>
  <c r="QQB5" i="7"/>
  <c r="QQC5" i="7"/>
  <c r="QQD5" i="7"/>
  <c r="QQE5" i="7"/>
  <c r="QQF5" i="7"/>
  <c r="QQG5" i="7"/>
  <c r="QQH5" i="7"/>
  <c r="QQI5" i="7"/>
  <c r="QQJ5" i="7"/>
  <c r="QQK5" i="7"/>
  <c r="QQL5" i="7"/>
  <c r="QQM5" i="7"/>
  <c r="QQN5" i="7"/>
  <c r="QQO5" i="7"/>
  <c r="QQP5" i="7"/>
  <c r="QQQ5" i="7"/>
  <c r="QQR5" i="7"/>
  <c r="QQS5" i="7"/>
  <c r="QQT5" i="7"/>
  <c r="QQU5" i="7"/>
  <c r="QQV5" i="7"/>
  <c r="QQW5" i="7"/>
  <c r="QQX5" i="7"/>
  <c r="QQY5" i="7"/>
  <c r="QQZ5" i="7"/>
  <c r="QRA5" i="7"/>
  <c r="QRB5" i="7"/>
  <c r="QRC5" i="7"/>
  <c r="QRD5" i="7"/>
  <c r="QRE5" i="7"/>
  <c r="QRF5" i="7"/>
  <c r="QRG5" i="7"/>
  <c r="QRH5" i="7"/>
  <c r="QRI5" i="7"/>
  <c r="QRJ5" i="7"/>
  <c r="QRK5" i="7"/>
  <c r="QRL5" i="7"/>
  <c r="QRM5" i="7"/>
  <c r="QRN5" i="7"/>
  <c r="QRO5" i="7"/>
  <c r="QRP5" i="7"/>
  <c r="QRQ5" i="7"/>
  <c r="QRR5" i="7"/>
  <c r="QRS5" i="7"/>
  <c r="QRT5" i="7"/>
  <c r="QRU5" i="7"/>
  <c r="QRV5" i="7"/>
  <c r="QRW5" i="7"/>
  <c r="QRX5" i="7"/>
  <c r="QRY5" i="7"/>
  <c r="QRZ5" i="7"/>
  <c r="QSA5" i="7"/>
  <c r="QSB5" i="7"/>
  <c r="QSC5" i="7"/>
  <c r="QSD5" i="7"/>
  <c r="QSE5" i="7"/>
  <c r="QSF5" i="7"/>
  <c r="QSG5" i="7"/>
  <c r="QSH5" i="7"/>
  <c r="QSI5" i="7"/>
  <c r="QSJ5" i="7"/>
  <c r="QSK5" i="7"/>
  <c r="QSL5" i="7"/>
  <c r="QSM5" i="7"/>
  <c r="QSN5" i="7"/>
  <c r="QSO5" i="7"/>
  <c r="QSP5" i="7"/>
  <c r="QSQ5" i="7"/>
  <c r="QSR5" i="7"/>
  <c r="QSS5" i="7"/>
  <c r="QST5" i="7"/>
  <c r="QSU5" i="7"/>
  <c r="QSV5" i="7"/>
  <c r="QSW5" i="7"/>
  <c r="QSX5" i="7"/>
  <c r="QSY5" i="7"/>
  <c r="QSZ5" i="7"/>
  <c r="QTA5" i="7"/>
  <c r="QTB5" i="7"/>
  <c r="QTC5" i="7"/>
  <c r="QTD5" i="7"/>
  <c r="QTE5" i="7"/>
  <c r="QTF5" i="7"/>
  <c r="QTG5" i="7"/>
  <c r="QTH5" i="7"/>
  <c r="QTI5" i="7"/>
  <c r="QTJ5" i="7"/>
  <c r="QTK5" i="7"/>
  <c r="QTL5" i="7"/>
  <c r="QTM5" i="7"/>
  <c r="QTN5" i="7"/>
  <c r="QTO5" i="7"/>
  <c r="QTP5" i="7"/>
  <c r="QTQ5" i="7"/>
  <c r="QTR5" i="7"/>
  <c r="QTS5" i="7"/>
  <c r="QTT5" i="7"/>
  <c r="QTU5" i="7"/>
  <c r="QTV5" i="7"/>
  <c r="QTW5" i="7"/>
  <c r="QTX5" i="7"/>
  <c r="QTY5" i="7"/>
  <c r="QTZ5" i="7"/>
  <c r="QUA5" i="7"/>
  <c r="QUB5" i="7"/>
  <c r="QUC5" i="7"/>
  <c r="QUD5" i="7"/>
  <c r="QUE5" i="7"/>
  <c r="QUF5" i="7"/>
  <c r="QUG5" i="7"/>
  <c r="QUH5" i="7"/>
  <c r="QUI5" i="7"/>
  <c r="QUJ5" i="7"/>
  <c r="QUK5" i="7"/>
  <c r="QUL5" i="7"/>
  <c r="QUM5" i="7"/>
  <c r="QUN5" i="7"/>
  <c r="QUO5" i="7"/>
  <c r="QUP5" i="7"/>
  <c r="QUQ5" i="7"/>
  <c r="QUR5" i="7"/>
  <c r="QUS5" i="7"/>
  <c r="QUT5" i="7"/>
  <c r="QUU5" i="7"/>
  <c r="QUV5" i="7"/>
  <c r="QUW5" i="7"/>
  <c r="QUX5" i="7"/>
  <c r="QUY5" i="7"/>
  <c r="QUZ5" i="7"/>
  <c r="QVA5" i="7"/>
  <c r="QVB5" i="7"/>
  <c r="QVC5" i="7"/>
  <c r="QVD5" i="7"/>
  <c r="QVE5" i="7"/>
  <c r="QVF5" i="7"/>
  <c r="QVG5" i="7"/>
  <c r="QVH5" i="7"/>
  <c r="QVI5" i="7"/>
  <c r="QVJ5" i="7"/>
  <c r="QVK5" i="7"/>
  <c r="QVL5" i="7"/>
  <c r="QVM5" i="7"/>
  <c r="QVN5" i="7"/>
  <c r="QVO5" i="7"/>
  <c r="QVP5" i="7"/>
  <c r="QVQ5" i="7"/>
  <c r="QVR5" i="7"/>
  <c r="QVS5" i="7"/>
  <c r="QVT5" i="7"/>
  <c r="QVU5" i="7"/>
  <c r="QVV5" i="7"/>
  <c r="QVW5" i="7"/>
  <c r="QVX5" i="7"/>
  <c r="QVY5" i="7"/>
  <c r="QVZ5" i="7"/>
  <c r="QWA5" i="7"/>
  <c r="QWB5" i="7"/>
  <c r="QWC5" i="7"/>
  <c r="QWD5" i="7"/>
  <c r="QWE5" i="7"/>
  <c r="QWF5" i="7"/>
  <c r="QWG5" i="7"/>
  <c r="QWH5" i="7"/>
  <c r="QWI5" i="7"/>
  <c r="QWJ5" i="7"/>
  <c r="QWK5" i="7"/>
  <c r="QWL5" i="7"/>
  <c r="QWM5" i="7"/>
  <c r="QWN5" i="7"/>
  <c r="QWO5" i="7"/>
  <c r="QWP5" i="7"/>
  <c r="QWQ5" i="7"/>
  <c r="QWR5" i="7"/>
  <c r="QWS5" i="7"/>
  <c r="QWT5" i="7"/>
  <c r="QWU5" i="7"/>
  <c r="QWV5" i="7"/>
  <c r="QWW5" i="7"/>
  <c r="QWX5" i="7"/>
  <c r="QWY5" i="7"/>
  <c r="QWZ5" i="7"/>
  <c r="QXA5" i="7"/>
  <c r="QXB5" i="7"/>
  <c r="QXC5" i="7"/>
  <c r="QXD5" i="7"/>
  <c r="QXE5" i="7"/>
  <c r="QXF5" i="7"/>
  <c r="QXG5" i="7"/>
  <c r="QXH5" i="7"/>
  <c r="QXI5" i="7"/>
  <c r="QXJ5" i="7"/>
  <c r="QXK5" i="7"/>
  <c r="QXL5" i="7"/>
  <c r="QXM5" i="7"/>
  <c r="QXN5" i="7"/>
  <c r="QXO5" i="7"/>
  <c r="QXP5" i="7"/>
  <c r="QXQ5" i="7"/>
  <c r="QXR5" i="7"/>
  <c r="QXS5" i="7"/>
  <c r="QXT5" i="7"/>
  <c r="QXU5" i="7"/>
  <c r="QXV5" i="7"/>
  <c r="QXW5" i="7"/>
  <c r="QXX5" i="7"/>
  <c r="QXY5" i="7"/>
  <c r="QXZ5" i="7"/>
  <c r="QYA5" i="7"/>
  <c r="QYB5" i="7"/>
  <c r="QYC5" i="7"/>
  <c r="QYD5" i="7"/>
  <c r="QYE5" i="7"/>
  <c r="QYF5" i="7"/>
  <c r="QYG5" i="7"/>
  <c r="QYH5" i="7"/>
  <c r="QYI5" i="7"/>
  <c r="QYJ5" i="7"/>
  <c r="QYK5" i="7"/>
  <c r="QYL5" i="7"/>
  <c r="QYM5" i="7"/>
  <c r="QYN5" i="7"/>
  <c r="QYO5" i="7"/>
  <c r="QYP5" i="7"/>
  <c r="QYQ5" i="7"/>
  <c r="QYR5" i="7"/>
  <c r="QYS5" i="7"/>
  <c r="QYT5" i="7"/>
  <c r="QYU5" i="7"/>
  <c r="QYV5" i="7"/>
  <c r="QYW5" i="7"/>
  <c r="QYX5" i="7"/>
  <c r="QYY5" i="7"/>
  <c r="QYZ5" i="7"/>
  <c r="QZA5" i="7"/>
  <c r="QZB5" i="7"/>
  <c r="QZC5" i="7"/>
  <c r="QZD5" i="7"/>
  <c r="QZE5" i="7"/>
  <c r="QZF5" i="7"/>
  <c r="QZG5" i="7"/>
  <c r="QZH5" i="7"/>
  <c r="QZI5" i="7"/>
  <c r="QZJ5" i="7"/>
  <c r="QZK5" i="7"/>
  <c r="QZL5" i="7"/>
  <c r="QZM5" i="7"/>
  <c r="QZN5" i="7"/>
  <c r="QZO5" i="7"/>
  <c r="QZP5" i="7"/>
  <c r="QZQ5" i="7"/>
  <c r="QZR5" i="7"/>
  <c r="QZS5" i="7"/>
  <c r="QZT5" i="7"/>
  <c r="QZU5" i="7"/>
  <c r="QZV5" i="7"/>
  <c r="QZW5" i="7"/>
  <c r="QZX5" i="7"/>
  <c r="QZY5" i="7"/>
  <c r="QZZ5" i="7"/>
  <c r="RAA5" i="7"/>
  <c r="RAB5" i="7"/>
  <c r="RAC5" i="7"/>
  <c r="RAD5" i="7"/>
  <c r="RAE5" i="7"/>
  <c r="RAF5" i="7"/>
  <c r="RAG5" i="7"/>
  <c r="RAH5" i="7"/>
  <c r="RAI5" i="7"/>
  <c r="RAJ5" i="7"/>
  <c r="RAK5" i="7"/>
  <c r="RAL5" i="7"/>
  <c r="RAM5" i="7"/>
  <c r="RAN5" i="7"/>
  <c r="RAO5" i="7"/>
  <c r="RAP5" i="7"/>
  <c r="RAQ5" i="7"/>
  <c r="RAR5" i="7"/>
  <c r="RAS5" i="7"/>
  <c r="RAT5" i="7"/>
  <c r="RAU5" i="7"/>
  <c r="RAV5" i="7"/>
  <c r="RAW5" i="7"/>
  <c r="RAX5" i="7"/>
  <c r="RAY5" i="7"/>
  <c r="RAZ5" i="7"/>
  <c r="RBA5" i="7"/>
  <c r="RBB5" i="7"/>
  <c r="RBC5" i="7"/>
  <c r="RBD5" i="7"/>
  <c r="RBE5" i="7"/>
  <c r="RBF5" i="7"/>
  <c r="RBG5" i="7"/>
  <c r="RBH5" i="7"/>
  <c r="RBI5" i="7"/>
  <c r="RBJ5" i="7"/>
  <c r="RBK5" i="7"/>
  <c r="RBL5" i="7"/>
  <c r="RBM5" i="7"/>
  <c r="RBN5" i="7"/>
  <c r="RBO5" i="7"/>
  <c r="RBP5" i="7"/>
  <c r="RBQ5" i="7"/>
  <c r="RBR5" i="7"/>
  <c r="RBS5" i="7"/>
  <c r="RBT5" i="7"/>
  <c r="RBU5" i="7"/>
  <c r="RBV5" i="7"/>
  <c r="RBW5" i="7"/>
  <c r="RBX5" i="7"/>
  <c r="RBY5" i="7"/>
  <c r="RBZ5" i="7"/>
  <c r="RCA5" i="7"/>
  <c r="RCB5" i="7"/>
  <c r="RCC5" i="7"/>
  <c r="RCD5" i="7"/>
  <c r="RCE5" i="7"/>
  <c r="RCF5" i="7"/>
  <c r="RCG5" i="7"/>
  <c r="RCH5" i="7"/>
  <c r="RCI5" i="7"/>
  <c r="RCJ5" i="7"/>
  <c r="RCK5" i="7"/>
  <c r="RCL5" i="7"/>
  <c r="RCM5" i="7"/>
  <c r="RCN5" i="7"/>
  <c r="RCO5" i="7"/>
  <c r="RCP5" i="7"/>
  <c r="RCQ5" i="7"/>
  <c r="RCR5" i="7"/>
  <c r="RCS5" i="7"/>
  <c r="RCT5" i="7"/>
  <c r="RCU5" i="7"/>
  <c r="RCV5" i="7"/>
  <c r="RCW5" i="7"/>
  <c r="RCX5" i="7"/>
  <c r="RCY5" i="7"/>
  <c r="RCZ5" i="7"/>
  <c r="RDA5" i="7"/>
  <c r="RDB5" i="7"/>
  <c r="RDC5" i="7"/>
  <c r="RDD5" i="7"/>
  <c r="RDE5" i="7"/>
  <c r="RDF5" i="7"/>
  <c r="RDG5" i="7"/>
  <c r="RDH5" i="7"/>
  <c r="RDI5" i="7"/>
  <c r="RDJ5" i="7"/>
  <c r="RDK5" i="7"/>
  <c r="RDL5" i="7"/>
  <c r="RDM5" i="7"/>
  <c r="RDN5" i="7"/>
  <c r="RDO5" i="7"/>
  <c r="RDP5" i="7"/>
  <c r="RDQ5" i="7"/>
  <c r="RDR5" i="7"/>
  <c r="RDS5" i="7"/>
  <c r="RDT5" i="7"/>
  <c r="RDU5" i="7"/>
  <c r="RDV5" i="7"/>
  <c r="RDW5" i="7"/>
  <c r="RDX5" i="7"/>
  <c r="RDY5" i="7"/>
  <c r="RDZ5" i="7"/>
  <c r="REA5" i="7"/>
  <c r="REB5" i="7"/>
  <c r="REC5" i="7"/>
  <c r="RED5" i="7"/>
  <c r="REE5" i="7"/>
  <c r="REF5" i="7"/>
  <c r="REG5" i="7"/>
  <c r="REH5" i="7"/>
  <c r="REI5" i="7"/>
  <c r="REJ5" i="7"/>
  <c r="REK5" i="7"/>
  <c r="REL5" i="7"/>
  <c r="REM5" i="7"/>
  <c r="REN5" i="7"/>
  <c r="REO5" i="7"/>
  <c r="REP5" i="7"/>
  <c r="REQ5" i="7"/>
  <c r="RER5" i="7"/>
  <c r="RES5" i="7"/>
  <c r="RET5" i="7"/>
  <c r="REU5" i="7"/>
  <c r="REV5" i="7"/>
  <c r="REW5" i="7"/>
  <c r="REX5" i="7"/>
  <c r="REY5" i="7"/>
  <c r="REZ5" i="7"/>
  <c r="RFA5" i="7"/>
  <c r="RFB5" i="7"/>
  <c r="RFC5" i="7"/>
  <c r="RFD5" i="7"/>
  <c r="RFE5" i="7"/>
  <c r="RFF5" i="7"/>
  <c r="RFG5" i="7"/>
  <c r="RFH5" i="7"/>
  <c r="RFI5" i="7"/>
  <c r="RFJ5" i="7"/>
  <c r="RFK5" i="7"/>
  <c r="RFL5" i="7"/>
  <c r="RFM5" i="7"/>
  <c r="RFN5" i="7"/>
  <c r="RFO5" i="7"/>
  <c r="RFP5" i="7"/>
  <c r="RFQ5" i="7"/>
  <c r="RFR5" i="7"/>
  <c r="RFS5" i="7"/>
  <c r="RFT5" i="7"/>
  <c r="RFU5" i="7"/>
  <c r="RFV5" i="7"/>
  <c r="RFW5" i="7"/>
  <c r="RFX5" i="7"/>
  <c r="RFY5" i="7"/>
  <c r="RFZ5" i="7"/>
  <c r="RGA5" i="7"/>
  <c r="RGB5" i="7"/>
  <c r="RGC5" i="7"/>
  <c r="RGD5" i="7"/>
  <c r="RGE5" i="7"/>
  <c r="RGF5" i="7"/>
  <c r="RGG5" i="7"/>
  <c r="RGH5" i="7"/>
  <c r="RGI5" i="7"/>
  <c r="RGJ5" i="7"/>
  <c r="RGK5" i="7"/>
  <c r="RGL5" i="7"/>
  <c r="RGM5" i="7"/>
  <c r="RGN5" i="7"/>
  <c r="RGO5" i="7"/>
  <c r="RGP5" i="7"/>
  <c r="RGQ5" i="7"/>
  <c r="RGR5" i="7"/>
  <c r="RGS5" i="7"/>
  <c r="RGT5" i="7"/>
  <c r="RGU5" i="7"/>
  <c r="RGV5" i="7"/>
  <c r="RGW5" i="7"/>
  <c r="RGX5" i="7"/>
  <c r="RGY5" i="7"/>
  <c r="RGZ5" i="7"/>
  <c r="RHA5" i="7"/>
  <c r="RHB5" i="7"/>
  <c r="RHC5" i="7"/>
  <c r="RHD5" i="7"/>
  <c r="RHE5" i="7"/>
  <c r="RHF5" i="7"/>
  <c r="RHG5" i="7"/>
  <c r="RHH5" i="7"/>
  <c r="RHI5" i="7"/>
  <c r="RHJ5" i="7"/>
  <c r="RHK5" i="7"/>
  <c r="RHL5" i="7"/>
  <c r="RHM5" i="7"/>
  <c r="RHN5" i="7"/>
  <c r="RHO5" i="7"/>
  <c r="RHP5" i="7"/>
  <c r="RHQ5" i="7"/>
  <c r="RHR5" i="7"/>
  <c r="RHS5" i="7"/>
  <c r="RHT5" i="7"/>
  <c r="RHU5" i="7"/>
  <c r="RHV5" i="7"/>
  <c r="RHW5" i="7"/>
  <c r="RHX5" i="7"/>
  <c r="RHY5" i="7"/>
  <c r="RHZ5" i="7"/>
  <c r="RIA5" i="7"/>
  <c r="RIB5" i="7"/>
  <c r="RIC5" i="7"/>
  <c r="RID5" i="7"/>
  <c r="RIE5" i="7"/>
  <c r="RIF5" i="7"/>
  <c r="RIG5" i="7"/>
  <c r="RIH5" i="7"/>
  <c r="RII5" i="7"/>
  <c r="RIJ5" i="7"/>
  <c r="RIK5" i="7"/>
  <c r="RIL5" i="7"/>
  <c r="RIM5" i="7"/>
  <c r="RIN5" i="7"/>
  <c r="RIO5" i="7"/>
  <c r="RIP5" i="7"/>
  <c r="RIQ5" i="7"/>
  <c r="RIR5" i="7"/>
  <c r="RIS5" i="7"/>
  <c r="RIT5" i="7"/>
  <c r="RIU5" i="7"/>
  <c r="RIV5" i="7"/>
  <c r="RIW5" i="7"/>
  <c r="RIX5" i="7"/>
  <c r="RIY5" i="7"/>
  <c r="RIZ5" i="7"/>
  <c r="RJA5" i="7"/>
  <c r="RJB5" i="7"/>
  <c r="RJC5" i="7"/>
  <c r="RJD5" i="7"/>
  <c r="RJE5" i="7"/>
  <c r="RJF5" i="7"/>
  <c r="RJG5" i="7"/>
  <c r="RJH5" i="7"/>
  <c r="RJI5" i="7"/>
  <c r="RJJ5" i="7"/>
  <c r="RJK5" i="7"/>
  <c r="RJL5" i="7"/>
  <c r="RJM5" i="7"/>
  <c r="RJN5" i="7"/>
  <c r="RJO5" i="7"/>
  <c r="RJP5" i="7"/>
  <c r="RJQ5" i="7"/>
  <c r="RJR5" i="7"/>
  <c r="RJS5" i="7"/>
  <c r="RJT5" i="7"/>
  <c r="RJU5" i="7"/>
  <c r="RJV5" i="7"/>
  <c r="RJW5" i="7"/>
  <c r="RJX5" i="7"/>
  <c r="RJY5" i="7"/>
  <c r="RJZ5" i="7"/>
  <c r="RKA5" i="7"/>
  <c r="RKB5" i="7"/>
  <c r="RKC5" i="7"/>
  <c r="RKD5" i="7"/>
  <c r="RKE5" i="7"/>
  <c r="RKF5" i="7"/>
  <c r="RKG5" i="7"/>
  <c r="RKH5" i="7"/>
  <c r="RKI5" i="7"/>
  <c r="RKJ5" i="7"/>
  <c r="RKK5" i="7"/>
  <c r="RKL5" i="7"/>
  <c r="RKM5" i="7"/>
  <c r="RKN5" i="7"/>
  <c r="RKO5" i="7"/>
  <c r="RKP5" i="7"/>
  <c r="RKQ5" i="7"/>
  <c r="RKR5" i="7"/>
  <c r="RKS5" i="7"/>
  <c r="RKT5" i="7"/>
  <c r="RKU5" i="7"/>
  <c r="RKV5" i="7"/>
  <c r="RKW5" i="7"/>
  <c r="RKX5" i="7"/>
  <c r="RKY5" i="7"/>
  <c r="RKZ5" i="7"/>
  <c r="RLA5" i="7"/>
  <c r="RLB5" i="7"/>
  <c r="RLC5" i="7"/>
  <c r="RLD5" i="7"/>
  <c r="RLE5" i="7"/>
  <c r="RLF5" i="7"/>
  <c r="RLG5" i="7"/>
  <c r="RLH5" i="7"/>
  <c r="RLI5" i="7"/>
  <c r="RLJ5" i="7"/>
  <c r="RLK5" i="7"/>
  <c r="RLL5" i="7"/>
  <c r="RLM5" i="7"/>
  <c r="RLN5" i="7"/>
  <c r="RLO5" i="7"/>
  <c r="RLP5" i="7"/>
  <c r="RLQ5" i="7"/>
  <c r="RLR5" i="7"/>
  <c r="RLS5" i="7"/>
  <c r="RLT5" i="7"/>
  <c r="RLU5" i="7"/>
  <c r="RLV5" i="7"/>
  <c r="RLW5" i="7"/>
  <c r="RLX5" i="7"/>
  <c r="RLY5" i="7"/>
  <c r="RLZ5" i="7"/>
  <c r="RMA5" i="7"/>
  <c r="RMB5" i="7"/>
  <c r="RMC5" i="7"/>
  <c r="RMD5" i="7"/>
  <c r="RME5" i="7"/>
  <c r="RMF5" i="7"/>
  <c r="RMG5" i="7"/>
  <c r="RMH5" i="7"/>
  <c r="RMI5" i="7"/>
  <c r="RMJ5" i="7"/>
  <c r="RMK5" i="7"/>
  <c r="RML5" i="7"/>
  <c r="RMM5" i="7"/>
  <c r="RMN5" i="7"/>
  <c r="RMO5" i="7"/>
  <c r="RMP5" i="7"/>
  <c r="RMQ5" i="7"/>
  <c r="RMR5" i="7"/>
  <c r="RMS5" i="7"/>
  <c r="RMT5" i="7"/>
  <c r="RMU5" i="7"/>
  <c r="RMV5" i="7"/>
  <c r="RMW5" i="7"/>
  <c r="RMX5" i="7"/>
  <c r="RMY5" i="7"/>
  <c r="RMZ5" i="7"/>
  <c r="RNA5" i="7"/>
  <c r="RNB5" i="7"/>
  <c r="RNC5" i="7"/>
  <c r="RND5" i="7"/>
  <c r="RNE5" i="7"/>
  <c r="RNF5" i="7"/>
  <c r="RNG5" i="7"/>
  <c r="RNH5" i="7"/>
  <c r="RNI5" i="7"/>
  <c r="RNJ5" i="7"/>
  <c r="RNK5" i="7"/>
  <c r="RNL5" i="7"/>
  <c r="RNM5" i="7"/>
  <c r="RNN5" i="7"/>
  <c r="RNO5" i="7"/>
  <c r="RNP5" i="7"/>
  <c r="RNQ5" i="7"/>
  <c r="RNR5" i="7"/>
  <c r="RNS5" i="7"/>
  <c r="RNT5" i="7"/>
  <c r="RNU5" i="7"/>
  <c r="RNV5" i="7"/>
  <c r="RNW5" i="7"/>
  <c r="RNX5" i="7"/>
  <c r="RNY5" i="7"/>
  <c r="RNZ5" i="7"/>
  <c r="ROA5" i="7"/>
  <c r="ROB5" i="7"/>
  <c r="ROC5" i="7"/>
  <c r="ROD5" i="7"/>
  <c r="ROE5" i="7"/>
  <c r="ROF5" i="7"/>
  <c r="ROG5" i="7"/>
  <c r="ROH5" i="7"/>
  <c r="ROI5" i="7"/>
  <c r="ROJ5" i="7"/>
  <c r="ROK5" i="7"/>
  <c r="ROL5" i="7"/>
  <c r="ROM5" i="7"/>
  <c r="RON5" i="7"/>
  <c r="ROO5" i="7"/>
  <c r="ROP5" i="7"/>
  <c r="ROQ5" i="7"/>
  <c r="ROR5" i="7"/>
  <c r="ROS5" i="7"/>
  <c r="ROT5" i="7"/>
  <c r="ROU5" i="7"/>
  <c r="ROV5" i="7"/>
  <c r="ROW5" i="7"/>
  <c r="ROX5" i="7"/>
  <c r="ROY5" i="7"/>
  <c r="ROZ5" i="7"/>
  <c r="RPA5" i="7"/>
  <c r="RPB5" i="7"/>
  <c r="RPC5" i="7"/>
  <c r="RPD5" i="7"/>
  <c r="RPE5" i="7"/>
  <c r="RPF5" i="7"/>
  <c r="RPG5" i="7"/>
  <c r="RPH5" i="7"/>
  <c r="RPI5" i="7"/>
  <c r="RPJ5" i="7"/>
  <c r="RPK5" i="7"/>
  <c r="RPL5" i="7"/>
  <c r="RPM5" i="7"/>
  <c r="RPN5" i="7"/>
  <c r="RPO5" i="7"/>
  <c r="RPP5" i="7"/>
  <c r="RPQ5" i="7"/>
  <c r="RPR5" i="7"/>
  <c r="RPS5" i="7"/>
  <c r="RPT5" i="7"/>
  <c r="RPU5" i="7"/>
  <c r="RPV5" i="7"/>
  <c r="RPW5" i="7"/>
  <c r="RPX5" i="7"/>
  <c r="RPY5" i="7"/>
  <c r="RPZ5" i="7"/>
  <c r="RQA5" i="7"/>
  <c r="RQB5" i="7"/>
  <c r="RQC5" i="7"/>
  <c r="RQD5" i="7"/>
  <c r="RQE5" i="7"/>
  <c r="RQF5" i="7"/>
  <c r="RQG5" i="7"/>
  <c r="RQH5" i="7"/>
  <c r="RQI5" i="7"/>
  <c r="RQJ5" i="7"/>
  <c r="RQK5" i="7"/>
  <c r="RQL5" i="7"/>
  <c r="RQM5" i="7"/>
  <c r="RQN5" i="7"/>
  <c r="RQO5" i="7"/>
  <c r="RQP5" i="7"/>
  <c r="RQQ5" i="7"/>
  <c r="RQR5" i="7"/>
  <c r="RQS5" i="7"/>
  <c r="RQT5" i="7"/>
  <c r="RQU5" i="7"/>
  <c r="RQV5" i="7"/>
  <c r="RQW5" i="7"/>
  <c r="RQX5" i="7"/>
  <c r="RQY5" i="7"/>
  <c r="RQZ5" i="7"/>
  <c r="RRA5" i="7"/>
  <c r="RRB5" i="7"/>
  <c r="RRC5" i="7"/>
  <c r="RRD5" i="7"/>
  <c r="RRE5" i="7"/>
  <c r="RRF5" i="7"/>
  <c r="RRG5" i="7"/>
  <c r="RRH5" i="7"/>
  <c r="RRI5" i="7"/>
  <c r="RRJ5" i="7"/>
  <c r="RRK5" i="7"/>
  <c r="RRL5" i="7"/>
  <c r="RRM5" i="7"/>
  <c r="RRN5" i="7"/>
  <c r="RRO5" i="7"/>
  <c r="RRP5" i="7"/>
  <c r="RRQ5" i="7"/>
  <c r="RRR5" i="7"/>
  <c r="RRS5" i="7"/>
  <c r="RRT5" i="7"/>
  <c r="RRU5" i="7"/>
  <c r="RRV5" i="7"/>
  <c r="RRW5" i="7"/>
  <c r="RRX5" i="7"/>
  <c r="RRY5" i="7"/>
  <c r="RRZ5" i="7"/>
  <c r="RSA5" i="7"/>
  <c r="RSB5" i="7"/>
  <c r="RSC5" i="7"/>
  <c r="RSD5" i="7"/>
  <c r="RSE5" i="7"/>
  <c r="RSF5" i="7"/>
  <c r="RSG5" i="7"/>
  <c r="RSH5" i="7"/>
  <c r="RSI5" i="7"/>
  <c r="RSJ5" i="7"/>
  <c r="RSK5" i="7"/>
  <c r="RSL5" i="7"/>
  <c r="RSM5" i="7"/>
  <c r="RSN5" i="7"/>
  <c r="RSO5" i="7"/>
  <c r="RSP5" i="7"/>
  <c r="RSQ5" i="7"/>
  <c r="RSR5" i="7"/>
  <c r="RSS5" i="7"/>
  <c r="RST5" i="7"/>
  <c r="RSU5" i="7"/>
  <c r="RSV5" i="7"/>
  <c r="RSW5" i="7"/>
  <c r="RSX5" i="7"/>
  <c r="RSY5" i="7"/>
  <c r="RSZ5" i="7"/>
  <c r="RTA5" i="7"/>
  <c r="RTB5" i="7"/>
  <c r="RTC5" i="7"/>
  <c r="RTD5" i="7"/>
  <c r="RTE5" i="7"/>
  <c r="RTF5" i="7"/>
  <c r="RTG5" i="7"/>
  <c r="RTH5" i="7"/>
  <c r="RTI5" i="7"/>
  <c r="RTJ5" i="7"/>
  <c r="RTK5" i="7"/>
  <c r="RTL5" i="7"/>
  <c r="RTM5" i="7"/>
  <c r="RTN5" i="7"/>
  <c r="RTO5" i="7"/>
  <c r="RTP5" i="7"/>
  <c r="RTQ5" i="7"/>
  <c r="RTR5" i="7"/>
  <c r="RTS5" i="7"/>
  <c r="RTT5" i="7"/>
  <c r="RTU5" i="7"/>
  <c r="RTV5" i="7"/>
  <c r="RTW5" i="7"/>
  <c r="RTX5" i="7"/>
  <c r="RTY5" i="7"/>
  <c r="RTZ5" i="7"/>
  <c r="RUA5" i="7"/>
  <c r="RUB5" i="7"/>
  <c r="RUC5" i="7"/>
  <c r="RUD5" i="7"/>
  <c r="RUE5" i="7"/>
  <c r="RUF5" i="7"/>
  <c r="RUG5" i="7"/>
  <c r="RUH5" i="7"/>
  <c r="RUI5" i="7"/>
  <c r="RUJ5" i="7"/>
  <c r="RUK5" i="7"/>
  <c r="RUL5" i="7"/>
  <c r="RUM5" i="7"/>
  <c r="RUN5" i="7"/>
  <c r="RUO5" i="7"/>
  <c r="RUP5" i="7"/>
  <c r="RUQ5" i="7"/>
  <c r="RUR5" i="7"/>
  <c r="RUS5" i="7"/>
  <c r="RUT5" i="7"/>
  <c r="RUU5" i="7"/>
  <c r="RUV5" i="7"/>
  <c r="RUW5" i="7"/>
  <c r="RUX5" i="7"/>
  <c r="RUY5" i="7"/>
  <c r="RUZ5" i="7"/>
  <c r="RVA5" i="7"/>
  <c r="RVB5" i="7"/>
  <c r="RVC5" i="7"/>
  <c r="RVD5" i="7"/>
  <c r="RVE5" i="7"/>
  <c r="RVF5" i="7"/>
  <c r="RVG5" i="7"/>
  <c r="RVH5" i="7"/>
  <c r="RVI5" i="7"/>
  <c r="RVJ5" i="7"/>
  <c r="RVK5" i="7"/>
  <c r="RVL5" i="7"/>
  <c r="RVM5" i="7"/>
  <c r="RVN5" i="7"/>
  <c r="RVO5" i="7"/>
  <c r="RVP5" i="7"/>
  <c r="RVQ5" i="7"/>
  <c r="RVR5" i="7"/>
  <c r="RVS5" i="7"/>
  <c r="RVT5" i="7"/>
  <c r="RVU5" i="7"/>
  <c r="RVV5" i="7"/>
  <c r="RVW5" i="7"/>
  <c r="RVX5" i="7"/>
  <c r="RVY5" i="7"/>
  <c r="RVZ5" i="7"/>
  <c r="RWA5" i="7"/>
  <c r="RWB5" i="7"/>
  <c r="RWC5" i="7"/>
  <c r="RWD5" i="7"/>
  <c r="RWE5" i="7"/>
  <c r="RWF5" i="7"/>
  <c r="RWG5" i="7"/>
  <c r="RWH5" i="7"/>
  <c r="RWI5" i="7"/>
  <c r="RWJ5" i="7"/>
  <c r="RWK5" i="7"/>
  <c r="RWL5" i="7"/>
  <c r="RWM5" i="7"/>
  <c r="RWN5" i="7"/>
  <c r="RWO5" i="7"/>
  <c r="RWP5" i="7"/>
  <c r="RWQ5" i="7"/>
  <c r="RWR5" i="7"/>
  <c r="RWS5" i="7"/>
  <c r="RWT5" i="7"/>
  <c r="RWU5" i="7"/>
  <c r="RWV5" i="7"/>
  <c r="RWW5" i="7"/>
  <c r="RWX5" i="7"/>
  <c r="RWY5" i="7"/>
  <c r="RWZ5" i="7"/>
  <c r="RXA5" i="7"/>
  <c r="RXB5" i="7"/>
  <c r="RXC5" i="7"/>
  <c r="RXD5" i="7"/>
  <c r="RXE5" i="7"/>
  <c r="RXF5" i="7"/>
  <c r="RXG5" i="7"/>
  <c r="RXH5" i="7"/>
  <c r="RXI5" i="7"/>
  <c r="RXJ5" i="7"/>
  <c r="RXK5" i="7"/>
  <c r="RXL5" i="7"/>
  <c r="RXM5" i="7"/>
  <c r="RXN5" i="7"/>
  <c r="RXO5" i="7"/>
  <c r="RXP5" i="7"/>
  <c r="RXQ5" i="7"/>
  <c r="RXR5" i="7"/>
  <c r="RXS5" i="7"/>
  <c r="RXT5" i="7"/>
  <c r="RXU5" i="7"/>
  <c r="RXV5" i="7"/>
  <c r="RXW5" i="7"/>
  <c r="RXX5" i="7"/>
  <c r="RXY5" i="7"/>
  <c r="RXZ5" i="7"/>
  <c r="RYA5" i="7"/>
  <c r="RYB5" i="7"/>
  <c r="RYC5" i="7"/>
  <c r="RYD5" i="7"/>
  <c r="RYE5" i="7"/>
  <c r="RYF5" i="7"/>
  <c r="RYG5" i="7"/>
  <c r="RYH5" i="7"/>
  <c r="RYI5" i="7"/>
  <c r="RYJ5" i="7"/>
  <c r="RYK5" i="7"/>
  <c r="RYL5" i="7"/>
  <c r="RYM5" i="7"/>
  <c r="RYN5" i="7"/>
  <c r="RYO5" i="7"/>
  <c r="RYP5" i="7"/>
  <c r="RYQ5" i="7"/>
  <c r="RYR5" i="7"/>
  <c r="RYS5" i="7"/>
  <c r="RYT5" i="7"/>
  <c r="RYU5" i="7"/>
  <c r="RYV5" i="7"/>
  <c r="RYW5" i="7"/>
  <c r="RYX5" i="7"/>
  <c r="RYY5" i="7"/>
  <c r="RYZ5" i="7"/>
  <c r="RZA5" i="7"/>
  <c r="RZB5" i="7"/>
  <c r="RZC5" i="7"/>
  <c r="RZD5" i="7"/>
  <c r="RZE5" i="7"/>
  <c r="RZF5" i="7"/>
  <c r="RZG5" i="7"/>
  <c r="RZH5" i="7"/>
  <c r="RZI5" i="7"/>
  <c r="RZJ5" i="7"/>
  <c r="RZK5" i="7"/>
  <c r="RZL5" i="7"/>
  <c r="RZM5" i="7"/>
  <c r="RZN5" i="7"/>
  <c r="RZO5" i="7"/>
  <c r="RZP5" i="7"/>
  <c r="RZQ5" i="7"/>
  <c r="RZR5" i="7"/>
  <c r="RZS5" i="7"/>
  <c r="RZT5" i="7"/>
  <c r="RZU5" i="7"/>
  <c r="RZV5" i="7"/>
  <c r="RZW5" i="7"/>
  <c r="RZX5" i="7"/>
  <c r="RZY5" i="7"/>
  <c r="RZZ5" i="7"/>
  <c r="SAA5" i="7"/>
  <c r="SAB5" i="7"/>
  <c r="SAC5" i="7"/>
  <c r="SAD5" i="7"/>
  <c r="SAE5" i="7"/>
  <c r="SAF5" i="7"/>
  <c r="SAG5" i="7"/>
  <c r="SAH5" i="7"/>
  <c r="SAI5" i="7"/>
  <c r="SAJ5" i="7"/>
  <c r="SAK5" i="7"/>
  <c r="SAL5" i="7"/>
  <c r="SAM5" i="7"/>
  <c r="SAN5" i="7"/>
  <c r="SAO5" i="7"/>
  <c r="SAP5" i="7"/>
  <c r="SAQ5" i="7"/>
  <c r="SAR5" i="7"/>
  <c r="SAS5" i="7"/>
  <c r="SAT5" i="7"/>
  <c r="SAU5" i="7"/>
  <c r="SAV5" i="7"/>
  <c r="SAW5" i="7"/>
  <c r="SAX5" i="7"/>
  <c r="SAY5" i="7"/>
  <c r="SAZ5" i="7"/>
  <c r="SBA5" i="7"/>
  <c r="SBB5" i="7"/>
  <c r="SBC5" i="7"/>
  <c r="SBD5" i="7"/>
  <c r="SBE5" i="7"/>
  <c r="SBF5" i="7"/>
  <c r="SBG5" i="7"/>
  <c r="SBH5" i="7"/>
  <c r="SBI5" i="7"/>
  <c r="SBJ5" i="7"/>
  <c r="SBK5" i="7"/>
  <c r="SBL5" i="7"/>
  <c r="SBM5" i="7"/>
  <c r="SBN5" i="7"/>
  <c r="SBO5" i="7"/>
  <c r="SBP5" i="7"/>
  <c r="SBQ5" i="7"/>
  <c r="SBR5" i="7"/>
  <c r="SBS5" i="7"/>
  <c r="SBT5" i="7"/>
  <c r="SBU5" i="7"/>
  <c r="SBV5" i="7"/>
  <c r="SBW5" i="7"/>
  <c r="SBX5" i="7"/>
  <c r="SBY5" i="7"/>
  <c r="SBZ5" i="7"/>
  <c r="SCA5" i="7"/>
  <c r="SCB5" i="7"/>
  <c r="SCC5" i="7"/>
  <c r="SCD5" i="7"/>
  <c r="SCE5" i="7"/>
  <c r="SCF5" i="7"/>
  <c r="SCG5" i="7"/>
  <c r="SCH5" i="7"/>
  <c r="SCI5" i="7"/>
  <c r="SCJ5" i="7"/>
  <c r="SCK5" i="7"/>
  <c r="SCL5" i="7"/>
  <c r="SCM5" i="7"/>
  <c r="SCN5" i="7"/>
  <c r="SCO5" i="7"/>
  <c r="SCP5" i="7"/>
  <c r="SCQ5" i="7"/>
  <c r="SCR5" i="7"/>
  <c r="SCS5" i="7"/>
  <c r="SCT5" i="7"/>
  <c r="SCU5" i="7"/>
  <c r="SCV5" i="7"/>
  <c r="SCW5" i="7"/>
  <c r="SCX5" i="7"/>
  <c r="SCY5" i="7"/>
  <c r="SCZ5" i="7"/>
  <c r="SDA5" i="7"/>
  <c r="SDB5" i="7"/>
  <c r="SDC5" i="7"/>
  <c r="SDD5" i="7"/>
  <c r="SDE5" i="7"/>
  <c r="SDF5" i="7"/>
  <c r="SDG5" i="7"/>
  <c r="SDH5" i="7"/>
  <c r="SDI5" i="7"/>
  <c r="SDJ5" i="7"/>
  <c r="SDK5" i="7"/>
  <c r="SDL5" i="7"/>
  <c r="SDM5" i="7"/>
  <c r="SDN5" i="7"/>
  <c r="SDO5" i="7"/>
  <c r="SDP5" i="7"/>
  <c r="SDQ5" i="7"/>
  <c r="SDR5" i="7"/>
  <c r="SDS5" i="7"/>
  <c r="SDT5" i="7"/>
  <c r="SDU5" i="7"/>
  <c r="SDV5" i="7"/>
  <c r="SDW5" i="7"/>
  <c r="SDX5" i="7"/>
  <c r="SDY5" i="7"/>
  <c r="SDZ5" i="7"/>
  <c r="SEA5" i="7"/>
  <c r="SEB5" i="7"/>
  <c r="SEC5" i="7"/>
  <c r="SED5" i="7"/>
  <c r="SEE5" i="7"/>
  <c r="SEF5" i="7"/>
  <c r="SEG5" i="7"/>
  <c r="SEH5" i="7"/>
  <c r="SEI5" i="7"/>
  <c r="SEJ5" i="7"/>
  <c r="SEK5" i="7"/>
  <c r="SEL5" i="7"/>
  <c r="SEM5" i="7"/>
  <c r="SEN5" i="7"/>
  <c r="SEO5" i="7"/>
  <c r="SEP5" i="7"/>
  <c r="SEQ5" i="7"/>
  <c r="SER5" i="7"/>
  <c r="SES5" i="7"/>
  <c r="SET5" i="7"/>
  <c r="SEU5" i="7"/>
  <c r="SEV5" i="7"/>
  <c r="SEW5" i="7"/>
  <c r="SEX5" i="7"/>
  <c r="SEY5" i="7"/>
  <c r="SEZ5" i="7"/>
  <c r="SFA5" i="7"/>
  <c r="SFB5" i="7"/>
  <c r="SFC5" i="7"/>
  <c r="SFD5" i="7"/>
  <c r="SFE5" i="7"/>
  <c r="SFF5" i="7"/>
  <c r="SFG5" i="7"/>
  <c r="SFH5" i="7"/>
  <c r="SFI5" i="7"/>
  <c r="SFJ5" i="7"/>
  <c r="SFK5" i="7"/>
  <c r="SFL5" i="7"/>
  <c r="SFM5" i="7"/>
  <c r="SFN5" i="7"/>
  <c r="SFO5" i="7"/>
  <c r="SFP5" i="7"/>
  <c r="SFQ5" i="7"/>
  <c r="SFR5" i="7"/>
  <c r="SFS5" i="7"/>
  <c r="SFT5" i="7"/>
  <c r="SFU5" i="7"/>
  <c r="SFV5" i="7"/>
  <c r="SFW5" i="7"/>
  <c r="SFX5" i="7"/>
  <c r="SFY5" i="7"/>
  <c r="SFZ5" i="7"/>
  <c r="SGA5" i="7"/>
  <c r="SGB5" i="7"/>
  <c r="SGC5" i="7"/>
  <c r="SGD5" i="7"/>
  <c r="SGE5" i="7"/>
  <c r="SGF5" i="7"/>
  <c r="SGG5" i="7"/>
  <c r="SGH5" i="7"/>
  <c r="SGI5" i="7"/>
  <c r="SGJ5" i="7"/>
  <c r="SGK5" i="7"/>
  <c r="SGL5" i="7"/>
  <c r="SGM5" i="7"/>
  <c r="SGN5" i="7"/>
  <c r="SGO5" i="7"/>
  <c r="SGP5" i="7"/>
  <c r="SGQ5" i="7"/>
  <c r="SGR5" i="7"/>
  <c r="SGS5" i="7"/>
  <c r="SGT5" i="7"/>
  <c r="SGU5" i="7"/>
  <c r="SGV5" i="7"/>
  <c r="SGW5" i="7"/>
  <c r="SGX5" i="7"/>
  <c r="SGY5" i="7"/>
  <c r="SGZ5" i="7"/>
  <c r="SHA5" i="7"/>
  <c r="SHB5" i="7"/>
  <c r="SHC5" i="7"/>
  <c r="SHD5" i="7"/>
  <c r="SHE5" i="7"/>
  <c r="SHF5" i="7"/>
  <c r="SHG5" i="7"/>
  <c r="SHH5" i="7"/>
  <c r="SHI5" i="7"/>
  <c r="SHJ5" i="7"/>
  <c r="SHK5" i="7"/>
  <c r="SHL5" i="7"/>
  <c r="SHM5" i="7"/>
  <c r="SHN5" i="7"/>
  <c r="SHO5" i="7"/>
  <c r="SHP5" i="7"/>
  <c r="SHQ5" i="7"/>
  <c r="SHR5" i="7"/>
  <c r="SHS5" i="7"/>
  <c r="SHT5" i="7"/>
  <c r="SHU5" i="7"/>
  <c r="SHV5" i="7"/>
  <c r="SHW5" i="7"/>
  <c r="SHX5" i="7"/>
  <c r="SHY5" i="7"/>
  <c r="SHZ5" i="7"/>
  <c r="SIA5" i="7"/>
  <c r="SIB5" i="7"/>
  <c r="SIC5" i="7"/>
  <c r="SID5" i="7"/>
  <c r="SIE5" i="7"/>
  <c r="SIF5" i="7"/>
  <c r="SIG5" i="7"/>
  <c r="SIH5" i="7"/>
  <c r="SII5" i="7"/>
  <c r="SIJ5" i="7"/>
  <c r="SIK5" i="7"/>
  <c r="SIL5" i="7"/>
  <c r="SIM5" i="7"/>
  <c r="SIN5" i="7"/>
  <c r="SIO5" i="7"/>
  <c r="SIP5" i="7"/>
  <c r="SIQ5" i="7"/>
  <c r="SIR5" i="7"/>
  <c r="SIS5" i="7"/>
  <c r="SIT5" i="7"/>
  <c r="SIU5" i="7"/>
  <c r="SIV5" i="7"/>
  <c r="SIW5" i="7"/>
  <c r="SIX5" i="7"/>
  <c r="SIY5" i="7"/>
  <c r="SIZ5" i="7"/>
  <c r="SJA5" i="7"/>
  <c r="SJB5" i="7"/>
  <c r="SJC5" i="7"/>
  <c r="SJD5" i="7"/>
  <c r="SJE5" i="7"/>
  <c r="SJF5" i="7"/>
  <c r="SJG5" i="7"/>
  <c r="SJH5" i="7"/>
  <c r="SJI5" i="7"/>
  <c r="SJJ5" i="7"/>
  <c r="SJK5" i="7"/>
  <c r="SJL5" i="7"/>
  <c r="SJM5" i="7"/>
  <c r="SJN5" i="7"/>
  <c r="SJO5" i="7"/>
  <c r="SJP5" i="7"/>
  <c r="SJQ5" i="7"/>
  <c r="SJR5" i="7"/>
  <c r="SJS5" i="7"/>
  <c r="SJT5" i="7"/>
  <c r="SJU5" i="7"/>
  <c r="SJV5" i="7"/>
  <c r="SJW5" i="7"/>
  <c r="SJX5" i="7"/>
  <c r="SJY5" i="7"/>
  <c r="SJZ5" i="7"/>
  <c r="SKA5" i="7"/>
  <c r="SKB5" i="7"/>
  <c r="SKC5" i="7"/>
  <c r="SKD5" i="7"/>
  <c r="SKE5" i="7"/>
  <c r="SKF5" i="7"/>
  <c r="SKG5" i="7"/>
  <c r="SKH5" i="7"/>
  <c r="SKI5" i="7"/>
  <c r="SKJ5" i="7"/>
  <c r="SKK5" i="7"/>
  <c r="SKL5" i="7"/>
  <c r="SKM5" i="7"/>
  <c r="SKN5" i="7"/>
  <c r="SKO5" i="7"/>
  <c r="SKP5" i="7"/>
  <c r="SKQ5" i="7"/>
  <c r="SKR5" i="7"/>
  <c r="SKS5" i="7"/>
  <c r="SKT5" i="7"/>
  <c r="SKU5" i="7"/>
  <c r="SKV5" i="7"/>
  <c r="SKW5" i="7"/>
  <c r="SKX5" i="7"/>
  <c r="SKY5" i="7"/>
  <c r="SKZ5" i="7"/>
  <c r="SLA5" i="7"/>
  <c r="SLB5" i="7"/>
  <c r="SLC5" i="7"/>
  <c r="SLD5" i="7"/>
  <c r="SLE5" i="7"/>
  <c r="SLF5" i="7"/>
  <c r="SLG5" i="7"/>
  <c r="SLH5" i="7"/>
  <c r="SLI5" i="7"/>
  <c r="SLJ5" i="7"/>
  <c r="SLK5" i="7"/>
  <c r="SLL5" i="7"/>
  <c r="SLM5" i="7"/>
  <c r="SLN5" i="7"/>
  <c r="SLO5" i="7"/>
  <c r="SLP5" i="7"/>
  <c r="SLQ5" i="7"/>
  <c r="SLR5" i="7"/>
  <c r="SLS5" i="7"/>
  <c r="SLT5" i="7"/>
  <c r="SLU5" i="7"/>
  <c r="SLV5" i="7"/>
  <c r="SLW5" i="7"/>
  <c r="SLX5" i="7"/>
  <c r="SLY5" i="7"/>
  <c r="SLZ5" i="7"/>
  <c r="SMA5" i="7"/>
  <c r="SMB5" i="7"/>
  <c r="SMC5" i="7"/>
  <c r="SMD5" i="7"/>
  <c r="SME5" i="7"/>
  <c r="SMF5" i="7"/>
  <c r="SMG5" i="7"/>
  <c r="SMH5" i="7"/>
  <c r="SMI5" i="7"/>
  <c r="SMJ5" i="7"/>
  <c r="SMK5" i="7"/>
  <c r="SML5" i="7"/>
  <c r="SMM5" i="7"/>
  <c r="SMN5" i="7"/>
  <c r="SMO5" i="7"/>
  <c r="SMP5" i="7"/>
  <c r="SMQ5" i="7"/>
  <c r="SMR5" i="7"/>
  <c r="SMS5" i="7"/>
  <c r="SMT5" i="7"/>
  <c r="SMU5" i="7"/>
  <c r="SMV5" i="7"/>
  <c r="SMW5" i="7"/>
  <c r="SMX5" i="7"/>
  <c r="SMY5" i="7"/>
  <c r="SMZ5" i="7"/>
  <c r="SNA5" i="7"/>
  <c r="SNB5" i="7"/>
  <c r="SNC5" i="7"/>
  <c r="SND5" i="7"/>
  <c r="SNE5" i="7"/>
  <c r="SNF5" i="7"/>
  <c r="SNG5" i="7"/>
  <c r="SNH5" i="7"/>
  <c r="SNI5" i="7"/>
  <c r="SNJ5" i="7"/>
  <c r="SNK5" i="7"/>
  <c r="SNL5" i="7"/>
  <c r="SNM5" i="7"/>
  <c r="SNN5" i="7"/>
  <c r="SNO5" i="7"/>
  <c r="SNP5" i="7"/>
  <c r="SNQ5" i="7"/>
  <c r="SNR5" i="7"/>
  <c r="SNS5" i="7"/>
  <c r="SNT5" i="7"/>
  <c r="SNU5" i="7"/>
  <c r="SNV5" i="7"/>
  <c r="SNW5" i="7"/>
  <c r="SNX5" i="7"/>
  <c r="SNY5" i="7"/>
  <c r="SNZ5" i="7"/>
  <c r="SOA5" i="7"/>
  <c r="SOB5" i="7"/>
  <c r="SOC5" i="7"/>
  <c r="SOD5" i="7"/>
  <c r="SOE5" i="7"/>
  <c r="SOF5" i="7"/>
  <c r="SOG5" i="7"/>
  <c r="SOH5" i="7"/>
  <c r="SOI5" i="7"/>
  <c r="SOJ5" i="7"/>
  <c r="SOK5" i="7"/>
  <c r="SOL5" i="7"/>
  <c r="SOM5" i="7"/>
  <c r="SON5" i="7"/>
  <c r="SOO5" i="7"/>
  <c r="SOP5" i="7"/>
  <c r="SOQ5" i="7"/>
  <c r="SOR5" i="7"/>
  <c r="SOS5" i="7"/>
  <c r="SOT5" i="7"/>
  <c r="SOU5" i="7"/>
  <c r="SOV5" i="7"/>
  <c r="SOW5" i="7"/>
  <c r="SOX5" i="7"/>
  <c r="SOY5" i="7"/>
  <c r="SOZ5" i="7"/>
  <c r="SPA5" i="7"/>
  <c r="SPB5" i="7"/>
  <c r="SPC5" i="7"/>
  <c r="SPD5" i="7"/>
  <c r="SPE5" i="7"/>
  <c r="SPF5" i="7"/>
  <c r="SPG5" i="7"/>
  <c r="SPH5" i="7"/>
  <c r="SPI5" i="7"/>
  <c r="SPJ5" i="7"/>
  <c r="SPK5" i="7"/>
  <c r="SPL5" i="7"/>
  <c r="SPM5" i="7"/>
  <c r="SPN5" i="7"/>
  <c r="SPO5" i="7"/>
  <c r="SPP5" i="7"/>
  <c r="SPQ5" i="7"/>
  <c r="SPR5" i="7"/>
  <c r="SPS5" i="7"/>
  <c r="SPT5" i="7"/>
  <c r="SPU5" i="7"/>
  <c r="SPV5" i="7"/>
  <c r="SPW5" i="7"/>
  <c r="SPX5" i="7"/>
  <c r="SPY5" i="7"/>
  <c r="SPZ5" i="7"/>
  <c r="SQA5" i="7"/>
  <c r="SQB5" i="7"/>
  <c r="SQC5" i="7"/>
  <c r="SQD5" i="7"/>
  <c r="SQE5" i="7"/>
  <c r="SQF5" i="7"/>
  <c r="SQG5" i="7"/>
  <c r="SQH5" i="7"/>
  <c r="SQI5" i="7"/>
  <c r="SQJ5" i="7"/>
  <c r="SQK5" i="7"/>
  <c r="SQL5" i="7"/>
  <c r="SQM5" i="7"/>
  <c r="SQN5" i="7"/>
  <c r="SQO5" i="7"/>
  <c r="SQP5" i="7"/>
  <c r="SQQ5" i="7"/>
  <c r="SQR5" i="7"/>
  <c r="SQS5" i="7"/>
  <c r="SQT5" i="7"/>
  <c r="SQU5" i="7"/>
  <c r="SQV5" i="7"/>
  <c r="SQW5" i="7"/>
  <c r="SQX5" i="7"/>
  <c r="SQY5" i="7"/>
  <c r="SQZ5" i="7"/>
  <c r="SRA5" i="7"/>
  <c r="SRB5" i="7"/>
  <c r="SRC5" i="7"/>
  <c r="SRD5" i="7"/>
  <c r="SRE5" i="7"/>
  <c r="SRF5" i="7"/>
  <c r="SRG5" i="7"/>
  <c r="SRH5" i="7"/>
  <c r="SRI5" i="7"/>
  <c r="SRJ5" i="7"/>
  <c r="SRK5" i="7"/>
  <c r="SRL5" i="7"/>
  <c r="SRM5" i="7"/>
  <c r="SRN5" i="7"/>
  <c r="SRO5" i="7"/>
  <c r="SRP5" i="7"/>
  <c r="SRQ5" i="7"/>
  <c r="SRR5" i="7"/>
  <c r="SRS5" i="7"/>
  <c r="SRT5" i="7"/>
  <c r="SRU5" i="7"/>
  <c r="SRV5" i="7"/>
  <c r="SRW5" i="7"/>
  <c r="SRX5" i="7"/>
  <c r="SRY5" i="7"/>
  <c r="SRZ5" i="7"/>
  <c r="SSA5" i="7"/>
  <c r="SSB5" i="7"/>
  <c r="SSC5" i="7"/>
  <c r="SSD5" i="7"/>
  <c r="SSE5" i="7"/>
  <c r="SSF5" i="7"/>
  <c r="SSG5" i="7"/>
  <c r="SSH5" i="7"/>
  <c r="SSI5" i="7"/>
  <c r="SSJ5" i="7"/>
  <c r="SSK5" i="7"/>
  <c r="SSL5" i="7"/>
  <c r="SSM5" i="7"/>
  <c r="SSN5" i="7"/>
  <c r="SSO5" i="7"/>
  <c r="SSP5" i="7"/>
  <c r="SSQ5" i="7"/>
  <c r="SSR5" i="7"/>
  <c r="SSS5" i="7"/>
  <c r="SST5" i="7"/>
  <c r="SSU5" i="7"/>
  <c r="SSV5" i="7"/>
  <c r="SSW5" i="7"/>
  <c r="SSX5" i="7"/>
  <c r="SSY5" i="7"/>
  <c r="SSZ5" i="7"/>
  <c r="STA5" i="7"/>
  <c r="STB5" i="7"/>
  <c r="STC5" i="7"/>
  <c r="STD5" i="7"/>
  <c r="STE5" i="7"/>
  <c r="STF5" i="7"/>
  <c r="STG5" i="7"/>
  <c r="STH5" i="7"/>
  <c r="STI5" i="7"/>
  <c r="STJ5" i="7"/>
  <c r="STK5" i="7"/>
  <c r="STL5" i="7"/>
  <c r="STM5" i="7"/>
  <c r="STN5" i="7"/>
  <c r="STO5" i="7"/>
  <c r="STP5" i="7"/>
  <c r="STQ5" i="7"/>
  <c r="STR5" i="7"/>
  <c r="STS5" i="7"/>
  <c r="STT5" i="7"/>
  <c r="STU5" i="7"/>
  <c r="STV5" i="7"/>
  <c r="STW5" i="7"/>
  <c r="STX5" i="7"/>
  <c r="STY5" i="7"/>
  <c r="STZ5" i="7"/>
  <c r="SUA5" i="7"/>
  <c r="SUB5" i="7"/>
  <c r="SUC5" i="7"/>
  <c r="SUD5" i="7"/>
  <c r="SUE5" i="7"/>
  <c r="SUF5" i="7"/>
  <c r="SUG5" i="7"/>
  <c r="SUH5" i="7"/>
  <c r="SUI5" i="7"/>
  <c r="SUJ5" i="7"/>
  <c r="SUK5" i="7"/>
  <c r="SUL5" i="7"/>
  <c r="SUM5" i="7"/>
  <c r="SUN5" i="7"/>
  <c r="SUO5" i="7"/>
  <c r="SUP5" i="7"/>
  <c r="SUQ5" i="7"/>
  <c r="SUR5" i="7"/>
  <c r="SUS5" i="7"/>
  <c r="SUT5" i="7"/>
  <c r="SUU5" i="7"/>
  <c r="SUV5" i="7"/>
  <c r="SUW5" i="7"/>
  <c r="SUX5" i="7"/>
  <c r="SUY5" i="7"/>
  <c r="SUZ5" i="7"/>
  <c r="SVA5" i="7"/>
  <c r="SVB5" i="7"/>
  <c r="SVC5" i="7"/>
  <c r="SVD5" i="7"/>
  <c r="SVE5" i="7"/>
  <c r="SVF5" i="7"/>
  <c r="SVG5" i="7"/>
  <c r="SVH5" i="7"/>
  <c r="SVI5" i="7"/>
  <c r="SVJ5" i="7"/>
  <c r="SVK5" i="7"/>
  <c r="SVL5" i="7"/>
  <c r="SVM5" i="7"/>
  <c r="SVN5" i="7"/>
  <c r="SVO5" i="7"/>
  <c r="SVP5" i="7"/>
  <c r="SVQ5" i="7"/>
  <c r="SVR5" i="7"/>
  <c r="SVS5" i="7"/>
  <c r="SVT5" i="7"/>
  <c r="SVU5" i="7"/>
  <c r="SVV5" i="7"/>
  <c r="SVW5" i="7"/>
  <c r="SVX5" i="7"/>
  <c r="SVY5" i="7"/>
  <c r="SVZ5" i="7"/>
  <c r="SWA5" i="7"/>
  <c r="SWB5" i="7"/>
  <c r="SWC5" i="7"/>
  <c r="SWD5" i="7"/>
  <c r="SWE5" i="7"/>
  <c r="SWF5" i="7"/>
  <c r="SWG5" i="7"/>
  <c r="SWH5" i="7"/>
  <c r="SWI5" i="7"/>
  <c r="SWJ5" i="7"/>
  <c r="SWK5" i="7"/>
  <c r="SWL5" i="7"/>
  <c r="SWM5" i="7"/>
  <c r="SWN5" i="7"/>
  <c r="SWO5" i="7"/>
  <c r="SWP5" i="7"/>
  <c r="SWQ5" i="7"/>
  <c r="SWR5" i="7"/>
  <c r="SWS5" i="7"/>
  <c r="SWT5" i="7"/>
  <c r="SWU5" i="7"/>
  <c r="SWV5" i="7"/>
  <c r="SWW5" i="7"/>
  <c r="SWX5" i="7"/>
  <c r="SWY5" i="7"/>
  <c r="SWZ5" i="7"/>
  <c r="SXA5" i="7"/>
  <c r="SXB5" i="7"/>
  <c r="SXC5" i="7"/>
  <c r="SXD5" i="7"/>
  <c r="SXE5" i="7"/>
  <c r="SXF5" i="7"/>
  <c r="SXG5" i="7"/>
  <c r="SXH5" i="7"/>
  <c r="SXI5" i="7"/>
  <c r="SXJ5" i="7"/>
  <c r="SXK5" i="7"/>
  <c r="SXL5" i="7"/>
  <c r="SXM5" i="7"/>
  <c r="SXN5" i="7"/>
  <c r="SXO5" i="7"/>
  <c r="SXP5" i="7"/>
  <c r="SXQ5" i="7"/>
  <c r="SXR5" i="7"/>
  <c r="SXS5" i="7"/>
  <c r="SXT5" i="7"/>
  <c r="SXU5" i="7"/>
  <c r="SXV5" i="7"/>
  <c r="SXW5" i="7"/>
  <c r="SXX5" i="7"/>
  <c r="SXY5" i="7"/>
  <c r="SXZ5" i="7"/>
  <c r="SYA5" i="7"/>
  <c r="SYB5" i="7"/>
  <c r="SYC5" i="7"/>
  <c r="SYD5" i="7"/>
  <c r="SYE5" i="7"/>
  <c r="SYF5" i="7"/>
  <c r="SYG5" i="7"/>
  <c r="SYH5" i="7"/>
  <c r="SYI5" i="7"/>
  <c r="SYJ5" i="7"/>
  <c r="SYK5" i="7"/>
  <c r="SYL5" i="7"/>
  <c r="SYM5" i="7"/>
  <c r="SYN5" i="7"/>
  <c r="SYO5" i="7"/>
  <c r="SYP5" i="7"/>
  <c r="SYQ5" i="7"/>
  <c r="SYR5" i="7"/>
  <c r="SYS5" i="7"/>
  <c r="SYT5" i="7"/>
  <c r="SYU5" i="7"/>
  <c r="SYV5" i="7"/>
  <c r="SYW5" i="7"/>
  <c r="SYX5" i="7"/>
  <c r="SYY5" i="7"/>
  <c r="SYZ5" i="7"/>
  <c r="SZA5" i="7"/>
  <c r="SZB5" i="7"/>
  <c r="SZC5" i="7"/>
  <c r="SZD5" i="7"/>
  <c r="SZE5" i="7"/>
  <c r="SZF5" i="7"/>
  <c r="SZG5" i="7"/>
  <c r="SZH5" i="7"/>
  <c r="SZI5" i="7"/>
  <c r="SZJ5" i="7"/>
  <c r="SZK5" i="7"/>
  <c r="SZL5" i="7"/>
  <c r="SZM5" i="7"/>
  <c r="SZN5" i="7"/>
  <c r="SZO5" i="7"/>
  <c r="SZP5" i="7"/>
  <c r="SZQ5" i="7"/>
  <c r="SZR5" i="7"/>
  <c r="SZS5" i="7"/>
  <c r="SZT5" i="7"/>
  <c r="SZU5" i="7"/>
  <c r="SZV5" i="7"/>
  <c r="SZW5" i="7"/>
  <c r="SZX5" i="7"/>
  <c r="SZY5" i="7"/>
  <c r="SZZ5" i="7"/>
  <c r="TAA5" i="7"/>
  <c r="TAB5" i="7"/>
  <c r="TAC5" i="7"/>
  <c r="TAD5" i="7"/>
  <c r="TAE5" i="7"/>
  <c r="TAF5" i="7"/>
  <c r="TAG5" i="7"/>
  <c r="TAH5" i="7"/>
  <c r="TAI5" i="7"/>
  <c r="TAJ5" i="7"/>
  <c r="TAK5" i="7"/>
  <c r="TAL5" i="7"/>
  <c r="TAM5" i="7"/>
  <c r="TAN5" i="7"/>
  <c r="TAO5" i="7"/>
  <c r="TAP5" i="7"/>
  <c r="TAQ5" i="7"/>
  <c r="TAR5" i="7"/>
  <c r="TAS5" i="7"/>
  <c r="TAT5" i="7"/>
  <c r="TAU5" i="7"/>
  <c r="TAV5" i="7"/>
  <c r="TAW5" i="7"/>
  <c r="TAX5" i="7"/>
  <c r="TAY5" i="7"/>
  <c r="TAZ5" i="7"/>
  <c r="TBA5" i="7"/>
  <c r="TBB5" i="7"/>
  <c r="TBC5" i="7"/>
  <c r="TBD5" i="7"/>
  <c r="TBE5" i="7"/>
  <c r="TBF5" i="7"/>
  <c r="TBG5" i="7"/>
  <c r="TBH5" i="7"/>
  <c r="TBI5" i="7"/>
  <c r="TBJ5" i="7"/>
  <c r="TBK5" i="7"/>
  <c r="TBL5" i="7"/>
  <c r="TBM5" i="7"/>
  <c r="TBN5" i="7"/>
  <c r="TBO5" i="7"/>
  <c r="TBP5" i="7"/>
  <c r="TBQ5" i="7"/>
  <c r="TBR5" i="7"/>
  <c r="TBS5" i="7"/>
  <c r="TBT5" i="7"/>
  <c r="TBU5" i="7"/>
  <c r="TBV5" i="7"/>
  <c r="TBW5" i="7"/>
  <c r="TBX5" i="7"/>
  <c r="TBY5" i="7"/>
  <c r="TBZ5" i="7"/>
  <c r="TCA5" i="7"/>
  <c r="TCB5" i="7"/>
  <c r="TCC5" i="7"/>
  <c r="TCD5" i="7"/>
  <c r="TCE5" i="7"/>
  <c r="TCF5" i="7"/>
  <c r="TCG5" i="7"/>
  <c r="TCH5" i="7"/>
  <c r="TCI5" i="7"/>
  <c r="TCJ5" i="7"/>
  <c r="TCK5" i="7"/>
  <c r="TCL5" i="7"/>
  <c r="TCM5" i="7"/>
  <c r="TCN5" i="7"/>
  <c r="TCO5" i="7"/>
  <c r="TCP5" i="7"/>
  <c r="TCQ5" i="7"/>
  <c r="TCR5" i="7"/>
  <c r="TCS5" i="7"/>
  <c r="TCT5" i="7"/>
  <c r="TCU5" i="7"/>
  <c r="TCV5" i="7"/>
  <c r="TCW5" i="7"/>
  <c r="TCX5" i="7"/>
  <c r="TCY5" i="7"/>
  <c r="TCZ5" i="7"/>
  <c r="TDA5" i="7"/>
  <c r="TDB5" i="7"/>
  <c r="TDC5" i="7"/>
  <c r="TDD5" i="7"/>
  <c r="TDE5" i="7"/>
  <c r="TDF5" i="7"/>
  <c r="TDG5" i="7"/>
  <c r="TDH5" i="7"/>
  <c r="TDI5" i="7"/>
  <c r="TDJ5" i="7"/>
  <c r="TDK5" i="7"/>
  <c r="TDL5" i="7"/>
  <c r="TDM5" i="7"/>
  <c r="TDN5" i="7"/>
  <c r="TDO5" i="7"/>
  <c r="TDP5" i="7"/>
  <c r="TDQ5" i="7"/>
  <c r="TDR5" i="7"/>
  <c r="TDS5" i="7"/>
  <c r="TDT5" i="7"/>
  <c r="TDU5" i="7"/>
  <c r="TDV5" i="7"/>
  <c r="TDW5" i="7"/>
  <c r="TDX5" i="7"/>
  <c r="TDY5" i="7"/>
  <c r="TDZ5" i="7"/>
  <c r="TEA5" i="7"/>
  <c r="TEB5" i="7"/>
  <c r="TEC5" i="7"/>
  <c r="TED5" i="7"/>
  <c r="TEE5" i="7"/>
  <c r="TEF5" i="7"/>
  <c r="TEG5" i="7"/>
  <c r="TEH5" i="7"/>
  <c r="TEI5" i="7"/>
  <c r="TEJ5" i="7"/>
  <c r="TEK5" i="7"/>
  <c r="TEL5" i="7"/>
  <c r="TEM5" i="7"/>
  <c r="TEN5" i="7"/>
  <c r="TEO5" i="7"/>
  <c r="TEP5" i="7"/>
  <c r="TEQ5" i="7"/>
  <c r="TER5" i="7"/>
  <c r="TES5" i="7"/>
  <c r="TET5" i="7"/>
  <c r="TEU5" i="7"/>
  <c r="TEV5" i="7"/>
  <c r="TEW5" i="7"/>
  <c r="TEX5" i="7"/>
  <c r="TEY5" i="7"/>
  <c r="TEZ5" i="7"/>
  <c r="TFA5" i="7"/>
  <c r="TFB5" i="7"/>
  <c r="TFC5" i="7"/>
  <c r="TFD5" i="7"/>
  <c r="TFE5" i="7"/>
  <c r="TFF5" i="7"/>
  <c r="TFG5" i="7"/>
  <c r="TFH5" i="7"/>
  <c r="TFI5" i="7"/>
  <c r="TFJ5" i="7"/>
  <c r="TFK5" i="7"/>
  <c r="TFL5" i="7"/>
  <c r="TFM5" i="7"/>
  <c r="TFN5" i="7"/>
  <c r="TFO5" i="7"/>
  <c r="TFP5" i="7"/>
  <c r="TFQ5" i="7"/>
  <c r="TFR5" i="7"/>
  <c r="TFS5" i="7"/>
  <c r="TFT5" i="7"/>
  <c r="TFU5" i="7"/>
  <c r="TFV5" i="7"/>
  <c r="TFW5" i="7"/>
  <c r="TFX5" i="7"/>
  <c r="TFY5" i="7"/>
  <c r="TFZ5" i="7"/>
  <c r="TGA5" i="7"/>
  <c r="TGB5" i="7"/>
  <c r="TGC5" i="7"/>
  <c r="TGD5" i="7"/>
  <c r="TGE5" i="7"/>
  <c r="TGF5" i="7"/>
  <c r="TGG5" i="7"/>
  <c r="TGH5" i="7"/>
  <c r="TGI5" i="7"/>
  <c r="TGJ5" i="7"/>
  <c r="TGK5" i="7"/>
  <c r="TGL5" i="7"/>
  <c r="TGM5" i="7"/>
  <c r="TGN5" i="7"/>
  <c r="TGO5" i="7"/>
  <c r="TGP5" i="7"/>
  <c r="TGQ5" i="7"/>
  <c r="TGR5" i="7"/>
  <c r="TGS5" i="7"/>
  <c r="TGT5" i="7"/>
  <c r="TGU5" i="7"/>
  <c r="TGV5" i="7"/>
  <c r="TGW5" i="7"/>
  <c r="TGX5" i="7"/>
  <c r="TGY5" i="7"/>
  <c r="TGZ5" i="7"/>
  <c r="THA5" i="7"/>
  <c r="THB5" i="7"/>
  <c r="THC5" i="7"/>
  <c r="THD5" i="7"/>
  <c r="THE5" i="7"/>
  <c r="THF5" i="7"/>
  <c r="THG5" i="7"/>
  <c r="THH5" i="7"/>
  <c r="THI5" i="7"/>
  <c r="THJ5" i="7"/>
  <c r="THK5" i="7"/>
  <c r="THL5" i="7"/>
  <c r="THM5" i="7"/>
  <c r="THN5" i="7"/>
  <c r="THO5" i="7"/>
  <c r="THP5" i="7"/>
  <c r="THQ5" i="7"/>
  <c r="THR5" i="7"/>
  <c r="THS5" i="7"/>
  <c r="THT5" i="7"/>
  <c r="THU5" i="7"/>
  <c r="THV5" i="7"/>
  <c r="THW5" i="7"/>
  <c r="THX5" i="7"/>
  <c r="THY5" i="7"/>
  <c r="THZ5" i="7"/>
  <c r="TIA5" i="7"/>
  <c r="TIB5" i="7"/>
  <c r="TIC5" i="7"/>
  <c r="TID5" i="7"/>
  <c r="TIE5" i="7"/>
  <c r="TIF5" i="7"/>
  <c r="TIG5" i="7"/>
  <c r="TIH5" i="7"/>
  <c r="TII5" i="7"/>
  <c r="TIJ5" i="7"/>
  <c r="TIK5" i="7"/>
  <c r="TIL5" i="7"/>
  <c r="TIM5" i="7"/>
  <c r="TIN5" i="7"/>
  <c r="TIO5" i="7"/>
  <c r="TIP5" i="7"/>
  <c r="TIQ5" i="7"/>
  <c r="TIR5" i="7"/>
  <c r="TIS5" i="7"/>
  <c r="TIT5" i="7"/>
  <c r="TIU5" i="7"/>
  <c r="TIV5" i="7"/>
  <c r="TIW5" i="7"/>
  <c r="TIX5" i="7"/>
  <c r="TIY5" i="7"/>
  <c r="TIZ5" i="7"/>
  <c r="TJA5" i="7"/>
  <c r="TJB5" i="7"/>
  <c r="TJC5" i="7"/>
  <c r="TJD5" i="7"/>
  <c r="TJE5" i="7"/>
  <c r="TJF5" i="7"/>
  <c r="TJG5" i="7"/>
  <c r="TJH5" i="7"/>
  <c r="TJI5" i="7"/>
  <c r="TJJ5" i="7"/>
  <c r="TJK5" i="7"/>
  <c r="TJL5" i="7"/>
  <c r="TJM5" i="7"/>
  <c r="TJN5" i="7"/>
  <c r="TJO5" i="7"/>
  <c r="TJP5" i="7"/>
  <c r="TJQ5" i="7"/>
  <c r="TJR5" i="7"/>
  <c r="TJS5" i="7"/>
  <c r="TJT5" i="7"/>
  <c r="TJU5" i="7"/>
  <c r="TJV5" i="7"/>
  <c r="TJW5" i="7"/>
  <c r="TJX5" i="7"/>
  <c r="TJY5" i="7"/>
  <c r="TJZ5" i="7"/>
  <c r="TKA5" i="7"/>
  <c r="TKB5" i="7"/>
  <c r="TKC5" i="7"/>
  <c r="TKD5" i="7"/>
  <c r="TKE5" i="7"/>
  <c r="TKF5" i="7"/>
  <c r="TKG5" i="7"/>
  <c r="TKH5" i="7"/>
  <c r="TKI5" i="7"/>
  <c r="TKJ5" i="7"/>
  <c r="TKK5" i="7"/>
  <c r="TKL5" i="7"/>
  <c r="TKM5" i="7"/>
  <c r="TKN5" i="7"/>
  <c r="TKO5" i="7"/>
  <c r="TKP5" i="7"/>
  <c r="TKQ5" i="7"/>
  <c r="TKR5" i="7"/>
  <c r="TKS5" i="7"/>
  <c r="TKT5" i="7"/>
  <c r="TKU5" i="7"/>
  <c r="TKV5" i="7"/>
  <c r="TKW5" i="7"/>
  <c r="TKX5" i="7"/>
  <c r="TKY5" i="7"/>
  <c r="TKZ5" i="7"/>
  <c r="TLA5" i="7"/>
  <c r="TLB5" i="7"/>
  <c r="TLC5" i="7"/>
  <c r="TLD5" i="7"/>
  <c r="TLE5" i="7"/>
  <c r="TLF5" i="7"/>
  <c r="TLG5" i="7"/>
  <c r="TLH5" i="7"/>
  <c r="TLI5" i="7"/>
  <c r="TLJ5" i="7"/>
  <c r="TLK5" i="7"/>
  <c r="TLL5" i="7"/>
  <c r="TLM5" i="7"/>
  <c r="TLN5" i="7"/>
  <c r="TLO5" i="7"/>
  <c r="TLP5" i="7"/>
  <c r="TLQ5" i="7"/>
  <c r="TLR5" i="7"/>
  <c r="TLS5" i="7"/>
  <c r="TLT5" i="7"/>
  <c r="TLU5" i="7"/>
  <c r="TLV5" i="7"/>
  <c r="TLW5" i="7"/>
  <c r="TLX5" i="7"/>
  <c r="TLY5" i="7"/>
  <c r="TLZ5" i="7"/>
  <c r="TMA5" i="7"/>
  <c r="TMB5" i="7"/>
  <c r="TMC5" i="7"/>
  <c r="TMD5" i="7"/>
  <c r="TME5" i="7"/>
  <c r="TMF5" i="7"/>
  <c r="TMG5" i="7"/>
  <c r="TMH5" i="7"/>
  <c r="TMI5" i="7"/>
  <c r="TMJ5" i="7"/>
  <c r="TMK5" i="7"/>
  <c r="TML5" i="7"/>
  <c r="TMM5" i="7"/>
  <c r="TMN5" i="7"/>
  <c r="TMO5" i="7"/>
  <c r="TMP5" i="7"/>
  <c r="TMQ5" i="7"/>
  <c r="TMR5" i="7"/>
  <c r="TMS5" i="7"/>
  <c r="TMT5" i="7"/>
  <c r="TMU5" i="7"/>
  <c r="TMV5" i="7"/>
  <c r="TMW5" i="7"/>
  <c r="TMX5" i="7"/>
  <c r="TMY5" i="7"/>
  <c r="TMZ5" i="7"/>
  <c r="TNA5" i="7"/>
  <c r="TNB5" i="7"/>
  <c r="TNC5" i="7"/>
  <c r="TND5" i="7"/>
  <c r="TNE5" i="7"/>
  <c r="TNF5" i="7"/>
  <c r="TNG5" i="7"/>
  <c r="TNH5" i="7"/>
  <c r="TNI5" i="7"/>
  <c r="TNJ5" i="7"/>
  <c r="TNK5" i="7"/>
  <c r="TNL5" i="7"/>
  <c r="TNM5" i="7"/>
  <c r="TNN5" i="7"/>
  <c r="TNO5" i="7"/>
  <c r="TNP5" i="7"/>
  <c r="TNQ5" i="7"/>
  <c r="TNR5" i="7"/>
  <c r="TNS5" i="7"/>
  <c r="TNT5" i="7"/>
  <c r="TNU5" i="7"/>
  <c r="TNV5" i="7"/>
  <c r="TNW5" i="7"/>
  <c r="TNX5" i="7"/>
  <c r="TNY5" i="7"/>
  <c r="TNZ5" i="7"/>
  <c r="TOA5" i="7"/>
  <c r="TOB5" i="7"/>
  <c r="TOC5" i="7"/>
  <c r="TOD5" i="7"/>
  <c r="TOE5" i="7"/>
  <c r="TOF5" i="7"/>
  <c r="TOG5" i="7"/>
  <c r="TOH5" i="7"/>
  <c r="TOI5" i="7"/>
  <c r="TOJ5" i="7"/>
  <c r="TOK5" i="7"/>
  <c r="TOL5" i="7"/>
  <c r="TOM5" i="7"/>
  <c r="TON5" i="7"/>
  <c r="TOO5" i="7"/>
  <c r="TOP5" i="7"/>
  <c r="TOQ5" i="7"/>
  <c r="TOR5" i="7"/>
  <c r="TOS5" i="7"/>
  <c r="TOT5" i="7"/>
  <c r="TOU5" i="7"/>
  <c r="TOV5" i="7"/>
  <c r="TOW5" i="7"/>
  <c r="TOX5" i="7"/>
  <c r="TOY5" i="7"/>
  <c r="TOZ5" i="7"/>
  <c r="TPA5" i="7"/>
  <c r="TPB5" i="7"/>
  <c r="TPC5" i="7"/>
  <c r="TPD5" i="7"/>
  <c r="TPE5" i="7"/>
  <c r="TPF5" i="7"/>
  <c r="TPG5" i="7"/>
  <c r="TPH5" i="7"/>
  <c r="TPI5" i="7"/>
  <c r="TPJ5" i="7"/>
  <c r="TPK5" i="7"/>
  <c r="TPL5" i="7"/>
  <c r="TPM5" i="7"/>
  <c r="TPN5" i="7"/>
  <c r="TPO5" i="7"/>
  <c r="TPP5" i="7"/>
  <c r="TPQ5" i="7"/>
  <c r="TPR5" i="7"/>
  <c r="TPS5" i="7"/>
  <c r="TPT5" i="7"/>
  <c r="TPU5" i="7"/>
  <c r="TPV5" i="7"/>
  <c r="TPW5" i="7"/>
  <c r="TPX5" i="7"/>
  <c r="TPY5" i="7"/>
  <c r="TPZ5" i="7"/>
  <c r="TQA5" i="7"/>
  <c r="TQB5" i="7"/>
  <c r="TQC5" i="7"/>
  <c r="TQD5" i="7"/>
  <c r="TQE5" i="7"/>
  <c r="TQF5" i="7"/>
  <c r="TQG5" i="7"/>
  <c r="TQH5" i="7"/>
  <c r="TQI5" i="7"/>
  <c r="TQJ5" i="7"/>
  <c r="TQK5" i="7"/>
  <c r="TQL5" i="7"/>
  <c r="TQM5" i="7"/>
  <c r="TQN5" i="7"/>
  <c r="TQO5" i="7"/>
  <c r="TQP5" i="7"/>
  <c r="TQQ5" i="7"/>
  <c r="TQR5" i="7"/>
  <c r="TQS5" i="7"/>
  <c r="TQT5" i="7"/>
  <c r="TQU5" i="7"/>
  <c r="TQV5" i="7"/>
  <c r="TQW5" i="7"/>
  <c r="TQX5" i="7"/>
  <c r="TQY5" i="7"/>
  <c r="TQZ5" i="7"/>
  <c r="TRA5" i="7"/>
  <c r="TRB5" i="7"/>
  <c r="TRC5" i="7"/>
  <c r="TRD5" i="7"/>
  <c r="TRE5" i="7"/>
  <c r="TRF5" i="7"/>
  <c r="TRG5" i="7"/>
  <c r="TRH5" i="7"/>
  <c r="TRI5" i="7"/>
  <c r="TRJ5" i="7"/>
  <c r="TRK5" i="7"/>
  <c r="TRL5" i="7"/>
  <c r="TRM5" i="7"/>
  <c r="TRN5" i="7"/>
  <c r="TRO5" i="7"/>
  <c r="TRP5" i="7"/>
  <c r="TRQ5" i="7"/>
  <c r="TRR5" i="7"/>
  <c r="TRS5" i="7"/>
  <c r="TRT5" i="7"/>
  <c r="TRU5" i="7"/>
  <c r="TRV5" i="7"/>
  <c r="TRW5" i="7"/>
  <c r="TRX5" i="7"/>
  <c r="TRY5" i="7"/>
  <c r="TRZ5" i="7"/>
  <c r="TSA5" i="7"/>
  <c r="TSB5" i="7"/>
  <c r="TSC5" i="7"/>
  <c r="TSD5" i="7"/>
  <c r="TSE5" i="7"/>
  <c r="TSF5" i="7"/>
  <c r="TSG5" i="7"/>
  <c r="TSH5" i="7"/>
  <c r="TSI5" i="7"/>
  <c r="TSJ5" i="7"/>
  <c r="TSK5" i="7"/>
  <c r="TSL5" i="7"/>
  <c r="TSM5" i="7"/>
  <c r="TSN5" i="7"/>
  <c r="TSO5" i="7"/>
  <c r="TSP5" i="7"/>
  <c r="TSQ5" i="7"/>
  <c r="TSR5" i="7"/>
  <c r="TSS5" i="7"/>
  <c r="TST5" i="7"/>
  <c r="TSU5" i="7"/>
  <c r="TSV5" i="7"/>
  <c r="TSW5" i="7"/>
  <c r="TSX5" i="7"/>
  <c r="TSY5" i="7"/>
  <c r="TSZ5" i="7"/>
  <c r="TTA5" i="7"/>
  <c r="TTB5" i="7"/>
  <c r="TTC5" i="7"/>
  <c r="TTD5" i="7"/>
  <c r="TTE5" i="7"/>
  <c r="TTF5" i="7"/>
  <c r="TTG5" i="7"/>
  <c r="TTH5" i="7"/>
  <c r="TTI5" i="7"/>
  <c r="TTJ5" i="7"/>
  <c r="TTK5" i="7"/>
  <c r="TTL5" i="7"/>
  <c r="TTM5" i="7"/>
  <c r="TTN5" i="7"/>
  <c r="TTO5" i="7"/>
  <c r="TTP5" i="7"/>
  <c r="TTQ5" i="7"/>
  <c r="TTR5" i="7"/>
  <c r="TTS5" i="7"/>
  <c r="TTT5" i="7"/>
  <c r="TTU5" i="7"/>
  <c r="TTV5" i="7"/>
  <c r="TTW5" i="7"/>
  <c r="TTX5" i="7"/>
  <c r="TTY5" i="7"/>
  <c r="TTZ5" i="7"/>
  <c r="TUA5" i="7"/>
  <c r="TUB5" i="7"/>
  <c r="TUC5" i="7"/>
  <c r="TUD5" i="7"/>
  <c r="TUE5" i="7"/>
  <c r="TUF5" i="7"/>
  <c r="TUG5" i="7"/>
  <c r="TUH5" i="7"/>
  <c r="TUI5" i="7"/>
  <c r="TUJ5" i="7"/>
  <c r="TUK5" i="7"/>
  <c r="TUL5" i="7"/>
  <c r="TUM5" i="7"/>
  <c r="TUN5" i="7"/>
  <c r="TUO5" i="7"/>
  <c r="TUP5" i="7"/>
  <c r="TUQ5" i="7"/>
  <c r="TUR5" i="7"/>
  <c r="TUS5" i="7"/>
  <c r="TUT5" i="7"/>
  <c r="TUU5" i="7"/>
  <c r="TUV5" i="7"/>
  <c r="TUW5" i="7"/>
  <c r="TUX5" i="7"/>
  <c r="TUY5" i="7"/>
  <c r="TUZ5" i="7"/>
  <c r="TVA5" i="7"/>
  <c r="TVB5" i="7"/>
  <c r="TVC5" i="7"/>
  <c r="TVD5" i="7"/>
  <c r="TVE5" i="7"/>
  <c r="TVF5" i="7"/>
  <c r="TVG5" i="7"/>
  <c r="TVH5" i="7"/>
  <c r="TVI5" i="7"/>
  <c r="TVJ5" i="7"/>
  <c r="TVK5" i="7"/>
  <c r="TVL5" i="7"/>
  <c r="TVM5" i="7"/>
  <c r="TVN5" i="7"/>
  <c r="TVO5" i="7"/>
  <c r="TVP5" i="7"/>
  <c r="TVQ5" i="7"/>
  <c r="TVR5" i="7"/>
  <c r="TVS5" i="7"/>
  <c r="TVT5" i="7"/>
  <c r="TVU5" i="7"/>
  <c r="TVV5" i="7"/>
  <c r="TVW5" i="7"/>
  <c r="TVX5" i="7"/>
  <c r="TVY5" i="7"/>
  <c r="TVZ5" i="7"/>
  <c r="TWA5" i="7"/>
  <c r="TWB5" i="7"/>
  <c r="TWC5" i="7"/>
  <c r="TWD5" i="7"/>
  <c r="TWE5" i="7"/>
  <c r="TWF5" i="7"/>
  <c r="TWG5" i="7"/>
  <c r="TWH5" i="7"/>
  <c r="TWI5" i="7"/>
  <c r="TWJ5" i="7"/>
  <c r="TWK5" i="7"/>
  <c r="TWL5" i="7"/>
  <c r="TWM5" i="7"/>
  <c r="TWN5" i="7"/>
  <c r="TWO5" i="7"/>
  <c r="TWP5" i="7"/>
  <c r="TWQ5" i="7"/>
  <c r="TWR5" i="7"/>
  <c r="TWS5" i="7"/>
  <c r="TWT5" i="7"/>
  <c r="TWU5" i="7"/>
  <c r="TWV5" i="7"/>
  <c r="TWW5" i="7"/>
  <c r="TWX5" i="7"/>
  <c r="TWY5" i="7"/>
  <c r="TWZ5" i="7"/>
  <c r="TXA5" i="7"/>
  <c r="TXB5" i="7"/>
  <c r="TXC5" i="7"/>
  <c r="TXD5" i="7"/>
  <c r="TXE5" i="7"/>
  <c r="TXF5" i="7"/>
  <c r="TXG5" i="7"/>
  <c r="TXH5" i="7"/>
  <c r="TXI5" i="7"/>
  <c r="TXJ5" i="7"/>
  <c r="TXK5" i="7"/>
  <c r="TXL5" i="7"/>
  <c r="TXM5" i="7"/>
  <c r="TXN5" i="7"/>
  <c r="TXO5" i="7"/>
  <c r="TXP5" i="7"/>
  <c r="TXQ5" i="7"/>
  <c r="TXR5" i="7"/>
  <c r="TXS5" i="7"/>
  <c r="TXT5" i="7"/>
  <c r="TXU5" i="7"/>
  <c r="TXV5" i="7"/>
  <c r="TXW5" i="7"/>
  <c r="TXX5" i="7"/>
  <c r="TXY5" i="7"/>
  <c r="TXZ5" i="7"/>
  <c r="TYA5" i="7"/>
  <c r="TYB5" i="7"/>
  <c r="TYC5" i="7"/>
  <c r="TYD5" i="7"/>
  <c r="TYE5" i="7"/>
  <c r="TYF5" i="7"/>
  <c r="TYG5" i="7"/>
  <c r="TYH5" i="7"/>
  <c r="TYI5" i="7"/>
  <c r="TYJ5" i="7"/>
  <c r="TYK5" i="7"/>
  <c r="TYL5" i="7"/>
  <c r="TYM5" i="7"/>
  <c r="TYN5" i="7"/>
  <c r="TYO5" i="7"/>
  <c r="TYP5" i="7"/>
  <c r="TYQ5" i="7"/>
  <c r="TYR5" i="7"/>
  <c r="TYS5" i="7"/>
  <c r="TYT5" i="7"/>
  <c r="TYU5" i="7"/>
  <c r="TYV5" i="7"/>
  <c r="TYW5" i="7"/>
  <c r="TYX5" i="7"/>
  <c r="TYY5" i="7"/>
  <c r="TYZ5" i="7"/>
  <c r="TZA5" i="7"/>
  <c r="TZB5" i="7"/>
  <c r="TZC5" i="7"/>
  <c r="TZD5" i="7"/>
  <c r="TZE5" i="7"/>
  <c r="TZF5" i="7"/>
  <c r="TZG5" i="7"/>
  <c r="TZH5" i="7"/>
  <c r="TZI5" i="7"/>
  <c r="TZJ5" i="7"/>
  <c r="TZK5" i="7"/>
  <c r="TZL5" i="7"/>
  <c r="TZM5" i="7"/>
  <c r="TZN5" i="7"/>
  <c r="TZO5" i="7"/>
  <c r="TZP5" i="7"/>
  <c r="TZQ5" i="7"/>
  <c r="TZR5" i="7"/>
  <c r="TZS5" i="7"/>
  <c r="TZT5" i="7"/>
  <c r="TZU5" i="7"/>
  <c r="TZV5" i="7"/>
  <c r="TZW5" i="7"/>
  <c r="TZX5" i="7"/>
  <c r="TZY5" i="7"/>
  <c r="TZZ5" i="7"/>
  <c r="UAA5" i="7"/>
  <c r="UAB5" i="7"/>
  <c r="UAC5" i="7"/>
  <c r="UAD5" i="7"/>
  <c r="UAE5" i="7"/>
  <c r="UAF5" i="7"/>
  <c r="UAG5" i="7"/>
  <c r="UAH5" i="7"/>
  <c r="UAI5" i="7"/>
  <c r="UAJ5" i="7"/>
  <c r="UAK5" i="7"/>
  <c r="UAL5" i="7"/>
  <c r="UAM5" i="7"/>
  <c r="UAN5" i="7"/>
  <c r="UAO5" i="7"/>
  <c r="UAP5" i="7"/>
  <c r="UAQ5" i="7"/>
  <c r="UAR5" i="7"/>
  <c r="UAS5" i="7"/>
  <c r="UAT5" i="7"/>
  <c r="UAU5" i="7"/>
  <c r="UAV5" i="7"/>
  <c r="UAW5" i="7"/>
  <c r="UAX5" i="7"/>
  <c r="UAY5" i="7"/>
  <c r="UAZ5" i="7"/>
  <c r="UBA5" i="7"/>
  <c r="UBB5" i="7"/>
  <c r="UBC5" i="7"/>
  <c r="UBD5" i="7"/>
  <c r="UBE5" i="7"/>
  <c r="UBF5" i="7"/>
  <c r="UBG5" i="7"/>
  <c r="UBH5" i="7"/>
  <c r="UBI5" i="7"/>
  <c r="UBJ5" i="7"/>
  <c r="UBK5" i="7"/>
  <c r="UBL5" i="7"/>
  <c r="UBM5" i="7"/>
  <c r="UBN5" i="7"/>
  <c r="UBO5" i="7"/>
  <c r="UBP5" i="7"/>
  <c r="UBQ5" i="7"/>
  <c r="UBR5" i="7"/>
  <c r="UBS5" i="7"/>
  <c r="UBT5" i="7"/>
  <c r="UBU5" i="7"/>
  <c r="UBV5" i="7"/>
  <c r="UBW5" i="7"/>
  <c r="UBX5" i="7"/>
  <c r="UBY5" i="7"/>
  <c r="UBZ5" i="7"/>
  <c r="UCA5" i="7"/>
  <c r="UCB5" i="7"/>
  <c r="UCC5" i="7"/>
  <c r="UCD5" i="7"/>
  <c r="UCE5" i="7"/>
  <c r="UCF5" i="7"/>
  <c r="UCG5" i="7"/>
  <c r="UCH5" i="7"/>
  <c r="UCI5" i="7"/>
  <c r="UCJ5" i="7"/>
  <c r="UCK5" i="7"/>
  <c r="UCL5" i="7"/>
  <c r="UCM5" i="7"/>
  <c r="UCN5" i="7"/>
  <c r="UCO5" i="7"/>
  <c r="UCP5" i="7"/>
  <c r="UCQ5" i="7"/>
  <c r="UCR5" i="7"/>
  <c r="UCS5" i="7"/>
  <c r="UCT5" i="7"/>
  <c r="UCU5" i="7"/>
  <c r="UCV5" i="7"/>
  <c r="UCW5" i="7"/>
  <c r="UCX5" i="7"/>
  <c r="UCY5" i="7"/>
  <c r="UCZ5" i="7"/>
  <c r="UDA5" i="7"/>
  <c r="UDB5" i="7"/>
  <c r="UDC5" i="7"/>
  <c r="UDD5" i="7"/>
  <c r="UDE5" i="7"/>
  <c r="UDF5" i="7"/>
  <c r="UDG5" i="7"/>
  <c r="UDH5" i="7"/>
  <c r="UDI5" i="7"/>
  <c r="UDJ5" i="7"/>
  <c r="UDK5" i="7"/>
  <c r="UDL5" i="7"/>
  <c r="UDM5" i="7"/>
  <c r="UDN5" i="7"/>
  <c r="UDO5" i="7"/>
  <c r="UDP5" i="7"/>
  <c r="UDQ5" i="7"/>
  <c r="UDR5" i="7"/>
  <c r="UDS5" i="7"/>
  <c r="UDT5" i="7"/>
  <c r="UDU5" i="7"/>
  <c r="UDV5" i="7"/>
  <c r="UDW5" i="7"/>
  <c r="UDX5" i="7"/>
  <c r="UDY5" i="7"/>
  <c r="UDZ5" i="7"/>
  <c r="UEA5" i="7"/>
  <c r="UEB5" i="7"/>
  <c r="UEC5" i="7"/>
  <c r="UED5" i="7"/>
  <c r="UEE5" i="7"/>
  <c r="UEF5" i="7"/>
  <c r="UEG5" i="7"/>
  <c r="UEH5" i="7"/>
  <c r="UEI5" i="7"/>
  <c r="UEJ5" i="7"/>
  <c r="UEK5" i="7"/>
  <c r="UEL5" i="7"/>
  <c r="UEM5" i="7"/>
  <c r="UEN5" i="7"/>
  <c r="UEO5" i="7"/>
  <c r="UEP5" i="7"/>
  <c r="UEQ5" i="7"/>
  <c r="UER5" i="7"/>
  <c r="UES5" i="7"/>
  <c r="UET5" i="7"/>
  <c r="UEU5" i="7"/>
  <c r="UEV5" i="7"/>
  <c r="UEW5" i="7"/>
  <c r="UEX5" i="7"/>
  <c r="UEY5" i="7"/>
  <c r="UEZ5" i="7"/>
  <c r="UFA5" i="7"/>
  <c r="UFB5" i="7"/>
  <c r="UFC5" i="7"/>
  <c r="UFD5" i="7"/>
  <c r="UFE5" i="7"/>
  <c r="UFF5" i="7"/>
  <c r="UFG5" i="7"/>
  <c r="UFH5" i="7"/>
  <c r="UFI5" i="7"/>
  <c r="UFJ5" i="7"/>
  <c r="UFK5" i="7"/>
  <c r="UFL5" i="7"/>
  <c r="UFM5" i="7"/>
  <c r="UFN5" i="7"/>
  <c r="UFO5" i="7"/>
  <c r="UFP5" i="7"/>
  <c r="UFQ5" i="7"/>
  <c r="UFR5" i="7"/>
  <c r="UFS5" i="7"/>
  <c r="UFT5" i="7"/>
  <c r="UFU5" i="7"/>
  <c r="UFV5" i="7"/>
  <c r="UFW5" i="7"/>
  <c r="UFX5" i="7"/>
  <c r="UFY5" i="7"/>
  <c r="UFZ5" i="7"/>
  <c r="UGA5" i="7"/>
  <c r="UGB5" i="7"/>
  <c r="UGC5" i="7"/>
  <c r="UGD5" i="7"/>
  <c r="UGE5" i="7"/>
  <c r="UGF5" i="7"/>
  <c r="UGG5" i="7"/>
  <c r="UGH5" i="7"/>
  <c r="UGI5" i="7"/>
  <c r="UGJ5" i="7"/>
  <c r="UGK5" i="7"/>
  <c r="UGL5" i="7"/>
  <c r="UGM5" i="7"/>
  <c r="UGN5" i="7"/>
  <c r="UGO5" i="7"/>
  <c r="UGP5" i="7"/>
  <c r="UGQ5" i="7"/>
  <c r="UGR5" i="7"/>
  <c r="UGS5" i="7"/>
  <c r="UGT5" i="7"/>
  <c r="UGU5" i="7"/>
  <c r="UGV5" i="7"/>
  <c r="UGW5" i="7"/>
  <c r="UGX5" i="7"/>
  <c r="UGY5" i="7"/>
  <c r="UGZ5" i="7"/>
  <c r="UHA5" i="7"/>
  <c r="UHB5" i="7"/>
  <c r="UHC5" i="7"/>
  <c r="UHD5" i="7"/>
  <c r="UHE5" i="7"/>
  <c r="UHF5" i="7"/>
  <c r="UHG5" i="7"/>
  <c r="UHH5" i="7"/>
  <c r="UHI5" i="7"/>
  <c r="UHJ5" i="7"/>
  <c r="UHK5" i="7"/>
  <c r="UHL5" i="7"/>
  <c r="UHM5" i="7"/>
  <c r="UHN5" i="7"/>
  <c r="UHO5" i="7"/>
  <c r="UHP5" i="7"/>
  <c r="UHQ5" i="7"/>
  <c r="UHR5" i="7"/>
  <c r="UHS5" i="7"/>
  <c r="UHT5" i="7"/>
  <c r="UHU5" i="7"/>
  <c r="UHV5" i="7"/>
  <c r="UHW5" i="7"/>
  <c r="UHX5" i="7"/>
  <c r="UHY5" i="7"/>
  <c r="UHZ5" i="7"/>
  <c r="UIA5" i="7"/>
  <c r="UIB5" i="7"/>
  <c r="UIC5" i="7"/>
  <c r="UID5" i="7"/>
  <c r="UIE5" i="7"/>
  <c r="UIF5" i="7"/>
  <c r="UIG5" i="7"/>
  <c r="UIH5" i="7"/>
  <c r="UII5" i="7"/>
  <c r="UIJ5" i="7"/>
  <c r="UIK5" i="7"/>
  <c r="UIL5" i="7"/>
  <c r="UIM5" i="7"/>
  <c r="UIN5" i="7"/>
  <c r="UIO5" i="7"/>
  <c r="UIP5" i="7"/>
  <c r="UIQ5" i="7"/>
  <c r="UIR5" i="7"/>
  <c r="UIS5" i="7"/>
  <c r="UIT5" i="7"/>
  <c r="UIU5" i="7"/>
  <c r="UIV5" i="7"/>
  <c r="UIW5" i="7"/>
  <c r="UIX5" i="7"/>
  <c r="UIY5" i="7"/>
  <c r="UIZ5" i="7"/>
  <c r="UJA5" i="7"/>
  <c r="UJB5" i="7"/>
  <c r="UJC5" i="7"/>
  <c r="UJD5" i="7"/>
  <c r="UJE5" i="7"/>
  <c r="UJF5" i="7"/>
  <c r="UJG5" i="7"/>
  <c r="UJH5" i="7"/>
  <c r="UJI5" i="7"/>
  <c r="UJJ5" i="7"/>
  <c r="UJK5" i="7"/>
  <c r="UJL5" i="7"/>
  <c r="UJM5" i="7"/>
  <c r="UJN5" i="7"/>
  <c r="UJO5" i="7"/>
  <c r="UJP5" i="7"/>
  <c r="UJQ5" i="7"/>
  <c r="UJR5" i="7"/>
  <c r="UJS5" i="7"/>
  <c r="UJT5" i="7"/>
  <c r="UJU5" i="7"/>
  <c r="UJV5" i="7"/>
  <c r="UJW5" i="7"/>
  <c r="UJX5" i="7"/>
  <c r="UJY5" i="7"/>
  <c r="UJZ5" i="7"/>
  <c r="UKA5" i="7"/>
  <c r="UKB5" i="7"/>
  <c r="UKC5" i="7"/>
  <c r="UKD5" i="7"/>
  <c r="UKE5" i="7"/>
  <c r="UKF5" i="7"/>
  <c r="UKG5" i="7"/>
  <c r="UKH5" i="7"/>
  <c r="UKI5" i="7"/>
  <c r="UKJ5" i="7"/>
  <c r="UKK5" i="7"/>
  <c r="UKL5" i="7"/>
  <c r="UKM5" i="7"/>
  <c r="UKN5" i="7"/>
  <c r="UKO5" i="7"/>
  <c r="UKP5" i="7"/>
  <c r="UKQ5" i="7"/>
  <c r="UKR5" i="7"/>
  <c r="UKS5" i="7"/>
  <c r="UKT5" i="7"/>
  <c r="UKU5" i="7"/>
  <c r="UKV5" i="7"/>
  <c r="UKW5" i="7"/>
  <c r="UKX5" i="7"/>
  <c r="UKY5" i="7"/>
  <c r="UKZ5" i="7"/>
  <c r="ULA5" i="7"/>
  <c r="ULB5" i="7"/>
  <c r="ULC5" i="7"/>
  <c r="ULD5" i="7"/>
  <c r="ULE5" i="7"/>
  <c r="ULF5" i="7"/>
  <c r="ULG5" i="7"/>
  <c r="ULH5" i="7"/>
  <c r="ULI5" i="7"/>
  <c r="ULJ5" i="7"/>
  <c r="ULK5" i="7"/>
  <c r="ULL5" i="7"/>
  <c r="ULM5" i="7"/>
  <c r="ULN5" i="7"/>
  <c r="ULO5" i="7"/>
  <c r="ULP5" i="7"/>
  <c r="ULQ5" i="7"/>
  <c r="ULR5" i="7"/>
  <c r="ULS5" i="7"/>
  <c r="ULT5" i="7"/>
  <c r="ULU5" i="7"/>
  <c r="ULV5" i="7"/>
  <c r="ULW5" i="7"/>
  <c r="ULX5" i="7"/>
  <c r="ULY5" i="7"/>
  <c r="ULZ5" i="7"/>
  <c r="UMA5" i="7"/>
  <c r="UMB5" i="7"/>
  <c r="UMC5" i="7"/>
  <c r="UMD5" i="7"/>
  <c r="UME5" i="7"/>
  <c r="UMF5" i="7"/>
  <c r="UMG5" i="7"/>
  <c r="UMH5" i="7"/>
  <c r="UMI5" i="7"/>
  <c r="UMJ5" i="7"/>
  <c r="UMK5" i="7"/>
  <c r="UML5" i="7"/>
  <c r="UMM5" i="7"/>
  <c r="UMN5" i="7"/>
  <c r="UMO5" i="7"/>
  <c r="UMP5" i="7"/>
  <c r="UMQ5" i="7"/>
  <c r="UMR5" i="7"/>
  <c r="UMS5" i="7"/>
  <c r="UMT5" i="7"/>
  <c r="UMU5" i="7"/>
  <c r="UMV5" i="7"/>
  <c r="UMW5" i="7"/>
  <c r="UMX5" i="7"/>
  <c r="UMY5" i="7"/>
  <c r="UMZ5" i="7"/>
  <c r="UNA5" i="7"/>
  <c r="UNB5" i="7"/>
  <c r="UNC5" i="7"/>
  <c r="UND5" i="7"/>
  <c r="UNE5" i="7"/>
  <c r="UNF5" i="7"/>
  <c r="UNG5" i="7"/>
  <c r="UNH5" i="7"/>
  <c r="UNI5" i="7"/>
  <c r="UNJ5" i="7"/>
  <c r="UNK5" i="7"/>
  <c r="UNL5" i="7"/>
  <c r="UNM5" i="7"/>
  <c r="UNN5" i="7"/>
  <c r="UNO5" i="7"/>
  <c r="UNP5" i="7"/>
  <c r="UNQ5" i="7"/>
  <c r="UNR5" i="7"/>
  <c r="UNS5" i="7"/>
  <c r="UNT5" i="7"/>
  <c r="UNU5" i="7"/>
  <c r="UNV5" i="7"/>
  <c r="UNW5" i="7"/>
  <c r="UNX5" i="7"/>
  <c r="UNY5" i="7"/>
  <c r="UNZ5" i="7"/>
  <c r="UOA5" i="7"/>
  <c r="UOB5" i="7"/>
  <c r="UOC5" i="7"/>
  <c r="UOD5" i="7"/>
  <c r="UOE5" i="7"/>
  <c r="UOF5" i="7"/>
  <c r="UOG5" i="7"/>
  <c r="UOH5" i="7"/>
  <c r="UOI5" i="7"/>
  <c r="UOJ5" i="7"/>
  <c r="UOK5" i="7"/>
  <c r="UOL5" i="7"/>
  <c r="UOM5" i="7"/>
  <c r="UON5" i="7"/>
  <c r="UOO5" i="7"/>
  <c r="UOP5" i="7"/>
  <c r="UOQ5" i="7"/>
  <c r="UOR5" i="7"/>
  <c r="UOS5" i="7"/>
  <c r="UOT5" i="7"/>
  <c r="UOU5" i="7"/>
  <c r="UOV5" i="7"/>
  <c r="UOW5" i="7"/>
  <c r="UOX5" i="7"/>
  <c r="UOY5" i="7"/>
  <c r="UOZ5" i="7"/>
  <c r="UPA5" i="7"/>
  <c r="UPB5" i="7"/>
  <c r="UPC5" i="7"/>
  <c r="UPD5" i="7"/>
  <c r="UPE5" i="7"/>
  <c r="UPF5" i="7"/>
  <c r="UPG5" i="7"/>
  <c r="UPH5" i="7"/>
  <c r="UPI5" i="7"/>
  <c r="UPJ5" i="7"/>
  <c r="UPK5" i="7"/>
  <c r="UPL5" i="7"/>
  <c r="UPM5" i="7"/>
  <c r="UPN5" i="7"/>
  <c r="UPO5" i="7"/>
  <c r="UPP5" i="7"/>
  <c r="UPQ5" i="7"/>
  <c r="UPR5" i="7"/>
  <c r="UPS5" i="7"/>
  <c r="UPT5" i="7"/>
  <c r="UPU5" i="7"/>
  <c r="UPV5" i="7"/>
  <c r="UPW5" i="7"/>
  <c r="UPX5" i="7"/>
  <c r="UPY5" i="7"/>
  <c r="UPZ5" i="7"/>
  <c r="UQA5" i="7"/>
  <c r="UQB5" i="7"/>
  <c r="UQC5" i="7"/>
  <c r="UQD5" i="7"/>
  <c r="UQE5" i="7"/>
  <c r="UQF5" i="7"/>
  <c r="UQG5" i="7"/>
  <c r="UQH5" i="7"/>
  <c r="UQI5" i="7"/>
  <c r="UQJ5" i="7"/>
  <c r="UQK5" i="7"/>
  <c r="UQL5" i="7"/>
  <c r="UQM5" i="7"/>
  <c r="UQN5" i="7"/>
  <c r="UQO5" i="7"/>
  <c r="UQP5" i="7"/>
  <c r="UQQ5" i="7"/>
  <c r="UQR5" i="7"/>
  <c r="UQS5" i="7"/>
  <c r="UQT5" i="7"/>
  <c r="UQU5" i="7"/>
  <c r="UQV5" i="7"/>
  <c r="UQW5" i="7"/>
  <c r="UQX5" i="7"/>
  <c r="UQY5" i="7"/>
  <c r="UQZ5" i="7"/>
  <c r="URA5" i="7"/>
  <c r="URB5" i="7"/>
  <c r="URC5" i="7"/>
  <c r="URD5" i="7"/>
  <c r="URE5" i="7"/>
  <c r="URF5" i="7"/>
  <c r="URG5" i="7"/>
  <c r="URH5" i="7"/>
  <c r="URI5" i="7"/>
  <c r="URJ5" i="7"/>
  <c r="URK5" i="7"/>
  <c r="URL5" i="7"/>
  <c r="URM5" i="7"/>
  <c r="URN5" i="7"/>
  <c r="URO5" i="7"/>
  <c r="URP5" i="7"/>
  <c r="URQ5" i="7"/>
  <c r="URR5" i="7"/>
  <c r="URS5" i="7"/>
  <c r="URT5" i="7"/>
  <c r="URU5" i="7"/>
  <c r="URV5" i="7"/>
  <c r="URW5" i="7"/>
  <c r="URX5" i="7"/>
  <c r="URY5" i="7"/>
  <c r="URZ5" i="7"/>
  <c r="USA5" i="7"/>
  <c r="USB5" i="7"/>
  <c r="USC5" i="7"/>
  <c r="USD5" i="7"/>
  <c r="USE5" i="7"/>
  <c r="USF5" i="7"/>
  <c r="USG5" i="7"/>
  <c r="USH5" i="7"/>
  <c r="USI5" i="7"/>
  <c r="USJ5" i="7"/>
  <c r="USK5" i="7"/>
  <c r="USL5" i="7"/>
  <c r="USM5" i="7"/>
  <c r="USN5" i="7"/>
  <c r="USO5" i="7"/>
  <c r="USP5" i="7"/>
  <c r="USQ5" i="7"/>
  <c r="USR5" i="7"/>
  <c r="USS5" i="7"/>
  <c r="UST5" i="7"/>
  <c r="USU5" i="7"/>
  <c r="USV5" i="7"/>
  <c r="USW5" i="7"/>
  <c r="USX5" i="7"/>
  <c r="USY5" i="7"/>
  <c r="USZ5" i="7"/>
  <c r="UTA5" i="7"/>
  <c r="UTB5" i="7"/>
  <c r="UTC5" i="7"/>
  <c r="UTD5" i="7"/>
  <c r="UTE5" i="7"/>
  <c r="UTF5" i="7"/>
  <c r="UTG5" i="7"/>
  <c r="UTH5" i="7"/>
  <c r="UTI5" i="7"/>
  <c r="UTJ5" i="7"/>
  <c r="UTK5" i="7"/>
  <c r="UTL5" i="7"/>
  <c r="UTM5" i="7"/>
  <c r="UTN5" i="7"/>
  <c r="UTO5" i="7"/>
  <c r="UTP5" i="7"/>
  <c r="UTQ5" i="7"/>
  <c r="UTR5" i="7"/>
  <c r="UTS5" i="7"/>
  <c r="UTT5" i="7"/>
  <c r="UTU5" i="7"/>
  <c r="UTV5" i="7"/>
  <c r="UTW5" i="7"/>
  <c r="UTX5" i="7"/>
  <c r="UTY5" i="7"/>
  <c r="UTZ5" i="7"/>
  <c r="UUA5" i="7"/>
  <c r="UUB5" i="7"/>
  <c r="UUC5" i="7"/>
  <c r="UUD5" i="7"/>
  <c r="UUE5" i="7"/>
  <c r="UUF5" i="7"/>
  <c r="UUG5" i="7"/>
  <c r="UUH5" i="7"/>
  <c r="UUI5" i="7"/>
  <c r="UUJ5" i="7"/>
  <c r="UUK5" i="7"/>
  <c r="UUL5" i="7"/>
  <c r="UUM5" i="7"/>
  <c r="UUN5" i="7"/>
  <c r="UUO5" i="7"/>
  <c r="UUP5" i="7"/>
  <c r="UUQ5" i="7"/>
  <c r="UUR5" i="7"/>
  <c r="UUS5" i="7"/>
  <c r="UUT5" i="7"/>
  <c r="UUU5" i="7"/>
  <c r="UUV5" i="7"/>
  <c r="UUW5" i="7"/>
  <c r="UUX5" i="7"/>
  <c r="UUY5" i="7"/>
  <c r="UUZ5" i="7"/>
  <c r="UVA5" i="7"/>
  <c r="UVB5" i="7"/>
  <c r="UVC5" i="7"/>
  <c r="UVD5" i="7"/>
  <c r="UVE5" i="7"/>
  <c r="UVF5" i="7"/>
  <c r="UVG5" i="7"/>
  <c r="UVH5" i="7"/>
  <c r="UVI5" i="7"/>
  <c r="UVJ5" i="7"/>
  <c r="UVK5" i="7"/>
  <c r="UVL5" i="7"/>
  <c r="UVM5" i="7"/>
  <c r="UVN5" i="7"/>
  <c r="UVO5" i="7"/>
  <c r="UVP5" i="7"/>
  <c r="UVQ5" i="7"/>
  <c r="UVR5" i="7"/>
  <c r="UVS5" i="7"/>
  <c r="UVT5" i="7"/>
  <c r="UVU5" i="7"/>
  <c r="UVV5" i="7"/>
  <c r="UVW5" i="7"/>
  <c r="UVX5" i="7"/>
  <c r="UVY5" i="7"/>
  <c r="UVZ5" i="7"/>
  <c r="UWA5" i="7"/>
  <c r="UWB5" i="7"/>
  <c r="UWC5" i="7"/>
  <c r="UWD5" i="7"/>
  <c r="UWE5" i="7"/>
  <c r="UWF5" i="7"/>
  <c r="UWG5" i="7"/>
  <c r="UWH5" i="7"/>
  <c r="UWI5" i="7"/>
  <c r="UWJ5" i="7"/>
  <c r="UWK5" i="7"/>
  <c r="UWL5" i="7"/>
  <c r="UWM5" i="7"/>
  <c r="UWN5" i="7"/>
  <c r="UWO5" i="7"/>
  <c r="UWP5" i="7"/>
  <c r="UWQ5" i="7"/>
  <c r="UWR5" i="7"/>
  <c r="UWS5" i="7"/>
  <c r="UWT5" i="7"/>
  <c r="UWU5" i="7"/>
  <c r="UWV5" i="7"/>
  <c r="UWW5" i="7"/>
  <c r="UWX5" i="7"/>
  <c r="UWY5" i="7"/>
  <c r="UWZ5" i="7"/>
  <c r="UXA5" i="7"/>
  <c r="UXB5" i="7"/>
  <c r="UXC5" i="7"/>
  <c r="UXD5" i="7"/>
  <c r="UXE5" i="7"/>
  <c r="UXF5" i="7"/>
  <c r="UXG5" i="7"/>
  <c r="UXH5" i="7"/>
  <c r="UXI5" i="7"/>
  <c r="UXJ5" i="7"/>
  <c r="UXK5" i="7"/>
  <c r="UXL5" i="7"/>
  <c r="UXM5" i="7"/>
  <c r="UXN5" i="7"/>
  <c r="UXO5" i="7"/>
  <c r="UXP5" i="7"/>
  <c r="UXQ5" i="7"/>
  <c r="UXR5" i="7"/>
  <c r="UXS5" i="7"/>
  <c r="UXT5" i="7"/>
  <c r="UXU5" i="7"/>
  <c r="UXV5" i="7"/>
  <c r="UXW5" i="7"/>
  <c r="UXX5" i="7"/>
  <c r="UXY5" i="7"/>
  <c r="UXZ5" i="7"/>
  <c r="UYA5" i="7"/>
  <c r="UYB5" i="7"/>
  <c r="UYC5" i="7"/>
  <c r="UYD5" i="7"/>
  <c r="UYE5" i="7"/>
  <c r="UYF5" i="7"/>
  <c r="UYG5" i="7"/>
  <c r="UYH5" i="7"/>
  <c r="UYI5" i="7"/>
  <c r="UYJ5" i="7"/>
  <c r="UYK5" i="7"/>
  <c r="UYL5" i="7"/>
  <c r="UYM5" i="7"/>
  <c r="UYN5" i="7"/>
  <c r="UYO5" i="7"/>
  <c r="UYP5" i="7"/>
  <c r="UYQ5" i="7"/>
  <c r="UYR5" i="7"/>
  <c r="UYS5" i="7"/>
  <c r="UYT5" i="7"/>
  <c r="UYU5" i="7"/>
  <c r="UYV5" i="7"/>
  <c r="UYW5" i="7"/>
  <c r="UYX5" i="7"/>
  <c r="UYY5" i="7"/>
  <c r="UYZ5" i="7"/>
  <c r="UZA5" i="7"/>
  <c r="UZB5" i="7"/>
  <c r="UZC5" i="7"/>
  <c r="UZD5" i="7"/>
  <c r="UZE5" i="7"/>
  <c r="UZF5" i="7"/>
  <c r="UZG5" i="7"/>
  <c r="UZH5" i="7"/>
  <c r="UZI5" i="7"/>
  <c r="UZJ5" i="7"/>
  <c r="UZK5" i="7"/>
  <c r="UZL5" i="7"/>
  <c r="UZM5" i="7"/>
  <c r="UZN5" i="7"/>
  <c r="UZO5" i="7"/>
  <c r="UZP5" i="7"/>
  <c r="UZQ5" i="7"/>
  <c r="UZR5" i="7"/>
  <c r="UZS5" i="7"/>
  <c r="UZT5" i="7"/>
  <c r="UZU5" i="7"/>
  <c r="UZV5" i="7"/>
  <c r="UZW5" i="7"/>
  <c r="UZX5" i="7"/>
  <c r="UZY5" i="7"/>
  <c r="UZZ5" i="7"/>
  <c r="VAA5" i="7"/>
  <c r="VAB5" i="7"/>
  <c r="VAC5" i="7"/>
  <c r="VAD5" i="7"/>
  <c r="VAE5" i="7"/>
  <c r="VAF5" i="7"/>
  <c r="VAG5" i="7"/>
  <c r="VAH5" i="7"/>
  <c r="VAI5" i="7"/>
  <c r="VAJ5" i="7"/>
  <c r="VAK5" i="7"/>
  <c r="VAL5" i="7"/>
  <c r="VAM5" i="7"/>
  <c r="VAN5" i="7"/>
  <c r="VAO5" i="7"/>
  <c r="VAP5" i="7"/>
  <c r="VAQ5" i="7"/>
  <c r="VAR5" i="7"/>
  <c r="VAS5" i="7"/>
  <c r="VAT5" i="7"/>
  <c r="VAU5" i="7"/>
  <c r="VAV5" i="7"/>
  <c r="VAW5" i="7"/>
  <c r="VAX5" i="7"/>
  <c r="VAY5" i="7"/>
  <c r="VAZ5" i="7"/>
  <c r="VBA5" i="7"/>
  <c r="VBB5" i="7"/>
  <c r="VBC5" i="7"/>
  <c r="VBD5" i="7"/>
  <c r="VBE5" i="7"/>
  <c r="VBF5" i="7"/>
  <c r="VBG5" i="7"/>
  <c r="VBH5" i="7"/>
  <c r="VBI5" i="7"/>
  <c r="VBJ5" i="7"/>
  <c r="VBK5" i="7"/>
  <c r="VBL5" i="7"/>
  <c r="VBM5" i="7"/>
  <c r="VBN5" i="7"/>
  <c r="VBO5" i="7"/>
  <c r="VBP5" i="7"/>
  <c r="VBQ5" i="7"/>
  <c r="VBR5" i="7"/>
  <c r="VBS5" i="7"/>
  <c r="VBT5" i="7"/>
  <c r="VBU5" i="7"/>
  <c r="VBV5" i="7"/>
  <c r="VBW5" i="7"/>
  <c r="VBX5" i="7"/>
  <c r="VBY5" i="7"/>
  <c r="VBZ5" i="7"/>
  <c r="VCA5" i="7"/>
  <c r="VCB5" i="7"/>
  <c r="VCC5" i="7"/>
  <c r="VCD5" i="7"/>
  <c r="VCE5" i="7"/>
  <c r="VCF5" i="7"/>
  <c r="VCG5" i="7"/>
  <c r="VCH5" i="7"/>
  <c r="VCI5" i="7"/>
  <c r="VCJ5" i="7"/>
  <c r="VCK5" i="7"/>
  <c r="VCL5" i="7"/>
  <c r="VCM5" i="7"/>
  <c r="VCN5" i="7"/>
  <c r="VCO5" i="7"/>
  <c r="VCP5" i="7"/>
  <c r="VCQ5" i="7"/>
  <c r="VCR5" i="7"/>
  <c r="VCS5" i="7"/>
  <c r="VCT5" i="7"/>
  <c r="VCU5" i="7"/>
  <c r="VCV5" i="7"/>
  <c r="VCW5" i="7"/>
  <c r="VCX5" i="7"/>
  <c r="VCY5" i="7"/>
  <c r="VCZ5" i="7"/>
  <c r="VDA5" i="7"/>
  <c r="VDB5" i="7"/>
  <c r="VDC5" i="7"/>
  <c r="VDD5" i="7"/>
  <c r="VDE5" i="7"/>
  <c r="VDF5" i="7"/>
  <c r="VDG5" i="7"/>
  <c r="VDH5" i="7"/>
  <c r="VDI5" i="7"/>
  <c r="VDJ5" i="7"/>
  <c r="VDK5" i="7"/>
  <c r="VDL5" i="7"/>
  <c r="VDM5" i="7"/>
  <c r="VDN5" i="7"/>
  <c r="VDO5" i="7"/>
  <c r="VDP5" i="7"/>
  <c r="VDQ5" i="7"/>
  <c r="VDR5" i="7"/>
  <c r="VDS5" i="7"/>
  <c r="VDT5" i="7"/>
  <c r="VDU5" i="7"/>
  <c r="VDV5" i="7"/>
  <c r="VDW5" i="7"/>
  <c r="VDX5" i="7"/>
  <c r="VDY5" i="7"/>
  <c r="VDZ5" i="7"/>
  <c r="VEA5" i="7"/>
  <c r="VEB5" i="7"/>
  <c r="VEC5" i="7"/>
  <c r="VED5" i="7"/>
  <c r="VEE5" i="7"/>
  <c r="VEF5" i="7"/>
  <c r="VEG5" i="7"/>
  <c r="VEH5" i="7"/>
  <c r="VEI5" i="7"/>
  <c r="VEJ5" i="7"/>
  <c r="VEK5" i="7"/>
  <c r="VEL5" i="7"/>
  <c r="VEM5" i="7"/>
  <c r="VEN5" i="7"/>
  <c r="VEO5" i="7"/>
  <c r="VEP5" i="7"/>
  <c r="VEQ5" i="7"/>
  <c r="VER5" i="7"/>
  <c r="VES5" i="7"/>
  <c r="VET5" i="7"/>
  <c r="VEU5" i="7"/>
  <c r="VEV5" i="7"/>
  <c r="VEW5" i="7"/>
  <c r="VEX5" i="7"/>
  <c r="VEY5" i="7"/>
  <c r="VEZ5" i="7"/>
  <c r="VFA5" i="7"/>
  <c r="VFB5" i="7"/>
  <c r="VFC5" i="7"/>
  <c r="VFD5" i="7"/>
  <c r="VFE5" i="7"/>
  <c r="VFF5" i="7"/>
  <c r="VFG5" i="7"/>
  <c r="VFH5" i="7"/>
  <c r="VFI5" i="7"/>
  <c r="VFJ5" i="7"/>
  <c r="VFK5" i="7"/>
  <c r="VFL5" i="7"/>
  <c r="VFM5" i="7"/>
  <c r="VFN5" i="7"/>
  <c r="VFO5" i="7"/>
  <c r="VFP5" i="7"/>
  <c r="VFQ5" i="7"/>
  <c r="VFR5" i="7"/>
  <c r="VFS5" i="7"/>
  <c r="VFT5" i="7"/>
  <c r="VFU5" i="7"/>
  <c r="VFV5" i="7"/>
  <c r="VFW5" i="7"/>
  <c r="VFX5" i="7"/>
  <c r="VFY5" i="7"/>
  <c r="VFZ5" i="7"/>
  <c r="VGA5" i="7"/>
  <c r="VGB5" i="7"/>
  <c r="VGC5" i="7"/>
  <c r="VGD5" i="7"/>
  <c r="VGE5" i="7"/>
  <c r="VGF5" i="7"/>
  <c r="VGG5" i="7"/>
  <c r="VGH5" i="7"/>
  <c r="VGI5" i="7"/>
  <c r="VGJ5" i="7"/>
  <c r="VGK5" i="7"/>
  <c r="VGL5" i="7"/>
  <c r="VGM5" i="7"/>
  <c r="VGN5" i="7"/>
  <c r="VGO5" i="7"/>
  <c r="VGP5" i="7"/>
  <c r="VGQ5" i="7"/>
  <c r="VGR5" i="7"/>
  <c r="VGS5" i="7"/>
  <c r="VGT5" i="7"/>
  <c r="VGU5" i="7"/>
  <c r="VGV5" i="7"/>
  <c r="VGW5" i="7"/>
  <c r="VGX5" i="7"/>
  <c r="VGY5" i="7"/>
  <c r="VGZ5" i="7"/>
  <c r="VHA5" i="7"/>
  <c r="VHB5" i="7"/>
  <c r="VHC5" i="7"/>
  <c r="VHD5" i="7"/>
  <c r="VHE5" i="7"/>
  <c r="VHF5" i="7"/>
  <c r="VHG5" i="7"/>
  <c r="VHH5" i="7"/>
  <c r="VHI5" i="7"/>
  <c r="VHJ5" i="7"/>
  <c r="VHK5" i="7"/>
  <c r="VHL5" i="7"/>
  <c r="VHM5" i="7"/>
  <c r="VHN5" i="7"/>
  <c r="VHO5" i="7"/>
  <c r="VHP5" i="7"/>
  <c r="VHQ5" i="7"/>
  <c r="VHR5" i="7"/>
  <c r="VHS5" i="7"/>
  <c r="VHT5" i="7"/>
  <c r="VHU5" i="7"/>
  <c r="VHV5" i="7"/>
  <c r="VHW5" i="7"/>
  <c r="VHX5" i="7"/>
  <c r="VHY5" i="7"/>
  <c r="VHZ5" i="7"/>
  <c r="VIA5" i="7"/>
  <c r="VIB5" i="7"/>
  <c r="VIC5" i="7"/>
  <c r="VID5" i="7"/>
  <c r="VIE5" i="7"/>
  <c r="VIF5" i="7"/>
  <c r="VIG5" i="7"/>
  <c r="VIH5" i="7"/>
  <c r="VII5" i="7"/>
  <c r="VIJ5" i="7"/>
  <c r="VIK5" i="7"/>
  <c r="VIL5" i="7"/>
  <c r="VIM5" i="7"/>
  <c r="VIN5" i="7"/>
  <c r="VIO5" i="7"/>
  <c r="VIP5" i="7"/>
  <c r="VIQ5" i="7"/>
  <c r="VIR5" i="7"/>
  <c r="VIS5" i="7"/>
  <c r="VIT5" i="7"/>
  <c r="VIU5" i="7"/>
  <c r="VIV5" i="7"/>
  <c r="VIW5" i="7"/>
  <c r="VIX5" i="7"/>
  <c r="VIY5" i="7"/>
  <c r="VIZ5" i="7"/>
  <c r="VJA5" i="7"/>
  <c r="VJB5" i="7"/>
  <c r="VJC5" i="7"/>
  <c r="VJD5" i="7"/>
  <c r="VJE5" i="7"/>
  <c r="VJF5" i="7"/>
  <c r="VJG5" i="7"/>
  <c r="VJH5" i="7"/>
  <c r="VJI5" i="7"/>
  <c r="VJJ5" i="7"/>
  <c r="VJK5" i="7"/>
  <c r="VJL5" i="7"/>
  <c r="VJM5" i="7"/>
  <c r="VJN5" i="7"/>
  <c r="VJO5" i="7"/>
  <c r="VJP5" i="7"/>
  <c r="VJQ5" i="7"/>
  <c r="VJR5" i="7"/>
  <c r="VJS5" i="7"/>
  <c r="VJT5" i="7"/>
  <c r="VJU5" i="7"/>
  <c r="VJV5" i="7"/>
  <c r="VJW5" i="7"/>
  <c r="VJX5" i="7"/>
  <c r="VJY5" i="7"/>
  <c r="VJZ5" i="7"/>
  <c r="VKA5" i="7"/>
  <c r="VKB5" i="7"/>
  <c r="VKC5" i="7"/>
  <c r="VKD5" i="7"/>
  <c r="VKE5" i="7"/>
  <c r="VKF5" i="7"/>
  <c r="VKG5" i="7"/>
  <c r="VKH5" i="7"/>
  <c r="VKI5" i="7"/>
  <c r="VKJ5" i="7"/>
  <c r="VKK5" i="7"/>
  <c r="VKL5" i="7"/>
  <c r="VKM5" i="7"/>
  <c r="VKN5" i="7"/>
  <c r="VKO5" i="7"/>
  <c r="VKP5" i="7"/>
  <c r="VKQ5" i="7"/>
  <c r="VKR5" i="7"/>
  <c r="VKS5" i="7"/>
  <c r="VKT5" i="7"/>
  <c r="VKU5" i="7"/>
  <c r="VKV5" i="7"/>
  <c r="VKW5" i="7"/>
  <c r="VKX5" i="7"/>
  <c r="VKY5" i="7"/>
  <c r="VKZ5" i="7"/>
  <c r="VLA5" i="7"/>
  <c r="VLB5" i="7"/>
  <c r="VLC5" i="7"/>
  <c r="VLD5" i="7"/>
  <c r="VLE5" i="7"/>
  <c r="VLF5" i="7"/>
  <c r="VLG5" i="7"/>
  <c r="VLH5" i="7"/>
  <c r="VLI5" i="7"/>
  <c r="VLJ5" i="7"/>
  <c r="VLK5" i="7"/>
  <c r="VLL5" i="7"/>
  <c r="VLM5" i="7"/>
  <c r="VLN5" i="7"/>
  <c r="VLO5" i="7"/>
  <c r="VLP5" i="7"/>
  <c r="VLQ5" i="7"/>
  <c r="VLR5" i="7"/>
  <c r="VLS5" i="7"/>
  <c r="VLT5" i="7"/>
  <c r="VLU5" i="7"/>
  <c r="VLV5" i="7"/>
  <c r="VLW5" i="7"/>
  <c r="VLX5" i="7"/>
  <c r="VLY5" i="7"/>
  <c r="VLZ5" i="7"/>
  <c r="VMA5" i="7"/>
  <c r="VMB5" i="7"/>
  <c r="VMC5" i="7"/>
  <c r="VMD5" i="7"/>
  <c r="VME5" i="7"/>
  <c r="VMF5" i="7"/>
  <c r="VMG5" i="7"/>
  <c r="VMH5" i="7"/>
  <c r="VMI5" i="7"/>
  <c r="VMJ5" i="7"/>
  <c r="VMK5" i="7"/>
  <c r="VML5" i="7"/>
  <c r="VMM5" i="7"/>
  <c r="VMN5" i="7"/>
  <c r="VMO5" i="7"/>
  <c r="VMP5" i="7"/>
  <c r="VMQ5" i="7"/>
  <c r="VMR5" i="7"/>
  <c r="VMS5" i="7"/>
  <c r="VMT5" i="7"/>
  <c r="VMU5" i="7"/>
  <c r="VMV5" i="7"/>
  <c r="VMW5" i="7"/>
  <c r="VMX5" i="7"/>
  <c r="VMY5" i="7"/>
  <c r="VMZ5" i="7"/>
  <c r="VNA5" i="7"/>
  <c r="VNB5" i="7"/>
  <c r="VNC5" i="7"/>
  <c r="VND5" i="7"/>
  <c r="VNE5" i="7"/>
  <c r="VNF5" i="7"/>
  <c r="VNG5" i="7"/>
  <c r="VNH5" i="7"/>
  <c r="VNI5" i="7"/>
  <c r="VNJ5" i="7"/>
  <c r="VNK5" i="7"/>
  <c r="VNL5" i="7"/>
  <c r="VNM5" i="7"/>
  <c r="VNN5" i="7"/>
  <c r="VNO5" i="7"/>
  <c r="VNP5" i="7"/>
  <c r="VNQ5" i="7"/>
  <c r="VNR5" i="7"/>
  <c r="VNS5" i="7"/>
  <c r="VNT5" i="7"/>
  <c r="VNU5" i="7"/>
  <c r="VNV5" i="7"/>
  <c r="VNW5" i="7"/>
  <c r="VNX5" i="7"/>
  <c r="VNY5" i="7"/>
  <c r="VNZ5" i="7"/>
  <c r="VOA5" i="7"/>
  <c r="VOB5" i="7"/>
  <c r="VOC5" i="7"/>
  <c r="VOD5" i="7"/>
  <c r="VOE5" i="7"/>
  <c r="VOF5" i="7"/>
  <c r="VOG5" i="7"/>
  <c r="VOH5" i="7"/>
  <c r="VOI5" i="7"/>
  <c r="VOJ5" i="7"/>
  <c r="VOK5" i="7"/>
  <c r="VOL5" i="7"/>
  <c r="VOM5" i="7"/>
  <c r="VON5" i="7"/>
  <c r="VOO5" i="7"/>
  <c r="VOP5" i="7"/>
  <c r="VOQ5" i="7"/>
  <c r="VOR5" i="7"/>
  <c r="VOS5" i="7"/>
  <c r="VOT5" i="7"/>
  <c r="VOU5" i="7"/>
  <c r="VOV5" i="7"/>
  <c r="VOW5" i="7"/>
  <c r="VOX5" i="7"/>
  <c r="VOY5" i="7"/>
  <c r="VOZ5" i="7"/>
  <c r="VPA5" i="7"/>
  <c r="VPB5" i="7"/>
  <c r="VPC5" i="7"/>
  <c r="VPD5" i="7"/>
  <c r="VPE5" i="7"/>
  <c r="VPF5" i="7"/>
  <c r="VPG5" i="7"/>
  <c r="VPH5" i="7"/>
  <c r="VPI5" i="7"/>
  <c r="VPJ5" i="7"/>
  <c r="VPK5" i="7"/>
  <c r="VPL5" i="7"/>
  <c r="VPM5" i="7"/>
  <c r="VPN5" i="7"/>
  <c r="VPO5" i="7"/>
  <c r="VPP5" i="7"/>
  <c r="VPQ5" i="7"/>
  <c r="VPR5" i="7"/>
  <c r="VPS5" i="7"/>
  <c r="VPT5" i="7"/>
  <c r="VPU5" i="7"/>
  <c r="VPV5" i="7"/>
  <c r="VPW5" i="7"/>
  <c r="VPX5" i="7"/>
  <c r="VPY5" i="7"/>
  <c r="VPZ5" i="7"/>
  <c r="VQA5" i="7"/>
  <c r="VQB5" i="7"/>
  <c r="VQC5" i="7"/>
  <c r="VQD5" i="7"/>
  <c r="VQE5" i="7"/>
  <c r="VQF5" i="7"/>
  <c r="VQG5" i="7"/>
  <c r="VQH5" i="7"/>
  <c r="VQI5" i="7"/>
  <c r="VQJ5" i="7"/>
  <c r="VQK5" i="7"/>
  <c r="VQL5" i="7"/>
  <c r="VQM5" i="7"/>
  <c r="VQN5" i="7"/>
  <c r="VQO5" i="7"/>
  <c r="VQP5" i="7"/>
  <c r="VQQ5" i="7"/>
  <c r="VQR5" i="7"/>
  <c r="VQS5" i="7"/>
  <c r="VQT5" i="7"/>
  <c r="VQU5" i="7"/>
  <c r="VQV5" i="7"/>
  <c r="VQW5" i="7"/>
  <c r="VQX5" i="7"/>
  <c r="VQY5" i="7"/>
  <c r="VQZ5" i="7"/>
  <c r="VRA5" i="7"/>
  <c r="VRB5" i="7"/>
  <c r="VRC5" i="7"/>
  <c r="VRD5" i="7"/>
  <c r="VRE5" i="7"/>
  <c r="VRF5" i="7"/>
  <c r="VRG5" i="7"/>
  <c r="VRH5" i="7"/>
  <c r="VRI5" i="7"/>
  <c r="VRJ5" i="7"/>
  <c r="VRK5" i="7"/>
  <c r="VRL5" i="7"/>
  <c r="VRM5" i="7"/>
  <c r="VRN5" i="7"/>
  <c r="VRO5" i="7"/>
  <c r="VRP5" i="7"/>
  <c r="VRQ5" i="7"/>
  <c r="VRR5" i="7"/>
  <c r="VRS5" i="7"/>
  <c r="VRT5" i="7"/>
  <c r="VRU5" i="7"/>
  <c r="VRV5" i="7"/>
  <c r="VRW5" i="7"/>
  <c r="VRX5" i="7"/>
  <c r="VRY5" i="7"/>
  <c r="VRZ5" i="7"/>
  <c r="VSA5" i="7"/>
  <c r="VSB5" i="7"/>
  <c r="VSC5" i="7"/>
  <c r="VSD5" i="7"/>
  <c r="VSE5" i="7"/>
  <c r="VSF5" i="7"/>
  <c r="VSG5" i="7"/>
  <c r="VSH5" i="7"/>
  <c r="VSI5" i="7"/>
  <c r="VSJ5" i="7"/>
  <c r="VSK5" i="7"/>
  <c r="VSL5" i="7"/>
  <c r="VSM5" i="7"/>
  <c r="VSN5" i="7"/>
  <c r="VSO5" i="7"/>
  <c r="VSP5" i="7"/>
  <c r="VSQ5" i="7"/>
  <c r="VSR5" i="7"/>
  <c r="VSS5" i="7"/>
  <c r="VST5" i="7"/>
  <c r="VSU5" i="7"/>
  <c r="VSV5" i="7"/>
  <c r="VSW5" i="7"/>
  <c r="VSX5" i="7"/>
  <c r="VSY5" i="7"/>
  <c r="VSZ5" i="7"/>
  <c r="VTA5" i="7"/>
  <c r="VTB5" i="7"/>
  <c r="VTC5" i="7"/>
  <c r="VTD5" i="7"/>
  <c r="VTE5" i="7"/>
  <c r="VTF5" i="7"/>
  <c r="VTG5" i="7"/>
  <c r="VTH5" i="7"/>
  <c r="VTI5" i="7"/>
  <c r="VTJ5" i="7"/>
  <c r="VTK5" i="7"/>
  <c r="VTL5" i="7"/>
  <c r="VTM5" i="7"/>
  <c r="VTN5" i="7"/>
  <c r="VTO5" i="7"/>
  <c r="VTP5" i="7"/>
  <c r="VTQ5" i="7"/>
  <c r="VTR5" i="7"/>
  <c r="VTS5" i="7"/>
  <c r="VTT5" i="7"/>
  <c r="VTU5" i="7"/>
  <c r="VTV5" i="7"/>
  <c r="VTW5" i="7"/>
  <c r="VTX5" i="7"/>
  <c r="VTY5" i="7"/>
  <c r="VTZ5" i="7"/>
  <c r="VUA5" i="7"/>
  <c r="VUB5" i="7"/>
  <c r="VUC5" i="7"/>
  <c r="VUD5" i="7"/>
  <c r="VUE5" i="7"/>
  <c r="VUF5" i="7"/>
  <c r="VUG5" i="7"/>
  <c r="VUH5" i="7"/>
  <c r="VUI5" i="7"/>
  <c r="VUJ5" i="7"/>
  <c r="VUK5" i="7"/>
  <c r="VUL5" i="7"/>
  <c r="VUM5" i="7"/>
  <c r="VUN5" i="7"/>
  <c r="VUO5" i="7"/>
  <c r="VUP5" i="7"/>
  <c r="VUQ5" i="7"/>
  <c r="VUR5" i="7"/>
  <c r="VUS5" i="7"/>
  <c r="VUT5" i="7"/>
  <c r="VUU5" i="7"/>
  <c r="VUV5" i="7"/>
  <c r="VUW5" i="7"/>
  <c r="VUX5" i="7"/>
  <c r="VUY5" i="7"/>
  <c r="VUZ5" i="7"/>
  <c r="VVA5" i="7"/>
  <c r="VVB5" i="7"/>
  <c r="VVC5" i="7"/>
  <c r="VVD5" i="7"/>
  <c r="VVE5" i="7"/>
  <c r="VVF5" i="7"/>
  <c r="VVG5" i="7"/>
  <c r="VVH5" i="7"/>
  <c r="VVI5" i="7"/>
  <c r="VVJ5" i="7"/>
  <c r="VVK5" i="7"/>
  <c r="VVL5" i="7"/>
  <c r="VVM5" i="7"/>
  <c r="VVN5" i="7"/>
  <c r="VVO5" i="7"/>
  <c r="VVP5" i="7"/>
  <c r="VVQ5" i="7"/>
  <c r="VVR5" i="7"/>
  <c r="VVS5" i="7"/>
  <c r="VVT5" i="7"/>
  <c r="VVU5" i="7"/>
  <c r="VVV5" i="7"/>
  <c r="VVW5" i="7"/>
  <c r="VVX5" i="7"/>
  <c r="VVY5" i="7"/>
  <c r="VVZ5" i="7"/>
  <c r="VWA5" i="7"/>
  <c r="VWB5" i="7"/>
  <c r="VWC5" i="7"/>
  <c r="VWD5" i="7"/>
  <c r="VWE5" i="7"/>
  <c r="VWF5" i="7"/>
  <c r="VWG5" i="7"/>
  <c r="VWH5" i="7"/>
  <c r="VWI5" i="7"/>
  <c r="VWJ5" i="7"/>
  <c r="VWK5" i="7"/>
  <c r="VWL5" i="7"/>
  <c r="VWM5" i="7"/>
  <c r="VWN5" i="7"/>
  <c r="VWO5" i="7"/>
  <c r="VWP5" i="7"/>
  <c r="VWQ5" i="7"/>
  <c r="VWR5" i="7"/>
  <c r="VWS5" i="7"/>
  <c r="VWT5" i="7"/>
  <c r="VWU5" i="7"/>
  <c r="VWV5" i="7"/>
  <c r="VWW5" i="7"/>
  <c r="VWX5" i="7"/>
  <c r="VWY5" i="7"/>
  <c r="VWZ5" i="7"/>
  <c r="VXA5" i="7"/>
  <c r="VXB5" i="7"/>
  <c r="VXC5" i="7"/>
  <c r="VXD5" i="7"/>
  <c r="VXE5" i="7"/>
  <c r="VXF5" i="7"/>
  <c r="VXG5" i="7"/>
  <c r="VXH5" i="7"/>
  <c r="VXI5" i="7"/>
  <c r="VXJ5" i="7"/>
  <c r="VXK5" i="7"/>
  <c r="VXL5" i="7"/>
  <c r="VXM5" i="7"/>
  <c r="VXN5" i="7"/>
  <c r="VXO5" i="7"/>
  <c r="VXP5" i="7"/>
  <c r="VXQ5" i="7"/>
  <c r="VXR5" i="7"/>
  <c r="VXS5" i="7"/>
  <c r="VXT5" i="7"/>
  <c r="VXU5" i="7"/>
  <c r="VXV5" i="7"/>
  <c r="VXW5" i="7"/>
  <c r="VXX5" i="7"/>
  <c r="VXY5" i="7"/>
  <c r="VXZ5" i="7"/>
  <c r="VYA5" i="7"/>
  <c r="VYB5" i="7"/>
  <c r="VYC5" i="7"/>
  <c r="VYD5" i="7"/>
  <c r="VYE5" i="7"/>
  <c r="VYF5" i="7"/>
  <c r="VYG5" i="7"/>
  <c r="VYH5" i="7"/>
  <c r="VYI5" i="7"/>
  <c r="VYJ5" i="7"/>
  <c r="VYK5" i="7"/>
  <c r="VYL5" i="7"/>
  <c r="VYM5" i="7"/>
  <c r="VYN5" i="7"/>
  <c r="VYO5" i="7"/>
  <c r="VYP5" i="7"/>
  <c r="VYQ5" i="7"/>
  <c r="VYR5" i="7"/>
  <c r="VYS5" i="7"/>
  <c r="VYT5" i="7"/>
  <c r="VYU5" i="7"/>
  <c r="VYV5" i="7"/>
  <c r="VYW5" i="7"/>
  <c r="VYX5" i="7"/>
  <c r="VYY5" i="7"/>
  <c r="VYZ5" i="7"/>
  <c r="VZA5" i="7"/>
  <c r="VZB5" i="7"/>
  <c r="VZC5" i="7"/>
  <c r="VZD5" i="7"/>
  <c r="VZE5" i="7"/>
  <c r="VZF5" i="7"/>
  <c r="VZG5" i="7"/>
  <c r="VZH5" i="7"/>
  <c r="VZI5" i="7"/>
  <c r="VZJ5" i="7"/>
  <c r="VZK5" i="7"/>
  <c r="VZL5" i="7"/>
  <c r="VZM5" i="7"/>
  <c r="VZN5" i="7"/>
  <c r="VZO5" i="7"/>
  <c r="VZP5" i="7"/>
  <c r="VZQ5" i="7"/>
  <c r="VZR5" i="7"/>
  <c r="VZS5" i="7"/>
  <c r="VZT5" i="7"/>
  <c r="VZU5" i="7"/>
  <c r="VZV5" i="7"/>
  <c r="VZW5" i="7"/>
  <c r="VZX5" i="7"/>
  <c r="VZY5" i="7"/>
  <c r="VZZ5" i="7"/>
  <c r="WAA5" i="7"/>
  <c r="WAB5" i="7"/>
  <c r="WAC5" i="7"/>
  <c r="WAD5" i="7"/>
  <c r="WAE5" i="7"/>
  <c r="WAF5" i="7"/>
  <c r="WAG5" i="7"/>
  <c r="WAH5" i="7"/>
  <c r="WAI5" i="7"/>
  <c r="WAJ5" i="7"/>
  <c r="WAK5" i="7"/>
  <c r="WAL5" i="7"/>
  <c r="WAM5" i="7"/>
  <c r="WAN5" i="7"/>
  <c r="WAO5" i="7"/>
  <c r="WAP5" i="7"/>
  <c r="WAQ5" i="7"/>
  <c r="WAR5" i="7"/>
  <c r="WAS5" i="7"/>
  <c r="WAT5" i="7"/>
  <c r="WAU5" i="7"/>
  <c r="WAV5" i="7"/>
  <c r="WAW5" i="7"/>
  <c r="WAX5" i="7"/>
  <c r="WAY5" i="7"/>
  <c r="WAZ5" i="7"/>
  <c r="WBA5" i="7"/>
  <c r="WBB5" i="7"/>
  <c r="WBC5" i="7"/>
  <c r="WBD5" i="7"/>
  <c r="WBE5" i="7"/>
  <c r="WBF5" i="7"/>
  <c r="WBG5" i="7"/>
  <c r="WBH5" i="7"/>
  <c r="WBI5" i="7"/>
  <c r="WBJ5" i="7"/>
  <c r="WBK5" i="7"/>
  <c r="WBL5" i="7"/>
  <c r="WBM5" i="7"/>
  <c r="WBN5" i="7"/>
  <c r="WBO5" i="7"/>
  <c r="WBP5" i="7"/>
  <c r="WBQ5" i="7"/>
  <c r="WBR5" i="7"/>
  <c r="WBS5" i="7"/>
  <c r="WBT5" i="7"/>
  <c r="WBU5" i="7"/>
  <c r="WBV5" i="7"/>
  <c r="WBW5" i="7"/>
  <c r="WBX5" i="7"/>
  <c r="WBY5" i="7"/>
  <c r="WBZ5" i="7"/>
  <c r="WCA5" i="7"/>
  <c r="WCB5" i="7"/>
  <c r="WCC5" i="7"/>
  <c r="WCD5" i="7"/>
  <c r="WCE5" i="7"/>
  <c r="WCF5" i="7"/>
  <c r="WCG5" i="7"/>
  <c r="WCH5" i="7"/>
  <c r="WCI5" i="7"/>
  <c r="WCJ5" i="7"/>
  <c r="WCK5" i="7"/>
  <c r="WCL5" i="7"/>
  <c r="WCM5" i="7"/>
  <c r="WCN5" i="7"/>
  <c r="WCO5" i="7"/>
  <c r="WCP5" i="7"/>
  <c r="WCQ5" i="7"/>
  <c r="WCR5" i="7"/>
  <c r="WCS5" i="7"/>
  <c r="WCT5" i="7"/>
  <c r="WCU5" i="7"/>
  <c r="WCV5" i="7"/>
  <c r="WCW5" i="7"/>
  <c r="WCX5" i="7"/>
  <c r="WCY5" i="7"/>
  <c r="WCZ5" i="7"/>
  <c r="WDA5" i="7"/>
  <c r="WDB5" i="7"/>
  <c r="WDC5" i="7"/>
  <c r="WDD5" i="7"/>
  <c r="WDE5" i="7"/>
  <c r="WDF5" i="7"/>
  <c r="WDG5" i="7"/>
  <c r="WDH5" i="7"/>
  <c r="WDI5" i="7"/>
  <c r="WDJ5" i="7"/>
  <c r="WDK5" i="7"/>
  <c r="WDL5" i="7"/>
  <c r="WDM5" i="7"/>
  <c r="WDN5" i="7"/>
  <c r="WDO5" i="7"/>
  <c r="WDP5" i="7"/>
  <c r="WDQ5" i="7"/>
  <c r="WDR5" i="7"/>
  <c r="WDS5" i="7"/>
  <c r="WDT5" i="7"/>
  <c r="WDU5" i="7"/>
  <c r="WDV5" i="7"/>
  <c r="WDW5" i="7"/>
  <c r="WDX5" i="7"/>
  <c r="WDY5" i="7"/>
  <c r="WDZ5" i="7"/>
  <c r="WEA5" i="7"/>
  <c r="WEB5" i="7"/>
  <c r="WEC5" i="7"/>
  <c r="WED5" i="7"/>
  <c r="WEE5" i="7"/>
  <c r="WEF5" i="7"/>
  <c r="WEG5" i="7"/>
  <c r="WEH5" i="7"/>
  <c r="WEI5" i="7"/>
  <c r="WEJ5" i="7"/>
  <c r="WEK5" i="7"/>
  <c r="WEL5" i="7"/>
  <c r="WEM5" i="7"/>
  <c r="WEN5" i="7"/>
  <c r="WEO5" i="7"/>
  <c r="WEP5" i="7"/>
  <c r="WEQ5" i="7"/>
  <c r="WER5" i="7"/>
  <c r="WES5" i="7"/>
  <c r="WET5" i="7"/>
  <c r="WEU5" i="7"/>
  <c r="WEV5" i="7"/>
  <c r="WEW5" i="7"/>
  <c r="WEX5" i="7"/>
  <c r="WEY5" i="7"/>
  <c r="WEZ5" i="7"/>
  <c r="WFA5" i="7"/>
  <c r="WFB5" i="7"/>
  <c r="WFC5" i="7"/>
  <c r="WFD5" i="7"/>
  <c r="WFE5" i="7"/>
  <c r="WFF5" i="7"/>
  <c r="WFG5" i="7"/>
  <c r="WFH5" i="7"/>
  <c r="WFI5" i="7"/>
  <c r="WFJ5" i="7"/>
  <c r="WFK5" i="7"/>
  <c r="WFL5" i="7"/>
  <c r="WFM5" i="7"/>
  <c r="WFN5" i="7"/>
  <c r="WFO5" i="7"/>
  <c r="WFP5" i="7"/>
  <c r="WFQ5" i="7"/>
  <c r="WFR5" i="7"/>
  <c r="WFS5" i="7"/>
  <c r="WFT5" i="7"/>
  <c r="WFU5" i="7"/>
  <c r="WFV5" i="7"/>
  <c r="WFW5" i="7"/>
  <c r="WFX5" i="7"/>
  <c r="WFY5" i="7"/>
  <c r="WFZ5" i="7"/>
  <c r="WGA5" i="7"/>
  <c r="WGB5" i="7"/>
  <c r="WGC5" i="7"/>
  <c r="WGD5" i="7"/>
  <c r="WGE5" i="7"/>
  <c r="WGF5" i="7"/>
  <c r="WGG5" i="7"/>
  <c r="WGH5" i="7"/>
  <c r="WGI5" i="7"/>
  <c r="WGJ5" i="7"/>
  <c r="WGK5" i="7"/>
  <c r="WGL5" i="7"/>
  <c r="WGM5" i="7"/>
  <c r="WGN5" i="7"/>
  <c r="WGO5" i="7"/>
  <c r="WGP5" i="7"/>
  <c r="WGQ5" i="7"/>
  <c r="WGR5" i="7"/>
  <c r="WGS5" i="7"/>
  <c r="WGT5" i="7"/>
  <c r="WGU5" i="7"/>
  <c r="WGV5" i="7"/>
  <c r="WGW5" i="7"/>
  <c r="WGX5" i="7"/>
  <c r="WGY5" i="7"/>
  <c r="WGZ5" i="7"/>
  <c r="WHA5" i="7"/>
  <c r="WHB5" i="7"/>
  <c r="WHC5" i="7"/>
  <c r="WHD5" i="7"/>
  <c r="WHE5" i="7"/>
  <c r="WHF5" i="7"/>
  <c r="WHG5" i="7"/>
  <c r="WHH5" i="7"/>
  <c r="WHI5" i="7"/>
  <c r="WHJ5" i="7"/>
  <c r="WHK5" i="7"/>
  <c r="WHL5" i="7"/>
  <c r="WHM5" i="7"/>
  <c r="WHN5" i="7"/>
  <c r="WHO5" i="7"/>
  <c r="WHP5" i="7"/>
  <c r="WHQ5" i="7"/>
  <c r="WHR5" i="7"/>
  <c r="WHS5" i="7"/>
  <c r="WHT5" i="7"/>
  <c r="WHU5" i="7"/>
  <c r="WHV5" i="7"/>
  <c r="WHW5" i="7"/>
  <c r="WHX5" i="7"/>
  <c r="WHY5" i="7"/>
  <c r="WHZ5" i="7"/>
  <c r="WIA5" i="7"/>
  <c r="WIB5" i="7"/>
  <c r="WIC5" i="7"/>
  <c r="WID5" i="7"/>
  <c r="WIE5" i="7"/>
  <c r="WIF5" i="7"/>
  <c r="WIG5" i="7"/>
  <c r="WIH5" i="7"/>
  <c r="WII5" i="7"/>
  <c r="WIJ5" i="7"/>
  <c r="WIK5" i="7"/>
  <c r="WIL5" i="7"/>
  <c r="WIM5" i="7"/>
  <c r="WIN5" i="7"/>
  <c r="WIO5" i="7"/>
  <c r="WIP5" i="7"/>
  <c r="WIQ5" i="7"/>
  <c r="WIR5" i="7"/>
  <c r="WIS5" i="7"/>
  <c r="WIT5" i="7"/>
  <c r="WIU5" i="7"/>
  <c r="WIV5" i="7"/>
  <c r="WIW5" i="7"/>
  <c r="WIX5" i="7"/>
  <c r="WIY5" i="7"/>
  <c r="WIZ5" i="7"/>
  <c r="WJA5" i="7"/>
  <c r="WJB5" i="7"/>
  <c r="WJC5" i="7"/>
  <c r="WJD5" i="7"/>
  <c r="WJE5" i="7"/>
  <c r="WJF5" i="7"/>
  <c r="WJG5" i="7"/>
  <c r="WJH5" i="7"/>
  <c r="WJI5" i="7"/>
  <c r="WJJ5" i="7"/>
  <c r="WJK5" i="7"/>
  <c r="WJL5" i="7"/>
  <c r="WJM5" i="7"/>
  <c r="WJN5" i="7"/>
  <c r="WJO5" i="7"/>
  <c r="WJP5" i="7"/>
  <c r="WJQ5" i="7"/>
  <c r="WJR5" i="7"/>
  <c r="WJS5" i="7"/>
  <c r="WJT5" i="7"/>
  <c r="WJU5" i="7"/>
  <c r="WJV5" i="7"/>
  <c r="WJW5" i="7"/>
  <c r="WJX5" i="7"/>
  <c r="WJY5" i="7"/>
  <c r="WJZ5" i="7"/>
  <c r="WKA5" i="7"/>
  <c r="WKB5" i="7"/>
  <c r="WKC5" i="7"/>
  <c r="WKD5" i="7"/>
  <c r="WKE5" i="7"/>
  <c r="WKF5" i="7"/>
  <c r="WKG5" i="7"/>
  <c r="WKH5" i="7"/>
  <c r="WKI5" i="7"/>
  <c r="WKJ5" i="7"/>
  <c r="WKK5" i="7"/>
  <c r="WKL5" i="7"/>
  <c r="WKM5" i="7"/>
  <c r="WKN5" i="7"/>
  <c r="WKO5" i="7"/>
  <c r="WKP5" i="7"/>
  <c r="WKQ5" i="7"/>
  <c r="WKR5" i="7"/>
  <c r="WKS5" i="7"/>
  <c r="WKT5" i="7"/>
  <c r="WKU5" i="7"/>
  <c r="WKV5" i="7"/>
  <c r="WKW5" i="7"/>
  <c r="WKX5" i="7"/>
  <c r="WKY5" i="7"/>
  <c r="WKZ5" i="7"/>
  <c r="WLA5" i="7"/>
  <c r="WLB5" i="7"/>
  <c r="WLC5" i="7"/>
  <c r="WLD5" i="7"/>
  <c r="WLE5" i="7"/>
  <c r="WLF5" i="7"/>
  <c r="WLG5" i="7"/>
  <c r="WLH5" i="7"/>
  <c r="WLI5" i="7"/>
  <c r="WLJ5" i="7"/>
  <c r="WLK5" i="7"/>
  <c r="WLL5" i="7"/>
  <c r="WLM5" i="7"/>
  <c r="WLN5" i="7"/>
  <c r="WLO5" i="7"/>
  <c r="WLP5" i="7"/>
  <c r="WLQ5" i="7"/>
  <c r="WLR5" i="7"/>
  <c r="WLS5" i="7"/>
  <c r="WLT5" i="7"/>
  <c r="WLU5" i="7"/>
  <c r="WLV5" i="7"/>
  <c r="WLW5" i="7"/>
  <c r="WLX5" i="7"/>
  <c r="WLY5" i="7"/>
  <c r="WLZ5" i="7"/>
  <c r="WMA5" i="7"/>
  <c r="WMB5" i="7"/>
  <c r="WMC5" i="7"/>
  <c r="WMD5" i="7"/>
  <c r="WME5" i="7"/>
  <c r="WMF5" i="7"/>
  <c r="WMG5" i="7"/>
  <c r="WMH5" i="7"/>
  <c r="WMI5" i="7"/>
  <c r="WMJ5" i="7"/>
  <c r="WMK5" i="7"/>
  <c r="WML5" i="7"/>
  <c r="WMM5" i="7"/>
  <c r="WMN5" i="7"/>
  <c r="WMO5" i="7"/>
  <c r="WMP5" i="7"/>
  <c r="WMQ5" i="7"/>
  <c r="WMR5" i="7"/>
  <c r="WMS5" i="7"/>
  <c r="WMT5" i="7"/>
  <c r="WMU5" i="7"/>
  <c r="WMV5" i="7"/>
  <c r="WMW5" i="7"/>
  <c r="WMX5" i="7"/>
  <c r="WMY5" i="7"/>
  <c r="WMZ5" i="7"/>
  <c r="WNA5" i="7"/>
  <c r="WNB5" i="7"/>
  <c r="WNC5" i="7"/>
  <c r="WND5" i="7"/>
  <c r="WNE5" i="7"/>
  <c r="WNF5" i="7"/>
  <c r="WNG5" i="7"/>
  <c r="WNH5" i="7"/>
  <c r="WNI5" i="7"/>
  <c r="WNJ5" i="7"/>
  <c r="WNK5" i="7"/>
  <c r="WNL5" i="7"/>
  <c r="WNM5" i="7"/>
  <c r="WNN5" i="7"/>
  <c r="WNO5" i="7"/>
  <c r="WNP5" i="7"/>
  <c r="WNQ5" i="7"/>
  <c r="WNR5" i="7"/>
  <c r="WNS5" i="7"/>
  <c r="WNT5" i="7"/>
  <c r="WNU5" i="7"/>
  <c r="WNV5" i="7"/>
  <c r="WNW5" i="7"/>
  <c r="WNX5" i="7"/>
  <c r="WNY5" i="7"/>
  <c r="WNZ5" i="7"/>
  <c r="WOA5" i="7"/>
  <c r="WOB5" i="7"/>
  <c r="WOC5" i="7"/>
  <c r="WOD5" i="7"/>
  <c r="WOE5" i="7"/>
  <c r="WOF5" i="7"/>
  <c r="WOG5" i="7"/>
  <c r="WOH5" i="7"/>
  <c r="WOI5" i="7"/>
  <c r="WOJ5" i="7"/>
  <c r="WOK5" i="7"/>
  <c r="WOL5" i="7"/>
  <c r="WOM5" i="7"/>
  <c r="WON5" i="7"/>
  <c r="WOO5" i="7"/>
  <c r="WOP5" i="7"/>
  <c r="WOQ5" i="7"/>
  <c r="WOR5" i="7"/>
  <c r="WOS5" i="7"/>
  <c r="WOT5" i="7"/>
  <c r="WOU5" i="7"/>
  <c r="WOV5" i="7"/>
  <c r="WOW5" i="7"/>
  <c r="WOX5" i="7"/>
  <c r="WOY5" i="7"/>
  <c r="WOZ5" i="7"/>
  <c r="WPA5" i="7"/>
  <c r="WPB5" i="7"/>
  <c r="WPC5" i="7"/>
  <c r="WPD5" i="7"/>
  <c r="WPE5" i="7"/>
  <c r="WPF5" i="7"/>
  <c r="WPG5" i="7"/>
  <c r="WPH5" i="7"/>
  <c r="WPI5" i="7"/>
  <c r="WPJ5" i="7"/>
  <c r="WPK5" i="7"/>
  <c r="WPL5" i="7"/>
  <c r="WPM5" i="7"/>
  <c r="WPN5" i="7"/>
  <c r="WPO5" i="7"/>
  <c r="WPP5" i="7"/>
  <c r="WPQ5" i="7"/>
  <c r="WPR5" i="7"/>
  <c r="WPS5" i="7"/>
  <c r="WPT5" i="7"/>
  <c r="WPU5" i="7"/>
  <c r="WPV5" i="7"/>
  <c r="WPW5" i="7"/>
  <c r="WPX5" i="7"/>
  <c r="WPY5" i="7"/>
  <c r="WPZ5" i="7"/>
  <c r="WQA5" i="7"/>
  <c r="WQB5" i="7"/>
  <c r="WQC5" i="7"/>
  <c r="WQD5" i="7"/>
  <c r="WQE5" i="7"/>
  <c r="WQF5" i="7"/>
  <c r="WQG5" i="7"/>
  <c r="WQH5" i="7"/>
  <c r="WQI5" i="7"/>
  <c r="WQJ5" i="7"/>
  <c r="WQK5" i="7"/>
  <c r="WQL5" i="7"/>
  <c r="WQM5" i="7"/>
  <c r="WQN5" i="7"/>
  <c r="WQO5" i="7"/>
  <c r="WQP5" i="7"/>
  <c r="WQQ5" i="7"/>
  <c r="WQR5" i="7"/>
  <c r="WQS5" i="7"/>
  <c r="WQT5" i="7"/>
  <c r="WQU5" i="7"/>
  <c r="WQV5" i="7"/>
  <c r="WQW5" i="7"/>
  <c r="WQX5" i="7"/>
  <c r="WQY5" i="7"/>
  <c r="WQZ5" i="7"/>
  <c r="WRA5" i="7"/>
  <c r="WRB5" i="7"/>
  <c r="WRC5" i="7"/>
  <c r="WRD5" i="7"/>
  <c r="WRE5" i="7"/>
  <c r="WRF5" i="7"/>
  <c r="WRG5" i="7"/>
  <c r="WRH5" i="7"/>
  <c r="WRI5" i="7"/>
  <c r="WRJ5" i="7"/>
  <c r="WRK5" i="7"/>
  <c r="WRL5" i="7"/>
  <c r="WRM5" i="7"/>
  <c r="WRN5" i="7"/>
  <c r="WRO5" i="7"/>
  <c r="WRP5" i="7"/>
  <c r="WRQ5" i="7"/>
  <c r="WRR5" i="7"/>
  <c r="WRS5" i="7"/>
  <c r="WRT5" i="7"/>
  <c r="WRU5" i="7"/>
  <c r="WRV5" i="7"/>
  <c r="WRW5" i="7"/>
  <c r="WRX5" i="7"/>
  <c r="WRY5" i="7"/>
  <c r="WRZ5" i="7"/>
  <c r="WSA5" i="7"/>
  <c r="WSB5" i="7"/>
  <c r="WSC5" i="7"/>
  <c r="WSD5" i="7"/>
  <c r="WSE5" i="7"/>
  <c r="WSF5" i="7"/>
  <c r="WSG5" i="7"/>
  <c r="WSH5" i="7"/>
  <c r="WSI5" i="7"/>
  <c r="WSJ5" i="7"/>
  <c r="WSK5" i="7"/>
  <c r="WSL5" i="7"/>
  <c r="WSM5" i="7"/>
  <c r="WSN5" i="7"/>
  <c r="WSO5" i="7"/>
  <c r="WSP5" i="7"/>
  <c r="WSQ5" i="7"/>
  <c r="WSR5" i="7"/>
  <c r="WSS5" i="7"/>
  <c r="WST5" i="7"/>
  <c r="WSU5" i="7"/>
  <c r="WSV5" i="7"/>
  <c r="WSW5" i="7"/>
  <c r="WSX5" i="7"/>
  <c r="WSY5" i="7"/>
  <c r="WSZ5" i="7"/>
  <c r="WTA5" i="7"/>
  <c r="WTB5" i="7"/>
  <c r="WTC5" i="7"/>
  <c r="WTD5" i="7"/>
  <c r="WTE5" i="7"/>
  <c r="WTF5" i="7"/>
  <c r="WTG5" i="7"/>
  <c r="WTH5" i="7"/>
  <c r="WTI5" i="7"/>
  <c r="WTJ5" i="7"/>
  <c r="WTK5" i="7"/>
  <c r="WTL5" i="7"/>
  <c r="WTM5" i="7"/>
  <c r="WTN5" i="7"/>
  <c r="WTO5" i="7"/>
  <c r="WTP5" i="7"/>
  <c r="WTQ5" i="7"/>
  <c r="WTR5" i="7"/>
  <c r="WTS5" i="7"/>
  <c r="WTT5" i="7"/>
  <c r="WTU5" i="7"/>
  <c r="WTV5" i="7"/>
  <c r="WTW5" i="7"/>
  <c r="WTX5" i="7"/>
  <c r="WTY5" i="7"/>
  <c r="WTZ5" i="7"/>
  <c r="WUA5" i="7"/>
  <c r="WUB5" i="7"/>
  <c r="WUC5" i="7"/>
  <c r="WUD5" i="7"/>
  <c r="WUE5" i="7"/>
  <c r="WUF5" i="7"/>
  <c r="WUG5" i="7"/>
  <c r="WUH5" i="7"/>
  <c r="WUI5" i="7"/>
  <c r="WUJ5" i="7"/>
  <c r="WUK5" i="7"/>
  <c r="WUL5" i="7"/>
  <c r="WUM5" i="7"/>
  <c r="WUN5" i="7"/>
  <c r="WUO5" i="7"/>
  <c r="WUP5" i="7"/>
  <c r="WUQ5" i="7"/>
  <c r="WUR5" i="7"/>
  <c r="WUS5" i="7"/>
  <c r="WUT5" i="7"/>
  <c r="WUU5" i="7"/>
  <c r="WUV5" i="7"/>
  <c r="WUW5" i="7"/>
  <c r="WUX5" i="7"/>
  <c r="WUY5" i="7"/>
  <c r="WUZ5" i="7"/>
  <c r="WVA5" i="7"/>
  <c r="WVB5" i="7"/>
  <c r="WVC5" i="7"/>
  <c r="WVD5" i="7"/>
  <c r="WVE5" i="7"/>
  <c r="WVF5" i="7"/>
  <c r="WVG5" i="7"/>
  <c r="WVH5" i="7"/>
  <c r="WVI5" i="7"/>
  <c r="WVJ5" i="7"/>
  <c r="WVK5" i="7"/>
  <c r="WVL5" i="7"/>
  <c r="WVM5" i="7"/>
  <c r="WVN5" i="7"/>
  <c r="WVO5" i="7"/>
  <c r="WVP5" i="7"/>
  <c r="WVQ5" i="7"/>
  <c r="WVR5" i="7"/>
  <c r="WVS5" i="7"/>
  <c r="WVT5" i="7"/>
  <c r="WVU5" i="7"/>
  <c r="WVV5" i="7"/>
  <c r="WVW5" i="7"/>
  <c r="WVX5" i="7"/>
  <c r="WVY5" i="7"/>
  <c r="WVZ5" i="7"/>
  <c r="WWA5" i="7"/>
  <c r="WWB5" i="7"/>
  <c r="WWC5" i="7"/>
  <c r="WWD5" i="7"/>
  <c r="WWE5" i="7"/>
  <c r="WWF5" i="7"/>
  <c r="WWG5" i="7"/>
  <c r="WWH5" i="7"/>
  <c r="WWI5" i="7"/>
  <c r="WWJ5" i="7"/>
  <c r="WWK5" i="7"/>
  <c r="WWL5" i="7"/>
  <c r="WWM5" i="7"/>
  <c r="WWN5" i="7"/>
  <c r="WWO5" i="7"/>
  <c r="WWP5" i="7"/>
  <c r="WWQ5" i="7"/>
  <c r="WWR5" i="7"/>
  <c r="WWS5" i="7"/>
  <c r="WWT5" i="7"/>
  <c r="WWU5" i="7"/>
  <c r="WWV5" i="7"/>
  <c r="WWW5" i="7"/>
  <c r="WWX5" i="7"/>
  <c r="WWY5" i="7"/>
  <c r="WWZ5" i="7"/>
  <c r="WXA5" i="7"/>
  <c r="WXB5" i="7"/>
  <c r="WXC5" i="7"/>
  <c r="WXD5" i="7"/>
  <c r="WXE5" i="7"/>
  <c r="WXF5" i="7"/>
  <c r="WXG5" i="7"/>
  <c r="WXH5" i="7"/>
  <c r="WXI5" i="7"/>
  <c r="WXJ5" i="7"/>
  <c r="WXK5" i="7"/>
  <c r="WXL5" i="7"/>
  <c r="WXM5" i="7"/>
  <c r="WXN5" i="7"/>
  <c r="WXO5" i="7"/>
  <c r="WXP5" i="7"/>
  <c r="WXQ5" i="7"/>
  <c r="WXR5" i="7"/>
  <c r="WXS5" i="7"/>
  <c r="WXT5" i="7"/>
  <c r="WXU5" i="7"/>
  <c r="WXV5" i="7"/>
  <c r="WXW5" i="7"/>
  <c r="WXX5" i="7"/>
  <c r="WXY5" i="7"/>
  <c r="WXZ5" i="7"/>
  <c r="WYA5" i="7"/>
  <c r="WYB5" i="7"/>
  <c r="WYC5" i="7"/>
  <c r="WYD5" i="7"/>
  <c r="WYE5" i="7"/>
  <c r="WYF5" i="7"/>
  <c r="WYG5" i="7"/>
  <c r="WYH5" i="7"/>
  <c r="WYI5" i="7"/>
  <c r="WYJ5" i="7"/>
  <c r="WYK5" i="7"/>
  <c r="WYL5" i="7"/>
  <c r="WYM5" i="7"/>
  <c r="WYN5" i="7"/>
  <c r="WYO5" i="7"/>
  <c r="WYP5" i="7"/>
  <c r="WYQ5" i="7"/>
  <c r="WYR5" i="7"/>
  <c r="WYS5" i="7"/>
  <c r="WYT5" i="7"/>
  <c r="WYU5" i="7"/>
  <c r="WYV5" i="7"/>
  <c r="WYW5" i="7"/>
  <c r="WYX5" i="7"/>
  <c r="WYY5" i="7"/>
  <c r="WYZ5" i="7"/>
  <c r="WZA5" i="7"/>
  <c r="WZB5" i="7"/>
  <c r="WZC5" i="7"/>
  <c r="WZD5" i="7"/>
  <c r="WZE5" i="7"/>
  <c r="WZF5" i="7"/>
  <c r="WZG5" i="7"/>
  <c r="WZH5" i="7"/>
  <c r="WZI5" i="7"/>
  <c r="WZJ5" i="7"/>
  <c r="WZK5" i="7"/>
  <c r="WZL5" i="7"/>
  <c r="WZM5" i="7"/>
  <c r="WZN5" i="7"/>
  <c r="WZO5" i="7"/>
  <c r="WZP5" i="7"/>
  <c r="WZQ5" i="7"/>
  <c r="WZR5" i="7"/>
  <c r="WZS5" i="7"/>
  <c r="WZT5" i="7"/>
  <c r="WZU5" i="7"/>
  <c r="WZV5" i="7"/>
  <c r="WZW5" i="7"/>
  <c r="WZX5" i="7"/>
  <c r="WZY5" i="7"/>
  <c r="WZZ5" i="7"/>
  <c r="XAA5" i="7"/>
  <c r="XAB5" i="7"/>
  <c r="XAC5" i="7"/>
  <c r="XAD5" i="7"/>
  <c r="XAE5" i="7"/>
  <c r="XAF5" i="7"/>
  <c r="XAG5" i="7"/>
  <c r="XAH5" i="7"/>
  <c r="XAI5" i="7"/>
  <c r="XAJ5" i="7"/>
  <c r="XAK5" i="7"/>
  <c r="XAL5" i="7"/>
  <c r="XAM5" i="7"/>
  <c r="XAN5" i="7"/>
  <c r="XAO5" i="7"/>
  <c r="XAP5" i="7"/>
  <c r="XAQ5" i="7"/>
  <c r="XAR5" i="7"/>
  <c r="XAS5" i="7"/>
  <c r="XAT5" i="7"/>
  <c r="XAU5" i="7"/>
  <c r="XAV5" i="7"/>
  <c r="XAW5" i="7"/>
  <c r="XAX5" i="7"/>
  <c r="XAY5" i="7"/>
  <c r="XAZ5" i="7"/>
  <c r="XBA5" i="7"/>
  <c r="XBB5" i="7"/>
  <c r="XBC5" i="7"/>
  <c r="XBD5" i="7"/>
  <c r="XBE5" i="7"/>
  <c r="XBF5" i="7"/>
  <c r="XBG5" i="7"/>
  <c r="XBH5" i="7"/>
  <c r="XBI5" i="7"/>
  <c r="XBJ5" i="7"/>
  <c r="XBK5" i="7"/>
  <c r="XBL5" i="7"/>
  <c r="XBM5" i="7"/>
  <c r="XBN5" i="7"/>
  <c r="XBO5" i="7"/>
  <c r="XBP5" i="7"/>
  <c r="XBQ5" i="7"/>
  <c r="XBR5" i="7"/>
  <c r="XBS5" i="7"/>
  <c r="XBT5" i="7"/>
  <c r="XBU5" i="7"/>
  <c r="XBV5" i="7"/>
  <c r="XBW5" i="7"/>
  <c r="XBX5" i="7"/>
  <c r="XBY5" i="7"/>
  <c r="XBZ5" i="7"/>
  <c r="XCA5" i="7"/>
  <c r="XCB5" i="7"/>
  <c r="XCC5" i="7"/>
  <c r="XCD5" i="7"/>
  <c r="XCE5" i="7"/>
  <c r="XCF5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BV4" i="7"/>
  <c r="BW4" i="7"/>
  <c r="BX4" i="7"/>
  <c r="BY4" i="7"/>
  <c r="BZ4" i="7"/>
  <c r="CA4" i="7"/>
  <c r="CB4" i="7"/>
  <c r="CC4" i="7"/>
  <c r="CD4" i="7"/>
  <c r="CE4" i="7"/>
  <c r="CF4" i="7"/>
  <c r="CG4" i="7"/>
  <c r="CH4" i="7"/>
  <c r="CI4" i="7"/>
  <c r="CJ4" i="7"/>
  <c r="CK4" i="7"/>
  <c r="CL4" i="7"/>
  <c r="CM4" i="7"/>
  <c r="CN4" i="7"/>
  <c r="CO4" i="7"/>
  <c r="CP4" i="7"/>
  <c r="CQ4" i="7"/>
  <c r="CR4" i="7"/>
  <c r="CS4" i="7"/>
  <c r="CT4" i="7"/>
  <c r="CU4" i="7"/>
  <c r="CV4" i="7"/>
  <c r="CW4" i="7"/>
  <c r="CX4" i="7"/>
  <c r="CY4" i="7"/>
  <c r="CZ4" i="7"/>
  <c r="DA4" i="7"/>
  <c r="DB4" i="7"/>
  <c r="DC4" i="7"/>
  <c r="DD4" i="7"/>
  <c r="DE4" i="7"/>
  <c r="DF4" i="7"/>
  <c r="DG4" i="7"/>
  <c r="DH4" i="7"/>
  <c r="DI4" i="7"/>
  <c r="DJ4" i="7"/>
  <c r="DK4" i="7"/>
  <c r="DL4" i="7"/>
  <c r="DM4" i="7"/>
  <c r="DN4" i="7"/>
  <c r="DO4" i="7"/>
  <c r="DP4" i="7"/>
  <c r="DQ4" i="7"/>
  <c r="DR4" i="7"/>
  <c r="DS4" i="7"/>
  <c r="DT4" i="7"/>
  <c r="DU4" i="7"/>
  <c r="DV4" i="7"/>
  <c r="DW4" i="7"/>
  <c r="DX4" i="7"/>
  <c r="DY4" i="7"/>
  <c r="DZ4" i="7"/>
  <c r="EA4" i="7"/>
  <c r="EB4" i="7"/>
  <c r="EC4" i="7"/>
  <c r="ED4" i="7"/>
  <c r="EE4" i="7"/>
  <c r="EF4" i="7"/>
  <c r="EG4" i="7"/>
  <c r="EH4" i="7"/>
  <c r="EI4" i="7"/>
  <c r="EJ4" i="7"/>
  <c r="EK4" i="7"/>
  <c r="EL4" i="7"/>
  <c r="EM4" i="7"/>
  <c r="EN4" i="7"/>
  <c r="EO4" i="7"/>
  <c r="EP4" i="7"/>
  <c r="EQ4" i="7"/>
  <c r="ER4" i="7"/>
  <c r="ES4" i="7"/>
  <c r="ET4" i="7"/>
  <c r="EU4" i="7"/>
  <c r="EV4" i="7"/>
  <c r="EW4" i="7"/>
  <c r="EX4" i="7"/>
  <c r="EY4" i="7"/>
  <c r="EZ4" i="7"/>
  <c r="FA4" i="7"/>
  <c r="FB4" i="7"/>
  <c r="FC4" i="7"/>
  <c r="FD4" i="7"/>
  <c r="FE4" i="7"/>
  <c r="FF4" i="7"/>
  <c r="FG4" i="7"/>
  <c r="FH4" i="7"/>
  <c r="FI4" i="7"/>
  <c r="FJ4" i="7"/>
  <c r="FK4" i="7"/>
  <c r="FL4" i="7"/>
  <c r="FM4" i="7"/>
  <c r="FN4" i="7"/>
  <c r="FO4" i="7"/>
  <c r="FP4" i="7"/>
  <c r="FQ4" i="7"/>
  <c r="FR4" i="7"/>
  <c r="FS4" i="7"/>
  <c r="FT4" i="7"/>
  <c r="FU4" i="7"/>
  <c r="FV4" i="7"/>
  <c r="FW4" i="7"/>
  <c r="FX4" i="7"/>
  <c r="FY4" i="7"/>
  <c r="FZ4" i="7"/>
  <c r="GA4" i="7"/>
  <c r="GB4" i="7"/>
  <c r="GC4" i="7"/>
  <c r="GD4" i="7"/>
  <c r="GE4" i="7"/>
  <c r="GF4" i="7"/>
  <c r="GG4" i="7"/>
  <c r="GH4" i="7"/>
  <c r="GI4" i="7"/>
  <c r="GJ4" i="7"/>
  <c r="GK4" i="7"/>
  <c r="GL4" i="7"/>
  <c r="GM4" i="7"/>
  <c r="GN4" i="7"/>
  <c r="GO4" i="7"/>
  <c r="GP4" i="7"/>
  <c r="GQ4" i="7"/>
  <c r="GR4" i="7"/>
  <c r="GS4" i="7"/>
  <c r="GT4" i="7"/>
  <c r="GU4" i="7"/>
  <c r="GV4" i="7"/>
  <c r="GW4" i="7"/>
  <c r="GX4" i="7"/>
  <c r="GY4" i="7"/>
  <c r="GZ4" i="7"/>
  <c r="HA4" i="7"/>
  <c r="HB4" i="7"/>
  <c r="HC4" i="7"/>
  <c r="HD4" i="7"/>
  <c r="HE4" i="7"/>
  <c r="HF4" i="7"/>
  <c r="HG4" i="7"/>
  <c r="HH4" i="7"/>
  <c r="HI4" i="7"/>
  <c r="HJ4" i="7"/>
  <c r="HK4" i="7"/>
  <c r="HL4" i="7"/>
  <c r="HM4" i="7"/>
  <c r="HN4" i="7"/>
  <c r="HO4" i="7"/>
  <c r="HP4" i="7"/>
  <c r="HQ4" i="7"/>
  <c r="HR4" i="7"/>
  <c r="HS4" i="7"/>
  <c r="HT4" i="7"/>
  <c r="HU4" i="7"/>
  <c r="HV4" i="7"/>
  <c r="HW4" i="7"/>
  <c r="HX4" i="7"/>
  <c r="HY4" i="7"/>
  <c r="HZ4" i="7"/>
  <c r="IA4" i="7"/>
  <c r="IB4" i="7"/>
  <c r="IC4" i="7"/>
  <c r="ID4" i="7"/>
  <c r="IE4" i="7"/>
  <c r="IF4" i="7"/>
  <c r="IG4" i="7"/>
  <c r="IH4" i="7"/>
  <c r="II4" i="7"/>
  <c r="IJ4" i="7"/>
  <c r="IK4" i="7"/>
  <c r="IL4" i="7"/>
  <c r="IM4" i="7"/>
  <c r="IN4" i="7"/>
  <c r="IO4" i="7"/>
  <c r="IP4" i="7"/>
  <c r="IQ4" i="7"/>
  <c r="IR4" i="7"/>
  <c r="IS4" i="7"/>
  <c r="IT4" i="7"/>
  <c r="IU4" i="7"/>
  <c r="IV4" i="7"/>
  <c r="IW4" i="7"/>
  <c r="IX4" i="7"/>
  <c r="IY4" i="7"/>
  <c r="IZ4" i="7"/>
  <c r="JA4" i="7"/>
  <c r="JB4" i="7"/>
  <c r="JC4" i="7"/>
  <c r="JD4" i="7"/>
  <c r="JE4" i="7"/>
  <c r="JF4" i="7"/>
  <c r="JG4" i="7"/>
  <c r="JH4" i="7"/>
  <c r="JI4" i="7"/>
  <c r="JJ4" i="7"/>
  <c r="JK4" i="7"/>
  <c r="JL4" i="7"/>
  <c r="JM4" i="7"/>
  <c r="JN4" i="7"/>
  <c r="JO4" i="7"/>
  <c r="JP4" i="7"/>
  <c r="JQ4" i="7"/>
  <c r="JR4" i="7"/>
  <c r="JS4" i="7"/>
  <c r="JT4" i="7"/>
  <c r="JU4" i="7"/>
  <c r="JV4" i="7"/>
  <c r="JW4" i="7"/>
  <c r="JX4" i="7"/>
  <c r="JY4" i="7"/>
  <c r="JZ4" i="7"/>
  <c r="KA4" i="7"/>
  <c r="KB4" i="7"/>
  <c r="KC4" i="7"/>
  <c r="KD4" i="7"/>
  <c r="KE4" i="7"/>
  <c r="KF4" i="7"/>
  <c r="KG4" i="7"/>
  <c r="KH4" i="7"/>
  <c r="KI4" i="7"/>
  <c r="KJ4" i="7"/>
  <c r="KK4" i="7"/>
  <c r="KL4" i="7"/>
  <c r="KM4" i="7"/>
  <c r="KN4" i="7"/>
  <c r="KO4" i="7"/>
  <c r="KP4" i="7"/>
  <c r="KQ4" i="7"/>
  <c r="KR4" i="7"/>
  <c r="KS4" i="7"/>
  <c r="KT4" i="7"/>
  <c r="KU4" i="7"/>
  <c r="KV4" i="7"/>
  <c r="KW4" i="7"/>
  <c r="KX4" i="7"/>
  <c r="KY4" i="7"/>
  <c r="KZ4" i="7"/>
  <c r="LA4" i="7"/>
  <c r="LB4" i="7"/>
  <c r="LC4" i="7"/>
  <c r="LD4" i="7"/>
  <c r="LE4" i="7"/>
  <c r="LF4" i="7"/>
  <c r="LG4" i="7"/>
  <c r="LH4" i="7"/>
  <c r="LI4" i="7"/>
  <c r="LJ4" i="7"/>
  <c r="LK4" i="7"/>
  <c r="LL4" i="7"/>
  <c r="LM4" i="7"/>
  <c r="LN4" i="7"/>
  <c r="LO4" i="7"/>
  <c r="LP4" i="7"/>
  <c r="LQ4" i="7"/>
  <c r="LR4" i="7"/>
  <c r="LS4" i="7"/>
  <c r="LT4" i="7"/>
  <c r="LU4" i="7"/>
  <c r="LV4" i="7"/>
  <c r="LW4" i="7"/>
  <c r="LX4" i="7"/>
  <c r="LY4" i="7"/>
  <c r="LZ4" i="7"/>
  <c r="MA4" i="7"/>
  <c r="MB4" i="7"/>
  <c r="MC4" i="7"/>
  <c r="MD4" i="7"/>
  <c r="ME4" i="7"/>
  <c r="MF4" i="7"/>
  <c r="MG4" i="7"/>
  <c r="MH4" i="7"/>
  <c r="MI4" i="7"/>
  <c r="MJ4" i="7"/>
  <c r="MK4" i="7"/>
  <c r="ML4" i="7"/>
  <c r="MM4" i="7"/>
  <c r="MN4" i="7"/>
  <c r="MO4" i="7"/>
  <c r="MP4" i="7"/>
  <c r="MQ4" i="7"/>
  <c r="MR4" i="7"/>
  <c r="MS4" i="7"/>
  <c r="MT4" i="7"/>
  <c r="MU4" i="7"/>
  <c r="MV4" i="7"/>
  <c r="MW4" i="7"/>
  <c r="MX4" i="7"/>
  <c r="MY4" i="7"/>
  <c r="MZ4" i="7"/>
  <c r="NA4" i="7"/>
  <c r="NB4" i="7"/>
  <c r="NC4" i="7"/>
  <c r="ND4" i="7"/>
  <c r="NE4" i="7"/>
  <c r="NF4" i="7"/>
  <c r="NG4" i="7"/>
  <c r="NH4" i="7"/>
  <c r="NI4" i="7"/>
  <c r="NJ4" i="7"/>
  <c r="NK4" i="7"/>
  <c r="NL4" i="7"/>
  <c r="NM4" i="7"/>
  <c r="NN4" i="7"/>
  <c r="NO4" i="7"/>
  <c r="NP4" i="7"/>
  <c r="NQ4" i="7"/>
  <c r="NR4" i="7"/>
  <c r="NS4" i="7"/>
  <c r="NT4" i="7"/>
  <c r="NU4" i="7"/>
  <c r="NV4" i="7"/>
  <c r="NW4" i="7"/>
  <c r="NX4" i="7"/>
  <c r="NY4" i="7"/>
  <c r="NZ4" i="7"/>
  <c r="OA4" i="7"/>
  <c r="OB4" i="7"/>
  <c r="OC4" i="7"/>
  <c r="OD4" i="7"/>
  <c r="OE4" i="7"/>
  <c r="OF4" i="7"/>
  <c r="OG4" i="7"/>
  <c r="OH4" i="7"/>
  <c r="OI4" i="7"/>
  <c r="OJ4" i="7"/>
  <c r="OK4" i="7"/>
  <c r="OL4" i="7"/>
  <c r="OM4" i="7"/>
  <c r="ON4" i="7"/>
  <c r="OO4" i="7"/>
  <c r="OP4" i="7"/>
  <c r="OQ4" i="7"/>
  <c r="OR4" i="7"/>
  <c r="OS4" i="7"/>
  <c r="OT4" i="7"/>
  <c r="OU4" i="7"/>
  <c r="OV4" i="7"/>
  <c r="OW4" i="7"/>
  <c r="OX4" i="7"/>
  <c r="OY4" i="7"/>
  <c r="OZ4" i="7"/>
  <c r="PA4" i="7"/>
  <c r="PB4" i="7"/>
  <c r="PC4" i="7"/>
  <c r="PD4" i="7"/>
  <c r="PE4" i="7"/>
  <c r="PF4" i="7"/>
  <c r="PG4" i="7"/>
  <c r="PH4" i="7"/>
  <c r="PI4" i="7"/>
  <c r="PJ4" i="7"/>
  <c r="PK4" i="7"/>
  <c r="PL4" i="7"/>
  <c r="PM4" i="7"/>
  <c r="PN4" i="7"/>
  <c r="PO4" i="7"/>
  <c r="PP4" i="7"/>
  <c r="PQ4" i="7"/>
  <c r="PR4" i="7"/>
  <c r="PS4" i="7"/>
  <c r="PT4" i="7"/>
  <c r="PU4" i="7"/>
  <c r="PV4" i="7"/>
  <c r="PW4" i="7"/>
  <c r="PX4" i="7"/>
  <c r="PY4" i="7"/>
  <c r="PZ4" i="7"/>
  <c r="QA4" i="7"/>
  <c r="QB4" i="7"/>
  <c r="QC4" i="7"/>
  <c r="QD4" i="7"/>
  <c r="QE4" i="7"/>
  <c r="QF4" i="7"/>
  <c r="QG4" i="7"/>
  <c r="QH4" i="7"/>
  <c r="QI4" i="7"/>
  <c r="QJ4" i="7"/>
  <c r="QK4" i="7"/>
  <c r="QL4" i="7"/>
  <c r="QM4" i="7"/>
  <c r="QN4" i="7"/>
  <c r="QO4" i="7"/>
  <c r="QP4" i="7"/>
  <c r="QQ4" i="7"/>
  <c r="QR4" i="7"/>
  <c r="QS4" i="7"/>
  <c r="QT4" i="7"/>
  <c r="QU4" i="7"/>
  <c r="QV4" i="7"/>
  <c r="QW4" i="7"/>
  <c r="QX4" i="7"/>
  <c r="QY4" i="7"/>
  <c r="QZ4" i="7"/>
  <c r="RA4" i="7"/>
  <c r="RB4" i="7"/>
  <c r="RC4" i="7"/>
  <c r="RD4" i="7"/>
  <c r="RE4" i="7"/>
  <c r="RF4" i="7"/>
  <c r="RG4" i="7"/>
  <c r="RH4" i="7"/>
  <c r="RI4" i="7"/>
  <c r="RJ4" i="7"/>
  <c r="RK4" i="7"/>
  <c r="RL4" i="7"/>
  <c r="RM4" i="7"/>
  <c r="RN4" i="7"/>
  <c r="RO4" i="7"/>
  <c r="RP4" i="7"/>
  <c r="RQ4" i="7"/>
  <c r="RR4" i="7"/>
  <c r="RS4" i="7"/>
  <c r="RT4" i="7"/>
  <c r="RU4" i="7"/>
  <c r="RV4" i="7"/>
  <c r="RW4" i="7"/>
  <c r="RX4" i="7"/>
  <c r="RY4" i="7"/>
  <c r="RZ4" i="7"/>
  <c r="SA4" i="7"/>
  <c r="SB4" i="7"/>
  <c r="SC4" i="7"/>
  <c r="SD4" i="7"/>
  <c r="SE4" i="7"/>
  <c r="SF4" i="7"/>
  <c r="SG4" i="7"/>
  <c r="SH4" i="7"/>
  <c r="SI4" i="7"/>
  <c r="SJ4" i="7"/>
  <c r="SK4" i="7"/>
  <c r="SL4" i="7"/>
  <c r="SM4" i="7"/>
  <c r="SN4" i="7"/>
  <c r="SO4" i="7"/>
  <c r="SP4" i="7"/>
  <c r="SQ4" i="7"/>
  <c r="SR4" i="7"/>
  <c r="SS4" i="7"/>
  <c r="ST4" i="7"/>
  <c r="SU4" i="7"/>
  <c r="SV4" i="7"/>
  <c r="SW4" i="7"/>
  <c r="SX4" i="7"/>
  <c r="SY4" i="7"/>
  <c r="SZ4" i="7"/>
  <c r="TA4" i="7"/>
  <c r="TB4" i="7"/>
  <c r="TC4" i="7"/>
  <c r="TD4" i="7"/>
  <c r="TE4" i="7"/>
  <c r="TF4" i="7"/>
  <c r="TG4" i="7"/>
  <c r="TH4" i="7"/>
  <c r="TI4" i="7"/>
  <c r="TJ4" i="7"/>
  <c r="TK4" i="7"/>
  <c r="TL4" i="7"/>
  <c r="TM4" i="7"/>
  <c r="TN4" i="7"/>
  <c r="TO4" i="7"/>
  <c r="TP4" i="7"/>
  <c r="TQ4" i="7"/>
  <c r="TR4" i="7"/>
  <c r="TS4" i="7"/>
  <c r="TT4" i="7"/>
  <c r="TU4" i="7"/>
  <c r="TV4" i="7"/>
  <c r="TW4" i="7"/>
  <c r="TX4" i="7"/>
  <c r="TY4" i="7"/>
  <c r="TZ4" i="7"/>
  <c r="UA4" i="7"/>
  <c r="UB4" i="7"/>
  <c r="UC4" i="7"/>
  <c r="UD4" i="7"/>
  <c r="UE4" i="7"/>
  <c r="UF4" i="7"/>
  <c r="UG4" i="7"/>
  <c r="UH4" i="7"/>
  <c r="UI4" i="7"/>
  <c r="UJ4" i="7"/>
  <c r="UK4" i="7"/>
  <c r="UL4" i="7"/>
  <c r="UM4" i="7"/>
  <c r="UN4" i="7"/>
  <c r="UO4" i="7"/>
  <c r="UP4" i="7"/>
  <c r="UQ4" i="7"/>
  <c r="UR4" i="7"/>
  <c r="US4" i="7"/>
  <c r="UT4" i="7"/>
  <c r="UU4" i="7"/>
  <c r="UV4" i="7"/>
  <c r="UW4" i="7"/>
  <c r="UX4" i="7"/>
  <c r="UY4" i="7"/>
  <c r="UZ4" i="7"/>
  <c r="VA4" i="7"/>
  <c r="VB4" i="7"/>
  <c r="VC4" i="7"/>
  <c r="VD4" i="7"/>
  <c r="VE4" i="7"/>
  <c r="VF4" i="7"/>
  <c r="VG4" i="7"/>
  <c r="VH4" i="7"/>
  <c r="VI4" i="7"/>
  <c r="VJ4" i="7"/>
  <c r="VK4" i="7"/>
  <c r="VL4" i="7"/>
  <c r="VM4" i="7"/>
  <c r="VN4" i="7"/>
  <c r="VO4" i="7"/>
  <c r="VP4" i="7"/>
  <c r="VQ4" i="7"/>
  <c r="VR4" i="7"/>
  <c r="VS4" i="7"/>
  <c r="VT4" i="7"/>
  <c r="VU4" i="7"/>
  <c r="VV4" i="7"/>
  <c r="VW4" i="7"/>
  <c r="VX4" i="7"/>
  <c r="VY4" i="7"/>
  <c r="VZ4" i="7"/>
  <c r="WA4" i="7"/>
  <c r="WB4" i="7"/>
  <c r="WC4" i="7"/>
  <c r="WD4" i="7"/>
  <c r="WE4" i="7"/>
  <c r="WF4" i="7"/>
  <c r="WG4" i="7"/>
  <c r="WH4" i="7"/>
  <c r="WI4" i="7"/>
  <c r="WJ4" i="7"/>
  <c r="WK4" i="7"/>
  <c r="WL4" i="7"/>
  <c r="WM4" i="7"/>
  <c r="WN4" i="7"/>
  <c r="WO4" i="7"/>
  <c r="WP4" i="7"/>
  <c r="WQ4" i="7"/>
  <c r="WR4" i="7"/>
  <c r="WS4" i="7"/>
  <c r="WT4" i="7"/>
  <c r="WU4" i="7"/>
  <c r="WV4" i="7"/>
  <c r="WW4" i="7"/>
  <c r="WX4" i="7"/>
  <c r="WY4" i="7"/>
  <c r="WZ4" i="7"/>
  <c r="XA4" i="7"/>
  <c r="XB4" i="7"/>
  <c r="XC4" i="7"/>
  <c r="XD4" i="7"/>
  <c r="XE4" i="7"/>
  <c r="XF4" i="7"/>
  <c r="XG4" i="7"/>
  <c r="XH4" i="7"/>
  <c r="XI4" i="7"/>
  <c r="XJ4" i="7"/>
  <c r="XK4" i="7"/>
  <c r="XL4" i="7"/>
  <c r="XM4" i="7"/>
  <c r="XN4" i="7"/>
  <c r="XO4" i="7"/>
  <c r="XP4" i="7"/>
  <c r="XQ4" i="7"/>
  <c r="XR4" i="7"/>
  <c r="XS4" i="7"/>
  <c r="XT4" i="7"/>
  <c r="XU4" i="7"/>
  <c r="XV4" i="7"/>
  <c r="XW4" i="7"/>
  <c r="XX4" i="7"/>
  <c r="XY4" i="7"/>
  <c r="XZ4" i="7"/>
  <c r="YA4" i="7"/>
  <c r="YB4" i="7"/>
  <c r="YC4" i="7"/>
  <c r="YD4" i="7"/>
  <c r="YE4" i="7"/>
  <c r="YF4" i="7"/>
  <c r="YG4" i="7"/>
  <c r="YH4" i="7"/>
  <c r="YI4" i="7"/>
  <c r="YJ4" i="7"/>
  <c r="YK4" i="7"/>
  <c r="YL4" i="7"/>
  <c r="YM4" i="7"/>
  <c r="YN4" i="7"/>
  <c r="YO4" i="7"/>
  <c r="YP4" i="7"/>
  <c r="YQ4" i="7"/>
  <c r="YR4" i="7"/>
  <c r="YS4" i="7"/>
  <c r="YT4" i="7"/>
  <c r="YU4" i="7"/>
  <c r="YV4" i="7"/>
  <c r="YW4" i="7"/>
  <c r="YX4" i="7"/>
  <c r="YY4" i="7"/>
  <c r="YZ4" i="7"/>
  <c r="ZA4" i="7"/>
  <c r="ZB4" i="7"/>
  <c r="ZC4" i="7"/>
  <c r="ZD4" i="7"/>
  <c r="ZE4" i="7"/>
  <c r="ZF4" i="7"/>
  <c r="ZG4" i="7"/>
  <c r="ZH4" i="7"/>
  <c r="ZI4" i="7"/>
  <c r="ZJ4" i="7"/>
  <c r="ZK4" i="7"/>
  <c r="ZL4" i="7"/>
  <c r="ZM4" i="7"/>
  <c r="ZN4" i="7"/>
  <c r="ZO4" i="7"/>
  <c r="ZP4" i="7"/>
  <c r="ZQ4" i="7"/>
  <c r="ZR4" i="7"/>
  <c r="ZS4" i="7"/>
  <c r="ZT4" i="7"/>
  <c r="ZU4" i="7"/>
  <c r="ZV4" i="7"/>
  <c r="ZW4" i="7"/>
  <c r="ZX4" i="7"/>
  <c r="ZY4" i="7"/>
  <c r="ZZ4" i="7"/>
  <c r="AAA4" i="7"/>
  <c r="AAB4" i="7"/>
  <c r="AAC4" i="7"/>
  <c r="AAD4" i="7"/>
  <c r="AAE4" i="7"/>
  <c r="AAF4" i="7"/>
  <c r="AAG4" i="7"/>
  <c r="AAH4" i="7"/>
  <c r="AAI4" i="7"/>
  <c r="AAJ4" i="7"/>
  <c r="AAK4" i="7"/>
  <c r="AAL4" i="7"/>
  <c r="AAM4" i="7"/>
  <c r="AAN4" i="7"/>
  <c r="AAO4" i="7"/>
  <c r="AAP4" i="7"/>
  <c r="AAQ4" i="7"/>
  <c r="AAR4" i="7"/>
  <c r="AAS4" i="7"/>
  <c r="AAT4" i="7"/>
  <c r="AAU4" i="7"/>
  <c r="AAV4" i="7"/>
  <c r="AAW4" i="7"/>
  <c r="AAX4" i="7"/>
  <c r="AAY4" i="7"/>
  <c r="AAZ4" i="7"/>
  <c r="ABA4" i="7"/>
  <c r="ABB4" i="7"/>
  <c r="ABC4" i="7"/>
  <c r="ABD4" i="7"/>
  <c r="ABE4" i="7"/>
  <c r="ABF4" i="7"/>
  <c r="ABG4" i="7"/>
  <c r="ABH4" i="7"/>
  <c r="ABI4" i="7"/>
  <c r="ABJ4" i="7"/>
  <c r="ABK4" i="7"/>
  <c r="ABL4" i="7"/>
  <c r="ABM4" i="7"/>
  <c r="ABN4" i="7"/>
  <c r="ABO4" i="7"/>
  <c r="ABP4" i="7"/>
  <c r="ABQ4" i="7"/>
  <c r="ABR4" i="7"/>
  <c r="ABS4" i="7"/>
  <c r="ABT4" i="7"/>
  <c r="ABU4" i="7"/>
  <c r="ABV4" i="7"/>
  <c r="ABW4" i="7"/>
  <c r="ABX4" i="7"/>
  <c r="ABY4" i="7"/>
  <c r="ABZ4" i="7"/>
  <c r="ACA4" i="7"/>
  <c r="ACB4" i="7"/>
  <c r="ACC4" i="7"/>
  <c r="ACD4" i="7"/>
  <c r="ACE4" i="7"/>
  <c r="ACF4" i="7"/>
  <c r="ACG4" i="7"/>
  <c r="ACH4" i="7"/>
  <c r="ACI4" i="7"/>
  <c r="ACJ4" i="7"/>
  <c r="ACK4" i="7"/>
  <c r="ACL4" i="7"/>
  <c r="ACM4" i="7"/>
  <c r="ACN4" i="7"/>
  <c r="ACO4" i="7"/>
  <c r="ACP4" i="7"/>
  <c r="ACQ4" i="7"/>
  <c r="ACR4" i="7"/>
  <c r="ACS4" i="7"/>
  <c r="ACT4" i="7"/>
  <c r="ACU4" i="7"/>
  <c r="ACV4" i="7"/>
  <c r="ACW4" i="7"/>
  <c r="ACX4" i="7"/>
  <c r="ACY4" i="7"/>
  <c r="ACZ4" i="7"/>
  <c r="ADA4" i="7"/>
  <c r="ADB4" i="7"/>
  <c r="ADC4" i="7"/>
  <c r="ADD4" i="7"/>
  <c r="ADE4" i="7"/>
  <c r="ADF4" i="7"/>
  <c r="ADG4" i="7"/>
  <c r="ADH4" i="7"/>
  <c r="ADI4" i="7"/>
  <c r="ADJ4" i="7"/>
  <c r="ADK4" i="7"/>
  <c r="ADL4" i="7"/>
  <c r="ADM4" i="7"/>
  <c r="ADN4" i="7"/>
  <c r="ADO4" i="7"/>
  <c r="ADP4" i="7"/>
  <c r="ADQ4" i="7"/>
  <c r="ADR4" i="7"/>
  <c r="ADS4" i="7"/>
  <c r="ADT4" i="7"/>
  <c r="ADU4" i="7"/>
  <c r="ADV4" i="7"/>
  <c r="ADW4" i="7"/>
  <c r="ADX4" i="7"/>
  <c r="ADY4" i="7"/>
  <c r="ADZ4" i="7"/>
  <c r="AEA4" i="7"/>
  <c r="AEB4" i="7"/>
  <c r="AEC4" i="7"/>
  <c r="AED4" i="7"/>
  <c r="AEE4" i="7"/>
  <c r="AEF4" i="7"/>
  <c r="AEG4" i="7"/>
  <c r="AEH4" i="7"/>
  <c r="AEI4" i="7"/>
  <c r="AEJ4" i="7"/>
  <c r="AEK4" i="7"/>
  <c r="AEL4" i="7"/>
  <c r="AEM4" i="7"/>
  <c r="AEN4" i="7"/>
  <c r="AEO4" i="7"/>
  <c r="AEP4" i="7"/>
  <c r="AEQ4" i="7"/>
  <c r="AER4" i="7"/>
  <c r="AES4" i="7"/>
  <c r="AET4" i="7"/>
  <c r="AEU4" i="7"/>
  <c r="AEV4" i="7"/>
  <c r="AEW4" i="7"/>
  <c r="AEX4" i="7"/>
  <c r="AEY4" i="7"/>
  <c r="AEZ4" i="7"/>
  <c r="AFA4" i="7"/>
  <c r="AFB4" i="7"/>
  <c r="AFC4" i="7"/>
  <c r="AFD4" i="7"/>
  <c r="AFE4" i="7"/>
  <c r="AFF4" i="7"/>
  <c r="AFG4" i="7"/>
  <c r="AFH4" i="7"/>
  <c r="AFI4" i="7"/>
  <c r="AFJ4" i="7"/>
  <c r="AFK4" i="7"/>
  <c r="AFL4" i="7"/>
  <c r="AFM4" i="7"/>
  <c r="AFN4" i="7"/>
  <c r="AFO4" i="7"/>
  <c r="AFP4" i="7"/>
  <c r="AFQ4" i="7"/>
  <c r="AFR4" i="7"/>
  <c r="AFS4" i="7"/>
  <c r="AFT4" i="7"/>
  <c r="AFU4" i="7"/>
  <c r="AFV4" i="7"/>
  <c r="AFW4" i="7"/>
  <c r="AFX4" i="7"/>
  <c r="AFY4" i="7"/>
  <c r="AFZ4" i="7"/>
  <c r="AGA4" i="7"/>
  <c r="AGB4" i="7"/>
  <c r="AGC4" i="7"/>
  <c r="AGD4" i="7"/>
  <c r="AGE4" i="7"/>
  <c r="AGF4" i="7"/>
  <c r="AGG4" i="7"/>
  <c r="AGH4" i="7"/>
  <c r="AGI4" i="7"/>
  <c r="AGJ4" i="7"/>
  <c r="AGK4" i="7"/>
  <c r="AGL4" i="7"/>
  <c r="AGM4" i="7"/>
  <c r="AGN4" i="7"/>
  <c r="AGO4" i="7"/>
  <c r="AGP4" i="7"/>
  <c r="AGQ4" i="7"/>
  <c r="AGR4" i="7"/>
  <c r="AGS4" i="7"/>
  <c r="AGT4" i="7"/>
  <c r="AGU4" i="7"/>
  <c r="AGV4" i="7"/>
  <c r="AGW4" i="7"/>
  <c r="AGX4" i="7"/>
  <c r="AGY4" i="7"/>
  <c r="AGZ4" i="7"/>
  <c r="AHA4" i="7"/>
  <c r="AHB4" i="7"/>
  <c r="AHC4" i="7"/>
  <c r="AHD4" i="7"/>
  <c r="AHE4" i="7"/>
  <c r="AHF4" i="7"/>
  <c r="AHG4" i="7"/>
  <c r="AHH4" i="7"/>
  <c r="AHI4" i="7"/>
  <c r="AHJ4" i="7"/>
  <c r="AHK4" i="7"/>
  <c r="AHL4" i="7"/>
  <c r="AHM4" i="7"/>
  <c r="AHN4" i="7"/>
  <c r="AHO4" i="7"/>
  <c r="AHP4" i="7"/>
  <c r="AHQ4" i="7"/>
  <c r="AHR4" i="7"/>
  <c r="AHS4" i="7"/>
  <c r="AHT4" i="7"/>
  <c r="AHU4" i="7"/>
  <c r="AHV4" i="7"/>
  <c r="AHW4" i="7"/>
  <c r="AHX4" i="7"/>
  <c r="AHY4" i="7"/>
  <c r="AHZ4" i="7"/>
  <c r="AIA4" i="7"/>
  <c r="AIB4" i="7"/>
  <c r="AIC4" i="7"/>
  <c r="AID4" i="7"/>
  <c r="AIE4" i="7"/>
  <c r="AIF4" i="7"/>
  <c r="AIG4" i="7"/>
  <c r="AIH4" i="7"/>
  <c r="AII4" i="7"/>
  <c r="AIJ4" i="7"/>
  <c r="AIK4" i="7"/>
  <c r="AIL4" i="7"/>
  <c r="AIM4" i="7"/>
  <c r="AIN4" i="7"/>
  <c r="AIO4" i="7"/>
  <c r="AIP4" i="7"/>
  <c r="AIQ4" i="7"/>
  <c r="AIR4" i="7"/>
  <c r="AIS4" i="7"/>
  <c r="AIT4" i="7"/>
  <c r="AIU4" i="7"/>
  <c r="AIV4" i="7"/>
  <c r="AIW4" i="7"/>
  <c r="AIX4" i="7"/>
  <c r="AIY4" i="7"/>
  <c r="AIZ4" i="7"/>
  <c r="AJA4" i="7"/>
  <c r="AJB4" i="7"/>
  <c r="AJC4" i="7"/>
  <c r="AJD4" i="7"/>
  <c r="AJE4" i="7"/>
  <c r="AJF4" i="7"/>
  <c r="AJG4" i="7"/>
  <c r="AJH4" i="7"/>
  <c r="AJI4" i="7"/>
  <c r="AJJ4" i="7"/>
  <c r="AJK4" i="7"/>
  <c r="AJL4" i="7"/>
  <c r="AJM4" i="7"/>
  <c r="AJN4" i="7"/>
  <c r="AJO4" i="7"/>
  <c r="AJP4" i="7"/>
  <c r="AJQ4" i="7"/>
  <c r="AJR4" i="7"/>
  <c r="AJS4" i="7"/>
  <c r="AJT4" i="7"/>
  <c r="AJU4" i="7"/>
  <c r="AJV4" i="7"/>
  <c r="AJW4" i="7"/>
  <c r="AJX4" i="7"/>
  <c r="AJY4" i="7"/>
  <c r="AJZ4" i="7"/>
  <c r="AKA4" i="7"/>
  <c r="AKB4" i="7"/>
  <c r="AKC4" i="7"/>
  <c r="AKD4" i="7"/>
  <c r="AKE4" i="7"/>
  <c r="AKF4" i="7"/>
  <c r="AKG4" i="7"/>
  <c r="AKH4" i="7"/>
  <c r="AKI4" i="7"/>
  <c r="AKJ4" i="7"/>
  <c r="AKK4" i="7"/>
  <c r="AKL4" i="7"/>
  <c r="AKM4" i="7"/>
  <c r="AKN4" i="7"/>
  <c r="AKO4" i="7"/>
  <c r="AKP4" i="7"/>
  <c r="AKQ4" i="7"/>
  <c r="AKR4" i="7"/>
  <c r="AKS4" i="7"/>
  <c r="AKT4" i="7"/>
  <c r="AKU4" i="7"/>
  <c r="AKV4" i="7"/>
  <c r="AKW4" i="7"/>
  <c r="AKX4" i="7"/>
  <c r="AKY4" i="7"/>
  <c r="AKZ4" i="7"/>
  <c r="ALA4" i="7"/>
  <c r="ALB4" i="7"/>
  <c r="ALC4" i="7"/>
  <c r="ALD4" i="7"/>
  <c r="ALE4" i="7"/>
  <c r="ALF4" i="7"/>
  <c r="ALG4" i="7"/>
  <c r="ALH4" i="7"/>
  <c r="ALI4" i="7"/>
  <c r="ALJ4" i="7"/>
  <c r="ALK4" i="7"/>
  <c r="ALL4" i="7"/>
  <c r="ALM4" i="7"/>
  <c r="ALN4" i="7"/>
  <c r="ALO4" i="7"/>
  <c r="ALP4" i="7"/>
  <c r="ALQ4" i="7"/>
  <c r="ALR4" i="7"/>
  <c r="ALS4" i="7"/>
  <c r="ALT4" i="7"/>
  <c r="ALU4" i="7"/>
  <c r="ALV4" i="7"/>
  <c r="ALW4" i="7"/>
  <c r="ALX4" i="7"/>
  <c r="ALY4" i="7"/>
  <c r="ALZ4" i="7"/>
  <c r="AMA4" i="7"/>
  <c r="AMB4" i="7"/>
  <c r="AMC4" i="7"/>
  <c r="AMD4" i="7"/>
  <c r="AME4" i="7"/>
  <c r="AMF4" i="7"/>
  <c r="AMG4" i="7"/>
  <c r="AMH4" i="7"/>
  <c r="AMI4" i="7"/>
  <c r="AMJ4" i="7"/>
  <c r="AMK4" i="7"/>
  <c r="AML4" i="7"/>
  <c r="AMM4" i="7"/>
  <c r="AMN4" i="7"/>
  <c r="AMO4" i="7"/>
  <c r="AMP4" i="7"/>
  <c r="AMQ4" i="7"/>
  <c r="AMR4" i="7"/>
  <c r="AMS4" i="7"/>
  <c r="AMT4" i="7"/>
  <c r="AMU4" i="7"/>
  <c r="AMV4" i="7"/>
  <c r="AMW4" i="7"/>
  <c r="AMX4" i="7"/>
  <c r="AMY4" i="7"/>
  <c r="AMZ4" i="7"/>
  <c r="ANA4" i="7"/>
  <c r="ANB4" i="7"/>
  <c r="ANC4" i="7"/>
  <c r="AND4" i="7"/>
  <c r="ANE4" i="7"/>
  <c r="ANF4" i="7"/>
  <c r="ANG4" i="7"/>
  <c r="ANH4" i="7"/>
  <c r="ANI4" i="7"/>
  <c r="ANJ4" i="7"/>
  <c r="ANK4" i="7"/>
  <c r="ANL4" i="7"/>
  <c r="ANM4" i="7"/>
  <c r="ANN4" i="7"/>
  <c r="ANO4" i="7"/>
  <c r="ANP4" i="7"/>
  <c r="ANQ4" i="7"/>
  <c r="ANR4" i="7"/>
  <c r="ANS4" i="7"/>
  <c r="ANT4" i="7"/>
  <c r="ANU4" i="7"/>
  <c r="ANV4" i="7"/>
  <c r="ANW4" i="7"/>
  <c r="ANX4" i="7"/>
  <c r="ANY4" i="7"/>
  <c r="ANZ4" i="7"/>
  <c r="AOA4" i="7"/>
  <c r="AOB4" i="7"/>
  <c r="AOC4" i="7"/>
  <c r="AOD4" i="7"/>
  <c r="AOE4" i="7"/>
  <c r="AOF4" i="7"/>
  <c r="AOG4" i="7"/>
  <c r="AOH4" i="7"/>
  <c r="AOI4" i="7"/>
  <c r="AOJ4" i="7"/>
  <c r="AOK4" i="7"/>
  <c r="AOL4" i="7"/>
  <c r="AOM4" i="7"/>
  <c r="AON4" i="7"/>
  <c r="AOO4" i="7"/>
  <c r="AOP4" i="7"/>
  <c r="AOQ4" i="7"/>
  <c r="AOR4" i="7"/>
  <c r="AOS4" i="7"/>
  <c r="AOT4" i="7"/>
  <c r="AOU4" i="7"/>
  <c r="AOV4" i="7"/>
  <c r="AOW4" i="7"/>
  <c r="AOX4" i="7"/>
  <c r="AOY4" i="7"/>
  <c r="AOZ4" i="7"/>
  <c r="APA4" i="7"/>
  <c r="APB4" i="7"/>
  <c r="APC4" i="7"/>
  <c r="APD4" i="7"/>
  <c r="APE4" i="7"/>
  <c r="APF4" i="7"/>
  <c r="APG4" i="7"/>
  <c r="APH4" i="7"/>
  <c r="API4" i="7"/>
  <c r="APJ4" i="7"/>
  <c r="APK4" i="7"/>
  <c r="APL4" i="7"/>
  <c r="APM4" i="7"/>
  <c r="APN4" i="7"/>
  <c r="APO4" i="7"/>
  <c r="APP4" i="7"/>
  <c r="APQ4" i="7"/>
  <c r="APR4" i="7"/>
  <c r="APS4" i="7"/>
  <c r="APT4" i="7"/>
  <c r="APU4" i="7"/>
  <c r="APV4" i="7"/>
  <c r="APW4" i="7"/>
  <c r="APX4" i="7"/>
  <c r="APY4" i="7"/>
  <c r="APZ4" i="7"/>
  <c r="AQA4" i="7"/>
  <c r="AQB4" i="7"/>
  <c r="AQC4" i="7"/>
  <c r="AQD4" i="7"/>
  <c r="AQE4" i="7"/>
  <c r="AQF4" i="7"/>
  <c r="AQG4" i="7"/>
  <c r="AQH4" i="7"/>
  <c r="AQI4" i="7"/>
  <c r="AQJ4" i="7"/>
  <c r="AQK4" i="7"/>
  <c r="AQL4" i="7"/>
  <c r="AQM4" i="7"/>
  <c r="AQN4" i="7"/>
  <c r="AQO4" i="7"/>
  <c r="AQP4" i="7"/>
  <c r="AQQ4" i="7"/>
  <c r="AQR4" i="7"/>
  <c r="AQS4" i="7"/>
  <c r="AQT4" i="7"/>
  <c r="AQU4" i="7"/>
  <c r="AQV4" i="7"/>
  <c r="AQW4" i="7"/>
  <c r="AQX4" i="7"/>
  <c r="AQY4" i="7"/>
  <c r="AQZ4" i="7"/>
  <c r="ARA4" i="7"/>
  <c r="ARB4" i="7"/>
  <c r="ARC4" i="7"/>
  <c r="ARD4" i="7"/>
  <c r="ARE4" i="7"/>
  <c r="ARF4" i="7"/>
  <c r="ARG4" i="7"/>
  <c r="ARH4" i="7"/>
  <c r="ARI4" i="7"/>
  <c r="ARJ4" i="7"/>
  <c r="ARK4" i="7"/>
  <c r="ARL4" i="7"/>
  <c r="ARM4" i="7"/>
  <c r="ARN4" i="7"/>
  <c r="ARO4" i="7"/>
  <c r="ARP4" i="7"/>
  <c r="ARQ4" i="7"/>
  <c r="ARR4" i="7"/>
  <c r="ARS4" i="7"/>
  <c r="ART4" i="7"/>
  <c r="ARU4" i="7"/>
  <c r="ARV4" i="7"/>
  <c r="ARW4" i="7"/>
  <c r="ARX4" i="7"/>
  <c r="ARY4" i="7"/>
  <c r="ARZ4" i="7"/>
  <c r="ASA4" i="7"/>
  <c r="ASB4" i="7"/>
  <c r="ASC4" i="7"/>
  <c r="ASD4" i="7"/>
  <c r="ASE4" i="7"/>
  <c r="ASF4" i="7"/>
  <c r="ASG4" i="7"/>
  <c r="ASH4" i="7"/>
  <c r="ASI4" i="7"/>
  <c r="ASJ4" i="7"/>
  <c r="ASK4" i="7"/>
  <c r="ASL4" i="7"/>
  <c r="ASM4" i="7"/>
  <c r="ASN4" i="7"/>
  <c r="ASO4" i="7"/>
  <c r="ASP4" i="7"/>
  <c r="ASQ4" i="7"/>
  <c r="ASR4" i="7"/>
  <c r="ASS4" i="7"/>
  <c r="AST4" i="7"/>
  <c r="ASU4" i="7"/>
  <c r="ASV4" i="7"/>
  <c r="ASW4" i="7"/>
  <c r="ASX4" i="7"/>
  <c r="ASY4" i="7"/>
  <c r="ASZ4" i="7"/>
  <c r="ATA4" i="7"/>
  <c r="ATB4" i="7"/>
  <c r="ATC4" i="7"/>
  <c r="ATD4" i="7"/>
  <c r="ATE4" i="7"/>
  <c r="ATF4" i="7"/>
  <c r="ATG4" i="7"/>
  <c r="ATH4" i="7"/>
  <c r="ATI4" i="7"/>
  <c r="ATJ4" i="7"/>
  <c r="ATK4" i="7"/>
  <c r="ATL4" i="7"/>
  <c r="ATM4" i="7"/>
  <c r="ATN4" i="7"/>
  <c r="ATO4" i="7"/>
  <c r="ATP4" i="7"/>
  <c r="ATQ4" i="7"/>
  <c r="ATR4" i="7"/>
  <c r="ATS4" i="7"/>
  <c r="ATT4" i="7"/>
  <c r="ATU4" i="7"/>
  <c r="ATV4" i="7"/>
  <c r="ATW4" i="7"/>
  <c r="ATX4" i="7"/>
  <c r="ATY4" i="7"/>
  <c r="ATZ4" i="7"/>
  <c r="AUA4" i="7"/>
  <c r="AUB4" i="7"/>
  <c r="AUC4" i="7"/>
  <c r="AUD4" i="7"/>
  <c r="AUE4" i="7"/>
  <c r="AUF4" i="7"/>
  <c r="AUG4" i="7"/>
  <c r="AUH4" i="7"/>
  <c r="AUI4" i="7"/>
  <c r="AUJ4" i="7"/>
  <c r="AUK4" i="7"/>
  <c r="AUL4" i="7"/>
  <c r="AUM4" i="7"/>
  <c r="AUN4" i="7"/>
  <c r="AUO4" i="7"/>
  <c r="AUP4" i="7"/>
  <c r="AUQ4" i="7"/>
  <c r="AUR4" i="7"/>
  <c r="AUS4" i="7"/>
  <c r="AUT4" i="7"/>
  <c r="AUU4" i="7"/>
  <c r="AUV4" i="7"/>
  <c r="AUW4" i="7"/>
  <c r="AUX4" i="7"/>
  <c r="AUY4" i="7"/>
  <c r="AUZ4" i="7"/>
  <c r="AVA4" i="7"/>
  <c r="AVB4" i="7"/>
  <c r="AVC4" i="7"/>
  <c r="AVD4" i="7"/>
  <c r="AVE4" i="7"/>
  <c r="AVF4" i="7"/>
  <c r="AVG4" i="7"/>
  <c r="AVH4" i="7"/>
  <c r="AVI4" i="7"/>
  <c r="AVJ4" i="7"/>
  <c r="AVK4" i="7"/>
  <c r="AVL4" i="7"/>
  <c r="AVM4" i="7"/>
  <c r="AVN4" i="7"/>
  <c r="AVO4" i="7"/>
  <c r="AVP4" i="7"/>
  <c r="AVQ4" i="7"/>
  <c r="AVR4" i="7"/>
  <c r="AVS4" i="7"/>
  <c r="AVT4" i="7"/>
  <c r="AVU4" i="7"/>
  <c r="AVV4" i="7"/>
  <c r="AVW4" i="7"/>
  <c r="AVX4" i="7"/>
  <c r="AVY4" i="7"/>
  <c r="AVZ4" i="7"/>
  <c r="AWA4" i="7"/>
  <c r="AWB4" i="7"/>
  <c r="AWC4" i="7"/>
  <c r="AWD4" i="7"/>
  <c r="AWE4" i="7"/>
  <c r="AWF4" i="7"/>
  <c r="AWG4" i="7"/>
  <c r="AWH4" i="7"/>
  <c r="AWI4" i="7"/>
  <c r="AWJ4" i="7"/>
  <c r="AWK4" i="7"/>
  <c r="AWL4" i="7"/>
  <c r="AWM4" i="7"/>
  <c r="AWN4" i="7"/>
  <c r="AWO4" i="7"/>
  <c r="AWP4" i="7"/>
  <c r="AWQ4" i="7"/>
  <c r="AWR4" i="7"/>
  <c r="AWS4" i="7"/>
  <c r="AWT4" i="7"/>
  <c r="AWU4" i="7"/>
  <c r="AWV4" i="7"/>
  <c r="AWW4" i="7"/>
  <c r="AWX4" i="7"/>
  <c r="AWY4" i="7"/>
  <c r="AWZ4" i="7"/>
  <c r="AXA4" i="7"/>
  <c r="AXB4" i="7"/>
  <c r="AXC4" i="7"/>
  <c r="AXD4" i="7"/>
  <c r="AXE4" i="7"/>
  <c r="AXF4" i="7"/>
  <c r="AXG4" i="7"/>
  <c r="AXH4" i="7"/>
  <c r="AXI4" i="7"/>
  <c r="AXJ4" i="7"/>
  <c r="AXK4" i="7"/>
  <c r="AXL4" i="7"/>
  <c r="AXM4" i="7"/>
  <c r="AXN4" i="7"/>
  <c r="AXO4" i="7"/>
  <c r="AXP4" i="7"/>
  <c r="AXQ4" i="7"/>
  <c r="AXR4" i="7"/>
  <c r="AXS4" i="7"/>
  <c r="AXT4" i="7"/>
  <c r="AXU4" i="7"/>
  <c r="AXV4" i="7"/>
  <c r="AXW4" i="7"/>
  <c r="AXX4" i="7"/>
  <c r="AXY4" i="7"/>
  <c r="AXZ4" i="7"/>
  <c r="AYA4" i="7"/>
  <c r="AYB4" i="7"/>
  <c r="AYC4" i="7"/>
  <c r="AYD4" i="7"/>
  <c r="AYE4" i="7"/>
  <c r="AYF4" i="7"/>
  <c r="AYG4" i="7"/>
  <c r="AYH4" i="7"/>
  <c r="AYI4" i="7"/>
  <c r="AYJ4" i="7"/>
  <c r="AYK4" i="7"/>
  <c r="AYL4" i="7"/>
  <c r="AYM4" i="7"/>
  <c r="AYN4" i="7"/>
  <c r="AYO4" i="7"/>
  <c r="AYP4" i="7"/>
  <c r="AYQ4" i="7"/>
  <c r="AYR4" i="7"/>
  <c r="AYS4" i="7"/>
  <c r="AYT4" i="7"/>
  <c r="AYU4" i="7"/>
  <c r="AYV4" i="7"/>
  <c r="AYW4" i="7"/>
  <c r="AYX4" i="7"/>
  <c r="AYY4" i="7"/>
  <c r="AYZ4" i="7"/>
  <c r="AZA4" i="7"/>
  <c r="AZB4" i="7"/>
  <c r="AZC4" i="7"/>
  <c r="AZD4" i="7"/>
  <c r="AZE4" i="7"/>
  <c r="AZF4" i="7"/>
  <c r="AZG4" i="7"/>
  <c r="AZH4" i="7"/>
  <c r="AZI4" i="7"/>
  <c r="AZJ4" i="7"/>
  <c r="AZK4" i="7"/>
  <c r="AZL4" i="7"/>
  <c r="AZM4" i="7"/>
  <c r="AZN4" i="7"/>
  <c r="AZO4" i="7"/>
  <c r="AZP4" i="7"/>
  <c r="AZQ4" i="7"/>
  <c r="AZR4" i="7"/>
  <c r="AZS4" i="7"/>
  <c r="AZT4" i="7"/>
  <c r="AZU4" i="7"/>
  <c r="AZV4" i="7"/>
  <c r="AZW4" i="7"/>
  <c r="AZX4" i="7"/>
  <c r="AZY4" i="7"/>
  <c r="AZZ4" i="7"/>
  <c r="BAA4" i="7"/>
  <c r="BAB4" i="7"/>
  <c r="BAC4" i="7"/>
  <c r="BAD4" i="7"/>
  <c r="BAE4" i="7"/>
  <c r="BAF4" i="7"/>
  <c r="BAG4" i="7"/>
  <c r="BAH4" i="7"/>
  <c r="BAI4" i="7"/>
  <c r="BAJ4" i="7"/>
  <c r="BAK4" i="7"/>
  <c r="BAL4" i="7"/>
  <c r="BAM4" i="7"/>
  <c r="BAN4" i="7"/>
  <c r="BAO4" i="7"/>
  <c r="BAP4" i="7"/>
  <c r="BAQ4" i="7"/>
  <c r="BAR4" i="7"/>
  <c r="BAS4" i="7"/>
  <c r="BAT4" i="7"/>
  <c r="BAU4" i="7"/>
  <c r="BAV4" i="7"/>
  <c r="BAW4" i="7"/>
  <c r="BAX4" i="7"/>
  <c r="BAY4" i="7"/>
  <c r="BAZ4" i="7"/>
  <c r="BBA4" i="7"/>
  <c r="BBB4" i="7"/>
  <c r="BBC4" i="7"/>
  <c r="BBD4" i="7"/>
  <c r="BBE4" i="7"/>
  <c r="BBF4" i="7"/>
  <c r="BBG4" i="7"/>
  <c r="BBH4" i="7"/>
  <c r="BBI4" i="7"/>
  <c r="BBJ4" i="7"/>
  <c r="BBK4" i="7"/>
  <c r="BBL4" i="7"/>
  <c r="BBM4" i="7"/>
  <c r="BBN4" i="7"/>
  <c r="BBO4" i="7"/>
  <c r="BBP4" i="7"/>
  <c r="BBQ4" i="7"/>
  <c r="BBR4" i="7"/>
  <c r="BBS4" i="7"/>
  <c r="BBT4" i="7"/>
  <c r="BBU4" i="7"/>
  <c r="BBV4" i="7"/>
  <c r="BBW4" i="7"/>
  <c r="BBX4" i="7"/>
  <c r="BBY4" i="7"/>
  <c r="BBZ4" i="7"/>
  <c r="BCA4" i="7"/>
  <c r="BCB4" i="7"/>
  <c r="BCC4" i="7"/>
  <c r="BCD4" i="7"/>
  <c r="BCE4" i="7"/>
  <c r="BCF4" i="7"/>
  <c r="BCG4" i="7"/>
  <c r="BCH4" i="7"/>
  <c r="BCI4" i="7"/>
  <c r="BCJ4" i="7"/>
  <c r="BCK4" i="7"/>
  <c r="BCL4" i="7"/>
  <c r="BCM4" i="7"/>
  <c r="BCN4" i="7"/>
  <c r="BCO4" i="7"/>
  <c r="BCP4" i="7"/>
  <c r="BCQ4" i="7"/>
  <c r="BCR4" i="7"/>
  <c r="BCS4" i="7"/>
  <c r="BCT4" i="7"/>
  <c r="BCU4" i="7"/>
  <c r="BCV4" i="7"/>
  <c r="BCW4" i="7"/>
  <c r="BCX4" i="7"/>
  <c r="BCY4" i="7"/>
  <c r="BCZ4" i="7"/>
  <c r="BDA4" i="7"/>
  <c r="BDB4" i="7"/>
  <c r="BDC4" i="7"/>
  <c r="BDD4" i="7"/>
  <c r="BDE4" i="7"/>
  <c r="BDF4" i="7"/>
  <c r="BDG4" i="7"/>
  <c r="BDH4" i="7"/>
  <c r="BDI4" i="7"/>
  <c r="BDJ4" i="7"/>
  <c r="BDK4" i="7"/>
  <c r="BDL4" i="7"/>
  <c r="BDM4" i="7"/>
  <c r="BDN4" i="7"/>
  <c r="BDO4" i="7"/>
  <c r="BDP4" i="7"/>
  <c r="BDQ4" i="7"/>
  <c r="BDR4" i="7"/>
  <c r="BDS4" i="7"/>
  <c r="BDT4" i="7"/>
  <c r="BDU4" i="7"/>
  <c r="BDV4" i="7"/>
  <c r="BDW4" i="7"/>
  <c r="BDX4" i="7"/>
  <c r="BDY4" i="7"/>
  <c r="BDZ4" i="7"/>
  <c r="BEA4" i="7"/>
  <c r="BEB4" i="7"/>
  <c r="BEC4" i="7"/>
  <c r="BED4" i="7"/>
  <c r="BEE4" i="7"/>
  <c r="BEF4" i="7"/>
  <c r="BEG4" i="7"/>
  <c r="BEH4" i="7"/>
  <c r="BEI4" i="7"/>
  <c r="BEJ4" i="7"/>
  <c r="BEK4" i="7"/>
  <c r="BEL4" i="7"/>
  <c r="BEM4" i="7"/>
  <c r="BEN4" i="7"/>
  <c r="BEO4" i="7"/>
  <c r="BEP4" i="7"/>
  <c r="BEQ4" i="7"/>
  <c r="BER4" i="7"/>
  <c r="BES4" i="7"/>
  <c r="BET4" i="7"/>
  <c r="BEU4" i="7"/>
  <c r="BEV4" i="7"/>
  <c r="BEW4" i="7"/>
  <c r="BEX4" i="7"/>
  <c r="BEY4" i="7"/>
  <c r="BEZ4" i="7"/>
  <c r="BFA4" i="7"/>
  <c r="BFB4" i="7"/>
  <c r="BFC4" i="7"/>
  <c r="BFD4" i="7"/>
  <c r="BFE4" i="7"/>
  <c r="BFF4" i="7"/>
  <c r="BFG4" i="7"/>
  <c r="BFH4" i="7"/>
  <c r="BFI4" i="7"/>
  <c r="BFJ4" i="7"/>
  <c r="BFK4" i="7"/>
  <c r="BFL4" i="7"/>
  <c r="BFM4" i="7"/>
  <c r="BFN4" i="7"/>
  <c r="BFO4" i="7"/>
  <c r="BFP4" i="7"/>
  <c r="BFQ4" i="7"/>
  <c r="BFR4" i="7"/>
  <c r="BFS4" i="7"/>
  <c r="BFT4" i="7"/>
  <c r="BFU4" i="7"/>
  <c r="BFV4" i="7"/>
  <c r="BFW4" i="7"/>
  <c r="BFX4" i="7"/>
  <c r="BFY4" i="7"/>
  <c r="BFZ4" i="7"/>
  <c r="BGA4" i="7"/>
  <c r="BGB4" i="7"/>
  <c r="BGC4" i="7"/>
  <c r="BGD4" i="7"/>
  <c r="BGE4" i="7"/>
  <c r="BGF4" i="7"/>
  <c r="BGG4" i="7"/>
  <c r="BGH4" i="7"/>
  <c r="BGI4" i="7"/>
  <c r="BGJ4" i="7"/>
  <c r="BGK4" i="7"/>
  <c r="BGL4" i="7"/>
  <c r="BGM4" i="7"/>
  <c r="BGN4" i="7"/>
  <c r="BGO4" i="7"/>
  <c r="BGP4" i="7"/>
  <c r="BGQ4" i="7"/>
  <c r="BGR4" i="7"/>
  <c r="BGS4" i="7"/>
  <c r="BGT4" i="7"/>
  <c r="BGU4" i="7"/>
  <c r="BGV4" i="7"/>
  <c r="BGW4" i="7"/>
  <c r="BGX4" i="7"/>
  <c r="BGY4" i="7"/>
  <c r="BGZ4" i="7"/>
  <c r="BHA4" i="7"/>
  <c r="BHB4" i="7"/>
  <c r="BHC4" i="7"/>
  <c r="BHD4" i="7"/>
  <c r="BHE4" i="7"/>
  <c r="BHF4" i="7"/>
  <c r="BHG4" i="7"/>
  <c r="BHH4" i="7"/>
  <c r="BHI4" i="7"/>
  <c r="BHJ4" i="7"/>
  <c r="BHK4" i="7"/>
  <c r="BHL4" i="7"/>
  <c r="BHM4" i="7"/>
  <c r="BHN4" i="7"/>
  <c r="BHO4" i="7"/>
  <c r="BHP4" i="7"/>
  <c r="BHQ4" i="7"/>
  <c r="BHR4" i="7"/>
  <c r="BHS4" i="7"/>
  <c r="BHT4" i="7"/>
  <c r="BHU4" i="7"/>
  <c r="BHV4" i="7"/>
  <c r="BHW4" i="7"/>
  <c r="BHX4" i="7"/>
  <c r="BHY4" i="7"/>
  <c r="BHZ4" i="7"/>
  <c r="BIA4" i="7"/>
  <c r="BIB4" i="7"/>
  <c r="BIC4" i="7"/>
  <c r="BID4" i="7"/>
  <c r="BIE4" i="7"/>
  <c r="BIF4" i="7"/>
  <c r="BIG4" i="7"/>
  <c r="BIH4" i="7"/>
  <c r="BII4" i="7"/>
  <c r="BIJ4" i="7"/>
  <c r="BIK4" i="7"/>
  <c r="BIL4" i="7"/>
  <c r="BIM4" i="7"/>
  <c r="BIN4" i="7"/>
  <c r="BIO4" i="7"/>
  <c r="BIP4" i="7"/>
  <c r="BIQ4" i="7"/>
  <c r="BIR4" i="7"/>
  <c r="BIS4" i="7"/>
  <c r="BIT4" i="7"/>
  <c r="BIU4" i="7"/>
  <c r="BIV4" i="7"/>
  <c r="BIW4" i="7"/>
  <c r="BIX4" i="7"/>
  <c r="BIY4" i="7"/>
  <c r="BIZ4" i="7"/>
  <c r="BJA4" i="7"/>
  <c r="BJB4" i="7"/>
  <c r="BJC4" i="7"/>
  <c r="BJD4" i="7"/>
  <c r="BJE4" i="7"/>
  <c r="BJF4" i="7"/>
  <c r="BJG4" i="7"/>
  <c r="BJH4" i="7"/>
  <c r="BJI4" i="7"/>
  <c r="BJJ4" i="7"/>
  <c r="BJK4" i="7"/>
  <c r="BJL4" i="7"/>
  <c r="BJM4" i="7"/>
  <c r="BJN4" i="7"/>
  <c r="BJO4" i="7"/>
  <c r="BJP4" i="7"/>
  <c r="BJQ4" i="7"/>
  <c r="BJR4" i="7"/>
  <c r="BJS4" i="7"/>
  <c r="BJT4" i="7"/>
  <c r="BJU4" i="7"/>
  <c r="BJV4" i="7"/>
  <c r="BJW4" i="7"/>
  <c r="BJX4" i="7"/>
  <c r="BJY4" i="7"/>
  <c r="BJZ4" i="7"/>
  <c r="BKA4" i="7"/>
  <c r="BKB4" i="7"/>
  <c r="BKC4" i="7"/>
  <c r="BKD4" i="7"/>
  <c r="BKE4" i="7"/>
  <c r="BKF4" i="7"/>
  <c r="BKG4" i="7"/>
  <c r="BKH4" i="7"/>
  <c r="BKI4" i="7"/>
  <c r="BKJ4" i="7"/>
  <c r="BKK4" i="7"/>
  <c r="BKL4" i="7"/>
  <c r="BKM4" i="7"/>
  <c r="BKN4" i="7"/>
  <c r="BKO4" i="7"/>
  <c r="BKP4" i="7"/>
  <c r="BKQ4" i="7"/>
  <c r="BKR4" i="7"/>
  <c r="BKS4" i="7"/>
  <c r="BKT4" i="7"/>
  <c r="BKU4" i="7"/>
  <c r="BKV4" i="7"/>
  <c r="BKW4" i="7"/>
  <c r="BKX4" i="7"/>
  <c r="BKY4" i="7"/>
  <c r="BKZ4" i="7"/>
  <c r="BLA4" i="7"/>
  <c r="BLB4" i="7"/>
  <c r="BLC4" i="7"/>
  <c r="BLD4" i="7"/>
  <c r="BLE4" i="7"/>
  <c r="BLF4" i="7"/>
  <c r="BLG4" i="7"/>
  <c r="BLH4" i="7"/>
  <c r="BLI4" i="7"/>
  <c r="BLJ4" i="7"/>
  <c r="BLK4" i="7"/>
  <c r="BLL4" i="7"/>
  <c r="BLM4" i="7"/>
  <c r="BLN4" i="7"/>
  <c r="BLO4" i="7"/>
  <c r="BLP4" i="7"/>
  <c r="BLQ4" i="7"/>
  <c r="BLR4" i="7"/>
  <c r="BLS4" i="7"/>
  <c r="BLT4" i="7"/>
  <c r="BLU4" i="7"/>
  <c r="BLV4" i="7"/>
  <c r="BLW4" i="7"/>
  <c r="BLX4" i="7"/>
  <c r="BLY4" i="7"/>
  <c r="BLZ4" i="7"/>
  <c r="BMA4" i="7"/>
  <c r="BMB4" i="7"/>
  <c r="BMC4" i="7"/>
  <c r="BMD4" i="7"/>
  <c r="BME4" i="7"/>
  <c r="BMF4" i="7"/>
  <c r="BMG4" i="7"/>
  <c r="BMH4" i="7"/>
  <c r="BMI4" i="7"/>
  <c r="BMJ4" i="7"/>
  <c r="BMK4" i="7"/>
  <c r="BML4" i="7"/>
  <c r="BMM4" i="7"/>
  <c r="BMN4" i="7"/>
  <c r="BMO4" i="7"/>
  <c r="BMP4" i="7"/>
  <c r="BMQ4" i="7"/>
  <c r="BMR4" i="7"/>
  <c r="BMS4" i="7"/>
  <c r="BMT4" i="7"/>
  <c r="BMU4" i="7"/>
  <c r="BMV4" i="7"/>
  <c r="BMW4" i="7"/>
  <c r="BMX4" i="7"/>
  <c r="BMY4" i="7"/>
  <c r="BMZ4" i="7"/>
  <c r="BNA4" i="7"/>
  <c r="BNB4" i="7"/>
  <c r="BNC4" i="7"/>
  <c r="BND4" i="7"/>
  <c r="BNE4" i="7"/>
  <c r="BNF4" i="7"/>
  <c r="BNG4" i="7"/>
  <c r="BNH4" i="7"/>
  <c r="BNI4" i="7"/>
  <c r="BNJ4" i="7"/>
  <c r="BNK4" i="7"/>
  <c r="BNL4" i="7"/>
  <c r="BNM4" i="7"/>
  <c r="BNN4" i="7"/>
  <c r="BNO4" i="7"/>
  <c r="BNP4" i="7"/>
  <c r="BNQ4" i="7"/>
  <c r="BNR4" i="7"/>
  <c r="BNS4" i="7"/>
  <c r="BNT4" i="7"/>
  <c r="BNU4" i="7"/>
  <c r="BNV4" i="7"/>
  <c r="BNW4" i="7"/>
  <c r="BNX4" i="7"/>
  <c r="BNY4" i="7"/>
  <c r="BNZ4" i="7"/>
  <c r="BOA4" i="7"/>
  <c r="BOB4" i="7"/>
  <c r="BOC4" i="7"/>
  <c r="BOD4" i="7"/>
  <c r="BOE4" i="7"/>
  <c r="BOF4" i="7"/>
  <c r="BOG4" i="7"/>
  <c r="BOH4" i="7"/>
  <c r="BOI4" i="7"/>
  <c r="BOJ4" i="7"/>
  <c r="BOK4" i="7"/>
  <c r="BOL4" i="7"/>
  <c r="BOM4" i="7"/>
  <c r="BON4" i="7"/>
  <c r="BOO4" i="7"/>
  <c r="BOP4" i="7"/>
  <c r="BOQ4" i="7"/>
  <c r="BOR4" i="7"/>
  <c r="BOS4" i="7"/>
  <c r="BOT4" i="7"/>
  <c r="BOU4" i="7"/>
  <c r="BOV4" i="7"/>
  <c r="BOW4" i="7"/>
  <c r="BOX4" i="7"/>
  <c r="BOY4" i="7"/>
  <c r="BOZ4" i="7"/>
  <c r="BPA4" i="7"/>
  <c r="BPB4" i="7"/>
  <c r="BPC4" i="7"/>
  <c r="BPD4" i="7"/>
  <c r="BPE4" i="7"/>
  <c r="BPF4" i="7"/>
  <c r="BPG4" i="7"/>
  <c r="BPH4" i="7"/>
  <c r="BPI4" i="7"/>
  <c r="BPJ4" i="7"/>
  <c r="BPK4" i="7"/>
  <c r="BPL4" i="7"/>
  <c r="BPM4" i="7"/>
  <c r="BPN4" i="7"/>
  <c r="BPO4" i="7"/>
  <c r="BPP4" i="7"/>
  <c r="BPQ4" i="7"/>
  <c r="BPR4" i="7"/>
  <c r="BPS4" i="7"/>
  <c r="BPT4" i="7"/>
  <c r="BPU4" i="7"/>
  <c r="BPV4" i="7"/>
  <c r="BPW4" i="7"/>
  <c r="BPX4" i="7"/>
  <c r="BPY4" i="7"/>
  <c r="BPZ4" i="7"/>
  <c r="BQA4" i="7"/>
  <c r="BQB4" i="7"/>
  <c r="BQC4" i="7"/>
  <c r="BQD4" i="7"/>
  <c r="BQE4" i="7"/>
  <c r="BQF4" i="7"/>
  <c r="BQG4" i="7"/>
  <c r="BQH4" i="7"/>
  <c r="BQI4" i="7"/>
  <c r="BQJ4" i="7"/>
  <c r="BQK4" i="7"/>
  <c r="BQL4" i="7"/>
  <c r="BQM4" i="7"/>
  <c r="BQN4" i="7"/>
  <c r="BQO4" i="7"/>
  <c r="BQP4" i="7"/>
  <c r="BQQ4" i="7"/>
  <c r="BQR4" i="7"/>
  <c r="BQS4" i="7"/>
  <c r="BQT4" i="7"/>
  <c r="BQU4" i="7"/>
  <c r="BQV4" i="7"/>
  <c r="BQW4" i="7"/>
  <c r="BQX4" i="7"/>
  <c r="BQY4" i="7"/>
  <c r="BQZ4" i="7"/>
  <c r="BRA4" i="7"/>
  <c r="BRB4" i="7"/>
  <c r="BRC4" i="7"/>
  <c r="BRD4" i="7"/>
  <c r="BRE4" i="7"/>
  <c r="BRF4" i="7"/>
  <c r="BRG4" i="7"/>
  <c r="BRH4" i="7"/>
  <c r="BRI4" i="7"/>
  <c r="BRJ4" i="7"/>
  <c r="BRK4" i="7"/>
  <c r="BRL4" i="7"/>
  <c r="BRM4" i="7"/>
  <c r="BRN4" i="7"/>
  <c r="BRO4" i="7"/>
  <c r="BRP4" i="7"/>
  <c r="BRQ4" i="7"/>
  <c r="BRR4" i="7"/>
  <c r="BRS4" i="7"/>
  <c r="BRT4" i="7"/>
  <c r="BRU4" i="7"/>
  <c r="BRV4" i="7"/>
  <c r="BRW4" i="7"/>
  <c r="BRX4" i="7"/>
  <c r="BRY4" i="7"/>
  <c r="BRZ4" i="7"/>
  <c r="BSA4" i="7"/>
  <c r="BSB4" i="7"/>
  <c r="BSC4" i="7"/>
  <c r="BSD4" i="7"/>
  <c r="BSE4" i="7"/>
  <c r="BSF4" i="7"/>
  <c r="BSG4" i="7"/>
  <c r="BSH4" i="7"/>
  <c r="BSI4" i="7"/>
  <c r="BSJ4" i="7"/>
  <c r="BSK4" i="7"/>
  <c r="BSL4" i="7"/>
  <c r="BSM4" i="7"/>
  <c r="BSN4" i="7"/>
  <c r="BSO4" i="7"/>
  <c r="BSP4" i="7"/>
  <c r="BSQ4" i="7"/>
  <c r="BSR4" i="7"/>
  <c r="BSS4" i="7"/>
  <c r="BST4" i="7"/>
  <c r="BSU4" i="7"/>
  <c r="BSV4" i="7"/>
  <c r="BSW4" i="7"/>
  <c r="BSX4" i="7"/>
  <c r="BSY4" i="7"/>
  <c r="BSZ4" i="7"/>
  <c r="BTA4" i="7"/>
  <c r="BTB4" i="7"/>
  <c r="BTC4" i="7"/>
  <c r="BTD4" i="7"/>
  <c r="BTE4" i="7"/>
  <c r="BTF4" i="7"/>
  <c r="BTG4" i="7"/>
  <c r="BTH4" i="7"/>
  <c r="BTI4" i="7"/>
  <c r="BTJ4" i="7"/>
  <c r="BTK4" i="7"/>
  <c r="BTL4" i="7"/>
  <c r="BTM4" i="7"/>
  <c r="BTN4" i="7"/>
  <c r="BTO4" i="7"/>
  <c r="BTP4" i="7"/>
  <c r="BTQ4" i="7"/>
  <c r="BTR4" i="7"/>
  <c r="BTS4" i="7"/>
  <c r="BTT4" i="7"/>
  <c r="BTU4" i="7"/>
  <c r="BTV4" i="7"/>
  <c r="BTW4" i="7"/>
  <c r="BTX4" i="7"/>
  <c r="BTY4" i="7"/>
  <c r="BTZ4" i="7"/>
  <c r="BUA4" i="7"/>
  <c r="BUB4" i="7"/>
  <c r="BUC4" i="7"/>
  <c r="BUD4" i="7"/>
  <c r="BUE4" i="7"/>
  <c r="BUF4" i="7"/>
  <c r="BUG4" i="7"/>
  <c r="BUH4" i="7"/>
  <c r="BUI4" i="7"/>
  <c r="BUJ4" i="7"/>
  <c r="BUK4" i="7"/>
  <c r="BUL4" i="7"/>
  <c r="BUM4" i="7"/>
  <c r="BUN4" i="7"/>
  <c r="BUO4" i="7"/>
  <c r="BUP4" i="7"/>
  <c r="BUQ4" i="7"/>
  <c r="BUR4" i="7"/>
  <c r="BUS4" i="7"/>
  <c r="BUT4" i="7"/>
  <c r="BUU4" i="7"/>
  <c r="BUV4" i="7"/>
  <c r="BUW4" i="7"/>
  <c r="BUX4" i="7"/>
  <c r="BUY4" i="7"/>
  <c r="BUZ4" i="7"/>
  <c r="BVA4" i="7"/>
  <c r="BVB4" i="7"/>
  <c r="BVC4" i="7"/>
  <c r="BVD4" i="7"/>
  <c r="BVE4" i="7"/>
  <c r="BVF4" i="7"/>
  <c r="BVG4" i="7"/>
  <c r="BVH4" i="7"/>
  <c r="BVI4" i="7"/>
  <c r="BVJ4" i="7"/>
  <c r="BVK4" i="7"/>
  <c r="BVL4" i="7"/>
  <c r="BVM4" i="7"/>
  <c r="BVN4" i="7"/>
  <c r="BVO4" i="7"/>
  <c r="BVP4" i="7"/>
  <c r="BVQ4" i="7"/>
  <c r="BVR4" i="7"/>
  <c r="BVS4" i="7"/>
  <c r="BVT4" i="7"/>
  <c r="BVU4" i="7"/>
  <c r="BVV4" i="7"/>
  <c r="BVW4" i="7"/>
  <c r="BVX4" i="7"/>
  <c r="BVY4" i="7"/>
  <c r="BVZ4" i="7"/>
  <c r="BWA4" i="7"/>
  <c r="BWB4" i="7"/>
  <c r="BWC4" i="7"/>
  <c r="BWD4" i="7"/>
  <c r="BWE4" i="7"/>
  <c r="BWF4" i="7"/>
  <c r="BWG4" i="7"/>
  <c r="BWH4" i="7"/>
  <c r="BWI4" i="7"/>
  <c r="BWJ4" i="7"/>
  <c r="BWK4" i="7"/>
  <c r="BWL4" i="7"/>
  <c r="BWM4" i="7"/>
  <c r="BWN4" i="7"/>
  <c r="BWO4" i="7"/>
  <c r="BWP4" i="7"/>
  <c r="BWQ4" i="7"/>
  <c r="BWR4" i="7"/>
  <c r="BWS4" i="7"/>
  <c r="BWT4" i="7"/>
  <c r="BWU4" i="7"/>
  <c r="BWV4" i="7"/>
  <c r="BWW4" i="7"/>
  <c r="BWX4" i="7"/>
  <c r="BWY4" i="7"/>
  <c r="BWZ4" i="7"/>
  <c r="BXA4" i="7"/>
  <c r="BXB4" i="7"/>
  <c r="BXC4" i="7"/>
  <c r="BXD4" i="7"/>
  <c r="BXE4" i="7"/>
  <c r="BXF4" i="7"/>
  <c r="BXG4" i="7"/>
  <c r="BXH4" i="7"/>
  <c r="BXI4" i="7"/>
  <c r="BXJ4" i="7"/>
  <c r="BXK4" i="7"/>
  <c r="BXL4" i="7"/>
  <c r="BXM4" i="7"/>
  <c r="BXN4" i="7"/>
  <c r="BXO4" i="7"/>
  <c r="BXP4" i="7"/>
  <c r="BXQ4" i="7"/>
  <c r="BXR4" i="7"/>
  <c r="BXS4" i="7"/>
  <c r="BXT4" i="7"/>
  <c r="BXU4" i="7"/>
  <c r="BXV4" i="7"/>
  <c r="BXW4" i="7"/>
  <c r="BXX4" i="7"/>
  <c r="BXY4" i="7"/>
  <c r="BXZ4" i="7"/>
  <c r="BYA4" i="7"/>
  <c r="BYB4" i="7"/>
  <c r="BYC4" i="7"/>
  <c r="BYD4" i="7"/>
  <c r="BYE4" i="7"/>
  <c r="BYF4" i="7"/>
  <c r="BYG4" i="7"/>
  <c r="BYH4" i="7"/>
  <c r="BYI4" i="7"/>
  <c r="BYJ4" i="7"/>
  <c r="BYK4" i="7"/>
  <c r="BYL4" i="7"/>
  <c r="BYM4" i="7"/>
  <c r="BYN4" i="7"/>
  <c r="BYO4" i="7"/>
  <c r="BYP4" i="7"/>
  <c r="BYQ4" i="7"/>
  <c r="BYR4" i="7"/>
  <c r="BYS4" i="7"/>
  <c r="BYT4" i="7"/>
  <c r="BYU4" i="7"/>
  <c r="BYV4" i="7"/>
  <c r="BYW4" i="7"/>
  <c r="BYX4" i="7"/>
  <c r="BYY4" i="7"/>
  <c r="BYZ4" i="7"/>
  <c r="BZA4" i="7"/>
  <c r="BZB4" i="7"/>
  <c r="BZC4" i="7"/>
  <c r="BZD4" i="7"/>
  <c r="BZE4" i="7"/>
  <c r="BZF4" i="7"/>
  <c r="BZG4" i="7"/>
  <c r="BZH4" i="7"/>
  <c r="BZI4" i="7"/>
  <c r="BZJ4" i="7"/>
  <c r="BZK4" i="7"/>
  <c r="BZL4" i="7"/>
  <c r="BZM4" i="7"/>
  <c r="BZN4" i="7"/>
  <c r="BZO4" i="7"/>
  <c r="BZP4" i="7"/>
  <c r="BZQ4" i="7"/>
  <c r="BZR4" i="7"/>
  <c r="BZS4" i="7"/>
  <c r="BZT4" i="7"/>
  <c r="BZU4" i="7"/>
  <c r="BZV4" i="7"/>
  <c r="BZW4" i="7"/>
  <c r="BZX4" i="7"/>
  <c r="BZY4" i="7"/>
  <c r="BZZ4" i="7"/>
  <c r="CAA4" i="7"/>
  <c r="CAB4" i="7"/>
  <c r="CAC4" i="7"/>
  <c r="CAD4" i="7"/>
  <c r="CAE4" i="7"/>
  <c r="CAF4" i="7"/>
  <c r="CAG4" i="7"/>
  <c r="CAH4" i="7"/>
  <c r="CAI4" i="7"/>
  <c r="CAJ4" i="7"/>
  <c r="CAK4" i="7"/>
  <c r="CAL4" i="7"/>
  <c r="CAM4" i="7"/>
  <c r="CAN4" i="7"/>
  <c r="CAO4" i="7"/>
  <c r="CAP4" i="7"/>
  <c r="CAQ4" i="7"/>
  <c r="CAR4" i="7"/>
  <c r="CAS4" i="7"/>
  <c r="CAT4" i="7"/>
  <c r="CAU4" i="7"/>
  <c r="CAV4" i="7"/>
  <c r="CAW4" i="7"/>
  <c r="CAX4" i="7"/>
  <c r="CAY4" i="7"/>
  <c r="CAZ4" i="7"/>
  <c r="CBA4" i="7"/>
  <c r="CBB4" i="7"/>
  <c r="CBC4" i="7"/>
  <c r="CBD4" i="7"/>
  <c r="CBE4" i="7"/>
  <c r="CBF4" i="7"/>
  <c r="CBG4" i="7"/>
  <c r="CBH4" i="7"/>
  <c r="CBI4" i="7"/>
  <c r="CBJ4" i="7"/>
  <c r="CBK4" i="7"/>
  <c r="CBL4" i="7"/>
  <c r="CBM4" i="7"/>
  <c r="CBN4" i="7"/>
  <c r="CBO4" i="7"/>
  <c r="CBP4" i="7"/>
  <c r="CBQ4" i="7"/>
  <c r="CBR4" i="7"/>
  <c r="CBS4" i="7"/>
  <c r="CBT4" i="7"/>
  <c r="CBU4" i="7"/>
  <c r="CBV4" i="7"/>
  <c r="CBW4" i="7"/>
  <c r="CBX4" i="7"/>
  <c r="CBY4" i="7"/>
  <c r="CBZ4" i="7"/>
  <c r="CCA4" i="7"/>
  <c r="CCB4" i="7"/>
  <c r="CCC4" i="7"/>
  <c r="CCD4" i="7"/>
  <c r="CCE4" i="7"/>
  <c r="CCF4" i="7"/>
  <c r="CCG4" i="7"/>
  <c r="CCH4" i="7"/>
  <c r="CCI4" i="7"/>
  <c r="CCJ4" i="7"/>
  <c r="CCK4" i="7"/>
  <c r="CCL4" i="7"/>
  <c r="CCM4" i="7"/>
  <c r="CCN4" i="7"/>
  <c r="CCO4" i="7"/>
  <c r="CCP4" i="7"/>
  <c r="CCQ4" i="7"/>
  <c r="CCR4" i="7"/>
  <c r="CCS4" i="7"/>
  <c r="CCT4" i="7"/>
  <c r="CCU4" i="7"/>
  <c r="CCV4" i="7"/>
  <c r="CCW4" i="7"/>
  <c r="CCX4" i="7"/>
  <c r="CCY4" i="7"/>
  <c r="CCZ4" i="7"/>
  <c r="CDA4" i="7"/>
  <c r="CDB4" i="7"/>
  <c r="CDC4" i="7"/>
  <c r="CDD4" i="7"/>
  <c r="CDE4" i="7"/>
  <c r="CDF4" i="7"/>
  <c r="CDG4" i="7"/>
  <c r="CDH4" i="7"/>
  <c r="CDI4" i="7"/>
  <c r="CDJ4" i="7"/>
  <c r="CDK4" i="7"/>
  <c r="CDL4" i="7"/>
  <c r="CDM4" i="7"/>
  <c r="CDN4" i="7"/>
  <c r="CDO4" i="7"/>
  <c r="CDP4" i="7"/>
  <c r="CDQ4" i="7"/>
  <c r="CDR4" i="7"/>
  <c r="CDS4" i="7"/>
  <c r="CDT4" i="7"/>
  <c r="CDU4" i="7"/>
  <c r="CDV4" i="7"/>
  <c r="CDW4" i="7"/>
  <c r="CDX4" i="7"/>
  <c r="CDY4" i="7"/>
  <c r="CDZ4" i="7"/>
  <c r="CEA4" i="7"/>
  <c r="CEB4" i="7"/>
  <c r="CEC4" i="7"/>
  <c r="CED4" i="7"/>
  <c r="CEE4" i="7"/>
  <c r="CEF4" i="7"/>
  <c r="CEG4" i="7"/>
  <c r="CEH4" i="7"/>
  <c r="CEI4" i="7"/>
  <c r="CEJ4" i="7"/>
  <c r="CEK4" i="7"/>
  <c r="CEL4" i="7"/>
  <c r="CEM4" i="7"/>
  <c r="CEN4" i="7"/>
  <c r="CEO4" i="7"/>
  <c r="CEP4" i="7"/>
  <c r="CEQ4" i="7"/>
  <c r="CER4" i="7"/>
  <c r="CES4" i="7"/>
  <c r="CET4" i="7"/>
  <c r="CEU4" i="7"/>
  <c r="CEV4" i="7"/>
  <c r="CEW4" i="7"/>
  <c r="CEX4" i="7"/>
  <c r="CEY4" i="7"/>
  <c r="CEZ4" i="7"/>
  <c r="CFA4" i="7"/>
  <c r="CFB4" i="7"/>
  <c r="CFC4" i="7"/>
  <c r="CFD4" i="7"/>
  <c r="CFE4" i="7"/>
  <c r="CFF4" i="7"/>
  <c r="CFG4" i="7"/>
  <c r="CFH4" i="7"/>
  <c r="CFI4" i="7"/>
  <c r="CFJ4" i="7"/>
  <c r="CFK4" i="7"/>
  <c r="CFL4" i="7"/>
  <c r="CFM4" i="7"/>
  <c r="CFN4" i="7"/>
  <c r="CFO4" i="7"/>
  <c r="CFP4" i="7"/>
  <c r="CFQ4" i="7"/>
  <c r="CFR4" i="7"/>
  <c r="CFS4" i="7"/>
  <c r="CFT4" i="7"/>
  <c r="CFU4" i="7"/>
  <c r="CFV4" i="7"/>
  <c r="CFW4" i="7"/>
  <c r="CFX4" i="7"/>
  <c r="CFY4" i="7"/>
  <c r="CFZ4" i="7"/>
  <c r="CGA4" i="7"/>
  <c r="CGB4" i="7"/>
  <c r="CGC4" i="7"/>
  <c r="CGD4" i="7"/>
  <c r="CGE4" i="7"/>
  <c r="CGF4" i="7"/>
  <c r="CGG4" i="7"/>
  <c r="CGH4" i="7"/>
  <c r="CGI4" i="7"/>
  <c r="CGJ4" i="7"/>
  <c r="CGK4" i="7"/>
  <c r="CGL4" i="7"/>
  <c r="CGM4" i="7"/>
  <c r="CGN4" i="7"/>
  <c r="CGO4" i="7"/>
  <c r="CGP4" i="7"/>
  <c r="CGQ4" i="7"/>
  <c r="CGR4" i="7"/>
  <c r="CGS4" i="7"/>
  <c r="CGT4" i="7"/>
  <c r="CGU4" i="7"/>
  <c r="CGV4" i="7"/>
  <c r="CGW4" i="7"/>
  <c r="CGX4" i="7"/>
  <c r="CGY4" i="7"/>
  <c r="CGZ4" i="7"/>
  <c r="CHA4" i="7"/>
  <c r="CHB4" i="7"/>
  <c r="CHC4" i="7"/>
  <c r="CHD4" i="7"/>
  <c r="CHE4" i="7"/>
  <c r="CHF4" i="7"/>
  <c r="CHG4" i="7"/>
  <c r="CHH4" i="7"/>
  <c r="CHI4" i="7"/>
  <c r="CHJ4" i="7"/>
  <c r="CHK4" i="7"/>
  <c r="CHL4" i="7"/>
  <c r="CHM4" i="7"/>
  <c r="CHN4" i="7"/>
  <c r="CHO4" i="7"/>
  <c r="CHP4" i="7"/>
  <c r="CHQ4" i="7"/>
  <c r="CHR4" i="7"/>
  <c r="CHS4" i="7"/>
  <c r="CHT4" i="7"/>
  <c r="CHU4" i="7"/>
  <c r="CHV4" i="7"/>
  <c r="CHW4" i="7"/>
  <c r="CHX4" i="7"/>
  <c r="CHY4" i="7"/>
  <c r="CHZ4" i="7"/>
  <c r="CIA4" i="7"/>
  <c r="CIB4" i="7"/>
  <c r="CIC4" i="7"/>
  <c r="CID4" i="7"/>
  <c r="CIE4" i="7"/>
  <c r="CIF4" i="7"/>
  <c r="CIG4" i="7"/>
  <c r="CIH4" i="7"/>
  <c r="CII4" i="7"/>
  <c r="CIJ4" i="7"/>
  <c r="CIK4" i="7"/>
  <c r="CIL4" i="7"/>
  <c r="CIM4" i="7"/>
  <c r="CIN4" i="7"/>
  <c r="CIO4" i="7"/>
  <c r="CIP4" i="7"/>
  <c r="CIQ4" i="7"/>
  <c r="CIR4" i="7"/>
  <c r="CIS4" i="7"/>
  <c r="CIT4" i="7"/>
  <c r="CIU4" i="7"/>
  <c r="CIV4" i="7"/>
  <c r="CIW4" i="7"/>
  <c r="CIX4" i="7"/>
  <c r="CIY4" i="7"/>
  <c r="CIZ4" i="7"/>
  <c r="CJA4" i="7"/>
  <c r="CJB4" i="7"/>
  <c r="CJC4" i="7"/>
  <c r="CJD4" i="7"/>
  <c r="CJE4" i="7"/>
  <c r="CJF4" i="7"/>
  <c r="CJG4" i="7"/>
  <c r="CJH4" i="7"/>
  <c r="CJI4" i="7"/>
  <c r="CJJ4" i="7"/>
  <c r="CJK4" i="7"/>
  <c r="CJL4" i="7"/>
  <c r="CJM4" i="7"/>
  <c r="CJN4" i="7"/>
  <c r="CJO4" i="7"/>
  <c r="CJP4" i="7"/>
  <c r="CJQ4" i="7"/>
  <c r="CJR4" i="7"/>
  <c r="CJS4" i="7"/>
  <c r="CJT4" i="7"/>
  <c r="CJU4" i="7"/>
  <c r="CJV4" i="7"/>
  <c r="CJW4" i="7"/>
  <c r="CJX4" i="7"/>
  <c r="CJY4" i="7"/>
  <c r="CJZ4" i="7"/>
  <c r="CKA4" i="7"/>
  <c r="CKB4" i="7"/>
  <c r="CKC4" i="7"/>
  <c r="CKD4" i="7"/>
  <c r="CKE4" i="7"/>
  <c r="CKF4" i="7"/>
  <c r="CKG4" i="7"/>
  <c r="CKH4" i="7"/>
  <c r="CKI4" i="7"/>
  <c r="CKJ4" i="7"/>
  <c r="CKK4" i="7"/>
  <c r="CKL4" i="7"/>
  <c r="CKM4" i="7"/>
  <c r="CKN4" i="7"/>
  <c r="CKO4" i="7"/>
  <c r="CKP4" i="7"/>
  <c r="CKQ4" i="7"/>
  <c r="CKR4" i="7"/>
  <c r="CKS4" i="7"/>
  <c r="CKT4" i="7"/>
  <c r="CKU4" i="7"/>
  <c r="CKV4" i="7"/>
  <c r="CKW4" i="7"/>
  <c r="CKX4" i="7"/>
  <c r="CKY4" i="7"/>
  <c r="CKZ4" i="7"/>
  <c r="CLA4" i="7"/>
  <c r="CLB4" i="7"/>
  <c r="CLC4" i="7"/>
  <c r="CLD4" i="7"/>
  <c r="CLE4" i="7"/>
  <c r="CLF4" i="7"/>
  <c r="CLG4" i="7"/>
  <c r="CLH4" i="7"/>
  <c r="CLI4" i="7"/>
  <c r="CLJ4" i="7"/>
  <c r="CLK4" i="7"/>
  <c r="CLL4" i="7"/>
  <c r="CLM4" i="7"/>
  <c r="CLN4" i="7"/>
  <c r="CLO4" i="7"/>
  <c r="CLP4" i="7"/>
  <c r="CLQ4" i="7"/>
  <c r="CLR4" i="7"/>
  <c r="CLS4" i="7"/>
  <c r="CLT4" i="7"/>
  <c r="CLU4" i="7"/>
  <c r="CLV4" i="7"/>
  <c r="CLW4" i="7"/>
  <c r="CLX4" i="7"/>
  <c r="CLY4" i="7"/>
  <c r="CLZ4" i="7"/>
  <c r="CMA4" i="7"/>
  <c r="CMB4" i="7"/>
  <c r="CMC4" i="7"/>
  <c r="CMD4" i="7"/>
  <c r="CME4" i="7"/>
  <c r="CMF4" i="7"/>
  <c r="CMG4" i="7"/>
  <c r="CMH4" i="7"/>
  <c r="CMI4" i="7"/>
  <c r="CMJ4" i="7"/>
  <c r="CMK4" i="7"/>
  <c r="CML4" i="7"/>
  <c r="CMM4" i="7"/>
  <c r="CMN4" i="7"/>
  <c r="CMO4" i="7"/>
  <c r="CMP4" i="7"/>
  <c r="CMQ4" i="7"/>
  <c r="CMR4" i="7"/>
  <c r="CMS4" i="7"/>
  <c r="CMT4" i="7"/>
  <c r="CMU4" i="7"/>
  <c r="CMV4" i="7"/>
  <c r="CMW4" i="7"/>
  <c r="CMX4" i="7"/>
  <c r="CMY4" i="7"/>
  <c r="CMZ4" i="7"/>
  <c r="CNA4" i="7"/>
  <c r="CNB4" i="7"/>
  <c r="CNC4" i="7"/>
  <c r="CND4" i="7"/>
  <c r="CNE4" i="7"/>
  <c r="CNF4" i="7"/>
  <c r="CNG4" i="7"/>
  <c r="CNH4" i="7"/>
  <c r="CNI4" i="7"/>
  <c r="CNJ4" i="7"/>
  <c r="CNK4" i="7"/>
  <c r="CNL4" i="7"/>
  <c r="CNM4" i="7"/>
  <c r="CNN4" i="7"/>
  <c r="CNO4" i="7"/>
  <c r="CNP4" i="7"/>
  <c r="CNQ4" i="7"/>
  <c r="CNR4" i="7"/>
  <c r="CNS4" i="7"/>
  <c r="CNT4" i="7"/>
  <c r="CNU4" i="7"/>
  <c r="CNV4" i="7"/>
  <c r="CNW4" i="7"/>
  <c r="CNX4" i="7"/>
  <c r="CNY4" i="7"/>
  <c r="CNZ4" i="7"/>
  <c r="COA4" i="7"/>
  <c r="COB4" i="7"/>
  <c r="COC4" i="7"/>
  <c r="COD4" i="7"/>
  <c r="COE4" i="7"/>
  <c r="COF4" i="7"/>
  <c r="COG4" i="7"/>
  <c r="COH4" i="7"/>
  <c r="COI4" i="7"/>
  <c r="COJ4" i="7"/>
  <c r="COK4" i="7"/>
  <c r="COL4" i="7"/>
  <c r="COM4" i="7"/>
  <c r="CON4" i="7"/>
  <c r="COO4" i="7"/>
  <c r="COP4" i="7"/>
  <c r="COQ4" i="7"/>
  <c r="COR4" i="7"/>
  <c r="COS4" i="7"/>
  <c r="COT4" i="7"/>
  <c r="COU4" i="7"/>
  <c r="COV4" i="7"/>
  <c r="COW4" i="7"/>
  <c r="COX4" i="7"/>
  <c r="COY4" i="7"/>
  <c r="COZ4" i="7"/>
  <c r="CPA4" i="7"/>
  <c r="CPB4" i="7"/>
  <c r="CPC4" i="7"/>
  <c r="CPD4" i="7"/>
  <c r="CPE4" i="7"/>
  <c r="CPF4" i="7"/>
  <c r="CPG4" i="7"/>
  <c r="CPH4" i="7"/>
  <c r="CPI4" i="7"/>
  <c r="CPJ4" i="7"/>
  <c r="CPK4" i="7"/>
  <c r="CPL4" i="7"/>
  <c r="CPM4" i="7"/>
  <c r="CPN4" i="7"/>
  <c r="CPO4" i="7"/>
  <c r="CPP4" i="7"/>
  <c r="CPQ4" i="7"/>
  <c r="CPR4" i="7"/>
  <c r="CPS4" i="7"/>
  <c r="CPT4" i="7"/>
  <c r="CPU4" i="7"/>
  <c r="CPV4" i="7"/>
  <c r="CPW4" i="7"/>
  <c r="CPX4" i="7"/>
  <c r="CPY4" i="7"/>
  <c r="CPZ4" i="7"/>
  <c r="CQA4" i="7"/>
  <c r="CQB4" i="7"/>
  <c r="CQC4" i="7"/>
  <c r="CQD4" i="7"/>
  <c r="CQE4" i="7"/>
  <c r="CQF4" i="7"/>
  <c r="CQG4" i="7"/>
  <c r="CQH4" i="7"/>
  <c r="CQI4" i="7"/>
  <c r="CQJ4" i="7"/>
  <c r="CQK4" i="7"/>
  <c r="CQL4" i="7"/>
  <c r="CQM4" i="7"/>
  <c r="CQN4" i="7"/>
  <c r="CQO4" i="7"/>
  <c r="CQP4" i="7"/>
  <c r="CQQ4" i="7"/>
  <c r="CQR4" i="7"/>
  <c r="CQS4" i="7"/>
  <c r="CQT4" i="7"/>
  <c r="CQU4" i="7"/>
  <c r="CQV4" i="7"/>
  <c r="CQW4" i="7"/>
  <c r="CQX4" i="7"/>
  <c r="CQY4" i="7"/>
  <c r="CQZ4" i="7"/>
  <c r="CRA4" i="7"/>
  <c r="CRB4" i="7"/>
  <c r="CRC4" i="7"/>
  <c r="CRD4" i="7"/>
  <c r="CRE4" i="7"/>
  <c r="CRF4" i="7"/>
  <c r="CRG4" i="7"/>
  <c r="CRH4" i="7"/>
  <c r="CRI4" i="7"/>
  <c r="CRJ4" i="7"/>
  <c r="CRK4" i="7"/>
  <c r="CRL4" i="7"/>
  <c r="CRM4" i="7"/>
  <c r="CRN4" i="7"/>
  <c r="CRO4" i="7"/>
  <c r="CRP4" i="7"/>
  <c r="CRQ4" i="7"/>
  <c r="CRR4" i="7"/>
  <c r="CRS4" i="7"/>
  <c r="CRT4" i="7"/>
  <c r="CRU4" i="7"/>
  <c r="CRV4" i="7"/>
  <c r="CRW4" i="7"/>
  <c r="CRX4" i="7"/>
  <c r="CRY4" i="7"/>
  <c r="CRZ4" i="7"/>
  <c r="CSA4" i="7"/>
  <c r="CSB4" i="7"/>
  <c r="CSC4" i="7"/>
  <c r="CSD4" i="7"/>
  <c r="CSE4" i="7"/>
  <c r="CSF4" i="7"/>
  <c r="CSG4" i="7"/>
  <c r="CSH4" i="7"/>
  <c r="CSI4" i="7"/>
  <c r="CSJ4" i="7"/>
  <c r="CSK4" i="7"/>
  <c r="CSL4" i="7"/>
  <c r="CSM4" i="7"/>
  <c r="CSN4" i="7"/>
  <c r="CSO4" i="7"/>
  <c r="CSP4" i="7"/>
  <c r="CSQ4" i="7"/>
  <c r="CSR4" i="7"/>
  <c r="CSS4" i="7"/>
  <c r="CST4" i="7"/>
  <c r="CSU4" i="7"/>
  <c r="CSV4" i="7"/>
  <c r="CSW4" i="7"/>
  <c r="CSX4" i="7"/>
  <c r="CSY4" i="7"/>
  <c r="CSZ4" i="7"/>
  <c r="CTA4" i="7"/>
  <c r="CTB4" i="7"/>
  <c r="CTC4" i="7"/>
  <c r="CTD4" i="7"/>
  <c r="CTE4" i="7"/>
  <c r="CTF4" i="7"/>
  <c r="CTG4" i="7"/>
  <c r="CTH4" i="7"/>
  <c r="CTI4" i="7"/>
  <c r="CTJ4" i="7"/>
  <c r="CTK4" i="7"/>
  <c r="CTL4" i="7"/>
  <c r="CTM4" i="7"/>
  <c r="CTN4" i="7"/>
  <c r="CTO4" i="7"/>
  <c r="CTP4" i="7"/>
  <c r="CTQ4" i="7"/>
  <c r="CTR4" i="7"/>
  <c r="CTS4" i="7"/>
  <c r="CTT4" i="7"/>
  <c r="CTU4" i="7"/>
  <c r="CTV4" i="7"/>
  <c r="CTW4" i="7"/>
  <c r="CTX4" i="7"/>
  <c r="CTY4" i="7"/>
  <c r="CTZ4" i="7"/>
  <c r="CUA4" i="7"/>
  <c r="CUB4" i="7"/>
  <c r="CUC4" i="7"/>
  <c r="CUD4" i="7"/>
  <c r="CUE4" i="7"/>
  <c r="CUF4" i="7"/>
  <c r="CUG4" i="7"/>
  <c r="CUH4" i="7"/>
  <c r="CUI4" i="7"/>
  <c r="CUJ4" i="7"/>
  <c r="CUK4" i="7"/>
  <c r="CUL4" i="7"/>
  <c r="CUM4" i="7"/>
  <c r="CUN4" i="7"/>
  <c r="CUO4" i="7"/>
  <c r="CUP4" i="7"/>
  <c r="CUQ4" i="7"/>
  <c r="CUR4" i="7"/>
  <c r="CUS4" i="7"/>
  <c r="CUT4" i="7"/>
  <c r="CUU4" i="7"/>
  <c r="CUV4" i="7"/>
  <c r="CUW4" i="7"/>
  <c r="CUX4" i="7"/>
  <c r="CUY4" i="7"/>
  <c r="CUZ4" i="7"/>
  <c r="CVA4" i="7"/>
  <c r="CVB4" i="7"/>
  <c r="CVC4" i="7"/>
  <c r="CVD4" i="7"/>
  <c r="CVE4" i="7"/>
  <c r="CVF4" i="7"/>
  <c r="CVG4" i="7"/>
  <c r="CVH4" i="7"/>
  <c r="CVI4" i="7"/>
  <c r="CVJ4" i="7"/>
  <c r="CVK4" i="7"/>
  <c r="CVL4" i="7"/>
  <c r="CVM4" i="7"/>
  <c r="CVN4" i="7"/>
  <c r="CVO4" i="7"/>
  <c r="CVP4" i="7"/>
  <c r="CVQ4" i="7"/>
  <c r="CVR4" i="7"/>
  <c r="CVS4" i="7"/>
  <c r="CVT4" i="7"/>
  <c r="CVU4" i="7"/>
  <c r="CVV4" i="7"/>
  <c r="CVW4" i="7"/>
  <c r="CVX4" i="7"/>
  <c r="CVY4" i="7"/>
  <c r="CVZ4" i="7"/>
  <c r="CWA4" i="7"/>
  <c r="CWB4" i="7"/>
  <c r="CWC4" i="7"/>
  <c r="CWD4" i="7"/>
  <c r="CWE4" i="7"/>
  <c r="CWF4" i="7"/>
  <c r="CWG4" i="7"/>
  <c r="CWH4" i="7"/>
  <c r="CWI4" i="7"/>
  <c r="CWJ4" i="7"/>
  <c r="CWK4" i="7"/>
  <c r="CWL4" i="7"/>
  <c r="CWM4" i="7"/>
  <c r="CWN4" i="7"/>
  <c r="CWO4" i="7"/>
  <c r="CWP4" i="7"/>
  <c r="CWQ4" i="7"/>
  <c r="CWR4" i="7"/>
  <c r="CWS4" i="7"/>
  <c r="CWT4" i="7"/>
  <c r="CWU4" i="7"/>
  <c r="CWV4" i="7"/>
  <c r="CWW4" i="7"/>
  <c r="CWX4" i="7"/>
  <c r="CWY4" i="7"/>
  <c r="CWZ4" i="7"/>
  <c r="CXA4" i="7"/>
  <c r="CXB4" i="7"/>
  <c r="CXC4" i="7"/>
  <c r="CXD4" i="7"/>
  <c r="CXE4" i="7"/>
  <c r="CXF4" i="7"/>
  <c r="CXG4" i="7"/>
  <c r="CXH4" i="7"/>
  <c r="CXI4" i="7"/>
  <c r="CXJ4" i="7"/>
  <c r="CXK4" i="7"/>
  <c r="CXL4" i="7"/>
  <c r="CXM4" i="7"/>
  <c r="CXN4" i="7"/>
  <c r="CXO4" i="7"/>
  <c r="CXP4" i="7"/>
  <c r="CXQ4" i="7"/>
  <c r="CXR4" i="7"/>
  <c r="CXS4" i="7"/>
  <c r="CXT4" i="7"/>
  <c r="CXU4" i="7"/>
  <c r="CXV4" i="7"/>
  <c r="CXW4" i="7"/>
  <c r="CXX4" i="7"/>
  <c r="CXY4" i="7"/>
  <c r="CXZ4" i="7"/>
  <c r="CYA4" i="7"/>
  <c r="CYB4" i="7"/>
  <c r="CYC4" i="7"/>
  <c r="CYD4" i="7"/>
  <c r="CYE4" i="7"/>
  <c r="CYF4" i="7"/>
  <c r="CYG4" i="7"/>
  <c r="CYH4" i="7"/>
  <c r="CYI4" i="7"/>
  <c r="CYJ4" i="7"/>
  <c r="CYK4" i="7"/>
  <c r="CYL4" i="7"/>
  <c r="CYM4" i="7"/>
  <c r="CYN4" i="7"/>
  <c r="CYO4" i="7"/>
  <c r="CYP4" i="7"/>
  <c r="CYQ4" i="7"/>
  <c r="CYR4" i="7"/>
  <c r="CYS4" i="7"/>
  <c r="CYT4" i="7"/>
  <c r="CYU4" i="7"/>
  <c r="CYV4" i="7"/>
  <c r="CYW4" i="7"/>
  <c r="CYX4" i="7"/>
  <c r="CYY4" i="7"/>
  <c r="CYZ4" i="7"/>
  <c r="CZA4" i="7"/>
  <c r="CZB4" i="7"/>
  <c r="CZC4" i="7"/>
  <c r="CZD4" i="7"/>
  <c r="CZE4" i="7"/>
  <c r="CZF4" i="7"/>
  <c r="CZG4" i="7"/>
  <c r="CZH4" i="7"/>
  <c r="CZI4" i="7"/>
  <c r="CZJ4" i="7"/>
  <c r="CZK4" i="7"/>
  <c r="CZL4" i="7"/>
  <c r="CZM4" i="7"/>
  <c r="CZN4" i="7"/>
  <c r="CZO4" i="7"/>
  <c r="CZP4" i="7"/>
  <c r="CZQ4" i="7"/>
  <c r="CZR4" i="7"/>
  <c r="CZS4" i="7"/>
  <c r="CZT4" i="7"/>
  <c r="CZU4" i="7"/>
  <c r="CZV4" i="7"/>
  <c r="CZW4" i="7"/>
  <c r="CZX4" i="7"/>
  <c r="CZY4" i="7"/>
  <c r="CZZ4" i="7"/>
  <c r="DAA4" i="7"/>
  <c r="DAB4" i="7"/>
  <c r="DAC4" i="7"/>
  <c r="DAD4" i="7"/>
  <c r="DAE4" i="7"/>
  <c r="DAF4" i="7"/>
  <c r="DAG4" i="7"/>
  <c r="DAH4" i="7"/>
  <c r="DAI4" i="7"/>
  <c r="DAJ4" i="7"/>
  <c r="DAK4" i="7"/>
  <c r="DAL4" i="7"/>
  <c r="DAM4" i="7"/>
  <c r="DAN4" i="7"/>
  <c r="DAO4" i="7"/>
  <c r="DAP4" i="7"/>
  <c r="DAQ4" i="7"/>
  <c r="DAR4" i="7"/>
  <c r="DAS4" i="7"/>
  <c r="DAT4" i="7"/>
  <c r="DAU4" i="7"/>
  <c r="DAV4" i="7"/>
  <c r="DAW4" i="7"/>
  <c r="DAX4" i="7"/>
  <c r="DAY4" i="7"/>
  <c r="DAZ4" i="7"/>
  <c r="DBA4" i="7"/>
  <c r="DBB4" i="7"/>
  <c r="DBC4" i="7"/>
  <c r="DBD4" i="7"/>
  <c r="DBE4" i="7"/>
  <c r="DBF4" i="7"/>
  <c r="DBG4" i="7"/>
  <c r="DBH4" i="7"/>
  <c r="DBI4" i="7"/>
  <c r="DBJ4" i="7"/>
  <c r="DBK4" i="7"/>
  <c r="DBL4" i="7"/>
  <c r="DBM4" i="7"/>
  <c r="DBN4" i="7"/>
  <c r="DBO4" i="7"/>
  <c r="DBP4" i="7"/>
  <c r="DBQ4" i="7"/>
  <c r="DBR4" i="7"/>
  <c r="DBS4" i="7"/>
  <c r="DBT4" i="7"/>
  <c r="DBU4" i="7"/>
  <c r="DBV4" i="7"/>
  <c r="DBW4" i="7"/>
  <c r="DBX4" i="7"/>
  <c r="DBY4" i="7"/>
  <c r="DBZ4" i="7"/>
  <c r="DCA4" i="7"/>
  <c r="DCB4" i="7"/>
  <c r="DCC4" i="7"/>
  <c r="DCD4" i="7"/>
  <c r="DCE4" i="7"/>
  <c r="DCF4" i="7"/>
  <c r="DCG4" i="7"/>
  <c r="DCH4" i="7"/>
  <c r="DCI4" i="7"/>
  <c r="DCJ4" i="7"/>
  <c r="DCK4" i="7"/>
  <c r="DCL4" i="7"/>
  <c r="DCM4" i="7"/>
  <c r="DCN4" i="7"/>
  <c r="DCO4" i="7"/>
  <c r="DCP4" i="7"/>
  <c r="DCQ4" i="7"/>
  <c r="DCR4" i="7"/>
  <c r="DCS4" i="7"/>
  <c r="DCT4" i="7"/>
  <c r="DCU4" i="7"/>
  <c r="DCV4" i="7"/>
  <c r="DCW4" i="7"/>
  <c r="DCX4" i="7"/>
  <c r="DCY4" i="7"/>
  <c r="DCZ4" i="7"/>
  <c r="DDA4" i="7"/>
  <c r="DDB4" i="7"/>
  <c r="DDC4" i="7"/>
  <c r="DDD4" i="7"/>
  <c r="DDE4" i="7"/>
  <c r="DDF4" i="7"/>
  <c r="DDG4" i="7"/>
  <c r="DDH4" i="7"/>
  <c r="DDI4" i="7"/>
  <c r="DDJ4" i="7"/>
  <c r="DDK4" i="7"/>
  <c r="DDL4" i="7"/>
  <c r="DDM4" i="7"/>
  <c r="DDN4" i="7"/>
  <c r="DDO4" i="7"/>
  <c r="DDP4" i="7"/>
  <c r="DDQ4" i="7"/>
  <c r="DDR4" i="7"/>
  <c r="DDS4" i="7"/>
  <c r="DDT4" i="7"/>
  <c r="DDU4" i="7"/>
  <c r="DDV4" i="7"/>
  <c r="DDW4" i="7"/>
  <c r="DDX4" i="7"/>
  <c r="DDY4" i="7"/>
  <c r="DDZ4" i="7"/>
  <c r="DEA4" i="7"/>
  <c r="DEB4" i="7"/>
  <c r="DEC4" i="7"/>
  <c r="DED4" i="7"/>
  <c r="DEE4" i="7"/>
  <c r="DEF4" i="7"/>
  <c r="DEG4" i="7"/>
  <c r="DEH4" i="7"/>
  <c r="DEI4" i="7"/>
  <c r="DEJ4" i="7"/>
  <c r="DEK4" i="7"/>
  <c r="DEL4" i="7"/>
  <c r="DEM4" i="7"/>
  <c r="DEN4" i="7"/>
  <c r="DEO4" i="7"/>
  <c r="DEP4" i="7"/>
  <c r="DEQ4" i="7"/>
  <c r="DER4" i="7"/>
  <c r="DES4" i="7"/>
  <c r="DET4" i="7"/>
  <c r="DEU4" i="7"/>
  <c r="DEV4" i="7"/>
  <c r="DEW4" i="7"/>
  <c r="DEX4" i="7"/>
  <c r="DEY4" i="7"/>
  <c r="DEZ4" i="7"/>
  <c r="DFA4" i="7"/>
  <c r="DFB4" i="7"/>
  <c r="DFC4" i="7"/>
  <c r="DFD4" i="7"/>
  <c r="DFE4" i="7"/>
  <c r="DFF4" i="7"/>
  <c r="DFG4" i="7"/>
  <c r="DFH4" i="7"/>
  <c r="DFI4" i="7"/>
  <c r="DFJ4" i="7"/>
  <c r="DFK4" i="7"/>
  <c r="DFL4" i="7"/>
  <c r="DFM4" i="7"/>
  <c r="DFN4" i="7"/>
  <c r="DFO4" i="7"/>
  <c r="DFP4" i="7"/>
  <c r="DFQ4" i="7"/>
  <c r="DFR4" i="7"/>
  <c r="DFS4" i="7"/>
  <c r="DFT4" i="7"/>
  <c r="DFU4" i="7"/>
  <c r="DFV4" i="7"/>
  <c r="DFW4" i="7"/>
  <c r="DFX4" i="7"/>
  <c r="DFY4" i="7"/>
  <c r="DFZ4" i="7"/>
  <c r="DGA4" i="7"/>
  <c r="DGB4" i="7"/>
  <c r="DGC4" i="7"/>
  <c r="DGD4" i="7"/>
  <c r="DGE4" i="7"/>
  <c r="DGF4" i="7"/>
  <c r="DGG4" i="7"/>
  <c r="DGH4" i="7"/>
  <c r="DGI4" i="7"/>
  <c r="DGJ4" i="7"/>
  <c r="DGK4" i="7"/>
  <c r="DGL4" i="7"/>
  <c r="DGM4" i="7"/>
  <c r="DGN4" i="7"/>
  <c r="DGO4" i="7"/>
  <c r="DGP4" i="7"/>
  <c r="DGQ4" i="7"/>
  <c r="DGR4" i="7"/>
  <c r="DGS4" i="7"/>
  <c r="DGT4" i="7"/>
  <c r="DGU4" i="7"/>
  <c r="DGV4" i="7"/>
  <c r="DGW4" i="7"/>
  <c r="DGX4" i="7"/>
  <c r="DGY4" i="7"/>
  <c r="DGZ4" i="7"/>
  <c r="DHA4" i="7"/>
  <c r="DHB4" i="7"/>
  <c r="DHC4" i="7"/>
  <c r="DHD4" i="7"/>
  <c r="DHE4" i="7"/>
  <c r="DHF4" i="7"/>
  <c r="DHG4" i="7"/>
  <c r="DHH4" i="7"/>
  <c r="DHI4" i="7"/>
  <c r="DHJ4" i="7"/>
  <c r="DHK4" i="7"/>
  <c r="DHL4" i="7"/>
  <c r="DHM4" i="7"/>
  <c r="DHN4" i="7"/>
  <c r="DHO4" i="7"/>
  <c r="DHP4" i="7"/>
  <c r="DHQ4" i="7"/>
  <c r="DHR4" i="7"/>
  <c r="DHS4" i="7"/>
  <c r="DHT4" i="7"/>
  <c r="DHU4" i="7"/>
  <c r="DHV4" i="7"/>
  <c r="DHW4" i="7"/>
  <c r="DHX4" i="7"/>
  <c r="DHY4" i="7"/>
  <c r="DHZ4" i="7"/>
  <c r="DIA4" i="7"/>
  <c r="DIB4" i="7"/>
  <c r="DIC4" i="7"/>
  <c r="DID4" i="7"/>
  <c r="DIE4" i="7"/>
  <c r="DIF4" i="7"/>
  <c r="DIG4" i="7"/>
  <c r="DIH4" i="7"/>
  <c r="DII4" i="7"/>
  <c r="DIJ4" i="7"/>
  <c r="DIK4" i="7"/>
  <c r="DIL4" i="7"/>
  <c r="DIM4" i="7"/>
  <c r="DIN4" i="7"/>
  <c r="DIO4" i="7"/>
  <c r="DIP4" i="7"/>
  <c r="DIQ4" i="7"/>
  <c r="DIR4" i="7"/>
  <c r="DIS4" i="7"/>
  <c r="DIT4" i="7"/>
  <c r="DIU4" i="7"/>
  <c r="DIV4" i="7"/>
  <c r="DIW4" i="7"/>
  <c r="DIX4" i="7"/>
  <c r="DIY4" i="7"/>
  <c r="DIZ4" i="7"/>
  <c r="DJA4" i="7"/>
  <c r="DJB4" i="7"/>
  <c r="DJC4" i="7"/>
  <c r="DJD4" i="7"/>
  <c r="DJE4" i="7"/>
  <c r="DJF4" i="7"/>
  <c r="DJG4" i="7"/>
  <c r="DJH4" i="7"/>
  <c r="DJI4" i="7"/>
  <c r="DJJ4" i="7"/>
  <c r="DJK4" i="7"/>
  <c r="DJL4" i="7"/>
  <c r="DJM4" i="7"/>
  <c r="DJN4" i="7"/>
  <c r="DJO4" i="7"/>
  <c r="DJP4" i="7"/>
  <c r="DJQ4" i="7"/>
  <c r="DJR4" i="7"/>
  <c r="DJS4" i="7"/>
  <c r="DJT4" i="7"/>
  <c r="DJU4" i="7"/>
  <c r="DJV4" i="7"/>
  <c r="DJW4" i="7"/>
  <c r="DJX4" i="7"/>
  <c r="DJY4" i="7"/>
  <c r="DJZ4" i="7"/>
  <c r="DKA4" i="7"/>
  <c r="DKB4" i="7"/>
  <c r="DKC4" i="7"/>
  <c r="DKD4" i="7"/>
  <c r="DKE4" i="7"/>
  <c r="DKF4" i="7"/>
  <c r="DKG4" i="7"/>
  <c r="DKH4" i="7"/>
  <c r="DKI4" i="7"/>
  <c r="DKJ4" i="7"/>
  <c r="DKK4" i="7"/>
  <c r="DKL4" i="7"/>
  <c r="DKM4" i="7"/>
  <c r="DKN4" i="7"/>
  <c r="DKO4" i="7"/>
  <c r="DKP4" i="7"/>
  <c r="DKQ4" i="7"/>
  <c r="DKR4" i="7"/>
  <c r="DKS4" i="7"/>
  <c r="DKT4" i="7"/>
  <c r="DKU4" i="7"/>
  <c r="DKV4" i="7"/>
  <c r="DKW4" i="7"/>
  <c r="DKX4" i="7"/>
  <c r="DKY4" i="7"/>
  <c r="DKZ4" i="7"/>
  <c r="DLA4" i="7"/>
  <c r="DLB4" i="7"/>
  <c r="DLC4" i="7"/>
  <c r="DLD4" i="7"/>
  <c r="DLE4" i="7"/>
  <c r="DLF4" i="7"/>
  <c r="DLG4" i="7"/>
  <c r="DLH4" i="7"/>
  <c r="DLI4" i="7"/>
  <c r="DLJ4" i="7"/>
  <c r="DLK4" i="7"/>
  <c r="DLL4" i="7"/>
  <c r="DLM4" i="7"/>
  <c r="DLN4" i="7"/>
  <c r="DLO4" i="7"/>
  <c r="DLP4" i="7"/>
  <c r="DLQ4" i="7"/>
  <c r="DLR4" i="7"/>
  <c r="DLS4" i="7"/>
  <c r="DLT4" i="7"/>
  <c r="DLU4" i="7"/>
  <c r="DLV4" i="7"/>
  <c r="DLW4" i="7"/>
  <c r="DLX4" i="7"/>
  <c r="DLY4" i="7"/>
  <c r="DLZ4" i="7"/>
  <c r="DMA4" i="7"/>
  <c r="DMB4" i="7"/>
  <c r="DMC4" i="7"/>
  <c r="DMD4" i="7"/>
  <c r="DME4" i="7"/>
  <c r="DMF4" i="7"/>
  <c r="DMG4" i="7"/>
  <c r="DMH4" i="7"/>
  <c r="DMI4" i="7"/>
  <c r="DMJ4" i="7"/>
  <c r="DMK4" i="7"/>
  <c r="DML4" i="7"/>
  <c r="DMM4" i="7"/>
  <c r="DMN4" i="7"/>
  <c r="DMO4" i="7"/>
  <c r="DMP4" i="7"/>
  <c r="DMQ4" i="7"/>
  <c r="DMR4" i="7"/>
  <c r="DMS4" i="7"/>
  <c r="DMT4" i="7"/>
  <c r="DMU4" i="7"/>
  <c r="DMV4" i="7"/>
  <c r="DMW4" i="7"/>
  <c r="DMX4" i="7"/>
  <c r="DMY4" i="7"/>
  <c r="DMZ4" i="7"/>
  <c r="DNA4" i="7"/>
  <c r="DNB4" i="7"/>
  <c r="DNC4" i="7"/>
  <c r="DND4" i="7"/>
  <c r="DNE4" i="7"/>
  <c r="DNF4" i="7"/>
  <c r="DNG4" i="7"/>
  <c r="DNH4" i="7"/>
  <c r="DNI4" i="7"/>
  <c r="DNJ4" i="7"/>
  <c r="DNK4" i="7"/>
  <c r="DNL4" i="7"/>
  <c r="DNM4" i="7"/>
  <c r="DNN4" i="7"/>
  <c r="DNO4" i="7"/>
  <c r="DNP4" i="7"/>
  <c r="DNQ4" i="7"/>
  <c r="DNR4" i="7"/>
  <c r="DNS4" i="7"/>
  <c r="DNT4" i="7"/>
  <c r="DNU4" i="7"/>
  <c r="DNV4" i="7"/>
  <c r="DNW4" i="7"/>
  <c r="DNX4" i="7"/>
  <c r="DNY4" i="7"/>
  <c r="DNZ4" i="7"/>
  <c r="DOA4" i="7"/>
  <c r="DOB4" i="7"/>
  <c r="DOC4" i="7"/>
  <c r="DOD4" i="7"/>
  <c r="DOE4" i="7"/>
  <c r="DOF4" i="7"/>
  <c r="DOG4" i="7"/>
  <c r="DOH4" i="7"/>
  <c r="DOI4" i="7"/>
  <c r="DOJ4" i="7"/>
  <c r="DOK4" i="7"/>
  <c r="DOL4" i="7"/>
  <c r="DOM4" i="7"/>
  <c r="DON4" i="7"/>
  <c r="DOO4" i="7"/>
  <c r="DOP4" i="7"/>
  <c r="DOQ4" i="7"/>
  <c r="DOR4" i="7"/>
  <c r="DOS4" i="7"/>
  <c r="DOT4" i="7"/>
  <c r="DOU4" i="7"/>
  <c r="DOV4" i="7"/>
  <c r="DOW4" i="7"/>
  <c r="DOX4" i="7"/>
  <c r="DOY4" i="7"/>
  <c r="DOZ4" i="7"/>
  <c r="DPA4" i="7"/>
  <c r="DPB4" i="7"/>
  <c r="DPC4" i="7"/>
  <c r="DPD4" i="7"/>
  <c r="DPE4" i="7"/>
  <c r="DPF4" i="7"/>
  <c r="DPG4" i="7"/>
  <c r="DPH4" i="7"/>
  <c r="DPI4" i="7"/>
  <c r="DPJ4" i="7"/>
  <c r="DPK4" i="7"/>
  <c r="DPL4" i="7"/>
  <c r="DPM4" i="7"/>
  <c r="DPN4" i="7"/>
  <c r="DPO4" i="7"/>
  <c r="DPP4" i="7"/>
  <c r="DPQ4" i="7"/>
  <c r="DPR4" i="7"/>
  <c r="DPS4" i="7"/>
  <c r="DPT4" i="7"/>
  <c r="DPU4" i="7"/>
  <c r="DPV4" i="7"/>
  <c r="DPW4" i="7"/>
  <c r="DPX4" i="7"/>
  <c r="DPY4" i="7"/>
  <c r="DPZ4" i="7"/>
  <c r="DQA4" i="7"/>
  <c r="DQB4" i="7"/>
  <c r="DQC4" i="7"/>
  <c r="DQD4" i="7"/>
  <c r="DQE4" i="7"/>
  <c r="DQF4" i="7"/>
  <c r="DQG4" i="7"/>
  <c r="DQH4" i="7"/>
  <c r="DQI4" i="7"/>
  <c r="DQJ4" i="7"/>
  <c r="DQK4" i="7"/>
  <c r="DQL4" i="7"/>
  <c r="DQM4" i="7"/>
  <c r="DQN4" i="7"/>
  <c r="DQO4" i="7"/>
  <c r="DQP4" i="7"/>
  <c r="DQQ4" i="7"/>
  <c r="DQR4" i="7"/>
  <c r="DQS4" i="7"/>
  <c r="DQT4" i="7"/>
  <c r="DQU4" i="7"/>
  <c r="DQV4" i="7"/>
  <c r="DQW4" i="7"/>
  <c r="DQX4" i="7"/>
  <c r="DQY4" i="7"/>
  <c r="DQZ4" i="7"/>
  <c r="DRA4" i="7"/>
  <c r="DRB4" i="7"/>
  <c r="DRC4" i="7"/>
  <c r="DRD4" i="7"/>
  <c r="DRE4" i="7"/>
  <c r="DRF4" i="7"/>
  <c r="DRG4" i="7"/>
  <c r="DRH4" i="7"/>
  <c r="DRI4" i="7"/>
  <c r="DRJ4" i="7"/>
  <c r="DRK4" i="7"/>
  <c r="DRL4" i="7"/>
  <c r="DRM4" i="7"/>
  <c r="DRN4" i="7"/>
  <c r="DRO4" i="7"/>
  <c r="DRP4" i="7"/>
  <c r="DRQ4" i="7"/>
  <c r="DRR4" i="7"/>
  <c r="DRS4" i="7"/>
  <c r="DRT4" i="7"/>
  <c r="DRU4" i="7"/>
  <c r="DRV4" i="7"/>
  <c r="DRW4" i="7"/>
  <c r="DRX4" i="7"/>
  <c r="DRY4" i="7"/>
  <c r="DRZ4" i="7"/>
  <c r="DSA4" i="7"/>
  <c r="DSB4" i="7"/>
  <c r="DSC4" i="7"/>
  <c r="DSD4" i="7"/>
  <c r="DSE4" i="7"/>
  <c r="DSF4" i="7"/>
  <c r="DSG4" i="7"/>
  <c r="DSH4" i="7"/>
  <c r="DSI4" i="7"/>
  <c r="DSJ4" i="7"/>
  <c r="DSK4" i="7"/>
  <c r="DSL4" i="7"/>
  <c r="DSM4" i="7"/>
  <c r="DSN4" i="7"/>
  <c r="DSO4" i="7"/>
  <c r="DSP4" i="7"/>
  <c r="DSQ4" i="7"/>
  <c r="DSR4" i="7"/>
  <c r="DSS4" i="7"/>
  <c r="DST4" i="7"/>
  <c r="DSU4" i="7"/>
  <c r="DSV4" i="7"/>
  <c r="DSW4" i="7"/>
  <c r="DSX4" i="7"/>
  <c r="DSY4" i="7"/>
  <c r="DSZ4" i="7"/>
  <c r="DTA4" i="7"/>
  <c r="DTB4" i="7"/>
  <c r="DTC4" i="7"/>
  <c r="DTD4" i="7"/>
  <c r="DTE4" i="7"/>
  <c r="DTF4" i="7"/>
  <c r="DTG4" i="7"/>
  <c r="DTH4" i="7"/>
  <c r="DTI4" i="7"/>
  <c r="DTJ4" i="7"/>
  <c r="DTK4" i="7"/>
  <c r="DTL4" i="7"/>
  <c r="DTM4" i="7"/>
  <c r="DTN4" i="7"/>
  <c r="DTO4" i="7"/>
  <c r="DTP4" i="7"/>
  <c r="DTQ4" i="7"/>
  <c r="DTR4" i="7"/>
  <c r="DTS4" i="7"/>
  <c r="DTT4" i="7"/>
  <c r="DTU4" i="7"/>
  <c r="DTV4" i="7"/>
  <c r="DTW4" i="7"/>
  <c r="DTX4" i="7"/>
  <c r="DTY4" i="7"/>
  <c r="DTZ4" i="7"/>
  <c r="DUA4" i="7"/>
  <c r="DUB4" i="7"/>
  <c r="DUC4" i="7"/>
  <c r="DUD4" i="7"/>
  <c r="DUE4" i="7"/>
  <c r="DUF4" i="7"/>
  <c r="DUG4" i="7"/>
  <c r="DUH4" i="7"/>
  <c r="DUI4" i="7"/>
  <c r="DUJ4" i="7"/>
  <c r="DUK4" i="7"/>
  <c r="DUL4" i="7"/>
  <c r="DUM4" i="7"/>
  <c r="DUN4" i="7"/>
  <c r="DUO4" i="7"/>
  <c r="DUP4" i="7"/>
  <c r="DUQ4" i="7"/>
  <c r="DUR4" i="7"/>
  <c r="DUS4" i="7"/>
  <c r="DUT4" i="7"/>
  <c r="DUU4" i="7"/>
  <c r="DUV4" i="7"/>
  <c r="DUW4" i="7"/>
  <c r="DUX4" i="7"/>
  <c r="DUY4" i="7"/>
  <c r="DUZ4" i="7"/>
  <c r="DVA4" i="7"/>
  <c r="DVB4" i="7"/>
  <c r="DVC4" i="7"/>
  <c r="DVD4" i="7"/>
  <c r="DVE4" i="7"/>
  <c r="DVF4" i="7"/>
  <c r="DVG4" i="7"/>
  <c r="DVH4" i="7"/>
  <c r="DVI4" i="7"/>
  <c r="DVJ4" i="7"/>
  <c r="DVK4" i="7"/>
  <c r="DVL4" i="7"/>
  <c r="DVM4" i="7"/>
  <c r="DVN4" i="7"/>
  <c r="DVO4" i="7"/>
  <c r="DVP4" i="7"/>
  <c r="DVQ4" i="7"/>
  <c r="DVR4" i="7"/>
  <c r="DVS4" i="7"/>
  <c r="DVT4" i="7"/>
  <c r="DVU4" i="7"/>
  <c r="DVV4" i="7"/>
  <c r="DVW4" i="7"/>
  <c r="DVX4" i="7"/>
  <c r="DVY4" i="7"/>
  <c r="DVZ4" i="7"/>
  <c r="DWA4" i="7"/>
  <c r="DWB4" i="7"/>
  <c r="DWC4" i="7"/>
  <c r="DWD4" i="7"/>
  <c r="DWE4" i="7"/>
  <c r="DWF4" i="7"/>
  <c r="DWG4" i="7"/>
  <c r="DWH4" i="7"/>
  <c r="DWI4" i="7"/>
  <c r="DWJ4" i="7"/>
  <c r="DWK4" i="7"/>
  <c r="DWL4" i="7"/>
  <c r="DWM4" i="7"/>
  <c r="DWN4" i="7"/>
  <c r="DWO4" i="7"/>
  <c r="DWP4" i="7"/>
  <c r="DWQ4" i="7"/>
  <c r="DWR4" i="7"/>
  <c r="DWS4" i="7"/>
  <c r="DWT4" i="7"/>
  <c r="DWU4" i="7"/>
  <c r="DWV4" i="7"/>
  <c r="DWW4" i="7"/>
  <c r="DWX4" i="7"/>
  <c r="DWY4" i="7"/>
  <c r="DWZ4" i="7"/>
  <c r="DXA4" i="7"/>
  <c r="DXB4" i="7"/>
  <c r="DXC4" i="7"/>
  <c r="DXD4" i="7"/>
  <c r="DXE4" i="7"/>
  <c r="DXF4" i="7"/>
  <c r="DXG4" i="7"/>
  <c r="DXH4" i="7"/>
  <c r="DXI4" i="7"/>
  <c r="DXJ4" i="7"/>
  <c r="DXK4" i="7"/>
  <c r="DXL4" i="7"/>
  <c r="DXM4" i="7"/>
  <c r="DXN4" i="7"/>
  <c r="DXO4" i="7"/>
  <c r="DXP4" i="7"/>
  <c r="DXQ4" i="7"/>
  <c r="DXR4" i="7"/>
  <c r="DXS4" i="7"/>
  <c r="DXT4" i="7"/>
  <c r="DXU4" i="7"/>
  <c r="DXV4" i="7"/>
  <c r="DXW4" i="7"/>
  <c r="DXX4" i="7"/>
  <c r="DXY4" i="7"/>
  <c r="DXZ4" i="7"/>
  <c r="DYA4" i="7"/>
  <c r="DYB4" i="7"/>
  <c r="DYC4" i="7"/>
  <c r="DYD4" i="7"/>
  <c r="DYE4" i="7"/>
  <c r="DYF4" i="7"/>
  <c r="DYG4" i="7"/>
  <c r="DYH4" i="7"/>
  <c r="DYI4" i="7"/>
  <c r="DYJ4" i="7"/>
  <c r="DYK4" i="7"/>
  <c r="DYL4" i="7"/>
  <c r="DYM4" i="7"/>
  <c r="DYN4" i="7"/>
  <c r="DYO4" i="7"/>
  <c r="DYP4" i="7"/>
  <c r="DYQ4" i="7"/>
  <c r="DYR4" i="7"/>
  <c r="DYS4" i="7"/>
  <c r="DYT4" i="7"/>
  <c r="DYU4" i="7"/>
  <c r="DYV4" i="7"/>
  <c r="DYW4" i="7"/>
  <c r="DYX4" i="7"/>
  <c r="DYY4" i="7"/>
  <c r="DYZ4" i="7"/>
  <c r="DZA4" i="7"/>
  <c r="DZB4" i="7"/>
  <c r="DZC4" i="7"/>
  <c r="DZD4" i="7"/>
  <c r="DZE4" i="7"/>
  <c r="DZF4" i="7"/>
  <c r="DZG4" i="7"/>
  <c r="DZH4" i="7"/>
  <c r="DZI4" i="7"/>
  <c r="DZJ4" i="7"/>
  <c r="DZK4" i="7"/>
  <c r="DZL4" i="7"/>
  <c r="DZM4" i="7"/>
  <c r="DZN4" i="7"/>
  <c r="DZO4" i="7"/>
  <c r="DZP4" i="7"/>
  <c r="DZQ4" i="7"/>
  <c r="DZR4" i="7"/>
  <c r="DZS4" i="7"/>
  <c r="DZT4" i="7"/>
  <c r="DZU4" i="7"/>
  <c r="DZV4" i="7"/>
  <c r="DZW4" i="7"/>
  <c r="DZX4" i="7"/>
  <c r="DZY4" i="7"/>
  <c r="DZZ4" i="7"/>
  <c r="EAA4" i="7"/>
  <c r="EAB4" i="7"/>
  <c r="EAC4" i="7"/>
  <c r="EAD4" i="7"/>
  <c r="EAE4" i="7"/>
  <c r="EAF4" i="7"/>
  <c r="EAG4" i="7"/>
  <c r="EAH4" i="7"/>
  <c r="EAI4" i="7"/>
  <c r="EAJ4" i="7"/>
  <c r="EAK4" i="7"/>
  <c r="EAL4" i="7"/>
  <c r="EAM4" i="7"/>
  <c r="EAN4" i="7"/>
  <c r="EAO4" i="7"/>
  <c r="EAP4" i="7"/>
  <c r="EAQ4" i="7"/>
  <c r="EAR4" i="7"/>
  <c r="EAS4" i="7"/>
  <c r="EAT4" i="7"/>
  <c r="EAU4" i="7"/>
  <c r="EAV4" i="7"/>
  <c r="EAW4" i="7"/>
  <c r="EAX4" i="7"/>
  <c r="EAY4" i="7"/>
  <c r="EAZ4" i="7"/>
  <c r="EBA4" i="7"/>
  <c r="EBB4" i="7"/>
  <c r="EBC4" i="7"/>
  <c r="EBD4" i="7"/>
  <c r="EBE4" i="7"/>
  <c r="EBF4" i="7"/>
  <c r="EBG4" i="7"/>
  <c r="EBH4" i="7"/>
  <c r="EBI4" i="7"/>
  <c r="EBJ4" i="7"/>
  <c r="EBK4" i="7"/>
  <c r="EBL4" i="7"/>
  <c r="EBM4" i="7"/>
  <c r="EBN4" i="7"/>
  <c r="EBO4" i="7"/>
  <c r="EBP4" i="7"/>
  <c r="EBQ4" i="7"/>
  <c r="EBR4" i="7"/>
  <c r="EBS4" i="7"/>
  <c r="EBT4" i="7"/>
  <c r="EBU4" i="7"/>
  <c r="EBV4" i="7"/>
  <c r="EBW4" i="7"/>
  <c r="EBX4" i="7"/>
  <c r="EBY4" i="7"/>
  <c r="EBZ4" i="7"/>
  <c r="ECA4" i="7"/>
  <c r="ECB4" i="7"/>
  <c r="ECC4" i="7"/>
  <c r="ECD4" i="7"/>
  <c r="ECE4" i="7"/>
  <c r="ECF4" i="7"/>
  <c r="ECG4" i="7"/>
  <c r="ECH4" i="7"/>
  <c r="ECI4" i="7"/>
  <c r="ECJ4" i="7"/>
  <c r="ECK4" i="7"/>
  <c r="ECL4" i="7"/>
  <c r="ECM4" i="7"/>
  <c r="ECN4" i="7"/>
  <c r="ECO4" i="7"/>
  <c r="ECP4" i="7"/>
  <c r="ECQ4" i="7"/>
  <c r="ECR4" i="7"/>
  <c r="ECS4" i="7"/>
  <c r="ECT4" i="7"/>
  <c r="ECU4" i="7"/>
  <c r="ECV4" i="7"/>
  <c r="ECW4" i="7"/>
  <c r="ECX4" i="7"/>
  <c r="ECY4" i="7"/>
  <c r="ECZ4" i="7"/>
  <c r="EDA4" i="7"/>
  <c r="EDB4" i="7"/>
  <c r="EDC4" i="7"/>
  <c r="EDD4" i="7"/>
  <c r="EDE4" i="7"/>
  <c r="EDF4" i="7"/>
  <c r="EDG4" i="7"/>
  <c r="EDH4" i="7"/>
  <c r="EDI4" i="7"/>
  <c r="EDJ4" i="7"/>
  <c r="EDK4" i="7"/>
  <c r="EDL4" i="7"/>
  <c r="EDM4" i="7"/>
  <c r="EDN4" i="7"/>
  <c r="EDO4" i="7"/>
  <c r="EDP4" i="7"/>
  <c r="EDQ4" i="7"/>
  <c r="EDR4" i="7"/>
  <c r="EDS4" i="7"/>
  <c r="EDT4" i="7"/>
  <c r="EDU4" i="7"/>
  <c r="EDV4" i="7"/>
  <c r="EDW4" i="7"/>
  <c r="EDX4" i="7"/>
  <c r="EDY4" i="7"/>
  <c r="EDZ4" i="7"/>
  <c r="EEA4" i="7"/>
  <c r="EEB4" i="7"/>
  <c r="EEC4" i="7"/>
  <c r="EED4" i="7"/>
  <c r="EEE4" i="7"/>
  <c r="EEF4" i="7"/>
  <c r="EEG4" i="7"/>
  <c r="EEH4" i="7"/>
  <c r="EEI4" i="7"/>
  <c r="EEJ4" i="7"/>
  <c r="EEK4" i="7"/>
  <c r="EEL4" i="7"/>
  <c r="EEM4" i="7"/>
  <c r="EEN4" i="7"/>
  <c r="EEO4" i="7"/>
  <c r="EEP4" i="7"/>
  <c r="EEQ4" i="7"/>
  <c r="EER4" i="7"/>
  <c r="EES4" i="7"/>
  <c r="EET4" i="7"/>
  <c r="EEU4" i="7"/>
  <c r="EEV4" i="7"/>
  <c r="EEW4" i="7"/>
  <c r="EEX4" i="7"/>
  <c r="EEY4" i="7"/>
  <c r="EEZ4" i="7"/>
  <c r="EFA4" i="7"/>
  <c r="EFB4" i="7"/>
  <c r="EFC4" i="7"/>
  <c r="EFD4" i="7"/>
  <c r="EFE4" i="7"/>
  <c r="EFF4" i="7"/>
  <c r="EFG4" i="7"/>
  <c r="EFH4" i="7"/>
  <c r="EFI4" i="7"/>
  <c r="EFJ4" i="7"/>
  <c r="EFK4" i="7"/>
  <c r="EFL4" i="7"/>
  <c r="EFM4" i="7"/>
  <c r="EFN4" i="7"/>
  <c r="EFO4" i="7"/>
  <c r="EFP4" i="7"/>
  <c r="EFQ4" i="7"/>
  <c r="EFR4" i="7"/>
  <c r="EFS4" i="7"/>
  <c r="EFT4" i="7"/>
  <c r="EFU4" i="7"/>
  <c r="EFV4" i="7"/>
  <c r="EFW4" i="7"/>
  <c r="EFX4" i="7"/>
  <c r="EFY4" i="7"/>
  <c r="EFZ4" i="7"/>
  <c r="EGA4" i="7"/>
  <c r="EGB4" i="7"/>
  <c r="EGC4" i="7"/>
  <c r="EGD4" i="7"/>
  <c r="EGE4" i="7"/>
  <c r="EGF4" i="7"/>
  <c r="EGG4" i="7"/>
  <c r="EGH4" i="7"/>
  <c r="EGI4" i="7"/>
  <c r="EGJ4" i="7"/>
  <c r="EGK4" i="7"/>
  <c r="EGL4" i="7"/>
  <c r="EGM4" i="7"/>
  <c r="EGN4" i="7"/>
  <c r="EGO4" i="7"/>
  <c r="EGP4" i="7"/>
  <c r="EGQ4" i="7"/>
  <c r="EGR4" i="7"/>
  <c r="EGS4" i="7"/>
  <c r="EGT4" i="7"/>
  <c r="EGU4" i="7"/>
  <c r="EGV4" i="7"/>
  <c r="EGW4" i="7"/>
  <c r="EGX4" i="7"/>
  <c r="EGY4" i="7"/>
  <c r="EGZ4" i="7"/>
  <c r="EHA4" i="7"/>
  <c r="EHB4" i="7"/>
  <c r="EHC4" i="7"/>
  <c r="EHD4" i="7"/>
  <c r="EHE4" i="7"/>
  <c r="EHF4" i="7"/>
  <c r="EHG4" i="7"/>
  <c r="EHH4" i="7"/>
  <c r="EHI4" i="7"/>
  <c r="EHJ4" i="7"/>
  <c r="EHK4" i="7"/>
  <c r="EHL4" i="7"/>
  <c r="EHM4" i="7"/>
  <c r="EHN4" i="7"/>
  <c r="EHO4" i="7"/>
  <c r="EHP4" i="7"/>
  <c r="EHQ4" i="7"/>
  <c r="EHR4" i="7"/>
  <c r="EHS4" i="7"/>
  <c r="EHT4" i="7"/>
  <c r="EHU4" i="7"/>
  <c r="EHV4" i="7"/>
  <c r="EHW4" i="7"/>
  <c r="EHX4" i="7"/>
  <c r="EHY4" i="7"/>
  <c r="EHZ4" i="7"/>
  <c r="EIA4" i="7"/>
  <c r="EIB4" i="7"/>
  <c r="EIC4" i="7"/>
  <c r="EID4" i="7"/>
  <c r="EIE4" i="7"/>
  <c r="EIF4" i="7"/>
  <c r="EIG4" i="7"/>
  <c r="EIH4" i="7"/>
  <c r="EII4" i="7"/>
  <c r="EIJ4" i="7"/>
  <c r="EIK4" i="7"/>
  <c r="EIL4" i="7"/>
  <c r="EIM4" i="7"/>
  <c r="EIN4" i="7"/>
  <c r="EIO4" i="7"/>
  <c r="EIP4" i="7"/>
  <c r="EIQ4" i="7"/>
  <c r="EIR4" i="7"/>
  <c r="EIS4" i="7"/>
  <c r="EIT4" i="7"/>
  <c r="EIU4" i="7"/>
  <c r="EIV4" i="7"/>
  <c r="EIW4" i="7"/>
  <c r="EIX4" i="7"/>
  <c r="EIY4" i="7"/>
  <c r="EIZ4" i="7"/>
  <c r="EJA4" i="7"/>
  <c r="EJB4" i="7"/>
  <c r="EJC4" i="7"/>
  <c r="EJD4" i="7"/>
  <c r="EJE4" i="7"/>
  <c r="EJF4" i="7"/>
  <c r="EJG4" i="7"/>
  <c r="EJH4" i="7"/>
  <c r="EJI4" i="7"/>
  <c r="EJJ4" i="7"/>
  <c r="EJK4" i="7"/>
  <c r="EJL4" i="7"/>
  <c r="EJM4" i="7"/>
  <c r="EJN4" i="7"/>
  <c r="EJO4" i="7"/>
  <c r="EJP4" i="7"/>
  <c r="EJQ4" i="7"/>
  <c r="EJR4" i="7"/>
  <c r="EJS4" i="7"/>
  <c r="EJT4" i="7"/>
  <c r="EJU4" i="7"/>
  <c r="EJV4" i="7"/>
  <c r="EJW4" i="7"/>
  <c r="EJX4" i="7"/>
  <c r="EJY4" i="7"/>
  <c r="EJZ4" i="7"/>
  <c r="EKA4" i="7"/>
  <c r="EKB4" i="7"/>
  <c r="EKC4" i="7"/>
  <c r="EKD4" i="7"/>
  <c r="EKE4" i="7"/>
  <c r="EKF4" i="7"/>
  <c r="EKG4" i="7"/>
  <c r="EKH4" i="7"/>
  <c r="EKI4" i="7"/>
  <c r="EKJ4" i="7"/>
  <c r="EKK4" i="7"/>
  <c r="EKL4" i="7"/>
  <c r="EKM4" i="7"/>
  <c r="EKN4" i="7"/>
  <c r="EKO4" i="7"/>
  <c r="EKP4" i="7"/>
  <c r="EKQ4" i="7"/>
  <c r="EKR4" i="7"/>
  <c r="EKS4" i="7"/>
  <c r="EKT4" i="7"/>
  <c r="EKU4" i="7"/>
  <c r="EKV4" i="7"/>
  <c r="EKW4" i="7"/>
  <c r="EKX4" i="7"/>
  <c r="EKY4" i="7"/>
  <c r="EKZ4" i="7"/>
  <c r="ELA4" i="7"/>
  <c r="ELB4" i="7"/>
  <c r="ELC4" i="7"/>
  <c r="ELD4" i="7"/>
  <c r="ELE4" i="7"/>
  <c r="ELF4" i="7"/>
  <c r="ELG4" i="7"/>
  <c r="ELH4" i="7"/>
  <c r="ELI4" i="7"/>
  <c r="ELJ4" i="7"/>
  <c r="ELK4" i="7"/>
  <c r="ELL4" i="7"/>
  <c r="ELM4" i="7"/>
  <c r="ELN4" i="7"/>
  <c r="ELO4" i="7"/>
  <c r="ELP4" i="7"/>
  <c r="ELQ4" i="7"/>
  <c r="ELR4" i="7"/>
  <c r="ELS4" i="7"/>
  <c r="ELT4" i="7"/>
  <c r="ELU4" i="7"/>
  <c r="ELV4" i="7"/>
  <c r="ELW4" i="7"/>
  <c r="ELX4" i="7"/>
  <c r="ELY4" i="7"/>
  <c r="ELZ4" i="7"/>
  <c r="EMA4" i="7"/>
  <c r="EMB4" i="7"/>
  <c r="EMC4" i="7"/>
  <c r="EMD4" i="7"/>
  <c r="EME4" i="7"/>
  <c r="EMF4" i="7"/>
  <c r="EMG4" i="7"/>
  <c r="EMH4" i="7"/>
  <c r="EMI4" i="7"/>
  <c r="EMJ4" i="7"/>
  <c r="EMK4" i="7"/>
  <c r="EML4" i="7"/>
  <c r="EMM4" i="7"/>
  <c r="EMN4" i="7"/>
  <c r="EMO4" i="7"/>
  <c r="EMP4" i="7"/>
  <c r="EMQ4" i="7"/>
  <c r="EMR4" i="7"/>
  <c r="EMS4" i="7"/>
  <c r="EMT4" i="7"/>
  <c r="EMU4" i="7"/>
  <c r="EMV4" i="7"/>
  <c r="EMW4" i="7"/>
  <c r="EMX4" i="7"/>
  <c r="EMY4" i="7"/>
  <c r="EMZ4" i="7"/>
  <c r="ENA4" i="7"/>
  <c r="ENB4" i="7"/>
  <c r="ENC4" i="7"/>
  <c r="END4" i="7"/>
  <c r="ENE4" i="7"/>
  <c r="ENF4" i="7"/>
  <c r="ENG4" i="7"/>
  <c r="ENH4" i="7"/>
  <c r="ENI4" i="7"/>
  <c r="ENJ4" i="7"/>
  <c r="ENK4" i="7"/>
  <c r="ENL4" i="7"/>
  <c r="ENM4" i="7"/>
  <c r="ENN4" i="7"/>
  <c r="ENO4" i="7"/>
  <c r="ENP4" i="7"/>
  <c r="ENQ4" i="7"/>
  <c r="ENR4" i="7"/>
  <c r="ENS4" i="7"/>
  <c r="ENT4" i="7"/>
  <c r="ENU4" i="7"/>
  <c r="ENV4" i="7"/>
  <c r="ENW4" i="7"/>
  <c r="ENX4" i="7"/>
  <c r="ENY4" i="7"/>
  <c r="ENZ4" i="7"/>
  <c r="EOA4" i="7"/>
  <c r="EOB4" i="7"/>
  <c r="EOC4" i="7"/>
  <c r="EOD4" i="7"/>
  <c r="EOE4" i="7"/>
  <c r="EOF4" i="7"/>
  <c r="EOG4" i="7"/>
  <c r="EOH4" i="7"/>
  <c r="EOI4" i="7"/>
  <c r="EOJ4" i="7"/>
  <c r="EOK4" i="7"/>
  <c r="EOL4" i="7"/>
  <c r="EOM4" i="7"/>
  <c r="EON4" i="7"/>
  <c r="EOO4" i="7"/>
  <c r="EOP4" i="7"/>
  <c r="EOQ4" i="7"/>
  <c r="EOR4" i="7"/>
  <c r="EOS4" i="7"/>
  <c r="EOT4" i="7"/>
  <c r="EOU4" i="7"/>
  <c r="EOV4" i="7"/>
  <c r="EOW4" i="7"/>
  <c r="EOX4" i="7"/>
  <c r="EOY4" i="7"/>
  <c r="EOZ4" i="7"/>
  <c r="EPA4" i="7"/>
  <c r="EPB4" i="7"/>
  <c r="EPC4" i="7"/>
  <c r="EPD4" i="7"/>
  <c r="EPE4" i="7"/>
  <c r="EPF4" i="7"/>
  <c r="EPG4" i="7"/>
  <c r="EPH4" i="7"/>
  <c r="EPI4" i="7"/>
  <c r="EPJ4" i="7"/>
  <c r="EPK4" i="7"/>
  <c r="EPL4" i="7"/>
  <c r="EPM4" i="7"/>
  <c r="EPN4" i="7"/>
  <c r="EPO4" i="7"/>
  <c r="EPP4" i="7"/>
  <c r="EPQ4" i="7"/>
  <c r="EPR4" i="7"/>
  <c r="EPS4" i="7"/>
  <c r="EPT4" i="7"/>
  <c r="EPU4" i="7"/>
  <c r="EPV4" i="7"/>
  <c r="EPW4" i="7"/>
  <c r="EPX4" i="7"/>
  <c r="EPY4" i="7"/>
  <c r="EPZ4" i="7"/>
  <c r="EQA4" i="7"/>
  <c r="EQB4" i="7"/>
  <c r="EQC4" i="7"/>
  <c r="EQD4" i="7"/>
  <c r="EQE4" i="7"/>
  <c r="EQF4" i="7"/>
  <c r="EQG4" i="7"/>
  <c r="EQH4" i="7"/>
  <c r="EQI4" i="7"/>
  <c r="EQJ4" i="7"/>
  <c r="EQK4" i="7"/>
  <c r="EQL4" i="7"/>
  <c r="EQM4" i="7"/>
  <c r="EQN4" i="7"/>
  <c r="EQO4" i="7"/>
  <c r="EQP4" i="7"/>
  <c r="EQQ4" i="7"/>
  <c r="EQR4" i="7"/>
  <c r="EQS4" i="7"/>
  <c r="EQT4" i="7"/>
  <c r="EQU4" i="7"/>
  <c r="EQV4" i="7"/>
  <c r="EQW4" i="7"/>
  <c r="EQX4" i="7"/>
  <c r="EQY4" i="7"/>
  <c r="EQZ4" i="7"/>
  <c r="ERA4" i="7"/>
  <c r="ERB4" i="7"/>
  <c r="ERC4" i="7"/>
  <c r="ERD4" i="7"/>
  <c r="ERE4" i="7"/>
  <c r="ERF4" i="7"/>
  <c r="ERG4" i="7"/>
  <c r="ERH4" i="7"/>
  <c r="ERI4" i="7"/>
  <c r="ERJ4" i="7"/>
  <c r="ERK4" i="7"/>
  <c r="ERL4" i="7"/>
  <c r="ERM4" i="7"/>
  <c r="ERN4" i="7"/>
  <c r="ERO4" i="7"/>
  <c r="ERP4" i="7"/>
  <c r="ERQ4" i="7"/>
  <c r="ERR4" i="7"/>
  <c r="ERS4" i="7"/>
  <c r="ERT4" i="7"/>
  <c r="ERU4" i="7"/>
  <c r="ERV4" i="7"/>
  <c r="ERW4" i="7"/>
  <c r="ERX4" i="7"/>
  <c r="ERY4" i="7"/>
  <c r="ERZ4" i="7"/>
  <c r="ESA4" i="7"/>
  <c r="ESB4" i="7"/>
  <c r="ESC4" i="7"/>
  <c r="ESD4" i="7"/>
  <c r="ESE4" i="7"/>
  <c r="ESF4" i="7"/>
  <c r="ESG4" i="7"/>
  <c r="ESH4" i="7"/>
  <c r="ESI4" i="7"/>
  <c r="ESJ4" i="7"/>
  <c r="ESK4" i="7"/>
  <c r="ESL4" i="7"/>
  <c r="ESM4" i="7"/>
  <c r="ESN4" i="7"/>
  <c r="ESO4" i="7"/>
  <c r="ESP4" i="7"/>
  <c r="ESQ4" i="7"/>
  <c r="ESR4" i="7"/>
  <c r="ESS4" i="7"/>
  <c r="EST4" i="7"/>
  <c r="ESU4" i="7"/>
  <c r="ESV4" i="7"/>
  <c r="ESW4" i="7"/>
  <c r="ESX4" i="7"/>
  <c r="ESY4" i="7"/>
  <c r="ESZ4" i="7"/>
  <c r="ETA4" i="7"/>
  <c r="ETB4" i="7"/>
  <c r="ETC4" i="7"/>
  <c r="ETD4" i="7"/>
  <c r="ETE4" i="7"/>
  <c r="ETF4" i="7"/>
  <c r="ETG4" i="7"/>
  <c r="ETH4" i="7"/>
  <c r="ETI4" i="7"/>
  <c r="ETJ4" i="7"/>
  <c r="ETK4" i="7"/>
  <c r="ETL4" i="7"/>
  <c r="ETM4" i="7"/>
  <c r="ETN4" i="7"/>
  <c r="ETO4" i="7"/>
  <c r="ETP4" i="7"/>
  <c r="ETQ4" i="7"/>
  <c r="ETR4" i="7"/>
  <c r="ETS4" i="7"/>
  <c r="ETT4" i="7"/>
  <c r="ETU4" i="7"/>
  <c r="ETV4" i="7"/>
  <c r="ETW4" i="7"/>
  <c r="ETX4" i="7"/>
  <c r="ETY4" i="7"/>
  <c r="ETZ4" i="7"/>
  <c r="EUA4" i="7"/>
  <c r="EUB4" i="7"/>
  <c r="EUC4" i="7"/>
  <c r="EUD4" i="7"/>
  <c r="EUE4" i="7"/>
  <c r="EUF4" i="7"/>
  <c r="EUG4" i="7"/>
  <c r="EUH4" i="7"/>
  <c r="EUI4" i="7"/>
  <c r="EUJ4" i="7"/>
  <c r="EUK4" i="7"/>
  <c r="EUL4" i="7"/>
  <c r="EUM4" i="7"/>
  <c r="EUN4" i="7"/>
  <c r="EUO4" i="7"/>
  <c r="EUP4" i="7"/>
  <c r="EUQ4" i="7"/>
  <c r="EUR4" i="7"/>
  <c r="EUS4" i="7"/>
  <c r="EUT4" i="7"/>
  <c r="EUU4" i="7"/>
  <c r="EUV4" i="7"/>
  <c r="EUW4" i="7"/>
  <c r="EUX4" i="7"/>
  <c r="EUY4" i="7"/>
  <c r="EUZ4" i="7"/>
  <c r="EVA4" i="7"/>
  <c r="EVB4" i="7"/>
  <c r="EVC4" i="7"/>
  <c r="EVD4" i="7"/>
  <c r="EVE4" i="7"/>
  <c r="EVF4" i="7"/>
  <c r="EVG4" i="7"/>
  <c r="EVH4" i="7"/>
  <c r="EVI4" i="7"/>
  <c r="EVJ4" i="7"/>
  <c r="EVK4" i="7"/>
  <c r="EVL4" i="7"/>
  <c r="EVM4" i="7"/>
  <c r="EVN4" i="7"/>
  <c r="EVO4" i="7"/>
  <c r="EVP4" i="7"/>
  <c r="EVQ4" i="7"/>
  <c r="EVR4" i="7"/>
  <c r="EVS4" i="7"/>
  <c r="EVT4" i="7"/>
  <c r="EVU4" i="7"/>
  <c r="EVV4" i="7"/>
  <c r="EVW4" i="7"/>
  <c r="EVX4" i="7"/>
  <c r="EVY4" i="7"/>
  <c r="EVZ4" i="7"/>
  <c r="EWA4" i="7"/>
  <c r="EWB4" i="7"/>
  <c r="EWC4" i="7"/>
  <c r="EWD4" i="7"/>
  <c r="EWE4" i="7"/>
  <c r="EWF4" i="7"/>
  <c r="EWG4" i="7"/>
  <c r="EWH4" i="7"/>
  <c r="EWI4" i="7"/>
  <c r="EWJ4" i="7"/>
  <c r="EWK4" i="7"/>
  <c r="EWL4" i="7"/>
  <c r="EWM4" i="7"/>
  <c r="EWN4" i="7"/>
  <c r="EWO4" i="7"/>
  <c r="EWP4" i="7"/>
  <c r="EWQ4" i="7"/>
  <c r="EWR4" i="7"/>
  <c r="EWS4" i="7"/>
  <c r="EWT4" i="7"/>
  <c r="EWU4" i="7"/>
  <c r="EWV4" i="7"/>
  <c r="EWW4" i="7"/>
  <c r="EWX4" i="7"/>
  <c r="EWY4" i="7"/>
  <c r="EWZ4" i="7"/>
  <c r="EXA4" i="7"/>
  <c r="EXB4" i="7"/>
  <c r="EXC4" i="7"/>
  <c r="EXD4" i="7"/>
  <c r="EXE4" i="7"/>
  <c r="EXF4" i="7"/>
  <c r="EXG4" i="7"/>
  <c r="EXH4" i="7"/>
  <c r="EXI4" i="7"/>
  <c r="EXJ4" i="7"/>
  <c r="EXK4" i="7"/>
  <c r="EXL4" i="7"/>
  <c r="EXM4" i="7"/>
  <c r="EXN4" i="7"/>
  <c r="EXO4" i="7"/>
  <c r="EXP4" i="7"/>
  <c r="EXQ4" i="7"/>
  <c r="EXR4" i="7"/>
  <c r="EXS4" i="7"/>
  <c r="EXT4" i="7"/>
  <c r="EXU4" i="7"/>
  <c r="EXV4" i="7"/>
  <c r="EXW4" i="7"/>
  <c r="EXX4" i="7"/>
  <c r="EXY4" i="7"/>
  <c r="EXZ4" i="7"/>
  <c r="EYA4" i="7"/>
  <c r="EYB4" i="7"/>
  <c r="EYC4" i="7"/>
  <c r="EYD4" i="7"/>
  <c r="EYE4" i="7"/>
  <c r="EYF4" i="7"/>
  <c r="EYG4" i="7"/>
  <c r="EYH4" i="7"/>
  <c r="EYI4" i="7"/>
  <c r="EYJ4" i="7"/>
  <c r="EYK4" i="7"/>
  <c r="EYL4" i="7"/>
  <c r="EYM4" i="7"/>
  <c r="EYN4" i="7"/>
  <c r="EYO4" i="7"/>
  <c r="EYP4" i="7"/>
  <c r="EYQ4" i="7"/>
  <c r="EYR4" i="7"/>
  <c r="EYS4" i="7"/>
  <c r="EYT4" i="7"/>
  <c r="EYU4" i="7"/>
  <c r="EYV4" i="7"/>
  <c r="EYW4" i="7"/>
  <c r="EYX4" i="7"/>
  <c r="EYY4" i="7"/>
  <c r="EYZ4" i="7"/>
  <c r="EZA4" i="7"/>
  <c r="EZB4" i="7"/>
  <c r="EZC4" i="7"/>
  <c r="EZD4" i="7"/>
  <c r="EZE4" i="7"/>
  <c r="EZF4" i="7"/>
  <c r="EZG4" i="7"/>
  <c r="EZH4" i="7"/>
  <c r="EZI4" i="7"/>
  <c r="EZJ4" i="7"/>
  <c r="EZK4" i="7"/>
  <c r="EZL4" i="7"/>
  <c r="EZM4" i="7"/>
  <c r="EZN4" i="7"/>
  <c r="EZO4" i="7"/>
  <c r="EZP4" i="7"/>
  <c r="EZQ4" i="7"/>
  <c r="EZR4" i="7"/>
  <c r="EZS4" i="7"/>
  <c r="EZT4" i="7"/>
  <c r="EZU4" i="7"/>
  <c r="EZV4" i="7"/>
  <c r="EZW4" i="7"/>
  <c r="EZX4" i="7"/>
  <c r="EZY4" i="7"/>
  <c r="EZZ4" i="7"/>
  <c r="FAA4" i="7"/>
  <c r="FAB4" i="7"/>
  <c r="FAC4" i="7"/>
  <c r="FAD4" i="7"/>
  <c r="FAE4" i="7"/>
  <c r="FAF4" i="7"/>
  <c r="FAG4" i="7"/>
  <c r="FAH4" i="7"/>
  <c r="FAI4" i="7"/>
  <c r="FAJ4" i="7"/>
  <c r="FAK4" i="7"/>
  <c r="FAL4" i="7"/>
  <c r="FAM4" i="7"/>
  <c r="FAN4" i="7"/>
  <c r="FAO4" i="7"/>
  <c r="FAP4" i="7"/>
  <c r="FAQ4" i="7"/>
  <c r="FAR4" i="7"/>
  <c r="FAS4" i="7"/>
  <c r="FAT4" i="7"/>
  <c r="FAU4" i="7"/>
  <c r="FAV4" i="7"/>
  <c r="FAW4" i="7"/>
  <c r="FAX4" i="7"/>
  <c r="FAY4" i="7"/>
  <c r="FAZ4" i="7"/>
  <c r="FBA4" i="7"/>
  <c r="FBB4" i="7"/>
  <c r="FBC4" i="7"/>
  <c r="FBD4" i="7"/>
  <c r="FBE4" i="7"/>
  <c r="FBF4" i="7"/>
  <c r="FBG4" i="7"/>
  <c r="FBH4" i="7"/>
  <c r="FBI4" i="7"/>
  <c r="FBJ4" i="7"/>
  <c r="FBK4" i="7"/>
  <c r="FBL4" i="7"/>
  <c r="FBM4" i="7"/>
  <c r="FBN4" i="7"/>
  <c r="FBO4" i="7"/>
  <c r="FBP4" i="7"/>
  <c r="FBQ4" i="7"/>
  <c r="FBR4" i="7"/>
  <c r="FBS4" i="7"/>
  <c r="FBT4" i="7"/>
  <c r="FBU4" i="7"/>
  <c r="FBV4" i="7"/>
  <c r="FBW4" i="7"/>
  <c r="FBX4" i="7"/>
  <c r="FBY4" i="7"/>
  <c r="FBZ4" i="7"/>
  <c r="FCA4" i="7"/>
  <c r="FCB4" i="7"/>
  <c r="FCC4" i="7"/>
  <c r="FCD4" i="7"/>
  <c r="FCE4" i="7"/>
  <c r="FCF4" i="7"/>
  <c r="FCG4" i="7"/>
  <c r="FCH4" i="7"/>
  <c r="FCI4" i="7"/>
  <c r="FCJ4" i="7"/>
  <c r="FCK4" i="7"/>
  <c r="FCL4" i="7"/>
  <c r="FCM4" i="7"/>
  <c r="FCN4" i="7"/>
  <c r="FCO4" i="7"/>
  <c r="FCP4" i="7"/>
  <c r="FCQ4" i="7"/>
  <c r="FCR4" i="7"/>
  <c r="FCS4" i="7"/>
  <c r="FCT4" i="7"/>
  <c r="FCU4" i="7"/>
  <c r="FCV4" i="7"/>
  <c r="FCW4" i="7"/>
  <c r="FCX4" i="7"/>
  <c r="FCY4" i="7"/>
  <c r="FCZ4" i="7"/>
  <c r="FDA4" i="7"/>
  <c r="FDB4" i="7"/>
  <c r="FDC4" i="7"/>
  <c r="FDD4" i="7"/>
  <c r="FDE4" i="7"/>
  <c r="FDF4" i="7"/>
  <c r="FDG4" i="7"/>
  <c r="FDH4" i="7"/>
  <c r="FDI4" i="7"/>
  <c r="FDJ4" i="7"/>
  <c r="FDK4" i="7"/>
  <c r="FDL4" i="7"/>
  <c r="FDM4" i="7"/>
  <c r="FDN4" i="7"/>
  <c r="FDO4" i="7"/>
  <c r="FDP4" i="7"/>
  <c r="FDQ4" i="7"/>
  <c r="FDR4" i="7"/>
  <c r="FDS4" i="7"/>
  <c r="FDT4" i="7"/>
  <c r="FDU4" i="7"/>
  <c r="FDV4" i="7"/>
  <c r="FDW4" i="7"/>
  <c r="FDX4" i="7"/>
  <c r="FDY4" i="7"/>
  <c r="FDZ4" i="7"/>
  <c r="FEA4" i="7"/>
  <c r="FEB4" i="7"/>
  <c r="FEC4" i="7"/>
  <c r="FED4" i="7"/>
  <c r="FEE4" i="7"/>
  <c r="FEF4" i="7"/>
  <c r="FEG4" i="7"/>
  <c r="FEH4" i="7"/>
  <c r="FEI4" i="7"/>
  <c r="FEJ4" i="7"/>
  <c r="FEK4" i="7"/>
  <c r="FEL4" i="7"/>
  <c r="FEM4" i="7"/>
  <c r="FEN4" i="7"/>
  <c r="FEO4" i="7"/>
  <c r="FEP4" i="7"/>
  <c r="FEQ4" i="7"/>
  <c r="FER4" i="7"/>
  <c r="FES4" i="7"/>
  <c r="FET4" i="7"/>
  <c r="FEU4" i="7"/>
  <c r="FEV4" i="7"/>
  <c r="FEW4" i="7"/>
  <c r="FEX4" i="7"/>
  <c r="FEY4" i="7"/>
  <c r="FEZ4" i="7"/>
  <c r="FFA4" i="7"/>
  <c r="FFB4" i="7"/>
  <c r="FFC4" i="7"/>
  <c r="FFD4" i="7"/>
  <c r="FFE4" i="7"/>
  <c r="FFF4" i="7"/>
  <c r="FFG4" i="7"/>
  <c r="FFH4" i="7"/>
  <c r="FFI4" i="7"/>
  <c r="FFJ4" i="7"/>
  <c r="FFK4" i="7"/>
  <c r="FFL4" i="7"/>
  <c r="FFM4" i="7"/>
  <c r="FFN4" i="7"/>
  <c r="FFO4" i="7"/>
  <c r="FFP4" i="7"/>
  <c r="FFQ4" i="7"/>
  <c r="FFR4" i="7"/>
  <c r="FFS4" i="7"/>
  <c r="FFT4" i="7"/>
  <c r="FFU4" i="7"/>
  <c r="FFV4" i="7"/>
  <c r="FFW4" i="7"/>
  <c r="FFX4" i="7"/>
  <c r="FFY4" i="7"/>
  <c r="FFZ4" i="7"/>
  <c r="FGA4" i="7"/>
  <c r="FGB4" i="7"/>
  <c r="FGC4" i="7"/>
  <c r="FGD4" i="7"/>
  <c r="FGE4" i="7"/>
  <c r="FGF4" i="7"/>
  <c r="FGG4" i="7"/>
  <c r="FGH4" i="7"/>
  <c r="FGI4" i="7"/>
  <c r="FGJ4" i="7"/>
  <c r="FGK4" i="7"/>
  <c r="FGL4" i="7"/>
  <c r="FGM4" i="7"/>
  <c r="FGN4" i="7"/>
  <c r="FGO4" i="7"/>
  <c r="FGP4" i="7"/>
  <c r="FGQ4" i="7"/>
  <c r="FGR4" i="7"/>
  <c r="FGS4" i="7"/>
  <c r="FGT4" i="7"/>
  <c r="FGU4" i="7"/>
  <c r="FGV4" i="7"/>
  <c r="FGW4" i="7"/>
  <c r="FGX4" i="7"/>
  <c r="FGY4" i="7"/>
  <c r="FGZ4" i="7"/>
  <c r="FHA4" i="7"/>
  <c r="FHB4" i="7"/>
  <c r="FHC4" i="7"/>
  <c r="FHD4" i="7"/>
  <c r="FHE4" i="7"/>
  <c r="FHF4" i="7"/>
  <c r="FHG4" i="7"/>
  <c r="FHH4" i="7"/>
  <c r="FHI4" i="7"/>
  <c r="FHJ4" i="7"/>
  <c r="FHK4" i="7"/>
  <c r="FHL4" i="7"/>
  <c r="FHM4" i="7"/>
  <c r="FHN4" i="7"/>
  <c r="FHO4" i="7"/>
  <c r="FHP4" i="7"/>
  <c r="FHQ4" i="7"/>
  <c r="FHR4" i="7"/>
  <c r="FHS4" i="7"/>
  <c r="FHT4" i="7"/>
  <c r="FHU4" i="7"/>
  <c r="FHV4" i="7"/>
  <c r="FHW4" i="7"/>
  <c r="FHX4" i="7"/>
  <c r="FHY4" i="7"/>
  <c r="FHZ4" i="7"/>
  <c r="FIA4" i="7"/>
  <c r="FIB4" i="7"/>
  <c r="FIC4" i="7"/>
  <c r="FID4" i="7"/>
  <c r="FIE4" i="7"/>
  <c r="FIF4" i="7"/>
  <c r="FIG4" i="7"/>
  <c r="FIH4" i="7"/>
  <c r="FII4" i="7"/>
  <c r="FIJ4" i="7"/>
  <c r="FIK4" i="7"/>
  <c r="FIL4" i="7"/>
  <c r="FIM4" i="7"/>
  <c r="FIN4" i="7"/>
  <c r="FIO4" i="7"/>
  <c r="FIP4" i="7"/>
  <c r="FIQ4" i="7"/>
  <c r="FIR4" i="7"/>
  <c r="FIS4" i="7"/>
  <c r="FIT4" i="7"/>
  <c r="FIU4" i="7"/>
  <c r="FIV4" i="7"/>
  <c r="FIW4" i="7"/>
  <c r="FIX4" i="7"/>
  <c r="FIY4" i="7"/>
  <c r="FIZ4" i="7"/>
  <c r="FJA4" i="7"/>
  <c r="FJB4" i="7"/>
  <c r="FJC4" i="7"/>
  <c r="FJD4" i="7"/>
  <c r="FJE4" i="7"/>
  <c r="FJF4" i="7"/>
  <c r="FJG4" i="7"/>
  <c r="FJH4" i="7"/>
  <c r="FJI4" i="7"/>
  <c r="FJJ4" i="7"/>
  <c r="FJK4" i="7"/>
  <c r="FJL4" i="7"/>
  <c r="FJM4" i="7"/>
  <c r="FJN4" i="7"/>
  <c r="FJO4" i="7"/>
  <c r="FJP4" i="7"/>
  <c r="FJQ4" i="7"/>
  <c r="FJR4" i="7"/>
  <c r="FJS4" i="7"/>
  <c r="FJT4" i="7"/>
  <c r="FJU4" i="7"/>
  <c r="FJV4" i="7"/>
  <c r="FJW4" i="7"/>
  <c r="FJX4" i="7"/>
  <c r="FJY4" i="7"/>
  <c r="FJZ4" i="7"/>
  <c r="FKA4" i="7"/>
  <c r="FKB4" i="7"/>
  <c r="FKC4" i="7"/>
  <c r="FKD4" i="7"/>
  <c r="FKE4" i="7"/>
  <c r="FKF4" i="7"/>
  <c r="FKG4" i="7"/>
  <c r="FKH4" i="7"/>
  <c r="FKI4" i="7"/>
  <c r="FKJ4" i="7"/>
  <c r="FKK4" i="7"/>
  <c r="FKL4" i="7"/>
  <c r="FKM4" i="7"/>
  <c r="FKN4" i="7"/>
  <c r="FKO4" i="7"/>
  <c r="FKP4" i="7"/>
  <c r="FKQ4" i="7"/>
  <c r="FKR4" i="7"/>
  <c r="FKS4" i="7"/>
  <c r="FKT4" i="7"/>
  <c r="FKU4" i="7"/>
  <c r="FKV4" i="7"/>
  <c r="FKW4" i="7"/>
  <c r="FKX4" i="7"/>
  <c r="FKY4" i="7"/>
  <c r="FKZ4" i="7"/>
  <c r="FLA4" i="7"/>
  <c r="FLB4" i="7"/>
  <c r="FLC4" i="7"/>
  <c r="FLD4" i="7"/>
  <c r="FLE4" i="7"/>
  <c r="FLF4" i="7"/>
  <c r="FLG4" i="7"/>
  <c r="FLH4" i="7"/>
  <c r="FLI4" i="7"/>
  <c r="FLJ4" i="7"/>
  <c r="FLK4" i="7"/>
  <c r="FLL4" i="7"/>
  <c r="FLM4" i="7"/>
  <c r="FLN4" i="7"/>
  <c r="FLO4" i="7"/>
  <c r="FLP4" i="7"/>
  <c r="FLQ4" i="7"/>
  <c r="FLR4" i="7"/>
  <c r="FLS4" i="7"/>
  <c r="FLT4" i="7"/>
  <c r="FLU4" i="7"/>
  <c r="FLV4" i="7"/>
  <c r="FLW4" i="7"/>
  <c r="FLX4" i="7"/>
  <c r="FLY4" i="7"/>
  <c r="FLZ4" i="7"/>
  <c r="FMA4" i="7"/>
  <c r="FMB4" i="7"/>
  <c r="FMC4" i="7"/>
  <c r="FMD4" i="7"/>
  <c r="FME4" i="7"/>
  <c r="FMF4" i="7"/>
  <c r="FMG4" i="7"/>
  <c r="FMH4" i="7"/>
  <c r="FMI4" i="7"/>
  <c r="FMJ4" i="7"/>
  <c r="FMK4" i="7"/>
  <c r="FML4" i="7"/>
  <c r="FMM4" i="7"/>
  <c r="FMN4" i="7"/>
  <c r="FMO4" i="7"/>
  <c r="FMP4" i="7"/>
  <c r="FMQ4" i="7"/>
  <c r="FMR4" i="7"/>
  <c r="FMS4" i="7"/>
  <c r="FMT4" i="7"/>
  <c r="FMU4" i="7"/>
  <c r="FMV4" i="7"/>
  <c r="FMW4" i="7"/>
  <c r="FMX4" i="7"/>
  <c r="FMY4" i="7"/>
  <c r="FMZ4" i="7"/>
  <c r="FNA4" i="7"/>
  <c r="FNB4" i="7"/>
  <c r="FNC4" i="7"/>
  <c r="FND4" i="7"/>
  <c r="FNE4" i="7"/>
  <c r="FNF4" i="7"/>
  <c r="FNG4" i="7"/>
  <c r="FNH4" i="7"/>
  <c r="FNI4" i="7"/>
  <c r="FNJ4" i="7"/>
  <c r="FNK4" i="7"/>
  <c r="FNL4" i="7"/>
  <c r="FNM4" i="7"/>
  <c r="FNN4" i="7"/>
  <c r="FNO4" i="7"/>
  <c r="FNP4" i="7"/>
  <c r="FNQ4" i="7"/>
  <c r="FNR4" i="7"/>
  <c r="FNS4" i="7"/>
  <c r="FNT4" i="7"/>
  <c r="FNU4" i="7"/>
  <c r="FNV4" i="7"/>
  <c r="FNW4" i="7"/>
  <c r="FNX4" i="7"/>
  <c r="FNY4" i="7"/>
  <c r="FNZ4" i="7"/>
  <c r="FOA4" i="7"/>
  <c r="FOB4" i="7"/>
  <c r="FOC4" i="7"/>
  <c r="FOD4" i="7"/>
  <c r="FOE4" i="7"/>
  <c r="FOF4" i="7"/>
  <c r="FOG4" i="7"/>
  <c r="FOH4" i="7"/>
  <c r="FOI4" i="7"/>
  <c r="FOJ4" i="7"/>
  <c r="FOK4" i="7"/>
  <c r="FOL4" i="7"/>
  <c r="FOM4" i="7"/>
  <c r="FON4" i="7"/>
  <c r="FOO4" i="7"/>
  <c r="FOP4" i="7"/>
  <c r="FOQ4" i="7"/>
  <c r="FOR4" i="7"/>
  <c r="FOS4" i="7"/>
  <c r="FOT4" i="7"/>
  <c r="FOU4" i="7"/>
  <c r="FOV4" i="7"/>
  <c r="FOW4" i="7"/>
  <c r="FOX4" i="7"/>
  <c r="FOY4" i="7"/>
  <c r="FOZ4" i="7"/>
  <c r="FPA4" i="7"/>
  <c r="FPB4" i="7"/>
  <c r="FPC4" i="7"/>
  <c r="FPD4" i="7"/>
  <c r="FPE4" i="7"/>
  <c r="FPF4" i="7"/>
  <c r="FPG4" i="7"/>
  <c r="FPH4" i="7"/>
  <c r="FPI4" i="7"/>
  <c r="FPJ4" i="7"/>
  <c r="FPK4" i="7"/>
  <c r="FPL4" i="7"/>
  <c r="FPM4" i="7"/>
  <c r="FPN4" i="7"/>
  <c r="FPO4" i="7"/>
  <c r="FPP4" i="7"/>
  <c r="FPQ4" i="7"/>
  <c r="FPR4" i="7"/>
  <c r="FPS4" i="7"/>
  <c r="FPT4" i="7"/>
  <c r="FPU4" i="7"/>
  <c r="FPV4" i="7"/>
  <c r="FPW4" i="7"/>
  <c r="FPX4" i="7"/>
  <c r="FPY4" i="7"/>
  <c r="FPZ4" i="7"/>
  <c r="FQA4" i="7"/>
  <c r="FQB4" i="7"/>
  <c r="FQC4" i="7"/>
  <c r="FQD4" i="7"/>
  <c r="FQE4" i="7"/>
  <c r="FQF4" i="7"/>
  <c r="FQG4" i="7"/>
  <c r="FQH4" i="7"/>
  <c r="FQI4" i="7"/>
  <c r="FQJ4" i="7"/>
  <c r="FQK4" i="7"/>
  <c r="FQL4" i="7"/>
  <c r="FQM4" i="7"/>
  <c r="FQN4" i="7"/>
  <c r="FQO4" i="7"/>
  <c r="FQP4" i="7"/>
  <c r="FQQ4" i="7"/>
  <c r="FQR4" i="7"/>
  <c r="FQS4" i="7"/>
  <c r="FQT4" i="7"/>
  <c r="FQU4" i="7"/>
  <c r="FQV4" i="7"/>
  <c r="FQW4" i="7"/>
  <c r="FQX4" i="7"/>
  <c r="FQY4" i="7"/>
  <c r="FQZ4" i="7"/>
  <c r="FRA4" i="7"/>
  <c r="FRB4" i="7"/>
  <c r="FRC4" i="7"/>
  <c r="FRD4" i="7"/>
  <c r="FRE4" i="7"/>
  <c r="FRF4" i="7"/>
  <c r="FRG4" i="7"/>
  <c r="FRH4" i="7"/>
  <c r="FRI4" i="7"/>
  <c r="FRJ4" i="7"/>
  <c r="FRK4" i="7"/>
  <c r="FRL4" i="7"/>
  <c r="FRM4" i="7"/>
  <c r="FRN4" i="7"/>
  <c r="FRO4" i="7"/>
  <c r="FRP4" i="7"/>
  <c r="FRQ4" i="7"/>
  <c r="FRR4" i="7"/>
  <c r="FRS4" i="7"/>
  <c r="FRT4" i="7"/>
  <c r="FRU4" i="7"/>
  <c r="FRV4" i="7"/>
  <c r="FRW4" i="7"/>
  <c r="FRX4" i="7"/>
  <c r="FRY4" i="7"/>
  <c r="FRZ4" i="7"/>
  <c r="FSA4" i="7"/>
  <c r="FSB4" i="7"/>
  <c r="FSC4" i="7"/>
  <c r="FSD4" i="7"/>
  <c r="FSE4" i="7"/>
  <c r="FSF4" i="7"/>
  <c r="FSG4" i="7"/>
  <c r="FSH4" i="7"/>
  <c r="FSI4" i="7"/>
  <c r="FSJ4" i="7"/>
  <c r="FSK4" i="7"/>
  <c r="FSL4" i="7"/>
  <c r="FSM4" i="7"/>
  <c r="FSN4" i="7"/>
  <c r="FSO4" i="7"/>
  <c r="FSP4" i="7"/>
  <c r="FSQ4" i="7"/>
  <c r="FSR4" i="7"/>
  <c r="FSS4" i="7"/>
  <c r="FST4" i="7"/>
  <c r="FSU4" i="7"/>
  <c r="FSV4" i="7"/>
  <c r="FSW4" i="7"/>
  <c r="FSX4" i="7"/>
  <c r="FSY4" i="7"/>
  <c r="FSZ4" i="7"/>
  <c r="FTA4" i="7"/>
  <c r="FTB4" i="7"/>
  <c r="FTC4" i="7"/>
  <c r="FTD4" i="7"/>
  <c r="FTE4" i="7"/>
  <c r="FTF4" i="7"/>
  <c r="FTG4" i="7"/>
  <c r="FTH4" i="7"/>
  <c r="FTI4" i="7"/>
  <c r="FTJ4" i="7"/>
  <c r="FTK4" i="7"/>
  <c r="FTL4" i="7"/>
  <c r="FTM4" i="7"/>
  <c r="FTN4" i="7"/>
  <c r="FTO4" i="7"/>
  <c r="FTP4" i="7"/>
  <c r="FTQ4" i="7"/>
  <c r="FTR4" i="7"/>
  <c r="FTS4" i="7"/>
  <c r="FTT4" i="7"/>
  <c r="FTU4" i="7"/>
  <c r="FTV4" i="7"/>
  <c r="FTW4" i="7"/>
  <c r="FTX4" i="7"/>
  <c r="FTY4" i="7"/>
  <c r="FTZ4" i="7"/>
  <c r="FUA4" i="7"/>
  <c r="FUB4" i="7"/>
  <c r="FUC4" i="7"/>
  <c r="FUD4" i="7"/>
  <c r="FUE4" i="7"/>
  <c r="FUF4" i="7"/>
  <c r="FUG4" i="7"/>
  <c r="FUH4" i="7"/>
  <c r="FUI4" i="7"/>
  <c r="FUJ4" i="7"/>
  <c r="FUK4" i="7"/>
  <c r="FUL4" i="7"/>
  <c r="FUM4" i="7"/>
  <c r="FUN4" i="7"/>
  <c r="FUO4" i="7"/>
  <c r="FUP4" i="7"/>
  <c r="FUQ4" i="7"/>
  <c r="FUR4" i="7"/>
  <c r="FUS4" i="7"/>
  <c r="FUT4" i="7"/>
  <c r="FUU4" i="7"/>
  <c r="FUV4" i="7"/>
  <c r="FUW4" i="7"/>
  <c r="FUX4" i="7"/>
  <c r="FUY4" i="7"/>
  <c r="FUZ4" i="7"/>
  <c r="FVA4" i="7"/>
  <c r="FVB4" i="7"/>
  <c r="FVC4" i="7"/>
  <c r="FVD4" i="7"/>
  <c r="FVE4" i="7"/>
  <c r="FVF4" i="7"/>
  <c r="FVG4" i="7"/>
  <c r="FVH4" i="7"/>
  <c r="FVI4" i="7"/>
  <c r="FVJ4" i="7"/>
  <c r="FVK4" i="7"/>
  <c r="FVL4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BV5" i="7"/>
  <c r="BW5" i="7"/>
  <c r="BX5" i="7"/>
  <c r="BY5" i="7"/>
  <c r="BZ5" i="7"/>
  <c r="CA5" i="7"/>
  <c r="CB5" i="7"/>
  <c r="CC5" i="7"/>
  <c r="CD5" i="7"/>
  <c r="CE5" i="7"/>
  <c r="CF5" i="7"/>
  <c r="CG5" i="7"/>
  <c r="CH5" i="7"/>
  <c r="CI5" i="7"/>
  <c r="CJ5" i="7"/>
  <c r="CK5" i="7"/>
  <c r="CL5" i="7"/>
  <c r="CM5" i="7"/>
  <c r="CN5" i="7"/>
  <c r="CO5" i="7"/>
  <c r="CP5" i="7"/>
  <c r="CQ5" i="7"/>
  <c r="CR5" i="7"/>
  <c r="CS5" i="7"/>
  <c r="CT5" i="7"/>
  <c r="CU5" i="7"/>
  <c r="CV5" i="7"/>
  <c r="CW5" i="7"/>
  <c r="CX5" i="7"/>
  <c r="CY5" i="7"/>
  <c r="CZ5" i="7"/>
  <c r="DA5" i="7"/>
  <c r="DB5" i="7"/>
  <c r="DC5" i="7"/>
  <c r="DD5" i="7"/>
  <c r="DE5" i="7"/>
  <c r="DF5" i="7"/>
  <c r="DG5" i="7"/>
  <c r="DH5" i="7"/>
  <c r="DI5" i="7"/>
  <c r="DJ5" i="7"/>
  <c r="DK5" i="7"/>
  <c r="DL5" i="7"/>
  <c r="DM5" i="7"/>
  <c r="DN5" i="7"/>
  <c r="DO5" i="7"/>
  <c r="DP5" i="7"/>
  <c r="DQ5" i="7"/>
  <c r="DR5" i="7"/>
  <c r="DS5" i="7"/>
  <c r="DT5" i="7"/>
  <c r="DU5" i="7"/>
  <c r="DV5" i="7"/>
  <c r="DW5" i="7"/>
  <c r="DX5" i="7"/>
  <c r="DY5" i="7"/>
  <c r="DZ5" i="7"/>
  <c r="EA5" i="7"/>
  <c r="EB5" i="7"/>
  <c r="EC5" i="7"/>
  <c r="ED5" i="7"/>
  <c r="EE5" i="7"/>
  <c r="EF5" i="7"/>
  <c r="EG5" i="7"/>
  <c r="EH5" i="7"/>
  <c r="EI5" i="7"/>
  <c r="EJ5" i="7"/>
  <c r="EK5" i="7"/>
  <c r="EL5" i="7"/>
  <c r="EM5" i="7"/>
  <c r="EN5" i="7"/>
  <c r="EO5" i="7"/>
  <c r="EP5" i="7"/>
  <c r="EQ5" i="7"/>
  <c r="ER5" i="7"/>
  <c r="ES5" i="7"/>
  <c r="ET5" i="7"/>
  <c r="EU5" i="7"/>
  <c r="EV5" i="7"/>
  <c r="EW5" i="7"/>
  <c r="EX5" i="7"/>
  <c r="EY5" i="7"/>
  <c r="EZ5" i="7"/>
  <c r="FA5" i="7"/>
  <c r="FB5" i="7"/>
  <c r="FC5" i="7"/>
  <c r="FD5" i="7"/>
  <c r="FE5" i="7"/>
  <c r="FF5" i="7"/>
  <c r="FG5" i="7"/>
  <c r="FH5" i="7"/>
  <c r="FI5" i="7"/>
  <c r="FJ5" i="7"/>
  <c r="FK5" i="7"/>
  <c r="FL5" i="7"/>
  <c r="FM5" i="7"/>
  <c r="FN5" i="7"/>
  <c r="FO5" i="7"/>
  <c r="FP5" i="7"/>
  <c r="FQ5" i="7"/>
  <c r="FR5" i="7"/>
  <c r="FS5" i="7"/>
  <c r="FT5" i="7"/>
  <c r="FU5" i="7"/>
  <c r="FV5" i="7"/>
  <c r="FW5" i="7"/>
  <c r="FX5" i="7"/>
  <c r="FY5" i="7"/>
  <c r="FZ5" i="7"/>
  <c r="GA5" i="7"/>
  <c r="GB5" i="7"/>
  <c r="GC5" i="7"/>
  <c r="GD5" i="7"/>
  <c r="GE5" i="7"/>
  <c r="GF5" i="7"/>
  <c r="GG5" i="7"/>
  <c r="GH5" i="7"/>
  <c r="GI5" i="7"/>
  <c r="GJ5" i="7"/>
  <c r="GK5" i="7"/>
  <c r="GL5" i="7"/>
  <c r="GM5" i="7"/>
  <c r="GN5" i="7"/>
  <c r="GO5" i="7"/>
  <c r="GP5" i="7"/>
  <c r="GQ5" i="7"/>
  <c r="GR5" i="7"/>
  <c r="GS5" i="7"/>
  <c r="GT5" i="7"/>
  <c r="GU5" i="7"/>
  <c r="GV5" i="7"/>
  <c r="GW5" i="7"/>
  <c r="GX5" i="7"/>
  <c r="GY5" i="7"/>
  <c r="GZ5" i="7"/>
  <c r="HA5" i="7"/>
  <c r="HB5" i="7"/>
  <c r="HC5" i="7"/>
  <c r="HD5" i="7"/>
  <c r="HE5" i="7"/>
  <c r="HF5" i="7"/>
  <c r="HG5" i="7"/>
  <c r="HH5" i="7"/>
  <c r="HI5" i="7"/>
  <c r="HJ5" i="7"/>
  <c r="HK5" i="7"/>
  <c r="HL5" i="7"/>
  <c r="HM5" i="7"/>
  <c r="HN5" i="7"/>
  <c r="HO5" i="7"/>
  <c r="HP5" i="7"/>
  <c r="HQ5" i="7"/>
  <c r="HR5" i="7"/>
  <c r="HS5" i="7"/>
  <c r="HT5" i="7"/>
  <c r="HU5" i="7"/>
  <c r="HV5" i="7"/>
  <c r="HW5" i="7"/>
  <c r="HX5" i="7"/>
  <c r="HY5" i="7"/>
  <c r="HZ5" i="7"/>
  <c r="IA5" i="7"/>
  <c r="IB5" i="7"/>
  <c r="IC5" i="7"/>
  <c r="ID5" i="7"/>
  <c r="IE5" i="7"/>
  <c r="IF5" i="7"/>
  <c r="IG5" i="7"/>
  <c r="IH5" i="7"/>
  <c r="II5" i="7"/>
  <c r="IJ5" i="7"/>
  <c r="IK5" i="7"/>
  <c r="IL5" i="7"/>
  <c r="IM5" i="7"/>
  <c r="IN5" i="7"/>
  <c r="IO5" i="7"/>
  <c r="IP5" i="7"/>
  <c r="IQ5" i="7"/>
  <c r="IR5" i="7"/>
  <c r="IS5" i="7"/>
  <c r="IT5" i="7"/>
  <c r="IU5" i="7"/>
  <c r="IV5" i="7"/>
  <c r="IW5" i="7"/>
  <c r="IX5" i="7"/>
  <c r="IY5" i="7"/>
  <c r="IZ5" i="7"/>
  <c r="JA5" i="7"/>
  <c r="JB5" i="7"/>
  <c r="JC5" i="7"/>
  <c r="JD5" i="7"/>
  <c r="JE5" i="7"/>
  <c r="JF5" i="7"/>
  <c r="JG5" i="7"/>
  <c r="JH5" i="7"/>
  <c r="JI5" i="7"/>
  <c r="JJ5" i="7"/>
  <c r="JK5" i="7"/>
  <c r="JL5" i="7"/>
  <c r="JM5" i="7"/>
  <c r="JN5" i="7"/>
  <c r="JO5" i="7"/>
  <c r="JP5" i="7"/>
  <c r="JQ5" i="7"/>
  <c r="JR5" i="7"/>
  <c r="JS5" i="7"/>
  <c r="JT5" i="7"/>
  <c r="JU5" i="7"/>
  <c r="JV5" i="7"/>
  <c r="JW5" i="7"/>
  <c r="JX5" i="7"/>
  <c r="JY5" i="7"/>
  <c r="JZ5" i="7"/>
  <c r="KA5" i="7"/>
  <c r="KB5" i="7"/>
  <c r="KC5" i="7"/>
  <c r="KD5" i="7"/>
  <c r="KE5" i="7"/>
  <c r="KF5" i="7"/>
  <c r="KG5" i="7"/>
  <c r="KH5" i="7"/>
  <c r="KI5" i="7"/>
  <c r="KJ5" i="7"/>
  <c r="KK5" i="7"/>
  <c r="KL5" i="7"/>
  <c r="KM5" i="7"/>
  <c r="KN5" i="7"/>
  <c r="KO5" i="7"/>
  <c r="KP5" i="7"/>
  <c r="KQ5" i="7"/>
  <c r="KR5" i="7"/>
  <c r="KS5" i="7"/>
  <c r="KT5" i="7"/>
  <c r="KU5" i="7"/>
  <c r="KV5" i="7"/>
  <c r="KW5" i="7"/>
  <c r="KX5" i="7"/>
  <c r="KY5" i="7"/>
  <c r="KZ5" i="7"/>
  <c r="LA5" i="7"/>
  <c r="LB5" i="7"/>
  <c r="LC5" i="7"/>
  <c r="LD5" i="7"/>
  <c r="LE5" i="7"/>
  <c r="LF5" i="7"/>
  <c r="LG5" i="7"/>
  <c r="LH5" i="7"/>
  <c r="LI5" i="7"/>
  <c r="LJ5" i="7"/>
  <c r="LK5" i="7"/>
  <c r="LL5" i="7"/>
  <c r="LM5" i="7"/>
  <c r="LN5" i="7"/>
  <c r="LO5" i="7"/>
  <c r="LP5" i="7"/>
  <c r="LQ5" i="7"/>
  <c r="LR5" i="7"/>
  <c r="LS5" i="7"/>
  <c r="LT5" i="7"/>
  <c r="LU5" i="7"/>
  <c r="LV5" i="7"/>
  <c r="LW5" i="7"/>
  <c r="LX5" i="7"/>
  <c r="LY5" i="7"/>
  <c r="LZ5" i="7"/>
  <c r="MA5" i="7"/>
  <c r="MB5" i="7"/>
  <c r="MC5" i="7"/>
  <c r="MD5" i="7"/>
  <c r="ME5" i="7"/>
  <c r="MF5" i="7"/>
  <c r="MG5" i="7"/>
  <c r="MH5" i="7"/>
  <c r="MI5" i="7"/>
  <c r="MJ5" i="7"/>
  <c r="MK5" i="7"/>
  <c r="ML5" i="7"/>
  <c r="MM5" i="7"/>
  <c r="MN5" i="7"/>
  <c r="MO5" i="7"/>
  <c r="MP5" i="7"/>
  <c r="MQ5" i="7"/>
  <c r="MR5" i="7"/>
  <c r="MS5" i="7"/>
  <c r="MT5" i="7"/>
  <c r="MU5" i="7"/>
  <c r="MV5" i="7"/>
  <c r="MW5" i="7"/>
  <c r="MX5" i="7"/>
  <c r="MY5" i="7"/>
  <c r="MZ5" i="7"/>
  <c r="NA5" i="7"/>
  <c r="NB5" i="7"/>
  <c r="NC5" i="7"/>
  <c r="ND5" i="7"/>
  <c r="NE5" i="7"/>
  <c r="NF5" i="7"/>
  <c r="NG5" i="7"/>
  <c r="NH5" i="7"/>
  <c r="NI5" i="7"/>
  <c r="NJ5" i="7"/>
  <c r="NK5" i="7"/>
  <c r="NL5" i="7"/>
  <c r="NM5" i="7"/>
  <c r="NN5" i="7"/>
  <c r="NO5" i="7"/>
  <c r="NP5" i="7"/>
  <c r="NQ5" i="7"/>
  <c r="NR5" i="7"/>
  <c r="NS5" i="7"/>
  <c r="NT5" i="7"/>
  <c r="NU5" i="7"/>
  <c r="NV5" i="7"/>
  <c r="NW5" i="7"/>
  <c r="NX5" i="7"/>
  <c r="NY5" i="7"/>
  <c r="NZ5" i="7"/>
  <c r="OA5" i="7"/>
  <c r="OB5" i="7"/>
  <c r="OC5" i="7"/>
  <c r="OD5" i="7"/>
  <c r="OE5" i="7"/>
  <c r="OF5" i="7"/>
  <c r="OG5" i="7"/>
  <c r="OH5" i="7"/>
  <c r="OI5" i="7"/>
  <c r="OJ5" i="7"/>
  <c r="OK5" i="7"/>
  <c r="OL5" i="7"/>
  <c r="OM5" i="7"/>
  <c r="ON5" i="7"/>
  <c r="OO5" i="7"/>
  <c r="OP5" i="7"/>
  <c r="OQ5" i="7"/>
  <c r="OR5" i="7"/>
  <c r="OS5" i="7"/>
  <c r="OT5" i="7"/>
  <c r="OU5" i="7"/>
  <c r="OV5" i="7"/>
  <c r="OW5" i="7"/>
  <c r="OX5" i="7"/>
  <c r="OY5" i="7"/>
  <c r="OZ5" i="7"/>
  <c r="PA5" i="7"/>
  <c r="PB5" i="7"/>
  <c r="PC5" i="7"/>
  <c r="PD5" i="7"/>
  <c r="PE5" i="7"/>
  <c r="PF5" i="7"/>
  <c r="PG5" i="7"/>
  <c r="PH5" i="7"/>
  <c r="PI5" i="7"/>
  <c r="PJ5" i="7"/>
  <c r="PK5" i="7"/>
  <c r="PL5" i="7"/>
  <c r="PM5" i="7"/>
  <c r="PN5" i="7"/>
  <c r="PO5" i="7"/>
  <c r="PP5" i="7"/>
  <c r="PQ5" i="7"/>
  <c r="PR5" i="7"/>
  <c r="PS5" i="7"/>
  <c r="PT5" i="7"/>
  <c r="PU5" i="7"/>
  <c r="PV5" i="7"/>
  <c r="PW5" i="7"/>
  <c r="PX5" i="7"/>
  <c r="PY5" i="7"/>
  <c r="PZ5" i="7"/>
  <c r="QA5" i="7"/>
  <c r="QB5" i="7"/>
  <c r="QC5" i="7"/>
  <c r="QD5" i="7"/>
  <c r="QE5" i="7"/>
  <c r="QF5" i="7"/>
  <c r="QG5" i="7"/>
  <c r="QH5" i="7"/>
  <c r="QI5" i="7"/>
  <c r="QJ5" i="7"/>
  <c r="QK5" i="7"/>
  <c r="QL5" i="7"/>
  <c r="QM5" i="7"/>
  <c r="QN5" i="7"/>
  <c r="QO5" i="7"/>
  <c r="QP5" i="7"/>
  <c r="QQ5" i="7"/>
  <c r="QR5" i="7"/>
  <c r="QS5" i="7"/>
  <c r="QT5" i="7"/>
  <c r="QU5" i="7"/>
  <c r="QV5" i="7"/>
  <c r="QW5" i="7"/>
  <c r="QX5" i="7"/>
  <c r="QY5" i="7"/>
  <c r="QZ5" i="7"/>
  <c r="RA5" i="7"/>
  <c r="RB5" i="7"/>
  <c r="RC5" i="7"/>
  <c r="RD5" i="7"/>
  <c r="RE5" i="7"/>
  <c r="RF5" i="7"/>
  <c r="RG5" i="7"/>
  <c r="RH5" i="7"/>
  <c r="RI5" i="7"/>
  <c r="RJ5" i="7"/>
  <c r="RK5" i="7"/>
  <c r="RL5" i="7"/>
  <c r="RM5" i="7"/>
  <c r="RN5" i="7"/>
  <c r="RO5" i="7"/>
  <c r="RP5" i="7"/>
  <c r="RQ5" i="7"/>
  <c r="RR5" i="7"/>
  <c r="RS5" i="7"/>
  <c r="RT5" i="7"/>
  <c r="RU5" i="7"/>
  <c r="RV5" i="7"/>
  <c r="RW5" i="7"/>
  <c r="RX5" i="7"/>
  <c r="RY5" i="7"/>
  <c r="RZ5" i="7"/>
  <c r="SA5" i="7"/>
  <c r="SB5" i="7"/>
  <c r="SC5" i="7"/>
  <c r="SD5" i="7"/>
  <c r="SE5" i="7"/>
  <c r="SF5" i="7"/>
  <c r="SG5" i="7"/>
  <c r="SH5" i="7"/>
  <c r="SI5" i="7"/>
  <c r="SJ5" i="7"/>
  <c r="SK5" i="7"/>
  <c r="SL5" i="7"/>
  <c r="SM5" i="7"/>
  <c r="SN5" i="7"/>
  <c r="SO5" i="7"/>
  <c r="SP5" i="7"/>
  <c r="SQ5" i="7"/>
  <c r="SR5" i="7"/>
  <c r="SS5" i="7"/>
  <c r="ST5" i="7"/>
  <c r="SU5" i="7"/>
  <c r="SV5" i="7"/>
  <c r="SW5" i="7"/>
  <c r="SX5" i="7"/>
  <c r="SY5" i="7"/>
  <c r="SZ5" i="7"/>
  <c r="TA5" i="7"/>
  <c r="TB5" i="7"/>
  <c r="TC5" i="7"/>
  <c r="TD5" i="7"/>
  <c r="TE5" i="7"/>
  <c r="TF5" i="7"/>
  <c r="TG5" i="7"/>
  <c r="TH5" i="7"/>
  <c r="TI5" i="7"/>
  <c r="TJ5" i="7"/>
  <c r="TK5" i="7"/>
  <c r="TL5" i="7"/>
  <c r="TM5" i="7"/>
  <c r="TN5" i="7"/>
  <c r="TO5" i="7"/>
  <c r="TP5" i="7"/>
  <c r="TQ5" i="7"/>
  <c r="TR5" i="7"/>
  <c r="TS5" i="7"/>
  <c r="TT5" i="7"/>
  <c r="TU5" i="7"/>
  <c r="TV5" i="7"/>
  <c r="TW5" i="7"/>
  <c r="TX5" i="7"/>
  <c r="TY5" i="7"/>
  <c r="TZ5" i="7"/>
  <c r="UA5" i="7"/>
  <c r="UB5" i="7"/>
  <c r="UC5" i="7"/>
  <c r="UD5" i="7"/>
  <c r="UE5" i="7"/>
  <c r="UF5" i="7"/>
  <c r="UG5" i="7"/>
  <c r="UH5" i="7"/>
  <c r="UI5" i="7"/>
  <c r="UJ5" i="7"/>
  <c r="UK5" i="7"/>
  <c r="UL5" i="7"/>
  <c r="UM5" i="7"/>
  <c r="UN5" i="7"/>
  <c r="UO5" i="7"/>
  <c r="UP5" i="7"/>
  <c r="UQ5" i="7"/>
  <c r="UR5" i="7"/>
  <c r="US5" i="7"/>
  <c r="UT5" i="7"/>
  <c r="UU5" i="7"/>
  <c r="UV5" i="7"/>
  <c r="UW5" i="7"/>
  <c r="UX5" i="7"/>
  <c r="UY5" i="7"/>
  <c r="UZ5" i="7"/>
  <c r="VA5" i="7"/>
  <c r="VB5" i="7"/>
  <c r="VC5" i="7"/>
  <c r="VD5" i="7"/>
  <c r="VE5" i="7"/>
  <c r="VF5" i="7"/>
  <c r="VG5" i="7"/>
  <c r="VH5" i="7"/>
  <c r="VI5" i="7"/>
  <c r="VJ5" i="7"/>
  <c r="VK5" i="7"/>
  <c r="VL5" i="7"/>
  <c r="VM5" i="7"/>
  <c r="VN5" i="7"/>
  <c r="VO5" i="7"/>
  <c r="VP5" i="7"/>
  <c r="VQ5" i="7"/>
  <c r="VR5" i="7"/>
  <c r="VS5" i="7"/>
  <c r="VT5" i="7"/>
  <c r="VU5" i="7"/>
  <c r="VV5" i="7"/>
  <c r="VW5" i="7"/>
  <c r="VX5" i="7"/>
  <c r="VY5" i="7"/>
  <c r="VZ5" i="7"/>
  <c r="WA5" i="7"/>
  <c r="WB5" i="7"/>
  <c r="WC5" i="7"/>
  <c r="WD5" i="7"/>
  <c r="WE5" i="7"/>
  <c r="WF5" i="7"/>
  <c r="WG5" i="7"/>
  <c r="WH5" i="7"/>
  <c r="WI5" i="7"/>
  <c r="WJ5" i="7"/>
  <c r="WK5" i="7"/>
  <c r="WL5" i="7"/>
  <c r="WM5" i="7"/>
  <c r="WN5" i="7"/>
  <c r="WO5" i="7"/>
  <c r="WP5" i="7"/>
  <c r="WQ5" i="7"/>
  <c r="WR5" i="7"/>
  <c r="WS5" i="7"/>
  <c r="WT5" i="7"/>
  <c r="WU5" i="7"/>
  <c r="WV5" i="7"/>
  <c r="WW5" i="7"/>
  <c r="WX5" i="7"/>
  <c r="WY5" i="7"/>
  <c r="WZ5" i="7"/>
  <c r="XA5" i="7"/>
  <c r="XB5" i="7"/>
  <c r="XC5" i="7"/>
  <c r="XD5" i="7"/>
  <c r="XE5" i="7"/>
  <c r="XF5" i="7"/>
  <c r="XG5" i="7"/>
  <c r="XH5" i="7"/>
  <c r="XI5" i="7"/>
  <c r="XJ5" i="7"/>
  <c r="XK5" i="7"/>
  <c r="XL5" i="7"/>
  <c r="XM5" i="7"/>
  <c r="XN5" i="7"/>
  <c r="XO5" i="7"/>
  <c r="XP5" i="7"/>
  <c r="XQ5" i="7"/>
  <c r="XR5" i="7"/>
  <c r="XS5" i="7"/>
  <c r="XT5" i="7"/>
  <c r="XU5" i="7"/>
  <c r="XV5" i="7"/>
  <c r="XW5" i="7"/>
  <c r="XX5" i="7"/>
  <c r="XY5" i="7"/>
  <c r="XZ5" i="7"/>
  <c r="YA5" i="7"/>
  <c r="YB5" i="7"/>
  <c r="YC5" i="7"/>
  <c r="YD5" i="7"/>
  <c r="YE5" i="7"/>
  <c r="YF5" i="7"/>
  <c r="YG5" i="7"/>
  <c r="YH5" i="7"/>
  <c r="YI5" i="7"/>
  <c r="YJ5" i="7"/>
  <c r="YK5" i="7"/>
  <c r="YL5" i="7"/>
  <c r="YM5" i="7"/>
  <c r="YN5" i="7"/>
  <c r="YO5" i="7"/>
  <c r="YP5" i="7"/>
  <c r="YQ5" i="7"/>
  <c r="YR5" i="7"/>
  <c r="YS5" i="7"/>
  <c r="YT5" i="7"/>
  <c r="YU5" i="7"/>
  <c r="YV5" i="7"/>
  <c r="YW5" i="7"/>
  <c r="YX5" i="7"/>
  <c r="YY5" i="7"/>
  <c r="YZ5" i="7"/>
  <c r="ZA5" i="7"/>
  <c r="ZB5" i="7"/>
  <c r="ZC5" i="7"/>
  <c r="ZD5" i="7"/>
  <c r="ZE5" i="7"/>
  <c r="ZF5" i="7"/>
  <c r="ZG5" i="7"/>
  <c r="ZH5" i="7"/>
  <c r="ZI5" i="7"/>
  <c r="ZJ5" i="7"/>
  <c r="ZK5" i="7"/>
  <c r="ZL5" i="7"/>
  <c r="ZM5" i="7"/>
  <c r="ZN5" i="7"/>
  <c r="ZO5" i="7"/>
  <c r="ZP5" i="7"/>
  <c r="ZQ5" i="7"/>
  <c r="ZR5" i="7"/>
  <c r="ZS5" i="7"/>
  <c r="ZT5" i="7"/>
  <c r="ZU5" i="7"/>
  <c r="ZV5" i="7"/>
  <c r="ZW5" i="7"/>
  <c r="ZX5" i="7"/>
  <c r="ZY5" i="7"/>
  <c r="ZZ5" i="7"/>
  <c r="AAA5" i="7"/>
  <c r="AAB5" i="7"/>
  <c r="AAC5" i="7"/>
  <c r="AAD5" i="7"/>
  <c r="AAE5" i="7"/>
  <c r="AAF5" i="7"/>
  <c r="AAG5" i="7"/>
  <c r="AAH5" i="7"/>
  <c r="AAI5" i="7"/>
  <c r="AAJ5" i="7"/>
  <c r="AAK5" i="7"/>
  <c r="AAL5" i="7"/>
  <c r="AAM5" i="7"/>
  <c r="AAN5" i="7"/>
  <c r="AAO5" i="7"/>
  <c r="AAP5" i="7"/>
  <c r="AAQ5" i="7"/>
  <c r="AAR5" i="7"/>
  <c r="AAS5" i="7"/>
  <c r="AAT5" i="7"/>
  <c r="AAU5" i="7"/>
  <c r="AAV5" i="7"/>
  <c r="AAW5" i="7"/>
  <c r="AAX5" i="7"/>
  <c r="AAY5" i="7"/>
  <c r="AAZ5" i="7"/>
  <c r="ABA5" i="7"/>
  <c r="ABB5" i="7"/>
  <c r="ABC5" i="7"/>
  <c r="ABD5" i="7"/>
  <c r="ABE5" i="7"/>
  <c r="ABF5" i="7"/>
  <c r="ABG5" i="7"/>
  <c r="ABH5" i="7"/>
  <c r="ABI5" i="7"/>
  <c r="ABJ5" i="7"/>
  <c r="ABK5" i="7"/>
  <c r="ABL5" i="7"/>
  <c r="ABM5" i="7"/>
  <c r="ABN5" i="7"/>
  <c r="ABO5" i="7"/>
  <c r="ABP5" i="7"/>
  <c r="ABQ5" i="7"/>
  <c r="ABR5" i="7"/>
  <c r="ABS5" i="7"/>
  <c r="ABT5" i="7"/>
  <c r="ABU5" i="7"/>
  <c r="ABV5" i="7"/>
  <c r="ABW5" i="7"/>
  <c r="ABX5" i="7"/>
  <c r="ABY5" i="7"/>
  <c r="ABZ5" i="7"/>
  <c r="ACA5" i="7"/>
  <c r="ACB5" i="7"/>
  <c r="ACC5" i="7"/>
  <c r="ACD5" i="7"/>
  <c r="ACE5" i="7"/>
  <c r="ACF5" i="7"/>
  <c r="ACG5" i="7"/>
  <c r="ACH5" i="7"/>
  <c r="ACI5" i="7"/>
  <c r="ACJ5" i="7"/>
  <c r="ACK5" i="7"/>
  <c r="ACL5" i="7"/>
  <c r="ACM5" i="7"/>
  <c r="ACN5" i="7"/>
  <c r="ACO5" i="7"/>
  <c r="ACP5" i="7"/>
  <c r="ACQ5" i="7"/>
  <c r="ACR5" i="7"/>
  <c r="ACS5" i="7"/>
  <c r="ACT5" i="7"/>
  <c r="ACU5" i="7"/>
  <c r="ACV5" i="7"/>
  <c r="ACW5" i="7"/>
  <c r="ACX5" i="7"/>
  <c r="ACY5" i="7"/>
  <c r="ACZ5" i="7"/>
  <c r="ADA5" i="7"/>
  <c r="ADB5" i="7"/>
  <c r="ADC5" i="7"/>
  <c r="ADD5" i="7"/>
  <c r="ADE5" i="7"/>
  <c r="ADF5" i="7"/>
  <c r="ADG5" i="7"/>
  <c r="ADH5" i="7"/>
  <c r="ADI5" i="7"/>
  <c r="ADJ5" i="7"/>
  <c r="ADK5" i="7"/>
  <c r="ADL5" i="7"/>
  <c r="ADM5" i="7"/>
  <c r="ADN5" i="7"/>
  <c r="ADO5" i="7"/>
  <c r="ADP5" i="7"/>
  <c r="ADQ5" i="7"/>
  <c r="ADR5" i="7"/>
  <c r="ADS5" i="7"/>
  <c r="ADT5" i="7"/>
  <c r="ADU5" i="7"/>
  <c r="ADV5" i="7"/>
  <c r="ADW5" i="7"/>
  <c r="ADX5" i="7"/>
  <c r="ADY5" i="7"/>
  <c r="ADZ5" i="7"/>
  <c r="AEA5" i="7"/>
  <c r="AEB5" i="7"/>
  <c r="AEC5" i="7"/>
  <c r="AED5" i="7"/>
  <c r="AEE5" i="7"/>
  <c r="AEF5" i="7"/>
  <c r="AEG5" i="7"/>
  <c r="AEH5" i="7"/>
  <c r="AEI5" i="7"/>
  <c r="AEJ5" i="7"/>
  <c r="AEK5" i="7"/>
  <c r="AEL5" i="7"/>
  <c r="AEM5" i="7"/>
  <c r="AEN5" i="7"/>
  <c r="AEO5" i="7"/>
  <c r="AEP5" i="7"/>
  <c r="AEQ5" i="7"/>
  <c r="AER5" i="7"/>
  <c r="AES5" i="7"/>
  <c r="AET5" i="7"/>
  <c r="AEU5" i="7"/>
  <c r="AEV5" i="7"/>
  <c r="AEW5" i="7"/>
  <c r="AEX5" i="7"/>
  <c r="AEY5" i="7"/>
  <c r="AEZ5" i="7"/>
  <c r="AFA5" i="7"/>
  <c r="AFB5" i="7"/>
  <c r="AFC5" i="7"/>
  <c r="AFD5" i="7"/>
  <c r="AFE5" i="7"/>
  <c r="AFF5" i="7"/>
  <c r="AFG5" i="7"/>
  <c r="AFH5" i="7"/>
  <c r="AFI5" i="7"/>
  <c r="AFJ5" i="7"/>
  <c r="AFK5" i="7"/>
  <c r="AFL5" i="7"/>
  <c r="AFM5" i="7"/>
  <c r="AFN5" i="7"/>
  <c r="AFO5" i="7"/>
  <c r="AFP5" i="7"/>
  <c r="AFQ5" i="7"/>
  <c r="AFR5" i="7"/>
  <c r="AFS5" i="7"/>
  <c r="AFT5" i="7"/>
  <c r="AFU5" i="7"/>
  <c r="AFV5" i="7"/>
  <c r="AFW5" i="7"/>
  <c r="AFX5" i="7"/>
  <c r="AFY5" i="7"/>
  <c r="AFZ5" i="7"/>
  <c r="AGA5" i="7"/>
  <c r="AGB5" i="7"/>
  <c r="AGC5" i="7"/>
  <c r="AGD5" i="7"/>
  <c r="AGE5" i="7"/>
  <c r="AGF5" i="7"/>
  <c r="AGG5" i="7"/>
  <c r="AGH5" i="7"/>
  <c r="AGI5" i="7"/>
  <c r="AGJ5" i="7"/>
  <c r="AGK5" i="7"/>
  <c r="AGL5" i="7"/>
  <c r="AGM5" i="7"/>
  <c r="AGN5" i="7"/>
  <c r="AGO5" i="7"/>
  <c r="AGP5" i="7"/>
  <c r="AGQ5" i="7"/>
  <c r="AGR5" i="7"/>
  <c r="AGS5" i="7"/>
  <c r="AGT5" i="7"/>
  <c r="AGU5" i="7"/>
  <c r="AGV5" i="7"/>
  <c r="AGW5" i="7"/>
  <c r="AGX5" i="7"/>
  <c r="AGY5" i="7"/>
  <c r="AGZ5" i="7"/>
  <c r="AHA5" i="7"/>
  <c r="AHB5" i="7"/>
  <c r="AHC5" i="7"/>
  <c r="AHD5" i="7"/>
  <c r="AHE5" i="7"/>
  <c r="AHF5" i="7"/>
  <c r="AHG5" i="7"/>
  <c r="AHH5" i="7"/>
  <c r="AHI5" i="7"/>
  <c r="AHJ5" i="7"/>
  <c r="AHK5" i="7"/>
  <c r="AHL5" i="7"/>
  <c r="AHM5" i="7"/>
  <c r="AHN5" i="7"/>
  <c r="AHO5" i="7"/>
  <c r="AHP5" i="7"/>
  <c r="AHQ5" i="7"/>
  <c r="AHR5" i="7"/>
  <c r="AHS5" i="7"/>
  <c r="AHT5" i="7"/>
  <c r="AHU5" i="7"/>
  <c r="AHV5" i="7"/>
  <c r="AHW5" i="7"/>
  <c r="AHX5" i="7"/>
  <c r="AHY5" i="7"/>
  <c r="AHZ5" i="7"/>
  <c r="AIA5" i="7"/>
  <c r="AIB5" i="7"/>
  <c r="AIC5" i="7"/>
  <c r="AID5" i="7"/>
  <c r="AIE5" i="7"/>
  <c r="AIF5" i="7"/>
  <c r="AIG5" i="7"/>
  <c r="AIH5" i="7"/>
  <c r="AII5" i="7"/>
  <c r="AIJ5" i="7"/>
  <c r="AIK5" i="7"/>
  <c r="AIL5" i="7"/>
  <c r="AIM5" i="7"/>
  <c r="AIN5" i="7"/>
  <c r="AIO5" i="7"/>
  <c r="AIP5" i="7"/>
  <c r="AIQ5" i="7"/>
  <c r="AIR5" i="7"/>
  <c r="AIS5" i="7"/>
  <c r="AIT5" i="7"/>
  <c r="AIU5" i="7"/>
  <c r="AIV5" i="7"/>
  <c r="AIW5" i="7"/>
  <c r="AIX5" i="7"/>
  <c r="AIY5" i="7"/>
  <c r="AIZ5" i="7"/>
  <c r="AJA5" i="7"/>
  <c r="AJB5" i="7"/>
  <c r="AJC5" i="7"/>
  <c r="AJD5" i="7"/>
  <c r="AJE5" i="7"/>
  <c r="AJF5" i="7"/>
  <c r="AJG5" i="7"/>
  <c r="AJH5" i="7"/>
  <c r="AJI5" i="7"/>
  <c r="AJJ5" i="7"/>
  <c r="AJK5" i="7"/>
  <c r="AJL5" i="7"/>
  <c r="AJM5" i="7"/>
  <c r="AJN5" i="7"/>
  <c r="AJO5" i="7"/>
  <c r="AJP5" i="7"/>
  <c r="AJQ5" i="7"/>
  <c r="AJR5" i="7"/>
  <c r="AJS5" i="7"/>
  <c r="AJT5" i="7"/>
  <c r="AJU5" i="7"/>
  <c r="AJV5" i="7"/>
  <c r="AJW5" i="7"/>
  <c r="AJX5" i="7"/>
  <c r="AJY5" i="7"/>
  <c r="AJZ5" i="7"/>
  <c r="AKA5" i="7"/>
  <c r="AKB5" i="7"/>
  <c r="AKC5" i="7"/>
  <c r="AKD5" i="7"/>
  <c r="AKE5" i="7"/>
  <c r="AKF5" i="7"/>
  <c r="AKG5" i="7"/>
  <c r="AKH5" i="7"/>
  <c r="AKI5" i="7"/>
  <c r="AKJ5" i="7"/>
  <c r="AKK5" i="7"/>
  <c r="AKL5" i="7"/>
  <c r="AKM5" i="7"/>
  <c r="AKN5" i="7"/>
  <c r="AKO5" i="7"/>
  <c r="AKP5" i="7"/>
  <c r="AKQ5" i="7"/>
  <c r="AKR5" i="7"/>
  <c r="AKS5" i="7"/>
  <c r="AKT5" i="7"/>
  <c r="AKU5" i="7"/>
  <c r="AKV5" i="7"/>
  <c r="AKW5" i="7"/>
  <c r="AKX5" i="7"/>
  <c r="AKY5" i="7"/>
  <c r="AKZ5" i="7"/>
  <c r="ALA5" i="7"/>
  <c r="ALB5" i="7"/>
  <c r="ALC5" i="7"/>
  <c r="ALD5" i="7"/>
  <c r="ALE5" i="7"/>
  <c r="ALF5" i="7"/>
  <c r="ALG5" i="7"/>
  <c r="ALH5" i="7"/>
  <c r="ALI5" i="7"/>
  <c r="ALJ5" i="7"/>
  <c r="ALK5" i="7"/>
  <c r="ALL5" i="7"/>
  <c r="ALM5" i="7"/>
  <c r="ALN5" i="7"/>
  <c r="ALO5" i="7"/>
  <c r="ALP5" i="7"/>
  <c r="ALQ5" i="7"/>
  <c r="ALR5" i="7"/>
  <c r="ALS5" i="7"/>
  <c r="ALT5" i="7"/>
  <c r="ALU5" i="7"/>
  <c r="ALV5" i="7"/>
  <c r="ALW5" i="7"/>
  <c r="ALX5" i="7"/>
  <c r="ALY5" i="7"/>
  <c r="ALZ5" i="7"/>
  <c r="AMA5" i="7"/>
  <c r="AMB5" i="7"/>
  <c r="AMC5" i="7"/>
  <c r="AMD5" i="7"/>
  <c r="AME5" i="7"/>
  <c r="AMF5" i="7"/>
  <c r="AMG5" i="7"/>
  <c r="AMH5" i="7"/>
  <c r="AMI5" i="7"/>
  <c r="AMJ5" i="7"/>
  <c r="AMK5" i="7"/>
  <c r="AML5" i="7"/>
  <c r="AMM5" i="7"/>
  <c r="AMN5" i="7"/>
  <c r="AMO5" i="7"/>
  <c r="AMP5" i="7"/>
  <c r="AMQ5" i="7"/>
  <c r="AMR5" i="7"/>
  <c r="AMS5" i="7"/>
  <c r="AMT5" i="7"/>
  <c r="AMU5" i="7"/>
  <c r="AMV5" i="7"/>
  <c r="AMW5" i="7"/>
  <c r="AMX5" i="7"/>
  <c r="AMY5" i="7"/>
  <c r="AMZ5" i="7"/>
  <c r="ANA5" i="7"/>
  <c r="ANB5" i="7"/>
  <c r="ANC5" i="7"/>
  <c r="AND5" i="7"/>
  <c r="ANE5" i="7"/>
  <c r="ANF5" i="7"/>
  <c r="ANG5" i="7"/>
  <c r="ANH5" i="7"/>
  <c r="ANI5" i="7"/>
  <c r="ANJ5" i="7"/>
  <c r="ANK5" i="7"/>
  <c r="ANL5" i="7"/>
  <c r="ANM5" i="7"/>
  <c r="ANN5" i="7"/>
  <c r="ANO5" i="7"/>
  <c r="ANP5" i="7"/>
  <c r="ANQ5" i="7"/>
  <c r="ANR5" i="7"/>
  <c r="ANS5" i="7"/>
  <c r="ANT5" i="7"/>
  <c r="ANU5" i="7"/>
  <c r="ANV5" i="7"/>
  <c r="ANW5" i="7"/>
  <c r="ANX5" i="7"/>
  <c r="ANY5" i="7"/>
  <c r="ANZ5" i="7"/>
  <c r="AOA5" i="7"/>
  <c r="AOB5" i="7"/>
  <c r="AOC5" i="7"/>
  <c r="AOD5" i="7"/>
  <c r="AOE5" i="7"/>
  <c r="AOF5" i="7"/>
  <c r="AOG5" i="7"/>
  <c r="AOH5" i="7"/>
  <c r="AOI5" i="7"/>
  <c r="AOJ5" i="7"/>
  <c r="AOK5" i="7"/>
  <c r="AOL5" i="7"/>
  <c r="AOM5" i="7"/>
  <c r="AON5" i="7"/>
  <c r="AOO5" i="7"/>
  <c r="AOP5" i="7"/>
  <c r="AOQ5" i="7"/>
  <c r="AOR5" i="7"/>
  <c r="AOS5" i="7"/>
  <c r="AOT5" i="7"/>
  <c r="AOU5" i="7"/>
  <c r="AOV5" i="7"/>
  <c r="AOW5" i="7"/>
  <c r="AOX5" i="7"/>
  <c r="AOY5" i="7"/>
  <c r="AOZ5" i="7"/>
  <c r="APA5" i="7"/>
  <c r="APB5" i="7"/>
  <c r="APC5" i="7"/>
  <c r="APD5" i="7"/>
  <c r="APE5" i="7"/>
  <c r="APF5" i="7"/>
  <c r="APG5" i="7"/>
  <c r="APH5" i="7"/>
  <c r="API5" i="7"/>
  <c r="APJ5" i="7"/>
  <c r="APK5" i="7"/>
  <c r="APL5" i="7"/>
  <c r="APM5" i="7"/>
  <c r="APN5" i="7"/>
  <c r="APO5" i="7"/>
  <c r="APP5" i="7"/>
  <c r="APQ5" i="7"/>
  <c r="APR5" i="7"/>
  <c r="APS5" i="7"/>
  <c r="APT5" i="7"/>
  <c r="APU5" i="7"/>
  <c r="APV5" i="7"/>
  <c r="APW5" i="7"/>
  <c r="APX5" i="7"/>
  <c r="APY5" i="7"/>
  <c r="APZ5" i="7"/>
  <c r="AQA5" i="7"/>
  <c r="AQB5" i="7"/>
  <c r="AQC5" i="7"/>
  <c r="AQD5" i="7"/>
  <c r="AQE5" i="7"/>
  <c r="AQF5" i="7"/>
  <c r="AQG5" i="7"/>
  <c r="AQH5" i="7"/>
  <c r="AQI5" i="7"/>
  <c r="AQJ5" i="7"/>
  <c r="AQK5" i="7"/>
  <c r="AQL5" i="7"/>
  <c r="AQM5" i="7"/>
  <c r="AQN5" i="7"/>
  <c r="AQO5" i="7"/>
  <c r="AQP5" i="7"/>
  <c r="AQQ5" i="7"/>
  <c r="AQR5" i="7"/>
  <c r="AQS5" i="7"/>
  <c r="AQT5" i="7"/>
  <c r="AQU5" i="7"/>
  <c r="AQV5" i="7"/>
  <c r="AQW5" i="7"/>
  <c r="AQX5" i="7"/>
  <c r="AQY5" i="7"/>
  <c r="AQZ5" i="7"/>
  <c r="ARA5" i="7"/>
  <c r="ARB5" i="7"/>
  <c r="ARC5" i="7"/>
  <c r="ARD5" i="7"/>
  <c r="ARE5" i="7"/>
  <c r="ARF5" i="7"/>
  <c r="ARG5" i="7"/>
  <c r="ARH5" i="7"/>
  <c r="ARI5" i="7"/>
  <c r="ARJ5" i="7"/>
  <c r="ARK5" i="7"/>
  <c r="ARL5" i="7"/>
  <c r="ARM5" i="7"/>
  <c r="ARN5" i="7"/>
  <c r="ARO5" i="7"/>
  <c r="ARP5" i="7"/>
  <c r="ARQ5" i="7"/>
  <c r="ARR5" i="7"/>
  <c r="ARS5" i="7"/>
  <c r="ART5" i="7"/>
  <c r="ARU5" i="7"/>
  <c r="ARV5" i="7"/>
  <c r="ARW5" i="7"/>
  <c r="ARX5" i="7"/>
  <c r="ARY5" i="7"/>
  <c r="ARZ5" i="7"/>
  <c r="ASA5" i="7"/>
  <c r="ASB5" i="7"/>
  <c r="ASC5" i="7"/>
  <c r="ASD5" i="7"/>
  <c r="ASE5" i="7"/>
  <c r="ASF5" i="7"/>
  <c r="ASG5" i="7"/>
  <c r="ASH5" i="7"/>
  <c r="ASI5" i="7"/>
  <c r="ASJ5" i="7"/>
  <c r="ASK5" i="7"/>
  <c r="ASL5" i="7"/>
  <c r="ASM5" i="7"/>
  <c r="ASN5" i="7"/>
  <c r="ASO5" i="7"/>
  <c r="ASP5" i="7"/>
  <c r="ASQ5" i="7"/>
  <c r="ASR5" i="7"/>
  <c r="ASS5" i="7"/>
  <c r="AST5" i="7"/>
  <c r="ASU5" i="7"/>
  <c r="ASV5" i="7"/>
  <c r="ASW5" i="7"/>
  <c r="ASX5" i="7"/>
  <c r="ASY5" i="7"/>
  <c r="ASZ5" i="7"/>
  <c r="ATA5" i="7"/>
  <c r="ATB5" i="7"/>
  <c r="ATC5" i="7"/>
  <c r="ATD5" i="7"/>
  <c r="ATE5" i="7"/>
  <c r="ATF5" i="7"/>
  <c r="ATG5" i="7"/>
  <c r="ATH5" i="7"/>
  <c r="ATI5" i="7"/>
  <c r="ATJ5" i="7"/>
  <c r="ATK5" i="7"/>
  <c r="ATL5" i="7"/>
  <c r="ATM5" i="7"/>
  <c r="ATN5" i="7"/>
  <c r="ATO5" i="7"/>
  <c r="ATP5" i="7"/>
  <c r="ATQ5" i="7"/>
  <c r="ATR5" i="7"/>
  <c r="ATS5" i="7"/>
  <c r="ATT5" i="7"/>
  <c r="ATU5" i="7"/>
  <c r="ATV5" i="7"/>
  <c r="ATW5" i="7"/>
  <c r="ATX5" i="7"/>
  <c r="ATY5" i="7"/>
  <c r="ATZ5" i="7"/>
  <c r="AUA5" i="7"/>
  <c r="AUB5" i="7"/>
  <c r="AUC5" i="7"/>
  <c r="AUD5" i="7"/>
  <c r="AUE5" i="7"/>
  <c r="AUF5" i="7"/>
  <c r="AUG5" i="7"/>
  <c r="AUH5" i="7"/>
  <c r="AUI5" i="7"/>
  <c r="AUJ5" i="7"/>
  <c r="AUK5" i="7"/>
  <c r="AUL5" i="7"/>
  <c r="AUM5" i="7"/>
  <c r="AUN5" i="7"/>
  <c r="AUO5" i="7"/>
  <c r="AUP5" i="7"/>
  <c r="AUQ5" i="7"/>
  <c r="AUR5" i="7"/>
  <c r="AUS5" i="7"/>
  <c r="AUT5" i="7"/>
  <c r="AUU5" i="7"/>
  <c r="AUV5" i="7"/>
  <c r="AUW5" i="7"/>
  <c r="AUX5" i="7"/>
  <c r="AUY5" i="7"/>
  <c r="AUZ5" i="7"/>
  <c r="AVA5" i="7"/>
  <c r="AVB5" i="7"/>
  <c r="AVC5" i="7"/>
  <c r="AVD5" i="7"/>
  <c r="AVE5" i="7"/>
  <c r="AVF5" i="7"/>
  <c r="AVG5" i="7"/>
  <c r="AVH5" i="7"/>
  <c r="AVI5" i="7"/>
  <c r="AVJ5" i="7"/>
  <c r="AVK5" i="7"/>
  <c r="AVL5" i="7"/>
  <c r="AVM5" i="7"/>
  <c r="AVN5" i="7"/>
  <c r="AVO5" i="7"/>
  <c r="AVP5" i="7"/>
  <c r="AVQ5" i="7"/>
  <c r="AVR5" i="7"/>
  <c r="AVS5" i="7"/>
  <c r="AVT5" i="7"/>
  <c r="AVU5" i="7"/>
  <c r="AVV5" i="7"/>
  <c r="AVW5" i="7"/>
  <c r="AVX5" i="7"/>
  <c r="AVY5" i="7"/>
  <c r="AVZ5" i="7"/>
  <c r="AWA5" i="7"/>
  <c r="AWB5" i="7"/>
  <c r="AWC5" i="7"/>
  <c r="AWD5" i="7"/>
  <c r="AWE5" i="7"/>
  <c r="AWF5" i="7"/>
  <c r="AWG5" i="7"/>
  <c r="AWH5" i="7"/>
  <c r="AWI5" i="7"/>
  <c r="AWJ5" i="7"/>
  <c r="AWK5" i="7"/>
  <c r="AWL5" i="7"/>
  <c r="AWM5" i="7"/>
  <c r="AWN5" i="7"/>
  <c r="AWO5" i="7"/>
  <c r="AWP5" i="7"/>
  <c r="AWQ5" i="7"/>
  <c r="AWR5" i="7"/>
  <c r="AWS5" i="7"/>
  <c r="AWT5" i="7"/>
  <c r="AWU5" i="7"/>
  <c r="AWV5" i="7"/>
  <c r="AWW5" i="7"/>
  <c r="AWX5" i="7"/>
  <c r="AWY5" i="7"/>
  <c r="AWZ5" i="7"/>
  <c r="AXA5" i="7"/>
  <c r="AXB5" i="7"/>
  <c r="AXC5" i="7"/>
  <c r="AXD5" i="7"/>
  <c r="AXE5" i="7"/>
  <c r="AXF5" i="7"/>
  <c r="AXG5" i="7"/>
  <c r="AXH5" i="7"/>
  <c r="AXI5" i="7"/>
  <c r="AXJ5" i="7"/>
  <c r="AXK5" i="7"/>
  <c r="AXL5" i="7"/>
  <c r="AXM5" i="7"/>
  <c r="AXN5" i="7"/>
  <c r="AXO5" i="7"/>
  <c r="AXP5" i="7"/>
  <c r="AXQ5" i="7"/>
  <c r="AXR5" i="7"/>
  <c r="AXS5" i="7"/>
  <c r="AXT5" i="7"/>
  <c r="AXU5" i="7"/>
  <c r="AXV5" i="7"/>
  <c r="AXW5" i="7"/>
  <c r="AXX5" i="7"/>
  <c r="AXY5" i="7"/>
  <c r="AXZ5" i="7"/>
  <c r="AYA5" i="7"/>
  <c r="AYB5" i="7"/>
  <c r="AYC5" i="7"/>
  <c r="AYD5" i="7"/>
  <c r="AYE5" i="7"/>
  <c r="AYF5" i="7"/>
  <c r="AYG5" i="7"/>
  <c r="AYH5" i="7"/>
  <c r="AYI5" i="7"/>
  <c r="AYJ5" i="7"/>
  <c r="AYK5" i="7"/>
  <c r="AYL5" i="7"/>
  <c r="AYM5" i="7"/>
  <c r="AYN5" i="7"/>
  <c r="AYO5" i="7"/>
  <c r="AYP5" i="7"/>
  <c r="AYQ5" i="7"/>
  <c r="AYR5" i="7"/>
  <c r="AYS5" i="7"/>
  <c r="AYT5" i="7"/>
  <c r="AYU5" i="7"/>
  <c r="AYV5" i="7"/>
  <c r="AYW5" i="7"/>
  <c r="AYX5" i="7"/>
  <c r="AYY5" i="7"/>
  <c r="AYZ5" i="7"/>
  <c r="AZA5" i="7"/>
  <c r="AZB5" i="7"/>
  <c r="AZC5" i="7"/>
  <c r="AZD5" i="7"/>
  <c r="AZE5" i="7"/>
  <c r="AZF5" i="7"/>
  <c r="AZG5" i="7"/>
  <c r="AZH5" i="7"/>
  <c r="AZI5" i="7"/>
  <c r="AZJ5" i="7"/>
  <c r="AZK5" i="7"/>
  <c r="AZL5" i="7"/>
  <c r="AZM5" i="7"/>
  <c r="AZN5" i="7"/>
  <c r="AZO5" i="7"/>
  <c r="AZP5" i="7"/>
  <c r="AZQ5" i="7"/>
  <c r="AZR5" i="7"/>
  <c r="AZS5" i="7"/>
  <c r="AZT5" i="7"/>
  <c r="AZU5" i="7"/>
  <c r="AZV5" i="7"/>
  <c r="AZW5" i="7"/>
  <c r="AZX5" i="7"/>
  <c r="AZY5" i="7"/>
  <c r="AZZ5" i="7"/>
  <c r="BAA5" i="7"/>
  <c r="BAB5" i="7"/>
  <c r="BAC5" i="7"/>
  <c r="BAD5" i="7"/>
  <c r="BAE5" i="7"/>
  <c r="BAF5" i="7"/>
  <c r="BAG5" i="7"/>
  <c r="BAH5" i="7"/>
  <c r="BAI5" i="7"/>
  <c r="BAJ5" i="7"/>
  <c r="BAK5" i="7"/>
  <c r="BAL5" i="7"/>
  <c r="BAM5" i="7"/>
  <c r="BAN5" i="7"/>
  <c r="BAO5" i="7"/>
  <c r="BAP5" i="7"/>
  <c r="BAQ5" i="7"/>
  <c r="BAR5" i="7"/>
  <c r="BAS5" i="7"/>
  <c r="BAT5" i="7"/>
  <c r="BAU5" i="7"/>
  <c r="BAV5" i="7"/>
  <c r="BAW5" i="7"/>
  <c r="BAX5" i="7"/>
  <c r="BAY5" i="7"/>
  <c r="BAZ5" i="7"/>
  <c r="BBA5" i="7"/>
  <c r="BBB5" i="7"/>
  <c r="BBC5" i="7"/>
  <c r="BBD5" i="7"/>
  <c r="BBE5" i="7"/>
  <c r="BBF5" i="7"/>
  <c r="BBG5" i="7"/>
  <c r="BBH5" i="7"/>
  <c r="BBI5" i="7"/>
  <c r="BBJ5" i="7"/>
  <c r="BBK5" i="7"/>
  <c r="BBL5" i="7"/>
  <c r="BBM5" i="7"/>
  <c r="BBN5" i="7"/>
  <c r="BBO5" i="7"/>
  <c r="BBP5" i="7"/>
  <c r="BBQ5" i="7"/>
  <c r="BBR5" i="7"/>
  <c r="BBS5" i="7"/>
  <c r="BBT5" i="7"/>
  <c r="BBU5" i="7"/>
  <c r="BBV5" i="7"/>
  <c r="BBW5" i="7"/>
  <c r="BBX5" i="7"/>
  <c r="BBY5" i="7"/>
  <c r="BBZ5" i="7"/>
  <c r="BCA5" i="7"/>
  <c r="BCB5" i="7"/>
  <c r="BCC5" i="7"/>
  <c r="BCD5" i="7"/>
  <c r="BCE5" i="7"/>
  <c r="BCF5" i="7"/>
  <c r="BCG5" i="7"/>
  <c r="BCH5" i="7"/>
  <c r="BCI5" i="7"/>
  <c r="BCJ5" i="7"/>
  <c r="BCK5" i="7"/>
  <c r="BCL5" i="7"/>
  <c r="BCM5" i="7"/>
  <c r="BCN5" i="7"/>
  <c r="BCO5" i="7"/>
  <c r="BCP5" i="7"/>
  <c r="BCQ5" i="7"/>
  <c r="BCR5" i="7"/>
  <c r="BCS5" i="7"/>
  <c r="BCT5" i="7"/>
  <c r="BCU5" i="7"/>
  <c r="BCV5" i="7"/>
  <c r="BCW5" i="7"/>
  <c r="BCX5" i="7"/>
  <c r="BCY5" i="7"/>
  <c r="BCZ5" i="7"/>
  <c r="BDA5" i="7"/>
  <c r="BDB5" i="7"/>
  <c r="BDC5" i="7"/>
  <c r="BDD5" i="7"/>
  <c r="BDE5" i="7"/>
  <c r="BDF5" i="7"/>
  <c r="BDG5" i="7"/>
  <c r="BDH5" i="7"/>
  <c r="BDI5" i="7"/>
  <c r="BDJ5" i="7"/>
  <c r="BDK5" i="7"/>
  <c r="BDL5" i="7"/>
  <c r="BDM5" i="7"/>
  <c r="BDN5" i="7"/>
  <c r="BDO5" i="7"/>
  <c r="BDP5" i="7"/>
  <c r="BDQ5" i="7"/>
  <c r="BDR5" i="7"/>
  <c r="BDS5" i="7"/>
  <c r="BDT5" i="7"/>
  <c r="BDU5" i="7"/>
  <c r="BDV5" i="7"/>
  <c r="BDW5" i="7"/>
  <c r="BDX5" i="7"/>
  <c r="BDY5" i="7"/>
  <c r="BDZ5" i="7"/>
  <c r="BEA5" i="7"/>
  <c r="BEB5" i="7"/>
  <c r="BEC5" i="7"/>
  <c r="BED5" i="7"/>
  <c r="BEE5" i="7"/>
  <c r="BEF5" i="7"/>
  <c r="BEG5" i="7"/>
  <c r="BEH5" i="7"/>
  <c r="BEI5" i="7"/>
  <c r="BEJ5" i="7"/>
  <c r="BEK5" i="7"/>
  <c r="BEL5" i="7"/>
  <c r="BEM5" i="7"/>
  <c r="BEN5" i="7"/>
  <c r="BEO5" i="7"/>
  <c r="BEP5" i="7"/>
  <c r="BEQ5" i="7"/>
  <c r="BER5" i="7"/>
  <c r="BES5" i="7"/>
  <c r="BET5" i="7"/>
  <c r="BEU5" i="7"/>
  <c r="BEV5" i="7"/>
  <c r="BEW5" i="7"/>
  <c r="BEX5" i="7"/>
  <c r="BEY5" i="7"/>
  <c r="BEZ5" i="7"/>
  <c r="BFA5" i="7"/>
  <c r="BFB5" i="7"/>
  <c r="BFC5" i="7"/>
  <c r="BFD5" i="7"/>
  <c r="BFE5" i="7"/>
  <c r="BFF5" i="7"/>
  <c r="BFG5" i="7"/>
  <c r="BFH5" i="7"/>
  <c r="BFI5" i="7"/>
  <c r="BFJ5" i="7"/>
  <c r="BFK5" i="7"/>
  <c r="BFL5" i="7"/>
  <c r="BFM5" i="7"/>
  <c r="BFN5" i="7"/>
  <c r="BFO5" i="7"/>
  <c r="BFP5" i="7"/>
  <c r="BFQ5" i="7"/>
  <c r="BFR5" i="7"/>
  <c r="BFS5" i="7"/>
  <c r="BFT5" i="7"/>
  <c r="BFU5" i="7"/>
  <c r="BFV5" i="7"/>
  <c r="BFW5" i="7"/>
  <c r="BFX5" i="7"/>
  <c r="BFY5" i="7"/>
  <c r="BFZ5" i="7"/>
  <c r="BGA5" i="7"/>
  <c r="BGB5" i="7"/>
  <c r="BGC5" i="7"/>
  <c r="BGD5" i="7"/>
  <c r="BGE5" i="7"/>
  <c r="BGF5" i="7"/>
  <c r="BGG5" i="7"/>
  <c r="BGH5" i="7"/>
  <c r="BGI5" i="7"/>
  <c r="BGJ5" i="7"/>
  <c r="BGK5" i="7"/>
  <c r="BGL5" i="7"/>
  <c r="BGM5" i="7"/>
  <c r="BGN5" i="7"/>
  <c r="BGO5" i="7"/>
  <c r="BGP5" i="7"/>
  <c r="BGQ5" i="7"/>
  <c r="BGR5" i="7"/>
  <c r="BGS5" i="7"/>
  <c r="BGT5" i="7"/>
  <c r="BGU5" i="7"/>
  <c r="BGV5" i="7"/>
  <c r="BGW5" i="7"/>
  <c r="BGX5" i="7"/>
  <c r="BGY5" i="7"/>
  <c r="BGZ5" i="7"/>
  <c r="BHA5" i="7"/>
  <c r="BHB5" i="7"/>
  <c r="BHC5" i="7"/>
  <c r="BHD5" i="7"/>
  <c r="BHE5" i="7"/>
  <c r="BHF5" i="7"/>
  <c r="BHG5" i="7"/>
  <c r="BHH5" i="7"/>
  <c r="BHI5" i="7"/>
  <c r="BHJ5" i="7"/>
  <c r="BHK5" i="7"/>
  <c r="BHL5" i="7"/>
  <c r="BHM5" i="7"/>
  <c r="BHN5" i="7"/>
  <c r="BHO5" i="7"/>
  <c r="BHP5" i="7"/>
  <c r="BHQ5" i="7"/>
  <c r="BHR5" i="7"/>
  <c r="BHS5" i="7"/>
  <c r="BHT5" i="7"/>
  <c r="BHU5" i="7"/>
  <c r="BHV5" i="7"/>
  <c r="BHW5" i="7"/>
  <c r="BHX5" i="7"/>
  <c r="BHY5" i="7"/>
  <c r="BHZ5" i="7"/>
  <c r="BIA5" i="7"/>
  <c r="BIB5" i="7"/>
  <c r="BIC5" i="7"/>
  <c r="BID5" i="7"/>
  <c r="BIE5" i="7"/>
  <c r="BIF5" i="7"/>
  <c r="BIG5" i="7"/>
  <c r="BIH5" i="7"/>
  <c r="BII5" i="7"/>
  <c r="BIJ5" i="7"/>
  <c r="BIK5" i="7"/>
  <c r="BIL5" i="7"/>
  <c r="BIM5" i="7"/>
  <c r="BIN5" i="7"/>
  <c r="BIO5" i="7"/>
  <c r="BIP5" i="7"/>
  <c r="BIQ5" i="7"/>
  <c r="BIR5" i="7"/>
  <c r="BIS5" i="7"/>
  <c r="BIT5" i="7"/>
  <c r="BIU5" i="7"/>
  <c r="BIV5" i="7"/>
  <c r="BIW5" i="7"/>
  <c r="BIX5" i="7"/>
  <c r="BIY5" i="7"/>
  <c r="BIZ5" i="7"/>
  <c r="BJA5" i="7"/>
  <c r="BJB5" i="7"/>
  <c r="BJC5" i="7"/>
  <c r="BJD5" i="7"/>
  <c r="BJE5" i="7"/>
  <c r="BJF5" i="7"/>
  <c r="BJG5" i="7"/>
  <c r="BJH5" i="7"/>
  <c r="BJI5" i="7"/>
  <c r="BJJ5" i="7"/>
  <c r="BJK5" i="7"/>
  <c r="BJL5" i="7"/>
  <c r="BJM5" i="7"/>
  <c r="BJN5" i="7"/>
  <c r="BJO5" i="7"/>
  <c r="BJP5" i="7"/>
  <c r="BJQ5" i="7"/>
  <c r="BJR5" i="7"/>
  <c r="BJS5" i="7"/>
  <c r="BJT5" i="7"/>
  <c r="BJU5" i="7"/>
  <c r="BJV5" i="7"/>
  <c r="BJW5" i="7"/>
  <c r="BJX5" i="7"/>
  <c r="BJY5" i="7"/>
  <c r="BJZ5" i="7"/>
  <c r="BKA5" i="7"/>
  <c r="BKB5" i="7"/>
  <c r="BKC5" i="7"/>
  <c r="BKD5" i="7"/>
  <c r="BKE5" i="7"/>
  <c r="BKF5" i="7"/>
  <c r="BKG5" i="7"/>
  <c r="BKH5" i="7"/>
  <c r="BKI5" i="7"/>
  <c r="BKJ5" i="7"/>
  <c r="BKK5" i="7"/>
  <c r="BKL5" i="7"/>
  <c r="BKM5" i="7"/>
  <c r="BKN5" i="7"/>
  <c r="BKO5" i="7"/>
  <c r="BKP5" i="7"/>
  <c r="BKQ5" i="7"/>
  <c r="BKR5" i="7"/>
  <c r="BKS5" i="7"/>
  <c r="BKT5" i="7"/>
  <c r="BKU5" i="7"/>
  <c r="BKV5" i="7"/>
  <c r="BKW5" i="7"/>
  <c r="BKX5" i="7"/>
  <c r="BKY5" i="7"/>
  <c r="BKZ5" i="7"/>
  <c r="BLA5" i="7"/>
  <c r="BLB5" i="7"/>
  <c r="BLC5" i="7"/>
  <c r="BLD5" i="7"/>
  <c r="BLE5" i="7"/>
  <c r="BLF5" i="7"/>
  <c r="BLG5" i="7"/>
  <c r="BLH5" i="7"/>
  <c r="BLI5" i="7"/>
  <c r="BLJ5" i="7"/>
  <c r="BLK5" i="7"/>
  <c r="BLL5" i="7"/>
  <c r="BLM5" i="7"/>
  <c r="BLN5" i="7"/>
  <c r="BLO5" i="7"/>
  <c r="BLP5" i="7"/>
  <c r="BLQ5" i="7"/>
  <c r="BLR5" i="7"/>
  <c r="BLS5" i="7"/>
  <c r="BLT5" i="7"/>
  <c r="BLU5" i="7"/>
  <c r="BLV5" i="7"/>
  <c r="BLW5" i="7"/>
  <c r="BLX5" i="7"/>
  <c r="BLY5" i="7"/>
  <c r="BLZ5" i="7"/>
  <c r="BMA5" i="7"/>
  <c r="BMB5" i="7"/>
  <c r="BMC5" i="7"/>
  <c r="BMD5" i="7"/>
  <c r="BME5" i="7"/>
  <c r="BMF5" i="7"/>
  <c r="BMG5" i="7"/>
  <c r="BMH5" i="7"/>
  <c r="BMI5" i="7"/>
  <c r="BMJ5" i="7"/>
  <c r="BMK5" i="7"/>
  <c r="BML5" i="7"/>
  <c r="BMM5" i="7"/>
  <c r="BMN5" i="7"/>
  <c r="BMO5" i="7"/>
  <c r="BMP5" i="7"/>
  <c r="BMQ5" i="7"/>
  <c r="BMR5" i="7"/>
  <c r="BMS5" i="7"/>
  <c r="BMT5" i="7"/>
  <c r="BMU5" i="7"/>
  <c r="BMV5" i="7"/>
  <c r="BMW5" i="7"/>
  <c r="BMX5" i="7"/>
  <c r="BMY5" i="7"/>
  <c r="BMZ5" i="7"/>
  <c r="BNA5" i="7"/>
  <c r="BNB5" i="7"/>
  <c r="BNC5" i="7"/>
  <c r="BND5" i="7"/>
  <c r="BNE5" i="7"/>
  <c r="BNF5" i="7"/>
  <c r="BNG5" i="7"/>
  <c r="BNH5" i="7"/>
  <c r="BNI5" i="7"/>
  <c r="BNJ5" i="7"/>
  <c r="BNK5" i="7"/>
  <c r="BNL5" i="7"/>
  <c r="BNM5" i="7"/>
  <c r="BNN5" i="7"/>
  <c r="BNO5" i="7"/>
  <c r="BNP5" i="7"/>
  <c r="BNQ5" i="7"/>
  <c r="BNR5" i="7"/>
  <c r="BNS5" i="7"/>
  <c r="BNT5" i="7"/>
  <c r="BNU5" i="7"/>
  <c r="BNV5" i="7"/>
  <c r="BNW5" i="7"/>
  <c r="BNX5" i="7"/>
  <c r="BNY5" i="7"/>
  <c r="BNZ5" i="7"/>
  <c r="BOA5" i="7"/>
  <c r="BOB5" i="7"/>
  <c r="BOC5" i="7"/>
  <c r="BOD5" i="7"/>
  <c r="BOE5" i="7"/>
  <c r="BOF5" i="7"/>
  <c r="BOG5" i="7"/>
  <c r="BOH5" i="7"/>
  <c r="BOI5" i="7"/>
  <c r="BOJ5" i="7"/>
  <c r="BOK5" i="7"/>
  <c r="BOL5" i="7"/>
  <c r="BOM5" i="7"/>
  <c r="BON5" i="7"/>
  <c r="BOO5" i="7"/>
  <c r="BOP5" i="7"/>
  <c r="BOQ5" i="7"/>
  <c r="BOR5" i="7"/>
  <c r="BOS5" i="7"/>
  <c r="BOT5" i="7"/>
  <c r="BOU5" i="7"/>
  <c r="BOV5" i="7"/>
  <c r="BOW5" i="7"/>
  <c r="BOX5" i="7"/>
  <c r="BOY5" i="7"/>
  <c r="BOZ5" i="7"/>
  <c r="BPA5" i="7"/>
  <c r="BPB5" i="7"/>
  <c r="BPC5" i="7"/>
  <c r="BPD5" i="7"/>
  <c r="BPE5" i="7"/>
  <c r="BPF5" i="7"/>
  <c r="BPG5" i="7"/>
  <c r="BPH5" i="7"/>
  <c r="BPI5" i="7"/>
  <c r="BPJ5" i="7"/>
  <c r="BPK5" i="7"/>
  <c r="BPL5" i="7"/>
  <c r="BPM5" i="7"/>
  <c r="BPN5" i="7"/>
  <c r="BPO5" i="7"/>
  <c r="BPP5" i="7"/>
  <c r="BPQ5" i="7"/>
  <c r="BPR5" i="7"/>
  <c r="BPS5" i="7"/>
  <c r="BPT5" i="7"/>
  <c r="BPU5" i="7"/>
  <c r="BPV5" i="7"/>
  <c r="BPW5" i="7"/>
  <c r="BPX5" i="7"/>
  <c r="BPY5" i="7"/>
  <c r="BPZ5" i="7"/>
  <c r="BQA5" i="7"/>
  <c r="BQB5" i="7"/>
  <c r="BQC5" i="7"/>
  <c r="BQD5" i="7"/>
  <c r="BQE5" i="7"/>
  <c r="BQF5" i="7"/>
  <c r="BQG5" i="7"/>
  <c r="BQH5" i="7"/>
  <c r="BQI5" i="7"/>
  <c r="BQJ5" i="7"/>
  <c r="BQK5" i="7"/>
  <c r="BQL5" i="7"/>
  <c r="BQM5" i="7"/>
  <c r="BQN5" i="7"/>
  <c r="BQO5" i="7"/>
  <c r="BQP5" i="7"/>
  <c r="BQQ5" i="7"/>
  <c r="BQR5" i="7"/>
  <c r="BQS5" i="7"/>
  <c r="BQT5" i="7"/>
  <c r="BQU5" i="7"/>
  <c r="BQV5" i="7"/>
  <c r="BQW5" i="7"/>
  <c r="BQX5" i="7"/>
  <c r="BQY5" i="7"/>
  <c r="BQZ5" i="7"/>
  <c r="BRA5" i="7"/>
  <c r="BRB5" i="7"/>
  <c r="BRC5" i="7"/>
  <c r="BRD5" i="7"/>
  <c r="BRE5" i="7"/>
  <c r="BRF5" i="7"/>
  <c r="BRG5" i="7"/>
  <c r="BRH5" i="7"/>
  <c r="BRI5" i="7"/>
  <c r="BRJ5" i="7"/>
  <c r="BRK5" i="7"/>
  <c r="BRL5" i="7"/>
  <c r="BRM5" i="7"/>
  <c r="BRN5" i="7"/>
  <c r="BRO5" i="7"/>
  <c r="BRP5" i="7"/>
  <c r="BRQ5" i="7"/>
  <c r="BRR5" i="7"/>
  <c r="BRS5" i="7"/>
  <c r="BRT5" i="7"/>
  <c r="BRU5" i="7"/>
  <c r="BRV5" i="7"/>
  <c r="BRW5" i="7"/>
  <c r="BRX5" i="7"/>
  <c r="BRY5" i="7"/>
  <c r="BRZ5" i="7"/>
  <c r="BSA5" i="7"/>
  <c r="BSB5" i="7"/>
  <c r="BSC5" i="7"/>
  <c r="BSD5" i="7"/>
  <c r="BSE5" i="7"/>
  <c r="BSF5" i="7"/>
  <c r="BSG5" i="7"/>
  <c r="BSH5" i="7"/>
  <c r="BSI5" i="7"/>
  <c r="BSJ5" i="7"/>
  <c r="BSK5" i="7"/>
  <c r="BSL5" i="7"/>
  <c r="BSM5" i="7"/>
  <c r="BSN5" i="7"/>
  <c r="BSO5" i="7"/>
  <c r="BSP5" i="7"/>
  <c r="BSQ5" i="7"/>
  <c r="BSR5" i="7"/>
  <c r="BSS5" i="7"/>
  <c r="BST5" i="7"/>
  <c r="BSU5" i="7"/>
  <c r="BSV5" i="7"/>
  <c r="BSW5" i="7"/>
  <c r="BSX5" i="7"/>
  <c r="BSY5" i="7"/>
  <c r="BSZ5" i="7"/>
  <c r="BTA5" i="7"/>
  <c r="BTB5" i="7"/>
  <c r="BTC5" i="7"/>
  <c r="BTD5" i="7"/>
  <c r="BTE5" i="7"/>
  <c r="BTF5" i="7"/>
  <c r="BTG5" i="7"/>
  <c r="BTH5" i="7"/>
  <c r="BTI5" i="7"/>
  <c r="BTJ5" i="7"/>
  <c r="BTK5" i="7"/>
  <c r="BTL5" i="7"/>
  <c r="BTM5" i="7"/>
  <c r="BTN5" i="7"/>
  <c r="BTO5" i="7"/>
  <c r="BTP5" i="7"/>
  <c r="BTQ5" i="7"/>
  <c r="BTR5" i="7"/>
  <c r="BTS5" i="7"/>
  <c r="BTT5" i="7"/>
  <c r="BTU5" i="7"/>
  <c r="BTV5" i="7"/>
  <c r="BTW5" i="7"/>
  <c r="BTX5" i="7"/>
  <c r="BTY5" i="7"/>
  <c r="BTZ5" i="7"/>
  <c r="BUA5" i="7"/>
  <c r="BUB5" i="7"/>
  <c r="BUC5" i="7"/>
  <c r="BUD5" i="7"/>
  <c r="BUE5" i="7"/>
  <c r="BUF5" i="7"/>
  <c r="BUG5" i="7"/>
  <c r="BUH5" i="7"/>
  <c r="BUI5" i="7"/>
  <c r="BUJ5" i="7"/>
  <c r="BUK5" i="7"/>
  <c r="BUL5" i="7"/>
  <c r="BUM5" i="7"/>
  <c r="BUN5" i="7"/>
  <c r="BUO5" i="7"/>
  <c r="BUP5" i="7"/>
  <c r="BUQ5" i="7"/>
  <c r="BUR5" i="7"/>
  <c r="BUS5" i="7"/>
  <c r="BUT5" i="7"/>
  <c r="BUU5" i="7"/>
  <c r="BUV5" i="7"/>
  <c r="BUW5" i="7"/>
  <c r="BUX5" i="7"/>
  <c r="BUY5" i="7"/>
  <c r="BUZ5" i="7"/>
  <c r="BVA5" i="7"/>
  <c r="BVB5" i="7"/>
  <c r="BVC5" i="7"/>
  <c r="BVD5" i="7"/>
  <c r="BVE5" i="7"/>
  <c r="BVF5" i="7"/>
  <c r="BVG5" i="7"/>
  <c r="BVH5" i="7"/>
  <c r="BVI5" i="7"/>
  <c r="BVJ5" i="7"/>
  <c r="BVK5" i="7"/>
  <c r="BVL5" i="7"/>
  <c r="BVM5" i="7"/>
  <c r="BVN5" i="7"/>
  <c r="BVO5" i="7"/>
  <c r="BVP5" i="7"/>
  <c r="BVQ5" i="7"/>
  <c r="BVR5" i="7"/>
  <c r="BVS5" i="7"/>
  <c r="BVT5" i="7"/>
  <c r="BVU5" i="7"/>
  <c r="BVV5" i="7"/>
  <c r="BVW5" i="7"/>
  <c r="BVX5" i="7"/>
  <c r="BVY5" i="7"/>
  <c r="BVZ5" i="7"/>
  <c r="BWA5" i="7"/>
  <c r="BWB5" i="7"/>
  <c r="BWC5" i="7"/>
  <c r="BWD5" i="7"/>
  <c r="BWE5" i="7"/>
  <c r="BWF5" i="7"/>
  <c r="BWG5" i="7"/>
  <c r="BWH5" i="7"/>
  <c r="BWI5" i="7"/>
  <c r="BWJ5" i="7"/>
  <c r="BWK5" i="7"/>
  <c r="BWL5" i="7"/>
  <c r="BWM5" i="7"/>
  <c r="BWN5" i="7"/>
  <c r="BWO5" i="7"/>
  <c r="BWP5" i="7"/>
  <c r="BWQ5" i="7"/>
  <c r="BWR5" i="7"/>
  <c r="BWS5" i="7"/>
  <c r="BWT5" i="7"/>
  <c r="BWU5" i="7"/>
  <c r="BWV5" i="7"/>
  <c r="BWW5" i="7"/>
  <c r="BWX5" i="7"/>
  <c r="BWY5" i="7"/>
  <c r="BWZ5" i="7"/>
  <c r="BXA5" i="7"/>
  <c r="BXB5" i="7"/>
  <c r="BXC5" i="7"/>
  <c r="BXD5" i="7"/>
  <c r="BXE5" i="7"/>
  <c r="BXF5" i="7"/>
  <c r="BXG5" i="7"/>
  <c r="BXH5" i="7"/>
  <c r="BXI5" i="7"/>
  <c r="BXJ5" i="7"/>
  <c r="BXK5" i="7"/>
  <c r="BXL5" i="7"/>
  <c r="BXM5" i="7"/>
  <c r="BXN5" i="7"/>
  <c r="BXO5" i="7"/>
  <c r="BXP5" i="7"/>
  <c r="BXQ5" i="7"/>
  <c r="BXR5" i="7"/>
  <c r="BXS5" i="7"/>
  <c r="BXT5" i="7"/>
  <c r="BXU5" i="7"/>
  <c r="BXV5" i="7"/>
  <c r="BXW5" i="7"/>
  <c r="BXX5" i="7"/>
  <c r="BXY5" i="7"/>
  <c r="BXZ5" i="7"/>
  <c r="BYA5" i="7"/>
  <c r="BYB5" i="7"/>
  <c r="BYC5" i="7"/>
  <c r="BYD5" i="7"/>
  <c r="BYE5" i="7"/>
  <c r="BYF5" i="7"/>
  <c r="BYG5" i="7"/>
  <c r="BYH5" i="7"/>
  <c r="BYI5" i="7"/>
  <c r="BYJ5" i="7"/>
  <c r="BYK5" i="7"/>
  <c r="BYL5" i="7"/>
  <c r="BYM5" i="7"/>
  <c r="BYN5" i="7"/>
  <c r="BYO5" i="7"/>
  <c r="BYP5" i="7"/>
  <c r="BYQ5" i="7"/>
  <c r="BYR5" i="7"/>
  <c r="BYS5" i="7"/>
  <c r="BYT5" i="7"/>
  <c r="BYU5" i="7"/>
  <c r="BYV5" i="7"/>
  <c r="BYW5" i="7"/>
  <c r="BYX5" i="7"/>
  <c r="BYY5" i="7"/>
  <c r="BYZ5" i="7"/>
  <c r="BZA5" i="7"/>
  <c r="BZB5" i="7"/>
  <c r="BZC5" i="7"/>
  <c r="BZD5" i="7"/>
  <c r="BZE5" i="7"/>
  <c r="BZF5" i="7"/>
  <c r="BZG5" i="7"/>
  <c r="BZH5" i="7"/>
  <c r="BZI5" i="7"/>
  <c r="BZJ5" i="7"/>
  <c r="BZK5" i="7"/>
  <c r="BZL5" i="7"/>
  <c r="BZM5" i="7"/>
  <c r="BZN5" i="7"/>
  <c r="BZO5" i="7"/>
  <c r="BZP5" i="7"/>
  <c r="BZQ5" i="7"/>
  <c r="BZR5" i="7"/>
  <c r="BZS5" i="7"/>
  <c r="BZT5" i="7"/>
  <c r="BZU5" i="7"/>
  <c r="BZV5" i="7"/>
  <c r="BZW5" i="7"/>
  <c r="BZX5" i="7"/>
  <c r="BZY5" i="7"/>
  <c r="BZZ5" i="7"/>
  <c r="CAA5" i="7"/>
  <c r="CAB5" i="7"/>
  <c r="CAC5" i="7"/>
  <c r="CAD5" i="7"/>
  <c r="CAE5" i="7"/>
  <c r="CAF5" i="7"/>
  <c r="CAG5" i="7"/>
  <c r="CAH5" i="7"/>
  <c r="CAI5" i="7"/>
  <c r="CAJ5" i="7"/>
  <c r="CAK5" i="7"/>
  <c r="CAL5" i="7"/>
  <c r="CAM5" i="7"/>
  <c r="CAN5" i="7"/>
  <c r="CAO5" i="7"/>
  <c r="CAP5" i="7"/>
  <c r="CAQ5" i="7"/>
  <c r="CAR5" i="7"/>
  <c r="CAS5" i="7"/>
  <c r="CAT5" i="7"/>
  <c r="CAU5" i="7"/>
  <c r="CAV5" i="7"/>
  <c r="CAW5" i="7"/>
  <c r="CAX5" i="7"/>
  <c r="CAY5" i="7"/>
  <c r="CAZ5" i="7"/>
  <c r="CBA5" i="7"/>
  <c r="CBB5" i="7"/>
  <c r="CBC5" i="7"/>
  <c r="CBD5" i="7"/>
  <c r="CBE5" i="7"/>
  <c r="CBF5" i="7"/>
  <c r="CBG5" i="7"/>
  <c r="CBH5" i="7"/>
  <c r="CBI5" i="7"/>
  <c r="CBJ5" i="7"/>
  <c r="CBK5" i="7"/>
  <c r="CBL5" i="7"/>
  <c r="CBM5" i="7"/>
  <c r="CBN5" i="7"/>
  <c r="CBO5" i="7"/>
  <c r="CBP5" i="7"/>
  <c r="CBQ5" i="7"/>
  <c r="CBR5" i="7"/>
  <c r="CBS5" i="7"/>
  <c r="CBT5" i="7"/>
  <c r="CBU5" i="7"/>
  <c r="CBV5" i="7"/>
  <c r="CBW5" i="7"/>
  <c r="CBX5" i="7"/>
  <c r="CBY5" i="7"/>
  <c r="CBZ5" i="7"/>
  <c r="CCA5" i="7"/>
  <c r="CCB5" i="7"/>
  <c r="CCC5" i="7"/>
  <c r="CCD5" i="7"/>
  <c r="CCE5" i="7"/>
  <c r="CCF5" i="7"/>
  <c r="CCG5" i="7"/>
  <c r="CCH5" i="7"/>
  <c r="CCI5" i="7"/>
  <c r="CCJ5" i="7"/>
  <c r="CCK5" i="7"/>
  <c r="CCL5" i="7"/>
  <c r="CCM5" i="7"/>
  <c r="CCN5" i="7"/>
  <c r="CCO5" i="7"/>
  <c r="CCP5" i="7"/>
  <c r="CCQ5" i="7"/>
  <c r="CCR5" i="7"/>
  <c r="CCS5" i="7"/>
  <c r="CCT5" i="7"/>
  <c r="CCU5" i="7"/>
  <c r="CCV5" i="7"/>
  <c r="CCW5" i="7"/>
  <c r="CCX5" i="7"/>
  <c r="CCY5" i="7"/>
  <c r="CCZ5" i="7"/>
  <c r="CDA5" i="7"/>
  <c r="CDB5" i="7"/>
  <c r="CDC5" i="7"/>
  <c r="CDD5" i="7"/>
  <c r="CDE5" i="7"/>
  <c r="CDF5" i="7"/>
  <c r="CDG5" i="7"/>
  <c r="CDH5" i="7"/>
  <c r="CDI5" i="7"/>
  <c r="CDJ5" i="7"/>
  <c r="CDK5" i="7"/>
  <c r="CDL5" i="7"/>
  <c r="CDM5" i="7"/>
  <c r="CDN5" i="7"/>
  <c r="CDO5" i="7"/>
  <c r="CDP5" i="7"/>
  <c r="CDQ5" i="7"/>
  <c r="CDR5" i="7"/>
  <c r="CDS5" i="7"/>
  <c r="CDT5" i="7"/>
  <c r="CDU5" i="7"/>
  <c r="CDV5" i="7"/>
  <c r="CDW5" i="7"/>
  <c r="CDX5" i="7"/>
  <c r="CDY5" i="7"/>
  <c r="CDZ5" i="7"/>
  <c r="CEA5" i="7"/>
  <c r="CEB5" i="7"/>
  <c r="CEC5" i="7"/>
  <c r="CED5" i="7"/>
  <c r="CEE5" i="7"/>
  <c r="CEF5" i="7"/>
  <c r="CEG5" i="7"/>
  <c r="CEH5" i="7"/>
  <c r="CEI5" i="7"/>
  <c r="CEJ5" i="7"/>
  <c r="CEK5" i="7"/>
  <c r="CEL5" i="7"/>
  <c r="CEM5" i="7"/>
  <c r="CEN5" i="7"/>
  <c r="CEO5" i="7"/>
  <c r="CEP5" i="7"/>
  <c r="CEQ5" i="7"/>
  <c r="CER5" i="7"/>
  <c r="CES5" i="7"/>
  <c r="CET5" i="7"/>
  <c r="CEU5" i="7"/>
  <c r="CEV5" i="7"/>
  <c r="CEW5" i="7"/>
  <c r="CEX5" i="7"/>
  <c r="CEY5" i="7"/>
  <c r="CEZ5" i="7"/>
  <c r="CFA5" i="7"/>
  <c r="CFB5" i="7"/>
  <c r="CFC5" i="7"/>
  <c r="CFD5" i="7"/>
  <c r="CFE5" i="7"/>
  <c r="CFF5" i="7"/>
  <c r="CFG5" i="7"/>
  <c r="CFH5" i="7"/>
  <c r="CFI5" i="7"/>
  <c r="CFJ5" i="7"/>
  <c r="CFK5" i="7"/>
  <c r="CFL5" i="7"/>
  <c r="CFM5" i="7"/>
  <c r="CFN5" i="7"/>
  <c r="CFO5" i="7"/>
  <c r="CFP5" i="7"/>
  <c r="CFQ5" i="7"/>
  <c r="CFR5" i="7"/>
  <c r="CFS5" i="7"/>
  <c r="CFT5" i="7"/>
  <c r="CFU5" i="7"/>
  <c r="CFV5" i="7"/>
  <c r="CFW5" i="7"/>
  <c r="CFX5" i="7"/>
  <c r="CFY5" i="7"/>
  <c r="CFZ5" i="7"/>
  <c r="CGA5" i="7"/>
  <c r="CGB5" i="7"/>
  <c r="CGC5" i="7"/>
  <c r="CGD5" i="7"/>
  <c r="CGE5" i="7"/>
  <c r="CGF5" i="7"/>
  <c r="CGG5" i="7"/>
  <c r="CGH5" i="7"/>
  <c r="CGI5" i="7"/>
  <c r="CGJ5" i="7"/>
  <c r="CGK5" i="7"/>
  <c r="CGL5" i="7"/>
  <c r="CGM5" i="7"/>
  <c r="CGN5" i="7"/>
  <c r="CGO5" i="7"/>
  <c r="CGP5" i="7"/>
  <c r="CGQ5" i="7"/>
  <c r="CGR5" i="7"/>
  <c r="CGS5" i="7"/>
  <c r="CGT5" i="7"/>
  <c r="CGU5" i="7"/>
  <c r="CGV5" i="7"/>
  <c r="CGW5" i="7"/>
  <c r="CGX5" i="7"/>
  <c r="CGY5" i="7"/>
  <c r="CGZ5" i="7"/>
  <c r="CHA5" i="7"/>
  <c r="CHB5" i="7"/>
  <c r="CHC5" i="7"/>
  <c r="CHD5" i="7"/>
  <c r="CHE5" i="7"/>
  <c r="CHF5" i="7"/>
  <c r="CHG5" i="7"/>
  <c r="CHH5" i="7"/>
  <c r="CHI5" i="7"/>
  <c r="CHJ5" i="7"/>
  <c r="CHK5" i="7"/>
  <c r="CHL5" i="7"/>
  <c r="CHM5" i="7"/>
  <c r="CHN5" i="7"/>
  <c r="CHO5" i="7"/>
  <c r="CHP5" i="7"/>
  <c r="CHQ5" i="7"/>
  <c r="CHR5" i="7"/>
  <c r="CHS5" i="7"/>
  <c r="CHT5" i="7"/>
  <c r="CHU5" i="7"/>
  <c r="CHV5" i="7"/>
  <c r="CHW5" i="7"/>
  <c r="CHX5" i="7"/>
  <c r="CHY5" i="7"/>
  <c r="CHZ5" i="7"/>
  <c r="CIA5" i="7"/>
  <c r="CIB5" i="7"/>
  <c r="CIC5" i="7"/>
  <c r="CID5" i="7"/>
  <c r="CIE5" i="7"/>
  <c r="CIF5" i="7"/>
  <c r="CIG5" i="7"/>
  <c r="CIH5" i="7"/>
  <c r="CII5" i="7"/>
  <c r="CIJ5" i="7"/>
  <c r="CIK5" i="7"/>
  <c r="CIL5" i="7"/>
  <c r="CIM5" i="7"/>
  <c r="CIN5" i="7"/>
  <c r="CIO5" i="7"/>
  <c r="CIP5" i="7"/>
  <c r="CIQ5" i="7"/>
  <c r="CIR5" i="7"/>
  <c r="CIS5" i="7"/>
  <c r="CIT5" i="7"/>
  <c r="CIU5" i="7"/>
  <c r="CIV5" i="7"/>
  <c r="CIW5" i="7"/>
  <c r="CIX5" i="7"/>
  <c r="CIY5" i="7"/>
  <c r="CIZ5" i="7"/>
  <c r="CJA5" i="7"/>
  <c r="CJB5" i="7"/>
  <c r="CJC5" i="7"/>
  <c r="CJD5" i="7"/>
  <c r="CJE5" i="7"/>
  <c r="CJF5" i="7"/>
  <c r="CJG5" i="7"/>
  <c r="CJH5" i="7"/>
  <c r="CJI5" i="7"/>
  <c r="CJJ5" i="7"/>
  <c r="CJK5" i="7"/>
  <c r="CJL5" i="7"/>
  <c r="CJM5" i="7"/>
  <c r="CJN5" i="7"/>
  <c r="CJO5" i="7"/>
  <c r="CJP5" i="7"/>
  <c r="CJQ5" i="7"/>
  <c r="CJR5" i="7"/>
  <c r="CJS5" i="7"/>
  <c r="CJT5" i="7"/>
  <c r="CJU5" i="7"/>
  <c r="CJV5" i="7"/>
  <c r="CJW5" i="7"/>
  <c r="CJX5" i="7"/>
  <c r="CJY5" i="7"/>
  <c r="CJZ5" i="7"/>
  <c r="CKA5" i="7"/>
  <c r="CKB5" i="7"/>
  <c r="CKC5" i="7"/>
  <c r="CKD5" i="7"/>
  <c r="CKE5" i="7"/>
  <c r="CKF5" i="7"/>
  <c r="CKG5" i="7"/>
  <c r="CKH5" i="7"/>
  <c r="CKI5" i="7"/>
  <c r="CKJ5" i="7"/>
  <c r="CKK5" i="7"/>
  <c r="CKL5" i="7"/>
  <c r="CKM5" i="7"/>
  <c r="CKN5" i="7"/>
  <c r="CKO5" i="7"/>
  <c r="CKP5" i="7"/>
  <c r="CKQ5" i="7"/>
  <c r="CKR5" i="7"/>
  <c r="CKS5" i="7"/>
  <c r="CKT5" i="7"/>
  <c r="CKU5" i="7"/>
  <c r="CKV5" i="7"/>
  <c r="CKW5" i="7"/>
  <c r="CKX5" i="7"/>
  <c r="CKY5" i="7"/>
  <c r="CKZ5" i="7"/>
  <c r="CLA5" i="7"/>
  <c r="CLB5" i="7"/>
  <c r="CLC5" i="7"/>
  <c r="CLD5" i="7"/>
  <c r="CLE5" i="7"/>
  <c r="CLF5" i="7"/>
  <c r="CLG5" i="7"/>
  <c r="CLH5" i="7"/>
  <c r="CLI5" i="7"/>
  <c r="CLJ5" i="7"/>
  <c r="CLK5" i="7"/>
  <c r="CLL5" i="7"/>
  <c r="CLM5" i="7"/>
  <c r="CLN5" i="7"/>
  <c r="CLO5" i="7"/>
  <c r="CLP5" i="7"/>
  <c r="CLQ5" i="7"/>
  <c r="CLR5" i="7"/>
  <c r="CLS5" i="7"/>
  <c r="CLT5" i="7"/>
  <c r="CLU5" i="7"/>
  <c r="CLV5" i="7"/>
  <c r="CLW5" i="7"/>
  <c r="CLX5" i="7"/>
  <c r="CLY5" i="7"/>
  <c r="CLZ5" i="7"/>
  <c r="CMA5" i="7"/>
  <c r="CMB5" i="7"/>
  <c r="CMC5" i="7"/>
  <c r="CMD5" i="7"/>
  <c r="CME5" i="7"/>
  <c r="CMF5" i="7"/>
  <c r="CMG5" i="7"/>
  <c r="CMH5" i="7"/>
  <c r="CMI5" i="7"/>
  <c r="CMJ5" i="7"/>
  <c r="CMK5" i="7"/>
  <c r="CML5" i="7"/>
  <c r="CMM5" i="7"/>
  <c r="CMN5" i="7"/>
  <c r="CMO5" i="7"/>
  <c r="CMP5" i="7"/>
  <c r="CMQ5" i="7"/>
  <c r="CMR5" i="7"/>
  <c r="CMS5" i="7"/>
  <c r="CMT5" i="7"/>
  <c r="CMU5" i="7"/>
  <c r="CMV5" i="7"/>
  <c r="CMW5" i="7"/>
  <c r="CMX5" i="7"/>
  <c r="CMY5" i="7"/>
  <c r="CMZ5" i="7"/>
  <c r="CNA5" i="7"/>
  <c r="CNB5" i="7"/>
  <c r="CNC5" i="7"/>
  <c r="CND5" i="7"/>
  <c r="CNE5" i="7"/>
  <c r="CNF5" i="7"/>
  <c r="CNG5" i="7"/>
  <c r="CNH5" i="7"/>
  <c r="CNI5" i="7"/>
  <c r="CNJ5" i="7"/>
  <c r="CNK5" i="7"/>
  <c r="CNL5" i="7"/>
  <c r="CNM5" i="7"/>
  <c r="CNN5" i="7"/>
  <c r="CNO5" i="7"/>
  <c r="CNP5" i="7"/>
  <c r="CNQ5" i="7"/>
  <c r="CNR5" i="7"/>
  <c r="CNS5" i="7"/>
  <c r="CNT5" i="7"/>
  <c r="CNU5" i="7"/>
  <c r="CNV5" i="7"/>
  <c r="CNW5" i="7"/>
  <c r="CNX5" i="7"/>
  <c r="CNY5" i="7"/>
  <c r="CNZ5" i="7"/>
  <c r="COA5" i="7"/>
  <c r="COB5" i="7"/>
  <c r="COC5" i="7"/>
  <c r="COD5" i="7"/>
  <c r="COE5" i="7"/>
  <c r="COF5" i="7"/>
  <c r="COG5" i="7"/>
  <c r="COH5" i="7"/>
  <c r="COI5" i="7"/>
  <c r="COJ5" i="7"/>
  <c r="COK5" i="7"/>
  <c r="COL5" i="7"/>
  <c r="COM5" i="7"/>
  <c r="CON5" i="7"/>
  <c r="COO5" i="7"/>
  <c r="COP5" i="7"/>
  <c r="COQ5" i="7"/>
  <c r="COR5" i="7"/>
  <c r="COS5" i="7"/>
  <c r="COT5" i="7"/>
  <c r="COU5" i="7"/>
  <c r="COV5" i="7"/>
  <c r="COW5" i="7"/>
  <c r="COX5" i="7"/>
  <c r="COY5" i="7"/>
  <c r="COZ5" i="7"/>
  <c r="CPA5" i="7"/>
  <c r="CPB5" i="7"/>
  <c r="CPC5" i="7"/>
  <c r="CPD5" i="7"/>
  <c r="CPE5" i="7"/>
  <c r="CPF5" i="7"/>
  <c r="CPG5" i="7"/>
  <c r="CPH5" i="7"/>
  <c r="CPI5" i="7"/>
  <c r="CPJ5" i="7"/>
  <c r="CPK5" i="7"/>
  <c r="CPL5" i="7"/>
  <c r="CPM5" i="7"/>
  <c r="CPN5" i="7"/>
  <c r="CPO5" i="7"/>
  <c r="CPP5" i="7"/>
  <c r="CPQ5" i="7"/>
  <c r="CPR5" i="7"/>
  <c r="CPS5" i="7"/>
  <c r="CPT5" i="7"/>
  <c r="CPU5" i="7"/>
  <c r="CPV5" i="7"/>
  <c r="CPW5" i="7"/>
  <c r="CPX5" i="7"/>
  <c r="CPY5" i="7"/>
  <c r="CPZ5" i="7"/>
  <c r="CQA5" i="7"/>
  <c r="CQB5" i="7"/>
  <c r="CQC5" i="7"/>
  <c r="CQD5" i="7"/>
  <c r="CQE5" i="7"/>
  <c r="CQF5" i="7"/>
  <c r="CQG5" i="7"/>
  <c r="CQH5" i="7"/>
  <c r="CQI5" i="7"/>
  <c r="CQJ5" i="7"/>
  <c r="CQK5" i="7"/>
  <c r="CQL5" i="7"/>
  <c r="CQM5" i="7"/>
  <c r="CQN5" i="7"/>
  <c r="CQO5" i="7"/>
  <c r="CQP5" i="7"/>
  <c r="CQQ5" i="7"/>
  <c r="CQR5" i="7"/>
  <c r="CQS5" i="7"/>
  <c r="CQT5" i="7"/>
  <c r="CQU5" i="7"/>
  <c r="CQV5" i="7"/>
  <c r="CQW5" i="7"/>
  <c r="CQX5" i="7"/>
  <c r="CQY5" i="7"/>
  <c r="CQZ5" i="7"/>
  <c r="CRA5" i="7"/>
  <c r="CRB5" i="7"/>
  <c r="CRC5" i="7"/>
  <c r="CRD5" i="7"/>
  <c r="CRE5" i="7"/>
  <c r="CRF5" i="7"/>
  <c r="CRG5" i="7"/>
  <c r="CRH5" i="7"/>
  <c r="CRI5" i="7"/>
  <c r="CRJ5" i="7"/>
  <c r="CRK5" i="7"/>
  <c r="CRL5" i="7"/>
  <c r="CRM5" i="7"/>
  <c r="CRN5" i="7"/>
  <c r="CRO5" i="7"/>
  <c r="CRP5" i="7"/>
  <c r="CRQ5" i="7"/>
  <c r="CRR5" i="7"/>
  <c r="CRS5" i="7"/>
  <c r="CRT5" i="7"/>
  <c r="CRU5" i="7"/>
  <c r="CRV5" i="7"/>
  <c r="CRW5" i="7"/>
  <c r="CRX5" i="7"/>
  <c r="CRY5" i="7"/>
  <c r="CRZ5" i="7"/>
  <c r="CSA5" i="7"/>
  <c r="CSB5" i="7"/>
  <c r="CSC5" i="7"/>
  <c r="CSD5" i="7"/>
  <c r="CSE5" i="7"/>
  <c r="CSF5" i="7"/>
  <c r="CSG5" i="7"/>
  <c r="CSH5" i="7"/>
  <c r="CSI5" i="7"/>
  <c r="CSJ5" i="7"/>
  <c r="CSK5" i="7"/>
  <c r="CSL5" i="7"/>
  <c r="CSM5" i="7"/>
  <c r="CSN5" i="7"/>
  <c r="CSO5" i="7"/>
  <c r="CSP5" i="7"/>
  <c r="CSQ5" i="7"/>
  <c r="CSR5" i="7"/>
  <c r="CSS5" i="7"/>
  <c r="CST5" i="7"/>
  <c r="CSU5" i="7"/>
  <c r="CSV5" i="7"/>
  <c r="CSW5" i="7"/>
  <c r="CSX5" i="7"/>
  <c r="CSY5" i="7"/>
  <c r="CSZ5" i="7"/>
  <c r="CTA5" i="7"/>
  <c r="CTB5" i="7"/>
  <c r="CTC5" i="7"/>
  <c r="CTD5" i="7"/>
  <c r="CTE5" i="7"/>
  <c r="CTF5" i="7"/>
  <c r="CTG5" i="7"/>
  <c r="CTH5" i="7"/>
  <c r="CTI5" i="7"/>
  <c r="CTJ5" i="7"/>
  <c r="CTK5" i="7"/>
  <c r="CTL5" i="7"/>
  <c r="CTM5" i="7"/>
  <c r="CTN5" i="7"/>
  <c r="CTO5" i="7"/>
  <c r="CTP5" i="7"/>
  <c r="CTQ5" i="7"/>
  <c r="CTR5" i="7"/>
  <c r="CTS5" i="7"/>
  <c r="CTT5" i="7"/>
  <c r="CTU5" i="7"/>
  <c r="CTV5" i="7"/>
  <c r="CTW5" i="7"/>
  <c r="CTX5" i="7"/>
  <c r="CTY5" i="7"/>
  <c r="CTZ5" i="7"/>
  <c r="CUA5" i="7"/>
  <c r="CUB5" i="7"/>
  <c r="CUC5" i="7"/>
  <c r="CUD5" i="7"/>
  <c r="CUE5" i="7"/>
  <c r="CUF5" i="7"/>
  <c r="CUG5" i="7"/>
  <c r="CUH5" i="7"/>
  <c r="CUI5" i="7"/>
  <c r="CUJ5" i="7"/>
  <c r="CUK5" i="7"/>
  <c r="CUL5" i="7"/>
  <c r="CUM5" i="7"/>
  <c r="CUN5" i="7"/>
  <c r="CUO5" i="7"/>
  <c r="CUP5" i="7"/>
  <c r="CUQ5" i="7"/>
  <c r="CUR5" i="7"/>
  <c r="CUS5" i="7"/>
  <c r="CUT5" i="7"/>
  <c r="CUU5" i="7"/>
  <c r="CUV5" i="7"/>
  <c r="CUW5" i="7"/>
  <c r="CUX5" i="7"/>
  <c r="CUY5" i="7"/>
  <c r="CUZ5" i="7"/>
  <c r="CVA5" i="7"/>
  <c r="CVB5" i="7"/>
  <c r="CVC5" i="7"/>
  <c r="CVD5" i="7"/>
  <c r="CVE5" i="7"/>
  <c r="CVF5" i="7"/>
  <c r="CVG5" i="7"/>
  <c r="CVH5" i="7"/>
  <c r="CVI5" i="7"/>
  <c r="CVJ5" i="7"/>
  <c r="CVK5" i="7"/>
  <c r="CVL5" i="7"/>
  <c r="CVM5" i="7"/>
  <c r="CVN5" i="7"/>
  <c r="CVO5" i="7"/>
  <c r="CVP5" i="7"/>
  <c r="CVQ5" i="7"/>
  <c r="CVR5" i="7"/>
  <c r="CVS5" i="7"/>
  <c r="CVT5" i="7"/>
  <c r="CVU5" i="7"/>
  <c r="CVV5" i="7"/>
  <c r="CVW5" i="7"/>
  <c r="CVX5" i="7"/>
  <c r="CVY5" i="7"/>
  <c r="CVZ5" i="7"/>
  <c r="CWA5" i="7"/>
  <c r="CWB5" i="7"/>
  <c r="CWC5" i="7"/>
  <c r="CWD5" i="7"/>
  <c r="CWE5" i="7"/>
  <c r="CWF5" i="7"/>
  <c r="CWG5" i="7"/>
  <c r="CWH5" i="7"/>
  <c r="CWI5" i="7"/>
  <c r="CWJ5" i="7"/>
  <c r="CWK5" i="7"/>
  <c r="CWL5" i="7"/>
  <c r="CWM5" i="7"/>
  <c r="CWN5" i="7"/>
  <c r="CWO5" i="7"/>
  <c r="CWP5" i="7"/>
  <c r="CWQ5" i="7"/>
  <c r="CWR5" i="7"/>
  <c r="CWS5" i="7"/>
  <c r="CWT5" i="7"/>
  <c r="CWU5" i="7"/>
  <c r="CWV5" i="7"/>
  <c r="CWW5" i="7"/>
  <c r="CWX5" i="7"/>
  <c r="CWY5" i="7"/>
  <c r="CWZ5" i="7"/>
  <c r="CXA5" i="7"/>
  <c r="CXB5" i="7"/>
  <c r="CXC5" i="7"/>
  <c r="CXD5" i="7"/>
  <c r="CXE5" i="7"/>
  <c r="CXF5" i="7"/>
  <c r="CXG5" i="7"/>
  <c r="CXH5" i="7"/>
  <c r="CXI5" i="7"/>
  <c r="CXJ5" i="7"/>
  <c r="CXK5" i="7"/>
  <c r="CXL5" i="7"/>
  <c r="CXM5" i="7"/>
  <c r="CXN5" i="7"/>
  <c r="CXO5" i="7"/>
  <c r="CXP5" i="7"/>
  <c r="CXQ5" i="7"/>
  <c r="CXR5" i="7"/>
  <c r="CXS5" i="7"/>
  <c r="CXT5" i="7"/>
  <c r="CXU5" i="7"/>
  <c r="CXV5" i="7"/>
  <c r="CXW5" i="7"/>
  <c r="CXX5" i="7"/>
  <c r="CXY5" i="7"/>
  <c r="CXZ5" i="7"/>
  <c r="CYA5" i="7"/>
  <c r="CYB5" i="7"/>
  <c r="CYC5" i="7"/>
  <c r="CYD5" i="7"/>
  <c r="CYE5" i="7"/>
  <c r="CYF5" i="7"/>
  <c r="CYG5" i="7"/>
  <c r="CYH5" i="7"/>
  <c r="CYI5" i="7"/>
  <c r="CYJ5" i="7"/>
  <c r="CYK5" i="7"/>
  <c r="CYL5" i="7"/>
  <c r="CYM5" i="7"/>
  <c r="CYN5" i="7"/>
  <c r="CYO5" i="7"/>
  <c r="CYP5" i="7"/>
  <c r="CYQ5" i="7"/>
  <c r="CYR5" i="7"/>
  <c r="CYS5" i="7"/>
  <c r="CYT5" i="7"/>
  <c r="CYU5" i="7"/>
  <c r="CYV5" i="7"/>
  <c r="CYW5" i="7"/>
  <c r="CYX5" i="7"/>
  <c r="CYY5" i="7"/>
  <c r="CYZ5" i="7"/>
  <c r="CZA5" i="7"/>
  <c r="CZB5" i="7"/>
  <c r="CZC5" i="7"/>
  <c r="CZD5" i="7"/>
  <c r="CZE5" i="7"/>
  <c r="CZF5" i="7"/>
  <c r="CZG5" i="7"/>
  <c r="CZH5" i="7"/>
  <c r="CZI5" i="7"/>
  <c r="CZJ5" i="7"/>
  <c r="CZK5" i="7"/>
  <c r="CZL5" i="7"/>
  <c r="CZM5" i="7"/>
  <c r="CZN5" i="7"/>
  <c r="CZO5" i="7"/>
  <c r="CZP5" i="7"/>
  <c r="CZQ5" i="7"/>
  <c r="CZR5" i="7"/>
  <c r="CZS5" i="7"/>
  <c r="CZT5" i="7"/>
  <c r="CZU5" i="7"/>
  <c r="CZV5" i="7"/>
  <c r="CZW5" i="7"/>
  <c r="CZX5" i="7"/>
  <c r="CZY5" i="7"/>
  <c r="CZZ5" i="7"/>
  <c r="DAA5" i="7"/>
  <c r="DAB5" i="7"/>
  <c r="DAC5" i="7"/>
  <c r="DAD5" i="7"/>
  <c r="DAE5" i="7"/>
  <c r="DAF5" i="7"/>
  <c r="DAG5" i="7"/>
  <c r="DAH5" i="7"/>
  <c r="DAI5" i="7"/>
  <c r="DAJ5" i="7"/>
  <c r="DAK5" i="7"/>
  <c r="DAL5" i="7"/>
  <c r="DAM5" i="7"/>
  <c r="DAN5" i="7"/>
  <c r="DAO5" i="7"/>
  <c r="DAP5" i="7"/>
  <c r="DAQ5" i="7"/>
  <c r="DAR5" i="7"/>
  <c r="DAS5" i="7"/>
  <c r="DAT5" i="7"/>
  <c r="DAU5" i="7"/>
  <c r="DAV5" i="7"/>
  <c r="DAW5" i="7"/>
  <c r="DAX5" i="7"/>
  <c r="DAY5" i="7"/>
  <c r="DAZ5" i="7"/>
  <c r="DBA5" i="7"/>
  <c r="DBB5" i="7"/>
  <c r="DBC5" i="7"/>
  <c r="DBD5" i="7"/>
  <c r="DBE5" i="7"/>
  <c r="DBF5" i="7"/>
  <c r="DBG5" i="7"/>
  <c r="DBH5" i="7"/>
  <c r="DBI5" i="7"/>
  <c r="DBJ5" i="7"/>
  <c r="DBK5" i="7"/>
  <c r="DBL5" i="7"/>
  <c r="DBM5" i="7"/>
  <c r="DBN5" i="7"/>
  <c r="DBO5" i="7"/>
  <c r="DBP5" i="7"/>
  <c r="DBQ5" i="7"/>
  <c r="DBR5" i="7"/>
  <c r="DBS5" i="7"/>
  <c r="DBT5" i="7"/>
  <c r="DBU5" i="7"/>
  <c r="DBV5" i="7"/>
  <c r="DBW5" i="7"/>
  <c r="DBX5" i="7"/>
  <c r="DBY5" i="7"/>
  <c r="DBZ5" i="7"/>
  <c r="DCA5" i="7"/>
  <c r="DCB5" i="7"/>
  <c r="DCC5" i="7"/>
  <c r="DCD5" i="7"/>
  <c r="DCE5" i="7"/>
  <c r="DCF5" i="7"/>
  <c r="DCG5" i="7"/>
  <c r="DCH5" i="7"/>
  <c r="DCI5" i="7"/>
  <c r="DCJ5" i="7"/>
  <c r="DCK5" i="7"/>
  <c r="DCL5" i="7"/>
  <c r="DCM5" i="7"/>
  <c r="DCN5" i="7"/>
  <c r="DCO5" i="7"/>
  <c r="DCP5" i="7"/>
  <c r="DCQ5" i="7"/>
  <c r="DCR5" i="7"/>
  <c r="DCS5" i="7"/>
  <c r="DCT5" i="7"/>
  <c r="DCU5" i="7"/>
  <c r="DCV5" i="7"/>
  <c r="DCW5" i="7"/>
  <c r="DCX5" i="7"/>
  <c r="DCY5" i="7"/>
  <c r="DCZ5" i="7"/>
  <c r="DDA5" i="7"/>
  <c r="DDB5" i="7"/>
  <c r="DDC5" i="7"/>
  <c r="DDD5" i="7"/>
  <c r="DDE5" i="7"/>
  <c r="DDF5" i="7"/>
  <c r="DDG5" i="7"/>
  <c r="DDH5" i="7"/>
  <c r="DDI5" i="7"/>
  <c r="DDJ5" i="7"/>
  <c r="DDK5" i="7"/>
  <c r="DDL5" i="7"/>
  <c r="DDM5" i="7"/>
  <c r="DDN5" i="7"/>
  <c r="DDO5" i="7"/>
  <c r="DDP5" i="7"/>
  <c r="DDQ5" i="7"/>
  <c r="DDR5" i="7"/>
  <c r="DDS5" i="7"/>
  <c r="DDT5" i="7"/>
  <c r="DDU5" i="7"/>
  <c r="DDV5" i="7"/>
  <c r="DDW5" i="7"/>
  <c r="DDX5" i="7"/>
  <c r="DDY5" i="7"/>
  <c r="DDZ5" i="7"/>
  <c r="DEA5" i="7"/>
  <c r="DEB5" i="7"/>
  <c r="DEC5" i="7"/>
  <c r="DED5" i="7"/>
  <c r="DEE5" i="7"/>
  <c r="DEF5" i="7"/>
  <c r="DEG5" i="7"/>
  <c r="DEH5" i="7"/>
  <c r="DEI5" i="7"/>
  <c r="DEJ5" i="7"/>
  <c r="DEK5" i="7"/>
  <c r="DEL5" i="7"/>
  <c r="DEM5" i="7"/>
  <c r="DEN5" i="7"/>
  <c r="DEO5" i="7"/>
  <c r="DEP5" i="7"/>
  <c r="DEQ5" i="7"/>
  <c r="DER5" i="7"/>
  <c r="DES5" i="7"/>
  <c r="DET5" i="7"/>
  <c r="DEU5" i="7"/>
  <c r="DEV5" i="7"/>
  <c r="DEW5" i="7"/>
  <c r="DEX5" i="7"/>
  <c r="DEY5" i="7"/>
  <c r="DEZ5" i="7"/>
  <c r="DFA5" i="7"/>
  <c r="DFB5" i="7"/>
  <c r="DFC5" i="7"/>
  <c r="DFD5" i="7"/>
  <c r="DFE5" i="7"/>
  <c r="DFF5" i="7"/>
  <c r="DFG5" i="7"/>
  <c r="DFH5" i="7"/>
  <c r="DFI5" i="7"/>
  <c r="DFJ5" i="7"/>
  <c r="DFK5" i="7"/>
  <c r="DFL5" i="7"/>
  <c r="DFM5" i="7"/>
  <c r="DFN5" i="7"/>
  <c r="DFO5" i="7"/>
  <c r="DFP5" i="7"/>
  <c r="DFQ5" i="7"/>
  <c r="DFR5" i="7"/>
  <c r="DFS5" i="7"/>
  <c r="DFT5" i="7"/>
  <c r="DFU5" i="7"/>
  <c r="DFV5" i="7"/>
  <c r="DFW5" i="7"/>
  <c r="DFX5" i="7"/>
  <c r="DFY5" i="7"/>
  <c r="DFZ5" i="7"/>
  <c r="DGA5" i="7"/>
  <c r="DGB5" i="7"/>
  <c r="DGC5" i="7"/>
  <c r="DGD5" i="7"/>
  <c r="DGE5" i="7"/>
  <c r="DGF5" i="7"/>
  <c r="DGG5" i="7"/>
  <c r="DGH5" i="7"/>
  <c r="DGI5" i="7"/>
  <c r="DGJ5" i="7"/>
  <c r="DGK5" i="7"/>
  <c r="DGL5" i="7"/>
  <c r="DGM5" i="7"/>
  <c r="DGN5" i="7"/>
  <c r="DGO5" i="7"/>
  <c r="DGP5" i="7"/>
  <c r="DGQ5" i="7"/>
  <c r="DGR5" i="7"/>
  <c r="DGS5" i="7"/>
  <c r="DGT5" i="7"/>
  <c r="DGU5" i="7"/>
  <c r="DGV5" i="7"/>
  <c r="DGW5" i="7"/>
  <c r="DGX5" i="7"/>
  <c r="DGY5" i="7"/>
  <c r="DGZ5" i="7"/>
  <c r="DHA5" i="7"/>
  <c r="DHB5" i="7"/>
  <c r="DHC5" i="7"/>
  <c r="DHD5" i="7"/>
  <c r="DHE5" i="7"/>
  <c r="DHF5" i="7"/>
  <c r="DHG5" i="7"/>
  <c r="DHH5" i="7"/>
  <c r="DHI5" i="7"/>
  <c r="DHJ5" i="7"/>
  <c r="DHK5" i="7"/>
  <c r="DHL5" i="7"/>
  <c r="DHM5" i="7"/>
  <c r="DHN5" i="7"/>
  <c r="DHO5" i="7"/>
  <c r="DHP5" i="7"/>
  <c r="DHQ5" i="7"/>
  <c r="DHR5" i="7"/>
  <c r="DHS5" i="7"/>
  <c r="DHT5" i="7"/>
  <c r="DHU5" i="7"/>
  <c r="DHV5" i="7"/>
  <c r="DHW5" i="7"/>
  <c r="DHX5" i="7"/>
  <c r="DHY5" i="7"/>
  <c r="DHZ5" i="7"/>
  <c r="DIA5" i="7"/>
  <c r="DIB5" i="7"/>
  <c r="DIC5" i="7"/>
  <c r="DID5" i="7"/>
  <c r="DIE5" i="7"/>
  <c r="DIF5" i="7"/>
  <c r="DIG5" i="7"/>
  <c r="DIH5" i="7"/>
  <c r="DII5" i="7"/>
  <c r="DIJ5" i="7"/>
  <c r="DIK5" i="7"/>
  <c r="DIL5" i="7"/>
  <c r="DIM5" i="7"/>
  <c r="DIN5" i="7"/>
  <c r="DIO5" i="7"/>
  <c r="DIP5" i="7"/>
  <c r="DIQ5" i="7"/>
  <c r="DIR5" i="7"/>
  <c r="DIS5" i="7"/>
  <c r="DIT5" i="7"/>
  <c r="DIU5" i="7"/>
  <c r="DIV5" i="7"/>
  <c r="DIW5" i="7"/>
  <c r="DIX5" i="7"/>
  <c r="DIY5" i="7"/>
  <c r="DIZ5" i="7"/>
  <c r="DJA5" i="7"/>
  <c r="DJB5" i="7"/>
  <c r="DJC5" i="7"/>
  <c r="DJD5" i="7"/>
  <c r="DJE5" i="7"/>
  <c r="DJF5" i="7"/>
  <c r="DJG5" i="7"/>
  <c r="DJH5" i="7"/>
  <c r="DJI5" i="7"/>
  <c r="DJJ5" i="7"/>
  <c r="DJK5" i="7"/>
  <c r="DJL5" i="7"/>
  <c r="DJM5" i="7"/>
  <c r="DJN5" i="7"/>
  <c r="DJO5" i="7"/>
  <c r="DJP5" i="7"/>
  <c r="DJQ5" i="7"/>
  <c r="DJR5" i="7"/>
  <c r="DJS5" i="7"/>
  <c r="DJT5" i="7"/>
  <c r="DJU5" i="7"/>
  <c r="DJV5" i="7"/>
  <c r="DJW5" i="7"/>
  <c r="DJX5" i="7"/>
  <c r="DJY5" i="7"/>
  <c r="DJZ5" i="7"/>
  <c r="DKA5" i="7"/>
  <c r="DKB5" i="7"/>
  <c r="DKC5" i="7"/>
  <c r="DKD5" i="7"/>
  <c r="DKE5" i="7"/>
  <c r="DKF5" i="7"/>
  <c r="DKG5" i="7"/>
  <c r="DKH5" i="7"/>
  <c r="DKI5" i="7"/>
  <c r="DKJ5" i="7"/>
  <c r="DKK5" i="7"/>
  <c r="DKL5" i="7"/>
  <c r="DKM5" i="7"/>
  <c r="DKN5" i="7"/>
  <c r="DKO5" i="7"/>
  <c r="DKP5" i="7"/>
  <c r="DKQ5" i="7"/>
  <c r="DKR5" i="7"/>
  <c r="DKS5" i="7"/>
  <c r="DKT5" i="7"/>
  <c r="DKU5" i="7"/>
  <c r="DKV5" i="7"/>
  <c r="DKW5" i="7"/>
  <c r="DKX5" i="7"/>
  <c r="DKY5" i="7"/>
  <c r="DKZ5" i="7"/>
  <c r="DLA5" i="7"/>
  <c r="DLB5" i="7"/>
  <c r="DLC5" i="7"/>
  <c r="DLD5" i="7"/>
  <c r="DLE5" i="7"/>
  <c r="DLF5" i="7"/>
  <c r="DLG5" i="7"/>
  <c r="DLH5" i="7"/>
  <c r="DLI5" i="7"/>
  <c r="DLJ5" i="7"/>
  <c r="DLK5" i="7"/>
  <c r="DLL5" i="7"/>
  <c r="DLM5" i="7"/>
  <c r="DLN5" i="7"/>
  <c r="DLO5" i="7"/>
  <c r="DLP5" i="7"/>
  <c r="DLQ5" i="7"/>
  <c r="DLR5" i="7"/>
  <c r="DLS5" i="7"/>
  <c r="DLT5" i="7"/>
  <c r="DLU5" i="7"/>
  <c r="DLV5" i="7"/>
  <c r="DLW5" i="7"/>
  <c r="DLX5" i="7"/>
  <c r="DLY5" i="7"/>
  <c r="DLZ5" i="7"/>
  <c r="DMA5" i="7"/>
  <c r="DMB5" i="7"/>
  <c r="DMC5" i="7"/>
  <c r="DMD5" i="7"/>
  <c r="DME5" i="7"/>
  <c r="DMF5" i="7"/>
  <c r="DMG5" i="7"/>
  <c r="DMH5" i="7"/>
  <c r="DMI5" i="7"/>
  <c r="DMJ5" i="7"/>
  <c r="DMK5" i="7"/>
  <c r="DML5" i="7"/>
  <c r="DMM5" i="7"/>
  <c r="DMN5" i="7"/>
  <c r="DMO5" i="7"/>
  <c r="DMP5" i="7"/>
  <c r="DMQ5" i="7"/>
  <c r="DMR5" i="7"/>
  <c r="DMS5" i="7"/>
  <c r="DMT5" i="7"/>
  <c r="DMU5" i="7"/>
  <c r="DMV5" i="7"/>
  <c r="DMW5" i="7"/>
  <c r="DMX5" i="7"/>
  <c r="DMY5" i="7"/>
  <c r="DMZ5" i="7"/>
  <c r="DNA5" i="7"/>
  <c r="DNB5" i="7"/>
  <c r="DNC5" i="7"/>
  <c r="DND5" i="7"/>
  <c r="DNE5" i="7"/>
  <c r="DNF5" i="7"/>
  <c r="DNG5" i="7"/>
  <c r="DNH5" i="7"/>
  <c r="DNI5" i="7"/>
  <c r="DNJ5" i="7"/>
  <c r="DNK5" i="7"/>
  <c r="DNL5" i="7"/>
  <c r="DNM5" i="7"/>
  <c r="DNN5" i="7"/>
  <c r="DNO5" i="7"/>
  <c r="DNP5" i="7"/>
  <c r="DNQ5" i="7"/>
  <c r="DNR5" i="7"/>
  <c r="DNS5" i="7"/>
  <c r="DNT5" i="7"/>
  <c r="DNU5" i="7"/>
  <c r="DNV5" i="7"/>
  <c r="DNW5" i="7"/>
  <c r="DNX5" i="7"/>
  <c r="DNY5" i="7"/>
  <c r="DNZ5" i="7"/>
  <c r="DOA5" i="7"/>
  <c r="DOB5" i="7"/>
  <c r="DOC5" i="7"/>
  <c r="DOD5" i="7"/>
  <c r="DOE5" i="7"/>
  <c r="DOF5" i="7"/>
  <c r="DOG5" i="7"/>
  <c r="DOH5" i="7"/>
  <c r="DOI5" i="7"/>
  <c r="DOJ5" i="7"/>
  <c r="DOK5" i="7"/>
  <c r="DOL5" i="7"/>
  <c r="DOM5" i="7"/>
  <c r="DON5" i="7"/>
  <c r="DOO5" i="7"/>
  <c r="DOP5" i="7"/>
  <c r="DOQ5" i="7"/>
  <c r="DOR5" i="7"/>
  <c r="DOS5" i="7"/>
  <c r="DOT5" i="7"/>
  <c r="DOU5" i="7"/>
  <c r="DOV5" i="7"/>
  <c r="DOW5" i="7"/>
  <c r="DOX5" i="7"/>
  <c r="DOY5" i="7"/>
  <c r="DOZ5" i="7"/>
  <c r="DPA5" i="7"/>
  <c r="DPB5" i="7"/>
  <c r="DPC5" i="7"/>
  <c r="DPD5" i="7"/>
  <c r="DPE5" i="7"/>
  <c r="DPF5" i="7"/>
  <c r="DPG5" i="7"/>
  <c r="DPH5" i="7"/>
  <c r="DPI5" i="7"/>
  <c r="DPJ5" i="7"/>
  <c r="DPK5" i="7"/>
  <c r="DPL5" i="7"/>
  <c r="DPM5" i="7"/>
  <c r="DPN5" i="7"/>
  <c r="DPO5" i="7"/>
  <c r="DPP5" i="7"/>
  <c r="DPQ5" i="7"/>
  <c r="DPR5" i="7"/>
  <c r="DPS5" i="7"/>
  <c r="DPT5" i="7"/>
  <c r="DPU5" i="7"/>
  <c r="DPV5" i="7"/>
  <c r="DPW5" i="7"/>
  <c r="DPX5" i="7"/>
  <c r="DPY5" i="7"/>
  <c r="DPZ5" i="7"/>
  <c r="DQA5" i="7"/>
  <c r="DQB5" i="7"/>
  <c r="DQC5" i="7"/>
  <c r="DQD5" i="7"/>
  <c r="DQE5" i="7"/>
  <c r="DQF5" i="7"/>
  <c r="DQG5" i="7"/>
  <c r="DQH5" i="7"/>
  <c r="DQI5" i="7"/>
  <c r="DQJ5" i="7"/>
  <c r="DQK5" i="7"/>
  <c r="DQL5" i="7"/>
  <c r="DQM5" i="7"/>
  <c r="DQN5" i="7"/>
  <c r="DQO5" i="7"/>
  <c r="DQP5" i="7"/>
  <c r="DQQ5" i="7"/>
  <c r="DQR5" i="7"/>
  <c r="DQS5" i="7"/>
  <c r="DQT5" i="7"/>
  <c r="DQU5" i="7"/>
  <c r="DQV5" i="7"/>
  <c r="DQW5" i="7"/>
  <c r="DQX5" i="7"/>
  <c r="DQY5" i="7"/>
  <c r="DQZ5" i="7"/>
  <c r="DRA5" i="7"/>
  <c r="DRB5" i="7"/>
  <c r="DRC5" i="7"/>
  <c r="DRD5" i="7"/>
  <c r="DRE5" i="7"/>
  <c r="DRF5" i="7"/>
  <c r="DRG5" i="7"/>
  <c r="DRH5" i="7"/>
  <c r="DRI5" i="7"/>
  <c r="DRJ5" i="7"/>
  <c r="DRK5" i="7"/>
  <c r="DRL5" i="7"/>
  <c r="DRM5" i="7"/>
  <c r="DRN5" i="7"/>
  <c r="DRO5" i="7"/>
  <c r="DRP5" i="7"/>
  <c r="DRQ5" i="7"/>
  <c r="DRR5" i="7"/>
  <c r="DRS5" i="7"/>
  <c r="DRT5" i="7"/>
  <c r="DRU5" i="7"/>
  <c r="DRV5" i="7"/>
  <c r="DRW5" i="7"/>
  <c r="DRX5" i="7"/>
  <c r="DRY5" i="7"/>
  <c r="DRZ5" i="7"/>
  <c r="DSA5" i="7"/>
  <c r="DSB5" i="7"/>
  <c r="DSC5" i="7"/>
  <c r="DSD5" i="7"/>
  <c r="DSE5" i="7"/>
  <c r="DSF5" i="7"/>
  <c r="DSG5" i="7"/>
  <c r="DSH5" i="7"/>
  <c r="DSI5" i="7"/>
  <c r="DSJ5" i="7"/>
  <c r="DSK5" i="7"/>
  <c r="DSL5" i="7"/>
  <c r="DSM5" i="7"/>
  <c r="DSN5" i="7"/>
  <c r="DSO5" i="7"/>
  <c r="DSP5" i="7"/>
  <c r="DSQ5" i="7"/>
  <c r="DSR5" i="7"/>
  <c r="DSS5" i="7"/>
  <c r="DST5" i="7"/>
  <c r="DSU5" i="7"/>
  <c r="DSV5" i="7"/>
  <c r="DSW5" i="7"/>
  <c r="DSX5" i="7"/>
  <c r="DSY5" i="7"/>
  <c r="DSZ5" i="7"/>
  <c r="DTA5" i="7"/>
  <c r="DTB5" i="7"/>
  <c r="DTC5" i="7"/>
  <c r="DTD5" i="7"/>
  <c r="DTE5" i="7"/>
  <c r="DTF5" i="7"/>
  <c r="DTG5" i="7"/>
  <c r="DTH5" i="7"/>
  <c r="DTI5" i="7"/>
  <c r="DTJ5" i="7"/>
  <c r="DTK5" i="7"/>
  <c r="DTL5" i="7"/>
  <c r="DTM5" i="7"/>
  <c r="DTN5" i="7"/>
  <c r="DTO5" i="7"/>
  <c r="DTP5" i="7"/>
  <c r="DTQ5" i="7"/>
  <c r="DTR5" i="7"/>
  <c r="DTS5" i="7"/>
  <c r="DTT5" i="7"/>
  <c r="DTU5" i="7"/>
  <c r="DTV5" i="7"/>
  <c r="DTW5" i="7"/>
  <c r="DTX5" i="7"/>
  <c r="DTY5" i="7"/>
  <c r="DTZ5" i="7"/>
  <c r="DUA5" i="7"/>
  <c r="DUB5" i="7"/>
  <c r="DUC5" i="7"/>
  <c r="DUD5" i="7"/>
  <c r="DUE5" i="7"/>
  <c r="DUF5" i="7"/>
  <c r="DUG5" i="7"/>
  <c r="DUH5" i="7"/>
  <c r="DUI5" i="7"/>
  <c r="DUJ5" i="7"/>
  <c r="DUK5" i="7"/>
  <c r="DUL5" i="7"/>
  <c r="DUM5" i="7"/>
  <c r="DUN5" i="7"/>
  <c r="DUO5" i="7"/>
  <c r="DUP5" i="7"/>
  <c r="DUQ5" i="7"/>
  <c r="DUR5" i="7"/>
  <c r="DUS5" i="7"/>
  <c r="DUT5" i="7"/>
  <c r="DUU5" i="7"/>
  <c r="DUV5" i="7"/>
  <c r="DUW5" i="7"/>
  <c r="DUX5" i="7"/>
  <c r="DUY5" i="7"/>
  <c r="DUZ5" i="7"/>
  <c r="DVA5" i="7"/>
  <c r="DVB5" i="7"/>
  <c r="DVC5" i="7"/>
  <c r="DVD5" i="7"/>
  <c r="DVE5" i="7"/>
  <c r="DVF5" i="7"/>
  <c r="DVG5" i="7"/>
  <c r="DVH5" i="7"/>
  <c r="DVI5" i="7"/>
  <c r="DVJ5" i="7"/>
  <c r="DVK5" i="7"/>
  <c r="DVL5" i="7"/>
  <c r="DVM5" i="7"/>
  <c r="DVN5" i="7"/>
  <c r="DVO5" i="7"/>
  <c r="DVP5" i="7"/>
  <c r="DVQ5" i="7"/>
  <c r="DVR5" i="7"/>
  <c r="DVS5" i="7"/>
  <c r="DVT5" i="7"/>
  <c r="DVU5" i="7"/>
  <c r="DVV5" i="7"/>
  <c r="DVW5" i="7"/>
  <c r="DVX5" i="7"/>
  <c r="DVY5" i="7"/>
  <c r="DVZ5" i="7"/>
  <c r="DWA5" i="7"/>
  <c r="DWB5" i="7"/>
  <c r="DWC5" i="7"/>
  <c r="DWD5" i="7"/>
  <c r="DWE5" i="7"/>
  <c r="DWF5" i="7"/>
  <c r="DWG5" i="7"/>
  <c r="DWH5" i="7"/>
  <c r="DWI5" i="7"/>
  <c r="DWJ5" i="7"/>
  <c r="DWK5" i="7"/>
  <c r="DWL5" i="7"/>
  <c r="DWM5" i="7"/>
  <c r="DWN5" i="7"/>
  <c r="DWO5" i="7"/>
  <c r="DWP5" i="7"/>
  <c r="DWQ5" i="7"/>
  <c r="DWR5" i="7"/>
  <c r="DWS5" i="7"/>
  <c r="DWT5" i="7"/>
  <c r="DWU5" i="7"/>
  <c r="DWV5" i="7"/>
  <c r="DWW5" i="7"/>
  <c r="DWX5" i="7"/>
  <c r="DWY5" i="7"/>
  <c r="DWZ5" i="7"/>
  <c r="DXA5" i="7"/>
  <c r="DXB5" i="7"/>
  <c r="DXC5" i="7"/>
  <c r="DXD5" i="7"/>
  <c r="DXE5" i="7"/>
  <c r="DXF5" i="7"/>
  <c r="DXG5" i="7"/>
  <c r="DXH5" i="7"/>
  <c r="DXI5" i="7"/>
  <c r="DXJ5" i="7"/>
  <c r="DXK5" i="7"/>
  <c r="DXL5" i="7"/>
  <c r="DXM5" i="7"/>
  <c r="DXN5" i="7"/>
  <c r="DXO5" i="7"/>
  <c r="DXP5" i="7"/>
  <c r="DXQ5" i="7"/>
  <c r="DXR5" i="7"/>
  <c r="DXS5" i="7"/>
  <c r="DXT5" i="7"/>
  <c r="DXU5" i="7"/>
  <c r="DXV5" i="7"/>
  <c r="DXW5" i="7"/>
  <c r="DXX5" i="7"/>
  <c r="DXY5" i="7"/>
  <c r="DXZ5" i="7"/>
  <c r="DYA5" i="7"/>
  <c r="DYB5" i="7"/>
  <c r="DYC5" i="7"/>
  <c r="DYD5" i="7"/>
  <c r="DYE5" i="7"/>
  <c r="DYF5" i="7"/>
  <c r="DYG5" i="7"/>
  <c r="DYH5" i="7"/>
  <c r="DYI5" i="7"/>
  <c r="DYJ5" i="7"/>
  <c r="DYK5" i="7"/>
  <c r="DYL5" i="7"/>
  <c r="DYM5" i="7"/>
  <c r="DYN5" i="7"/>
  <c r="DYO5" i="7"/>
  <c r="DYP5" i="7"/>
  <c r="DYQ5" i="7"/>
  <c r="DYR5" i="7"/>
  <c r="DYS5" i="7"/>
  <c r="DYT5" i="7"/>
  <c r="DYU5" i="7"/>
  <c r="DYV5" i="7"/>
  <c r="DYW5" i="7"/>
  <c r="DYX5" i="7"/>
  <c r="DYY5" i="7"/>
  <c r="DYZ5" i="7"/>
  <c r="DZA5" i="7"/>
  <c r="DZB5" i="7"/>
  <c r="DZC5" i="7"/>
  <c r="DZD5" i="7"/>
  <c r="DZE5" i="7"/>
  <c r="DZF5" i="7"/>
  <c r="DZG5" i="7"/>
  <c r="DZH5" i="7"/>
  <c r="DZI5" i="7"/>
  <c r="DZJ5" i="7"/>
  <c r="DZK5" i="7"/>
  <c r="DZL5" i="7"/>
  <c r="DZM5" i="7"/>
  <c r="DZN5" i="7"/>
  <c r="DZO5" i="7"/>
  <c r="DZP5" i="7"/>
  <c r="DZQ5" i="7"/>
  <c r="DZR5" i="7"/>
  <c r="DZS5" i="7"/>
  <c r="DZT5" i="7"/>
  <c r="DZU5" i="7"/>
  <c r="DZV5" i="7"/>
  <c r="DZW5" i="7"/>
  <c r="DZX5" i="7"/>
  <c r="DZY5" i="7"/>
  <c r="DZZ5" i="7"/>
  <c r="EAA5" i="7"/>
  <c r="EAB5" i="7"/>
  <c r="EAC5" i="7"/>
  <c r="EAD5" i="7"/>
  <c r="EAE5" i="7"/>
  <c r="EAF5" i="7"/>
  <c r="EAG5" i="7"/>
  <c r="EAH5" i="7"/>
  <c r="EAI5" i="7"/>
  <c r="EAJ5" i="7"/>
  <c r="EAK5" i="7"/>
  <c r="EAL5" i="7"/>
  <c r="EAM5" i="7"/>
  <c r="EAN5" i="7"/>
  <c r="EAO5" i="7"/>
  <c r="EAP5" i="7"/>
  <c r="EAQ5" i="7"/>
  <c r="EAR5" i="7"/>
  <c r="EAS5" i="7"/>
  <c r="EAT5" i="7"/>
  <c r="EAU5" i="7"/>
  <c r="EAV5" i="7"/>
  <c r="EAW5" i="7"/>
  <c r="EAX5" i="7"/>
  <c r="EAY5" i="7"/>
  <c r="EAZ5" i="7"/>
  <c r="EBA5" i="7"/>
  <c r="EBB5" i="7"/>
  <c r="EBC5" i="7"/>
  <c r="EBD5" i="7"/>
  <c r="EBE5" i="7"/>
  <c r="EBF5" i="7"/>
  <c r="EBG5" i="7"/>
  <c r="EBH5" i="7"/>
  <c r="EBI5" i="7"/>
  <c r="EBJ5" i="7"/>
  <c r="EBK5" i="7"/>
  <c r="EBL5" i="7"/>
  <c r="EBM5" i="7"/>
  <c r="EBN5" i="7"/>
  <c r="EBO5" i="7"/>
  <c r="EBP5" i="7"/>
  <c r="EBQ5" i="7"/>
  <c r="EBR5" i="7"/>
  <c r="EBS5" i="7"/>
  <c r="EBT5" i="7"/>
  <c r="EBU5" i="7"/>
  <c r="EBV5" i="7"/>
  <c r="EBW5" i="7"/>
  <c r="EBX5" i="7"/>
  <c r="EBY5" i="7"/>
  <c r="EBZ5" i="7"/>
  <c r="ECA5" i="7"/>
  <c r="ECB5" i="7"/>
  <c r="ECC5" i="7"/>
  <c r="ECD5" i="7"/>
  <c r="ECE5" i="7"/>
  <c r="ECF5" i="7"/>
  <c r="ECG5" i="7"/>
  <c r="ECH5" i="7"/>
  <c r="ECI5" i="7"/>
  <c r="ECJ5" i="7"/>
  <c r="ECK5" i="7"/>
  <c r="ECL5" i="7"/>
  <c r="ECM5" i="7"/>
  <c r="ECN5" i="7"/>
  <c r="ECO5" i="7"/>
  <c r="ECP5" i="7"/>
  <c r="ECQ5" i="7"/>
  <c r="ECR5" i="7"/>
  <c r="ECS5" i="7"/>
  <c r="ECT5" i="7"/>
  <c r="ECU5" i="7"/>
  <c r="ECV5" i="7"/>
  <c r="ECW5" i="7"/>
  <c r="ECX5" i="7"/>
  <c r="ECY5" i="7"/>
  <c r="ECZ5" i="7"/>
  <c r="EDA5" i="7"/>
  <c r="EDB5" i="7"/>
  <c r="EDC5" i="7"/>
  <c r="EDD5" i="7"/>
  <c r="EDE5" i="7"/>
  <c r="EDF5" i="7"/>
  <c r="EDG5" i="7"/>
  <c r="EDH5" i="7"/>
  <c r="EDI5" i="7"/>
  <c r="EDJ5" i="7"/>
  <c r="EDK5" i="7"/>
  <c r="EDL5" i="7"/>
  <c r="EDM5" i="7"/>
  <c r="EDN5" i="7"/>
  <c r="EDO5" i="7"/>
  <c r="EDP5" i="7"/>
  <c r="EDQ5" i="7"/>
  <c r="EDR5" i="7"/>
  <c r="EDS5" i="7"/>
  <c r="EDT5" i="7"/>
  <c r="EDU5" i="7"/>
  <c r="EDV5" i="7"/>
  <c r="EDW5" i="7"/>
  <c r="EDX5" i="7"/>
  <c r="EDY5" i="7"/>
  <c r="EDZ5" i="7"/>
  <c r="EEA5" i="7"/>
  <c r="EEB5" i="7"/>
  <c r="EEC5" i="7"/>
  <c r="EED5" i="7"/>
  <c r="EEE5" i="7"/>
  <c r="EEF5" i="7"/>
  <c r="EEG5" i="7"/>
  <c r="EEH5" i="7"/>
  <c r="EEI5" i="7"/>
  <c r="EEJ5" i="7"/>
  <c r="EEK5" i="7"/>
  <c r="EEL5" i="7"/>
  <c r="EEM5" i="7"/>
  <c r="EEN5" i="7"/>
  <c r="EEO5" i="7"/>
  <c r="EEP5" i="7"/>
  <c r="EEQ5" i="7"/>
  <c r="EER5" i="7"/>
  <c r="EES5" i="7"/>
  <c r="EET5" i="7"/>
  <c r="EEU5" i="7"/>
  <c r="EEV5" i="7"/>
  <c r="EEW5" i="7"/>
  <c r="EEX5" i="7"/>
  <c r="EEY5" i="7"/>
  <c r="EEZ5" i="7"/>
  <c r="EFA5" i="7"/>
  <c r="EFB5" i="7"/>
  <c r="EFC5" i="7"/>
  <c r="EFD5" i="7"/>
  <c r="EFE5" i="7"/>
  <c r="EFF5" i="7"/>
  <c r="EFG5" i="7"/>
  <c r="EFH5" i="7"/>
  <c r="EFI5" i="7"/>
  <c r="EFJ5" i="7"/>
  <c r="EFK5" i="7"/>
  <c r="EFL5" i="7"/>
  <c r="EFM5" i="7"/>
  <c r="EFN5" i="7"/>
  <c r="EFO5" i="7"/>
  <c r="EFP5" i="7"/>
  <c r="EFQ5" i="7"/>
  <c r="EFR5" i="7"/>
  <c r="EFS5" i="7"/>
  <c r="EFT5" i="7"/>
  <c r="EFU5" i="7"/>
  <c r="EFV5" i="7"/>
  <c r="EFW5" i="7"/>
  <c r="EFX5" i="7"/>
  <c r="EFY5" i="7"/>
  <c r="EFZ5" i="7"/>
  <c r="EGA5" i="7"/>
  <c r="EGB5" i="7"/>
  <c r="EGC5" i="7"/>
  <c r="EGD5" i="7"/>
  <c r="EGE5" i="7"/>
  <c r="EGF5" i="7"/>
  <c r="EGG5" i="7"/>
  <c r="EGH5" i="7"/>
  <c r="EGI5" i="7"/>
  <c r="EGJ5" i="7"/>
  <c r="EGK5" i="7"/>
  <c r="EGL5" i="7"/>
  <c r="EGM5" i="7"/>
  <c r="EGN5" i="7"/>
  <c r="EGO5" i="7"/>
  <c r="EGP5" i="7"/>
  <c r="EGQ5" i="7"/>
  <c r="EGR5" i="7"/>
  <c r="EGS5" i="7"/>
  <c r="EGT5" i="7"/>
  <c r="EGU5" i="7"/>
  <c r="EGV5" i="7"/>
  <c r="EGW5" i="7"/>
  <c r="EGX5" i="7"/>
  <c r="EGY5" i="7"/>
  <c r="EGZ5" i="7"/>
  <c r="EHA5" i="7"/>
  <c r="EHB5" i="7"/>
  <c r="EHC5" i="7"/>
  <c r="EHD5" i="7"/>
  <c r="EHE5" i="7"/>
  <c r="EHF5" i="7"/>
  <c r="EHG5" i="7"/>
  <c r="EHH5" i="7"/>
  <c r="EHI5" i="7"/>
  <c r="EHJ5" i="7"/>
  <c r="EHK5" i="7"/>
  <c r="EHL5" i="7"/>
  <c r="EHM5" i="7"/>
  <c r="EHN5" i="7"/>
  <c r="EHO5" i="7"/>
  <c r="EHP5" i="7"/>
  <c r="EHQ5" i="7"/>
  <c r="EHR5" i="7"/>
  <c r="EHS5" i="7"/>
  <c r="EHT5" i="7"/>
  <c r="EHU5" i="7"/>
  <c r="EHV5" i="7"/>
  <c r="EHW5" i="7"/>
  <c r="EHX5" i="7"/>
  <c r="EHY5" i="7"/>
  <c r="EHZ5" i="7"/>
  <c r="EIA5" i="7"/>
  <c r="EIB5" i="7"/>
  <c r="EIC5" i="7"/>
  <c r="EID5" i="7"/>
  <c r="EIE5" i="7"/>
  <c r="EIF5" i="7"/>
  <c r="EIG5" i="7"/>
  <c r="EIH5" i="7"/>
  <c r="EII5" i="7"/>
  <c r="EIJ5" i="7"/>
  <c r="EIK5" i="7"/>
  <c r="EIL5" i="7"/>
  <c r="EIM5" i="7"/>
  <c r="EIN5" i="7"/>
  <c r="EIO5" i="7"/>
  <c r="EIP5" i="7"/>
  <c r="EIQ5" i="7"/>
  <c r="EIR5" i="7"/>
  <c r="EIS5" i="7"/>
  <c r="EIT5" i="7"/>
  <c r="EIU5" i="7"/>
  <c r="EIV5" i="7"/>
  <c r="EIW5" i="7"/>
  <c r="EIX5" i="7"/>
  <c r="EIY5" i="7"/>
  <c r="EIZ5" i="7"/>
  <c r="EJA5" i="7"/>
  <c r="EJB5" i="7"/>
  <c r="EJC5" i="7"/>
  <c r="EJD5" i="7"/>
  <c r="EJE5" i="7"/>
  <c r="EJF5" i="7"/>
  <c r="EJG5" i="7"/>
  <c r="EJH5" i="7"/>
  <c r="EJI5" i="7"/>
  <c r="EJJ5" i="7"/>
  <c r="EJK5" i="7"/>
  <c r="EJL5" i="7"/>
  <c r="EJM5" i="7"/>
  <c r="EJN5" i="7"/>
  <c r="EJO5" i="7"/>
  <c r="EJP5" i="7"/>
  <c r="EJQ5" i="7"/>
  <c r="EJR5" i="7"/>
  <c r="EJS5" i="7"/>
  <c r="EJT5" i="7"/>
  <c r="EJU5" i="7"/>
  <c r="EJV5" i="7"/>
  <c r="EJW5" i="7"/>
  <c r="EJX5" i="7"/>
  <c r="EJY5" i="7"/>
  <c r="EJZ5" i="7"/>
  <c r="EKA5" i="7"/>
  <c r="EKB5" i="7"/>
  <c r="EKC5" i="7"/>
  <c r="EKD5" i="7"/>
  <c r="EKE5" i="7"/>
  <c r="EKF5" i="7"/>
  <c r="EKG5" i="7"/>
  <c r="EKH5" i="7"/>
  <c r="EKI5" i="7"/>
  <c r="EKJ5" i="7"/>
  <c r="EKK5" i="7"/>
  <c r="EKL5" i="7"/>
  <c r="EKM5" i="7"/>
  <c r="EKN5" i="7"/>
  <c r="EKO5" i="7"/>
  <c r="EKP5" i="7"/>
  <c r="EKQ5" i="7"/>
  <c r="EKR5" i="7"/>
  <c r="EKS5" i="7"/>
  <c r="EKT5" i="7"/>
  <c r="EKU5" i="7"/>
  <c r="EKV5" i="7"/>
  <c r="EKW5" i="7"/>
  <c r="EKX5" i="7"/>
  <c r="EKY5" i="7"/>
  <c r="EKZ5" i="7"/>
  <c r="ELA5" i="7"/>
  <c r="ELB5" i="7"/>
  <c r="ELC5" i="7"/>
  <c r="ELD5" i="7"/>
  <c r="ELE5" i="7"/>
  <c r="ELF5" i="7"/>
  <c r="ELG5" i="7"/>
  <c r="ELH5" i="7"/>
  <c r="ELI5" i="7"/>
  <c r="ELJ5" i="7"/>
  <c r="ELK5" i="7"/>
  <c r="ELL5" i="7"/>
  <c r="ELM5" i="7"/>
  <c r="ELN5" i="7"/>
  <c r="ELO5" i="7"/>
  <c r="ELP5" i="7"/>
  <c r="ELQ5" i="7"/>
  <c r="ELR5" i="7"/>
  <c r="ELS5" i="7"/>
  <c r="ELT5" i="7"/>
  <c r="ELU5" i="7"/>
  <c r="ELV5" i="7"/>
  <c r="ELW5" i="7"/>
  <c r="ELX5" i="7"/>
  <c r="ELY5" i="7"/>
  <c r="ELZ5" i="7"/>
  <c r="EMA5" i="7"/>
  <c r="EMB5" i="7"/>
  <c r="EMC5" i="7"/>
  <c r="EMD5" i="7"/>
  <c r="EME5" i="7"/>
  <c r="EMF5" i="7"/>
  <c r="EMG5" i="7"/>
  <c r="EMH5" i="7"/>
  <c r="EMI5" i="7"/>
  <c r="EMJ5" i="7"/>
  <c r="EMK5" i="7"/>
  <c r="EML5" i="7"/>
  <c r="EMM5" i="7"/>
  <c r="EMN5" i="7"/>
  <c r="EMO5" i="7"/>
  <c r="EMP5" i="7"/>
  <c r="EMQ5" i="7"/>
  <c r="EMR5" i="7"/>
  <c r="EMS5" i="7"/>
  <c r="EMT5" i="7"/>
  <c r="EMU5" i="7"/>
  <c r="EMV5" i="7"/>
  <c r="EMW5" i="7"/>
  <c r="EMX5" i="7"/>
  <c r="EMY5" i="7"/>
  <c r="EMZ5" i="7"/>
  <c r="ENA5" i="7"/>
  <c r="ENB5" i="7"/>
  <c r="ENC5" i="7"/>
  <c r="END5" i="7"/>
  <c r="ENE5" i="7"/>
  <c r="ENF5" i="7"/>
  <c r="ENG5" i="7"/>
  <c r="ENH5" i="7"/>
  <c r="ENI5" i="7"/>
  <c r="ENJ5" i="7"/>
  <c r="ENK5" i="7"/>
  <c r="ENL5" i="7"/>
  <c r="ENM5" i="7"/>
  <c r="ENN5" i="7"/>
  <c r="ENO5" i="7"/>
  <c r="ENP5" i="7"/>
  <c r="ENQ5" i="7"/>
  <c r="ENR5" i="7"/>
  <c r="ENS5" i="7"/>
  <c r="ENT5" i="7"/>
  <c r="ENU5" i="7"/>
  <c r="ENV5" i="7"/>
  <c r="ENW5" i="7"/>
  <c r="ENX5" i="7"/>
  <c r="ENY5" i="7"/>
  <c r="ENZ5" i="7"/>
  <c r="EOA5" i="7"/>
  <c r="EOB5" i="7"/>
  <c r="EOC5" i="7"/>
  <c r="EOD5" i="7"/>
  <c r="EOE5" i="7"/>
  <c r="EOF5" i="7"/>
  <c r="EOG5" i="7"/>
  <c r="EOH5" i="7"/>
  <c r="EOI5" i="7"/>
  <c r="EOJ5" i="7"/>
  <c r="EOK5" i="7"/>
  <c r="EOL5" i="7"/>
  <c r="EOM5" i="7"/>
  <c r="EON5" i="7"/>
  <c r="EOO5" i="7"/>
  <c r="EOP5" i="7"/>
  <c r="EOQ5" i="7"/>
  <c r="EOR5" i="7"/>
  <c r="EOS5" i="7"/>
  <c r="EOT5" i="7"/>
  <c r="EOU5" i="7"/>
  <c r="EOV5" i="7"/>
  <c r="EOW5" i="7"/>
  <c r="EOX5" i="7"/>
  <c r="EOY5" i="7"/>
  <c r="EOZ5" i="7"/>
  <c r="EPA5" i="7"/>
  <c r="EPB5" i="7"/>
  <c r="EPC5" i="7"/>
  <c r="EPD5" i="7"/>
  <c r="EPE5" i="7"/>
  <c r="EPF5" i="7"/>
  <c r="EPG5" i="7"/>
  <c r="EPH5" i="7"/>
  <c r="EPI5" i="7"/>
  <c r="EPJ5" i="7"/>
  <c r="EPK5" i="7"/>
  <c r="EPL5" i="7"/>
  <c r="EPM5" i="7"/>
  <c r="EPN5" i="7"/>
  <c r="EPO5" i="7"/>
  <c r="EPP5" i="7"/>
  <c r="EPQ5" i="7"/>
  <c r="EPR5" i="7"/>
  <c r="EPS5" i="7"/>
  <c r="EPT5" i="7"/>
  <c r="EPU5" i="7"/>
  <c r="EPV5" i="7"/>
  <c r="EPW5" i="7"/>
  <c r="EPX5" i="7"/>
  <c r="EPY5" i="7"/>
  <c r="EPZ5" i="7"/>
  <c r="EQA5" i="7"/>
  <c r="EQB5" i="7"/>
  <c r="EQC5" i="7"/>
  <c r="EQD5" i="7"/>
  <c r="EQE5" i="7"/>
  <c r="EQF5" i="7"/>
  <c r="EQG5" i="7"/>
  <c r="EQH5" i="7"/>
  <c r="EQI5" i="7"/>
  <c r="EQJ5" i="7"/>
  <c r="EQK5" i="7"/>
  <c r="EQL5" i="7"/>
  <c r="EQM5" i="7"/>
  <c r="EQN5" i="7"/>
  <c r="EQO5" i="7"/>
  <c r="EQP5" i="7"/>
  <c r="EQQ5" i="7"/>
  <c r="EQR5" i="7"/>
  <c r="EQS5" i="7"/>
  <c r="EQT5" i="7"/>
  <c r="EQU5" i="7"/>
  <c r="EQV5" i="7"/>
  <c r="EQW5" i="7"/>
  <c r="EQX5" i="7"/>
  <c r="EQY5" i="7"/>
  <c r="EQZ5" i="7"/>
  <c r="ERA5" i="7"/>
  <c r="ERB5" i="7"/>
  <c r="ERC5" i="7"/>
  <c r="ERD5" i="7"/>
  <c r="ERE5" i="7"/>
  <c r="ERF5" i="7"/>
  <c r="ERG5" i="7"/>
  <c r="ERH5" i="7"/>
  <c r="ERI5" i="7"/>
  <c r="ERJ5" i="7"/>
  <c r="ERK5" i="7"/>
  <c r="ERL5" i="7"/>
  <c r="ERM5" i="7"/>
  <c r="ERN5" i="7"/>
  <c r="ERO5" i="7"/>
  <c r="ERP5" i="7"/>
  <c r="ERQ5" i="7"/>
  <c r="ERR5" i="7"/>
  <c r="ERS5" i="7"/>
  <c r="ERT5" i="7"/>
  <c r="ERU5" i="7"/>
  <c r="ERV5" i="7"/>
  <c r="ERW5" i="7"/>
  <c r="ERX5" i="7"/>
  <c r="ERY5" i="7"/>
  <c r="ERZ5" i="7"/>
  <c r="ESA5" i="7"/>
  <c r="ESB5" i="7"/>
  <c r="ESC5" i="7"/>
  <c r="ESD5" i="7"/>
  <c r="ESE5" i="7"/>
  <c r="ESF5" i="7"/>
  <c r="ESG5" i="7"/>
  <c r="ESH5" i="7"/>
  <c r="ESI5" i="7"/>
  <c r="ESJ5" i="7"/>
  <c r="ESK5" i="7"/>
  <c r="ESL5" i="7"/>
  <c r="ESM5" i="7"/>
  <c r="ESN5" i="7"/>
  <c r="ESO5" i="7"/>
  <c r="ESP5" i="7"/>
  <c r="ESQ5" i="7"/>
  <c r="ESR5" i="7"/>
  <c r="ESS5" i="7"/>
  <c r="EST5" i="7"/>
  <c r="ESU5" i="7"/>
  <c r="ESV5" i="7"/>
  <c r="ESW5" i="7"/>
  <c r="ESX5" i="7"/>
  <c r="ESY5" i="7"/>
  <c r="ESZ5" i="7"/>
  <c r="ETA5" i="7"/>
  <c r="ETB5" i="7"/>
  <c r="ETC5" i="7"/>
  <c r="ETD5" i="7"/>
  <c r="ETE5" i="7"/>
  <c r="ETF5" i="7"/>
  <c r="ETG5" i="7"/>
  <c r="ETH5" i="7"/>
  <c r="ETI5" i="7"/>
  <c r="ETJ5" i="7"/>
  <c r="ETK5" i="7"/>
  <c r="ETL5" i="7"/>
  <c r="ETM5" i="7"/>
  <c r="ETN5" i="7"/>
  <c r="ETO5" i="7"/>
  <c r="ETP5" i="7"/>
  <c r="ETQ5" i="7"/>
  <c r="ETR5" i="7"/>
  <c r="ETS5" i="7"/>
  <c r="ETT5" i="7"/>
  <c r="ETU5" i="7"/>
  <c r="ETV5" i="7"/>
  <c r="ETW5" i="7"/>
  <c r="ETX5" i="7"/>
  <c r="ETY5" i="7"/>
  <c r="ETZ5" i="7"/>
  <c r="EUA5" i="7"/>
  <c r="EUB5" i="7"/>
  <c r="EUC5" i="7"/>
  <c r="EUD5" i="7"/>
  <c r="EUE5" i="7"/>
  <c r="EUF5" i="7"/>
  <c r="EUG5" i="7"/>
  <c r="EUH5" i="7"/>
  <c r="EUI5" i="7"/>
  <c r="EUJ5" i="7"/>
  <c r="EUK5" i="7"/>
  <c r="EUL5" i="7"/>
  <c r="EUM5" i="7"/>
  <c r="EUN5" i="7"/>
  <c r="EUO5" i="7"/>
  <c r="EUP5" i="7"/>
  <c r="EUQ5" i="7"/>
  <c r="EUR5" i="7"/>
  <c r="EUS5" i="7"/>
  <c r="EUT5" i="7"/>
  <c r="EUU5" i="7"/>
  <c r="EUV5" i="7"/>
  <c r="EUW5" i="7"/>
  <c r="EUX5" i="7"/>
  <c r="EUY5" i="7"/>
  <c r="EUZ5" i="7"/>
  <c r="EVA5" i="7"/>
  <c r="EVB5" i="7"/>
  <c r="EVC5" i="7"/>
  <c r="EVD5" i="7"/>
  <c r="EVE5" i="7"/>
  <c r="EVF5" i="7"/>
  <c r="EVG5" i="7"/>
  <c r="EVH5" i="7"/>
  <c r="EVI5" i="7"/>
  <c r="EVJ5" i="7"/>
  <c r="EVK5" i="7"/>
  <c r="EVL5" i="7"/>
  <c r="EVM5" i="7"/>
  <c r="EVN5" i="7"/>
  <c r="EVO5" i="7"/>
  <c r="EVP5" i="7"/>
  <c r="EVQ5" i="7"/>
  <c r="EVR5" i="7"/>
  <c r="EVS5" i="7"/>
  <c r="EVT5" i="7"/>
  <c r="EVU5" i="7"/>
  <c r="EVV5" i="7"/>
  <c r="EVW5" i="7"/>
  <c r="EVX5" i="7"/>
  <c r="EVY5" i="7"/>
  <c r="EVZ5" i="7"/>
  <c r="EWA5" i="7"/>
  <c r="EWB5" i="7"/>
  <c r="EWC5" i="7"/>
  <c r="EWD5" i="7"/>
  <c r="EWE5" i="7"/>
  <c r="EWF5" i="7"/>
  <c r="EWG5" i="7"/>
  <c r="EWH5" i="7"/>
  <c r="EWI5" i="7"/>
  <c r="EWJ5" i="7"/>
  <c r="EWK5" i="7"/>
  <c r="EWL5" i="7"/>
  <c r="EWM5" i="7"/>
  <c r="EWN5" i="7"/>
  <c r="EWO5" i="7"/>
  <c r="EWP5" i="7"/>
  <c r="EWQ5" i="7"/>
  <c r="EWR5" i="7"/>
  <c r="EWS5" i="7"/>
  <c r="EWT5" i="7"/>
  <c r="EWU5" i="7"/>
  <c r="EWV5" i="7"/>
  <c r="EWW5" i="7"/>
  <c r="EWX5" i="7"/>
  <c r="EWY5" i="7"/>
  <c r="EWZ5" i="7"/>
  <c r="EXA5" i="7"/>
  <c r="EXB5" i="7"/>
  <c r="EXC5" i="7"/>
  <c r="EXD5" i="7"/>
  <c r="EXE5" i="7"/>
  <c r="EXF5" i="7"/>
  <c r="EXG5" i="7"/>
  <c r="EXH5" i="7"/>
  <c r="EXI5" i="7"/>
  <c r="EXJ5" i="7"/>
  <c r="EXK5" i="7"/>
  <c r="EXL5" i="7"/>
  <c r="EXM5" i="7"/>
  <c r="EXN5" i="7"/>
  <c r="EXO5" i="7"/>
  <c r="EXP5" i="7"/>
  <c r="EXQ5" i="7"/>
  <c r="EXR5" i="7"/>
  <c r="EXS5" i="7"/>
  <c r="EXT5" i="7"/>
  <c r="EXU5" i="7"/>
  <c r="EXV5" i="7"/>
  <c r="EXW5" i="7"/>
  <c r="EXX5" i="7"/>
  <c r="EXY5" i="7"/>
  <c r="EXZ5" i="7"/>
  <c r="EYA5" i="7"/>
  <c r="EYB5" i="7"/>
  <c r="EYC5" i="7"/>
  <c r="EYD5" i="7"/>
  <c r="EYE5" i="7"/>
  <c r="EYF5" i="7"/>
  <c r="EYG5" i="7"/>
  <c r="EYH5" i="7"/>
  <c r="EYI5" i="7"/>
  <c r="EYJ5" i="7"/>
  <c r="EYK5" i="7"/>
  <c r="EYL5" i="7"/>
  <c r="EYM5" i="7"/>
  <c r="EYN5" i="7"/>
  <c r="EYO5" i="7"/>
  <c r="EYP5" i="7"/>
  <c r="EYQ5" i="7"/>
  <c r="EYR5" i="7"/>
  <c r="EYS5" i="7"/>
  <c r="EYT5" i="7"/>
  <c r="EYU5" i="7"/>
  <c r="EYV5" i="7"/>
  <c r="EYW5" i="7"/>
  <c r="EYX5" i="7"/>
  <c r="EYY5" i="7"/>
  <c r="EYZ5" i="7"/>
  <c r="EZA5" i="7"/>
  <c r="EZB5" i="7"/>
  <c r="EZC5" i="7"/>
  <c r="EZD5" i="7"/>
  <c r="EZE5" i="7"/>
  <c r="EZF5" i="7"/>
  <c r="EZG5" i="7"/>
  <c r="EZH5" i="7"/>
  <c r="EZI5" i="7"/>
  <c r="EZJ5" i="7"/>
  <c r="EZK5" i="7"/>
  <c r="EZL5" i="7"/>
  <c r="EZM5" i="7"/>
  <c r="EZN5" i="7"/>
  <c r="EZO5" i="7"/>
  <c r="EZP5" i="7"/>
  <c r="EZQ5" i="7"/>
  <c r="EZR5" i="7"/>
  <c r="EZS5" i="7"/>
  <c r="EZT5" i="7"/>
  <c r="EZU5" i="7"/>
  <c r="EZV5" i="7"/>
  <c r="EZW5" i="7"/>
  <c r="EZX5" i="7"/>
  <c r="EZY5" i="7"/>
  <c r="EZZ5" i="7"/>
  <c r="FAA5" i="7"/>
  <c r="FAB5" i="7"/>
  <c r="FAC5" i="7"/>
  <c r="FAD5" i="7"/>
  <c r="FAE5" i="7"/>
  <c r="FAF5" i="7"/>
  <c r="FAG5" i="7"/>
  <c r="FAH5" i="7"/>
  <c r="FAI5" i="7"/>
  <c r="FAJ5" i="7"/>
  <c r="FAK5" i="7"/>
  <c r="FAL5" i="7"/>
  <c r="FAM5" i="7"/>
  <c r="FAN5" i="7"/>
  <c r="FAO5" i="7"/>
  <c r="FAP5" i="7"/>
  <c r="FAQ5" i="7"/>
  <c r="FAR5" i="7"/>
  <c r="FAS5" i="7"/>
  <c r="FAT5" i="7"/>
  <c r="FAU5" i="7"/>
  <c r="FAV5" i="7"/>
  <c r="FAW5" i="7"/>
  <c r="FAX5" i="7"/>
  <c r="FAY5" i="7"/>
  <c r="FAZ5" i="7"/>
  <c r="FBA5" i="7"/>
  <c r="FBB5" i="7"/>
  <c r="FBC5" i="7"/>
  <c r="FBD5" i="7"/>
  <c r="FBE5" i="7"/>
  <c r="FBF5" i="7"/>
  <c r="FBG5" i="7"/>
  <c r="FBH5" i="7"/>
  <c r="FBI5" i="7"/>
  <c r="FBJ5" i="7"/>
  <c r="FBK5" i="7"/>
  <c r="FBL5" i="7"/>
  <c r="FBM5" i="7"/>
  <c r="FBN5" i="7"/>
  <c r="FBO5" i="7"/>
  <c r="FBP5" i="7"/>
  <c r="FBQ5" i="7"/>
  <c r="FBR5" i="7"/>
  <c r="FBS5" i="7"/>
  <c r="FBT5" i="7"/>
  <c r="FBU5" i="7"/>
  <c r="FBV5" i="7"/>
  <c r="FBW5" i="7"/>
  <c r="FBX5" i="7"/>
  <c r="FBY5" i="7"/>
  <c r="FBZ5" i="7"/>
  <c r="FCA5" i="7"/>
  <c r="FCB5" i="7"/>
  <c r="FCC5" i="7"/>
  <c r="FCD5" i="7"/>
  <c r="FCE5" i="7"/>
  <c r="FCF5" i="7"/>
  <c r="FCG5" i="7"/>
  <c r="FCH5" i="7"/>
  <c r="FCI5" i="7"/>
  <c r="FCJ5" i="7"/>
  <c r="FCK5" i="7"/>
  <c r="FCL5" i="7"/>
  <c r="FCM5" i="7"/>
  <c r="FCN5" i="7"/>
  <c r="FCO5" i="7"/>
  <c r="FCP5" i="7"/>
  <c r="FCQ5" i="7"/>
  <c r="FCR5" i="7"/>
  <c r="FCS5" i="7"/>
  <c r="FCT5" i="7"/>
  <c r="FCU5" i="7"/>
  <c r="FCV5" i="7"/>
  <c r="FCW5" i="7"/>
  <c r="FCX5" i="7"/>
  <c r="FCY5" i="7"/>
  <c r="FCZ5" i="7"/>
  <c r="FDA5" i="7"/>
  <c r="FDB5" i="7"/>
  <c r="FDC5" i="7"/>
  <c r="FDD5" i="7"/>
  <c r="FDE5" i="7"/>
  <c r="FDF5" i="7"/>
  <c r="FDG5" i="7"/>
  <c r="FDH5" i="7"/>
  <c r="FDI5" i="7"/>
  <c r="FDJ5" i="7"/>
  <c r="FDK5" i="7"/>
  <c r="FDL5" i="7"/>
  <c r="FDM5" i="7"/>
  <c r="FDN5" i="7"/>
  <c r="FDO5" i="7"/>
  <c r="FDP5" i="7"/>
  <c r="FDQ5" i="7"/>
  <c r="FDR5" i="7"/>
  <c r="FDS5" i="7"/>
  <c r="FDT5" i="7"/>
  <c r="FDU5" i="7"/>
  <c r="FDV5" i="7"/>
  <c r="FDW5" i="7"/>
  <c r="FDX5" i="7"/>
  <c r="FDY5" i="7"/>
  <c r="FDZ5" i="7"/>
  <c r="FEA5" i="7"/>
  <c r="FEB5" i="7"/>
  <c r="FEC5" i="7"/>
  <c r="FED5" i="7"/>
  <c r="FEE5" i="7"/>
  <c r="FEF5" i="7"/>
  <c r="FEG5" i="7"/>
  <c r="FEH5" i="7"/>
  <c r="FEI5" i="7"/>
  <c r="FEJ5" i="7"/>
  <c r="FEK5" i="7"/>
  <c r="FEL5" i="7"/>
  <c r="FEM5" i="7"/>
  <c r="FEN5" i="7"/>
  <c r="FEO5" i="7"/>
  <c r="FEP5" i="7"/>
  <c r="FEQ5" i="7"/>
  <c r="FER5" i="7"/>
  <c r="FES5" i="7"/>
  <c r="FET5" i="7"/>
  <c r="FEU5" i="7"/>
  <c r="FEV5" i="7"/>
  <c r="FEW5" i="7"/>
  <c r="FEX5" i="7"/>
  <c r="FEY5" i="7"/>
  <c r="FEZ5" i="7"/>
  <c r="FFA5" i="7"/>
  <c r="FFB5" i="7"/>
  <c r="FFC5" i="7"/>
  <c r="FFD5" i="7"/>
  <c r="FFE5" i="7"/>
  <c r="FFF5" i="7"/>
  <c r="FFG5" i="7"/>
  <c r="FFH5" i="7"/>
  <c r="FFI5" i="7"/>
  <c r="FFJ5" i="7"/>
  <c r="FFK5" i="7"/>
  <c r="FFL5" i="7"/>
  <c r="FFM5" i="7"/>
  <c r="FFN5" i="7"/>
  <c r="FFO5" i="7"/>
  <c r="FFP5" i="7"/>
  <c r="FFQ5" i="7"/>
  <c r="FFR5" i="7"/>
  <c r="FFS5" i="7"/>
  <c r="FFT5" i="7"/>
  <c r="FFU5" i="7"/>
  <c r="FFV5" i="7"/>
  <c r="FFW5" i="7"/>
  <c r="FFX5" i="7"/>
  <c r="FFY5" i="7"/>
  <c r="FFZ5" i="7"/>
  <c r="FGA5" i="7"/>
  <c r="FGB5" i="7"/>
  <c r="FGC5" i="7"/>
  <c r="FGD5" i="7"/>
  <c r="FGE5" i="7"/>
  <c r="FGF5" i="7"/>
  <c r="FGG5" i="7"/>
  <c r="FGH5" i="7"/>
  <c r="FGI5" i="7"/>
  <c r="FGJ5" i="7"/>
  <c r="FGK5" i="7"/>
  <c r="FGL5" i="7"/>
  <c r="FGM5" i="7"/>
  <c r="FGN5" i="7"/>
  <c r="FGO5" i="7"/>
  <c r="FGP5" i="7"/>
  <c r="FGQ5" i="7"/>
  <c r="FGR5" i="7"/>
  <c r="FGS5" i="7"/>
  <c r="FGT5" i="7"/>
  <c r="FGU5" i="7"/>
  <c r="FGV5" i="7"/>
  <c r="FGW5" i="7"/>
  <c r="FGX5" i="7"/>
  <c r="FGY5" i="7"/>
  <c r="FGZ5" i="7"/>
  <c r="FHA5" i="7"/>
  <c r="FHB5" i="7"/>
  <c r="FHC5" i="7"/>
  <c r="FHD5" i="7"/>
  <c r="FHE5" i="7"/>
  <c r="FHF5" i="7"/>
  <c r="FHG5" i="7"/>
  <c r="FHH5" i="7"/>
  <c r="FHI5" i="7"/>
  <c r="FHJ5" i="7"/>
  <c r="FHK5" i="7"/>
  <c r="FHL5" i="7"/>
  <c r="FHM5" i="7"/>
  <c r="FHN5" i="7"/>
  <c r="FHO5" i="7"/>
  <c r="FHP5" i="7"/>
  <c r="FHQ5" i="7"/>
  <c r="FHR5" i="7"/>
  <c r="FHS5" i="7"/>
  <c r="FHT5" i="7"/>
  <c r="FHU5" i="7"/>
  <c r="FHV5" i="7"/>
  <c r="FHW5" i="7"/>
  <c r="FHX5" i="7"/>
  <c r="FHY5" i="7"/>
  <c r="FHZ5" i="7"/>
  <c r="FIA5" i="7"/>
  <c r="FIB5" i="7"/>
  <c r="FIC5" i="7"/>
  <c r="FID5" i="7"/>
  <c r="FIE5" i="7"/>
  <c r="FIF5" i="7"/>
  <c r="FIG5" i="7"/>
  <c r="FIH5" i="7"/>
  <c r="FII5" i="7"/>
  <c r="FIJ5" i="7"/>
  <c r="FIK5" i="7"/>
  <c r="FIL5" i="7"/>
  <c r="FIM5" i="7"/>
  <c r="FIN5" i="7"/>
  <c r="FIO5" i="7"/>
  <c r="FIP5" i="7"/>
  <c r="FIQ5" i="7"/>
  <c r="FIR5" i="7"/>
  <c r="FIS5" i="7"/>
  <c r="FIT5" i="7"/>
  <c r="FIU5" i="7"/>
  <c r="FIV5" i="7"/>
  <c r="FIW5" i="7"/>
  <c r="FIX5" i="7"/>
  <c r="FIY5" i="7"/>
  <c r="FIZ5" i="7"/>
  <c r="FJA5" i="7"/>
  <c r="FJB5" i="7"/>
  <c r="FJC5" i="7"/>
  <c r="FJD5" i="7"/>
  <c r="FJE5" i="7"/>
  <c r="FJF5" i="7"/>
  <c r="FJG5" i="7"/>
  <c r="FJH5" i="7"/>
  <c r="FJI5" i="7"/>
  <c r="FJJ5" i="7"/>
  <c r="FJK5" i="7"/>
  <c r="FJL5" i="7"/>
  <c r="FJM5" i="7"/>
  <c r="FJN5" i="7"/>
  <c r="FJO5" i="7"/>
  <c r="FJP5" i="7"/>
  <c r="FJQ5" i="7"/>
  <c r="FJR5" i="7"/>
  <c r="FJS5" i="7"/>
  <c r="FJT5" i="7"/>
  <c r="FJU5" i="7"/>
  <c r="FJV5" i="7"/>
  <c r="FJW5" i="7"/>
  <c r="FJX5" i="7"/>
  <c r="FJY5" i="7"/>
  <c r="FJZ5" i="7"/>
  <c r="FKA5" i="7"/>
  <c r="FKB5" i="7"/>
  <c r="FKC5" i="7"/>
  <c r="FKD5" i="7"/>
  <c r="FKE5" i="7"/>
  <c r="FKF5" i="7"/>
  <c r="FKG5" i="7"/>
  <c r="FKH5" i="7"/>
  <c r="FKI5" i="7"/>
  <c r="FKJ5" i="7"/>
  <c r="FKK5" i="7"/>
  <c r="FKL5" i="7"/>
  <c r="FKM5" i="7"/>
  <c r="FKN5" i="7"/>
  <c r="FKO5" i="7"/>
  <c r="FKP5" i="7"/>
  <c r="FKQ5" i="7"/>
  <c r="FKR5" i="7"/>
  <c r="FKS5" i="7"/>
  <c r="FKT5" i="7"/>
  <c r="FKU5" i="7"/>
  <c r="FKV5" i="7"/>
  <c r="FKW5" i="7"/>
  <c r="FKX5" i="7"/>
  <c r="FKY5" i="7"/>
  <c r="FKZ5" i="7"/>
  <c r="FLA5" i="7"/>
  <c r="FLB5" i="7"/>
  <c r="FLC5" i="7"/>
  <c r="FLD5" i="7"/>
  <c r="FLE5" i="7"/>
  <c r="FLF5" i="7"/>
  <c r="FLG5" i="7"/>
  <c r="FLH5" i="7"/>
  <c r="FLI5" i="7"/>
  <c r="FLJ5" i="7"/>
  <c r="FLK5" i="7"/>
  <c r="FLL5" i="7"/>
  <c r="FLM5" i="7"/>
  <c r="FLN5" i="7"/>
  <c r="FLO5" i="7"/>
  <c r="FLP5" i="7"/>
  <c r="FLQ5" i="7"/>
  <c r="FLR5" i="7"/>
  <c r="FLS5" i="7"/>
  <c r="FLT5" i="7"/>
  <c r="FLU5" i="7"/>
  <c r="FLV5" i="7"/>
  <c r="FLW5" i="7"/>
  <c r="FLX5" i="7"/>
  <c r="FLY5" i="7"/>
  <c r="FLZ5" i="7"/>
  <c r="FMA5" i="7"/>
  <c r="FMB5" i="7"/>
  <c r="FMC5" i="7"/>
  <c r="FMD5" i="7"/>
  <c r="FME5" i="7"/>
  <c r="FMF5" i="7"/>
  <c r="FMG5" i="7"/>
  <c r="FMH5" i="7"/>
  <c r="FMI5" i="7"/>
  <c r="FMJ5" i="7"/>
  <c r="FMK5" i="7"/>
  <c r="FML5" i="7"/>
  <c r="FMM5" i="7"/>
  <c r="FMN5" i="7"/>
  <c r="FMO5" i="7"/>
  <c r="FMP5" i="7"/>
  <c r="FMQ5" i="7"/>
  <c r="FMR5" i="7"/>
  <c r="FMS5" i="7"/>
  <c r="FMT5" i="7"/>
  <c r="FMU5" i="7"/>
  <c r="FMV5" i="7"/>
  <c r="FMW5" i="7"/>
  <c r="FMX5" i="7"/>
  <c r="FMY5" i="7"/>
  <c r="FMZ5" i="7"/>
  <c r="FNA5" i="7"/>
  <c r="FNB5" i="7"/>
  <c r="FNC5" i="7"/>
  <c r="FND5" i="7"/>
  <c r="FNE5" i="7"/>
  <c r="FNF5" i="7"/>
  <c r="FNG5" i="7"/>
  <c r="FNH5" i="7"/>
  <c r="FNI5" i="7"/>
  <c r="FNJ5" i="7"/>
  <c r="FNK5" i="7"/>
  <c r="FNL5" i="7"/>
  <c r="FNM5" i="7"/>
  <c r="FNN5" i="7"/>
  <c r="FNO5" i="7"/>
  <c r="FNP5" i="7"/>
  <c r="FNQ5" i="7"/>
  <c r="FNR5" i="7"/>
  <c r="FNS5" i="7"/>
  <c r="FNT5" i="7"/>
  <c r="FNU5" i="7"/>
  <c r="FNV5" i="7"/>
  <c r="FNW5" i="7"/>
  <c r="FNX5" i="7"/>
  <c r="FNY5" i="7"/>
  <c r="FNZ5" i="7"/>
  <c r="FOA5" i="7"/>
  <c r="FOB5" i="7"/>
  <c r="FOC5" i="7"/>
  <c r="FOD5" i="7"/>
  <c r="FOE5" i="7"/>
  <c r="FOF5" i="7"/>
  <c r="FOG5" i="7"/>
  <c r="FOH5" i="7"/>
  <c r="FOI5" i="7"/>
  <c r="FOJ5" i="7"/>
  <c r="FOK5" i="7"/>
  <c r="FOL5" i="7"/>
  <c r="FOM5" i="7"/>
  <c r="FON5" i="7"/>
  <c r="FOO5" i="7"/>
  <c r="FOP5" i="7"/>
  <c r="FOQ5" i="7"/>
  <c r="FOR5" i="7"/>
  <c r="FOS5" i="7"/>
  <c r="FOT5" i="7"/>
  <c r="FOU5" i="7"/>
  <c r="FOV5" i="7"/>
  <c r="FOW5" i="7"/>
  <c r="FOX5" i="7"/>
  <c r="FOY5" i="7"/>
  <c r="FOZ5" i="7"/>
  <c r="FPA5" i="7"/>
  <c r="FPB5" i="7"/>
  <c r="FPC5" i="7"/>
  <c r="FPD5" i="7"/>
  <c r="FPE5" i="7"/>
  <c r="FPF5" i="7"/>
  <c r="FPG5" i="7"/>
  <c r="FPH5" i="7"/>
  <c r="FPI5" i="7"/>
  <c r="FPJ5" i="7"/>
  <c r="FPK5" i="7"/>
  <c r="FPL5" i="7"/>
  <c r="FPM5" i="7"/>
  <c r="FPN5" i="7"/>
  <c r="FPO5" i="7"/>
  <c r="FPP5" i="7"/>
  <c r="FPQ5" i="7"/>
  <c r="FPR5" i="7"/>
  <c r="FPS5" i="7"/>
  <c r="FPT5" i="7"/>
  <c r="FPU5" i="7"/>
  <c r="FPV5" i="7"/>
  <c r="FPW5" i="7"/>
  <c r="FPX5" i="7"/>
  <c r="FPY5" i="7"/>
  <c r="FPZ5" i="7"/>
  <c r="FQA5" i="7"/>
  <c r="FQB5" i="7"/>
  <c r="FQC5" i="7"/>
  <c r="FQD5" i="7"/>
  <c r="FQE5" i="7"/>
  <c r="FQF5" i="7"/>
  <c r="FQG5" i="7"/>
  <c r="FQH5" i="7"/>
  <c r="FQI5" i="7"/>
  <c r="FQJ5" i="7"/>
  <c r="FQK5" i="7"/>
  <c r="FQL5" i="7"/>
  <c r="FQM5" i="7"/>
  <c r="FQN5" i="7"/>
  <c r="FQO5" i="7"/>
  <c r="FQP5" i="7"/>
  <c r="FQQ5" i="7"/>
  <c r="FQR5" i="7"/>
  <c r="FQS5" i="7"/>
  <c r="FQT5" i="7"/>
  <c r="FQU5" i="7"/>
  <c r="FQV5" i="7"/>
  <c r="FQW5" i="7"/>
  <c r="FQX5" i="7"/>
  <c r="FQY5" i="7"/>
  <c r="FQZ5" i="7"/>
  <c r="FRA5" i="7"/>
  <c r="FRB5" i="7"/>
  <c r="FRC5" i="7"/>
  <c r="FRD5" i="7"/>
  <c r="FRE5" i="7"/>
  <c r="FRF5" i="7"/>
  <c r="FRG5" i="7"/>
  <c r="FRH5" i="7"/>
  <c r="FRI5" i="7"/>
  <c r="FRJ5" i="7"/>
  <c r="FRK5" i="7"/>
  <c r="FRL5" i="7"/>
  <c r="FRM5" i="7"/>
  <c r="FRN5" i="7"/>
  <c r="FRO5" i="7"/>
  <c r="FRP5" i="7"/>
  <c r="FRQ5" i="7"/>
  <c r="FRR5" i="7"/>
  <c r="FRS5" i="7"/>
  <c r="FRT5" i="7"/>
  <c r="FRU5" i="7"/>
  <c r="FRV5" i="7"/>
  <c r="FRW5" i="7"/>
  <c r="FRX5" i="7"/>
  <c r="FRY5" i="7"/>
  <c r="FRZ5" i="7"/>
  <c r="FSA5" i="7"/>
  <c r="FSB5" i="7"/>
  <c r="FSC5" i="7"/>
  <c r="FSD5" i="7"/>
  <c r="FSE5" i="7"/>
  <c r="FSF5" i="7"/>
  <c r="FSG5" i="7"/>
  <c r="FSH5" i="7"/>
  <c r="FSI5" i="7"/>
  <c r="FSJ5" i="7"/>
  <c r="FSK5" i="7"/>
  <c r="FSL5" i="7"/>
  <c r="FSM5" i="7"/>
  <c r="FSN5" i="7"/>
  <c r="FSO5" i="7"/>
  <c r="FSP5" i="7"/>
  <c r="FSQ5" i="7"/>
  <c r="FSR5" i="7"/>
  <c r="FSS5" i="7"/>
  <c r="FST5" i="7"/>
  <c r="FSU5" i="7"/>
  <c r="FSV5" i="7"/>
  <c r="FSW5" i="7"/>
  <c r="FSX5" i="7"/>
  <c r="FSY5" i="7"/>
  <c r="FSZ5" i="7"/>
  <c r="FTA5" i="7"/>
  <c r="FTB5" i="7"/>
  <c r="FTC5" i="7"/>
  <c r="FTD5" i="7"/>
  <c r="FTE5" i="7"/>
  <c r="FTF5" i="7"/>
  <c r="FTG5" i="7"/>
  <c r="FTH5" i="7"/>
  <c r="FTI5" i="7"/>
  <c r="FTJ5" i="7"/>
  <c r="FTK5" i="7"/>
  <c r="FTL5" i="7"/>
  <c r="FTM5" i="7"/>
  <c r="FTN5" i="7"/>
  <c r="FTO5" i="7"/>
  <c r="FTP5" i="7"/>
  <c r="FTQ5" i="7"/>
  <c r="FTR5" i="7"/>
  <c r="FTS5" i="7"/>
  <c r="FTT5" i="7"/>
  <c r="FTU5" i="7"/>
  <c r="FTV5" i="7"/>
  <c r="FTW5" i="7"/>
  <c r="FTX5" i="7"/>
  <c r="FTY5" i="7"/>
  <c r="FTZ5" i="7"/>
  <c r="FUA5" i="7"/>
  <c r="FUB5" i="7"/>
  <c r="FUC5" i="7"/>
  <c r="FUD5" i="7"/>
  <c r="FUE5" i="7"/>
  <c r="FUF5" i="7"/>
  <c r="FUG5" i="7"/>
  <c r="FUH5" i="7"/>
  <c r="FUI5" i="7"/>
  <c r="FUJ5" i="7"/>
  <c r="FUK5" i="7"/>
  <c r="FUL5" i="7"/>
  <c r="FUM5" i="7"/>
  <c r="FUN5" i="7"/>
  <c r="FUO5" i="7"/>
  <c r="FUP5" i="7"/>
  <c r="FUQ5" i="7"/>
  <c r="FUR5" i="7"/>
  <c r="FUS5" i="7"/>
  <c r="FUT5" i="7"/>
  <c r="FUU5" i="7"/>
  <c r="FUV5" i="7"/>
  <c r="FUW5" i="7"/>
  <c r="FUX5" i="7"/>
  <c r="FUY5" i="7"/>
  <c r="FUZ5" i="7"/>
  <c r="FVA5" i="7"/>
  <c r="FVB5" i="7"/>
  <c r="FVC5" i="7"/>
  <c r="FVD5" i="7"/>
  <c r="FVE5" i="7"/>
  <c r="FVF5" i="7"/>
  <c r="FVG5" i="7"/>
  <c r="FVH5" i="7"/>
  <c r="FVI5" i="7"/>
  <c r="FVJ5" i="7"/>
  <c r="FVK5" i="7"/>
  <c r="FVL5" i="7"/>
  <c r="C33" i="2"/>
  <c r="C41" i="5" l="1"/>
  <c r="B41" i="5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E32" i="8"/>
  <c r="D32" i="8"/>
  <c r="C32" i="8"/>
  <c r="E13" i="8" l="1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D13" i="8"/>
  <c r="C13" i="8"/>
  <c r="C22" i="8" s="1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E12" i="8"/>
  <c r="F12" i="8"/>
  <c r="D12" i="8"/>
  <c r="D3" i="7" l="1"/>
  <c r="E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CB3" i="7"/>
  <c r="CC3" i="7"/>
  <c r="CD3" i="7"/>
  <c r="CE3" i="7"/>
  <c r="CF3" i="7"/>
  <c r="CG3" i="7"/>
  <c r="CH3" i="7"/>
  <c r="CI3" i="7"/>
  <c r="CJ3" i="7"/>
  <c r="CK3" i="7"/>
  <c r="CL3" i="7"/>
  <c r="CM3" i="7"/>
  <c r="CN3" i="7"/>
  <c r="CO3" i="7"/>
  <c r="CP3" i="7"/>
  <c r="CQ3" i="7"/>
  <c r="CR3" i="7"/>
  <c r="CS3" i="7"/>
  <c r="CT3" i="7"/>
  <c r="CU3" i="7"/>
  <c r="CV3" i="7"/>
  <c r="CW3" i="7"/>
  <c r="CX3" i="7"/>
  <c r="CY3" i="7"/>
  <c r="CZ3" i="7"/>
  <c r="DA3" i="7"/>
  <c r="DB3" i="7"/>
  <c r="DC3" i="7"/>
  <c r="DD3" i="7"/>
  <c r="DE3" i="7"/>
  <c r="DF3" i="7"/>
  <c r="DG3" i="7"/>
  <c r="DH3" i="7"/>
  <c r="DI3" i="7"/>
  <c r="DJ3" i="7"/>
  <c r="DK3" i="7"/>
  <c r="DL3" i="7"/>
  <c r="DM3" i="7"/>
  <c r="DN3" i="7"/>
  <c r="DO3" i="7"/>
  <c r="DP3" i="7"/>
  <c r="DQ3" i="7"/>
  <c r="DR3" i="7"/>
  <c r="DS3" i="7"/>
  <c r="DT3" i="7"/>
  <c r="DU3" i="7"/>
  <c r="DV3" i="7"/>
  <c r="DW3" i="7"/>
  <c r="DX3" i="7"/>
  <c r="DY3" i="7"/>
  <c r="DZ3" i="7"/>
  <c r="EA3" i="7"/>
  <c r="EB3" i="7"/>
  <c r="EC3" i="7"/>
  <c r="ED3" i="7"/>
  <c r="EE3" i="7"/>
  <c r="EF3" i="7"/>
  <c r="EG3" i="7"/>
  <c r="EH3" i="7"/>
  <c r="EI3" i="7"/>
  <c r="EJ3" i="7"/>
  <c r="EK3" i="7"/>
  <c r="EL3" i="7"/>
  <c r="EM3" i="7"/>
  <c r="EN3" i="7"/>
  <c r="EO3" i="7"/>
  <c r="F3" i="7"/>
  <c r="D2" i="7"/>
  <c r="E2" i="7"/>
  <c r="F2" i="7"/>
  <c r="G2" i="7"/>
  <c r="H2" i="7"/>
  <c r="I2" i="7"/>
  <c r="E126" i="8" l="1"/>
  <c r="E130" i="8" s="1"/>
  <c r="F126" i="8"/>
  <c r="F130" i="8" s="1"/>
  <c r="G126" i="8"/>
  <c r="G130" i="8" s="1"/>
  <c r="H126" i="8"/>
  <c r="H130" i="8" s="1"/>
  <c r="I126" i="8"/>
  <c r="I130" i="8" s="1"/>
  <c r="J126" i="8"/>
  <c r="J130" i="8" s="1"/>
  <c r="K126" i="8"/>
  <c r="K130" i="8" s="1"/>
  <c r="L126" i="8"/>
  <c r="L130" i="8" s="1"/>
  <c r="M126" i="8"/>
  <c r="M130" i="8" s="1"/>
  <c r="N126" i="8"/>
  <c r="N130" i="8" s="1"/>
  <c r="O126" i="8"/>
  <c r="O130" i="8" s="1"/>
  <c r="P126" i="8"/>
  <c r="P130" i="8" s="1"/>
  <c r="Q126" i="8"/>
  <c r="Q130" i="8" s="1"/>
  <c r="R126" i="8"/>
  <c r="R130" i="8" s="1"/>
  <c r="S126" i="8"/>
  <c r="S130" i="8" s="1"/>
  <c r="T126" i="8"/>
  <c r="T130" i="8" s="1"/>
  <c r="U126" i="8"/>
  <c r="U130" i="8" s="1"/>
  <c r="V126" i="8"/>
  <c r="V130" i="8" s="1"/>
  <c r="W126" i="8"/>
  <c r="W130" i="8" s="1"/>
  <c r="X126" i="8"/>
  <c r="X130" i="8" s="1"/>
  <c r="Y126" i="8"/>
  <c r="Y130" i="8" s="1"/>
  <c r="Z126" i="8"/>
  <c r="Z130" i="8" s="1"/>
  <c r="AA126" i="8"/>
  <c r="AA130" i="8" s="1"/>
  <c r="AB126" i="8"/>
  <c r="AB130" i="8" s="1"/>
  <c r="E127" i="8"/>
  <c r="E135" i="8" s="1"/>
  <c r="F127" i="8"/>
  <c r="F135" i="8" s="1"/>
  <c r="G127" i="8"/>
  <c r="G135" i="8" s="1"/>
  <c r="H127" i="8"/>
  <c r="H135" i="8" s="1"/>
  <c r="I127" i="8"/>
  <c r="I135" i="8" s="1"/>
  <c r="J127" i="8"/>
  <c r="J135" i="8" s="1"/>
  <c r="K127" i="8"/>
  <c r="K135" i="8" s="1"/>
  <c r="L127" i="8"/>
  <c r="L135" i="8" s="1"/>
  <c r="M127" i="8"/>
  <c r="M135" i="8" s="1"/>
  <c r="N127" i="8"/>
  <c r="N135" i="8" s="1"/>
  <c r="O127" i="8"/>
  <c r="O135" i="8" s="1"/>
  <c r="P127" i="8"/>
  <c r="P135" i="8" s="1"/>
  <c r="Q127" i="8"/>
  <c r="Q135" i="8" s="1"/>
  <c r="R127" i="8"/>
  <c r="R135" i="8" s="1"/>
  <c r="S127" i="8"/>
  <c r="S135" i="8" s="1"/>
  <c r="T127" i="8"/>
  <c r="T135" i="8" s="1"/>
  <c r="U127" i="8"/>
  <c r="U135" i="8" s="1"/>
  <c r="V127" i="8"/>
  <c r="V135" i="8" s="1"/>
  <c r="W127" i="8"/>
  <c r="W135" i="8" s="1"/>
  <c r="X127" i="8"/>
  <c r="X135" i="8" s="1"/>
  <c r="Y127" i="8"/>
  <c r="Y135" i="8" s="1"/>
  <c r="Z127" i="8"/>
  <c r="Z135" i="8" s="1"/>
  <c r="AA127" i="8"/>
  <c r="AA135" i="8" s="1"/>
  <c r="AB127" i="8"/>
  <c r="AB135" i="8" s="1"/>
  <c r="D127" i="8"/>
  <c r="D135" i="8" s="1"/>
  <c r="D126" i="8"/>
  <c r="D130" i="8" s="1"/>
  <c r="C127" i="8"/>
  <c r="C135" i="8" s="1"/>
  <c r="C126" i="8"/>
  <c r="C130" i="8" s="1"/>
  <c r="D132" i="8" l="1"/>
  <c r="D131" i="8"/>
  <c r="Z137" i="8"/>
  <c r="Z136" i="8"/>
  <c r="V137" i="8"/>
  <c r="V136" i="8"/>
  <c r="R137" i="8"/>
  <c r="R136" i="8"/>
  <c r="P137" i="8"/>
  <c r="P136" i="8"/>
  <c r="N137" i="8"/>
  <c r="N136" i="8"/>
  <c r="L137" i="8"/>
  <c r="L136" i="8"/>
  <c r="J137" i="8"/>
  <c r="J136" i="8"/>
  <c r="H137" i="8"/>
  <c r="H136" i="8"/>
  <c r="F137" i="8"/>
  <c r="F136" i="8"/>
  <c r="AB132" i="8"/>
  <c r="AB131" i="8"/>
  <c r="Z132" i="8"/>
  <c r="Z131" i="8"/>
  <c r="X132" i="8"/>
  <c r="X131" i="8"/>
  <c r="V132" i="8"/>
  <c r="V131" i="8"/>
  <c r="T132" i="8"/>
  <c r="T131" i="8"/>
  <c r="R132" i="8"/>
  <c r="R131" i="8"/>
  <c r="P132" i="8"/>
  <c r="P131" i="8"/>
  <c r="N132" i="8"/>
  <c r="N131" i="8"/>
  <c r="L132" i="8"/>
  <c r="L131" i="8"/>
  <c r="J132" i="8"/>
  <c r="J131" i="8"/>
  <c r="H132" i="8"/>
  <c r="H131" i="8"/>
  <c r="F132" i="8"/>
  <c r="F131" i="8"/>
  <c r="C132" i="8"/>
  <c r="C131" i="8"/>
  <c r="AB137" i="8"/>
  <c r="AB136" i="8"/>
  <c r="X137" i="8"/>
  <c r="X136" i="8"/>
  <c r="T137" i="8"/>
  <c r="T136" i="8"/>
  <c r="D137" i="8"/>
  <c r="D136" i="8"/>
  <c r="AA137" i="8"/>
  <c r="AA136" i="8"/>
  <c r="Y137" i="8"/>
  <c r="Y136" i="8"/>
  <c r="W137" i="8"/>
  <c r="W136" i="8"/>
  <c r="U137" i="8"/>
  <c r="U136" i="8"/>
  <c r="AA132" i="8"/>
  <c r="AA131" i="8"/>
  <c r="Y132" i="8"/>
  <c r="Y131" i="8"/>
  <c r="W132" i="8"/>
  <c r="W131" i="8"/>
  <c r="U132" i="8"/>
  <c r="U131" i="8"/>
  <c r="S132" i="8"/>
  <c r="S131" i="8"/>
  <c r="Q132" i="8"/>
  <c r="Q131" i="8"/>
  <c r="O132" i="8"/>
  <c r="O131" i="8"/>
  <c r="M132" i="8"/>
  <c r="M131" i="8"/>
  <c r="K132" i="8"/>
  <c r="K131" i="8"/>
  <c r="I132" i="8"/>
  <c r="I131" i="8"/>
  <c r="G132" i="8"/>
  <c r="G131" i="8"/>
  <c r="E132" i="8"/>
  <c r="E131" i="8"/>
  <c r="C137" i="8"/>
  <c r="C136" i="8"/>
  <c r="S137" i="8"/>
  <c r="S136" i="8"/>
  <c r="M137" i="8"/>
  <c r="M136" i="8"/>
  <c r="G137" i="8"/>
  <c r="G136" i="8"/>
  <c r="Q137" i="8"/>
  <c r="Q136" i="8"/>
  <c r="O137" i="8"/>
  <c r="O136" i="8"/>
  <c r="K137" i="8"/>
  <c r="K136" i="8"/>
  <c r="I137" i="8"/>
  <c r="I136" i="8"/>
  <c r="E137" i="8"/>
  <c r="E136" i="8"/>
  <c r="Y138" i="8" l="1"/>
  <c r="AA138" i="8"/>
  <c r="D138" i="8"/>
  <c r="T138" i="8"/>
  <c r="X138" i="8"/>
  <c r="AB138" i="8"/>
  <c r="C133" i="8"/>
  <c r="F133" i="8"/>
  <c r="H133" i="8"/>
  <c r="J133" i="8"/>
  <c r="L133" i="8"/>
  <c r="N133" i="8"/>
  <c r="P133" i="8"/>
  <c r="R133" i="8"/>
  <c r="T133" i="8"/>
  <c r="V133" i="8"/>
  <c r="X133" i="8"/>
  <c r="Z133" i="8"/>
  <c r="AB133" i="8"/>
  <c r="F138" i="8"/>
  <c r="H138" i="8"/>
  <c r="J138" i="8"/>
  <c r="L138" i="8"/>
  <c r="N138" i="8"/>
  <c r="P138" i="8"/>
  <c r="R138" i="8"/>
  <c r="V138" i="8"/>
  <c r="Z138" i="8"/>
  <c r="D133" i="8"/>
  <c r="E138" i="8"/>
  <c r="I138" i="8"/>
  <c r="K138" i="8"/>
  <c r="O138" i="8"/>
  <c r="Q138" i="8"/>
  <c r="G138" i="8"/>
  <c r="M138" i="8"/>
  <c r="S138" i="8"/>
  <c r="C138" i="8"/>
  <c r="E133" i="8"/>
  <c r="G133" i="8"/>
  <c r="I133" i="8"/>
  <c r="K133" i="8"/>
  <c r="M133" i="8"/>
  <c r="O133" i="8"/>
  <c r="Q133" i="8"/>
  <c r="S133" i="8"/>
  <c r="U133" i="8"/>
  <c r="W133" i="8"/>
  <c r="Y133" i="8"/>
  <c r="AA133" i="8"/>
  <c r="U138" i="8"/>
  <c r="W138" i="8"/>
  <c r="AB123" i="8" l="1"/>
  <c r="S123" i="8"/>
  <c r="T123" i="8"/>
  <c r="U123" i="8"/>
  <c r="V123" i="8"/>
  <c r="W123" i="8"/>
  <c r="X123" i="8"/>
  <c r="Y123" i="8"/>
  <c r="Z123" i="8"/>
  <c r="AA123" i="8"/>
  <c r="R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D123" i="8"/>
  <c r="C123" i="8"/>
  <c r="E115" i="8" l="1"/>
  <c r="E117" i="8" s="1"/>
  <c r="F115" i="8"/>
  <c r="F117" i="8" s="1"/>
  <c r="G115" i="8"/>
  <c r="G117" i="8" s="1"/>
  <c r="H115" i="8"/>
  <c r="H117" i="8" s="1"/>
  <c r="I115" i="8"/>
  <c r="I117" i="8" s="1"/>
  <c r="J115" i="8"/>
  <c r="J117" i="8" s="1"/>
  <c r="K115" i="8"/>
  <c r="K117" i="8" s="1"/>
  <c r="L115" i="8"/>
  <c r="L117" i="8" s="1"/>
  <c r="M115" i="8"/>
  <c r="M117" i="8" s="1"/>
  <c r="N115" i="8"/>
  <c r="N117" i="8" s="1"/>
  <c r="O115" i="8"/>
  <c r="O117" i="8" s="1"/>
  <c r="P115" i="8"/>
  <c r="P117" i="8" s="1"/>
  <c r="Q115" i="8"/>
  <c r="Q117" i="8" s="1"/>
  <c r="R115" i="8"/>
  <c r="R117" i="8" s="1"/>
  <c r="S115" i="8"/>
  <c r="S117" i="8" s="1"/>
  <c r="T115" i="8"/>
  <c r="T117" i="8" s="1"/>
  <c r="U115" i="8"/>
  <c r="U117" i="8" s="1"/>
  <c r="V115" i="8"/>
  <c r="V117" i="8" s="1"/>
  <c r="W115" i="8"/>
  <c r="W117" i="8" s="1"/>
  <c r="X115" i="8"/>
  <c r="X117" i="8" s="1"/>
  <c r="Y115" i="8"/>
  <c r="Y117" i="8" s="1"/>
  <c r="Z115" i="8"/>
  <c r="Z117" i="8" s="1"/>
  <c r="AA115" i="8"/>
  <c r="AA117" i="8" s="1"/>
  <c r="AB115" i="8"/>
  <c r="AB117" i="8" s="1"/>
  <c r="D115" i="8"/>
  <c r="D117" i="8" s="1"/>
  <c r="C115" i="8"/>
  <c r="C117" i="8" s="1"/>
  <c r="C119" i="8" l="1"/>
  <c r="C118" i="8"/>
  <c r="AB118" i="8"/>
  <c r="AB119" i="8"/>
  <c r="Z118" i="8"/>
  <c r="Z119" i="8"/>
  <c r="X118" i="8"/>
  <c r="X119" i="8"/>
  <c r="V118" i="8"/>
  <c r="V119" i="8"/>
  <c r="T118" i="8"/>
  <c r="T119" i="8"/>
  <c r="R118" i="8"/>
  <c r="R119" i="8"/>
  <c r="P118" i="8"/>
  <c r="P119" i="8"/>
  <c r="N118" i="8"/>
  <c r="N119" i="8"/>
  <c r="L118" i="8"/>
  <c r="L119" i="8"/>
  <c r="J118" i="8"/>
  <c r="J119" i="8"/>
  <c r="H118" i="8"/>
  <c r="H119" i="8"/>
  <c r="F118" i="8"/>
  <c r="F119" i="8"/>
  <c r="D118" i="8"/>
  <c r="D119" i="8"/>
  <c r="AA119" i="8"/>
  <c r="AA118" i="8"/>
  <c r="Y119" i="8"/>
  <c r="Y118" i="8"/>
  <c r="W119" i="8"/>
  <c r="W118" i="8"/>
  <c r="U119" i="8"/>
  <c r="U118" i="8"/>
  <c r="S119" i="8"/>
  <c r="S118" i="8"/>
  <c r="Q119" i="8"/>
  <c r="Q118" i="8"/>
  <c r="O119" i="8"/>
  <c r="O118" i="8"/>
  <c r="M119" i="8"/>
  <c r="M118" i="8"/>
  <c r="K119" i="8"/>
  <c r="K118" i="8"/>
  <c r="I119" i="8"/>
  <c r="I118" i="8"/>
  <c r="G119" i="8"/>
  <c r="G118" i="8"/>
  <c r="E119" i="8"/>
  <c r="E118" i="8"/>
  <c r="C120" i="8" l="1"/>
  <c r="C61" i="9" s="1"/>
  <c r="D120" i="8"/>
  <c r="D61" i="9" s="1"/>
  <c r="F120" i="8"/>
  <c r="F61" i="9" s="1"/>
  <c r="H120" i="8"/>
  <c r="H61" i="9" s="1"/>
  <c r="J120" i="8"/>
  <c r="J61" i="9" s="1"/>
  <c r="L120" i="8"/>
  <c r="L61" i="9" s="1"/>
  <c r="N120" i="8"/>
  <c r="N61" i="9" s="1"/>
  <c r="P120" i="8"/>
  <c r="P61" i="9" s="1"/>
  <c r="R120" i="8"/>
  <c r="R61" i="9" s="1"/>
  <c r="T120" i="8"/>
  <c r="T61" i="9" s="1"/>
  <c r="E120" i="8"/>
  <c r="E61" i="9" s="1"/>
  <c r="G120" i="8"/>
  <c r="G61" i="9" s="1"/>
  <c r="I120" i="8"/>
  <c r="I61" i="9" s="1"/>
  <c r="K120" i="8"/>
  <c r="K61" i="9" s="1"/>
  <c r="M120" i="8"/>
  <c r="M61" i="9" s="1"/>
  <c r="O120" i="8"/>
  <c r="O61" i="9" s="1"/>
  <c r="Q120" i="8"/>
  <c r="Q61" i="9" s="1"/>
  <c r="S120" i="8"/>
  <c r="S61" i="9" s="1"/>
  <c r="U120" i="8"/>
  <c r="U61" i="9" s="1"/>
  <c r="W120" i="8"/>
  <c r="W61" i="9" s="1"/>
  <c r="Y120" i="8"/>
  <c r="Y61" i="9" s="1"/>
  <c r="AA120" i="8"/>
  <c r="AA61" i="9" s="1"/>
  <c r="V120" i="8"/>
  <c r="V61" i="9" s="1"/>
  <c r="X120" i="8"/>
  <c r="X61" i="9" s="1"/>
  <c r="Z120" i="8"/>
  <c r="Z61" i="9" s="1"/>
  <c r="AB120" i="8"/>
  <c r="E100" i="8" l="1"/>
  <c r="E103" i="8" s="1"/>
  <c r="E105" i="8" s="1"/>
  <c r="F100" i="8"/>
  <c r="F103" i="8" s="1"/>
  <c r="F104" i="8" s="1"/>
  <c r="G100" i="8"/>
  <c r="G103" i="8" s="1"/>
  <c r="G105" i="8" s="1"/>
  <c r="H100" i="8"/>
  <c r="H103" i="8" s="1"/>
  <c r="H104" i="8" s="1"/>
  <c r="I100" i="8"/>
  <c r="I103" i="8" s="1"/>
  <c r="I105" i="8" s="1"/>
  <c r="J100" i="8"/>
  <c r="J103" i="8" s="1"/>
  <c r="J104" i="8" s="1"/>
  <c r="K100" i="8"/>
  <c r="K103" i="8" s="1"/>
  <c r="K105" i="8" s="1"/>
  <c r="L100" i="8"/>
  <c r="L103" i="8" s="1"/>
  <c r="L104" i="8" s="1"/>
  <c r="M100" i="8"/>
  <c r="M103" i="8" s="1"/>
  <c r="M105" i="8" s="1"/>
  <c r="N100" i="8"/>
  <c r="N103" i="8" s="1"/>
  <c r="N104" i="8" s="1"/>
  <c r="O100" i="8"/>
  <c r="O103" i="8" s="1"/>
  <c r="O105" i="8" s="1"/>
  <c r="P100" i="8"/>
  <c r="P103" i="8" s="1"/>
  <c r="P104" i="8" s="1"/>
  <c r="Q100" i="8"/>
  <c r="Q103" i="8" s="1"/>
  <c r="Q105" i="8" s="1"/>
  <c r="R100" i="8"/>
  <c r="R103" i="8" s="1"/>
  <c r="R104" i="8" s="1"/>
  <c r="S100" i="8"/>
  <c r="S103" i="8" s="1"/>
  <c r="S105" i="8" s="1"/>
  <c r="T100" i="8"/>
  <c r="T103" i="8" s="1"/>
  <c r="T104" i="8" s="1"/>
  <c r="U100" i="8"/>
  <c r="U103" i="8" s="1"/>
  <c r="V100" i="8"/>
  <c r="V103" i="8" s="1"/>
  <c r="W100" i="8"/>
  <c r="W103" i="8" s="1"/>
  <c r="X100" i="8"/>
  <c r="X103" i="8" s="1"/>
  <c r="Y100" i="8"/>
  <c r="Y103" i="8" s="1"/>
  <c r="Z100" i="8"/>
  <c r="Z103" i="8" s="1"/>
  <c r="AA100" i="8"/>
  <c r="AA103" i="8" s="1"/>
  <c r="AB100" i="8"/>
  <c r="AB103" i="8" s="1"/>
  <c r="E101" i="8"/>
  <c r="E108" i="8" s="1"/>
  <c r="F101" i="8"/>
  <c r="F108" i="8" s="1"/>
  <c r="G101" i="8"/>
  <c r="G108" i="8" s="1"/>
  <c r="H101" i="8"/>
  <c r="H108" i="8" s="1"/>
  <c r="I101" i="8"/>
  <c r="I108" i="8" s="1"/>
  <c r="J101" i="8"/>
  <c r="J108" i="8" s="1"/>
  <c r="K101" i="8"/>
  <c r="K108" i="8" s="1"/>
  <c r="L101" i="8"/>
  <c r="L108" i="8" s="1"/>
  <c r="M101" i="8"/>
  <c r="M108" i="8" s="1"/>
  <c r="N101" i="8"/>
  <c r="N108" i="8" s="1"/>
  <c r="O101" i="8"/>
  <c r="O108" i="8" s="1"/>
  <c r="P101" i="8"/>
  <c r="P108" i="8" s="1"/>
  <c r="Q101" i="8"/>
  <c r="Q108" i="8" s="1"/>
  <c r="R101" i="8"/>
  <c r="R108" i="8" s="1"/>
  <c r="S101" i="8"/>
  <c r="S108" i="8" s="1"/>
  <c r="T101" i="8"/>
  <c r="T108" i="8" s="1"/>
  <c r="U101" i="8"/>
  <c r="U108" i="8" s="1"/>
  <c r="V101" i="8"/>
  <c r="V108" i="8" s="1"/>
  <c r="W101" i="8"/>
  <c r="W108" i="8" s="1"/>
  <c r="X101" i="8"/>
  <c r="X108" i="8" s="1"/>
  <c r="Y101" i="8"/>
  <c r="Y108" i="8" s="1"/>
  <c r="Z101" i="8"/>
  <c r="Z108" i="8" s="1"/>
  <c r="AA101" i="8"/>
  <c r="AA108" i="8" s="1"/>
  <c r="AB101" i="8"/>
  <c r="AB108" i="8" s="1"/>
  <c r="D101" i="8"/>
  <c r="D108" i="8" s="1"/>
  <c r="C101" i="8"/>
  <c r="C108" i="8" s="1"/>
  <c r="D100" i="8"/>
  <c r="D103" i="8" s="1"/>
  <c r="D104" i="8" s="1"/>
  <c r="C100" i="8"/>
  <c r="C103" i="8" s="1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D93" i="8"/>
  <c r="C93" i="8"/>
  <c r="E88" i="8"/>
  <c r="E90" i="8" s="1"/>
  <c r="F88" i="8"/>
  <c r="F89" i="8" s="1"/>
  <c r="G88" i="8"/>
  <c r="G90" i="8" s="1"/>
  <c r="H88" i="8"/>
  <c r="H89" i="8" s="1"/>
  <c r="I88" i="8"/>
  <c r="I90" i="8" s="1"/>
  <c r="J88" i="8"/>
  <c r="J89" i="8" s="1"/>
  <c r="K88" i="8"/>
  <c r="K90" i="8" s="1"/>
  <c r="L88" i="8"/>
  <c r="L89" i="8" s="1"/>
  <c r="M88" i="8"/>
  <c r="M90" i="8" s="1"/>
  <c r="N88" i="8"/>
  <c r="N89" i="8" s="1"/>
  <c r="O88" i="8"/>
  <c r="O90" i="8" s="1"/>
  <c r="P88" i="8"/>
  <c r="P89" i="8" s="1"/>
  <c r="Q88" i="8"/>
  <c r="Q90" i="8" s="1"/>
  <c r="R88" i="8"/>
  <c r="R89" i="8" s="1"/>
  <c r="S88" i="8"/>
  <c r="T88" i="8"/>
  <c r="U88" i="8"/>
  <c r="V88" i="8"/>
  <c r="W88" i="8"/>
  <c r="X88" i="8"/>
  <c r="Y88" i="8"/>
  <c r="Z88" i="8"/>
  <c r="AA88" i="8"/>
  <c r="AB88" i="8"/>
  <c r="D88" i="8"/>
  <c r="D89" i="8" s="1"/>
  <c r="C88" i="8"/>
  <c r="Z104" i="8" l="1"/>
  <c r="Z105" i="8"/>
  <c r="X104" i="8"/>
  <c r="X105" i="8"/>
  <c r="V104" i="8"/>
  <c r="V105" i="8"/>
  <c r="C105" i="8"/>
  <c r="C104" i="8"/>
  <c r="AB104" i="8"/>
  <c r="AB105" i="8"/>
  <c r="AA105" i="8"/>
  <c r="AA104" i="8"/>
  <c r="Y105" i="8"/>
  <c r="Y104" i="8"/>
  <c r="W105" i="8"/>
  <c r="W104" i="8"/>
  <c r="U105" i="8"/>
  <c r="U104" i="8"/>
  <c r="D110" i="8"/>
  <c r="D109" i="8"/>
  <c r="AA109" i="8"/>
  <c r="AA110" i="8"/>
  <c r="Y109" i="8"/>
  <c r="Y110" i="8"/>
  <c r="W109" i="8"/>
  <c r="W110" i="8"/>
  <c r="U109" i="8"/>
  <c r="U110" i="8"/>
  <c r="S109" i="8"/>
  <c r="S110" i="8"/>
  <c r="Q109" i="8"/>
  <c r="Q110" i="8"/>
  <c r="O109" i="8"/>
  <c r="O110" i="8"/>
  <c r="M109" i="8"/>
  <c r="M110" i="8"/>
  <c r="K109" i="8"/>
  <c r="K110" i="8"/>
  <c r="I109" i="8"/>
  <c r="I110" i="8"/>
  <c r="G109" i="8"/>
  <c r="G110" i="8"/>
  <c r="E109" i="8"/>
  <c r="E110" i="8"/>
  <c r="T105" i="8"/>
  <c r="T106" i="8" s="1"/>
  <c r="T57" i="9" s="1"/>
  <c r="T67" i="9" s="1"/>
  <c r="R105" i="8"/>
  <c r="R106" i="8" s="1"/>
  <c r="R57" i="9" s="1"/>
  <c r="R67" i="9" s="1"/>
  <c r="P105" i="8"/>
  <c r="P106" i="8" s="1"/>
  <c r="P57" i="9" s="1"/>
  <c r="P67" i="9" s="1"/>
  <c r="N105" i="8"/>
  <c r="N106" i="8" s="1"/>
  <c r="N57" i="9" s="1"/>
  <c r="N67" i="9" s="1"/>
  <c r="L105" i="8"/>
  <c r="L106" i="8" s="1"/>
  <c r="L57" i="9" s="1"/>
  <c r="L67" i="9" s="1"/>
  <c r="J105" i="8"/>
  <c r="J106" i="8" s="1"/>
  <c r="J57" i="9" s="1"/>
  <c r="J67" i="9" s="1"/>
  <c r="H105" i="8"/>
  <c r="H106" i="8" s="1"/>
  <c r="H57" i="9" s="1"/>
  <c r="H67" i="9" s="1"/>
  <c r="F105" i="8"/>
  <c r="F106" i="8" s="1"/>
  <c r="F57" i="9" s="1"/>
  <c r="F67" i="9" s="1"/>
  <c r="D105" i="8"/>
  <c r="D106" i="8" s="1"/>
  <c r="D57" i="9" s="1"/>
  <c r="D67" i="9" s="1"/>
  <c r="S104" i="8"/>
  <c r="S106" i="8" s="1"/>
  <c r="S57" i="9" s="1"/>
  <c r="S67" i="9" s="1"/>
  <c r="Q104" i="8"/>
  <c r="Q106" i="8" s="1"/>
  <c r="Q57" i="9" s="1"/>
  <c r="Q67" i="9" s="1"/>
  <c r="O104" i="8"/>
  <c r="O106" i="8" s="1"/>
  <c r="O57" i="9" s="1"/>
  <c r="O67" i="9" s="1"/>
  <c r="M104" i="8"/>
  <c r="M106" i="8" s="1"/>
  <c r="M57" i="9" s="1"/>
  <c r="M67" i="9" s="1"/>
  <c r="K104" i="8"/>
  <c r="K106" i="8" s="1"/>
  <c r="K57" i="9" s="1"/>
  <c r="K67" i="9" s="1"/>
  <c r="I104" i="8"/>
  <c r="I106" i="8" s="1"/>
  <c r="I57" i="9" s="1"/>
  <c r="I67" i="9" s="1"/>
  <c r="G104" i="8"/>
  <c r="G106" i="8" s="1"/>
  <c r="G57" i="9" s="1"/>
  <c r="G67" i="9" s="1"/>
  <c r="E104" i="8"/>
  <c r="E106" i="8" s="1"/>
  <c r="E57" i="9" s="1"/>
  <c r="E67" i="9" s="1"/>
  <c r="C110" i="8"/>
  <c r="C109" i="8"/>
  <c r="AB110" i="8"/>
  <c r="AB109" i="8"/>
  <c r="Z110" i="8"/>
  <c r="Z109" i="8"/>
  <c r="X110" i="8"/>
  <c r="X109" i="8"/>
  <c r="V110" i="8"/>
  <c r="V109" i="8"/>
  <c r="T110" i="8"/>
  <c r="T109" i="8"/>
  <c r="R110" i="8"/>
  <c r="R109" i="8"/>
  <c r="P110" i="8"/>
  <c r="P109" i="8"/>
  <c r="N110" i="8"/>
  <c r="N109" i="8"/>
  <c r="L110" i="8"/>
  <c r="L109" i="8"/>
  <c r="J110" i="8"/>
  <c r="J109" i="8"/>
  <c r="H110" i="8"/>
  <c r="H109" i="8"/>
  <c r="F110" i="8"/>
  <c r="F109" i="8"/>
  <c r="C90" i="8"/>
  <c r="C89" i="8"/>
  <c r="X89" i="8"/>
  <c r="X90" i="8"/>
  <c r="V89" i="8"/>
  <c r="V90" i="8"/>
  <c r="T89" i="8"/>
  <c r="T90" i="8"/>
  <c r="AB89" i="8"/>
  <c r="AB90" i="8"/>
  <c r="Z89" i="8"/>
  <c r="Z90" i="8"/>
  <c r="AA90" i="8"/>
  <c r="AA89" i="8"/>
  <c r="Y90" i="8"/>
  <c r="Y89" i="8"/>
  <c r="W90" i="8"/>
  <c r="W89" i="8"/>
  <c r="U90" i="8"/>
  <c r="U89" i="8"/>
  <c r="S90" i="8"/>
  <c r="S89" i="8"/>
  <c r="D94" i="8"/>
  <c r="D95" i="8"/>
  <c r="AA94" i="8"/>
  <c r="AA95" i="8"/>
  <c r="Y94" i="8"/>
  <c r="Y95" i="8"/>
  <c r="W94" i="8"/>
  <c r="W95" i="8"/>
  <c r="U94" i="8"/>
  <c r="U95" i="8"/>
  <c r="S94" i="8"/>
  <c r="S95" i="8"/>
  <c r="Q94" i="8"/>
  <c r="Q95" i="8"/>
  <c r="O94" i="8"/>
  <c r="O95" i="8"/>
  <c r="M94" i="8"/>
  <c r="M95" i="8"/>
  <c r="K94" i="8"/>
  <c r="K95" i="8"/>
  <c r="I94" i="8"/>
  <c r="I95" i="8"/>
  <c r="G94" i="8"/>
  <c r="G95" i="8"/>
  <c r="E94" i="8"/>
  <c r="E95" i="8"/>
  <c r="R90" i="8"/>
  <c r="R91" i="8" s="1"/>
  <c r="P90" i="8"/>
  <c r="P91" i="8" s="1"/>
  <c r="N90" i="8"/>
  <c r="N91" i="8" s="1"/>
  <c r="L90" i="8"/>
  <c r="L91" i="8" s="1"/>
  <c r="J90" i="8"/>
  <c r="J91" i="8" s="1"/>
  <c r="H90" i="8"/>
  <c r="H91" i="8" s="1"/>
  <c r="F90" i="8"/>
  <c r="F91" i="8" s="1"/>
  <c r="D90" i="8"/>
  <c r="D91" i="8" s="1"/>
  <c r="Q89" i="8"/>
  <c r="Q91" i="8" s="1"/>
  <c r="O89" i="8"/>
  <c r="O91" i="8" s="1"/>
  <c r="M89" i="8"/>
  <c r="M91" i="8" s="1"/>
  <c r="K89" i="8"/>
  <c r="K91" i="8" s="1"/>
  <c r="I89" i="8"/>
  <c r="I91" i="8" s="1"/>
  <c r="G89" i="8"/>
  <c r="G91" i="8" s="1"/>
  <c r="E89" i="8"/>
  <c r="E91" i="8" s="1"/>
  <c r="C95" i="8"/>
  <c r="C94" i="8"/>
  <c r="AB94" i="8"/>
  <c r="AB95" i="8"/>
  <c r="Z94" i="8"/>
  <c r="Z95" i="8"/>
  <c r="X94" i="8"/>
  <c r="X95" i="8"/>
  <c r="V94" i="8"/>
  <c r="V95" i="8"/>
  <c r="T94" i="8"/>
  <c r="T95" i="8"/>
  <c r="R94" i="8"/>
  <c r="R95" i="8"/>
  <c r="P94" i="8"/>
  <c r="P95" i="8"/>
  <c r="N94" i="8"/>
  <c r="N95" i="8"/>
  <c r="L94" i="8"/>
  <c r="L95" i="8"/>
  <c r="J94" i="8"/>
  <c r="J95" i="8"/>
  <c r="H94" i="8"/>
  <c r="H95" i="8"/>
  <c r="F94" i="8"/>
  <c r="F95" i="8"/>
  <c r="E52" i="9" l="1"/>
  <c r="E43" i="9"/>
  <c r="I52" i="9"/>
  <c r="I43" i="9"/>
  <c r="M52" i="9"/>
  <c r="M43" i="9"/>
  <c r="Q52" i="9"/>
  <c r="Q43" i="9"/>
  <c r="F52" i="9"/>
  <c r="F43" i="9"/>
  <c r="J52" i="9"/>
  <c r="J43" i="9"/>
  <c r="N52" i="9"/>
  <c r="N43" i="9"/>
  <c r="R52" i="9"/>
  <c r="R43" i="9"/>
  <c r="G52" i="9"/>
  <c r="G43" i="9"/>
  <c r="K52" i="9"/>
  <c r="K43" i="9"/>
  <c r="O52" i="9"/>
  <c r="O43" i="9"/>
  <c r="D52" i="9"/>
  <c r="D43" i="9"/>
  <c r="H52" i="9"/>
  <c r="H43" i="9"/>
  <c r="L52" i="9"/>
  <c r="L43" i="9"/>
  <c r="P52" i="9"/>
  <c r="P43" i="9"/>
  <c r="C111" i="8"/>
  <c r="C58" i="9" s="1"/>
  <c r="C74" i="9" s="1"/>
  <c r="F111" i="8"/>
  <c r="F58" i="9" s="1"/>
  <c r="F74" i="9" s="1"/>
  <c r="H111" i="8"/>
  <c r="H58" i="9" s="1"/>
  <c r="H74" i="9" s="1"/>
  <c r="J111" i="8"/>
  <c r="J58" i="9" s="1"/>
  <c r="J74" i="9" s="1"/>
  <c r="L111" i="8"/>
  <c r="L58" i="9" s="1"/>
  <c r="L74" i="9" s="1"/>
  <c r="N111" i="8"/>
  <c r="N58" i="9" s="1"/>
  <c r="N74" i="9" s="1"/>
  <c r="P111" i="8"/>
  <c r="P58" i="9" s="1"/>
  <c r="P74" i="9" s="1"/>
  <c r="R111" i="8"/>
  <c r="R58" i="9" s="1"/>
  <c r="R74" i="9" s="1"/>
  <c r="T111" i="8"/>
  <c r="T58" i="9" s="1"/>
  <c r="T74" i="9" s="1"/>
  <c r="V111" i="8"/>
  <c r="V58" i="9" s="1"/>
  <c r="V74" i="9" s="1"/>
  <c r="X111" i="8"/>
  <c r="X58" i="9" s="1"/>
  <c r="X74" i="9" s="1"/>
  <c r="Z111" i="8"/>
  <c r="Z58" i="9" s="1"/>
  <c r="Z74" i="9" s="1"/>
  <c r="AB111" i="8"/>
  <c r="E111" i="8"/>
  <c r="E58" i="9" s="1"/>
  <c r="E74" i="9" s="1"/>
  <c r="G111" i="8"/>
  <c r="G58" i="9" s="1"/>
  <c r="G74" i="9" s="1"/>
  <c r="I111" i="8"/>
  <c r="I58" i="9" s="1"/>
  <c r="I74" i="9" s="1"/>
  <c r="W111" i="8"/>
  <c r="W58" i="9" s="1"/>
  <c r="W74" i="9" s="1"/>
  <c r="AB106" i="8"/>
  <c r="V106" i="8"/>
  <c r="V57" i="9" s="1"/>
  <c r="V67" i="9" s="1"/>
  <c r="X106" i="8"/>
  <c r="X57" i="9" s="1"/>
  <c r="X67" i="9" s="1"/>
  <c r="Z106" i="8"/>
  <c r="Z57" i="9" s="1"/>
  <c r="Z67" i="9" s="1"/>
  <c r="D111" i="8"/>
  <c r="D58" i="9" s="1"/>
  <c r="D74" i="9" s="1"/>
  <c r="U106" i="8"/>
  <c r="U57" i="9" s="1"/>
  <c r="U67" i="9" s="1"/>
  <c r="W106" i="8"/>
  <c r="W57" i="9" s="1"/>
  <c r="W67" i="9" s="1"/>
  <c r="Y106" i="8"/>
  <c r="Y57" i="9" s="1"/>
  <c r="Y67" i="9" s="1"/>
  <c r="AA106" i="8"/>
  <c r="AA57" i="9" s="1"/>
  <c r="AA67" i="9" s="1"/>
  <c r="K111" i="8"/>
  <c r="K58" i="9" s="1"/>
  <c r="K74" i="9" s="1"/>
  <c r="M111" i="8"/>
  <c r="M58" i="9" s="1"/>
  <c r="M74" i="9" s="1"/>
  <c r="O111" i="8"/>
  <c r="O58" i="9" s="1"/>
  <c r="O74" i="9" s="1"/>
  <c r="Q111" i="8"/>
  <c r="Q58" i="9" s="1"/>
  <c r="Q74" i="9" s="1"/>
  <c r="S111" i="8"/>
  <c r="S58" i="9" s="1"/>
  <c r="S74" i="9" s="1"/>
  <c r="U111" i="8"/>
  <c r="U58" i="9" s="1"/>
  <c r="U74" i="9" s="1"/>
  <c r="Y111" i="8"/>
  <c r="Y58" i="9" s="1"/>
  <c r="Y74" i="9" s="1"/>
  <c r="AA111" i="8"/>
  <c r="AA58" i="9" s="1"/>
  <c r="AA74" i="9" s="1"/>
  <c r="C106" i="8"/>
  <c r="C57" i="9" s="1"/>
  <c r="C67" i="9" s="1"/>
  <c r="F96" i="8"/>
  <c r="H96" i="8"/>
  <c r="J96" i="8"/>
  <c r="L96" i="8"/>
  <c r="N96" i="8"/>
  <c r="P96" i="8"/>
  <c r="R96" i="8"/>
  <c r="S91" i="8"/>
  <c r="U91" i="8"/>
  <c r="W91" i="8"/>
  <c r="C91" i="8"/>
  <c r="Y91" i="8"/>
  <c r="Z91" i="8"/>
  <c r="AA91" i="8"/>
  <c r="C96" i="8"/>
  <c r="AB91" i="8"/>
  <c r="T96" i="8"/>
  <c r="V96" i="8"/>
  <c r="X96" i="8"/>
  <c r="Z96" i="8"/>
  <c r="AB96" i="8"/>
  <c r="E96" i="8"/>
  <c r="G96" i="8"/>
  <c r="I96" i="8"/>
  <c r="K96" i="8"/>
  <c r="M96" i="8"/>
  <c r="O96" i="8"/>
  <c r="Q96" i="8"/>
  <c r="S96" i="8"/>
  <c r="U96" i="8"/>
  <c r="W96" i="8"/>
  <c r="Y96" i="8"/>
  <c r="AA96" i="8"/>
  <c r="D96" i="8"/>
  <c r="T91" i="8"/>
  <c r="V91" i="8"/>
  <c r="X91" i="8"/>
  <c r="T52" i="9" l="1"/>
  <c r="T43" i="9"/>
  <c r="AA53" i="9"/>
  <c r="AA65" i="9" s="1"/>
  <c r="AA44" i="9"/>
  <c r="W53" i="9"/>
  <c r="W65" i="9" s="1"/>
  <c r="W44" i="9"/>
  <c r="S53" i="9"/>
  <c r="S65" i="9" s="1"/>
  <c r="S44" i="9"/>
  <c r="O53" i="9"/>
  <c r="O65" i="9" s="1"/>
  <c r="O44" i="9"/>
  <c r="K53" i="9"/>
  <c r="K65" i="9" s="1"/>
  <c r="K44" i="9"/>
  <c r="G53" i="9"/>
  <c r="G65" i="9" s="1"/>
  <c r="G44" i="9"/>
  <c r="X53" i="9"/>
  <c r="X65" i="9" s="1"/>
  <c r="X44" i="9"/>
  <c r="T53" i="9"/>
  <c r="T65" i="9" s="1"/>
  <c r="T44" i="9"/>
  <c r="C53" i="9"/>
  <c r="C65" i="9" s="1"/>
  <c r="C44" i="9"/>
  <c r="Z52" i="9"/>
  <c r="Z43" i="9"/>
  <c r="C52" i="9"/>
  <c r="C43" i="9"/>
  <c r="U52" i="9"/>
  <c r="U43" i="9"/>
  <c r="R53" i="9"/>
  <c r="R65" i="9" s="1"/>
  <c r="R44" i="9"/>
  <c r="N53" i="9"/>
  <c r="N65" i="9" s="1"/>
  <c r="N44" i="9"/>
  <c r="J53" i="9"/>
  <c r="J65" i="9" s="1"/>
  <c r="J44" i="9"/>
  <c r="F53" i="9"/>
  <c r="F65" i="9" s="1"/>
  <c r="F44" i="9"/>
  <c r="X52" i="9"/>
  <c r="X43" i="9"/>
  <c r="V52" i="9"/>
  <c r="V43" i="9"/>
  <c r="D53" i="9"/>
  <c r="D65" i="9" s="1"/>
  <c r="D44" i="9"/>
  <c r="Y53" i="9"/>
  <c r="Y65" i="9" s="1"/>
  <c r="Y44" i="9"/>
  <c r="U53" i="9"/>
  <c r="U65" i="9" s="1"/>
  <c r="U44" i="9"/>
  <c r="Q53" i="9"/>
  <c r="Q65" i="9" s="1"/>
  <c r="Q44" i="9"/>
  <c r="M53" i="9"/>
  <c r="M65" i="9" s="1"/>
  <c r="M44" i="9"/>
  <c r="I53" i="9"/>
  <c r="I65" i="9" s="1"/>
  <c r="I44" i="9"/>
  <c r="E53" i="9"/>
  <c r="E65" i="9" s="1"/>
  <c r="E44" i="9"/>
  <c r="Z53" i="9"/>
  <c r="Z65" i="9" s="1"/>
  <c r="Z44" i="9"/>
  <c r="V53" i="9"/>
  <c r="V65" i="9" s="1"/>
  <c r="V44" i="9"/>
  <c r="AA52" i="9"/>
  <c r="AA43" i="9"/>
  <c r="Y52" i="9"/>
  <c r="Y43" i="9"/>
  <c r="W52" i="9"/>
  <c r="W43" i="9"/>
  <c r="S52" i="9"/>
  <c r="S43" i="9"/>
  <c r="P53" i="9"/>
  <c r="P65" i="9" s="1"/>
  <c r="P44" i="9"/>
  <c r="L53" i="9"/>
  <c r="L65" i="9" s="1"/>
  <c r="L44" i="9"/>
  <c r="H53" i="9"/>
  <c r="H65" i="9" s="1"/>
  <c r="H44" i="9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D75" i="8"/>
  <c r="C75" i="8"/>
  <c r="E74" i="8"/>
  <c r="E77" i="8" s="1"/>
  <c r="F74" i="8"/>
  <c r="F77" i="8" s="1"/>
  <c r="G74" i="8"/>
  <c r="G77" i="8" s="1"/>
  <c r="H74" i="8"/>
  <c r="H77" i="8" s="1"/>
  <c r="I74" i="8"/>
  <c r="I77" i="8" s="1"/>
  <c r="J74" i="8"/>
  <c r="J77" i="8" s="1"/>
  <c r="K74" i="8"/>
  <c r="K77" i="8" s="1"/>
  <c r="L74" i="8"/>
  <c r="L77" i="8" s="1"/>
  <c r="M74" i="8"/>
  <c r="M77" i="8" s="1"/>
  <c r="N74" i="8"/>
  <c r="N77" i="8" s="1"/>
  <c r="O74" i="8"/>
  <c r="O77" i="8" s="1"/>
  <c r="P74" i="8"/>
  <c r="P77" i="8" s="1"/>
  <c r="Q74" i="8"/>
  <c r="Q77" i="8" s="1"/>
  <c r="R74" i="8"/>
  <c r="R77" i="8" s="1"/>
  <c r="S74" i="8"/>
  <c r="S77" i="8" s="1"/>
  <c r="T74" i="8"/>
  <c r="T77" i="8" s="1"/>
  <c r="U74" i="8"/>
  <c r="U77" i="8" s="1"/>
  <c r="V74" i="8"/>
  <c r="V77" i="8" s="1"/>
  <c r="W74" i="8"/>
  <c r="W77" i="8" s="1"/>
  <c r="X74" i="8"/>
  <c r="X77" i="8" s="1"/>
  <c r="Y74" i="8"/>
  <c r="Y77" i="8" s="1"/>
  <c r="Z74" i="8"/>
  <c r="Z77" i="8" s="1"/>
  <c r="AA74" i="8"/>
  <c r="AA77" i="8" s="1"/>
  <c r="AB74" i="8"/>
  <c r="AB77" i="8" s="1"/>
  <c r="D74" i="8"/>
  <c r="D77" i="8" s="1"/>
  <c r="C74" i="8"/>
  <c r="C77" i="8" s="1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D68" i="8"/>
  <c r="C68" i="8"/>
  <c r="C79" i="8" l="1"/>
  <c r="C78" i="8"/>
  <c r="AB79" i="8"/>
  <c r="AB78" i="8"/>
  <c r="Z79" i="8"/>
  <c r="Z78" i="8"/>
  <c r="X79" i="8"/>
  <c r="X78" i="8"/>
  <c r="V79" i="8"/>
  <c r="V78" i="8"/>
  <c r="T79" i="8"/>
  <c r="T78" i="8"/>
  <c r="R79" i="8"/>
  <c r="R78" i="8"/>
  <c r="P79" i="8"/>
  <c r="P78" i="8"/>
  <c r="N79" i="8"/>
  <c r="N78" i="8"/>
  <c r="L79" i="8"/>
  <c r="L78" i="8"/>
  <c r="J79" i="8"/>
  <c r="J78" i="8"/>
  <c r="H79" i="8"/>
  <c r="H78" i="8"/>
  <c r="F79" i="8"/>
  <c r="F78" i="8"/>
  <c r="D79" i="8"/>
  <c r="D78" i="8"/>
  <c r="AA78" i="8"/>
  <c r="AA79" i="8"/>
  <c r="Y78" i="8"/>
  <c r="Y79" i="8"/>
  <c r="W78" i="8"/>
  <c r="W79" i="8"/>
  <c r="U78" i="8"/>
  <c r="U79" i="8"/>
  <c r="S78" i="8"/>
  <c r="S79" i="8"/>
  <c r="Q78" i="8"/>
  <c r="Q79" i="8"/>
  <c r="O78" i="8"/>
  <c r="O79" i="8"/>
  <c r="M78" i="8"/>
  <c r="M79" i="8"/>
  <c r="K78" i="8"/>
  <c r="K79" i="8"/>
  <c r="I78" i="8"/>
  <c r="I79" i="8"/>
  <c r="G78" i="8"/>
  <c r="G79" i="8"/>
  <c r="E78" i="8"/>
  <c r="E79" i="8"/>
  <c r="C69" i="8"/>
  <c r="C70" i="8"/>
  <c r="AB70" i="8"/>
  <c r="AB69" i="8"/>
  <c r="Z70" i="8"/>
  <c r="Z69" i="8"/>
  <c r="X70" i="8"/>
  <c r="X69" i="8"/>
  <c r="V70" i="8"/>
  <c r="V69" i="8"/>
  <c r="T70" i="8"/>
  <c r="T69" i="8"/>
  <c r="R70" i="8"/>
  <c r="R69" i="8"/>
  <c r="P70" i="8"/>
  <c r="P69" i="8"/>
  <c r="N70" i="8"/>
  <c r="N69" i="8"/>
  <c r="L70" i="8"/>
  <c r="L69" i="8"/>
  <c r="J70" i="8"/>
  <c r="J69" i="8"/>
  <c r="H70" i="8"/>
  <c r="H69" i="8"/>
  <c r="F70" i="8"/>
  <c r="F69" i="8"/>
  <c r="D70" i="8"/>
  <c r="D69" i="8"/>
  <c r="AA69" i="8"/>
  <c r="AA70" i="8"/>
  <c r="Y69" i="8"/>
  <c r="Y70" i="8"/>
  <c r="W69" i="8"/>
  <c r="W70" i="8"/>
  <c r="U69" i="8"/>
  <c r="U70" i="8"/>
  <c r="S69" i="8"/>
  <c r="S70" i="8"/>
  <c r="Q69" i="8"/>
  <c r="Q70" i="8"/>
  <c r="O69" i="8"/>
  <c r="O70" i="8"/>
  <c r="M69" i="8"/>
  <c r="M70" i="8"/>
  <c r="K69" i="8"/>
  <c r="K70" i="8"/>
  <c r="I69" i="8"/>
  <c r="I70" i="8"/>
  <c r="G69" i="8"/>
  <c r="G70" i="8"/>
  <c r="E69" i="8"/>
  <c r="E70" i="8"/>
  <c r="D71" i="8" l="1"/>
  <c r="F71" i="8"/>
  <c r="H71" i="8"/>
  <c r="L71" i="8"/>
  <c r="N71" i="8"/>
  <c r="J71" i="8"/>
  <c r="P71" i="8"/>
  <c r="R71" i="8"/>
  <c r="T71" i="8"/>
  <c r="V71" i="8"/>
  <c r="X71" i="8"/>
  <c r="Z71" i="8"/>
  <c r="AB71" i="8"/>
  <c r="P80" i="8"/>
  <c r="R80" i="8"/>
  <c r="D80" i="8"/>
  <c r="F80" i="8"/>
  <c r="H80" i="8"/>
  <c r="J80" i="8"/>
  <c r="L80" i="8"/>
  <c r="N80" i="8"/>
  <c r="T80" i="8"/>
  <c r="V80" i="8"/>
  <c r="X80" i="8"/>
  <c r="Z80" i="8"/>
  <c r="AB80" i="8"/>
  <c r="C80" i="8"/>
  <c r="C81" i="8" s="1"/>
  <c r="C47" i="9" s="1"/>
  <c r="E71" i="8"/>
  <c r="G71" i="8"/>
  <c r="I71" i="8"/>
  <c r="K71" i="8"/>
  <c r="M71" i="8"/>
  <c r="O71" i="8"/>
  <c r="Q71" i="8"/>
  <c r="S71" i="8"/>
  <c r="U71" i="8"/>
  <c r="W71" i="8"/>
  <c r="Y71" i="8"/>
  <c r="AA71" i="8"/>
  <c r="C71" i="8"/>
  <c r="E80" i="8"/>
  <c r="G80" i="8"/>
  <c r="I80" i="8"/>
  <c r="K80" i="8"/>
  <c r="M80" i="8"/>
  <c r="O80" i="8"/>
  <c r="Q80" i="8"/>
  <c r="S80" i="8"/>
  <c r="U80" i="8"/>
  <c r="W80" i="8"/>
  <c r="Y80" i="8"/>
  <c r="AA80" i="8"/>
  <c r="C34" i="9" l="1"/>
  <c r="Y34" i="9"/>
  <c r="U34" i="9"/>
  <c r="Q34" i="9"/>
  <c r="M34" i="9"/>
  <c r="I34" i="9"/>
  <c r="E34" i="9"/>
  <c r="Z34" i="9"/>
  <c r="V34" i="9"/>
  <c r="R34" i="9"/>
  <c r="J34" i="9"/>
  <c r="L34" i="9"/>
  <c r="F34" i="9"/>
  <c r="AA34" i="9"/>
  <c r="W34" i="9"/>
  <c r="S34" i="9"/>
  <c r="O34" i="9"/>
  <c r="K34" i="9"/>
  <c r="G34" i="9"/>
  <c r="X34" i="9"/>
  <c r="T34" i="9"/>
  <c r="P34" i="9"/>
  <c r="N34" i="9"/>
  <c r="H34" i="9"/>
  <c r="D34" i="9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D58" i="8"/>
  <c r="C58" i="8"/>
  <c r="D59" i="8" l="1"/>
  <c r="D60" i="8"/>
  <c r="AA60" i="8"/>
  <c r="AA59" i="8"/>
  <c r="Y60" i="8"/>
  <c r="Y59" i="8"/>
  <c r="W60" i="8"/>
  <c r="W59" i="8"/>
  <c r="U60" i="8"/>
  <c r="U59" i="8"/>
  <c r="S60" i="8"/>
  <c r="S59" i="8"/>
  <c r="Q60" i="8"/>
  <c r="Q59" i="8"/>
  <c r="O60" i="8"/>
  <c r="O59" i="8"/>
  <c r="M60" i="8"/>
  <c r="M59" i="8"/>
  <c r="K60" i="8"/>
  <c r="K59" i="8"/>
  <c r="I60" i="8"/>
  <c r="I59" i="8"/>
  <c r="G60" i="8"/>
  <c r="G59" i="8"/>
  <c r="E60" i="8"/>
  <c r="E59" i="8"/>
  <c r="C60" i="8"/>
  <c r="C59" i="8"/>
  <c r="AB59" i="8"/>
  <c r="AB60" i="8"/>
  <c r="Z59" i="8"/>
  <c r="Z60" i="8"/>
  <c r="X59" i="8"/>
  <c r="X60" i="8"/>
  <c r="V59" i="8"/>
  <c r="V60" i="8"/>
  <c r="T59" i="8"/>
  <c r="T60" i="8"/>
  <c r="R59" i="8"/>
  <c r="R60" i="8"/>
  <c r="P59" i="8"/>
  <c r="P60" i="8"/>
  <c r="N59" i="8"/>
  <c r="N60" i="8"/>
  <c r="L59" i="8"/>
  <c r="L60" i="8"/>
  <c r="J59" i="8"/>
  <c r="J60" i="8"/>
  <c r="H59" i="8"/>
  <c r="H60" i="8"/>
  <c r="F59" i="8"/>
  <c r="F60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D52" i="8"/>
  <c r="C52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D41" i="8"/>
  <c r="C41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D36" i="8"/>
  <c r="C36" i="8"/>
  <c r="C61" i="8" l="1"/>
  <c r="C39" i="9" s="1"/>
  <c r="E61" i="8"/>
  <c r="E39" i="9" s="1"/>
  <c r="G61" i="8"/>
  <c r="G39" i="9" s="1"/>
  <c r="I61" i="8"/>
  <c r="I39" i="9" s="1"/>
  <c r="K61" i="8"/>
  <c r="K39" i="9" s="1"/>
  <c r="M61" i="8"/>
  <c r="M39" i="9" s="1"/>
  <c r="O61" i="8"/>
  <c r="O39" i="9" s="1"/>
  <c r="Q61" i="8"/>
  <c r="Q39" i="9" s="1"/>
  <c r="S61" i="8"/>
  <c r="S39" i="9" s="1"/>
  <c r="U61" i="8"/>
  <c r="U39" i="9" s="1"/>
  <c r="W61" i="8"/>
  <c r="W39" i="9" s="1"/>
  <c r="Y61" i="8"/>
  <c r="Y39" i="9" s="1"/>
  <c r="AA61" i="8"/>
  <c r="AA39" i="9" s="1"/>
  <c r="F61" i="8"/>
  <c r="F39" i="9" s="1"/>
  <c r="H61" i="8"/>
  <c r="H39" i="9" s="1"/>
  <c r="J61" i="8"/>
  <c r="J39" i="9" s="1"/>
  <c r="L61" i="8"/>
  <c r="L39" i="9" s="1"/>
  <c r="N61" i="8"/>
  <c r="N39" i="9" s="1"/>
  <c r="P61" i="8"/>
  <c r="P39" i="9" s="1"/>
  <c r="R61" i="8"/>
  <c r="R39" i="9" s="1"/>
  <c r="T61" i="8"/>
  <c r="T39" i="9" s="1"/>
  <c r="V61" i="8"/>
  <c r="V39" i="9" s="1"/>
  <c r="X61" i="8"/>
  <c r="X39" i="9" s="1"/>
  <c r="Z61" i="8"/>
  <c r="Z39" i="9" s="1"/>
  <c r="AB61" i="8"/>
  <c r="AB39" i="9" s="1"/>
  <c r="D61" i="8"/>
  <c r="D39" i="9" s="1"/>
  <c r="C54" i="8"/>
  <c r="C53" i="8"/>
  <c r="AB53" i="8"/>
  <c r="AB54" i="8"/>
  <c r="Z53" i="8"/>
  <c r="Z54" i="8"/>
  <c r="X53" i="8"/>
  <c r="X54" i="8"/>
  <c r="V53" i="8"/>
  <c r="V54" i="8"/>
  <c r="T53" i="8"/>
  <c r="T54" i="8"/>
  <c r="R53" i="8"/>
  <c r="R54" i="8"/>
  <c r="P53" i="8"/>
  <c r="P54" i="8"/>
  <c r="N53" i="8"/>
  <c r="N54" i="8"/>
  <c r="L53" i="8"/>
  <c r="L54" i="8"/>
  <c r="J53" i="8"/>
  <c r="J54" i="8"/>
  <c r="H53" i="8"/>
  <c r="H54" i="8"/>
  <c r="F53" i="8"/>
  <c r="F54" i="8"/>
  <c r="D53" i="8"/>
  <c r="D54" i="8"/>
  <c r="AA53" i="8"/>
  <c r="AA54" i="8"/>
  <c r="Y53" i="8"/>
  <c r="Y54" i="8"/>
  <c r="W53" i="8"/>
  <c r="W54" i="8"/>
  <c r="U53" i="8"/>
  <c r="U54" i="8"/>
  <c r="S53" i="8"/>
  <c r="S54" i="8"/>
  <c r="Q53" i="8"/>
  <c r="Q54" i="8"/>
  <c r="O53" i="8"/>
  <c r="O54" i="8"/>
  <c r="M53" i="8"/>
  <c r="M54" i="8"/>
  <c r="K53" i="8"/>
  <c r="K54" i="8"/>
  <c r="I54" i="8"/>
  <c r="I53" i="8"/>
  <c r="G54" i="8"/>
  <c r="G53" i="8"/>
  <c r="E54" i="8"/>
  <c r="E53" i="8"/>
  <c r="C38" i="8"/>
  <c r="C37" i="8"/>
  <c r="Z38" i="8"/>
  <c r="Z37" i="8"/>
  <c r="X38" i="8"/>
  <c r="X37" i="8"/>
  <c r="V38" i="8"/>
  <c r="V37" i="8"/>
  <c r="T38" i="8"/>
  <c r="T37" i="8"/>
  <c r="R38" i="8"/>
  <c r="R37" i="8"/>
  <c r="P38" i="8"/>
  <c r="P37" i="8"/>
  <c r="N38" i="8"/>
  <c r="N37" i="8"/>
  <c r="L38" i="8"/>
  <c r="L37" i="8"/>
  <c r="J38" i="8"/>
  <c r="J37" i="8"/>
  <c r="H38" i="8"/>
  <c r="H37" i="8"/>
  <c r="F38" i="8"/>
  <c r="F37" i="8"/>
  <c r="AB38" i="8"/>
  <c r="AB37" i="8"/>
  <c r="D38" i="8"/>
  <c r="D37" i="8"/>
  <c r="AA38" i="8"/>
  <c r="AA37" i="8"/>
  <c r="Y38" i="8"/>
  <c r="Y37" i="8"/>
  <c r="W38" i="8"/>
  <c r="W37" i="8"/>
  <c r="U38" i="8"/>
  <c r="U37" i="8"/>
  <c r="S38" i="8"/>
  <c r="S37" i="8"/>
  <c r="Q38" i="8"/>
  <c r="Q37" i="8"/>
  <c r="O38" i="8"/>
  <c r="O37" i="8"/>
  <c r="M38" i="8"/>
  <c r="M37" i="8"/>
  <c r="K38" i="8"/>
  <c r="K37" i="8"/>
  <c r="I38" i="8"/>
  <c r="I37" i="8"/>
  <c r="G38" i="8"/>
  <c r="G37" i="8"/>
  <c r="E38" i="8"/>
  <c r="E37" i="8"/>
  <c r="C43" i="8"/>
  <c r="C42" i="8"/>
  <c r="AB42" i="8"/>
  <c r="AB43" i="8"/>
  <c r="Z42" i="8"/>
  <c r="Z43" i="8"/>
  <c r="X42" i="8"/>
  <c r="X43" i="8"/>
  <c r="V42" i="8"/>
  <c r="V43" i="8"/>
  <c r="T42" i="8"/>
  <c r="T43" i="8"/>
  <c r="R42" i="8"/>
  <c r="R43" i="8"/>
  <c r="P42" i="8"/>
  <c r="P43" i="8"/>
  <c r="N42" i="8"/>
  <c r="N43" i="8"/>
  <c r="L42" i="8"/>
  <c r="L43" i="8"/>
  <c r="J42" i="8"/>
  <c r="J43" i="8"/>
  <c r="H42" i="8"/>
  <c r="H43" i="8"/>
  <c r="F42" i="8"/>
  <c r="F43" i="8"/>
  <c r="D42" i="8"/>
  <c r="D43" i="8"/>
  <c r="AA43" i="8"/>
  <c r="AA42" i="8"/>
  <c r="Y43" i="8"/>
  <c r="Y42" i="8"/>
  <c r="W43" i="8"/>
  <c r="W42" i="8"/>
  <c r="U43" i="8"/>
  <c r="U42" i="8"/>
  <c r="S43" i="8"/>
  <c r="S42" i="8"/>
  <c r="Q43" i="8"/>
  <c r="Q42" i="8"/>
  <c r="O43" i="8"/>
  <c r="O42" i="8"/>
  <c r="M43" i="8"/>
  <c r="M42" i="8"/>
  <c r="K43" i="8"/>
  <c r="K42" i="8"/>
  <c r="I43" i="8"/>
  <c r="I42" i="8"/>
  <c r="G43" i="8"/>
  <c r="G42" i="8"/>
  <c r="E43" i="8"/>
  <c r="E42" i="8"/>
  <c r="K39" i="8" l="1"/>
  <c r="S39" i="8"/>
  <c r="S32" i="9" s="1"/>
  <c r="AA39" i="8"/>
  <c r="AA32" i="9" s="1"/>
  <c r="H39" i="8"/>
  <c r="H32" i="9" s="1"/>
  <c r="E39" i="8"/>
  <c r="E32" i="9" s="1"/>
  <c r="M39" i="8"/>
  <c r="M32" i="9" s="1"/>
  <c r="U39" i="8"/>
  <c r="U32" i="9" s="1"/>
  <c r="D39" i="8"/>
  <c r="D32" i="9" s="1"/>
  <c r="J39" i="8"/>
  <c r="J32" i="9" s="1"/>
  <c r="G39" i="8"/>
  <c r="O39" i="8"/>
  <c r="O32" i="9" s="1"/>
  <c r="W39" i="8"/>
  <c r="W32" i="9" s="1"/>
  <c r="AB39" i="8"/>
  <c r="AB32" i="9" s="1"/>
  <c r="L39" i="8"/>
  <c r="L32" i="9" s="1"/>
  <c r="T39" i="8"/>
  <c r="T32" i="9" s="1"/>
  <c r="P39" i="8"/>
  <c r="P32" i="9" s="1"/>
  <c r="X39" i="8"/>
  <c r="X32" i="9" s="1"/>
  <c r="I39" i="8"/>
  <c r="I32" i="9" s="1"/>
  <c r="Q39" i="8"/>
  <c r="Q32" i="9" s="1"/>
  <c r="Y39" i="8"/>
  <c r="Y32" i="9" s="1"/>
  <c r="F39" i="8"/>
  <c r="F32" i="9" s="1"/>
  <c r="N39" i="8"/>
  <c r="N32" i="9" s="1"/>
  <c r="V39" i="8"/>
  <c r="V32" i="9" s="1"/>
  <c r="R39" i="8"/>
  <c r="R32" i="9" s="1"/>
  <c r="Z39" i="8"/>
  <c r="Z32" i="9" s="1"/>
  <c r="C39" i="8"/>
  <c r="C32" i="9" s="1"/>
  <c r="C55" i="8"/>
  <c r="C37" i="9" s="1"/>
  <c r="E55" i="8"/>
  <c r="E37" i="9" s="1"/>
  <c r="G55" i="8"/>
  <c r="G37" i="9" s="1"/>
  <c r="I55" i="8"/>
  <c r="I37" i="9" s="1"/>
  <c r="F55" i="8"/>
  <c r="F37" i="9" s="1"/>
  <c r="E44" i="8"/>
  <c r="G44" i="8"/>
  <c r="I44" i="8"/>
  <c r="K44" i="8"/>
  <c r="M44" i="8"/>
  <c r="H55" i="8"/>
  <c r="H37" i="9" s="1"/>
  <c r="J55" i="8"/>
  <c r="J37" i="9" s="1"/>
  <c r="L55" i="8"/>
  <c r="L37" i="9" s="1"/>
  <c r="O44" i="8"/>
  <c r="Q44" i="8"/>
  <c r="S44" i="8"/>
  <c r="U44" i="8"/>
  <c r="W44" i="8"/>
  <c r="Y44" i="8"/>
  <c r="AA44" i="8"/>
  <c r="N55" i="8"/>
  <c r="N37" i="9" s="1"/>
  <c r="P55" i="8"/>
  <c r="P37" i="9" s="1"/>
  <c r="R55" i="8"/>
  <c r="R37" i="9" s="1"/>
  <c r="C44" i="8"/>
  <c r="K55" i="8"/>
  <c r="K37" i="9" s="1"/>
  <c r="M55" i="8"/>
  <c r="M37" i="9" s="1"/>
  <c r="O55" i="8"/>
  <c r="O37" i="9" s="1"/>
  <c r="Q55" i="8"/>
  <c r="Q37" i="9" s="1"/>
  <c r="S55" i="8"/>
  <c r="S37" i="9" s="1"/>
  <c r="U55" i="8"/>
  <c r="U37" i="9" s="1"/>
  <c r="W55" i="8"/>
  <c r="W37" i="9" s="1"/>
  <c r="Y55" i="8"/>
  <c r="Y37" i="9" s="1"/>
  <c r="AA55" i="8"/>
  <c r="AA37" i="9" s="1"/>
  <c r="D55" i="8"/>
  <c r="D37" i="9" s="1"/>
  <c r="D44" i="8"/>
  <c r="F44" i="8"/>
  <c r="H44" i="8"/>
  <c r="J44" i="8"/>
  <c r="L44" i="8"/>
  <c r="N44" i="8"/>
  <c r="P44" i="8"/>
  <c r="R44" i="8"/>
  <c r="T44" i="8"/>
  <c r="V44" i="8"/>
  <c r="X44" i="8"/>
  <c r="Z44" i="8"/>
  <c r="AB44" i="8"/>
  <c r="T55" i="8"/>
  <c r="T37" i="9" s="1"/>
  <c r="V55" i="8"/>
  <c r="V37" i="9" s="1"/>
  <c r="X55" i="8"/>
  <c r="X37" i="9" s="1"/>
  <c r="Z55" i="8"/>
  <c r="Z37" i="9" s="1"/>
  <c r="AB55" i="8"/>
  <c r="AB37" i="9" s="1"/>
  <c r="AB38" i="9" l="1"/>
  <c r="AB33" i="9"/>
  <c r="Z33" i="9"/>
  <c r="Z80" i="9" s="1"/>
  <c r="Z38" i="9"/>
  <c r="Z54" i="9" s="1"/>
  <c r="Z72" i="9" s="1"/>
  <c r="V33" i="9"/>
  <c r="V49" i="9" s="1"/>
  <c r="V71" i="9" s="1"/>
  <c r="V38" i="9"/>
  <c r="V54" i="9" s="1"/>
  <c r="V72" i="9" s="1"/>
  <c r="R33" i="9"/>
  <c r="R80" i="9" s="1"/>
  <c r="R38" i="9"/>
  <c r="R54" i="9" s="1"/>
  <c r="R72" i="9" s="1"/>
  <c r="N33" i="9"/>
  <c r="N49" i="9" s="1"/>
  <c r="N71" i="9" s="1"/>
  <c r="N38" i="9"/>
  <c r="N54" i="9" s="1"/>
  <c r="N72" i="9" s="1"/>
  <c r="J33" i="9"/>
  <c r="J80" i="9" s="1"/>
  <c r="J38" i="9"/>
  <c r="J54" i="9" s="1"/>
  <c r="J72" i="9" s="1"/>
  <c r="F33" i="9"/>
  <c r="F49" i="9" s="1"/>
  <c r="F71" i="9" s="1"/>
  <c r="F38" i="9"/>
  <c r="F54" i="9" s="1"/>
  <c r="F72" i="9" s="1"/>
  <c r="C33" i="9"/>
  <c r="C78" i="9" s="1"/>
  <c r="C38" i="9"/>
  <c r="C54" i="9" s="1"/>
  <c r="C72" i="9" s="1"/>
  <c r="AA33" i="9"/>
  <c r="AA49" i="9" s="1"/>
  <c r="AA71" i="9" s="1"/>
  <c r="AA38" i="9"/>
  <c r="AA54" i="9" s="1"/>
  <c r="AA72" i="9" s="1"/>
  <c r="W33" i="9"/>
  <c r="W78" i="9" s="1"/>
  <c r="W38" i="9"/>
  <c r="W54" i="9" s="1"/>
  <c r="W72" i="9" s="1"/>
  <c r="S33" i="9"/>
  <c r="S78" i="9" s="1"/>
  <c r="S38" i="9"/>
  <c r="S54" i="9" s="1"/>
  <c r="S72" i="9" s="1"/>
  <c r="O33" i="9"/>
  <c r="O78" i="9" s="1"/>
  <c r="O38" i="9"/>
  <c r="O54" i="9" s="1"/>
  <c r="O72" i="9" s="1"/>
  <c r="M33" i="9"/>
  <c r="M49" i="9" s="1"/>
  <c r="M71" i="9" s="1"/>
  <c r="M38" i="9"/>
  <c r="M54" i="9" s="1"/>
  <c r="M72" i="9" s="1"/>
  <c r="I33" i="9"/>
  <c r="I78" i="9" s="1"/>
  <c r="I38" i="9"/>
  <c r="I54" i="9" s="1"/>
  <c r="I72" i="9" s="1"/>
  <c r="E33" i="9"/>
  <c r="E78" i="9" s="1"/>
  <c r="E38" i="9"/>
  <c r="E54" i="9" s="1"/>
  <c r="E72" i="9" s="1"/>
  <c r="X33" i="9"/>
  <c r="X79" i="9" s="1"/>
  <c r="X38" i="9"/>
  <c r="X54" i="9" s="1"/>
  <c r="X72" i="9" s="1"/>
  <c r="T33" i="9"/>
  <c r="T49" i="9" s="1"/>
  <c r="T71" i="9" s="1"/>
  <c r="T38" i="9"/>
  <c r="T54" i="9" s="1"/>
  <c r="T72" i="9" s="1"/>
  <c r="P33" i="9"/>
  <c r="P79" i="9" s="1"/>
  <c r="P38" i="9"/>
  <c r="P54" i="9" s="1"/>
  <c r="P72" i="9" s="1"/>
  <c r="L33" i="9"/>
  <c r="L49" i="9" s="1"/>
  <c r="L71" i="9" s="1"/>
  <c r="L38" i="9"/>
  <c r="L54" i="9" s="1"/>
  <c r="L72" i="9" s="1"/>
  <c r="H33" i="9"/>
  <c r="H79" i="9" s="1"/>
  <c r="H38" i="9"/>
  <c r="H54" i="9" s="1"/>
  <c r="H72" i="9" s="1"/>
  <c r="D33" i="9"/>
  <c r="D49" i="9" s="1"/>
  <c r="D71" i="9" s="1"/>
  <c r="D38" i="9"/>
  <c r="D54" i="9" s="1"/>
  <c r="D72" i="9" s="1"/>
  <c r="Y33" i="9"/>
  <c r="Y78" i="9" s="1"/>
  <c r="Y38" i="9"/>
  <c r="Y54" i="9" s="1"/>
  <c r="Y72" i="9" s="1"/>
  <c r="U33" i="9"/>
  <c r="U78" i="9" s="1"/>
  <c r="U38" i="9"/>
  <c r="U54" i="9" s="1"/>
  <c r="U72" i="9" s="1"/>
  <c r="Q33" i="9"/>
  <c r="Q78" i="9" s="1"/>
  <c r="Q38" i="9"/>
  <c r="Q54" i="9" s="1"/>
  <c r="Q72" i="9" s="1"/>
  <c r="K33" i="9"/>
  <c r="K49" i="9" s="1"/>
  <c r="K71" i="9" s="1"/>
  <c r="K38" i="9"/>
  <c r="K54" i="9" s="1"/>
  <c r="K72" i="9" s="1"/>
  <c r="G33" i="9"/>
  <c r="G79" i="9" s="1"/>
  <c r="G38" i="9"/>
  <c r="G54" i="9" s="1"/>
  <c r="G72" i="9" s="1"/>
  <c r="K32" i="9"/>
  <c r="G32" i="9"/>
  <c r="Z48" i="9"/>
  <c r="Z64" i="9"/>
  <c r="V48" i="9"/>
  <c r="V64" i="9"/>
  <c r="R48" i="9"/>
  <c r="R64" i="9"/>
  <c r="N48" i="9"/>
  <c r="N64" i="9"/>
  <c r="J48" i="9"/>
  <c r="J64" i="9"/>
  <c r="F48" i="9"/>
  <c r="F64" i="9"/>
  <c r="D48" i="9"/>
  <c r="D64" i="9"/>
  <c r="Y48" i="9"/>
  <c r="Y64" i="9"/>
  <c r="U48" i="9"/>
  <c r="U64" i="9"/>
  <c r="Q48" i="9"/>
  <c r="Q64" i="9"/>
  <c r="M48" i="9"/>
  <c r="M64" i="9"/>
  <c r="I48" i="9"/>
  <c r="I64" i="9"/>
  <c r="E48" i="9"/>
  <c r="E64" i="9"/>
  <c r="C48" i="9"/>
  <c r="C64" i="9"/>
  <c r="X48" i="9"/>
  <c r="X64" i="9"/>
  <c r="T48" i="9"/>
  <c r="T64" i="9"/>
  <c r="P48" i="9"/>
  <c r="P64" i="9"/>
  <c r="L48" i="9"/>
  <c r="L64" i="9"/>
  <c r="H48" i="9"/>
  <c r="H64" i="9"/>
  <c r="AA48" i="9"/>
  <c r="AA64" i="9"/>
  <c r="W48" i="9"/>
  <c r="W64" i="9"/>
  <c r="S48" i="9"/>
  <c r="S64" i="9"/>
  <c r="O48" i="9"/>
  <c r="O64" i="9"/>
  <c r="Y10" i="8"/>
  <c r="Y81" i="8" s="1"/>
  <c r="Y47" i="9" s="1"/>
  <c r="Z10" i="8"/>
  <c r="Z81" i="8" s="1"/>
  <c r="Z47" i="9" s="1"/>
  <c r="AA10" i="8"/>
  <c r="AA81" i="8" s="1"/>
  <c r="AA47" i="9" s="1"/>
  <c r="AB10" i="8"/>
  <c r="AB81" i="8" s="1"/>
  <c r="T10" i="8"/>
  <c r="T81" i="8" s="1"/>
  <c r="T47" i="9" s="1"/>
  <c r="U10" i="8"/>
  <c r="U81" i="8" s="1"/>
  <c r="U47" i="9" s="1"/>
  <c r="V10" i="8"/>
  <c r="V81" i="8" s="1"/>
  <c r="V47" i="9" s="1"/>
  <c r="W10" i="8"/>
  <c r="W81" i="8" s="1"/>
  <c r="W47" i="9" s="1"/>
  <c r="X10" i="8"/>
  <c r="X81" i="8" s="1"/>
  <c r="X47" i="9" s="1"/>
  <c r="K10" i="8"/>
  <c r="K81" i="8" s="1"/>
  <c r="K47" i="9" s="1"/>
  <c r="L10" i="8"/>
  <c r="L81" i="8" s="1"/>
  <c r="L47" i="9" s="1"/>
  <c r="M10" i="8"/>
  <c r="M81" i="8" s="1"/>
  <c r="M47" i="9" s="1"/>
  <c r="N10" i="8"/>
  <c r="N81" i="8" s="1"/>
  <c r="N47" i="9" s="1"/>
  <c r="O10" i="8"/>
  <c r="O81" i="8" s="1"/>
  <c r="O47" i="9" s="1"/>
  <c r="P10" i="8"/>
  <c r="P81" i="8" s="1"/>
  <c r="P47" i="9" s="1"/>
  <c r="Q10" i="8"/>
  <c r="Q81" i="8" s="1"/>
  <c r="Q47" i="9" s="1"/>
  <c r="R10" i="8"/>
  <c r="R81" i="8" s="1"/>
  <c r="R47" i="9" s="1"/>
  <c r="S10" i="8"/>
  <c r="S81" i="8" s="1"/>
  <c r="S47" i="9" s="1"/>
  <c r="E10" i="8"/>
  <c r="E81" i="8" s="1"/>
  <c r="E47" i="9" s="1"/>
  <c r="F10" i="8"/>
  <c r="F81" i="8" s="1"/>
  <c r="F47" i="9" s="1"/>
  <c r="G10" i="8"/>
  <c r="G81" i="8" s="1"/>
  <c r="G47" i="9" s="1"/>
  <c r="H10" i="8"/>
  <c r="H81" i="8" s="1"/>
  <c r="H47" i="9" s="1"/>
  <c r="I10" i="8"/>
  <c r="I81" i="8" s="1"/>
  <c r="I47" i="9" s="1"/>
  <c r="J10" i="8"/>
  <c r="J81" i="8" s="1"/>
  <c r="J47" i="9" s="1"/>
  <c r="D10" i="8"/>
  <c r="D81" i="8" s="1"/>
  <c r="D47" i="9" s="1"/>
  <c r="C10" i="8"/>
  <c r="C22" i="9" s="1"/>
  <c r="O79" i="9" l="1"/>
  <c r="K78" i="9"/>
  <c r="M78" i="9"/>
  <c r="J49" i="9"/>
  <c r="J71" i="9" s="1"/>
  <c r="H78" i="9"/>
  <c r="G49" i="9"/>
  <c r="G71" i="9" s="1"/>
  <c r="P49" i="9"/>
  <c r="P71" i="9" s="1"/>
  <c r="R78" i="9"/>
  <c r="V80" i="9"/>
  <c r="U79" i="9"/>
  <c r="H80" i="9"/>
  <c r="E80" i="9"/>
  <c r="W49" i="9"/>
  <c r="W71" i="9" s="1"/>
  <c r="F80" i="9"/>
  <c r="R79" i="9"/>
  <c r="Z49" i="9"/>
  <c r="Z71" i="9" s="1"/>
  <c r="K64" i="9"/>
  <c r="Q80" i="9"/>
  <c r="Y49" i="9"/>
  <c r="Y71" i="9" s="1"/>
  <c r="X78" i="9"/>
  <c r="L79" i="9"/>
  <c r="X80" i="9"/>
  <c r="I49" i="9"/>
  <c r="I71" i="9" s="1"/>
  <c r="S80" i="9"/>
  <c r="D78" i="9"/>
  <c r="G80" i="9"/>
  <c r="K80" i="9"/>
  <c r="Q49" i="9"/>
  <c r="Q71" i="9" s="1"/>
  <c r="Y80" i="9"/>
  <c r="C80" i="9"/>
  <c r="P78" i="9"/>
  <c r="D79" i="9"/>
  <c r="H49" i="9"/>
  <c r="H71" i="9" s="1"/>
  <c r="P80" i="9"/>
  <c r="T80" i="9"/>
  <c r="X49" i="9"/>
  <c r="X71" i="9" s="1"/>
  <c r="I80" i="9"/>
  <c r="M79" i="9"/>
  <c r="O49" i="9"/>
  <c r="O71" i="9" s="1"/>
  <c r="W80" i="9"/>
  <c r="AA79" i="9"/>
  <c r="J78" i="9"/>
  <c r="Z78" i="9"/>
  <c r="J79" i="9"/>
  <c r="N80" i="9"/>
  <c r="R49" i="9"/>
  <c r="R71" i="9" s="1"/>
  <c r="Z79" i="9"/>
  <c r="AA78" i="9"/>
  <c r="K48" i="9"/>
  <c r="K79" i="9"/>
  <c r="Q79" i="9"/>
  <c r="U80" i="9"/>
  <c r="U49" i="9"/>
  <c r="U71" i="9" s="1"/>
  <c r="Y79" i="9"/>
  <c r="C79" i="9"/>
  <c r="C49" i="9"/>
  <c r="C71" i="9" s="1"/>
  <c r="L78" i="9"/>
  <c r="T78" i="9"/>
  <c r="D80" i="9"/>
  <c r="L80" i="9"/>
  <c r="T79" i="9"/>
  <c r="E79" i="9"/>
  <c r="E49" i="9"/>
  <c r="E71" i="9" s="1"/>
  <c r="I79" i="9"/>
  <c r="M80" i="9"/>
  <c r="O80" i="9"/>
  <c r="S79" i="9"/>
  <c r="S49" i="9"/>
  <c r="S71" i="9" s="1"/>
  <c r="W79" i="9"/>
  <c r="AA80" i="9"/>
  <c r="F78" i="9"/>
  <c r="N78" i="9"/>
  <c r="V78" i="9"/>
  <c r="F79" i="9"/>
  <c r="N79" i="9"/>
  <c r="V79" i="9"/>
  <c r="G78" i="9"/>
  <c r="G64" i="9"/>
  <c r="G48" i="9"/>
  <c r="J22" i="9"/>
  <c r="H22" i="9"/>
  <c r="F22" i="9"/>
  <c r="S22" i="9"/>
  <c r="Q22" i="9"/>
  <c r="O22" i="9"/>
  <c r="M22" i="9"/>
  <c r="W22" i="9"/>
  <c r="U22" i="9"/>
  <c r="Z22" i="9"/>
  <c r="AA22" i="9"/>
  <c r="K22" i="9"/>
  <c r="D22" i="9"/>
  <c r="I22" i="9"/>
  <c r="G22" i="9"/>
  <c r="E22" i="9"/>
  <c r="R22" i="9"/>
  <c r="P22" i="9"/>
  <c r="N22" i="9"/>
  <c r="L22" i="9"/>
  <c r="X22" i="9"/>
  <c r="V22" i="9"/>
  <c r="T22" i="9"/>
  <c r="Y22" i="9"/>
  <c r="J2" i="7"/>
  <c r="K2" i="7"/>
  <c r="L2" i="7"/>
  <c r="M2" i="7"/>
  <c r="D37" i="2"/>
  <c r="C22" i="2"/>
  <c r="D35" i="2"/>
  <c r="D23" i="2"/>
  <c r="D36" i="2"/>
  <c r="D34" i="2"/>
  <c r="D22" i="2"/>
  <c r="C37" i="2"/>
  <c r="C34" i="2"/>
  <c r="C16" i="2"/>
  <c r="C15" i="2"/>
  <c r="C35" i="2"/>
  <c r="C36" i="2"/>
  <c r="D16" i="2"/>
  <c r="F21" i="12" l="1"/>
  <c r="F20" i="12"/>
  <c r="E20" i="12"/>
  <c r="E9" i="12"/>
  <c r="F11" i="12"/>
  <c r="E11" i="12"/>
  <c r="F10" i="12"/>
  <c r="E10" i="12"/>
  <c r="F9" i="12"/>
  <c r="N19" i="2"/>
  <c r="N16" i="2"/>
  <c r="I16" i="2"/>
  <c r="I19" i="2"/>
  <c r="T2" i="5"/>
  <c r="U3" i="5"/>
  <c r="T3" i="5"/>
  <c r="U2" i="5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T23" i="8" s="1"/>
  <c r="U22" i="8"/>
  <c r="U23" i="8" s="1"/>
  <c r="V22" i="8"/>
  <c r="V23" i="8" s="1"/>
  <c r="W22" i="8"/>
  <c r="W23" i="8" s="1"/>
  <c r="X22" i="8"/>
  <c r="X23" i="8" s="1"/>
  <c r="Y22" i="8"/>
  <c r="Y23" i="8" s="1"/>
  <c r="Z22" i="8"/>
  <c r="Z23" i="8" s="1"/>
  <c r="AA22" i="8"/>
  <c r="AA23" i="8" s="1"/>
  <c r="AB22" i="8"/>
  <c r="AB23" i="8" s="1"/>
  <c r="D22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D17" i="8"/>
  <c r="C17" i="8"/>
  <c r="C18" i="8" s="1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C11" i="8"/>
  <c r="C23" i="9" s="1"/>
  <c r="D11" i="8"/>
  <c r="B33" i="5"/>
  <c r="C36" i="5"/>
  <c r="F24" i="12" l="1"/>
  <c r="E17" i="12"/>
  <c r="AB21" i="9"/>
  <c r="N34" i="2"/>
  <c r="N36" i="2"/>
  <c r="I34" i="2"/>
  <c r="I36" i="2"/>
  <c r="N35" i="2"/>
  <c r="N37" i="2"/>
  <c r="I35" i="2"/>
  <c r="I37" i="2"/>
  <c r="K19" i="2"/>
  <c r="J19" i="2"/>
  <c r="O16" i="2"/>
  <c r="P16" i="2"/>
  <c r="J16" i="2"/>
  <c r="K16" i="2"/>
  <c r="P19" i="2"/>
  <c r="O19" i="2"/>
  <c r="E23" i="9"/>
  <c r="AA23" i="9"/>
  <c r="Y23" i="9"/>
  <c r="W23" i="9"/>
  <c r="U23" i="9"/>
  <c r="S23" i="9"/>
  <c r="Q23" i="9"/>
  <c r="O23" i="9"/>
  <c r="M23" i="9"/>
  <c r="K23" i="9"/>
  <c r="I23" i="9"/>
  <c r="G23" i="9"/>
  <c r="Z23" i="9"/>
  <c r="X23" i="9"/>
  <c r="V23" i="9"/>
  <c r="T23" i="9"/>
  <c r="R23" i="9"/>
  <c r="P23" i="9"/>
  <c r="N23" i="9"/>
  <c r="L23" i="9"/>
  <c r="J23" i="9"/>
  <c r="H23" i="9"/>
  <c r="F23" i="9"/>
  <c r="D23" i="9"/>
  <c r="C24" i="8"/>
  <c r="C23" i="8"/>
  <c r="R24" i="8"/>
  <c r="R23" i="8"/>
  <c r="P24" i="8"/>
  <c r="P23" i="8"/>
  <c r="N24" i="8"/>
  <c r="N23" i="8"/>
  <c r="L24" i="8"/>
  <c r="L23" i="8"/>
  <c r="J24" i="8"/>
  <c r="J23" i="8"/>
  <c r="H24" i="8"/>
  <c r="H23" i="8"/>
  <c r="F24" i="8"/>
  <c r="F23" i="8"/>
  <c r="AA24" i="8"/>
  <c r="AA25" i="8" s="1"/>
  <c r="Y24" i="8"/>
  <c r="Y25" i="8" s="1"/>
  <c r="W24" i="8"/>
  <c r="W25" i="8" s="1"/>
  <c r="U24" i="8"/>
  <c r="U25" i="8" s="1"/>
  <c r="D24" i="8"/>
  <c r="D23" i="8"/>
  <c r="S23" i="8"/>
  <c r="S24" i="8"/>
  <c r="Q23" i="8"/>
  <c r="Q24" i="8"/>
  <c r="O23" i="8"/>
  <c r="O24" i="8"/>
  <c r="M23" i="8"/>
  <c r="M24" i="8"/>
  <c r="K23" i="8"/>
  <c r="K24" i="8"/>
  <c r="I23" i="8"/>
  <c r="I24" i="8"/>
  <c r="G23" i="8"/>
  <c r="G24" i="8"/>
  <c r="E23" i="8"/>
  <c r="E24" i="8"/>
  <c r="AB24" i="8"/>
  <c r="AB25" i="8" s="1"/>
  <c r="Z24" i="8"/>
  <c r="Z25" i="8" s="1"/>
  <c r="X24" i="8"/>
  <c r="X25" i="8" s="1"/>
  <c r="V24" i="8"/>
  <c r="V25" i="8" s="1"/>
  <c r="T24" i="8"/>
  <c r="T25" i="8" s="1"/>
  <c r="C19" i="8"/>
  <c r="AB19" i="8"/>
  <c r="AB18" i="8"/>
  <c r="Z19" i="8"/>
  <c r="Z18" i="8"/>
  <c r="X19" i="8"/>
  <c r="X18" i="8"/>
  <c r="V19" i="8"/>
  <c r="V18" i="8"/>
  <c r="T19" i="8"/>
  <c r="T18" i="8"/>
  <c r="R19" i="8"/>
  <c r="R18" i="8"/>
  <c r="P19" i="8"/>
  <c r="P18" i="8"/>
  <c r="N19" i="8"/>
  <c r="N18" i="8"/>
  <c r="L19" i="8"/>
  <c r="L18" i="8"/>
  <c r="J19" i="8"/>
  <c r="J18" i="8"/>
  <c r="H19" i="8"/>
  <c r="H18" i="8"/>
  <c r="F19" i="8"/>
  <c r="F18" i="8"/>
  <c r="D19" i="8"/>
  <c r="D18" i="8"/>
  <c r="AA18" i="8"/>
  <c r="AA19" i="8"/>
  <c r="Y18" i="8"/>
  <c r="Y19" i="8"/>
  <c r="W18" i="8"/>
  <c r="W19" i="8"/>
  <c r="U18" i="8"/>
  <c r="U19" i="8"/>
  <c r="S18" i="8"/>
  <c r="S19" i="8"/>
  <c r="Q18" i="8"/>
  <c r="Q19" i="8"/>
  <c r="O18" i="8"/>
  <c r="O19" i="8"/>
  <c r="M18" i="8"/>
  <c r="M19" i="8"/>
  <c r="K18" i="8"/>
  <c r="K19" i="8"/>
  <c r="I18" i="8"/>
  <c r="I19" i="8"/>
  <c r="G18" i="8"/>
  <c r="G19" i="8"/>
  <c r="E18" i="8"/>
  <c r="E19" i="8"/>
  <c r="C38" i="5"/>
  <c r="C7" i="5"/>
  <c r="B34" i="5"/>
  <c r="C6" i="5"/>
  <c r="B8" i="5"/>
  <c r="B38" i="5"/>
  <c r="B39" i="5"/>
  <c r="C24" i="5"/>
  <c r="B6" i="5"/>
  <c r="C33" i="5"/>
  <c r="B37" i="5"/>
  <c r="C12" i="5"/>
  <c r="C9" i="5"/>
  <c r="B11" i="5"/>
  <c r="B44" i="5"/>
  <c r="C10" i="5"/>
  <c r="C43" i="5"/>
  <c r="B24" i="5"/>
  <c r="B12" i="5"/>
  <c r="B43" i="5"/>
  <c r="B4" i="5"/>
  <c r="B10" i="5"/>
  <c r="B42" i="5"/>
  <c r="C4" i="5"/>
  <c r="C44" i="5"/>
  <c r="B9" i="5"/>
  <c r="C11" i="5"/>
  <c r="B31" i="5"/>
  <c r="C8" i="5"/>
  <c r="B7" i="5"/>
  <c r="C34" i="5"/>
  <c r="C31" i="5"/>
  <c r="C42" i="5"/>
  <c r="B36" i="5"/>
  <c r="C39" i="5"/>
  <c r="C37" i="5"/>
  <c r="F27" i="12" l="1"/>
  <c r="E27" i="12"/>
  <c r="F26" i="12"/>
  <c r="E26" i="12"/>
  <c r="F25" i="12"/>
  <c r="E25" i="12"/>
  <c r="E24" i="12"/>
  <c r="F18" i="12"/>
  <c r="E18" i="12"/>
  <c r="F17" i="12"/>
  <c r="M9" i="5"/>
  <c r="O9" i="5" s="1"/>
  <c r="H44" i="5"/>
  <c r="I44" i="5" s="1"/>
  <c r="M7" i="5"/>
  <c r="N7" i="5" s="1"/>
  <c r="H10" i="5"/>
  <c r="I10" i="5" s="1"/>
  <c r="H9" i="5"/>
  <c r="I9" i="5" s="1"/>
  <c r="H6" i="5"/>
  <c r="J6" i="5" s="1"/>
  <c r="H11" i="5"/>
  <c r="J11" i="5" s="1"/>
  <c r="M39" i="5"/>
  <c r="O39" i="5" s="1"/>
  <c r="E12" i="12"/>
  <c r="M11" i="5"/>
  <c r="N11" i="5" s="1"/>
  <c r="H42" i="5"/>
  <c r="J42" i="5" s="1"/>
  <c r="M12" i="5"/>
  <c r="N12" i="5" s="1"/>
  <c r="H12" i="5"/>
  <c r="J12" i="5" s="1"/>
  <c r="M8" i="5"/>
  <c r="O8" i="5" s="1"/>
  <c r="H39" i="5"/>
  <c r="I39" i="5" s="1"/>
  <c r="F12" i="12"/>
  <c r="M6" i="5"/>
  <c r="O6" i="5" s="1"/>
  <c r="M43" i="5"/>
  <c r="O43" i="5" s="1"/>
  <c r="M42" i="5"/>
  <c r="O42" i="5" s="1"/>
  <c r="M44" i="5"/>
  <c r="N44" i="5" s="1"/>
  <c r="M10" i="5"/>
  <c r="N10" i="5" s="1"/>
  <c r="H7" i="5"/>
  <c r="J7" i="5" s="1"/>
  <c r="H43" i="5"/>
  <c r="I43" i="5" s="1"/>
  <c r="H8" i="5"/>
  <c r="I8" i="5" s="1"/>
  <c r="C25" i="8"/>
  <c r="K37" i="2"/>
  <c r="J37" i="2"/>
  <c r="P37" i="2"/>
  <c r="O37" i="2"/>
  <c r="J36" i="2"/>
  <c r="K36" i="2"/>
  <c r="O36" i="2"/>
  <c r="P36" i="2"/>
  <c r="K35" i="2"/>
  <c r="J35" i="2"/>
  <c r="P35" i="2"/>
  <c r="O35" i="2"/>
  <c r="J34" i="2"/>
  <c r="K34" i="2"/>
  <c r="O34" i="2"/>
  <c r="P34" i="2"/>
  <c r="L19" i="2"/>
  <c r="Q19" i="2"/>
  <c r="L16" i="2"/>
  <c r="Q16" i="2"/>
  <c r="C20" i="8"/>
  <c r="D25" i="8"/>
  <c r="F25" i="8"/>
  <c r="H25" i="8"/>
  <c r="J25" i="8"/>
  <c r="L25" i="8"/>
  <c r="N25" i="8"/>
  <c r="D20" i="8"/>
  <c r="F20" i="8"/>
  <c r="H20" i="8"/>
  <c r="J20" i="8"/>
  <c r="L20" i="8"/>
  <c r="N20" i="8"/>
  <c r="P20" i="8"/>
  <c r="R20" i="8"/>
  <c r="T20" i="8"/>
  <c r="T42" i="9" s="1"/>
  <c r="V20" i="8"/>
  <c r="V42" i="9" s="1"/>
  <c r="X20" i="8"/>
  <c r="X42" i="9" s="1"/>
  <c r="Z20" i="8"/>
  <c r="Z42" i="9" s="1"/>
  <c r="AB20" i="8"/>
  <c r="E25" i="8"/>
  <c r="G25" i="8"/>
  <c r="I25" i="8"/>
  <c r="K25" i="8"/>
  <c r="M25" i="8"/>
  <c r="O25" i="8"/>
  <c r="Q25" i="8"/>
  <c r="S25" i="8"/>
  <c r="E20" i="8"/>
  <c r="G20" i="8"/>
  <c r="I20" i="8"/>
  <c r="K20" i="8"/>
  <c r="M20" i="8"/>
  <c r="O20" i="8"/>
  <c r="Q20" i="8"/>
  <c r="S20" i="8"/>
  <c r="U20" i="8"/>
  <c r="U42" i="9" s="1"/>
  <c r="W20" i="8"/>
  <c r="W42" i="9" s="1"/>
  <c r="Y20" i="8"/>
  <c r="Y42" i="9" s="1"/>
  <c r="AA20" i="8"/>
  <c r="AA42" i="9" s="1"/>
  <c r="P25" i="8"/>
  <c r="R25" i="8"/>
  <c r="O7" i="5" l="1"/>
  <c r="J44" i="5"/>
  <c r="K44" i="5" s="1"/>
  <c r="J10" i="5"/>
  <c r="N9" i="5"/>
  <c r="J9" i="5"/>
  <c r="I6" i="5"/>
  <c r="I11" i="5"/>
  <c r="O12" i="5"/>
  <c r="N42" i="5"/>
  <c r="P42" i="5" s="1"/>
  <c r="J39" i="5"/>
  <c r="K39" i="5" s="1"/>
  <c r="N43" i="5"/>
  <c r="P43" i="5" s="1"/>
  <c r="N39" i="5"/>
  <c r="P39" i="5" s="1"/>
  <c r="I12" i="5"/>
  <c r="I7" i="5"/>
  <c r="N8" i="5"/>
  <c r="O11" i="5"/>
  <c r="N6" i="5"/>
  <c r="O44" i="5"/>
  <c r="P44" i="5" s="1"/>
  <c r="O10" i="5"/>
  <c r="I42" i="5"/>
  <c r="K42" i="5" s="1"/>
  <c r="J43" i="5"/>
  <c r="K43" i="5" s="1"/>
  <c r="J8" i="5"/>
  <c r="Q37" i="2"/>
  <c r="S26" i="9"/>
  <c r="S42" i="9"/>
  <c r="O26" i="9"/>
  <c r="O42" i="9"/>
  <c r="K26" i="9"/>
  <c r="K42" i="9"/>
  <c r="G26" i="9"/>
  <c r="G42" i="9"/>
  <c r="P26" i="9"/>
  <c r="P42" i="9"/>
  <c r="L26" i="9"/>
  <c r="L42" i="9"/>
  <c r="H26" i="9"/>
  <c r="H42" i="9"/>
  <c r="D26" i="9"/>
  <c r="D42" i="9"/>
  <c r="Q26" i="9"/>
  <c r="Q42" i="9"/>
  <c r="M26" i="9"/>
  <c r="M42" i="9"/>
  <c r="I26" i="9"/>
  <c r="I42" i="9"/>
  <c r="E26" i="9"/>
  <c r="E42" i="9"/>
  <c r="R26" i="9"/>
  <c r="R42" i="9"/>
  <c r="N26" i="9"/>
  <c r="N42" i="9"/>
  <c r="J26" i="9"/>
  <c r="J42" i="9"/>
  <c r="F26" i="9"/>
  <c r="F42" i="9"/>
  <c r="C26" i="9"/>
  <c r="C42" i="9"/>
  <c r="Y25" i="9"/>
  <c r="Y66" i="9" s="1"/>
  <c r="Y26" i="9"/>
  <c r="U25" i="9"/>
  <c r="U66" i="9" s="1"/>
  <c r="U26" i="9"/>
  <c r="Z25" i="9"/>
  <c r="Z66" i="9" s="1"/>
  <c r="Z26" i="9"/>
  <c r="V25" i="9"/>
  <c r="V66" i="9" s="1"/>
  <c r="V26" i="9"/>
  <c r="AA25" i="9"/>
  <c r="AA66" i="9" s="1"/>
  <c r="AA26" i="9"/>
  <c r="W25" i="9"/>
  <c r="W66" i="9" s="1"/>
  <c r="W26" i="9"/>
  <c r="X25" i="9"/>
  <c r="X66" i="9" s="1"/>
  <c r="X26" i="9"/>
  <c r="T25" i="9"/>
  <c r="T66" i="9" s="1"/>
  <c r="T26" i="9"/>
  <c r="Q36" i="2"/>
  <c r="K25" i="9"/>
  <c r="M25" i="9"/>
  <c r="Q25" i="9"/>
  <c r="L36" i="2"/>
  <c r="L37" i="2"/>
  <c r="I25" i="9"/>
  <c r="O25" i="9"/>
  <c r="E25" i="9"/>
  <c r="E66" i="9" s="1"/>
  <c r="G25" i="9"/>
  <c r="S25" i="9"/>
  <c r="L25" i="9"/>
  <c r="D25" i="9"/>
  <c r="N25" i="9"/>
  <c r="F25" i="9"/>
  <c r="F66" i="9" s="1"/>
  <c r="J25" i="9"/>
  <c r="J66" i="9" s="1"/>
  <c r="H25" i="9"/>
  <c r="Q35" i="2"/>
  <c r="Q34" i="2"/>
  <c r="L34" i="2"/>
  <c r="L35" i="2"/>
  <c r="S19" i="2"/>
  <c r="F19" i="2" s="1"/>
  <c r="S16" i="2"/>
  <c r="F16" i="2" s="1"/>
  <c r="E16" i="2" s="1"/>
  <c r="P25" i="9"/>
  <c r="P66" i="9" s="1"/>
  <c r="R25" i="9"/>
  <c r="R66" i="9" s="1"/>
  <c r="C25" i="9"/>
  <c r="C66" i="9" s="1"/>
  <c r="K73" i="9"/>
  <c r="T73" i="9"/>
  <c r="U73" i="9"/>
  <c r="V73" i="9"/>
  <c r="W73" i="9"/>
  <c r="R73" i="9"/>
  <c r="Q73" i="9"/>
  <c r="M73" i="9"/>
  <c r="I73" i="9"/>
  <c r="E73" i="9"/>
  <c r="N73" i="9"/>
  <c r="J73" i="9"/>
  <c r="F73" i="9"/>
  <c r="L73" i="9"/>
  <c r="D73" i="9"/>
  <c r="X73" i="9"/>
  <c r="Y73" i="9"/>
  <c r="Z73" i="9"/>
  <c r="AA73" i="9"/>
  <c r="H73" i="9"/>
  <c r="C73" i="9"/>
  <c r="P73" i="9"/>
  <c r="S73" i="9"/>
  <c r="O73" i="9"/>
  <c r="G73" i="9"/>
  <c r="C23" i="5" l="1"/>
  <c r="M23" i="5" s="1"/>
  <c r="C22" i="5"/>
  <c r="M22" i="5" s="1"/>
  <c r="C21" i="5"/>
  <c r="M21" i="5" s="1"/>
  <c r="C20" i="5"/>
  <c r="M20" i="5" s="1"/>
  <c r="C19" i="5"/>
  <c r="M19" i="5" s="1"/>
  <c r="C18" i="5"/>
  <c r="M18" i="5" s="1"/>
  <c r="C17" i="5"/>
  <c r="M17" i="5" s="1"/>
  <c r="K12" i="5"/>
  <c r="B23" i="5"/>
  <c r="H23" i="5" s="1"/>
  <c r="I23" i="5" s="1"/>
  <c r="K11" i="5"/>
  <c r="B22" i="5"/>
  <c r="H22" i="5" s="1"/>
  <c r="I22" i="5" s="1"/>
  <c r="B21" i="5"/>
  <c r="H21" i="5" s="1"/>
  <c r="B20" i="5"/>
  <c r="H20" i="5" s="1"/>
  <c r="B19" i="5"/>
  <c r="H19" i="5" s="1"/>
  <c r="B18" i="5"/>
  <c r="H18" i="5" s="1"/>
  <c r="K6" i="5"/>
  <c r="B17" i="5"/>
  <c r="H17" i="5" s="1"/>
  <c r="J17" i="5" s="1"/>
  <c r="E19" i="2"/>
  <c r="G16" i="12"/>
  <c r="P7" i="5"/>
  <c r="K10" i="5"/>
  <c r="K9" i="5"/>
  <c r="P9" i="5"/>
  <c r="P12" i="5"/>
  <c r="P10" i="5"/>
  <c r="K7" i="5"/>
  <c r="P8" i="5"/>
  <c r="P6" i="5"/>
  <c r="P11" i="5"/>
  <c r="K8" i="5"/>
  <c r="S36" i="2"/>
  <c r="F36" i="2" s="1"/>
  <c r="E36" i="2" s="1"/>
  <c r="S37" i="2"/>
  <c r="F37" i="2" s="1"/>
  <c r="E37" i="2" s="1"/>
  <c r="K66" i="9"/>
  <c r="Q66" i="9"/>
  <c r="M66" i="9"/>
  <c r="R43" i="5"/>
  <c r="E43" i="5" s="1"/>
  <c r="D43" i="5" s="1"/>
  <c r="I66" i="9"/>
  <c r="R44" i="5"/>
  <c r="E44" i="5" s="1"/>
  <c r="D44" i="5" s="1"/>
  <c r="O66" i="9"/>
  <c r="R42" i="5"/>
  <c r="E42" i="5" s="1"/>
  <c r="D42" i="5" s="1"/>
  <c r="G66" i="9"/>
  <c r="S66" i="9"/>
  <c r="L66" i="9"/>
  <c r="D66" i="9"/>
  <c r="N66" i="9"/>
  <c r="H66" i="9"/>
  <c r="G11" i="12"/>
  <c r="S34" i="2"/>
  <c r="F34" i="2" s="1"/>
  <c r="E34" i="2" s="1"/>
  <c r="R39" i="5"/>
  <c r="E39" i="5" s="1"/>
  <c r="S35" i="2"/>
  <c r="F35" i="2" s="1"/>
  <c r="E35" i="2" s="1"/>
  <c r="VOJ1" i="7"/>
  <c r="VOK1" i="7"/>
  <c r="VOL1" i="7"/>
  <c r="VOM1" i="7"/>
  <c r="VON1" i="7"/>
  <c r="VOO1" i="7"/>
  <c r="VOP1" i="7"/>
  <c r="VOQ1" i="7"/>
  <c r="VOR1" i="7"/>
  <c r="VOS1" i="7"/>
  <c r="VOT1" i="7"/>
  <c r="VOU1" i="7"/>
  <c r="VOV1" i="7"/>
  <c r="VOW1" i="7"/>
  <c r="VOX1" i="7"/>
  <c r="VOY1" i="7"/>
  <c r="VOZ1" i="7"/>
  <c r="VPA1" i="7"/>
  <c r="VPB1" i="7"/>
  <c r="VPC1" i="7"/>
  <c r="VPD1" i="7"/>
  <c r="VPE1" i="7"/>
  <c r="VPF1" i="7"/>
  <c r="VPG1" i="7"/>
  <c r="VPH1" i="7"/>
  <c r="VPI1" i="7"/>
  <c r="VPJ1" i="7"/>
  <c r="VPK1" i="7"/>
  <c r="VPL1" i="7"/>
  <c r="VPM1" i="7"/>
  <c r="VPN1" i="7"/>
  <c r="VPO1" i="7"/>
  <c r="VPP1" i="7"/>
  <c r="VPQ1" i="7"/>
  <c r="VPR1" i="7"/>
  <c r="VPS1" i="7"/>
  <c r="VPT1" i="7"/>
  <c r="VPU1" i="7"/>
  <c r="VPV1" i="7"/>
  <c r="VPW1" i="7"/>
  <c r="VPX1" i="7"/>
  <c r="VPY1" i="7"/>
  <c r="VPZ1" i="7"/>
  <c r="VQA1" i="7"/>
  <c r="VQB1" i="7"/>
  <c r="VQC1" i="7"/>
  <c r="VQD1" i="7"/>
  <c r="VQE1" i="7"/>
  <c r="VQF1" i="7"/>
  <c r="VQG1" i="7"/>
  <c r="VQH1" i="7"/>
  <c r="VQI1" i="7"/>
  <c r="VQJ1" i="7"/>
  <c r="VQK1" i="7"/>
  <c r="VQL1" i="7"/>
  <c r="VQM1" i="7"/>
  <c r="VQN1" i="7"/>
  <c r="VQO1" i="7"/>
  <c r="VQP1" i="7"/>
  <c r="VQQ1" i="7"/>
  <c r="VQR1" i="7"/>
  <c r="VQS1" i="7"/>
  <c r="VQT1" i="7"/>
  <c r="VQU1" i="7"/>
  <c r="VQV1" i="7"/>
  <c r="VQW1" i="7"/>
  <c r="VQX1" i="7"/>
  <c r="VQY1" i="7"/>
  <c r="VQZ1" i="7"/>
  <c r="VRA1" i="7"/>
  <c r="VRB1" i="7"/>
  <c r="VRC1" i="7"/>
  <c r="VRD1" i="7"/>
  <c r="VRE1" i="7"/>
  <c r="VRF1" i="7"/>
  <c r="VRG1" i="7"/>
  <c r="VRH1" i="7"/>
  <c r="VRI1" i="7"/>
  <c r="VRJ1" i="7"/>
  <c r="VRK1" i="7"/>
  <c r="VRL1" i="7"/>
  <c r="VRM1" i="7"/>
  <c r="VRN1" i="7"/>
  <c r="VRO1" i="7"/>
  <c r="VRP1" i="7"/>
  <c r="VRQ1" i="7"/>
  <c r="VRR1" i="7"/>
  <c r="VRS1" i="7"/>
  <c r="VRT1" i="7"/>
  <c r="VRU1" i="7"/>
  <c r="VRV1" i="7"/>
  <c r="VRW1" i="7"/>
  <c r="VRX1" i="7"/>
  <c r="VRY1" i="7"/>
  <c r="VRZ1" i="7"/>
  <c r="VSA1" i="7"/>
  <c r="VSB1" i="7"/>
  <c r="VSC1" i="7"/>
  <c r="VSD1" i="7"/>
  <c r="VSE1" i="7"/>
  <c r="VSF1" i="7"/>
  <c r="VSG1" i="7"/>
  <c r="VSH1" i="7"/>
  <c r="VSI1" i="7"/>
  <c r="VSJ1" i="7"/>
  <c r="VSK1" i="7"/>
  <c r="VSL1" i="7"/>
  <c r="VSM1" i="7"/>
  <c r="VSN1" i="7"/>
  <c r="VSO1" i="7"/>
  <c r="VSP1" i="7"/>
  <c r="VSQ1" i="7"/>
  <c r="VSR1" i="7"/>
  <c r="VSS1" i="7"/>
  <c r="VST1" i="7"/>
  <c r="VSU1" i="7"/>
  <c r="VSV1" i="7"/>
  <c r="VSW1" i="7"/>
  <c r="VSX1" i="7"/>
  <c r="VSY1" i="7"/>
  <c r="VSZ1" i="7"/>
  <c r="VTA1" i="7"/>
  <c r="VTB1" i="7"/>
  <c r="VTC1" i="7"/>
  <c r="VTD1" i="7"/>
  <c r="VTE1" i="7"/>
  <c r="VTF1" i="7"/>
  <c r="VTG1" i="7"/>
  <c r="VTH1" i="7"/>
  <c r="VTI1" i="7"/>
  <c r="VTJ1" i="7"/>
  <c r="VTK1" i="7"/>
  <c r="VTL1" i="7"/>
  <c r="VTM1" i="7"/>
  <c r="VTN1" i="7"/>
  <c r="VTO1" i="7"/>
  <c r="VTP1" i="7"/>
  <c r="VTQ1" i="7"/>
  <c r="VTR1" i="7"/>
  <c r="VTS1" i="7"/>
  <c r="VTT1" i="7"/>
  <c r="VTU1" i="7"/>
  <c r="VTV1" i="7"/>
  <c r="VTW1" i="7"/>
  <c r="VTX1" i="7"/>
  <c r="VTY1" i="7"/>
  <c r="VTZ1" i="7"/>
  <c r="VUA1" i="7"/>
  <c r="VUB1" i="7"/>
  <c r="VUC1" i="7"/>
  <c r="VUD1" i="7"/>
  <c r="VUE1" i="7"/>
  <c r="VUF1" i="7"/>
  <c r="VUG1" i="7"/>
  <c r="VUH1" i="7"/>
  <c r="VUI1" i="7"/>
  <c r="VUJ1" i="7"/>
  <c r="VUK1" i="7"/>
  <c r="VUL1" i="7"/>
  <c r="VUM1" i="7"/>
  <c r="VUN1" i="7"/>
  <c r="VUO1" i="7"/>
  <c r="VUP1" i="7"/>
  <c r="VUQ1" i="7"/>
  <c r="VUR1" i="7"/>
  <c r="VUS1" i="7"/>
  <c r="VUT1" i="7"/>
  <c r="VUU1" i="7"/>
  <c r="VUV1" i="7"/>
  <c r="VUW1" i="7"/>
  <c r="VUX1" i="7"/>
  <c r="VUY1" i="7"/>
  <c r="VUZ1" i="7"/>
  <c r="VVA1" i="7"/>
  <c r="VVB1" i="7"/>
  <c r="VVC1" i="7"/>
  <c r="VVD1" i="7"/>
  <c r="VVE1" i="7"/>
  <c r="VVF1" i="7"/>
  <c r="VVG1" i="7"/>
  <c r="VVH1" i="7"/>
  <c r="VVI1" i="7"/>
  <c r="VVJ1" i="7"/>
  <c r="VVK1" i="7"/>
  <c r="VVL1" i="7"/>
  <c r="VVM1" i="7"/>
  <c r="VVN1" i="7"/>
  <c r="VVO1" i="7"/>
  <c r="VVP1" i="7"/>
  <c r="VVQ1" i="7"/>
  <c r="VVR1" i="7"/>
  <c r="VVS1" i="7"/>
  <c r="VVT1" i="7"/>
  <c r="VVU1" i="7"/>
  <c r="VVV1" i="7"/>
  <c r="VVW1" i="7"/>
  <c r="VVX1" i="7"/>
  <c r="VVY1" i="7"/>
  <c r="VVZ1" i="7"/>
  <c r="VWA1" i="7"/>
  <c r="VWB1" i="7"/>
  <c r="VWC1" i="7"/>
  <c r="VWD1" i="7"/>
  <c r="VWE1" i="7"/>
  <c r="VWF1" i="7"/>
  <c r="VWG1" i="7"/>
  <c r="VWH1" i="7"/>
  <c r="VWI1" i="7"/>
  <c r="VWJ1" i="7"/>
  <c r="VWK1" i="7"/>
  <c r="VWL1" i="7"/>
  <c r="VWM1" i="7"/>
  <c r="VWN1" i="7"/>
  <c r="VWO1" i="7"/>
  <c r="VWP1" i="7"/>
  <c r="VWQ1" i="7"/>
  <c r="VWR1" i="7"/>
  <c r="VWS1" i="7"/>
  <c r="VWT1" i="7"/>
  <c r="VWU1" i="7"/>
  <c r="VWV1" i="7"/>
  <c r="VWW1" i="7"/>
  <c r="VWX1" i="7"/>
  <c r="VWY1" i="7"/>
  <c r="VWZ1" i="7"/>
  <c r="VXA1" i="7"/>
  <c r="VXB1" i="7"/>
  <c r="VXC1" i="7"/>
  <c r="VXD1" i="7"/>
  <c r="VXE1" i="7"/>
  <c r="VXF1" i="7"/>
  <c r="VXG1" i="7"/>
  <c r="VXH1" i="7"/>
  <c r="VXI1" i="7"/>
  <c r="VXJ1" i="7"/>
  <c r="VXK1" i="7"/>
  <c r="VXL1" i="7"/>
  <c r="VXM1" i="7"/>
  <c r="VXN1" i="7"/>
  <c r="VXO1" i="7"/>
  <c r="VXP1" i="7"/>
  <c r="VXQ1" i="7"/>
  <c r="VXR1" i="7"/>
  <c r="VXS1" i="7"/>
  <c r="VXT1" i="7"/>
  <c r="VXU1" i="7"/>
  <c r="VXV1" i="7"/>
  <c r="VXW1" i="7"/>
  <c r="VXX1" i="7"/>
  <c r="VXY1" i="7"/>
  <c r="VXZ1" i="7"/>
  <c r="VYA1" i="7"/>
  <c r="VYB1" i="7"/>
  <c r="VYC1" i="7"/>
  <c r="VYD1" i="7"/>
  <c r="VYE1" i="7"/>
  <c r="VYF1" i="7"/>
  <c r="VYG1" i="7"/>
  <c r="VYH1" i="7"/>
  <c r="VYI1" i="7"/>
  <c r="VYJ1" i="7"/>
  <c r="VYK1" i="7"/>
  <c r="VYL1" i="7"/>
  <c r="VYM1" i="7"/>
  <c r="VYN1" i="7"/>
  <c r="VYO1" i="7"/>
  <c r="VYP1" i="7"/>
  <c r="VYQ1" i="7"/>
  <c r="VYR1" i="7"/>
  <c r="VYS1" i="7"/>
  <c r="VYT1" i="7"/>
  <c r="VYU1" i="7"/>
  <c r="VYV1" i="7"/>
  <c r="VYW1" i="7"/>
  <c r="VYX1" i="7"/>
  <c r="VYY1" i="7"/>
  <c r="VYZ1" i="7"/>
  <c r="VZA1" i="7"/>
  <c r="VZB1" i="7"/>
  <c r="VZC1" i="7"/>
  <c r="VZD1" i="7"/>
  <c r="VZE1" i="7"/>
  <c r="VZF1" i="7"/>
  <c r="VZG1" i="7"/>
  <c r="VZH1" i="7"/>
  <c r="VZI1" i="7"/>
  <c r="VZJ1" i="7"/>
  <c r="VZK1" i="7"/>
  <c r="VZL1" i="7"/>
  <c r="VZM1" i="7"/>
  <c r="VZN1" i="7"/>
  <c r="VZO1" i="7"/>
  <c r="VZP1" i="7"/>
  <c r="VZQ1" i="7"/>
  <c r="VZR1" i="7"/>
  <c r="VZS1" i="7"/>
  <c r="VZT1" i="7"/>
  <c r="VZU1" i="7"/>
  <c r="VZV1" i="7"/>
  <c r="VZW1" i="7"/>
  <c r="VZX1" i="7"/>
  <c r="VZY1" i="7"/>
  <c r="VZZ1" i="7"/>
  <c r="WAA1" i="7"/>
  <c r="WAB1" i="7"/>
  <c r="WAC1" i="7"/>
  <c r="WAD1" i="7"/>
  <c r="WAE1" i="7"/>
  <c r="WAF1" i="7"/>
  <c r="WAG1" i="7"/>
  <c r="WAH1" i="7"/>
  <c r="WAI1" i="7"/>
  <c r="WAJ1" i="7"/>
  <c r="WAK1" i="7"/>
  <c r="WAL1" i="7"/>
  <c r="WAM1" i="7"/>
  <c r="WAN1" i="7"/>
  <c r="WAO1" i="7"/>
  <c r="WAP1" i="7"/>
  <c r="WAQ1" i="7"/>
  <c r="WAR1" i="7"/>
  <c r="WAS1" i="7"/>
  <c r="WAT1" i="7"/>
  <c r="WAU1" i="7"/>
  <c r="WAV1" i="7"/>
  <c r="WAW1" i="7"/>
  <c r="WAX1" i="7"/>
  <c r="WAY1" i="7"/>
  <c r="WAZ1" i="7"/>
  <c r="WBA1" i="7"/>
  <c r="WBB1" i="7"/>
  <c r="WBC1" i="7"/>
  <c r="WBD1" i="7"/>
  <c r="WBE1" i="7"/>
  <c r="WBF1" i="7"/>
  <c r="WBG1" i="7"/>
  <c r="WBH1" i="7"/>
  <c r="WBI1" i="7"/>
  <c r="WBJ1" i="7"/>
  <c r="WBK1" i="7"/>
  <c r="WBL1" i="7"/>
  <c r="WBM1" i="7"/>
  <c r="WBN1" i="7"/>
  <c r="WBO1" i="7"/>
  <c r="WBP1" i="7"/>
  <c r="WBQ1" i="7"/>
  <c r="WBR1" i="7"/>
  <c r="WBS1" i="7"/>
  <c r="WBT1" i="7"/>
  <c r="WBU1" i="7"/>
  <c r="WBV1" i="7"/>
  <c r="WBW1" i="7"/>
  <c r="WBX1" i="7"/>
  <c r="WBY1" i="7"/>
  <c r="WBZ1" i="7"/>
  <c r="WCA1" i="7"/>
  <c r="WCB1" i="7"/>
  <c r="WCC1" i="7"/>
  <c r="WCD1" i="7"/>
  <c r="WCE1" i="7"/>
  <c r="WCF1" i="7"/>
  <c r="WCG1" i="7"/>
  <c r="WCH1" i="7"/>
  <c r="WCI1" i="7"/>
  <c r="WCJ1" i="7"/>
  <c r="WCK1" i="7"/>
  <c r="WCL1" i="7"/>
  <c r="WCM1" i="7"/>
  <c r="WCN1" i="7"/>
  <c r="WCO1" i="7"/>
  <c r="WCP1" i="7"/>
  <c r="WCQ1" i="7"/>
  <c r="WCR1" i="7"/>
  <c r="WCS1" i="7"/>
  <c r="WCT1" i="7"/>
  <c r="WCU1" i="7"/>
  <c r="WCV1" i="7"/>
  <c r="WCW1" i="7"/>
  <c r="WCX1" i="7"/>
  <c r="WCY1" i="7"/>
  <c r="WCZ1" i="7"/>
  <c r="WDA1" i="7"/>
  <c r="WDB1" i="7"/>
  <c r="WDC1" i="7"/>
  <c r="WDD1" i="7"/>
  <c r="WDE1" i="7"/>
  <c r="WDF1" i="7"/>
  <c r="WDG1" i="7"/>
  <c r="WDH1" i="7"/>
  <c r="WDI1" i="7"/>
  <c r="WDJ1" i="7"/>
  <c r="WDK1" i="7"/>
  <c r="WDL1" i="7"/>
  <c r="WDM1" i="7"/>
  <c r="WDN1" i="7"/>
  <c r="WDO1" i="7"/>
  <c r="WDP1" i="7"/>
  <c r="WDQ1" i="7"/>
  <c r="WDR1" i="7"/>
  <c r="WDS1" i="7"/>
  <c r="WDT1" i="7"/>
  <c r="WDU1" i="7"/>
  <c r="WDV1" i="7"/>
  <c r="WDW1" i="7"/>
  <c r="WDX1" i="7"/>
  <c r="WDY1" i="7"/>
  <c r="WDZ1" i="7"/>
  <c r="WEA1" i="7"/>
  <c r="WEB1" i="7"/>
  <c r="WEC1" i="7"/>
  <c r="WED1" i="7"/>
  <c r="WEE1" i="7"/>
  <c r="WEF1" i="7"/>
  <c r="WEG1" i="7"/>
  <c r="WEH1" i="7"/>
  <c r="WEI1" i="7"/>
  <c r="WEJ1" i="7"/>
  <c r="WEK1" i="7"/>
  <c r="WEL1" i="7"/>
  <c r="WEM1" i="7"/>
  <c r="WEN1" i="7"/>
  <c r="WEO1" i="7"/>
  <c r="WEP1" i="7"/>
  <c r="WEQ1" i="7"/>
  <c r="WER1" i="7"/>
  <c r="WES1" i="7"/>
  <c r="WET1" i="7"/>
  <c r="WEU1" i="7"/>
  <c r="WEV1" i="7"/>
  <c r="WEW1" i="7"/>
  <c r="WEX1" i="7"/>
  <c r="WEY1" i="7"/>
  <c r="WEZ1" i="7"/>
  <c r="WFA1" i="7"/>
  <c r="WFB1" i="7"/>
  <c r="WFC1" i="7"/>
  <c r="WFD1" i="7"/>
  <c r="WFE1" i="7"/>
  <c r="WFF1" i="7"/>
  <c r="WFG1" i="7"/>
  <c r="WFH1" i="7"/>
  <c r="WFI1" i="7"/>
  <c r="WFJ1" i="7"/>
  <c r="WFK1" i="7"/>
  <c r="WFL1" i="7"/>
  <c r="WFM1" i="7"/>
  <c r="WFN1" i="7"/>
  <c r="WFO1" i="7"/>
  <c r="WFP1" i="7"/>
  <c r="WFQ1" i="7"/>
  <c r="WFR1" i="7"/>
  <c r="WFS1" i="7"/>
  <c r="WFT1" i="7"/>
  <c r="WFU1" i="7"/>
  <c r="WFV1" i="7"/>
  <c r="WFW1" i="7"/>
  <c r="WFX1" i="7"/>
  <c r="WFY1" i="7"/>
  <c r="WFZ1" i="7"/>
  <c r="WGA1" i="7"/>
  <c r="WGB1" i="7"/>
  <c r="WGC1" i="7"/>
  <c r="WGD1" i="7"/>
  <c r="WGE1" i="7"/>
  <c r="WGF1" i="7"/>
  <c r="WGG1" i="7"/>
  <c r="WGH1" i="7"/>
  <c r="WGI1" i="7"/>
  <c r="WGJ1" i="7"/>
  <c r="WGK1" i="7"/>
  <c r="WGL1" i="7"/>
  <c r="WGM1" i="7"/>
  <c r="WGN1" i="7"/>
  <c r="WGO1" i="7"/>
  <c r="WGP1" i="7"/>
  <c r="WGQ1" i="7"/>
  <c r="WGR1" i="7"/>
  <c r="WGS1" i="7"/>
  <c r="WGT1" i="7"/>
  <c r="WGU1" i="7"/>
  <c r="WGV1" i="7"/>
  <c r="WGW1" i="7"/>
  <c r="WGX1" i="7"/>
  <c r="WGY1" i="7"/>
  <c r="WGZ1" i="7"/>
  <c r="WHA1" i="7"/>
  <c r="WHB1" i="7"/>
  <c r="WHC1" i="7"/>
  <c r="WHD1" i="7"/>
  <c r="WHE1" i="7"/>
  <c r="WHF1" i="7"/>
  <c r="WHG1" i="7"/>
  <c r="WHH1" i="7"/>
  <c r="WHI1" i="7"/>
  <c r="WHJ1" i="7"/>
  <c r="WHK1" i="7"/>
  <c r="WHL1" i="7"/>
  <c r="WHM1" i="7"/>
  <c r="WHN1" i="7"/>
  <c r="WHO1" i="7"/>
  <c r="WHP1" i="7"/>
  <c r="WHQ1" i="7"/>
  <c r="WHR1" i="7"/>
  <c r="WHS1" i="7"/>
  <c r="WHT1" i="7"/>
  <c r="WHU1" i="7"/>
  <c r="WHV1" i="7"/>
  <c r="WHW1" i="7"/>
  <c r="WHX1" i="7"/>
  <c r="WHY1" i="7"/>
  <c r="WHZ1" i="7"/>
  <c r="WIA1" i="7"/>
  <c r="WIB1" i="7"/>
  <c r="WIC1" i="7"/>
  <c r="WID1" i="7"/>
  <c r="WIE1" i="7"/>
  <c r="WIF1" i="7"/>
  <c r="WIG1" i="7"/>
  <c r="WIH1" i="7"/>
  <c r="WII1" i="7"/>
  <c r="WIJ1" i="7"/>
  <c r="WIK1" i="7"/>
  <c r="WIL1" i="7"/>
  <c r="WIM1" i="7"/>
  <c r="WIN1" i="7"/>
  <c r="WIO1" i="7"/>
  <c r="WIP1" i="7"/>
  <c r="WIQ1" i="7"/>
  <c r="WIR1" i="7"/>
  <c r="WIS1" i="7"/>
  <c r="WIT1" i="7"/>
  <c r="WIU1" i="7"/>
  <c r="WIV1" i="7"/>
  <c r="WIW1" i="7"/>
  <c r="WIX1" i="7"/>
  <c r="WIY1" i="7"/>
  <c r="WIZ1" i="7"/>
  <c r="WJA1" i="7"/>
  <c r="WJB1" i="7"/>
  <c r="WJC1" i="7"/>
  <c r="WJD1" i="7"/>
  <c r="WJE1" i="7"/>
  <c r="WJF1" i="7"/>
  <c r="WJG1" i="7"/>
  <c r="WJH1" i="7"/>
  <c r="WJI1" i="7"/>
  <c r="WJJ1" i="7"/>
  <c r="WJK1" i="7"/>
  <c r="WJL1" i="7"/>
  <c r="WJM1" i="7"/>
  <c r="WJN1" i="7"/>
  <c r="WJO1" i="7"/>
  <c r="WJP1" i="7"/>
  <c r="WJQ1" i="7"/>
  <c r="WJR1" i="7"/>
  <c r="WJS1" i="7"/>
  <c r="WJT1" i="7"/>
  <c r="WJU1" i="7"/>
  <c r="WJV1" i="7"/>
  <c r="WJW1" i="7"/>
  <c r="WJX1" i="7"/>
  <c r="WJY1" i="7"/>
  <c r="WJZ1" i="7"/>
  <c r="WKA1" i="7"/>
  <c r="WKB1" i="7"/>
  <c r="WKC1" i="7"/>
  <c r="WKD1" i="7"/>
  <c r="WKE1" i="7"/>
  <c r="WKF1" i="7"/>
  <c r="WKG1" i="7"/>
  <c r="WKH1" i="7"/>
  <c r="WKI1" i="7"/>
  <c r="WKJ1" i="7"/>
  <c r="WKK1" i="7"/>
  <c r="WKL1" i="7"/>
  <c r="WKM1" i="7"/>
  <c r="WKN1" i="7"/>
  <c r="WKO1" i="7"/>
  <c r="WKP1" i="7"/>
  <c r="WKQ1" i="7"/>
  <c r="WKR1" i="7"/>
  <c r="WKS1" i="7"/>
  <c r="WKT1" i="7"/>
  <c r="WKU1" i="7"/>
  <c r="WKV1" i="7"/>
  <c r="WKW1" i="7"/>
  <c r="WKX1" i="7"/>
  <c r="WKY1" i="7"/>
  <c r="WKZ1" i="7"/>
  <c r="WLA1" i="7"/>
  <c r="WLB1" i="7"/>
  <c r="WLC1" i="7"/>
  <c r="WLD1" i="7"/>
  <c r="WLE1" i="7"/>
  <c r="WLF1" i="7"/>
  <c r="WLG1" i="7"/>
  <c r="WLH1" i="7"/>
  <c r="WLI1" i="7"/>
  <c r="WLJ1" i="7"/>
  <c r="WLK1" i="7"/>
  <c r="WLL1" i="7"/>
  <c r="WLM1" i="7"/>
  <c r="WLN1" i="7"/>
  <c r="WLO1" i="7"/>
  <c r="WLP1" i="7"/>
  <c r="WLQ1" i="7"/>
  <c r="WLR1" i="7"/>
  <c r="WLS1" i="7"/>
  <c r="WLT1" i="7"/>
  <c r="WLU1" i="7"/>
  <c r="WLV1" i="7"/>
  <c r="WLW1" i="7"/>
  <c r="WLX1" i="7"/>
  <c r="WLY1" i="7"/>
  <c r="WLZ1" i="7"/>
  <c r="WMA1" i="7"/>
  <c r="WMB1" i="7"/>
  <c r="WMC1" i="7"/>
  <c r="WMD1" i="7"/>
  <c r="WME1" i="7"/>
  <c r="WMF1" i="7"/>
  <c r="WMG1" i="7"/>
  <c r="WMH1" i="7"/>
  <c r="WMI1" i="7"/>
  <c r="WMJ1" i="7"/>
  <c r="WMK1" i="7"/>
  <c r="WML1" i="7"/>
  <c r="WMM1" i="7"/>
  <c r="WMN1" i="7"/>
  <c r="WMO1" i="7"/>
  <c r="WMP1" i="7"/>
  <c r="WMQ1" i="7"/>
  <c r="WMR1" i="7"/>
  <c r="WMS1" i="7"/>
  <c r="WMT1" i="7"/>
  <c r="WMU1" i="7"/>
  <c r="WMV1" i="7"/>
  <c r="WMW1" i="7"/>
  <c r="WMX1" i="7"/>
  <c r="WMY1" i="7"/>
  <c r="WMZ1" i="7"/>
  <c r="WNA1" i="7"/>
  <c r="WNB1" i="7"/>
  <c r="WNC1" i="7"/>
  <c r="WND1" i="7"/>
  <c r="WNE1" i="7"/>
  <c r="WNF1" i="7"/>
  <c r="WNG1" i="7"/>
  <c r="WNH1" i="7"/>
  <c r="WNI1" i="7"/>
  <c r="WNJ1" i="7"/>
  <c r="WNK1" i="7"/>
  <c r="WNL1" i="7"/>
  <c r="WNM1" i="7"/>
  <c r="WNN1" i="7"/>
  <c r="WNO1" i="7"/>
  <c r="WNP1" i="7"/>
  <c r="WNQ1" i="7"/>
  <c r="WNR1" i="7"/>
  <c r="WNS1" i="7"/>
  <c r="WNT1" i="7"/>
  <c r="WNU1" i="7"/>
  <c r="WNV1" i="7"/>
  <c r="WNW1" i="7"/>
  <c r="WNX1" i="7"/>
  <c r="WNY1" i="7"/>
  <c r="WNZ1" i="7"/>
  <c r="WOA1" i="7"/>
  <c r="WOB1" i="7"/>
  <c r="WOC1" i="7"/>
  <c r="WOD1" i="7"/>
  <c r="WOE1" i="7"/>
  <c r="WOF1" i="7"/>
  <c r="WOG1" i="7"/>
  <c r="WOH1" i="7"/>
  <c r="WOI1" i="7"/>
  <c r="WOJ1" i="7"/>
  <c r="WOK1" i="7"/>
  <c r="WOL1" i="7"/>
  <c r="WOM1" i="7"/>
  <c r="WON1" i="7"/>
  <c r="WOO1" i="7"/>
  <c r="WOP1" i="7"/>
  <c r="WOQ1" i="7"/>
  <c r="WOR1" i="7"/>
  <c r="WOS1" i="7"/>
  <c r="WOT1" i="7"/>
  <c r="WOU1" i="7"/>
  <c r="WOV1" i="7"/>
  <c r="WOW1" i="7"/>
  <c r="WOX1" i="7"/>
  <c r="WOY1" i="7"/>
  <c r="WOZ1" i="7"/>
  <c r="WPA1" i="7"/>
  <c r="WPB1" i="7"/>
  <c r="WPC1" i="7"/>
  <c r="WPD1" i="7"/>
  <c r="WPE1" i="7"/>
  <c r="WPF1" i="7"/>
  <c r="WPG1" i="7"/>
  <c r="WPH1" i="7"/>
  <c r="WPI1" i="7"/>
  <c r="WPJ1" i="7"/>
  <c r="WPK1" i="7"/>
  <c r="WPL1" i="7"/>
  <c r="WPM1" i="7"/>
  <c r="WPN1" i="7"/>
  <c r="WPO1" i="7"/>
  <c r="WPP1" i="7"/>
  <c r="WPQ1" i="7"/>
  <c r="WPR1" i="7"/>
  <c r="WPS1" i="7"/>
  <c r="WPT1" i="7"/>
  <c r="WPU1" i="7"/>
  <c r="WPV1" i="7"/>
  <c r="WPW1" i="7"/>
  <c r="WPX1" i="7"/>
  <c r="WPY1" i="7"/>
  <c r="WPZ1" i="7"/>
  <c r="WQA1" i="7"/>
  <c r="WQB1" i="7"/>
  <c r="WQC1" i="7"/>
  <c r="WQD1" i="7"/>
  <c r="WQE1" i="7"/>
  <c r="WQF1" i="7"/>
  <c r="WQG1" i="7"/>
  <c r="WQH1" i="7"/>
  <c r="WQI1" i="7"/>
  <c r="WQJ1" i="7"/>
  <c r="WQK1" i="7"/>
  <c r="WQL1" i="7"/>
  <c r="WQM1" i="7"/>
  <c r="WQN1" i="7"/>
  <c r="WQO1" i="7"/>
  <c r="WQP1" i="7"/>
  <c r="WQQ1" i="7"/>
  <c r="WQR1" i="7"/>
  <c r="WQS1" i="7"/>
  <c r="WQT1" i="7"/>
  <c r="WQU1" i="7"/>
  <c r="WQV1" i="7"/>
  <c r="WQW1" i="7"/>
  <c r="WQX1" i="7"/>
  <c r="WQY1" i="7"/>
  <c r="WQZ1" i="7"/>
  <c r="WRA1" i="7"/>
  <c r="WRB1" i="7"/>
  <c r="WRC1" i="7"/>
  <c r="WRD1" i="7"/>
  <c r="WRE1" i="7"/>
  <c r="WRF1" i="7"/>
  <c r="WRG1" i="7"/>
  <c r="WRH1" i="7"/>
  <c r="WRI1" i="7"/>
  <c r="WRJ1" i="7"/>
  <c r="WRK1" i="7"/>
  <c r="WRL1" i="7"/>
  <c r="WRM1" i="7"/>
  <c r="WRN1" i="7"/>
  <c r="WRO1" i="7"/>
  <c r="WRP1" i="7"/>
  <c r="WRQ1" i="7"/>
  <c r="WRR1" i="7"/>
  <c r="WRS1" i="7"/>
  <c r="WRT1" i="7"/>
  <c r="WRU1" i="7"/>
  <c r="WRV1" i="7"/>
  <c r="WRW1" i="7"/>
  <c r="WRX1" i="7"/>
  <c r="WRY1" i="7"/>
  <c r="WRZ1" i="7"/>
  <c r="WSA1" i="7"/>
  <c r="WSB1" i="7"/>
  <c r="WSC1" i="7"/>
  <c r="WSD1" i="7"/>
  <c r="WSE1" i="7"/>
  <c r="WSF1" i="7"/>
  <c r="WSG1" i="7"/>
  <c r="WSH1" i="7"/>
  <c r="WSI1" i="7"/>
  <c r="WSJ1" i="7"/>
  <c r="WSK1" i="7"/>
  <c r="WSL1" i="7"/>
  <c r="WSM1" i="7"/>
  <c r="WSN1" i="7"/>
  <c r="WSO1" i="7"/>
  <c r="WSP1" i="7"/>
  <c r="WSQ1" i="7"/>
  <c r="WSR1" i="7"/>
  <c r="WSS1" i="7"/>
  <c r="WST1" i="7"/>
  <c r="WSU1" i="7"/>
  <c r="WSV1" i="7"/>
  <c r="WSW1" i="7"/>
  <c r="WSX1" i="7"/>
  <c r="WSY1" i="7"/>
  <c r="WSZ1" i="7"/>
  <c r="WTA1" i="7"/>
  <c r="WTB1" i="7"/>
  <c r="WTC1" i="7"/>
  <c r="WTD1" i="7"/>
  <c r="WTE1" i="7"/>
  <c r="WTF1" i="7"/>
  <c r="WTG1" i="7"/>
  <c r="WTH1" i="7"/>
  <c r="WTI1" i="7"/>
  <c r="WTJ1" i="7"/>
  <c r="WTK1" i="7"/>
  <c r="WTL1" i="7"/>
  <c r="WTM1" i="7"/>
  <c r="WTN1" i="7"/>
  <c r="WTO1" i="7"/>
  <c r="WTP1" i="7"/>
  <c r="WTQ1" i="7"/>
  <c r="WTR1" i="7"/>
  <c r="WTS1" i="7"/>
  <c r="WTT1" i="7"/>
  <c r="WTU1" i="7"/>
  <c r="WTV1" i="7"/>
  <c r="WTW1" i="7"/>
  <c r="WTX1" i="7"/>
  <c r="WTY1" i="7"/>
  <c r="WTZ1" i="7"/>
  <c r="WUA1" i="7"/>
  <c r="WUB1" i="7"/>
  <c r="WUC1" i="7"/>
  <c r="WUD1" i="7"/>
  <c r="WUE1" i="7"/>
  <c r="WUF1" i="7"/>
  <c r="WUG1" i="7"/>
  <c r="WUH1" i="7"/>
  <c r="WUI1" i="7"/>
  <c r="WUJ1" i="7"/>
  <c r="WUK1" i="7"/>
  <c r="WUL1" i="7"/>
  <c r="WUM1" i="7"/>
  <c r="WUN1" i="7"/>
  <c r="WUO1" i="7"/>
  <c r="WUP1" i="7"/>
  <c r="WUQ1" i="7"/>
  <c r="WUR1" i="7"/>
  <c r="WUS1" i="7"/>
  <c r="WUT1" i="7"/>
  <c r="WUU1" i="7"/>
  <c r="WUV1" i="7"/>
  <c r="WUW1" i="7"/>
  <c r="WUX1" i="7"/>
  <c r="WUY1" i="7"/>
  <c r="WUZ1" i="7"/>
  <c r="WVA1" i="7"/>
  <c r="WVB1" i="7"/>
  <c r="WVC1" i="7"/>
  <c r="WVD1" i="7"/>
  <c r="WVE1" i="7"/>
  <c r="WVF1" i="7"/>
  <c r="WVG1" i="7"/>
  <c r="WVH1" i="7"/>
  <c r="WVI1" i="7"/>
  <c r="WVJ1" i="7"/>
  <c r="WVK1" i="7"/>
  <c r="WVL1" i="7"/>
  <c r="WVM1" i="7"/>
  <c r="WVN1" i="7"/>
  <c r="WVO1" i="7"/>
  <c r="WVP1" i="7"/>
  <c r="WVQ1" i="7"/>
  <c r="WVR1" i="7"/>
  <c r="WVS1" i="7"/>
  <c r="WVT1" i="7"/>
  <c r="WVU1" i="7"/>
  <c r="WVV1" i="7"/>
  <c r="WVW1" i="7"/>
  <c r="WVX1" i="7"/>
  <c r="WVY1" i="7"/>
  <c r="WVZ1" i="7"/>
  <c r="WWA1" i="7"/>
  <c r="WWB1" i="7"/>
  <c r="WWC1" i="7"/>
  <c r="WWD1" i="7"/>
  <c r="WWE1" i="7"/>
  <c r="WWF1" i="7"/>
  <c r="WWG1" i="7"/>
  <c r="WWH1" i="7"/>
  <c r="WWI1" i="7"/>
  <c r="WWJ1" i="7"/>
  <c r="WWK1" i="7"/>
  <c r="WWL1" i="7"/>
  <c r="WWM1" i="7"/>
  <c r="WWN1" i="7"/>
  <c r="WWO1" i="7"/>
  <c r="WWP1" i="7"/>
  <c r="WWQ1" i="7"/>
  <c r="WWR1" i="7"/>
  <c r="WWS1" i="7"/>
  <c r="WWT1" i="7"/>
  <c r="WWU1" i="7"/>
  <c r="WWV1" i="7"/>
  <c r="WWW1" i="7"/>
  <c r="WWX1" i="7"/>
  <c r="WWY1" i="7"/>
  <c r="WWZ1" i="7"/>
  <c r="WXA1" i="7"/>
  <c r="WXB1" i="7"/>
  <c r="WXC1" i="7"/>
  <c r="WXD1" i="7"/>
  <c r="WXE1" i="7"/>
  <c r="WXF1" i="7"/>
  <c r="WXG1" i="7"/>
  <c r="WXH1" i="7"/>
  <c r="WXI1" i="7"/>
  <c r="WXJ1" i="7"/>
  <c r="WXK1" i="7"/>
  <c r="WXL1" i="7"/>
  <c r="WXM1" i="7"/>
  <c r="WXN1" i="7"/>
  <c r="WXO1" i="7"/>
  <c r="WXP1" i="7"/>
  <c r="WXQ1" i="7"/>
  <c r="WXR1" i="7"/>
  <c r="WXS1" i="7"/>
  <c r="WXT1" i="7"/>
  <c r="WXU1" i="7"/>
  <c r="WXV1" i="7"/>
  <c r="WXW1" i="7"/>
  <c r="WXX1" i="7"/>
  <c r="WXY1" i="7"/>
  <c r="WXZ1" i="7"/>
  <c r="WYA1" i="7"/>
  <c r="WYB1" i="7"/>
  <c r="WYC1" i="7"/>
  <c r="WYD1" i="7"/>
  <c r="WYE1" i="7"/>
  <c r="WYF1" i="7"/>
  <c r="WYG1" i="7"/>
  <c r="WYH1" i="7"/>
  <c r="WYI1" i="7"/>
  <c r="WYJ1" i="7"/>
  <c r="WYK1" i="7"/>
  <c r="WYL1" i="7"/>
  <c r="WYM1" i="7"/>
  <c r="WYN1" i="7"/>
  <c r="WYO1" i="7"/>
  <c r="WYP1" i="7"/>
  <c r="WYQ1" i="7"/>
  <c r="WYR1" i="7"/>
  <c r="WYS1" i="7"/>
  <c r="WYT1" i="7"/>
  <c r="WYU1" i="7"/>
  <c r="WYV1" i="7"/>
  <c r="WYW1" i="7"/>
  <c r="WYX1" i="7"/>
  <c r="WYY1" i="7"/>
  <c r="WYZ1" i="7"/>
  <c r="WZA1" i="7"/>
  <c r="WZB1" i="7"/>
  <c r="WZC1" i="7"/>
  <c r="WZD1" i="7"/>
  <c r="WZE1" i="7"/>
  <c r="WZF1" i="7"/>
  <c r="WZG1" i="7"/>
  <c r="WZH1" i="7"/>
  <c r="WZI1" i="7"/>
  <c r="WZJ1" i="7"/>
  <c r="WZK1" i="7"/>
  <c r="WZL1" i="7"/>
  <c r="WZM1" i="7"/>
  <c r="WZN1" i="7"/>
  <c r="WZO1" i="7"/>
  <c r="WZP1" i="7"/>
  <c r="WZQ1" i="7"/>
  <c r="WZR1" i="7"/>
  <c r="WZS1" i="7"/>
  <c r="WZT1" i="7"/>
  <c r="WZU1" i="7"/>
  <c r="WZV1" i="7"/>
  <c r="WZW1" i="7"/>
  <c r="WZX1" i="7"/>
  <c r="WZY1" i="7"/>
  <c r="WZZ1" i="7"/>
  <c r="XAA1" i="7"/>
  <c r="XAB1" i="7"/>
  <c r="XAC1" i="7"/>
  <c r="XAD1" i="7"/>
  <c r="XAE1" i="7"/>
  <c r="XAF1" i="7"/>
  <c r="XAG1" i="7"/>
  <c r="XAH1" i="7"/>
  <c r="XAI1" i="7"/>
  <c r="XAJ1" i="7"/>
  <c r="XAK1" i="7"/>
  <c r="XAL1" i="7"/>
  <c r="XAM1" i="7"/>
  <c r="XAN1" i="7"/>
  <c r="XAO1" i="7"/>
  <c r="XAP1" i="7"/>
  <c r="XAQ1" i="7"/>
  <c r="XAR1" i="7"/>
  <c r="XAS1" i="7"/>
  <c r="XAT1" i="7"/>
  <c r="XAU1" i="7"/>
  <c r="XAV1" i="7"/>
  <c r="XAW1" i="7"/>
  <c r="XAX1" i="7"/>
  <c r="XAY1" i="7"/>
  <c r="XAZ1" i="7"/>
  <c r="XBA1" i="7"/>
  <c r="XBB1" i="7"/>
  <c r="XBC1" i="7"/>
  <c r="XBD1" i="7"/>
  <c r="XBE1" i="7"/>
  <c r="XBF1" i="7"/>
  <c r="XBG1" i="7"/>
  <c r="XBH1" i="7"/>
  <c r="XBI1" i="7"/>
  <c r="XBJ1" i="7"/>
  <c r="XBK1" i="7"/>
  <c r="XBL1" i="7"/>
  <c r="XBM1" i="7"/>
  <c r="XBN1" i="7"/>
  <c r="XBO1" i="7"/>
  <c r="XBP1" i="7"/>
  <c r="XBQ1" i="7"/>
  <c r="XBR1" i="7"/>
  <c r="XBS1" i="7"/>
  <c r="XBT1" i="7"/>
  <c r="XBU1" i="7"/>
  <c r="XBV1" i="7"/>
  <c r="XBW1" i="7"/>
  <c r="XBX1" i="7"/>
  <c r="XBY1" i="7"/>
  <c r="XBZ1" i="7"/>
  <c r="XCA1" i="7"/>
  <c r="XCB1" i="7"/>
  <c r="XCC1" i="7"/>
  <c r="XCD1" i="7"/>
  <c r="XCE1" i="7"/>
  <c r="XCF1" i="7"/>
  <c r="XCG1" i="7"/>
  <c r="XCH1" i="7"/>
  <c r="XCI1" i="7"/>
  <c r="XCJ1" i="7"/>
  <c r="XCK1" i="7"/>
  <c r="XCL1" i="7"/>
  <c r="XCM1" i="7"/>
  <c r="XCN1" i="7"/>
  <c r="XCO1" i="7"/>
  <c r="XCP1" i="7"/>
  <c r="XCQ1" i="7"/>
  <c r="XCR1" i="7"/>
  <c r="XCS1" i="7"/>
  <c r="XCT1" i="7"/>
  <c r="XCU1" i="7"/>
  <c r="XCV1" i="7"/>
  <c r="XCW1" i="7"/>
  <c r="XCX1" i="7"/>
  <c r="XCY1" i="7"/>
  <c r="XCZ1" i="7"/>
  <c r="XDA1" i="7"/>
  <c r="XDB1" i="7"/>
  <c r="XDC1" i="7"/>
  <c r="XDD1" i="7"/>
  <c r="XDE1" i="7"/>
  <c r="XDF1" i="7"/>
  <c r="XDG1" i="7"/>
  <c r="XDH1" i="7"/>
  <c r="XDI1" i="7"/>
  <c r="XDJ1" i="7"/>
  <c r="XDK1" i="7"/>
  <c r="XDL1" i="7"/>
  <c r="XDM1" i="7"/>
  <c r="XDN1" i="7"/>
  <c r="XDO1" i="7"/>
  <c r="XDP1" i="7"/>
  <c r="XDQ1" i="7"/>
  <c r="XDR1" i="7"/>
  <c r="XDS1" i="7"/>
  <c r="XDT1" i="7"/>
  <c r="XDU1" i="7"/>
  <c r="XDV1" i="7"/>
  <c r="XDW1" i="7"/>
  <c r="XDX1" i="7"/>
  <c r="XDY1" i="7"/>
  <c r="XDZ1" i="7"/>
  <c r="XEA1" i="7"/>
  <c r="XEB1" i="7"/>
  <c r="XEC1" i="7"/>
  <c r="XED1" i="7"/>
  <c r="XEE1" i="7"/>
  <c r="XEF1" i="7"/>
  <c r="XEG1" i="7"/>
  <c r="XEH1" i="7"/>
  <c r="XEI1" i="7"/>
  <c r="XEJ1" i="7"/>
  <c r="XEK1" i="7"/>
  <c r="VOJ2" i="7"/>
  <c r="VOK2" i="7"/>
  <c r="VOL2" i="7"/>
  <c r="VOM2" i="7"/>
  <c r="VON2" i="7"/>
  <c r="VOO2" i="7"/>
  <c r="VOP2" i="7"/>
  <c r="VOQ2" i="7"/>
  <c r="VOR2" i="7"/>
  <c r="VOS2" i="7"/>
  <c r="VOT2" i="7"/>
  <c r="VOU2" i="7"/>
  <c r="VOV2" i="7"/>
  <c r="VOW2" i="7"/>
  <c r="VOX2" i="7"/>
  <c r="VOY2" i="7"/>
  <c r="VOZ2" i="7"/>
  <c r="VPA2" i="7"/>
  <c r="VPB2" i="7"/>
  <c r="VPC2" i="7"/>
  <c r="VPD2" i="7"/>
  <c r="VPE2" i="7"/>
  <c r="VPF2" i="7"/>
  <c r="VPG2" i="7"/>
  <c r="VPH2" i="7"/>
  <c r="VPI2" i="7"/>
  <c r="VPJ2" i="7"/>
  <c r="VPK2" i="7"/>
  <c r="VPL2" i="7"/>
  <c r="VPM2" i="7"/>
  <c r="VPN2" i="7"/>
  <c r="VPO2" i="7"/>
  <c r="VPP2" i="7"/>
  <c r="VPQ2" i="7"/>
  <c r="VPR2" i="7"/>
  <c r="VPS2" i="7"/>
  <c r="VPT2" i="7"/>
  <c r="VPU2" i="7"/>
  <c r="VPV2" i="7"/>
  <c r="VPW2" i="7"/>
  <c r="VPX2" i="7"/>
  <c r="VPY2" i="7"/>
  <c r="VPZ2" i="7"/>
  <c r="VQA2" i="7"/>
  <c r="VQB2" i="7"/>
  <c r="VQC2" i="7"/>
  <c r="VQD2" i="7"/>
  <c r="VQE2" i="7"/>
  <c r="VQF2" i="7"/>
  <c r="VQG2" i="7"/>
  <c r="VQH2" i="7"/>
  <c r="VQI2" i="7"/>
  <c r="VQJ2" i="7"/>
  <c r="VQK2" i="7"/>
  <c r="VQL2" i="7"/>
  <c r="VQM2" i="7"/>
  <c r="VQN2" i="7"/>
  <c r="VQO2" i="7"/>
  <c r="VQP2" i="7"/>
  <c r="VQQ2" i="7"/>
  <c r="VQR2" i="7"/>
  <c r="VQS2" i="7"/>
  <c r="VQT2" i="7"/>
  <c r="VQU2" i="7"/>
  <c r="VQV2" i="7"/>
  <c r="VQW2" i="7"/>
  <c r="VQX2" i="7"/>
  <c r="VQY2" i="7"/>
  <c r="VQZ2" i="7"/>
  <c r="VRA2" i="7"/>
  <c r="VRB2" i="7"/>
  <c r="VRC2" i="7"/>
  <c r="VRD2" i="7"/>
  <c r="VRE2" i="7"/>
  <c r="VRF2" i="7"/>
  <c r="VRG2" i="7"/>
  <c r="VRH2" i="7"/>
  <c r="VRI2" i="7"/>
  <c r="VRJ2" i="7"/>
  <c r="VRK2" i="7"/>
  <c r="VRL2" i="7"/>
  <c r="VRM2" i="7"/>
  <c r="VRN2" i="7"/>
  <c r="VRO2" i="7"/>
  <c r="VRP2" i="7"/>
  <c r="VRQ2" i="7"/>
  <c r="VRR2" i="7"/>
  <c r="VRS2" i="7"/>
  <c r="VRT2" i="7"/>
  <c r="VRU2" i="7"/>
  <c r="VRV2" i="7"/>
  <c r="VRW2" i="7"/>
  <c r="VRX2" i="7"/>
  <c r="VRY2" i="7"/>
  <c r="VRZ2" i="7"/>
  <c r="VSA2" i="7"/>
  <c r="VSB2" i="7"/>
  <c r="VSC2" i="7"/>
  <c r="VSD2" i="7"/>
  <c r="VSE2" i="7"/>
  <c r="VSF2" i="7"/>
  <c r="VSG2" i="7"/>
  <c r="VSH2" i="7"/>
  <c r="VSI2" i="7"/>
  <c r="VSJ2" i="7"/>
  <c r="VSK2" i="7"/>
  <c r="VSL2" i="7"/>
  <c r="VSM2" i="7"/>
  <c r="VSN2" i="7"/>
  <c r="VSO2" i="7"/>
  <c r="VSP2" i="7"/>
  <c r="VSQ2" i="7"/>
  <c r="VSR2" i="7"/>
  <c r="VSS2" i="7"/>
  <c r="VST2" i="7"/>
  <c r="VSU2" i="7"/>
  <c r="VSV2" i="7"/>
  <c r="VSW2" i="7"/>
  <c r="VSX2" i="7"/>
  <c r="VSY2" i="7"/>
  <c r="VSZ2" i="7"/>
  <c r="VTA2" i="7"/>
  <c r="VTB2" i="7"/>
  <c r="VTC2" i="7"/>
  <c r="VTD2" i="7"/>
  <c r="VTE2" i="7"/>
  <c r="VTF2" i="7"/>
  <c r="VTG2" i="7"/>
  <c r="VTH2" i="7"/>
  <c r="VTI2" i="7"/>
  <c r="VTJ2" i="7"/>
  <c r="VTK2" i="7"/>
  <c r="VTL2" i="7"/>
  <c r="VTM2" i="7"/>
  <c r="VTN2" i="7"/>
  <c r="VTO2" i="7"/>
  <c r="VTP2" i="7"/>
  <c r="VTQ2" i="7"/>
  <c r="VTR2" i="7"/>
  <c r="VTS2" i="7"/>
  <c r="VTT2" i="7"/>
  <c r="VTU2" i="7"/>
  <c r="VTV2" i="7"/>
  <c r="VTW2" i="7"/>
  <c r="VTX2" i="7"/>
  <c r="VTY2" i="7"/>
  <c r="VTZ2" i="7"/>
  <c r="VUA2" i="7"/>
  <c r="VUB2" i="7"/>
  <c r="VUC2" i="7"/>
  <c r="VUD2" i="7"/>
  <c r="VUE2" i="7"/>
  <c r="VUF2" i="7"/>
  <c r="VUG2" i="7"/>
  <c r="VUH2" i="7"/>
  <c r="VUI2" i="7"/>
  <c r="VUJ2" i="7"/>
  <c r="VUK2" i="7"/>
  <c r="VUL2" i="7"/>
  <c r="VUM2" i="7"/>
  <c r="VUN2" i="7"/>
  <c r="VUO2" i="7"/>
  <c r="VUP2" i="7"/>
  <c r="VUQ2" i="7"/>
  <c r="VUR2" i="7"/>
  <c r="VUS2" i="7"/>
  <c r="VUT2" i="7"/>
  <c r="VUU2" i="7"/>
  <c r="VUV2" i="7"/>
  <c r="VUW2" i="7"/>
  <c r="VUX2" i="7"/>
  <c r="VUY2" i="7"/>
  <c r="VUZ2" i="7"/>
  <c r="VVA2" i="7"/>
  <c r="VVB2" i="7"/>
  <c r="VVC2" i="7"/>
  <c r="VVD2" i="7"/>
  <c r="VVE2" i="7"/>
  <c r="VVF2" i="7"/>
  <c r="VVG2" i="7"/>
  <c r="VVH2" i="7"/>
  <c r="VVI2" i="7"/>
  <c r="VVJ2" i="7"/>
  <c r="VVK2" i="7"/>
  <c r="VVL2" i="7"/>
  <c r="VVM2" i="7"/>
  <c r="VVN2" i="7"/>
  <c r="VVO2" i="7"/>
  <c r="VVP2" i="7"/>
  <c r="VVQ2" i="7"/>
  <c r="VVR2" i="7"/>
  <c r="VVS2" i="7"/>
  <c r="VVT2" i="7"/>
  <c r="VVU2" i="7"/>
  <c r="VVV2" i="7"/>
  <c r="VVW2" i="7"/>
  <c r="VVX2" i="7"/>
  <c r="VVY2" i="7"/>
  <c r="VVZ2" i="7"/>
  <c r="VWA2" i="7"/>
  <c r="VWB2" i="7"/>
  <c r="VWC2" i="7"/>
  <c r="VWD2" i="7"/>
  <c r="VWE2" i="7"/>
  <c r="VWF2" i="7"/>
  <c r="VWG2" i="7"/>
  <c r="VWH2" i="7"/>
  <c r="VWI2" i="7"/>
  <c r="VWJ2" i="7"/>
  <c r="VWK2" i="7"/>
  <c r="VWL2" i="7"/>
  <c r="VWM2" i="7"/>
  <c r="VWN2" i="7"/>
  <c r="VWO2" i="7"/>
  <c r="VWP2" i="7"/>
  <c r="VWQ2" i="7"/>
  <c r="VWR2" i="7"/>
  <c r="VWS2" i="7"/>
  <c r="VWT2" i="7"/>
  <c r="VWU2" i="7"/>
  <c r="VWV2" i="7"/>
  <c r="VWW2" i="7"/>
  <c r="VWX2" i="7"/>
  <c r="VWY2" i="7"/>
  <c r="VWZ2" i="7"/>
  <c r="VXA2" i="7"/>
  <c r="VXB2" i="7"/>
  <c r="VXC2" i="7"/>
  <c r="VXD2" i="7"/>
  <c r="VXE2" i="7"/>
  <c r="VXF2" i="7"/>
  <c r="VXG2" i="7"/>
  <c r="VXH2" i="7"/>
  <c r="VXI2" i="7"/>
  <c r="VXJ2" i="7"/>
  <c r="VXK2" i="7"/>
  <c r="VXL2" i="7"/>
  <c r="VXM2" i="7"/>
  <c r="VXN2" i="7"/>
  <c r="VXO2" i="7"/>
  <c r="VXP2" i="7"/>
  <c r="VXQ2" i="7"/>
  <c r="VXR2" i="7"/>
  <c r="VXS2" i="7"/>
  <c r="VXT2" i="7"/>
  <c r="VXU2" i="7"/>
  <c r="VXV2" i="7"/>
  <c r="VXW2" i="7"/>
  <c r="VXX2" i="7"/>
  <c r="VXY2" i="7"/>
  <c r="VXZ2" i="7"/>
  <c r="VYA2" i="7"/>
  <c r="VYB2" i="7"/>
  <c r="VYC2" i="7"/>
  <c r="VYD2" i="7"/>
  <c r="VYE2" i="7"/>
  <c r="VYF2" i="7"/>
  <c r="VYG2" i="7"/>
  <c r="VYH2" i="7"/>
  <c r="VYI2" i="7"/>
  <c r="VYJ2" i="7"/>
  <c r="VYK2" i="7"/>
  <c r="VYL2" i="7"/>
  <c r="VYM2" i="7"/>
  <c r="VYN2" i="7"/>
  <c r="VYO2" i="7"/>
  <c r="VYP2" i="7"/>
  <c r="VYQ2" i="7"/>
  <c r="VYR2" i="7"/>
  <c r="VYS2" i="7"/>
  <c r="VYT2" i="7"/>
  <c r="VYU2" i="7"/>
  <c r="VYV2" i="7"/>
  <c r="VYW2" i="7"/>
  <c r="VYX2" i="7"/>
  <c r="VYY2" i="7"/>
  <c r="VYZ2" i="7"/>
  <c r="VZA2" i="7"/>
  <c r="VZB2" i="7"/>
  <c r="VZC2" i="7"/>
  <c r="VZD2" i="7"/>
  <c r="VZE2" i="7"/>
  <c r="VZF2" i="7"/>
  <c r="VZG2" i="7"/>
  <c r="VZH2" i="7"/>
  <c r="VZI2" i="7"/>
  <c r="VZJ2" i="7"/>
  <c r="VZK2" i="7"/>
  <c r="VZL2" i="7"/>
  <c r="VZM2" i="7"/>
  <c r="VZN2" i="7"/>
  <c r="VZO2" i="7"/>
  <c r="VZP2" i="7"/>
  <c r="VZQ2" i="7"/>
  <c r="VZR2" i="7"/>
  <c r="VZS2" i="7"/>
  <c r="VZT2" i="7"/>
  <c r="VZU2" i="7"/>
  <c r="VZV2" i="7"/>
  <c r="VZW2" i="7"/>
  <c r="VZX2" i="7"/>
  <c r="VZY2" i="7"/>
  <c r="VZZ2" i="7"/>
  <c r="WAA2" i="7"/>
  <c r="WAB2" i="7"/>
  <c r="WAC2" i="7"/>
  <c r="WAD2" i="7"/>
  <c r="WAE2" i="7"/>
  <c r="WAF2" i="7"/>
  <c r="WAG2" i="7"/>
  <c r="WAH2" i="7"/>
  <c r="WAI2" i="7"/>
  <c r="WAJ2" i="7"/>
  <c r="WAK2" i="7"/>
  <c r="WAL2" i="7"/>
  <c r="WAM2" i="7"/>
  <c r="WAN2" i="7"/>
  <c r="WAO2" i="7"/>
  <c r="WAP2" i="7"/>
  <c r="WAQ2" i="7"/>
  <c r="WAR2" i="7"/>
  <c r="WAS2" i="7"/>
  <c r="WAT2" i="7"/>
  <c r="WAU2" i="7"/>
  <c r="WAV2" i="7"/>
  <c r="WAW2" i="7"/>
  <c r="WAX2" i="7"/>
  <c r="WAY2" i="7"/>
  <c r="WAZ2" i="7"/>
  <c r="WBA2" i="7"/>
  <c r="WBB2" i="7"/>
  <c r="WBC2" i="7"/>
  <c r="WBD2" i="7"/>
  <c r="WBE2" i="7"/>
  <c r="WBF2" i="7"/>
  <c r="WBG2" i="7"/>
  <c r="WBH2" i="7"/>
  <c r="WBI2" i="7"/>
  <c r="WBJ2" i="7"/>
  <c r="WBK2" i="7"/>
  <c r="WBL2" i="7"/>
  <c r="WBM2" i="7"/>
  <c r="WBN2" i="7"/>
  <c r="WBO2" i="7"/>
  <c r="WBP2" i="7"/>
  <c r="WBQ2" i="7"/>
  <c r="WBR2" i="7"/>
  <c r="WBS2" i="7"/>
  <c r="WBT2" i="7"/>
  <c r="WBU2" i="7"/>
  <c r="WBV2" i="7"/>
  <c r="WBW2" i="7"/>
  <c r="WBX2" i="7"/>
  <c r="WBY2" i="7"/>
  <c r="WBZ2" i="7"/>
  <c r="WCA2" i="7"/>
  <c r="WCB2" i="7"/>
  <c r="WCC2" i="7"/>
  <c r="WCD2" i="7"/>
  <c r="WCE2" i="7"/>
  <c r="WCF2" i="7"/>
  <c r="WCG2" i="7"/>
  <c r="WCH2" i="7"/>
  <c r="WCI2" i="7"/>
  <c r="WCJ2" i="7"/>
  <c r="WCK2" i="7"/>
  <c r="WCL2" i="7"/>
  <c r="WCM2" i="7"/>
  <c r="WCN2" i="7"/>
  <c r="WCO2" i="7"/>
  <c r="WCP2" i="7"/>
  <c r="WCQ2" i="7"/>
  <c r="WCR2" i="7"/>
  <c r="WCS2" i="7"/>
  <c r="WCT2" i="7"/>
  <c r="WCU2" i="7"/>
  <c r="WCV2" i="7"/>
  <c r="WCW2" i="7"/>
  <c r="WCX2" i="7"/>
  <c r="WCY2" i="7"/>
  <c r="WCZ2" i="7"/>
  <c r="WDA2" i="7"/>
  <c r="WDB2" i="7"/>
  <c r="WDC2" i="7"/>
  <c r="WDD2" i="7"/>
  <c r="WDE2" i="7"/>
  <c r="WDF2" i="7"/>
  <c r="WDG2" i="7"/>
  <c r="WDH2" i="7"/>
  <c r="WDI2" i="7"/>
  <c r="WDJ2" i="7"/>
  <c r="WDK2" i="7"/>
  <c r="WDL2" i="7"/>
  <c r="WDM2" i="7"/>
  <c r="WDN2" i="7"/>
  <c r="WDO2" i="7"/>
  <c r="WDP2" i="7"/>
  <c r="WDQ2" i="7"/>
  <c r="WDR2" i="7"/>
  <c r="WDS2" i="7"/>
  <c r="WDT2" i="7"/>
  <c r="WDU2" i="7"/>
  <c r="WDV2" i="7"/>
  <c r="WDW2" i="7"/>
  <c r="WDX2" i="7"/>
  <c r="WDY2" i="7"/>
  <c r="WDZ2" i="7"/>
  <c r="WEA2" i="7"/>
  <c r="WEB2" i="7"/>
  <c r="WEC2" i="7"/>
  <c r="WED2" i="7"/>
  <c r="WEE2" i="7"/>
  <c r="WEF2" i="7"/>
  <c r="WEG2" i="7"/>
  <c r="WEH2" i="7"/>
  <c r="WEI2" i="7"/>
  <c r="WEJ2" i="7"/>
  <c r="WEK2" i="7"/>
  <c r="WEL2" i="7"/>
  <c r="WEM2" i="7"/>
  <c r="WEN2" i="7"/>
  <c r="WEO2" i="7"/>
  <c r="WEP2" i="7"/>
  <c r="WEQ2" i="7"/>
  <c r="WER2" i="7"/>
  <c r="WES2" i="7"/>
  <c r="WET2" i="7"/>
  <c r="WEU2" i="7"/>
  <c r="WEV2" i="7"/>
  <c r="WEW2" i="7"/>
  <c r="WEX2" i="7"/>
  <c r="WEY2" i="7"/>
  <c r="WEZ2" i="7"/>
  <c r="WFA2" i="7"/>
  <c r="WFB2" i="7"/>
  <c r="WFC2" i="7"/>
  <c r="WFD2" i="7"/>
  <c r="WFE2" i="7"/>
  <c r="WFF2" i="7"/>
  <c r="WFG2" i="7"/>
  <c r="WFH2" i="7"/>
  <c r="WFI2" i="7"/>
  <c r="WFJ2" i="7"/>
  <c r="WFK2" i="7"/>
  <c r="WFL2" i="7"/>
  <c r="WFM2" i="7"/>
  <c r="WFN2" i="7"/>
  <c r="WFO2" i="7"/>
  <c r="WFP2" i="7"/>
  <c r="WFQ2" i="7"/>
  <c r="WFR2" i="7"/>
  <c r="WFS2" i="7"/>
  <c r="WFT2" i="7"/>
  <c r="WFU2" i="7"/>
  <c r="WFV2" i="7"/>
  <c r="WFW2" i="7"/>
  <c r="WFX2" i="7"/>
  <c r="WFY2" i="7"/>
  <c r="WFZ2" i="7"/>
  <c r="WGA2" i="7"/>
  <c r="WGB2" i="7"/>
  <c r="WGC2" i="7"/>
  <c r="WGD2" i="7"/>
  <c r="WGE2" i="7"/>
  <c r="WGF2" i="7"/>
  <c r="WGG2" i="7"/>
  <c r="WGH2" i="7"/>
  <c r="WGI2" i="7"/>
  <c r="WGJ2" i="7"/>
  <c r="WGK2" i="7"/>
  <c r="WGL2" i="7"/>
  <c r="WGM2" i="7"/>
  <c r="WGN2" i="7"/>
  <c r="WGO2" i="7"/>
  <c r="WGP2" i="7"/>
  <c r="WGQ2" i="7"/>
  <c r="WGR2" i="7"/>
  <c r="WGS2" i="7"/>
  <c r="WGT2" i="7"/>
  <c r="WGU2" i="7"/>
  <c r="WGV2" i="7"/>
  <c r="WGW2" i="7"/>
  <c r="WGX2" i="7"/>
  <c r="WGY2" i="7"/>
  <c r="WGZ2" i="7"/>
  <c r="WHA2" i="7"/>
  <c r="WHB2" i="7"/>
  <c r="WHC2" i="7"/>
  <c r="WHD2" i="7"/>
  <c r="WHE2" i="7"/>
  <c r="WHF2" i="7"/>
  <c r="WHG2" i="7"/>
  <c r="WHH2" i="7"/>
  <c r="WHI2" i="7"/>
  <c r="WHJ2" i="7"/>
  <c r="WHK2" i="7"/>
  <c r="WHL2" i="7"/>
  <c r="WHM2" i="7"/>
  <c r="WHN2" i="7"/>
  <c r="WHO2" i="7"/>
  <c r="WHP2" i="7"/>
  <c r="WHQ2" i="7"/>
  <c r="WHR2" i="7"/>
  <c r="WHS2" i="7"/>
  <c r="WHT2" i="7"/>
  <c r="WHU2" i="7"/>
  <c r="WHV2" i="7"/>
  <c r="WHW2" i="7"/>
  <c r="WHX2" i="7"/>
  <c r="WHY2" i="7"/>
  <c r="WHZ2" i="7"/>
  <c r="WIA2" i="7"/>
  <c r="WIB2" i="7"/>
  <c r="WIC2" i="7"/>
  <c r="WID2" i="7"/>
  <c r="WIE2" i="7"/>
  <c r="WIF2" i="7"/>
  <c r="WIG2" i="7"/>
  <c r="WIH2" i="7"/>
  <c r="WII2" i="7"/>
  <c r="WIJ2" i="7"/>
  <c r="WIK2" i="7"/>
  <c r="WIL2" i="7"/>
  <c r="WIM2" i="7"/>
  <c r="WIN2" i="7"/>
  <c r="WIO2" i="7"/>
  <c r="WIP2" i="7"/>
  <c r="WIQ2" i="7"/>
  <c r="WIR2" i="7"/>
  <c r="WIS2" i="7"/>
  <c r="WIT2" i="7"/>
  <c r="WIU2" i="7"/>
  <c r="WIV2" i="7"/>
  <c r="WIW2" i="7"/>
  <c r="WIX2" i="7"/>
  <c r="WIY2" i="7"/>
  <c r="WIZ2" i="7"/>
  <c r="WJA2" i="7"/>
  <c r="WJB2" i="7"/>
  <c r="WJC2" i="7"/>
  <c r="WJD2" i="7"/>
  <c r="WJE2" i="7"/>
  <c r="WJF2" i="7"/>
  <c r="WJG2" i="7"/>
  <c r="WJH2" i="7"/>
  <c r="WJI2" i="7"/>
  <c r="WJJ2" i="7"/>
  <c r="WJK2" i="7"/>
  <c r="WJL2" i="7"/>
  <c r="WJM2" i="7"/>
  <c r="WJN2" i="7"/>
  <c r="WJO2" i="7"/>
  <c r="WJP2" i="7"/>
  <c r="WJQ2" i="7"/>
  <c r="WJR2" i="7"/>
  <c r="WJS2" i="7"/>
  <c r="WJT2" i="7"/>
  <c r="WJU2" i="7"/>
  <c r="WJV2" i="7"/>
  <c r="WJW2" i="7"/>
  <c r="WJX2" i="7"/>
  <c r="WJY2" i="7"/>
  <c r="WJZ2" i="7"/>
  <c r="WKA2" i="7"/>
  <c r="WKB2" i="7"/>
  <c r="WKC2" i="7"/>
  <c r="WKD2" i="7"/>
  <c r="WKE2" i="7"/>
  <c r="WKF2" i="7"/>
  <c r="WKG2" i="7"/>
  <c r="WKH2" i="7"/>
  <c r="WKI2" i="7"/>
  <c r="WKJ2" i="7"/>
  <c r="WKK2" i="7"/>
  <c r="WKL2" i="7"/>
  <c r="WKM2" i="7"/>
  <c r="WKN2" i="7"/>
  <c r="WKO2" i="7"/>
  <c r="WKP2" i="7"/>
  <c r="WKQ2" i="7"/>
  <c r="WKR2" i="7"/>
  <c r="WKS2" i="7"/>
  <c r="WKT2" i="7"/>
  <c r="WKU2" i="7"/>
  <c r="WKV2" i="7"/>
  <c r="WKW2" i="7"/>
  <c r="WKX2" i="7"/>
  <c r="WKY2" i="7"/>
  <c r="WKZ2" i="7"/>
  <c r="WLA2" i="7"/>
  <c r="WLB2" i="7"/>
  <c r="WLC2" i="7"/>
  <c r="WLD2" i="7"/>
  <c r="WLE2" i="7"/>
  <c r="WLF2" i="7"/>
  <c r="WLG2" i="7"/>
  <c r="WLH2" i="7"/>
  <c r="WLI2" i="7"/>
  <c r="WLJ2" i="7"/>
  <c r="WLK2" i="7"/>
  <c r="WLL2" i="7"/>
  <c r="WLM2" i="7"/>
  <c r="WLN2" i="7"/>
  <c r="WLO2" i="7"/>
  <c r="WLP2" i="7"/>
  <c r="WLQ2" i="7"/>
  <c r="WLR2" i="7"/>
  <c r="WLS2" i="7"/>
  <c r="WLT2" i="7"/>
  <c r="WLU2" i="7"/>
  <c r="WLV2" i="7"/>
  <c r="WLW2" i="7"/>
  <c r="WLX2" i="7"/>
  <c r="WLY2" i="7"/>
  <c r="WLZ2" i="7"/>
  <c r="WMA2" i="7"/>
  <c r="WMB2" i="7"/>
  <c r="WMC2" i="7"/>
  <c r="WMD2" i="7"/>
  <c r="WME2" i="7"/>
  <c r="WMF2" i="7"/>
  <c r="WMG2" i="7"/>
  <c r="WMH2" i="7"/>
  <c r="WMI2" i="7"/>
  <c r="WMJ2" i="7"/>
  <c r="WMK2" i="7"/>
  <c r="WML2" i="7"/>
  <c r="WMM2" i="7"/>
  <c r="WMN2" i="7"/>
  <c r="WMO2" i="7"/>
  <c r="WMP2" i="7"/>
  <c r="WMQ2" i="7"/>
  <c r="WMR2" i="7"/>
  <c r="WMS2" i="7"/>
  <c r="WMT2" i="7"/>
  <c r="WMU2" i="7"/>
  <c r="WMV2" i="7"/>
  <c r="WMW2" i="7"/>
  <c r="WMX2" i="7"/>
  <c r="WMY2" i="7"/>
  <c r="WMZ2" i="7"/>
  <c r="WNA2" i="7"/>
  <c r="WNB2" i="7"/>
  <c r="WNC2" i="7"/>
  <c r="WND2" i="7"/>
  <c r="WNE2" i="7"/>
  <c r="WNF2" i="7"/>
  <c r="WNG2" i="7"/>
  <c r="WNH2" i="7"/>
  <c r="WNI2" i="7"/>
  <c r="WNJ2" i="7"/>
  <c r="WNK2" i="7"/>
  <c r="WNL2" i="7"/>
  <c r="WNM2" i="7"/>
  <c r="WNN2" i="7"/>
  <c r="WNO2" i="7"/>
  <c r="WNP2" i="7"/>
  <c r="WNQ2" i="7"/>
  <c r="WNR2" i="7"/>
  <c r="WNS2" i="7"/>
  <c r="WNT2" i="7"/>
  <c r="WNU2" i="7"/>
  <c r="WNV2" i="7"/>
  <c r="WNW2" i="7"/>
  <c r="WNX2" i="7"/>
  <c r="WNY2" i="7"/>
  <c r="WNZ2" i="7"/>
  <c r="WOA2" i="7"/>
  <c r="WOB2" i="7"/>
  <c r="WOC2" i="7"/>
  <c r="WOD2" i="7"/>
  <c r="WOE2" i="7"/>
  <c r="WOF2" i="7"/>
  <c r="WOG2" i="7"/>
  <c r="WOH2" i="7"/>
  <c r="WOI2" i="7"/>
  <c r="WOJ2" i="7"/>
  <c r="WOK2" i="7"/>
  <c r="WOL2" i="7"/>
  <c r="WOM2" i="7"/>
  <c r="WON2" i="7"/>
  <c r="WOO2" i="7"/>
  <c r="WOP2" i="7"/>
  <c r="WOQ2" i="7"/>
  <c r="WOR2" i="7"/>
  <c r="WOS2" i="7"/>
  <c r="WOT2" i="7"/>
  <c r="WOU2" i="7"/>
  <c r="WOV2" i="7"/>
  <c r="WOW2" i="7"/>
  <c r="WOX2" i="7"/>
  <c r="WOY2" i="7"/>
  <c r="WOZ2" i="7"/>
  <c r="WPA2" i="7"/>
  <c r="WPB2" i="7"/>
  <c r="WPC2" i="7"/>
  <c r="WPD2" i="7"/>
  <c r="WPE2" i="7"/>
  <c r="WPF2" i="7"/>
  <c r="WPG2" i="7"/>
  <c r="WPH2" i="7"/>
  <c r="WPI2" i="7"/>
  <c r="WPJ2" i="7"/>
  <c r="WPK2" i="7"/>
  <c r="WPL2" i="7"/>
  <c r="WPM2" i="7"/>
  <c r="WPN2" i="7"/>
  <c r="WPO2" i="7"/>
  <c r="WPP2" i="7"/>
  <c r="WPQ2" i="7"/>
  <c r="WPR2" i="7"/>
  <c r="WPS2" i="7"/>
  <c r="WPT2" i="7"/>
  <c r="WPU2" i="7"/>
  <c r="WPV2" i="7"/>
  <c r="WPW2" i="7"/>
  <c r="WPX2" i="7"/>
  <c r="WPY2" i="7"/>
  <c r="WPZ2" i="7"/>
  <c r="WQA2" i="7"/>
  <c r="WQB2" i="7"/>
  <c r="WQC2" i="7"/>
  <c r="WQD2" i="7"/>
  <c r="WQE2" i="7"/>
  <c r="WQF2" i="7"/>
  <c r="WQG2" i="7"/>
  <c r="WQH2" i="7"/>
  <c r="WQI2" i="7"/>
  <c r="WQJ2" i="7"/>
  <c r="WQK2" i="7"/>
  <c r="WQL2" i="7"/>
  <c r="WQM2" i="7"/>
  <c r="WQN2" i="7"/>
  <c r="WQO2" i="7"/>
  <c r="WQP2" i="7"/>
  <c r="WQQ2" i="7"/>
  <c r="WQR2" i="7"/>
  <c r="WQS2" i="7"/>
  <c r="WQT2" i="7"/>
  <c r="WQU2" i="7"/>
  <c r="WQV2" i="7"/>
  <c r="WQW2" i="7"/>
  <c r="WQX2" i="7"/>
  <c r="WQY2" i="7"/>
  <c r="WQZ2" i="7"/>
  <c r="WRA2" i="7"/>
  <c r="WRB2" i="7"/>
  <c r="WRC2" i="7"/>
  <c r="WRD2" i="7"/>
  <c r="WRE2" i="7"/>
  <c r="WRF2" i="7"/>
  <c r="WRG2" i="7"/>
  <c r="WRH2" i="7"/>
  <c r="WRI2" i="7"/>
  <c r="WRJ2" i="7"/>
  <c r="WRK2" i="7"/>
  <c r="WRL2" i="7"/>
  <c r="WRM2" i="7"/>
  <c r="WRN2" i="7"/>
  <c r="WRO2" i="7"/>
  <c r="WRP2" i="7"/>
  <c r="WRQ2" i="7"/>
  <c r="WRR2" i="7"/>
  <c r="WRS2" i="7"/>
  <c r="WRT2" i="7"/>
  <c r="WRU2" i="7"/>
  <c r="WRV2" i="7"/>
  <c r="WRW2" i="7"/>
  <c r="WRX2" i="7"/>
  <c r="WRY2" i="7"/>
  <c r="WRZ2" i="7"/>
  <c r="WSA2" i="7"/>
  <c r="WSB2" i="7"/>
  <c r="WSC2" i="7"/>
  <c r="WSD2" i="7"/>
  <c r="WSE2" i="7"/>
  <c r="WSF2" i="7"/>
  <c r="WSG2" i="7"/>
  <c r="WSH2" i="7"/>
  <c r="WSI2" i="7"/>
  <c r="WSJ2" i="7"/>
  <c r="WSK2" i="7"/>
  <c r="WSL2" i="7"/>
  <c r="WSM2" i="7"/>
  <c r="WSN2" i="7"/>
  <c r="WSO2" i="7"/>
  <c r="WSP2" i="7"/>
  <c r="WSQ2" i="7"/>
  <c r="WSR2" i="7"/>
  <c r="WSS2" i="7"/>
  <c r="WST2" i="7"/>
  <c r="WSU2" i="7"/>
  <c r="WSV2" i="7"/>
  <c r="WSW2" i="7"/>
  <c r="WSX2" i="7"/>
  <c r="WSY2" i="7"/>
  <c r="WSZ2" i="7"/>
  <c r="WTA2" i="7"/>
  <c r="WTB2" i="7"/>
  <c r="WTC2" i="7"/>
  <c r="WTD2" i="7"/>
  <c r="WTE2" i="7"/>
  <c r="WTF2" i="7"/>
  <c r="WTG2" i="7"/>
  <c r="WTH2" i="7"/>
  <c r="WTI2" i="7"/>
  <c r="WTJ2" i="7"/>
  <c r="WTK2" i="7"/>
  <c r="WTL2" i="7"/>
  <c r="WTM2" i="7"/>
  <c r="WTN2" i="7"/>
  <c r="WTO2" i="7"/>
  <c r="WTP2" i="7"/>
  <c r="WTQ2" i="7"/>
  <c r="WTR2" i="7"/>
  <c r="WTS2" i="7"/>
  <c r="WTT2" i="7"/>
  <c r="WTU2" i="7"/>
  <c r="WTV2" i="7"/>
  <c r="WTW2" i="7"/>
  <c r="WTX2" i="7"/>
  <c r="WTY2" i="7"/>
  <c r="WTZ2" i="7"/>
  <c r="WUA2" i="7"/>
  <c r="WUB2" i="7"/>
  <c r="WUC2" i="7"/>
  <c r="WUD2" i="7"/>
  <c r="WUE2" i="7"/>
  <c r="WUF2" i="7"/>
  <c r="WUG2" i="7"/>
  <c r="WUH2" i="7"/>
  <c r="WUI2" i="7"/>
  <c r="WUJ2" i="7"/>
  <c r="WUK2" i="7"/>
  <c r="WUL2" i="7"/>
  <c r="WUM2" i="7"/>
  <c r="WUN2" i="7"/>
  <c r="WUO2" i="7"/>
  <c r="WUP2" i="7"/>
  <c r="WUQ2" i="7"/>
  <c r="WUR2" i="7"/>
  <c r="WUS2" i="7"/>
  <c r="WUT2" i="7"/>
  <c r="WUU2" i="7"/>
  <c r="WUV2" i="7"/>
  <c r="WUW2" i="7"/>
  <c r="WUX2" i="7"/>
  <c r="WUY2" i="7"/>
  <c r="WUZ2" i="7"/>
  <c r="WVA2" i="7"/>
  <c r="WVB2" i="7"/>
  <c r="WVC2" i="7"/>
  <c r="WVD2" i="7"/>
  <c r="WVE2" i="7"/>
  <c r="WVF2" i="7"/>
  <c r="WVG2" i="7"/>
  <c r="WVH2" i="7"/>
  <c r="WVI2" i="7"/>
  <c r="WVJ2" i="7"/>
  <c r="WVK2" i="7"/>
  <c r="WVL2" i="7"/>
  <c r="WVM2" i="7"/>
  <c r="WVN2" i="7"/>
  <c r="WVO2" i="7"/>
  <c r="WVP2" i="7"/>
  <c r="WVQ2" i="7"/>
  <c r="WVR2" i="7"/>
  <c r="WVS2" i="7"/>
  <c r="WVT2" i="7"/>
  <c r="WVU2" i="7"/>
  <c r="WVV2" i="7"/>
  <c r="WVW2" i="7"/>
  <c r="WVX2" i="7"/>
  <c r="WVY2" i="7"/>
  <c r="WVZ2" i="7"/>
  <c r="WWA2" i="7"/>
  <c r="WWB2" i="7"/>
  <c r="WWC2" i="7"/>
  <c r="WWD2" i="7"/>
  <c r="WWE2" i="7"/>
  <c r="WWF2" i="7"/>
  <c r="WWG2" i="7"/>
  <c r="WWH2" i="7"/>
  <c r="WWI2" i="7"/>
  <c r="WWJ2" i="7"/>
  <c r="WWK2" i="7"/>
  <c r="WWL2" i="7"/>
  <c r="WWM2" i="7"/>
  <c r="WWN2" i="7"/>
  <c r="WWO2" i="7"/>
  <c r="WWP2" i="7"/>
  <c r="WWQ2" i="7"/>
  <c r="WWR2" i="7"/>
  <c r="WWS2" i="7"/>
  <c r="WWT2" i="7"/>
  <c r="WWU2" i="7"/>
  <c r="WWV2" i="7"/>
  <c r="WWW2" i="7"/>
  <c r="WWX2" i="7"/>
  <c r="WWY2" i="7"/>
  <c r="WWZ2" i="7"/>
  <c r="WXA2" i="7"/>
  <c r="WXB2" i="7"/>
  <c r="WXC2" i="7"/>
  <c r="WXD2" i="7"/>
  <c r="WXE2" i="7"/>
  <c r="WXF2" i="7"/>
  <c r="WXG2" i="7"/>
  <c r="WXH2" i="7"/>
  <c r="WXI2" i="7"/>
  <c r="WXJ2" i="7"/>
  <c r="WXK2" i="7"/>
  <c r="WXL2" i="7"/>
  <c r="WXM2" i="7"/>
  <c r="WXN2" i="7"/>
  <c r="WXO2" i="7"/>
  <c r="WXP2" i="7"/>
  <c r="WXQ2" i="7"/>
  <c r="WXR2" i="7"/>
  <c r="WXS2" i="7"/>
  <c r="WXT2" i="7"/>
  <c r="WXU2" i="7"/>
  <c r="WXV2" i="7"/>
  <c r="WXW2" i="7"/>
  <c r="WXX2" i="7"/>
  <c r="WXY2" i="7"/>
  <c r="WXZ2" i="7"/>
  <c r="WYA2" i="7"/>
  <c r="WYB2" i="7"/>
  <c r="WYC2" i="7"/>
  <c r="WYD2" i="7"/>
  <c r="WYE2" i="7"/>
  <c r="WYF2" i="7"/>
  <c r="WYG2" i="7"/>
  <c r="WYH2" i="7"/>
  <c r="WYI2" i="7"/>
  <c r="WYJ2" i="7"/>
  <c r="WYK2" i="7"/>
  <c r="WYL2" i="7"/>
  <c r="WYM2" i="7"/>
  <c r="WYN2" i="7"/>
  <c r="WYO2" i="7"/>
  <c r="WYP2" i="7"/>
  <c r="WYQ2" i="7"/>
  <c r="WYR2" i="7"/>
  <c r="WYS2" i="7"/>
  <c r="WYT2" i="7"/>
  <c r="WYU2" i="7"/>
  <c r="WYV2" i="7"/>
  <c r="WYW2" i="7"/>
  <c r="WYX2" i="7"/>
  <c r="WYY2" i="7"/>
  <c r="WYZ2" i="7"/>
  <c r="WZA2" i="7"/>
  <c r="WZB2" i="7"/>
  <c r="WZC2" i="7"/>
  <c r="WZD2" i="7"/>
  <c r="WZE2" i="7"/>
  <c r="WZF2" i="7"/>
  <c r="WZG2" i="7"/>
  <c r="WZH2" i="7"/>
  <c r="WZI2" i="7"/>
  <c r="WZJ2" i="7"/>
  <c r="WZK2" i="7"/>
  <c r="WZL2" i="7"/>
  <c r="WZM2" i="7"/>
  <c r="WZN2" i="7"/>
  <c r="WZO2" i="7"/>
  <c r="WZP2" i="7"/>
  <c r="WZQ2" i="7"/>
  <c r="WZR2" i="7"/>
  <c r="WZS2" i="7"/>
  <c r="WZT2" i="7"/>
  <c r="WZU2" i="7"/>
  <c r="WZV2" i="7"/>
  <c r="WZW2" i="7"/>
  <c r="WZX2" i="7"/>
  <c r="WZY2" i="7"/>
  <c r="WZZ2" i="7"/>
  <c r="XAA2" i="7"/>
  <c r="XAB2" i="7"/>
  <c r="XAC2" i="7"/>
  <c r="XAD2" i="7"/>
  <c r="XAE2" i="7"/>
  <c r="XAF2" i="7"/>
  <c r="XAG2" i="7"/>
  <c r="XAH2" i="7"/>
  <c r="XAI2" i="7"/>
  <c r="XAJ2" i="7"/>
  <c r="XAK2" i="7"/>
  <c r="XAL2" i="7"/>
  <c r="XAM2" i="7"/>
  <c r="XAN2" i="7"/>
  <c r="XAO2" i="7"/>
  <c r="XAP2" i="7"/>
  <c r="XAQ2" i="7"/>
  <c r="XAR2" i="7"/>
  <c r="XAS2" i="7"/>
  <c r="XAT2" i="7"/>
  <c r="XAU2" i="7"/>
  <c r="XAV2" i="7"/>
  <c r="XAW2" i="7"/>
  <c r="XAX2" i="7"/>
  <c r="XAY2" i="7"/>
  <c r="XAZ2" i="7"/>
  <c r="XBA2" i="7"/>
  <c r="XBB2" i="7"/>
  <c r="XBC2" i="7"/>
  <c r="XBD2" i="7"/>
  <c r="XBE2" i="7"/>
  <c r="XBF2" i="7"/>
  <c r="XBG2" i="7"/>
  <c r="XBH2" i="7"/>
  <c r="XBI2" i="7"/>
  <c r="XBJ2" i="7"/>
  <c r="XBK2" i="7"/>
  <c r="XBL2" i="7"/>
  <c r="XBM2" i="7"/>
  <c r="XBN2" i="7"/>
  <c r="XBO2" i="7"/>
  <c r="XBP2" i="7"/>
  <c r="XBQ2" i="7"/>
  <c r="XBR2" i="7"/>
  <c r="XBS2" i="7"/>
  <c r="XBT2" i="7"/>
  <c r="XBU2" i="7"/>
  <c r="XBV2" i="7"/>
  <c r="XBW2" i="7"/>
  <c r="XBX2" i="7"/>
  <c r="XBY2" i="7"/>
  <c r="XBZ2" i="7"/>
  <c r="XCA2" i="7"/>
  <c r="XCB2" i="7"/>
  <c r="XCC2" i="7"/>
  <c r="XCD2" i="7"/>
  <c r="XCE2" i="7"/>
  <c r="XCF2" i="7"/>
  <c r="XCG2" i="7"/>
  <c r="XCH2" i="7"/>
  <c r="XCI2" i="7"/>
  <c r="XCJ2" i="7"/>
  <c r="XCK2" i="7"/>
  <c r="XCL2" i="7"/>
  <c r="XCM2" i="7"/>
  <c r="XCN2" i="7"/>
  <c r="XCO2" i="7"/>
  <c r="XCP2" i="7"/>
  <c r="XCQ2" i="7"/>
  <c r="XCR2" i="7"/>
  <c r="XCS2" i="7"/>
  <c r="XCT2" i="7"/>
  <c r="XCU2" i="7"/>
  <c r="XCV2" i="7"/>
  <c r="XCW2" i="7"/>
  <c r="XCX2" i="7"/>
  <c r="XCY2" i="7"/>
  <c r="XCZ2" i="7"/>
  <c r="XDA2" i="7"/>
  <c r="XDB2" i="7"/>
  <c r="XDC2" i="7"/>
  <c r="XDD2" i="7"/>
  <c r="XDE2" i="7"/>
  <c r="XDF2" i="7"/>
  <c r="XDG2" i="7"/>
  <c r="XDH2" i="7"/>
  <c r="XDI2" i="7"/>
  <c r="XDJ2" i="7"/>
  <c r="XDK2" i="7"/>
  <c r="XDL2" i="7"/>
  <c r="XDM2" i="7"/>
  <c r="XDN2" i="7"/>
  <c r="XDO2" i="7"/>
  <c r="XDP2" i="7"/>
  <c r="XDQ2" i="7"/>
  <c r="XDR2" i="7"/>
  <c r="XDS2" i="7"/>
  <c r="XDT2" i="7"/>
  <c r="XDU2" i="7"/>
  <c r="XDV2" i="7"/>
  <c r="XDW2" i="7"/>
  <c r="XDX2" i="7"/>
  <c r="XDY2" i="7"/>
  <c r="XDZ2" i="7"/>
  <c r="XEA2" i="7"/>
  <c r="XEB2" i="7"/>
  <c r="XEC2" i="7"/>
  <c r="XED2" i="7"/>
  <c r="XEE2" i="7"/>
  <c r="XEF2" i="7"/>
  <c r="XEG2" i="7"/>
  <c r="XEH2" i="7"/>
  <c r="XEI2" i="7"/>
  <c r="XEJ2" i="7"/>
  <c r="XEK2" i="7"/>
  <c r="VOJ3" i="7"/>
  <c r="VOK3" i="7"/>
  <c r="VOL3" i="7"/>
  <c r="VOM3" i="7"/>
  <c r="VON3" i="7"/>
  <c r="VOO3" i="7"/>
  <c r="VOP3" i="7"/>
  <c r="VOQ3" i="7"/>
  <c r="VOR3" i="7"/>
  <c r="VOS3" i="7"/>
  <c r="VOT3" i="7"/>
  <c r="VOU3" i="7"/>
  <c r="VOV3" i="7"/>
  <c r="VOW3" i="7"/>
  <c r="VOX3" i="7"/>
  <c r="VOY3" i="7"/>
  <c r="VOZ3" i="7"/>
  <c r="VPA3" i="7"/>
  <c r="VPB3" i="7"/>
  <c r="VPC3" i="7"/>
  <c r="VPD3" i="7"/>
  <c r="VPE3" i="7"/>
  <c r="VPF3" i="7"/>
  <c r="VPG3" i="7"/>
  <c r="VPH3" i="7"/>
  <c r="VPI3" i="7"/>
  <c r="VPJ3" i="7"/>
  <c r="VPK3" i="7"/>
  <c r="VPL3" i="7"/>
  <c r="VPM3" i="7"/>
  <c r="VPN3" i="7"/>
  <c r="VPO3" i="7"/>
  <c r="VPP3" i="7"/>
  <c r="VPQ3" i="7"/>
  <c r="VPR3" i="7"/>
  <c r="VPS3" i="7"/>
  <c r="VPT3" i="7"/>
  <c r="VPU3" i="7"/>
  <c r="VPV3" i="7"/>
  <c r="VPW3" i="7"/>
  <c r="VPX3" i="7"/>
  <c r="VPY3" i="7"/>
  <c r="VPZ3" i="7"/>
  <c r="VQA3" i="7"/>
  <c r="VQB3" i="7"/>
  <c r="VQC3" i="7"/>
  <c r="VQD3" i="7"/>
  <c r="VQE3" i="7"/>
  <c r="VQF3" i="7"/>
  <c r="VQG3" i="7"/>
  <c r="VQH3" i="7"/>
  <c r="VQI3" i="7"/>
  <c r="VQJ3" i="7"/>
  <c r="VQK3" i="7"/>
  <c r="VQL3" i="7"/>
  <c r="VQM3" i="7"/>
  <c r="VQN3" i="7"/>
  <c r="VQO3" i="7"/>
  <c r="VQP3" i="7"/>
  <c r="VQQ3" i="7"/>
  <c r="VQR3" i="7"/>
  <c r="VQS3" i="7"/>
  <c r="VQT3" i="7"/>
  <c r="VQU3" i="7"/>
  <c r="VQV3" i="7"/>
  <c r="VQW3" i="7"/>
  <c r="VQX3" i="7"/>
  <c r="VQY3" i="7"/>
  <c r="VQZ3" i="7"/>
  <c r="VRA3" i="7"/>
  <c r="VRB3" i="7"/>
  <c r="VRC3" i="7"/>
  <c r="VRD3" i="7"/>
  <c r="VRE3" i="7"/>
  <c r="VRF3" i="7"/>
  <c r="VRG3" i="7"/>
  <c r="VRH3" i="7"/>
  <c r="VRI3" i="7"/>
  <c r="VRJ3" i="7"/>
  <c r="VRK3" i="7"/>
  <c r="VRL3" i="7"/>
  <c r="VRM3" i="7"/>
  <c r="VRN3" i="7"/>
  <c r="VRO3" i="7"/>
  <c r="VRP3" i="7"/>
  <c r="VRQ3" i="7"/>
  <c r="VRR3" i="7"/>
  <c r="VRS3" i="7"/>
  <c r="VRT3" i="7"/>
  <c r="VRU3" i="7"/>
  <c r="VRV3" i="7"/>
  <c r="VRW3" i="7"/>
  <c r="VRX3" i="7"/>
  <c r="VRY3" i="7"/>
  <c r="VRZ3" i="7"/>
  <c r="VSA3" i="7"/>
  <c r="VSB3" i="7"/>
  <c r="VSC3" i="7"/>
  <c r="VSD3" i="7"/>
  <c r="VSE3" i="7"/>
  <c r="VSF3" i="7"/>
  <c r="VSG3" i="7"/>
  <c r="VSH3" i="7"/>
  <c r="VSI3" i="7"/>
  <c r="VSJ3" i="7"/>
  <c r="VSK3" i="7"/>
  <c r="VSL3" i="7"/>
  <c r="VSM3" i="7"/>
  <c r="VSN3" i="7"/>
  <c r="VSO3" i="7"/>
  <c r="VSP3" i="7"/>
  <c r="VSQ3" i="7"/>
  <c r="VSR3" i="7"/>
  <c r="VSS3" i="7"/>
  <c r="VST3" i="7"/>
  <c r="VSU3" i="7"/>
  <c r="VSV3" i="7"/>
  <c r="VSW3" i="7"/>
  <c r="VSX3" i="7"/>
  <c r="VSY3" i="7"/>
  <c r="VSZ3" i="7"/>
  <c r="VTA3" i="7"/>
  <c r="VTB3" i="7"/>
  <c r="VTC3" i="7"/>
  <c r="VTD3" i="7"/>
  <c r="VTE3" i="7"/>
  <c r="VTF3" i="7"/>
  <c r="VTG3" i="7"/>
  <c r="VTH3" i="7"/>
  <c r="VTI3" i="7"/>
  <c r="VTJ3" i="7"/>
  <c r="VTK3" i="7"/>
  <c r="VTL3" i="7"/>
  <c r="VTM3" i="7"/>
  <c r="VTN3" i="7"/>
  <c r="VTO3" i="7"/>
  <c r="VTP3" i="7"/>
  <c r="VTQ3" i="7"/>
  <c r="VTR3" i="7"/>
  <c r="VTS3" i="7"/>
  <c r="VTT3" i="7"/>
  <c r="VTU3" i="7"/>
  <c r="VTV3" i="7"/>
  <c r="VTW3" i="7"/>
  <c r="VTX3" i="7"/>
  <c r="VTY3" i="7"/>
  <c r="VTZ3" i="7"/>
  <c r="VUA3" i="7"/>
  <c r="VUB3" i="7"/>
  <c r="VUC3" i="7"/>
  <c r="VUD3" i="7"/>
  <c r="VUE3" i="7"/>
  <c r="VUF3" i="7"/>
  <c r="VUG3" i="7"/>
  <c r="VUH3" i="7"/>
  <c r="VUI3" i="7"/>
  <c r="VUJ3" i="7"/>
  <c r="VUK3" i="7"/>
  <c r="VUL3" i="7"/>
  <c r="VUM3" i="7"/>
  <c r="VUN3" i="7"/>
  <c r="VUO3" i="7"/>
  <c r="VUP3" i="7"/>
  <c r="VUQ3" i="7"/>
  <c r="VUR3" i="7"/>
  <c r="VUS3" i="7"/>
  <c r="VUT3" i="7"/>
  <c r="VUU3" i="7"/>
  <c r="VUV3" i="7"/>
  <c r="VUW3" i="7"/>
  <c r="VUX3" i="7"/>
  <c r="VUY3" i="7"/>
  <c r="VUZ3" i="7"/>
  <c r="VVA3" i="7"/>
  <c r="VVB3" i="7"/>
  <c r="VVC3" i="7"/>
  <c r="VVD3" i="7"/>
  <c r="VVE3" i="7"/>
  <c r="VVF3" i="7"/>
  <c r="VVG3" i="7"/>
  <c r="VVH3" i="7"/>
  <c r="VVI3" i="7"/>
  <c r="VVJ3" i="7"/>
  <c r="VVK3" i="7"/>
  <c r="VVL3" i="7"/>
  <c r="VVM3" i="7"/>
  <c r="VVN3" i="7"/>
  <c r="VVO3" i="7"/>
  <c r="VVP3" i="7"/>
  <c r="VVQ3" i="7"/>
  <c r="VVR3" i="7"/>
  <c r="VVS3" i="7"/>
  <c r="VVT3" i="7"/>
  <c r="VVU3" i="7"/>
  <c r="VVV3" i="7"/>
  <c r="VVW3" i="7"/>
  <c r="VVX3" i="7"/>
  <c r="VVY3" i="7"/>
  <c r="VVZ3" i="7"/>
  <c r="VWA3" i="7"/>
  <c r="VWB3" i="7"/>
  <c r="VWC3" i="7"/>
  <c r="VWD3" i="7"/>
  <c r="VWE3" i="7"/>
  <c r="VWF3" i="7"/>
  <c r="VWG3" i="7"/>
  <c r="VWH3" i="7"/>
  <c r="VWI3" i="7"/>
  <c r="VWJ3" i="7"/>
  <c r="VWK3" i="7"/>
  <c r="VWL3" i="7"/>
  <c r="VWM3" i="7"/>
  <c r="VWN3" i="7"/>
  <c r="VWO3" i="7"/>
  <c r="VWP3" i="7"/>
  <c r="VWQ3" i="7"/>
  <c r="VWR3" i="7"/>
  <c r="VWS3" i="7"/>
  <c r="VWT3" i="7"/>
  <c r="VWU3" i="7"/>
  <c r="VWV3" i="7"/>
  <c r="VWW3" i="7"/>
  <c r="VWX3" i="7"/>
  <c r="VWY3" i="7"/>
  <c r="VWZ3" i="7"/>
  <c r="VXA3" i="7"/>
  <c r="VXB3" i="7"/>
  <c r="VXC3" i="7"/>
  <c r="VXD3" i="7"/>
  <c r="VXE3" i="7"/>
  <c r="VXF3" i="7"/>
  <c r="VXG3" i="7"/>
  <c r="VXH3" i="7"/>
  <c r="VXI3" i="7"/>
  <c r="VXJ3" i="7"/>
  <c r="VXK3" i="7"/>
  <c r="VXL3" i="7"/>
  <c r="VXM3" i="7"/>
  <c r="VXN3" i="7"/>
  <c r="VXO3" i="7"/>
  <c r="VXP3" i="7"/>
  <c r="VXQ3" i="7"/>
  <c r="VXR3" i="7"/>
  <c r="VXS3" i="7"/>
  <c r="VXT3" i="7"/>
  <c r="VXU3" i="7"/>
  <c r="VXV3" i="7"/>
  <c r="VXW3" i="7"/>
  <c r="VXX3" i="7"/>
  <c r="VXY3" i="7"/>
  <c r="VXZ3" i="7"/>
  <c r="VYA3" i="7"/>
  <c r="VYB3" i="7"/>
  <c r="VYC3" i="7"/>
  <c r="VYD3" i="7"/>
  <c r="VYE3" i="7"/>
  <c r="VYF3" i="7"/>
  <c r="VYG3" i="7"/>
  <c r="VYH3" i="7"/>
  <c r="VYI3" i="7"/>
  <c r="VYJ3" i="7"/>
  <c r="VYK3" i="7"/>
  <c r="VYL3" i="7"/>
  <c r="VYM3" i="7"/>
  <c r="VYN3" i="7"/>
  <c r="VYO3" i="7"/>
  <c r="VYP3" i="7"/>
  <c r="VYQ3" i="7"/>
  <c r="VYR3" i="7"/>
  <c r="VYS3" i="7"/>
  <c r="VYT3" i="7"/>
  <c r="VYU3" i="7"/>
  <c r="VYV3" i="7"/>
  <c r="VYW3" i="7"/>
  <c r="VYX3" i="7"/>
  <c r="VYY3" i="7"/>
  <c r="VYZ3" i="7"/>
  <c r="VZA3" i="7"/>
  <c r="VZB3" i="7"/>
  <c r="VZC3" i="7"/>
  <c r="VZD3" i="7"/>
  <c r="VZE3" i="7"/>
  <c r="VZF3" i="7"/>
  <c r="VZG3" i="7"/>
  <c r="VZH3" i="7"/>
  <c r="VZI3" i="7"/>
  <c r="VZJ3" i="7"/>
  <c r="VZK3" i="7"/>
  <c r="VZL3" i="7"/>
  <c r="VZM3" i="7"/>
  <c r="VZN3" i="7"/>
  <c r="VZO3" i="7"/>
  <c r="VZP3" i="7"/>
  <c r="VZQ3" i="7"/>
  <c r="VZR3" i="7"/>
  <c r="VZS3" i="7"/>
  <c r="VZT3" i="7"/>
  <c r="VZU3" i="7"/>
  <c r="VZV3" i="7"/>
  <c r="VZW3" i="7"/>
  <c r="VZX3" i="7"/>
  <c r="VZY3" i="7"/>
  <c r="VZZ3" i="7"/>
  <c r="WAA3" i="7"/>
  <c r="WAB3" i="7"/>
  <c r="WAC3" i="7"/>
  <c r="WAD3" i="7"/>
  <c r="WAE3" i="7"/>
  <c r="WAF3" i="7"/>
  <c r="WAG3" i="7"/>
  <c r="WAH3" i="7"/>
  <c r="WAI3" i="7"/>
  <c r="WAJ3" i="7"/>
  <c r="WAK3" i="7"/>
  <c r="WAL3" i="7"/>
  <c r="WAM3" i="7"/>
  <c r="WAN3" i="7"/>
  <c r="WAO3" i="7"/>
  <c r="WAP3" i="7"/>
  <c r="WAQ3" i="7"/>
  <c r="WAR3" i="7"/>
  <c r="WAS3" i="7"/>
  <c r="WAT3" i="7"/>
  <c r="WAU3" i="7"/>
  <c r="WAV3" i="7"/>
  <c r="WAW3" i="7"/>
  <c r="WAX3" i="7"/>
  <c r="WAY3" i="7"/>
  <c r="WAZ3" i="7"/>
  <c r="WBA3" i="7"/>
  <c r="WBB3" i="7"/>
  <c r="WBC3" i="7"/>
  <c r="WBD3" i="7"/>
  <c r="WBE3" i="7"/>
  <c r="WBF3" i="7"/>
  <c r="WBG3" i="7"/>
  <c r="WBH3" i="7"/>
  <c r="WBI3" i="7"/>
  <c r="WBJ3" i="7"/>
  <c r="WBK3" i="7"/>
  <c r="WBL3" i="7"/>
  <c r="WBM3" i="7"/>
  <c r="WBN3" i="7"/>
  <c r="WBO3" i="7"/>
  <c r="WBP3" i="7"/>
  <c r="WBQ3" i="7"/>
  <c r="WBR3" i="7"/>
  <c r="WBS3" i="7"/>
  <c r="WBT3" i="7"/>
  <c r="WBU3" i="7"/>
  <c r="WBV3" i="7"/>
  <c r="WBW3" i="7"/>
  <c r="WBX3" i="7"/>
  <c r="WBY3" i="7"/>
  <c r="WBZ3" i="7"/>
  <c r="WCA3" i="7"/>
  <c r="WCB3" i="7"/>
  <c r="WCC3" i="7"/>
  <c r="WCD3" i="7"/>
  <c r="WCE3" i="7"/>
  <c r="WCF3" i="7"/>
  <c r="WCG3" i="7"/>
  <c r="WCH3" i="7"/>
  <c r="WCI3" i="7"/>
  <c r="WCJ3" i="7"/>
  <c r="WCK3" i="7"/>
  <c r="WCL3" i="7"/>
  <c r="WCM3" i="7"/>
  <c r="WCN3" i="7"/>
  <c r="WCO3" i="7"/>
  <c r="WCP3" i="7"/>
  <c r="WCQ3" i="7"/>
  <c r="WCR3" i="7"/>
  <c r="WCS3" i="7"/>
  <c r="WCT3" i="7"/>
  <c r="WCU3" i="7"/>
  <c r="WCV3" i="7"/>
  <c r="WCW3" i="7"/>
  <c r="WCX3" i="7"/>
  <c r="WCY3" i="7"/>
  <c r="WCZ3" i="7"/>
  <c r="WDA3" i="7"/>
  <c r="WDB3" i="7"/>
  <c r="WDC3" i="7"/>
  <c r="WDD3" i="7"/>
  <c r="WDE3" i="7"/>
  <c r="WDF3" i="7"/>
  <c r="WDG3" i="7"/>
  <c r="WDH3" i="7"/>
  <c r="WDI3" i="7"/>
  <c r="WDJ3" i="7"/>
  <c r="WDK3" i="7"/>
  <c r="WDL3" i="7"/>
  <c r="WDM3" i="7"/>
  <c r="WDN3" i="7"/>
  <c r="WDO3" i="7"/>
  <c r="WDP3" i="7"/>
  <c r="WDQ3" i="7"/>
  <c r="WDR3" i="7"/>
  <c r="WDS3" i="7"/>
  <c r="WDT3" i="7"/>
  <c r="WDU3" i="7"/>
  <c r="WDV3" i="7"/>
  <c r="WDW3" i="7"/>
  <c r="WDX3" i="7"/>
  <c r="WDY3" i="7"/>
  <c r="WDZ3" i="7"/>
  <c r="WEA3" i="7"/>
  <c r="WEB3" i="7"/>
  <c r="WEC3" i="7"/>
  <c r="WED3" i="7"/>
  <c r="WEE3" i="7"/>
  <c r="WEF3" i="7"/>
  <c r="WEG3" i="7"/>
  <c r="WEH3" i="7"/>
  <c r="WEI3" i="7"/>
  <c r="WEJ3" i="7"/>
  <c r="WEK3" i="7"/>
  <c r="WEL3" i="7"/>
  <c r="WEM3" i="7"/>
  <c r="WEN3" i="7"/>
  <c r="WEO3" i="7"/>
  <c r="WEP3" i="7"/>
  <c r="WEQ3" i="7"/>
  <c r="WER3" i="7"/>
  <c r="WES3" i="7"/>
  <c r="WET3" i="7"/>
  <c r="WEU3" i="7"/>
  <c r="WEV3" i="7"/>
  <c r="WEW3" i="7"/>
  <c r="WEX3" i="7"/>
  <c r="WEY3" i="7"/>
  <c r="WEZ3" i="7"/>
  <c r="WFA3" i="7"/>
  <c r="WFB3" i="7"/>
  <c r="WFC3" i="7"/>
  <c r="WFD3" i="7"/>
  <c r="WFE3" i="7"/>
  <c r="WFF3" i="7"/>
  <c r="WFG3" i="7"/>
  <c r="WFH3" i="7"/>
  <c r="WFI3" i="7"/>
  <c r="WFJ3" i="7"/>
  <c r="WFK3" i="7"/>
  <c r="WFL3" i="7"/>
  <c r="WFM3" i="7"/>
  <c r="WFN3" i="7"/>
  <c r="WFO3" i="7"/>
  <c r="WFP3" i="7"/>
  <c r="WFQ3" i="7"/>
  <c r="WFR3" i="7"/>
  <c r="WFS3" i="7"/>
  <c r="WFT3" i="7"/>
  <c r="WFU3" i="7"/>
  <c r="WFV3" i="7"/>
  <c r="WFW3" i="7"/>
  <c r="WFX3" i="7"/>
  <c r="WFY3" i="7"/>
  <c r="WFZ3" i="7"/>
  <c r="WGA3" i="7"/>
  <c r="WGB3" i="7"/>
  <c r="WGC3" i="7"/>
  <c r="WGD3" i="7"/>
  <c r="WGE3" i="7"/>
  <c r="WGF3" i="7"/>
  <c r="WGG3" i="7"/>
  <c r="WGH3" i="7"/>
  <c r="WGI3" i="7"/>
  <c r="WGJ3" i="7"/>
  <c r="WGK3" i="7"/>
  <c r="WGL3" i="7"/>
  <c r="WGM3" i="7"/>
  <c r="WGN3" i="7"/>
  <c r="WGO3" i="7"/>
  <c r="WGP3" i="7"/>
  <c r="WGQ3" i="7"/>
  <c r="WGR3" i="7"/>
  <c r="WGS3" i="7"/>
  <c r="WGT3" i="7"/>
  <c r="WGU3" i="7"/>
  <c r="WGV3" i="7"/>
  <c r="WGW3" i="7"/>
  <c r="WGX3" i="7"/>
  <c r="WGY3" i="7"/>
  <c r="WGZ3" i="7"/>
  <c r="WHA3" i="7"/>
  <c r="WHB3" i="7"/>
  <c r="WHC3" i="7"/>
  <c r="WHD3" i="7"/>
  <c r="WHE3" i="7"/>
  <c r="WHF3" i="7"/>
  <c r="WHG3" i="7"/>
  <c r="WHH3" i="7"/>
  <c r="WHI3" i="7"/>
  <c r="WHJ3" i="7"/>
  <c r="WHK3" i="7"/>
  <c r="WHL3" i="7"/>
  <c r="WHM3" i="7"/>
  <c r="WHN3" i="7"/>
  <c r="WHO3" i="7"/>
  <c r="WHP3" i="7"/>
  <c r="WHQ3" i="7"/>
  <c r="WHR3" i="7"/>
  <c r="WHS3" i="7"/>
  <c r="WHT3" i="7"/>
  <c r="WHU3" i="7"/>
  <c r="WHV3" i="7"/>
  <c r="WHW3" i="7"/>
  <c r="WHX3" i="7"/>
  <c r="WHY3" i="7"/>
  <c r="WHZ3" i="7"/>
  <c r="WIA3" i="7"/>
  <c r="WIB3" i="7"/>
  <c r="WIC3" i="7"/>
  <c r="WID3" i="7"/>
  <c r="WIE3" i="7"/>
  <c r="WIF3" i="7"/>
  <c r="WIG3" i="7"/>
  <c r="WIH3" i="7"/>
  <c r="WII3" i="7"/>
  <c r="WIJ3" i="7"/>
  <c r="WIK3" i="7"/>
  <c r="WIL3" i="7"/>
  <c r="WIM3" i="7"/>
  <c r="WIN3" i="7"/>
  <c r="WIO3" i="7"/>
  <c r="WIP3" i="7"/>
  <c r="WIQ3" i="7"/>
  <c r="WIR3" i="7"/>
  <c r="WIS3" i="7"/>
  <c r="WIT3" i="7"/>
  <c r="WIU3" i="7"/>
  <c r="WIV3" i="7"/>
  <c r="WIW3" i="7"/>
  <c r="WIX3" i="7"/>
  <c r="WIY3" i="7"/>
  <c r="WIZ3" i="7"/>
  <c r="WJA3" i="7"/>
  <c r="WJB3" i="7"/>
  <c r="WJC3" i="7"/>
  <c r="WJD3" i="7"/>
  <c r="WJE3" i="7"/>
  <c r="WJF3" i="7"/>
  <c r="WJG3" i="7"/>
  <c r="WJH3" i="7"/>
  <c r="WJI3" i="7"/>
  <c r="WJJ3" i="7"/>
  <c r="WJK3" i="7"/>
  <c r="WJL3" i="7"/>
  <c r="WJM3" i="7"/>
  <c r="WJN3" i="7"/>
  <c r="WJO3" i="7"/>
  <c r="WJP3" i="7"/>
  <c r="WJQ3" i="7"/>
  <c r="WJR3" i="7"/>
  <c r="WJS3" i="7"/>
  <c r="WJT3" i="7"/>
  <c r="WJU3" i="7"/>
  <c r="WJV3" i="7"/>
  <c r="WJW3" i="7"/>
  <c r="WJX3" i="7"/>
  <c r="WJY3" i="7"/>
  <c r="WJZ3" i="7"/>
  <c r="WKA3" i="7"/>
  <c r="WKB3" i="7"/>
  <c r="WKC3" i="7"/>
  <c r="WKD3" i="7"/>
  <c r="WKE3" i="7"/>
  <c r="WKF3" i="7"/>
  <c r="WKG3" i="7"/>
  <c r="WKH3" i="7"/>
  <c r="WKI3" i="7"/>
  <c r="WKJ3" i="7"/>
  <c r="WKK3" i="7"/>
  <c r="WKL3" i="7"/>
  <c r="WKM3" i="7"/>
  <c r="WKN3" i="7"/>
  <c r="WKO3" i="7"/>
  <c r="WKP3" i="7"/>
  <c r="WKQ3" i="7"/>
  <c r="WKR3" i="7"/>
  <c r="WKS3" i="7"/>
  <c r="WKT3" i="7"/>
  <c r="WKU3" i="7"/>
  <c r="WKV3" i="7"/>
  <c r="WKW3" i="7"/>
  <c r="WKX3" i="7"/>
  <c r="WKY3" i="7"/>
  <c r="WKZ3" i="7"/>
  <c r="WLA3" i="7"/>
  <c r="WLB3" i="7"/>
  <c r="WLC3" i="7"/>
  <c r="WLD3" i="7"/>
  <c r="WLE3" i="7"/>
  <c r="WLF3" i="7"/>
  <c r="WLG3" i="7"/>
  <c r="WLH3" i="7"/>
  <c r="WLI3" i="7"/>
  <c r="WLJ3" i="7"/>
  <c r="WLK3" i="7"/>
  <c r="WLL3" i="7"/>
  <c r="WLM3" i="7"/>
  <c r="WLN3" i="7"/>
  <c r="WLO3" i="7"/>
  <c r="WLP3" i="7"/>
  <c r="WLQ3" i="7"/>
  <c r="WLR3" i="7"/>
  <c r="WLS3" i="7"/>
  <c r="WLT3" i="7"/>
  <c r="WLU3" i="7"/>
  <c r="WLV3" i="7"/>
  <c r="WLW3" i="7"/>
  <c r="WLX3" i="7"/>
  <c r="WLY3" i="7"/>
  <c r="WLZ3" i="7"/>
  <c r="WMA3" i="7"/>
  <c r="WMB3" i="7"/>
  <c r="WMC3" i="7"/>
  <c r="WMD3" i="7"/>
  <c r="WME3" i="7"/>
  <c r="WMF3" i="7"/>
  <c r="WMG3" i="7"/>
  <c r="WMH3" i="7"/>
  <c r="WMI3" i="7"/>
  <c r="WMJ3" i="7"/>
  <c r="WMK3" i="7"/>
  <c r="WML3" i="7"/>
  <c r="WMM3" i="7"/>
  <c r="WMN3" i="7"/>
  <c r="WMO3" i="7"/>
  <c r="WMP3" i="7"/>
  <c r="WMQ3" i="7"/>
  <c r="WMR3" i="7"/>
  <c r="WMS3" i="7"/>
  <c r="WMT3" i="7"/>
  <c r="WMU3" i="7"/>
  <c r="WMV3" i="7"/>
  <c r="WMW3" i="7"/>
  <c r="WMX3" i="7"/>
  <c r="WMY3" i="7"/>
  <c r="WMZ3" i="7"/>
  <c r="WNA3" i="7"/>
  <c r="WNB3" i="7"/>
  <c r="WNC3" i="7"/>
  <c r="WND3" i="7"/>
  <c r="WNE3" i="7"/>
  <c r="WNF3" i="7"/>
  <c r="WNG3" i="7"/>
  <c r="WNH3" i="7"/>
  <c r="WNI3" i="7"/>
  <c r="WNJ3" i="7"/>
  <c r="WNK3" i="7"/>
  <c r="WNL3" i="7"/>
  <c r="WNM3" i="7"/>
  <c r="WNN3" i="7"/>
  <c r="WNO3" i="7"/>
  <c r="WNP3" i="7"/>
  <c r="WNQ3" i="7"/>
  <c r="WNR3" i="7"/>
  <c r="WNS3" i="7"/>
  <c r="WNT3" i="7"/>
  <c r="WNU3" i="7"/>
  <c r="WNV3" i="7"/>
  <c r="WNW3" i="7"/>
  <c r="WNX3" i="7"/>
  <c r="WNY3" i="7"/>
  <c r="WNZ3" i="7"/>
  <c r="WOA3" i="7"/>
  <c r="WOB3" i="7"/>
  <c r="WOC3" i="7"/>
  <c r="WOD3" i="7"/>
  <c r="WOE3" i="7"/>
  <c r="WOF3" i="7"/>
  <c r="WOG3" i="7"/>
  <c r="WOH3" i="7"/>
  <c r="WOI3" i="7"/>
  <c r="WOJ3" i="7"/>
  <c r="WOK3" i="7"/>
  <c r="WOL3" i="7"/>
  <c r="WOM3" i="7"/>
  <c r="WON3" i="7"/>
  <c r="WOO3" i="7"/>
  <c r="WOP3" i="7"/>
  <c r="WOQ3" i="7"/>
  <c r="WOR3" i="7"/>
  <c r="WOS3" i="7"/>
  <c r="WOT3" i="7"/>
  <c r="WOU3" i="7"/>
  <c r="WOV3" i="7"/>
  <c r="WOW3" i="7"/>
  <c r="WOX3" i="7"/>
  <c r="WOY3" i="7"/>
  <c r="WOZ3" i="7"/>
  <c r="WPA3" i="7"/>
  <c r="WPB3" i="7"/>
  <c r="WPC3" i="7"/>
  <c r="WPD3" i="7"/>
  <c r="WPE3" i="7"/>
  <c r="WPF3" i="7"/>
  <c r="WPG3" i="7"/>
  <c r="WPH3" i="7"/>
  <c r="WPI3" i="7"/>
  <c r="WPJ3" i="7"/>
  <c r="WPK3" i="7"/>
  <c r="WPL3" i="7"/>
  <c r="WPM3" i="7"/>
  <c r="WPN3" i="7"/>
  <c r="WPO3" i="7"/>
  <c r="WPP3" i="7"/>
  <c r="WPQ3" i="7"/>
  <c r="WPR3" i="7"/>
  <c r="WPS3" i="7"/>
  <c r="WPT3" i="7"/>
  <c r="WPU3" i="7"/>
  <c r="WPV3" i="7"/>
  <c r="WPW3" i="7"/>
  <c r="WPX3" i="7"/>
  <c r="WPY3" i="7"/>
  <c r="WPZ3" i="7"/>
  <c r="WQA3" i="7"/>
  <c r="WQB3" i="7"/>
  <c r="WQC3" i="7"/>
  <c r="WQD3" i="7"/>
  <c r="WQE3" i="7"/>
  <c r="WQF3" i="7"/>
  <c r="WQG3" i="7"/>
  <c r="WQH3" i="7"/>
  <c r="WQI3" i="7"/>
  <c r="WQJ3" i="7"/>
  <c r="WQK3" i="7"/>
  <c r="WQL3" i="7"/>
  <c r="WQM3" i="7"/>
  <c r="WQN3" i="7"/>
  <c r="WQO3" i="7"/>
  <c r="WQP3" i="7"/>
  <c r="WQQ3" i="7"/>
  <c r="WQR3" i="7"/>
  <c r="WQS3" i="7"/>
  <c r="WQT3" i="7"/>
  <c r="WQU3" i="7"/>
  <c r="WQV3" i="7"/>
  <c r="WQW3" i="7"/>
  <c r="WQX3" i="7"/>
  <c r="WQY3" i="7"/>
  <c r="WQZ3" i="7"/>
  <c r="WRA3" i="7"/>
  <c r="WRB3" i="7"/>
  <c r="WRC3" i="7"/>
  <c r="WRD3" i="7"/>
  <c r="WRE3" i="7"/>
  <c r="WRF3" i="7"/>
  <c r="WRG3" i="7"/>
  <c r="WRH3" i="7"/>
  <c r="WRI3" i="7"/>
  <c r="WRJ3" i="7"/>
  <c r="WRK3" i="7"/>
  <c r="WRL3" i="7"/>
  <c r="WRM3" i="7"/>
  <c r="WRN3" i="7"/>
  <c r="WRO3" i="7"/>
  <c r="WRP3" i="7"/>
  <c r="WRQ3" i="7"/>
  <c r="WRR3" i="7"/>
  <c r="WRS3" i="7"/>
  <c r="WRT3" i="7"/>
  <c r="WRU3" i="7"/>
  <c r="WRV3" i="7"/>
  <c r="WRW3" i="7"/>
  <c r="WRX3" i="7"/>
  <c r="WRY3" i="7"/>
  <c r="WRZ3" i="7"/>
  <c r="WSA3" i="7"/>
  <c r="WSB3" i="7"/>
  <c r="WSC3" i="7"/>
  <c r="WSD3" i="7"/>
  <c r="WSE3" i="7"/>
  <c r="WSF3" i="7"/>
  <c r="WSG3" i="7"/>
  <c r="WSH3" i="7"/>
  <c r="WSI3" i="7"/>
  <c r="WSJ3" i="7"/>
  <c r="WSK3" i="7"/>
  <c r="WSL3" i="7"/>
  <c r="WSM3" i="7"/>
  <c r="WSN3" i="7"/>
  <c r="WSO3" i="7"/>
  <c r="WSP3" i="7"/>
  <c r="WSQ3" i="7"/>
  <c r="WSR3" i="7"/>
  <c r="WSS3" i="7"/>
  <c r="WST3" i="7"/>
  <c r="WSU3" i="7"/>
  <c r="WSV3" i="7"/>
  <c r="WSW3" i="7"/>
  <c r="WSX3" i="7"/>
  <c r="WSY3" i="7"/>
  <c r="WSZ3" i="7"/>
  <c r="WTA3" i="7"/>
  <c r="WTB3" i="7"/>
  <c r="WTC3" i="7"/>
  <c r="WTD3" i="7"/>
  <c r="WTE3" i="7"/>
  <c r="WTF3" i="7"/>
  <c r="WTG3" i="7"/>
  <c r="WTH3" i="7"/>
  <c r="WTI3" i="7"/>
  <c r="WTJ3" i="7"/>
  <c r="WTK3" i="7"/>
  <c r="WTL3" i="7"/>
  <c r="WTM3" i="7"/>
  <c r="WTN3" i="7"/>
  <c r="WTO3" i="7"/>
  <c r="WTP3" i="7"/>
  <c r="WTQ3" i="7"/>
  <c r="WTR3" i="7"/>
  <c r="WTS3" i="7"/>
  <c r="WTT3" i="7"/>
  <c r="WTU3" i="7"/>
  <c r="WTV3" i="7"/>
  <c r="WTW3" i="7"/>
  <c r="WTX3" i="7"/>
  <c r="WTY3" i="7"/>
  <c r="WTZ3" i="7"/>
  <c r="WUA3" i="7"/>
  <c r="WUB3" i="7"/>
  <c r="WUC3" i="7"/>
  <c r="WUD3" i="7"/>
  <c r="WUE3" i="7"/>
  <c r="WUF3" i="7"/>
  <c r="WUG3" i="7"/>
  <c r="WUH3" i="7"/>
  <c r="WUI3" i="7"/>
  <c r="WUJ3" i="7"/>
  <c r="WUK3" i="7"/>
  <c r="WUL3" i="7"/>
  <c r="WUM3" i="7"/>
  <c r="WUN3" i="7"/>
  <c r="WUO3" i="7"/>
  <c r="WUP3" i="7"/>
  <c r="WUQ3" i="7"/>
  <c r="WUR3" i="7"/>
  <c r="WUS3" i="7"/>
  <c r="WUT3" i="7"/>
  <c r="WUU3" i="7"/>
  <c r="WUV3" i="7"/>
  <c r="WUW3" i="7"/>
  <c r="WUX3" i="7"/>
  <c r="WUY3" i="7"/>
  <c r="WUZ3" i="7"/>
  <c r="WVA3" i="7"/>
  <c r="WVB3" i="7"/>
  <c r="WVC3" i="7"/>
  <c r="WVD3" i="7"/>
  <c r="WVE3" i="7"/>
  <c r="WVF3" i="7"/>
  <c r="WVG3" i="7"/>
  <c r="WVH3" i="7"/>
  <c r="WVI3" i="7"/>
  <c r="WVJ3" i="7"/>
  <c r="WVK3" i="7"/>
  <c r="WVL3" i="7"/>
  <c r="WVM3" i="7"/>
  <c r="WVN3" i="7"/>
  <c r="WVO3" i="7"/>
  <c r="WVP3" i="7"/>
  <c r="WVQ3" i="7"/>
  <c r="WVR3" i="7"/>
  <c r="WVS3" i="7"/>
  <c r="WVT3" i="7"/>
  <c r="WVU3" i="7"/>
  <c r="WVV3" i="7"/>
  <c r="WVW3" i="7"/>
  <c r="WVX3" i="7"/>
  <c r="WVY3" i="7"/>
  <c r="WVZ3" i="7"/>
  <c r="WWA3" i="7"/>
  <c r="WWB3" i="7"/>
  <c r="WWC3" i="7"/>
  <c r="WWD3" i="7"/>
  <c r="WWE3" i="7"/>
  <c r="WWF3" i="7"/>
  <c r="WWG3" i="7"/>
  <c r="WWH3" i="7"/>
  <c r="WWI3" i="7"/>
  <c r="WWJ3" i="7"/>
  <c r="WWK3" i="7"/>
  <c r="WWL3" i="7"/>
  <c r="WWM3" i="7"/>
  <c r="WWN3" i="7"/>
  <c r="WWO3" i="7"/>
  <c r="WWP3" i="7"/>
  <c r="WWQ3" i="7"/>
  <c r="WWR3" i="7"/>
  <c r="WWS3" i="7"/>
  <c r="WWT3" i="7"/>
  <c r="WWU3" i="7"/>
  <c r="WWV3" i="7"/>
  <c r="WWW3" i="7"/>
  <c r="WWX3" i="7"/>
  <c r="WWY3" i="7"/>
  <c r="WWZ3" i="7"/>
  <c r="WXA3" i="7"/>
  <c r="WXB3" i="7"/>
  <c r="WXC3" i="7"/>
  <c r="WXD3" i="7"/>
  <c r="WXE3" i="7"/>
  <c r="WXF3" i="7"/>
  <c r="WXG3" i="7"/>
  <c r="WXH3" i="7"/>
  <c r="WXI3" i="7"/>
  <c r="WXJ3" i="7"/>
  <c r="WXK3" i="7"/>
  <c r="WXL3" i="7"/>
  <c r="WXM3" i="7"/>
  <c r="WXN3" i="7"/>
  <c r="WXO3" i="7"/>
  <c r="WXP3" i="7"/>
  <c r="WXQ3" i="7"/>
  <c r="WXR3" i="7"/>
  <c r="WXS3" i="7"/>
  <c r="WXT3" i="7"/>
  <c r="WXU3" i="7"/>
  <c r="WXV3" i="7"/>
  <c r="WXW3" i="7"/>
  <c r="WXX3" i="7"/>
  <c r="WXY3" i="7"/>
  <c r="WXZ3" i="7"/>
  <c r="WYA3" i="7"/>
  <c r="WYB3" i="7"/>
  <c r="WYC3" i="7"/>
  <c r="WYD3" i="7"/>
  <c r="WYE3" i="7"/>
  <c r="WYF3" i="7"/>
  <c r="WYG3" i="7"/>
  <c r="WYH3" i="7"/>
  <c r="WYI3" i="7"/>
  <c r="WYJ3" i="7"/>
  <c r="WYK3" i="7"/>
  <c r="WYL3" i="7"/>
  <c r="WYM3" i="7"/>
  <c r="WYN3" i="7"/>
  <c r="WYO3" i="7"/>
  <c r="WYP3" i="7"/>
  <c r="WYQ3" i="7"/>
  <c r="WYR3" i="7"/>
  <c r="WYS3" i="7"/>
  <c r="WYT3" i="7"/>
  <c r="WYU3" i="7"/>
  <c r="WYV3" i="7"/>
  <c r="WYW3" i="7"/>
  <c r="WYX3" i="7"/>
  <c r="WYY3" i="7"/>
  <c r="WYZ3" i="7"/>
  <c r="WZA3" i="7"/>
  <c r="WZB3" i="7"/>
  <c r="WZC3" i="7"/>
  <c r="WZD3" i="7"/>
  <c r="WZE3" i="7"/>
  <c r="WZF3" i="7"/>
  <c r="WZG3" i="7"/>
  <c r="WZH3" i="7"/>
  <c r="WZI3" i="7"/>
  <c r="WZJ3" i="7"/>
  <c r="WZK3" i="7"/>
  <c r="WZL3" i="7"/>
  <c r="WZM3" i="7"/>
  <c r="WZN3" i="7"/>
  <c r="WZO3" i="7"/>
  <c r="WZP3" i="7"/>
  <c r="WZQ3" i="7"/>
  <c r="WZR3" i="7"/>
  <c r="WZS3" i="7"/>
  <c r="WZT3" i="7"/>
  <c r="WZU3" i="7"/>
  <c r="WZV3" i="7"/>
  <c r="WZW3" i="7"/>
  <c r="WZX3" i="7"/>
  <c r="WZY3" i="7"/>
  <c r="WZZ3" i="7"/>
  <c r="XAA3" i="7"/>
  <c r="XAB3" i="7"/>
  <c r="XAC3" i="7"/>
  <c r="XAD3" i="7"/>
  <c r="XAE3" i="7"/>
  <c r="XAF3" i="7"/>
  <c r="XAG3" i="7"/>
  <c r="XAH3" i="7"/>
  <c r="XAI3" i="7"/>
  <c r="XAJ3" i="7"/>
  <c r="XAK3" i="7"/>
  <c r="XAL3" i="7"/>
  <c r="XAM3" i="7"/>
  <c r="XAN3" i="7"/>
  <c r="XAO3" i="7"/>
  <c r="XAP3" i="7"/>
  <c r="XAQ3" i="7"/>
  <c r="XAR3" i="7"/>
  <c r="XAS3" i="7"/>
  <c r="XAT3" i="7"/>
  <c r="XAU3" i="7"/>
  <c r="XAV3" i="7"/>
  <c r="XAW3" i="7"/>
  <c r="XAX3" i="7"/>
  <c r="XAY3" i="7"/>
  <c r="XAZ3" i="7"/>
  <c r="XBA3" i="7"/>
  <c r="XBB3" i="7"/>
  <c r="XBC3" i="7"/>
  <c r="XBD3" i="7"/>
  <c r="XBE3" i="7"/>
  <c r="XBF3" i="7"/>
  <c r="XBG3" i="7"/>
  <c r="XBH3" i="7"/>
  <c r="XBI3" i="7"/>
  <c r="XBJ3" i="7"/>
  <c r="XBK3" i="7"/>
  <c r="XBL3" i="7"/>
  <c r="XBM3" i="7"/>
  <c r="XBN3" i="7"/>
  <c r="XBO3" i="7"/>
  <c r="XBP3" i="7"/>
  <c r="XBQ3" i="7"/>
  <c r="XBR3" i="7"/>
  <c r="XBS3" i="7"/>
  <c r="XBT3" i="7"/>
  <c r="XBU3" i="7"/>
  <c r="XBV3" i="7"/>
  <c r="XBW3" i="7"/>
  <c r="XBX3" i="7"/>
  <c r="XBY3" i="7"/>
  <c r="XBZ3" i="7"/>
  <c r="XCA3" i="7"/>
  <c r="XCB3" i="7"/>
  <c r="XCC3" i="7"/>
  <c r="XCD3" i="7"/>
  <c r="XCE3" i="7"/>
  <c r="XCF3" i="7"/>
  <c r="XCG3" i="7"/>
  <c r="XCH3" i="7"/>
  <c r="XCI3" i="7"/>
  <c r="XCJ3" i="7"/>
  <c r="XCK3" i="7"/>
  <c r="XCL3" i="7"/>
  <c r="XCM3" i="7"/>
  <c r="XCN3" i="7"/>
  <c r="XCO3" i="7"/>
  <c r="XCP3" i="7"/>
  <c r="XCQ3" i="7"/>
  <c r="XCR3" i="7"/>
  <c r="XCS3" i="7"/>
  <c r="XCT3" i="7"/>
  <c r="XCU3" i="7"/>
  <c r="XCV3" i="7"/>
  <c r="XCW3" i="7"/>
  <c r="XCX3" i="7"/>
  <c r="XCY3" i="7"/>
  <c r="XCZ3" i="7"/>
  <c r="XDA3" i="7"/>
  <c r="XDB3" i="7"/>
  <c r="XDC3" i="7"/>
  <c r="XDD3" i="7"/>
  <c r="XDE3" i="7"/>
  <c r="XDF3" i="7"/>
  <c r="XDG3" i="7"/>
  <c r="XDH3" i="7"/>
  <c r="XDI3" i="7"/>
  <c r="XDJ3" i="7"/>
  <c r="XDK3" i="7"/>
  <c r="XDL3" i="7"/>
  <c r="XDM3" i="7"/>
  <c r="XDN3" i="7"/>
  <c r="XDO3" i="7"/>
  <c r="XDP3" i="7"/>
  <c r="XDQ3" i="7"/>
  <c r="XDR3" i="7"/>
  <c r="XDS3" i="7"/>
  <c r="XDT3" i="7"/>
  <c r="XDU3" i="7"/>
  <c r="XDV3" i="7"/>
  <c r="XDW3" i="7"/>
  <c r="XDX3" i="7"/>
  <c r="XDY3" i="7"/>
  <c r="XDZ3" i="7"/>
  <c r="XEA3" i="7"/>
  <c r="XEB3" i="7"/>
  <c r="XEC3" i="7"/>
  <c r="XED3" i="7"/>
  <c r="XEE3" i="7"/>
  <c r="XEF3" i="7"/>
  <c r="XEG3" i="7"/>
  <c r="XEH3" i="7"/>
  <c r="XEI3" i="7"/>
  <c r="XEJ3" i="7"/>
  <c r="XEK3" i="7"/>
  <c r="PFF1" i="7"/>
  <c r="PFG1" i="7"/>
  <c r="PFH1" i="7"/>
  <c r="PFI1" i="7"/>
  <c r="PFJ1" i="7"/>
  <c r="PFK1" i="7"/>
  <c r="PFL1" i="7"/>
  <c r="PFM1" i="7"/>
  <c r="PFN1" i="7"/>
  <c r="PFO1" i="7"/>
  <c r="PFP1" i="7"/>
  <c r="PFQ1" i="7"/>
  <c r="PFR1" i="7"/>
  <c r="PFS1" i="7"/>
  <c r="PFT1" i="7"/>
  <c r="PFU1" i="7"/>
  <c r="PFV1" i="7"/>
  <c r="PFW1" i="7"/>
  <c r="PFX1" i="7"/>
  <c r="PFY1" i="7"/>
  <c r="PFZ1" i="7"/>
  <c r="PGA1" i="7"/>
  <c r="PGB1" i="7"/>
  <c r="PGC1" i="7"/>
  <c r="PGD1" i="7"/>
  <c r="PGE1" i="7"/>
  <c r="PGF1" i="7"/>
  <c r="PGG1" i="7"/>
  <c r="PGH1" i="7"/>
  <c r="PGI1" i="7"/>
  <c r="PGJ1" i="7"/>
  <c r="PGK1" i="7"/>
  <c r="PGL1" i="7"/>
  <c r="PGM1" i="7"/>
  <c r="PGN1" i="7"/>
  <c r="PGO1" i="7"/>
  <c r="PGP1" i="7"/>
  <c r="PGQ1" i="7"/>
  <c r="PGR1" i="7"/>
  <c r="PGS1" i="7"/>
  <c r="PGT1" i="7"/>
  <c r="PGU1" i="7"/>
  <c r="PGV1" i="7"/>
  <c r="PGW1" i="7"/>
  <c r="PGX1" i="7"/>
  <c r="PGY1" i="7"/>
  <c r="PGZ1" i="7"/>
  <c r="PHA1" i="7"/>
  <c r="PHB1" i="7"/>
  <c r="PHC1" i="7"/>
  <c r="PHD1" i="7"/>
  <c r="PHE1" i="7"/>
  <c r="PHF1" i="7"/>
  <c r="PHG1" i="7"/>
  <c r="PHH1" i="7"/>
  <c r="PHI1" i="7"/>
  <c r="PHJ1" i="7"/>
  <c r="PHK1" i="7"/>
  <c r="PHL1" i="7"/>
  <c r="PHM1" i="7"/>
  <c r="PHN1" i="7"/>
  <c r="PHO1" i="7"/>
  <c r="PHP1" i="7"/>
  <c r="PHQ1" i="7"/>
  <c r="PHR1" i="7"/>
  <c r="PHS1" i="7"/>
  <c r="PHT1" i="7"/>
  <c r="PHU1" i="7"/>
  <c r="PHV1" i="7"/>
  <c r="PHW1" i="7"/>
  <c r="PHX1" i="7"/>
  <c r="PHY1" i="7"/>
  <c r="PHZ1" i="7"/>
  <c r="PIA1" i="7"/>
  <c r="PIB1" i="7"/>
  <c r="PIC1" i="7"/>
  <c r="PID1" i="7"/>
  <c r="PIE1" i="7"/>
  <c r="PIF1" i="7"/>
  <c r="PIG1" i="7"/>
  <c r="PIH1" i="7"/>
  <c r="PII1" i="7"/>
  <c r="PIJ1" i="7"/>
  <c r="PIK1" i="7"/>
  <c r="PIL1" i="7"/>
  <c r="PIM1" i="7"/>
  <c r="PIN1" i="7"/>
  <c r="PIO1" i="7"/>
  <c r="PIP1" i="7"/>
  <c r="PIQ1" i="7"/>
  <c r="PIR1" i="7"/>
  <c r="PIS1" i="7"/>
  <c r="PIT1" i="7"/>
  <c r="PIU1" i="7"/>
  <c r="PIV1" i="7"/>
  <c r="PIW1" i="7"/>
  <c r="PIX1" i="7"/>
  <c r="PIY1" i="7"/>
  <c r="PIZ1" i="7"/>
  <c r="PJA1" i="7"/>
  <c r="PJB1" i="7"/>
  <c r="PJC1" i="7"/>
  <c r="PJD1" i="7"/>
  <c r="PJE1" i="7"/>
  <c r="PJF1" i="7"/>
  <c r="PJG1" i="7"/>
  <c r="PJH1" i="7"/>
  <c r="PJI1" i="7"/>
  <c r="PJJ1" i="7"/>
  <c r="PJK1" i="7"/>
  <c r="PJL1" i="7"/>
  <c r="PJM1" i="7"/>
  <c r="PJN1" i="7"/>
  <c r="PJO1" i="7"/>
  <c r="PJP1" i="7"/>
  <c r="PJQ1" i="7"/>
  <c r="PJR1" i="7"/>
  <c r="PJS1" i="7"/>
  <c r="PJT1" i="7"/>
  <c r="PJU1" i="7"/>
  <c r="PJV1" i="7"/>
  <c r="PJW1" i="7"/>
  <c r="PJX1" i="7"/>
  <c r="PJY1" i="7"/>
  <c r="PJZ1" i="7"/>
  <c r="PKA1" i="7"/>
  <c r="PKB1" i="7"/>
  <c r="PKC1" i="7"/>
  <c r="PKD1" i="7"/>
  <c r="PKE1" i="7"/>
  <c r="PKF1" i="7"/>
  <c r="PKG1" i="7"/>
  <c r="PKH1" i="7"/>
  <c r="PKI1" i="7"/>
  <c r="PKJ1" i="7"/>
  <c r="PKK1" i="7"/>
  <c r="PKL1" i="7"/>
  <c r="PKM1" i="7"/>
  <c r="PKN1" i="7"/>
  <c r="PKO1" i="7"/>
  <c r="PKP1" i="7"/>
  <c r="PKQ1" i="7"/>
  <c r="PKR1" i="7"/>
  <c r="PKS1" i="7"/>
  <c r="PKT1" i="7"/>
  <c r="PKU1" i="7"/>
  <c r="PKV1" i="7"/>
  <c r="PKW1" i="7"/>
  <c r="PKX1" i="7"/>
  <c r="PKY1" i="7"/>
  <c r="PKZ1" i="7"/>
  <c r="PLA1" i="7"/>
  <c r="PLB1" i="7"/>
  <c r="PLC1" i="7"/>
  <c r="PLD1" i="7"/>
  <c r="PLE1" i="7"/>
  <c r="PLF1" i="7"/>
  <c r="PLG1" i="7"/>
  <c r="PLH1" i="7"/>
  <c r="PLI1" i="7"/>
  <c r="PLJ1" i="7"/>
  <c r="PLK1" i="7"/>
  <c r="PLL1" i="7"/>
  <c r="PLM1" i="7"/>
  <c r="PLN1" i="7"/>
  <c r="PLO1" i="7"/>
  <c r="PLP1" i="7"/>
  <c r="PLQ1" i="7"/>
  <c r="PLR1" i="7"/>
  <c r="PLS1" i="7"/>
  <c r="PLT1" i="7"/>
  <c r="PLU1" i="7"/>
  <c r="PLV1" i="7"/>
  <c r="PLW1" i="7"/>
  <c r="PLX1" i="7"/>
  <c r="PLY1" i="7"/>
  <c r="PLZ1" i="7"/>
  <c r="PMA1" i="7"/>
  <c r="PMB1" i="7"/>
  <c r="PMC1" i="7"/>
  <c r="PMD1" i="7"/>
  <c r="PME1" i="7"/>
  <c r="PMF1" i="7"/>
  <c r="PMG1" i="7"/>
  <c r="PMH1" i="7"/>
  <c r="PMI1" i="7"/>
  <c r="PMJ1" i="7"/>
  <c r="PMK1" i="7"/>
  <c r="PML1" i="7"/>
  <c r="PMM1" i="7"/>
  <c r="PMN1" i="7"/>
  <c r="PMO1" i="7"/>
  <c r="PMP1" i="7"/>
  <c r="PMQ1" i="7"/>
  <c r="PMR1" i="7"/>
  <c r="PMS1" i="7"/>
  <c r="PMT1" i="7"/>
  <c r="PMU1" i="7"/>
  <c r="PMV1" i="7"/>
  <c r="PMW1" i="7"/>
  <c r="PMX1" i="7"/>
  <c r="PMY1" i="7"/>
  <c r="PMZ1" i="7"/>
  <c r="PNA1" i="7"/>
  <c r="PNB1" i="7"/>
  <c r="PNC1" i="7"/>
  <c r="PND1" i="7"/>
  <c r="PNE1" i="7"/>
  <c r="PNF1" i="7"/>
  <c r="PNG1" i="7"/>
  <c r="PNH1" i="7"/>
  <c r="PNI1" i="7"/>
  <c r="PNJ1" i="7"/>
  <c r="PNK1" i="7"/>
  <c r="PNL1" i="7"/>
  <c r="PNM1" i="7"/>
  <c r="PNN1" i="7"/>
  <c r="PNO1" i="7"/>
  <c r="PNP1" i="7"/>
  <c r="PNQ1" i="7"/>
  <c r="PNR1" i="7"/>
  <c r="PNS1" i="7"/>
  <c r="PNT1" i="7"/>
  <c r="PNU1" i="7"/>
  <c r="PNV1" i="7"/>
  <c r="PNW1" i="7"/>
  <c r="PNX1" i="7"/>
  <c r="PNY1" i="7"/>
  <c r="PNZ1" i="7"/>
  <c r="POA1" i="7"/>
  <c r="POB1" i="7"/>
  <c r="POC1" i="7"/>
  <c r="POD1" i="7"/>
  <c r="POE1" i="7"/>
  <c r="POF1" i="7"/>
  <c r="POG1" i="7"/>
  <c r="POH1" i="7"/>
  <c r="POI1" i="7"/>
  <c r="POJ1" i="7"/>
  <c r="POK1" i="7"/>
  <c r="POL1" i="7"/>
  <c r="POM1" i="7"/>
  <c r="PON1" i="7"/>
  <c r="POO1" i="7"/>
  <c r="POP1" i="7"/>
  <c r="POQ1" i="7"/>
  <c r="POR1" i="7"/>
  <c r="POS1" i="7"/>
  <c r="POT1" i="7"/>
  <c r="POU1" i="7"/>
  <c r="POV1" i="7"/>
  <c r="POW1" i="7"/>
  <c r="POX1" i="7"/>
  <c r="POY1" i="7"/>
  <c r="POZ1" i="7"/>
  <c r="PPA1" i="7"/>
  <c r="PPB1" i="7"/>
  <c r="PPC1" i="7"/>
  <c r="PPD1" i="7"/>
  <c r="PPE1" i="7"/>
  <c r="PPF1" i="7"/>
  <c r="PPG1" i="7"/>
  <c r="PPH1" i="7"/>
  <c r="PPI1" i="7"/>
  <c r="PPJ1" i="7"/>
  <c r="PPK1" i="7"/>
  <c r="PPL1" i="7"/>
  <c r="PPM1" i="7"/>
  <c r="PPN1" i="7"/>
  <c r="PPO1" i="7"/>
  <c r="PPP1" i="7"/>
  <c r="PPQ1" i="7"/>
  <c r="PPR1" i="7"/>
  <c r="PPS1" i="7"/>
  <c r="PPT1" i="7"/>
  <c r="PPU1" i="7"/>
  <c r="PPV1" i="7"/>
  <c r="PPW1" i="7"/>
  <c r="PPX1" i="7"/>
  <c r="PPY1" i="7"/>
  <c r="PPZ1" i="7"/>
  <c r="PQA1" i="7"/>
  <c r="PQB1" i="7"/>
  <c r="PQC1" i="7"/>
  <c r="PQD1" i="7"/>
  <c r="PQE1" i="7"/>
  <c r="PQF1" i="7"/>
  <c r="PQG1" i="7"/>
  <c r="PQH1" i="7"/>
  <c r="PQI1" i="7"/>
  <c r="PQJ1" i="7"/>
  <c r="PQK1" i="7"/>
  <c r="PQL1" i="7"/>
  <c r="PQM1" i="7"/>
  <c r="PQN1" i="7"/>
  <c r="PQO1" i="7"/>
  <c r="PQP1" i="7"/>
  <c r="PQQ1" i="7"/>
  <c r="PQR1" i="7"/>
  <c r="PQS1" i="7"/>
  <c r="PQT1" i="7"/>
  <c r="PQU1" i="7"/>
  <c r="PQV1" i="7"/>
  <c r="PQW1" i="7"/>
  <c r="PQX1" i="7"/>
  <c r="PQY1" i="7"/>
  <c r="PQZ1" i="7"/>
  <c r="PRA1" i="7"/>
  <c r="PRB1" i="7"/>
  <c r="PRC1" i="7"/>
  <c r="PRD1" i="7"/>
  <c r="PRE1" i="7"/>
  <c r="PRF1" i="7"/>
  <c r="PRG1" i="7"/>
  <c r="PRH1" i="7"/>
  <c r="PRI1" i="7"/>
  <c r="PRJ1" i="7"/>
  <c r="PRK1" i="7"/>
  <c r="PRL1" i="7"/>
  <c r="PRM1" i="7"/>
  <c r="PRN1" i="7"/>
  <c r="PRO1" i="7"/>
  <c r="PRP1" i="7"/>
  <c r="PRQ1" i="7"/>
  <c r="PRR1" i="7"/>
  <c r="PRS1" i="7"/>
  <c r="PRT1" i="7"/>
  <c r="PRU1" i="7"/>
  <c r="PRV1" i="7"/>
  <c r="PRW1" i="7"/>
  <c r="PRX1" i="7"/>
  <c r="PRY1" i="7"/>
  <c r="PRZ1" i="7"/>
  <c r="PSA1" i="7"/>
  <c r="PSB1" i="7"/>
  <c r="PSC1" i="7"/>
  <c r="PSD1" i="7"/>
  <c r="PSE1" i="7"/>
  <c r="PSF1" i="7"/>
  <c r="PSG1" i="7"/>
  <c r="PSH1" i="7"/>
  <c r="PSI1" i="7"/>
  <c r="PSJ1" i="7"/>
  <c r="PSK1" i="7"/>
  <c r="PSL1" i="7"/>
  <c r="PSM1" i="7"/>
  <c r="PSN1" i="7"/>
  <c r="PSO1" i="7"/>
  <c r="PSP1" i="7"/>
  <c r="PSQ1" i="7"/>
  <c r="PSR1" i="7"/>
  <c r="PSS1" i="7"/>
  <c r="PST1" i="7"/>
  <c r="PSU1" i="7"/>
  <c r="PSV1" i="7"/>
  <c r="PSW1" i="7"/>
  <c r="PSX1" i="7"/>
  <c r="PSY1" i="7"/>
  <c r="PSZ1" i="7"/>
  <c r="PTA1" i="7"/>
  <c r="PTB1" i="7"/>
  <c r="PTC1" i="7"/>
  <c r="PTD1" i="7"/>
  <c r="PTE1" i="7"/>
  <c r="PTF1" i="7"/>
  <c r="PTG1" i="7"/>
  <c r="PTH1" i="7"/>
  <c r="PTI1" i="7"/>
  <c r="PTJ1" i="7"/>
  <c r="PTK1" i="7"/>
  <c r="PTL1" i="7"/>
  <c r="PTM1" i="7"/>
  <c r="PTN1" i="7"/>
  <c r="PTO1" i="7"/>
  <c r="PTP1" i="7"/>
  <c r="PTQ1" i="7"/>
  <c r="PTR1" i="7"/>
  <c r="PTS1" i="7"/>
  <c r="PTT1" i="7"/>
  <c r="PTU1" i="7"/>
  <c r="PTV1" i="7"/>
  <c r="PTW1" i="7"/>
  <c r="PTX1" i="7"/>
  <c r="PTY1" i="7"/>
  <c r="PTZ1" i="7"/>
  <c r="PUA1" i="7"/>
  <c r="PUB1" i="7"/>
  <c r="PUC1" i="7"/>
  <c r="PUD1" i="7"/>
  <c r="PUE1" i="7"/>
  <c r="PUF1" i="7"/>
  <c r="PUG1" i="7"/>
  <c r="PUH1" i="7"/>
  <c r="PUI1" i="7"/>
  <c r="PUJ1" i="7"/>
  <c r="PUK1" i="7"/>
  <c r="PUL1" i="7"/>
  <c r="PUM1" i="7"/>
  <c r="PUN1" i="7"/>
  <c r="PUO1" i="7"/>
  <c r="PUP1" i="7"/>
  <c r="PUQ1" i="7"/>
  <c r="PUR1" i="7"/>
  <c r="PUS1" i="7"/>
  <c r="PUT1" i="7"/>
  <c r="PUU1" i="7"/>
  <c r="PUV1" i="7"/>
  <c r="PUW1" i="7"/>
  <c r="PUX1" i="7"/>
  <c r="PUY1" i="7"/>
  <c r="PUZ1" i="7"/>
  <c r="PVA1" i="7"/>
  <c r="PVB1" i="7"/>
  <c r="PVC1" i="7"/>
  <c r="PVD1" i="7"/>
  <c r="PVE1" i="7"/>
  <c r="PVF1" i="7"/>
  <c r="PVG1" i="7"/>
  <c r="PVH1" i="7"/>
  <c r="PVI1" i="7"/>
  <c r="PVJ1" i="7"/>
  <c r="PVK1" i="7"/>
  <c r="PVL1" i="7"/>
  <c r="PVM1" i="7"/>
  <c r="PVN1" i="7"/>
  <c r="PVO1" i="7"/>
  <c r="PVP1" i="7"/>
  <c r="PVQ1" i="7"/>
  <c r="PVR1" i="7"/>
  <c r="PVS1" i="7"/>
  <c r="PVT1" i="7"/>
  <c r="PVU1" i="7"/>
  <c r="PVV1" i="7"/>
  <c r="PVW1" i="7"/>
  <c r="PVX1" i="7"/>
  <c r="PVY1" i="7"/>
  <c r="PVZ1" i="7"/>
  <c r="PWA1" i="7"/>
  <c r="PWB1" i="7"/>
  <c r="PWC1" i="7"/>
  <c r="PWD1" i="7"/>
  <c r="PWE1" i="7"/>
  <c r="PWF1" i="7"/>
  <c r="PWG1" i="7"/>
  <c r="PWH1" i="7"/>
  <c r="PWI1" i="7"/>
  <c r="PWJ1" i="7"/>
  <c r="PWK1" i="7"/>
  <c r="PWL1" i="7"/>
  <c r="PWM1" i="7"/>
  <c r="PWN1" i="7"/>
  <c r="PWO1" i="7"/>
  <c r="PWP1" i="7"/>
  <c r="PWQ1" i="7"/>
  <c r="PWR1" i="7"/>
  <c r="PWS1" i="7"/>
  <c r="PWT1" i="7"/>
  <c r="PWU1" i="7"/>
  <c r="PWV1" i="7"/>
  <c r="PWW1" i="7"/>
  <c r="PWX1" i="7"/>
  <c r="PWY1" i="7"/>
  <c r="PWZ1" i="7"/>
  <c r="PXA1" i="7"/>
  <c r="PXB1" i="7"/>
  <c r="PXC1" i="7"/>
  <c r="PXD1" i="7"/>
  <c r="PXE1" i="7"/>
  <c r="PXF1" i="7"/>
  <c r="PXG1" i="7"/>
  <c r="PXH1" i="7"/>
  <c r="PXI1" i="7"/>
  <c r="PXJ1" i="7"/>
  <c r="PXK1" i="7"/>
  <c r="PXL1" i="7"/>
  <c r="PXM1" i="7"/>
  <c r="PXN1" i="7"/>
  <c r="PXO1" i="7"/>
  <c r="PXP1" i="7"/>
  <c r="PXQ1" i="7"/>
  <c r="PXR1" i="7"/>
  <c r="PXS1" i="7"/>
  <c r="PXT1" i="7"/>
  <c r="PXU1" i="7"/>
  <c r="PXV1" i="7"/>
  <c r="PXW1" i="7"/>
  <c r="PXX1" i="7"/>
  <c r="PXY1" i="7"/>
  <c r="PXZ1" i="7"/>
  <c r="PYA1" i="7"/>
  <c r="PYB1" i="7"/>
  <c r="PYC1" i="7"/>
  <c r="PYD1" i="7"/>
  <c r="PYE1" i="7"/>
  <c r="PYF1" i="7"/>
  <c r="PYG1" i="7"/>
  <c r="PYH1" i="7"/>
  <c r="PYI1" i="7"/>
  <c r="PYJ1" i="7"/>
  <c r="PYK1" i="7"/>
  <c r="PYL1" i="7"/>
  <c r="PYM1" i="7"/>
  <c r="PYN1" i="7"/>
  <c r="PYO1" i="7"/>
  <c r="PYP1" i="7"/>
  <c r="PYQ1" i="7"/>
  <c r="PYR1" i="7"/>
  <c r="PYS1" i="7"/>
  <c r="PYT1" i="7"/>
  <c r="PYU1" i="7"/>
  <c r="PYV1" i="7"/>
  <c r="PYW1" i="7"/>
  <c r="PYX1" i="7"/>
  <c r="PYY1" i="7"/>
  <c r="PYZ1" i="7"/>
  <c r="PZA1" i="7"/>
  <c r="PZB1" i="7"/>
  <c r="PZC1" i="7"/>
  <c r="PZD1" i="7"/>
  <c r="PZE1" i="7"/>
  <c r="PZF1" i="7"/>
  <c r="PZG1" i="7"/>
  <c r="PZH1" i="7"/>
  <c r="PZI1" i="7"/>
  <c r="PZJ1" i="7"/>
  <c r="PZK1" i="7"/>
  <c r="PZL1" i="7"/>
  <c r="PZM1" i="7"/>
  <c r="PZN1" i="7"/>
  <c r="PZO1" i="7"/>
  <c r="PZP1" i="7"/>
  <c r="PZQ1" i="7"/>
  <c r="PZR1" i="7"/>
  <c r="PZS1" i="7"/>
  <c r="PZT1" i="7"/>
  <c r="PZU1" i="7"/>
  <c r="PZV1" i="7"/>
  <c r="PZW1" i="7"/>
  <c r="PZX1" i="7"/>
  <c r="PZY1" i="7"/>
  <c r="PZZ1" i="7"/>
  <c r="QAA1" i="7"/>
  <c r="QAB1" i="7"/>
  <c r="QAC1" i="7"/>
  <c r="QAD1" i="7"/>
  <c r="QAE1" i="7"/>
  <c r="QAF1" i="7"/>
  <c r="QAG1" i="7"/>
  <c r="QAH1" i="7"/>
  <c r="QAI1" i="7"/>
  <c r="QAJ1" i="7"/>
  <c r="QAK1" i="7"/>
  <c r="QAL1" i="7"/>
  <c r="QAM1" i="7"/>
  <c r="QAN1" i="7"/>
  <c r="QAO1" i="7"/>
  <c r="QAP1" i="7"/>
  <c r="QAQ1" i="7"/>
  <c r="QAR1" i="7"/>
  <c r="QAS1" i="7"/>
  <c r="QAT1" i="7"/>
  <c r="QAU1" i="7"/>
  <c r="QAV1" i="7"/>
  <c r="QAW1" i="7"/>
  <c r="QAX1" i="7"/>
  <c r="QAY1" i="7"/>
  <c r="QAZ1" i="7"/>
  <c r="QBA1" i="7"/>
  <c r="QBB1" i="7"/>
  <c r="QBC1" i="7"/>
  <c r="QBD1" i="7"/>
  <c r="QBE1" i="7"/>
  <c r="QBF1" i="7"/>
  <c r="QBG1" i="7"/>
  <c r="QBH1" i="7"/>
  <c r="QBI1" i="7"/>
  <c r="QBJ1" i="7"/>
  <c r="QBK1" i="7"/>
  <c r="QBL1" i="7"/>
  <c r="QBM1" i="7"/>
  <c r="QBN1" i="7"/>
  <c r="QBO1" i="7"/>
  <c r="QBP1" i="7"/>
  <c r="QBQ1" i="7"/>
  <c r="QBR1" i="7"/>
  <c r="QBS1" i="7"/>
  <c r="QBT1" i="7"/>
  <c r="QBU1" i="7"/>
  <c r="QBV1" i="7"/>
  <c r="QBW1" i="7"/>
  <c r="QBX1" i="7"/>
  <c r="QBY1" i="7"/>
  <c r="QBZ1" i="7"/>
  <c r="QCA1" i="7"/>
  <c r="QCB1" i="7"/>
  <c r="QCC1" i="7"/>
  <c r="QCD1" i="7"/>
  <c r="QCE1" i="7"/>
  <c r="QCF1" i="7"/>
  <c r="QCG1" i="7"/>
  <c r="QCH1" i="7"/>
  <c r="QCI1" i="7"/>
  <c r="QCJ1" i="7"/>
  <c r="QCK1" i="7"/>
  <c r="QCL1" i="7"/>
  <c r="QCM1" i="7"/>
  <c r="QCN1" i="7"/>
  <c r="QCO1" i="7"/>
  <c r="QCP1" i="7"/>
  <c r="QCQ1" i="7"/>
  <c r="QCR1" i="7"/>
  <c r="QCS1" i="7"/>
  <c r="QCT1" i="7"/>
  <c r="QCU1" i="7"/>
  <c r="QCV1" i="7"/>
  <c r="QCW1" i="7"/>
  <c r="QCX1" i="7"/>
  <c r="QCY1" i="7"/>
  <c r="QCZ1" i="7"/>
  <c r="QDA1" i="7"/>
  <c r="QDB1" i="7"/>
  <c r="QDC1" i="7"/>
  <c r="QDD1" i="7"/>
  <c r="QDE1" i="7"/>
  <c r="QDF1" i="7"/>
  <c r="QDG1" i="7"/>
  <c r="QDH1" i="7"/>
  <c r="QDI1" i="7"/>
  <c r="QDJ1" i="7"/>
  <c r="QDK1" i="7"/>
  <c r="QDL1" i="7"/>
  <c r="QDM1" i="7"/>
  <c r="QDN1" i="7"/>
  <c r="QDO1" i="7"/>
  <c r="QDP1" i="7"/>
  <c r="QDQ1" i="7"/>
  <c r="QDR1" i="7"/>
  <c r="QDS1" i="7"/>
  <c r="QDT1" i="7"/>
  <c r="QDU1" i="7"/>
  <c r="QDV1" i="7"/>
  <c r="QDW1" i="7"/>
  <c r="QDX1" i="7"/>
  <c r="QDY1" i="7"/>
  <c r="QDZ1" i="7"/>
  <c r="QEA1" i="7"/>
  <c r="QEB1" i="7"/>
  <c r="QEC1" i="7"/>
  <c r="QED1" i="7"/>
  <c r="QEE1" i="7"/>
  <c r="QEF1" i="7"/>
  <c r="QEG1" i="7"/>
  <c r="QEH1" i="7"/>
  <c r="QEI1" i="7"/>
  <c r="QEJ1" i="7"/>
  <c r="QEK1" i="7"/>
  <c r="QEL1" i="7"/>
  <c r="QEM1" i="7"/>
  <c r="QEN1" i="7"/>
  <c r="QEO1" i="7"/>
  <c r="QEP1" i="7"/>
  <c r="QEQ1" i="7"/>
  <c r="QER1" i="7"/>
  <c r="QES1" i="7"/>
  <c r="QET1" i="7"/>
  <c r="QEU1" i="7"/>
  <c r="QEV1" i="7"/>
  <c r="QEW1" i="7"/>
  <c r="QEX1" i="7"/>
  <c r="QEY1" i="7"/>
  <c r="QEZ1" i="7"/>
  <c r="QFA1" i="7"/>
  <c r="QFB1" i="7"/>
  <c r="QFC1" i="7"/>
  <c r="QFD1" i="7"/>
  <c r="QFE1" i="7"/>
  <c r="QFF1" i="7"/>
  <c r="QFG1" i="7"/>
  <c r="QFH1" i="7"/>
  <c r="QFI1" i="7"/>
  <c r="QFJ1" i="7"/>
  <c r="QFK1" i="7"/>
  <c r="QFL1" i="7"/>
  <c r="QFM1" i="7"/>
  <c r="QFN1" i="7"/>
  <c r="QFO1" i="7"/>
  <c r="QFP1" i="7"/>
  <c r="QFQ1" i="7"/>
  <c r="QFR1" i="7"/>
  <c r="QFS1" i="7"/>
  <c r="QFT1" i="7"/>
  <c r="QFU1" i="7"/>
  <c r="QFV1" i="7"/>
  <c r="QFW1" i="7"/>
  <c r="QFX1" i="7"/>
  <c r="QFY1" i="7"/>
  <c r="QFZ1" i="7"/>
  <c r="QGA1" i="7"/>
  <c r="QGB1" i="7"/>
  <c r="QGC1" i="7"/>
  <c r="QGD1" i="7"/>
  <c r="QGE1" i="7"/>
  <c r="QGF1" i="7"/>
  <c r="QGG1" i="7"/>
  <c r="QGH1" i="7"/>
  <c r="QGI1" i="7"/>
  <c r="QGJ1" i="7"/>
  <c r="QGK1" i="7"/>
  <c r="QGL1" i="7"/>
  <c r="QGM1" i="7"/>
  <c r="QGN1" i="7"/>
  <c r="QGO1" i="7"/>
  <c r="QGP1" i="7"/>
  <c r="QGQ1" i="7"/>
  <c r="QGR1" i="7"/>
  <c r="QGS1" i="7"/>
  <c r="QGT1" i="7"/>
  <c r="QGU1" i="7"/>
  <c r="QGV1" i="7"/>
  <c r="QGW1" i="7"/>
  <c r="QGX1" i="7"/>
  <c r="QGY1" i="7"/>
  <c r="QGZ1" i="7"/>
  <c r="QHA1" i="7"/>
  <c r="QHB1" i="7"/>
  <c r="QHC1" i="7"/>
  <c r="QHD1" i="7"/>
  <c r="QHE1" i="7"/>
  <c r="QHF1" i="7"/>
  <c r="QHG1" i="7"/>
  <c r="QHH1" i="7"/>
  <c r="QHI1" i="7"/>
  <c r="QHJ1" i="7"/>
  <c r="QHK1" i="7"/>
  <c r="QHL1" i="7"/>
  <c r="QHM1" i="7"/>
  <c r="QHN1" i="7"/>
  <c r="QHO1" i="7"/>
  <c r="QHP1" i="7"/>
  <c r="QHQ1" i="7"/>
  <c r="QHR1" i="7"/>
  <c r="QHS1" i="7"/>
  <c r="QHT1" i="7"/>
  <c r="QHU1" i="7"/>
  <c r="QHV1" i="7"/>
  <c r="QHW1" i="7"/>
  <c r="QHX1" i="7"/>
  <c r="QHY1" i="7"/>
  <c r="QHZ1" i="7"/>
  <c r="QIA1" i="7"/>
  <c r="QIB1" i="7"/>
  <c r="QIC1" i="7"/>
  <c r="QID1" i="7"/>
  <c r="QIE1" i="7"/>
  <c r="QIF1" i="7"/>
  <c r="QIG1" i="7"/>
  <c r="QIH1" i="7"/>
  <c r="QII1" i="7"/>
  <c r="QIJ1" i="7"/>
  <c r="QIK1" i="7"/>
  <c r="QIL1" i="7"/>
  <c r="QIM1" i="7"/>
  <c r="QIN1" i="7"/>
  <c r="QIO1" i="7"/>
  <c r="QIP1" i="7"/>
  <c r="QIQ1" i="7"/>
  <c r="QIR1" i="7"/>
  <c r="QIS1" i="7"/>
  <c r="QIT1" i="7"/>
  <c r="QIU1" i="7"/>
  <c r="QIV1" i="7"/>
  <c r="QIW1" i="7"/>
  <c r="QIX1" i="7"/>
  <c r="QIY1" i="7"/>
  <c r="QIZ1" i="7"/>
  <c r="QJA1" i="7"/>
  <c r="QJB1" i="7"/>
  <c r="QJC1" i="7"/>
  <c r="QJD1" i="7"/>
  <c r="QJE1" i="7"/>
  <c r="QJF1" i="7"/>
  <c r="QJG1" i="7"/>
  <c r="QJH1" i="7"/>
  <c r="QJI1" i="7"/>
  <c r="QJJ1" i="7"/>
  <c r="QJK1" i="7"/>
  <c r="QJL1" i="7"/>
  <c r="QJM1" i="7"/>
  <c r="QJN1" i="7"/>
  <c r="QJO1" i="7"/>
  <c r="QJP1" i="7"/>
  <c r="QJQ1" i="7"/>
  <c r="QJR1" i="7"/>
  <c r="QJS1" i="7"/>
  <c r="QJT1" i="7"/>
  <c r="QJU1" i="7"/>
  <c r="QJV1" i="7"/>
  <c r="QJW1" i="7"/>
  <c r="QJX1" i="7"/>
  <c r="QJY1" i="7"/>
  <c r="QJZ1" i="7"/>
  <c r="QKA1" i="7"/>
  <c r="QKB1" i="7"/>
  <c r="QKC1" i="7"/>
  <c r="QKD1" i="7"/>
  <c r="QKE1" i="7"/>
  <c r="QKF1" i="7"/>
  <c r="QKG1" i="7"/>
  <c r="QKH1" i="7"/>
  <c r="QKI1" i="7"/>
  <c r="QKJ1" i="7"/>
  <c r="QKK1" i="7"/>
  <c r="QKL1" i="7"/>
  <c r="QKM1" i="7"/>
  <c r="QKN1" i="7"/>
  <c r="QKO1" i="7"/>
  <c r="QKP1" i="7"/>
  <c r="QKQ1" i="7"/>
  <c r="QKR1" i="7"/>
  <c r="QKS1" i="7"/>
  <c r="QKT1" i="7"/>
  <c r="QKU1" i="7"/>
  <c r="QKV1" i="7"/>
  <c r="QKW1" i="7"/>
  <c r="QKX1" i="7"/>
  <c r="QKY1" i="7"/>
  <c r="QKZ1" i="7"/>
  <c r="QLA1" i="7"/>
  <c r="QLB1" i="7"/>
  <c r="QLC1" i="7"/>
  <c r="QLD1" i="7"/>
  <c r="QLE1" i="7"/>
  <c r="QLF1" i="7"/>
  <c r="QLG1" i="7"/>
  <c r="QLH1" i="7"/>
  <c r="QLI1" i="7"/>
  <c r="QLJ1" i="7"/>
  <c r="QLK1" i="7"/>
  <c r="QLL1" i="7"/>
  <c r="QLM1" i="7"/>
  <c r="QLN1" i="7"/>
  <c r="QLO1" i="7"/>
  <c r="QLP1" i="7"/>
  <c r="QLQ1" i="7"/>
  <c r="QLR1" i="7"/>
  <c r="QLS1" i="7"/>
  <c r="QLT1" i="7"/>
  <c r="QLU1" i="7"/>
  <c r="QLV1" i="7"/>
  <c r="QLW1" i="7"/>
  <c r="QLX1" i="7"/>
  <c r="QLY1" i="7"/>
  <c r="QLZ1" i="7"/>
  <c r="QMA1" i="7"/>
  <c r="QMB1" i="7"/>
  <c r="QMC1" i="7"/>
  <c r="QMD1" i="7"/>
  <c r="QME1" i="7"/>
  <c r="QMF1" i="7"/>
  <c r="QMG1" i="7"/>
  <c r="QMH1" i="7"/>
  <c r="QMI1" i="7"/>
  <c r="QMJ1" i="7"/>
  <c r="QMK1" i="7"/>
  <c r="QML1" i="7"/>
  <c r="QMM1" i="7"/>
  <c r="QMN1" i="7"/>
  <c r="QMO1" i="7"/>
  <c r="QMP1" i="7"/>
  <c r="QMQ1" i="7"/>
  <c r="QMR1" i="7"/>
  <c r="QMS1" i="7"/>
  <c r="QMT1" i="7"/>
  <c r="QMU1" i="7"/>
  <c r="QMV1" i="7"/>
  <c r="QMW1" i="7"/>
  <c r="QMX1" i="7"/>
  <c r="QMY1" i="7"/>
  <c r="QMZ1" i="7"/>
  <c r="QNA1" i="7"/>
  <c r="QNB1" i="7"/>
  <c r="QNC1" i="7"/>
  <c r="QND1" i="7"/>
  <c r="QNE1" i="7"/>
  <c r="QNF1" i="7"/>
  <c r="QNG1" i="7"/>
  <c r="QNH1" i="7"/>
  <c r="QNI1" i="7"/>
  <c r="QNJ1" i="7"/>
  <c r="QNK1" i="7"/>
  <c r="QNL1" i="7"/>
  <c r="QNM1" i="7"/>
  <c r="QNN1" i="7"/>
  <c r="QNO1" i="7"/>
  <c r="QNP1" i="7"/>
  <c r="QNQ1" i="7"/>
  <c r="QNR1" i="7"/>
  <c r="QNS1" i="7"/>
  <c r="QNT1" i="7"/>
  <c r="QNU1" i="7"/>
  <c r="QNV1" i="7"/>
  <c r="QNW1" i="7"/>
  <c r="QNX1" i="7"/>
  <c r="QNY1" i="7"/>
  <c r="QNZ1" i="7"/>
  <c r="QOA1" i="7"/>
  <c r="QOB1" i="7"/>
  <c r="QOC1" i="7"/>
  <c r="QOD1" i="7"/>
  <c r="QOE1" i="7"/>
  <c r="QOF1" i="7"/>
  <c r="QOG1" i="7"/>
  <c r="QOH1" i="7"/>
  <c r="QOI1" i="7"/>
  <c r="QOJ1" i="7"/>
  <c r="QOK1" i="7"/>
  <c r="QOL1" i="7"/>
  <c r="QOM1" i="7"/>
  <c r="QON1" i="7"/>
  <c r="QOO1" i="7"/>
  <c r="QOP1" i="7"/>
  <c r="QOQ1" i="7"/>
  <c r="QOR1" i="7"/>
  <c r="QOS1" i="7"/>
  <c r="QOT1" i="7"/>
  <c r="QOU1" i="7"/>
  <c r="QOV1" i="7"/>
  <c r="QOW1" i="7"/>
  <c r="QOX1" i="7"/>
  <c r="QOY1" i="7"/>
  <c r="QOZ1" i="7"/>
  <c r="QPA1" i="7"/>
  <c r="QPB1" i="7"/>
  <c r="QPC1" i="7"/>
  <c r="QPD1" i="7"/>
  <c r="QPE1" i="7"/>
  <c r="QPF1" i="7"/>
  <c r="QPG1" i="7"/>
  <c r="QPH1" i="7"/>
  <c r="QPI1" i="7"/>
  <c r="QPJ1" i="7"/>
  <c r="QPK1" i="7"/>
  <c r="QPL1" i="7"/>
  <c r="QPM1" i="7"/>
  <c r="QPN1" i="7"/>
  <c r="QPO1" i="7"/>
  <c r="QPP1" i="7"/>
  <c r="QPQ1" i="7"/>
  <c r="QPR1" i="7"/>
  <c r="QPS1" i="7"/>
  <c r="QPT1" i="7"/>
  <c r="QPU1" i="7"/>
  <c r="QPV1" i="7"/>
  <c r="QPW1" i="7"/>
  <c r="QPX1" i="7"/>
  <c r="QPY1" i="7"/>
  <c r="QPZ1" i="7"/>
  <c r="QQA1" i="7"/>
  <c r="QQB1" i="7"/>
  <c r="QQC1" i="7"/>
  <c r="QQD1" i="7"/>
  <c r="QQE1" i="7"/>
  <c r="QQF1" i="7"/>
  <c r="QQG1" i="7"/>
  <c r="QQH1" i="7"/>
  <c r="QQI1" i="7"/>
  <c r="QQJ1" i="7"/>
  <c r="QQK1" i="7"/>
  <c r="QQL1" i="7"/>
  <c r="QQM1" i="7"/>
  <c r="QQN1" i="7"/>
  <c r="QQO1" i="7"/>
  <c r="QQP1" i="7"/>
  <c r="QQQ1" i="7"/>
  <c r="QQR1" i="7"/>
  <c r="QQS1" i="7"/>
  <c r="QQT1" i="7"/>
  <c r="QQU1" i="7"/>
  <c r="QQV1" i="7"/>
  <c r="QQW1" i="7"/>
  <c r="QQX1" i="7"/>
  <c r="QQY1" i="7"/>
  <c r="QQZ1" i="7"/>
  <c r="QRA1" i="7"/>
  <c r="QRB1" i="7"/>
  <c r="QRC1" i="7"/>
  <c r="QRD1" i="7"/>
  <c r="QRE1" i="7"/>
  <c r="QRF1" i="7"/>
  <c r="QRG1" i="7"/>
  <c r="QRH1" i="7"/>
  <c r="QRI1" i="7"/>
  <c r="QRJ1" i="7"/>
  <c r="QRK1" i="7"/>
  <c r="QRL1" i="7"/>
  <c r="QRM1" i="7"/>
  <c r="QRN1" i="7"/>
  <c r="QRO1" i="7"/>
  <c r="QRP1" i="7"/>
  <c r="QRQ1" i="7"/>
  <c r="QRR1" i="7"/>
  <c r="QRS1" i="7"/>
  <c r="QRT1" i="7"/>
  <c r="QRU1" i="7"/>
  <c r="QRV1" i="7"/>
  <c r="QRW1" i="7"/>
  <c r="QRX1" i="7"/>
  <c r="QRY1" i="7"/>
  <c r="QRZ1" i="7"/>
  <c r="QSA1" i="7"/>
  <c r="QSB1" i="7"/>
  <c r="QSC1" i="7"/>
  <c r="QSD1" i="7"/>
  <c r="QSE1" i="7"/>
  <c r="QSF1" i="7"/>
  <c r="QSG1" i="7"/>
  <c r="QSH1" i="7"/>
  <c r="QSI1" i="7"/>
  <c r="QSJ1" i="7"/>
  <c r="QSK1" i="7"/>
  <c r="QSL1" i="7"/>
  <c r="QSM1" i="7"/>
  <c r="QSN1" i="7"/>
  <c r="QSO1" i="7"/>
  <c r="QSP1" i="7"/>
  <c r="QSQ1" i="7"/>
  <c r="QSR1" i="7"/>
  <c r="QSS1" i="7"/>
  <c r="QST1" i="7"/>
  <c r="QSU1" i="7"/>
  <c r="QSV1" i="7"/>
  <c r="QSW1" i="7"/>
  <c r="QSX1" i="7"/>
  <c r="QSY1" i="7"/>
  <c r="QSZ1" i="7"/>
  <c r="QTA1" i="7"/>
  <c r="QTB1" i="7"/>
  <c r="QTC1" i="7"/>
  <c r="QTD1" i="7"/>
  <c r="QTE1" i="7"/>
  <c r="QTF1" i="7"/>
  <c r="QTG1" i="7"/>
  <c r="QTH1" i="7"/>
  <c r="QTI1" i="7"/>
  <c r="QTJ1" i="7"/>
  <c r="QTK1" i="7"/>
  <c r="QTL1" i="7"/>
  <c r="QTM1" i="7"/>
  <c r="QTN1" i="7"/>
  <c r="QTO1" i="7"/>
  <c r="QTP1" i="7"/>
  <c r="QTQ1" i="7"/>
  <c r="QTR1" i="7"/>
  <c r="QTS1" i="7"/>
  <c r="QTT1" i="7"/>
  <c r="QTU1" i="7"/>
  <c r="QTV1" i="7"/>
  <c r="QTW1" i="7"/>
  <c r="QTX1" i="7"/>
  <c r="QTY1" i="7"/>
  <c r="QTZ1" i="7"/>
  <c r="QUA1" i="7"/>
  <c r="QUB1" i="7"/>
  <c r="QUC1" i="7"/>
  <c r="QUD1" i="7"/>
  <c r="QUE1" i="7"/>
  <c r="QUF1" i="7"/>
  <c r="QUG1" i="7"/>
  <c r="QUH1" i="7"/>
  <c r="QUI1" i="7"/>
  <c r="QUJ1" i="7"/>
  <c r="QUK1" i="7"/>
  <c r="QUL1" i="7"/>
  <c r="QUM1" i="7"/>
  <c r="QUN1" i="7"/>
  <c r="QUO1" i="7"/>
  <c r="QUP1" i="7"/>
  <c r="QUQ1" i="7"/>
  <c r="QUR1" i="7"/>
  <c r="QUS1" i="7"/>
  <c r="QUT1" i="7"/>
  <c r="QUU1" i="7"/>
  <c r="QUV1" i="7"/>
  <c r="QUW1" i="7"/>
  <c r="QUX1" i="7"/>
  <c r="QUY1" i="7"/>
  <c r="QUZ1" i="7"/>
  <c r="QVA1" i="7"/>
  <c r="QVB1" i="7"/>
  <c r="QVC1" i="7"/>
  <c r="QVD1" i="7"/>
  <c r="QVE1" i="7"/>
  <c r="QVF1" i="7"/>
  <c r="QVG1" i="7"/>
  <c r="QVH1" i="7"/>
  <c r="QVI1" i="7"/>
  <c r="QVJ1" i="7"/>
  <c r="QVK1" i="7"/>
  <c r="QVL1" i="7"/>
  <c r="QVM1" i="7"/>
  <c r="QVN1" i="7"/>
  <c r="QVO1" i="7"/>
  <c r="QVP1" i="7"/>
  <c r="QVQ1" i="7"/>
  <c r="QVR1" i="7"/>
  <c r="QVS1" i="7"/>
  <c r="QVT1" i="7"/>
  <c r="QVU1" i="7"/>
  <c r="QVV1" i="7"/>
  <c r="QVW1" i="7"/>
  <c r="QVX1" i="7"/>
  <c r="QVY1" i="7"/>
  <c r="QVZ1" i="7"/>
  <c r="QWA1" i="7"/>
  <c r="QWB1" i="7"/>
  <c r="QWC1" i="7"/>
  <c r="QWD1" i="7"/>
  <c r="QWE1" i="7"/>
  <c r="QWF1" i="7"/>
  <c r="QWG1" i="7"/>
  <c r="QWH1" i="7"/>
  <c r="QWI1" i="7"/>
  <c r="QWJ1" i="7"/>
  <c r="QWK1" i="7"/>
  <c r="QWL1" i="7"/>
  <c r="QWM1" i="7"/>
  <c r="QWN1" i="7"/>
  <c r="QWO1" i="7"/>
  <c r="QWP1" i="7"/>
  <c r="QWQ1" i="7"/>
  <c r="QWR1" i="7"/>
  <c r="QWS1" i="7"/>
  <c r="QWT1" i="7"/>
  <c r="QWU1" i="7"/>
  <c r="QWV1" i="7"/>
  <c r="QWW1" i="7"/>
  <c r="QWX1" i="7"/>
  <c r="QWY1" i="7"/>
  <c r="QWZ1" i="7"/>
  <c r="QXA1" i="7"/>
  <c r="QXB1" i="7"/>
  <c r="QXC1" i="7"/>
  <c r="QXD1" i="7"/>
  <c r="QXE1" i="7"/>
  <c r="QXF1" i="7"/>
  <c r="QXG1" i="7"/>
  <c r="QXH1" i="7"/>
  <c r="QXI1" i="7"/>
  <c r="QXJ1" i="7"/>
  <c r="QXK1" i="7"/>
  <c r="QXL1" i="7"/>
  <c r="QXM1" i="7"/>
  <c r="QXN1" i="7"/>
  <c r="QXO1" i="7"/>
  <c r="QXP1" i="7"/>
  <c r="QXQ1" i="7"/>
  <c r="QXR1" i="7"/>
  <c r="QXS1" i="7"/>
  <c r="QXT1" i="7"/>
  <c r="QXU1" i="7"/>
  <c r="QXV1" i="7"/>
  <c r="QXW1" i="7"/>
  <c r="QXX1" i="7"/>
  <c r="QXY1" i="7"/>
  <c r="QXZ1" i="7"/>
  <c r="QYA1" i="7"/>
  <c r="QYB1" i="7"/>
  <c r="QYC1" i="7"/>
  <c r="QYD1" i="7"/>
  <c r="QYE1" i="7"/>
  <c r="QYF1" i="7"/>
  <c r="QYG1" i="7"/>
  <c r="QYH1" i="7"/>
  <c r="QYI1" i="7"/>
  <c r="QYJ1" i="7"/>
  <c r="QYK1" i="7"/>
  <c r="QYL1" i="7"/>
  <c r="QYM1" i="7"/>
  <c r="QYN1" i="7"/>
  <c r="QYO1" i="7"/>
  <c r="QYP1" i="7"/>
  <c r="QYQ1" i="7"/>
  <c r="QYR1" i="7"/>
  <c r="QYS1" i="7"/>
  <c r="QYT1" i="7"/>
  <c r="QYU1" i="7"/>
  <c r="QYV1" i="7"/>
  <c r="QYW1" i="7"/>
  <c r="QYX1" i="7"/>
  <c r="QYY1" i="7"/>
  <c r="QYZ1" i="7"/>
  <c r="QZA1" i="7"/>
  <c r="QZB1" i="7"/>
  <c r="QZC1" i="7"/>
  <c r="QZD1" i="7"/>
  <c r="QZE1" i="7"/>
  <c r="QZF1" i="7"/>
  <c r="QZG1" i="7"/>
  <c r="QZH1" i="7"/>
  <c r="QZI1" i="7"/>
  <c r="QZJ1" i="7"/>
  <c r="QZK1" i="7"/>
  <c r="QZL1" i="7"/>
  <c r="QZM1" i="7"/>
  <c r="QZN1" i="7"/>
  <c r="QZO1" i="7"/>
  <c r="QZP1" i="7"/>
  <c r="QZQ1" i="7"/>
  <c r="QZR1" i="7"/>
  <c r="QZS1" i="7"/>
  <c r="QZT1" i="7"/>
  <c r="QZU1" i="7"/>
  <c r="QZV1" i="7"/>
  <c r="QZW1" i="7"/>
  <c r="QZX1" i="7"/>
  <c r="QZY1" i="7"/>
  <c r="QZZ1" i="7"/>
  <c r="RAA1" i="7"/>
  <c r="RAB1" i="7"/>
  <c r="RAC1" i="7"/>
  <c r="RAD1" i="7"/>
  <c r="RAE1" i="7"/>
  <c r="RAF1" i="7"/>
  <c r="RAG1" i="7"/>
  <c r="RAH1" i="7"/>
  <c r="RAI1" i="7"/>
  <c r="RAJ1" i="7"/>
  <c r="RAK1" i="7"/>
  <c r="RAL1" i="7"/>
  <c r="RAM1" i="7"/>
  <c r="RAN1" i="7"/>
  <c r="RAO1" i="7"/>
  <c r="RAP1" i="7"/>
  <c r="RAQ1" i="7"/>
  <c r="RAR1" i="7"/>
  <c r="RAS1" i="7"/>
  <c r="RAT1" i="7"/>
  <c r="RAU1" i="7"/>
  <c r="RAV1" i="7"/>
  <c r="RAW1" i="7"/>
  <c r="RAX1" i="7"/>
  <c r="RAY1" i="7"/>
  <c r="RAZ1" i="7"/>
  <c r="RBA1" i="7"/>
  <c r="RBB1" i="7"/>
  <c r="RBC1" i="7"/>
  <c r="RBD1" i="7"/>
  <c r="RBE1" i="7"/>
  <c r="RBF1" i="7"/>
  <c r="RBG1" i="7"/>
  <c r="RBH1" i="7"/>
  <c r="RBI1" i="7"/>
  <c r="RBJ1" i="7"/>
  <c r="RBK1" i="7"/>
  <c r="RBL1" i="7"/>
  <c r="RBM1" i="7"/>
  <c r="RBN1" i="7"/>
  <c r="RBO1" i="7"/>
  <c r="RBP1" i="7"/>
  <c r="RBQ1" i="7"/>
  <c r="RBR1" i="7"/>
  <c r="RBS1" i="7"/>
  <c r="RBT1" i="7"/>
  <c r="RBU1" i="7"/>
  <c r="RBV1" i="7"/>
  <c r="RBW1" i="7"/>
  <c r="RBX1" i="7"/>
  <c r="RBY1" i="7"/>
  <c r="RBZ1" i="7"/>
  <c r="RCA1" i="7"/>
  <c r="RCB1" i="7"/>
  <c r="RCC1" i="7"/>
  <c r="RCD1" i="7"/>
  <c r="RCE1" i="7"/>
  <c r="RCF1" i="7"/>
  <c r="RCG1" i="7"/>
  <c r="RCH1" i="7"/>
  <c r="RCI1" i="7"/>
  <c r="RCJ1" i="7"/>
  <c r="RCK1" i="7"/>
  <c r="RCL1" i="7"/>
  <c r="RCM1" i="7"/>
  <c r="RCN1" i="7"/>
  <c r="RCO1" i="7"/>
  <c r="RCP1" i="7"/>
  <c r="RCQ1" i="7"/>
  <c r="RCR1" i="7"/>
  <c r="RCS1" i="7"/>
  <c r="RCT1" i="7"/>
  <c r="RCU1" i="7"/>
  <c r="RCV1" i="7"/>
  <c r="RCW1" i="7"/>
  <c r="RCX1" i="7"/>
  <c r="RCY1" i="7"/>
  <c r="RCZ1" i="7"/>
  <c r="RDA1" i="7"/>
  <c r="RDB1" i="7"/>
  <c r="RDC1" i="7"/>
  <c r="RDD1" i="7"/>
  <c r="RDE1" i="7"/>
  <c r="RDF1" i="7"/>
  <c r="RDG1" i="7"/>
  <c r="RDH1" i="7"/>
  <c r="RDI1" i="7"/>
  <c r="RDJ1" i="7"/>
  <c r="RDK1" i="7"/>
  <c r="RDL1" i="7"/>
  <c r="RDM1" i="7"/>
  <c r="RDN1" i="7"/>
  <c r="RDO1" i="7"/>
  <c r="RDP1" i="7"/>
  <c r="RDQ1" i="7"/>
  <c r="RDR1" i="7"/>
  <c r="RDS1" i="7"/>
  <c r="RDT1" i="7"/>
  <c r="RDU1" i="7"/>
  <c r="RDV1" i="7"/>
  <c r="RDW1" i="7"/>
  <c r="RDX1" i="7"/>
  <c r="RDY1" i="7"/>
  <c r="RDZ1" i="7"/>
  <c r="REA1" i="7"/>
  <c r="REB1" i="7"/>
  <c r="REC1" i="7"/>
  <c r="RED1" i="7"/>
  <c r="REE1" i="7"/>
  <c r="REF1" i="7"/>
  <c r="REG1" i="7"/>
  <c r="REH1" i="7"/>
  <c r="REI1" i="7"/>
  <c r="REJ1" i="7"/>
  <c r="REK1" i="7"/>
  <c r="REL1" i="7"/>
  <c r="REM1" i="7"/>
  <c r="REN1" i="7"/>
  <c r="REO1" i="7"/>
  <c r="REP1" i="7"/>
  <c r="REQ1" i="7"/>
  <c r="RER1" i="7"/>
  <c r="RES1" i="7"/>
  <c r="RET1" i="7"/>
  <c r="REU1" i="7"/>
  <c r="REV1" i="7"/>
  <c r="REW1" i="7"/>
  <c r="REX1" i="7"/>
  <c r="REY1" i="7"/>
  <c r="REZ1" i="7"/>
  <c r="RFA1" i="7"/>
  <c r="RFB1" i="7"/>
  <c r="RFC1" i="7"/>
  <c r="RFD1" i="7"/>
  <c r="RFE1" i="7"/>
  <c r="RFF1" i="7"/>
  <c r="RFG1" i="7"/>
  <c r="RFH1" i="7"/>
  <c r="RFI1" i="7"/>
  <c r="RFJ1" i="7"/>
  <c r="RFK1" i="7"/>
  <c r="RFL1" i="7"/>
  <c r="RFM1" i="7"/>
  <c r="RFN1" i="7"/>
  <c r="RFO1" i="7"/>
  <c r="RFP1" i="7"/>
  <c r="RFQ1" i="7"/>
  <c r="RFR1" i="7"/>
  <c r="RFS1" i="7"/>
  <c r="RFT1" i="7"/>
  <c r="RFU1" i="7"/>
  <c r="RFV1" i="7"/>
  <c r="RFW1" i="7"/>
  <c r="RFX1" i="7"/>
  <c r="RFY1" i="7"/>
  <c r="RFZ1" i="7"/>
  <c r="RGA1" i="7"/>
  <c r="RGB1" i="7"/>
  <c r="RGC1" i="7"/>
  <c r="RGD1" i="7"/>
  <c r="RGE1" i="7"/>
  <c r="RGF1" i="7"/>
  <c r="RGG1" i="7"/>
  <c r="RGH1" i="7"/>
  <c r="RGI1" i="7"/>
  <c r="RGJ1" i="7"/>
  <c r="RGK1" i="7"/>
  <c r="RGL1" i="7"/>
  <c r="RGM1" i="7"/>
  <c r="RGN1" i="7"/>
  <c r="RGO1" i="7"/>
  <c r="RGP1" i="7"/>
  <c r="RGQ1" i="7"/>
  <c r="RGR1" i="7"/>
  <c r="RGS1" i="7"/>
  <c r="RGT1" i="7"/>
  <c r="RGU1" i="7"/>
  <c r="RGV1" i="7"/>
  <c r="RGW1" i="7"/>
  <c r="RGX1" i="7"/>
  <c r="RGY1" i="7"/>
  <c r="RGZ1" i="7"/>
  <c r="RHA1" i="7"/>
  <c r="RHB1" i="7"/>
  <c r="RHC1" i="7"/>
  <c r="RHD1" i="7"/>
  <c r="RHE1" i="7"/>
  <c r="RHF1" i="7"/>
  <c r="RHG1" i="7"/>
  <c r="RHH1" i="7"/>
  <c r="RHI1" i="7"/>
  <c r="RHJ1" i="7"/>
  <c r="RHK1" i="7"/>
  <c r="RHL1" i="7"/>
  <c r="RHM1" i="7"/>
  <c r="RHN1" i="7"/>
  <c r="RHO1" i="7"/>
  <c r="RHP1" i="7"/>
  <c r="RHQ1" i="7"/>
  <c r="RHR1" i="7"/>
  <c r="RHS1" i="7"/>
  <c r="RHT1" i="7"/>
  <c r="RHU1" i="7"/>
  <c r="RHV1" i="7"/>
  <c r="RHW1" i="7"/>
  <c r="RHX1" i="7"/>
  <c r="RHY1" i="7"/>
  <c r="RHZ1" i="7"/>
  <c r="RIA1" i="7"/>
  <c r="RIB1" i="7"/>
  <c r="RIC1" i="7"/>
  <c r="RID1" i="7"/>
  <c r="RIE1" i="7"/>
  <c r="RIF1" i="7"/>
  <c r="RIG1" i="7"/>
  <c r="RIH1" i="7"/>
  <c r="RII1" i="7"/>
  <c r="RIJ1" i="7"/>
  <c r="RIK1" i="7"/>
  <c r="RIL1" i="7"/>
  <c r="RIM1" i="7"/>
  <c r="RIN1" i="7"/>
  <c r="RIO1" i="7"/>
  <c r="RIP1" i="7"/>
  <c r="RIQ1" i="7"/>
  <c r="RIR1" i="7"/>
  <c r="RIS1" i="7"/>
  <c r="RIT1" i="7"/>
  <c r="RIU1" i="7"/>
  <c r="RIV1" i="7"/>
  <c r="RIW1" i="7"/>
  <c r="RIX1" i="7"/>
  <c r="RIY1" i="7"/>
  <c r="RIZ1" i="7"/>
  <c r="RJA1" i="7"/>
  <c r="RJB1" i="7"/>
  <c r="RJC1" i="7"/>
  <c r="RJD1" i="7"/>
  <c r="RJE1" i="7"/>
  <c r="RJF1" i="7"/>
  <c r="RJG1" i="7"/>
  <c r="RJH1" i="7"/>
  <c r="RJI1" i="7"/>
  <c r="RJJ1" i="7"/>
  <c r="RJK1" i="7"/>
  <c r="RJL1" i="7"/>
  <c r="RJM1" i="7"/>
  <c r="RJN1" i="7"/>
  <c r="RJO1" i="7"/>
  <c r="RJP1" i="7"/>
  <c r="RJQ1" i="7"/>
  <c r="RJR1" i="7"/>
  <c r="RJS1" i="7"/>
  <c r="RJT1" i="7"/>
  <c r="RJU1" i="7"/>
  <c r="RJV1" i="7"/>
  <c r="RJW1" i="7"/>
  <c r="RJX1" i="7"/>
  <c r="RJY1" i="7"/>
  <c r="RJZ1" i="7"/>
  <c r="RKA1" i="7"/>
  <c r="RKB1" i="7"/>
  <c r="RKC1" i="7"/>
  <c r="RKD1" i="7"/>
  <c r="RKE1" i="7"/>
  <c r="RKF1" i="7"/>
  <c r="RKG1" i="7"/>
  <c r="RKH1" i="7"/>
  <c r="RKI1" i="7"/>
  <c r="RKJ1" i="7"/>
  <c r="RKK1" i="7"/>
  <c r="RKL1" i="7"/>
  <c r="RKM1" i="7"/>
  <c r="RKN1" i="7"/>
  <c r="RKO1" i="7"/>
  <c r="RKP1" i="7"/>
  <c r="RKQ1" i="7"/>
  <c r="RKR1" i="7"/>
  <c r="RKS1" i="7"/>
  <c r="RKT1" i="7"/>
  <c r="RKU1" i="7"/>
  <c r="RKV1" i="7"/>
  <c r="RKW1" i="7"/>
  <c r="RKX1" i="7"/>
  <c r="RKY1" i="7"/>
  <c r="RKZ1" i="7"/>
  <c r="RLA1" i="7"/>
  <c r="RLB1" i="7"/>
  <c r="RLC1" i="7"/>
  <c r="RLD1" i="7"/>
  <c r="RLE1" i="7"/>
  <c r="RLF1" i="7"/>
  <c r="RLG1" i="7"/>
  <c r="RLH1" i="7"/>
  <c r="RLI1" i="7"/>
  <c r="RLJ1" i="7"/>
  <c r="RLK1" i="7"/>
  <c r="RLL1" i="7"/>
  <c r="RLM1" i="7"/>
  <c r="RLN1" i="7"/>
  <c r="RLO1" i="7"/>
  <c r="RLP1" i="7"/>
  <c r="RLQ1" i="7"/>
  <c r="RLR1" i="7"/>
  <c r="RLS1" i="7"/>
  <c r="RLT1" i="7"/>
  <c r="RLU1" i="7"/>
  <c r="RLV1" i="7"/>
  <c r="RLW1" i="7"/>
  <c r="RLX1" i="7"/>
  <c r="RLY1" i="7"/>
  <c r="RLZ1" i="7"/>
  <c r="RMA1" i="7"/>
  <c r="RMB1" i="7"/>
  <c r="RMC1" i="7"/>
  <c r="RMD1" i="7"/>
  <c r="RME1" i="7"/>
  <c r="RMF1" i="7"/>
  <c r="RMG1" i="7"/>
  <c r="RMH1" i="7"/>
  <c r="RMI1" i="7"/>
  <c r="RMJ1" i="7"/>
  <c r="RMK1" i="7"/>
  <c r="RML1" i="7"/>
  <c r="RMM1" i="7"/>
  <c r="RMN1" i="7"/>
  <c r="RMO1" i="7"/>
  <c r="RMP1" i="7"/>
  <c r="RMQ1" i="7"/>
  <c r="RMR1" i="7"/>
  <c r="RMS1" i="7"/>
  <c r="RMT1" i="7"/>
  <c r="RMU1" i="7"/>
  <c r="RMV1" i="7"/>
  <c r="RMW1" i="7"/>
  <c r="RMX1" i="7"/>
  <c r="RMY1" i="7"/>
  <c r="RMZ1" i="7"/>
  <c r="RNA1" i="7"/>
  <c r="RNB1" i="7"/>
  <c r="RNC1" i="7"/>
  <c r="RND1" i="7"/>
  <c r="RNE1" i="7"/>
  <c r="RNF1" i="7"/>
  <c r="RNG1" i="7"/>
  <c r="RNH1" i="7"/>
  <c r="RNI1" i="7"/>
  <c r="RNJ1" i="7"/>
  <c r="RNK1" i="7"/>
  <c r="RNL1" i="7"/>
  <c r="RNM1" i="7"/>
  <c r="RNN1" i="7"/>
  <c r="RNO1" i="7"/>
  <c r="RNP1" i="7"/>
  <c r="RNQ1" i="7"/>
  <c r="RNR1" i="7"/>
  <c r="RNS1" i="7"/>
  <c r="RNT1" i="7"/>
  <c r="RNU1" i="7"/>
  <c r="RNV1" i="7"/>
  <c r="RNW1" i="7"/>
  <c r="RNX1" i="7"/>
  <c r="RNY1" i="7"/>
  <c r="RNZ1" i="7"/>
  <c r="ROA1" i="7"/>
  <c r="ROB1" i="7"/>
  <c r="ROC1" i="7"/>
  <c r="ROD1" i="7"/>
  <c r="ROE1" i="7"/>
  <c r="ROF1" i="7"/>
  <c r="ROG1" i="7"/>
  <c r="ROH1" i="7"/>
  <c r="ROI1" i="7"/>
  <c r="ROJ1" i="7"/>
  <c r="ROK1" i="7"/>
  <c r="ROL1" i="7"/>
  <c r="ROM1" i="7"/>
  <c r="RON1" i="7"/>
  <c r="ROO1" i="7"/>
  <c r="ROP1" i="7"/>
  <c r="ROQ1" i="7"/>
  <c r="ROR1" i="7"/>
  <c r="ROS1" i="7"/>
  <c r="ROT1" i="7"/>
  <c r="ROU1" i="7"/>
  <c r="ROV1" i="7"/>
  <c r="ROW1" i="7"/>
  <c r="ROX1" i="7"/>
  <c r="ROY1" i="7"/>
  <c r="ROZ1" i="7"/>
  <c r="RPA1" i="7"/>
  <c r="RPB1" i="7"/>
  <c r="RPC1" i="7"/>
  <c r="RPD1" i="7"/>
  <c r="RPE1" i="7"/>
  <c r="RPF1" i="7"/>
  <c r="RPG1" i="7"/>
  <c r="RPH1" i="7"/>
  <c r="RPI1" i="7"/>
  <c r="RPJ1" i="7"/>
  <c r="RPK1" i="7"/>
  <c r="RPL1" i="7"/>
  <c r="RPM1" i="7"/>
  <c r="RPN1" i="7"/>
  <c r="RPO1" i="7"/>
  <c r="RPP1" i="7"/>
  <c r="RPQ1" i="7"/>
  <c r="RPR1" i="7"/>
  <c r="RPS1" i="7"/>
  <c r="RPT1" i="7"/>
  <c r="RPU1" i="7"/>
  <c r="RPV1" i="7"/>
  <c r="RPW1" i="7"/>
  <c r="RPX1" i="7"/>
  <c r="RPY1" i="7"/>
  <c r="RPZ1" i="7"/>
  <c r="RQA1" i="7"/>
  <c r="RQB1" i="7"/>
  <c r="RQC1" i="7"/>
  <c r="RQD1" i="7"/>
  <c r="RQE1" i="7"/>
  <c r="RQF1" i="7"/>
  <c r="RQG1" i="7"/>
  <c r="RQH1" i="7"/>
  <c r="RQI1" i="7"/>
  <c r="RQJ1" i="7"/>
  <c r="RQK1" i="7"/>
  <c r="RQL1" i="7"/>
  <c r="RQM1" i="7"/>
  <c r="RQN1" i="7"/>
  <c r="RQO1" i="7"/>
  <c r="RQP1" i="7"/>
  <c r="RQQ1" i="7"/>
  <c r="RQR1" i="7"/>
  <c r="RQS1" i="7"/>
  <c r="RQT1" i="7"/>
  <c r="RQU1" i="7"/>
  <c r="RQV1" i="7"/>
  <c r="RQW1" i="7"/>
  <c r="RQX1" i="7"/>
  <c r="RQY1" i="7"/>
  <c r="RQZ1" i="7"/>
  <c r="RRA1" i="7"/>
  <c r="RRB1" i="7"/>
  <c r="RRC1" i="7"/>
  <c r="RRD1" i="7"/>
  <c r="RRE1" i="7"/>
  <c r="RRF1" i="7"/>
  <c r="RRG1" i="7"/>
  <c r="RRH1" i="7"/>
  <c r="RRI1" i="7"/>
  <c r="RRJ1" i="7"/>
  <c r="RRK1" i="7"/>
  <c r="RRL1" i="7"/>
  <c r="RRM1" i="7"/>
  <c r="RRN1" i="7"/>
  <c r="RRO1" i="7"/>
  <c r="RRP1" i="7"/>
  <c r="RRQ1" i="7"/>
  <c r="RRR1" i="7"/>
  <c r="RRS1" i="7"/>
  <c r="RRT1" i="7"/>
  <c r="RRU1" i="7"/>
  <c r="RRV1" i="7"/>
  <c r="RRW1" i="7"/>
  <c r="RRX1" i="7"/>
  <c r="RRY1" i="7"/>
  <c r="RRZ1" i="7"/>
  <c r="RSA1" i="7"/>
  <c r="RSB1" i="7"/>
  <c r="RSC1" i="7"/>
  <c r="RSD1" i="7"/>
  <c r="RSE1" i="7"/>
  <c r="RSF1" i="7"/>
  <c r="RSG1" i="7"/>
  <c r="RSH1" i="7"/>
  <c r="RSI1" i="7"/>
  <c r="RSJ1" i="7"/>
  <c r="RSK1" i="7"/>
  <c r="RSL1" i="7"/>
  <c r="RSM1" i="7"/>
  <c r="RSN1" i="7"/>
  <c r="RSO1" i="7"/>
  <c r="RSP1" i="7"/>
  <c r="RSQ1" i="7"/>
  <c r="RSR1" i="7"/>
  <c r="RSS1" i="7"/>
  <c r="RST1" i="7"/>
  <c r="RSU1" i="7"/>
  <c r="RSV1" i="7"/>
  <c r="RSW1" i="7"/>
  <c r="RSX1" i="7"/>
  <c r="RSY1" i="7"/>
  <c r="RSZ1" i="7"/>
  <c r="RTA1" i="7"/>
  <c r="RTB1" i="7"/>
  <c r="RTC1" i="7"/>
  <c r="RTD1" i="7"/>
  <c r="RTE1" i="7"/>
  <c r="RTF1" i="7"/>
  <c r="RTG1" i="7"/>
  <c r="RTH1" i="7"/>
  <c r="RTI1" i="7"/>
  <c r="RTJ1" i="7"/>
  <c r="RTK1" i="7"/>
  <c r="RTL1" i="7"/>
  <c r="RTM1" i="7"/>
  <c r="RTN1" i="7"/>
  <c r="RTO1" i="7"/>
  <c r="RTP1" i="7"/>
  <c r="RTQ1" i="7"/>
  <c r="RTR1" i="7"/>
  <c r="RTS1" i="7"/>
  <c r="RTT1" i="7"/>
  <c r="RTU1" i="7"/>
  <c r="RTV1" i="7"/>
  <c r="RTW1" i="7"/>
  <c r="RTX1" i="7"/>
  <c r="RTY1" i="7"/>
  <c r="RTZ1" i="7"/>
  <c r="RUA1" i="7"/>
  <c r="RUB1" i="7"/>
  <c r="RUC1" i="7"/>
  <c r="RUD1" i="7"/>
  <c r="RUE1" i="7"/>
  <c r="RUF1" i="7"/>
  <c r="RUG1" i="7"/>
  <c r="RUH1" i="7"/>
  <c r="RUI1" i="7"/>
  <c r="RUJ1" i="7"/>
  <c r="RUK1" i="7"/>
  <c r="RUL1" i="7"/>
  <c r="RUM1" i="7"/>
  <c r="RUN1" i="7"/>
  <c r="RUO1" i="7"/>
  <c r="RUP1" i="7"/>
  <c r="RUQ1" i="7"/>
  <c r="RUR1" i="7"/>
  <c r="RUS1" i="7"/>
  <c r="RUT1" i="7"/>
  <c r="RUU1" i="7"/>
  <c r="RUV1" i="7"/>
  <c r="RUW1" i="7"/>
  <c r="RUX1" i="7"/>
  <c r="RUY1" i="7"/>
  <c r="RUZ1" i="7"/>
  <c r="RVA1" i="7"/>
  <c r="RVB1" i="7"/>
  <c r="RVC1" i="7"/>
  <c r="RVD1" i="7"/>
  <c r="RVE1" i="7"/>
  <c r="RVF1" i="7"/>
  <c r="RVG1" i="7"/>
  <c r="RVH1" i="7"/>
  <c r="RVI1" i="7"/>
  <c r="RVJ1" i="7"/>
  <c r="RVK1" i="7"/>
  <c r="RVL1" i="7"/>
  <c r="RVM1" i="7"/>
  <c r="RVN1" i="7"/>
  <c r="RVO1" i="7"/>
  <c r="RVP1" i="7"/>
  <c r="RVQ1" i="7"/>
  <c r="RVR1" i="7"/>
  <c r="RVS1" i="7"/>
  <c r="RVT1" i="7"/>
  <c r="RVU1" i="7"/>
  <c r="RVV1" i="7"/>
  <c r="RVW1" i="7"/>
  <c r="RVX1" i="7"/>
  <c r="RVY1" i="7"/>
  <c r="RVZ1" i="7"/>
  <c r="RWA1" i="7"/>
  <c r="RWB1" i="7"/>
  <c r="RWC1" i="7"/>
  <c r="RWD1" i="7"/>
  <c r="RWE1" i="7"/>
  <c r="RWF1" i="7"/>
  <c r="RWG1" i="7"/>
  <c r="RWH1" i="7"/>
  <c r="RWI1" i="7"/>
  <c r="RWJ1" i="7"/>
  <c r="RWK1" i="7"/>
  <c r="RWL1" i="7"/>
  <c r="RWM1" i="7"/>
  <c r="RWN1" i="7"/>
  <c r="RWO1" i="7"/>
  <c r="RWP1" i="7"/>
  <c r="RWQ1" i="7"/>
  <c r="RWR1" i="7"/>
  <c r="RWS1" i="7"/>
  <c r="RWT1" i="7"/>
  <c r="RWU1" i="7"/>
  <c r="RWV1" i="7"/>
  <c r="RWW1" i="7"/>
  <c r="RWX1" i="7"/>
  <c r="RWY1" i="7"/>
  <c r="RWZ1" i="7"/>
  <c r="RXA1" i="7"/>
  <c r="RXB1" i="7"/>
  <c r="RXC1" i="7"/>
  <c r="RXD1" i="7"/>
  <c r="RXE1" i="7"/>
  <c r="RXF1" i="7"/>
  <c r="RXG1" i="7"/>
  <c r="RXH1" i="7"/>
  <c r="RXI1" i="7"/>
  <c r="RXJ1" i="7"/>
  <c r="RXK1" i="7"/>
  <c r="RXL1" i="7"/>
  <c r="RXM1" i="7"/>
  <c r="RXN1" i="7"/>
  <c r="RXO1" i="7"/>
  <c r="RXP1" i="7"/>
  <c r="RXQ1" i="7"/>
  <c r="RXR1" i="7"/>
  <c r="RXS1" i="7"/>
  <c r="RXT1" i="7"/>
  <c r="RXU1" i="7"/>
  <c r="RXV1" i="7"/>
  <c r="RXW1" i="7"/>
  <c r="RXX1" i="7"/>
  <c r="RXY1" i="7"/>
  <c r="RXZ1" i="7"/>
  <c r="RYA1" i="7"/>
  <c r="RYB1" i="7"/>
  <c r="RYC1" i="7"/>
  <c r="RYD1" i="7"/>
  <c r="RYE1" i="7"/>
  <c r="RYF1" i="7"/>
  <c r="RYG1" i="7"/>
  <c r="RYH1" i="7"/>
  <c r="RYI1" i="7"/>
  <c r="RYJ1" i="7"/>
  <c r="RYK1" i="7"/>
  <c r="RYL1" i="7"/>
  <c r="RYM1" i="7"/>
  <c r="RYN1" i="7"/>
  <c r="RYO1" i="7"/>
  <c r="RYP1" i="7"/>
  <c r="RYQ1" i="7"/>
  <c r="RYR1" i="7"/>
  <c r="RYS1" i="7"/>
  <c r="RYT1" i="7"/>
  <c r="RYU1" i="7"/>
  <c r="RYV1" i="7"/>
  <c r="RYW1" i="7"/>
  <c r="RYX1" i="7"/>
  <c r="RYY1" i="7"/>
  <c r="RYZ1" i="7"/>
  <c r="RZA1" i="7"/>
  <c r="RZB1" i="7"/>
  <c r="RZC1" i="7"/>
  <c r="RZD1" i="7"/>
  <c r="RZE1" i="7"/>
  <c r="RZF1" i="7"/>
  <c r="RZG1" i="7"/>
  <c r="RZH1" i="7"/>
  <c r="RZI1" i="7"/>
  <c r="RZJ1" i="7"/>
  <c r="RZK1" i="7"/>
  <c r="RZL1" i="7"/>
  <c r="RZM1" i="7"/>
  <c r="RZN1" i="7"/>
  <c r="RZO1" i="7"/>
  <c r="RZP1" i="7"/>
  <c r="RZQ1" i="7"/>
  <c r="RZR1" i="7"/>
  <c r="RZS1" i="7"/>
  <c r="RZT1" i="7"/>
  <c r="RZU1" i="7"/>
  <c r="RZV1" i="7"/>
  <c r="RZW1" i="7"/>
  <c r="RZX1" i="7"/>
  <c r="RZY1" i="7"/>
  <c r="RZZ1" i="7"/>
  <c r="SAA1" i="7"/>
  <c r="SAB1" i="7"/>
  <c r="SAC1" i="7"/>
  <c r="SAD1" i="7"/>
  <c r="SAE1" i="7"/>
  <c r="SAF1" i="7"/>
  <c r="SAG1" i="7"/>
  <c r="SAH1" i="7"/>
  <c r="SAI1" i="7"/>
  <c r="SAJ1" i="7"/>
  <c r="SAK1" i="7"/>
  <c r="SAL1" i="7"/>
  <c r="SAM1" i="7"/>
  <c r="SAN1" i="7"/>
  <c r="SAO1" i="7"/>
  <c r="SAP1" i="7"/>
  <c r="SAQ1" i="7"/>
  <c r="SAR1" i="7"/>
  <c r="SAS1" i="7"/>
  <c r="SAT1" i="7"/>
  <c r="SAU1" i="7"/>
  <c r="SAV1" i="7"/>
  <c r="SAW1" i="7"/>
  <c r="SAX1" i="7"/>
  <c r="SAY1" i="7"/>
  <c r="SAZ1" i="7"/>
  <c r="SBA1" i="7"/>
  <c r="SBB1" i="7"/>
  <c r="SBC1" i="7"/>
  <c r="SBD1" i="7"/>
  <c r="SBE1" i="7"/>
  <c r="SBF1" i="7"/>
  <c r="SBG1" i="7"/>
  <c r="SBH1" i="7"/>
  <c r="SBI1" i="7"/>
  <c r="SBJ1" i="7"/>
  <c r="SBK1" i="7"/>
  <c r="SBL1" i="7"/>
  <c r="SBM1" i="7"/>
  <c r="SBN1" i="7"/>
  <c r="SBO1" i="7"/>
  <c r="SBP1" i="7"/>
  <c r="SBQ1" i="7"/>
  <c r="SBR1" i="7"/>
  <c r="SBS1" i="7"/>
  <c r="SBT1" i="7"/>
  <c r="SBU1" i="7"/>
  <c r="SBV1" i="7"/>
  <c r="SBW1" i="7"/>
  <c r="SBX1" i="7"/>
  <c r="SBY1" i="7"/>
  <c r="SBZ1" i="7"/>
  <c r="SCA1" i="7"/>
  <c r="SCB1" i="7"/>
  <c r="SCC1" i="7"/>
  <c r="SCD1" i="7"/>
  <c r="SCE1" i="7"/>
  <c r="SCF1" i="7"/>
  <c r="SCG1" i="7"/>
  <c r="SCH1" i="7"/>
  <c r="SCI1" i="7"/>
  <c r="SCJ1" i="7"/>
  <c r="SCK1" i="7"/>
  <c r="SCL1" i="7"/>
  <c r="SCM1" i="7"/>
  <c r="SCN1" i="7"/>
  <c r="SCO1" i="7"/>
  <c r="SCP1" i="7"/>
  <c r="SCQ1" i="7"/>
  <c r="SCR1" i="7"/>
  <c r="SCS1" i="7"/>
  <c r="SCT1" i="7"/>
  <c r="SCU1" i="7"/>
  <c r="SCV1" i="7"/>
  <c r="SCW1" i="7"/>
  <c r="SCX1" i="7"/>
  <c r="SCY1" i="7"/>
  <c r="SCZ1" i="7"/>
  <c r="SDA1" i="7"/>
  <c r="SDB1" i="7"/>
  <c r="SDC1" i="7"/>
  <c r="SDD1" i="7"/>
  <c r="SDE1" i="7"/>
  <c r="SDF1" i="7"/>
  <c r="SDG1" i="7"/>
  <c r="SDH1" i="7"/>
  <c r="SDI1" i="7"/>
  <c r="SDJ1" i="7"/>
  <c r="SDK1" i="7"/>
  <c r="SDL1" i="7"/>
  <c r="SDM1" i="7"/>
  <c r="SDN1" i="7"/>
  <c r="SDO1" i="7"/>
  <c r="SDP1" i="7"/>
  <c r="SDQ1" i="7"/>
  <c r="SDR1" i="7"/>
  <c r="SDS1" i="7"/>
  <c r="SDT1" i="7"/>
  <c r="SDU1" i="7"/>
  <c r="SDV1" i="7"/>
  <c r="SDW1" i="7"/>
  <c r="SDX1" i="7"/>
  <c r="SDY1" i="7"/>
  <c r="SDZ1" i="7"/>
  <c r="SEA1" i="7"/>
  <c r="SEB1" i="7"/>
  <c r="SEC1" i="7"/>
  <c r="SED1" i="7"/>
  <c r="SEE1" i="7"/>
  <c r="SEF1" i="7"/>
  <c r="SEG1" i="7"/>
  <c r="SEH1" i="7"/>
  <c r="SEI1" i="7"/>
  <c r="SEJ1" i="7"/>
  <c r="SEK1" i="7"/>
  <c r="SEL1" i="7"/>
  <c r="SEM1" i="7"/>
  <c r="SEN1" i="7"/>
  <c r="SEO1" i="7"/>
  <c r="SEP1" i="7"/>
  <c r="SEQ1" i="7"/>
  <c r="SER1" i="7"/>
  <c r="SES1" i="7"/>
  <c r="SET1" i="7"/>
  <c r="SEU1" i="7"/>
  <c r="SEV1" i="7"/>
  <c r="SEW1" i="7"/>
  <c r="SEX1" i="7"/>
  <c r="SEY1" i="7"/>
  <c r="SEZ1" i="7"/>
  <c r="SFA1" i="7"/>
  <c r="SFB1" i="7"/>
  <c r="SFC1" i="7"/>
  <c r="SFD1" i="7"/>
  <c r="SFE1" i="7"/>
  <c r="SFF1" i="7"/>
  <c r="SFG1" i="7"/>
  <c r="SFH1" i="7"/>
  <c r="SFI1" i="7"/>
  <c r="SFJ1" i="7"/>
  <c r="SFK1" i="7"/>
  <c r="SFL1" i="7"/>
  <c r="SFM1" i="7"/>
  <c r="SFN1" i="7"/>
  <c r="SFO1" i="7"/>
  <c r="SFP1" i="7"/>
  <c r="SFQ1" i="7"/>
  <c r="SFR1" i="7"/>
  <c r="SFS1" i="7"/>
  <c r="SFT1" i="7"/>
  <c r="SFU1" i="7"/>
  <c r="SFV1" i="7"/>
  <c r="SFW1" i="7"/>
  <c r="SFX1" i="7"/>
  <c r="SFY1" i="7"/>
  <c r="SFZ1" i="7"/>
  <c r="SGA1" i="7"/>
  <c r="SGB1" i="7"/>
  <c r="SGC1" i="7"/>
  <c r="SGD1" i="7"/>
  <c r="SGE1" i="7"/>
  <c r="SGF1" i="7"/>
  <c r="SGG1" i="7"/>
  <c r="SGH1" i="7"/>
  <c r="SGI1" i="7"/>
  <c r="SGJ1" i="7"/>
  <c r="SGK1" i="7"/>
  <c r="SGL1" i="7"/>
  <c r="SGM1" i="7"/>
  <c r="SGN1" i="7"/>
  <c r="SGO1" i="7"/>
  <c r="SGP1" i="7"/>
  <c r="SGQ1" i="7"/>
  <c r="SGR1" i="7"/>
  <c r="SGS1" i="7"/>
  <c r="SGT1" i="7"/>
  <c r="SGU1" i="7"/>
  <c r="SGV1" i="7"/>
  <c r="SGW1" i="7"/>
  <c r="SGX1" i="7"/>
  <c r="SGY1" i="7"/>
  <c r="SGZ1" i="7"/>
  <c r="SHA1" i="7"/>
  <c r="SHB1" i="7"/>
  <c r="SHC1" i="7"/>
  <c r="SHD1" i="7"/>
  <c r="SHE1" i="7"/>
  <c r="SHF1" i="7"/>
  <c r="SHG1" i="7"/>
  <c r="SHH1" i="7"/>
  <c r="SHI1" i="7"/>
  <c r="SHJ1" i="7"/>
  <c r="SHK1" i="7"/>
  <c r="SHL1" i="7"/>
  <c r="SHM1" i="7"/>
  <c r="SHN1" i="7"/>
  <c r="SHO1" i="7"/>
  <c r="SHP1" i="7"/>
  <c r="SHQ1" i="7"/>
  <c r="SHR1" i="7"/>
  <c r="SHS1" i="7"/>
  <c r="SHT1" i="7"/>
  <c r="SHU1" i="7"/>
  <c r="SHV1" i="7"/>
  <c r="SHW1" i="7"/>
  <c r="SHX1" i="7"/>
  <c r="SHY1" i="7"/>
  <c r="SHZ1" i="7"/>
  <c r="SIA1" i="7"/>
  <c r="SIB1" i="7"/>
  <c r="SIC1" i="7"/>
  <c r="SID1" i="7"/>
  <c r="SIE1" i="7"/>
  <c r="SIF1" i="7"/>
  <c r="SIG1" i="7"/>
  <c r="SIH1" i="7"/>
  <c r="SII1" i="7"/>
  <c r="SIJ1" i="7"/>
  <c r="SIK1" i="7"/>
  <c r="SIL1" i="7"/>
  <c r="SIM1" i="7"/>
  <c r="SIN1" i="7"/>
  <c r="SIO1" i="7"/>
  <c r="SIP1" i="7"/>
  <c r="SIQ1" i="7"/>
  <c r="SIR1" i="7"/>
  <c r="SIS1" i="7"/>
  <c r="SIT1" i="7"/>
  <c r="SIU1" i="7"/>
  <c r="SIV1" i="7"/>
  <c r="SIW1" i="7"/>
  <c r="SIX1" i="7"/>
  <c r="SIY1" i="7"/>
  <c r="SIZ1" i="7"/>
  <c r="SJA1" i="7"/>
  <c r="SJB1" i="7"/>
  <c r="SJC1" i="7"/>
  <c r="SJD1" i="7"/>
  <c r="SJE1" i="7"/>
  <c r="SJF1" i="7"/>
  <c r="SJG1" i="7"/>
  <c r="SJH1" i="7"/>
  <c r="SJI1" i="7"/>
  <c r="SJJ1" i="7"/>
  <c r="SJK1" i="7"/>
  <c r="SJL1" i="7"/>
  <c r="SJM1" i="7"/>
  <c r="SJN1" i="7"/>
  <c r="SJO1" i="7"/>
  <c r="SJP1" i="7"/>
  <c r="SJQ1" i="7"/>
  <c r="SJR1" i="7"/>
  <c r="SJS1" i="7"/>
  <c r="SJT1" i="7"/>
  <c r="SJU1" i="7"/>
  <c r="SJV1" i="7"/>
  <c r="SJW1" i="7"/>
  <c r="SJX1" i="7"/>
  <c r="SJY1" i="7"/>
  <c r="SJZ1" i="7"/>
  <c r="SKA1" i="7"/>
  <c r="SKB1" i="7"/>
  <c r="SKC1" i="7"/>
  <c r="SKD1" i="7"/>
  <c r="SKE1" i="7"/>
  <c r="SKF1" i="7"/>
  <c r="SKG1" i="7"/>
  <c r="SKH1" i="7"/>
  <c r="SKI1" i="7"/>
  <c r="SKJ1" i="7"/>
  <c r="SKK1" i="7"/>
  <c r="SKL1" i="7"/>
  <c r="SKM1" i="7"/>
  <c r="SKN1" i="7"/>
  <c r="SKO1" i="7"/>
  <c r="SKP1" i="7"/>
  <c r="SKQ1" i="7"/>
  <c r="SKR1" i="7"/>
  <c r="SKS1" i="7"/>
  <c r="SKT1" i="7"/>
  <c r="SKU1" i="7"/>
  <c r="SKV1" i="7"/>
  <c r="SKW1" i="7"/>
  <c r="SKX1" i="7"/>
  <c r="SKY1" i="7"/>
  <c r="SKZ1" i="7"/>
  <c r="SLA1" i="7"/>
  <c r="SLB1" i="7"/>
  <c r="SLC1" i="7"/>
  <c r="SLD1" i="7"/>
  <c r="SLE1" i="7"/>
  <c r="SLF1" i="7"/>
  <c r="SLG1" i="7"/>
  <c r="SLH1" i="7"/>
  <c r="SLI1" i="7"/>
  <c r="SLJ1" i="7"/>
  <c r="SLK1" i="7"/>
  <c r="SLL1" i="7"/>
  <c r="SLM1" i="7"/>
  <c r="SLN1" i="7"/>
  <c r="SLO1" i="7"/>
  <c r="SLP1" i="7"/>
  <c r="SLQ1" i="7"/>
  <c r="SLR1" i="7"/>
  <c r="SLS1" i="7"/>
  <c r="SLT1" i="7"/>
  <c r="SLU1" i="7"/>
  <c r="SLV1" i="7"/>
  <c r="SLW1" i="7"/>
  <c r="SLX1" i="7"/>
  <c r="SLY1" i="7"/>
  <c r="SLZ1" i="7"/>
  <c r="SMA1" i="7"/>
  <c r="SMB1" i="7"/>
  <c r="SMC1" i="7"/>
  <c r="SMD1" i="7"/>
  <c r="SME1" i="7"/>
  <c r="SMF1" i="7"/>
  <c r="SMG1" i="7"/>
  <c r="SMH1" i="7"/>
  <c r="SMI1" i="7"/>
  <c r="SMJ1" i="7"/>
  <c r="SMK1" i="7"/>
  <c r="SML1" i="7"/>
  <c r="SMM1" i="7"/>
  <c r="SMN1" i="7"/>
  <c r="SMO1" i="7"/>
  <c r="SMP1" i="7"/>
  <c r="SMQ1" i="7"/>
  <c r="SMR1" i="7"/>
  <c r="SMS1" i="7"/>
  <c r="SMT1" i="7"/>
  <c r="SMU1" i="7"/>
  <c r="SMV1" i="7"/>
  <c r="SMW1" i="7"/>
  <c r="SMX1" i="7"/>
  <c r="SMY1" i="7"/>
  <c r="SMZ1" i="7"/>
  <c r="SNA1" i="7"/>
  <c r="SNB1" i="7"/>
  <c r="SNC1" i="7"/>
  <c r="SND1" i="7"/>
  <c r="SNE1" i="7"/>
  <c r="SNF1" i="7"/>
  <c r="SNG1" i="7"/>
  <c r="SNH1" i="7"/>
  <c r="SNI1" i="7"/>
  <c r="SNJ1" i="7"/>
  <c r="SNK1" i="7"/>
  <c r="SNL1" i="7"/>
  <c r="SNM1" i="7"/>
  <c r="SNN1" i="7"/>
  <c r="SNO1" i="7"/>
  <c r="SNP1" i="7"/>
  <c r="SNQ1" i="7"/>
  <c r="SNR1" i="7"/>
  <c r="SNS1" i="7"/>
  <c r="SNT1" i="7"/>
  <c r="SNU1" i="7"/>
  <c r="SNV1" i="7"/>
  <c r="SNW1" i="7"/>
  <c r="SNX1" i="7"/>
  <c r="SNY1" i="7"/>
  <c r="SNZ1" i="7"/>
  <c r="SOA1" i="7"/>
  <c r="SOB1" i="7"/>
  <c r="SOC1" i="7"/>
  <c r="SOD1" i="7"/>
  <c r="SOE1" i="7"/>
  <c r="SOF1" i="7"/>
  <c r="SOG1" i="7"/>
  <c r="SOH1" i="7"/>
  <c r="SOI1" i="7"/>
  <c r="SOJ1" i="7"/>
  <c r="SOK1" i="7"/>
  <c r="SOL1" i="7"/>
  <c r="SOM1" i="7"/>
  <c r="SON1" i="7"/>
  <c r="SOO1" i="7"/>
  <c r="SOP1" i="7"/>
  <c r="SOQ1" i="7"/>
  <c r="SOR1" i="7"/>
  <c r="SOS1" i="7"/>
  <c r="SOT1" i="7"/>
  <c r="SOU1" i="7"/>
  <c r="SOV1" i="7"/>
  <c r="SOW1" i="7"/>
  <c r="SOX1" i="7"/>
  <c r="SOY1" i="7"/>
  <c r="SOZ1" i="7"/>
  <c r="SPA1" i="7"/>
  <c r="SPB1" i="7"/>
  <c r="SPC1" i="7"/>
  <c r="SPD1" i="7"/>
  <c r="SPE1" i="7"/>
  <c r="SPF1" i="7"/>
  <c r="SPG1" i="7"/>
  <c r="SPH1" i="7"/>
  <c r="SPI1" i="7"/>
  <c r="SPJ1" i="7"/>
  <c r="SPK1" i="7"/>
  <c r="SPL1" i="7"/>
  <c r="SPM1" i="7"/>
  <c r="SPN1" i="7"/>
  <c r="SPO1" i="7"/>
  <c r="SPP1" i="7"/>
  <c r="SPQ1" i="7"/>
  <c r="SPR1" i="7"/>
  <c r="SPS1" i="7"/>
  <c r="SPT1" i="7"/>
  <c r="SPU1" i="7"/>
  <c r="SPV1" i="7"/>
  <c r="SPW1" i="7"/>
  <c r="SPX1" i="7"/>
  <c r="SPY1" i="7"/>
  <c r="SPZ1" i="7"/>
  <c r="SQA1" i="7"/>
  <c r="SQB1" i="7"/>
  <c r="SQC1" i="7"/>
  <c r="SQD1" i="7"/>
  <c r="SQE1" i="7"/>
  <c r="SQF1" i="7"/>
  <c r="SQG1" i="7"/>
  <c r="SQH1" i="7"/>
  <c r="SQI1" i="7"/>
  <c r="SQJ1" i="7"/>
  <c r="SQK1" i="7"/>
  <c r="SQL1" i="7"/>
  <c r="SQM1" i="7"/>
  <c r="SQN1" i="7"/>
  <c r="SQO1" i="7"/>
  <c r="SQP1" i="7"/>
  <c r="SQQ1" i="7"/>
  <c r="SQR1" i="7"/>
  <c r="SQS1" i="7"/>
  <c r="SQT1" i="7"/>
  <c r="SQU1" i="7"/>
  <c r="SQV1" i="7"/>
  <c r="SQW1" i="7"/>
  <c r="SQX1" i="7"/>
  <c r="SQY1" i="7"/>
  <c r="SQZ1" i="7"/>
  <c r="SRA1" i="7"/>
  <c r="SRB1" i="7"/>
  <c r="SRC1" i="7"/>
  <c r="SRD1" i="7"/>
  <c r="SRE1" i="7"/>
  <c r="SRF1" i="7"/>
  <c r="SRG1" i="7"/>
  <c r="SRH1" i="7"/>
  <c r="SRI1" i="7"/>
  <c r="SRJ1" i="7"/>
  <c r="SRK1" i="7"/>
  <c r="SRL1" i="7"/>
  <c r="SRM1" i="7"/>
  <c r="SRN1" i="7"/>
  <c r="SRO1" i="7"/>
  <c r="SRP1" i="7"/>
  <c r="SRQ1" i="7"/>
  <c r="SRR1" i="7"/>
  <c r="SRS1" i="7"/>
  <c r="SRT1" i="7"/>
  <c r="SRU1" i="7"/>
  <c r="SRV1" i="7"/>
  <c r="SRW1" i="7"/>
  <c r="SRX1" i="7"/>
  <c r="SRY1" i="7"/>
  <c r="SRZ1" i="7"/>
  <c r="SSA1" i="7"/>
  <c r="SSB1" i="7"/>
  <c r="SSC1" i="7"/>
  <c r="SSD1" i="7"/>
  <c r="SSE1" i="7"/>
  <c r="SSF1" i="7"/>
  <c r="SSG1" i="7"/>
  <c r="SSH1" i="7"/>
  <c r="SSI1" i="7"/>
  <c r="SSJ1" i="7"/>
  <c r="SSK1" i="7"/>
  <c r="SSL1" i="7"/>
  <c r="SSM1" i="7"/>
  <c r="SSN1" i="7"/>
  <c r="SSO1" i="7"/>
  <c r="SSP1" i="7"/>
  <c r="SSQ1" i="7"/>
  <c r="SSR1" i="7"/>
  <c r="SSS1" i="7"/>
  <c r="SST1" i="7"/>
  <c r="SSU1" i="7"/>
  <c r="SSV1" i="7"/>
  <c r="SSW1" i="7"/>
  <c r="SSX1" i="7"/>
  <c r="SSY1" i="7"/>
  <c r="SSZ1" i="7"/>
  <c r="STA1" i="7"/>
  <c r="STB1" i="7"/>
  <c r="STC1" i="7"/>
  <c r="STD1" i="7"/>
  <c r="STE1" i="7"/>
  <c r="STF1" i="7"/>
  <c r="STG1" i="7"/>
  <c r="STH1" i="7"/>
  <c r="STI1" i="7"/>
  <c r="STJ1" i="7"/>
  <c r="STK1" i="7"/>
  <c r="STL1" i="7"/>
  <c r="STM1" i="7"/>
  <c r="STN1" i="7"/>
  <c r="STO1" i="7"/>
  <c r="STP1" i="7"/>
  <c r="STQ1" i="7"/>
  <c r="STR1" i="7"/>
  <c r="STS1" i="7"/>
  <c r="STT1" i="7"/>
  <c r="STU1" i="7"/>
  <c r="STV1" i="7"/>
  <c r="STW1" i="7"/>
  <c r="STX1" i="7"/>
  <c r="STY1" i="7"/>
  <c r="STZ1" i="7"/>
  <c r="SUA1" i="7"/>
  <c r="SUB1" i="7"/>
  <c r="SUC1" i="7"/>
  <c r="SUD1" i="7"/>
  <c r="SUE1" i="7"/>
  <c r="SUF1" i="7"/>
  <c r="SUG1" i="7"/>
  <c r="SUH1" i="7"/>
  <c r="SUI1" i="7"/>
  <c r="SUJ1" i="7"/>
  <c r="SUK1" i="7"/>
  <c r="SUL1" i="7"/>
  <c r="SUM1" i="7"/>
  <c r="SUN1" i="7"/>
  <c r="SUO1" i="7"/>
  <c r="SUP1" i="7"/>
  <c r="SUQ1" i="7"/>
  <c r="SUR1" i="7"/>
  <c r="SUS1" i="7"/>
  <c r="SUT1" i="7"/>
  <c r="SUU1" i="7"/>
  <c r="SUV1" i="7"/>
  <c r="SUW1" i="7"/>
  <c r="SUX1" i="7"/>
  <c r="SUY1" i="7"/>
  <c r="SUZ1" i="7"/>
  <c r="SVA1" i="7"/>
  <c r="SVB1" i="7"/>
  <c r="SVC1" i="7"/>
  <c r="SVD1" i="7"/>
  <c r="SVE1" i="7"/>
  <c r="SVF1" i="7"/>
  <c r="SVG1" i="7"/>
  <c r="SVH1" i="7"/>
  <c r="SVI1" i="7"/>
  <c r="SVJ1" i="7"/>
  <c r="SVK1" i="7"/>
  <c r="SVL1" i="7"/>
  <c r="SVM1" i="7"/>
  <c r="SVN1" i="7"/>
  <c r="SVO1" i="7"/>
  <c r="SVP1" i="7"/>
  <c r="SVQ1" i="7"/>
  <c r="SVR1" i="7"/>
  <c r="SVS1" i="7"/>
  <c r="SVT1" i="7"/>
  <c r="SVU1" i="7"/>
  <c r="SVV1" i="7"/>
  <c r="SVW1" i="7"/>
  <c r="SVX1" i="7"/>
  <c r="SVY1" i="7"/>
  <c r="SVZ1" i="7"/>
  <c r="SWA1" i="7"/>
  <c r="SWB1" i="7"/>
  <c r="SWC1" i="7"/>
  <c r="SWD1" i="7"/>
  <c r="SWE1" i="7"/>
  <c r="SWF1" i="7"/>
  <c r="SWG1" i="7"/>
  <c r="SWH1" i="7"/>
  <c r="SWI1" i="7"/>
  <c r="SWJ1" i="7"/>
  <c r="SWK1" i="7"/>
  <c r="SWL1" i="7"/>
  <c r="SWM1" i="7"/>
  <c r="SWN1" i="7"/>
  <c r="SWO1" i="7"/>
  <c r="SWP1" i="7"/>
  <c r="SWQ1" i="7"/>
  <c r="SWR1" i="7"/>
  <c r="SWS1" i="7"/>
  <c r="SWT1" i="7"/>
  <c r="SWU1" i="7"/>
  <c r="SWV1" i="7"/>
  <c r="SWW1" i="7"/>
  <c r="SWX1" i="7"/>
  <c r="SWY1" i="7"/>
  <c r="SWZ1" i="7"/>
  <c r="SXA1" i="7"/>
  <c r="SXB1" i="7"/>
  <c r="SXC1" i="7"/>
  <c r="SXD1" i="7"/>
  <c r="SXE1" i="7"/>
  <c r="SXF1" i="7"/>
  <c r="SXG1" i="7"/>
  <c r="SXH1" i="7"/>
  <c r="SXI1" i="7"/>
  <c r="SXJ1" i="7"/>
  <c r="SXK1" i="7"/>
  <c r="SXL1" i="7"/>
  <c r="SXM1" i="7"/>
  <c r="SXN1" i="7"/>
  <c r="SXO1" i="7"/>
  <c r="SXP1" i="7"/>
  <c r="SXQ1" i="7"/>
  <c r="SXR1" i="7"/>
  <c r="SXS1" i="7"/>
  <c r="SXT1" i="7"/>
  <c r="SXU1" i="7"/>
  <c r="SXV1" i="7"/>
  <c r="SXW1" i="7"/>
  <c r="SXX1" i="7"/>
  <c r="SXY1" i="7"/>
  <c r="SXZ1" i="7"/>
  <c r="SYA1" i="7"/>
  <c r="SYB1" i="7"/>
  <c r="SYC1" i="7"/>
  <c r="SYD1" i="7"/>
  <c r="SYE1" i="7"/>
  <c r="SYF1" i="7"/>
  <c r="SYG1" i="7"/>
  <c r="SYH1" i="7"/>
  <c r="SYI1" i="7"/>
  <c r="SYJ1" i="7"/>
  <c r="SYK1" i="7"/>
  <c r="SYL1" i="7"/>
  <c r="SYM1" i="7"/>
  <c r="SYN1" i="7"/>
  <c r="SYO1" i="7"/>
  <c r="SYP1" i="7"/>
  <c r="SYQ1" i="7"/>
  <c r="SYR1" i="7"/>
  <c r="SYS1" i="7"/>
  <c r="SYT1" i="7"/>
  <c r="SYU1" i="7"/>
  <c r="SYV1" i="7"/>
  <c r="SYW1" i="7"/>
  <c r="SYX1" i="7"/>
  <c r="SYY1" i="7"/>
  <c r="SYZ1" i="7"/>
  <c r="SZA1" i="7"/>
  <c r="SZB1" i="7"/>
  <c r="SZC1" i="7"/>
  <c r="SZD1" i="7"/>
  <c r="SZE1" i="7"/>
  <c r="SZF1" i="7"/>
  <c r="SZG1" i="7"/>
  <c r="SZH1" i="7"/>
  <c r="SZI1" i="7"/>
  <c r="SZJ1" i="7"/>
  <c r="SZK1" i="7"/>
  <c r="SZL1" i="7"/>
  <c r="SZM1" i="7"/>
  <c r="SZN1" i="7"/>
  <c r="SZO1" i="7"/>
  <c r="SZP1" i="7"/>
  <c r="SZQ1" i="7"/>
  <c r="SZR1" i="7"/>
  <c r="SZS1" i="7"/>
  <c r="SZT1" i="7"/>
  <c r="SZU1" i="7"/>
  <c r="SZV1" i="7"/>
  <c r="SZW1" i="7"/>
  <c r="SZX1" i="7"/>
  <c r="SZY1" i="7"/>
  <c r="SZZ1" i="7"/>
  <c r="TAA1" i="7"/>
  <c r="TAB1" i="7"/>
  <c r="TAC1" i="7"/>
  <c r="TAD1" i="7"/>
  <c r="TAE1" i="7"/>
  <c r="TAF1" i="7"/>
  <c r="TAG1" i="7"/>
  <c r="TAH1" i="7"/>
  <c r="TAI1" i="7"/>
  <c r="TAJ1" i="7"/>
  <c r="TAK1" i="7"/>
  <c r="TAL1" i="7"/>
  <c r="TAM1" i="7"/>
  <c r="TAN1" i="7"/>
  <c r="TAO1" i="7"/>
  <c r="TAP1" i="7"/>
  <c r="TAQ1" i="7"/>
  <c r="TAR1" i="7"/>
  <c r="TAS1" i="7"/>
  <c r="TAT1" i="7"/>
  <c r="TAU1" i="7"/>
  <c r="TAV1" i="7"/>
  <c r="TAW1" i="7"/>
  <c r="TAX1" i="7"/>
  <c r="TAY1" i="7"/>
  <c r="TAZ1" i="7"/>
  <c r="TBA1" i="7"/>
  <c r="TBB1" i="7"/>
  <c r="TBC1" i="7"/>
  <c r="TBD1" i="7"/>
  <c r="TBE1" i="7"/>
  <c r="TBF1" i="7"/>
  <c r="TBG1" i="7"/>
  <c r="TBH1" i="7"/>
  <c r="TBI1" i="7"/>
  <c r="TBJ1" i="7"/>
  <c r="TBK1" i="7"/>
  <c r="TBL1" i="7"/>
  <c r="TBM1" i="7"/>
  <c r="TBN1" i="7"/>
  <c r="TBO1" i="7"/>
  <c r="TBP1" i="7"/>
  <c r="TBQ1" i="7"/>
  <c r="TBR1" i="7"/>
  <c r="TBS1" i="7"/>
  <c r="TBT1" i="7"/>
  <c r="TBU1" i="7"/>
  <c r="TBV1" i="7"/>
  <c r="TBW1" i="7"/>
  <c r="TBX1" i="7"/>
  <c r="TBY1" i="7"/>
  <c r="TBZ1" i="7"/>
  <c r="TCA1" i="7"/>
  <c r="TCB1" i="7"/>
  <c r="TCC1" i="7"/>
  <c r="TCD1" i="7"/>
  <c r="TCE1" i="7"/>
  <c r="TCF1" i="7"/>
  <c r="TCG1" i="7"/>
  <c r="TCH1" i="7"/>
  <c r="TCI1" i="7"/>
  <c r="TCJ1" i="7"/>
  <c r="TCK1" i="7"/>
  <c r="TCL1" i="7"/>
  <c r="TCM1" i="7"/>
  <c r="TCN1" i="7"/>
  <c r="TCO1" i="7"/>
  <c r="TCP1" i="7"/>
  <c r="TCQ1" i="7"/>
  <c r="TCR1" i="7"/>
  <c r="TCS1" i="7"/>
  <c r="TCT1" i="7"/>
  <c r="TCU1" i="7"/>
  <c r="TCV1" i="7"/>
  <c r="TCW1" i="7"/>
  <c r="TCX1" i="7"/>
  <c r="TCY1" i="7"/>
  <c r="TCZ1" i="7"/>
  <c r="TDA1" i="7"/>
  <c r="TDB1" i="7"/>
  <c r="TDC1" i="7"/>
  <c r="TDD1" i="7"/>
  <c r="TDE1" i="7"/>
  <c r="TDF1" i="7"/>
  <c r="TDG1" i="7"/>
  <c r="TDH1" i="7"/>
  <c r="TDI1" i="7"/>
  <c r="TDJ1" i="7"/>
  <c r="TDK1" i="7"/>
  <c r="TDL1" i="7"/>
  <c r="TDM1" i="7"/>
  <c r="TDN1" i="7"/>
  <c r="TDO1" i="7"/>
  <c r="TDP1" i="7"/>
  <c r="TDQ1" i="7"/>
  <c r="TDR1" i="7"/>
  <c r="TDS1" i="7"/>
  <c r="TDT1" i="7"/>
  <c r="TDU1" i="7"/>
  <c r="TDV1" i="7"/>
  <c r="TDW1" i="7"/>
  <c r="TDX1" i="7"/>
  <c r="TDY1" i="7"/>
  <c r="TDZ1" i="7"/>
  <c r="TEA1" i="7"/>
  <c r="TEB1" i="7"/>
  <c r="TEC1" i="7"/>
  <c r="TED1" i="7"/>
  <c r="TEE1" i="7"/>
  <c r="TEF1" i="7"/>
  <c r="TEG1" i="7"/>
  <c r="TEH1" i="7"/>
  <c r="TEI1" i="7"/>
  <c r="TEJ1" i="7"/>
  <c r="TEK1" i="7"/>
  <c r="TEL1" i="7"/>
  <c r="TEM1" i="7"/>
  <c r="TEN1" i="7"/>
  <c r="TEO1" i="7"/>
  <c r="TEP1" i="7"/>
  <c r="TEQ1" i="7"/>
  <c r="TER1" i="7"/>
  <c r="TES1" i="7"/>
  <c r="TET1" i="7"/>
  <c r="TEU1" i="7"/>
  <c r="TEV1" i="7"/>
  <c r="TEW1" i="7"/>
  <c r="TEX1" i="7"/>
  <c r="TEY1" i="7"/>
  <c r="TEZ1" i="7"/>
  <c r="TFA1" i="7"/>
  <c r="TFB1" i="7"/>
  <c r="TFC1" i="7"/>
  <c r="TFD1" i="7"/>
  <c r="TFE1" i="7"/>
  <c r="TFF1" i="7"/>
  <c r="TFG1" i="7"/>
  <c r="TFH1" i="7"/>
  <c r="TFI1" i="7"/>
  <c r="TFJ1" i="7"/>
  <c r="TFK1" i="7"/>
  <c r="TFL1" i="7"/>
  <c r="TFM1" i="7"/>
  <c r="TFN1" i="7"/>
  <c r="TFO1" i="7"/>
  <c r="TFP1" i="7"/>
  <c r="TFQ1" i="7"/>
  <c r="TFR1" i="7"/>
  <c r="TFS1" i="7"/>
  <c r="TFT1" i="7"/>
  <c r="TFU1" i="7"/>
  <c r="TFV1" i="7"/>
  <c r="TFW1" i="7"/>
  <c r="TFX1" i="7"/>
  <c r="TFY1" i="7"/>
  <c r="TFZ1" i="7"/>
  <c r="TGA1" i="7"/>
  <c r="TGB1" i="7"/>
  <c r="TGC1" i="7"/>
  <c r="TGD1" i="7"/>
  <c r="TGE1" i="7"/>
  <c r="TGF1" i="7"/>
  <c r="TGG1" i="7"/>
  <c r="TGH1" i="7"/>
  <c r="TGI1" i="7"/>
  <c r="TGJ1" i="7"/>
  <c r="TGK1" i="7"/>
  <c r="TGL1" i="7"/>
  <c r="TGM1" i="7"/>
  <c r="TGN1" i="7"/>
  <c r="TGO1" i="7"/>
  <c r="TGP1" i="7"/>
  <c r="TGQ1" i="7"/>
  <c r="TGR1" i="7"/>
  <c r="TGS1" i="7"/>
  <c r="TGT1" i="7"/>
  <c r="TGU1" i="7"/>
  <c r="TGV1" i="7"/>
  <c r="TGW1" i="7"/>
  <c r="TGX1" i="7"/>
  <c r="TGY1" i="7"/>
  <c r="TGZ1" i="7"/>
  <c r="THA1" i="7"/>
  <c r="THB1" i="7"/>
  <c r="THC1" i="7"/>
  <c r="THD1" i="7"/>
  <c r="THE1" i="7"/>
  <c r="THF1" i="7"/>
  <c r="THG1" i="7"/>
  <c r="THH1" i="7"/>
  <c r="THI1" i="7"/>
  <c r="THJ1" i="7"/>
  <c r="THK1" i="7"/>
  <c r="THL1" i="7"/>
  <c r="THM1" i="7"/>
  <c r="THN1" i="7"/>
  <c r="THO1" i="7"/>
  <c r="THP1" i="7"/>
  <c r="THQ1" i="7"/>
  <c r="THR1" i="7"/>
  <c r="THS1" i="7"/>
  <c r="THT1" i="7"/>
  <c r="THU1" i="7"/>
  <c r="THV1" i="7"/>
  <c r="THW1" i="7"/>
  <c r="THX1" i="7"/>
  <c r="THY1" i="7"/>
  <c r="THZ1" i="7"/>
  <c r="TIA1" i="7"/>
  <c r="TIB1" i="7"/>
  <c r="TIC1" i="7"/>
  <c r="TID1" i="7"/>
  <c r="TIE1" i="7"/>
  <c r="TIF1" i="7"/>
  <c r="TIG1" i="7"/>
  <c r="TIH1" i="7"/>
  <c r="TII1" i="7"/>
  <c r="TIJ1" i="7"/>
  <c r="TIK1" i="7"/>
  <c r="TIL1" i="7"/>
  <c r="TIM1" i="7"/>
  <c r="TIN1" i="7"/>
  <c r="TIO1" i="7"/>
  <c r="TIP1" i="7"/>
  <c r="TIQ1" i="7"/>
  <c r="TIR1" i="7"/>
  <c r="TIS1" i="7"/>
  <c r="TIT1" i="7"/>
  <c r="TIU1" i="7"/>
  <c r="TIV1" i="7"/>
  <c r="TIW1" i="7"/>
  <c r="TIX1" i="7"/>
  <c r="TIY1" i="7"/>
  <c r="TIZ1" i="7"/>
  <c r="TJA1" i="7"/>
  <c r="TJB1" i="7"/>
  <c r="TJC1" i="7"/>
  <c r="TJD1" i="7"/>
  <c r="TJE1" i="7"/>
  <c r="TJF1" i="7"/>
  <c r="TJG1" i="7"/>
  <c r="TJH1" i="7"/>
  <c r="TJI1" i="7"/>
  <c r="TJJ1" i="7"/>
  <c r="TJK1" i="7"/>
  <c r="TJL1" i="7"/>
  <c r="TJM1" i="7"/>
  <c r="TJN1" i="7"/>
  <c r="TJO1" i="7"/>
  <c r="TJP1" i="7"/>
  <c r="TJQ1" i="7"/>
  <c r="TJR1" i="7"/>
  <c r="TJS1" i="7"/>
  <c r="TJT1" i="7"/>
  <c r="TJU1" i="7"/>
  <c r="TJV1" i="7"/>
  <c r="TJW1" i="7"/>
  <c r="TJX1" i="7"/>
  <c r="TJY1" i="7"/>
  <c r="TJZ1" i="7"/>
  <c r="TKA1" i="7"/>
  <c r="TKB1" i="7"/>
  <c r="TKC1" i="7"/>
  <c r="TKD1" i="7"/>
  <c r="TKE1" i="7"/>
  <c r="TKF1" i="7"/>
  <c r="TKG1" i="7"/>
  <c r="TKH1" i="7"/>
  <c r="TKI1" i="7"/>
  <c r="TKJ1" i="7"/>
  <c r="TKK1" i="7"/>
  <c r="TKL1" i="7"/>
  <c r="TKM1" i="7"/>
  <c r="TKN1" i="7"/>
  <c r="TKO1" i="7"/>
  <c r="TKP1" i="7"/>
  <c r="TKQ1" i="7"/>
  <c r="TKR1" i="7"/>
  <c r="TKS1" i="7"/>
  <c r="TKT1" i="7"/>
  <c r="TKU1" i="7"/>
  <c r="TKV1" i="7"/>
  <c r="TKW1" i="7"/>
  <c r="TKX1" i="7"/>
  <c r="TKY1" i="7"/>
  <c r="TKZ1" i="7"/>
  <c r="TLA1" i="7"/>
  <c r="TLB1" i="7"/>
  <c r="TLC1" i="7"/>
  <c r="TLD1" i="7"/>
  <c r="TLE1" i="7"/>
  <c r="TLF1" i="7"/>
  <c r="TLG1" i="7"/>
  <c r="TLH1" i="7"/>
  <c r="TLI1" i="7"/>
  <c r="TLJ1" i="7"/>
  <c r="TLK1" i="7"/>
  <c r="TLL1" i="7"/>
  <c r="TLM1" i="7"/>
  <c r="TLN1" i="7"/>
  <c r="TLO1" i="7"/>
  <c r="TLP1" i="7"/>
  <c r="TLQ1" i="7"/>
  <c r="TLR1" i="7"/>
  <c r="TLS1" i="7"/>
  <c r="TLT1" i="7"/>
  <c r="TLU1" i="7"/>
  <c r="TLV1" i="7"/>
  <c r="TLW1" i="7"/>
  <c r="TLX1" i="7"/>
  <c r="TLY1" i="7"/>
  <c r="TLZ1" i="7"/>
  <c r="TMA1" i="7"/>
  <c r="TMB1" i="7"/>
  <c r="TMC1" i="7"/>
  <c r="TMD1" i="7"/>
  <c r="TME1" i="7"/>
  <c r="TMF1" i="7"/>
  <c r="TMG1" i="7"/>
  <c r="TMH1" i="7"/>
  <c r="TMI1" i="7"/>
  <c r="TMJ1" i="7"/>
  <c r="TMK1" i="7"/>
  <c r="TML1" i="7"/>
  <c r="TMM1" i="7"/>
  <c r="TMN1" i="7"/>
  <c r="TMO1" i="7"/>
  <c r="TMP1" i="7"/>
  <c r="TMQ1" i="7"/>
  <c r="TMR1" i="7"/>
  <c r="TMS1" i="7"/>
  <c r="TMT1" i="7"/>
  <c r="TMU1" i="7"/>
  <c r="TMV1" i="7"/>
  <c r="TMW1" i="7"/>
  <c r="TMX1" i="7"/>
  <c r="TMY1" i="7"/>
  <c r="TMZ1" i="7"/>
  <c r="TNA1" i="7"/>
  <c r="TNB1" i="7"/>
  <c r="TNC1" i="7"/>
  <c r="TND1" i="7"/>
  <c r="TNE1" i="7"/>
  <c r="TNF1" i="7"/>
  <c r="TNG1" i="7"/>
  <c r="TNH1" i="7"/>
  <c r="TNI1" i="7"/>
  <c r="TNJ1" i="7"/>
  <c r="TNK1" i="7"/>
  <c r="TNL1" i="7"/>
  <c r="TNM1" i="7"/>
  <c r="TNN1" i="7"/>
  <c r="TNO1" i="7"/>
  <c r="TNP1" i="7"/>
  <c r="TNQ1" i="7"/>
  <c r="TNR1" i="7"/>
  <c r="TNS1" i="7"/>
  <c r="TNT1" i="7"/>
  <c r="TNU1" i="7"/>
  <c r="TNV1" i="7"/>
  <c r="TNW1" i="7"/>
  <c r="TNX1" i="7"/>
  <c r="TNY1" i="7"/>
  <c r="TNZ1" i="7"/>
  <c r="TOA1" i="7"/>
  <c r="TOB1" i="7"/>
  <c r="TOC1" i="7"/>
  <c r="TOD1" i="7"/>
  <c r="TOE1" i="7"/>
  <c r="TOF1" i="7"/>
  <c r="TOG1" i="7"/>
  <c r="TOH1" i="7"/>
  <c r="TOI1" i="7"/>
  <c r="TOJ1" i="7"/>
  <c r="TOK1" i="7"/>
  <c r="TOL1" i="7"/>
  <c r="TOM1" i="7"/>
  <c r="TON1" i="7"/>
  <c r="TOO1" i="7"/>
  <c r="TOP1" i="7"/>
  <c r="TOQ1" i="7"/>
  <c r="TOR1" i="7"/>
  <c r="TOS1" i="7"/>
  <c r="TOT1" i="7"/>
  <c r="TOU1" i="7"/>
  <c r="TOV1" i="7"/>
  <c r="TOW1" i="7"/>
  <c r="TOX1" i="7"/>
  <c r="TOY1" i="7"/>
  <c r="TOZ1" i="7"/>
  <c r="TPA1" i="7"/>
  <c r="TPB1" i="7"/>
  <c r="TPC1" i="7"/>
  <c r="TPD1" i="7"/>
  <c r="TPE1" i="7"/>
  <c r="TPF1" i="7"/>
  <c r="TPG1" i="7"/>
  <c r="TPH1" i="7"/>
  <c r="TPI1" i="7"/>
  <c r="TPJ1" i="7"/>
  <c r="TPK1" i="7"/>
  <c r="TPL1" i="7"/>
  <c r="TPM1" i="7"/>
  <c r="TPN1" i="7"/>
  <c r="TPO1" i="7"/>
  <c r="TPP1" i="7"/>
  <c r="TPQ1" i="7"/>
  <c r="TPR1" i="7"/>
  <c r="TPS1" i="7"/>
  <c r="TPT1" i="7"/>
  <c r="TPU1" i="7"/>
  <c r="TPV1" i="7"/>
  <c r="TPW1" i="7"/>
  <c r="TPX1" i="7"/>
  <c r="TPY1" i="7"/>
  <c r="TPZ1" i="7"/>
  <c r="TQA1" i="7"/>
  <c r="TQB1" i="7"/>
  <c r="TQC1" i="7"/>
  <c r="TQD1" i="7"/>
  <c r="TQE1" i="7"/>
  <c r="TQF1" i="7"/>
  <c r="TQG1" i="7"/>
  <c r="TQH1" i="7"/>
  <c r="TQI1" i="7"/>
  <c r="TQJ1" i="7"/>
  <c r="TQK1" i="7"/>
  <c r="TQL1" i="7"/>
  <c r="TQM1" i="7"/>
  <c r="TQN1" i="7"/>
  <c r="TQO1" i="7"/>
  <c r="TQP1" i="7"/>
  <c r="TQQ1" i="7"/>
  <c r="TQR1" i="7"/>
  <c r="TQS1" i="7"/>
  <c r="TQT1" i="7"/>
  <c r="TQU1" i="7"/>
  <c r="TQV1" i="7"/>
  <c r="TQW1" i="7"/>
  <c r="TQX1" i="7"/>
  <c r="TQY1" i="7"/>
  <c r="TQZ1" i="7"/>
  <c r="TRA1" i="7"/>
  <c r="TRB1" i="7"/>
  <c r="TRC1" i="7"/>
  <c r="TRD1" i="7"/>
  <c r="TRE1" i="7"/>
  <c r="TRF1" i="7"/>
  <c r="TRG1" i="7"/>
  <c r="TRH1" i="7"/>
  <c r="TRI1" i="7"/>
  <c r="TRJ1" i="7"/>
  <c r="TRK1" i="7"/>
  <c r="TRL1" i="7"/>
  <c r="TRM1" i="7"/>
  <c r="TRN1" i="7"/>
  <c r="TRO1" i="7"/>
  <c r="TRP1" i="7"/>
  <c r="TRQ1" i="7"/>
  <c r="TRR1" i="7"/>
  <c r="TRS1" i="7"/>
  <c r="TRT1" i="7"/>
  <c r="TRU1" i="7"/>
  <c r="TRV1" i="7"/>
  <c r="TRW1" i="7"/>
  <c r="TRX1" i="7"/>
  <c r="TRY1" i="7"/>
  <c r="TRZ1" i="7"/>
  <c r="TSA1" i="7"/>
  <c r="TSB1" i="7"/>
  <c r="TSC1" i="7"/>
  <c r="TSD1" i="7"/>
  <c r="TSE1" i="7"/>
  <c r="TSF1" i="7"/>
  <c r="TSG1" i="7"/>
  <c r="TSH1" i="7"/>
  <c r="TSI1" i="7"/>
  <c r="TSJ1" i="7"/>
  <c r="TSK1" i="7"/>
  <c r="TSL1" i="7"/>
  <c r="TSM1" i="7"/>
  <c r="TSN1" i="7"/>
  <c r="TSO1" i="7"/>
  <c r="TSP1" i="7"/>
  <c r="TSQ1" i="7"/>
  <c r="TSR1" i="7"/>
  <c r="TSS1" i="7"/>
  <c r="TST1" i="7"/>
  <c r="TSU1" i="7"/>
  <c r="TSV1" i="7"/>
  <c r="TSW1" i="7"/>
  <c r="TSX1" i="7"/>
  <c r="TSY1" i="7"/>
  <c r="TSZ1" i="7"/>
  <c r="TTA1" i="7"/>
  <c r="TTB1" i="7"/>
  <c r="TTC1" i="7"/>
  <c r="TTD1" i="7"/>
  <c r="TTE1" i="7"/>
  <c r="TTF1" i="7"/>
  <c r="TTG1" i="7"/>
  <c r="TTH1" i="7"/>
  <c r="TTI1" i="7"/>
  <c r="TTJ1" i="7"/>
  <c r="TTK1" i="7"/>
  <c r="TTL1" i="7"/>
  <c r="TTM1" i="7"/>
  <c r="TTN1" i="7"/>
  <c r="TTO1" i="7"/>
  <c r="TTP1" i="7"/>
  <c r="TTQ1" i="7"/>
  <c r="TTR1" i="7"/>
  <c r="TTS1" i="7"/>
  <c r="TTT1" i="7"/>
  <c r="TTU1" i="7"/>
  <c r="TTV1" i="7"/>
  <c r="TTW1" i="7"/>
  <c r="TTX1" i="7"/>
  <c r="TTY1" i="7"/>
  <c r="TTZ1" i="7"/>
  <c r="TUA1" i="7"/>
  <c r="TUB1" i="7"/>
  <c r="TUC1" i="7"/>
  <c r="TUD1" i="7"/>
  <c r="TUE1" i="7"/>
  <c r="TUF1" i="7"/>
  <c r="TUG1" i="7"/>
  <c r="TUH1" i="7"/>
  <c r="TUI1" i="7"/>
  <c r="TUJ1" i="7"/>
  <c r="TUK1" i="7"/>
  <c r="TUL1" i="7"/>
  <c r="TUM1" i="7"/>
  <c r="TUN1" i="7"/>
  <c r="TUO1" i="7"/>
  <c r="TUP1" i="7"/>
  <c r="TUQ1" i="7"/>
  <c r="TUR1" i="7"/>
  <c r="TUS1" i="7"/>
  <c r="TUT1" i="7"/>
  <c r="TUU1" i="7"/>
  <c r="TUV1" i="7"/>
  <c r="TUW1" i="7"/>
  <c r="TUX1" i="7"/>
  <c r="TUY1" i="7"/>
  <c r="TUZ1" i="7"/>
  <c r="TVA1" i="7"/>
  <c r="TVB1" i="7"/>
  <c r="TVC1" i="7"/>
  <c r="TVD1" i="7"/>
  <c r="TVE1" i="7"/>
  <c r="TVF1" i="7"/>
  <c r="TVG1" i="7"/>
  <c r="TVH1" i="7"/>
  <c r="TVI1" i="7"/>
  <c r="TVJ1" i="7"/>
  <c r="TVK1" i="7"/>
  <c r="TVL1" i="7"/>
  <c r="TVM1" i="7"/>
  <c r="TVN1" i="7"/>
  <c r="TVO1" i="7"/>
  <c r="TVP1" i="7"/>
  <c r="TVQ1" i="7"/>
  <c r="TVR1" i="7"/>
  <c r="TVS1" i="7"/>
  <c r="TVT1" i="7"/>
  <c r="TVU1" i="7"/>
  <c r="TVV1" i="7"/>
  <c r="TVW1" i="7"/>
  <c r="TVX1" i="7"/>
  <c r="TVY1" i="7"/>
  <c r="TVZ1" i="7"/>
  <c r="TWA1" i="7"/>
  <c r="TWB1" i="7"/>
  <c r="TWC1" i="7"/>
  <c r="TWD1" i="7"/>
  <c r="TWE1" i="7"/>
  <c r="TWF1" i="7"/>
  <c r="TWG1" i="7"/>
  <c r="TWH1" i="7"/>
  <c r="TWI1" i="7"/>
  <c r="TWJ1" i="7"/>
  <c r="TWK1" i="7"/>
  <c r="TWL1" i="7"/>
  <c r="TWM1" i="7"/>
  <c r="TWN1" i="7"/>
  <c r="TWO1" i="7"/>
  <c r="TWP1" i="7"/>
  <c r="TWQ1" i="7"/>
  <c r="TWR1" i="7"/>
  <c r="TWS1" i="7"/>
  <c r="TWT1" i="7"/>
  <c r="TWU1" i="7"/>
  <c r="TWV1" i="7"/>
  <c r="TWW1" i="7"/>
  <c r="TWX1" i="7"/>
  <c r="TWY1" i="7"/>
  <c r="TWZ1" i="7"/>
  <c r="TXA1" i="7"/>
  <c r="TXB1" i="7"/>
  <c r="TXC1" i="7"/>
  <c r="TXD1" i="7"/>
  <c r="TXE1" i="7"/>
  <c r="TXF1" i="7"/>
  <c r="TXG1" i="7"/>
  <c r="TXH1" i="7"/>
  <c r="TXI1" i="7"/>
  <c r="TXJ1" i="7"/>
  <c r="TXK1" i="7"/>
  <c r="TXL1" i="7"/>
  <c r="TXM1" i="7"/>
  <c r="TXN1" i="7"/>
  <c r="TXO1" i="7"/>
  <c r="TXP1" i="7"/>
  <c r="TXQ1" i="7"/>
  <c r="TXR1" i="7"/>
  <c r="TXS1" i="7"/>
  <c r="TXT1" i="7"/>
  <c r="TXU1" i="7"/>
  <c r="TXV1" i="7"/>
  <c r="TXW1" i="7"/>
  <c r="TXX1" i="7"/>
  <c r="TXY1" i="7"/>
  <c r="TXZ1" i="7"/>
  <c r="TYA1" i="7"/>
  <c r="TYB1" i="7"/>
  <c r="TYC1" i="7"/>
  <c r="TYD1" i="7"/>
  <c r="TYE1" i="7"/>
  <c r="TYF1" i="7"/>
  <c r="TYG1" i="7"/>
  <c r="TYH1" i="7"/>
  <c r="TYI1" i="7"/>
  <c r="TYJ1" i="7"/>
  <c r="TYK1" i="7"/>
  <c r="TYL1" i="7"/>
  <c r="TYM1" i="7"/>
  <c r="TYN1" i="7"/>
  <c r="TYO1" i="7"/>
  <c r="TYP1" i="7"/>
  <c r="TYQ1" i="7"/>
  <c r="TYR1" i="7"/>
  <c r="TYS1" i="7"/>
  <c r="TYT1" i="7"/>
  <c r="TYU1" i="7"/>
  <c r="TYV1" i="7"/>
  <c r="TYW1" i="7"/>
  <c r="TYX1" i="7"/>
  <c r="TYY1" i="7"/>
  <c r="TYZ1" i="7"/>
  <c r="TZA1" i="7"/>
  <c r="TZB1" i="7"/>
  <c r="TZC1" i="7"/>
  <c r="TZD1" i="7"/>
  <c r="TZE1" i="7"/>
  <c r="TZF1" i="7"/>
  <c r="TZG1" i="7"/>
  <c r="TZH1" i="7"/>
  <c r="TZI1" i="7"/>
  <c r="TZJ1" i="7"/>
  <c r="TZK1" i="7"/>
  <c r="TZL1" i="7"/>
  <c r="TZM1" i="7"/>
  <c r="TZN1" i="7"/>
  <c r="TZO1" i="7"/>
  <c r="TZP1" i="7"/>
  <c r="TZQ1" i="7"/>
  <c r="TZR1" i="7"/>
  <c r="TZS1" i="7"/>
  <c r="TZT1" i="7"/>
  <c r="TZU1" i="7"/>
  <c r="TZV1" i="7"/>
  <c r="TZW1" i="7"/>
  <c r="TZX1" i="7"/>
  <c r="TZY1" i="7"/>
  <c r="TZZ1" i="7"/>
  <c r="UAA1" i="7"/>
  <c r="UAB1" i="7"/>
  <c r="UAC1" i="7"/>
  <c r="UAD1" i="7"/>
  <c r="UAE1" i="7"/>
  <c r="UAF1" i="7"/>
  <c r="UAG1" i="7"/>
  <c r="UAH1" i="7"/>
  <c r="UAI1" i="7"/>
  <c r="UAJ1" i="7"/>
  <c r="UAK1" i="7"/>
  <c r="UAL1" i="7"/>
  <c r="UAM1" i="7"/>
  <c r="UAN1" i="7"/>
  <c r="UAO1" i="7"/>
  <c r="UAP1" i="7"/>
  <c r="UAQ1" i="7"/>
  <c r="UAR1" i="7"/>
  <c r="UAS1" i="7"/>
  <c r="UAT1" i="7"/>
  <c r="UAU1" i="7"/>
  <c r="UAV1" i="7"/>
  <c r="UAW1" i="7"/>
  <c r="UAX1" i="7"/>
  <c r="UAY1" i="7"/>
  <c r="UAZ1" i="7"/>
  <c r="UBA1" i="7"/>
  <c r="UBB1" i="7"/>
  <c r="UBC1" i="7"/>
  <c r="UBD1" i="7"/>
  <c r="UBE1" i="7"/>
  <c r="UBF1" i="7"/>
  <c r="UBG1" i="7"/>
  <c r="UBH1" i="7"/>
  <c r="UBI1" i="7"/>
  <c r="UBJ1" i="7"/>
  <c r="UBK1" i="7"/>
  <c r="UBL1" i="7"/>
  <c r="UBM1" i="7"/>
  <c r="UBN1" i="7"/>
  <c r="UBO1" i="7"/>
  <c r="UBP1" i="7"/>
  <c r="UBQ1" i="7"/>
  <c r="UBR1" i="7"/>
  <c r="UBS1" i="7"/>
  <c r="UBT1" i="7"/>
  <c r="UBU1" i="7"/>
  <c r="UBV1" i="7"/>
  <c r="UBW1" i="7"/>
  <c r="UBX1" i="7"/>
  <c r="UBY1" i="7"/>
  <c r="UBZ1" i="7"/>
  <c r="UCA1" i="7"/>
  <c r="UCB1" i="7"/>
  <c r="UCC1" i="7"/>
  <c r="UCD1" i="7"/>
  <c r="UCE1" i="7"/>
  <c r="UCF1" i="7"/>
  <c r="UCG1" i="7"/>
  <c r="UCH1" i="7"/>
  <c r="UCI1" i="7"/>
  <c r="UCJ1" i="7"/>
  <c r="UCK1" i="7"/>
  <c r="UCL1" i="7"/>
  <c r="UCM1" i="7"/>
  <c r="UCN1" i="7"/>
  <c r="UCO1" i="7"/>
  <c r="UCP1" i="7"/>
  <c r="UCQ1" i="7"/>
  <c r="UCR1" i="7"/>
  <c r="UCS1" i="7"/>
  <c r="UCT1" i="7"/>
  <c r="UCU1" i="7"/>
  <c r="UCV1" i="7"/>
  <c r="UCW1" i="7"/>
  <c r="UCX1" i="7"/>
  <c r="UCY1" i="7"/>
  <c r="UCZ1" i="7"/>
  <c r="UDA1" i="7"/>
  <c r="UDB1" i="7"/>
  <c r="UDC1" i="7"/>
  <c r="UDD1" i="7"/>
  <c r="UDE1" i="7"/>
  <c r="UDF1" i="7"/>
  <c r="UDG1" i="7"/>
  <c r="UDH1" i="7"/>
  <c r="UDI1" i="7"/>
  <c r="UDJ1" i="7"/>
  <c r="UDK1" i="7"/>
  <c r="UDL1" i="7"/>
  <c r="UDM1" i="7"/>
  <c r="UDN1" i="7"/>
  <c r="UDO1" i="7"/>
  <c r="UDP1" i="7"/>
  <c r="UDQ1" i="7"/>
  <c r="UDR1" i="7"/>
  <c r="UDS1" i="7"/>
  <c r="UDT1" i="7"/>
  <c r="UDU1" i="7"/>
  <c r="UDV1" i="7"/>
  <c r="UDW1" i="7"/>
  <c r="UDX1" i="7"/>
  <c r="UDY1" i="7"/>
  <c r="UDZ1" i="7"/>
  <c r="UEA1" i="7"/>
  <c r="UEB1" i="7"/>
  <c r="UEC1" i="7"/>
  <c r="UED1" i="7"/>
  <c r="UEE1" i="7"/>
  <c r="UEF1" i="7"/>
  <c r="UEG1" i="7"/>
  <c r="UEH1" i="7"/>
  <c r="UEI1" i="7"/>
  <c r="UEJ1" i="7"/>
  <c r="UEK1" i="7"/>
  <c r="UEL1" i="7"/>
  <c r="UEM1" i="7"/>
  <c r="UEN1" i="7"/>
  <c r="UEO1" i="7"/>
  <c r="UEP1" i="7"/>
  <c r="UEQ1" i="7"/>
  <c r="UER1" i="7"/>
  <c r="UES1" i="7"/>
  <c r="UET1" i="7"/>
  <c r="UEU1" i="7"/>
  <c r="UEV1" i="7"/>
  <c r="UEW1" i="7"/>
  <c r="UEX1" i="7"/>
  <c r="UEY1" i="7"/>
  <c r="UEZ1" i="7"/>
  <c r="UFA1" i="7"/>
  <c r="UFB1" i="7"/>
  <c r="UFC1" i="7"/>
  <c r="UFD1" i="7"/>
  <c r="UFE1" i="7"/>
  <c r="UFF1" i="7"/>
  <c r="UFG1" i="7"/>
  <c r="UFH1" i="7"/>
  <c r="UFI1" i="7"/>
  <c r="UFJ1" i="7"/>
  <c r="UFK1" i="7"/>
  <c r="UFL1" i="7"/>
  <c r="UFM1" i="7"/>
  <c r="UFN1" i="7"/>
  <c r="UFO1" i="7"/>
  <c r="UFP1" i="7"/>
  <c r="UFQ1" i="7"/>
  <c r="UFR1" i="7"/>
  <c r="UFS1" i="7"/>
  <c r="UFT1" i="7"/>
  <c r="UFU1" i="7"/>
  <c r="UFV1" i="7"/>
  <c r="UFW1" i="7"/>
  <c r="UFX1" i="7"/>
  <c r="UFY1" i="7"/>
  <c r="UFZ1" i="7"/>
  <c r="UGA1" i="7"/>
  <c r="UGB1" i="7"/>
  <c r="UGC1" i="7"/>
  <c r="UGD1" i="7"/>
  <c r="UGE1" i="7"/>
  <c r="UGF1" i="7"/>
  <c r="UGG1" i="7"/>
  <c r="UGH1" i="7"/>
  <c r="UGI1" i="7"/>
  <c r="UGJ1" i="7"/>
  <c r="UGK1" i="7"/>
  <c r="UGL1" i="7"/>
  <c r="UGM1" i="7"/>
  <c r="UGN1" i="7"/>
  <c r="UGO1" i="7"/>
  <c r="UGP1" i="7"/>
  <c r="UGQ1" i="7"/>
  <c r="UGR1" i="7"/>
  <c r="UGS1" i="7"/>
  <c r="UGT1" i="7"/>
  <c r="UGU1" i="7"/>
  <c r="UGV1" i="7"/>
  <c r="UGW1" i="7"/>
  <c r="UGX1" i="7"/>
  <c r="UGY1" i="7"/>
  <c r="UGZ1" i="7"/>
  <c r="UHA1" i="7"/>
  <c r="UHB1" i="7"/>
  <c r="UHC1" i="7"/>
  <c r="UHD1" i="7"/>
  <c r="UHE1" i="7"/>
  <c r="UHF1" i="7"/>
  <c r="UHG1" i="7"/>
  <c r="UHH1" i="7"/>
  <c r="UHI1" i="7"/>
  <c r="UHJ1" i="7"/>
  <c r="UHK1" i="7"/>
  <c r="UHL1" i="7"/>
  <c r="UHM1" i="7"/>
  <c r="UHN1" i="7"/>
  <c r="UHO1" i="7"/>
  <c r="UHP1" i="7"/>
  <c r="UHQ1" i="7"/>
  <c r="UHR1" i="7"/>
  <c r="UHS1" i="7"/>
  <c r="UHT1" i="7"/>
  <c r="UHU1" i="7"/>
  <c r="UHV1" i="7"/>
  <c r="UHW1" i="7"/>
  <c r="UHX1" i="7"/>
  <c r="UHY1" i="7"/>
  <c r="UHZ1" i="7"/>
  <c r="UIA1" i="7"/>
  <c r="UIB1" i="7"/>
  <c r="UIC1" i="7"/>
  <c r="UID1" i="7"/>
  <c r="UIE1" i="7"/>
  <c r="UIF1" i="7"/>
  <c r="UIG1" i="7"/>
  <c r="UIH1" i="7"/>
  <c r="UII1" i="7"/>
  <c r="UIJ1" i="7"/>
  <c r="UIK1" i="7"/>
  <c r="UIL1" i="7"/>
  <c r="UIM1" i="7"/>
  <c r="UIN1" i="7"/>
  <c r="UIO1" i="7"/>
  <c r="UIP1" i="7"/>
  <c r="UIQ1" i="7"/>
  <c r="UIR1" i="7"/>
  <c r="UIS1" i="7"/>
  <c r="UIT1" i="7"/>
  <c r="UIU1" i="7"/>
  <c r="UIV1" i="7"/>
  <c r="UIW1" i="7"/>
  <c r="UIX1" i="7"/>
  <c r="UIY1" i="7"/>
  <c r="UIZ1" i="7"/>
  <c r="UJA1" i="7"/>
  <c r="UJB1" i="7"/>
  <c r="UJC1" i="7"/>
  <c r="UJD1" i="7"/>
  <c r="UJE1" i="7"/>
  <c r="UJF1" i="7"/>
  <c r="UJG1" i="7"/>
  <c r="UJH1" i="7"/>
  <c r="UJI1" i="7"/>
  <c r="UJJ1" i="7"/>
  <c r="UJK1" i="7"/>
  <c r="UJL1" i="7"/>
  <c r="UJM1" i="7"/>
  <c r="UJN1" i="7"/>
  <c r="UJO1" i="7"/>
  <c r="UJP1" i="7"/>
  <c r="UJQ1" i="7"/>
  <c r="UJR1" i="7"/>
  <c r="UJS1" i="7"/>
  <c r="UJT1" i="7"/>
  <c r="UJU1" i="7"/>
  <c r="UJV1" i="7"/>
  <c r="UJW1" i="7"/>
  <c r="UJX1" i="7"/>
  <c r="UJY1" i="7"/>
  <c r="UJZ1" i="7"/>
  <c r="UKA1" i="7"/>
  <c r="UKB1" i="7"/>
  <c r="UKC1" i="7"/>
  <c r="UKD1" i="7"/>
  <c r="UKE1" i="7"/>
  <c r="UKF1" i="7"/>
  <c r="UKG1" i="7"/>
  <c r="UKH1" i="7"/>
  <c r="UKI1" i="7"/>
  <c r="UKJ1" i="7"/>
  <c r="UKK1" i="7"/>
  <c r="UKL1" i="7"/>
  <c r="UKM1" i="7"/>
  <c r="UKN1" i="7"/>
  <c r="UKO1" i="7"/>
  <c r="UKP1" i="7"/>
  <c r="UKQ1" i="7"/>
  <c r="UKR1" i="7"/>
  <c r="UKS1" i="7"/>
  <c r="UKT1" i="7"/>
  <c r="UKU1" i="7"/>
  <c r="UKV1" i="7"/>
  <c r="UKW1" i="7"/>
  <c r="UKX1" i="7"/>
  <c r="UKY1" i="7"/>
  <c r="UKZ1" i="7"/>
  <c r="ULA1" i="7"/>
  <c r="ULB1" i="7"/>
  <c r="ULC1" i="7"/>
  <c r="ULD1" i="7"/>
  <c r="ULE1" i="7"/>
  <c r="ULF1" i="7"/>
  <c r="ULG1" i="7"/>
  <c r="ULH1" i="7"/>
  <c r="ULI1" i="7"/>
  <c r="ULJ1" i="7"/>
  <c r="ULK1" i="7"/>
  <c r="ULL1" i="7"/>
  <c r="ULM1" i="7"/>
  <c r="ULN1" i="7"/>
  <c r="ULO1" i="7"/>
  <c r="ULP1" i="7"/>
  <c r="ULQ1" i="7"/>
  <c r="ULR1" i="7"/>
  <c r="ULS1" i="7"/>
  <c r="ULT1" i="7"/>
  <c r="ULU1" i="7"/>
  <c r="ULV1" i="7"/>
  <c r="ULW1" i="7"/>
  <c r="ULX1" i="7"/>
  <c r="ULY1" i="7"/>
  <c r="ULZ1" i="7"/>
  <c r="UMA1" i="7"/>
  <c r="UMB1" i="7"/>
  <c r="UMC1" i="7"/>
  <c r="UMD1" i="7"/>
  <c r="UME1" i="7"/>
  <c r="UMF1" i="7"/>
  <c r="UMG1" i="7"/>
  <c r="UMH1" i="7"/>
  <c r="UMI1" i="7"/>
  <c r="UMJ1" i="7"/>
  <c r="UMK1" i="7"/>
  <c r="UML1" i="7"/>
  <c r="UMM1" i="7"/>
  <c r="UMN1" i="7"/>
  <c r="UMO1" i="7"/>
  <c r="UMP1" i="7"/>
  <c r="UMQ1" i="7"/>
  <c r="UMR1" i="7"/>
  <c r="UMS1" i="7"/>
  <c r="UMT1" i="7"/>
  <c r="UMU1" i="7"/>
  <c r="UMV1" i="7"/>
  <c r="UMW1" i="7"/>
  <c r="UMX1" i="7"/>
  <c r="UMY1" i="7"/>
  <c r="UMZ1" i="7"/>
  <c r="UNA1" i="7"/>
  <c r="UNB1" i="7"/>
  <c r="UNC1" i="7"/>
  <c r="UND1" i="7"/>
  <c r="UNE1" i="7"/>
  <c r="UNF1" i="7"/>
  <c r="UNG1" i="7"/>
  <c r="UNH1" i="7"/>
  <c r="UNI1" i="7"/>
  <c r="UNJ1" i="7"/>
  <c r="UNK1" i="7"/>
  <c r="UNL1" i="7"/>
  <c r="UNM1" i="7"/>
  <c r="UNN1" i="7"/>
  <c r="UNO1" i="7"/>
  <c r="UNP1" i="7"/>
  <c r="UNQ1" i="7"/>
  <c r="UNR1" i="7"/>
  <c r="UNS1" i="7"/>
  <c r="UNT1" i="7"/>
  <c r="UNU1" i="7"/>
  <c r="UNV1" i="7"/>
  <c r="UNW1" i="7"/>
  <c r="UNX1" i="7"/>
  <c r="UNY1" i="7"/>
  <c r="UNZ1" i="7"/>
  <c r="UOA1" i="7"/>
  <c r="UOB1" i="7"/>
  <c r="UOC1" i="7"/>
  <c r="UOD1" i="7"/>
  <c r="UOE1" i="7"/>
  <c r="UOF1" i="7"/>
  <c r="UOG1" i="7"/>
  <c r="UOH1" i="7"/>
  <c r="UOI1" i="7"/>
  <c r="UOJ1" i="7"/>
  <c r="UOK1" i="7"/>
  <c r="UOL1" i="7"/>
  <c r="UOM1" i="7"/>
  <c r="UON1" i="7"/>
  <c r="UOO1" i="7"/>
  <c r="UOP1" i="7"/>
  <c r="UOQ1" i="7"/>
  <c r="UOR1" i="7"/>
  <c r="UOS1" i="7"/>
  <c r="UOT1" i="7"/>
  <c r="UOU1" i="7"/>
  <c r="UOV1" i="7"/>
  <c r="UOW1" i="7"/>
  <c r="UOX1" i="7"/>
  <c r="UOY1" i="7"/>
  <c r="UOZ1" i="7"/>
  <c r="UPA1" i="7"/>
  <c r="UPB1" i="7"/>
  <c r="UPC1" i="7"/>
  <c r="UPD1" i="7"/>
  <c r="UPE1" i="7"/>
  <c r="UPF1" i="7"/>
  <c r="UPG1" i="7"/>
  <c r="UPH1" i="7"/>
  <c r="UPI1" i="7"/>
  <c r="UPJ1" i="7"/>
  <c r="UPK1" i="7"/>
  <c r="UPL1" i="7"/>
  <c r="UPM1" i="7"/>
  <c r="UPN1" i="7"/>
  <c r="UPO1" i="7"/>
  <c r="UPP1" i="7"/>
  <c r="UPQ1" i="7"/>
  <c r="UPR1" i="7"/>
  <c r="UPS1" i="7"/>
  <c r="UPT1" i="7"/>
  <c r="UPU1" i="7"/>
  <c r="UPV1" i="7"/>
  <c r="UPW1" i="7"/>
  <c r="UPX1" i="7"/>
  <c r="UPY1" i="7"/>
  <c r="UPZ1" i="7"/>
  <c r="UQA1" i="7"/>
  <c r="UQB1" i="7"/>
  <c r="UQC1" i="7"/>
  <c r="UQD1" i="7"/>
  <c r="UQE1" i="7"/>
  <c r="UQF1" i="7"/>
  <c r="UQG1" i="7"/>
  <c r="UQH1" i="7"/>
  <c r="UQI1" i="7"/>
  <c r="UQJ1" i="7"/>
  <c r="UQK1" i="7"/>
  <c r="UQL1" i="7"/>
  <c r="UQM1" i="7"/>
  <c r="UQN1" i="7"/>
  <c r="UQO1" i="7"/>
  <c r="UQP1" i="7"/>
  <c r="UQQ1" i="7"/>
  <c r="UQR1" i="7"/>
  <c r="UQS1" i="7"/>
  <c r="UQT1" i="7"/>
  <c r="UQU1" i="7"/>
  <c r="UQV1" i="7"/>
  <c r="UQW1" i="7"/>
  <c r="UQX1" i="7"/>
  <c r="UQY1" i="7"/>
  <c r="UQZ1" i="7"/>
  <c r="URA1" i="7"/>
  <c r="URB1" i="7"/>
  <c r="URC1" i="7"/>
  <c r="URD1" i="7"/>
  <c r="URE1" i="7"/>
  <c r="URF1" i="7"/>
  <c r="URG1" i="7"/>
  <c r="URH1" i="7"/>
  <c r="URI1" i="7"/>
  <c r="URJ1" i="7"/>
  <c r="URK1" i="7"/>
  <c r="URL1" i="7"/>
  <c r="URM1" i="7"/>
  <c r="URN1" i="7"/>
  <c r="URO1" i="7"/>
  <c r="URP1" i="7"/>
  <c r="URQ1" i="7"/>
  <c r="URR1" i="7"/>
  <c r="URS1" i="7"/>
  <c r="URT1" i="7"/>
  <c r="URU1" i="7"/>
  <c r="URV1" i="7"/>
  <c r="URW1" i="7"/>
  <c r="URX1" i="7"/>
  <c r="URY1" i="7"/>
  <c r="URZ1" i="7"/>
  <c r="USA1" i="7"/>
  <c r="USB1" i="7"/>
  <c r="USC1" i="7"/>
  <c r="USD1" i="7"/>
  <c r="USE1" i="7"/>
  <c r="USF1" i="7"/>
  <c r="USG1" i="7"/>
  <c r="USH1" i="7"/>
  <c r="USI1" i="7"/>
  <c r="USJ1" i="7"/>
  <c r="USK1" i="7"/>
  <c r="USL1" i="7"/>
  <c r="USM1" i="7"/>
  <c r="USN1" i="7"/>
  <c r="USO1" i="7"/>
  <c r="USP1" i="7"/>
  <c r="USQ1" i="7"/>
  <c r="USR1" i="7"/>
  <c r="USS1" i="7"/>
  <c r="UST1" i="7"/>
  <c r="USU1" i="7"/>
  <c r="USV1" i="7"/>
  <c r="USW1" i="7"/>
  <c r="USX1" i="7"/>
  <c r="USY1" i="7"/>
  <c r="USZ1" i="7"/>
  <c r="UTA1" i="7"/>
  <c r="UTB1" i="7"/>
  <c r="UTC1" i="7"/>
  <c r="UTD1" i="7"/>
  <c r="UTE1" i="7"/>
  <c r="UTF1" i="7"/>
  <c r="UTG1" i="7"/>
  <c r="UTH1" i="7"/>
  <c r="UTI1" i="7"/>
  <c r="UTJ1" i="7"/>
  <c r="UTK1" i="7"/>
  <c r="UTL1" i="7"/>
  <c r="UTM1" i="7"/>
  <c r="UTN1" i="7"/>
  <c r="UTO1" i="7"/>
  <c r="UTP1" i="7"/>
  <c r="UTQ1" i="7"/>
  <c r="UTR1" i="7"/>
  <c r="UTS1" i="7"/>
  <c r="UTT1" i="7"/>
  <c r="UTU1" i="7"/>
  <c r="UTV1" i="7"/>
  <c r="UTW1" i="7"/>
  <c r="UTX1" i="7"/>
  <c r="UTY1" i="7"/>
  <c r="UTZ1" i="7"/>
  <c r="UUA1" i="7"/>
  <c r="UUB1" i="7"/>
  <c r="UUC1" i="7"/>
  <c r="UUD1" i="7"/>
  <c r="UUE1" i="7"/>
  <c r="UUF1" i="7"/>
  <c r="UUG1" i="7"/>
  <c r="UUH1" i="7"/>
  <c r="UUI1" i="7"/>
  <c r="UUJ1" i="7"/>
  <c r="UUK1" i="7"/>
  <c r="UUL1" i="7"/>
  <c r="UUM1" i="7"/>
  <c r="UUN1" i="7"/>
  <c r="UUO1" i="7"/>
  <c r="UUP1" i="7"/>
  <c r="UUQ1" i="7"/>
  <c r="UUR1" i="7"/>
  <c r="UUS1" i="7"/>
  <c r="UUT1" i="7"/>
  <c r="UUU1" i="7"/>
  <c r="UUV1" i="7"/>
  <c r="UUW1" i="7"/>
  <c r="UUX1" i="7"/>
  <c r="UUY1" i="7"/>
  <c r="UUZ1" i="7"/>
  <c r="UVA1" i="7"/>
  <c r="UVB1" i="7"/>
  <c r="UVC1" i="7"/>
  <c r="UVD1" i="7"/>
  <c r="UVE1" i="7"/>
  <c r="UVF1" i="7"/>
  <c r="UVG1" i="7"/>
  <c r="UVH1" i="7"/>
  <c r="UVI1" i="7"/>
  <c r="UVJ1" i="7"/>
  <c r="UVK1" i="7"/>
  <c r="UVL1" i="7"/>
  <c r="UVM1" i="7"/>
  <c r="UVN1" i="7"/>
  <c r="UVO1" i="7"/>
  <c r="UVP1" i="7"/>
  <c r="UVQ1" i="7"/>
  <c r="UVR1" i="7"/>
  <c r="UVS1" i="7"/>
  <c r="UVT1" i="7"/>
  <c r="UVU1" i="7"/>
  <c r="UVV1" i="7"/>
  <c r="UVW1" i="7"/>
  <c r="UVX1" i="7"/>
  <c r="UVY1" i="7"/>
  <c r="UVZ1" i="7"/>
  <c r="UWA1" i="7"/>
  <c r="UWB1" i="7"/>
  <c r="UWC1" i="7"/>
  <c r="UWD1" i="7"/>
  <c r="UWE1" i="7"/>
  <c r="UWF1" i="7"/>
  <c r="UWG1" i="7"/>
  <c r="UWH1" i="7"/>
  <c r="UWI1" i="7"/>
  <c r="UWJ1" i="7"/>
  <c r="UWK1" i="7"/>
  <c r="UWL1" i="7"/>
  <c r="UWM1" i="7"/>
  <c r="UWN1" i="7"/>
  <c r="UWO1" i="7"/>
  <c r="UWP1" i="7"/>
  <c r="UWQ1" i="7"/>
  <c r="UWR1" i="7"/>
  <c r="UWS1" i="7"/>
  <c r="UWT1" i="7"/>
  <c r="UWU1" i="7"/>
  <c r="UWV1" i="7"/>
  <c r="UWW1" i="7"/>
  <c r="UWX1" i="7"/>
  <c r="UWY1" i="7"/>
  <c r="UWZ1" i="7"/>
  <c r="UXA1" i="7"/>
  <c r="UXB1" i="7"/>
  <c r="UXC1" i="7"/>
  <c r="UXD1" i="7"/>
  <c r="UXE1" i="7"/>
  <c r="UXF1" i="7"/>
  <c r="UXG1" i="7"/>
  <c r="UXH1" i="7"/>
  <c r="UXI1" i="7"/>
  <c r="UXJ1" i="7"/>
  <c r="UXK1" i="7"/>
  <c r="UXL1" i="7"/>
  <c r="UXM1" i="7"/>
  <c r="UXN1" i="7"/>
  <c r="UXO1" i="7"/>
  <c r="UXP1" i="7"/>
  <c r="UXQ1" i="7"/>
  <c r="UXR1" i="7"/>
  <c r="UXS1" i="7"/>
  <c r="UXT1" i="7"/>
  <c r="UXU1" i="7"/>
  <c r="UXV1" i="7"/>
  <c r="UXW1" i="7"/>
  <c r="UXX1" i="7"/>
  <c r="UXY1" i="7"/>
  <c r="UXZ1" i="7"/>
  <c r="UYA1" i="7"/>
  <c r="UYB1" i="7"/>
  <c r="UYC1" i="7"/>
  <c r="UYD1" i="7"/>
  <c r="UYE1" i="7"/>
  <c r="UYF1" i="7"/>
  <c r="UYG1" i="7"/>
  <c r="UYH1" i="7"/>
  <c r="UYI1" i="7"/>
  <c r="UYJ1" i="7"/>
  <c r="UYK1" i="7"/>
  <c r="UYL1" i="7"/>
  <c r="UYM1" i="7"/>
  <c r="UYN1" i="7"/>
  <c r="UYO1" i="7"/>
  <c r="UYP1" i="7"/>
  <c r="UYQ1" i="7"/>
  <c r="UYR1" i="7"/>
  <c r="UYS1" i="7"/>
  <c r="UYT1" i="7"/>
  <c r="UYU1" i="7"/>
  <c r="UYV1" i="7"/>
  <c r="UYW1" i="7"/>
  <c r="UYX1" i="7"/>
  <c r="UYY1" i="7"/>
  <c r="UYZ1" i="7"/>
  <c r="UZA1" i="7"/>
  <c r="UZB1" i="7"/>
  <c r="UZC1" i="7"/>
  <c r="UZD1" i="7"/>
  <c r="UZE1" i="7"/>
  <c r="UZF1" i="7"/>
  <c r="UZG1" i="7"/>
  <c r="UZH1" i="7"/>
  <c r="UZI1" i="7"/>
  <c r="UZJ1" i="7"/>
  <c r="UZK1" i="7"/>
  <c r="UZL1" i="7"/>
  <c r="UZM1" i="7"/>
  <c r="UZN1" i="7"/>
  <c r="UZO1" i="7"/>
  <c r="UZP1" i="7"/>
  <c r="UZQ1" i="7"/>
  <c r="UZR1" i="7"/>
  <c r="UZS1" i="7"/>
  <c r="UZT1" i="7"/>
  <c r="UZU1" i="7"/>
  <c r="UZV1" i="7"/>
  <c r="UZW1" i="7"/>
  <c r="UZX1" i="7"/>
  <c r="UZY1" i="7"/>
  <c r="UZZ1" i="7"/>
  <c r="VAA1" i="7"/>
  <c r="VAB1" i="7"/>
  <c r="VAC1" i="7"/>
  <c r="VAD1" i="7"/>
  <c r="VAE1" i="7"/>
  <c r="VAF1" i="7"/>
  <c r="VAG1" i="7"/>
  <c r="VAH1" i="7"/>
  <c r="VAI1" i="7"/>
  <c r="VAJ1" i="7"/>
  <c r="VAK1" i="7"/>
  <c r="VAL1" i="7"/>
  <c r="VAM1" i="7"/>
  <c r="VAN1" i="7"/>
  <c r="VAO1" i="7"/>
  <c r="VAP1" i="7"/>
  <c r="VAQ1" i="7"/>
  <c r="VAR1" i="7"/>
  <c r="VAS1" i="7"/>
  <c r="VAT1" i="7"/>
  <c r="VAU1" i="7"/>
  <c r="VAV1" i="7"/>
  <c r="VAW1" i="7"/>
  <c r="VAX1" i="7"/>
  <c r="VAY1" i="7"/>
  <c r="VAZ1" i="7"/>
  <c r="VBA1" i="7"/>
  <c r="VBB1" i="7"/>
  <c r="VBC1" i="7"/>
  <c r="VBD1" i="7"/>
  <c r="VBE1" i="7"/>
  <c r="VBF1" i="7"/>
  <c r="VBG1" i="7"/>
  <c r="VBH1" i="7"/>
  <c r="VBI1" i="7"/>
  <c r="VBJ1" i="7"/>
  <c r="VBK1" i="7"/>
  <c r="VBL1" i="7"/>
  <c r="VBM1" i="7"/>
  <c r="VBN1" i="7"/>
  <c r="VBO1" i="7"/>
  <c r="VBP1" i="7"/>
  <c r="VBQ1" i="7"/>
  <c r="VBR1" i="7"/>
  <c r="VBS1" i="7"/>
  <c r="VBT1" i="7"/>
  <c r="VBU1" i="7"/>
  <c r="VBV1" i="7"/>
  <c r="VBW1" i="7"/>
  <c r="VBX1" i="7"/>
  <c r="VBY1" i="7"/>
  <c r="VBZ1" i="7"/>
  <c r="VCA1" i="7"/>
  <c r="VCB1" i="7"/>
  <c r="VCC1" i="7"/>
  <c r="VCD1" i="7"/>
  <c r="VCE1" i="7"/>
  <c r="VCF1" i="7"/>
  <c r="VCG1" i="7"/>
  <c r="VCH1" i="7"/>
  <c r="VCI1" i="7"/>
  <c r="VCJ1" i="7"/>
  <c r="VCK1" i="7"/>
  <c r="VCL1" i="7"/>
  <c r="VCM1" i="7"/>
  <c r="VCN1" i="7"/>
  <c r="VCO1" i="7"/>
  <c r="VCP1" i="7"/>
  <c r="VCQ1" i="7"/>
  <c r="VCR1" i="7"/>
  <c r="VCS1" i="7"/>
  <c r="VCT1" i="7"/>
  <c r="VCU1" i="7"/>
  <c r="VCV1" i="7"/>
  <c r="VCW1" i="7"/>
  <c r="VCX1" i="7"/>
  <c r="VCY1" i="7"/>
  <c r="VCZ1" i="7"/>
  <c r="VDA1" i="7"/>
  <c r="VDB1" i="7"/>
  <c r="VDC1" i="7"/>
  <c r="VDD1" i="7"/>
  <c r="VDE1" i="7"/>
  <c r="VDF1" i="7"/>
  <c r="VDG1" i="7"/>
  <c r="VDH1" i="7"/>
  <c r="VDI1" i="7"/>
  <c r="VDJ1" i="7"/>
  <c r="VDK1" i="7"/>
  <c r="VDL1" i="7"/>
  <c r="VDM1" i="7"/>
  <c r="VDN1" i="7"/>
  <c r="VDO1" i="7"/>
  <c r="VDP1" i="7"/>
  <c r="VDQ1" i="7"/>
  <c r="VDR1" i="7"/>
  <c r="VDS1" i="7"/>
  <c r="VDT1" i="7"/>
  <c r="VDU1" i="7"/>
  <c r="VDV1" i="7"/>
  <c r="VDW1" i="7"/>
  <c r="VDX1" i="7"/>
  <c r="VDY1" i="7"/>
  <c r="VDZ1" i="7"/>
  <c r="VEA1" i="7"/>
  <c r="VEB1" i="7"/>
  <c r="VEC1" i="7"/>
  <c r="VED1" i="7"/>
  <c r="VEE1" i="7"/>
  <c r="VEF1" i="7"/>
  <c r="VEG1" i="7"/>
  <c r="VEH1" i="7"/>
  <c r="VEI1" i="7"/>
  <c r="VEJ1" i="7"/>
  <c r="VEK1" i="7"/>
  <c r="VEL1" i="7"/>
  <c r="VEM1" i="7"/>
  <c r="VEN1" i="7"/>
  <c r="VEO1" i="7"/>
  <c r="VEP1" i="7"/>
  <c r="VEQ1" i="7"/>
  <c r="VER1" i="7"/>
  <c r="VES1" i="7"/>
  <c r="VET1" i="7"/>
  <c r="VEU1" i="7"/>
  <c r="VEV1" i="7"/>
  <c r="VEW1" i="7"/>
  <c r="VEX1" i="7"/>
  <c r="VEY1" i="7"/>
  <c r="VEZ1" i="7"/>
  <c r="VFA1" i="7"/>
  <c r="VFB1" i="7"/>
  <c r="VFC1" i="7"/>
  <c r="VFD1" i="7"/>
  <c r="VFE1" i="7"/>
  <c r="VFF1" i="7"/>
  <c r="VFG1" i="7"/>
  <c r="VFH1" i="7"/>
  <c r="VFI1" i="7"/>
  <c r="VFJ1" i="7"/>
  <c r="VFK1" i="7"/>
  <c r="VFL1" i="7"/>
  <c r="VFM1" i="7"/>
  <c r="VFN1" i="7"/>
  <c r="VFO1" i="7"/>
  <c r="VFP1" i="7"/>
  <c r="VFQ1" i="7"/>
  <c r="VFR1" i="7"/>
  <c r="VFS1" i="7"/>
  <c r="VFT1" i="7"/>
  <c r="VFU1" i="7"/>
  <c r="VFV1" i="7"/>
  <c r="VFW1" i="7"/>
  <c r="VFX1" i="7"/>
  <c r="VFY1" i="7"/>
  <c r="VFZ1" i="7"/>
  <c r="VGA1" i="7"/>
  <c r="VGB1" i="7"/>
  <c r="VGC1" i="7"/>
  <c r="VGD1" i="7"/>
  <c r="VGE1" i="7"/>
  <c r="VGF1" i="7"/>
  <c r="VGG1" i="7"/>
  <c r="VGH1" i="7"/>
  <c r="VGI1" i="7"/>
  <c r="VGJ1" i="7"/>
  <c r="VGK1" i="7"/>
  <c r="VGL1" i="7"/>
  <c r="VGM1" i="7"/>
  <c r="VGN1" i="7"/>
  <c r="VGO1" i="7"/>
  <c r="VGP1" i="7"/>
  <c r="VGQ1" i="7"/>
  <c r="VGR1" i="7"/>
  <c r="VGS1" i="7"/>
  <c r="VGT1" i="7"/>
  <c r="VGU1" i="7"/>
  <c r="VGV1" i="7"/>
  <c r="VGW1" i="7"/>
  <c r="VGX1" i="7"/>
  <c r="VGY1" i="7"/>
  <c r="VGZ1" i="7"/>
  <c r="VHA1" i="7"/>
  <c r="VHB1" i="7"/>
  <c r="VHC1" i="7"/>
  <c r="VHD1" i="7"/>
  <c r="VHE1" i="7"/>
  <c r="VHF1" i="7"/>
  <c r="VHG1" i="7"/>
  <c r="VHH1" i="7"/>
  <c r="VHI1" i="7"/>
  <c r="VHJ1" i="7"/>
  <c r="VHK1" i="7"/>
  <c r="VHL1" i="7"/>
  <c r="VHM1" i="7"/>
  <c r="VHN1" i="7"/>
  <c r="VHO1" i="7"/>
  <c r="VHP1" i="7"/>
  <c r="VHQ1" i="7"/>
  <c r="VHR1" i="7"/>
  <c r="VHS1" i="7"/>
  <c r="VHT1" i="7"/>
  <c r="VHU1" i="7"/>
  <c r="VHV1" i="7"/>
  <c r="VHW1" i="7"/>
  <c r="VHX1" i="7"/>
  <c r="VHY1" i="7"/>
  <c r="VHZ1" i="7"/>
  <c r="VIA1" i="7"/>
  <c r="VIB1" i="7"/>
  <c r="VIC1" i="7"/>
  <c r="VID1" i="7"/>
  <c r="VIE1" i="7"/>
  <c r="VIF1" i="7"/>
  <c r="VIG1" i="7"/>
  <c r="VIH1" i="7"/>
  <c r="VII1" i="7"/>
  <c r="VIJ1" i="7"/>
  <c r="VIK1" i="7"/>
  <c r="VIL1" i="7"/>
  <c r="VIM1" i="7"/>
  <c r="VIN1" i="7"/>
  <c r="VIO1" i="7"/>
  <c r="VIP1" i="7"/>
  <c r="VIQ1" i="7"/>
  <c r="VIR1" i="7"/>
  <c r="VIS1" i="7"/>
  <c r="VIT1" i="7"/>
  <c r="VIU1" i="7"/>
  <c r="VIV1" i="7"/>
  <c r="VIW1" i="7"/>
  <c r="VIX1" i="7"/>
  <c r="VIY1" i="7"/>
  <c r="VIZ1" i="7"/>
  <c r="VJA1" i="7"/>
  <c r="VJB1" i="7"/>
  <c r="VJC1" i="7"/>
  <c r="VJD1" i="7"/>
  <c r="VJE1" i="7"/>
  <c r="VJF1" i="7"/>
  <c r="VJG1" i="7"/>
  <c r="VJH1" i="7"/>
  <c r="VJI1" i="7"/>
  <c r="VJJ1" i="7"/>
  <c r="VJK1" i="7"/>
  <c r="VJL1" i="7"/>
  <c r="VJM1" i="7"/>
  <c r="VJN1" i="7"/>
  <c r="VJO1" i="7"/>
  <c r="VJP1" i="7"/>
  <c r="VJQ1" i="7"/>
  <c r="VJR1" i="7"/>
  <c r="VJS1" i="7"/>
  <c r="VJT1" i="7"/>
  <c r="VJU1" i="7"/>
  <c r="VJV1" i="7"/>
  <c r="VJW1" i="7"/>
  <c r="VJX1" i="7"/>
  <c r="VJY1" i="7"/>
  <c r="VJZ1" i="7"/>
  <c r="VKA1" i="7"/>
  <c r="VKB1" i="7"/>
  <c r="VKC1" i="7"/>
  <c r="VKD1" i="7"/>
  <c r="VKE1" i="7"/>
  <c r="VKF1" i="7"/>
  <c r="VKG1" i="7"/>
  <c r="VKH1" i="7"/>
  <c r="VKI1" i="7"/>
  <c r="VKJ1" i="7"/>
  <c r="VKK1" i="7"/>
  <c r="VKL1" i="7"/>
  <c r="VKM1" i="7"/>
  <c r="VKN1" i="7"/>
  <c r="VKO1" i="7"/>
  <c r="VKP1" i="7"/>
  <c r="VKQ1" i="7"/>
  <c r="VKR1" i="7"/>
  <c r="VKS1" i="7"/>
  <c r="VKT1" i="7"/>
  <c r="VKU1" i="7"/>
  <c r="VKV1" i="7"/>
  <c r="VKW1" i="7"/>
  <c r="VKX1" i="7"/>
  <c r="VKY1" i="7"/>
  <c r="VKZ1" i="7"/>
  <c r="VLA1" i="7"/>
  <c r="VLB1" i="7"/>
  <c r="VLC1" i="7"/>
  <c r="VLD1" i="7"/>
  <c r="VLE1" i="7"/>
  <c r="VLF1" i="7"/>
  <c r="VLG1" i="7"/>
  <c r="VLH1" i="7"/>
  <c r="VLI1" i="7"/>
  <c r="VLJ1" i="7"/>
  <c r="VLK1" i="7"/>
  <c r="VLL1" i="7"/>
  <c r="VLM1" i="7"/>
  <c r="VLN1" i="7"/>
  <c r="VLO1" i="7"/>
  <c r="VLP1" i="7"/>
  <c r="VLQ1" i="7"/>
  <c r="VLR1" i="7"/>
  <c r="VLS1" i="7"/>
  <c r="VLT1" i="7"/>
  <c r="VLU1" i="7"/>
  <c r="VLV1" i="7"/>
  <c r="VLW1" i="7"/>
  <c r="VLX1" i="7"/>
  <c r="VLY1" i="7"/>
  <c r="VLZ1" i="7"/>
  <c r="VMA1" i="7"/>
  <c r="VMB1" i="7"/>
  <c r="VMC1" i="7"/>
  <c r="VMD1" i="7"/>
  <c r="VME1" i="7"/>
  <c r="VMF1" i="7"/>
  <c r="VMG1" i="7"/>
  <c r="VMH1" i="7"/>
  <c r="VMI1" i="7"/>
  <c r="VMJ1" i="7"/>
  <c r="VMK1" i="7"/>
  <c r="VML1" i="7"/>
  <c r="VMM1" i="7"/>
  <c r="VMN1" i="7"/>
  <c r="VMO1" i="7"/>
  <c r="VMP1" i="7"/>
  <c r="VMQ1" i="7"/>
  <c r="VMR1" i="7"/>
  <c r="VMS1" i="7"/>
  <c r="VMT1" i="7"/>
  <c r="VMU1" i="7"/>
  <c r="VMV1" i="7"/>
  <c r="VMW1" i="7"/>
  <c r="VMX1" i="7"/>
  <c r="VMY1" i="7"/>
  <c r="VMZ1" i="7"/>
  <c r="VNA1" i="7"/>
  <c r="VNB1" i="7"/>
  <c r="VNC1" i="7"/>
  <c r="VND1" i="7"/>
  <c r="VNE1" i="7"/>
  <c r="VNF1" i="7"/>
  <c r="VNG1" i="7"/>
  <c r="VNH1" i="7"/>
  <c r="VNI1" i="7"/>
  <c r="VNJ1" i="7"/>
  <c r="VNK1" i="7"/>
  <c r="VNL1" i="7"/>
  <c r="VNM1" i="7"/>
  <c r="VNN1" i="7"/>
  <c r="VNO1" i="7"/>
  <c r="VNP1" i="7"/>
  <c r="VNQ1" i="7"/>
  <c r="VNR1" i="7"/>
  <c r="VNS1" i="7"/>
  <c r="VNT1" i="7"/>
  <c r="VNU1" i="7"/>
  <c r="VNV1" i="7"/>
  <c r="VNW1" i="7"/>
  <c r="VNX1" i="7"/>
  <c r="VNY1" i="7"/>
  <c r="VNZ1" i="7"/>
  <c r="VOA1" i="7"/>
  <c r="VOB1" i="7"/>
  <c r="VOC1" i="7"/>
  <c r="VOD1" i="7"/>
  <c r="VOE1" i="7"/>
  <c r="VOF1" i="7"/>
  <c r="VOG1" i="7"/>
  <c r="VOH1" i="7"/>
  <c r="VOI1" i="7"/>
  <c r="PFF2" i="7"/>
  <c r="PFG2" i="7"/>
  <c r="PFH2" i="7"/>
  <c r="PFI2" i="7"/>
  <c r="PFJ2" i="7"/>
  <c r="PFK2" i="7"/>
  <c r="PFL2" i="7"/>
  <c r="PFM2" i="7"/>
  <c r="PFN2" i="7"/>
  <c r="PFO2" i="7"/>
  <c r="PFP2" i="7"/>
  <c r="PFQ2" i="7"/>
  <c r="PFR2" i="7"/>
  <c r="PFS2" i="7"/>
  <c r="PFT2" i="7"/>
  <c r="PFU2" i="7"/>
  <c r="PFV2" i="7"/>
  <c r="PFW2" i="7"/>
  <c r="PFX2" i="7"/>
  <c r="PFY2" i="7"/>
  <c r="PFZ2" i="7"/>
  <c r="PGA2" i="7"/>
  <c r="PGB2" i="7"/>
  <c r="PGC2" i="7"/>
  <c r="PGD2" i="7"/>
  <c r="PGE2" i="7"/>
  <c r="PGF2" i="7"/>
  <c r="PGG2" i="7"/>
  <c r="PGH2" i="7"/>
  <c r="PGI2" i="7"/>
  <c r="PGJ2" i="7"/>
  <c r="PGK2" i="7"/>
  <c r="PGL2" i="7"/>
  <c r="PGM2" i="7"/>
  <c r="PGN2" i="7"/>
  <c r="PGO2" i="7"/>
  <c r="PGP2" i="7"/>
  <c r="PGQ2" i="7"/>
  <c r="PGR2" i="7"/>
  <c r="PGS2" i="7"/>
  <c r="PGT2" i="7"/>
  <c r="PGU2" i="7"/>
  <c r="PGV2" i="7"/>
  <c r="PGW2" i="7"/>
  <c r="PGX2" i="7"/>
  <c r="PGY2" i="7"/>
  <c r="PGZ2" i="7"/>
  <c r="PHA2" i="7"/>
  <c r="PHB2" i="7"/>
  <c r="PHC2" i="7"/>
  <c r="PHD2" i="7"/>
  <c r="PHE2" i="7"/>
  <c r="PHF2" i="7"/>
  <c r="PHG2" i="7"/>
  <c r="PHH2" i="7"/>
  <c r="PHI2" i="7"/>
  <c r="PHJ2" i="7"/>
  <c r="PHK2" i="7"/>
  <c r="PHL2" i="7"/>
  <c r="PHM2" i="7"/>
  <c r="PHN2" i="7"/>
  <c r="PHO2" i="7"/>
  <c r="PHP2" i="7"/>
  <c r="PHQ2" i="7"/>
  <c r="PHR2" i="7"/>
  <c r="PHS2" i="7"/>
  <c r="PHT2" i="7"/>
  <c r="PHU2" i="7"/>
  <c r="PHV2" i="7"/>
  <c r="PHW2" i="7"/>
  <c r="PHX2" i="7"/>
  <c r="PHY2" i="7"/>
  <c r="PHZ2" i="7"/>
  <c r="PIA2" i="7"/>
  <c r="PIB2" i="7"/>
  <c r="PIC2" i="7"/>
  <c r="PID2" i="7"/>
  <c r="PIE2" i="7"/>
  <c r="PIF2" i="7"/>
  <c r="PIG2" i="7"/>
  <c r="PIH2" i="7"/>
  <c r="PII2" i="7"/>
  <c r="PIJ2" i="7"/>
  <c r="PIK2" i="7"/>
  <c r="PIL2" i="7"/>
  <c r="PIM2" i="7"/>
  <c r="PIN2" i="7"/>
  <c r="PIO2" i="7"/>
  <c r="PIP2" i="7"/>
  <c r="PIQ2" i="7"/>
  <c r="PIR2" i="7"/>
  <c r="PIS2" i="7"/>
  <c r="PIT2" i="7"/>
  <c r="PIU2" i="7"/>
  <c r="PIV2" i="7"/>
  <c r="PIW2" i="7"/>
  <c r="PIX2" i="7"/>
  <c r="PIY2" i="7"/>
  <c r="PIZ2" i="7"/>
  <c r="PJA2" i="7"/>
  <c r="PJB2" i="7"/>
  <c r="PJC2" i="7"/>
  <c r="PJD2" i="7"/>
  <c r="PJE2" i="7"/>
  <c r="PJF2" i="7"/>
  <c r="PJG2" i="7"/>
  <c r="PJH2" i="7"/>
  <c r="PJI2" i="7"/>
  <c r="PJJ2" i="7"/>
  <c r="PJK2" i="7"/>
  <c r="PJL2" i="7"/>
  <c r="PJM2" i="7"/>
  <c r="PJN2" i="7"/>
  <c r="PJO2" i="7"/>
  <c r="PJP2" i="7"/>
  <c r="PJQ2" i="7"/>
  <c r="PJR2" i="7"/>
  <c r="PJS2" i="7"/>
  <c r="PJT2" i="7"/>
  <c r="PJU2" i="7"/>
  <c r="PJV2" i="7"/>
  <c r="PJW2" i="7"/>
  <c r="PJX2" i="7"/>
  <c r="PJY2" i="7"/>
  <c r="PJZ2" i="7"/>
  <c r="PKA2" i="7"/>
  <c r="PKB2" i="7"/>
  <c r="PKC2" i="7"/>
  <c r="PKD2" i="7"/>
  <c r="PKE2" i="7"/>
  <c r="PKF2" i="7"/>
  <c r="PKG2" i="7"/>
  <c r="PKH2" i="7"/>
  <c r="PKI2" i="7"/>
  <c r="PKJ2" i="7"/>
  <c r="PKK2" i="7"/>
  <c r="PKL2" i="7"/>
  <c r="PKM2" i="7"/>
  <c r="PKN2" i="7"/>
  <c r="PKO2" i="7"/>
  <c r="PKP2" i="7"/>
  <c r="PKQ2" i="7"/>
  <c r="PKR2" i="7"/>
  <c r="PKS2" i="7"/>
  <c r="PKT2" i="7"/>
  <c r="PKU2" i="7"/>
  <c r="PKV2" i="7"/>
  <c r="PKW2" i="7"/>
  <c r="PKX2" i="7"/>
  <c r="PKY2" i="7"/>
  <c r="PKZ2" i="7"/>
  <c r="PLA2" i="7"/>
  <c r="PLB2" i="7"/>
  <c r="PLC2" i="7"/>
  <c r="PLD2" i="7"/>
  <c r="PLE2" i="7"/>
  <c r="PLF2" i="7"/>
  <c r="PLG2" i="7"/>
  <c r="PLH2" i="7"/>
  <c r="PLI2" i="7"/>
  <c r="PLJ2" i="7"/>
  <c r="PLK2" i="7"/>
  <c r="PLL2" i="7"/>
  <c r="PLM2" i="7"/>
  <c r="PLN2" i="7"/>
  <c r="PLO2" i="7"/>
  <c r="PLP2" i="7"/>
  <c r="PLQ2" i="7"/>
  <c r="PLR2" i="7"/>
  <c r="PLS2" i="7"/>
  <c r="PLT2" i="7"/>
  <c r="PLU2" i="7"/>
  <c r="PLV2" i="7"/>
  <c r="PLW2" i="7"/>
  <c r="PLX2" i="7"/>
  <c r="PLY2" i="7"/>
  <c r="PLZ2" i="7"/>
  <c r="PMA2" i="7"/>
  <c r="PMB2" i="7"/>
  <c r="PMC2" i="7"/>
  <c r="PMD2" i="7"/>
  <c r="PME2" i="7"/>
  <c r="PMF2" i="7"/>
  <c r="PMG2" i="7"/>
  <c r="PMH2" i="7"/>
  <c r="PMI2" i="7"/>
  <c r="PMJ2" i="7"/>
  <c r="PMK2" i="7"/>
  <c r="PML2" i="7"/>
  <c r="PMM2" i="7"/>
  <c r="PMN2" i="7"/>
  <c r="PMO2" i="7"/>
  <c r="PMP2" i="7"/>
  <c r="PMQ2" i="7"/>
  <c r="PMR2" i="7"/>
  <c r="PMS2" i="7"/>
  <c r="PMT2" i="7"/>
  <c r="PMU2" i="7"/>
  <c r="PMV2" i="7"/>
  <c r="PMW2" i="7"/>
  <c r="PMX2" i="7"/>
  <c r="PMY2" i="7"/>
  <c r="PMZ2" i="7"/>
  <c r="PNA2" i="7"/>
  <c r="PNB2" i="7"/>
  <c r="PNC2" i="7"/>
  <c r="PND2" i="7"/>
  <c r="PNE2" i="7"/>
  <c r="PNF2" i="7"/>
  <c r="PNG2" i="7"/>
  <c r="PNH2" i="7"/>
  <c r="PNI2" i="7"/>
  <c r="PNJ2" i="7"/>
  <c r="PNK2" i="7"/>
  <c r="PNL2" i="7"/>
  <c r="PNM2" i="7"/>
  <c r="PNN2" i="7"/>
  <c r="PNO2" i="7"/>
  <c r="PNP2" i="7"/>
  <c r="PNQ2" i="7"/>
  <c r="PNR2" i="7"/>
  <c r="PNS2" i="7"/>
  <c r="PNT2" i="7"/>
  <c r="PNU2" i="7"/>
  <c r="PNV2" i="7"/>
  <c r="PNW2" i="7"/>
  <c r="PNX2" i="7"/>
  <c r="PNY2" i="7"/>
  <c r="PNZ2" i="7"/>
  <c r="POA2" i="7"/>
  <c r="POB2" i="7"/>
  <c r="POC2" i="7"/>
  <c r="POD2" i="7"/>
  <c r="POE2" i="7"/>
  <c r="POF2" i="7"/>
  <c r="POG2" i="7"/>
  <c r="POH2" i="7"/>
  <c r="POI2" i="7"/>
  <c r="POJ2" i="7"/>
  <c r="POK2" i="7"/>
  <c r="POL2" i="7"/>
  <c r="POM2" i="7"/>
  <c r="PON2" i="7"/>
  <c r="POO2" i="7"/>
  <c r="POP2" i="7"/>
  <c r="POQ2" i="7"/>
  <c r="POR2" i="7"/>
  <c r="POS2" i="7"/>
  <c r="POT2" i="7"/>
  <c r="POU2" i="7"/>
  <c r="POV2" i="7"/>
  <c r="POW2" i="7"/>
  <c r="POX2" i="7"/>
  <c r="POY2" i="7"/>
  <c r="POZ2" i="7"/>
  <c r="PPA2" i="7"/>
  <c r="PPB2" i="7"/>
  <c r="PPC2" i="7"/>
  <c r="PPD2" i="7"/>
  <c r="PPE2" i="7"/>
  <c r="PPF2" i="7"/>
  <c r="PPG2" i="7"/>
  <c r="PPH2" i="7"/>
  <c r="PPI2" i="7"/>
  <c r="PPJ2" i="7"/>
  <c r="PPK2" i="7"/>
  <c r="PPL2" i="7"/>
  <c r="PPM2" i="7"/>
  <c r="PPN2" i="7"/>
  <c r="PPO2" i="7"/>
  <c r="PPP2" i="7"/>
  <c r="PPQ2" i="7"/>
  <c r="PPR2" i="7"/>
  <c r="PPS2" i="7"/>
  <c r="PPT2" i="7"/>
  <c r="PPU2" i="7"/>
  <c r="PPV2" i="7"/>
  <c r="PPW2" i="7"/>
  <c r="PPX2" i="7"/>
  <c r="PPY2" i="7"/>
  <c r="PPZ2" i="7"/>
  <c r="PQA2" i="7"/>
  <c r="PQB2" i="7"/>
  <c r="PQC2" i="7"/>
  <c r="PQD2" i="7"/>
  <c r="PQE2" i="7"/>
  <c r="PQF2" i="7"/>
  <c r="PQG2" i="7"/>
  <c r="PQH2" i="7"/>
  <c r="PQI2" i="7"/>
  <c r="PQJ2" i="7"/>
  <c r="PQK2" i="7"/>
  <c r="PQL2" i="7"/>
  <c r="PQM2" i="7"/>
  <c r="PQN2" i="7"/>
  <c r="PQO2" i="7"/>
  <c r="PQP2" i="7"/>
  <c r="PQQ2" i="7"/>
  <c r="PQR2" i="7"/>
  <c r="PQS2" i="7"/>
  <c r="PQT2" i="7"/>
  <c r="PQU2" i="7"/>
  <c r="PQV2" i="7"/>
  <c r="PQW2" i="7"/>
  <c r="PQX2" i="7"/>
  <c r="PQY2" i="7"/>
  <c r="PQZ2" i="7"/>
  <c r="PRA2" i="7"/>
  <c r="PRB2" i="7"/>
  <c r="PRC2" i="7"/>
  <c r="PRD2" i="7"/>
  <c r="PRE2" i="7"/>
  <c r="PRF2" i="7"/>
  <c r="PRG2" i="7"/>
  <c r="PRH2" i="7"/>
  <c r="PRI2" i="7"/>
  <c r="PRJ2" i="7"/>
  <c r="PRK2" i="7"/>
  <c r="PRL2" i="7"/>
  <c r="PRM2" i="7"/>
  <c r="PRN2" i="7"/>
  <c r="PRO2" i="7"/>
  <c r="PRP2" i="7"/>
  <c r="PRQ2" i="7"/>
  <c r="PRR2" i="7"/>
  <c r="PRS2" i="7"/>
  <c r="PRT2" i="7"/>
  <c r="PRU2" i="7"/>
  <c r="PRV2" i="7"/>
  <c r="PRW2" i="7"/>
  <c r="PRX2" i="7"/>
  <c r="PRY2" i="7"/>
  <c r="PRZ2" i="7"/>
  <c r="PSA2" i="7"/>
  <c r="PSB2" i="7"/>
  <c r="PSC2" i="7"/>
  <c r="PSD2" i="7"/>
  <c r="PSE2" i="7"/>
  <c r="PSF2" i="7"/>
  <c r="PSG2" i="7"/>
  <c r="PSH2" i="7"/>
  <c r="PSI2" i="7"/>
  <c r="PSJ2" i="7"/>
  <c r="PSK2" i="7"/>
  <c r="PSL2" i="7"/>
  <c r="PSM2" i="7"/>
  <c r="PSN2" i="7"/>
  <c r="PSO2" i="7"/>
  <c r="PSP2" i="7"/>
  <c r="PSQ2" i="7"/>
  <c r="PSR2" i="7"/>
  <c r="PSS2" i="7"/>
  <c r="PST2" i="7"/>
  <c r="PSU2" i="7"/>
  <c r="PSV2" i="7"/>
  <c r="PSW2" i="7"/>
  <c r="PSX2" i="7"/>
  <c r="PSY2" i="7"/>
  <c r="PSZ2" i="7"/>
  <c r="PTA2" i="7"/>
  <c r="PTB2" i="7"/>
  <c r="PTC2" i="7"/>
  <c r="PTD2" i="7"/>
  <c r="PTE2" i="7"/>
  <c r="PTF2" i="7"/>
  <c r="PTG2" i="7"/>
  <c r="PTH2" i="7"/>
  <c r="PTI2" i="7"/>
  <c r="PTJ2" i="7"/>
  <c r="PTK2" i="7"/>
  <c r="PTL2" i="7"/>
  <c r="PTM2" i="7"/>
  <c r="PTN2" i="7"/>
  <c r="PTO2" i="7"/>
  <c r="PTP2" i="7"/>
  <c r="PTQ2" i="7"/>
  <c r="PTR2" i="7"/>
  <c r="PTS2" i="7"/>
  <c r="PTT2" i="7"/>
  <c r="PTU2" i="7"/>
  <c r="PTV2" i="7"/>
  <c r="PTW2" i="7"/>
  <c r="PTX2" i="7"/>
  <c r="PTY2" i="7"/>
  <c r="PTZ2" i="7"/>
  <c r="PUA2" i="7"/>
  <c r="PUB2" i="7"/>
  <c r="PUC2" i="7"/>
  <c r="PUD2" i="7"/>
  <c r="PUE2" i="7"/>
  <c r="PUF2" i="7"/>
  <c r="PUG2" i="7"/>
  <c r="PUH2" i="7"/>
  <c r="PUI2" i="7"/>
  <c r="PUJ2" i="7"/>
  <c r="PUK2" i="7"/>
  <c r="PUL2" i="7"/>
  <c r="PUM2" i="7"/>
  <c r="PUN2" i="7"/>
  <c r="PUO2" i="7"/>
  <c r="PUP2" i="7"/>
  <c r="PUQ2" i="7"/>
  <c r="PUR2" i="7"/>
  <c r="PUS2" i="7"/>
  <c r="PUT2" i="7"/>
  <c r="PUU2" i="7"/>
  <c r="PUV2" i="7"/>
  <c r="PUW2" i="7"/>
  <c r="PUX2" i="7"/>
  <c r="PUY2" i="7"/>
  <c r="PUZ2" i="7"/>
  <c r="PVA2" i="7"/>
  <c r="PVB2" i="7"/>
  <c r="PVC2" i="7"/>
  <c r="PVD2" i="7"/>
  <c r="PVE2" i="7"/>
  <c r="PVF2" i="7"/>
  <c r="PVG2" i="7"/>
  <c r="PVH2" i="7"/>
  <c r="PVI2" i="7"/>
  <c r="PVJ2" i="7"/>
  <c r="PVK2" i="7"/>
  <c r="PVL2" i="7"/>
  <c r="PVM2" i="7"/>
  <c r="PVN2" i="7"/>
  <c r="PVO2" i="7"/>
  <c r="PVP2" i="7"/>
  <c r="PVQ2" i="7"/>
  <c r="PVR2" i="7"/>
  <c r="PVS2" i="7"/>
  <c r="PVT2" i="7"/>
  <c r="PVU2" i="7"/>
  <c r="PVV2" i="7"/>
  <c r="PVW2" i="7"/>
  <c r="PVX2" i="7"/>
  <c r="PVY2" i="7"/>
  <c r="PVZ2" i="7"/>
  <c r="PWA2" i="7"/>
  <c r="PWB2" i="7"/>
  <c r="PWC2" i="7"/>
  <c r="PWD2" i="7"/>
  <c r="PWE2" i="7"/>
  <c r="PWF2" i="7"/>
  <c r="PWG2" i="7"/>
  <c r="PWH2" i="7"/>
  <c r="PWI2" i="7"/>
  <c r="PWJ2" i="7"/>
  <c r="PWK2" i="7"/>
  <c r="PWL2" i="7"/>
  <c r="PWM2" i="7"/>
  <c r="PWN2" i="7"/>
  <c r="PWO2" i="7"/>
  <c r="PWP2" i="7"/>
  <c r="PWQ2" i="7"/>
  <c r="PWR2" i="7"/>
  <c r="PWS2" i="7"/>
  <c r="PWT2" i="7"/>
  <c r="PWU2" i="7"/>
  <c r="PWV2" i="7"/>
  <c r="PWW2" i="7"/>
  <c r="PWX2" i="7"/>
  <c r="PWY2" i="7"/>
  <c r="PWZ2" i="7"/>
  <c r="PXA2" i="7"/>
  <c r="PXB2" i="7"/>
  <c r="PXC2" i="7"/>
  <c r="PXD2" i="7"/>
  <c r="PXE2" i="7"/>
  <c r="PXF2" i="7"/>
  <c r="PXG2" i="7"/>
  <c r="PXH2" i="7"/>
  <c r="PXI2" i="7"/>
  <c r="PXJ2" i="7"/>
  <c r="PXK2" i="7"/>
  <c r="PXL2" i="7"/>
  <c r="PXM2" i="7"/>
  <c r="PXN2" i="7"/>
  <c r="PXO2" i="7"/>
  <c r="PXP2" i="7"/>
  <c r="PXQ2" i="7"/>
  <c r="PXR2" i="7"/>
  <c r="PXS2" i="7"/>
  <c r="PXT2" i="7"/>
  <c r="PXU2" i="7"/>
  <c r="PXV2" i="7"/>
  <c r="PXW2" i="7"/>
  <c r="PXX2" i="7"/>
  <c r="PXY2" i="7"/>
  <c r="PXZ2" i="7"/>
  <c r="PYA2" i="7"/>
  <c r="PYB2" i="7"/>
  <c r="PYC2" i="7"/>
  <c r="PYD2" i="7"/>
  <c r="PYE2" i="7"/>
  <c r="PYF2" i="7"/>
  <c r="PYG2" i="7"/>
  <c r="PYH2" i="7"/>
  <c r="PYI2" i="7"/>
  <c r="PYJ2" i="7"/>
  <c r="PYK2" i="7"/>
  <c r="PYL2" i="7"/>
  <c r="PYM2" i="7"/>
  <c r="PYN2" i="7"/>
  <c r="PYO2" i="7"/>
  <c r="PYP2" i="7"/>
  <c r="PYQ2" i="7"/>
  <c r="PYR2" i="7"/>
  <c r="PYS2" i="7"/>
  <c r="PYT2" i="7"/>
  <c r="PYU2" i="7"/>
  <c r="PYV2" i="7"/>
  <c r="PYW2" i="7"/>
  <c r="PYX2" i="7"/>
  <c r="PYY2" i="7"/>
  <c r="PYZ2" i="7"/>
  <c r="PZA2" i="7"/>
  <c r="PZB2" i="7"/>
  <c r="PZC2" i="7"/>
  <c r="PZD2" i="7"/>
  <c r="PZE2" i="7"/>
  <c r="PZF2" i="7"/>
  <c r="PZG2" i="7"/>
  <c r="PZH2" i="7"/>
  <c r="PZI2" i="7"/>
  <c r="PZJ2" i="7"/>
  <c r="PZK2" i="7"/>
  <c r="PZL2" i="7"/>
  <c r="PZM2" i="7"/>
  <c r="PZN2" i="7"/>
  <c r="PZO2" i="7"/>
  <c r="PZP2" i="7"/>
  <c r="PZQ2" i="7"/>
  <c r="PZR2" i="7"/>
  <c r="PZS2" i="7"/>
  <c r="PZT2" i="7"/>
  <c r="PZU2" i="7"/>
  <c r="PZV2" i="7"/>
  <c r="PZW2" i="7"/>
  <c r="PZX2" i="7"/>
  <c r="PZY2" i="7"/>
  <c r="PZZ2" i="7"/>
  <c r="QAA2" i="7"/>
  <c r="QAB2" i="7"/>
  <c r="QAC2" i="7"/>
  <c r="QAD2" i="7"/>
  <c r="QAE2" i="7"/>
  <c r="QAF2" i="7"/>
  <c r="QAG2" i="7"/>
  <c r="QAH2" i="7"/>
  <c r="QAI2" i="7"/>
  <c r="QAJ2" i="7"/>
  <c r="QAK2" i="7"/>
  <c r="QAL2" i="7"/>
  <c r="QAM2" i="7"/>
  <c r="QAN2" i="7"/>
  <c r="QAO2" i="7"/>
  <c r="QAP2" i="7"/>
  <c r="QAQ2" i="7"/>
  <c r="QAR2" i="7"/>
  <c r="QAS2" i="7"/>
  <c r="QAT2" i="7"/>
  <c r="QAU2" i="7"/>
  <c r="QAV2" i="7"/>
  <c r="QAW2" i="7"/>
  <c r="QAX2" i="7"/>
  <c r="QAY2" i="7"/>
  <c r="QAZ2" i="7"/>
  <c r="QBA2" i="7"/>
  <c r="QBB2" i="7"/>
  <c r="QBC2" i="7"/>
  <c r="QBD2" i="7"/>
  <c r="QBE2" i="7"/>
  <c r="QBF2" i="7"/>
  <c r="QBG2" i="7"/>
  <c r="QBH2" i="7"/>
  <c r="QBI2" i="7"/>
  <c r="QBJ2" i="7"/>
  <c r="QBK2" i="7"/>
  <c r="QBL2" i="7"/>
  <c r="QBM2" i="7"/>
  <c r="QBN2" i="7"/>
  <c r="QBO2" i="7"/>
  <c r="QBP2" i="7"/>
  <c r="QBQ2" i="7"/>
  <c r="QBR2" i="7"/>
  <c r="QBS2" i="7"/>
  <c r="QBT2" i="7"/>
  <c r="QBU2" i="7"/>
  <c r="QBV2" i="7"/>
  <c r="QBW2" i="7"/>
  <c r="QBX2" i="7"/>
  <c r="QBY2" i="7"/>
  <c r="QBZ2" i="7"/>
  <c r="QCA2" i="7"/>
  <c r="QCB2" i="7"/>
  <c r="QCC2" i="7"/>
  <c r="QCD2" i="7"/>
  <c r="QCE2" i="7"/>
  <c r="QCF2" i="7"/>
  <c r="QCG2" i="7"/>
  <c r="QCH2" i="7"/>
  <c r="QCI2" i="7"/>
  <c r="QCJ2" i="7"/>
  <c r="QCK2" i="7"/>
  <c r="QCL2" i="7"/>
  <c r="QCM2" i="7"/>
  <c r="QCN2" i="7"/>
  <c r="QCO2" i="7"/>
  <c r="QCP2" i="7"/>
  <c r="QCQ2" i="7"/>
  <c r="QCR2" i="7"/>
  <c r="QCS2" i="7"/>
  <c r="QCT2" i="7"/>
  <c r="QCU2" i="7"/>
  <c r="QCV2" i="7"/>
  <c r="QCW2" i="7"/>
  <c r="QCX2" i="7"/>
  <c r="QCY2" i="7"/>
  <c r="QCZ2" i="7"/>
  <c r="QDA2" i="7"/>
  <c r="QDB2" i="7"/>
  <c r="QDC2" i="7"/>
  <c r="QDD2" i="7"/>
  <c r="QDE2" i="7"/>
  <c r="QDF2" i="7"/>
  <c r="QDG2" i="7"/>
  <c r="QDH2" i="7"/>
  <c r="QDI2" i="7"/>
  <c r="QDJ2" i="7"/>
  <c r="QDK2" i="7"/>
  <c r="QDL2" i="7"/>
  <c r="QDM2" i="7"/>
  <c r="QDN2" i="7"/>
  <c r="QDO2" i="7"/>
  <c r="QDP2" i="7"/>
  <c r="QDQ2" i="7"/>
  <c r="QDR2" i="7"/>
  <c r="QDS2" i="7"/>
  <c r="QDT2" i="7"/>
  <c r="QDU2" i="7"/>
  <c r="QDV2" i="7"/>
  <c r="QDW2" i="7"/>
  <c r="QDX2" i="7"/>
  <c r="QDY2" i="7"/>
  <c r="QDZ2" i="7"/>
  <c r="QEA2" i="7"/>
  <c r="QEB2" i="7"/>
  <c r="QEC2" i="7"/>
  <c r="QED2" i="7"/>
  <c r="QEE2" i="7"/>
  <c r="QEF2" i="7"/>
  <c r="QEG2" i="7"/>
  <c r="QEH2" i="7"/>
  <c r="QEI2" i="7"/>
  <c r="QEJ2" i="7"/>
  <c r="QEK2" i="7"/>
  <c r="QEL2" i="7"/>
  <c r="QEM2" i="7"/>
  <c r="QEN2" i="7"/>
  <c r="QEO2" i="7"/>
  <c r="QEP2" i="7"/>
  <c r="QEQ2" i="7"/>
  <c r="QER2" i="7"/>
  <c r="QES2" i="7"/>
  <c r="QET2" i="7"/>
  <c r="QEU2" i="7"/>
  <c r="QEV2" i="7"/>
  <c r="QEW2" i="7"/>
  <c r="QEX2" i="7"/>
  <c r="QEY2" i="7"/>
  <c r="QEZ2" i="7"/>
  <c r="QFA2" i="7"/>
  <c r="QFB2" i="7"/>
  <c r="QFC2" i="7"/>
  <c r="QFD2" i="7"/>
  <c r="QFE2" i="7"/>
  <c r="QFF2" i="7"/>
  <c r="QFG2" i="7"/>
  <c r="QFH2" i="7"/>
  <c r="QFI2" i="7"/>
  <c r="QFJ2" i="7"/>
  <c r="QFK2" i="7"/>
  <c r="QFL2" i="7"/>
  <c r="QFM2" i="7"/>
  <c r="QFN2" i="7"/>
  <c r="QFO2" i="7"/>
  <c r="QFP2" i="7"/>
  <c r="QFQ2" i="7"/>
  <c r="QFR2" i="7"/>
  <c r="QFS2" i="7"/>
  <c r="QFT2" i="7"/>
  <c r="QFU2" i="7"/>
  <c r="QFV2" i="7"/>
  <c r="QFW2" i="7"/>
  <c r="QFX2" i="7"/>
  <c r="QFY2" i="7"/>
  <c r="QFZ2" i="7"/>
  <c r="QGA2" i="7"/>
  <c r="QGB2" i="7"/>
  <c r="QGC2" i="7"/>
  <c r="QGD2" i="7"/>
  <c r="QGE2" i="7"/>
  <c r="QGF2" i="7"/>
  <c r="QGG2" i="7"/>
  <c r="QGH2" i="7"/>
  <c r="QGI2" i="7"/>
  <c r="QGJ2" i="7"/>
  <c r="QGK2" i="7"/>
  <c r="QGL2" i="7"/>
  <c r="QGM2" i="7"/>
  <c r="QGN2" i="7"/>
  <c r="QGO2" i="7"/>
  <c r="QGP2" i="7"/>
  <c r="QGQ2" i="7"/>
  <c r="QGR2" i="7"/>
  <c r="QGS2" i="7"/>
  <c r="QGT2" i="7"/>
  <c r="QGU2" i="7"/>
  <c r="QGV2" i="7"/>
  <c r="QGW2" i="7"/>
  <c r="QGX2" i="7"/>
  <c r="QGY2" i="7"/>
  <c r="QGZ2" i="7"/>
  <c r="QHA2" i="7"/>
  <c r="QHB2" i="7"/>
  <c r="QHC2" i="7"/>
  <c r="QHD2" i="7"/>
  <c r="QHE2" i="7"/>
  <c r="QHF2" i="7"/>
  <c r="QHG2" i="7"/>
  <c r="QHH2" i="7"/>
  <c r="QHI2" i="7"/>
  <c r="QHJ2" i="7"/>
  <c r="QHK2" i="7"/>
  <c r="QHL2" i="7"/>
  <c r="QHM2" i="7"/>
  <c r="QHN2" i="7"/>
  <c r="QHO2" i="7"/>
  <c r="QHP2" i="7"/>
  <c r="QHQ2" i="7"/>
  <c r="QHR2" i="7"/>
  <c r="QHS2" i="7"/>
  <c r="QHT2" i="7"/>
  <c r="QHU2" i="7"/>
  <c r="QHV2" i="7"/>
  <c r="QHW2" i="7"/>
  <c r="QHX2" i="7"/>
  <c r="QHY2" i="7"/>
  <c r="QHZ2" i="7"/>
  <c r="QIA2" i="7"/>
  <c r="QIB2" i="7"/>
  <c r="QIC2" i="7"/>
  <c r="QID2" i="7"/>
  <c r="QIE2" i="7"/>
  <c r="QIF2" i="7"/>
  <c r="QIG2" i="7"/>
  <c r="QIH2" i="7"/>
  <c r="QII2" i="7"/>
  <c r="QIJ2" i="7"/>
  <c r="QIK2" i="7"/>
  <c r="QIL2" i="7"/>
  <c r="QIM2" i="7"/>
  <c r="QIN2" i="7"/>
  <c r="QIO2" i="7"/>
  <c r="QIP2" i="7"/>
  <c r="QIQ2" i="7"/>
  <c r="QIR2" i="7"/>
  <c r="QIS2" i="7"/>
  <c r="QIT2" i="7"/>
  <c r="QIU2" i="7"/>
  <c r="QIV2" i="7"/>
  <c r="QIW2" i="7"/>
  <c r="QIX2" i="7"/>
  <c r="QIY2" i="7"/>
  <c r="QIZ2" i="7"/>
  <c r="QJA2" i="7"/>
  <c r="QJB2" i="7"/>
  <c r="QJC2" i="7"/>
  <c r="QJD2" i="7"/>
  <c r="QJE2" i="7"/>
  <c r="QJF2" i="7"/>
  <c r="QJG2" i="7"/>
  <c r="QJH2" i="7"/>
  <c r="QJI2" i="7"/>
  <c r="QJJ2" i="7"/>
  <c r="QJK2" i="7"/>
  <c r="QJL2" i="7"/>
  <c r="QJM2" i="7"/>
  <c r="QJN2" i="7"/>
  <c r="QJO2" i="7"/>
  <c r="QJP2" i="7"/>
  <c r="QJQ2" i="7"/>
  <c r="QJR2" i="7"/>
  <c r="QJS2" i="7"/>
  <c r="QJT2" i="7"/>
  <c r="QJU2" i="7"/>
  <c r="QJV2" i="7"/>
  <c r="QJW2" i="7"/>
  <c r="QJX2" i="7"/>
  <c r="QJY2" i="7"/>
  <c r="QJZ2" i="7"/>
  <c r="QKA2" i="7"/>
  <c r="QKB2" i="7"/>
  <c r="QKC2" i="7"/>
  <c r="QKD2" i="7"/>
  <c r="QKE2" i="7"/>
  <c r="QKF2" i="7"/>
  <c r="QKG2" i="7"/>
  <c r="QKH2" i="7"/>
  <c r="QKI2" i="7"/>
  <c r="QKJ2" i="7"/>
  <c r="QKK2" i="7"/>
  <c r="QKL2" i="7"/>
  <c r="QKM2" i="7"/>
  <c r="QKN2" i="7"/>
  <c r="QKO2" i="7"/>
  <c r="QKP2" i="7"/>
  <c r="QKQ2" i="7"/>
  <c r="QKR2" i="7"/>
  <c r="QKS2" i="7"/>
  <c r="QKT2" i="7"/>
  <c r="QKU2" i="7"/>
  <c r="QKV2" i="7"/>
  <c r="QKW2" i="7"/>
  <c r="QKX2" i="7"/>
  <c r="QKY2" i="7"/>
  <c r="QKZ2" i="7"/>
  <c r="QLA2" i="7"/>
  <c r="QLB2" i="7"/>
  <c r="QLC2" i="7"/>
  <c r="QLD2" i="7"/>
  <c r="QLE2" i="7"/>
  <c r="QLF2" i="7"/>
  <c r="QLG2" i="7"/>
  <c r="QLH2" i="7"/>
  <c r="QLI2" i="7"/>
  <c r="QLJ2" i="7"/>
  <c r="QLK2" i="7"/>
  <c r="QLL2" i="7"/>
  <c r="QLM2" i="7"/>
  <c r="QLN2" i="7"/>
  <c r="QLO2" i="7"/>
  <c r="QLP2" i="7"/>
  <c r="QLQ2" i="7"/>
  <c r="QLR2" i="7"/>
  <c r="QLS2" i="7"/>
  <c r="QLT2" i="7"/>
  <c r="QLU2" i="7"/>
  <c r="QLV2" i="7"/>
  <c r="QLW2" i="7"/>
  <c r="QLX2" i="7"/>
  <c r="QLY2" i="7"/>
  <c r="QLZ2" i="7"/>
  <c r="QMA2" i="7"/>
  <c r="QMB2" i="7"/>
  <c r="QMC2" i="7"/>
  <c r="QMD2" i="7"/>
  <c r="QME2" i="7"/>
  <c r="QMF2" i="7"/>
  <c r="QMG2" i="7"/>
  <c r="QMH2" i="7"/>
  <c r="QMI2" i="7"/>
  <c r="QMJ2" i="7"/>
  <c r="QMK2" i="7"/>
  <c r="QML2" i="7"/>
  <c r="QMM2" i="7"/>
  <c r="QMN2" i="7"/>
  <c r="QMO2" i="7"/>
  <c r="QMP2" i="7"/>
  <c r="QMQ2" i="7"/>
  <c r="QMR2" i="7"/>
  <c r="QMS2" i="7"/>
  <c r="QMT2" i="7"/>
  <c r="QMU2" i="7"/>
  <c r="QMV2" i="7"/>
  <c r="QMW2" i="7"/>
  <c r="QMX2" i="7"/>
  <c r="QMY2" i="7"/>
  <c r="QMZ2" i="7"/>
  <c r="QNA2" i="7"/>
  <c r="QNB2" i="7"/>
  <c r="QNC2" i="7"/>
  <c r="QND2" i="7"/>
  <c r="QNE2" i="7"/>
  <c r="QNF2" i="7"/>
  <c r="QNG2" i="7"/>
  <c r="QNH2" i="7"/>
  <c r="QNI2" i="7"/>
  <c r="QNJ2" i="7"/>
  <c r="QNK2" i="7"/>
  <c r="QNL2" i="7"/>
  <c r="QNM2" i="7"/>
  <c r="QNN2" i="7"/>
  <c r="QNO2" i="7"/>
  <c r="QNP2" i="7"/>
  <c r="QNQ2" i="7"/>
  <c r="QNR2" i="7"/>
  <c r="QNS2" i="7"/>
  <c r="QNT2" i="7"/>
  <c r="QNU2" i="7"/>
  <c r="QNV2" i="7"/>
  <c r="QNW2" i="7"/>
  <c r="QNX2" i="7"/>
  <c r="QNY2" i="7"/>
  <c r="QNZ2" i="7"/>
  <c r="QOA2" i="7"/>
  <c r="QOB2" i="7"/>
  <c r="QOC2" i="7"/>
  <c r="QOD2" i="7"/>
  <c r="QOE2" i="7"/>
  <c r="QOF2" i="7"/>
  <c r="QOG2" i="7"/>
  <c r="QOH2" i="7"/>
  <c r="QOI2" i="7"/>
  <c r="QOJ2" i="7"/>
  <c r="QOK2" i="7"/>
  <c r="QOL2" i="7"/>
  <c r="QOM2" i="7"/>
  <c r="QON2" i="7"/>
  <c r="QOO2" i="7"/>
  <c r="QOP2" i="7"/>
  <c r="QOQ2" i="7"/>
  <c r="QOR2" i="7"/>
  <c r="QOS2" i="7"/>
  <c r="QOT2" i="7"/>
  <c r="QOU2" i="7"/>
  <c r="QOV2" i="7"/>
  <c r="QOW2" i="7"/>
  <c r="QOX2" i="7"/>
  <c r="QOY2" i="7"/>
  <c r="QOZ2" i="7"/>
  <c r="QPA2" i="7"/>
  <c r="QPB2" i="7"/>
  <c r="QPC2" i="7"/>
  <c r="QPD2" i="7"/>
  <c r="QPE2" i="7"/>
  <c r="QPF2" i="7"/>
  <c r="QPG2" i="7"/>
  <c r="QPH2" i="7"/>
  <c r="QPI2" i="7"/>
  <c r="QPJ2" i="7"/>
  <c r="QPK2" i="7"/>
  <c r="QPL2" i="7"/>
  <c r="QPM2" i="7"/>
  <c r="QPN2" i="7"/>
  <c r="QPO2" i="7"/>
  <c r="QPP2" i="7"/>
  <c r="QPQ2" i="7"/>
  <c r="QPR2" i="7"/>
  <c r="QPS2" i="7"/>
  <c r="QPT2" i="7"/>
  <c r="QPU2" i="7"/>
  <c r="QPV2" i="7"/>
  <c r="QPW2" i="7"/>
  <c r="QPX2" i="7"/>
  <c r="QPY2" i="7"/>
  <c r="QPZ2" i="7"/>
  <c r="QQA2" i="7"/>
  <c r="QQB2" i="7"/>
  <c r="QQC2" i="7"/>
  <c r="QQD2" i="7"/>
  <c r="QQE2" i="7"/>
  <c r="QQF2" i="7"/>
  <c r="QQG2" i="7"/>
  <c r="QQH2" i="7"/>
  <c r="QQI2" i="7"/>
  <c r="QQJ2" i="7"/>
  <c r="QQK2" i="7"/>
  <c r="QQL2" i="7"/>
  <c r="QQM2" i="7"/>
  <c r="QQN2" i="7"/>
  <c r="QQO2" i="7"/>
  <c r="QQP2" i="7"/>
  <c r="QQQ2" i="7"/>
  <c r="QQR2" i="7"/>
  <c r="QQS2" i="7"/>
  <c r="QQT2" i="7"/>
  <c r="QQU2" i="7"/>
  <c r="QQV2" i="7"/>
  <c r="QQW2" i="7"/>
  <c r="QQX2" i="7"/>
  <c r="QQY2" i="7"/>
  <c r="QQZ2" i="7"/>
  <c r="QRA2" i="7"/>
  <c r="QRB2" i="7"/>
  <c r="QRC2" i="7"/>
  <c r="QRD2" i="7"/>
  <c r="QRE2" i="7"/>
  <c r="QRF2" i="7"/>
  <c r="QRG2" i="7"/>
  <c r="QRH2" i="7"/>
  <c r="QRI2" i="7"/>
  <c r="QRJ2" i="7"/>
  <c r="QRK2" i="7"/>
  <c r="QRL2" i="7"/>
  <c r="QRM2" i="7"/>
  <c r="QRN2" i="7"/>
  <c r="QRO2" i="7"/>
  <c r="QRP2" i="7"/>
  <c r="QRQ2" i="7"/>
  <c r="QRR2" i="7"/>
  <c r="QRS2" i="7"/>
  <c r="QRT2" i="7"/>
  <c r="QRU2" i="7"/>
  <c r="QRV2" i="7"/>
  <c r="QRW2" i="7"/>
  <c r="QRX2" i="7"/>
  <c r="QRY2" i="7"/>
  <c r="QRZ2" i="7"/>
  <c r="QSA2" i="7"/>
  <c r="QSB2" i="7"/>
  <c r="QSC2" i="7"/>
  <c r="QSD2" i="7"/>
  <c r="QSE2" i="7"/>
  <c r="QSF2" i="7"/>
  <c r="QSG2" i="7"/>
  <c r="QSH2" i="7"/>
  <c r="QSI2" i="7"/>
  <c r="QSJ2" i="7"/>
  <c r="QSK2" i="7"/>
  <c r="QSL2" i="7"/>
  <c r="QSM2" i="7"/>
  <c r="QSN2" i="7"/>
  <c r="QSO2" i="7"/>
  <c r="QSP2" i="7"/>
  <c r="QSQ2" i="7"/>
  <c r="QSR2" i="7"/>
  <c r="QSS2" i="7"/>
  <c r="QST2" i="7"/>
  <c r="QSU2" i="7"/>
  <c r="QSV2" i="7"/>
  <c r="QSW2" i="7"/>
  <c r="QSX2" i="7"/>
  <c r="QSY2" i="7"/>
  <c r="QSZ2" i="7"/>
  <c r="QTA2" i="7"/>
  <c r="QTB2" i="7"/>
  <c r="QTC2" i="7"/>
  <c r="QTD2" i="7"/>
  <c r="QTE2" i="7"/>
  <c r="QTF2" i="7"/>
  <c r="QTG2" i="7"/>
  <c r="QTH2" i="7"/>
  <c r="QTI2" i="7"/>
  <c r="QTJ2" i="7"/>
  <c r="QTK2" i="7"/>
  <c r="QTL2" i="7"/>
  <c r="QTM2" i="7"/>
  <c r="QTN2" i="7"/>
  <c r="QTO2" i="7"/>
  <c r="QTP2" i="7"/>
  <c r="QTQ2" i="7"/>
  <c r="QTR2" i="7"/>
  <c r="QTS2" i="7"/>
  <c r="QTT2" i="7"/>
  <c r="QTU2" i="7"/>
  <c r="QTV2" i="7"/>
  <c r="QTW2" i="7"/>
  <c r="QTX2" i="7"/>
  <c r="QTY2" i="7"/>
  <c r="QTZ2" i="7"/>
  <c r="QUA2" i="7"/>
  <c r="QUB2" i="7"/>
  <c r="QUC2" i="7"/>
  <c r="QUD2" i="7"/>
  <c r="QUE2" i="7"/>
  <c r="QUF2" i="7"/>
  <c r="QUG2" i="7"/>
  <c r="QUH2" i="7"/>
  <c r="QUI2" i="7"/>
  <c r="QUJ2" i="7"/>
  <c r="QUK2" i="7"/>
  <c r="QUL2" i="7"/>
  <c r="QUM2" i="7"/>
  <c r="QUN2" i="7"/>
  <c r="QUO2" i="7"/>
  <c r="QUP2" i="7"/>
  <c r="QUQ2" i="7"/>
  <c r="QUR2" i="7"/>
  <c r="QUS2" i="7"/>
  <c r="QUT2" i="7"/>
  <c r="QUU2" i="7"/>
  <c r="QUV2" i="7"/>
  <c r="QUW2" i="7"/>
  <c r="QUX2" i="7"/>
  <c r="QUY2" i="7"/>
  <c r="QUZ2" i="7"/>
  <c r="QVA2" i="7"/>
  <c r="QVB2" i="7"/>
  <c r="QVC2" i="7"/>
  <c r="QVD2" i="7"/>
  <c r="QVE2" i="7"/>
  <c r="QVF2" i="7"/>
  <c r="QVG2" i="7"/>
  <c r="QVH2" i="7"/>
  <c r="QVI2" i="7"/>
  <c r="QVJ2" i="7"/>
  <c r="QVK2" i="7"/>
  <c r="QVL2" i="7"/>
  <c r="QVM2" i="7"/>
  <c r="QVN2" i="7"/>
  <c r="QVO2" i="7"/>
  <c r="QVP2" i="7"/>
  <c r="QVQ2" i="7"/>
  <c r="QVR2" i="7"/>
  <c r="QVS2" i="7"/>
  <c r="QVT2" i="7"/>
  <c r="QVU2" i="7"/>
  <c r="QVV2" i="7"/>
  <c r="QVW2" i="7"/>
  <c r="QVX2" i="7"/>
  <c r="QVY2" i="7"/>
  <c r="QVZ2" i="7"/>
  <c r="QWA2" i="7"/>
  <c r="QWB2" i="7"/>
  <c r="QWC2" i="7"/>
  <c r="QWD2" i="7"/>
  <c r="QWE2" i="7"/>
  <c r="QWF2" i="7"/>
  <c r="QWG2" i="7"/>
  <c r="QWH2" i="7"/>
  <c r="QWI2" i="7"/>
  <c r="QWJ2" i="7"/>
  <c r="QWK2" i="7"/>
  <c r="QWL2" i="7"/>
  <c r="QWM2" i="7"/>
  <c r="QWN2" i="7"/>
  <c r="QWO2" i="7"/>
  <c r="QWP2" i="7"/>
  <c r="QWQ2" i="7"/>
  <c r="QWR2" i="7"/>
  <c r="QWS2" i="7"/>
  <c r="QWT2" i="7"/>
  <c r="QWU2" i="7"/>
  <c r="QWV2" i="7"/>
  <c r="QWW2" i="7"/>
  <c r="QWX2" i="7"/>
  <c r="QWY2" i="7"/>
  <c r="QWZ2" i="7"/>
  <c r="QXA2" i="7"/>
  <c r="QXB2" i="7"/>
  <c r="QXC2" i="7"/>
  <c r="QXD2" i="7"/>
  <c r="QXE2" i="7"/>
  <c r="QXF2" i="7"/>
  <c r="QXG2" i="7"/>
  <c r="QXH2" i="7"/>
  <c r="QXI2" i="7"/>
  <c r="QXJ2" i="7"/>
  <c r="QXK2" i="7"/>
  <c r="QXL2" i="7"/>
  <c r="QXM2" i="7"/>
  <c r="QXN2" i="7"/>
  <c r="QXO2" i="7"/>
  <c r="QXP2" i="7"/>
  <c r="QXQ2" i="7"/>
  <c r="QXR2" i="7"/>
  <c r="QXS2" i="7"/>
  <c r="QXT2" i="7"/>
  <c r="QXU2" i="7"/>
  <c r="QXV2" i="7"/>
  <c r="QXW2" i="7"/>
  <c r="QXX2" i="7"/>
  <c r="QXY2" i="7"/>
  <c r="QXZ2" i="7"/>
  <c r="QYA2" i="7"/>
  <c r="QYB2" i="7"/>
  <c r="QYC2" i="7"/>
  <c r="QYD2" i="7"/>
  <c r="QYE2" i="7"/>
  <c r="QYF2" i="7"/>
  <c r="QYG2" i="7"/>
  <c r="QYH2" i="7"/>
  <c r="QYI2" i="7"/>
  <c r="QYJ2" i="7"/>
  <c r="QYK2" i="7"/>
  <c r="QYL2" i="7"/>
  <c r="QYM2" i="7"/>
  <c r="QYN2" i="7"/>
  <c r="QYO2" i="7"/>
  <c r="QYP2" i="7"/>
  <c r="QYQ2" i="7"/>
  <c r="QYR2" i="7"/>
  <c r="QYS2" i="7"/>
  <c r="QYT2" i="7"/>
  <c r="QYU2" i="7"/>
  <c r="QYV2" i="7"/>
  <c r="QYW2" i="7"/>
  <c r="QYX2" i="7"/>
  <c r="QYY2" i="7"/>
  <c r="QYZ2" i="7"/>
  <c r="QZA2" i="7"/>
  <c r="QZB2" i="7"/>
  <c r="QZC2" i="7"/>
  <c r="QZD2" i="7"/>
  <c r="QZE2" i="7"/>
  <c r="QZF2" i="7"/>
  <c r="QZG2" i="7"/>
  <c r="QZH2" i="7"/>
  <c r="QZI2" i="7"/>
  <c r="QZJ2" i="7"/>
  <c r="QZK2" i="7"/>
  <c r="QZL2" i="7"/>
  <c r="QZM2" i="7"/>
  <c r="QZN2" i="7"/>
  <c r="QZO2" i="7"/>
  <c r="QZP2" i="7"/>
  <c r="QZQ2" i="7"/>
  <c r="QZR2" i="7"/>
  <c r="QZS2" i="7"/>
  <c r="QZT2" i="7"/>
  <c r="QZU2" i="7"/>
  <c r="QZV2" i="7"/>
  <c r="QZW2" i="7"/>
  <c r="QZX2" i="7"/>
  <c r="QZY2" i="7"/>
  <c r="QZZ2" i="7"/>
  <c r="RAA2" i="7"/>
  <c r="RAB2" i="7"/>
  <c r="RAC2" i="7"/>
  <c r="RAD2" i="7"/>
  <c r="RAE2" i="7"/>
  <c r="RAF2" i="7"/>
  <c r="RAG2" i="7"/>
  <c r="RAH2" i="7"/>
  <c r="RAI2" i="7"/>
  <c r="RAJ2" i="7"/>
  <c r="RAK2" i="7"/>
  <c r="RAL2" i="7"/>
  <c r="RAM2" i="7"/>
  <c r="RAN2" i="7"/>
  <c r="RAO2" i="7"/>
  <c r="RAP2" i="7"/>
  <c r="RAQ2" i="7"/>
  <c r="RAR2" i="7"/>
  <c r="RAS2" i="7"/>
  <c r="RAT2" i="7"/>
  <c r="RAU2" i="7"/>
  <c r="RAV2" i="7"/>
  <c r="RAW2" i="7"/>
  <c r="RAX2" i="7"/>
  <c r="RAY2" i="7"/>
  <c r="RAZ2" i="7"/>
  <c r="RBA2" i="7"/>
  <c r="RBB2" i="7"/>
  <c r="RBC2" i="7"/>
  <c r="RBD2" i="7"/>
  <c r="RBE2" i="7"/>
  <c r="RBF2" i="7"/>
  <c r="RBG2" i="7"/>
  <c r="RBH2" i="7"/>
  <c r="RBI2" i="7"/>
  <c r="RBJ2" i="7"/>
  <c r="RBK2" i="7"/>
  <c r="RBL2" i="7"/>
  <c r="RBM2" i="7"/>
  <c r="RBN2" i="7"/>
  <c r="RBO2" i="7"/>
  <c r="RBP2" i="7"/>
  <c r="RBQ2" i="7"/>
  <c r="RBR2" i="7"/>
  <c r="RBS2" i="7"/>
  <c r="RBT2" i="7"/>
  <c r="RBU2" i="7"/>
  <c r="RBV2" i="7"/>
  <c r="RBW2" i="7"/>
  <c r="RBX2" i="7"/>
  <c r="RBY2" i="7"/>
  <c r="RBZ2" i="7"/>
  <c r="RCA2" i="7"/>
  <c r="RCB2" i="7"/>
  <c r="RCC2" i="7"/>
  <c r="RCD2" i="7"/>
  <c r="RCE2" i="7"/>
  <c r="RCF2" i="7"/>
  <c r="RCG2" i="7"/>
  <c r="RCH2" i="7"/>
  <c r="RCI2" i="7"/>
  <c r="RCJ2" i="7"/>
  <c r="RCK2" i="7"/>
  <c r="RCL2" i="7"/>
  <c r="RCM2" i="7"/>
  <c r="RCN2" i="7"/>
  <c r="RCO2" i="7"/>
  <c r="RCP2" i="7"/>
  <c r="RCQ2" i="7"/>
  <c r="RCR2" i="7"/>
  <c r="RCS2" i="7"/>
  <c r="RCT2" i="7"/>
  <c r="RCU2" i="7"/>
  <c r="RCV2" i="7"/>
  <c r="RCW2" i="7"/>
  <c r="RCX2" i="7"/>
  <c r="RCY2" i="7"/>
  <c r="RCZ2" i="7"/>
  <c r="RDA2" i="7"/>
  <c r="RDB2" i="7"/>
  <c r="RDC2" i="7"/>
  <c r="RDD2" i="7"/>
  <c r="RDE2" i="7"/>
  <c r="RDF2" i="7"/>
  <c r="RDG2" i="7"/>
  <c r="RDH2" i="7"/>
  <c r="RDI2" i="7"/>
  <c r="RDJ2" i="7"/>
  <c r="RDK2" i="7"/>
  <c r="RDL2" i="7"/>
  <c r="RDM2" i="7"/>
  <c r="RDN2" i="7"/>
  <c r="RDO2" i="7"/>
  <c r="RDP2" i="7"/>
  <c r="RDQ2" i="7"/>
  <c r="RDR2" i="7"/>
  <c r="RDS2" i="7"/>
  <c r="RDT2" i="7"/>
  <c r="RDU2" i="7"/>
  <c r="RDV2" i="7"/>
  <c r="RDW2" i="7"/>
  <c r="RDX2" i="7"/>
  <c r="RDY2" i="7"/>
  <c r="RDZ2" i="7"/>
  <c r="REA2" i="7"/>
  <c r="REB2" i="7"/>
  <c r="REC2" i="7"/>
  <c r="RED2" i="7"/>
  <c r="REE2" i="7"/>
  <c r="REF2" i="7"/>
  <c r="REG2" i="7"/>
  <c r="REH2" i="7"/>
  <c r="REI2" i="7"/>
  <c r="REJ2" i="7"/>
  <c r="REK2" i="7"/>
  <c r="REL2" i="7"/>
  <c r="REM2" i="7"/>
  <c r="REN2" i="7"/>
  <c r="REO2" i="7"/>
  <c r="REP2" i="7"/>
  <c r="REQ2" i="7"/>
  <c r="RER2" i="7"/>
  <c r="RES2" i="7"/>
  <c r="RET2" i="7"/>
  <c r="REU2" i="7"/>
  <c r="REV2" i="7"/>
  <c r="REW2" i="7"/>
  <c r="REX2" i="7"/>
  <c r="REY2" i="7"/>
  <c r="REZ2" i="7"/>
  <c r="RFA2" i="7"/>
  <c r="RFB2" i="7"/>
  <c r="RFC2" i="7"/>
  <c r="RFD2" i="7"/>
  <c r="RFE2" i="7"/>
  <c r="RFF2" i="7"/>
  <c r="RFG2" i="7"/>
  <c r="RFH2" i="7"/>
  <c r="RFI2" i="7"/>
  <c r="RFJ2" i="7"/>
  <c r="RFK2" i="7"/>
  <c r="RFL2" i="7"/>
  <c r="RFM2" i="7"/>
  <c r="RFN2" i="7"/>
  <c r="RFO2" i="7"/>
  <c r="RFP2" i="7"/>
  <c r="RFQ2" i="7"/>
  <c r="RFR2" i="7"/>
  <c r="RFS2" i="7"/>
  <c r="RFT2" i="7"/>
  <c r="RFU2" i="7"/>
  <c r="RFV2" i="7"/>
  <c r="RFW2" i="7"/>
  <c r="RFX2" i="7"/>
  <c r="RFY2" i="7"/>
  <c r="RFZ2" i="7"/>
  <c r="RGA2" i="7"/>
  <c r="RGB2" i="7"/>
  <c r="RGC2" i="7"/>
  <c r="RGD2" i="7"/>
  <c r="RGE2" i="7"/>
  <c r="RGF2" i="7"/>
  <c r="RGG2" i="7"/>
  <c r="RGH2" i="7"/>
  <c r="RGI2" i="7"/>
  <c r="RGJ2" i="7"/>
  <c r="RGK2" i="7"/>
  <c r="RGL2" i="7"/>
  <c r="RGM2" i="7"/>
  <c r="RGN2" i="7"/>
  <c r="RGO2" i="7"/>
  <c r="RGP2" i="7"/>
  <c r="RGQ2" i="7"/>
  <c r="RGR2" i="7"/>
  <c r="RGS2" i="7"/>
  <c r="RGT2" i="7"/>
  <c r="RGU2" i="7"/>
  <c r="RGV2" i="7"/>
  <c r="RGW2" i="7"/>
  <c r="RGX2" i="7"/>
  <c r="RGY2" i="7"/>
  <c r="RGZ2" i="7"/>
  <c r="RHA2" i="7"/>
  <c r="RHB2" i="7"/>
  <c r="RHC2" i="7"/>
  <c r="RHD2" i="7"/>
  <c r="RHE2" i="7"/>
  <c r="RHF2" i="7"/>
  <c r="RHG2" i="7"/>
  <c r="RHH2" i="7"/>
  <c r="RHI2" i="7"/>
  <c r="RHJ2" i="7"/>
  <c r="RHK2" i="7"/>
  <c r="RHL2" i="7"/>
  <c r="RHM2" i="7"/>
  <c r="RHN2" i="7"/>
  <c r="RHO2" i="7"/>
  <c r="RHP2" i="7"/>
  <c r="RHQ2" i="7"/>
  <c r="RHR2" i="7"/>
  <c r="RHS2" i="7"/>
  <c r="RHT2" i="7"/>
  <c r="RHU2" i="7"/>
  <c r="RHV2" i="7"/>
  <c r="RHW2" i="7"/>
  <c r="RHX2" i="7"/>
  <c r="RHY2" i="7"/>
  <c r="RHZ2" i="7"/>
  <c r="RIA2" i="7"/>
  <c r="RIB2" i="7"/>
  <c r="RIC2" i="7"/>
  <c r="RID2" i="7"/>
  <c r="RIE2" i="7"/>
  <c r="RIF2" i="7"/>
  <c r="RIG2" i="7"/>
  <c r="RIH2" i="7"/>
  <c r="RII2" i="7"/>
  <c r="RIJ2" i="7"/>
  <c r="RIK2" i="7"/>
  <c r="RIL2" i="7"/>
  <c r="RIM2" i="7"/>
  <c r="RIN2" i="7"/>
  <c r="RIO2" i="7"/>
  <c r="RIP2" i="7"/>
  <c r="RIQ2" i="7"/>
  <c r="RIR2" i="7"/>
  <c r="RIS2" i="7"/>
  <c r="RIT2" i="7"/>
  <c r="RIU2" i="7"/>
  <c r="RIV2" i="7"/>
  <c r="RIW2" i="7"/>
  <c r="RIX2" i="7"/>
  <c r="RIY2" i="7"/>
  <c r="RIZ2" i="7"/>
  <c r="RJA2" i="7"/>
  <c r="RJB2" i="7"/>
  <c r="RJC2" i="7"/>
  <c r="RJD2" i="7"/>
  <c r="RJE2" i="7"/>
  <c r="RJF2" i="7"/>
  <c r="RJG2" i="7"/>
  <c r="RJH2" i="7"/>
  <c r="RJI2" i="7"/>
  <c r="RJJ2" i="7"/>
  <c r="RJK2" i="7"/>
  <c r="RJL2" i="7"/>
  <c r="RJM2" i="7"/>
  <c r="RJN2" i="7"/>
  <c r="RJO2" i="7"/>
  <c r="RJP2" i="7"/>
  <c r="RJQ2" i="7"/>
  <c r="RJR2" i="7"/>
  <c r="RJS2" i="7"/>
  <c r="RJT2" i="7"/>
  <c r="RJU2" i="7"/>
  <c r="RJV2" i="7"/>
  <c r="RJW2" i="7"/>
  <c r="RJX2" i="7"/>
  <c r="RJY2" i="7"/>
  <c r="RJZ2" i="7"/>
  <c r="RKA2" i="7"/>
  <c r="RKB2" i="7"/>
  <c r="RKC2" i="7"/>
  <c r="RKD2" i="7"/>
  <c r="RKE2" i="7"/>
  <c r="RKF2" i="7"/>
  <c r="RKG2" i="7"/>
  <c r="RKH2" i="7"/>
  <c r="RKI2" i="7"/>
  <c r="RKJ2" i="7"/>
  <c r="RKK2" i="7"/>
  <c r="RKL2" i="7"/>
  <c r="RKM2" i="7"/>
  <c r="RKN2" i="7"/>
  <c r="RKO2" i="7"/>
  <c r="RKP2" i="7"/>
  <c r="RKQ2" i="7"/>
  <c r="RKR2" i="7"/>
  <c r="RKS2" i="7"/>
  <c r="RKT2" i="7"/>
  <c r="RKU2" i="7"/>
  <c r="RKV2" i="7"/>
  <c r="RKW2" i="7"/>
  <c r="RKX2" i="7"/>
  <c r="RKY2" i="7"/>
  <c r="RKZ2" i="7"/>
  <c r="RLA2" i="7"/>
  <c r="RLB2" i="7"/>
  <c r="RLC2" i="7"/>
  <c r="RLD2" i="7"/>
  <c r="RLE2" i="7"/>
  <c r="RLF2" i="7"/>
  <c r="RLG2" i="7"/>
  <c r="RLH2" i="7"/>
  <c r="RLI2" i="7"/>
  <c r="RLJ2" i="7"/>
  <c r="RLK2" i="7"/>
  <c r="RLL2" i="7"/>
  <c r="RLM2" i="7"/>
  <c r="RLN2" i="7"/>
  <c r="RLO2" i="7"/>
  <c r="RLP2" i="7"/>
  <c r="RLQ2" i="7"/>
  <c r="RLR2" i="7"/>
  <c r="RLS2" i="7"/>
  <c r="RLT2" i="7"/>
  <c r="RLU2" i="7"/>
  <c r="RLV2" i="7"/>
  <c r="RLW2" i="7"/>
  <c r="RLX2" i="7"/>
  <c r="RLY2" i="7"/>
  <c r="RLZ2" i="7"/>
  <c r="RMA2" i="7"/>
  <c r="RMB2" i="7"/>
  <c r="RMC2" i="7"/>
  <c r="RMD2" i="7"/>
  <c r="RME2" i="7"/>
  <c r="RMF2" i="7"/>
  <c r="RMG2" i="7"/>
  <c r="RMH2" i="7"/>
  <c r="RMI2" i="7"/>
  <c r="RMJ2" i="7"/>
  <c r="RMK2" i="7"/>
  <c r="RML2" i="7"/>
  <c r="RMM2" i="7"/>
  <c r="RMN2" i="7"/>
  <c r="RMO2" i="7"/>
  <c r="RMP2" i="7"/>
  <c r="RMQ2" i="7"/>
  <c r="RMR2" i="7"/>
  <c r="RMS2" i="7"/>
  <c r="RMT2" i="7"/>
  <c r="RMU2" i="7"/>
  <c r="RMV2" i="7"/>
  <c r="RMW2" i="7"/>
  <c r="RMX2" i="7"/>
  <c r="RMY2" i="7"/>
  <c r="RMZ2" i="7"/>
  <c r="RNA2" i="7"/>
  <c r="RNB2" i="7"/>
  <c r="RNC2" i="7"/>
  <c r="RND2" i="7"/>
  <c r="RNE2" i="7"/>
  <c r="RNF2" i="7"/>
  <c r="RNG2" i="7"/>
  <c r="RNH2" i="7"/>
  <c r="RNI2" i="7"/>
  <c r="RNJ2" i="7"/>
  <c r="RNK2" i="7"/>
  <c r="RNL2" i="7"/>
  <c r="RNM2" i="7"/>
  <c r="RNN2" i="7"/>
  <c r="RNO2" i="7"/>
  <c r="RNP2" i="7"/>
  <c r="RNQ2" i="7"/>
  <c r="RNR2" i="7"/>
  <c r="RNS2" i="7"/>
  <c r="RNT2" i="7"/>
  <c r="RNU2" i="7"/>
  <c r="RNV2" i="7"/>
  <c r="RNW2" i="7"/>
  <c r="RNX2" i="7"/>
  <c r="RNY2" i="7"/>
  <c r="RNZ2" i="7"/>
  <c r="ROA2" i="7"/>
  <c r="ROB2" i="7"/>
  <c r="ROC2" i="7"/>
  <c r="ROD2" i="7"/>
  <c r="ROE2" i="7"/>
  <c r="ROF2" i="7"/>
  <c r="ROG2" i="7"/>
  <c r="ROH2" i="7"/>
  <c r="ROI2" i="7"/>
  <c r="ROJ2" i="7"/>
  <c r="ROK2" i="7"/>
  <c r="ROL2" i="7"/>
  <c r="ROM2" i="7"/>
  <c r="RON2" i="7"/>
  <c r="ROO2" i="7"/>
  <c r="ROP2" i="7"/>
  <c r="ROQ2" i="7"/>
  <c r="ROR2" i="7"/>
  <c r="ROS2" i="7"/>
  <c r="ROT2" i="7"/>
  <c r="ROU2" i="7"/>
  <c r="ROV2" i="7"/>
  <c r="ROW2" i="7"/>
  <c r="ROX2" i="7"/>
  <c r="ROY2" i="7"/>
  <c r="ROZ2" i="7"/>
  <c r="RPA2" i="7"/>
  <c r="RPB2" i="7"/>
  <c r="RPC2" i="7"/>
  <c r="RPD2" i="7"/>
  <c r="RPE2" i="7"/>
  <c r="RPF2" i="7"/>
  <c r="RPG2" i="7"/>
  <c r="RPH2" i="7"/>
  <c r="RPI2" i="7"/>
  <c r="RPJ2" i="7"/>
  <c r="RPK2" i="7"/>
  <c r="RPL2" i="7"/>
  <c r="RPM2" i="7"/>
  <c r="RPN2" i="7"/>
  <c r="RPO2" i="7"/>
  <c r="RPP2" i="7"/>
  <c r="RPQ2" i="7"/>
  <c r="RPR2" i="7"/>
  <c r="RPS2" i="7"/>
  <c r="RPT2" i="7"/>
  <c r="RPU2" i="7"/>
  <c r="RPV2" i="7"/>
  <c r="RPW2" i="7"/>
  <c r="RPX2" i="7"/>
  <c r="RPY2" i="7"/>
  <c r="RPZ2" i="7"/>
  <c r="RQA2" i="7"/>
  <c r="RQB2" i="7"/>
  <c r="RQC2" i="7"/>
  <c r="RQD2" i="7"/>
  <c r="RQE2" i="7"/>
  <c r="RQF2" i="7"/>
  <c r="RQG2" i="7"/>
  <c r="RQH2" i="7"/>
  <c r="RQI2" i="7"/>
  <c r="RQJ2" i="7"/>
  <c r="RQK2" i="7"/>
  <c r="RQL2" i="7"/>
  <c r="RQM2" i="7"/>
  <c r="RQN2" i="7"/>
  <c r="RQO2" i="7"/>
  <c r="RQP2" i="7"/>
  <c r="RQQ2" i="7"/>
  <c r="RQR2" i="7"/>
  <c r="RQS2" i="7"/>
  <c r="RQT2" i="7"/>
  <c r="RQU2" i="7"/>
  <c r="RQV2" i="7"/>
  <c r="RQW2" i="7"/>
  <c r="RQX2" i="7"/>
  <c r="RQY2" i="7"/>
  <c r="RQZ2" i="7"/>
  <c r="RRA2" i="7"/>
  <c r="RRB2" i="7"/>
  <c r="RRC2" i="7"/>
  <c r="RRD2" i="7"/>
  <c r="RRE2" i="7"/>
  <c r="RRF2" i="7"/>
  <c r="RRG2" i="7"/>
  <c r="RRH2" i="7"/>
  <c r="RRI2" i="7"/>
  <c r="RRJ2" i="7"/>
  <c r="RRK2" i="7"/>
  <c r="RRL2" i="7"/>
  <c r="RRM2" i="7"/>
  <c r="RRN2" i="7"/>
  <c r="RRO2" i="7"/>
  <c r="RRP2" i="7"/>
  <c r="RRQ2" i="7"/>
  <c r="RRR2" i="7"/>
  <c r="RRS2" i="7"/>
  <c r="RRT2" i="7"/>
  <c r="RRU2" i="7"/>
  <c r="RRV2" i="7"/>
  <c r="RRW2" i="7"/>
  <c r="RRX2" i="7"/>
  <c r="RRY2" i="7"/>
  <c r="RRZ2" i="7"/>
  <c r="RSA2" i="7"/>
  <c r="RSB2" i="7"/>
  <c r="RSC2" i="7"/>
  <c r="RSD2" i="7"/>
  <c r="RSE2" i="7"/>
  <c r="RSF2" i="7"/>
  <c r="RSG2" i="7"/>
  <c r="RSH2" i="7"/>
  <c r="RSI2" i="7"/>
  <c r="RSJ2" i="7"/>
  <c r="RSK2" i="7"/>
  <c r="RSL2" i="7"/>
  <c r="RSM2" i="7"/>
  <c r="RSN2" i="7"/>
  <c r="RSO2" i="7"/>
  <c r="RSP2" i="7"/>
  <c r="RSQ2" i="7"/>
  <c r="RSR2" i="7"/>
  <c r="RSS2" i="7"/>
  <c r="RST2" i="7"/>
  <c r="RSU2" i="7"/>
  <c r="RSV2" i="7"/>
  <c r="RSW2" i="7"/>
  <c r="RSX2" i="7"/>
  <c r="RSY2" i="7"/>
  <c r="RSZ2" i="7"/>
  <c r="RTA2" i="7"/>
  <c r="RTB2" i="7"/>
  <c r="RTC2" i="7"/>
  <c r="RTD2" i="7"/>
  <c r="RTE2" i="7"/>
  <c r="RTF2" i="7"/>
  <c r="RTG2" i="7"/>
  <c r="RTH2" i="7"/>
  <c r="RTI2" i="7"/>
  <c r="RTJ2" i="7"/>
  <c r="RTK2" i="7"/>
  <c r="RTL2" i="7"/>
  <c r="RTM2" i="7"/>
  <c r="RTN2" i="7"/>
  <c r="RTO2" i="7"/>
  <c r="RTP2" i="7"/>
  <c r="RTQ2" i="7"/>
  <c r="RTR2" i="7"/>
  <c r="RTS2" i="7"/>
  <c r="RTT2" i="7"/>
  <c r="RTU2" i="7"/>
  <c r="RTV2" i="7"/>
  <c r="RTW2" i="7"/>
  <c r="RTX2" i="7"/>
  <c r="RTY2" i="7"/>
  <c r="RTZ2" i="7"/>
  <c r="RUA2" i="7"/>
  <c r="RUB2" i="7"/>
  <c r="RUC2" i="7"/>
  <c r="RUD2" i="7"/>
  <c r="RUE2" i="7"/>
  <c r="RUF2" i="7"/>
  <c r="RUG2" i="7"/>
  <c r="RUH2" i="7"/>
  <c r="RUI2" i="7"/>
  <c r="RUJ2" i="7"/>
  <c r="RUK2" i="7"/>
  <c r="RUL2" i="7"/>
  <c r="RUM2" i="7"/>
  <c r="RUN2" i="7"/>
  <c r="RUO2" i="7"/>
  <c r="RUP2" i="7"/>
  <c r="RUQ2" i="7"/>
  <c r="RUR2" i="7"/>
  <c r="RUS2" i="7"/>
  <c r="RUT2" i="7"/>
  <c r="RUU2" i="7"/>
  <c r="RUV2" i="7"/>
  <c r="RUW2" i="7"/>
  <c r="RUX2" i="7"/>
  <c r="RUY2" i="7"/>
  <c r="RUZ2" i="7"/>
  <c r="RVA2" i="7"/>
  <c r="RVB2" i="7"/>
  <c r="RVC2" i="7"/>
  <c r="RVD2" i="7"/>
  <c r="RVE2" i="7"/>
  <c r="RVF2" i="7"/>
  <c r="RVG2" i="7"/>
  <c r="RVH2" i="7"/>
  <c r="RVI2" i="7"/>
  <c r="RVJ2" i="7"/>
  <c r="RVK2" i="7"/>
  <c r="RVL2" i="7"/>
  <c r="RVM2" i="7"/>
  <c r="RVN2" i="7"/>
  <c r="RVO2" i="7"/>
  <c r="RVP2" i="7"/>
  <c r="RVQ2" i="7"/>
  <c r="RVR2" i="7"/>
  <c r="RVS2" i="7"/>
  <c r="RVT2" i="7"/>
  <c r="RVU2" i="7"/>
  <c r="RVV2" i="7"/>
  <c r="RVW2" i="7"/>
  <c r="RVX2" i="7"/>
  <c r="RVY2" i="7"/>
  <c r="RVZ2" i="7"/>
  <c r="RWA2" i="7"/>
  <c r="RWB2" i="7"/>
  <c r="RWC2" i="7"/>
  <c r="RWD2" i="7"/>
  <c r="RWE2" i="7"/>
  <c r="RWF2" i="7"/>
  <c r="RWG2" i="7"/>
  <c r="RWH2" i="7"/>
  <c r="RWI2" i="7"/>
  <c r="RWJ2" i="7"/>
  <c r="RWK2" i="7"/>
  <c r="RWL2" i="7"/>
  <c r="RWM2" i="7"/>
  <c r="RWN2" i="7"/>
  <c r="RWO2" i="7"/>
  <c r="RWP2" i="7"/>
  <c r="RWQ2" i="7"/>
  <c r="RWR2" i="7"/>
  <c r="RWS2" i="7"/>
  <c r="RWT2" i="7"/>
  <c r="RWU2" i="7"/>
  <c r="RWV2" i="7"/>
  <c r="RWW2" i="7"/>
  <c r="RWX2" i="7"/>
  <c r="RWY2" i="7"/>
  <c r="RWZ2" i="7"/>
  <c r="RXA2" i="7"/>
  <c r="RXB2" i="7"/>
  <c r="RXC2" i="7"/>
  <c r="RXD2" i="7"/>
  <c r="RXE2" i="7"/>
  <c r="RXF2" i="7"/>
  <c r="RXG2" i="7"/>
  <c r="RXH2" i="7"/>
  <c r="RXI2" i="7"/>
  <c r="RXJ2" i="7"/>
  <c r="RXK2" i="7"/>
  <c r="RXL2" i="7"/>
  <c r="RXM2" i="7"/>
  <c r="RXN2" i="7"/>
  <c r="RXO2" i="7"/>
  <c r="RXP2" i="7"/>
  <c r="RXQ2" i="7"/>
  <c r="RXR2" i="7"/>
  <c r="RXS2" i="7"/>
  <c r="RXT2" i="7"/>
  <c r="RXU2" i="7"/>
  <c r="RXV2" i="7"/>
  <c r="RXW2" i="7"/>
  <c r="RXX2" i="7"/>
  <c r="RXY2" i="7"/>
  <c r="RXZ2" i="7"/>
  <c r="RYA2" i="7"/>
  <c r="RYB2" i="7"/>
  <c r="RYC2" i="7"/>
  <c r="RYD2" i="7"/>
  <c r="RYE2" i="7"/>
  <c r="RYF2" i="7"/>
  <c r="RYG2" i="7"/>
  <c r="RYH2" i="7"/>
  <c r="RYI2" i="7"/>
  <c r="RYJ2" i="7"/>
  <c r="RYK2" i="7"/>
  <c r="RYL2" i="7"/>
  <c r="RYM2" i="7"/>
  <c r="RYN2" i="7"/>
  <c r="RYO2" i="7"/>
  <c r="RYP2" i="7"/>
  <c r="RYQ2" i="7"/>
  <c r="RYR2" i="7"/>
  <c r="RYS2" i="7"/>
  <c r="RYT2" i="7"/>
  <c r="RYU2" i="7"/>
  <c r="RYV2" i="7"/>
  <c r="RYW2" i="7"/>
  <c r="RYX2" i="7"/>
  <c r="RYY2" i="7"/>
  <c r="RYZ2" i="7"/>
  <c r="RZA2" i="7"/>
  <c r="RZB2" i="7"/>
  <c r="RZC2" i="7"/>
  <c r="RZD2" i="7"/>
  <c r="RZE2" i="7"/>
  <c r="RZF2" i="7"/>
  <c r="RZG2" i="7"/>
  <c r="RZH2" i="7"/>
  <c r="RZI2" i="7"/>
  <c r="RZJ2" i="7"/>
  <c r="RZK2" i="7"/>
  <c r="RZL2" i="7"/>
  <c r="RZM2" i="7"/>
  <c r="RZN2" i="7"/>
  <c r="RZO2" i="7"/>
  <c r="RZP2" i="7"/>
  <c r="RZQ2" i="7"/>
  <c r="RZR2" i="7"/>
  <c r="RZS2" i="7"/>
  <c r="RZT2" i="7"/>
  <c r="RZU2" i="7"/>
  <c r="RZV2" i="7"/>
  <c r="RZW2" i="7"/>
  <c r="RZX2" i="7"/>
  <c r="RZY2" i="7"/>
  <c r="RZZ2" i="7"/>
  <c r="SAA2" i="7"/>
  <c r="SAB2" i="7"/>
  <c r="SAC2" i="7"/>
  <c r="SAD2" i="7"/>
  <c r="SAE2" i="7"/>
  <c r="SAF2" i="7"/>
  <c r="SAG2" i="7"/>
  <c r="SAH2" i="7"/>
  <c r="SAI2" i="7"/>
  <c r="SAJ2" i="7"/>
  <c r="SAK2" i="7"/>
  <c r="SAL2" i="7"/>
  <c r="SAM2" i="7"/>
  <c r="SAN2" i="7"/>
  <c r="SAO2" i="7"/>
  <c r="SAP2" i="7"/>
  <c r="SAQ2" i="7"/>
  <c r="SAR2" i="7"/>
  <c r="SAS2" i="7"/>
  <c r="SAT2" i="7"/>
  <c r="SAU2" i="7"/>
  <c r="SAV2" i="7"/>
  <c r="SAW2" i="7"/>
  <c r="SAX2" i="7"/>
  <c r="SAY2" i="7"/>
  <c r="SAZ2" i="7"/>
  <c r="SBA2" i="7"/>
  <c r="SBB2" i="7"/>
  <c r="SBC2" i="7"/>
  <c r="SBD2" i="7"/>
  <c r="SBE2" i="7"/>
  <c r="SBF2" i="7"/>
  <c r="SBG2" i="7"/>
  <c r="SBH2" i="7"/>
  <c r="SBI2" i="7"/>
  <c r="SBJ2" i="7"/>
  <c r="SBK2" i="7"/>
  <c r="SBL2" i="7"/>
  <c r="SBM2" i="7"/>
  <c r="SBN2" i="7"/>
  <c r="SBO2" i="7"/>
  <c r="SBP2" i="7"/>
  <c r="SBQ2" i="7"/>
  <c r="SBR2" i="7"/>
  <c r="SBS2" i="7"/>
  <c r="SBT2" i="7"/>
  <c r="SBU2" i="7"/>
  <c r="SBV2" i="7"/>
  <c r="SBW2" i="7"/>
  <c r="SBX2" i="7"/>
  <c r="SBY2" i="7"/>
  <c r="SBZ2" i="7"/>
  <c r="SCA2" i="7"/>
  <c r="SCB2" i="7"/>
  <c r="SCC2" i="7"/>
  <c r="SCD2" i="7"/>
  <c r="SCE2" i="7"/>
  <c r="SCF2" i="7"/>
  <c r="SCG2" i="7"/>
  <c r="SCH2" i="7"/>
  <c r="SCI2" i="7"/>
  <c r="SCJ2" i="7"/>
  <c r="SCK2" i="7"/>
  <c r="SCL2" i="7"/>
  <c r="SCM2" i="7"/>
  <c r="SCN2" i="7"/>
  <c r="SCO2" i="7"/>
  <c r="SCP2" i="7"/>
  <c r="SCQ2" i="7"/>
  <c r="SCR2" i="7"/>
  <c r="SCS2" i="7"/>
  <c r="SCT2" i="7"/>
  <c r="SCU2" i="7"/>
  <c r="SCV2" i="7"/>
  <c r="SCW2" i="7"/>
  <c r="SCX2" i="7"/>
  <c r="SCY2" i="7"/>
  <c r="SCZ2" i="7"/>
  <c r="SDA2" i="7"/>
  <c r="SDB2" i="7"/>
  <c r="SDC2" i="7"/>
  <c r="SDD2" i="7"/>
  <c r="SDE2" i="7"/>
  <c r="SDF2" i="7"/>
  <c r="SDG2" i="7"/>
  <c r="SDH2" i="7"/>
  <c r="SDI2" i="7"/>
  <c r="SDJ2" i="7"/>
  <c r="SDK2" i="7"/>
  <c r="SDL2" i="7"/>
  <c r="SDM2" i="7"/>
  <c r="SDN2" i="7"/>
  <c r="SDO2" i="7"/>
  <c r="SDP2" i="7"/>
  <c r="SDQ2" i="7"/>
  <c r="SDR2" i="7"/>
  <c r="SDS2" i="7"/>
  <c r="SDT2" i="7"/>
  <c r="SDU2" i="7"/>
  <c r="SDV2" i="7"/>
  <c r="SDW2" i="7"/>
  <c r="SDX2" i="7"/>
  <c r="SDY2" i="7"/>
  <c r="SDZ2" i="7"/>
  <c r="SEA2" i="7"/>
  <c r="SEB2" i="7"/>
  <c r="SEC2" i="7"/>
  <c r="SED2" i="7"/>
  <c r="SEE2" i="7"/>
  <c r="SEF2" i="7"/>
  <c r="SEG2" i="7"/>
  <c r="SEH2" i="7"/>
  <c r="SEI2" i="7"/>
  <c r="SEJ2" i="7"/>
  <c r="SEK2" i="7"/>
  <c r="SEL2" i="7"/>
  <c r="SEM2" i="7"/>
  <c r="SEN2" i="7"/>
  <c r="SEO2" i="7"/>
  <c r="SEP2" i="7"/>
  <c r="SEQ2" i="7"/>
  <c r="SER2" i="7"/>
  <c r="SES2" i="7"/>
  <c r="SET2" i="7"/>
  <c r="SEU2" i="7"/>
  <c r="SEV2" i="7"/>
  <c r="SEW2" i="7"/>
  <c r="SEX2" i="7"/>
  <c r="SEY2" i="7"/>
  <c r="SEZ2" i="7"/>
  <c r="SFA2" i="7"/>
  <c r="SFB2" i="7"/>
  <c r="SFC2" i="7"/>
  <c r="SFD2" i="7"/>
  <c r="SFE2" i="7"/>
  <c r="SFF2" i="7"/>
  <c r="SFG2" i="7"/>
  <c r="SFH2" i="7"/>
  <c r="SFI2" i="7"/>
  <c r="SFJ2" i="7"/>
  <c r="SFK2" i="7"/>
  <c r="SFL2" i="7"/>
  <c r="SFM2" i="7"/>
  <c r="SFN2" i="7"/>
  <c r="SFO2" i="7"/>
  <c r="SFP2" i="7"/>
  <c r="SFQ2" i="7"/>
  <c r="SFR2" i="7"/>
  <c r="SFS2" i="7"/>
  <c r="SFT2" i="7"/>
  <c r="SFU2" i="7"/>
  <c r="SFV2" i="7"/>
  <c r="SFW2" i="7"/>
  <c r="SFX2" i="7"/>
  <c r="SFY2" i="7"/>
  <c r="SFZ2" i="7"/>
  <c r="SGA2" i="7"/>
  <c r="SGB2" i="7"/>
  <c r="SGC2" i="7"/>
  <c r="SGD2" i="7"/>
  <c r="SGE2" i="7"/>
  <c r="SGF2" i="7"/>
  <c r="SGG2" i="7"/>
  <c r="SGH2" i="7"/>
  <c r="SGI2" i="7"/>
  <c r="SGJ2" i="7"/>
  <c r="SGK2" i="7"/>
  <c r="SGL2" i="7"/>
  <c r="SGM2" i="7"/>
  <c r="SGN2" i="7"/>
  <c r="SGO2" i="7"/>
  <c r="SGP2" i="7"/>
  <c r="SGQ2" i="7"/>
  <c r="SGR2" i="7"/>
  <c r="SGS2" i="7"/>
  <c r="SGT2" i="7"/>
  <c r="SGU2" i="7"/>
  <c r="SGV2" i="7"/>
  <c r="SGW2" i="7"/>
  <c r="SGX2" i="7"/>
  <c r="SGY2" i="7"/>
  <c r="SGZ2" i="7"/>
  <c r="SHA2" i="7"/>
  <c r="SHB2" i="7"/>
  <c r="SHC2" i="7"/>
  <c r="SHD2" i="7"/>
  <c r="SHE2" i="7"/>
  <c r="SHF2" i="7"/>
  <c r="SHG2" i="7"/>
  <c r="SHH2" i="7"/>
  <c r="SHI2" i="7"/>
  <c r="SHJ2" i="7"/>
  <c r="SHK2" i="7"/>
  <c r="SHL2" i="7"/>
  <c r="SHM2" i="7"/>
  <c r="SHN2" i="7"/>
  <c r="SHO2" i="7"/>
  <c r="SHP2" i="7"/>
  <c r="SHQ2" i="7"/>
  <c r="SHR2" i="7"/>
  <c r="SHS2" i="7"/>
  <c r="SHT2" i="7"/>
  <c r="SHU2" i="7"/>
  <c r="SHV2" i="7"/>
  <c r="SHW2" i="7"/>
  <c r="SHX2" i="7"/>
  <c r="SHY2" i="7"/>
  <c r="SHZ2" i="7"/>
  <c r="SIA2" i="7"/>
  <c r="SIB2" i="7"/>
  <c r="SIC2" i="7"/>
  <c r="SID2" i="7"/>
  <c r="SIE2" i="7"/>
  <c r="SIF2" i="7"/>
  <c r="SIG2" i="7"/>
  <c r="SIH2" i="7"/>
  <c r="SII2" i="7"/>
  <c r="SIJ2" i="7"/>
  <c r="SIK2" i="7"/>
  <c r="SIL2" i="7"/>
  <c r="SIM2" i="7"/>
  <c r="SIN2" i="7"/>
  <c r="SIO2" i="7"/>
  <c r="SIP2" i="7"/>
  <c r="SIQ2" i="7"/>
  <c r="SIR2" i="7"/>
  <c r="SIS2" i="7"/>
  <c r="SIT2" i="7"/>
  <c r="SIU2" i="7"/>
  <c r="SIV2" i="7"/>
  <c r="SIW2" i="7"/>
  <c r="SIX2" i="7"/>
  <c r="SIY2" i="7"/>
  <c r="SIZ2" i="7"/>
  <c r="SJA2" i="7"/>
  <c r="SJB2" i="7"/>
  <c r="SJC2" i="7"/>
  <c r="SJD2" i="7"/>
  <c r="SJE2" i="7"/>
  <c r="SJF2" i="7"/>
  <c r="SJG2" i="7"/>
  <c r="SJH2" i="7"/>
  <c r="SJI2" i="7"/>
  <c r="SJJ2" i="7"/>
  <c r="SJK2" i="7"/>
  <c r="SJL2" i="7"/>
  <c r="SJM2" i="7"/>
  <c r="SJN2" i="7"/>
  <c r="SJO2" i="7"/>
  <c r="SJP2" i="7"/>
  <c r="SJQ2" i="7"/>
  <c r="SJR2" i="7"/>
  <c r="SJS2" i="7"/>
  <c r="SJT2" i="7"/>
  <c r="SJU2" i="7"/>
  <c r="SJV2" i="7"/>
  <c r="SJW2" i="7"/>
  <c r="SJX2" i="7"/>
  <c r="SJY2" i="7"/>
  <c r="SJZ2" i="7"/>
  <c r="SKA2" i="7"/>
  <c r="SKB2" i="7"/>
  <c r="SKC2" i="7"/>
  <c r="SKD2" i="7"/>
  <c r="SKE2" i="7"/>
  <c r="SKF2" i="7"/>
  <c r="SKG2" i="7"/>
  <c r="SKH2" i="7"/>
  <c r="SKI2" i="7"/>
  <c r="SKJ2" i="7"/>
  <c r="SKK2" i="7"/>
  <c r="SKL2" i="7"/>
  <c r="SKM2" i="7"/>
  <c r="SKN2" i="7"/>
  <c r="SKO2" i="7"/>
  <c r="SKP2" i="7"/>
  <c r="SKQ2" i="7"/>
  <c r="SKR2" i="7"/>
  <c r="SKS2" i="7"/>
  <c r="SKT2" i="7"/>
  <c r="SKU2" i="7"/>
  <c r="SKV2" i="7"/>
  <c r="SKW2" i="7"/>
  <c r="SKX2" i="7"/>
  <c r="SKY2" i="7"/>
  <c r="SKZ2" i="7"/>
  <c r="SLA2" i="7"/>
  <c r="SLB2" i="7"/>
  <c r="SLC2" i="7"/>
  <c r="SLD2" i="7"/>
  <c r="SLE2" i="7"/>
  <c r="SLF2" i="7"/>
  <c r="SLG2" i="7"/>
  <c r="SLH2" i="7"/>
  <c r="SLI2" i="7"/>
  <c r="SLJ2" i="7"/>
  <c r="SLK2" i="7"/>
  <c r="SLL2" i="7"/>
  <c r="SLM2" i="7"/>
  <c r="SLN2" i="7"/>
  <c r="SLO2" i="7"/>
  <c r="SLP2" i="7"/>
  <c r="SLQ2" i="7"/>
  <c r="SLR2" i="7"/>
  <c r="SLS2" i="7"/>
  <c r="SLT2" i="7"/>
  <c r="SLU2" i="7"/>
  <c r="SLV2" i="7"/>
  <c r="SLW2" i="7"/>
  <c r="SLX2" i="7"/>
  <c r="SLY2" i="7"/>
  <c r="SLZ2" i="7"/>
  <c r="SMA2" i="7"/>
  <c r="SMB2" i="7"/>
  <c r="SMC2" i="7"/>
  <c r="SMD2" i="7"/>
  <c r="SME2" i="7"/>
  <c r="SMF2" i="7"/>
  <c r="SMG2" i="7"/>
  <c r="SMH2" i="7"/>
  <c r="SMI2" i="7"/>
  <c r="SMJ2" i="7"/>
  <c r="SMK2" i="7"/>
  <c r="SML2" i="7"/>
  <c r="SMM2" i="7"/>
  <c r="SMN2" i="7"/>
  <c r="SMO2" i="7"/>
  <c r="SMP2" i="7"/>
  <c r="SMQ2" i="7"/>
  <c r="SMR2" i="7"/>
  <c r="SMS2" i="7"/>
  <c r="SMT2" i="7"/>
  <c r="SMU2" i="7"/>
  <c r="SMV2" i="7"/>
  <c r="SMW2" i="7"/>
  <c r="SMX2" i="7"/>
  <c r="SMY2" i="7"/>
  <c r="SMZ2" i="7"/>
  <c r="SNA2" i="7"/>
  <c r="SNB2" i="7"/>
  <c r="SNC2" i="7"/>
  <c r="SND2" i="7"/>
  <c r="SNE2" i="7"/>
  <c r="SNF2" i="7"/>
  <c r="SNG2" i="7"/>
  <c r="SNH2" i="7"/>
  <c r="SNI2" i="7"/>
  <c r="SNJ2" i="7"/>
  <c r="SNK2" i="7"/>
  <c r="SNL2" i="7"/>
  <c r="SNM2" i="7"/>
  <c r="SNN2" i="7"/>
  <c r="SNO2" i="7"/>
  <c r="SNP2" i="7"/>
  <c r="SNQ2" i="7"/>
  <c r="SNR2" i="7"/>
  <c r="SNS2" i="7"/>
  <c r="SNT2" i="7"/>
  <c r="SNU2" i="7"/>
  <c r="SNV2" i="7"/>
  <c r="SNW2" i="7"/>
  <c r="SNX2" i="7"/>
  <c r="SNY2" i="7"/>
  <c r="SNZ2" i="7"/>
  <c r="SOA2" i="7"/>
  <c r="SOB2" i="7"/>
  <c r="SOC2" i="7"/>
  <c r="SOD2" i="7"/>
  <c r="SOE2" i="7"/>
  <c r="SOF2" i="7"/>
  <c r="SOG2" i="7"/>
  <c r="SOH2" i="7"/>
  <c r="SOI2" i="7"/>
  <c r="SOJ2" i="7"/>
  <c r="SOK2" i="7"/>
  <c r="SOL2" i="7"/>
  <c r="SOM2" i="7"/>
  <c r="SON2" i="7"/>
  <c r="SOO2" i="7"/>
  <c r="SOP2" i="7"/>
  <c r="SOQ2" i="7"/>
  <c r="SOR2" i="7"/>
  <c r="SOS2" i="7"/>
  <c r="SOT2" i="7"/>
  <c r="SOU2" i="7"/>
  <c r="SOV2" i="7"/>
  <c r="SOW2" i="7"/>
  <c r="SOX2" i="7"/>
  <c r="SOY2" i="7"/>
  <c r="SOZ2" i="7"/>
  <c r="SPA2" i="7"/>
  <c r="SPB2" i="7"/>
  <c r="SPC2" i="7"/>
  <c r="SPD2" i="7"/>
  <c r="SPE2" i="7"/>
  <c r="SPF2" i="7"/>
  <c r="SPG2" i="7"/>
  <c r="SPH2" i="7"/>
  <c r="SPI2" i="7"/>
  <c r="SPJ2" i="7"/>
  <c r="SPK2" i="7"/>
  <c r="SPL2" i="7"/>
  <c r="SPM2" i="7"/>
  <c r="SPN2" i="7"/>
  <c r="SPO2" i="7"/>
  <c r="SPP2" i="7"/>
  <c r="SPQ2" i="7"/>
  <c r="SPR2" i="7"/>
  <c r="SPS2" i="7"/>
  <c r="SPT2" i="7"/>
  <c r="SPU2" i="7"/>
  <c r="SPV2" i="7"/>
  <c r="SPW2" i="7"/>
  <c r="SPX2" i="7"/>
  <c r="SPY2" i="7"/>
  <c r="SPZ2" i="7"/>
  <c r="SQA2" i="7"/>
  <c r="SQB2" i="7"/>
  <c r="SQC2" i="7"/>
  <c r="SQD2" i="7"/>
  <c r="SQE2" i="7"/>
  <c r="SQF2" i="7"/>
  <c r="SQG2" i="7"/>
  <c r="SQH2" i="7"/>
  <c r="SQI2" i="7"/>
  <c r="SQJ2" i="7"/>
  <c r="SQK2" i="7"/>
  <c r="SQL2" i="7"/>
  <c r="SQM2" i="7"/>
  <c r="SQN2" i="7"/>
  <c r="SQO2" i="7"/>
  <c r="SQP2" i="7"/>
  <c r="SQQ2" i="7"/>
  <c r="SQR2" i="7"/>
  <c r="SQS2" i="7"/>
  <c r="SQT2" i="7"/>
  <c r="SQU2" i="7"/>
  <c r="SQV2" i="7"/>
  <c r="SQW2" i="7"/>
  <c r="SQX2" i="7"/>
  <c r="SQY2" i="7"/>
  <c r="SQZ2" i="7"/>
  <c r="SRA2" i="7"/>
  <c r="SRB2" i="7"/>
  <c r="SRC2" i="7"/>
  <c r="SRD2" i="7"/>
  <c r="SRE2" i="7"/>
  <c r="SRF2" i="7"/>
  <c r="SRG2" i="7"/>
  <c r="SRH2" i="7"/>
  <c r="SRI2" i="7"/>
  <c r="SRJ2" i="7"/>
  <c r="SRK2" i="7"/>
  <c r="SRL2" i="7"/>
  <c r="SRM2" i="7"/>
  <c r="SRN2" i="7"/>
  <c r="SRO2" i="7"/>
  <c r="SRP2" i="7"/>
  <c r="SRQ2" i="7"/>
  <c r="SRR2" i="7"/>
  <c r="SRS2" i="7"/>
  <c r="SRT2" i="7"/>
  <c r="SRU2" i="7"/>
  <c r="SRV2" i="7"/>
  <c r="SRW2" i="7"/>
  <c r="SRX2" i="7"/>
  <c r="SRY2" i="7"/>
  <c r="SRZ2" i="7"/>
  <c r="SSA2" i="7"/>
  <c r="SSB2" i="7"/>
  <c r="SSC2" i="7"/>
  <c r="SSD2" i="7"/>
  <c r="SSE2" i="7"/>
  <c r="SSF2" i="7"/>
  <c r="SSG2" i="7"/>
  <c r="SSH2" i="7"/>
  <c r="SSI2" i="7"/>
  <c r="SSJ2" i="7"/>
  <c r="SSK2" i="7"/>
  <c r="SSL2" i="7"/>
  <c r="SSM2" i="7"/>
  <c r="SSN2" i="7"/>
  <c r="SSO2" i="7"/>
  <c r="SSP2" i="7"/>
  <c r="SSQ2" i="7"/>
  <c r="SSR2" i="7"/>
  <c r="SSS2" i="7"/>
  <c r="SST2" i="7"/>
  <c r="SSU2" i="7"/>
  <c r="SSV2" i="7"/>
  <c r="SSW2" i="7"/>
  <c r="SSX2" i="7"/>
  <c r="SSY2" i="7"/>
  <c r="SSZ2" i="7"/>
  <c r="STA2" i="7"/>
  <c r="STB2" i="7"/>
  <c r="STC2" i="7"/>
  <c r="STD2" i="7"/>
  <c r="STE2" i="7"/>
  <c r="STF2" i="7"/>
  <c r="STG2" i="7"/>
  <c r="STH2" i="7"/>
  <c r="STI2" i="7"/>
  <c r="STJ2" i="7"/>
  <c r="STK2" i="7"/>
  <c r="STL2" i="7"/>
  <c r="STM2" i="7"/>
  <c r="STN2" i="7"/>
  <c r="STO2" i="7"/>
  <c r="STP2" i="7"/>
  <c r="STQ2" i="7"/>
  <c r="STR2" i="7"/>
  <c r="STS2" i="7"/>
  <c r="STT2" i="7"/>
  <c r="STU2" i="7"/>
  <c r="STV2" i="7"/>
  <c r="STW2" i="7"/>
  <c r="STX2" i="7"/>
  <c r="STY2" i="7"/>
  <c r="STZ2" i="7"/>
  <c r="SUA2" i="7"/>
  <c r="SUB2" i="7"/>
  <c r="SUC2" i="7"/>
  <c r="SUD2" i="7"/>
  <c r="SUE2" i="7"/>
  <c r="SUF2" i="7"/>
  <c r="SUG2" i="7"/>
  <c r="SUH2" i="7"/>
  <c r="SUI2" i="7"/>
  <c r="SUJ2" i="7"/>
  <c r="SUK2" i="7"/>
  <c r="SUL2" i="7"/>
  <c r="SUM2" i="7"/>
  <c r="SUN2" i="7"/>
  <c r="SUO2" i="7"/>
  <c r="SUP2" i="7"/>
  <c r="SUQ2" i="7"/>
  <c r="SUR2" i="7"/>
  <c r="SUS2" i="7"/>
  <c r="SUT2" i="7"/>
  <c r="SUU2" i="7"/>
  <c r="SUV2" i="7"/>
  <c r="SUW2" i="7"/>
  <c r="SUX2" i="7"/>
  <c r="SUY2" i="7"/>
  <c r="SUZ2" i="7"/>
  <c r="SVA2" i="7"/>
  <c r="SVB2" i="7"/>
  <c r="SVC2" i="7"/>
  <c r="SVD2" i="7"/>
  <c r="SVE2" i="7"/>
  <c r="SVF2" i="7"/>
  <c r="SVG2" i="7"/>
  <c r="SVH2" i="7"/>
  <c r="SVI2" i="7"/>
  <c r="SVJ2" i="7"/>
  <c r="SVK2" i="7"/>
  <c r="SVL2" i="7"/>
  <c r="SVM2" i="7"/>
  <c r="SVN2" i="7"/>
  <c r="SVO2" i="7"/>
  <c r="SVP2" i="7"/>
  <c r="SVQ2" i="7"/>
  <c r="SVR2" i="7"/>
  <c r="SVS2" i="7"/>
  <c r="SVT2" i="7"/>
  <c r="SVU2" i="7"/>
  <c r="SVV2" i="7"/>
  <c r="SVW2" i="7"/>
  <c r="SVX2" i="7"/>
  <c r="SVY2" i="7"/>
  <c r="SVZ2" i="7"/>
  <c r="SWA2" i="7"/>
  <c r="SWB2" i="7"/>
  <c r="SWC2" i="7"/>
  <c r="SWD2" i="7"/>
  <c r="SWE2" i="7"/>
  <c r="SWF2" i="7"/>
  <c r="SWG2" i="7"/>
  <c r="SWH2" i="7"/>
  <c r="SWI2" i="7"/>
  <c r="SWJ2" i="7"/>
  <c r="SWK2" i="7"/>
  <c r="SWL2" i="7"/>
  <c r="SWM2" i="7"/>
  <c r="SWN2" i="7"/>
  <c r="SWO2" i="7"/>
  <c r="SWP2" i="7"/>
  <c r="SWQ2" i="7"/>
  <c r="SWR2" i="7"/>
  <c r="SWS2" i="7"/>
  <c r="SWT2" i="7"/>
  <c r="SWU2" i="7"/>
  <c r="SWV2" i="7"/>
  <c r="SWW2" i="7"/>
  <c r="SWX2" i="7"/>
  <c r="SWY2" i="7"/>
  <c r="SWZ2" i="7"/>
  <c r="SXA2" i="7"/>
  <c r="SXB2" i="7"/>
  <c r="SXC2" i="7"/>
  <c r="SXD2" i="7"/>
  <c r="SXE2" i="7"/>
  <c r="SXF2" i="7"/>
  <c r="SXG2" i="7"/>
  <c r="SXH2" i="7"/>
  <c r="SXI2" i="7"/>
  <c r="SXJ2" i="7"/>
  <c r="SXK2" i="7"/>
  <c r="SXL2" i="7"/>
  <c r="SXM2" i="7"/>
  <c r="SXN2" i="7"/>
  <c r="SXO2" i="7"/>
  <c r="SXP2" i="7"/>
  <c r="SXQ2" i="7"/>
  <c r="SXR2" i="7"/>
  <c r="SXS2" i="7"/>
  <c r="SXT2" i="7"/>
  <c r="SXU2" i="7"/>
  <c r="SXV2" i="7"/>
  <c r="SXW2" i="7"/>
  <c r="SXX2" i="7"/>
  <c r="SXY2" i="7"/>
  <c r="SXZ2" i="7"/>
  <c r="SYA2" i="7"/>
  <c r="SYB2" i="7"/>
  <c r="SYC2" i="7"/>
  <c r="SYD2" i="7"/>
  <c r="SYE2" i="7"/>
  <c r="SYF2" i="7"/>
  <c r="SYG2" i="7"/>
  <c r="SYH2" i="7"/>
  <c r="SYI2" i="7"/>
  <c r="SYJ2" i="7"/>
  <c r="SYK2" i="7"/>
  <c r="SYL2" i="7"/>
  <c r="SYM2" i="7"/>
  <c r="SYN2" i="7"/>
  <c r="SYO2" i="7"/>
  <c r="SYP2" i="7"/>
  <c r="SYQ2" i="7"/>
  <c r="SYR2" i="7"/>
  <c r="SYS2" i="7"/>
  <c r="SYT2" i="7"/>
  <c r="SYU2" i="7"/>
  <c r="SYV2" i="7"/>
  <c r="SYW2" i="7"/>
  <c r="SYX2" i="7"/>
  <c r="SYY2" i="7"/>
  <c r="SYZ2" i="7"/>
  <c r="SZA2" i="7"/>
  <c r="SZB2" i="7"/>
  <c r="SZC2" i="7"/>
  <c r="SZD2" i="7"/>
  <c r="SZE2" i="7"/>
  <c r="SZF2" i="7"/>
  <c r="SZG2" i="7"/>
  <c r="SZH2" i="7"/>
  <c r="SZI2" i="7"/>
  <c r="SZJ2" i="7"/>
  <c r="SZK2" i="7"/>
  <c r="SZL2" i="7"/>
  <c r="SZM2" i="7"/>
  <c r="SZN2" i="7"/>
  <c r="SZO2" i="7"/>
  <c r="SZP2" i="7"/>
  <c r="SZQ2" i="7"/>
  <c r="SZR2" i="7"/>
  <c r="SZS2" i="7"/>
  <c r="SZT2" i="7"/>
  <c r="SZU2" i="7"/>
  <c r="SZV2" i="7"/>
  <c r="SZW2" i="7"/>
  <c r="SZX2" i="7"/>
  <c r="SZY2" i="7"/>
  <c r="SZZ2" i="7"/>
  <c r="TAA2" i="7"/>
  <c r="TAB2" i="7"/>
  <c r="TAC2" i="7"/>
  <c r="TAD2" i="7"/>
  <c r="TAE2" i="7"/>
  <c r="TAF2" i="7"/>
  <c r="TAG2" i="7"/>
  <c r="TAH2" i="7"/>
  <c r="TAI2" i="7"/>
  <c r="TAJ2" i="7"/>
  <c r="TAK2" i="7"/>
  <c r="TAL2" i="7"/>
  <c r="TAM2" i="7"/>
  <c r="TAN2" i="7"/>
  <c r="TAO2" i="7"/>
  <c r="TAP2" i="7"/>
  <c r="TAQ2" i="7"/>
  <c r="TAR2" i="7"/>
  <c r="TAS2" i="7"/>
  <c r="TAT2" i="7"/>
  <c r="TAU2" i="7"/>
  <c r="TAV2" i="7"/>
  <c r="TAW2" i="7"/>
  <c r="TAX2" i="7"/>
  <c r="TAY2" i="7"/>
  <c r="TAZ2" i="7"/>
  <c r="TBA2" i="7"/>
  <c r="TBB2" i="7"/>
  <c r="TBC2" i="7"/>
  <c r="TBD2" i="7"/>
  <c r="TBE2" i="7"/>
  <c r="TBF2" i="7"/>
  <c r="TBG2" i="7"/>
  <c r="TBH2" i="7"/>
  <c r="TBI2" i="7"/>
  <c r="TBJ2" i="7"/>
  <c r="TBK2" i="7"/>
  <c r="TBL2" i="7"/>
  <c r="TBM2" i="7"/>
  <c r="TBN2" i="7"/>
  <c r="TBO2" i="7"/>
  <c r="TBP2" i="7"/>
  <c r="TBQ2" i="7"/>
  <c r="TBR2" i="7"/>
  <c r="TBS2" i="7"/>
  <c r="TBT2" i="7"/>
  <c r="TBU2" i="7"/>
  <c r="TBV2" i="7"/>
  <c r="TBW2" i="7"/>
  <c r="TBX2" i="7"/>
  <c r="TBY2" i="7"/>
  <c r="TBZ2" i="7"/>
  <c r="TCA2" i="7"/>
  <c r="TCB2" i="7"/>
  <c r="TCC2" i="7"/>
  <c r="TCD2" i="7"/>
  <c r="TCE2" i="7"/>
  <c r="TCF2" i="7"/>
  <c r="TCG2" i="7"/>
  <c r="TCH2" i="7"/>
  <c r="TCI2" i="7"/>
  <c r="TCJ2" i="7"/>
  <c r="TCK2" i="7"/>
  <c r="TCL2" i="7"/>
  <c r="TCM2" i="7"/>
  <c r="TCN2" i="7"/>
  <c r="TCO2" i="7"/>
  <c r="TCP2" i="7"/>
  <c r="TCQ2" i="7"/>
  <c r="TCR2" i="7"/>
  <c r="TCS2" i="7"/>
  <c r="TCT2" i="7"/>
  <c r="TCU2" i="7"/>
  <c r="TCV2" i="7"/>
  <c r="TCW2" i="7"/>
  <c r="TCX2" i="7"/>
  <c r="TCY2" i="7"/>
  <c r="TCZ2" i="7"/>
  <c r="TDA2" i="7"/>
  <c r="TDB2" i="7"/>
  <c r="TDC2" i="7"/>
  <c r="TDD2" i="7"/>
  <c r="TDE2" i="7"/>
  <c r="TDF2" i="7"/>
  <c r="TDG2" i="7"/>
  <c r="TDH2" i="7"/>
  <c r="TDI2" i="7"/>
  <c r="TDJ2" i="7"/>
  <c r="TDK2" i="7"/>
  <c r="TDL2" i="7"/>
  <c r="TDM2" i="7"/>
  <c r="TDN2" i="7"/>
  <c r="TDO2" i="7"/>
  <c r="TDP2" i="7"/>
  <c r="TDQ2" i="7"/>
  <c r="TDR2" i="7"/>
  <c r="TDS2" i="7"/>
  <c r="TDT2" i="7"/>
  <c r="TDU2" i="7"/>
  <c r="TDV2" i="7"/>
  <c r="TDW2" i="7"/>
  <c r="TDX2" i="7"/>
  <c r="TDY2" i="7"/>
  <c r="TDZ2" i="7"/>
  <c r="TEA2" i="7"/>
  <c r="TEB2" i="7"/>
  <c r="TEC2" i="7"/>
  <c r="TED2" i="7"/>
  <c r="TEE2" i="7"/>
  <c r="TEF2" i="7"/>
  <c r="TEG2" i="7"/>
  <c r="TEH2" i="7"/>
  <c r="TEI2" i="7"/>
  <c r="TEJ2" i="7"/>
  <c r="TEK2" i="7"/>
  <c r="TEL2" i="7"/>
  <c r="TEM2" i="7"/>
  <c r="TEN2" i="7"/>
  <c r="TEO2" i="7"/>
  <c r="TEP2" i="7"/>
  <c r="TEQ2" i="7"/>
  <c r="TER2" i="7"/>
  <c r="TES2" i="7"/>
  <c r="TET2" i="7"/>
  <c r="TEU2" i="7"/>
  <c r="TEV2" i="7"/>
  <c r="TEW2" i="7"/>
  <c r="TEX2" i="7"/>
  <c r="TEY2" i="7"/>
  <c r="TEZ2" i="7"/>
  <c r="TFA2" i="7"/>
  <c r="TFB2" i="7"/>
  <c r="TFC2" i="7"/>
  <c r="TFD2" i="7"/>
  <c r="TFE2" i="7"/>
  <c r="TFF2" i="7"/>
  <c r="TFG2" i="7"/>
  <c r="TFH2" i="7"/>
  <c r="TFI2" i="7"/>
  <c r="TFJ2" i="7"/>
  <c r="TFK2" i="7"/>
  <c r="TFL2" i="7"/>
  <c r="TFM2" i="7"/>
  <c r="TFN2" i="7"/>
  <c r="TFO2" i="7"/>
  <c r="TFP2" i="7"/>
  <c r="TFQ2" i="7"/>
  <c r="TFR2" i="7"/>
  <c r="TFS2" i="7"/>
  <c r="TFT2" i="7"/>
  <c r="TFU2" i="7"/>
  <c r="TFV2" i="7"/>
  <c r="TFW2" i="7"/>
  <c r="TFX2" i="7"/>
  <c r="TFY2" i="7"/>
  <c r="TFZ2" i="7"/>
  <c r="TGA2" i="7"/>
  <c r="TGB2" i="7"/>
  <c r="TGC2" i="7"/>
  <c r="TGD2" i="7"/>
  <c r="TGE2" i="7"/>
  <c r="TGF2" i="7"/>
  <c r="TGG2" i="7"/>
  <c r="TGH2" i="7"/>
  <c r="TGI2" i="7"/>
  <c r="TGJ2" i="7"/>
  <c r="TGK2" i="7"/>
  <c r="TGL2" i="7"/>
  <c r="TGM2" i="7"/>
  <c r="TGN2" i="7"/>
  <c r="TGO2" i="7"/>
  <c r="TGP2" i="7"/>
  <c r="TGQ2" i="7"/>
  <c r="TGR2" i="7"/>
  <c r="TGS2" i="7"/>
  <c r="TGT2" i="7"/>
  <c r="TGU2" i="7"/>
  <c r="TGV2" i="7"/>
  <c r="TGW2" i="7"/>
  <c r="TGX2" i="7"/>
  <c r="TGY2" i="7"/>
  <c r="TGZ2" i="7"/>
  <c r="THA2" i="7"/>
  <c r="THB2" i="7"/>
  <c r="THC2" i="7"/>
  <c r="THD2" i="7"/>
  <c r="THE2" i="7"/>
  <c r="THF2" i="7"/>
  <c r="THG2" i="7"/>
  <c r="THH2" i="7"/>
  <c r="THI2" i="7"/>
  <c r="THJ2" i="7"/>
  <c r="THK2" i="7"/>
  <c r="THL2" i="7"/>
  <c r="THM2" i="7"/>
  <c r="THN2" i="7"/>
  <c r="THO2" i="7"/>
  <c r="THP2" i="7"/>
  <c r="THQ2" i="7"/>
  <c r="THR2" i="7"/>
  <c r="THS2" i="7"/>
  <c r="THT2" i="7"/>
  <c r="THU2" i="7"/>
  <c r="THV2" i="7"/>
  <c r="THW2" i="7"/>
  <c r="THX2" i="7"/>
  <c r="THY2" i="7"/>
  <c r="THZ2" i="7"/>
  <c r="TIA2" i="7"/>
  <c r="TIB2" i="7"/>
  <c r="TIC2" i="7"/>
  <c r="TID2" i="7"/>
  <c r="TIE2" i="7"/>
  <c r="TIF2" i="7"/>
  <c r="TIG2" i="7"/>
  <c r="TIH2" i="7"/>
  <c r="TII2" i="7"/>
  <c r="TIJ2" i="7"/>
  <c r="TIK2" i="7"/>
  <c r="TIL2" i="7"/>
  <c r="TIM2" i="7"/>
  <c r="TIN2" i="7"/>
  <c r="TIO2" i="7"/>
  <c r="TIP2" i="7"/>
  <c r="TIQ2" i="7"/>
  <c r="TIR2" i="7"/>
  <c r="TIS2" i="7"/>
  <c r="TIT2" i="7"/>
  <c r="TIU2" i="7"/>
  <c r="TIV2" i="7"/>
  <c r="TIW2" i="7"/>
  <c r="TIX2" i="7"/>
  <c r="TIY2" i="7"/>
  <c r="TIZ2" i="7"/>
  <c r="TJA2" i="7"/>
  <c r="TJB2" i="7"/>
  <c r="TJC2" i="7"/>
  <c r="TJD2" i="7"/>
  <c r="TJE2" i="7"/>
  <c r="TJF2" i="7"/>
  <c r="TJG2" i="7"/>
  <c r="TJH2" i="7"/>
  <c r="TJI2" i="7"/>
  <c r="TJJ2" i="7"/>
  <c r="TJK2" i="7"/>
  <c r="TJL2" i="7"/>
  <c r="TJM2" i="7"/>
  <c r="TJN2" i="7"/>
  <c r="TJO2" i="7"/>
  <c r="TJP2" i="7"/>
  <c r="TJQ2" i="7"/>
  <c r="TJR2" i="7"/>
  <c r="TJS2" i="7"/>
  <c r="TJT2" i="7"/>
  <c r="TJU2" i="7"/>
  <c r="TJV2" i="7"/>
  <c r="TJW2" i="7"/>
  <c r="TJX2" i="7"/>
  <c r="TJY2" i="7"/>
  <c r="TJZ2" i="7"/>
  <c r="TKA2" i="7"/>
  <c r="TKB2" i="7"/>
  <c r="TKC2" i="7"/>
  <c r="TKD2" i="7"/>
  <c r="TKE2" i="7"/>
  <c r="TKF2" i="7"/>
  <c r="TKG2" i="7"/>
  <c r="TKH2" i="7"/>
  <c r="TKI2" i="7"/>
  <c r="TKJ2" i="7"/>
  <c r="TKK2" i="7"/>
  <c r="TKL2" i="7"/>
  <c r="TKM2" i="7"/>
  <c r="TKN2" i="7"/>
  <c r="TKO2" i="7"/>
  <c r="TKP2" i="7"/>
  <c r="TKQ2" i="7"/>
  <c r="TKR2" i="7"/>
  <c r="TKS2" i="7"/>
  <c r="TKT2" i="7"/>
  <c r="TKU2" i="7"/>
  <c r="TKV2" i="7"/>
  <c r="TKW2" i="7"/>
  <c r="TKX2" i="7"/>
  <c r="TKY2" i="7"/>
  <c r="TKZ2" i="7"/>
  <c r="TLA2" i="7"/>
  <c r="TLB2" i="7"/>
  <c r="TLC2" i="7"/>
  <c r="TLD2" i="7"/>
  <c r="TLE2" i="7"/>
  <c r="TLF2" i="7"/>
  <c r="TLG2" i="7"/>
  <c r="TLH2" i="7"/>
  <c r="TLI2" i="7"/>
  <c r="TLJ2" i="7"/>
  <c r="TLK2" i="7"/>
  <c r="TLL2" i="7"/>
  <c r="TLM2" i="7"/>
  <c r="TLN2" i="7"/>
  <c r="TLO2" i="7"/>
  <c r="TLP2" i="7"/>
  <c r="TLQ2" i="7"/>
  <c r="TLR2" i="7"/>
  <c r="TLS2" i="7"/>
  <c r="TLT2" i="7"/>
  <c r="TLU2" i="7"/>
  <c r="TLV2" i="7"/>
  <c r="TLW2" i="7"/>
  <c r="TLX2" i="7"/>
  <c r="TLY2" i="7"/>
  <c r="TLZ2" i="7"/>
  <c r="TMA2" i="7"/>
  <c r="TMB2" i="7"/>
  <c r="TMC2" i="7"/>
  <c r="TMD2" i="7"/>
  <c r="TME2" i="7"/>
  <c r="TMF2" i="7"/>
  <c r="TMG2" i="7"/>
  <c r="TMH2" i="7"/>
  <c r="TMI2" i="7"/>
  <c r="TMJ2" i="7"/>
  <c r="TMK2" i="7"/>
  <c r="TML2" i="7"/>
  <c r="TMM2" i="7"/>
  <c r="TMN2" i="7"/>
  <c r="TMO2" i="7"/>
  <c r="TMP2" i="7"/>
  <c r="TMQ2" i="7"/>
  <c r="TMR2" i="7"/>
  <c r="TMS2" i="7"/>
  <c r="TMT2" i="7"/>
  <c r="TMU2" i="7"/>
  <c r="TMV2" i="7"/>
  <c r="TMW2" i="7"/>
  <c r="TMX2" i="7"/>
  <c r="TMY2" i="7"/>
  <c r="TMZ2" i="7"/>
  <c r="TNA2" i="7"/>
  <c r="TNB2" i="7"/>
  <c r="TNC2" i="7"/>
  <c r="TND2" i="7"/>
  <c r="TNE2" i="7"/>
  <c r="TNF2" i="7"/>
  <c r="TNG2" i="7"/>
  <c r="TNH2" i="7"/>
  <c r="TNI2" i="7"/>
  <c r="TNJ2" i="7"/>
  <c r="TNK2" i="7"/>
  <c r="TNL2" i="7"/>
  <c r="TNM2" i="7"/>
  <c r="TNN2" i="7"/>
  <c r="TNO2" i="7"/>
  <c r="TNP2" i="7"/>
  <c r="TNQ2" i="7"/>
  <c r="TNR2" i="7"/>
  <c r="TNS2" i="7"/>
  <c r="TNT2" i="7"/>
  <c r="TNU2" i="7"/>
  <c r="TNV2" i="7"/>
  <c r="TNW2" i="7"/>
  <c r="TNX2" i="7"/>
  <c r="TNY2" i="7"/>
  <c r="TNZ2" i="7"/>
  <c r="TOA2" i="7"/>
  <c r="TOB2" i="7"/>
  <c r="TOC2" i="7"/>
  <c r="TOD2" i="7"/>
  <c r="TOE2" i="7"/>
  <c r="TOF2" i="7"/>
  <c r="TOG2" i="7"/>
  <c r="TOH2" i="7"/>
  <c r="TOI2" i="7"/>
  <c r="TOJ2" i="7"/>
  <c r="TOK2" i="7"/>
  <c r="TOL2" i="7"/>
  <c r="TOM2" i="7"/>
  <c r="TON2" i="7"/>
  <c r="TOO2" i="7"/>
  <c r="TOP2" i="7"/>
  <c r="TOQ2" i="7"/>
  <c r="TOR2" i="7"/>
  <c r="TOS2" i="7"/>
  <c r="TOT2" i="7"/>
  <c r="TOU2" i="7"/>
  <c r="TOV2" i="7"/>
  <c r="TOW2" i="7"/>
  <c r="TOX2" i="7"/>
  <c r="TOY2" i="7"/>
  <c r="TOZ2" i="7"/>
  <c r="TPA2" i="7"/>
  <c r="TPB2" i="7"/>
  <c r="TPC2" i="7"/>
  <c r="TPD2" i="7"/>
  <c r="TPE2" i="7"/>
  <c r="TPF2" i="7"/>
  <c r="TPG2" i="7"/>
  <c r="TPH2" i="7"/>
  <c r="TPI2" i="7"/>
  <c r="TPJ2" i="7"/>
  <c r="TPK2" i="7"/>
  <c r="TPL2" i="7"/>
  <c r="TPM2" i="7"/>
  <c r="TPN2" i="7"/>
  <c r="TPO2" i="7"/>
  <c r="TPP2" i="7"/>
  <c r="TPQ2" i="7"/>
  <c r="TPR2" i="7"/>
  <c r="TPS2" i="7"/>
  <c r="TPT2" i="7"/>
  <c r="TPU2" i="7"/>
  <c r="TPV2" i="7"/>
  <c r="TPW2" i="7"/>
  <c r="TPX2" i="7"/>
  <c r="TPY2" i="7"/>
  <c r="TPZ2" i="7"/>
  <c r="TQA2" i="7"/>
  <c r="TQB2" i="7"/>
  <c r="TQC2" i="7"/>
  <c r="TQD2" i="7"/>
  <c r="TQE2" i="7"/>
  <c r="TQF2" i="7"/>
  <c r="TQG2" i="7"/>
  <c r="TQH2" i="7"/>
  <c r="TQI2" i="7"/>
  <c r="TQJ2" i="7"/>
  <c r="TQK2" i="7"/>
  <c r="TQL2" i="7"/>
  <c r="TQM2" i="7"/>
  <c r="TQN2" i="7"/>
  <c r="TQO2" i="7"/>
  <c r="TQP2" i="7"/>
  <c r="TQQ2" i="7"/>
  <c r="TQR2" i="7"/>
  <c r="TQS2" i="7"/>
  <c r="TQT2" i="7"/>
  <c r="TQU2" i="7"/>
  <c r="TQV2" i="7"/>
  <c r="TQW2" i="7"/>
  <c r="TQX2" i="7"/>
  <c r="TQY2" i="7"/>
  <c r="TQZ2" i="7"/>
  <c r="TRA2" i="7"/>
  <c r="TRB2" i="7"/>
  <c r="TRC2" i="7"/>
  <c r="TRD2" i="7"/>
  <c r="TRE2" i="7"/>
  <c r="TRF2" i="7"/>
  <c r="TRG2" i="7"/>
  <c r="TRH2" i="7"/>
  <c r="TRI2" i="7"/>
  <c r="TRJ2" i="7"/>
  <c r="TRK2" i="7"/>
  <c r="TRL2" i="7"/>
  <c r="TRM2" i="7"/>
  <c r="TRN2" i="7"/>
  <c r="TRO2" i="7"/>
  <c r="TRP2" i="7"/>
  <c r="TRQ2" i="7"/>
  <c r="TRR2" i="7"/>
  <c r="TRS2" i="7"/>
  <c r="TRT2" i="7"/>
  <c r="TRU2" i="7"/>
  <c r="TRV2" i="7"/>
  <c r="TRW2" i="7"/>
  <c r="TRX2" i="7"/>
  <c r="TRY2" i="7"/>
  <c r="TRZ2" i="7"/>
  <c r="TSA2" i="7"/>
  <c r="TSB2" i="7"/>
  <c r="TSC2" i="7"/>
  <c r="TSD2" i="7"/>
  <c r="TSE2" i="7"/>
  <c r="TSF2" i="7"/>
  <c r="TSG2" i="7"/>
  <c r="TSH2" i="7"/>
  <c r="TSI2" i="7"/>
  <c r="TSJ2" i="7"/>
  <c r="TSK2" i="7"/>
  <c r="TSL2" i="7"/>
  <c r="TSM2" i="7"/>
  <c r="TSN2" i="7"/>
  <c r="TSO2" i="7"/>
  <c r="TSP2" i="7"/>
  <c r="TSQ2" i="7"/>
  <c r="TSR2" i="7"/>
  <c r="TSS2" i="7"/>
  <c r="TST2" i="7"/>
  <c r="TSU2" i="7"/>
  <c r="TSV2" i="7"/>
  <c r="TSW2" i="7"/>
  <c r="TSX2" i="7"/>
  <c r="TSY2" i="7"/>
  <c r="TSZ2" i="7"/>
  <c r="TTA2" i="7"/>
  <c r="TTB2" i="7"/>
  <c r="TTC2" i="7"/>
  <c r="TTD2" i="7"/>
  <c r="TTE2" i="7"/>
  <c r="TTF2" i="7"/>
  <c r="TTG2" i="7"/>
  <c r="TTH2" i="7"/>
  <c r="TTI2" i="7"/>
  <c r="TTJ2" i="7"/>
  <c r="TTK2" i="7"/>
  <c r="TTL2" i="7"/>
  <c r="TTM2" i="7"/>
  <c r="TTN2" i="7"/>
  <c r="TTO2" i="7"/>
  <c r="TTP2" i="7"/>
  <c r="TTQ2" i="7"/>
  <c r="TTR2" i="7"/>
  <c r="TTS2" i="7"/>
  <c r="TTT2" i="7"/>
  <c r="TTU2" i="7"/>
  <c r="TTV2" i="7"/>
  <c r="TTW2" i="7"/>
  <c r="TTX2" i="7"/>
  <c r="TTY2" i="7"/>
  <c r="TTZ2" i="7"/>
  <c r="TUA2" i="7"/>
  <c r="TUB2" i="7"/>
  <c r="TUC2" i="7"/>
  <c r="TUD2" i="7"/>
  <c r="TUE2" i="7"/>
  <c r="TUF2" i="7"/>
  <c r="TUG2" i="7"/>
  <c r="TUH2" i="7"/>
  <c r="TUI2" i="7"/>
  <c r="TUJ2" i="7"/>
  <c r="TUK2" i="7"/>
  <c r="TUL2" i="7"/>
  <c r="TUM2" i="7"/>
  <c r="TUN2" i="7"/>
  <c r="TUO2" i="7"/>
  <c r="TUP2" i="7"/>
  <c r="TUQ2" i="7"/>
  <c r="TUR2" i="7"/>
  <c r="TUS2" i="7"/>
  <c r="TUT2" i="7"/>
  <c r="TUU2" i="7"/>
  <c r="TUV2" i="7"/>
  <c r="TUW2" i="7"/>
  <c r="TUX2" i="7"/>
  <c r="TUY2" i="7"/>
  <c r="TUZ2" i="7"/>
  <c r="TVA2" i="7"/>
  <c r="TVB2" i="7"/>
  <c r="TVC2" i="7"/>
  <c r="TVD2" i="7"/>
  <c r="TVE2" i="7"/>
  <c r="TVF2" i="7"/>
  <c r="TVG2" i="7"/>
  <c r="TVH2" i="7"/>
  <c r="TVI2" i="7"/>
  <c r="TVJ2" i="7"/>
  <c r="TVK2" i="7"/>
  <c r="TVL2" i="7"/>
  <c r="TVM2" i="7"/>
  <c r="TVN2" i="7"/>
  <c r="TVO2" i="7"/>
  <c r="TVP2" i="7"/>
  <c r="TVQ2" i="7"/>
  <c r="TVR2" i="7"/>
  <c r="TVS2" i="7"/>
  <c r="TVT2" i="7"/>
  <c r="TVU2" i="7"/>
  <c r="TVV2" i="7"/>
  <c r="TVW2" i="7"/>
  <c r="TVX2" i="7"/>
  <c r="TVY2" i="7"/>
  <c r="TVZ2" i="7"/>
  <c r="TWA2" i="7"/>
  <c r="TWB2" i="7"/>
  <c r="TWC2" i="7"/>
  <c r="TWD2" i="7"/>
  <c r="TWE2" i="7"/>
  <c r="TWF2" i="7"/>
  <c r="TWG2" i="7"/>
  <c r="TWH2" i="7"/>
  <c r="TWI2" i="7"/>
  <c r="TWJ2" i="7"/>
  <c r="TWK2" i="7"/>
  <c r="TWL2" i="7"/>
  <c r="TWM2" i="7"/>
  <c r="TWN2" i="7"/>
  <c r="TWO2" i="7"/>
  <c r="TWP2" i="7"/>
  <c r="TWQ2" i="7"/>
  <c r="TWR2" i="7"/>
  <c r="TWS2" i="7"/>
  <c r="TWT2" i="7"/>
  <c r="TWU2" i="7"/>
  <c r="TWV2" i="7"/>
  <c r="TWW2" i="7"/>
  <c r="TWX2" i="7"/>
  <c r="TWY2" i="7"/>
  <c r="TWZ2" i="7"/>
  <c r="TXA2" i="7"/>
  <c r="TXB2" i="7"/>
  <c r="TXC2" i="7"/>
  <c r="TXD2" i="7"/>
  <c r="TXE2" i="7"/>
  <c r="TXF2" i="7"/>
  <c r="TXG2" i="7"/>
  <c r="TXH2" i="7"/>
  <c r="TXI2" i="7"/>
  <c r="TXJ2" i="7"/>
  <c r="TXK2" i="7"/>
  <c r="TXL2" i="7"/>
  <c r="TXM2" i="7"/>
  <c r="TXN2" i="7"/>
  <c r="TXO2" i="7"/>
  <c r="TXP2" i="7"/>
  <c r="TXQ2" i="7"/>
  <c r="TXR2" i="7"/>
  <c r="TXS2" i="7"/>
  <c r="TXT2" i="7"/>
  <c r="TXU2" i="7"/>
  <c r="TXV2" i="7"/>
  <c r="TXW2" i="7"/>
  <c r="TXX2" i="7"/>
  <c r="TXY2" i="7"/>
  <c r="TXZ2" i="7"/>
  <c r="TYA2" i="7"/>
  <c r="TYB2" i="7"/>
  <c r="TYC2" i="7"/>
  <c r="TYD2" i="7"/>
  <c r="TYE2" i="7"/>
  <c r="TYF2" i="7"/>
  <c r="TYG2" i="7"/>
  <c r="TYH2" i="7"/>
  <c r="TYI2" i="7"/>
  <c r="TYJ2" i="7"/>
  <c r="TYK2" i="7"/>
  <c r="TYL2" i="7"/>
  <c r="TYM2" i="7"/>
  <c r="TYN2" i="7"/>
  <c r="TYO2" i="7"/>
  <c r="TYP2" i="7"/>
  <c r="TYQ2" i="7"/>
  <c r="TYR2" i="7"/>
  <c r="TYS2" i="7"/>
  <c r="TYT2" i="7"/>
  <c r="TYU2" i="7"/>
  <c r="TYV2" i="7"/>
  <c r="TYW2" i="7"/>
  <c r="TYX2" i="7"/>
  <c r="TYY2" i="7"/>
  <c r="TYZ2" i="7"/>
  <c r="TZA2" i="7"/>
  <c r="TZB2" i="7"/>
  <c r="TZC2" i="7"/>
  <c r="TZD2" i="7"/>
  <c r="TZE2" i="7"/>
  <c r="TZF2" i="7"/>
  <c r="TZG2" i="7"/>
  <c r="TZH2" i="7"/>
  <c r="TZI2" i="7"/>
  <c r="TZJ2" i="7"/>
  <c r="TZK2" i="7"/>
  <c r="TZL2" i="7"/>
  <c r="TZM2" i="7"/>
  <c r="TZN2" i="7"/>
  <c r="TZO2" i="7"/>
  <c r="TZP2" i="7"/>
  <c r="TZQ2" i="7"/>
  <c r="TZR2" i="7"/>
  <c r="TZS2" i="7"/>
  <c r="TZT2" i="7"/>
  <c r="TZU2" i="7"/>
  <c r="TZV2" i="7"/>
  <c r="TZW2" i="7"/>
  <c r="TZX2" i="7"/>
  <c r="TZY2" i="7"/>
  <c r="TZZ2" i="7"/>
  <c r="UAA2" i="7"/>
  <c r="UAB2" i="7"/>
  <c r="UAC2" i="7"/>
  <c r="UAD2" i="7"/>
  <c r="UAE2" i="7"/>
  <c r="UAF2" i="7"/>
  <c r="UAG2" i="7"/>
  <c r="UAH2" i="7"/>
  <c r="UAI2" i="7"/>
  <c r="UAJ2" i="7"/>
  <c r="UAK2" i="7"/>
  <c r="UAL2" i="7"/>
  <c r="UAM2" i="7"/>
  <c r="UAN2" i="7"/>
  <c r="UAO2" i="7"/>
  <c r="UAP2" i="7"/>
  <c r="UAQ2" i="7"/>
  <c r="UAR2" i="7"/>
  <c r="UAS2" i="7"/>
  <c r="UAT2" i="7"/>
  <c r="UAU2" i="7"/>
  <c r="UAV2" i="7"/>
  <c r="UAW2" i="7"/>
  <c r="UAX2" i="7"/>
  <c r="UAY2" i="7"/>
  <c r="UAZ2" i="7"/>
  <c r="UBA2" i="7"/>
  <c r="UBB2" i="7"/>
  <c r="UBC2" i="7"/>
  <c r="UBD2" i="7"/>
  <c r="UBE2" i="7"/>
  <c r="UBF2" i="7"/>
  <c r="UBG2" i="7"/>
  <c r="UBH2" i="7"/>
  <c r="UBI2" i="7"/>
  <c r="UBJ2" i="7"/>
  <c r="UBK2" i="7"/>
  <c r="UBL2" i="7"/>
  <c r="UBM2" i="7"/>
  <c r="UBN2" i="7"/>
  <c r="UBO2" i="7"/>
  <c r="UBP2" i="7"/>
  <c r="UBQ2" i="7"/>
  <c r="UBR2" i="7"/>
  <c r="UBS2" i="7"/>
  <c r="UBT2" i="7"/>
  <c r="UBU2" i="7"/>
  <c r="UBV2" i="7"/>
  <c r="UBW2" i="7"/>
  <c r="UBX2" i="7"/>
  <c r="UBY2" i="7"/>
  <c r="UBZ2" i="7"/>
  <c r="UCA2" i="7"/>
  <c r="UCB2" i="7"/>
  <c r="UCC2" i="7"/>
  <c r="UCD2" i="7"/>
  <c r="UCE2" i="7"/>
  <c r="UCF2" i="7"/>
  <c r="UCG2" i="7"/>
  <c r="UCH2" i="7"/>
  <c r="UCI2" i="7"/>
  <c r="UCJ2" i="7"/>
  <c r="UCK2" i="7"/>
  <c r="UCL2" i="7"/>
  <c r="UCM2" i="7"/>
  <c r="UCN2" i="7"/>
  <c r="UCO2" i="7"/>
  <c r="UCP2" i="7"/>
  <c r="UCQ2" i="7"/>
  <c r="UCR2" i="7"/>
  <c r="UCS2" i="7"/>
  <c r="UCT2" i="7"/>
  <c r="UCU2" i="7"/>
  <c r="UCV2" i="7"/>
  <c r="UCW2" i="7"/>
  <c r="UCX2" i="7"/>
  <c r="UCY2" i="7"/>
  <c r="UCZ2" i="7"/>
  <c r="UDA2" i="7"/>
  <c r="UDB2" i="7"/>
  <c r="UDC2" i="7"/>
  <c r="UDD2" i="7"/>
  <c r="UDE2" i="7"/>
  <c r="UDF2" i="7"/>
  <c r="UDG2" i="7"/>
  <c r="UDH2" i="7"/>
  <c r="UDI2" i="7"/>
  <c r="UDJ2" i="7"/>
  <c r="UDK2" i="7"/>
  <c r="UDL2" i="7"/>
  <c r="UDM2" i="7"/>
  <c r="UDN2" i="7"/>
  <c r="UDO2" i="7"/>
  <c r="UDP2" i="7"/>
  <c r="UDQ2" i="7"/>
  <c r="UDR2" i="7"/>
  <c r="UDS2" i="7"/>
  <c r="UDT2" i="7"/>
  <c r="UDU2" i="7"/>
  <c r="UDV2" i="7"/>
  <c r="UDW2" i="7"/>
  <c r="UDX2" i="7"/>
  <c r="UDY2" i="7"/>
  <c r="UDZ2" i="7"/>
  <c r="UEA2" i="7"/>
  <c r="UEB2" i="7"/>
  <c r="UEC2" i="7"/>
  <c r="UED2" i="7"/>
  <c r="UEE2" i="7"/>
  <c r="UEF2" i="7"/>
  <c r="UEG2" i="7"/>
  <c r="UEH2" i="7"/>
  <c r="UEI2" i="7"/>
  <c r="UEJ2" i="7"/>
  <c r="UEK2" i="7"/>
  <c r="UEL2" i="7"/>
  <c r="UEM2" i="7"/>
  <c r="UEN2" i="7"/>
  <c r="UEO2" i="7"/>
  <c r="UEP2" i="7"/>
  <c r="UEQ2" i="7"/>
  <c r="UER2" i="7"/>
  <c r="UES2" i="7"/>
  <c r="UET2" i="7"/>
  <c r="UEU2" i="7"/>
  <c r="UEV2" i="7"/>
  <c r="UEW2" i="7"/>
  <c r="UEX2" i="7"/>
  <c r="UEY2" i="7"/>
  <c r="UEZ2" i="7"/>
  <c r="UFA2" i="7"/>
  <c r="UFB2" i="7"/>
  <c r="UFC2" i="7"/>
  <c r="UFD2" i="7"/>
  <c r="UFE2" i="7"/>
  <c r="UFF2" i="7"/>
  <c r="UFG2" i="7"/>
  <c r="UFH2" i="7"/>
  <c r="UFI2" i="7"/>
  <c r="UFJ2" i="7"/>
  <c r="UFK2" i="7"/>
  <c r="UFL2" i="7"/>
  <c r="UFM2" i="7"/>
  <c r="UFN2" i="7"/>
  <c r="UFO2" i="7"/>
  <c r="UFP2" i="7"/>
  <c r="UFQ2" i="7"/>
  <c r="UFR2" i="7"/>
  <c r="UFS2" i="7"/>
  <c r="UFT2" i="7"/>
  <c r="UFU2" i="7"/>
  <c r="UFV2" i="7"/>
  <c r="UFW2" i="7"/>
  <c r="UFX2" i="7"/>
  <c r="UFY2" i="7"/>
  <c r="UFZ2" i="7"/>
  <c r="UGA2" i="7"/>
  <c r="UGB2" i="7"/>
  <c r="UGC2" i="7"/>
  <c r="UGD2" i="7"/>
  <c r="UGE2" i="7"/>
  <c r="UGF2" i="7"/>
  <c r="UGG2" i="7"/>
  <c r="UGH2" i="7"/>
  <c r="UGI2" i="7"/>
  <c r="UGJ2" i="7"/>
  <c r="UGK2" i="7"/>
  <c r="UGL2" i="7"/>
  <c r="UGM2" i="7"/>
  <c r="UGN2" i="7"/>
  <c r="UGO2" i="7"/>
  <c r="UGP2" i="7"/>
  <c r="UGQ2" i="7"/>
  <c r="UGR2" i="7"/>
  <c r="UGS2" i="7"/>
  <c r="UGT2" i="7"/>
  <c r="UGU2" i="7"/>
  <c r="UGV2" i="7"/>
  <c r="UGW2" i="7"/>
  <c r="UGX2" i="7"/>
  <c r="UGY2" i="7"/>
  <c r="UGZ2" i="7"/>
  <c r="UHA2" i="7"/>
  <c r="UHB2" i="7"/>
  <c r="UHC2" i="7"/>
  <c r="UHD2" i="7"/>
  <c r="UHE2" i="7"/>
  <c r="UHF2" i="7"/>
  <c r="UHG2" i="7"/>
  <c r="UHH2" i="7"/>
  <c r="UHI2" i="7"/>
  <c r="UHJ2" i="7"/>
  <c r="UHK2" i="7"/>
  <c r="UHL2" i="7"/>
  <c r="UHM2" i="7"/>
  <c r="UHN2" i="7"/>
  <c r="UHO2" i="7"/>
  <c r="UHP2" i="7"/>
  <c r="UHQ2" i="7"/>
  <c r="UHR2" i="7"/>
  <c r="UHS2" i="7"/>
  <c r="UHT2" i="7"/>
  <c r="UHU2" i="7"/>
  <c r="UHV2" i="7"/>
  <c r="UHW2" i="7"/>
  <c r="UHX2" i="7"/>
  <c r="UHY2" i="7"/>
  <c r="UHZ2" i="7"/>
  <c r="UIA2" i="7"/>
  <c r="UIB2" i="7"/>
  <c r="UIC2" i="7"/>
  <c r="UID2" i="7"/>
  <c r="UIE2" i="7"/>
  <c r="UIF2" i="7"/>
  <c r="UIG2" i="7"/>
  <c r="UIH2" i="7"/>
  <c r="UII2" i="7"/>
  <c r="UIJ2" i="7"/>
  <c r="UIK2" i="7"/>
  <c r="UIL2" i="7"/>
  <c r="UIM2" i="7"/>
  <c r="UIN2" i="7"/>
  <c r="UIO2" i="7"/>
  <c r="UIP2" i="7"/>
  <c r="UIQ2" i="7"/>
  <c r="UIR2" i="7"/>
  <c r="UIS2" i="7"/>
  <c r="UIT2" i="7"/>
  <c r="UIU2" i="7"/>
  <c r="UIV2" i="7"/>
  <c r="UIW2" i="7"/>
  <c r="UIX2" i="7"/>
  <c r="UIY2" i="7"/>
  <c r="UIZ2" i="7"/>
  <c r="UJA2" i="7"/>
  <c r="UJB2" i="7"/>
  <c r="UJC2" i="7"/>
  <c r="UJD2" i="7"/>
  <c r="UJE2" i="7"/>
  <c r="UJF2" i="7"/>
  <c r="UJG2" i="7"/>
  <c r="UJH2" i="7"/>
  <c r="UJI2" i="7"/>
  <c r="UJJ2" i="7"/>
  <c r="UJK2" i="7"/>
  <c r="UJL2" i="7"/>
  <c r="UJM2" i="7"/>
  <c r="UJN2" i="7"/>
  <c r="UJO2" i="7"/>
  <c r="UJP2" i="7"/>
  <c r="UJQ2" i="7"/>
  <c r="UJR2" i="7"/>
  <c r="UJS2" i="7"/>
  <c r="UJT2" i="7"/>
  <c r="UJU2" i="7"/>
  <c r="UJV2" i="7"/>
  <c r="UJW2" i="7"/>
  <c r="UJX2" i="7"/>
  <c r="UJY2" i="7"/>
  <c r="UJZ2" i="7"/>
  <c r="UKA2" i="7"/>
  <c r="UKB2" i="7"/>
  <c r="UKC2" i="7"/>
  <c r="UKD2" i="7"/>
  <c r="UKE2" i="7"/>
  <c r="UKF2" i="7"/>
  <c r="UKG2" i="7"/>
  <c r="UKH2" i="7"/>
  <c r="UKI2" i="7"/>
  <c r="UKJ2" i="7"/>
  <c r="UKK2" i="7"/>
  <c r="UKL2" i="7"/>
  <c r="UKM2" i="7"/>
  <c r="UKN2" i="7"/>
  <c r="UKO2" i="7"/>
  <c r="UKP2" i="7"/>
  <c r="UKQ2" i="7"/>
  <c r="UKR2" i="7"/>
  <c r="UKS2" i="7"/>
  <c r="UKT2" i="7"/>
  <c r="UKU2" i="7"/>
  <c r="UKV2" i="7"/>
  <c r="UKW2" i="7"/>
  <c r="UKX2" i="7"/>
  <c r="UKY2" i="7"/>
  <c r="UKZ2" i="7"/>
  <c r="ULA2" i="7"/>
  <c r="ULB2" i="7"/>
  <c r="ULC2" i="7"/>
  <c r="ULD2" i="7"/>
  <c r="ULE2" i="7"/>
  <c r="ULF2" i="7"/>
  <c r="ULG2" i="7"/>
  <c r="ULH2" i="7"/>
  <c r="ULI2" i="7"/>
  <c r="ULJ2" i="7"/>
  <c r="ULK2" i="7"/>
  <c r="ULL2" i="7"/>
  <c r="ULM2" i="7"/>
  <c r="ULN2" i="7"/>
  <c r="ULO2" i="7"/>
  <c r="ULP2" i="7"/>
  <c r="ULQ2" i="7"/>
  <c r="ULR2" i="7"/>
  <c r="ULS2" i="7"/>
  <c r="ULT2" i="7"/>
  <c r="ULU2" i="7"/>
  <c r="ULV2" i="7"/>
  <c r="ULW2" i="7"/>
  <c r="ULX2" i="7"/>
  <c r="ULY2" i="7"/>
  <c r="ULZ2" i="7"/>
  <c r="UMA2" i="7"/>
  <c r="UMB2" i="7"/>
  <c r="UMC2" i="7"/>
  <c r="UMD2" i="7"/>
  <c r="UME2" i="7"/>
  <c r="UMF2" i="7"/>
  <c r="UMG2" i="7"/>
  <c r="UMH2" i="7"/>
  <c r="UMI2" i="7"/>
  <c r="UMJ2" i="7"/>
  <c r="UMK2" i="7"/>
  <c r="UML2" i="7"/>
  <c r="UMM2" i="7"/>
  <c r="UMN2" i="7"/>
  <c r="UMO2" i="7"/>
  <c r="UMP2" i="7"/>
  <c r="UMQ2" i="7"/>
  <c r="UMR2" i="7"/>
  <c r="UMS2" i="7"/>
  <c r="UMT2" i="7"/>
  <c r="UMU2" i="7"/>
  <c r="UMV2" i="7"/>
  <c r="UMW2" i="7"/>
  <c r="UMX2" i="7"/>
  <c r="UMY2" i="7"/>
  <c r="UMZ2" i="7"/>
  <c r="UNA2" i="7"/>
  <c r="UNB2" i="7"/>
  <c r="UNC2" i="7"/>
  <c r="UND2" i="7"/>
  <c r="UNE2" i="7"/>
  <c r="UNF2" i="7"/>
  <c r="UNG2" i="7"/>
  <c r="UNH2" i="7"/>
  <c r="UNI2" i="7"/>
  <c r="UNJ2" i="7"/>
  <c r="UNK2" i="7"/>
  <c r="UNL2" i="7"/>
  <c r="UNM2" i="7"/>
  <c r="UNN2" i="7"/>
  <c r="UNO2" i="7"/>
  <c r="UNP2" i="7"/>
  <c r="UNQ2" i="7"/>
  <c r="UNR2" i="7"/>
  <c r="UNS2" i="7"/>
  <c r="UNT2" i="7"/>
  <c r="UNU2" i="7"/>
  <c r="UNV2" i="7"/>
  <c r="UNW2" i="7"/>
  <c r="UNX2" i="7"/>
  <c r="UNY2" i="7"/>
  <c r="UNZ2" i="7"/>
  <c r="UOA2" i="7"/>
  <c r="UOB2" i="7"/>
  <c r="UOC2" i="7"/>
  <c r="UOD2" i="7"/>
  <c r="UOE2" i="7"/>
  <c r="UOF2" i="7"/>
  <c r="UOG2" i="7"/>
  <c r="UOH2" i="7"/>
  <c r="UOI2" i="7"/>
  <c r="UOJ2" i="7"/>
  <c r="UOK2" i="7"/>
  <c r="UOL2" i="7"/>
  <c r="UOM2" i="7"/>
  <c r="UON2" i="7"/>
  <c r="UOO2" i="7"/>
  <c r="UOP2" i="7"/>
  <c r="UOQ2" i="7"/>
  <c r="UOR2" i="7"/>
  <c r="UOS2" i="7"/>
  <c r="UOT2" i="7"/>
  <c r="UOU2" i="7"/>
  <c r="UOV2" i="7"/>
  <c r="UOW2" i="7"/>
  <c r="UOX2" i="7"/>
  <c r="UOY2" i="7"/>
  <c r="UOZ2" i="7"/>
  <c r="UPA2" i="7"/>
  <c r="UPB2" i="7"/>
  <c r="UPC2" i="7"/>
  <c r="UPD2" i="7"/>
  <c r="UPE2" i="7"/>
  <c r="UPF2" i="7"/>
  <c r="UPG2" i="7"/>
  <c r="UPH2" i="7"/>
  <c r="UPI2" i="7"/>
  <c r="UPJ2" i="7"/>
  <c r="UPK2" i="7"/>
  <c r="UPL2" i="7"/>
  <c r="UPM2" i="7"/>
  <c r="UPN2" i="7"/>
  <c r="UPO2" i="7"/>
  <c r="UPP2" i="7"/>
  <c r="UPQ2" i="7"/>
  <c r="UPR2" i="7"/>
  <c r="UPS2" i="7"/>
  <c r="UPT2" i="7"/>
  <c r="UPU2" i="7"/>
  <c r="UPV2" i="7"/>
  <c r="UPW2" i="7"/>
  <c r="UPX2" i="7"/>
  <c r="UPY2" i="7"/>
  <c r="UPZ2" i="7"/>
  <c r="UQA2" i="7"/>
  <c r="UQB2" i="7"/>
  <c r="UQC2" i="7"/>
  <c r="UQD2" i="7"/>
  <c r="UQE2" i="7"/>
  <c r="UQF2" i="7"/>
  <c r="UQG2" i="7"/>
  <c r="UQH2" i="7"/>
  <c r="UQI2" i="7"/>
  <c r="UQJ2" i="7"/>
  <c r="UQK2" i="7"/>
  <c r="UQL2" i="7"/>
  <c r="UQM2" i="7"/>
  <c r="UQN2" i="7"/>
  <c r="UQO2" i="7"/>
  <c r="UQP2" i="7"/>
  <c r="UQQ2" i="7"/>
  <c r="UQR2" i="7"/>
  <c r="UQS2" i="7"/>
  <c r="UQT2" i="7"/>
  <c r="UQU2" i="7"/>
  <c r="UQV2" i="7"/>
  <c r="UQW2" i="7"/>
  <c r="UQX2" i="7"/>
  <c r="UQY2" i="7"/>
  <c r="UQZ2" i="7"/>
  <c r="URA2" i="7"/>
  <c r="URB2" i="7"/>
  <c r="URC2" i="7"/>
  <c r="URD2" i="7"/>
  <c r="URE2" i="7"/>
  <c r="URF2" i="7"/>
  <c r="URG2" i="7"/>
  <c r="URH2" i="7"/>
  <c r="URI2" i="7"/>
  <c r="URJ2" i="7"/>
  <c r="URK2" i="7"/>
  <c r="URL2" i="7"/>
  <c r="URM2" i="7"/>
  <c r="URN2" i="7"/>
  <c r="URO2" i="7"/>
  <c r="URP2" i="7"/>
  <c r="URQ2" i="7"/>
  <c r="URR2" i="7"/>
  <c r="URS2" i="7"/>
  <c r="URT2" i="7"/>
  <c r="URU2" i="7"/>
  <c r="URV2" i="7"/>
  <c r="URW2" i="7"/>
  <c r="URX2" i="7"/>
  <c r="URY2" i="7"/>
  <c r="URZ2" i="7"/>
  <c r="USA2" i="7"/>
  <c r="USB2" i="7"/>
  <c r="USC2" i="7"/>
  <c r="USD2" i="7"/>
  <c r="USE2" i="7"/>
  <c r="USF2" i="7"/>
  <c r="USG2" i="7"/>
  <c r="USH2" i="7"/>
  <c r="USI2" i="7"/>
  <c r="USJ2" i="7"/>
  <c r="USK2" i="7"/>
  <c r="USL2" i="7"/>
  <c r="USM2" i="7"/>
  <c r="USN2" i="7"/>
  <c r="USO2" i="7"/>
  <c r="USP2" i="7"/>
  <c r="USQ2" i="7"/>
  <c r="USR2" i="7"/>
  <c r="USS2" i="7"/>
  <c r="UST2" i="7"/>
  <c r="USU2" i="7"/>
  <c r="USV2" i="7"/>
  <c r="USW2" i="7"/>
  <c r="USX2" i="7"/>
  <c r="USY2" i="7"/>
  <c r="USZ2" i="7"/>
  <c r="UTA2" i="7"/>
  <c r="UTB2" i="7"/>
  <c r="UTC2" i="7"/>
  <c r="UTD2" i="7"/>
  <c r="UTE2" i="7"/>
  <c r="UTF2" i="7"/>
  <c r="UTG2" i="7"/>
  <c r="UTH2" i="7"/>
  <c r="UTI2" i="7"/>
  <c r="UTJ2" i="7"/>
  <c r="UTK2" i="7"/>
  <c r="UTL2" i="7"/>
  <c r="UTM2" i="7"/>
  <c r="UTN2" i="7"/>
  <c r="UTO2" i="7"/>
  <c r="UTP2" i="7"/>
  <c r="UTQ2" i="7"/>
  <c r="UTR2" i="7"/>
  <c r="UTS2" i="7"/>
  <c r="UTT2" i="7"/>
  <c r="UTU2" i="7"/>
  <c r="UTV2" i="7"/>
  <c r="UTW2" i="7"/>
  <c r="UTX2" i="7"/>
  <c r="UTY2" i="7"/>
  <c r="UTZ2" i="7"/>
  <c r="UUA2" i="7"/>
  <c r="UUB2" i="7"/>
  <c r="UUC2" i="7"/>
  <c r="UUD2" i="7"/>
  <c r="UUE2" i="7"/>
  <c r="UUF2" i="7"/>
  <c r="UUG2" i="7"/>
  <c r="UUH2" i="7"/>
  <c r="UUI2" i="7"/>
  <c r="UUJ2" i="7"/>
  <c r="UUK2" i="7"/>
  <c r="UUL2" i="7"/>
  <c r="UUM2" i="7"/>
  <c r="UUN2" i="7"/>
  <c r="UUO2" i="7"/>
  <c r="UUP2" i="7"/>
  <c r="UUQ2" i="7"/>
  <c r="UUR2" i="7"/>
  <c r="UUS2" i="7"/>
  <c r="UUT2" i="7"/>
  <c r="UUU2" i="7"/>
  <c r="UUV2" i="7"/>
  <c r="UUW2" i="7"/>
  <c r="UUX2" i="7"/>
  <c r="UUY2" i="7"/>
  <c r="UUZ2" i="7"/>
  <c r="UVA2" i="7"/>
  <c r="UVB2" i="7"/>
  <c r="UVC2" i="7"/>
  <c r="UVD2" i="7"/>
  <c r="UVE2" i="7"/>
  <c r="UVF2" i="7"/>
  <c r="UVG2" i="7"/>
  <c r="UVH2" i="7"/>
  <c r="UVI2" i="7"/>
  <c r="UVJ2" i="7"/>
  <c r="UVK2" i="7"/>
  <c r="UVL2" i="7"/>
  <c r="UVM2" i="7"/>
  <c r="UVN2" i="7"/>
  <c r="UVO2" i="7"/>
  <c r="UVP2" i="7"/>
  <c r="UVQ2" i="7"/>
  <c r="UVR2" i="7"/>
  <c r="UVS2" i="7"/>
  <c r="UVT2" i="7"/>
  <c r="UVU2" i="7"/>
  <c r="UVV2" i="7"/>
  <c r="UVW2" i="7"/>
  <c r="UVX2" i="7"/>
  <c r="UVY2" i="7"/>
  <c r="UVZ2" i="7"/>
  <c r="UWA2" i="7"/>
  <c r="UWB2" i="7"/>
  <c r="UWC2" i="7"/>
  <c r="UWD2" i="7"/>
  <c r="UWE2" i="7"/>
  <c r="UWF2" i="7"/>
  <c r="UWG2" i="7"/>
  <c r="UWH2" i="7"/>
  <c r="UWI2" i="7"/>
  <c r="UWJ2" i="7"/>
  <c r="UWK2" i="7"/>
  <c r="UWL2" i="7"/>
  <c r="UWM2" i="7"/>
  <c r="UWN2" i="7"/>
  <c r="UWO2" i="7"/>
  <c r="UWP2" i="7"/>
  <c r="UWQ2" i="7"/>
  <c r="UWR2" i="7"/>
  <c r="UWS2" i="7"/>
  <c r="UWT2" i="7"/>
  <c r="UWU2" i="7"/>
  <c r="UWV2" i="7"/>
  <c r="UWW2" i="7"/>
  <c r="UWX2" i="7"/>
  <c r="UWY2" i="7"/>
  <c r="UWZ2" i="7"/>
  <c r="UXA2" i="7"/>
  <c r="UXB2" i="7"/>
  <c r="UXC2" i="7"/>
  <c r="UXD2" i="7"/>
  <c r="UXE2" i="7"/>
  <c r="UXF2" i="7"/>
  <c r="UXG2" i="7"/>
  <c r="UXH2" i="7"/>
  <c r="UXI2" i="7"/>
  <c r="UXJ2" i="7"/>
  <c r="UXK2" i="7"/>
  <c r="UXL2" i="7"/>
  <c r="UXM2" i="7"/>
  <c r="UXN2" i="7"/>
  <c r="UXO2" i="7"/>
  <c r="UXP2" i="7"/>
  <c r="UXQ2" i="7"/>
  <c r="UXR2" i="7"/>
  <c r="UXS2" i="7"/>
  <c r="UXT2" i="7"/>
  <c r="UXU2" i="7"/>
  <c r="UXV2" i="7"/>
  <c r="UXW2" i="7"/>
  <c r="UXX2" i="7"/>
  <c r="UXY2" i="7"/>
  <c r="UXZ2" i="7"/>
  <c r="UYA2" i="7"/>
  <c r="UYB2" i="7"/>
  <c r="UYC2" i="7"/>
  <c r="UYD2" i="7"/>
  <c r="UYE2" i="7"/>
  <c r="UYF2" i="7"/>
  <c r="UYG2" i="7"/>
  <c r="UYH2" i="7"/>
  <c r="UYI2" i="7"/>
  <c r="UYJ2" i="7"/>
  <c r="UYK2" i="7"/>
  <c r="UYL2" i="7"/>
  <c r="UYM2" i="7"/>
  <c r="UYN2" i="7"/>
  <c r="UYO2" i="7"/>
  <c r="UYP2" i="7"/>
  <c r="UYQ2" i="7"/>
  <c r="UYR2" i="7"/>
  <c r="UYS2" i="7"/>
  <c r="UYT2" i="7"/>
  <c r="UYU2" i="7"/>
  <c r="UYV2" i="7"/>
  <c r="UYW2" i="7"/>
  <c r="UYX2" i="7"/>
  <c r="UYY2" i="7"/>
  <c r="UYZ2" i="7"/>
  <c r="UZA2" i="7"/>
  <c r="UZB2" i="7"/>
  <c r="UZC2" i="7"/>
  <c r="UZD2" i="7"/>
  <c r="UZE2" i="7"/>
  <c r="UZF2" i="7"/>
  <c r="UZG2" i="7"/>
  <c r="UZH2" i="7"/>
  <c r="UZI2" i="7"/>
  <c r="UZJ2" i="7"/>
  <c r="UZK2" i="7"/>
  <c r="UZL2" i="7"/>
  <c r="UZM2" i="7"/>
  <c r="UZN2" i="7"/>
  <c r="UZO2" i="7"/>
  <c r="UZP2" i="7"/>
  <c r="UZQ2" i="7"/>
  <c r="UZR2" i="7"/>
  <c r="UZS2" i="7"/>
  <c r="UZT2" i="7"/>
  <c r="UZU2" i="7"/>
  <c r="UZV2" i="7"/>
  <c r="UZW2" i="7"/>
  <c r="UZX2" i="7"/>
  <c r="UZY2" i="7"/>
  <c r="UZZ2" i="7"/>
  <c r="VAA2" i="7"/>
  <c r="VAB2" i="7"/>
  <c r="VAC2" i="7"/>
  <c r="VAD2" i="7"/>
  <c r="VAE2" i="7"/>
  <c r="VAF2" i="7"/>
  <c r="VAG2" i="7"/>
  <c r="VAH2" i="7"/>
  <c r="VAI2" i="7"/>
  <c r="VAJ2" i="7"/>
  <c r="VAK2" i="7"/>
  <c r="VAL2" i="7"/>
  <c r="VAM2" i="7"/>
  <c r="VAN2" i="7"/>
  <c r="VAO2" i="7"/>
  <c r="VAP2" i="7"/>
  <c r="VAQ2" i="7"/>
  <c r="VAR2" i="7"/>
  <c r="VAS2" i="7"/>
  <c r="VAT2" i="7"/>
  <c r="VAU2" i="7"/>
  <c r="VAV2" i="7"/>
  <c r="VAW2" i="7"/>
  <c r="VAX2" i="7"/>
  <c r="VAY2" i="7"/>
  <c r="VAZ2" i="7"/>
  <c r="VBA2" i="7"/>
  <c r="VBB2" i="7"/>
  <c r="VBC2" i="7"/>
  <c r="VBD2" i="7"/>
  <c r="VBE2" i="7"/>
  <c r="VBF2" i="7"/>
  <c r="VBG2" i="7"/>
  <c r="VBH2" i="7"/>
  <c r="VBI2" i="7"/>
  <c r="VBJ2" i="7"/>
  <c r="VBK2" i="7"/>
  <c r="VBL2" i="7"/>
  <c r="VBM2" i="7"/>
  <c r="VBN2" i="7"/>
  <c r="VBO2" i="7"/>
  <c r="VBP2" i="7"/>
  <c r="VBQ2" i="7"/>
  <c r="VBR2" i="7"/>
  <c r="VBS2" i="7"/>
  <c r="VBT2" i="7"/>
  <c r="VBU2" i="7"/>
  <c r="VBV2" i="7"/>
  <c r="VBW2" i="7"/>
  <c r="VBX2" i="7"/>
  <c r="VBY2" i="7"/>
  <c r="VBZ2" i="7"/>
  <c r="VCA2" i="7"/>
  <c r="VCB2" i="7"/>
  <c r="VCC2" i="7"/>
  <c r="VCD2" i="7"/>
  <c r="VCE2" i="7"/>
  <c r="VCF2" i="7"/>
  <c r="VCG2" i="7"/>
  <c r="VCH2" i="7"/>
  <c r="VCI2" i="7"/>
  <c r="VCJ2" i="7"/>
  <c r="VCK2" i="7"/>
  <c r="VCL2" i="7"/>
  <c r="VCM2" i="7"/>
  <c r="VCN2" i="7"/>
  <c r="VCO2" i="7"/>
  <c r="VCP2" i="7"/>
  <c r="VCQ2" i="7"/>
  <c r="VCR2" i="7"/>
  <c r="VCS2" i="7"/>
  <c r="VCT2" i="7"/>
  <c r="VCU2" i="7"/>
  <c r="VCV2" i="7"/>
  <c r="VCW2" i="7"/>
  <c r="VCX2" i="7"/>
  <c r="VCY2" i="7"/>
  <c r="VCZ2" i="7"/>
  <c r="VDA2" i="7"/>
  <c r="VDB2" i="7"/>
  <c r="VDC2" i="7"/>
  <c r="VDD2" i="7"/>
  <c r="VDE2" i="7"/>
  <c r="VDF2" i="7"/>
  <c r="VDG2" i="7"/>
  <c r="VDH2" i="7"/>
  <c r="VDI2" i="7"/>
  <c r="VDJ2" i="7"/>
  <c r="VDK2" i="7"/>
  <c r="VDL2" i="7"/>
  <c r="VDM2" i="7"/>
  <c r="VDN2" i="7"/>
  <c r="VDO2" i="7"/>
  <c r="VDP2" i="7"/>
  <c r="VDQ2" i="7"/>
  <c r="VDR2" i="7"/>
  <c r="VDS2" i="7"/>
  <c r="VDT2" i="7"/>
  <c r="VDU2" i="7"/>
  <c r="VDV2" i="7"/>
  <c r="VDW2" i="7"/>
  <c r="VDX2" i="7"/>
  <c r="VDY2" i="7"/>
  <c r="VDZ2" i="7"/>
  <c r="VEA2" i="7"/>
  <c r="VEB2" i="7"/>
  <c r="VEC2" i="7"/>
  <c r="VED2" i="7"/>
  <c r="VEE2" i="7"/>
  <c r="VEF2" i="7"/>
  <c r="VEG2" i="7"/>
  <c r="VEH2" i="7"/>
  <c r="VEI2" i="7"/>
  <c r="VEJ2" i="7"/>
  <c r="VEK2" i="7"/>
  <c r="VEL2" i="7"/>
  <c r="VEM2" i="7"/>
  <c r="VEN2" i="7"/>
  <c r="VEO2" i="7"/>
  <c r="VEP2" i="7"/>
  <c r="VEQ2" i="7"/>
  <c r="VER2" i="7"/>
  <c r="VES2" i="7"/>
  <c r="VET2" i="7"/>
  <c r="VEU2" i="7"/>
  <c r="VEV2" i="7"/>
  <c r="VEW2" i="7"/>
  <c r="VEX2" i="7"/>
  <c r="VEY2" i="7"/>
  <c r="VEZ2" i="7"/>
  <c r="VFA2" i="7"/>
  <c r="VFB2" i="7"/>
  <c r="VFC2" i="7"/>
  <c r="VFD2" i="7"/>
  <c r="VFE2" i="7"/>
  <c r="VFF2" i="7"/>
  <c r="VFG2" i="7"/>
  <c r="VFH2" i="7"/>
  <c r="VFI2" i="7"/>
  <c r="VFJ2" i="7"/>
  <c r="VFK2" i="7"/>
  <c r="VFL2" i="7"/>
  <c r="VFM2" i="7"/>
  <c r="VFN2" i="7"/>
  <c r="VFO2" i="7"/>
  <c r="VFP2" i="7"/>
  <c r="VFQ2" i="7"/>
  <c r="VFR2" i="7"/>
  <c r="VFS2" i="7"/>
  <c r="VFT2" i="7"/>
  <c r="VFU2" i="7"/>
  <c r="VFV2" i="7"/>
  <c r="VFW2" i="7"/>
  <c r="VFX2" i="7"/>
  <c r="VFY2" i="7"/>
  <c r="VFZ2" i="7"/>
  <c r="VGA2" i="7"/>
  <c r="VGB2" i="7"/>
  <c r="VGC2" i="7"/>
  <c r="VGD2" i="7"/>
  <c r="VGE2" i="7"/>
  <c r="VGF2" i="7"/>
  <c r="VGG2" i="7"/>
  <c r="VGH2" i="7"/>
  <c r="VGI2" i="7"/>
  <c r="VGJ2" i="7"/>
  <c r="VGK2" i="7"/>
  <c r="VGL2" i="7"/>
  <c r="VGM2" i="7"/>
  <c r="VGN2" i="7"/>
  <c r="VGO2" i="7"/>
  <c r="VGP2" i="7"/>
  <c r="VGQ2" i="7"/>
  <c r="VGR2" i="7"/>
  <c r="VGS2" i="7"/>
  <c r="VGT2" i="7"/>
  <c r="VGU2" i="7"/>
  <c r="VGV2" i="7"/>
  <c r="VGW2" i="7"/>
  <c r="VGX2" i="7"/>
  <c r="VGY2" i="7"/>
  <c r="VGZ2" i="7"/>
  <c r="VHA2" i="7"/>
  <c r="VHB2" i="7"/>
  <c r="VHC2" i="7"/>
  <c r="VHD2" i="7"/>
  <c r="VHE2" i="7"/>
  <c r="VHF2" i="7"/>
  <c r="VHG2" i="7"/>
  <c r="VHH2" i="7"/>
  <c r="VHI2" i="7"/>
  <c r="VHJ2" i="7"/>
  <c r="VHK2" i="7"/>
  <c r="VHL2" i="7"/>
  <c r="VHM2" i="7"/>
  <c r="VHN2" i="7"/>
  <c r="VHO2" i="7"/>
  <c r="VHP2" i="7"/>
  <c r="VHQ2" i="7"/>
  <c r="VHR2" i="7"/>
  <c r="VHS2" i="7"/>
  <c r="VHT2" i="7"/>
  <c r="VHU2" i="7"/>
  <c r="VHV2" i="7"/>
  <c r="VHW2" i="7"/>
  <c r="VHX2" i="7"/>
  <c r="VHY2" i="7"/>
  <c r="VHZ2" i="7"/>
  <c r="VIA2" i="7"/>
  <c r="VIB2" i="7"/>
  <c r="VIC2" i="7"/>
  <c r="VID2" i="7"/>
  <c r="VIE2" i="7"/>
  <c r="VIF2" i="7"/>
  <c r="VIG2" i="7"/>
  <c r="VIH2" i="7"/>
  <c r="VII2" i="7"/>
  <c r="VIJ2" i="7"/>
  <c r="VIK2" i="7"/>
  <c r="VIL2" i="7"/>
  <c r="VIM2" i="7"/>
  <c r="VIN2" i="7"/>
  <c r="VIO2" i="7"/>
  <c r="VIP2" i="7"/>
  <c r="VIQ2" i="7"/>
  <c r="VIR2" i="7"/>
  <c r="VIS2" i="7"/>
  <c r="VIT2" i="7"/>
  <c r="VIU2" i="7"/>
  <c r="VIV2" i="7"/>
  <c r="VIW2" i="7"/>
  <c r="VIX2" i="7"/>
  <c r="VIY2" i="7"/>
  <c r="VIZ2" i="7"/>
  <c r="VJA2" i="7"/>
  <c r="VJB2" i="7"/>
  <c r="VJC2" i="7"/>
  <c r="VJD2" i="7"/>
  <c r="VJE2" i="7"/>
  <c r="VJF2" i="7"/>
  <c r="VJG2" i="7"/>
  <c r="VJH2" i="7"/>
  <c r="VJI2" i="7"/>
  <c r="VJJ2" i="7"/>
  <c r="VJK2" i="7"/>
  <c r="VJL2" i="7"/>
  <c r="VJM2" i="7"/>
  <c r="VJN2" i="7"/>
  <c r="VJO2" i="7"/>
  <c r="VJP2" i="7"/>
  <c r="VJQ2" i="7"/>
  <c r="VJR2" i="7"/>
  <c r="VJS2" i="7"/>
  <c r="VJT2" i="7"/>
  <c r="VJU2" i="7"/>
  <c r="VJV2" i="7"/>
  <c r="VJW2" i="7"/>
  <c r="VJX2" i="7"/>
  <c r="VJY2" i="7"/>
  <c r="VJZ2" i="7"/>
  <c r="VKA2" i="7"/>
  <c r="VKB2" i="7"/>
  <c r="VKC2" i="7"/>
  <c r="VKD2" i="7"/>
  <c r="VKE2" i="7"/>
  <c r="VKF2" i="7"/>
  <c r="VKG2" i="7"/>
  <c r="VKH2" i="7"/>
  <c r="VKI2" i="7"/>
  <c r="VKJ2" i="7"/>
  <c r="VKK2" i="7"/>
  <c r="VKL2" i="7"/>
  <c r="VKM2" i="7"/>
  <c r="VKN2" i="7"/>
  <c r="VKO2" i="7"/>
  <c r="VKP2" i="7"/>
  <c r="VKQ2" i="7"/>
  <c r="VKR2" i="7"/>
  <c r="VKS2" i="7"/>
  <c r="VKT2" i="7"/>
  <c r="VKU2" i="7"/>
  <c r="VKV2" i="7"/>
  <c r="VKW2" i="7"/>
  <c r="VKX2" i="7"/>
  <c r="VKY2" i="7"/>
  <c r="VKZ2" i="7"/>
  <c r="VLA2" i="7"/>
  <c r="VLB2" i="7"/>
  <c r="VLC2" i="7"/>
  <c r="VLD2" i="7"/>
  <c r="VLE2" i="7"/>
  <c r="VLF2" i="7"/>
  <c r="VLG2" i="7"/>
  <c r="VLH2" i="7"/>
  <c r="VLI2" i="7"/>
  <c r="VLJ2" i="7"/>
  <c r="VLK2" i="7"/>
  <c r="VLL2" i="7"/>
  <c r="VLM2" i="7"/>
  <c r="VLN2" i="7"/>
  <c r="VLO2" i="7"/>
  <c r="VLP2" i="7"/>
  <c r="VLQ2" i="7"/>
  <c r="VLR2" i="7"/>
  <c r="VLS2" i="7"/>
  <c r="VLT2" i="7"/>
  <c r="VLU2" i="7"/>
  <c r="VLV2" i="7"/>
  <c r="VLW2" i="7"/>
  <c r="VLX2" i="7"/>
  <c r="VLY2" i="7"/>
  <c r="VLZ2" i="7"/>
  <c r="VMA2" i="7"/>
  <c r="VMB2" i="7"/>
  <c r="VMC2" i="7"/>
  <c r="VMD2" i="7"/>
  <c r="VME2" i="7"/>
  <c r="VMF2" i="7"/>
  <c r="VMG2" i="7"/>
  <c r="VMH2" i="7"/>
  <c r="VMI2" i="7"/>
  <c r="VMJ2" i="7"/>
  <c r="VMK2" i="7"/>
  <c r="VML2" i="7"/>
  <c r="VMM2" i="7"/>
  <c r="VMN2" i="7"/>
  <c r="VMO2" i="7"/>
  <c r="VMP2" i="7"/>
  <c r="VMQ2" i="7"/>
  <c r="VMR2" i="7"/>
  <c r="VMS2" i="7"/>
  <c r="VMT2" i="7"/>
  <c r="VMU2" i="7"/>
  <c r="VMV2" i="7"/>
  <c r="VMW2" i="7"/>
  <c r="VMX2" i="7"/>
  <c r="VMY2" i="7"/>
  <c r="VMZ2" i="7"/>
  <c r="VNA2" i="7"/>
  <c r="VNB2" i="7"/>
  <c r="VNC2" i="7"/>
  <c r="VND2" i="7"/>
  <c r="VNE2" i="7"/>
  <c r="VNF2" i="7"/>
  <c r="VNG2" i="7"/>
  <c r="VNH2" i="7"/>
  <c r="VNI2" i="7"/>
  <c r="VNJ2" i="7"/>
  <c r="VNK2" i="7"/>
  <c r="VNL2" i="7"/>
  <c r="VNM2" i="7"/>
  <c r="VNN2" i="7"/>
  <c r="VNO2" i="7"/>
  <c r="VNP2" i="7"/>
  <c r="VNQ2" i="7"/>
  <c r="VNR2" i="7"/>
  <c r="VNS2" i="7"/>
  <c r="VNT2" i="7"/>
  <c r="VNU2" i="7"/>
  <c r="VNV2" i="7"/>
  <c r="VNW2" i="7"/>
  <c r="VNX2" i="7"/>
  <c r="VNY2" i="7"/>
  <c r="VNZ2" i="7"/>
  <c r="VOA2" i="7"/>
  <c r="VOB2" i="7"/>
  <c r="VOC2" i="7"/>
  <c r="VOD2" i="7"/>
  <c r="VOE2" i="7"/>
  <c r="VOF2" i="7"/>
  <c r="VOG2" i="7"/>
  <c r="VOH2" i="7"/>
  <c r="VOI2" i="7"/>
  <c r="PFF3" i="7"/>
  <c r="PFG3" i="7"/>
  <c r="PFH3" i="7"/>
  <c r="PFI3" i="7"/>
  <c r="PFJ3" i="7"/>
  <c r="PFK3" i="7"/>
  <c r="PFL3" i="7"/>
  <c r="PFM3" i="7"/>
  <c r="PFN3" i="7"/>
  <c r="PFO3" i="7"/>
  <c r="PFP3" i="7"/>
  <c r="PFQ3" i="7"/>
  <c r="PFR3" i="7"/>
  <c r="PFS3" i="7"/>
  <c r="PFT3" i="7"/>
  <c r="PFU3" i="7"/>
  <c r="PFV3" i="7"/>
  <c r="PFW3" i="7"/>
  <c r="PFX3" i="7"/>
  <c r="PFY3" i="7"/>
  <c r="PFZ3" i="7"/>
  <c r="PGA3" i="7"/>
  <c r="PGB3" i="7"/>
  <c r="PGC3" i="7"/>
  <c r="PGD3" i="7"/>
  <c r="PGE3" i="7"/>
  <c r="PGF3" i="7"/>
  <c r="PGG3" i="7"/>
  <c r="PGH3" i="7"/>
  <c r="PGI3" i="7"/>
  <c r="PGJ3" i="7"/>
  <c r="PGK3" i="7"/>
  <c r="PGL3" i="7"/>
  <c r="PGM3" i="7"/>
  <c r="PGN3" i="7"/>
  <c r="PGO3" i="7"/>
  <c r="PGP3" i="7"/>
  <c r="PGQ3" i="7"/>
  <c r="PGR3" i="7"/>
  <c r="PGS3" i="7"/>
  <c r="PGT3" i="7"/>
  <c r="PGU3" i="7"/>
  <c r="PGV3" i="7"/>
  <c r="PGW3" i="7"/>
  <c r="PGX3" i="7"/>
  <c r="PGY3" i="7"/>
  <c r="PGZ3" i="7"/>
  <c r="PHA3" i="7"/>
  <c r="PHB3" i="7"/>
  <c r="PHC3" i="7"/>
  <c r="PHD3" i="7"/>
  <c r="PHE3" i="7"/>
  <c r="PHF3" i="7"/>
  <c r="PHG3" i="7"/>
  <c r="PHH3" i="7"/>
  <c r="PHI3" i="7"/>
  <c r="PHJ3" i="7"/>
  <c r="PHK3" i="7"/>
  <c r="PHL3" i="7"/>
  <c r="PHM3" i="7"/>
  <c r="PHN3" i="7"/>
  <c r="PHO3" i="7"/>
  <c r="PHP3" i="7"/>
  <c r="PHQ3" i="7"/>
  <c r="PHR3" i="7"/>
  <c r="PHS3" i="7"/>
  <c r="PHT3" i="7"/>
  <c r="PHU3" i="7"/>
  <c r="PHV3" i="7"/>
  <c r="PHW3" i="7"/>
  <c r="PHX3" i="7"/>
  <c r="PHY3" i="7"/>
  <c r="PHZ3" i="7"/>
  <c r="PIA3" i="7"/>
  <c r="PIB3" i="7"/>
  <c r="PIC3" i="7"/>
  <c r="PID3" i="7"/>
  <c r="PIE3" i="7"/>
  <c r="PIF3" i="7"/>
  <c r="PIG3" i="7"/>
  <c r="PIH3" i="7"/>
  <c r="PII3" i="7"/>
  <c r="PIJ3" i="7"/>
  <c r="PIK3" i="7"/>
  <c r="PIL3" i="7"/>
  <c r="PIM3" i="7"/>
  <c r="PIN3" i="7"/>
  <c r="PIO3" i="7"/>
  <c r="PIP3" i="7"/>
  <c r="PIQ3" i="7"/>
  <c r="PIR3" i="7"/>
  <c r="PIS3" i="7"/>
  <c r="PIT3" i="7"/>
  <c r="PIU3" i="7"/>
  <c r="PIV3" i="7"/>
  <c r="PIW3" i="7"/>
  <c r="PIX3" i="7"/>
  <c r="PIY3" i="7"/>
  <c r="PIZ3" i="7"/>
  <c r="PJA3" i="7"/>
  <c r="PJB3" i="7"/>
  <c r="PJC3" i="7"/>
  <c r="PJD3" i="7"/>
  <c r="PJE3" i="7"/>
  <c r="PJF3" i="7"/>
  <c r="PJG3" i="7"/>
  <c r="PJH3" i="7"/>
  <c r="PJI3" i="7"/>
  <c r="PJJ3" i="7"/>
  <c r="PJK3" i="7"/>
  <c r="PJL3" i="7"/>
  <c r="PJM3" i="7"/>
  <c r="PJN3" i="7"/>
  <c r="PJO3" i="7"/>
  <c r="PJP3" i="7"/>
  <c r="PJQ3" i="7"/>
  <c r="PJR3" i="7"/>
  <c r="PJS3" i="7"/>
  <c r="PJT3" i="7"/>
  <c r="PJU3" i="7"/>
  <c r="PJV3" i="7"/>
  <c r="PJW3" i="7"/>
  <c r="PJX3" i="7"/>
  <c r="PJY3" i="7"/>
  <c r="PJZ3" i="7"/>
  <c r="PKA3" i="7"/>
  <c r="PKB3" i="7"/>
  <c r="PKC3" i="7"/>
  <c r="PKD3" i="7"/>
  <c r="PKE3" i="7"/>
  <c r="PKF3" i="7"/>
  <c r="PKG3" i="7"/>
  <c r="PKH3" i="7"/>
  <c r="PKI3" i="7"/>
  <c r="PKJ3" i="7"/>
  <c r="PKK3" i="7"/>
  <c r="PKL3" i="7"/>
  <c r="PKM3" i="7"/>
  <c r="PKN3" i="7"/>
  <c r="PKO3" i="7"/>
  <c r="PKP3" i="7"/>
  <c r="PKQ3" i="7"/>
  <c r="PKR3" i="7"/>
  <c r="PKS3" i="7"/>
  <c r="PKT3" i="7"/>
  <c r="PKU3" i="7"/>
  <c r="PKV3" i="7"/>
  <c r="PKW3" i="7"/>
  <c r="PKX3" i="7"/>
  <c r="PKY3" i="7"/>
  <c r="PKZ3" i="7"/>
  <c r="PLA3" i="7"/>
  <c r="PLB3" i="7"/>
  <c r="PLC3" i="7"/>
  <c r="PLD3" i="7"/>
  <c r="PLE3" i="7"/>
  <c r="PLF3" i="7"/>
  <c r="PLG3" i="7"/>
  <c r="PLH3" i="7"/>
  <c r="PLI3" i="7"/>
  <c r="PLJ3" i="7"/>
  <c r="PLK3" i="7"/>
  <c r="PLL3" i="7"/>
  <c r="PLM3" i="7"/>
  <c r="PLN3" i="7"/>
  <c r="PLO3" i="7"/>
  <c r="PLP3" i="7"/>
  <c r="PLQ3" i="7"/>
  <c r="PLR3" i="7"/>
  <c r="PLS3" i="7"/>
  <c r="PLT3" i="7"/>
  <c r="PLU3" i="7"/>
  <c r="PLV3" i="7"/>
  <c r="PLW3" i="7"/>
  <c r="PLX3" i="7"/>
  <c r="PLY3" i="7"/>
  <c r="PLZ3" i="7"/>
  <c r="PMA3" i="7"/>
  <c r="PMB3" i="7"/>
  <c r="PMC3" i="7"/>
  <c r="PMD3" i="7"/>
  <c r="PME3" i="7"/>
  <c r="PMF3" i="7"/>
  <c r="PMG3" i="7"/>
  <c r="PMH3" i="7"/>
  <c r="PMI3" i="7"/>
  <c r="PMJ3" i="7"/>
  <c r="PMK3" i="7"/>
  <c r="PML3" i="7"/>
  <c r="PMM3" i="7"/>
  <c r="PMN3" i="7"/>
  <c r="PMO3" i="7"/>
  <c r="PMP3" i="7"/>
  <c r="PMQ3" i="7"/>
  <c r="PMR3" i="7"/>
  <c r="PMS3" i="7"/>
  <c r="PMT3" i="7"/>
  <c r="PMU3" i="7"/>
  <c r="PMV3" i="7"/>
  <c r="PMW3" i="7"/>
  <c r="PMX3" i="7"/>
  <c r="PMY3" i="7"/>
  <c r="PMZ3" i="7"/>
  <c r="PNA3" i="7"/>
  <c r="PNB3" i="7"/>
  <c r="PNC3" i="7"/>
  <c r="PND3" i="7"/>
  <c r="PNE3" i="7"/>
  <c r="PNF3" i="7"/>
  <c r="PNG3" i="7"/>
  <c r="PNH3" i="7"/>
  <c r="PNI3" i="7"/>
  <c r="PNJ3" i="7"/>
  <c r="PNK3" i="7"/>
  <c r="PNL3" i="7"/>
  <c r="PNM3" i="7"/>
  <c r="PNN3" i="7"/>
  <c r="PNO3" i="7"/>
  <c r="PNP3" i="7"/>
  <c r="PNQ3" i="7"/>
  <c r="PNR3" i="7"/>
  <c r="PNS3" i="7"/>
  <c r="PNT3" i="7"/>
  <c r="PNU3" i="7"/>
  <c r="PNV3" i="7"/>
  <c r="PNW3" i="7"/>
  <c r="PNX3" i="7"/>
  <c r="PNY3" i="7"/>
  <c r="PNZ3" i="7"/>
  <c r="POA3" i="7"/>
  <c r="POB3" i="7"/>
  <c r="POC3" i="7"/>
  <c r="POD3" i="7"/>
  <c r="POE3" i="7"/>
  <c r="POF3" i="7"/>
  <c r="POG3" i="7"/>
  <c r="POH3" i="7"/>
  <c r="POI3" i="7"/>
  <c r="POJ3" i="7"/>
  <c r="POK3" i="7"/>
  <c r="POL3" i="7"/>
  <c r="POM3" i="7"/>
  <c r="PON3" i="7"/>
  <c r="POO3" i="7"/>
  <c r="POP3" i="7"/>
  <c r="POQ3" i="7"/>
  <c r="POR3" i="7"/>
  <c r="POS3" i="7"/>
  <c r="POT3" i="7"/>
  <c r="POU3" i="7"/>
  <c r="POV3" i="7"/>
  <c r="POW3" i="7"/>
  <c r="POX3" i="7"/>
  <c r="POY3" i="7"/>
  <c r="POZ3" i="7"/>
  <c r="PPA3" i="7"/>
  <c r="PPB3" i="7"/>
  <c r="PPC3" i="7"/>
  <c r="PPD3" i="7"/>
  <c r="PPE3" i="7"/>
  <c r="PPF3" i="7"/>
  <c r="PPG3" i="7"/>
  <c r="PPH3" i="7"/>
  <c r="PPI3" i="7"/>
  <c r="PPJ3" i="7"/>
  <c r="PPK3" i="7"/>
  <c r="PPL3" i="7"/>
  <c r="PPM3" i="7"/>
  <c r="PPN3" i="7"/>
  <c r="PPO3" i="7"/>
  <c r="PPP3" i="7"/>
  <c r="PPQ3" i="7"/>
  <c r="PPR3" i="7"/>
  <c r="PPS3" i="7"/>
  <c r="PPT3" i="7"/>
  <c r="PPU3" i="7"/>
  <c r="PPV3" i="7"/>
  <c r="PPW3" i="7"/>
  <c r="PPX3" i="7"/>
  <c r="PPY3" i="7"/>
  <c r="PPZ3" i="7"/>
  <c r="PQA3" i="7"/>
  <c r="PQB3" i="7"/>
  <c r="PQC3" i="7"/>
  <c r="PQD3" i="7"/>
  <c r="PQE3" i="7"/>
  <c r="PQF3" i="7"/>
  <c r="PQG3" i="7"/>
  <c r="PQH3" i="7"/>
  <c r="PQI3" i="7"/>
  <c r="PQJ3" i="7"/>
  <c r="PQK3" i="7"/>
  <c r="PQL3" i="7"/>
  <c r="PQM3" i="7"/>
  <c r="PQN3" i="7"/>
  <c r="PQO3" i="7"/>
  <c r="PQP3" i="7"/>
  <c r="PQQ3" i="7"/>
  <c r="PQR3" i="7"/>
  <c r="PQS3" i="7"/>
  <c r="PQT3" i="7"/>
  <c r="PQU3" i="7"/>
  <c r="PQV3" i="7"/>
  <c r="PQW3" i="7"/>
  <c r="PQX3" i="7"/>
  <c r="PQY3" i="7"/>
  <c r="PQZ3" i="7"/>
  <c r="PRA3" i="7"/>
  <c r="PRB3" i="7"/>
  <c r="PRC3" i="7"/>
  <c r="PRD3" i="7"/>
  <c r="PRE3" i="7"/>
  <c r="PRF3" i="7"/>
  <c r="PRG3" i="7"/>
  <c r="PRH3" i="7"/>
  <c r="PRI3" i="7"/>
  <c r="PRJ3" i="7"/>
  <c r="PRK3" i="7"/>
  <c r="PRL3" i="7"/>
  <c r="PRM3" i="7"/>
  <c r="PRN3" i="7"/>
  <c r="PRO3" i="7"/>
  <c r="PRP3" i="7"/>
  <c r="PRQ3" i="7"/>
  <c r="PRR3" i="7"/>
  <c r="PRS3" i="7"/>
  <c r="PRT3" i="7"/>
  <c r="PRU3" i="7"/>
  <c r="PRV3" i="7"/>
  <c r="PRW3" i="7"/>
  <c r="PRX3" i="7"/>
  <c r="PRY3" i="7"/>
  <c r="PRZ3" i="7"/>
  <c r="PSA3" i="7"/>
  <c r="PSB3" i="7"/>
  <c r="PSC3" i="7"/>
  <c r="PSD3" i="7"/>
  <c r="PSE3" i="7"/>
  <c r="PSF3" i="7"/>
  <c r="PSG3" i="7"/>
  <c r="PSH3" i="7"/>
  <c r="PSI3" i="7"/>
  <c r="PSJ3" i="7"/>
  <c r="PSK3" i="7"/>
  <c r="PSL3" i="7"/>
  <c r="PSM3" i="7"/>
  <c r="PSN3" i="7"/>
  <c r="PSO3" i="7"/>
  <c r="PSP3" i="7"/>
  <c r="PSQ3" i="7"/>
  <c r="PSR3" i="7"/>
  <c r="PSS3" i="7"/>
  <c r="PST3" i="7"/>
  <c r="PSU3" i="7"/>
  <c r="PSV3" i="7"/>
  <c r="PSW3" i="7"/>
  <c r="PSX3" i="7"/>
  <c r="PSY3" i="7"/>
  <c r="PSZ3" i="7"/>
  <c r="PTA3" i="7"/>
  <c r="PTB3" i="7"/>
  <c r="PTC3" i="7"/>
  <c r="PTD3" i="7"/>
  <c r="PTE3" i="7"/>
  <c r="PTF3" i="7"/>
  <c r="PTG3" i="7"/>
  <c r="PTH3" i="7"/>
  <c r="PTI3" i="7"/>
  <c r="PTJ3" i="7"/>
  <c r="PTK3" i="7"/>
  <c r="PTL3" i="7"/>
  <c r="PTM3" i="7"/>
  <c r="PTN3" i="7"/>
  <c r="PTO3" i="7"/>
  <c r="PTP3" i="7"/>
  <c r="PTQ3" i="7"/>
  <c r="PTR3" i="7"/>
  <c r="PTS3" i="7"/>
  <c r="PTT3" i="7"/>
  <c r="PTU3" i="7"/>
  <c r="PTV3" i="7"/>
  <c r="PTW3" i="7"/>
  <c r="PTX3" i="7"/>
  <c r="PTY3" i="7"/>
  <c r="PTZ3" i="7"/>
  <c r="PUA3" i="7"/>
  <c r="PUB3" i="7"/>
  <c r="PUC3" i="7"/>
  <c r="PUD3" i="7"/>
  <c r="PUE3" i="7"/>
  <c r="PUF3" i="7"/>
  <c r="PUG3" i="7"/>
  <c r="PUH3" i="7"/>
  <c r="PUI3" i="7"/>
  <c r="PUJ3" i="7"/>
  <c r="PUK3" i="7"/>
  <c r="PUL3" i="7"/>
  <c r="PUM3" i="7"/>
  <c r="PUN3" i="7"/>
  <c r="PUO3" i="7"/>
  <c r="PUP3" i="7"/>
  <c r="PUQ3" i="7"/>
  <c r="PUR3" i="7"/>
  <c r="PUS3" i="7"/>
  <c r="PUT3" i="7"/>
  <c r="PUU3" i="7"/>
  <c r="PUV3" i="7"/>
  <c r="PUW3" i="7"/>
  <c r="PUX3" i="7"/>
  <c r="PUY3" i="7"/>
  <c r="PUZ3" i="7"/>
  <c r="PVA3" i="7"/>
  <c r="PVB3" i="7"/>
  <c r="PVC3" i="7"/>
  <c r="PVD3" i="7"/>
  <c r="PVE3" i="7"/>
  <c r="PVF3" i="7"/>
  <c r="PVG3" i="7"/>
  <c r="PVH3" i="7"/>
  <c r="PVI3" i="7"/>
  <c r="PVJ3" i="7"/>
  <c r="PVK3" i="7"/>
  <c r="PVL3" i="7"/>
  <c r="PVM3" i="7"/>
  <c r="PVN3" i="7"/>
  <c r="PVO3" i="7"/>
  <c r="PVP3" i="7"/>
  <c r="PVQ3" i="7"/>
  <c r="PVR3" i="7"/>
  <c r="PVS3" i="7"/>
  <c r="PVT3" i="7"/>
  <c r="PVU3" i="7"/>
  <c r="PVV3" i="7"/>
  <c r="PVW3" i="7"/>
  <c r="PVX3" i="7"/>
  <c r="PVY3" i="7"/>
  <c r="PVZ3" i="7"/>
  <c r="PWA3" i="7"/>
  <c r="PWB3" i="7"/>
  <c r="PWC3" i="7"/>
  <c r="PWD3" i="7"/>
  <c r="PWE3" i="7"/>
  <c r="PWF3" i="7"/>
  <c r="PWG3" i="7"/>
  <c r="PWH3" i="7"/>
  <c r="PWI3" i="7"/>
  <c r="PWJ3" i="7"/>
  <c r="PWK3" i="7"/>
  <c r="PWL3" i="7"/>
  <c r="PWM3" i="7"/>
  <c r="PWN3" i="7"/>
  <c r="PWO3" i="7"/>
  <c r="PWP3" i="7"/>
  <c r="PWQ3" i="7"/>
  <c r="PWR3" i="7"/>
  <c r="PWS3" i="7"/>
  <c r="PWT3" i="7"/>
  <c r="PWU3" i="7"/>
  <c r="PWV3" i="7"/>
  <c r="PWW3" i="7"/>
  <c r="PWX3" i="7"/>
  <c r="PWY3" i="7"/>
  <c r="PWZ3" i="7"/>
  <c r="PXA3" i="7"/>
  <c r="PXB3" i="7"/>
  <c r="PXC3" i="7"/>
  <c r="PXD3" i="7"/>
  <c r="PXE3" i="7"/>
  <c r="PXF3" i="7"/>
  <c r="PXG3" i="7"/>
  <c r="PXH3" i="7"/>
  <c r="PXI3" i="7"/>
  <c r="PXJ3" i="7"/>
  <c r="PXK3" i="7"/>
  <c r="PXL3" i="7"/>
  <c r="PXM3" i="7"/>
  <c r="PXN3" i="7"/>
  <c r="PXO3" i="7"/>
  <c r="PXP3" i="7"/>
  <c r="PXQ3" i="7"/>
  <c r="PXR3" i="7"/>
  <c r="PXS3" i="7"/>
  <c r="PXT3" i="7"/>
  <c r="PXU3" i="7"/>
  <c r="PXV3" i="7"/>
  <c r="PXW3" i="7"/>
  <c r="PXX3" i="7"/>
  <c r="PXY3" i="7"/>
  <c r="PXZ3" i="7"/>
  <c r="PYA3" i="7"/>
  <c r="PYB3" i="7"/>
  <c r="PYC3" i="7"/>
  <c r="PYD3" i="7"/>
  <c r="PYE3" i="7"/>
  <c r="PYF3" i="7"/>
  <c r="PYG3" i="7"/>
  <c r="PYH3" i="7"/>
  <c r="PYI3" i="7"/>
  <c r="PYJ3" i="7"/>
  <c r="PYK3" i="7"/>
  <c r="PYL3" i="7"/>
  <c r="PYM3" i="7"/>
  <c r="PYN3" i="7"/>
  <c r="PYO3" i="7"/>
  <c r="PYP3" i="7"/>
  <c r="PYQ3" i="7"/>
  <c r="PYR3" i="7"/>
  <c r="PYS3" i="7"/>
  <c r="PYT3" i="7"/>
  <c r="PYU3" i="7"/>
  <c r="PYV3" i="7"/>
  <c r="PYW3" i="7"/>
  <c r="PYX3" i="7"/>
  <c r="PYY3" i="7"/>
  <c r="PYZ3" i="7"/>
  <c r="PZA3" i="7"/>
  <c r="PZB3" i="7"/>
  <c r="PZC3" i="7"/>
  <c r="PZD3" i="7"/>
  <c r="PZE3" i="7"/>
  <c r="PZF3" i="7"/>
  <c r="PZG3" i="7"/>
  <c r="PZH3" i="7"/>
  <c r="PZI3" i="7"/>
  <c r="PZJ3" i="7"/>
  <c r="PZK3" i="7"/>
  <c r="PZL3" i="7"/>
  <c r="PZM3" i="7"/>
  <c r="PZN3" i="7"/>
  <c r="PZO3" i="7"/>
  <c r="PZP3" i="7"/>
  <c r="PZQ3" i="7"/>
  <c r="PZR3" i="7"/>
  <c r="PZS3" i="7"/>
  <c r="PZT3" i="7"/>
  <c r="PZU3" i="7"/>
  <c r="PZV3" i="7"/>
  <c r="PZW3" i="7"/>
  <c r="PZX3" i="7"/>
  <c r="PZY3" i="7"/>
  <c r="PZZ3" i="7"/>
  <c r="QAA3" i="7"/>
  <c r="QAB3" i="7"/>
  <c r="QAC3" i="7"/>
  <c r="QAD3" i="7"/>
  <c r="QAE3" i="7"/>
  <c r="QAF3" i="7"/>
  <c r="QAG3" i="7"/>
  <c r="QAH3" i="7"/>
  <c r="QAI3" i="7"/>
  <c r="QAJ3" i="7"/>
  <c r="QAK3" i="7"/>
  <c r="QAL3" i="7"/>
  <c r="QAM3" i="7"/>
  <c r="QAN3" i="7"/>
  <c r="QAO3" i="7"/>
  <c r="QAP3" i="7"/>
  <c r="QAQ3" i="7"/>
  <c r="QAR3" i="7"/>
  <c r="QAS3" i="7"/>
  <c r="QAT3" i="7"/>
  <c r="QAU3" i="7"/>
  <c r="QAV3" i="7"/>
  <c r="QAW3" i="7"/>
  <c r="QAX3" i="7"/>
  <c r="QAY3" i="7"/>
  <c r="QAZ3" i="7"/>
  <c r="QBA3" i="7"/>
  <c r="QBB3" i="7"/>
  <c r="QBC3" i="7"/>
  <c r="QBD3" i="7"/>
  <c r="QBE3" i="7"/>
  <c r="QBF3" i="7"/>
  <c r="QBG3" i="7"/>
  <c r="QBH3" i="7"/>
  <c r="QBI3" i="7"/>
  <c r="QBJ3" i="7"/>
  <c r="QBK3" i="7"/>
  <c r="QBL3" i="7"/>
  <c r="QBM3" i="7"/>
  <c r="QBN3" i="7"/>
  <c r="QBO3" i="7"/>
  <c r="QBP3" i="7"/>
  <c r="QBQ3" i="7"/>
  <c r="QBR3" i="7"/>
  <c r="QBS3" i="7"/>
  <c r="QBT3" i="7"/>
  <c r="QBU3" i="7"/>
  <c r="QBV3" i="7"/>
  <c r="QBW3" i="7"/>
  <c r="QBX3" i="7"/>
  <c r="QBY3" i="7"/>
  <c r="QBZ3" i="7"/>
  <c r="QCA3" i="7"/>
  <c r="QCB3" i="7"/>
  <c r="QCC3" i="7"/>
  <c r="QCD3" i="7"/>
  <c r="QCE3" i="7"/>
  <c r="QCF3" i="7"/>
  <c r="QCG3" i="7"/>
  <c r="QCH3" i="7"/>
  <c r="QCI3" i="7"/>
  <c r="QCJ3" i="7"/>
  <c r="QCK3" i="7"/>
  <c r="QCL3" i="7"/>
  <c r="QCM3" i="7"/>
  <c r="QCN3" i="7"/>
  <c r="QCO3" i="7"/>
  <c r="QCP3" i="7"/>
  <c r="QCQ3" i="7"/>
  <c r="QCR3" i="7"/>
  <c r="QCS3" i="7"/>
  <c r="QCT3" i="7"/>
  <c r="QCU3" i="7"/>
  <c r="QCV3" i="7"/>
  <c r="QCW3" i="7"/>
  <c r="QCX3" i="7"/>
  <c r="QCY3" i="7"/>
  <c r="QCZ3" i="7"/>
  <c r="QDA3" i="7"/>
  <c r="QDB3" i="7"/>
  <c r="QDC3" i="7"/>
  <c r="QDD3" i="7"/>
  <c r="QDE3" i="7"/>
  <c r="QDF3" i="7"/>
  <c r="QDG3" i="7"/>
  <c r="QDH3" i="7"/>
  <c r="QDI3" i="7"/>
  <c r="QDJ3" i="7"/>
  <c r="QDK3" i="7"/>
  <c r="QDL3" i="7"/>
  <c r="QDM3" i="7"/>
  <c r="QDN3" i="7"/>
  <c r="QDO3" i="7"/>
  <c r="QDP3" i="7"/>
  <c r="QDQ3" i="7"/>
  <c r="QDR3" i="7"/>
  <c r="QDS3" i="7"/>
  <c r="QDT3" i="7"/>
  <c r="QDU3" i="7"/>
  <c r="QDV3" i="7"/>
  <c r="QDW3" i="7"/>
  <c r="QDX3" i="7"/>
  <c r="QDY3" i="7"/>
  <c r="QDZ3" i="7"/>
  <c r="QEA3" i="7"/>
  <c r="QEB3" i="7"/>
  <c r="QEC3" i="7"/>
  <c r="QED3" i="7"/>
  <c r="QEE3" i="7"/>
  <c r="QEF3" i="7"/>
  <c r="QEG3" i="7"/>
  <c r="QEH3" i="7"/>
  <c r="QEI3" i="7"/>
  <c r="QEJ3" i="7"/>
  <c r="QEK3" i="7"/>
  <c r="QEL3" i="7"/>
  <c r="QEM3" i="7"/>
  <c r="QEN3" i="7"/>
  <c r="QEO3" i="7"/>
  <c r="QEP3" i="7"/>
  <c r="QEQ3" i="7"/>
  <c r="QER3" i="7"/>
  <c r="QES3" i="7"/>
  <c r="QET3" i="7"/>
  <c r="QEU3" i="7"/>
  <c r="QEV3" i="7"/>
  <c r="QEW3" i="7"/>
  <c r="QEX3" i="7"/>
  <c r="QEY3" i="7"/>
  <c r="QEZ3" i="7"/>
  <c r="QFA3" i="7"/>
  <c r="QFB3" i="7"/>
  <c r="QFC3" i="7"/>
  <c r="QFD3" i="7"/>
  <c r="QFE3" i="7"/>
  <c r="QFF3" i="7"/>
  <c r="QFG3" i="7"/>
  <c r="QFH3" i="7"/>
  <c r="QFI3" i="7"/>
  <c r="QFJ3" i="7"/>
  <c r="QFK3" i="7"/>
  <c r="QFL3" i="7"/>
  <c r="QFM3" i="7"/>
  <c r="QFN3" i="7"/>
  <c r="QFO3" i="7"/>
  <c r="QFP3" i="7"/>
  <c r="QFQ3" i="7"/>
  <c r="QFR3" i="7"/>
  <c r="QFS3" i="7"/>
  <c r="QFT3" i="7"/>
  <c r="QFU3" i="7"/>
  <c r="QFV3" i="7"/>
  <c r="QFW3" i="7"/>
  <c r="QFX3" i="7"/>
  <c r="QFY3" i="7"/>
  <c r="QFZ3" i="7"/>
  <c r="QGA3" i="7"/>
  <c r="QGB3" i="7"/>
  <c r="QGC3" i="7"/>
  <c r="QGD3" i="7"/>
  <c r="QGE3" i="7"/>
  <c r="QGF3" i="7"/>
  <c r="QGG3" i="7"/>
  <c r="QGH3" i="7"/>
  <c r="QGI3" i="7"/>
  <c r="QGJ3" i="7"/>
  <c r="QGK3" i="7"/>
  <c r="QGL3" i="7"/>
  <c r="QGM3" i="7"/>
  <c r="QGN3" i="7"/>
  <c r="QGO3" i="7"/>
  <c r="QGP3" i="7"/>
  <c r="QGQ3" i="7"/>
  <c r="QGR3" i="7"/>
  <c r="QGS3" i="7"/>
  <c r="QGT3" i="7"/>
  <c r="QGU3" i="7"/>
  <c r="QGV3" i="7"/>
  <c r="QGW3" i="7"/>
  <c r="QGX3" i="7"/>
  <c r="QGY3" i="7"/>
  <c r="QGZ3" i="7"/>
  <c r="QHA3" i="7"/>
  <c r="QHB3" i="7"/>
  <c r="QHC3" i="7"/>
  <c r="QHD3" i="7"/>
  <c r="QHE3" i="7"/>
  <c r="QHF3" i="7"/>
  <c r="QHG3" i="7"/>
  <c r="QHH3" i="7"/>
  <c r="QHI3" i="7"/>
  <c r="QHJ3" i="7"/>
  <c r="QHK3" i="7"/>
  <c r="QHL3" i="7"/>
  <c r="QHM3" i="7"/>
  <c r="QHN3" i="7"/>
  <c r="QHO3" i="7"/>
  <c r="QHP3" i="7"/>
  <c r="QHQ3" i="7"/>
  <c r="QHR3" i="7"/>
  <c r="QHS3" i="7"/>
  <c r="QHT3" i="7"/>
  <c r="QHU3" i="7"/>
  <c r="QHV3" i="7"/>
  <c r="QHW3" i="7"/>
  <c r="QHX3" i="7"/>
  <c r="QHY3" i="7"/>
  <c r="QHZ3" i="7"/>
  <c r="QIA3" i="7"/>
  <c r="QIB3" i="7"/>
  <c r="QIC3" i="7"/>
  <c r="QID3" i="7"/>
  <c r="QIE3" i="7"/>
  <c r="QIF3" i="7"/>
  <c r="QIG3" i="7"/>
  <c r="QIH3" i="7"/>
  <c r="QII3" i="7"/>
  <c r="QIJ3" i="7"/>
  <c r="QIK3" i="7"/>
  <c r="QIL3" i="7"/>
  <c r="QIM3" i="7"/>
  <c r="QIN3" i="7"/>
  <c r="QIO3" i="7"/>
  <c r="QIP3" i="7"/>
  <c r="QIQ3" i="7"/>
  <c r="QIR3" i="7"/>
  <c r="QIS3" i="7"/>
  <c r="QIT3" i="7"/>
  <c r="QIU3" i="7"/>
  <c r="QIV3" i="7"/>
  <c r="QIW3" i="7"/>
  <c r="QIX3" i="7"/>
  <c r="QIY3" i="7"/>
  <c r="QIZ3" i="7"/>
  <c r="QJA3" i="7"/>
  <c r="QJB3" i="7"/>
  <c r="QJC3" i="7"/>
  <c r="QJD3" i="7"/>
  <c r="QJE3" i="7"/>
  <c r="QJF3" i="7"/>
  <c r="QJG3" i="7"/>
  <c r="QJH3" i="7"/>
  <c r="QJI3" i="7"/>
  <c r="QJJ3" i="7"/>
  <c r="QJK3" i="7"/>
  <c r="QJL3" i="7"/>
  <c r="QJM3" i="7"/>
  <c r="QJN3" i="7"/>
  <c r="QJO3" i="7"/>
  <c r="QJP3" i="7"/>
  <c r="QJQ3" i="7"/>
  <c r="QJR3" i="7"/>
  <c r="QJS3" i="7"/>
  <c r="QJT3" i="7"/>
  <c r="QJU3" i="7"/>
  <c r="QJV3" i="7"/>
  <c r="QJW3" i="7"/>
  <c r="QJX3" i="7"/>
  <c r="QJY3" i="7"/>
  <c r="QJZ3" i="7"/>
  <c r="QKA3" i="7"/>
  <c r="QKB3" i="7"/>
  <c r="QKC3" i="7"/>
  <c r="QKD3" i="7"/>
  <c r="QKE3" i="7"/>
  <c r="QKF3" i="7"/>
  <c r="QKG3" i="7"/>
  <c r="QKH3" i="7"/>
  <c r="QKI3" i="7"/>
  <c r="QKJ3" i="7"/>
  <c r="QKK3" i="7"/>
  <c r="QKL3" i="7"/>
  <c r="QKM3" i="7"/>
  <c r="QKN3" i="7"/>
  <c r="QKO3" i="7"/>
  <c r="QKP3" i="7"/>
  <c r="QKQ3" i="7"/>
  <c r="QKR3" i="7"/>
  <c r="QKS3" i="7"/>
  <c r="QKT3" i="7"/>
  <c r="QKU3" i="7"/>
  <c r="QKV3" i="7"/>
  <c r="QKW3" i="7"/>
  <c r="QKX3" i="7"/>
  <c r="QKY3" i="7"/>
  <c r="QKZ3" i="7"/>
  <c r="QLA3" i="7"/>
  <c r="QLB3" i="7"/>
  <c r="QLC3" i="7"/>
  <c r="QLD3" i="7"/>
  <c r="QLE3" i="7"/>
  <c r="QLF3" i="7"/>
  <c r="QLG3" i="7"/>
  <c r="QLH3" i="7"/>
  <c r="QLI3" i="7"/>
  <c r="QLJ3" i="7"/>
  <c r="QLK3" i="7"/>
  <c r="QLL3" i="7"/>
  <c r="QLM3" i="7"/>
  <c r="QLN3" i="7"/>
  <c r="QLO3" i="7"/>
  <c r="QLP3" i="7"/>
  <c r="QLQ3" i="7"/>
  <c r="QLR3" i="7"/>
  <c r="QLS3" i="7"/>
  <c r="QLT3" i="7"/>
  <c r="QLU3" i="7"/>
  <c r="QLV3" i="7"/>
  <c r="QLW3" i="7"/>
  <c r="QLX3" i="7"/>
  <c r="QLY3" i="7"/>
  <c r="QLZ3" i="7"/>
  <c r="QMA3" i="7"/>
  <c r="QMB3" i="7"/>
  <c r="QMC3" i="7"/>
  <c r="QMD3" i="7"/>
  <c r="QME3" i="7"/>
  <c r="QMF3" i="7"/>
  <c r="QMG3" i="7"/>
  <c r="QMH3" i="7"/>
  <c r="QMI3" i="7"/>
  <c r="QMJ3" i="7"/>
  <c r="QMK3" i="7"/>
  <c r="QML3" i="7"/>
  <c r="QMM3" i="7"/>
  <c r="QMN3" i="7"/>
  <c r="QMO3" i="7"/>
  <c r="QMP3" i="7"/>
  <c r="QMQ3" i="7"/>
  <c r="QMR3" i="7"/>
  <c r="QMS3" i="7"/>
  <c r="QMT3" i="7"/>
  <c r="QMU3" i="7"/>
  <c r="QMV3" i="7"/>
  <c r="QMW3" i="7"/>
  <c r="QMX3" i="7"/>
  <c r="QMY3" i="7"/>
  <c r="QMZ3" i="7"/>
  <c r="QNA3" i="7"/>
  <c r="QNB3" i="7"/>
  <c r="QNC3" i="7"/>
  <c r="QND3" i="7"/>
  <c r="QNE3" i="7"/>
  <c r="QNF3" i="7"/>
  <c r="QNG3" i="7"/>
  <c r="QNH3" i="7"/>
  <c r="QNI3" i="7"/>
  <c r="QNJ3" i="7"/>
  <c r="QNK3" i="7"/>
  <c r="QNL3" i="7"/>
  <c r="QNM3" i="7"/>
  <c r="QNN3" i="7"/>
  <c r="QNO3" i="7"/>
  <c r="QNP3" i="7"/>
  <c r="QNQ3" i="7"/>
  <c r="QNR3" i="7"/>
  <c r="QNS3" i="7"/>
  <c r="QNT3" i="7"/>
  <c r="QNU3" i="7"/>
  <c r="QNV3" i="7"/>
  <c r="QNW3" i="7"/>
  <c r="QNX3" i="7"/>
  <c r="QNY3" i="7"/>
  <c r="QNZ3" i="7"/>
  <c r="QOA3" i="7"/>
  <c r="QOB3" i="7"/>
  <c r="QOC3" i="7"/>
  <c r="QOD3" i="7"/>
  <c r="QOE3" i="7"/>
  <c r="QOF3" i="7"/>
  <c r="QOG3" i="7"/>
  <c r="QOH3" i="7"/>
  <c r="QOI3" i="7"/>
  <c r="QOJ3" i="7"/>
  <c r="QOK3" i="7"/>
  <c r="QOL3" i="7"/>
  <c r="QOM3" i="7"/>
  <c r="QON3" i="7"/>
  <c r="QOO3" i="7"/>
  <c r="QOP3" i="7"/>
  <c r="QOQ3" i="7"/>
  <c r="QOR3" i="7"/>
  <c r="QOS3" i="7"/>
  <c r="QOT3" i="7"/>
  <c r="QOU3" i="7"/>
  <c r="QOV3" i="7"/>
  <c r="QOW3" i="7"/>
  <c r="QOX3" i="7"/>
  <c r="QOY3" i="7"/>
  <c r="QOZ3" i="7"/>
  <c r="QPA3" i="7"/>
  <c r="QPB3" i="7"/>
  <c r="QPC3" i="7"/>
  <c r="QPD3" i="7"/>
  <c r="QPE3" i="7"/>
  <c r="QPF3" i="7"/>
  <c r="QPG3" i="7"/>
  <c r="QPH3" i="7"/>
  <c r="QPI3" i="7"/>
  <c r="QPJ3" i="7"/>
  <c r="QPK3" i="7"/>
  <c r="QPL3" i="7"/>
  <c r="QPM3" i="7"/>
  <c r="QPN3" i="7"/>
  <c r="QPO3" i="7"/>
  <c r="QPP3" i="7"/>
  <c r="QPQ3" i="7"/>
  <c r="QPR3" i="7"/>
  <c r="QPS3" i="7"/>
  <c r="QPT3" i="7"/>
  <c r="QPU3" i="7"/>
  <c r="QPV3" i="7"/>
  <c r="QPW3" i="7"/>
  <c r="QPX3" i="7"/>
  <c r="QPY3" i="7"/>
  <c r="QPZ3" i="7"/>
  <c r="QQA3" i="7"/>
  <c r="QQB3" i="7"/>
  <c r="QQC3" i="7"/>
  <c r="QQD3" i="7"/>
  <c r="QQE3" i="7"/>
  <c r="QQF3" i="7"/>
  <c r="QQG3" i="7"/>
  <c r="QQH3" i="7"/>
  <c r="QQI3" i="7"/>
  <c r="QQJ3" i="7"/>
  <c r="QQK3" i="7"/>
  <c r="QQL3" i="7"/>
  <c r="QQM3" i="7"/>
  <c r="QQN3" i="7"/>
  <c r="QQO3" i="7"/>
  <c r="QQP3" i="7"/>
  <c r="QQQ3" i="7"/>
  <c r="QQR3" i="7"/>
  <c r="QQS3" i="7"/>
  <c r="QQT3" i="7"/>
  <c r="QQU3" i="7"/>
  <c r="QQV3" i="7"/>
  <c r="QQW3" i="7"/>
  <c r="QQX3" i="7"/>
  <c r="QQY3" i="7"/>
  <c r="QQZ3" i="7"/>
  <c r="QRA3" i="7"/>
  <c r="QRB3" i="7"/>
  <c r="QRC3" i="7"/>
  <c r="QRD3" i="7"/>
  <c r="QRE3" i="7"/>
  <c r="QRF3" i="7"/>
  <c r="QRG3" i="7"/>
  <c r="QRH3" i="7"/>
  <c r="QRI3" i="7"/>
  <c r="QRJ3" i="7"/>
  <c r="QRK3" i="7"/>
  <c r="QRL3" i="7"/>
  <c r="QRM3" i="7"/>
  <c r="QRN3" i="7"/>
  <c r="QRO3" i="7"/>
  <c r="QRP3" i="7"/>
  <c r="QRQ3" i="7"/>
  <c r="QRR3" i="7"/>
  <c r="QRS3" i="7"/>
  <c r="QRT3" i="7"/>
  <c r="QRU3" i="7"/>
  <c r="QRV3" i="7"/>
  <c r="QRW3" i="7"/>
  <c r="QRX3" i="7"/>
  <c r="QRY3" i="7"/>
  <c r="QRZ3" i="7"/>
  <c r="QSA3" i="7"/>
  <c r="QSB3" i="7"/>
  <c r="QSC3" i="7"/>
  <c r="QSD3" i="7"/>
  <c r="QSE3" i="7"/>
  <c r="QSF3" i="7"/>
  <c r="QSG3" i="7"/>
  <c r="QSH3" i="7"/>
  <c r="QSI3" i="7"/>
  <c r="QSJ3" i="7"/>
  <c r="QSK3" i="7"/>
  <c r="QSL3" i="7"/>
  <c r="QSM3" i="7"/>
  <c r="QSN3" i="7"/>
  <c r="QSO3" i="7"/>
  <c r="QSP3" i="7"/>
  <c r="QSQ3" i="7"/>
  <c r="QSR3" i="7"/>
  <c r="QSS3" i="7"/>
  <c r="QST3" i="7"/>
  <c r="QSU3" i="7"/>
  <c r="QSV3" i="7"/>
  <c r="QSW3" i="7"/>
  <c r="QSX3" i="7"/>
  <c r="QSY3" i="7"/>
  <c r="QSZ3" i="7"/>
  <c r="QTA3" i="7"/>
  <c r="QTB3" i="7"/>
  <c r="QTC3" i="7"/>
  <c r="QTD3" i="7"/>
  <c r="QTE3" i="7"/>
  <c r="QTF3" i="7"/>
  <c r="QTG3" i="7"/>
  <c r="QTH3" i="7"/>
  <c r="QTI3" i="7"/>
  <c r="QTJ3" i="7"/>
  <c r="QTK3" i="7"/>
  <c r="QTL3" i="7"/>
  <c r="QTM3" i="7"/>
  <c r="QTN3" i="7"/>
  <c r="QTO3" i="7"/>
  <c r="QTP3" i="7"/>
  <c r="QTQ3" i="7"/>
  <c r="QTR3" i="7"/>
  <c r="QTS3" i="7"/>
  <c r="QTT3" i="7"/>
  <c r="QTU3" i="7"/>
  <c r="QTV3" i="7"/>
  <c r="QTW3" i="7"/>
  <c r="QTX3" i="7"/>
  <c r="QTY3" i="7"/>
  <c r="QTZ3" i="7"/>
  <c r="QUA3" i="7"/>
  <c r="QUB3" i="7"/>
  <c r="QUC3" i="7"/>
  <c r="QUD3" i="7"/>
  <c r="QUE3" i="7"/>
  <c r="QUF3" i="7"/>
  <c r="QUG3" i="7"/>
  <c r="QUH3" i="7"/>
  <c r="QUI3" i="7"/>
  <c r="QUJ3" i="7"/>
  <c r="QUK3" i="7"/>
  <c r="QUL3" i="7"/>
  <c r="QUM3" i="7"/>
  <c r="QUN3" i="7"/>
  <c r="QUO3" i="7"/>
  <c r="QUP3" i="7"/>
  <c r="QUQ3" i="7"/>
  <c r="QUR3" i="7"/>
  <c r="QUS3" i="7"/>
  <c r="QUT3" i="7"/>
  <c r="QUU3" i="7"/>
  <c r="QUV3" i="7"/>
  <c r="QUW3" i="7"/>
  <c r="QUX3" i="7"/>
  <c r="QUY3" i="7"/>
  <c r="QUZ3" i="7"/>
  <c r="QVA3" i="7"/>
  <c r="QVB3" i="7"/>
  <c r="QVC3" i="7"/>
  <c r="QVD3" i="7"/>
  <c r="QVE3" i="7"/>
  <c r="QVF3" i="7"/>
  <c r="QVG3" i="7"/>
  <c r="QVH3" i="7"/>
  <c r="QVI3" i="7"/>
  <c r="QVJ3" i="7"/>
  <c r="QVK3" i="7"/>
  <c r="QVL3" i="7"/>
  <c r="QVM3" i="7"/>
  <c r="QVN3" i="7"/>
  <c r="QVO3" i="7"/>
  <c r="QVP3" i="7"/>
  <c r="QVQ3" i="7"/>
  <c r="QVR3" i="7"/>
  <c r="QVS3" i="7"/>
  <c r="QVT3" i="7"/>
  <c r="QVU3" i="7"/>
  <c r="QVV3" i="7"/>
  <c r="QVW3" i="7"/>
  <c r="QVX3" i="7"/>
  <c r="QVY3" i="7"/>
  <c r="QVZ3" i="7"/>
  <c r="QWA3" i="7"/>
  <c r="QWB3" i="7"/>
  <c r="QWC3" i="7"/>
  <c r="QWD3" i="7"/>
  <c r="QWE3" i="7"/>
  <c r="QWF3" i="7"/>
  <c r="QWG3" i="7"/>
  <c r="QWH3" i="7"/>
  <c r="QWI3" i="7"/>
  <c r="QWJ3" i="7"/>
  <c r="QWK3" i="7"/>
  <c r="QWL3" i="7"/>
  <c r="QWM3" i="7"/>
  <c r="QWN3" i="7"/>
  <c r="QWO3" i="7"/>
  <c r="QWP3" i="7"/>
  <c r="QWQ3" i="7"/>
  <c r="QWR3" i="7"/>
  <c r="QWS3" i="7"/>
  <c r="QWT3" i="7"/>
  <c r="QWU3" i="7"/>
  <c r="QWV3" i="7"/>
  <c r="QWW3" i="7"/>
  <c r="QWX3" i="7"/>
  <c r="QWY3" i="7"/>
  <c r="QWZ3" i="7"/>
  <c r="QXA3" i="7"/>
  <c r="QXB3" i="7"/>
  <c r="QXC3" i="7"/>
  <c r="QXD3" i="7"/>
  <c r="QXE3" i="7"/>
  <c r="QXF3" i="7"/>
  <c r="QXG3" i="7"/>
  <c r="QXH3" i="7"/>
  <c r="QXI3" i="7"/>
  <c r="QXJ3" i="7"/>
  <c r="QXK3" i="7"/>
  <c r="QXL3" i="7"/>
  <c r="QXM3" i="7"/>
  <c r="QXN3" i="7"/>
  <c r="QXO3" i="7"/>
  <c r="QXP3" i="7"/>
  <c r="QXQ3" i="7"/>
  <c r="QXR3" i="7"/>
  <c r="QXS3" i="7"/>
  <c r="QXT3" i="7"/>
  <c r="QXU3" i="7"/>
  <c r="QXV3" i="7"/>
  <c r="QXW3" i="7"/>
  <c r="QXX3" i="7"/>
  <c r="QXY3" i="7"/>
  <c r="QXZ3" i="7"/>
  <c r="QYA3" i="7"/>
  <c r="QYB3" i="7"/>
  <c r="QYC3" i="7"/>
  <c r="QYD3" i="7"/>
  <c r="QYE3" i="7"/>
  <c r="QYF3" i="7"/>
  <c r="QYG3" i="7"/>
  <c r="QYH3" i="7"/>
  <c r="QYI3" i="7"/>
  <c r="QYJ3" i="7"/>
  <c r="QYK3" i="7"/>
  <c r="QYL3" i="7"/>
  <c r="QYM3" i="7"/>
  <c r="QYN3" i="7"/>
  <c r="QYO3" i="7"/>
  <c r="QYP3" i="7"/>
  <c r="QYQ3" i="7"/>
  <c r="QYR3" i="7"/>
  <c r="QYS3" i="7"/>
  <c r="QYT3" i="7"/>
  <c r="QYU3" i="7"/>
  <c r="QYV3" i="7"/>
  <c r="QYW3" i="7"/>
  <c r="QYX3" i="7"/>
  <c r="QYY3" i="7"/>
  <c r="QYZ3" i="7"/>
  <c r="QZA3" i="7"/>
  <c r="QZB3" i="7"/>
  <c r="QZC3" i="7"/>
  <c r="QZD3" i="7"/>
  <c r="QZE3" i="7"/>
  <c r="QZF3" i="7"/>
  <c r="QZG3" i="7"/>
  <c r="QZH3" i="7"/>
  <c r="QZI3" i="7"/>
  <c r="QZJ3" i="7"/>
  <c r="QZK3" i="7"/>
  <c r="QZL3" i="7"/>
  <c r="QZM3" i="7"/>
  <c r="QZN3" i="7"/>
  <c r="QZO3" i="7"/>
  <c r="QZP3" i="7"/>
  <c r="QZQ3" i="7"/>
  <c r="QZR3" i="7"/>
  <c r="QZS3" i="7"/>
  <c r="QZT3" i="7"/>
  <c r="QZU3" i="7"/>
  <c r="QZV3" i="7"/>
  <c r="QZW3" i="7"/>
  <c r="QZX3" i="7"/>
  <c r="QZY3" i="7"/>
  <c r="QZZ3" i="7"/>
  <c r="RAA3" i="7"/>
  <c r="RAB3" i="7"/>
  <c r="RAC3" i="7"/>
  <c r="RAD3" i="7"/>
  <c r="RAE3" i="7"/>
  <c r="RAF3" i="7"/>
  <c r="RAG3" i="7"/>
  <c r="RAH3" i="7"/>
  <c r="RAI3" i="7"/>
  <c r="RAJ3" i="7"/>
  <c r="RAK3" i="7"/>
  <c r="RAL3" i="7"/>
  <c r="RAM3" i="7"/>
  <c r="RAN3" i="7"/>
  <c r="RAO3" i="7"/>
  <c r="RAP3" i="7"/>
  <c r="RAQ3" i="7"/>
  <c r="RAR3" i="7"/>
  <c r="RAS3" i="7"/>
  <c r="RAT3" i="7"/>
  <c r="RAU3" i="7"/>
  <c r="RAV3" i="7"/>
  <c r="RAW3" i="7"/>
  <c r="RAX3" i="7"/>
  <c r="RAY3" i="7"/>
  <c r="RAZ3" i="7"/>
  <c r="RBA3" i="7"/>
  <c r="RBB3" i="7"/>
  <c r="RBC3" i="7"/>
  <c r="RBD3" i="7"/>
  <c r="RBE3" i="7"/>
  <c r="RBF3" i="7"/>
  <c r="RBG3" i="7"/>
  <c r="RBH3" i="7"/>
  <c r="RBI3" i="7"/>
  <c r="RBJ3" i="7"/>
  <c r="RBK3" i="7"/>
  <c r="RBL3" i="7"/>
  <c r="RBM3" i="7"/>
  <c r="RBN3" i="7"/>
  <c r="RBO3" i="7"/>
  <c r="RBP3" i="7"/>
  <c r="RBQ3" i="7"/>
  <c r="RBR3" i="7"/>
  <c r="RBS3" i="7"/>
  <c r="RBT3" i="7"/>
  <c r="RBU3" i="7"/>
  <c r="RBV3" i="7"/>
  <c r="RBW3" i="7"/>
  <c r="RBX3" i="7"/>
  <c r="RBY3" i="7"/>
  <c r="RBZ3" i="7"/>
  <c r="RCA3" i="7"/>
  <c r="RCB3" i="7"/>
  <c r="RCC3" i="7"/>
  <c r="RCD3" i="7"/>
  <c r="RCE3" i="7"/>
  <c r="RCF3" i="7"/>
  <c r="RCG3" i="7"/>
  <c r="RCH3" i="7"/>
  <c r="RCI3" i="7"/>
  <c r="RCJ3" i="7"/>
  <c r="RCK3" i="7"/>
  <c r="RCL3" i="7"/>
  <c r="RCM3" i="7"/>
  <c r="RCN3" i="7"/>
  <c r="RCO3" i="7"/>
  <c r="RCP3" i="7"/>
  <c r="RCQ3" i="7"/>
  <c r="RCR3" i="7"/>
  <c r="RCS3" i="7"/>
  <c r="RCT3" i="7"/>
  <c r="RCU3" i="7"/>
  <c r="RCV3" i="7"/>
  <c r="RCW3" i="7"/>
  <c r="RCX3" i="7"/>
  <c r="RCY3" i="7"/>
  <c r="RCZ3" i="7"/>
  <c r="RDA3" i="7"/>
  <c r="RDB3" i="7"/>
  <c r="RDC3" i="7"/>
  <c r="RDD3" i="7"/>
  <c r="RDE3" i="7"/>
  <c r="RDF3" i="7"/>
  <c r="RDG3" i="7"/>
  <c r="RDH3" i="7"/>
  <c r="RDI3" i="7"/>
  <c r="RDJ3" i="7"/>
  <c r="RDK3" i="7"/>
  <c r="RDL3" i="7"/>
  <c r="RDM3" i="7"/>
  <c r="RDN3" i="7"/>
  <c r="RDO3" i="7"/>
  <c r="RDP3" i="7"/>
  <c r="RDQ3" i="7"/>
  <c r="RDR3" i="7"/>
  <c r="RDS3" i="7"/>
  <c r="RDT3" i="7"/>
  <c r="RDU3" i="7"/>
  <c r="RDV3" i="7"/>
  <c r="RDW3" i="7"/>
  <c r="RDX3" i="7"/>
  <c r="RDY3" i="7"/>
  <c r="RDZ3" i="7"/>
  <c r="REA3" i="7"/>
  <c r="REB3" i="7"/>
  <c r="REC3" i="7"/>
  <c r="RED3" i="7"/>
  <c r="REE3" i="7"/>
  <c r="REF3" i="7"/>
  <c r="REG3" i="7"/>
  <c r="REH3" i="7"/>
  <c r="REI3" i="7"/>
  <c r="REJ3" i="7"/>
  <c r="REK3" i="7"/>
  <c r="REL3" i="7"/>
  <c r="REM3" i="7"/>
  <c r="REN3" i="7"/>
  <c r="REO3" i="7"/>
  <c r="REP3" i="7"/>
  <c r="REQ3" i="7"/>
  <c r="RER3" i="7"/>
  <c r="RES3" i="7"/>
  <c r="RET3" i="7"/>
  <c r="REU3" i="7"/>
  <c r="REV3" i="7"/>
  <c r="REW3" i="7"/>
  <c r="REX3" i="7"/>
  <c r="REY3" i="7"/>
  <c r="REZ3" i="7"/>
  <c r="RFA3" i="7"/>
  <c r="RFB3" i="7"/>
  <c r="RFC3" i="7"/>
  <c r="RFD3" i="7"/>
  <c r="RFE3" i="7"/>
  <c r="RFF3" i="7"/>
  <c r="RFG3" i="7"/>
  <c r="RFH3" i="7"/>
  <c r="RFI3" i="7"/>
  <c r="RFJ3" i="7"/>
  <c r="RFK3" i="7"/>
  <c r="RFL3" i="7"/>
  <c r="RFM3" i="7"/>
  <c r="RFN3" i="7"/>
  <c r="RFO3" i="7"/>
  <c r="RFP3" i="7"/>
  <c r="RFQ3" i="7"/>
  <c r="RFR3" i="7"/>
  <c r="RFS3" i="7"/>
  <c r="RFT3" i="7"/>
  <c r="RFU3" i="7"/>
  <c r="RFV3" i="7"/>
  <c r="RFW3" i="7"/>
  <c r="RFX3" i="7"/>
  <c r="RFY3" i="7"/>
  <c r="RFZ3" i="7"/>
  <c r="RGA3" i="7"/>
  <c r="RGB3" i="7"/>
  <c r="RGC3" i="7"/>
  <c r="RGD3" i="7"/>
  <c r="RGE3" i="7"/>
  <c r="RGF3" i="7"/>
  <c r="RGG3" i="7"/>
  <c r="RGH3" i="7"/>
  <c r="RGI3" i="7"/>
  <c r="RGJ3" i="7"/>
  <c r="RGK3" i="7"/>
  <c r="RGL3" i="7"/>
  <c r="RGM3" i="7"/>
  <c r="RGN3" i="7"/>
  <c r="RGO3" i="7"/>
  <c r="RGP3" i="7"/>
  <c r="RGQ3" i="7"/>
  <c r="RGR3" i="7"/>
  <c r="RGS3" i="7"/>
  <c r="RGT3" i="7"/>
  <c r="RGU3" i="7"/>
  <c r="RGV3" i="7"/>
  <c r="RGW3" i="7"/>
  <c r="RGX3" i="7"/>
  <c r="RGY3" i="7"/>
  <c r="RGZ3" i="7"/>
  <c r="RHA3" i="7"/>
  <c r="RHB3" i="7"/>
  <c r="RHC3" i="7"/>
  <c r="RHD3" i="7"/>
  <c r="RHE3" i="7"/>
  <c r="RHF3" i="7"/>
  <c r="RHG3" i="7"/>
  <c r="RHH3" i="7"/>
  <c r="RHI3" i="7"/>
  <c r="RHJ3" i="7"/>
  <c r="RHK3" i="7"/>
  <c r="RHL3" i="7"/>
  <c r="RHM3" i="7"/>
  <c r="RHN3" i="7"/>
  <c r="RHO3" i="7"/>
  <c r="RHP3" i="7"/>
  <c r="RHQ3" i="7"/>
  <c r="RHR3" i="7"/>
  <c r="RHS3" i="7"/>
  <c r="RHT3" i="7"/>
  <c r="RHU3" i="7"/>
  <c r="RHV3" i="7"/>
  <c r="RHW3" i="7"/>
  <c r="RHX3" i="7"/>
  <c r="RHY3" i="7"/>
  <c r="RHZ3" i="7"/>
  <c r="RIA3" i="7"/>
  <c r="RIB3" i="7"/>
  <c r="RIC3" i="7"/>
  <c r="RID3" i="7"/>
  <c r="RIE3" i="7"/>
  <c r="RIF3" i="7"/>
  <c r="RIG3" i="7"/>
  <c r="RIH3" i="7"/>
  <c r="RII3" i="7"/>
  <c r="RIJ3" i="7"/>
  <c r="RIK3" i="7"/>
  <c r="RIL3" i="7"/>
  <c r="RIM3" i="7"/>
  <c r="RIN3" i="7"/>
  <c r="RIO3" i="7"/>
  <c r="RIP3" i="7"/>
  <c r="RIQ3" i="7"/>
  <c r="RIR3" i="7"/>
  <c r="RIS3" i="7"/>
  <c r="RIT3" i="7"/>
  <c r="RIU3" i="7"/>
  <c r="RIV3" i="7"/>
  <c r="RIW3" i="7"/>
  <c r="RIX3" i="7"/>
  <c r="RIY3" i="7"/>
  <c r="RIZ3" i="7"/>
  <c r="RJA3" i="7"/>
  <c r="RJB3" i="7"/>
  <c r="RJC3" i="7"/>
  <c r="RJD3" i="7"/>
  <c r="RJE3" i="7"/>
  <c r="RJF3" i="7"/>
  <c r="RJG3" i="7"/>
  <c r="RJH3" i="7"/>
  <c r="RJI3" i="7"/>
  <c r="RJJ3" i="7"/>
  <c r="RJK3" i="7"/>
  <c r="RJL3" i="7"/>
  <c r="RJM3" i="7"/>
  <c r="RJN3" i="7"/>
  <c r="RJO3" i="7"/>
  <c r="RJP3" i="7"/>
  <c r="RJQ3" i="7"/>
  <c r="RJR3" i="7"/>
  <c r="RJS3" i="7"/>
  <c r="RJT3" i="7"/>
  <c r="RJU3" i="7"/>
  <c r="RJV3" i="7"/>
  <c r="RJW3" i="7"/>
  <c r="RJX3" i="7"/>
  <c r="RJY3" i="7"/>
  <c r="RJZ3" i="7"/>
  <c r="RKA3" i="7"/>
  <c r="RKB3" i="7"/>
  <c r="RKC3" i="7"/>
  <c r="RKD3" i="7"/>
  <c r="RKE3" i="7"/>
  <c r="RKF3" i="7"/>
  <c r="RKG3" i="7"/>
  <c r="RKH3" i="7"/>
  <c r="RKI3" i="7"/>
  <c r="RKJ3" i="7"/>
  <c r="RKK3" i="7"/>
  <c r="RKL3" i="7"/>
  <c r="RKM3" i="7"/>
  <c r="RKN3" i="7"/>
  <c r="RKO3" i="7"/>
  <c r="RKP3" i="7"/>
  <c r="RKQ3" i="7"/>
  <c r="RKR3" i="7"/>
  <c r="RKS3" i="7"/>
  <c r="RKT3" i="7"/>
  <c r="RKU3" i="7"/>
  <c r="RKV3" i="7"/>
  <c r="RKW3" i="7"/>
  <c r="RKX3" i="7"/>
  <c r="RKY3" i="7"/>
  <c r="RKZ3" i="7"/>
  <c r="RLA3" i="7"/>
  <c r="RLB3" i="7"/>
  <c r="RLC3" i="7"/>
  <c r="RLD3" i="7"/>
  <c r="RLE3" i="7"/>
  <c r="RLF3" i="7"/>
  <c r="RLG3" i="7"/>
  <c r="RLH3" i="7"/>
  <c r="RLI3" i="7"/>
  <c r="RLJ3" i="7"/>
  <c r="RLK3" i="7"/>
  <c r="RLL3" i="7"/>
  <c r="RLM3" i="7"/>
  <c r="RLN3" i="7"/>
  <c r="RLO3" i="7"/>
  <c r="RLP3" i="7"/>
  <c r="RLQ3" i="7"/>
  <c r="RLR3" i="7"/>
  <c r="RLS3" i="7"/>
  <c r="RLT3" i="7"/>
  <c r="RLU3" i="7"/>
  <c r="RLV3" i="7"/>
  <c r="RLW3" i="7"/>
  <c r="RLX3" i="7"/>
  <c r="RLY3" i="7"/>
  <c r="RLZ3" i="7"/>
  <c r="RMA3" i="7"/>
  <c r="RMB3" i="7"/>
  <c r="RMC3" i="7"/>
  <c r="RMD3" i="7"/>
  <c r="RME3" i="7"/>
  <c r="RMF3" i="7"/>
  <c r="RMG3" i="7"/>
  <c r="RMH3" i="7"/>
  <c r="RMI3" i="7"/>
  <c r="RMJ3" i="7"/>
  <c r="RMK3" i="7"/>
  <c r="RML3" i="7"/>
  <c r="RMM3" i="7"/>
  <c r="RMN3" i="7"/>
  <c r="RMO3" i="7"/>
  <c r="RMP3" i="7"/>
  <c r="RMQ3" i="7"/>
  <c r="RMR3" i="7"/>
  <c r="RMS3" i="7"/>
  <c r="RMT3" i="7"/>
  <c r="RMU3" i="7"/>
  <c r="RMV3" i="7"/>
  <c r="RMW3" i="7"/>
  <c r="RMX3" i="7"/>
  <c r="RMY3" i="7"/>
  <c r="RMZ3" i="7"/>
  <c r="RNA3" i="7"/>
  <c r="RNB3" i="7"/>
  <c r="RNC3" i="7"/>
  <c r="RND3" i="7"/>
  <c r="RNE3" i="7"/>
  <c r="RNF3" i="7"/>
  <c r="RNG3" i="7"/>
  <c r="RNH3" i="7"/>
  <c r="RNI3" i="7"/>
  <c r="RNJ3" i="7"/>
  <c r="RNK3" i="7"/>
  <c r="RNL3" i="7"/>
  <c r="RNM3" i="7"/>
  <c r="RNN3" i="7"/>
  <c r="RNO3" i="7"/>
  <c r="RNP3" i="7"/>
  <c r="RNQ3" i="7"/>
  <c r="RNR3" i="7"/>
  <c r="RNS3" i="7"/>
  <c r="RNT3" i="7"/>
  <c r="RNU3" i="7"/>
  <c r="RNV3" i="7"/>
  <c r="RNW3" i="7"/>
  <c r="RNX3" i="7"/>
  <c r="RNY3" i="7"/>
  <c r="RNZ3" i="7"/>
  <c r="ROA3" i="7"/>
  <c r="ROB3" i="7"/>
  <c r="ROC3" i="7"/>
  <c r="ROD3" i="7"/>
  <c r="ROE3" i="7"/>
  <c r="ROF3" i="7"/>
  <c r="ROG3" i="7"/>
  <c r="ROH3" i="7"/>
  <c r="ROI3" i="7"/>
  <c r="ROJ3" i="7"/>
  <c r="ROK3" i="7"/>
  <c r="ROL3" i="7"/>
  <c r="ROM3" i="7"/>
  <c r="RON3" i="7"/>
  <c r="ROO3" i="7"/>
  <c r="ROP3" i="7"/>
  <c r="ROQ3" i="7"/>
  <c r="ROR3" i="7"/>
  <c r="ROS3" i="7"/>
  <c r="ROT3" i="7"/>
  <c r="ROU3" i="7"/>
  <c r="ROV3" i="7"/>
  <c r="ROW3" i="7"/>
  <c r="ROX3" i="7"/>
  <c r="ROY3" i="7"/>
  <c r="ROZ3" i="7"/>
  <c r="RPA3" i="7"/>
  <c r="RPB3" i="7"/>
  <c r="RPC3" i="7"/>
  <c r="RPD3" i="7"/>
  <c r="RPE3" i="7"/>
  <c r="RPF3" i="7"/>
  <c r="RPG3" i="7"/>
  <c r="RPH3" i="7"/>
  <c r="RPI3" i="7"/>
  <c r="RPJ3" i="7"/>
  <c r="RPK3" i="7"/>
  <c r="RPL3" i="7"/>
  <c r="RPM3" i="7"/>
  <c r="RPN3" i="7"/>
  <c r="RPO3" i="7"/>
  <c r="RPP3" i="7"/>
  <c r="RPQ3" i="7"/>
  <c r="RPR3" i="7"/>
  <c r="RPS3" i="7"/>
  <c r="RPT3" i="7"/>
  <c r="RPU3" i="7"/>
  <c r="RPV3" i="7"/>
  <c r="RPW3" i="7"/>
  <c r="RPX3" i="7"/>
  <c r="RPY3" i="7"/>
  <c r="RPZ3" i="7"/>
  <c r="RQA3" i="7"/>
  <c r="RQB3" i="7"/>
  <c r="RQC3" i="7"/>
  <c r="RQD3" i="7"/>
  <c r="RQE3" i="7"/>
  <c r="RQF3" i="7"/>
  <c r="RQG3" i="7"/>
  <c r="RQH3" i="7"/>
  <c r="RQI3" i="7"/>
  <c r="RQJ3" i="7"/>
  <c r="RQK3" i="7"/>
  <c r="RQL3" i="7"/>
  <c r="RQM3" i="7"/>
  <c r="RQN3" i="7"/>
  <c r="RQO3" i="7"/>
  <c r="RQP3" i="7"/>
  <c r="RQQ3" i="7"/>
  <c r="RQR3" i="7"/>
  <c r="RQS3" i="7"/>
  <c r="RQT3" i="7"/>
  <c r="RQU3" i="7"/>
  <c r="RQV3" i="7"/>
  <c r="RQW3" i="7"/>
  <c r="RQX3" i="7"/>
  <c r="RQY3" i="7"/>
  <c r="RQZ3" i="7"/>
  <c r="RRA3" i="7"/>
  <c r="RRB3" i="7"/>
  <c r="RRC3" i="7"/>
  <c r="RRD3" i="7"/>
  <c r="RRE3" i="7"/>
  <c r="RRF3" i="7"/>
  <c r="RRG3" i="7"/>
  <c r="RRH3" i="7"/>
  <c r="RRI3" i="7"/>
  <c r="RRJ3" i="7"/>
  <c r="RRK3" i="7"/>
  <c r="RRL3" i="7"/>
  <c r="RRM3" i="7"/>
  <c r="RRN3" i="7"/>
  <c r="RRO3" i="7"/>
  <c r="RRP3" i="7"/>
  <c r="RRQ3" i="7"/>
  <c r="RRR3" i="7"/>
  <c r="RRS3" i="7"/>
  <c r="RRT3" i="7"/>
  <c r="RRU3" i="7"/>
  <c r="RRV3" i="7"/>
  <c r="RRW3" i="7"/>
  <c r="RRX3" i="7"/>
  <c r="RRY3" i="7"/>
  <c r="RRZ3" i="7"/>
  <c r="RSA3" i="7"/>
  <c r="RSB3" i="7"/>
  <c r="RSC3" i="7"/>
  <c r="RSD3" i="7"/>
  <c r="RSE3" i="7"/>
  <c r="RSF3" i="7"/>
  <c r="RSG3" i="7"/>
  <c r="RSH3" i="7"/>
  <c r="RSI3" i="7"/>
  <c r="RSJ3" i="7"/>
  <c r="RSK3" i="7"/>
  <c r="RSL3" i="7"/>
  <c r="RSM3" i="7"/>
  <c r="RSN3" i="7"/>
  <c r="RSO3" i="7"/>
  <c r="RSP3" i="7"/>
  <c r="RSQ3" i="7"/>
  <c r="RSR3" i="7"/>
  <c r="RSS3" i="7"/>
  <c r="RST3" i="7"/>
  <c r="RSU3" i="7"/>
  <c r="RSV3" i="7"/>
  <c r="RSW3" i="7"/>
  <c r="RSX3" i="7"/>
  <c r="RSY3" i="7"/>
  <c r="RSZ3" i="7"/>
  <c r="RTA3" i="7"/>
  <c r="RTB3" i="7"/>
  <c r="RTC3" i="7"/>
  <c r="RTD3" i="7"/>
  <c r="RTE3" i="7"/>
  <c r="RTF3" i="7"/>
  <c r="RTG3" i="7"/>
  <c r="RTH3" i="7"/>
  <c r="RTI3" i="7"/>
  <c r="RTJ3" i="7"/>
  <c r="RTK3" i="7"/>
  <c r="RTL3" i="7"/>
  <c r="RTM3" i="7"/>
  <c r="RTN3" i="7"/>
  <c r="RTO3" i="7"/>
  <c r="RTP3" i="7"/>
  <c r="RTQ3" i="7"/>
  <c r="RTR3" i="7"/>
  <c r="RTS3" i="7"/>
  <c r="RTT3" i="7"/>
  <c r="RTU3" i="7"/>
  <c r="RTV3" i="7"/>
  <c r="RTW3" i="7"/>
  <c r="RTX3" i="7"/>
  <c r="RTY3" i="7"/>
  <c r="RTZ3" i="7"/>
  <c r="RUA3" i="7"/>
  <c r="RUB3" i="7"/>
  <c r="RUC3" i="7"/>
  <c r="RUD3" i="7"/>
  <c r="RUE3" i="7"/>
  <c r="RUF3" i="7"/>
  <c r="RUG3" i="7"/>
  <c r="RUH3" i="7"/>
  <c r="RUI3" i="7"/>
  <c r="RUJ3" i="7"/>
  <c r="RUK3" i="7"/>
  <c r="RUL3" i="7"/>
  <c r="RUM3" i="7"/>
  <c r="RUN3" i="7"/>
  <c r="RUO3" i="7"/>
  <c r="RUP3" i="7"/>
  <c r="RUQ3" i="7"/>
  <c r="RUR3" i="7"/>
  <c r="RUS3" i="7"/>
  <c r="RUT3" i="7"/>
  <c r="RUU3" i="7"/>
  <c r="RUV3" i="7"/>
  <c r="RUW3" i="7"/>
  <c r="RUX3" i="7"/>
  <c r="RUY3" i="7"/>
  <c r="RUZ3" i="7"/>
  <c r="RVA3" i="7"/>
  <c r="RVB3" i="7"/>
  <c r="RVC3" i="7"/>
  <c r="RVD3" i="7"/>
  <c r="RVE3" i="7"/>
  <c r="RVF3" i="7"/>
  <c r="RVG3" i="7"/>
  <c r="RVH3" i="7"/>
  <c r="RVI3" i="7"/>
  <c r="RVJ3" i="7"/>
  <c r="RVK3" i="7"/>
  <c r="RVL3" i="7"/>
  <c r="RVM3" i="7"/>
  <c r="RVN3" i="7"/>
  <c r="RVO3" i="7"/>
  <c r="RVP3" i="7"/>
  <c r="RVQ3" i="7"/>
  <c r="RVR3" i="7"/>
  <c r="RVS3" i="7"/>
  <c r="RVT3" i="7"/>
  <c r="RVU3" i="7"/>
  <c r="RVV3" i="7"/>
  <c r="RVW3" i="7"/>
  <c r="RVX3" i="7"/>
  <c r="RVY3" i="7"/>
  <c r="RVZ3" i="7"/>
  <c r="RWA3" i="7"/>
  <c r="RWB3" i="7"/>
  <c r="RWC3" i="7"/>
  <c r="RWD3" i="7"/>
  <c r="RWE3" i="7"/>
  <c r="RWF3" i="7"/>
  <c r="RWG3" i="7"/>
  <c r="RWH3" i="7"/>
  <c r="RWI3" i="7"/>
  <c r="RWJ3" i="7"/>
  <c r="RWK3" i="7"/>
  <c r="RWL3" i="7"/>
  <c r="RWM3" i="7"/>
  <c r="RWN3" i="7"/>
  <c r="RWO3" i="7"/>
  <c r="RWP3" i="7"/>
  <c r="RWQ3" i="7"/>
  <c r="RWR3" i="7"/>
  <c r="RWS3" i="7"/>
  <c r="RWT3" i="7"/>
  <c r="RWU3" i="7"/>
  <c r="RWV3" i="7"/>
  <c r="RWW3" i="7"/>
  <c r="RWX3" i="7"/>
  <c r="RWY3" i="7"/>
  <c r="RWZ3" i="7"/>
  <c r="RXA3" i="7"/>
  <c r="RXB3" i="7"/>
  <c r="RXC3" i="7"/>
  <c r="RXD3" i="7"/>
  <c r="RXE3" i="7"/>
  <c r="RXF3" i="7"/>
  <c r="RXG3" i="7"/>
  <c r="RXH3" i="7"/>
  <c r="RXI3" i="7"/>
  <c r="RXJ3" i="7"/>
  <c r="RXK3" i="7"/>
  <c r="RXL3" i="7"/>
  <c r="RXM3" i="7"/>
  <c r="RXN3" i="7"/>
  <c r="RXO3" i="7"/>
  <c r="RXP3" i="7"/>
  <c r="RXQ3" i="7"/>
  <c r="RXR3" i="7"/>
  <c r="RXS3" i="7"/>
  <c r="RXT3" i="7"/>
  <c r="RXU3" i="7"/>
  <c r="RXV3" i="7"/>
  <c r="RXW3" i="7"/>
  <c r="RXX3" i="7"/>
  <c r="RXY3" i="7"/>
  <c r="RXZ3" i="7"/>
  <c r="RYA3" i="7"/>
  <c r="RYB3" i="7"/>
  <c r="RYC3" i="7"/>
  <c r="RYD3" i="7"/>
  <c r="RYE3" i="7"/>
  <c r="RYF3" i="7"/>
  <c r="RYG3" i="7"/>
  <c r="RYH3" i="7"/>
  <c r="RYI3" i="7"/>
  <c r="RYJ3" i="7"/>
  <c r="RYK3" i="7"/>
  <c r="RYL3" i="7"/>
  <c r="RYM3" i="7"/>
  <c r="RYN3" i="7"/>
  <c r="RYO3" i="7"/>
  <c r="RYP3" i="7"/>
  <c r="RYQ3" i="7"/>
  <c r="RYR3" i="7"/>
  <c r="RYS3" i="7"/>
  <c r="RYT3" i="7"/>
  <c r="RYU3" i="7"/>
  <c r="RYV3" i="7"/>
  <c r="RYW3" i="7"/>
  <c r="RYX3" i="7"/>
  <c r="RYY3" i="7"/>
  <c r="RYZ3" i="7"/>
  <c r="RZA3" i="7"/>
  <c r="RZB3" i="7"/>
  <c r="RZC3" i="7"/>
  <c r="RZD3" i="7"/>
  <c r="RZE3" i="7"/>
  <c r="RZF3" i="7"/>
  <c r="RZG3" i="7"/>
  <c r="RZH3" i="7"/>
  <c r="RZI3" i="7"/>
  <c r="RZJ3" i="7"/>
  <c r="RZK3" i="7"/>
  <c r="RZL3" i="7"/>
  <c r="RZM3" i="7"/>
  <c r="RZN3" i="7"/>
  <c r="RZO3" i="7"/>
  <c r="RZP3" i="7"/>
  <c r="RZQ3" i="7"/>
  <c r="RZR3" i="7"/>
  <c r="RZS3" i="7"/>
  <c r="RZT3" i="7"/>
  <c r="RZU3" i="7"/>
  <c r="RZV3" i="7"/>
  <c r="RZW3" i="7"/>
  <c r="RZX3" i="7"/>
  <c r="RZY3" i="7"/>
  <c r="RZZ3" i="7"/>
  <c r="SAA3" i="7"/>
  <c r="SAB3" i="7"/>
  <c r="SAC3" i="7"/>
  <c r="SAD3" i="7"/>
  <c r="SAE3" i="7"/>
  <c r="SAF3" i="7"/>
  <c r="SAG3" i="7"/>
  <c r="SAH3" i="7"/>
  <c r="SAI3" i="7"/>
  <c r="SAJ3" i="7"/>
  <c r="SAK3" i="7"/>
  <c r="SAL3" i="7"/>
  <c r="SAM3" i="7"/>
  <c r="SAN3" i="7"/>
  <c r="SAO3" i="7"/>
  <c r="SAP3" i="7"/>
  <c r="SAQ3" i="7"/>
  <c r="SAR3" i="7"/>
  <c r="SAS3" i="7"/>
  <c r="SAT3" i="7"/>
  <c r="SAU3" i="7"/>
  <c r="SAV3" i="7"/>
  <c r="SAW3" i="7"/>
  <c r="SAX3" i="7"/>
  <c r="SAY3" i="7"/>
  <c r="SAZ3" i="7"/>
  <c r="SBA3" i="7"/>
  <c r="SBB3" i="7"/>
  <c r="SBC3" i="7"/>
  <c r="SBD3" i="7"/>
  <c r="SBE3" i="7"/>
  <c r="SBF3" i="7"/>
  <c r="SBG3" i="7"/>
  <c r="SBH3" i="7"/>
  <c r="SBI3" i="7"/>
  <c r="SBJ3" i="7"/>
  <c r="SBK3" i="7"/>
  <c r="SBL3" i="7"/>
  <c r="SBM3" i="7"/>
  <c r="SBN3" i="7"/>
  <c r="SBO3" i="7"/>
  <c r="SBP3" i="7"/>
  <c r="SBQ3" i="7"/>
  <c r="SBR3" i="7"/>
  <c r="SBS3" i="7"/>
  <c r="SBT3" i="7"/>
  <c r="SBU3" i="7"/>
  <c r="SBV3" i="7"/>
  <c r="SBW3" i="7"/>
  <c r="SBX3" i="7"/>
  <c r="SBY3" i="7"/>
  <c r="SBZ3" i="7"/>
  <c r="SCA3" i="7"/>
  <c r="SCB3" i="7"/>
  <c r="SCC3" i="7"/>
  <c r="SCD3" i="7"/>
  <c r="SCE3" i="7"/>
  <c r="SCF3" i="7"/>
  <c r="SCG3" i="7"/>
  <c r="SCH3" i="7"/>
  <c r="SCI3" i="7"/>
  <c r="SCJ3" i="7"/>
  <c r="SCK3" i="7"/>
  <c r="SCL3" i="7"/>
  <c r="SCM3" i="7"/>
  <c r="SCN3" i="7"/>
  <c r="SCO3" i="7"/>
  <c r="SCP3" i="7"/>
  <c r="SCQ3" i="7"/>
  <c r="SCR3" i="7"/>
  <c r="SCS3" i="7"/>
  <c r="SCT3" i="7"/>
  <c r="SCU3" i="7"/>
  <c r="SCV3" i="7"/>
  <c r="SCW3" i="7"/>
  <c r="SCX3" i="7"/>
  <c r="SCY3" i="7"/>
  <c r="SCZ3" i="7"/>
  <c r="SDA3" i="7"/>
  <c r="SDB3" i="7"/>
  <c r="SDC3" i="7"/>
  <c r="SDD3" i="7"/>
  <c r="SDE3" i="7"/>
  <c r="SDF3" i="7"/>
  <c r="SDG3" i="7"/>
  <c r="SDH3" i="7"/>
  <c r="SDI3" i="7"/>
  <c r="SDJ3" i="7"/>
  <c r="SDK3" i="7"/>
  <c r="SDL3" i="7"/>
  <c r="SDM3" i="7"/>
  <c r="SDN3" i="7"/>
  <c r="SDO3" i="7"/>
  <c r="SDP3" i="7"/>
  <c r="SDQ3" i="7"/>
  <c r="SDR3" i="7"/>
  <c r="SDS3" i="7"/>
  <c r="SDT3" i="7"/>
  <c r="SDU3" i="7"/>
  <c r="SDV3" i="7"/>
  <c r="SDW3" i="7"/>
  <c r="SDX3" i="7"/>
  <c r="SDY3" i="7"/>
  <c r="SDZ3" i="7"/>
  <c r="SEA3" i="7"/>
  <c r="SEB3" i="7"/>
  <c r="SEC3" i="7"/>
  <c r="SED3" i="7"/>
  <c r="SEE3" i="7"/>
  <c r="SEF3" i="7"/>
  <c r="SEG3" i="7"/>
  <c r="SEH3" i="7"/>
  <c r="SEI3" i="7"/>
  <c r="SEJ3" i="7"/>
  <c r="SEK3" i="7"/>
  <c r="SEL3" i="7"/>
  <c r="SEM3" i="7"/>
  <c r="SEN3" i="7"/>
  <c r="SEO3" i="7"/>
  <c r="SEP3" i="7"/>
  <c r="SEQ3" i="7"/>
  <c r="SER3" i="7"/>
  <c r="SES3" i="7"/>
  <c r="SET3" i="7"/>
  <c r="SEU3" i="7"/>
  <c r="SEV3" i="7"/>
  <c r="SEW3" i="7"/>
  <c r="SEX3" i="7"/>
  <c r="SEY3" i="7"/>
  <c r="SEZ3" i="7"/>
  <c r="SFA3" i="7"/>
  <c r="SFB3" i="7"/>
  <c r="SFC3" i="7"/>
  <c r="SFD3" i="7"/>
  <c r="SFE3" i="7"/>
  <c r="SFF3" i="7"/>
  <c r="SFG3" i="7"/>
  <c r="SFH3" i="7"/>
  <c r="SFI3" i="7"/>
  <c r="SFJ3" i="7"/>
  <c r="SFK3" i="7"/>
  <c r="SFL3" i="7"/>
  <c r="SFM3" i="7"/>
  <c r="SFN3" i="7"/>
  <c r="SFO3" i="7"/>
  <c r="SFP3" i="7"/>
  <c r="SFQ3" i="7"/>
  <c r="SFR3" i="7"/>
  <c r="SFS3" i="7"/>
  <c r="SFT3" i="7"/>
  <c r="SFU3" i="7"/>
  <c r="SFV3" i="7"/>
  <c r="SFW3" i="7"/>
  <c r="SFX3" i="7"/>
  <c r="SFY3" i="7"/>
  <c r="SFZ3" i="7"/>
  <c r="SGA3" i="7"/>
  <c r="SGB3" i="7"/>
  <c r="SGC3" i="7"/>
  <c r="SGD3" i="7"/>
  <c r="SGE3" i="7"/>
  <c r="SGF3" i="7"/>
  <c r="SGG3" i="7"/>
  <c r="SGH3" i="7"/>
  <c r="SGI3" i="7"/>
  <c r="SGJ3" i="7"/>
  <c r="SGK3" i="7"/>
  <c r="SGL3" i="7"/>
  <c r="SGM3" i="7"/>
  <c r="SGN3" i="7"/>
  <c r="SGO3" i="7"/>
  <c r="SGP3" i="7"/>
  <c r="SGQ3" i="7"/>
  <c r="SGR3" i="7"/>
  <c r="SGS3" i="7"/>
  <c r="SGT3" i="7"/>
  <c r="SGU3" i="7"/>
  <c r="SGV3" i="7"/>
  <c r="SGW3" i="7"/>
  <c r="SGX3" i="7"/>
  <c r="SGY3" i="7"/>
  <c r="SGZ3" i="7"/>
  <c r="SHA3" i="7"/>
  <c r="SHB3" i="7"/>
  <c r="SHC3" i="7"/>
  <c r="SHD3" i="7"/>
  <c r="SHE3" i="7"/>
  <c r="SHF3" i="7"/>
  <c r="SHG3" i="7"/>
  <c r="SHH3" i="7"/>
  <c r="SHI3" i="7"/>
  <c r="SHJ3" i="7"/>
  <c r="SHK3" i="7"/>
  <c r="SHL3" i="7"/>
  <c r="SHM3" i="7"/>
  <c r="SHN3" i="7"/>
  <c r="SHO3" i="7"/>
  <c r="SHP3" i="7"/>
  <c r="SHQ3" i="7"/>
  <c r="SHR3" i="7"/>
  <c r="SHS3" i="7"/>
  <c r="SHT3" i="7"/>
  <c r="SHU3" i="7"/>
  <c r="SHV3" i="7"/>
  <c r="SHW3" i="7"/>
  <c r="SHX3" i="7"/>
  <c r="SHY3" i="7"/>
  <c r="SHZ3" i="7"/>
  <c r="SIA3" i="7"/>
  <c r="SIB3" i="7"/>
  <c r="SIC3" i="7"/>
  <c r="SID3" i="7"/>
  <c r="SIE3" i="7"/>
  <c r="SIF3" i="7"/>
  <c r="SIG3" i="7"/>
  <c r="SIH3" i="7"/>
  <c r="SII3" i="7"/>
  <c r="SIJ3" i="7"/>
  <c r="SIK3" i="7"/>
  <c r="SIL3" i="7"/>
  <c r="SIM3" i="7"/>
  <c r="SIN3" i="7"/>
  <c r="SIO3" i="7"/>
  <c r="SIP3" i="7"/>
  <c r="SIQ3" i="7"/>
  <c r="SIR3" i="7"/>
  <c r="SIS3" i="7"/>
  <c r="SIT3" i="7"/>
  <c r="SIU3" i="7"/>
  <c r="SIV3" i="7"/>
  <c r="SIW3" i="7"/>
  <c r="SIX3" i="7"/>
  <c r="SIY3" i="7"/>
  <c r="SIZ3" i="7"/>
  <c r="SJA3" i="7"/>
  <c r="SJB3" i="7"/>
  <c r="SJC3" i="7"/>
  <c r="SJD3" i="7"/>
  <c r="SJE3" i="7"/>
  <c r="SJF3" i="7"/>
  <c r="SJG3" i="7"/>
  <c r="SJH3" i="7"/>
  <c r="SJI3" i="7"/>
  <c r="SJJ3" i="7"/>
  <c r="SJK3" i="7"/>
  <c r="SJL3" i="7"/>
  <c r="SJM3" i="7"/>
  <c r="SJN3" i="7"/>
  <c r="SJO3" i="7"/>
  <c r="SJP3" i="7"/>
  <c r="SJQ3" i="7"/>
  <c r="SJR3" i="7"/>
  <c r="SJS3" i="7"/>
  <c r="SJT3" i="7"/>
  <c r="SJU3" i="7"/>
  <c r="SJV3" i="7"/>
  <c r="SJW3" i="7"/>
  <c r="SJX3" i="7"/>
  <c r="SJY3" i="7"/>
  <c r="SJZ3" i="7"/>
  <c r="SKA3" i="7"/>
  <c r="SKB3" i="7"/>
  <c r="SKC3" i="7"/>
  <c r="SKD3" i="7"/>
  <c r="SKE3" i="7"/>
  <c r="SKF3" i="7"/>
  <c r="SKG3" i="7"/>
  <c r="SKH3" i="7"/>
  <c r="SKI3" i="7"/>
  <c r="SKJ3" i="7"/>
  <c r="SKK3" i="7"/>
  <c r="SKL3" i="7"/>
  <c r="SKM3" i="7"/>
  <c r="SKN3" i="7"/>
  <c r="SKO3" i="7"/>
  <c r="SKP3" i="7"/>
  <c r="SKQ3" i="7"/>
  <c r="SKR3" i="7"/>
  <c r="SKS3" i="7"/>
  <c r="SKT3" i="7"/>
  <c r="SKU3" i="7"/>
  <c r="SKV3" i="7"/>
  <c r="SKW3" i="7"/>
  <c r="SKX3" i="7"/>
  <c r="SKY3" i="7"/>
  <c r="SKZ3" i="7"/>
  <c r="SLA3" i="7"/>
  <c r="SLB3" i="7"/>
  <c r="SLC3" i="7"/>
  <c r="SLD3" i="7"/>
  <c r="SLE3" i="7"/>
  <c r="SLF3" i="7"/>
  <c r="SLG3" i="7"/>
  <c r="SLH3" i="7"/>
  <c r="SLI3" i="7"/>
  <c r="SLJ3" i="7"/>
  <c r="SLK3" i="7"/>
  <c r="SLL3" i="7"/>
  <c r="SLM3" i="7"/>
  <c r="SLN3" i="7"/>
  <c r="SLO3" i="7"/>
  <c r="SLP3" i="7"/>
  <c r="SLQ3" i="7"/>
  <c r="SLR3" i="7"/>
  <c r="SLS3" i="7"/>
  <c r="SLT3" i="7"/>
  <c r="SLU3" i="7"/>
  <c r="SLV3" i="7"/>
  <c r="SLW3" i="7"/>
  <c r="SLX3" i="7"/>
  <c r="SLY3" i="7"/>
  <c r="SLZ3" i="7"/>
  <c r="SMA3" i="7"/>
  <c r="SMB3" i="7"/>
  <c r="SMC3" i="7"/>
  <c r="SMD3" i="7"/>
  <c r="SME3" i="7"/>
  <c r="SMF3" i="7"/>
  <c r="SMG3" i="7"/>
  <c r="SMH3" i="7"/>
  <c r="SMI3" i="7"/>
  <c r="SMJ3" i="7"/>
  <c r="SMK3" i="7"/>
  <c r="SML3" i="7"/>
  <c r="SMM3" i="7"/>
  <c r="SMN3" i="7"/>
  <c r="SMO3" i="7"/>
  <c r="SMP3" i="7"/>
  <c r="SMQ3" i="7"/>
  <c r="SMR3" i="7"/>
  <c r="SMS3" i="7"/>
  <c r="SMT3" i="7"/>
  <c r="SMU3" i="7"/>
  <c r="SMV3" i="7"/>
  <c r="SMW3" i="7"/>
  <c r="SMX3" i="7"/>
  <c r="SMY3" i="7"/>
  <c r="SMZ3" i="7"/>
  <c r="SNA3" i="7"/>
  <c r="SNB3" i="7"/>
  <c r="SNC3" i="7"/>
  <c r="SND3" i="7"/>
  <c r="SNE3" i="7"/>
  <c r="SNF3" i="7"/>
  <c r="SNG3" i="7"/>
  <c r="SNH3" i="7"/>
  <c r="SNI3" i="7"/>
  <c r="SNJ3" i="7"/>
  <c r="SNK3" i="7"/>
  <c r="SNL3" i="7"/>
  <c r="SNM3" i="7"/>
  <c r="SNN3" i="7"/>
  <c r="SNO3" i="7"/>
  <c r="SNP3" i="7"/>
  <c r="SNQ3" i="7"/>
  <c r="SNR3" i="7"/>
  <c r="SNS3" i="7"/>
  <c r="SNT3" i="7"/>
  <c r="SNU3" i="7"/>
  <c r="SNV3" i="7"/>
  <c r="SNW3" i="7"/>
  <c r="SNX3" i="7"/>
  <c r="SNY3" i="7"/>
  <c r="SNZ3" i="7"/>
  <c r="SOA3" i="7"/>
  <c r="SOB3" i="7"/>
  <c r="SOC3" i="7"/>
  <c r="SOD3" i="7"/>
  <c r="SOE3" i="7"/>
  <c r="SOF3" i="7"/>
  <c r="SOG3" i="7"/>
  <c r="SOH3" i="7"/>
  <c r="SOI3" i="7"/>
  <c r="SOJ3" i="7"/>
  <c r="SOK3" i="7"/>
  <c r="SOL3" i="7"/>
  <c r="SOM3" i="7"/>
  <c r="SON3" i="7"/>
  <c r="SOO3" i="7"/>
  <c r="SOP3" i="7"/>
  <c r="SOQ3" i="7"/>
  <c r="SOR3" i="7"/>
  <c r="SOS3" i="7"/>
  <c r="SOT3" i="7"/>
  <c r="SOU3" i="7"/>
  <c r="SOV3" i="7"/>
  <c r="SOW3" i="7"/>
  <c r="SOX3" i="7"/>
  <c r="SOY3" i="7"/>
  <c r="SOZ3" i="7"/>
  <c r="SPA3" i="7"/>
  <c r="SPB3" i="7"/>
  <c r="SPC3" i="7"/>
  <c r="SPD3" i="7"/>
  <c r="SPE3" i="7"/>
  <c r="SPF3" i="7"/>
  <c r="SPG3" i="7"/>
  <c r="SPH3" i="7"/>
  <c r="SPI3" i="7"/>
  <c r="SPJ3" i="7"/>
  <c r="SPK3" i="7"/>
  <c r="SPL3" i="7"/>
  <c r="SPM3" i="7"/>
  <c r="SPN3" i="7"/>
  <c r="SPO3" i="7"/>
  <c r="SPP3" i="7"/>
  <c r="SPQ3" i="7"/>
  <c r="SPR3" i="7"/>
  <c r="SPS3" i="7"/>
  <c r="SPT3" i="7"/>
  <c r="SPU3" i="7"/>
  <c r="SPV3" i="7"/>
  <c r="SPW3" i="7"/>
  <c r="SPX3" i="7"/>
  <c r="SPY3" i="7"/>
  <c r="SPZ3" i="7"/>
  <c r="SQA3" i="7"/>
  <c r="SQB3" i="7"/>
  <c r="SQC3" i="7"/>
  <c r="SQD3" i="7"/>
  <c r="SQE3" i="7"/>
  <c r="SQF3" i="7"/>
  <c r="SQG3" i="7"/>
  <c r="SQH3" i="7"/>
  <c r="SQI3" i="7"/>
  <c r="SQJ3" i="7"/>
  <c r="SQK3" i="7"/>
  <c r="SQL3" i="7"/>
  <c r="SQM3" i="7"/>
  <c r="SQN3" i="7"/>
  <c r="SQO3" i="7"/>
  <c r="SQP3" i="7"/>
  <c r="SQQ3" i="7"/>
  <c r="SQR3" i="7"/>
  <c r="SQS3" i="7"/>
  <c r="SQT3" i="7"/>
  <c r="SQU3" i="7"/>
  <c r="SQV3" i="7"/>
  <c r="SQW3" i="7"/>
  <c r="SQX3" i="7"/>
  <c r="SQY3" i="7"/>
  <c r="SQZ3" i="7"/>
  <c r="SRA3" i="7"/>
  <c r="SRB3" i="7"/>
  <c r="SRC3" i="7"/>
  <c r="SRD3" i="7"/>
  <c r="SRE3" i="7"/>
  <c r="SRF3" i="7"/>
  <c r="SRG3" i="7"/>
  <c r="SRH3" i="7"/>
  <c r="SRI3" i="7"/>
  <c r="SRJ3" i="7"/>
  <c r="SRK3" i="7"/>
  <c r="SRL3" i="7"/>
  <c r="SRM3" i="7"/>
  <c r="SRN3" i="7"/>
  <c r="SRO3" i="7"/>
  <c r="SRP3" i="7"/>
  <c r="SRQ3" i="7"/>
  <c r="SRR3" i="7"/>
  <c r="SRS3" i="7"/>
  <c r="SRT3" i="7"/>
  <c r="SRU3" i="7"/>
  <c r="SRV3" i="7"/>
  <c r="SRW3" i="7"/>
  <c r="SRX3" i="7"/>
  <c r="SRY3" i="7"/>
  <c r="SRZ3" i="7"/>
  <c r="SSA3" i="7"/>
  <c r="SSB3" i="7"/>
  <c r="SSC3" i="7"/>
  <c r="SSD3" i="7"/>
  <c r="SSE3" i="7"/>
  <c r="SSF3" i="7"/>
  <c r="SSG3" i="7"/>
  <c r="SSH3" i="7"/>
  <c r="SSI3" i="7"/>
  <c r="SSJ3" i="7"/>
  <c r="SSK3" i="7"/>
  <c r="SSL3" i="7"/>
  <c r="SSM3" i="7"/>
  <c r="SSN3" i="7"/>
  <c r="SSO3" i="7"/>
  <c r="SSP3" i="7"/>
  <c r="SSQ3" i="7"/>
  <c r="SSR3" i="7"/>
  <c r="SSS3" i="7"/>
  <c r="SST3" i="7"/>
  <c r="SSU3" i="7"/>
  <c r="SSV3" i="7"/>
  <c r="SSW3" i="7"/>
  <c r="SSX3" i="7"/>
  <c r="SSY3" i="7"/>
  <c r="SSZ3" i="7"/>
  <c r="STA3" i="7"/>
  <c r="STB3" i="7"/>
  <c r="STC3" i="7"/>
  <c r="STD3" i="7"/>
  <c r="STE3" i="7"/>
  <c r="STF3" i="7"/>
  <c r="STG3" i="7"/>
  <c r="STH3" i="7"/>
  <c r="STI3" i="7"/>
  <c r="STJ3" i="7"/>
  <c r="STK3" i="7"/>
  <c r="STL3" i="7"/>
  <c r="STM3" i="7"/>
  <c r="STN3" i="7"/>
  <c r="STO3" i="7"/>
  <c r="STP3" i="7"/>
  <c r="STQ3" i="7"/>
  <c r="STR3" i="7"/>
  <c r="STS3" i="7"/>
  <c r="STT3" i="7"/>
  <c r="STU3" i="7"/>
  <c r="STV3" i="7"/>
  <c r="STW3" i="7"/>
  <c r="STX3" i="7"/>
  <c r="STY3" i="7"/>
  <c r="STZ3" i="7"/>
  <c r="SUA3" i="7"/>
  <c r="SUB3" i="7"/>
  <c r="SUC3" i="7"/>
  <c r="SUD3" i="7"/>
  <c r="SUE3" i="7"/>
  <c r="SUF3" i="7"/>
  <c r="SUG3" i="7"/>
  <c r="SUH3" i="7"/>
  <c r="SUI3" i="7"/>
  <c r="SUJ3" i="7"/>
  <c r="SUK3" i="7"/>
  <c r="SUL3" i="7"/>
  <c r="SUM3" i="7"/>
  <c r="SUN3" i="7"/>
  <c r="SUO3" i="7"/>
  <c r="SUP3" i="7"/>
  <c r="SUQ3" i="7"/>
  <c r="SUR3" i="7"/>
  <c r="SUS3" i="7"/>
  <c r="SUT3" i="7"/>
  <c r="SUU3" i="7"/>
  <c r="SUV3" i="7"/>
  <c r="SUW3" i="7"/>
  <c r="SUX3" i="7"/>
  <c r="SUY3" i="7"/>
  <c r="SUZ3" i="7"/>
  <c r="SVA3" i="7"/>
  <c r="SVB3" i="7"/>
  <c r="SVC3" i="7"/>
  <c r="SVD3" i="7"/>
  <c r="SVE3" i="7"/>
  <c r="SVF3" i="7"/>
  <c r="SVG3" i="7"/>
  <c r="SVH3" i="7"/>
  <c r="SVI3" i="7"/>
  <c r="SVJ3" i="7"/>
  <c r="SVK3" i="7"/>
  <c r="SVL3" i="7"/>
  <c r="SVM3" i="7"/>
  <c r="SVN3" i="7"/>
  <c r="SVO3" i="7"/>
  <c r="SVP3" i="7"/>
  <c r="SVQ3" i="7"/>
  <c r="SVR3" i="7"/>
  <c r="SVS3" i="7"/>
  <c r="SVT3" i="7"/>
  <c r="SVU3" i="7"/>
  <c r="SVV3" i="7"/>
  <c r="SVW3" i="7"/>
  <c r="SVX3" i="7"/>
  <c r="SVY3" i="7"/>
  <c r="SVZ3" i="7"/>
  <c r="SWA3" i="7"/>
  <c r="SWB3" i="7"/>
  <c r="SWC3" i="7"/>
  <c r="SWD3" i="7"/>
  <c r="SWE3" i="7"/>
  <c r="SWF3" i="7"/>
  <c r="SWG3" i="7"/>
  <c r="SWH3" i="7"/>
  <c r="SWI3" i="7"/>
  <c r="SWJ3" i="7"/>
  <c r="SWK3" i="7"/>
  <c r="SWL3" i="7"/>
  <c r="SWM3" i="7"/>
  <c r="SWN3" i="7"/>
  <c r="SWO3" i="7"/>
  <c r="SWP3" i="7"/>
  <c r="SWQ3" i="7"/>
  <c r="SWR3" i="7"/>
  <c r="SWS3" i="7"/>
  <c r="SWT3" i="7"/>
  <c r="SWU3" i="7"/>
  <c r="SWV3" i="7"/>
  <c r="SWW3" i="7"/>
  <c r="SWX3" i="7"/>
  <c r="SWY3" i="7"/>
  <c r="SWZ3" i="7"/>
  <c r="SXA3" i="7"/>
  <c r="SXB3" i="7"/>
  <c r="SXC3" i="7"/>
  <c r="SXD3" i="7"/>
  <c r="SXE3" i="7"/>
  <c r="SXF3" i="7"/>
  <c r="SXG3" i="7"/>
  <c r="SXH3" i="7"/>
  <c r="SXI3" i="7"/>
  <c r="SXJ3" i="7"/>
  <c r="SXK3" i="7"/>
  <c r="SXL3" i="7"/>
  <c r="SXM3" i="7"/>
  <c r="SXN3" i="7"/>
  <c r="SXO3" i="7"/>
  <c r="SXP3" i="7"/>
  <c r="SXQ3" i="7"/>
  <c r="SXR3" i="7"/>
  <c r="SXS3" i="7"/>
  <c r="SXT3" i="7"/>
  <c r="SXU3" i="7"/>
  <c r="SXV3" i="7"/>
  <c r="SXW3" i="7"/>
  <c r="SXX3" i="7"/>
  <c r="SXY3" i="7"/>
  <c r="SXZ3" i="7"/>
  <c r="SYA3" i="7"/>
  <c r="SYB3" i="7"/>
  <c r="SYC3" i="7"/>
  <c r="SYD3" i="7"/>
  <c r="SYE3" i="7"/>
  <c r="SYF3" i="7"/>
  <c r="SYG3" i="7"/>
  <c r="SYH3" i="7"/>
  <c r="SYI3" i="7"/>
  <c r="SYJ3" i="7"/>
  <c r="SYK3" i="7"/>
  <c r="SYL3" i="7"/>
  <c r="SYM3" i="7"/>
  <c r="SYN3" i="7"/>
  <c r="SYO3" i="7"/>
  <c r="SYP3" i="7"/>
  <c r="SYQ3" i="7"/>
  <c r="SYR3" i="7"/>
  <c r="SYS3" i="7"/>
  <c r="SYT3" i="7"/>
  <c r="SYU3" i="7"/>
  <c r="SYV3" i="7"/>
  <c r="SYW3" i="7"/>
  <c r="SYX3" i="7"/>
  <c r="SYY3" i="7"/>
  <c r="SYZ3" i="7"/>
  <c r="SZA3" i="7"/>
  <c r="SZB3" i="7"/>
  <c r="SZC3" i="7"/>
  <c r="SZD3" i="7"/>
  <c r="SZE3" i="7"/>
  <c r="SZF3" i="7"/>
  <c r="SZG3" i="7"/>
  <c r="SZH3" i="7"/>
  <c r="SZI3" i="7"/>
  <c r="SZJ3" i="7"/>
  <c r="SZK3" i="7"/>
  <c r="SZL3" i="7"/>
  <c r="SZM3" i="7"/>
  <c r="SZN3" i="7"/>
  <c r="SZO3" i="7"/>
  <c r="SZP3" i="7"/>
  <c r="SZQ3" i="7"/>
  <c r="SZR3" i="7"/>
  <c r="SZS3" i="7"/>
  <c r="SZT3" i="7"/>
  <c r="SZU3" i="7"/>
  <c r="SZV3" i="7"/>
  <c r="SZW3" i="7"/>
  <c r="SZX3" i="7"/>
  <c r="SZY3" i="7"/>
  <c r="SZZ3" i="7"/>
  <c r="TAA3" i="7"/>
  <c r="TAB3" i="7"/>
  <c r="TAC3" i="7"/>
  <c r="TAD3" i="7"/>
  <c r="TAE3" i="7"/>
  <c r="TAF3" i="7"/>
  <c r="TAG3" i="7"/>
  <c r="TAH3" i="7"/>
  <c r="TAI3" i="7"/>
  <c r="TAJ3" i="7"/>
  <c r="TAK3" i="7"/>
  <c r="TAL3" i="7"/>
  <c r="TAM3" i="7"/>
  <c r="TAN3" i="7"/>
  <c r="TAO3" i="7"/>
  <c r="TAP3" i="7"/>
  <c r="TAQ3" i="7"/>
  <c r="TAR3" i="7"/>
  <c r="TAS3" i="7"/>
  <c r="TAT3" i="7"/>
  <c r="TAU3" i="7"/>
  <c r="TAV3" i="7"/>
  <c r="TAW3" i="7"/>
  <c r="TAX3" i="7"/>
  <c r="TAY3" i="7"/>
  <c r="TAZ3" i="7"/>
  <c r="TBA3" i="7"/>
  <c r="TBB3" i="7"/>
  <c r="TBC3" i="7"/>
  <c r="TBD3" i="7"/>
  <c r="TBE3" i="7"/>
  <c r="TBF3" i="7"/>
  <c r="TBG3" i="7"/>
  <c r="TBH3" i="7"/>
  <c r="TBI3" i="7"/>
  <c r="TBJ3" i="7"/>
  <c r="TBK3" i="7"/>
  <c r="TBL3" i="7"/>
  <c r="TBM3" i="7"/>
  <c r="TBN3" i="7"/>
  <c r="TBO3" i="7"/>
  <c r="TBP3" i="7"/>
  <c r="TBQ3" i="7"/>
  <c r="TBR3" i="7"/>
  <c r="TBS3" i="7"/>
  <c r="TBT3" i="7"/>
  <c r="TBU3" i="7"/>
  <c r="TBV3" i="7"/>
  <c r="TBW3" i="7"/>
  <c r="TBX3" i="7"/>
  <c r="TBY3" i="7"/>
  <c r="TBZ3" i="7"/>
  <c r="TCA3" i="7"/>
  <c r="TCB3" i="7"/>
  <c r="TCC3" i="7"/>
  <c r="TCD3" i="7"/>
  <c r="TCE3" i="7"/>
  <c r="TCF3" i="7"/>
  <c r="TCG3" i="7"/>
  <c r="TCH3" i="7"/>
  <c r="TCI3" i="7"/>
  <c r="TCJ3" i="7"/>
  <c r="TCK3" i="7"/>
  <c r="TCL3" i="7"/>
  <c r="TCM3" i="7"/>
  <c r="TCN3" i="7"/>
  <c r="TCO3" i="7"/>
  <c r="TCP3" i="7"/>
  <c r="TCQ3" i="7"/>
  <c r="TCR3" i="7"/>
  <c r="TCS3" i="7"/>
  <c r="TCT3" i="7"/>
  <c r="TCU3" i="7"/>
  <c r="TCV3" i="7"/>
  <c r="TCW3" i="7"/>
  <c r="TCX3" i="7"/>
  <c r="TCY3" i="7"/>
  <c r="TCZ3" i="7"/>
  <c r="TDA3" i="7"/>
  <c r="TDB3" i="7"/>
  <c r="TDC3" i="7"/>
  <c r="TDD3" i="7"/>
  <c r="TDE3" i="7"/>
  <c r="TDF3" i="7"/>
  <c r="TDG3" i="7"/>
  <c r="TDH3" i="7"/>
  <c r="TDI3" i="7"/>
  <c r="TDJ3" i="7"/>
  <c r="TDK3" i="7"/>
  <c r="TDL3" i="7"/>
  <c r="TDM3" i="7"/>
  <c r="TDN3" i="7"/>
  <c r="TDO3" i="7"/>
  <c r="TDP3" i="7"/>
  <c r="TDQ3" i="7"/>
  <c r="TDR3" i="7"/>
  <c r="TDS3" i="7"/>
  <c r="TDT3" i="7"/>
  <c r="TDU3" i="7"/>
  <c r="TDV3" i="7"/>
  <c r="TDW3" i="7"/>
  <c r="TDX3" i="7"/>
  <c r="TDY3" i="7"/>
  <c r="TDZ3" i="7"/>
  <c r="TEA3" i="7"/>
  <c r="TEB3" i="7"/>
  <c r="TEC3" i="7"/>
  <c r="TED3" i="7"/>
  <c r="TEE3" i="7"/>
  <c r="TEF3" i="7"/>
  <c r="TEG3" i="7"/>
  <c r="TEH3" i="7"/>
  <c r="TEI3" i="7"/>
  <c r="TEJ3" i="7"/>
  <c r="TEK3" i="7"/>
  <c r="TEL3" i="7"/>
  <c r="TEM3" i="7"/>
  <c r="TEN3" i="7"/>
  <c r="TEO3" i="7"/>
  <c r="TEP3" i="7"/>
  <c r="TEQ3" i="7"/>
  <c r="TER3" i="7"/>
  <c r="TES3" i="7"/>
  <c r="TET3" i="7"/>
  <c r="TEU3" i="7"/>
  <c r="TEV3" i="7"/>
  <c r="TEW3" i="7"/>
  <c r="TEX3" i="7"/>
  <c r="TEY3" i="7"/>
  <c r="TEZ3" i="7"/>
  <c r="TFA3" i="7"/>
  <c r="TFB3" i="7"/>
  <c r="TFC3" i="7"/>
  <c r="TFD3" i="7"/>
  <c r="TFE3" i="7"/>
  <c r="TFF3" i="7"/>
  <c r="TFG3" i="7"/>
  <c r="TFH3" i="7"/>
  <c r="TFI3" i="7"/>
  <c r="TFJ3" i="7"/>
  <c r="TFK3" i="7"/>
  <c r="TFL3" i="7"/>
  <c r="TFM3" i="7"/>
  <c r="TFN3" i="7"/>
  <c r="TFO3" i="7"/>
  <c r="TFP3" i="7"/>
  <c r="TFQ3" i="7"/>
  <c r="TFR3" i="7"/>
  <c r="TFS3" i="7"/>
  <c r="TFT3" i="7"/>
  <c r="TFU3" i="7"/>
  <c r="TFV3" i="7"/>
  <c r="TFW3" i="7"/>
  <c r="TFX3" i="7"/>
  <c r="TFY3" i="7"/>
  <c r="TFZ3" i="7"/>
  <c r="TGA3" i="7"/>
  <c r="TGB3" i="7"/>
  <c r="TGC3" i="7"/>
  <c r="TGD3" i="7"/>
  <c r="TGE3" i="7"/>
  <c r="TGF3" i="7"/>
  <c r="TGG3" i="7"/>
  <c r="TGH3" i="7"/>
  <c r="TGI3" i="7"/>
  <c r="TGJ3" i="7"/>
  <c r="TGK3" i="7"/>
  <c r="TGL3" i="7"/>
  <c r="TGM3" i="7"/>
  <c r="TGN3" i="7"/>
  <c r="TGO3" i="7"/>
  <c r="TGP3" i="7"/>
  <c r="TGQ3" i="7"/>
  <c r="TGR3" i="7"/>
  <c r="TGS3" i="7"/>
  <c r="TGT3" i="7"/>
  <c r="TGU3" i="7"/>
  <c r="TGV3" i="7"/>
  <c r="TGW3" i="7"/>
  <c r="TGX3" i="7"/>
  <c r="TGY3" i="7"/>
  <c r="TGZ3" i="7"/>
  <c r="THA3" i="7"/>
  <c r="THB3" i="7"/>
  <c r="THC3" i="7"/>
  <c r="THD3" i="7"/>
  <c r="THE3" i="7"/>
  <c r="THF3" i="7"/>
  <c r="THG3" i="7"/>
  <c r="THH3" i="7"/>
  <c r="THI3" i="7"/>
  <c r="THJ3" i="7"/>
  <c r="THK3" i="7"/>
  <c r="THL3" i="7"/>
  <c r="THM3" i="7"/>
  <c r="THN3" i="7"/>
  <c r="THO3" i="7"/>
  <c r="THP3" i="7"/>
  <c r="THQ3" i="7"/>
  <c r="THR3" i="7"/>
  <c r="THS3" i="7"/>
  <c r="THT3" i="7"/>
  <c r="THU3" i="7"/>
  <c r="THV3" i="7"/>
  <c r="THW3" i="7"/>
  <c r="THX3" i="7"/>
  <c r="THY3" i="7"/>
  <c r="THZ3" i="7"/>
  <c r="TIA3" i="7"/>
  <c r="TIB3" i="7"/>
  <c r="TIC3" i="7"/>
  <c r="TID3" i="7"/>
  <c r="TIE3" i="7"/>
  <c r="TIF3" i="7"/>
  <c r="TIG3" i="7"/>
  <c r="TIH3" i="7"/>
  <c r="TII3" i="7"/>
  <c r="TIJ3" i="7"/>
  <c r="TIK3" i="7"/>
  <c r="TIL3" i="7"/>
  <c r="TIM3" i="7"/>
  <c r="TIN3" i="7"/>
  <c r="TIO3" i="7"/>
  <c r="TIP3" i="7"/>
  <c r="TIQ3" i="7"/>
  <c r="TIR3" i="7"/>
  <c r="TIS3" i="7"/>
  <c r="TIT3" i="7"/>
  <c r="TIU3" i="7"/>
  <c r="TIV3" i="7"/>
  <c r="TIW3" i="7"/>
  <c r="TIX3" i="7"/>
  <c r="TIY3" i="7"/>
  <c r="TIZ3" i="7"/>
  <c r="TJA3" i="7"/>
  <c r="TJB3" i="7"/>
  <c r="TJC3" i="7"/>
  <c r="TJD3" i="7"/>
  <c r="TJE3" i="7"/>
  <c r="TJF3" i="7"/>
  <c r="TJG3" i="7"/>
  <c r="TJH3" i="7"/>
  <c r="TJI3" i="7"/>
  <c r="TJJ3" i="7"/>
  <c r="TJK3" i="7"/>
  <c r="TJL3" i="7"/>
  <c r="TJM3" i="7"/>
  <c r="TJN3" i="7"/>
  <c r="TJO3" i="7"/>
  <c r="TJP3" i="7"/>
  <c r="TJQ3" i="7"/>
  <c r="TJR3" i="7"/>
  <c r="TJS3" i="7"/>
  <c r="TJT3" i="7"/>
  <c r="TJU3" i="7"/>
  <c r="TJV3" i="7"/>
  <c r="TJW3" i="7"/>
  <c r="TJX3" i="7"/>
  <c r="TJY3" i="7"/>
  <c r="TJZ3" i="7"/>
  <c r="TKA3" i="7"/>
  <c r="TKB3" i="7"/>
  <c r="TKC3" i="7"/>
  <c r="TKD3" i="7"/>
  <c r="TKE3" i="7"/>
  <c r="TKF3" i="7"/>
  <c r="TKG3" i="7"/>
  <c r="TKH3" i="7"/>
  <c r="TKI3" i="7"/>
  <c r="TKJ3" i="7"/>
  <c r="TKK3" i="7"/>
  <c r="TKL3" i="7"/>
  <c r="TKM3" i="7"/>
  <c r="TKN3" i="7"/>
  <c r="TKO3" i="7"/>
  <c r="TKP3" i="7"/>
  <c r="TKQ3" i="7"/>
  <c r="TKR3" i="7"/>
  <c r="TKS3" i="7"/>
  <c r="TKT3" i="7"/>
  <c r="TKU3" i="7"/>
  <c r="TKV3" i="7"/>
  <c r="TKW3" i="7"/>
  <c r="TKX3" i="7"/>
  <c r="TKY3" i="7"/>
  <c r="TKZ3" i="7"/>
  <c r="TLA3" i="7"/>
  <c r="TLB3" i="7"/>
  <c r="TLC3" i="7"/>
  <c r="TLD3" i="7"/>
  <c r="TLE3" i="7"/>
  <c r="TLF3" i="7"/>
  <c r="TLG3" i="7"/>
  <c r="TLH3" i="7"/>
  <c r="TLI3" i="7"/>
  <c r="TLJ3" i="7"/>
  <c r="TLK3" i="7"/>
  <c r="TLL3" i="7"/>
  <c r="TLM3" i="7"/>
  <c r="TLN3" i="7"/>
  <c r="TLO3" i="7"/>
  <c r="TLP3" i="7"/>
  <c r="TLQ3" i="7"/>
  <c r="TLR3" i="7"/>
  <c r="TLS3" i="7"/>
  <c r="TLT3" i="7"/>
  <c r="TLU3" i="7"/>
  <c r="TLV3" i="7"/>
  <c r="TLW3" i="7"/>
  <c r="TLX3" i="7"/>
  <c r="TLY3" i="7"/>
  <c r="TLZ3" i="7"/>
  <c r="TMA3" i="7"/>
  <c r="TMB3" i="7"/>
  <c r="TMC3" i="7"/>
  <c r="TMD3" i="7"/>
  <c r="TME3" i="7"/>
  <c r="TMF3" i="7"/>
  <c r="TMG3" i="7"/>
  <c r="TMH3" i="7"/>
  <c r="TMI3" i="7"/>
  <c r="TMJ3" i="7"/>
  <c r="TMK3" i="7"/>
  <c r="TML3" i="7"/>
  <c r="TMM3" i="7"/>
  <c r="TMN3" i="7"/>
  <c r="TMO3" i="7"/>
  <c r="TMP3" i="7"/>
  <c r="TMQ3" i="7"/>
  <c r="TMR3" i="7"/>
  <c r="TMS3" i="7"/>
  <c r="TMT3" i="7"/>
  <c r="TMU3" i="7"/>
  <c r="TMV3" i="7"/>
  <c r="TMW3" i="7"/>
  <c r="TMX3" i="7"/>
  <c r="TMY3" i="7"/>
  <c r="TMZ3" i="7"/>
  <c r="TNA3" i="7"/>
  <c r="TNB3" i="7"/>
  <c r="TNC3" i="7"/>
  <c r="TND3" i="7"/>
  <c r="TNE3" i="7"/>
  <c r="TNF3" i="7"/>
  <c r="TNG3" i="7"/>
  <c r="TNH3" i="7"/>
  <c r="TNI3" i="7"/>
  <c r="TNJ3" i="7"/>
  <c r="TNK3" i="7"/>
  <c r="TNL3" i="7"/>
  <c r="TNM3" i="7"/>
  <c r="TNN3" i="7"/>
  <c r="TNO3" i="7"/>
  <c r="TNP3" i="7"/>
  <c r="TNQ3" i="7"/>
  <c r="TNR3" i="7"/>
  <c r="TNS3" i="7"/>
  <c r="TNT3" i="7"/>
  <c r="TNU3" i="7"/>
  <c r="TNV3" i="7"/>
  <c r="TNW3" i="7"/>
  <c r="TNX3" i="7"/>
  <c r="TNY3" i="7"/>
  <c r="TNZ3" i="7"/>
  <c r="TOA3" i="7"/>
  <c r="TOB3" i="7"/>
  <c r="TOC3" i="7"/>
  <c r="TOD3" i="7"/>
  <c r="TOE3" i="7"/>
  <c r="TOF3" i="7"/>
  <c r="TOG3" i="7"/>
  <c r="TOH3" i="7"/>
  <c r="TOI3" i="7"/>
  <c r="TOJ3" i="7"/>
  <c r="TOK3" i="7"/>
  <c r="TOL3" i="7"/>
  <c r="TOM3" i="7"/>
  <c r="TON3" i="7"/>
  <c r="TOO3" i="7"/>
  <c r="TOP3" i="7"/>
  <c r="TOQ3" i="7"/>
  <c r="TOR3" i="7"/>
  <c r="TOS3" i="7"/>
  <c r="TOT3" i="7"/>
  <c r="TOU3" i="7"/>
  <c r="TOV3" i="7"/>
  <c r="TOW3" i="7"/>
  <c r="TOX3" i="7"/>
  <c r="TOY3" i="7"/>
  <c r="TOZ3" i="7"/>
  <c r="TPA3" i="7"/>
  <c r="TPB3" i="7"/>
  <c r="TPC3" i="7"/>
  <c r="TPD3" i="7"/>
  <c r="TPE3" i="7"/>
  <c r="TPF3" i="7"/>
  <c r="TPG3" i="7"/>
  <c r="TPH3" i="7"/>
  <c r="TPI3" i="7"/>
  <c r="TPJ3" i="7"/>
  <c r="TPK3" i="7"/>
  <c r="TPL3" i="7"/>
  <c r="TPM3" i="7"/>
  <c r="TPN3" i="7"/>
  <c r="TPO3" i="7"/>
  <c r="TPP3" i="7"/>
  <c r="TPQ3" i="7"/>
  <c r="TPR3" i="7"/>
  <c r="TPS3" i="7"/>
  <c r="TPT3" i="7"/>
  <c r="TPU3" i="7"/>
  <c r="TPV3" i="7"/>
  <c r="TPW3" i="7"/>
  <c r="TPX3" i="7"/>
  <c r="TPY3" i="7"/>
  <c r="TPZ3" i="7"/>
  <c r="TQA3" i="7"/>
  <c r="TQB3" i="7"/>
  <c r="TQC3" i="7"/>
  <c r="TQD3" i="7"/>
  <c r="TQE3" i="7"/>
  <c r="TQF3" i="7"/>
  <c r="TQG3" i="7"/>
  <c r="TQH3" i="7"/>
  <c r="TQI3" i="7"/>
  <c r="TQJ3" i="7"/>
  <c r="TQK3" i="7"/>
  <c r="TQL3" i="7"/>
  <c r="TQM3" i="7"/>
  <c r="TQN3" i="7"/>
  <c r="TQO3" i="7"/>
  <c r="TQP3" i="7"/>
  <c r="TQQ3" i="7"/>
  <c r="TQR3" i="7"/>
  <c r="TQS3" i="7"/>
  <c r="TQT3" i="7"/>
  <c r="TQU3" i="7"/>
  <c r="TQV3" i="7"/>
  <c r="TQW3" i="7"/>
  <c r="TQX3" i="7"/>
  <c r="TQY3" i="7"/>
  <c r="TQZ3" i="7"/>
  <c r="TRA3" i="7"/>
  <c r="TRB3" i="7"/>
  <c r="TRC3" i="7"/>
  <c r="TRD3" i="7"/>
  <c r="TRE3" i="7"/>
  <c r="TRF3" i="7"/>
  <c r="TRG3" i="7"/>
  <c r="TRH3" i="7"/>
  <c r="TRI3" i="7"/>
  <c r="TRJ3" i="7"/>
  <c r="TRK3" i="7"/>
  <c r="TRL3" i="7"/>
  <c r="TRM3" i="7"/>
  <c r="TRN3" i="7"/>
  <c r="TRO3" i="7"/>
  <c r="TRP3" i="7"/>
  <c r="TRQ3" i="7"/>
  <c r="TRR3" i="7"/>
  <c r="TRS3" i="7"/>
  <c r="TRT3" i="7"/>
  <c r="TRU3" i="7"/>
  <c r="TRV3" i="7"/>
  <c r="TRW3" i="7"/>
  <c r="TRX3" i="7"/>
  <c r="TRY3" i="7"/>
  <c r="TRZ3" i="7"/>
  <c r="TSA3" i="7"/>
  <c r="TSB3" i="7"/>
  <c r="TSC3" i="7"/>
  <c r="TSD3" i="7"/>
  <c r="TSE3" i="7"/>
  <c r="TSF3" i="7"/>
  <c r="TSG3" i="7"/>
  <c r="TSH3" i="7"/>
  <c r="TSI3" i="7"/>
  <c r="TSJ3" i="7"/>
  <c r="TSK3" i="7"/>
  <c r="TSL3" i="7"/>
  <c r="TSM3" i="7"/>
  <c r="TSN3" i="7"/>
  <c r="TSO3" i="7"/>
  <c r="TSP3" i="7"/>
  <c r="TSQ3" i="7"/>
  <c r="TSR3" i="7"/>
  <c r="TSS3" i="7"/>
  <c r="TST3" i="7"/>
  <c r="TSU3" i="7"/>
  <c r="TSV3" i="7"/>
  <c r="TSW3" i="7"/>
  <c r="TSX3" i="7"/>
  <c r="TSY3" i="7"/>
  <c r="TSZ3" i="7"/>
  <c r="TTA3" i="7"/>
  <c r="TTB3" i="7"/>
  <c r="TTC3" i="7"/>
  <c r="TTD3" i="7"/>
  <c r="TTE3" i="7"/>
  <c r="TTF3" i="7"/>
  <c r="TTG3" i="7"/>
  <c r="TTH3" i="7"/>
  <c r="TTI3" i="7"/>
  <c r="TTJ3" i="7"/>
  <c r="TTK3" i="7"/>
  <c r="TTL3" i="7"/>
  <c r="TTM3" i="7"/>
  <c r="TTN3" i="7"/>
  <c r="TTO3" i="7"/>
  <c r="TTP3" i="7"/>
  <c r="TTQ3" i="7"/>
  <c r="TTR3" i="7"/>
  <c r="TTS3" i="7"/>
  <c r="TTT3" i="7"/>
  <c r="TTU3" i="7"/>
  <c r="TTV3" i="7"/>
  <c r="TTW3" i="7"/>
  <c r="TTX3" i="7"/>
  <c r="TTY3" i="7"/>
  <c r="TTZ3" i="7"/>
  <c r="TUA3" i="7"/>
  <c r="TUB3" i="7"/>
  <c r="TUC3" i="7"/>
  <c r="TUD3" i="7"/>
  <c r="TUE3" i="7"/>
  <c r="TUF3" i="7"/>
  <c r="TUG3" i="7"/>
  <c r="TUH3" i="7"/>
  <c r="TUI3" i="7"/>
  <c r="TUJ3" i="7"/>
  <c r="TUK3" i="7"/>
  <c r="TUL3" i="7"/>
  <c r="TUM3" i="7"/>
  <c r="TUN3" i="7"/>
  <c r="TUO3" i="7"/>
  <c r="TUP3" i="7"/>
  <c r="TUQ3" i="7"/>
  <c r="TUR3" i="7"/>
  <c r="TUS3" i="7"/>
  <c r="TUT3" i="7"/>
  <c r="TUU3" i="7"/>
  <c r="TUV3" i="7"/>
  <c r="TUW3" i="7"/>
  <c r="TUX3" i="7"/>
  <c r="TUY3" i="7"/>
  <c r="TUZ3" i="7"/>
  <c r="TVA3" i="7"/>
  <c r="TVB3" i="7"/>
  <c r="TVC3" i="7"/>
  <c r="TVD3" i="7"/>
  <c r="TVE3" i="7"/>
  <c r="TVF3" i="7"/>
  <c r="TVG3" i="7"/>
  <c r="TVH3" i="7"/>
  <c r="TVI3" i="7"/>
  <c r="TVJ3" i="7"/>
  <c r="TVK3" i="7"/>
  <c r="TVL3" i="7"/>
  <c r="TVM3" i="7"/>
  <c r="TVN3" i="7"/>
  <c r="TVO3" i="7"/>
  <c r="TVP3" i="7"/>
  <c r="TVQ3" i="7"/>
  <c r="TVR3" i="7"/>
  <c r="TVS3" i="7"/>
  <c r="TVT3" i="7"/>
  <c r="TVU3" i="7"/>
  <c r="TVV3" i="7"/>
  <c r="TVW3" i="7"/>
  <c r="TVX3" i="7"/>
  <c r="TVY3" i="7"/>
  <c r="TVZ3" i="7"/>
  <c r="TWA3" i="7"/>
  <c r="TWB3" i="7"/>
  <c r="TWC3" i="7"/>
  <c r="TWD3" i="7"/>
  <c r="TWE3" i="7"/>
  <c r="TWF3" i="7"/>
  <c r="TWG3" i="7"/>
  <c r="TWH3" i="7"/>
  <c r="TWI3" i="7"/>
  <c r="TWJ3" i="7"/>
  <c r="TWK3" i="7"/>
  <c r="TWL3" i="7"/>
  <c r="TWM3" i="7"/>
  <c r="TWN3" i="7"/>
  <c r="TWO3" i="7"/>
  <c r="TWP3" i="7"/>
  <c r="TWQ3" i="7"/>
  <c r="TWR3" i="7"/>
  <c r="TWS3" i="7"/>
  <c r="TWT3" i="7"/>
  <c r="TWU3" i="7"/>
  <c r="TWV3" i="7"/>
  <c r="TWW3" i="7"/>
  <c r="TWX3" i="7"/>
  <c r="TWY3" i="7"/>
  <c r="TWZ3" i="7"/>
  <c r="TXA3" i="7"/>
  <c r="TXB3" i="7"/>
  <c r="TXC3" i="7"/>
  <c r="TXD3" i="7"/>
  <c r="TXE3" i="7"/>
  <c r="TXF3" i="7"/>
  <c r="TXG3" i="7"/>
  <c r="TXH3" i="7"/>
  <c r="TXI3" i="7"/>
  <c r="TXJ3" i="7"/>
  <c r="TXK3" i="7"/>
  <c r="TXL3" i="7"/>
  <c r="TXM3" i="7"/>
  <c r="TXN3" i="7"/>
  <c r="TXO3" i="7"/>
  <c r="TXP3" i="7"/>
  <c r="TXQ3" i="7"/>
  <c r="TXR3" i="7"/>
  <c r="TXS3" i="7"/>
  <c r="TXT3" i="7"/>
  <c r="TXU3" i="7"/>
  <c r="TXV3" i="7"/>
  <c r="TXW3" i="7"/>
  <c r="TXX3" i="7"/>
  <c r="TXY3" i="7"/>
  <c r="TXZ3" i="7"/>
  <c r="TYA3" i="7"/>
  <c r="TYB3" i="7"/>
  <c r="TYC3" i="7"/>
  <c r="TYD3" i="7"/>
  <c r="TYE3" i="7"/>
  <c r="TYF3" i="7"/>
  <c r="TYG3" i="7"/>
  <c r="TYH3" i="7"/>
  <c r="TYI3" i="7"/>
  <c r="TYJ3" i="7"/>
  <c r="TYK3" i="7"/>
  <c r="TYL3" i="7"/>
  <c r="TYM3" i="7"/>
  <c r="TYN3" i="7"/>
  <c r="TYO3" i="7"/>
  <c r="TYP3" i="7"/>
  <c r="TYQ3" i="7"/>
  <c r="TYR3" i="7"/>
  <c r="TYS3" i="7"/>
  <c r="TYT3" i="7"/>
  <c r="TYU3" i="7"/>
  <c r="TYV3" i="7"/>
  <c r="TYW3" i="7"/>
  <c r="TYX3" i="7"/>
  <c r="TYY3" i="7"/>
  <c r="TYZ3" i="7"/>
  <c r="TZA3" i="7"/>
  <c r="TZB3" i="7"/>
  <c r="TZC3" i="7"/>
  <c r="TZD3" i="7"/>
  <c r="TZE3" i="7"/>
  <c r="TZF3" i="7"/>
  <c r="TZG3" i="7"/>
  <c r="TZH3" i="7"/>
  <c r="TZI3" i="7"/>
  <c r="TZJ3" i="7"/>
  <c r="TZK3" i="7"/>
  <c r="TZL3" i="7"/>
  <c r="TZM3" i="7"/>
  <c r="TZN3" i="7"/>
  <c r="TZO3" i="7"/>
  <c r="TZP3" i="7"/>
  <c r="TZQ3" i="7"/>
  <c r="TZR3" i="7"/>
  <c r="TZS3" i="7"/>
  <c r="TZT3" i="7"/>
  <c r="TZU3" i="7"/>
  <c r="TZV3" i="7"/>
  <c r="TZW3" i="7"/>
  <c r="TZX3" i="7"/>
  <c r="TZY3" i="7"/>
  <c r="TZZ3" i="7"/>
  <c r="UAA3" i="7"/>
  <c r="UAB3" i="7"/>
  <c r="UAC3" i="7"/>
  <c r="UAD3" i="7"/>
  <c r="UAE3" i="7"/>
  <c r="UAF3" i="7"/>
  <c r="UAG3" i="7"/>
  <c r="UAH3" i="7"/>
  <c r="UAI3" i="7"/>
  <c r="UAJ3" i="7"/>
  <c r="UAK3" i="7"/>
  <c r="UAL3" i="7"/>
  <c r="UAM3" i="7"/>
  <c r="UAN3" i="7"/>
  <c r="UAO3" i="7"/>
  <c r="UAP3" i="7"/>
  <c r="UAQ3" i="7"/>
  <c r="UAR3" i="7"/>
  <c r="UAS3" i="7"/>
  <c r="UAT3" i="7"/>
  <c r="UAU3" i="7"/>
  <c r="UAV3" i="7"/>
  <c r="UAW3" i="7"/>
  <c r="UAX3" i="7"/>
  <c r="UAY3" i="7"/>
  <c r="UAZ3" i="7"/>
  <c r="UBA3" i="7"/>
  <c r="UBB3" i="7"/>
  <c r="UBC3" i="7"/>
  <c r="UBD3" i="7"/>
  <c r="UBE3" i="7"/>
  <c r="UBF3" i="7"/>
  <c r="UBG3" i="7"/>
  <c r="UBH3" i="7"/>
  <c r="UBI3" i="7"/>
  <c r="UBJ3" i="7"/>
  <c r="UBK3" i="7"/>
  <c r="UBL3" i="7"/>
  <c r="UBM3" i="7"/>
  <c r="UBN3" i="7"/>
  <c r="UBO3" i="7"/>
  <c r="UBP3" i="7"/>
  <c r="UBQ3" i="7"/>
  <c r="UBR3" i="7"/>
  <c r="UBS3" i="7"/>
  <c r="UBT3" i="7"/>
  <c r="UBU3" i="7"/>
  <c r="UBV3" i="7"/>
  <c r="UBW3" i="7"/>
  <c r="UBX3" i="7"/>
  <c r="UBY3" i="7"/>
  <c r="UBZ3" i="7"/>
  <c r="UCA3" i="7"/>
  <c r="UCB3" i="7"/>
  <c r="UCC3" i="7"/>
  <c r="UCD3" i="7"/>
  <c r="UCE3" i="7"/>
  <c r="UCF3" i="7"/>
  <c r="UCG3" i="7"/>
  <c r="UCH3" i="7"/>
  <c r="UCI3" i="7"/>
  <c r="UCJ3" i="7"/>
  <c r="UCK3" i="7"/>
  <c r="UCL3" i="7"/>
  <c r="UCM3" i="7"/>
  <c r="UCN3" i="7"/>
  <c r="UCO3" i="7"/>
  <c r="UCP3" i="7"/>
  <c r="UCQ3" i="7"/>
  <c r="UCR3" i="7"/>
  <c r="UCS3" i="7"/>
  <c r="UCT3" i="7"/>
  <c r="UCU3" i="7"/>
  <c r="UCV3" i="7"/>
  <c r="UCW3" i="7"/>
  <c r="UCX3" i="7"/>
  <c r="UCY3" i="7"/>
  <c r="UCZ3" i="7"/>
  <c r="UDA3" i="7"/>
  <c r="UDB3" i="7"/>
  <c r="UDC3" i="7"/>
  <c r="UDD3" i="7"/>
  <c r="UDE3" i="7"/>
  <c r="UDF3" i="7"/>
  <c r="UDG3" i="7"/>
  <c r="UDH3" i="7"/>
  <c r="UDI3" i="7"/>
  <c r="UDJ3" i="7"/>
  <c r="UDK3" i="7"/>
  <c r="UDL3" i="7"/>
  <c r="UDM3" i="7"/>
  <c r="UDN3" i="7"/>
  <c r="UDO3" i="7"/>
  <c r="UDP3" i="7"/>
  <c r="UDQ3" i="7"/>
  <c r="UDR3" i="7"/>
  <c r="UDS3" i="7"/>
  <c r="UDT3" i="7"/>
  <c r="UDU3" i="7"/>
  <c r="UDV3" i="7"/>
  <c r="UDW3" i="7"/>
  <c r="UDX3" i="7"/>
  <c r="UDY3" i="7"/>
  <c r="UDZ3" i="7"/>
  <c r="UEA3" i="7"/>
  <c r="UEB3" i="7"/>
  <c r="UEC3" i="7"/>
  <c r="UED3" i="7"/>
  <c r="UEE3" i="7"/>
  <c r="UEF3" i="7"/>
  <c r="UEG3" i="7"/>
  <c r="UEH3" i="7"/>
  <c r="UEI3" i="7"/>
  <c r="UEJ3" i="7"/>
  <c r="UEK3" i="7"/>
  <c r="UEL3" i="7"/>
  <c r="UEM3" i="7"/>
  <c r="UEN3" i="7"/>
  <c r="UEO3" i="7"/>
  <c r="UEP3" i="7"/>
  <c r="UEQ3" i="7"/>
  <c r="UER3" i="7"/>
  <c r="UES3" i="7"/>
  <c r="UET3" i="7"/>
  <c r="UEU3" i="7"/>
  <c r="UEV3" i="7"/>
  <c r="UEW3" i="7"/>
  <c r="UEX3" i="7"/>
  <c r="UEY3" i="7"/>
  <c r="UEZ3" i="7"/>
  <c r="UFA3" i="7"/>
  <c r="UFB3" i="7"/>
  <c r="UFC3" i="7"/>
  <c r="UFD3" i="7"/>
  <c r="UFE3" i="7"/>
  <c r="UFF3" i="7"/>
  <c r="UFG3" i="7"/>
  <c r="UFH3" i="7"/>
  <c r="UFI3" i="7"/>
  <c r="UFJ3" i="7"/>
  <c r="UFK3" i="7"/>
  <c r="UFL3" i="7"/>
  <c r="UFM3" i="7"/>
  <c r="UFN3" i="7"/>
  <c r="UFO3" i="7"/>
  <c r="UFP3" i="7"/>
  <c r="UFQ3" i="7"/>
  <c r="UFR3" i="7"/>
  <c r="UFS3" i="7"/>
  <c r="UFT3" i="7"/>
  <c r="UFU3" i="7"/>
  <c r="UFV3" i="7"/>
  <c r="UFW3" i="7"/>
  <c r="UFX3" i="7"/>
  <c r="UFY3" i="7"/>
  <c r="UFZ3" i="7"/>
  <c r="UGA3" i="7"/>
  <c r="UGB3" i="7"/>
  <c r="UGC3" i="7"/>
  <c r="UGD3" i="7"/>
  <c r="UGE3" i="7"/>
  <c r="UGF3" i="7"/>
  <c r="UGG3" i="7"/>
  <c r="UGH3" i="7"/>
  <c r="UGI3" i="7"/>
  <c r="UGJ3" i="7"/>
  <c r="UGK3" i="7"/>
  <c r="UGL3" i="7"/>
  <c r="UGM3" i="7"/>
  <c r="UGN3" i="7"/>
  <c r="UGO3" i="7"/>
  <c r="UGP3" i="7"/>
  <c r="UGQ3" i="7"/>
  <c r="UGR3" i="7"/>
  <c r="UGS3" i="7"/>
  <c r="UGT3" i="7"/>
  <c r="UGU3" i="7"/>
  <c r="UGV3" i="7"/>
  <c r="UGW3" i="7"/>
  <c r="UGX3" i="7"/>
  <c r="UGY3" i="7"/>
  <c r="UGZ3" i="7"/>
  <c r="UHA3" i="7"/>
  <c r="UHB3" i="7"/>
  <c r="UHC3" i="7"/>
  <c r="UHD3" i="7"/>
  <c r="UHE3" i="7"/>
  <c r="UHF3" i="7"/>
  <c r="UHG3" i="7"/>
  <c r="UHH3" i="7"/>
  <c r="UHI3" i="7"/>
  <c r="UHJ3" i="7"/>
  <c r="UHK3" i="7"/>
  <c r="UHL3" i="7"/>
  <c r="UHM3" i="7"/>
  <c r="UHN3" i="7"/>
  <c r="UHO3" i="7"/>
  <c r="UHP3" i="7"/>
  <c r="UHQ3" i="7"/>
  <c r="UHR3" i="7"/>
  <c r="UHS3" i="7"/>
  <c r="UHT3" i="7"/>
  <c r="UHU3" i="7"/>
  <c r="UHV3" i="7"/>
  <c r="UHW3" i="7"/>
  <c r="UHX3" i="7"/>
  <c r="UHY3" i="7"/>
  <c r="UHZ3" i="7"/>
  <c r="UIA3" i="7"/>
  <c r="UIB3" i="7"/>
  <c r="UIC3" i="7"/>
  <c r="UID3" i="7"/>
  <c r="UIE3" i="7"/>
  <c r="UIF3" i="7"/>
  <c r="UIG3" i="7"/>
  <c r="UIH3" i="7"/>
  <c r="UII3" i="7"/>
  <c r="UIJ3" i="7"/>
  <c r="UIK3" i="7"/>
  <c r="UIL3" i="7"/>
  <c r="UIM3" i="7"/>
  <c r="UIN3" i="7"/>
  <c r="UIO3" i="7"/>
  <c r="UIP3" i="7"/>
  <c r="UIQ3" i="7"/>
  <c r="UIR3" i="7"/>
  <c r="UIS3" i="7"/>
  <c r="UIT3" i="7"/>
  <c r="UIU3" i="7"/>
  <c r="UIV3" i="7"/>
  <c r="UIW3" i="7"/>
  <c r="UIX3" i="7"/>
  <c r="UIY3" i="7"/>
  <c r="UIZ3" i="7"/>
  <c r="UJA3" i="7"/>
  <c r="UJB3" i="7"/>
  <c r="UJC3" i="7"/>
  <c r="UJD3" i="7"/>
  <c r="UJE3" i="7"/>
  <c r="UJF3" i="7"/>
  <c r="UJG3" i="7"/>
  <c r="UJH3" i="7"/>
  <c r="UJI3" i="7"/>
  <c r="UJJ3" i="7"/>
  <c r="UJK3" i="7"/>
  <c r="UJL3" i="7"/>
  <c r="UJM3" i="7"/>
  <c r="UJN3" i="7"/>
  <c r="UJO3" i="7"/>
  <c r="UJP3" i="7"/>
  <c r="UJQ3" i="7"/>
  <c r="UJR3" i="7"/>
  <c r="UJS3" i="7"/>
  <c r="UJT3" i="7"/>
  <c r="UJU3" i="7"/>
  <c r="UJV3" i="7"/>
  <c r="UJW3" i="7"/>
  <c r="UJX3" i="7"/>
  <c r="UJY3" i="7"/>
  <c r="UJZ3" i="7"/>
  <c r="UKA3" i="7"/>
  <c r="UKB3" i="7"/>
  <c r="UKC3" i="7"/>
  <c r="UKD3" i="7"/>
  <c r="UKE3" i="7"/>
  <c r="UKF3" i="7"/>
  <c r="UKG3" i="7"/>
  <c r="UKH3" i="7"/>
  <c r="UKI3" i="7"/>
  <c r="UKJ3" i="7"/>
  <c r="UKK3" i="7"/>
  <c r="UKL3" i="7"/>
  <c r="UKM3" i="7"/>
  <c r="UKN3" i="7"/>
  <c r="UKO3" i="7"/>
  <c r="UKP3" i="7"/>
  <c r="UKQ3" i="7"/>
  <c r="UKR3" i="7"/>
  <c r="UKS3" i="7"/>
  <c r="UKT3" i="7"/>
  <c r="UKU3" i="7"/>
  <c r="UKV3" i="7"/>
  <c r="UKW3" i="7"/>
  <c r="UKX3" i="7"/>
  <c r="UKY3" i="7"/>
  <c r="UKZ3" i="7"/>
  <c r="ULA3" i="7"/>
  <c r="ULB3" i="7"/>
  <c r="ULC3" i="7"/>
  <c r="ULD3" i="7"/>
  <c r="ULE3" i="7"/>
  <c r="ULF3" i="7"/>
  <c r="ULG3" i="7"/>
  <c r="ULH3" i="7"/>
  <c r="ULI3" i="7"/>
  <c r="ULJ3" i="7"/>
  <c r="ULK3" i="7"/>
  <c r="ULL3" i="7"/>
  <c r="ULM3" i="7"/>
  <c r="ULN3" i="7"/>
  <c r="ULO3" i="7"/>
  <c r="ULP3" i="7"/>
  <c r="ULQ3" i="7"/>
  <c r="ULR3" i="7"/>
  <c r="ULS3" i="7"/>
  <c r="ULT3" i="7"/>
  <c r="ULU3" i="7"/>
  <c r="ULV3" i="7"/>
  <c r="ULW3" i="7"/>
  <c r="ULX3" i="7"/>
  <c r="ULY3" i="7"/>
  <c r="ULZ3" i="7"/>
  <c r="UMA3" i="7"/>
  <c r="UMB3" i="7"/>
  <c r="UMC3" i="7"/>
  <c r="UMD3" i="7"/>
  <c r="UME3" i="7"/>
  <c r="UMF3" i="7"/>
  <c r="UMG3" i="7"/>
  <c r="UMH3" i="7"/>
  <c r="UMI3" i="7"/>
  <c r="UMJ3" i="7"/>
  <c r="UMK3" i="7"/>
  <c r="UML3" i="7"/>
  <c r="UMM3" i="7"/>
  <c r="UMN3" i="7"/>
  <c r="UMO3" i="7"/>
  <c r="UMP3" i="7"/>
  <c r="UMQ3" i="7"/>
  <c r="UMR3" i="7"/>
  <c r="UMS3" i="7"/>
  <c r="UMT3" i="7"/>
  <c r="UMU3" i="7"/>
  <c r="UMV3" i="7"/>
  <c r="UMW3" i="7"/>
  <c r="UMX3" i="7"/>
  <c r="UMY3" i="7"/>
  <c r="UMZ3" i="7"/>
  <c r="UNA3" i="7"/>
  <c r="UNB3" i="7"/>
  <c r="UNC3" i="7"/>
  <c r="UND3" i="7"/>
  <c r="UNE3" i="7"/>
  <c r="UNF3" i="7"/>
  <c r="UNG3" i="7"/>
  <c r="UNH3" i="7"/>
  <c r="UNI3" i="7"/>
  <c r="UNJ3" i="7"/>
  <c r="UNK3" i="7"/>
  <c r="UNL3" i="7"/>
  <c r="UNM3" i="7"/>
  <c r="UNN3" i="7"/>
  <c r="UNO3" i="7"/>
  <c r="UNP3" i="7"/>
  <c r="UNQ3" i="7"/>
  <c r="UNR3" i="7"/>
  <c r="UNS3" i="7"/>
  <c r="UNT3" i="7"/>
  <c r="UNU3" i="7"/>
  <c r="UNV3" i="7"/>
  <c r="UNW3" i="7"/>
  <c r="UNX3" i="7"/>
  <c r="UNY3" i="7"/>
  <c r="UNZ3" i="7"/>
  <c r="UOA3" i="7"/>
  <c r="UOB3" i="7"/>
  <c r="UOC3" i="7"/>
  <c r="UOD3" i="7"/>
  <c r="UOE3" i="7"/>
  <c r="UOF3" i="7"/>
  <c r="UOG3" i="7"/>
  <c r="UOH3" i="7"/>
  <c r="UOI3" i="7"/>
  <c r="UOJ3" i="7"/>
  <c r="UOK3" i="7"/>
  <c r="UOL3" i="7"/>
  <c r="UOM3" i="7"/>
  <c r="UON3" i="7"/>
  <c r="UOO3" i="7"/>
  <c r="UOP3" i="7"/>
  <c r="UOQ3" i="7"/>
  <c r="UOR3" i="7"/>
  <c r="UOS3" i="7"/>
  <c r="UOT3" i="7"/>
  <c r="UOU3" i="7"/>
  <c r="UOV3" i="7"/>
  <c r="UOW3" i="7"/>
  <c r="UOX3" i="7"/>
  <c r="UOY3" i="7"/>
  <c r="UOZ3" i="7"/>
  <c r="UPA3" i="7"/>
  <c r="UPB3" i="7"/>
  <c r="UPC3" i="7"/>
  <c r="UPD3" i="7"/>
  <c r="UPE3" i="7"/>
  <c r="UPF3" i="7"/>
  <c r="UPG3" i="7"/>
  <c r="UPH3" i="7"/>
  <c r="UPI3" i="7"/>
  <c r="UPJ3" i="7"/>
  <c r="UPK3" i="7"/>
  <c r="UPL3" i="7"/>
  <c r="UPM3" i="7"/>
  <c r="UPN3" i="7"/>
  <c r="UPO3" i="7"/>
  <c r="UPP3" i="7"/>
  <c r="UPQ3" i="7"/>
  <c r="UPR3" i="7"/>
  <c r="UPS3" i="7"/>
  <c r="UPT3" i="7"/>
  <c r="UPU3" i="7"/>
  <c r="UPV3" i="7"/>
  <c r="UPW3" i="7"/>
  <c r="UPX3" i="7"/>
  <c r="UPY3" i="7"/>
  <c r="UPZ3" i="7"/>
  <c r="UQA3" i="7"/>
  <c r="UQB3" i="7"/>
  <c r="UQC3" i="7"/>
  <c r="UQD3" i="7"/>
  <c r="UQE3" i="7"/>
  <c r="UQF3" i="7"/>
  <c r="UQG3" i="7"/>
  <c r="UQH3" i="7"/>
  <c r="UQI3" i="7"/>
  <c r="UQJ3" i="7"/>
  <c r="UQK3" i="7"/>
  <c r="UQL3" i="7"/>
  <c r="UQM3" i="7"/>
  <c r="UQN3" i="7"/>
  <c r="UQO3" i="7"/>
  <c r="UQP3" i="7"/>
  <c r="UQQ3" i="7"/>
  <c r="UQR3" i="7"/>
  <c r="UQS3" i="7"/>
  <c r="UQT3" i="7"/>
  <c r="UQU3" i="7"/>
  <c r="UQV3" i="7"/>
  <c r="UQW3" i="7"/>
  <c r="UQX3" i="7"/>
  <c r="UQY3" i="7"/>
  <c r="UQZ3" i="7"/>
  <c r="URA3" i="7"/>
  <c r="URB3" i="7"/>
  <c r="URC3" i="7"/>
  <c r="URD3" i="7"/>
  <c r="URE3" i="7"/>
  <c r="URF3" i="7"/>
  <c r="URG3" i="7"/>
  <c r="URH3" i="7"/>
  <c r="URI3" i="7"/>
  <c r="URJ3" i="7"/>
  <c r="URK3" i="7"/>
  <c r="URL3" i="7"/>
  <c r="URM3" i="7"/>
  <c r="URN3" i="7"/>
  <c r="URO3" i="7"/>
  <c r="URP3" i="7"/>
  <c r="URQ3" i="7"/>
  <c r="URR3" i="7"/>
  <c r="URS3" i="7"/>
  <c r="URT3" i="7"/>
  <c r="URU3" i="7"/>
  <c r="URV3" i="7"/>
  <c r="URW3" i="7"/>
  <c r="URX3" i="7"/>
  <c r="URY3" i="7"/>
  <c r="URZ3" i="7"/>
  <c r="USA3" i="7"/>
  <c r="USB3" i="7"/>
  <c r="USC3" i="7"/>
  <c r="USD3" i="7"/>
  <c r="USE3" i="7"/>
  <c r="USF3" i="7"/>
  <c r="USG3" i="7"/>
  <c r="USH3" i="7"/>
  <c r="USI3" i="7"/>
  <c r="USJ3" i="7"/>
  <c r="USK3" i="7"/>
  <c r="USL3" i="7"/>
  <c r="USM3" i="7"/>
  <c r="USN3" i="7"/>
  <c r="USO3" i="7"/>
  <c r="USP3" i="7"/>
  <c r="USQ3" i="7"/>
  <c r="USR3" i="7"/>
  <c r="USS3" i="7"/>
  <c r="UST3" i="7"/>
  <c r="USU3" i="7"/>
  <c r="USV3" i="7"/>
  <c r="USW3" i="7"/>
  <c r="USX3" i="7"/>
  <c r="USY3" i="7"/>
  <c r="USZ3" i="7"/>
  <c r="UTA3" i="7"/>
  <c r="UTB3" i="7"/>
  <c r="UTC3" i="7"/>
  <c r="UTD3" i="7"/>
  <c r="UTE3" i="7"/>
  <c r="UTF3" i="7"/>
  <c r="UTG3" i="7"/>
  <c r="UTH3" i="7"/>
  <c r="UTI3" i="7"/>
  <c r="UTJ3" i="7"/>
  <c r="UTK3" i="7"/>
  <c r="UTL3" i="7"/>
  <c r="UTM3" i="7"/>
  <c r="UTN3" i="7"/>
  <c r="UTO3" i="7"/>
  <c r="UTP3" i="7"/>
  <c r="UTQ3" i="7"/>
  <c r="UTR3" i="7"/>
  <c r="UTS3" i="7"/>
  <c r="UTT3" i="7"/>
  <c r="UTU3" i="7"/>
  <c r="UTV3" i="7"/>
  <c r="UTW3" i="7"/>
  <c r="UTX3" i="7"/>
  <c r="UTY3" i="7"/>
  <c r="UTZ3" i="7"/>
  <c r="UUA3" i="7"/>
  <c r="UUB3" i="7"/>
  <c r="UUC3" i="7"/>
  <c r="UUD3" i="7"/>
  <c r="UUE3" i="7"/>
  <c r="UUF3" i="7"/>
  <c r="UUG3" i="7"/>
  <c r="UUH3" i="7"/>
  <c r="UUI3" i="7"/>
  <c r="UUJ3" i="7"/>
  <c r="UUK3" i="7"/>
  <c r="UUL3" i="7"/>
  <c r="UUM3" i="7"/>
  <c r="UUN3" i="7"/>
  <c r="UUO3" i="7"/>
  <c r="UUP3" i="7"/>
  <c r="UUQ3" i="7"/>
  <c r="UUR3" i="7"/>
  <c r="UUS3" i="7"/>
  <c r="UUT3" i="7"/>
  <c r="UUU3" i="7"/>
  <c r="UUV3" i="7"/>
  <c r="UUW3" i="7"/>
  <c r="UUX3" i="7"/>
  <c r="UUY3" i="7"/>
  <c r="UUZ3" i="7"/>
  <c r="UVA3" i="7"/>
  <c r="UVB3" i="7"/>
  <c r="UVC3" i="7"/>
  <c r="UVD3" i="7"/>
  <c r="UVE3" i="7"/>
  <c r="UVF3" i="7"/>
  <c r="UVG3" i="7"/>
  <c r="UVH3" i="7"/>
  <c r="UVI3" i="7"/>
  <c r="UVJ3" i="7"/>
  <c r="UVK3" i="7"/>
  <c r="UVL3" i="7"/>
  <c r="UVM3" i="7"/>
  <c r="UVN3" i="7"/>
  <c r="UVO3" i="7"/>
  <c r="UVP3" i="7"/>
  <c r="UVQ3" i="7"/>
  <c r="UVR3" i="7"/>
  <c r="UVS3" i="7"/>
  <c r="UVT3" i="7"/>
  <c r="UVU3" i="7"/>
  <c r="UVV3" i="7"/>
  <c r="UVW3" i="7"/>
  <c r="UVX3" i="7"/>
  <c r="UVY3" i="7"/>
  <c r="UVZ3" i="7"/>
  <c r="UWA3" i="7"/>
  <c r="UWB3" i="7"/>
  <c r="UWC3" i="7"/>
  <c r="UWD3" i="7"/>
  <c r="UWE3" i="7"/>
  <c r="UWF3" i="7"/>
  <c r="UWG3" i="7"/>
  <c r="UWH3" i="7"/>
  <c r="UWI3" i="7"/>
  <c r="UWJ3" i="7"/>
  <c r="UWK3" i="7"/>
  <c r="UWL3" i="7"/>
  <c r="UWM3" i="7"/>
  <c r="UWN3" i="7"/>
  <c r="UWO3" i="7"/>
  <c r="UWP3" i="7"/>
  <c r="UWQ3" i="7"/>
  <c r="UWR3" i="7"/>
  <c r="UWS3" i="7"/>
  <c r="UWT3" i="7"/>
  <c r="UWU3" i="7"/>
  <c r="UWV3" i="7"/>
  <c r="UWW3" i="7"/>
  <c r="UWX3" i="7"/>
  <c r="UWY3" i="7"/>
  <c r="UWZ3" i="7"/>
  <c r="UXA3" i="7"/>
  <c r="UXB3" i="7"/>
  <c r="UXC3" i="7"/>
  <c r="UXD3" i="7"/>
  <c r="UXE3" i="7"/>
  <c r="UXF3" i="7"/>
  <c r="UXG3" i="7"/>
  <c r="UXH3" i="7"/>
  <c r="UXI3" i="7"/>
  <c r="UXJ3" i="7"/>
  <c r="UXK3" i="7"/>
  <c r="UXL3" i="7"/>
  <c r="UXM3" i="7"/>
  <c r="UXN3" i="7"/>
  <c r="UXO3" i="7"/>
  <c r="UXP3" i="7"/>
  <c r="UXQ3" i="7"/>
  <c r="UXR3" i="7"/>
  <c r="UXS3" i="7"/>
  <c r="UXT3" i="7"/>
  <c r="UXU3" i="7"/>
  <c r="UXV3" i="7"/>
  <c r="UXW3" i="7"/>
  <c r="UXX3" i="7"/>
  <c r="UXY3" i="7"/>
  <c r="UXZ3" i="7"/>
  <c r="UYA3" i="7"/>
  <c r="UYB3" i="7"/>
  <c r="UYC3" i="7"/>
  <c r="UYD3" i="7"/>
  <c r="UYE3" i="7"/>
  <c r="UYF3" i="7"/>
  <c r="UYG3" i="7"/>
  <c r="UYH3" i="7"/>
  <c r="UYI3" i="7"/>
  <c r="UYJ3" i="7"/>
  <c r="UYK3" i="7"/>
  <c r="UYL3" i="7"/>
  <c r="UYM3" i="7"/>
  <c r="UYN3" i="7"/>
  <c r="UYO3" i="7"/>
  <c r="UYP3" i="7"/>
  <c r="UYQ3" i="7"/>
  <c r="UYR3" i="7"/>
  <c r="UYS3" i="7"/>
  <c r="UYT3" i="7"/>
  <c r="UYU3" i="7"/>
  <c r="UYV3" i="7"/>
  <c r="UYW3" i="7"/>
  <c r="UYX3" i="7"/>
  <c r="UYY3" i="7"/>
  <c r="UYZ3" i="7"/>
  <c r="UZA3" i="7"/>
  <c r="UZB3" i="7"/>
  <c r="UZC3" i="7"/>
  <c r="UZD3" i="7"/>
  <c r="UZE3" i="7"/>
  <c r="UZF3" i="7"/>
  <c r="UZG3" i="7"/>
  <c r="UZH3" i="7"/>
  <c r="UZI3" i="7"/>
  <c r="UZJ3" i="7"/>
  <c r="UZK3" i="7"/>
  <c r="UZL3" i="7"/>
  <c r="UZM3" i="7"/>
  <c r="UZN3" i="7"/>
  <c r="UZO3" i="7"/>
  <c r="UZP3" i="7"/>
  <c r="UZQ3" i="7"/>
  <c r="UZR3" i="7"/>
  <c r="UZS3" i="7"/>
  <c r="UZT3" i="7"/>
  <c r="UZU3" i="7"/>
  <c r="UZV3" i="7"/>
  <c r="UZW3" i="7"/>
  <c r="UZX3" i="7"/>
  <c r="UZY3" i="7"/>
  <c r="UZZ3" i="7"/>
  <c r="VAA3" i="7"/>
  <c r="VAB3" i="7"/>
  <c r="VAC3" i="7"/>
  <c r="VAD3" i="7"/>
  <c r="VAE3" i="7"/>
  <c r="VAF3" i="7"/>
  <c r="VAG3" i="7"/>
  <c r="VAH3" i="7"/>
  <c r="VAI3" i="7"/>
  <c r="VAJ3" i="7"/>
  <c r="VAK3" i="7"/>
  <c r="VAL3" i="7"/>
  <c r="VAM3" i="7"/>
  <c r="VAN3" i="7"/>
  <c r="VAO3" i="7"/>
  <c r="VAP3" i="7"/>
  <c r="VAQ3" i="7"/>
  <c r="VAR3" i="7"/>
  <c r="VAS3" i="7"/>
  <c r="VAT3" i="7"/>
  <c r="VAU3" i="7"/>
  <c r="VAV3" i="7"/>
  <c r="VAW3" i="7"/>
  <c r="VAX3" i="7"/>
  <c r="VAY3" i="7"/>
  <c r="VAZ3" i="7"/>
  <c r="VBA3" i="7"/>
  <c r="VBB3" i="7"/>
  <c r="VBC3" i="7"/>
  <c r="VBD3" i="7"/>
  <c r="VBE3" i="7"/>
  <c r="VBF3" i="7"/>
  <c r="VBG3" i="7"/>
  <c r="VBH3" i="7"/>
  <c r="VBI3" i="7"/>
  <c r="VBJ3" i="7"/>
  <c r="VBK3" i="7"/>
  <c r="VBL3" i="7"/>
  <c r="VBM3" i="7"/>
  <c r="VBN3" i="7"/>
  <c r="VBO3" i="7"/>
  <c r="VBP3" i="7"/>
  <c r="VBQ3" i="7"/>
  <c r="VBR3" i="7"/>
  <c r="VBS3" i="7"/>
  <c r="VBT3" i="7"/>
  <c r="VBU3" i="7"/>
  <c r="VBV3" i="7"/>
  <c r="VBW3" i="7"/>
  <c r="VBX3" i="7"/>
  <c r="VBY3" i="7"/>
  <c r="VBZ3" i="7"/>
  <c r="VCA3" i="7"/>
  <c r="VCB3" i="7"/>
  <c r="VCC3" i="7"/>
  <c r="VCD3" i="7"/>
  <c r="VCE3" i="7"/>
  <c r="VCF3" i="7"/>
  <c r="VCG3" i="7"/>
  <c r="VCH3" i="7"/>
  <c r="VCI3" i="7"/>
  <c r="VCJ3" i="7"/>
  <c r="VCK3" i="7"/>
  <c r="VCL3" i="7"/>
  <c r="VCM3" i="7"/>
  <c r="VCN3" i="7"/>
  <c r="VCO3" i="7"/>
  <c r="VCP3" i="7"/>
  <c r="VCQ3" i="7"/>
  <c r="VCR3" i="7"/>
  <c r="VCS3" i="7"/>
  <c r="VCT3" i="7"/>
  <c r="VCU3" i="7"/>
  <c r="VCV3" i="7"/>
  <c r="VCW3" i="7"/>
  <c r="VCX3" i="7"/>
  <c r="VCY3" i="7"/>
  <c r="VCZ3" i="7"/>
  <c r="VDA3" i="7"/>
  <c r="VDB3" i="7"/>
  <c r="VDC3" i="7"/>
  <c r="VDD3" i="7"/>
  <c r="VDE3" i="7"/>
  <c r="VDF3" i="7"/>
  <c r="VDG3" i="7"/>
  <c r="VDH3" i="7"/>
  <c r="VDI3" i="7"/>
  <c r="VDJ3" i="7"/>
  <c r="VDK3" i="7"/>
  <c r="VDL3" i="7"/>
  <c r="VDM3" i="7"/>
  <c r="VDN3" i="7"/>
  <c r="VDO3" i="7"/>
  <c r="VDP3" i="7"/>
  <c r="VDQ3" i="7"/>
  <c r="VDR3" i="7"/>
  <c r="VDS3" i="7"/>
  <c r="VDT3" i="7"/>
  <c r="VDU3" i="7"/>
  <c r="VDV3" i="7"/>
  <c r="VDW3" i="7"/>
  <c r="VDX3" i="7"/>
  <c r="VDY3" i="7"/>
  <c r="VDZ3" i="7"/>
  <c r="VEA3" i="7"/>
  <c r="VEB3" i="7"/>
  <c r="VEC3" i="7"/>
  <c r="VED3" i="7"/>
  <c r="VEE3" i="7"/>
  <c r="VEF3" i="7"/>
  <c r="VEG3" i="7"/>
  <c r="VEH3" i="7"/>
  <c r="VEI3" i="7"/>
  <c r="VEJ3" i="7"/>
  <c r="VEK3" i="7"/>
  <c r="VEL3" i="7"/>
  <c r="VEM3" i="7"/>
  <c r="VEN3" i="7"/>
  <c r="VEO3" i="7"/>
  <c r="VEP3" i="7"/>
  <c r="VEQ3" i="7"/>
  <c r="VER3" i="7"/>
  <c r="VES3" i="7"/>
  <c r="VET3" i="7"/>
  <c r="VEU3" i="7"/>
  <c r="VEV3" i="7"/>
  <c r="VEW3" i="7"/>
  <c r="VEX3" i="7"/>
  <c r="VEY3" i="7"/>
  <c r="VEZ3" i="7"/>
  <c r="VFA3" i="7"/>
  <c r="VFB3" i="7"/>
  <c r="VFC3" i="7"/>
  <c r="VFD3" i="7"/>
  <c r="VFE3" i="7"/>
  <c r="VFF3" i="7"/>
  <c r="VFG3" i="7"/>
  <c r="VFH3" i="7"/>
  <c r="VFI3" i="7"/>
  <c r="VFJ3" i="7"/>
  <c r="VFK3" i="7"/>
  <c r="VFL3" i="7"/>
  <c r="VFM3" i="7"/>
  <c r="VFN3" i="7"/>
  <c r="VFO3" i="7"/>
  <c r="VFP3" i="7"/>
  <c r="VFQ3" i="7"/>
  <c r="VFR3" i="7"/>
  <c r="VFS3" i="7"/>
  <c r="VFT3" i="7"/>
  <c r="VFU3" i="7"/>
  <c r="VFV3" i="7"/>
  <c r="VFW3" i="7"/>
  <c r="VFX3" i="7"/>
  <c r="VFY3" i="7"/>
  <c r="VFZ3" i="7"/>
  <c r="VGA3" i="7"/>
  <c r="VGB3" i="7"/>
  <c r="VGC3" i="7"/>
  <c r="VGD3" i="7"/>
  <c r="VGE3" i="7"/>
  <c r="VGF3" i="7"/>
  <c r="VGG3" i="7"/>
  <c r="VGH3" i="7"/>
  <c r="VGI3" i="7"/>
  <c r="VGJ3" i="7"/>
  <c r="VGK3" i="7"/>
  <c r="VGL3" i="7"/>
  <c r="VGM3" i="7"/>
  <c r="VGN3" i="7"/>
  <c r="VGO3" i="7"/>
  <c r="VGP3" i="7"/>
  <c r="VGQ3" i="7"/>
  <c r="VGR3" i="7"/>
  <c r="VGS3" i="7"/>
  <c r="VGT3" i="7"/>
  <c r="VGU3" i="7"/>
  <c r="VGV3" i="7"/>
  <c r="VGW3" i="7"/>
  <c r="VGX3" i="7"/>
  <c r="VGY3" i="7"/>
  <c r="VGZ3" i="7"/>
  <c r="VHA3" i="7"/>
  <c r="VHB3" i="7"/>
  <c r="VHC3" i="7"/>
  <c r="VHD3" i="7"/>
  <c r="VHE3" i="7"/>
  <c r="VHF3" i="7"/>
  <c r="VHG3" i="7"/>
  <c r="VHH3" i="7"/>
  <c r="VHI3" i="7"/>
  <c r="VHJ3" i="7"/>
  <c r="VHK3" i="7"/>
  <c r="VHL3" i="7"/>
  <c r="VHM3" i="7"/>
  <c r="VHN3" i="7"/>
  <c r="VHO3" i="7"/>
  <c r="VHP3" i="7"/>
  <c r="VHQ3" i="7"/>
  <c r="VHR3" i="7"/>
  <c r="VHS3" i="7"/>
  <c r="VHT3" i="7"/>
  <c r="VHU3" i="7"/>
  <c r="VHV3" i="7"/>
  <c r="VHW3" i="7"/>
  <c r="VHX3" i="7"/>
  <c r="VHY3" i="7"/>
  <c r="VHZ3" i="7"/>
  <c r="VIA3" i="7"/>
  <c r="VIB3" i="7"/>
  <c r="VIC3" i="7"/>
  <c r="VID3" i="7"/>
  <c r="VIE3" i="7"/>
  <c r="VIF3" i="7"/>
  <c r="VIG3" i="7"/>
  <c r="VIH3" i="7"/>
  <c r="VII3" i="7"/>
  <c r="VIJ3" i="7"/>
  <c r="VIK3" i="7"/>
  <c r="VIL3" i="7"/>
  <c r="VIM3" i="7"/>
  <c r="VIN3" i="7"/>
  <c r="VIO3" i="7"/>
  <c r="VIP3" i="7"/>
  <c r="VIQ3" i="7"/>
  <c r="VIR3" i="7"/>
  <c r="VIS3" i="7"/>
  <c r="VIT3" i="7"/>
  <c r="VIU3" i="7"/>
  <c r="VIV3" i="7"/>
  <c r="VIW3" i="7"/>
  <c r="VIX3" i="7"/>
  <c r="VIY3" i="7"/>
  <c r="VIZ3" i="7"/>
  <c r="VJA3" i="7"/>
  <c r="VJB3" i="7"/>
  <c r="VJC3" i="7"/>
  <c r="VJD3" i="7"/>
  <c r="VJE3" i="7"/>
  <c r="VJF3" i="7"/>
  <c r="VJG3" i="7"/>
  <c r="VJH3" i="7"/>
  <c r="VJI3" i="7"/>
  <c r="VJJ3" i="7"/>
  <c r="VJK3" i="7"/>
  <c r="VJL3" i="7"/>
  <c r="VJM3" i="7"/>
  <c r="VJN3" i="7"/>
  <c r="VJO3" i="7"/>
  <c r="VJP3" i="7"/>
  <c r="VJQ3" i="7"/>
  <c r="VJR3" i="7"/>
  <c r="VJS3" i="7"/>
  <c r="VJT3" i="7"/>
  <c r="VJU3" i="7"/>
  <c r="VJV3" i="7"/>
  <c r="VJW3" i="7"/>
  <c r="VJX3" i="7"/>
  <c r="VJY3" i="7"/>
  <c r="VJZ3" i="7"/>
  <c r="VKA3" i="7"/>
  <c r="VKB3" i="7"/>
  <c r="VKC3" i="7"/>
  <c r="VKD3" i="7"/>
  <c r="VKE3" i="7"/>
  <c r="VKF3" i="7"/>
  <c r="VKG3" i="7"/>
  <c r="VKH3" i="7"/>
  <c r="VKI3" i="7"/>
  <c r="VKJ3" i="7"/>
  <c r="VKK3" i="7"/>
  <c r="VKL3" i="7"/>
  <c r="VKM3" i="7"/>
  <c r="VKN3" i="7"/>
  <c r="VKO3" i="7"/>
  <c r="VKP3" i="7"/>
  <c r="VKQ3" i="7"/>
  <c r="VKR3" i="7"/>
  <c r="VKS3" i="7"/>
  <c r="VKT3" i="7"/>
  <c r="VKU3" i="7"/>
  <c r="VKV3" i="7"/>
  <c r="VKW3" i="7"/>
  <c r="VKX3" i="7"/>
  <c r="VKY3" i="7"/>
  <c r="VKZ3" i="7"/>
  <c r="VLA3" i="7"/>
  <c r="VLB3" i="7"/>
  <c r="VLC3" i="7"/>
  <c r="VLD3" i="7"/>
  <c r="VLE3" i="7"/>
  <c r="VLF3" i="7"/>
  <c r="VLG3" i="7"/>
  <c r="VLH3" i="7"/>
  <c r="VLI3" i="7"/>
  <c r="VLJ3" i="7"/>
  <c r="VLK3" i="7"/>
  <c r="VLL3" i="7"/>
  <c r="VLM3" i="7"/>
  <c r="VLN3" i="7"/>
  <c r="VLO3" i="7"/>
  <c r="VLP3" i="7"/>
  <c r="VLQ3" i="7"/>
  <c r="VLR3" i="7"/>
  <c r="VLS3" i="7"/>
  <c r="VLT3" i="7"/>
  <c r="VLU3" i="7"/>
  <c r="VLV3" i="7"/>
  <c r="VLW3" i="7"/>
  <c r="VLX3" i="7"/>
  <c r="VLY3" i="7"/>
  <c r="VLZ3" i="7"/>
  <c r="VMA3" i="7"/>
  <c r="VMB3" i="7"/>
  <c r="VMC3" i="7"/>
  <c r="VMD3" i="7"/>
  <c r="VME3" i="7"/>
  <c r="VMF3" i="7"/>
  <c r="VMG3" i="7"/>
  <c r="VMH3" i="7"/>
  <c r="VMI3" i="7"/>
  <c r="VMJ3" i="7"/>
  <c r="VMK3" i="7"/>
  <c r="VML3" i="7"/>
  <c r="VMM3" i="7"/>
  <c r="VMN3" i="7"/>
  <c r="VMO3" i="7"/>
  <c r="VMP3" i="7"/>
  <c r="VMQ3" i="7"/>
  <c r="VMR3" i="7"/>
  <c r="VMS3" i="7"/>
  <c r="VMT3" i="7"/>
  <c r="VMU3" i="7"/>
  <c r="VMV3" i="7"/>
  <c r="VMW3" i="7"/>
  <c r="VMX3" i="7"/>
  <c r="VMY3" i="7"/>
  <c r="VMZ3" i="7"/>
  <c r="VNA3" i="7"/>
  <c r="VNB3" i="7"/>
  <c r="VNC3" i="7"/>
  <c r="VND3" i="7"/>
  <c r="VNE3" i="7"/>
  <c r="VNF3" i="7"/>
  <c r="VNG3" i="7"/>
  <c r="VNH3" i="7"/>
  <c r="VNI3" i="7"/>
  <c r="VNJ3" i="7"/>
  <c r="VNK3" i="7"/>
  <c r="VNL3" i="7"/>
  <c r="VNM3" i="7"/>
  <c r="VNN3" i="7"/>
  <c r="VNO3" i="7"/>
  <c r="VNP3" i="7"/>
  <c r="VNQ3" i="7"/>
  <c r="VNR3" i="7"/>
  <c r="VNS3" i="7"/>
  <c r="VNT3" i="7"/>
  <c r="VNU3" i="7"/>
  <c r="VNV3" i="7"/>
  <c r="VNW3" i="7"/>
  <c r="VNX3" i="7"/>
  <c r="VNY3" i="7"/>
  <c r="VNZ3" i="7"/>
  <c r="VOA3" i="7"/>
  <c r="VOB3" i="7"/>
  <c r="VOC3" i="7"/>
  <c r="VOD3" i="7"/>
  <c r="VOE3" i="7"/>
  <c r="VOF3" i="7"/>
  <c r="VOG3" i="7"/>
  <c r="VOH3" i="7"/>
  <c r="VOI3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AZ1" i="7"/>
  <c r="BA1" i="7"/>
  <c r="BB1" i="7"/>
  <c r="BC1" i="7"/>
  <c r="BD1" i="7"/>
  <c r="BE1" i="7"/>
  <c r="BF1" i="7"/>
  <c r="BG1" i="7"/>
  <c r="BH1" i="7"/>
  <c r="BI1" i="7"/>
  <c r="BJ1" i="7"/>
  <c r="BK1" i="7"/>
  <c r="BL1" i="7"/>
  <c r="BM1" i="7"/>
  <c r="BN1" i="7"/>
  <c r="BO1" i="7"/>
  <c r="BP1" i="7"/>
  <c r="BQ1" i="7"/>
  <c r="BR1" i="7"/>
  <c r="BS1" i="7"/>
  <c r="BT1" i="7"/>
  <c r="BU1" i="7"/>
  <c r="BV1" i="7"/>
  <c r="BW1" i="7"/>
  <c r="BX1" i="7"/>
  <c r="BY1" i="7"/>
  <c r="BZ1" i="7"/>
  <c r="CA1" i="7"/>
  <c r="CB1" i="7"/>
  <c r="CC1" i="7"/>
  <c r="CD1" i="7"/>
  <c r="CE1" i="7"/>
  <c r="CF1" i="7"/>
  <c r="CG1" i="7"/>
  <c r="CH1" i="7"/>
  <c r="CI1" i="7"/>
  <c r="CJ1" i="7"/>
  <c r="CK1" i="7"/>
  <c r="CL1" i="7"/>
  <c r="CM1" i="7"/>
  <c r="CN1" i="7"/>
  <c r="CO1" i="7"/>
  <c r="CP1" i="7"/>
  <c r="CQ1" i="7"/>
  <c r="CR1" i="7"/>
  <c r="CS1" i="7"/>
  <c r="CT1" i="7"/>
  <c r="CU1" i="7"/>
  <c r="CV1" i="7"/>
  <c r="CW1" i="7"/>
  <c r="CX1" i="7"/>
  <c r="CY1" i="7"/>
  <c r="CZ1" i="7"/>
  <c r="DA1" i="7"/>
  <c r="DB1" i="7"/>
  <c r="DC1" i="7"/>
  <c r="DD1" i="7"/>
  <c r="DE1" i="7"/>
  <c r="DF1" i="7"/>
  <c r="DG1" i="7"/>
  <c r="DH1" i="7"/>
  <c r="DI1" i="7"/>
  <c r="DJ1" i="7"/>
  <c r="DK1" i="7"/>
  <c r="DL1" i="7"/>
  <c r="DM1" i="7"/>
  <c r="DN1" i="7"/>
  <c r="DO1" i="7"/>
  <c r="DP1" i="7"/>
  <c r="DQ1" i="7"/>
  <c r="DR1" i="7"/>
  <c r="DS1" i="7"/>
  <c r="DT1" i="7"/>
  <c r="DU1" i="7"/>
  <c r="DV1" i="7"/>
  <c r="DW1" i="7"/>
  <c r="DX1" i="7"/>
  <c r="DY1" i="7"/>
  <c r="DZ1" i="7"/>
  <c r="EA1" i="7"/>
  <c r="EB1" i="7"/>
  <c r="EC1" i="7"/>
  <c r="ED1" i="7"/>
  <c r="EE1" i="7"/>
  <c r="EF1" i="7"/>
  <c r="EG1" i="7"/>
  <c r="EH1" i="7"/>
  <c r="EI1" i="7"/>
  <c r="EJ1" i="7"/>
  <c r="EK1" i="7"/>
  <c r="EL1" i="7"/>
  <c r="EM1" i="7"/>
  <c r="EN1" i="7"/>
  <c r="EO1" i="7"/>
  <c r="EP1" i="7"/>
  <c r="EQ1" i="7"/>
  <c r="ER1" i="7"/>
  <c r="ES1" i="7"/>
  <c r="ET1" i="7"/>
  <c r="EU1" i="7"/>
  <c r="EV1" i="7"/>
  <c r="EW1" i="7"/>
  <c r="EX1" i="7"/>
  <c r="EY1" i="7"/>
  <c r="EZ1" i="7"/>
  <c r="FA1" i="7"/>
  <c r="FB1" i="7"/>
  <c r="FC1" i="7"/>
  <c r="FD1" i="7"/>
  <c r="FE1" i="7"/>
  <c r="FF1" i="7"/>
  <c r="FG1" i="7"/>
  <c r="FH1" i="7"/>
  <c r="FI1" i="7"/>
  <c r="FJ1" i="7"/>
  <c r="FK1" i="7"/>
  <c r="FL1" i="7"/>
  <c r="FM1" i="7"/>
  <c r="FN1" i="7"/>
  <c r="FO1" i="7"/>
  <c r="FP1" i="7"/>
  <c r="FQ1" i="7"/>
  <c r="FR1" i="7"/>
  <c r="FS1" i="7"/>
  <c r="FT1" i="7"/>
  <c r="FU1" i="7"/>
  <c r="FV1" i="7"/>
  <c r="FW1" i="7"/>
  <c r="FX1" i="7"/>
  <c r="FY1" i="7"/>
  <c r="FZ1" i="7"/>
  <c r="GA1" i="7"/>
  <c r="GB1" i="7"/>
  <c r="GC1" i="7"/>
  <c r="GD1" i="7"/>
  <c r="GE1" i="7"/>
  <c r="GF1" i="7"/>
  <c r="GG1" i="7"/>
  <c r="GH1" i="7"/>
  <c r="GI1" i="7"/>
  <c r="GJ1" i="7"/>
  <c r="GK1" i="7"/>
  <c r="GL1" i="7"/>
  <c r="GM1" i="7"/>
  <c r="GN1" i="7"/>
  <c r="GO1" i="7"/>
  <c r="GP1" i="7"/>
  <c r="GQ1" i="7"/>
  <c r="GR1" i="7"/>
  <c r="GS1" i="7"/>
  <c r="GT1" i="7"/>
  <c r="GU1" i="7"/>
  <c r="GV1" i="7"/>
  <c r="GW1" i="7"/>
  <c r="GX1" i="7"/>
  <c r="GY1" i="7"/>
  <c r="GZ1" i="7"/>
  <c r="HA1" i="7"/>
  <c r="HB1" i="7"/>
  <c r="HC1" i="7"/>
  <c r="HD1" i="7"/>
  <c r="HE1" i="7"/>
  <c r="HF1" i="7"/>
  <c r="HG1" i="7"/>
  <c r="HH1" i="7"/>
  <c r="HI1" i="7"/>
  <c r="HJ1" i="7"/>
  <c r="HK1" i="7"/>
  <c r="HL1" i="7"/>
  <c r="HM1" i="7"/>
  <c r="HN1" i="7"/>
  <c r="HO1" i="7"/>
  <c r="HP1" i="7"/>
  <c r="HQ1" i="7"/>
  <c r="HR1" i="7"/>
  <c r="HS1" i="7"/>
  <c r="HT1" i="7"/>
  <c r="HU1" i="7"/>
  <c r="HV1" i="7"/>
  <c r="HW1" i="7"/>
  <c r="HX1" i="7"/>
  <c r="HY1" i="7"/>
  <c r="HZ1" i="7"/>
  <c r="IA1" i="7"/>
  <c r="IB1" i="7"/>
  <c r="IC1" i="7"/>
  <c r="ID1" i="7"/>
  <c r="IE1" i="7"/>
  <c r="IF1" i="7"/>
  <c r="IG1" i="7"/>
  <c r="IH1" i="7"/>
  <c r="II1" i="7"/>
  <c r="IJ1" i="7"/>
  <c r="IK1" i="7"/>
  <c r="IL1" i="7"/>
  <c r="IM1" i="7"/>
  <c r="IN1" i="7"/>
  <c r="IO1" i="7"/>
  <c r="IP1" i="7"/>
  <c r="IQ1" i="7"/>
  <c r="IR1" i="7"/>
  <c r="IS1" i="7"/>
  <c r="IT1" i="7"/>
  <c r="IU1" i="7"/>
  <c r="IV1" i="7"/>
  <c r="IW1" i="7"/>
  <c r="IX1" i="7"/>
  <c r="IY1" i="7"/>
  <c r="IZ1" i="7"/>
  <c r="JA1" i="7"/>
  <c r="JB1" i="7"/>
  <c r="JC1" i="7"/>
  <c r="JD1" i="7"/>
  <c r="JE1" i="7"/>
  <c r="JF1" i="7"/>
  <c r="JG1" i="7"/>
  <c r="JH1" i="7"/>
  <c r="JI1" i="7"/>
  <c r="JJ1" i="7"/>
  <c r="JK1" i="7"/>
  <c r="JL1" i="7"/>
  <c r="JM1" i="7"/>
  <c r="JN1" i="7"/>
  <c r="JO1" i="7"/>
  <c r="JP1" i="7"/>
  <c r="JQ1" i="7"/>
  <c r="JR1" i="7"/>
  <c r="JS1" i="7"/>
  <c r="JT1" i="7"/>
  <c r="JU1" i="7"/>
  <c r="JV1" i="7"/>
  <c r="JW1" i="7"/>
  <c r="JX1" i="7"/>
  <c r="JY1" i="7"/>
  <c r="JZ1" i="7"/>
  <c r="KA1" i="7"/>
  <c r="KB1" i="7"/>
  <c r="KC1" i="7"/>
  <c r="KD1" i="7"/>
  <c r="KE1" i="7"/>
  <c r="KF1" i="7"/>
  <c r="KG1" i="7"/>
  <c r="KH1" i="7"/>
  <c r="KI1" i="7"/>
  <c r="KJ1" i="7"/>
  <c r="KK1" i="7"/>
  <c r="KL1" i="7"/>
  <c r="KM1" i="7"/>
  <c r="KN1" i="7"/>
  <c r="KO1" i="7"/>
  <c r="KP1" i="7"/>
  <c r="KQ1" i="7"/>
  <c r="KR1" i="7"/>
  <c r="KS1" i="7"/>
  <c r="KT1" i="7"/>
  <c r="KU1" i="7"/>
  <c r="KV1" i="7"/>
  <c r="KW1" i="7"/>
  <c r="KX1" i="7"/>
  <c r="KY1" i="7"/>
  <c r="KZ1" i="7"/>
  <c r="LA1" i="7"/>
  <c r="LB1" i="7"/>
  <c r="LC1" i="7"/>
  <c r="LD1" i="7"/>
  <c r="LE1" i="7"/>
  <c r="LF1" i="7"/>
  <c r="LG1" i="7"/>
  <c r="LH1" i="7"/>
  <c r="LI1" i="7"/>
  <c r="LJ1" i="7"/>
  <c r="LK1" i="7"/>
  <c r="LL1" i="7"/>
  <c r="LM1" i="7"/>
  <c r="LN1" i="7"/>
  <c r="LO1" i="7"/>
  <c r="LP1" i="7"/>
  <c r="LQ1" i="7"/>
  <c r="LR1" i="7"/>
  <c r="LS1" i="7"/>
  <c r="LT1" i="7"/>
  <c r="LU1" i="7"/>
  <c r="LV1" i="7"/>
  <c r="LW1" i="7"/>
  <c r="LX1" i="7"/>
  <c r="LY1" i="7"/>
  <c r="LZ1" i="7"/>
  <c r="MA1" i="7"/>
  <c r="MB1" i="7"/>
  <c r="MC1" i="7"/>
  <c r="MD1" i="7"/>
  <c r="ME1" i="7"/>
  <c r="MF1" i="7"/>
  <c r="MG1" i="7"/>
  <c r="MH1" i="7"/>
  <c r="MI1" i="7"/>
  <c r="MJ1" i="7"/>
  <c r="MK1" i="7"/>
  <c r="ML1" i="7"/>
  <c r="MM1" i="7"/>
  <c r="MN1" i="7"/>
  <c r="MO1" i="7"/>
  <c r="MP1" i="7"/>
  <c r="MQ1" i="7"/>
  <c r="MR1" i="7"/>
  <c r="MS1" i="7"/>
  <c r="MT1" i="7"/>
  <c r="MU1" i="7"/>
  <c r="MV1" i="7"/>
  <c r="MW1" i="7"/>
  <c r="MX1" i="7"/>
  <c r="MY1" i="7"/>
  <c r="MZ1" i="7"/>
  <c r="NA1" i="7"/>
  <c r="NB1" i="7"/>
  <c r="NC1" i="7"/>
  <c r="ND1" i="7"/>
  <c r="NE1" i="7"/>
  <c r="NF1" i="7"/>
  <c r="NG1" i="7"/>
  <c r="NH1" i="7"/>
  <c r="NI1" i="7"/>
  <c r="NJ1" i="7"/>
  <c r="NK1" i="7"/>
  <c r="NL1" i="7"/>
  <c r="NM1" i="7"/>
  <c r="NN1" i="7"/>
  <c r="NO1" i="7"/>
  <c r="NP1" i="7"/>
  <c r="NQ1" i="7"/>
  <c r="NR1" i="7"/>
  <c r="NS1" i="7"/>
  <c r="NT1" i="7"/>
  <c r="NU1" i="7"/>
  <c r="NV1" i="7"/>
  <c r="NW1" i="7"/>
  <c r="NX1" i="7"/>
  <c r="NY1" i="7"/>
  <c r="NZ1" i="7"/>
  <c r="OA1" i="7"/>
  <c r="OB1" i="7"/>
  <c r="OC1" i="7"/>
  <c r="OD1" i="7"/>
  <c r="OE1" i="7"/>
  <c r="OF1" i="7"/>
  <c r="OG1" i="7"/>
  <c r="OH1" i="7"/>
  <c r="OI1" i="7"/>
  <c r="OJ1" i="7"/>
  <c r="OK1" i="7"/>
  <c r="OL1" i="7"/>
  <c r="OM1" i="7"/>
  <c r="ON1" i="7"/>
  <c r="OO1" i="7"/>
  <c r="OP1" i="7"/>
  <c r="OQ1" i="7"/>
  <c r="OR1" i="7"/>
  <c r="OS1" i="7"/>
  <c r="OT1" i="7"/>
  <c r="OU1" i="7"/>
  <c r="OV1" i="7"/>
  <c r="OW1" i="7"/>
  <c r="OX1" i="7"/>
  <c r="OY1" i="7"/>
  <c r="OZ1" i="7"/>
  <c r="PA1" i="7"/>
  <c r="PB1" i="7"/>
  <c r="PC1" i="7"/>
  <c r="PD1" i="7"/>
  <c r="PE1" i="7"/>
  <c r="PF1" i="7"/>
  <c r="PG1" i="7"/>
  <c r="PH1" i="7"/>
  <c r="PI1" i="7"/>
  <c r="PJ1" i="7"/>
  <c r="PK1" i="7"/>
  <c r="PL1" i="7"/>
  <c r="PM1" i="7"/>
  <c r="PN1" i="7"/>
  <c r="PO1" i="7"/>
  <c r="PP1" i="7"/>
  <c r="PQ1" i="7"/>
  <c r="PR1" i="7"/>
  <c r="PS1" i="7"/>
  <c r="PT1" i="7"/>
  <c r="PU1" i="7"/>
  <c r="PV1" i="7"/>
  <c r="PW1" i="7"/>
  <c r="PX1" i="7"/>
  <c r="PY1" i="7"/>
  <c r="PZ1" i="7"/>
  <c r="QA1" i="7"/>
  <c r="QB1" i="7"/>
  <c r="QC1" i="7"/>
  <c r="QD1" i="7"/>
  <c r="QE1" i="7"/>
  <c r="QF1" i="7"/>
  <c r="QG1" i="7"/>
  <c r="QH1" i="7"/>
  <c r="QI1" i="7"/>
  <c r="QJ1" i="7"/>
  <c r="QK1" i="7"/>
  <c r="QL1" i="7"/>
  <c r="QM1" i="7"/>
  <c r="QN1" i="7"/>
  <c r="QO1" i="7"/>
  <c r="QP1" i="7"/>
  <c r="QQ1" i="7"/>
  <c r="QR1" i="7"/>
  <c r="QS1" i="7"/>
  <c r="QT1" i="7"/>
  <c r="QU1" i="7"/>
  <c r="QV1" i="7"/>
  <c r="QW1" i="7"/>
  <c r="QX1" i="7"/>
  <c r="QY1" i="7"/>
  <c r="QZ1" i="7"/>
  <c r="RA1" i="7"/>
  <c r="RB1" i="7"/>
  <c r="RC1" i="7"/>
  <c r="RD1" i="7"/>
  <c r="RE1" i="7"/>
  <c r="RF1" i="7"/>
  <c r="RG1" i="7"/>
  <c r="RH1" i="7"/>
  <c r="RI1" i="7"/>
  <c r="RJ1" i="7"/>
  <c r="RK1" i="7"/>
  <c r="RL1" i="7"/>
  <c r="RM1" i="7"/>
  <c r="RN1" i="7"/>
  <c r="RO1" i="7"/>
  <c r="RP1" i="7"/>
  <c r="RQ1" i="7"/>
  <c r="RR1" i="7"/>
  <c r="RS1" i="7"/>
  <c r="RT1" i="7"/>
  <c r="RU1" i="7"/>
  <c r="RV1" i="7"/>
  <c r="RW1" i="7"/>
  <c r="RX1" i="7"/>
  <c r="RY1" i="7"/>
  <c r="RZ1" i="7"/>
  <c r="SA1" i="7"/>
  <c r="SB1" i="7"/>
  <c r="SC1" i="7"/>
  <c r="SD1" i="7"/>
  <c r="SE1" i="7"/>
  <c r="SF1" i="7"/>
  <c r="SG1" i="7"/>
  <c r="SH1" i="7"/>
  <c r="SI1" i="7"/>
  <c r="SJ1" i="7"/>
  <c r="SK1" i="7"/>
  <c r="SL1" i="7"/>
  <c r="SM1" i="7"/>
  <c r="SN1" i="7"/>
  <c r="SO1" i="7"/>
  <c r="SP1" i="7"/>
  <c r="SQ1" i="7"/>
  <c r="SR1" i="7"/>
  <c r="SS1" i="7"/>
  <c r="ST1" i="7"/>
  <c r="SU1" i="7"/>
  <c r="SV1" i="7"/>
  <c r="SW1" i="7"/>
  <c r="SX1" i="7"/>
  <c r="SY1" i="7"/>
  <c r="SZ1" i="7"/>
  <c r="TA1" i="7"/>
  <c r="TB1" i="7"/>
  <c r="TC1" i="7"/>
  <c r="TD1" i="7"/>
  <c r="TE1" i="7"/>
  <c r="TF1" i="7"/>
  <c r="TG1" i="7"/>
  <c r="TH1" i="7"/>
  <c r="TI1" i="7"/>
  <c r="TJ1" i="7"/>
  <c r="TK1" i="7"/>
  <c r="TL1" i="7"/>
  <c r="TM1" i="7"/>
  <c r="TN1" i="7"/>
  <c r="TO1" i="7"/>
  <c r="TP1" i="7"/>
  <c r="TQ1" i="7"/>
  <c r="TR1" i="7"/>
  <c r="TS1" i="7"/>
  <c r="TT1" i="7"/>
  <c r="TU1" i="7"/>
  <c r="TV1" i="7"/>
  <c r="TW1" i="7"/>
  <c r="TX1" i="7"/>
  <c r="TY1" i="7"/>
  <c r="TZ1" i="7"/>
  <c r="UA1" i="7"/>
  <c r="UB1" i="7"/>
  <c r="UC1" i="7"/>
  <c r="UD1" i="7"/>
  <c r="UE1" i="7"/>
  <c r="UF1" i="7"/>
  <c r="UG1" i="7"/>
  <c r="UH1" i="7"/>
  <c r="UI1" i="7"/>
  <c r="UJ1" i="7"/>
  <c r="UK1" i="7"/>
  <c r="UL1" i="7"/>
  <c r="UM1" i="7"/>
  <c r="UN1" i="7"/>
  <c r="UO1" i="7"/>
  <c r="UP1" i="7"/>
  <c r="UQ1" i="7"/>
  <c r="UR1" i="7"/>
  <c r="US1" i="7"/>
  <c r="UT1" i="7"/>
  <c r="UU1" i="7"/>
  <c r="UV1" i="7"/>
  <c r="UW1" i="7"/>
  <c r="UX1" i="7"/>
  <c r="UY1" i="7"/>
  <c r="UZ1" i="7"/>
  <c r="VA1" i="7"/>
  <c r="VB1" i="7"/>
  <c r="VC1" i="7"/>
  <c r="VD1" i="7"/>
  <c r="VE1" i="7"/>
  <c r="VF1" i="7"/>
  <c r="VG1" i="7"/>
  <c r="VH1" i="7"/>
  <c r="VI1" i="7"/>
  <c r="VJ1" i="7"/>
  <c r="VK1" i="7"/>
  <c r="VL1" i="7"/>
  <c r="VM1" i="7"/>
  <c r="VN1" i="7"/>
  <c r="VO1" i="7"/>
  <c r="VP1" i="7"/>
  <c r="VQ1" i="7"/>
  <c r="VR1" i="7"/>
  <c r="VS1" i="7"/>
  <c r="VT1" i="7"/>
  <c r="VU1" i="7"/>
  <c r="VV1" i="7"/>
  <c r="VW1" i="7"/>
  <c r="VX1" i="7"/>
  <c r="VY1" i="7"/>
  <c r="VZ1" i="7"/>
  <c r="WA1" i="7"/>
  <c r="WB1" i="7"/>
  <c r="WC1" i="7"/>
  <c r="WD1" i="7"/>
  <c r="WE1" i="7"/>
  <c r="WF1" i="7"/>
  <c r="WG1" i="7"/>
  <c r="WH1" i="7"/>
  <c r="WI1" i="7"/>
  <c r="WJ1" i="7"/>
  <c r="WK1" i="7"/>
  <c r="WL1" i="7"/>
  <c r="WM1" i="7"/>
  <c r="WN1" i="7"/>
  <c r="WO1" i="7"/>
  <c r="WP1" i="7"/>
  <c r="WQ1" i="7"/>
  <c r="WR1" i="7"/>
  <c r="WS1" i="7"/>
  <c r="WT1" i="7"/>
  <c r="WU1" i="7"/>
  <c r="WV1" i="7"/>
  <c r="WW1" i="7"/>
  <c r="WX1" i="7"/>
  <c r="WY1" i="7"/>
  <c r="WZ1" i="7"/>
  <c r="XA1" i="7"/>
  <c r="XB1" i="7"/>
  <c r="XC1" i="7"/>
  <c r="XD1" i="7"/>
  <c r="XE1" i="7"/>
  <c r="XF1" i="7"/>
  <c r="XG1" i="7"/>
  <c r="XH1" i="7"/>
  <c r="XI1" i="7"/>
  <c r="XJ1" i="7"/>
  <c r="XK1" i="7"/>
  <c r="XL1" i="7"/>
  <c r="XM1" i="7"/>
  <c r="XN1" i="7"/>
  <c r="XO1" i="7"/>
  <c r="XP1" i="7"/>
  <c r="XQ1" i="7"/>
  <c r="XR1" i="7"/>
  <c r="XS1" i="7"/>
  <c r="XT1" i="7"/>
  <c r="XU1" i="7"/>
  <c r="XV1" i="7"/>
  <c r="XW1" i="7"/>
  <c r="XX1" i="7"/>
  <c r="XY1" i="7"/>
  <c r="XZ1" i="7"/>
  <c r="YA1" i="7"/>
  <c r="YB1" i="7"/>
  <c r="YC1" i="7"/>
  <c r="YD1" i="7"/>
  <c r="YE1" i="7"/>
  <c r="YF1" i="7"/>
  <c r="YG1" i="7"/>
  <c r="YH1" i="7"/>
  <c r="YI1" i="7"/>
  <c r="YJ1" i="7"/>
  <c r="YK1" i="7"/>
  <c r="YL1" i="7"/>
  <c r="YM1" i="7"/>
  <c r="YN1" i="7"/>
  <c r="YO1" i="7"/>
  <c r="YP1" i="7"/>
  <c r="YQ1" i="7"/>
  <c r="YR1" i="7"/>
  <c r="YS1" i="7"/>
  <c r="YT1" i="7"/>
  <c r="YU1" i="7"/>
  <c r="YV1" i="7"/>
  <c r="YW1" i="7"/>
  <c r="YX1" i="7"/>
  <c r="YY1" i="7"/>
  <c r="YZ1" i="7"/>
  <c r="ZA1" i="7"/>
  <c r="ZB1" i="7"/>
  <c r="ZC1" i="7"/>
  <c r="ZD1" i="7"/>
  <c r="ZE1" i="7"/>
  <c r="ZF1" i="7"/>
  <c r="ZG1" i="7"/>
  <c r="ZH1" i="7"/>
  <c r="ZI1" i="7"/>
  <c r="ZJ1" i="7"/>
  <c r="ZK1" i="7"/>
  <c r="ZL1" i="7"/>
  <c r="ZM1" i="7"/>
  <c r="ZN1" i="7"/>
  <c r="ZO1" i="7"/>
  <c r="ZP1" i="7"/>
  <c r="ZQ1" i="7"/>
  <c r="ZR1" i="7"/>
  <c r="ZS1" i="7"/>
  <c r="ZT1" i="7"/>
  <c r="ZU1" i="7"/>
  <c r="ZV1" i="7"/>
  <c r="ZW1" i="7"/>
  <c r="ZX1" i="7"/>
  <c r="ZY1" i="7"/>
  <c r="ZZ1" i="7"/>
  <c r="AAA1" i="7"/>
  <c r="AAB1" i="7"/>
  <c r="AAC1" i="7"/>
  <c r="AAD1" i="7"/>
  <c r="AAE1" i="7"/>
  <c r="AAF1" i="7"/>
  <c r="AAG1" i="7"/>
  <c r="AAH1" i="7"/>
  <c r="AAI1" i="7"/>
  <c r="AAJ1" i="7"/>
  <c r="AAK1" i="7"/>
  <c r="AAL1" i="7"/>
  <c r="AAM1" i="7"/>
  <c r="AAN1" i="7"/>
  <c r="AAO1" i="7"/>
  <c r="AAP1" i="7"/>
  <c r="AAQ1" i="7"/>
  <c r="AAR1" i="7"/>
  <c r="AAS1" i="7"/>
  <c r="AAT1" i="7"/>
  <c r="AAU1" i="7"/>
  <c r="AAV1" i="7"/>
  <c r="AAW1" i="7"/>
  <c r="AAX1" i="7"/>
  <c r="AAY1" i="7"/>
  <c r="AAZ1" i="7"/>
  <c r="ABA1" i="7"/>
  <c r="ABB1" i="7"/>
  <c r="ABC1" i="7"/>
  <c r="ABD1" i="7"/>
  <c r="ABE1" i="7"/>
  <c r="ABF1" i="7"/>
  <c r="ABG1" i="7"/>
  <c r="ABH1" i="7"/>
  <c r="ABI1" i="7"/>
  <c r="ABJ1" i="7"/>
  <c r="ABK1" i="7"/>
  <c r="ABL1" i="7"/>
  <c r="ABM1" i="7"/>
  <c r="ABN1" i="7"/>
  <c r="ABO1" i="7"/>
  <c r="ABP1" i="7"/>
  <c r="ABQ1" i="7"/>
  <c r="ABR1" i="7"/>
  <c r="ABS1" i="7"/>
  <c r="ABT1" i="7"/>
  <c r="ABU1" i="7"/>
  <c r="ABV1" i="7"/>
  <c r="ABW1" i="7"/>
  <c r="ABX1" i="7"/>
  <c r="ABY1" i="7"/>
  <c r="ABZ1" i="7"/>
  <c r="ACA1" i="7"/>
  <c r="ACB1" i="7"/>
  <c r="ACC1" i="7"/>
  <c r="ACD1" i="7"/>
  <c r="ACE1" i="7"/>
  <c r="ACF1" i="7"/>
  <c r="ACG1" i="7"/>
  <c r="ACH1" i="7"/>
  <c r="ACI1" i="7"/>
  <c r="ACJ1" i="7"/>
  <c r="ACK1" i="7"/>
  <c r="ACL1" i="7"/>
  <c r="ACM1" i="7"/>
  <c r="ACN1" i="7"/>
  <c r="ACO1" i="7"/>
  <c r="ACP1" i="7"/>
  <c r="ACQ1" i="7"/>
  <c r="ACR1" i="7"/>
  <c r="ACS1" i="7"/>
  <c r="ACT1" i="7"/>
  <c r="ACU1" i="7"/>
  <c r="ACV1" i="7"/>
  <c r="ACW1" i="7"/>
  <c r="ACX1" i="7"/>
  <c r="ACY1" i="7"/>
  <c r="ACZ1" i="7"/>
  <c r="ADA1" i="7"/>
  <c r="ADB1" i="7"/>
  <c r="ADC1" i="7"/>
  <c r="ADD1" i="7"/>
  <c r="ADE1" i="7"/>
  <c r="ADF1" i="7"/>
  <c r="ADG1" i="7"/>
  <c r="ADH1" i="7"/>
  <c r="ADI1" i="7"/>
  <c r="ADJ1" i="7"/>
  <c r="ADK1" i="7"/>
  <c r="ADL1" i="7"/>
  <c r="ADM1" i="7"/>
  <c r="ADN1" i="7"/>
  <c r="ADO1" i="7"/>
  <c r="ADP1" i="7"/>
  <c r="ADQ1" i="7"/>
  <c r="ADR1" i="7"/>
  <c r="ADS1" i="7"/>
  <c r="ADT1" i="7"/>
  <c r="ADU1" i="7"/>
  <c r="ADV1" i="7"/>
  <c r="ADW1" i="7"/>
  <c r="ADX1" i="7"/>
  <c r="ADY1" i="7"/>
  <c r="ADZ1" i="7"/>
  <c r="AEA1" i="7"/>
  <c r="AEB1" i="7"/>
  <c r="AEC1" i="7"/>
  <c r="AED1" i="7"/>
  <c r="AEE1" i="7"/>
  <c r="AEF1" i="7"/>
  <c r="AEG1" i="7"/>
  <c r="AEH1" i="7"/>
  <c r="AEI1" i="7"/>
  <c r="AEJ1" i="7"/>
  <c r="AEK1" i="7"/>
  <c r="AEL1" i="7"/>
  <c r="AEM1" i="7"/>
  <c r="AEN1" i="7"/>
  <c r="AEO1" i="7"/>
  <c r="AEP1" i="7"/>
  <c r="AEQ1" i="7"/>
  <c r="AER1" i="7"/>
  <c r="AES1" i="7"/>
  <c r="AET1" i="7"/>
  <c r="AEU1" i="7"/>
  <c r="AEV1" i="7"/>
  <c r="AEW1" i="7"/>
  <c r="AEX1" i="7"/>
  <c r="AEY1" i="7"/>
  <c r="AEZ1" i="7"/>
  <c r="AFA1" i="7"/>
  <c r="AFB1" i="7"/>
  <c r="AFC1" i="7"/>
  <c r="AFD1" i="7"/>
  <c r="AFE1" i="7"/>
  <c r="AFF1" i="7"/>
  <c r="AFG1" i="7"/>
  <c r="AFH1" i="7"/>
  <c r="AFI1" i="7"/>
  <c r="AFJ1" i="7"/>
  <c r="AFK1" i="7"/>
  <c r="AFL1" i="7"/>
  <c r="AFM1" i="7"/>
  <c r="AFN1" i="7"/>
  <c r="AFO1" i="7"/>
  <c r="AFP1" i="7"/>
  <c r="AFQ1" i="7"/>
  <c r="AFR1" i="7"/>
  <c r="AFS1" i="7"/>
  <c r="AFT1" i="7"/>
  <c r="AFU1" i="7"/>
  <c r="AFV1" i="7"/>
  <c r="AFW1" i="7"/>
  <c r="AFX1" i="7"/>
  <c r="AFY1" i="7"/>
  <c r="AFZ1" i="7"/>
  <c r="AGA1" i="7"/>
  <c r="AGB1" i="7"/>
  <c r="AGC1" i="7"/>
  <c r="AGD1" i="7"/>
  <c r="AGE1" i="7"/>
  <c r="AGF1" i="7"/>
  <c r="AGG1" i="7"/>
  <c r="AGH1" i="7"/>
  <c r="AGI1" i="7"/>
  <c r="AGJ1" i="7"/>
  <c r="AGK1" i="7"/>
  <c r="AGL1" i="7"/>
  <c r="AGM1" i="7"/>
  <c r="AGN1" i="7"/>
  <c r="AGO1" i="7"/>
  <c r="AGP1" i="7"/>
  <c r="AGQ1" i="7"/>
  <c r="AGR1" i="7"/>
  <c r="AGS1" i="7"/>
  <c r="AGT1" i="7"/>
  <c r="AGU1" i="7"/>
  <c r="AGV1" i="7"/>
  <c r="AGW1" i="7"/>
  <c r="AGX1" i="7"/>
  <c r="AGY1" i="7"/>
  <c r="AGZ1" i="7"/>
  <c r="AHA1" i="7"/>
  <c r="AHB1" i="7"/>
  <c r="AHC1" i="7"/>
  <c r="AHD1" i="7"/>
  <c r="AHE1" i="7"/>
  <c r="AHF1" i="7"/>
  <c r="AHG1" i="7"/>
  <c r="AHH1" i="7"/>
  <c r="AHI1" i="7"/>
  <c r="AHJ1" i="7"/>
  <c r="AHK1" i="7"/>
  <c r="AHL1" i="7"/>
  <c r="AHM1" i="7"/>
  <c r="AHN1" i="7"/>
  <c r="AHO1" i="7"/>
  <c r="AHP1" i="7"/>
  <c r="AHQ1" i="7"/>
  <c r="AHR1" i="7"/>
  <c r="AHS1" i="7"/>
  <c r="AHT1" i="7"/>
  <c r="AHU1" i="7"/>
  <c r="AHV1" i="7"/>
  <c r="AHW1" i="7"/>
  <c r="AHX1" i="7"/>
  <c r="AHY1" i="7"/>
  <c r="AHZ1" i="7"/>
  <c r="AIA1" i="7"/>
  <c r="AIB1" i="7"/>
  <c r="AIC1" i="7"/>
  <c r="AID1" i="7"/>
  <c r="AIE1" i="7"/>
  <c r="AIF1" i="7"/>
  <c r="AIG1" i="7"/>
  <c r="AIH1" i="7"/>
  <c r="AII1" i="7"/>
  <c r="AIJ1" i="7"/>
  <c r="AIK1" i="7"/>
  <c r="AIL1" i="7"/>
  <c r="AIM1" i="7"/>
  <c r="AIN1" i="7"/>
  <c r="AIO1" i="7"/>
  <c r="AIP1" i="7"/>
  <c r="AIQ1" i="7"/>
  <c r="AIR1" i="7"/>
  <c r="AIS1" i="7"/>
  <c r="AIT1" i="7"/>
  <c r="AIU1" i="7"/>
  <c r="AIV1" i="7"/>
  <c r="AIW1" i="7"/>
  <c r="AIX1" i="7"/>
  <c r="AIY1" i="7"/>
  <c r="AIZ1" i="7"/>
  <c r="AJA1" i="7"/>
  <c r="AJB1" i="7"/>
  <c r="AJC1" i="7"/>
  <c r="AJD1" i="7"/>
  <c r="AJE1" i="7"/>
  <c r="AJF1" i="7"/>
  <c r="AJG1" i="7"/>
  <c r="AJH1" i="7"/>
  <c r="AJI1" i="7"/>
  <c r="AJJ1" i="7"/>
  <c r="AJK1" i="7"/>
  <c r="AJL1" i="7"/>
  <c r="AJM1" i="7"/>
  <c r="AJN1" i="7"/>
  <c r="AJO1" i="7"/>
  <c r="AJP1" i="7"/>
  <c r="AJQ1" i="7"/>
  <c r="AJR1" i="7"/>
  <c r="AJS1" i="7"/>
  <c r="AJT1" i="7"/>
  <c r="AJU1" i="7"/>
  <c r="AJV1" i="7"/>
  <c r="AJW1" i="7"/>
  <c r="AJX1" i="7"/>
  <c r="AJY1" i="7"/>
  <c r="AJZ1" i="7"/>
  <c r="AKA1" i="7"/>
  <c r="AKB1" i="7"/>
  <c r="AKC1" i="7"/>
  <c r="AKD1" i="7"/>
  <c r="AKE1" i="7"/>
  <c r="AKF1" i="7"/>
  <c r="AKG1" i="7"/>
  <c r="AKH1" i="7"/>
  <c r="AKI1" i="7"/>
  <c r="AKJ1" i="7"/>
  <c r="AKK1" i="7"/>
  <c r="AKL1" i="7"/>
  <c r="AKM1" i="7"/>
  <c r="AKN1" i="7"/>
  <c r="AKO1" i="7"/>
  <c r="AKP1" i="7"/>
  <c r="AKQ1" i="7"/>
  <c r="AKR1" i="7"/>
  <c r="AKS1" i="7"/>
  <c r="AKT1" i="7"/>
  <c r="AKU1" i="7"/>
  <c r="AKV1" i="7"/>
  <c r="AKW1" i="7"/>
  <c r="AKX1" i="7"/>
  <c r="AKY1" i="7"/>
  <c r="AKZ1" i="7"/>
  <c r="ALA1" i="7"/>
  <c r="ALB1" i="7"/>
  <c r="ALC1" i="7"/>
  <c r="ALD1" i="7"/>
  <c r="ALE1" i="7"/>
  <c r="ALF1" i="7"/>
  <c r="ALG1" i="7"/>
  <c r="ALH1" i="7"/>
  <c r="ALI1" i="7"/>
  <c r="ALJ1" i="7"/>
  <c r="ALK1" i="7"/>
  <c r="ALL1" i="7"/>
  <c r="ALM1" i="7"/>
  <c r="ALN1" i="7"/>
  <c r="ALO1" i="7"/>
  <c r="ALP1" i="7"/>
  <c r="ALQ1" i="7"/>
  <c r="ALR1" i="7"/>
  <c r="ALS1" i="7"/>
  <c r="ALT1" i="7"/>
  <c r="ALU1" i="7"/>
  <c r="ALV1" i="7"/>
  <c r="ALW1" i="7"/>
  <c r="ALX1" i="7"/>
  <c r="ALY1" i="7"/>
  <c r="ALZ1" i="7"/>
  <c r="AMA1" i="7"/>
  <c r="AMB1" i="7"/>
  <c r="AMC1" i="7"/>
  <c r="AMD1" i="7"/>
  <c r="AME1" i="7"/>
  <c r="AMF1" i="7"/>
  <c r="AMG1" i="7"/>
  <c r="AMH1" i="7"/>
  <c r="AMI1" i="7"/>
  <c r="AMJ1" i="7"/>
  <c r="AMK1" i="7"/>
  <c r="AML1" i="7"/>
  <c r="AMM1" i="7"/>
  <c r="AMN1" i="7"/>
  <c r="AMO1" i="7"/>
  <c r="AMP1" i="7"/>
  <c r="AMQ1" i="7"/>
  <c r="AMR1" i="7"/>
  <c r="AMS1" i="7"/>
  <c r="AMT1" i="7"/>
  <c r="AMU1" i="7"/>
  <c r="AMV1" i="7"/>
  <c r="AMW1" i="7"/>
  <c r="AMX1" i="7"/>
  <c r="AMY1" i="7"/>
  <c r="AMZ1" i="7"/>
  <c r="ANA1" i="7"/>
  <c r="ANB1" i="7"/>
  <c r="ANC1" i="7"/>
  <c r="AND1" i="7"/>
  <c r="ANE1" i="7"/>
  <c r="ANF1" i="7"/>
  <c r="ANG1" i="7"/>
  <c r="ANH1" i="7"/>
  <c r="ANI1" i="7"/>
  <c r="ANJ1" i="7"/>
  <c r="ANK1" i="7"/>
  <c r="ANL1" i="7"/>
  <c r="ANM1" i="7"/>
  <c r="ANN1" i="7"/>
  <c r="ANO1" i="7"/>
  <c r="ANP1" i="7"/>
  <c r="ANQ1" i="7"/>
  <c r="ANR1" i="7"/>
  <c r="ANS1" i="7"/>
  <c r="ANT1" i="7"/>
  <c r="ANU1" i="7"/>
  <c r="ANV1" i="7"/>
  <c r="ANW1" i="7"/>
  <c r="ANX1" i="7"/>
  <c r="ANY1" i="7"/>
  <c r="ANZ1" i="7"/>
  <c r="AOA1" i="7"/>
  <c r="AOB1" i="7"/>
  <c r="AOC1" i="7"/>
  <c r="AOD1" i="7"/>
  <c r="AOE1" i="7"/>
  <c r="AOF1" i="7"/>
  <c r="AOG1" i="7"/>
  <c r="AOH1" i="7"/>
  <c r="AOI1" i="7"/>
  <c r="AOJ1" i="7"/>
  <c r="AOK1" i="7"/>
  <c r="AOL1" i="7"/>
  <c r="AOM1" i="7"/>
  <c r="AON1" i="7"/>
  <c r="AOO1" i="7"/>
  <c r="AOP1" i="7"/>
  <c r="AOQ1" i="7"/>
  <c r="AOR1" i="7"/>
  <c r="AOS1" i="7"/>
  <c r="AOT1" i="7"/>
  <c r="AOU1" i="7"/>
  <c r="AOV1" i="7"/>
  <c r="AOW1" i="7"/>
  <c r="AOX1" i="7"/>
  <c r="AOY1" i="7"/>
  <c r="AOZ1" i="7"/>
  <c r="APA1" i="7"/>
  <c r="APB1" i="7"/>
  <c r="APC1" i="7"/>
  <c r="APD1" i="7"/>
  <c r="APE1" i="7"/>
  <c r="APF1" i="7"/>
  <c r="APG1" i="7"/>
  <c r="APH1" i="7"/>
  <c r="API1" i="7"/>
  <c r="APJ1" i="7"/>
  <c r="APK1" i="7"/>
  <c r="APL1" i="7"/>
  <c r="APM1" i="7"/>
  <c r="APN1" i="7"/>
  <c r="APO1" i="7"/>
  <c r="APP1" i="7"/>
  <c r="APQ1" i="7"/>
  <c r="APR1" i="7"/>
  <c r="APS1" i="7"/>
  <c r="APT1" i="7"/>
  <c r="APU1" i="7"/>
  <c r="APV1" i="7"/>
  <c r="APW1" i="7"/>
  <c r="APX1" i="7"/>
  <c r="APY1" i="7"/>
  <c r="APZ1" i="7"/>
  <c r="AQA1" i="7"/>
  <c r="AQB1" i="7"/>
  <c r="AQC1" i="7"/>
  <c r="AQD1" i="7"/>
  <c r="AQE1" i="7"/>
  <c r="AQF1" i="7"/>
  <c r="AQG1" i="7"/>
  <c r="AQH1" i="7"/>
  <c r="AQI1" i="7"/>
  <c r="AQJ1" i="7"/>
  <c r="AQK1" i="7"/>
  <c r="AQL1" i="7"/>
  <c r="AQM1" i="7"/>
  <c r="AQN1" i="7"/>
  <c r="AQO1" i="7"/>
  <c r="AQP1" i="7"/>
  <c r="AQQ1" i="7"/>
  <c r="AQR1" i="7"/>
  <c r="AQS1" i="7"/>
  <c r="AQT1" i="7"/>
  <c r="AQU1" i="7"/>
  <c r="AQV1" i="7"/>
  <c r="AQW1" i="7"/>
  <c r="AQX1" i="7"/>
  <c r="AQY1" i="7"/>
  <c r="AQZ1" i="7"/>
  <c r="ARA1" i="7"/>
  <c r="ARB1" i="7"/>
  <c r="ARC1" i="7"/>
  <c r="ARD1" i="7"/>
  <c r="ARE1" i="7"/>
  <c r="ARF1" i="7"/>
  <c r="ARG1" i="7"/>
  <c r="ARH1" i="7"/>
  <c r="ARI1" i="7"/>
  <c r="ARJ1" i="7"/>
  <c r="ARK1" i="7"/>
  <c r="ARL1" i="7"/>
  <c r="ARM1" i="7"/>
  <c r="ARN1" i="7"/>
  <c r="ARO1" i="7"/>
  <c r="ARP1" i="7"/>
  <c r="ARQ1" i="7"/>
  <c r="ARR1" i="7"/>
  <c r="ARS1" i="7"/>
  <c r="ART1" i="7"/>
  <c r="ARU1" i="7"/>
  <c r="ARV1" i="7"/>
  <c r="ARW1" i="7"/>
  <c r="ARX1" i="7"/>
  <c r="ARY1" i="7"/>
  <c r="ARZ1" i="7"/>
  <c r="ASA1" i="7"/>
  <c r="ASB1" i="7"/>
  <c r="ASC1" i="7"/>
  <c r="ASD1" i="7"/>
  <c r="ASE1" i="7"/>
  <c r="ASF1" i="7"/>
  <c r="ASG1" i="7"/>
  <c r="ASH1" i="7"/>
  <c r="ASI1" i="7"/>
  <c r="ASJ1" i="7"/>
  <c r="ASK1" i="7"/>
  <c r="ASL1" i="7"/>
  <c r="ASM1" i="7"/>
  <c r="ASN1" i="7"/>
  <c r="ASO1" i="7"/>
  <c r="ASP1" i="7"/>
  <c r="ASQ1" i="7"/>
  <c r="ASR1" i="7"/>
  <c r="ASS1" i="7"/>
  <c r="AST1" i="7"/>
  <c r="ASU1" i="7"/>
  <c r="ASV1" i="7"/>
  <c r="ASW1" i="7"/>
  <c r="ASX1" i="7"/>
  <c r="ASY1" i="7"/>
  <c r="ASZ1" i="7"/>
  <c r="ATA1" i="7"/>
  <c r="ATB1" i="7"/>
  <c r="ATC1" i="7"/>
  <c r="ATD1" i="7"/>
  <c r="ATE1" i="7"/>
  <c r="ATF1" i="7"/>
  <c r="ATG1" i="7"/>
  <c r="ATH1" i="7"/>
  <c r="ATI1" i="7"/>
  <c r="ATJ1" i="7"/>
  <c r="ATK1" i="7"/>
  <c r="ATL1" i="7"/>
  <c r="ATM1" i="7"/>
  <c r="ATN1" i="7"/>
  <c r="ATO1" i="7"/>
  <c r="ATP1" i="7"/>
  <c r="ATQ1" i="7"/>
  <c r="ATR1" i="7"/>
  <c r="ATS1" i="7"/>
  <c r="ATT1" i="7"/>
  <c r="ATU1" i="7"/>
  <c r="ATV1" i="7"/>
  <c r="ATW1" i="7"/>
  <c r="ATX1" i="7"/>
  <c r="ATY1" i="7"/>
  <c r="ATZ1" i="7"/>
  <c r="AUA1" i="7"/>
  <c r="AUB1" i="7"/>
  <c r="AUC1" i="7"/>
  <c r="AUD1" i="7"/>
  <c r="AUE1" i="7"/>
  <c r="AUF1" i="7"/>
  <c r="AUG1" i="7"/>
  <c r="AUH1" i="7"/>
  <c r="AUI1" i="7"/>
  <c r="AUJ1" i="7"/>
  <c r="AUK1" i="7"/>
  <c r="AUL1" i="7"/>
  <c r="AUM1" i="7"/>
  <c r="AUN1" i="7"/>
  <c r="AUO1" i="7"/>
  <c r="AUP1" i="7"/>
  <c r="AUQ1" i="7"/>
  <c r="AUR1" i="7"/>
  <c r="AUS1" i="7"/>
  <c r="AUT1" i="7"/>
  <c r="AUU1" i="7"/>
  <c r="AUV1" i="7"/>
  <c r="AUW1" i="7"/>
  <c r="AUX1" i="7"/>
  <c r="AUY1" i="7"/>
  <c r="AUZ1" i="7"/>
  <c r="AVA1" i="7"/>
  <c r="AVB1" i="7"/>
  <c r="AVC1" i="7"/>
  <c r="AVD1" i="7"/>
  <c r="AVE1" i="7"/>
  <c r="AVF1" i="7"/>
  <c r="AVG1" i="7"/>
  <c r="AVH1" i="7"/>
  <c r="AVI1" i="7"/>
  <c r="AVJ1" i="7"/>
  <c r="AVK1" i="7"/>
  <c r="AVL1" i="7"/>
  <c r="AVM1" i="7"/>
  <c r="AVN1" i="7"/>
  <c r="AVO1" i="7"/>
  <c r="AVP1" i="7"/>
  <c r="AVQ1" i="7"/>
  <c r="AVR1" i="7"/>
  <c r="AVS1" i="7"/>
  <c r="AVT1" i="7"/>
  <c r="AVU1" i="7"/>
  <c r="AVV1" i="7"/>
  <c r="AVW1" i="7"/>
  <c r="AVX1" i="7"/>
  <c r="AVY1" i="7"/>
  <c r="AVZ1" i="7"/>
  <c r="AWA1" i="7"/>
  <c r="AWB1" i="7"/>
  <c r="AWC1" i="7"/>
  <c r="AWD1" i="7"/>
  <c r="AWE1" i="7"/>
  <c r="AWF1" i="7"/>
  <c r="AWG1" i="7"/>
  <c r="AWH1" i="7"/>
  <c r="AWI1" i="7"/>
  <c r="AWJ1" i="7"/>
  <c r="AWK1" i="7"/>
  <c r="AWL1" i="7"/>
  <c r="AWM1" i="7"/>
  <c r="AWN1" i="7"/>
  <c r="AWO1" i="7"/>
  <c r="AWP1" i="7"/>
  <c r="AWQ1" i="7"/>
  <c r="AWR1" i="7"/>
  <c r="AWS1" i="7"/>
  <c r="AWT1" i="7"/>
  <c r="AWU1" i="7"/>
  <c r="AWV1" i="7"/>
  <c r="AWW1" i="7"/>
  <c r="AWX1" i="7"/>
  <c r="AWY1" i="7"/>
  <c r="AWZ1" i="7"/>
  <c r="AXA1" i="7"/>
  <c r="AXB1" i="7"/>
  <c r="AXC1" i="7"/>
  <c r="AXD1" i="7"/>
  <c r="AXE1" i="7"/>
  <c r="AXF1" i="7"/>
  <c r="AXG1" i="7"/>
  <c r="AXH1" i="7"/>
  <c r="AXI1" i="7"/>
  <c r="AXJ1" i="7"/>
  <c r="AXK1" i="7"/>
  <c r="AXL1" i="7"/>
  <c r="AXM1" i="7"/>
  <c r="AXN1" i="7"/>
  <c r="AXO1" i="7"/>
  <c r="AXP1" i="7"/>
  <c r="AXQ1" i="7"/>
  <c r="AXR1" i="7"/>
  <c r="AXS1" i="7"/>
  <c r="AXT1" i="7"/>
  <c r="AXU1" i="7"/>
  <c r="AXV1" i="7"/>
  <c r="AXW1" i="7"/>
  <c r="AXX1" i="7"/>
  <c r="AXY1" i="7"/>
  <c r="AXZ1" i="7"/>
  <c r="AYA1" i="7"/>
  <c r="AYB1" i="7"/>
  <c r="AYC1" i="7"/>
  <c r="AYD1" i="7"/>
  <c r="AYE1" i="7"/>
  <c r="AYF1" i="7"/>
  <c r="AYG1" i="7"/>
  <c r="AYH1" i="7"/>
  <c r="AYI1" i="7"/>
  <c r="AYJ1" i="7"/>
  <c r="AYK1" i="7"/>
  <c r="AYL1" i="7"/>
  <c r="AYM1" i="7"/>
  <c r="AYN1" i="7"/>
  <c r="AYO1" i="7"/>
  <c r="AYP1" i="7"/>
  <c r="AYQ1" i="7"/>
  <c r="AYR1" i="7"/>
  <c r="AYS1" i="7"/>
  <c r="AYT1" i="7"/>
  <c r="AYU1" i="7"/>
  <c r="AYV1" i="7"/>
  <c r="AYW1" i="7"/>
  <c r="AYX1" i="7"/>
  <c r="AYY1" i="7"/>
  <c r="AYZ1" i="7"/>
  <c r="AZA1" i="7"/>
  <c r="AZB1" i="7"/>
  <c r="AZC1" i="7"/>
  <c r="AZD1" i="7"/>
  <c r="AZE1" i="7"/>
  <c r="AZF1" i="7"/>
  <c r="AZG1" i="7"/>
  <c r="AZH1" i="7"/>
  <c r="AZI1" i="7"/>
  <c r="AZJ1" i="7"/>
  <c r="AZK1" i="7"/>
  <c r="AZL1" i="7"/>
  <c r="AZM1" i="7"/>
  <c r="AZN1" i="7"/>
  <c r="AZO1" i="7"/>
  <c r="AZP1" i="7"/>
  <c r="AZQ1" i="7"/>
  <c r="AZR1" i="7"/>
  <c r="AZS1" i="7"/>
  <c r="AZT1" i="7"/>
  <c r="AZU1" i="7"/>
  <c r="AZV1" i="7"/>
  <c r="AZW1" i="7"/>
  <c r="AZX1" i="7"/>
  <c r="AZY1" i="7"/>
  <c r="AZZ1" i="7"/>
  <c r="BAA1" i="7"/>
  <c r="BAB1" i="7"/>
  <c r="BAC1" i="7"/>
  <c r="BAD1" i="7"/>
  <c r="BAE1" i="7"/>
  <c r="BAF1" i="7"/>
  <c r="BAG1" i="7"/>
  <c r="BAH1" i="7"/>
  <c r="BAI1" i="7"/>
  <c r="BAJ1" i="7"/>
  <c r="BAK1" i="7"/>
  <c r="BAL1" i="7"/>
  <c r="BAM1" i="7"/>
  <c r="BAN1" i="7"/>
  <c r="BAO1" i="7"/>
  <c r="BAP1" i="7"/>
  <c r="BAQ1" i="7"/>
  <c r="BAR1" i="7"/>
  <c r="BAS1" i="7"/>
  <c r="BAT1" i="7"/>
  <c r="BAU1" i="7"/>
  <c r="BAV1" i="7"/>
  <c r="BAW1" i="7"/>
  <c r="BAX1" i="7"/>
  <c r="BAY1" i="7"/>
  <c r="BAZ1" i="7"/>
  <c r="BBA1" i="7"/>
  <c r="BBB1" i="7"/>
  <c r="BBC1" i="7"/>
  <c r="BBD1" i="7"/>
  <c r="BBE1" i="7"/>
  <c r="BBF1" i="7"/>
  <c r="BBG1" i="7"/>
  <c r="BBH1" i="7"/>
  <c r="BBI1" i="7"/>
  <c r="BBJ1" i="7"/>
  <c r="BBK1" i="7"/>
  <c r="BBL1" i="7"/>
  <c r="BBM1" i="7"/>
  <c r="BBN1" i="7"/>
  <c r="BBO1" i="7"/>
  <c r="BBP1" i="7"/>
  <c r="BBQ1" i="7"/>
  <c r="BBR1" i="7"/>
  <c r="BBS1" i="7"/>
  <c r="BBT1" i="7"/>
  <c r="BBU1" i="7"/>
  <c r="BBV1" i="7"/>
  <c r="BBW1" i="7"/>
  <c r="BBX1" i="7"/>
  <c r="BBY1" i="7"/>
  <c r="BBZ1" i="7"/>
  <c r="BCA1" i="7"/>
  <c r="BCB1" i="7"/>
  <c r="BCC1" i="7"/>
  <c r="BCD1" i="7"/>
  <c r="BCE1" i="7"/>
  <c r="BCF1" i="7"/>
  <c r="BCG1" i="7"/>
  <c r="BCH1" i="7"/>
  <c r="BCI1" i="7"/>
  <c r="BCJ1" i="7"/>
  <c r="BCK1" i="7"/>
  <c r="BCL1" i="7"/>
  <c r="BCM1" i="7"/>
  <c r="BCN1" i="7"/>
  <c r="BCO1" i="7"/>
  <c r="BCP1" i="7"/>
  <c r="BCQ1" i="7"/>
  <c r="BCR1" i="7"/>
  <c r="BCS1" i="7"/>
  <c r="BCT1" i="7"/>
  <c r="BCU1" i="7"/>
  <c r="BCV1" i="7"/>
  <c r="BCW1" i="7"/>
  <c r="BCX1" i="7"/>
  <c r="BCY1" i="7"/>
  <c r="BCZ1" i="7"/>
  <c r="BDA1" i="7"/>
  <c r="BDB1" i="7"/>
  <c r="BDC1" i="7"/>
  <c r="BDD1" i="7"/>
  <c r="BDE1" i="7"/>
  <c r="BDF1" i="7"/>
  <c r="BDG1" i="7"/>
  <c r="BDH1" i="7"/>
  <c r="BDI1" i="7"/>
  <c r="BDJ1" i="7"/>
  <c r="BDK1" i="7"/>
  <c r="BDL1" i="7"/>
  <c r="BDM1" i="7"/>
  <c r="BDN1" i="7"/>
  <c r="BDO1" i="7"/>
  <c r="BDP1" i="7"/>
  <c r="BDQ1" i="7"/>
  <c r="BDR1" i="7"/>
  <c r="BDS1" i="7"/>
  <c r="BDT1" i="7"/>
  <c r="BDU1" i="7"/>
  <c r="BDV1" i="7"/>
  <c r="BDW1" i="7"/>
  <c r="BDX1" i="7"/>
  <c r="BDY1" i="7"/>
  <c r="BDZ1" i="7"/>
  <c r="BEA1" i="7"/>
  <c r="BEB1" i="7"/>
  <c r="BEC1" i="7"/>
  <c r="BED1" i="7"/>
  <c r="BEE1" i="7"/>
  <c r="BEF1" i="7"/>
  <c r="BEG1" i="7"/>
  <c r="BEH1" i="7"/>
  <c r="BEI1" i="7"/>
  <c r="BEJ1" i="7"/>
  <c r="BEK1" i="7"/>
  <c r="BEL1" i="7"/>
  <c r="BEM1" i="7"/>
  <c r="BEN1" i="7"/>
  <c r="BEO1" i="7"/>
  <c r="BEP1" i="7"/>
  <c r="BEQ1" i="7"/>
  <c r="BER1" i="7"/>
  <c r="BES1" i="7"/>
  <c r="BET1" i="7"/>
  <c r="BEU1" i="7"/>
  <c r="BEV1" i="7"/>
  <c r="BEW1" i="7"/>
  <c r="BEX1" i="7"/>
  <c r="BEY1" i="7"/>
  <c r="BEZ1" i="7"/>
  <c r="BFA1" i="7"/>
  <c r="BFB1" i="7"/>
  <c r="BFC1" i="7"/>
  <c r="BFD1" i="7"/>
  <c r="BFE1" i="7"/>
  <c r="BFF1" i="7"/>
  <c r="BFG1" i="7"/>
  <c r="BFH1" i="7"/>
  <c r="BFI1" i="7"/>
  <c r="BFJ1" i="7"/>
  <c r="BFK1" i="7"/>
  <c r="BFL1" i="7"/>
  <c r="BFM1" i="7"/>
  <c r="BFN1" i="7"/>
  <c r="BFO1" i="7"/>
  <c r="BFP1" i="7"/>
  <c r="BFQ1" i="7"/>
  <c r="BFR1" i="7"/>
  <c r="BFS1" i="7"/>
  <c r="BFT1" i="7"/>
  <c r="BFU1" i="7"/>
  <c r="BFV1" i="7"/>
  <c r="BFW1" i="7"/>
  <c r="BFX1" i="7"/>
  <c r="BFY1" i="7"/>
  <c r="BFZ1" i="7"/>
  <c r="BGA1" i="7"/>
  <c r="BGB1" i="7"/>
  <c r="BGC1" i="7"/>
  <c r="BGD1" i="7"/>
  <c r="BGE1" i="7"/>
  <c r="BGF1" i="7"/>
  <c r="BGG1" i="7"/>
  <c r="BGH1" i="7"/>
  <c r="BGI1" i="7"/>
  <c r="BGJ1" i="7"/>
  <c r="BGK1" i="7"/>
  <c r="BGL1" i="7"/>
  <c r="BGM1" i="7"/>
  <c r="BGN1" i="7"/>
  <c r="BGO1" i="7"/>
  <c r="BGP1" i="7"/>
  <c r="BGQ1" i="7"/>
  <c r="BGR1" i="7"/>
  <c r="BGS1" i="7"/>
  <c r="BGT1" i="7"/>
  <c r="BGU1" i="7"/>
  <c r="BGV1" i="7"/>
  <c r="BGW1" i="7"/>
  <c r="BGX1" i="7"/>
  <c r="BGY1" i="7"/>
  <c r="BGZ1" i="7"/>
  <c r="BHA1" i="7"/>
  <c r="BHB1" i="7"/>
  <c r="BHC1" i="7"/>
  <c r="BHD1" i="7"/>
  <c r="BHE1" i="7"/>
  <c r="BHF1" i="7"/>
  <c r="BHG1" i="7"/>
  <c r="BHH1" i="7"/>
  <c r="BHI1" i="7"/>
  <c r="BHJ1" i="7"/>
  <c r="BHK1" i="7"/>
  <c r="BHL1" i="7"/>
  <c r="BHM1" i="7"/>
  <c r="BHN1" i="7"/>
  <c r="BHO1" i="7"/>
  <c r="BHP1" i="7"/>
  <c r="BHQ1" i="7"/>
  <c r="BHR1" i="7"/>
  <c r="BHS1" i="7"/>
  <c r="BHT1" i="7"/>
  <c r="BHU1" i="7"/>
  <c r="BHV1" i="7"/>
  <c r="BHW1" i="7"/>
  <c r="BHX1" i="7"/>
  <c r="BHY1" i="7"/>
  <c r="BHZ1" i="7"/>
  <c r="BIA1" i="7"/>
  <c r="BIB1" i="7"/>
  <c r="BIC1" i="7"/>
  <c r="BID1" i="7"/>
  <c r="BIE1" i="7"/>
  <c r="BIF1" i="7"/>
  <c r="BIG1" i="7"/>
  <c r="BIH1" i="7"/>
  <c r="BII1" i="7"/>
  <c r="BIJ1" i="7"/>
  <c r="BIK1" i="7"/>
  <c r="BIL1" i="7"/>
  <c r="BIM1" i="7"/>
  <c r="BIN1" i="7"/>
  <c r="BIO1" i="7"/>
  <c r="BIP1" i="7"/>
  <c r="BIQ1" i="7"/>
  <c r="BIR1" i="7"/>
  <c r="BIS1" i="7"/>
  <c r="BIT1" i="7"/>
  <c r="BIU1" i="7"/>
  <c r="BIV1" i="7"/>
  <c r="BIW1" i="7"/>
  <c r="BIX1" i="7"/>
  <c r="BIY1" i="7"/>
  <c r="BIZ1" i="7"/>
  <c r="BJA1" i="7"/>
  <c r="BJB1" i="7"/>
  <c r="BJC1" i="7"/>
  <c r="BJD1" i="7"/>
  <c r="BJE1" i="7"/>
  <c r="BJF1" i="7"/>
  <c r="BJG1" i="7"/>
  <c r="BJH1" i="7"/>
  <c r="BJI1" i="7"/>
  <c r="BJJ1" i="7"/>
  <c r="BJK1" i="7"/>
  <c r="BJL1" i="7"/>
  <c r="BJM1" i="7"/>
  <c r="BJN1" i="7"/>
  <c r="BJO1" i="7"/>
  <c r="BJP1" i="7"/>
  <c r="BJQ1" i="7"/>
  <c r="BJR1" i="7"/>
  <c r="BJS1" i="7"/>
  <c r="BJT1" i="7"/>
  <c r="BJU1" i="7"/>
  <c r="BJV1" i="7"/>
  <c r="BJW1" i="7"/>
  <c r="BJX1" i="7"/>
  <c r="BJY1" i="7"/>
  <c r="BJZ1" i="7"/>
  <c r="BKA1" i="7"/>
  <c r="BKB1" i="7"/>
  <c r="BKC1" i="7"/>
  <c r="BKD1" i="7"/>
  <c r="BKE1" i="7"/>
  <c r="BKF1" i="7"/>
  <c r="BKG1" i="7"/>
  <c r="BKH1" i="7"/>
  <c r="BKI1" i="7"/>
  <c r="BKJ1" i="7"/>
  <c r="BKK1" i="7"/>
  <c r="BKL1" i="7"/>
  <c r="BKM1" i="7"/>
  <c r="BKN1" i="7"/>
  <c r="BKO1" i="7"/>
  <c r="BKP1" i="7"/>
  <c r="BKQ1" i="7"/>
  <c r="BKR1" i="7"/>
  <c r="BKS1" i="7"/>
  <c r="BKT1" i="7"/>
  <c r="BKU1" i="7"/>
  <c r="BKV1" i="7"/>
  <c r="BKW1" i="7"/>
  <c r="BKX1" i="7"/>
  <c r="BKY1" i="7"/>
  <c r="BKZ1" i="7"/>
  <c r="BLA1" i="7"/>
  <c r="BLB1" i="7"/>
  <c r="BLC1" i="7"/>
  <c r="BLD1" i="7"/>
  <c r="BLE1" i="7"/>
  <c r="BLF1" i="7"/>
  <c r="BLG1" i="7"/>
  <c r="BLH1" i="7"/>
  <c r="BLI1" i="7"/>
  <c r="BLJ1" i="7"/>
  <c r="BLK1" i="7"/>
  <c r="BLL1" i="7"/>
  <c r="BLM1" i="7"/>
  <c r="BLN1" i="7"/>
  <c r="BLO1" i="7"/>
  <c r="BLP1" i="7"/>
  <c r="BLQ1" i="7"/>
  <c r="BLR1" i="7"/>
  <c r="BLS1" i="7"/>
  <c r="BLT1" i="7"/>
  <c r="BLU1" i="7"/>
  <c r="BLV1" i="7"/>
  <c r="BLW1" i="7"/>
  <c r="BLX1" i="7"/>
  <c r="BLY1" i="7"/>
  <c r="BLZ1" i="7"/>
  <c r="BMA1" i="7"/>
  <c r="BMB1" i="7"/>
  <c r="BMC1" i="7"/>
  <c r="BMD1" i="7"/>
  <c r="BME1" i="7"/>
  <c r="BMF1" i="7"/>
  <c r="BMG1" i="7"/>
  <c r="BMH1" i="7"/>
  <c r="BMI1" i="7"/>
  <c r="BMJ1" i="7"/>
  <c r="BMK1" i="7"/>
  <c r="BML1" i="7"/>
  <c r="BMM1" i="7"/>
  <c r="BMN1" i="7"/>
  <c r="BMO1" i="7"/>
  <c r="BMP1" i="7"/>
  <c r="BMQ1" i="7"/>
  <c r="BMR1" i="7"/>
  <c r="BMS1" i="7"/>
  <c r="BMT1" i="7"/>
  <c r="BMU1" i="7"/>
  <c r="BMV1" i="7"/>
  <c r="BMW1" i="7"/>
  <c r="BMX1" i="7"/>
  <c r="BMY1" i="7"/>
  <c r="BMZ1" i="7"/>
  <c r="BNA1" i="7"/>
  <c r="BNB1" i="7"/>
  <c r="BNC1" i="7"/>
  <c r="BND1" i="7"/>
  <c r="BNE1" i="7"/>
  <c r="BNF1" i="7"/>
  <c r="BNG1" i="7"/>
  <c r="BNH1" i="7"/>
  <c r="BNI1" i="7"/>
  <c r="BNJ1" i="7"/>
  <c r="BNK1" i="7"/>
  <c r="BNL1" i="7"/>
  <c r="BNM1" i="7"/>
  <c r="BNN1" i="7"/>
  <c r="BNO1" i="7"/>
  <c r="BNP1" i="7"/>
  <c r="BNQ1" i="7"/>
  <c r="BNR1" i="7"/>
  <c r="BNS1" i="7"/>
  <c r="BNT1" i="7"/>
  <c r="BNU1" i="7"/>
  <c r="BNV1" i="7"/>
  <c r="BNW1" i="7"/>
  <c r="BNX1" i="7"/>
  <c r="BNY1" i="7"/>
  <c r="BNZ1" i="7"/>
  <c r="BOA1" i="7"/>
  <c r="BOB1" i="7"/>
  <c r="BOC1" i="7"/>
  <c r="BOD1" i="7"/>
  <c r="BOE1" i="7"/>
  <c r="BOF1" i="7"/>
  <c r="BOG1" i="7"/>
  <c r="BOH1" i="7"/>
  <c r="BOI1" i="7"/>
  <c r="BOJ1" i="7"/>
  <c r="BOK1" i="7"/>
  <c r="BOL1" i="7"/>
  <c r="BOM1" i="7"/>
  <c r="BON1" i="7"/>
  <c r="BOO1" i="7"/>
  <c r="BOP1" i="7"/>
  <c r="BOQ1" i="7"/>
  <c r="BOR1" i="7"/>
  <c r="BOS1" i="7"/>
  <c r="BOT1" i="7"/>
  <c r="BOU1" i="7"/>
  <c r="BOV1" i="7"/>
  <c r="BOW1" i="7"/>
  <c r="BOX1" i="7"/>
  <c r="BOY1" i="7"/>
  <c r="BOZ1" i="7"/>
  <c r="BPA1" i="7"/>
  <c r="BPB1" i="7"/>
  <c r="BPC1" i="7"/>
  <c r="BPD1" i="7"/>
  <c r="BPE1" i="7"/>
  <c r="BPF1" i="7"/>
  <c r="BPG1" i="7"/>
  <c r="BPH1" i="7"/>
  <c r="BPI1" i="7"/>
  <c r="BPJ1" i="7"/>
  <c r="BPK1" i="7"/>
  <c r="BPL1" i="7"/>
  <c r="BPM1" i="7"/>
  <c r="BPN1" i="7"/>
  <c r="BPO1" i="7"/>
  <c r="BPP1" i="7"/>
  <c r="BPQ1" i="7"/>
  <c r="BPR1" i="7"/>
  <c r="BPS1" i="7"/>
  <c r="BPT1" i="7"/>
  <c r="BPU1" i="7"/>
  <c r="BPV1" i="7"/>
  <c r="BPW1" i="7"/>
  <c r="BPX1" i="7"/>
  <c r="BPY1" i="7"/>
  <c r="BPZ1" i="7"/>
  <c r="BQA1" i="7"/>
  <c r="BQB1" i="7"/>
  <c r="BQC1" i="7"/>
  <c r="BQD1" i="7"/>
  <c r="BQE1" i="7"/>
  <c r="BQF1" i="7"/>
  <c r="BQG1" i="7"/>
  <c r="BQH1" i="7"/>
  <c r="BQI1" i="7"/>
  <c r="BQJ1" i="7"/>
  <c r="BQK1" i="7"/>
  <c r="BQL1" i="7"/>
  <c r="BQM1" i="7"/>
  <c r="BQN1" i="7"/>
  <c r="BQO1" i="7"/>
  <c r="BQP1" i="7"/>
  <c r="BQQ1" i="7"/>
  <c r="BQR1" i="7"/>
  <c r="BQS1" i="7"/>
  <c r="BQT1" i="7"/>
  <c r="BQU1" i="7"/>
  <c r="BQV1" i="7"/>
  <c r="BQW1" i="7"/>
  <c r="BQX1" i="7"/>
  <c r="BQY1" i="7"/>
  <c r="BQZ1" i="7"/>
  <c r="BRA1" i="7"/>
  <c r="BRB1" i="7"/>
  <c r="BRC1" i="7"/>
  <c r="BRD1" i="7"/>
  <c r="BRE1" i="7"/>
  <c r="BRF1" i="7"/>
  <c r="BRG1" i="7"/>
  <c r="BRH1" i="7"/>
  <c r="BRI1" i="7"/>
  <c r="BRJ1" i="7"/>
  <c r="BRK1" i="7"/>
  <c r="BRL1" i="7"/>
  <c r="BRM1" i="7"/>
  <c r="BRN1" i="7"/>
  <c r="BRO1" i="7"/>
  <c r="BRP1" i="7"/>
  <c r="BRQ1" i="7"/>
  <c r="BRR1" i="7"/>
  <c r="BRS1" i="7"/>
  <c r="BRT1" i="7"/>
  <c r="BRU1" i="7"/>
  <c r="BRV1" i="7"/>
  <c r="BRW1" i="7"/>
  <c r="BRX1" i="7"/>
  <c r="BRY1" i="7"/>
  <c r="BRZ1" i="7"/>
  <c r="BSA1" i="7"/>
  <c r="BSB1" i="7"/>
  <c r="BSC1" i="7"/>
  <c r="BSD1" i="7"/>
  <c r="BSE1" i="7"/>
  <c r="BSF1" i="7"/>
  <c r="BSG1" i="7"/>
  <c r="BSH1" i="7"/>
  <c r="BSI1" i="7"/>
  <c r="BSJ1" i="7"/>
  <c r="BSK1" i="7"/>
  <c r="BSL1" i="7"/>
  <c r="BSM1" i="7"/>
  <c r="BSN1" i="7"/>
  <c r="BSO1" i="7"/>
  <c r="BSP1" i="7"/>
  <c r="BSQ1" i="7"/>
  <c r="BSR1" i="7"/>
  <c r="BSS1" i="7"/>
  <c r="BST1" i="7"/>
  <c r="BSU1" i="7"/>
  <c r="BSV1" i="7"/>
  <c r="BSW1" i="7"/>
  <c r="BSX1" i="7"/>
  <c r="BSY1" i="7"/>
  <c r="BSZ1" i="7"/>
  <c r="BTA1" i="7"/>
  <c r="BTB1" i="7"/>
  <c r="BTC1" i="7"/>
  <c r="BTD1" i="7"/>
  <c r="BTE1" i="7"/>
  <c r="BTF1" i="7"/>
  <c r="BTG1" i="7"/>
  <c r="BTH1" i="7"/>
  <c r="BTI1" i="7"/>
  <c r="BTJ1" i="7"/>
  <c r="BTK1" i="7"/>
  <c r="BTL1" i="7"/>
  <c r="BTM1" i="7"/>
  <c r="BTN1" i="7"/>
  <c r="BTO1" i="7"/>
  <c r="BTP1" i="7"/>
  <c r="BTQ1" i="7"/>
  <c r="BTR1" i="7"/>
  <c r="BTS1" i="7"/>
  <c r="BTT1" i="7"/>
  <c r="BTU1" i="7"/>
  <c r="BTV1" i="7"/>
  <c r="BTW1" i="7"/>
  <c r="BTX1" i="7"/>
  <c r="BTY1" i="7"/>
  <c r="BTZ1" i="7"/>
  <c r="BUA1" i="7"/>
  <c r="BUB1" i="7"/>
  <c r="BUC1" i="7"/>
  <c r="BUD1" i="7"/>
  <c r="BUE1" i="7"/>
  <c r="BUF1" i="7"/>
  <c r="BUG1" i="7"/>
  <c r="BUH1" i="7"/>
  <c r="BUI1" i="7"/>
  <c r="BUJ1" i="7"/>
  <c r="BUK1" i="7"/>
  <c r="BUL1" i="7"/>
  <c r="BUM1" i="7"/>
  <c r="BUN1" i="7"/>
  <c r="BUO1" i="7"/>
  <c r="BUP1" i="7"/>
  <c r="BUQ1" i="7"/>
  <c r="BUR1" i="7"/>
  <c r="BUS1" i="7"/>
  <c r="BUT1" i="7"/>
  <c r="BUU1" i="7"/>
  <c r="BUV1" i="7"/>
  <c r="BUW1" i="7"/>
  <c r="BUX1" i="7"/>
  <c r="BUY1" i="7"/>
  <c r="BUZ1" i="7"/>
  <c r="BVA1" i="7"/>
  <c r="BVB1" i="7"/>
  <c r="BVC1" i="7"/>
  <c r="BVD1" i="7"/>
  <c r="BVE1" i="7"/>
  <c r="BVF1" i="7"/>
  <c r="BVG1" i="7"/>
  <c r="BVH1" i="7"/>
  <c r="BVI1" i="7"/>
  <c r="BVJ1" i="7"/>
  <c r="BVK1" i="7"/>
  <c r="BVL1" i="7"/>
  <c r="BVM1" i="7"/>
  <c r="BVN1" i="7"/>
  <c r="BVO1" i="7"/>
  <c r="BVP1" i="7"/>
  <c r="BVQ1" i="7"/>
  <c r="BVR1" i="7"/>
  <c r="BVS1" i="7"/>
  <c r="BVT1" i="7"/>
  <c r="BVU1" i="7"/>
  <c r="BVV1" i="7"/>
  <c r="BVW1" i="7"/>
  <c r="BVX1" i="7"/>
  <c r="BVY1" i="7"/>
  <c r="BVZ1" i="7"/>
  <c r="BWA1" i="7"/>
  <c r="BWB1" i="7"/>
  <c r="BWC1" i="7"/>
  <c r="BWD1" i="7"/>
  <c r="BWE1" i="7"/>
  <c r="BWF1" i="7"/>
  <c r="BWG1" i="7"/>
  <c r="BWH1" i="7"/>
  <c r="BWI1" i="7"/>
  <c r="BWJ1" i="7"/>
  <c r="BWK1" i="7"/>
  <c r="BWL1" i="7"/>
  <c r="BWM1" i="7"/>
  <c r="BWN1" i="7"/>
  <c r="BWO1" i="7"/>
  <c r="BWP1" i="7"/>
  <c r="BWQ1" i="7"/>
  <c r="BWR1" i="7"/>
  <c r="BWS1" i="7"/>
  <c r="BWT1" i="7"/>
  <c r="BWU1" i="7"/>
  <c r="BWV1" i="7"/>
  <c r="BWW1" i="7"/>
  <c r="BWX1" i="7"/>
  <c r="BWY1" i="7"/>
  <c r="BWZ1" i="7"/>
  <c r="BXA1" i="7"/>
  <c r="BXB1" i="7"/>
  <c r="BXC1" i="7"/>
  <c r="BXD1" i="7"/>
  <c r="BXE1" i="7"/>
  <c r="BXF1" i="7"/>
  <c r="BXG1" i="7"/>
  <c r="BXH1" i="7"/>
  <c r="BXI1" i="7"/>
  <c r="BXJ1" i="7"/>
  <c r="BXK1" i="7"/>
  <c r="BXL1" i="7"/>
  <c r="BXM1" i="7"/>
  <c r="BXN1" i="7"/>
  <c r="BXO1" i="7"/>
  <c r="BXP1" i="7"/>
  <c r="BXQ1" i="7"/>
  <c r="BXR1" i="7"/>
  <c r="BXS1" i="7"/>
  <c r="BXT1" i="7"/>
  <c r="BXU1" i="7"/>
  <c r="BXV1" i="7"/>
  <c r="BXW1" i="7"/>
  <c r="BXX1" i="7"/>
  <c r="BXY1" i="7"/>
  <c r="BXZ1" i="7"/>
  <c r="BYA1" i="7"/>
  <c r="BYB1" i="7"/>
  <c r="BYC1" i="7"/>
  <c r="BYD1" i="7"/>
  <c r="BYE1" i="7"/>
  <c r="BYF1" i="7"/>
  <c r="BYG1" i="7"/>
  <c r="BYH1" i="7"/>
  <c r="BYI1" i="7"/>
  <c r="BYJ1" i="7"/>
  <c r="BYK1" i="7"/>
  <c r="BYL1" i="7"/>
  <c r="BYM1" i="7"/>
  <c r="BYN1" i="7"/>
  <c r="BYO1" i="7"/>
  <c r="BYP1" i="7"/>
  <c r="BYQ1" i="7"/>
  <c r="BYR1" i="7"/>
  <c r="BYS1" i="7"/>
  <c r="BYT1" i="7"/>
  <c r="BYU1" i="7"/>
  <c r="BYV1" i="7"/>
  <c r="BYW1" i="7"/>
  <c r="BYX1" i="7"/>
  <c r="BYY1" i="7"/>
  <c r="BYZ1" i="7"/>
  <c r="BZA1" i="7"/>
  <c r="BZB1" i="7"/>
  <c r="BZC1" i="7"/>
  <c r="BZD1" i="7"/>
  <c r="BZE1" i="7"/>
  <c r="BZF1" i="7"/>
  <c r="BZG1" i="7"/>
  <c r="BZH1" i="7"/>
  <c r="BZI1" i="7"/>
  <c r="BZJ1" i="7"/>
  <c r="BZK1" i="7"/>
  <c r="BZL1" i="7"/>
  <c r="BZM1" i="7"/>
  <c r="BZN1" i="7"/>
  <c r="BZO1" i="7"/>
  <c r="BZP1" i="7"/>
  <c r="BZQ1" i="7"/>
  <c r="BZR1" i="7"/>
  <c r="BZS1" i="7"/>
  <c r="BZT1" i="7"/>
  <c r="BZU1" i="7"/>
  <c r="BZV1" i="7"/>
  <c r="BZW1" i="7"/>
  <c r="BZX1" i="7"/>
  <c r="BZY1" i="7"/>
  <c r="BZZ1" i="7"/>
  <c r="CAA1" i="7"/>
  <c r="CAB1" i="7"/>
  <c r="CAC1" i="7"/>
  <c r="CAD1" i="7"/>
  <c r="CAE1" i="7"/>
  <c r="CAF1" i="7"/>
  <c r="CAG1" i="7"/>
  <c r="CAH1" i="7"/>
  <c r="CAI1" i="7"/>
  <c r="CAJ1" i="7"/>
  <c r="CAK1" i="7"/>
  <c r="CAL1" i="7"/>
  <c r="CAM1" i="7"/>
  <c r="CAN1" i="7"/>
  <c r="CAO1" i="7"/>
  <c r="CAP1" i="7"/>
  <c r="CAQ1" i="7"/>
  <c r="CAR1" i="7"/>
  <c r="CAS1" i="7"/>
  <c r="CAT1" i="7"/>
  <c r="CAU1" i="7"/>
  <c r="CAV1" i="7"/>
  <c r="CAW1" i="7"/>
  <c r="CAX1" i="7"/>
  <c r="CAY1" i="7"/>
  <c r="CAZ1" i="7"/>
  <c r="CBA1" i="7"/>
  <c r="CBB1" i="7"/>
  <c r="CBC1" i="7"/>
  <c r="CBD1" i="7"/>
  <c r="CBE1" i="7"/>
  <c r="CBF1" i="7"/>
  <c r="CBG1" i="7"/>
  <c r="CBH1" i="7"/>
  <c r="CBI1" i="7"/>
  <c r="CBJ1" i="7"/>
  <c r="CBK1" i="7"/>
  <c r="CBL1" i="7"/>
  <c r="CBM1" i="7"/>
  <c r="CBN1" i="7"/>
  <c r="CBO1" i="7"/>
  <c r="CBP1" i="7"/>
  <c r="CBQ1" i="7"/>
  <c r="CBR1" i="7"/>
  <c r="CBS1" i="7"/>
  <c r="CBT1" i="7"/>
  <c r="CBU1" i="7"/>
  <c r="CBV1" i="7"/>
  <c r="CBW1" i="7"/>
  <c r="CBX1" i="7"/>
  <c r="CBY1" i="7"/>
  <c r="CBZ1" i="7"/>
  <c r="CCA1" i="7"/>
  <c r="CCB1" i="7"/>
  <c r="CCC1" i="7"/>
  <c r="CCD1" i="7"/>
  <c r="CCE1" i="7"/>
  <c r="CCF1" i="7"/>
  <c r="CCG1" i="7"/>
  <c r="CCH1" i="7"/>
  <c r="CCI1" i="7"/>
  <c r="CCJ1" i="7"/>
  <c r="CCK1" i="7"/>
  <c r="CCL1" i="7"/>
  <c r="CCM1" i="7"/>
  <c r="CCN1" i="7"/>
  <c r="CCO1" i="7"/>
  <c r="CCP1" i="7"/>
  <c r="CCQ1" i="7"/>
  <c r="CCR1" i="7"/>
  <c r="CCS1" i="7"/>
  <c r="CCT1" i="7"/>
  <c r="CCU1" i="7"/>
  <c r="CCV1" i="7"/>
  <c r="CCW1" i="7"/>
  <c r="CCX1" i="7"/>
  <c r="CCY1" i="7"/>
  <c r="CCZ1" i="7"/>
  <c r="CDA1" i="7"/>
  <c r="CDB1" i="7"/>
  <c r="CDC1" i="7"/>
  <c r="CDD1" i="7"/>
  <c r="CDE1" i="7"/>
  <c r="CDF1" i="7"/>
  <c r="CDG1" i="7"/>
  <c r="CDH1" i="7"/>
  <c r="CDI1" i="7"/>
  <c r="CDJ1" i="7"/>
  <c r="CDK1" i="7"/>
  <c r="CDL1" i="7"/>
  <c r="CDM1" i="7"/>
  <c r="CDN1" i="7"/>
  <c r="CDO1" i="7"/>
  <c r="CDP1" i="7"/>
  <c r="CDQ1" i="7"/>
  <c r="CDR1" i="7"/>
  <c r="CDS1" i="7"/>
  <c r="CDT1" i="7"/>
  <c r="CDU1" i="7"/>
  <c r="CDV1" i="7"/>
  <c r="CDW1" i="7"/>
  <c r="CDX1" i="7"/>
  <c r="CDY1" i="7"/>
  <c r="CDZ1" i="7"/>
  <c r="CEA1" i="7"/>
  <c r="CEB1" i="7"/>
  <c r="CEC1" i="7"/>
  <c r="CED1" i="7"/>
  <c r="CEE1" i="7"/>
  <c r="CEF1" i="7"/>
  <c r="CEG1" i="7"/>
  <c r="CEH1" i="7"/>
  <c r="CEI1" i="7"/>
  <c r="CEJ1" i="7"/>
  <c r="CEK1" i="7"/>
  <c r="CEL1" i="7"/>
  <c r="CEM1" i="7"/>
  <c r="CEN1" i="7"/>
  <c r="CEO1" i="7"/>
  <c r="CEP1" i="7"/>
  <c r="CEQ1" i="7"/>
  <c r="CER1" i="7"/>
  <c r="CES1" i="7"/>
  <c r="CET1" i="7"/>
  <c r="CEU1" i="7"/>
  <c r="CEV1" i="7"/>
  <c r="CEW1" i="7"/>
  <c r="CEX1" i="7"/>
  <c r="CEY1" i="7"/>
  <c r="CEZ1" i="7"/>
  <c r="CFA1" i="7"/>
  <c r="CFB1" i="7"/>
  <c r="CFC1" i="7"/>
  <c r="CFD1" i="7"/>
  <c r="CFE1" i="7"/>
  <c r="CFF1" i="7"/>
  <c r="CFG1" i="7"/>
  <c r="CFH1" i="7"/>
  <c r="CFI1" i="7"/>
  <c r="CFJ1" i="7"/>
  <c r="CFK1" i="7"/>
  <c r="CFL1" i="7"/>
  <c r="CFM1" i="7"/>
  <c r="CFN1" i="7"/>
  <c r="CFO1" i="7"/>
  <c r="CFP1" i="7"/>
  <c r="CFQ1" i="7"/>
  <c r="CFR1" i="7"/>
  <c r="CFS1" i="7"/>
  <c r="CFT1" i="7"/>
  <c r="CFU1" i="7"/>
  <c r="CFV1" i="7"/>
  <c r="CFW1" i="7"/>
  <c r="CFX1" i="7"/>
  <c r="CFY1" i="7"/>
  <c r="CFZ1" i="7"/>
  <c r="CGA1" i="7"/>
  <c r="CGB1" i="7"/>
  <c r="CGC1" i="7"/>
  <c r="CGD1" i="7"/>
  <c r="CGE1" i="7"/>
  <c r="CGF1" i="7"/>
  <c r="CGG1" i="7"/>
  <c r="CGH1" i="7"/>
  <c r="CGI1" i="7"/>
  <c r="CGJ1" i="7"/>
  <c r="CGK1" i="7"/>
  <c r="CGL1" i="7"/>
  <c r="CGM1" i="7"/>
  <c r="CGN1" i="7"/>
  <c r="CGO1" i="7"/>
  <c r="CGP1" i="7"/>
  <c r="CGQ1" i="7"/>
  <c r="CGR1" i="7"/>
  <c r="CGS1" i="7"/>
  <c r="CGT1" i="7"/>
  <c r="CGU1" i="7"/>
  <c r="CGV1" i="7"/>
  <c r="CGW1" i="7"/>
  <c r="CGX1" i="7"/>
  <c r="CGY1" i="7"/>
  <c r="CGZ1" i="7"/>
  <c r="CHA1" i="7"/>
  <c r="CHB1" i="7"/>
  <c r="CHC1" i="7"/>
  <c r="CHD1" i="7"/>
  <c r="CHE1" i="7"/>
  <c r="CHF1" i="7"/>
  <c r="CHG1" i="7"/>
  <c r="CHH1" i="7"/>
  <c r="CHI1" i="7"/>
  <c r="CHJ1" i="7"/>
  <c r="CHK1" i="7"/>
  <c r="CHL1" i="7"/>
  <c r="CHM1" i="7"/>
  <c r="CHN1" i="7"/>
  <c r="CHO1" i="7"/>
  <c r="CHP1" i="7"/>
  <c r="CHQ1" i="7"/>
  <c r="CHR1" i="7"/>
  <c r="CHS1" i="7"/>
  <c r="CHT1" i="7"/>
  <c r="CHU1" i="7"/>
  <c r="CHV1" i="7"/>
  <c r="CHW1" i="7"/>
  <c r="CHX1" i="7"/>
  <c r="CHY1" i="7"/>
  <c r="CHZ1" i="7"/>
  <c r="CIA1" i="7"/>
  <c r="CIB1" i="7"/>
  <c r="CIC1" i="7"/>
  <c r="CID1" i="7"/>
  <c r="CIE1" i="7"/>
  <c r="CIF1" i="7"/>
  <c r="CIG1" i="7"/>
  <c r="CIH1" i="7"/>
  <c r="CII1" i="7"/>
  <c r="CIJ1" i="7"/>
  <c r="CIK1" i="7"/>
  <c r="CIL1" i="7"/>
  <c r="CIM1" i="7"/>
  <c r="CIN1" i="7"/>
  <c r="CIO1" i="7"/>
  <c r="CIP1" i="7"/>
  <c r="CIQ1" i="7"/>
  <c r="CIR1" i="7"/>
  <c r="CIS1" i="7"/>
  <c r="CIT1" i="7"/>
  <c r="CIU1" i="7"/>
  <c r="CIV1" i="7"/>
  <c r="CIW1" i="7"/>
  <c r="CIX1" i="7"/>
  <c r="CIY1" i="7"/>
  <c r="CIZ1" i="7"/>
  <c r="CJA1" i="7"/>
  <c r="CJB1" i="7"/>
  <c r="CJC1" i="7"/>
  <c r="CJD1" i="7"/>
  <c r="CJE1" i="7"/>
  <c r="CJF1" i="7"/>
  <c r="CJG1" i="7"/>
  <c r="CJH1" i="7"/>
  <c r="CJI1" i="7"/>
  <c r="CJJ1" i="7"/>
  <c r="CJK1" i="7"/>
  <c r="CJL1" i="7"/>
  <c r="CJM1" i="7"/>
  <c r="CJN1" i="7"/>
  <c r="CJO1" i="7"/>
  <c r="CJP1" i="7"/>
  <c r="CJQ1" i="7"/>
  <c r="CJR1" i="7"/>
  <c r="CJS1" i="7"/>
  <c r="CJT1" i="7"/>
  <c r="CJU1" i="7"/>
  <c r="CJV1" i="7"/>
  <c r="CJW1" i="7"/>
  <c r="CJX1" i="7"/>
  <c r="CJY1" i="7"/>
  <c r="CJZ1" i="7"/>
  <c r="CKA1" i="7"/>
  <c r="CKB1" i="7"/>
  <c r="CKC1" i="7"/>
  <c r="CKD1" i="7"/>
  <c r="CKE1" i="7"/>
  <c r="CKF1" i="7"/>
  <c r="CKG1" i="7"/>
  <c r="CKH1" i="7"/>
  <c r="CKI1" i="7"/>
  <c r="CKJ1" i="7"/>
  <c r="CKK1" i="7"/>
  <c r="CKL1" i="7"/>
  <c r="CKM1" i="7"/>
  <c r="CKN1" i="7"/>
  <c r="CKO1" i="7"/>
  <c r="CKP1" i="7"/>
  <c r="CKQ1" i="7"/>
  <c r="CKR1" i="7"/>
  <c r="CKS1" i="7"/>
  <c r="CKT1" i="7"/>
  <c r="CKU1" i="7"/>
  <c r="CKV1" i="7"/>
  <c r="CKW1" i="7"/>
  <c r="CKX1" i="7"/>
  <c r="CKY1" i="7"/>
  <c r="CKZ1" i="7"/>
  <c r="CLA1" i="7"/>
  <c r="CLB1" i="7"/>
  <c r="CLC1" i="7"/>
  <c r="CLD1" i="7"/>
  <c r="CLE1" i="7"/>
  <c r="CLF1" i="7"/>
  <c r="CLG1" i="7"/>
  <c r="CLH1" i="7"/>
  <c r="CLI1" i="7"/>
  <c r="CLJ1" i="7"/>
  <c r="CLK1" i="7"/>
  <c r="CLL1" i="7"/>
  <c r="CLM1" i="7"/>
  <c r="CLN1" i="7"/>
  <c r="CLO1" i="7"/>
  <c r="CLP1" i="7"/>
  <c r="CLQ1" i="7"/>
  <c r="CLR1" i="7"/>
  <c r="CLS1" i="7"/>
  <c r="CLT1" i="7"/>
  <c r="CLU1" i="7"/>
  <c r="CLV1" i="7"/>
  <c r="CLW1" i="7"/>
  <c r="CLX1" i="7"/>
  <c r="CLY1" i="7"/>
  <c r="CLZ1" i="7"/>
  <c r="CMA1" i="7"/>
  <c r="CMB1" i="7"/>
  <c r="CMC1" i="7"/>
  <c r="CMD1" i="7"/>
  <c r="CME1" i="7"/>
  <c r="CMF1" i="7"/>
  <c r="CMG1" i="7"/>
  <c r="CMH1" i="7"/>
  <c r="CMI1" i="7"/>
  <c r="CMJ1" i="7"/>
  <c r="CMK1" i="7"/>
  <c r="CML1" i="7"/>
  <c r="CMM1" i="7"/>
  <c r="CMN1" i="7"/>
  <c r="CMO1" i="7"/>
  <c r="CMP1" i="7"/>
  <c r="CMQ1" i="7"/>
  <c r="CMR1" i="7"/>
  <c r="CMS1" i="7"/>
  <c r="CMT1" i="7"/>
  <c r="CMU1" i="7"/>
  <c r="CMV1" i="7"/>
  <c r="CMW1" i="7"/>
  <c r="CMX1" i="7"/>
  <c r="CMY1" i="7"/>
  <c r="CMZ1" i="7"/>
  <c r="CNA1" i="7"/>
  <c r="CNB1" i="7"/>
  <c r="CNC1" i="7"/>
  <c r="CND1" i="7"/>
  <c r="CNE1" i="7"/>
  <c r="CNF1" i="7"/>
  <c r="CNG1" i="7"/>
  <c r="CNH1" i="7"/>
  <c r="CNI1" i="7"/>
  <c r="CNJ1" i="7"/>
  <c r="CNK1" i="7"/>
  <c r="CNL1" i="7"/>
  <c r="CNM1" i="7"/>
  <c r="CNN1" i="7"/>
  <c r="CNO1" i="7"/>
  <c r="CNP1" i="7"/>
  <c r="CNQ1" i="7"/>
  <c r="CNR1" i="7"/>
  <c r="CNS1" i="7"/>
  <c r="CNT1" i="7"/>
  <c r="CNU1" i="7"/>
  <c r="CNV1" i="7"/>
  <c r="CNW1" i="7"/>
  <c r="CNX1" i="7"/>
  <c r="CNY1" i="7"/>
  <c r="CNZ1" i="7"/>
  <c r="COA1" i="7"/>
  <c r="COB1" i="7"/>
  <c r="COC1" i="7"/>
  <c r="COD1" i="7"/>
  <c r="COE1" i="7"/>
  <c r="COF1" i="7"/>
  <c r="COG1" i="7"/>
  <c r="COH1" i="7"/>
  <c r="COI1" i="7"/>
  <c r="COJ1" i="7"/>
  <c r="COK1" i="7"/>
  <c r="COL1" i="7"/>
  <c r="COM1" i="7"/>
  <c r="CON1" i="7"/>
  <c r="COO1" i="7"/>
  <c r="COP1" i="7"/>
  <c r="COQ1" i="7"/>
  <c r="COR1" i="7"/>
  <c r="COS1" i="7"/>
  <c r="COT1" i="7"/>
  <c r="COU1" i="7"/>
  <c r="COV1" i="7"/>
  <c r="COW1" i="7"/>
  <c r="COX1" i="7"/>
  <c r="COY1" i="7"/>
  <c r="COZ1" i="7"/>
  <c r="CPA1" i="7"/>
  <c r="CPB1" i="7"/>
  <c r="CPC1" i="7"/>
  <c r="CPD1" i="7"/>
  <c r="CPE1" i="7"/>
  <c r="CPF1" i="7"/>
  <c r="CPG1" i="7"/>
  <c r="CPH1" i="7"/>
  <c r="CPI1" i="7"/>
  <c r="CPJ1" i="7"/>
  <c r="CPK1" i="7"/>
  <c r="CPL1" i="7"/>
  <c r="CPM1" i="7"/>
  <c r="CPN1" i="7"/>
  <c r="CPO1" i="7"/>
  <c r="CPP1" i="7"/>
  <c r="CPQ1" i="7"/>
  <c r="CPR1" i="7"/>
  <c r="CPS1" i="7"/>
  <c r="CPT1" i="7"/>
  <c r="CPU1" i="7"/>
  <c r="CPV1" i="7"/>
  <c r="CPW1" i="7"/>
  <c r="CPX1" i="7"/>
  <c r="CPY1" i="7"/>
  <c r="CPZ1" i="7"/>
  <c r="CQA1" i="7"/>
  <c r="CQB1" i="7"/>
  <c r="CQC1" i="7"/>
  <c r="CQD1" i="7"/>
  <c r="CQE1" i="7"/>
  <c r="CQF1" i="7"/>
  <c r="CQG1" i="7"/>
  <c r="CQH1" i="7"/>
  <c r="CQI1" i="7"/>
  <c r="CQJ1" i="7"/>
  <c r="CQK1" i="7"/>
  <c r="CQL1" i="7"/>
  <c r="CQM1" i="7"/>
  <c r="CQN1" i="7"/>
  <c r="CQO1" i="7"/>
  <c r="CQP1" i="7"/>
  <c r="CQQ1" i="7"/>
  <c r="CQR1" i="7"/>
  <c r="CQS1" i="7"/>
  <c r="CQT1" i="7"/>
  <c r="CQU1" i="7"/>
  <c r="CQV1" i="7"/>
  <c r="CQW1" i="7"/>
  <c r="CQX1" i="7"/>
  <c r="CQY1" i="7"/>
  <c r="CQZ1" i="7"/>
  <c r="CRA1" i="7"/>
  <c r="CRB1" i="7"/>
  <c r="CRC1" i="7"/>
  <c r="CRD1" i="7"/>
  <c r="CRE1" i="7"/>
  <c r="CRF1" i="7"/>
  <c r="CRG1" i="7"/>
  <c r="CRH1" i="7"/>
  <c r="CRI1" i="7"/>
  <c r="CRJ1" i="7"/>
  <c r="CRK1" i="7"/>
  <c r="CRL1" i="7"/>
  <c r="CRM1" i="7"/>
  <c r="CRN1" i="7"/>
  <c r="CRO1" i="7"/>
  <c r="CRP1" i="7"/>
  <c r="CRQ1" i="7"/>
  <c r="CRR1" i="7"/>
  <c r="CRS1" i="7"/>
  <c r="CRT1" i="7"/>
  <c r="CRU1" i="7"/>
  <c r="CRV1" i="7"/>
  <c r="CRW1" i="7"/>
  <c r="CRX1" i="7"/>
  <c r="CRY1" i="7"/>
  <c r="CRZ1" i="7"/>
  <c r="CSA1" i="7"/>
  <c r="CSB1" i="7"/>
  <c r="CSC1" i="7"/>
  <c r="CSD1" i="7"/>
  <c r="CSE1" i="7"/>
  <c r="CSF1" i="7"/>
  <c r="CSG1" i="7"/>
  <c r="CSH1" i="7"/>
  <c r="CSI1" i="7"/>
  <c r="CSJ1" i="7"/>
  <c r="CSK1" i="7"/>
  <c r="CSL1" i="7"/>
  <c r="CSM1" i="7"/>
  <c r="CSN1" i="7"/>
  <c r="CSO1" i="7"/>
  <c r="CSP1" i="7"/>
  <c r="CSQ1" i="7"/>
  <c r="CSR1" i="7"/>
  <c r="CSS1" i="7"/>
  <c r="CST1" i="7"/>
  <c r="CSU1" i="7"/>
  <c r="CSV1" i="7"/>
  <c r="CSW1" i="7"/>
  <c r="CSX1" i="7"/>
  <c r="CSY1" i="7"/>
  <c r="CSZ1" i="7"/>
  <c r="CTA1" i="7"/>
  <c r="CTB1" i="7"/>
  <c r="CTC1" i="7"/>
  <c r="CTD1" i="7"/>
  <c r="CTE1" i="7"/>
  <c r="CTF1" i="7"/>
  <c r="CTG1" i="7"/>
  <c r="CTH1" i="7"/>
  <c r="CTI1" i="7"/>
  <c r="CTJ1" i="7"/>
  <c r="CTK1" i="7"/>
  <c r="CTL1" i="7"/>
  <c r="CTM1" i="7"/>
  <c r="CTN1" i="7"/>
  <c r="CTO1" i="7"/>
  <c r="CTP1" i="7"/>
  <c r="CTQ1" i="7"/>
  <c r="CTR1" i="7"/>
  <c r="CTS1" i="7"/>
  <c r="CTT1" i="7"/>
  <c r="CTU1" i="7"/>
  <c r="CTV1" i="7"/>
  <c r="CTW1" i="7"/>
  <c r="CTX1" i="7"/>
  <c r="CTY1" i="7"/>
  <c r="CTZ1" i="7"/>
  <c r="CUA1" i="7"/>
  <c r="CUB1" i="7"/>
  <c r="CUC1" i="7"/>
  <c r="CUD1" i="7"/>
  <c r="CUE1" i="7"/>
  <c r="CUF1" i="7"/>
  <c r="CUG1" i="7"/>
  <c r="CUH1" i="7"/>
  <c r="CUI1" i="7"/>
  <c r="CUJ1" i="7"/>
  <c r="CUK1" i="7"/>
  <c r="CUL1" i="7"/>
  <c r="CUM1" i="7"/>
  <c r="CUN1" i="7"/>
  <c r="CUO1" i="7"/>
  <c r="CUP1" i="7"/>
  <c r="CUQ1" i="7"/>
  <c r="CUR1" i="7"/>
  <c r="CUS1" i="7"/>
  <c r="CUT1" i="7"/>
  <c r="CUU1" i="7"/>
  <c r="CUV1" i="7"/>
  <c r="CUW1" i="7"/>
  <c r="CUX1" i="7"/>
  <c r="CUY1" i="7"/>
  <c r="CUZ1" i="7"/>
  <c r="CVA1" i="7"/>
  <c r="CVB1" i="7"/>
  <c r="CVC1" i="7"/>
  <c r="CVD1" i="7"/>
  <c r="CVE1" i="7"/>
  <c r="CVF1" i="7"/>
  <c r="CVG1" i="7"/>
  <c r="CVH1" i="7"/>
  <c r="CVI1" i="7"/>
  <c r="CVJ1" i="7"/>
  <c r="CVK1" i="7"/>
  <c r="CVL1" i="7"/>
  <c r="CVM1" i="7"/>
  <c r="CVN1" i="7"/>
  <c r="CVO1" i="7"/>
  <c r="CVP1" i="7"/>
  <c r="CVQ1" i="7"/>
  <c r="CVR1" i="7"/>
  <c r="CVS1" i="7"/>
  <c r="CVT1" i="7"/>
  <c r="CVU1" i="7"/>
  <c r="CVV1" i="7"/>
  <c r="CVW1" i="7"/>
  <c r="CVX1" i="7"/>
  <c r="CVY1" i="7"/>
  <c r="CVZ1" i="7"/>
  <c r="CWA1" i="7"/>
  <c r="CWB1" i="7"/>
  <c r="CWC1" i="7"/>
  <c r="CWD1" i="7"/>
  <c r="CWE1" i="7"/>
  <c r="CWF1" i="7"/>
  <c r="CWG1" i="7"/>
  <c r="CWH1" i="7"/>
  <c r="CWI1" i="7"/>
  <c r="CWJ1" i="7"/>
  <c r="CWK1" i="7"/>
  <c r="CWL1" i="7"/>
  <c r="CWM1" i="7"/>
  <c r="CWN1" i="7"/>
  <c r="CWO1" i="7"/>
  <c r="CWP1" i="7"/>
  <c r="CWQ1" i="7"/>
  <c r="CWR1" i="7"/>
  <c r="CWS1" i="7"/>
  <c r="CWT1" i="7"/>
  <c r="CWU1" i="7"/>
  <c r="CWV1" i="7"/>
  <c r="CWW1" i="7"/>
  <c r="CWX1" i="7"/>
  <c r="CWY1" i="7"/>
  <c r="CWZ1" i="7"/>
  <c r="CXA1" i="7"/>
  <c r="CXB1" i="7"/>
  <c r="CXC1" i="7"/>
  <c r="CXD1" i="7"/>
  <c r="CXE1" i="7"/>
  <c r="CXF1" i="7"/>
  <c r="CXG1" i="7"/>
  <c r="CXH1" i="7"/>
  <c r="CXI1" i="7"/>
  <c r="CXJ1" i="7"/>
  <c r="CXK1" i="7"/>
  <c r="CXL1" i="7"/>
  <c r="CXM1" i="7"/>
  <c r="CXN1" i="7"/>
  <c r="CXO1" i="7"/>
  <c r="CXP1" i="7"/>
  <c r="CXQ1" i="7"/>
  <c r="CXR1" i="7"/>
  <c r="CXS1" i="7"/>
  <c r="CXT1" i="7"/>
  <c r="CXU1" i="7"/>
  <c r="CXV1" i="7"/>
  <c r="CXW1" i="7"/>
  <c r="CXX1" i="7"/>
  <c r="CXY1" i="7"/>
  <c r="CXZ1" i="7"/>
  <c r="CYA1" i="7"/>
  <c r="CYB1" i="7"/>
  <c r="CYC1" i="7"/>
  <c r="CYD1" i="7"/>
  <c r="CYE1" i="7"/>
  <c r="CYF1" i="7"/>
  <c r="CYG1" i="7"/>
  <c r="CYH1" i="7"/>
  <c r="CYI1" i="7"/>
  <c r="CYJ1" i="7"/>
  <c r="CYK1" i="7"/>
  <c r="CYL1" i="7"/>
  <c r="CYM1" i="7"/>
  <c r="CYN1" i="7"/>
  <c r="CYO1" i="7"/>
  <c r="CYP1" i="7"/>
  <c r="CYQ1" i="7"/>
  <c r="CYR1" i="7"/>
  <c r="CYS1" i="7"/>
  <c r="CYT1" i="7"/>
  <c r="CYU1" i="7"/>
  <c r="CYV1" i="7"/>
  <c r="CYW1" i="7"/>
  <c r="CYX1" i="7"/>
  <c r="CYY1" i="7"/>
  <c r="CYZ1" i="7"/>
  <c r="CZA1" i="7"/>
  <c r="CZB1" i="7"/>
  <c r="CZC1" i="7"/>
  <c r="CZD1" i="7"/>
  <c r="CZE1" i="7"/>
  <c r="CZF1" i="7"/>
  <c r="CZG1" i="7"/>
  <c r="CZH1" i="7"/>
  <c r="CZI1" i="7"/>
  <c r="CZJ1" i="7"/>
  <c r="CZK1" i="7"/>
  <c r="CZL1" i="7"/>
  <c r="CZM1" i="7"/>
  <c r="CZN1" i="7"/>
  <c r="CZO1" i="7"/>
  <c r="CZP1" i="7"/>
  <c r="CZQ1" i="7"/>
  <c r="CZR1" i="7"/>
  <c r="CZS1" i="7"/>
  <c r="CZT1" i="7"/>
  <c r="CZU1" i="7"/>
  <c r="CZV1" i="7"/>
  <c r="CZW1" i="7"/>
  <c r="CZX1" i="7"/>
  <c r="CZY1" i="7"/>
  <c r="CZZ1" i="7"/>
  <c r="DAA1" i="7"/>
  <c r="DAB1" i="7"/>
  <c r="DAC1" i="7"/>
  <c r="DAD1" i="7"/>
  <c r="DAE1" i="7"/>
  <c r="DAF1" i="7"/>
  <c r="DAG1" i="7"/>
  <c r="DAH1" i="7"/>
  <c r="DAI1" i="7"/>
  <c r="DAJ1" i="7"/>
  <c r="DAK1" i="7"/>
  <c r="DAL1" i="7"/>
  <c r="DAM1" i="7"/>
  <c r="DAN1" i="7"/>
  <c r="DAO1" i="7"/>
  <c r="DAP1" i="7"/>
  <c r="DAQ1" i="7"/>
  <c r="DAR1" i="7"/>
  <c r="DAS1" i="7"/>
  <c r="DAT1" i="7"/>
  <c r="DAU1" i="7"/>
  <c r="DAV1" i="7"/>
  <c r="DAW1" i="7"/>
  <c r="DAX1" i="7"/>
  <c r="DAY1" i="7"/>
  <c r="DAZ1" i="7"/>
  <c r="DBA1" i="7"/>
  <c r="DBB1" i="7"/>
  <c r="DBC1" i="7"/>
  <c r="DBD1" i="7"/>
  <c r="DBE1" i="7"/>
  <c r="DBF1" i="7"/>
  <c r="DBG1" i="7"/>
  <c r="DBH1" i="7"/>
  <c r="DBI1" i="7"/>
  <c r="DBJ1" i="7"/>
  <c r="DBK1" i="7"/>
  <c r="DBL1" i="7"/>
  <c r="DBM1" i="7"/>
  <c r="DBN1" i="7"/>
  <c r="DBO1" i="7"/>
  <c r="DBP1" i="7"/>
  <c r="DBQ1" i="7"/>
  <c r="DBR1" i="7"/>
  <c r="DBS1" i="7"/>
  <c r="DBT1" i="7"/>
  <c r="DBU1" i="7"/>
  <c r="DBV1" i="7"/>
  <c r="DBW1" i="7"/>
  <c r="DBX1" i="7"/>
  <c r="DBY1" i="7"/>
  <c r="DBZ1" i="7"/>
  <c r="DCA1" i="7"/>
  <c r="DCB1" i="7"/>
  <c r="DCC1" i="7"/>
  <c r="DCD1" i="7"/>
  <c r="DCE1" i="7"/>
  <c r="DCF1" i="7"/>
  <c r="DCG1" i="7"/>
  <c r="DCH1" i="7"/>
  <c r="DCI1" i="7"/>
  <c r="DCJ1" i="7"/>
  <c r="DCK1" i="7"/>
  <c r="DCL1" i="7"/>
  <c r="DCM1" i="7"/>
  <c r="DCN1" i="7"/>
  <c r="DCO1" i="7"/>
  <c r="DCP1" i="7"/>
  <c r="DCQ1" i="7"/>
  <c r="DCR1" i="7"/>
  <c r="DCS1" i="7"/>
  <c r="DCT1" i="7"/>
  <c r="DCU1" i="7"/>
  <c r="DCV1" i="7"/>
  <c r="DCW1" i="7"/>
  <c r="DCX1" i="7"/>
  <c r="DCY1" i="7"/>
  <c r="DCZ1" i="7"/>
  <c r="DDA1" i="7"/>
  <c r="DDB1" i="7"/>
  <c r="DDC1" i="7"/>
  <c r="DDD1" i="7"/>
  <c r="DDE1" i="7"/>
  <c r="DDF1" i="7"/>
  <c r="DDG1" i="7"/>
  <c r="DDH1" i="7"/>
  <c r="DDI1" i="7"/>
  <c r="DDJ1" i="7"/>
  <c r="DDK1" i="7"/>
  <c r="DDL1" i="7"/>
  <c r="DDM1" i="7"/>
  <c r="DDN1" i="7"/>
  <c r="DDO1" i="7"/>
  <c r="DDP1" i="7"/>
  <c r="DDQ1" i="7"/>
  <c r="DDR1" i="7"/>
  <c r="DDS1" i="7"/>
  <c r="DDT1" i="7"/>
  <c r="DDU1" i="7"/>
  <c r="DDV1" i="7"/>
  <c r="DDW1" i="7"/>
  <c r="DDX1" i="7"/>
  <c r="DDY1" i="7"/>
  <c r="DDZ1" i="7"/>
  <c r="DEA1" i="7"/>
  <c r="DEB1" i="7"/>
  <c r="DEC1" i="7"/>
  <c r="DED1" i="7"/>
  <c r="DEE1" i="7"/>
  <c r="DEF1" i="7"/>
  <c r="DEG1" i="7"/>
  <c r="DEH1" i="7"/>
  <c r="DEI1" i="7"/>
  <c r="DEJ1" i="7"/>
  <c r="DEK1" i="7"/>
  <c r="DEL1" i="7"/>
  <c r="DEM1" i="7"/>
  <c r="DEN1" i="7"/>
  <c r="DEO1" i="7"/>
  <c r="DEP1" i="7"/>
  <c r="DEQ1" i="7"/>
  <c r="DER1" i="7"/>
  <c r="DES1" i="7"/>
  <c r="DET1" i="7"/>
  <c r="DEU1" i="7"/>
  <c r="DEV1" i="7"/>
  <c r="DEW1" i="7"/>
  <c r="DEX1" i="7"/>
  <c r="DEY1" i="7"/>
  <c r="DEZ1" i="7"/>
  <c r="DFA1" i="7"/>
  <c r="DFB1" i="7"/>
  <c r="DFC1" i="7"/>
  <c r="DFD1" i="7"/>
  <c r="DFE1" i="7"/>
  <c r="DFF1" i="7"/>
  <c r="DFG1" i="7"/>
  <c r="DFH1" i="7"/>
  <c r="DFI1" i="7"/>
  <c r="DFJ1" i="7"/>
  <c r="DFK1" i="7"/>
  <c r="DFL1" i="7"/>
  <c r="DFM1" i="7"/>
  <c r="DFN1" i="7"/>
  <c r="DFO1" i="7"/>
  <c r="DFP1" i="7"/>
  <c r="DFQ1" i="7"/>
  <c r="DFR1" i="7"/>
  <c r="DFS1" i="7"/>
  <c r="DFT1" i="7"/>
  <c r="DFU1" i="7"/>
  <c r="DFV1" i="7"/>
  <c r="DFW1" i="7"/>
  <c r="DFX1" i="7"/>
  <c r="DFY1" i="7"/>
  <c r="DFZ1" i="7"/>
  <c r="DGA1" i="7"/>
  <c r="DGB1" i="7"/>
  <c r="DGC1" i="7"/>
  <c r="DGD1" i="7"/>
  <c r="DGE1" i="7"/>
  <c r="DGF1" i="7"/>
  <c r="DGG1" i="7"/>
  <c r="DGH1" i="7"/>
  <c r="DGI1" i="7"/>
  <c r="DGJ1" i="7"/>
  <c r="DGK1" i="7"/>
  <c r="DGL1" i="7"/>
  <c r="DGM1" i="7"/>
  <c r="DGN1" i="7"/>
  <c r="DGO1" i="7"/>
  <c r="DGP1" i="7"/>
  <c r="DGQ1" i="7"/>
  <c r="DGR1" i="7"/>
  <c r="DGS1" i="7"/>
  <c r="DGT1" i="7"/>
  <c r="DGU1" i="7"/>
  <c r="DGV1" i="7"/>
  <c r="DGW1" i="7"/>
  <c r="DGX1" i="7"/>
  <c r="DGY1" i="7"/>
  <c r="DGZ1" i="7"/>
  <c r="DHA1" i="7"/>
  <c r="DHB1" i="7"/>
  <c r="DHC1" i="7"/>
  <c r="DHD1" i="7"/>
  <c r="DHE1" i="7"/>
  <c r="DHF1" i="7"/>
  <c r="DHG1" i="7"/>
  <c r="DHH1" i="7"/>
  <c r="DHI1" i="7"/>
  <c r="DHJ1" i="7"/>
  <c r="DHK1" i="7"/>
  <c r="DHL1" i="7"/>
  <c r="DHM1" i="7"/>
  <c r="DHN1" i="7"/>
  <c r="DHO1" i="7"/>
  <c r="DHP1" i="7"/>
  <c r="DHQ1" i="7"/>
  <c r="DHR1" i="7"/>
  <c r="DHS1" i="7"/>
  <c r="DHT1" i="7"/>
  <c r="DHU1" i="7"/>
  <c r="DHV1" i="7"/>
  <c r="DHW1" i="7"/>
  <c r="DHX1" i="7"/>
  <c r="DHY1" i="7"/>
  <c r="DHZ1" i="7"/>
  <c r="DIA1" i="7"/>
  <c r="DIB1" i="7"/>
  <c r="DIC1" i="7"/>
  <c r="DID1" i="7"/>
  <c r="DIE1" i="7"/>
  <c r="DIF1" i="7"/>
  <c r="DIG1" i="7"/>
  <c r="DIH1" i="7"/>
  <c r="DII1" i="7"/>
  <c r="DIJ1" i="7"/>
  <c r="DIK1" i="7"/>
  <c r="DIL1" i="7"/>
  <c r="DIM1" i="7"/>
  <c r="DIN1" i="7"/>
  <c r="DIO1" i="7"/>
  <c r="DIP1" i="7"/>
  <c r="DIQ1" i="7"/>
  <c r="DIR1" i="7"/>
  <c r="DIS1" i="7"/>
  <c r="DIT1" i="7"/>
  <c r="DIU1" i="7"/>
  <c r="DIV1" i="7"/>
  <c r="DIW1" i="7"/>
  <c r="DIX1" i="7"/>
  <c r="DIY1" i="7"/>
  <c r="DIZ1" i="7"/>
  <c r="DJA1" i="7"/>
  <c r="DJB1" i="7"/>
  <c r="DJC1" i="7"/>
  <c r="DJD1" i="7"/>
  <c r="DJE1" i="7"/>
  <c r="DJF1" i="7"/>
  <c r="DJG1" i="7"/>
  <c r="DJH1" i="7"/>
  <c r="DJI1" i="7"/>
  <c r="DJJ1" i="7"/>
  <c r="DJK1" i="7"/>
  <c r="DJL1" i="7"/>
  <c r="DJM1" i="7"/>
  <c r="DJN1" i="7"/>
  <c r="DJO1" i="7"/>
  <c r="DJP1" i="7"/>
  <c r="DJQ1" i="7"/>
  <c r="DJR1" i="7"/>
  <c r="DJS1" i="7"/>
  <c r="DJT1" i="7"/>
  <c r="DJU1" i="7"/>
  <c r="DJV1" i="7"/>
  <c r="DJW1" i="7"/>
  <c r="DJX1" i="7"/>
  <c r="DJY1" i="7"/>
  <c r="DJZ1" i="7"/>
  <c r="DKA1" i="7"/>
  <c r="DKB1" i="7"/>
  <c r="DKC1" i="7"/>
  <c r="DKD1" i="7"/>
  <c r="DKE1" i="7"/>
  <c r="DKF1" i="7"/>
  <c r="DKG1" i="7"/>
  <c r="DKH1" i="7"/>
  <c r="DKI1" i="7"/>
  <c r="DKJ1" i="7"/>
  <c r="DKK1" i="7"/>
  <c r="DKL1" i="7"/>
  <c r="DKM1" i="7"/>
  <c r="DKN1" i="7"/>
  <c r="DKO1" i="7"/>
  <c r="DKP1" i="7"/>
  <c r="DKQ1" i="7"/>
  <c r="DKR1" i="7"/>
  <c r="DKS1" i="7"/>
  <c r="DKT1" i="7"/>
  <c r="DKU1" i="7"/>
  <c r="DKV1" i="7"/>
  <c r="DKW1" i="7"/>
  <c r="DKX1" i="7"/>
  <c r="DKY1" i="7"/>
  <c r="DKZ1" i="7"/>
  <c r="DLA1" i="7"/>
  <c r="DLB1" i="7"/>
  <c r="DLC1" i="7"/>
  <c r="DLD1" i="7"/>
  <c r="DLE1" i="7"/>
  <c r="DLF1" i="7"/>
  <c r="DLG1" i="7"/>
  <c r="DLH1" i="7"/>
  <c r="DLI1" i="7"/>
  <c r="DLJ1" i="7"/>
  <c r="DLK1" i="7"/>
  <c r="DLL1" i="7"/>
  <c r="DLM1" i="7"/>
  <c r="DLN1" i="7"/>
  <c r="DLO1" i="7"/>
  <c r="DLP1" i="7"/>
  <c r="DLQ1" i="7"/>
  <c r="DLR1" i="7"/>
  <c r="DLS1" i="7"/>
  <c r="DLT1" i="7"/>
  <c r="DLU1" i="7"/>
  <c r="DLV1" i="7"/>
  <c r="DLW1" i="7"/>
  <c r="DLX1" i="7"/>
  <c r="DLY1" i="7"/>
  <c r="DLZ1" i="7"/>
  <c r="DMA1" i="7"/>
  <c r="DMB1" i="7"/>
  <c r="DMC1" i="7"/>
  <c r="DMD1" i="7"/>
  <c r="DME1" i="7"/>
  <c r="DMF1" i="7"/>
  <c r="DMG1" i="7"/>
  <c r="DMH1" i="7"/>
  <c r="DMI1" i="7"/>
  <c r="DMJ1" i="7"/>
  <c r="DMK1" i="7"/>
  <c r="DML1" i="7"/>
  <c r="DMM1" i="7"/>
  <c r="DMN1" i="7"/>
  <c r="DMO1" i="7"/>
  <c r="DMP1" i="7"/>
  <c r="DMQ1" i="7"/>
  <c r="DMR1" i="7"/>
  <c r="DMS1" i="7"/>
  <c r="DMT1" i="7"/>
  <c r="DMU1" i="7"/>
  <c r="DMV1" i="7"/>
  <c r="DMW1" i="7"/>
  <c r="DMX1" i="7"/>
  <c r="DMY1" i="7"/>
  <c r="DMZ1" i="7"/>
  <c r="DNA1" i="7"/>
  <c r="DNB1" i="7"/>
  <c r="DNC1" i="7"/>
  <c r="DND1" i="7"/>
  <c r="DNE1" i="7"/>
  <c r="DNF1" i="7"/>
  <c r="DNG1" i="7"/>
  <c r="DNH1" i="7"/>
  <c r="DNI1" i="7"/>
  <c r="DNJ1" i="7"/>
  <c r="DNK1" i="7"/>
  <c r="DNL1" i="7"/>
  <c r="DNM1" i="7"/>
  <c r="DNN1" i="7"/>
  <c r="DNO1" i="7"/>
  <c r="DNP1" i="7"/>
  <c r="DNQ1" i="7"/>
  <c r="DNR1" i="7"/>
  <c r="DNS1" i="7"/>
  <c r="DNT1" i="7"/>
  <c r="DNU1" i="7"/>
  <c r="DNV1" i="7"/>
  <c r="DNW1" i="7"/>
  <c r="DNX1" i="7"/>
  <c r="DNY1" i="7"/>
  <c r="DNZ1" i="7"/>
  <c r="DOA1" i="7"/>
  <c r="DOB1" i="7"/>
  <c r="DOC1" i="7"/>
  <c r="DOD1" i="7"/>
  <c r="DOE1" i="7"/>
  <c r="DOF1" i="7"/>
  <c r="DOG1" i="7"/>
  <c r="DOH1" i="7"/>
  <c r="DOI1" i="7"/>
  <c r="DOJ1" i="7"/>
  <c r="DOK1" i="7"/>
  <c r="DOL1" i="7"/>
  <c r="DOM1" i="7"/>
  <c r="DON1" i="7"/>
  <c r="DOO1" i="7"/>
  <c r="DOP1" i="7"/>
  <c r="DOQ1" i="7"/>
  <c r="DOR1" i="7"/>
  <c r="DOS1" i="7"/>
  <c r="DOT1" i="7"/>
  <c r="DOU1" i="7"/>
  <c r="DOV1" i="7"/>
  <c r="DOW1" i="7"/>
  <c r="DOX1" i="7"/>
  <c r="DOY1" i="7"/>
  <c r="DOZ1" i="7"/>
  <c r="DPA1" i="7"/>
  <c r="DPB1" i="7"/>
  <c r="DPC1" i="7"/>
  <c r="DPD1" i="7"/>
  <c r="DPE1" i="7"/>
  <c r="DPF1" i="7"/>
  <c r="DPG1" i="7"/>
  <c r="DPH1" i="7"/>
  <c r="DPI1" i="7"/>
  <c r="DPJ1" i="7"/>
  <c r="DPK1" i="7"/>
  <c r="DPL1" i="7"/>
  <c r="DPM1" i="7"/>
  <c r="DPN1" i="7"/>
  <c r="DPO1" i="7"/>
  <c r="DPP1" i="7"/>
  <c r="DPQ1" i="7"/>
  <c r="DPR1" i="7"/>
  <c r="DPS1" i="7"/>
  <c r="DPT1" i="7"/>
  <c r="DPU1" i="7"/>
  <c r="DPV1" i="7"/>
  <c r="DPW1" i="7"/>
  <c r="DPX1" i="7"/>
  <c r="DPY1" i="7"/>
  <c r="DPZ1" i="7"/>
  <c r="DQA1" i="7"/>
  <c r="DQB1" i="7"/>
  <c r="DQC1" i="7"/>
  <c r="DQD1" i="7"/>
  <c r="DQE1" i="7"/>
  <c r="DQF1" i="7"/>
  <c r="DQG1" i="7"/>
  <c r="DQH1" i="7"/>
  <c r="DQI1" i="7"/>
  <c r="DQJ1" i="7"/>
  <c r="DQK1" i="7"/>
  <c r="DQL1" i="7"/>
  <c r="DQM1" i="7"/>
  <c r="DQN1" i="7"/>
  <c r="DQO1" i="7"/>
  <c r="DQP1" i="7"/>
  <c r="DQQ1" i="7"/>
  <c r="DQR1" i="7"/>
  <c r="DQS1" i="7"/>
  <c r="DQT1" i="7"/>
  <c r="DQU1" i="7"/>
  <c r="DQV1" i="7"/>
  <c r="DQW1" i="7"/>
  <c r="DQX1" i="7"/>
  <c r="DQY1" i="7"/>
  <c r="DQZ1" i="7"/>
  <c r="DRA1" i="7"/>
  <c r="DRB1" i="7"/>
  <c r="DRC1" i="7"/>
  <c r="DRD1" i="7"/>
  <c r="DRE1" i="7"/>
  <c r="DRF1" i="7"/>
  <c r="DRG1" i="7"/>
  <c r="DRH1" i="7"/>
  <c r="DRI1" i="7"/>
  <c r="DRJ1" i="7"/>
  <c r="DRK1" i="7"/>
  <c r="DRL1" i="7"/>
  <c r="DRM1" i="7"/>
  <c r="DRN1" i="7"/>
  <c r="DRO1" i="7"/>
  <c r="DRP1" i="7"/>
  <c r="DRQ1" i="7"/>
  <c r="DRR1" i="7"/>
  <c r="DRS1" i="7"/>
  <c r="DRT1" i="7"/>
  <c r="DRU1" i="7"/>
  <c r="DRV1" i="7"/>
  <c r="DRW1" i="7"/>
  <c r="DRX1" i="7"/>
  <c r="DRY1" i="7"/>
  <c r="DRZ1" i="7"/>
  <c r="DSA1" i="7"/>
  <c r="DSB1" i="7"/>
  <c r="DSC1" i="7"/>
  <c r="DSD1" i="7"/>
  <c r="DSE1" i="7"/>
  <c r="DSF1" i="7"/>
  <c r="DSG1" i="7"/>
  <c r="DSH1" i="7"/>
  <c r="DSI1" i="7"/>
  <c r="DSJ1" i="7"/>
  <c r="DSK1" i="7"/>
  <c r="DSL1" i="7"/>
  <c r="DSM1" i="7"/>
  <c r="DSN1" i="7"/>
  <c r="DSO1" i="7"/>
  <c r="DSP1" i="7"/>
  <c r="DSQ1" i="7"/>
  <c r="DSR1" i="7"/>
  <c r="DSS1" i="7"/>
  <c r="DST1" i="7"/>
  <c r="DSU1" i="7"/>
  <c r="DSV1" i="7"/>
  <c r="DSW1" i="7"/>
  <c r="DSX1" i="7"/>
  <c r="DSY1" i="7"/>
  <c r="DSZ1" i="7"/>
  <c r="DTA1" i="7"/>
  <c r="DTB1" i="7"/>
  <c r="DTC1" i="7"/>
  <c r="DTD1" i="7"/>
  <c r="DTE1" i="7"/>
  <c r="DTF1" i="7"/>
  <c r="DTG1" i="7"/>
  <c r="DTH1" i="7"/>
  <c r="DTI1" i="7"/>
  <c r="DTJ1" i="7"/>
  <c r="DTK1" i="7"/>
  <c r="DTL1" i="7"/>
  <c r="DTM1" i="7"/>
  <c r="DTN1" i="7"/>
  <c r="DTO1" i="7"/>
  <c r="DTP1" i="7"/>
  <c r="DTQ1" i="7"/>
  <c r="DTR1" i="7"/>
  <c r="DTS1" i="7"/>
  <c r="DTT1" i="7"/>
  <c r="DTU1" i="7"/>
  <c r="DTV1" i="7"/>
  <c r="DTW1" i="7"/>
  <c r="DTX1" i="7"/>
  <c r="DTY1" i="7"/>
  <c r="DTZ1" i="7"/>
  <c r="DUA1" i="7"/>
  <c r="DUB1" i="7"/>
  <c r="DUC1" i="7"/>
  <c r="DUD1" i="7"/>
  <c r="DUE1" i="7"/>
  <c r="DUF1" i="7"/>
  <c r="DUG1" i="7"/>
  <c r="DUH1" i="7"/>
  <c r="DUI1" i="7"/>
  <c r="DUJ1" i="7"/>
  <c r="DUK1" i="7"/>
  <c r="DUL1" i="7"/>
  <c r="DUM1" i="7"/>
  <c r="DUN1" i="7"/>
  <c r="DUO1" i="7"/>
  <c r="DUP1" i="7"/>
  <c r="DUQ1" i="7"/>
  <c r="DUR1" i="7"/>
  <c r="DUS1" i="7"/>
  <c r="DUT1" i="7"/>
  <c r="DUU1" i="7"/>
  <c r="DUV1" i="7"/>
  <c r="DUW1" i="7"/>
  <c r="DUX1" i="7"/>
  <c r="DUY1" i="7"/>
  <c r="DUZ1" i="7"/>
  <c r="DVA1" i="7"/>
  <c r="DVB1" i="7"/>
  <c r="DVC1" i="7"/>
  <c r="DVD1" i="7"/>
  <c r="DVE1" i="7"/>
  <c r="DVF1" i="7"/>
  <c r="DVG1" i="7"/>
  <c r="DVH1" i="7"/>
  <c r="DVI1" i="7"/>
  <c r="DVJ1" i="7"/>
  <c r="DVK1" i="7"/>
  <c r="DVL1" i="7"/>
  <c r="DVM1" i="7"/>
  <c r="DVN1" i="7"/>
  <c r="DVO1" i="7"/>
  <c r="DVP1" i="7"/>
  <c r="DVQ1" i="7"/>
  <c r="DVR1" i="7"/>
  <c r="DVS1" i="7"/>
  <c r="DVT1" i="7"/>
  <c r="DVU1" i="7"/>
  <c r="DVV1" i="7"/>
  <c r="DVW1" i="7"/>
  <c r="DVX1" i="7"/>
  <c r="DVY1" i="7"/>
  <c r="DVZ1" i="7"/>
  <c r="DWA1" i="7"/>
  <c r="DWB1" i="7"/>
  <c r="DWC1" i="7"/>
  <c r="DWD1" i="7"/>
  <c r="DWE1" i="7"/>
  <c r="DWF1" i="7"/>
  <c r="DWG1" i="7"/>
  <c r="DWH1" i="7"/>
  <c r="DWI1" i="7"/>
  <c r="DWJ1" i="7"/>
  <c r="DWK1" i="7"/>
  <c r="DWL1" i="7"/>
  <c r="DWM1" i="7"/>
  <c r="DWN1" i="7"/>
  <c r="DWO1" i="7"/>
  <c r="DWP1" i="7"/>
  <c r="DWQ1" i="7"/>
  <c r="DWR1" i="7"/>
  <c r="DWS1" i="7"/>
  <c r="DWT1" i="7"/>
  <c r="DWU1" i="7"/>
  <c r="DWV1" i="7"/>
  <c r="DWW1" i="7"/>
  <c r="DWX1" i="7"/>
  <c r="DWY1" i="7"/>
  <c r="DWZ1" i="7"/>
  <c r="DXA1" i="7"/>
  <c r="DXB1" i="7"/>
  <c r="DXC1" i="7"/>
  <c r="DXD1" i="7"/>
  <c r="DXE1" i="7"/>
  <c r="DXF1" i="7"/>
  <c r="DXG1" i="7"/>
  <c r="DXH1" i="7"/>
  <c r="DXI1" i="7"/>
  <c r="DXJ1" i="7"/>
  <c r="DXK1" i="7"/>
  <c r="DXL1" i="7"/>
  <c r="DXM1" i="7"/>
  <c r="DXN1" i="7"/>
  <c r="DXO1" i="7"/>
  <c r="DXP1" i="7"/>
  <c r="DXQ1" i="7"/>
  <c r="DXR1" i="7"/>
  <c r="DXS1" i="7"/>
  <c r="DXT1" i="7"/>
  <c r="DXU1" i="7"/>
  <c r="DXV1" i="7"/>
  <c r="DXW1" i="7"/>
  <c r="DXX1" i="7"/>
  <c r="DXY1" i="7"/>
  <c r="DXZ1" i="7"/>
  <c r="DYA1" i="7"/>
  <c r="DYB1" i="7"/>
  <c r="DYC1" i="7"/>
  <c r="DYD1" i="7"/>
  <c r="DYE1" i="7"/>
  <c r="DYF1" i="7"/>
  <c r="DYG1" i="7"/>
  <c r="DYH1" i="7"/>
  <c r="DYI1" i="7"/>
  <c r="DYJ1" i="7"/>
  <c r="DYK1" i="7"/>
  <c r="DYL1" i="7"/>
  <c r="DYM1" i="7"/>
  <c r="DYN1" i="7"/>
  <c r="DYO1" i="7"/>
  <c r="DYP1" i="7"/>
  <c r="DYQ1" i="7"/>
  <c r="DYR1" i="7"/>
  <c r="DYS1" i="7"/>
  <c r="DYT1" i="7"/>
  <c r="DYU1" i="7"/>
  <c r="DYV1" i="7"/>
  <c r="DYW1" i="7"/>
  <c r="DYX1" i="7"/>
  <c r="DYY1" i="7"/>
  <c r="DYZ1" i="7"/>
  <c r="DZA1" i="7"/>
  <c r="DZB1" i="7"/>
  <c r="DZC1" i="7"/>
  <c r="DZD1" i="7"/>
  <c r="DZE1" i="7"/>
  <c r="DZF1" i="7"/>
  <c r="DZG1" i="7"/>
  <c r="DZH1" i="7"/>
  <c r="DZI1" i="7"/>
  <c r="DZJ1" i="7"/>
  <c r="DZK1" i="7"/>
  <c r="DZL1" i="7"/>
  <c r="DZM1" i="7"/>
  <c r="DZN1" i="7"/>
  <c r="DZO1" i="7"/>
  <c r="DZP1" i="7"/>
  <c r="DZQ1" i="7"/>
  <c r="DZR1" i="7"/>
  <c r="DZS1" i="7"/>
  <c r="DZT1" i="7"/>
  <c r="DZU1" i="7"/>
  <c r="DZV1" i="7"/>
  <c r="DZW1" i="7"/>
  <c r="DZX1" i="7"/>
  <c r="DZY1" i="7"/>
  <c r="DZZ1" i="7"/>
  <c r="EAA1" i="7"/>
  <c r="EAB1" i="7"/>
  <c r="EAC1" i="7"/>
  <c r="EAD1" i="7"/>
  <c r="EAE1" i="7"/>
  <c r="EAF1" i="7"/>
  <c r="EAG1" i="7"/>
  <c r="EAH1" i="7"/>
  <c r="EAI1" i="7"/>
  <c r="EAJ1" i="7"/>
  <c r="EAK1" i="7"/>
  <c r="EAL1" i="7"/>
  <c r="EAM1" i="7"/>
  <c r="EAN1" i="7"/>
  <c r="EAO1" i="7"/>
  <c r="EAP1" i="7"/>
  <c r="EAQ1" i="7"/>
  <c r="EAR1" i="7"/>
  <c r="EAS1" i="7"/>
  <c r="EAT1" i="7"/>
  <c r="EAU1" i="7"/>
  <c r="EAV1" i="7"/>
  <c r="EAW1" i="7"/>
  <c r="EAX1" i="7"/>
  <c r="EAY1" i="7"/>
  <c r="EAZ1" i="7"/>
  <c r="EBA1" i="7"/>
  <c r="EBB1" i="7"/>
  <c r="EBC1" i="7"/>
  <c r="EBD1" i="7"/>
  <c r="EBE1" i="7"/>
  <c r="EBF1" i="7"/>
  <c r="EBG1" i="7"/>
  <c r="EBH1" i="7"/>
  <c r="EBI1" i="7"/>
  <c r="EBJ1" i="7"/>
  <c r="EBK1" i="7"/>
  <c r="EBL1" i="7"/>
  <c r="EBM1" i="7"/>
  <c r="EBN1" i="7"/>
  <c r="EBO1" i="7"/>
  <c r="EBP1" i="7"/>
  <c r="EBQ1" i="7"/>
  <c r="EBR1" i="7"/>
  <c r="EBS1" i="7"/>
  <c r="EBT1" i="7"/>
  <c r="EBU1" i="7"/>
  <c r="EBV1" i="7"/>
  <c r="EBW1" i="7"/>
  <c r="EBX1" i="7"/>
  <c r="EBY1" i="7"/>
  <c r="EBZ1" i="7"/>
  <c r="ECA1" i="7"/>
  <c r="ECB1" i="7"/>
  <c r="ECC1" i="7"/>
  <c r="ECD1" i="7"/>
  <c r="ECE1" i="7"/>
  <c r="ECF1" i="7"/>
  <c r="ECG1" i="7"/>
  <c r="ECH1" i="7"/>
  <c r="ECI1" i="7"/>
  <c r="ECJ1" i="7"/>
  <c r="ECK1" i="7"/>
  <c r="ECL1" i="7"/>
  <c r="ECM1" i="7"/>
  <c r="ECN1" i="7"/>
  <c r="ECO1" i="7"/>
  <c r="ECP1" i="7"/>
  <c r="ECQ1" i="7"/>
  <c r="ECR1" i="7"/>
  <c r="ECS1" i="7"/>
  <c r="ECT1" i="7"/>
  <c r="ECU1" i="7"/>
  <c r="ECV1" i="7"/>
  <c r="ECW1" i="7"/>
  <c r="ECX1" i="7"/>
  <c r="ECY1" i="7"/>
  <c r="ECZ1" i="7"/>
  <c r="EDA1" i="7"/>
  <c r="EDB1" i="7"/>
  <c r="EDC1" i="7"/>
  <c r="EDD1" i="7"/>
  <c r="EDE1" i="7"/>
  <c r="EDF1" i="7"/>
  <c r="EDG1" i="7"/>
  <c r="EDH1" i="7"/>
  <c r="EDI1" i="7"/>
  <c r="EDJ1" i="7"/>
  <c r="EDK1" i="7"/>
  <c r="EDL1" i="7"/>
  <c r="EDM1" i="7"/>
  <c r="EDN1" i="7"/>
  <c r="EDO1" i="7"/>
  <c r="EDP1" i="7"/>
  <c r="EDQ1" i="7"/>
  <c r="EDR1" i="7"/>
  <c r="EDS1" i="7"/>
  <c r="EDT1" i="7"/>
  <c r="EDU1" i="7"/>
  <c r="EDV1" i="7"/>
  <c r="EDW1" i="7"/>
  <c r="EDX1" i="7"/>
  <c r="EDY1" i="7"/>
  <c r="EDZ1" i="7"/>
  <c r="EEA1" i="7"/>
  <c r="EEB1" i="7"/>
  <c r="EEC1" i="7"/>
  <c r="EED1" i="7"/>
  <c r="EEE1" i="7"/>
  <c r="EEF1" i="7"/>
  <c r="EEG1" i="7"/>
  <c r="EEH1" i="7"/>
  <c r="EEI1" i="7"/>
  <c r="EEJ1" i="7"/>
  <c r="EEK1" i="7"/>
  <c r="EEL1" i="7"/>
  <c r="EEM1" i="7"/>
  <c r="EEN1" i="7"/>
  <c r="EEO1" i="7"/>
  <c r="EEP1" i="7"/>
  <c r="EEQ1" i="7"/>
  <c r="EER1" i="7"/>
  <c r="EES1" i="7"/>
  <c r="EET1" i="7"/>
  <c r="EEU1" i="7"/>
  <c r="EEV1" i="7"/>
  <c r="EEW1" i="7"/>
  <c r="EEX1" i="7"/>
  <c r="EEY1" i="7"/>
  <c r="EEZ1" i="7"/>
  <c r="EFA1" i="7"/>
  <c r="EFB1" i="7"/>
  <c r="EFC1" i="7"/>
  <c r="EFD1" i="7"/>
  <c r="EFE1" i="7"/>
  <c r="EFF1" i="7"/>
  <c r="EFG1" i="7"/>
  <c r="EFH1" i="7"/>
  <c r="EFI1" i="7"/>
  <c r="EFJ1" i="7"/>
  <c r="EFK1" i="7"/>
  <c r="EFL1" i="7"/>
  <c r="EFM1" i="7"/>
  <c r="EFN1" i="7"/>
  <c r="EFO1" i="7"/>
  <c r="EFP1" i="7"/>
  <c r="EFQ1" i="7"/>
  <c r="EFR1" i="7"/>
  <c r="EFS1" i="7"/>
  <c r="EFT1" i="7"/>
  <c r="EFU1" i="7"/>
  <c r="EFV1" i="7"/>
  <c r="EFW1" i="7"/>
  <c r="EFX1" i="7"/>
  <c r="EFY1" i="7"/>
  <c r="EFZ1" i="7"/>
  <c r="EGA1" i="7"/>
  <c r="EGB1" i="7"/>
  <c r="EGC1" i="7"/>
  <c r="EGD1" i="7"/>
  <c r="EGE1" i="7"/>
  <c r="EGF1" i="7"/>
  <c r="EGG1" i="7"/>
  <c r="EGH1" i="7"/>
  <c r="EGI1" i="7"/>
  <c r="EGJ1" i="7"/>
  <c r="EGK1" i="7"/>
  <c r="EGL1" i="7"/>
  <c r="EGM1" i="7"/>
  <c r="EGN1" i="7"/>
  <c r="EGO1" i="7"/>
  <c r="EGP1" i="7"/>
  <c r="EGQ1" i="7"/>
  <c r="EGR1" i="7"/>
  <c r="EGS1" i="7"/>
  <c r="EGT1" i="7"/>
  <c r="EGU1" i="7"/>
  <c r="EGV1" i="7"/>
  <c r="EGW1" i="7"/>
  <c r="EGX1" i="7"/>
  <c r="EGY1" i="7"/>
  <c r="EGZ1" i="7"/>
  <c r="EHA1" i="7"/>
  <c r="EHB1" i="7"/>
  <c r="EHC1" i="7"/>
  <c r="EHD1" i="7"/>
  <c r="EHE1" i="7"/>
  <c r="EHF1" i="7"/>
  <c r="EHG1" i="7"/>
  <c r="EHH1" i="7"/>
  <c r="EHI1" i="7"/>
  <c r="EHJ1" i="7"/>
  <c r="EHK1" i="7"/>
  <c r="EHL1" i="7"/>
  <c r="EHM1" i="7"/>
  <c r="EHN1" i="7"/>
  <c r="EHO1" i="7"/>
  <c r="EHP1" i="7"/>
  <c r="EHQ1" i="7"/>
  <c r="EHR1" i="7"/>
  <c r="EHS1" i="7"/>
  <c r="EHT1" i="7"/>
  <c r="EHU1" i="7"/>
  <c r="EHV1" i="7"/>
  <c r="EHW1" i="7"/>
  <c r="EHX1" i="7"/>
  <c r="EHY1" i="7"/>
  <c r="EHZ1" i="7"/>
  <c r="EIA1" i="7"/>
  <c r="EIB1" i="7"/>
  <c r="EIC1" i="7"/>
  <c r="EID1" i="7"/>
  <c r="EIE1" i="7"/>
  <c r="EIF1" i="7"/>
  <c r="EIG1" i="7"/>
  <c r="EIH1" i="7"/>
  <c r="EII1" i="7"/>
  <c r="EIJ1" i="7"/>
  <c r="EIK1" i="7"/>
  <c r="EIL1" i="7"/>
  <c r="EIM1" i="7"/>
  <c r="EIN1" i="7"/>
  <c r="EIO1" i="7"/>
  <c r="EIP1" i="7"/>
  <c r="EIQ1" i="7"/>
  <c r="EIR1" i="7"/>
  <c r="EIS1" i="7"/>
  <c r="EIT1" i="7"/>
  <c r="EIU1" i="7"/>
  <c r="EIV1" i="7"/>
  <c r="EIW1" i="7"/>
  <c r="EIX1" i="7"/>
  <c r="EIY1" i="7"/>
  <c r="EIZ1" i="7"/>
  <c r="EJA1" i="7"/>
  <c r="EJB1" i="7"/>
  <c r="EJC1" i="7"/>
  <c r="EJD1" i="7"/>
  <c r="EJE1" i="7"/>
  <c r="EJF1" i="7"/>
  <c r="EJG1" i="7"/>
  <c r="EJH1" i="7"/>
  <c r="EJI1" i="7"/>
  <c r="EJJ1" i="7"/>
  <c r="EJK1" i="7"/>
  <c r="EJL1" i="7"/>
  <c r="EJM1" i="7"/>
  <c r="EJN1" i="7"/>
  <c r="EJO1" i="7"/>
  <c r="EJP1" i="7"/>
  <c r="EJQ1" i="7"/>
  <c r="EJR1" i="7"/>
  <c r="EJS1" i="7"/>
  <c r="EJT1" i="7"/>
  <c r="EJU1" i="7"/>
  <c r="EJV1" i="7"/>
  <c r="EJW1" i="7"/>
  <c r="EJX1" i="7"/>
  <c r="EJY1" i="7"/>
  <c r="EJZ1" i="7"/>
  <c r="EKA1" i="7"/>
  <c r="EKB1" i="7"/>
  <c r="EKC1" i="7"/>
  <c r="EKD1" i="7"/>
  <c r="EKE1" i="7"/>
  <c r="EKF1" i="7"/>
  <c r="EKG1" i="7"/>
  <c r="EKH1" i="7"/>
  <c r="EKI1" i="7"/>
  <c r="EKJ1" i="7"/>
  <c r="EKK1" i="7"/>
  <c r="EKL1" i="7"/>
  <c r="EKM1" i="7"/>
  <c r="EKN1" i="7"/>
  <c r="EKO1" i="7"/>
  <c r="EKP1" i="7"/>
  <c r="EKQ1" i="7"/>
  <c r="EKR1" i="7"/>
  <c r="EKS1" i="7"/>
  <c r="EKT1" i="7"/>
  <c r="EKU1" i="7"/>
  <c r="EKV1" i="7"/>
  <c r="EKW1" i="7"/>
  <c r="EKX1" i="7"/>
  <c r="EKY1" i="7"/>
  <c r="EKZ1" i="7"/>
  <c r="ELA1" i="7"/>
  <c r="ELB1" i="7"/>
  <c r="ELC1" i="7"/>
  <c r="ELD1" i="7"/>
  <c r="ELE1" i="7"/>
  <c r="ELF1" i="7"/>
  <c r="ELG1" i="7"/>
  <c r="ELH1" i="7"/>
  <c r="ELI1" i="7"/>
  <c r="ELJ1" i="7"/>
  <c r="ELK1" i="7"/>
  <c r="ELL1" i="7"/>
  <c r="ELM1" i="7"/>
  <c r="ELN1" i="7"/>
  <c r="ELO1" i="7"/>
  <c r="ELP1" i="7"/>
  <c r="ELQ1" i="7"/>
  <c r="ELR1" i="7"/>
  <c r="ELS1" i="7"/>
  <c r="ELT1" i="7"/>
  <c r="ELU1" i="7"/>
  <c r="ELV1" i="7"/>
  <c r="ELW1" i="7"/>
  <c r="ELX1" i="7"/>
  <c r="ELY1" i="7"/>
  <c r="ELZ1" i="7"/>
  <c r="EMA1" i="7"/>
  <c r="EMB1" i="7"/>
  <c r="EMC1" i="7"/>
  <c r="EMD1" i="7"/>
  <c r="EME1" i="7"/>
  <c r="EMF1" i="7"/>
  <c r="EMG1" i="7"/>
  <c r="EMH1" i="7"/>
  <c r="EMI1" i="7"/>
  <c r="EMJ1" i="7"/>
  <c r="EMK1" i="7"/>
  <c r="EML1" i="7"/>
  <c r="EMM1" i="7"/>
  <c r="EMN1" i="7"/>
  <c r="EMO1" i="7"/>
  <c r="EMP1" i="7"/>
  <c r="EMQ1" i="7"/>
  <c r="EMR1" i="7"/>
  <c r="EMS1" i="7"/>
  <c r="EMT1" i="7"/>
  <c r="EMU1" i="7"/>
  <c r="EMV1" i="7"/>
  <c r="EMW1" i="7"/>
  <c r="EMX1" i="7"/>
  <c r="EMY1" i="7"/>
  <c r="EMZ1" i="7"/>
  <c r="ENA1" i="7"/>
  <c r="ENB1" i="7"/>
  <c r="ENC1" i="7"/>
  <c r="END1" i="7"/>
  <c r="ENE1" i="7"/>
  <c r="ENF1" i="7"/>
  <c r="ENG1" i="7"/>
  <c r="ENH1" i="7"/>
  <c r="ENI1" i="7"/>
  <c r="ENJ1" i="7"/>
  <c r="ENK1" i="7"/>
  <c r="ENL1" i="7"/>
  <c r="ENM1" i="7"/>
  <c r="ENN1" i="7"/>
  <c r="ENO1" i="7"/>
  <c r="ENP1" i="7"/>
  <c r="ENQ1" i="7"/>
  <c r="ENR1" i="7"/>
  <c r="ENS1" i="7"/>
  <c r="ENT1" i="7"/>
  <c r="ENU1" i="7"/>
  <c r="ENV1" i="7"/>
  <c r="ENW1" i="7"/>
  <c r="ENX1" i="7"/>
  <c r="ENY1" i="7"/>
  <c r="ENZ1" i="7"/>
  <c r="EOA1" i="7"/>
  <c r="EOB1" i="7"/>
  <c r="EOC1" i="7"/>
  <c r="EOD1" i="7"/>
  <c r="EOE1" i="7"/>
  <c r="EOF1" i="7"/>
  <c r="EOG1" i="7"/>
  <c r="EOH1" i="7"/>
  <c r="EOI1" i="7"/>
  <c r="EOJ1" i="7"/>
  <c r="EOK1" i="7"/>
  <c r="EOL1" i="7"/>
  <c r="EOM1" i="7"/>
  <c r="EON1" i="7"/>
  <c r="EOO1" i="7"/>
  <c r="EOP1" i="7"/>
  <c r="EOQ1" i="7"/>
  <c r="EOR1" i="7"/>
  <c r="EOS1" i="7"/>
  <c r="EOT1" i="7"/>
  <c r="EOU1" i="7"/>
  <c r="EOV1" i="7"/>
  <c r="EOW1" i="7"/>
  <c r="EOX1" i="7"/>
  <c r="EOY1" i="7"/>
  <c r="EOZ1" i="7"/>
  <c r="EPA1" i="7"/>
  <c r="EPB1" i="7"/>
  <c r="EPC1" i="7"/>
  <c r="EPD1" i="7"/>
  <c r="EPE1" i="7"/>
  <c r="EPF1" i="7"/>
  <c r="EPG1" i="7"/>
  <c r="EPH1" i="7"/>
  <c r="EPI1" i="7"/>
  <c r="EPJ1" i="7"/>
  <c r="EPK1" i="7"/>
  <c r="EPL1" i="7"/>
  <c r="EPM1" i="7"/>
  <c r="EPN1" i="7"/>
  <c r="EPO1" i="7"/>
  <c r="EPP1" i="7"/>
  <c r="EPQ1" i="7"/>
  <c r="EPR1" i="7"/>
  <c r="EPS1" i="7"/>
  <c r="EPT1" i="7"/>
  <c r="EPU1" i="7"/>
  <c r="EPV1" i="7"/>
  <c r="EPW1" i="7"/>
  <c r="EPX1" i="7"/>
  <c r="EPY1" i="7"/>
  <c r="EPZ1" i="7"/>
  <c r="EQA1" i="7"/>
  <c r="EQB1" i="7"/>
  <c r="EQC1" i="7"/>
  <c r="EQD1" i="7"/>
  <c r="EQE1" i="7"/>
  <c r="EQF1" i="7"/>
  <c r="EQG1" i="7"/>
  <c r="EQH1" i="7"/>
  <c r="EQI1" i="7"/>
  <c r="EQJ1" i="7"/>
  <c r="EQK1" i="7"/>
  <c r="EQL1" i="7"/>
  <c r="EQM1" i="7"/>
  <c r="EQN1" i="7"/>
  <c r="EQO1" i="7"/>
  <c r="EQP1" i="7"/>
  <c r="EQQ1" i="7"/>
  <c r="EQR1" i="7"/>
  <c r="EQS1" i="7"/>
  <c r="EQT1" i="7"/>
  <c r="EQU1" i="7"/>
  <c r="EQV1" i="7"/>
  <c r="EQW1" i="7"/>
  <c r="EQX1" i="7"/>
  <c r="EQY1" i="7"/>
  <c r="EQZ1" i="7"/>
  <c r="ERA1" i="7"/>
  <c r="ERB1" i="7"/>
  <c r="ERC1" i="7"/>
  <c r="ERD1" i="7"/>
  <c r="ERE1" i="7"/>
  <c r="ERF1" i="7"/>
  <c r="ERG1" i="7"/>
  <c r="ERH1" i="7"/>
  <c r="ERI1" i="7"/>
  <c r="ERJ1" i="7"/>
  <c r="ERK1" i="7"/>
  <c r="ERL1" i="7"/>
  <c r="ERM1" i="7"/>
  <c r="ERN1" i="7"/>
  <c r="ERO1" i="7"/>
  <c r="ERP1" i="7"/>
  <c r="ERQ1" i="7"/>
  <c r="ERR1" i="7"/>
  <c r="ERS1" i="7"/>
  <c r="ERT1" i="7"/>
  <c r="ERU1" i="7"/>
  <c r="ERV1" i="7"/>
  <c r="ERW1" i="7"/>
  <c r="ERX1" i="7"/>
  <c r="ERY1" i="7"/>
  <c r="ERZ1" i="7"/>
  <c r="ESA1" i="7"/>
  <c r="ESB1" i="7"/>
  <c r="ESC1" i="7"/>
  <c r="ESD1" i="7"/>
  <c r="ESE1" i="7"/>
  <c r="ESF1" i="7"/>
  <c r="ESG1" i="7"/>
  <c r="ESH1" i="7"/>
  <c r="ESI1" i="7"/>
  <c r="ESJ1" i="7"/>
  <c r="ESK1" i="7"/>
  <c r="ESL1" i="7"/>
  <c r="ESM1" i="7"/>
  <c r="ESN1" i="7"/>
  <c r="ESO1" i="7"/>
  <c r="ESP1" i="7"/>
  <c r="ESQ1" i="7"/>
  <c r="ESR1" i="7"/>
  <c r="ESS1" i="7"/>
  <c r="EST1" i="7"/>
  <c r="ESU1" i="7"/>
  <c r="ESV1" i="7"/>
  <c r="ESW1" i="7"/>
  <c r="ESX1" i="7"/>
  <c r="ESY1" i="7"/>
  <c r="ESZ1" i="7"/>
  <c r="ETA1" i="7"/>
  <c r="ETB1" i="7"/>
  <c r="ETC1" i="7"/>
  <c r="ETD1" i="7"/>
  <c r="ETE1" i="7"/>
  <c r="ETF1" i="7"/>
  <c r="ETG1" i="7"/>
  <c r="ETH1" i="7"/>
  <c r="ETI1" i="7"/>
  <c r="ETJ1" i="7"/>
  <c r="ETK1" i="7"/>
  <c r="ETL1" i="7"/>
  <c r="ETM1" i="7"/>
  <c r="ETN1" i="7"/>
  <c r="ETO1" i="7"/>
  <c r="ETP1" i="7"/>
  <c r="ETQ1" i="7"/>
  <c r="ETR1" i="7"/>
  <c r="ETS1" i="7"/>
  <c r="ETT1" i="7"/>
  <c r="ETU1" i="7"/>
  <c r="ETV1" i="7"/>
  <c r="ETW1" i="7"/>
  <c r="ETX1" i="7"/>
  <c r="ETY1" i="7"/>
  <c r="ETZ1" i="7"/>
  <c r="EUA1" i="7"/>
  <c r="EUB1" i="7"/>
  <c r="EUC1" i="7"/>
  <c r="EUD1" i="7"/>
  <c r="EUE1" i="7"/>
  <c r="EUF1" i="7"/>
  <c r="EUG1" i="7"/>
  <c r="EUH1" i="7"/>
  <c r="EUI1" i="7"/>
  <c r="EUJ1" i="7"/>
  <c r="EUK1" i="7"/>
  <c r="EUL1" i="7"/>
  <c r="EUM1" i="7"/>
  <c r="EUN1" i="7"/>
  <c r="EUO1" i="7"/>
  <c r="EUP1" i="7"/>
  <c r="EUQ1" i="7"/>
  <c r="EUR1" i="7"/>
  <c r="EUS1" i="7"/>
  <c r="EUT1" i="7"/>
  <c r="EUU1" i="7"/>
  <c r="EUV1" i="7"/>
  <c r="EUW1" i="7"/>
  <c r="EUX1" i="7"/>
  <c r="EUY1" i="7"/>
  <c r="EUZ1" i="7"/>
  <c r="EVA1" i="7"/>
  <c r="EVB1" i="7"/>
  <c r="EVC1" i="7"/>
  <c r="EVD1" i="7"/>
  <c r="EVE1" i="7"/>
  <c r="EVF1" i="7"/>
  <c r="EVG1" i="7"/>
  <c r="EVH1" i="7"/>
  <c r="EVI1" i="7"/>
  <c r="EVJ1" i="7"/>
  <c r="EVK1" i="7"/>
  <c r="EVL1" i="7"/>
  <c r="EVM1" i="7"/>
  <c r="EVN1" i="7"/>
  <c r="EVO1" i="7"/>
  <c r="EVP1" i="7"/>
  <c r="EVQ1" i="7"/>
  <c r="EVR1" i="7"/>
  <c r="EVS1" i="7"/>
  <c r="EVT1" i="7"/>
  <c r="EVU1" i="7"/>
  <c r="EVV1" i="7"/>
  <c r="EVW1" i="7"/>
  <c r="EVX1" i="7"/>
  <c r="EVY1" i="7"/>
  <c r="EVZ1" i="7"/>
  <c r="EWA1" i="7"/>
  <c r="EWB1" i="7"/>
  <c r="EWC1" i="7"/>
  <c r="EWD1" i="7"/>
  <c r="EWE1" i="7"/>
  <c r="EWF1" i="7"/>
  <c r="EWG1" i="7"/>
  <c r="EWH1" i="7"/>
  <c r="EWI1" i="7"/>
  <c r="EWJ1" i="7"/>
  <c r="EWK1" i="7"/>
  <c r="EWL1" i="7"/>
  <c r="EWM1" i="7"/>
  <c r="EWN1" i="7"/>
  <c r="EWO1" i="7"/>
  <c r="EWP1" i="7"/>
  <c r="EWQ1" i="7"/>
  <c r="EWR1" i="7"/>
  <c r="EWS1" i="7"/>
  <c r="EWT1" i="7"/>
  <c r="EWU1" i="7"/>
  <c r="EWV1" i="7"/>
  <c r="EWW1" i="7"/>
  <c r="EWX1" i="7"/>
  <c r="EWY1" i="7"/>
  <c r="EWZ1" i="7"/>
  <c r="EXA1" i="7"/>
  <c r="EXB1" i="7"/>
  <c r="EXC1" i="7"/>
  <c r="EXD1" i="7"/>
  <c r="EXE1" i="7"/>
  <c r="EXF1" i="7"/>
  <c r="EXG1" i="7"/>
  <c r="EXH1" i="7"/>
  <c r="EXI1" i="7"/>
  <c r="EXJ1" i="7"/>
  <c r="EXK1" i="7"/>
  <c r="EXL1" i="7"/>
  <c r="EXM1" i="7"/>
  <c r="EXN1" i="7"/>
  <c r="EXO1" i="7"/>
  <c r="EXP1" i="7"/>
  <c r="EXQ1" i="7"/>
  <c r="EXR1" i="7"/>
  <c r="EXS1" i="7"/>
  <c r="EXT1" i="7"/>
  <c r="EXU1" i="7"/>
  <c r="EXV1" i="7"/>
  <c r="EXW1" i="7"/>
  <c r="EXX1" i="7"/>
  <c r="EXY1" i="7"/>
  <c r="EXZ1" i="7"/>
  <c r="EYA1" i="7"/>
  <c r="EYB1" i="7"/>
  <c r="EYC1" i="7"/>
  <c r="EYD1" i="7"/>
  <c r="EYE1" i="7"/>
  <c r="EYF1" i="7"/>
  <c r="EYG1" i="7"/>
  <c r="EYH1" i="7"/>
  <c r="EYI1" i="7"/>
  <c r="EYJ1" i="7"/>
  <c r="EYK1" i="7"/>
  <c r="EYL1" i="7"/>
  <c r="EYM1" i="7"/>
  <c r="EYN1" i="7"/>
  <c r="EYO1" i="7"/>
  <c r="EYP1" i="7"/>
  <c r="EYQ1" i="7"/>
  <c r="EYR1" i="7"/>
  <c r="EYS1" i="7"/>
  <c r="EYT1" i="7"/>
  <c r="EYU1" i="7"/>
  <c r="EYV1" i="7"/>
  <c r="EYW1" i="7"/>
  <c r="EYX1" i="7"/>
  <c r="EYY1" i="7"/>
  <c r="EYZ1" i="7"/>
  <c r="EZA1" i="7"/>
  <c r="EZB1" i="7"/>
  <c r="EZC1" i="7"/>
  <c r="EZD1" i="7"/>
  <c r="EZE1" i="7"/>
  <c r="EZF1" i="7"/>
  <c r="EZG1" i="7"/>
  <c r="EZH1" i="7"/>
  <c r="EZI1" i="7"/>
  <c r="EZJ1" i="7"/>
  <c r="EZK1" i="7"/>
  <c r="EZL1" i="7"/>
  <c r="EZM1" i="7"/>
  <c r="EZN1" i="7"/>
  <c r="EZO1" i="7"/>
  <c r="EZP1" i="7"/>
  <c r="EZQ1" i="7"/>
  <c r="EZR1" i="7"/>
  <c r="EZS1" i="7"/>
  <c r="EZT1" i="7"/>
  <c r="EZU1" i="7"/>
  <c r="EZV1" i="7"/>
  <c r="EZW1" i="7"/>
  <c r="EZX1" i="7"/>
  <c r="EZY1" i="7"/>
  <c r="EZZ1" i="7"/>
  <c r="FAA1" i="7"/>
  <c r="FAB1" i="7"/>
  <c r="FAC1" i="7"/>
  <c r="FAD1" i="7"/>
  <c r="FAE1" i="7"/>
  <c r="FAF1" i="7"/>
  <c r="FAG1" i="7"/>
  <c r="FAH1" i="7"/>
  <c r="FAI1" i="7"/>
  <c r="FAJ1" i="7"/>
  <c r="FAK1" i="7"/>
  <c r="FAL1" i="7"/>
  <c r="FAM1" i="7"/>
  <c r="FAN1" i="7"/>
  <c r="FAO1" i="7"/>
  <c r="FAP1" i="7"/>
  <c r="FAQ1" i="7"/>
  <c r="FAR1" i="7"/>
  <c r="FAS1" i="7"/>
  <c r="FAT1" i="7"/>
  <c r="FAU1" i="7"/>
  <c r="FAV1" i="7"/>
  <c r="FAW1" i="7"/>
  <c r="FAX1" i="7"/>
  <c r="FAY1" i="7"/>
  <c r="FAZ1" i="7"/>
  <c r="FBA1" i="7"/>
  <c r="FBB1" i="7"/>
  <c r="FBC1" i="7"/>
  <c r="FBD1" i="7"/>
  <c r="FBE1" i="7"/>
  <c r="FBF1" i="7"/>
  <c r="FBG1" i="7"/>
  <c r="FBH1" i="7"/>
  <c r="FBI1" i="7"/>
  <c r="FBJ1" i="7"/>
  <c r="FBK1" i="7"/>
  <c r="FBL1" i="7"/>
  <c r="FBM1" i="7"/>
  <c r="FBN1" i="7"/>
  <c r="FBO1" i="7"/>
  <c r="FBP1" i="7"/>
  <c r="FBQ1" i="7"/>
  <c r="FBR1" i="7"/>
  <c r="FBS1" i="7"/>
  <c r="FBT1" i="7"/>
  <c r="FBU1" i="7"/>
  <c r="FBV1" i="7"/>
  <c r="FBW1" i="7"/>
  <c r="FBX1" i="7"/>
  <c r="FBY1" i="7"/>
  <c r="FBZ1" i="7"/>
  <c r="FCA1" i="7"/>
  <c r="FCB1" i="7"/>
  <c r="FCC1" i="7"/>
  <c r="FCD1" i="7"/>
  <c r="FCE1" i="7"/>
  <c r="FCF1" i="7"/>
  <c r="FCG1" i="7"/>
  <c r="FCH1" i="7"/>
  <c r="FCI1" i="7"/>
  <c r="FCJ1" i="7"/>
  <c r="FCK1" i="7"/>
  <c r="FCL1" i="7"/>
  <c r="FCM1" i="7"/>
  <c r="FCN1" i="7"/>
  <c r="FCO1" i="7"/>
  <c r="FCP1" i="7"/>
  <c r="FCQ1" i="7"/>
  <c r="FCR1" i="7"/>
  <c r="FCS1" i="7"/>
  <c r="FCT1" i="7"/>
  <c r="FCU1" i="7"/>
  <c r="FCV1" i="7"/>
  <c r="FCW1" i="7"/>
  <c r="FCX1" i="7"/>
  <c r="FCY1" i="7"/>
  <c r="FCZ1" i="7"/>
  <c r="FDA1" i="7"/>
  <c r="FDB1" i="7"/>
  <c r="FDC1" i="7"/>
  <c r="FDD1" i="7"/>
  <c r="FDE1" i="7"/>
  <c r="FDF1" i="7"/>
  <c r="FDG1" i="7"/>
  <c r="FDH1" i="7"/>
  <c r="FDI1" i="7"/>
  <c r="FDJ1" i="7"/>
  <c r="FDK1" i="7"/>
  <c r="FDL1" i="7"/>
  <c r="FDM1" i="7"/>
  <c r="FDN1" i="7"/>
  <c r="FDO1" i="7"/>
  <c r="FDP1" i="7"/>
  <c r="FDQ1" i="7"/>
  <c r="FDR1" i="7"/>
  <c r="FDS1" i="7"/>
  <c r="FDT1" i="7"/>
  <c r="FDU1" i="7"/>
  <c r="FDV1" i="7"/>
  <c r="FDW1" i="7"/>
  <c r="FDX1" i="7"/>
  <c r="FDY1" i="7"/>
  <c r="FDZ1" i="7"/>
  <c r="FEA1" i="7"/>
  <c r="FEB1" i="7"/>
  <c r="FEC1" i="7"/>
  <c r="FED1" i="7"/>
  <c r="FEE1" i="7"/>
  <c r="FEF1" i="7"/>
  <c r="FEG1" i="7"/>
  <c r="FEH1" i="7"/>
  <c r="FEI1" i="7"/>
  <c r="FEJ1" i="7"/>
  <c r="FEK1" i="7"/>
  <c r="FEL1" i="7"/>
  <c r="FEM1" i="7"/>
  <c r="FEN1" i="7"/>
  <c r="FEO1" i="7"/>
  <c r="FEP1" i="7"/>
  <c r="FEQ1" i="7"/>
  <c r="FER1" i="7"/>
  <c r="FES1" i="7"/>
  <c r="FET1" i="7"/>
  <c r="FEU1" i="7"/>
  <c r="FEV1" i="7"/>
  <c r="FEW1" i="7"/>
  <c r="FEX1" i="7"/>
  <c r="FEY1" i="7"/>
  <c r="FEZ1" i="7"/>
  <c r="FFA1" i="7"/>
  <c r="FFB1" i="7"/>
  <c r="FFC1" i="7"/>
  <c r="FFD1" i="7"/>
  <c r="FFE1" i="7"/>
  <c r="FFF1" i="7"/>
  <c r="FFG1" i="7"/>
  <c r="FFH1" i="7"/>
  <c r="FFI1" i="7"/>
  <c r="FFJ1" i="7"/>
  <c r="FFK1" i="7"/>
  <c r="FFL1" i="7"/>
  <c r="FFM1" i="7"/>
  <c r="FFN1" i="7"/>
  <c r="FFO1" i="7"/>
  <c r="FFP1" i="7"/>
  <c r="FFQ1" i="7"/>
  <c r="FFR1" i="7"/>
  <c r="FFS1" i="7"/>
  <c r="FFT1" i="7"/>
  <c r="FFU1" i="7"/>
  <c r="FFV1" i="7"/>
  <c r="FFW1" i="7"/>
  <c r="FFX1" i="7"/>
  <c r="FFY1" i="7"/>
  <c r="FFZ1" i="7"/>
  <c r="FGA1" i="7"/>
  <c r="FGB1" i="7"/>
  <c r="FGC1" i="7"/>
  <c r="FGD1" i="7"/>
  <c r="FGE1" i="7"/>
  <c r="FGF1" i="7"/>
  <c r="FGG1" i="7"/>
  <c r="FGH1" i="7"/>
  <c r="FGI1" i="7"/>
  <c r="FGJ1" i="7"/>
  <c r="FGK1" i="7"/>
  <c r="FGL1" i="7"/>
  <c r="FGM1" i="7"/>
  <c r="FGN1" i="7"/>
  <c r="FGO1" i="7"/>
  <c r="FGP1" i="7"/>
  <c r="FGQ1" i="7"/>
  <c r="FGR1" i="7"/>
  <c r="FGS1" i="7"/>
  <c r="FGT1" i="7"/>
  <c r="FGU1" i="7"/>
  <c r="FGV1" i="7"/>
  <c r="FGW1" i="7"/>
  <c r="FGX1" i="7"/>
  <c r="FGY1" i="7"/>
  <c r="FGZ1" i="7"/>
  <c r="FHA1" i="7"/>
  <c r="FHB1" i="7"/>
  <c r="FHC1" i="7"/>
  <c r="FHD1" i="7"/>
  <c r="FHE1" i="7"/>
  <c r="FHF1" i="7"/>
  <c r="FHG1" i="7"/>
  <c r="FHH1" i="7"/>
  <c r="FHI1" i="7"/>
  <c r="FHJ1" i="7"/>
  <c r="FHK1" i="7"/>
  <c r="FHL1" i="7"/>
  <c r="FHM1" i="7"/>
  <c r="FHN1" i="7"/>
  <c r="FHO1" i="7"/>
  <c r="FHP1" i="7"/>
  <c r="FHQ1" i="7"/>
  <c r="FHR1" i="7"/>
  <c r="FHS1" i="7"/>
  <c r="FHT1" i="7"/>
  <c r="FHU1" i="7"/>
  <c r="FHV1" i="7"/>
  <c r="FHW1" i="7"/>
  <c r="FHX1" i="7"/>
  <c r="FHY1" i="7"/>
  <c r="FHZ1" i="7"/>
  <c r="FIA1" i="7"/>
  <c r="FIB1" i="7"/>
  <c r="FIC1" i="7"/>
  <c r="FID1" i="7"/>
  <c r="FIE1" i="7"/>
  <c r="FIF1" i="7"/>
  <c r="FIG1" i="7"/>
  <c r="FIH1" i="7"/>
  <c r="FII1" i="7"/>
  <c r="FIJ1" i="7"/>
  <c r="FIK1" i="7"/>
  <c r="FIL1" i="7"/>
  <c r="FIM1" i="7"/>
  <c r="FIN1" i="7"/>
  <c r="FIO1" i="7"/>
  <c r="FIP1" i="7"/>
  <c r="FIQ1" i="7"/>
  <c r="FIR1" i="7"/>
  <c r="FIS1" i="7"/>
  <c r="FIT1" i="7"/>
  <c r="FIU1" i="7"/>
  <c r="FIV1" i="7"/>
  <c r="FIW1" i="7"/>
  <c r="FIX1" i="7"/>
  <c r="FIY1" i="7"/>
  <c r="FIZ1" i="7"/>
  <c r="FJA1" i="7"/>
  <c r="FJB1" i="7"/>
  <c r="FJC1" i="7"/>
  <c r="FJD1" i="7"/>
  <c r="FJE1" i="7"/>
  <c r="FJF1" i="7"/>
  <c r="FJG1" i="7"/>
  <c r="FJH1" i="7"/>
  <c r="FJI1" i="7"/>
  <c r="FJJ1" i="7"/>
  <c r="FJK1" i="7"/>
  <c r="FJL1" i="7"/>
  <c r="FJM1" i="7"/>
  <c r="FJN1" i="7"/>
  <c r="FJO1" i="7"/>
  <c r="FJP1" i="7"/>
  <c r="FJQ1" i="7"/>
  <c r="FJR1" i="7"/>
  <c r="FJS1" i="7"/>
  <c r="FJT1" i="7"/>
  <c r="FJU1" i="7"/>
  <c r="FJV1" i="7"/>
  <c r="FJW1" i="7"/>
  <c r="FJX1" i="7"/>
  <c r="FJY1" i="7"/>
  <c r="FJZ1" i="7"/>
  <c r="FKA1" i="7"/>
  <c r="FKB1" i="7"/>
  <c r="FKC1" i="7"/>
  <c r="FKD1" i="7"/>
  <c r="FKE1" i="7"/>
  <c r="FKF1" i="7"/>
  <c r="FKG1" i="7"/>
  <c r="FKH1" i="7"/>
  <c r="FKI1" i="7"/>
  <c r="FKJ1" i="7"/>
  <c r="FKK1" i="7"/>
  <c r="FKL1" i="7"/>
  <c r="FKM1" i="7"/>
  <c r="FKN1" i="7"/>
  <c r="FKO1" i="7"/>
  <c r="FKP1" i="7"/>
  <c r="FKQ1" i="7"/>
  <c r="FKR1" i="7"/>
  <c r="FKS1" i="7"/>
  <c r="FKT1" i="7"/>
  <c r="FKU1" i="7"/>
  <c r="FKV1" i="7"/>
  <c r="FKW1" i="7"/>
  <c r="FKX1" i="7"/>
  <c r="FKY1" i="7"/>
  <c r="FKZ1" i="7"/>
  <c r="FLA1" i="7"/>
  <c r="FLB1" i="7"/>
  <c r="FLC1" i="7"/>
  <c r="FLD1" i="7"/>
  <c r="FLE1" i="7"/>
  <c r="FLF1" i="7"/>
  <c r="FLG1" i="7"/>
  <c r="FLH1" i="7"/>
  <c r="FLI1" i="7"/>
  <c r="FLJ1" i="7"/>
  <c r="FLK1" i="7"/>
  <c r="FLL1" i="7"/>
  <c r="FLM1" i="7"/>
  <c r="FLN1" i="7"/>
  <c r="FLO1" i="7"/>
  <c r="FLP1" i="7"/>
  <c r="FLQ1" i="7"/>
  <c r="FLR1" i="7"/>
  <c r="FLS1" i="7"/>
  <c r="FLT1" i="7"/>
  <c r="FLU1" i="7"/>
  <c r="FLV1" i="7"/>
  <c r="FLW1" i="7"/>
  <c r="FLX1" i="7"/>
  <c r="FLY1" i="7"/>
  <c r="FLZ1" i="7"/>
  <c r="FMA1" i="7"/>
  <c r="FMB1" i="7"/>
  <c r="FMC1" i="7"/>
  <c r="FMD1" i="7"/>
  <c r="FME1" i="7"/>
  <c r="FMF1" i="7"/>
  <c r="FMG1" i="7"/>
  <c r="FMH1" i="7"/>
  <c r="FMI1" i="7"/>
  <c r="FMJ1" i="7"/>
  <c r="FMK1" i="7"/>
  <c r="FML1" i="7"/>
  <c r="FMM1" i="7"/>
  <c r="FMN1" i="7"/>
  <c r="FMO1" i="7"/>
  <c r="FMP1" i="7"/>
  <c r="FMQ1" i="7"/>
  <c r="FMR1" i="7"/>
  <c r="FMS1" i="7"/>
  <c r="FMT1" i="7"/>
  <c r="FMU1" i="7"/>
  <c r="FMV1" i="7"/>
  <c r="FMW1" i="7"/>
  <c r="FMX1" i="7"/>
  <c r="FMY1" i="7"/>
  <c r="FMZ1" i="7"/>
  <c r="FNA1" i="7"/>
  <c r="FNB1" i="7"/>
  <c r="FNC1" i="7"/>
  <c r="FND1" i="7"/>
  <c r="FNE1" i="7"/>
  <c r="FNF1" i="7"/>
  <c r="FNG1" i="7"/>
  <c r="FNH1" i="7"/>
  <c r="FNI1" i="7"/>
  <c r="FNJ1" i="7"/>
  <c r="FNK1" i="7"/>
  <c r="FNL1" i="7"/>
  <c r="FNM1" i="7"/>
  <c r="FNN1" i="7"/>
  <c r="FNO1" i="7"/>
  <c r="FNP1" i="7"/>
  <c r="FNQ1" i="7"/>
  <c r="FNR1" i="7"/>
  <c r="FNS1" i="7"/>
  <c r="FNT1" i="7"/>
  <c r="FNU1" i="7"/>
  <c r="FNV1" i="7"/>
  <c r="FNW1" i="7"/>
  <c r="FNX1" i="7"/>
  <c r="FNY1" i="7"/>
  <c r="FNZ1" i="7"/>
  <c r="FOA1" i="7"/>
  <c r="FOB1" i="7"/>
  <c r="FOC1" i="7"/>
  <c r="FOD1" i="7"/>
  <c r="FOE1" i="7"/>
  <c r="FOF1" i="7"/>
  <c r="FOG1" i="7"/>
  <c r="FOH1" i="7"/>
  <c r="FOI1" i="7"/>
  <c r="FOJ1" i="7"/>
  <c r="FOK1" i="7"/>
  <c r="FOL1" i="7"/>
  <c r="FOM1" i="7"/>
  <c r="FON1" i="7"/>
  <c r="FOO1" i="7"/>
  <c r="FOP1" i="7"/>
  <c r="FOQ1" i="7"/>
  <c r="FOR1" i="7"/>
  <c r="FOS1" i="7"/>
  <c r="FOT1" i="7"/>
  <c r="FOU1" i="7"/>
  <c r="FOV1" i="7"/>
  <c r="FOW1" i="7"/>
  <c r="FOX1" i="7"/>
  <c r="FOY1" i="7"/>
  <c r="FOZ1" i="7"/>
  <c r="FPA1" i="7"/>
  <c r="FPB1" i="7"/>
  <c r="FPC1" i="7"/>
  <c r="FPD1" i="7"/>
  <c r="FPE1" i="7"/>
  <c r="FPF1" i="7"/>
  <c r="FPG1" i="7"/>
  <c r="FPH1" i="7"/>
  <c r="FPI1" i="7"/>
  <c r="FPJ1" i="7"/>
  <c r="FPK1" i="7"/>
  <c r="FPL1" i="7"/>
  <c r="FPM1" i="7"/>
  <c r="FPN1" i="7"/>
  <c r="FPO1" i="7"/>
  <c r="FPP1" i="7"/>
  <c r="FPQ1" i="7"/>
  <c r="FPR1" i="7"/>
  <c r="FPS1" i="7"/>
  <c r="FPT1" i="7"/>
  <c r="FPU1" i="7"/>
  <c r="FPV1" i="7"/>
  <c r="FPW1" i="7"/>
  <c r="FPX1" i="7"/>
  <c r="FPY1" i="7"/>
  <c r="FPZ1" i="7"/>
  <c r="FQA1" i="7"/>
  <c r="FQB1" i="7"/>
  <c r="FQC1" i="7"/>
  <c r="FQD1" i="7"/>
  <c r="FQE1" i="7"/>
  <c r="FQF1" i="7"/>
  <c r="FQG1" i="7"/>
  <c r="FQH1" i="7"/>
  <c r="FQI1" i="7"/>
  <c r="FQJ1" i="7"/>
  <c r="FQK1" i="7"/>
  <c r="FQL1" i="7"/>
  <c r="FQM1" i="7"/>
  <c r="FQN1" i="7"/>
  <c r="FQO1" i="7"/>
  <c r="FQP1" i="7"/>
  <c r="FQQ1" i="7"/>
  <c r="FQR1" i="7"/>
  <c r="FQS1" i="7"/>
  <c r="FQT1" i="7"/>
  <c r="FQU1" i="7"/>
  <c r="FQV1" i="7"/>
  <c r="FQW1" i="7"/>
  <c r="FQX1" i="7"/>
  <c r="FQY1" i="7"/>
  <c r="FQZ1" i="7"/>
  <c r="FRA1" i="7"/>
  <c r="FRB1" i="7"/>
  <c r="FRC1" i="7"/>
  <c r="FRD1" i="7"/>
  <c r="FRE1" i="7"/>
  <c r="FRF1" i="7"/>
  <c r="FRG1" i="7"/>
  <c r="FRH1" i="7"/>
  <c r="FRI1" i="7"/>
  <c r="FRJ1" i="7"/>
  <c r="FRK1" i="7"/>
  <c r="FRL1" i="7"/>
  <c r="FRM1" i="7"/>
  <c r="FRN1" i="7"/>
  <c r="FRO1" i="7"/>
  <c r="FRP1" i="7"/>
  <c r="FRQ1" i="7"/>
  <c r="FRR1" i="7"/>
  <c r="FRS1" i="7"/>
  <c r="FRT1" i="7"/>
  <c r="FRU1" i="7"/>
  <c r="FRV1" i="7"/>
  <c r="FRW1" i="7"/>
  <c r="FRX1" i="7"/>
  <c r="FRY1" i="7"/>
  <c r="FRZ1" i="7"/>
  <c r="FSA1" i="7"/>
  <c r="FSB1" i="7"/>
  <c r="FSC1" i="7"/>
  <c r="FSD1" i="7"/>
  <c r="FSE1" i="7"/>
  <c r="FSF1" i="7"/>
  <c r="FSG1" i="7"/>
  <c r="FSH1" i="7"/>
  <c r="FSI1" i="7"/>
  <c r="FSJ1" i="7"/>
  <c r="FSK1" i="7"/>
  <c r="FSL1" i="7"/>
  <c r="FSM1" i="7"/>
  <c r="FSN1" i="7"/>
  <c r="FSO1" i="7"/>
  <c r="FSP1" i="7"/>
  <c r="FSQ1" i="7"/>
  <c r="FSR1" i="7"/>
  <c r="FSS1" i="7"/>
  <c r="FST1" i="7"/>
  <c r="FSU1" i="7"/>
  <c r="FSV1" i="7"/>
  <c r="FSW1" i="7"/>
  <c r="FSX1" i="7"/>
  <c r="FSY1" i="7"/>
  <c r="FSZ1" i="7"/>
  <c r="FTA1" i="7"/>
  <c r="FTB1" i="7"/>
  <c r="FTC1" i="7"/>
  <c r="FTD1" i="7"/>
  <c r="FTE1" i="7"/>
  <c r="FTF1" i="7"/>
  <c r="FTG1" i="7"/>
  <c r="FTH1" i="7"/>
  <c r="FTI1" i="7"/>
  <c r="FTJ1" i="7"/>
  <c r="FTK1" i="7"/>
  <c r="FTL1" i="7"/>
  <c r="FTM1" i="7"/>
  <c r="FTN1" i="7"/>
  <c r="FTO1" i="7"/>
  <c r="FTP1" i="7"/>
  <c r="FTQ1" i="7"/>
  <c r="FTR1" i="7"/>
  <c r="FTS1" i="7"/>
  <c r="FTT1" i="7"/>
  <c r="FTU1" i="7"/>
  <c r="FTV1" i="7"/>
  <c r="FTW1" i="7"/>
  <c r="FTX1" i="7"/>
  <c r="FTY1" i="7"/>
  <c r="FTZ1" i="7"/>
  <c r="FUA1" i="7"/>
  <c r="FUB1" i="7"/>
  <c r="FUC1" i="7"/>
  <c r="FUD1" i="7"/>
  <c r="FUE1" i="7"/>
  <c r="FUF1" i="7"/>
  <c r="FUG1" i="7"/>
  <c r="FUH1" i="7"/>
  <c r="FUI1" i="7"/>
  <c r="FUJ1" i="7"/>
  <c r="FUK1" i="7"/>
  <c r="FUL1" i="7"/>
  <c r="FUM1" i="7"/>
  <c r="FUN1" i="7"/>
  <c r="FUO1" i="7"/>
  <c r="FUP1" i="7"/>
  <c r="FUQ1" i="7"/>
  <c r="FUR1" i="7"/>
  <c r="FUS1" i="7"/>
  <c r="FUT1" i="7"/>
  <c r="FUU1" i="7"/>
  <c r="FUV1" i="7"/>
  <c r="FUW1" i="7"/>
  <c r="FUX1" i="7"/>
  <c r="FUY1" i="7"/>
  <c r="FUZ1" i="7"/>
  <c r="FVA1" i="7"/>
  <c r="FVB1" i="7"/>
  <c r="FVC1" i="7"/>
  <c r="FVD1" i="7"/>
  <c r="FVE1" i="7"/>
  <c r="FVF1" i="7"/>
  <c r="FVG1" i="7"/>
  <c r="FVH1" i="7"/>
  <c r="FVI1" i="7"/>
  <c r="FVJ1" i="7"/>
  <c r="FVK1" i="7"/>
  <c r="FVL1" i="7"/>
  <c r="FVM1" i="7"/>
  <c r="FVN1" i="7"/>
  <c r="FVO1" i="7"/>
  <c r="FVP1" i="7"/>
  <c r="FVQ1" i="7"/>
  <c r="FVR1" i="7"/>
  <c r="FVS1" i="7"/>
  <c r="FVT1" i="7"/>
  <c r="FVU1" i="7"/>
  <c r="FVV1" i="7"/>
  <c r="FVW1" i="7"/>
  <c r="FVX1" i="7"/>
  <c r="FVY1" i="7"/>
  <c r="FVZ1" i="7"/>
  <c r="FWA1" i="7"/>
  <c r="FWB1" i="7"/>
  <c r="FWC1" i="7"/>
  <c r="FWD1" i="7"/>
  <c r="FWE1" i="7"/>
  <c r="FWF1" i="7"/>
  <c r="FWG1" i="7"/>
  <c r="FWH1" i="7"/>
  <c r="FWI1" i="7"/>
  <c r="FWJ1" i="7"/>
  <c r="FWK1" i="7"/>
  <c r="FWL1" i="7"/>
  <c r="FWM1" i="7"/>
  <c r="FWN1" i="7"/>
  <c r="FWO1" i="7"/>
  <c r="FWP1" i="7"/>
  <c r="FWQ1" i="7"/>
  <c r="FWR1" i="7"/>
  <c r="FWS1" i="7"/>
  <c r="FWT1" i="7"/>
  <c r="FWU1" i="7"/>
  <c r="FWV1" i="7"/>
  <c r="FWW1" i="7"/>
  <c r="FWX1" i="7"/>
  <c r="FWY1" i="7"/>
  <c r="FWZ1" i="7"/>
  <c r="FXA1" i="7"/>
  <c r="FXB1" i="7"/>
  <c r="FXC1" i="7"/>
  <c r="FXD1" i="7"/>
  <c r="FXE1" i="7"/>
  <c r="FXF1" i="7"/>
  <c r="FXG1" i="7"/>
  <c r="FXH1" i="7"/>
  <c r="FXI1" i="7"/>
  <c r="FXJ1" i="7"/>
  <c r="FXK1" i="7"/>
  <c r="FXL1" i="7"/>
  <c r="FXM1" i="7"/>
  <c r="FXN1" i="7"/>
  <c r="FXO1" i="7"/>
  <c r="FXP1" i="7"/>
  <c r="FXQ1" i="7"/>
  <c r="FXR1" i="7"/>
  <c r="FXS1" i="7"/>
  <c r="FXT1" i="7"/>
  <c r="FXU1" i="7"/>
  <c r="FXV1" i="7"/>
  <c r="FXW1" i="7"/>
  <c r="FXX1" i="7"/>
  <c r="FXY1" i="7"/>
  <c r="FXZ1" i="7"/>
  <c r="FYA1" i="7"/>
  <c r="FYB1" i="7"/>
  <c r="FYC1" i="7"/>
  <c r="FYD1" i="7"/>
  <c r="FYE1" i="7"/>
  <c r="FYF1" i="7"/>
  <c r="FYG1" i="7"/>
  <c r="FYH1" i="7"/>
  <c r="FYI1" i="7"/>
  <c r="FYJ1" i="7"/>
  <c r="FYK1" i="7"/>
  <c r="FYL1" i="7"/>
  <c r="FYM1" i="7"/>
  <c r="FYN1" i="7"/>
  <c r="FYO1" i="7"/>
  <c r="FYP1" i="7"/>
  <c r="FYQ1" i="7"/>
  <c r="FYR1" i="7"/>
  <c r="FYS1" i="7"/>
  <c r="FYT1" i="7"/>
  <c r="FYU1" i="7"/>
  <c r="FYV1" i="7"/>
  <c r="FYW1" i="7"/>
  <c r="FYX1" i="7"/>
  <c r="FYY1" i="7"/>
  <c r="FYZ1" i="7"/>
  <c r="FZA1" i="7"/>
  <c r="FZB1" i="7"/>
  <c r="FZC1" i="7"/>
  <c r="FZD1" i="7"/>
  <c r="FZE1" i="7"/>
  <c r="FZF1" i="7"/>
  <c r="FZG1" i="7"/>
  <c r="FZH1" i="7"/>
  <c r="FZI1" i="7"/>
  <c r="FZJ1" i="7"/>
  <c r="FZK1" i="7"/>
  <c r="FZL1" i="7"/>
  <c r="FZM1" i="7"/>
  <c r="FZN1" i="7"/>
  <c r="FZO1" i="7"/>
  <c r="FZP1" i="7"/>
  <c r="FZQ1" i="7"/>
  <c r="FZR1" i="7"/>
  <c r="FZS1" i="7"/>
  <c r="FZT1" i="7"/>
  <c r="FZU1" i="7"/>
  <c r="FZV1" i="7"/>
  <c r="FZW1" i="7"/>
  <c r="FZX1" i="7"/>
  <c r="FZY1" i="7"/>
  <c r="FZZ1" i="7"/>
  <c r="GAA1" i="7"/>
  <c r="GAB1" i="7"/>
  <c r="GAC1" i="7"/>
  <c r="GAD1" i="7"/>
  <c r="GAE1" i="7"/>
  <c r="GAF1" i="7"/>
  <c r="GAG1" i="7"/>
  <c r="GAH1" i="7"/>
  <c r="GAI1" i="7"/>
  <c r="GAJ1" i="7"/>
  <c r="GAK1" i="7"/>
  <c r="GAL1" i="7"/>
  <c r="GAM1" i="7"/>
  <c r="GAN1" i="7"/>
  <c r="GAO1" i="7"/>
  <c r="GAP1" i="7"/>
  <c r="GAQ1" i="7"/>
  <c r="GAR1" i="7"/>
  <c r="GAS1" i="7"/>
  <c r="GAT1" i="7"/>
  <c r="GAU1" i="7"/>
  <c r="GAV1" i="7"/>
  <c r="GAW1" i="7"/>
  <c r="GAX1" i="7"/>
  <c r="GAY1" i="7"/>
  <c r="GAZ1" i="7"/>
  <c r="GBA1" i="7"/>
  <c r="GBB1" i="7"/>
  <c r="GBC1" i="7"/>
  <c r="GBD1" i="7"/>
  <c r="GBE1" i="7"/>
  <c r="GBF1" i="7"/>
  <c r="GBG1" i="7"/>
  <c r="GBH1" i="7"/>
  <c r="GBI1" i="7"/>
  <c r="GBJ1" i="7"/>
  <c r="GBK1" i="7"/>
  <c r="GBL1" i="7"/>
  <c r="GBM1" i="7"/>
  <c r="GBN1" i="7"/>
  <c r="GBO1" i="7"/>
  <c r="GBP1" i="7"/>
  <c r="GBQ1" i="7"/>
  <c r="GBR1" i="7"/>
  <c r="GBS1" i="7"/>
  <c r="GBT1" i="7"/>
  <c r="GBU1" i="7"/>
  <c r="GBV1" i="7"/>
  <c r="GBW1" i="7"/>
  <c r="GBX1" i="7"/>
  <c r="GBY1" i="7"/>
  <c r="GBZ1" i="7"/>
  <c r="GCA1" i="7"/>
  <c r="GCB1" i="7"/>
  <c r="GCC1" i="7"/>
  <c r="GCD1" i="7"/>
  <c r="GCE1" i="7"/>
  <c r="GCF1" i="7"/>
  <c r="GCG1" i="7"/>
  <c r="GCH1" i="7"/>
  <c r="GCI1" i="7"/>
  <c r="GCJ1" i="7"/>
  <c r="GCK1" i="7"/>
  <c r="GCL1" i="7"/>
  <c r="GCM1" i="7"/>
  <c r="GCN1" i="7"/>
  <c r="GCO1" i="7"/>
  <c r="GCP1" i="7"/>
  <c r="GCQ1" i="7"/>
  <c r="GCR1" i="7"/>
  <c r="GCS1" i="7"/>
  <c r="GCT1" i="7"/>
  <c r="GCU1" i="7"/>
  <c r="GCV1" i="7"/>
  <c r="GCW1" i="7"/>
  <c r="GCX1" i="7"/>
  <c r="GCY1" i="7"/>
  <c r="GCZ1" i="7"/>
  <c r="GDA1" i="7"/>
  <c r="GDB1" i="7"/>
  <c r="GDC1" i="7"/>
  <c r="GDD1" i="7"/>
  <c r="GDE1" i="7"/>
  <c r="GDF1" i="7"/>
  <c r="GDG1" i="7"/>
  <c r="GDH1" i="7"/>
  <c r="GDI1" i="7"/>
  <c r="GDJ1" i="7"/>
  <c r="GDK1" i="7"/>
  <c r="GDL1" i="7"/>
  <c r="GDM1" i="7"/>
  <c r="GDN1" i="7"/>
  <c r="GDO1" i="7"/>
  <c r="GDP1" i="7"/>
  <c r="GDQ1" i="7"/>
  <c r="GDR1" i="7"/>
  <c r="GDS1" i="7"/>
  <c r="GDT1" i="7"/>
  <c r="GDU1" i="7"/>
  <c r="GDV1" i="7"/>
  <c r="GDW1" i="7"/>
  <c r="GDX1" i="7"/>
  <c r="GDY1" i="7"/>
  <c r="GDZ1" i="7"/>
  <c r="GEA1" i="7"/>
  <c r="GEB1" i="7"/>
  <c r="GEC1" i="7"/>
  <c r="GED1" i="7"/>
  <c r="GEE1" i="7"/>
  <c r="GEF1" i="7"/>
  <c r="GEG1" i="7"/>
  <c r="GEH1" i="7"/>
  <c r="GEI1" i="7"/>
  <c r="GEJ1" i="7"/>
  <c r="GEK1" i="7"/>
  <c r="GEL1" i="7"/>
  <c r="GEM1" i="7"/>
  <c r="GEN1" i="7"/>
  <c r="GEO1" i="7"/>
  <c r="GEP1" i="7"/>
  <c r="GEQ1" i="7"/>
  <c r="GER1" i="7"/>
  <c r="GES1" i="7"/>
  <c r="GET1" i="7"/>
  <c r="GEU1" i="7"/>
  <c r="GEV1" i="7"/>
  <c r="GEW1" i="7"/>
  <c r="GEX1" i="7"/>
  <c r="GEY1" i="7"/>
  <c r="GEZ1" i="7"/>
  <c r="GFA1" i="7"/>
  <c r="GFB1" i="7"/>
  <c r="GFC1" i="7"/>
  <c r="GFD1" i="7"/>
  <c r="GFE1" i="7"/>
  <c r="GFF1" i="7"/>
  <c r="GFG1" i="7"/>
  <c r="GFH1" i="7"/>
  <c r="GFI1" i="7"/>
  <c r="GFJ1" i="7"/>
  <c r="GFK1" i="7"/>
  <c r="GFL1" i="7"/>
  <c r="GFM1" i="7"/>
  <c r="GFN1" i="7"/>
  <c r="GFO1" i="7"/>
  <c r="GFP1" i="7"/>
  <c r="GFQ1" i="7"/>
  <c r="GFR1" i="7"/>
  <c r="GFS1" i="7"/>
  <c r="GFT1" i="7"/>
  <c r="GFU1" i="7"/>
  <c r="GFV1" i="7"/>
  <c r="GFW1" i="7"/>
  <c r="GFX1" i="7"/>
  <c r="GFY1" i="7"/>
  <c r="GFZ1" i="7"/>
  <c r="GGA1" i="7"/>
  <c r="GGB1" i="7"/>
  <c r="GGC1" i="7"/>
  <c r="GGD1" i="7"/>
  <c r="GGE1" i="7"/>
  <c r="GGF1" i="7"/>
  <c r="GGG1" i="7"/>
  <c r="GGH1" i="7"/>
  <c r="GGI1" i="7"/>
  <c r="GGJ1" i="7"/>
  <c r="GGK1" i="7"/>
  <c r="GGL1" i="7"/>
  <c r="GGM1" i="7"/>
  <c r="GGN1" i="7"/>
  <c r="GGO1" i="7"/>
  <c r="GGP1" i="7"/>
  <c r="GGQ1" i="7"/>
  <c r="GGR1" i="7"/>
  <c r="GGS1" i="7"/>
  <c r="GGT1" i="7"/>
  <c r="GGU1" i="7"/>
  <c r="GGV1" i="7"/>
  <c r="GGW1" i="7"/>
  <c r="GGX1" i="7"/>
  <c r="GGY1" i="7"/>
  <c r="GGZ1" i="7"/>
  <c r="GHA1" i="7"/>
  <c r="GHB1" i="7"/>
  <c r="GHC1" i="7"/>
  <c r="GHD1" i="7"/>
  <c r="GHE1" i="7"/>
  <c r="GHF1" i="7"/>
  <c r="GHG1" i="7"/>
  <c r="GHH1" i="7"/>
  <c r="GHI1" i="7"/>
  <c r="GHJ1" i="7"/>
  <c r="GHK1" i="7"/>
  <c r="GHL1" i="7"/>
  <c r="GHM1" i="7"/>
  <c r="GHN1" i="7"/>
  <c r="GHO1" i="7"/>
  <c r="GHP1" i="7"/>
  <c r="GHQ1" i="7"/>
  <c r="GHR1" i="7"/>
  <c r="GHS1" i="7"/>
  <c r="GHT1" i="7"/>
  <c r="GHU1" i="7"/>
  <c r="GHV1" i="7"/>
  <c r="GHW1" i="7"/>
  <c r="GHX1" i="7"/>
  <c r="GHY1" i="7"/>
  <c r="GHZ1" i="7"/>
  <c r="GIA1" i="7"/>
  <c r="GIB1" i="7"/>
  <c r="GIC1" i="7"/>
  <c r="GID1" i="7"/>
  <c r="GIE1" i="7"/>
  <c r="GIF1" i="7"/>
  <c r="GIG1" i="7"/>
  <c r="GIH1" i="7"/>
  <c r="GII1" i="7"/>
  <c r="GIJ1" i="7"/>
  <c r="GIK1" i="7"/>
  <c r="GIL1" i="7"/>
  <c r="GIM1" i="7"/>
  <c r="GIN1" i="7"/>
  <c r="GIO1" i="7"/>
  <c r="GIP1" i="7"/>
  <c r="GIQ1" i="7"/>
  <c r="GIR1" i="7"/>
  <c r="GIS1" i="7"/>
  <c r="GIT1" i="7"/>
  <c r="GIU1" i="7"/>
  <c r="GIV1" i="7"/>
  <c r="GIW1" i="7"/>
  <c r="GIX1" i="7"/>
  <c r="GIY1" i="7"/>
  <c r="GIZ1" i="7"/>
  <c r="GJA1" i="7"/>
  <c r="GJB1" i="7"/>
  <c r="GJC1" i="7"/>
  <c r="GJD1" i="7"/>
  <c r="GJE1" i="7"/>
  <c r="GJF1" i="7"/>
  <c r="GJG1" i="7"/>
  <c r="GJH1" i="7"/>
  <c r="GJI1" i="7"/>
  <c r="GJJ1" i="7"/>
  <c r="GJK1" i="7"/>
  <c r="GJL1" i="7"/>
  <c r="GJM1" i="7"/>
  <c r="GJN1" i="7"/>
  <c r="GJO1" i="7"/>
  <c r="GJP1" i="7"/>
  <c r="GJQ1" i="7"/>
  <c r="GJR1" i="7"/>
  <c r="GJS1" i="7"/>
  <c r="GJT1" i="7"/>
  <c r="GJU1" i="7"/>
  <c r="GJV1" i="7"/>
  <c r="GJW1" i="7"/>
  <c r="GJX1" i="7"/>
  <c r="GJY1" i="7"/>
  <c r="GJZ1" i="7"/>
  <c r="GKA1" i="7"/>
  <c r="GKB1" i="7"/>
  <c r="GKC1" i="7"/>
  <c r="GKD1" i="7"/>
  <c r="GKE1" i="7"/>
  <c r="GKF1" i="7"/>
  <c r="GKG1" i="7"/>
  <c r="GKH1" i="7"/>
  <c r="GKI1" i="7"/>
  <c r="GKJ1" i="7"/>
  <c r="GKK1" i="7"/>
  <c r="GKL1" i="7"/>
  <c r="GKM1" i="7"/>
  <c r="GKN1" i="7"/>
  <c r="GKO1" i="7"/>
  <c r="GKP1" i="7"/>
  <c r="GKQ1" i="7"/>
  <c r="GKR1" i="7"/>
  <c r="GKS1" i="7"/>
  <c r="GKT1" i="7"/>
  <c r="GKU1" i="7"/>
  <c r="GKV1" i="7"/>
  <c r="GKW1" i="7"/>
  <c r="GKX1" i="7"/>
  <c r="GKY1" i="7"/>
  <c r="GKZ1" i="7"/>
  <c r="GLA1" i="7"/>
  <c r="GLB1" i="7"/>
  <c r="GLC1" i="7"/>
  <c r="GLD1" i="7"/>
  <c r="GLE1" i="7"/>
  <c r="GLF1" i="7"/>
  <c r="GLG1" i="7"/>
  <c r="GLH1" i="7"/>
  <c r="GLI1" i="7"/>
  <c r="GLJ1" i="7"/>
  <c r="GLK1" i="7"/>
  <c r="GLL1" i="7"/>
  <c r="GLM1" i="7"/>
  <c r="GLN1" i="7"/>
  <c r="GLO1" i="7"/>
  <c r="GLP1" i="7"/>
  <c r="GLQ1" i="7"/>
  <c r="GLR1" i="7"/>
  <c r="GLS1" i="7"/>
  <c r="GLT1" i="7"/>
  <c r="GLU1" i="7"/>
  <c r="GLV1" i="7"/>
  <c r="GLW1" i="7"/>
  <c r="GLX1" i="7"/>
  <c r="GLY1" i="7"/>
  <c r="GLZ1" i="7"/>
  <c r="GMA1" i="7"/>
  <c r="GMB1" i="7"/>
  <c r="GMC1" i="7"/>
  <c r="GMD1" i="7"/>
  <c r="GME1" i="7"/>
  <c r="GMF1" i="7"/>
  <c r="GMG1" i="7"/>
  <c r="GMH1" i="7"/>
  <c r="GMI1" i="7"/>
  <c r="GMJ1" i="7"/>
  <c r="GMK1" i="7"/>
  <c r="GML1" i="7"/>
  <c r="GMM1" i="7"/>
  <c r="GMN1" i="7"/>
  <c r="GMO1" i="7"/>
  <c r="GMP1" i="7"/>
  <c r="GMQ1" i="7"/>
  <c r="GMR1" i="7"/>
  <c r="GMS1" i="7"/>
  <c r="GMT1" i="7"/>
  <c r="GMU1" i="7"/>
  <c r="GMV1" i="7"/>
  <c r="GMW1" i="7"/>
  <c r="GMX1" i="7"/>
  <c r="GMY1" i="7"/>
  <c r="GMZ1" i="7"/>
  <c r="GNA1" i="7"/>
  <c r="GNB1" i="7"/>
  <c r="GNC1" i="7"/>
  <c r="GND1" i="7"/>
  <c r="GNE1" i="7"/>
  <c r="GNF1" i="7"/>
  <c r="GNG1" i="7"/>
  <c r="GNH1" i="7"/>
  <c r="GNI1" i="7"/>
  <c r="GNJ1" i="7"/>
  <c r="GNK1" i="7"/>
  <c r="GNL1" i="7"/>
  <c r="GNM1" i="7"/>
  <c r="GNN1" i="7"/>
  <c r="GNO1" i="7"/>
  <c r="GNP1" i="7"/>
  <c r="GNQ1" i="7"/>
  <c r="GNR1" i="7"/>
  <c r="GNS1" i="7"/>
  <c r="GNT1" i="7"/>
  <c r="GNU1" i="7"/>
  <c r="GNV1" i="7"/>
  <c r="GNW1" i="7"/>
  <c r="GNX1" i="7"/>
  <c r="GNY1" i="7"/>
  <c r="GNZ1" i="7"/>
  <c r="GOA1" i="7"/>
  <c r="GOB1" i="7"/>
  <c r="GOC1" i="7"/>
  <c r="GOD1" i="7"/>
  <c r="GOE1" i="7"/>
  <c r="GOF1" i="7"/>
  <c r="GOG1" i="7"/>
  <c r="GOH1" i="7"/>
  <c r="GOI1" i="7"/>
  <c r="GOJ1" i="7"/>
  <c r="GOK1" i="7"/>
  <c r="GOL1" i="7"/>
  <c r="GOM1" i="7"/>
  <c r="GON1" i="7"/>
  <c r="GOO1" i="7"/>
  <c r="GOP1" i="7"/>
  <c r="GOQ1" i="7"/>
  <c r="GOR1" i="7"/>
  <c r="GOS1" i="7"/>
  <c r="GOT1" i="7"/>
  <c r="GOU1" i="7"/>
  <c r="GOV1" i="7"/>
  <c r="GOW1" i="7"/>
  <c r="GOX1" i="7"/>
  <c r="GOY1" i="7"/>
  <c r="GOZ1" i="7"/>
  <c r="GPA1" i="7"/>
  <c r="GPB1" i="7"/>
  <c r="GPC1" i="7"/>
  <c r="GPD1" i="7"/>
  <c r="GPE1" i="7"/>
  <c r="GPF1" i="7"/>
  <c r="GPG1" i="7"/>
  <c r="GPH1" i="7"/>
  <c r="GPI1" i="7"/>
  <c r="GPJ1" i="7"/>
  <c r="GPK1" i="7"/>
  <c r="GPL1" i="7"/>
  <c r="GPM1" i="7"/>
  <c r="GPN1" i="7"/>
  <c r="GPO1" i="7"/>
  <c r="GPP1" i="7"/>
  <c r="GPQ1" i="7"/>
  <c r="GPR1" i="7"/>
  <c r="GPS1" i="7"/>
  <c r="GPT1" i="7"/>
  <c r="GPU1" i="7"/>
  <c r="GPV1" i="7"/>
  <c r="GPW1" i="7"/>
  <c r="GPX1" i="7"/>
  <c r="GPY1" i="7"/>
  <c r="GPZ1" i="7"/>
  <c r="GQA1" i="7"/>
  <c r="GQB1" i="7"/>
  <c r="GQC1" i="7"/>
  <c r="GQD1" i="7"/>
  <c r="GQE1" i="7"/>
  <c r="GQF1" i="7"/>
  <c r="GQG1" i="7"/>
  <c r="GQH1" i="7"/>
  <c r="GQI1" i="7"/>
  <c r="GQJ1" i="7"/>
  <c r="GQK1" i="7"/>
  <c r="GQL1" i="7"/>
  <c r="GQM1" i="7"/>
  <c r="GQN1" i="7"/>
  <c r="GQO1" i="7"/>
  <c r="GQP1" i="7"/>
  <c r="GQQ1" i="7"/>
  <c r="GQR1" i="7"/>
  <c r="GQS1" i="7"/>
  <c r="GQT1" i="7"/>
  <c r="GQU1" i="7"/>
  <c r="GQV1" i="7"/>
  <c r="GQW1" i="7"/>
  <c r="GQX1" i="7"/>
  <c r="GQY1" i="7"/>
  <c r="GQZ1" i="7"/>
  <c r="GRA1" i="7"/>
  <c r="GRB1" i="7"/>
  <c r="GRC1" i="7"/>
  <c r="GRD1" i="7"/>
  <c r="GRE1" i="7"/>
  <c r="GRF1" i="7"/>
  <c r="GRG1" i="7"/>
  <c r="GRH1" i="7"/>
  <c r="GRI1" i="7"/>
  <c r="GRJ1" i="7"/>
  <c r="GRK1" i="7"/>
  <c r="GRL1" i="7"/>
  <c r="GRM1" i="7"/>
  <c r="GRN1" i="7"/>
  <c r="GRO1" i="7"/>
  <c r="GRP1" i="7"/>
  <c r="GRQ1" i="7"/>
  <c r="GRR1" i="7"/>
  <c r="GRS1" i="7"/>
  <c r="GRT1" i="7"/>
  <c r="GRU1" i="7"/>
  <c r="GRV1" i="7"/>
  <c r="GRW1" i="7"/>
  <c r="GRX1" i="7"/>
  <c r="GRY1" i="7"/>
  <c r="GRZ1" i="7"/>
  <c r="GSA1" i="7"/>
  <c r="GSB1" i="7"/>
  <c r="GSC1" i="7"/>
  <c r="GSD1" i="7"/>
  <c r="GSE1" i="7"/>
  <c r="GSF1" i="7"/>
  <c r="GSG1" i="7"/>
  <c r="GSH1" i="7"/>
  <c r="GSI1" i="7"/>
  <c r="GSJ1" i="7"/>
  <c r="GSK1" i="7"/>
  <c r="GSL1" i="7"/>
  <c r="GSM1" i="7"/>
  <c r="GSN1" i="7"/>
  <c r="GSO1" i="7"/>
  <c r="GSP1" i="7"/>
  <c r="GSQ1" i="7"/>
  <c r="GSR1" i="7"/>
  <c r="GSS1" i="7"/>
  <c r="GST1" i="7"/>
  <c r="GSU1" i="7"/>
  <c r="GSV1" i="7"/>
  <c r="GSW1" i="7"/>
  <c r="GSX1" i="7"/>
  <c r="GSY1" i="7"/>
  <c r="GSZ1" i="7"/>
  <c r="GTA1" i="7"/>
  <c r="GTB1" i="7"/>
  <c r="GTC1" i="7"/>
  <c r="GTD1" i="7"/>
  <c r="GTE1" i="7"/>
  <c r="GTF1" i="7"/>
  <c r="GTG1" i="7"/>
  <c r="GTH1" i="7"/>
  <c r="GTI1" i="7"/>
  <c r="GTJ1" i="7"/>
  <c r="GTK1" i="7"/>
  <c r="GTL1" i="7"/>
  <c r="GTM1" i="7"/>
  <c r="GTN1" i="7"/>
  <c r="GTO1" i="7"/>
  <c r="GTP1" i="7"/>
  <c r="GTQ1" i="7"/>
  <c r="GTR1" i="7"/>
  <c r="GTS1" i="7"/>
  <c r="GTT1" i="7"/>
  <c r="GTU1" i="7"/>
  <c r="GTV1" i="7"/>
  <c r="GTW1" i="7"/>
  <c r="GTX1" i="7"/>
  <c r="GTY1" i="7"/>
  <c r="GTZ1" i="7"/>
  <c r="GUA1" i="7"/>
  <c r="GUB1" i="7"/>
  <c r="GUC1" i="7"/>
  <c r="GUD1" i="7"/>
  <c r="GUE1" i="7"/>
  <c r="GUF1" i="7"/>
  <c r="GUG1" i="7"/>
  <c r="GUH1" i="7"/>
  <c r="GUI1" i="7"/>
  <c r="GUJ1" i="7"/>
  <c r="GUK1" i="7"/>
  <c r="GUL1" i="7"/>
  <c r="GUM1" i="7"/>
  <c r="GUN1" i="7"/>
  <c r="GUO1" i="7"/>
  <c r="GUP1" i="7"/>
  <c r="GUQ1" i="7"/>
  <c r="GUR1" i="7"/>
  <c r="GUS1" i="7"/>
  <c r="GUT1" i="7"/>
  <c r="GUU1" i="7"/>
  <c r="GUV1" i="7"/>
  <c r="GUW1" i="7"/>
  <c r="GUX1" i="7"/>
  <c r="GUY1" i="7"/>
  <c r="GUZ1" i="7"/>
  <c r="GVA1" i="7"/>
  <c r="GVB1" i="7"/>
  <c r="GVC1" i="7"/>
  <c r="GVD1" i="7"/>
  <c r="GVE1" i="7"/>
  <c r="GVF1" i="7"/>
  <c r="GVG1" i="7"/>
  <c r="GVH1" i="7"/>
  <c r="GVI1" i="7"/>
  <c r="GVJ1" i="7"/>
  <c r="GVK1" i="7"/>
  <c r="GVL1" i="7"/>
  <c r="GVM1" i="7"/>
  <c r="GVN1" i="7"/>
  <c r="GVO1" i="7"/>
  <c r="GVP1" i="7"/>
  <c r="GVQ1" i="7"/>
  <c r="GVR1" i="7"/>
  <c r="GVS1" i="7"/>
  <c r="GVT1" i="7"/>
  <c r="GVU1" i="7"/>
  <c r="GVV1" i="7"/>
  <c r="GVW1" i="7"/>
  <c r="GVX1" i="7"/>
  <c r="GVY1" i="7"/>
  <c r="GVZ1" i="7"/>
  <c r="GWA1" i="7"/>
  <c r="GWB1" i="7"/>
  <c r="GWC1" i="7"/>
  <c r="GWD1" i="7"/>
  <c r="GWE1" i="7"/>
  <c r="GWF1" i="7"/>
  <c r="GWG1" i="7"/>
  <c r="GWH1" i="7"/>
  <c r="GWI1" i="7"/>
  <c r="GWJ1" i="7"/>
  <c r="GWK1" i="7"/>
  <c r="GWL1" i="7"/>
  <c r="GWM1" i="7"/>
  <c r="GWN1" i="7"/>
  <c r="GWO1" i="7"/>
  <c r="GWP1" i="7"/>
  <c r="GWQ1" i="7"/>
  <c r="GWR1" i="7"/>
  <c r="GWS1" i="7"/>
  <c r="GWT1" i="7"/>
  <c r="GWU1" i="7"/>
  <c r="GWV1" i="7"/>
  <c r="GWW1" i="7"/>
  <c r="GWX1" i="7"/>
  <c r="GWY1" i="7"/>
  <c r="GWZ1" i="7"/>
  <c r="GXA1" i="7"/>
  <c r="GXB1" i="7"/>
  <c r="GXC1" i="7"/>
  <c r="GXD1" i="7"/>
  <c r="GXE1" i="7"/>
  <c r="GXF1" i="7"/>
  <c r="GXG1" i="7"/>
  <c r="GXH1" i="7"/>
  <c r="GXI1" i="7"/>
  <c r="GXJ1" i="7"/>
  <c r="GXK1" i="7"/>
  <c r="GXL1" i="7"/>
  <c r="GXM1" i="7"/>
  <c r="GXN1" i="7"/>
  <c r="GXO1" i="7"/>
  <c r="GXP1" i="7"/>
  <c r="GXQ1" i="7"/>
  <c r="GXR1" i="7"/>
  <c r="GXS1" i="7"/>
  <c r="GXT1" i="7"/>
  <c r="GXU1" i="7"/>
  <c r="GXV1" i="7"/>
  <c r="GXW1" i="7"/>
  <c r="GXX1" i="7"/>
  <c r="GXY1" i="7"/>
  <c r="GXZ1" i="7"/>
  <c r="GYA1" i="7"/>
  <c r="GYB1" i="7"/>
  <c r="GYC1" i="7"/>
  <c r="GYD1" i="7"/>
  <c r="GYE1" i="7"/>
  <c r="GYF1" i="7"/>
  <c r="GYG1" i="7"/>
  <c r="GYH1" i="7"/>
  <c r="GYI1" i="7"/>
  <c r="GYJ1" i="7"/>
  <c r="GYK1" i="7"/>
  <c r="GYL1" i="7"/>
  <c r="GYM1" i="7"/>
  <c r="GYN1" i="7"/>
  <c r="GYO1" i="7"/>
  <c r="GYP1" i="7"/>
  <c r="GYQ1" i="7"/>
  <c r="GYR1" i="7"/>
  <c r="GYS1" i="7"/>
  <c r="GYT1" i="7"/>
  <c r="GYU1" i="7"/>
  <c r="GYV1" i="7"/>
  <c r="GYW1" i="7"/>
  <c r="GYX1" i="7"/>
  <c r="GYY1" i="7"/>
  <c r="GYZ1" i="7"/>
  <c r="GZA1" i="7"/>
  <c r="GZB1" i="7"/>
  <c r="GZC1" i="7"/>
  <c r="GZD1" i="7"/>
  <c r="GZE1" i="7"/>
  <c r="GZF1" i="7"/>
  <c r="GZG1" i="7"/>
  <c r="GZH1" i="7"/>
  <c r="GZI1" i="7"/>
  <c r="GZJ1" i="7"/>
  <c r="GZK1" i="7"/>
  <c r="GZL1" i="7"/>
  <c r="GZM1" i="7"/>
  <c r="GZN1" i="7"/>
  <c r="GZO1" i="7"/>
  <c r="GZP1" i="7"/>
  <c r="GZQ1" i="7"/>
  <c r="GZR1" i="7"/>
  <c r="GZS1" i="7"/>
  <c r="GZT1" i="7"/>
  <c r="GZU1" i="7"/>
  <c r="GZV1" i="7"/>
  <c r="GZW1" i="7"/>
  <c r="GZX1" i="7"/>
  <c r="GZY1" i="7"/>
  <c r="GZZ1" i="7"/>
  <c r="HAA1" i="7"/>
  <c r="HAB1" i="7"/>
  <c r="HAC1" i="7"/>
  <c r="HAD1" i="7"/>
  <c r="HAE1" i="7"/>
  <c r="HAF1" i="7"/>
  <c r="HAG1" i="7"/>
  <c r="HAH1" i="7"/>
  <c r="HAI1" i="7"/>
  <c r="HAJ1" i="7"/>
  <c r="HAK1" i="7"/>
  <c r="HAL1" i="7"/>
  <c r="HAM1" i="7"/>
  <c r="HAN1" i="7"/>
  <c r="HAO1" i="7"/>
  <c r="HAP1" i="7"/>
  <c r="HAQ1" i="7"/>
  <c r="HAR1" i="7"/>
  <c r="HAS1" i="7"/>
  <c r="HAT1" i="7"/>
  <c r="HAU1" i="7"/>
  <c r="HAV1" i="7"/>
  <c r="HAW1" i="7"/>
  <c r="HAX1" i="7"/>
  <c r="HAY1" i="7"/>
  <c r="HAZ1" i="7"/>
  <c r="HBA1" i="7"/>
  <c r="HBB1" i="7"/>
  <c r="HBC1" i="7"/>
  <c r="HBD1" i="7"/>
  <c r="HBE1" i="7"/>
  <c r="HBF1" i="7"/>
  <c r="HBG1" i="7"/>
  <c r="HBH1" i="7"/>
  <c r="HBI1" i="7"/>
  <c r="HBJ1" i="7"/>
  <c r="HBK1" i="7"/>
  <c r="HBL1" i="7"/>
  <c r="HBM1" i="7"/>
  <c r="HBN1" i="7"/>
  <c r="HBO1" i="7"/>
  <c r="HBP1" i="7"/>
  <c r="HBQ1" i="7"/>
  <c r="HBR1" i="7"/>
  <c r="HBS1" i="7"/>
  <c r="HBT1" i="7"/>
  <c r="HBU1" i="7"/>
  <c r="HBV1" i="7"/>
  <c r="HBW1" i="7"/>
  <c r="HBX1" i="7"/>
  <c r="HBY1" i="7"/>
  <c r="HBZ1" i="7"/>
  <c r="HCA1" i="7"/>
  <c r="HCB1" i="7"/>
  <c r="HCC1" i="7"/>
  <c r="HCD1" i="7"/>
  <c r="HCE1" i="7"/>
  <c r="HCF1" i="7"/>
  <c r="HCG1" i="7"/>
  <c r="HCH1" i="7"/>
  <c r="HCI1" i="7"/>
  <c r="HCJ1" i="7"/>
  <c r="HCK1" i="7"/>
  <c r="HCL1" i="7"/>
  <c r="HCM1" i="7"/>
  <c r="HCN1" i="7"/>
  <c r="HCO1" i="7"/>
  <c r="HCP1" i="7"/>
  <c r="HCQ1" i="7"/>
  <c r="HCR1" i="7"/>
  <c r="HCS1" i="7"/>
  <c r="HCT1" i="7"/>
  <c r="HCU1" i="7"/>
  <c r="HCV1" i="7"/>
  <c r="HCW1" i="7"/>
  <c r="HCX1" i="7"/>
  <c r="HCY1" i="7"/>
  <c r="HCZ1" i="7"/>
  <c r="HDA1" i="7"/>
  <c r="HDB1" i="7"/>
  <c r="HDC1" i="7"/>
  <c r="HDD1" i="7"/>
  <c r="HDE1" i="7"/>
  <c r="HDF1" i="7"/>
  <c r="HDG1" i="7"/>
  <c r="HDH1" i="7"/>
  <c r="HDI1" i="7"/>
  <c r="HDJ1" i="7"/>
  <c r="HDK1" i="7"/>
  <c r="HDL1" i="7"/>
  <c r="HDM1" i="7"/>
  <c r="HDN1" i="7"/>
  <c r="HDO1" i="7"/>
  <c r="HDP1" i="7"/>
  <c r="HDQ1" i="7"/>
  <c r="HDR1" i="7"/>
  <c r="HDS1" i="7"/>
  <c r="HDT1" i="7"/>
  <c r="HDU1" i="7"/>
  <c r="HDV1" i="7"/>
  <c r="HDW1" i="7"/>
  <c r="HDX1" i="7"/>
  <c r="HDY1" i="7"/>
  <c r="HDZ1" i="7"/>
  <c r="HEA1" i="7"/>
  <c r="HEB1" i="7"/>
  <c r="HEC1" i="7"/>
  <c r="HED1" i="7"/>
  <c r="HEE1" i="7"/>
  <c r="HEF1" i="7"/>
  <c r="HEG1" i="7"/>
  <c r="HEH1" i="7"/>
  <c r="HEI1" i="7"/>
  <c r="HEJ1" i="7"/>
  <c r="HEK1" i="7"/>
  <c r="HEL1" i="7"/>
  <c r="HEM1" i="7"/>
  <c r="HEN1" i="7"/>
  <c r="HEO1" i="7"/>
  <c r="HEP1" i="7"/>
  <c r="HEQ1" i="7"/>
  <c r="HER1" i="7"/>
  <c r="HES1" i="7"/>
  <c r="HET1" i="7"/>
  <c r="HEU1" i="7"/>
  <c r="HEV1" i="7"/>
  <c r="HEW1" i="7"/>
  <c r="HEX1" i="7"/>
  <c r="HEY1" i="7"/>
  <c r="HEZ1" i="7"/>
  <c r="HFA1" i="7"/>
  <c r="HFB1" i="7"/>
  <c r="HFC1" i="7"/>
  <c r="HFD1" i="7"/>
  <c r="HFE1" i="7"/>
  <c r="HFF1" i="7"/>
  <c r="HFG1" i="7"/>
  <c r="HFH1" i="7"/>
  <c r="HFI1" i="7"/>
  <c r="HFJ1" i="7"/>
  <c r="HFK1" i="7"/>
  <c r="HFL1" i="7"/>
  <c r="HFM1" i="7"/>
  <c r="HFN1" i="7"/>
  <c r="HFO1" i="7"/>
  <c r="HFP1" i="7"/>
  <c r="HFQ1" i="7"/>
  <c r="HFR1" i="7"/>
  <c r="HFS1" i="7"/>
  <c r="HFT1" i="7"/>
  <c r="HFU1" i="7"/>
  <c r="HFV1" i="7"/>
  <c r="HFW1" i="7"/>
  <c r="HFX1" i="7"/>
  <c r="HFY1" i="7"/>
  <c r="HFZ1" i="7"/>
  <c r="HGA1" i="7"/>
  <c r="HGB1" i="7"/>
  <c r="HGC1" i="7"/>
  <c r="HGD1" i="7"/>
  <c r="HGE1" i="7"/>
  <c r="HGF1" i="7"/>
  <c r="HGG1" i="7"/>
  <c r="HGH1" i="7"/>
  <c r="HGI1" i="7"/>
  <c r="HGJ1" i="7"/>
  <c r="HGK1" i="7"/>
  <c r="HGL1" i="7"/>
  <c r="HGM1" i="7"/>
  <c r="HGN1" i="7"/>
  <c r="HGO1" i="7"/>
  <c r="HGP1" i="7"/>
  <c r="HGQ1" i="7"/>
  <c r="HGR1" i="7"/>
  <c r="HGS1" i="7"/>
  <c r="HGT1" i="7"/>
  <c r="HGU1" i="7"/>
  <c r="HGV1" i="7"/>
  <c r="HGW1" i="7"/>
  <c r="HGX1" i="7"/>
  <c r="HGY1" i="7"/>
  <c r="HGZ1" i="7"/>
  <c r="HHA1" i="7"/>
  <c r="HHB1" i="7"/>
  <c r="HHC1" i="7"/>
  <c r="HHD1" i="7"/>
  <c r="HHE1" i="7"/>
  <c r="HHF1" i="7"/>
  <c r="HHG1" i="7"/>
  <c r="HHH1" i="7"/>
  <c r="HHI1" i="7"/>
  <c r="HHJ1" i="7"/>
  <c r="HHK1" i="7"/>
  <c r="HHL1" i="7"/>
  <c r="HHM1" i="7"/>
  <c r="HHN1" i="7"/>
  <c r="HHO1" i="7"/>
  <c r="HHP1" i="7"/>
  <c r="HHQ1" i="7"/>
  <c r="HHR1" i="7"/>
  <c r="HHS1" i="7"/>
  <c r="HHT1" i="7"/>
  <c r="HHU1" i="7"/>
  <c r="HHV1" i="7"/>
  <c r="HHW1" i="7"/>
  <c r="HHX1" i="7"/>
  <c r="HHY1" i="7"/>
  <c r="HHZ1" i="7"/>
  <c r="HIA1" i="7"/>
  <c r="HIB1" i="7"/>
  <c r="HIC1" i="7"/>
  <c r="HID1" i="7"/>
  <c r="HIE1" i="7"/>
  <c r="HIF1" i="7"/>
  <c r="HIG1" i="7"/>
  <c r="HIH1" i="7"/>
  <c r="HII1" i="7"/>
  <c r="HIJ1" i="7"/>
  <c r="HIK1" i="7"/>
  <c r="HIL1" i="7"/>
  <c r="HIM1" i="7"/>
  <c r="HIN1" i="7"/>
  <c r="HIO1" i="7"/>
  <c r="HIP1" i="7"/>
  <c r="HIQ1" i="7"/>
  <c r="HIR1" i="7"/>
  <c r="HIS1" i="7"/>
  <c r="HIT1" i="7"/>
  <c r="HIU1" i="7"/>
  <c r="HIV1" i="7"/>
  <c r="HIW1" i="7"/>
  <c r="HIX1" i="7"/>
  <c r="HIY1" i="7"/>
  <c r="HIZ1" i="7"/>
  <c r="HJA1" i="7"/>
  <c r="HJB1" i="7"/>
  <c r="HJC1" i="7"/>
  <c r="HJD1" i="7"/>
  <c r="HJE1" i="7"/>
  <c r="HJF1" i="7"/>
  <c r="HJG1" i="7"/>
  <c r="HJH1" i="7"/>
  <c r="HJI1" i="7"/>
  <c r="HJJ1" i="7"/>
  <c r="HJK1" i="7"/>
  <c r="HJL1" i="7"/>
  <c r="HJM1" i="7"/>
  <c r="HJN1" i="7"/>
  <c r="HJO1" i="7"/>
  <c r="HJP1" i="7"/>
  <c r="HJQ1" i="7"/>
  <c r="HJR1" i="7"/>
  <c r="HJS1" i="7"/>
  <c r="HJT1" i="7"/>
  <c r="HJU1" i="7"/>
  <c r="HJV1" i="7"/>
  <c r="HJW1" i="7"/>
  <c r="HJX1" i="7"/>
  <c r="HJY1" i="7"/>
  <c r="HJZ1" i="7"/>
  <c r="HKA1" i="7"/>
  <c r="HKB1" i="7"/>
  <c r="HKC1" i="7"/>
  <c r="HKD1" i="7"/>
  <c r="HKE1" i="7"/>
  <c r="HKF1" i="7"/>
  <c r="HKG1" i="7"/>
  <c r="HKH1" i="7"/>
  <c r="HKI1" i="7"/>
  <c r="HKJ1" i="7"/>
  <c r="HKK1" i="7"/>
  <c r="HKL1" i="7"/>
  <c r="HKM1" i="7"/>
  <c r="HKN1" i="7"/>
  <c r="HKO1" i="7"/>
  <c r="HKP1" i="7"/>
  <c r="HKQ1" i="7"/>
  <c r="HKR1" i="7"/>
  <c r="HKS1" i="7"/>
  <c r="HKT1" i="7"/>
  <c r="HKU1" i="7"/>
  <c r="HKV1" i="7"/>
  <c r="HKW1" i="7"/>
  <c r="HKX1" i="7"/>
  <c r="HKY1" i="7"/>
  <c r="HKZ1" i="7"/>
  <c r="HLA1" i="7"/>
  <c r="HLB1" i="7"/>
  <c r="HLC1" i="7"/>
  <c r="HLD1" i="7"/>
  <c r="HLE1" i="7"/>
  <c r="HLF1" i="7"/>
  <c r="HLG1" i="7"/>
  <c r="HLH1" i="7"/>
  <c r="HLI1" i="7"/>
  <c r="HLJ1" i="7"/>
  <c r="HLK1" i="7"/>
  <c r="HLL1" i="7"/>
  <c r="HLM1" i="7"/>
  <c r="HLN1" i="7"/>
  <c r="HLO1" i="7"/>
  <c r="HLP1" i="7"/>
  <c r="HLQ1" i="7"/>
  <c r="HLR1" i="7"/>
  <c r="HLS1" i="7"/>
  <c r="HLT1" i="7"/>
  <c r="HLU1" i="7"/>
  <c r="HLV1" i="7"/>
  <c r="HLW1" i="7"/>
  <c r="HLX1" i="7"/>
  <c r="HLY1" i="7"/>
  <c r="HLZ1" i="7"/>
  <c r="HMA1" i="7"/>
  <c r="HMB1" i="7"/>
  <c r="HMC1" i="7"/>
  <c r="HMD1" i="7"/>
  <c r="HME1" i="7"/>
  <c r="HMF1" i="7"/>
  <c r="HMG1" i="7"/>
  <c r="HMH1" i="7"/>
  <c r="HMI1" i="7"/>
  <c r="HMJ1" i="7"/>
  <c r="HMK1" i="7"/>
  <c r="HML1" i="7"/>
  <c r="HMM1" i="7"/>
  <c r="HMN1" i="7"/>
  <c r="HMO1" i="7"/>
  <c r="HMP1" i="7"/>
  <c r="HMQ1" i="7"/>
  <c r="HMR1" i="7"/>
  <c r="HMS1" i="7"/>
  <c r="HMT1" i="7"/>
  <c r="HMU1" i="7"/>
  <c r="HMV1" i="7"/>
  <c r="HMW1" i="7"/>
  <c r="HMX1" i="7"/>
  <c r="HMY1" i="7"/>
  <c r="HMZ1" i="7"/>
  <c r="HNA1" i="7"/>
  <c r="HNB1" i="7"/>
  <c r="HNC1" i="7"/>
  <c r="HND1" i="7"/>
  <c r="HNE1" i="7"/>
  <c r="HNF1" i="7"/>
  <c r="HNG1" i="7"/>
  <c r="HNH1" i="7"/>
  <c r="HNI1" i="7"/>
  <c r="HNJ1" i="7"/>
  <c r="HNK1" i="7"/>
  <c r="HNL1" i="7"/>
  <c r="HNM1" i="7"/>
  <c r="HNN1" i="7"/>
  <c r="HNO1" i="7"/>
  <c r="HNP1" i="7"/>
  <c r="HNQ1" i="7"/>
  <c r="HNR1" i="7"/>
  <c r="HNS1" i="7"/>
  <c r="HNT1" i="7"/>
  <c r="HNU1" i="7"/>
  <c r="HNV1" i="7"/>
  <c r="HNW1" i="7"/>
  <c r="HNX1" i="7"/>
  <c r="HNY1" i="7"/>
  <c r="HNZ1" i="7"/>
  <c r="HOA1" i="7"/>
  <c r="HOB1" i="7"/>
  <c r="HOC1" i="7"/>
  <c r="HOD1" i="7"/>
  <c r="HOE1" i="7"/>
  <c r="HOF1" i="7"/>
  <c r="HOG1" i="7"/>
  <c r="HOH1" i="7"/>
  <c r="HOI1" i="7"/>
  <c r="HOJ1" i="7"/>
  <c r="HOK1" i="7"/>
  <c r="HOL1" i="7"/>
  <c r="HOM1" i="7"/>
  <c r="HON1" i="7"/>
  <c r="HOO1" i="7"/>
  <c r="HOP1" i="7"/>
  <c r="HOQ1" i="7"/>
  <c r="HOR1" i="7"/>
  <c r="HOS1" i="7"/>
  <c r="HOT1" i="7"/>
  <c r="HOU1" i="7"/>
  <c r="HOV1" i="7"/>
  <c r="HOW1" i="7"/>
  <c r="HOX1" i="7"/>
  <c r="HOY1" i="7"/>
  <c r="HOZ1" i="7"/>
  <c r="HPA1" i="7"/>
  <c r="HPB1" i="7"/>
  <c r="HPC1" i="7"/>
  <c r="HPD1" i="7"/>
  <c r="HPE1" i="7"/>
  <c r="HPF1" i="7"/>
  <c r="HPG1" i="7"/>
  <c r="HPH1" i="7"/>
  <c r="HPI1" i="7"/>
  <c r="HPJ1" i="7"/>
  <c r="HPK1" i="7"/>
  <c r="HPL1" i="7"/>
  <c r="HPM1" i="7"/>
  <c r="HPN1" i="7"/>
  <c r="HPO1" i="7"/>
  <c r="HPP1" i="7"/>
  <c r="HPQ1" i="7"/>
  <c r="HPR1" i="7"/>
  <c r="HPS1" i="7"/>
  <c r="HPT1" i="7"/>
  <c r="HPU1" i="7"/>
  <c r="HPV1" i="7"/>
  <c r="HPW1" i="7"/>
  <c r="HPX1" i="7"/>
  <c r="HPY1" i="7"/>
  <c r="HPZ1" i="7"/>
  <c r="HQA1" i="7"/>
  <c r="HQB1" i="7"/>
  <c r="HQC1" i="7"/>
  <c r="HQD1" i="7"/>
  <c r="HQE1" i="7"/>
  <c r="HQF1" i="7"/>
  <c r="HQG1" i="7"/>
  <c r="HQH1" i="7"/>
  <c r="HQI1" i="7"/>
  <c r="HQJ1" i="7"/>
  <c r="HQK1" i="7"/>
  <c r="HQL1" i="7"/>
  <c r="HQM1" i="7"/>
  <c r="HQN1" i="7"/>
  <c r="HQO1" i="7"/>
  <c r="HQP1" i="7"/>
  <c r="HQQ1" i="7"/>
  <c r="HQR1" i="7"/>
  <c r="HQS1" i="7"/>
  <c r="HQT1" i="7"/>
  <c r="HQU1" i="7"/>
  <c r="HQV1" i="7"/>
  <c r="HQW1" i="7"/>
  <c r="HQX1" i="7"/>
  <c r="HQY1" i="7"/>
  <c r="HQZ1" i="7"/>
  <c r="HRA1" i="7"/>
  <c r="HRB1" i="7"/>
  <c r="HRC1" i="7"/>
  <c r="HRD1" i="7"/>
  <c r="HRE1" i="7"/>
  <c r="HRF1" i="7"/>
  <c r="HRG1" i="7"/>
  <c r="HRH1" i="7"/>
  <c r="HRI1" i="7"/>
  <c r="HRJ1" i="7"/>
  <c r="HRK1" i="7"/>
  <c r="HRL1" i="7"/>
  <c r="HRM1" i="7"/>
  <c r="HRN1" i="7"/>
  <c r="HRO1" i="7"/>
  <c r="HRP1" i="7"/>
  <c r="HRQ1" i="7"/>
  <c r="HRR1" i="7"/>
  <c r="HRS1" i="7"/>
  <c r="HRT1" i="7"/>
  <c r="HRU1" i="7"/>
  <c r="HRV1" i="7"/>
  <c r="HRW1" i="7"/>
  <c r="HRX1" i="7"/>
  <c r="HRY1" i="7"/>
  <c r="HRZ1" i="7"/>
  <c r="HSA1" i="7"/>
  <c r="HSB1" i="7"/>
  <c r="HSC1" i="7"/>
  <c r="HSD1" i="7"/>
  <c r="HSE1" i="7"/>
  <c r="HSF1" i="7"/>
  <c r="HSG1" i="7"/>
  <c r="HSH1" i="7"/>
  <c r="HSI1" i="7"/>
  <c r="HSJ1" i="7"/>
  <c r="HSK1" i="7"/>
  <c r="HSL1" i="7"/>
  <c r="HSM1" i="7"/>
  <c r="HSN1" i="7"/>
  <c r="HSO1" i="7"/>
  <c r="HSP1" i="7"/>
  <c r="HSQ1" i="7"/>
  <c r="HSR1" i="7"/>
  <c r="HSS1" i="7"/>
  <c r="HST1" i="7"/>
  <c r="HSU1" i="7"/>
  <c r="HSV1" i="7"/>
  <c r="HSW1" i="7"/>
  <c r="HSX1" i="7"/>
  <c r="HSY1" i="7"/>
  <c r="HSZ1" i="7"/>
  <c r="HTA1" i="7"/>
  <c r="HTB1" i="7"/>
  <c r="HTC1" i="7"/>
  <c r="HTD1" i="7"/>
  <c r="HTE1" i="7"/>
  <c r="HTF1" i="7"/>
  <c r="HTG1" i="7"/>
  <c r="HTH1" i="7"/>
  <c r="HTI1" i="7"/>
  <c r="HTJ1" i="7"/>
  <c r="HTK1" i="7"/>
  <c r="HTL1" i="7"/>
  <c r="HTM1" i="7"/>
  <c r="HTN1" i="7"/>
  <c r="HTO1" i="7"/>
  <c r="HTP1" i="7"/>
  <c r="HTQ1" i="7"/>
  <c r="HTR1" i="7"/>
  <c r="HTS1" i="7"/>
  <c r="HTT1" i="7"/>
  <c r="HTU1" i="7"/>
  <c r="HTV1" i="7"/>
  <c r="HTW1" i="7"/>
  <c r="HTX1" i="7"/>
  <c r="HTY1" i="7"/>
  <c r="HTZ1" i="7"/>
  <c r="HUA1" i="7"/>
  <c r="HUB1" i="7"/>
  <c r="HUC1" i="7"/>
  <c r="HUD1" i="7"/>
  <c r="HUE1" i="7"/>
  <c r="HUF1" i="7"/>
  <c r="HUG1" i="7"/>
  <c r="HUH1" i="7"/>
  <c r="HUI1" i="7"/>
  <c r="HUJ1" i="7"/>
  <c r="HUK1" i="7"/>
  <c r="HUL1" i="7"/>
  <c r="HUM1" i="7"/>
  <c r="HUN1" i="7"/>
  <c r="HUO1" i="7"/>
  <c r="HUP1" i="7"/>
  <c r="HUQ1" i="7"/>
  <c r="HUR1" i="7"/>
  <c r="HUS1" i="7"/>
  <c r="HUT1" i="7"/>
  <c r="HUU1" i="7"/>
  <c r="HUV1" i="7"/>
  <c r="HUW1" i="7"/>
  <c r="HUX1" i="7"/>
  <c r="HUY1" i="7"/>
  <c r="HUZ1" i="7"/>
  <c r="HVA1" i="7"/>
  <c r="HVB1" i="7"/>
  <c r="HVC1" i="7"/>
  <c r="HVD1" i="7"/>
  <c r="HVE1" i="7"/>
  <c r="HVF1" i="7"/>
  <c r="HVG1" i="7"/>
  <c r="HVH1" i="7"/>
  <c r="HVI1" i="7"/>
  <c r="HVJ1" i="7"/>
  <c r="HVK1" i="7"/>
  <c r="HVL1" i="7"/>
  <c r="HVM1" i="7"/>
  <c r="HVN1" i="7"/>
  <c r="HVO1" i="7"/>
  <c r="HVP1" i="7"/>
  <c r="HVQ1" i="7"/>
  <c r="HVR1" i="7"/>
  <c r="HVS1" i="7"/>
  <c r="HVT1" i="7"/>
  <c r="HVU1" i="7"/>
  <c r="HVV1" i="7"/>
  <c r="HVW1" i="7"/>
  <c r="HVX1" i="7"/>
  <c r="HVY1" i="7"/>
  <c r="HVZ1" i="7"/>
  <c r="HWA1" i="7"/>
  <c r="HWB1" i="7"/>
  <c r="HWC1" i="7"/>
  <c r="HWD1" i="7"/>
  <c r="HWE1" i="7"/>
  <c r="HWF1" i="7"/>
  <c r="HWG1" i="7"/>
  <c r="HWH1" i="7"/>
  <c r="HWI1" i="7"/>
  <c r="HWJ1" i="7"/>
  <c r="HWK1" i="7"/>
  <c r="HWL1" i="7"/>
  <c r="HWM1" i="7"/>
  <c r="HWN1" i="7"/>
  <c r="HWO1" i="7"/>
  <c r="HWP1" i="7"/>
  <c r="HWQ1" i="7"/>
  <c r="HWR1" i="7"/>
  <c r="HWS1" i="7"/>
  <c r="HWT1" i="7"/>
  <c r="HWU1" i="7"/>
  <c r="HWV1" i="7"/>
  <c r="HWW1" i="7"/>
  <c r="HWX1" i="7"/>
  <c r="HWY1" i="7"/>
  <c r="HWZ1" i="7"/>
  <c r="HXA1" i="7"/>
  <c r="HXB1" i="7"/>
  <c r="HXC1" i="7"/>
  <c r="HXD1" i="7"/>
  <c r="HXE1" i="7"/>
  <c r="HXF1" i="7"/>
  <c r="HXG1" i="7"/>
  <c r="HXH1" i="7"/>
  <c r="HXI1" i="7"/>
  <c r="HXJ1" i="7"/>
  <c r="HXK1" i="7"/>
  <c r="HXL1" i="7"/>
  <c r="HXM1" i="7"/>
  <c r="HXN1" i="7"/>
  <c r="HXO1" i="7"/>
  <c r="HXP1" i="7"/>
  <c r="HXQ1" i="7"/>
  <c r="HXR1" i="7"/>
  <c r="HXS1" i="7"/>
  <c r="HXT1" i="7"/>
  <c r="HXU1" i="7"/>
  <c r="HXV1" i="7"/>
  <c r="HXW1" i="7"/>
  <c r="HXX1" i="7"/>
  <c r="HXY1" i="7"/>
  <c r="HXZ1" i="7"/>
  <c r="HYA1" i="7"/>
  <c r="HYB1" i="7"/>
  <c r="HYC1" i="7"/>
  <c r="HYD1" i="7"/>
  <c r="HYE1" i="7"/>
  <c r="HYF1" i="7"/>
  <c r="HYG1" i="7"/>
  <c r="HYH1" i="7"/>
  <c r="HYI1" i="7"/>
  <c r="HYJ1" i="7"/>
  <c r="HYK1" i="7"/>
  <c r="HYL1" i="7"/>
  <c r="HYM1" i="7"/>
  <c r="HYN1" i="7"/>
  <c r="HYO1" i="7"/>
  <c r="HYP1" i="7"/>
  <c r="HYQ1" i="7"/>
  <c r="HYR1" i="7"/>
  <c r="HYS1" i="7"/>
  <c r="HYT1" i="7"/>
  <c r="HYU1" i="7"/>
  <c r="HYV1" i="7"/>
  <c r="HYW1" i="7"/>
  <c r="HYX1" i="7"/>
  <c r="HYY1" i="7"/>
  <c r="HYZ1" i="7"/>
  <c r="HZA1" i="7"/>
  <c r="HZB1" i="7"/>
  <c r="HZC1" i="7"/>
  <c r="HZD1" i="7"/>
  <c r="HZE1" i="7"/>
  <c r="HZF1" i="7"/>
  <c r="HZG1" i="7"/>
  <c r="HZH1" i="7"/>
  <c r="HZI1" i="7"/>
  <c r="HZJ1" i="7"/>
  <c r="HZK1" i="7"/>
  <c r="HZL1" i="7"/>
  <c r="HZM1" i="7"/>
  <c r="HZN1" i="7"/>
  <c r="HZO1" i="7"/>
  <c r="HZP1" i="7"/>
  <c r="HZQ1" i="7"/>
  <c r="HZR1" i="7"/>
  <c r="HZS1" i="7"/>
  <c r="HZT1" i="7"/>
  <c r="HZU1" i="7"/>
  <c r="HZV1" i="7"/>
  <c r="HZW1" i="7"/>
  <c r="HZX1" i="7"/>
  <c r="HZY1" i="7"/>
  <c r="HZZ1" i="7"/>
  <c r="IAA1" i="7"/>
  <c r="IAB1" i="7"/>
  <c r="IAC1" i="7"/>
  <c r="IAD1" i="7"/>
  <c r="IAE1" i="7"/>
  <c r="IAF1" i="7"/>
  <c r="IAG1" i="7"/>
  <c r="IAH1" i="7"/>
  <c r="IAI1" i="7"/>
  <c r="IAJ1" i="7"/>
  <c r="IAK1" i="7"/>
  <c r="IAL1" i="7"/>
  <c r="IAM1" i="7"/>
  <c r="IAN1" i="7"/>
  <c r="IAO1" i="7"/>
  <c r="IAP1" i="7"/>
  <c r="IAQ1" i="7"/>
  <c r="IAR1" i="7"/>
  <c r="IAS1" i="7"/>
  <c r="IAT1" i="7"/>
  <c r="IAU1" i="7"/>
  <c r="IAV1" i="7"/>
  <c r="IAW1" i="7"/>
  <c r="IAX1" i="7"/>
  <c r="IAY1" i="7"/>
  <c r="IAZ1" i="7"/>
  <c r="IBA1" i="7"/>
  <c r="IBB1" i="7"/>
  <c r="IBC1" i="7"/>
  <c r="IBD1" i="7"/>
  <c r="IBE1" i="7"/>
  <c r="IBF1" i="7"/>
  <c r="IBG1" i="7"/>
  <c r="IBH1" i="7"/>
  <c r="IBI1" i="7"/>
  <c r="IBJ1" i="7"/>
  <c r="IBK1" i="7"/>
  <c r="IBL1" i="7"/>
  <c r="IBM1" i="7"/>
  <c r="IBN1" i="7"/>
  <c r="IBO1" i="7"/>
  <c r="IBP1" i="7"/>
  <c r="IBQ1" i="7"/>
  <c r="IBR1" i="7"/>
  <c r="IBS1" i="7"/>
  <c r="IBT1" i="7"/>
  <c r="IBU1" i="7"/>
  <c r="IBV1" i="7"/>
  <c r="IBW1" i="7"/>
  <c r="IBX1" i="7"/>
  <c r="IBY1" i="7"/>
  <c r="IBZ1" i="7"/>
  <c r="ICA1" i="7"/>
  <c r="ICB1" i="7"/>
  <c r="ICC1" i="7"/>
  <c r="ICD1" i="7"/>
  <c r="ICE1" i="7"/>
  <c r="ICF1" i="7"/>
  <c r="ICG1" i="7"/>
  <c r="ICH1" i="7"/>
  <c r="ICI1" i="7"/>
  <c r="ICJ1" i="7"/>
  <c r="ICK1" i="7"/>
  <c r="ICL1" i="7"/>
  <c r="ICM1" i="7"/>
  <c r="ICN1" i="7"/>
  <c r="ICO1" i="7"/>
  <c r="ICP1" i="7"/>
  <c r="ICQ1" i="7"/>
  <c r="ICR1" i="7"/>
  <c r="ICS1" i="7"/>
  <c r="ICT1" i="7"/>
  <c r="ICU1" i="7"/>
  <c r="ICV1" i="7"/>
  <c r="ICW1" i="7"/>
  <c r="ICX1" i="7"/>
  <c r="ICY1" i="7"/>
  <c r="ICZ1" i="7"/>
  <c r="IDA1" i="7"/>
  <c r="IDB1" i="7"/>
  <c r="IDC1" i="7"/>
  <c r="IDD1" i="7"/>
  <c r="IDE1" i="7"/>
  <c r="IDF1" i="7"/>
  <c r="IDG1" i="7"/>
  <c r="IDH1" i="7"/>
  <c r="IDI1" i="7"/>
  <c r="IDJ1" i="7"/>
  <c r="IDK1" i="7"/>
  <c r="IDL1" i="7"/>
  <c r="IDM1" i="7"/>
  <c r="IDN1" i="7"/>
  <c r="IDO1" i="7"/>
  <c r="IDP1" i="7"/>
  <c r="IDQ1" i="7"/>
  <c r="IDR1" i="7"/>
  <c r="IDS1" i="7"/>
  <c r="IDT1" i="7"/>
  <c r="IDU1" i="7"/>
  <c r="IDV1" i="7"/>
  <c r="IDW1" i="7"/>
  <c r="IDX1" i="7"/>
  <c r="IDY1" i="7"/>
  <c r="IDZ1" i="7"/>
  <c r="IEA1" i="7"/>
  <c r="IEB1" i="7"/>
  <c r="IEC1" i="7"/>
  <c r="IED1" i="7"/>
  <c r="IEE1" i="7"/>
  <c r="IEF1" i="7"/>
  <c r="IEG1" i="7"/>
  <c r="IEH1" i="7"/>
  <c r="IEI1" i="7"/>
  <c r="IEJ1" i="7"/>
  <c r="IEK1" i="7"/>
  <c r="IEL1" i="7"/>
  <c r="IEM1" i="7"/>
  <c r="IEN1" i="7"/>
  <c r="IEO1" i="7"/>
  <c r="IEP1" i="7"/>
  <c r="IEQ1" i="7"/>
  <c r="IER1" i="7"/>
  <c r="IES1" i="7"/>
  <c r="IET1" i="7"/>
  <c r="IEU1" i="7"/>
  <c r="IEV1" i="7"/>
  <c r="IEW1" i="7"/>
  <c r="IEX1" i="7"/>
  <c r="IEY1" i="7"/>
  <c r="IEZ1" i="7"/>
  <c r="IFA1" i="7"/>
  <c r="IFB1" i="7"/>
  <c r="IFC1" i="7"/>
  <c r="IFD1" i="7"/>
  <c r="IFE1" i="7"/>
  <c r="IFF1" i="7"/>
  <c r="IFG1" i="7"/>
  <c r="IFH1" i="7"/>
  <c r="IFI1" i="7"/>
  <c r="IFJ1" i="7"/>
  <c r="IFK1" i="7"/>
  <c r="IFL1" i="7"/>
  <c r="IFM1" i="7"/>
  <c r="IFN1" i="7"/>
  <c r="IFO1" i="7"/>
  <c r="IFP1" i="7"/>
  <c r="IFQ1" i="7"/>
  <c r="IFR1" i="7"/>
  <c r="IFS1" i="7"/>
  <c r="IFT1" i="7"/>
  <c r="IFU1" i="7"/>
  <c r="IFV1" i="7"/>
  <c r="IFW1" i="7"/>
  <c r="IFX1" i="7"/>
  <c r="IFY1" i="7"/>
  <c r="IFZ1" i="7"/>
  <c r="IGA1" i="7"/>
  <c r="IGB1" i="7"/>
  <c r="IGC1" i="7"/>
  <c r="IGD1" i="7"/>
  <c r="IGE1" i="7"/>
  <c r="IGF1" i="7"/>
  <c r="IGG1" i="7"/>
  <c r="IGH1" i="7"/>
  <c r="IGI1" i="7"/>
  <c r="IGJ1" i="7"/>
  <c r="IGK1" i="7"/>
  <c r="IGL1" i="7"/>
  <c r="IGM1" i="7"/>
  <c r="IGN1" i="7"/>
  <c r="IGO1" i="7"/>
  <c r="IGP1" i="7"/>
  <c r="IGQ1" i="7"/>
  <c r="IGR1" i="7"/>
  <c r="IGS1" i="7"/>
  <c r="IGT1" i="7"/>
  <c r="IGU1" i="7"/>
  <c r="IGV1" i="7"/>
  <c r="IGW1" i="7"/>
  <c r="IGX1" i="7"/>
  <c r="IGY1" i="7"/>
  <c r="IGZ1" i="7"/>
  <c r="IHA1" i="7"/>
  <c r="IHB1" i="7"/>
  <c r="IHC1" i="7"/>
  <c r="IHD1" i="7"/>
  <c r="IHE1" i="7"/>
  <c r="IHF1" i="7"/>
  <c r="IHG1" i="7"/>
  <c r="IHH1" i="7"/>
  <c r="IHI1" i="7"/>
  <c r="IHJ1" i="7"/>
  <c r="IHK1" i="7"/>
  <c r="IHL1" i="7"/>
  <c r="IHM1" i="7"/>
  <c r="IHN1" i="7"/>
  <c r="IHO1" i="7"/>
  <c r="IHP1" i="7"/>
  <c r="IHQ1" i="7"/>
  <c r="IHR1" i="7"/>
  <c r="IHS1" i="7"/>
  <c r="IHT1" i="7"/>
  <c r="IHU1" i="7"/>
  <c r="IHV1" i="7"/>
  <c r="IHW1" i="7"/>
  <c r="IHX1" i="7"/>
  <c r="IHY1" i="7"/>
  <c r="IHZ1" i="7"/>
  <c r="IIA1" i="7"/>
  <c r="IIB1" i="7"/>
  <c r="IIC1" i="7"/>
  <c r="IID1" i="7"/>
  <c r="IIE1" i="7"/>
  <c r="IIF1" i="7"/>
  <c r="IIG1" i="7"/>
  <c r="IIH1" i="7"/>
  <c r="III1" i="7"/>
  <c r="IIJ1" i="7"/>
  <c r="IIK1" i="7"/>
  <c r="IIL1" i="7"/>
  <c r="IIM1" i="7"/>
  <c r="IIN1" i="7"/>
  <c r="IIO1" i="7"/>
  <c r="IIP1" i="7"/>
  <c r="IIQ1" i="7"/>
  <c r="IIR1" i="7"/>
  <c r="IIS1" i="7"/>
  <c r="IIT1" i="7"/>
  <c r="IIU1" i="7"/>
  <c r="IIV1" i="7"/>
  <c r="IIW1" i="7"/>
  <c r="IIX1" i="7"/>
  <c r="IIY1" i="7"/>
  <c r="IIZ1" i="7"/>
  <c r="IJA1" i="7"/>
  <c r="IJB1" i="7"/>
  <c r="IJC1" i="7"/>
  <c r="IJD1" i="7"/>
  <c r="IJE1" i="7"/>
  <c r="IJF1" i="7"/>
  <c r="IJG1" i="7"/>
  <c r="IJH1" i="7"/>
  <c r="IJI1" i="7"/>
  <c r="IJJ1" i="7"/>
  <c r="IJK1" i="7"/>
  <c r="IJL1" i="7"/>
  <c r="IJM1" i="7"/>
  <c r="IJN1" i="7"/>
  <c r="IJO1" i="7"/>
  <c r="IJP1" i="7"/>
  <c r="IJQ1" i="7"/>
  <c r="IJR1" i="7"/>
  <c r="IJS1" i="7"/>
  <c r="IJT1" i="7"/>
  <c r="IJU1" i="7"/>
  <c r="IJV1" i="7"/>
  <c r="IJW1" i="7"/>
  <c r="IJX1" i="7"/>
  <c r="IJY1" i="7"/>
  <c r="IJZ1" i="7"/>
  <c r="IKA1" i="7"/>
  <c r="IKB1" i="7"/>
  <c r="IKC1" i="7"/>
  <c r="IKD1" i="7"/>
  <c r="IKE1" i="7"/>
  <c r="IKF1" i="7"/>
  <c r="IKG1" i="7"/>
  <c r="IKH1" i="7"/>
  <c r="IKI1" i="7"/>
  <c r="IKJ1" i="7"/>
  <c r="IKK1" i="7"/>
  <c r="IKL1" i="7"/>
  <c r="IKM1" i="7"/>
  <c r="IKN1" i="7"/>
  <c r="IKO1" i="7"/>
  <c r="IKP1" i="7"/>
  <c r="IKQ1" i="7"/>
  <c r="IKR1" i="7"/>
  <c r="IKS1" i="7"/>
  <c r="IKT1" i="7"/>
  <c r="IKU1" i="7"/>
  <c r="IKV1" i="7"/>
  <c r="IKW1" i="7"/>
  <c r="IKX1" i="7"/>
  <c r="IKY1" i="7"/>
  <c r="IKZ1" i="7"/>
  <c r="ILA1" i="7"/>
  <c r="ILB1" i="7"/>
  <c r="ILC1" i="7"/>
  <c r="ILD1" i="7"/>
  <c r="ILE1" i="7"/>
  <c r="ILF1" i="7"/>
  <c r="ILG1" i="7"/>
  <c r="ILH1" i="7"/>
  <c r="ILI1" i="7"/>
  <c r="ILJ1" i="7"/>
  <c r="ILK1" i="7"/>
  <c r="ILL1" i="7"/>
  <c r="ILM1" i="7"/>
  <c r="ILN1" i="7"/>
  <c r="ILO1" i="7"/>
  <c r="ILP1" i="7"/>
  <c r="ILQ1" i="7"/>
  <c r="ILR1" i="7"/>
  <c r="ILS1" i="7"/>
  <c r="ILT1" i="7"/>
  <c r="ILU1" i="7"/>
  <c r="ILV1" i="7"/>
  <c r="ILW1" i="7"/>
  <c r="ILX1" i="7"/>
  <c r="ILY1" i="7"/>
  <c r="ILZ1" i="7"/>
  <c r="IMA1" i="7"/>
  <c r="IMB1" i="7"/>
  <c r="IMC1" i="7"/>
  <c r="IMD1" i="7"/>
  <c r="IME1" i="7"/>
  <c r="IMF1" i="7"/>
  <c r="IMG1" i="7"/>
  <c r="IMH1" i="7"/>
  <c r="IMI1" i="7"/>
  <c r="IMJ1" i="7"/>
  <c r="IMK1" i="7"/>
  <c r="IML1" i="7"/>
  <c r="IMM1" i="7"/>
  <c r="IMN1" i="7"/>
  <c r="IMO1" i="7"/>
  <c r="IMP1" i="7"/>
  <c r="IMQ1" i="7"/>
  <c r="IMR1" i="7"/>
  <c r="IMS1" i="7"/>
  <c r="IMT1" i="7"/>
  <c r="IMU1" i="7"/>
  <c r="IMV1" i="7"/>
  <c r="IMW1" i="7"/>
  <c r="IMX1" i="7"/>
  <c r="IMY1" i="7"/>
  <c r="IMZ1" i="7"/>
  <c r="INA1" i="7"/>
  <c r="INB1" i="7"/>
  <c r="INC1" i="7"/>
  <c r="IND1" i="7"/>
  <c r="INE1" i="7"/>
  <c r="INF1" i="7"/>
  <c r="ING1" i="7"/>
  <c r="INH1" i="7"/>
  <c r="INI1" i="7"/>
  <c r="INJ1" i="7"/>
  <c r="INK1" i="7"/>
  <c r="INL1" i="7"/>
  <c r="INM1" i="7"/>
  <c r="INN1" i="7"/>
  <c r="INO1" i="7"/>
  <c r="INP1" i="7"/>
  <c r="INQ1" i="7"/>
  <c r="INR1" i="7"/>
  <c r="INS1" i="7"/>
  <c r="INT1" i="7"/>
  <c r="INU1" i="7"/>
  <c r="INV1" i="7"/>
  <c r="INW1" i="7"/>
  <c r="INX1" i="7"/>
  <c r="INY1" i="7"/>
  <c r="INZ1" i="7"/>
  <c r="IOA1" i="7"/>
  <c r="IOB1" i="7"/>
  <c r="IOC1" i="7"/>
  <c r="IOD1" i="7"/>
  <c r="IOE1" i="7"/>
  <c r="IOF1" i="7"/>
  <c r="IOG1" i="7"/>
  <c r="IOH1" i="7"/>
  <c r="IOI1" i="7"/>
  <c r="IOJ1" i="7"/>
  <c r="IOK1" i="7"/>
  <c r="IOL1" i="7"/>
  <c r="IOM1" i="7"/>
  <c r="ION1" i="7"/>
  <c r="IOO1" i="7"/>
  <c r="IOP1" i="7"/>
  <c r="IOQ1" i="7"/>
  <c r="IOR1" i="7"/>
  <c r="IOS1" i="7"/>
  <c r="IOT1" i="7"/>
  <c r="IOU1" i="7"/>
  <c r="IOV1" i="7"/>
  <c r="IOW1" i="7"/>
  <c r="IOX1" i="7"/>
  <c r="IOY1" i="7"/>
  <c r="IOZ1" i="7"/>
  <c r="IPA1" i="7"/>
  <c r="IPB1" i="7"/>
  <c r="IPC1" i="7"/>
  <c r="IPD1" i="7"/>
  <c r="IPE1" i="7"/>
  <c r="IPF1" i="7"/>
  <c r="IPG1" i="7"/>
  <c r="IPH1" i="7"/>
  <c r="IPI1" i="7"/>
  <c r="IPJ1" i="7"/>
  <c r="IPK1" i="7"/>
  <c r="IPL1" i="7"/>
  <c r="IPM1" i="7"/>
  <c r="IPN1" i="7"/>
  <c r="IPO1" i="7"/>
  <c r="IPP1" i="7"/>
  <c r="IPQ1" i="7"/>
  <c r="IPR1" i="7"/>
  <c r="IPS1" i="7"/>
  <c r="IPT1" i="7"/>
  <c r="IPU1" i="7"/>
  <c r="IPV1" i="7"/>
  <c r="IPW1" i="7"/>
  <c r="IPX1" i="7"/>
  <c r="IPY1" i="7"/>
  <c r="IPZ1" i="7"/>
  <c r="IQA1" i="7"/>
  <c r="IQB1" i="7"/>
  <c r="IQC1" i="7"/>
  <c r="IQD1" i="7"/>
  <c r="IQE1" i="7"/>
  <c r="IQF1" i="7"/>
  <c r="IQG1" i="7"/>
  <c r="IQH1" i="7"/>
  <c r="IQI1" i="7"/>
  <c r="IQJ1" i="7"/>
  <c r="IQK1" i="7"/>
  <c r="IQL1" i="7"/>
  <c r="IQM1" i="7"/>
  <c r="IQN1" i="7"/>
  <c r="IQO1" i="7"/>
  <c r="IQP1" i="7"/>
  <c r="IQQ1" i="7"/>
  <c r="IQR1" i="7"/>
  <c r="IQS1" i="7"/>
  <c r="IQT1" i="7"/>
  <c r="IQU1" i="7"/>
  <c r="IQV1" i="7"/>
  <c r="IQW1" i="7"/>
  <c r="IQX1" i="7"/>
  <c r="IQY1" i="7"/>
  <c r="IQZ1" i="7"/>
  <c r="IRA1" i="7"/>
  <c r="IRB1" i="7"/>
  <c r="IRC1" i="7"/>
  <c r="IRD1" i="7"/>
  <c r="IRE1" i="7"/>
  <c r="IRF1" i="7"/>
  <c r="IRG1" i="7"/>
  <c r="IRH1" i="7"/>
  <c r="IRI1" i="7"/>
  <c r="IRJ1" i="7"/>
  <c r="IRK1" i="7"/>
  <c r="IRL1" i="7"/>
  <c r="IRM1" i="7"/>
  <c r="IRN1" i="7"/>
  <c r="IRO1" i="7"/>
  <c r="IRP1" i="7"/>
  <c r="IRQ1" i="7"/>
  <c r="IRR1" i="7"/>
  <c r="IRS1" i="7"/>
  <c r="IRT1" i="7"/>
  <c r="IRU1" i="7"/>
  <c r="IRV1" i="7"/>
  <c r="IRW1" i="7"/>
  <c r="IRX1" i="7"/>
  <c r="IRY1" i="7"/>
  <c r="IRZ1" i="7"/>
  <c r="ISA1" i="7"/>
  <c r="ISB1" i="7"/>
  <c r="ISC1" i="7"/>
  <c r="ISD1" i="7"/>
  <c r="ISE1" i="7"/>
  <c r="ISF1" i="7"/>
  <c r="ISG1" i="7"/>
  <c r="ISH1" i="7"/>
  <c r="ISI1" i="7"/>
  <c r="ISJ1" i="7"/>
  <c r="ISK1" i="7"/>
  <c r="ISL1" i="7"/>
  <c r="ISM1" i="7"/>
  <c r="ISN1" i="7"/>
  <c r="ISO1" i="7"/>
  <c r="ISP1" i="7"/>
  <c r="ISQ1" i="7"/>
  <c r="ISR1" i="7"/>
  <c r="ISS1" i="7"/>
  <c r="IST1" i="7"/>
  <c r="ISU1" i="7"/>
  <c r="ISV1" i="7"/>
  <c r="ISW1" i="7"/>
  <c r="ISX1" i="7"/>
  <c r="ISY1" i="7"/>
  <c r="ISZ1" i="7"/>
  <c r="ITA1" i="7"/>
  <c r="ITB1" i="7"/>
  <c r="ITC1" i="7"/>
  <c r="ITD1" i="7"/>
  <c r="ITE1" i="7"/>
  <c r="ITF1" i="7"/>
  <c r="ITG1" i="7"/>
  <c r="ITH1" i="7"/>
  <c r="ITI1" i="7"/>
  <c r="ITJ1" i="7"/>
  <c r="ITK1" i="7"/>
  <c r="ITL1" i="7"/>
  <c r="ITM1" i="7"/>
  <c r="ITN1" i="7"/>
  <c r="ITO1" i="7"/>
  <c r="ITP1" i="7"/>
  <c r="ITQ1" i="7"/>
  <c r="ITR1" i="7"/>
  <c r="ITS1" i="7"/>
  <c r="ITT1" i="7"/>
  <c r="ITU1" i="7"/>
  <c r="ITV1" i="7"/>
  <c r="ITW1" i="7"/>
  <c r="ITX1" i="7"/>
  <c r="ITY1" i="7"/>
  <c r="ITZ1" i="7"/>
  <c r="IUA1" i="7"/>
  <c r="IUB1" i="7"/>
  <c r="IUC1" i="7"/>
  <c r="IUD1" i="7"/>
  <c r="IUE1" i="7"/>
  <c r="IUF1" i="7"/>
  <c r="IUG1" i="7"/>
  <c r="IUH1" i="7"/>
  <c r="IUI1" i="7"/>
  <c r="IUJ1" i="7"/>
  <c r="IUK1" i="7"/>
  <c r="IUL1" i="7"/>
  <c r="IUM1" i="7"/>
  <c r="IUN1" i="7"/>
  <c r="IUO1" i="7"/>
  <c r="IUP1" i="7"/>
  <c r="IUQ1" i="7"/>
  <c r="IUR1" i="7"/>
  <c r="IUS1" i="7"/>
  <c r="IUT1" i="7"/>
  <c r="IUU1" i="7"/>
  <c r="IUV1" i="7"/>
  <c r="IUW1" i="7"/>
  <c r="IUX1" i="7"/>
  <c r="IUY1" i="7"/>
  <c r="IUZ1" i="7"/>
  <c r="IVA1" i="7"/>
  <c r="IVB1" i="7"/>
  <c r="IVC1" i="7"/>
  <c r="IVD1" i="7"/>
  <c r="IVE1" i="7"/>
  <c r="IVF1" i="7"/>
  <c r="IVG1" i="7"/>
  <c r="IVH1" i="7"/>
  <c r="IVI1" i="7"/>
  <c r="IVJ1" i="7"/>
  <c r="IVK1" i="7"/>
  <c r="IVL1" i="7"/>
  <c r="IVM1" i="7"/>
  <c r="IVN1" i="7"/>
  <c r="IVO1" i="7"/>
  <c r="IVP1" i="7"/>
  <c r="IVQ1" i="7"/>
  <c r="IVR1" i="7"/>
  <c r="IVS1" i="7"/>
  <c r="IVT1" i="7"/>
  <c r="IVU1" i="7"/>
  <c r="IVV1" i="7"/>
  <c r="IVW1" i="7"/>
  <c r="IVX1" i="7"/>
  <c r="IVY1" i="7"/>
  <c r="IVZ1" i="7"/>
  <c r="IWA1" i="7"/>
  <c r="IWB1" i="7"/>
  <c r="IWC1" i="7"/>
  <c r="IWD1" i="7"/>
  <c r="IWE1" i="7"/>
  <c r="IWF1" i="7"/>
  <c r="IWG1" i="7"/>
  <c r="IWH1" i="7"/>
  <c r="IWI1" i="7"/>
  <c r="IWJ1" i="7"/>
  <c r="IWK1" i="7"/>
  <c r="IWL1" i="7"/>
  <c r="IWM1" i="7"/>
  <c r="IWN1" i="7"/>
  <c r="IWO1" i="7"/>
  <c r="IWP1" i="7"/>
  <c r="IWQ1" i="7"/>
  <c r="IWR1" i="7"/>
  <c r="IWS1" i="7"/>
  <c r="IWT1" i="7"/>
  <c r="IWU1" i="7"/>
  <c r="IWV1" i="7"/>
  <c r="IWW1" i="7"/>
  <c r="IWX1" i="7"/>
  <c r="IWY1" i="7"/>
  <c r="IWZ1" i="7"/>
  <c r="IXA1" i="7"/>
  <c r="IXB1" i="7"/>
  <c r="IXC1" i="7"/>
  <c r="IXD1" i="7"/>
  <c r="IXE1" i="7"/>
  <c r="IXF1" i="7"/>
  <c r="IXG1" i="7"/>
  <c r="IXH1" i="7"/>
  <c r="IXI1" i="7"/>
  <c r="IXJ1" i="7"/>
  <c r="IXK1" i="7"/>
  <c r="IXL1" i="7"/>
  <c r="IXM1" i="7"/>
  <c r="IXN1" i="7"/>
  <c r="IXO1" i="7"/>
  <c r="IXP1" i="7"/>
  <c r="IXQ1" i="7"/>
  <c r="IXR1" i="7"/>
  <c r="IXS1" i="7"/>
  <c r="IXT1" i="7"/>
  <c r="IXU1" i="7"/>
  <c r="IXV1" i="7"/>
  <c r="IXW1" i="7"/>
  <c r="IXX1" i="7"/>
  <c r="IXY1" i="7"/>
  <c r="IXZ1" i="7"/>
  <c r="IYA1" i="7"/>
  <c r="IYB1" i="7"/>
  <c r="IYC1" i="7"/>
  <c r="IYD1" i="7"/>
  <c r="IYE1" i="7"/>
  <c r="IYF1" i="7"/>
  <c r="IYG1" i="7"/>
  <c r="IYH1" i="7"/>
  <c r="IYI1" i="7"/>
  <c r="IYJ1" i="7"/>
  <c r="IYK1" i="7"/>
  <c r="IYL1" i="7"/>
  <c r="IYM1" i="7"/>
  <c r="IYN1" i="7"/>
  <c r="IYO1" i="7"/>
  <c r="IYP1" i="7"/>
  <c r="IYQ1" i="7"/>
  <c r="IYR1" i="7"/>
  <c r="IYS1" i="7"/>
  <c r="IYT1" i="7"/>
  <c r="IYU1" i="7"/>
  <c r="IYV1" i="7"/>
  <c r="IYW1" i="7"/>
  <c r="IYX1" i="7"/>
  <c r="IYY1" i="7"/>
  <c r="IYZ1" i="7"/>
  <c r="IZA1" i="7"/>
  <c r="IZB1" i="7"/>
  <c r="IZC1" i="7"/>
  <c r="IZD1" i="7"/>
  <c r="IZE1" i="7"/>
  <c r="IZF1" i="7"/>
  <c r="IZG1" i="7"/>
  <c r="IZH1" i="7"/>
  <c r="IZI1" i="7"/>
  <c r="IZJ1" i="7"/>
  <c r="IZK1" i="7"/>
  <c r="IZL1" i="7"/>
  <c r="IZM1" i="7"/>
  <c r="IZN1" i="7"/>
  <c r="IZO1" i="7"/>
  <c r="IZP1" i="7"/>
  <c r="IZQ1" i="7"/>
  <c r="IZR1" i="7"/>
  <c r="IZS1" i="7"/>
  <c r="IZT1" i="7"/>
  <c r="IZU1" i="7"/>
  <c r="IZV1" i="7"/>
  <c r="IZW1" i="7"/>
  <c r="IZX1" i="7"/>
  <c r="IZY1" i="7"/>
  <c r="IZZ1" i="7"/>
  <c r="JAA1" i="7"/>
  <c r="JAB1" i="7"/>
  <c r="JAC1" i="7"/>
  <c r="JAD1" i="7"/>
  <c r="JAE1" i="7"/>
  <c r="JAF1" i="7"/>
  <c r="JAG1" i="7"/>
  <c r="JAH1" i="7"/>
  <c r="JAI1" i="7"/>
  <c r="JAJ1" i="7"/>
  <c r="JAK1" i="7"/>
  <c r="JAL1" i="7"/>
  <c r="JAM1" i="7"/>
  <c r="JAN1" i="7"/>
  <c r="JAO1" i="7"/>
  <c r="JAP1" i="7"/>
  <c r="JAQ1" i="7"/>
  <c r="JAR1" i="7"/>
  <c r="JAS1" i="7"/>
  <c r="JAT1" i="7"/>
  <c r="JAU1" i="7"/>
  <c r="JAV1" i="7"/>
  <c r="JAW1" i="7"/>
  <c r="JAX1" i="7"/>
  <c r="JAY1" i="7"/>
  <c r="JAZ1" i="7"/>
  <c r="JBA1" i="7"/>
  <c r="JBB1" i="7"/>
  <c r="JBC1" i="7"/>
  <c r="JBD1" i="7"/>
  <c r="JBE1" i="7"/>
  <c r="JBF1" i="7"/>
  <c r="JBG1" i="7"/>
  <c r="JBH1" i="7"/>
  <c r="JBI1" i="7"/>
  <c r="JBJ1" i="7"/>
  <c r="JBK1" i="7"/>
  <c r="JBL1" i="7"/>
  <c r="JBM1" i="7"/>
  <c r="JBN1" i="7"/>
  <c r="JBO1" i="7"/>
  <c r="JBP1" i="7"/>
  <c r="JBQ1" i="7"/>
  <c r="JBR1" i="7"/>
  <c r="JBS1" i="7"/>
  <c r="JBT1" i="7"/>
  <c r="JBU1" i="7"/>
  <c r="JBV1" i="7"/>
  <c r="JBW1" i="7"/>
  <c r="JBX1" i="7"/>
  <c r="JBY1" i="7"/>
  <c r="JBZ1" i="7"/>
  <c r="JCA1" i="7"/>
  <c r="JCB1" i="7"/>
  <c r="JCC1" i="7"/>
  <c r="JCD1" i="7"/>
  <c r="JCE1" i="7"/>
  <c r="JCF1" i="7"/>
  <c r="JCG1" i="7"/>
  <c r="JCH1" i="7"/>
  <c r="JCI1" i="7"/>
  <c r="JCJ1" i="7"/>
  <c r="JCK1" i="7"/>
  <c r="JCL1" i="7"/>
  <c r="JCM1" i="7"/>
  <c r="JCN1" i="7"/>
  <c r="JCO1" i="7"/>
  <c r="JCP1" i="7"/>
  <c r="JCQ1" i="7"/>
  <c r="JCR1" i="7"/>
  <c r="JCS1" i="7"/>
  <c r="JCT1" i="7"/>
  <c r="JCU1" i="7"/>
  <c r="JCV1" i="7"/>
  <c r="JCW1" i="7"/>
  <c r="JCX1" i="7"/>
  <c r="JCY1" i="7"/>
  <c r="JCZ1" i="7"/>
  <c r="JDA1" i="7"/>
  <c r="JDB1" i="7"/>
  <c r="JDC1" i="7"/>
  <c r="JDD1" i="7"/>
  <c r="JDE1" i="7"/>
  <c r="JDF1" i="7"/>
  <c r="JDG1" i="7"/>
  <c r="JDH1" i="7"/>
  <c r="JDI1" i="7"/>
  <c r="JDJ1" i="7"/>
  <c r="JDK1" i="7"/>
  <c r="JDL1" i="7"/>
  <c r="JDM1" i="7"/>
  <c r="JDN1" i="7"/>
  <c r="JDO1" i="7"/>
  <c r="JDP1" i="7"/>
  <c r="JDQ1" i="7"/>
  <c r="JDR1" i="7"/>
  <c r="JDS1" i="7"/>
  <c r="JDT1" i="7"/>
  <c r="JDU1" i="7"/>
  <c r="JDV1" i="7"/>
  <c r="JDW1" i="7"/>
  <c r="JDX1" i="7"/>
  <c r="JDY1" i="7"/>
  <c r="JDZ1" i="7"/>
  <c r="JEA1" i="7"/>
  <c r="JEB1" i="7"/>
  <c r="JEC1" i="7"/>
  <c r="JED1" i="7"/>
  <c r="JEE1" i="7"/>
  <c r="JEF1" i="7"/>
  <c r="JEG1" i="7"/>
  <c r="JEH1" i="7"/>
  <c r="JEI1" i="7"/>
  <c r="JEJ1" i="7"/>
  <c r="JEK1" i="7"/>
  <c r="JEL1" i="7"/>
  <c r="JEM1" i="7"/>
  <c r="JEN1" i="7"/>
  <c r="JEO1" i="7"/>
  <c r="JEP1" i="7"/>
  <c r="JEQ1" i="7"/>
  <c r="JER1" i="7"/>
  <c r="JES1" i="7"/>
  <c r="JET1" i="7"/>
  <c r="JEU1" i="7"/>
  <c r="JEV1" i="7"/>
  <c r="JEW1" i="7"/>
  <c r="JEX1" i="7"/>
  <c r="JEY1" i="7"/>
  <c r="JEZ1" i="7"/>
  <c r="JFA1" i="7"/>
  <c r="JFB1" i="7"/>
  <c r="JFC1" i="7"/>
  <c r="JFD1" i="7"/>
  <c r="JFE1" i="7"/>
  <c r="JFF1" i="7"/>
  <c r="JFG1" i="7"/>
  <c r="JFH1" i="7"/>
  <c r="JFI1" i="7"/>
  <c r="JFJ1" i="7"/>
  <c r="JFK1" i="7"/>
  <c r="JFL1" i="7"/>
  <c r="JFM1" i="7"/>
  <c r="JFN1" i="7"/>
  <c r="JFO1" i="7"/>
  <c r="JFP1" i="7"/>
  <c r="JFQ1" i="7"/>
  <c r="JFR1" i="7"/>
  <c r="JFS1" i="7"/>
  <c r="JFT1" i="7"/>
  <c r="JFU1" i="7"/>
  <c r="JFV1" i="7"/>
  <c r="JFW1" i="7"/>
  <c r="JFX1" i="7"/>
  <c r="JFY1" i="7"/>
  <c r="JFZ1" i="7"/>
  <c r="JGA1" i="7"/>
  <c r="JGB1" i="7"/>
  <c r="JGC1" i="7"/>
  <c r="JGD1" i="7"/>
  <c r="JGE1" i="7"/>
  <c r="JGF1" i="7"/>
  <c r="JGG1" i="7"/>
  <c r="JGH1" i="7"/>
  <c r="JGI1" i="7"/>
  <c r="JGJ1" i="7"/>
  <c r="JGK1" i="7"/>
  <c r="JGL1" i="7"/>
  <c r="JGM1" i="7"/>
  <c r="JGN1" i="7"/>
  <c r="JGO1" i="7"/>
  <c r="JGP1" i="7"/>
  <c r="JGQ1" i="7"/>
  <c r="JGR1" i="7"/>
  <c r="JGS1" i="7"/>
  <c r="JGT1" i="7"/>
  <c r="JGU1" i="7"/>
  <c r="JGV1" i="7"/>
  <c r="JGW1" i="7"/>
  <c r="JGX1" i="7"/>
  <c r="JGY1" i="7"/>
  <c r="JGZ1" i="7"/>
  <c r="JHA1" i="7"/>
  <c r="JHB1" i="7"/>
  <c r="JHC1" i="7"/>
  <c r="JHD1" i="7"/>
  <c r="JHE1" i="7"/>
  <c r="JHF1" i="7"/>
  <c r="JHG1" i="7"/>
  <c r="JHH1" i="7"/>
  <c r="JHI1" i="7"/>
  <c r="JHJ1" i="7"/>
  <c r="JHK1" i="7"/>
  <c r="JHL1" i="7"/>
  <c r="JHM1" i="7"/>
  <c r="JHN1" i="7"/>
  <c r="JHO1" i="7"/>
  <c r="JHP1" i="7"/>
  <c r="JHQ1" i="7"/>
  <c r="JHR1" i="7"/>
  <c r="JHS1" i="7"/>
  <c r="JHT1" i="7"/>
  <c r="JHU1" i="7"/>
  <c r="JHV1" i="7"/>
  <c r="JHW1" i="7"/>
  <c r="JHX1" i="7"/>
  <c r="JHY1" i="7"/>
  <c r="JHZ1" i="7"/>
  <c r="JIA1" i="7"/>
  <c r="JIB1" i="7"/>
  <c r="JIC1" i="7"/>
  <c r="JID1" i="7"/>
  <c r="JIE1" i="7"/>
  <c r="JIF1" i="7"/>
  <c r="JIG1" i="7"/>
  <c r="JIH1" i="7"/>
  <c r="JII1" i="7"/>
  <c r="JIJ1" i="7"/>
  <c r="JIK1" i="7"/>
  <c r="JIL1" i="7"/>
  <c r="JIM1" i="7"/>
  <c r="JIN1" i="7"/>
  <c r="JIO1" i="7"/>
  <c r="JIP1" i="7"/>
  <c r="JIQ1" i="7"/>
  <c r="JIR1" i="7"/>
  <c r="JIS1" i="7"/>
  <c r="JIT1" i="7"/>
  <c r="JIU1" i="7"/>
  <c r="JIV1" i="7"/>
  <c r="JIW1" i="7"/>
  <c r="JIX1" i="7"/>
  <c r="JIY1" i="7"/>
  <c r="JIZ1" i="7"/>
  <c r="JJA1" i="7"/>
  <c r="JJB1" i="7"/>
  <c r="JJC1" i="7"/>
  <c r="JJD1" i="7"/>
  <c r="JJE1" i="7"/>
  <c r="JJF1" i="7"/>
  <c r="JJG1" i="7"/>
  <c r="JJH1" i="7"/>
  <c r="JJI1" i="7"/>
  <c r="JJJ1" i="7"/>
  <c r="JJK1" i="7"/>
  <c r="JJL1" i="7"/>
  <c r="JJM1" i="7"/>
  <c r="JJN1" i="7"/>
  <c r="JJO1" i="7"/>
  <c r="JJP1" i="7"/>
  <c r="JJQ1" i="7"/>
  <c r="JJR1" i="7"/>
  <c r="JJS1" i="7"/>
  <c r="JJT1" i="7"/>
  <c r="JJU1" i="7"/>
  <c r="JJV1" i="7"/>
  <c r="JJW1" i="7"/>
  <c r="JJX1" i="7"/>
  <c r="JJY1" i="7"/>
  <c r="JJZ1" i="7"/>
  <c r="JKA1" i="7"/>
  <c r="JKB1" i="7"/>
  <c r="JKC1" i="7"/>
  <c r="JKD1" i="7"/>
  <c r="JKE1" i="7"/>
  <c r="JKF1" i="7"/>
  <c r="JKG1" i="7"/>
  <c r="JKH1" i="7"/>
  <c r="JKI1" i="7"/>
  <c r="JKJ1" i="7"/>
  <c r="JKK1" i="7"/>
  <c r="JKL1" i="7"/>
  <c r="JKM1" i="7"/>
  <c r="JKN1" i="7"/>
  <c r="JKO1" i="7"/>
  <c r="JKP1" i="7"/>
  <c r="JKQ1" i="7"/>
  <c r="JKR1" i="7"/>
  <c r="JKS1" i="7"/>
  <c r="JKT1" i="7"/>
  <c r="JKU1" i="7"/>
  <c r="JKV1" i="7"/>
  <c r="JKW1" i="7"/>
  <c r="JKX1" i="7"/>
  <c r="JKY1" i="7"/>
  <c r="JKZ1" i="7"/>
  <c r="JLA1" i="7"/>
  <c r="JLB1" i="7"/>
  <c r="JLC1" i="7"/>
  <c r="JLD1" i="7"/>
  <c r="JLE1" i="7"/>
  <c r="JLF1" i="7"/>
  <c r="JLG1" i="7"/>
  <c r="JLH1" i="7"/>
  <c r="JLI1" i="7"/>
  <c r="JLJ1" i="7"/>
  <c r="JLK1" i="7"/>
  <c r="JLL1" i="7"/>
  <c r="JLM1" i="7"/>
  <c r="JLN1" i="7"/>
  <c r="JLO1" i="7"/>
  <c r="JLP1" i="7"/>
  <c r="JLQ1" i="7"/>
  <c r="JLR1" i="7"/>
  <c r="JLS1" i="7"/>
  <c r="JLT1" i="7"/>
  <c r="JLU1" i="7"/>
  <c r="JLV1" i="7"/>
  <c r="JLW1" i="7"/>
  <c r="JLX1" i="7"/>
  <c r="JLY1" i="7"/>
  <c r="JLZ1" i="7"/>
  <c r="JMA1" i="7"/>
  <c r="JMB1" i="7"/>
  <c r="JMC1" i="7"/>
  <c r="JMD1" i="7"/>
  <c r="JME1" i="7"/>
  <c r="JMF1" i="7"/>
  <c r="JMG1" i="7"/>
  <c r="JMH1" i="7"/>
  <c r="JMI1" i="7"/>
  <c r="JMJ1" i="7"/>
  <c r="JMK1" i="7"/>
  <c r="JML1" i="7"/>
  <c r="JMM1" i="7"/>
  <c r="JMN1" i="7"/>
  <c r="JMO1" i="7"/>
  <c r="JMP1" i="7"/>
  <c r="JMQ1" i="7"/>
  <c r="JMR1" i="7"/>
  <c r="JMS1" i="7"/>
  <c r="JMT1" i="7"/>
  <c r="JMU1" i="7"/>
  <c r="JMV1" i="7"/>
  <c r="JMW1" i="7"/>
  <c r="JMX1" i="7"/>
  <c r="JMY1" i="7"/>
  <c r="JMZ1" i="7"/>
  <c r="JNA1" i="7"/>
  <c r="JNB1" i="7"/>
  <c r="JNC1" i="7"/>
  <c r="JND1" i="7"/>
  <c r="JNE1" i="7"/>
  <c r="JNF1" i="7"/>
  <c r="JNG1" i="7"/>
  <c r="JNH1" i="7"/>
  <c r="JNI1" i="7"/>
  <c r="JNJ1" i="7"/>
  <c r="JNK1" i="7"/>
  <c r="JNL1" i="7"/>
  <c r="JNM1" i="7"/>
  <c r="JNN1" i="7"/>
  <c r="JNO1" i="7"/>
  <c r="JNP1" i="7"/>
  <c r="JNQ1" i="7"/>
  <c r="JNR1" i="7"/>
  <c r="JNS1" i="7"/>
  <c r="JNT1" i="7"/>
  <c r="JNU1" i="7"/>
  <c r="JNV1" i="7"/>
  <c r="JNW1" i="7"/>
  <c r="JNX1" i="7"/>
  <c r="JNY1" i="7"/>
  <c r="JNZ1" i="7"/>
  <c r="JOA1" i="7"/>
  <c r="JOB1" i="7"/>
  <c r="JOC1" i="7"/>
  <c r="JOD1" i="7"/>
  <c r="JOE1" i="7"/>
  <c r="JOF1" i="7"/>
  <c r="JOG1" i="7"/>
  <c r="JOH1" i="7"/>
  <c r="JOI1" i="7"/>
  <c r="JOJ1" i="7"/>
  <c r="JOK1" i="7"/>
  <c r="JOL1" i="7"/>
  <c r="JOM1" i="7"/>
  <c r="JON1" i="7"/>
  <c r="JOO1" i="7"/>
  <c r="JOP1" i="7"/>
  <c r="JOQ1" i="7"/>
  <c r="JOR1" i="7"/>
  <c r="JOS1" i="7"/>
  <c r="JOT1" i="7"/>
  <c r="JOU1" i="7"/>
  <c r="JOV1" i="7"/>
  <c r="JOW1" i="7"/>
  <c r="JOX1" i="7"/>
  <c r="JOY1" i="7"/>
  <c r="JOZ1" i="7"/>
  <c r="JPA1" i="7"/>
  <c r="JPB1" i="7"/>
  <c r="JPC1" i="7"/>
  <c r="JPD1" i="7"/>
  <c r="JPE1" i="7"/>
  <c r="JPF1" i="7"/>
  <c r="JPG1" i="7"/>
  <c r="JPH1" i="7"/>
  <c r="JPI1" i="7"/>
  <c r="JPJ1" i="7"/>
  <c r="JPK1" i="7"/>
  <c r="JPL1" i="7"/>
  <c r="JPM1" i="7"/>
  <c r="JPN1" i="7"/>
  <c r="JPO1" i="7"/>
  <c r="JPP1" i="7"/>
  <c r="JPQ1" i="7"/>
  <c r="JPR1" i="7"/>
  <c r="JPS1" i="7"/>
  <c r="JPT1" i="7"/>
  <c r="JPU1" i="7"/>
  <c r="JPV1" i="7"/>
  <c r="JPW1" i="7"/>
  <c r="JPX1" i="7"/>
  <c r="JPY1" i="7"/>
  <c r="JPZ1" i="7"/>
  <c r="JQA1" i="7"/>
  <c r="JQB1" i="7"/>
  <c r="JQC1" i="7"/>
  <c r="JQD1" i="7"/>
  <c r="JQE1" i="7"/>
  <c r="JQF1" i="7"/>
  <c r="JQG1" i="7"/>
  <c r="JQH1" i="7"/>
  <c r="JQI1" i="7"/>
  <c r="JQJ1" i="7"/>
  <c r="JQK1" i="7"/>
  <c r="JQL1" i="7"/>
  <c r="JQM1" i="7"/>
  <c r="JQN1" i="7"/>
  <c r="JQO1" i="7"/>
  <c r="JQP1" i="7"/>
  <c r="JQQ1" i="7"/>
  <c r="JQR1" i="7"/>
  <c r="JQS1" i="7"/>
  <c r="JQT1" i="7"/>
  <c r="JQU1" i="7"/>
  <c r="JQV1" i="7"/>
  <c r="JQW1" i="7"/>
  <c r="JQX1" i="7"/>
  <c r="JQY1" i="7"/>
  <c r="JQZ1" i="7"/>
  <c r="JRA1" i="7"/>
  <c r="JRB1" i="7"/>
  <c r="JRC1" i="7"/>
  <c r="JRD1" i="7"/>
  <c r="JRE1" i="7"/>
  <c r="JRF1" i="7"/>
  <c r="JRG1" i="7"/>
  <c r="JRH1" i="7"/>
  <c r="JRI1" i="7"/>
  <c r="JRJ1" i="7"/>
  <c r="JRK1" i="7"/>
  <c r="JRL1" i="7"/>
  <c r="JRM1" i="7"/>
  <c r="JRN1" i="7"/>
  <c r="JRO1" i="7"/>
  <c r="JRP1" i="7"/>
  <c r="JRQ1" i="7"/>
  <c r="JRR1" i="7"/>
  <c r="JRS1" i="7"/>
  <c r="JRT1" i="7"/>
  <c r="JRU1" i="7"/>
  <c r="JRV1" i="7"/>
  <c r="JRW1" i="7"/>
  <c r="JRX1" i="7"/>
  <c r="JRY1" i="7"/>
  <c r="JRZ1" i="7"/>
  <c r="JSA1" i="7"/>
  <c r="JSB1" i="7"/>
  <c r="JSC1" i="7"/>
  <c r="JSD1" i="7"/>
  <c r="JSE1" i="7"/>
  <c r="JSF1" i="7"/>
  <c r="JSG1" i="7"/>
  <c r="JSH1" i="7"/>
  <c r="JSI1" i="7"/>
  <c r="JSJ1" i="7"/>
  <c r="JSK1" i="7"/>
  <c r="JSL1" i="7"/>
  <c r="JSM1" i="7"/>
  <c r="JSN1" i="7"/>
  <c r="JSO1" i="7"/>
  <c r="JSP1" i="7"/>
  <c r="JSQ1" i="7"/>
  <c r="JSR1" i="7"/>
  <c r="JSS1" i="7"/>
  <c r="JST1" i="7"/>
  <c r="JSU1" i="7"/>
  <c r="JSV1" i="7"/>
  <c r="JSW1" i="7"/>
  <c r="JSX1" i="7"/>
  <c r="JSY1" i="7"/>
  <c r="JSZ1" i="7"/>
  <c r="JTA1" i="7"/>
  <c r="JTB1" i="7"/>
  <c r="JTC1" i="7"/>
  <c r="JTD1" i="7"/>
  <c r="JTE1" i="7"/>
  <c r="JTF1" i="7"/>
  <c r="JTG1" i="7"/>
  <c r="JTH1" i="7"/>
  <c r="JTI1" i="7"/>
  <c r="JTJ1" i="7"/>
  <c r="JTK1" i="7"/>
  <c r="JTL1" i="7"/>
  <c r="JTM1" i="7"/>
  <c r="JTN1" i="7"/>
  <c r="JTO1" i="7"/>
  <c r="JTP1" i="7"/>
  <c r="JTQ1" i="7"/>
  <c r="JTR1" i="7"/>
  <c r="JTS1" i="7"/>
  <c r="JTT1" i="7"/>
  <c r="JTU1" i="7"/>
  <c r="JTV1" i="7"/>
  <c r="JTW1" i="7"/>
  <c r="JTX1" i="7"/>
  <c r="JTY1" i="7"/>
  <c r="JTZ1" i="7"/>
  <c r="JUA1" i="7"/>
  <c r="JUB1" i="7"/>
  <c r="JUC1" i="7"/>
  <c r="JUD1" i="7"/>
  <c r="JUE1" i="7"/>
  <c r="JUF1" i="7"/>
  <c r="JUG1" i="7"/>
  <c r="JUH1" i="7"/>
  <c r="JUI1" i="7"/>
  <c r="JUJ1" i="7"/>
  <c r="JUK1" i="7"/>
  <c r="JUL1" i="7"/>
  <c r="JUM1" i="7"/>
  <c r="JUN1" i="7"/>
  <c r="JUO1" i="7"/>
  <c r="JUP1" i="7"/>
  <c r="JUQ1" i="7"/>
  <c r="JUR1" i="7"/>
  <c r="JUS1" i="7"/>
  <c r="JUT1" i="7"/>
  <c r="JUU1" i="7"/>
  <c r="JUV1" i="7"/>
  <c r="JUW1" i="7"/>
  <c r="JUX1" i="7"/>
  <c r="JUY1" i="7"/>
  <c r="JUZ1" i="7"/>
  <c r="JVA1" i="7"/>
  <c r="JVB1" i="7"/>
  <c r="JVC1" i="7"/>
  <c r="JVD1" i="7"/>
  <c r="JVE1" i="7"/>
  <c r="JVF1" i="7"/>
  <c r="JVG1" i="7"/>
  <c r="JVH1" i="7"/>
  <c r="JVI1" i="7"/>
  <c r="JVJ1" i="7"/>
  <c r="JVK1" i="7"/>
  <c r="JVL1" i="7"/>
  <c r="JVM1" i="7"/>
  <c r="JVN1" i="7"/>
  <c r="JVO1" i="7"/>
  <c r="JVP1" i="7"/>
  <c r="JVQ1" i="7"/>
  <c r="JVR1" i="7"/>
  <c r="JVS1" i="7"/>
  <c r="JVT1" i="7"/>
  <c r="JVU1" i="7"/>
  <c r="JVV1" i="7"/>
  <c r="JVW1" i="7"/>
  <c r="JVX1" i="7"/>
  <c r="JVY1" i="7"/>
  <c r="JVZ1" i="7"/>
  <c r="JWA1" i="7"/>
  <c r="JWB1" i="7"/>
  <c r="JWC1" i="7"/>
  <c r="JWD1" i="7"/>
  <c r="JWE1" i="7"/>
  <c r="JWF1" i="7"/>
  <c r="JWG1" i="7"/>
  <c r="JWH1" i="7"/>
  <c r="JWI1" i="7"/>
  <c r="JWJ1" i="7"/>
  <c r="JWK1" i="7"/>
  <c r="JWL1" i="7"/>
  <c r="JWM1" i="7"/>
  <c r="JWN1" i="7"/>
  <c r="JWO1" i="7"/>
  <c r="JWP1" i="7"/>
  <c r="JWQ1" i="7"/>
  <c r="JWR1" i="7"/>
  <c r="JWS1" i="7"/>
  <c r="JWT1" i="7"/>
  <c r="JWU1" i="7"/>
  <c r="JWV1" i="7"/>
  <c r="JWW1" i="7"/>
  <c r="JWX1" i="7"/>
  <c r="JWY1" i="7"/>
  <c r="JWZ1" i="7"/>
  <c r="JXA1" i="7"/>
  <c r="JXB1" i="7"/>
  <c r="JXC1" i="7"/>
  <c r="JXD1" i="7"/>
  <c r="JXE1" i="7"/>
  <c r="JXF1" i="7"/>
  <c r="JXG1" i="7"/>
  <c r="JXH1" i="7"/>
  <c r="JXI1" i="7"/>
  <c r="JXJ1" i="7"/>
  <c r="JXK1" i="7"/>
  <c r="JXL1" i="7"/>
  <c r="JXM1" i="7"/>
  <c r="JXN1" i="7"/>
  <c r="JXO1" i="7"/>
  <c r="JXP1" i="7"/>
  <c r="JXQ1" i="7"/>
  <c r="JXR1" i="7"/>
  <c r="JXS1" i="7"/>
  <c r="JXT1" i="7"/>
  <c r="JXU1" i="7"/>
  <c r="JXV1" i="7"/>
  <c r="JXW1" i="7"/>
  <c r="JXX1" i="7"/>
  <c r="JXY1" i="7"/>
  <c r="JXZ1" i="7"/>
  <c r="JYA1" i="7"/>
  <c r="JYB1" i="7"/>
  <c r="JYC1" i="7"/>
  <c r="JYD1" i="7"/>
  <c r="JYE1" i="7"/>
  <c r="JYF1" i="7"/>
  <c r="JYG1" i="7"/>
  <c r="JYH1" i="7"/>
  <c r="JYI1" i="7"/>
  <c r="JYJ1" i="7"/>
  <c r="JYK1" i="7"/>
  <c r="JYL1" i="7"/>
  <c r="JYM1" i="7"/>
  <c r="JYN1" i="7"/>
  <c r="JYO1" i="7"/>
  <c r="JYP1" i="7"/>
  <c r="JYQ1" i="7"/>
  <c r="JYR1" i="7"/>
  <c r="JYS1" i="7"/>
  <c r="JYT1" i="7"/>
  <c r="JYU1" i="7"/>
  <c r="JYV1" i="7"/>
  <c r="JYW1" i="7"/>
  <c r="JYX1" i="7"/>
  <c r="JYY1" i="7"/>
  <c r="JYZ1" i="7"/>
  <c r="JZA1" i="7"/>
  <c r="JZB1" i="7"/>
  <c r="JZC1" i="7"/>
  <c r="JZD1" i="7"/>
  <c r="JZE1" i="7"/>
  <c r="JZF1" i="7"/>
  <c r="JZG1" i="7"/>
  <c r="JZH1" i="7"/>
  <c r="JZI1" i="7"/>
  <c r="JZJ1" i="7"/>
  <c r="JZK1" i="7"/>
  <c r="JZL1" i="7"/>
  <c r="JZM1" i="7"/>
  <c r="JZN1" i="7"/>
  <c r="JZO1" i="7"/>
  <c r="JZP1" i="7"/>
  <c r="JZQ1" i="7"/>
  <c r="JZR1" i="7"/>
  <c r="JZS1" i="7"/>
  <c r="JZT1" i="7"/>
  <c r="JZU1" i="7"/>
  <c r="JZV1" i="7"/>
  <c r="JZW1" i="7"/>
  <c r="JZX1" i="7"/>
  <c r="JZY1" i="7"/>
  <c r="JZZ1" i="7"/>
  <c r="KAA1" i="7"/>
  <c r="KAB1" i="7"/>
  <c r="KAC1" i="7"/>
  <c r="KAD1" i="7"/>
  <c r="KAE1" i="7"/>
  <c r="KAF1" i="7"/>
  <c r="KAG1" i="7"/>
  <c r="KAH1" i="7"/>
  <c r="KAI1" i="7"/>
  <c r="KAJ1" i="7"/>
  <c r="KAK1" i="7"/>
  <c r="KAL1" i="7"/>
  <c r="KAM1" i="7"/>
  <c r="KAN1" i="7"/>
  <c r="KAO1" i="7"/>
  <c r="KAP1" i="7"/>
  <c r="KAQ1" i="7"/>
  <c r="KAR1" i="7"/>
  <c r="KAS1" i="7"/>
  <c r="KAT1" i="7"/>
  <c r="KAU1" i="7"/>
  <c r="KAV1" i="7"/>
  <c r="KAW1" i="7"/>
  <c r="KAX1" i="7"/>
  <c r="KAY1" i="7"/>
  <c r="KAZ1" i="7"/>
  <c r="KBA1" i="7"/>
  <c r="KBB1" i="7"/>
  <c r="KBC1" i="7"/>
  <c r="KBD1" i="7"/>
  <c r="KBE1" i="7"/>
  <c r="KBF1" i="7"/>
  <c r="KBG1" i="7"/>
  <c r="KBH1" i="7"/>
  <c r="KBI1" i="7"/>
  <c r="KBJ1" i="7"/>
  <c r="KBK1" i="7"/>
  <c r="KBL1" i="7"/>
  <c r="KBM1" i="7"/>
  <c r="KBN1" i="7"/>
  <c r="KBO1" i="7"/>
  <c r="KBP1" i="7"/>
  <c r="KBQ1" i="7"/>
  <c r="KBR1" i="7"/>
  <c r="KBS1" i="7"/>
  <c r="KBT1" i="7"/>
  <c r="KBU1" i="7"/>
  <c r="KBV1" i="7"/>
  <c r="KBW1" i="7"/>
  <c r="KBX1" i="7"/>
  <c r="KBY1" i="7"/>
  <c r="KBZ1" i="7"/>
  <c r="KCA1" i="7"/>
  <c r="KCB1" i="7"/>
  <c r="KCC1" i="7"/>
  <c r="KCD1" i="7"/>
  <c r="KCE1" i="7"/>
  <c r="KCF1" i="7"/>
  <c r="KCG1" i="7"/>
  <c r="KCH1" i="7"/>
  <c r="KCI1" i="7"/>
  <c r="KCJ1" i="7"/>
  <c r="KCK1" i="7"/>
  <c r="KCL1" i="7"/>
  <c r="KCM1" i="7"/>
  <c r="KCN1" i="7"/>
  <c r="KCO1" i="7"/>
  <c r="KCP1" i="7"/>
  <c r="KCQ1" i="7"/>
  <c r="KCR1" i="7"/>
  <c r="KCS1" i="7"/>
  <c r="KCT1" i="7"/>
  <c r="KCU1" i="7"/>
  <c r="KCV1" i="7"/>
  <c r="KCW1" i="7"/>
  <c r="KCX1" i="7"/>
  <c r="KCY1" i="7"/>
  <c r="KCZ1" i="7"/>
  <c r="KDA1" i="7"/>
  <c r="KDB1" i="7"/>
  <c r="KDC1" i="7"/>
  <c r="KDD1" i="7"/>
  <c r="KDE1" i="7"/>
  <c r="KDF1" i="7"/>
  <c r="KDG1" i="7"/>
  <c r="KDH1" i="7"/>
  <c r="KDI1" i="7"/>
  <c r="KDJ1" i="7"/>
  <c r="KDK1" i="7"/>
  <c r="KDL1" i="7"/>
  <c r="KDM1" i="7"/>
  <c r="KDN1" i="7"/>
  <c r="KDO1" i="7"/>
  <c r="KDP1" i="7"/>
  <c r="KDQ1" i="7"/>
  <c r="KDR1" i="7"/>
  <c r="KDS1" i="7"/>
  <c r="KDT1" i="7"/>
  <c r="KDU1" i="7"/>
  <c r="KDV1" i="7"/>
  <c r="KDW1" i="7"/>
  <c r="KDX1" i="7"/>
  <c r="KDY1" i="7"/>
  <c r="KDZ1" i="7"/>
  <c r="KEA1" i="7"/>
  <c r="KEB1" i="7"/>
  <c r="KEC1" i="7"/>
  <c r="KED1" i="7"/>
  <c r="KEE1" i="7"/>
  <c r="KEF1" i="7"/>
  <c r="KEG1" i="7"/>
  <c r="KEH1" i="7"/>
  <c r="KEI1" i="7"/>
  <c r="KEJ1" i="7"/>
  <c r="KEK1" i="7"/>
  <c r="KEL1" i="7"/>
  <c r="KEM1" i="7"/>
  <c r="KEN1" i="7"/>
  <c r="KEO1" i="7"/>
  <c r="KEP1" i="7"/>
  <c r="KEQ1" i="7"/>
  <c r="KER1" i="7"/>
  <c r="KES1" i="7"/>
  <c r="KET1" i="7"/>
  <c r="KEU1" i="7"/>
  <c r="KEV1" i="7"/>
  <c r="KEW1" i="7"/>
  <c r="KEX1" i="7"/>
  <c r="KEY1" i="7"/>
  <c r="KEZ1" i="7"/>
  <c r="KFA1" i="7"/>
  <c r="KFB1" i="7"/>
  <c r="KFC1" i="7"/>
  <c r="KFD1" i="7"/>
  <c r="KFE1" i="7"/>
  <c r="KFF1" i="7"/>
  <c r="KFG1" i="7"/>
  <c r="KFH1" i="7"/>
  <c r="KFI1" i="7"/>
  <c r="KFJ1" i="7"/>
  <c r="KFK1" i="7"/>
  <c r="KFL1" i="7"/>
  <c r="KFM1" i="7"/>
  <c r="KFN1" i="7"/>
  <c r="KFO1" i="7"/>
  <c r="KFP1" i="7"/>
  <c r="KFQ1" i="7"/>
  <c r="KFR1" i="7"/>
  <c r="KFS1" i="7"/>
  <c r="KFT1" i="7"/>
  <c r="KFU1" i="7"/>
  <c r="KFV1" i="7"/>
  <c r="KFW1" i="7"/>
  <c r="KFX1" i="7"/>
  <c r="KFY1" i="7"/>
  <c r="KFZ1" i="7"/>
  <c r="KGA1" i="7"/>
  <c r="KGB1" i="7"/>
  <c r="KGC1" i="7"/>
  <c r="KGD1" i="7"/>
  <c r="KGE1" i="7"/>
  <c r="KGF1" i="7"/>
  <c r="KGG1" i="7"/>
  <c r="KGH1" i="7"/>
  <c r="KGI1" i="7"/>
  <c r="KGJ1" i="7"/>
  <c r="KGK1" i="7"/>
  <c r="KGL1" i="7"/>
  <c r="KGM1" i="7"/>
  <c r="KGN1" i="7"/>
  <c r="KGO1" i="7"/>
  <c r="KGP1" i="7"/>
  <c r="KGQ1" i="7"/>
  <c r="KGR1" i="7"/>
  <c r="KGS1" i="7"/>
  <c r="KGT1" i="7"/>
  <c r="KGU1" i="7"/>
  <c r="KGV1" i="7"/>
  <c r="KGW1" i="7"/>
  <c r="KGX1" i="7"/>
  <c r="KGY1" i="7"/>
  <c r="KGZ1" i="7"/>
  <c r="KHA1" i="7"/>
  <c r="KHB1" i="7"/>
  <c r="KHC1" i="7"/>
  <c r="KHD1" i="7"/>
  <c r="KHE1" i="7"/>
  <c r="KHF1" i="7"/>
  <c r="KHG1" i="7"/>
  <c r="KHH1" i="7"/>
  <c r="KHI1" i="7"/>
  <c r="KHJ1" i="7"/>
  <c r="KHK1" i="7"/>
  <c r="KHL1" i="7"/>
  <c r="KHM1" i="7"/>
  <c r="KHN1" i="7"/>
  <c r="KHO1" i="7"/>
  <c r="KHP1" i="7"/>
  <c r="KHQ1" i="7"/>
  <c r="KHR1" i="7"/>
  <c r="KHS1" i="7"/>
  <c r="KHT1" i="7"/>
  <c r="KHU1" i="7"/>
  <c r="KHV1" i="7"/>
  <c r="KHW1" i="7"/>
  <c r="KHX1" i="7"/>
  <c r="KHY1" i="7"/>
  <c r="KHZ1" i="7"/>
  <c r="KIA1" i="7"/>
  <c r="KIB1" i="7"/>
  <c r="KIC1" i="7"/>
  <c r="KID1" i="7"/>
  <c r="KIE1" i="7"/>
  <c r="KIF1" i="7"/>
  <c r="KIG1" i="7"/>
  <c r="KIH1" i="7"/>
  <c r="KII1" i="7"/>
  <c r="KIJ1" i="7"/>
  <c r="KIK1" i="7"/>
  <c r="KIL1" i="7"/>
  <c r="KIM1" i="7"/>
  <c r="KIN1" i="7"/>
  <c r="KIO1" i="7"/>
  <c r="KIP1" i="7"/>
  <c r="KIQ1" i="7"/>
  <c r="KIR1" i="7"/>
  <c r="KIS1" i="7"/>
  <c r="KIT1" i="7"/>
  <c r="KIU1" i="7"/>
  <c r="KIV1" i="7"/>
  <c r="KIW1" i="7"/>
  <c r="KIX1" i="7"/>
  <c r="KIY1" i="7"/>
  <c r="KIZ1" i="7"/>
  <c r="KJA1" i="7"/>
  <c r="KJB1" i="7"/>
  <c r="KJC1" i="7"/>
  <c r="KJD1" i="7"/>
  <c r="KJE1" i="7"/>
  <c r="KJF1" i="7"/>
  <c r="KJG1" i="7"/>
  <c r="KJH1" i="7"/>
  <c r="KJI1" i="7"/>
  <c r="KJJ1" i="7"/>
  <c r="KJK1" i="7"/>
  <c r="KJL1" i="7"/>
  <c r="KJM1" i="7"/>
  <c r="KJN1" i="7"/>
  <c r="KJO1" i="7"/>
  <c r="KJP1" i="7"/>
  <c r="KJQ1" i="7"/>
  <c r="KJR1" i="7"/>
  <c r="KJS1" i="7"/>
  <c r="KJT1" i="7"/>
  <c r="KJU1" i="7"/>
  <c r="KJV1" i="7"/>
  <c r="KJW1" i="7"/>
  <c r="KJX1" i="7"/>
  <c r="KJY1" i="7"/>
  <c r="KJZ1" i="7"/>
  <c r="KKA1" i="7"/>
  <c r="KKB1" i="7"/>
  <c r="KKC1" i="7"/>
  <c r="KKD1" i="7"/>
  <c r="KKE1" i="7"/>
  <c r="KKF1" i="7"/>
  <c r="KKG1" i="7"/>
  <c r="KKH1" i="7"/>
  <c r="KKI1" i="7"/>
  <c r="KKJ1" i="7"/>
  <c r="KKK1" i="7"/>
  <c r="KKL1" i="7"/>
  <c r="KKM1" i="7"/>
  <c r="KKN1" i="7"/>
  <c r="KKO1" i="7"/>
  <c r="KKP1" i="7"/>
  <c r="KKQ1" i="7"/>
  <c r="KKR1" i="7"/>
  <c r="KKS1" i="7"/>
  <c r="KKT1" i="7"/>
  <c r="KKU1" i="7"/>
  <c r="KKV1" i="7"/>
  <c r="KKW1" i="7"/>
  <c r="KKX1" i="7"/>
  <c r="KKY1" i="7"/>
  <c r="KKZ1" i="7"/>
  <c r="KLA1" i="7"/>
  <c r="KLB1" i="7"/>
  <c r="KLC1" i="7"/>
  <c r="KLD1" i="7"/>
  <c r="KLE1" i="7"/>
  <c r="KLF1" i="7"/>
  <c r="KLG1" i="7"/>
  <c r="KLH1" i="7"/>
  <c r="KLI1" i="7"/>
  <c r="KLJ1" i="7"/>
  <c r="KLK1" i="7"/>
  <c r="KLL1" i="7"/>
  <c r="KLM1" i="7"/>
  <c r="KLN1" i="7"/>
  <c r="KLO1" i="7"/>
  <c r="KLP1" i="7"/>
  <c r="KLQ1" i="7"/>
  <c r="KLR1" i="7"/>
  <c r="KLS1" i="7"/>
  <c r="KLT1" i="7"/>
  <c r="KLU1" i="7"/>
  <c r="KLV1" i="7"/>
  <c r="KLW1" i="7"/>
  <c r="KLX1" i="7"/>
  <c r="KLY1" i="7"/>
  <c r="KLZ1" i="7"/>
  <c r="KMA1" i="7"/>
  <c r="KMB1" i="7"/>
  <c r="KMC1" i="7"/>
  <c r="KMD1" i="7"/>
  <c r="KME1" i="7"/>
  <c r="KMF1" i="7"/>
  <c r="KMG1" i="7"/>
  <c r="KMH1" i="7"/>
  <c r="KMI1" i="7"/>
  <c r="KMJ1" i="7"/>
  <c r="KMK1" i="7"/>
  <c r="KML1" i="7"/>
  <c r="KMM1" i="7"/>
  <c r="KMN1" i="7"/>
  <c r="KMO1" i="7"/>
  <c r="KMP1" i="7"/>
  <c r="KMQ1" i="7"/>
  <c r="KMR1" i="7"/>
  <c r="KMS1" i="7"/>
  <c r="KMT1" i="7"/>
  <c r="KMU1" i="7"/>
  <c r="KMV1" i="7"/>
  <c r="KMW1" i="7"/>
  <c r="KMX1" i="7"/>
  <c r="KMY1" i="7"/>
  <c r="KMZ1" i="7"/>
  <c r="KNA1" i="7"/>
  <c r="KNB1" i="7"/>
  <c r="KNC1" i="7"/>
  <c r="KND1" i="7"/>
  <c r="KNE1" i="7"/>
  <c r="KNF1" i="7"/>
  <c r="KNG1" i="7"/>
  <c r="KNH1" i="7"/>
  <c r="KNI1" i="7"/>
  <c r="KNJ1" i="7"/>
  <c r="KNK1" i="7"/>
  <c r="KNL1" i="7"/>
  <c r="KNM1" i="7"/>
  <c r="KNN1" i="7"/>
  <c r="KNO1" i="7"/>
  <c r="KNP1" i="7"/>
  <c r="KNQ1" i="7"/>
  <c r="KNR1" i="7"/>
  <c r="KNS1" i="7"/>
  <c r="KNT1" i="7"/>
  <c r="KNU1" i="7"/>
  <c r="KNV1" i="7"/>
  <c r="KNW1" i="7"/>
  <c r="KNX1" i="7"/>
  <c r="KNY1" i="7"/>
  <c r="KNZ1" i="7"/>
  <c r="KOA1" i="7"/>
  <c r="KOB1" i="7"/>
  <c r="KOC1" i="7"/>
  <c r="KOD1" i="7"/>
  <c r="KOE1" i="7"/>
  <c r="KOF1" i="7"/>
  <c r="KOG1" i="7"/>
  <c r="KOH1" i="7"/>
  <c r="KOI1" i="7"/>
  <c r="KOJ1" i="7"/>
  <c r="KOK1" i="7"/>
  <c r="KOL1" i="7"/>
  <c r="KOM1" i="7"/>
  <c r="KON1" i="7"/>
  <c r="KOO1" i="7"/>
  <c r="KOP1" i="7"/>
  <c r="KOQ1" i="7"/>
  <c r="KOR1" i="7"/>
  <c r="KOS1" i="7"/>
  <c r="KOT1" i="7"/>
  <c r="KOU1" i="7"/>
  <c r="KOV1" i="7"/>
  <c r="KOW1" i="7"/>
  <c r="KOX1" i="7"/>
  <c r="KOY1" i="7"/>
  <c r="KOZ1" i="7"/>
  <c r="KPA1" i="7"/>
  <c r="KPB1" i="7"/>
  <c r="KPC1" i="7"/>
  <c r="KPD1" i="7"/>
  <c r="KPE1" i="7"/>
  <c r="KPF1" i="7"/>
  <c r="KPG1" i="7"/>
  <c r="KPH1" i="7"/>
  <c r="KPI1" i="7"/>
  <c r="KPJ1" i="7"/>
  <c r="KPK1" i="7"/>
  <c r="KPL1" i="7"/>
  <c r="KPM1" i="7"/>
  <c r="KPN1" i="7"/>
  <c r="KPO1" i="7"/>
  <c r="KPP1" i="7"/>
  <c r="KPQ1" i="7"/>
  <c r="KPR1" i="7"/>
  <c r="KPS1" i="7"/>
  <c r="KPT1" i="7"/>
  <c r="KPU1" i="7"/>
  <c r="KPV1" i="7"/>
  <c r="KPW1" i="7"/>
  <c r="KPX1" i="7"/>
  <c r="KPY1" i="7"/>
  <c r="KPZ1" i="7"/>
  <c r="KQA1" i="7"/>
  <c r="KQB1" i="7"/>
  <c r="KQC1" i="7"/>
  <c r="KQD1" i="7"/>
  <c r="KQE1" i="7"/>
  <c r="KQF1" i="7"/>
  <c r="KQG1" i="7"/>
  <c r="KQH1" i="7"/>
  <c r="KQI1" i="7"/>
  <c r="KQJ1" i="7"/>
  <c r="KQK1" i="7"/>
  <c r="KQL1" i="7"/>
  <c r="KQM1" i="7"/>
  <c r="KQN1" i="7"/>
  <c r="KQO1" i="7"/>
  <c r="KQP1" i="7"/>
  <c r="KQQ1" i="7"/>
  <c r="KQR1" i="7"/>
  <c r="KQS1" i="7"/>
  <c r="KQT1" i="7"/>
  <c r="KQU1" i="7"/>
  <c r="KQV1" i="7"/>
  <c r="KQW1" i="7"/>
  <c r="KQX1" i="7"/>
  <c r="KQY1" i="7"/>
  <c r="KQZ1" i="7"/>
  <c r="KRA1" i="7"/>
  <c r="KRB1" i="7"/>
  <c r="KRC1" i="7"/>
  <c r="KRD1" i="7"/>
  <c r="KRE1" i="7"/>
  <c r="KRF1" i="7"/>
  <c r="KRG1" i="7"/>
  <c r="KRH1" i="7"/>
  <c r="KRI1" i="7"/>
  <c r="KRJ1" i="7"/>
  <c r="KRK1" i="7"/>
  <c r="KRL1" i="7"/>
  <c r="KRM1" i="7"/>
  <c r="KRN1" i="7"/>
  <c r="KRO1" i="7"/>
  <c r="KRP1" i="7"/>
  <c r="KRQ1" i="7"/>
  <c r="KRR1" i="7"/>
  <c r="KRS1" i="7"/>
  <c r="KRT1" i="7"/>
  <c r="KRU1" i="7"/>
  <c r="KRV1" i="7"/>
  <c r="KRW1" i="7"/>
  <c r="KRX1" i="7"/>
  <c r="KRY1" i="7"/>
  <c r="KRZ1" i="7"/>
  <c r="KSA1" i="7"/>
  <c r="KSB1" i="7"/>
  <c r="KSC1" i="7"/>
  <c r="KSD1" i="7"/>
  <c r="KSE1" i="7"/>
  <c r="KSF1" i="7"/>
  <c r="KSG1" i="7"/>
  <c r="KSH1" i="7"/>
  <c r="KSI1" i="7"/>
  <c r="KSJ1" i="7"/>
  <c r="KSK1" i="7"/>
  <c r="KSL1" i="7"/>
  <c r="KSM1" i="7"/>
  <c r="KSN1" i="7"/>
  <c r="KSO1" i="7"/>
  <c r="KSP1" i="7"/>
  <c r="KSQ1" i="7"/>
  <c r="KSR1" i="7"/>
  <c r="KSS1" i="7"/>
  <c r="KST1" i="7"/>
  <c r="KSU1" i="7"/>
  <c r="KSV1" i="7"/>
  <c r="KSW1" i="7"/>
  <c r="KSX1" i="7"/>
  <c r="KSY1" i="7"/>
  <c r="KSZ1" i="7"/>
  <c r="KTA1" i="7"/>
  <c r="KTB1" i="7"/>
  <c r="KTC1" i="7"/>
  <c r="KTD1" i="7"/>
  <c r="KTE1" i="7"/>
  <c r="KTF1" i="7"/>
  <c r="KTG1" i="7"/>
  <c r="KTH1" i="7"/>
  <c r="KTI1" i="7"/>
  <c r="KTJ1" i="7"/>
  <c r="KTK1" i="7"/>
  <c r="KTL1" i="7"/>
  <c r="KTM1" i="7"/>
  <c r="KTN1" i="7"/>
  <c r="KTO1" i="7"/>
  <c r="KTP1" i="7"/>
  <c r="KTQ1" i="7"/>
  <c r="KTR1" i="7"/>
  <c r="KTS1" i="7"/>
  <c r="KTT1" i="7"/>
  <c r="KTU1" i="7"/>
  <c r="KTV1" i="7"/>
  <c r="KTW1" i="7"/>
  <c r="KTX1" i="7"/>
  <c r="KTY1" i="7"/>
  <c r="KTZ1" i="7"/>
  <c r="KUA1" i="7"/>
  <c r="KUB1" i="7"/>
  <c r="KUC1" i="7"/>
  <c r="KUD1" i="7"/>
  <c r="KUE1" i="7"/>
  <c r="KUF1" i="7"/>
  <c r="KUG1" i="7"/>
  <c r="KUH1" i="7"/>
  <c r="KUI1" i="7"/>
  <c r="KUJ1" i="7"/>
  <c r="KUK1" i="7"/>
  <c r="KUL1" i="7"/>
  <c r="KUM1" i="7"/>
  <c r="KUN1" i="7"/>
  <c r="KUO1" i="7"/>
  <c r="KUP1" i="7"/>
  <c r="KUQ1" i="7"/>
  <c r="KUR1" i="7"/>
  <c r="KUS1" i="7"/>
  <c r="KUT1" i="7"/>
  <c r="KUU1" i="7"/>
  <c r="KUV1" i="7"/>
  <c r="KUW1" i="7"/>
  <c r="KUX1" i="7"/>
  <c r="KUY1" i="7"/>
  <c r="KUZ1" i="7"/>
  <c r="KVA1" i="7"/>
  <c r="KVB1" i="7"/>
  <c r="KVC1" i="7"/>
  <c r="KVD1" i="7"/>
  <c r="KVE1" i="7"/>
  <c r="KVF1" i="7"/>
  <c r="KVG1" i="7"/>
  <c r="KVH1" i="7"/>
  <c r="KVI1" i="7"/>
  <c r="KVJ1" i="7"/>
  <c r="KVK1" i="7"/>
  <c r="KVL1" i="7"/>
  <c r="KVM1" i="7"/>
  <c r="KVN1" i="7"/>
  <c r="KVO1" i="7"/>
  <c r="KVP1" i="7"/>
  <c r="KVQ1" i="7"/>
  <c r="KVR1" i="7"/>
  <c r="KVS1" i="7"/>
  <c r="KVT1" i="7"/>
  <c r="KVU1" i="7"/>
  <c r="KVV1" i="7"/>
  <c r="KVW1" i="7"/>
  <c r="KVX1" i="7"/>
  <c r="KVY1" i="7"/>
  <c r="KVZ1" i="7"/>
  <c r="KWA1" i="7"/>
  <c r="KWB1" i="7"/>
  <c r="KWC1" i="7"/>
  <c r="KWD1" i="7"/>
  <c r="KWE1" i="7"/>
  <c r="KWF1" i="7"/>
  <c r="KWG1" i="7"/>
  <c r="KWH1" i="7"/>
  <c r="KWI1" i="7"/>
  <c r="KWJ1" i="7"/>
  <c r="KWK1" i="7"/>
  <c r="KWL1" i="7"/>
  <c r="KWM1" i="7"/>
  <c r="KWN1" i="7"/>
  <c r="KWO1" i="7"/>
  <c r="KWP1" i="7"/>
  <c r="KWQ1" i="7"/>
  <c r="KWR1" i="7"/>
  <c r="KWS1" i="7"/>
  <c r="KWT1" i="7"/>
  <c r="KWU1" i="7"/>
  <c r="KWV1" i="7"/>
  <c r="KWW1" i="7"/>
  <c r="KWX1" i="7"/>
  <c r="KWY1" i="7"/>
  <c r="KWZ1" i="7"/>
  <c r="KXA1" i="7"/>
  <c r="KXB1" i="7"/>
  <c r="KXC1" i="7"/>
  <c r="KXD1" i="7"/>
  <c r="KXE1" i="7"/>
  <c r="KXF1" i="7"/>
  <c r="KXG1" i="7"/>
  <c r="KXH1" i="7"/>
  <c r="KXI1" i="7"/>
  <c r="KXJ1" i="7"/>
  <c r="KXK1" i="7"/>
  <c r="KXL1" i="7"/>
  <c r="KXM1" i="7"/>
  <c r="KXN1" i="7"/>
  <c r="KXO1" i="7"/>
  <c r="KXP1" i="7"/>
  <c r="KXQ1" i="7"/>
  <c r="KXR1" i="7"/>
  <c r="KXS1" i="7"/>
  <c r="KXT1" i="7"/>
  <c r="KXU1" i="7"/>
  <c r="KXV1" i="7"/>
  <c r="KXW1" i="7"/>
  <c r="KXX1" i="7"/>
  <c r="KXY1" i="7"/>
  <c r="KXZ1" i="7"/>
  <c r="KYA1" i="7"/>
  <c r="KYB1" i="7"/>
  <c r="KYC1" i="7"/>
  <c r="KYD1" i="7"/>
  <c r="KYE1" i="7"/>
  <c r="KYF1" i="7"/>
  <c r="KYG1" i="7"/>
  <c r="KYH1" i="7"/>
  <c r="KYI1" i="7"/>
  <c r="KYJ1" i="7"/>
  <c r="KYK1" i="7"/>
  <c r="KYL1" i="7"/>
  <c r="KYM1" i="7"/>
  <c r="KYN1" i="7"/>
  <c r="KYO1" i="7"/>
  <c r="KYP1" i="7"/>
  <c r="KYQ1" i="7"/>
  <c r="KYR1" i="7"/>
  <c r="KYS1" i="7"/>
  <c r="KYT1" i="7"/>
  <c r="KYU1" i="7"/>
  <c r="KYV1" i="7"/>
  <c r="KYW1" i="7"/>
  <c r="KYX1" i="7"/>
  <c r="KYY1" i="7"/>
  <c r="KYZ1" i="7"/>
  <c r="KZA1" i="7"/>
  <c r="KZB1" i="7"/>
  <c r="KZC1" i="7"/>
  <c r="KZD1" i="7"/>
  <c r="KZE1" i="7"/>
  <c r="KZF1" i="7"/>
  <c r="KZG1" i="7"/>
  <c r="KZH1" i="7"/>
  <c r="KZI1" i="7"/>
  <c r="KZJ1" i="7"/>
  <c r="KZK1" i="7"/>
  <c r="KZL1" i="7"/>
  <c r="KZM1" i="7"/>
  <c r="KZN1" i="7"/>
  <c r="KZO1" i="7"/>
  <c r="KZP1" i="7"/>
  <c r="KZQ1" i="7"/>
  <c r="KZR1" i="7"/>
  <c r="KZS1" i="7"/>
  <c r="KZT1" i="7"/>
  <c r="KZU1" i="7"/>
  <c r="KZV1" i="7"/>
  <c r="KZW1" i="7"/>
  <c r="KZX1" i="7"/>
  <c r="KZY1" i="7"/>
  <c r="KZZ1" i="7"/>
  <c r="LAA1" i="7"/>
  <c r="LAB1" i="7"/>
  <c r="LAC1" i="7"/>
  <c r="LAD1" i="7"/>
  <c r="LAE1" i="7"/>
  <c r="LAF1" i="7"/>
  <c r="LAG1" i="7"/>
  <c r="LAH1" i="7"/>
  <c r="LAI1" i="7"/>
  <c r="LAJ1" i="7"/>
  <c r="LAK1" i="7"/>
  <c r="LAL1" i="7"/>
  <c r="LAM1" i="7"/>
  <c r="LAN1" i="7"/>
  <c r="LAO1" i="7"/>
  <c r="LAP1" i="7"/>
  <c r="LAQ1" i="7"/>
  <c r="LAR1" i="7"/>
  <c r="LAS1" i="7"/>
  <c r="LAT1" i="7"/>
  <c r="LAU1" i="7"/>
  <c r="LAV1" i="7"/>
  <c r="LAW1" i="7"/>
  <c r="LAX1" i="7"/>
  <c r="LAY1" i="7"/>
  <c r="LAZ1" i="7"/>
  <c r="LBA1" i="7"/>
  <c r="LBB1" i="7"/>
  <c r="LBC1" i="7"/>
  <c r="LBD1" i="7"/>
  <c r="LBE1" i="7"/>
  <c r="LBF1" i="7"/>
  <c r="LBG1" i="7"/>
  <c r="LBH1" i="7"/>
  <c r="LBI1" i="7"/>
  <c r="LBJ1" i="7"/>
  <c r="LBK1" i="7"/>
  <c r="LBL1" i="7"/>
  <c r="LBM1" i="7"/>
  <c r="LBN1" i="7"/>
  <c r="LBO1" i="7"/>
  <c r="LBP1" i="7"/>
  <c r="LBQ1" i="7"/>
  <c r="LBR1" i="7"/>
  <c r="LBS1" i="7"/>
  <c r="LBT1" i="7"/>
  <c r="LBU1" i="7"/>
  <c r="LBV1" i="7"/>
  <c r="LBW1" i="7"/>
  <c r="LBX1" i="7"/>
  <c r="LBY1" i="7"/>
  <c r="LBZ1" i="7"/>
  <c r="LCA1" i="7"/>
  <c r="LCB1" i="7"/>
  <c r="LCC1" i="7"/>
  <c r="LCD1" i="7"/>
  <c r="LCE1" i="7"/>
  <c r="LCF1" i="7"/>
  <c r="LCG1" i="7"/>
  <c r="LCH1" i="7"/>
  <c r="LCI1" i="7"/>
  <c r="LCJ1" i="7"/>
  <c r="LCK1" i="7"/>
  <c r="LCL1" i="7"/>
  <c r="LCM1" i="7"/>
  <c r="LCN1" i="7"/>
  <c r="LCO1" i="7"/>
  <c r="LCP1" i="7"/>
  <c r="LCQ1" i="7"/>
  <c r="LCR1" i="7"/>
  <c r="LCS1" i="7"/>
  <c r="LCT1" i="7"/>
  <c r="LCU1" i="7"/>
  <c r="LCV1" i="7"/>
  <c r="LCW1" i="7"/>
  <c r="LCX1" i="7"/>
  <c r="LCY1" i="7"/>
  <c r="LCZ1" i="7"/>
  <c r="LDA1" i="7"/>
  <c r="LDB1" i="7"/>
  <c r="LDC1" i="7"/>
  <c r="LDD1" i="7"/>
  <c r="LDE1" i="7"/>
  <c r="LDF1" i="7"/>
  <c r="LDG1" i="7"/>
  <c r="LDH1" i="7"/>
  <c r="LDI1" i="7"/>
  <c r="LDJ1" i="7"/>
  <c r="LDK1" i="7"/>
  <c r="LDL1" i="7"/>
  <c r="LDM1" i="7"/>
  <c r="LDN1" i="7"/>
  <c r="LDO1" i="7"/>
  <c r="LDP1" i="7"/>
  <c r="LDQ1" i="7"/>
  <c r="LDR1" i="7"/>
  <c r="LDS1" i="7"/>
  <c r="LDT1" i="7"/>
  <c r="LDU1" i="7"/>
  <c r="LDV1" i="7"/>
  <c r="LDW1" i="7"/>
  <c r="LDX1" i="7"/>
  <c r="LDY1" i="7"/>
  <c r="LDZ1" i="7"/>
  <c r="LEA1" i="7"/>
  <c r="LEB1" i="7"/>
  <c r="LEC1" i="7"/>
  <c r="LED1" i="7"/>
  <c r="LEE1" i="7"/>
  <c r="LEF1" i="7"/>
  <c r="LEG1" i="7"/>
  <c r="LEH1" i="7"/>
  <c r="LEI1" i="7"/>
  <c r="LEJ1" i="7"/>
  <c r="LEK1" i="7"/>
  <c r="LEL1" i="7"/>
  <c r="LEM1" i="7"/>
  <c r="LEN1" i="7"/>
  <c r="LEO1" i="7"/>
  <c r="LEP1" i="7"/>
  <c r="LEQ1" i="7"/>
  <c r="LER1" i="7"/>
  <c r="LES1" i="7"/>
  <c r="LET1" i="7"/>
  <c r="LEU1" i="7"/>
  <c r="LEV1" i="7"/>
  <c r="LEW1" i="7"/>
  <c r="LEX1" i="7"/>
  <c r="LEY1" i="7"/>
  <c r="LEZ1" i="7"/>
  <c r="LFA1" i="7"/>
  <c r="LFB1" i="7"/>
  <c r="LFC1" i="7"/>
  <c r="LFD1" i="7"/>
  <c r="LFE1" i="7"/>
  <c r="LFF1" i="7"/>
  <c r="LFG1" i="7"/>
  <c r="LFH1" i="7"/>
  <c r="LFI1" i="7"/>
  <c r="LFJ1" i="7"/>
  <c r="LFK1" i="7"/>
  <c r="LFL1" i="7"/>
  <c r="LFM1" i="7"/>
  <c r="LFN1" i="7"/>
  <c r="LFO1" i="7"/>
  <c r="LFP1" i="7"/>
  <c r="LFQ1" i="7"/>
  <c r="LFR1" i="7"/>
  <c r="LFS1" i="7"/>
  <c r="LFT1" i="7"/>
  <c r="LFU1" i="7"/>
  <c r="LFV1" i="7"/>
  <c r="LFW1" i="7"/>
  <c r="LFX1" i="7"/>
  <c r="LFY1" i="7"/>
  <c r="LFZ1" i="7"/>
  <c r="LGA1" i="7"/>
  <c r="LGB1" i="7"/>
  <c r="LGC1" i="7"/>
  <c r="LGD1" i="7"/>
  <c r="LGE1" i="7"/>
  <c r="LGF1" i="7"/>
  <c r="LGG1" i="7"/>
  <c r="LGH1" i="7"/>
  <c r="LGI1" i="7"/>
  <c r="LGJ1" i="7"/>
  <c r="LGK1" i="7"/>
  <c r="LGL1" i="7"/>
  <c r="LGM1" i="7"/>
  <c r="LGN1" i="7"/>
  <c r="LGO1" i="7"/>
  <c r="LGP1" i="7"/>
  <c r="LGQ1" i="7"/>
  <c r="LGR1" i="7"/>
  <c r="LGS1" i="7"/>
  <c r="LGT1" i="7"/>
  <c r="LGU1" i="7"/>
  <c r="LGV1" i="7"/>
  <c r="LGW1" i="7"/>
  <c r="LGX1" i="7"/>
  <c r="LGY1" i="7"/>
  <c r="LGZ1" i="7"/>
  <c r="LHA1" i="7"/>
  <c r="LHB1" i="7"/>
  <c r="LHC1" i="7"/>
  <c r="LHD1" i="7"/>
  <c r="LHE1" i="7"/>
  <c r="LHF1" i="7"/>
  <c r="LHG1" i="7"/>
  <c r="LHH1" i="7"/>
  <c r="LHI1" i="7"/>
  <c r="LHJ1" i="7"/>
  <c r="LHK1" i="7"/>
  <c r="LHL1" i="7"/>
  <c r="LHM1" i="7"/>
  <c r="LHN1" i="7"/>
  <c r="LHO1" i="7"/>
  <c r="LHP1" i="7"/>
  <c r="LHQ1" i="7"/>
  <c r="LHR1" i="7"/>
  <c r="LHS1" i="7"/>
  <c r="LHT1" i="7"/>
  <c r="LHU1" i="7"/>
  <c r="LHV1" i="7"/>
  <c r="LHW1" i="7"/>
  <c r="LHX1" i="7"/>
  <c r="LHY1" i="7"/>
  <c r="LHZ1" i="7"/>
  <c r="LIA1" i="7"/>
  <c r="LIB1" i="7"/>
  <c r="LIC1" i="7"/>
  <c r="LID1" i="7"/>
  <c r="LIE1" i="7"/>
  <c r="LIF1" i="7"/>
  <c r="LIG1" i="7"/>
  <c r="LIH1" i="7"/>
  <c r="LII1" i="7"/>
  <c r="LIJ1" i="7"/>
  <c r="LIK1" i="7"/>
  <c r="LIL1" i="7"/>
  <c r="LIM1" i="7"/>
  <c r="LIN1" i="7"/>
  <c r="LIO1" i="7"/>
  <c r="LIP1" i="7"/>
  <c r="LIQ1" i="7"/>
  <c r="LIR1" i="7"/>
  <c r="LIS1" i="7"/>
  <c r="LIT1" i="7"/>
  <c r="LIU1" i="7"/>
  <c r="LIV1" i="7"/>
  <c r="LIW1" i="7"/>
  <c r="LIX1" i="7"/>
  <c r="LIY1" i="7"/>
  <c r="LIZ1" i="7"/>
  <c r="LJA1" i="7"/>
  <c r="LJB1" i="7"/>
  <c r="LJC1" i="7"/>
  <c r="LJD1" i="7"/>
  <c r="LJE1" i="7"/>
  <c r="LJF1" i="7"/>
  <c r="LJG1" i="7"/>
  <c r="LJH1" i="7"/>
  <c r="LJI1" i="7"/>
  <c r="LJJ1" i="7"/>
  <c r="LJK1" i="7"/>
  <c r="LJL1" i="7"/>
  <c r="LJM1" i="7"/>
  <c r="LJN1" i="7"/>
  <c r="LJO1" i="7"/>
  <c r="LJP1" i="7"/>
  <c r="LJQ1" i="7"/>
  <c r="LJR1" i="7"/>
  <c r="LJS1" i="7"/>
  <c r="LJT1" i="7"/>
  <c r="LJU1" i="7"/>
  <c r="LJV1" i="7"/>
  <c r="LJW1" i="7"/>
  <c r="LJX1" i="7"/>
  <c r="LJY1" i="7"/>
  <c r="LJZ1" i="7"/>
  <c r="LKA1" i="7"/>
  <c r="LKB1" i="7"/>
  <c r="LKC1" i="7"/>
  <c r="LKD1" i="7"/>
  <c r="LKE1" i="7"/>
  <c r="LKF1" i="7"/>
  <c r="LKG1" i="7"/>
  <c r="LKH1" i="7"/>
  <c r="LKI1" i="7"/>
  <c r="LKJ1" i="7"/>
  <c r="LKK1" i="7"/>
  <c r="LKL1" i="7"/>
  <c r="LKM1" i="7"/>
  <c r="LKN1" i="7"/>
  <c r="LKO1" i="7"/>
  <c r="LKP1" i="7"/>
  <c r="LKQ1" i="7"/>
  <c r="LKR1" i="7"/>
  <c r="LKS1" i="7"/>
  <c r="LKT1" i="7"/>
  <c r="LKU1" i="7"/>
  <c r="LKV1" i="7"/>
  <c r="LKW1" i="7"/>
  <c r="LKX1" i="7"/>
  <c r="LKY1" i="7"/>
  <c r="LKZ1" i="7"/>
  <c r="LLA1" i="7"/>
  <c r="LLB1" i="7"/>
  <c r="LLC1" i="7"/>
  <c r="LLD1" i="7"/>
  <c r="LLE1" i="7"/>
  <c r="LLF1" i="7"/>
  <c r="LLG1" i="7"/>
  <c r="LLH1" i="7"/>
  <c r="LLI1" i="7"/>
  <c r="LLJ1" i="7"/>
  <c r="LLK1" i="7"/>
  <c r="LLL1" i="7"/>
  <c r="LLM1" i="7"/>
  <c r="LLN1" i="7"/>
  <c r="LLO1" i="7"/>
  <c r="LLP1" i="7"/>
  <c r="LLQ1" i="7"/>
  <c r="LLR1" i="7"/>
  <c r="LLS1" i="7"/>
  <c r="LLT1" i="7"/>
  <c r="LLU1" i="7"/>
  <c r="LLV1" i="7"/>
  <c r="LLW1" i="7"/>
  <c r="LLX1" i="7"/>
  <c r="LLY1" i="7"/>
  <c r="LLZ1" i="7"/>
  <c r="LMA1" i="7"/>
  <c r="LMB1" i="7"/>
  <c r="LMC1" i="7"/>
  <c r="LMD1" i="7"/>
  <c r="LME1" i="7"/>
  <c r="LMF1" i="7"/>
  <c r="LMG1" i="7"/>
  <c r="LMH1" i="7"/>
  <c r="LMI1" i="7"/>
  <c r="LMJ1" i="7"/>
  <c r="LMK1" i="7"/>
  <c r="LML1" i="7"/>
  <c r="LMM1" i="7"/>
  <c r="LMN1" i="7"/>
  <c r="LMO1" i="7"/>
  <c r="LMP1" i="7"/>
  <c r="LMQ1" i="7"/>
  <c r="LMR1" i="7"/>
  <c r="LMS1" i="7"/>
  <c r="LMT1" i="7"/>
  <c r="LMU1" i="7"/>
  <c r="LMV1" i="7"/>
  <c r="LMW1" i="7"/>
  <c r="LMX1" i="7"/>
  <c r="LMY1" i="7"/>
  <c r="LMZ1" i="7"/>
  <c r="LNA1" i="7"/>
  <c r="LNB1" i="7"/>
  <c r="LNC1" i="7"/>
  <c r="LND1" i="7"/>
  <c r="LNE1" i="7"/>
  <c r="LNF1" i="7"/>
  <c r="LNG1" i="7"/>
  <c r="LNH1" i="7"/>
  <c r="LNI1" i="7"/>
  <c r="LNJ1" i="7"/>
  <c r="LNK1" i="7"/>
  <c r="LNL1" i="7"/>
  <c r="LNM1" i="7"/>
  <c r="LNN1" i="7"/>
  <c r="LNO1" i="7"/>
  <c r="LNP1" i="7"/>
  <c r="LNQ1" i="7"/>
  <c r="LNR1" i="7"/>
  <c r="LNS1" i="7"/>
  <c r="LNT1" i="7"/>
  <c r="LNU1" i="7"/>
  <c r="LNV1" i="7"/>
  <c r="LNW1" i="7"/>
  <c r="LNX1" i="7"/>
  <c r="LNY1" i="7"/>
  <c r="LNZ1" i="7"/>
  <c r="LOA1" i="7"/>
  <c r="LOB1" i="7"/>
  <c r="LOC1" i="7"/>
  <c r="LOD1" i="7"/>
  <c r="LOE1" i="7"/>
  <c r="LOF1" i="7"/>
  <c r="LOG1" i="7"/>
  <c r="LOH1" i="7"/>
  <c r="LOI1" i="7"/>
  <c r="LOJ1" i="7"/>
  <c r="LOK1" i="7"/>
  <c r="LOL1" i="7"/>
  <c r="LOM1" i="7"/>
  <c r="LON1" i="7"/>
  <c r="LOO1" i="7"/>
  <c r="LOP1" i="7"/>
  <c r="LOQ1" i="7"/>
  <c r="LOR1" i="7"/>
  <c r="LOS1" i="7"/>
  <c r="LOT1" i="7"/>
  <c r="LOU1" i="7"/>
  <c r="LOV1" i="7"/>
  <c r="LOW1" i="7"/>
  <c r="LOX1" i="7"/>
  <c r="LOY1" i="7"/>
  <c r="LOZ1" i="7"/>
  <c r="LPA1" i="7"/>
  <c r="LPB1" i="7"/>
  <c r="LPC1" i="7"/>
  <c r="LPD1" i="7"/>
  <c r="LPE1" i="7"/>
  <c r="LPF1" i="7"/>
  <c r="LPG1" i="7"/>
  <c r="LPH1" i="7"/>
  <c r="LPI1" i="7"/>
  <c r="LPJ1" i="7"/>
  <c r="LPK1" i="7"/>
  <c r="LPL1" i="7"/>
  <c r="LPM1" i="7"/>
  <c r="LPN1" i="7"/>
  <c r="LPO1" i="7"/>
  <c r="LPP1" i="7"/>
  <c r="LPQ1" i="7"/>
  <c r="LPR1" i="7"/>
  <c r="LPS1" i="7"/>
  <c r="LPT1" i="7"/>
  <c r="LPU1" i="7"/>
  <c r="LPV1" i="7"/>
  <c r="LPW1" i="7"/>
  <c r="LPX1" i="7"/>
  <c r="LPY1" i="7"/>
  <c r="LPZ1" i="7"/>
  <c r="LQA1" i="7"/>
  <c r="LQB1" i="7"/>
  <c r="LQC1" i="7"/>
  <c r="LQD1" i="7"/>
  <c r="LQE1" i="7"/>
  <c r="LQF1" i="7"/>
  <c r="LQG1" i="7"/>
  <c r="LQH1" i="7"/>
  <c r="LQI1" i="7"/>
  <c r="LQJ1" i="7"/>
  <c r="LQK1" i="7"/>
  <c r="LQL1" i="7"/>
  <c r="LQM1" i="7"/>
  <c r="LQN1" i="7"/>
  <c r="LQO1" i="7"/>
  <c r="LQP1" i="7"/>
  <c r="LQQ1" i="7"/>
  <c r="LQR1" i="7"/>
  <c r="LQS1" i="7"/>
  <c r="LQT1" i="7"/>
  <c r="LQU1" i="7"/>
  <c r="LQV1" i="7"/>
  <c r="LQW1" i="7"/>
  <c r="LQX1" i="7"/>
  <c r="LQY1" i="7"/>
  <c r="LQZ1" i="7"/>
  <c r="LRA1" i="7"/>
  <c r="LRB1" i="7"/>
  <c r="LRC1" i="7"/>
  <c r="LRD1" i="7"/>
  <c r="LRE1" i="7"/>
  <c r="LRF1" i="7"/>
  <c r="LRG1" i="7"/>
  <c r="LRH1" i="7"/>
  <c r="LRI1" i="7"/>
  <c r="LRJ1" i="7"/>
  <c r="LRK1" i="7"/>
  <c r="LRL1" i="7"/>
  <c r="LRM1" i="7"/>
  <c r="LRN1" i="7"/>
  <c r="LRO1" i="7"/>
  <c r="LRP1" i="7"/>
  <c r="LRQ1" i="7"/>
  <c r="LRR1" i="7"/>
  <c r="LRS1" i="7"/>
  <c r="LRT1" i="7"/>
  <c r="LRU1" i="7"/>
  <c r="LRV1" i="7"/>
  <c r="LRW1" i="7"/>
  <c r="LRX1" i="7"/>
  <c r="LRY1" i="7"/>
  <c r="LRZ1" i="7"/>
  <c r="LSA1" i="7"/>
  <c r="LSB1" i="7"/>
  <c r="LSC1" i="7"/>
  <c r="LSD1" i="7"/>
  <c r="LSE1" i="7"/>
  <c r="LSF1" i="7"/>
  <c r="LSG1" i="7"/>
  <c r="LSH1" i="7"/>
  <c r="LSI1" i="7"/>
  <c r="LSJ1" i="7"/>
  <c r="LSK1" i="7"/>
  <c r="LSL1" i="7"/>
  <c r="LSM1" i="7"/>
  <c r="LSN1" i="7"/>
  <c r="LSO1" i="7"/>
  <c r="LSP1" i="7"/>
  <c r="LSQ1" i="7"/>
  <c r="LSR1" i="7"/>
  <c r="LSS1" i="7"/>
  <c r="LST1" i="7"/>
  <c r="LSU1" i="7"/>
  <c r="LSV1" i="7"/>
  <c r="LSW1" i="7"/>
  <c r="LSX1" i="7"/>
  <c r="LSY1" i="7"/>
  <c r="LSZ1" i="7"/>
  <c r="LTA1" i="7"/>
  <c r="LTB1" i="7"/>
  <c r="LTC1" i="7"/>
  <c r="LTD1" i="7"/>
  <c r="LTE1" i="7"/>
  <c r="LTF1" i="7"/>
  <c r="LTG1" i="7"/>
  <c r="LTH1" i="7"/>
  <c r="LTI1" i="7"/>
  <c r="LTJ1" i="7"/>
  <c r="LTK1" i="7"/>
  <c r="LTL1" i="7"/>
  <c r="LTM1" i="7"/>
  <c r="LTN1" i="7"/>
  <c r="LTO1" i="7"/>
  <c r="LTP1" i="7"/>
  <c r="LTQ1" i="7"/>
  <c r="LTR1" i="7"/>
  <c r="LTS1" i="7"/>
  <c r="LTT1" i="7"/>
  <c r="LTU1" i="7"/>
  <c r="LTV1" i="7"/>
  <c r="LTW1" i="7"/>
  <c r="LTX1" i="7"/>
  <c r="LTY1" i="7"/>
  <c r="LTZ1" i="7"/>
  <c r="LUA1" i="7"/>
  <c r="LUB1" i="7"/>
  <c r="LUC1" i="7"/>
  <c r="LUD1" i="7"/>
  <c r="LUE1" i="7"/>
  <c r="LUF1" i="7"/>
  <c r="LUG1" i="7"/>
  <c r="LUH1" i="7"/>
  <c r="LUI1" i="7"/>
  <c r="LUJ1" i="7"/>
  <c r="LUK1" i="7"/>
  <c r="LUL1" i="7"/>
  <c r="LUM1" i="7"/>
  <c r="LUN1" i="7"/>
  <c r="LUO1" i="7"/>
  <c r="LUP1" i="7"/>
  <c r="LUQ1" i="7"/>
  <c r="LUR1" i="7"/>
  <c r="LUS1" i="7"/>
  <c r="LUT1" i="7"/>
  <c r="LUU1" i="7"/>
  <c r="LUV1" i="7"/>
  <c r="LUW1" i="7"/>
  <c r="LUX1" i="7"/>
  <c r="LUY1" i="7"/>
  <c r="LUZ1" i="7"/>
  <c r="LVA1" i="7"/>
  <c r="LVB1" i="7"/>
  <c r="LVC1" i="7"/>
  <c r="LVD1" i="7"/>
  <c r="LVE1" i="7"/>
  <c r="LVF1" i="7"/>
  <c r="LVG1" i="7"/>
  <c r="LVH1" i="7"/>
  <c r="LVI1" i="7"/>
  <c r="LVJ1" i="7"/>
  <c r="LVK1" i="7"/>
  <c r="LVL1" i="7"/>
  <c r="LVM1" i="7"/>
  <c r="LVN1" i="7"/>
  <c r="LVO1" i="7"/>
  <c r="LVP1" i="7"/>
  <c r="LVQ1" i="7"/>
  <c r="LVR1" i="7"/>
  <c r="LVS1" i="7"/>
  <c r="LVT1" i="7"/>
  <c r="LVU1" i="7"/>
  <c r="LVV1" i="7"/>
  <c r="LVW1" i="7"/>
  <c r="LVX1" i="7"/>
  <c r="LVY1" i="7"/>
  <c r="LVZ1" i="7"/>
  <c r="LWA1" i="7"/>
  <c r="LWB1" i="7"/>
  <c r="LWC1" i="7"/>
  <c r="LWD1" i="7"/>
  <c r="LWE1" i="7"/>
  <c r="LWF1" i="7"/>
  <c r="LWG1" i="7"/>
  <c r="LWH1" i="7"/>
  <c r="LWI1" i="7"/>
  <c r="LWJ1" i="7"/>
  <c r="LWK1" i="7"/>
  <c r="LWL1" i="7"/>
  <c r="LWM1" i="7"/>
  <c r="LWN1" i="7"/>
  <c r="LWO1" i="7"/>
  <c r="LWP1" i="7"/>
  <c r="LWQ1" i="7"/>
  <c r="LWR1" i="7"/>
  <c r="LWS1" i="7"/>
  <c r="LWT1" i="7"/>
  <c r="LWU1" i="7"/>
  <c r="LWV1" i="7"/>
  <c r="LWW1" i="7"/>
  <c r="LWX1" i="7"/>
  <c r="LWY1" i="7"/>
  <c r="LWZ1" i="7"/>
  <c r="LXA1" i="7"/>
  <c r="LXB1" i="7"/>
  <c r="LXC1" i="7"/>
  <c r="LXD1" i="7"/>
  <c r="LXE1" i="7"/>
  <c r="LXF1" i="7"/>
  <c r="LXG1" i="7"/>
  <c r="LXH1" i="7"/>
  <c r="LXI1" i="7"/>
  <c r="LXJ1" i="7"/>
  <c r="LXK1" i="7"/>
  <c r="LXL1" i="7"/>
  <c r="LXM1" i="7"/>
  <c r="LXN1" i="7"/>
  <c r="LXO1" i="7"/>
  <c r="LXP1" i="7"/>
  <c r="LXQ1" i="7"/>
  <c r="LXR1" i="7"/>
  <c r="LXS1" i="7"/>
  <c r="LXT1" i="7"/>
  <c r="LXU1" i="7"/>
  <c r="LXV1" i="7"/>
  <c r="LXW1" i="7"/>
  <c r="LXX1" i="7"/>
  <c r="LXY1" i="7"/>
  <c r="LXZ1" i="7"/>
  <c r="LYA1" i="7"/>
  <c r="LYB1" i="7"/>
  <c r="LYC1" i="7"/>
  <c r="LYD1" i="7"/>
  <c r="LYE1" i="7"/>
  <c r="LYF1" i="7"/>
  <c r="LYG1" i="7"/>
  <c r="LYH1" i="7"/>
  <c r="LYI1" i="7"/>
  <c r="LYJ1" i="7"/>
  <c r="LYK1" i="7"/>
  <c r="LYL1" i="7"/>
  <c r="LYM1" i="7"/>
  <c r="LYN1" i="7"/>
  <c r="LYO1" i="7"/>
  <c r="LYP1" i="7"/>
  <c r="LYQ1" i="7"/>
  <c r="LYR1" i="7"/>
  <c r="LYS1" i="7"/>
  <c r="LYT1" i="7"/>
  <c r="LYU1" i="7"/>
  <c r="LYV1" i="7"/>
  <c r="LYW1" i="7"/>
  <c r="LYX1" i="7"/>
  <c r="LYY1" i="7"/>
  <c r="LYZ1" i="7"/>
  <c r="LZA1" i="7"/>
  <c r="LZB1" i="7"/>
  <c r="LZC1" i="7"/>
  <c r="LZD1" i="7"/>
  <c r="LZE1" i="7"/>
  <c r="LZF1" i="7"/>
  <c r="LZG1" i="7"/>
  <c r="LZH1" i="7"/>
  <c r="LZI1" i="7"/>
  <c r="LZJ1" i="7"/>
  <c r="LZK1" i="7"/>
  <c r="LZL1" i="7"/>
  <c r="LZM1" i="7"/>
  <c r="LZN1" i="7"/>
  <c r="LZO1" i="7"/>
  <c r="LZP1" i="7"/>
  <c r="LZQ1" i="7"/>
  <c r="LZR1" i="7"/>
  <c r="LZS1" i="7"/>
  <c r="LZT1" i="7"/>
  <c r="LZU1" i="7"/>
  <c r="LZV1" i="7"/>
  <c r="LZW1" i="7"/>
  <c r="LZX1" i="7"/>
  <c r="LZY1" i="7"/>
  <c r="LZZ1" i="7"/>
  <c r="MAA1" i="7"/>
  <c r="MAB1" i="7"/>
  <c r="MAC1" i="7"/>
  <c r="MAD1" i="7"/>
  <c r="MAE1" i="7"/>
  <c r="MAF1" i="7"/>
  <c r="MAG1" i="7"/>
  <c r="MAH1" i="7"/>
  <c r="MAI1" i="7"/>
  <c r="MAJ1" i="7"/>
  <c r="MAK1" i="7"/>
  <c r="MAL1" i="7"/>
  <c r="MAM1" i="7"/>
  <c r="MAN1" i="7"/>
  <c r="MAO1" i="7"/>
  <c r="MAP1" i="7"/>
  <c r="MAQ1" i="7"/>
  <c r="MAR1" i="7"/>
  <c r="MAS1" i="7"/>
  <c r="MAT1" i="7"/>
  <c r="MAU1" i="7"/>
  <c r="MAV1" i="7"/>
  <c r="MAW1" i="7"/>
  <c r="MAX1" i="7"/>
  <c r="MAY1" i="7"/>
  <c r="MAZ1" i="7"/>
  <c r="MBA1" i="7"/>
  <c r="MBB1" i="7"/>
  <c r="MBC1" i="7"/>
  <c r="MBD1" i="7"/>
  <c r="MBE1" i="7"/>
  <c r="MBF1" i="7"/>
  <c r="MBG1" i="7"/>
  <c r="MBH1" i="7"/>
  <c r="MBI1" i="7"/>
  <c r="MBJ1" i="7"/>
  <c r="MBK1" i="7"/>
  <c r="MBL1" i="7"/>
  <c r="MBM1" i="7"/>
  <c r="MBN1" i="7"/>
  <c r="MBO1" i="7"/>
  <c r="MBP1" i="7"/>
  <c r="MBQ1" i="7"/>
  <c r="MBR1" i="7"/>
  <c r="MBS1" i="7"/>
  <c r="MBT1" i="7"/>
  <c r="MBU1" i="7"/>
  <c r="MBV1" i="7"/>
  <c r="MBW1" i="7"/>
  <c r="MBX1" i="7"/>
  <c r="MBY1" i="7"/>
  <c r="MBZ1" i="7"/>
  <c r="MCA1" i="7"/>
  <c r="MCB1" i="7"/>
  <c r="MCC1" i="7"/>
  <c r="MCD1" i="7"/>
  <c r="MCE1" i="7"/>
  <c r="MCF1" i="7"/>
  <c r="MCG1" i="7"/>
  <c r="MCH1" i="7"/>
  <c r="MCI1" i="7"/>
  <c r="MCJ1" i="7"/>
  <c r="MCK1" i="7"/>
  <c r="MCL1" i="7"/>
  <c r="MCM1" i="7"/>
  <c r="MCN1" i="7"/>
  <c r="MCO1" i="7"/>
  <c r="MCP1" i="7"/>
  <c r="MCQ1" i="7"/>
  <c r="MCR1" i="7"/>
  <c r="MCS1" i="7"/>
  <c r="MCT1" i="7"/>
  <c r="MCU1" i="7"/>
  <c r="MCV1" i="7"/>
  <c r="MCW1" i="7"/>
  <c r="MCX1" i="7"/>
  <c r="MCY1" i="7"/>
  <c r="MCZ1" i="7"/>
  <c r="MDA1" i="7"/>
  <c r="MDB1" i="7"/>
  <c r="MDC1" i="7"/>
  <c r="MDD1" i="7"/>
  <c r="MDE1" i="7"/>
  <c r="MDF1" i="7"/>
  <c r="MDG1" i="7"/>
  <c r="MDH1" i="7"/>
  <c r="MDI1" i="7"/>
  <c r="MDJ1" i="7"/>
  <c r="MDK1" i="7"/>
  <c r="MDL1" i="7"/>
  <c r="MDM1" i="7"/>
  <c r="MDN1" i="7"/>
  <c r="MDO1" i="7"/>
  <c r="MDP1" i="7"/>
  <c r="MDQ1" i="7"/>
  <c r="MDR1" i="7"/>
  <c r="MDS1" i="7"/>
  <c r="MDT1" i="7"/>
  <c r="MDU1" i="7"/>
  <c r="MDV1" i="7"/>
  <c r="MDW1" i="7"/>
  <c r="MDX1" i="7"/>
  <c r="MDY1" i="7"/>
  <c r="MDZ1" i="7"/>
  <c r="MEA1" i="7"/>
  <c r="MEB1" i="7"/>
  <c r="MEC1" i="7"/>
  <c r="MED1" i="7"/>
  <c r="MEE1" i="7"/>
  <c r="MEF1" i="7"/>
  <c r="MEG1" i="7"/>
  <c r="MEH1" i="7"/>
  <c r="MEI1" i="7"/>
  <c r="MEJ1" i="7"/>
  <c r="MEK1" i="7"/>
  <c r="MEL1" i="7"/>
  <c r="MEM1" i="7"/>
  <c r="MEN1" i="7"/>
  <c r="MEO1" i="7"/>
  <c r="MEP1" i="7"/>
  <c r="MEQ1" i="7"/>
  <c r="MER1" i="7"/>
  <c r="MES1" i="7"/>
  <c r="MET1" i="7"/>
  <c r="MEU1" i="7"/>
  <c r="MEV1" i="7"/>
  <c r="MEW1" i="7"/>
  <c r="MEX1" i="7"/>
  <c r="MEY1" i="7"/>
  <c r="MEZ1" i="7"/>
  <c r="MFA1" i="7"/>
  <c r="MFB1" i="7"/>
  <c r="MFC1" i="7"/>
  <c r="MFD1" i="7"/>
  <c r="MFE1" i="7"/>
  <c r="MFF1" i="7"/>
  <c r="MFG1" i="7"/>
  <c r="MFH1" i="7"/>
  <c r="MFI1" i="7"/>
  <c r="MFJ1" i="7"/>
  <c r="MFK1" i="7"/>
  <c r="MFL1" i="7"/>
  <c r="MFM1" i="7"/>
  <c r="MFN1" i="7"/>
  <c r="MFO1" i="7"/>
  <c r="MFP1" i="7"/>
  <c r="MFQ1" i="7"/>
  <c r="MFR1" i="7"/>
  <c r="MFS1" i="7"/>
  <c r="MFT1" i="7"/>
  <c r="MFU1" i="7"/>
  <c r="MFV1" i="7"/>
  <c r="MFW1" i="7"/>
  <c r="MFX1" i="7"/>
  <c r="MFY1" i="7"/>
  <c r="MFZ1" i="7"/>
  <c r="MGA1" i="7"/>
  <c r="MGB1" i="7"/>
  <c r="MGC1" i="7"/>
  <c r="MGD1" i="7"/>
  <c r="MGE1" i="7"/>
  <c r="MGF1" i="7"/>
  <c r="MGG1" i="7"/>
  <c r="MGH1" i="7"/>
  <c r="MGI1" i="7"/>
  <c r="MGJ1" i="7"/>
  <c r="MGK1" i="7"/>
  <c r="MGL1" i="7"/>
  <c r="MGM1" i="7"/>
  <c r="MGN1" i="7"/>
  <c r="MGO1" i="7"/>
  <c r="MGP1" i="7"/>
  <c r="MGQ1" i="7"/>
  <c r="MGR1" i="7"/>
  <c r="MGS1" i="7"/>
  <c r="MGT1" i="7"/>
  <c r="MGU1" i="7"/>
  <c r="MGV1" i="7"/>
  <c r="MGW1" i="7"/>
  <c r="MGX1" i="7"/>
  <c r="MGY1" i="7"/>
  <c r="MGZ1" i="7"/>
  <c r="MHA1" i="7"/>
  <c r="MHB1" i="7"/>
  <c r="MHC1" i="7"/>
  <c r="MHD1" i="7"/>
  <c r="MHE1" i="7"/>
  <c r="MHF1" i="7"/>
  <c r="MHG1" i="7"/>
  <c r="MHH1" i="7"/>
  <c r="MHI1" i="7"/>
  <c r="MHJ1" i="7"/>
  <c r="MHK1" i="7"/>
  <c r="MHL1" i="7"/>
  <c r="MHM1" i="7"/>
  <c r="MHN1" i="7"/>
  <c r="MHO1" i="7"/>
  <c r="MHP1" i="7"/>
  <c r="MHQ1" i="7"/>
  <c r="MHR1" i="7"/>
  <c r="MHS1" i="7"/>
  <c r="MHT1" i="7"/>
  <c r="MHU1" i="7"/>
  <c r="MHV1" i="7"/>
  <c r="MHW1" i="7"/>
  <c r="MHX1" i="7"/>
  <c r="MHY1" i="7"/>
  <c r="MHZ1" i="7"/>
  <c r="MIA1" i="7"/>
  <c r="MIB1" i="7"/>
  <c r="MIC1" i="7"/>
  <c r="MID1" i="7"/>
  <c r="MIE1" i="7"/>
  <c r="MIF1" i="7"/>
  <c r="MIG1" i="7"/>
  <c r="MIH1" i="7"/>
  <c r="MII1" i="7"/>
  <c r="MIJ1" i="7"/>
  <c r="MIK1" i="7"/>
  <c r="MIL1" i="7"/>
  <c r="MIM1" i="7"/>
  <c r="MIN1" i="7"/>
  <c r="MIO1" i="7"/>
  <c r="MIP1" i="7"/>
  <c r="MIQ1" i="7"/>
  <c r="MIR1" i="7"/>
  <c r="MIS1" i="7"/>
  <c r="MIT1" i="7"/>
  <c r="MIU1" i="7"/>
  <c r="MIV1" i="7"/>
  <c r="MIW1" i="7"/>
  <c r="MIX1" i="7"/>
  <c r="MIY1" i="7"/>
  <c r="MIZ1" i="7"/>
  <c r="MJA1" i="7"/>
  <c r="MJB1" i="7"/>
  <c r="MJC1" i="7"/>
  <c r="MJD1" i="7"/>
  <c r="MJE1" i="7"/>
  <c r="MJF1" i="7"/>
  <c r="MJG1" i="7"/>
  <c r="MJH1" i="7"/>
  <c r="MJI1" i="7"/>
  <c r="MJJ1" i="7"/>
  <c r="MJK1" i="7"/>
  <c r="MJL1" i="7"/>
  <c r="MJM1" i="7"/>
  <c r="MJN1" i="7"/>
  <c r="MJO1" i="7"/>
  <c r="MJP1" i="7"/>
  <c r="MJQ1" i="7"/>
  <c r="MJR1" i="7"/>
  <c r="MJS1" i="7"/>
  <c r="MJT1" i="7"/>
  <c r="MJU1" i="7"/>
  <c r="MJV1" i="7"/>
  <c r="MJW1" i="7"/>
  <c r="MJX1" i="7"/>
  <c r="MJY1" i="7"/>
  <c r="MJZ1" i="7"/>
  <c r="MKA1" i="7"/>
  <c r="MKB1" i="7"/>
  <c r="MKC1" i="7"/>
  <c r="MKD1" i="7"/>
  <c r="MKE1" i="7"/>
  <c r="MKF1" i="7"/>
  <c r="MKG1" i="7"/>
  <c r="MKH1" i="7"/>
  <c r="MKI1" i="7"/>
  <c r="MKJ1" i="7"/>
  <c r="MKK1" i="7"/>
  <c r="MKL1" i="7"/>
  <c r="MKM1" i="7"/>
  <c r="MKN1" i="7"/>
  <c r="MKO1" i="7"/>
  <c r="MKP1" i="7"/>
  <c r="MKQ1" i="7"/>
  <c r="MKR1" i="7"/>
  <c r="MKS1" i="7"/>
  <c r="MKT1" i="7"/>
  <c r="MKU1" i="7"/>
  <c r="MKV1" i="7"/>
  <c r="MKW1" i="7"/>
  <c r="MKX1" i="7"/>
  <c r="MKY1" i="7"/>
  <c r="MKZ1" i="7"/>
  <c r="MLA1" i="7"/>
  <c r="MLB1" i="7"/>
  <c r="MLC1" i="7"/>
  <c r="MLD1" i="7"/>
  <c r="MLE1" i="7"/>
  <c r="MLF1" i="7"/>
  <c r="MLG1" i="7"/>
  <c r="MLH1" i="7"/>
  <c r="MLI1" i="7"/>
  <c r="MLJ1" i="7"/>
  <c r="MLK1" i="7"/>
  <c r="MLL1" i="7"/>
  <c r="MLM1" i="7"/>
  <c r="MLN1" i="7"/>
  <c r="MLO1" i="7"/>
  <c r="MLP1" i="7"/>
  <c r="MLQ1" i="7"/>
  <c r="MLR1" i="7"/>
  <c r="MLS1" i="7"/>
  <c r="MLT1" i="7"/>
  <c r="MLU1" i="7"/>
  <c r="MLV1" i="7"/>
  <c r="MLW1" i="7"/>
  <c r="MLX1" i="7"/>
  <c r="MLY1" i="7"/>
  <c r="MLZ1" i="7"/>
  <c r="MMA1" i="7"/>
  <c r="MMB1" i="7"/>
  <c r="MMC1" i="7"/>
  <c r="MMD1" i="7"/>
  <c r="MME1" i="7"/>
  <c r="MMF1" i="7"/>
  <c r="MMG1" i="7"/>
  <c r="MMH1" i="7"/>
  <c r="MMI1" i="7"/>
  <c r="MMJ1" i="7"/>
  <c r="MMK1" i="7"/>
  <c r="MML1" i="7"/>
  <c r="MMM1" i="7"/>
  <c r="MMN1" i="7"/>
  <c r="MMO1" i="7"/>
  <c r="MMP1" i="7"/>
  <c r="MMQ1" i="7"/>
  <c r="MMR1" i="7"/>
  <c r="MMS1" i="7"/>
  <c r="MMT1" i="7"/>
  <c r="MMU1" i="7"/>
  <c r="MMV1" i="7"/>
  <c r="MMW1" i="7"/>
  <c r="MMX1" i="7"/>
  <c r="MMY1" i="7"/>
  <c r="MMZ1" i="7"/>
  <c r="MNA1" i="7"/>
  <c r="MNB1" i="7"/>
  <c r="MNC1" i="7"/>
  <c r="MND1" i="7"/>
  <c r="MNE1" i="7"/>
  <c r="MNF1" i="7"/>
  <c r="MNG1" i="7"/>
  <c r="MNH1" i="7"/>
  <c r="MNI1" i="7"/>
  <c r="MNJ1" i="7"/>
  <c r="MNK1" i="7"/>
  <c r="MNL1" i="7"/>
  <c r="MNM1" i="7"/>
  <c r="MNN1" i="7"/>
  <c r="MNO1" i="7"/>
  <c r="MNP1" i="7"/>
  <c r="MNQ1" i="7"/>
  <c r="MNR1" i="7"/>
  <c r="MNS1" i="7"/>
  <c r="MNT1" i="7"/>
  <c r="MNU1" i="7"/>
  <c r="MNV1" i="7"/>
  <c r="MNW1" i="7"/>
  <c r="MNX1" i="7"/>
  <c r="MNY1" i="7"/>
  <c r="MNZ1" i="7"/>
  <c r="MOA1" i="7"/>
  <c r="MOB1" i="7"/>
  <c r="MOC1" i="7"/>
  <c r="MOD1" i="7"/>
  <c r="MOE1" i="7"/>
  <c r="MOF1" i="7"/>
  <c r="MOG1" i="7"/>
  <c r="MOH1" i="7"/>
  <c r="MOI1" i="7"/>
  <c r="MOJ1" i="7"/>
  <c r="MOK1" i="7"/>
  <c r="MOL1" i="7"/>
  <c r="MOM1" i="7"/>
  <c r="MON1" i="7"/>
  <c r="MOO1" i="7"/>
  <c r="MOP1" i="7"/>
  <c r="MOQ1" i="7"/>
  <c r="MOR1" i="7"/>
  <c r="MOS1" i="7"/>
  <c r="MOT1" i="7"/>
  <c r="MOU1" i="7"/>
  <c r="MOV1" i="7"/>
  <c r="MOW1" i="7"/>
  <c r="MOX1" i="7"/>
  <c r="MOY1" i="7"/>
  <c r="MOZ1" i="7"/>
  <c r="MPA1" i="7"/>
  <c r="MPB1" i="7"/>
  <c r="MPC1" i="7"/>
  <c r="MPD1" i="7"/>
  <c r="MPE1" i="7"/>
  <c r="MPF1" i="7"/>
  <c r="MPG1" i="7"/>
  <c r="MPH1" i="7"/>
  <c r="MPI1" i="7"/>
  <c r="MPJ1" i="7"/>
  <c r="MPK1" i="7"/>
  <c r="MPL1" i="7"/>
  <c r="MPM1" i="7"/>
  <c r="MPN1" i="7"/>
  <c r="MPO1" i="7"/>
  <c r="MPP1" i="7"/>
  <c r="MPQ1" i="7"/>
  <c r="MPR1" i="7"/>
  <c r="MPS1" i="7"/>
  <c r="MPT1" i="7"/>
  <c r="MPU1" i="7"/>
  <c r="MPV1" i="7"/>
  <c r="MPW1" i="7"/>
  <c r="MPX1" i="7"/>
  <c r="MPY1" i="7"/>
  <c r="MPZ1" i="7"/>
  <c r="MQA1" i="7"/>
  <c r="MQB1" i="7"/>
  <c r="MQC1" i="7"/>
  <c r="MQD1" i="7"/>
  <c r="MQE1" i="7"/>
  <c r="MQF1" i="7"/>
  <c r="MQG1" i="7"/>
  <c r="MQH1" i="7"/>
  <c r="MQI1" i="7"/>
  <c r="MQJ1" i="7"/>
  <c r="MQK1" i="7"/>
  <c r="MQL1" i="7"/>
  <c r="MQM1" i="7"/>
  <c r="MQN1" i="7"/>
  <c r="MQO1" i="7"/>
  <c r="MQP1" i="7"/>
  <c r="MQQ1" i="7"/>
  <c r="MQR1" i="7"/>
  <c r="MQS1" i="7"/>
  <c r="MQT1" i="7"/>
  <c r="MQU1" i="7"/>
  <c r="MQV1" i="7"/>
  <c r="MQW1" i="7"/>
  <c r="MQX1" i="7"/>
  <c r="MQY1" i="7"/>
  <c r="MQZ1" i="7"/>
  <c r="MRA1" i="7"/>
  <c r="MRB1" i="7"/>
  <c r="MRC1" i="7"/>
  <c r="MRD1" i="7"/>
  <c r="MRE1" i="7"/>
  <c r="MRF1" i="7"/>
  <c r="MRG1" i="7"/>
  <c r="MRH1" i="7"/>
  <c r="MRI1" i="7"/>
  <c r="MRJ1" i="7"/>
  <c r="MRK1" i="7"/>
  <c r="MRL1" i="7"/>
  <c r="MRM1" i="7"/>
  <c r="MRN1" i="7"/>
  <c r="MRO1" i="7"/>
  <c r="MRP1" i="7"/>
  <c r="MRQ1" i="7"/>
  <c r="MRR1" i="7"/>
  <c r="MRS1" i="7"/>
  <c r="MRT1" i="7"/>
  <c r="MRU1" i="7"/>
  <c r="MRV1" i="7"/>
  <c r="MRW1" i="7"/>
  <c r="MRX1" i="7"/>
  <c r="MRY1" i="7"/>
  <c r="MRZ1" i="7"/>
  <c r="MSA1" i="7"/>
  <c r="MSB1" i="7"/>
  <c r="MSC1" i="7"/>
  <c r="MSD1" i="7"/>
  <c r="MSE1" i="7"/>
  <c r="MSF1" i="7"/>
  <c r="MSG1" i="7"/>
  <c r="MSH1" i="7"/>
  <c r="MSI1" i="7"/>
  <c r="MSJ1" i="7"/>
  <c r="MSK1" i="7"/>
  <c r="MSL1" i="7"/>
  <c r="MSM1" i="7"/>
  <c r="MSN1" i="7"/>
  <c r="MSO1" i="7"/>
  <c r="MSP1" i="7"/>
  <c r="MSQ1" i="7"/>
  <c r="MSR1" i="7"/>
  <c r="MSS1" i="7"/>
  <c r="MST1" i="7"/>
  <c r="MSU1" i="7"/>
  <c r="MSV1" i="7"/>
  <c r="MSW1" i="7"/>
  <c r="MSX1" i="7"/>
  <c r="MSY1" i="7"/>
  <c r="MSZ1" i="7"/>
  <c r="MTA1" i="7"/>
  <c r="MTB1" i="7"/>
  <c r="MTC1" i="7"/>
  <c r="MTD1" i="7"/>
  <c r="MTE1" i="7"/>
  <c r="MTF1" i="7"/>
  <c r="MTG1" i="7"/>
  <c r="MTH1" i="7"/>
  <c r="MTI1" i="7"/>
  <c r="MTJ1" i="7"/>
  <c r="MTK1" i="7"/>
  <c r="MTL1" i="7"/>
  <c r="MTM1" i="7"/>
  <c r="MTN1" i="7"/>
  <c r="MTO1" i="7"/>
  <c r="MTP1" i="7"/>
  <c r="MTQ1" i="7"/>
  <c r="MTR1" i="7"/>
  <c r="MTS1" i="7"/>
  <c r="MTT1" i="7"/>
  <c r="MTU1" i="7"/>
  <c r="MTV1" i="7"/>
  <c r="MTW1" i="7"/>
  <c r="MTX1" i="7"/>
  <c r="MTY1" i="7"/>
  <c r="MTZ1" i="7"/>
  <c r="MUA1" i="7"/>
  <c r="MUB1" i="7"/>
  <c r="MUC1" i="7"/>
  <c r="MUD1" i="7"/>
  <c r="MUE1" i="7"/>
  <c r="MUF1" i="7"/>
  <c r="MUG1" i="7"/>
  <c r="MUH1" i="7"/>
  <c r="MUI1" i="7"/>
  <c r="MUJ1" i="7"/>
  <c r="MUK1" i="7"/>
  <c r="MUL1" i="7"/>
  <c r="MUM1" i="7"/>
  <c r="MUN1" i="7"/>
  <c r="MUO1" i="7"/>
  <c r="MUP1" i="7"/>
  <c r="MUQ1" i="7"/>
  <c r="MUR1" i="7"/>
  <c r="MUS1" i="7"/>
  <c r="MUT1" i="7"/>
  <c r="MUU1" i="7"/>
  <c r="MUV1" i="7"/>
  <c r="MUW1" i="7"/>
  <c r="MUX1" i="7"/>
  <c r="MUY1" i="7"/>
  <c r="MUZ1" i="7"/>
  <c r="MVA1" i="7"/>
  <c r="MVB1" i="7"/>
  <c r="MVC1" i="7"/>
  <c r="MVD1" i="7"/>
  <c r="MVE1" i="7"/>
  <c r="MVF1" i="7"/>
  <c r="MVG1" i="7"/>
  <c r="MVH1" i="7"/>
  <c r="MVI1" i="7"/>
  <c r="MVJ1" i="7"/>
  <c r="MVK1" i="7"/>
  <c r="MVL1" i="7"/>
  <c r="MVM1" i="7"/>
  <c r="MVN1" i="7"/>
  <c r="MVO1" i="7"/>
  <c r="MVP1" i="7"/>
  <c r="MVQ1" i="7"/>
  <c r="MVR1" i="7"/>
  <c r="MVS1" i="7"/>
  <c r="MVT1" i="7"/>
  <c r="MVU1" i="7"/>
  <c r="MVV1" i="7"/>
  <c r="MVW1" i="7"/>
  <c r="MVX1" i="7"/>
  <c r="MVY1" i="7"/>
  <c r="MVZ1" i="7"/>
  <c r="MWA1" i="7"/>
  <c r="MWB1" i="7"/>
  <c r="MWC1" i="7"/>
  <c r="MWD1" i="7"/>
  <c r="MWE1" i="7"/>
  <c r="MWF1" i="7"/>
  <c r="MWG1" i="7"/>
  <c r="MWH1" i="7"/>
  <c r="MWI1" i="7"/>
  <c r="MWJ1" i="7"/>
  <c r="MWK1" i="7"/>
  <c r="MWL1" i="7"/>
  <c r="MWM1" i="7"/>
  <c r="MWN1" i="7"/>
  <c r="MWO1" i="7"/>
  <c r="MWP1" i="7"/>
  <c r="MWQ1" i="7"/>
  <c r="MWR1" i="7"/>
  <c r="MWS1" i="7"/>
  <c r="MWT1" i="7"/>
  <c r="MWU1" i="7"/>
  <c r="MWV1" i="7"/>
  <c r="MWW1" i="7"/>
  <c r="MWX1" i="7"/>
  <c r="MWY1" i="7"/>
  <c r="MWZ1" i="7"/>
  <c r="MXA1" i="7"/>
  <c r="MXB1" i="7"/>
  <c r="MXC1" i="7"/>
  <c r="MXD1" i="7"/>
  <c r="MXE1" i="7"/>
  <c r="MXF1" i="7"/>
  <c r="MXG1" i="7"/>
  <c r="MXH1" i="7"/>
  <c r="MXI1" i="7"/>
  <c r="MXJ1" i="7"/>
  <c r="MXK1" i="7"/>
  <c r="MXL1" i="7"/>
  <c r="MXM1" i="7"/>
  <c r="MXN1" i="7"/>
  <c r="MXO1" i="7"/>
  <c r="MXP1" i="7"/>
  <c r="MXQ1" i="7"/>
  <c r="MXR1" i="7"/>
  <c r="MXS1" i="7"/>
  <c r="MXT1" i="7"/>
  <c r="MXU1" i="7"/>
  <c r="MXV1" i="7"/>
  <c r="MXW1" i="7"/>
  <c r="MXX1" i="7"/>
  <c r="MXY1" i="7"/>
  <c r="MXZ1" i="7"/>
  <c r="MYA1" i="7"/>
  <c r="MYB1" i="7"/>
  <c r="MYC1" i="7"/>
  <c r="MYD1" i="7"/>
  <c r="MYE1" i="7"/>
  <c r="MYF1" i="7"/>
  <c r="MYG1" i="7"/>
  <c r="MYH1" i="7"/>
  <c r="MYI1" i="7"/>
  <c r="MYJ1" i="7"/>
  <c r="MYK1" i="7"/>
  <c r="MYL1" i="7"/>
  <c r="MYM1" i="7"/>
  <c r="MYN1" i="7"/>
  <c r="MYO1" i="7"/>
  <c r="MYP1" i="7"/>
  <c r="MYQ1" i="7"/>
  <c r="MYR1" i="7"/>
  <c r="MYS1" i="7"/>
  <c r="MYT1" i="7"/>
  <c r="MYU1" i="7"/>
  <c r="MYV1" i="7"/>
  <c r="MYW1" i="7"/>
  <c r="MYX1" i="7"/>
  <c r="MYY1" i="7"/>
  <c r="MYZ1" i="7"/>
  <c r="MZA1" i="7"/>
  <c r="MZB1" i="7"/>
  <c r="MZC1" i="7"/>
  <c r="MZD1" i="7"/>
  <c r="MZE1" i="7"/>
  <c r="MZF1" i="7"/>
  <c r="MZG1" i="7"/>
  <c r="MZH1" i="7"/>
  <c r="MZI1" i="7"/>
  <c r="MZJ1" i="7"/>
  <c r="MZK1" i="7"/>
  <c r="MZL1" i="7"/>
  <c r="MZM1" i="7"/>
  <c r="MZN1" i="7"/>
  <c r="MZO1" i="7"/>
  <c r="MZP1" i="7"/>
  <c r="MZQ1" i="7"/>
  <c r="MZR1" i="7"/>
  <c r="MZS1" i="7"/>
  <c r="MZT1" i="7"/>
  <c r="MZU1" i="7"/>
  <c r="MZV1" i="7"/>
  <c r="MZW1" i="7"/>
  <c r="MZX1" i="7"/>
  <c r="MZY1" i="7"/>
  <c r="MZZ1" i="7"/>
  <c r="NAA1" i="7"/>
  <c r="NAB1" i="7"/>
  <c r="NAC1" i="7"/>
  <c r="NAD1" i="7"/>
  <c r="NAE1" i="7"/>
  <c r="NAF1" i="7"/>
  <c r="NAG1" i="7"/>
  <c r="NAH1" i="7"/>
  <c r="NAI1" i="7"/>
  <c r="NAJ1" i="7"/>
  <c r="NAK1" i="7"/>
  <c r="NAL1" i="7"/>
  <c r="NAM1" i="7"/>
  <c r="NAN1" i="7"/>
  <c r="NAO1" i="7"/>
  <c r="NAP1" i="7"/>
  <c r="NAQ1" i="7"/>
  <c r="NAR1" i="7"/>
  <c r="NAS1" i="7"/>
  <c r="NAT1" i="7"/>
  <c r="NAU1" i="7"/>
  <c r="NAV1" i="7"/>
  <c r="NAW1" i="7"/>
  <c r="NAX1" i="7"/>
  <c r="NAY1" i="7"/>
  <c r="NAZ1" i="7"/>
  <c r="NBA1" i="7"/>
  <c r="NBB1" i="7"/>
  <c r="NBC1" i="7"/>
  <c r="NBD1" i="7"/>
  <c r="NBE1" i="7"/>
  <c r="NBF1" i="7"/>
  <c r="NBG1" i="7"/>
  <c r="NBH1" i="7"/>
  <c r="NBI1" i="7"/>
  <c r="NBJ1" i="7"/>
  <c r="NBK1" i="7"/>
  <c r="NBL1" i="7"/>
  <c r="NBM1" i="7"/>
  <c r="NBN1" i="7"/>
  <c r="NBO1" i="7"/>
  <c r="NBP1" i="7"/>
  <c r="NBQ1" i="7"/>
  <c r="NBR1" i="7"/>
  <c r="NBS1" i="7"/>
  <c r="NBT1" i="7"/>
  <c r="NBU1" i="7"/>
  <c r="NBV1" i="7"/>
  <c r="NBW1" i="7"/>
  <c r="NBX1" i="7"/>
  <c r="NBY1" i="7"/>
  <c r="NBZ1" i="7"/>
  <c r="NCA1" i="7"/>
  <c r="NCB1" i="7"/>
  <c r="NCC1" i="7"/>
  <c r="NCD1" i="7"/>
  <c r="NCE1" i="7"/>
  <c r="NCF1" i="7"/>
  <c r="NCG1" i="7"/>
  <c r="NCH1" i="7"/>
  <c r="NCI1" i="7"/>
  <c r="NCJ1" i="7"/>
  <c r="NCK1" i="7"/>
  <c r="NCL1" i="7"/>
  <c r="NCM1" i="7"/>
  <c r="NCN1" i="7"/>
  <c r="NCO1" i="7"/>
  <c r="NCP1" i="7"/>
  <c r="NCQ1" i="7"/>
  <c r="NCR1" i="7"/>
  <c r="NCS1" i="7"/>
  <c r="NCT1" i="7"/>
  <c r="NCU1" i="7"/>
  <c r="NCV1" i="7"/>
  <c r="NCW1" i="7"/>
  <c r="NCX1" i="7"/>
  <c r="NCY1" i="7"/>
  <c r="NCZ1" i="7"/>
  <c r="NDA1" i="7"/>
  <c r="NDB1" i="7"/>
  <c r="NDC1" i="7"/>
  <c r="NDD1" i="7"/>
  <c r="NDE1" i="7"/>
  <c r="NDF1" i="7"/>
  <c r="NDG1" i="7"/>
  <c r="NDH1" i="7"/>
  <c r="NDI1" i="7"/>
  <c r="NDJ1" i="7"/>
  <c r="NDK1" i="7"/>
  <c r="NDL1" i="7"/>
  <c r="NDM1" i="7"/>
  <c r="NDN1" i="7"/>
  <c r="NDO1" i="7"/>
  <c r="NDP1" i="7"/>
  <c r="NDQ1" i="7"/>
  <c r="NDR1" i="7"/>
  <c r="NDS1" i="7"/>
  <c r="NDT1" i="7"/>
  <c r="NDU1" i="7"/>
  <c r="NDV1" i="7"/>
  <c r="NDW1" i="7"/>
  <c r="NDX1" i="7"/>
  <c r="NDY1" i="7"/>
  <c r="NDZ1" i="7"/>
  <c r="NEA1" i="7"/>
  <c r="NEB1" i="7"/>
  <c r="NEC1" i="7"/>
  <c r="NED1" i="7"/>
  <c r="NEE1" i="7"/>
  <c r="NEF1" i="7"/>
  <c r="NEG1" i="7"/>
  <c r="NEH1" i="7"/>
  <c r="NEI1" i="7"/>
  <c r="NEJ1" i="7"/>
  <c r="NEK1" i="7"/>
  <c r="NEL1" i="7"/>
  <c r="NEM1" i="7"/>
  <c r="NEN1" i="7"/>
  <c r="NEO1" i="7"/>
  <c r="NEP1" i="7"/>
  <c r="NEQ1" i="7"/>
  <c r="NER1" i="7"/>
  <c r="NES1" i="7"/>
  <c r="NET1" i="7"/>
  <c r="NEU1" i="7"/>
  <c r="NEV1" i="7"/>
  <c r="NEW1" i="7"/>
  <c r="NEX1" i="7"/>
  <c r="NEY1" i="7"/>
  <c r="NEZ1" i="7"/>
  <c r="NFA1" i="7"/>
  <c r="NFB1" i="7"/>
  <c r="NFC1" i="7"/>
  <c r="NFD1" i="7"/>
  <c r="NFE1" i="7"/>
  <c r="NFF1" i="7"/>
  <c r="NFG1" i="7"/>
  <c r="NFH1" i="7"/>
  <c r="NFI1" i="7"/>
  <c r="NFJ1" i="7"/>
  <c r="NFK1" i="7"/>
  <c r="NFL1" i="7"/>
  <c r="NFM1" i="7"/>
  <c r="NFN1" i="7"/>
  <c r="NFO1" i="7"/>
  <c r="NFP1" i="7"/>
  <c r="NFQ1" i="7"/>
  <c r="NFR1" i="7"/>
  <c r="NFS1" i="7"/>
  <c r="NFT1" i="7"/>
  <c r="NFU1" i="7"/>
  <c r="NFV1" i="7"/>
  <c r="NFW1" i="7"/>
  <c r="NFX1" i="7"/>
  <c r="NFY1" i="7"/>
  <c r="NFZ1" i="7"/>
  <c r="NGA1" i="7"/>
  <c r="NGB1" i="7"/>
  <c r="NGC1" i="7"/>
  <c r="NGD1" i="7"/>
  <c r="NGE1" i="7"/>
  <c r="NGF1" i="7"/>
  <c r="NGG1" i="7"/>
  <c r="NGH1" i="7"/>
  <c r="NGI1" i="7"/>
  <c r="NGJ1" i="7"/>
  <c r="NGK1" i="7"/>
  <c r="NGL1" i="7"/>
  <c r="NGM1" i="7"/>
  <c r="NGN1" i="7"/>
  <c r="NGO1" i="7"/>
  <c r="NGP1" i="7"/>
  <c r="NGQ1" i="7"/>
  <c r="NGR1" i="7"/>
  <c r="NGS1" i="7"/>
  <c r="NGT1" i="7"/>
  <c r="NGU1" i="7"/>
  <c r="NGV1" i="7"/>
  <c r="NGW1" i="7"/>
  <c r="NGX1" i="7"/>
  <c r="NGY1" i="7"/>
  <c r="NGZ1" i="7"/>
  <c r="NHA1" i="7"/>
  <c r="NHB1" i="7"/>
  <c r="NHC1" i="7"/>
  <c r="NHD1" i="7"/>
  <c r="NHE1" i="7"/>
  <c r="NHF1" i="7"/>
  <c r="NHG1" i="7"/>
  <c r="NHH1" i="7"/>
  <c r="NHI1" i="7"/>
  <c r="NHJ1" i="7"/>
  <c r="NHK1" i="7"/>
  <c r="NHL1" i="7"/>
  <c r="NHM1" i="7"/>
  <c r="NHN1" i="7"/>
  <c r="NHO1" i="7"/>
  <c r="NHP1" i="7"/>
  <c r="NHQ1" i="7"/>
  <c r="NHR1" i="7"/>
  <c r="NHS1" i="7"/>
  <c r="NHT1" i="7"/>
  <c r="NHU1" i="7"/>
  <c r="NHV1" i="7"/>
  <c r="NHW1" i="7"/>
  <c r="NHX1" i="7"/>
  <c r="NHY1" i="7"/>
  <c r="NHZ1" i="7"/>
  <c r="NIA1" i="7"/>
  <c r="NIB1" i="7"/>
  <c r="NIC1" i="7"/>
  <c r="NID1" i="7"/>
  <c r="NIE1" i="7"/>
  <c r="NIF1" i="7"/>
  <c r="NIG1" i="7"/>
  <c r="NIH1" i="7"/>
  <c r="NII1" i="7"/>
  <c r="NIJ1" i="7"/>
  <c r="NIK1" i="7"/>
  <c r="NIL1" i="7"/>
  <c r="NIM1" i="7"/>
  <c r="NIN1" i="7"/>
  <c r="NIO1" i="7"/>
  <c r="NIP1" i="7"/>
  <c r="NIQ1" i="7"/>
  <c r="NIR1" i="7"/>
  <c r="NIS1" i="7"/>
  <c r="NIT1" i="7"/>
  <c r="NIU1" i="7"/>
  <c r="NIV1" i="7"/>
  <c r="NIW1" i="7"/>
  <c r="NIX1" i="7"/>
  <c r="NIY1" i="7"/>
  <c r="NIZ1" i="7"/>
  <c r="NJA1" i="7"/>
  <c r="NJB1" i="7"/>
  <c r="NJC1" i="7"/>
  <c r="NJD1" i="7"/>
  <c r="NJE1" i="7"/>
  <c r="NJF1" i="7"/>
  <c r="NJG1" i="7"/>
  <c r="NJH1" i="7"/>
  <c r="NJI1" i="7"/>
  <c r="NJJ1" i="7"/>
  <c r="NJK1" i="7"/>
  <c r="NJL1" i="7"/>
  <c r="NJM1" i="7"/>
  <c r="NJN1" i="7"/>
  <c r="NJO1" i="7"/>
  <c r="NJP1" i="7"/>
  <c r="NJQ1" i="7"/>
  <c r="NJR1" i="7"/>
  <c r="NJS1" i="7"/>
  <c r="NJT1" i="7"/>
  <c r="NJU1" i="7"/>
  <c r="NJV1" i="7"/>
  <c r="NJW1" i="7"/>
  <c r="NJX1" i="7"/>
  <c r="NJY1" i="7"/>
  <c r="NJZ1" i="7"/>
  <c r="NKA1" i="7"/>
  <c r="NKB1" i="7"/>
  <c r="NKC1" i="7"/>
  <c r="NKD1" i="7"/>
  <c r="NKE1" i="7"/>
  <c r="NKF1" i="7"/>
  <c r="NKG1" i="7"/>
  <c r="NKH1" i="7"/>
  <c r="NKI1" i="7"/>
  <c r="NKJ1" i="7"/>
  <c r="NKK1" i="7"/>
  <c r="NKL1" i="7"/>
  <c r="NKM1" i="7"/>
  <c r="NKN1" i="7"/>
  <c r="NKO1" i="7"/>
  <c r="NKP1" i="7"/>
  <c r="NKQ1" i="7"/>
  <c r="NKR1" i="7"/>
  <c r="NKS1" i="7"/>
  <c r="NKT1" i="7"/>
  <c r="NKU1" i="7"/>
  <c r="NKV1" i="7"/>
  <c r="NKW1" i="7"/>
  <c r="NKX1" i="7"/>
  <c r="NKY1" i="7"/>
  <c r="NKZ1" i="7"/>
  <c r="NLA1" i="7"/>
  <c r="NLB1" i="7"/>
  <c r="NLC1" i="7"/>
  <c r="NLD1" i="7"/>
  <c r="NLE1" i="7"/>
  <c r="NLF1" i="7"/>
  <c r="NLG1" i="7"/>
  <c r="NLH1" i="7"/>
  <c r="NLI1" i="7"/>
  <c r="NLJ1" i="7"/>
  <c r="NLK1" i="7"/>
  <c r="NLL1" i="7"/>
  <c r="NLM1" i="7"/>
  <c r="NLN1" i="7"/>
  <c r="NLO1" i="7"/>
  <c r="NLP1" i="7"/>
  <c r="NLQ1" i="7"/>
  <c r="NLR1" i="7"/>
  <c r="NLS1" i="7"/>
  <c r="NLT1" i="7"/>
  <c r="NLU1" i="7"/>
  <c r="NLV1" i="7"/>
  <c r="NLW1" i="7"/>
  <c r="NLX1" i="7"/>
  <c r="NLY1" i="7"/>
  <c r="NLZ1" i="7"/>
  <c r="NMA1" i="7"/>
  <c r="NMB1" i="7"/>
  <c r="NMC1" i="7"/>
  <c r="NMD1" i="7"/>
  <c r="NME1" i="7"/>
  <c r="NMF1" i="7"/>
  <c r="NMG1" i="7"/>
  <c r="NMH1" i="7"/>
  <c r="NMI1" i="7"/>
  <c r="NMJ1" i="7"/>
  <c r="NMK1" i="7"/>
  <c r="NML1" i="7"/>
  <c r="NMM1" i="7"/>
  <c r="NMN1" i="7"/>
  <c r="NMO1" i="7"/>
  <c r="NMP1" i="7"/>
  <c r="NMQ1" i="7"/>
  <c r="NMR1" i="7"/>
  <c r="NMS1" i="7"/>
  <c r="NMT1" i="7"/>
  <c r="NMU1" i="7"/>
  <c r="NMV1" i="7"/>
  <c r="NMW1" i="7"/>
  <c r="NMX1" i="7"/>
  <c r="NMY1" i="7"/>
  <c r="NMZ1" i="7"/>
  <c r="NNA1" i="7"/>
  <c r="NNB1" i="7"/>
  <c r="NNC1" i="7"/>
  <c r="NND1" i="7"/>
  <c r="NNE1" i="7"/>
  <c r="NNF1" i="7"/>
  <c r="NNG1" i="7"/>
  <c r="NNH1" i="7"/>
  <c r="NNI1" i="7"/>
  <c r="NNJ1" i="7"/>
  <c r="NNK1" i="7"/>
  <c r="NNL1" i="7"/>
  <c r="NNM1" i="7"/>
  <c r="NNN1" i="7"/>
  <c r="NNO1" i="7"/>
  <c r="NNP1" i="7"/>
  <c r="NNQ1" i="7"/>
  <c r="NNR1" i="7"/>
  <c r="NNS1" i="7"/>
  <c r="NNT1" i="7"/>
  <c r="NNU1" i="7"/>
  <c r="NNV1" i="7"/>
  <c r="NNW1" i="7"/>
  <c r="NNX1" i="7"/>
  <c r="NNY1" i="7"/>
  <c r="NNZ1" i="7"/>
  <c r="NOA1" i="7"/>
  <c r="NOB1" i="7"/>
  <c r="NOC1" i="7"/>
  <c r="NOD1" i="7"/>
  <c r="NOE1" i="7"/>
  <c r="NOF1" i="7"/>
  <c r="NOG1" i="7"/>
  <c r="NOH1" i="7"/>
  <c r="NOI1" i="7"/>
  <c r="NOJ1" i="7"/>
  <c r="NOK1" i="7"/>
  <c r="NOL1" i="7"/>
  <c r="NOM1" i="7"/>
  <c r="NON1" i="7"/>
  <c r="NOO1" i="7"/>
  <c r="NOP1" i="7"/>
  <c r="NOQ1" i="7"/>
  <c r="NOR1" i="7"/>
  <c r="NOS1" i="7"/>
  <c r="NOT1" i="7"/>
  <c r="NOU1" i="7"/>
  <c r="NOV1" i="7"/>
  <c r="NOW1" i="7"/>
  <c r="NOX1" i="7"/>
  <c r="NOY1" i="7"/>
  <c r="NOZ1" i="7"/>
  <c r="NPA1" i="7"/>
  <c r="NPB1" i="7"/>
  <c r="NPC1" i="7"/>
  <c r="NPD1" i="7"/>
  <c r="NPE1" i="7"/>
  <c r="NPF1" i="7"/>
  <c r="NPG1" i="7"/>
  <c r="NPH1" i="7"/>
  <c r="NPI1" i="7"/>
  <c r="NPJ1" i="7"/>
  <c r="NPK1" i="7"/>
  <c r="NPL1" i="7"/>
  <c r="NPM1" i="7"/>
  <c r="NPN1" i="7"/>
  <c r="NPO1" i="7"/>
  <c r="NPP1" i="7"/>
  <c r="NPQ1" i="7"/>
  <c r="NPR1" i="7"/>
  <c r="NPS1" i="7"/>
  <c r="NPT1" i="7"/>
  <c r="NPU1" i="7"/>
  <c r="NPV1" i="7"/>
  <c r="NPW1" i="7"/>
  <c r="NPX1" i="7"/>
  <c r="NPY1" i="7"/>
  <c r="NPZ1" i="7"/>
  <c r="NQA1" i="7"/>
  <c r="NQB1" i="7"/>
  <c r="NQC1" i="7"/>
  <c r="NQD1" i="7"/>
  <c r="NQE1" i="7"/>
  <c r="NQF1" i="7"/>
  <c r="NQG1" i="7"/>
  <c r="NQH1" i="7"/>
  <c r="NQI1" i="7"/>
  <c r="NQJ1" i="7"/>
  <c r="NQK1" i="7"/>
  <c r="NQL1" i="7"/>
  <c r="NQM1" i="7"/>
  <c r="NQN1" i="7"/>
  <c r="NQO1" i="7"/>
  <c r="NQP1" i="7"/>
  <c r="NQQ1" i="7"/>
  <c r="NQR1" i="7"/>
  <c r="NQS1" i="7"/>
  <c r="NQT1" i="7"/>
  <c r="NQU1" i="7"/>
  <c r="NQV1" i="7"/>
  <c r="NQW1" i="7"/>
  <c r="NQX1" i="7"/>
  <c r="NQY1" i="7"/>
  <c r="NQZ1" i="7"/>
  <c r="NRA1" i="7"/>
  <c r="NRB1" i="7"/>
  <c r="NRC1" i="7"/>
  <c r="NRD1" i="7"/>
  <c r="NRE1" i="7"/>
  <c r="NRF1" i="7"/>
  <c r="NRG1" i="7"/>
  <c r="NRH1" i="7"/>
  <c r="NRI1" i="7"/>
  <c r="NRJ1" i="7"/>
  <c r="NRK1" i="7"/>
  <c r="NRL1" i="7"/>
  <c r="NRM1" i="7"/>
  <c r="NRN1" i="7"/>
  <c r="NRO1" i="7"/>
  <c r="NRP1" i="7"/>
  <c r="NRQ1" i="7"/>
  <c r="NRR1" i="7"/>
  <c r="NRS1" i="7"/>
  <c r="NRT1" i="7"/>
  <c r="NRU1" i="7"/>
  <c r="NRV1" i="7"/>
  <c r="NRW1" i="7"/>
  <c r="NRX1" i="7"/>
  <c r="NRY1" i="7"/>
  <c r="NRZ1" i="7"/>
  <c r="NSA1" i="7"/>
  <c r="NSB1" i="7"/>
  <c r="NSC1" i="7"/>
  <c r="NSD1" i="7"/>
  <c r="NSE1" i="7"/>
  <c r="NSF1" i="7"/>
  <c r="NSG1" i="7"/>
  <c r="NSH1" i="7"/>
  <c r="NSI1" i="7"/>
  <c r="NSJ1" i="7"/>
  <c r="NSK1" i="7"/>
  <c r="NSL1" i="7"/>
  <c r="NSM1" i="7"/>
  <c r="NSN1" i="7"/>
  <c r="NSO1" i="7"/>
  <c r="NSP1" i="7"/>
  <c r="NSQ1" i="7"/>
  <c r="NSR1" i="7"/>
  <c r="NSS1" i="7"/>
  <c r="NST1" i="7"/>
  <c r="NSU1" i="7"/>
  <c r="NSV1" i="7"/>
  <c r="NSW1" i="7"/>
  <c r="NSX1" i="7"/>
  <c r="NSY1" i="7"/>
  <c r="NSZ1" i="7"/>
  <c r="NTA1" i="7"/>
  <c r="NTB1" i="7"/>
  <c r="NTC1" i="7"/>
  <c r="NTD1" i="7"/>
  <c r="NTE1" i="7"/>
  <c r="NTF1" i="7"/>
  <c r="NTG1" i="7"/>
  <c r="NTH1" i="7"/>
  <c r="NTI1" i="7"/>
  <c r="NTJ1" i="7"/>
  <c r="NTK1" i="7"/>
  <c r="NTL1" i="7"/>
  <c r="NTM1" i="7"/>
  <c r="NTN1" i="7"/>
  <c r="NTO1" i="7"/>
  <c r="NTP1" i="7"/>
  <c r="NTQ1" i="7"/>
  <c r="NTR1" i="7"/>
  <c r="NTS1" i="7"/>
  <c r="NTT1" i="7"/>
  <c r="NTU1" i="7"/>
  <c r="NTV1" i="7"/>
  <c r="NTW1" i="7"/>
  <c r="NTX1" i="7"/>
  <c r="NTY1" i="7"/>
  <c r="NTZ1" i="7"/>
  <c r="NUA1" i="7"/>
  <c r="NUB1" i="7"/>
  <c r="NUC1" i="7"/>
  <c r="NUD1" i="7"/>
  <c r="NUE1" i="7"/>
  <c r="NUF1" i="7"/>
  <c r="NUG1" i="7"/>
  <c r="NUH1" i="7"/>
  <c r="NUI1" i="7"/>
  <c r="NUJ1" i="7"/>
  <c r="NUK1" i="7"/>
  <c r="NUL1" i="7"/>
  <c r="NUM1" i="7"/>
  <c r="NUN1" i="7"/>
  <c r="NUO1" i="7"/>
  <c r="NUP1" i="7"/>
  <c r="NUQ1" i="7"/>
  <c r="NUR1" i="7"/>
  <c r="NUS1" i="7"/>
  <c r="NUT1" i="7"/>
  <c r="NUU1" i="7"/>
  <c r="NUV1" i="7"/>
  <c r="NUW1" i="7"/>
  <c r="NUX1" i="7"/>
  <c r="NUY1" i="7"/>
  <c r="NUZ1" i="7"/>
  <c r="NVA1" i="7"/>
  <c r="NVB1" i="7"/>
  <c r="NVC1" i="7"/>
  <c r="NVD1" i="7"/>
  <c r="NVE1" i="7"/>
  <c r="NVF1" i="7"/>
  <c r="NVG1" i="7"/>
  <c r="NVH1" i="7"/>
  <c r="NVI1" i="7"/>
  <c r="NVJ1" i="7"/>
  <c r="NVK1" i="7"/>
  <c r="NVL1" i="7"/>
  <c r="NVM1" i="7"/>
  <c r="NVN1" i="7"/>
  <c r="NVO1" i="7"/>
  <c r="NVP1" i="7"/>
  <c r="NVQ1" i="7"/>
  <c r="NVR1" i="7"/>
  <c r="NVS1" i="7"/>
  <c r="NVT1" i="7"/>
  <c r="NVU1" i="7"/>
  <c r="NVV1" i="7"/>
  <c r="NVW1" i="7"/>
  <c r="NVX1" i="7"/>
  <c r="NVY1" i="7"/>
  <c r="NVZ1" i="7"/>
  <c r="NWA1" i="7"/>
  <c r="NWB1" i="7"/>
  <c r="NWC1" i="7"/>
  <c r="NWD1" i="7"/>
  <c r="NWE1" i="7"/>
  <c r="NWF1" i="7"/>
  <c r="NWG1" i="7"/>
  <c r="NWH1" i="7"/>
  <c r="NWI1" i="7"/>
  <c r="NWJ1" i="7"/>
  <c r="NWK1" i="7"/>
  <c r="NWL1" i="7"/>
  <c r="NWM1" i="7"/>
  <c r="NWN1" i="7"/>
  <c r="NWO1" i="7"/>
  <c r="NWP1" i="7"/>
  <c r="NWQ1" i="7"/>
  <c r="NWR1" i="7"/>
  <c r="NWS1" i="7"/>
  <c r="NWT1" i="7"/>
  <c r="NWU1" i="7"/>
  <c r="NWV1" i="7"/>
  <c r="NWW1" i="7"/>
  <c r="NWX1" i="7"/>
  <c r="NWY1" i="7"/>
  <c r="NWZ1" i="7"/>
  <c r="NXA1" i="7"/>
  <c r="NXB1" i="7"/>
  <c r="NXC1" i="7"/>
  <c r="NXD1" i="7"/>
  <c r="NXE1" i="7"/>
  <c r="NXF1" i="7"/>
  <c r="NXG1" i="7"/>
  <c r="NXH1" i="7"/>
  <c r="NXI1" i="7"/>
  <c r="NXJ1" i="7"/>
  <c r="NXK1" i="7"/>
  <c r="NXL1" i="7"/>
  <c r="NXM1" i="7"/>
  <c r="NXN1" i="7"/>
  <c r="NXO1" i="7"/>
  <c r="NXP1" i="7"/>
  <c r="NXQ1" i="7"/>
  <c r="NXR1" i="7"/>
  <c r="NXS1" i="7"/>
  <c r="NXT1" i="7"/>
  <c r="NXU1" i="7"/>
  <c r="NXV1" i="7"/>
  <c r="NXW1" i="7"/>
  <c r="NXX1" i="7"/>
  <c r="NXY1" i="7"/>
  <c r="NXZ1" i="7"/>
  <c r="NYA1" i="7"/>
  <c r="NYB1" i="7"/>
  <c r="NYC1" i="7"/>
  <c r="NYD1" i="7"/>
  <c r="NYE1" i="7"/>
  <c r="NYF1" i="7"/>
  <c r="NYG1" i="7"/>
  <c r="NYH1" i="7"/>
  <c r="NYI1" i="7"/>
  <c r="NYJ1" i="7"/>
  <c r="NYK1" i="7"/>
  <c r="NYL1" i="7"/>
  <c r="NYM1" i="7"/>
  <c r="NYN1" i="7"/>
  <c r="NYO1" i="7"/>
  <c r="NYP1" i="7"/>
  <c r="NYQ1" i="7"/>
  <c r="NYR1" i="7"/>
  <c r="NYS1" i="7"/>
  <c r="NYT1" i="7"/>
  <c r="NYU1" i="7"/>
  <c r="NYV1" i="7"/>
  <c r="NYW1" i="7"/>
  <c r="NYX1" i="7"/>
  <c r="NYY1" i="7"/>
  <c r="NYZ1" i="7"/>
  <c r="NZA1" i="7"/>
  <c r="NZB1" i="7"/>
  <c r="NZC1" i="7"/>
  <c r="NZD1" i="7"/>
  <c r="NZE1" i="7"/>
  <c r="NZF1" i="7"/>
  <c r="NZG1" i="7"/>
  <c r="NZH1" i="7"/>
  <c r="NZI1" i="7"/>
  <c r="NZJ1" i="7"/>
  <c r="NZK1" i="7"/>
  <c r="NZL1" i="7"/>
  <c r="NZM1" i="7"/>
  <c r="NZN1" i="7"/>
  <c r="NZO1" i="7"/>
  <c r="NZP1" i="7"/>
  <c r="NZQ1" i="7"/>
  <c r="NZR1" i="7"/>
  <c r="NZS1" i="7"/>
  <c r="NZT1" i="7"/>
  <c r="NZU1" i="7"/>
  <c r="NZV1" i="7"/>
  <c r="NZW1" i="7"/>
  <c r="NZX1" i="7"/>
  <c r="NZY1" i="7"/>
  <c r="NZZ1" i="7"/>
  <c r="OAA1" i="7"/>
  <c r="OAB1" i="7"/>
  <c r="OAC1" i="7"/>
  <c r="OAD1" i="7"/>
  <c r="OAE1" i="7"/>
  <c r="OAF1" i="7"/>
  <c r="OAG1" i="7"/>
  <c r="OAH1" i="7"/>
  <c r="OAI1" i="7"/>
  <c r="OAJ1" i="7"/>
  <c r="OAK1" i="7"/>
  <c r="OAL1" i="7"/>
  <c r="OAM1" i="7"/>
  <c r="OAN1" i="7"/>
  <c r="OAO1" i="7"/>
  <c r="OAP1" i="7"/>
  <c r="OAQ1" i="7"/>
  <c r="OAR1" i="7"/>
  <c r="OAS1" i="7"/>
  <c r="OAT1" i="7"/>
  <c r="OAU1" i="7"/>
  <c r="OAV1" i="7"/>
  <c r="OAW1" i="7"/>
  <c r="OAX1" i="7"/>
  <c r="OAY1" i="7"/>
  <c r="OAZ1" i="7"/>
  <c r="OBA1" i="7"/>
  <c r="OBB1" i="7"/>
  <c r="OBC1" i="7"/>
  <c r="OBD1" i="7"/>
  <c r="OBE1" i="7"/>
  <c r="OBF1" i="7"/>
  <c r="OBG1" i="7"/>
  <c r="OBH1" i="7"/>
  <c r="OBI1" i="7"/>
  <c r="OBJ1" i="7"/>
  <c r="OBK1" i="7"/>
  <c r="OBL1" i="7"/>
  <c r="OBM1" i="7"/>
  <c r="OBN1" i="7"/>
  <c r="OBO1" i="7"/>
  <c r="OBP1" i="7"/>
  <c r="OBQ1" i="7"/>
  <c r="OBR1" i="7"/>
  <c r="OBS1" i="7"/>
  <c r="OBT1" i="7"/>
  <c r="OBU1" i="7"/>
  <c r="OBV1" i="7"/>
  <c r="OBW1" i="7"/>
  <c r="OBX1" i="7"/>
  <c r="OBY1" i="7"/>
  <c r="OBZ1" i="7"/>
  <c r="OCA1" i="7"/>
  <c r="OCB1" i="7"/>
  <c r="OCC1" i="7"/>
  <c r="OCD1" i="7"/>
  <c r="OCE1" i="7"/>
  <c r="OCF1" i="7"/>
  <c r="OCG1" i="7"/>
  <c r="OCH1" i="7"/>
  <c r="OCI1" i="7"/>
  <c r="OCJ1" i="7"/>
  <c r="OCK1" i="7"/>
  <c r="OCL1" i="7"/>
  <c r="OCM1" i="7"/>
  <c r="OCN1" i="7"/>
  <c r="OCO1" i="7"/>
  <c r="OCP1" i="7"/>
  <c r="OCQ1" i="7"/>
  <c r="OCR1" i="7"/>
  <c r="OCS1" i="7"/>
  <c r="OCT1" i="7"/>
  <c r="OCU1" i="7"/>
  <c r="OCV1" i="7"/>
  <c r="OCW1" i="7"/>
  <c r="OCX1" i="7"/>
  <c r="OCY1" i="7"/>
  <c r="OCZ1" i="7"/>
  <c r="ODA1" i="7"/>
  <c r="ODB1" i="7"/>
  <c r="ODC1" i="7"/>
  <c r="ODD1" i="7"/>
  <c r="ODE1" i="7"/>
  <c r="ODF1" i="7"/>
  <c r="ODG1" i="7"/>
  <c r="ODH1" i="7"/>
  <c r="ODI1" i="7"/>
  <c r="ODJ1" i="7"/>
  <c r="ODK1" i="7"/>
  <c r="ODL1" i="7"/>
  <c r="ODM1" i="7"/>
  <c r="ODN1" i="7"/>
  <c r="ODO1" i="7"/>
  <c r="ODP1" i="7"/>
  <c r="ODQ1" i="7"/>
  <c r="ODR1" i="7"/>
  <c r="ODS1" i="7"/>
  <c r="ODT1" i="7"/>
  <c r="ODU1" i="7"/>
  <c r="ODV1" i="7"/>
  <c r="ODW1" i="7"/>
  <c r="ODX1" i="7"/>
  <c r="ODY1" i="7"/>
  <c r="ODZ1" i="7"/>
  <c r="OEA1" i="7"/>
  <c r="OEB1" i="7"/>
  <c r="OEC1" i="7"/>
  <c r="OED1" i="7"/>
  <c r="OEE1" i="7"/>
  <c r="OEF1" i="7"/>
  <c r="OEG1" i="7"/>
  <c r="OEH1" i="7"/>
  <c r="OEI1" i="7"/>
  <c r="OEJ1" i="7"/>
  <c r="OEK1" i="7"/>
  <c r="OEL1" i="7"/>
  <c r="OEM1" i="7"/>
  <c r="OEN1" i="7"/>
  <c r="OEO1" i="7"/>
  <c r="OEP1" i="7"/>
  <c r="OEQ1" i="7"/>
  <c r="OER1" i="7"/>
  <c r="OES1" i="7"/>
  <c r="OET1" i="7"/>
  <c r="OEU1" i="7"/>
  <c r="OEV1" i="7"/>
  <c r="OEW1" i="7"/>
  <c r="OEX1" i="7"/>
  <c r="OEY1" i="7"/>
  <c r="OEZ1" i="7"/>
  <c r="OFA1" i="7"/>
  <c r="OFB1" i="7"/>
  <c r="OFC1" i="7"/>
  <c r="OFD1" i="7"/>
  <c r="OFE1" i="7"/>
  <c r="OFF1" i="7"/>
  <c r="OFG1" i="7"/>
  <c r="OFH1" i="7"/>
  <c r="OFI1" i="7"/>
  <c r="OFJ1" i="7"/>
  <c r="OFK1" i="7"/>
  <c r="OFL1" i="7"/>
  <c r="OFM1" i="7"/>
  <c r="OFN1" i="7"/>
  <c r="OFO1" i="7"/>
  <c r="OFP1" i="7"/>
  <c r="OFQ1" i="7"/>
  <c r="OFR1" i="7"/>
  <c r="OFS1" i="7"/>
  <c r="OFT1" i="7"/>
  <c r="OFU1" i="7"/>
  <c r="OFV1" i="7"/>
  <c r="OFW1" i="7"/>
  <c r="OFX1" i="7"/>
  <c r="OFY1" i="7"/>
  <c r="OFZ1" i="7"/>
  <c r="OGA1" i="7"/>
  <c r="OGB1" i="7"/>
  <c r="OGC1" i="7"/>
  <c r="OGD1" i="7"/>
  <c r="OGE1" i="7"/>
  <c r="OGF1" i="7"/>
  <c r="OGG1" i="7"/>
  <c r="OGH1" i="7"/>
  <c r="OGI1" i="7"/>
  <c r="OGJ1" i="7"/>
  <c r="OGK1" i="7"/>
  <c r="OGL1" i="7"/>
  <c r="OGM1" i="7"/>
  <c r="OGN1" i="7"/>
  <c r="OGO1" i="7"/>
  <c r="OGP1" i="7"/>
  <c r="OGQ1" i="7"/>
  <c r="OGR1" i="7"/>
  <c r="OGS1" i="7"/>
  <c r="OGT1" i="7"/>
  <c r="OGU1" i="7"/>
  <c r="OGV1" i="7"/>
  <c r="OGW1" i="7"/>
  <c r="OGX1" i="7"/>
  <c r="OGY1" i="7"/>
  <c r="OGZ1" i="7"/>
  <c r="OHA1" i="7"/>
  <c r="OHB1" i="7"/>
  <c r="OHC1" i="7"/>
  <c r="OHD1" i="7"/>
  <c r="OHE1" i="7"/>
  <c r="OHF1" i="7"/>
  <c r="OHG1" i="7"/>
  <c r="OHH1" i="7"/>
  <c r="OHI1" i="7"/>
  <c r="OHJ1" i="7"/>
  <c r="OHK1" i="7"/>
  <c r="OHL1" i="7"/>
  <c r="OHM1" i="7"/>
  <c r="OHN1" i="7"/>
  <c r="OHO1" i="7"/>
  <c r="OHP1" i="7"/>
  <c r="OHQ1" i="7"/>
  <c r="OHR1" i="7"/>
  <c r="OHS1" i="7"/>
  <c r="OHT1" i="7"/>
  <c r="OHU1" i="7"/>
  <c r="OHV1" i="7"/>
  <c r="OHW1" i="7"/>
  <c r="OHX1" i="7"/>
  <c r="OHY1" i="7"/>
  <c r="OHZ1" i="7"/>
  <c r="OIA1" i="7"/>
  <c r="OIB1" i="7"/>
  <c r="OIC1" i="7"/>
  <c r="OID1" i="7"/>
  <c r="OIE1" i="7"/>
  <c r="OIF1" i="7"/>
  <c r="OIG1" i="7"/>
  <c r="OIH1" i="7"/>
  <c r="OII1" i="7"/>
  <c r="OIJ1" i="7"/>
  <c r="OIK1" i="7"/>
  <c r="OIL1" i="7"/>
  <c r="OIM1" i="7"/>
  <c r="OIN1" i="7"/>
  <c r="OIO1" i="7"/>
  <c r="OIP1" i="7"/>
  <c r="OIQ1" i="7"/>
  <c r="OIR1" i="7"/>
  <c r="OIS1" i="7"/>
  <c r="OIT1" i="7"/>
  <c r="OIU1" i="7"/>
  <c r="OIV1" i="7"/>
  <c r="OIW1" i="7"/>
  <c r="OIX1" i="7"/>
  <c r="OIY1" i="7"/>
  <c r="OIZ1" i="7"/>
  <c r="OJA1" i="7"/>
  <c r="OJB1" i="7"/>
  <c r="OJC1" i="7"/>
  <c r="OJD1" i="7"/>
  <c r="OJE1" i="7"/>
  <c r="OJF1" i="7"/>
  <c r="OJG1" i="7"/>
  <c r="OJH1" i="7"/>
  <c r="OJI1" i="7"/>
  <c r="OJJ1" i="7"/>
  <c r="OJK1" i="7"/>
  <c r="OJL1" i="7"/>
  <c r="OJM1" i="7"/>
  <c r="OJN1" i="7"/>
  <c r="OJO1" i="7"/>
  <c r="OJP1" i="7"/>
  <c r="OJQ1" i="7"/>
  <c r="OJR1" i="7"/>
  <c r="OJS1" i="7"/>
  <c r="OJT1" i="7"/>
  <c r="OJU1" i="7"/>
  <c r="OJV1" i="7"/>
  <c r="OJW1" i="7"/>
  <c r="OJX1" i="7"/>
  <c r="OJY1" i="7"/>
  <c r="OJZ1" i="7"/>
  <c r="OKA1" i="7"/>
  <c r="OKB1" i="7"/>
  <c r="OKC1" i="7"/>
  <c r="OKD1" i="7"/>
  <c r="OKE1" i="7"/>
  <c r="OKF1" i="7"/>
  <c r="OKG1" i="7"/>
  <c r="OKH1" i="7"/>
  <c r="OKI1" i="7"/>
  <c r="OKJ1" i="7"/>
  <c r="OKK1" i="7"/>
  <c r="OKL1" i="7"/>
  <c r="OKM1" i="7"/>
  <c r="OKN1" i="7"/>
  <c r="OKO1" i="7"/>
  <c r="OKP1" i="7"/>
  <c r="OKQ1" i="7"/>
  <c r="OKR1" i="7"/>
  <c r="OKS1" i="7"/>
  <c r="OKT1" i="7"/>
  <c r="OKU1" i="7"/>
  <c r="OKV1" i="7"/>
  <c r="OKW1" i="7"/>
  <c r="OKX1" i="7"/>
  <c r="OKY1" i="7"/>
  <c r="OKZ1" i="7"/>
  <c r="OLA1" i="7"/>
  <c r="OLB1" i="7"/>
  <c r="OLC1" i="7"/>
  <c r="OLD1" i="7"/>
  <c r="OLE1" i="7"/>
  <c r="OLF1" i="7"/>
  <c r="OLG1" i="7"/>
  <c r="OLH1" i="7"/>
  <c r="OLI1" i="7"/>
  <c r="OLJ1" i="7"/>
  <c r="OLK1" i="7"/>
  <c r="OLL1" i="7"/>
  <c r="OLM1" i="7"/>
  <c r="OLN1" i="7"/>
  <c r="OLO1" i="7"/>
  <c r="OLP1" i="7"/>
  <c r="OLQ1" i="7"/>
  <c r="OLR1" i="7"/>
  <c r="OLS1" i="7"/>
  <c r="OLT1" i="7"/>
  <c r="OLU1" i="7"/>
  <c r="OLV1" i="7"/>
  <c r="OLW1" i="7"/>
  <c r="OLX1" i="7"/>
  <c r="OLY1" i="7"/>
  <c r="OLZ1" i="7"/>
  <c r="OMA1" i="7"/>
  <c r="OMB1" i="7"/>
  <c r="OMC1" i="7"/>
  <c r="OMD1" i="7"/>
  <c r="OME1" i="7"/>
  <c r="OMF1" i="7"/>
  <c r="OMG1" i="7"/>
  <c r="OMH1" i="7"/>
  <c r="OMI1" i="7"/>
  <c r="OMJ1" i="7"/>
  <c r="OMK1" i="7"/>
  <c r="OML1" i="7"/>
  <c r="OMM1" i="7"/>
  <c r="OMN1" i="7"/>
  <c r="OMO1" i="7"/>
  <c r="OMP1" i="7"/>
  <c r="OMQ1" i="7"/>
  <c r="OMR1" i="7"/>
  <c r="OMS1" i="7"/>
  <c r="OMT1" i="7"/>
  <c r="OMU1" i="7"/>
  <c r="OMV1" i="7"/>
  <c r="OMW1" i="7"/>
  <c r="OMX1" i="7"/>
  <c r="OMY1" i="7"/>
  <c r="OMZ1" i="7"/>
  <c r="ONA1" i="7"/>
  <c r="ONB1" i="7"/>
  <c r="ONC1" i="7"/>
  <c r="OND1" i="7"/>
  <c r="ONE1" i="7"/>
  <c r="ONF1" i="7"/>
  <c r="ONG1" i="7"/>
  <c r="ONH1" i="7"/>
  <c r="ONI1" i="7"/>
  <c r="ONJ1" i="7"/>
  <c r="ONK1" i="7"/>
  <c r="ONL1" i="7"/>
  <c r="ONM1" i="7"/>
  <c r="ONN1" i="7"/>
  <c r="ONO1" i="7"/>
  <c r="ONP1" i="7"/>
  <c r="ONQ1" i="7"/>
  <c r="ONR1" i="7"/>
  <c r="ONS1" i="7"/>
  <c r="ONT1" i="7"/>
  <c r="ONU1" i="7"/>
  <c r="ONV1" i="7"/>
  <c r="ONW1" i="7"/>
  <c r="ONX1" i="7"/>
  <c r="ONY1" i="7"/>
  <c r="ONZ1" i="7"/>
  <c r="OOA1" i="7"/>
  <c r="OOB1" i="7"/>
  <c r="OOC1" i="7"/>
  <c r="OOD1" i="7"/>
  <c r="OOE1" i="7"/>
  <c r="OOF1" i="7"/>
  <c r="OOG1" i="7"/>
  <c r="OOH1" i="7"/>
  <c r="OOI1" i="7"/>
  <c r="OOJ1" i="7"/>
  <c r="OOK1" i="7"/>
  <c r="OOL1" i="7"/>
  <c r="OOM1" i="7"/>
  <c r="OON1" i="7"/>
  <c r="OOO1" i="7"/>
  <c r="OOP1" i="7"/>
  <c r="OOQ1" i="7"/>
  <c r="OOR1" i="7"/>
  <c r="OOS1" i="7"/>
  <c r="OOT1" i="7"/>
  <c r="OOU1" i="7"/>
  <c r="OOV1" i="7"/>
  <c r="OOW1" i="7"/>
  <c r="OOX1" i="7"/>
  <c r="OOY1" i="7"/>
  <c r="OOZ1" i="7"/>
  <c r="OPA1" i="7"/>
  <c r="OPB1" i="7"/>
  <c r="OPC1" i="7"/>
  <c r="OPD1" i="7"/>
  <c r="OPE1" i="7"/>
  <c r="OPF1" i="7"/>
  <c r="OPG1" i="7"/>
  <c r="OPH1" i="7"/>
  <c r="OPI1" i="7"/>
  <c r="OPJ1" i="7"/>
  <c r="OPK1" i="7"/>
  <c r="OPL1" i="7"/>
  <c r="OPM1" i="7"/>
  <c r="OPN1" i="7"/>
  <c r="OPO1" i="7"/>
  <c r="OPP1" i="7"/>
  <c r="OPQ1" i="7"/>
  <c r="OPR1" i="7"/>
  <c r="OPS1" i="7"/>
  <c r="OPT1" i="7"/>
  <c r="OPU1" i="7"/>
  <c r="OPV1" i="7"/>
  <c r="OPW1" i="7"/>
  <c r="OPX1" i="7"/>
  <c r="OPY1" i="7"/>
  <c r="OPZ1" i="7"/>
  <c r="OQA1" i="7"/>
  <c r="OQB1" i="7"/>
  <c r="OQC1" i="7"/>
  <c r="OQD1" i="7"/>
  <c r="OQE1" i="7"/>
  <c r="OQF1" i="7"/>
  <c r="OQG1" i="7"/>
  <c r="OQH1" i="7"/>
  <c r="OQI1" i="7"/>
  <c r="OQJ1" i="7"/>
  <c r="OQK1" i="7"/>
  <c r="OQL1" i="7"/>
  <c r="OQM1" i="7"/>
  <c r="OQN1" i="7"/>
  <c r="OQO1" i="7"/>
  <c r="OQP1" i="7"/>
  <c r="OQQ1" i="7"/>
  <c r="OQR1" i="7"/>
  <c r="OQS1" i="7"/>
  <c r="OQT1" i="7"/>
  <c r="OQU1" i="7"/>
  <c r="OQV1" i="7"/>
  <c r="OQW1" i="7"/>
  <c r="OQX1" i="7"/>
  <c r="OQY1" i="7"/>
  <c r="OQZ1" i="7"/>
  <c r="ORA1" i="7"/>
  <c r="ORB1" i="7"/>
  <c r="ORC1" i="7"/>
  <c r="ORD1" i="7"/>
  <c r="ORE1" i="7"/>
  <c r="ORF1" i="7"/>
  <c r="ORG1" i="7"/>
  <c r="ORH1" i="7"/>
  <c r="ORI1" i="7"/>
  <c r="ORJ1" i="7"/>
  <c r="ORK1" i="7"/>
  <c r="ORL1" i="7"/>
  <c r="ORM1" i="7"/>
  <c r="ORN1" i="7"/>
  <c r="ORO1" i="7"/>
  <c r="ORP1" i="7"/>
  <c r="ORQ1" i="7"/>
  <c r="ORR1" i="7"/>
  <c r="ORS1" i="7"/>
  <c r="ORT1" i="7"/>
  <c r="ORU1" i="7"/>
  <c r="ORV1" i="7"/>
  <c r="ORW1" i="7"/>
  <c r="ORX1" i="7"/>
  <c r="ORY1" i="7"/>
  <c r="ORZ1" i="7"/>
  <c r="OSA1" i="7"/>
  <c r="OSB1" i="7"/>
  <c r="OSC1" i="7"/>
  <c r="OSD1" i="7"/>
  <c r="OSE1" i="7"/>
  <c r="OSF1" i="7"/>
  <c r="OSG1" i="7"/>
  <c r="OSH1" i="7"/>
  <c r="OSI1" i="7"/>
  <c r="OSJ1" i="7"/>
  <c r="OSK1" i="7"/>
  <c r="OSL1" i="7"/>
  <c r="OSM1" i="7"/>
  <c r="OSN1" i="7"/>
  <c r="OSO1" i="7"/>
  <c r="OSP1" i="7"/>
  <c r="OSQ1" i="7"/>
  <c r="OSR1" i="7"/>
  <c r="OSS1" i="7"/>
  <c r="OST1" i="7"/>
  <c r="OSU1" i="7"/>
  <c r="OSV1" i="7"/>
  <c r="OSW1" i="7"/>
  <c r="OSX1" i="7"/>
  <c r="OSY1" i="7"/>
  <c r="OSZ1" i="7"/>
  <c r="OTA1" i="7"/>
  <c r="OTB1" i="7"/>
  <c r="OTC1" i="7"/>
  <c r="OTD1" i="7"/>
  <c r="OTE1" i="7"/>
  <c r="OTF1" i="7"/>
  <c r="OTG1" i="7"/>
  <c r="OTH1" i="7"/>
  <c r="OTI1" i="7"/>
  <c r="OTJ1" i="7"/>
  <c r="OTK1" i="7"/>
  <c r="OTL1" i="7"/>
  <c r="OTM1" i="7"/>
  <c r="OTN1" i="7"/>
  <c r="OTO1" i="7"/>
  <c r="OTP1" i="7"/>
  <c r="OTQ1" i="7"/>
  <c r="OTR1" i="7"/>
  <c r="OTS1" i="7"/>
  <c r="OTT1" i="7"/>
  <c r="OTU1" i="7"/>
  <c r="OTV1" i="7"/>
  <c r="OTW1" i="7"/>
  <c r="OTX1" i="7"/>
  <c r="OTY1" i="7"/>
  <c r="OTZ1" i="7"/>
  <c r="OUA1" i="7"/>
  <c r="OUB1" i="7"/>
  <c r="OUC1" i="7"/>
  <c r="OUD1" i="7"/>
  <c r="OUE1" i="7"/>
  <c r="OUF1" i="7"/>
  <c r="OUG1" i="7"/>
  <c r="OUH1" i="7"/>
  <c r="OUI1" i="7"/>
  <c r="OUJ1" i="7"/>
  <c r="OUK1" i="7"/>
  <c r="OUL1" i="7"/>
  <c r="OUM1" i="7"/>
  <c r="OUN1" i="7"/>
  <c r="OUO1" i="7"/>
  <c r="OUP1" i="7"/>
  <c r="OUQ1" i="7"/>
  <c r="OUR1" i="7"/>
  <c r="OUS1" i="7"/>
  <c r="OUT1" i="7"/>
  <c r="OUU1" i="7"/>
  <c r="OUV1" i="7"/>
  <c r="OUW1" i="7"/>
  <c r="OUX1" i="7"/>
  <c r="OUY1" i="7"/>
  <c r="OUZ1" i="7"/>
  <c r="OVA1" i="7"/>
  <c r="OVB1" i="7"/>
  <c r="OVC1" i="7"/>
  <c r="OVD1" i="7"/>
  <c r="OVE1" i="7"/>
  <c r="OVF1" i="7"/>
  <c r="OVG1" i="7"/>
  <c r="OVH1" i="7"/>
  <c r="OVI1" i="7"/>
  <c r="OVJ1" i="7"/>
  <c r="OVK1" i="7"/>
  <c r="OVL1" i="7"/>
  <c r="OVM1" i="7"/>
  <c r="OVN1" i="7"/>
  <c r="OVO1" i="7"/>
  <c r="OVP1" i="7"/>
  <c r="OVQ1" i="7"/>
  <c r="OVR1" i="7"/>
  <c r="OVS1" i="7"/>
  <c r="OVT1" i="7"/>
  <c r="OVU1" i="7"/>
  <c r="OVV1" i="7"/>
  <c r="OVW1" i="7"/>
  <c r="OVX1" i="7"/>
  <c r="OVY1" i="7"/>
  <c r="OVZ1" i="7"/>
  <c r="OWA1" i="7"/>
  <c r="OWB1" i="7"/>
  <c r="OWC1" i="7"/>
  <c r="OWD1" i="7"/>
  <c r="OWE1" i="7"/>
  <c r="OWF1" i="7"/>
  <c r="OWG1" i="7"/>
  <c r="OWH1" i="7"/>
  <c r="OWI1" i="7"/>
  <c r="OWJ1" i="7"/>
  <c r="OWK1" i="7"/>
  <c r="OWL1" i="7"/>
  <c r="OWM1" i="7"/>
  <c r="OWN1" i="7"/>
  <c r="OWO1" i="7"/>
  <c r="OWP1" i="7"/>
  <c r="OWQ1" i="7"/>
  <c r="OWR1" i="7"/>
  <c r="OWS1" i="7"/>
  <c r="OWT1" i="7"/>
  <c r="OWU1" i="7"/>
  <c r="OWV1" i="7"/>
  <c r="OWW1" i="7"/>
  <c r="OWX1" i="7"/>
  <c r="OWY1" i="7"/>
  <c r="OWZ1" i="7"/>
  <c r="OXA1" i="7"/>
  <c r="OXB1" i="7"/>
  <c r="OXC1" i="7"/>
  <c r="OXD1" i="7"/>
  <c r="OXE1" i="7"/>
  <c r="OXF1" i="7"/>
  <c r="OXG1" i="7"/>
  <c r="OXH1" i="7"/>
  <c r="OXI1" i="7"/>
  <c r="OXJ1" i="7"/>
  <c r="OXK1" i="7"/>
  <c r="OXL1" i="7"/>
  <c r="OXM1" i="7"/>
  <c r="OXN1" i="7"/>
  <c r="OXO1" i="7"/>
  <c r="OXP1" i="7"/>
  <c r="OXQ1" i="7"/>
  <c r="OXR1" i="7"/>
  <c r="OXS1" i="7"/>
  <c r="OXT1" i="7"/>
  <c r="OXU1" i="7"/>
  <c r="OXV1" i="7"/>
  <c r="OXW1" i="7"/>
  <c r="OXX1" i="7"/>
  <c r="OXY1" i="7"/>
  <c r="OXZ1" i="7"/>
  <c r="OYA1" i="7"/>
  <c r="OYB1" i="7"/>
  <c r="OYC1" i="7"/>
  <c r="OYD1" i="7"/>
  <c r="OYE1" i="7"/>
  <c r="OYF1" i="7"/>
  <c r="OYG1" i="7"/>
  <c r="OYH1" i="7"/>
  <c r="OYI1" i="7"/>
  <c r="OYJ1" i="7"/>
  <c r="OYK1" i="7"/>
  <c r="OYL1" i="7"/>
  <c r="OYM1" i="7"/>
  <c r="OYN1" i="7"/>
  <c r="OYO1" i="7"/>
  <c r="OYP1" i="7"/>
  <c r="OYQ1" i="7"/>
  <c r="OYR1" i="7"/>
  <c r="OYS1" i="7"/>
  <c r="OYT1" i="7"/>
  <c r="OYU1" i="7"/>
  <c r="OYV1" i="7"/>
  <c r="OYW1" i="7"/>
  <c r="OYX1" i="7"/>
  <c r="OYY1" i="7"/>
  <c r="OYZ1" i="7"/>
  <c r="OZA1" i="7"/>
  <c r="OZB1" i="7"/>
  <c r="OZC1" i="7"/>
  <c r="OZD1" i="7"/>
  <c r="OZE1" i="7"/>
  <c r="OZF1" i="7"/>
  <c r="OZG1" i="7"/>
  <c r="OZH1" i="7"/>
  <c r="OZI1" i="7"/>
  <c r="OZJ1" i="7"/>
  <c r="OZK1" i="7"/>
  <c r="OZL1" i="7"/>
  <c r="OZM1" i="7"/>
  <c r="OZN1" i="7"/>
  <c r="OZO1" i="7"/>
  <c r="OZP1" i="7"/>
  <c r="OZQ1" i="7"/>
  <c r="OZR1" i="7"/>
  <c r="OZS1" i="7"/>
  <c r="OZT1" i="7"/>
  <c r="OZU1" i="7"/>
  <c r="OZV1" i="7"/>
  <c r="OZW1" i="7"/>
  <c r="OZX1" i="7"/>
  <c r="OZY1" i="7"/>
  <c r="OZZ1" i="7"/>
  <c r="PAA1" i="7"/>
  <c r="PAB1" i="7"/>
  <c r="PAC1" i="7"/>
  <c r="PAD1" i="7"/>
  <c r="PAE1" i="7"/>
  <c r="PAF1" i="7"/>
  <c r="PAG1" i="7"/>
  <c r="PAH1" i="7"/>
  <c r="PAI1" i="7"/>
  <c r="PAJ1" i="7"/>
  <c r="PAK1" i="7"/>
  <c r="PAL1" i="7"/>
  <c r="PAM1" i="7"/>
  <c r="PAN1" i="7"/>
  <c r="PAO1" i="7"/>
  <c r="PAP1" i="7"/>
  <c r="PAQ1" i="7"/>
  <c r="PAR1" i="7"/>
  <c r="PAS1" i="7"/>
  <c r="PAT1" i="7"/>
  <c r="PAU1" i="7"/>
  <c r="PAV1" i="7"/>
  <c r="PAW1" i="7"/>
  <c r="PAX1" i="7"/>
  <c r="PAY1" i="7"/>
  <c r="PAZ1" i="7"/>
  <c r="PBA1" i="7"/>
  <c r="PBB1" i="7"/>
  <c r="PBC1" i="7"/>
  <c r="PBD1" i="7"/>
  <c r="PBE1" i="7"/>
  <c r="PBF1" i="7"/>
  <c r="PBG1" i="7"/>
  <c r="PBH1" i="7"/>
  <c r="PBI1" i="7"/>
  <c r="PBJ1" i="7"/>
  <c r="PBK1" i="7"/>
  <c r="PBL1" i="7"/>
  <c r="PBM1" i="7"/>
  <c r="PBN1" i="7"/>
  <c r="PBO1" i="7"/>
  <c r="PBP1" i="7"/>
  <c r="PBQ1" i="7"/>
  <c r="PBR1" i="7"/>
  <c r="PBS1" i="7"/>
  <c r="PBT1" i="7"/>
  <c r="PBU1" i="7"/>
  <c r="PBV1" i="7"/>
  <c r="PBW1" i="7"/>
  <c r="PBX1" i="7"/>
  <c r="PBY1" i="7"/>
  <c r="PBZ1" i="7"/>
  <c r="PCA1" i="7"/>
  <c r="PCB1" i="7"/>
  <c r="PCC1" i="7"/>
  <c r="PCD1" i="7"/>
  <c r="PCE1" i="7"/>
  <c r="PCF1" i="7"/>
  <c r="PCG1" i="7"/>
  <c r="PCH1" i="7"/>
  <c r="PCI1" i="7"/>
  <c r="PCJ1" i="7"/>
  <c r="PCK1" i="7"/>
  <c r="PCL1" i="7"/>
  <c r="PCM1" i="7"/>
  <c r="PCN1" i="7"/>
  <c r="PCO1" i="7"/>
  <c r="PCP1" i="7"/>
  <c r="PCQ1" i="7"/>
  <c r="PCR1" i="7"/>
  <c r="PCS1" i="7"/>
  <c r="PCT1" i="7"/>
  <c r="PCU1" i="7"/>
  <c r="PCV1" i="7"/>
  <c r="PCW1" i="7"/>
  <c r="PCX1" i="7"/>
  <c r="PCY1" i="7"/>
  <c r="PCZ1" i="7"/>
  <c r="PDA1" i="7"/>
  <c r="PDB1" i="7"/>
  <c r="PDC1" i="7"/>
  <c r="PDD1" i="7"/>
  <c r="PDE1" i="7"/>
  <c r="PDF1" i="7"/>
  <c r="PDG1" i="7"/>
  <c r="PDH1" i="7"/>
  <c r="PDI1" i="7"/>
  <c r="PDJ1" i="7"/>
  <c r="PDK1" i="7"/>
  <c r="PDL1" i="7"/>
  <c r="PDM1" i="7"/>
  <c r="PDN1" i="7"/>
  <c r="PDO1" i="7"/>
  <c r="PDP1" i="7"/>
  <c r="PDQ1" i="7"/>
  <c r="PDR1" i="7"/>
  <c r="PDS1" i="7"/>
  <c r="PDT1" i="7"/>
  <c r="PDU1" i="7"/>
  <c r="PDV1" i="7"/>
  <c r="PDW1" i="7"/>
  <c r="PDX1" i="7"/>
  <c r="PDY1" i="7"/>
  <c r="PDZ1" i="7"/>
  <c r="PEA1" i="7"/>
  <c r="PEB1" i="7"/>
  <c r="PEC1" i="7"/>
  <c r="PED1" i="7"/>
  <c r="PEE1" i="7"/>
  <c r="PEF1" i="7"/>
  <c r="PEG1" i="7"/>
  <c r="PEH1" i="7"/>
  <c r="PEI1" i="7"/>
  <c r="PEJ1" i="7"/>
  <c r="PEK1" i="7"/>
  <c r="PEL1" i="7"/>
  <c r="PEM1" i="7"/>
  <c r="PEN1" i="7"/>
  <c r="PEO1" i="7"/>
  <c r="PEP1" i="7"/>
  <c r="PEQ1" i="7"/>
  <c r="PER1" i="7"/>
  <c r="PES1" i="7"/>
  <c r="PET1" i="7"/>
  <c r="PEU1" i="7"/>
  <c r="PEV1" i="7"/>
  <c r="PEW1" i="7"/>
  <c r="PEX1" i="7"/>
  <c r="PEY1" i="7"/>
  <c r="PEZ1" i="7"/>
  <c r="PFA1" i="7"/>
  <c r="PFB1" i="7"/>
  <c r="PFC1" i="7"/>
  <c r="PFD1" i="7"/>
  <c r="PFE1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BB2" i="7"/>
  <c r="BC2" i="7"/>
  <c r="BD2" i="7"/>
  <c r="BE2" i="7"/>
  <c r="BF2" i="7"/>
  <c r="BG2" i="7"/>
  <c r="BH2" i="7"/>
  <c r="BI2" i="7"/>
  <c r="BJ2" i="7"/>
  <c r="BK2" i="7"/>
  <c r="BL2" i="7"/>
  <c r="BM2" i="7"/>
  <c r="BN2" i="7"/>
  <c r="BO2" i="7"/>
  <c r="BP2" i="7"/>
  <c r="BQ2" i="7"/>
  <c r="BR2" i="7"/>
  <c r="BS2" i="7"/>
  <c r="BT2" i="7"/>
  <c r="BU2" i="7"/>
  <c r="BV2" i="7"/>
  <c r="BW2" i="7"/>
  <c r="BX2" i="7"/>
  <c r="BY2" i="7"/>
  <c r="BZ2" i="7"/>
  <c r="CA2" i="7"/>
  <c r="CB2" i="7"/>
  <c r="CC2" i="7"/>
  <c r="CD2" i="7"/>
  <c r="CE2" i="7"/>
  <c r="CF2" i="7"/>
  <c r="CG2" i="7"/>
  <c r="CH2" i="7"/>
  <c r="CI2" i="7"/>
  <c r="CJ2" i="7"/>
  <c r="CK2" i="7"/>
  <c r="CL2" i="7"/>
  <c r="CM2" i="7"/>
  <c r="CN2" i="7"/>
  <c r="CO2" i="7"/>
  <c r="CP2" i="7"/>
  <c r="CQ2" i="7"/>
  <c r="CR2" i="7"/>
  <c r="CS2" i="7"/>
  <c r="CT2" i="7"/>
  <c r="CU2" i="7"/>
  <c r="CV2" i="7"/>
  <c r="CW2" i="7"/>
  <c r="CX2" i="7"/>
  <c r="CY2" i="7"/>
  <c r="CZ2" i="7"/>
  <c r="DA2" i="7"/>
  <c r="DB2" i="7"/>
  <c r="DC2" i="7"/>
  <c r="DD2" i="7"/>
  <c r="DE2" i="7"/>
  <c r="DF2" i="7"/>
  <c r="DG2" i="7"/>
  <c r="DH2" i="7"/>
  <c r="DI2" i="7"/>
  <c r="DJ2" i="7"/>
  <c r="DK2" i="7"/>
  <c r="DL2" i="7"/>
  <c r="DM2" i="7"/>
  <c r="DN2" i="7"/>
  <c r="DO2" i="7"/>
  <c r="DP2" i="7"/>
  <c r="DQ2" i="7"/>
  <c r="DR2" i="7"/>
  <c r="DS2" i="7"/>
  <c r="DT2" i="7"/>
  <c r="DU2" i="7"/>
  <c r="DV2" i="7"/>
  <c r="DW2" i="7"/>
  <c r="DX2" i="7"/>
  <c r="DY2" i="7"/>
  <c r="DZ2" i="7"/>
  <c r="EA2" i="7"/>
  <c r="EB2" i="7"/>
  <c r="EC2" i="7"/>
  <c r="ED2" i="7"/>
  <c r="EE2" i="7"/>
  <c r="EF2" i="7"/>
  <c r="EG2" i="7"/>
  <c r="EH2" i="7"/>
  <c r="EI2" i="7"/>
  <c r="EJ2" i="7"/>
  <c r="EK2" i="7"/>
  <c r="EL2" i="7"/>
  <c r="EM2" i="7"/>
  <c r="EN2" i="7"/>
  <c r="EO2" i="7"/>
  <c r="EP2" i="7"/>
  <c r="EQ2" i="7"/>
  <c r="ER2" i="7"/>
  <c r="ES2" i="7"/>
  <c r="ET2" i="7"/>
  <c r="EU2" i="7"/>
  <c r="EV2" i="7"/>
  <c r="EW2" i="7"/>
  <c r="EX2" i="7"/>
  <c r="EY2" i="7"/>
  <c r="EZ2" i="7"/>
  <c r="FA2" i="7"/>
  <c r="FB2" i="7"/>
  <c r="FC2" i="7"/>
  <c r="FD2" i="7"/>
  <c r="FE2" i="7"/>
  <c r="FF2" i="7"/>
  <c r="FG2" i="7"/>
  <c r="FH2" i="7"/>
  <c r="FI2" i="7"/>
  <c r="FJ2" i="7"/>
  <c r="FK2" i="7"/>
  <c r="FL2" i="7"/>
  <c r="FM2" i="7"/>
  <c r="FN2" i="7"/>
  <c r="FO2" i="7"/>
  <c r="FP2" i="7"/>
  <c r="FQ2" i="7"/>
  <c r="FR2" i="7"/>
  <c r="FS2" i="7"/>
  <c r="FT2" i="7"/>
  <c r="FU2" i="7"/>
  <c r="FV2" i="7"/>
  <c r="FW2" i="7"/>
  <c r="FX2" i="7"/>
  <c r="FY2" i="7"/>
  <c r="FZ2" i="7"/>
  <c r="GA2" i="7"/>
  <c r="GB2" i="7"/>
  <c r="GC2" i="7"/>
  <c r="GD2" i="7"/>
  <c r="GE2" i="7"/>
  <c r="GF2" i="7"/>
  <c r="GG2" i="7"/>
  <c r="GH2" i="7"/>
  <c r="GI2" i="7"/>
  <c r="GJ2" i="7"/>
  <c r="GK2" i="7"/>
  <c r="GL2" i="7"/>
  <c r="GM2" i="7"/>
  <c r="GN2" i="7"/>
  <c r="GO2" i="7"/>
  <c r="GP2" i="7"/>
  <c r="GQ2" i="7"/>
  <c r="GR2" i="7"/>
  <c r="GS2" i="7"/>
  <c r="GT2" i="7"/>
  <c r="GU2" i="7"/>
  <c r="GV2" i="7"/>
  <c r="GW2" i="7"/>
  <c r="GX2" i="7"/>
  <c r="GY2" i="7"/>
  <c r="GZ2" i="7"/>
  <c r="HA2" i="7"/>
  <c r="HB2" i="7"/>
  <c r="HC2" i="7"/>
  <c r="HD2" i="7"/>
  <c r="HE2" i="7"/>
  <c r="HF2" i="7"/>
  <c r="HG2" i="7"/>
  <c r="HH2" i="7"/>
  <c r="HI2" i="7"/>
  <c r="HJ2" i="7"/>
  <c r="HK2" i="7"/>
  <c r="HL2" i="7"/>
  <c r="HM2" i="7"/>
  <c r="HN2" i="7"/>
  <c r="HO2" i="7"/>
  <c r="HP2" i="7"/>
  <c r="HQ2" i="7"/>
  <c r="HR2" i="7"/>
  <c r="HS2" i="7"/>
  <c r="HT2" i="7"/>
  <c r="HU2" i="7"/>
  <c r="HV2" i="7"/>
  <c r="HW2" i="7"/>
  <c r="HX2" i="7"/>
  <c r="HY2" i="7"/>
  <c r="HZ2" i="7"/>
  <c r="IA2" i="7"/>
  <c r="IB2" i="7"/>
  <c r="IC2" i="7"/>
  <c r="ID2" i="7"/>
  <c r="IE2" i="7"/>
  <c r="IF2" i="7"/>
  <c r="IG2" i="7"/>
  <c r="IH2" i="7"/>
  <c r="II2" i="7"/>
  <c r="IJ2" i="7"/>
  <c r="IK2" i="7"/>
  <c r="IL2" i="7"/>
  <c r="IM2" i="7"/>
  <c r="IN2" i="7"/>
  <c r="IO2" i="7"/>
  <c r="IP2" i="7"/>
  <c r="IQ2" i="7"/>
  <c r="IR2" i="7"/>
  <c r="IS2" i="7"/>
  <c r="IT2" i="7"/>
  <c r="IU2" i="7"/>
  <c r="IV2" i="7"/>
  <c r="IW2" i="7"/>
  <c r="IX2" i="7"/>
  <c r="IY2" i="7"/>
  <c r="IZ2" i="7"/>
  <c r="JA2" i="7"/>
  <c r="JB2" i="7"/>
  <c r="JC2" i="7"/>
  <c r="JD2" i="7"/>
  <c r="JE2" i="7"/>
  <c r="JF2" i="7"/>
  <c r="JG2" i="7"/>
  <c r="JH2" i="7"/>
  <c r="JI2" i="7"/>
  <c r="JJ2" i="7"/>
  <c r="JK2" i="7"/>
  <c r="JL2" i="7"/>
  <c r="JM2" i="7"/>
  <c r="JN2" i="7"/>
  <c r="JO2" i="7"/>
  <c r="JP2" i="7"/>
  <c r="JQ2" i="7"/>
  <c r="JR2" i="7"/>
  <c r="JS2" i="7"/>
  <c r="JT2" i="7"/>
  <c r="JU2" i="7"/>
  <c r="JV2" i="7"/>
  <c r="JW2" i="7"/>
  <c r="JX2" i="7"/>
  <c r="JY2" i="7"/>
  <c r="JZ2" i="7"/>
  <c r="KA2" i="7"/>
  <c r="KB2" i="7"/>
  <c r="KC2" i="7"/>
  <c r="KD2" i="7"/>
  <c r="KE2" i="7"/>
  <c r="KF2" i="7"/>
  <c r="KG2" i="7"/>
  <c r="KH2" i="7"/>
  <c r="KI2" i="7"/>
  <c r="KJ2" i="7"/>
  <c r="KK2" i="7"/>
  <c r="KL2" i="7"/>
  <c r="KM2" i="7"/>
  <c r="KN2" i="7"/>
  <c r="KO2" i="7"/>
  <c r="KP2" i="7"/>
  <c r="KQ2" i="7"/>
  <c r="KR2" i="7"/>
  <c r="KS2" i="7"/>
  <c r="KT2" i="7"/>
  <c r="KU2" i="7"/>
  <c r="KV2" i="7"/>
  <c r="KW2" i="7"/>
  <c r="KX2" i="7"/>
  <c r="KY2" i="7"/>
  <c r="KZ2" i="7"/>
  <c r="LA2" i="7"/>
  <c r="LB2" i="7"/>
  <c r="LC2" i="7"/>
  <c r="LD2" i="7"/>
  <c r="LE2" i="7"/>
  <c r="LF2" i="7"/>
  <c r="LG2" i="7"/>
  <c r="LH2" i="7"/>
  <c r="LI2" i="7"/>
  <c r="LJ2" i="7"/>
  <c r="LK2" i="7"/>
  <c r="LL2" i="7"/>
  <c r="LM2" i="7"/>
  <c r="LN2" i="7"/>
  <c r="LO2" i="7"/>
  <c r="LP2" i="7"/>
  <c r="LQ2" i="7"/>
  <c r="LR2" i="7"/>
  <c r="LS2" i="7"/>
  <c r="LT2" i="7"/>
  <c r="LU2" i="7"/>
  <c r="LV2" i="7"/>
  <c r="LW2" i="7"/>
  <c r="LX2" i="7"/>
  <c r="LY2" i="7"/>
  <c r="LZ2" i="7"/>
  <c r="MA2" i="7"/>
  <c r="MB2" i="7"/>
  <c r="MC2" i="7"/>
  <c r="MD2" i="7"/>
  <c r="ME2" i="7"/>
  <c r="MF2" i="7"/>
  <c r="MG2" i="7"/>
  <c r="MH2" i="7"/>
  <c r="MI2" i="7"/>
  <c r="MJ2" i="7"/>
  <c r="MK2" i="7"/>
  <c r="ML2" i="7"/>
  <c r="MM2" i="7"/>
  <c r="MN2" i="7"/>
  <c r="MO2" i="7"/>
  <c r="MP2" i="7"/>
  <c r="MQ2" i="7"/>
  <c r="MR2" i="7"/>
  <c r="MS2" i="7"/>
  <c r="MT2" i="7"/>
  <c r="MU2" i="7"/>
  <c r="MV2" i="7"/>
  <c r="MW2" i="7"/>
  <c r="MX2" i="7"/>
  <c r="MY2" i="7"/>
  <c r="MZ2" i="7"/>
  <c r="NA2" i="7"/>
  <c r="NB2" i="7"/>
  <c r="NC2" i="7"/>
  <c r="ND2" i="7"/>
  <c r="NE2" i="7"/>
  <c r="NF2" i="7"/>
  <c r="NG2" i="7"/>
  <c r="NH2" i="7"/>
  <c r="NI2" i="7"/>
  <c r="NJ2" i="7"/>
  <c r="NK2" i="7"/>
  <c r="NL2" i="7"/>
  <c r="NM2" i="7"/>
  <c r="NN2" i="7"/>
  <c r="NO2" i="7"/>
  <c r="NP2" i="7"/>
  <c r="NQ2" i="7"/>
  <c r="NR2" i="7"/>
  <c r="NS2" i="7"/>
  <c r="NT2" i="7"/>
  <c r="NU2" i="7"/>
  <c r="NV2" i="7"/>
  <c r="NW2" i="7"/>
  <c r="NX2" i="7"/>
  <c r="NY2" i="7"/>
  <c r="NZ2" i="7"/>
  <c r="OA2" i="7"/>
  <c r="OB2" i="7"/>
  <c r="OC2" i="7"/>
  <c r="OD2" i="7"/>
  <c r="OE2" i="7"/>
  <c r="OF2" i="7"/>
  <c r="OG2" i="7"/>
  <c r="OH2" i="7"/>
  <c r="OI2" i="7"/>
  <c r="OJ2" i="7"/>
  <c r="OK2" i="7"/>
  <c r="OL2" i="7"/>
  <c r="OM2" i="7"/>
  <c r="ON2" i="7"/>
  <c r="OO2" i="7"/>
  <c r="OP2" i="7"/>
  <c r="OQ2" i="7"/>
  <c r="OR2" i="7"/>
  <c r="OS2" i="7"/>
  <c r="OT2" i="7"/>
  <c r="OU2" i="7"/>
  <c r="OV2" i="7"/>
  <c r="OW2" i="7"/>
  <c r="OX2" i="7"/>
  <c r="OY2" i="7"/>
  <c r="OZ2" i="7"/>
  <c r="PA2" i="7"/>
  <c r="PB2" i="7"/>
  <c r="PC2" i="7"/>
  <c r="PD2" i="7"/>
  <c r="PE2" i="7"/>
  <c r="PF2" i="7"/>
  <c r="PG2" i="7"/>
  <c r="PH2" i="7"/>
  <c r="PI2" i="7"/>
  <c r="PJ2" i="7"/>
  <c r="PK2" i="7"/>
  <c r="PL2" i="7"/>
  <c r="PM2" i="7"/>
  <c r="PN2" i="7"/>
  <c r="PO2" i="7"/>
  <c r="PP2" i="7"/>
  <c r="PQ2" i="7"/>
  <c r="PR2" i="7"/>
  <c r="PS2" i="7"/>
  <c r="PT2" i="7"/>
  <c r="PU2" i="7"/>
  <c r="PV2" i="7"/>
  <c r="PW2" i="7"/>
  <c r="PX2" i="7"/>
  <c r="PY2" i="7"/>
  <c r="PZ2" i="7"/>
  <c r="QA2" i="7"/>
  <c r="QB2" i="7"/>
  <c r="QC2" i="7"/>
  <c r="QD2" i="7"/>
  <c r="QE2" i="7"/>
  <c r="QF2" i="7"/>
  <c r="QG2" i="7"/>
  <c r="QH2" i="7"/>
  <c r="QI2" i="7"/>
  <c r="QJ2" i="7"/>
  <c r="QK2" i="7"/>
  <c r="QL2" i="7"/>
  <c r="QM2" i="7"/>
  <c r="QN2" i="7"/>
  <c r="QO2" i="7"/>
  <c r="QP2" i="7"/>
  <c r="QQ2" i="7"/>
  <c r="QR2" i="7"/>
  <c r="QS2" i="7"/>
  <c r="QT2" i="7"/>
  <c r="QU2" i="7"/>
  <c r="QV2" i="7"/>
  <c r="QW2" i="7"/>
  <c r="QX2" i="7"/>
  <c r="QY2" i="7"/>
  <c r="QZ2" i="7"/>
  <c r="RA2" i="7"/>
  <c r="RB2" i="7"/>
  <c r="RC2" i="7"/>
  <c r="RD2" i="7"/>
  <c r="RE2" i="7"/>
  <c r="RF2" i="7"/>
  <c r="RG2" i="7"/>
  <c r="RH2" i="7"/>
  <c r="RI2" i="7"/>
  <c r="RJ2" i="7"/>
  <c r="RK2" i="7"/>
  <c r="RL2" i="7"/>
  <c r="RM2" i="7"/>
  <c r="RN2" i="7"/>
  <c r="RO2" i="7"/>
  <c r="RP2" i="7"/>
  <c r="RQ2" i="7"/>
  <c r="RR2" i="7"/>
  <c r="RS2" i="7"/>
  <c r="RT2" i="7"/>
  <c r="RU2" i="7"/>
  <c r="RV2" i="7"/>
  <c r="RW2" i="7"/>
  <c r="RX2" i="7"/>
  <c r="RY2" i="7"/>
  <c r="RZ2" i="7"/>
  <c r="SA2" i="7"/>
  <c r="SB2" i="7"/>
  <c r="SC2" i="7"/>
  <c r="SD2" i="7"/>
  <c r="SE2" i="7"/>
  <c r="SF2" i="7"/>
  <c r="SG2" i="7"/>
  <c r="SH2" i="7"/>
  <c r="SI2" i="7"/>
  <c r="SJ2" i="7"/>
  <c r="SK2" i="7"/>
  <c r="SL2" i="7"/>
  <c r="SM2" i="7"/>
  <c r="SN2" i="7"/>
  <c r="SO2" i="7"/>
  <c r="SP2" i="7"/>
  <c r="SQ2" i="7"/>
  <c r="SR2" i="7"/>
  <c r="SS2" i="7"/>
  <c r="ST2" i="7"/>
  <c r="SU2" i="7"/>
  <c r="SV2" i="7"/>
  <c r="SW2" i="7"/>
  <c r="SX2" i="7"/>
  <c r="SY2" i="7"/>
  <c r="SZ2" i="7"/>
  <c r="TA2" i="7"/>
  <c r="TB2" i="7"/>
  <c r="TC2" i="7"/>
  <c r="TD2" i="7"/>
  <c r="TE2" i="7"/>
  <c r="TF2" i="7"/>
  <c r="TG2" i="7"/>
  <c r="TH2" i="7"/>
  <c r="TI2" i="7"/>
  <c r="TJ2" i="7"/>
  <c r="TK2" i="7"/>
  <c r="TL2" i="7"/>
  <c r="TM2" i="7"/>
  <c r="TN2" i="7"/>
  <c r="TO2" i="7"/>
  <c r="TP2" i="7"/>
  <c r="TQ2" i="7"/>
  <c r="TR2" i="7"/>
  <c r="TS2" i="7"/>
  <c r="TT2" i="7"/>
  <c r="TU2" i="7"/>
  <c r="TV2" i="7"/>
  <c r="TW2" i="7"/>
  <c r="TX2" i="7"/>
  <c r="TY2" i="7"/>
  <c r="TZ2" i="7"/>
  <c r="UA2" i="7"/>
  <c r="UB2" i="7"/>
  <c r="UC2" i="7"/>
  <c r="UD2" i="7"/>
  <c r="UE2" i="7"/>
  <c r="UF2" i="7"/>
  <c r="UG2" i="7"/>
  <c r="UH2" i="7"/>
  <c r="UI2" i="7"/>
  <c r="UJ2" i="7"/>
  <c r="UK2" i="7"/>
  <c r="UL2" i="7"/>
  <c r="UM2" i="7"/>
  <c r="UN2" i="7"/>
  <c r="UO2" i="7"/>
  <c r="UP2" i="7"/>
  <c r="UQ2" i="7"/>
  <c r="UR2" i="7"/>
  <c r="US2" i="7"/>
  <c r="UT2" i="7"/>
  <c r="UU2" i="7"/>
  <c r="UV2" i="7"/>
  <c r="UW2" i="7"/>
  <c r="UX2" i="7"/>
  <c r="UY2" i="7"/>
  <c r="UZ2" i="7"/>
  <c r="VA2" i="7"/>
  <c r="VB2" i="7"/>
  <c r="VC2" i="7"/>
  <c r="VD2" i="7"/>
  <c r="VE2" i="7"/>
  <c r="VF2" i="7"/>
  <c r="VG2" i="7"/>
  <c r="VH2" i="7"/>
  <c r="VI2" i="7"/>
  <c r="VJ2" i="7"/>
  <c r="VK2" i="7"/>
  <c r="VL2" i="7"/>
  <c r="VM2" i="7"/>
  <c r="VN2" i="7"/>
  <c r="VO2" i="7"/>
  <c r="VP2" i="7"/>
  <c r="VQ2" i="7"/>
  <c r="VR2" i="7"/>
  <c r="VS2" i="7"/>
  <c r="VT2" i="7"/>
  <c r="VU2" i="7"/>
  <c r="VV2" i="7"/>
  <c r="VW2" i="7"/>
  <c r="VX2" i="7"/>
  <c r="VY2" i="7"/>
  <c r="VZ2" i="7"/>
  <c r="WA2" i="7"/>
  <c r="WB2" i="7"/>
  <c r="WC2" i="7"/>
  <c r="WD2" i="7"/>
  <c r="WE2" i="7"/>
  <c r="WF2" i="7"/>
  <c r="WG2" i="7"/>
  <c r="WH2" i="7"/>
  <c r="WI2" i="7"/>
  <c r="WJ2" i="7"/>
  <c r="WK2" i="7"/>
  <c r="WL2" i="7"/>
  <c r="WM2" i="7"/>
  <c r="WN2" i="7"/>
  <c r="WO2" i="7"/>
  <c r="WP2" i="7"/>
  <c r="WQ2" i="7"/>
  <c r="WR2" i="7"/>
  <c r="WS2" i="7"/>
  <c r="WT2" i="7"/>
  <c r="WU2" i="7"/>
  <c r="WV2" i="7"/>
  <c r="WW2" i="7"/>
  <c r="WX2" i="7"/>
  <c r="WY2" i="7"/>
  <c r="WZ2" i="7"/>
  <c r="XA2" i="7"/>
  <c r="XB2" i="7"/>
  <c r="XC2" i="7"/>
  <c r="XD2" i="7"/>
  <c r="XE2" i="7"/>
  <c r="XF2" i="7"/>
  <c r="XG2" i="7"/>
  <c r="XH2" i="7"/>
  <c r="XI2" i="7"/>
  <c r="XJ2" i="7"/>
  <c r="XK2" i="7"/>
  <c r="XL2" i="7"/>
  <c r="XM2" i="7"/>
  <c r="XN2" i="7"/>
  <c r="XO2" i="7"/>
  <c r="XP2" i="7"/>
  <c r="XQ2" i="7"/>
  <c r="XR2" i="7"/>
  <c r="XS2" i="7"/>
  <c r="XT2" i="7"/>
  <c r="XU2" i="7"/>
  <c r="XV2" i="7"/>
  <c r="XW2" i="7"/>
  <c r="XX2" i="7"/>
  <c r="XY2" i="7"/>
  <c r="XZ2" i="7"/>
  <c r="YA2" i="7"/>
  <c r="YB2" i="7"/>
  <c r="YC2" i="7"/>
  <c r="YD2" i="7"/>
  <c r="YE2" i="7"/>
  <c r="YF2" i="7"/>
  <c r="YG2" i="7"/>
  <c r="YH2" i="7"/>
  <c r="YI2" i="7"/>
  <c r="YJ2" i="7"/>
  <c r="YK2" i="7"/>
  <c r="YL2" i="7"/>
  <c r="YM2" i="7"/>
  <c r="YN2" i="7"/>
  <c r="YO2" i="7"/>
  <c r="YP2" i="7"/>
  <c r="YQ2" i="7"/>
  <c r="YR2" i="7"/>
  <c r="YS2" i="7"/>
  <c r="YT2" i="7"/>
  <c r="YU2" i="7"/>
  <c r="YV2" i="7"/>
  <c r="YW2" i="7"/>
  <c r="YX2" i="7"/>
  <c r="YY2" i="7"/>
  <c r="YZ2" i="7"/>
  <c r="ZA2" i="7"/>
  <c r="ZB2" i="7"/>
  <c r="ZC2" i="7"/>
  <c r="ZD2" i="7"/>
  <c r="ZE2" i="7"/>
  <c r="ZF2" i="7"/>
  <c r="ZG2" i="7"/>
  <c r="ZH2" i="7"/>
  <c r="ZI2" i="7"/>
  <c r="ZJ2" i="7"/>
  <c r="ZK2" i="7"/>
  <c r="ZL2" i="7"/>
  <c r="ZM2" i="7"/>
  <c r="ZN2" i="7"/>
  <c r="ZO2" i="7"/>
  <c r="ZP2" i="7"/>
  <c r="ZQ2" i="7"/>
  <c r="ZR2" i="7"/>
  <c r="ZS2" i="7"/>
  <c r="ZT2" i="7"/>
  <c r="ZU2" i="7"/>
  <c r="ZV2" i="7"/>
  <c r="ZW2" i="7"/>
  <c r="ZX2" i="7"/>
  <c r="ZY2" i="7"/>
  <c r="ZZ2" i="7"/>
  <c r="AAA2" i="7"/>
  <c r="AAB2" i="7"/>
  <c r="AAC2" i="7"/>
  <c r="AAD2" i="7"/>
  <c r="AAE2" i="7"/>
  <c r="AAF2" i="7"/>
  <c r="AAG2" i="7"/>
  <c r="AAH2" i="7"/>
  <c r="AAI2" i="7"/>
  <c r="AAJ2" i="7"/>
  <c r="AAK2" i="7"/>
  <c r="AAL2" i="7"/>
  <c r="AAM2" i="7"/>
  <c r="AAN2" i="7"/>
  <c r="AAO2" i="7"/>
  <c r="AAP2" i="7"/>
  <c r="AAQ2" i="7"/>
  <c r="AAR2" i="7"/>
  <c r="AAS2" i="7"/>
  <c r="AAT2" i="7"/>
  <c r="AAU2" i="7"/>
  <c r="AAV2" i="7"/>
  <c r="AAW2" i="7"/>
  <c r="AAX2" i="7"/>
  <c r="AAY2" i="7"/>
  <c r="AAZ2" i="7"/>
  <c r="ABA2" i="7"/>
  <c r="ABB2" i="7"/>
  <c r="ABC2" i="7"/>
  <c r="ABD2" i="7"/>
  <c r="ABE2" i="7"/>
  <c r="ABF2" i="7"/>
  <c r="ABG2" i="7"/>
  <c r="ABH2" i="7"/>
  <c r="ABI2" i="7"/>
  <c r="ABJ2" i="7"/>
  <c r="ABK2" i="7"/>
  <c r="ABL2" i="7"/>
  <c r="ABM2" i="7"/>
  <c r="ABN2" i="7"/>
  <c r="ABO2" i="7"/>
  <c r="ABP2" i="7"/>
  <c r="ABQ2" i="7"/>
  <c r="ABR2" i="7"/>
  <c r="ABS2" i="7"/>
  <c r="ABT2" i="7"/>
  <c r="ABU2" i="7"/>
  <c r="ABV2" i="7"/>
  <c r="ABW2" i="7"/>
  <c r="ABX2" i="7"/>
  <c r="ABY2" i="7"/>
  <c r="ABZ2" i="7"/>
  <c r="ACA2" i="7"/>
  <c r="ACB2" i="7"/>
  <c r="ACC2" i="7"/>
  <c r="ACD2" i="7"/>
  <c r="ACE2" i="7"/>
  <c r="ACF2" i="7"/>
  <c r="ACG2" i="7"/>
  <c r="ACH2" i="7"/>
  <c r="ACI2" i="7"/>
  <c r="ACJ2" i="7"/>
  <c r="ACK2" i="7"/>
  <c r="ACL2" i="7"/>
  <c r="ACM2" i="7"/>
  <c r="ACN2" i="7"/>
  <c r="ACO2" i="7"/>
  <c r="ACP2" i="7"/>
  <c r="ACQ2" i="7"/>
  <c r="ACR2" i="7"/>
  <c r="ACS2" i="7"/>
  <c r="ACT2" i="7"/>
  <c r="ACU2" i="7"/>
  <c r="ACV2" i="7"/>
  <c r="ACW2" i="7"/>
  <c r="ACX2" i="7"/>
  <c r="ACY2" i="7"/>
  <c r="ACZ2" i="7"/>
  <c r="ADA2" i="7"/>
  <c r="ADB2" i="7"/>
  <c r="ADC2" i="7"/>
  <c r="ADD2" i="7"/>
  <c r="ADE2" i="7"/>
  <c r="ADF2" i="7"/>
  <c r="ADG2" i="7"/>
  <c r="ADH2" i="7"/>
  <c r="ADI2" i="7"/>
  <c r="ADJ2" i="7"/>
  <c r="ADK2" i="7"/>
  <c r="ADL2" i="7"/>
  <c r="ADM2" i="7"/>
  <c r="ADN2" i="7"/>
  <c r="ADO2" i="7"/>
  <c r="ADP2" i="7"/>
  <c r="ADQ2" i="7"/>
  <c r="ADR2" i="7"/>
  <c r="ADS2" i="7"/>
  <c r="ADT2" i="7"/>
  <c r="ADU2" i="7"/>
  <c r="ADV2" i="7"/>
  <c r="ADW2" i="7"/>
  <c r="ADX2" i="7"/>
  <c r="ADY2" i="7"/>
  <c r="ADZ2" i="7"/>
  <c r="AEA2" i="7"/>
  <c r="AEB2" i="7"/>
  <c r="AEC2" i="7"/>
  <c r="AED2" i="7"/>
  <c r="AEE2" i="7"/>
  <c r="AEF2" i="7"/>
  <c r="AEG2" i="7"/>
  <c r="AEH2" i="7"/>
  <c r="AEI2" i="7"/>
  <c r="AEJ2" i="7"/>
  <c r="AEK2" i="7"/>
  <c r="AEL2" i="7"/>
  <c r="AEM2" i="7"/>
  <c r="AEN2" i="7"/>
  <c r="AEO2" i="7"/>
  <c r="AEP2" i="7"/>
  <c r="AEQ2" i="7"/>
  <c r="AER2" i="7"/>
  <c r="AES2" i="7"/>
  <c r="AET2" i="7"/>
  <c r="AEU2" i="7"/>
  <c r="AEV2" i="7"/>
  <c r="AEW2" i="7"/>
  <c r="AEX2" i="7"/>
  <c r="AEY2" i="7"/>
  <c r="AEZ2" i="7"/>
  <c r="AFA2" i="7"/>
  <c r="AFB2" i="7"/>
  <c r="AFC2" i="7"/>
  <c r="AFD2" i="7"/>
  <c r="AFE2" i="7"/>
  <c r="AFF2" i="7"/>
  <c r="AFG2" i="7"/>
  <c r="AFH2" i="7"/>
  <c r="AFI2" i="7"/>
  <c r="AFJ2" i="7"/>
  <c r="AFK2" i="7"/>
  <c r="AFL2" i="7"/>
  <c r="AFM2" i="7"/>
  <c r="AFN2" i="7"/>
  <c r="AFO2" i="7"/>
  <c r="AFP2" i="7"/>
  <c r="AFQ2" i="7"/>
  <c r="AFR2" i="7"/>
  <c r="AFS2" i="7"/>
  <c r="AFT2" i="7"/>
  <c r="AFU2" i="7"/>
  <c r="AFV2" i="7"/>
  <c r="AFW2" i="7"/>
  <c r="AFX2" i="7"/>
  <c r="AFY2" i="7"/>
  <c r="AFZ2" i="7"/>
  <c r="AGA2" i="7"/>
  <c r="AGB2" i="7"/>
  <c r="AGC2" i="7"/>
  <c r="AGD2" i="7"/>
  <c r="AGE2" i="7"/>
  <c r="AGF2" i="7"/>
  <c r="AGG2" i="7"/>
  <c r="AGH2" i="7"/>
  <c r="AGI2" i="7"/>
  <c r="AGJ2" i="7"/>
  <c r="AGK2" i="7"/>
  <c r="AGL2" i="7"/>
  <c r="AGM2" i="7"/>
  <c r="AGN2" i="7"/>
  <c r="AGO2" i="7"/>
  <c r="AGP2" i="7"/>
  <c r="AGQ2" i="7"/>
  <c r="AGR2" i="7"/>
  <c r="AGS2" i="7"/>
  <c r="AGT2" i="7"/>
  <c r="AGU2" i="7"/>
  <c r="AGV2" i="7"/>
  <c r="AGW2" i="7"/>
  <c r="AGX2" i="7"/>
  <c r="AGY2" i="7"/>
  <c r="AGZ2" i="7"/>
  <c r="AHA2" i="7"/>
  <c r="AHB2" i="7"/>
  <c r="AHC2" i="7"/>
  <c r="AHD2" i="7"/>
  <c r="AHE2" i="7"/>
  <c r="AHF2" i="7"/>
  <c r="AHG2" i="7"/>
  <c r="AHH2" i="7"/>
  <c r="AHI2" i="7"/>
  <c r="AHJ2" i="7"/>
  <c r="AHK2" i="7"/>
  <c r="AHL2" i="7"/>
  <c r="AHM2" i="7"/>
  <c r="AHN2" i="7"/>
  <c r="AHO2" i="7"/>
  <c r="AHP2" i="7"/>
  <c r="AHQ2" i="7"/>
  <c r="AHR2" i="7"/>
  <c r="AHS2" i="7"/>
  <c r="AHT2" i="7"/>
  <c r="AHU2" i="7"/>
  <c r="AHV2" i="7"/>
  <c r="AHW2" i="7"/>
  <c r="AHX2" i="7"/>
  <c r="AHY2" i="7"/>
  <c r="AHZ2" i="7"/>
  <c r="AIA2" i="7"/>
  <c r="AIB2" i="7"/>
  <c r="AIC2" i="7"/>
  <c r="AID2" i="7"/>
  <c r="AIE2" i="7"/>
  <c r="AIF2" i="7"/>
  <c r="AIG2" i="7"/>
  <c r="AIH2" i="7"/>
  <c r="AII2" i="7"/>
  <c r="AIJ2" i="7"/>
  <c r="AIK2" i="7"/>
  <c r="AIL2" i="7"/>
  <c r="AIM2" i="7"/>
  <c r="AIN2" i="7"/>
  <c r="AIO2" i="7"/>
  <c r="AIP2" i="7"/>
  <c r="AIQ2" i="7"/>
  <c r="AIR2" i="7"/>
  <c r="AIS2" i="7"/>
  <c r="AIT2" i="7"/>
  <c r="AIU2" i="7"/>
  <c r="AIV2" i="7"/>
  <c r="AIW2" i="7"/>
  <c r="AIX2" i="7"/>
  <c r="AIY2" i="7"/>
  <c r="AIZ2" i="7"/>
  <c r="AJA2" i="7"/>
  <c r="AJB2" i="7"/>
  <c r="AJC2" i="7"/>
  <c r="AJD2" i="7"/>
  <c r="AJE2" i="7"/>
  <c r="AJF2" i="7"/>
  <c r="AJG2" i="7"/>
  <c r="AJH2" i="7"/>
  <c r="AJI2" i="7"/>
  <c r="AJJ2" i="7"/>
  <c r="AJK2" i="7"/>
  <c r="AJL2" i="7"/>
  <c r="AJM2" i="7"/>
  <c r="AJN2" i="7"/>
  <c r="AJO2" i="7"/>
  <c r="AJP2" i="7"/>
  <c r="AJQ2" i="7"/>
  <c r="AJR2" i="7"/>
  <c r="AJS2" i="7"/>
  <c r="AJT2" i="7"/>
  <c r="AJU2" i="7"/>
  <c r="AJV2" i="7"/>
  <c r="AJW2" i="7"/>
  <c r="AJX2" i="7"/>
  <c r="AJY2" i="7"/>
  <c r="AJZ2" i="7"/>
  <c r="AKA2" i="7"/>
  <c r="AKB2" i="7"/>
  <c r="AKC2" i="7"/>
  <c r="AKD2" i="7"/>
  <c r="AKE2" i="7"/>
  <c r="AKF2" i="7"/>
  <c r="AKG2" i="7"/>
  <c r="AKH2" i="7"/>
  <c r="AKI2" i="7"/>
  <c r="AKJ2" i="7"/>
  <c r="AKK2" i="7"/>
  <c r="AKL2" i="7"/>
  <c r="AKM2" i="7"/>
  <c r="AKN2" i="7"/>
  <c r="AKO2" i="7"/>
  <c r="AKP2" i="7"/>
  <c r="AKQ2" i="7"/>
  <c r="AKR2" i="7"/>
  <c r="AKS2" i="7"/>
  <c r="AKT2" i="7"/>
  <c r="AKU2" i="7"/>
  <c r="AKV2" i="7"/>
  <c r="AKW2" i="7"/>
  <c r="AKX2" i="7"/>
  <c r="AKY2" i="7"/>
  <c r="AKZ2" i="7"/>
  <c r="ALA2" i="7"/>
  <c r="ALB2" i="7"/>
  <c r="ALC2" i="7"/>
  <c r="ALD2" i="7"/>
  <c r="ALE2" i="7"/>
  <c r="ALF2" i="7"/>
  <c r="ALG2" i="7"/>
  <c r="ALH2" i="7"/>
  <c r="ALI2" i="7"/>
  <c r="ALJ2" i="7"/>
  <c r="ALK2" i="7"/>
  <c r="ALL2" i="7"/>
  <c r="ALM2" i="7"/>
  <c r="ALN2" i="7"/>
  <c r="ALO2" i="7"/>
  <c r="ALP2" i="7"/>
  <c r="ALQ2" i="7"/>
  <c r="ALR2" i="7"/>
  <c r="ALS2" i="7"/>
  <c r="ALT2" i="7"/>
  <c r="ALU2" i="7"/>
  <c r="ALV2" i="7"/>
  <c r="ALW2" i="7"/>
  <c r="ALX2" i="7"/>
  <c r="ALY2" i="7"/>
  <c r="ALZ2" i="7"/>
  <c r="AMA2" i="7"/>
  <c r="AMB2" i="7"/>
  <c r="AMC2" i="7"/>
  <c r="AMD2" i="7"/>
  <c r="AME2" i="7"/>
  <c r="AMF2" i="7"/>
  <c r="AMG2" i="7"/>
  <c r="AMH2" i="7"/>
  <c r="AMI2" i="7"/>
  <c r="AMJ2" i="7"/>
  <c r="AMK2" i="7"/>
  <c r="AML2" i="7"/>
  <c r="AMM2" i="7"/>
  <c r="AMN2" i="7"/>
  <c r="AMO2" i="7"/>
  <c r="AMP2" i="7"/>
  <c r="AMQ2" i="7"/>
  <c r="AMR2" i="7"/>
  <c r="AMS2" i="7"/>
  <c r="AMT2" i="7"/>
  <c r="AMU2" i="7"/>
  <c r="AMV2" i="7"/>
  <c r="AMW2" i="7"/>
  <c r="AMX2" i="7"/>
  <c r="AMY2" i="7"/>
  <c r="AMZ2" i="7"/>
  <c r="ANA2" i="7"/>
  <c r="ANB2" i="7"/>
  <c r="ANC2" i="7"/>
  <c r="AND2" i="7"/>
  <c r="ANE2" i="7"/>
  <c r="ANF2" i="7"/>
  <c r="ANG2" i="7"/>
  <c r="ANH2" i="7"/>
  <c r="ANI2" i="7"/>
  <c r="ANJ2" i="7"/>
  <c r="ANK2" i="7"/>
  <c r="ANL2" i="7"/>
  <c r="ANM2" i="7"/>
  <c r="ANN2" i="7"/>
  <c r="ANO2" i="7"/>
  <c r="ANP2" i="7"/>
  <c r="ANQ2" i="7"/>
  <c r="ANR2" i="7"/>
  <c r="ANS2" i="7"/>
  <c r="ANT2" i="7"/>
  <c r="ANU2" i="7"/>
  <c r="ANV2" i="7"/>
  <c r="ANW2" i="7"/>
  <c r="ANX2" i="7"/>
  <c r="ANY2" i="7"/>
  <c r="ANZ2" i="7"/>
  <c r="AOA2" i="7"/>
  <c r="AOB2" i="7"/>
  <c r="AOC2" i="7"/>
  <c r="AOD2" i="7"/>
  <c r="AOE2" i="7"/>
  <c r="AOF2" i="7"/>
  <c r="AOG2" i="7"/>
  <c r="AOH2" i="7"/>
  <c r="AOI2" i="7"/>
  <c r="AOJ2" i="7"/>
  <c r="AOK2" i="7"/>
  <c r="AOL2" i="7"/>
  <c r="AOM2" i="7"/>
  <c r="AON2" i="7"/>
  <c r="AOO2" i="7"/>
  <c r="AOP2" i="7"/>
  <c r="AOQ2" i="7"/>
  <c r="AOR2" i="7"/>
  <c r="AOS2" i="7"/>
  <c r="AOT2" i="7"/>
  <c r="AOU2" i="7"/>
  <c r="AOV2" i="7"/>
  <c r="AOW2" i="7"/>
  <c r="AOX2" i="7"/>
  <c r="AOY2" i="7"/>
  <c r="AOZ2" i="7"/>
  <c r="APA2" i="7"/>
  <c r="APB2" i="7"/>
  <c r="APC2" i="7"/>
  <c r="APD2" i="7"/>
  <c r="APE2" i="7"/>
  <c r="APF2" i="7"/>
  <c r="APG2" i="7"/>
  <c r="APH2" i="7"/>
  <c r="API2" i="7"/>
  <c r="APJ2" i="7"/>
  <c r="APK2" i="7"/>
  <c r="APL2" i="7"/>
  <c r="APM2" i="7"/>
  <c r="APN2" i="7"/>
  <c r="APO2" i="7"/>
  <c r="APP2" i="7"/>
  <c r="APQ2" i="7"/>
  <c r="APR2" i="7"/>
  <c r="APS2" i="7"/>
  <c r="APT2" i="7"/>
  <c r="APU2" i="7"/>
  <c r="APV2" i="7"/>
  <c r="APW2" i="7"/>
  <c r="APX2" i="7"/>
  <c r="APY2" i="7"/>
  <c r="APZ2" i="7"/>
  <c r="AQA2" i="7"/>
  <c r="AQB2" i="7"/>
  <c r="AQC2" i="7"/>
  <c r="AQD2" i="7"/>
  <c r="AQE2" i="7"/>
  <c r="AQF2" i="7"/>
  <c r="AQG2" i="7"/>
  <c r="AQH2" i="7"/>
  <c r="AQI2" i="7"/>
  <c r="AQJ2" i="7"/>
  <c r="AQK2" i="7"/>
  <c r="AQL2" i="7"/>
  <c r="AQM2" i="7"/>
  <c r="AQN2" i="7"/>
  <c r="AQO2" i="7"/>
  <c r="AQP2" i="7"/>
  <c r="AQQ2" i="7"/>
  <c r="AQR2" i="7"/>
  <c r="AQS2" i="7"/>
  <c r="AQT2" i="7"/>
  <c r="AQU2" i="7"/>
  <c r="AQV2" i="7"/>
  <c r="AQW2" i="7"/>
  <c r="AQX2" i="7"/>
  <c r="AQY2" i="7"/>
  <c r="AQZ2" i="7"/>
  <c r="ARA2" i="7"/>
  <c r="ARB2" i="7"/>
  <c r="ARC2" i="7"/>
  <c r="ARD2" i="7"/>
  <c r="ARE2" i="7"/>
  <c r="ARF2" i="7"/>
  <c r="ARG2" i="7"/>
  <c r="ARH2" i="7"/>
  <c r="ARI2" i="7"/>
  <c r="ARJ2" i="7"/>
  <c r="ARK2" i="7"/>
  <c r="ARL2" i="7"/>
  <c r="ARM2" i="7"/>
  <c r="ARN2" i="7"/>
  <c r="ARO2" i="7"/>
  <c r="ARP2" i="7"/>
  <c r="ARQ2" i="7"/>
  <c r="ARR2" i="7"/>
  <c r="ARS2" i="7"/>
  <c r="ART2" i="7"/>
  <c r="ARU2" i="7"/>
  <c r="ARV2" i="7"/>
  <c r="ARW2" i="7"/>
  <c r="ARX2" i="7"/>
  <c r="ARY2" i="7"/>
  <c r="ARZ2" i="7"/>
  <c r="ASA2" i="7"/>
  <c r="ASB2" i="7"/>
  <c r="ASC2" i="7"/>
  <c r="ASD2" i="7"/>
  <c r="ASE2" i="7"/>
  <c r="ASF2" i="7"/>
  <c r="ASG2" i="7"/>
  <c r="ASH2" i="7"/>
  <c r="ASI2" i="7"/>
  <c r="ASJ2" i="7"/>
  <c r="ASK2" i="7"/>
  <c r="ASL2" i="7"/>
  <c r="ASM2" i="7"/>
  <c r="ASN2" i="7"/>
  <c r="ASO2" i="7"/>
  <c r="ASP2" i="7"/>
  <c r="ASQ2" i="7"/>
  <c r="ASR2" i="7"/>
  <c r="ASS2" i="7"/>
  <c r="AST2" i="7"/>
  <c r="ASU2" i="7"/>
  <c r="ASV2" i="7"/>
  <c r="ASW2" i="7"/>
  <c r="ASX2" i="7"/>
  <c r="ASY2" i="7"/>
  <c r="ASZ2" i="7"/>
  <c r="ATA2" i="7"/>
  <c r="ATB2" i="7"/>
  <c r="ATC2" i="7"/>
  <c r="ATD2" i="7"/>
  <c r="ATE2" i="7"/>
  <c r="ATF2" i="7"/>
  <c r="ATG2" i="7"/>
  <c r="ATH2" i="7"/>
  <c r="ATI2" i="7"/>
  <c r="ATJ2" i="7"/>
  <c r="ATK2" i="7"/>
  <c r="ATL2" i="7"/>
  <c r="ATM2" i="7"/>
  <c r="ATN2" i="7"/>
  <c r="ATO2" i="7"/>
  <c r="ATP2" i="7"/>
  <c r="ATQ2" i="7"/>
  <c r="ATR2" i="7"/>
  <c r="ATS2" i="7"/>
  <c r="ATT2" i="7"/>
  <c r="ATU2" i="7"/>
  <c r="ATV2" i="7"/>
  <c r="ATW2" i="7"/>
  <c r="ATX2" i="7"/>
  <c r="ATY2" i="7"/>
  <c r="ATZ2" i="7"/>
  <c r="AUA2" i="7"/>
  <c r="AUB2" i="7"/>
  <c r="AUC2" i="7"/>
  <c r="AUD2" i="7"/>
  <c r="AUE2" i="7"/>
  <c r="AUF2" i="7"/>
  <c r="AUG2" i="7"/>
  <c r="AUH2" i="7"/>
  <c r="AUI2" i="7"/>
  <c r="AUJ2" i="7"/>
  <c r="AUK2" i="7"/>
  <c r="AUL2" i="7"/>
  <c r="AUM2" i="7"/>
  <c r="AUN2" i="7"/>
  <c r="AUO2" i="7"/>
  <c r="AUP2" i="7"/>
  <c r="AUQ2" i="7"/>
  <c r="AUR2" i="7"/>
  <c r="AUS2" i="7"/>
  <c r="AUT2" i="7"/>
  <c r="AUU2" i="7"/>
  <c r="AUV2" i="7"/>
  <c r="AUW2" i="7"/>
  <c r="AUX2" i="7"/>
  <c r="AUY2" i="7"/>
  <c r="AUZ2" i="7"/>
  <c r="AVA2" i="7"/>
  <c r="AVB2" i="7"/>
  <c r="AVC2" i="7"/>
  <c r="AVD2" i="7"/>
  <c r="AVE2" i="7"/>
  <c r="AVF2" i="7"/>
  <c r="AVG2" i="7"/>
  <c r="AVH2" i="7"/>
  <c r="AVI2" i="7"/>
  <c r="AVJ2" i="7"/>
  <c r="AVK2" i="7"/>
  <c r="AVL2" i="7"/>
  <c r="AVM2" i="7"/>
  <c r="AVN2" i="7"/>
  <c r="AVO2" i="7"/>
  <c r="AVP2" i="7"/>
  <c r="AVQ2" i="7"/>
  <c r="AVR2" i="7"/>
  <c r="AVS2" i="7"/>
  <c r="AVT2" i="7"/>
  <c r="AVU2" i="7"/>
  <c r="AVV2" i="7"/>
  <c r="AVW2" i="7"/>
  <c r="AVX2" i="7"/>
  <c r="AVY2" i="7"/>
  <c r="AVZ2" i="7"/>
  <c r="AWA2" i="7"/>
  <c r="AWB2" i="7"/>
  <c r="AWC2" i="7"/>
  <c r="AWD2" i="7"/>
  <c r="AWE2" i="7"/>
  <c r="AWF2" i="7"/>
  <c r="AWG2" i="7"/>
  <c r="AWH2" i="7"/>
  <c r="AWI2" i="7"/>
  <c r="AWJ2" i="7"/>
  <c r="AWK2" i="7"/>
  <c r="AWL2" i="7"/>
  <c r="AWM2" i="7"/>
  <c r="AWN2" i="7"/>
  <c r="AWO2" i="7"/>
  <c r="AWP2" i="7"/>
  <c r="AWQ2" i="7"/>
  <c r="AWR2" i="7"/>
  <c r="AWS2" i="7"/>
  <c r="AWT2" i="7"/>
  <c r="AWU2" i="7"/>
  <c r="AWV2" i="7"/>
  <c r="AWW2" i="7"/>
  <c r="AWX2" i="7"/>
  <c r="AWY2" i="7"/>
  <c r="AWZ2" i="7"/>
  <c r="AXA2" i="7"/>
  <c r="AXB2" i="7"/>
  <c r="AXC2" i="7"/>
  <c r="AXD2" i="7"/>
  <c r="AXE2" i="7"/>
  <c r="AXF2" i="7"/>
  <c r="AXG2" i="7"/>
  <c r="AXH2" i="7"/>
  <c r="AXI2" i="7"/>
  <c r="AXJ2" i="7"/>
  <c r="AXK2" i="7"/>
  <c r="AXL2" i="7"/>
  <c r="AXM2" i="7"/>
  <c r="AXN2" i="7"/>
  <c r="AXO2" i="7"/>
  <c r="AXP2" i="7"/>
  <c r="AXQ2" i="7"/>
  <c r="AXR2" i="7"/>
  <c r="AXS2" i="7"/>
  <c r="AXT2" i="7"/>
  <c r="AXU2" i="7"/>
  <c r="AXV2" i="7"/>
  <c r="AXW2" i="7"/>
  <c r="AXX2" i="7"/>
  <c r="AXY2" i="7"/>
  <c r="AXZ2" i="7"/>
  <c r="AYA2" i="7"/>
  <c r="AYB2" i="7"/>
  <c r="AYC2" i="7"/>
  <c r="AYD2" i="7"/>
  <c r="AYE2" i="7"/>
  <c r="AYF2" i="7"/>
  <c r="AYG2" i="7"/>
  <c r="AYH2" i="7"/>
  <c r="AYI2" i="7"/>
  <c r="AYJ2" i="7"/>
  <c r="AYK2" i="7"/>
  <c r="AYL2" i="7"/>
  <c r="AYM2" i="7"/>
  <c r="AYN2" i="7"/>
  <c r="AYO2" i="7"/>
  <c r="AYP2" i="7"/>
  <c r="AYQ2" i="7"/>
  <c r="AYR2" i="7"/>
  <c r="AYS2" i="7"/>
  <c r="AYT2" i="7"/>
  <c r="AYU2" i="7"/>
  <c r="AYV2" i="7"/>
  <c r="AYW2" i="7"/>
  <c r="AYX2" i="7"/>
  <c r="AYY2" i="7"/>
  <c r="AYZ2" i="7"/>
  <c r="AZA2" i="7"/>
  <c r="AZB2" i="7"/>
  <c r="AZC2" i="7"/>
  <c r="AZD2" i="7"/>
  <c r="AZE2" i="7"/>
  <c r="AZF2" i="7"/>
  <c r="AZG2" i="7"/>
  <c r="AZH2" i="7"/>
  <c r="AZI2" i="7"/>
  <c r="AZJ2" i="7"/>
  <c r="AZK2" i="7"/>
  <c r="AZL2" i="7"/>
  <c r="AZM2" i="7"/>
  <c r="AZN2" i="7"/>
  <c r="AZO2" i="7"/>
  <c r="AZP2" i="7"/>
  <c r="AZQ2" i="7"/>
  <c r="AZR2" i="7"/>
  <c r="AZS2" i="7"/>
  <c r="AZT2" i="7"/>
  <c r="AZU2" i="7"/>
  <c r="AZV2" i="7"/>
  <c r="AZW2" i="7"/>
  <c r="AZX2" i="7"/>
  <c r="AZY2" i="7"/>
  <c r="AZZ2" i="7"/>
  <c r="BAA2" i="7"/>
  <c r="BAB2" i="7"/>
  <c r="BAC2" i="7"/>
  <c r="BAD2" i="7"/>
  <c r="BAE2" i="7"/>
  <c r="BAF2" i="7"/>
  <c r="BAG2" i="7"/>
  <c r="BAH2" i="7"/>
  <c r="BAI2" i="7"/>
  <c r="BAJ2" i="7"/>
  <c r="BAK2" i="7"/>
  <c r="BAL2" i="7"/>
  <c r="BAM2" i="7"/>
  <c r="BAN2" i="7"/>
  <c r="BAO2" i="7"/>
  <c r="BAP2" i="7"/>
  <c r="BAQ2" i="7"/>
  <c r="BAR2" i="7"/>
  <c r="BAS2" i="7"/>
  <c r="BAT2" i="7"/>
  <c r="BAU2" i="7"/>
  <c r="BAV2" i="7"/>
  <c r="BAW2" i="7"/>
  <c r="BAX2" i="7"/>
  <c r="BAY2" i="7"/>
  <c r="BAZ2" i="7"/>
  <c r="BBA2" i="7"/>
  <c r="BBB2" i="7"/>
  <c r="BBC2" i="7"/>
  <c r="BBD2" i="7"/>
  <c r="BBE2" i="7"/>
  <c r="BBF2" i="7"/>
  <c r="BBG2" i="7"/>
  <c r="BBH2" i="7"/>
  <c r="BBI2" i="7"/>
  <c r="BBJ2" i="7"/>
  <c r="BBK2" i="7"/>
  <c r="BBL2" i="7"/>
  <c r="BBM2" i="7"/>
  <c r="BBN2" i="7"/>
  <c r="BBO2" i="7"/>
  <c r="BBP2" i="7"/>
  <c r="BBQ2" i="7"/>
  <c r="BBR2" i="7"/>
  <c r="BBS2" i="7"/>
  <c r="BBT2" i="7"/>
  <c r="BBU2" i="7"/>
  <c r="BBV2" i="7"/>
  <c r="BBW2" i="7"/>
  <c r="BBX2" i="7"/>
  <c r="BBY2" i="7"/>
  <c r="BBZ2" i="7"/>
  <c r="BCA2" i="7"/>
  <c r="BCB2" i="7"/>
  <c r="BCC2" i="7"/>
  <c r="BCD2" i="7"/>
  <c r="BCE2" i="7"/>
  <c r="BCF2" i="7"/>
  <c r="BCG2" i="7"/>
  <c r="BCH2" i="7"/>
  <c r="BCI2" i="7"/>
  <c r="BCJ2" i="7"/>
  <c r="BCK2" i="7"/>
  <c r="BCL2" i="7"/>
  <c r="BCM2" i="7"/>
  <c r="BCN2" i="7"/>
  <c r="BCO2" i="7"/>
  <c r="BCP2" i="7"/>
  <c r="BCQ2" i="7"/>
  <c r="BCR2" i="7"/>
  <c r="BCS2" i="7"/>
  <c r="BCT2" i="7"/>
  <c r="BCU2" i="7"/>
  <c r="BCV2" i="7"/>
  <c r="BCW2" i="7"/>
  <c r="BCX2" i="7"/>
  <c r="BCY2" i="7"/>
  <c r="BCZ2" i="7"/>
  <c r="BDA2" i="7"/>
  <c r="BDB2" i="7"/>
  <c r="BDC2" i="7"/>
  <c r="BDD2" i="7"/>
  <c r="BDE2" i="7"/>
  <c r="BDF2" i="7"/>
  <c r="BDG2" i="7"/>
  <c r="BDH2" i="7"/>
  <c r="BDI2" i="7"/>
  <c r="BDJ2" i="7"/>
  <c r="BDK2" i="7"/>
  <c r="BDL2" i="7"/>
  <c r="BDM2" i="7"/>
  <c r="BDN2" i="7"/>
  <c r="BDO2" i="7"/>
  <c r="BDP2" i="7"/>
  <c r="BDQ2" i="7"/>
  <c r="BDR2" i="7"/>
  <c r="BDS2" i="7"/>
  <c r="BDT2" i="7"/>
  <c r="BDU2" i="7"/>
  <c r="BDV2" i="7"/>
  <c r="BDW2" i="7"/>
  <c r="BDX2" i="7"/>
  <c r="BDY2" i="7"/>
  <c r="BDZ2" i="7"/>
  <c r="BEA2" i="7"/>
  <c r="BEB2" i="7"/>
  <c r="BEC2" i="7"/>
  <c r="BED2" i="7"/>
  <c r="BEE2" i="7"/>
  <c r="BEF2" i="7"/>
  <c r="BEG2" i="7"/>
  <c r="BEH2" i="7"/>
  <c r="BEI2" i="7"/>
  <c r="BEJ2" i="7"/>
  <c r="BEK2" i="7"/>
  <c r="BEL2" i="7"/>
  <c r="BEM2" i="7"/>
  <c r="BEN2" i="7"/>
  <c r="BEO2" i="7"/>
  <c r="BEP2" i="7"/>
  <c r="BEQ2" i="7"/>
  <c r="BER2" i="7"/>
  <c r="BES2" i="7"/>
  <c r="BET2" i="7"/>
  <c r="BEU2" i="7"/>
  <c r="BEV2" i="7"/>
  <c r="BEW2" i="7"/>
  <c r="BEX2" i="7"/>
  <c r="BEY2" i="7"/>
  <c r="BEZ2" i="7"/>
  <c r="BFA2" i="7"/>
  <c r="BFB2" i="7"/>
  <c r="BFC2" i="7"/>
  <c r="BFD2" i="7"/>
  <c r="BFE2" i="7"/>
  <c r="BFF2" i="7"/>
  <c r="BFG2" i="7"/>
  <c r="BFH2" i="7"/>
  <c r="BFI2" i="7"/>
  <c r="BFJ2" i="7"/>
  <c r="BFK2" i="7"/>
  <c r="BFL2" i="7"/>
  <c r="BFM2" i="7"/>
  <c r="BFN2" i="7"/>
  <c r="BFO2" i="7"/>
  <c r="BFP2" i="7"/>
  <c r="BFQ2" i="7"/>
  <c r="BFR2" i="7"/>
  <c r="BFS2" i="7"/>
  <c r="BFT2" i="7"/>
  <c r="BFU2" i="7"/>
  <c r="BFV2" i="7"/>
  <c r="BFW2" i="7"/>
  <c r="BFX2" i="7"/>
  <c r="BFY2" i="7"/>
  <c r="BFZ2" i="7"/>
  <c r="BGA2" i="7"/>
  <c r="BGB2" i="7"/>
  <c r="BGC2" i="7"/>
  <c r="BGD2" i="7"/>
  <c r="BGE2" i="7"/>
  <c r="BGF2" i="7"/>
  <c r="BGG2" i="7"/>
  <c r="BGH2" i="7"/>
  <c r="BGI2" i="7"/>
  <c r="BGJ2" i="7"/>
  <c r="BGK2" i="7"/>
  <c r="BGL2" i="7"/>
  <c r="BGM2" i="7"/>
  <c r="BGN2" i="7"/>
  <c r="BGO2" i="7"/>
  <c r="BGP2" i="7"/>
  <c r="BGQ2" i="7"/>
  <c r="BGR2" i="7"/>
  <c r="BGS2" i="7"/>
  <c r="BGT2" i="7"/>
  <c r="BGU2" i="7"/>
  <c r="BGV2" i="7"/>
  <c r="BGW2" i="7"/>
  <c r="BGX2" i="7"/>
  <c r="BGY2" i="7"/>
  <c r="BGZ2" i="7"/>
  <c r="BHA2" i="7"/>
  <c r="BHB2" i="7"/>
  <c r="BHC2" i="7"/>
  <c r="BHD2" i="7"/>
  <c r="BHE2" i="7"/>
  <c r="BHF2" i="7"/>
  <c r="BHG2" i="7"/>
  <c r="BHH2" i="7"/>
  <c r="BHI2" i="7"/>
  <c r="BHJ2" i="7"/>
  <c r="BHK2" i="7"/>
  <c r="BHL2" i="7"/>
  <c r="BHM2" i="7"/>
  <c r="BHN2" i="7"/>
  <c r="BHO2" i="7"/>
  <c r="BHP2" i="7"/>
  <c r="BHQ2" i="7"/>
  <c r="BHR2" i="7"/>
  <c r="BHS2" i="7"/>
  <c r="BHT2" i="7"/>
  <c r="BHU2" i="7"/>
  <c r="BHV2" i="7"/>
  <c r="BHW2" i="7"/>
  <c r="BHX2" i="7"/>
  <c r="BHY2" i="7"/>
  <c r="BHZ2" i="7"/>
  <c r="BIA2" i="7"/>
  <c r="BIB2" i="7"/>
  <c r="BIC2" i="7"/>
  <c r="BID2" i="7"/>
  <c r="BIE2" i="7"/>
  <c r="BIF2" i="7"/>
  <c r="BIG2" i="7"/>
  <c r="BIH2" i="7"/>
  <c r="BII2" i="7"/>
  <c r="BIJ2" i="7"/>
  <c r="BIK2" i="7"/>
  <c r="BIL2" i="7"/>
  <c r="BIM2" i="7"/>
  <c r="BIN2" i="7"/>
  <c r="BIO2" i="7"/>
  <c r="BIP2" i="7"/>
  <c r="BIQ2" i="7"/>
  <c r="BIR2" i="7"/>
  <c r="BIS2" i="7"/>
  <c r="BIT2" i="7"/>
  <c r="BIU2" i="7"/>
  <c r="BIV2" i="7"/>
  <c r="BIW2" i="7"/>
  <c r="BIX2" i="7"/>
  <c r="BIY2" i="7"/>
  <c r="BIZ2" i="7"/>
  <c r="BJA2" i="7"/>
  <c r="BJB2" i="7"/>
  <c r="BJC2" i="7"/>
  <c r="BJD2" i="7"/>
  <c r="BJE2" i="7"/>
  <c r="BJF2" i="7"/>
  <c r="BJG2" i="7"/>
  <c r="BJH2" i="7"/>
  <c r="BJI2" i="7"/>
  <c r="BJJ2" i="7"/>
  <c r="BJK2" i="7"/>
  <c r="BJL2" i="7"/>
  <c r="BJM2" i="7"/>
  <c r="BJN2" i="7"/>
  <c r="BJO2" i="7"/>
  <c r="BJP2" i="7"/>
  <c r="BJQ2" i="7"/>
  <c r="BJR2" i="7"/>
  <c r="BJS2" i="7"/>
  <c r="BJT2" i="7"/>
  <c r="BJU2" i="7"/>
  <c r="BJV2" i="7"/>
  <c r="BJW2" i="7"/>
  <c r="BJX2" i="7"/>
  <c r="BJY2" i="7"/>
  <c r="BJZ2" i="7"/>
  <c r="BKA2" i="7"/>
  <c r="BKB2" i="7"/>
  <c r="BKC2" i="7"/>
  <c r="BKD2" i="7"/>
  <c r="BKE2" i="7"/>
  <c r="BKF2" i="7"/>
  <c r="BKG2" i="7"/>
  <c r="BKH2" i="7"/>
  <c r="BKI2" i="7"/>
  <c r="BKJ2" i="7"/>
  <c r="BKK2" i="7"/>
  <c r="BKL2" i="7"/>
  <c r="BKM2" i="7"/>
  <c r="BKN2" i="7"/>
  <c r="BKO2" i="7"/>
  <c r="BKP2" i="7"/>
  <c r="BKQ2" i="7"/>
  <c r="BKR2" i="7"/>
  <c r="BKS2" i="7"/>
  <c r="BKT2" i="7"/>
  <c r="BKU2" i="7"/>
  <c r="BKV2" i="7"/>
  <c r="BKW2" i="7"/>
  <c r="BKX2" i="7"/>
  <c r="BKY2" i="7"/>
  <c r="BKZ2" i="7"/>
  <c r="BLA2" i="7"/>
  <c r="BLB2" i="7"/>
  <c r="BLC2" i="7"/>
  <c r="BLD2" i="7"/>
  <c r="BLE2" i="7"/>
  <c r="BLF2" i="7"/>
  <c r="BLG2" i="7"/>
  <c r="BLH2" i="7"/>
  <c r="BLI2" i="7"/>
  <c r="BLJ2" i="7"/>
  <c r="BLK2" i="7"/>
  <c r="BLL2" i="7"/>
  <c r="BLM2" i="7"/>
  <c r="BLN2" i="7"/>
  <c r="BLO2" i="7"/>
  <c r="BLP2" i="7"/>
  <c r="BLQ2" i="7"/>
  <c r="BLR2" i="7"/>
  <c r="BLS2" i="7"/>
  <c r="BLT2" i="7"/>
  <c r="BLU2" i="7"/>
  <c r="BLV2" i="7"/>
  <c r="BLW2" i="7"/>
  <c r="BLX2" i="7"/>
  <c r="BLY2" i="7"/>
  <c r="BLZ2" i="7"/>
  <c r="BMA2" i="7"/>
  <c r="BMB2" i="7"/>
  <c r="BMC2" i="7"/>
  <c r="BMD2" i="7"/>
  <c r="BME2" i="7"/>
  <c r="BMF2" i="7"/>
  <c r="BMG2" i="7"/>
  <c r="BMH2" i="7"/>
  <c r="BMI2" i="7"/>
  <c r="BMJ2" i="7"/>
  <c r="BMK2" i="7"/>
  <c r="BML2" i="7"/>
  <c r="BMM2" i="7"/>
  <c r="BMN2" i="7"/>
  <c r="BMO2" i="7"/>
  <c r="BMP2" i="7"/>
  <c r="BMQ2" i="7"/>
  <c r="BMR2" i="7"/>
  <c r="BMS2" i="7"/>
  <c r="BMT2" i="7"/>
  <c r="BMU2" i="7"/>
  <c r="BMV2" i="7"/>
  <c r="BMW2" i="7"/>
  <c r="BMX2" i="7"/>
  <c r="BMY2" i="7"/>
  <c r="BMZ2" i="7"/>
  <c r="BNA2" i="7"/>
  <c r="BNB2" i="7"/>
  <c r="BNC2" i="7"/>
  <c r="BND2" i="7"/>
  <c r="BNE2" i="7"/>
  <c r="BNF2" i="7"/>
  <c r="BNG2" i="7"/>
  <c r="BNH2" i="7"/>
  <c r="BNI2" i="7"/>
  <c r="BNJ2" i="7"/>
  <c r="BNK2" i="7"/>
  <c r="BNL2" i="7"/>
  <c r="BNM2" i="7"/>
  <c r="BNN2" i="7"/>
  <c r="BNO2" i="7"/>
  <c r="BNP2" i="7"/>
  <c r="BNQ2" i="7"/>
  <c r="BNR2" i="7"/>
  <c r="BNS2" i="7"/>
  <c r="BNT2" i="7"/>
  <c r="BNU2" i="7"/>
  <c r="BNV2" i="7"/>
  <c r="BNW2" i="7"/>
  <c r="BNX2" i="7"/>
  <c r="BNY2" i="7"/>
  <c r="BNZ2" i="7"/>
  <c r="BOA2" i="7"/>
  <c r="BOB2" i="7"/>
  <c r="BOC2" i="7"/>
  <c r="BOD2" i="7"/>
  <c r="BOE2" i="7"/>
  <c r="BOF2" i="7"/>
  <c r="BOG2" i="7"/>
  <c r="BOH2" i="7"/>
  <c r="BOI2" i="7"/>
  <c r="BOJ2" i="7"/>
  <c r="BOK2" i="7"/>
  <c r="BOL2" i="7"/>
  <c r="BOM2" i="7"/>
  <c r="BON2" i="7"/>
  <c r="BOO2" i="7"/>
  <c r="BOP2" i="7"/>
  <c r="BOQ2" i="7"/>
  <c r="BOR2" i="7"/>
  <c r="BOS2" i="7"/>
  <c r="BOT2" i="7"/>
  <c r="BOU2" i="7"/>
  <c r="BOV2" i="7"/>
  <c r="BOW2" i="7"/>
  <c r="BOX2" i="7"/>
  <c r="BOY2" i="7"/>
  <c r="BOZ2" i="7"/>
  <c r="BPA2" i="7"/>
  <c r="BPB2" i="7"/>
  <c r="BPC2" i="7"/>
  <c r="BPD2" i="7"/>
  <c r="BPE2" i="7"/>
  <c r="BPF2" i="7"/>
  <c r="BPG2" i="7"/>
  <c r="BPH2" i="7"/>
  <c r="BPI2" i="7"/>
  <c r="BPJ2" i="7"/>
  <c r="BPK2" i="7"/>
  <c r="BPL2" i="7"/>
  <c r="BPM2" i="7"/>
  <c r="BPN2" i="7"/>
  <c r="BPO2" i="7"/>
  <c r="BPP2" i="7"/>
  <c r="BPQ2" i="7"/>
  <c r="BPR2" i="7"/>
  <c r="BPS2" i="7"/>
  <c r="BPT2" i="7"/>
  <c r="BPU2" i="7"/>
  <c r="BPV2" i="7"/>
  <c r="BPW2" i="7"/>
  <c r="BPX2" i="7"/>
  <c r="BPY2" i="7"/>
  <c r="BPZ2" i="7"/>
  <c r="BQA2" i="7"/>
  <c r="BQB2" i="7"/>
  <c r="BQC2" i="7"/>
  <c r="BQD2" i="7"/>
  <c r="BQE2" i="7"/>
  <c r="BQF2" i="7"/>
  <c r="BQG2" i="7"/>
  <c r="BQH2" i="7"/>
  <c r="BQI2" i="7"/>
  <c r="BQJ2" i="7"/>
  <c r="BQK2" i="7"/>
  <c r="BQL2" i="7"/>
  <c r="BQM2" i="7"/>
  <c r="BQN2" i="7"/>
  <c r="BQO2" i="7"/>
  <c r="BQP2" i="7"/>
  <c r="BQQ2" i="7"/>
  <c r="BQR2" i="7"/>
  <c r="BQS2" i="7"/>
  <c r="BQT2" i="7"/>
  <c r="BQU2" i="7"/>
  <c r="BQV2" i="7"/>
  <c r="BQW2" i="7"/>
  <c r="BQX2" i="7"/>
  <c r="BQY2" i="7"/>
  <c r="BQZ2" i="7"/>
  <c r="BRA2" i="7"/>
  <c r="BRB2" i="7"/>
  <c r="BRC2" i="7"/>
  <c r="BRD2" i="7"/>
  <c r="BRE2" i="7"/>
  <c r="BRF2" i="7"/>
  <c r="BRG2" i="7"/>
  <c r="BRH2" i="7"/>
  <c r="BRI2" i="7"/>
  <c r="BRJ2" i="7"/>
  <c r="BRK2" i="7"/>
  <c r="BRL2" i="7"/>
  <c r="BRM2" i="7"/>
  <c r="BRN2" i="7"/>
  <c r="BRO2" i="7"/>
  <c r="BRP2" i="7"/>
  <c r="BRQ2" i="7"/>
  <c r="BRR2" i="7"/>
  <c r="BRS2" i="7"/>
  <c r="BRT2" i="7"/>
  <c r="BRU2" i="7"/>
  <c r="BRV2" i="7"/>
  <c r="BRW2" i="7"/>
  <c r="BRX2" i="7"/>
  <c r="BRY2" i="7"/>
  <c r="BRZ2" i="7"/>
  <c r="BSA2" i="7"/>
  <c r="BSB2" i="7"/>
  <c r="BSC2" i="7"/>
  <c r="BSD2" i="7"/>
  <c r="BSE2" i="7"/>
  <c r="BSF2" i="7"/>
  <c r="BSG2" i="7"/>
  <c r="BSH2" i="7"/>
  <c r="BSI2" i="7"/>
  <c r="BSJ2" i="7"/>
  <c r="BSK2" i="7"/>
  <c r="BSL2" i="7"/>
  <c r="BSM2" i="7"/>
  <c r="BSN2" i="7"/>
  <c r="BSO2" i="7"/>
  <c r="BSP2" i="7"/>
  <c r="BSQ2" i="7"/>
  <c r="BSR2" i="7"/>
  <c r="BSS2" i="7"/>
  <c r="BST2" i="7"/>
  <c r="BSU2" i="7"/>
  <c r="BSV2" i="7"/>
  <c r="BSW2" i="7"/>
  <c r="BSX2" i="7"/>
  <c r="BSY2" i="7"/>
  <c r="BSZ2" i="7"/>
  <c r="BTA2" i="7"/>
  <c r="BTB2" i="7"/>
  <c r="BTC2" i="7"/>
  <c r="BTD2" i="7"/>
  <c r="BTE2" i="7"/>
  <c r="BTF2" i="7"/>
  <c r="BTG2" i="7"/>
  <c r="BTH2" i="7"/>
  <c r="BTI2" i="7"/>
  <c r="BTJ2" i="7"/>
  <c r="BTK2" i="7"/>
  <c r="BTL2" i="7"/>
  <c r="BTM2" i="7"/>
  <c r="BTN2" i="7"/>
  <c r="BTO2" i="7"/>
  <c r="BTP2" i="7"/>
  <c r="BTQ2" i="7"/>
  <c r="BTR2" i="7"/>
  <c r="BTS2" i="7"/>
  <c r="BTT2" i="7"/>
  <c r="BTU2" i="7"/>
  <c r="BTV2" i="7"/>
  <c r="BTW2" i="7"/>
  <c r="BTX2" i="7"/>
  <c r="BTY2" i="7"/>
  <c r="BTZ2" i="7"/>
  <c r="BUA2" i="7"/>
  <c r="BUB2" i="7"/>
  <c r="BUC2" i="7"/>
  <c r="BUD2" i="7"/>
  <c r="BUE2" i="7"/>
  <c r="BUF2" i="7"/>
  <c r="BUG2" i="7"/>
  <c r="BUH2" i="7"/>
  <c r="BUI2" i="7"/>
  <c r="BUJ2" i="7"/>
  <c r="BUK2" i="7"/>
  <c r="BUL2" i="7"/>
  <c r="BUM2" i="7"/>
  <c r="BUN2" i="7"/>
  <c r="BUO2" i="7"/>
  <c r="BUP2" i="7"/>
  <c r="BUQ2" i="7"/>
  <c r="BUR2" i="7"/>
  <c r="BUS2" i="7"/>
  <c r="BUT2" i="7"/>
  <c r="BUU2" i="7"/>
  <c r="BUV2" i="7"/>
  <c r="BUW2" i="7"/>
  <c r="BUX2" i="7"/>
  <c r="BUY2" i="7"/>
  <c r="BUZ2" i="7"/>
  <c r="BVA2" i="7"/>
  <c r="BVB2" i="7"/>
  <c r="BVC2" i="7"/>
  <c r="BVD2" i="7"/>
  <c r="BVE2" i="7"/>
  <c r="BVF2" i="7"/>
  <c r="BVG2" i="7"/>
  <c r="BVH2" i="7"/>
  <c r="BVI2" i="7"/>
  <c r="BVJ2" i="7"/>
  <c r="BVK2" i="7"/>
  <c r="BVL2" i="7"/>
  <c r="BVM2" i="7"/>
  <c r="BVN2" i="7"/>
  <c r="BVO2" i="7"/>
  <c r="BVP2" i="7"/>
  <c r="BVQ2" i="7"/>
  <c r="BVR2" i="7"/>
  <c r="BVS2" i="7"/>
  <c r="BVT2" i="7"/>
  <c r="BVU2" i="7"/>
  <c r="BVV2" i="7"/>
  <c r="BVW2" i="7"/>
  <c r="BVX2" i="7"/>
  <c r="BVY2" i="7"/>
  <c r="BVZ2" i="7"/>
  <c r="BWA2" i="7"/>
  <c r="BWB2" i="7"/>
  <c r="BWC2" i="7"/>
  <c r="BWD2" i="7"/>
  <c r="BWE2" i="7"/>
  <c r="BWF2" i="7"/>
  <c r="BWG2" i="7"/>
  <c r="BWH2" i="7"/>
  <c r="BWI2" i="7"/>
  <c r="BWJ2" i="7"/>
  <c r="BWK2" i="7"/>
  <c r="BWL2" i="7"/>
  <c r="BWM2" i="7"/>
  <c r="BWN2" i="7"/>
  <c r="BWO2" i="7"/>
  <c r="BWP2" i="7"/>
  <c r="BWQ2" i="7"/>
  <c r="BWR2" i="7"/>
  <c r="BWS2" i="7"/>
  <c r="BWT2" i="7"/>
  <c r="BWU2" i="7"/>
  <c r="BWV2" i="7"/>
  <c r="BWW2" i="7"/>
  <c r="BWX2" i="7"/>
  <c r="BWY2" i="7"/>
  <c r="BWZ2" i="7"/>
  <c r="BXA2" i="7"/>
  <c r="BXB2" i="7"/>
  <c r="BXC2" i="7"/>
  <c r="BXD2" i="7"/>
  <c r="BXE2" i="7"/>
  <c r="BXF2" i="7"/>
  <c r="BXG2" i="7"/>
  <c r="BXH2" i="7"/>
  <c r="BXI2" i="7"/>
  <c r="BXJ2" i="7"/>
  <c r="BXK2" i="7"/>
  <c r="BXL2" i="7"/>
  <c r="BXM2" i="7"/>
  <c r="BXN2" i="7"/>
  <c r="BXO2" i="7"/>
  <c r="BXP2" i="7"/>
  <c r="BXQ2" i="7"/>
  <c r="BXR2" i="7"/>
  <c r="BXS2" i="7"/>
  <c r="BXT2" i="7"/>
  <c r="BXU2" i="7"/>
  <c r="BXV2" i="7"/>
  <c r="BXW2" i="7"/>
  <c r="BXX2" i="7"/>
  <c r="BXY2" i="7"/>
  <c r="BXZ2" i="7"/>
  <c r="BYA2" i="7"/>
  <c r="BYB2" i="7"/>
  <c r="BYC2" i="7"/>
  <c r="BYD2" i="7"/>
  <c r="BYE2" i="7"/>
  <c r="BYF2" i="7"/>
  <c r="BYG2" i="7"/>
  <c r="BYH2" i="7"/>
  <c r="BYI2" i="7"/>
  <c r="BYJ2" i="7"/>
  <c r="BYK2" i="7"/>
  <c r="BYL2" i="7"/>
  <c r="BYM2" i="7"/>
  <c r="BYN2" i="7"/>
  <c r="BYO2" i="7"/>
  <c r="BYP2" i="7"/>
  <c r="BYQ2" i="7"/>
  <c r="BYR2" i="7"/>
  <c r="BYS2" i="7"/>
  <c r="BYT2" i="7"/>
  <c r="BYU2" i="7"/>
  <c r="BYV2" i="7"/>
  <c r="BYW2" i="7"/>
  <c r="BYX2" i="7"/>
  <c r="BYY2" i="7"/>
  <c r="BYZ2" i="7"/>
  <c r="BZA2" i="7"/>
  <c r="BZB2" i="7"/>
  <c r="BZC2" i="7"/>
  <c r="BZD2" i="7"/>
  <c r="BZE2" i="7"/>
  <c r="BZF2" i="7"/>
  <c r="BZG2" i="7"/>
  <c r="BZH2" i="7"/>
  <c r="BZI2" i="7"/>
  <c r="BZJ2" i="7"/>
  <c r="BZK2" i="7"/>
  <c r="BZL2" i="7"/>
  <c r="BZM2" i="7"/>
  <c r="BZN2" i="7"/>
  <c r="BZO2" i="7"/>
  <c r="BZP2" i="7"/>
  <c r="BZQ2" i="7"/>
  <c r="BZR2" i="7"/>
  <c r="BZS2" i="7"/>
  <c r="BZT2" i="7"/>
  <c r="BZU2" i="7"/>
  <c r="BZV2" i="7"/>
  <c r="BZW2" i="7"/>
  <c r="BZX2" i="7"/>
  <c r="BZY2" i="7"/>
  <c r="BZZ2" i="7"/>
  <c r="CAA2" i="7"/>
  <c r="CAB2" i="7"/>
  <c r="CAC2" i="7"/>
  <c r="CAD2" i="7"/>
  <c r="CAE2" i="7"/>
  <c r="CAF2" i="7"/>
  <c r="CAG2" i="7"/>
  <c r="CAH2" i="7"/>
  <c r="CAI2" i="7"/>
  <c r="CAJ2" i="7"/>
  <c r="CAK2" i="7"/>
  <c r="CAL2" i="7"/>
  <c r="CAM2" i="7"/>
  <c r="CAN2" i="7"/>
  <c r="CAO2" i="7"/>
  <c r="CAP2" i="7"/>
  <c r="CAQ2" i="7"/>
  <c r="CAR2" i="7"/>
  <c r="CAS2" i="7"/>
  <c r="CAT2" i="7"/>
  <c r="CAU2" i="7"/>
  <c r="CAV2" i="7"/>
  <c r="CAW2" i="7"/>
  <c r="CAX2" i="7"/>
  <c r="CAY2" i="7"/>
  <c r="CAZ2" i="7"/>
  <c r="CBA2" i="7"/>
  <c r="CBB2" i="7"/>
  <c r="CBC2" i="7"/>
  <c r="CBD2" i="7"/>
  <c r="CBE2" i="7"/>
  <c r="CBF2" i="7"/>
  <c r="CBG2" i="7"/>
  <c r="CBH2" i="7"/>
  <c r="CBI2" i="7"/>
  <c r="CBJ2" i="7"/>
  <c r="CBK2" i="7"/>
  <c r="CBL2" i="7"/>
  <c r="CBM2" i="7"/>
  <c r="CBN2" i="7"/>
  <c r="CBO2" i="7"/>
  <c r="CBP2" i="7"/>
  <c r="CBQ2" i="7"/>
  <c r="CBR2" i="7"/>
  <c r="CBS2" i="7"/>
  <c r="CBT2" i="7"/>
  <c r="CBU2" i="7"/>
  <c r="CBV2" i="7"/>
  <c r="CBW2" i="7"/>
  <c r="CBX2" i="7"/>
  <c r="CBY2" i="7"/>
  <c r="CBZ2" i="7"/>
  <c r="CCA2" i="7"/>
  <c r="CCB2" i="7"/>
  <c r="CCC2" i="7"/>
  <c r="CCD2" i="7"/>
  <c r="CCE2" i="7"/>
  <c r="CCF2" i="7"/>
  <c r="CCG2" i="7"/>
  <c r="CCH2" i="7"/>
  <c r="CCI2" i="7"/>
  <c r="CCJ2" i="7"/>
  <c r="CCK2" i="7"/>
  <c r="CCL2" i="7"/>
  <c r="CCM2" i="7"/>
  <c r="CCN2" i="7"/>
  <c r="CCO2" i="7"/>
  <c r="CCP2" i="7"/>
  <c r="CCQ2" i="7"/>
  <c r="CCR2" i="7"/>
  <c r="CCS2" i="7"/>
  <c r="CCT2" i="7"/>
  <c r="CCU2" i="7"/>
  <c r="CCV2" i="7"/>
  <c r="CCW2" i="7"/>
  <c r="CCX2" i="7"/>
  <c r="CCY2" i="7"/>
  <c r="CCZ2" i="7"/>
  <c r="CDA2" i="7"/>
  <c r="CDB2" i="7"/>
  <c r="CDC2" i="7"/>
  <c r="CDD2" i="7"/>
  <c r="CDE2" i="7"/>
  <c r="CDF2" i="7"/>
  <c r="CDG2" i="7"/>
  <c r="CDH2" i="7"/>
  <c r="CDI2" i="7"/>
  <c r="CDJ2" i="7"/>
  <c r="CDK2" i="7"/>
  <c r="CDL2" i="7"/>
  <c r="CDM2" i="7"/>
  <c r="CDN2" i="7"/>
  <c r="CDO2" i="7"/>
  <c r="CDP2" i="7"/>
  <c r="CDQ2" i="7"/>
  <c r="CDR2" i="7"/>
  <c r="CDS2" i="7"/>
  <c r="CDT2" i="7"/>
  <c r="CDU2" i="7"/>
  <c r="CDV2" i="7"/>
  <c r="CDW2" i="7"/>
  <c r="CDX2" i="7"/>
  <c r="CDY2" i="7"/>
  <c r="CDZ2" i="7"/>
  <c r="CEA2" i="7"/>
  <c r="CEB2" i="7"/>
  <c r="CEC2" i="7"/>
  <c r="CED2" i="7"/>
  <c r="CEE2" i="7"/>
  <c r="CEF2" i="7"/>
  <c r="CEG2" i="7"/>
  <c r="CEH2" i="7"/>
  <c r="CEI2" i="7"/>
  <c r="CEJ2" i="7"/>
  <c r="CEK2" i="7"/>
  <c r="CEL2" i="7"/>
  <c r="CEM2" i="7"/>
  <c r="CEN2" i="7"/>
  <c r="CEO2" i="7"/>
  <c r="CEP2" i="7"/>
  <c r="CEQ2" i="7"/>
  <c r="CER2" i="7"/>
  <c r="CES2" i="7"/>
  <c r="CET2" i="7"/>
  <c r="CEU2" i="7"/>
  <c r="CEV2" i="7"/>
  <c r="CEW2" i="7"/>
  <c r="CEX2" i="7"/>
  <c r="CEY2" i="7"/>
  <c r="CEZ2" i="7"/>
  <c r="CFA2" i="7"/>
  <c r="CFB2" i="7"/>
  <c r="CFC2" i="7"/>
  <c r="CFD2" i="7"/>
  <c r="CFE2" i="7"/>
  <c r="CFF2" i="7"/>
  <c r="CFG2" i="7"/>
  <c r="CFH2" i="7"/>
  <c r="CFI2" i="7"/>
  <c r="CFJ2" i="7"/>
  <c r="CFK2" i="7"/>
  <c r="CFL2" i="7"/>
  <c r="CFM2" i="7"/>
  <c r="CFN2" i="7"/>
  <c r="CFO2" i="7"/>
  <c r="CFP2" i="7"/>
  <c r="CFQ2" i="7"/>
  <c r="CFR2" i="7"/>
  <c r="CFS2" i="7"/>
  <c r="CFT2" i="7"/>
  <c r="CFU2" i="7"/>
  <c r="CFV2" i="7"/>
  <c r="CFW2" i="7"/>
  <c r="CFX2" i="7"/>
  <c r="CFY2" i="7"/>
  <c r="CFZ2" i="7"/>
  <c r="CGA2" i="7"/>
  <c r="CGB2" i="7"/>
  <c r="CGC2" i="7"/>
  <c r="CGD2" i="7"/>
  <c r="CGE2" i="7"/>
  <c r="CGF2" i="7"/>
  <c r="CGG2" i="7"/>
  <c r="CGH2" i="7"/>
  <c r="CGI2" i="7"/>
  <c r="CGJ2" i="7"/>
  <c r="CGK2" i="7"/>
  <c r="CGL2" i="7"/>
  <c r="CGM2" i="7"/>
  <c r="CGN2" i="7"/>
  <c r="CGO2" i="7"/>
  <c r="CGP2" i="7"/>
  <c r="CGQ2" i="7"/>
  <c r="CGR2" i="7"/>
  <c r="CGS2" i="7"/>
  <c r="CGT2" i="7"/>
  <c r="CGU2" i="7"/>
  <c r="CGV2" i="7"/>
  <c r="CGW2" i="7"/>
  <c r="CGX2" i="7"/>
  <c r="CGY2" i="7"/>
  <c r="CGZ2" i="7"/>
  <c r="CHA2" i="7"/>
  <c r="CHB2" i="7"/>
  <c r="CHC2" i="7"/>
  <c r="CHD2" i="7"/>
  <c r="CHE2" i="7"/>
  <c r="CHF2" i="7"/>
  <c r="CHG2" i="7"/>
  <c r="CHH2" i="7"/>
  <c r="CHI2" i="7"/>
  <c r="CHJ2" i="7"/>
  <c r="CHK2" i="7"/>
  <c r="CHL2" i="7"/>
  <c r="CHM2" i="7"/>
  <c r="CHN2" i="7"/>
  <c r="CHO2" i="7"/>
  <c r="CHP2" i="7"/>
  <c r="CHQ2" i="7"/>
  <c r="CHR2" i="7"/>
  <c r="CHS2" i="7"/>
  <c r="CHT2" i="7"/>
  <c r="CHU2" i="7"/>
  <c r="CHV2" i="7"/>
  <c r="CHW2" i="7"/>
  <c r="CHX2" i="7"/>
  <c r="CHY2" i="7"/>
  <c r="CHZ2" i="7"/>
  <c r="CIA2" i="7"/>
  <c r="CIB2" i="7"/>
  <c r="CIC2" i="7"/>
  <c r="CID2" i="7"/>
  <c r="CIE2" i="7"/>
  <c r="CIF2" i="7"/>
  <c r="CIG2" i="7"/>
  <c r="CIH2" i="7"/>
  <c r="CII2" i="7"/>
  <c r="CIJ2" i="7"/>
  <c r="CIK2" i="7"/>
  <c r="CIL2" i="7"/>
  <c r="CIM2" i="7"/>
  <c r="CIN2" i="7"/>
  <c r="CIO2" i="7"/>
  <c r="CIP2" i="7"/>
  <c r="CIQ2" i="7"/>
  <c r="CIR2" i="7"/>
  <c r="CIS2" i="7"/>
  <c r="CIT2" i="7"/>
  <c r="CIU2" i="7"/>
  <c r="CIV2" i="7"/>
  <c r="CIW2" i="7"/>
  <c r="CIX2" i="7"/>
  <c r="CIY2" i="7"/>
  <c r="CIZ2" i="7"/>
  <c r="CJA2" i="7"/>
  <c r="CJB2" i="7"/>
  <c r="CJC2" i="7"/>
  <c r="CJD2" i="7"/>
  <c r="CJE2" i="7"/>
  <c r="CJF2" i="7"/>
  <c r="CJG2" i="7"/>
  <c r="CJH2" i="7"/>
  <c r="CJI2" i="7"/>
  <c r="CJJ2" i="7"/>
  <c r="CJK2" i="7"/>
  <c r="CJL2" i="7"/>
  <c r="CJM2" i="7"/>
  <c r="CJN2" i="7"/>
  <c r="CJO2" i="7"/>
  <c r="CJP2" i="7"/>
  <c r="CJQ2" i="7"/>
  <c r="CJR2" i="7"/>
  <c r="CJS2" i="7"/>
  <c r="CJT2" i="7"/>
  <c r="CJU2" i="7"/>
  <c r="CJV2" i="7"/>
  <c r="CJW2" i="7"/>
  <c r="CJX2" i="7"/>
  <c r="CJY2" i="7"/>
  <c r="CJZ2" i="7"/>
  <c r="CKA2" i="7"/>
  <c r="CKB2" i="7"/>
  <c r="CKC2" i="7"/>
  <c r="CKD2" i="7"/>
  <c r="CKE2" i="7"/>
  <c r="CKF2" i="7"/>
  <c r="CKG2" i="7"/>
  <c r="CKH2" i="7"/>
  <c r="CKI2" i="7"/>
  <c r="CKJ2" i="7"/>
  <c r="CKK2" i="7"/>
  <c r="CKL2" i="7"/>
  <c r="CKM2" i="7"/>
  <c r="CKN2" i="7"/>
  <c r="CKO2" i="7"/>
  <c r="CKP2" i="7"/>
  <c r="CKQ2" i="7"/>
  <c r="CKR2" i="7"/>
  <c r="CKS2" i="7"/>
  <c r="CKT2" i="7"/>
  <c r="CKU2" i="7"/>
  <c r="CKV2" i="7"/>
  <c r="CKW2" i="7"/>
  <c r="CKX2" i="7"/>
  <c r="CKY2" i="7"/>
  <c r="CKZ2" i="7"/>
  <c r="CLA2" i="7"/>
  <c r="CLB2" i="7"/>
  <c r="CLC2" i="7"/>
  <c r="CLD2" i="7"/>
  <c r="CLE2" i="7"/>
  <c r="CLF2" i="7"/>
  <c r="CLG2" i="7"/>
  <c r="CLH2" i="7"/>
  <c r="CLI2" i="7"/>
  <c r="CLJ2" i="7"/>
  <c r="CLK2" i="7"/>
  <c r="CLL2" i="7"/>
  <c r="CLM2" i="7"/>
  <c r="CLN2" i="7"/>
  <c r="CLO2" i="7"/>
  <c r="CLP2" i="7"/>
  <c r="CLQ2" i="7"/>
  <c r="CLR2" i="7"/>
  <c r="CLS2" i="7"/>
  <c r="CLT2" i="7"/>
  <c r="CLU2" i="7"/>
  <c r="CLV2" i="7"/>
  <c r="CLW2" i="7"/>
  <c r="CLX2" i="7"/>
  <c r="CLY2" i="7"/>
  <c r="CLZ2" i="7"/>
  <c r="CMA2" i="7"/>
  <c r="CMB2" i="7"/>
  <c r="CMC2" i="7"/>
  <c r="CMD2" i="7"/>
  <c r="CME2" i="7"/>
  <c r="CMF2" i="7"/>
  <c r="CMG2" i="7"/>
  <c r="CMH2" i="7"/>
  <c r="CMI2" i="7"/>
  <c r="CMJ2" i="7"/>
  <c r="CMK2" i="7"/>
  <c r="CML2" i="7"/>
  <c r="CMM2" i="7"/>
  <c r="CMN2" i="7"/>
  <c r="CMO2" i="7"/>
  <c r="CMP2" i="7"/>
  <c r="CMQ2" i="7"/>
  <c r="CMR2" i="7"/>
  <c r="CMS2" i="7"/>
  <c r="CMT2" i="7"/>
  <c r="CMU2" i="7"/>
  <c r="CMV2" i="7"/>
  <c r="CMW2" i="7"/>
  <c r="CMX2" i="7"/>
  <c r="CMY2" i="7"/>
  <c r="CMZ2" i="7"/>
  <c r="CNA2" i="7"/>
  <c r="CNB2" i="7"/>
  <c r="CNC2" i="7"/>
  <c r="CND2" i="7"/>
  <c r="CNE2" i="7"/>
  <c r="CNF2" i="7"/>
  <c r="CNG2" i="7"/>
  <c r="CNH2" i="7"/>
  <c r="CNI2" i="7"/>
  <c r="CNJ2" i="7"/>
  <c r="CNK2" i="7"/>
  <c r="CNL2" i="7"/>
  <c r="CNM2" i="7"/>
  <c r="CNN2" i="7"/>
  <c r="CNO2" i="7"/>
  <c r="CNP2" i="7"/>
  <c r="CNQ2" i="7"/>
  <c r="CNR2" i="7"/>
  <c r="CNS2" i="7"/>
  <c r="CNT2" i="7"/>
  <c r="CNU2" i="7"/>
  <c r="CNV2" i="7"/>
  <c r="CNW2" i="7"/>
  <c r="CNX2" i="7"/>
  <c r="CNY2" i="7"/>
  <c r="CNZ2" i="7"/>
  <c r="COA2" i="7"/>
  <c r="COB2" i="7"/>
  <c r="COC2" i="7"/>
  <c r="COD2" i="7"/>
  <c r="COE2" i="7"/>
  <c r="COF2" i="7"/>
  <c r="COG2" i="7"/>
  <c r="COH2" i="7"/>
  <c r="COI2" i="7"/>
  <c r="COJ2" i="7"/>
  <c r="COK2" i="7"/>
  <c r="COL2" i="7"/>
  <c r="COM2" i="7"/>
  <c r="CON2" i="7"/>
  <c r="COO2" i="7"/>
  <c r="COP2" i="7"/>
  <c r="COQ2" i="7"/>
  <c r="COR2" i="7"/>
  <c r="COS2" i="7"/>
  <c r="COT2" i="7"/>
  <c r="COU2" i="7"/>
  <c r="COV2" i="7"/>
  <c r="COW2" i="7"/>
  <c r="COX2" i="7"/>
  <c r="COY2" i="7"/>
  <c r="COZ2" i="7"/>
  <c r="CPA2" i="7"/>
  <c r="CPB2" i="7"/>
  <c r="CPC2" i="7"/>
  <c r="CPD2" i="7"/>
  <c r="CPE2" i="7"/>
  <c r="CPF2" i="7"/>
  <c r="CPG2" i="7"/>
  <c r="CPH2" i="7"/>
  <c r="CPI2" i="7"/>
  <c r="CPJ2" i="7"/>
  <c r="CPK2" i="7"/>
  <c r="CPL2" i="7"/>
  <c r="CPM2" i="7"/>
  <c r="CPN2" i="7"/>
  <c r="CPO2" i="7"/>
  <c r="CPP2" i="7"/>
  <c r="CPQ2" i="7"/>
  <c r="CPR2" i="7"/>
  <c r="CPS2" i="7"/>
  <c r="CPT2" i="7"/>
  <c r="CPU2" i="7"/>
  <c r="CPV2" i="7"/>
  <c r="CPW2" i="7"/>
  <c r="CPX2" i="7"/>
  <c r="CPY2" i="7"/>
  <c r="CPZ2" i="7"/>
  <c r="CQA2" i="7"/>
  <c r="CQB2" i="7"/>
  <c r="CQC2" i="7"/>
  <c r="CQD2" i="7"/>
  <c r="CQE2" i="7"/>
  <c r="CQF2" i="7"/>
  <c r="CQG2" i="7"/>
  <c r="CQH2" i="7"/>
  <c r="CQI2" i="7"/>
  <c r="CQJ2" i="7"/>
  <c r="CQK2" i="7"/>
  <c r="CQL2" i="7"/>
  <c r="CQM2" i="7"/>
  <c r="CQN2" i="7"/>
  <c r="CQO2" i="7"/>
  <c r="CQP2" i="7"/>
  <c r="CQQ2" i="7"/>
  <c r="CQR2" i="7"/>
  <c r="CQS2" i="7"/>
  <c r="CQT2" i="7"/>
  <c r="CQU2" i="7"/>
  <c r="CQV2" i="7"/>
  <c r="CQW2" i="7"/>
  <c r="CQX2" i="7"/>
  <c r="CQY2" i="7"/>
  <c r="CQZ2" i="7"/>
  <c r="CRA2" i="7"/>
  <c r="CRB2" i="7"/>
  <c r="CRC2" i="7"/>
  <c r="CRD2" i="7"/>
  <c r="CRE2" i="7"/>
  <c r="CRF2" i="7"/>
  <c r="CRG2" i="7"/>
  <c r="CRH2" i="7"/>
  <c r="CRI2" i="7"/>
  <c r="CRJ2" i="7"/>
  <c r="CRK2" i="7"/>
  <c r="CRL2" i="7"/>
  <c r="CRM2" i="7"/>
  <c r="CRN2" i="7"/>
  <c r="CRO2" i="7"/>
  <c r="CRP2" i="7"/>
  <c r="CRQ2" i="7"/>
  <c r="CRR2" i="7"/>
  <c r="CRS2" i="7"/>
  <c r="CRT2" i="7"/>
  <c r="CRU2" i="7"/>
  <c r="CRV2" i="7"/>
  <c r="CRW2" i="7"/>
  <c r="CRX2" i="7"/>
  <c r="CRY2" i="7"/>
  <c r="CRZ2" i="7"/>
  <c r="CSA2" i="7"/>
  <c r="CSB2" i="7"/>
  <c r="CSC2" i="7"/>
  <c r="CSD2" i="7"/>
  <c r="CSE2" i="7"/>
  <c r="CSF2" i="7"/>
  <c r="CSG2" i="7"/>
  <c r="CSH2" i="7"/>
  <c r="CSI2" i="7"/>
  <c r="CSJ2" i="7"/>
  <c r="CSK2" i="7"/>
  <c r="CSL2" i="7"/>
  <c r="CSM2" i="7"/>
  <c r="CSN2" i="7"/>
  <c r="CSO2" i="7"/>
  <c r="CSP2" i="7"/>
  <c r="CSQ2" i="7"/>
  <c r="CSR2" i="7"/>
  <c r="CSS2" i="7"/>
  <c r="CST2" i="7"/>
  <c r="CSU2" i="7"/>
  <c r="CSV2" i="7"/>
  <c r="CSW2" i="7"/>
  <c r="CSX2" i="7"/>
  <c r="CSY2" i="7"/>
  <c r="CSZ2" i="7"/>
  <c r="CTA2" i="7"/>
  <c r="CTB2" i="7"/>
  <c r="CTC2" i="7"/>
  <c r="CTD2" i="7"/>
  <c r="CTE2" i="7"/>
  <c r="CTF2" i="7"/>
  <c r="CTG2" i="7"/>
  <c r="CTH2" i="7"/>
  <c r="CTI2" i="7"/>
  <c r="CTJ2" i="7"/>
  <c r="CTK2" i="7"/>
  <c r="CTL2" i="7"/>
  <c r="CTM2" i="7"/>
  <c r="CTN2" i="7"/>
  <c r="CTO2" i="7"/>
  <c r="CTP2" i="7"/>
  <c r="CTQ2" i="7"/>
  <c r="CTR2" i="7"/>
  <c r="CTS2" i="7"/>
  <c r="CTT2" i="7"/>
  <c r="CTU2" i="7"/>
  <c r="CTV2" i="7"/>
  <c r="CTW2" i="7"/>
  <c r="CTX2" i="7"/>
  <c r="CTY2" i="7"/>
  <c r="CTZ2" i="7"/>
  <c r="CUA2" i="7"/>
  <c r="CUB2" i="7"/>
  <c r="CUC2" i="7"/>
  <c r="CUD2" i="7"/>
  <c r="CUE2" i="7"/>
  <c r="CUF2" i="7"/>
  <c r="CUG2" i="7"/>
  <c r="CUH2" i="7"/>
  <c r="CUI2" i="7"/>
  <c r="CUJ2" i="7"/>
  <c r="CUK2" i="7"/>
  <c r="CUL2" i="7"/>
  <c r="CUM2" i="7"/>
  <c r="CUN2" i="7"/>
  <c r="CUO2" i="7"/>
  <c r="CUP2" i="7"/>
  <c r="CUQ2" i="7"/>
  <c r="CUR2" i="7"/>
  <c r="CUS2" i="7"/>
  <c r="CUT2" i="7"/>
  <c r="CUU2" i="7"/>
  <c r="CUV2" i="7"/>
  <c r="CUW2" i="7"/>
  <c r="CUX2" i="7"/>
  <c r="CUY2" i="7"/>
  <c r="CUZ2" i="7"/>
  <c r="CVA2" i="7"/>
  <c r="CVB2" i="7"/>
  <c r="CVC2" i="7"/>
  <c r="CVD2" i="7"/>
  <c r="CVE2" i="7"/>
  <c r="CVF2" i="7"/>
  <c r="CVG2" i="7"/>
  <c r="CVH2" i="7"/>
  <c r="CVI2" i="7"/>
  <c r="CVJ2" i="7"/>
  <c r="CVK2" i="7"/>
  <c r="CVL2" i="7"/>
  <c r="CVM2" i="7"/>
  <c r="CVN2" i="7"/>
  <c r="CVO2" i="7"/>
  <c r="CVP2" i="7"/>
  <c r="CVQ2" i="7"/>
  <c r="CVR2" i="7"/>
  <c r="CVS2" i="7"/>
  <c r="CVT2" i="7"/>
  <c r="CVU2" i="7"/>
  <c r="CVV2" i="7"/>
  <c r="CVW2" i="7"/>
  <c r="CVX2" i="7"/>
  <c r="CVY2" i="7"/>
  <c r="CVZ2" i="7"/>
  <c r="CWA2" i="7"/>
  <c r="CWB2" i="7"/>
  <c r="CWC2" i="7"/>
  <c r="CWD2" i="7"/>
  <c r="CWE2" i="7"/>
  <c r="CWF2" i="7"/>
  <c r="CWG2" i="7"/>
  <c r="CWH2" i="7"/>
  <c r="CWI2" i="7"/>
  <c r="CWJ2" i="7"/>
  <c r="CWK2" i="7"/>
  <c r="CWL2" i="7"/>
  <c r="CWM2" i="7"/>
  <c r="CWN2" i="7"/>
  <c r="CWO2" i="7"/>
  <c r="CWP2" i="7"/>
  <c r="CWQ2" i="7"/>
  <c r="CWR2" i="7"/>
  <c r="CWS2" i="7"/>
  <c r="CWT2" i="7"/>
  <c r="CWU2" i="7"/>
  <c r="CWV2" i="7"/>
  <c r="CWW2" i="7"/>
  <c r="CWX2" i="7"/>
  <c r="CWY2" i="7"/>
  <c r="CWZ2" i="7"/>
  <c r="CXA2" i="7"/>
  <c r="CXB2" i="7"/>
  <c r="CXC2" i="7"/>
  <c r="CXD2" i="7"/>
  <c r="CXE2" i="7"/>
  <c r="CXF2" i="7"/>
  <c r="CXG2" i="7"/>
  <c r="CXH2" i="7"/>
  <c r="CXI2" i="7"/>
  <c r="CXJ2" i="7"/>
  <c r="CXK2" i="7"/>
  <c r="CXL2" i="7"/>
  <c r="CXM2" i="7"/>
  <c r="CXN2" i="7"/>
  <c r="CXO2" i="7"/>
  <c r="CXP2" i="7"/>
  <c r="CXQ2" i="7"/>
  <c r="CXR2" i="7"/>
  <c r="CXS2" i="7"/>
  <c r="CXT2" i="7"/>
  <c r="CXU2" i="7"/>
  <c r="CXV2" i="7"/>
  <c r="CXW2" i="7"/>
  <c r="CXX2" i="7"/>
  <c r="CXY2" i="7"/>
  <c r="CXZ2" i="7"/>
  <c r="CYA2" i="7"/>
  <c r="CYB2" i="7"/>
  <c r="CYC2" i="7"/>
  <c r="CYD2" i="7"/>
  <c r="CYE2" i="7"/>
  <c r="CYF2" i="7"/>
  <c r="CYG2" i="7"/>
  <c r="CYH2" i="7"/>
  <c r="CYI2" i="7"/>
  <c r="CYJ2" i="7"/>
  <c r="CYK2" i="7"/>
  <c r="CYL2" i="7"/>
  <c r="CYM2" i="7"/>
  <c r="CYN2" i="7"/>
  <c r="CYO2" i="7"/>
  <c r="CYP2" i="7"/>
  <c r="CYQ2" i="7"/>
  <c r="CYR2" i="7"/>
  <c r="CYS2" i="7"/>
  <c r="CYT2" i="7"/>
  <c r="CYU2" i="7"/>
  <c r="CYV2" i="7"/>
  <c r="CYW2" i="7"/>
  <c r="CYX2" i="7"/>
  <c r="CYY2" i="7"/>
  <c r="CYZ2" i="7"/>
  <c r="CZA2" i="7"/>
  <c r="CZB2" i="7"/>
  <c r="CZC2" i="7"/>
  <c r="CZD2" i="7"/>
  <c r="CZE2" i="7"/>
  <c r="CZF2" i="7"/>
  <c r="CZG2" i="7"/>
  <c r="CZH2" i="7"/>
  <c r="CZI2" i="7"/>
  <c r="CZJ2" i="7"/>
  <c r="CZK2" i="7"/>
  <c r="CZL2" i="7"/>
  <c r="CZM2" i="7"/>
  <c r="CZN2" i="7"/>
  <c r="CZO2" i="7"/>
  <c r="CZP2" i="7"/>
  <c r="CZQ2" i="7"/>
  <c r="CZR2" i="7"/>
  <c r="CZS2" i="7"/>
  <c r="CZT2" i="7"/>
  <c r="CZU2" i="7"/>
  <c r="CZV2" i="7"/>
  <c r="CZW2" i="7"/>
  <c r="CZX2" i="7"/>
  <c r="CZY2" i="7"/>
  <c r="CZZ2" i="7"/>
  <c r="DAA2" i="7"/>
  <c r="DAB2" i="7"/>
  <c r="DAC2" i="7"/>
  <c r="DAD2" i="7"/>
  <c r="DAE2" i="7"/>
  <c r="DAF2" i="7"/>
  <c r="DAG2" i="7"/>
  <c r="DAH2" i="7"/>
  <c r="DAI2" i="7"/>
  <c r="DAJ2" i="7"/>
  <c r="DAK2" i="7"/>
  <c r="DAL2" i="7"/>
  <c r="DAM2" i="7"/>
  <c r="DAN2" i="7"/>
  <c r="DAO2" i="7"/>
  <c r="DAP2" i="7"/>
  <c r="DAQ2" i="7"/>
  <c r="DAR2" i="7"/>
  <c r="DAS2" i="7"/>
  <c r="DAT2" i="7"/>
  <c r="DAU2" i="7"/>
  <c r="DAV2" i="7"/>
  <c r="DAW2" i="7"/>
  <c r="DAX2" i="7"/>
  <c r="DAY2" i="7"/>
  <c r="DAZ2" i="7"/>
  <c r="DBA2" i="7"/>
  <c r="DBB2" i="7"/>
  <c r="DBC2" i="7"/>
  <c r="DBD2" i="7"/>
  <c r="DBE2" i="7"/>
  <c r="DBF2" i="7"/>
  <c r="DBG2" i="7"/>
  <c r="DBH2" i="7"/>
  <c r="DBI2" i="7"/>
  <c r="DBJ2" i="7"/>
  <c r="DBK2" i="7"/>
  <c r="DBL2" i="7"/>
  <c r="DBM2" i="7"/>
  <c r="DBN2" i="7"/>
  <c r="DBO2" i="7"/>
  <c r="DBP2" i="7"/>
  <c r="DBQ2" i="7"/>
  <c r="DBR2" i="7"/>
  <c r="DBS2" i="7"/>
  <c r="DBT2" i="7"/>
  <c r="DBU2" i="7"/>
  <c r="DBV2" i="7"/>
  <c r="DBW2" i="7"/>
  <c r="DBX2" i="7"/>
  <c r="DBY2" i="7"/>
  <c r="DBZ2" i="7"/>
  <c r="DCA2" i="7"/>
  <c r="DCB2" i="7"/>
  <c r="DCC2" i="7"/>
  <c r="DCD2" i="7"/>
  <c r="DCE2" i="7"/>
  <c r="DCF2" i="7"/>
  <c r="DCG2" i="7"/>
  <c r="DCH2" i="7"/>
  <c r="DCI2" i="7"/>
  <c r="DCJ2" i="7"/>
  <c r="DCK2" i="7"/>
  <c r="DCL2" i="7"/>
  <c r="DCM2" i="7"/>
  <c r="DCN2" i="7"/>
  <c r="DCO2" i="7"/>
  <c r="DCP2" i="7"/>
  <c r="DCQ2" i="7"/>
  <c r="DCR2" i="7"/>
  <c r="DCS2" i="7"/>
  <c r="DCT2" i="7"/>
  <c r="DCU2" i="7"/>
  <c r="DCV2" i="7"/>
  <c r="DCW2" i="7"/>
  <c r="DCX2" i="7"/>
  <c r="DCY2" i="7"/>
  <c r="DCZ2" i="7"/>
  <c r="DDA2" i="7"/>
  <c r="DDB2" i="7"/>
  <c r="DDC2" i="7"/>
  <c r="DDD2" i="7"/>
  <c r="DDE2" i="7"/>
  <c r="DDF2" i="7"/>
  <c r="DDG2" i="7"/>
  <c r="DDH2" i="7"/>
  <c r="DDI2" i="7"/>
  <c r="DDJ2" i="7"/>
  <c r="DDK2" i="7"/>
  <c r="DDL2" i="7"/>
  <c r="DDM2" i="7"/>
  <c r="DDN2" i="7"/>
  <c r="DDO2" i="7"/>
  <c r="DDP2" i="7"/>
  <c r="DDQ2" i="7"/>
  <c r="DDR2" i="7"/>
  <c r="DDS2" i="7"/>
  <c r="DDT2" i="7"/>
  <c r="DDU2" i="7"/>
  <c r="DDV2" i="7"/>
  <c r="DDW2" i="7"/>
  <c r="DDX2" i="7"/>
  <c r="DDY2" i="7"/>
  <c r="DDZ2" i="7"/>
  <c r="DEA2" i="7"/>
  <c r="DEB2" i="7"/>
  <c r="DEC2" i="7"/>
  <c r="DED2" i="7"/>
  <c r="DEE2" i="7"/>
  <c r="DEF2" i="7"/>
  <c r="DEG2" i="7"/>
  <c r="DEH2" i="7"/>
  <c r="DEI2" i="7"/>
  <c r="DEJ2" i="7"/>
  <c r="DEK2" i="7"/>
  <c r="DEL2" i="7"/>
  <c r="DEM2" i="7"/>
  <c r="DEN2" i="7"/>
  <c r="DEO2" i="7"/>
  <c r="DEP2" i="7"/>
  <c r="DEQ2" i="7"/>
  <c r="DER2" i="7"/>
  <c r="DES2" i="7"/>
  <c r="DET2" i="7"/>
  <c r="DEU2" i="7"/>
  <c r="DEV2" i="7"/>
  <c r="DEW2" i="7"/>
  <c r="DEX2" i="7"/>
  <c r="DEY2" i="7"/>
  <c r="DEZ2" i="7"/>
  <c r="DFA2" i="7"/>
  <c r="DFB2" i="7"/>
  <c r="DFC2" i="7"/>
  <c r="DFD2" i="7"/>
  <c r="DFE2" i="7"/>
  <c r="DFF2" i="7"/>
  <c r="DFG2" i="7"/>
  <c r="DFH2" i="7"/>
  <c r="DFI2" i="7"/>
  <c r="DFJ2" i="7"/>
  <c r="DFK2" i="7"/>
  <c r="DFL2" i="7"/>
  <c r="DFM2" i="7"/>
  <c r="DFN2" i="7"/>
  <c r="DFO2" i="7"/>
  <c r="DFP2" i="7"/>
  <c r="DFQ2" i="7"/>
  <c r="DFR2" i="7"/>
  <c r="DFS2" i="7"/>
  <c r="DFT2" i="7"/>
  <c r="DFU2" i="7"/>
  <c r="DFV2" i="7"/>
  <c r="DFW2" i="7"/>
  <c r="DFX2" i="7"/>
  <c r="DFY2" i="7"/>
  <c r="DFZ2" i="7"/>
  <c r="DGA2" i="7"/>
  <c r="DGB2" i="7"/>
  <c r="DGC2" i="7"/>
  <c r="DGD2" i="7"/>
  <c r="DGE2" i="7"/>
  <c r="DGF2" i="7"/>
  <c r="DGG2" i="7"/>
  <c r="DGH2" i="7"/>
  <c r="DGI2" i="7"/>
  <c r="DGJ2" i="7"/>
  <c r="DGK2" i="7"/>
  <c r="DGL2" i="7"/>
  <c r="DGM2" i="7"/>
  <c r="DGN2" i="7"/>
  <c r="DGO2" i="7"/>
  <c r="DGP2" i="7"/>
  <c r="DGQ2" i="7"/>
  <c r="DGR2" i="7"/>
  <c r="DGS2" i="7"/>
  <c r="DGT2" i="7"/>
  <c r="DGU2" i="7"/>
  <c r="DGV2" i="7"/>
  <c r="DGW2" i="7"/>
  <c r="DGX2" i="7"/>
  <c r="DGY2" i="7"/>
  <c r="DGZ2" i="7"/>
  <c r="DHA2" i="7"/>
  <c r="DHB2" i="7"/>
  <c r="DHC2" i="7"/>
  <c r="DHD2" i="7"/>
  <c r="DHE2" i="7"/>
  <c r="DHF2" i="7"/>
  <c r="DHG2" i="7"/>
  <c r="DHH2" i="7"/>
  <c r="DHI2" i="7"/>
  <c r="DHJ2" i="7"/>
  <c r="DHK2" i="7"/>
  <c r="DHL2" i="7"/>
  <c r="DHM2" i="7"/>
  <c r="DHN2" i="7"/>
  <c r="DHO2" i="7"/>
  <c r="DHP2" i="7"/>
  <c r="DHQ2" i="7"/>
  <c r="DHR2" i="7"/>
  <c r="DHS2" i="7"/>
  <c r="DHT2" i="7"/>
  <c r="DHU2" i="7"/>
  <c r="DHV2" i="7"/>
  <c r="DHW2" i="7"/>
  <c r="DHX2" i="7"/>
  <c r="DHY2" i="7"/>
  <c r="DHZ2" i="7"/>
  <c r="DIA2" i="7"/>
  <c r="DIB2" i="7"/>
  <c r="DIC2" i="7"/>
  <c r="DID2" i="7"/>
  <c r="DIE2" i="7"/>
  <c r="DIF2" i="7"/>
  <c r="DIG2" i="7"/>
  <c r="DIH2" i="7"/>
  <c r="DII2" i="7"/>
  <c r="DIJ2" i="7"/>
  <c r="DIK2" i="7"/>
  <c r="DIL2" i="7"/>
  <c r="DIM2" i="7"/>
  <c r="DIN2" i="7"/>
  <c r="DIO2" i="7"/>
  <c r="DIP2" i="7"/>
  <c r="DIQ2" i="7"/>
  <c r="DIR2" i="7"/>
  <c r="DIS2" i="7"/>
  <c r="DIT2" i="7"/>
  <c r="DIU2" i="7"/>
  <c r="DIV2" i="7"/>
  <c r="DIW2" i="7"/>
  <c r="DIX2" i="7"/>
  <c r="DIY2" i="7"/>
  <c r="DIZ2" i="7"/>
  <c r="DJA2" i="7"/>
  <c r="DJB2" i="7"/>
  <c r="DJC2" i="7"/>
  <c r="DJD2" i="7"/>
  <c r="DJE2" i="7"/>
  <c r="DJF2" i="7"/>
  <c r="DJG2" i="7"/>
  <c r="DJH2" i="7"/>
  <c r="DJI2" i="7"/>
  <c r="DJJ2" i="7"/>
  <c r="DJK2" i="7"/>
  <c r="DJL2" i="7"/>
  <c r="DJM2" i="7"/>
  <c r="DJN2" i="7"/>
  <c r="DJO2" i="7"/>
  <c r="DJP2" i="7"/>
  <c r="DJQ2" i="7"/>
  <c r="DJR2" i="7"/>
  <c r="DJS2" i="7"/>
  <c r="DJT2" i="7"/>
  <c r="DJU2" i="7"/>
  <c r="DJV2" i="7"/>
  <c r="DJW2" i="7"/>
  <c r="DJX2" i="7"/>
  <c r="DJY2" i="7"/>
  <c r="DJZ2" i="7"/>
  <c r="DKA2" i="7"/>
  <c r="DKB2" i="7"/>
  <c r="DKC2" i="7"/>
  <c r="DKD2" i="7"/>
  <c r="DKE2" i="7"/>
  <c r="DKF2" i="7"/>
  <c r="DKG2" i="7"/>
  <c r="DKH2" i="7"/>
  <c r="DKI2" i="7"/>
  <c r="DKJ2" i="7"/>
  <c r="DKK2" i="7"/>
  <c r="DKL2" i="7"/>
  <c r="DKM2" i="7"/>
  <c r="DKN2" i="7"/>
  <c r="DKO2" i="7"/>
  <c r="DKP2" i="7"/>
  <c r="DKQ2" i="7"/>
  <c r="DKR2" i="7"/>
  <c r="DKS2" i="7"/>
  <c r="DKT2" i="7"/>
  <c r="DKU2" i="7"/>
  <c r="DKV2" i="7"/>
  <c r="DKW2" i="7"/>
  <c r="DKX2" i="7"/>
  <c r="DKY2" i="7"/>
  <c r="DKZ2" i="7"/>
  <c r="DLA2" i="7"/>
  <c r="DLB2" i="7"/>
  <c r="DLC2" i="7"/>
  <c r="DLD2" i="7"/>
  <c r="DLE2" i="7"/>
  <c r="DLF2" i="7"/>
  <c r="DLG2" i="7"/>
  <c r="DLH2" i="7"/>
  <c r="DLI2" i="7"/>
  <c r="DLJ2" i="7"/>
  <c r="DLK2" i="7"/>
  <c r="DLL2" i="7"/>
  <c r="DLM2" i="7"/>
  <c r="DLN2" i="7"/>
  <c r="DLO2" i="7"/>
  <c r="DLP2" i="7"/>
  <c r="DLQ2" i="7"/>
  <c r="DLR2" i="7"/>
  <c r="DLS2" i="7"/>
  <c r="DLT2" i="7"/>
  <c r="DLU2" i="7"/>
  <c r="DLV2" i="7"/>
  <c r="DLW2" i="7"/>
  <c r="DLX2" i="7"/>
  <c r="DLY2" i="7"/>
  <c r="DLZ2" i="7"/>
  <c r="DMA2" i="7"/>
  <c r="DMB2" i="7"/>
  <c r="DMC2" i="7"/>
  <c r="DMD2" i="7"/>
  <c r="DME2" i="7"/>
  <c r="DMF2" i="7"/>
  <c r="DMG2" i="7"/>
  <c r="DMH2" i="7"/>
  <c r="DMI2" i="7"/>
  <c r="DMJ2" i="7"/>
  <c r="DMK2" i="7"/>
  <c r="DML2" i="7"/>
  <c r="DMM2" i="7"/>
  <c r="DMN2" i="7"/>
  <c r="DMO2" i="7"/>
  <c r="DMP2" i="7"/>
  <c r="DMQ2" i="7"/>
  <c r="DMR2" i="7"/>
  <c r="DMS2" i="7"/>
  <c r="DMT2" i="7"/>
  <c r="DMU2" i="7"/>
  <c r="DMV2" i="7"/>
  <c r="DMW2" i="7"/>
  <c r="DMX2" i="7"/>
  <c r="DMY2" i="7"/>
  <c r="DMZ2" i="7"/>
  <c r="DNA2" i="7"/>
  <c r="DNB2" i="7"/>
  <c r="DNC2" i="7"/>
  <c r="DND2" i="7"/>
  <c r="DNE2" i="7"/>
  <c r="DNF2" i="7"/>
  <c r="DNG2" i="7"/>
  <c r="DNH2" i="7"/>
  <c r="DNI2" i="7"/>
  <c r="DNJ2" i="7"/>
  <c r="DNK2" i="7"/>
  <c r="DNL2" i="7"/>
  <c r="DNM2" i="7"/>
  <c r="DNN2" i="7"/>
  <c r="DNO2" i="7"/>
  <c r="DNP2" i="7"/>
  <c r="DNQ2" i="7"/>
  <c r="DNR2" i="7"/>
  <c r="DNS2" i="7"/>
  <c r="DNT2" i="7"/>
  <c r="DNU2" i="7"/>
  <c r="DNV2" i="7"/>
  <c r="DNW2" i="7"/>
  <c r="DNX2" i="7"/>
  <c r="DNY2" i="7"/>
  <c r="DNZ2" i="7"/>
  <c r="DOA2" i="7"/>
  <c r="DOB2" i="7"/>
  <c r="DOC2" i="7"/>
  <c r="DOD2" i="7"/>
  <c r="DOE2" i="7"/>
  <c r="DOF2" i="7"/>
  <c r="DOG2" i="7"/>
  <c r="DOH2" i="7"/>
  <c r="DOI2" i="7"/>
  <c r="DOJ2" i="7"/>
  <c r="DOK2" i="7"/>
  <c r="DOL2" i="7"/>
  <c r="DOM2" i="7"/>
  <c r="DON2" i="7"/>
  <c r="DOO2" i="7"/>
  <c r="DOP2" i="7"/>
  <c r="DOQ2" i="7"/>
  <c r="DOR2" i="7"/>
  <c r="DOS2" i="7"/>
  <c r="DOT2" i="7"/>
  <c r="DOU2" i="7"/>
  <c r="DOV2" i="7"/>
  <c r="DOW2" i="7"/>
  <c r="DOX2" i="7"/>
  <c r="DOY2" i="7"/>
  <c r="DOZ2" i="7"/>
  <c r="DPA2" i="7"/>
  <c r="DPB2" i="7"/>
  <c r="DPC2" i="7"/>
  <c r="DPD2" i="7"/>
  <c r="DPE2" i="7"/>
  <c r="DPF2" i="7"/>
  <c r="DPG2" i="7"/>
  <c r="DPH2" i="7"/>
  <c r="DPI2" i="7"/>
  <c r="DPJ2" i="7"/>
  <c r="DPK2" i="7"/>
  <c r="DPL2" i="7"/>
  <c r="DPM2" i="7"/>
  <c r="DPN2" i="7"/>
  <c r="DPO2" i="7"/>
  <c r="DPP2" i="7"/>
  <c r="DPQ2" i="7"/>
  <c r="DPR2" i="7"/>
  <c r="DPS2" i="7"/>
  <c r="DPT2" i="7"/>
  <c r="DPU2" i="7"/>
  <c r="DPV2" i="7"/>
  <c r="DPW2" i="7"/>
  <c r="DPX2" i="7"/>
  <c r="DPY2" i="7"/>
  <c r="DPZ2" i="7"/>
  <c r="DQA2" i="7"/>
  <c r="DQB2" i="7"/>
  <c r="DQC2" i="7"/>
  <c r="DQD2" i="7"/>
  <c r="DQE2" i="7"/>
  <c r="DQF2" i="7"/>
  <c r="DQG2" i="7"/>
  <c r="DQH2" i="7"/>
  <c r="DQI2" i="7"/>
  <c r="DQJ2" i="7"/>
  <c r="DQK2" i="7"/>
  <c r="DQL2" i="7"/>
  <c r="DQM2" i="7"/>
  <c r="DQN2" i="7"/>
  <c r="DQO2" i="7"/>
  <c r="DQP2" i="7"/>
  <c r="DQQ2" i="7"/>
  <c r="DQR2" i="7"/>
  <c r="DQS2" i="7"/>
  <c r="DQT2" i="7"/>
  <c r="DQU2" i="7"/>
  <c r="DQV2" i="7"/>
  <c r="DQW2" i="7"/>
  <c r="DQX2" i="7"/>
  <c r="DQY2" i="7"/>
  <c r="DQZ2" i="7"/>
  <c r="DRA2" i="7"/>
  <c r="DRB2" i="7"/>
  <c r="DRC2" i="7"/>
  <c r="DRD2" i="7"/>
  <c r="DRE2" i="7"/>
  <c r="DRF2" i="7"/>
  <c r="DRG2" i="7"/>
  <c r="DRH2" i="7"/>
  <c r="DRI2" i="7"/>
  <c r="DRJ2" i="7"/>
  <c r="DRK2" i="7"/>
  <c r="DRL2" i="7"/>
  <c r="DRM2" i="7"/>
  <c r="DRN2" i="7"/>
  <c r="DRO2" i="7"/>
  <c r="DRP2" i="7"/>
  <c r="DRQ2" i="7"/>
  <c r="DRR2" i="7"/>
  <c r="DRS2" i="7"/>
  <c r="DRT2" i="7"/>
  <c r="DRU2" i="7"/>
  <c r="DRV2" i="7"/>
  <c r="DRW2" i="7"/>
  <c r="DRX2" i="7"/>
  <c r="DRY2" i="7"/>
  <c r="DRZ2" i="7"/>
  <c r="DSA2" i="7"/>
  <c r="DSB2" i="7"/>
  <c r="DSC2" i="7"/>
  <c r="DSD2" i="7"/>
  <c r="DSE2" i="7"/>
  <c r="DSF2" i="7"/>
  <c r="DSG2" i="7"/>
  <c r="DSH2" i="7"/>
  <c r="DSI2" i="7"/>
  <c r="DSJ2" i="7"/>
  <c r="DSK2" i="7"/>
  <c r="DSL2" i="7"/>
  <c r="DSM2" i="7"/>
  <c r="DSN2" i="7"/>
  <c r="DSO2" i="7"/>
  <c r="DSP2" i="7"/>
  <c r="DSQ2" i="7"/>
  <c r="DSR2" i="7"/>
  <c r="DSS2" i="7"/>
  <c r="DST2" i="7"/>
  <c r="DSU2" i="7"/>
  <c r="DSV2" i="7"/>
  <c r="DSW2" i="7"/>
  <c r="DSX2" i="7"/>
  <c r="DSY2" i="7"/>
  <c r="DSZ2" i="7"/>
  <c r="DTA2" i="7"/>
  <c r="DTB2" i="7"/>
  <c r="DTC2" i="7"/>
  <c r="DTD2" i="7"/>
  <c r="DTE2" i="7"/>
  <c r="DTF2" i="7"/>
  <c r="DTG2" i="7"/>
  <c r="DTH2" i="7"/>
  <c r="DTI2" i="7"/>
  <c r="DTJ2" i="7"/>
  <c r="DTK2" i="7"/>
  <c r="DTL2" i="7"/>
  <c r="DTM2" i="7"/>
  <c r="DTN2" i="7"/>
  <c r="DTO2" i="7"/>
  <c r="DTP2" i="7"/>
  <c r="DTQ2" i="7"/>
  <c r="DTR2" i="7"/>
  <c r="DTS2" i="7"/>
  <c r="DTT2" i="7"/>
  <c r="DTU2" i="7"/>
  <c r="DTV2" i="7"/>
  <c r="DTW2" i="7"/>
  <c r="DTX2" i="7"/>
  <c r="DTY2" i="7"/>
  <c r="DTZ2" i="7"/>
  <c r="DUA2" i="7"/>
  <c r="DUB2" i="7"/>
  <c r="DUC2" i="7"/>
  <c r="DUD2" i="7"/>
  <c r="DUE2" i="7"/>
  <c r="DUF2" i="7"/>
  <c r="DUG2" i="7"/>
  <c r="DUH2" i="7"/>
  <c r="DUI2" i="7"/>
  <c r="DUJ2" i="7"/>
  <c r="DUK2" i="7"/>
  <c r="DUL2" i="7"/>
  <c r="DUM2" i="7"/>
  <c r="DUN2" i="7"/>
  <c r="DUO2" i="7"/>
  <c r="DUP2" i="7"/>
  <c r="DUQ2" i="7"/>
  <c r="DUR2" i="7"/>
  <c r="DUS2" i="7"/>
  <c r="DUT2" i="7"/>
  <c r="DUU2" i="7"/>
  <c r="DUV2" i="7"/>
  <c r="DUW2" i="7"/>
  <c r="DUX2" i="7"/>
  <c r="DUY2" i="7"/>
  <c r="DUZ2" i="7"/>
  <c r="DVA2" i="7"/>
  <c r="DVB2" i="7"/>
  <c r="DVC2" i="7"/>
  <c r="DVD2" i="7"/>
  <c r="DVE2" i="7"/>
  <c r="DVF2" i="7"/>
  <c r="DVG2" i="7"/>
  <c r="DVH2" i="7"/>
  <c r="DVI2" i="7"/>
  <c r="DVJ2" i="7"/>
  <c r="DVK2" i="7"/>
  <c r="DVL2" i="7"/>
  <c r="DVM2" i="7"/>
  <c r="DVN2" i="7"/>
  <c r="DVO2" i="7"/>
  <c r="DVP2" i="7"/>
  <c r="DVQ2" i="7"/>
  <c r="DVR2" i="7"/>
  <c r="DVS2" i="7"/>
  <c r="DVT2" i="7"/>
  <c r="DVU2" i="7"/>
  <c r="DVV2" i="7"/>
  <c r="DVW2" i="7"/>
  <c r="DVX2" i="7"/>
  <c r="DVY2" i="7"/>
  <c r="DVZ2" i="7"/>
  <c r="DWA2" i="7"/>
  <c r="DWB2" i="7"/>
  <c r="DWC2" i="7"/>
  <c r="DWD2" i="7"/>
  <c r="DWE2" i="7"/>
  <c r="DWF2" i="7"/>
  <c r="DWG2" i="7"/>
  <c r="DWH2" i="7"/>
  <c r="DWI2" i="7"/>
  <c r="DWJ2" i="7"/>
  <c r="DWK2" i="7"/>
  <c r="DWL2" i="7"/>
  <c r="DWM2" i="7"/>
  <c r="DWN2" i="7"/>
  <c r="DWO2" i="7"/>
  <c r="DWP2" i="7"/>
  <c r="DWQ2" i="7"/>
  <c r="DWR2" i="7"/>
  <c r="DWS2" i="7"/>
  <c r="DWT2" i="7"/>
  <c r="DWU2" i="7"/>
  <c r="DWV2" i="7"/>
  <c r="DWW2" i="7"/>
  <c r="DWX2" i="7"/>
  <c r="DWY2" i="7"/>
  <c r="DWZ2" i="7"/>
  <c r="DXA2" i="7"/>
  <c r="DXB2" i="7"/>
  <c r="DXC2" i="7"/>
  <c r="DXD2" i="7"/>
  <c r="DXE2" i="7"/>
  <c r="DXF2" i="7"/>
  <c r="DXG2" i="7"/>
  <c r="DXH2" i="7"/>
  <c r="DXI2" i="7"/>
  <c r="DXJ2" i="7"/>
  <c r="DXK2" i="7"/>
  <c r="DXL2" i="7"/>
  <c r="DXM2" i="7"/>
  <c r="DXN2" i="7"/>
  <c r="DXO2" i="7"/>
  <c r="DXP2" i="7"/>
  <c r="DXQ2" i="7"/>
  <c r="DXR2" i="7"/>
  <c r="DXS2" i="7"/>
  <c r="DXT2" i="7"/>
  <c r="DXU2" i="7"/>
  <c r="DXV2" i="7"/>
  <c r="DXW2" i="7"/>
  <c r="DXX2" i="7"/>
  <c r="DXY2" i="7"/>
  <c r="DXZ2" i="7"/>
  <c r="DYA2" i="7"/>
  <c r="DYB2" i="7"/>
  <c r="DYC2" i="7"/>
  <c r="DYD2" i="7"/>
  <c r="DYE2" i="7"/>
  <c r="DYF2" i="7"/>
  <c r="DYG2" i="7"/>
  <c r="DYH2" i="7"/>
  <c r="DYI2" i="7"/>
  <c r="DYJ2" i="7"/>
  <c r="DYK2" i="7"/>
  <c r="DYL2" i="7"/>
  <c r="DYM2" i="7"/>
  <c r="DYN2" i="7"/>
  <c r="DYO2" i="7"/>
  <c r="DYP2" i="7"/>
  <c r="DYQ2" i="7"/>
  <c r="DYR2" i="7"/>
  <c r="DYS2" i="7"/>
  <c r="DYT2" i="7"/>
  <c r="DYU2" i="7"/>
  <c r="DYV2" i="7"/>
  <c r="DYW2" i="7"/>
  <c r="DYX2" i="7"/>
  <c r="DYY2" i="7"/>
  <c r="DYZ2" i="7"/>
  <c r="DZA2" i="7"/>
  <c r="DZB2" i="7"/>
  <c r="DZC2" i="7"/>
  <c r="DZD2" i="7"/>
  <c r="DZE2" i="7"/>
  <c r="DZF2" i="7"/>
  <c r="DZG2" i="7"/>
  <c r="DZH2" i="7"/>
  <c r="DZI2" i="7"/>
  <c r="DZJ2" i="7"/>
  <c r="DZK2" i="7"/>
  <c r="DZL2" i="7"/>
  <c r="DZM2" i="7"/>
  <c r="DZN2" i="7"/>
  <c r="DZO2" i="7"/>
  <c r="DZP2" i="7"/>
  <c r="DZQ2" i="7"/>
  <c r="DZR2" i="7"/>
  <c r="DZS2" i="7"/>
  <c r="DZT2" i="7"/>
  <c r="DZU2" i="7"/>
  <c r="DZV2" i="7"/>
  <c r="DZW2" i="7"/>
  <c r="DZX2" i="7"/>
  <c r="DZY2" i="7"/>
  <c r="DZZ2" i="7"/>
  <c r="EAA2" i="7"/>
  <c r="EAB2" i="7"/>
  <c r="EAC2" i="7"/>
  <c r="EAD2" i="7"/>
  <c r="EAE2" i="7"/>
  <c r="EAF2" i="7"/>
  <c r="EAG2" i="7"/>
  <c r="EAH2" i="7"/>
  <c r="EAI2" i="7"/>
  <c r="EAJ2" i="7"/>
  <c r="EAK2" i="7"/>
  <c r="EAL2" i="7"/>
  <c r="EAM2" i="7"/>
  <c r="EAN2" i="7"/>
  <c r="EAO2" i="7"/>
  <c r="EAP2" i="7"/>
  <c r="EAQ2" i="7"/>
  <c r="EAR2" i="7"/>
  <c r="EAS2" i="7"/>
  <c r="EAT2" i="7"/>
  <c r="EAU2" i="7"/>
  <c r="EAV2" i="7"/>
  <c r="EAW2" i="7"/>
  <c r="EAX2" i="7"/>
  <c r="EAY2" i="7"/>
  <c r="EAZ2" i="7"/>
  <c r="EBA2" i="7"/>
  <c r="EBB2" i="7"/>
  <c r="EBC2" i="7"/>
  <c r="EBD2" i="7"/>
  <c r="EBE2" i="7"/>
  <c r="EBF2" i="7"/>
  <c r="EBG2" i="7"/>
  <c r="EBH2" i="7"/>
  <c r="EBI2" i="7"/>
  <c r="EBJ2" i="7"/>
  <c r="EBK2" i="7"/>
  <c r="EBL2" i="7"/>
  <c r="EBM2" i="7"/>
  <c r="EBN2" i="7"/>
  <c r="EBO2" i="7"/>
  <c r="EBP2" i="7"/>
  <c r="EBQ2" i="7"/>
  <c r="EBR2" i="7"/>
  <c r="EBS2" i="7"/>
  <c r="EBT2" i="7"/>
  <c r="EBU2" i="7"/>
  <c r="EBV2" i="7"/>
  <c r="EBW2" i="7"/>
  <c r="EBX2" i="7"/>
  <c r="EBY2" i="7"/>
  <c r="EBZ2" i="7"/>
  <c r="ECA2" i="7"/>
  <c r="ECB2" i="7"/>
  <c r="ECC2" i="7"/>
  <c r="ECD2" i="7"/>
  <c r="ECE2" i="7"/>
  <c r="ECF2" i="7"/>
  <c r="ECG2" i="7"/>
  <c r="ECH2" i="7"/>
  <c r="ECI2" i="7"/>
  <c r="ECJ2" i="7"/>
  <c r="ECK2" i="7"/>
  <c r="ECL2" i="7"/>
  <c r="ECM2" i="7"/>
  <c r="ECN2" i="7"/>
  <c r="ECO2" i="7"/>
  <c r="ECP2" i="7"/>
  <c r="ECQ2" i="7"/>
  <c r="ECR2" i="7"/>
  <c r="ECS2" i="7"/>
  <c r="ECT2" i="7"/>
  <c r="ECU2" i="7"/>
  <c r="ECV2" i="7"/>
  <c r="ECW2" i="7"/>
  <c r="ECX2" i="7"/>
  <c r="ECY2" i="7"/>
  <c r="ECZ2" i="7"/>
  <c r="EDA2" i="7"/>
  <c r="EDB2" i="7"/>
  <c r="EDC2" i="7"/>
  <c r="EDD2" i="7"/>
  <c r="EDE2" i="7"/>
  <c r="EDF2" i="7"/>
  <c r="EDG2" i="7"/>
  <c r="EDH2" i="7"/>
  <c r="EDI2" i="7"/>
  <c r="EDJ2" i="7"/>
  <c r="EDK2" i="7"/>
  <c r="EDL2" i="7"/>
  <c r="EDM2" i="7"/>
  <c r="EDN2" i="7"/>
  <c r="EDO2" i="7"/>
  <c r="EDP2" i="7"/>
  <c r="EDQ2" i="7"/>
  <c r="EDR2" i="7"/>
  <c r="EDS2" i="7"/>
  <c r="EDT2" i="7"/>
  <c r="EDU2" i="7"/>
  <c r="EDV2" i="7"/>
  <c r="EDW2" i="7"/>
  <c r="EDX2" i="7"/>
  <c r="EDY2" i="7"/>
  <c r="EDZ2" i="7"/>
  <c r="EEA2" i="7"/>
  <c r="EEB2" i="7"/>
  <c r="EEC2" i="7"/>
  <c r="EED2" i="7"/>
  <c r="EEE2" i="7"/>
  <c r="EEF2" i="7"/>
  <c r="EEG2" i="7"/>
  <c r="EEH2" i="7"/>
  <c r="EEI2" i="7"/>
  <c r="EEJ2" i="7"/>
  <c r="EEK2" i="7"/>
  <c r="EEL2" i="7"/>
  <c r="EEM2" i="7"/>
  <c r="EEN2" i="7"/>
  <c r="EEO2" i="7"/>
  <c r="EEP2" i="7"/>
  <c r="EEQ2" i="7"/>
  <c r="EER2" i="7"/>
  <c r="EES2" i="7"/>
  <c r="EET2" i="7"/>
  <c r="EEU2" i="7"/>
  <c r="EEV2" i="7"/>
  <c r="EEW2" i="7"/>
  <c r="EEX2" i="7"/>
  <c r="EEY2" i="7"/>
  <c r="EEZ2" i="7"/>
  <c r="EFA2" i="7"/>
  <c r="EFB2" i="7"/>
  <c r="EFC2" i="7"/>
  <c r="EFD2" i="7"/>
  <c r="EFE2" i="7"/>
  <c r="EFF2" i="7"/>
  <c r="EFG2" i="7"/>
  <c r="EFH2" i="7"/>
  <c r="EFI2" i="7"/>
  <c r="EFJ2" i="7"/>
  <c r="EFK2" i="7"/>
  <c r="EFL2" i="7"/>
  <c r="EFM2" i="7"/>
  <c r="EFN2" i="7"/>
  <c r="EFO2" i="7"/>
  <c r="EFP2" i="7"/>
  <c r="EFQ2" i="7"/>
  <c r="EFR2" i="7"/>
  <c r="EFS2" i="7"/>
  <c r="EFT2" i="7"/>
  <c r="EFU2" i="7"/>
  <c r="EFV2" i="7"/>
  <c r="EFW2" i="7"/>
  <c r="EFX2" i="7"/>
  <c r="EFY2" i="7"/>
  <c r="EFZ2" i="7"/>
  <c r="EGA2" i="7"/>
  <c r="EGB2" i="7"/>
  <c r="EGC2" i="7"/>
  <c r="EGD2" i="7"/>
  <c r="EGE2" i="7"/>
  <c r="EGF2" i="7"/>
  <c r="EGG2" i="7"/>
  <c r="EGH2" i="7"/>
  <c r="EGI2" i="7"/>
  <c r="EGJ2" i="7"/>
  <c r="EGK2" i="7"/>
  <c r="EGL2" i="7"/>
  <c r="EGM2" i="7"/>
  <c r="EGN2" i="7"/>
  <c r="EGO2" i="7"/>
  <c r="EGP2" i="7"/>
  <c r="EGQ2" i="7"/>
  <c r="EGR2" i="7"/>
  <c r="EGS2" i="7"/>
  <c r="EGT2" i="7"/>
  <c r="EGU2" i="7"/>
  <c r="EGV2" i="7"/>
  <c r="EGW2" i="7"/>
  <c r="EGX2" i="7"/>
  <c r="EGY2" i="7"/>
  <c r="EGZ2" i="7"/>
  <c r="EHA2" i="7"/>
  <c r="EHB2" i="7"/>
  <c r="EHC2" i="7"/>
  <c r="EHD2" i="7"/>
  <c r="EHE2" i="7"/>
  <c r="EHF2" i="7"/>
  <c r="EHG2" i="7"/>
  <c r="EHH2" i="7"/>
  <c r="EHI2" i="7"/>
  <c r="EHJ2" i="7"/>
  <c r="EHK2" i="7"/>
  <c r="EHL2" i="7"/>
  <c r="EHM2" i="7"/>
  <c r="EHN2" i="7"/>
  <c r="EHO2" i="7"/>
  <c r="EHP2" i="7"/>
  <c r="EHQ2" i="7"/>
  <c r="EHR2" i="7"/>
  <c r="EHS2" i="7"/>
  <c r="EHT2" i="7"/>
  <c r="EHU2" i="7"/>
  <c r="EHV2" i="7"/>
  <c r="EHW2" i="7"/>
  <c r="EHX2" i="7"/>
  <c r="EHY2" i="7"/>
  <c r="EHZ2" i="7"/>
  <c r="EIA2" i="7"/>
  <c r="EIB2" i="7"/>
  <c r="EIC2" i="7"/>
  <c r="EID2" i="7"/>
  <c r="EIE2" i="7"/>
  <c r="EIF2" i="7"/>
  <c r="EIG2" i="7"/>
  <c r="EIH2" i="7"/>
  <c r="EII2" i="7"/>
  <c r="EIJ2" i="7"/>
  <c r="EIK2" i="7"/>
  <c r="EIL2" i="7"/>
  <c r="EIM2" i="7"/>
  <c r="EIN2" i="7"/>
  <c r="EIO2" i="7"/>
  <c r="EIP2" i="7"/>
  <c r="EIQ2" i="7"/>
  <c r="EIR2" i="7"/>
  <c r="EIS2" i="7"/>
  <c r="EIT2" i="7"/>
  <c r="EIU2" i="7"/>
  <c r="EIV2" i="7"/>
  <c r="EIW2" i="7"/>
  <c r="EIX2" i="7"/>
  <c r="EIY2" i="7"/>
  <c r="EIZ2" i="7"/>
  <c r="EJA2" i="7"/>
  <c r="EJB2" i="7"/>
  <c r="EJC2" i="7"/>
  <c r="EJD2" i="7"/>
  <c r="EJE2" i="7"/>
  <c r="EJF2" i="7"/>
  <c r="EJG2" i="7"/>
  <c r="EJH2" i="7"/>
  <c r="EJI2" i="7"/>
  <c r="EJJ2" i="7"/>
  <c r="EJK2" i="7"/>
  <c r="EJL2" i="7"/>
  <c r="EJM2" i="7"/>
  <c r="EJN2" i="7"/>
  <c r="EJO2" i="7"/>
  <c r="EJP2" i="7"/>
  <c r="EJQ2" i="7"/>
  <c r="EJR2" i="7"/>
  <c r="EJS2" i="7"/>
  <c r="EJT2" i="7"/>
  <c r="EJU2" i="7"/>
  <c r="EJV2" i="7"/>
  <c r="EJW2" i="7"/>
  <c r="EJX2" i="7"/>
  <c r="EJY2" i="7"/>
  <c r="EJZ2" i="7"/>
  <c r="EKA2" i="7"/>
  <c r="EKB2" i="7"/>
  <c r="EKC2" i="7"/>
  <c r="EKD2" i="7"/>
  <c r="EKE2" i="7"/>
  <c r="EKF2" i="7"/>
  <c r="EKG2" i="7"/>
  <c r="EKH2" i="7"/>
  <c r="EKI2" i="7"/>
  <c r="EKJ2" i="7"/>
  <c r="EKK2" i="7"/>
  <c r="EKL2" i="7"/>
  <c r="EKM2" i="7"/>
  <c r="EKN2" i="7"/>
  <c r="EKO2" i="7"/>
  <c r="EKP2" i="7"/>
  <c r="EKQ2" i="7"/>
  <c r="EKR2" i="7"/>
  <c r="EKS2" i="7"/>
  <c r="EKT2" i="7"/>
  <c r="EKU2" i="7"/>
  <c r="EKV2" i="7"/>
  <c r="EKW2" i="7"/>
  <c r="EKX2" i="7"/>
  <c r="EKY2" i="7"/>
  <c r="EKZ2" i="7"/>
  <c r="ELA2" i="7"/>
  <c r="ELB2" i="7"/>
  <c r="ELC2" i="7"/>
  <c r="ELD2" i="7"/>
  <c r="ELE2" i="7"/>
  <c r="ELF2" i="7"/>
  <c r="ELG2" i="7"/>
  <c r="ELH2" i="7"/>
  <c r="ELI2" i="7"/>
  <c r="ELJ2" i="7"/>
  <c r="ELK2" i="7"/>
  <c r="ELL2" i="7"/>
  <c r="ELM2" i="7"/>
  <c r="ELN2" i="7"/>
  <c r="ELO2" i="7"/>
  <c r="ELP2" i="7"/>
  <c r="ELQ2" i="7"/>
  <c r="ELR2" i="7"/>
  <c r="ELS2" i="7"/>
  <c r="ELT2" i="7"/>
  <c r="ELU2" i="7"/>
  <c r="ELV2" i="7"/>
  <c r="ELW2" i="7"/>
  <c r="ELX2" i="7"/>
  <c r="ELY2" i="7"/>
  <c r="ELZ2" i="7"/>
  <c r="EMA2" i="7"/>
  <c r="EMB2" i="7"/>
  <c r="EMC2" i="7"/>
  <c r="EMD2" i="7"/>
  <c r="EME2" i="7"/>
  <c r="EMF2" i="7"/>
  <c r="EMG2" i="7"/>
  <c r="EMH2" i="7"/>
  <c r="EMI2" i="7"/>
  <c r="EMJ2" i="7"/>
  <c r="EMK2" i="7"/>
  <c r="EML2" i="7"/>
  <c r="EMM2" i="7"/>
  <c r="EMN2" i="7"/>
  <c r="EMO2" i="7"/>
  <c r="EMP2" i="7"/>
  <c r="EMQ2" i="7"/>
  <c r="EMR2" i="7"/>
  <c r="EMS2" i="7"/>
  <c r="EMT2" i="7"/>
  <c r="EMU2" i="7"/>
  <c r="EMV2" i="7"/>
  <c r="EMW2" i="7"/>
  <c r="EMX2" i="7"/>
  <c r="EMY2" i="7"/>
  <c r="EMZ2" i="7"/>
  <c r="ENA2" i="7"/>
  <c r="ENB2" i="7"/>
  <c r="ENC2" i="7"/>
  <c r="END2" i="7"/>
  <c r="ENE2" i="7"/>
  <c r="ENF2" i="7"/>
  <c r="ENG2" i="7"/>
  <c r="ENH2" i="7"/>
  <c r="ENI2" i="7"/>
  <c r="ENJ2" i="7"/>
  <c r="ENK2" i="7"/>
  <c r="ENL2" i="7"/>
  <c r="ENM2" i="7"/>
  <c r="ENN2" i="7"/>
  <c r="ENO2" i="7"/>
  <c r="ENP2" i="7"/>
  <c r="ENQ2" i="7"/>
  <c r="ENR2" i="7"/>
  <c r="ENS2" i="7"/>
  <c r="ENT2" i="7"/>
  <c r="ENU2" i="7"/>
  <c r="ENV2" i="7"/>
  <c r="ENW2" i="7"/>
  <c r="ENX2" i="7"/>
  <c r="ENY2" i="7"/>
  <c r="ENZ2" i="7"/>
  <c r="EOA2" i="7"/>
  <c r="EOB2" i="7"/>
  <c r="EOC2" i="7"/>
  <c r="EOD2" i="7"/>
  <c r="EOE2" i="7"/>
  <c r="EOF2" i="7"/>
  <c r="EOG2" i="7"/>
  <c r="EOH2" i="7"/>
  <c r="EOI2" i="7"/>
  <c r="EOJ2" i="7"/>
  <c r="EOK2" i="7"/>
  <c r="EOL2" i="7"/>
  <c r="EOM2" i="7"/>
  <c r="EON2" i="7"/>
  <c r="EOO2" i="7"/>
  <c r="EOP2" i="7"/>
  <c r="EOQ2" i="7"/>
  <c r="EOR2" i="7"/>
  <c r="EOS2" i="7"/>
  <c r="EOT2" i="7"/>
  <c r="EOU2" i="7"/>
  <c r="EOV2" i="7"/>
  <c r="EOW2" i="7"/>
  <c r="EOX2" i="7"/>
  <c r="EOY2" i="7"/>
  <c r="EOZ2" i="7"/>
  <c r="EPA2" i="7"/>
  <c r="EPB2" i="7"/>
  <c r="EPC2" i="7"/>
  <c r="EPD2" i="7"/>
  <c r="EPE2" i="7"/>
  <c r="EPF2" i="7"/>
  <c r="EPG2" i="7"/>
  <c r="EPH2" i="7"/>
  <c r="EPI2" i="7"/>
  <c r="EPJ2" i="7"/>
  <c r="EPK2" i="7"/>
  <c r="EPL2" i="7"/>
  <c r="EPM2" i="7"/>
  <c r="EPN2" i="7"/>
  <c r="EPO2" i="7"/>
  <c r="EPP2" i="7"/>
  <c r="EPQ2" i="7"/>
  <c r="EPR2" i="7"/>
  <c r="EPS2" i="7"/>
  <c r="EPT2" i="7"/>
  <c r="EPU2" i="7"/>
  <c r="EPV2" i="7"/>
  <c r="EPW2" i="7"/>
  <c r="EPX2" i="7"/>
  <c r="EPY2" i="7"/>
  <c r="EPZ2" i="7"/>
  <c r="EQA2" i="7"/>
  <c r="EQB2" i="7"/>
  <c r="EQC2" i="7"/>
  <c r="EQD2" i="7"/>
  <c r="EQE2" i="7"/>
  <c r="EQF2" i="7"/>
  <c r="EQG2" i="7"/>
  <c r="EQH2" i="7"/>
  <c r="EQI2" i="7"/>
  <c r="EQJ2" i="7"/>
  <c r="EQK2" i="7"/>
  <c r="EQL2" i="7"/>
  <c r="EQM2" i="7"/>
  <c r="EQN2" i="7"/>
  <c r="EQO2" i="7"/>
  <c r="EQP2" i="7"/>
  <c r="EQQ2" i="7"/>
  <c r="EQR2" i="7"/>
  <c r="EQS2" i="7"/>
  <c r="EQT2" i="7"/>
  <c r="EQU2" i="7"/>
  <c r="EQV2" i="7"/>
  <c r="EQW2" i="7"/>
  <c r="EQX2" i="7"/>
  <c r="EQY2" i="7"/>
  <c r="EQZ2" i="7"/>
  <c r="ERA2" i="7"/>
  <c r="ERB2" i="7"/>
  <c r="ERC2" i="7"/>
  <c r="ERD2" i="7"/>
  <c r="ERE2" i="7"/>
  <c r="ERF2" i="7"/>
  <c r="ERG2" i="7"/>
  <c r="ERH2" i="7"/>
  <c r="ERI2" i="7"/>
  <c r="ERJ2" i="7"/>
  <c r="ERK2" i="7"/>
  <c r="ERL2" i="7"/>
  <c r="ERM2" i="7"/>
  <c r="ERN2" i="7"/>
  <c r="ERO2" i="7"/>
  <c r="ERP2" i="7"/>
  <c r="ERQ2" i="7"/>
  <c r="ERR2" i="7"/>
  <c r="ERS2" i="7"/>
  <c r="ERT2" i="7"/>
  <c r="ERU2" i="7"/>
  <c r="ERV2" i="7"/>
  <c r="ERW2" i="7"/>
  <c r="ERX2" i="7"/>
  <c r="ERY2" i="7"/>
  <c r="ERZ2" i="7"/>
  <c r="ESA2" i="7"/>
  <c r="ESB2" i="7"/>
  <c r="ESC2" i="7"/>
  <c r="ESD2" i="7"/>
  <c r="ESE2" i="7"/>
  <c r="ESF2" i="7"/>
  <c r="ESG2" i="7"/>
  <c r="ESH2" i="7"/>
  <c r="ESI2" i="7"/>
  <c r="ESJ2" i="7"/>
  <c r="ESK2" i="7"/>
  <c r="ESL2" i="7"/>
  <c r="ESM2" i="7"/>
  <c r="ESN2" i="7"/>
  <c r="ESO2" i="7"/>
  <c r="ESP2" i="7"/>
  <c r="ESQ2" i="7"/>
  <c r="ESR2" i="7"/>
  <c r="ESS2" i="7"/>
  <c r="EST2" i="7"/>
  <c r="ESU2" i="7"/>
  <c r="ESV2" i="7"/>
  <c r="ESW2" i="7"/>
  <c r="ESX2" i="7"/>
  <c r="ESY2" i="7"/>
  <c r="ESZ2" i="7"/>
  <c r="ETA2" i="7"/>
  <c r="ETB2" i="7"/>
  <c r="ETC2" i="7"/>
  <c r="ETD2" i="7"/>
  <c r="ETE2" i="7"/>
  <c r="ETF2" i="7"/>
  <c r="ETG2" i="7"/>
  <c r="ETH2" i="7"/>
  <c r="ETI2" i="7"/>
  <c r="ETJ2" i="7"/>
  <c r="ETK2" i="7"/>
  <c r="ETL2" i="7"/>
  <c r="ETM2" i="7"/>
  <c r="ETN2" i="7"/>
  <c r="ETO2" i="7"/>
  <c r="ETP2" i="7"/>
  <c r="ETQ2" i="7"/>
  <c r="ETR2" i="7"/>
  <c r="ETS2" i="7"/>
  <c r="ETT2" i="7"/>
  <c r="ETU2" i="7"/>
  <c r="ETV2" i="7"/>
  <c r="ETW2" i="7"/>
  <c r="ETX2" i="7"/>
  <c r="ETY2" i="7"/>
  <c r="ETZ2" i="7"/>
  <c r="EUA2" i="7"/>
  <c r="EUB2" i="7"/>
  <c r="EUC2" i="7"/>
  <c r="EUD2" i="7"/>
  <c r="EUE2" i="7"/>
  <c r="EUF2" i="7"/>
  <c r="EUG2" i="7"/>
  <c r="EUH2" i="7"/>
  <c r="EUI2" i="7"/>
  <c r="EUJ2" i="7"/>
  <c r="EUK2" i="7"/>
  <c r="EUL2" i="7"/>
  <c r="EUM2" i="7"/>
  <c r="EUN2" i="7"/>
  <c r="EUO2" i="7"/>
  <c r="EUP2" i="7"/>
  <c r="EUQ2" i="7"/>
  <c r="EUR2" i="7"/>
  <c r="EUS2" i="7"/>
  <c r="EUT2" i="7"/>
  <c r="EUU2" i="7"/>
  <c r="EUV2" i="7"/>
  <c r="EUW2" i="7"/>
  <c r="EUX2" i="7"/>
  <c r="EUY2" i="7"/>
  <c r="EUZ2" i="7"/>
  <c r="EVA2" i="7"/>
  <c r="EVB2" i="7"/>
  <c r="EVC2" i="7"/>
  <c r="EVD2" i="7"/>
  <c r="EVE2" i="7"/>
  <c r="EVF2" i="7"/>
  <c r="EVG2" i="7"/>
  <c r="EVH2" i="7"/>
  <c r="EVI2" i="7"/>
  <c r="EVJ2" i="7"/>
  <c r="EVK2" i="7"/>
  <c r="EVL2" i="7"/>
  <c r="EVM2" i="7"/>
  <c r="EVN2" i="7"/>
  <c r="EVO2" i="7"/>
  <c r="EVP2" i="7"/>
  <c r="EVQ2" i="7"/>
  <c r="EVR2" i="7"/>
  <c r="EVS2" i="7"/>
  <c r="EVT2" i="7"/>
  <c r="EVU2" i="7"/>
  <c r="EVV2" i="7"/>
  <c r="EVW2" i="7"/>
  <c r="EVX2" i="7"/>
  <c r="EVY2" i="7"/>
  <c r="EVZ2" i="7"/>
  <c r="EWA2" i="7"/>
  <c r="EWB2" i="7"/>
  <c r="EWC2" i="7"/>
  <c r="EWD2" i="7"/>
  <c r="EWE2" i="7"/>
  <c r="EWF2" i="7"/>
  <c r="EWG2" i="7"/>
  <c r="EWH2" i="7"/>
  <c r="EWI2" i="7"/>
  <c r="EWJ2" i="7"/>
  <c r="EWK2" i="7"/>
  <c r="EWL2" i="7"/>
  <c r="EWM2" i="7"/>
  <c r="EWN2" i="7"/>
  <c r="EWO2" i="7"/>
  <c r="EWP2" i="7"/>
  <c r="EWQ2" i="7"/>
  <c r="EWR2" i="7"/>
  <c r="EWS2" i="7"/>
  <c r="EWT2" i="7"/>
  <c r="EWU2" i="7"/>
  <c r="EWV2" i="7"/>
  <c r="EWW2" i="7"/>
  <c r="EWX2" i="7"/>
  <c r="EWY2" i="7"/>
  <c r="EWZ2" i="7"/>
  <c r="EXA2" i="7"/>
  <c r="EXB2" i="7"/>
  <c r="EXC2" i="7"/>
  <c r="EXD2" i="7"/>
  <c r="EXE2" i="7"/>
  <c r="EXF2" i="7"/>
  <c r="EXG2" i="7"/>
  <c r="EXH2" i="7"/>
  <c r="EXI2" i="7"/>
  <c r="EXJ2" i="7"/>
  <c r="EXK2" i="7"/>
  <c r="EXL2" i="7"/>
  <c r="EXM2" i="7"/>
  <c r="EXN2" i="7"/>
  <c r="EXO2" i="7"/>
  <c r="EXP2" i="7"/>
  <c r="EXQ2" i="7"/>
  <c r="EXR2" i="7"/>
  <c r="EXS2" i="7"/>
  <c r="EXT2" i="7"/>
  <c r="EXU2" i="7"/>
  <c r="EXV2" i="7"/>
  <c r="EXW2" i="7"/>
  <c r="EXX2" i="7"/>
  <c r="EXY2" i="7"/>
  <c r="EXZ2" i="7"/>
  <c r="EYA2" i="7"/>
  <c r="EYB2" i="7"/>
  <c r="EYC2" i="7"/>
  <c r="EYD2" i="7"/>
  <c r="EYE2" i="7"/>
  <c r="EYF2" i="7"/>
  <c r="EYG2" i="7"/>
  <c r="EYH2" i="7"/>
  <c r="EYI2" i="7"/>
  <c r="EYJ2" i="7"/>
  <c r="EYK2" i="7"/>
  <c r="EYL2" i="7"/>
  <c r="EYM2" i="7"/>
  <c r="EYN2" i="7"/>
  <c r="EYO2" i="7"/>
  <c r="EYP2" i="7"/>
  <c r="EYQ2" i="7"/>
  <c r="EYR2" i="7"/>
  <c r="EYS2" i="7"/>
  <c r="EYT2" i="7"/>
  <c r="EYU2" i="7"/>
  <c r="EYV2" i="7"/>
  <c r="EYW2" i="7"/>
  <c r="EYX2" i="7"/>
  <c r="EYY2" i="7"/>
  <c r="EYZ2" i="7"/>
  <c r="EZA2" i="7"/>
  <c r="EZB2" i="7"/>
  <c r="EZC2" i="7"/>
  <c r="EZD2" i="7"/>
  <c r="EZE2" i="7"/>
  <c r="EZF2" i="7"/>
  <c r="EZG2" i="7"/>
  <c r="EZH2" i="7"/>
  <c r="EZI2" i="7"/>
  <c r="EZJ2" i="7"/>
  <c r="EZK2" i="7"/>
  <c r="EZL2" i="7"/>
  <c r="EZM2" i="7"/>
  <c r="EZN2" i="7"/>
  <c r="EZO2" i="7"/>
  <c r="EZP2" i="7"/>
  <c r="EZQ2" i="7"/>
  <c r="EZR2" i="7"/>
  <c r="EZS2" i="7"/>
  <c r="EZT2" i="7"/>
  <c r="EZU2" i="7"/>
  <c r="EZV2" i="7"/>
  <c r="EZW2" i="7"/>
  <c r="EZX2" i="7"/>
  <c r="EZY2" i="7"/>
  <c r="EZZ2" i="7"/>
  <c r="FAA2" i="7"/>
  <c r="FAB2" i="7"/>
  <c r="FAC2" i="7"/>
  <c r="FAD2" i="7"/>
  <c r="FAE2" i="7"/>
  <c r="FAF2" i="7"/>
  <c r="FAG2" i="7"/>
  <c r="FAH2" i="7"/>
  <c r="FAI2" i="7"/>
  <c r="FAJ2" i="7"/>
  <c r="FAK2" i="7"/>
  <c r="FAL2" i="7"/>
  <c r="FAM2" i="7"/>
  <c r="FAN2" i="7"/>
  <c r="FAO2" i="7"/>
  <c r="FAP2" i="7"/>
  <c r="FAQ2" i="7"/>
  <c r="FAR2" i="7"/>
  <c r="FAS2" i="7"/>
  <c r="FAT2" i="7"/>
  <c r="FAU2" i="7"/>
  <c r="FAV2" i="7"/>
  <c r="FAW2" i="7"/>
  <c r="FAX2" i="7"/>
  <c r="FAY2" i="7"/>
  <c r="FAZ2" i="7"/>
  <c r="FBA2" i="7"/>
  <c r="FBB2" i="7"/>
  <c r="FBC2" i="7"/>
  <c r="FBD2" i="7"/>
  <c r="FBE2" i="7"/>
  <c r="FBF2" i="7"/>
  <c r="FBG2" i="7"/>
  <c r="FBH2" i="7"/>
  <c r="FBI2" i="7"/>
  <c r="FBJ2" i="7"/>
  <c r="FBK2" i="7"/>
  <c r="FBL2" i="7"/>
  <c r="FBM2" i="7"/>
  <c r="FBN2" i="7"/>
  <c r="FBO2" i="7"/>
  <c r="FBP2" i="7"/>
  <c r="FBQ2" i="7"/>
  <c r="FBR2" i="7"/>
  <c r="FBS2" i="7"/>
  <c r="FBT2" i="7"/>
  <c r="FBU2" i="7"/>
  <c r="FBV2" i="7"/>
  <c r="FBW2" i="7"/>
  <c r="FBX2" i="7"/>
  <c r="FBY2" i="7"/>
  <c r="FBZ2" i="7"/>
  <c r="FCA2" i="7"/>
  <c r="FCB2" i="7"/>
  <c r="FCC2" i="7"/>
  <c r="FCD2" i="7"/>
  <c r="FCE2" i="7"/>
  <c r="FCF2" i="7"/>
  <c r="FCG2" i="7"/>
  <c r="FCH2" i="7"/>
  <c r="FCI2" i="7"/>
  <c r="FCJ2" i="7"/>
  <c r="FCK2" i="7"/>
  <c r="FCL2" i="7"/>
  <c r="FCM2" i="7"/>
  <c r="FCN2" i="7"/>
  <c r="FCO2" i="7"/>
  <c r="FCP2" i="7"/>
  <c r="FCQ2" i="7"/>
  <c r="FCR2" i="7"/>
  <c r="FCS2" i="7"/>
  <c r="FCT2" i="7"/>
  <c r="FCU2" i="7"/>
  <c r="FCV2" i="7"/>
  <c r="FCW2" i="7"/>
  <c r="FCX2" i="7"/>
  <c r="FCY2" i="7"/>
  <c r="FCZ2" i="7"/>
  <c r="FDA2" i="7"/>
  <c r="FDB2" i="7"/>
  <c r="FDC2" i="7"/>
  <c r="FDD2" i="7"/>
  <c r="FDE2" i="7"/>
  <c r="FDF2" i="7"/>
  <c r="FDG2" i="7"/>
  <c r="FDH2" i="7"/>
  <c r="FDI2" i="7"/>
  <c r="FDJ2" i="7"/>
  <c r="FDK2" i="7"/>
  <c r="FDL2" i="7"/>
  <c r="FDM2" i="7"/>
  <c r="FDN2" i="7"/>
  <c r="FDO2" i="7"/>
  <c r="FDP2" i="7"/>
  <c r="FDQ2" i="7"/>
  <c r="FDR2" i="7"/>
  <c r="FDS2" i="7"/>
  <c r="FDT2" i="7"/>
  <c r="FDU2" i="7"/>
  <c r="FDV2" i="7"/>
  <c r="FDW2" i="7"/>
  <c r="FDX2" i="7"/>
  <c r="FDY2" i="7"/>
  <c r="FDZ2" i="7"/>
  <c r="FEA2" i="7"/>
  <c r="FEB2" i="7"/>
  <c r="FEC2" i="7"/>
  <c r="FED2" i="7"/>
  <c r="FEE2" i="7"/>
  <c r="FEF2" i="7"/>
  <c r="FEG2" i="7"/>
  <c r="FEH2" i="7"/>
  <c r="FEI2" i="7"/>
  <c r="FEJ2" i="7"/>
  <c r="FEK2" i="7"/>
  <c r="FEL2" i="7"/>
  <c r="FEM2" i="7"/>
  <c r="FEN2" i="7"/>
  <c r="FEO2" i="7"/>
  <c r="FEP2" i="7"/>
  <c r="FEQ2" i="7"/>
  <c r="FER2" i="7"/>
  <c r="FES2" i="7"/>
  <c r="FET2" i="7"/>
  <c r="FEU2" i="7"/>
  <c r="FEV2" i="7"/>
  <c r="FEW2" i="7"/>
  <c r="FEX2" i="7"/>
  <c r="FEY2" i="7"/>
  <c r="FEZ2" i="7"/>
  <c r="FFA2" i="7"/>
  <c r="FFB2" i="7"/>
  <c r="FFC2" i="7"/>
  <c r="FFD2" i="7"/>
  <c r="FFE2" i="7"/>
  <c r="FFF2" i="7"/>
  <c r="FFG2" i="7"/>
  <c r="FFH2" i="7"/>
  <c r="FFI2" i="7"/>
  <c r="FFJ2" i="7"/>
  <c r="FFK2" i="7"/>
  <c r="FFL2" i="7"/>
  <c r="FFM2" i="7"/>
  <c r="FFN2" i="7"/>
  <c r="FFO2" i="7"/>
  <c r="FFP2" i="7"/>
  <c r="FFQ2" i="7"/>
  <c r="FFR2" i="7"/>
  <c r="FFS2" i="7"/>
  <c r="FFT2" i="7"/>
  <c r="FFU2" i="7"/>
  <c r="FFV2" i="7"/>
  <c r="FFW2" i="7"/>
  <c r="FFX2" i="7"/>
  <c r="FFY2" i="7"/>
  <c r="FFZ2" i="7"/>
  <c r="FGA2" i="7"/>
  <c r="FGB2" i="7"/>
  <c r="FGC2" i="7"/>
  <c r="FGD2" i="7"/>
  <c r="FGE2" i="7"/>
  <c r="FGF2" i="7"/>
  <c r="FGG2" i="7"/>
  <c r="FGH2" i="7"/>
  <c r="FGI2" i="7"/>
  <c r="FGJ2" i="7"/>
  <c r="FGK2" i="7"/>
  <c r="FGL2" i="7"/>
  <c r="FGM2" i="7"/>
  <c r="FGN2" i="7"/>
  <c r="FGO2" i="7"/>
  <c r="FGP2" i="7"/>
  <c r="FGQ2" i="7"/>
  <c r="FGR2" i="7"/>
  <c r="FGS2" i="7"/>
  <c r="FGT2" i="7"/>
  <c r="FGU2" i="7"/>
  <c r="FGV2" i="7"/>
  <c r="FGW2" i="7"/>
  <c r="FGX2" i="7"/>
  <c r="FGY2" i="7"/>
  <c r="FGZ2" i="7"/>
  <c r="FHA2" i="7"/>
  <c r="FHB2" i="7"/>
  <c r="FHC2" i="7"/>
  <c r="FHD2" i="7"/>
  <c r="FHE2" i="7"/>
  <c r="FHF2" i="7"/>
  <c r="FHG2" i="7"/>
  <c r="FHH2" i="7"/>
  <c r="FHI2" i="7"/>
  <c r="FHJ2" i="7"/>
  <c r="FHK2" i="7"/>
  <c r="FHL2" i="7"/>
  <c r="FHM2" i="7"/>
  <c r="FHN2" i="7"/>
  <c r="FHO2" i="7"/>
  <c r="FHP2" i="7"/>
  <c r="FHQ2" i="7"/>
  <c r="FHR2" i="7"/>
  <c r="FHS2" i="7"/>
  <c r="FHT2" i="7"/>
  <c r="FHU2" i="7"/>
  <c r="FHV2" i="7"/>
  <c r="FHW2" i="7"/>
  <c r="FHX2" i="7"/>
  <c r="FHY2" i="7"/>
  <c r="FHZ2" i="7"/>
  <c r="FIA2" i="7"/>
  <c r="FIB2" i="7"/>
  <c r="FIC2" i="7"/>
  <c r="FID2" i="7"/>
  <c r="FIE2" i="7"/>
  <c r="FIF2" i="7"/>
  <c r="FIG2" i="7"/>
  <c r="FIH2" i="7"/>
  <c r="FII2" i="7"/>
  <c r="FIJ2" i="7"/>
  <c r="FIK2" i="7"/>
  <c r="FIL2" i="7"/>
  <c r="FIM2" i="7"/>
  <c r="FIN2" i="7"/>
  <c r="FIO2" i="7"/>
  <c r="FIP2" i="7"/>
  <c r="FIQ2" i="7"/>
  <c r="FIR2" i="7"/>
  <c r="FIS2" i="7"/>
  <c r="FIT2" i="7"/>
  <c r="FIU2" i="7"/>
  <c r="FIV2" i="7"/>
  <c r="FIW2" i="7"/>
  <c r="FIX2" i="7"/>
  <c r="FIY2" i="7"/>
  <c r="FIZ2" i="7"/>
  <c r="FJA2" i="7"/>
  <c r="FJB2" i="7"/>
  <c r="FJC2" i="7"/>
  <c r="FJD2" i="7"/>
  <c r="FJE2" i="7"/>
  <c r="FJF2" i="7"/>
  <c r="FJG2" i="7"/>
  <c r="FJH2" i="7"/>
  <c r="FJI2" i="7"/>
  <c r="FJJ2" i="7"/>
  <c r="FJK2" i="7"/>
  <c r="FJL2" i="7"/>
  <c r="FJM2" i="7"/>
  <c r="FJN2" i="7"/>
  <c r="FJO2" i="7"/>
  <c r="FJP2" i="7"/>
  <c r="FJQ2" i="7"/>
  <c r="FJR2" i="7"/>
  <c r="FJS2" i="7"/>
  <c r="FJT2" i="7"/>
  <c r="FJU2" i="7"/>
  <c r="FJV2" i="7"/>
  <c r="FJW2" i="7"/>
  <c r="FJX2" i="7"/>
  <c r="FJY2" i="7"/>
  <c r="FJZ2" i="7"/>
  <c r="FKA2" i="7"/>
  <c r="FKB2" i="7"/>
  <c r="FKC2" i="7"/>
  <c r="FKD2" i="7"/>
  <c r="FKE2" i="7"/>
  <c r="FKF2" i="7"/>
  <c r="FKG2" i="7"/>
  <c r="FKH2" i="7"/>
  <c r="FKI2" i="7"/>
  <c r="FKJ2" i="7"/>
  <c r="FKK2" i="7"/>
  <c r="FKL2" i="7"/>
  <c r="FKM2" i="7"/>
  <c r="FKN2" i="7"/>
  <c r="FKO2" i="7"/>
  <c r="FKP2" i="7"/>
  <c r="FKQ2" i="7"/>
  <c r="FKR2" i="7"/>
  <c r="FKS2" i="7"/>
  <c r="FKT2" i="7"/>
  <c r="FKU2" i="7"/>
  <c r="FKV2" i="7"/>
  <c r="FKW2" i="7"/>
  <c r="FKX2" i="7"/>
  <c r="FKY2" i="7"/>
  <c r="FKZ2" i="7"/>
  <c r="FLA2" i="7"/>
  <c r="FLB2" i="7"/>
  <c r="FLC2" i="7"/>
  <c r="FLD2" i="7"/>
  <c r="FLE2" i="7"/>
  <c r="FLF2" i="7"/>
  <c r="FLG2" i="7"/>
  <c r="FLH2" i="7"/>
  <c r="FLI2" i="7"/>
  <c r="FLJ2" i="7"/>
  <c r="FLK2" i="7"/>
  <c r="FLL2" i="7"/>
  <c r="FLM2" i="7"/>
  <c r="FLN2" i="7"/>
  <c r="FLO2" i="7"/>
  <c r="FLP2" i="7"/>
  <c r="FLQ2" i="7"/>
  <c r="FLR2" i="7"/>
  <c r="FLS2" i="7"/>
  <c r="FLT2" i="7"/>
  <c r="FLU2" i="7"/>
  <c r="FLV2" i="7"/>
  <c r="FLW2" i="7"/>
  <c r="FLX2" i="7"/>
  <c r="FLY2" i="7"/>
  <c r="FLZ2" i="7"/>
  <c r="FMA2" i="7"/>
  <c r="FMB2" i="7"/>
  <c r="FMC2" i="7"/>
  <c r="FMD2" i="7"/>
  <c r="FME2" i="7"/>
  <c r="FMF2" i="7"/>
  <c r="FMG2" i="7"/>
  <c r="FMH2" i="7"/>
  <c r="FMI2" i="7"/>
  <c r="FMJ2" i="7"/>
  <c r="FMK2" i="7"/>
  <c r="FML2" i="7"/>
  <c r="FMM2" i="7"/>
  <c r="FMN2" i="7"/>
  <c r="FMO2" i="7"/>
  <c r="FMP2" i="7"/>
  <c r="FMQ2" i="7"/>
  <c r="FMR2" i="7"/>
  <c r="FMS2" i="7"/>
  <c r="FMT2" i="7"/>
  <c r="FMU2" i="7"/>
  <c r="FMV2" i="7"/>
  <c r="FMW2" i="7"/>
  <c r="FMX2" i="7"/>
  <c r="FMY2" i="7"/>
  <c r="FMZ2" i="7"/>
  <c r="FNA2" i="7"/>
  <c r="FNB2" i="7"/>
  <c r="FNC2" i="7"/>
  <c r="FND2" i="7"/>
  <c r="FNE2" i="7"/>
  <c r="FNF2" i="7"/>
  <c r="FNG2" i="7"/>
  <c r="FNH2" i="7"/>
  <c r="FNI2" i="7"/>
  <c r="FNJ2" i="7"/>
  <c r="FNK2" i="7"/>
  <c r="FNL2" i="7"/>
  <c r="FNM2" i="7"/>
  <c r="FNN2" i="7"/>
  <c r="FNO2" i="7"/>
  <c r="FNP2" i="7"/>
  <c r="FNQ2" i="7"/>
  <c r="FNR2" i="7"/>
  <c r="FNS2" i="7"/>
  <c r="FNT2" i="7"/>
  <c r="FNU2" i="7"/>
  <c r="FNV2" i="7"/>
  <c r="FNW2" i="7"/>
  <c r="FNX2" i="7"/>
  <c r="FNY2" i="7"/>
  <c r="FNZ2" i="7"/>
  <c r="FOA2" i="7"/>
  <c r="FOB2" i="7"/>
  <c r="FOC2" i="7"/>
  <c r="FOD2" i="7"/>
  <c r="FOE2" i="7"/>
  <c r="FOF2" i="7"/>
  <c r="FOG2" i="7"/>
  <c r="FOH2" i="7"/>
  <c r="FOI2" i="7"/>
  <c r="FOJ2" i="7"/>
  <c r="FOK2" i="7"/>
  <c r="FOL2" i="7"/>
  <c r="FOM2" i="7"/>
  <c r="FON2" i="7"/>
  <c r="FOO2" i="7"/>
  <c r="FOP2" i="7"/>
  <c r="FOQ2" i="7"/>
  <c r="FOR2" i="7"/>
  <c r="FOS2" i="7"/>
  <c r="FOT2" i="7"/>
  <c r="FOU2" i="7"/>
  <c r="FOV2" i="7"/>
  <c r="FOW2" i="7"/>
  <c r="FOX2" i="7"/>
  <c r="FOY2" i="7"/>
  <c r="FOZ2" i="7"/>
  <c r="FPA2" i="7"/>
  <c r="FPB2" i="7"/>
  <c r="FPC2" i="7"/>
  <c r="FPD2" i="7"/>
  <c r="FPE2" i="7"/>
  <c r="FPF2" i="7"/>
  <c r="FPG2" i="7"/>
  <c r="FPH2" i="7"/>
  <c r="FPI2" i="7"/>
  <c r="FPJ2" i="7"/>
  <c r="FPK2" i="7"/>
  <c r="FPL2" i="7"/>
  <c r="FPM2" i="7"/>
  <c r="FPN2" i="7"/>
  <c r="FPO2" i="7"/>
  <c r="FPP2" i="7"/>
  <c r="FPQ2" i="7"/>
  <c r="FPR2" i="7"/>
  <c r="FPS2" i="7"/>
  <c r="FPT2" i="7"/>
  <c r="FPU2" i="7"/>
  <c r="FPV2" i="7"/>
  <c r="FPW2" i="7"/>
  <c r="FPX2" i="7"/>
  <c r="FPY2" i="7"/>
  <c r="FPZ2" i="7"/>
  <c r="FQA2" i="7"/>
  <c r="FQB2" i="7"/>
  <c r="FQC2" i="7"/>
  <c r="FQD2" i="7"/>
  <c r="FQE2" i="7"/>
  <c r="FQF2" i="7"/>
  <c r="FQG2" i="7"/>
  <c r="FQH2" i="7"/>
  <c r="FQI2" i="7"/>
  <c r="FQJ2" i="7"/>
  <c r="FQK2" i="7"/>
  <c r="FQL2" i="7"/>
  <c r="FQM2" i="7"/>
  <c r="FQN2" i="7"/>
  <c r="FQO2" i="7"/>
  <c r="FQP2" i="7"/>
  <c r="FQQ2" i="7"/>
  <c r="FQR2" i="7"/>
  <c r="FQS2" i="7"/>
  <c r="FQT2" i="7"/>
  <c r="FQU2" i="7"/>
  <c r="FQV2" i="7"/>
  <c r="FQW2" i="7"/>
  <c r="FQX2" i="7"/>
  <c r="FQY2" i="7"/>
  <c r="FQZ2" i="7"/>
  <c r="FRA2" i="7"/>
  <c r="FRB2" i="7"/>
  <c r="FRC2" i="7"/>
  <c r="FRD2" i="7"/>
  <c r="FRE2" i="7"/>
  <c r="FRF2" i="7"/>
  <c r="FRG2" i="7"/>
  <c r="FRH2" i="7"/>
  <c r="FRI2" i="7"/>
  <c r="FRJ2" i="7"/>
  <c r="FRK2" i="7"/>
  <c r="FRL2" i="7"/>
  <c r="FRM2" i="7"/>
  <c r="FRN2" i="7"/>
  <c r="FRO2" i="7"/>
  <c r="FRP2" i="7"/>
  <c r="FRQ2" i="7"/>
  <c r="FRR2" i="7"/>
  <c r="FRS2" i="7"/>
  <c r="FRT2" i="7"/>
  <c r="FRU2" i="7"/>
  <c r="FRV2" i="7"/>
  <c r="FRW2" i="7"/>
  <c r="FRX2" i="7"/>
  <c r="FRY2" i="7"/>
  <c r="FRZ2" i="7"/>
  <c r="FSA2" i="7"/>
  <c r="FSB2" i="7"/>
  <c r="FSC2" i="7"/>
  <c r="FSD2" i="7"/>
  <c r="FSE2" i="7"/>
  <c r="FSF2" i="7"/>
  <c r="FSG2" i="7"/>
  <c r="FSH2" i="7"/>
  <c r="FSI2" i="7"/>
  <c r="FSJ2" i="7"/>
  <c r="FSK2" i="7"/>
  <c r="FSL2" i="7"/>
  <c r="FSM2" i="7"/>
  <c r="FSN2" i="7"/>
  <c r="FSO2" i="7"/>
  <c r="FSP2" i="7"/>
  <c r="FSQ2" i="7"/>
  <c r="FSR2" i="7"/>
  <c r="FSS2" i="7"/>
  <c r="FST2" i="7"/>
  <c r="FSU2" i="7"/>
  <c r="FSV2" i="7"/>
  <c r="FSW2" i="7"/>
  <c r="FSX2" i="7"/>
  <c r="FSY2" i="7"/>
  <c r="FSZ2" i="7"/>
  <c r="FTA2" i="7"/>
  <c r="FTB2" i="7"/>
  <c r="FTC2" i="7"/>
  <c r="FTD2" i="7"/>
  <c r="FTE2" i="7"/>
  <c r="FTF2" i="7"/>
  <c r="FTG2" i="7"/>
  <c r="FTH2" i="7"/>
  <c r="FTI2" i="7"/>
  <c r="FTJ2" i="7"/>
  <c r="FTK2" i="7"/>
  <c r="FTL2" i="7"/>
  <c r="FTM2" i="7"/>
  <c r="FTN2" i="7"/>
  <c r="FTO2" i="7"/>
  <c r="FTP2" i="7"/>
  <c r="FTQ2" i="7"/>
  <c r="FTR2" i="7"/>
  <c r="FTS2" i="7"/>
  <c r="FTT2" i="7"/>
  <c r="FTU2" i="7"/>
  <c r="FTV2" i="7"/>
  <c r="FTW2" i="7"/>
  <c r="FTX2" i="7"/>
  <c r="FTY2" i="7"/>
  <c r="FTZ2" i="7"/>
  <c r="FUA2" i="7"/>
  <c r="FUB2" i="7"/>
  <c r="FUC2" i="7"/>
  <c r="FUD2" i="7"/>
  <c r="FUE2" i="7"/>
  <c r="FUF2" i="7"/>
  <c r="FUG2" i="7"/>
  <c r="FUH2" i="7"/>
  <c r="FUI2" i="7"/>
  <c r="FUJ2" i="7"/>
  <c r="FUK2" i="7"/>
  <c r="FUL2" i="7"/>
  <c r="FUM2" i="7"/>
  <c r="FUN2" i="7"/>
  <c r="FUO2" i="7"/>
  <c r="FUP2" i="7"/>
  <c r="FUQ2" i="7"/>
  <c r="FUR2" i="7"/>
  <c r="FUS2" i="7"/>
  <c r="FUT2" i="7"/>
  <c r="FUU2" i="7"/>
  <c r="FUV2" i="7"/>
  <c r="FUW2" i="7"/>
  <c r="FUX2" i="7"/>
  <c r="FUY2" i="7"/>
  <c r="FUZ2" i="7"/>
  <c r="FVA2" i="7"/>
  <c r="FVB2" i="7"/>
  <c r="FVC2" i="7"/>
  <c r="FVD2" i="7"/>
  <c r="FVE2" i="7"/>
  <c r="FVF2" i="7"/>
  <c r="FVG2" i="7"/>
  <c r="FVH2" i="7"/>
  <c r="FVI2" i="7"/>
  <c r="FVJ2" i="7"/>
  <c r="FVK2" i="7"/>
  <c r="FVL2" i="7"/>
  <c r="FVM2" i="7"/>
  <c r="FVN2" i="7"/>
  <c r="FVO2" i="7"/>
  <c r="FVP2" i="7"/>
  <c r="FVQ2" i="7"/>
  <c r="FVR2" i="7"/>
  <c r="FVS2" i="7"/>
  <c r="FVT2" i="7"/>
  <c r="FVU2" i="7"/>
  <c r="FVV2" i="7"/>
  <c r="FVW2" i="7"/>
  <c r="FVX2" i="7"/>
  <c r="FVY2" i="7"/>
  <c r="FVZ2" i="7"/>
  <c r="FWA2" i="7"/>
  <c r="FWB2" i="7"/>
  <c r="FWC2" i="7"/>
  <c r="FWD2" i="7"/>
  <c r="FWE2" i="7"/>
  <c r="FWF2" i="7"/>
  <c r="FWG2" i="7"/>
  <c r="FWH2" i="7"/>
  <c r="FWI2" i="7"/>
  <c r="FWJ2" i="7"/>
  <c r="FWK2" i="7"/>
  <c r="FWL2" i="7"/>
  <c r="FWM2" i="7"/>
  <c r="FWN2" i="7"/>
  <c r="FWO2" i="7"/>
  <c r="FWP2" i="7"/>
  <c r="FWQ2" i="7"/>
  <c r="FWR2" i="7"/>
  <c r="FWS2" i="7"/>
  <c r="FWT2" i="7"/>
  <c r="FWU2" i="7"/>
  <c r="FWV2" i="7"/>
  <c r="FWW2" i="7"/>
  <c r="FWX2" i="7"/>
  <c r="FWY2" i="7"/>
  <c r="FWZ2" i="7"/>
  <c r="FXA2" i="7"/>
  <c r="FXB2" i="7"/>
  <c r="FXC2" i="7"/>
  <c r="FXD2" i="7"/>
  <c r="FXE2" i="7"/>
  <c r="FXF2" i="7"/>
  <c r="FXG2" i="7"/>
  <c r="FXH2" i="7"/>
  <c r="FXI2" i="7"/>
  <c r="FXJ2" i="7"/>
  <c r="FXK2" i="7"/>
  <c r="FXL2" i="7"/>
  <c r="FXM2" i="7"/>
  <c r="FXN2" i="7"/>
  <c r="FXO2" i="7"/>
  <c r="FXP2" i="7"/>
  <c r="FXQ2" i="7"/>
  <c r="FXR2" i="7"/>
  <c r="FXS2" i="7"/>
  <c r="FXT2" i="7"/>
  <c r="FXU2" i="7"/>
  <c r="FXV2" i="7"/>
  <c r="FXW2" i="7"/>
  <c r="FXX2" i="7"/>
  <c r="FXY2" i="7"/>
  <c r="FXZ2" i="7"/>
  <c r="FYA2" i="7"/>
  <c r="FYB2" i="7"/>
  <c r="FYC2" i="7"/>
  <c r="FYD2" i="7"/>
  <c r="FYE2" i="7"/>
  <c r="FYF2" i="7"/>
  <c r="FYG2" i="7"/>
  <c r="FYH2" i="7"/>
  <c r="FYI2" i="7"/>
  <c r="FYJ2" i="7"/>
  <c r="FYK2" i="7"/>
  <c r="FYL2" i="7"/>
  <c r="FYM2" i="7"/>
  <c r="FYN2" i="7"/>
  <c r="FYO2" i="7"/>
  <c r="FYP2" i="7"/>
  <c r="FYQ2" i="7"/>
  <c r="FYR2" i="7"/>
  <c r="FYS2" i="7"/>
  <c r="FYT2" i="7"/>
  <c r="FYU2" i="7"/>
  <c r="FYV2" i="7"/>
  <c r="FYW2" i="7"/>
  <c r="FYX2" i="7"/>
  <c r="FYY2" i="7"/>
  <c r="FYZ2" i="7"/>
  <c r="FZA2" i="7"/>
  <c r="FZB2" i="7"/>
  <c r="FZC2" i="7"/>
  <c r="FZD2" i="7"/>
  <c r="FZE2" i="7"/>
  <c r="FZF2" i="7"/>
  <c r="FZG2" i="7"/>
  <c r="FZH2" i="7"/>
  <c r="FZI2" i="7"/>
  <c r="FZJ2" i="7"/>
  <c r="FZK2" i="7"/>
  <c r="FZL2" i="7"/>
  <c r="FZM2" i="7"/>
  <c r="FZN2" i="7"/>
  <c r="FZO2" i="7"/>
  <c r="FZP2" i="7"/>
  <c r="FZQ2" i="7"/>
  <c r="FZR2" i="7"/>
  <c r="FZS2" i="7"/>
  <c r="FZT2" i="7"/>
  <c r="FZU2" i="7"/>
  <c r="FZV2" i="7"/>
  <c r="FZW2" i="7"/>
  <c r="FZX2" i="7"/>
  <c r="FZY2" i="7"/>
  <c r="FZZ2" i="7"/>
  <c r="GAA2" i="7"/>
  <c r="GAB2" i="7"/>
  <c r="GAC2" i="7"/>
  <c r="GAD2" i="7"/>
  <c r="GAE2" i="7"/>
  <c r="GAF2" i="7"/>
  <c r="GAG2" i="7"/>
  <c r="GAH2" i="7"/>
  <c r="GAI2" i="7"/>
  <c r="GAJ2" i="7"/>
  <c r="GAK2" i="7"/>
  <c r="GAL2" i="7"/>
  <c r="GAM2" i="7"/>
  <c r="GAN2" i="7"/>
  <c r="GAO2" i="7"/>
  <c r="GAP2" i="7"/>
  <c r="GAQ2" i="7"/>
  <c r="GAR2" i="7"/>
  <c r="GAS2" i="7"/>
  <c r="GAT2" i="7"/>
  <c r="GAU2" i="7"/>
  <c r="GAV2" i="7"/>
  <c r="GAW2" i="7"/>
  <c r="GAX2" i="7"/>
  <c r="GAY2" i="7"/>
  <c r="GAZ2" i="7"/>
  <c r="GBA2" i="7"/>
  <c r="GBB2" i="7"/>
  <c r="GBC2" i="7"/>
  <c r="GBD2" i="7"/>
  <c r="GBE2" i="7"/>
  <c r="GBF2" i="7"/>
  <c r="GBG2" i="7"/>
  <c r="GBH2" i="7"/>
  <c r="GBI2" i="7"/>
  <c r="GBJ2" i="7"/>
  <c r="GBK2" i="7"/>
  <c r="GBL2" i="7"/>
  <c r="GBM2" i="7"/>
  <c r="GBN2" i="7"/>
  <c r="GBO2" i="7"/>
  <c r="GBP2" i="7"/>
  <c r="GBQ2" i="7"/>
  <c r="GBR2" i="7"/>
  <c r="GBS2" i="7"/>
  <c r="GBT2" i="7"/>
  <c r="GBU2" i="7"/>
  <c r="GBV2" i="7"/>
  <c r="GBW2" i="7"/>
  <c r="GBX2" i="7"/>
  <c r="GBY2" i="7"/>
  <c r="GBZ2" i="7"/>
  <c r="GCA2" i="7"/>
  <c r="GCB2" i="7"/>
  <c r="GCC2" i="7"/>
  <c r="GCD2" i="7"/>
  <c r="GCE2" i="7"/>
  <c r="GCF2" i="7"/>
  <c r="GCG2" i="7"/>
  <c r="GCH2" i="7"/>
  <c r="GCI2" i="7"/>
  <c r="GCJ2" i="7"/>
  <c r="GCK2" i="7"/>
  <c r="GCL2" i="7"/>
  <c r="GCM2" i="7"/>
  <c r="GCN2" i="7"/>
  <c r="GCO2" i="7"/>
  <c r="GCP2" i="7"/>
  <c r="GCQ2" i="7"/>
  <c r="GCR2" i="7"/>
  <c r="GCS2" i="7"/>
  <c r="GCT2" i="7"/>
  <c r="GCU2" i="7"/>
  <c r="GCV2" i="7"/>
  <c r="GCW2" i="7"/>
  <c r="GCX2" i="7"/>
  <c r="GCY2" i="7"/>
  <c r="GCZ2" i="7"/>
  <c r="GDA2" i="7"/>
  <c r="GDB2" i="7"/>
  <c r="GDC2" i="7"/>
  <c r="GDD2" i="7"/>
  <c r="GDE2" i="7"/>
  <c r="GDF2" i="7"/>
  <c r="GDG2" i="7"/>
  <c r="GDH2" i="7"/>
  <c r="GDI2" i="7"/>
  <c r="GDJ2" i="7"/>
  <c r="GDK2" i="7"/>
  <c r="GDL2" i="7"/>
  <c r="GDM2" i="7"/>
  <c r="GDN2" i="7"/>
  <c r="GDO2" i="7"/>
  <c r="GDP2" i="7"/>
  <c r="GDQ2" i="7"/>
  <c r="GDR2" i="7"/>
  <c r="GDS2" i="7"/>
  <c r="GDT2" i="7"/>
  <c r="GDU2" i="7"/>
  <c r="GDV2" i="7"/>
  <c r="GDW2" i="7"/>
  <c r="GDX2" i="7"/>
  <c r="GDY2" i="7"/>
  <c r="GDZ2" i="7"/>
  <c r="GEA2" i="7"/>
  <c r="GEB2" i="7"/>
  <c r="GEC2" i="7"/>
  <c r="GED2" i="7"/>
  <c r="GEE2" i="7"/>
  <c r="GEF2" i="7"/>
  <c r="GEG2" i="7"/>
  <c r="GEH2" i="7"/>
  <c r="GEI2" i="7"/>
  <c r="GEJ2" i="7"/>
  <c r="GEK2" i="7"/>
  <c r="GEL2" i="7"/>
  <c r="GEM2" i="7"/>
  <c r="GEN2" i="7"/>
  <c r="GEO2" i="7"/>
  <c r="GEP2" i="7"/>
  <c r="GEQ2" i="7"/>
  <c r="GER2" i="7"/>
  <c r="GES2" i="7"/>
  <c r="GET2" i="7"/>
  <c r="GEU2" i="7"/>
  <c r="GEV2" i="7"/>
  <c r="GEW2" i="7"/>
  <c r="GEX2" i="7"/>
  <c r="GEY2" i="7"/>
  <c r="GEZ2" i="7"/>
  <c r="GFA2" i="7"/>
  <c r="GFB2" i="7"/>
  <c r="GFC2" i="7"/>
  <c r="GFD2" i="7"/>
  <c r="GFE2" i="7"/>
  <c r="GFF2" i="7"/>
  <c r="GFG2" i="7"/>
  <c r="GFH2" i="7"/>
  <c r="GFI2" i="7"/>
  <c r="GFJ2" i="7"/>
  <c r="GFK2" i="7"/>
  <c r="GFL2" i="7"/>
  <c r="GFM2" i="7"/>
  <c r="GFN2" i="7"/>
  <c r="GFO2" i="7"/>
  <c r="GFP2" i="7"/>
  <c r="GFQ2" i="7"/>
  <c r="GFR2" i="7"/>
  <c r="GFS2" i="7"/>
  <c r="GFT2" i="7"/>
  <c r="GFU2" i="7"/>
  <c r="GFV2" i="7"/>
  <c r="GFW2" i="7"/>
  <c r="GFX2" i="7"/>
  <c r="GFY2" i="7"/>
  <c r="GFZ2" i="7"/>
  <c r="GGA2" i="7"/>
  <c r="GGB2" i="7"/>
  <c r="GGC2" i="7"/>
  <c r="GGD2" i="7"/>
  <c r="GGE2" i="7"/>
  <c r="GGF2" i="7"/>
  <c r="GGG2" i="7"/>
  <c r="GGH2" i="7"/>
  <c r="GGI2" i="7"/>
  <c r="GGJ2" i="7"/>
  <c r="GGK2" i="7"/>
  <c r="GGL2" i="7"/>
  <c r="GGM2" i="7"/>
  <c r="GGN2" i="7"/>
  <c r="GGO2" i="7"/>
  <c r="GGP2" i="7"/>
  <c r="GGQ2" i="7"/>
  <c r="GGR2" i="7"/>
  <c r="GGS2" i="7"/>
  <c r="GGT2" i="7"/>
  <c r="GGU2" i="7"/>
  <c r="GGV2" i="7"/>
  <c r="GGW2" i="7"/>
  <c r="GGX2" i="7"/>
  <c r="GGY2" i="7"/>
  <c r="GGZ2" i="7"/>
  <c r="GHA2" i="7"/>
  <c r="GHB2" i="7"/>
  <c r="GHC2" i="7"/>
  <c r="GHD2" i="7"/>
  <c r="GHE2" i="7"/>
  <c r="GHF2" i="7"/>
  <c r="GHG2" i="7"/>
  <c r="GHH2" i="7"/>
  <c r="GHI2" i="7"/>
  <c r="GHJ2" i="7"/>
  <c r="GHK2" i="7"/>
  <c r="GHL2" i="7"/>
  <c r="GHM2" i="7"/>
  <c r="GHN2" i="7"/>
  <c r="GHO2" i="7"/>
  <c r="GHP2" i="7"/>
  <c r="GHQ2" i="7"/>
  <c r="GHR2" i="7"/>
  <c r="GHS2" i="7"/>
  <c r="GHT2" i="7"/>
  <c r="GHU2" i="7"/>
  <c r="GHV2" i="7"/>
  <c r="GHW2" i="7"/>
  <c r="GHX2" i="7"/>
  <c r="GHY2" i="7"/>
  <c r="GHZ2" i="7"/>
  <c r="GIA2" i="7"/>
  <c r="GIB2" i="7"/>
  <c r="GIC2" i="7"/>
  <c r="GID2" i="7"/>
  <c r="GIE2" i="7"/>
  <c r="GIF2" i="7"/>
  <c r="GIG2" i="7"/>
  <c r="GIH2" i="7"/>
  <c r="GII2" i="7"/>
  <c r="GIJ2" i="7"/>
  <c r="GIK2" i="7"/>
  <c r="GIL2" i="7"/>
  <c r="GIM2" i="7"/>
  <c r="GIN2" i="7"/>
  <c r="GIO2" i="7"/>
  <c r="GIP2" i="7"/>
  <c r="GIQ2" i="7"/>
  <c r="GIR2" i="7"/>
  <c r="GIS2" i="7"/>
  <c r="GIT2" i="7"/>
  <c r="GIU2" i="7"/>
  <c r="GIV2" i="7"/>
  <c r="GIW2" i="7"/>
  <c r="GIX2" i="7"/>
  <c r="GIY2" i="7"/>
  <c r="GIZ2" i="7"/>
  <c r="GJA2" i="7"/>
  <c r="GJB2" i="7"/>
  <c r="GJC2" i="7"/>
  <c r="GJD2" i="7"/>
  <c r="GJE2" i="7"/>
  <c r="GJF2" i="7"/>
  <c r="GJG2" i="7"/>
  <c r="GJH2" i="7"/>
  <c r="GJI2" i="7"/>
  <c r="GJJ2" i="7"/>
  <c r="GJK2" i="7"/>
  <c r="GJL2" i="7"/>
  <c r="GJM2" i="7"/>
  <c r="GJN2" i="7"/>
  <c r="GJO2" i="7"/>
  <c r="GJP2" i="7"/>
  <c r="GJQ2" i="7"/>
  <c r="GJR2" i="7"/>
  <c r="GJS2" i="7"/>
  <c r="GJT2" i="7"/>
  <c r="GJU2" i="7"/>
  <c r="GJV2" i="7"/>
  <c r="GJW2" i="7"/>
  <c r="GJX2" i="7"/>
  <c r="GJY2" i="7"/>
  <c r="GJZ2" i="7"/>
  <c r="GKA2" i="7"/>
  <c r="GKB2" i="7"/>
  <c r="GKC2" i="7"/>
  <c r="GKD2" i="7"/>
  <c r="GKE2" i="7"/>
  <c r="GKF2" i="7"/>
  <c r="GKG2" i="7"/>
  <c r="GKH2" i="7"/>
  <c r="GKI2" i="7"/>
  <c r="GKJ2" i="7"/>
  <c r="GKK2" i="7"/>
  <c r="GKL2" i="7"/>
  <c r="GKM2" i="7"/>
  <c r="GKN2" i="7"/>
  <c r="GKO2" i="7"/>
  <c r="GKP2" i="7"/>
  <c r="GKQ2" i="7"/>
  <c r="GKR2" i="7"/>
  <c r="GKS2" i="7"/>
  <c r="GKT2" i="7"/>
  <c r="GKU2" i="7"/>
  <c r="GKV2" i="7"/>
  <c r="GKW2" i="7"/>
  <c r="GKX2" i="7"/>
  <c r="GKY2" i="7"/>
  <c r="GKZ2" i="7"/>
  <c r="GLA2" i="7"/>
  <c r="GLB2" i="7"/>
  <c r="GLC2" i="7"/>
  <c r="GLD2" i="7"/>
  <c r="GLE2" i="7"/>
  <c r="GLF2" i="7"/>
  <c r="GLG2" i="7"/>
  <c r="GLH2" i="7"/>
  <c r="GLI2" i="7"/>
  <c r="GLJ2" i="7"/>
  <c r="GLK2" i="7"/>
  <c r="GLL2" i="7"/>
  <c r="GLM2" i="7"/>
  <c r="GLN2" i="7"/>
  <c r="GLO2" i="7"/>
  <c r="GLP2" i="7"/>
  <c r="GLQ2" i="7"/>
  <c r="GLR2" i="7"/>
  <c r="GLS2" i="7"/>
  <c r="GLT2" i="7"/>
  <c r="GLU2" i="7"/>
  <c r="GLV2" i="7"/>
  <c r="GLW2" i="7"/>
  <c r="GLX2" i="7"/>
  <c r="GLY2" i="7"/>
  <c r="GLZ2" i="7"/>
  <c r="GMA2" i="7"/>
  <c r="GMB2" i="7"/>
  <c r="GMC2" i="7"/>
  <c r="GMD2" i="7"/>
  <c r="GME2" i="7"/>
  <c r="GMF2" i="7"/>
  <c r="GMG2" i="7"/>
  <c r="GMH2" i="7"/>
  <c r="GMI2" i="7"/>
  <c r="GMJ2" i="7"/>
  <c r="GMK2" i="7"/>
  <c r="GML2" i="7"/>
  <c r="GMM2" i="7"/>
  <c r="GMN2" i="7"/>
  <c r="GMO2" i="7"/>
  <c r="GMP2" i="7"/>
  <c r="GMQ2" i="7"/>
  <c r="GMR2" i="7"/>
  <c r="GMS2" i="7"/>
  <c r="GMT2" i="7"/>
  <c r="GMU2" i="7"/>
  <c r="GMV2" i="7"/>
  <c r="GMW2" i="7"/>
  <c r="GMX2" i="7"/>
  <c r="GMY2" i="7"/>
  <c r="GMZ2" i="7"/>
  <c r="GNA2" i="7"/>
  <c r="GNB2" i="7"/>
  <c r="GNC2" i="7"/>
  <c r="GND2" i="7"/>
  <c r="GNE2" i="7"/>
  <c r="GNF2" i="7"/>
  <c r="GNG2" i="7"/>
  <c r="GNH2" i="7"/>
  <c r="GNI2" i="7"/>
  <c r="GNJ2" i="7"/>
  <c r="GNK2" i="7"/>
  <c r="GNL2" i="7"/>
  <c r="GNM2" i="7"/>
  <c r="GNN2" i="7"/>
  <c r="GNO2" i="7"/>
  <c r="GNP2" i="7"/>
  <c r="GNQ2" i="7"/>
  <c r="GNR2" i="7"/>
  <c r="GNS2" i="7"/>
  <c r="GNT2" i="7"/>
  <c r="GNU2" i="7"/>
  <c r="GNV2" i="7"/>
  <c r="GNW2" i="7"/>
  <c r="GNX2" i="7"/>
  <c r="GNY2" i="7"/>
  <c r="GNZ2" i="7"/>
  <c r="GOA2" i="7"/>
  <c r="GOB2" i="7"/>
  <c r="GOC2" i="7"/>
  <c r="GOD2" i="7"/>
  <c r="GOE2" i="7"/>
  <c r="GOF2" i="7"/>
  <c r="GOG2" i="7"/>
  <c r="GOH2" i="7"/>
  <c r="GOI2" i="7"/>
  <c r="GOJ2" i="7"/>
  <c r="GOK2" i="7"/>
  <c r="GOL2" i="7"/>
  <c r="GOM2" i="7"/>
  <c r="GON2" i="7"/>
  <c r="GOO2" i="7"/>
  <c r="GOP2" i="7"/>
  <c r="GOQ2" i="7"/>
  <c r="GOR2" i="7"/>
  <c r="GOS2" i="7"/>
  <c r="GOT2" i="7"/>
  <c r="GOU2" i="7"/>
  <c r="GOV2" i="7"/>
  <c r="GOW2" i="7"/>
  <c r="GOX2" i="7"/>
  <c r="GOY2" i="7"/>
  <c r="GOZ2" i="7"/>
  <c r="GPA2" i="7"/>
  <c r="GPB2" i="7"/>
  <c r="GPC2" i="7"/>
  <c r="GPD2" i="7"/>
  <c r="GPE2" i="7"/>
  <c r="GPF2" i="7"/>
  <c r="GPG2" i="7"/>
  <c r="GPH2" i="7"/>
  <c r="GPI2" i="7"/>
  <c r="GPJ2" i="7"/>
  <c r="GPK2" i="7"/>
  <c r="GPL2" i="7"/>
  <c r="GPM2" i="7"/>
  <c r="GPN2" i="7"/>
  <c r="GPO2" i="7"/>
  <c r="GPP2" i="7"/>
  <c r="GPQ2" i="7"/>
  <c r="GPR2" i="7"/>
  <c r="GPS2" i="7"/>
  <c r="GPT2" i="7"/>
  <c r="GPU2" i="7"/>
  <c r="GPV2" i="7"/>
  <c r="GPW2" i="7"/>
  <c r="GPX2" i="7"/>
  <c r="GPY2" i="7"/>
  <c r="GPZ2" i="7"/>
  <c r="GQA2" i="7"/>
  <c r="GQB2" i="7"/>
  <c r="GQC2" i="7"/>
  <c r="GQD2" i="7"/>
  <c r="GQE2" i="7"/>
  <c r="GQF2" i="7"/>
  <c r="GQG2" i="7"/>
  <c r="GQH2" i="7"/>
  <c r="GQI2" i="7"/>
  <c r="GQJ2" i="7"/>
  <c r="GQK2" i="7"/>
  <c r="GQL2" i="7"/>
  <c r="GQM2" i="7"/>
  <c r="GQN2" i="7"/>
  <c r="GQO2" i="7"/>
  <c r="GQP2" i="7"/>
  <c r="GQQ2" i="7"/>
  <c r="GQR2" i="7"/>
  <c r="GQS2" i="7"/>
  <c r="GQT2" i="7"/>
  <c r="GQU2" i="7"/>
  <c r="GQV2" i="7"/>
  <c r="GQW2" i="7"/>
  <c r="GQX2" i="7"/>
  <c r="GQY2" i="7"/>
  <c r="GQZ2" i="7"/>
  <c r="GRA2" i="7"/>
  <c r="GRB2" i="7"/>
  <c r="GRC2" i="7"/>
  <c r="GRD2" i="7"/>
  <c r="GRE2" i="7"/>
  <c r="GRF2" i="7"/>
  <c r="GRG2" i="7"/>
  <c r="GRH2" i="7"/>
  <c r="GRI2" i="7"/>
  <c r="GRJ2" i="7"/>
  <c r="GRK2" i="7"/>
  <c r="GRL2" i="7"/>
  <c r="GRM2" i="7"/>
  <c r="GRN2" i="7"/>
  <c r="GRO2" i="7"/>
  <c r="GRP2" i="7"/>
  <c r="GRQ2" i="7"/>
  <c r="GRR2" i="7"/>
  <c r="GRS2" i="7"/>
  <c r="GRT2" i="7"/>
  <c r="GRU2" i="7"/>
  <c r="GRV2" i="7"/>
  <c r="GRW2" i="7"/>
  <c r="GRX2" i="7"/>
  <c r="GRY2" i="7"/>
  <c r="GRZ2" i="7"/>
  <c r="GSA2" i="7"/>
  <c r="GSB2" i="7"/>
  <c r="GSC2" i="7"/>
  <c r="GSD2" i="7"/>
  <c r="GSE2" i="7"/>
  <c r="GSF2" i="7"/>
  <c r="GSG2" i="7"/>
  <c r="GSH2" i="7"/>
  <c r="GSI2" i="7"/>
  <c r="GSJ2" i="7"/>
  <c r="GSK2" i="7"/>
  <c r="GSL2" i="7"/>
  <c r="GSM2" i="7"/>
  <c r="GSN2" i="7"/>
  <c r="GSO2" i="7"/>
  <c r="GSP2" i="7"/>
  <c r="GSQ2" i="7"/>
  <c r="GSR2" i="7"/>
  <c r="GSS2" i="7"/>
  <c r="GST2" i="7"/>
  <c r="GSU2" i="7"/>
  <c r="GSV2" i="7"/>
  <c r="GSW2" i="7"/>
  <c r="GSX2" i="7"/>
  <c r="GSY2" i="7"/>
  <c r="GSZ2" i="7"/>
  <c r="GTA2" i="7"/>
  <c r="GTB2" i="7"/>
  <c r="GTC2" i="7"/>
  <c r="GTD2" i="7"/>
  <c r="GTE2" i="7"/>
  <c r="GTF2" i="7"/>
  <c r="GTG2" i="7"/>
  <c r="GTH2" i="7"/>
  <c r="GTI2" i="7"/>
  <c r="GTJ2" i="7"/>
  <c r="GTK2" i="7"/>
  <c r="GTL2" i="7"/>
  <c r="GTM2" i="7"/>
  <c r="GTN2" i="7"/>
  <c r="GTO2" i="7"/>
  <c r="GTP2" i="7"/>
  <c r="GTQ2" i="7"/>
  <c r="GTR2" i="7"/>
  <c r="GTS2" i="7"/>
  <c r="GTT2" i="7"/>
  <c r="GTU2" i="7"/>
  <c r="GTV2" i="7"/>
  <c r="GTW2" i="7"/>
  <c r="GTX2" i="7"/>
  <c r="GTY2" i="7"/>
  <c r="GTZ2" i="7"/>
  <c r="GUA2" i="7"/>
  <c r="GUB2" i="7"/>
  <c r="GUC2" i="7"/>
  <c r="GUD2" i="7"/>
  <c r="GUE2" i="7"/>
  <c r="GUF2" i="7"/>
  <c r="GUG2" i="7"/>
  <c r="GUH2" i="7"/>
  <c r="GUI2" i="7"/>
  <c r="GUJ2" i="7"/>
  <c r="GUK2" i="7"/>
  <c r="GUL2" i="7"/>
  <c r="GUM2" i="7"/>
  <c r="GUN2" i="7"/>
  <c r="GUO2" i="7"/>
  <c r="GUP2" i="7"/>
  <c r="GUQ2" i="7"/>
  <c r="GUR2" i="7"/>
  <c r="GUS2" i="7"/>
  <c r="GUT2" i="7"/>
  <c r="GUU2" i="7"/>
  <c r="GUV2" i="7"/>
  <c r="GUW2" i="7"/>
  <c r="GUX2" i="7"/>
  <c r="GUY2" i="7"/>
  <c r="GUZ2" i="7"/>
  <c r="GVA2" i="7"/>
  <c r="GVB2" i="7"/>
  <c r="GVC2" i="7"/>
  <c r="GVD2" i="7"/>
  <c r="GVE2" i="7"/>
  <c r="GVF2" i="7"/>
  <c r="GVG2" i="7"/>
  <c r="GVH2" i="7"/>
  <c r="GVI2" i="7"/>
  <c r="GVJ2" i="7"/>
  <c r="GVK2" i="7"/>
  <c r="GVL2" i="7"/>
  <c r="GVM2" i="7"/>
  <c r="GVN2" i="7"/>
  <c r="GVO2" i="7"/>
  <c r="GVP2" i="7"/>
  <c r="GVQ2" i="7"/>
  <c r="GVR2" i="7"/>
  <c r="GVS2" i="7"/>
  <c r="GVT2" i="7"/>
  <c r="GVU2" i="7"/>
  <c r="GVV2" i="7"/>
  <c r="GVW2" i="7"/>
  <c r="GVX2" i="7"/>
  <c r="GVY2" i="7"/>
  <c r="GVZ2" i="7"/>
  <c r="GWA2" i="7"/>
  <c r="GWB2" i="7"/>
  <c r="GWC2" i="7"/>
  <c r="GWD2" i="7"/>
  <c r="GWE2" i="7"/>
  <c r="GWF2" i="7"/>
  <c r="GWG2" i="7"/>
  <c r="GWH2" i="7"/>
  <c r="GWI2" i="7"/>
  <c r="GWJ2" i="7"/>
  <c r="GWK2" i="7"/>
  <c r="GWL2" i="7"/>
  <c r="GWM2" i="7"/>
  <c r="GWN2" i="7"/>
  <c r="GWO2" i="7"/>
  <c r="GWP2" i="7"/>
  <c r="GWQ2" i="7"/>
  <c r="GWR2" i="7"/>
  <c r="GWS2" i="7"/>
  <c r="GWT2" i="7"/>
  <c r="GWU2" i="7"/>
  <c r="GWV2" i="7"/>
  <c r="GWW2" i="7"/>
  <c r="GWX2" i="7"/>
  <c r="GWY2" i="7"/>
  <c r="GWZ2" i="7"/>
  <c r="GXA2" i="7"/>
  <c r="GXB2" i="7"/>
  <c r="GXC2" i="7"/>
  <c r="GXD2" i="7"/>
  <c r="GXE2" i="7"/>
  <c r="GXF2" i="7"/>
  <c r="GXG2" i="7"/>
  <c r="GXH2" i="7"/>
  <c r="GXI2" i="7"/>
  <c r="GXJ2" i="7"/>
  <c r="GXK2" i="7"/>
  <c r="GXL2" i="7"/>
  <c r="GXM2" i="7"/>
  <c r="GXN2" i="7"/>
  <c r="GXO2" i="7"/>
  <c r="GXP2" i="7"/>
  <c r="GXQ2" i="7"/>
  <c r="GXR2" i="7"/>
  <c r="GXS2" i="7"/>
  <c r="GXT2" i="7"/>
  <c r="GXU2" i="7"/>
  <c r="GXV2" i="7"/>
  <c r="GXW2" i="7"/>
  <c r="GXX2" i="7"/>
  <c r="GXY2" i="7"/>
  <c r="GXZ2" i="7"/>
  <c r="GYA2" i="7"/>
  <c r="GYB2" i="7"/>
  <c r="GYC2" i="7"/>
  <c r="GYD2" i="7"/>
  <c r="GYE2" i="7"/>
  <c r="GYF2" i="7"/>
  <c r="GYG2" i="7"/>
  <c r="GYH2" i="7"/>
  <c r="GYI2" i="7"/>
  <c r="GYJ2" i="7"/>
  <c r="GYK2" i="7"/>
  <c r="GYL2" i="7"/>
  <c r="GYM2" i="7"/>
  <c r="GYN2" i="7"/>
  <c r="GYO2" i="7"/>
  <c r="GYP2" i="7"/>
  <c r="GYQ2" i="7"/>
  <c r="GYR2" i="7"/>
  <c r="GYS2" i="7"/>
  <c r="GYT2" i="7"/>
  <c r="GYU2" i="7"/>
  <c r="GYV2" i="7"/>
  <c r="GYW2" i="7"/>
  <c r="GYX2" i="7"/>
  <c r="GYY2" i="7"/>
  <c r="GYZ2" i="7"/>
  <c r="GZA2" i="7"/>
  <c r="GZB2" i="7"/>
  <c r="GZC2" i="7"/>
  <c r="GZD2" i="7"/>
  <c r="GZE2" i="7"/>
  <c r="GZF2" i="7"/>
  <c r="GZG2" i="7"/>
  <c r="GZH2" i="7"/>
  <c r="GZI2" i="7"/>
  <c r="GZJ2" i="7"/>
  <c r="GZK2" i="7"/>
  <c r="GZL2" i="7"/>
  <c r="GZM2" i="7"/>
  <c r="GZN2" i="7"/>
  <c r="GZO2" i="7"/>
  <c r="GZP2" i="7"/>
  <c r="GZQ2" i="7"/>
  <c r="GZR2" i="7"/>
  <c r="GZS2" i="7"/>
  <c r="GZT2" i="7"/>
  <c r="GZU2" i="7"/>
  <c r="GZV2" i="7"/>
  <c r="GZW2" i="7"/>
  <c r="GZX2" i="7"/>
  <c r="GZY2" i="7"/>
  <c r="GZZ2" i="7"/>
  <c r="HAA2" i="7"/>
  <c r="HAB2" i="7"/>
  <c r="HAC2" i="7"/>
  <c r="HAD2" i="7"/>
  <c r="HAE2" i="7"/>
  <c r="HAF2" i="7"/>
  <c r="HAG2" i="7"/>
  <c r="HAH2" i="7"/>
  <c r="HAI2" i="7"/>
  <c r="HAJ2" i="7"/>
  <c r="HAK2" i="7"/>
  <c r="HAL2" i="7"/>
  <c r="HAM2" i="7"/>
  <c r="HAN2" i="7"/>
  <c r="HAO2" i="7"/>
  <c r="HAP2" i="7"/>
  <c r="HAQ2" i="7"/>
  <c r="HAR2" i="7"/>
  <c r="HAS2" i="7"/>
  <c r="HAT2" i="7"/>
  <c r="HAU2" i="7"/>
  <c r="HAV2" i="7"/>
  <c r="HAW2" i="7"/>
  <c r="HAX2" i="7"/>
  <c r="HAY2" i="7"/>
  <c r="HAZ2" i="7"/>
  <c r="HBA2" i="7"/>
  <c r="HBB2" i="7"/>
  <c r="HBC2" i="7"/>
  <c r="HBD2" i="7"/>
  <c r="HBE2" i="7"/>
  <c r="HBF2" i="7"/>
  <c r="HBG2" i="7"/>
  <c r="HBH2" i="7"/>
  <c r="HBI2" i="7"/>
  <c r="HBJ2" i="7"/>
  <c r="HBK2" i="7"/>
  <c r="HBL2" i="7"/>
  <c r="HBM2" i="7"/>
  <c r="HBN2" i="7"/>
  <c r="HBO2" i="7"/>
  <c r="HBP2" i="7"/>
  <c r="HBQ2" i="7"/>
  <c r="HBR2" i="7"/>
  <c r="HBS2" i="7"/>
  <c r="HBT2" i="7"/>
  <c r="HBU2" i="7"/>
  <c r="HBV2" i="7"/>
  <c r="HBW2" i="7"/>
  <c r="HBX2" i="7"/>
  <c r="HBY2" i="7"/>
  <c r="HBZ2" i="7"/>
  <c r="HCA2" i="7"/>
  <c r="HCB2" i="7"/>
  <c r="HCC2" i="7"/>
  <c r="HCD2" i="7"/>
  <c r="HCE2" i="7"/>
  <c r="HCF2" i="7"/>
  <c r="HCG2" i="7"/>
  <c r="HCH2" i="7"/>
  <c r="HCI2" i="7"/>
  <c r="HCJ2" i="7"/>
  <c r="HCK2" i="7"/>
  <c r="HCL2" i="7"/>
  <c r="HCM2" i="7"/>
  <c r="HCN2" i="7"/>
  <c r="HCO2" i="7"/>
  <c r="HCP2" i="7"/>
  <c r="HCQ2" i="7"/>
  <c r="HCR2" i="7"/>
  <c r="HCS2" i="7"/>
  <c r="HCT2" i="7"/>
  <c r="HCU2" i="7"/>
  <c r="HCV2" i="7"/>
  <c r="HCW2" i="7"/>
  <c r="HCX2" i="7"/>
  <c r="HCY2" i="7"/>
  <c r="HCZ2" i="7"/>
  <c r="HDA2" i="7"/>
  <c r="HDB2" i="7"/>
  <c r="HDC2" i="7"/>
  <c r="HDD2" i="7"/>
  <c r="HDE2" i="7"/>
  <c r="HDF2" i="7"/>
  <c r="HDG2" i="7"/>
  <c r="HDH2" i="7"/>
  <c r="HDI2" i="7"/>
  <c r="HDJ2" i="7"/>
  <c r="HDK2" i="7"/>
  <c r="HDL2" i="7"/>
  <c r="HDM2" i="7"/>
  <c r="HDN2" i="7"/>
  <c r="HDO2" i="7"/>
  <c r="HDP2" i="7"/>
  <c r="HDQ2" i="7"/>
  <c r="HDR2" i="7"/>
  <c r="HDS2" i="7"/>
  <c r="HDT2" i="7"/>
  <c r="HDU2" i="7"/>
  <c r="HDV2" i="7"/>
  <c r="HDW2" i="7"/>
  <c r="HDX2" i="7"/>
  <c r="HDY2" i="7"/>
  <c r="HDZ2" i="7"/>
  <c r="HEA2" i="7"/>
  <c r="HEB2" i="7"/>
  <c r="HEC2" i="7"/>
  <c r="HED2" i="7"/>
  <c r="HEE2" i="7"/>
  <c r="HEF2" i="7"/>
  <c r="HEG2" i="7"/>
  <c r="HEH2" i="7"/>
  <c r="HEI2" i="7"/>
  <c r="HEJ2" i="7"/>
  <c r="HEK2" i="7"/>
  <c r="HEL2" i="7"/>
  <c r="HEM2" i="7"/>
  <c r="HEN2" i="7"/>
  <c r="HEO2" i="7"/>
  <c r="HEP2" i="7"/>
  <c r="HEQ2" i="7"/>
  <c r="HER2" i="7"/>
  <c r="HES2" i="7"/>
  <c r="HET2" i="7"/>
  <c r="HEU2" i="7"/>
  <c r="HEV2" i="7"/>
  <c r="HEW2" i="7"/>
  <c r="HEX2" i="7"/>
  <c r="HEY2" i="7"/>
  <c r="HEZ2" i="7"/>
  <c r="HFA2" i="7"/>
  <c r="HFB2" i="7"/>
  <c r="HFC2" i="7"/>
  <c r="HFD2" i="7"/>
  <c r="HFE2" i="7"/>
  <c r="HFF2" i="7"/>
  <c r="HFG2" i="7"/>
  <c r="HFH2" i="7"/>
  <c r="HFI2" i="7"/>
  <c r="HFJ2" i="7"/>
  <c r="HFK2" i="7"/>
  <c r="HFL2" i="7"/>
  <c r="HFM2" i="7"/>
  <c r="HFN2" i="7"/>
  <c r="HFO2" i="7"/>
  <c r="HFP2" i="7"/>
  <c r="HFQ2" i="7"/>
  <c r="HFR2" i="7"/>
  <c r="HFS2" i="7"/>
  <c r="HFT2" i="7"/>
  <c r="HFU2" i="7"/>
  <c r="HFV2" i="7"/>
  <c r="HFW2" i="7"/>
  <c r="HFX2" i="7"/>
  <c r="HFY2" i="7"/>
  <c r="HFZ2" i="7"/>
  <c r="HGA2" i="7"/>
  <c r="HGB2" i="7"/>
  <c r="HGC2" i="7"/>
  <c r="HGD2" i="7"/>
  <c r="HGE2" i="7"/>
  <c r="HGF2" i="7"/>
  <c r="HGG2" i="7"/>
  <c r="HGH2" i="7"/>
  <c r="HGI2" i="7"/>
  <c r="HGJ2" i="7"/>
  <c r="HGK2" i="7"/>
  <c r="HGL2" i="7"/>
  <c r="HGM2" i="7"/>
  <c r="HGN2" i="7"/>
  <c r="HGO2" i="7"/>
  <c r="HGP2" i="7"/>
  <c r="HGQ2" i="7"/>
  <c r="HGR2" i="7"/>
  <c r="HGS2" i="7"/>
  <c r="HGT2" i="7"/>
  <c r="HGU2" i="7"/>
  <c r="HGV2" i="7"/>
  <c r="HGW2" i="7"/>
  <c r="HGX2" i="7"/>
  <c r="HGY2" i="7"/>
  <c r="HGZ2" i="7"/>
  <c r="HHA2" i="7"/>
  <c r="HHB2" i="7"/>
  <c r="HHC2" i="7"/>
  <c r="HHD2" i="7"/>
  <c r="HHE2" i="7"/>
  <c r="HHF2" i="7"/>
  <c r="HHG2" i="7"/>
  <c r="HHH2" i="7"/>
  <c r="HHI2" i="7"/>
  <c r="HHJ2" i="7"/>
  <c r="HHK2" i="7"/>
  <c r="HHL2" i="7"/>
  <c r="HHM2" i="7"/>
  <c r="HHN2" i="7"/>
  <c r="HHO2" i="7"/>
  <c r="HHP2" i="7"/>
  <c r="HHQ2" i="7"/>
  <c r="HHR2" i="7"/>
  <c r="HHS2" i="7"/>
  <c r="HHT2" i="7"/>
  <c r="HHU2" i="7"/>
  <c r="HHV2" i="7"/>
  <c r="HHW2" i="7"/>
  <c r="HHX2" i="7"/>
  <c r="HHY2" i="7"/>
  <c r="HHZ2" i="7"/>
  <c r="HIA2" i="7"/>
  <c r="HIB2" i="7"/>
  <c r="HIC2" i="7"/>
  <c r="HID2" i="7"/>
  <c r="HIE2" i="7"/>
  <c r="HIF2" i="7"/>
  <c r="HIG2" i="7"/>
  <c r="HIH2" i="7"/>
  <c r="HII2" i="7"/>
  <c r="HIJ2" i="7"/>
  <c r="HIK2" i="7"/>
  <c r="HIL2" i="7"/>
  <c r="HIM2" i="7"/>
  <c r="HIN2" i="7"/>
  <c r="HIO2" i="7"/>
  <c r="HIP2" i="7"/>
  <c r="HIQ2" i="7"/>
  <c r="HIR2" i="7"/>
  <c r="HIS2" i="7"/>
  <c r="HIT2" i="7"/>
  <c r="HIU2" i="7"/>
  <c r="HIV2" i="7"/>
  <c r="HIW2" i="7"/>
  <c r="HIX2" i="7"/>
  <c r="HIY2" i="7"/>
  <c r="HIZ2" i="7"/>
  <c r="HJA2" i="7"/>
  <c r="HJB2" i="7"/>
  <c r="HJC2" i="7"/>
  <c r="HJD2" i="7"/>
  <c r="HJE2" i="7"/>
  <c r="HJF2" i="7"/>
  <c r="HJG2" i="7"/>
  <c r="HJH2" i="7"/>
  <c r="HJI2" i="7"/>
  <c r="HJJ2" i="7"/>
  <c r="HJK2" i="7"/>
  <c r="HJL2" i="7"/>
  <c r="HJM2" i="7"/>
  <c r="HJN2" i="7"/>
  <c r="HJO2" i="7"/>
  <c r="HJP2" i="7"/>
  <c r="HJQ2" i="7"/>
  <c r="HJR2" i="7"/>
  <c r="HJS2" i="7"/>
  <c r="HJT2" i="7"/>
  <c r="HJU2" i="7"/>
  <c r="HJV2" i="7"/>
  <c r="HJW2" i="7"/>
  <c r="HJX2" i="7"/>
  <c r="HJY2" i="7"/>
  <c r="HJZ2" i="7"/>
  <c r="HKA2" i="7"/>
  <c r="HKB2" i="7"/>
  <c r="HKC2" i="7"/>
  <c r="HKD2" i="7"/>
  <c r="HKE2" i="7"/>
  <c r="HKF2" i="7"/>
  <c r="HKG2" i="7"/>
  <c r="HKH2" i="7"/>
  <c r="HKI2" i="7"/>
  <c r="HKJ2" i="7"/>
  <c r="HKK2" i="7"/>
  <c r="HKL2" i="7"/>
  <c r="HKM2" i="7"/>
  <c r="HKN2" i="7"/>
  <c r="HKO2" i="7"/>
  <c r="HKP2" i="7"/>
  <c r="HKQ2" i="7"/>
  <c r="HKR2" i="7"/>
  <c r="HKS2" i="7"/>
  <c r="HKT2" i="7"/>
  <c r="HKU2" i="7"/>
  <c r="HKV2" i="7"/>
  <c r="HKW2" i="7"/>
  <c r="HKX2" i="7"/>
  <c r="HKY2" i="7"/>
  <c r="HKZ2" i="7"/>
  <c r="HLA2" i="7"/>
  <c r="HLB2" i="7"/>
  <c r="HLC2" i="7"/>
  <c r="HLD2" i="7"/>
  <c r="HLE2" i="7"/>
  <c r="HLF2" i="7"/>
  <c r="HLG2" i="7"/>
  <c r="HLH2" i="7"/>
  <c r="HLI2" i="7"/>
  <c r="HLJ2" i="7"/>
  <c r="HLK2" i="7"/>
  <c r="HLL2" i="7"/>
  <c r="HLM2" i="7"/>
  <c r="HLN2" i="7"/>
  <c r="HLO2" i="7"/>
  <c r="HLP2" i="7"/>
  <c r="HLQ2" i="7"/>
  <c r="HLR2" i="7"/>
  <c r="HLS2" i="7"/>
  <c r="HLT2" i="7"/>
  <c r="HLU2" i="7"/>
  <c r="HLV2" i="7"/>
  <c r="HLW2" i="7"/>
  <c r="HLX2" i="7"/>
  <c r="HLY2" i="7"/>
  <c r="HLZ2" i="7"/>
  <c r="HMA2" i="7"/>
  <c r="HMB2" i="7"/>
  <c r="HMC2" i="7"/>
  <c r="HMD2" i="7"/>
  <c r="HME2" i="7"/>
  <c r="HMF2" i="7"/>
  <c r="HMG2" i="7"/>
  <c r="HMH2" i="7"/>
  <c r="HMI2" i="7"/>
  <c r="HMJ2" i="7"/>
  <c r="HMK2" i="7"/>
  <c r="HML2" i="7"/>
  <c r="HMM2" i="7"/>
  <c r="HMN2" i="7"/>
  <c r="HMO2" i="7"/>
  <c r="HMP2" i="7"/>
  <c r="HMQ2" i="7"/>
  <c r="HMR2" i="7"/>
  <c r="HMS2" i="7"/>
  <c r="HMT2" i="7"/>
  <c r="HMU2" i="7"/>
  <c r="HMV2" i="7"/>
  <c r="HMW2" i="7"/>
  <c r="HMX2" i="7"/>
  <c r="HMY2" i="7"/>
  <c r="HMZ2" i="7"/>
  <c r="HNA2" i="7"/>
  <c r="HNB2" i="7"/>
  <c r="HNC2" i="7"/>
  <c r="HND2" i="7"/>
  <c r="HNE2" i="7"/>
  <c r="HNF2" i="7"/>
  <c r="HNG2" i="7"/>
  <c r="HNH2" i="7"/>
  <c r="HNI2" i="7"/>
  <c r="HNJ2" i="7"/>
  <c r="HNK2" i="7"/>
  <c r="HNL2" i="7"/>
  <c r="HNM2" i="7"/>
  <c r="HNN2" i="7"/>
  <c r="HNO2" i="7"/>
  <c r="HNP2" i="7"/>
  <c r="HNQ2" i="7"/>
  <c r="HNR2" i="7"/>
  <c r="HNS2" i="7"/>
  <c r="HNT2" i="7"/>
  <c r="HNU2" i="7"/>
  <c r="HNV2" i="7"/>
  <c r="HNW2" i="7"/>
  <c r="HNX2" i="7"/>
  <c r="HNY2" i="7"/>
  <c r="HNZ2" i="7"/>
  <c r="HOA2" i="7"/>
  <c r="HOB2" i="7"/>
  <c r="HOC2" i="7"/>
  <c r="HOD2" i="7"/>
  <c r="HOE2" i="7"/>
  <c r="HOF2" i="7"/>
  <c r="HOG2" i="7"/>
  <c r="HOH2" i="7"/>
  <c r="HOI2" i="7"/>
  <c r="HOJ2" i="7"/>
  <c r="HOK2" i="7"/>
  <c r="HOL2" i="7"/>
  <c r="HOM2" i="7"/>
  <c r="HON2" i="7"/>
  <c r="HOO2" i="7"/>
  <c r="HOP2" i="7"/>
  <c r="HOQ2" i="7"/>
  <c r="HOR2" i="7"/>
  <c r="HOS2" i="7"/>
  <c r="HOT2" i="7"/>
  <c r="HOU2" i="7"/>
  <c r="HOV2" i="7"/>
  <c r="HOW2" i="7"/>
  <c r="HOX2" i="7"/>
  <c r="HOY2" i="7"/>
  <c r="HOZ2" i="7"/>
  <c r="HPA2" i="7"/>
  <c r="HPB2" i="7"/>
  <c r="HPC2" i="7"/>
  <c r="HPD2" i="7"/>
  <c r="HPE2" i="7"/>
  <c r="HPF2" i="7"/>
  <c r="HPG2" i="7"/>
  <c r="HPH2" i="7"/>
  <c r="HPI2" i="7"/>
  <c r="HPJ2" i="7"/>
  <c r="HPK2" i="7"/>
  <c r="HPL2" i="7"/>
  <c r="HPM2" i="7"/>
  <c r="HPN2" i="7"/>
  <c r="HPO2" i="7"/>
  <c r="HPP2" i="7"/>
  <c r="HPQ2" i="7"/>
  <c r="HPR2" i="7"/>
  <c r="HPS2" i="7"/>
  <c r="HPT2" i="7"/>
  <c r="HPU2" i="7"/>
  <c r="HPV2" i="7"/>
  <c r="HPW2" i="7"/>
  <c r="HPX2" i="7"/>
  <c r="HPY2" i="7"/>
  <c r="HPZ2" i="7"/>
  <c r="HQA2" i="7"/>
  <c r="HQB2" i="7"/>
  <c r="HQC2" i="7"/>
  <c r="HQD2" i="7"/>
  <c r="HQE2" i="7"/>
  <c r="HQF2" i="7"/>
  <c r="HQG2" i="7"/>
  <c r="HQH2" i="7"/>
  <c r="HQI2" i="7"/>
  <c r="HQJ2" i="7"/>
  <c r="HQK2" i="7"/>
  <c r="HQL2" i="7"/>
  <c r="HQM2" i="7"/>
  <c r="HQN2" i="7"/>
  <c r="HQO2" i="7"/>
  <c r="HQP2" i="7"/>
  <c r="HQQ2" i="7"/>
  <c r="HQR2" i="7"/>
  <c r="HQS2" i="7"/>
  <c r="HQT2" i="7"/>
  <c r="HQU2" i="7"/>
  <c r="HQV2" i="7"/>
  <c r="HQW2" i="7"/>
  <c r="HQX2" i="7"/>
  <c r="HQY2" i="7"/>
  <c r="HQZ2" i="7"/>
  <c r="HRA2" i="7"/>
  <c r="HRB2" i="7"/>
  <c r="HRC2" i="7"/>
  <c r="HRD2" i="7"/>
  <c r="HRE2" i="7"/>
  <c r="HRF2" i="7"/>
  <c r="HRG2" i="7"/>
  <c r="HRH2" i="7"/>
  <c r="HRI2" i="7"/>
  <c r="HRJ2" i="7"/>
  <c r="HRK2" i="7"/>
  <c r="HRL2" i="7"/>
  <c r="HRM2" i="7"/>
  <c r="HRN2" i="7"/>
  <c r="HRO2" i="7"/>
  <c r="HRP2" i="7"/>
  <c r="HRQ2" i="7"/>
  <c r="HRR2" i="7"/>
  <c r="HRS2" i="7"/>
  <c r="HRT2" i="7"/>
  <c r="HRU2" i="7"/>
  <c r="HRV2" i="7"/>
  <c r="HRW2" i="7"/>
  <c r="HRX2" i="7"/>
  <c r="HRY2" i="7"/>
  <c r="HRZ2" i="7"/>
  <c r="HSA2" i="7"/>
  <c r="HSB2" i="7"/>
  <c r="HSC2" i="7"/>
  <c r="HSD2" i="7"/>
  <c r="HSE2" i="7"/>
  <c r="HSF2" i="7"/>
  <c r="HSG2" i="7"/>
  <c r="HSH2" i="7"/>
  <c r="HSI2" i="7"/>
  <c r="HSJ2" i="7"/>
  <c r="HSK2" i="7"/>
  <c r="HSL2" i="7"/>
  <c r="HSM2" i="7"/>
  <c r="HSN2" i="7"/>
  <c r="HSO2" i="7"/>
  <c r="HSP2" i="7"/>
  <c r="HSQ2" i="7"/>
  <c r="HSR2" i="7"/>
  <c r="HSS2" i="7"/>
  <c r="HST2" i="7"/>
  <c r="HSU2" i="7"/>
  <c r="HSV2" i="7"/>
  <c r="HSW2" i="7"/>
  <c r="HSX2" i="7"/>
  <c r="HSY2" i="7"/>
  <c r="HSZ2" i="7"/>
  <c r="HTA2" i="7"/>
  <c r="HTB2" i="7"/>
  <c r="HTC2" i="7"/>
  <c r="HTD2" i="7"/>
  <c r="HTE2" i="7"/>
  <c r="HTF2" i="7"/>
  <c r="HTG2" i="7"/>
  <c r="HTH2" i="7"/>
  <c r="HTI2" i="7"/>
  <c r="HTJ2" i="7"/>
  <c r="HTK2" i="7"/>
  <c r="HTL2" i="7"/>
  <c r="HTM2" i="7"/>
  <c r="HTN2" i="7"/>
  <c r="HTO2" i="7"/>
  <c r="HTP2" i="7"/>
  <c r="HTQ2" i="7"/>
  <c r="HTR2" i="7"/>
  <c r="HTS2" i="7"/>
  <c r="HTT2" i="7"/>
  <c r="HTU2" i="7"/>
  <c r="HTV2" i="7"/>
  <c r="HTW2" i="7"/>
  <c r="HTX2" i="7"/>
  <c r="HTY2" i="7"/>
  <c r="HTZ2" i="7"/>
  <c r="HUA2" i="7"/>
  <c r="HUB2" i="7"/>
  <c r="HUC2" i="7"/>
  <c r="HUD2" i="7"/>
  <c r="HUE2" i="7"/>
  <c r="HUF2" i="7"/>
  <c r="HUG2" i="7"/>
  <c r="HUH2" i="7"/>
  <c r="HUI2" i="7"/>
  <c r="HUJ2" i="7"/>
  <c r="HUK2" i="7"/>
  <c r="HUL2" i="7"/>
  <c r="HUM2" i="7"/>
  <c r="HUN2" i="7"/>
  <c r="HUO2" i="7"/>
  <c r="HUP2" i="7"/>
  <c r="HUQ2" i="7"/>
  <c r="HUR2" i="7"/>
  <c r="HUS2" i="7"/>
  <c r="HUT2" i="7"/>
  <c r="HUU2" i="7"/>
  <c r="HUV2" i="7"/>
  <c r="HUW2" i="7"/>
  <c r="HUX2" i="7"/>
  <c r="HUY2" i="7"/>
  <c r="HUZ2" i="7"/>
  <c r="HVA2" i="7"/>
  <c r="HVB2" i="7"/>
  <c r="HVC2" i="7"/>
  <c r="HVD2" i="7"/>
  <c r="HVE2" i="7"/>
  <c r="HVF2" i="7"/>
  <c r="HVG2" i="7"/>
  <c r="HVH2" i="7"/>
  <c r="HVI2" i="7"/>
  <c r="HVJ2" i="7"/>
  <c r="HVK2" i="7"/>
  <c r="HVL2" i="7"/>
  <c r="HVM2" i="7"/>
  <c r="HVN2" i="7"/>
  <c r="HVO2" i="7"/>
  <c r="HVP2" i="7"/>
  <c r="HVQ2" i="7"/>
  <c r="HVR2" i="7"/>
  <c r="HVS2" i="7"/>
  <c r="HVT2" i="7"/>
  <c r="HVU2" i="7"/>
  <c r="HVV2" i="7"/>
  <c r="HVW2" i="7"/>
  <c r="HVX2" i="7"/>
  <c r="HVY2" i="7"/>
  <c r="HVZ2" i="7"/>
  <c r="HWA2" i="7"/>
  <c r="HWB2" i="7"/>
  <c r="HWC2" i="7"/>
  <c r="HWD2" i="7"/>
  <c r="HWE2" i="7"/>
  <c r="HWF2" i="7"/>
  <c r="HWG2" i="7"/>
  <c r="HWH2" i="7"/>
  <c r="HWI2" i="7"/>
  <c r="HWJ2" i="7"/>
  <c r="HWK2" i="7"/>
  <c r="HWL2" i="7"/>
  <c r="HWM2" i="7"/>
  <c r="HWN2" i="7"/>
  <c r="HWO2" i="7"/>
  <c r="HWP2" i="7"/>
  <c r="HWQ2" i="7"/>
  <c r="HWR2" i="7"/>
  <c r="HWS2" i="7"/>
  <c r="HWT2" i="7"/>
  <c r="HWU2" i="7"/>
  <c r="HWV2" i="7"/>
  <c r="HWW2" i="7"/>
  <c r="HWX2" i="7"/>
  <c r="HWY2" i="7"/>
  <c r="HWZ2" i="7"/>
  <c r="HXA2" i="7"/>
  <c r="HXB2" i="7"/>
  <c r="HXC2" i="7"/>
  <c r="HXD2" i="7"/>
  <c r="HXE2" i="7"/>
  <c r="HXF2" i="7"/>
  <c r="HXG2" i="7"/>
  <c r="HXH2" i="7"/>
  <c r="HXI2" i="7"/>
  <c r="HXJ2" i="7"/>
  <c r="HXK2" i="7"/>
  <c r="HXL2" i="7"/>
  <c r="HXM2" i="7"/>
  <c r="HXN2" i="7"/>
  <c r="HXO2" i="7"/>
  <c r="HXP2" i="7"/>
  <c r="HXQ2" i="7"/>
  <c r="HXR2" i="7"/>
  <c r="HXS2" i="7"/>
  <c r="HXT2" i="7"/>
  <c r="HXU2" i="7"/>
  <c r="HXV2" i="7"/>
  <c r="HXW2" i="7"/>
  <c r="HXX2" i="7"/>
  <c r="HXY2" i="7"/>
  <c r="HXZ2" i="7"/>
  <c r="HYA2" i="7"/>
  <c r="HYB2" i="7"/>
  <c r="HYC2" i="7"/>
  <c r="HYD2" i="7"/>
  <c r="HYE2" i="7"/>
  <c r="HYF2" i="7"/>
  <c r="HYG2" i="7"/>
  <c r="HYH2" i="7"/>
  <c r="HYI2" i="7"/>
  <c r="HYJ2" i="7"/>
  <c r="HYK2" i="7"/>
  <c r="HYL2" i="7"/>
  <c r="HYM2" i="7"/>
  <c r="HYN2" i="7"/>
  <c r="HYO2" i="7"/>
  <c r="HYP2" i="7"/>
  <c r="HYQ2" i="7"/>
  <c r="HYR2" i="7"/>
  <c r="HYS2" i="7"/>
  <c r="HYT2" i="7"/>
  <c r="HYU2" i="7"/>
  <c r="HYV2" i="7"/>
  <c r="HYW2" i="7"/>
  <c r="HYX2" i="7"/>
  <c r="HYY2" i="7"/>
  <c r="HYZ2" i="7"/>
  <c r="HZA2" i="7"/>
  <c r="HZB2" i="7"/>
  <c r="HZC2" i="7"/>
  <c r="HZD2" i="7"/>
  <c r="HZE2" i="7"/>
  <c r="HZF2" i="7"/>
  <c r="HZG2" i="7"/>
  <c r="HZH2" i="7"/>
  <c r="HZI2" i="7"/>
  <c r="HZJ2" i="7"/>
  <c r="HZK2" i="7"/>
  <c r="HZL2" i="7"/>
  <c r="HZM2" i="7"/>
  <c r="HZN2" i="7"/>
  <c r="HZO2" i="7"/>
  <c r="HZP2" i="7"/>
  <c r="HZQ2" i="7"/>
  <c r="HZR2" i="7"/>
  <c r="HZS2" i="7"/>
  <c r="HZT2" i="7"/>
  <c r="HZU2" i="7"/>
  <c r="HZV2" i="7"/>
  <c r="HZW2" i="7"/>
  <c r="HZX2" i="7"/>
  <c r="HZY2" i="7"/>
  <c r="HZZ2" i="7"/>
  <c r="IAA2" i="7"/>
  <c r="IAB2" i="7"/>
  <c r="IAC2" i="7"/>
  <c r="IAD2" i="7"/>
  <c r="IAE2" i="7"/>
  <c r="IAF2" i="7"/>
  <c r="IAG2" i="7"/>
  <c r="IAH2" i="7"/>
  <c r="IAI2" i="7"/>
  <c r="IAJ2" i="7"/>
  <c r="IAK2" i="7"/>
  <c r="IAL2" i="7"/>
  <c r="IAM2" i="7"/>
  <c r="IAN2" i="7"/>
  <c r="IAO2" i="7"/>
  <c r="IAP2" i="7"/>
  <c r="IAQ2" i="7"/>
  <c r="IAR2" i="7"/>
  <c r="IAS2" i="7"/>
  <c r="IAT2" i="7"/>
  <c r="IAU2" i="7"/>
  <c r="IAV2" i="7"/>
  <c r="IAW2" i="7"/>
  <c r="IAX2" i="7"/>
  <c r="IAY2" i="7"/>
  <c r="IAZ2" i="7"/>
  <c r="IBA2" i="7"/>
  <c r="IBB2" i="7"/>
  <c r="IBC2" i="7"/>
  <c r="IBD2" i="7"/>
  <c r="IBE2" i="7"/>
  <c r="IBF2" i="7"/>
  <c r="IBG2" i="7"/>
  <c r="IBH2" i="7"/>
  <c r="IBI2" i="7"/>
  <c r="IBJ2" i="7"/>
  <c r="IBK2" i="7"/>
  <c r="IBL2" i="7"/>
  <c r="IBM2" i="7"/>
  <c r="IBN2" i="7"/>
  <c r="IBO2" i="7"/>
  <c r="IBP2" i="7"/>
  <c r="IBQ2" i="7"/>
  <c r="IBR2" i="7"/>
  <c r="IBS2" i="7"/>
  <c r="IBT2" i="7"/>
  <c r="IBU2" i="7"/>
  <c r="IBV2" i="7"/>
  <c r="IBW2" i="7"/>
  <c r="IBX2" i="7"/>
  <c r="IBY2" i="7"/>
  <c r="IBZ2" i="7"/>
  <c r="ICA2" i="7"/>
  <c r="ICB2" i="7"/>
  <c r="ICC2" i="7"/>
  <c r="ICD2" i="7"/>
  <c r="ICE2" i="7"/>
  <c r="ICF2" i="7"/>
  <c r="ICG2" i="7"/>
  <c r="ICH2" i="7"/>
  <c r="ICI2" i="7"/>
  <c r="ICJ2" i="7"/>
  <c r="ICK2" i="7"/>
  <c r="ICL2" i="7"/>
  <c r="ICM2" i="7"/>
  <c r="ICN2" i="7"/>
  <c r="ICO2" i="7"/>
  <c r="ICP2" i="7"/>
  <c r="ICQ2" i="7"/>
  <c r="ICR2" i="7"/>
  <c r="ICS2" i="7"/>
  <c r="ICT2" i="7"/>
  <c r="ICU2" i="7"/>
  <c r="ICV2" i="7"/>
  <c r="ICW2" i="7"/>
  <c r="ICX2" i="7"/>
  <c r="ICY2" i="7"/>
  <c r="ICZ2" i="7"/>
  <c r="IDA2" i="7"/>
  <c r="IDB2" i="7"/>
  <c r="IDC2" i="7"/>
  <c r="IDD2" i="7"/>
  <c r="IDE2" i="7"/>
  <c r="IDF2" i="7"/>
  <c r="IDG2" i="7"/>
  <c r="IDH2" i="7"/>
  <c r="IDI2" i="7"/>
  <c r="IDJ2" i="7"/>
  <c r="IDK2" i="7"/>
  <c r="IDL2" i="7"/>
  <c r="IDM2" i="7"/>
  <c r="IDN2" i="7"/>
  <c r="IDO2" i="7"/>
  <c r="IDP2" i="7"/>
  <c r="IDQ2" i="7"/>
  <c r="IDR2" i="7"/>
  <c r="IDS2" i="7"/>
  <c r="IDT2" i="7"/>
  <c r="IDU2" i="7"/>
  <c r="IDV2" i="7"/>
  <c r="IDW2" i="7"/>
  <c r="IDX2" i="7"/>
  <c r="IDY2" i="7"/>
  <c r="IDZ2" i="7"/>
  <c r="IEA2" i="7"/>
  <c r="IEB2" i="7"/>
  <c r="IEC2" i="7"/>
  <c r="IED2" i="7"/>
  <c r="IEE2" i="7"/>
  <c r="IEF2" i="7"/>
  <c r="IEG2" i="7"/>
  <c r="IEH2" i="7"/>
  <c r="IEI2" i="7"/>
  <c r="IEJ2" i="7"/>
  <c r="IEK2" i="7"/>
  <c r="IEL2" i="7"/>
  <c r="IEM2" i="7"/>
  <c r="IEN2" i="7"/>
  <c r="IEO2" i="7"/>
  <c r="IEP2" i="7"/>
  <c r="IEQ2" i="7"/>
  <c r="IER2" i="7"/>
  <c r="IES2" i="7"/>
  <c r="IET2" i="7"/>
  <c r="IEU2" i="7"/>
  <c r="IEV2" i="7"/>
  <c r="IEW2" i="7"/>
  <c r="IEX2" i="7"/>
  <c r="IEY2" i="7"/>
  <c r="IEZ2" i="7"/>
  <c r="IFA2" i="7"/>
  <c r="IFB2" i="7"/>
  <c r="IFC2" i="7"/>
  <c r="IFD2" i="7"/>
  <c r="IFE2" i="7"/>
  <c r="IFF2" i="7"/>
  <c r="IFG2" i="7"/>
  <c r="IFH2" i="7"/>
  <c r="IFI2" i="7"/>
  <c r="IFJ2" i="7"/>
  <c r="IFK2" i="7"/>
  <c r="IFL2" i="7"/>
  <c r="IFM2" i="7"/>
  <c r="IFN2" i="7"/>
  <c r="IFO2" i="7"/>
  <c r="IFP2" i="7"/>
  <c r="IFQ2" i="7"/>
  <c r="IFR2" i="7"/>
  <c r="IFS2" i="7"/>
  <c r="IFT2" i="7"/>
  <c r="IFU2" i="7"/>
  <c r="IFV2" i="7"/>
  <c r="IFW2" i="7"/>
  <c r="IFX2" i="7"/>
  <c r="IFY2" i="7"/>
  <c r="IFZ2" i="7"/>
  <c r="IGA2" i="7"/>
  <c r="IGB2" i="7"/>
  <c r="IGC2" i="7"/>
  <c r="IGD2" i="7"/>
  <c r="IGE2" i="7"/>
  <c r="IGF2" i="7"/>
  <c r="IGG2" i="7"/>
  <c r="IGH2" i="7"/>
  <c r="IGI2" i="7"/>
  <c r="IGJ2" i="7"/>
  <c r="IGK2" i="7"/>
  <c r="IGL2" i="7"/>
  <c r="IGM2" i="7"/>
  <c r="IGN2" i="7"/>
  <c r="IGO2" i="7"/>
  <c r="IGP2" i="7"/>
  <c r="IGQ2" i="7"/>
  <c r="IGR2" i="7"/>
  <c r="IGS2" i="7"/>
  <c r="IGT2" i="7"/>
  <c r="IGU2" i="7"/>
  <c r="IGV2" i="7"/>
  <c r="IGW2" i="7"/>
  <c r="IGX2" i="7"/>
  <c r="IGY2" i="7"/>
  <c r="IGZ2" i="7"/>
  <c r="IHA2" i="7"/>
  <c r="IHB2" i="7"/>
  <c r="IHC2" i="7"/>
  <c r="IHD2" i="7"/>
  <c r="IHE2" i="7"/>
  <c r="IHF2" i="7"/>
  <c r="IHG2" i="7"/>
  <c r="IHH2" i="7"/>
  <c r="IHI2" i="7"/>
  <c r="IHJ2" i="7"/>
  <c r="IHK2" i="7"/>
  <c r="IHL2" i="7"/>
  <c r="IHM2" i="7"/>
  <c r="IHN2" i="7"/>
  <c r="IHO2" i="7"/>
  <c r="IHP2" i="7"/>
  <c r="IHQ2" i="7"/>
  <c r="IHR2" i="7"/>
  <c r="IHS2" i="7"/>
  <c r="IHT2" i="7"/>
  <c r="IHU2" i="7"/>
  <c r="IHV2" i="7"/>
  <c r="IHW2" i="7"/>
  <c r="IHX2" i="7"/>
  <c r="IHY2" i="7"/>
  <c r="IHZ2" i="7"/>
  <c r="IIA2" i="7"/>
  <c r="IIB2" i="7"/>
  <c r="IIC2" i="7"/>
  <c r="IID2" i="7"/>
  <c r="IIE2" i="7"/>
  <c r="IIF2" i="7"/>
  <c r="IIG2" i="7"/>
  <c r="IIH2" i="7"/>
  <c r="III2" i="7"/>
  <c r="IIJ2" i="7"/>
  <c r="IIK2" i="7"/>
  <c r="IIL2" i="7"/>
  <c r="IIM2" i="7"/>
  <c r="IIN2" i="7"/>
  <c r="IIO2" i="7"/>
  <c r="IIP2" i="7"/>
  <c r="IIQ2" i="7"/>
  <c r="IIR2" i="7"/>
  <c r="IIS2" i="7"/>
  <c r="IIT2" i="7"/>
  <c r="IIU2" i="7"/>
  <c r="IIV2" i="7"/>
  <c r="IIW2" i="7"/>
  <c r="IIX2" i="7"/>
  <c r="IIY2" i="7"/>
  <c r="IIZ2" i="7"/>
  <c r="IJA2" i="7"/>
  <c r="IJB2" i="7"/>
  <c r="IJC2" i="7"/>
  <c r="IJD2" i="7"/>
  <c r="IJE2" i="7"/>
  <c r="IJF2" i="7"/>
  <c r="IJG2" i="7"/>
  <c r="IJH2" i="7"/>
  <c r="IJI2" i="7"/>
  <c r="IJJ2" i="7"/>
  <c r="IJK2" i="7"/>
  <c r="IJL2" i="7"/>
  <c r="IJM2" i="7"/>
  <c r="IJN2" i="7"/>
  <c r="IJO2" i="7"/>
  <c r="IJP2" i="7"/>
  <c r="IJQ2" i="7"/>
  <c r="IJR2" i="7"/>
  <c r="IJS2" i="7"/>
  <c r="IJT2" i="7"/>
  <c r="IJU2" i="7"/>
  <c r="IJV2" i="7"/>
  <c r="IJW2" i="7"/>
  <c r="IJX2" i="7"/>
  <c r="IJY2" i="7"/>
  <c r="IJZ2" i="7"/>
  <c r="IKA2" i="7"/>
  <c r="IKB2" i="7"/>
  <c r="IKC2" i="7"/>
  <c r="IKD2" i="7"/>
  <c r="IKE2" i="7"/>
  <c r="IKF2" i="7"/>
  <c r="IKG2" i="7"/>
  <c r="IKH2" i="7"/>
  <c r="IKI2" i="7"/>
  <c r="IKJ2" i="7"/>
  <c r="IKK2" i="7"/>
  <c r="IKL2" i="7"/>
  <c r="IKM2" i="7"/>
  <c r="IKN2" i="7"/>
  <c r="IKO2" i="7"/>
  <c r="IKP2" i="7"/>
  <c r="IKQ2" i="7"/>
  <c r="IKR2" i="7"/>
  <c r="IKS2" i="7"/>
  <c r="IKT2" i="7"/>
  <c r="IKU2" i="7"/>
  <c r="IKV2" i="7"/>
  <c r="IKW2" i="7"/>
  <c r="IKX2" i="7"/>
  <c r="IKY2" i="7"/>
  <c r="IKZ2" i="7"/>
  <c r="ILA2" i="7"/>
  <c r="ILB2" i="7"/>
  <c r="ILC2" i="7"/>
  <c r="ILD2" i="7"/>
  <c r="ILE2" i="7"/>
  <c r="ILF2" i="7"/>
  <c r="ILG2" i="7"/>
  <c r="ILH2" i="7"/>
  <c r="ILI2" i="7"/>
  <c r="ILJ2" i="7"/>
  <c r="ILK2" i="7"/>
  <c r="ILL2" i="7"/>
  <c r="ILM2" i="7"/>
  <c r="ILN2" i="7"/>
  <c r="ILO2" i="7"/>
  <c r="ILP2" i="7"/>
  <c r="ILQ2" i="7"/>
  <c r="ILR2" i="7"/>
  <c r="ILS2" i="7"/>
  <c r="ILT2" i="7"/>
  <c r="ILU2" i="7"/>
  <c r="ILV2" i="7"/>
  <c r="ILW2" i="7"/>
  <c r="ILX2" i="7"/>
  <c r="ILY2" i="7"/>
  <c r="ILZ2" i="7"/>
  <c r="IMA2" i="7"/>
  <c r="IMB2" i="7"/>
  <c r="IMC2" i="7"/>
  <c r="IMD2" i="7"/>
  <c r="IME2" i="7"/>
  <c r="IMF2" i="7"/>
  <c r="IMG2" i="7"/>
  <c r="IMH2" i="7"/>
  <c r="IMI2" i="7"/>
  <c r="IMJ2" i="7"/>
  <c r="IMK2" i="7"/>
  <c r="IML2" i="7"/>
  <c r="IMM2" i="7"/>
  <c r="IMN2" i="7"/>
  <c r="IMO2" i="7"/>
  <c r="IMP2" i="7"/>
  <c r="IMQ2" i="7"/>
  <c r="IMR2" i="7"/>
  <c r="IMS2" i="7"/>
  <c r="IMT2" i="7"/>
  <c r="IMU2" i="7"/>
  <c r="IMV2" i="7"/>
  <c r="IMW2" i="7"/>
  <c r="IMX2" i="7"/>
  <c r="IMY2" i="7"/>
  <c r="IMZ2" i="7"/>
  <c r="INA2" i="7"/>
  <c r="INB2" i="7"/>
  <c r="INC2" i="7"/>
  <c r="IND2" i="7"/>
  <c r="INE2" i="7"/>
  <c r="INF2" i="7"/>
  <c r="ING2" i="7"/>
  <c r="INH2" i="7"/>
  <c r="INI2" i="7"/>
  <c r="INJ2" i="7"/>
  <c r="INK2" i="7"/>
  <c r="INL2" i="7"/>
  <c r="INM2" i="7"/>
  <c r="INN2" i="7"/>
  <c r="INO2" i="7"/>
  <c r="INP2" i="7"/>
  <c r="INQ2" i="7"/>
  <c r="INR2" i="7"/>
  <c r="INS2" i="7"/>
  <c r="INT2" i="7"/>
  <c r="INU2" i="7"/>
  <c r="INV2" i="7"/>
  <c r="INW2" i="7"/>
  <c r="INX2" i="7"/>
  <c r="INY2" i="7"/>
  <c r="INZ2" i="7"/>
  <c r="IOA2" i="7"/>
  <c r="IOB2" i="7"/>
  <c r="IOC2" i="7"/>
  <c r="IOD2" i="7"/>
  <c r="IOE2" i="7"/>
  <c r="IOF2" i="7"/>
  <c r="IOG2" i="7"/>
  <c r="IOH2" i="7"/>
  <c r="IOI2" i="7"/>
  <c r="IOJ2" i="7"/>
  <c r="IOK2" i="7"/>
  <c r="IOL2" i="7"/>
  <c r="IOM2" i="7"/>
  <c r="ION2" i="7"/>
  <c r="IOO2" i="7"/>
  <c r="IOP2" i="7"/>
  <c r="IOQ2" i="7"/>
  <c r="IOR2" i="7"/>
  <c r="IOS2" i="7"/>
  <c r="IOT2" i="7"/>
  <c r="IOU2" i="7"/>
  <c r="IOV2" i="7"/>
  <c r="IOW2" i="7"/>
  <c r="IOX2" i="7"/>
  <c r="IOY2" i="7"/>
  <c r="IOZ2" i="7"/>
  <c r="IPA2" i="7"/>
  <c r="IPB2" i="7"/>
  <c r="IPC2" i="7"/>
  <c r="IPD2" i="7"/>
  <c r="IPE2" i="7"/>
  <c r="IPF2" i="7"/>
  <c r="IPG2" i="7"/>
  <c r="IPH2" i="7"/>
  <c r="IPI2" i="7"/>
  <c r="IPJ2" i="7"/>
  <c r="IPK2" i="7"/>
  <c r="IPL2" i="7"/>
  <c r="IPM2" i="7"/>
  <c r="IPN2" i="7"/>
  <c r="IPO2" i="7"/>
  <c r="IPP2" i="7"/>
  <c r="IPQ2" i="7"/>
  <c r="IPR2" i="7"/>
  <c r="IPS2" i="7"/>
  <c r="IPT2" i="7"/>
  <c r="IPU2" i="7"/>
  <c r="IPV2" i="7"/>
  <c r="IPW2" i="7"/>
  <c r="IPX2" i="7"/>
  <c r="IPY2" i="7"/>
  <c r="IPZ2" i="7"/>
  <c r="IQA2" i="7"/>
  <c r="IQB2" i="7"/>
  <c r="IQC2" i="7"/>
  <c r="IQD2" i="7"/>
  <c r="IQE2" i="7"/>
  <c r="IQF2" i="7"/>
  <c r="IQG2" i="7"/>
  <c r="IQH2" i="7"/>
  <c r="IQI2" i="7"/>
  <c r="IQJ2" i="7"/>
  <c r="IQK2" i="7"/>
  <c r="IQL2" i="7"/>
  <c r="IQM2" i="7"/>
  <c r="IQN2" i="7"/>
  <c r="IQO2" i="7"/>
  <c r="IQP2" i="7"/>
  <c r="IQQ2" i="7"/>
  <c r="IQR2" i="7"/>
  <c r="IQS2" i="7"/>
  <c r="IQT2" i="7"/>
  <c r="IQU2" i="7"/>
  <c r="IQV2" i="7"/>
  <c r="IQW2" i="7"/>
  <c r="IQX2" i="7"/>
  <c r="IQY2" i="7"/>
  <c r="IQZ2" i="7"/>
  <c r="IRA2" i="7"/>
  <c r="IRB2" i="7"/>
  <c r="IRC2" i="7"/>
  <c r="IRD2" i="7"/>
  <c r="IRE2" i="7"/>
  <c r="IRF2" i="7"/>
  <c r="IRG2" i="7"/>
  <c r="IRH2" i="7"/>
  <c r="IRI2" i="7"/>
  <c r="IRJ2" i="7"/>
  <c r="IRK2" i="7"/>
  <c r="IRL2" i="7"/>
  <c r="IRM2" i="7"/>
  <c r="IRN2" i="7"/>
  <c r="IRO2" i="7"/>
  <c r="IRP2" i="7"/>
  <c r="IRQ2" i="7"/>
  <c r="IRR2" i="7"/>
  <c r="IRS2" i="7"/>
  <c r="IRT2" i="7"/>
  <c r="IRU2" i="7"/>
  <c r="IRV2" i="7"/>
  <c r="IRW2" i="7"/>
  <c r="IRX2" i="7"/>
  <c r="IRY2" i="7"/>
  <c r="IRZ2" i="7"/>
  <c r="ISA2" i="7"/>
  <c r="ISB2" i="7"/>
  <c r="ISC2" i="7"/>
  <c r="ISD2" i="7"/>
  <c r="ISE2" i="7"/>
  <c r="ISF2" i="7"/>
  <c r="ISG2" i="7"/>
  <c r="ISH2" i="7"/>
  <c r="ISI2" i="7"/>
  <c r="ISJ2" i="7"/>
  <c r="ISK2" i="7"/>
  <c r="ISL2" i="7"/>
  <c r="ISM2" i="7"/>
  <c r="ISN2" i="7"/>
  <c r="ISO2" i="7"/>
  <c r="ISP2" i="7"/>
  <c r="ISQ2" i="7"/>
  <c r="ISR2" i="7"/>
  <c r="ISS2" i="7"/>
  <c r="IST2" i="7"/>
  <c r="ISU2" i="7"/>
  <c r="ISV2" i="7"/>
  <c r="ISW2" i="7"/>
  <c r="ISX2" i="7"/>
  <c r="ISY2" i="7"/>
  <c r="ISZ2" i="7"/>
  <c r="ITA2" i="7"/>
  <c r="ITB2" i="7"/>
  <c r="ITC2" i="7"/>
  <c r="ITD2" i="7"/>
  <c r="ITE2" i="7"/>
  <c r="ITF2" i="7"/>
  <c r="ITG2" i="7"/>
  <c r="ITH2" i="7"/>
  <c r="ITI2" i="7"/>
  <c r="ITJ2" i="7"/>
  <c r="ITK2" i="7"/>
  <c r="ITL2" i="7"/>
  <c r="ITM2" i="7"/>
  <c r="ITN2" i="7"/>
  <c r="ITO2" i="7"/>
  <c r="ITP2" i="7"/>
  <c r="ITQ2" i="7"/>
  <c r="ITR2" i="7"/>
  <c r="ITS2" i="7"/>
  <c r="ITT2" i="7"/>
  <c r="ITU2" i="7"/>
  <c r="ITV2" i="7"/>
  <c r="ITW2" i="7"/>
  <c r="ITX2" i="7"/>
  <c r="ITY2" i="7"/>
  <c r="ITZ2" i="7"/>
  <c r="IUA2" i="7"/>
  <c r="IUB2" i="7"/>
  <c r="IUC2" i="7"/>
  <c r="IUD2" i="7"/>
  <c r="IUE2" i="7"/>
  <c r="IUF2" i="7"/>
  <c r="IUG2" i="7"/>
  <c r="IUH2" i="7"/>
  <c r="IUI2" i="7"/>
  <c r="IUJ2" i="7"/>
  <c r="IUK2" i="7"/>
  <c r="IUL2" i="7"/>
  <c r="IUM2" i="7"/>
  <c r="IUN2" i="7"/>
  <c r="IUO2" i="7"/>
  <c r="IUP2" i="7"/>
  <c r="IUQ2" i="7"/>
  <c r="IUR2" i="7"/>
  <c r="IUS2" i="7"/>
  <c r="IUT2" i="7"/>
  <c r="IUU2" i="7"/>
  <c r="IUV2" i="7"/>
  <c r="IUW2" i="7"/>
  <c r="IUX2" i="7"/>
  <c r="IUY2" i="7"/>
  <c r="IUZ2" i="7"/>
  <c r="IVA2" i="7"/>
  <c r="IVB2" i="7"/>
  <c r="IVC2" i="7"/>
  <c r="IVD2" i="7"/>
  <c r="IVE2" i="7"/>
  <c r="IVF2" i="7"/>
  <c r="IVG2" i="7"/>
  <c r="IVH2" i="7"/>
  <c r="IVI2" i="7"/>
  <c r="IVJ2" i="7"/>
  <c r="IVK2" i="7"/>
  <c r="IVL2" i="7"/>
  <c r="IVM2" i="7"/>
  <c r="IVN2" i="7"/>
  <c r="IVO2" i="7"/>
  <c r="IVP2" i="7"/>
  <c r="IVQ2" i="7"/>
  <c r="IVR2" i="7"/>
  <c r="IVS2" i="7"/>
  <c r="IVT2" i="7"/>
  <c r="IVU2" i="7"/>
  <c r="IVV2" i="7"/>
  <c r="IVW2" i="7"/>
  <c r="IVX2" i="7"/>
  <c r="IVY2" i="7"/>
  <c r="IVZ2" i="7"/>
  <c r="IWA2" i="7"/>
  <c r="IWB2" i="7"/>
  <c r="IWC2" i="7"/>
  <c r="IWD2" i="7"/>
  <c r="IWE2" i="7"/>
  <c r="IWF2" i="7"/>
  <c r="IWG2" i="7"/>
  <c r="IWH2" i="7"/>
  <c r="IWI2" i="7"/>
  <c r="IWJ2" i="7"/>
  <c r="IWK2" i="7"/>
  <c r="IWL2" i="7"/>
  <c r="IWM2" i="7"/>
  <c r="IWN2" i="7"/>
  <c r="IWO2" i="7"/>
  <c r="IWP2" i="7"/>
  <c r="IWQ2" i="7"/>
  <c r="IWR2" i="7"/>
  <c r="IWS2" i="7"/>
  <c r="IWT2" i="7"/>
  <c r="IWU2" i="7"/>
  <c r="IWV2" i="7"/>
  <c r="IWW2" i="7"/>
  <c r="IWX2" i="7"/>
  <c r="IWY2" i="7"/>
  <c r="IWZ2" i="7"/>
  <c r="IXA2" i="7"/>
  <c r="IXB2" i="7"/>
  <c r="IXC2" i="7"/>
  <c r="IXD2" i="7"/>
  <c r="IXE2" i="7"/>
  <c r="IXF2" i="7"/>
  <c r="IXG2" i="7"/>
  <c r="IXH2" i="7"/>
  <c r="IXI2" i="7"/>
  <c r="IXJ2" i="7"/>
  <c r="IXK2" i="7"/>
  <c r="IXL2" i="7"/>
  <c r="IXM2" i="7"/>
  <c r="IXN2" i="7"/>
  <c r="IXO2" i="7"/>
  <c r="IXP2" i="7"/>
  <c r="IXQ2" i="7"/>
  <c r="IXR2" i="7"/>
  <c r="IXS2" i="7"/>
  <c r="IXT2" i="7"/>
  <c r="IXU2" i="7"/>
  <c r="IXV2" i="7"/>
  <c r="IXW2" i="7"/>
  <c r="IXX2" i="7"/>
  <c r="IXY2" i="7"/>
  <c r="IXZ2" i="7"/>
  <c r="IYA2" i="7"/>
  <c r="IYB2" i="7"/>
  <c r="IYC2" i="7"/>
  <c r="IYD2" i="7"/>
  <c r="IYE2" i="7"/>
  <c r="IYF2" i="7"/>
  <c r="IYG2" i="7"/>
  <c r="IYH2" i="7"/>
  <c r="IYI2" i="7"/>
  <c r="IYJ2" i="7"/>
  <c r="IYK2" i="7"/>
  <c r="IYL2" i="7"/>
  <c r="IYM2" i="7"/>
  <c r="IYN2" i="7"/>
  <c r="IYO2" i="7"/>
  <c r="IYP2" i="7"/>
  <c r="IYQ2" i="7"/>
  <c r="IYR2" i="7"/>
  <c r="IYS2" i="7"/>
  <c r="IYT2" i="7"/>
  <c r="IYU2" i="7"/>
  <c r="IYV2" i="7"/>
  <c r="IYW2" i="7"/>
  <c r="IYX2" i="7"/>
  <c r="IYY2" i="7"/>
  <c r="IYZ2" i="7"/>
  <c r="IZA2" i="7"/>
  <c r="IZB2" i="7"/>
  <c r="IZC2" i="7"/>
  <c r="IZD2" i="7"/>
  <c r="IZE2" i="7"/>
  <c r="IZF2" i="7"/>
  <c r="IZG2" i="7"/>
  <c r="IZH2" i="7"/>
  <c r="IZI2" i="7"/>
  <c r="IZJ2" i="7"/>
  <c r="IZK2" i="7"/>
  <c r="IZL2" i="7"/>
  <c r="IZM2" i="7"/>
  <c r="IZN2" i="7"/>
  <c r="IZO2" i="7"/>
  <c r="IZP2" i="7"/>
  <c r="IZQ2" i="7"/>
  <c r="IZR2" i="7"/>
  <c r="IZS2" i="7"/>
  <c r="IZT2" i="7"/>
  <c r="IZU2" i="7"/>
  <c r="IZV2" i="7"/>
  <c r="IZW2" i="7"/>
  <c r="IZX2" i="7"/>
  <c r="IZY2" i="7"/>
  <c r="IZZ2" i="7"/>
  <c r="JAA2" i="7"/>
  <c r="JAB2" i="7"/>
  <c r="JAC2" i="7"/>
  <c r="JAD2" i="7"/>
  <c r="JAE2" i="7"/>
  <c r="JAF2" i="7"/>
  <c r="JAG2" i="7"/>
  <c r="JAH2" i="7"/>
  <c r="JAI2" i="7"/>
  <c r="JAJ2" i="7"/>
  <c r="JAK2" i="7"/>
  <c r="JAL2" i="7"/>
  <c r="JAM2" i="7"/>
  <c r="JAN2" i="7"/>
  <c r="JAO2" i="7"/>
  <c r="JAP2" i="7"/>
  <c r="JAQ2" i="7"/>
  <c r="JAR2" i="7"/>
  <c r="JAS2" i="7"/>
  <c r="JAT2" i="7"/>
  <c r="JAU2" i="7"/>
  <c r="JAV2" i="7"/>
  <c r="JAW2" i="7"/>
  <c r="JAX2" i="7"/>
  <c r="JAY2" i="7"/>
  <c r="JAZ2" i="7"/>
  <c r="JBA2" i="7"/>
  <c r="JBB2" i="7"/>
  <c r="JBC2" i="7"/>
  <c r="JBD2" i="7"/>
  <c r="JBE2" i="7"/>
  <c r="JBF2" i="7"/>
  <c r="JBG2" i="7"/>
  <c r="JBH2" i="7"/>
  <c r="JBI2" i="7"/>
  <c r="JBJ2" i="7"/>
  <c r="JBK2" i="7"/>
  <c r="JBL2" i="7"/>
  <c r="JBM2" i="7"/>
  <c r="JBN2" i="7"/>
  <c r="JBO2" i="7"/>
  <c r="JBP2" i="7"/>
  <c r="JBQ2" i="7"/>
  <c r="JBR2" i="7"/>
  <c r="JBS2" i="7"/>
  <c r="JBT2" i="7"/>
  <c r="JBU2" i="7"/>
  <c r="JBV2" i="7"/>
  <c r="JBW2" i="7"/>
  <c r="JBX2" i="7"/>
  <c r="JBY2" i="7"/>
  <c r="JBZ2" i="7"/>
  <c r="JCA2" i="7"/>
  <c r="JCB2" i="7"/>
  <c r="JCC2" i="7"/>
  <c r="JCD2" i="7"/>
  <c r="JCE2" i="7"/>
  <c r="JCF2" i="7"/>
  <c r="JCG2" i="7"/>
  <c r="JCH2" i="7"/>
  <c r="JCI2" i="7"/>
  <c r="JCJ2" i="7"/>
  <c r="JCK2" i="7"/>
  <c r="JCL2" i="7"/>
  <c r="JCM2" i="7"/>
  <c r="JCN2" i="7"/>
  <c r="JCO2" i="7"/>
  <c r="JCP2" i="7"/>
  <c r="JCQ2" i="7"/>
  <c r="JCR2" i="7"/>
  <c r="JCS2" i="7"/>
  <c r="JCT2" i="7"/>
  <c r="JCU2" i="7"/>
  <c r="JCV2" i="7"/>
  <c r="JCW2" i="7"/>
  <c r="JCX2" i="7"/>
  <c r="JCY2" i="7"/>
  <c r="JCZ2" i="7"/>
  <c r="JDA2" i="7"/>
  <c r="JDB2" i="7"/>
  <c r="JDC2" i="7"/>
  <c r="JDD2" i="7"/>
  <c r="JDE2" i="7"/>
  <c r="JDF2" i="7"/>
  <c r="JDG2" i="7"/>
  <c r="JDH2" i="7"/>
  <c r="JDI2" i="7"/>
  <c r="JDJ2" i="7"/>
  <c r="JDK2" i="7"/>
  <c r="JDL2" i="7"/>
  <c r="JDM2" i="7"/>
  <c r="JDN2" i="7"/>
  <c r="JDO2" i="7"/>
  <c r="JDP2" i="7"/>
  <c r="JDQ2" i="7"/>
  <c r="JDR2" i="7"/>
  <c r="JDS2" i="7"/>
  <c r="JDT2" i="7"/>
  <c r="JDU2" i="7"/>
  <c r="JDV2" i="7"/>
  <c r="JDW2" i="7"/>
  <c r="JDX2" i="7"/>
  <c r="JDY2" i="7"/>
  <c r="JDZ2" i="7"/>
  <c r="JEA2" i="7"/>
  <c r="JEB2" i="7"/>
  <c r="JEC2" i="7"/>
  <c r="JED2" i="7"/>
  <c r="JEE2" i="7"/>
  <c r="JEF2" i="7"/>
  <c r="JEG2" i="7"/>
  <c r="JEH2" i="7"/>
  <c r="JEI2" i="7"/>
  <c r="JEJ2" i="7"/>
  <c r="JEK2" i="7"/>
  <c r="JEL2" i="7"/>
  <c r="JEM2" i="7"/>
  <c r="JEN2" i="7"/>
  <c r="JEO2" i="7"/>
  <c r="JEP2" i="7"/>
  <c r="JEQ2" i="7"/>
  <c r="JER2" i="7"/>
  <c r="JES2" i="7"/>
  <c r="JET2" i="7"/>
  <c r="JEU2" i="7"/>
  <c r="JEV2" i="7"/>
  <c r="JEW2" i="7"/>
  <c r="JEX2" i="7"/>
  <c r="JEY2" i="7"/>
  <c r="JEZ2" i="7"/>
  <c r="JFA2" i="7"/>
  <c r="JFB2" i="7"/>
  <c r="JFC2" i="7"/>
  <c r="JFD2" i="7"/>
  <c r="JFE2" i="7"/>
  <c r="JFF2" i="7"/>
  <c r="JFG2" i="7"/>
  <c r="JFH2" i="7"/>
  <c r="JFI2" i="7"/>
  <c r="JFJ2" i="7"/>
  <c r="JFK2" i="7"/>
  <c r="JFL2" i="7"/>
  <c r="JFM2" i="7"/>
  <c r="JFN2" i="7"/>
  <c r="JFO2" i="7"/>
  <c r="JFP2" i="7"/>
  <c r="JFQ2" i="7"/>
  <c r="JFR2" i="7"/>
  <c r="JFS2" i="7"/>
  <c r="JFT2" i="7"/>
  <c r="JFU2" i="7"/>
  <c r="JFV2" i="7"/>
  <c r="JFW2" i="7"/>
  <c r="JFX2" i="7"/>
  <c r="JFY2" i="7"/>
  <c r="JFZ2" i="7"/>
  <c r="JGA2" i="7"/>
  <c r="JGB2" i="7"/>
  <c r="JGC2" i="7"/>
  <c r="JGD2" i="7"/>
  <c r="JGE2" i="7"/>
  <c r="JGF2" i="7"/>
  <c r="JGG2" i="7"/>
  <c r="JGH2" i="7"/>
  <c r="JGI2" i="7"/>
  <c r="JGJ2" i="7"/>
  <c r="JGK2" i="7"/>
  <c r="JGL2" i="7"/>
  <c r="JGM2" i="7"/>
  <c r="JGN2" i="7"/>
  <c r="JGO2" i="7"/>
  <c r="JGP2" i="7"/>
  <c r="JGQ2" i="7"/>
  <c r="JGR2" i="7"/>
  <c r="JGS2" i="7"/>
  <c r="JGT2" i="7"/>
  <c r="JGU2" i="7"/>
  <c r="JGV2" i="7"/>
  <c r="JGW2" i="7"/>
  <c r="JGX2" i="7"/>
  <c r="JGY2" i="7"/>
  <c r="JGZ2" i="7"/>
  <c r="JHA2" i="7"/>
  <c r="JHB2" i="7"/>
  <c r="JHC2" i="7"/>
  <c r="JHD2" i="7"/>
  <c r="JHE2" i="7"/>
  <c r="JHF2" i="7"/>
  <c r="JHG2" i="7"/>
  <c r="JHH2" i="7"/>
  <c r="JHI2" i="7"/>
  <c r="JHJ2" i="7"/>
  <c r="JHK2" i="7"/>
  <c r="JHL2" i="7"/>
  <c r="JHM2" i="7"/>
  <c r="JHN2" i="7"/>
  <c r="JHO2" i="7"/>
  <c r="JHP2" i="7"/>
  <c r="JHQ2" i="7"/>
  <c r="JHR2" i="7"/>
  <c r="JHS2" i="7"/>
  <c r="JHT2" i="7"/>
  <c r="JHU2" i="7"/>
  <c r="JHV2" i="7"/>
  <c r="JHW2" i="7"/>
  <c r="JHX2" i="7"/>
  <c r="JHY2" i="7"/>
  <c r="JHZ2" i="7"/>
  <c r="JIA2" i="7"/>
  <c r="JIB2" i="7"/>
  <c r="JIC2" i="7"/>
  <c r="JID2" i="7"/>
  <c r="JIE2" i="7"/>
  <c r="JIF2" i="7"/>
  <c r="JIG2" i="7"/>
  <c r="JIH2" i="7"/>
  <c r="JII2" i="7"/>
  <c r="JIJ2" i="7"/>
  <c r="JIK2" i="7"/>
  <c r="JIL2" i="7"/>
  <c r="JIM2" i="7"/>
  <c r="JIN2" i="7"/>
  <c r="JIO2" i="7"/>
  <c r="JIP2" i="7"/>
  <c r="JIQ2" i="7"/>
  <c r="JIR2" i="7"/>
  <c r="JIS2" i="7"/>
  <c r="JIT2" i="7"/>
  <c r="JIU2" i="7"/>
  <c r="JIV2" i="7"/>
  <c r="JIW2" i="7"/>
  <c r="JIX2" i="7"/>
  <c r="JIY2" i="7"/>
  <c r="JIZ2" i="7"/>
  <c r="JJA2" i="7"/>
  <c r="JJB2" i="7"/>
  <c r="JJC2" i="7"/>
  <c r="JJD2" i="7"/>
  <c r="JJE2" i="7"/>
  <c r="JJF2" i="7"/>
  <c r="JJG2" i="7"/>
  <c r="JJH2" i="7"/>
  <c r="JJI2" i="7"/>
  <c r="JJJ2" i="7"/>
  <c r="JJK2" i="7"/>
  <c r="JJL2" i="7"/>
  <c r="JJM2" i="7"/>
  <c r="JJN2" i="7"/>
  <c r="JJO2" i="7"/>
  <c r="JJP2" i="7"/>
  <c r="JJQ2" i="7"/>
  <c r="JJR2" i="7"/>
  <c r="JJS2" i="7"/>
  <c r="JJT2" i="7"/>
  <c r="JJU2" i="7"/>
  <c r="JJV2" i="7"/>
  <c r="JJW2" i="7"/>
  <c r="JJX2" i="7"/>
  <c r="JJY2" i="7"/>
  <c r="JJZ2" i="7"/>
  <c r="JKA2" i="7"/>
  <c r="JKB2" i="7"/>
  <c r="JKC2" i="7"/>
  <c r="JKD2" i="7"/>
  <c r="JKE2" i="7"/>
  <c r="JKF2" i="7"/>
  <c r="JKG2" i="7"/>
  <c r="JKH2" i="7"/>
  <c r="JKI2" i="7"/>
  <c r="JKJ2" i="7"/>
  <c r="JKK2" i="7"/>
  <c r="JKL2" i="7"/>
  <c r="JKM2" i="7"/>
  <c r="JKN2" i="7"/>
  <c r="JKO2" i="7"/>
  <c r="JKP2" i="7"/>
  <c r="JKQ2" i="7"/>
  <c r="JKR2" i="7"/>
  <c r="JKS2" i="7"/>
  <c r="JKT2" i="7"/>
  <c r="JKU2" i="7"/>
  <c r="JKV2" i="7"/>
  <c r="JKW2" i="7"/>
  <c r="JKX2" i="7"/>
  <c r="JKY2" i="7"/>
  <c r="JKZ2" i="7"/>
  <c r="JLA2" i="7"/>
  <c r="JLB2" i="7"/>
  <c r="JLC2" i="7"/>
  <c r="JLD2" i="7"/>
  <c r="JLE2" i="7"/>
  <c r="JLF2" i="7"/>
  <c r="JLG2" i="7"/>
  <c r="JLH2" i="7"/>
  <c r="JLI2" i="7"/>
  <c r="JLJ2" i="7"/>
  <c r="JLK2" i="7"/>
  <c r="JLL2" i="7"/>
  <c r="JLM2" i="7"/>
  <c r="JLN2" i="7"/>
  <c r="JLO2" i="7"/>
  <c r="JLP2" i="7"/>
  <c r="JLQ2" i="7"/>
  <c r="JLR2" i="7"/>
  <c r="JLS2" i="7"/>
  <c r="JLT2" i="7"/>
  <c r="JLU2" i="7"/>
  <c r="JLV2" i="7"/>
  <c r="JLW2" i="7"/>
  <c r="JLX2" i="7"/>
  <c r="JLY2" i="7"/>
  <c r="JLZ2" i="7"/>
  <c r="JMA2" i="7"/>
  <c r="JMB2" i="7"/>
  <c r="JMC2" i="7"/>
  <c r="JMD2" i="7"/>
  <c r="JME2" i="7"/>
  <c r="JMF2" i="7"/>
  <c r="JMG2" i="7"/>
  <c r="JMH2" i="7"/>
  <c r="JMI2" i="7"/>
  <c r="JMJ2" i="7"/>
  <c r="JMK2" i="7"/>
  <c r="JML2" i="7"/>
  <c r="JMM2" i="7"/>
  <c r="JMN2" i="7"/>
  <c r="JMO2" i="7"/>
  <c r="JMP2" i="7"/>
  <c r="JMQ2" i="7"/>
  <c r="JMR2" i="7"/>
  <c r="JMS2" i="7"/>
  <c r="JMT2" i="7"/>
  <c r="JMU2" i="7"/>
  <c r="JMV2" i="7"/>
  <c r="JMW2" i="7"/>
  <c r="JMX2" i="7"/>
  <c r="JMY2" i="7"/>
  <c r="JMZ2" i="7"/>
  <c r="JNA2" i="7"/>
  <c r="JNB2" i="7"/>
  <c r="JNC2" i="7"/>
  <c r="JND2" i="7"/>
  <c r="JNE2" i="7"/>
  <c r="JNF2" i="7"/>
  <c r="JNG2" i="7"/>
  <c r="JNH2" i="7"/>
  <c r="JNI2" i="7"/>
  <c r="JNJ2" i="7"/>
  <c r="JNK2" i="7"/>
  <c r="JNL2" i="7"/>
  <c r="JNM2" i="7"/>
  <c r="JNN2" i="7"/>
  <c r="JNO2" i="7"/>
  <c r="JNP2" i="7"/>
  <c r="JNQ2" i="7"/>
  <c r="JNR2" i="7"/>
  <c r="JNS2" i="7"/>
  <c r="JNT2" i="7"/>
  <c r="JNU2" i="7"/>
  <c r="JNV2" i="7"/>
  <c r="JNW2" i="7"/>
  <c r="JNX2" i="7"/>
  <c r="JNY2" i="7"/>
  <c r="JNZ2" i="7"/>
  <c r="JOA2" i="7"/>
  <c r="JOB2" i="7"/>
  <c r="JOC2" i="7"/>
  <c r="JOD2" i="7"/>
  <c r="JOE2" i="7"/>
  <c r="JOF2" i="7"/>
  <c r="JOG2" i="7"/>
  <c r="JOH2" i="7"/>
  <c r="JOI2" i="7"/>
  <c r="JOJ2" i="7"/>
  <c r="JOK2" i="7"/>
  <c r="JOL2" i="7"/>
  <c r="JOM2" i="7"/>
  <c r="JON2" i="7"/>
  <c r="JOO2" i="7"/>
  <c r="JOP2" i="7"/>
  <c r="JOQ2" i="7"/>
  <c r="JOR2" i="7"/>
  <c r="JOS2" i="7"/>
  <c r="JOT2" i="7"/>
  <c r="JOU2" i="7"/>
  <c r="JOV2" i="7"/>
  <c r="JOW2" i="7"/>
  <c r="JOX2" i="7"/>
  <c r="JOY2" i="7"/>
  <c r="JOZ2" i="7"/>
  <c r="JPA2" i="7"/>
  <c r="JPB2" i="7"/>
  <c r="JPC2" i="7"/>
  <c r="JPD2" i="7"/>
  <c r="JPE2" i="7"/>
  <c r="JPF2" i="7"/>
  <c r="JPG2" i="7"/>
  <c r="JPH2" i="7"/>
  <c r="JPI2" i="7"/>
  <c r="JPJ2" i="7"/>
  <c r="JPK2" i="7"/>
  <c r="JPL2" i="7"/>
  <c r="JPM2" i="7"/>
  <c r="JPN2" i="7"/>
  <c r="JPO2" i="7"/>
  <c r="JPP2" i="7"/>
  <c r="JPQ2" i="7"/>
  <c r="JPR2" i="7"/>
  <c r="JPS2" i="7"/>
  <c r="JPT2" i="7"/>
  <c r="JPU2" i="7"/>
  <c r="JPV2" i="7"/>
  <c r="JPW2" i="7"/>
  <c r="JPX2" i="7"/>
  <c r="JPY2" i="7"/>
  <c r="JPZ2" i="7"/>
  <c r="JQA2" i="7"/>
  <c r="JQB2" i="7"/>
  <c r="JQC2" i="7"/>
  <c r="JQD2" i="7"/>
  <c r="JQE2" i="7"/>
  <c r="JQF2" i="7"/>
  <c r="JQG2" i="7"/>
  <c r="JQH2" i="7"/>
  <c r="JQI2" i="7"/>
  <c r="JQJ2" i="7"/>
  <c r="JQK2" i="7"/>
  <c r="JQL2" i="7"/>
  <c r="JQM2" i="7"/>
  <c r="JQN2" i="7"/>
  <c r="JQO2" i="7"/>
  <c r="JQP2" i="7"/>
  <c r="JQQ2" i="7"/>
  <c r="JQR2" i="7"/>
  <c r="JQS2" i="7"/>
  <c r="JQT2" i="7"/>
  <c r="JQU2" i="7"/>
  <c r="JQV2" i="7"/>
  <c r="JQW2" i="7"/>
  <c r="JQX2" i="7"/>
  <c r="JQY2" i="7"/>
  <c r="JQZ2" i="7"/>
  <c r="JRA2" i="7"/>
  <c r="JRB2" i="7"/>
  <c r="JRC2" i="7"/>
  <c r="JRD2" i="7"/>
  <c r="JRE2" i="7"/>
  <c r="JRF2" i="7"/>
  <c r="JRG2" i="7"/>
  <c r="JRH2" i="7"/>
  <c r="JRI2" i="7"/>
  <c r="JRJ2" i="7"/>
  <c r="JRK2" i="7"/>
  <c r="JRL2" i="7"/>
  <c r="JRM2" i="7"/>
  <c r="JRN2" i="7"/>
  <c r="JRO2" i="7"/>
  <c r="JRP2" i="7"/>
  <c r="JRQ2" i="7"/>
  <c r="JRR2" i="7"/>
  <c r="JRS2" i="7"/>
  <c r="JRT2" i="7"/>
  <c r="JRU2" i="7"/>
  <c r="JRV2" i="7"/>
  <c r="JRW2" i="7"/>
  <c r="JRX2" i="7"/>
  <c r="JRY2" i="7"/>
  <c r="JRZ2" i="7"/>
  <c r="JSA2" i="7"/>
  <c r="JSB2" i="7"/>
  <c r="JSC2" i="7"/>
  <c r="JSD2" i="7"/>
  <c r="JSE2" i="7"/>
  <c r="JSF2" i="7"/>
  <c r="JSG2" i="7"/>
  <c r="JSH2" i="7"/>
  <c r="JSI2" i="7"/>
  <c r="JSJ2" i="7"/>
  <c r="JSK2" i="7"/>
  <c r="JSL2" i="7"/>
  <c r="JSM2" i="7"/>
  <c r="JSN2" i="7"/>
  <c r="JSO2" i="7"/>
  <c r="JSP2" i="7"/>
  <c r="JSQ2" i="7"/>
  <c r="JSR2" i="7"/>
  <c r="JSS2" i="7"/>
  <c r="JST2" i="7"/>
  <c r="JSU2" i="7"/>
  <c r="JSV2" i="7"/>
  <c r="JSW2" i="7"/>
  <c r="JSX2" i="7"/>
  <c r="JSY2" i="7"/>
  <c r="JSZ2" i="7"/>
  <c r="JTA2" i="7"/>
  <c r="JTB2" i="7"/>
  <c r="JTC2" i="7"/>
  <c r="JTD2" i="7"/>
  <c r="JTE2" i="7"/>
  <c r="JTF2" i="7"/>
  <c r="JTG2" i="7"/>
  <c r="JTH2" i="7"/>
  <c r="JTI2" i="7"/>
  <c r="JTJ2" i="7"/>
  <c r="JTK2" i="7"/>
  <c r="JTL2" i="7"/>
  <c r="JTM2" i="7"/>
  <c r="JTN2" i="7"/>
  <c r="JTO2" i="7"/>
  <c r="JTP2" i="7"/>
  <c r="JTQ2" i="7"/>
  <c r="JTR2" i="7"/>
  <c r="JTS2" i="7"/>
  <c r="JTT2" i="7"/>
  <c r="JTU2" i="7"/>
  <c r="JTV2" i="7"/>
  <c r="JTW2" i="7"/>
  <c r="JTX2" i="7"/>
  <c r="JTY2" i="7"/>
  <c r="JTZ2" i="7"/>
  <c r="JUA2" i="7"/>
  <c r="JUB2" i="7"/>
  <c r="JUC2" i="7"/>
  <c r="JUD2" i="7"/>
  <c r="JUE2" i="7"/>
  <c r="JUF2" i="7"/>
  <c r="JUG2" i="7"/>
  <c r="JUH2" i="7"/>
  <c r="JUI2" i="7"/>
  <c r="JUJ2" i="7"/>
  <c r="JUK2" i="7"/>
  <c r="JUL2" i="7"/>
  <c r="JUM2" i="7"/>
  <c r="JUN2" i="7"/>
  <c r="JUO2" i="7"/>
  <c r="JUP2" i="7"/>
  <c r="JUQ2" i="7"/>
  <c r="JUR2" i="7"/>
  <c r="JUS2" i="7"/>
  <c r="JUT2" i="7"/>
  <c r="JUU2" i="7"/>
  <c r="JUV2" i="7"/>
  <c r="JUW2" i="7"/>
  <c r="JUX2" i="7"/>
  <c r="JUY2" i="7"/>
  <c r="JUZ2" i="7"/>
  <c r="JVA2" i="7"/>
  <c r="JVB2" i="7"/>
  <c r="JVC2" i="7"/>
  <c r="JVD2" i="7"/>
  <c r="JVE2" i="7"/>
  <c r="JVF2" i="7"/>
  <c r="JVG2" i="7"/>
  <c r="JVH2" i="7"/>
  <c r="JVI2" i="7"/>
  <c r="JVJ2" i="7"/>
  <c r="JVK2" i="7"/>
  <c r="JVL2" i="7"/>
  <c r="JVM2" i="7"/>
  <c r="JVN2" i="7"/>
  <c r="JVO2" i="7"/>
  <c r="JVP2" i="7"/>
  <c r="JVQ2" i="7"/>
  <c r="JVR2" i="7"/>
  <c r="JVS2" i="7"/>
  <c r="JVT2" i="7"/>
  <c r="JVU2" i="7"/>
  <c r="JVV2" i="7"/>
  <c r="JVW2" i="7"/>
  <c r="JVX2" i="7"/>
  <c r="JVY2" i="7"/>
  <c r="JVZ2" i="7"/>
  <c r="JWA2" i="7"/>
  <c r="JWB2" i="7"/>
  <c r="JWC2" i="7"/>
  <c r="JWD2" i="7"/>
  <c r="JWE2" i="7"/>
  <c r="JWF2" i="7"/>
  <c r="JWG2" i="7"/>
  <c r="JWH2" i="7"/>
  <c r="JWI2" i="7"/>
  <c r="JWJ2" i="7"/>
  <c r="JWK2" i="7"/>
  <c r="JWL2" i="7"/>
  <c r="JWM2" i="7"/>
  <c r="JWN2" i="7"/>
  <c r="JWO2" i="7"/>
  <c r="JWP2" i="7"/>
  <c r="JWQ2" i="7"/>
  <c r="JWR2" i="7"/>
  <c r="JWS2" i="7"/>
  <c r="JWT2" i="7"/>
  <c r="JWU2" i="7"/>
  <c r="JWV2" i="7"/>
  <c r="JWW2" i="7"/>
  <c r="JWX2" i="7"/>
  <c r="JWY2" i="7"/>
  <c r="JWZ2" i="7"/>
  <c r="JXA2" i="7"/>
  <c r="JXB2" i="7"/>
  <c r="JXC2" i="7"/>
  <c r="JXD2" i="7"/>
  <c r="JXE2" i="7"/>
  <c r="JXF2" i="7"/>
  <c r="JXG2" i="7"/>
  <c r="JXH2" i="7"/>
  <c r="JXI2" i="7"/>
  <c r="JXJ2" i="7"/>
  <c r="JXK2" i="7"/>
  <c r="JXL2" i="7"/>
  <c r="JXM2" i="7"/>
  <c r="JXN2" i="7"/>
  <c r="JXO2" i="7"/>
  <c r="JXP2" i="7"/>
  <c r="JXQ2" i="7"/>
  <c r="JXR2" i="7"/>
  <c r="JXS2" i="7"/>
  <c r="JXT2" i="7"/>
  <c r="JXU2" i="7"/>
  <c r="JXV2" i="7"/>
  <c r="JXW2" i="7"/>
  <c r="JXX2" i="7"/>
  <c r="JXY2" i="7"/>
  <c r="JXZ2" i="7"/>
  <c r="JYA2" i="7"/>
  <c r="JYB2" i="7"/>
  <c r="JYC2" i="7"/>
  <c r="JYD2" i="7"/>
  <c r="JYE2" i="7"/>
  <c r="JYF2" i="7"/>
  <c r="JYG2" i="7"/>
  <c r="JYH2" i="7"/>
  <c r="JYI2" i="7"/>
  <c r="JYJ2" i="7"/>
  <c r="JYK2" i="7"/>
  <c r="JYL2" i="7"/>
  <c r="JYM2" i="7"/>
  <c r="JYN2" i="7"/>
  <c r="JYO2" i="7"/>
  <c r="JYP2" i="7"/>
  <c r="JYQ2" i="7"/>
  <c r="JYR2" i="7"/>
  <c r="JYS2" i="7"/>
  <c r="JYT2" i="7"/>
  <c r="JYU2" i="7"/>
  <c r="JYV2" i="7"/>
  <c r="JYW2" i="7"/>
  <c r="JYX2" i="7"/>
  <c r="JYY2" i="7"/>
  <c r="JYZ2" i="7"/>
  <c r="JZA2" i="7"/>
  <c r="JZB2" i="7"/>
  <c r="JZC2" i="7"/>
  <c r="JZD2" i="7"/>
  <c r="JZE2" i="7"/>
  <c r="JZF2" i="7"/>
  <c r="JZG2" i="7"/>
  <c r="JZH2" i="7"/>
  <c r="JZI2" i="7"/>
  <c r="JZJ2" i="7"/>
  <c r="JZK2" i="7"/>
  <c r="JZL2" i="7"/>
  <c r="JZM2" i="7"/>
  <c r="JZN2" i="7"/>
  <c r="JZO2" i="7"/>
  <c r="JZP2" i="7"/>
  <c r="JZQ2" i="7"/>
  <c r="JZR2" i="7"/>
  <c r="JZS2" i="7"/>
  <c r="JZT2" i="7"/>
  <c r="JZU2" i="7"/>
  <c r="JZV2" i="7"/>
  <c r="JZW2" i="7"/>
  <c r="JZX2" i="7"/>
  <c r="JZY2" i="7"/>
  <c r="JZZ2" i="7"/>
  <c r="KAA2" i="7"/>
  <c r="KAB2" i="7"/>
  <c r="KAC2" i="7"/>
  <c r="KAD2" i="7"/>
  <c r="KAE2" i="7"/>
  <c r="KAF2" i="7"/>
  <c r="KAG2" i="7"/>
  <c r="KAH2" i="7"/>
  <c r="KAI2" i="7"/>
  <c r="KAJ2" i="7"/>
  <c r="KAK2" i="7"/>
  <c r="KAL2" i="7"/>
  <c r="KAM2" i="7"/>
  <c r="KAN2" i="7"/>
  <c r="KAO2" i="7"/>
  <c r="KAP2" i="7"/>
  <c r="KAQ2" i="7"/>
  <c r="KAR2" i="7"/>
  <c r="KAS2" i="7"/>
  <c r="KAT2" i="7"/>
  <c r="KAU2" i="7"/>
  <c r="KAV2" i="7"/>
  <c r="KAW2" i="7"/>
  <c r="KAX2" i="7"/>
  <c r="KAY2" i="7"/>
  <c r="KAZ2" i="7"/>
  <c r="KBA2" i="7"/>
  <c r="KBB2" i="7"/>
  <c r="KBC2" i="7"/>
  <c r="KBD2" i="7"/>
  <c r="KBE2" i="7"/>
  <c r="KBF2" i="7"/>
  <c r="KBG2" i="7"/>
  <c r="KBH2" i="7"/>
  <c r="KBI2" i="7"/>
  <c r="KBJ2" i="7"/>
  <c r="KBK2" i="7"/>
  <c r="KBL2" i="7"/>
  <c r="KBM2" i="7"/>
  <c r="KBN2" i="7"/>
  <c r="KBO2" i="7"/>
  <c r="KBP2" i="7"/>
  <c r="KBQ2" i="7"/>
  <c r="KBR2" i="7"/>
  <c r="KBS2" i="7"/>
  <c r="KBT2" i="7"/>
  <c r="KBU2" i="7"/>
  <c r="KBV2" i="7"/>
  <c r="KBW2" i="7"/>
  <c r="KBX2" i="7"/>
  <c r="KBY2" i="7"/>
  <c r="KBZ2" i="7"/>
  <c r="KCA2" i="7"/>
  <c r="KCB2" i="7"/>
  <c r="KCC2" i="7"/>
  <c r="KCD2" i="7"/>
  <c r="KCE2" i="7"/>
  <c r="KCF2" i="7"/>
  <c r="KCG2" i="7"/>
  <c r="KCH2" i="7"/>
  <c r="KCI2" i="7"/>
  <c r="KCJ2" i="7"/>
  <c r="KCK2" i="7"/>
  <c r="KCL2" i="7"/>
  <c r="KCM2" i="7"/>
  <c r="KCN2" i="7"/>
  <c r="KCO2" i="7"/>
  <c r="KCP2" i="7"/>
  <c r="KCQ2" i="7"/>
  <c r="KCR2" i="7"/>
  <c r="KCS2" i="7"/>
  <c r="KCT2" i="7"/>
  <c r="KCU2" i="7"/>
  <c r="KCV2" i="7"/>
  <c r="KCW2" i="7"/>
  <c r="KCX2" i="7"/>
  <c r="KCY2" i="7"/>
  <c r="KCZ2" i="7"/>
  <c r="KDA2" i="7"/>
  <c r="KDB2" i="7"/>
  <c r="KDC2" i="7"/>
  <c r="KDD2" i="7"/>
  <c r="KDE2" i="7"/>
  <c r="KDF2" i="7"/>
  <c r="KDG2" i="7"/>
  <c r="KDH2" i="7"/>
  <c r="KDI2" i="7"/>
  <c r="KDJ2" i="7"/>
  <c r="KDK2" i="7"/>
  <c r="KDL2" i="7"/>
  <c r="KDM2" i="7"/>
  <c r="KDN2" i="7"/>
  <c r="KDO2" i="7"/>
  <c r="KDP2" i="7"/>
  <c r="KDQ2" i="7"/>
  <c r="KDR2" i="7"/>
  <c r="KDS2" i="7"/>
  <c r="KDT2" i="7"/>
  <c r="KDU2" i="7"/>
  <c r="KDV2" i="7"/>
  <c r="KDW2" i="7"/>
  <c r="KDX2" i="7"/>
  <c r="KDY2" i="7"/>
  <c r="KDZ2" i="7"/>
  <c r="KEA2" i="7"/>
  <c r="KEB2" i="7"/>
  <c r="KEC2" i="7"/>
  <c r="KED2" i="7"/>
  <c r="KEE2" i="7"/>
  <c r="KEF2" i="7"/>
  <c r="KEG2" i="7"/>
  <c r="KEH2" i="7"/>
  <c r="KEI2" i="7"/>
  <c r="KEJ2" i="7"/>
  <c r="KEK2" i="7"/>
  <c r="KEL2" i="7"/>
  <c r="KEM2" i="7"/>
  <c r="KEN2" i="7"/>
  <c r="KEO2" i="7"/>
  <c r="KEP2" i="7"/>
  <c r="KEQ2" i="7"/>
  <c r="KER2" i="7"/>
  <c r="KES2" i="7"/>
  <c r="KET2" i="7"/>
  <c r="KEU2" i="7"/>
  <c r="KEV2" i="7"/>
  <c r="KEW2" i="7"/>
  <c r="KEX2" i="7"/>
  <c r="KEY2" i="7"/>
  <c r="KEZ2" i="7"/>
  <c r="KFA2" i="7"/>
  <c r="KFB2" i="7"/>
  <c r="KFC2" i="7"/>
  <c r="KFD2" i="7"/>
  <c r="KFE2" i="7"/>
  <c r="KFF2" i="7"/>
  <c r="KFG2" i="7"/>
  <c r="KFH2" i="7"/>
  <c r="KFI2" i="7"/>
  <c r="KFJ2" i="7"/>
  <c r="KFK2" i="7"/>
  <c r="KFL2" i="7"/>
  <c r="KFM2" i="7"/>
  <c r="KFN2" i="7"/>
  <c r="KFO2" i="7"/>
  <c r="KFP2" i="7"/>
  <c r="KFQ2" i="7"/>
  <c r="KFR2" i="7"/>
  <c r="KFS2" i="7"/>
  <c r="KFT2" i="7"/>
  <c r="KFU2" i="7"/>
  <c r="KFV2" i="7"/>
  <c r="KFW2" i="7"/>
  <c r="KFX2" i="7"/>
  <c r="KFY2" i="7"/>
  <c r="KFZ2" i="7"/>
  <c r="KGA2" i="7"/>
  <c r="KGB2" i="7"/>
  <c r="KGC2" i="7"/>
  <c r="KGD2" i="7"/>
  <c r="KGE2" i="7"/>
  <c r="KGF2" i="7"/>
  <c r="KGG2" i="7"/>
  <c r="KGH2" i="7"/>
  <c r="KGI2" i="7"/>
  <c r="KGJ2" i="7"/>
  <c r="KGK2" i="7"/>
  <c r="KGL2" i="7"/>
  <c r="KGM2" i="7"/>
  <c r="KGN2" i="7"/>
  <c r="KGO2" i="7"/>
  <c r="KGP2" i="7"/>
  <c r="KGQ2" i="7"/>
  <c r="KGR2" i="7"/>
  <c r="KGS2" i="7"/>
  <c r="KGT2" i="7"/>
  <c r="KGU2" i="7"/>
  <c r="KGV2" i="7"/>
  <c r="KGW2" i="7"/>
  <c r="KGX2" i="7"/>
  <c r="KGY2" i="7"/>
  <c r="KGZ2" i="7"/>
  <c r="KHA2" i="7"/>
  <c r="KHB2" i="7"/>
  <c r="KHC2" i="7"/>
  <c r="KHD2" i="7"/>
  <c r="KHE2" i="7"/>
  <c r="KHF2" i="7"/>
  <c r="KHG2" i="7"/>
  <c r="KHH2" i="7"/>
  <c r="KHI2" i="7"/>
  <c r="KHJ2" i="7"/>
  <c r="KHK2" i="7"/>
  <c r="KHL2" i="7"/>
  <c r="KHM2" i="7"/>
  <c r="KHN2" i="7"/>
  <c r="KHO2" i="7"/>
  <c r="KHP2" i="7"/>
  <c r="KHQ2" i="7"/>
  <c r="KHR2" i="7"/>
  <c r="KHS2" i="7"/>
  <c r="KHT2" i="7"/>
  <c r="KHU2" i="7"/>
  <c r="KHV2" i="7"/>
  <c r="KHW2" i="7"/>
  <c r="KHX2" i="7"/>
  <c r="KHY2" i="7"/>
  <c r="KHZ2" i="7"/>
  <c r="KIA2" i="7"/>
  <c r="KIB2" i="7"/>
  <c r="KIC2" i="7"/>
  <c r="KID2" i="7"/>
  <c r="KIE2" i="7"/>
  <c r="KIF2" i="7"/>
  <c r="KIG2" i="7"/>
  <c r="KIH2" i="7"/>
  <c r="KII2" i="7"/>
  <c r="KIJ2" i="7"/>
  <c r="KIK2" i="7"/>
  <c r="KIL2" i="7"/>
  <c r="KIM2" i="7"/>
  <c r="KIN2" i="7"/>
  <c r="KIO2" i="7"/>
  <c r="KIP2" i="7"/>
  <c r="KIQ2" i="7"/>
  <c r="KIR2" i="7"/>
  <c r="KIS2" i="7"/>
  <c r="KIT2" i="7"/>
  <c r="KIU2" i="7"/>
  <c r="KIV2" i="7"/>
  <c r="KIW2" i="7"/>
  <c r="KIX2" i="7"/>
  <c r="KIY2" i="7"/>
  <c r="KIZ2" i="7"/>
  <c r="KJA2" i="7"/>
  <c r="KJB2" i="7"/>
  <c r="KJC2" i="7"/>
  <c r="KJD2" i="7"/>
  <c r="KJE2" i="7"/>
  <c r="KJF2" i="7"/>
  <c r="KJG2" i="7"/>
  <c r="KJH2" i="7"/>
  <c r="KJI2" i="7"/>
  <c r="KJJ2" i="7"/>
  <c r="KJK2" i="7"/>
  <c r="KJL2" i="7"/>
  <c r="KJM2" i="7"/>
  <c r="KJN2" i="7"/>
  <c r="KJO2" i="7"/>
  <c r="KJP2" i="7"/>
  <c r="KJQ2" i="7"/>
  <c r="KJR2" i="7"/>
  <c r="KJS2" i="7"/>
  <c r="KJT2" i="7"/>
  <c r="KJU2" i="7"/>
  <c r="KJV2" i="7"/>
  <c r="KJW2" i="7"/>
  <c r="KJX2" i="7"/>
  <c r="KJY2" i="7"/>
  <c r="KJZ2" i="7"/>
  <c r="KKA2" i="7"/>
  <c r="KKB2" i="7"/>
  <c r="KKC2" i="7"/>
  <c r="KKD2" i="7"/>
  <c r="KKE2" i="7"/>
  <c r="KKF2" i="7"/>
  <c r="KKG2" i="7"/>
  <c r="KKH2" i="7"/>
  <c r="KKI2" i="7"/>
  <c r="KKJ2" i="7"/>
  <c r="KKK2" i="7"/>
  <c r="KKL2" i="7"/>
  <c r="KKM2" i="7"/>
  <c r="KKN2" i="7"/>
  <c r="KKO2" i="7"/>
  <c r="KKP2" i="7"/>
  <c r="KKQ2" i="7"/>
  <c r="KKR2" i="7"/>
  <c r="KKS2" i="7"/>
  <c r="KKT2" i="7"/>
  <c r="KKU2" i="7"/>
  <c r="KKV2" i="7"/>
  <c r="KKW2" i="7"/>
  <c r="KKX2" i="7"/>
  <c r="KKY2" i="7"/>
  <c r="KKZ2" i="7"/>
  <c r="KLA2" i="7"/>
  <c r="KLB2" i="7"/>
  <c r="KLC2" i="7"/>
  <c r="KLD2" i="7"/>
  <c r="KLE2" i="7"/>
  <c r="KLF2" i="7"/>
  <c r="KLG2" i="7"/>
  <c r="KLH2" i="7"/>
  <c r="KLI2" i="7"/>
  <c r="KLJ2" i="7"/>
  <c r="KLK2" i="7"/>
  <c r="KLL2" i="7"/>
  <c r="KLM2" i="7"/>
  <c r="KLN2" i="7"/>
  <c r="KLO2" i="7"/>
  <c r="KLP2" i="7"/>
  <c r="KLQ2" i="7"/>
  <c r="KLR2" i="7"/>
  <c r="KLS2" i="7"/>
  <c r="KLT2" i="7"/>
  <c r="KLU2" i="7"/>
  <c r="KLV2" i="7"/>
  <c r="KLW2" i="7"/>
  <c r="KLX2" i="7"/>
  <c r="KLY2" i="7"/>
  <c r="KLZ2" i="7"/>
  <c r="KMA2" i="7"/>
  <c r="KMB2" i="7"/>
  <c r="KMC2" i="7"/>
  <c r="KMD2" i="7"/>
  <c r="KME2" i="7"/>
  <c r="KMF2" i="7"/>
  <c r="KMG2" i="7"/>
  <c r="KMH2" i="7"/>
  <c r="KMI2" i="7"/>
  <c r="KMJ2" i="7"/>
  <c r="KMK2" i="7"/>
  <c r="KML2" i="7"/>
  <c r="KMM2" i="7"/>
  <c r="KMN2" i="7"/>
  <c r="KMO2" i="7"/>
  <c r="KMP2" i="7"/>
  <c r="KMQ2" i="7"/>
  <c r="KMR2" i="7"/>
  <c r="KMS2" i="7"/>
  <c r="KMT2" i="7"/>
  <c r="KMU2" i="7"/>
  <c r="KMV2" i="7"/>
  <c r="KMW2" i="7"/>
  <c r="KMX2" i="7"/>
  <c r="KMY2" i="7"/>
  <c r="KMZ2" i="7"/>
  <c r="KNA2" i="7"/>
  <c r="KNB2" i="7"/>
  <c r="KNC2" i="7"/>
  <c r="KND2" i="7"/>
  <c r="KNE2" i="7"/>
  <c r="KNF2" i="7"/>
  <c r="KNG2" i="7"/>
  <c r="KNH2" i="7"/>
  <c r="KNI2" i="7"/>
  <c r="KNJ2" i="7"/>
  <c r="KNK2" i="7"/>
  <c r="KNL2" i="7"/>
  <c r="KNM2" i="7"/>
  <c r="KNN2" i="7"/>
  <c r="KNO2" i="7"/>
  <c r="KNP2" i="7"/>
  <c r="KNQ2" i="7"/>
  <c r="KNR2" i="7"/>
  <c r="KNS2" i="7"/>
  <c r="KNT2" i="7"/>
  <c r="KNU2" i="7"/>
  <c r="KNV2" i="7"/>
  <c r="KNW2" i="7"/>
  <c r="KNX2" i="7"/>
  <c r="KNY2" i="7"/>
  <c r="KNZ2" i="7"/>
  <c r="KOA2" i="7"/>
  <c r="KOB2" i="7"/>
  <c r="KOC2" i="7"/>
  <c r="KOD2" i="7"/>
  <c r="KOE2" i="7"/>
  <c r="KOF2" i="7"/>
  <c r="KOG2" i="7"/>
  <c r="KOH2" i="7"/>
  <c r="KOI2" i="7"/>
  <c r="KOJ2" i="7"/>
  <c r="KOK2" i="7"/>
  <c r="KOL2" i="7"/>
  <c r="KOM2" i="7"/>
  <c r="KON2" i="7"/>
  <c r="KOO2" i="7"/>
  <c r="KOP2" i="7"/>
  <c r="KOQ2" i="7"/>
  <c r="KOR2" i="7"/>
  <c r="KOS2" i="7"/>
  <c r="KOT2" i="7"/>
  <c r="KOU2" i="7"/>
  <c r="KOV2" i="7"/>
  <c r="KOW2" i="7"/>
  <c r="KOX2" i="7"/>
  <c r="KOY2" i="7"/>
  <c r="KOZ2" i="7"/>
  <c r="KPA2" i="7"/>
  <c r="KPB2" i="7"/>
  <c r="KPC2" i="7"/>
  <c r="KPD2" i="7"/>
  <c r="KPE2" i="7"/>
  <c r="KPF2" i="7"/>
  <c r="KPG2" i="7"/>
  <c r="KPH2" i="7"/>
  <c r="KPI2" i="7"/>
  <c r="KPJ2" i="7"/>
  <c r="KPK2" i="7"/>
  <c r="KPL2" i="7"/>
  <c r="KPM2" i="7"/>
  <c r="KPN2" i="7"/>
  <c r="KPO2" i="7"/>
  <c r="KPP2" i="7"/>
  <c r="KPQ2" i="7"/>
  <c r="KPR2" i="7"/>
  <c r="KPS2" i="7"/>
  <c r="KPT2" i="7"/>
  <c r="KPU2" i="7"/>
  <c r="KPV2" i="7"/>
  <c r="KPW2" i="7"/>
  <c r="KPX2" i="7"/>
  <c r="KPY2" i="7"/>
  <c r="KPZ2" i="7"/>
  <c r="KQA2" i="7"/>
  <c r="KQB2" i="7"/>
  <c r="KQC2" i="7"/>
  <c r="KQD2" i="7"/>
  <c r="KQE2" i="7"/>
  <c r="KQF2" i="7"/>
  <c r="KQG2" i="7"/>
  <c r="KQH2" i="7"/>
  <c r="KQI2" i="7"/>
  <c r="KQJ2" i="7"/>
  <c r="KQK2" i="7"/>
  <c r="KQL2" i="7"/>
  <c r="KQM2" i="7"/>
  <c r="KQN2" i="7"/>
  <c r="KQO2" i="7"/>
  <c r="KQP2" i="7"/>
  <c r="KQQ2" i="7"/>
  <c r="KQR2" i="7"/>
  <c r="KQS2" i="7"/>
  <c r="KQT2" i="7"/>
  <c r="KQU2" i="7"/>
  <c r="KQV2" i="7"/>
  <c r="KQW2" i="7"/>
  <c r="KQX2" i="7"/>
  <c r="KQY2" i="7"/>
  <c r="KQZ2" i="7"/>
  <c r="KRA2" i="7"/>
  <c r="KRB2" i="7"/>
  <c r="KRC2" i="7"/>
  <c r="KRD2" i="7"/>
  <c r="KRE2" i="7"/>
  <c r="KRF2" i="7"/>
  <c r="KRG2" i="7"/>
  <c r="KRH2" i="7"/>
  <c r="KRI2" i="7"/>
  <c r="KRJ2" i="7"/>
  <c r="KRK2" i="7"/>
  <c r="KRL2" i="7"/>
  <c r="KRM2" i="7"/>
  <c r="KRN2" i="7"/>
  <c r="KRO2" i="7"/>
  <c r="KRP2" i="7"/>
  <c r="KRQ2" i="7"/>
  <c r="KRR2" i="7"/>
  <c r="KRS2" i="7"/>
  <c r="KRT2" i="7"/>
  <c r="KRU2" i="7"/>
  <c r="KRV2" i="7"/>
  <c r="KRW2" i="7"/>
  <c r="KRX2" i="7"/>
  <c r="KRY2" i="7"/>
  <c r="KRZ2" i="7"/>
  <c r="KSA2" i="7"/>
  <c r="KSB2" i="7"/>
  <c r="KSC2" i="7"/>
  <c r="KSD2" i="7"/>
  <c r="KSE2" i="7"/>
  <c r="KSF2" i="7"/>
  <c r="KSG2" i="7"/>
  <c r="KSH2" i="7"/>
  <c r="KSI2" i="7"/>
  <c r="KSJ2" i="7"/>
  <c r="KSK2" i="7"/>
  <c r="KSL2" i="7"/>
  <c r="KSM2" i="7"/>
  <c r="KSN2" i="7"/>
  <c r="KSO2" i="7"/>
  <c r="KSP2" i="7"/>
  <c r="KSQ2" i="7"/>
  <c r="KSR2" i="7"/>
  <c r="KSS2" i="7"/>
  <c r="KST2" i="7"/>
  <c r="KSU2" i="7"/>
  <c r="KSV2" i="7"/>
  <c r="KSW2" i="7"/>
  <c r="KSX2" i="7"/>
  <c r="KSY2" i="7"/>
  <c r="KSZ2" i="7"/>
  <c r="KTA2" i="7"/>
  <c r="KTB2" i="7"/>
  <c r="KTC2" i="7"/>
  <c r="KTD2" i="7"/>
  <c r="KTE2" i="7"/>
  <c r="KTF2" i="7"/>
  <c r="KTG2" i="7"/>
  <c r="KTH2" i="7"/>
  <c r="KTI2" i="7"/>
  <c r="KTJ2" i="7"/>
  <c r="KTK2" i="7"/>
  <c r="KTL2" i="7"/>
  <c r="KTM2" i="7"/>
  <c r="KTN2" i="7"/>
  <c r="KTO2" i="7"/>
  <c r="KTP2" i="7"/>
  <c r="KTQ2" i="7"/>
  <c r="KTR2" i="7"/>
  <c r="KTS2" i="7"/>
  <c r="KTT2" i="7"/>
  <c r="KTU2" i="7"/>
  <c r="KTV2" i="7"/>
  <c r="KTW2" i="7"/>
  <c r="KTX2" i="7"/>
  <c r="KTY2" i="7"/>
  <c r="KTZ2" i="7"/>
  <c r="KUA2" i="7"/>
  <c r="KUB2" i="7"/>
  <c r="KUC2" i="7"/>
  <c r="KUD2" i="7"/>
  <c r="KUE2" i="7"/>
  <c r="KUF2" i="7"/>
  <c r="KUG2" i="7"/>
  <c r="KUH2" i="7"/>
  <c r="KUI2" i="7"/>
  <c r="KUJ2" i="7"/>
  <c r="KUK2" i="7"/>
  <c r="KUL2" i="7"/>
  <c r="KUM2" i="7"/>
  <c r="KUN2" i="7"/>
  <c r="KUO2" i="7"/>
  <c r="KUP2" i="7"/>
  <c r="KUQ2" i="7"/>
  <c r="KUR2" i="7"/>
  <c r="KUS2" i="7"/>
  <c r="KUT2" i="7"/>
  <c r="KUU2" i="7"/>
  <c r="KUV2" i="7"/>
  <c r="KUW2" i="7"/>
  <c r="KUX2" i="7"/>
  <c r="KUY2" i="7"/>
  <c r="KUZ2" i="7"/>
  <c r="KVA2" i="7"/>
  <c r="KVB2" i="7"/>
  <c r="KVC2" i="7"/>
  <c r="KVD2" i="7"/>
  <c r="KVE2" i="7"/>
  <c r="KVF2" i="7"/>
  <c r="KVG2" i="7"/>
  <c r="KVH2" i="7"/>
  <c r="KVI2" i="7"/>
  <c r="KVJ2" i="7"/>
  <c r="KVK2" i="7"/>
  <c r="KVL2" i="7"/>
  <c r="KVM2" i="7"/>
  <c r="KVN2" i="7"/>
  <c r="KVO2" i="7"/>
  <c r="KVP2" i="7"/>
  <c r="KVQ2" i="7"/>
  <c r="KVR2" i="7"/>
  <c r="KVS2" i="7"/>
  <c r="KVT2" i="7"/>
  <c r="KVU2" i="7"/>
  <c r="KVV2" i="7"/>
  <c r="KVW2" i="7"/>
  <c r="KVX2" i="7"/>
  <c r="KVY2" i="7"/>
  <c r="KVZ2" i="7"/>
  <c r="KWA2" i="7"/>
  <c r="KWB2" i="7"/>
  <c r="KWC2" i="7"/>
  <c r="KWD2" i="7"/>
  <c r="KWE2" i="7"/>
  <c r="KWF2" i="7"/>
  <c r="KWG2" i="7"/>
  <c r="KWH2" i="7"/>
  <c r="KWI2" i="7"/>
  <c r="KWJ2" i="7"/>
  <c r="KWK2" i="7"/>
  <c r="KWL2" i="7"/>
  <c r="KWM2" i="7"/>
  <c r="KWN2" i="7"/>
  <c r="KWO2" i="7"/>
  <c r="KWP2" i="7"/>
  <c r="KWQ2" i="7"/>
  <c r="KWR2" i="7"/>
  <c r="KWS2" i="7"/>
  <c r="KWT2" i="7"/>
  <c r="KWU2" i="7"/>
  <c r="KWV2" i="7"/>
  <c r="KWW2" i="7"/>
  <c r="KWX2" i="7"/>
  <c r="KWY2" i="7"/>
  <c r="KWZ2" i="7"/>
  <c r="KXA2" i="7"/>
  <c r="KXB2" i="7"/>
  <c r="KXC2" i="7"/>
  <c r="KXD2" i="7"/>
  <c r="KXE2" i="7"/>
  <c r="KXF2" i="7"/>
  <c r="KXG2" i="7"/>
  <c r="KXH2" i="7"/>
  <c r="KXI2" i="7"/>
  <c r="KXJ2" i="7"/>
  <c r="KXK2" i="7"/>
  <c r="KXL2" i="7"/>
  <c r="KXM2" i="7"/>
  <c r="KXN2" i="7"/>
  <c r="KXO2" i="7"/>
  <c r="KXP2" i="7"/>
  <c r="KXQ2" i="7"/>
  <c r="KXR2" i="7"/>
  <c r="KXS2" i="7"/>
  <c r="KXT2" i="7"/>
  <c r="KXU2" i="7"/>
  <c r="KXV2" i="7"/>
  <c r="KXW2" i="7"/>
  <c r="KXX2" i="7"/>
  <c r="KXY2" i="7"/>
  <c r="KXZ2" i="7"/>
  <c r="KYA2" i="7"/>
  <c r="KYB2" i="7"/>
  <c r="KYC2" i="7"/>
  <c r="KYD2" i="7"/>
  <c r="KYE2" i="7"/>
  <c r="KYF2" i="7"/>
  <c r="KYG2" i="7"/>
  <c r="KYH2" i="7"/>
  <c r="KYI2" i="7"/>
  <c r="KYJ2" i="7"/>
  <c r="KYK2" i="7"/>
  <c r="KYL2" i="7"/>
  <c r="KYM2" i="7"/>
  <c r="KYN2" i="7"/>
  <c r="KYO2" i="7"/>
  <c r="KYP2" i="7"/>
  <c r="KYQ2" i="7"/>
  <c r="KYR2" i="7"/>
  <c r="KYS2" i="7"/>
  <c r="KYT2" i="7"/>
  <c r="KYU2" i="7"/>
  <c r="KYV2" i="7"/>
  <c r="KYW2" i="7"/>
  <c r="KYX2" i="7"/>
  <c r="KYY2" i="7"/>
  <c r="KYZ2" i="7"/>
  <c r="KZA2" i="7"/>
  <c r="KZB2" i="7"/>
  <c r="KZC2" i="7"/>
  <c r="KZD2" i="7"/>
  <c r="KZE2" i="7"/>
  <c r="KZF2" i="7"/>
  <c r="KZG2" i="7"/>
  <c r="KZH2" i="7"/>
  <c r="KZI2" i="7"/>
  <c r="KZJ2" i="7"/>
  <c r="KZK2" i="7"/>
  <c r="KZL2" i="7"/>
  <c r="KZM2" i="7"/>
  <c r="KZN2" i="7"/>
  <c r="KZO2" i="7"/>
  <c r="KZP2" i="7"/>
  <c r="KZQ2" i="7"/>
  <c r="KZR2" i="7"/>
  <c r="KZS2" i="7"/>
  <c r="KZT2" i="7"/>
  <c r="KZU2" i="7"/>
  <c r="KZV2" i="7"/>
  <c r="KZW2" i="7"/>
  <c r="KZX2" i="7"/>
  <c r="KZY2" i="7"/>
  <c r="KZZ2" i="7"/>
  <c r="LAA2" i="7"/>
  <c r="LAB2" i="7"/>
  <c r="LAC2" i="7"/>
  <c r="LAD2" i="7"/>
  <c r="LAE2" i="7"/>
  <c r="LAF2" i="7"/>
  <c r="LAG2" i="7"/>
  <c r="LAH2" i="7"/>
  <c r="LAI2" i="7"/>
  <c r="LAJ2" i="7"/>
  <c r="LAK2" i="7"/>
  <c r="LAL2" i="7"/>
  <c r="LAM2" i="7"/>
  <c r="LAN2" i="7"/>
  <c r="LAO2" i="7"/>
  <c r="LAP2" i="7"/>
  <c r="LAQ2" i="7"/>
  <c r="LAR2" i="7"/>
  <c r="LAS2" i="7"/>
  <c r="LAT2" i="7"/>
  <c r="LAU2" i="7"/>
  <c r="LAV2" i="7"/>
  <c r="LAW2" i="7"/>
  <c r="LAX2" i="7"/>
  <c r="LAY2" i="7"/>
  <c r="LAZ2" i="7"/>
  <c r="LBA2" i="7"/>
  <c r="LBB2" i="7"/>
  <c r="LBC2" i="7"/>
  <c r="LBD2" i="7"/>
  <c r="LBE2" i="7"/>
  <c r="LBF2" i="7"/>
  <c r="LBG2" i="7"/>
  <c r="LBH2" i="7"/>
  <c r="LBI2" i="7"/>
  <c r="LBJ2" i="7"/>
  <c r="LBK2" i="7"/>
  <c r="LBL2" i="7"/>
  <c r="LBM2" i="7"/>
  <c r="LBN2" i="7"/>
  <c r="LBO2" i="7"/>
  <c r="LBP2" i="7"/>
  <c r="LBQ2" i="7"/>
  <c r="LBR2" i="7"/>
  <c r="LBS2" i="7"/>
  <c r="LBT2" i="7"/>
  <c r="LBU2" i="7"/>
  <c r="LBV2" i="7"/>
  <c r="LBW2" i="7"/>
  <c r="LBX2" i="7"/>
  <c r="LBY2" i="7"/>
  <c r="LBZ2" i="7"/>
  <c r="LCA2" i="7"/>
  <c r="LCB2" i="7"/>
  <c r="LCC2" i="7"/>
  <c r="LCD2" i="7"/>
  <c r="LCE2" i="7"/>
  <c r="LCF2" i="7"/>
  <c r="LCG2" i="7"/>
  <c r="LCH2" i="7"/>
  <c r="LCI2" i="7"/>
  <c r="LCJ2" i="7"/>
  <c r="LCK2" i="7"/>
  <c r="LCL2" i="7"/>
  <c r="LCM2" i="7"/>
  <c r="LCN2" i="7"/>
  <c r="LCO2" i="7"/>
  <c r="LCP2" i="7"/>
  <c r="LCQ2" i="7"/>
  <c r="LCR2" i="7"/>
  <c r="LCS2" i="7"/>
  <c r="LCT2" i="7"/>
  <c r="LCU2" i="7"/>
  <c r="LCV2" i="7"/>
  <c r="LCW2" i="7"/>
  <c r="LCX2" i="7"/>
  <c r="LCY2" i="7"/>
  <c r="LCZ2" i="7"/>
  <c r="LDA2" i="7"/>
  <c r="LDB2" i="7"/>
  <c r="LDC2" i="7"/>
  <c r="LDD2" i="7"/>
  <c r="LDE2" i="7"/>
  <c r="LDF2" i="7"/>
  <c r="LDG2" i="7"/>
  <c r="LDH2" i="7"/>
  <c r="LDI2" i="7"/>
  <c r="LDJ2" i="7"/>
  <c r="LDK2" i="7"/>
  <c r="LDL2" i="7"/>
  <c r="LDM2" i="7"/>
  <c r="LDN2" i="7"/>
  <c r="LDO2" i="7"/>
  <c r="LDP2" i="7"/>
  <c r="LDQ2" i="7"/>
  <c r="LDR2" i="7"/>
  <c r="LDS2" i="7"/>
  <c r="LDT2" i="7"/>
  <c r="LDU2" i="7"/>
  <c r="LDV2" i="7"/>
  <c r="LDW2" i="7"/>
  <c r="LDX2" i="7"/>
  <c r="LDY2" i="7"/>
  <c r="LDZ2" i="7"/>
  <c r="LEA2" i="7"/>
  <c r="LEB2" i="7"/>
  <c r="LEC2" i="7"/>
  <c r="LED2" i="7"/>
  <c r="LEE2" i="7"/>
  <c r="LEF2" i="7"/>
  <c r="LEG2" i="7"/>
  <c r="LEH2" i="7"/>
  <c r="LEI2" i="7"/>
  <c r="LEJ2" i="7"/>
  <c r="LEK2" i="7"/>
  <c r="LEL2" i="7"/>
  <c r="LEM2" i="7"/>
  <c r="LEN2" i="7"/>
  <c r="LEO2" i="7"/>
  <c r="LEP2" i="7"/>
  <c r="LEQ2" i="7"/>
  <c r="LER2" i="7"/>
  <c r="LES2" i="7"/>
  <c r="LET2" i="7"/>
  <c r="LEU2" i="7"/>
  <c r="LEV2" i="7"/>
  <c r="LEW2" i="7"/>
  <c r="LEX2" i="7"/>
  <c r="LEY2" i="7"/>
  <c r="LEZ2" i="7"/>
  <c r="LFA2" i="7"/>
  <c r="LFB2" i="7"/>
  <c r="LFC2" i="7"/>
  <c r="LFD2" i="7"/>
  <c r="LFE2" i="7"/>
  <c r="LFF2" i="7"/>
  <c r="LFG2" i="7"/>
  <c r="LFH2" i="7"/>
  <c r="LFI2" i="7"/>
  <c r="LFJ2" i="7"/>
  <c r="LFK2" i="7"/>
  <c r="LFL2" i="7"/>
  <c r="LFM2" i="7"/>
  <c r="LFN2" i="7"/>
  <c r="LFO2" i="7"/>
  <c r="LFP2" i="7"/>
  <c r="LFQ2" i="7"/>
  <c r="LFR2" i="7"/>
  <c r="LFS2" i="7"/>
  <c r="LFT2" i="7"/>
  <c r="LFU2" i="7"/>
  <c r="LFV2" i="7"/>
  <c r="LFW2" i="7"/>
  <c r="LFX2" i="7"/>
  <c r="LFY2" i="7"/>
  <c r="LFZ2" i="7"/>
  <c r="LGA2" i="7"/>
  <c r="LGB2" i="7"/>
  <c r="LGC2" i="7"/>
  <c r="LGD2" i="7"/>
  <c r="LGE2" i="7"/>
  <c r="LGF2" i="7"/>
  <c r="LGG2" i="7"/>
  <c r="LGH2" i="7"/>
  <c r="LGI2" i="7"/>
  <c r="LGJ2" i="7"/>
  <c r="LGK2" i="7"/>
  <c r="LGL2" i="7"/>
  <c r="LGM2" i="7"/>
  <c r="LGN2" i="7"/>
  <c r="LGO2" i="7"/>
  <c r="LGP2" i="7"/>
  <c r="LGQ2" i="7"/>
  <c r="LGR2" i="7"/>
  <c r="LGS2" i="7"/>
  <c r="LGT2" i="7"/>
  <c r="LGU2" i="7"/>
  <c r="LGV2" i="7"/>
  <c r="LGW2" i="7"/>
  <c r="LGX2" i="7"/>
  <c r="LGY2" i="7"/>
  <c r="LGZ2" i="7"/>
  <c r="LHA2" i="7"/>
  <c r="LHB2" i="7"/>
  <c r="LHC2" i="7"/>
  <c r="LHD2" i="7"/>
  <c r="LHE2" i="7"/>
  <c r="LHF2" i="7"/>
  <c r="LHG2" i="7"/>
  <c r="LHH2" i="7"/>
  <c r="LHI2" i="7"/>
  <c r="LHJ2" i="7"/>
  <c r="LHK2" i="7"/>
  <c r="LHL2" i="7"/>
  <c r="LHM2" i="7"/>
  <c r="LHN2" i="7"/>
  <c r="LHO2" i="7"/>
  <c r="LHP2" i="7"/>
  <c r="LHQ2" i="7"/>
  <c r="LHR2" i="7"/>
  <c r="LHS2" i="7"/>
  <c r="LHT2" i="7"/>
  <c r="LHU2" i="7"/>
  <c r="LHV2" i="7"/>
  <c r="LHW2" i="7"/>
  <c r="LHX2" i="7"/>
  <c r="LHY2" i="7"/>
  <c r="LHZ2" i="7"/>
  <c r="LIA2" i="7"/>
  <c r="LIB2" i="7"/>
  <c r="LIC2" i="7"/>
  <c r="LID2" i="7"/>
  <c r="LIE2" i="7"/>
  <c r="LIF2" i="7"/>
  <c r="LIG2" i="7"/>
  <c r="LIH2" i="7"/>
  <c r="LII2" i="7"/>
  <c r="LIJ2" i="7"/>
  <c r="LIK2" i="7"/>
  <c r="LIL2" i="7"/>
  <c r="LIM2" i="7"/>
  <c r="LIN2" i="7"/>
  <c r="LIO2" i="7"/>
  <c r="LIP2" i="7"/>
  <c r="LIQ2" i="7"/>
  <c r="LIR2" i="7"/>
  <c r="LIS2" i="7"/>
  <c r="LIT2" i="7"/>
  <c r="LIU2" i="7"/>
  <c r="LIV2" i="7"/>
  <c r="LIW2" i="7"/>
  <c r="LIX2" i="7"/>
  <c r="LIY2" i="7"/>
  <c r="LIZ2" i="7"/>
  <c r="LJA2" i="7"/>
  <c r="LJB2" i="7"/>
  <c r="LJC2" i="7"/>
  <c r="LJD2" i="7"/>
  <c r="LJE2" i="7"/>
  <c r="LJF2" i="7"/>
  <c r="LJG2" i="7"/>
  <c r="LJH2" i="7"/>
  <c r="LJI2" i="7"/>
  <c r="LJJ2" i="7"/>
  <c r="LJK2" i="7"/>
  <c r="LJL2" i="7"/>
  <c r="LJM2" i="7"/>
  <c r="LJN2" i="7"/>
  <c r="LJO2" i="7"/>
  <c r="LJP2" i="7"/>
  <c r="LJQ2" i="7"/>
  <c r="LJR2" i="7"/>
  <c r="LJS2" i="7"/>
  <c r="LJT2" i="7"/>
  <c r="LJU2" i="7"/>
  <c r="LJV2" i="7"/>
  <c r="LJW2" i="7"/>
  <c r="LJX2" i="7"/>
  <c r="LJY2" i="7"/>
  <c r="LJZ2" i="7"/>
  <c r="LKA2" i="7"/>
  <c r="LKB2" i="7"/>
  <c r="LKC2" i="7"/>
  <c r="LKD2" i="7"/>
  <c r="LKE2" i="7"/>
  <c r="LKF2" i="7"/>
  <c r="LKG2" i="7"/>
  <c r="LKH2" i="7"/>
  <c r="LKI2" i="7"/>
  <c r="LKJ2" i="7"/>
  <c r="LKK2" i="7"/>
  <c r="LKL2" i="7"/>
  <c r="LKM2" i="7"/>
  <c r="LKN2" i="7"/>
  <c r="LKO2" i="7"/>
  <c r="LKP2" i="7"/>
  <c r="LKQ2" i="7"/>
  <c r="LKR2" i="7"/>
  <c r="LKS2" i="7"/>
  <c r="LKT2" i="7"/>
  <c r="LKU2" i="7"/>
  <c r="LKV2" i="7"/>
  <c r="LKW2" i="7"/>
  <c r="LKX2" i="7"/>
  <c r="LKY2" i="7"/>
  <c r="LKZ2" i="7"/>
  <c r="LLA2" i="7"/>
  <c r="LLB2" i="7"/>
  <c r="LLC2" i="7"/>
  <c r="LLD2" i="7"/>
  <c r="LLE2" i="7"/>
  <c r="LLF2" i="7"/>
  <c r="LLG2" i="7"/>
  <c r="LLH2" i="7"/>
  <c r="LLI2" i="7"/>
  <c r="LLJ2" i="7"/>
  <c r="LLK2" i="7"/>
  <c r="LLL2" i="7"/>
  <c r="LLM2" i="7"/>
  <c r="LLN2" i="7"/>
  <c r="LLO2" i="7"/>
  <c r="LLP2" i="7"/>
  <c r="LLQ2" i="7"/>
  <c r="LLR2" i="7"/>
  <c r="LLS2" i="7"/>
  <c r="LLT2" i="7"/>
  <c r="LLU2" i="7"/>
  <c r="LLV2" i="7"/>
  <c r="LLW2" i="7"/>
  <c r="LLX2" i="7"/>
  <c r="LLY2" i="7"/>
  <c r="LLZ2" i="7"/>
  <c r="LMA2" i="7"/>
  <c r="LMB2" i="7"/>
  <c r="LMC2" i="7"/>
  <c r="LMD2" i="7"/>
  <c r="LME2" i="7"/>
  <c r="LMF2" i="7"/>
  <c r="LMG2" i="7"/>
  <c r="LMH2" i="7"/>
  <c r="LMI2" i="7"/>
  <c r="LMJ2" i="7"/>
  <c r="LMK2" i="7"/>
  <c r="LML2" i="7"/>
  <c r="LMM2" i="7"/>
  <c r="LMN2" i="7"/>
  <c r="LMO2" i="7"/>
  <c r="LMP2" i="7"/>
  <c r="LMQ2" i="7"/>
  <c r="LMR2" i="7"/>
  <c r="LMS2" i="7"/>
  <c r="LMT2" i="7"/>
  <c r="LMU2" i="7"/>
  <c r="LMV2" i="7"/>
  <c r="LMW2" i="7"/>
  <c r="LMX2" i="7"/>
  <c r="LMY2" i="7"/>
  <c r="LMZ2" i="7"/>
  <c r="LNA2" i="7"/>
  <c r="LNB2" i="7"/>
  <c r="LNC2" i="7"/>
  <c r="LND2" i="7"/>
  <c r="LNE2" i="7"/>
  <c r="LNF2" i="7"/>
  <c r="LNG2" i="7"/>
  <c r="LNH2" i="7"/>
  <c r="LNI2" i="7"/>
  <c r="LNJ2" i="7"/>
  <c r="LNK2" i="7"/>
  <c r="LNL2" i="7"/>
  <c r="LNM2" i="7"/>
  <c r="LNN2" i="7"/>
  <c r="LNO2" i="7"/>
  <c r="LNP2" i="7"/>
  <c r="LNQ2" i="7"/>
  <c r="LNR2" i="7"/>
  <c r="LNS2" i="7"/>
  <c r="LNT2" i="7"/>
  <c r="LNU2" i="7"/>
  <c r="LNV2" i="7"/>
  <c r="LNW2" i="7"/>
  <c r="LNX2" i="7"/>
  <c r="LNY2" i="7"/>
  <c r="LNZ2" i="7"/>
  <c r="LOA2" i="7"/>
  <c r="LOB2" i="7"/>
  <c r="LOC2" i="7"/>
  <c r="LOD2" i="7"/>
  <c r="LOE2" i="7"/>
  <c r="LOF2" i="7"/>
  <c r="LOG2" i="7"/>
  <c r="LOH2" i="7"/>
  <c r="LOI2" i="7"/>
  <c r="LOJ2" i="7"/>
  <c r="LOK2" i="7"/>
  <c r="LOL2" i="7"/>
  <c r="LOM2" i="7"/>
  <c r="LON2" i="7"/>
  <c r="LOO2" i="7"/>
  <c r="LOP2" i="7"/>
  <c r="LOQ2" i="7"/>
  <c r="LOR2" i="7"/>
  <c r="LOS2" i="7"/>
  <c r="LOT2" i="7"/>
  <c r="LOU2" i="7"/>
  <c r="LOV2" i="7"/>
  <c r="LOW2" i="7"/>
  <c r="LOX2" i="7"/>
  <c r="LOY2" i="7"/>
  <c r="LOZ2" i="7"/>
  <c r="LPA2" i="7"/>
  <c r="LPB2" i="7"/>
  <c r="LPC2" i="7"/>
  <c r="LPD2" i="7"/>
  <c r="LPE2" i="7"/>
  <c r="LPF2" i="7"/>
  <c r="LPG2" i="7"/>
  <c r="LPH2" i="7"/>
  <c r="LPI2" i="7"/>
  <c r="LPJ2" i="7"/>
  <c r="LPK2" i="7"/>
  <c r="LPL2" i="7"/>
  <c r="LPM2" i="7"/>
  <c r="LPN2" i="7"/>
  <c r="LPO2" i="7"/>
  <c r="LPP2" i="7"/>
  <c r="LPQ2" i="7"/>
  <c r="LPR2" i="7"/>
  <c r="LPS2" i="7"/>
  <c r="LPT2" i="7"/>
  <c r="LPU2" i="7"/>
  <c r="LPV2" i="7"/>
  <c r="LPW2" i="7"/>
  <c r="LPX2" i="7"/>
  <c r="LPY2" i="7"/>
  <c r="LPZ2" i="7"/>
  <c r="LQA2" i="7"/>
  <c r="LQB2" i="7"/>
  <c r="LQC2" i="7"/>
  <c r="LQD2" i="7"/>
  <c r="LQE2" i="7"/>
  <c r="LQF2" i="7"/>
  <c r="LQG2" i="7"/>
  <c r="LQH2" i="7"/>
  <c r="LQI2" i="7"/>
  <c r="LQJ2" i="7"/>
  <c r="LQK2" i="7"/>
  <c r="LQL2" i="7"/>
  <c r="LQM2" i="7"/>
  <c r="LQN2" i="7"/>
  <c r="LQO2" i="7"/>
  <c r="LQP2" i="7"/>
  <c r="LQQ2" i="7"/>
  <c r="LQR2" i="7"/>
  <c r="LQS2" i="7"/>
  <c r="LQT2" i="7"/>
  <c r="LQU2" i="7"/>
  <c r="LQV2" i="7"/>
  <c r="LQW2" i="7"/>
  <c r="LQX2" i="7"/>
  <c r="LQY2" i="7"/>
  <c r="LQZ2" i="7"/>
  <c r="LRA2" i="7"/>
  <c r="LRB2" i="7"/>
  <c r="LRC2" i="7"/>
  <c r="LRD2" i="7"/>
  <c r="LRE2" i="7"/>
  <c r="LRF2" i="7"/>
  <c r="LRG2" i="7"/>
  <c r="LRH2" i="7"/>
  <c r="LRI2" i="7"/>
  <c r="LRJ2" i="7"/>
  <c r="LRK2" i="7"/>
  <c r="LRL2" i="7"/>
  <c r="LRM2" i="7"/>
  <c r="LRN2" i="7"/>
  <c r="LRO2" i="7"/>
  <c r="LRP2" i="7"/>
  <c r="LRQ2" i="7"/>
  <c r="LRR2" i="7"/>
  <c r="LRS2" i="7"/>
  <c r="LRT2" i="7"/>
  <c r="LRU2" i="7"/>
  <c r="LRV2" i="7"/>
  <c r="LRW2" i="7"/>
  <c r="LRX2" i="7"/>
  <c r="LRY2" i="7"/>
  <c r="LRZ2" i="7"/>
  <c r="LSA2" i="7"/>
  <c r="LSB2" i="7"/>
  <c r="LSC2" i="7"/>
  <c r="LSD2" i="7"/>
  <c r="LSE2" i="7"/>
  <c r="LSF2" i="7"/>
  <c r="LSG2" i="7"/>
  <c r="LSH2" i="7"/>
  <c r="LSI2" i="7"/>
  <c r="LSJ2" i="7"/>
  <c r="LSK2" i="7"/>
  <c r="LSL2" i="7"/>
  <c r="LSM2" i="7"/>
  <c r="LSN2" i="7"/>
  <c r="LSO2" i="7"/>
  <c r="LSP2" i="7"/>
  <c r="LSQ2" i="7"/>
  <c r="LSR2" i="7"/>
  <c r="LSS2" i="7"/>
  <c r="LST2" i="7"/>
  <c r="LSU2" i="7"/>
  <c r="LSV2" i="7"/>
  <c r="LSW2" i="7"/>
  <c r="LSX2" i="7"/>
  <c r="LSY2" i="7"/>
  <c r="LSZ2" i="7"/>
  <c r="LTA2" i="7"/>
  <c r="LTB2" i="7"/>
  <c r="LTC2" i="7"/>
  <c r="LTD2" i="7"/>
  <c r="LTE2" i="7"/>
  <c r="LTF2" i="7"/>
  <c r="LTG2" i="7"/>
  <c r="LTH2" i="7"/>
  <c r="LTI2" i="7"/>
  <c r="LTJ2" i="7"/>
  <c r="LTK2" i="7"/>
  <c r="LTL2" i="7"/>
  <c r="LTM2" i="7"/>
  <c r="LTN2" i="7"/>
  <c r="LTO2" i="7"/>
  <c r="LTP2" i="7"/>
  <c r="LTQ2" i="7"/>
  <c r="LTR2" i="7"/>
  <c r="LTS2" i="7"/>
  <c r="LTT2" i="7"/>
  <c r="LTU2" i="7"/>
  <c r="LTV2" i="7"/>
  <c r="LTW2" i="7"/>
  <c r="LTX2" i="7"/>
  <c r="LTY2" i="7"/>
  <c r="LTZ2" i="7"/>
  <c r="LUA2" i="7"/>
  <c r="LUB2" i="7"/>
  <c r="LUC2" i="7"/>
  <c r="LUD2" i="7"/>
  <c r="LUE2" i="7"/>
  <c r="LUF2" i="7"/>
  <c r="LUG2" i="7"/>
  <c r="LUH2" i="7"/>
  <c r="LUI2" i="7"/>
  <c r="LUJ2" i="7"/>
  <c r="LUK2" i="7"/>
  <c r="LUL2" i="7"/>
  <c r="LUM2" i="7"/>
  <c r="LUN2" i="7"/>
  <c r="LUO2" i="7"/>
  <c r="LUP2" i="7"/>
  <c r="LUQ2" i="7"/>
  <c r="LUR2" i="7"/>
  <c r="LUS2" i="7"/>
  <c r="LUT2" i="7"/>
  <c r="LUU2" i="7"/>
  <c r="LUV2" i="7"/>
  <c r="LUW2" i="7"/>
  <c r="LUX2" i="7"/>
  <c r="LUY2" i="7"/>
  <c r="LUZ2" i="7"/>
  <c r="LVA2" i="7"/>
  <c r="LVB2" i="7"/>
  <c r="LVC2" i="7"/>
  <c r="LVD2" i="7"/>
  <c r="LVE2" i="7"/>
  <c r="LVF2" i="7"/>
  <c r="LVG2" i="7"/>
  <c r="LVH2" i="7"/>
  <c r="LVI2" i="7"/>
  <c r="LVJ2" i="7"/>
  <c r="LVK2" i="7"/>
  <c r="LVL2" i="7"/>
  <c r="LVM2" i="7"/>
  <c r="LVN2" i="7"/>
  <c r="LVO2" i="7"/>
  <c r="LVP2" i="7"/>
  <c r="LVQ2" i="7"/>
  <c r="LVR2" i="7"/>
  <c r="LVS2" i="7"/>
  <c r="LVT2" i="7"/>
  <c r="LVU2" i="7"/>
  <c r="LVV2" i="7"/>
  <c r="LVW2" i="7"/>
  <c r="LVX2" i="7"/>
  <c r="LVY2" i="7"/>
  <c r="LVZ2" i="7"/>
  <c r="LWA2" i="7"/>
  <c r="LWB2" i="7"/>
  <c r="LWC2" i="7"/>
  <c r="LWD2" i="7"/>
  <c r="LWE2" i="7"/>
  <c r="LWF2" i="7"/>
  <c r="LWG2" i="7"/>
  <c r="LWH2" i="7"/>
  <c r="LWI2" i="7"/>
  <c r="LWJ2" i="7"/>
  <c r="LWK2" i="7"/>
  <c r="LWL2" i="7"/>
  <c r="LWM2" i="7"/>
  <c r="LWN2" i="7"/>
  <c r="LWO2" i="7"/>
  <c r="LWP2" i="7"/>
  <c r="LWQ2" i="7"/>
  <c r="LWR2" i="7"/>
  <c r="LWS2" i="7"/>
  <c r="LWT2" i="7"/>
  <c r="LWU2" i="7"/>
  <c r="LWV2" i="7"/>
  <c r="LWW2" i="7"/>
  <c r="LWX2" i="7"/>
  <c r="LWY2" i="7"/>
  <c r="LWZ2" i="7"/>
  <c r="LXA2" i="7"/>
  <c r="LXB2" i="7"/>
  <c r="LXC2" i="7"/>
  <c r="LXD2" i="7"/>
  <c r="LXE2" i="7"/>
  <c r="LXF2" i="7"/>
  <c r="LXG2" i="7"/>
  <c r="LXH2" i="7"/>
  <c r="LXI2" i="7"/>
  <c r="LXJ2" i="7"/>
  <c r="LXK2" i="7"/>
  <c r="LXL2" i="7"/>
  <c r="LXM2" i="7"/>
  <c r="LXN2" i="7"/>
  <c r="LXO2" i="7"/>
  <c r="LXP2" i="7"/>
  <c r="LXQ2" i="7"/>
  <c r="LXR2" i="7"/>
  <c r="LXS2" i="7"/>
  <c r="LXT2" i="7"/>
  <c r="LXU2" i="7"/>
  <c r="LXV2" i="7"/>
  <c r="LXW2" i="7"/>
  <c r="LXX2" i="7"/>
  <c r="LXY2" i="7"/>
  <c r="LXZ2" i="7"/>
  <c r="LYA2" i="7"/>
  <c r="LYB2" i="7"/>
  <c r="LYC2" i="7"/>
  <c r="LYD2" i="7"/>
  <c r="LYE2" i="7"/>
  <c r="LYF2" i="7"/>
  <c r="LYG2" i="7"/>
  <c r="LYH2" i="7"/>
  <c r="LYI2" i="7"/>
  <c r="LYJ2" i="7"/>
  <c r="LYK2" i="7"/>
  <c r="LYL2" i="7"/>
  <c r="LYM2" i="7"/>
  <c r="LYN2" i="7"/>
  <c r="LYO2" i="7"/>
  <c r="LYP2" i="7"/>
  <c r="LYQ2" i="7"/>
  <c r="LYR2" i="7"/>
  <c r="LYS2" i="7"/>
  <c r="LYT2" i="7"/>
  <c r="LYU2" i="7"/>
  <c r="LYV2" i="7"/>
  <c r="LYW2" i="7"/>
  <c r="LYX2" i="7"/>
  <c r="LYY2" i="7"/>
  <c r="LYZ2" i="7"/>
  <c r="LZA2" i="7"/>
  <c r="LZB2" i="7"/>
  <c r="LZC2" i="7"/>
  <c r="LZD2" i="7"/>
  <c r="LZE2" i="7"/>
  <c r="LZF2" i="7"/>
  <c r="LZG2" i="7"/>
  <c r="LZH2" i="7"/>
  <c r="LZI2" i="7"/>
  <c r="LZJ2" i="7"/>
  <c r="LZK2" i="7"/>
  <c r="LZL2" i="7"/>
  <c r="LZM2" i="7"/>
  <c r="LZN2" i="7"/>
  <c r="LZO2" i="7"/>
  <c r="LZP2" i="7"/>
  <c r="LZQ2" i="7"/>
  <c r="LZR2" i="7"/>
  <c r="LZS2" i="7"/>
  <c r="LZT2" i="7"/>
  <c r="LZU2" i="7"/>
  <c r="LZV2" i="7"/>
  <c r="LZW2" i="7"/>
  <c r="LZX2" i="7"/>
  <c r="LZY2" i="7"/>
  <c r="LZZ2" i="7"/>
  <c r="MAA2" i="7"/>
  <c r="MAB2" i="7"/>
  <c r="MAC2" i="7"/>
  <c r="MAD2" i="7"/>
  <c r="MAE2" i="7"/>
  <c r="MAF2" i="7"/>
  <c r="MAG2" i="7"/>
  <c r="MAH2" i="7"/>
  <c r="MAI2" i="7"/>
  <c r="MAJ2" i="7"/>
  <c r="MAK2" i="7"/>
  <c r="MAL2" i="7"/>
  <c r="MAM2" i="7"/>
  <c r="MAN2" i="7"/>
  <c r="MAO2" i="7"/>
  <c r="MAP2" i="7"/>
  <c r="MAQ2" i="7"/>
  <c r="MAR2" i="7"/>
  <c r="MAS2" i="7"/>
  <c r="MAT2" i="7"/>
  <c r="MAU2" i="7"/>
  <c r="MAV2" i="7"/>
  <c r="MAW2" i="7"/>
  <c r="MAX2" i="7"/>
  <c r="MAY2" i="7"/>
  <c r="MAZ2" i="7"/>
  <c r="MBA2" i="7"/>
  <c r="MBB2" i="7"/>
  <c r="MBC2" i="7"/>
  <c r="MBD2" i="7"/>
  <c r="MBE2" i="7"/>
  <c r="MBF2" i="7"/>
  <c r="MBG2" i="7"/>
  <c r="MBH2" i="7"/>
  <c r="MBI2" i="7"/>
  <c r="MBJ2" i="7"/>
  <c r="MBK2" i="7"/>
  <c r="MBL2" i="7"/>
  <c r="MBM2" i="7"/>
  <c r="MBN2" i="7"/>
  <c r="MBO2" i="7"/>
  <c r="MBP2" i="7"/>
  <c r="MBQ2" i="7"/>
  <c r="MBR2" i="7"/>
  <c r="MBS2" i="7"/>
  <c r="MBT2" i="7"/>
  <c r="MBU2" i="7"/>
  <c r="MBV2" i="7"/>
  <c r="MBW2" i="7"/>
  <c r="MBX2" i="7"/>
  <c r="MBY2" i="7"/>
  <c r="MBZ2" i="7"/>
  <c r="MCA2" i="7"/>
  <c r="MCB2" i="7"/>
  <c r="MCC2" i="7"/>
  <c r="MCD2" i="7"/>
  <c r="MCE2" i="7"/>
  <c r="MCF2" i="7"/>
  <c r="MCG2" i="7"/>
  <c r="MCH2" i="7"/>
  <c r="MCI2" i="7"/>
  <c r="MCJ2" i="7"/>
  <c r="MCK2" i="7"/>
  <c r="MCL2" i="7"/>
  <c r="MCM2" i="7"/>
  <c r="MCN2" i="7"/>
  <c r="MCO2" i="7"/>
  <c r="MCP2" i="7"/>
  <c r="MCQ2" i="7"/>
  <c r="MCR2" i="7"/>
  <c r="MCS2" i="7"/>
  <c r="MCT2" i="7"/>
  <c r="MCU2" i="7"/>
  <c r="MCV2" i="7"/>
  <c r="MCW2" i="7"/>
  <c r="MCX2" i="7"/>
  <c r="MCY2" i="7"/>
  <c r="MCZ2" i="7"/>
  <c r="MDA2" i="7"/>
  <c r="MDB2" i="7"/>
  <c r="MDC2" i="7"/>
  <c r="MDD2" i="7"/>
  <c r="MDE2" i="7"/>
  <c r="MDF2" i="7"/>
  <c r="MDG2" i="7"/>
  <c r="MDH2" i="7"/>
  <c r="MDI2" i="7"/>
  <c r="MDJ2" i="7"/>
  <c r="MDK2" i="7"/>
  <c r="MDL2" i="7"/>
  <c r="MDM2" i="7"/>
  <c r="MDN2" i="7"/>
  <c r="MDO2" i="7"/>
  <c r="MDP2" i="7"/>
  <c r="MDQ2" i="7"/>
  <c r="MDR2" i="7"/>
  <c r="MDS2" i="7"/>
  <c r="MDT2" i="7"/>
  <c r="MDU2" i="7"/>
  <c r="MDV2" i="7"/>
  <c r="MDW2" i="7"/>
  <c r="MDX2" i="7"/>
  <c r="MDY2" i="7"/>
  <c r="MDZ2" i="7"/>
  <c r="MEA2" i="7"/>
  <c r="MEB2" i="7"/>
  <c r="MEC2" i="7"/>
  <c r="MED2" i="7"/>
  <c r="MEE2" i="7"/>
  <c r="MEF2" i="7"/>
  <c r="MEG2" i="7"/>
  <c r="MEH2" i="7"/>
  <c r="MEI2" i="7"/>
  <c r="MEJ2" i="7"/>
  <c r="MEK2" i="7"/>
  <c r="MEL2" i="7"/>
  <c r="MEM2" i="7"/>
  <c r="MEN2" i="7"/>
  <c r="MEO2" i="7"/>
  <c r="MEP2" i="7"/>
  <c r="MEQ2" i="7"/>
  <c r="MER2" i="7"/>
  <c r="MES2" i="7"/>
  <c r="MET2" i="7"/>
  <c r="MEU2" i="7"/>
  <c r="MEV2" i="7"/>
  <c r="MEW2" i="7"/>
  <c r="MEX2" i="7"/>
  <c r="MEY2" i="7"/>
  <c r="MEZ2" i="7"/>
  <c r="MFA2" i="7"/>
  <c r="MFB2" i="7"/>
  <c r="MFC2" i="7"/>
  <c r="MFD2" i="7"/>
  <c r="MFE2" i="7"/>
  <c r="MFF2" i="7"/>
  <c r="MFG2" i="7"/>
  <c r="MFH2" i="7"/>
  <c r="MFI2" i="7"/>
  <c r="MFJ2" i="7"/>
  <c r="MFK2" i="7"/>
  <c r="MFL2" i="7"/>
  <c r="MFM2" i="7"/>
  <c r="MFN2" i="7"/>
  <c r="MFO2" i="7"/>
  <c r="MFP2" i="7"/>
  <c r="MFQ2" i="7"/>
  <c r="MFR2" i="7"/>
  <c r="MFS2" i="7"/>
  <c r="MFT2" i="7"/>
  <c r="MFU2" i="7"/>
  <c r="MFV2" i="7"/>
  <c r="MFW2" i="7"/>
  <c r="MFX2" i="7"/>
  <c r="MFY2" i="7"/>
  <c r="MFZ2" i="7"/>
  <c r="MGA2" i="7"/>
  <c r="MGB2" i="7"/>
  <c r="MGC2" i="7"/>
  <c r="MGD2" i="7"/>
  <c r="MGE2" i="7"/>
  <c r="MGF2" i="7"/>
  <c r="MGG2" i="7"/>
  <c r="MGH2" i="7"/>
  <c r="MGI2" i="7"/>
  <c r="MGJ2" i="7"/>
  <c r="MGK2" i="7"/>
  <c r="MGL2" i="7"/>
  <c r="MGM2" i="7"/>
  <c r="MGN2" i="7"/>
  <c r="MGO2" i="7"/>
  <c r="MGP2" i="7"/>
  <c r="MGQ2" i="7"/>
  <c r="MGR2" i="7"/>
  <c r="MGS2" i="7"/>
  <c r="MGT2" i="7"/>
  <c r="MGU2" i="7"/>
  <c r="MGV2" i="7"/>
  <c r="MGW2" i="7"/>
  <c r="MGX2" i="7"/>
  <c r="MGY2" i="7"/>
  <c r="MGZ2" i="7"/>
  <c r="MHA2" i="7"/>
  <c r="MHB2" i="7"/>
  <c r="MHC2" i="7"/>
  <c r="MHD2" i="7"/>
  <c r="MHE2" i="7"/>
  <c r="MHF2" i="7"/>
  <c r="MHG2" i="7"/>
  <c r="MHH2" i="7"/>
  <c r="MHI2" i="7"/>
  <c r="MHJ2" i="7"/>
  <c r="MHK2" i="7"/>
  <c r="MHL2" i="7"/>
  <c r="MHM2" i="7"/>
  <c r="MHN2" i="7"/>
  <c r="MHO2" i="7"/>
  <c r="MHP2" i="7"/>
  <c r="MHQ2" i="7"/>
  <c r="MHR2" i="7"/>
  <c r="MHS2" i="7"/>
  <c r="MHT2" i="7"/>
  <c r="MHU2" i="7"/>
  <c r="MHV2" i="7"/>
  <c r="MHW2" i="7"/>
  <c r="MHX2" i="7"/>
  <c r="MHY2" i="7"/>
  <c r="MHZ2" i="7"/>
  <c r="MIA2" i="7"/>
  <c r="MIB2" i="7"/>
  <c r="MIC2" i="7"/>
  <c r="MID2" i="7"/>
  <c r="MIE2" i="7"/>
  <c r="MIF2" i="7"/>
  <c r="MIG2" i="7"/>
  <c r="MIH2" i="7"/>
  <c r="MII2" i="7"/>
  <c r="MIJ2" i="7"/>
  <c r="MIK2" i="7"/>
  <c r="MIL2" i="7"/>
  <c r="MIM2" i="7"/>
  <c r="MIN2" i="7"/>
  <c r="MIO2" i="7"/>
  <c r="MIP2" i="7"/>
  <c r="MIQ2" i="7"/>
  <c r="MIR2" i="7"/>
  <c r="MIS2" i="7"/>
  <c r="MIT2" i="7"/>
  <c r="MIU2" i="7"/>
  <c r="MIV2" i="7"/>
  <c r="MIW2" i="7"/>
  <c r="MIX2" i="7"/>
  <c r="MIY2" i="7"/>
  <c r="MIZ2" i="7"/>
  <c r="MJA2" i="7"/>
  <c r="MJB2" i="7"/>
  <c r="MJC2" i="7"/>
  <c r="MJD2" i="7"/>
  <c r="MJE2" i="7"/>
  <c r="MJF2" i="7"/>
  <c r="MJG2" i="7"/>
  <c r="MJH2" i="7"/>
  <c r="MJI2" i="7"/>
  <c r="MJJ2" i="7"/>
  <c r="MJK2" i="7"/>
  <c r="MJL2" i="7"/>
  <c r="MJM2" i="7"/>
  <c r="MJN2" i="7"/>
  <c r="MJO2" i="7"/>
  <c r="MJP2" i="7"/>
  <c r="MJQ2" i="7"/>
  <c r="MJR2" i="7"/>
  <c r="MJS2" i="7"/>
  <c r="MJT2" i="7"/>
  <c r="MJU2" i="7"/>
  <c r="MJV2" i="7"/>
  <c r="MJW2" i="7"/>
  <c r="MJX2" i="7"/>
  <c r="MJY2" i="7"/>
  <c r="MJZ2" i="7"/>
  <c r="MKA2" i="7"/>
  <c r="MKB2" i="7"/>
  <c r="MKC2" i="7"/>
  <c r="MKD2" i="7"/>
  <c r="MKE2" i="7"/>
  <c r="MKF2" i="7"/>
  <c r="MKG2" i="7"/>
  <c r="MKH2" i="7"/>
  <c r="MKI2" i="7"/>
  <c r="MKJ2" i="7"/>
  <c r="MKK2" i="7"/>
  <c r="MKL2" i="7"/>
  <c r="MKM2" i="7"/>
  <c r="MKN2" i="7"/>
  <c r="MKO2" i="7"/>
  <c r="MKP2" i="7"/>
  <c r="MKQ2" i="7"/>
  <c r="MKR2" i="7"/>
  <c r="MKS2" i="7"/>
  <c r="MKT2" i="7"/>
  <c r="MKU2" i="7"/>
  <c r="MKV2" i="7"/>
  <c r="MKW2" i="7"/>
  <c r="MKX2" i="7"/>
  <c r="MKY2" i="7"/>
  <c r="MKZ2" i="7"/>
  <c r="MLA2" i="7"/>
  <c r="MLB2" i="7"/>
  <c r="MLC2" i="7"/>
  <c r="MLD2" i="7"/>
  <c r="MLE2" i="7"/>
  <c r="MLF2" i="7"/>
  <c r="MLG2" i="7"/>
  <c r="MLH2" i="7"/>
  <c r="MLI2" i="7"/>
  <c r="MLJ2" i="7"/>
  <c r="MLK2" i="7"/>
  <c r="MLL2" i="7"/>
  <c r="MLM2" i="7"/>
  <c r="MLN2" i="7"/>
  <c r="MLO2" i="7"/>
  <c r="MLP2" i="7"/>
  <c r="MLQ2" i="7"/>
  <c r="MLR2" i="7"/>
  <c r="MLS2" i="7"/>
  <c r="MLT2" i="7"/>
  <c r="MLU2" i="7"/>
  <c r="MLV2" i="7"/>
  <c r="MLW2" i="7"/>
  <c r="MLX2" i="7"/>
  <c r="MLY2" i="7"/>
  <c r="MLZ2" i="7"/>
  <c r="MMA2" i="7"/>
  <c r="MMB2" i="7"/>
  <c r="MMC2" i="7"/>
  <c r="MMD2" i="7"/>
  <c r="MME2" i="7"/>
  <c r="MMF2" i="7"/>
  <c r="MMG2" i="7"/>
  <c r="MMH2" i="7"/>
  <c r="MMI2" i="7"/>
  <c r="MMJ2" i="7"/>
  <c r="MMK2" i="7"/>
  <c r="MML2" i="7"/>
  <c r="MMM2" i="7"/>
  <c r="MMN2" i="7"/>
  <c r="MMO2" i="7"/>
  <c r="MMP2" i="7"/>
  <c r="MMQ2" i="7"/>
  <c r="MMR2" i="7"/>
  <c r="MMS2" i="7"/>
  <c r="MMT2" i="7"/>
  <c r="MMU2" i="7"/>
  <c r="MMV2" i="7"/>
  <c r="MMW2" i="7"/>
  <c r="MMX2" i="7"/>
  <c r="MMY2" i="7"/>
  <c r="MMZ2" i="7"/>
  <c r="MNA2" i="7"/>
  <c r="MNB2" i="7"/>
  <c r="MNC2" i="7"/>
  <c r="MND2" i="7"/>
  <c r="MNE2" i="7"/>
  <c r="MNF2" i="7"/>
  <c r="MNG2" i="7"/>
  <c r="MNH2" i="7"/>
  <c r="MNI2" i="7"/>
  <c r="MNJ2" i="7"/>
  <c r="MNK2" i="7"/>
  <c r="MNL2" i="7"/>
  <c r="MNM2" i="7"/>
  <c r="MNN2" i="7"/>
  <c r="MNO2" i="7"/>
  <c r="MNP2" i="7"/>
  <c r="MNQ2" i="7"/>
  <c r="MNR2" i="7"/>
  <c r="MNS2" i="7"/>
  <c r="MNT2" i="7"/>
  <c r="MNU2" i="7"/>
  <c r="MNV2" i="7"/>
  <c r="MNW2" i="7"/>
  <c r="MNX2" i="7"/>
  <c r="MNY2" i="7"/>
  <c r="MNZ2" i="7"/>
  <c r="MOA2" i="7"/>
  <c r="MOB2" i="7"/>
  <c r="MOC2" i="7"/>
  <c r="MOD2" i="7"/>
  <c r="MOE2" i="7"/>
  <c r="MOF2" i="7"/>
  <c r="MOG2" i="7"/>
  <c r="MOH2" i="7"/>
  <c r="MOI2" i="7"/>
  <c r="MOJ2" i="7"/>
  <c r="MOK2" i="7"/>
  <c r="MOL2" i="7"/>
  <c r="MOM2" i="7"/>
  <c r="MON2" i="7"/>
  <c r="MOO2" i="7"/>
  <c r="MOP2" i="7"/>
  <c r="MOQ2" i="7"/>
  <c r="MOR2" i="7"/>
  <c r="MOS2" i="7"/>
  <c r="MOT2" i="7"/>
  <c r="MOU2" i="7"/>
  <c r="MOV2" i="7"/>
  <c r="MOW2" i="7"/>
  <c r="MOX2" i="7"/>
  <c r="MOY2" i="7"/>
  <c r="MOZ2" i="7"/>
  <c r="MPA2" i="7"/>
  <c r="MPB2" i="7"/>
  <c r="MPC2" i="7"/>
  <c r="MPD2" i="7"/>
  <c r="MPE2" i="7"/>
  <c r="MPF2" i="7"/>
  <c r="MPG2" i="7"/>
  <c r="MPH2" i="7"/>
  <c r="MPI2" i="7"/>
  <c r="MPJ2" i="7"/>
  <c r="MPK2" i="7"/>
  <c r="MPL2" i="7"/>
  <c r="MPM2" i="7"/>
  <c r="MPN2" i="7"/>
  <c r="MPO2" i="7"/>
  <c r="MPP2" i="7"/>
  <c r="MPQ2" i="7"/>
  <c r="MPR2" i="7"/>
  <c r="MPS2" i="7"/>
  <c r="MPT2" i="7"/>
  <c r="MPU2" i="7"/>
  <c r="MPV2" i="7"/>
  <c r="MPW2" i="7"/>
  <c r="MPX2" i="7"/>
  <c r="MPY2" i="7"/>
  <c r="MPZ2" i="7"/>
  <c r="MQA2" i="7"/>
  <c r="MQB2" i="7"/>
  <c r="MQC2" i="7"/>
  <c r="MQD2" i="7"/>
  <c r="MQE2" i="7"/>
  <c r="MQF2" i="7"/>
  <c r="MQG2" i="7"/>
  <c r="MQH2" i="7"/>
  <c r="MQI2" i="7"/>
  <c r="MQJ2" i="7"/>
  <c r="MQK2" i="7"/>
  <c r="MQL2" i="7"/>
  <c r="MQM2" i="7"/>
  <c r="MQN2" i="7"/>
  <c r="MQO2" i="7"/>
  <c r="MQP2" i="7"/>
  <c r="MQQ2" i="7"/>
  <c r="MQR2" i="7"/>
  <c r="MQS2" i="7"/>
  <c r="MQT2" i="7"/>
  <c r="MQU2" i="7"/>
  <c r="MQV2" i="7"/>
  <c r="MQW2" i="7"/>
  <c r="MQX2" i="7"/>
  <c r="MQY2" i="7"/>
  <c r="MQZ2" i="7"/>
  <c r="MRA2" i="7"/>
  <c r="MRB2" i="7"/>
  <c r="MRC2" i="7"/>
  <c r="MRD2" i="7"/>
  <c r="MRE2" i="7"/>
  <c r="MRF2" i="7"/>
  <c r="MRG2" i="7"/>
  <c r="MRH2" i="7"/>
  <c r="MRI2" i="7"/>
  <c r="MRJ2" i="7"/>
  <c r="MRK2" i="7"/>
  <c r="MRL2" i="7"/>
  <c r="MRM2" i="7"/>
  <c r="MRN2" i="7"/>
  <c r="MRO2" i="7"/>
  <c r="MRP2" i="7"/>
  <c r="MRQ2" i="7"/>
  <c r="MRR2" i="7"/>
  <c r="MRS2" i="7"/>
  <c r="MRT2" i="7"/>
  <c r="MRU2" i="7"/>
  <c r="MRV2" i="7"/>
  <c r="MRW2" i="7"/>
  <c r="MRX2" i="7"/>
  <c r="MRY2" i="7"/>
  <c r="MRZ2" i="7"/>
  <c r="MSA2" i="7"/>
  <c r="MSB2" i="7"/>
  <c r="MSC2" i="7"/>
  <c r="MSD2" i="7"/>
  <c r="MSE2" i="7"/>
  <c r="MSF2" i="7"/>
  <c r="MSG2" i="7"/>
  <c r="MSH2" i="7"/>
  <c r="MSI2" i="7"/>
  <c r="MSJ2" i="7"/>
  <c r="MSK2" i="7"/>
  <c r="MSL2" i="7"/>
  <c r="MSM2" i="7"/>
  <c r="MSN2" i="7"/>
  <c r="MSO2" i="7"/>
  <c r="MSP2" i="7"/>
  <c r="MSQ2" i="7"/>
  <c r="MSR2" i="7"/>
  <c r="MSS2" i="7"/>
  <c r="MST2" i="7"/>
  <c r="MSU2" i="7"/>
  <c r="MSV2" i="7"/>
  <c r="MSW2" i="7"/>
  <c r="MSX2" i="7"/>
  <c r="MSY2" i="7"/>
  <c r="MSZ2" i="7"/>
  <c r="MTA2" i="7"/>
  <c r="MTB2" i="7"/>
  <c r="MTC2" i="7"/>
  <c r="MTD2" i="7"/>
  <c r="MTE2" i="7"/>
  <c r="MTF2" i="7"/>
  <c r="MTG2" i="7"/>
  <c r="MTH2" i="7"/>
  <c r="MTI2" i="7"/>
  <c r="MTJ2" i="7"/>
  <c r="MTK2" i="7"/>
  <c r="MTL2" i="7"/>
  <c r="MTM2" i="7"/>
  <c r="MTN2" i="7"/>
  <c r="MTO2" i="7"/>
  <c r="MTP2" i="7"/>
  <c r="MTQ2" i="7"/>
  <c r="MTR2" i="7"/>
  <c r="MTS2" i="7"/>
  <c r="MTT2" i="7"/>
  <c r="MTU2" i="7"/>
  <c r="MTV2" i="7"/>
  <c r="MTW2" i="7"/>
  <c r="MTX2" i="7"/>
  <c r="MTY2" i="7"/>
  <c r="MTZ2" i="7"/>
  <c r="MUA2" i="7"/>
  <c r="MUB2" i="7"/>
  <c r="MUC2" i="7"/>
  <c r="MUD2" i="7"/>
  <c r="MUE2" i="7"/>
  <c r="MUF2" i="7"/>
  <c r="MUG2" i="7"/>
  <c r="MUH2" i="7"/>
  <c r="MUI2" i="7"/>
  <c r="MUJ2" i="7"/>
  <c r="MUK2" i="7"/>
  <c r="MUL2" i="7"/>
  <c r="MUM2" i="7"/>
  <c r="MUN2" i="7"/>
  <c r="MUO2" i="7"/>
  <c r="MUP2" i="7"/>
  <c r="MUQ2" i="7"/>
  <c r="MUR2" i="7"/>
  <c r="MUS2" i="7"/>
  <c r="MUT2" i="7"/>
  <c r="MUU2" i="7"/>
  <c r="MUV2" i="7"/>
  <c r="MUW2" i="7"/>
  <c r="MUX2" i="7"/>
  <c r="MUY2" i="7"/>
  <c r="MUZ2" i="7"/>
  <c r="MVA2" i="7"/>
  <c r="MVB2" i="7"/>
  <c r="MVC2" i="7"/>
  <c r="MVD2" i="7"/>
  <c r="MVE2" i="7"/>
  <c r="MVF2" i="7"/>
  <c r="MVG2" i="7"/>
  <c r="MVH2" i="7"/>
  <c r="MVI2" i="7"/>
  <c r="MVJ2" i="7"/>
  <c r="MVK2" i="7"/>
  <c r="MVL2" i="7"/>
  <c r="MVM2" i="7"/>
  <c r="MVN2" i="7"/>
  <c r="MVO2" i="7"/>
  <c r="MVP2" i="7"/>
  <c r="MVQ2" i="7"/>
  <c r="MVR2" i="7"/>
  <c r="MVS2" i="7"/>
  <c r="MVT2" i="7"/>
  <c r="MVU2" i="7"/>
  <c r="MVV2" i="7"/>
  <c r="MVW2" i="7"/>
  <c r="MVX2" i="7"/>
  <c r="MVY2" i="7"/>
  <c r="MVZ2" i="7"/>
  <c r="MWA2" i="7"/>
  <c r="MWB2" i="7"/>
  <c r="MWC2" i="7"/>
  <c r="MWD2" i="7"/>
  <c r="MWE2" i="7"/>
  <c r="MWF2" i="7"/>
  <c r="MWG2" i="7"/>
  <c r="MWH2" i="7"/>
  <c r="MWI2" i="7"/>
  <c r="MWJ2" i="7"/>
  <c r="MWK2" i="7"/>
  <c r="MWL2" i="7"/>
  <c r="MWM2" i="7"/>
  <c r="MWN2" i="7"/>
  <c r="MWO2" i="7"/>
  <c r="MWP2" i="7"/>
  <c r="MWQ2" i="7"/>
  <c r="MWR2" i="7"/>
  <c r="MWS2" i="7"/>
  <c r="MWT2" i="7"/>
  <c r="MWU2" i="7"/>
  <c r="MWV2" i="7"/>
  <c r="MWW2" i="7"/>
  <c r="MWX2" i="7"/>
  <c r="MWY2" i="7"/>
  <c r="MWZ2" i="7"/>
  <c r="MXA2" i="7"/>
  <c r="MXB2" i="7"/>
  <c r="MXC2" i="7"/>
  <c r="MXD2" i="7"/>
  <c r="MXE2" i="7"/>
  <c r="MXF2" i="7"/>
  <c r="MXG2" i="7"/>
  <c r="MXH2" i="7"/>
  <c r="MXI2" i="7"/>
  <c r="MXJ2" i="7"/>
  <c r="MXK2" i="7"/>
  <c r="MXL2" i="7"/>
  <c r="MXM2" i="7"/>
  <c r="MXN2" i="7"/>
  <c r="MXO2" i="7"/>
  <c r="MXP2" i="7"/>
  <c r="MXQ2" i="7"/>
  <c r="MXR2" i="7"/>
  <c r="MXS2" i="7"/>
  <c r="MXT2" i="7"/>
  <c r="MXU2" i="7"/>
  <c r="MXV2" i="7"/>
  <c r="MXW2" i="7"/>
  <c r="MXX2" i="7"/>
  <c r="MXY2" i="7"/>
  <c r="MXZ2" i="7"/>
  <c r="MYA2" i="7"/>
  <c r="MYB2" i="7"/>
  <c r="MYC2" i="7"/>
  <c r="MYD2" i="7"/>
  <c r="MYE2" i="7"/>
  <c r="MYF2" i="7"/>
  <c r="MYG2" i="7"/>
  <c r="MYH2" i="7"/>
  <c r="MYI2" i="7"/>
  <c r="MYJ2" i="7"/>
  <c r="MYK2" i="7"/>
  <c r="MYL2" i="7"/>
  <c r="MYM2" i="7"/>
  <c r="MYN2" i="7"/>
  <c r="MYO2" i="7"/>
  <c r="MYP2" i="7"/>
  <c r="MYQ2" i="7"/>
  <c r="MYR2" i="7"/>
  <c r="MYS2" i="7"/>
  <c r="MYT2" i="7"/>
  <c r="MYU2" i="7"/>
  <c r="MYV2" i="7"/>
  <c r="MYW2" i="7"/>
  <c r="MYX2" i="7"/>
  <c r="MYY2" i="7"/>
  <c r="MYZ2" i="7"/>
  <c r="MZA2" i="7"/>
  <c r="MZB2" i="7"/>
  <c r="MZC2" i="7"/>
  <c r="MZD2" i="7"/>
  <c r="MZE2" i="7"/>
  <c r="MZF2" i="7"/>
  <c r="MZG2" i="7"/>
  <c r="MZH2" i="7"/>
  <c r="MZI2" i="7"/>
  <c r="MZJ2" i="7"/>
  <c r="MZK2" i="7"/>
  <c r="MZL2" i="7"/>
  <c r="MZM2" i="7"/>
  <c r="MZN2" i="7"/>
  <c r="MZO2" i="7"/>
  <c r="MZP2" i="7"/>
  <c r="MZQ2" i="7"/>
  <c r="MZR2" i="7"/>
  <c r="MZS2" i="7"/>
  <c r="MZT2" i="7"/>
  <c r="MZU2" i="7"/>
  <c r="MZV2" i="7"/>
  <c r="MZW2" i="7"/>
  <c r="MZX2" i="7"/>
  <c r="MZY2" i="7"/>
  <c r="MZZ2" i="7"/>
  <c r="NAA2" i="7"/>
  <c r="NAB2" i="7"/>
  <c r="NAC2" i="7"/>
  <c r="NAD2" i="7"/>
  <c r="NAE2" i="7"/>
  <c r="NAF2" i="7"/>
  <c r="NAG2" i="7"/>
  <c r="NAH2" i="7"/>
  <c r="NAI2" i="7"/>
  <c r="NAJ2" i="7"/>
  <c r="NAK2" i="7"/>
  <c r="NAL2" i="7"/>
  <c r="NAM2" i="7"/>
  <c r="NAN2" i="7"/>
  <c r="NAO2" i="7"/>
  <c r="NAP2" i="7"/>
  <c r="NAQ2" i="7"/>
  <c r="NAR2" i="7"/>
  <c r="NAS2" i="7"/>
  <c r="NAT2" i="7"/>
  <c r="NAU2" i="7"/>
  <c r="NAV2" i="7"/>
  <c r="NAW2" i="7"/>
  <c r="NAX2" i="7"/>
  <c r="NAY2" i="7"/>
  <c r="NAZ2" i="7"/>
  <c r="NBA2" i="7"/>
  <c r="NBB2" i="7"/>
  <c r="NBC2" i="7"/>
  <c r="NBD2" i="7"/>
  <c r="NBE2" i="7"/>
  <c r="NBF2" i="7"/>
  <c r="NBG2" i="7"/>
  <c r="NBH2" i="7"/>
  <c r="NBI2" i="7"/>
  <c r="NBJ2" i="7"/>
  <c r="NBK2" i="7"/>
  <c r="NBL2" i="7"/>
  <c r="NBM2" i="7"/>
  <c r="NBN2" i="7"/>
  <c r="NBO2" i="7"/>
  <c r="NBP2" i="7"/>
  <c r="NBQ2" i="7"/>
  <c r="NBR2" i="7"/>
  <c r="NBS2" i="7"/>
  <c r="NBT2" i="7"/>
  <c r="NBU2" i="7"/>
  <c r="NBV2" i="7"/>
  <c r="NBW2" i="7"/>
  <c r="NBX2" i="7"/>
  <c r="NBY2" i="7"/>
  <c r="NBZ2" i="7"/>
  <c r="NCA2" i="7"/>
  <c r="NCB2" i="7"/>
  <c r="NCC2" i="7"/>
  <c r="NCD2" i="7"/>
  <c r="NCE2" i="7"/>
  <c r="NCF2" i="7"/>
  <c r="NCG2" i="7"/>
  <c r="NCH2" i="7"/>
  <c r="NCI2" i="7"/>
  <c r="NCJ2" i="7"/>
  <c r="NCK2" i="7"/>
  <c r="NCL2" i="7"/>
  <c r="NCM2" i="7"/>
  <c r="NCN2" i="7"/>
  <c r="NCO2" i="7"/>
  <c r="NCP2" i="7"/>
  <c r="NCQ2" i="7"/>
  <c r="NCR2" i="7"/>
  <c r="NCS2" i="7"/>
  <c r="NCT2" i="7"/>
  <c r="NCU2" i="7"/>
  <c r="NCV2" i="7"/>
  <c r="NCW2" i="7"/>
  <c r="NCX2" i="7"/>
  <c r="NCY2" i="7"/>
  <c r="NCZ2" i="7"/>
  <c r="NDA2" i="7"/>
  <c r="NDB2" i="7"/>
  <c r="NDC2" i="7"/>
  <c r="NDD2" i="7"/>
  <c r="NDE2" i="7"/>
  <c r="NDF2" i="7"/>
  <c r="NDG2" i="7"/>
  <c r="NDH2" i="7"/>
  <c r="NDI2" i="7"/>
  <c r="NDJ2" i="7"/>
  <c r="NDK2" i="7"/>
  <c r="NDL2" i="7"/>
  <c r="NDM2" i="7"/>
  <c r="NDN2" i="7"/>
  <c r="NDO2" i="7"/>
  <c r="NDP2" i="7"/>
  <c r="NDQ2" i="7"/>
  <c r="NDR2" i="7"/>
  <c r="NDS2" i="7"/>
  <c r="NDT2" i="7"/>
  <c r="NDU2" i="7"/>
  <c r="NDV2" i="7"/>
  <c r="NDW2" i="7"/>
  <c r="NDX2" i="7"/>
  <c r="NDY2" i="7"/>
  <c r="NDZ2" i="7"/>
  <c r="NEA2" i="7"/>
  <c r="NEB2" i="7"/>
  <c r="NEC2" i="7"/>
  <c r="NED2" i="7"/>
  <c r="NEE2" i="7"/>
  <c r="NEF2" i="7"/>
  <c r="NEG2" i="7"/>
  <c r="NEH2" i="7"/>
  <c r="NEI2" i="7"/>
  <c r="NEJ2" i="7"/>
  <c r="NEK2" i="7"/>
  <c r="NEL2" i="7"/>
  <c r="NEM2" i="7"/>
  <c r="NEN2" i="7"/>
  <c r="NEO2" i="7"/>
  <c r="NEP2" i="7"/>
  <c r="NEQ2" i="7"/>
  <c r="NER2" i="7"/>
  <c r="NES2" i="7"/>
  <c r="NET2" i="7"/>
  <c r="NEU2" i="7"/>
  <c r="NEV2" i="7"/>
  <c r="NEW2" i="7"/>
  <c r="NEX2" i="7"/>
  <c r="NEY2" i="7"/>
  <c r="NEZ2" i="7"/>
  <c r="NFA2" i="7"/>
  <c r="NFB2" i="7"/>
  <c r="NFC2" i="7"/>
  <c r="NFD2" i="7"/>
  <c r="NFE2" i="7"/>
  <c r="NFF2" i="7"/>
  <c r="NFG2" i="7"/>
  <c r="NFH2" i="7"/>
  <c r="NFI2" i="7"/>
  <c r="NFJ2" i="7"/>
  <c r="NFK2" i="7"/>
  <c r="NFL2" i="7"/>
  <c r="NFM2" i="7"/>
  <c r="NFN2" i="7"/>
  <c r="NFO2" i="7"/>
  <c r="NFP2" i="7"/>
  <c r="NFQ2" i="7"/>
  <c r="NFR2" i="7"/>
  <c r="NFS2" i="7"/>
  <c r="NFT2" i="7"/>
  <c r="NFU2" i="7"/>
  <c r="NFV2" i="7"/>
  <c r="NFW2" i="7"/>
  <c r="NFX2" i="7"/>
  <c r="NFY2" i="7"/>
  <c r="NFZ2" i="7"/>
  <c r="NGA2" i="7"/>
  <c r="NGB2" i="7"/>
  <c r="NGC2" i="7"/>
  <c r="NGD2" i="7"/>
  <c r="NGE2" i="7"/>
  <c r="NGF2" i="7"/>
  <c r="NGG2" i="7"/>
  <c r="NGH2" i="7"/>
  <c r="NGI2" i="7"/>
  <c r="NGJ2" i="7"/>
  <c r="NGK2" i="7"/>
  <c r="NGL2" i="7"/>
  <c r="NGM2" i="7"/>
  <c r="NGN2" i="7"/>
  <c r="NGO2" i="7"/>
  <c r="NGP2" i="7"/>
  <c r="NGQ2" i="7"/>
  <c r="NGR2" i="7"/>
  <c r="NGS2" i="7"/>
  <c r="NGT2" i="7"/>
  <c r="NGU2" i="7"/>
  <c r="NGV2" i="7"/>
  <c r="NGW2" i="7"/>
  <c r="NGX2" i="7"/>
  <c r="NGY2" i="7"/>
  <c r="NGZ2" i="7"/>
  <c r="NHA2" i="7"/>
  <c r="NHB2" i="7"/>
  <c r="NHC2" i="7"/>
  <c r="NHD2" i="7"/>
  <c r="NHE2" i="7"/>
  <c r="NHF2" i="7"/>
  <c r="NHG2" i="7"/>
  <c r="NHH2" i="7"/>
  <c r="NHI2" i="7"/>
  <c r="NHJ2" i="7"/>
  <c r="NHK2" i="7"/>
  <c r="NHL2" i="7"/>
  <c r="NHM2" i="7"/>
  <c r="NHN2" i="7"/>
  <c r="NHO2" i="7"/>
  <c r="NHP2" i="7"/>
  <c r="NHQ2" i="7"/>
  <c r="NHR2" i="7"/>
  <c r="NHS2" i="7"/>
  <c r="NHT2" i="7"/>
  <c r="NHU2" i="7"/>
  <c r="NHV2" i="7"/>
  <c r="NHW2" i="7"/>
  <c r="NHX2" i="7"/>
  <c r="NHY2" i="7"/>
  <c r="NHZ2" i="7"/>
  <c r="NIA2" i="7"/>
  <c r="NIB2" i="7"/>
  <c r="NIC2" i="7"/>
  <c r="NID2" i="7"/>
  <c r="NIE2" i="7"/>
  <c r="NIF2" i="7"/>
  <c r="NIG2" i="7"/>
  <c r="NIH2" i="7"/>
  <c r="NII2" i="7"/>
  <c r="NIJ2" i="7"/>
  <c r="NIK2" i="7"/>
  <c r="NIL2" i="7"/>
  <c r="NIM2" i="7"/>
  <c r="NIN2" i="7"/>
  <c r="NIO2" i="7"/>
  <c r="NIP2" i="7"/>
  <c r="NIQ2" i="7"/>
  <c r="NIR2" i="7"/>
  <c r="NIS2" i="7"/>
  <c r="NIT2" i="7"/>
  <c r="NIU2" i="7"/>
  <c r="NIV2" i="7"/>
  <c r="NIW2" i="7"/>
  <c r="NIX2" i="7"/>
  <c r="NIY2" i="7"/>
  <c r="NIZ2" i="7"/>
  <c r="NJA2" i="7"/>
  <c r="NJB2" i="7"/>
  <c r="NJC2" i="7"/>
  <c r="NJD2" i="7"/>
  <c r="NJE2" i="7"/>
  <c r="NJF2" i="7"/>
  <c r="NJG2" i="7"/>
  <c r="NJH2" i="7"/>
  <c r="NJI2" i="7"/>
  <c r="NJJ2" i="7"/>
  <c r="NJK2" i="7"/>
  <c r="NJL2" i="7"/>
  <c r="NJM2" i="7"/>
  <c r="NJN2" i="7"/>
  <c r="NJO2" i="7"/>
  <c r="NJP2" i="7"/>
  <c r="NJQ2" i="7"/>
  <c r="NJR2" i="7"/>
  <c r="NJS2" i="7"/>
  <c r="NJT2" i="7"/>
  <c r="NJU2" i="7"/>
  <c r="NJV2" i="7"/>
  <c r="NJW2" i="7"/>
  <c r="NJX2" i="7"/>
  <c r="NJY2" i="7"/>
  <c r="NJZ2" i="7"/>
  <c r="NKA2" i="7"/>
  <c r="NKB2" i="7"/>
  <c r="NKC2" i="7"/>
  <c r="NKD2" i="7"/>
  <c r="NKE2" i="7"/>
  <c r="NKF2" i="7"/>
  <c r="NKG2" i="7"/>
  <c r="NKH2" i="7"/>
  <c r="NKI2" i="7"/>
  <c r="NKJ2" i="7"/>
  <c r="NKK2" i="7"/>
  <c r="NKL2" i="7"/>
  <c r="NKM2" i="7"/>
  <c r="NKN2" i="7"/>
  <c r="NKO2" i="7"/>
  <c r="NKP2" i="7"/>
  <c r="NKQ2" i="7"/>
  <c r="NKR2" i="7"/>
  <c r="NKS2" i="7"/>
  <c r="NKT2" i="7"/>
  <c r="NKU2" i="7"/>
  <c r="NKV2" i="7"/>
  <c r="NKW2" i="7"/>
  <c r="NKX2" i="7"/>
  <c r="NKY2" i="7"/>
  <c r="NKZ2" i="7"/>
  <c r="NLA2" i="7"/>
  <c r="NLB2" i="7"/>
  <c r="NLC2" i="7"/>
  <c r="NLD2" i="7"/>
  <c r="NLE2" i="7"/>
  <c r="NLF2" i="7"/>
  <c r="NLG2" i="7"/>
  <c r="NLH2" i="7"/>
  <c r="NLI2" i="7"/>
  <c r="NLJ2" i="7"/>
  <c r="NLK2" i="7"/>
  <c r="NLL2" i="7"/>
  <c r="NLM2" i="7"/>
  <c r="NLN2" i="7"/>
  <c r="NLO2" i="7"/>
  <c r="NLP2" i="7"/>
  <c r="NLQ2" i="7"/>
  <c r="NLR2" i="7"/>
  <c r="NLS2" i="7"/>
  <c r="NLT2" i="7"/>
  <c r="NLU2" i="7"/>
  <c r="NLV2" i="7"/>
  <c r="NLW2" i="7"/>
  <c r="NLX2" i="7"/>
  <c r="NLY2" i="7"/>
  <c r="NLZ2" i="7"/>
  <c r="NMA2" i="7"/>
  <c r="NMB2" i="7"/>
  <c r="NMC2" i="7"/>
  <c r="NMD2" i="7"/>
  <c r="NME2" i="7"/>
  <c r="NMF2" i="7"/>
  <c r="NMG2" i="7"/>
  <c r="NMH2" i="7"/>
  <c r="NMI2" i="7"/>
  <c r="NMJ2" i="7"/>
  <c r="NMK2" i="7"/>
  <c r="NML2" i="7"/>
  <c r="NMM2" i="7"/>
  <c r="NMN2" i="7"/>
  <c r="NMO2" i="7"/>
  <c r="NMP2" i="7"/>
  <c r="NMQ2" i="7"/>
  <c r="NMR2" i="7"/>
  <c r="NMS2" i="7"/>
  <c r="NMT2" i="7"/>
  <c r="NMU2" i="7"/>
  <c r="NMV2" i="7"/>
  <c r="NMW2" i="7"/>
  <c r="NMX2" i="7"/>
  <c r="NMY2" i="7"/>
  <c r="NMZ2" i="7"/>
  <c r="NNA2" i="7"/>
  <c r="NNB2" i="7"/>
  <c r="NNC2" i="7"/>
  <c r="NND2" i="7"/>
  <c r="NNE2" i="7"/>
  <c r="NNF2" i="7"/>
  <c r="NNG2" i="7"/>
  <c r="NNH2" i="7"/>
  <c r="NNI2" i="7"/>
  <c r="NNJ2" i="7"/>
  <c r="NNK2" i="7"/>
  <c r="NNL2" i="7"/>
  <c r="NNM2" i="7"/>
  <c r="NNN2" i="7"/>
  <c r="NNO2" i="7"/>
  <c r="NNP2" i="7"/>
  <c r="NNQ2" i="7"/>
  <c r="NNR2" i="7"/>
  <c r="NNS2" i="7"/>
  <c r="NNT2" i="7"/>
  <c r="NNU2" i="7"/>
  <c r="NNV2" i="7"/>
  <c r="NNW2" i="7"/>
  <c r="NNX2" i="7"/>
  <c r="NNY2" i="7"/>
  <c r="NNZ2" i="7"/>
  <c r="NOA2" i="7"/>
  <c r="NOB2" i="7"/>
  <c r="NOC2" i="7"/>
  <c r="NOD2" i="7"/>
  <c r="NOE2" i="7"/>
  <c r="NOF2" i="7"/>
  <c r="NOG2" i="7"/>
  <c r="NOH2" i="7"/>
  <c r="NOI2" i="7"/>
  <c r="NOJ2" i="7"/>
  <c r="NOK2" i="7"/>
  <c r="NOL2" i="7"/>
  <c r="NOM2" i="7"/>
  <c r="NON2" i="7"/>
  <c r="NOO2" i="7"/>
  <c r="NOP2" i="7"/>
  <c r="NOQ2" i="7"/>
  <c r="NOR2" i="7"/>
  <c r="NOS2" i="7"/>
  <c r="NOT2" i="7"/>
  <c r="NOU2" i="7"/>
  <c r="NOV2" i="7"/>
  <c r="NOW2" i="7"/>
  <c r="NOX2" i="7"/>
  <c r="NOY2" i="7"/>
  <c r="NOZ2" i="7"/>
  <c r="NPA2" i="7"/>
  <c r="NPB2" i="7"/>
  <c r="NPC2" i="7"/>
  <c r="NPD2" i="7"/>
  <c r="NPE2" i="7"/>
  <c r="NPF2" i="7"/>
  <c r="NPG2" i="7"/>
  <c r="NPH2" i="7"/>
  <c r="NPI2" i="7"/>
  <c r="NPJ2" i="7"/>
  <c r="NPK2" i="7"/>
  <c r="NPL2" i="7"/>
  <c r="NPM2" i="7"/>
  <c r="NPN2" i="7"/>
  <c r="NPO2" i="7"/>
  <c r="NPP2" i="7"/>
  <c r="NPQ2" i="7"/>
  <c r="NPR2" i="7"/>
  <c r="NPS2" i="7"/>
  <c r="NPT2" i="7"/>
  <c r="NPU2" i="7"/>
  <c r="NPV2" i="7"/>
  <c r="NPW2" i="7"/>
  <c r="NPX2" i="7"/>
  <c r="NPY2" i="7"/>
  <c r="NPZ2" i="7"/>
  <c r="NQA2" i="7"/>
  <c r="NQB2" i="7"/>
  <c r="NQC2" i="7"/>
  <c r="NQD2" i="7"/>
  <c r="NQE2" i="7"/>
  <c r="NQF2" i="7"/>
  <c r="NQG2" i="7"/>
  <c r="NQH2" i="7"/>
  <c r="NQI2" i="7"/>
  <c r="NQJ2" i="7"/>
  <c r="NQK2" i="7"/>
  <c r="NQL2" i="7"/>
  <c r="NQM2" i="7"/>
  <c r="NQN2" i="7"/>
  <c r="NQO2" i="7"/>
  <c r="NQP2" i="7"/>
  <c r="NQQ2" i="7"/>
  <c r="NQR2" i="7"/>
  <c r="NQS2" i="7"/>
  <c r="NQT2" i="7"/>
  <c r="NQU2" i="7"/>
  <c r="NQV2" i="7"/>
  <c r="NQW2" i="7"/>
  <c r="NQX2" i="7"/>
  <c r="NQY2" i="7"/>
  <c r="NQZ2" i="7"/>
  <c r="NRA2" i="7"/>
  <c r="NRB2" i="7"/>
  <c r="NRC2" i="7"/>
  <c r="NRD2" i="7"/>
  <c r="NRE2" i="7"/>
  <c r="NRF2" i="7"/>
  <c r="NRG2" i="7"/>
  <c r="NRH2" i="7"/>
  <c r="NRI2" i="7"/>
  <c r="NRJ2" i="7"/>
  <c r="NRK2" i="7"/>
  <c r="NRL2" i="7"/>
  <c r="NRM2" i="7"/>
  <c r="NRN2" i="7"/>
  <c r="NRO2" i="7"/>
  <c r="NRP2" i="7"/>
  <c r="NRQ2" i="7"/>
  <c r="NRR2" i="7"/>
  <c r="NRS2" i="7"/>
  <c r="NRT2" i="7"/>
  <c r="NRU2" i="7"/>
  <c r="NRV2" i="7"/>
  <c r="NRW2" i="7"/>
  <c r="NRX2" i="7"/>
  <c r="NRY2" i="7"/>
  <c r="NRZ2" i="7"/>
  <c r="NSA2" i="7"/>
  <c r="NSB2" i="7"/>
  <c r="NSC2" i="7"/>
  <c r="NSD2" i="7"/>
  <c r="NSE2" i="7"/>
  <c r="NSF2" i="7"/>
  <c r="NSG2" i="7"/>
  <c r="NSH2" i="7"/>
  <c r="NSI2" i="7"/>
  <c r="NSJ2" i="7"/>
  <c r="NSK2" i="7"/>
  <c r="NSL2" i="7"/>
  <c r="NSM2" i="7"/>
  <c r="NSN2" i="7"/>
  <c r="NSO2" i="7"/>
  <c r="NSP2" i="7"/>
  <c r="NSQ2" i="7"/>
  <c r="NSR2" i="7"/>
  <c r="NSS2" i="7"/>
  <c r="NST2" i="7"/>
  <c r="NSU2" i="7"/>
  <c r="NSV2" i="7"/>
  <c r="NSW2" i="7"/>
  <c r="NSX2" i="7"/>
  <c r="NSY2" i="7"/>
  <c r="NSZ2" i="7"/>
  <c r="NTA2" i="7"/>
  <c r="NTB2" i="7"/>
  <c r="NTC2" i="7"/>
  <c r="NTD2" i="7"/>
  <c r="NTE2" i="7"/>
  <c r="NTF2" i="7"/>
  <c r="NTG2" i="7"/>
  <c r="NTH2" i="7"/>
  <c r="NTI2" i="7"/>
  <c r="NTJ2" i="7"/>
  <c r="NTK2" i="7"/>
  <c r="NTL2" i="7"/>
  <c r="NTM2" i="7"/>
  <c r="NTN2" i="7"/>
  <c r="NTO2" i="7"/>
  <c r="NTP2" i="7"/>
  <c r="NTQ2" i="7"/>
  <c r="NTR2" i="7"/>
  <c r="NTS2" i="7"/>
  <c r="NTT2" i="7"/>
  <c r="NTU2" i="7"/>
  <c r="NTV2" i="7"/>
  <c r="NTW2" i="7"/>
  <c r="NTX2" i="7"/>
  <c r="NTY2" i="7"/>
  <c r="NTZ2" i="7"/>
  <c r="NUA2" i="7"/>
  <c r="NUB2" i="7"/>
  <c r="NUC2" i="7"/>
  <c r="NUD2" i="7"/>
  <c r="NUE2" i="7"/>
  <c r="NUF2" i="7"/>
  <c r="NUG2" i="7"/>
  <c r="NUH2" i="7"/>
  <c r="NUI2" i="7"/>
  <c r="NUJ2" i="7"/>
  <c r="NUK2" i="7"/>
  <c r="NUL2" i="7"/>
  <c r="NUM2" i="7"/>
  <c r="NUN2" i="7"/>
  <c r="NUO2" i="7"/>
  <c r="NUP2" i="7"/>
  <c r="NUQ2" i="7"/>
  <c r="NUR2" i="7"/>
  <c r="NUS2" i="7"/>
  <c r="NUT2" i="7"/>
  <c r="NUU2" i="7"/>
  <c r="NUV2" i="7"/>
  <c r="NUW2" i="7"/>
  <c r="NUX2" i="7"/>
  <c r="NUY2" i="7"/>
  <c r="NUZ2" i="7"/>
  <c r="NVA2" i="7"/>
  <c r="NVB2" i="7"/>
  <c r="NVC2" i="7"/>
  <c r="NVD2" i="7"/>
  <c r="NVE2" i="7"/>
  <c r="NVF2" i="7"/>
  <c r="NVG2" i="7"/>
  <c r="NVH2" i="7"/>
  <c r="NVI2" i="7"/>
  <c r="NVJ2" i="7"/>
  <c r="NVK2" i="7"/>
  <c r="NVL2" i="7"/>
  <c r="NVM2" i="7"/>
  <c r="NVN2" i="7"/>
  <c r="NVO2" i="7"/>
  <c r="NVP2" i="7"/>
  <c r="NVQ2" i="7"/>
  <c r="NVR2" i="7"/>
  <c r="NVS2" i="7"/>
  <c r="NVT2" i="7"/>
  <c r="NVU2" i="7"/>
  <c r="NVV2" i="7"/>
  <c r="NVW2" i="7"/>
  <c r="NVX2" i="7"/>
  <c r="NVY2" i="7"/>
  <c r="NVZ2" i="7"/>
  <c r="NWA2" i="7"/>
  <c r="NWB2" i="7"/>
  <c r="NWC2" i="7"/>
  <c r="NWD2" i="7"/>
  <c r="NWE2" i="7"/>
  <c r="NWF2" i="7"/>
  <c r="NWG2" i="7"/>
  <c r="NWH2" i="7"/>
  <c r="NWI2" i="7"/>
  <c r="NWJ2" i="7"/>
  <c r="NWK2" i="7"/>
  <c r="NWL2" i="7"/>
  <c r="NWM2" i="7"/>
  <c r="NWN2" i="7"/>
  <c r="NWO2" i="7"/>
  <c r="NWP2" i="7"/>
  <c r="NWQ2" i="7"/>
  <c r="NWR2" i="7"/>
  <c r="NWS2" i="7"/>
  <c r="NWT2" i="7"/>
  <c r="NWU2" i="7"/>
  <c r="NWV2" i="7"/>
  <c r="NWW2" i="7"/>
  <c r="NWX2" i="7"/>
  <c r="NWY2" i="7"/>
  <c r="NWZ2" i="7"/>
  <c r="NXA2" i="7"/>
  <c r="NXB2" i="7"/>
  <c r="NXC2" i="7"/>
  <c r="NXD2" i="7"/>
  <c r="NXE2" i="7"/>
  <c r="NXF2" i="7"/>
  <c r="NXG2" i="7"/>
  <c r="NXH2" i="7"/>
  <c r="NXI2" i="7"/>
  <c r="NXJ2" i="7"/>
  <c r="NXK2" i="7"/>
  <c r="NXL2" i="7"/>
  <c r="NXM2" i="7"/>
  <c r="NXN2" i="7"/>
  <c r="NXO2" i="7"/>
  <c r="NXP2" i="7"/>
  <c r="NXQ2" i="7"/>
  <c r="NXR2" i="7"/>
  <c r="NXS2" i="7"/>
  <c r="NXT2" i="7"/>
  <c r="NXU2" i="7"/>
  <c r="NXV2" i="7"/>
  <c r="NXW2" i="7"/>
  <c r="NXX2" i="7"/>
  <c r="NXY2" i="7"/>
  <c r="NXZ2" i="7"/>
  <c r="NYA2" i="7"/>
  <c r="NYB2" i="7"/>
  <c r="NYC2" i="7"/>
  <c r="NYD2" i="7"/>
  <c r="NYE2" i="7"/>
  <c r="NYF2" i="7"/>
  <c r="NYG2" i="7"/>
  <c r="NYH2" i="7"/>
  <c r="NYI2" i="7"/>
  <c r="NYJ2" i="7"/>
  <c r="NYK2" i="7"/>
  <c r="NYL2" i="7"/>
  <c r="NYM2" i="7"/>
  <c r="NYN2" i="7"/>
  <c r="NYO2" i="7"/>
  <c r="NYP2" i="7"/>
  <c r="NYQ2" i="7"/>
  <c r="NYR2" i="7"/>
  <c r="NYS2" i="7"/>
  <c r="NYT2" i="7"/>
  <c r="NYU2" i="7"/>
  <c r="NYV2" i="7"/>
  <c r="NYW2" i="7"/>
  <c r="NYX2" i="7"/>
  <c r="NYY2" i="7"/>
  <c r="NYZ2" i="7"/>
  <c r="NZA2" i="7"/>
  <c r="NZB2" i="7"/>
  <c r="NZC2" i="7"/>
  <c r="NZD2" i="7"/>
  <c r="NZE2" i="7"/>
  <c r="NZF2" i="7"/>
  <c r="NZG2" i="7"/>
  <c r="NZH2" i="7"/>
  <c r="NZI2" i="7"/>
  <c r="NZJ2" i="7"/>
  <c r="NZK2" i="7"/>
  <c r="NZL2" i="7"/>
  <c r="NZM2" i="7"/>
  <c r="NZN2" i="7"/>
  <c r="NZO2" i="7"/>
  <c r="NZP2" i="7"/>
  <c r="NZQ2" i="7"/>
  <c r="NZR2" i="7"/>
  <c r="NZS2" i="7"/>
  <c r="NZT2" i="7"/>
  <c r="NZU2" i="7"/>
  <c r="NZV2" i="7"/>
  <c r="NZW2" i="7"/>
  <c r="NZX2" i="7"/>
  <c r="NZY2" i="7"/>
  <c r="NZZ2" i="7"/>
  <c r="OAA2" i="7"/>
  <c r="OAB2" i="7"/>
  <c r="OAC2" i="7"/>
  <c r="OAD2" i="7"/>
  <c r="OAE2" i="7"/>
  <c r="OAF2" i="7"/>
  <c r="OAG2" i="7"/>
  <c r="OAH2" i="7"/>
  <c r="OAI2" i="7"/>
  <c r="OAJ2" i="7"/>
  <c r="OAK2" i="7"/>
  <c r="OAL2" i="7"/>
  <c r="OAM2" i="7"/>
  <c r="OAN2" i="7"/>
  <c r="OAO2" i="7"/>
  <c r="OAP2" i="7"/>
  <c r="OAQ2" i="7"/>
  <c r="OAR2" i="7"/>
  <c r="OAS2" i="7"/>
  <c r="OAT2" i="7"/>
  <c r="OAU2" i="7"/>
  <c r="OAV2" i="7"/>
  <c r="OAW2" i="7"/>
  <c r="OAX2" i="7"/>
  <c r="OAY2" i="7"/>
  <c r="OAZ2" i="7"/>
  <c r="OBA2" i="7"/>
  <c r="OBB2" i="7"/>
  <c r="OBC2" i="7"/>
  <c r="OBD2" i="7"/>
  <c r="OBE2" i="7"/>
  <c r="OBF2" i="7"/>
  <c r="OBG2" i="7"/>
  <c r="OBH2" i="7"/>
  <c r="OBI2" i="7"/>
  <c r="OBJ2" i="7"/>
  <c r="OBK2" i="7"/>
  <c r="OBL2" i="7"/>
  <c r="OBM2" i="7"/>
  <c r="OBN2" i="7"/>
  <c r="OBO2" i="7"/>
  <c r="OBP2" i="7"/>
  <c r="OBQ2" i="7"/>
  <c r="OBR2" i="7"/>
  <c r="OBS2" i="7"/>
  <c r="OBT2" i="7"/>
  <c r="OBU2" i="7"/>
  <c r="OBV2" i="7"/>
  <c r="OBW2" i="7"/>
  <c r="OBX2" i="7"/>
  <c r="OBY2" i="7"/>
  <c r="OBZ2" i="7"/>
  <c r="OCA2" i="7"/>
  <c r="OCB2" i="7"/>
  <c r="OCC2" i="7"/>
  <c r="OCD2" i="7"/>
  <c r="OCE2" i="7"/>
  <c r="OCF2" i="7"/>
  <c r="OCG2" i="7"/>
  <c r="OCH2" i="7"/>
  <c r="OCI2" i="7"/>
  <c r="OCJ2" i="7"/>
  <c r="OCK2" i="7"/>
  <c r="OCL2" i="7"/>
  <c r="OCM2" i="7"/>
  <c r="OCN2" i="7"/>
  <c r="OCO2" i="7"/>
  <c r="OCP2" i="7"/>
  <c r="OCQ2" i="7"/>
  <c r="OCR2" i="7"/>
  <c r="OCS2" i="7"/>
  <c r="OCT2" i="7"/>
  <c r="OCU2" i="7"/>
  <c r="OCV2" i="7"/>
  <c r="OCW2" i="7"/>
  <c r="OCX2" i="7"/>
  <c r="OCY2" i="7"/>
  <c r="OCZ2" i="7"/>
  <c r="ODA2" i="7"/>
  <c r="ODB2" i="7"/>
  <c r="ODC2" i="7"/>
  <c r="ODD2" i="7"/>
  <c r="ODE2" i="7"/>
  <c r="ODF2" i="7"/>
  <c r="ODG2" i="7"/>
  <c r="ODH2" i="7"/>
  <c r="ODI2" i="7"/>
  <c r="ODJ2" i="7"/>
  <c r="ODK2" i="7"/>
  <c r="ODL2" i="7"/>
  <c r="ODM2" i="7"/>
  <c r="ODN2" i="7"/>
  <c r="ODO2" i="7"/>
  <c r="ODP2" i="7"/>
  <c r="ODQ2" i="7"/>
  <c r="ODR2" i="7"/>
  <c r="ODS2" i="7"/>
  <c r="ODT2" i="7"/>
  <c r="ODU2" i="7"/>
  <c r="ODV2" i="7"/>
  <c r="ODW2" i="7"/>
  <c r="ODX2" i="7"/>
  <c r="ODY2" i="7"/>
  <c r="ODZ2" i="7"/>
  <c r="OEA2" i="7"/>
  <c r="OEB2" i="7"/>
  <c r="OEC2" i="7"/>
  <c r="OED2" i="7"/>
  <c r="OEE2" i="7"/>
  <c r="OEF2" i="7"/>
  <c r="OEG2" i="7"/>
  <c r="OEH2" i="7"/>
  <c r="OEI2" i="7"/>
  <c r="OEJ2" i="7"/>
  <c r="OEK2" i="7"/>
  <c r="OEL2" i="7"/>
  <c r="OEM2" i="7"/>
  <c r="OEN2" i="7"/>
  <c r="OEO2" i="7"/>
  <c r="OEP2" i="7"/>
  <c r="OEQ2" i="7"/>
  <c r="OER2" i="7"/>
  <c r="OES2" i="7"/>
  <c r="OET2" i="7"/>
  <c r="OEU2" i="7"/>
  <c r="OEV2" i="7"/>
  <c r="OEW2" i="7"/>
  <c r="OEX2" i="7"/>
  <c r="OEY2" i="7"/>
  <c r="OEZ2" i="7"/>
  <c r="OFA2" i="7"/>
  <c r="OFB2" i="7"/>
  <c r="OFC2" i="7"/>
  <c r="OFD2" i="7"/>
  <c r="OFE2" i="7"/>
  <c r="OFF2" i="7"/>
  <c r="OFG2" i="7"/>
  <c r="OFH2" i="7"/>
  <c r="OFI2" i="7"/>
  <c r="OFJ2" i="7"/>
  <c r="OFK2" i="7"/>
  <c r="OFL2" i="7"/>
  <c r="OFM2" i="7"/>
  <c r="OFN2" i="7"/>
  <c r="OFO2" i="7"/>
  <c r="OFP2" i="7"/>
  <c r="OFQ2" i="7"/>
  <c r="OFR2" i="7"/>
  <c r="OFS2" i="7"/>
  <c r="OFT2" i="7"/>
  <c r="OFU2" i="7"/>
  <c r="OFV2" i="7"/>
  <c r="OFW2" i="7"/>
  <c r="OFX2" i="7"/>
  <c r="OFY2" i="7"/>
  <c r="OFZ2" i="7"/>
  <c r="OGA2" i="7"/>
  <c r="OGB2" i="7"/>
  <c r="OGC2" i="7"/>
  <c r="OGD2" i="7"/>
  <c r="OGE2" i="7"/>
  <c r="OGF2" i="7"/>
  <c r="OGG2" i="7"/>
  <c r="OGH2" i="7"/>
  <c r="OGI2" i="7"/>
  <c r="OGJ2" i="7"/>
  <c r="OGK2" i="7"/>
  <c r="OGL2" i="7"/>
  <c r="OGM2" i="7"/>
  <c r="OGN2" i="7"/>
  <c r="OGO2" i="7"/>
  <c r="OGP2" i="7"/>
  <c r="OGQ2" i="7"/>
  <c r="OGR2" i="7"/>
  <c r="OGS2" i="7"/>
  <c r="OGT2" i="7"/>
  <c r="OGU2" i="7"/>
  <c r="OGV2" i="7"/>
  <c r="OGW2" i="7"/>
  <c r="OGX2" i="7"/>
  <c r="OGY2" i="7"/>
  <c r="OGZ2" i="7"/>
  <c r="OHA2" i="7"/>
  <c r="OHB2" i="7"/>
  <c r="OHC2" i="7"/>
  <c r="OHD2" i="7"/>
  <c r="OHE2" i="7"/>
  <c r="OHF2" i="7"/>
  <c r="OHG2" i="7"/>
  <c r="OHH2" i="7"/>
  <c r="OHI2" i="7"/>
  <c r="OHJ2" i="7"/>
  <c r="OHK2" i="7"/>
  <c r="OHL2" i="7"/>
  <c r="OHM2" i="7"/>
  <c r="OHN2" i="7"/>
  <c r="OHO2" i="7"/>
  <c r="OHP2" i="7"/>
  <c r="OHQ2" i="7"/>
  <c r="OHR2" i="7"/>
  <c r="OHS2" i="7"/>
  <c r="OHT2" i="7"/>
  <c r="OHU2" i="7"/>
  <c r="OHV2" i="7"/>
  <c r="OHW2" i="7"/>
  <c r="OHX2" i="7"/>
  <c r="OHY2" i="7"/>
  <c r="OHZ2" i="7"/>
  <c r="OIA2" i="7"/>
  <c r="OIB2" i="7"/>
  <c r="OIC2" i="7"/>
  <c r="OID2" i="7"/>
  <c r="OIE2" i="7"/>
  <c r="OIF2" i="7"/>
  <c r="OIG2" i="7"/>
  <c r="OIH2" i="7"/>
  <c r="OII2" i="7"/>
  <c r="OIJ2" i="7"/>
  <c r="OIK2" i="7"/>
  <c r="OIL2" i="7"/>
  <c r="OIM2" i="7"/>
  <c r="OIN2" i="7"/>
  <c r="OIO2" i="7"/>
  <c r="OIP2" i="7"/>
  <c r="OIQ2" i="7"/>
  <c r="OIR2" i="7"/>
  <c r="OIS2" i="7"/>
  <c r="OIT2" i="7"/>
  <c r="OIU2" i="7"/>
  <c r="OIV2" i="7"/>
  <c r="OIW2" i="7"/>
  <c r="OIX2" i="7"/>
  <c r="OIY2" i="7"/>
  <c r="OIZ2" i="7"/>
  <c r="OJA2" i="7"/>
  <c r="OJB2" i="7"/>
  <c r="OJC2" i="7"/>
  <c r="OJD2" i="7"/>
  <c r="OJE2" i="7"/>
  <c r="OJF2" i="7"/>
  <c r="OJG2" i="7"/>
  <c r="OJH2" i="7"/>
  <c r="OJI2" i="7"/>
  <c r="OJJ2" i="7"/>
  <c r="OJK2" i="7"/>
  <c r="OJL2" i="7"/>
  <c r="OJM2" i="7"/>
  <c r="OJN2" i="7"/>
  <c r="OJO2" i="7"/>
  <c r="OJP2" i="7"/>
  <c r="OJQ2" i="7"/>
  <c r="OJR2" i="7"/>
  <c r="OJS2" i="7"/>
  <c r="OJT2" i="7"/>
  <c r="OJU2" i="7"/>
  <c r="OJV2" i="7"/>
  <c r="OJW2" i="7"/>
  <c r="OJX2" i="7"/>
  <c r="OJY2" i="7"/>
  <c r="OJZ2" i="7"/>
  <c r="OKA2" i="7"/>
  <c r="OKB2" i="7"/>
  <c r="OKC2" i="7"/>
  <c r="OKD2" i="7"/>
  <c r="OKE2" i="7"/>
  <c r="OKF2" i="7"/>
  <c r="OKG2" i="7"/>
  <c r="OKH2" i="7"/>
  <c r="OKI2" i="7"/>
  <c r="OKJ2" i="7"/>
  <c r="OKK2" i="7"/>
  <c r="OKL2" i="7"/>
  <c r="OKM2" i="7"/>
  <c r="OKN2" i="7"/>
  <c r="OKO2" i="7"/>
  <c r="OKP2" i="7"/>
  <c r="OKQ2" i="7"/>
  <c r="OKR2" i="7"/>
  <c r="OKS2" i="7"/>
  <c r="OKT2" i="7"/>
  <c r="OKU2" i="7"/>
  <c r="OKV2" i="7"/>
  <c r="OKW2" i="7"/>
  <c r="OKX2" i="7"/>
  <c r="OKY2" i="7"/>
  <c r="OKZ2" i="7"/>
  <c r="OLA2" i="7"/>
  <c r="OLB2" i="7"/>
  <c r="OLC2" i="7"/>
  <c r="OLD2" i="7"/>
  <c r="OLE2" i="7"/>
  <c r="OLF2" i="7"/>
  <c r="OLG2" i="7"/>
  <c r="OLH2" i="7"/>
  <c r="OLI2" i="7"/>
  <c r="OLJ2" i="7"/>
  <c r="OLK2" i="7"/>
  <c r="OLL2" i="7"/>
  <c r="OLM2" i="7"/>
  <c r="OLN2" i="7"/>
  <c r="OLO2" i="7"/>
  <c r="OLP2" i="7"/>
  <c r="OLQ2" i="7"/>
  <c r="OLR2" i="7"/>
  <c r="OLS2" i="7"/>
  <c r="OLT2" i="7"/>
  <c r="OLU2" i="7"/>
  <c r="OLV2" i="7"/>
  <c r="OLW2" i="7"/>
  <c r="OLX2" i="7"/>
  <c r="OLY2" i="7"/>
  <c r="OLZ2" i="7"/>
  <c r="OMA2" i="7"/>
  <c r="OMB2" i="7"/>
  <c r="OMC2" i="7"/>
  <c r="OMD2" i="7"/>
  <c r="OME2" i="7"/>
  <c r="OMF2" i="7"/>
  <c r="OMG2" i="7"/>
  <c r="OMH2" i="7"/>
  <c r="OMI2" i="7"/>
  <c r="OMJ2" i="7"/>
  <c r="OMK2" i="7"/>
  <c r="OML2" i="7"/>
  <c r="OMM2" i="7"/>
  <c r="OMN2" i="7"/>
  <c r="OMO2" i="7"/>
  <c r="OMP2" i="7"/>
  <c r="OMQ2" i="7"/>
  <c r="OMR2" i="7"/>
  <c r="OMS2" i="7"/>
  <c r="OMT2" i="7"/>
  <c r="OMU2" i="7"/>
  <c r="OMV2" i="7"/>
  <c r="OMW2" i="7"/>
  <c r="OMX2" i="7"/>
  <c r="OMY2" i="7"/>
  <c r="OMZ2" i="7"/>
  <c r="ONA2" i="7"/>
  <c r="ONB2" i="7"/>
  <c r="ONC2" i="7"/>
  <c r="OND2" i="7"/>
  <c r="ONE2" i="7"/>
  <c r="ONF2" i="7"/>
  <c r="ONG2" i="7"/>
  <c r="ONH2" i="7"/>
  <c r="ONI2" i="7"/>
  <c r="ONJ2" i="7"/>
  <c r="ONK2" i="7"/>
  <c r="ONL2" i="7"/>
  <c r="ONM2" i="7"/>
  <c r="ONN2" i="7"/>
  <c r="ONO2" i="7"/>
  <c r="ONP2" i="7"/>
  <c r="ONQ2" i="7"/>
  <c r="ONR2" i="7"/>
  <c r="ONS2" i="7"/>
  <c r="ONT2" i="7"/>
  <c r="ONU2" i="7"/>
  <c r="ONV2" i="7"/>
  <c r="ONW2" i="7"/>
  <c r="ONX2" i="7"/>
  <c r="ONY2" i="7"/>
  <c r="ONZ2" i="7"/>
  <c r="OOA2" i="7"/>
  <c r="OOB2" i="7"/>
  <c r="OOC2" i="7"/>
  <c r="OOD2" i="7"/>
  <c r="OOE2" i="7"/>
  <c r="OOF2" i="7"/>
  <c r="OOG2" i="7"/>
  <c r="OOH2" i="7"/>
  <c r="OOI2" i="7"/>
  <c r="OOJ2" i="7"/>
  <c r="OOK2" i="7"/>
  <c r="OOL2" i="7"/>
  <c r="OOM2" i="7"/>
  <c r="OON2" i="7"/>
  <c r="OOO2" i="7"/>
  <c r="OOP2" i="7"/>
  <c r="OOQ2" i="7"/>
  <c r="OOR2" i="7"/>
  <c r="OOS2" i="7"/>
  <c r="OOT2" i="7"/>
  <c r="OOU2" i="7"/>
  <c r="OOV2" i="7"/>
  <c r="OOW2" i="7"/>
  <c r="OOX2" i="7"/>
  <c r="OOY2" i="7"/>
  <c r="OOZ2" i="7"/>
  <c r="OPA2" i="7"/>
  <c r="OPB2" i="7"/>
  <c r="OPC2" i="7"/>
  <c r="OPD2" i="7"/>
  <c r="OPE2" i="7"/>
  <c r="OPF2" i="7"/>
  <c r="OPG2" i="7"/>
  <c r="OPH2" i="7"/>
  <c r="OPI2" i="7"/>
  <c r="OPJ2" i="7"/>
  <c r="OPK2" i="7"/>
  <c r="OPL2" i="7"/>
  <c r="OPM2" i="7"/>
  <c r="OPN2" i="7"/>
  <c r="OPO2" i="7"/>
  <c r="OPP2" i="7"/>
  <c r="OPQ2" i="7"/>
  <c r="OPR2" i="7"/>
  <c r="OPS2" i="7"/>
  <c r="OPT2" i="7"/>
  <c r="OPU2" i="7"/>
  <c r="OPV2" i="7"/>
  <c r="OPW2" i="7"/>
  <c r="OPX2" i="7"/>
  <c r="OPY2" i="7"/>
  <c r="OPZ2" i="7"/>
  <c r="OQA2" i="7"/>
  <c r="OQB2" i="7"/>
  <c r="OQC2" i="7"/>
  <c r="OQD2" i="7"/>
  <c r="OQE2" i="7"/>
  <c r="OQF2" i="7"/>
  <c r="OQG2" i="7"/>
  <c r="OQH2" i="7"/>
  <c r="OQI2" i="7"/>
  <c r="OQJ2" i="7"/>
  <c r="OQK2" i="7"/>
  <c r="OQL2" i="7"/>
  <c r="OQM2" i="7"/>
  <c r="OQN2" i="7"/>
  <c r="OQO2" i="7"/>
  <c r="OQP2" i="7"/>
  <c r="OQQ2" i="7"/>
  <c r="OQR2" i="7"/>
  <c r="OQS2" i="7"/>
  <c r="OQT2" i="7"/>
  <c r="OQU2" i="7"/>
  <c r="OQV2" i="7"/>
  <c r="OQW2" i="7"/>
  <c r="OQX2" i="7"/>
  <c r="OQY2" i="7"/>
  <c r="OQZ2" i="7"/>
  <c r="ORA2" i="7"/>
  <c r="ORB2" i="7"/>
  <c r="ORC2" i="7"/>
  <c r="ORD2" i="7"/>
  <c r="ORE2" i="7"/>
  <c r="ORF2" i="7"/>
  <c r="ORG2" i="7"/>
  <c r="ORH2" i="7"/>
  <c r="ORI2" i="7"/>
  <c r="ORJ2" i="7"/>
  <c r="ORK2" i="7"/>
  <c r="ORL2" i="7"/>
  <c r="ORM2" i="7"/>
  <c r="ORN2" i="7"/>
  <c r="ORO2" i="7"/>
  <c r="ORP2" i="7"/>
  <c r="ORQ2" i="7"/>
  <c r="ORR2" i="7"/>
  <c r="ORS2" i="7"/>
  <c r="ORT2" i="7"/>
  <c r="ORU2" i="7"/>
  <c r="ORV2" i="7"/>
  <c r="ORW2" i="7"/>
  <c r="ORX2" i="7"/>
  <c r="ORY2" i="7"/>
  <c r="ORZ2" i="7"/>
  <c r="OSA2" i="7"/>
  <c r="OSB2" i="7"/>
  <c r="OSC2" i="7"/>
  <c r="OSD2" i="7"/>
  <c r="OSE2" i="7"/>
  <c r="OSF2" i="7"/>
  <c r="OSG2" i="7"/>
  <c r="OSH2" i="7"/>
  <c r="OSI2" i="7"/>
  <c r="OSJ2" i="7"/>
  <c r="OSK2" i="7"/>
  <c r="OSL2" i="7"/>
  <c r="OSM2" i="7"/>
  <c r="OSN2" i="7"/>
  <c r="OSO2" i="7"/>
  <c r="OSP2" i="7"/>
  <c r="OSQ2" i="7"/>
  <c r="OSR2" i="7"/>
  <c r="OSS2" i="7"/>
  <c r="OST2" i="7"/>
  <c r="OSU2" i="7"/>
  <c r="OSV2" i="7"/>
  <c r="OSW2" i="7"/>
  <c r="OSX2" i="7"/>
  <c r="OSY2" i="7"/>
  <c r="OSZ2" i="7"/>
  <c r="OTA2" i="7"/>
  <c r="OTB2" i="7"/>
  <c r="OTC2" i="7"/>
  <c r="OTD2" i="7"/>
  <c r="OTE2" i="7"/>
  <c r="OTF2" i="7"/>
  <c r="OTG2" i="7"/>
  <c r="OTH2" i="7"/>
  <c r="OTI2" i="7"/>
  <c r="OTJ2" i="7"/>
  <c r="OTK2" i="7"/>
  <c r="OTL2" i="7"/>
  <c r="OTM2" i="7"/>
  <c r="OTN2" i="7"/>
  <c r="OTO2" i="7"/>
  <c r="OTP2" i="7"/>
  <c r="OTQ2" i="7"/>
  <c r="OTR2" i="7"/>
  <c r="OTS2" i="7"/>
  <c r="OTT2" i="7"/>
  <c r="OTU2" i="7"/>
  <c r="OTV2" i="7"/>
  <c r="OTW2" i="7"/>
  <c r="OTX2" i="7"/>
  <c r="OTY2" i="7"/>
  <c r="OTZ2" i="7"/>
  <c r="OUA2" i="7"/>
  <c r="OUB2" i="7"/>
  <c r="OUC2" i="7"/>
  <c r="OUD2" i="7"/>
  <c r="OUE2" i="7"/>
  <c r="OUF2" i="7"/>
  <c r="OUG2" i="7"/>
  <c r="OUH2" i="7"/>
  <c r="OUI2" i="7"/>
  <c r="OUJ2" i="7"/>
  <c r="OUK2" i="7"/>
  <c r="OUL2" i="7"/>
  <c r="OUM2" i="7"/>
  <c r="OUN2" i="7"/>
  <c r="OUO2" i="7"/>
  <c r="OUP2" i="7"/>
  <c r="OUQ2" i="7"/>
  <c r="OUR2" i="7"/>
  <c r="OUS2" i="7"/>
  <c r="OUT2" i="7"/>
  <c r="OUU2" i="7"/>
  <c r="OUV2" i="7"/>
  <c r="OUW2" i="7"/>
  <c r="OUX2" i="7"/>
  <c r="OUY2" i="7"/>
  <c r="OUZ2" i="7"/>
  <c r="OVA2" i="7"/>
  <c r="OVB2" i="7"/>
  <c r="OVC2" i="7"/>
  <c r="OVD2" i="7"/>
  <c r="OVE2" i="7"/>
  <c r="OVF2" i="7"/>
  <c r="OVG2" i="7"/>
  <c r="OVH2" i="7"/>
  <c r="OVI2" i="7"/>
  <c r="OVJ2" i="7"/>
  <c r="OVK2" i="7"/>
  <c r="OVL2" i="7"/>
  <c r="OVM2" i="7"/>
  <c r="OVN2" i="7"/>
  <c r="OVO2" i="7"/>
  <c r="OVP2" i="7"/>
  <c r="OVQ2" i="7"/>
  <c r="OVR2" i="7"/>
  <c r="OVS2" i="7"/>
  <c r="OVT2" i="7"/>
  <c r="OVU2" i="7"/>
  <c r="OVV2" i="7"/>
  <c r="OVW2" i="7"/>
  <c r="OVX2" i="7"/>
  <c r="OVY2" i="7"/>
  <c r="OVZ2" i="7"/>
  <c r="OWA2" i="7"/>
  <c r="OWB2" i="7"/>
  <c r="OWC2" i="7"/>
  <c r="OWD2" i="7"/>
  <c r="OWE2" i="7"/>
  <c r="OWF2" i="7"/>
  <c r="OWG2" i="7"/>
  <c r="OWH2" i="7"/>
  <c r="OWI2" i="7"/>
  <c r="OWJ2" i="7"/>
  <c r="OWK2" i="7"/>
  <c r="OWL2" i="7"/>
  <c r="OWM2" i="7"/>
  <c r="OWN2" i="7"/>
  <c r="OWO2" i="7"/>
  <c r="OWP2" i="7"/>
  <c r="OWQ2" i="7"/>
  <c r="OWR2" i="7"/>
  <c r="OWS2" i="7"/>
  <c r="OWT2" i="7"/>
  <c r="OWU2" i="7"/>
  <c r="OWV2" i="7"/>
  <c r="OWW2" i="7"/>
  <c r="OWX2" i="7"/>
  <c r="OWY2" i="7"/>
  <c r="OWZ2" i="7"/>
  <c r="OXA2" i="7"/>
  <c r="OXB2" i="7"/>
  <c r="OXC2" i="7"/>
  <c r="OXD2" i="7"/>
  <c r="OXE2" i="7"/>
  <c r="OXF2" i="7"/>
  <c r="OXG2" i="7"/>
  <c r="OXH2" i="7"/>
  <c r="OXI2" i="7"/>
  <c r="OXJ2" i="7"/>
  <c r="OXK2" i="7"/>
  <c r="OXL2" i="7"/>
  <c r="OXM2" i="7"/>
  <c r="OXN2" i="7"/>
  <c r="OXO2" i="7"/>
  <c r="OXP2" i="7"/>
  <c r="OXQ2" i="7"/>
  <c r="OXR2" i="7"/>
  <c r="OXS2" i="7"/>
  <c r="OXT2" i="7"/>
  <c r="OXU2" i="7"/>
  <c r="OXV2" i="7"/>
  <c r="OXW2" i="7"/>
  <c r="OXX2" i="7"/>
  <c r="OXY2" i="7"/>
  <c r="OXZ2" i="7"/>
  <c r="OYA2" i="7"/>
  <c r="OYB2" i="7"/>
  <c r="OYC2" i="7"/>
  <c r="OYD2" i="7"/>
  <c r="OYE2" i="7"/>
  <c r="OYF2" i="7"/>
  <c r="OYG2" i="7"/>
  <c r="OYH2" i="7"/>
  <c r="OYI2" i="7"/>
  <c r="OYJ2" i="7"/>
  <c r="OYK2" i="7"/>
  <c r="OYL2" i="7"/>
  <c r="OYM2" i="7"/>
  <c r="OYN2" i="7"/>
  <c r="OYO2" i="7"/>
  <c r="OYP2" i="7"/>
  <c r="OYQ2" i="7"/>
  <c r="OYR2" i="7"/>
  <c r="OYS2" i="7"/>
  <c r="OYT2" i="7"/>
  <c r="OYU2" i="7"/>
  <c r="OYV2" i="7"/>
  <c r="OYW2" i="7"/>
  <c r="OYX2" i="7"/>
  <c r="OYY2" i="7"/>
  <c r="OYZ2" i="7"/>
  <c r="OZA2" i="7"/>
  <c r="OZB2" i="7"/>
  <c r="OZC2" i="7"/>
  <c r="OZD2" i="7"/>
  <c r="OZE2" i="7"/>
  <c r="OZF2" i="7"/>
  <c r="OZG2" i="7"/>
  <c r="OZH2" i="7"/>
  <c r="OZI2" i="7"/>
  <c r="OZJ2" i="7"/>
  <c r="OZK2" i="7"/>
  <c r="OZL2" i="7"/>
  <c r="OZM2" i="7"/>
  <c r="OZN2" i="7"/>
  <c r="OZO2" i="7"/>
  <c r="OZP2" i="7"/>
  <c r="OZQ2" i="7"/>
  <c r="OZR2" i="7"/>
  <c r="OZS2" i="7"/>
  <c r="OZT2" i="7"/>
  <c r="OZU2" i="7"/>
  <c r="OZV2" i="7"/>
  <c r="OZW2" i="7"/>
  <c r="OZX2" i="7"/>
  <c r="OZY2" i="7"/>
  <c r="OZZ2" i="7"/>
  <c r="PAA2" i="7"/>
  <c r="PAB2" i="7"/>
  <c r="PAC2" i="7"/>
  <c r="PAD2" i="7"/>
  <c r="PAE2" i="7"/>
  <c r="PAF2" i="7"/>
  <c r="PAG2" i="7"/>
  <c r="PAH2" i="7"/>
  <c r="PAI2" i="7"/>
  <c r="PAJ2" i="7"/>
  <c r="PAK2" i="7"/>
  <c r="PAL2" i="7"/>
  <c r="PAM2" i="7"/>
  <c r="PAN2" i="7"/>
  <c r="PAO2" i="7"/>
  <c r="PAP2" i="7"/>
  <c r="PAQ2" i="7"/>
  <c r="PAR2" i="7"/>
  <c r="PAS2" i="7"/>
  <c r="PAT2" i="7"/>
  <c r="PAU2" i="7"/>
  <c r="PAV2" i="7"/>
  <c r="PAW2" i="7"/>
  <c r="PAX2" i="7"/>
  <c r="PAY2" i="7"/>
  <c r="PAZ2" i="7"/>
  <c r="PBA2" i="7"/>
  <c r="PBB2" i="7"/>
  <c r="PBC2" i="7"/>
  <c r="PBD2" i="7"/>
  <c r="PBE2" i="7"/>
  <c r="PBF2" i="7"/>
  <c r="PBG2" i="7"/>
  <c r="PBH2" i="7"/>
  <c r="PBI2" i="7"/>
  <c r="PBJ2" i="7"/>
  <c r="PBK2" i="7"/>
  <c r="PBL2" i="7"/>
  <c r="PBM2" i="7"/>
  <c r="PBN2" i="7"/>
  <c r="PBO2" i="7"/>
  <c r="PBP2" i="7"/>
  <c r="PBQ2" i="7"/>
  <c r="PBR2" i="7"/>
  <c r="PBS2" i="7"/>
  <c r="PBT2" i="7"/>
  <c r="PBU2" i="7"/>
  <c r="PBV2" i="7"/>
  <c r="PBW2" i="7"/>
  <c r="PBX2" i="7"/>
  <c r="PBY2" i="7"/>
  <c r="PBZ2" i="7"/>
  <c r="PCA2" i="7"/>
  <c r="PCB2" i="7"/>
  <c r="PCC2" i="7"/>
  <c r="PCD2" i="7"/>
  <c r="PCE2" i="7"/>
  <c r="PCF2" i="7"/>
  <c r="PCG2" i="7"/>
  <c r="PCH2" i="7"/>
  <c r="PCI2" i="7"/>
  <c r="PCJ2" i="7"/>
  <c r="PCK2" i="7"/>
  <c r="PCL2" i="7"/>
  <c r="PCM2" i="7"/>
  <c r="PCN2" i="7"/>
  <c r="PCO2" i="7"/>
  <c r="PCP2" i="7"/>
  <c r="PCQ2" i="7"/>
  <c r="PCR2" i="7"/>
  <c r="PCS2" i="7"/>
  <c r="PCT2" i="7"/>
  <c r="PCU2" i="7"/>
  <c r="PCV2" i="7"/>
  <c r="PCW2" i="7"/>
  <c r="PCX2" i="7"/>
  <c r="PCY2" i="7"/>
  <c r="PCZ2" i="7"/>
  <c r="PDA2" i="7"/>
  <c r="PDB2" i="7"/>
  <c r="PDC2" i="7"/>
  <c r="PDD2" i="7"/>
  <c r="PDE2" i="7"/>
  <c r="PDF2" i="7"/>
  <c r="PDG2" i="7"/>
  <c r="PDH2" i="7"/>
  <c r="PDI2" i="7"/>
  <c r="PDJ2" i="7"/>
  <c r="PDK2" i="7"/>
  <c r="PDL2" i="7"/>
  <c r="PDM2" i="7"/>
  <c r="PDN2" i="7"/>
  <c r="PDO2" i="7"/>
  <c r="PDP2" i="7"/>
  <c r="PDQ2" i="7"/>
  <c r="PDR2" i="7"/>
  <c r="PDS2" i="7"/>
  <c r="PDT2" i="7"/>
  <c r="PDU2" i="7"/>
  <c r="PDV2" i="7"/>
  <c r="PDW2" i="7"/>
  <c r="PDX2" i="7"/>
  <c r="PDY2" i="7"/>
  <c r="PDZ2" i="7"/>
  <c r="PEA2" i="7"/>
  <c r="PEB2" i="7"/>
  <c r="PEC2" i="7"/>
  <c r="PED2" i="7"/>
  <c r="PEE2" i="7"/>
  <c r="PEF2" i="7"/>
  <c r="PEG2" i="7"/>
  <c r="PEH2" i="7"/>
  <c r="PEI2" i="7"/>
  <c r="PEJ2" i="7"/>
  <c r="PEK2" i="7"/>
  <c r="PEL2" i="7"/>
  <c r="PEM2" i="7"/>
  <c r="PEN2" i="7"/>
  <c r="PEO2" i="7"/>
  <c r="PEP2" i="7"/>
  <c r="PEQ2" i="7"/>
  <c r="PER2" i="7"/>
  <c r="PES2" i="7"/>
  <c r="PET2" i="7"/>
  <c r="PEU2" i="7"/>
  <c r="PEV2" i="7"/>
  <c r="PEW2" i="7"/>
  <c r="PEX2" i="7"/>
  <c r="PEY2" i="7"/>
  <c r="PEZ2" i="7"/>
  <c r="PFA2" i="7"/>
  <c r="PFB2" i="7"/>
  <c r="PFC2" i="7"/>
  <c r="PFD2" i="7"/>
  <c r="PFE2" i="7"/>
  <c r="EP3" i="7"/>
  <c r="EQ3" i="7"/>
  <c r="ER3" i="7"/>
  <c r="ES3" i="7"/>
  <c r="ET3" i="7"/>
  <c r="EU3" i="7"/>
  <c r="EV3" i="7"/>
  <c r="EW3" i="7"/>
  <c r="EX3" i="7"/>
  <c r="EY3" i="7"/>
  <c r="EZ3" i="7"/>
  <c r="FA3" i="7"/>
  <c r="FB3" i="7"/>
  <c r="FC3" i="7"/>
  <c r="FD3" i="7"/>
  <c r="FE3" i="7"/>
  <c r="FF3" i="7"/>
  <c r="FG3" i="7"/>
  <c r="FH3" i="7"/>
  <c r="FI3" i="7"/>
  <c r="FJ3" i="7"/>
  <c r="FK3" i="7"/>
  <c r="FL3" i="7"/>
  <c r="FM3" i="7"/>
  <c r="FN3" i="7"/>
  <c r="FO3" i="7"/>
  <c r="FP3" i="7"/>
  <c r="FQ3" i="7"/>
  <c r="FR3" i="7"/>
  <c r="FS3" i="7"/>
  <c r="FT3" i="7"/>
  <c r="FU3" i="7"/>
  <c r="FV3" i="7"/>
  <c r="FW3" i="7"/>
  <c r="FX3" i="7"/>
  <c r="FY3" i="7"/>
  <c r="FZ3" i="7"/>
  <c r="GA3" i="7"/>
  <c r="GB3" i="7"/>
  <c r="GC3" i="7"/>
  <c r="GD3" i="7"/>
  <c r="GE3" i="7"/>
  <c r="GF3" i="7"/>
  <c r="GG3" i="7"/>
  <c r="GH3" i="7"/>
  <c r="GI3" i="7"/>
  <c r="GJ3" i="7"/>
  <c r="GK3" i="7"/>
  <c r="GL3" i="7"/>
  <c r="GM3" i="7"/>
  <c r="GN3" i="7"/>
  <c r="GO3" i="7"/>
  <c r="GP3" i="7"/>
  <c r="GQ3" i="7"/>
  <c r="GR3" i="7"/>
  <c r="GS3" i="7"/>
  <c r="GT3" i="7"/>
  <c r="GU3" i="7"/>
  <c r="GV3" i="7"/>
  <c r="GW3" i="7"/>
  <c r="GX3" i="7"/>
  <c r="GY3" i="7"/>
  <c r="GZ3" i="7"/>
  <c r="HA3" i="7"/>
  <c r="HB3" i="7"/>
  <c r="HC3" i="7"/>
  <c r="HD3" i="7"/>
  <c r="HE3" i="7"/>
  <c r="HF3" i="7"/>
  <c r="HG3" i="7"/>
  <c r="HH3" i="7"/>
  <c r="HI3" i="7"/>
  <c r="HJ3" i="7"/>
  <c r="HK3" i="7"/>
  <c r="HL3" i="7"/>
  <c r="HM3" i="7"/>
  <c r="HN3" i="7"/>
  <c r="HO3" i="7"/>
  <c r="HP3" i="7"/>
  <c r="HQ3" i="7"/>
  <c r="HR3" i="7"/>
  <c r="HS3" i="7"/>
  <c r="HT3" i="7"/>
  <c r="HU3" i="7"/>
  <c r="HV3" i="7"/>
  <c r="HW3" i="7"/>
  <c r="HX3" i="7"/>
  <c r="HY3" i="7"/>
  <c r="HZ3" i="7"/>
  <c r="IA3" i="7"/>
  <c r="IB3" i="7"/>
  <c r="IC3" i="7"/>
  <c r="ID3" i="7"/>
  <c r="IE3" i="7"/>
  <c r="IF3" i="7"/>
  <c r="IG3" i="7"/>
  <c r="IH3" i="7"/>
  <c r="II3" i="7"/>
  <c r="IJ3" i="7"/>
  <c r="IK3" i="7"/>
  <c r="IL3" i="7"/>
  <c r="IM3" i="7"/>
  <c r="IN3" i="7"/>
  <c r="IO3" i="7"/>
  <c r="IP3" i="7"/>
  <c r="IQ3" i="7"/>
  <c r="IR3" i="7"/>
  <c r="IS3" i="7"/>
  <c r="IT3" i="7"/>
  <c r="IU3" i="7"/>
  <c r="IV3" i="7"/>
  <c r="IW3" i="7"/>
  <c r="IX3" i="7"/>
  <c r="IY3" i="7"/>
  <c r="IZ3" i="7"/>
  <c r="JA3" i="7"/>
  <c r="JB3" i="7"/>
  <c r="JC3" i="7"/>
  <c r="JD3" i="7"/>
  <c r="JE3" i="7"/>
  <c r="JF3" i="7"/>
  <c r="JG3" i="7"/>
  <c r="JH3" i="7"/>
  <c r="JI3" i="7"/>
  <c r="JJ3" i="7"/>
  <c r="JK3" i="7"/>
  <c r="JL3" i="7"/>
  <c r="JM3" i="7"/>
  <c r="JN3" i="7"/>
  <c r="JO3" i="7"/>
  <c r="JP3" i="7"/>
  <c r="JQ3" i="7"/>
  <c r="JR3" i="7"/>
  <c r="JS3" i="7"/>
  <c r="JT3" i="7"/>
  <c r="JU3" i="7"/>
  <c r="JV3" i="7"/>
  <c r="JW3" i="7"/>
  <c r="JX3" i="7"/>
  <c r="JY3" i="7"/>
  <c r="JZ3" i="7"/>
  <c r="KA3" i="7"/>
  <c r="KB3" i="7"/>
  <c r="KC3" i="7"/>
  <c r="KD3" i="7"/>
  <c r="KE3" i="7"/>
  <c r="KF3" i="7"/>
  <c r="KG3" i="7"/>
  <c r="KH3" i="7"/>
  <c r="KI3" i="7"/>
  <c r="KJ3" i="7"/>
  <c r="KK3" i="7"/>
  <c r="KL3" i="7"/>
  <c r="KM3" i="7"/>
  <c r="KN3" i="7"/>
  <c r="KO3" i="7"/>
  <c r="KP3" i="7"/>
  <c r="KQ3" i="7"/>
  <c r="KR3" i="7"/>
  <c r="KS3" i="7"/>
  <c r="KT3" i="7"/>
  <c r="KU3" i="7"/>
  <c r="KV3" i="7"/>
  <c r="KW3" i="7"/>
  <c r="KX3" i="7"/>
  <c r="KY3" i="7"/>
  <c r="KZ3" i="7"/>
  <c r="LA3" i="7"/>
  <c r="LB3" i="7"/>
  <c r="LC3" i="7"/>
  <c r="LD3" i="7"/>
  <c r="LE3" i="7"/>
  <c r="LF3" i="7"/>
  <c r="LG3" i="7"/>
  <c r="LH3" i="7"/>
  <c r="LI3" i="7"/>
  <c r="LJ3" i="7"/>
  <c r="LK3" i="7"/>
  <c r="LL3" i="7"/>
  <c r="LM3" i="7"/>
  <c r="LN3" i="7"/>
  <c r="LO3" i="7"/>
  <c r="LP3" i="7"/>
  <c r="LQ3" i="7"/>
  <c r="LR3" i="7"/>
  <c r="LS3" i="7"/>
  <c r="LT3" i="7"/>
  <c r="LU3" i="7"/>
  <c r="LV3" i="7"/>
  <c r="LW3" i="7"/>
  <c r="LX3" i="7"/>
  <c r="LY3" i="7"/>
  <c r="LZ3" i="7"/>
  <c r="MA3" i="7"/>
  <c r="MB3" i="7"/>
  <c r="MC3" i="7"/>
  <c r="MD3" i="7"/>
  <c r="ME3" i="7"/>
  <c r="MF3" i="7"/>
  <c r="MG3" i="7"/>
  <c r="MH3" i="7"/>
  <c r="MI3" i="7"/>
  <c r="MJ3" i="7"/>
  <c r="MK3" i="7"/>
  <c r="ML3" i="7"/>
  <c r="MM3" i="7"/>
  <c r="MN3" i="7"/>
  <c r="MO3" i="7"/>
  <c r="MP3" i="7"/>
  <c r="MQ3" i="7"/>
  <c r="MR3" i="7"/>
  <c r="MS3" i="7"/>
  <c r="MT3" i="7"/>
  <c r="MU3" i="7"/>
  <c r="MV3" i="7"/>
  <c r="MW3" i="7"/>
  <c r="MX3" i="7"/>
  <c r="MY3" i="7"/>
  <c r="MZ3" i="7"/>
  <c r="NA3" i="7"/>
  <c r="NB3" i="7"/>
  <c r="NC3" i="7"/>
  <c r="ND3" i="7"/>
  <c r="NE3" i="7"/>
  <c r="NF3" i="7"/>
  <c r="NG3" i="7"/>
  <c r="NH3" i="7"/>
  <c r="NI3" i="7"/>
  <c r="NJ3" i="7"/>
  <c r="NK3" i="7"/>
  <c r="NL3" i="7"/>
  <c r="NM3" i="7"/>
  <c r="NN3" i="7"/>
  <c r="NO3" i="7"/>
  <c r="NP3" i="7"/>
  <c r="NQ3" i="7"/>
  <c r="NR3" i="7"/>
  <c r="NS3" i="7"/>
  <c r="NT3" i="7"/>
  <c r="NU3" i="7"/>
  <c r="NV3" i="7"/>
  <c r="NW3" i="7"/>
  <c r="NX3" i="7"/>
  <c r="NY3" i="7"/>
  <c r="NZ3" i="7"/>
  <c r="OA3" i="7"/>
  <c r="OB3" i="7"/>
  <c r="OC3" i="7"/>
  <c r="OD3" i="7"/>
  <c r="OE3" i="7"/>
  <c r="OF3" i="7"/>
  <c r="OG3" i="7"/>
  <c r="OH3" i="7"/>
  <c r="OI3" i="7"/>
  <c r="OJ3" i="7"/>
  <c r="OK3" i="7"/>
  <c r="OL3" i="7"/>
  <c r="OM3" i="7"/>
  <c r="ON3" i="7"/>
  <c r="OO3" i="7"/>
  <c r="OP3" i="7"/>
  <c r="OQ3" i="7"/>
  <c r="OR3" i="7"/>
  <c r="OS3" i="7"/>
  <c r="OT3" i="7"/>
  <c r="OU3" i="7"/>
  <c r="OV3" i="7"/>
  <c r="OW3" i="7"/>
  <c r="OX3" i="7"/>
  <c r="OY3" i="7"/>
  <c r="OZ3" i="7"/>
  <c r="PA3" i="7"/>
  <c r="PB3" i="7"/>
  <c r="PC3" i="7"/>
  <c r="PD3" i="7"/>
  <c r="PE3" i="7"/>
  <c r="PF3" i="7"/>
  <c r="PG3" i="7"/>
  <c r="PH3" i="7"/>
  <c r="PI3" i="7"/>
  <c r="PJ3" i="7"/>
  <c r="PK3" i="7"/>
  <c r="PL3" i="7"/>
  <c r="PM3" i="7"/>
  <c r="PN3" i="7"/>
  <c r="PO3" i="7"/>
  <c r="PP3" i="7"/>
  <c r="PQ3" i="7"/>
  <c r="PR3" i="7"/>
  <c r="PS3" i="7"/>
  <c r="PT3" i="7"/>
  <c r="PU3" i="7"/>
  <c r="PV3" i="7"/>
  <c r="PW3" i="7"/>
  <c r="PX3" i="7"/>
  <c r="PY3" i="7"/>
  <c r="PZ3" i="7"/>
  <c r="QA3" i="7"/>
  <c r="QB3" i="7"/>
  <c r="QC3" i="7"/>
  <c r="QD3" i="7"/>
  <c r="QE3" i="7"/>
  <c r="QF3" i="7"/>
  <c r="QG3" i="7"/>
  <c r="QH3" i="7"/>
  <c r="QI3" i="7"/>
  <c r="QJ3" i="7"/>
  <c r="QK3" i="7"/>
  <c r="QL3" i="7"/>
  <c r="QM3" i="7"/>
  <c r="QN3" i="7"/>
  <c r="QO3" i="7"/>
  <c r="QP3" i="7"/>
  <c r="QQ3" i="7"/>
  <c r="QR3" i="7"/>
  <c r="QS3" i="7"/>
  <c r="QT3" i="7"/>
  <c r="QU3" i="7"/>
  <c r="QV3" i="7"/>
  <c r="QW3" i="7"/>
  <c r="QX3" i="7"/>
  <c r="QY3" i="7"/>
  <c r="QZ3" i="7"/>
  <c r="RA3" i="7"/>
  <c r="RB3" i="7"/>
  <c r="RC3" i="7"/>
  <c r="RD3" i="7"/>
  <c r="RE3" i="7"/>
  <c r="RF3" i="7"/>
  <c r="RG3" i="7"/>
  <c r="RH3" i="7"/>
  <c r="RI3" i="7"/>
  <c r="RJ3" i="7"/>
  <c r="RK3" i="7"/>
  <c r="RL3" i="7"/>
  <c r="RM3" i="7"/>
  <c r="RN3" i="7"/>
  <c r="RO3" i="7"/>
  <c r="RP3" i="7"/>
  <c r="RQ3" i="7"/>
  <c r="RR3" i="7"/>
  <c r="RS3" i="7"/>
  <c r="RT3" i="7"/>
  <c r="RU3" i="7"/>
  <c r="RV3" i="7"/>
  <c r="RW3" i="7"/>
  <c r="RX3" i="7"/>
  <c r="RY3" i="7"/>
  <c r="RZ3" i="7"/>
  <c r="SA3" i="7"/>
  <c r="SB3" i="7"/>
  <c r="SC3" i="7"/>
  <c r="SD3" i="7"/>
  <c r="SE3" i="7"/>
  <c r="SF3" i="7"/>
  <c r="SG3" i="7"/>
  <c r="SH3" i="7"/>
  <c r="SI3" i="7"/>
  <c r="SJ3" i="7"/>
  <c r="SK3" i="7"/>
  <c r="SL3" i="7"/>
  <c r="SM3" i="7"/>
  <c r="SN3" i="7"/>
  <c r="SO3" i="7"/>
  <c r="SP3" i="7"/>
  <c r="SQ3" i="7"/>
  <c r="SR3" i="7"/>
  <c r="SS3" i="7"/>
  <c r="ST3" i="7"/>
  <c r="SU3" i="7"/>
  <c r="SV3" i="7"/>
  <c r="SW3" i="7"/>
  <c r="SX3" i="7"/>
  <c r="SY3" i="7"/>
  <c r="SZ3" i="7"/>
  <c r="TA3" i="7"/>
  <c r="TB3" i="7"/>
  <c r="TC3" i="7"/>
  <c r="TD3" i="7"/>
  <c r="TE3" i="7"/>
  <c r="TF3" i="7"/>
  <c r="TG3" i="7"/>
  <c r="TH3" i="7"/>
  <c r="TI3" i="7"/>
  <c r="TJ3" i="7"/>
  <c r="TK3" i="7"/>
  <c r="TL3" i="7"/>
  <c r="TM3" i="7"/>
  <c r="TN3" i="7"/>
  <c r="TO3" i="7"/>
  <c r="TP3" i="7"/>
  <c r="TQ3" i="7"/>
  <c r="TR3" i="7"/>
  <c r="TS3" i="7"/>
  <c r="TT3" i="7"/>
  <c r="TU3" i="7"/>
  <c r="TV3" i="7"/>
  <c r="TW3" i="7"/>
  <c r="TX3" i="7"/>
  <c r="TY3" i="7"/>
  <c r="TZ3" i="7"/>
  <c r="UA3" i="7"/>
  <c r="UB3" i="7"/>
  <c r="UC3" i="7"/>
  <c r="UD3" i="7"/>
  <c r="UE3" i="7"/>
  <c r="UF3" i="7"/>
  <c r="UG3" i="7"/>
  <c r="UH3" i="7"/>
  <c r="UI3" i="7"/>
  <c r="UJ3" i="7"/>
  <c r="UK3" i="7"/>
  <c r="UL3" i="7"/>
  <c r="UM3" i="7"/>
  <c r="UN3" i="7"/>
  <c r="UO3" i="7"/>
  <c r="UP3" i="7"/>
  <c r="UQ3" i="7"/>
  <c r="UR3" i="7"/>
  <c r="US3" i="7"/>
  <c r="UT3" i="7"/>
  <c r="UU3" i="7"/>
  <c r="UV3" i="7"/>
  <c r="UW3" i="7"/>
  <c r="UX3" i="7"/>
  <c r="UY3" i="7"/>
  <c r="UZ3" i="7"/>
  <c r="VA3" i="7"/>
  <c r="VB3" i="7"/>
  <c r="VC3" i="7"/>
  <c r="VD3" i="7"/>
  <c r="VE3" i="7"/>
  <c r="VF3" i="7"/>
  <c r="VG3" i="7"/>
  <c r="VH3" i="7"/>
  <c r="VI3" i="7"/>
  <c r="VJ3" i="7"/>
  <c r="VK3" i="7"/>
  <c r="VL3" i="7"/>
  <c r="VM3" i="7"/>
  <c r="VN3" i="7"/>
  <c r="VO3" i="7"/>
  <c r="VP3" i="7"/>
  <c r="VQ3" i="7"/>
  <c r="VR3" i="7"/>
  <c r="VS3" i="7"/>
  <c r="VT3" i="7"/>
  <c r="VU3" i="7"/>
  <c r="VV3" i="7"/>
  <c r="VW3" i="7"/>
  <c r="VX3" i="7"/>
  <c r="VY3" i="7"/>
  <c r="VZ3" i="7"/>
  <c r="WA3" i="7"/>
  <c r="WB3" i="7"/>
  <c r="WC3" i="7"/>
  <c r="WD3" i="7"/>
  <c r="WE3" i="7"/>
  <c r="WF3" i="7"/>
  <c r="WG3" i="7"/>
  <c r="WH3" i="7"/>
  <c r="WI3" i="7"/>
  <c r="WJ3" i="7"/>
  <c r="WK3" i="7"/>
  <c r="WL3" i="7"/>
  <c r="WM3" i="7"/>
  <c r="WN3" i="7"/>
  <c r="WO3" i="7"/>
  <c r="WP3" i="7"/>
  <c r="WQ3" i="7"/>
  <c r="WR3" i="7"/>
  <c r="WS3" i="7"/>
  <c r="WT3" i="7"/>
  <c r="WU3" i="7"/>
  <c r="WV3" i="7"/>
  <c r="WW3" i="7"/>
  <c r="WX3" i="7"/>
  <c r="WY3" i="7"/>
  <c r="WZ3" i="7"/>
  <c r="XA3" i="7"/>
  <c r="XB3" i="7"/>
  <c r="XC3" i="7"/>
  <c r="XD3" i="7"/>
  <c r="XE3" i="7"/>
  <c r="XF3" i="7"/>
  <c r="XG3" i="7"/>
  <c r="XH3" i="7"/>
  <c r="XI3" i="7"/>
  <c r="XJ3" i="7"/>
  <c r="XK3" i="7"/>
  <c r="XL3" i="7"/>
  <c r="XM3" i="7"/>
  <c r="XN3" i="7"/>
  <c r="XO3" i="7"/>
  <c r="XP3" i="7"/>
  <c r="XQ3" i="7"/>
  <c r="XR3" i="7"/>
  <c r="XS3" i="7"/>
  <c r="XT3" i="7"/>
  <c r="XU3" i="7"/>
  <c r="XV3" i="7"/>
  <c r="XW3" i="7"/>
  <c r="XX3" i="7"/>
  <c r="XY3" i="7"/>
  <c r="XZ3" i="7"/>
  <c r="YA3" i="7"/>
  <c r="YB3" i="7"/>
  <c r="YC3" i="7"/>
  <c r="YD3" i="7"/>
  <c r="YE3" i="7"/>
  <c r="YF3" i="7"/>
  <c r="YG3" i="7"/>
  <c r="YH3" i="7"/>
  <c r="YI3" i="7"/>
  <c r="YJ3" i="7"/>
  <c r="YK3" i="7"/>
  <c r="YL3" i="7"/>
  <c r="YM3" i="7"/>
  <c r="YN3" i="7"/>
  <c r="YO3" i="7"/>
  <c r="YP3" i="7"/>
  <c r="YQ3" i="7"/>
  <c r="YR3" i="7"/>
  <c r="YS3" i="7"/>
  <c r="YT3" i="7"/>
  <c r="YU3" i="7"/>
  <c r="YV3" i="7"/>
  <c r="YW3" i="7"/>
  <c r="YX3" i="7"/>
  <c r="YY3" i="7"/>
  <c r="YZ3" i="7"/>
  <c r="ZA3" i="7"/>
  <c r="ZB3" i="7"/>
  <c r="ZC3" i="7"/>
  <c r="ZD3" i="7"/>
  <c r="ZE3" i="7"/>
  <c r="ZF3" i="7"/>
  <c r="ZG3" i="7"/>
  <c r="ZH3" i="7"/>
  <c r="ZI3" i="7"/>
  <c r="ZJ3" i="7"/>
  <c r="ZK3" i="7"/>
  <c r="ZL3" i="7"/>
  <c r="ZM3" i="7"/>
  <c r="ZN3" i="7"/>
  <c r="ZO3" i="7"/>
  <c r="ZP3" i="7"/>
  <c r="ZQ3" i="7"/>
  <c r="ZR3" i="7"/>
  <c r="ZS3" i="7"/>
  <c r="ZT3" i="7"/>
  <c r="ZU3" i="7"/>
  <c r="ZV3" i="7"/>
  <c r="ZW3" i="7"/>
  <c r="ZX3" i="7"/>
  <c r="ZY3" i="7"/>
  <c r="ZZ3" i="7"/>
  <c r="AAA3" i="7"/>
  <c r="AAB3" i="7"/>
  <c r="AAC3" i="7"/>
  <c r="AAD3" i="7"/>
  <c r="AAE3" i="7"/>
  <c r="AAF3" i="7"/>
  <c r="AAG3" i="7"/>
  <c r="AAH3" i="7"/>
  <c r="AAI3" i="7"/>
  <c r="AAJ3" i="7"/>
  <c r="AAK3" i="7"/>
  <c r="AAL3" i="7"/>
  <c r="AAM3" i="7"/>
  <c r="AAN3" i="7"/>
  <c r="AAO3" i="7"/>
  <c r="AAP3" i="7"/>
  <c r="AAQ3" i="7"/>
  <c r="AAR3" i="7"/>
  <c r="AAS3" i="7"/>
  <c r="AAT3" i="7"/>
  <c r="AAU3" i="7"/>
  <c r="AAV3" i="7"/>
  <c r="AAW3" i="7"/>
  <c r="AAX3" i="7"/>
  <c r="AAY3" i="7"/>
  <c r="AAZ3" i="7"/>
  <c r="ABA3" i="7"/>
  <c r="ABB3" i="7"/>
  <c r="ABC3" i="7"/>
  <c r="ABD3" i="7"/>
  <c r="ABE3" i="7"/>
  <c r="ABF3" i="7"/>
  <c r="ABG3" i="7"/>
  <c r="ABH3" i="7"/>
  <c r="ABI3" i="7"/>
  <c r="ABJ3" i="7"/>
  <c r="ABK3" i="7"/>
  <c r="ABL3" i="7"/>
  <c r="ABM3" i="7"/>
  <c r="ABN3" i="7"/>
  <c r="ABO3" i="7"/>
  <c r="ABP3" i="7"/>
  <c r="ABQ3" i="7"/>
  <c r="ABR3" i="7"/>
  <c r="ABS3" i="7"/>
  <c r="ABT3" i="7"/>
  <c r="ABU3" i="7"/>
  <c r="ABV3" i="7"/>
  <c r="ABW3" i="7"/>
  <c r="ABX3" i="7"/>
  <c r="ABY3" i="7"/>
  <c r="ABZ3" i="7"/>
  <c r="ACA3" i="7"/>
  <c r="ACB3" i="7"/>
  <c r="ACC3" i="7"/>
  <c r="ACD3" i="7"/>
  <c r="ACE3" i="7"/>
  <c r="ACF3" i="7"/>
  <c r="ACG3" i="7"/>
  <c r="ACH3" i="7"/>
  <c r="ACI3" i="7"/>
  <c r="ACJ3" i="7"/>
  <c r="ACK3" i="7"/>
  <c r="ACL3" i="7"/>
  <c r="ACM3" i="7"/>
  <c r="ACN3" i="7"/>
  <c r="ACO3" i="7"/>
  <c r="ACP3" i="7"/>
  <c r="ACQ3" i="7"/>
  <c r="ACR3" i="7"/>
  <c r="ACS3" i="7"/>
  <c r="ACT3" i="7"/>
  <c r="ACU3" i="7"/>
  <c r="ACV3" i="7"/>
  <c r="ACW3" i="7"/>
  <c r="ACX3" i="7"/>
  <c r="ACY3" i="7"/>
  <c r="ACZ3" i="7"/>
  <c r="ADA3" i="7"/>
  <c r="ADB3" i="7"/>
  <c r="ADC3" i="7"/>
  <c r="ADD3" i="7"/>
  <c r="ADE3" i="7"/>
  <c r="ADF3" i="7"/>
  <c r="ADG3" i="7"/>
  <c r="ADH3" i="7"/>
  <c r="ADI3" i="7"/>
  <c r="ADJ3" i="7"/>
  <c r="ADK3" i="7"/>
  <c r="ADL3" i="7"/>
  <c r="ADM3" i="7"/>
  <c r="ADN3" i="7"/>
  <c r="ADO3" i="7"/>
  <c r="ADP3" i="7"/>
  <c r="ADQ3" i="7"/>
  <c r="ADR3" i="7"/>
  <c r="ADS3" i="7"/>
  <c r="ADT3" i="7"/>
  <c r="ADU3" i="7"/>
  <c r="ADV3" i="7"/>
  <c r="ADW3" i="7"/>
  <c r="ADX3" i="7"/>
  <c r="ADY3" i="7"/>
  <c r="ADZ3" i="7"/>
  <c r="AEA3" i="7"/>
  <c r="AEB3" i="7"/>
  <c r="AEC3" i="7"/>
  <c r="AED3" i="7"/>
  <c r="AEE3" i="7"/>
  <c r="AEF3" i="7"/>
  <c r="AEG3" i="7"/>
  <c r="AEH3" i="7"/>
  <c r="AEI3" i="7"/>
  <c r="AEJ3" i="7"/>
  <c r="AEK3" i="7"/>
  <c r="AEL3" i="7"/>
  <c r="AEM3" i="7"/>
  <c r="AEN3" i="7"/>
  <c r="AEO3" i="7"/>
  <c r="AEP3" i="7"/>
  <c r="AEQ3" i="7"/>
  <c r="AER3" i="7"/>
  <c r="AES3" i="7"/>
  <c r="AET3" i="7"/>
  <c r="AEU3" i="7"/>
  <c r="AEV3" i="7"/>
  <c r="AEW3" i="7"/>
  <c r="AEX3" i="7"/>
  <c r="AEY3" i="7"/>
  <c r="AEZ3" i="7"/>
  <c r="AFA3" i="7"/>
  <c r="AFB3" i="7"/>
  <c r="AFC3" i="7"/>
  <c r="AFD3" i="7"/>
  <c r="AFE3" i="7"/>
  <c r="AFF3" i="7"/>
  <c r="AFG3" i="7"/>
  <c r="AFH3" i="7"/>
  <c r="AFI3" i="7"/>
  <c r="AFJ3" i="7"/>
  <c r="AFK3" i="7"/>
  <c r="AFL3" i="7"/>
  <c r="AFM3" i="7"/>
  <c r="AFN3" i="7"/>
  <c r="AFO3" i="7"/>
  <c r="AFP3" i="7"/>
  <c r="AFQ3" i="7"/>
  <c r="AFR3" i="7"/>
  <c r="AFS3" i="7"/>
  <c r="AFT3" i="7"/>
  <c r="AFU3" i="7"/>
  <c r="AFV3" i="7"/>
  <c r="AFW3" i="7"/>
  <c r="AFX3" i="7"/>
  <c r="AFY3" i="7"/>
  <c r="AFZ3" i="7"/>
  <c r="AGA3" i="7"/>
  <c r="AGB3" i="7"/>
  <c r="AGC3" i="7"/>
  <c r="AGD3" i="7"/>
  <c r="AGE3" i="7"/>
  <c r="AGF3" i="7"/>
  <c r="AGG3" i="7"/>
  <c r="AGH3" i="7"/>
  <c r="AGI3" i="7"/>
  <c r="AGJ3" i="7"/>
  <c r="AGK3" i="7"/>
  <c r="AGL3" i="7"/>
  <c r="AGM3" i="7"/>
  <c r="AGN3" i="7"/>
  <c r="AGO3" i="7"/>
  <c r="AGP3" i="7"/>
  <c r="AGQ3" i="7"/>
  <c r="AGR3" i="7"/>
  <c r="AGS3" i="7"/>
  <c r="AGT3" i="7"/>
  <c r="AGU3" i="7"/>
  <c r="AGV3" i="7"/>
  <c r="AGW3" i="7"/>
  <c r="AGX3" i="7"/>
  <c r="AGY3" i="7"/>
  <c r="AGZ3" i="7"/>
  <c r="AHA3" i="7"/>
  <c r="AHB3" i="7"/>
  <c r="AHC3" i="7"/>
  <c r="AHD3" i="7"/>
  <c r="AHE3" i="7"/>
  <c r="AHF3" i="7"/>
  <c r="AHG3" i="7"/>
  <c r="AHH3" i="7"/>
  <c r="AHI3" i="7"/>
  <c r="AHJ3" i="7"/>
  <c r="AHK3" i="7"/>
  <c r="AHL3" i="7"/>
  <c r="AHM3" i="7"/>
  <c r="AHN3" i="7"/>
  <c r="AHO3" i="7"/>
  <c r="AHP3" i="7"/>
  <c r="AHQ3" i="7"/>
  <c r="AHR3" i="7"/>
  <c r="AHS3" i="7"/>
  <c r="AHT3" i="7"/>
  <c r="AHU3" i="7"/>
  <c r="AHV3" i="7"/>
  <c r="AHW3" i="7"/>
  <c r="AHX3" i="7"/>
  <c r="AHY3" i="7"/>
  <c r="AHZ3" i="7"/>
  <c r="AIA3" i="7"/>
  <c r="AIB3" i="7"/>
  <c r="AIC3" i="7"/>
  <c r="AID3" i="7"/>
  <c r="AIE3" i="7"/>
  <c r="AIF3" i="7"/>
  <c r="AIG3" i="7"/>
  <c r="AIH3" i="7"/>
  <c r="AII3" i="7"/>
  <c r="AIJ3" i="7"/>
  <c r="AIK3" i="7"/>
  <c r="AIL3" i="7"/>
  <c r="AIM3" i="7"/>
  <c r="AIN3" i="7"/>
  <c r="AIO3" i="7"/>
  <c r="AIP3" i="7"/>
  <c r="AIQ3" i="7"/>
  <c r="AIR3" i="7"/>
  <c r="AIS3" i="7"/>
  <c r="AIT3" i="7"/>
  <c r="AIU3" i="7"/>
  <c r="AIV3" i="7"/>
  <c r="AIW3" i="7"/>
  <c r="AIX3" i="7"/>
  <c r="AIY3" i="7"/>
  <c r="AIZ3" i="7"/>
  <c r="AJA3" i="7"/>
  <c r="AJB3" i="7"/>
  <c r="AJC3" i="7"/>
  <c r="AJD3" i="7"/>
  <c r="AJE3" i="7"/>
  <c r="AJF3" i="7"/>
  <c r="AJG3" i="7"/>
  <c r="AJH3" i="7"/>
  <c r="AJI3" i="7"/>
  <c r="AJJ3" i="7"/>
  <c r="AJK3" i="7"/>
  <c r="AJL3" i="7"/>
  <c r="AJM3" i="7"/>
  <c r="AJN3" i="7"/>
  <c r="AJO3" i="7"/>
  <c r="AJP3" i="7"/>
  <c r="AJQ3" i="7"/>
  <c r="AJR3" i="7"/>
  <c r="AJS3" i="7"/>
  <c r="AJT3" i="7"/>
  <c r="AJU3" i="7"/>
  <c r="AJV3" i="7"/>
  <c r="AJW3" i="7"/>
  <c r="AJX3" i="7"/>
  <c r="AJY3" i="7"/>
  <c r="AJZ3" i="7"/>
  <c r="AKA3" i="7"/>
  <c r="AKB3" i="7"/>
  <c r="AKC3" i="7"/>
  <c r="AKD3" i="7"/>
  <c r="AKE3" i="7"/>
  <c r="AKF3" i="7"/>
  <c r="AKG3" i="7"/>
  <c r="AKH3" i="7"/>
  <c r="AKI3" i="7"/>
  <c r="AKJ3" i="7"/>
  <c r="AKK3" i="7"/>
  <c r="AKL3" i="7"/>
  <c r="AKM3" i="7"/>
  <c r="AKN3" i="7"/>
  <c r="AKO3" i="7"/>
  <c r="AKP3" i="7"/>
  <c r="AKQ3" i="7"/>
  <c r="AKR3" i="7"/>
  <c r="AKS3" i="7"/>
  <c r="AKT3" i="7"/>
  <c r="AKU3" i="7"/>
  <c r="AKV3" i="7"/>
  <c r="AKW3" i="7"/>
  <c r="AKX3" i="7"/>
  <c r="AKY3" i="7"/>
  <c r="AKZ3" i="7"/>
  <c r="ALA3" i="7"/>
  <c r="ALB3" i="7"/>
  <c r="ALC3" i="7"/>
  <c r="ALD3" i="7"/>
  <c r="ALE3" i="7"/>
  <c r="ALF3" i="7"/>
  <c r="ALG3" i="7"/>
  <c r="ALH3" i="7"/>
  <c r="ALI3" i="7"/>
  <c r="ALJ3" i="7"/>
  <c r="ALK3" i="7"/>
  <c r="ALL3" i="7"/>
  <c r="ALM3" i="7"/>
  <c r="ALN3" i="7"/>
  <c r="ALO3" i="7"/>
  <c r="ALP3" i="7"/>
  <c r="ALQ3" i="7"/>
  <c r="ALR3" i="7"/>
  <c r="ALS3" i="7"/>
  <c r="ALT3" i="7"/>
  <c r="ALU3" i="7"/>
  <c r="ALV3" i="7"/>
  <c r="ALW3" i="7"/>
  <c r="ALX3" i="7"/>
  <c r="ALY3" i="7"/>
  <c r="ALZ3" i="7"/>
  <c r="AMA3" i="7"/>
  <c r="AMB3" i="7"/>
  <c r="AMC3" i="7"/>
  <c r="AMD3" i="7"/>
  <c r="AME3" i="7"/>
  <c r="AMF3" i="7"/>
  <c r="AMG3" i="7"/>
  <c r="AMH3" i="7"/>
  <c r="AMI3" i="7"/>
  <c r="AMJ3" i="7"/>
  <c r="AMK3" i="7"/>
  <c r="AML3" i="7"/>
  <c r="AMM3" i="7"/>
  <c r="AMN3" i="7"/>
  <c r="AMO3" i="7"/>
  <c r="AMP3" i="7"/>
  <c r="AMQ3" i="7"/>
  <c r="AMR3" i="7"/>
  <c r="AMS3" i="7"/>
  <c r="AMT3" i="7"/>
  <c r="AMU3" i="7"/>
  <c r="AMV3" i="7"/>
  <c r="AMW3" i="7"/>
  <c r="AMX3" i="7"/>
  <c r="AMY3" i="7"/>
  <c r="AMZ3" i="7"/>
  <c r="ANA3" i="7"/>
  <c r="ANB3" i="7"/>
  <c r="ANC3" i="7"/>
  <c r="AND3" i="7"/>
  <c r="ANE3" i="7"/>
  <c r="ANF3" i="7"/>
  <c r="ANG3" i="7"/>
  <c r="ANH3" i="7"/>
  <c r="ANI3" i="7"/>
  <c r="ANJ3" i="7"/>
  <c r="ANK3" i="7"/>
  <c r="ANL3" i="7"/>
  <c r="ANM3" i="7"/>
  <c r="ANN3" i="7"/>
  <c r="ANO3" i="7"/>
  <c r="ANP3" i="7"/>
  <c r="ANQ3" i="7"/>
  <c r="ANR3" i="7"/>
  <c r="ANS3" i="7"/>
  <c r="ANT3" i="7"/>
  <c r="ANU3" i="7"/>
  <c r="ANV3" i="7"/>
  <c r="ANW3" i="7"/>
  <c r="ANX3" i="7"/>
  <c r="ANY3" i="7"/>
  <c r="ANZ3" i="7"/>
  <c r="AOA3" i="7"/>
  <c r="AOB3" i="7"/>
  <c r="AOC3" i="7"/>
  <c r="AOD3" i="7"/>
  <c r="AOE3" i="7"/>
  <c r="AOF3" i="7"/>
  <c r="AOG3" i="7"/>
  <c r="AOH3" i="7"/>
  <c r="AOI3" i="7"/>
  <c r="AOJ3" i="7"/>
  <c r="AOK3" i="7"/>
  <c r="AOL3" i="7"/>
  <c r="AOM3" i="7"/>
  <c r="AON3" i="7"/>
  <c r="AOO3" i="7"/>
  <c r="AOP3" i="7"/>
  <c r="AOQ3" i="7"/>
  <c r="AOR3" i="7"/>
  <c r="AOS3" i="7"/>
  <c r="AOT3" i="7"/>
  <c r="AOU3" i="7"/>
  <c r="AOV3" i="7"/>
  <c r="AOW3" i="7"/>
  <c r="AOX3" i="7"/>
  <c r="AOY3" i="7"/>
  <c r="AOZ3" i="7"/>
  <c r="APA3" i="7"/>
  <c r="APB3" i="7"/>
  <c r="APC3" i="7"/>
  <c r="APD3" i="7"/>
  <c r="APE3" i="7"/>
  <c r="APF3" i="7"/>
  <c r="APG3" i="7"/>
  <c r="APH3" i="7"/>
  <c r="API3" i="7"/>
  <c r="APJ3" i="7"/>
  <c r="APK3" i="7"/>
  <c r="APL3" i="7"/>
  <c r="APM3" i="7"/>
  <c r="APN3" i="7"/>
  <c r="APO3" i="7"/>
  <c r="APP3" i="7"/>
  <c r="APQ3" i="7"/>
  <c r="APR3" i="7"/>
  <c r="APS3" i="7"/>
  <c r="APT3" i="7"/>
  <c r="APU3" i="7"/>
  <c r="APV3" i="7"/>
  <c r="APW3" i="7"/>
  <c r="APX3" i="7"/>
  <c r="APY3" i="7"/>
  <c r="APZ3" i="7"/>
  <c r="AQA3" i="7"/>
  <c r="AQB3" i="7"/>
  <c r="AQC3" i="7"/>
  <c r="AQD3" i="7"/>
  <c r="AQE3" i="7"/>
  <c r="AQF3" i="7"/>
  <c r="AQG3" i="7"/>
  <c r="AQH3" i="7"/>
  <c r="AQI3" i="7"/>
  <c r="AQJ3" i="7"/>
  <c r="AQK3" i="7"/>
  <c r="AQL3" i="7"/>
  <c r="AQM3" i="7"/>
  <c r="AQN3" i="7"/>
  <c r="AQO3" i="7"/>
  <c r="AQP3" i="7"/>
  <c r="AQQ3" i="7"/>
  <c r="AQR3" i="7"/>
  <c r="AQS3" i="7"/>
  <c r="AQT3" i="7"/>
  <c r="AQU3" i="7"/>
  <c r="AQV3" i="7"/>
  <c r="AQW3" i="7"/>
  <c r="AQX3" i="7"/>
  <c r="AQY3" i="7"/>
  <c r="AQZ3" i="7"/>
  <c r="ARA3" i="7"/>
  <c r="ARB3" i="7"/>
  <c r="ARC3" i="7"/>
  <c r="ARD3" i="7"/>
  <c r="ARE3" i="7"/>
  <c r="ARF3" i="7"/>
  <c r="ARG3" i="7"/>
  <c r="ARH3" i="7"/>
  <c r="ARI3" i="7"/>
  <c r="ARJ3" i="7"/>
  <c r="ARK3" i="7"/>
  <c r="ARL3" i="7"/>
  <c r="ARM3" i="7"/>
  <c r="ARN3" i="7"/>
  <c r="ARO3" i="7"/>
  <c r="ARP3" i="7"/>
  <c r="ARQ3" i="7"/>
  <c r="ARR3" i="7"/>
  <c r="ARS3" i="7"/>
  <c r="ART3" i="7"/>
  <c r="ARU3" i="7"/>
  <c r="ARV3" i="7"/>
  <c r="ARW3" i="7"/>
  <c r="ARX3" i="7"/>
  <c r="ARY3" i="7"/>
  <c r="ARZ3" i="7"/>
  <c r="ASA3" i="7"/>
  <c r="ASB3" i="7"/>
  <c r="ASC3" i="7"/>
  <c r="ASD3" i="7"/>
  <c r="ASE3" i="7"/>
  <c r="ASF3" i="7"/>
  <c r="ASG3" i="7"/>
  <c r="ASH3" i="7"/>
  <c r="ASI3" i="7"/>
  <c r="ASJ3" i="7"/>
  <c r="ASK3" i="7"/>
  <c r="ASL3" i="7"/>
  <c r="ASM3" i="7"/>
  <c r="ASN3" i="7"/>
  <c r="ASO3" i="7"/>
  <c r="ASP3" i="7"/>
  <c r="ASQ3" i="7"/>
  <c r="ASR3" i="7"/>
  <c r="ASS3" i="7"/>
  <c r="AST3" i="7"/>
  <c r="ASU3" i="7"/>
  <c r="ASV3" i="7"/>
  <c r="ASW3" i="7"/>
  <c r="ASX3" i="7"/>
  <c r="ASY3" i="7"/>
  <c r="ASZ3" i="7"/>
  <c r="ATA3" i="7"/>
  <c r="ATB3" i="7"/>
  <c r="ATC3" i="7"/>
  <c r="ATD3" i="7"/>
  <c r="ATE3" i="7"/>
  <c r="ATF3" i="7"/>
  <c r="ATG3" i="7"/>
  <c r="ATH3" i="7"/>
  <c r="ATI3" i="7"/>
  <c r="ATJ3" i="7"/>
  <c r="ATK3" i="7"/>
  <c r="ATL3" i="7"/>
  <c r="ATM3" i="7"/>
  <c r="ATN3" i="7"/>
  <c r="ATO3" i="7"/>
  <c r="ATP3" i="7"/>
  <c r="ATQ3" i="7"/>
  <c r="ATR3" i="7"/>
  <c r="ATS3" i="7"/>
  <c r="ATT3" i="7"/>
  <c r="ATU3" i="7"/>
  <c r="ATV3" i="7"/>
  <c r="ATW3" i="7"/>
  <c r="ATX3" i="7"/>
  <c r="ATY3" i="7"/>
  <c r="ATZ3" i="7"/>
  <c r="AUA3" i="7"/>
  <c r="AUB3" i="7"/>
  <c r="AUC3" i="7"/>
  <c r="AUD3" i="7"/>
  <c r="AUE3" i="7"/>
  <c r="AUF3" i="7"/>
  <c r="AUG3" i="7"/>
  <c r="AUH3" i="7"/>
  <c r="AUI3" i="7"/>
  <c r="AUJ3" i="7"/>
  <c r="AUK3" i="7"/>
  <c r="AUL3" i="7"/>
  <c r="AUM3" i="7"/>
  <c r="AUN3" i="7"/>
  <c r="AUO3" i="7"/>
  <c r="AUP3" i="7"/>
  <c r="AUQ3" i="7"/>
  <c r="AUR3" i="7"/>
  <c r="AUS3" i="7"/>
  <c r="AUT3" i="7"/>
  <c r="AUU3" i="7"/>
  <c r="AUV3" i="7"/>
  <c r="AUW3" i="7"/>
  <c r="AUX3" i="7"/>
  <c r="AUY3" i="7"/>
  <c r="AUZ3" i="7"/>
  <c r="AVA3" i="7"/>
  <c r="AVB3" i="7"/>
  <c r="AVC3" i="7"/>
  <c r="AVD3" i="7"/>
  <c r="AVE3" i="7"/>
  <c r="AVF3" i="7"/>
  <c r="AVG3" i="7"/>
  <c r="AVH3" i="7"/>
  <c r="AVI3" i="7"/>
  <c r="AVJ3" i="7"/>
  <c r="AVK3" i="7"/>
  <c r="AVL3" i="7"/>
  <c r="AVM3" i="7"/>
  <c r="AVN3" i="7"/>
  <c r="AVO3" i="7"/>
  <c r="AVP3" i="7"/>
  <c r="AVQ3" i="7"/>
  <c r="AVR3" i="7"/>
  <c r="AVS3" i="7"/>
  <c r="AVT3" i="7"/>
  <c r="AVU3" i="7"/>
  <c r="AVV3" i="7"/>
  <c r="AVW3" i="7"/>
  <c r="AVX3" i="7"/>
  <c r="AVY3" i="7"/>
  <c r="AVZ3" i="7"/>
  <c r="AWA3" i="7"/>
  <c r="AWB3" i="7"/>
  <c r="AWC3" i="7"/>
  <c r="AWD3" i="7"/>
  <c r="AWE3" i="7"/>
  <c r="AWF3" i="7"/>
  <c r="AWG3" i="7"/>
  <c r="AWH3" i="7"/>
  <c r="AWI3" i="7"/>
  <c r="AWJ3" i="7"/>
  <c r="AWK3" i="7"/>
  <c r="AWL3" i="7"/>
  <c r="AWM3" i="7"/>
  <c r="AWN3" i="7"/>
  <c r="AWO3" i="7"/>
  <c r="AWP3" i="7"/>
  <c r="AWQ3" i="7"/>
  <c r="AWR3" i="7"/>
  <c r="AWS3" i="7"/>
  <c r="AWT3" i="7"/>
  <c r="AWU3" i="7"/>
  <c r="AWV3" i="7"/>
  <c r="AWW3" i="7"/>
  <c r="AWX3" i="7"/>
  <c r="AWY3" i="7"/>
  <c r="AWZ3" i="7"/>
  <c r="AXA3" i="7"/>
  <c r="AXB3" i="7"/>
  <c r="AXC3" i="7"/>
  <c r="AXD3" i="7"/>
  <c r="AXE3" i="7"/>
  <c r="AXF3" i="7"/>
  <c r="AXG3" i="7"/>
  <c r="AXH3" i="7"/>
  <c r="AXI3" i="7"/>
  <c r="AXJ3" i="7"/>
  <c r="AXK3" i="7"/>
  <c r="AXL3" i="7"/>
  <c r="AXM3" i="7"/>
  <c r="AXN3" i="7"/>
  <c r="AXO3" i="7"/>
  <c r="AXP3" i="7"/>
  <c r="AXQ3" i="7"/>
  <c r="AXR3" i="7"/>
  <c r="AXS3" i="7"/>
  <c r="AXT3" i="7"/>
  <c r="AXU3" i="7"/>
  <c r="AXV3" i="7"/>
  <c r="AXW3" i="7"/>
  <c r="AXX3" i="7"/>
  <c r="AXY3" i="7"/>
  <c r="AXZ3" i="7"/>
  <c r="AYA3" i="7"/>
  <c r="AYB3" i="7"/>
  <c r="AYC3" i="7"/>
  <c r="AYD3" i="7"/>
  <c r="AYE3" i="7"/>
  <c r="AYF3" i="7"/>
  <c r="AYG3" i="7"/>
  <c r="AYH3" i="7"/>
  <c r="AYI3" i="7"/>
  <c r="AYJ3" i="7"/>
  <c r="AYK3" i="7"/>
  <c r="AYL3" i="7"/>
  <c r="AYM3" i="7"/>
  <c r="AYN3" i="7"/>
  <c r="AYO3" i="7"/>
  <c r="AYP3" i="7"/>
  <c r="AYQ3" i="7"/>
  <c r="AYR3" i="7"/>
  <c r="AYS3" i="7"/>
  <c r="AYT3" i="7"/>
  <c r="AYU3" i="7"/>
  <c r="AYV3" i="7"/>
  <c r="AYW3" i="7"/>
  <c r="AYX3" i="7"/>
  <c r="AYY3" i="7"/>
  <c r="AYZ3" i="7"/>
  <c r="AZA3" i="7"/>
  <c r="AZB3" i="7"/>
  <c r="AZC3" i="7"/>
  <c r="AZD3" i="7"/>
  <c r="AZE3" i="7"/>
  <c r="AZF3" i="7"/>
  <c r="AZG3" i="7"/>
  <c r="AZH3" i="7"/>
  <c r="AZI3" i="7"/>
  <c r="AZJ3" i="7"/>
  <c r="AZK3" i="7"/>
  <c r="AZL3" i="7"/>
  <c r="AZM3" i="7"/>
  <c r="AZN3" i="7"/>
  <c r="AZO3" i="7"/>
  <c r="AZP3" i="7"/>
  <c r="AZQ3" i="7"/>
  <c r="AZR3" i="7"/>
  <c r="AZS3" i="7"/>
  <c r="AZT3" i="7"/>
  <c r="AZU3" i="7"/>
  <c r="AZV3" i="7"/>
  <c r="AZW3" i="7"/>
  <c r="AZX3" i="7"/>
  <c r="AZY3" i="7"/>
  <c r="AZZ3" i="7"/>
  <c r="BAA3" i="7"/>
  <c r="BAB3" i="7"/>
  <c r="BAC3" i="7"/>
  <c r="BAD3" i="7"/>
  <c r="BAE3" i="7"/>
  <c r="BAF3" i="7"/>
  <c r="BAG3" i="7"/>
  <c r="BAH3" i="7"/>
  <c r="BAI3" i="7"/>
  <c r="BAJ3" i="7"/>
  <c r="BAK3" i="7"/>
  <c r="BAL3" i="7"/>
  <c r="BAM3" i="7"/>
  <c r="BAN3" i="7"/>
  <c r="BAO3" i="7"/>
  <c r="BAP3" i="7"/>
  <c r="BAQ3" i="7"/>
  <c r="BAR3" i="7"/>
  <c r="BAS3" i="7"/>
  <c r="BAT3" i="7"/>
  <c r="BAU3" i="7"/>
  <c r="BAV3" i="7"/>
  <c r="BAW3" i="7"/>
  <c r="BAX3" i="7"/>
  <c r="BAY3" i="7"/>
  <c r="BAZ3" i="7"/>
  <c r="BBA3" i="7"/>
  <c r="BBB3" i="7"/>
  <c r="BBC3" i="7"/>
  <c r="BBD3" i="7"/>
  <c r="BBE3" i="7"/>
  <c r="BBF3" i="7"/>
  <c r="BBG3" i="7"/>
  <c r="BBH3" i="7"/>
  <c r="BBI3" i="7"/>
  <c r="BBJ3" i="7"/>
  <c r="BBK3" i="7"/>
  <c r="BBL3" i="7"/>
  <c r="BBM3" i="7"/>
  <c r="BBN3" i="7"/>
  <c r="BBO3" i="7"/>
  <c r="BBP3" i="7"/>
  <c r="BBQ3" i="7"/>
  <c r="BBR3" i="7"/>
  <c r="BBS3" i="7"/>
  <c r="BBT3" i="7"/>
  <c r="BBU3" i="7"/>
  <c r="BBV3" i="7"/>
  <c r="BBW3" i="7"/>
  <c r="BBX3" i="7"/>
  <c r="BBY3" i="7"/>
  <c r="BBZ3" i="7"/>
  <c r="BCA3" i="7"/>
  <c r="BCB3" i="7"/>
  <c r="BCC3" i="7"/>
  <c r="BCD3" i="7"/>
  <c r="BCE3" i="7"/>
  <c r="BCF3" i="7"/>
  <c r="BCG3" i="7"/>
  <c r="BCH3" i="7"/>
  <c r="BCI3" i="7"/>
  <c r="BCJ3" i="7"/>
  <c r="BCK3" i="7"/>
  <c r="BCL3" i="7"/>
  <c r="BCM3" i="7"/>
  <c r="BCN3" i="7"/>
  <c r="BCO3" i="7"/>
  <c r="BCP3" i="7"/>
  <c r="BCQ3" i="7"/>
  <c r="BCR3" i="7"/>
  <c r="BCS3" i="7"/>
  <c r="BCT3" i="7"/>
  <c r="BCU3" i="7"/>
  <c r="BCV3" i="7"/>
  <c r="BCW3" i="7"/>
  <c r="BCX3" i="7"/>
  <c r="BCY3" i="7"/>
  <c r="BCZ3" i="7"/>
  <c r="BDA3" i="7"/>
  <c r="BDB3" i="7"/>
  <c r="BDC3" i="7"/>
  <c r="BDD3" i="7"/>
  <c r="BDE3" i="7"/>
  <c r="BDF3" i="7"/>
  <c r="BDG3" i="7"/>
  <c r="BDH3" i="7"/>
  <c r="BDI3" i="7"/>
  <c r="BDJ3" i="7"/>
  <c r="BDK3" i="7"/>
  <c r="BDL3" i="7"/>
  <c r="BDM3" i="7"/>
  <c r="BDN3" i="7"/>
  <c r="BDO3" i="7"/>
  <c r="BDP3" i="7"/>
  <c r="BDQ3" i="7"/>
  <c r="BDR3" i="7"/>
  <c r="BDS3" i="7"/>
  <c r="BDT3" i="7"/>
  <c r="BDU3" i="7"/>
  <c r="BDV3" i="7"/>
  <c r="BDW3" i="7"/>
  <c r="BDX3" i="7"/>
  <c r="BDY3" i="7"/>
  <c r="BDZ3" i="7"/>
  <c r="BEA3" i="7"/>
  <c r="BEB3" i="7"/>
  <c r="BEC3" i="7"/>
  <c r="BED3" i="7"/>
  <c r="BEE3" i="7"/>
  <c r="BEF3" i="7"/>
  <c r="BEG3" i="7"/>
  <c r="BEH3" i="7"/>
  <c r="BEI3" i="7"/>
  <c r="BEJ3" i="7"/>
  <c r="BEK3" i="7"/>
  <c r="BEL3" i="7"/>
  <c r="BEM3" i="7"/>
  <c r="BEN3" i="7"/>
  <c r="BEO3" i="7"/>
  <c r="BEP3" i="7"/>
  <c r="BEQ3" i="7"/>
  <c r="BER3" i="7"/>
  <c r="BES3" i="7"/>
  <c r="BET3" i="7"/>
  <c r="BEU3" i="7"/>
  <c r="BEV3" i="7"/>
  <c r="BEW3" i="7"/>
  <c r="BEX3" i="7"/>
  <c r="BEY3" i="7"/>
  <c r="BEZ3" i="7"/>
  <c r="BFA3" i="7"/>
  <c r="BFB3" i="7"/>
  <c r="BFC3" i="7"/>
  <c r="BFD3" i="7"/>
  <c r="BFE3" i="7"/>
  <c r="BFF3" i="7"/>
  <c r="BFG3" i="7"/>
  <c r="BFH3" i="7"/>
  <c r="BFI3" i="7"/>
  <c r="BFJ3" i="7"/>
  <c r="BFK3" i="7"/>
  <c r="BFL3" i="7"/>
  <c r="BFM3" i="7"/>
  <c r="BFN3" i="7"/>
  <c r="BFO3" i="7"/>
  <c r="BFP3" i="7"/>
  <c r="BFQ3" i="7"/>
  <c r="BFR3" i="7"/>
  <c r="BFS3" i="7"/>
  <c r="BFT3" i="7"/>
  <c r="BFU3" i="7"/>
  <c r="BFV3" i="7"/>
  <c r="BFW3" i="7"/>
  <c r="BFX3" i="7"/>
  <c r="BFY3" i="7"/>
  <c r="BFZ3" i="7"/>
  <c r="BGA3" i="7"/>
  <c r="BGB3" i="7"/>
  <c r="BGC3" i="7"/>
  <c r="BGD3" i="7"/>
  <c r="BGE3" i="7"/>
  <c r="BGF3" i="7"/>
  <c r="BGG3" i="7"/>
  <c r="BGH3" i="7"/>
  <c r="BGI3" i="7"/>
  <c r="BGJ3" i="7"/>
  <c r="BGK3" i="7"/>
  <c r="BGL3" i="7"/>
  <c r="BGM3" i="7"/>
  <c r="BGN3" i="7"/>
  <c r="BGO3" i="7"/>
  <c r="BGP3" i="7"/>
  <c r="BGQ3" i="7"/>
  <c r="BGR3" i="7"/>
  <c r="BGS3" i="7"/>
  <c r="BGT3" i="7"/>
  <c r="BGU3" i="7"/>
  <c r="BGV3" i="7"/>
  <c r="BGW3" i="7"/>
  <c r="BGX3" i="7"/>
  <c r="BGY3" i="7"/>
  <c r="BGZ3" i="7"/>
  <c r="BHA3" i="7"/>
  <c r="BHB3" i="7"/>
  <c r="BHC3" i="7"/>
  <c r="BHD3" i="7"/>
  <c r="BHE3" i="7"/>
  <c r="BHF3" i="7"/>
  <c r="BHG3" i="7"/>
  <c r="BHH3" i="7"/>
  <c r="BHI3" i="7"/>
  <c r="BHJ3" i="7"/>
  <c r="BHK3" i="7"/>
  <c r="BHL3" i="7"/>
  <c r="BHM3" i="7"/>
  <c r="BHN3" i="7"/>
  <c r="BHO3" i="7"/>
  <c r="BHP3" i="7"/>
  <c r="BHQ3" i="7"/>
  <c r="BHR3" i="7"/>
  <c r="BHS3" i="7"/>
  <c r="BHT3" i="7"/>
  <c r="BHU3" i="7"/>
  <c r="BHV3" i="7"/>
  <c r="BHW3" i="7"/>
  <c r="BHX3" i="7"/>
  <c r="BHY3" i="7"/>
  <c r="BHZ3" i="7"/>
  <c r="BIA3" i="7"/>
  <c r="BIB3" i="7"/>
  <c r="BIC3" i="7"/>
  <c r="BID3" i="7"/>
  <c r="BIE3" i="7"/>
  <c r="BIF3" i="7"/>
  <c r="BIG3" i="7"/>
  <c r="BIH3" i="7"/>
  <c r="BII3" i="7"/>
  <c r="BIJ3" i="7"/>
  <c r="BIK3" i="7"/>
  <c r="BIL3" i="7"/>
  <c r="BIM3" i="7"/>
  <c r="BIN3" i="7"/>
  <c r="BIO3" i="7"/>
  <c r="BIP3" i="7"/>
  <c r="BIQ3" i="7"/>
  <c r="BIR3" i="7"/>
  <c r="BIS3" i="7"/>
  <c r="BIT3" i="7"/>
  <c r="BIU3" i="7"/>
  <c r="BIV3" i="7"/>
  <c r="BIW3" i="7"/>
  <c r="BIX3" i="7"/>
  <c r="BIY3" i="7"/>
  <c r="BIZ3" i="7"/>
  <c r="BJA3" i="7"/>
  <c r="BJB3" i="7"/>
  <c r="BJC3" i="7"/>
  <c r="BJD3" i="7"/>
  <c r="BJE3" i="7"/>
  <c r="BJF3" i="7"/>
  <c r="BJG3" i="7"/>
  <c r="BJH3" i="7"/>
  <c r="BJI3" i="7"/>
  <c r="BJJ3" i="7"/>
  <c r="BJK3" i="7"/>
  <c r="BJL3" i="7"/>
  <c r="BJM3" i="7"/>
  <c r="BJN3" i="7"/>
  <c r="BJO3" i="7"/>
  <c r="BJP3" i="7"/>
  <c r="BJQ3" i="7"/>
  <c r="BJR3" i="7"/>
  <c r="BJS3" i="7"/>
  <c r="BJT3" i="7"/>
  <c r="BJU3" i="7"/>
  <c r="BJV3" i="7"/>
  <c r="BJW3" i="7"/>
  <c r="BJX3" i="7"/>
  <c r="BJY3" i="7"/>
  <c r="BJZ3" i="7"/>
  <c r="BKA3" i="7"/>
  <c r="BKB3" i="7"/>
  <c r="BKC3" i="7"/>
  <c r="BKD3" i="7"/>
  <c r="BKE3" i="7"/>
  <c r="BKF3" i="7"/>
  <c r="BKG3" i="7"/>
  <c r="BKH3" i="7"/>
  <c r="BKI3" i="7"/>
  <c r="BKJ3" i="7"/>
  <c r="BKK3" i="7"/>
  <c r="BKL3" i="7"/>
  <c r="BKM3" i="7"/>
  <c r="BKN3" i="7"/>
  <c r="BKO3" i="7"/>
  <c r="BKP3" i="7"/>
  <c r="BKQ3" i="7"/>
  <c r="BKR3" i="7"/>
  <c r="BKS3" i="7"/>
  <c r="BKT3" i="7"/>
  <c r="BKU3" i="7"/>
  <c r="BKV3" i="7"/>
  <c r="BKW3" i="7"/>
  <c r="BKX3" i="7"/>
  <c r="BKY3" i="7"/>
  <c r="BKZ3" i="7"/>
  <c r="BLA3" i="7"/>
  <c r="BLB3" i="7"/>
  <c r="BLC3" i="7"/>
  <c r="BLD3" i="7"/>
  <c r="BLE3" i="7"/>
  <c r="BLF3" i="7"/>
  <c r="BLG3" i="7"/>
  <c r="BLH3" i="7"/>
  <c r="BLI3" i="7"/>
  <c r="BLJ3" i="7"/>
  <c r="BLK3" i="7"/>
  <c r="BLL3" i="7"/>
  <c r="BLM3" i="7"/>
  <c r="BLN3" i="7"/>
  <c r="BLO3" i="7"/>
  <c r="BLP3" i="7"/>
  <c r="BLQ3" i="7"/>
  <c r="BLR3" i="7"/>
  <c r="BLS3" i="7"/>
  <c r="BLT3" i="7"/>
  <c r="BLU3" i="7"/>
  <c r="BLV3" i="7"/>
  <c r="BLW3" i="7"/>
  <c r="BLX3" i="7"/>
  <c r="BLY3" i="7"/>
  <c r="BLZ3" i="7"/>
  <c r="BMA3" i="7"/>
  <c r="BMB3" i="7"/>
  <c r="BMC3" i="7"/>
  <c r="BMD3" i="7"/>
  <c r="BME3" i="7"/>
  <c r="BMF3" i="7"/>
  <c r="BMG3" i="7"/>
  <c r="BMH3" i="7"/>
  <c r="BMI3" i="7"/>
  <c r="BMJ3" i="7"/>
  <c r="BMK3" i="7"/>
  <c r="BML3" i="7"/>
  <c r="BMM3" i="7"/>
  <c r="BMN3" i="7"/>
  <c r="BMO3" i="7"/>
  <c r="BMP3" i="7"/>
  <c r="BMQ3" i="7"/>
  <c r="BMR3" i="7"/>
  <c r="BMS3" i="7"/>
  <c r="BMT3" i="7"/>
  <c r="BMU3" i="7"/>
  <c r="BMV3" i="7"/>
  <c r="BMW3" i="7"/>
  <c r="BMX3" i="7"/>
  <c r="BMY3" i="7"/>
  <c r="BMZ3" i="7"/>
  <c r="BNA3" i="7"/>
  <c r="BNB3" i="7"/>
  <c r="BNC3" i="7"/>
  <c r="BND3" i="7"/>
  <c r="BNE3" i="7"/>
  <c r="BNF3" i="7"/>
  <c r="BNG3" i="7"/>
  <c r="BNH3" i="7"/>
  <c r="BNI3" i="7"/>
  <c r="BNJ3" i="7"/>
  <c r="BNK3" i="7"/>
  <c r="BNL3" i="7"/>
  <c r="BNM3" i="7"/>
  <c r="BNN3" i="7"/>
  <c r="BNO3" i="7"/>
  <c r="BNP3" i="7"/>
  <c r="BNQ3" i="7"/>
  <c r="BNR3" i="7"/>
  <c r="BNS3" i="7"/>
  <c r="BNT3" i="7"/>
  <c r="BNU3" i="7"/>
  <c r="BNV3" i="7"/>
  <c r="BNW3" i="7"/>
  <c r="BNX3" i="7"/>
  <c r="BNY3" i="7"/>
  <c r="BNZ3" i="7"/>
  <c r="BOA3" i="7"/>
  <c r="BOB3" i="7"/>
  <c r="BOC3" i="7"/>
  <c r="BOD3" i="7"/>
  <c r="BOE3" i="7"/>
  <c r="BOF3" i="7"/>
  <c r="BOG3" i="7"/>
  <c r="BOH3" i="7"/>
  <c r="BOI3" i="7"/>
  <c r="BOJ3" i="7"/>
  <c r="BOK3" i="7"/>
  <c r="BOL3" i="7"/>
  <c r="BOM3" i="7"/>
  <c r="BON3" i="7"/>
  <c r="BOO3" i="7"/>
  <c r="BOP3" i="7"/>
  <c r="BOQ3" i="7"/>
  <c r="BOR3" i="7"/>
  <c r="BOS3" i="7"/>
  <c r="BOT3" i="7"/>
  <c r="BOU3" i="7"/>
  <c r="BOV3" i="7"/>
  <c r="BOW3" i="7"/>
  <c r="BOX3" i="7"/>
  <c r="BOY3" i="7"/>
  <c r="BOZ3" i="7"/>
  <c r="BPA3" i="7"/>
  <c r="BPB3" i="7"/>
  <c r="BPC3" i="7"/>
  <c r="BPD3" i="7"/>
  <c r="BPE3" i="7"/>
  <c r="BPF3" i="7"/>
  <c r="BPG3" i="7"/>
  <c r="BPH3" i="7"/>
  <c r="BPI3" i="7"/>
  <c r="BPJ3" i="7"/>
  <c r="BPK3" i="7"/>
  <c r="BPL3" i="7"/>
  <c r="BPM3" i="7"/>
  <c r="BPN3" i="7"/>
  <c r="BPO3" i="7"/>
  <c r="BPP3" i="7"/>
  <c r="BPQ3" i="7"/>
  <c r="BPR3" i="7"/>
  <c r="BPS3" i="7"/>
  <c r="BPT3" i="7"/>
  <c r="BPU3" i="7"/>
  <c r="BPV3" i="7"/>
  <c r="BPW3" i="7"/>
  <c r="BPX3" i="7"/>
  <c r="BPY3" i="7"/>
  <c r="BPZ3" i="7"/>
  <c r="BQA3" i="7"/>
  <c r="BQB3" i="7"/>
  <c r="BQC3" i="7"/>
  <c r="BQD3" i="7"/>
  <c r="BQE3" i="7"/>
  <c r="BQF3" i="7"/>
  <c r="BQG3" i="7"/>
  <c r="BQH3" i="7"/>
  <c r="BQI3" i="7"/>
  <c r="BQJ3" i="7"/>
  <c r="BQK3" i="7"/>
  <c r="BQL3" i="7"/>
  <c r="BQM3" i="7"/>
  <c r="BQN3" i="7"/>
  <c r="BQO3" i="7"/>
  <c r="BQP3" i="7"/>
  <c r="BQQ3" i="7"/>
  <c r="BQR3" i="7"/>
  <c r="BQS3" i="7"/>
  <c r="BQT3" i="7"/>
  <c r="BQU3" i="7"/>
  <c r="BQV3" i="7"/>
  <c r="BQW3" i="7"/>
  <c r="BQX3" i="7"/>
  <c r="BQY3" i="7"/>
  <c r="BQZ3" i="7"/>
  <c r="BRA3" i="7"/>
  <c r="BRB3" i="7"/>
  <c r="BRC3" i="7"/>
  <c r="BRD3" i="7"/>
  <c r="BRE3" i="7"/>
  <c r="BRF3" i="7"/>
  <c r="BRG3" i="7"/>
  <c r="BRH3" i="7"/>
  <c r="BRI3" i="7"/>
  <c r="BRJ3" i="7"/>
  <c r="BRK3" i="7"/>
  <c r="BRL3" i="7"/>
  <c r="BRM3" i="7"/>
  <c r="BRN3" i="7"/>
  <c r="BRO3" i="7"/>
  <c r="BRP3" i="7"/>
  <c r="BRQ3" i="7"/>
  <c r="BRR3" i="7"/>
  <c r="BRS3" i="7"/>
  <c r="BRT3" i="7"/>
  <c r="BRU3" i="7"/>
  <c r="BRV3" i="7"/>
  <c r="BRW3" i="7"/>
  <c r="BRX3" i="7"/>
  <c r="BRY3" i="7"/>
  <c r="BRZ3" i="7"/>
  <c r="BSA3" i="7"/>
  <c r="BSB3" i="7"/>
  <c r="BSC3" i="7"/>
  <c r="BSD3" i="7"/>
  <c r="BSE3" i="7"/>
  <c r="BSF3" i="7"/>
  <c r="BSG3" i="7"/>
  <c r="BSH3" i="7"/>
  <c r="BSI3" i="7"/>
  <c r="BSJ3" i="7"/>
  <c r="BSK3" i="7"/>
  <c r="BSL3" i="7"/>
  <c r="BSM3" i="7"/>
  <c r="BSN3" i="7"/>
  <c r="BSO3" i="7"/>
  <c r="BSP3" i="7"/>
  <c r="BSQ3" i="7"/>
  <c r="BSR3" i="7"/>
  <c r="BSS3" i="7"/>
  <c r="BST3" i="7"/>
  <c r="BSU3" i="7"/>
  <c r="BSV3" i="7"/>
  <c r="BSW3" i="7"/>
  <c r="BSX3" i="7"/>
  <c r="BSY3" i="7"/>
  <c r="BSZ3" i="7"/>
  <c r="BTA3" i="7"/>
  <c r="BTB3" i="7"/>
  <c r="BTC3" i="7"/>
  <c r="BTD3" i="7"/>
  <c r="BTE3" i="7"/>
  <c r="BTF3" i="7"/>
  <c r="BTG3" i="7"/>
  <c r="BTH3" i="7"/>
  <c r="BTI3" i="7"/>
  <c r="BTJ3" i="7"/>
  <c r="BTK3" i="7"/>
  <c r="BTL3" i="7"/>
  <c r="BTM3" i="7"/>
  <c r="BTN3" i="7"/>
  <c r="BTO3" i="7"/>
  <c r="BTP3" i="7"/>
  <c r="BTQ3" i="7"/>
  <c r="BTR3" i="7"/>
  <c r="BTS3" i="7"/>
  <c r="BTT3" i="7"/>
  <c r="BTU3" i="7"/>
  <c r="BTV3" i="7"/>
  <c r="BTW3" i="7"/>
  <c r="BTX3" i="7"/>
  <c r="BTY3" i="7"/>
  <c r="BTZ3" i="7"/>
  <c r="BUA3" i="7"/>
  <c r="BUB3" i="7"/>
  <c r="BUC3" i="7"/>
  <c r="BUD3" i="7"/>
  <c r="BUE3" i="7"/>
  <c r="BUF3" i="7"/>
  <c r="BUG3" i="7"/>
  <c r="BUH3" i="7"/>
  <c r="BUI3" i="7"/>
  <c r="BUJ3" i="7"/>
  <c r="BUK3" i="7"/>
  <c r="BUL3" i="7"/>
  <c r="BUM3" i="7"/>
  <c r="BUN3" i="7"/>
  <c r="BUO3" i="7"/>
  <c r="BUP3" i="7"/>
  <c r="BUQ3" i="7"/>
  <c r="BUR3" i="7"/>
  <c r="BUS3" i="7"/>
  <c r="BUT3" i="7"/>
  <c r="BUU3" i="7"/>
  <c r="BUV3" i="7"/>
  <c r="BUW3" i="7"/>
  <c r="BUX3" i="7"/>
  <c r="BUY3" i="7"/>
  <c r="BUZ3" i="7"/>
  <c r="BVA3" i="7"/>
  <c r="BVB3" i="7"/>
  <c r="BVC3" i="7"/>
  <c r="BVD3" i="7"/>
  <c r="BVE3" i="7"/>
  <c r="BVF3" i="7"/>
  <c r="BVG3" i="7"/>
  <c r="BVH3" i="7"/>
  <c r="BVI3" i="7"/>
  <c r="BVJ3" i="7"/>
  <c r="BVK3" i="7"/>
  <c r="BVL3" i="7"/>
  <c r="BVM3" i="7"/>
  <c r="BVN3" i="7"/>
  <c r="BVO3" i="7"/>
  <c r="BVP3" i="7"/>
  <c r="BVQ3" i="7"/>
  <c r="BVR3" i="7"/>
  <c r="BVS3" i="7"/>
  <c r="BVT3" i="7"/>
  <c r="BVU3" i="7"/>
  <c r="BVV3" i="7"/>
  <c r="BVW3" i="7"/>
  <c r="BVX3" i="7"/>
  <c r="BVY3" i="7"/>
  <c r="BVZ3" i="7"/>
  <c r="BWA3" i="7"/>
  <c r="BWB3" i="7"/>
  <c r="BWC3" i="7"/>
  <c r="BWD3" i="7"/>
  <c r="BWE3" i="7"/>
  <c r="BWF3" i="7"/>
  <c r="BWG3" i="7"/>
  <c r="BWH3" i="7"/>
  <c r="BWI3" i="7"/>
  <c r="BWJ3" i="7"/>
  <c r="BWK3" i="7"/>
  <c r="BWL3" i="7"/>
  <c r="BWM3" i="7"/>
  <c r="BWN3" i="7"/>
  <c r="BWO3" i="7"/>
  <c r="BWP3" i="7"/>
  <c r="BWQ3" i="7"/>
  <c r="BWR3" i="7"/>
  <c r="BWS3" i="7"/>
  <c r="BWT3" i="7"/>
  <c r="BWU3" i="7"/>
  <c r="BWV3" i="7"/>
  <c r="BWW3" i="7"/>
  <c r="BWX3" i="7"/>
  <c r="BWY3" i="7"/>
  <c r="BWZ3" i="7"/>
  <c r="BXA3" i="7"/>
  <c r="BXB3" i="7"/>
  <c r="BXC3" i="7"/>
  <c r="BXD3" i="7"/>
  <c r="BXE3" i="7"/>
  <c r="BXF3" i="7"/>
  <c r="BXG3" i="7"/>
  <c r="BXH3" i="7"/>
  <c r="BXI3" i="7"/>
  <c r="BXJ3" i="7"/>
  <c r="BXK3" i="7"/>
  <c r="BXL3" i="7"/>
  <c r="BXM3" i="7"/>
  <c r="BXN3" i="7"/>
  <c r="BXO3" i="7"/>
  <c r="BXP3" i="7"/>
  <c r="BXQ3" i="7"/>
  <c r="BXR3" i="7"/>
  <c r="BXS3" i="7"/>
  <c r="BXT3" i="7"/>
  <c r="BXU3" i="7"/>
  <c r="BXV3" i="7"/>
  <c r="BXW3" i="7"/>
  <c r="BXX3" i="7"/>
  <c r="BXY3" i="7"/>
  <c r="BXZ3" i="7"/>
  <c r="BYA3" i="7"/>
  <c r="BYB3" i="7"/>
  <c r="BYC3" i="7"/>
  <c r="BYD3" i="7"/>
  <c r="BYE3" i="7"/>
  <c r="BYF3" i="7"/>
  <c r="BYG3" i="7"/>
  <c r="BYH3" i="7"/>
  <c r="BYI3" i="7"/>
  <c r="BYJ3" i="7"/>
  <c r="BYK3" i="7"/>
  <c r="BYL3" i="7"/>
  <c r="BYM3" i="7"/>
  <c r="BYN3" i="7"/>
  <c r="BYO3" i="7"/>
  <c r="BYP3" i="7"/>
  <c r="BYQ3" i="7"/>
  <c r="BYR3" i="7"/>
  <c r="BYS3" i="7"/>
  <c r="BYT3" i="7"/>
  <c r="BYU3" i="7"/>
  <c r="BYV3" i="7"/>
  <c r="BYW3" i="7"/>
  <c r="BYX3" i="7"/>
  <c r="BYY3" i="7"/>
  <c r="BYZ3" i="7"/>
  <c r="BZA3" i="7"/>
  <c r="BZB3" i="7"/>
  <c r="BZC3" i="7"/>
  <c r="BZD3" i="7"/>
  <c r="BZE3" i="7"/>
  <c r="BZF3" i="7"/>
  <c r="BZG3" i="7"/>
  <c r="BZH3" i="7"/>
  <c r="BZI3" i="7"/>
  <c r="BZJ3" i="7"/>
  <c r="BZK3" i="7"/>
  <c r="BZL3" i="7"/>
  <c r="BZM3" i="7"/>
  <c r="BZN3" i="7"/>
  <c r="BZO3" i="7"/>
  <c r="BZP3" i="7"/>
  <c r="BZQ3" i="7"/>
  <c r="BZR3" i="7"/>
  <c r="BZS3" i="7"/>
  <c r="BZT3" i="7"/>
  <c r="BZU3" i="7"/>
  <c r="BZV3" i="7"/>
  <c r="BZW3" i="7"/>
  <c r="BZX3" i="7"/>
  <c r="BZY3" i="7"/>
  <c r="BZZ3" i="7"/>
  <c r="CAA3" i="7"/>
  <c r="CAB3" i="7"/>
  <c r="CAC3" i="7"/>
  <c r="CAD3" i="7"/>
  <c r="CAE3" i="7"/>
  <c r="CAF3" i="7"/>
  <c r="CAG3" i="7"/>
  <c r="CAH3" i="7"/>
  <c r="CAI3" i="7"/>
  <c r="CAJ3" i="7"/>
  <c r="CAK3" i="7"/>
  <c r="CAL3" i="7"/>
  <c r="CAM3" i="7"/>
  <c r="CAN3" i="7"/>
  <c r="CAO3" i="7"/>
  <c r="CAP3" i="7"/>
  <c r="CAQ3" i="7"/>
  <c r="CAR3" i="7"/>
  <c r="CAS3" i="7"/>
  <c r="CAT3" i="7"/>
  <c r="CAU3" i="7"/>
  <c r="CAV3" i="7"/>
  <c r="CAW3" i="7"/>
  <c r="CAX3" i="7"/>
  <c r="CAY3" i="7"/>
  <c r="CAZ3" i="7"/>
  <c r="CBA3" i="7"/>
  <c r="CBB3" i="7"/>
  <c r="CBC3" i="7"/>
  <c r="CBD3" i="7"/>
  <c r="CBE3" i="7"/>
  <c r="CBF3" i="7"/>
  <c r="CBG3" i="7"/>
  <c r="CBH3" i="7"/>
  <c r="CBI3" i="7"/>
  <c r="CBJ3" i="7"/>
  <c r="CBK3" i="7"/>
  <c r="CBL3" i="7"/>
  <c r="CBM3" i="7"/>
  <c r="CBN3" i="7"/>
  <c r="CBO3" i="7"/>
  <c r="CBP3" i="7"/>
  <c r="CBQ3" i="7"/>
  <c r="CBR3" i="7"/>
  <c r="CBS3" i="7"/>
  <c r="CBT3" i="7"/>
  <c r="CBU3" i="7"/>
  <c r="CBV3" i="7"/>
  <c r="CBW3" i="7"/>
  <c r="CBX3" i="7"/>
  <c r="CBY3" i="7"/>
  <c r="CBZ3" i="7"/>
  <c r="CCA3" i="7"/>
  <c r="CCB3" i="7"/>
  <c r="CCC3" i="7"/>
  <c r="CCD3" i="7"/>
  <c r="CCE3" i="7"/>
  <c r="CCF3" i="7"/>
  <c r="CCG3" i="7"/>
  <c r="CCH3" i="7"/>
  <c r="CCI3" i="7"/>
  <c r="CCJ3" i="7"/>
  <c r="CCK3" i="7"/>
  <c r="CCL3" i="7"/>
  <c r="CCM3" i="7"/>
  <c r="CCN3" i="7"/>
  <c r="CCO3" i="7"/>
  <c r="CCP3" i="7"/>
  <c r="CCQ3" i="7"/>
  <c r="CCR3" i="7"/>
  <c r="CCS3" i="7"/>
  <c r="CCT3" i="7"/>
  <c r="CCU3" i="7"/>
  <c r="CCV3" i="7"/>
  <c r="CCW3" i="7"/>
  <c r="CCX3" i="7"/>
  <c r="CCY3" i="7"/>
  <c r="CCZ3" i="7"/>
  <c r="CDA3" i="7"/>
  <c r="CDB3" i="7"/>
  <c r="CDC3" i="7"/>
  <c r="CDD3" i="7"/>
  <c r="CDE3" i="7"/>
  <c r="CDF3" i="7"/>
  <c r="CDG3" i="7"/>
  <c r="CDH3" i="7"/>
  <c r="CDI3" i="7"/>
  <c r="CDJ3" i="7"/>
  <c r="CDK3" i="7"/>
  <c r="CDL3" i="7"/>
  <c r="CDM3" i="7"/>
  <c r="CDN3" i="7"/>
  <c r="CDO3" i="7"/>
  <c r="CDP3" i="7"/>
  <c r="CDQ3" i="7"/>
  <c r="CDR3" i="7"/>
  <c r="CDS3" i="7"/>
  <c r="CDT3" i="7"/>
  <c r="CDU3" i="7"/>
  <c r="CDV3" i="7"/>
  <c r="CDW3" i="7"/>
  <c r="CDX3" i="7"/>
  <c r="CDY3" i="7"/>
  <c r="CDZ3" i="7"/>
  <c r="CEA3" i="7"/>
  <c r="CEB3" i="7"/>
  <c r="CEC3" i="7"/>
  <c r="CED3" i="7"/>
  <c r="CEE3" i="7"/>
  <c r="CEF3" i="7"/>
  <c r="CEG3" i="7"/>
  <c r="CEH3" i="7"/>
  <c r="CEI3" i="7"/>
  <c r="CEJ3" i="7"/>
  <c r="CEK3" i="7"/>
  <c r="CEL3" i="7"/>
  <c r="CEM3" i="7"/>
  <c r="CEN3" i="7"/>
  <c r="CEO3" i="7"/>
  <c r="CEP3" i="7"/>
  <c r="CEQ3" i="7"/>
  <c r="CER3" i="7"/>
  <c r="CES3" i="7"/>
  <c r="CET3" i="7"/>
  <c r="CEU3" i="7"/>
  <c r="CEV3" i="7"/>
  <c r="CEW3" i="7"/>
  <c r="CEX3" i="7"/>
  <c r="CEY3" i="7"/>
  <c r="CEZ3" i="7"/>
  <c r="CFA3" i="7"/>
  <c r="CFB3" i="7"/>
  <c r="CFC3" i="7"/>
  <c r="CFD3" i="7"/>
  <c r="CFE3" i="7"/>
  <c r="CFF3" i="7"/>
  <c r="CFG3" i="7"/>
  <c r="CFH3" i="7"/>
  <c r="CFI3" i="7"/>
  <c r="CFJ3" i="7"/>
  <c r="CFK3" i="7"/>
  <c r="CFL3" i="7"/>
  <c r="CFM3" i="7"/>
  <c r="CFN3" i="7"/>
  <c r="CFO3" i="7"/>
  <c r="CFP3" i="7"/>
  <c r="CFQ3" i="7"/>
  <c r="CFR3" i="7"/>
  <c r="CFS3" i="7"/>
  <c r="CFT3" i="7"/>
  <c r="CFU3" i="7"/>
  <c r="CFV3" i="7"/>
  <c r="CFW3" i="7"/>
  <c r="CFX3" i="7"/>
  <c r="CFY3" i="7"/>
  <c r="CFZ3" i="7"/>
  <c r="CGA3" i="7"/>
  <c r="CGB3" i="7"/>
  <c r="CGC3" i="7"/>
  <c r="CGD3" i="7"/>
  <c r="CGE3" i="7"/>
  <c r="CGF3" i="7"/>
  <c r="CGG3" i="7"/>
  <c r="CGH3" i="7"/>
  <c r="CGI3" i="7"/>
  <c r="CGJ3" i="7"/>
  <c r="CGK3" i="7"/>
  <c r="CGL3" i="7"/>
  <c r="CGM3" i="7"/>
  <c r="CGN3" i="7"/>
  <c r="CGO3" i="7"/>
  <c r="CGP3" i="7"/>
  <c r="CGQ3" i="7"/>
  <c r="CGR3" i="7"/>
  <c r="CGS3" i="7"/>
  <c r="CGT3" i="7"/>
  <c r="CGU3" i="7"/>
  <c r="CGV3" i="7"/>
  <c r="CGW3" i="7"/>
  <c r="CGX3" i="7"/>
  <c r="CGY3" i="7"/>
  <c r="CGZ3" i="7"/>
  <c r="CHA3" i="7"/>
  <c r="CHB3" i="7"/>
  <c r="CHC3" i="7"/>
  <c r="CHD3" i="7"/>
  <c r="CHE3" i="7"/>
  <c r="CHF3" i="7"/>
  <c r="CHG3" i="7"/>
  <c r="CHH3" i="7"/>
  <c r="CHI3" i="7"/>
  <c r="CHJ3" i="7"/>
  <c r="CHK3" i="7"/>
  <c r="CHL3" i="7"/>
  <c r="CHM3" i="7"/>
  <c r="CHN3" i="7"/>
  <c r="CHO3" i="7"/>
  <c r="CHP3" i="7"/>
  <c r="CHQ3" i="7"/>
  <c r="CHR3" i="7"/>
  <c r="CHS3" i="7"/>
  <c r="CHT3" i="7"/>
  <c r="CHU3" i="7"/>
  <c r="CHV3" i="7"/>
  <c r="CHW3" i="7"/>
  <c r="CHX3" i="7"/>
  <c r="CHY3" i="7"/>
  <c r="CHZ3" i="7"/>
  <c r="CIA3" i="7"/>
  <c r="CIB3" i="7"/>
  <c r="CIC3" i="7"/>
  <c r="CID3" i="7"/>
  <c r="CIE3" i="7"/>
  <c r="CIF3" i="7"/>
  <c r="CIG3" i="7"/>
  <c r="CIH3" i="7"/>
  <c r="CII3" i="7"/>
  <c r="CIJ3" i="7"/>
  <c r="CIK3" i="7"/>
  <c r="CIL3" i="7"/>
  <c r="CIM3" i="7"/>
  <c r="CIN3" i="7"/>
  <c r="CIO3" i="7"/>
  <c r="CIP3" i="7"/>
  <c r="CIQ3" i="7"/>
  <c r="CIR3" i="7"/>
  <c r="CIS3" i="7"/>
  <c r="CIT3" i="7"/>
  <c r="CIU3" i="7"/>
  <c r="CIV3" i="7"/>
  <c r="CIW3" i="7"/>
  <c r="CIX3" i="7"/>
  <c r="CIY3" i="7"/>
  <c r="CIZ3" i="7"/>
  <c r="CJA3" i="7"/>
  <c r="CJB3" i="7"/>
  <c r="CJC3" i="7"/>
  <c r="CJD3" i="7"/>
  <c r="CJE3" i="7"/>
  <c r="CJF3" i="7"/>
  <c r="CJG3" i="7"/>
  <c r="CJH3" i="7"/>
  <c r="CJI3" i="7"/>
  <c r="CJJ3" i="7"/>
  <c r="CJK3" i="7"/>
  <c r="CJL3" i="7"/>
  <c r="CJM3" i="7"/>
  <c r="CJN3" i="7"/>
  <c r="CJO3" i="7"/>
  <c r="CJP3" i="7"/>
  <c r="CJQ3" i="7"/>
  <c r="CJR3" i="7"/>
  <c r="CJS3" i="7"/>
  <c r="CJT3" i="7"/>
  <c r="CJU3" i="7"/>
  <c r="CJV3" i="7"/>
  <c r="CJW3" i="7"/>
  <c r="CJX3" i="7"/>
  <c r="CJY3" i="7"/>
  <c r="CJZ3" i="7"/>
  <c r="CKA3" i="7"/>
  <c r="CKB3" i="7"/>
  <c r="CKC3" i="7"/>
  <c r="CKD3" i="7"/>
  <c r="CKE3" i="7"/>
  <c r="CKF3" i="7"/>
  <c r="CKG3" i="7"/>
  <c r="CKH3" i="7"/>
  <c r="CKI3" i="7"/>
  <c r="CKJ3" i="7"/>
  <c r="CKK3" i="7"/>
  <c r="CKL3" i="7"/>
  <c r="CKM3" i="7"/>
  <c r="CKN3" i="7"/>
  <c r="CKO3" i="7"/>
  <c r="CKP3" i="7"/>
  <c r="CKQ3" i="7"/>
  <c r="CKR3" i="7"/>
  <c r="CKS3" i="7"/>
  <c r="CKT3" i="7"/>
  <c r="CKU3" i="7"/>
  <c r="CKV3" i="7"/>
  <c r="CKW3" i="7"/>
  <c r="CKX3" i="7"/>
  <c r="CKY3" i="7"/>
  <c r="CKZ3" i="7"/>
  <c r="CLA3" i="7"/>
  <c r="CLB3" i="7"/>
  <c r="CLC3" i="7"/>
  <c r="CLD3" i="7"/>
  <c r="CLE3" i="7"/>
  <c r="CLF3" i="7"/>
  <c r="CLG3" i="7"/>
  <c r="CLH3" i="7"/>
  <c r="CLI3" i="7"/>
  <c r="CLJ3" i="7"/>
  <c r="CLK3" i="7"/>
  <c r="CLL3" i="7"/>
  <c r="CLM3" i="7"/>
  <c r="CLN3" i="7"/>
  <c r="CLO3" i="7"/>
  <c r="CLP3" i="7"/>
  <c r="CLQ3" i="7"/>
  <c r="CLR3" i="7"/>
  <c r="CLS3" i="7"/>
  <c r="CLT3" i="7"/>
  <c r="CLU3" i="7"/>
  <c r="CLV3" i="7"/>
  <c r="CLW3" i="7"/>
  <c r="CLX3" i="7"/>
  <c r="CLY3" i="7"/>
  <c r="CLZ3" i="7"/>
  <c r="CMA3" i="7"/>
  <c r="CMB3" i="7"/>
  <c r="CMC3" i="7"/>
  <c r="CMD3" i="7"/>
  <c r="CME3" i="7"/>
  <c r="CMF3" i="7"/>
  <c r="CMG3" i="7"/>
  <c r="CMH3" i="7"/>
  <c r="CMI3" i="7"/>
  <c r="CMJ3" i="7"/>
  <c r="CMK3" i="7"/>
  <c r="CML3" i="7"/>
  <c r="CMM3" i="7"/>
  <c r="CMN3" i="7"/>
  <c r="CMO3" i="7"/>
  <c r="CMP3" i="7"/>
  <c r="CMQ3" i="7"/>
  <c r="CMR3" i="7"/>
  <c r="CMS3" i="7"/>
  <c r="CMT3" i="7"/>
  <c r="CMU3" i="7"/>
  <c r="CMV3" i="7"/>
  <c r="CMW3" i="7"/>
  <c r="CMX3" i="7"/>
  <c r="CMY3" i="7"/>
  <c r="CMZ3" i="7"/>
  <c r="CNA3" i="7"/>
  <c r="CNB3" i="7"/>
  <c r="CNC3" i="7"/>
  <c r="CND3" i="7"/>
  <c r="CNE3" i="7"/>
  <c r="CNF3" i="7"/>
  <c r="CNG3" i="7"/>
  <c r="CNH3" i="7"/>
  <c r="CNI3" i="7"/>
  <c r="CNJ3" i="7"/>
  <c r="CNK3" i="7"/>
  <c r="CNL3" i="7"/>
  <c r="CNM3" i="7"/>
  <c r="CNN3" i="7"/>
  <c r="CNO3" i="7"/>
  <c r="CNP3" i="7"/>
  <c r="CNQ3" i="7"/>
  <c r="CNR3" i="7"/>
  <c r="CNS3" i="7"/>
  <c r="CNT3" i="7"/>
  <c r="CNU3" i="7"/>
  <c r="CNV3" i="7"/>
  <c r="CNW3" i="7"/>
  <c r="CNX3" i="7"/>
  <c r="CNY3" i="7"/>
  <c r="CNZ3" i="7"/>
  <c r="COA3" i="7"/>
  <c r="COB3" i="7"/>
  <c r="COC3" i="7"/>
  <c r="COD3" i="7"/>
  <c r="COE3" i="7"/>
  <c r="COF3" i="7"/>
  <c r="COG3" i="7"/>
  <c r="COH3" i="7"/>
  <c r="COI3" i="7"/>
  <c r="COJ3" i="7"/>
  <c r="COK3" i="7"/>
  <c r="COL3" i="7"/>
  <c r="COM3" i="7"/>
  <c r="CON3" i="7"/>
  <c r="COO3" i="7"/>
  <c r="COP3" i="7"/>
  <c r="COQ3" i="7"/>
  <c r="COR3" i="7"/>
  <c r="COS3" i="7"/>
  <c r="COT3" i="7"/>
  <c r="COU3" i="7"/>
  <c r="COV3" i="7"/>
  <c r="COW3" i="7"/>
  <c r="COX3" i="7"/>
  <c r="COY3" i="7"/>
  <c r="COZ3" i="7"/>
  <c r="CPA3" i="7"/>
  <c r="CPB3" i="7"/>
  <c r="CPC3" i="7"/>
  <c r="CPD3" i="7"/>
  <c r="CPE3" i="7"/>
  <c r="CPF3" i="7"/>
  <c r="CPG3" i="7"/>
  <c r="CPH3" i="7"/>
  <c r="CPI3" i="7"/>
  <c r="CPJ3" i="7"/>
  <c r="CPK3" i="7"/>
  <c r="CPL3" i="7"/>
  <c r="CPM3" i="7"/>
  <c r="CPN3" i="7"/>
  <c r="CPO3" i="7"/>
  <c r="CPP3" i="7"/>
  <c r="CPQ3" i="7"/>
  <c r="CPR3" i="7"/>
  <c r="CPS3" i="7"/>
  <c r="CPT3" i="7"/>
  <c r="CPU3" i="7"/>
  <c r="CPV3" i="7"/>
  <c r="CPW3" i="7"/>
  <c r="CPX3" i="7"/>
  <c r="CPY3" i="7"/>
  <c r="CPZ3" i="7"/>
  <c r="CQA3" i="7"/>
  <c r="CQB3" i="7"/>
  <c r="CQC3" i="7"/>
  <c r="CQD3" i="7"/>
  <c r="CQE3" i="7"/>
  <c r="CQF3" i="7"/>
  <c r="CQG3" i="7"/>
  <c r="CQH3" i="7"/>
  <c r="CQI3" i="7"/>
  <c r="CQJ3" i="7"/>
  <c r="CQK3" i="7"/>
  <c r="CQL3" i="7"/>
  <c r="CQM3" i="7"/>
  <c r="CQN3" i="7"/>
  <c r="CQO3" i="7"/>
  <c r="CQP3" i="7"/>
  <c r="CQQ3" i="7"/>
  <c r="CQR3" i="7"/>
  <c r="CQS3" i="7"/>
  <c r="CQT3" i="7"/>
  <c r="CQU3" i="7"/>
  <c r="CQV3" i="7"/>
  <c r="CQW3" i="7"/>
  <c r="CQX3" i="7"/>
  <c r="CQY3" i="7"/>
  <c r="CQZ3" i="7"/>
  <c r="CRA3" i="7"/>
  <c r="CRB3" i="7"/>
  <c r="CRC3" i="7"/>
  <c r="CRD3" i="7"/>
  <c r="CRE3" i="7"/>
  <c r="CRF3" i="7"/>
  <c r="CRG3" i="7"/>
  <c r="CRH3" i="7"/>
  <c r="CRI3" i="7"/>
  <c r="CRJ3" i="7"/>
  <c r="CRK3" i="7"/>
  <c r="CRL3" i="7"/>
  <c r="CRM3" i="7"/>
  <c r="CRN3" i="7"/>
  <c r="CRO3" i="7"/>
  <c r="CRP3" i="7"/>
  <c r="CRQ3" i="7"/>
  <c r="CRR3" i="7"/>
  <c r="CRS3" i="7"/>
  <c r="CRT3" i="7"/>
  <c r="CRU3" i="7"/>
  <c r="CRV3" i="7"/>
  <c r="CRW3" i="7"/>
  <c r="CRX3" i="7"/>
  <c r="CRY3" i="7"/>
  <c r="CRZ3" i="7"/>
  <c r="CSA3" i="7"/>
  <c r="CSB3" i="7"/>
  <c r="CSC3" i="7"/>
  <c r="CSD3" i="7"/>
  <c r="CSE3" i="7"/>
  <c r="CSF3" i="7"/>
  <c r="CSG3" i="7"/>
  <c r="CSH3" i="7"/>
  <c r="CSI3" i="7"/>
  <c r="CSJ3" i="7"/>
  <c r="CSK3" i="7"/>
  <c r="CSL3" i="7"/>
  <c r="CSM3" i="7"/>
  <c r="CSN3" i="7"/>
  <c r="CSO3" i="7"/>
  <c r="CSP3" i="7"/>
  <c r="CSQ3" i="7"/>
  <c r="CSR3" i="7"/>
  <c r="CSS3" i="7"/>
  <c r="CST3" i="7"/>
  <c r="CSU3" i="7"/>
  <c r="CSV3" i="7"/>
  <c r="CSW3" i="7"/>
  <c r="CSX3" i="7"/>
  <c r="CSY3" i="7"/>
  <c r="CSZ3" i="7"/>
  <c r="CTA3" i="7"/>
  <c r="CTB3" i="7"/>
  <c r="CTC3" i="7"/>
  <c r="CTD3" i="7"/>
  <c r="CTE3" i="7"/>
  <c r="CTF3" i="7"/>
  <c r="CTG3" i="7"/>
  <c r="CTH3" i="7"/>
  <c r="CTI3" i="7"/>
  <c r="CTJ3" i="7"/>
  <c r="CTK3" i="7"/>
  <c r="CTL3" i="7"/>
  <c r="CTM3" i="7"/>
  <c r="CTN3" i="7"/>
  <c r="CTO3" i="7"/>
  <c r="CTP3" i="7"/>
  <c r="CTQ3" i="7"/>
  <c r="CTR3" i="7"/>
  <c r="CTS3" i="7"/>
  <c r="CTT3" i="7"/>
  <c r="CTU3" i="7"/>
  <c r="CTV3" i="7"/>
  <c r="CTW3" i="7"/>
  <c r="CTX3" i="7"/>
  <c r="CTY3" i="7"/>
  <c r="CTZ3" i="7"/>
  <c r="CUA3" i="7"/>
  <c r="CUB3" i="7"/>
  <c r="CUC3" i="7"/>
  <c r="CUD3" i="7"/>
  <c r="CUE3" i="7"/>
  <c r="CUF3" i="7"/>
  <c r="CUG3" i="7"/>
  <c r="CUH3" i="7"/>
  <c r="CUI3" i="7"/>
  <c r="CUJ3" i="7"/>
  <c r="CUK3" i="7"/>
  <c r="CUL3" i="7"/>
  <c r="CUM3" i="7"/>
  <c r="CUN3" i="7"/>
  <c r="CUO3" i="7"/>
  <c r="CUP3" i="7"/>
  <c r="CUQ3" i="7"/>
  <c r="CUR3" i="7"/>
  <c r="CUS3" i="7"/>
  <c r="CUT3" i="7"/>
  <c r="CUU3" i="7"/>
  <c r="CUV3" i="7"/>
  <c r="CUW3" i="7"/>
  <c r="CUX3" i="7"/>
  <c r="CUY3" i="7"/>
  <c r="CUZ3" i="7"/>
  <c r="CVA3" i="7"/>
  <c r="CVB3" i="7"/>
  <c r="CVC3" i="7"/>
  <c r="CVD3" i="7"/>
  <c r="CVE3" i="7"/>
  <c r="CVF3" i="7"/>
  <c r="CVG3" i="7"/>
  <c r="CVH3" i="7"/>
  <c r="CVI3" i="7"/>
  <c r="CVJ3" i="7"/>
  <c r="CVK3" i="7"/>
  <c r="CVL3" i="7"/>
  <c r="CVM3" i="7"/>
  <c r="CVN3" i="7"/>
  <c r="CVO3" i="7"/>
  <c r="CVP3" i="7"/>
  <c r="CVQ3" i="7"/>
  <c r="CVR3" i="7"/>
  <c r="CVS3" i="7"/>
  <c r="CVT3" i="7"/>
  <c r="CVU3" i="7"/>
  <c r="CVV3" i="7"/>
  <c r="CVW3" i="7"/>
  <c r="CVX3" i="7"/>
  <c r="CVY3" i="7"/>
  <c r="CVZ3" i="7"/>
  <c r="CWA3" i="7"/>
  <c r="CWB3" i="7"/>
  <c r="CWC3" i="7"/>
  <c r="CWD3" i="7"/>
  <c r="CWE3" i="7"/>
  <c r="CWF3" i="7"/>
  <c r="CWG3" i="7"/>
  <c r="CWH3" i="7"/>
  <c r="CWI3" i="7"/>
  <c r="CWJ3" i="7"/>
  <c r="CWK3" i="7"/>
  <c r="CWL3" i="7"/>
  <c r="CWM3" i="7"/>
  <c r="CWN3" i="7"/>
  <c r="CWO3" i="7"/>
  <c r="CWP3" i="7"/>
  <c r="CWQ3" i="7"/>
  <c r="CWR3" i="7"/>
  <c r="CWS3" i="7"/>
  <c r="CWT3" i="7"/>
  <c r="CWU3" i="7"/>
  <c r="CWV3" i="7"/>
  <c r="CWW3" i="7"/>
  <c r="CWX3" i="7"/>
  <c r="CWY3" i="7"/>
  <c r="CWZ3" i="7"/>
  <c r="CXA3" i="7"/>
  <c r="CXB3" i="7"/>
  <c r="CXC3" i="7"/>
  <c r="CXD3" i="7"/>
  <c r="CXE3" i="7"/>
  <c r="CXF3" i="7"/>
  <c r="CXG3" i="7"/>
  <c r="CXH3" i="7"/>
  <c r="CXI3" i="7"/>
  <c r="CXJ3" i="7"/>
  <c r="CXK3" i="7"/>
  <c r="CXL3" i="7"/>
  <c r="CXM3" i="7"/>
  <c r="CXN3" i="7"/>
  <c r="CXO3" i="7"/>
  <c r="CXP3" i="7"/>
  <c r="CXQ3" i="7"/>
  <c r="CXR3" i="7"/>
  <c r="CXS3" i="7"/>
  <c r="CXT3" i="7"/>
  <c r="CXU3" i="7"/>
  <c r="CXV3" i="7"/>
  <c r="CXW3" i="7"/>
  <c r="CXX3" i="7"/>
  <c r="CXY3" i="7"/>
  <c r="CXZ3" i="7"/>
  <c r="CYA3" i="7"/>
  <c r="CYB3" i="7"/>
  <c r="CYC3" i="7"/>
  <c r="CYD3" i="7"/>
  <c r="CYE3" i="7"/>
  <c r="CYF3" i="7"/>
  <c r="CYG3" i="7"/>
  <c r="CYH3" i="7"/>
  <c r="CYI3" i="7"/>
  <c r="CYJ3" i="7"/>
  <c r="CYK3" i="7"/>
  <c r="CYL3" i="7"/>
  <c r="CYM3" i="7"/>
  <c r="CYN3" i="7"/>
  <c r="CYO3" i="7"/>
  <c r="CYP3" i="7"/>
  <c r="CYQ3" i="7"/>
  <c r="CYR3" i="7"/>
  <c r="CYS3" i="7"/>
  <c r="CYT3" i="7"/>
  <c r="CYU3" i="7"/>
  <c r="CYV3" i="7"/>
  <c r="CYW3" i="7"/>
  <c r="CYX3" i="7"/>
  <c r="CYY3" i="7"/>
  <c r="CYZ3" i="7"/>
  <c r="CZA3" i="7"/>
  <c r="CZB3" i="7"/>
  <c r="CZC3" i="7"/>
  <c r="CZD3" i="7"/>
  <c r="CZE3" i="7"/>
  <c r="CZF3" i="7"/>
  <c r="CZG3" i="7"/>
  <c r="CZH3" i="7"/>
  <c r="CZI3" i="7"/>
  <c r="CZJ3" i="7"/>
  <c r="CZK3" i="7"/>
  <c r="CZL3" i="7"/>
  <c r="CZM3" i="7"/>
  <c r="CZN3" i="7"/>
  <c r="CZO3" i="7"/>
  <c r="CZP3" i="7"/>
  <c r="CZQ3" i="7"/>
  <c r="CZR3" i="7"/>
  <c r="CZS3" i="7"/>
  <c r="CZT3" i="7"/>
  <c r="CZU3" i="7"/>
  <c r="CZV3" i="7"/>
  <c r="CZW3" i="7"/>
  <c r="CZX3" i="7"/>
  <c r="CZY3" i="7"/>
  <c r="CZZ3" i="7"/>
  <c r="DAA3" i="7"/>
  <c r="DAB3" i="7"/>
  <c r="DAC3" i="7"/>
  <c r="DAD3" i="7"/>
  <c r="DAE3" i="7"/>
  <c r="DAF3" i="7"/>
  <c r="DAG3" i="7"/>
  <c r="DAH3" i="7"/>
  <c r="DAI3" i="7"/>
  <c r="DAJ3" i="7"/>
  <c r="DAK3" i="7"/>
  <c r="DAL3" i="7"/>
  <c r="DAM3" i="7"/>
  <c r="DAN3" i="7"/>
  <c r="DAO3" i="7"/>
  <c r="DAP3" i="7"/>
  <c r="DAQ3" i="7"/>
  <c r="DAR3" i="7"/>
  <c r="DAS3" i="7"/>
  <c r="DAT3" i="7"/>
  <c r="DAU3" i="7"/>
  <c r="DAV3" i="7"/>
  <c r="DAW3" i="7"/>
  <c r="DAX3" i="7"/>
  <c r="DAY3" i="7"/>
  <c r="DAZ3" i="7"/>
  <c r="DBA3" i="7"/>
  <c r="DBB3" i="7"/>
  <c r="DBC3" i="7"/>
  <c r="DBD3" i="7"/>
  <c r="DBE3" i="7"/>
  <c r="DBF3" i="7"/>
  <c r="DBG3" i="7"/>
  <c r="DBH3" i="7"/>
  <c r="DBI3" i="7"/>
  <c r="DBJ3" i="7"/>
  <c r="DBK3" i="7"/>
  <c r="DBL3" i="7"/>
  <c r="DBM3" i="7"/>
  <c r="DBN3" i="7"/>
  <c r="DBO3" i="7"/>
  <c r="DBP3" i="7"/>
  <c r="DBQ3" i="7"/>
  <c r="DBR3" i="7"/>
  <c r="DBS3" i="7"/>
  <c r="DBT3" i="7"/>
  <c r="DBU3" i="7"/>
  <c r="DBV3" i="7"/>
  <c r="DBW3" i="7"/>
  <c r="DBX3" i="7"/>
  <c r="DBY3" i="7"/>
  <c r="DBZ3" i="7"/>
  <c r="DCA3" i="7"/>
  <c r="DCB3" i="7"/>
  <c r="DCC3" i="7"/>
  <c r="DCD3" i="7"/>
  <c r="DCE3" i="7"/>
  <c r="DCF3" i="7"/>
  <c r="DCG3" i="7"/>
  <c r="DCH3" i="7"/>
  <c r="DCI3" i="7"/>
  <c r="DCJ3" i="7"/>
  <c r="DCK3" i="7"/>
  <c r="DCL3" i="7"/>
  <c r="DCM3" i="7"/>
  <c r="DCN3" i="7"/>
  <c r="DCO3" i="7"/>
  <c r="DCP3" i="7"/>
  <c r="DCQ3" i="7"/>
  <c r="DCR3" i="7"/>
  <c r="DCS3" i="7"/>
  <c r="DCT3" i="7"/>
  <c r="DCU3" i="7"/>
  <c r="DCV3" i="7"/>
  <c r="DCW3" i="7"/>
  <c r="DCX3" i="7"/>
  <c r="DCY3" i="7"/>
  <c r="DCZ3" i="7"/>
  <c r="DDA3" i="7"/>
  <c r="DDB3" i="7"/>
  <c r="DDC3" i="7"/>
  <c r="DDD3" i="7"/>
  <c r="DDE3" i="7"/>
  <c r="DDF3" i="7"/>
  <c r="DDG3" i="7"/>
  <c r="DDH3" i="7"/>
  <c r="DDI3" i="7"/>
  <c r="DDJ3" i="7"/>
  <c r="DDK3" i="7"/>
  <c r="DDL3" i="7"/>
  <c r="DDM3" i="7"/>
  <c r="DDN3" i="7"/>
  <c r="DDO3" i="7"/>
  <c r="DDP3" i="7"/>
  <c r="DDQ3" i="7"/>
  <c r="DDR3" i="7"/>
  <c r="DDS3" i="7"/>
  <c r="DDT3" i="7"/>
  <c r="DDU3" i="7"/>
  <c r="DDV3" i="7"/>
  <c r="DDW3" i="7"/>
  <c r="DDX3" i="7"/>
  <c r="DDY3" i="7"/>
  <c r="DDZ3" i="7"/>
  <c r="DEA3" i="7"/>
  <c r="DEB3" i="7"/>
  <c r="DEC3" i="7"/>
  <c r="DED3" i="7"/>
  <c r="DEE3" i="7"/>
  <c r="DEF3" i="7"/>
  <c r="DEG3" i="7"/>
  <c r="DEH3" i="7"/>
  <c r="DEI3" i="7"/>
  <c r="DEJ3" i="7"/>
  <c r="DEK3" i="7"/>
  <c r="DEL3" i="7"/>
  <c r="DEM3" i="7"/>
  <c r="DEN3" i="7"/>
  <c r="DEO3" i="7"/>
  <c r="DEP3" i="7"/>
  <c r="DEQ3" i="7"/>
  <c r="DER3" i="7"/>
  <c r="DES3" i="7"/>
  <c r="DET3" i="7"/>
  <c r="DEU3" i="7"/>
  <c r="DEV3" i="7"/>
  <c r="DEW3" i="7"/>
  <c r="DEX3" i="7"/>
  <c r="DEY3" i="7"/>
  <c r="DEZ3" i="7"/>
  <c r="DFA3" i="7"/>
  <c r="DFB3" i="7"/>
  <c r="DFC3" i="7"/>
  <c r="DFD3" i="7"/>
  <c r="DFE3" i="7"/>
  <c r="DFF3" i="7"/>
  <c r="DFG3" i="7"/>
  <c r="DFH3" i="7"/>
  <c r="DFI3" i="7"/>
  <c r="DFJ3" i="7"/>
  <c r="DFK3" i="7"/>
  <c r="DFL3" i="7"/>
  <c r="DFM3" i="7"/>
  <c r="DFN3" i="7"/>
  <c r="DFO3" i="7"/>
  <c r="DFP3" i="7"/>
  <c r="DFQ3" i="7"/>
  <c r="DFR3" i="7"/>
  <c r="DFS3" i="7"/>
  <c r="DFT3" i="7"/>
  <c r="DFU3" i="7"/>
  <c r="DFV3" i="7"/>
  <c r="DFW3" i="7"/>
  <c r="DFX3" i="7"/>
  <c r="DFY3" i="7"/>
  <c r="DFZ3" i="7"/>
  <c r="DGA3" i="7"/>
  <c r="DGB3" i="7"/>
  <c r="DGC3" i="7"/>
  <c r="DGD3" i="7"/>
  <c r="DGE3" i="7"/>
  <c r="DGF3" i="7"/>
  <c r="DGG3" i="7"/>
  <c r="DGH3" i="7"/>
  <c r="DGI3" i="7"/>
  <c r="DGJ3" i="7"/>
  <c r="DGK3" i="7"/>
  <c r="DGL3" i="7"/>
  <c r="DGM3" i="7"/>
  <c r="DGN3" i="7"/>
  <c r="DGO3" i="7"/>
  <c r="DGP3" i="7"/>
  <c r="DGQ3" i="7"/>
  <c r="DGR3" i="7"/>
  <c r="DGS3" i="7"/>
  <c r="DGT3" i="7"/>
  <c r="DGU3" i="7"/>
  <c r="DGV3" i="7"/>
  <c r="DGW3" i="7"/>
  <c r="DGX3" i="7"/>
  <c r="DGY3" i="7"/>
  <c r="DGZ3" i="7"/>
  <c r="DHA3" i="7"/>
  <c r="DHB3" i="7"/>
  <c r="DHC3" i="7"/>
  <c r="DHD3" i="7"/>
  <c r="DHE3" i="7"/>
  <c r="DHF3" i="7"/>
  <c r="DHG3" i="7"/>
  <c r="DHH3" i="7"/>
  <c r="DHI3" i="7"/>
  <c r="DHJ3" i="7"/>
  <c r="DHK3" i="7"/>
  <c r="DHL3" i="7"/>
  <c r="DHM3" i="7"/>
  <c r="DHN3" i="7"/>
  <c r="DHO3" i="7"/>
  <c r="DHP3" i="7"/>
  <c r="DHQ3" i="7"/>
  <c r="DHR3" i="7"/>
  <c r="DHS3" i="7"/>
  <c r="DHT3" i="7"/>
  <c r="DHU3" i="7"/>
  <c r="DHV3" i="7"/>
  <c r="DHW3" i="7"/>
  <c r="DHX3" i="7"/>
  <c r="DHY3" i="7"/>
  <c r="DHZ3" i="7"/>
  <c r="DIA3" i="7"/>
  <c r="DIB3" i="7"/>
  <c r="DIC3" i="7"/>
  <c r="DID3" i="7"/>
  <c r="DIE3" i="7"/>
  <c r="DIF3" i="7"/>
  <c r="DIG3" i="7"/>
  <c r="DIH3" i="7"/>
  <c r="DII3" i="7"/>
  <c r="DIJ3" i="7"/>
  <c r="DIK3" i="7"/>
  <c r="DIL3" i="7"/>
  <c r="DIM3" i="7"/>
  <c r="DIN3" i="7"/>
  <c r="DIO3" i="7"/>
  <c r="DIP3" i="7"/>
  <c r="DIQ3" i="7"/>
  <c r="DIR3" i="7"/>
  <c r="DIS3" i="7"/>
  <c r="DIT3" i="7"/>
  <c r="DIU3" i="7"/>
  <c r="DIV3" i="7"/>
  <c r="DIW3" i="7"/>
  <c r="DIX3" i="7"/>
  <c r="DIY3" i="7"/>
  <c r="DIZ3" i="7"/>
  <c r="DJA3" i="7"/>
  <c r="DJB3" i="7"/>
  <c r="DJC3" i="7"/>
  <c r="DJD3" i="7"/>
  <c r="DJE3" i="7"/>
  <c r="DJF3" i="7"/>
  <c r="DJG3" i="7"/>
  <c r="DJH3" i="7"/>
  <c r="DJI3" i="7"/>
  <c r="DJJ3" i="7"/>
  <c r="DJK3" i="7"/>
  <c r="DJL3" i="7"/>
  <c r="DJM3" i="7"/>
  <c r="DJN3" i="7"/>
  <c r="DJO3" i="7"/>
  <c r="DJP3" i="7"/>
  <c r="DJQ3" i="7"/>
  <c r="DJR3" i="7"/>
  <c r="DJS3" i="7"/>
  <c r="DJT3" i="7"/>
  <c r="DJU3" i="7"/>
  <c r="DJV3" i="7"/>
  <c r="DJW3" i="7"/>
  <c r="DJX3" i="7"/>
  <c r="DJY3" i="7"/>
  <c r="DJZ3" i="7"/>
  <c r="DKA3" i="7"/>
  <c r="DKB3" i="7"/>
  <c r="DKC3" i="7"/>
  <c r="DKD3" i="7"/>
  <c r="DKE3" i="7"/>
  <c r="DKF3" i="7"/>
  <c r="DKG3" i="7"/>
  <c r="DKH3" i="7"/>
  <c r="DKI3" i="7"/>
  <c r="DKJ3" i="7"/>
  <c r="DKK3" i="7"/>
  <c r="DKL3" i="7"/>
  <c r="DKM3" i="7"/>
  <c r="DKN3" i="7"/>
  <c r="DKO3" i="7"/>
  <c r="DKP3" i="7"/>
  <c r="DKQ3" i="7"/>
  <c r="DKR3" i="7"/>
  <c r="DKS3" i="7"/>
  <c r="DKT3" i="7"/>
  <c r="DKU3" i="7"/>
  <c r="DKV3" i="7"/>
  <c r="DKW3" i="7"/>
  <c r="DKX3" i="7"/>
  <c r="DKY3" i="7"/>
  <c r="DKZ3" i="7"/>
  <c r="DLA3" i="7"/>
  <c r="DLB3" i="7"/>
  <c r="DLC3" i="7"/>
  <c r="DLD3" i="7"/>
  <c r="DLE3" i="7"/>
  <c r="DLF3" i="7"/>
  <c r="DLG3" i="7"/>
  <c r="DLH3" i="7"/>
  <c r="DLI3" i="7"/>
  <c r="DLJ3" i="7"/>
  <c r="DLK3" i="7"/>
  <c r="DLL3" i="7"/>
  <c r="DLM3" i="7"/>
  <c r="DLN3" i="7"/>
  <c r="DLO3" i="7"/>
  <c r="DLP3" i="7"/>
  <c r="DLQ3" i="7"/>
  <c r="DLR3" i="7"/>
  <c r="DLS3" i="7"/>
  <c r="DLT3" i="7"/>
  <c r="DLU3" i="7"/>
  <c r="DLV3" i="7"/>
  <c r="DLW3" i="7"/>
  <c r="DLX3" i="7"/>
  <c r="DLY3" i="7"/>
  <c r="DLZ3" i="7"/>
  <c r="DMA3" i="7"/>
  <c r="DMB3" i="7"/>
  <c r="DMC3" i="7"/>
  <c r="DMD3" i="7"/>
  <c r="DME3" i="7"/>
  <c r="DMF3" i="7"/>
  <c r="DMG3" i="7"/>
  <c r="DMH3" i="7"/>
  <c r="DMI3" i="7"/>
  <c r="DMJ3" i="7"/>
  <c r="DMK3" i="7"/>
  <c r="DML3" i="7"/>
  <c r="DMM3" i="7"/>
  <c r="DMN3" i="7"/>
  <c r="DMO3" i="7"/>
  <c r="DMP3" i="7"/>
  <c r="DMQ3" i="7"/>
  <c r="DMR3" i="7"/>
  <c r="DMS3" i="7"/>
  <c r="DMT3" i="7"/>
  <c r="DMU3" i="7"/>
  <c r="DMV3" i="7"/>
  <c r="DMW3" i="7"/>
  <c r="DMX3" i="7"/>
  <c r="DMY3" i="7"/>
  <c r="DMZ3" i="7"/>
  <c r="DNA3" i="7"/>
  <c r="DNB3" i="7"/>
  <c r="DNC3" i="7"/>
  <c r="DND3" i="7"/>
  <c r="DNE3" i="7"/>
  <c r="DNF3" i="7"/>
  <c r="DNG3" i="7"/>
  <c r="DNH3" i="7"/>
  <c r="DNI3" i="7"/>
  <c r="DNJ3" i="7"/>
  <c r="DNK3" i="7"/>
  <c r="DNL3" i="7"/>
  <c r="DNM3" i="7"/>
  <c r="DNN3" i="7"/>
  <c r="DNO3" i="7"/>
  <c r="DNP3" i="7"/>
  <c r="DNQ3" i="7"/>
  <c r="DNR3" i="7"/>
  <c r="DNS3" i="7"/>
  <c r="DNT3" i="7"/>
  <c r="DNU3" i="7"/>
  <c r="DNV3" i="7"/>
  <c r="DNW3" i="7"/>
  <c r="DNX3" i="7"/>
  <c r="DNY3" i="7"/>
  <c r="DNZ3" i="7"/>
  <c r="DOA3" i="7"/>
  <c r="DOB3" i="7"/>
  <c r="DOC3" i="7"/>
  <c r="DOD3" i="7"/>
  <c r="DOE3" i="7"/>
  <c r="DOF3" i="7"/>
  <c r="DOG3" i="7"/>
  <c r="DOH3" i="7"/>
  <c r="DOI3" i="7"/>
  <c r="DOJ3" i="7"/>
  <c r="DOK3" i="7"/>
  <c r="DOL3" i="7"/>
  <c r="DOM3" i="7"/>
  <c r="DON3" i="7"/>
  <c r="DOO3" i="7"/>
  <c r="DOP3" i="7"/>
  <c r="DOQ3" i="7"/>
  <c r="DOR3" i="7"/>
  <c r="DOS3" i="7"/>
  <c r="DOT3" i="7"/>
  <c r="DOU3" i="7"/>
  <c r="DOV3" i="7"/>
  <c r="DOW3" i="7"/>
  <c r="DOX3" i="7"/>
  <c r="DOY3" i="7"/>
  <c r="DOZ3" i="7"/>
  <c r="DPA3" i="7"/>
  <c r="DPB3" i="7"/>
  <c r="DPC3" i="7"/>
  <c r="DPD3" i="7"/>
  <c r="DPE3" i="7"/>
  <c r="DPF3" i="7"/>
  <c r="DPG3" i="7"/>
  <c r="DPH3" i="7"/>
  <c r="DPI3" i="7"/>
  <c r="DPJ3" i="7"/>
  <c r="DPK3" i="7"/>
  <c r="DPL3" i="7"/>
  <c r="DPM3" i="7"/>
  <c r="DPN3" i="7"/>
  <c r="DPO3" i="7"/>
  <c r="DPP3" i="7"/>
  <c r="DPQ3" i="7"/>
  <c r="DPR3" i="7"/>
  <c r="DPS3" i="7"/>
  <c r="DPT3" i="7"/>
  <c r="DPU3" i="7"/>
  <c r="DPV3" i="7"/>
  <c r="DPW3" i="7"/>
  <c r="DPX3" i="7"/>
  <c r="DPY3" i="7"/>
  <c r="DPZ3" i="7"/>
  <c r="DQA3" i="7"/>
  <c r="DQB3" i="7"/>
  <c r="DQC3" i="7"/>
  <c r="DQD3" i="7"/>
  <c r="DQE3" i="7"/>
  <c r="DQF3" i="7"/>
  <c r="DQG3" i="7"/>
  <c r="DQH3" i="7"/>
  <c r="DQI3" i="7"/>
  <c r="DQJ3" i="7"/>
  <c r="DQK3" i="7"/>
  <c r="DQL3" i="7"/>
  <c r="DQM3" i="7"/>
  <c r="DQN3" i="7"/>
  <c r="DQO3" i="7"/>
  <c r="DQP3" i="7"/>
  <c r="DQQ3" i="7"/>
  <c r="DQR3" i="7"/>
  <c r="DQS3" i="7"/>
  <c r="DQT3" i="7"/>
  <c r="DQU3" i="7"/>
  <c r="DQV3" i="7"/>
  <c r="DQW3" i="7"/>
  <c r="DQX3" i="7"/>
  <c r="DQY3" i="7"/>
  <c r="DQZ3" i="7"/>
  <c r="DRA3" i="7"/>
  <c r="DRB3" i="7"/>
  <c r="DRC3" i="7"/>
  <c r="DRD3" i="7"/>
  <c r="DRE3" i="7"/>
  <c r="DRF3" i="7"/>
  <c r="DRG3" i="7"/>
  <c r="DRH3" i="7"/>
  <c r="DRI3" i="7"/>
  <c r="DRJ3" i="7"/>
  <c r="DRK3" i="7"/>
  <c r="DRL3" i="7"/>
  <c r="DRM3" i="7"/>
  <c r="DRN3" i="7"/>
  <c r="DRO3" i="7"/>
  <c r="DRP3" i="7"/>
  <c r="DRQ3" i="7"/>
  <c r="DRR3" i="7"/>
  <c r="DRS3" i="7"/>
  <c r="DRT3" i="7"/>
  <c r="DRU3" i="7"/>
  <c r="DRV3" i="7"/>
  <c r="DRW3" i="7"/>
  <c r="DRX3" i="7"/>
  <c r="DRY3" i="7"/>
  <c r="DRZ3" i="7"/>
  <c r="DSA3" i="7"/>
  <c r="DSB3" i="7"/>
  <c r="DSC3" i="7"/>
  <c r="DSD3" i="7"/>
  <c r="DSE3" i="7"/>
  <c r="DSF3" i="7"/>
  <c r="DSG3" i="7"/>
  <c r="DSH3" i="7"/>
  <c r="DSI3" i="7"/>
  <c r="DSJ3" i="7"/>
  <c r="DSK3" i="7"/>
  <c r="DSL3" i="7"/>
  <c r="DSM3" i="7"/>
  <c r="DSN3" i="7"/>
  <c r="DSO3" i="7"/>
  <c r="DSP3" i="7"/>
  <c r="DSQ3" i="7"/>
  <c r="DSR3" i="7"/>
  <c r="DSS3" i="7"/>
  <c r="DST3" i="7"/>
  <c r="DSU3" i="7"/>
  <c r="DSV3" i="7"/>
  <c r="DSW3" i="7"/>
  <c r="DSX3" i="7"/>
  <c r="DSY3" i="7"/>
  <c r="DSZ3" i="7"/>
  <c r="DTA3" i="7"/>
  <c r="DTB3" i="7"/>
  <c r="DTC3" i="7"/>
  <c r="DTD3" i="7"/>
  <c r="DTE3" i="7"/>
  <c r="DTF3" i="7"/>
  <c r="DTG3" i="7"/>
  <c r="DTH3" i="7"/>
  <c r="DTI3" i="7"/>
  <c r="DTJ3" i="7"/>
  <c r="DTK3" i="7"/>
  <c r="DTL3" i="7"/>
  <c r="DTM3" i="7"/>
  <c r="DTN3" i="7"/>
  <c r="DTO3" i="7"/>
  <c r="DTP3" i="7"/>
  <c r="DTQ3" i="7"/>
  <c r="DTR3" i="7"/>
  <c r="DTS3" i="7"/>
  <c r="DTT3" i="7"/>
  <c r="DTU3" i="7"/>
  <c r="DTV3" i="7"/>
  <c r="DTW3" i="7"/>
  <c r="DTX3" i="7"/>
  <c r="DTY3" i="7"/>
  <c r="DTZ3" i="7"/>
  <c r="DUA3" i="7"/>
  <c r="DUB3" i="7"/>
  <c r="DUC3" i="7"/>
  <c r="DUD3" i="7"/>
  <c r="DUE3" i="7"/>
  <c r="DUF3" i="7"/>
  <c r="DUG3" i="7"/>
  <c r="DUH3" i="7"/>
  <c r="DUI3" i="7"/>
  <c r="DUJ3" i="7"/>
  <c r="DUK3" i="7"/>
  <c r="DUL3" i="7"/>
  <c r="DUM3" i="7"/>
  <c r="DUN3" i="7"/>
  <c r="DUO3" i="7"/>
  <c r="DUP3" i="7"/>
  <c r="DUQ3" i="7"/>
  <c r="DUR3" i="7"/>
  <c r="DUS3" i="7"/>
  <c r="DUT3" i="7"/>
  <c r="DUU3" i="7"/>
  <c r="DUV3" i="7"/>
  <c r="DUW3" i="7"/>
  <c r="DUX3" i="7"/>
  <c r="DUY3" i="7"/>
  <c r="DUZ3" i="7"/>
  <c r="DVA3" i="7"/>
  <c r="DVB3" i="7"/>
  <c r="DVC3" i="7"/>
  <c r="DVD3" i="7"/>
  <c r="DVE3" i="7"/>
  <c r="DVF3" i="7"/>
  <c r="DVG3" i="7"/>
  <c r="DVH3" i="7"/>
  <c r="DVI3" i="7"/>
  <c r="DVJ3" i="7"/>
  <c r="DVK3" i="7"/>
  <c r="DVL3" i="7"/>
  <c r="DVM3" i="7"/>
  <c r="DVN3" i="7"/>
  <c r="DVO3" i="7"/>
  <c r="DVP3" i="7"/>
  <c r="DVQ3" i="7"/>
  <c r="DVR3" i="7"/>
  <c r="DVS3" i="7"/>
  <c r="DVT3" i="7"/>
  <c r="DVU3" i="7"/>
  <c r="DVV3" i="7"/>
  <c r="DVW3" i="7"/>
  <c r="DVX3" i="7"/>
  <c r="DVY3" i="7"/>
  <c r="DVZ3" i="7"/>
  <c r="DWA3" i="7"/>
  <c r="DWB3" i="7"/>
  <c r="DWC3" i="7"/>
  <c r="DWD3" i="7"/>
  <c r="DWE3" i="7"/>
  <c r="DWF3" i="7"/>
  <c r="DWG3" i="7"/>
  <c r="DWH3" i="7"/>
  <c r="DWI3" i="7"/>
  <c r="DWJ3" i="7"/>
  <c r="DWK3" i="7"/>
  <c r="DWL3" i="7"/>
  <c r="DWM3" i="7"/>
  <c r="DWN3" i="7"/>
  <c r="DWO3" i="7"/>
  <c r="DWP3" i="7"/>
  <c r="DWQ3" i="7"/>
  <c r="DWR3" i="7"/>
  <c r="DWS3" i="7"/>
  <c r="DWT3" i="7"/>
  <c r="DWU3" i="7"/>
  <c r="DWV3" i="7"/>
  <c r="DWW3" i="7"/>
  <c r="DWX3" i="7"/>
  <c r="DWY3" i="7"/>
  <c r="DWZ3" i="7"/>
  <c r="DXA3" i="7"/>
  <c r="DXB3" i="7"/>
  <c r="DXC3" i="7"/>
  <c r="DXD3" i="7"/>
  <c r="DXE3" i="7"/>
  <c r="DXF3" i="7"/>
  <c r="DXG3" i="7"/>
  <c r="DXH3" i="7"/>
  <c r="DXI3" i="7"/>
  <c r="DXJ3" i="7"/>
  <c r="DXK3" i="7"/>
  <c r="DXL3" i="7"/>
  <c r="DXM3" i="7"/>
  <c r="DXN3" i="7"/>
  <c r="DXO3" i="7"/>
  <c r="DXP3" i="7"/>
  <c r="DXQ3" i="7"/>
  <c r="DXR3" i="7"/>
  <c r="DXS3" i="7"/>
  <c r="DXT3" i="7"/>
  <c r="DXU3" i="7"/>
  <c r="DXV3" i="7"/>
  <c r="DXW3" i="7"/>
  <c r="DXX3" i="7"/>
  <c r="DXY3" i="7"/>
  <c r="DXZ3" i="7"/>
  <c r="DYA3" i="7"/>
  <c r="DYB3" i="7"/>
  <c r="DYC3" i="7"/>
  <c r="DYD3" i="7"/>
  <c r="DYE3" i="7"/>
  <c r="DYF3" i="7"/>
  <c r="DYG3" i="7"/>
  <c r="DYH3" i="7"/>
  <c r="DYI3" i="7"/>
  <c r="DYJ3" i="7"/>
  <c r="DYK3" i="7"/>
  <c r="DYL3" i="7"/>
  <c r="DYM3" i="7"/>
  <c r="DYN3" i="7"/>
  <c r="DYO3" i="7"/>
  <c r="DYP3" i="7"/>
  <c r="DYQ3" i="7"/>
  <c r="DYR3" i="7"/>
  <c r="DYS3" i="7"/>
  <c r="DYT3" i="7"/>
  <c r="DYU3" i="7"/>
  <c r="DYV3" i="7"/>
  <c r="DYW3" i="7"/>
  <c r="DYX3" i="7"/>
  <c r="DYY3" i="7"/>
  <c r="DYZ3" i="7"/>
  <c r="DZA3" i="7"/>
  <c r="DZB3" i="7"/>
  <c r="DZC3" i="7"/>
  <c r="DZD3" i="7"/>
  <c r="DZE3" i="7"/>
  <c r="DZF3" i="7"/>
  <c r="DZG3" i="7"/>
  <c r="DZH3" i="7"/>
  <c r="DZI3" i="7"/>
  <c r="DZJ3" i="7"/>
  <c r="DZK3" i="7"/>
  <c r="DZL3" i="7"/>
  <c r="DZM3" i="7"/>
  <c r="DZN3" i="7"/>
  <c r="DZO3" i="7"/>
  <c r="DZP3" i="7"/>
  <c r="DZQ3" i="7"/>
  <c r="DZR3" i="7"/>
  <c r="DZS3" i="7"/>
  <c r="DZT3" i="7"/>
  <c r="DZU3" i="7"/>
  <c r="DZV3" i="7"/>
  <c r="DZW3" i="7"/>
  <c r="DZX3" i="7"/>
  <c r="DZY3" i="7"/>
  <c r="DZZ3" i="7"/>
  <c r="EAA3" i="7"/>
  <c r="EAB3" i="7"/>
  <c r="EAC3" i="7"/>
  <c r="EAD3" i="7"/>
  <c r="EAE3" i="7"/>
  <c r="EAF3" i="7"/>
  <c r="EAG3" i="7"/>
  <c r="EAH3" i="7"/>
  <c r="EAI3" i="7"/>
  <c r="EAJ3" i="7"/>
  <c r="EAK3" i="7"/>
  <c r="EAL3" i="7"/>
  <c r="EAM3" i="7"/>
  <c r="EAN3" i="7"/>
  <c r="EAO3" i="7"/>
  <c r="EAP3" i="7"/>
  <c r="EAQ3" i="7"/>
  <c r="EAR3" i="7"/>
  <c r="EAS3" i="7"/>
  <c r="EAT3" i="7"/>
  <c r="EAU3" i="7"/>
  <c r="EAV3" i="7"/>
  <c r="EAW3" i="7"/>
  <c r="EAX3" i="7"/>
  <c r="EAY3" i="7"/>
  <c r="EAZ3" i="7"/>
  <c r="EBA3" i="7"/>
  <c r="EBB3" i="7"/>
  <c r="EBC3" i="7"/>
  <c r="EBD3" i="7"/>
  <c r="EBE3" i="7"/>
  <c r="EBF3" i="7"/>
  <c r="EBG3" i="7"/>
  <c r="EBH3" i="7"/>
  <c r="EBI3" i="7"/>
  <c r="EBJ3" i="7"/>
  <c r="EBK3" i="7"/>
  <c r="EBL3" i="7"/>
  <c r="EBM3" i="7"/>
  <c r="EBN3" i="7"/>
  <c r="EBO3" i="7"/>
  <c r="EBP3" i="7"/>
  <c r="EBQ3" i="7"/>
  <c r="EBR3" i="7"/>
  <c r="EBS3" i="7"/>
  <c r="EBT3" i="7"/>
  <c r="EBU3" i="7"/>
  <c r="EBV3" i="7"/>
  <c r="EBW3" i="7"/>
  <c r="EBX3" i="7"/>
  <c r="EBY3" i="7"/>
  <c r="EBZ3" i="7"/>
  <c r="ECA3" i="7"/>
  <c r="ECB3" i="7"/>
  <c r="ECC3" i="7"/>
  <c r="ECD3" i="7"/>
  <c r="ECE3" i="7"/>
  <c r="ECF3" i="7"/>
  <c r="ECG3" i="7"/>
  <c r="ECH3" i="7"/>
  <c r="ECI3" i="7"/>
  <c r="ECJ3" i="7"/>
  <c r="ECK3" i="7"/>
  <c r="ECL3" i="7"/>
  <c r="ECM3" i="7"/>
  <c r="ECN3" i="7"/>
  <c r="ECO3" i="7"/>
  <c r="ECP3" i="7"/>
  <c r="ECQ3" i="7"/>
  <c r="ECR3" i="7"/>
  <c r="ECS3" i="7"/>
  <c r="ECT3" i="7"/>
  <c r="ECU3" i="7"/>
  <c r="ECV3" i="7"/>
  <c r="ECW3" i="7"/>
  <c r="ECX3" i="7"/>
  <c r="ECY3" i="7"/>
  <c r="ECZ3" i="7"/>
  <c r="EDA3" i="7"/>
  <c r="EDB3" i="7"/>
  <c r="EDC3" i="7"/>
  <c r="EDD3" i="7"/>
  <c r="EDE3" i="7"/>
  <c r="EDF3" i="7"/>
  <c r="EDG3" i="7"/>
  <c r="EDH3" i="7"/>
  <c r="EDI3" i="7"/>
  <c r="EDJ3" i="7"/>
  <c r="EDK3" i="7"/>
  <c r="EDL3" i="7"/>
  <c r="EDM3" i="7"/>
  <c r="EDN3" i="7"/>
  <c r="EDO3" i="7"/>
  <c r="EDP3" i="7"/>
  <c r="EDQ3" i="7"/>
  <c r="EDR3" i="7"/>
  <c r="EDS3" i="7"/>
  <c r="EDT3" i="7"/>
  <c r="EDU3" i="7"/>
  <c r="EDV3" i="7"/>
  <c r="EDW3" i="7"/>
  <c r="EDX3" i="7"/>
  <c r="EDY3" i="7"/>
  <c r="EDZ3" i="7"/>
  <c r="EEA3" i="7"/>
  <c r="EEB3" i="7"/>
  <c r="EEC3" i="7"/>
  <c r="EED3" i="7"/>
  <c r="EEE3" i="7"/>
  <c r="EEF3" i="7"/>
  <c r="EEG3" i="7"/>
  <c r="EEH3" i="7"/>
  <c r="EEI3" i="7"/>
  <c r="EEJ3" i="7"/>
  <c r="EEK3" i="7"/>
  <c r="EEL3" i="7"/>
  <c r="EEM3" i="7"/>
  <c r="EEN3" i="7"/>
  <c r="EEO3" i="7"/>
  <c r="EEP3" i="7"/>
  <c r="EEQ3" i="7"/>
  <c r="EER3" i="7"/>
  <c r="EES3" i="7"/>
  <c r="EET3" i="7"/>
  <c r="EEU3" i="7"/>
  <c r="EEV3" i="7"/>
  <c r="EEW3" i="7"/>
  <c r="EEX3" i="7"/>
  <c r="EEY3" i="7"/>
  <c r="EEZ3" i="7"/>
  <c r="EFA3" i="7"/>
  <c r="EFB3" i="7"/>
  <c r="EFC3" i="7"/>
  <c r="EFD3" i="7"/>
  <c r="EFE3" i="7"/>
  <c r="EFF3" i="7"/>
  <c r="EFG3" i="7"/>
  <c r="EFH3" i="7"/>
  <c r="EFI3" i="7"/>
  <c r="EFJ3" i="7"/>
  <c r="EFK3" i="7"/>
  <c r="EFL3" i="7"/>
  <c r="EFM3" i="7"/>
  <c r="EFN3" i="7"/>
  <c r="EFO3" i="7"/>
  <c r="EFP3" i="7"/>
  <c r="EFQ3" i="7"/>
  <c r="EFR3" i="7"/>
  <c r="EFS3" i="7"/>
  <c r="EFT3" i="7"/>
  <c r="EFU3" i="7"/>
  <c r="EFV3" i="7"/>
  <c r="EFW3" i="7"/>
  <c r="EFX3" i="7"/>
  <c r="EFY3" i="7"/>
  <c r="EFZ3" i="7"/>
  <c r="EGA3" i="7"/>
  <c r="EGB3" i="7"/>
  <c r="EGC3" i="7"/>
  <c r="EGD3" i="7"/>
  <c r="EGE3" i="7"/>
  <c r="EGF3" i="7"/>
  <c r="EGG3" i="7"/>
  <c r="EGH3" i="7"/>
  <c r="EGI3" i="7"/>
  <c r="EGJ3" i="7"/>
  <c r="EGK3" i="7"/>
  <c r="EGL3" i="7"/>
  <c r="EGM3" i="7"/>
  <c r="EGN3" i="7"/>
  <c r="EGO3" i="7"/>
  <c r="EGP3" i="7"/>
  <c r="EGQ3" i="7"/>
  <c r="EGR3" i="7"/>
  <c r="EGS3" i="7"/>
  <c r="EGT3" i="7"/>
  <c r="EGU3" i="7"/>
  <c r="EGV3" i="7"/>
  <c r="EGW3" i="7"/>
  <c r="EGX3" i="7"/>
  <c r="EGY3" i="7"/>
  <c r="EGZ3" i="7"/>
  <c r="EHA3" i="7"/>
  <c r="EHB3" i="7"/>
  <c r="EHC3" i="7"/>
  <c r="EHD3" i="7"/>
  <c r="EHE3" i="7"/>
  <c r="EHF3" i="7"/>
  <c r="EHG3" i="7"/>
  <c r="EHH3" i="7"/>
  <c r="EHI3" i="7"/>
  <c r="EHJ3" i="7"/>
  <c r="EHK3" i="7"/>
  <c r="EHL3" i="7"/>
  <c r="EHM3" i="7"/>
  <c r="EHN3" i="7"/>
  <c r="EHO3" i="7"/>
  <c r="EHP3" i="7"/>
  <c r="EHQ3" i="7"/>
  <c r="EHR3" i="7"/>
  <c r="EHS3" i="7"/>
  <c r="EHT3" i="7"/>
  <c r="EHU3" i="7"/>
  <c r="EHV3" i="7"/>
  <c r="EHW3" i="7"/>
  <c r="EHX3" i="7"/>
  <c r="EHY3" i="7"/>
  <c r="EHZ3" i="7"/>
  <c r="EIA3" i="7"/>
  <c r="EIB3" i="7"/>
  <c r="EIC3" i="7"/>
  <c r="EID3" i="7"/>
  <c r="EIE3" i="7"/>
  <c r="EIF3" i="7"/>
  <c r="EIG3" i="7"/>
  <c r="EIH3" i="7"/>
  <c r="EII3" i="7"/>
  <c r="EIJ3" i="7"/>
  <c r="EIK3" i="7"/>
  <c r="EIL3" i="7"/>
  <c r="EIM3" i="7"/>
  <c r="EIN3" i="7"/>
  <c r="EIO3" i="7"/>
  <c r="EIP3" i="7"/>
  <c r="EIQ3" i="7"/>
  <c r="EIR3" i="7"/>
  <c r="EIS3" i="7"/>
  <c r="EIT3" i="7"/>
  <c r="EIU3" i="7"/>
  <c r="EIV3" i="7"/>
  <c r="EIW3" i="7"/>
  <c r="EIX3" i="7"/>
  <c r="EIY3" i="7"/>
  <c r="EIZ3" i="7"/>
  <c r="EJA3" i="7"/>
  <c r="EJB3" i="7"/>
  <c r="EJC3" i="7"/>
  <c r="EJD3" i="7"/>
  <c r="EJE3" i="7"/>
  <c r="EJF3" i="7"/>
  <c r="EJG3" i="7"/>
  <c r="EJH3" i="7"/>
  <c r="EJI3" i="7"/>
  <c r="EJJ3" i="7"/>
  <c r="EJK3" i="7"/>
  <c r="EJL3" i="7"/>
  <c r="EJM3" i="7"/>
  <c r="EJN3" i="7"/>
  <c r="EJO3" i="7"/>
  <c r="EJP3" i="7"/>
  <c r="EJQ3" i="7"/>
  <c r="EJR3" i="7"/>
  <c r="EJS3" i="7"/>
  <c r="EJT3" i="7"/>
  <c r="EJU3" i="7"/>
  <c r="EJV3" i="7"/>
  <c r="EJW3" i="7"/>
  <c r="EJX3" i="7"/>
  <c r="EJY3" i="7"/>
  <c r="EJZ3" i="7"/>
  <c r="EKA3" i="7"/>
  <c r="EKB3" i="7"/>
  <c r="EKC3" i="7"/>
  <c r="EKD3" i="7"/>
  <c r="EKE3" i="7"/>
  <c r="EKF3" i="7"/>
  <c r="EKG3" i="7"/>
  <c r="EKH3" i="7"/>
  <c r="EKI3" i="7"/>
  <c r="EKJ3" i="7"/>
  <c r="EKK3" i="7"/>
  <c r="EKL3" i="7"/>
  <c r="EKM3" i="7"/>
  <c r="EKN3" i="7"/>
  <c r="EKO3" i="7"/>
  <c r="EKP3" i="7"/>
  <c r="EKQ3" i="7"/>
  <c r="EKR3" i="7"/>
  <c r="EKS3" i="7"/>
  <c r="EKT3" i="7"/>
  <c r="EKU3" i="7"/>
  <c r="EKV3" i="7"/>
  <c r="EKW3" i="7"/>
  <c r="EKX3" i="7"/>
  <c r="EKY3" i="7"/>
  <c r="EKZ3" i="7"/>
  <c r="ELA3" i="7"/>
  <c r="ELB3" i="7"/>
  <c r="ELC3" i="7"/>
  <c r="ELD3" i="7"/>
  <c r="ELE3" i="7"/>
  <c r="ELF3" i="7"/>
  <c r="ELG3" i="7"/>
  <c r="ELH3" i="7"/>
  <c r="ELI3" i="7"/>
  <c r="ELJ3" i="7"/>
  <c r="ELK3" i="7"/>
  <c r="ELL3" i="7"/>
  <c r="ELM3" i="7"/>
  <c r="ELN3" i="7"/>
  <c r="ELO3" i="7"/>
  <c r="ELP3" i="7"/>
  <c r="ELQ3" i="7"/>
  <c r="ELR3" i="7"/>
  <c r="ELS3" i="7"/>
  <c r="ELT3" i="7"/>
  <c r="ELU3" i="7"/>
  <c r="ELV3" i="7"/>
  <c r="ELW3" i="7"/>
  <c r="ELX3" i="7"/>
  <c r="ELY3" i="7"/>
  <c r="ELZ3" i="7"/>
  <c r="EMA3" i="7"/>
  <c r="EMB3" i="7"/>
  <c r="EMC3" i="7"/>
  <c r="EMD3" i="7"/>
  <c r="EME3" i="7"/>
  <c r="EMF3" i="7"/>
  <c r="EMG3" i="7"/>
  <c r="EMH3" i="7"/>
  <c r="EMI3" i="7"/>
  <c r="EMJ3" i="7"/>
  <c r="EMK3" i="7"/>
  <c r="EML3" i="7"/>
  <c r="EMM3" i="7"/>
  <c r="EMN3" i="7"/>
  <c r="EMO3" i="7"/>
  <c r="EMP3" i="7"/>
  <c r="EMQ3" i="7"/>
  <c r="EMR3" i="7"/>
  <c r="EMS3" i="7"/>
  <c r="EMT3" i="7"/>
  <c r="EMU3" i="7"/>
  <c r="EMV3" i="7"/>
  <c r="EMW3" i="7"/>
  <c r="EMX3" i="7"/>
  <c r="EMY3" i="7"/>
  <c r="EMZ3" i="7"/>
  <c r="ENA3" i="7"/>
  <c r="ENB3" i="7"/>
  <c r="ENC3" i="7"/>
  <c r="END3" i="7"/>
  <c r="ENE3" i="7"/>
  <c r="ENF3" i="7"/>
  <c r="ENG3" i="7"/>
  <c r="ENH3" i="7"/>
  <c r="ENI3" i="7"/>
  <c r="ENJ3" i="7"/>
  <c r="ENK3" i="7"/>
  <c r="ENL3" i="7"/>
  <c r="ENM3" i="7"/>
  <c r="ENN3" i="7"/>
  <c r="ENO3" i="7"/>
  <c r="ENP3" i="7"/>
  <c r="ENQ3" i="7"/>
  <c r="ENR3" i="7"/>
  <c r="ENS3" i="7"/>
  <c r="ENT3" i="7"/>
  <c r="ENU3" i="7"/>
  <c r="ENV3" i="7"/>
  <c r="ENW3" i="7"/>
  <c r="ENX3" i="7"/>
  <c r="ENY3" i="7"/>
  <c r="ENZ3" i="7"/>
  <c r="EOA3" i="7"/>
  <c r="EOB3" i="7"/>
  <c r="EOC3" i="7"/>
  <c r="EOD3" i="7"/>
  <c r="EOE3" i="7"/>
  <c r="EOF3" i="7"/>
  <c r="EOG3" i="7"/>
  <c r="EOH3" i="7"/>
  <c r="EOI3" i="7"/>
  <c r="EOJ3" i="7"/>
  <c r="EOK3" i="7"/>
  <c r="EOL3" i="7"/>
  <c r="EOM3" i="7"/>
  <c r="EON3" i="7"/>
  <c r="EOO3" i="7"/>
  <c r="EOP3" i="7"/>
  <c r="EOQ3" i="7"/>
  <c r="EOR3" i="7"/>
  <c r="EOS3" i="7"/>
  <c r="EOT3" i="7"/>
  <c r="EOU3" i="7"/>
  <c r="EOV3" i="7"/>
  <c r="EOW3" i="7"/>
  <c r="EOX3" i="7"/>
  <c r="EOY3" i="7"/>
  <c r="EOZ3" i="7"/>
  <c r="EPA3" i="7"/>
  <c r="EPB3" i="7"/>
  <c r="EPC3" i="7"/>
  <c r="EPD3" i="7"/>
  <c r="EPE3" i="7"/>
  <c r="EPF3" i="7"/>
  <c r="EPG3" i="7"/>
  <c r="EPH3" i="7"/>
  <c r="EPI3" i="7"/>
  <c r="EPJ3" i="7"/>
  <c r="EPK3" i="7"/>
  <c r="EPL3" i="7"/>
  <c r="EPM3" i="7"/>
  <c r="EPN3" i="7"/>
  <c r="EPO3" i="7"/>
  <c r="EPP3" i="7"/>
  <c r="EPQ3" i="7"/>
  <c r="EPR3" i="7"/>
  <c r="EPS3" i="7"/>
  <c r="EPT3" i="7"/>
  <c r="EPU3" i="7"/>
  <c r="EPV3" i="7"/>
  <c r="EPW3" i="7"/>
  <c r="EPX3" i="7"/>
  <c r="EPY3" i="7"/>
  <c r="EPZ3" i="7"/>
  <c r="EQA3" i="7"/>
  <c r="EQB3" i="7"/>
  <c r="EQC3" i="7"/>
  <c r="EQD3" i="7"/>
  <c r="EQE3" i="7"/>
  <c r="EQF3" i="7"/>
  <c r="EQG3" i="7"/>
  <c r="EQH3" i="7"/>
  <c r="EQI3" i="7"/>
  <c r="EQJ3" i="7"/>
  <c r="EQK3" i="7"/>
  <c r="EQL3" i="7"/>
  <c r="EQM3" i="7"/>
  <c r="EQN3" i="7"/>
  <c r="EQO3" i="7"/>
  <c r="EQP3" i="7"/>
  <c r="EQQ3" i="7"/>
  <c r="EQR3" i="7"/>
  <c r="EQS3" i="7"/>
  <c r="EQT3" i="7"/>
  <c r="EQU3" i="7"/>
  <c r="EQV3" i="7"/>
  <c r="EQW3" i="7"/>
  <c r="EQX3" i="7"/>
  <c r="EQY3" i="7"/>
  <c r="EQZ3" i="7"/>
  <c r="ERA3" i="7"/>
  <c r="ERB3" i="7"/>
  <c r="ERC3" i="7"/>
  <c r="ERD3" i="7"/>
  <c r="ERE3" i="7"/>
  <c r="ERF3" i="7"/>
  <c r="ERG3" i="7"/>
  <c r="ERH3" i="7"/>
  <c r="ERI3" i="7"/>
  <c r="ERJ3" i="7"/>
  <c r="ERK3" i="7"/>
  <c r="ERL3" i="7"/>
  <c r="ERM3" i="7"/>
  <c r="ERN3" i="7"/>
  <c r="ERO3" i="7"/>
  <c r="ERP3" i="7"/>
  <c r="ERQ3" i="7"/>
  <c r="ERR3" i="7"/>
  <c r="ERS3" i="7"/>
  <c r="ERT3" i="7"/>
  <c r="ERU3" i="7"/>
  <c r="ERV3" i="7"/>
  <c r="ERW3" i="7"/>
  <c r="ERX3" i="7"/>
  <c r="ERY3" i="7"/>
  <c r="ERZ3" i="7"/>
  <c r="ESA3" i="7"/>
  <c r="ESB3" i="7"/>
  <c r="ESC3" i="7"/>
  <c r="ESD3" i="7"/>
  <c r="ESE3" i="7"/>
  <c r="ESF3" i="7"/>
  <c r="ESG3" i="7"/>
  <c r="ESH3" i="7"/>
  <c r="ESI3" i="7"/>
  <c r="ESJ3" i="7"/>
  <c r="ESK3" i="7"/>
  <c r="ESL3" i="7"/>
  <c r="ESM3" i="7"/>
  <c r="ESN3" i="7"/>
  <c r="ESO3" i="7"/>
  <c r="ESP3" i="7"/>
  <c r="ESQ3" i="7"/>
  <c r="ESR3" i="7"/>
  <c r="ESS3" i="7"/>
  <c r="EST3" i="7"/>
  <c r="ESU3" i="7"/>
  <c r="ESV3" i="7"/>
  <c r="ESW3" i="7"/>
  <c r="ESX3" i="7"/>
  <c r="ESY3" i="7"/>
  <c r="ESZ3" i="7"/>
  <c r="ETA3" i="7"/>
  <c r="ETB3" i="7"/>
  <c r="ETC3" i="7"/>
  <c r="ETD3" i="7"/>
  <c r="ETE3" i="7"/>
  <c r="ETF3" i="7"/>
  <c r="ETG3" i="7"/>
  <c r="ETH3" i="7"/>
  <c r="ETI3" i="7"/>
  <c r="ETJ3" i="7"/>
  <c r="ETK3" i="7"/>
  <c r="ETL3" i="7"/>
  <c r="ETM3" i="7"/>
  <c r="ETN3" i="7"/>
  <c r="ETO3" i="7"/>
  <c r="ETP3" i="7"/>
  <c r="ETQ3" i="7"/>
  <c r="ETR3" i="7"/>
  <c r="ETS3" i="7"/>
  <c r="ETT3" i="7"/>
  <c r="ETU3" i="7"/>
  <c r="ETV3" i="7"/>
  <c r="ETW3" i="7"/>
  <c r="ETX3" i="7"/>
  <c r="ETY3" i="7"/>
  <c r="ETZ3" i="7"/>
  <c r="EUA3" i="7"/>
  <c r="EUB3" i="7"/>
  <c r="EUC3" i="7"/>
  <c r="EUD3" i="7"/>
  <c r="EUE3" i="7"/>
  <c r="EUF3" i="7"/>
  <c r="EUG3" i="7"/>
  <c r="EUH3" i="7"/>
  <c r="EUI3" i="7"/>
  <c r="EUJ3" i="7"/>
  <c r="EUK3" i="7"/>
  <c r="EUL3" i="7"/>
  <c r="EUM3" i="7"/>
  <c r="EUN3" i="7"/>
  <c r="EUO3" i="7"/>
  <c r="EUP3" i="7"/>
  <c r="EUQ3" i="7"/>
  <c r="EUR3" i="7"/>
  <c r="EUS3" i="7"/>
  <c r="EUT3" i="7"/>
  <c r="EUU3" i="7"/>
  <c r="EUV3" i="7"/>
  <c r="EUW3" i="7"/>
  <c r="EUX3" i="7"/>
  <c r="EUY3" i="7"/>
  <c r="EUZ3" i="7"/>
  <c r="EVA3" i="7"/>
  <c r="EVB3" i="7"/>
  <c r="EVC3" i="7"/>
  <c r="EVD3" i="7"/>
  <c r="EVE3" i="7"/>
  <c r="EVF3" i="7"/>
  <c r="EVG3" i="7"/>
  <c r="EVH3" i="7"/>
  <c r="EVI3" i="7"/>
  <c r="EVJ3" i="7"/>
  <c r="EVK3" i="7"/>
  <c r="EVL3" i="7"/>
  <c r="EVM3" i="7"/>
  <c r="EVN3" i="7"/>
  <c r="EVO3" i="7"/>
  <c r="EVP3" i="7"/>
  <c r="EVQ3" i="7"/>
  <c r="EVR3" i="7"/>
  <c r="EVS3" i="7"/>
  <c r="EVT3" i="7"/>
  <c r="EVU3" i="7"/>
  <c r="EVV3" i="7"/>
  <c r="EVW3" i="7"/>
  <c r="EVX3" i="7"/>
  <c r="EVY3" i="7"/>
  <c r="EVZ3" i="7"/>
  <c r="EWA3" i="7"/>
  <c r="EWB3" i="7"/>
  <c r="EWC3" i="7"/>
  <c r="EWD3" i="7"/>
  <c r="EWE3" i="7"/>
  <c r="EWF3" i="7"/>
  <c r="EWG3" i="7"/>
  <c r="EWH3" i="7"/>
  <c r="EWI3" i="7"/>
  <c r="EWJ3" i="7"/>
  <c r="EWK3" i="7"/>
  <c r="EWL3" i="7"/>
  <c r="EWM3" i="7"/>
  <c r="EWN3" i="7"/>
  <c r="EWO3" i="7"/>
  <c r="EWP3" i="7"/>
  <c r="EWQ3" i="7"/>
  <c r="EWR3" i="7"/>
  <c r="EWS3" i="7"/>
  <c r="EWT3" i="7"/>
  <c r="EWU3" i="7"/>
  <c r="EWV3" i="7"/>
  <c r="EWW3" i="7"/>
  <c r="EWX3" i="7"/>
  <c r="EWY3" i="7"/>
  <c r="EWZ3" i="7"/>
  <c r="EXA3" i="7"/>
  <c r="EXB3" i="7"/>
  <c r="EXC3" i="7"/>
  <c r="EXD3" i="7"/>
  <c r="EXE3" i="7"/>
  <c r="EXF3" i="7"/>
  <c r="EXG3" i="7"/>
  <c r="EXH3" i="7"/>
  <c r="EXI3" i="7"/>
  <c r="EXJ3" i="7"/>
  <c r="EXK3" i="7"/>
  <c r="EXL3" i="7"/>
  <c r="EXM3" i="7"/>
  <c r="EXN3" i="7"/>
  <c r="EXO3" i="7"/>
  <c r="EXP3" i="7"/>
  <c r="EXQ3" i="7"/>
  <c r="EXR3" i="7"/>
  <c r="EXS3" i="7"/>
  <c r="EXT3" i="7"/>
  <c r="EXU3" i="7"/>
  <c r="EXV3" i="7"/>
  <c r="EXW3" i="7"/>
  <c r="EXX3" i="7"/>
  <c r="EXY3" i="7"/>
  <c r="EXZ3" i="7"/>
  <c r="EYA3" i="7"/>
  <c r="EYB3" i="7"/>
  <c r="EYC3" i="7"/>
  <c r="EYD3" i="7"/>
  <c r="EYE3" i="7"/>
  <c r="EYF3" i="7"/>
  <c r="EYG3" i="7"/>
  <c r="EYH3" i="7"/>
  <c r="EYI3" i="7"/>
  <c r="EYJ3" i="7"/>
  <c r="EYK3" i="7"/>
  <c r="EYL3" i="7"/>
  <c r="EYM3" i="7"/>
  <c r="EYN3" i="7"/>
  <c r="EYO3" i="7"/>
  <c r="EYP3" i="7"/>
  <c r="EYQ3" i="7"/>
  <c r="EYR3" i="7"/>
  <c r="EYS3" i="7"/>
  <c r="EYT3" i="7"/>
  <c r="EYU3" i="7"/>
  <c r="EYV3" i="7"/>
  <c r="EYW3" i="7"/>
  <c r="EYX3" i="7"/>
  <c r="EYY3" i="7"/>
  <c r="EYZ3" i="7"/>
  <c r="EZA3" i="7"/>
  <c r="EZB3" i="7"/>
  <c r="EZC3" i="7"/>
  <c r="EZD3" i="7"/>
  <c r="EZE3" i="7"/>
  <c r="EZF3" i="7"/>
  <c r="EZG3" i="7"/>
  <c r="EZH3" i="7"/>
  <c r="EZI3" i="7"/>
  <c r="EZJ3" i="7"/>
  <c r="EZK3" i="7"/>
  <c r="EZL3" i="7"/>
  <c r="EZM3" i="7"/>
  <c r="EZN3" i="7"/>
  <c r="EZO3" i="7"/>
  <c r="EZP3" i="7"/>
  <c r="EZQ3" i="7"/>
  <c r="EZR3" i="7"/>
  <c r="EZS3" i="7"/>
  <c r="EZT3" i="7"/>
  <c r="EZU3" i="7"/>
  <c r="EZV3" i="7"/>
  <c r="EZW3" i="7"/>
  <c r="EZX3" i="7"/>
  <c r="EZY3" i="7"/>
  <c r="EZZ3" i="7"/>
  <c r="FAA3" i="7"/>
  <c r="FAB3" i="7"/>
  <c r="FAC3" i="7"/>
  <c r="FAD3" i="7"/>
  <c r="FAE3" i="7"/>
  <c r="FAF3" i="7"/>
  <c r="FAG3" i="7"/>
  <c r="FAH3" i="7"/>
  <c r="FAI3" i="7"/>
  <c r="FAJ3" i="7"/>
  <c r="FAK3" i="7"/>
  <c r="FAL3" i="7"/>
  <c r="FAM3" i="7"/>
  <c r="FAN3" i="7"/>
  <c r="FAO3" i="7"/>
  <c r="FAP3" i="7"/>
  <c r="FAQ3" i="7"/>
  <c r="FAR3" i="7"/>
  <c r="FAS3" i="7"/>
  <c r="FAT3" i="7"/>
  <c r="FAU3" i="7"/>
  <c r="FAV3" i="7"/>
  <c r="FAW3" i="7"/>
  <c r="FAX3" i="7"/>
  <c r="FAY3" i="7"/>
  <c r="FAZ3" i="7"/>
  <c r="FBA3" i="7"/>
  <c r="FBB3" i="7"/>
  <c r="FBC3" i="7"/>
  <c r="FBD3" i="7"/>
  <c r="FBE3" i="7"/>
  <c r="FBF3" i="7"/>
  <c r="FBG3" i="7"/>
  <c r="FBH3" i="7"/>
  <c r="FBI3" i="7"/>
  <c r="FBJ3" i="7"/>
  <c r="FBK3" i="7"/>
  <c r="FBL3" i="7"/>
  <c r="FBM3" i="7"/>
  <c r="FBN3" i="7"/>
  <c r="FBO3" i="7"/>
  <c r="FBP3" i="7"/>
  <c r="FBQ3" i="7"/>
  <c r="FBR3" i="7"/>
  <c r="FBS3" i="7"/>
  <c r="FBT3" i="7"/>
  <c r="FBU3" i="7"/>
  <c r="FBV3" i="7"/>
  <c r="FBW3" i="7"/>
  <c r="FBX3" i="7"/>
  <c r="FBY3" i="7"/>
  <c r="FBZ3" i="7"/>
  <c r="FCA3" i="7"/>
  <c r="FCB3" i="7"/>
  <c r="FCC3" i="7"/>
  <c r="FCD3" i="7"/>
  <c r="FCE3" i="7"/>
  <c r="FCF3" i="7"/>
  <c r="FCG3" i="7"/>
  <c r="FCH3" i="7"/>
  <c r="FCI3" i="7"/>
  <c r="FCJ3" i="7"/>
  <c r="FCK3" i="7"/>
  <c r="FCL3" i="7"/>
  <c r="FCM3" i="7"/>
  <c r="FCN3" i="7"/>
  <c r="FCO3" i="7"/>
  <c r="FCP3" i="7"/>
  <c r="FCQ3" i="7"/>
  <c r="FCR3" i="7"/>
  <c r="FCS3" i="7"/>
  <c r="FCT3" i="7"/>
  <c r="FCU3" i="7"/>
  <c r="FCV3" i="7"/>
  <c r="FCW3" i="7"/>
  <c r="FCX3" i="7"/>
  <c r="FCY3" i="7"/>
  <c r="FCZ3" i="7"/>
  <c r="FDA3" i="7"/>
  <c r="FDB3" i="7"/>
  <c r="FDC3" i="7"/>
  <c r="FDD3" i="7"/>
  <c r="FDE3" i="7"/>
  <c r="FDF3" i="7"/>
  <c r="FDG3" i="7"/>
  <c r="FDH3" i="7"/>
  <c r="FDI3" i="7"/>
  <c r="FDJ3" i="7"/>
  <c r="FDK3" i="7"/>
  <c r="FDL3" i="7"/>
  <c r="FDM3" i="7"/>
  <c r="FDN3" i="7"/>
  <c r="FDO3" i="7"/>
  <c r="FDP3" i="7"/>
  <c r="FDQ3" i="7"/>
  <c r="FDR3" i="7"/>
  <c r="FDS3" i="7"/>
  <c r="FDT3" i="7"/>
  <c r="FDU3" i="7"/>
  <c r="FDV3" i="7"/>
  <c r="FDW3" i="7"/>
  <c r="FDX3" i="7"/>
  <c r="FDY3" i="7"/>
  <c r="FDZ3" i="7"/>
  <c r="FEA3" i="7"/>
  <c r="FEB3" i="7"/>
  <c r="FEC3" i="7"/>
  <c r="FED3" i="7"/>
  <c r="FEE3" i="7"/>
  <c r="FEF3" i="7"/>
  <c r="FEG3" i="7"/>
  <c r="FEH3" i="7"/>
  <c r="FEI3" i="7"/>
  <c r="FEJ3" i="7"/>
  <c r="FEK3" i="7"/>
  <c r="FEL3" i="7"/>
  <c r="FEM3" i="7"/>
  <c r="FEN3" i="7"/>
  <c r="FEO3" i="7"/>
  <c r="FEP3" i="7"/>
  <c r="FEQ3" i="7"/>
  <c r="FER3" i="7"/>
  <c r="FES3" i="7"/>
  <c r="FET3" i="7"/>
  <c r="FEU3" i="7"/>
  <c r="FEV3" i="7"/>
  <c r="FEW3" i="7"/>
  <c r="FEX3" i="7"/>
  <c r="FEY3" i="7"/>
  <c r="FEZ3" i="7"/>
  <c r="FFA3" i="7"/>
  <c r="FFB3" i="7"/>
  <c r="FFC3" i="7"/>
  <c r="FFD3" i="7"/>
  <c r="FFE3" i="7"/>
  <c r="FFF3" i="7"/>
  <c r="FFG3" i="7"/>
  <c r="FFH3" i="7"/>
  <c r="FFI3" i="7"/>
  <c r="FFJ3" i="7"/>
  <c r="FFK3" i="7"/>
  <c r="FFL3" i="7"/>
  <c r="FFM3" i="7"/>
  <c r="FFN3" i="7"/>
  <c r="FFO3" i="7"/>
  <c r="FFP3" i="7"/>
  <c r="FFQ3" i="7"/>
  <c r="FFR3" i="7"/>
  <c r="FFS3" i="7"/>
  <c r="FFT3" i="7"/>
  <c r="FFU3" i="7"/>
  <c r="FFV3" i="7"/>
  <c r="FFW3" i="7"/>
  <c r="FFX3" i="7"/>
  <c r="FFY3" i="7"/>
  <c r="FFZ3" i="7"/>
  <c r="FGA3" i="7"/>
  <c r="FGB3" i="7"/>
  <c r="FGC3" i="7"/>
  <c r="FGD3" i="7"/>
  <c r="FGE3" i="7"/>
  <c r="FGF3" i="7"/>
  <c r="FGG3" i="7"/>
  <c r="FGH3" i="7"/>
  <c r="FGI3" i="7"/>
  <c r="FGJ3" i="7"/>
  <c r="FGK3" i="7"/>
  <c r="FGL3" i="7"/>
  <c r="FGM3" i="7"/>
  <c r="FGN3" i="7"/>
  <c r="FGO3" i="7"/>
  <c r="FGP3" i="7"/>
  <c r="FGQ3" i="7"/>
  <c r="FGR3" i="7"/>
  <c r="FGS3" i="7"/>
  <c r="FGT3" i="7"/>
  <c r="FGU3" i="7"/>
  <c r="FGV3" i="7"/>
  <c r="FGW3" i="7"/>
  <c r="FGX3" i="7"/>
  <c r="FGY3" i="7"/>
  <c r="FGZ3" i="7"/>
  <c r="FHA3" i="7"/>
  <c r="FHB3" i="7"/>
  <c r="FHC3" i="7"/>
  <c r="FHD3" i="7"/>
  <c r="FHE3" i="7"/>
  <c r="FHF3" i="7"/>
  <c r="FHG3" i="7"/>
  <c r="FHH3" i="7"/>
  <c r="FHI3" i="7"/>
  <c r="FHJ3" i="7"/>
  <c r="FHK3" i="7"/>
  <c r="FHL3" i="7"/>
  <c r="FHM3" i="7"/>
  <c r="FHN3" i="7"/>
  <c r="FHO3" i="7"/>
  <c r="FHP3" i="7"/>
  <c r="FHQ3" i="7"/>
  <c r="FHR3" i="7"/>
  <c r="FHS3" i="7"/>
  <c r="FHT3" i="7"/>
  <c r="FHU3" i="7"/>
  <c r="FHV3" i="7"/>
  <c r="FHW3" i="7"/>
  <c r="FHX3" i="7"/>
  <c r="FHY3" i="7"/>
  <c r="FHZ3" i="7"/>
  <c r="FIA3" i="7"/>
  <c r="FIB3" i="7"/>
  <c r="FIC3" i="7"/>
  <c r="FID3" i="7"/>
  <c r="FIE3" i="7"/>
  <c r="FIF3" i="7"/>
  <c r="FIG3" i="7"/>
  <c r="FIH3" i="7"/>
  <c r="FII3" i="7"/>
  <c r="FIJ3" i="7"/>
  <c r="FIK3" i="7"/>
  <c r="FIL3" i="7"/>
  <c r="FIM3" i="7"/>
  <c r="FIN3" i="7"/>
  <c r="FIO3" i="7"/>
  <c r="FIP3" i="7"/>
  <c r="FIQ3" i="7"/>
  <c r="FIR3" i="7"/>
  <c r="FIS3" i="7"/>
  <c r="FIT3" i="7"/>
  <c r="FIU3" i="7"/>
  <c r="FIV3" i="7"/>
  <c r="FIW3" i="7"/>
  <c r="FIX3" i="7"/>
  <c r="FIY3" i="7"/>
  <c r="FIZ3" i="7"/>
  <c r="FJA3" i="7"/>
  <c r="FJB3" i="7"/>
  <c r="FJC3" i="7"/>
  <c r="FJD3" i="7"/>
  <c r="FJE3" i="7"/>
  <c r="FJF3" i="7"/>
  <c r="FJG3" i="7"/>
  <c r="FJH3" i="7"/>
  <c r="FJI3" i="7"/>
  <c r="FJJ3" i="7"/>
  <c r="FJK3" i="7"/>
  <c r="FJL3" i="7"/>
  <c r="FJM3" i="7"/>
  <c r="FJN3" i="7"/>
  <c r="FJO3" i="7"/>
  <c r="FJP3" i="7"/>
  <c r="FJQ3" i="7"/>
  <c r="FJR3" i="7"/>
  <c r="FJS3" i="7"/>
  <c r="FJT3" i="7"/>
  <c r="FJU3" i="7"/>
  <c r="FJV3" i="7"/>
  <c r="FJW3" i="7"/>
  <c r="FJX3" i="7"/>
  <c r="FJY3" i="7"/>
  <c r="FJZ3" i="7"/>
  <c r="FKA3" i="7"/>
  <c r="FKB3" i="7"/>
  <c r="FKC3" i="7"/>
  <c r="FKD3" i="7"/>
  <c r="FKE3" i="7"/>
  <c r="FKF3" i="7"/>
  <c r="FKG3" i="7"/>
  <c r="FKH3" i="7"/>
  <c r="FKI3" i="7"/>
  <c r="FKJ3" i="7"/>
  <c r="FKK3" i="7"/>
  <c r="FKL3" i="7"/>
  <c r="FKM3" i="7"/>
  <c r="FKN3" i="7"/>
  <c r="FKO3" i="7"/>
  <c r="FKP3" i="7"/>
  <c r="FKQ3" i="7"/>
  <c r="FKR3" i="7"/>
  <c r="FKS3" i="7"/>
  <c r="FKT3" i="7"/>
  <c r="FKU3" i="7"/>
  <c r="FKV3" i="7"/>
  <c r="FKW3" i="7"/>
  <c r="FKX3" i="7"/>
  <c r="FKY3" i="7"/>
  <c r="FKZ3" i="7"/>
  <c r="FLA3" i="7"/>
  <c r="FLB3" i="7"/>
  <c r="FLC3" i="7"/>
  <c r="FLD3" i="7"/>
  <c r="FLE3" i="7"/>
  <c r="FLF3" i="7"/>
  <c r="FLG3" i="7"/>
  <c r="FLH3" i="7"/>
  <c r="FLI3" i="7"/>
  <c r="FLJ3" i="7"/>
  <c r="FLK3" i="7"/>
  <c r="FLL3" i="7"/>
  <c r="FLM3" i="7"/>
  <c r="FLN3" i="7"/>
  <c r="FLO3" i="7"/>
  <c r="FLP3" i="7"/>
  <c r="FLQ3" i="7"/>
  <c r="FLR3" i="7"/>
  <c r="FLS3" i="7"/>
  <c r="FLT3" i="7"/>
  <c r="FLU3" i="7"/>
  <c r="FLV3" i="7"/>
  <c r="FLW3" i="7"/>
  <c r="FLX3" i="7"/>
  <c r="FLY3" i="7"/>
  <c r="FLZ3" i="7"/>
  <c r="FMA3" i="7"/>
  <c r="FMB3" i="7"/>
  <c r="FMC3" i="7"/>
  <c r="FMD3" i="7"/>
  <c r="FME3" i="7"/>
  <c r="FMF3" i="7"/>
  <c r="FMG3" i="7"/>
  <c r="FMH3" i="7"/>
  <c r="FMI3" i="7"/>
  <c r="FMJ3" i="7"/>
  <c r="FMK3" i="7"/>
  <c r="FML3" i="7"/>
  <c r="FMM3" i="7"/>
  <c r="FMN3" i="7"/>
  <c r="FMO3" i="7"/>
  <c r="FMP3" i="7"/>
  <c r="FMQ3" i="7"/>
  <c r="FMR3" i="7"/>
  <c r="FMS3" i="7"/>
  <c r="FMT3" i="7"/>
  <c r="FMU3" i="7"/>
  <c r="FMV3" i="7"/>
  <c r="FMW3" i="7"/>
  <c r="FMX3" i="7"/>
  <c r="FMY3" i="7"/>
  <c r="FMZ3" i="7"/>
  <c r="FNA3" i="7"/>
  <c r="FNB3" i="7"/>
  <c r="FNC3" i="7"/>
  <c r="FND3" i="7"/>
  <c r="FNE3" i="7"/>
  <c r="FNF3" i="7"/>
  <c r="FNG3" i="7"/>
  <c r="FNH3" i="7"/>
  <c r="FNI3" i="7"/>
  <c r="FNJ3" i="7"/>
  <c r="FNK3" i="7"/>
  <c r="FNL3" i="7"/>
  <c r="FNM3" i="7"/>
  <c r="FNN3" i="7"/>
  <c r="FNO3" i="7"/>
  <c r="FNP3" i="7"/>
  <c r="FNQ3" i="7"/>
  <c r="FNR3" i="7"/>
  <c r="FNS3" i="7"/>
  <c r="FNT3" i="7"/>
  <c r="FNU3" i="7"/>
  <c r="FNV3" i="7"/>
  <c r="FNW3" i="7"/>
  <c r="FNX3" i="7"/>
  <c r="FNY3" i="7"/>
  <c r="FNZ3" i="7"/>
  <c r="FOA3" i="7"/>
  <c r="FOB3" i="7"/>
  <c r="FOC3" i="7"/>
  <c r="FOD3" i="7"/>
  <c r="FOE3" i="7"/>
  <c r="FOF3" i="7"/>
  <c r="FOG3" i="7"/>
  <c r="FOH3" i="7"/>
  <c r="FOI3" i="7"/>
  <c r="FOJ3" i="7"/>
  <c r="FOK3" i="7"/>
  <c r="FOL3" i="7"/>
  <c r="FOM3" i="7"/>
  <c r="FON3" i="7"/>
  <c r="FOO3" i="7"/>
  <c r="FOP3" i="7"/>
  <c r="FOQ3" i="7"/>
  <c r="FOR3" i="7"/>
  <c r="FOS3" i="7"/>
  <c r="FOT3" i="7"/>
  <c r="FOU3" i="7"/>
  <c r="FOV3" i="7"/>
  <c r="FOW3" i="7"/>
  <c r="FOX3" i="7"/>
  <c r="FOY3" i="7"/>
  <c r="FOZ3" i="7"/>
  <c r="FPA3" i="7"/>
  <c r="FPB3" i="7"/>
  <c r="FPC3" i="7"/>
  <c r="FPD3" i="7"/>
  <c r="FPE3" i="7"/>
  <c r="FPF3" i="7"/>
  <c r="FPG3" i="7"/>
  <c r="FPH3" i="7"/>
  <c r="FPI3" i="7"/>
  <c r="FPJ3" i="7"/>
  <c r="FPK3" i="7"/>
  <c r="FPL3" i="7"/>
  <c r="FPM3" i="7"/>
  <c r="FPN3" i="7"/>
  <c r="FPO3" i="7"/>
  <c r="FPP3" i="7"/>
  <c r="FPQ3" i="7"/>
  <c r="FPR3" i="7"/>
  <c r="FPS3" i="7"/>
  <c r="FPT3" i="7"/>
  <c r="FPU3" i="7"/>
  <c r="FPV3" i="7"/>
  <c r="FPW3" i="7"/>
  <c r="FPX3" i="7"/>
  <c r="FPY3" i="7"/>
  <c r="FPZ3" i="7"/>
  <c r="FQA3" i="7"/>
  <c r="FQB3" i="7"/>
  <c r="FQC3" i="7"/>
  <c r="FQD3" i="7"/>
  <c r="FQE3" i="7"/>
  <c r="FQF3" i="7"/>
  <c r="FQG3" i="7"/>
  <c r="FQH3" i="7"/>
  <c r="FQI3" i="7"/>
  <c r="FQJ3" i="7"/>
  <c r="FQK3" i="7"/>
  <c r="FQL3" i="7"/>
  <c r="FQM3" i="7"/>
  <c r="FQN3" i="7"/>
  <c r="FQO3" i="7"/>
  <c r="FQP3" i="7"/>
  <c r="FQQ3" i="7"/>
  <c r="FQR3" i="7"/>
  <c r="FQS3" i="7"/>
  <c r="FQT3" i="7"/>
  <c r="FQU3" i="7"/>
  <c r="FQV3" i="7"/>
  <c r="FQW3" i="7"/>
  <c r="FQX3" i="7"/>
  <c r="FQY3" i="7"/>
  <c r="FQZ3" i="7"/>
  <c r="FRA3" i="7"/>
  <c r="FRB3" i="7"/>
  <c r="FRC3" i="7"/>
  <c r="FRD3" i="7"/>
  <c r="FRE3" i="7"/>
  <c r="FRF3" i="7"/>
  <c r="FRG3" i="7"/>
  <c r="FRH3" i="7"/>
  <c r="FRI3" i="7"/>
  <c r="FRJ3" i="7"/>
  <c r="FRK3" i="7"/>
  <c r="FRL3" i="7"/>
  <c r="FRM3" i="7"/>
  <c r="FRN3" i="7"/>
  <c r="FRO3" i="7"/>
  <c r="FRP3" i="7"/>
  <c r="FRQ3" i="7"/>
  <c r="FRR3" i="7"/>
  <c r="FRS3" i="7"/>
  <c r="FRT3" i="7"/>
  <c r="FRU3" i="7"/>
  <c r="FRV3" i="7"/>
  <c r="FRW3" i="7"/>
  <c r="FRX3" i="7"/>
  <c r="FRY3" i="7"/>
  <c r="FRZ3" i="7"/>
  <c r="FSA3" i="7"/>
  <c r="FSB3" i="7"/>
  <c r="FSC3" i="7"/>
  <c r="FSD3" i="7"/>
  <c r="FSE3" i="7"/>
  <c r="FSF3" i="7"/>
  <c r="FSG3" i="7"/>
  <c r="FSH3" i="7"/>
  <c r="FSI3" i="7"/>
  <c r="FSJ3" i="7"/>
  <c r="FSK3" i="7"/>
  <c r="FSL3" i="7"/>
  <c r="FSM3" i="7"/>
  <c r="FSN3" i="7"/>
  <c r="FSO3" i="7"/>
  <c r="FSP3" i="7"/>
  <c r="FSQ3" i="7"/>
  <c r="FSR3" i="7"/>
  <c r="FSS3" i="7"/>
  <c r="FST3" i="7"/>
  <c r="FSU3" i="7"/>
  <c r="FSV3" i="7"/>
  <c r="FSW3" i="7"/>
  <c r="FSX3" i="7"/>
  <c r="FSY3" i="7"/>
  <c r="FSZ3" i="7"/>
  <c r="FTA3" i="7"/>
  <c r="FTB3" i="7"/>
  <c r="FTC3" i="7"/>
  <c r="FTD3" i="7"/>
  <c r="FTE3" i="7"/>
  <c r="FTF3" i="7"/>
  <c r="FTG3" i="7"/>
  <c r="FTH3" i="7"/>
  <c r="FTI3" i="7"/>
  <c r="FTJ3" i="7"/>
  <c r="FTK3" i="7"/>
  <c r="FTL3" i="7"/>
  <c r="FTM3" i="7"/>
  <c r="FTN3" i="7"/>
  <c r="FTO3" i="7"/>
  <c r="FTP3" i="7"/>
  <c r="FTQ3" i="7"/>
  <c r="FTR3" i="7"/>
  <c r="FTS3" i="7"/>
  <c r="FTT3" i="7"/>
  <c r="FTU3" i="7"/>
  <c r="FTV3" i="7"/>
  <c r="FTW3" i="7"/>
  <c r="FTX3" i="7"/>
  <c r="FTY3" i="7"/>
  <c r="FTZ3" i="7"/>
  <c r="FUA3" i="7"/>
  <c r="FUB3" i="7"/>
  <c r="FUC3" i="7"/>
  <c r="FUD3" i="7"/>
  <c r="FUE3" i="7"/>
  <c r="FUF3" i="7"/>
  <c r="FUG3" i="7"/>
  <c r="FUH3" i="7"/>
  <c r="FUI3" i="7"/>
  <c r="FUJ3" i="7"/>
  <c r="FUK3" i="7"/>
  <c r="FUL3" i="7"/>
  <c r="FUM3" i="7"/>
  <c r="FUN3" i="7"/>
  <c r="FUO3" i="7"/>
  <c r="FUP3" i="7"/>
  <c r="FUQ3" i="7"/>
  <c r="FUR3" i="7"/>
  <c r="FUS3" i="7"/>
  <c r="FUT3" i="7"/>
  <c r="FUU3" i="7"/>
  <c r="FUV3" i="7"/>
  <c r="FUW3" i="7"/>
  <c r="FUX3" i="7"/>
  <c r="FUY3" i="7"/>
  <c r="FUZ3" i="7"/>
  <c r="FVA3" i="7"/>
  <c r="FVB3" i="7"/>
  <c r="FVC3" i="7"/>
  <c r="FVD3" i="7"/>
  <c r="FVE3" i="7"/>
  <c r="FVF3" i="7"/>
  <c r="FVG3" i="7"/>
  <c r="FVH3" i="7"/>
  <c r="FVI3" i="7"/>
  <c r="FVJ3" i="7"/>
  <c r="FVK3" i="7"/>
  <c r="FVL3" i="7"/>
  <c r="FVM3" i="7"/>
  <c r="FVN3" i="7"/>
  <c r="FVO3" i="7"/>
  <c r="FVP3" i="7"/>
  <c r="FVQ3" i="7"/>
  <c r="FVR3" i="7"/>
  <c r="FVS3" i="7"/>
  <c r="FVT3" i="7"/>
  <c r="FVU3" i="7"/>
  <c r="FVV3" i="7"/>
  <c r="FVW3" i="7"/>
  <c r="FVX3" i="7"/>
  <c r="FVY3" i="7"/>
  <c r="FVZ3" i="7"/>
  <c r="FWA3" i="7"/>
  <c r="FWB3" i="7"/>
  <c r="FWC3" i="7"/>
  <c r="FWD3" i="7"/>
  <c r="FWE3" i="7"/>
  <c r="FWF3" i="7"/>
  <c r="FWG3" i="7"/>
  <c r="FWH3" i="7"/>
  <c r="FWI3" i="7"/>
  <c r="FWJ3" i="7"/>
  <c r="FWK3" i="7"/>
  <c r="FWL3" i="7"/>
  <c r="FWM3" i="7"/>
  <c r="FWN3" i="7"/>
  <c r="FWO3" i="7"/>
  <c r="FWP3" i="7"/>
  <c r="FWQ3" i="7"/>
  <c r="FWR3" i="7"/>
  <c r="FWS3" i="7"/>
  <c r="FWT3" i="7"/>
  <c r="FWU3" i="7"/>
  <c r="FWV3" i="7"/>
  <c r="FWW3" i="7"/>
  <c r="FWX3" i="7"/>
  <c r="FWY3" i="7"/>
  <c r="FWZ3" i="7"/>
  <c r="FXA3" i="7"/>
  <c r="FXB3" i="7"/>
  <c r="FXC3" i="7"/>
  <c r="FXD3" i="7"/>
  <c r="FXE3" i="7"/>
  <c r="FXF3" i="7"/>
  <c r="FXG3" i="7"/>
  <c r="FXH3" i="7"/>
  <c r="FXI3" i="7"/>
  <c r="FXJ3" i="7"/>
  <c r="FXK3" i="7"/>
  <c r="FXL3" i="7"/>
  <c r="FXM3" i="7"/>
  <c r="FXN3" i="7"/>
  <c r="FXO3" i="7"/>
  <c r="FXP3" i="7"/>
  <c r="FXQ3" i="7"/>
  <c r="FXR3" i="7"/>
  <c r="FXS3" i="7"/>
  <c r="FXT3" i="7"/>
  <c r="FXU3" i="7"/>
  <c r="FXV3" i="7"/>
  <c r="FXW3" i="7"/>
  <c r="FXX3" i="7"/>
  <c r="FXY3" i="7"/>
  <c r="FXZ3" i="7"/>
  <c r="FYA3" i="7"/>
  <c r="FYB3" i="7"/>
  <c r="FYC3" i="7"/>
  <c r="FYD3" i="7"/>
  <c r="FYE3" i="7"/>
  <c r="FYF3" i="7"/>
  <c r="FYG3" i="7"/>
  <c r="FYH3" i="7"/>
  <c r="FYI3" i="7"/>
  <c r="FYJ3" i="7"/>
  <c r="FYK3" i="7"/>
  <c r="FYL3" i="7"/>
  <c r="FYM3" i="7"/>
  <c r="FYN3" i="7"/>
  <c r="FYO3" i="7"/>
  <c r="FYP3" i="7"/>
  <c r="FYQ3" i="7"/>
  <c r="FYR3" i="7"/>
  <c r="FYS3" i="7"/>
  <c r="FYT3" i="7"/>
  <c r="FYU3" i="7"/>
  <c r="FYV3" i="7"/>
  <c r="FYW3" i="7"/>
  <c r="FYX3" i="7"/>
  <c r="FYY3" i="7"/>
  <c r="FYZ3" i="7"/>
  <c r="FZA3" i="7"/>
  <c r="FZB3" i="7"/>
  <c r="FZC3" i="7"/>
  <c r="FZD3" i="7"/>
  <c r="FZE3" i="7"/>
  <c r="FZF3" i="7"/>
  <c r="FZG3" i="7"/>
  <c r="FZH3" i="7"/>
  <c r="FZI3" i="7"/>
  <c r="FZJ3" i="7"/>
  <c r="FZK3" i="7"/>
  <c r="FZL3" i="7"/>
  <c r="FZM3" i="7"/>
  <c r="FZN3" i="7"/>
  <c r="FZO3" i="7"/>
  <c r="FZP3" i="7"/>
  <c r="FZQ3" i="7"/>
  <c r="FZR3" i="7"/>
  <c r="FZS3" i="7"/>
  <c r="FZT3" i="7"/>
  <c r="FZU3" i="7"/>
  <c r="FZV3" i="7"/>
  <c r="FZW3" i="7"/>
  <c r="FZX3" i="7"/>
  <c r="FZY3" i="7"/>
  <c r="FZZ3" i="7"/>
  <c r="GAA3" i="7"/>
  <c r="GAB3" i="7"/>
  <c r="GAC3" i="7"/>
  <c r="GAD3" i="7"/>
  <c r="GAE3" i="7"/>
  <c r="GAF3" i="7"/>
  <c r="GAG3" i="7"/>
  <c r="GAH3" i="7"/>
  <c r="GAI3" i="7"/>
  <c r="GAJ3" i="7"/>
  <c r="GAK3" i="7"/>
  <c r="GAL3" i="7"/>
  <c r="GAM3" i="7"/>
  <c r="GAN3" i="7"/>
  <c r="GAO3" i="7"/>
  <c r="GAP3" i="7"/>
  <c r="GAQ3" i="7"/>
  <c r="GAR3" i="7"/>
  <c r="GAS3" i="7"/>
  <c r="GAT3" i="7"/>
  <c r="GAU3" i="7"/>
  <c r="GAV3" i="7"/>
  <c r="GAW3" i="7"/>
  <c r="GAX3" i="7"/>
  <c r="GAY3" i="7"/>
  <c r="GAZ3" i="7"/>
  <c r="GBA3" i="7"/>
  <c r="GBB3" i="7"/>
  <c r="GBC3" i="7"/>
  <c r="GBD3" i="7"/>
  <c r="GBE3" i="7"/>
  <c r="GBF3" i="7"/>
  <c r="GBG3" i="7"/>
  <c r="GBH3" i="7"/>
  <c r="GBI3" i="7"/>
  <c r="GBJ3" i="7"/>
  <c r="GBK3" i="7"/>
  <c r="GBL3" i="7"/>
  <c r="GBM3" i="7"/>
  <c r="GBN3" i="7"/>
  <c r="GBO3" i="7"/>
  <c r="GBP3" i="7"/>
  <c r="GBQ3" i="7"/>
  <c r="GBR3" i="7"/>
  <c r="GBS3" i="7"/>
  <c r="GBT3" i="7"/>
  <c r="GBU3" i="7"/>
  <c r="GBV3" i="7"/>
  <c r="GBW3" i="7"/>
  <c r="GBX3" i="7"/>
  <c r="GBY3" i="7"/>
  <c r="GBZ3" i="7"/>
  <c r="GCA3" i="7"/>
  <c r="GCB3" i="7"/>
  <c r="GCC3" i="7"/>
  <c r="GCD3" i="7"/>
  <c r="GCE3" i="7"/>
  <c r="GCF3" i="7"/>
  <c r="GCG3" i="7"/>
  <c r="GCH3" i="7"/>
  <c r="GCI3" i="7"/>
  <c r="GCJ3" i="7"/>
  <c r="GCK3" i="7"/>
  <c r="GCL3" i="7"/>
  <c r="GCM3" i="7"/>
  <c r="GCN3" i="7"/>
  <c r="GCO3" i="7"/>
  <c r="GCP3" i="7"/>
  <c r="GCQ3" i="7"/>
  <c r="GCR3" i="7"/>
  <c r="GCS3" i="7"/>
  <c r="GCT3" i="7"/>
  <c r="GCU3" i="7"/>
  <c r="GCV3" i="7"/>
  <c r="GCW3" i="7"/>
  <c r="GCX3" i="7"/>
  <c r="GCY3" i="7"/>
  <c r="GCZ3" i="7"/>
  <c r="GDA3" i="7"/>
  <c r="GDB3" i="7"/>
  <c r="GDC3" i="7"/>
  <c r="GDD3" i="7"/>
  <c r="GDE3" i="7"/>
  <c r="GDF3" i="7"/>
  <c r="GDG3" i="7"/>
  <c r="GDH3" i="7"/>
  <c r="GDI3" i="7"/>
  <c r="GDJ3" i="7"/>
  <c r="GDK3" i="7"/>
  <c r="GDL3" i="7"/>
  <c r="GDM3" i="7"/>
  <c r="GDN3" i="7"/>
  <c r="GDO3" i="7"/>
  <c r="GDP3" i="7"/>
  <c r="GDQ3" i="7"/>
  <c r="GDR3" i="7"/>
  <c r="GDS3" i="7"/>
  <c r="GDT3" i="7"/>
  <c r="GDU3" i="7"/>
  <c r="GDV3" i="7"/>
  <c r="GDW3" i="7"/>
  <c r="GDX3" i="7"/>
  <c r="GDY3" i="7"/>
  <c r="GDZ3" i="7"/>
  <c r="GEA3" i="7"/>
  <c r="GEB3" i="7"/>
  <c r="GEC3" i="7"/>
  <c r="GED3" i="7"/>
  <c r="GEE3" i="7"/>
  <c r="GEF3" i="7"/>
  <c r="GEG3" i="7"/>
  <c r="GEH3" i="7"/>
  <c r="GEI3" i="7"/>
  <c r="GEJ3" i="7"/>
  <c r="GEK3" i="7"/>
  <c r="GEL3" i="7"/>
  <c r="GEM3" i="7"/>
  <c r="GEN3" i="7"/>
  <c r="GEO3" i="7"/>
  <c r="GEP3" i="7"/>
  <c r="GEQ3" i="7"/>
  <c r="GER3" i="7"/>
  <c r="GES3" i="7"/>
  <c r="GET3" i="7"/>
  <c r="GEU3" i="7"/>
  <c r="GEV3" i="7"/>
  <c r="GEW3" i="7"/>
  <c r="GEX3" i="7"/>
  <c r="GEY3" i="7"/>
  <c r="GEZ3" i="7"/>
  <c r="GFA3" i="7"/>
  <c r="GFB3" i="7"/>
  <c r="GFC3" i="7"/>
  <c r="GFD3" i="7"/>
  <c r="GFE3" i="7"/>
  <c r="GFF3" i="7"/>
  <c r="GFG3" i="7"/>
  <c r="GFH3" i="7"/>
  <c r="GFI3" i="7"/>
  <c r="GFJ3" i="7"/>
  <c r="GFK3" i="7"/>
  <c r="GFL3" i="7"/>
  <c r="GFM3" i="7"/>
  <c r="GFN3" i="7"/>
  <c r="GFO3" i="7"/>
  <c r="GFP3" i="7"/>
  <c r="GFQ3" i="7"/>
  <c r="GFR3" i="7"/>
  <c r="GFS3" i="7"/>
  <c r="GFT3" i="7"/>
  <c r="GFU3" i="7"/>
  <c r="GFV3" i="7"/>
  <c r="GFW3" i="7"/>
  <c r="GFX3" i="7"/>
  <c r="GFY3" i="7"/>
  <c r="GFZ3" i="7"/>
  <c r="GGA3" i="7"/>
  <c r="GGB3" i="7"/>
  <c r="GGC3" i="7"/>
  <c r="GGD3" i="7"/>
  <c r="GGE3" i="7"/>
  <c r="GGF3" i="7"/>
  <c r="GGG3" i="7"/>
  <c r="GGH3" i="7"/>
  <c r="GGI3" i="7"/>
  <c r="GGJ3" i="7"/>
  <c r="GGK3" i="7"/>
  <c r="GGL3" i="7"/>
  <c r="GGM3" i="7"/>
  <c r="GGN3" i="7"/>
  <c r="GGO3" i="7"/>
  <c r="GGP3" i="7"/>
  <c r="GGQ3" i="7"/>
  <c r="GGR3" i="7"/>
  <c r="GGS3" i="7"/>
  <c r="GGT3" i="7"/>
  <c r="GGU3" i="7"/>
  <c r="GGV3" i="7"/>
  <c r="GGW3" i="7"/>
  <c r="GGX3" i="7"/>
  <c r="GGY3" i="7"/>
  <c r="GGZ3" i="7"/>
  <c r="GHA3" i="7"/>
  <c r="GHB3" i="7"/>
  <c r="GHC3" i="7"/>
  <c r="GHD3" i="7"/>
  <c r="GHE3" i="7"/>
  <c r="GHF3" i="7"/>
  <c r="GHG3" i="7"/>
  <c r="GHH3" i="7"/>
  <c r="GHI3" i="7"/>
  <c r="GHJ3" i="7"/>
  <c r="GHK3" i="7"/>
  <c r="GHL3" i="7"/>
  <c r="GHM3" i="7"/>
  <c r="GHN3" i="7"/>
  <c r="GHO3" i="7"/>
  <c r="GHP3" i="7"/>
  <c r="GHQ3" i="7"/>
  <c r="GHR3" i="7"/>
  <c r="GHS3" i="7"/>
  <c r="GHT3" i="7"/>
  <c r="GHU3" i="7"/>
  <c r="GHV3" i="7"/>
  <c r="GHW3" i="7"/>
  <c r="GHX3" i="7"/>
  <c r="GHY3" i="7"/>
  <c r="GHZ3" i="7"/>
  <c r="GIA3" i="7"/>
  <c r="GIB3" i="7"/>
  <c r="GIC3" i="7"/>
  <c r="GID3" i="7"/>
  <c r="GIE3" i="7"/>
  <c r="GIF3" i="7"/>
  <c r="GIG3" i="7"/>
  <c r="GIH3" i="7"/>
  <c r="GII3" i="7"/>
  <c r="GIJ3" i="7"/>
  <c r="GIK3" i="7"/>
  <c r="GIL3" i="7"/>
  <c r="GIM3" i="7"/>
  <c r="GIN3" i="7"/>
  <c r="GIO3" i="7"/>
  <c r="GIP3" i="7"/>
  <c r="GIQ3" i="7"/>
  <c r="GIR3" i="7"/>
  <c r="GIS3" i="7"/>
  <c r="GIT3" i="7"/>
  <c r="GIU3" i="7"/>
  <c r="GIV3" i="7"/>
  <c r="GIW3" i="7"/>
  <c r="GIX3" i="7"/>
  <c r="GIY3" i="7"/>
  <c r="GIZ3" i="7"/>
  <c r="GJA3" i="7"/>
  <c r="GJB3" i="7"/>
  <c r="GJC3" i="7"/>
  <c r="GJD3" i="7"/>
  <c r="GJE3" i="7"/>
  <c r="GJF3" i="7"/>
  <c r="GJG3" i="7"/>
  <c r="GJH3" i="7"/>
  <c r="GJI3" i="7"/>
  <c r="GJJ3" i="7"/>
  <c r="GJK3" i="7"/>
  <c r="GJL3" i="7"/>
  <c r="GJM3" i="7"/>
  <c r="GJN3" i="7"/>
  <c r="GJO3" i="7"/>
  <c r="GJP3" i="7"/>
  <c r="GJQ3" i="7"/>
  <c r="GJR3" i="7"/>
  <c r="GJS3" i="7"/>
  <c r="GJT3" i="7"/>
  <c r="GJU3" i="7"/>
  <c r="GJV3" i="7"/>
  <c r="GJW3" i="7"/>
  <c r="GJX3" i="7"/>
  <c r="GJY3" i="7"/>
  <c r="GJZ3" i="7"/>
  <c r="GKA3" i="7"/>
  <c r="GKB3" i="7"/>
  <c r="GKC3" i="7"/>
  <c r="GKD3" i="7"/>
  <c r="GKE3" i="7"/>
  <c r="GKF3" i="7"/>
  <c r="GKG3" i="7"/>
  <c r="GKH3" i="7"/>
  <c r="GKI3" i="7"/>
  <c r="GKJ3" i="7"/>
  <c r="GKK3" i="7"/>
  <c r="GKL3" i="7"/>
  <c r="GKM3" i="7"/>
  <c r="GKN3" i="7"/>
  <c r="GKO3" i="7"/>
  <c r="GKP3" i="7"/>
  <c r="GKQ3" i="7"/>
  <c r="GKR3" i="7"/>
  <c r="GKS3" i="7"/>
  <c r="GKT3" i="7"/>
  <c r="GKU3" i="7"/>
  <c r="GKV3" i="7"/>
  <c r="GKW3" i="7"/>
  <c r="GKX3" i="7"/>
  <c r="GKY3" i="7"/>
  <c r="GKZ3" i="7"/>
  <c r="GLA3" i="7"/>
  <c r="GLB3" i="7"/>
  <c r="GLC3" i="7"/>
  <c r="GLD3" i="7"/>
  <c r="GLE3" i="7"/>
  <c r="GLF3" i="7"/>
  <c r="GLG3" i="7"/>
  <c r="GLH3" i="7"/>
  <c r="GLI3" i="7"/>
  <c r="GLJ3" i="7"/>
  <c r="GLK3" i="7"/>
  <c r="GLL3" i="7"/>
  <c r="GLM3" i="7"/>
  <c r="GLN3" i="7"/>
  <c r="GLO3" i="7"/>
  <c r="GLP3" i="7"/>
  <c r="GLQ3" i="7"/>
  <c r="GLR3" i="7"/>
  <c r="GLS3" i="7"/>
  <c r="GLT3" i="7"/>
  <c r="GLU3" i="7"/>
  <c r="GLV3" i="7"/>
  <c r="GLW3" i="7"/>
  <c r="GLX3" i="7"/>
  <c r="GLY3" i="7"/>
  <c r="GLZ3" i="7"/>
  <c r="GMA3" i="7"/>
  <c r="GMB3" i="7"/>
  <c r="GMC3" i="7"/>
  <c r="GMD3" i="7"/>
  <c r="GME3" i="7"/>
  <c r="GMF3" i="7"/>
  <c r="GMG3" i="7"/>
  <c r="GMH3" i="7"/>
  <c r="GMI3" i="7"/>
  <c r="GMJ3" i="7"/>
  <c r="GMK3" i="7"/>
  <c r="GML3" i="7"/>
  <c r="GMM3" i="7"/>
  <c r="GMN3" i="7"/>
  <c r="GMO3" i="7"/>
  <c r="GMP3" i="7"/>
  <c r="GMQ3" i="7"/>
  <c r="GMR3" i="7"/>
  <c r="GMS3" i="7"/>
  <c r="GMT3" i="7"/>
  <c r="GMU3" i="7"/>
  <c r="GMV3" i="7"/>
  <c r="GMW3" i="7"/>
  <c r="GMX3" i="7"/>
  <c r="GMY3" i="7"/>
  <c r="GMZ3" i="7"/>
  <c r="GNA3" i="7"/>
  <c r="GNB3" i="7"/>
  <c r="GNC3" i="7"/>
  <c r="GND3" i="7"/>
  <c r="GNE3" i="7"/>
  <c r="GNF3" i="7"/>
  <c r="GNG3" i="7"/>
  <c r="GNH3" i="7"/>
  <c r="GNI3" i="7"/>
  <c r="GNJ3" i="7"/>
  <c r="GNK3" i="7"/>
  <c r="GNL3" i="7"/>
  <c r="GNM3" i="7"/>
  <c r="GNN3" i="7"/>
  <c r="GNO3" i="7"/>
  <c r="GNP3" i="7"/>
  <c r="GNQ3" i="7"/>
  <c r="GNR3" i="7"/>
  <c r="GNS3" i="7"/>
  <c r="GNT3" i="7"/>
  <c r="GNU3" i="7"/>
  <c r="GNV3" i="7"/>
  <c r="GNW3" i="7"/>
  <c r="GNX3" i="7"/>
  <c r="GNY3" i="7"/>
  <c r="GNZ3" i="7"/>
  <c r="GOA3" i="7"/>
  <c r="GOB3" i="7"/>
  <c r="GOC3" i="7"/>
  <c r="GOD3" i="7"/>
  <c r="GOE3" i="7"/>
  <c r="GOF3" i="7"/>
  <c r="GOG3" i="7"/>
  <c r="GOH3" i="7"/>
  <c r="GOI3" i="7"/>
  <c r="GOJ3" i="7"/>
  <c r="GOK3" i="7"/>
  <c r="GOL3" i="7"/>
  <c r="GOM3" i="7"/>
  <c r="GON3" i="7"/>
  <c r="GOO3" i="7"/>
  <c r="GOP3" i="7"/>
  <c r="GOQ3" i="7"/>
  <c r="GOR3" i="7"/>
  <c r="GOS3" i="7"/>
  <c r="GOT3" i="7"/>
  <c r="GOU3" i="7"/>
  <c r="GOV3" i="7"/>
  <c r="GOW3" i="7"/>
  <c r="GOX3" i="7"/>
  <c r="GOY3" i="7"/>
  <c r="GOZ3" i="7"/>
  <c r="GPA3" i="7"/>
  <c r="GPB3" i="7"/>
  <c r="GPC3" i="7"/>
  <c r="GPD3" i="7"/>
  <c r="GPE3" i="7"/>
  <c r="GPF3" i="7"/>
  <c r="GPG3" i="7"/>
  <c r="GPH3" i="7"/>
  <c r="GPI3" i="7"/>
  <c r="GPJ3" i="7"/>
  <c r="GPK3" i="7"/>
  <c r="GPL3" i="7"/>
  <c r="GPM3" i="7"/>
  <c r="GPN3" i="7"/>
  <c r="GPO3" i="7"/>
  <c r="GPP3" i="7"/>
  <c r="GPQ3" i="7"/>
  <c r="GPR3" i="7"/>
  <c r="GPS3" i="7"/>
  <c r="GPT3" i="7"/>
  <c r="GPU3" i="7"/>
  <c r="GPV3" i="7"/>
  <c r="GPW3" i="7"/>
  <c r="GPX3" i="7"/>
  <c r="GPY3" i="7"/>
  <c r="GPZ3" i="7"/>
  <c r="GQA3" i="7"/>
  <c r="GQB3" i="7"/>
  <c r="GQC3" i="7"/>
  <c r="GQD3" i="7"/>
  <c r="GQE3" i="7"/>
  <c r="GQF3" i="7"/>
  <c r="GQG3" i="7"/>
  <c r="GQH3" i="7"/>
  <c r="GQI3" i="7"/>
  <c r="GQJ3" i="7"/>
  <c r="GQK3" i="7"/>
  <c r="GQL3" i="7"/>
  <c r="GQM3" i="7"/>
  <c r="GQN3" i="7"/>
  <c r="GQO3" i="7"/>
  <c r="GQP3" i="7"/>
  <c r="GQQ3" i="7"/>
  <c r="GQR3" i="7"/>
  <c r="GQS3" i="7"/>
  <c r="GQT3" i="7"/>
  <c r="GQU3" i="7"/>
  <c r="GQV3" i="7"/>
  <c r="GQW3" i="7"/>
  <c r="GQX3" i="7"/>
  <c r="GQY3" i="7"/>
  <c r="GQZ3" i="7"/>
  <c r="GRA3" i="7"/>
  <c r="GRB3" i="7"/>
  <c r="GRC3" i="7"/>
  <c r="GRD3" i="7"/>
  <c r="GRE3" i="7"/>
  <c r="GRF3" i="7"/>
  <c r="GRG3" i="7"/>
  <c r="GRH3" i="7"/>
  <c r="GRI3" i="7"/>
  <c r="GRJ3" i="7"/>
  <c r="GRK3" i="7"/>
  <c r="GRL3" i="7"/>
  <c r="GRM3" i="7"/>
  <c r="GRN3" i="7"/>
  <c r="GRO3" i="7"/>
  <c r="GRP3" i="7"/>
  <c r="GRQ3" i="7"/>
  <c r="GRR3" i="7"/>
  <c r="GRS3" i="7"/>
  <c r="GRT3" i="7"/>
  <c r="GRU3" i="7"/>
  <c r="GRV3" i="7"/>
  <c r="GRW3" i="7"/>
  <c r="GRX3" i="7"/>
  <c r="GRY3" i="7"/>
  <c r="GRZ3" i="7"/>
  <c r="GSA3" i="7"/>
  <c r="GSB3" i="7"/>
  <c r="GSC3" i="7"/>
  <c r="GSD3" i="7"/>
  <c r="GSE3" i="7"/>
  <c r="GSF3" i="7"/>
  <c r="GSG3" i="7"/>
  <c r="GSH3" i="7"/>
  <c r="GSI3" i="7"/>
  <c r="GSJ3" i="7"/>
  <c r="GSK3" i="7"/>
  <c r="GSL3" i="7"/>
  <c r="GSM3" i="7"/>
  <c r="GSN3" i="7"/>
  <c r="GSO3" i="7"/>
  <c r="GSP3" i="7"/>
  <c r="GSQ3" i="7"/>
  <c r="GSR3" i="7"/>
  <c r="GSS3" i="7"/>
  <c r="GST3" i="7"/>
  <c r="GSU3" i="7"/>
  <c r="GSV3" i="7"/>
  <c r="GSW3" i="7"/>
  <c r="GSX3" i="7"/>
  <c r="GSY3" i="7"/>
  <c r="GSZ3" i="7"/>
  <c r="GTA3" i="7"/>
  <c r="GTB3" i="7"/>
  <c r="GTC3" i="7"/>
  <c r="GTD3" i="7"/>
  <c r="GTE3" i="7"/>
  <c r="GTF3" i="7"/>
  <c r="GTG3" i="7"/>
  <c r="GTH3" i="7"/>
  <c r="GTI3" i="7"/>
  <c r="GTJ3" i="7"/>
  <c r="GTK3" i="7"/>
  <c r="GTL3" i="7"/>
  <c r="GTM3" i="7"/>
  <c r="GTN3" i="7"/>
  <c r="GTO3" i="7"/>
  <c r="GTP3" i="7"/>
  <c r="GTQ3" i="7"/>
  <c r="GTR3" i="7"/>
  <c r="GTS3" i="7"/>
  <c r="GTT3" i="7"/>
  <c r="GTU3" i="7"/>
  <c r="GTV3" i="7"/>
  <c r="GTW3" i="7"/>
  <c r="GTX3" i="7"/>
  <c r="GTY3" i="7"/>
  <c r="GTZ3" i="7"/>
  <c r="GUA3" i="7"/>
  <c r="GUB3" i="7"/>
  <c r="GUC3" i="7"/>
  <c r="GUD3" i="7"/>
  <c r="GUE3" i="7"/>
  <c r="GUF3" i="7"/>
  <c r="GUG3" i="7"/>
  <c r="GUH3" i="7"/>
  <c r="GUI3" i="7"/>
  <c r="GUJ3" i="7"/>
  <c r="GUK3" i="7"/>
  <c r="GUL3" i="7"/>
  <c r="GUM3" i="7"/>
  <c r="GUN3" i="7"/>
  <c r="GUO3" i="7"/>
  <c r="GUP3" i="7"/>
  <c r="GUQ3" i="7"/>
  <c r="GUR3" i="7"/>
  <c r="GUS3" i="7"/>
  <c r="GUT3" i="7"/>
  <c r="GUU3" i="7"/>
  <c r="GUV3" i="7"/>
  <c r="GUW3" i="7"/>
  <c r="GUX3" i="7"/>
  <c r="GUY3" i="7"/>
  <c r="GUZ3" i="7"/>
  <c r="GVA3" i="7"/>
  <c r="GVB3" i="7"/>
  <c r="GVC3" i="7"/>
  <c r="GVD3" i="7"/>
  <c r="GVE3" i="7"/>
  <c r="GVF3" i="7"/>
  <c r="GVG3" i="7"/>
  <c r="GVH3" i="7"/>
  <c r="GVI3" i="7"/>
  <c r="GVJ3" i="7"/>
  <c r="GVK3" i="7"/>
  <c r="GVL3" i="7"/>
  <c r="GVM3" i="7"/>
  <c r="GVN3" i="7"/>
  <c r="GVO3" i="7"/>
  <c r="GVP3" i="7"/>
  <c r="GVQ3" i="7"/>
  <c r="GVR3" i="7"/>
  <c r="GVS3" i="7"/>
  <c r="GVT3" i="7"/>
  <c r="GVU3" i="7"/>
  <c r="GVV3" i="7"/>
  <c r="GVW3" i="7"/>
  <c r="GVX3" i="7"/>
  <c r="GVY3" i="7"/>
  <c r="GVZ3" i="7"/>
  <c r="GWA3" i="7"/>
  <c r="GWB3" i="7"/>
  <c r="GWC3" i="7"/>
  <c r="GWD3" i="7"/>
  <c r="GWE3" i="7"/>
  <c r="GWF3" i="7"/>
  <c r="GWG3" i="7"/>
  <c r="GWH3" i="7"/>
  <c r="GWI3" i="7"/>
  <c r="GWJ3" i="7"/>
  <c r="GWK3" i="7"/>
  <c r="GWL3" i="7"/>
  <c r="GWM3" i="7"/>
  <c r="GWN3" i="7"/>
  <c r="GWO3" i="7"/>
  <c r="GWP3" i="7"/>
  <c r="GWQ3" i="7"/>
  <c r="GWR3" i="7"/>
  <c r="GWS3" i="7"/>
  <c r="GWT3" i="7"/>
  <c r="GWU3" i="7"/>
  <c r="GWV3" i="7"/>
  <c r="GWW3" i="7"/>
  <c r="GWX3" i="7"/>
  <c r="GWY3" i="7"/>
  <c r="GWZ3" i="7"/>
  <c r="GXA3" i="7"/>
  <c r="GXB3" i="7"/>
  <c r="GXC3" i="7"/>
  <c r="GXD3" i="7"/>
  <c r="GXE3" i="7"/>
  <c r="GXF3" i="7"/>
  <c r="GXG3" i="7"/>
  <c r="GXH3" i="7"/>
  <c r="GXI3" i="7"/>
  <c r="GXJ3" i="7"/>
  <c r="GXK3" i="7"/>
  <c r="GXL3" i="7"/>
  <c r="GXM3" i="7"/>
  <c r="GXN3" i="7"/>
  <c r="GXO3" i="7"/>
  <c r="GXP3" i="7"/>
  <c r="GXQ3" i="7"/>
  <c r="GXR3" i="7"/>
  <c r="GXS3" i="7"/>
  <c r="GXT3" i="7"/>
  <c r="GXU3" i="7"/>
  <c r="GXV3" i="7"/>
  <c r="GXW3" i="7"/>
  <c r="GXX3" i="7"/>
  <c r="GXY3" i="7"/>
  <c r="GXZ3" i="7"/>
  <c r="GYA3" i="7"/>
  <c r="GYB3" i="7"/>
  <c r="GYC3" i="7"/>
  <c r="GYD3" i="7"/>
  <c r="GYE3" i="7"/>
  <c r="GYF3" i="7"/>
  <c r="GYG3" i="7"/>
  <c r="GYH3" i="7"/>
  <c r="GYI3" i="7"/>
  <c r="GYJ3" i="7"/>
  <c r="GYK3" i="7"/>
  <c r="GYL3" i="7"/>
  <c r="GYM3" i="7"/>
  <c r="GYN3" i="7"/>
  <c r="GYO3" i="7"/>
  <c r="GYP3" i="7"/>
  <c r="GYQ3" i="7"/>
  <c r="GYR3" i="7"/>
  <c r="GYS3" i="7"/>
  <c r="GYT3" i="7"/>
  <c r="GYU3" i="7"/>
  <c r="GYV3" i="7"/>
  <c r="GYW3" i="7"/>
  <c r="GYX3" i="7"/>
  <c r="GYY3" i="7"/>
  <c r="GYZ3" i="7"/>
  <c r="GZA3" i="7"/>
  <c r="GZB3" i="7"/>
  <c r="GZC3" i="7"/>
  <c r="GZD3" i="7"/>
  <c r="GZE3" i="7"/>
  <c r="GZF3" i="7"/>
  <c r="GZG3" i="7"/>
  <c r="GZH3" i="7"/>
  <c r="GZI3" i="7"/>
  <c r="GZJ3" i="7"/>
  <c r="GZK3" i="7"/>
  <c r="GZL3" i="7"/>
  <c r="GZM3" i="7"/>
  <c r="GZN3" i="7"/>
  <c r="GZO3" i="7"/>
  <c r="GZP3" i="7"/>
  <c r="GZQ3" i="7"/>
  <c r="GZR3" i="7"/>
  <c r="GZS3" i="7"/>
  <c r="GZT3" i="7"/>
  <c r="GZU3" i="7"/>
  <c r="GZV3" i="7"/>
  <c r="GZW3" i="7"/>
  <c r="GZX3" i="7"/>
  <c r="GZY3" i="7"/>
  <c r="GZZ3" i="7"/>
  <c r="HAA3" i="7"/>
  <c r="HAB3" i="7"/>
  <c r="HAC3" i="7"/>
  <c r="HAD3" i="7"/>
  <c r="HAE3" i="7"/>
  <c r="HAF3" i="7"/>
  <c r="HAG3" i="7"/>
  <c r="HAH3" i="7"/>
  <c r="HAI3" i="7"/>
  <c r="HAJ3" i="7"/>
  <c r="HAK3" i="7"/>
  <c r="HAL3" i="7"/>
  <c r="HAM3" i="7"/>
  <c r="HAN3" i="7"/>
  <c r="HAO3" i="7"/>
  <c r="HAP3" i="7"/>
  <c r="HAQ3" i="7"/>
  <c r="HAR3" i="7"/>
  <c r="HAS3" i="7"/>
  <c r="HAT3" i="7"/>
  <c r="HAU3" i="7"/>
  <c r="HAV3" i="7"/>
  <c r="HAW3" i="7"/>
  <c r="HAX3" i="7"/>
  <c r="HAY3" i="7"/>
  <c r="HAZ3" i="7"/>
  <c r="HBA3" i="7"/>
  <c r="HBB3" i="7"/>
  <c r="HBC3" i="7"/>
  <c r="HBD3" i="7"/>
  <c r="HBE3" i="7"/>
  <c r="HBF3" i="7"/>
  <c r="HBG3" i="7"/>
  <c r="HBH3" i="7"/>
  <c r="HBI3" i="7"/>
  <c r="HBJ3" i="7"/>
  <c r="HBK3" i="7"/>
  <c r="HBL3" i="7"/>
  <c r="HBM3" i="7"/>
  <c r="HBN3" i="7"/>
  <c r="HBO3" i="7"/>
  <c r="HBP3" i="7"/>
  <c r="HBQ3" i="7"/>
  <c r="HBR3" i="7"/>
  <c r="HBS3" i="7"/>
  <c r="HBT3" i="7"/>
  <c r="HBU3" i="7"/>
  <c r="HBV3" i="7"/>
  <c r="HBW3" i="7"/>
  <c r="HBX3" i="7"/>
  <c r="HBY3" i="7"/>
  <c r="HBZ3" i="7"/>
  <c r="HCA3" i="7"/>
  <c r="HCB3" i="7"/>
  <c r="HCC3" i="7"/>
  <c r="HCD3" i="7"/>
  <c r="HCE3" i="7"/>
  <c r="HCF3" i="7"/>
  <c r="HCG3" i="7"/>
  <c r="HCH3" i="7"/>
  <c r="HCI3" i="7"/>
  <c r="HCJ3" i="7"/>
  <c r="HCK3" i="7"/>
  <c r="HCL3" i="7"/>
  <c r="HCM3" i="7"/>
  <c r="HCN3" i="7"/>
  <c r="HCO3" i="7"/>
  <c r="HCP3" i="7"/>
  <c r="HCQ3" i="7"/>
  <c r="HCR3" i="7"/>
  <c r="HCS3" i="7"/>
  <c r="HCT3" i="7"/>
  <c r="HCU3" i="7"/>
  <c r="HCV3" i="7"/>
  <c r="HCW3" i="7"/>
  <c r="HCX3" i="7"/>
  <c r="HCY3" i="7"/>
  <c r="HCZ3" i="7"/>
  <c r="HDA3" i="7"/>
  <c r="HDB3" i="7"/>
  <c r="HDC3" i="7"/>
  <c r="HDD3" i="7"/>
  <c r="HDE3" i="7"/>
  <c r="HDF3" i="7"/>
  <c r="HDG3" i="7"/>
  <c r="HDH3" i="7"/>
  <c r="HDI3" i="7"/>
  <c r="HDJ3" i="7"/>
  <c r="HDK3" i="7"/>
  <c r="HDL3" i="7"/>
  <c r="HDM3" i="7"/>
  <c r="HDN3" i="7"/>
  <c r="HDO3" i="7"/>
  <c r="HDP3" i="7"/>
  <c r="HDQ3" i="7"/>
  <c r="HDR3" i="7"/>
  <c r="HDS3" i="7"/>
  <c r="HDT3" i="7"/>
  <c r="HDU3" i="7"/>
  <c r="HDV3" i="7"/>
  <c r="HDW3" i="7"/>
  <c r="HDX3" i="7"/>
  <c r="HDY3" i="7"/>
  <c r="HDZ3" i="7"/>
  <c r="HEA3" i="7"/>
  <c r="HEB3" i="7"/>
  <c r="HEC3" i="7"/>
  <c r="HED3" i="7"/>
  <c r="HEE3" i="7"/>
  <c r="HEF3" i="7"/>
  <c r="HEG3" i="7"/>
  <c r="HEH3" i="7"/>
  <c r="HEI3" i="7"/>
  <c r="HEJ3" i="7"/>
  <c r="HEK3" i="7"/>
  <c r="HEL3" i="7"/>
  <c r="HEM3" i="7"/>
  <c r="HEN3" i="7"/>
  <c r="HEO3" i="7"/>
  <c r="HEP3" i="7"/>
  <c r="HEQ3" i="7"/>
  <c r="HER3" i="7"/>
  <c r="HES3" i="7"/>
  <c r="HET3" i="7"/>
  <c r="HEU3" i="7"/>
  <c r="HEV3" i="7"/>
  <c r="HEW3" i="7"/>
  <c r="HEX3" i="7"/>
  <c r="HEY3" i="7"/>
  <c r="HEZ3" i="7"/>
  <c r="HFA3" i="7"/>
  <c r="HFB3" i="7"/>
  <c r="HFC3" i="7"/>
  <c r="HFD3" i="7"/>
  <c r="HFE3" i="7"/>
  <c r="HFF3" i="7"/>
  <c r="HFG3" i="7"/>
  <c r="HFH3" i="7"/>
  <c r="HFI3" i="7"/>
  <c r="HFJ3" i="7"/>
  <c r="HFK3" i="7"/>
  <c r="HFL3" i="7"/>
  <c r="HFM3" i="7"/>
  <c r="HFN3" i="7"/>
  <c r="HFO3" i="7"/>
  <c r="HFP3" i="7"/>
  <c r="HFQ3" i="7"/>
  <c r="HFR3" i="7"/>
  <c r="HFS3" i="7"/>
  <c r="HFT3" i="7"/>
  <c r="HFU3" i="7"/>
  <c r="HFV3" i="7"/>
  <c r="HFW3" i="7"/>
  <c r="HFX3" i="7"/>
  <c r="HFY3" i="7"/>
  <c r="HFZ3" i="7"/>
  <c r="HGA3" i="7"/>
  <c r="HGB3" i="7"/>
  <c r="HGC3" i="7"/>
  <c r="HGD3" i="7"/>
  <c r="HGE3" i="7"/>
  <c r="HGF3" i="7"/>
  <c r="HGG3" i="7"/>
  <c r="HGH3" i="7"/>
  <c r="HGI3" i="7"/>
  <c r="HGJ3" i="7"/>
  <c r="HGK3" i="7"/>
  <c r="HGL3" i="7"/>
  <c r="HGM3" i="7"/>
  <c r="HGN3" i="7"/>
  <c r="HGO3" i="7"/>
  <c r="HGP3" i="7"/>
  <c r="HGQ3" i="7"/>
  <c r="HGR3" i="7"/>
  <c r="HGS3" i="7"/>
  <c r="HGT3" i="7"/>
  <c r="HGU3" i="7"/>
  <c r="HGV3" i="7"/>
  <c r="HGW3" i="7"/>
  <c r="HGX3" i="7"/>
  <c r="HGY3" i="7"/>
  <c r="HGZ3" i="7"/>
  <c r="HHA3" i="7"/>
  <c r="HHB3" i="7"/>
  <c r="HHC3" i="7"/>
  <c r="HHD3" i="7"/>
  <c r="HHE3" i="7"/>
  <c r="HHF3" i="7"/>
  <c r="HHG3" i="7"/>
  <c r="HHH3" i="7"/>
  <c r="HHI3" i="7"/>
  <c r="HHJ3" i="7"/>
  <c r="HHK3" i="7"/>
  <c r="HHL3" i="7"/>
  <c r="HHM3" i="7"/>
  <c r="HHN3" i="7"/>
  <c r="HHO3" i="7"/>
  <c r="HHP3" i="7"/>
  <c r="HHQ3" i="7"/>
  <c r="HHR3" i="7"/>
  <c r="HHS3" i="7"/>
  <c r="HHT3" i="7"/>
  <c r="HHU3" i="7"/>
  <c r="HHV3" i="7"/>
  <c r="HHW3" i="7"/>
  <c r="HHX3" i="7"/>
  <c r="HHY3" i="7"/>
  <c r="HHZ3" i="7"/>
  <c r="HIA3" i="7"/>
  <c r="HIB3" i="7"/>
  <c r="HIC3" i="7"/>
  <c r="HID3" i="7"/>
  <c r="HIE3" i="7"/>
  <c r="HIF3" i="7"/>
  <c r="HIG3" i="7"/>
  <c r="HIH3" i="7"/>
  <c r="HII3" i="7"/>
  <c r="HIJ3" i="7"/>
  <c r="HIK3" i="7"/>
  <c r="HIL3" i="7"/>
  <c r="HIM3" i="7"/>
  <c r="HIN3" i="7"/>
  <c r="HIO3" i="7"/>
  <c r="HIP3" i="7"/>
  <c r="HIQ3" i="7"/>
  <c r="HIR3" i="7"/>
  <c r="HIS3" i="7"/>
  <c r="HIT3" i="7"/>
  <c r="HIU3" i="7"/>
  <c r="HIV3" i="7"/>
  <c r="HIW3" i="7"/>
  <c r="HIX3" i="7"/>
  <c r="HIY3" i="7"/>
  <c r="HIZ3" i="7"/>
  <c r="HJA3" i="7"/>
  <c r="HJB3" i="7"/>
  <c r="HJC3" i="7"/>
  <c r="HJD3" i="7"/>
  <c r="HJE3" i="7"/>
  <c r="HJF3" i="7"/>
  <c r="HJG3" i="7"/>
  <c r="HJH3" i="7"/>
  <c r="HJI3" i="7"/>
  <c r="HJJ3" i="7"/>
  <c r="HJK3" i="7"/>
  <c r="HJL3" i="7"/>
  <c r="HJM3" i="7"/>
  <c r="HJN3" i="7"/>
  <c r="HJO3" i="7"/>
  <c r="HJP3" i="7"/>
  <c r="HJQ3" i="7"/>
  <c r="HJR3" i="7"/>
  <c r="HJS3" i="7"/>
  <c r="HJT3" i="7"/>
  <c r="HJU3" i="7"/>
  <c r="HJV3" i="7"/>
  <c r="HJW3" i="7"/>
  <c r="HJX3" i="7"/>
  <c r="HJY3" i="7"/>
  <c r="HJZ3" i="7"/>
  <c r="HKA3" i="7"/>
  <c r="HKB3" i="7"/>
  <c r="HKC3" i="7"/>
  <c r="HKD3" i="7"/>
  <c r="HKE3" i="7"/>
  <c r="HKF3" i="7"/>
  <c r="HKG3" i="7"/>
  <c r="HKH3" i="7"/>
  <c r="HKI3" i="7"/>
  <c r="HKJ3" i="7"/>
  <c r="HKK3" i="7"/>
  <c r="HKL3" i="7"/>
  <c r="HKM3" i="7"/>
  <c r="HKN3" i="7"/>
  <c r="HKO3" i="7"/>
  <c r="HKP3" i="7"/>
  <c r="HKQ3" i="7"/>
  <c r="HKR3" i="7"/>
  <c r="HKS3" i="7"/>
  <c r="HKT3" i="7"/>
  <c r="HKU3" i="7"/>
  <c r="HKV3" i="7"/>
  <c r="HKW3" i="7"/>
  <c r="HKX3" i="7"/>
  <c r="HKY3" i="7"/>
  <c r="HKZ3" i="7"/>
  <c r="HLA3" i="7"/>
  <c r="HLB3" i="7"/>
  <c r="HLC3" i="7"/>
  <c r="HLD3" i="7"/>
  <c r="HLE3" i="7"/>
  <c r="HLF3" i="7"/>
  <c r="HLG3" i="7"/>
  <c r="HLH3" i="7"/>
  <c r="HLI3" i="7"/>
  <c r="HLJ3" i="7"/>
  <c r="HLK3" i="7"/>
  <c r="HLL3" i="7"/>
  <c r="HLM3" i="7"/>
  <c r="HLN3" i="7"/>
  <c r="HLO3" i="7"/>
  <c r="HLP3" i="7"/>
  <c r="HLQ3" i="7"/>
  <c r="HLR3" i="7"/>
  <c r="HLS3" i="7"/>
  <c r="HLT3" i="7"/>
  <c r="HLU3" i="7"/>
  <c r="HLV3" i="7"/>
  <c r="HLW3" i="7"/>
  <c r="HLX3" i="7"/>
  <c r="HLY3" i="7"/>
  <c r="HLZ3" i="7"/>
  <c r="HMA3" i="7"/>
  <c r="HMB3" i="7"/>
  <c r="HMC3" i="7"/>
  <c r="HMD3" i="7"/>
  <c r="HME3" i="7"/>
  <c r="HMF3" i="7"/>
  <c r="HMG3" i="7"/>
  <c r="HMH3" i="7"/>
  <c r="HMI3" i="7"/>
  <c r="HMJ3" i="7"/>
  <c r="HMK3" i="7"/>
  <c r="HML3" i="7"/>
  <c r="HMM3" i="7"/>
  <c r="HMN3" i="7"/>
  <c r="HMO3" i="7"/>
  <c r="HMP3" i="7"/>
  <c r="HMQ3" i="7"/>
  <c r="HMR3" i="7"/>
  <c r="HMS3" i="7"/>
  <c r="HMT3" i="7"/>
  <c r="HMU3" i="7"/>
  <c r="HMV3" i="7"/>
  <c r="HMW3" i="7"/>
  <c r="HMX3" i="7"/>
  <c r="HMY3" i="7"/>
  <c r="HMZ3" i="7"/>
  <c r="HNA3" i="7"/>
  <c r="HNB3" i="7"/>
  <c r="HNC3" i="7"/>
  <c r="HND3" i="7"/>
  <c r="HNE3" i="7"/>
  <c r="HNF3" i="7"/>
  <c r="HNG3" i="7"/>
  <c r="HNH3" i="7"/>
  <c r="HNI3" i="7"/>
  <c r="HNJ3" i="7"/>
  <c r="HNK3" i="7"/>
  <c r="HNL3" i="7"/>
  <c r="HNM3" i="7"/>
  <c r="HNN3" i="7"/>
  <c r="HNO3" i="7"/>
  <c r="HNP3" i="7"/>
  <c r="HNQ3" i="7"/>
  <c r="HNR3" i="7"/>
  <c r="HNS3" i="7"/>
  <c r="HNT3" i="7"/>
  <c r="HNU3" i="7"/>
  <c r="HNV3" i="7"/>
  <c r="HNW3" i="7"/>
  <c r="HNX3" i="7"/>
  <c r="HNY3" i="7"/>
  <c r="HNZ3" i="7"/>
  <c r="HOA3" i="7"/>
  <c r="HOB3" i="7"/>
  <c r="HOC3" i="7"/>
  <c r="HOD3" i="7"/>
  <c r="HOE3" i="7"/>
  <c r="HOF3" i="7"/>
  <c r="HOG3" i="7"/>
  <c r="HOH3" i="7"/>
  <c r="HOI3" i="7"/>
  <c r="HOJ3" i="7"/>
  <c r="HOK3" i="7"/>
  <c r="HOL3" i="7"/>
  <c r="HOM3" i="7"/>
  <c r="HON3" i="7"/>
  <c r="HOO3" i="7"/>
  <c r="HOP3" i="7"/>
  <c r="HOQ3" i="7"/>
  <c r="HOR3" i="7"/>
  <c r="HOS3" i="7"/>
  <c r="HOT3" i="7"/>
  <c r="HOU3" i="7"/>
  <c r="HOV3" i="7"/>
  <c r="HOW3" i="7"/>
  <c r="HOX3" i="7"/>
  <c r="HOY3" i="7"/>
  <c r="HOZ3" i="7"/>
  <c r="HPA3" i="7"/>
  <c r="HPB3" i="7"/>
  <c r="HPC3" i="7"/>
  <c r="HPD3" i="7"/>
  <c r="HPE3" i="7"/>
  <c r="HPF3" i="7"/>
  <c r="HPG3" i="7"/>
  <c r="HPH3" i="7"/>
  <c r="HPI3" i="7"/>
  <c r="HPJ3" i="7"/>
  <c r="HPK3" i="7"/>
  <c r="HPL3" i="7"/>
  <c r="HPM3" i="7"/>
  <c r="HPN3" i="7"/>
  <c r="HPO3" i="7"/>
  <c r="HPP3" i="7"/>
  <c r="HPQ3" i="7"/>
  <c r="HPR3" i="7"/>
  <c r="HPS3" i="7"/>
  <c r="HPT3" i="7"/>
  <c r="HPU3" i="7"/>
  <c r="HPV3" i="7"/>
  <c r="HPW3" i="7"/>
  <c r="HPX3" i="7"/>
  <c r="HPY3" i="7"/>
  <c r="HPZ3" i="7"/>
  <c r="HQA3" i="7"/>
  <c r="HQB3" i="7"/>
  <c r="HQC3" i="7"/>
  <c r="HQD3" i="7"/>
  <c r="HQE3" i="7"/>
  <c r="HQF3" i="7"/>
  <c r="HQG3" i="7"/>
  <c r="HQH3" i="7"/>
  <c r="HQI3" i="7"/>
  <c r="HQJ3" i="7"/>
  <c r="HQK3" i="7"/>
  <c r="HQL3" i="7"/>
  <c r="HQM3" i="7"/>
  <c r="HQN3" i="7"/>
  <c r="HQO3" i="7"/>
  <c r="HQP3" i="7"/>
  <c r="HQQ3" i="7"/>
  <c r="HQR3" i="7"/>
  <c r="HQS3" i="7"/>
  <c r="HQT3" i="7"/>
  <c r="HQU3" i="7"/>
  <c r="HQV3" i="7"/>
  <c r="HQW3" i="7"/>
  <c r="HQX3" i="7"/>
  <c r="HQY3" i="7"/>
  <c r="HQZ3" i="7"/>
  <c r="HRA3" i="7"/>
  <c r="HRB3" i="7"/>
  <c r="HRC3" i="7"/>
  <c r="HRD3" i="7"/>
  <c r="HRE3" i="7"/>
  <c r="HRF3" i="7"/>
  <c r="HRG3" i="7"/>
  <c r="HRH3" i="7"/>
  <c r="HRI3" i="7"/>
  <c r="HRJ3" i="7"/>
  <c r="HRK3" i="7"/>
  <c r="HRL3" i="7"/>
  <c r="HRM3" i="7"/>
  <c r="HRN3" i="7"/>
  <c r="HRO3" i="7"/>
  <c r="HRP3" i="7"/>
  <c r="HRQ3" i="7"/>
  <c r="HRR3" i="7"/>
  <c r="HRS3" i="7"/>
  <c r="HRT3" i="7"/>
  <c r="HRU3" i="7"/>
  <c r="HRV3" i="7"/>
  <c r="HRW3" i="7"/>
  <c r="HRX3" i="7"/>
  <c r="HRY3" i="7"/>
  <c r="HRZ3" i="7"/>
  <c r="HSA3" i="7"/>
  <c r="HSB3" i="7"/>
  <c r="HSC3" i="7"/>
  <c r="HSD3" i="7"/>
  <c r="HSE3" i="7"/>
  <c r="HSF3" i="7"/>
  <c r="HSG3" i="7"/>
  <c r="HSH3" i="7"/>
  <c r="HSI3" i="7"/>
  <c r="HSJ3" i="7"/>
  <c r="HSK3" i="7"/>
  <c r="HSL3" i="7"/>
  <c r="HSM3" i="7"/>
  <c r="HSN3" i="7"/>
  <c r="HSO3" i="7"/>
  <c r="HSP3" i="7"/>
  <c r="HSQ3" i="7"/>
  <c r="HSR3" i="7"/>
  <c r="HSS3" i="7"/>
  <c r="HST3" i="7"/>
  <c r="HSU3" i="7"/>
  <c r="HSV3" i="7"/>
  <c r="HSW3" i="7"/>
  <c r="HSX3" i="7"/>
  <c r="HSY3" i="7"/>
  <c r="HSZ3" i="7"/>
  <c r="HTA3" i="7"/>
  <c r="HTB3" i="7"/>
  <c r="HTC3" i="7"/>
  <c r="HTD3" i="7"/>
  <c r="HTE3" i="7"/>
  <c r="HTF3" i="7"/>
  <c r="HTG3" i="7"/>
  <c r="HTH3" i="7"/>
  <c r="HTI3" i="7"/>
  <c r="HTJ3" i="7"/>
  <c r="HTK3" i="7"/>
  <c r="HTL3" i="7"/>
  <c r="HTM3" i="7"/>
  <c r="HTN3" i="7"/>
  <c r="HTO3" i="7"/>
  <c r="HTP3" i="7"/>
  <c r="HTQ3" i="7"/>
  <c r="HTR3" i="7"/>
  <c r="HTS3" i="7"/>
  <c r="HTT3" i="7"/>
  <c r="HTU3" i="7"/>
  <c r="HTV3" i="7"/>
  <c r="HTW3" i="7"/>
  <c r="HTX3" i="7"/>
  <c r="HTY3" i="7"/>
  <c r="HTZ3" i="7"/>
  <c r="HUA3" i="7"/>
  <c r="HUB3" i="7"/>
  <c r="HUC3" i="7"/>
  <c r="HUD3" i="7"/>
  <c r="HUE3" i="7"/>
  <c r="HUF3" i="7"/>
  <c r="HUG3" i="7"/>
  <c r="HUH3" i="7"/>
  <c r="HUI3" i="7"/>
  <c r="HUJ3" i="7"/>
  <c r="HUK3" i="7"/>
  <c r="HUL3" i="7"/>
  <c r="HUM3" i="7"/>
  <c r="HUN3" i="7"/>
  <c r="HUO3" i="7"/>
  <c r="HUP3" i="7"/>
  <c r="HUQ3" i="7"/>
  <c r="HUR3" i="7"/>
  <c r="HUS3" i="7"/>
  <c r="HUT3" i="7"/>
  <c r="HUU3" i="7"/>
  <c r="HUV3" i="7"/>
  <c r="HUW3" i="7"/>
  <c r="HUX3" i="7"/>
  <c r="HUY3" i="7"/>
  <c r="HUZ3" i="7"/>
  <c r="HVA3" i="7"/>
  <c r="HVB3" i="7"/>
  <c r="HVC3" i="7"/>
  <c r="HVD3" i="7"/>
  <c r="HVE3" i="7"/>
  <c r="HVF3" i="7"/>
  <c r="HVG3" i="7"/>
  <c r="HVH3" i="7"/>
  <c r="HVI3" i="7"/>
  <c r="HVJ3" i="7"/>
  <c r="HVK3" i="7"/>
  <c r="HVL3" i="7"/>
  <c r="HVM3" i="7"/>
  <c r="HVN3" i="7"/>
  <c r="HVO3" i="7"/>
  <c r="HVP3" i="7"/>
  <c r="HVQ3" i="7"/>
  <c r="HVR3" i="7"/>
  <c r="HVS3" i="7"/>
  <c r="HVT3" i="7"/>
  <c r="HVU3" i="7"/>
  <c r="HVV3" i="7"/>
  <c r="HVW3" i="7"/>
  <c r="HVX3" i="7"/>
  <c r="HVY3" i="7"/>
  <c r="HVZ3" i="7"/>
  <c r="HWA3" i="7"/>
  <c r="HWB3" i="7"/>
  <c r="HWC3" i="7"/>
  <c r="HWD3" i="7"/>
  <c r="HWE3" i="7"/>
  <c r="HWF3" i="7"/>
  <c r="HWG3" i="7"/>
  <c r="HWH3" i="7"/>
  <c r="HWI3" i="7"/>
  <c r="HWJ3" i="7"/>
  <c r="HWK3" i="7"/>
  <c r="HWL3" i="7"/>
  <c r="HWM3" i="7"/>
  <c r="HWN3" i="7"/>
  <c r="HWO3" i="7"/>
  <c r="HWP3" i="7"/>
  <c r="HWQ3" i="7"/>
  <c r="HWR3" i="7"/>
  <c r="HWS3" i="7"/>
  <c r="HWT3" i="7"/>
  <c r="HWU3" i="7"/>
  <c r="HWV3" i="7"/>
  <c r="HWW3" i="7"/>
  <c r="HWX3" i="7"/>
  <c r="HWY3" i="7"/>
  <c r="HWZ3" i="7"/>
  <c r="HXA3" i="7"/>
  <c r="HXB3" i="7"/>
  <c r="HXC3" i="7"/>
  <c r="HXD3" i="7"/>
  <c r="HXE3" i="7"/>
  <c r="HXF3" i="7"/>
  <c r="HXG3" i="7"/>
  <c r="HXH3" i="7"/>
  <c r="HXI3" i="7"/>
  <c r="HXJ3" i="7"/>
  <c r="HXK3" i="7"/>
  <c r="HXL3" i="7"/>
  <c r="HXM3" i="7"/>
  <c r="HXN3" i="7"/>
  <c r="HXO3" i="7"/>
  <c r="HXP3" i="7"/>
  <c r="HXQ3" i="7"/>
  <c r="HXR3" i="7"/>
  <c r="HXS3" i="7"/>
  <c r="HXT3" i="7"/>
  <c r="HXU3" i="7"/>
  <c r="HXV3" i="7"/>
  <c r="HXW3" i="7"/>
  <c r="HXX3" i="7"/>
  <c r="HXY3" i="7"/>
  <c r="HXZ3" i="7"/>
  <c r="HYA3" i="7"/>
  <c r="HYB3" i="7"/>
  <c r="HYC3" i="7"/>
  <c r="HYD3" i="7"/>
  <c r="HYE3" i="7"/>
  <c r="HYF3" i="7"/>
  <c r="HYG3" i="7"/>
  <c r="HYH3" i="7"/>
  <c r="HYI3" i="7"/>
  <c r="HYJ3" i="7"/>
  <c r="HYK3" i="7"/>
  <c r="HYL3" i="7"/>
  <c r="HYM3" i="7"/>
  <c r="HYN3" i="7"/>
  <c r="HYO3" i="7"/>
  <c r="HYP3" i="7"/>
  <c r="HYQ3" i="7"/>
  <c r="HYR3" i="7"/>
  <c r="HYS3" i="7"/>
  <c r="HYT3" i="7"/>
  <c r="HYU3" i="7"/>
  <c r="HYV3" i="7"/>
  <c r="HYW3" i="7"/>
  <c r="HYX3" i="7"/>
  <c r="HYY3" i="7"/>
  <c r="HYZ3" i="7"/>
  <c r="HZA3" i="7"/>
  <c r="HZB3" i="7"/>
  <c r="HZC3" i="7"/>
  <c r="HZD3" i="7"/>
  <c r="HZE3" i="7"/>
  <c r="HZF3" i="7"/>
  <c r="HZG3" i="7"/>
  <c r="HZH3" i="7"/>
  <c r="HZI3" i="7"/>
  <c r="HZJ3" i="7"/>
  <c r="HZK3" i="7"/>
  <c r="HZL3" i="7"/>
  <c r="HZM3" i="7"/>
  <c r="HZN3" i="7"/>
  <c r="HZO3" i="7"/>
  <c r="HZP3" i="7"/>
  <c r="HZQ3" i="7"/>
  <c r="HZR3" i="7"/>
  <c r="HZS3" i="7"/>
  <c r="HZT3" i="7"/>
  <c r="HZU3" i="7"/>
  <c r="HZV3" i="7"/>
  <c r="HZW3" i="7"/>
  <c r="HZX3" i="7"/>
  <c r="HZY3" i="7"/>
  <c r="HZZ3" i="7"/>
  <c r="IAA3" i="7"/>
  <c r="IAB3" i="7"/>
  <c r="IAC3" i="7"/>
  <c r="IAD3" i="7"/>
  <c r="IAE3" i="7"/>
  <c r="IAF3" i="7"/>
  <c r="IAG3" i="7"/>
  <c r="IAH3" i="7"/>
  <c r="IAI3" i="7"/>
  <c r="IAJ3" i="7"/>
  <c r="IAK3" i="7"/>
  <c r="IAL3" i="7"/>
  <c r="IAM3" i="7"/>
  <c r="IAN3" i="7"/>
  <c r="IAO3" i="7"/>
  <c r="IAP3" i="7"/>
  <c r="IAQ3" i="7"/>
  <c r="IAR3" i="7"/>
  <c r="IAS3" i="7"/>
  <c r="IAT3" i="7"/>
  <c r="IAU3" i="7"/>
  <c r="IAV3" i="7"/>
  <c r="IAW3" i="7"/>
  <c r="IAX3" i="7"/>
  <c r="IAY3" i="7"/>
  <c r="IAZ3" i="7"/>
  <c r="IBA3" i="7"/>
  <c r="IBB3" i="7"/>
  <c r="IBC3" i="7"/>
  <c r="IBD3" i="7"/>
  <c r="IBE3" i="7"/>
  <c r="IBF3" i="7"/>
  <c r="IBG3" i="7"/>
  <c r="IBH3" i="7"/>
  <c r="IBI3" i="7"/>
  <c r="IBJ3" i="7"/>
  <c r="IBK3" i="7"/>
  <c r="IBL3" i="7"/>
  <c r="IBM3" i="7"/>
  <c r="IBN3" i="7"/>
  <c r="IBO3" i="7"/>
  <c r="IBP3" i="7"/>
  <c r="IBQ3" i="7"/>
  <c r="IBR3" i="7"/>
  <c r="IBS3" i="7"/>
  <c r="IBT3" i="7"/>
  <c r="IBU3" i="7"/>
  <c r="IBV3" i="7"/>
  <c r="IBW3" i="7"/>
  <c r="IBX3" i="7"/>
  <c r="IBY3" i="7"/>
  <c r="IBZ3" i="7"/>
  <c r="ICA3" i="7"/>
  <c r="ICB3" i="7"/>
  <c r="ICC3" i="7"/>
  <c r="ICD3" i="7"/>
  <c r="ICE3" i="7"/>
  <c r="ICF3" i="7"/>
  <c r="ICG3" i="7"/>
  <c r="ICH3" i="7"/>
  <c r="ICI3" i="7"/>
  <c r="ICJ3" i="7"/>
  <c r="ICK3" i="7"/>
  <c r="ICL3" i="7"/>
  <c r="ICM3" i="7"/>
  <c r="ICN3" i="7"/>
  <c r="ICO3" i="7"/>
  <c r="ICP3" i="7"/>
  <c r="ICQ3" i="7"/>
  <c r="ICR3" i="7"/>
  <c r="ICS3" i="7"/>
  <c r="ICT3" i="7"/>
  <c r="ICU3" i="7"/>
  <c r="ICV3" i="7"/>
  <c r="ICW3" i="7"/>
  <c r="ICX3" i="7"/>
  <c r="ICY3" i="7"/>
  <c r="ICZ3" i="7"/>
  <c r="IDA3" i="7"/>
  <c r="IDB3" i="7"/>
  <c r="IDC3" i="7"/>
  <c r="IDD3" i="7"/>
  <c r="IDE3" i="7"/>
  <c r="IDF3" i="7"/>
  <c r="IDG3" i="7"/>
  <c r="IDH3" i="7"/>
  <c r="IDI3" i="7"/>
  <c r="IDJ3" i="7"/>
  <c r="IDK3" i="7"/>
  <c r="IDL3" i="7"/>
  <c r="IDM3" i="7"/>
  <c r="IDN3" i="7"/>
  <c r="IDO3" i="7"/>
  <c r="IDP3" i="7"/>
  <c r="IDQ3" i="7"/>
  <c r="IDR3" i="7"/>
  <c r="IDS3" i="7"/>
  <c r="IDT3" i="7"/>
  <c r="IDU3" i="7"/>
  <c r="IDV3" i="7"/>
  <c r="IDW3" i="7"/>
  <c r="IDX3" i="7"/>
  <c r="IDY3" i="7"/>
  <c r="IDZ3" i="7"/>
  <c r="IEA3" i="7"/>
  <c r="IEB3" i="7"/>
  <c r="IEC3" i="7"/>
  <c r="IED3" i="7"/>
  <c r="IEE3" i="7"/>
  <c r="IEF3" i="7"/>
  <c r="IEG3" i="7"/>
  <c r="IEH3" i="7"/>
  <c r="IEI3" i="7"/>
  <c r="IEJ3" i="7"/>
  <c r="IEK3" i="7"/>
  <c r="IEL3" i="7"/>
  <c r="IEM3" i="7"/>
  <c r="IEN3" i="7"/>
  <c r="IEO3" i="7"/>
  <c r="IEP3" i="7"/>
  <c r="IEQ3" i="7"/>
  <c r="IER3" i="7"/>
  <c r="IES3" i="7"/>
  <c r="IET3" i="7"/>
  <c r="IEU3" i="7"/>
  <c r="IEV3" i="7"/>
  <c r="IEW3" i="7"/>
  <c r="IEX3" i="7"/>
  <c r="IEY3" i="7"/>
  <c r="IEZ3" i="7"/>
  <c r="IFA3" i="7"/>
  <c r="IFB3" i="7"/>
  <c r="IFC3" i="7"/>
  <c r="IFD3" i="7"/>
  <c r="IFE3" i="7"/>
  <c r="IFF3" i="7"/>
  <c r="IFG3" i="7"/>
  <c r="IFH3" i="7"/>
  <c r="IFI3" i="7"/>
  <c r="IFJ3" i="7"/>
  <c r="IFK3" i="7"/>
  <c r="IFL3" i="7"/>
  <c r="IFM3" i="7"/>
  <c r="IFN3" i="7"/>
  <c r="IFO3" i="7"/>
  <c r="IFP3" i="7"/>
  <c r="IFQ3" i="7"/>
  <c r="IFR3" i="7"/>
  <c r="IFS3" i="7"/>
  <c r="IFT3" i="7"/>
  <c r="IFU3" i="7"/>
  <c r="IFV3" i="7"/>
  <c r="IFW3" i="7"/>
  <c r="IFX3" i="7"/>
  <c r="IFY3" i="7"/>
  <c r="IFZ3" i="7"/>
  <c r="IGA3" i="7"/>
  <c r="IGB3" i="7"/>
  <c r="IGC3" i="7"/>
  <c r="IGD3" i="7"/>
  <c r="IGE3" i="7"/>
  <c r="IGF3" i="7"/>
  <c r="IGG3" i="7"/>
  <c r="IGH3" i="7"/>
  <c r="IGI3" i="7"/>
  <c r="IGJ3" i="7"/>
  <c r="IGK3" i="7"/>
  <c r="IGL3" i="7"/>
  <c r="IGM3" i="7"/>
  <c r="IGN3" i="7"/>
  <c r="IGO3" i="7"/>
  <c r="IGP3" i="7"/>
  <c r="IGQ3" i="7"/>
  <c r="IGR3" i="7"/>
  <c r="IGS3" i="7"/>
  <c r="IGT3" i="7"/>
  <c r="IGU3" i="7"/>
  <c r="IGV3" i="7"/>
  <c r="IGW3" i="7"/>
  <c r="IGX3" i="7"/>
  <c r="IGY3" i="7"/>
  <c r="IGZ3" i="7"/>
  <c r="IHA3" i="7"/>
  <c r="IHB3" i="7"/>
  <c r="IHC3" i="7"/>
  <c r="IHD3" i="7"/>
  <c r="IHE3" i="7"/>
  <c r="IHF3" i="7"/>
  <c r="IHG3" i="7"/>
  <c r="IHH3" i="7"/>
  <c r="IHI3" i="7"/>
  <c r="IHJ3" i="7"/>
  <c r="IHK3" i="7"/>
  <c r="IHL3" i="7"/>
  <c r="IHM3" i="7"/>
  <c r="IHN3" i="7"/>
  <c r="IHO3" i="7"/>
  <c r="IHP3" i="7"/>
  <c r="IHQ3" i="7"/>
  <c r="IHR3" i="7"/>
  <c r="IHS3" i="7"/>
  <c r="IHT3" i="7"/>
  <c r="IHU3" i="7"/>
  <c r="IHV3" i="7"/>
  <c r="IHW3" i="7"/>
  <c r="IHX3" i="7"/>
  <c r="IHY3" i="7"/>
  <c r="IHZ3" i="7"/>
  <c r="IIA3" i="7"/>
  <c r="IIB3" i="7"/>
  <c r="IIC3" i="7"/>
  <c r="IID3" i="7"/>
  <c r="IIE3" i="7"/>
  <c r="IIF3" i="7"/>
  <c r="IIG3" i="7"/>
  <c r="IIH3" i="7"/>
  <c r="III3" i="7"/>
  <c r="IIJ3" i="7"/>
  <c r="IIK3" i="7"/>
  <c r="IIL3" i="7"/>
  <c r="IIM3" i="7"/>
  <c r="IIN3" i="7"/>
  <c r="IIO3" i="7"/>
  <c r="IIP3" i="7"/>
  <c r="IIQ3" i="7"/>
  <c r="IIR3" i="7"/>
  <c r="IIS3" i="7"/>
  <c r="IIT3" i="7"/>
  <c r="IIU3" i="7"/>
  <c r="IIV3" i="7"/>
  <c r="IIW3" i="7"/>
  <c r="IIX3" i="7"/>
  <c r="IIY3" i="7"/>
  <c r="IIZ3" i="7"/>
  <c r="IJA3" i="7"/>
  <c r="IJB3" i="7"/>
  <c r="IJC3" i="7"/>
  <c r="IJD3" i="7"/>
  <c r="IJE3" i="7"/>
  <c r="IJF3" i="7"/>
  <c r="IJG3" i="7"/>
  <c r="IJH3" i="7"/>
  <c r="IJI3" i="7"/>
  <c r="IJJ3" i="7"/>
  <c r="IJK3" i="7"/>
  <c r="IJL3" i="7"/>
  <c r="IJM3" i="7"/>
  <c r="IJN3" i="7"/>
  <c r="IJO3" i="7"/>
  <c r="IJP3" i="7"/>
  <c r="IJQ3" i="7"/>
  <c r="IJR3" i="7"/>
  <c r="IJS3" i="7"/>
  <c r="IJT3" i="7"/>
  <c r="IJU3" i="7"/>
  <c r="IJV3" i="7"/>
  <c r="IJW3" i="7"/>
  <c r="IJX3" i="7"/>
  <c r="IJY3" i="7"/>
  <c r="IJZ3" i="7"/>
  <c r="IKA3" i="7"/>
  <c r="IKB3" i="7"/>
  <c r="IKC3" i="7"/>
  <c r="IKD3" i="7"/>
  <c r="IKE3" i="7"/>
  <c r="IKF3" i="7"/>
  <c r="IKG3" i="7"/>
  <c r="IKH3" i="7"/>
  <c r="IKI3" i="7"/>
  <c r="IKJ3" i="7"/>
  <c r="IKK3" i="7"/>
  <c r="IKL3" i="7"/>
  <c r="IKM3" i="7"/>
  <c r="IKN3" i="7"/>
  <c r="IKO3" i="7"/>
  <c r="IKP3" i="7"/>
  <c r="IKQ3" i="7"/>
  <c r="IKR3" i="7"/>
  <c r="IKS3" i="7"/>
  <c r="IKT3" i="7"/>
  <c r="IKU3" i="7"/>
  <c r="IKV3" i="7"/>
  <c r="IKW3" i="7"/>
  <c r="IKX3" i="7"/>
  <c r="IKY3" i="7"/>
  <c r="IKZ3" i="7"/>
  <c r="ILA3" i="7"/>
  <c r="ILB3" i="7"/>
  <c r="ILC3" i="7"/>
  <c r="ILD3" i="7"/>
  <c r="ILE3" i="7"/>
  <c r="ILF3" i="7"/>
  <c r="ILG3" i="7"/>
  <c r="ILH3" i="7"/>
  <c r="ILI3" i="7"/>
  <c r="ILJ3" i="7"/>
  <c r="ILK3" i="7"/>
  <c r="ILL3" i="7"/>
  <c r="ILM3" i="7"/>
  <c r="ILN3" i="7"/>
  <c r="ILO3" i="7"/>
  <c r="ILP3" i="7"/>
  <c r="ILQ3" i="7"/>
  <c r="ILR3" i="7"/>
  <c r="ILS3" i="7"/>
  <c r="ILT3" i="7"/>
  <c r="ILU3" i="7"/>
  <c r="ILV3" i="7"/>
  <c r="ILW3" i="7"/>
  <c r="ILX3" i="7"/>
  <c r="ILY3" i="7"/>
  <c r="ILZ3" i="7"/>
  <c r="IMA3" i="7"/>
  <c r="IMB3" i="7"/>
  <c r="IMC3" i="7"/>
  <c r="IMD3" i="7"/>
  <c r="IME3" i="7"/>
  <c r="IMF3" i="7"/>
  <c r="IMG3" i="7"/>
  <c r="IMH3" i="7"/>
  <c r="IMI3" i="7"/>
  <c r="IMJ3" i="7"/>
  <c r="IMK3" i="7"/>
  <c r="IML3" i="7"/>
  <c r="IMM3" i="7"/>
  <c r="IMN3" i="7"/>
  <c r="IMO3" i="7"/>
  <c r="IMP3" i="7"/>
  <c r="IMQ3" i="7"/>
  <c r="IMR3" i="7"/>
  <c r="IMS3" i="7"/>
  <c r="IMT3" i="7"/>
  <c r="IMU3" i="7"/>
  <c r="IMV3" i="7"/>
  <c r="IMW3" i="7"/>
  <c r="IMX3" i="7"/>
  <c r="IMY3" i="7"/>
  <c r="IMZ3" i="7"/>
  <c r="INA3" i="7"/>
  <c r="INB3" i="7"/>
  <c r="INC3" i="7"/>
  <c r="IND3" i="7"/>
  <c r="INE3" i="7"/>
  <c r="INF3" i="7"/>
  <c r="ING3" i="7"/>
  <c r="INH3" i="7"/>
  <c r="INI3" i="7"/>
  <c r="INJ3" i="7"/>
  <c r="INK3" i="7"/>
  <c r="INL3" i="7"/>
  <c r="INM3" i="7"/>
  <c r="INN3" i="7"/>
  <c r="INO3" i="7"/>
  <c r="INP3" i="7"/>
  <c r="INQ3" i="7"/>
  <c r="INR3" i="7"/>
  <c r="INS3" i="7"/>
  <c r="INT3" i="7"/>
  <c r="INU3" i="7"/>
  <c r="INV3" i="7"/>
  <c r="INW3" i="7"/>
  <c r="INX3" i="7"/>
  <c r="INY3" i="7"/>
  <c r="INZ3" i="7"/>
  <c r="IOA3" i="7"/>
  <c r="IOB3" i="7"/>
  <c r="IOC3" i="7"/>
  <c r="IOD3" i="7"/>
  <c r="IOE3" i="7"/>
  <c r="IOF3" i="7"/>
  <c r="IOG3" i="7"/>
  <c r="IOH3" i="7"/>
  <c r="IOI3" i="7"/>
  <c r="IOJ3" i="7"/>
  <c r="IOK3" i="7"/>
  <c r="IOL3" i="7"/>
  <c r="IOM3" i="7"/>
  <c r="ION3" i="7"/>
  <c r="IOO3" i="7"/>
  <c r="IOP3" i="7"/>
  <c r="IOQ3" i="7"/>
  <c r="IOR3" i="7"/>
  <c r="IOS3" i="7"/>
  <c r="IOT3" i="7"/>
  <c r="IOU3" i="7"/>
  <c r="IOV3" i="7"/>
  <c r="IOW3" i="7"/>
  <c r="IOX3" i="7"/>
  <c r="IOY3" i="7"/>
  <c r="IOZ3" i="7"/>
  <c r="IPA3" i="7"/>
  <c r="IPB3" i="7"/>
  <c r="IPC3" i="7"/>
  <c r="IPD3" i="7"/>
  <c r="IPE3" i="7"/>
  <c r="IPF3" i="7"/>
  <c r="IPG3" i="7"/>
  <c r="IPH3" i="7"/>
  <c r="IPI3" i="7"/>
  <c r="IPJ3" i="7"/>
  <c r="IPK3" i="7"/>
  <c r="IPL3" i="7"/>
  <c r="IPM3" i="7"/>
  <c r="IPN3" i="7"/>
  <c r="IPO3" i="7"/>
  <c r="IPP3" i="7"/>
  <c r="IPQ3" i="7"/>
  <c r="IPR3" i="7"/>
  <c r="IPS3" i="7"/>
  <c r="IPT3" i="7"/>
  <c r="IPU3" i="7"/>
  <c r="IPV3" i="7"/>
  <c r="IPW3" i="7"/>
  <c r="IPX3" i="7"/>
  <c r="IPY3" i="7"/>
  <c r="IPZ3" i="7"/>
  <c r="IQA3" i="7"/>
  <c r="IQB3" i="7"/>
  <c r="IQC3" i="7"/>
  <c r="IQD3" i="7"/>
  <c r="IQE3" i="7"/>
  <c r="IQF3" i="7"/>
  <c r="IQG3" i="7"/>
  <c r="IQH3" i="7"/>
  <c r="IQI3" i="7"/>
  <c r="IQJ3" i="7"/>
  <c r="IQK3" i="7"/>
  <c r="IQL3" i="7"/>
  <c r="IQM3" i="7"/>
  <c r="IQN3" i="7"/>
  <c r="IQO3" i="7"/>
  <c r="IQP3" i="7"/>
  <c r="IQQ3" i="7"/>
  <c r="IQR3" i="7"/>
  <c r="IQS3" i="7"/>
  <c r="IQT3" i="7"/>
  <c r="IQU3" i="7"/>
  <c r="IQV3" i="7"/>
  <c r="IQW3" i="7"/>
  <c r="IQX3" i="7"/>
  <c r="IQY3" i="7"/>
  <c r="IQZ3" i="7"/>
  <c r="IRA3" i="7"/>
  <c r="IRB3" i="7"/>
  <c r="IRC3" i="7"/>
  <c r="IRD3" i="7"/>
  <c r="IRE3" i="7"/>
  <c r="IRF3" i="7"/>
  <c r="IRG3" i="7"/>
  <c r="IRH3" i="7"/>
  <c r="IRI3" i="7"/>
  <c r="IRJ3" i="7"/>
  <c r="IRK3" i="7"/>
  <c r="IRL3" i="7"/>
  <c r="IRM3" i="7"/>
  <c r="IRN3" i="7"/>
  <c r="IRO3" i="7"/>
  <c r="IRP3" i="7"/>
  <c r="IRQ3" i="7"/>
  <c r="IRR3" i="7"/>
  <c r="IRS3" i="7"/>
  <c r="IRT3" i="7"/>
  <c r="IRU3" i="7"/>
  <c r="IRV3" i="7"/>
  <c r="IRW3" i="7"/>
  <c r="IRX3" i="7"/>
  <c r="IRY3" i="7"/>
  <c r="IRZ3" i="7"/>
  <c r="ISA3" i="7"/>
  <c r="ISB3" i="7"/>
  <c r="ISC3" i="7"/>
  <c r="ISD3" i="7"/>
  <c r="ISE3" i="7"/>
  <c r="ISF3" i="7"/>
  <c r="ISG3" i="7"/>
  <c r="ISH3" i="7"/>
  <c r="ISI3" i="7"/>
  <c r="ISJ3" i="7"/>
  <c r="ISK3" i="7"/>
  <c r="ISL3" i="7"/>
  <c r="ISM3" i="7"/>
  <c r="ISN3" i="7"/>
  <c r="ISO3" i="7"/>
  <c r="ISP3" i="7"/>
  <c r="ISQ3" i="7"/>
  <c r="ISR3" i="7"/>
  <c r="ISS3" i="7"/>
  <c r="IST3" i="7"/>
  <c r="ISU3" i="7"/>
  <c r="ISV3" i="7"/>
  <c r="ISW3" i="7"/>
  <c r="ISX3" i="7"/>
  <c r="ISY3" i="7"/>
  <c r="ISZ3" i="7"/>
  <c r="ITA3" i="7"/>
  <c r="ITB3" i="7"/>
  <c r="ITC3" i="7"/>
  <c r="ITD3" i="7"/>
  <c r="ITE3" i="7"/>
  <c r="ITF3" i="7"/>
  <c r="ITG3" i="7"/>
  <c r="ITH3" i="7"/>
  <c r="ITI3" i="7"/>
  <c r="ITJ3" i="7"/>
  <c r="ITK3" i="7"/>
  <c r="ITL3" i="7"/>
  <c r="ITM3" i="7"/>
  <c r="ITN3" i="7"/>
  <c r="ITO3" i="7"/>
  <c r="ITP3" i="7"/>
  <c r="ITQ3" i="7"/>
  <c r="ITR3" i="7"/>
  <c r="ITS3" i="7"/>
  <c r="ITT3" i="7"/>
  <c r="ITU3" i="7"/>
  <c r="ITV3" i="7"/>
  <c r="ITW3" i="7"/>
  <c r="ITX3" i="7"/>
  <c r="ITY3" i="7"/>
  <c r="ITZ3" i="7"/>
  <c r="IUA3" i="7"/>
  <c r="IUB3" i="7"/>
  <c r="IUC3" i="7"/>
  <c r="IUD3" i="7"/>
  <c r="IUE3" i="7"/>
  <c r="IUF3" i="7"/>
  <c r="IUG3" i="7"/>
  <c r="IUH3" i="7"/>
  <c r="IUI3" i="7"/>
  <c r="IUJ3" i="7"/>
  <c r="IUK3" i="7"/>
  <c r="IUL3" i="7"/>
  <c r="IUM3" i="7"/>
  <c r="IUN3" i="7"/>
  <c r="IUO3" i="7"/>
  <c r="IUP3" i="7"/>
  <c r="IUQ3" i="7"/>
  <c r="IUR3" i="7"/>
  <c r="IUS3" i="7"/>
  <c r="IUT3" i="7"/>
  <c r="IUU3" i="7"/>
  <c r="IUV3" i="7"/>
  <c r="IUW3" i="7"/>
  <c r="IUX3" i="7"/>
  <c r="IUY3" i="7"/>
  <c r="IUZ3" i="7"/>
  <c r="IVA3" i="7"/>
  <c r="IVB3" i="7"/>
  <c r="IVC3" i="7"/>
  <c r="IVD3" i="7"/>
  <c r="IVE3" i="7"/>
  <c r="IVF3" i="7"/>
  <c r="IVG3" i="7"/>
  <c r="IVH3" i="7"/>
  <c r="IVI3" i="7"/>
  <c r="IVJ3" i="7"/>
  <c r="IVK3" i="7"/>
  <c r="IVL3" i="7"/>
  <c r="IVM3" i="7"/>
  <c r="IVN3" i="7"/>
  <c r="IVO3" i="7"/>
  <c r="IVP3" i="7"/>
  <c r="IVQ3" i="7"/>
  <c r="IVR3" i="7"/>
  <c r="IVS3" i="7"/>
  <c r="IVT3" i="7"/>
  <c r="IVU3" i="7"/>
  <c r="IVV3" i="7"/>
  <c r="IVW3" i="7"/>
  <c r="IVX3" i="7"/>
  <c r="IVY3" i="7"/>
  <c r="IVZ3" i="7"/>
  <c r="IWA3" i="7"/>
  <c r="IWB3" i="7"/>
  <c r="IWC3" i="7"/>
  <c r="IWD3" i="7"/>
  <c r="IWE3" i="7"/>
  <c r="IWF3" i="7"/>
  <c r="IWG3" i="7"/>
  <c r="IWH3" i="7"/>
  <c r="IWI3" i="7"/>
  <c r="IWJ3" i="7"/>
  <c r="IWK3" i="7"/>
  <c r="IWL3" i="7"/>
  <c r="IWM3" i="7"/>
  <c r="IWN3" i="7"/>
  <c r="IWO3" i="7"/>
  <c r="IWP3" i="7"/>
  <c r="IWQ3" i="7"/>
  <c r="IWR3" i="7"/>
  <c r="IWS3" i="7"/>
  <c r="IWT3" i="7"/>
  <c r="IWU3" i="7"/>
  <c r="IWV3" i="7"/>
  <c r="IWW3" i="7"/>
  <c r="IWX3" i="7"/>
  <c r="IWY3" i="7"/>
  <c r="IWZ3" i="7"/>
  <c r="IXA3" i="7"/>
  <c r="IXB3" i="7"/>
  <c r="IXC3" i="7"/>
  <c r="IXD3" i="7"/>
  <c r="IXE3" i="7"/>
  <c r="IXF3" i="7"/>
  <c r="IXG3" i="7"/>
  <c r="IXH3" i="7"/>
  <c r="IXI3" i="7"/>
  <c r="IXJ3" i="7"/>
  <c r="IXK3" i="7"/>
  <c r="IXL3" i="7"/>
  <c r="IXM3" i="7"/>
  <c r="IXN3" i="7"/>
  <c r="IXO3" i="7"/>
  <c r="IXP3" i="7"/>
  <c r="IXQ3" i="7"/>
  <c r="IXR3" i="7"/>
  <c r="IXS3" i="7"/>
  <c r="IXT3" i="7"/>
  <c r="IXU3" i="7"/>
  <c r="IXV3" i="7"/>
  <c r="IXW3" i="7"/>
  <c r="IXX3" i="7"/>
  <c r="IXY3" i="7"/>
  <c r="IXZ3" i="7"/>
  <c r="IYA3" i="7"/>
  <c r="IYB3" i="7"/>
  <c r="IYC3" i="7"/>
  <c r="IYD3" i="7"/>
  <c r="IYE3" i="7"/>
  <c r="IYF3" i="7"/>
  <c r="IYG3" i="7"/>
  <c r="IYH3" i="7"/>
  <c r="IYI3" i="7"/>
  <c r="IYJ3" i="7"/>
  <c r="IYK3" i="7"/>
  <c r="IYL3" i="7"/>
  <c r="IYM3" i="7"/>
  <c r="IYN3" i="7"/>
  <c r="IYO3" i="7"/>
  <c r="IYP3" i="7"/>
  <c r="IYQ3" i="7"/>
  <c r="IYR3" i="7"/>
  <c r="IYS3" i="7"/>
  <c r="IYT3" i="7"/>
  <c r="IYU3" i="7"/>
  <c r="IYV3" i="7"/>
  <c r="IYW3" i="7"/>
  <c r="IYX3" i="7"/>
  <c r="IYY3" i="7"/>
  <c r="IYZ3" i="7"/>
  <c r="IZA3" i="7"/>
  <c r="IZB3" i="7"/>
  <c r="IZC3" i="7"/>
  <c r="IZD3" i="7"/>
  <c r="IZE3" i="7"/>
  <c r="IZF3" i="7"/>
  <c r="IZG3" i="7"/>
  <c r="IZH3" i="7"/>
  <c r="IZI3" i="7"/>
  <c r="IZJ3" i="7"/>
  <c r="IZK3" i="7"/>
  <c r="IZL3" i="7"/>
  <c r="IZM3" i="7"/>
  <c r="IZN3" i="7"/>
  <c r="IZO3" i="7"/>
  <c r="IZP3" i="7"/>
  <c r="IZQ3" i="7"/>
  <c r="IZR3" i="7"/>
  <c r="IZS3" i="7"/>
  <c r="IZT3" i="7"/>
  <c r="IZU3" i="7"/>
  <c r="IZV3" i="7"/>
  <c r="IZW3" i="7"/>
  <c r="IZX3" i="7"/>
  <c r="IZY3" i="7"/>
  <c r="IZZ3" i="7"/>
  <c r="JAA3" i="7"/>
  <c r="JAB3" i="7"/>
  <c r="JAC3" i="7"/>
  <c r="JAD3" i="7"/>
  <c r="JAE3" i="7"/>
  <c r="JAF3" i="7"/>
  <c r="JAG3" i="7"/>
  <c r="JAH3" i="7"/>
  <c r="JAI3" i="7"/>
  <c r="JAJ3" i="7"/>
  <c r="JAK3" i="7"/>
  <c r="JAL3" i="7"/>
  <c r="JAM3" i="7"/>
  <c r="JAN3" i="7"/>
  <c r="JAO3" i="7"/>
  <c r="JAP3" i="7"/>
  <c r="JAQ3" i="7"/>
  <c r="JAR3" i="7"/>
  <c r="JAS3" i="7"/>
  <c r="JAT3" i="7"/>
  <c r="JAU3" i="7"/>
  <c r="JAV3" i="7"/>
  <c r="JAW3" i="7"/>
  <c r="JAX3" i="7"/>
  <c r="JAY3" i="7"/>
  <c r="JAZ3" i="7"/>
  <c r="JBA3" i="7"/>
  <c r="JBB3" i="7"/>
  <c r="JBC3" i="7"/>
  <c r="JBD3" i="7"/>
  <c r="JBE3" i="7"/>
  <c r="JBF3" i="7"/>
  <c r="JBG3" i="7"/>
  <c r="JBH3" i="7"/>
  <c r="JBI3" i="7"/>
  <c r="JBJ3" i="7"/>
  <c r="JBK3" i="7"/>
  <c r="JBL3" i="7"/>
  <c r="JBM3" i="7"/>
  <c r="JBN3" i="7"/>
  <c r="JBO3" i="7"/>
  <c r="JBP3" i="7"/>
  <c r="JBQ3" i="7"/>
  <c r="JBR3" i="7"/>
  <c r="JBS3" i="7"/>
  <c r="JBT3" i="7"/>
  <c r="JBU3" i="7"/>
  <c r="JBV3" i="7"/>
  <c r="JBW3" i="7"/>
  <c r="JBX3" i="7"/>
  <c r="JBY3" i="7"/>
  <c r="JBZ3" i="7"/>
  <c r="JCA3" i="7"/>
  <c r="JCB3" i="7"/>
  <c r="JCC3" i="7"/>
  <c r="JCD3" i="7"/>
  <c r="JCE3" i="7"/>
  <c r="JCF3" i="7"/>
  <c r="JCG3" i="7"/>
  <c r="JCH3" i="7"/>
  <c r="JCI3" i="7"/>
  <c r="JCJ3" i="7"/>
  <c r="JCK3" i="7"/>
  <c r="JCL3" i="7"/>
  <c r="JCM3" i="7"/>
  <c r="JCN3" i="7"/>
  <c r="JCO3" i="7"/>
  <c r="JCP3" i="7"/>
  <c r="JCQ3" i="7"/>
  <c r="JCR3" i="7"/>
  <c r="JCS3" i="7"/>
  <c r="JCT3" i="7"/>
  <c r="JCU3" i="7"/>
  <c r="JCV3" i="7"/>
  <c r="JCW3" i="7"/>
  <c r="JCX3" i="7"/>
  <c r="JCY3" i="7"/>
  <c r="JCZ3" i="7"/>
  <c r="JDA3" i="7"/>
  <c r="JDB3" i="7"/>
  <c r="JDC3" i="7"/>
  <c r="JDD3" i="7"/>
  <c r="JDE3" i="7"/>
  <c r="JDF3" i="7"/>
  <c r="JDG3" i="7"/>
  <c r="JDH3" i="7"/>
  <c r="JDI3" i="7"/>
  <c r="JDJ3" i="7"/>
  <c r="JDK3" i="7"/>
  <c r="JDL3" i="7"/>
  <c r="JDM3" i="7"/>
  <c r="JDN3" i="7"/>
  <c r="JDO3" i="7"/>
  <c r="JDP3" i="7"/>
  <c r="JDQ3" i="7"/>
  <c r="JDR3" i="7"/>
  <c r="JDS3" i="7"/>
  <c r="JDT3" i="7"/>
  <c r="JDU3" i="7"/>
  <c r="JDV3" i="7"/>
  <c r="JDW3" i="7"/>
  <c r="JDX3" i="7"/>
  <c r="JDY3" i="7"/>
  <c r="JDZ3" i="7"/>
  <c r="JEA3" i="7"/>
  <c r="JEB3" i="7"/>
  <c r="JEC3" i="7"/>
  <c r="JED3" i="7"/>
  <c r="JEE3" i="7"/>
  <c r="JEF3" i="7"/>
  <c r="JEG3" i="7"/>
  <c r="JEH3" i="7"/>
  <c r="JEI3" i="7"/>
  <c r="JEJ3" i="7"/>
  <c r="JEK3" i="7"/>
  <c r="JEL3" i="7"/>
  <c r="JEM3" i="7"/>
  <c r="JEN3" i="7"/>
  <c r="JEO3" i="7"/>
  <c r="JEP3" i="7"/>
  <c r="JEQ3" i="7"/>
  <c r="JER3" i="7"/>
  <c r="JES3" i="7"/>
  <c r="JET3" i="7"/>
  <c r="JEU3" i="7"/>
  <c r="JEV3" i="7"/>
  <c r="JEW3" i="7"/>
  <c r="JEX3" i="7"/>
  <c r="JEY3" i="7"/>
  <c r="JEZ3" i="7"/>
  <c r="JFA3" i="7"/>
  <c r="JFB3" i="7"/>
  <c r="JFC3" i="7"/>
  <c r="JFD3" i="7"/>
  <c r="JFE3" i="7"/>
  <c r="JFF3" i="7"/>
  <c r="JFG3" i="7"/>
  <c r="JFH3" i="7"/>
  <c r="JFI3" i="7"/>
  <c r="JFJ3" i="7"/>
  <c r="JFK3" i="7"/>
  <c r="JFL3" i="7"/>
  <c r="JFM3" i="7"/>
  <c r="JFN3" i="7"/>
  <c r="JFO3" i="7"/>
  <c r="JFP3" i="7"/>
  <c r="JFQ3" i="7"/>
  <c r="JFR3" i="7"/>
  <c r="JFS3" i="7"/>
  <c r="JFT3" i="7"/>
  <c r="JFU3" i="7"/>
  <c r="JFV3" i="7"/>
  <c r="JFW3" i="7"/>
  <c r="JFX3" i="7"/>
  <c r="JFY3" i="7"/>
  <c r="JFZ3" i="7"/>
  <c r="JGA3" i="7"/>
  <c r="JGB3" i="7"/>
  <c r="JGC3" i="7"/>
  <c r="JGD3" i="7"/>
  <c r="JGE3" i="7"/>
  <c r="JGF3" i="7"/>
  <c r="JGG3" i="7"/>
  <c r="JGH3" i="7"/>
  <c r="JGI3" i="7"/>
  <c r="JGJ3" i="7"/>
  <c r="JGK3" i="7"/>
  <c r="JGL3" i="7"/>
  <c r="JGM3" i="7"/>
  <c r="JGN3" i="7"/>
  <c r="JGO3" i="7"/>
  <c r="JGP3" i="7"/>
  <c r="JGQ3" i="7"/>
  <c r="JGR3" i="7"/>
  <c r="JGS3" i="7"/>
  <c r="JGT3" i="7"/>
  <c r="JGU3" i="7"/>
  <c r="JGV3" i="7"/>
  <c r="JGW3" i="7"/>
  <c r="JGX3" i="7"/>
  <c r="JGY3" i="7"/>
  <c r="JGZ3" i="7"/>
  <c r="JHA3" i="7"/>
  <c r="JHB3" i="7"/>
  <c r="JHC3" i="7"/>
  <c r="JHD3" i="7"/>
  <c r="JHE3" i="7"/>
  <c r="JHF3" i="7"/>
  <c r="JHG3" i="7"/>
  <c r="JHH3" i="7"/>
  <c r="JHI3" i="7"/>
  <c r="JHJ3" i="7"/>
  <c r="JHK3" i="7"/>
  <c r="JHL3" i="7"/>
  <c r="JHM3" i="7"/>
  <c r="JHN3" i="7"/>
  <c r="JHO3" i="7"/>
  <c r="JHP3" i="7"/>
  <c r="JHQ3" i="7"/>
  <c r="JHR3" i="7"/>
  <c r="JHS3" i="7"/>
  <c r="JHT3" i="7"/>
  <c r="JHU3" i="7"/>
  <c r="JHV3" i="7"/>
  <c r="JHW3" i="7"/>
  <c r="JHX3" i="7"/>
  <c r="JHY3" i="7"/>
  <c r="JHZ3" i="7"/>
  <c r="JIA3" i="7"/>
  <c r="JIB3" i="7"/>
  <c r="JIC3" i="7"/>
  <c r="JID3" i="7"/>
  <c r="JIE3" i="7"/>
  <c r="JIF3" i="7"/>
  <c r="JIG3" i="7"/>
  <c r="JIH3" i="7"/>
  <c r="JII3" i="7"/>
  <c r="JIJ3" i="7"/>
  <c r="JIK3" i="7"/>
  <c r="JIL3" i="7"/>
  <c r="JIM3" i="7"/>
  <c r="JIN3" i="7"/>
  <c r="JIO3" i="7"/>
  <c r="JIP3" i="7"/>
  <c r="JIQ3" i="7"/>
  <c r="JIR3" i="7"/>
  <c r="JIS3" i="7"/>
  <c r="JIT3" i="7"/>
  <c r="JIU3" i="7"/>
  <c r="JIV3" i="7"/>
  <c r="JIW3" i="7"/>
  <c r="JIX3" i="7"/>
  <c r="JIY3" i="7"/>
  <c r="JIZ3" i="7"/>
  <c r="JJA3" i="7"/>
  <c r="JJB3" i="7"/>
  <c r="JJC3" i="7"/>
  <c r="JJD3" i="7"/>
  <c r="JJE3" i="7"/>
  <c r="JJF3" i="7"/>
  <c r="JJG3" i="7"/>
  <c r="JJH3" i="7"/>
  <c r="JJI3" i="7"/>
  <c r="JJJ3" i="7"/>
  <c r="JJK3" i="7"/>
  <c r="JJL3" i="7"/>
  <c r="JJM3" i="7"/>
  <c r="JJN3" i="7"/>
  <c r="JJO3" i="7"/>
  <c r="JJP3" i="7"/>
  <c r="JJQ3" i="7"/>
  <c r="JJR3" i="7"/>
  <c r="JJS3" i="7"/>
  <c r="JJT3" i="7"/>
  <c r="JJU3" i="7"/>
  <c r="JJV3" i="7"/>
  <c r="JJW3" i="7"/>
  <c r="JJX3" i="7"/>
  <c r="JJY3" i="7"/>
  <c r="JJZ3" i="7"/>
  <c r="JKA3" i="7"/>
  <c r="JKB3" i="7"/>
  <c r="JKC3" i="7"/>
  <c r="JKD3" i="7"/>
  <c r="JKE3" i="7"/>
  <c r="JKF3" i="7"/>
  <c r="JKG3" i="7"/>
  <c r="JKH3" i="7"/>
  <c r="JKI3" i="7"/>
  <c r="JKJ3" i="7"/>
  <c r="JKK3" i="7"/>
  <c r="JKL3" i="7"/>
  <c r="JKM3" i="7"/>
  <c r="JKN3" i="7"/>
  <c r="JKO3" i="7"/>
  <c r="JKP3" i="7"/>
  <c r="JKQ3" i="7"/>
  <c r="JKR3" i="7"/>
  <c r="JKS3" i="7"/>
  <c r="JKT3" i="7"/>
  <c r="JKU3" i="7"/>
  <c r="JKV3" i="7"/>
  <c r="JKW3" i="7"/>
  <c r="JKX3" i="7"/>
  <c r="JKY3" i="7"/>
  <c r="JKZ3" i="7"/>
  <c r="JLA3" i="7"/>
  <c r="JLB3" i="7"/>
  <c r="JLC3" i="7"/>
  <c r="JLD3" i="7"/>
  <c r="JLE3" i="7"/>
  <c r="JLF3" i="7"/>
  <c r="JLG3" i="7"/>
  <c r="JLH3" i="7"/>
  <c r="JLI3" i="7"/>
  <c r="JLJ3" i="7"/>
  <c r="JLK3" i="7"/>
  <c r="JLL3" i="7"/>
  <c r="JLM3" i="7"/>
  <c r="JLN3" i="7"/>
  <c r="JLO3" i="7"/>
  <c r="JLP3" i="7"/>
  <c r="JLQ3" i="7"/>
  <c r="JLR3" i="7"/>
  <c r="JLS3" i="7"/>
  <c r="JLT3" i="7"/>
  <c r="JLU3" i="7"/>
  <c r="JLV3" i="7"/>
  <c r="JLW3" i="7"/>
  <c r="JLX3" i="7"/>
  <c r="JLY3" i="7"/>
  <c r="JLZ3" i="7"/>
  <c r="JMA3" i="7"/>
  <c r="JMB3" i="7"/>
  <c r="JMC3" i="7"/>
  <c r="JMD3" i="7"/>
  <c r="JME3" i="7"/>
  <c r="JMF3" i="7"/>
  <c r="JMG3" i="7"/>
  <c r="JMH3" i="7"/>
  <c r="JMI3" i="7"/>
  <c r="JMJ3" i="7"/>
  <c r="JMK3" i="7"/>
  <c r="JML3" i="7"/>
  <c r="JMM3" i="7"/>
  <c r="JMN3" i="7"/>
  <c r="JMO3" i="7"/>
  <c r="JMP3" i="7"/>
  <c r="JMQ3" i="7"/>
  <c r="JMR3" i="7"/>
  <c r="JMS3" i="7"/>
  <c r="JMT3" i="7"/>
  <c r="JMU3" i="7"/>
  <c r="JMV3" i="7"/>
  <c r="JMW3" i="7"/>
  <c r="JMX3" i="7"/>
  <c r="JMY3" i="7"/>
  <c r="JMZ3" i="7"/>
  <c r="JNA3" i="7"/>
  <c r="JNB3" i="7"/>
  <c r="JNC3" i="7"/>
  <c r="JND3" i="7"/>
  <c r="JNE3" i="7"/>
  <c r="JNF3" i="7"/>
  <c r="JNG3" i="7"/>
  <c r="JNH3" i="7"/>
  <c r="JNI3" i="7"/>
  <c r="JNJ3" i="7"/>
  <c r="JNK3" i="7"/>
  <c r="JNL3" i="7"/>
  <c r="JNM3" i="7"/>
  <c r="JNN3" i="7"/>
  <c r="JNO3" i="7"/>
  <c r="JNP3" i="7"/>
  <c r="JNQ3" i="7"/>
  <c r="JNR3" i="7"/>
  <c r="JNS3" i="7"/>
  <c r="JNT3" i="7"/>
  <c r="JNU3" i="7"/>
  <c r="JNV3" i="7"/>
  <c r="JNW3" i="7"/>
  <c r="JNX3" i="7"/>
  <c r="JNY3" i="7"/>
  <c r="JNZ3" i="7"/>
  <c r="JOA3" i="7"/>
  <c r="JOB3" i="7"/>
  <c r="JOC3" i="7"/>
  <c r="JOD3" i="7"/>
  <c r="JOE3" i="7"/>
  <c r="JOF3" i="7"/>
  <c r="JOG3" i="7"/>
  <c r="JOH3" i="7"/>
  <c r="JOI3" i="7"/>
  <c r="JOJ3" i="7"/>
  <c r="JOK3" i="7"/>
  <c r="JOL3" i="7"/>
  <c r="JOM3" i="7"/>
  <c r="JON3" i="7"/>
  <c r="JOO3" i="7"/>
  <c r="JOP3" i="7"/>
  <c r="JOQ3" i="7"/>
  <c r="JOR3" i="7"/>
  <c r="JOS3" i="7"/>
  <c r="JOT3" i="7"/>
  <c r="JOU3" i="7"/>
  <c r="JOV3" i="7"/>
  <c r="JOW3" i="7"/>
  <c r="JOX3" i="7"/>
  <c r="JOY3" i="7"/>
  <c r="JOZ3" i="7"/>
  <c r="JPA3" i="7"/>
  <c r="JPB3" i="7"/>
  <c r="JPC3" i="7"/>
  <c r="JPD3" i="7"/>
  <c r="JPE3" i="7"/>
  <c r="JPF3" i="7"/>
  <c r="JPG3" i="7"/>
  <c r="JPH3" i="7"/>
  <c r="JPI3" i="7"/>
  <c r="JPJ3" i="7"/>
  <c r="JPK3" i="7"/>
  <c r="JPL3" i="7"/>
  <c r="JPM3" i="7"/>
  <c r="JPN3" i="7"/>
  <c r="JPO3" i="7"/>
  <c r="JPP3" i="7"/>
  <c r="JPQ3" i="7"/>
  <c r="JPR3" i="7"/>
  <c r="JPS3" i="7"/>
  <c r="JPT3" i="7"/>
  <c r="JPU3" i="7"/>
  <c r="JPV3" i="7"/>
  <c r="JPW3" i="7"/>
  <c r="JPX3" i="7"/>
  <c r="JPY3" i="7"/>
  <c r="JPZ3" i="7"/>
  <c r="JQA3" i="7"/>
  <c r="JQB3" i="7"/>
  <c r="JQC3" i="7"/>
  <c r="JQD3" i="7"/>
  <c r="JQE3" i="7"/>
  <c r="JQF3" i="7"/>
  <c r="JQG3" i="7"/>
  <c r="JQH3" i="7"/>
  <c r="JQI3" i="7"/>
  <c r="JQJ3" i="7"/>
  <c r="JQK3" i="7"/>
  <c r="JQL3" i="7"/>
  <c r="JQM3" i="7"/>
  <c r="JQN3" i="7"/>
  <c r="JQO3" i="7"/>
  <c r="JQP3" i="7"/>
  <c r="JQQ3" i="7"/>
  <c r="JQR3" i="7"/>
  <c r="JQS3" i="7"/>
  <c r="JQT3" i="7"/>
  <c r="JQU3" i="7"/>
  <c r="JQV3" i="7"/>
  <c r="JQW3" i="7"/>
  <c r="JQX3" i="7"/>
  <c r="JQY3" i="7"/>
  <c r="JQZ3" i="7"/>
  <c r="JRA3" i="7"/>
  <c r="JRB3" i="7"/>
  <c r="JRC3" i="7"/>
  <c r="JRD3" i="7"/>
  <c r="JRE3" i="7"/>
  <c r="JRF3" i="7"/>
  <c r="JRG3" i="7"/>
  <c r="JRH3" i="7"/>
  <c r="JRI3" i="7"/>
  <c r="JRJ3" i="7"/>
  <c r="JRK3" i="7"/>
  <c r="JRL3" i="7"/>
  <c r="JRM3" i="7"/>
  <c r="JRN3" i="7"/>
  <c r="JRO3" i="7"/>
  <c r="JRP3" i="7"/>
  <c r="JRQ3" i="7"/>
  <c r="JRR3" i="7"/>
  <c r="JRS3" i="7"/>
  <c r="JRT3" i="7"/>
  <c r="JRU3" i="7"/>
  <c r="JRV3" i="7"/>
  <c r="JRW3" i="7"/>
  <c r="JRX3" i="7"/>
  <c r="JRY3" i="7"/>
  <c r="JRZ3" i="7"/>
  <c r="JSA3" i="7"/>
  <c r="JSB3" i="7"/>
  <c r="JSC3" i="7"/>
  <c r="JSD3" i="7"/>
  <c r="JSE3" i="7"/>
  <c r="JSF3" i="7"/>
  <c r="JSG3" i="7"/>
  <c r="JSH3" i="7"/>
  <c r="JSI3" i="7"/>
  <c r="JSJ3" i="7"/>
  <c r="JSK3" i="7"/>
  <c r="JSL3" i="7"/>
  <c r="JSM3" i="7"/>
  <c r="JSN3" i="7"/>
  <c r="JSO3" i="7"/>
  <c r="JSP3" i="7"/>
  <c r="JSQ3" i="7"/>
  <c r="JSR3" i="7"/>
  <c r="JSS3" i="7"/>
  <c r="JST3" i="7"/>
  <c r="JSU3" i="7"/>
  <c r="JSV3" i="7"/>
  <c r="JSW3" i="7"/>
  <c r="JSX3" i="7"/>
  <c r="JSY3" i="7"/>
  <c r="JSZ3" i="7"/>
  <c r="JTA3" i="7"/>
  <c r="JTB3" i="7"/>
  <c r="JTC3" i="7"/>
  <c r="JTD3" i="7"/>
  <c r="JTE3" i="7"/>
  <c r="JTF3" i="7"/>
  <c r="JTG3" i="7"/>
  <c r="JTH3" i="7"/>
  <c r="JTI3" i="7"/>
  <c r="JTJ3" i="7"/>
  <c r="JTK3" i="7"/>
  <c r="JTL3" i="7"/>
  <c r="JTM3" i="7"/>
  <c r="JTN3" i="7"/>
  <c r="JTO3" i="7"/>
  <c r="JTP3" i="7"/>
  <c r="JTQ3" i="7"/>
  <c r="JTR3" i="7"/>
  <c r="JTS3" i="7"/>
  <c r="JTT3" i="7"/>
  <c r="JTU3" i="7"/>
  <c r="JTV3" i="7"/>
  <c r="JTW3" i="7"/>
  <c r="JTX3" i="7"/>
  <c r="JTY3" i="7"/>
  <c r="JTZ3" i="7"/>
  <c r="JUA3" i="7"/>
  <c r="JUB3" i="7"/>
  <c r="JUC3" i="7"/>
  <c r="JUD3" i="7"/>
  <c r="JUE3" i="7"/>
  <c r="JUF3" i="7"/>
  <c r="JUG3" i="7"/>
  <c r="JUH3" i="7"/>
  <c r="JUI3" i="7"/>
  <c r="JUJ3" i="7"/>
  <c r="JUK3" i="7"/>
  <c r="JUL3" i="7"/>
  <c r="JUM3" i="7"/>
  <c r="JUN3" i="7"/>
  <c r="JUO3" i="7"/>
  <c r="JUP3" i="7"/>
  <c r="JUQ3" i="7"/>
  <c r="JUR3" i="7"/>
  <c r="JUS3" i="7"/>
  <c r="JUT3" i="7"/>
  <c r="JUU3" i="7"/>
  <c r="JUV3" i="7"/>
  <c r="JUW3" i="7"/>
  <c r="JUX3" i="7"/>
  <c r="JUY3" i="7"/>
  <c r="JUZ3" i="7"/>
  <c r="JVA3" i="7"/>
  <c r="JVB3" i="7"/>
  <c r="JVC3" i="7"/>
  <c r="JVD3" i="7"/>
  <c r="JVE3" i="7"/>
  <c r="JVF3" i="7"/>
  <c r="JVG3" i="7"/>
  <c r="JVH3" i="7"/>
  <c r="JVI3" i="7"/>
  <c r="JVJ3" i="7"/>
  <c r="JVK3" i="7"/>
  <c r="JVL3" i="7"/>
  <c r="JVM3" i="7"/>
  <c r="JVN3" i="7"/>
  <c r="JVO3" i="7"/>
  <c r="JVP3" i="7"/>
  <c r="JVQ3" i="7"/>
  <c r="JVR3" i="7"/>
  <c r="JVS3" i="7"/>
  <c r="JVT3" i="7"/>
  <c r="JVU3" i="7"/>
  <c r="JVV3" i="7"/>
  <c r="JVW3" i="7"/>
  <c r="JVX3" i="7"/>
  <c r="JVY3" i="7"/>
  <c r="JVZ3" i="7"/>
  <c r="JWA3" i="7"/>
  <c r="JWB3" i="7"/>
  <c r="JWC3" i="7"/>
  <c r="JWD3" i="7"/>
  <c r="JWE3" i="7"/>
  <c r="JWF3" i="7"/>
  <c r="JWG3" i="7"/>
  <c r="JWH3" i="7"/>
  <c r="JWI3" i="7"/>
  <c r="JWJ3" i="7"/>
  <c r="JWK3" i="7"/>
  <c r="JWL3" i="7"/>
  <c r="JWM3" i="7"/>
  <c r="JWN3" i="7"/>
  <c r="JWO3" i="7"/>
  <c r="JWP3" i="7"/>
  <c r="JWQ3" i="7"/>
  <c r="JWR3" i="7"/>
  <c r="JWS3" i="7"/>
  <c r="JWT3" i="7"/>
  <c r="JWU3" i="7"/>
  <c r="JWV3" i="7"/>
  <c r="JWW3" i="7"/>
  <c r="JWX3" i="7"/>
  <c r="JWY3" i="7"/>
  <c r="JWZ3" i="7"/>
  <c r="JXA3" i="7"/>
  <c r="JXB3" i="7"/>
  <c r="JXC3" i="7"/>
  <c r="JXD3" i="7"/>
  <c r="JXE3" i="7"/>
  <c r="JXF3" i="7"/>
  <c r="JXG3" i="7"/>
  <c r="JXH3" i="7"/>
  <c r="JXI3" i="7"/>
  <c r="JXJ3" i="7"/>
  <c r="JXK3" i="7"/>
  <c r="JXL3" i="7"/>
  <c r="JXM3" i="7"/>
  <c r="JXN3" i="7"/>
  <c r="JXO3" i="7"/>
  <c r="JXP3" i="7"/>
  <c r="JXQ3" i="7"/>
  <c r="JXR3" i="7"/>
  <c r="JXS3" i="7"/>
  <c r="JXT3" i="7"/>
  <c r="JXU3" i="7"/>
  <c r="JXV3" i="7"/>
  <c r="JXW3" i="7"/>
  <c r="JXX3" i="7"/>
  <c r="JXY3" i="7"/>
  <c r="JXZ3" i="7"/>
  <c r="JYA3" i="7"/>
  <c r="JYB3" i="7"/>
  <c r="JYC3" i="7"/>
  <c r="JYD3" i="7"/>
  <c r="JYE3" i="7"/>
  <c r="JYF3" i="7"/>
  <c r="JYG3" i="7"/>
  <c r="JYH3" i="7"/>
  <c r="JYI3" i="7"/>
  <c r="JYJ3" i="7"/>
  <c r="JYK3" i="7"/>
  <c r="JYL3" i="7"/>
  <c r="JYM3" i="7"/>
  <c r="JYN3" i="7"/>
  <c r="JYO3" i="7"/>
  <c r="JYP3" i="7"/>
  <c r="JYQ3" i="7"/>
  <c r="JYR3" i="7"/>
  <c r="JYS3" i="7"/>
  <c r="JYT3" i="7"/>
  <c r="JYU3" i="7"/>
  <c r="JYV3" i="7"/>
  <c r="JYW3" i="7"/>
  <c r="JYX3" i="7"/>
  <c r="JYY3" i="7"/>
  <c r="JYZ3" i="7"/>
  <c r="JZA3" i="7"/>
  <c r="JZB3" i="7"/>
  <c r="JZC3" i="7"/>
  <c r="JZD3" i="7"/>
  <c r="JZE3" i="7"/>
  <c r="JZF3" i="7"/>
  <c r="JZG3" i="7"/>
  <c r="JZH3" i="7"/>
  <c r="JZI3" i="7"/>
  <c r="JZJ3" i="7"/>
  <c r="JZK3" i="7"/>
  <c r="JZL3" i="7"/>
  <c r="JZM3" i="7"/>
  <c r="JZN3" i="7"/>
  <c r="JZO3" i="7"/>
  <c r="JZP3" i="7"/>
  <c r="JZQ3" i="7"/>
  <c r="JZR3" i="7"/>
  <c r="JZS3" i="7"/>
  <c r="JZT3" i="7"/>
  <c r="JZU3" i="7"/>
  <c r="JZV3" i="7"/>
  <c r="JZW3" i="7"/>
  <c r="JZX3" i="7"/>
  <c r="JZY3" i="7"/>
  <c r="JZZ3" i="7"/>
  <c r="KAA3" i="7"/>
  <c r="KAB3" i="7"/>
  <c r="KAC3" i="7"/>
  <c r="KAD3" i="7"/>
  <c r="KAE3" i="7"/>
  <c r="KAF3" i="7"/>
  <c r="KAG3" i="7"/>
  <c r="KAH3" i="7"/>
  <c r="KAI3" i="7"/>
  <c r="KAJ3" i="7"/>
  <c r="KAK3" i="7"/>
  <c r="KAL3" i="7"/>
  <c r="KAM3" i="7"/>
  <c r="KAN3" i="7"/>
  <c r="KAO3" i="7"/>
  <c r="KAP3" i="7"/>
  <c r="KAQ3" i="7"/>
  <c r="KAR3" i="7"/>
  <c r="KAS3" i="7"/>
  <c r="KAT3" i="7"/>
  <c r="KAU3" i="7"/>
  <c r="KAV3" i="7"/>
  <c r="KAW3" i="7"/>
  <c r="KAX3" i="7"/>
  <c r="KAY3" i="7"/>
  <c r="KAZ3" i="7"/>
  <c r="KBA3" i="7"/>
  <c r="KBB3" i="7"/>
  <c r="KBC3" i="7"/>
  <c r="KBD3" i="7"/>
  <c r="KBE3" i="7"/>
  <c r="KBF3" i="7"/>
  <c r="KBG3" i="7"/>
  <c r="KBH3" i="7"/>
  <c r="KBI3" i="7"/>
  <c r="KBJ3" i="7"/>
  <c r="KBK3" i="7"/>
  <c r="KBL3" i="7"/>
  <c r="KBM3" i="7"/>
  <c r="KBN3" i="7"/>
  <c r="KBO3" i="7"/>
  <c r="KBP3" i="7"/>
  <c r="KBQ3" i="7"/>
  <c r="KBR3" i="7"/>
  <c r="KBS3" i="7"/>
  <c r="KBT3" i="7"/>
  <c r="KBU3" i="7"/>
  <c r="KBV3" i="7"/>
  <c r="KBW3" i="7"/>
  <c r="KBX3" i="7"/>
  <c r="KBY3" i="7"/>
  <c r="KBZ3" i="7"/>
  <c r="KCA3" i="7"/>
  <c r="KCB3" i="7"/>
  <c r="KCC3" i="7"/>
  <c r="KCD3" i="7"/>
  <c r="KCE3" i="7"/>
  <c r="KCF3" i="7"/>
  <c r="KCG3" i="7"/>
  <c r="KCH3" i="7"/>
  <c r="KCI3" i="7"/>
  <c r="KCJ3" i="7"/>
  <c r="KCK3" i="7"/>
  <c r="KCL3" i="7"/>
  <c r="KCM3" i="7"/>
  <c r="KCN3" i="7"/>
  <c r="KCO3" i="7"/>
  <c r="KCP3" i="7"/>
  <c r="KCQ3" i="7"/>
  <c r="KCR3" i="7"/>
  <c r="KCS3" i="7"/>
  <c r="KCT3" i="7"/>
  <c r="KCU3" i="7"/>
  <c r="KCV3" i="7"/>
  <c r="KCW3" i="7"/>
  <c r="KCX3" i="7"/>
  <c r="KCY3" i="7"/>
  <c r="KCZ3" i="7"/>
  <c r="KDA3" i="7"/>
  <c r="KDB3" i="7"/>
  <c r="KDC3" i="7"/>
  <c r="KDD3" i="7"/>
  <c r="KDE3" i="7"/>
  <c r="KDF3" i="7"/>
  <c r="KDG3" i="7"/>
  <c r="KDH3" i="7"/>
  <c r="KDI3" i="7"/>
  <c r="KDJ3" i="7"/>
  <c r="KDK3" i="7"/>
  <c r="KDL3" i="7"/>
  <c r="KDM3" i="7"/>
  <c r="KDN3" i="7"/>
  <c r="KDO3" i="7"/>
  <c r="KDP3" i="7"/>
  <c r="KDQ3" i="7"/>
  <c r="KDR3" i="7"/>
  <c r="KDS3" i="7"/>
  <c r="KDT3" i="7"/>
  <c r="KDU3" i="7"/>
  <c r="KDV3" i="7"/>
  <c r="KDW3" i="7"/>
  <c r="KDX3" i="7"/>
  <c r="KDY3" i="7"/>
  <c r="KDZ3" i="7"/>
  <c r="KEA3" i="7"/>
  <c r="KEB3" i="7"/>
  <c r="KEC3" i="7"/>
  <c r="KED3" i="7"/>
  <c r="KEE3" i="7"/>
  <c r="KEF3" i="7"/>
  <c r="KEG3" i="7"/>
  <c r="KEH3" i="7"/>
  <c r="KEI3" i="7"/>
  <c r="KEJ3" i="7"/>
  <c r="KEK3" i="7"/>
  <c r="KEL3" i="7"/>
  <c r="KEM3" i="7"/>
  <c r="KEN3" i="7"/>
  <c r="KEO3" i="7"/>
  <c r="KEP3" i="7"/>
  <c r="KEQ3" i="7"/>
  <c r="KER3" i="7"/>
  <c r="KES3" i="7"/>
  <c r="KET3" i="7"/>
  <c r="KEU3" i="7"/>
  <c r="KEV3" i="7"/>
  <c r="KEW3" i="7"/>
  <c r="KEX3" i="7"/>
  <c r="KEY3" i="7"/>
  <c r="KEZ3" i="7"/>
  <c r="KFA3" i="7"/>
  <c r="KFB3" i="7"/>
  <c r="KFC3" i="7"/>
  <c r="KFD3" i="7"/>
  <c r="KFE3" i="7"/>
  <c r="KFF3" i="7"/>
  <c r="KFG3" i="7"/>
  <c r="KFH3" i="7"/>
  <c r="KFI3" i="7"/>
  <c r="KFJ3" i="7"/>
  <c r="KFK3" i="7"/>
  <c r="KFL3" i="7"/>
  <c r="KFM3" i="7"/>
  <c r="KFN3" i="7"/>
  <c r="KFO3" i="7"/>
  <c r="KFP3" i="7"/>
  <c r="KFQ3" i="7"/>
  <c r="KFR3" i="7"/>
  <c r="KFS3" i="7"/>
  <c r="KFT3" i="7"/>
  <c r="KFU3" i="7"/>
  <c r="KFV3" i="7"/>
  <c r="KFW3" i="7"/>
  <c r="KFX3" i="7"/>
  <c r="KFY3" i="7"/>
  <c r="KFZ3" i="7"/>
  <c r="KGA3" i="7"/>
  <c r="KGB3" i="7"/>
  <c r="KGC3" i="7"/>
  <c r="KGD3" i="7"/>
  <c r="KGE3" i="7"/>
  <c r="KGF3" i="7"/>
  <c r="KGG3" i="7"/>
  <c r="KGH3" i="7"/>
  <c r="KGI3" i="7"/>
  <c r="KGJ3" i="7"/>
  <c r="KGK3" i="7"/>
  <c r="KGL3" i="7"/>
  <c r="KGM3" i="7"/>
  <c r="KGN3" i="7"/>
  <c r="KGO3" i="7"/>
  <c r="KGP3" i="7"/>
  <c r="KGQ3" i="7"/>
  <c r="KGR3" i="7"/>
  <c r="KGS3" i="7"/>
  <c r="KGT3" i="7"/>
  <c r="KGU3" i="7"/>
  <c r="KGV3" i="7"/>
  <c r="KGW3" i="7"/>
  <c r="KGX3" i="7"/>
  <c r="KGY3" i="7"/>
  <c r="KGZ3" i="7"/>
  <c r="KHA3" i="7"/>
  <c r="KHB3" i="7"/>
  <c r="KHC3" i="7"/>
  <c r="KHD3" i="7"/>
  <c r="KHE3" i="7"/>
  <c r="KHF3" i="7"/>
  <c r="KHG3" i="7"/>
  <c r="KHH3" i="7"/>
  <c r="KHI3" i="7"/>
  <c r="KHJ3" i="7"/>
  <c r="KHK3" i="7"/>
  <c r="KHL3" i="7"/>
  <c r="KHM3" i="7"/>
  <c r="KHN3" i="7"/>
  <c r="KHO3" i="7"/>
  <c r="KHP3" i="7"/>
  <c r="KHQ3" i="7"/>
  <c r="KHR3" i="7"/>
  <c r="KHS3" i="7"/>
  <c r="KHT3" i="7"/>
  <c r="KHU3" i="7"/>
  <c r="KHV3" i="7"/>
  <c r="KHW3" i="7"/>
  <c r="KHX3" i="7"/>
  <c r="KHY3" i="7"/>
  <c r="KHZ3" i="7"/>
  <c r="KIA3" i="7"/>
  <c r="KIB3" i="7"/>
  <c r="KIC3" i="7"/>
  <c r="KID3" i="7"/>
  <c r="KIE3" i="7"/>
  <c r="KIF3" i="7"/>
  <c r="KIG3" i="7"/>
  <c r="KIH3" i="7"/>
  <c r="KII3" i="7"/>
  <c r="KIJ3" i="7"/>
  <c r="KIK3" i="7"/>
  <c r="KIL3" i="7"/>
  <c r="KIM3" i="7"/>
  <c r="KIN3" i="7"/>
  <c r="KIO3" i="7"/>
  <c r="KIP3" i="7"/>
  <c r="KIQ3" i="7"/>
  <c r="KIR3" i="7"/>
  <c r="KIS3" i="7"/>
  <c r="KIT3" i="7"/>
  <c r="KIU3" i="7"/>
  <c r="KIV3" i="7"/>
  <c r="KIW3" i="7"/>
  <c r="KIX3" i="7"/>
  <c r="KIY3" i="7"/>
  <c r="KIZ3" i="7"/>
  <c r="KJA3" i="7"/>
  <c r="KJB3" i="7"/>
  <c r="KJC3" i="7"/>
  <c r="KJD3" i="7"/>
  <c r="KJE3" i="7"/>
  <c r="KJF3" i="7"/>
  <c r="KJG3" i="7"/>
  <c r="KJH3" i="7"/>
  <c r="KJI3" i="7"/>
  <c r="KJJ3" i="7"/>
  <c r="KJK3" i="7"/>
  <c r="KJL3" i="7"/>
  <c r="KJM3" i="7"/>
  <c r="KJN3" i="7"/>
  <c r="KJO3" i="7"/>
  <c r="KJP3" i="7"/>
  <c r="KJQ3" i="7"/>
  <c r="KJR3" i="7"/>
  <c r="KJS3" i="7"/>
  <c r="KJT3" i="7"/>
  <c r="KJU3" i="7"/>
  <c r="KJV3" i="7"/>
  <c r="KJW3" i="7"/>
  <c r="KJX3" i="7"/>
  <c r="KJY3" i="7"/>
  <c r="KJZ3" i="7"/>
  <c r="KKA3" i="7"/>
  <c r="KKB3" i="7"/>
  <c r="KKC3" i="7"/>
  <c r="KKD3" i="7"/>
  <c r="KKE3" i="7"/>
  <c r="KKF3" i="7"/>
  <c r="KKG3" i="7"/>
  <c r="KKH3" i="7"/>
  <c r="KKI3" i="7"/>
  <c r="KKJ3" i="7"/>
  <c r="KKK3" i="7"/>
  <c r="KKL3" i="7"/>
  <c r="KKM3" i="7"/>
  <c r="KKN3" i="7"/>
  <c r="KKO3" i="7"/>
  <c r="KKP3" i="7"/>
  <c r="KKQ3" i="7"/>
  <c r="KKR3" i="7"/>
  <c r="KKS3" i="7"/>
  <c r="KKT3" i="7"/>
  <c r="KKU3" i="7"/>
  <c r="KKV3" i="7"/>
  <c r="KKW3" i="7"/>
  <c r="KKX3" i="7"/>
  <c r="KKY3" i="7"/>
  <c r="KKZ3" i="7"/>
  <c r="KLA3" i="7"/>
  <c r="KLB3" i="7"/>
  <c r="KLC3" i="7"/>
  <c r="KLD3" i="7"/>
  <c r="KLE3" i="7"/>
  <c r="KLF3" i="7"/>
  <c r="KLG3" i="7"/>
  <c r="KLH3" i="7"/>
  <c r="KLI3" i="7"/>
  <c r="KLJ3" i="7"/>
  <c r="KLK3" i="7"/>
  <c r="KLL3" i="7"/>
  <c r="KLM3" i="7"/>
  <c r="KLN3" i="7"/>
  <c r="KLO3" i="7"/>
  <c r="KLP3" i="7"/>
  <c r="KLQ3" i="7"/>
  <c r="KLR3" i="7"/>
  <c r="KLS3" i="7"/>
  <c r="KLT3" i="7"/>
  <c r="KLU3" i="7"/>
  <c r="KLV3" i="7"/>
  <c r="KLW3" i="7"/>
  <c r="KLX3" i="7"/>
  <c r="KLY3" i="7"/>
  <c r="KLZ3" i="7"/>
  <c r="KMA3" i="7"/>
  <c r="KMB3" i="7"/>
  <c r="KMC3" i="7"/>
  <c r="KMD3" i="7"/>
  <c r="KME3" i="7"/>
  <c r="KMF3" i="7"/>
  <c r="KMG3" i="7"/>
  <c r="KMH3" i="7"/>
  <c r="KMI3" i="7"/>
  <c r="KMJ3" i="7"/>
  <c r="KMK3" i="7"/>
  <c r="KML3" i="7"/>
  <c r="KMM3" i="7"/>
  <c r="KMN3" i="7"/>
  <c r="KMO3" i="7"/>
  <c r="KMP3" i="7"/>
  <c r="KMQ3" i="7"/>
  <c r="KMR3" i="7"/>
  <c r="KMS3" i="7"/>
  <c r="KMT3" i="7"/>
  <c r="KMU3" i="7"/>
  <c r="KMV3" i="7"/>
  <c r="KMW3" i="7"/>
  <c r="KMX3" i="7"/>
  <c r="KMY3" i="7"/>
  <c r="KMZ3" i="7"/>
  <c r="KNA3" i="7"/>
  <c r="KNB3" i="7"/>
  <c r="KNC3" i="7"/>
  <c r="KND3" i="7"/>
  <c r="KNE3" i="7"/>
  <c r="KNF3" i="7"/>
  <c r="KNG3" i="7"/>
  <c r="KNH3" i="7"/>
  <c r="KNI3" i="7"/>
  <c r="KNJ3" i="7"/>
  <c r="KNK3" i="7"/>
  <c r="KNL3" i="7"/>
  <c r="KNM3" i="7"/>
  <c r="KNN3" i="7"/>
  <c r="KNO3" i="7"/>
  <c r="KNP3" i="7"/>
  <c r="KNQ3" i="7"/>
  <c r="KNR3" i="7"/>
  <c r="KNS3" i="7"/>
  <c r="KNT3" i="7"/>
  <c r="KNU3" i="7"/>
  <c r="KNV3" i="7"/>
  <c r="KNW3" i="7"/>
  <c r="KNX3" i="7"/>
  <c r="KNY3" i="7"/>
  <c r="KNZ3" i="7"/>
  <c r="KOA3" i="7"/>
  <c r="KOB3" i="7"/>
  <c r="KOC3" i="7"/>
  <c r="KOD3" i="7"/>
  <c r="KOE3" i="7"/>
  <c r="KOF3" i="7"/>
  <c r="KOG3" i="7"/>
  <c r="KOH3" i="7"/>
  <c r="KOI3" i="7"/>
  <c r="KOJ3" i="7"/>
  <c r="KOK3" i="7"/>
  <c r="KOL3" i="7"/>
  <c r="KOM3" i="7"/>
  <c r="KON3" i="7"/>
  <c r="KOO3" i="7"/>
  <c r="KOP3" i="7"/>
  <c r="KOQ3" i="7"/>
  <c r="KOR3" i="7"/>
  <c r="KOS3" i="7"/>
  <c r="KOT3" i="7"/>
  <c r="KOU3" i="7"/>
  <c r="KOV3" i="7"/>
  <c r="KOW3" i="7"/>
  <c r="KOX3" i="7"/>
  <c r="KOY3" i="7"/>
  <c r="KOZ3" i="7"/>
  <c r="KPA3" i="7"/>
  <c r="KPB3" i="7"/>
  <c r="KPC3" i="7"/>
  <c r="KPD3" i="7"/>
  <c r="KPE3" i="7"/>
  <c r="KPF3" i="7"/>
  <c r="KPG3" i="7"/>
  <c r="KPH3" i="7"/>
  <c r="KPI3" i="7"/>
  <c r="KPJ3" i="7"/>
  <c r="KPK3" i="7"/>
  <c r="KPL3" i="7"/>
  <c r="KPM3" i="7"/>
  <c r="KPN3" i="7"/>
  <c r="KPO3" i="7"/>
  <c r="KPP3" i="7"/>
  <c r="KPQ3" i="7"/>
  <c r="KPR3" i="7"/>
  <c r="KPS3" i="7"/>
  <c r="KPT3" i="7"/>
  <c r="KPU3" i="7"/>
  <c r="KPV3" i="7"/>
  <c r="KPW3" i="7"/>
  <c r="KPX3" i="7"/>
  <c r="KPY3" i="7"/>
  <c r="KPZ3" i="7"/>
  <c r="KQA3" i="7"/>
  <c r="KQB3" i="7"/>
  <c r="KQC3" i="7"/>
  <c r="KQD3" i="7"/>
  <c r="KQE3" i="7"/>
  <c r="KQF3" i="7"/>
  <c r="KQG3" i="7"/>
  <c r="KQH3" i="7"/>
  <c r="KQI3" i="7"/>
  <c r="KQJ3" i="7"/>
  <c r="KQK3" i="7"/>
  <c r="KQL3" i="7"/>
  <c r="KQM3" i="7"/>
  <c r="KQN3" i="7"/>
  <c r="KQO3" i="7"/>
  <c r="KQP3" i="7"/>
  <c r="KQQ3" i="7"/>
  <c r="KQR3" i="7"/>
  <c r="KQS3" i="7"/>
  <c r="KQT3" i="7"/>
  <c r="KQU3" i="7"/>
  <c r="KQV3" i="7"/>
  <c r="KQW3" i="7"/>
  <c r="KQX3" i="7"/>
  <c r="KQY3" i="7"/>
  <c r="KQZ3" i="7"/>
  <c r="KRA3" i="7"/>
  <c r="KRB3" i="7"/>
  <c r="KRC3" i="7"/>
  <c r="KRD3" i="7"/>
  <c r="KRE3" i="7"/>
  <c r="KRF3" i="7"/>
  <c r="KRG3" i="7"/>
  <c r="KRH3" i="7"/>
  <c r="KRI3" i="7"/>
  <c r="KRJ3" i="7"/>
  <c r="KRK3" i="7"/>
  <c r="KRL3" i="7"/>
  <c r="KRM3" i="7"/>
  <c r="KRN3" i="7"/>
  <c r="KRO3" i="7"/>
  <c r="KRP3" i="7"/>
  <c r="KRQ3" i="7"/>
  <c r="KRR3" i="7"/>
  <c r="KRS3" i="7"/>
  <c r="KRT3" i="7"/>
  <c r="KRU3" i="7"/>
  <c r="KRV3" i="7"/>
  <c r="KRW3" i="7"/>
  <c r="KRX3" i="7"/>
  <c r="KRY3" i="7"/>
  <c r="KRZ3" i="7"/>
  <c r="KSA3" i="7"/>
  <c r="KSB3" i="7"/>
  <c r="KSC3" i="7"/>
  <c r="KSD3" i="7"/>
  <c r="KSE3" i="7"/>
  <c r="KSF3" i="7"/>
  <c r="KSG3" i="7"/>
  <c r="KSH3" i="7"/>
  <c r="KSI3" i="7"/>
  <c r="KSJ3" i="7"/>
  <c r="KSK3" i="7"/>
  <c r="KSL3" i="7"/>
  <c r="KSM3" i="7"/>
  <c r="KSN3" i="7"/>
  <c r="KSO3" i="7"/>
  <c r="KSP3" i="7"/>
  <c r="KSQ3" i="7"/>
  <c r="KSR3" i="7"/>
  <c r="KSS3" i="7"/>
  <c r="KST3" i="7"/>
  <c r="KSU3" i="7"/>
  <c r="KSV3" i="7"/>
  <c r="KSW3" i="7"/>
  <c r="KSX3" i="7"/>
  <c r="KSY3" i="7"/>
  <c r="KSZ3" i="7"/>
  <c r="KTA3" i="7"/>
  <c r="KTB3" i="7"/>
  <c r="KTC3" i="7"/>
  <c r="KTD3" i="7"/>
  <c r="KTE3" i="7"/>
  <c r="KTF3" i="7"/>
  <c r="KTG3" i="7"/>
  <c r="KTH3" i="7"/>
  <c r="KTI3" i="7"/>
  <c r="KTJ3" i="7"/>
  <c r="KTK3" i="7"/>
  <c r="KTL3" i="7"/>
  <c r="KTM3" i="7"/>
  <c r="KTN3" i="7"/>
  <c r="KTO3" i="7"/>
  <c r="KTP3" i="7"/>
  <c r="KTQ3" i="7"/>
  <c r="KTR3" i="7"/>
  <c r="KTS3" i="7"/>
  <c r="KTT3" i="7"/>
  <c r="KTU3" i="7"/>
  <c r="KTV3" i="7"/>
  <c r="KTW3" i="7"/>
  <c r="KTX3" i="7"/>
  <c r="KTY3" i="7"/>
  <c r="KTZ3" i="7"/>
  <c r="KUA3" i="7"/>
  <c r="KUB3" i="7"/>
  <c r="KUC3" i="7"/>
  <c r="KUD3" i="7"/>
  <c r="KUE3" i="7"/>
  <c r="KUF3" i="7"/>
  <c r="KUG3" i="7"/>
  <c r="KUH3" i="7"/>
  <c r="KUI3" i="7"/>
  <c r="KUJ3" i="7"/>
  <c r="KUK3" i="7"/>
  <c r="KUL3" i="7"/>
  <c r="KUM3" i="7"/>
  <c r="KUN3" i="7"/>
  <c r="KUO3" i="7"/>
  <c r="KUP3" i="7"/>
  <c r="KUQ3" i="7"/>
  <c r="KUR3" i="7"/>
  <c r="KUS3" i="7"/>
  <c r="KUT3" i="7"/>
  <c r="KUU3" i="7"/>
  <c r="KUV3" i="7"/>
  <c r="KUW3" i="7"/>
  <c r="KUX3" i="7"/>
  <c r="KUY3" i="7"/>
  <c r="KUZ3" i="7"/>
  <c r="KVA3" i="7"/>
  <c r="KVB3" i="7"/>
  <c r="KVC3" i="7"/>
  <c r="KVD3" i="7"/>
  <c r="KVE3" i="7"/>
  <c r="KVF3" i="7"/>
  <c r="KVG3" i="7"/>
  <c r="KVH3" i="7"/>
  <c r="KVI3" i="7"/>
  <c r="KVJ3" i="7"/>
  <c r="KVK3" i="7"/>
  <c r="KVL3" i="7"/>
  <c r="KVM3" i="7"/>
  <c r="KVN3" i="7"/>
  <c r="KVO3" i="7"/>
  <c r="KVP3" i="7"/>
  <c r="KVQ3" i="7"/>
  <c r="KVR3" i="7"/>
  <c r="KVS3" i="7"/>
  <c r="KVT3" i="7"/>
  <c r="KVU3" i="7"/>
  <c r="KVV3" i="7"/>
  <c r="KVW3" i="7"/>
  <c r="KVX3" i="7"/>
  <c r="KVY3" i="7"/>
  <c r="KVZ3" i="7"/>
  <c r="KWA3" i="7"/>
  <c r="KWB3" i="7"/>
  <c r="KWC3" i="7"/>
  <c r="KWD3" i="7"/>
  <c r="KWE3" i="7"/>
  <c r="KWF3" i="7"/>
  <c r="KWG3" i="7"/>
  <c r="KWH3" i="7"/>
  <c r="KWI3" i="7"/>
  <c r="KWJ3" i="7"/>
  <c r="KWK3" i="7"/>
  <c r="KWL3" i="7"/>
  <c r="KWM3" i="7"/>
  <c r="KWN3" i="7"/>
  <c r="KWO3" i="7"/>
  <c r="KWP3" i="7"/>
  <c r="KWQ3" i="7"/>
  <c r="KWR3" i="7"/>
  <c r="KWS3" i="7"/>
  <c r="KWT3" i="7"/>
  <c r="KWU3" i="7"/>
  <c r="KWV3" i="7"/>
  <c r="KWW3" i="7"/>
  <c r="KWX3" i="7"/>
  <c r="KWY3" i="7"/>
  <c r="KWZ3" i="7"/>
  <c r="KXA3" i="7"/>
  <c r="KXB3" i="7"/>
  <c r="KXC3" i="7"/>
  <c r="KXD3" i="7"/>
  <c r="KXE3" i="7"/>
  <c r="KXF3" i="7"/>
  <c r="KXG3" i="7"/>
  <c r="KXH3" i="7"/>
  <c r="KXI3" i="7"/>
  <c r="KXJ3" i="7"/>
  <c r="KXK3" i="7"/>
  <c r="KXL3" i="7"/>
  <c r="KXM3" i="7"/>
  <c r="KXN3" i="7"/>
  <c r="KXO3" i="7"/>
  <c r="KXP3" i="7"/>
  <c r="KXQ3" i="7"/>
  <c r="KXR3" i="7"/>
  <c r="KXS3" i="7"/>
  <c r="KXT3" i="7"/>
  <c r="KXU3" i="7"/>
  <c r="KXV3" i="7"/>
  <c r="KXW3" i="7"/>
  <c r="KXX3" i="7"/>
  <c r="KXY3" i="7"/>
  <c r="KXZ3" i="7"/>
  <c r="KYA3" i="7"/>
  <c r="KYB3" i="7"/>
  <c r="KYC3" i="7"/>
  <c r="KYD3" i="7"/>
  <c r="KYE3" i="7"/>
  <c r="KYF3" i="7"/>
  <c r="KYG3" i="7"/>
  <c r="KYH3" i="7"/>
  <c r="KYI3" i="7"/>
  <c r="KYJ3" i="7"/>
  <c r="KYK3" i="7"/>
  <c r="KYL3" i="7"/>
  <c r="KYM3" i="7"/>
  <c r="KYN3" i="7"/>
  <c r="KYO3" i="7"/>
  <c r="KYP3" i="7"/>
  <c r="KYQ3" i="7"/>
  <c r="KYR3" i="7"/>
  <c r="KYS3" i="7"/>
  <c r="KYT3" i="7"/>
  <c r="KYU3" i="7"/>
  <c r="KYV3" i="7"/>
  <c r="KYW3" i="7"/>
  <c r="KYX3" i="7"/>
  <c r="KYY3" i="7"/>
  <c r="KYZ3" i="7"/>
  <c r="KZA3" i="7"/>
  <c r="KZB3" i="7"/>
  <c r="KZC3" i="7"/>
  <c r="KZD3" i="7"/>
  <c r="KZE3" i="7"/>
  <c r="KZF3" i="7"/>
  <c r="KZG3" i="7"/>
  <c r="KZH3" i="7"/>
  <c r="KZI3" i="7"/>
  <c r="KZJ3" i="7"/>
  <c r="KZK3" i="7"/>
  <c r="KZL3" i="7"/>
  <c r="KZM3" i="7"/>
  <c r="KZN3" i="7"/>
  <c r="KZO3" i="7"/>
  <c r="KZP3" i="7"/>
  <c r="KZQ3" i="7"/>
  <c r="KZR3" i="7"/>
  <c r="KZS3" i="7"/>
  <c r="KZT3" i="7"/>
  <c r="KZU3" i="7"/>
  <c r="KZV3" i="7"/>
  <c r="KZW3" i="7"/>
  <c r="KZX3" i="7"/>
  <c r="KZY3" i="7"/>
  <c r="KZZ3" i="7"/>
  <c r="LAA3" i="7"/>
  <c r="LAB3" i="7"/>
  <c r="LAC3" i="7"/>
  <c r="LAD3" i="7"/>
  <c r="LAE3" i="7"/>
  <c r="LAF3" i="7"/>
  <c r="LAG3" i="7"/>
  <c r="LAH3" i="7"/>
  <c r="LAI3" i="7"/>
  <c r="LAJ3" i="7"/>
  <c r="LAK3" i="7"/>
  <c r="LAL3" i="7"/>
  <c r="LAM3" i="7"/>
  <c r="LAN3" i="7"/>
  <c r="LAO3" i="7"/>
  <c r="LAP3" i="7"/>
  <c r="LAQ3" i="7"/>
  <c r="LAR3" i="7"/>
  <c r="LAS3" i="7"/>
  <c r="LAT3" i="7"/>
  <c r="LAU3" i="7"/>
  <c r="LAV3" i="7"/>
  <c r="LAW3" i="7"/>
  <c r="LAX3" i="7"/>
  <c r="LAY3" i="7"/>
  <c r="LAZ3" i="7"/>
  <c r="LBA3" i="7"/>
  <c r="LBB3" i="7"/>
  <c r="LBC3" i="7"/>
  <c r="LBD3" i="7"/>
  <c r="LBE3" i="7"/>
  <c r="LBF3" i="7"/>
  <c r="LBG3" i="7"/>
  <c r="LBH3" i="7"/>
  <c r="LBI3" i="7"/>
  <c r="LBJ3" i="7"/>
  <c r="LBK3" i="7"/>
  <c r="LBL3" i="7"/>
  <c r="LBM3" i="7"/>
  <c r="LBN3" i="7"/>
  <c r="LBO3" i="7"/>
  <c r="LBP3" i="7"/>
  <c r="LBQ3" i="7"/>
  <c r="LBR3" i="7"/>
  <c r="LBS3" i="7"/>
  <c r="LBT3" i="7"/>
  <c r="LBU3" i="7"/>
  <c r="LBV3" i="7"/>
  <c r="LBW3" i="7"/>
  <c r="LBX3" i="7"/>
  <c r="LBY3" i="7"/>
  <c r="LBZ3" i="7"/>
  <c r="LCA3" i="7"/>
  <c r="LCB3" i="7"/>
  <c r="LCC3" i="7"/>
  <c r="LCD3" i="7"/>
  <c r="LCE3" i="7"/>
  <c r="LCF3" i="7"/>
  <c r="LCG3" i="7"/>
  <c r="LCH3" i="7"/>
  <c r="LCI3" i="7"/>
  <c r="LCJ3" i="7"/>
  <c r="LCK3" i="7"/>
  <c r="LCL3" i="7"/>
  <c r="LCM3" i="7"/>
  <c r="LCN3" i="7"/>
  <c r="LCO3" i="7"/>
  <c r="LCP3" i="7"/>
  <c r="LCQ3" i="7"/>
  <c r="LCR3" i="7"/>
  <c r="LCS3" i="7"/>
  <c r="LCT3" i="7"/>
  <c r="LCU3" i="7"/>
  <c r="LCV3" i="7"/>
  <c r="LCW3" i="7"/>
  <c r="LCX3" i="7"/>
  <c r="LCY3" i="7"/>
  <c r="LCZ3" i="7"/>
  <c r="LDA3" i="7"/>
  <c r="LDB3" i="7"/>
  <c r="LDC3" i="7"/>
  <c r="LDD3" i="7"/>
  <c r="LDE3" i="7"/>
  <c r="LDF3" i="7"/>
  <c r="LDG3" i="7"/>
  <c r="LDH3" i="7"/>
  <c r="LDI3" i="7"/>
  <c r="LDJ3" i="7"/>
  <c r="LDK3" i="7"/>
  <c r="LDL3" i="7"/>
  <c r="LDM3" i="7"/>
  <c r="LDN3" i="7"/>
  <c r="LDO3" i="7"/>
  <c r="LDP3" i="7"/>
  <c r="LDQ3" i="7"/>
  <c r="LDR3" i="7"/>
  <c r="LDS3" i="7"/>
  <c r="LDT3" i="7"/>
  <c r="LDU3" i="7"/>
  <c r="LDV3" i="7"/>
  <c r="LDW3" i="7"/>
  <c r="LDX3" i="7"/>
  <c r="LDY3" i="7"/>
  <c r="LDZ3" i="7"/>
  <c r="LEA3" i="7"/>
  <c r="LEB3" i="7"/>
  <c r="LEC3" i="7"/>
  <c r="LED3" i="7"/>
  <c r="LEE3" i="7"/>
  <c r="LEF3" i="7"/>
  <c r="LEG3" i="7"/>
  <c r="LEH3" i="7"/>
  <c r="LEI3" i="7"/>
  <c r="LEJ3" i="7"/>
  <c r="LEK3" i="7"/>
  <c r="LEL3" i="7"/>
  <c r="LEM3" i="7"/>
  <c r="LEN3" i="7"/>
  <c r="LEO3" i="7"/>
  <c r="LEP3" i="7"/>
  <c r="LEQ3" i="7"/>
  <c r="LER3" i="7"/>
  <c r="LES3" i="7"/>
  <c r="LET3" i="7"/>
  <c r="LEU3" i="7"/>
  <c r="LEV3" i="7"/>
  <c r="LEW3" i="7"/>
  <c r="LEX3" i="7"/>
  <c r="LEY3" i="7"/>
  <c r="LEZ3" i="7"/>
  <c r="LFA3" i="7"/>
  <c r="LFB3" i="7"/>
  <c r="LFC3" i="7"/>
  <c r="LFD3" i="7"/>
  <c r="LFE3" i="7"/>
  <c r="LFF3" i="7"/>
  <c r="LFG3" i="7"/>
  <c r="LFH3" i="7"/>
  <c r="LFI3" i="7"/>
  <c r="LFJ3" i="7"/>
  <c r="LFK3" i="7"/>
  <c r="LFL3" i="7"/>
  <c r="LFM3" i="7"/>
  <c r="LFN3" i="7"/>
  <c r="LFO3" i="7"/>
  <c r="LFP3" i="7"/>
  <c r="LFQ3" i="7"/>
  <c r="LFR3" i="7"/>
  <c r="LFS3" i="7"/>
  <c r="LFT3" i="7"/>
  <c r="LFU3" i="7"/>
  <c r="LFV3" i="7"/>
  <c r="LFW3" i="7"/>
  <c r="LFX3" i="7"/>
  <c r="LFY3" i="7"/>
  <c r="LFZ3" i="7"/>
  <c r="LGA3" i="7"/>
  <c r="LGB3" i="7"/>
  <c r="LGC3" i="7"/>
  <c r="LGD3" i="7"/>
  <c r="LGE3" i="7"/>
  <c r="LGF3" i="7"/>
  <c r="LGG3" i="7"/>
  <c r="LGH3" i="7"/>
  <c r="LGI3" i="7"/>
  <c r="LGJ3" i="7"/>
  <c r="LGK3" i="7"/>
  <c r="LGL3" i="7"/>
  <c r="LGM3" i="7"/>
  <c r="LGN3" i="7"/>
  <c r="LGO3" i="7"/>
  <c r="LGP3" i="7"/>
  <c r="LGQ3" i="7"/>
  <c r="LGR3" i="7"/>
  <c r="LGS3" i="7"/>
  <c r="LGT3" i="7"/>
  <c r="LGU3" i="7"/>
  <c r="LGV3" i="7"/>
  <c r="LGW3" i="7"/>
  <c r="LGX3" i="7"/>
  <c r="LGY3" i="7"/>
  <c r="LGZ3" i="7"/>
  <c r="LHA3" i="7"/>
  <c r="LHB3" i="7"/>
  <c r="LHC3" i="7"/>
  <c r="LHD3" i="7"/>
  <c r="LHE3" i="7"/>
  <c r="LHF3" i="7"/>
  <c r="LHG3" i="7"/>
  <c r="LHH3" i="7"/>
  <c r="LHI3" i="7"/>
  <c r="LHJ3" i="7"/>
  <c r="LHK3" i="7"/>
  <c r="LHL3" i="7"/>
  <c r="LHM3" i="7"/>
  <c r="LHN3" i="7"/>
  <c r="LHO3" i="7"/>
  <c r="LHP3" i="7"/>
  <c r="LHQ3" i="7"/>
  <c r="LHR3" i="7"/>
  <c r="LHS3" i="7"/>
  <c r="LHT3" i="7"/>
  <c r="LHU3" i="7"/>
  <c r="LHV3" i="7"/>
  <c r="LHW3" i="7"/>
  <c r="LHX3" i="7"/>
  <c r="LHY3" i="7"/>
  <c r="LHZ3" i="7"/>
  <c r="LIA3" i="7"/>
  <c r="LIB3" i="7"/>
  <c r="LIC3" i="7"/>
  <c r="LID3" i="7"/>
  <c r="LIE3" i="7"/>
  <c r="LIF3" i="7"/>
  <c r="LIG3" i="7"/>
  <c r="LIH3" i="7"/>
  <c r="LII3" i="7"/>
  <c r="LIJ3" i="7"/>
  <c r="LIK3" i="7"/>
  <c r="LIL3" i="7"/>
  <c r="LIM3" i="7"/>
  <c r="LIN3" i="7"/>
  <c r="LIO3" i="7"/>
  <c r="LIP3" i="7"/>
  <c r="LIQ3" i="7"/>
  <c r="LIR3" i="7"/>
  <c r="LIS3" i="7"/>
  <c r="LIT3" i="7"/>
  <c r="LIU3" i="7"/>
  <c r="LIV3" i="7"/>
  <c r="LIW3" i="7"/>
  <c r="LIX3" i="7"/>
  <c r="LIY3" i="7"/>
  <c r="LIZ3" i="7"/>
  <c r="LJA3" i="7"/>
  <c r="LJB3" i="7"/>
  <c r="LJC3" i="7"/>
  <c r="LJD3" i="7"/>
  <c r="LJE3" i="7"/>
  <c r="LJF3" i="7"/>
  <c r="LJG3" i="7"/>
  <c r="LJH3" i="7"/>
  <c r="LJI3" i="7"/>
  <c r="LJJ3" i="7"/>
  <c r="LJK3" i="7"/>
  <c r="LJL3" i="7"/>
  <c r="LJM3" i="7"/>
  <c r="LJN3" i="7"/>
  <c r="LJO3" i="7"/>
  <c r="LJP3" i="7"/>
  <c r="LJQ3" i="7"/>
  <c r="LJR3" i="7"/>
  <c r="LJS3" i="7"/>
  <c r="LJT3" i="7"/>
  <c r="LJU3" i="7"/>
  <c r="LJV3" i="7"/>
  <c r="LJW3" i="7"/>
  <c r="LJX3" i="7"/>
  <c r="LJY3" i="7"/>
  <c r="LJZ3" i="7"/>
  <c r="LKA3" i="7"/>
  <c r="LKB3" i="7"/>
  <c r="LKC3" i="7"/>
  <c r="LKD3" i="7"/>
  <c r="LKE3" i="7"/>
  <c r="LKF3" i="7"/>
  <c r="LKG3" i="7"/>
  <c r="LKH3" i="7"/>
  <c r="LKI3" i="7"/>
  <c r="LKJ3" i="7"/>
  <c r="LKK3" i="7"/>
  <c r="LKL3" i="7"/>
  <c r="LKM3" i="7"/>
  <c r="LKN3" i="7"/>
  <c r="LKO3" i="7"/>
  <c r="LKP3" i="7"/>
  <c r="LKQ3" i="7"/>
  <c r="LKR3" i="7"/>
  <c r="LKS3" i="7"/>
  <c r="LKT3" i="7"/>
  <c r="LKU3" i="7"/>
  <c r="LKV3" i="7"/>
  <c r="LKW3" i="7"/>
  <c r="LKX3" i="7"/>
  <c r="LKY3" i="7"/>
  <c r="LKZ3" i="7"/>
  <c r="LLA3" i="7"/>
  <c r="LLB3" i="7"/>
  <c r="LLC3" i="7"/>
  <c r="LLD3" i="7"/>
  <c r="LLE3" i="7"/>
  <c r="LLF3" i="7"/>
  <c r="LLG3" i="7"/>
  <c r="LLH3" i="7"/>
  <c r="LLI3" i="7"/>
  <c r="LLJ3" i="7"/>
  <c r="LLK3" i="7"/>
  <c r="LLL3" i="7"/>
  <c r="LLM3" i="7"/>
  <c r="LLN3" i="7"/>
  <c r="LLO3" i="7"/>
  <c r="LLP3" i="7"/>
  <c r="LLQ3" i="7"/>
  <c r="LLR3" i="7"/>
  <c r="LLS3" i="7"/>
  <c r="LLT3" i="7"/>
  <c r="LLU3" i="7"/>
  <c r="LLV3" i="7"/>
  <c r="LLW3" i="7"/>
  <c r="LLX3" i="7"/>
  <c r="LLY3" i="7"/>
  <c r="LLZ3" i="7"/>
  <c r="LMA3" i="7"/>
  <c r="LMB3" i="7"/>
  <c r="LMC3" i="7"/>
  <c r="LMD3" i="7"/>
  <c r="LME3" i="7"/>
  <c r="LMF3" i="7"/>
  <c r="LMG3" i="7"/>
  <c r="LMH3" i="7"/>
  <c r="LMI3" i="7"/>
  <c r="LMJ3" i="7"/>
  <c r="LMK3" i="7"/>
  <c r="LML3" i="7"/>
  <c r="LMM3" i="7"/>
  <c r="LMN3" i="7"/>
  <c r="LMO3" i="7"/>
  <c r="LMP3" i="7"/>
  <c r="LMQ3" i="7"/>
  <c r="LMR3" i="7"/>
  <c r="LMS3" i="7"/>
  <c r="LMT3" i="7"/>
  <c r="LMU3" i="7"/>
  <c r="LMV3" i="7"/>
  <c r="LMW3" i="7"/>
  <c r="LMX3" i="7"/>
  <c r="LMY3" i="7"/>
  <c r="LMZ3" i="7"/>
  <c r="LNA3" i="7"/>
  <c r="LNB3" i="7"/>
  <c r="LNC3" i="7"/>
  <c r="LND3" i="7"/>
  <c r="LNE3" i="7"/>
  <c r="LNF3" i="7"/>
  <c r="LNG3" i="7"/>
  <c r="LNH3" i="7"/>
  <c r="LNI3" i="7"/>
  <c r="LNJ3" i="7"/>
  <c r="LNK3" i="7"/>
  <c r="LNL3" i="7"/>
  <c r="LNM3" i="7"/>
  <c r="LNN3" i="7"/>
  <c r="LNO3" i="7"/>
  <c r="LNP3" i="7"/>
  <c r="LNQ3" i="7"/>
  <c r="LNR3" i="7"/>
  <c r="LNS3" i="7"/>
  <c r="LNT3" i="7"/>
  <c r="LNU3" i="7"/>
  <c r="LNV3" i="7"/>
  <c r="LNW3" i="7"/>
  <c r="LNX3" i="7"/>
  <c r="LNY3" i="7"/>
  <c r="LNZ3" i="7"/>
  <c r="LOA3" i="7"/>
  <c r="LOB3" i="7"/>
  <c r="LOC3" i="7"/>
  <c r="LOD3" i="7"/>
  <c r="LOE3" i="7"/>
  <c r="LOF3" i="7"/>
  <c r="LOG3" i="7"/>
  <c r="LOH3" i="7"/>
  <c r="LOI3" i="7"/>
  <c r="LOJ3" i="7"/>
  <c r="LOK3" i="7"/>
  <c r="LOL3" i="7"/>
  <c r="LOM3" i="7"/>
  <c r="LON3" i="7"/>
  <c r="LOO3" i="7"/>
  <c r="LOP3" i="7"/>
  <c r="LOQ3" i="7"/>
  <c r="LOR3" i="7"/>
  <c r="LOS3" i="7"/>
  <c r="LOT3" i="7"/>
  <c r="LOU3" i="7"/>
  <c r="LOV3" i="7"/>
  <c r="LOW3" i="7"/>
  <c r="LOX3" i="7"/>
  <c r="LOY3" i="7"/>
  <c r="LOZ3" i="7"/>
  <c r="LPA3" i="7"/>
  <c r="LPB3" i="7"/>
  <c r="LPC3" i="7"/>
  <c r="LPD3" i="7"/>
  <c r="LPE3" i="7"/>
  <c r="LPF3" i="7"/>
  <c r="LPG3" i="7"/>
  <c r="LPH3" i="7"/>
  <c r="LPI3" i="7"/>
  <c r="LPJ3" i="7"/>
  <c r="LPK3" i="7"/>
  <c r="LPL3" i="7"/>
  <c r="LPM3" i="7"/>
  <c r="LPN3" i="7"/>
  <c r="LPO3" i="7"/>
  <c r="LPP3" i="7"/>
  <c r="LPQ3" i="7"/>
  <c r="LPR3" i="7"/>
  <c r="LPS3" i="7"/>
  <c r="LPT3" i="7"/>
  <c r="LPU3" i="7"/>
  <c r="LPV3" i="7"/>
  <c r="LPW3" i="7"/>
  <c r="LPX3" i="7"/>
  <c r="LPY3" i="7"/>
  <c r="LPZ3" i="7"/>
  <c r="LQA3" i="7"/>
  <c r="LQB3" i="7"/>
  <c r="LQC3" i="7"/>
  <c r="LQD3" i="7"/>
  <c r="LQE3" i="7"/>
  <c r="LQF3" i="7"/>
  <c r="LQG3" i="7"/>
  <c r="LQH3" i="7"/>
  <c r="LQI3" i="7"/>
  <c r="LQJ3" i="7"/>
  <c r="LQK3" i="7"/>
  <c r="LQL3" i="7"/>
  <c r="LQM3" i="7"/>
  <c r="LQN3" i="7"/>
  <c r="LQO3" i="7"/>
  <c r="LQP3" i="7"/>
  <c r="LQQ3" i="7"/>
  <c r="LQR3" i="7"/>
  <c r="LQS3" i="7"/>
  <c r="LQT3" i="7"/>
  <c r="LQU3" i="7"/>
  <c r="LQV3" i="7"/>
  <c r="LQW3" i="7"/>
  <c r="LQX3" i="7"/>
  <c r="LQY3" i="7"/>
  <c r="LQZ3" i="7"/>
  <c r="LRA3" i="7"/>
  <c r="LRB3" i="7"/>
  <c r="LRC3" i="7"/>
  <c r="LRD3" i="7"/>
  <c r="LRE3" i="7"/>
  <c r="LRF3" i="7"/>
  <c r="LRG3" i="7"/>
  <c r="LRH3" i="7"/>
  <c r="LRI3" i="7"/>
  <c r="LRJ3" i="7"/>
  <c r="LRK3" i="7"/>
  <c r="LRL3" i="7"/>
  <c r="LRM3" i="7"/>
  <c r="LRN3" i="7"/>
  <c r="LRO3" i="7"/>
  <c r="LRP3" i="7"/>
  <c r="LRQ3" i="7"/>
  <c r="LRR3" i="7"/>
  <c r="LRS3" i="7"/>
  <c r="LRT3" i="7"/>
  <c r="LRU3" i="7"/>
  <c r="LRV3" i="7"/>
  <c r="LRW3" i="7"/>
  <c r="LRX3" i="7"/>
  <c r="LRY3" i="7"/>
  <c r="LRZ3" i="7"/>
  <c r="LSA3" i="7"/>
  <c r="LSB3" i="7"/>
  <c r="LSC3" i="7"/>
  <c r="LSD3" i="7"/>
  <c r="LSE3" i="7"/>
  <c r="LSF3" i="7"/>
  <c r="LSG3" i="7"/>
  <c r="LSH3" i="7"/>
  <c r="LSI3" i="7"/>
  <c r="LSJ3" i="7"/>
  <c r="LSK3" i="7"/>
  <c r="LSL3" i="7"/>
  <c r="LSM3" i="7"/>
  <c r="LSN3" i="7"/>
  <c r="LSO3" i="7"/>
  <c r="LSP3" i="7"/>
  <c r="LSQ3" i="7"/>
  <c r="LSR3" i="7"/>
  <c r="LSS3" i="7"/>
  <c r="LST3" i="7"/>
  <c r="LSU3" i="7"/>
  <c r="LSV3" i="7"/>
  <c r="LSW3" i="7"/>
  <c r="LSX3" i="7"/>
  <c r="LSY3" i="7"/>
  <c r="LSZ3" i="7"/>
  <c r="LTA3" i="7"/>
  <c r="LTB3" i="7"/>
  <c r="LTC3" i="7"/>
  <c r="LTD3" i="7"/>
  <c r="LTE3" i="7"/>
  <c r="LTF3" i="7"/>
  <c r="LTG3" i="7"/>
  <c r="LTH3" i="7"/>
  <c r="LTI3" i="7"/>
  <c r="LTJ3" i="7"/>
  <c r="LTK3" i="7"/>
  <c r="LTL3" i="7"/>
  <c r="LTM3" i="7"/>
  <c r="LTN3" i="7"/>
  <c r="LTO3" i="7"/>
  <c r="LTP3" i="7"/>
  <c r="LTQ3" i="7"/>
  <c r="LTR3" i="7"/>
  <c r="LTS3" i="7"/>
  <c r="LTT3" i="7"/>
  <c r="LTU3" i="7"/>
  <c r="LTV3" i="7"/>
  <c r="LTW3" i="7"/>
  <c r="LTX3" i="7"/>
  <c r="LTY3" i="7"/>
  <c r="LTZ3" i="7"/>
  <c r="LUA3" i="7"/>
  <c r="LUB3" i="7"/>
  <c r="LUC3" i="7"/>
  <c r="LUD3" i="7"/>
  <c r="LUE3" i="7"/>
  <c r="LUF3" i="7"/>
  <c r="LUG3" i="7"/>
  <c r="LUH3" i="7"/>
  <c r="LUI3" i="7"/>
  <c r="LUJ3" i="7"/>
  <c r="LUK3" i="7"/>
  <c r="LUL3" i="7"/>
  <c r="LUM3" i="7"/>
  <c r="LUN3" i="7"/>
  <c r="LUO3" i="7"/>
  <c r="LUP3" i="7"/>
  <c r="LUQ3" i="7"/>
  <c r="LUR3" i="7"/>
  <c r="LUS3" i="7"/>
  <c r="LUT3" i="7"/>
  <c r="LUU3" i="7"/>
  <c r="LUV3" i="7"/>
  <c r="LUW3" i="7"/>
  <c r="LUX3" i="7"/>
  <c r="LUY3" i="7"/>
  <c r="LUZ3" i="7"/>
  <c r="LVA3" i="7"/>
  <c r="LVB3" i="7"/>
  <c r="LVC3" i="7"/>
  <c r="LVD3" i="7"/>
  <c r="LVE3" i="7"/>
  <c r="LVF3" i="7"/>
  <c r="LVG3" i="7"/>
  <c r="LVH3" i="7"/>
  <c r="LVI3" i="7"/>
  <c r="LVJ3" i="7"/>
  <c r="LVK3" i="7"/>
  <c r="LVL3" i="7"/>
  <c r="LVM3" i="7"/>
  <c r="LVN3" i="7"/>
  <c r="LVO3" i="7"/>
  <c r="LVP3" i="7"/>
  <c r="LVQ3" i="7"/>
  <c r="LVR3" i="7"/>
  <c r="LVS3" i="7"/>
  <c r="LVT3" i="7"/>
  <c r="LVU3" i="7"/>
  <c r="LVV3" i="7"/>
  <c r="LVW3" i="7"/>
  <c r="LVX3" i="7"/>
  <c r="LVY3" i="7"/>
  <c r="LVZ3" i="7"/>
  <c r="LWA3" i="7"/>
  <c r="LWB3" i="7"/>
  <c r="LWC3" i="7"/>
  <c r="LWD3" i="7"/>
  <c r="LWE3" i="7"/>
  <c r="LWF3" i="7"/>
  <c r="LWG3" i="7"/>
  <c r="LWH3" i="7"/>
  <c r="LWI3" i="7"/>
  <c r="LWJ3" i="7"/>
  <c r="LWK3" i="7"/>
  <c r="LWL3" i="7"/>
  <c r="LWM3" i="7"/>
  <c r="LWN3" i="7"/>
  <c r="LWO3" i="7"/>
  <c r="LWP3" i="7"/>
  <c r="LWQ3" i="7"/>
  <c r="LWR3" i="7"/>
  <c r="LWS3" i="7"/>
  <c r="LWT3" i="7"/>
  <c r="LWU3" i="7"/>
  <c r="LWV3" i="7"/>
  <c r="LWW3" i="7"/>
  <c r="LWX3" i="7"/>
  <c r="LWY3" i="7"/>
  <c r="LWZ3" i="7"/>
  <c r="LXA3" i="7"/>
  <c r="LXB3" i="7"/>
  <c r="LXC3" i="7"/>
  <c r="LXD3" i="7"/>
  <c r="LXE3" i="7"/>
  <c r="LXF3" i="7"/>
  <c r="LXG3" i="7"/>
  <c r="LXH3" i="7"/>
  <c r="LXI3" i="7"/>
  <c r="LXJ3" i="7"/>
  <c r="LXK3" i="7"/>
  <c r="LXL3" i="7"/>
  <c r="LXM3" i="7"/>
  <c r="LXN3" i="7"/>
  <c r="LXO3" i="7"/>
  <c r="LXP3" i="7"/>
  <c r="LXQ3" i="7"/>
  <c r="LXR3" i="7"/>
  <c r="LXS3" i="7"/>
  <c r="LXT3" i="7"/>
  <c r="LXU3" i="7"/>
  <c r="LXV3" i="7"/>
  <c r="LXW3" i="7"/>
  <c r="LXX3" i="7"/>
  <c r="LXY3" i="7"/>
  <c r="LXZ3" i="7"/>
  <c r="LYA3" i="7"/>
  <c r="LYB3" i="7"/>
  <c r="LYC3" i="7"/>
  <c r="LYD3" i="7"/>
  <c r="LYE3" i="7"/>
  <c r="LYF3" i="7"/>
  <c r="LYG3" i="7"/>
  <c r="LYH3" i="7"/>
  <c r="LYI3" i="7"/>
  <c r="LYJ3" i="7"/>
  <c r="LYK3" i="7"/>
  <c r="LYL3" i="7"/>
  <c r="LYM3" i="7"/>
  <c r="LYN3" i="7"/>
  <c r="LYO3" i="7"/>
  <c r="LYP3" i="7"/>
  <c r="LYQ3" i="7"/>
  <c r="LYR3" i="7"/>
  <c r="LYS3" i="7"/>
  <c r="LYT3" i="7"/>
  <c r="LYU3" i="7"/>
  <c r="LYV3" i="7"/>
  <c r="LYW3" i="7"/>
  <c r="LYX3" i="7"/>
  <c r="LYY3" i="7"/>
  <c r="LYZ3" i="7"/>
  <c r="LZA3" i="7"/>
  <c r="LZB3" i="7"/>
  <c r="LZC3" i="7"/>
  <c r="LZD3" i="7"/>
  <c r="LZE3" i="7"/>
  <c r="LZF3" i="7"/>
  <c r="LZG3" i="7"/>
  <c r="LZH3" i="7"/>
  <c r="LZI3" i="7"/>
  <c r="LZJ3" i="7"/>
  <c r="LZK3" i="7"/>
  <c r="LZL3" i="7"/>
  <c r="LZM3" i="7"/>
  <c r="LZN3" i="7"/>
  <c r="LZO3" i="7"/>
  <c r="LZP3" i="7"/>
  <c r="LZQ3" i="7"/>
  <c r="LZR3" i="7"/>
  <c r="LZS3" i="7"/>
  <c r="LZT3" i="7"/>
  <c r="LZU3" i="7"/>
  <c r="LZV3" i="7"/>
  <c r="LZW3" i="7"/>
  <c r="LZX3" i="7"/>
  <c r="LZY3" i="7"/>
  <c r="LZZ3" i="7"/>
  <c r="MAA3" i="7"/>
  <c r="MAB3" i="7"/>
  <c r="MAC3" i="7"/>
  <c r="MAD3" i="7"/>
  <c r="MAE3" i="7"/>
  <c r="MAF3" i="7"/>
  <c r="MAG3" i="7"/>
  <c r="MAH3" i="7"/>
  <c r="MAI3" i="7"/>
  <c r="MAJ3" i="7"/>
  <c r="MAK3" i="7"/>
  <c r="MAL3" i="7"/>
  <c r="MAM3" i="7"/>
  <c r="MAN3" i="7"/>
  <c r="MAO3" i="7"/>
  <c r="MAP3" i="7"/>
  <c r="MAQ3" i="7"/>
  <c r="MAR3" i="7"/>
  <c r="MAS3" i="7"/>
  <c r="MAT3" i="7"/>
  <c r="MAU3" i="7"/>
  <c r="MAV3" i="7"/>
  <c r="MAW3" i="7"/>
  <c r="MAX3" i="7"/>
  <c r="MAY3" i="7"/>
  <c r="MAZ3" i="7"/>
  <c r="MBA3" i="7"/>
  <c r="MBB3" i="7"/>
  <c r="MBC3" i="7"/>
  <c r="MBD3" i="7"/>
  <c r="MBE3" i="7"/>
  <c r="MBF3" i="7"/>
  <c r="MBG3" i="7"/>
  <c r="MBH3" i="7"/>
  <c r="MBI3" i="7"/>
  <c r="MBJ3" i="7"/>
  <c r="MBK3" i="7"/>
  <c r="MBL3" i="7"/>
  <c r="MBM3" i="7"/>
  <c r="MBN3" i="7"/>
  <c r="MBO3" i="7"/>
  <c r="MBP3" i="7"/>
  <c r="MBQ3" i="7"/>
  <c r="MBR3" i="7"/>
  <c r="MBS3" i="7"/>
  <c r="MBT3" i="7"/>
  <c r="MBU3" i="7"/>
  <c r="MBV3" i="7"/>
  <c r="MBW3" i="7"/>
  <c r="MBX3" i="7"/>
  <c r="MBY3" i="7"/>
  <c r="MBZ3" i="7"/>
  <c r="MCA3" i="7"/>
  <c r="MCB3" i="7"/>
  <c r="MCC3" i="7"/>
  <c r="MCD3" i="7"/>
  <c r="MCE3" i="7"/>
  <c r="MCF3" i="7"/>
  <c r="MCG3" i="7"/>
  <c r="MCH3" i="7"/>
  <c r="MCI3" i="7"/>
  <c r="MCJ3" i="7"/>
  <c r="MCK3" i="7"/>
  <c r="MCL3" i="7"/>
  <c r="MCM3" i="7"/>
  <c r="MCN3" i="7"/>
  <c r="MCO3" i="7"/>
  <c r="MCP3" i="7"/>
  <c r="MCQ3" i="7"/>
  <c r="MCR3" i="7"/>
  <c r="MCS3" i="7"/>
  <c r="MCT3" i="7"/>
  <c r="MCU3" i="7"/>
  <c r="MCV3" i="7"/>
  <c r="MCW3" i="7"/>
  <c r="MCX3" i="7"/>
  <c r="MCY3" i="7"/>
  <c r="MCZ3" i="7"/>
  <c r="MDA3" i="7"/>
  <c r="MDB3" i="7"/>
  <c r="MDC3" i="7"/>
  <c r="MDD3" i="7"/>
  <c r="MDE3" i="7"/>
  <c r="MDF3" i="7"/>
  <c r="MDG3" i="7"/>
  <c r="MDH3" i="7"/>
  <c r="MDI3" i="7"/>
  <c r="MDJ3" i="7"/>
  <c r="MDK3" i="7"/>
  <c r="MDL3" i="7"/>
  <c r="MDM3" i="7"/>
  <c r="MDN3" i="7"/>
  <c r="MDO3" i="7"/>
  <c r="MDP3" i="7"/>
  <c r="MDQ3" i="7"/>
  <c r="MDR3" i="7"/>
  <c r="MDS3" i="7"/>
  <c r="MDT3" i="7"/>
  <c r="MDU3" i="7"/>
  <c r="MDV3" i="7"/>
  <c r="MDW3" i="7"/>
  <c r="MDX3" i="7"/>
  <c r="MDY3" i="7"/>
  <c r="MDZ3" i="7"/>
  <c r="MEA3" i="7"/>
  <c r="MEB3" i="7"/>
  <c r="MEC3" i="7"/>
  <c r="MED3" i="7"/>
  <c r="MEE3" i="7"/>
  <c r="MEF3" i="7"/>
  <c r="MEG3" i="7"/>
  <c r="MEH3" i="7"/>
  <c r="MEI3" i="7"/>
  <c r="MEJ3" i="7"/>
  <c r="MEK3" i="7"/>
  <c r="MEL3" i="7"/>
  <c r="MEM3" i="7"/>
  <c r="MEN3" i="7"/>
  <c r="MEO3" i="7"/>
  <c r="MEP3" i="7"/>
  <c r="MEQ3" i="7"/>
  <c r="MER3" i="7"/>
  <c r="MES3" i="7"/>
  <c r="MET3" i="7"/>
  <c r="MEU3" i="7"/>
  <c r="MEV3" i="7"/>
  <c r="MEW3" i="7"/>
  <c r="MEX3" i="7"/>
  <c r="MEY3" i="7"/>
  <c r="MEZ3" i="7"/>
  <c r="MFA3" i="7"/>
  <c r="MFB3" i="7"/>
  <c r="MFC3" i="7"/>
  <c r="MFD3" i="7"/>
  <c r="MFE3" i="7"/>
  <c r="MFF3" i="7"/>
  <c r="MFG3" i="7"/>
  <c r="MFH3" i="7"/>
  <c r="MFI3" i="7"/>
  <c r="MFJ3" i="7"/>
  <c r="MFK3" i="7"/>
  <c r="MFL3" i="7"/>
  <c r="MFM3" i="7"/>
  <c r="MFN3" i="7"/>
  <c r="MFO3" i="7"/>
  <c r="MFP3" i="7"/>
  <c r="MFQ3" i="7"/>
  <c r="MFR3" i="7"/>
  <c r="MFS3" i="7"/>
  <c r="MFT3" i="7"/>
  <c r="MFU3" i="7"/>
  <c r="MFV3" i="7"/>
  <c r="MFW3" i="7"/>
  <c r="MFX3" i="7"/>
  <c r="MFY3" i="7"/>
  <c r="MFZ3" i="7"/>
  <c r="MGA3" i="7"/>
  <c r="MGB3" i="7"/>
  <c r="MGC3" i="7"/>
  <c r="MGD3" i="7"/>
  <c r="MGE3" i="7"/>
  <c r="MGF3" i="7"/>
  <c r="MGG3" i="7"/>
  <c r="MGH3" i="7"/>
  <c r="MGI3" i="7"/>
  <c r="MGJ3" i="7"/>
  <c r="MGK3" i="7"/>
  <c r="MGL3" i="7"/>
  <c r="MGM3" i="7"/>
  <c r="MGN3" i="7"/>
  <c r="MGO3" i="7"/>
  <c r="MGP3" i="7"/>
  <c r="MGQ3" i="7"/>
  <c r="MGR3" i="7"/>
  <c r="MGS3" i="7"/>
  <c r="MGT3" i="7"/>
  <c r="MGU3" i="7"/>
  <c r="MGV3" i="7"/>
  <c r="MGW3" i="7"/>
  <c r="MGX3" i="7"/>
  <c r="MGY3" i="7"/>
  <c r="MGZ3" i="7"/>
  <c r="MHA3" i="7"/>
  <c r="MHB3" i="7"/>
  <c r="MHC3" i="7"/>
  <c r="MHD3" i="7"/>
  <c r="MHE3" i="7"/>
  <c r="MHF3" i="7"/>
  <c r="MHG3" i="7"/>
  <c r="MHH3" i="7"/>
  <c r="MHI3" i="7"/>
  <c r="MHJ3" i="7"/>
  <c r="MHK3" i="7"/>
  <c r="MHL3" i="7"/>
  <c r="MHM3" i="7"/>
  <c r="MHN3" i="7"/>
  <c r="MHO3" i="7"/>
  <c r="MHP3" i="7"/>
  <c r="MHQ3" i="7"/>
  <c r="MHR3" i="7"/>
  <c r="MHS3" i="7"/>
  <c r="MHT3" i="7"/>
  <c r="MHU3" i="7"/>
  <c r="MHV3" i="7"/>
  <c r="MHW3" i="7"/>
  <c r="MHX3" i="7"/>
  <c r="MHY3" i="7"/>
  <c r="MHZ3" i="7"/>
  <c r="MIA3" i="7"/>
  <c r="MIB3" i="7"/>
  <c r="MIC3" i="7"/>
  <c r="MID3" i="7"/>
  <c r="MIE3" i="7"/>
  <c r="MIF3" i="7"/>
  <c r="MIG3" i="7"/>
  <c r="MIH3" i="7"/>
  <c r="MII3" i="7"/>
  <c r="MIJ3" i="7"/>
  <c r="MIK3" i="7"/>
  <c r="MIL3" i="7"/>
  <c r="MIM3" i="7"/>
  <c r="MIN3" i="7"/>
  <c r="MIO3" i="7"/>
  <c r="MIP3" i="7"/>
  <c r="MIQ3" i="7"/>
  <c r="MIR3" i="7"/>
  <c r="MIS3" i="7"/>
  <c r="MIT3" i="7"/>
  <c r="MIU3" i="7"/>
  <c r="MIV3" i="7"/>
  <c r="MIW3" i="7"/>
  <c r="MIX3" i="7"/>
  <c r="MIY3" i="7"/>
  <c r="MIZ3" i="7"/>
  <c r="MJA3" i="7"/>
  <c r="MJB3" i="7"/>
  <c r="MJC3" i="7"/>
  <c r="MJD3" i="7"/>
  <c r="MJE3" i="7"/>
  <c r="MJF3" i="7"/>
  <c r="MJG3" i="7"/>
  <c r="MJH3" i="7"/>
  <c r="MJI3" i="7"/>
  <c r="MJJ3" i="7"/>
  <c r="MJK3" i="7"/>
  <c r="MJL3" i="7"/>
  <c r="MJM3" i="7"/>
  <c r="MJN3" i="7"/>
  <c r="MJO3" i="7"/>
  <c r="MJP3" i="7"/>
  <c r="MJQ3" i="7"/>
  <c r="MJR3" i="7"/>
  <c r="MJS3" i="7"/>
  <c r="MJT3" i="7"/>
  <c r="MJU3" i="7"/>
  <c r="MJV3" i="7"/>
  <c r="MJW3" i="7"/>
  <c r="MJX3" i="7"/>
  <c r="MJY3" i="7"/>
  <c r="MJZ3" i="7"/>
  <c r="MKA3" i="7"/>
  <c r="MKB3" i="7"/>
  <c r="MKC3" i="7"/>
  <c r="MKD3" i="7"/>
  <c r="MKE3" i="7"/>
  <c r="MKF3" i="7"/>
  <c r="MKG3" i="7"/>
  <c r="MKH3" i="7"/>
  <c r="MKI3" i="7"/>
  <c r="MKJ3" i="7"/>
  <c r="MKK3" i="7"/>
  <c r="MKL3" i="7"/>
  <c r="MKM3" i="7"/>
  <c r="MKN3" i="7"/>
  <c r="MKO3" i="7"/>
  <c r="MKP3" i="7"/>
  <c r="MKQ3" i="7"/>
  <c r="MKR3" i="7"/>
  <c r="MKS3" i="7"/>
  <c r="MKT3" i="7"/>
  <c r="MKU3" i="7"/>
  <c r="MKV3" i="7"/>
  <c r="MKW3" i="7"/>
  <c r="MKX3" i="7"/>
  <c r="MKY3" i="7"/>
  <c r="MKZ3" i="7"/>
  <c r="MLA3" i="7"/>
  <c r="MLB3" i="7"/>
  <c r="MLC3" i="7"/>
  <c r="MLD3" i="7"/>
  <c r="MLE3" i="7"/>
  <c r="MLF3" i="7"/>
  <c r="MLG3" i="7"/>
  <c r="MLH3" i="7"/>
  <c r="MLI3" i="7"/>
  <c r="MLJ3" i="7"/>
  <c r="MLK3" i="7"/>
  <c r="MLL3" i="7"/>
  <c r="MLM3" i="7"/>
  <c r="MLN3" i="7"/>
  <c r="MLO3" i="7"/>
  <c r="MLP3" i="7"/>
  <c r="MLQ3" i="7"/>
  <c r="MLR3" i="7"/>
  <c r="MLS3" i="7"/>
  <c r="MLT3" i="7"/>
  <c r="MLU3" i="7"/>
  <c r="MLV3" i="7"/>
  <c r="MLW3" i="7"/>
  <c r="MLX3" i="7"/>
  <c r="MLY3" i="7"/>
  <c r="MLZ3" i="7"/>
  <c r="MMA3" i="7"/>
  <c r="MMB3" i="7"/>
  <c r="MMC3" i="7"/>
  <c r="MMD3" i="7"/>
  <c r="MME3" i="7"/>
  <c r="MMF3" i="7"/>
  <c r="MMG3" i="7"/>
  <c r="MMH3" i="7"/>
  <c r="MMI3" i="7"/>
  <c r="MMJ3" i="7"/>
  <c r="MMK3" i="7"/>
  <c r="MML3" i="7"/>
  <c r="MMM3" i="7"/>
  <c r="MMN3" i="7"/>
  <c r="MMO3" i="7"/>
  <c r="MMP3" i="7"/>
  <c r="MMQ3" i="7"/>
  <c r="MMR3" i="7"/>
  <c r="MMS3" i="7"/>
  <c r="MMT3" i="7"/>
  <c r="MMU3" i="7"/>
  <c r="MMV3" i="7"/>
  <c r="MMW3" i="7"/>
  <c r="MMX3" i="7"/>
  <c r="MMY3" i="7"/>
  <c r="MMZ3" i="7"/>
  <c r="MNA3" i="7"/>
  <c r="MNB3" i="7"/>
  <c r="MNC3" i="7"/>
  <c r="MND3" i="7"/>
  <c r="MNE3" i="7"/>
  <c r="MNF3" i="7"/>
  <c r="MNG3" i="7"/>
  <c r="MNH3" i="7"/>
  <c r="MNI3" i="7"/>
  <c r="MNJ3" i="7"/>
  <c r="MNK3" i="7"/>
  <c r="MNL3" i="7"/>
  <c r="MNM3" i="7"/>
  <c r="MNN3" i="7"/>
  <c r="MNO3" i="7"/>
  <c r="MNP3" i="7"/>
  <c r="MNQ3" i="7"/>
  <c r="MNR3" i="7"/>
  <c r="MNS3" i="7"/>
  <c r="MNT3" i="7"/>
  <c r="MNU3" i="7"/>
  <c r="MNV3" i="7"/>
  <c r="MNW3" i="7"/>
  <c r="MNX3" i="7"/>
  <c r="MNY3" i="7"/>
  <c r="MNZ3" i="7"/>
  <c r="MOA3" i="7"/>
  <c r="MOB3" i="7"/>
  <c r="MOC3" i="7"/>
  <c r="MOD3" i="7"/>
  <c r="MOE3" i="7"/>
  <c r="MOF3" i="7"/>
  <c r="MOG3" i="7"/>
  <c r="MOH3" i="7"/>
  <c r="MOI3" i="7"/>
  <c r="MOJ3" i="7"/>
  <c r="MOK3" i="7"/>
  <c r="MOL3" i="7"/>
  <c r="MOM3" i="7"/>
  <c r="MON3" i="7"/>
  <c r="MOO3" i="7"/>
  <c r="MOP3" i="7"/>
  <c r="MOQ3" i="7"/>
  <c r="MOR3" i="7"/>
  <c r="MOS3" i="7"/>
  <c r="MOT3" i="7"/>
  <c r="MOU3" i="7"/>
  <c r="MOV3" i="7"/>
  <c r="MOW3" i="7"/>
  <c r="MOX3" i="7"/>
  <c r="MOY3" i="7"/>
  <c r="MOZ3" i="7"/>
  <c r="MPA3" i="7"/>
  <c r="MPB3" i="7"/>
  <c r="MPC3" i="7"/>
  <c r="MPD3" i="7"/>
  <c r="MPE3" i="7"/>
  <c r="MPF3" i="7"/>
  <c r="MPG3" i="7"/>
  <c r="MPH3" i="7"/>
  <c r="MPI3" i="7"/>
  <c r="MPJ3" i="7"/>
  <c r="MPK3" i="7"/>
  <c r="MPL3" i="7"/>
  <c r="MPM3" i="7"/>
  <c r="MPN3" i="7"/>
  <c r="MPO3" i="7"/>
  <c r="MPP3" i="7"/>
  <c r="MPQ3" i="7"/>
  <c r="MPR3" i="7"/>
  <c r="MPS3" i="7"/>
  <c r="MPT3" i="7"/>
  <c r="MPU3" i="7"/>
  <c r="MPV3" i="7"/>
  <c r="MPW3" i="7"/>
  <c r="MPX3" i="7"/>
  <c r="MPY3" i="7"/>
  <c r="MPZ3" i="7"/>
  <c r="MQA3" i="7"/>
  <c r="MQB3" i="7"/>
  <c r="MQC3" i="7"/>
  <c r="MQD3" i="7"/>
  <c r="MQE3" i="7"/>
  <c r="MQF3" i="7"/>
  <c r="MQG3" i="7"/>
  <c r="MQH3" i="7"/>
  <c r="MQI3" i="7"/>
  <c r="MQJ3" i="7"/>
  <c r="MQK3" i="7"/>
  <c r="MQL3" i="7"/>
  <c r="MQM3" i="7"/>
  <c r="MQN3" i="7"/>
  <c r="MQO3" i="7"/>
  <c r="MQP3" i="7"/>
  <c r="MQQ3" i="7"/>
  <c r="MQR3" i="7"/>
  <c r="MQS3" i="7"/>
  <c r="MQT3" i="7"/>
  <c r="MQU3" i="7"/>
  <c r="MQV3" i="7"/>
  <c r="MQW3" i="7"/>
  <c r="MQX3" i="7"/>
  <c r="MQY3" i="7"/>
  <c r="MQZ3" i="7"/>
  <c r="MRA3" i="7"/>
  <c r="MRB3" i="7"/>
  <c r="MRC3" i="7"/>
  <c r="MRD3" i="7"/>
  <c r="MRE3" i="7"/>
  <c r="MRF3" i="7"/>
  <c r="MRG3" i="7"/>
  <c r="MRH3" i="7"/>
  <c r="MRI3" i="7"/>
  <c r="MRJ3" i="7"/>
  <c r="MRK3" i="7"/>
  <c r="MRL3" i="7"/>
  <c r="MRM3" i="7"/>
  <c r="MRN3" i="7"/>
  <c r="MRO3" i="7"/>
  <c r="MRP3" i="7"/>
  <c r="MRQ3" i="7"/>
  <c r="MRR3" i="7"/>
  <c r="MRS3" i="7"/>
  <c r="MRT3" i="7"/>
  <c r="MRU3" i="7"/>
  <c r="MRV3" i="7"/>
  <c r="MRW3" i="7"/>
  <c r="MRX3" i="7"/>
  <c r="MRY3" i="7"/>
  <c r="MRZ3" i="7"/>
  <c r="MSA3" i="7"/>
  <c r="MSB3" i="7"/>
  <c r="MSC3" i="7"/>
  <c r="MSD3" i="7"/>
  <c r="MSE3" i="7"/>
  <c r="MSF3" i="7"/>
  <c r="MSG3" i="7"/>
  <c r="MSH3" i="7"/>
  <c r="MSI3" i="7"/>
  <c r="MSJ3" i="7"/>
  <c r="MSK3" i="7"/>
  <c r="MSL3" i="7"/>
  <c r="MSM3" i="7"/>
  <c r="MSN3" i="7"/>
  <c r="MSO3" i="7"/>
  <c r="MSP3" i="7"/>
  <c r="MSQ3" i="7"/>
  <c r="MSR3" i="7"/>
  <c r="MSS3" i="7"/>
  <c r="MST3" i="7"/>
  <c r="MSU3" i="7"/>
  <c r="MSV3" i="7"/>
  <c r="MSW3" i="7"/>
  <c r="MSX3" i="7"/>
  <c r="MSY3" i="7"/>
  <c r="MSZ3" i="7"/>
  <c r="MTA3" i="7"/>
  <c r="MTB3" i="7"/>
  <c r="MTC3" i="7"/>
  <c r="MTD3" i="7"/>
  <c r="MTE3" i="7"/>
  <c r="MTF3" i="7"/>
  <c r="MTG3" i="7"/>
  <c r="MTH3" i="7"/>
  <c r="MTI3" i="7"/>
  <c r="MTJ3" i="7"/>
  <c r="MTK3" i="7"/>
  <c r="MTL3" i="7"/>
  <c r="MTM3" i="7"/>
  <c r="MTN3" i="7"/>
  <c r="MTO3" i="7"/>
  <c r="MTP3" i="7"/>
  <c r="MTQ3" i="7"/>
  <c r="MTR3" i="7"/>
  <c r="MTS3" i="7"/>
  <c r="MTT3" i="7"/>
  <c r="MTU3" i="7"/>
  <c r="MTV3" i="7"/>
  <c r="MTW3" i="7"/>
  <c r="MTX3" i="7"/>
  <c r="MTY3" i="7"/>
  <c r="MTZ3" i="7"/>
  <c r="MUA3" i="7"/>
  <c r="MUB3" i="7"/>
  <c r="MUC3" i="7"/>
  <c r="MUD3" i="7"/>
  <c r="MUE3" i="7"/>
  <c r="MUF3" i="7"/>
  <c r="MUG3" i="7"/>
  <c r="MUH3" i="7"/>
  <c r="MUI3" i="7"/>
  <c r="MUJ3" i="7"/>
  <c r="MUK3" i="7"/>
  <c r="MUL3" i="7"/>
  <c r="MUM3" i="7"/>
  <c r="MUN3" i="7"/>
  <c r="MUO3" i="7"/>
  <c r="MUP3" i="7"/>
  <c r="MUQ3" i="7"/>
  <c r="MUR3" i="7"/>
  <c r="MUS3" i="7"/>
  <c r="MUT3" i="7"/>
  <c r="MUU3" i="7"/>
  <c r="MUV3" i="7"/>
  <c r="MUW3" i="7"/>
  <c r="MUX3" i="7"/>
  <c r="MUY3" i="7"/>
  <c r="MUZ3" i="7"/>
  <c r="MVA3" i="7"/>
  <c r="MVB3" i="7"/>
  <c r="MVC3" i="7"/>
  <c r="MVD3" i="7"/>
  <c r="MVE3" i="7"/>
  <c r="MVF3" i="7"/>
  <c r="MVG3" i="7"/>
  <c r="MVH3" i="7"/>
  <c r="MVI3" i="7"/>
  <c r="MVJ3" i="7"/>
  <c r="MVK3" i="7"/>
  <c r="MVL3" i="7"/>
  <c r="MVM3" i="7"/>
  <c r="MVN3" i="7"/>
  <c r="MVO3" i="7"/>
  <c r="MVP3" i="7"/>
  <c r="MVQ3" i="7"/>
  <c r="MVR3" i="7"/>
  <c r="MVS3" i="7"/>
  <c r="MVT3" i="7"/>
  <c r="MVU3" i="7"/>
  <c r="MVV3" i="7"/>
  <c r="MVW3" i="7"/>
  <c r="MVX3" i="7"/>
  <c r="MVY3" i="7"/>
  <c r="MVZ3" i="7"/>
  <c r="MWA3" i="7"/>
  <c r="MWB3" i="7"/>
  <c r="MWC3" i="7"/>
  <c r="MWD3" i="7"/>
  <c r="MWE3" i="7"/>
  <c r="MWF3" i="7"/>
  <c r="MWG3" i="7"/>
  <c r="MWH3" i="7"/>
  <c r="MWI3" i="7"/>
  <c r="MWJ3" i="7"/>
  <c r="MWK3" i="7"/>
  <c r="MWL3" i="7"/>
  <c r="MWM3" i="7"/>
  <c r="MWN3" i="7"/>
  <c r="MWO3" i="7"/>
  <c r="MWP3" i="7"/>
  <c r="MWQ3" i="7"/>
  <c r="MWR3" i="7"/>
  <c r="MWS3" i="7"/>
  <c r="MWT3" i="7"/>
  <c r="MWU3" i="7"/>
  <c r="MWV3" i="7"/>
  <c r="MWW3" i="7"/>
  <c r="MWX3" i="7"/>
  <c r="MWY3" i="7"/>
  <c r="MWZ3" i="7"/>
  <c r="MXA3" i="7"/>
  <c r="MXB3" i="7"/>
  <c r="MXC3" i="7"/>
  <c r="MXD3" i="7"/>
  <c r="MXE3" i="7"/>
  <c r="MXF3" i="7"/>
  <c r="MXG3" i="7"/>
  <c r="MXH3" i="7"/>
  <c r="MXI3" i="7"/>
  <c r="MXJ3" i="7"/>
  <c r="MXK3" i="7"/>
  <c r="MXL3" i="7"/>
  <c r="MXM3" i="7"/>
  <c r="MXN3" i="7"/>
  <c r="MXO3" i="7"/>
  <c r="MXP3" i="7"/>
  <c r="MXQ3" i="7"/>
  <c r="MXR3" i="7"/>
  <c r="MXS3" i="7"/>
  <c r="MXT3" i="7"/>
  <c r="MXU3" i="7"/>
  <c r="MXV3" i="7"/>
  <c r="MXW3" i="7"/>
  <c r="MXX3" i="7"/>
  <c r="MXY3" i="7"/>
  <c r="MXZ3" i="7"/>
  <c r="MYA3" i="7"/>
  <c r="MYB3" i="7"/>
  <c r="MYC3" i="7"/>
  <c r="MYD3" i="7"/>
  <c r="MYE3" i="7"/>
  <c r="MYF3" i="7"/>
  <c r="MYG3" i="7"/>
  <c r="MYH3" i="7"/>
  <c r="MYI3" i="7"/>
  <c r="MYJ3" i="7"/>
  <c r="MYK3" i="7"/>
  <c r="MYL3" i="7"/>
  <c r="MYM3" i="7"/>
  <c r="MYN3" i="7"/>
  <c r="MYO3" i="7"/>
  <c r="MYP3" i="7"/>
  <c r="MYQ3" i="7"/>
  <c r="MYR3" i="7"/>
  <c r="MYS3" i="7"/>
  <c r="MYT3" i="7"/>
  <c r="MYU3" i="7"/>
  <c r="MYV3" i="7"/>
  <c r="MYW3" i="7"/>
  <c r="MYX3" i="7"/>
  <c r="MYY3" i="7"/>
  <c r="MYZ3" i="7"/>
  <c r="MZA3" i="7"/>
  <c r="MZB3" i="7"/>
  <c r="MZC3" i="7"/>
  <c r="MZD3" i="7"/>
  <c r="MZE3" i="7"/>
  <c r="MZF3" i="7"/>
  <c r="MZG3" i="7"/>
  <c r="MZH3" i="7"/>
  <c r="MZI3" i="7"/>
  <c r="MZJ3" i="7"/>
  <c r="MZK3" i="7"/>
  <c r="MZL3" i="7"/>
  <c r="MZM3" i="7"/>
  <c r="MZN3" i="7"/>
  <c r="MZO3" i="7"/>
  <c r="MZP3" i="7"/>
  <c r="MZQ3" i="7"/>
  <c r="MZR3" i="7"/>
  <c r="MZS3" i="7"/>
  <c r="MZT3" i="7"/>
  <c r="MZU3" i="7"/>
  <c r="MZV3" i="7"/>
  <c r="MZW3" i="7"/>
  <c r="MZX3" i="7"/>
  <c r="MZY3" i="7"/>
  <c r="MZZ3" i="7"/>
  <c r="NAA3" i="7"/>
  <c r="NAB3" i="7"/>
  <c r="NAC3" i="7"/>
  <c r="NAD3" i="7"/>
  <c r="NAE3" i="7"/>
  <c r="NAF3" i="7"/>
  <c r="NAG3" i="7"/>
  <c r="NAH3" i="7"/>
  <c r="NAI3" i="7"/>
  <c r="NAJ3" i="7"/>
  <c r="NAK3" i="7"/>
  <c r="NAL3" i="7"/>
  <c r="NAM3" i="7"/>
  <c r="NAN3" i="7"/>
  <c r="NAO3" i="7"/>
  <c r="NAP3" i="7"/>
  <c r="NAQ3" i="7"/>
  <c r="NAR3" i="7"/>
  <c r="NAS3" i="7"/>
  <c r="NAT3" i="7"/>
  <c r="NAU3" i="7"/>
  <c r="NAV3" i="7"/>
  <c r="NAW3" i="7"/>
  <c r="NAX3" i="7"/>
  <c r="NAY3" i="7"/>
  <c r="NAZ3" i="7"/>
  <c r="NBA3" i="7"/>
  <c r="NBB3" i="7"/>
  <c r="NBC3" i="7"/>
  <c r="NBD3" i="7"/>
  <c r="NBE3" i="7"/>
  <c r="NBF3" i="7"/>
  <c r="NBG3" i="7"/>
  <c r="NBH3" i="7"/>
  <c r="NBI3" i="7"/>
  <c r="NBJ3" i="7"/>
  <c r="NBK3" i="7"/>
  <c r="NBL3" i="7"/>
  <c r="NBM3" i="7"/>
  <c r="NBN3" i="7"/>
  <c r="NBO3" i="7"/>
  <c r="NBP3" i="7"/>
  <c r="NBQ3" i="7"/>
  <c r="NBR3" i="7"/>
  <c r="NBS3" i="7"/>
  <c r="NBT3" i="7"/>
  <c r="NBU3" i="7"/>
  <c r="NBV3" i="7"/>
  <c r="NBW3" i="7"/>
  <c r="NBX3" i="7"/>
  <c r="NBY3" i="7"/>
  <c r="NBZ3" i="7"/>
  <c r="NCA3" i="7"/>
  <c r="NCB3" i="7"/>
  <c r="NCC3" i="7"/>
  <c r="NCD3" i="7"/>
  <c r="NCE3" i="7"/>
  <c r="NCF3" i="7"/>
  <c r="NCG3" i="7"/>
  <c r="NCH3" i="7"/>
  <c r="NCI3" i="7"/>
  <c r="NCJ3" i="7"/>
  <c r="NCK3" i="7"/>
  <c r="NCL3" i="7"/>
  <c r="NCM3" i="7"/>
  <c r="NCN3" i="7"/>
  <c r="NCO3" i="7"/>
  <c r="NCP3" i="7"/>
  <c r="NCQ3" i="7"/>
  <c r="NCR3" i="7"/>
  <c r="NCS3" i="7"/>
  <c r="NCT3" i="7"/>
  <c r="NCU3" i="7"/>
  <c r="NCV3" i="7"/>
  <c r="NCW3" i="7"/>
  <c r="NCX3" i="7"/>
  <c r="NCY3" i="7"/>
  <c r="NCZ3" i="7"/>
  <c r="NDA3" i="7"/>
  <c r="NDB3" i="7"/>
  <c r="NDC3" i="7"/>
  <c r="NDD3" i="7"/>
  <c r="NDE3" i="7"/>
  <c r="NDF3" i="7"/>
  <c r="NDG3" i="7"/>
  <c r="NDH3" i="7"/>
  <c r="NDI3" i="7"/>
  <c r="NDJ3" i="7"/>
  <c r="NDK3" i="7"/>
  <c r="NDL3" i="7"/>
  <c r="NDM3" i="7"/>
  <c r="NDN3" i="7"/>
  <c r="NDO3" i="7"/>
  <c r="NDP3" i="7"/>
  <c r="NDQ3" i="7"/>
  <c r="NDR3" i="7"/>
  <c r="NDS3" i="7"/>
  <c r="NDT3" i="7"/>
  <c r="NDU3" i="7"/>
  <c r="NDV3" i="7"/>
  <c r="NDW3" i="7"/>
  <c r="NDX3" i="7"/>
  <c r="NDY3" i="7"/>
  <c r="NDZ3" i="7"/>
  <c r="NEA3" i="7"/>
  <c r="NEB3" i="7"/>
  <c r="NEC3" i="7"/>
  <c r="NED3" i="7"/>
  <c r="NEE3" i="7"/>
  <c r="NEF3" i="7"/>
  <c r="NEG3" i="7"/>
  <c r="NEH3" i="7"/>
  <c r="NEI3" i="7"/>
  <c r="NEJ3" i="7"/>
  <c r="NEK3" i="7"/>
  <c r="NEL3" i="7"/>
  <c r="NEM3" i="7"/>
  <c r="NEN3" i="7"/>
  <c r="NEO3" i="7"/>
  <c r="NEP3" i="7"/>
  <c r="NEQ3" i="7"/>
  <c r="NER3" i="7"/>
  <c r="NES3" i="7"/>
  <c r="NET3" i="7"/>
  <c r="NEU3" i="7"/>
  <c r="NEV3" i="7"/>
  <c r="NEW3" i="7"/>
  <c r="NEX3" i="7"/>
  <c r="NEY3" i="7"/>
  <c r="NEZ3" i="7"/>
  <c r="NFA3" i="7"/>
  <c r="NFB3" i="7"/>
  <c r="NFC3" i="7"/>
  <c r="NFD3" i="7"/>
  <c r="NFE3" i="7"/>
  <c r="NFF3" i="7"/>
  <c r="NFG3" i="7"/>
  <c r="NFH3" i="7"/>
  <c r="NFI3" i="7"/>
  <c r="NFJ3" i="7"/>
  <c r="NFK3" i="7"/>
  <c r="NFL3" i="7"/>
  <c r="NFM3" i="7"/>
  <c r="NFN3" i="7"/>
  <c r="NFO3" i="7"/>
  <c r="NFP3" i="7"/>
  <c r="NFQ3" i="7"/>
  <c r="NFR3" i="7"/>
  <c r="NFS3" i="7"/>
  <c r="NFT3" i="7"/>
  <c r="NFU3" i="7"/>
  <c r="NFV3" i="7"/>
  <c r="NFW3" i="7"/>
  <c r="NFX3" i="7"/>
  <c r="NFY3" i="7"/>
  <c r="NFZ3" i="7"/>
  <c r="NGA3" i="7"/>
  <c r="NGB3" i="7"/>
  <c r="NGC3" i="7"/>
  <c r="NGD3" i="7"/>
  <c r="NGE3" i="7"/>
  <c r="NGF3" i="7"/>
  <c r="NGG3" i="7"/>
  <c r="NGH3" i="7"/>
  <c r="NGI3" i="7"/>
  <c r="NGJ3" i="7"/>
  <c r="NGK3" i="7"/>
  <c r="NGL3" i="7"/>
  <c r="NGM3" i="7"/>
  <c r="NGN3" i="7"/>
  <c r="NGO3" i="7"/>
  <c r="NGP3" i="7"/>
  <c r="NGQ3" i="7"/>
  <c r="NGR3" i="7"/>
  <c r="NGS3" i="7"/>
  <c r="NGT3" i="7"/>
  <c r="NGU3" i="7"/>
  <c r="NGV3" i="7"/>
  <c r="NGW3" i="7"/>
  <c r="NGX3" i="7"/>
  <c r="NGY3" i="7"/>
  <c r="NGZ3" i="7"/>
  <c r="NHA3" i="7"/>
  <c r="NHB3" i="7"/>
  <c r="NHC3" i="7"/>
  <c r="NHD3" i="7"/>
  <c r="NHE3" i="7"/>
  <c r="NHF3" i="7"/>
  <c r="NHG3" i="7"/>
  <c r="NHH3" i="7"/>
  <c r="NHI3" i="7"/>
  <c r="NHJ3" i="7"/>
  <c r="NHK3" i="7"/>
  <c r="NHL3" i="7"/>
  <c r="NHM3" i="7"/>
  <c r="NHN3" i="7"/>
  <c r="NHO3" i="7"/>
  <c r="NHP3" i="7"/>
  <c r="NHQ3" i="7"/>
  <c r="NHR3" i="7"/>
  <c r="NHS3" i="7"/>
  <c r="NHT3" i="7"/>
  <c r="NHU3" i="7"/>
  <c r="NHV3" i="7"/>
  <c r="NHW3" i="7"/>
  <c r="NHX3" i="7"/>
  <c r="NHY3" i="7"/>
  <c r="NHZ3" i="7"/>
  <c r="NIA3" i="7"/>
  <c r="NIB3" i="7"/>
  <c r="NIC3" i="7"/>
  <c r="NID3" i="7"/>
  <c r="NIE3" i="7"/>
  <c r="NIF3" i="7"/>
  <c r="NIG3" i="7"/>
  <c r="NIH3" i="7"/>
  <c r="NII3" i="7"/>
  <c r="NIJ3" i="7"/>
  <c r="NIK3" i="7"/>
  <c r="NIL3" i="7"/>
  <c r="NIM3" i="7"/>
  <c r="NIN3" i="7"/>
  <c r="NIO3" i="7"/>
  <c r="NIP3" i="7"/>
  <c r="NIQ3" i="7"/>
  <c r="NIR3" i="7"/>
  <c r="NIS3" i="7"/>
  <c r="NIT3" i="7"/>
  <c r="NIU3" i="7"/>
  <c r="NIV3" i="7"/>
  <c r="NIW3" i="7"/>
  <c r="NIX3" i="7"/>
  <c r="NIY3" i="7"/>
  <c r="NIZ3" i="7"/>
  <c r="NJA3" i="7"/>
  <c r="NJB3" i="7"/>
  <c r="NJC3" i="7"/>
  <c r="NJD3" i="7"/>
  <c r="NJE3" i="7"/>
  <c r="NJF3" i="7"/>
  <c r="NJG3" i="7"/>
  <c r="NJH3" i="7"/>
  <c r="NJI3" i="7"/>
  <c r="NJJ3" i="7"/>
  <c r="NJK3" i="7"/>
  <c r="NJL3" i="7"/>
  <c r="NJM3" i="7"/>
  <c r="NJN3" i="7"/>
  <c r="NJO3" i="7"/>
  <c r="NJP3" i="7"/>
  <c r="NJQ3" i="7"/>
  <c r="NJR3" i="7"/>
  <c r="NJS3" i="7"/>
  <c r="NJT3" i="7"/>
  <c r="NJU3" i="7"/>
  <c r="NJV3" i="7"/>
  <c r="NJW3" i="7"/>
  <c r="NJX3" i="7"/>
  <c r="NJY3" i="7"/>
  <c r="NJZ3" i="7"/>
  <c r="NKA3" i="7"/>
  <c r="NKB3" i="7"/>
  <c r="NKC3" i="7"/>
  <c r="NKD3" i="7"/>
  <c r="NKE3" i="7"/>
  <c r="NKF3" i="7"/>
  <c r="NKG3" i="7"/>
  <c r="NKH3" i="7"/>
  <c r="NKI3" i="7"/>
  <c r="NKJ3" i="7"/>
  <c r="NKK3" i="7"/>
  <c r="NKL3" i="7"/>
  <c r="NKM3" i="7"/>
  <c r="NKN3" i="7"/>
  <c r="NKO3" i="7"/>
  <c r="NKP3" i="7"/>
  <c r="NKQ3" i="7"/>
  <c r="NKR3" i="7"/>
  <c r="NKS3" i="7"/>
  <c r="NKT3" i="7"/>
  <c r="NKU3" i="7"/>
  <c r="NKV3" i="7"/>
  <c r="NKW3" i="7"/>
  <c r="NKX3" i="7"/>
  <c r="NKY3" i="7"/>
  <c r="NKZ3" i="7"/>
  <c r="NLA3" i="7"/>
  <c r="NLB3" i="7"/>
  <c r="NLC3" i="7"/>
  <c r="NLD3" i="7"/>
  <c r="NLE3" i="7"/>
  <c r="NLF3" i="7"/>
  <c r="NLG3" i="7"/>
  <c r="NLH3" i="7"/>
  <c r="NLI3" i="7"/>
  <c r="NLJ3" i="7"/>
  <c r="NLK3" i="7"/>
  <c r="NLL3" i="7"/>
  <c r="NLM3" i="7"/>
  <c r="NLN3" i="7"/>
  <c r="NLO3" i="7"/>
  <c r="NLP3" i="7"/>
  <c r="NLQ3" i="7"/>
  <c r="NLR3" i="7"/>
  <c r="NLS3" i="7"/>
  <c r="NLT3" i="7"/>
  <c r="NLU3" i="7"/>
  <c r="NLV3" i="7"/>
  <c r="NLW3" i="7"/>
  <c r="NLX3" i="7"/>
  <c r="NLY3" i="7"/>
  <c r="NLZ3" i="7"/>
  <c r="NMA3" i="7"/>
  <c r="NMB3" i="7"/>
  <c r="NMC3" i="7"/>
  <c r="NMD3" i="7"/>
  <c r="NME3" i="7"/>
  <c r="NMF3" i="7"/>
  <c r="NMG3" i="7"/>
  <c r="NMH3" i="7"/>
  <c r="NMI3" i="7"/>
  <c r="NMJ3" i="7"/>
  <c r="NMK3" i="7"/>
  <c r="NML3" i="7"/>
  <c r="NMM3" i="7"/>
  <c r="NMN3" i="7"/>
  <c r="NMO3" i="7"/>
  <c r="NMP3" i="7"/>
  <c r="NMQ3" i="7"/>
  <c r="NMR3" i="7"/>
  <c r="NMS3" i="7"/>
  <c r="NMT3" i="7"/>
  <c r="NMU3" i="7"/>
  <c r="NMV3" i="7"/>
  <c r="NMW3" i="7"/>
  <c r="NMX3" i="7"/>
  <c r="NMY3" i="7"/>
  <c r="NMZ3" i="7"/>
  <c r="NNA3" i="7"/>
  <c r="NNB3" i="7"/>
  <c r="NNC3" i="7"/>
  <c r="NND3" i="7"/>
  <c r="NNE3" i="7"/>
  <c r="NNF3" i="7"/>
  <c r="NNG3" i="7"/>
  <c r="NNH3" i="7"/>
  <c r="NNI3" i="7"/>
  <c r="NNJ3" i="7"/>
  <c r="NNK3" i="7"/>
  <c r="NNL3" i="7"/>
  <c r="NNM3" i="7"/>
  <c r="NNN3" i="7"/>
  <c r="NNO3" i="7"/>
  <c r="NNP3" i="7"/>
  <c r="NNQ3" i="7"/>
  <c r="NNR3" i="7"/>
  <c r="NNS3" i="7"/>
  <c r="NNT3" i="7"/>
  <c r="NNU3" i="7"/>
  <c r="NNV3" i="7"/>
  <c r="NNW3" i="7"/>
  <c r="NNX3" i="7"/>
  <c r="NNY3" i="7"/>
  <c r="NNZ3" i="7"/>
  <c r="NOA3" i="7"/>
  <c r="NOB3" i="7"/>
  <c r="NOC3" i="7"/>
  <c r="NOD3" i="7"/>
  <c r="NOE3" i="7"/>
  <c r="NOF3" i="7"/>
  <c r="NOG3" i="7"/>
  <c r="NOH3" i="7"/>
  <c r="NOI3" i="7"/>
  <c r="NOJ3" i="7"/>
  <c r="NOK3" i="7"/>
  <c r="NOL3" i="7"/>
  <c r="NOM3" i="7"/>
  <c r="NON3" i="7"/>
  <c r="NOO3" i="7"/>
  <c r="NOP3" i="7"/>
  <c r="NOQ3" i="7"/>
  <c r="NOR3" i="7"/>
  <c r="NOS3" i="7"/>
  <c r="NOT3" i="7"/>
  <c r="NOU3" i="7"/>
  <c r="NOV3" i="7"/>
  <c r="NOW3" i="7"/>
  <c r="NOX3" i="7"/>
  <c r="NOY3" i="7"/>
  <c r="NOZ3" i="7"/>
  <c r="NPA3" i="7"/>
  <c r="NPB3" i="7"/>
  <c r="NPC3" i="7"/>
  <c r="NPD3" i="7"/>
  <c r="NPE3" i="7"/>
  <c r="NPF3" i="7"/>
  <c r="NPG3" i="7"/>
  <c r="NPH3" i="7"/>
  <c r="NPI3" i="7"/>
  <c r="NPJ3" i="7"/>
  <c r="NPK3" i="7"/>
  <c r="NPL3" i="7"/>
  <c r="NPM3" i="7"/>
  <c r="NPN3" i="7"/>
  <c r="NPO3" i="7"/>
  <c r="NPP3" i="7"/>
  <c r="NPQ3" i="7"/>
  <c r="NPR3" i="7"/>
  <c r="NPS3" i="7"/>
  <c r="NPT3" i="7"/>
  <c r="NPU3" i="7"/>
  <c r="NPV3" i="7"/>
  <c r="NPW3" i="7"/>
  <c r="NPX3" i="7"/>
  <c r="NPY3" i="7"/>
  <c r="NPZ3" i="7"/>
  <c r="NQA3" i="7"/>
  <c r="NQB3" i="7"/>
  <c r="NQC3" i="7"/>
  <c r="NQD3" i="7"/>
  <c r="NQE3" i="7"/>
  <c r="NQF3" i="7"/>
  <c r="NQG3" i="7"/>
  <c r="NQH3" i="7"/>
  <c r="NQI3" i="7"/>
  <c r="NQJ3" i="7"/>
  <c r="NQK3" i="7"/>
  <c r="NQL3" i="7"/>
  <c r="NQM3" i="7"/>
  <c r="NQN3" i="7"/>
  <c r="NQO3" i="7"/>
  <c r="NQP3" i="7"/>
  <c r="NQQ3" i="7"/>
  <c r="NQR3" i="7"/>
  <c r="NQS3" i="7"/>
  <c r="NQT3" i="7"/>
  <c r="NQU3" i="7"/>
  <c r="NQV3" i="7"/>
  <c r="NQW3" i="7"/>
  <c r="NQX3" i="7"/>
  <c r="NQY3" i="7"/>
  <c r="NQZ3" i="7"/>
  <c r="NRA3" i="7"/>
  <c r="NRB3" i="7"/>
  <c r="NRC3" i="7"/>
  <c r="NRD3" i="7"/>
  <c r="NRE3" i="7"/>
  <c r="NRF3" i="7"/>
  <c r="NRG3" i="7"/>
  <c r="NRH3" i="7"/>
  <c r="NRI3" i="7"/>
  <c r="NRJ3" i="7"/>
  <c r="NRK3" i="7"/>
  <c r="NRL3" i="7"/>
  <c r="NRM3" i="7"/>
  <c r="NRN3" i="7"/>
  <c r="NRO3" i="7"/>
  <c r="NRP3" i="7"/>
  <c r="NRQ3" i="7"/>
  <c r="NRR3" i="7"/>
  <c r="NRS3" i="7"/>
  <c r="NRT3" i="7"/>
  <c r="NRU3" i="7"/>
  <c r="NRV3" i="7"/>
  <c r="NRW3" i="7"/>
  <c r="NRX3" i="7"/>
  <c r="NRY3" i="7"/>
  <c r="NRZ3" i="7"/>
  <c r="NSA3" i="7"/>
  <c r="NSB3" i="7"/>
  <c r="NSC3" i="7"/>
  <c r="NSD3" i="7"/>
  <c r="NSE3" i="7"/>
  <c r="NSF3" i="7"/>
  <c r="NSG3" i="7"/>
  <c r="NSH3" i="7"/>
  <c r="NSI3" i="7"/>
  <c r="NSJ3" i="7"/>
  <c r="NSK3" i="7"/>
  <c r="NSL3" i="7"/>
  <c r="NSM3" i="7"/>
  <c r="NSN3" i="7"/>
  <c r="NSO3" i="7"/>
  <c r="NSP3" i="7"/>
  <c r="NSQ3" i="7"/>
  <c r="NSR3" i="7"/>
  <c r="NSS3" i="7"/>
  <c r="NST3" i="7"/>
  <c r="NSU3" i="7"/>
  <c r="NSV3" i="7"/>
  <c r="NSW3" i="7"/>
  <c r="NSX3" i="7"/>
  <c r="NSY3" i="7"/>
  <c r="NSZ3" i="7"/>
  <c r="NTA3" i="7"/>
  <c r="NTB3" i="7"/>
  <c r="NTC3" i="7"/>
  <c r="NTD3" i="7"/>
  <c r="NTE3" i="7"/>
  <c r="NTF3" i="7"/>
  <c r="NTG3" i="7"/>
  <c r="NTH3" i="7"/>
  <c r="NTI3" i="7"/>
  <c r="NTJ3" i="7"/>
  <c r="NTK3" i="7"/>
  <c r="NTL3" i="7"/>
  <c r="NTM3" i="7"/>
  <c r="NTN3" i="7"/>
  <c r="NTO3" i="7"/>
  <c r="NTP3" i="7"/>
  <c r="NTQ3" i="7"/>
  <c r="NTR3" i="7"/>
  <c r="NTS3" i="7"/>
  <c r="NTT3" i="7"/>
  <c r="NTU3" i="7"/>
  <c r="NTV3" i="7"/>
  <c r="NTW3" i="7"/>
  <c r="NTX3" i="7"/>
  <c r="NTY3" i="7"/>
  <c r="NTZ3" i="7"/>
  <c r="NUA3" i="7"/>
  <c r="NUB3" i="7"/>
  <c r="NUC3" i="7"/>
  <c r="NUD3" i="7"/>
  <c r="NUE3" i="7"/>
  <c r="NUF3" i="7"/>
  <c r="NUG3" i="7"/>
  <c r="NUH3" i="7"/>
  <c r="NUI3" i="7"/>
  <c r="NUJ3" i="7"/>
  <c r="NUK3" i="7"/>
  <c r="NUL3" i="7"/>
  <c r="NUM3" i="7"/>
  <c r="NUN3" i="7"/>
  <c r="NUO3" i="7"/>
  <c r="NUP3" i="7"/>
  <c r="NUQ3" i="7"/>
  <c r="NUR3" i="7"/>
  <c r="NUS3" i="7"/>
  <c r="NUT3" i="7"/>
  <c r="NUU3" i="7"/>
  <c r="NUV3" i="7"/>
  <c r="NUW3" i="7"/>
  <c r="NUX3" i="7"/>
  <c r="NUY3" i="7"/>
  <c r="NUZ3" i="7"/>
  <c r="NVA3" i="7"/>
  <c r="NVB3" i="7"/>
  <c r="NVC3" i="7"/>
  <c r="NVD3" i="7"/>
  <c r="NVE3" i="7"/>
  <c r="NVF3" i="7"/>
  <c r="NVG3" i="7"/>
  <c r="NVH3" i="7"/>
  <c r="NVI3" i="7"/>
  <c r="NVJ3" i="7"/>
  <c r="NVK3" i="7"/>
  <c r="NVL3" i="7"/>
  <c r="NVM3" i="7"/>
  <c r="NVN3" i="7"/>
  <c r="NVO3" i="7"/>
  <c r="NVP3" i="7"/>
  <c r="NVQ3" i="7"/>
  <c r="NVR3" i="7"/>
  <c r="NVS3" i="7"/>
  <c r="NVT3" i="7"/>
  <c r="NVU3" i="7"/>
  <c r="NVV3" i="7"/>
  <c r="NVW3" i="7"/>
  <c r="NVX3" i="7"/>
  <c r="NVY3" i="7"/>
  <c r="NVZ3" i="7"/>
  <c r="NWA3" i="7"/>
  <c r="NWB3" i="7"/>
  <c r="NWC3" i="7"/>
  <c r="NWD3" i="7"/>
  <c r="NWE3" i="7"/>
  <c r="NWF3" i="7"/>
  <c r="NWG3" i="7"/>
  <c r="NWH3" i="7"/>
  <c r="NWI3" i="7"/>
  <c r="NWJ3" i="7"/>
  <c r="NWK3" i="7"/>
  <c r="NWL3" i="7"/>
  <c r="NWM3" i="7"/>
  <c r="NWN3" i="7"/>
  <c r="NWO3" i="7"/>
  <c r="NWP3" i="7"/>
  <c r="NWQ3" i="7"/>
  <c r="NWR3" i="7"/>
  <c r="NWS3" i="7"/>
  <c r="NWT3" i="7"/>
  <c r="NWU3" i="7"/>
  <c r="NWV3" i="7"/>
  <c r="NWW3" i="7"/>
  <c r="NWX3" i="7"/>
  <c r="NWY3" i="7"/>
  <c r="NWZ3" i="7"/>
  <c r="NXA3" i="7"/>
  <c r="NXB3" i="7"/>
  <c r="NXC3" i="7"/>
  <c r="NXD3" i="7"/>
  <c r="NXE3" i="7"/>
  <c r="NXF3" i="7"/>
  <c r="NXG3" i="7"/>
  <c r="NXH3" i="7"/>
  <c r="NXI3" i="7"/>
  <c r="NXJ3" i="7"/>
  <c r="NXK3" i="7"/>
  <c r="NXL3" i="7"/>
  <c r="NXM3" i="7"/>
  <c r="NXN3" i="7"/>
  <c r="NXO3" i="7"/>
  <c r="NXP3" i="7"/>
  <c r="NXQ3" i="7"/>
  <c r="NXR3" i="7"/>
  <c r="NXS3" i="7"/>
  <c r="NXT3" i="7"/>
  <c r="NXU3" i="7"/>
  <c r="NXV3" i="7"/>
  <c r="NXW3" i="7"/>
  <c r="NXX3" i="7"/>
  <c r="NXY3" i="7"/>
  <c r="NXZ3" i="7"/>
  <c r="NYA3" i="7"/>
  <c r="NYB3" i="7"/>
  <c r="NYC3" i="7"/>
  <c r="NYD3" i="7"/>
  <c r="NYE3" i="7"/>
  <c r="NYF3" i="7"/>
  <c r="NYG3" i="7"/>
  <c r="NYH3" i="7"/>
  <c r="NYI3" i="7"/>
  <c r="NYJ3" i="7"/>
  <c r="NYK3" i="7"/>
  <c r="NYL3" i="7"/>
  <c r="NYM3" i="7"/>
  <c r="NYN3" i="7"/>
  <c r="NYO3" i="7"/>
  <c r="NYP3" i="7"/>
  <c r="NYQ3" i="7"/>
  <c r="NYR3" i="7"/>
  <c r="NYS3" i="7"/>
  <c r="NYT3" i="7"/>
  <c r="NYU3" i="7"/>
  <c r="NYV3" i="7"/>
  <c r="NYW3" i="7"/>
  <c r="NYX3" i="7"/>
  <c r="NYY3" i="7"/>
  <c r="NYZ3" i="7"/>
  <c r="NZA3" i="7"/>
  <c r="NZB3" i="7"/>
  <c r="NZC3" i="7"/>
  <c r="NZD3" i="7"/>
  <c r="NZE3" i="7"/>
  <c r="NZF3" i="7"/>
  <c r="NZG3" i="7"/>
  <c r="NZH3" i="7"/>
  <c r="NZI3" i="7"/>
  <c r="NZJ3" i="7"/>
  <c r="NZK3" i="7"/>
  <c r="NZL3" i="7"/>
  <c r="NZM3" i="7"/>
  <c r="NZN3" i="7"/>
  <c r="NZO3" i="7"/>
  <c r="NZP3" i="7"/>
  <c r="NZQ3" i="7"/>
  <c r="NZR3" i="7"/>
  <c r="NZS3" i="7"/>
  <c r="NZT3" i="7"/>
  <c r="NZU3" i="7"/>
  <c r="NZV3" i="7"/>
  <c r="NZW3" i="7"/>
  <c r="NZX3" i="7"/>
  <c r="NZY3" i="7"/>
  <c r="NZZ3" i="7"/>
  <c r="OAA3" i="7"/>
  <c r="OAB3" i="7"/>
  <c r="OAC3" i="7"/>
  <c r="OAD3" i="7"/>
  <c r="OAE3" i="7"/>
  <c r="OAF3" i="7"/>
  <c r="OAG3" i="7"/>
  <c r="OAH3" i="7"/>
  <c r="OAI3" i="7"/>
  <c r="OAJ3" i="7"/>
  <c r="OAK3" i="7"/>
  <c r="OAL3" i="7"/>
  <c r="OAM3" i="7"/>
  <c r="OAN3" i="7"/>
  <c r="OAO3" i="7"/>
  <c r="OAP3" i="7"/>
  <c r="OAQ3" i="7"/>
  <c r="OAR3" i="7"/>
  <c r="OAS3" i="7"/>
  <c r="OAT3" i="7"/>
  <c r="OAU3" i="7"/>
  <c r="OAV3" i="7"/>
  <c r="OAW3" i="7"/>
  <c r="OAX3" i="7"/>
  <c r="OAY3" i="7"/>
  <c r="OAZ3" i="7"/>
  <c r="OBA3" i="7"/>
  <c r="OBB3" i="7"/>
  <c r="OBC3" i="7"/>
  <c r="OBD3" i="7"/>
  <c r="OBE3" i="7"/>
  <c r="OBF3" i="7"/>
  <c r="OBG3" i="7"/>
  <c r="OBH3" i="7"/>
  <c r="OBI3" i="7"/>
  <c r="OBJ3" i="7"/>
  <c r="OBK3" i="7"/>
  <c r="OBL3" i="7"/>
  <c r="OBM3" i="7"/>
  <c r="OBN3" i="7"/>
  <c r="OBO3" i="7"/>
  <c r="OBP3" i="7"/>
  <c r="OBQ3" i="7"/>
  <c r="OBR3" i="7"/>
  <c r="OBS3" i="7"/>
  <c r="OBT3" i="7"/>
  <c r="OBU3" i="7"/>
  <c r="OBV3" i="7"/>
  <c r="OBW3" i="7"/>
  <c r="OBX3" i="7"/>
  <c r="OBY3" i="7"/>
  <c r="OBZ3" i="7"/>
  <c r="OCA3" i="7"/>
  <c r="OCB3" i="7"/>
  <c r="OCC3" i="7"/>
  <c r="OCD3" i="7"/>
  <c r="OCE3" i="7"/>
  <c r="OCF3" i="7"/>
  <c r="OCG3" i="7"/>
  <c r="OCH3" i="7"/>
  <c r="OCI3" i="7"/>
  <c r="OCJ3" i="7"/>
  <c r="OCK3" i="7"/>
  <c r="OCL3" i="7"/>
  <c r="OCM3" i="7"/>
  <c r="OCN3" i="7"/>
  <c r="OCO3" i="7"/>
  <c r="OCP3" i="7"/>
  <c r="OCQ3" i="7"/>
  <c r="OCR3" i="7"/>
  <c r="OCS3" i="7"/>
  <c r="OCT3" i="7"/>
  <c r="OCU3" i="7"/>
  <c r="OCV3" i="7"/>
  <c r="OCW3" i="7"/>
  <c r="OCX3" i="7"/>
  <c r="OCY3" i="7"/>
  <c r="OCZ3" i="7"/>
  <c r="ODA3" i="7"/>
  <c r="ODB3" i="7"/>
  <c r="ODC3" i="7"/>
  <c r="ODD3" i="7"/>
  <c r="ODE3" i="7"/>
  <c r="ODF3" i="7"/>
  <c r="ODG3" i="7"/>
  <c r="ODH3" i="7"/>
  <c r="ODI3" i="7"/>
  <c r="ODJ3" i="7"/>
  <c r="ODK3" i="7"/>
  <c r="ODL3" i="7"/>
  <c r="ODM3" i="7"/>
  <c r="ODN3" i="7"/>
  <c r="ODO3" i="7"/>
  <c r="ODP3" i="7"/>
  <c r="ODQ3" i="7"/>
  <c r="ODR3" i="7"/>
  <c r="ODS3" i="7"/>
  <c r="ODT3" i="7"/>
  <c r="ODU3" i="7"/>
  <c r="ODV3" i="7"/>
  <c r="ODW3" i="7"/>
  <c r="ODX3" i="7"/>
  <c r="ODY3" i="7"/>
  <c r="ODZ3" i="7"/>
  <c r="OEA3" i="7"/>
  <c r="OEB3" i="7"/>
  <c r="OEC3" i="7"/>
  <c r="OED3" i="7"/>
  <c r="OEE3" i="7"/>
  <c r="OEF3" i="7"/>
  <c r="OEG3" i="7"/>
  <c r="OEH3" i="7"/>
  <c r="OEI3" i="7"/>
  <c r="OEJ3" i="7"/>
  <c r="OEK3" i="7"/>
  <c r="OEL3" i="7"/>
  <c r="OEM3" i="7"/>
  <c r="OEN3" i="7"/>
  <c r="OEO3" i="7"/>
  <c r="OEP3" i="7"/>
  <c r="OEQ3" i="7"/>
  <c r="OER3" i="7"/>
  <c r="OES3" i="7"/>
  <c r="OET3" i="7"/>
  <c r="OEU3" i="7"/>
  <c r="OEV3" i="7"/>
  <c r="OEW3" i="7"/>
  <c r="OEX3" i="7"/>
  <c r="OEY3" i="7"/>
  <c r="OEZ3" i="7"/>
  <c r="OFA3" i="7"/>
  <c r="OFB3" i="7"/>
  <c r="OFC3" i="7"/>
  <c r="OFD3" i="7"/>
  <c r="OFE3" i="7"/>
  <c r="OFF3" i="7"/>
  <c r="OFG3" i="7"/>
  <c r="OFH3" i="7"/>
  <c r="OFI3" i="7"/>
  <c r="OFJ3" i="7"/>
  <c r="OFK3" i="7"/>
  <c r="OFL3" i="7"/>
  <c r="OFM3" i="7"/>
  <c r="OFN3" i="7"/>
  <c r="OFO3" i="7"/>
  <c r="OFP3" i="7"/>
  <c r="OFQ3" i="7"/>
  <c r="OFR3" i="7"/>
  <c r="OFS3" i="7"/>
  <c r="OFT3" i="7"/>
  <c r="OFU3" i="7"/>
  <c r="OFV3" i="7"/>
  <c r="OFW3" i="7"/>
  <c r="OFX3" i="7"/>
  <c r="OFY3" i="7"/>
  <c r="OFZ3" i="7"/>
  <c r="OGA3" i="7"/>
  <c r="OGB3" i="7"/>
  <c r="OGC3" i="7"/>
  <c r="OGD3" i="7"/>
  <c r="OGE3" i="7"/>
  <c r="OGF3" i="7"/>
  <c r="OGG3" i="7"/>
  <c r="OGH3" i="7"/>
  <c r="OGI3" i="7"/>
  <c r="OGJ3" i="7"/>
  <c r="OGK3" i="7"/>
  <c r="OGL3" i="7"/>
  <c r="OGM3" i="7"/>
  <c r="OGN3" i="7"/>
  <c r="OGO3" i="7"/>
  <c r="OGP3" i="7"/>
  <c r="OGQ3" i="7"/>
  <c r="OGR3" i="7"/>
  <c r="OGS3" i="7"/>
  <c r="OGT3" i="7"/>
  <c r="OGU3" i="7"/>
  <c r="OGV3" i="7"/>
  <c r="OGW3" i="7"/>
  <c r="OGX3" i="7"/>
  <c r="OGY3" i="7"/>
  <c r="OGZ3" i="7"/>
  <c r="OHA3" i="7"/>
  <c r="OHB3" i="7"/>
  <c r="OHC3" i="7"/>
  <c r="OHD3" i="7"/>
  <c r="OHE3" i="7"/>
  <c r="OHF3" i="7"/>
  <c r="OHG3" i="7"/>
  <c r="OHH3" i="7"/>
  <c r="OHI3" i="7"/>
  <c r="OHJ3" i="7"/>
  <c r="OHK3" i="7"/>
  <c r="OHL3" i="7"/>
  <c r="OHM3" i="7"/>
  <c r="OHN3" i="7"/>
  <c r="OHO3" i="7"/>
  <c r="OHP3" i="7"/>
  <c r="OHQ3" i="7"/>
  <c r="OHR3" i="7"/>
  <c r="OHS3" i="7"/>
  <c r="OHT3" i="7"/>
  <c r="OHU3" i="7"/>
  <c r="OHV3" i="7"/>
  <c r="OHW3" i="7"/>
  <c r="OHX3" i="7"/>
  <c r="OHY3" i="7"/>
  <c r="OHZ3" i="7"/>
  <c r="OIA3" i="7"/>
  <c r="OIB3" i="7"/>
  <c r="OIC3" i="7"/>
  <c r="OID3" i="7"/>
  <c r="OIE3" i="7"/>
  <c r="OIF3" i="7"/>
  <c r="OIG3" i="7"/>
  <c r="OIH3" i="7"/>
  <c r="OII3" i="7"/>
  <c r="OIJ3" i="7"/>
  <c r="OIK3" i="7"/>
  <c r="OIL3" i="7"/>
  <c r="OIM3" i="7"/>
  <c r="OIN3" i="7"/>
  <c r="OIO3" i="7"/>
  <c r="OIP3" i="7"/>
  <c r="OIQ3" i="7"/>
  <c r="OIR3" i="7"/>
  <c r="OIS3" i="7"/>
  <c r="OIT3" i="7"/>
  <c r="OIU3" i="7"/>
  <c r="OIV3" i="7"/>
  <c r="OIW3" i="7"/>
  <c r="OIX3" i="7"/>
  <c r="OIY3" i="7"/>
  <c r="OIZ3" i="7"/>
  <c r="OJA3" i="7"/>
  <c r="OJB3" i="7"/>
  <c r="OJC3" i="7"/>
  <c r="OJD3" i="7"/>
  <c r="OJE3" i="7"/>
  <c r="OJF3" i="7"/>
  <c r="OJG3" i="7"/>
  <c r="OJH3" i="7"/>
  <c r="OJI3" i="7"/>
  <c r="OJJ3" i="7"/>
  <c r="OJK3" i="7"/>
  <c r="OJL3" i="7"/>
  <c r="OJM3" i="7"/>
  <c r="OJN3" i="7"/>
  <c r="OJO3" i="7"/>
  <c r="OJP3" i="7"/>
  <c r="OJQ3" i="7"/>
  <c r="OJR3" i="7"/>
  <c r="OJS3" i="7"/>
  <c r="OJT3" i="7"/>
  <c r="OJU3" i="7"/>
  <c r="OJV3" i="7"/>
  <c r="OJW3" i="7"/>
  <c r="OJX3" i="7"/>
  <c r="OJY3" i="7"/>
  <c r="OJZ3" i="7"/>
  <c r="OKA3" i="7"/>
  <c r="OKB3" i="7"/>
  <c r="OKC3" i="7"/>
  <c r="OKD3" i="7"/>
  <c r="OKE3" i="7"/>
  <c r="OKF3" i="7"/>
  <c r="OKG3" i="7"/>
  <c r="OKH3" i="7"/>
  <c r="OKI3" i="7"/>
  <c r="OKJ3" i="7"/>
  <c r="OKK3" i="7"/>
  <c r="OKL3" i="7"/>
  <c r="OKM3" i="7"/>
  <c r="OKN3" i="7"/>
  <c r="OKO3" i="7"/>
  <c r="OKP3" i="7"/>
  <c r="OKQ3" i="7"/>
  <c r="OKR3" i="7"/>
  <c r="OKS3" i="7"/>
  <c r="OKT3" i="7"/>
  <c r="OKU3" i="7"/>
  <c r="OKV3" i="7"/>
  <c r="OKW3" i="7"/>
  <c r="OKX3" i="7"/>
  <c r="OKY3" i="7"/>
  <c r="OKZ3" i="7"/>
  <c r="OLA3" i="7"/>
  <c r="OLB3" i="7"/>
  <c r="OLC3" i="7"/>
  <c r="OLD3" i="7"/>
  <c r="OLE3" i="7"/>
  <c r="OLF3" i="7"/>
  <c r="OLG3" i="7"/>
  <c r="OLH3" i="7"/>
  <c r="OLI3" i="7"/>
  <c r="OLJ3" i="7"/>
  <c r="OLK3" i="7"/>
  <c r="OLL3" i="7"/>
  <c r="OLM3" i="7"/>
  <c r="OLN3" i="7"/>
  <c r="OLO3" i="7"/>
  <c r="OLP3" i="7"/>
  <c r="OLQ3" i="7"/>
  <c r="OLR3" i="7"/>
  <c r="OLS3" i="7"/>
  <c r="OLT3" i="7"/>
  <c r="OLU3" i="7"/>
  <c r="OLV3" i="7"/>
  <c r="OLW3" i="7"/>
  <c r="OLX3" i="7"/>
  <c r="OLY3" i="7"/>
  <c r="OLZ3" i="7"/>
  <c r="OMA3" i="7"/>
  <c r="OMB3" i="7"/>
  <c r="OMC3" i="7"/>
  <c r="OMD3" i="7"/>
  <c r="OME3" i="7"/>
  <c r="OMF3" i="7"/>
  <c r="OMG3" i="7"/>
  <c r="OMH3" i="7"/>
  <c r="OMI3" i="7"/>
  <c r="OMJ3" i="7"/>
  <c r="OMK3" i="7"/>
  <c r="OML3" i="7"/>
  <c r="OMM3" i="7"/>
  <c r="OMN3" i="7"/>
  <c r="OMO3" i="7"/>
  <c r="OMP3" i="7"/>
  <c r="OMQ3" i="7"/>
  <c r="OMR3" i="7"/>
  <c r="OMS3" i="7"/>
  <c r="OMT3" i="7"/>
  <c r="OMU3" i="7"/>
  <c r="OMV3" i="7"/>
  <c r="OMW3" i="7"/>
  <c r="OMX3" i="7"/>
  <c r="OMY3" i="7"/>
  <c r="OMZ3" i="7"/>
  <c r="ONA3" i="7"/>
  <c r="ONB3" i="7"/>
  <c r="ONC3" i="7"/>
  <c r="OND3" i="7"/>
  <c r="ONE3" i="7"/>
  <c r="ONF3" i="7"/>
  <c r="ONG3" i="7"/>
  <c r="ONH3" i="7"/>
  <c r="ONI3" i="7"/>
  <c r="ONJ3" i="7"/>
  <c r="ONK3" i="7"/>
  <c r="ONL3" i="7"/>
  <c r="ONM3" i="7"/>
  <c r="ONN3" i="7"/>
  <c r="ONO3" i="7"/>
  <c r="ONP3" i="7"/>
  <c r="ONQ3" i="7"/>
  <c r="ONR3" i="7"/>
  <c r="ONS3" i="7"/>
  <c r="ONT3" i="7"/>
  <c r="ONU3" i="7"/>
  <c r="ONV3" i="7"/>
  <c r="ONW3" i="7"/>
  <c r="ONX3" i="7"/>
  <c r="ONY3" i="7"/>
  <c r="ONZ3" i="7"/>
  <c r="OOA3" i="7"/>
  <c r="OOB3" i="7"/>
  <c r="OOC3" i="7"/>
  <c r="OOD3" i="7"/>
  <c r="OOE3" i="7"/>
  <c r="OOF3" i="7"/>
  <c r="OOG3" i="7"/>
  <c r="OOH3" i="7"/>
  <c r="OOI3" i="7"/>
  <c r="OOJ3" i="7"/>
  <c r="OOK3" i="7"/>
  <c r="OOL3" i="7"/>
  <c r="OOM3" i="7"/>
  <c r="OON3" i="7"/>
  <c r="OOO3" i="7"/>
  <c r="OOP3" i="7"/>
  <c r="OOQ3" i="7"/>
  <c r="OOR3" i="7"/>
  <c r="OOS3" i="7"/>
  <c r="OOT3" i="7"/>
  <c r="OOU3" i="7"/>
  <c r="OOV3" i="7"/>
  <c r="OOW3" i="7"/>
  <c r="OOX3" i="7"/>
  <c r="OOY3" i="7"/>
  <c r="OOZ3" i="7"/>
  <c r="OPA3" i="7"/>
  <c r="OPB3" i="7"/>
  <c r="OPC3" i="7"/>
  <c r="OPD3" i="7"/>
  <c r="OPE3" i="7"/>
  <c r="OPF3" i="7"/>
  <c r="OPG3" i="7"/>
  <c r="OPH3" i="7"/>
  <c r="OPI3" i="7"/>
  <c r="OPJ3" i="7"/>
  <c r="OPK3" i="7"/>
  <c r="OPL3" i="7"/>
  <c r="OPM3" i="7"/>
  <c r="OPN3" i="7"/>
  <c r="OPO3" i="7"/>
  <c r="OPP3" i="7"/>
  <c r="OPQ3" i="7"/>
  <c r="OPR3" i="7"/>
  <c r="OPS3" i="7"/>
  <c r="OPT3" i="7"/>
  <c r="OPU3" i="7"/>
  <c r="OPV3" i="7"/>
  <c r="OPW3" i="7"/>
  <c r="OPX3" i="7"/>
  <c r="OPY3" i="7"/>
  <c r="OPZ3" i="7"/>
  <c r="OQA3" i="7"/>
  <c r="OQB3" i="7"/>
  <c r="OQC3" i="7"/>
  <c r="OQD3" i="7"/>
  <c r="OQE3" i="7"/>
  <c r="OQF3" i="7"/>
  <c r="OQG3" i="7"/>
  <c r="OQH3" i="7"/>
  <c r="OQI3" i="7"/>
  <c r="OQJ3" i="7"/>
  <c r="OQK3" i="7"/>
  <c r="OQL3" i="7"/>
  <c r="OQM3" i="7"/>
  <c r="OQN3" i="7"/>
  <c r="OQO3" i="7"/>
  <c r="OQP3" i="7"/>
  <c r="OQQ3" i="7"/>
  <c r="OQR3" i="7"/>
  <c r="OQS3" i="7"/>
  <c r="OQT3" i="7"/>
  <c r="OQU3" i="7"/>
  <c r="OQV3" i="7"/>
  <c r="OQW3" i="7"/>
  <c r="OQX3" i="7"/>
  <c r="OQY3" i="7"/>
  <c r="OQZ3" i="7"/>
  <c r="ORA3" i="7"/>
  <c r="ORB3" i="7"/>
  <c r="ORC3" i="7"/>
  <c r="ORD3" i="7"/>
  <c r="ORE3" i="7"/>
  <c r="ORF3" i="7"/>
  <c r="ORG3" i="7"/>
  <c r="ORH3" i="7"/>
  <c r="ORI3" i="7"/>
  <c r="ORJ3" i="7"/>
  <c r="ORK3" i="7"/>
  <c r="ORL3" i="7"/>
  <c r="ORM3" i="7"/>
  <c r="ORN3" i="7"/>
  <c r="ORO3" i="7"/>
  <c r="ORP3" i="7"/>
  <c r="ORQ3" i="7"/>
  <c r="ORR3" i="7"/>
  <c r="ORS3" i="7"/>
  <c r="ORT3" i="7"/>
  <c r="ORU3" i="7"/>
  <c r="ORV3" i="7"/>
  <c r="ORW3" i="7"/>
  <c r="ORX3" i="7"/>
  <c r="ORY3" i="7"/>
  <c r="ORZ3" i="7"/>
  <c r="OSA3" i="7"/>
  <c r="OSB3" i="7"/>
  <c r="OSC3" i="7"/>
  <c r="OSD3" i="7"/>
  <c r="OSE3" i="7"/>
  <c r="OSF3" i="7"/>
  <c r="OSG3" i="7"/>
  <c r="OSH3" i="7"/>
  <c r="OSI3" i="7"/>
  <c r="OSJ3" i="7"/>
  <c r="OSK3" i="7"/>
  <c r="OSL3" i="7"/>
  <c r="OSM3" i="7"/>
  <c r="OSN3" i="7"/>
  <c r="OSO3" i="7"/>
  <c r="OSP3" i="7"/>
  <c r="OSQ3" i="7"/>
  <c r="OSR3" i="7"/>
  <c r="OSS3" i="7"/>
  <c r="OST3" i="7"/>
  <c r="OSU3" i="7"/>
  <c r="OSV3" i="7"/>
  <c r="OSW3" i="7"/>
  <c r="OSX3" i="7"/>
  <c r="OSY3" i="7"/>
  <c r="OSZ3" i="7"/>
  <c r="OTA3" i="7"/>
  <c r="OTB3" i="7"/>
  <c r="OTC3" i="7"/>
  <c r="OTD3" i="7"/>
  <c r="OTE3" i="7"/>
  <c r="OTF3" i="7"/>
  <c r="OTG3" i="7"/>
  <c r="OTH3" i="7"/>
  <c r="OTI3" i="7"/>
  <c r="OTJ3" i="7"/>
  <c r="OTK3" i="7"/>
  <c r="OTL3" i="7"/>
  <c r="OTM3" i="7"/>
  <c r="OTN3" i="7"/>
  <c r="OTO3" i="7"/>
  <c r="OTP3" i="7"/>
  <c r="OTQ3" i="7"/>
  <c r="OTR3" i="7"/>
  <c r="OTS3" i="7"/>
  <c r="OTT3" i="7"/>
  <c r="OTU3" i="7"/>
  <c r="OTV3" i="7"/>
  <c r="OTW3" i="7"/>
  <c r="OTX3" i="7"/>
  <c r="OTY3" i="7"/>
  <c r="OTZ3" i="7"/>
  <c r="OUA3" i="7"/>
  <c r="OUB3" i="7"/>
  <c r="OUC3" i="7"/>
  <c r="OUD3" i="7"/>
  <c r="OUE3" i="7"/>
  <c r="OUF3" i="7"/>
  <c r="OUG3" i="7"/>
  <c r="OUH3" i="7"/>
  <c r="OUI3" i="7"/>
  <c r="OUJ3" i="7"/>
  <c r="OUK3" i="7"/>
  <c r="OUL3" i="7"/>
  <c r="OUM3" i="7"/>
  <c r="OUN3" i="7"/>
  <c r="OUO3" i="7"/>
  <c r="OUP3" i="7"/>
  <c r="OUQ3" i="7"/>
  <c r="OUR3" i="7"/>
  <c r="OUS3" i="7"/>
  <c r="OUT3" i="7"/>
  <c r="OUU3" i="7"/>
  <c r="OUV3" i="7"/>
  <c r="OUW3" i="7"/>
  <c r="OUX3" i="7"/>
  <c r="OUY3" i="7"/>
  <c r="OUZ3" i="7"/>
  <c r="OVA3" i="7"/>
  <c r="OVB3" i="7"/>
  <c r="OVC3" i="7"/>
  <c r="OVD3" i="7"/>
  <c r="OVE3" i="7"/>
  <c r="OVF3" i="7"/>
  <c r="OVG3" i="7"/>
  <c r="OVH3" i="7"/>
  <c r="OVI3" i="7"/>
  <c r="OVJ3" i="7"/>
  <c r="OVK3" i="7"/>
  <c r="OVL3" i="7"/>
  <c r="OVM3" i="7"/>
  <c r="OVN3" i="7"/>
  <c r="OVO3" i="7"/>
  <c r="OVP3" i="7"/>
  <c r="OVQ3" i="7"/>
  <c r="OVR3" i="7"/>
  <c r="OVS3" i="7"/>
  <c r="OVT3" i="7"/>
  <c r="OVU3" i="7"/>
  <c r="OVV3" i="7"/>
  <c r="OVW3" i="7"/>
  <c r="OVX3" i="7"/>
  <c r="OVY3" i="7"/>
  <c r="OVZ3" i="7"/>
  <c r="OWA3" i="7"/>
  <c r="OWB3" i="7"/>
  <c r="OWC3" i="7"/>
  <c r="OWD3" i="7"/>
  <c r="OWE3" i="7"/>
  <c r="OWF3" i="7"/>
  <c r="OWG3" i="7"/>
  <c r="OWH3" i="7"/>
  <c r="OWI3" i="7"/>
  <c r="OWJ3" i="7"/>
  <c r="OWK3" i="7"/>
  <c r="OWL3" i="7"/>
  <c r="OWM3" i="7"/>
  <c r="OWN3" i="7"/>
  <c r="OWO3" i="7"/>
  <c r="OWP3" i="7"/>
  <c r="OWQ3" i="7"/>
  <c r="OWR3" i="7"/>
  <c r="OWS3" i="7"/>
  <c r="OWT3" i="7"/>
  <c r="OWU3" i="7"/>
  <c r="OWV3" i="7"/>
  <c r="OWW3" i="7"/>
  <c r="OWX3" i="7"/>
  <c r="OWY3" i="7"/>
  <c r="OWZ3" i="7"/>
  <c r="OXA3" i="7"/>
  <c r="OXB3" i="7"/>
  <c r="OXC3" i="7"/>
  <c r="OXD3" i="7"/>
  <c r="OXE3" i="7"/>
  <c r="OXF3" i="7"/>
  <c r="OXG3" i="7"/>
  <c r="OXH3" i="7"/>
  <c r="OXI3" i="7"/>
  <c r="OXJ3" i="7"/>
  <c r="OXK3" i="7"/>
  <c r="OXL3" i="7"/>
  <c r="OXM3" i="7"/>
  <c r="OXN3" i="7"/>
  <c r="OXO3" i="7"/>
  <c r="OXP3" i="7"/>
  <c r="OXQ3" i="7"/>
  <c r="OXR3" i="7"/>
  <c r="OXS3" i="7"/>
  <c r="OXT3" i="7"/>
  <c r="OXU3" i="7"/>
  <c r="OXV3" i="7"/>
  <c r="OXW3" i="7"/>
  <c r="OXX3" i="7"/>
  <c r="OXY3" i="7"/>
  <c r="OXZ3" i="7"/>
  <c r="OYA3" i="7"/>
  <c r="OYB3" i="7"/>
  <c r="OYC3" i="7"/>
  <c r="OYD3" i="7"/>
  <c r="OYE3" i="7"/>
  <c r="OYF3" i="7"/>
  <c r="OYG3" i="7"/>
  <c r="OYH3" i="7"/>
  <c r="OYI3" i="7"/>
  <c r="OYJ3" i="7"/>
  <c r="OYK3" i="7"/>
  <c r="OYL3" i="7"/>
  <c r="OYM3" i="7"/>
  <c r="OYN3" i="7"/>
  <c r="OYO3" i="7"/>
  <c r="OYP3" i="7"/>
  <c r="OYQ3" i="7"/>
  <c r="OYR3" i="7"/>
  <c r="OYS3" i="7"/>
  <c r="OYT3" i="7"/>
  <c r="OYU3" i="7"/>
  <c r="OYV3" i="7"/>
  <c r="OYW3" i="7"/>
  <c r="OYX3" i="7"/>
  <c r="OYY3" i="7"/>
  <c r="OYZ3" i="7"/>
  <c r="OZA3" i="7"/>
  <c r="OZB3" i="7"/>
  <c r="OZC3" i="7"/>
  <c r="OZD3" i="7"/>
  <c r="OZE3" i="7"/>
  <c r="OZF3" i="7"/>
  <c r="OZG3" i="7"/>
  <c r="OZH3" i="7"/>
  <c r="OZI3" i="7"/>
  <c r="OZJ3" i="7"/>
  <c r="OZK3" i="7"/>
  <c r="OZL3" i="7"/>
  <c r="OZM3" i="7"/>
  <c r="OZN3" i="7"/>
  <c r="OZO3" i="7"/>
  <c r="OZP3" i="7"/>
  <c r="OZQ3" i="7"/>
  <c r="OZR3" i="7"/>
  <c r="OZS3" i="7"/>
  <c r="OZT3" i="7"/>
  <c r="OZU3" i="7"/>
  <c r="OZV3" i="7"/>
  <c r="OZW3" i="7"/>
  <c r="OZX3" i="7"/>
  <c r="OZY3" i="7"/>
  <c r="OZZ3" i="7"/>
  <c r="PAA3" i="7"/>
  <c r="PAB3" i="7"/>
  <c r="PAC3" i="7"/>
  <c r="PAD3" i="7"/>
  <c r="PAE3" i="7"/>
  <c r="PAF3" i="7"/>
  <c r="PAG3" i="7"/>
  <c r="PAH3" i="7"/>
  <c r="PAI3" i="7"/>
  <c r="PAJ3" i="7"/>
  <c r="PAK3" i="7"/>
  <c r="PAL3" i="7"/>
  <c r="PAM3" i="7"/>
  <c r="PAN3" i="7"/>
  <c r="PAO3" i="7"/>
  <c r="PAP3" i="7"/>
  <c r="PAQ3" i="7"/>
  <c r="PAR3" i="7"/>
  <c r="PAS3" i="7"/>
  <c r="PAT3" i="7"/>
  <c r="PAU3" i="7"/>
  <c r="PAV3" i="7"/>
  <c r="PAW3" i="7"/>
  <c r="PAX3" i="7"/>
  <c r="PAY3" i="7"/>
  <c r="PAZ3" i="7"/>
  <c r="PBA3" i="7"/>
  <c r="PBB3" i="7"/>
  <c r="PBC3" i="7"/>
  <c r="PBD3" i="7"/>
  <c r="PBE3" i="7"/>
  <c r="PBF3" i="7"/>
  <c r="PBG3" i="7"/>
  <c r="PBH3" i="7"/>
  <c r="PBI3" i="7"/>
  <c r="PBJ3" i="7"/>
  <c r="PBK3" i="7"/>
  <c r="PBL3" i="7"/>
  <c r="PBM3" i="7"/>
  <c r="PBN3" i="7"/>
  <c r="PBO3" i="7"/>
  <c r="PBP3" i="7"/>
  <c r="PBQ3" i="7"/>
  <c r="PBR3" i="7"/>
  <c r="PBS3" i="7"/>
  <c r="PBT3" i="7"/>
  <c r="PBU3" i="7"/>
  <c r="PBV3" i="7"/>
  <c r="PBW3" i="7"/>
  <c r="PBX3" i="7"/>
  <c r="PBY3" i="7"/>
  <c r="PBZ3" i="7"/>
  <c r="PCA3" i="7"/>
  <c r="PCB3" i="7"/>
  <c r="PCC3" i="7"/>
  <c r="PCD3" i="7"/>
  <c r="PCE3" i="7"/>
  <c r="PCF3" i="7"/>
  <c r="PCG3" i="7"/>
  <c r="PCH3" i="7"/>
  <c r="PCI3" i="7"/>
  <c r="PCJ3" i="7"/>
  <c r="PCK3" i="7"/>
  <c r="PCL3" i="7"/>
  <c r="PCM3" i="7"/>
  <c r="PCN3" i="7"/>
  <c r="PCO3" i="7"/>
  <c r="PCP3" i="7"/>
  <c r="PCQ3" i="7"/>
  <c r="PCR3" i="7"/>
  <c r="PCS3" i="7"/>
  <c r="PCT3" i="7"/>
  <c r="PCU3" i="7"/>
  <c r="PCV3" i="7"/>
  <c r="PCW3" i="7"/>
  <c r="PCX3" i="7"/>
  <c r="PCY3" i="7"/>
  <c r="PCZ3" i="7"/>
  <c r="PDA3" i="7"/>
  <c r="PDB3" i="7"/>
  <c r="PDC3" i="7"/>
  <c r="PDD3" i="7"/>
  <c r="PDE3" i="7"/>
  <c r="PDF3" i="7"/>
  <c r="PDG3" i="7"/>
  <c r="PDH3" i="7"/>
  <c r="PDI3" i="7"/>
  <c r="PDJ3" i="7"/>
  <c r="PDK3" i="7"/>
  <c r="PDL3" i="7"/>
  <c r="PDM3" i="7"/>
  <c r="PDN3" i="7"/>
  <c r="PDO3" i="7"/>
  <c r="PDP3" i="7"/>
  <c r="PDQ3" i="7"/>
  <c r="PDR3" i="7"/>
  <c r="PDS3" i="7"/>
  <c r="PDT3" i="7"/>
  <c r="PDU3" i="7"/>
  <c r="PDV3" i="7"/>
  <c r="PDW3" i="7"/>
  <c r="PDX3" i="7"/>
  <c r="PDY3" i="7"/>
  <c r="PDZ3" i="7"/>
  <c r="PEA3" i="7"/>
  <c r="PEB3" i="7"/>
  <c r="PEC3" i="7"/>
  <c r="PED3" i="7"/>
  <c r="PEE3" i="7"/>
  <c r="PEF3" i="7"/>
  <c r="PEG3" i="7"/>
  <c r="PEH3" i="7"/>
  <c r="PEI3" i="7"/>
  <c r="PEJ3" i="7"/>
  <c r="PEK3" i="7"/>
  <c r="PEL3" i="7"/>
  <c r="PEM3" i="7"/>
  <c r="PEN3" i="7"/>
  <c r="PEO3" i="7"/>
  <c r="PEP3" i="7"/>
  <c r="PEQ3" i="7"/>
  <c r="PER3" i="7"/>
  <c r="PES3" i="7"/>
  <c r="PET3" i="7"/>
  <c r="PEU3" i="7"/>
  <c r="PEV3" i="7"/>
  <c r="PEW3" i="7"/>
  <c r="PEX3" i="7"/>
  <c r="PEY3" i="7"/>
  <c r="PEZ3" i="7"/>
  <c r="PFA3" i="7"/>
  <c r="PFB3" i="7"/>
  <c r="PFC3" i="7"/>
  <c r="PFD3" i="7"/>
  <c r="PFE3" i="7"/>
  <c r="G1" i="7"/>
  <c r="H1" i="7"/>
  <c r="I1" i="7"/>
  <c r="F1" i="7"/>
  <c r="O21" i="7"/>
  <c r="Q22" i="7"/>
  <c r="R12" i="5" l="1"/>
  <c r="E12" i="5" s="1"/>
  <c r="D12" i="5" s="1"/>
  <c r="N23" i="5"/>
  <c r="O23" i="5"/>
  <c r="O22" i="5"/>
  <c r="N22" i="5"/>
  <c r="O21" i="5"/>
  <c r="N21" i="5"/>
  <c r="N20" i="5"/>
  <c r="O20" i="5"/>
  <c r="N19" i="5"/>
  <c r="O19" i="5"/>
  <c r="O18" i="5"/>
  <c r="N18" i="5"/>
  <c r="P18" i="5" s="1"/>
  <c r="O17" i="5"/>
  <c r="N17" i="5"/>
  <c r="P17" i="5" s="1"/>
  <c r="R11" i="5"/>
  <c r="E11" i="5" s="1"/>
  <c r="D11" i="5" s="1"/>
  <c r="J21" i="5"/>
  <c r="I21" i="5"/>
  <c r="I20" i="5"/>
  <c r="J20" i="5"/>
  <c r="R6" i="5"/>
  <c r="E6" i="5" s="1"/>
  <c r="D6" i="5" s="1"/>
  <c r="J19" i="5"/>
  <c r="I19" i="5"/>
  <c r="I18" i="5"/>
  <c r="K18" i="5" s="1"/>
  <c r="J18" i="5"/>
  <c r="D39" i="5"/>
  <c r="G27" i="12"/>
  <c r="R7" i="5"/>
  <c r="E7" i="5" s="1"/>
  <c r="D7" i="5" s="1"/>
  <c r="R10" i="5"/>
  <c r="E10" i="5" s="1"/>
  <c r="D10" i="5" s="1"/>
  <c r="R9" i="5"/>
  <c r="E9" i="5" s="1"/>
  <c r="D9" i="5" s="1"/>
  <c r="J22" i="5"/>
  <c r="K22" i="5" s="1"/>
  <c r="I17" i="5"/>
  <c r="K17" i="5" s="1"/>
  <c r="R8" i="5"/>
  <c r="E8" i="5" s="1"/>
  <c r="D8" i="5" s="1"/>
  <c r="J23" i="5"/>
  <c r="K23" i="5" s="1"/>
  <c r="AB30" i="7"/>
  <c r="DA31" i="7"/>
  <c r="V5" i="2"/>
  <c r="L13" i="7"/>
  <c r="P13" i="7"/>
  <c r="O13" i="7"/>
  <c r="V6" i="2"/>
  <c r="G13" i="7"/>
  <c r="W21" i="7"/>
  <c r="Y22" i="7"/>
  <c r="Y21" i="7"/>
  <c r="K13" i="7"/>
  <c r="W22" i="7"/>
  <c r="D13" i="7"/>
  <c r="M12" i="7"/>
  <c r="E13" i="7"/>
  <c r="L12" i="7"/>
  <c r="AB21" i="7"/>
  <c r="D12" i="7"/>
  <c r="I13" i="7"/>
  <c r="DA21" i="7"/>
  <c r="G12" i="7"/>
  <c r="E12" i="7"/>
  <c r="O12" i="7"/>
  <c r="K12" i="7"/>
  <c r="I12" i="7"/>
  <c r="U6" i="2"/>
  <c r="AA22" i="7"/>
  <c r="H13" i="7"/>
  <c r="DA22" i="7"/>
  <c r="AB22" i="7"/>
  <c r="Z22" i="7"/>
  <c r="X21" i="7"/>
  <c r="M13" i="7"/>
  <c r="P12" i="7"/>
  <c r="J12" i="7"/>
  <c r="N13" i="7"/>
  <c r="X22" i="7"/>
  <c r="AA21" i="7"/>
  <c r="H12" i="7"/>
  <c r="N12" i="7"/>
  <c r="J13" i="7"/>
  <c r="F12" i="7"/>
  <c r="F13" i="7"/>
  <c r="Z21" i="7"/>
  <c r="G21" i="7"/>
  <c r="H21" i="7"/>
  <c r="L21" i="7"/>
  <c r="J21" i="7"/>
  <c r="F21" i="7"/>
  <c r="T22" i="7"/>
  <c r="R21" i="7"/>
  <c r="D21" i="7"/>
  <c r="K22" i="7"/>
  <c r="P22" i="7"/>
  <c r="J22" i="7"/>
  <c r="P21" i="7"/>
  <c r="N21" i="7"/>
  <c r="H22" i="7"/>
  <c r="V22" i="7"/>
  <c r="U5" i="2"/>
  <c r="E21" i="7"/>
  <c r="I21" i="7"/>
  <c r="O22" i="7"/>
  <c r="N22" i="7"/>
  <c r="G22" i="7"/>
  <c r="D22" i="7"/>
  <c r="E22" i="7"/>
  <c r="U22" i="7"/>
  <c r="Q21" i="7"/>
  <c r="K21" i="7"/>
  <c r="V21" i="7"/>
  <c r="S21" i="7"/>
  <c r="U21" i="7"/>
  <c r="L22" i="7"/>
  <c r="S22" i="7"/>
  <c r="M21" i="7"/>
  <c r="I22" i="7"/>
  <c r="F22" i="7"/>
  <c r="M22" i="7"/>
  <c r="R22" i="7"/>
  <c r="T21" i="7"/>
  <c r="K21" i="5" l="1"/>
  <c r="K19" i="5"/>
  <c r="K20" i="5"/>
  <c r="P23" i="5"/>
  <c r="R23" i="5" s="1"/>
  <c r="E23" i="5" s="1"/>
  <c r="D23" i="5" s="1"/>
  <c r="P22" i="5"/>
  <c r="R22" i="5" s="1"/>
  <c r="E22" i="5" s="1"/>
  <c r="D22" i="5" s="1"/>
  <c r="P21" i="5"/>
  <c r="P20" i="5"/>
  <c r="P19" i="5"/>
  <c r="R17" i="5"/>
  <c r="E17" i="5" s="1"/>
  <c r="D17" i="5" s="1"/>
  <c r="R18" i="5"/>
  <c r="E18" i="5" s="1"/>
  <c r="D18" i="5" s="1"/>
  <c r="G27" i="7"/>
  <c r="D10" i="2"/>
  <c r="O27" i="7"/>
  <c r="M14" i="7"/>
  <c r="S23" i="7"/>
  <c r="E14" i="7"/>
  <c r="N27" i="7"/>
  <c r="C10" i="2"/>
  <c r="U27" i="7"/>
  <c r="M27" i="7"/>
  <c r="Z27" i="7"/>
  <c r="J27" i="7"/>
  <c r="Q27" i="7"/>
  <c r="I23" i="7"/>
  <c r="DA32" i="7"/>
  <c r="I27" i="7"/>
  <c r="C30" i="2"/>
  <c r="P27" i="7"/>
  <c r="G14" i="7"/>
  <c r="W23" i="7"/>
  <c r="Q23" i="7"/>
  <c r="H27" i="7"/>
  <c r="D31" i="2"/>
  <c r="N14" i="7"/>
  <c r="T23" i="7"/>
  <c r="AA27" i="7"/>
  <c r="D14" i="7"/>
  <c r="F23" i="7"/>
  <c r="C31" i="2"/>
  <c r="J23" i="7"/>
  <c r="O14" i="7"/>
  <c r="X23" i="7"/>
  <c r="K27" i="7"/>
  <c r="U23" i="7"/>
  <c r="D23" i="7"/>
  <c r="R23" i="7"/>
  <c r="Y23" i="7"/>
  <c r="L23" i="7"/>
  <c r="M23" i="7"/>
  <c r="E23" i="7"/>
  <c r="D30" i="2"/>
  <c r="AA23" i="7"/>
  <c r="T27" i="7"/>
  <c r="H14" i="7"/>
  <c r="L14" i="7"/>
  <c r="S27" i="7"/>
  <c r="Z23" i="7"/>
  <c r="O23" i="7"/>
  <c r="F14" i="7"/>
  <c r="P23" i="7"/>
  <c r="X27" i="7"/>
  <c r="W27" i="7"/>
  <c r="K14" i="7"/>
  <c r="P14" i="7"/>
  <c r="G23" i="7"/>
  <c r="I14" i="7"/>
  <c r="H23" i="7"/>
  <c r="D5" i="2"/>
  <c r="AB23" i="7"/>
  <c r="N23" i="7"/>
  <c r="V27" i="7"/>
  <c r="L27" i="7"/>
  <c r="F27" i="7"/>
  <c r="K23" i="7"/>
  <c r="Y27" i="7"/>
  <c r="R27" i="7"/>
  <c r="J14" i="7"/>
  <c r="V23" i="7"/>
  <c r="E27" i="7"/>
  <c r="R19" i="5" l="1"/>
  <c r="E19" i="5" s="1"/>
  <c r="D19" i="5" s="1"/>
  <c r="R20" i="5"/>
  <c r="E20" i="5" s="1"/>
  <c r="D20" i="5" s="1"/>
  <c r="R21" i="5"/>
  <c r="E21" i="5" s="1"/>
  <c r="D21" i="5" s="1"/>
  <c r="D30" i="9"/>
  <c r="F30" i="9"/>
  <c r="DA33" i="7"/>
  <c r="DA34" i="7" s="1"/>
  <c r="N30" i="2"/>
  <c r="P30" i="2" s="1"/>
  <c r="I30" i="9"/>
  <c r="H30" i="9"/>
  <c r="O30" i="9"/>
  <c r="E5" i="12"/>
  <c r="I30" i="2"/>
  <c r="J30" i="2" s="1"/>
  <c r="K30" i="9"/>
  <c r="E30" i="9"/>
  <c r="C30" i="9"/>
  <c r="F5" i="12"/>
  <c r="N31" i="2"/>
  <c r="O31" i="2" s="1"/>
  <c r="M30" i="9"/>
  <c r="L30" i="9"/>
  <c r="N30" i="9"/>
  <c r="G30" i="9"/>
  <c r="I31" i="2"/>
  <c r="K31" i="2" s="1"/>
  <c r="J30" i="9"/>
  <c r="DB33" i="7" l="1"/>
  <c r="DB35" i="7" s="1"/>
  <c r="O30" i="2"/>
  <c r="Q30" i="2" s="1"/>
  <c r="J31" i="2"/>
  <c r="L31" i="2" s="1"/>
  <c r="P31" i="2"/>
  <c r="Q31" i="2" s="1"/>
  <c r="DA37" i="7"/>
  <c r="DA39" i="7" s="1"/>
  <c r="DA41" i="7" s="1"/>
  <c r="K30" i="2"/>
  <c r="L30" i="2" s="1"/>
  <c r="CZ33" i="7"/>
  <c r="CZ37" i="7" s="1"/>
  <c r="CZ39" i="7" s="1"/>
  <c r="CZ40" i="7" s="1"/>
  <c r="DA35" i="7"/>
  <c r="N10" i="2"/>
  <c r="I10" i="2"/>
  <c r="C29" i="5"/>
  <c r="M38" i="5"/>
  <c r="O38" i="5" s="1"/>
  <c r="H38" i="5"/>
  <c r="J38" i="5" s="1"/>
  <c r="M37" i="5"/>
  <c r="O37" i="5" s="1"/>
  <c r="M36" i="5"/>
  <c r="O36" i="5" s="1"/>
  <c r="M34" i="5"/>
  <c r="O34" i="5" s="1"/>
  <c r="H37" i="5"/>
  <c r="J37" i="5" s="1"/>
  <c r="H36" i="5"/>
  <c r="J36" i="5" s="1"/>
  <c r="H34" i="5"/>
  <c r="J34" i="5" s="1"/>
  <c r="M33" i="5"/>
  <c r="O33" i="5" s="1"/>
  <c r="H33" i="5"/>
  <c r="J33" i="5" s="1"/>
  <c r="M31" i="5"/>
  <c r="O31" i="5" s="1"/>
  <c r="H31" i="5"/>
  <c r="J31" i="5" s="1"/>
  <c r="N22" i="2"/>
  <c r="P22" i="2" s="1"/>
  <c r="I22" i="2"/>
  <c r="K22" i="2" s="1"/>
  <c r="N18" i="2"/>
  <c r="P18" i="2" s="1"/>
  <c r="I18" i="2"/>
  <c r="K18" i="2" s="1"/>
  <c r="N15" i="2"/>
  <c r="P15" i="2" s="1"/>
  <c r="N14" i="2"/>
  <c r="P14" i="2" s="1"/>
  <c r="I15" i="2"/>
  <c r="K15" i="2" s="1"/>
  <c r="I14" i="2"/>
  <c r="K14" i="2" s="1"/>
  <c r="M24" i="5"/>
  <c r="O24" i="5" s="1"/>
  <c r="H24" i="5"/>
  <c r="J24" i="5" s="1"/>
  <c r="H4" i="5"/>
  <c r="J4" i="5" s="1"/>
  <c r="M4" i="5"/>
  <c r="O4" i="5" s="1"/>
  <c r="F8" i="12"/>
  <c r="E8" i="12"/>
  <c r="N23" i="2"/>
  <c r="P23" i="2" s="1"/>
  <c r="I23" i="2"/>
  <c r="K23" i="2" s="1"/>
  <c r="DB34" i="7" l="1"/>
  <c r="DB37" i="7"/>
  <c r="DB39" i="7" s="1"/>
  <c r="DB40" i="7" s="1"/>
  <c r="DC33" i="7"/>
  <c r="DC34" i="7" s="1"/>
  <c r="S30" i="2"/>
  <c r="S31" i="2"/>
  <c r="CZ34" i="7"/>
  <c r="DA40" i="7"/>
  <c r="DA42" i="7" s="1"/>
  <c r="CZ41" i="7"/>
  <c r="CZ42" i="7" s="1"/>
  <c r="CY33" i="7"/>
  <c r="CY37" i="7" s="1"/>
  <c r="CY39" i="7" s="1"/>
  <c r="CY40" i="7" s="1"/>
  <c r="CZ35" i="7"/>
  <c r="O10" i="2"/>
  <c r="P10" i="2"/>
  <c r="J10" i="2"/>
  <c r="K10" i="2"/>
  <c r="N37" i="5"/>
  <c r="N4" i="5"/>
  <c r="C15" i="5" s="1"/>
  <c r="I34" i="5"/>
  <c r="N38" i="5"/>
  <c r="O23" i="2"/>
  <c r="Q23" i="2" s="1"/>
  <c r="J15" i="2"/>
  <c r="O15" i="2"/>
  <c r="O18" i="2"/>
  <c r="O22" i="2"/>
  <c r="N31" i="5"/>
  <c r="P31" i="5" s="1"/>
  <c r="N34" i="5"/>
  <c r="J23" i="2"/>
  <c r="I4" i="5"/>
  <c r="B15" i="5" s="1"/>
  <c r="I24" i="5"/>
  <c r="K24" i="5" s="1"/>
  <c r="J14" i="2"/>
  <c r="J18" i="2"/>
  <c r="J22" i="2"/>
  <c r="I33" i="5"/>
  <c r="K33" i="5" s="1"/>
  <c r="I37" i="5"/>
  <c r="N36" i="5"/>
  <c r="I38" i="5"/>
  <c r="O14" i="2"/>
  <c r="N33" i="5"/>
  <c r="P33" i="5" s="1"/>
  <c r="N24" i="5"/>
  <c r="I36" i="5"/>
  <c r="K36" i="5" s="1"/>
  <c r="I31" i="5"/>
  <c r="DD33" i="7" l="1"/>
  <c r="DD34" i="7" s="1"/>
  <c r="DC35" i="7"/>
  <c r="DB41" i="7"/>
  <c r="DB42" i="7" s="1"/>
  <c r="DA36" i="7" s="1"/>
  <c r="DC37" i="7"/>
  <c r="DC39" i="7" s="1"/>
  <c r="DC41" i="7" s="1"/>
  <c r="CY41" i="7"/>
  <c r="CY42" i="7" s="1"/>
  <c r="CY34" i="7"/>
  <c r="CZ36" i="7"/>
  <c r="CX33" i="7"/>
  <c r="CX34" i="7" s="1"/>
  <c r="CY35" i="7"/>
  <c r="C4" i="11"/>
  <c r="C5" i="11"/>
  <c r="Q10" i="2"/>
  <c r="C14" i="11" s="1"/>
  <c r="L10" i="2"/>
  <c r="A14" i="11" s="1"/>
  <c r="R33" i="5"/>
  <c r="E33" i="5" s="1"/>
  <c r="G17" i="12" s="1"/>
  <c r="P36" i="5"/>
  <c r="R36" i="5" s="1"/>
  <c r="E36" i="5" s="1"/>
  <c r="G24" i="12" s="1"/>
  <c r="K34" i="5"/>
  <c r="K31" i="5"/>
  <c r="P34" i="5"/>
  <c r="P38" i="5"/>
  <c r="P37" i="5"/>
  <c r="K38" i="5"/>
  <c r="K37" i="5"/>
  <c r="K4" i="5"/>
  <c r="P24" i="5"/>
  <c r="R24" i="5" s="1"/>
  <c r="E24" i="5" s="1"/>
  <c r="D24" i="5" s="1"/>
  <c r="H15" i="5"/>
  <c r="J15" i="5" s="1"/>
  <c r="M15" i="5"/>
  <c r="O15" i="5" s="1"/>
  <c r="P4" i="5"/>
  <c r="F31" i="2"/>
  <c r="E31" i="2" s="1"/>
  <c r="L23" i="2"/>
  <c r="S23" i="2" s="1"/>
  <c r="F23" i="2" s="1"/>
  <c r="G21" i="12" s="1"/>
  <c r="L22" i="2"/>
  <c r="Q14" i="2"/>
  <c r="Q22" i="2"/>
  <c r="Q18" i="2"/>
  <c r="Q15" i="2"/>
  <c r="L18" i="2"/>
  <c r="A4" i="11" s="1"/>
  <c r="L14" i="2"/>
  <c r="L15" i="2"/>
  <c r="DE33" i="7" l="1"/>
  <c r="DE35" i="7" s="1"/>
  <c r="DD37" i="7"/>
  <c r="DD39" i="7" s="1"/>
  <c r="DD41" i="7" s="1"/>
  <c r="DD35" i="7"/>
  <c r="DC40" i="7"/>
  <c r="DC42" i="7" s="1"/>
  <c r="DB36" i="7" s="1"/>
  <c r="CX37" i="7"/>
  <c r="CX39" i="7" s="1"/>
  <c r="CX41" i="7" s="1"/>
  <c r="CX35" i="7"/>
  <c r="CW33" i="7"/>
  <c r="CW34" i="7" s="1"/>
  <c r="CY36" i="7"/>
  <c r="A5" i="11"/>
  <c r="D36" i="5"/>
  <c r="D33" i="5"/>
  <c r="E23" i="2"/>
  <c r="B14" i="11"/>
  <c r="R31" i="5"/>
  <c r="E31" i="5" s="1"/>
  <c r="S10" i="2"/>
  <c r="F10" i="2" s="1"/>
  <c r="E10" i="2" s="1"/>
  <c r="R37" i="5"/>
  <c r="E37" i="5" s="1"/>
  <c r="G25" i="12" s="1"/>
  <c r="S18" i="2"/>
  <c r="F18" i="2" s="1"/>
  <c r="G14" i="12" s="1"/>
  <c r="R38" i="5"/>
  <c r="E38" i="5" s="1"/>
  <c r="G26" i="12" s="1"/>
  <c r="S22" i="2"/>
  <c r="F22" i="2" s="1"/>
  <c r="G20" i="12" s="1"/>
  <c r="S15" i="2"/>
  <c r="F15" i="2" s="1"/>
  <c r="S14" i="2"/>
  <c r="F14" i="2" s="1"/>
  <c r="N15" i="5"/>
  <c r="I15" i="5"/>
  <c r="R4" i="5"/>
  <c r="E4" i="5" s="1"/>
  <c r="D4" i="5" s="1"/>
  <c r="R34" i="5"/>
  <c r="E34" i="5" s="1"/>
  <c r="G18" i="12" s="1"/>
  <c r="F30" i="2"/>
  <c r="E30" i="2" s="1"/>
  <c r="DE37" i="7" l="1"/>
  <c r="DE39" i="7" s="1"/>
  <c r="DE41" i="7" s="1"/>
  <c r="DD40" i="7"/>
  <c r="DD42" i="7" s="1"/>
  <c r="DC36" i="7" s="1"/>
  <c r="DE34" i="7"/>
  <c r="CX40" i="7"/>
  <c r="CX42" i="7" s="1"/>
  <c r="CX36" i="7" s="1"/>
  <c r="CW35" i="7"/>
  <c r="CW37" i="7"/>
  <c r="CW39" i="7" s="1"/>
  <c r="CW41" i="7" s="1"/>
  <c r="CV33" i="7"/>
  <c r="CV34" i="7" s="1"/>
  <c r="D38" i="5"/>
  <c r="D37" i="5"/>
  <c r="D34" i="5"/>
  <c r="G12" i="12"/>
  <c r="D31" i="5"/>
  <c r="E22" i="2"/>
  <c r="E18" i="2"/>
  <c r="G10" i="12"/>
  <c r="E15" i="2"/>
  <c r="G9" i="12"/>
  <c r="E14" i="2"/>
  <c r="G5" i="12"/>
  <c r="K15" i="5"/>
  <c r="P15" i="5"/>
  <c r="DE40" i="7" l="1"/>
  <c r="DE42" i="7" s="1"/>
  <c r="DD36" i="7" s="1"/>
  <c r="CV37" i="7"/>
  <c r="CV39" i="7" s="1"/>
  <c r="CV41" i="7" s="1"/>
  <c r="CU33" i="7"/>
  <c r="CU37" i="7" s="1"/>
  <c r="CU39" i="7" s="1"/>
  <c r="CU40" i="7" s="1"/>
  <c r="CW40" i="7"/>
  <c r="CW42" i="7" s="1"/>
  <c r="CW36" i="7" s="1"/>
  <c r="CV35" i="7"/>
  <c r="R15" i="5"/>
  <c r="E15" i="5" s="1"/>
  <c r="D15" i="5" s="1"/>
  <c r="DE36" i="7" l="1"/>
  <c r="CV40" i="7"/>
  <c r="CV42" i="7" s="1"/>
  <c r="CV36" i="7" s="1"/>
  <c r="CU34" i="7"/>
  <c r="CU35" i="7"/>
  <c r="CT33" i="7"/>
  <c r="CT35" i="7" s="1"/>
  <c r="CU41" i="7"/>
  <c r="CU42" i="7" s="1"/>
  <c r="CU36" i="7" l="1"/>
  <c r="CS33" i="7"/>
  <c r="CS37" i="7" s="1"/>
  <c r="CS39" i="7" s="1"/>
  <c r="CS41" i="7" s="1"/>
  <c r="CT34" i="7"/>
  <c r="CT37" i="7"/>
  <c r="CT39" i="7" s="1"/>
  <c r="CT41" i="7" s="1"/>
  <c r="CR33" i="7" l="1"/>
  <c r="CR34" i="7" s="1"/>
  <c r="CS35" i="7"/>
  <c r="CS40" i="7"/>
  <c r="CS42" i="7" s="1"/>
  <c r="CS34" i="7"/>
  <c r="CT40" i="7"/>
  <c r="CT42" i="7" s="1"/>
  <c r="CT36" i="7" s="1"/>
  <c r="CQ33" i="7" l="1"/>
  <c r="CQ37" i="7" s="1"/>
  <c r="CQ39" i="7" s="1"/>
  <c r="CQ41" i="7" s="1"/>
  <c r="CR35" i="7"/>
  <c r="CR37" i="7"/>
  <c r="CR39" i="7" s="1"/>
  <c r="CR41" i="7" s="1"/>
  <c r="CS36" i="7"/>
  <c r="CQ35" i="7" l="1"/>
  <c r="CQ40" i="7"/>
  <c r="CQ42" i="7" s="1"/>
  <c r="CP33" i="7"/>
  <c r="CP37" i="7" s="1"/>
  <c r="CP39" i="7" s="1"/>
  <c r="CP40" i="7" s="1"/>
  <c r="CQ34" i="7"/>
  <c r="CR40" i="7"/>
  <c r="CR42" i="7" s="1"/>
  <c r="CR36" i="7" s="1"/>
  <c r="CP34" i="7" l="1"/>
  <c r="CO33" i="7"/>
  <c r="CO35" i="7" s="1"/>
  <c r="CP35" i="7"/>
  <c r="CP41" i="7"/>
  <c r="CP42" i="7" s="1"/>
  <c r="CQ36" i="7"/>
  <c r="CP36" i="7" l="1"/>
  <c r="CO34" i="7"/>
  <c r="CN33" i="7"/>
  <c r="CN34" i="7" s="1"/>
  <c r="CO37" i="7"/>
  <c r="CO39" i="7" s="1"/>
  <c r="CO40" i="7" s="1"/>
  <c r="CM33" i="7" l="1"/>
  <c r="CM35" i="7" s="1"/>
  <c r="CN35" i="7"/>
  <c r="CN37" i="7"/>
  <c r="CN39" i="7" s="1"/>
  <c r="CN41" i="7" s="1"/>
  <c r="CO41" i="7"/>
  <c r="CO42" i="7" s="1"/>
  <c r="CO36" i="7" s="1"/>
  <c r="CN40" i="7" l="1"/>
  <c r="CN42" i="7" s="1"/>
  <c r="CN36" i="7" s="1"/>
  <c r="CM34" i="7"/>
  <c r="CM37" i="7"/>
  <c r="CM39" i="7" s="1"/>
  <c r="CM41" i="7" s="1"/>
  <c r="CL33" i="7"/>
  <c r="CL35" i="7" s="1"/>
  <c r="CL37" i="7" l="1"/>
  <c r="CL39" i="7" s="1"/>
  <c r="CL40" i="7" s="1"/>
  <c r="CM40" i="7"/>
  <c r="CM42" i="7" s="1"/>
  <c r="CM36" i="7" s="1"/>
  <c r="CK33" i="7"/>
  <c r="CK34" i="7" s="1"/>
  <c r="CL34" i="7"/>
  <c r="CL41" i="7" l="1"/>
  <c r="CL42" i="7" s="1"/>
  <c r="CL36" i="7" s="1"/>
  <c r="CK35" i="7"/>
  <c r="CK37" i="7"/>
  <c r="CK39" i="7" s="1"/>
  <c r="CK41" i="7" s="1"/>
  <c r="CJ33" i="7"/>
  <c r="CJ37" i="7" s="1"/>
  <c r="CJ39" i="7" s="1"/>
  <c r="CJ40" i="7" s="1"/>
  <c r="CJ34" i="7" l="1"/>
  <c r="CI33" i="7"/>
  <c r="CI35" i="7" s="1"/>
  <c r="CJ41" i="7"/>
  <c r="CJ42" i="7" s="1"/>
  <c r="CK40" i="7"/>
  <c r="CK42" i="7" s="1"/>
  <c r="CK36" i="7" s="1"/>
  <c r="CJ35" i="7"/>
  <c r="CI37" i="7" l="1"/>
  <c r="CI39" i="7" s="1"/>
  <c r="CI40" i="7" s="1"/>
  <c r="CI34" i="7"/>
  <c r="CH33" i="7"/>
  <c r="CH34" i="7" s="1"/>
  <c r="CJ36" i="7"/>
  <c r="CG33" i="7" l="1"/>
  <c r="CG37" i="7" s="1"/>
  <c r="CG39" i="7" s="1"/>
  <c r="CG40" i="7" s="1"/>
  <c r="CH35" i="7"/>
  <c r="CH37" i="7"/>
  <c r="CH39" i="7" s="1"/>
  <c r="CH41" i="7" s="1"/>
  <c r="CI41" i="7"/>
  <c r="CI42" i="7" s="1"/>
  <c r="CI36" i="7" s="1"/>
  <c r="CG41" i="7" l="1"/>
  <c r="CG42" i="7" s="1"/>
  <c r="CH40" i="7"/>
  <c r="CH42" i="7" s="1"/>
  <c r="CH36" i="7" s="1"/>
  <c r="CF33" i="7"/>
  <c r="CF34" i="7" s="1"/>
  <c r="CG34" i="7"/>
  <c r="CG35" i="7"/>
  <c r="CG36" i="7" l="1"/>
  <c r="CF37" i="7"/>
  <c r="CF39" i="7" s="1"/>
  <c r="CF40" i="7" s="1"/>
  <c r="CE33" i="7"/>
  <c r="CE34" i="7" s="1"/>
  <c r="CF35" i="7"/>
  <c r="CD33" i="7" l="1"/>
  <c r="CD35" i="7" s="1"/>
  <c r="CE35" i="7"/>
  <c r="CE37" i="7"/>
  <c r="CE39" i="7" s="1"/>
  <c r="CE41" i="7" s="1"/>
  <c r="CF41" i="7"/>
  <c r="CF42" i="7" s="1"/>
  <c r="CF36" i="7" s="1"/>
  <c r="CD37" i="7" l="1"/>
  <c r="CD39" i="7" s="1"/>
  <c r="CD41" i="7" s="1"/>
  <c r="CC33" i="7"/>
  <c r="CC34" i="7" s="1"/>
  <c r="CD34" i="7"/>
  <c r="CE40" i="7"/>
  <c r="CE42" i="7" s="1"/>
  <c r="CE36" i="7" s="1"/>
  <c r="CD40" i="7" l="1"/>
  <c r="CD42" i="7" s="1"/>
  <c r="CD36" i="7" s="1"/>
  <c r="CB33" i="7"/>
  <c r="CB35" i="7" s="1"/>
  <c r="CC37" i="7"/>
  <c r="CC39" i="7" s="1"/>
  <c r="CC41" i="7" s="1"/>
  <c r="CC35" i="7"/>
  <c r="CB34" i="7" l="1"/>
  <c r="CA33" i="7"/>
  <c r="CA35" i="7" s="1"/>
  <c r="CB37" i="7"/>
  <c r="CB39" i="7" s="1"/>
  <c r="CB41" i="7" s="1"/>
  <c r="CC40" i="7"/>
  <c r="CC42" i="7" s="1"/>
  <c r="CC36" i="7" s="1"/>
  <c r="BZ33" i="7" l="1"/>
  <c r="BZ37" i="7" s="1"/>
  <c r="BZ39" i="7" s="1"/>
  <c r="BZ40" i="7" s="1"/>
  <c r="CA34" i="7"/>
  <c r="CA37" i="7"/>
  <c r="CA39" i="7" s="1"/>
  <c r="CA40" i="7" s="1"/>
  <c r="CB40" i="7"/>
  <c r="CB42" i="7" s="1"/>
  <c r="CB36" i="7" s="1"/>
  <c r="BZ41" i="7" l="1"/>
  <c r="BZ42" i="7" s="1"/>
  <c r="BY33" i="7"/>
  <c r="BY35" i="7" s="1"/>
  <c r="BZ34" i="7"/>
  <c r="BZ35" i="7"/>
  <c r="CA41" i="7"/>
  <c r="CA42" i="7" s="1"/>
  <c r="CA36" i="7" s="1"/>
  <c r="BY34" i="7" l="1"/>
  <c r="BX33" i="7"/>
  <c r="BX35" i="7" s="1"/>
  <c r="BY37" i="7"/>
  <c r="BY39" i="7" s="1"/>
  <c r="BY40" i="7" s="1"/>
  <c r="BZ36" i="7"/>
  <c r="BX34" i="7" l="1"/>
  <c r="BW33" i="7"/>
  <c r="BW35" i="7" s="1"/>
  <c r="BX37" i="7"/>
  <c r="BX39" i="7" s="1"/>
  <c r="BX40" i="7" s="1"/>
  <c r="BY41" i="7"/>
  <c r="BY42" i="7" s="1"/>
  <c r="BY36" i="7" s="1"/>
  <c r="BW34" i="7" l="1"/>
  <c r="BW37" i="7"/>
  <c r="BW39" i="7" s="1"/>
  <c r="BW41" i="7" s="1"/>
  <c r="BX41" i="7"/>
  <c r="BX42" i="7" s="1"/>
  <c r="BX36" i="7" s="1"/>
  <c r="BV33" i="7"/>
  <c r="BV35" i="7" s="1"/>
  <c r="BW40" i="7" l="1"/>
  <c r="BW42" i="7" s="1"/>
  <c r="BW36" i="7" s="1"/>
  <c r="BV37" i="7"/>
  <c r="BV39" i="7" s="1"/>
  <c r="BV40" i="7" s="1"/>
  <c r="BU33" i="7"/>
  <c r="BU34" i="7" s="1"/>
  <c r="BV34" i="7"/>
  <c r="BV41" i="7" l="1"/>
  <c r="BV42" i="7" s="1"/>
  <c r="BV36" i="7" s="1"/>
  <c r="BT33" i="7"/>
  <c r="BT35" i="7" s="1"/>
  <c r="BU37" i="7"/>
  <c r="BU39" i="7" s="1"/>
  <c r="BU40" i="7" s="1"/>
  <c r="BU35" i="7"/>
  <c r="BT37" i="7" l="1"/>
  <c r="BT39" i="7" s="1"/>
  <c r="BT40" i="7" s="1"/>
  <c r="BS33" i="7"/>
  <c r="BS34" i="7" s="1"/>
  <c r="BT34" i="7"/>
  <c r="BU41" i="7"/>
  <c r="BU42" i="7" s="1"/>
  <c r="BU36" i="7" s="1"/>
  <c r="BT41" i="7" l="1"/>
  <c r="BT42" i="7" s="1"/>
  <c r="BT36" i="7" s="1"/>
  <c r="BS35" i="7"/>
  <c r="BR33" i="7"/>
  <c r="BR34" i="7" s="1"/>
  <c r="BS37" i="7"/>
  <c r="BS39" i="7" s="1"/>
  <c r="BS40" i="7" s="1"/>
  <c r="BQ33" i="7" l="1"/>
  <c r="BQ35" i="7" s="1"/>
  <c r="BR35" i="7"/>
  <c r="BR37" i="7"/>
  <c r="BR39" i="7" s="1"/>
  <c r="BR40" i="7" s="1"/>
  <c r="BS41" i="7"/>
  <c r="BS42" i="7" s="1"/>
  <c r="BS36" i="7" s="1"/>
  <c r="BR41" i="7" l="1"/>
  <c r="BR42" i="7" s="1"/>
  <c r="BR36" i="7" s="1"/>
  <c r="BQ37" i="7"/>
  <c r="BQ39" i="7" s="1"/>
  <c r="BQ41" i="7" s="1"/>
  <c r="BP33" i="7"/>
  <c r="BP34" i="7" s="1"/>
  <c r="BQ34" i="7"/>
  <c r="BP37" i="7" l="1"/>
  <c r="BP39" i="7" s="1"/>
  <c r="BP40" i="7" s="1"/>
  <c r="BP35" i="7"/>
  <c r="BO33" i="7"/>
  <c r="BO37" i="7" s="1"/>
  <c r="BO39" i="7" s="1"/>
  <c r="BO40" i="7" s="1"/>
  <c r="BQ40" i="7"/>
  <c r="BQ42" i="7" s="1"/>
  <c r="BQ36" i="7" s="1"/>
  <c r="BP41" i="7" l="1"/>
  <c r="BP42" i="7" s="1"/>
  <c r="BP36" i="7" s="1"/>
  <c r="BO41" i="7"/>
  <c r="BO42" i="7" s="1"/>
  <c r="BO35" i="7"/>
  <c r="BN33" i="7"/>
  <c r="BN37" i="7" s="1"/>
  <c r="BN39" i="7" s="1"/>
  <c r="BN40" i="7" s="1"/>
  <c r="BO34" i="7"/>
  <c r="BN35" i="7" l="1"/>
  <c r="BN34" i="7"/>
  <c r="BM33" i="7"/>
  <c r="BM34" i="7" s="1"/>
  <c r="BO36" i="7"/>
  <c r="BN41" i="7"/>
  <c r="BN42" i="7" s="1"/>
  <c r="BN36" i="7" l="1"/>
  <c r="BM37" i="7"/>
  <c r="BM39" i="7" s="1"/>
  <c r="BM40" i="7" s="1"/>
  <c r="BM35" i="7"/>
  <c r="BL33" i="7"/>
  <c r="BL37" i="7" s="1"/>
  <c r="BL39" i="7" s="1"/>
  <c r="BL41" i="7" s="1"/>
  <c r="BM41" i="7" l="1"/>
  <c r="BM42" i="7" s="1"/>
  <c r="BM36" i="7" s="1"/>
  <c r="BK33" i="7"/>
  <c r="BK34" i="7" s="1"/>
  <c r="BL35" i="7"/>
  <c r="BL34" i="7"/>
  <c r="BL40" i="7"/>
  <c r="BL42" i="7" s="1"/>
  <c r="BJ33" i="7" l="1"/>
  <c r="BJ37" i="7" s="1"/>
  <c r="BJ39" i="7" s="1"/>
  <c r="BJ40" i="7" s="1"/>
  <c r="BK35" i="7"/>
  <c r="BL36" i="7"/>
  <c r="BK37" i="7"/>
  <c r="BK39" i="7" s="1"/>
  <c r="BK40" i="7" s="1"/>
  <c r="BI33" i="7" l="1"/>
  <c r="BI35" i="7" s="1"/>
  <c r="BJ35" i="7"/>
  <c r="BJ34" i="7"/>
  <c r="BJ41" i="7"/>
  <c r="BJ42" i="7" s="1"/>
  <c r="BK41" i="7"/>
  <c r="BK42" i="7" s="1"/>
  <c r="BK36" i="7" s="1"/>
  <c r="BI37" i="7" l="1"/>
  <c r="BI39" i="7" s="1"/>
  <c r="BI40" i="7" s="1"/>
  <c r="BI34" i="7"/>
  <c r="BH33" i="7"/>
  <c r="BH35" i="7" s="1"/>
  <c r="BJ36" i="7"/>
  <c r="BG33" i="7" l="1"/>
  <c r="BG35" i="7" s="1"/>
  <c r="BH37" i="7"/>
  <c r="BH39" i="7" s="1"/>
  <c r="BH41" i="7" s="1"/>
  <c r="BH34" i="7"/>
  <c r="BI41" i="7"/>
  <c r="BI42" i="7" s="1"/>
  <c r="BI36" i="7" s="1"/>
  <c r="BF33" i="7" l="1"/>
  <c r="BF35" i="7" s="1"/>
  <c r="BG34" i="7"/>
  <c r="BG37" i="7"/>
  <c r="BG39" i="7" s="1"/>
  <c r="BG41" i="7" s="1"/>
  <c r="BH40" i="7"/>
  <c r="BH42" i="7" s="1"/>
  <c r="BH36" i="7" s="1"/>
  <c r="BF37" i="7" l="1"/>
  <c r="BF39" i="7" s="1"/>
  <c r="BF41" i="7" s="1"/>
  <c r="BF34" i="7"/>
  <c r="BE33" i="7"/>
  <c r="BE35" i="7" s="1"/>
  <c r="BG40" i="7"/>
  <c r="BG42" i="7" s="1"/>
  <c r="BG36" i="7" s="1"/>
  <c r="BF40" i="7" l="1"/>
  <c r="BF42" i="7" s="1"/>
  <c r="BF36" i="7" s="1"/>
  <c r="BD33" i="7"/>
  <c r="BD35" i="7" s="1"/>
  <c r="BE37" i="7"/>
  <c r="BE39" i="7" s="1"/>
  <c r="BE41" i="7" s="1"/>
  <c r="BE34" i="7"/>
  <c r="BD34" i="7" l="1"/>
  <c r="BD37" i="7"/>
  <c r="BD39" i="7" s="1"/>
  <c r="BD41" i="7" s="1"/>
  <c r="BC33" i="7"/>
  <c r="BC35" i="7" s="1"/>
  <c r="BE40" i="7"/>
  <c r="BE42" i="7" s="1"/>
  <c r="BE36" i="7" s="1"/>
  <c r="BD40" i="7" l="1"/>
  <c r="BD42" i="7" s="1"/>
  <c r="BD36" i="7" s="1"/>
  <c r="BB33" i="7"/>
  <c r="BB35" i="7" s="1"/>
  <c r="BC34" i="7"/>
  <c r="BC37" i="7"/>
  <c r="BC39" i="7" s="1"/>
  <c r="BC40" i="7" s="1"/>
  <c r="BA33" i="7" l="1"/>
  <c r="BA34" i="7" s="1"/>
  <c r="BB37" i="7"/>
  <c r="BB39" i="7" s="1"/>
  <c r="BB40" i="7" s="1"/>
  <c r="BC41" i="7"/>
  <c r="BC42" i="7" s="1"/>
  <c r="BC36" i="7" s="1"/>
  <c r="BB34" i="7"/>
  <c r="AZ33" i="7" l="1"/>
  <c r="AZ34" i="7" s="1"/>
  <c r="BA35" i="7"/>
  <c r="BA37" i="7"/>
  <c r="BA39" i="7" s="1"/>
  <c r="BA41" i="7" s="1"/>
  <c r="BB41" i="7"/>
  <c r="BB42" i="7" s="1"/>
  <c r="BB36" i="7" s="1"/>
  <c r="AZ35" i="7" l="1"/>
  <c r="AZ37" i="7"/>
  <c r="AZ39" i="7" s="1"/>
  <c r="AZ41" i="7" s="1"/>
  <c r="AY33" i="7"/>
  <c r="AY34" i="7" s="1"/>
  <c r="BA40" i="7"/>
  <c r="BA42" i="7" s="1"/>
  <c r="BA36" i="7" s="1"/>
  <c r="AX33" i="7" l="1"/>
  <c r="AX34" i="7" s="1"/>
  <c r="AZ40" i="7"/>
  <c r="AZ42" i="7" s="1"/>
  <c r="AZ36" i="7" s="1"/>
  <c r="AY37" i="7"/>
  <c r="AY39" i="7" s="1"/>
  <c r="AY40" i="7" s="1"/>
  <c r="AY35" i="7"/>
  <c r="AX37" i="7" l="1"/>
  <c r="AX39" i="7" s="1"/>
  <c r="AX40" i="7" s="1"/>
  <c r="AW33" i="7"/>
  <c r="AW34" i="7" s="1"/>
  <c r="AX35" i="7"/>
  <c r="AY41" i="7"/>
  <c r="AY42" i="7" s="1"/>
  <c r="AY36" i="7" s="1"/>
  <c r="AV33" i="7" l="1"/>
  <c r="AV34" i="7" s="1"/>
  <c r="AW37" i="7"/>
  <c r="AW39" i="7" s="1"/>
  <c r="AW40" i="7" s="1"/>
  <c r="AW35" i="7"/>
  <c r="AX41" i="7"/>
  <c r="AX42" i="7" s="1"/>
  <c r="AX36" i="7" s="1"/>
  <c r="AU33" i="7" l="1"/>
  <c r="AU37" i="7" s="1"/>
  <c r="AU39" i="7" s="1"/>
  <c r="AU40" i="7" s="1"/>
  <c r="AV35" i="7"/>
  <c r="AV37" i="7"/>
  <c r="AV39" i="7" s="1"/>
  <c r="AV41" i="7" s="1"/>
  <c r="AW41" i="7"/>
  <c r="AW42" i="7" s="1"/>
  <c r="AW36" i="7" s="1"/>
  <c r="AU41" i="7" l="1"/>
  <c r="AU42" i="7" s="1"/>
  <c r="AU35" i="7"/>
  <c r="AT33" i="7"/>
  <c r="AT35" i="7" s="1"/>
  <c r="AU34" i="7"/>
  <c r="AV40" i="7"/>
  <c r="AV42" i="7" s="1"/>
  <c r="AV36" i="7" s="1"/>
  <c r="AS33" i="7" l="1"/>
  <c r="AS34" i="7" s="1"/>
  <c r="AT34" i="7"/>
  <c r="AT37" i="7"/>
  <c r="AT39" i="7" s="1"/>
  <c r="AT40" i="7" s="1"/>
  <c r="AU36" i="7"/>
  <c r="AT41" i="7" l="1"/>
  <c r="AT42" i="7" s="1"/>
  <c r="AT36" i="7" s="1"/>
  <c r="AS35" i="7"/>
  <c r="AS37" i="7"/>
  <c r="AS39" i="7" s="1"/>
  <c r="AS41" i="7" s="1"/>
  <c r="AR33" i="7"/>
  <c r="AR34" i="7" s="1"/>
  <c r="AR37" i="7" l="1"/>
  <c r="AR39" i="7" s="1"/>
  <c r="AR41" i="7" s="1"/>
  <c r="AQ33" i="7"/>
  <c r="AQ34" i="7" s="1"/>
  <c r="AR35" i="7"/>
  <c r="AS40" i="7"/>
  <c r="AS42" i="7" s="1"/>
  <c r="AS36" i="7" s="1"/>
  <c r="AQ35" i="7" l="1"/>
  <c r="AP33" i="7"/>
  <c r="AP34" i="7" s="1"/>
  <c r="AQ37" i="7"/>
  <c r="AQ39" i="7" s="1"/>
  <c r="AQ40" i="7" s="1"/>
  <c r="AR40" i="7"/>
  <c r="AR42" i="7" s="1"/>
  <c r="AR36" i="7" s="1"/>
  <c r="AO33" i="7" l="1"/>
  <c r="AO35" i="7" s="1"/>
  <c r="AP37" i="7"/>
  <c r="AP39" i="7" s="1"/>
  <c r="AP40" i="7" s="1"/>
  <c r="AP35" i="7"/>
  <c r="AQ41" i="7"/>
  <c r="AQ42" i="7" s="1"/>
  <c r="AQ36" i="7" s="1"/>
  <c r="AO37" i="7" l="1"/>
  <c r="AO39" i="7" s="1"/>
  <c r="AO40" i="7" s="1"/>
  <c r="AO34" i="7"/>
  <c r="AN33" i="7"/>
  <c r="AN34" i="7" s="1"/>
  <c r="AP41" i="7"/>
  <c r="AP42" i="7" s="1"/>
  <c r="AP36" i="7" s="1"/>
  <c r="AM33" i="7" l="1"/>
  <c r="AM35" i="7" s="1"/>
  <c r="AN35" i="7"/>
  <c r="AO41" i="7"/>
  <c r="AO42" i="7" s="1"/>
  <c r="AO36" i="7" s="1"/>
  <c r="AN37" i="7"/>
  <c r="AN39" i="7" s="1"/>
  <c r="AN40" i="7" s="1"/>
  <c r="AM34" i="7" l="1"/>
  <c r="AL33" i="7"/>
  <c r="AL34" i="7" s="1"/>
  <c r="AM37" i="7"/>
  <c r="AM39" i="7" s="1"/>
  <c r="AM41" i="7" s="1"/>
  <c r="AN41" i="7"/>
  <c r="AN42" i="7" s="1"/>
  <c r="AN36" i="7" s="1"/>
  <c r="AK33" i="7" l="1"/>
  <c r="AK35" i="7" s="1"/>
  <c r="AL37" i="7"/>
  <c r="AL39" i="7" s="1"/>
  <c r="AL40" i="7" s="1"/>
  <c r="AL35" i="7"/>
  <c r="AM40" i="7"/>
  <c r="AM42" i="7" s="1"/>
  <c r="AM36" i="7" s="1"/>
  <c r="AK34" i="7" l="1"/>
  <c r="AK37" i="7"/>
  <c r="AK39" i="7" s="1"/>
  <c r="AK40" i="7" s="1"/>
  <c r="AJ33" i="7"/>
  <c r="AJ34" i="7" s="1"/>
  <c r="AL41" i="7"/>
  <c r="AL42" i="7" s="1"/>
  <c r="AL36" i="7" s="1"/>
  <c r="AK41" i="7" l="1"/>
  <c r="AK42" i="7" s="1"/>
  <c r="AK36" i="7" s="1"/>
  <c r="AI33" i="7"/>
  <c r="AI35" i="7" s="1"/>
  <c r="AJ35" i="7"/>
  <c r="AJ37" i="7"/>
  <c r="AJ39" i="7" s="1"/>
  <c r="AJ41" i="7" s="1"/>
  <c r="AI34" i="7" l="1"/>
  <c r="AH33" i="7"/>
  <c r="AH34" i="7" s="1"/>
  <c r="AI37" i="7"/>
  <c r="AI39" i="7" s="1"/>
  <c r="AI40" i="7" s="1"/>
  <c r="AJ40" i="7"/>
  <c r="AJ42" i="7" s="1"/>
  <c r="AJ36" i="7" s="1"/>
  <c r="AH35" i="7" l="1"/>
  <c r="AH37" i="7"/>
  <c r="AH39" i="7" s="1"/>
  <c r="AH41" i="7" s="1"/>
  <c r="AG33" i="7"/>
  <c r="AG35" i="7" s="1"/>
  <c r="AI41" i="7"/>
  <c r="AI42" i="7" s="1"/>
  <c r="AI36" i="7" s="1"/>
  <c r="AG37" i="7" l="1"/>
  <c r="AG39" i="7" s="1"/>
  <c r="AG40" i="7" s="1"/>
  <c r="AG34" i="7"/>
  <c r="AF33" i="7"/>
  <c r="AF35" i="7" s="1"/>
  <c r="AH40" i="7"/>
  <c r="AH42" i="7" s="1"/>
  <c r="AH36" i="7" s="1"/>
  <c r="AG41" i="7" l="1"/>
  <c r="AG42" i="7" s="1"/>
  <c r="AG36" i="7" s="1"/>
  <c r="AE33" i="7"/>
  <c r="AD33" i="7" s="1"/>
  <c r="AD34" i="7" s="1"/>
  <c r="AF34" i="7"/>
  <c r="AF37" i="7"/>
  <c r="AF39" i="7" s="1"/>
  <c r="AF40" i="7" s="1"/>
  <c r="AD35" i="7" l="1"/>
  <c r="AC33" i="7"/>
  <c r="AC35" i="7" s="1"/>
  <c r="AE35" i="7"/>
  <c r="AD37" i="7"/>
  <c r="AD39" i="7" s="1"/>
  <c r="AD40" i="7" s="1"/>
  <c r="AE34" i="7"/>
  <c r="AE37" i="7"/>
  <c r="AE39" i="7" s="1"/>
  <c r="AE40" i="7" s="1"/>
  <c r="AF41" i="7"/>
  <c r="AF42" i="7" s="1"/>
  <c r="AF36" i="7" s="1"/>
  <c r="AC34" i="7" l="1"/>
  <c r="AB33" i="7"/>
  <c r="AB34" i="7" s="1"/>
  <c r="AC37" i="7"/>
  <c r="AC39" i="7" s="1"/>
  <c r="AC41" i="7" s="1"/>
  <c r="AD41" i="7"/>
  <c r="AD42" i="7" s="1"/>
  <c r="AE41" i="7"/>
  <c r="AE42" i="7" s="1"/>
  <c r="AE36" i="7" s="1"/>
  <c r="AB37" i="7" l="1"/>
  <c r="AB39" i="7" s="1"/>
  <c r="AB40" i="7" s="1"/>
  <c r="AB35" i="7"/>
  <c r="AA33" i="7"/>
  <c r="Z33" i="7" s="1"/>
  <c r="AC40" i="7"/>
  <c r="AC42" i="7" s="1"/>
  <c r="AC36" i="7" s="1"/>
  <c r="AD36" i="7"/>
  <c r="AA37" i="7" l="1"/>
  <c r="AA39" i="7" s="1"/>
  <c r="AA40" i="7" s="1"/>
  <c r="AA35" i="7"/>
  <c r="AA34" i="7"/>
  <c r="AB41" i="7"/>
  <c r="AB42" i="7" s="1"/>
  <c r="AB36" i="7" s="1"/>
  <c r="Z35" i="7"/>
  <c r="Z34" i="7"/>
  <c r="Z37" i="7"/>
  <c r="Z39" i="7" s="1"/>
  <c r="Y33" i="7"/>
  <c r="AA41" i="7" l="1"/>
  <c r="AA42" i="7" s="1"/>
  <c r="AA36" i="7" s="1"/>
  <c r="Y34" i="7"/>
  <c r="Y35" i="7"/>
  <c r="Y37" i="7"/>
  <c r="Y39" i="7" s="1"/>
  <c r="Z40" i="7"/>
  <c r="Z41" i="7"/>
  <c r="X33" i="7"/>
  <c r="Z42" i="7" l="1"/>
  <c r="Z36" i="7" s="1"/>
  <c r="X35" i="7"/>
  <c r="X34" i="7"/>
  <c r="X37" i="7"/>
  <c r="X39" i="7" s="1"/>
  <c r="Y40" i="7"/>
  <c r="Y41" i="7"/>
  <c r="W33" i="7"/>
  <c r="Y42" i="7" l="1"/>
  <c r="Y36" i="7" s="1"/>
  <c r="W34" i="7"/>
  <c r="W35" i="7"/>
  <c r="W37" i="7"/>
  <c r="W39" i="7" s="1"/>
  <c r="X40" i="7"/>
  <c r="X41" i="7"/>
  <c r="V33" i="7"/>
  <c r="X42" i="7" l="1"/>
  <c r="X36" i="7" s="1"/>
  <c r="V35" i="7"/>
  <c r="V34" i="7"/>
  <c r="V37" i="7"/>
  <c r="V39" i="7" s="1"/>
  <c r="W40" i="7"/>
  <c r="W41" i="7"/>
  <c r="U33" i="7"/>
  <c r="W42" i="7" l="1"/>
  <c r="W36" i="7" s="1"/>
  <c r="U34" i="7"/>
  <c r="U35" i="7"/>
  <c r="U37" i="7"/>
  <c r="U39" i="7" s="1"/>
  <c r="V40" i="7"/>
  <c r="V41" i="7"/>
  <c r="T33" i="7"/>
  <c r="V42" i="7" l="1"/>
  <c r="V36" i="7" s="1"/>
  <c r="T35" i="7"/>
  <c r="T34" i="7"/>
  <c r="T37" i="7"/>
  <c r="T39" i="7" s="1"/>
  <c r="U40" i="7"/>
  <c r="U41" i="7"/>
  <c r="S33" i="7"/>
  <c r="U42" i="7" l="1"/>
  <c r="U36" i="7" s="1"/>
  <c r="S34" i="7"/>
  <c r="S35" i="7"/>
  <c r="S37" i="7"/>
  <c r="S39" i="7" s="1"/>
  <c r="T40" i="7"/>
  <c r="T41" i="7"/>
  <c r="R33" i="7"/>
  <c r="T42" i="7" l="1"/>
  <c r="T36" i="7" s="1"/>
  <c r="R35" i="7"/>
  <c r="R34" i="7"/>
  <c r="R37" i="7"/>
  <c r="R39" i="7" s="1"/>
  <c r="S40" i="7"/>
  <c r="S41" i="7"/>
  <c r="Q33" i="7"/>
  <c r="S42" i="7" l="1"/>
  <c r="S36" i="7" s="1"/>
  <c r="Q34" i="7"/>
  <c r="Q35" i="7"/>
  <c r="Q37" i="7"/>
  <c r="Q39" i="7" s="1"/>
  <c r="R40" i="7"/>
  <c r="R41" i="7"/>
  <c r="P33" i="7"/>
  <c r="R42" i="7" l="1"/>
  <c r="R36" i="7" s="1"/>
  <c r="P35" i="7"/>
  <c r="P34" i="7"/>
  <c r="P37" i="7"/>
  <c r="P39" i="7" s="1"/>
  <c r="Q40" i="7"/>
  <c r="Q41" i="7"/>
  <c r="O33" i="7"/>
  <c r="Q42" i="7" l="1"/>
  <c r="Q36" i="7" s="1"/>
  <c r="O34" i="7"/>
  <c r="O35" i="7"/>
  <c r="O37" i="7"/>
  <c r="O39" i="7" s="1"/>
  <c r="P40" i="7"/>
  <c r="P41" i="7"/>
  <c r="N33" i="7"/>
  <c r="P42" i="7" l="1"/>
  <c r="P36" i="7" s="1"/>
  <c r="N35" i="7"/>
  <c r="N34" i="7"/>
  <c r="N37" i="7"/>
  <c r="N39" i="7" s="1"/>
  <c r="O40" i="7"/>
  <c r="O41" i="7"/>
  <c r="M33" i="7"/>
  <c r="O42" i="7" l="1"/>
  <c r="O36" i="7" s="1"/>
  <c r="M34" i="7"/>
  <c r="M35" i="7"/>
  <c r="M37" i="7"/>
  <c r="M39" i="7" s="1"/>
  <c r="N40" i="7"/>
  <c r="N41" i="7"/>
  <c r="L33" i="7"/>
  <c r="N42" i="7" l="1"/>
  <c r="N36" i="7" s="1"/>
  <c r="L35" i="7"/>
  <c r="L34" i="7"/>
  <c r="L37" i="7"/>
  <c r="L39" i="7" s="1"/>
  <c r="M40" i="7"/>
  <c r="M41" i="7"/>
  <c r="K33" i="7"/>
  <c r="M42" i="7" l="1"/>
  <c r="M36" i="7" s="1"/>
  <c r="K34" i="7"/>
  <c r="K35" i="7"/>
  <c r="K37" i="7"/>
  <c r="K39" i="7" s="1"/>
  <c r="L40" i="7"/>
  <c r="L41" i="7"/>
  <c r="J33" i="7"/>
  <c r="L42" i="7" l="1"/>
  <c r="L36" i="7" s="1"/>
  <c r="J35" i="7"/>
  <c r="J34" i="7"/>
  <c r="J37" i="7"/>
  <c r="J39" i="7" s="1"/>
  <c r="K40" i="7"/>
  <c r="K41" i="7"/>
  <c r="I33" i="7"/>
  <c r="K42" i="7" l="1"/>
  <c r="K36" i="7" s="1"/>
  <c r="I34" i="7"/>
  <c r="I35" i="7"/>
  <c r="I37" i="7"/>
  <c r="I39" i="7" s="1"/>
  <c r="J40" i="7"/>
  <c r="J41" i="7"/>
  <c r="H33" i="7"/>
  <c r="J42" i="7" l="1"/>
  <c r="J36" i="7" s="1"/>
  <c r="H35" i="7"/>
  <c r="H34" i="7"/>
  <c r="H37" i="7"/>
  <c r="H39" i="7" s="1"/>
  <c r="I40" i="7"/>
  <c r="I41" i="7"/>
  <c r="G33" i="7"/>
  <c r="I42" i="7" l="1"/>
  <c r="I36" i="7" s="1"/>
  <c r="G34" i="7"/>
  <c r="G35" i="7"/>
  <c r="G37" i="7"/>
  <c r="G39" i="7" s="1"/>
  <c r="H40" i="7"/>
  <c r="H41" i="7"/>
  <c r="F33" i="7"/>
  <c r="H42" i="7" l="1"/>
  <c r="H36" i="7" s="1"/>
  <c r="F35" i="7"/>
  <c r="F34" i="7"/>
  <c r="F37" i="7"/>
  <c r="F39" i="7" s="1"/>
  <c r="G40" i="7"/>
  <c r="G41" i="7"/>
  <c r="E33" i="7"/>
  <c r="G42" i="7" l="1"/>
  <c r="G36" i="7" s="1"/>
  <c r="E34" i="7"/>
  <c r="E35" i="7"/>
  <c r="E37" i="7"/>
  <c r="E39" i="7" s="1"/>
  <c r="F40" i="7"/>
  <c r="F41" i="7"/>
  <c r="D33" i="7"/>
  <c r="D37" i="7" s="1"/>
  <c r="F42" i="7" l="1"/>
  <c r="F36" i="7" s="1"/>
  <c r="D34" i="7"/>
  <c r="D35" i="7"/>
  <c r="D39" i="7"/>
  <c r="E40" i="7"/>
  <c r="E41" i="7"/>
  <c r="Y26" i="7"/>
  <c r="X26" i="7"/>
  <c r="P26" i="7"/>
  <c r="O26" i="7"/>
  <c r="Z26" i="7"/>
  <c r="U26" i="7"/>
  <c r="AB26" i="7"/>
  <c r="V26" i="7"/>
  <c r="W26" i="7"/>
  <c r="AA26" i="7"/>
  <c r="Q26" i="7"/>
  <c r="T26" i="7"/>
  <c r="S26" i="7"/>
  <c r="R26" i="7"/>
  <c r="E42" i="7" l="1"/>
  <c r="E36" i="7" s="1"/>
  <c r="AB31" i="7"/>
  <c r="D41" i="7"/>
  <c r="D40" i="7"/>
  <c r="X25" i="7"/>
  <c r="E26" i="7"/>
  <c r="I26" i="7"/>
  <c r="G25" i="7"/>
  <c r="H26" i="7"/>
  <c r="M26" i="7"/>
  <c r="W25" i="7"/>
  <c r="V25" i="7"/>
  <c r="Q25" i="7"/>
  <c r="K26" i="7"/>
  <c r="K25" i="7"/>
  <c r="J26" i="7"/>
  <c r="I25" i="7"/>
  <c r="N25" i="7"/>
  <c r="H25" i="7"/>
  <c r="O25" i="7"/>
  <c r="R25" i="7"/>
  <c r="D25" i="7"/>
  <c r="P25" i="7"/>
  <c r="J25" i="7"/>
  <c r="F26" i="7"/>
  <c r="Z25" i="7"/>
  <c r="N26" i="7"/>
  <c r="Y25" i="7"/>
  <c r="F25" i="7"/>
  <c r="AB25" i="7"/>
  <c r="L26" i="7"/>
  <c r="E25" i="7"/>
  <c r="AA25" i="7"/>
  <c r="D26" i="7"/>
  <c r="G26" i="7"/>
  <c r="T25" i="7"/>
  <c r="S25" i="7"/>
  <c r="U25" i="7"/>
  <c r="L25" i="7"/>
  <c r="M25" i="7"/>
  <c r="D42" i="7" l="1"/>
  <c r="D36" i="7" s="1"/>
  <c r="D27" i="7"/>
  <c r="AB27" i="7"/>
</calcChain>
</file>

<file path=xl/sharedStrings.xml><?xml version="1.0" encoding="utf-8"?>
<sst xmlns="http://schemas.openxmlformats.org/spreadsheetml/2006/main" count="4120" uniqueCount="1432">
  <si>
    <t>SPOT PRICES, RUB/t inc VAT*</t>
  </si>
  <si>
    <t>Jan 14</t>
  </si>
  <si>
    <t>change</t>
  </si>
  <si>
    <t>—</t>
  </si>
  <si>
    <t>Downstream</t>
  </si>
  <si>
    <t>Upstream</t>
  </si>
  <si>
    <t>SPOT PRICES, $/t ex VAT*</t>
  </si>
  <si>
    <t>≈</t>
  </si>
  <si>
    <t>USD/RUB</t>
  </si>
  <si>
    <t>Jan 21</t>
  </si>
  <si>
    <t>Russia</t>
  </si>
  <si>
    <t>Jan 7</t>
  </si>
  <si>
    <t>Jan 28</t>
  </si>
  <si>
    <t>Europe</t>
  </si>
  <si>
    <t>EUR/USD</t>
  </si>
  <si>
    <t>FOB ARA</t>
  </si>
  <si>
    <t>SPOT PRICES, $/t</t>
  </si>
  <si>
    <t xml:space="preserve">GPPS FD NWE </t>
  </si>
  <si>
    <t>SPOT PRICES</t>
  </si>
  <si>
    <t>$/t</t>
  </si>
  <si>
    <t>FOB Korea</t>
  </si>
  <si>
    <t>CFR China</t>
  </si>
  <si>
    <t>ABS CFR Asia</t>
  </si>
  <si>
    <t>GPPS CFR China</t>
  </si>
  <si>
    <t>Benzene FOB Korea</t>
  </si>
  <si>
    <t>650—660</t>
  </si>
  <si>
    <t>Ethylene CFR NEA</t>
  </si>
  <si>
    <t>Asia</t>
  </si>
  <si>
    <t>Styrene CFR China</t>
  </si>
  <si>
    <t>USA</t>
  </si>
  <si>
    <t>FOB US Gulf</t>
  </si>
  <si>
    <t>¢/lb</t>
  </si>
  <si>
    <t>Benzene DDP US Gulf</t>
  </si>
  <si>
    <t>Ethylene FD US Gulf</t>
  </si>
  <si>
    <t>CONTRACT PRICES</t>
  </si>
  <si>
    <t>Nov</t>
  </si>
  <si>
    <t xml:space="preserve">¢/lb </t>
  </si>
  <si>
    <t>Styrene FOB ARA</t>
  </si>
  <si>
    <t>Phenol FOB Rotterdam</t>
  </si>
  <si>
    <t>Acetone FOB Rotterdam</t>
  </si>
  <si>
    <t>Naphtha CFR Japan</t>
  </si>
  <si>
    <t>DDP US Gulf</t>
  </si>
  <si>
    <t>Styrene FOB US Gulf</t>
  </si>
  <si>
    <t>€/t</t>
  </si>
  <si>
    <t>Aug 6</t>
  </si>
  <si>
    <t>Aug 13</t>
  </si>
  <si>
    <t>Aug 20</t>
  </si>
  <si>
    <t>Aug 27</t>
  </si>
  <si>
    <t>Oct 1</t>
  </si>
  <si>
    <t>Oct 8</t>
  </si>
  <si>
    <t>Oct 15</t>
  </si>
  <si>
    <t>Oct 22</t>
  </si>
  <si>
    <t>Oct 29</t>
  </si>
  <si>
    <t>Nov 5</t>
  </si>
  <si>
    <t>Nov 12</t>
  </si>
  <si>
    <t>Nov 19</t>
  </si>
  <si>
    <t>Nov 26</t>
  </si>
  <si>
    <t>Dec 3</t>
  </si>
  <si>
    <t>Dec 10</t>
  </si>
  <si>
    <t>Dec 17</t>
  </si>
  <si>
    <t>Sept 3</t>
  </si>
  <si>
    <t>Sept 10</t>
  </si>
  <si>
    <t>Sept 17</t>
  </si>
  <si>
    <t>Sept 24</t>
  </si>
  <si>
    <t xml:space="preserve"> </t>
  </si>
  <si>
    <t>Feb 4</t>
  </si>
  <si>
    <t>Feb 11</t>
  </si>
  <si>
    <t>Feb 18</t>
  </si>
  <si>
    <t>Feb 25</t>
  </si>
  <si>
    <t>Benzene CIF Rotterdam</t>
  </si>
  <si>
    <t>FCA Volga Russia</t>
  </si>
  <si>
    <t>CIF ARA</t>
  </si>
  <si>
    <t>FCA Siberian FD Russia</t>
  </si>
  <si>
    <t>ШАБЛОН</t>
  </si>
  <si>
    <r>
      <t xml:space="preserve">YYY </t>
    </r>
    <r>
      <rPr>
        <b/>
        <sz val="12"/>
        <color rgb="FF0070C0"/>
        <rFont val="Arial"/>
        <family val="2"/>
        <charset val="204"/>
      </rPr>
      <t>=</t>
    </r>
  </si>
  <si>
    <r>
      <t xml:space="preserve">YYY </t>
    </r>
    <r>
      <rPr>
        <sz val="11"/>
        <color rgb="FF00B050"/>
        <rFont val="Wingdings"/>
        <charset val="2"/>
      </rPr>
      <t></t>
    </r>
    <r>
      <rPr>
        <vertAlign val="superscript"/>
        <sz val="10"/>
        <color rgb="FF00B050"/>
        <rFont val="Arial"/>
        <family val="2"/>
        <charset val="204"/>
      </rPr>
      <t>77</t>
    </r>
  </si>
  <si>
    <r>
      <t xml:space="preserve">YYY </t>
    </r>
    <r>
      <rPr>
        <sz val="11"/>
        <color rgb="FFFF0000"/>
        <rFont val="Wingdings"/>
        <charset val="2"/>
      </rPr>
      <t></t>
    </r>
    <r>
      <rPr>
        <vertAlign val="subscript"/>
        <sz val="10"/>
        <color rgb="FFFF0000"/>
        <rFont val="Arial"/>
        <family val="2"/>
        <charset val="204"/>
      </rPr>
      <t>77</t>
    </r>
  </si>
  <si>
    <t>1,500—1,600</t>
  </si>
  <si>
    <t>1,950—2,050</t>
  </si>
  <si>
    <t>Spreads</t>
  </si>
  <si>
    <t>Styrene FOB</t>
  </si>
  <si>
    <t>Phenol FOB</t>
  </si>
  <si>
    <t>Acetone FOB</t>
  </si>
  <si>
    <t>Dec 23</t>
  </si>
  <si>
    <t>Dec</t>
  </si>
  <si>
    <t>Jan</t>
  </si>
  <si>
    <t>1,350—1,400</t>
  </si>
  <si>
    <t>Naphtha CIF ARA</t>
  </si>
  <si>
    <t>Propane CIF ARA</t>
  </si>
  <si>
    <t>Butane CIF ARA</t>
  </si>
  <si>
    <t>ESBR 1500 FCA EE</t>
  </si>
  <si>
    <t>Butadiene CFR NEA</t>
  </si>
  <si>
    <t>Butadiene CFR SEA</t>
  </si>
  <si>
    <t>Butadiene FOB Korea</t>
  </si>
  <si>
    <t>Butadiene EXW North China</t>
  </si>
  <si>
    <t>Butadiene EXW Sinopec's offer</t>
  </si>
  <si>
    <t xml:space="preserve">Butadiene contract FD NWE FOB US Gulf, ¢/lb </t>
  </si>
  <si>
    <t xml:space="preserve">Butadiene contract FD NWE FOB US Gulf, $/t </t>
  </si>
  <si>
    <t>Butadiene FOB US Gulf, ¢/lb</t>
  </si>
  <si>
    <t>Butadiene FOB US Gulf, $/t</t>
  </si>
  <si>
    <t>July 30</t>
  </si>
  <si>
    <t>July 23</t>
  </si>
  <si>
    <t>July 16</t>
  </si>
  <si>
    <t>July 9</t>
  </si>
  <si>
    <t>July 2</t>
  </si>
  <si>
    <t>June 25</t>
  </si>
  <si>
    <t>June 18</t>
  </si>
  <si>
    <t>June 11</t>
  </si>
  <si>
    <t>June 4</t>
  </si>
  <si>
    <t>May 28</t>
  </si>
  <si>
    <t>May 21</t>
  </si>
  <si>
    <t>May 14</t>
  </si>
  <si>
    <t>May 7</t>
  </si>
  <si>
    <t>Apr 30</t>
  </si>
  <si>
    <t>Apr 23</t>
  </si>
  <si>
    <t>Apr 16</t>
  </si>
  <si>
    <t>Apr 9</t>
  </si>
  <si>
    <t>Apr 2</t>
  </si>
  <si>
    <t>Mar 26</t>
  </si>
  <si>
    <t>Mar 19</t>
  </si>
  <si>
    <t>Mar 12</t>
  </si>
  <si>
    <t>Mar 5</t>
  </si>
  <si>
    <t>Feb 26</t>
  </si>
  <si>
    <t>Feb 19</t>
  </si>
  <si>
    <t>Feb 12</t>
  </si>
  <si>
    <t>Feb 5</t>
  </si>
  <si>
    <t>Jan 29</t>
  </si>
  <si>
    <t>Jan 22</t>
  </si>
  <si>
    <t>Jan 15</t>
  </si>
  <si>
    <t>Jan 8</t>
  </si>
  <si>
    <t>Dec 18</t>
  </si>
  <si>
    <t>Dec 11</t>
  </si>
  <si>
    <t>Dec 4</t>
  </si>
  <si>
    <t>Nov 27</t>
  </si>
  <si>
    <t>Nov 20</t>
  </si>
  <si>
    <t>Nov 13</t>
  </si>
  <si>
    <t>Nov 6</t>
  </si>
  <si>
    <t>Oct 30</t>
  </si>
  <si>
    <t>Oct 23</t>
  </si>
  <si>
    <t>Oct 16</t>
  </si>
  <si>
    <t>Oct 9</t>
  </si>
  <si>
    <t>Oct 2</t>
  </si>
  <si>
    <t>Sept 25</t>
  </si>
  <si>
    <t>Sept 18</t>
  </si>
  <si>
    <t>Sept 11</t>
  </si>
  <si>
    <t>Sept 4</t>
  </si>
  <si>
    <t>Aug 28</t>
  </si>
  <si>
    <t>Aug 21</t>
  </si>
  <si>
    <t>Aug 14</t>
  </si>
  <si>
    <t>Aug 7</t>
  </si>
  <si>
    <t>1,000—1,100</t>
  </si>
  <si>
    <t>950—1,050</t>
  </si>
  <si>
    <t>630—650</t>
  </si>
  <si>
    <t>2,050—2,100</t>
  </si>
  <si>
    <t>1,800—1,900</t>
  </si>
  <si>
    <t>818—833</t>
  </si>
  <si>
    <t>770—815</t>
  </si>
  <si>
    <t>772—800</t>
  </si>
  <si>
    <t>770—738</t>
  </si>
  <si>
    <t>735—741</t>
  </si>
  <si>
    <t>662—711</t>
  </si>
  <si>
    <t>684—711</t>
  </si>
  <si>
    <t>670—706</t>
  </si>
  <si>
    <t>652—688</t>
  </si>
  <si>
    <t>720—739</t>
  </si>
  <si>
    <t>722—742</t>
  </si>
  <si>
    <t>751—759</t>
  </si>
  <si>
    <t>751—777</t>
  </si>
  <si>
    <t>768—797</t>
  </si>
  <si>
    <t>770—783</t>
  </si>
  <si>
    <t>759—762</t>
  </si>
  <si>
    <t>732—744</t>
  </si>
  <si>
    <t>712—718</t>
  </si>
  <si>
    <t>684—695</t>
  </si>
  <si>
    <t>668—692</t>
  </si>
  <si>
    <t>656—660</t>
  </si>
  <si>
    <t>635—659</t>
  </si>
  <si>
    <t>599—644</t>
  </si>
  <si>
    <t>658—668</t>
  </si>
  <si>
    <t>678—688</t>
  </si>
  <si>
    <t>635—670</t>
  </si>
  <si>
    <t>674—689</t>
  </si>
  <si>
    <t>655—694</t>
  </si>
  <si>
    <t>659—675</t>
  </si>
  <si>
    <t>638—662</t>
  </si>
  <si>
    <t>623—639</t>
  </si>
  <si>
    <t>619—624</t>
  </si>
  <si>
    <t>614—618</t>
  </si>
  <si>
    <t>590—605</t>
  </si>
  <si>
    <t>572—600</t>
  </si>
  <si>
    <t>588—607</t>
  </si>
  <si>
    <t>599—614</t>
  </si>
  <si>
    <t>559—588</t>
  </si>
  <si>
    <t>552—569</t>
  </si>
  <si>
    <t>543—565</t>
  </si>
  <si>
    <t>543—557</t>
  </si>
  <si>
    <t>551—563</t>
  </si>
  <si>
    <t>537—558</t>
  </si>
  <si>
    <t>557—598</t>
  </si>
  <si>
    <t>580—605</t>
  </si>
  <si>
    <t>570—598</t>
  </si>
  <si>
    <t>596—579</t>
  </si>
  <si>
    <t>553—572</t>
  </si>
  <si>
    <t>536—547</t>
  </si>
  <si>
    <t>514—541</t>
  </si>
  <si>
    <t>499—507</t>
  </si>
  <si>
    <t>504—512</t>
  </si>
  <si>
    <t>505—515</t>
  </si>
  <si>
    <t>461—495</t>
  </si>
  <si>
    <t>434—440</t>
  </si>
  <si>
    <t>424—452</t>
  </si>
  <si>
    <t>414.5—437.25</t>
  </si>
  <si>
    <t>388—408</t>
  </si>
  <si>
    <t>379—395</t>
  </si>
  <si>
    <t>364—376</t>
  </si>
  <si>
    <t>365—377</t>
  </si>
  <si>
    <t>338—357</t>
  </si>
  <si>
    <t>335—370</t>
  </si>
  <si>
    <t>379—387</t>
  </si>
  <si>
    <t>381—390</t>
  </si>
  <si>
    <t>363—382</t>
  </si>
  <si>
    <t>363—377</t>
  </si>
  <si>
    <t>366—379</t>
  </si>
  <si>
    <t>346—389</t>
  </si>
  <si>
    <t>349—362</t>
  </si>
  <si>
    <t>373—389</t>
  </si>
  <si>
    <t>383—398</t>
  </si>
  <si>
    <t>376—385</t>
  </si>
  <si>
    <t>371—380</t>
  </si>
  <si>
    <t>363—387</t>
  </si>
  <si>
    <t>Naphtha CIF ARA weekly min—max</t>
  </si>
  <si>
    <t>1,100—1,150</t>
  </si>
  <si>
    <t>1,150—1,250</t>
  </si>
  <si>
    <t>1,100—1,200</t>
  </si>
  <si>
    <t>1,200—1,300</t>
  </si>
  <si>
    <t>6,900—7,100</t>
  </si>
  <si>
    <t>7,050—7,150</t>
  </si>
  <si>
    <t>6,100—6,200</t>
  </si>
  <si>
    <t>5,950—6,150</t>
  </si>
  <si>
    <t>1,750—1,900</t>
  </si>
  <si>
    <t>5,950—6,000</t>
  </si>
  <si>
    <t>5,200—5,400</t>
  </si>
  <si>
    <t>4,800—4,900</t>
  </si>
  <si>
    <t>5,050—5,150</t>
  </si>
  <si>
    <t>4,300—4,350</t>
  </si>
  <si>
    <t>6,350—6,550</t>
  </si>
  <si>
    <t>7,000—7,300</t>
  </si>
  <si>
    <t>CFR NE Asia</t>
  </si>
  <si>
    <t>CIF US Gulf</t>
  </si>
  <si>
    <t>Feb</t>
  </si>
  <si>
    <t>Butadiene CFR NEA (bid/offer)</t>
  </si>
  <si>
    <t>BD quotes in China, CNY/t</t>
  </si>
  <si>
    <t xml:space="preserve">EXW East China </t>
  </si>
  <si>
    <t xml:space="preserve">EXW North China </t>
  </si>
  <si>
    <t>EXW Sinopec's offer</t>
  </si>
  <si>
    <t>E-SBR 1502 CIF China</t>
  </si>
  <si>
    <t xml:space="preserve">Naphtha CFR Japan </t>
  </si>
  <si>
    <t>CONTRACT PRICE</t>
  </si>
  <si>
    <t>FOB US</t>
  </si>
  <si>
    <t xml:space="preserve">Butadiene contract FOB US Gulf, ¢/lb </t>
  </si>
  <si>
    <t xml:space="preserve">Butadiene contractE FOB US Gulf, $/t </t>
  </si>
  <si>
    <t>Mar</t>
  </si>
  <si>
    <t>Apr</t>
  </si>
  <si>
    <t>May</t>
  </si>
  <si>
    <t>Jun</t>
  </si>
  <si>
    <t>Jul</t>
  </si>
  <si>
    <t>Aug</t>
  </si>
  <si>
    <t>Sep</t>
  </si>
  <si>
    <t>Oct</t>
  </si>
  <si>
    <t>June</t>
  </si>
  <si>
    <t>July</t>
  </si>
  <si>
    <t>Sept</t>
  </si>
  <si>
    <t>BD contract USA</t>
  </si>
  <si>
    <t>Delivery term</t>
  </si>
  <si>
    <t>FD NW Europe</t>
  </si>
  <si>
    <t>Feedstock</t>
  </si>
  <si>
    <t>Propane</t>
  </si>
  <si>
    <t>Butane</t>
  </si>
  <si>
    <t>Naphtha</t>
  </si>
  <si>
    <t>CFR Japan</t>
  </si>
  <si>
    <t>CIF NW Europe</t>
  </si>
  <si>
    <t>*estimated</t>
  </si>
  <si>
    <t>** - prices as of 24 August</t>
  </si>
  <si>
    <t>** - prices for 9 February due to Lunar New Year</t>
  </si>
  <si>
    <t>*** - prices for 10 February due to Lunar New Year</t>
  </si>
  <si>
    <t>847—862</t>
  </si>
  <si>
    <t>7,500—7,800</t>
  </si>
  <si>
    <t>846—880</t>
  </si>
  <si>
    <t>8,600—8,700</t>
  </si>
  <si>
    <t>869—932</t>
  </si>
  <si>
    <t>Mar 4</t>
  </si>
  <si>
    <t>Mar 11</t>
  </si>
  <si>
    <t>Mar 18</t>
  </si>
  <si>
    <t>Mar 25</t>
  </si>
  <si>
    <t>1,850—1,950</t>
  </si>
  <si>
    <t>8,900—9,000</t>
  </si>
  <si>
    <t>914—1,045</t>
  </si>
  <si>
    <t>10,350—10,550</t>
  </si>
  <si>
    <t>1,950—2,000</t>
  </si>
  <si>
    <t>1,034—1,127</t>
  </si>
  <si>
    <t>10,500—10,800</t>
  </si>
  <si>
    <t>882—966</t>
  </si>
  <si>
    <t>Apr 1</t>
  </si>
  <si>
    <t>Apr 8</t>
  </si>
  <si>
    <t>Apr 15</t>
  </si>
  <si>
    <t>Apr 22</t>
  </si>
  <si>
    <t>Apr 29</t>
  </si>
  <si>
    <t>11,100—11,200</t>
  </si>
  <si>
    <t>988—1,015</t>
  </si>
  <si>
    <t>11,000—11,200</t>
  </si>
  <si>
    <t>953—991</t>
  </si>
  <si>
    <t>10,800—11,100</t>
  </si>
  <si>
    <t>862—939</t>
  </si>
  <si>
    <t>9,900—10,000</t>
  </si>
  <si>
    <t>883—934</t>
  </si>
  <si>
    <t>May 6</t>
  </si>
  <si>
    <t>May 13</t>
  </si>
  <si>
    <t>May 20</t>
  </si>
  <si>
    <t>May 27</t>
  </si>
  <si>
    <t>10,300—10,500</t>
  </si>
  <si>
    <t>917—930</t>
  </si>
  <si>
    <t>10,000—10,300</t>
  </si>
  <si>
    <t>9,600—9,800</t>
  </si>
  <si>
    <t>842—915</t>
  </si>
  <si>
    <t>9,950—10,050</t>
  </si>
  <si>
    <t>885—899</t>
  </si>
  <si>
    <t>887—911</t>
  </si>
  <si>
    <t>10,800—10,900</t>
  </si>
  <si>
    <t>877—926</t>
  </si>
  <si>
    <t>11,200—11,400</t>
  </si>
  <si>
    <t>851—892</t>
  </si>
  <si>
    <t>June 3</t>
  </si>
  <si>
    <t>June 10</t>
  </si>
  <si>
    <t>June 17</t>
  </si>
  <si>
    <t>June 24</t>
  </si>
  <si>
    <t>11,850—11,950</t>
  </si>
  <si>
    <t>842—878</t>
  </si>
  <si>
    <t>12,200—12,300</t>
  </si>
  <si>
    <t>812—868</t>
  </si>
  <si>
    <t>11,150—11,250</t>
  </si>
  <si>
    <t>774—801</t>
  </si>
  <si>
    <t>798—804</t>
  </si>
  <si>
    <t>July 1</t>
  </si>
  <si>
    <t>10,350—10,450</t>
  </si>
  <si>
    <t>10,000—10,200</t>
  </si>
  <si>
    <t>789—799</t>
  </si>
  <si>
    <t>789—842</t>
  </si>
  <si>
    <t>10,450—10,550</t>
  </si>
  <si>
    <t>742—791</t>
  </si>
  <si>
    <t>10,150—10,350</t>
  </si>
  <si>
    <t>742—766</t>
  </si>
  <si>
    <t>730—747</t>
  </si>
  <si>
    <t>8,400—8,500</t>
  </si>
  <si>
    <t>8,900—9,100</t>
  </si>
  <si>
    <t>668—702</t>
  </si>
  <si>
    <t>659—671</t>
  </si>
  <si>
    <t xml:space="preserve">Propylene contract FD NWE </t>
  </si>
  <si>
    <t xml:space="preserve">Propylene FD NWE </t>
  </si>
  <si>
    <t>850—920</t>
  </si>
  <si>
    <t>850—950</t>
  </si>
  <si>
    <t>890—970</t>
  </si>
  <si>
    <t>900—1,030</t>
  </si>
  <si>
    <t>980—1,050</t>
  </si>
  <si>
    <t>1,250—1,350</t>
  </si>
  <si>
    <t>1,450—1,550</t>
  </si>
  <si>
    <t>1,480—1,580</t>
  </si>
  <si>
    <t>1,850—1,900</t>
  </si>
  <si>
    <t>1,950—2,100</t>
  </si>
  <si>
    <t>2,000—2,200</t>
  </si>
  <si>
    <t>1,950—2,150</t>
  </si>
  <si>
    <t>1,900—2,000</t>
  </si>
  <si>
    <t>1,550—1,750</t>
  </si>
  <si>
    <t>1,550—1,700</t>
  </si>
  <si>
    <t>1,550—1,650</t>
  </si>
  <si>
    <t>1,500—1,650</t>
  </si>
  <si>
    <t>1,650—1,770</t>
  </si>
  <si>
    <t>1,700—1,770</t>
  </si>
  <si>
    <t>1,650—1,750</t>
  </si>
  <si>
    <t>1,690—1,750</t>
  </si>
  <si>
    <t>1,750—1,850</t>
  </si>
  <si>
    <t>1,770—1,870</t>
  </si>
  <si>
    <t>1,970—2,080</t>
  </si>
  <si>
    <t>1,850—1,980</t>
  </si>
  <si>
    <t>1,790—1,950</t>
  </si>
  <si>
    <t>1,650—1,800</t>
  </si>
  <si>
    <t>1,670—1,780</t>
  </si>
  <si>
    <t>1,450—1,590</t>
  </si>
  <si>
    <t>1,350—1,500</t>
  </si>
  <si>
    <t>1,270—1,340</t>
  </si>
  <si>
    <t xml:space="preserve">PP homo FD NWE </t>
  </si>
  <si>
    <t>Propylene FD NWE (contract)</t>
  </si>
  <si>
    <t>Naphtha CIF ARA*</t>
  </si>
  <si>
    <t xml:space="preserve">Propylene (PG) CIF NWE </t>
  </si>
  <si>
    <t xml:space="preserve">Propylene (CG) CIF NWE </t>
  </si>
  <si>
    <t xml:space="preserve">Propylene (PG) FD NWE </t>
  </si>
  <si>
    <t xml:space="preserve">PP block copolymer FD NWE </t>
  </si>
  <si>
    <t>920—1,030</t>
  </si>
  <si>
    <t>920—1,050</t>
  </si>
  <si>
    <t>970—1,050</t>
  </si>
  <si>
    <t>1,300—1,380</t>
  </si>
  <si>
    <t>1,570—1,600</t>
  </si>
  <si>
    <t>1,800—2,000</t>
  </si>
  <si>
    <t>1,850—2,000</t>
  </si>
  <si>
    <t>1,900—2,050</t>
  </si>
  <si>
    <t>2,000—2,150</t>
  </si>
  <si>
    <t>2,000—2,100</t>
  </si>
  <si>
    <t>1,600—1,900</t>
  </si>
  <si>
    <t>1,680—1,900</t>
  </si>
  <si>
    <t>1,800—1,990</t>
  </si>
  <si>
    <t>1,850—1,990</t>
  </si>
  <si>
    <t>1,880—1,960</t>
  </si>
  <si>
    <t>1,800—1,930</t>
  </si>
  <si>
    <t>1,890—1,950</t>
  </si>
  <si>
    <t>2,050—2,200</t>
  </si>
  <si>
    <t>2,080—2,170</t>
  </si>
  <si>
    <t>2,000—2,080</t>
  </si>
  <si>
    <t>1,900—1,990</t>
  </si>
  <si>
    <t>1,700—1,850</t>
  </si>
  <si>
    <t>1,600—1,750</t>
  </si>
  <si>
    <t>1,420—1,500</t>
  </si>
  <si>
    <t xml:space="preserve">С3 CIF NWE </t>
  </si>
  <si>
    <t>C3 CFR NEA</t>
  </si>
  <si>
    <t>FD US Gulf</t>
  </si>
  <si>
    <t>Propylene FD US Gulf, $/t</t>
  </si>
  <si>
    <t>Propylene FD US Gulf, ¢/lb</t>
  </si>
  <si>
    <t>C3 FD US Gulf</t>
  </si>
  <si>
    <t>C3</t>
  </si>
  <si>
    <t>622—674</t>
  </si>
  <si>
    <t>647—657</t>
  </si>
  <si>
    <t>Naphtha-Propane</t>
  </si>
  <si>
    <t>Naphtha-Butane</t>
  </si>
  <si>
    <t>Propylene (PG) CFR China</t>
  </si>
  <si>
    <t>Propylene (PG) FOB Korea</t>
  </si>
  <si>
    <t>Propylene CFR China</t>
  </si>
  <si>
    <t>Propylene FOB Korea</t>
  </si>
  <si>
    <t>PP homo CFR China</t>
  </si>
  <si>
    <t>PP block copolymer CFR China</t>
  </si>
  <si>
    <t>910—930</t>
  </si>
  <si>
    <t>910—950</t>
  </si>
  <si>
    <t>910—980</t>
  </si>
  <si>
    <t>910—990</t>
  </si>
  <si>
    <t>940—980</t>
  </si>
  <si>
    <t>940—990</t>
  </si>
  <si>
    <t>950—990</t>
  </si>
  <si>
    <t>950—1,010</t>
  </si>
  <si>
    <t>910—1,000</t>
  </si>
  <si>
    <t>970—1,010</t>
  </si>
  <si>
    <t>960—1,020</t>
  </si>
  <si>
    <t>960—1,000</t>
  </si>
  <si>
    <t>960—1,030</t>
  </si>
  <si>
    <t>980—1,030</t>
  </si>
  <si>
    <t>950—1,000</t>
  </si>
  <si>
    <t>1,000—1,040</t>
  </si>
  <si>
    <t>1,020—1,060</t>
  </si>
  <si>
    <t>1,000—1,050</t>
  </si>
  <si>
    <t>1,040—1,080</t>
  </si>
  <si>
    <t>1,000—1,060</t>
  </si>
  <si>
    <t>1,050—1,090</t>
  </si>
  <si>
    <t>1,070—1,120</t>
  </si>
  <si>
    <t>1,100—1,220</t>
  </si>
  <si>
    <t>1,080—1,130</t>
  </si>
  <si>
    <t>1,100—1,180</t>
  </si>
  <si>
    <t>1,070—1,130</t>
  </si>
  <si>
    <t>1,060—1,130</t>
  </si>
  <si>
    <t>1,090—1,180</t>
  </si>
  <si>
    <t>1,200—1,250</t>
  </si>
  <si>
    <t>1,250—1,280</t>
  </si>
  <si>
    <t>1,280—1,380</t>
  </si>
  <si>
    <t>1,260—1,380</t>
  </si>
  <si>
    <t>1,280—1,420</t>
  </si>
  <si>
    <t>1,260—1,420</t>
  </si>
  <si>
    <t>1,310—1,450</t>
  </si>
  <si>
    <t>1,260—1,390</t>
  </si>
  <si>
    <t>1,310—1,410</t>
  </si>
  <si>
    <t>1,260—1,350</t>
  </si>
  <si>
    <t>1,310—1,380</t>
  </si>
  <si>
    <t>1,240—1,320</t>
  </si>
  <si>
    <t>1,300—1,350</t>
  </si>
  <si>
    <t>1,240—1,300</t>
  </si>
  <si>
    <t>1,300—1,340</t>
  </si>
  <si>
    <t>1,260—1,300</t>
  </si>
  <si>
    <t>1,140—1,210</t>
  </si>
  <si>
    <t>1,160—1,280</t>
  </si>
  <si>
    <t>1,130—1,200</t>
  </si>
  <si>
    <t>1,160—1,230</t>
  </si>
  <si>
    <t>1,160—1,200</t>
  </si>
  <si>
    <t>1,080—1,150</t>
  </si>
  <si>
    <t>1,120—1,200</t>
  </si>
  <si>
    <t>1,070—1,110</t>
  </si>
  <si>
    <t>1,120—1,160</t>
  </si>
  <si>
    <t>1,070—1,100</t>
  </si>
  <si>
    <t>1,110—1,160</t>
  </si>
  <si>
    <t>1,090—1,120</t>
  </si>
  <si>
    <t>1,090—1,150</t>
  </si>
  <si>
    <t>1,110—1,180</t>
  </si>
  <si>
    <t>1,110—1,190</t>
  </si>
  <si>
    <t>1,110—1,150</t>
  </si>
  <si>
    <t>1,090—1,170</t>
  </si>
  <si>
    <t>1,150—1,200</t>
  </si>
  <si>
    <t>1,170—1,250</t>
  </si>
  <si>
    <t>1,290—1,330</t>
  </si>
  <si>
    <t>1,220—1,290</t>
  </si>
  <si>
    <t>1,240—1,310</t>
  </si>
  <si>
    <t>1,190—1,270</t>
  </si>
  <si>
    <t>1,210—1,280</t>
  </si>
  <si>
    <t>1,160—1,210</t>
  </si>
  <si>
    <t>1,190—1,240</t>
  </si>
  <si>
    <t>1,170—1,220</t>
  </si>
  <si>
    <t>1,130—1,180</t>
  </si>
  <si>
    <t>1,120—1,150</t>
  </si>
  <si>
    <t>1,130—1,160</t>
  </si>
  <si>
    <t>1,140—1,170</t>
  </si>
  <si>
    <t>1,150—1,180</t>
  </si>
  <si>
    <t>1,170—1,240</t>
  </si>
  <si>
    <t>1,150—1,220</t>
  </si>
  <si>
    <t>1,120—1,190</t>
  </si>
  <si>
    <t>1,090—1,160</t>
  </si>
  <si>
    <t>1,110—1,170</t>
  </si>
  <si>
    <t>1,050—1,130</t>
  </si>
  <si>
    <t>1,070—1,140</t>
  </si>
  <si>
    <t>1,030—1,100</t>
  </si>
  <si>
    <t>1,040—1,110</t>
  </si>
  <si>
    <t>960—1,010</t>
  </si>
  <si>
    <t>Phenol CFR China</t>
  </si>
  <si>
    <t>Acetone CFR China</t>
  </si>
  <si>
    <t>C3 CFR China</t>
  </si>
  <si>
    <t>Propylene FCA VFD</t>
  </si>
  <si>
    <t>39,000—44,500</t>
  </si>
  <si>
    <t>42,000—48,000</t>
  </si>
  <si>
    <t>69,000—70,000</t>
  </si>
  <si>
    <t>92,000—93,000</t>
  </si>
  <si>
    <t>92,000—99,000</t>
  </si>
  <si>
    <t>103,000—105,500</t>
  </si>
  <si>
    <t>103,000—109,000</t>
  </si>
  <si>
    <t>109,000—110,000</t>
  </si>
  <si>
    <t>103,000—110,000</t>
  </si>
  <si>
    <t>93,000—94,000</t>
  </si>
  <si>
    <t>96,000—96,500</t>
  </si>
  <si>
    <t>110,000—110,500</t>
  </si>
  <si>
    <t>109,500—110,000</t>
  </si>
  <si>
    <t>62,000—65,000</t>
  </si>
  <si>
    <t>PP homo CPT CFD</t>
  </si>
  <si>
    <t>PP block copolymer CPT CFD</t>
  </si>
  <si>
    <t>1-Butanol FCA VFD</t>
  </si>
  <si>
    <t>2-Ethylhexanol FCA VFD</t>
  </si>
  <si>
    <t>Acrylic acid EXW VFD</t>
  </si>
  <si>
    <t>Phenol FCA VFD</t>
  </si>
  <si>
    <t>Acetone FCA VFD</t>
  </si>
  <si>
    <t>145,000—150,000</t>
  </si>
  <si>
    <t>144,000—150,000</t>
  </si>
  <si>
    <t>145,000—155,000</t>
  </si>
  <si>
    <t>148,500—155,000</t>
  </si>
  <si>
    <t>147,500—155,000</t>
  </si>
  <si>
    <t>149,000—155,000</t>
  </si>
  <si>
    <t>149,000—158,500</t>
  </si>
  <si>
    <t>150,000—158,900</t>
  </si>
  <si>
    <t>153,000—158,900</t>
  </si>
  <si>
    <t>160,500—165,900</t>
  </si>
  <si>
    <t>161,000—166,900</t>
  </si>
  <si>
    <t>161,000—167,900</t>
  </si>
  <si>
    <t>160,500—167,500</t>
  </si>
  <si>
    <t>155,300—163,000</t>
  </si>
  <si>
    <t>149,300—163,000</t>
  </si>
  <si>
    <t>150,000—157,000</t>
  </si>
  <si>
    <t>149,300—158,000</t>
  </si>
  <si>
    <t>145,300—158,000</t>
  </si>
  <si>
    <t>130,000—133,000</t>
  </si>
  <si>
    <t>128,000—133,000</t>
  </si>
  <si>
    <t>125,300—133,000</t>
  </si>
  <si>
    <t>117,300—123,000</t>
  </si>
  <si>
    <t>116,300—123,000</t>
  </si>
  <si>
    <t>115,300—123,000</t>
  </si>
  <si>
    <t>163,000—170,000</t>
  </si>
  <si>
    <t>163,000—166,000</t>
  </si>
  <si>
    <t>163,000—168,000</t>
  </si>
  <si>
    <t>162,500—168,000</t>
  </si>
  <si>
    <t>166,000—168,000</t>
  </si>
  <si>
    <t>166,000—170,000</t>
  </si>
  <si>
    <t>166,000—175,000</t>
  </si>
  <si>
    <t>166,000—190,000</t>
  </si>
  <si>
    <t>174,000—197,500</t>
  </si>
  <si>
    <t>174,000—197,300</t>
  </si>
  <si>
    <t>174,000—193,000</t>
  </si>
  <si>
    <t>174,000—177,000</t>
  </si>
  <si>
    <t>174,000—176,000</t>
  </si>
  <si>
    <t>165,000—169,000</t>
  </si>
  <si>
    <t>141,500—144,000</t>
  </si>
  <si>
    <t>140,300—144,000</t>
  </si>
  <si>
    <t>164,000—169,000</t>
  </si>
  <si>
    <t>161,000—169,000</t>
  </si>
  <si>
    <t>144,000—144,000</t>
  </si>
  <si>
    <t>126,300—129,000</t>
  </si>
  <si>
    <t>118,300—129,000</t>
  </si>
  <si>
    <t>88,700—95,200</t>
  </si>
  <si>
    <t>79,700—86,200</t>
  </si>
  <si>
    <t>79,800—86,300</t>
  </si>
  <si>
    <t>97,000—103,000</t>
  </si>
  <si>
    <t>120,000—126,400</t>
  </si>
  <si>
    <t>163,400—170,000</t>
  </si>
  <si>
    <t>110,000—116,000</t>
  </si>
  <si>
    <t>99,700—106,000</t>
  </si>
  <si>
    <t>100,600—106,800</t>
  </si>
  <si>
    <t>94,000—100,200</t>
  </si>
  <si>
    <t>96,300—102,200</t>
  </si>
  <si>
    <t>98,500—104,400</t>
  </si>
  <si>
    <t>119,500—125,500</t>
  </si>
  <si>
    <t>116,000—122,200</t>
  </si>
  <si>
    <t>119,300—125,500</t>
  </si>
  <si>
    <t>110,000—112,000</t>
  </si>
  <si>
    <t>88,000—94,000</t>
  </si>
  <si>
    <t>38,000—40,000</t>
  </si>
  <si>
    <t>85,000—90,000</t>
  </si>
  <si>
    <t>78,000—88,000</t>
  </si>
  <si>
    <t>107,000—115,000</t>
  </si>
  <si>
    <t>110,000—115,000</t>
  </si>
  <si>
    <t>102,000—108,000</t>
  </si>
  <si>
    <t>93,000—98,000</t>
  </si>
  <si>
    <t>74,000—78,000</t>
  </si>
  <si>
    <t>69,000—72,000</t>
  </si>
  <si>
    <t>62,000—66,000</t>
  </si>
  <si>
    <t>58,000—66,000</t>
  </si>
  <si>
    <t>49,000—66,000</t>
  </si>
  <si>
    <t>51,000—57,000</t>
  </si>
  <si>
    <t>62,100—74,400</t>
  </si>
  <si>
    <t>74,400—75,400</t>
  </si>
  <si>
    <t>73,000—80,000</t>
  </si>
  <si>
    <t>83,000—90,000</t>
  </si>
  <si>
    <t>88,000—90,000</t>
  </si>
  <si>
    <t>78,000—90,000</t>
  </si>
  <si>
    <t>76,000—85,000</t>
  </si>
  <si>
    <t>75,000—80,000</t>
  </si>
  <si>
    <t>78,000—82,000</t>
  </si>
  <si>
    <t>75,000—78,000</t>
  </si>
  <si>
    <t>70,000—72,000</t>
  </si>
  <si>
    <t>70,000—73,000</t>
  </si>
  <si>
    <t>68,000—70,000</t>
  </si>
  <si>
    <t>60,000—63,000</t>
  </si>
  <si>
    <t>58,000—62,000</t>
  </si>
  <si>
    <t>52,000—57,000</t>
  </si>
  <si>
    <t>42,000—45,000</t>
  </si>
  <si>
    <t>40,000—45,000</t>
  </si>
  <si>
    <t>36,000—38,000</t>
  </si>
  <si>
    <t>147,600—170,000</t>
  </si>
  <si>
    <t>147,600—165,000</t>
  </si>
  <si>
    <t>203,000—205,000</t>
  </si>
  <si>
    <t>262,000—267,000</t>
  </si>
  <si>
    <t>150,000—165,000</t>
  </si>
  <si>
    <t>201,000—205,000</t>
  </si>
  <si>
    <t>262,000—310,000</t>
  </si>
  <si>
    <t>205,000—207,000</t>
  </si>
  <si>
    <t>267,000—280,000</t>
  </si>
  <si>
    <t>150,000—162,000</t>
  </si>
  <si>
    <t>175,000—177,000</t>
  </si>
  <si>
    <t>210,000—216,000</t>
  </si>
  <si>
    <t>275,000—280,000</t>
  </si>
  <si>
    <t>150,000—176,000</t>
  </si>
  <si>
    <t>216,000—235,000</t>
  </si>
  <si>
    <t>150,000—178,800</t>
  </si>
  <si>
    <t>280,000—281,000</t>
  </si>
  <si>
    <t>219,000—235,000</t>
  </si>
  <si>
    <t>150,000—151,000</t>
  </si>
  <si>
    <t>130,000—132,000</t>
  </si>
  <si>
    <t>215,000—225,000</t>
  </si>
  <si>
    <t>202,000—210,000</t>
  </si>
  <si>
    <t>115,000—130,000</t>
  </si>
  <si>
    <t>105,000—107,000</t>
  </si>
  <si>
    <t>205,000—215,000</t>
  </si>
  <si>
    <t>205,000—210,000</t>
  </si>
  <si>
    <t>80,000—90,000</t>
  </si>
  <si>
    <t>182,000—182,500</t>
  </si>
  <si>
    <t>60,000—76,000</t>
  </si>
  <si>
    <t>55,000—76,000</t>
  </si>
  <si>
    <t>158,000—160,000</t>
  </si>
  <si>
    <t>182,000—188,000</t>
  </si>
  <si>
    <t>55,000—60,000</t>
  </si>
  <si>
    <t>155,000—155,500</t>
  </si>
  <si>
    <t>CIF NWE*</t>
  </si>
  <si>
    <t>PROPYLENE SPOT PRICES, $/t</t>
  </si>
  <si>
    <t>С3 CIF NWE*</t>
  </si>
  <si>
    <t>С3 CIF NWE (USD)</t>
  </si>
  <si>
    <t>Sept 15</t>
  </si>
  <si>
    <t>Sept 22</t>
  </si>
  <si>
    <t>Sept 29</t>
  </si>
  <si>
    <t>Sept 8</t>
  </si>
  <si>
    <t>Sept 1</t>
  </si>
  <si>
    <t>Aug 25</t>
  </si>
  <si>
    <t>Aug 18</t>
  </si>
  <si>
    <t>Aug 11</t>
  </si>
  <si>
    <t>Aug 4</t>
  </si>
  <si>
    <t>July 28</t>
  </si>
  <si>
    <t>July 21</t>
  </si>
  <si>
    <t>July 14</t>
  </si>
  <si>
    <t>July 7</t>
  </si>
  <si>
    <t>1,220—1,300</t>
  </si>
  <si>
    <t>1,350—1,450</t>
  </si>
  <si>
    <t>980—1,000</t>
  </si>
  <si>
    <t>960—980</t>
  </si>
  <si>
    <t>950—970</t>
  </si>
  <si>
    <t>940—960</t>
  </si>
  <si>
    <t>940—950</t>
  </si>
  <si>
    <t>111,000—123,000</t>
  </si>
  <si>
    <t>103,300—108,000</t>
  </si>
  <si>
    <t>126,800—129,000</t>
  </si>
  <si>
    <t>119,000—129,000</t>
  </si>
  <si>
    <t>960—990</t>
  </si>
  <si>
    <t>950—960</t>
  </si>
  <si>
    <t>PROPYLENE CONTRACT PRICE, €/t</t>
  </si>
  <si>
    <t>Oct 6</t>
  </si>
  <si>
    <t>Oct 13</t>
  </si>
  <si>
    <t>Oct 20</t>
  </si>
  <si>
    <t>Oct 27</t>
  </si>
  <si>
    <t>102,300—108,000</t>
  </si>
  <si>
    <t>102,300—108,800</t>
  </si>
  <si>
    <t>106,000—108,000</t>
  </si>
  <si>
    <t>50,000—60,000</t>
  </si>
  <si>
    <t>40,000—50,000</t>
  </si>
  <si>
    <t>145,000—146,000</t>
  </si>
  <si>
    <t>150,000—167,000</t>
  </si>
  <si>
    <t>35,000—38,000</t>
  </si>
  <si>
    <t>36,000—40,000</t>
  </si>
  <si>
    <t>35,000—40,000</t>
  </si>
  <si>
    <t>28,800—32,400</t>
  </si>
  <si>
    <t>970—1,000</t>
  </si>
  <si>
    <t>1,250—1,300</t>
  </si>
  <si>
    <t>920—980</t>
  </si>
  <si>
    <t>103,500—108,800</t>
  </si>
  <si>
    <t>54,000—56,000</t>
  </si>
  <si>
    <t>890—960</t>
  </si>
  <si>
    <t>910—960</t>
  </si>
  <si>
    <t>166,000—167,000</t>
  </si>
  <si>
    <t>141,000—142,000</t>
  </si>
  <si>
    <t>Nov 3</t>
  </si>
  <si>
    <t>Nov 10</t>
  </si>
  <si>
    <t>Nov 17</t>
  </si>
  <si>
    <t>Nov 24</t>
  </si>
  <si>
    <t>52,000—53,000</t>
  </si>
  <si>
    <t>40,000—52,000</t>
  </si>
  <si>
    <t>140,000—141,000</t>
  </si>
  <si>
    <t>880—940</t>
  </si>
  <si>
    <t>890—940</t>
  </si>
  <si>
    <t>119,000—120,000</t>
  </si>
  <si>
    <t>140,000—145,000</t>
  </si>
  <si>
    <t>880—920</t>
  </si>
  <si>
    <t>890—930</t>
  </si>
  <si>
    <t>105,000—109,000</t>
  </si>
  <si>
    <t>118,500—120,000</t>
  </si>
  <si>
    <t>870—910</t>
  </si>
  <si>
    <t>880—910</t>
  </si>
  <si>
    <t>Dec 1</t>
  </si>
  <si>
    <t>Dec 8</t>
  </si>
  <si>
    <t>Dec 15</t>
  </si>
  <si>
    <t>Dec 22</t>
  </si>
  <si>
    <t>105,000—110,000</t>
  </si>
  <si>
    <t>118,000—120,000</t>
  </si>
  <si>
    <t>142,000—150,000</t>
  </si>
  <si>
    <t>40,000—42,000</t>
  </si>
  <si>
    <t>55,000—62,000</t>
  </si>
  <si>
    <t>28,800—34,400</t>
  </si>
  <si>
    <t>45,000—55,000</t>
  </si>
  <si>
    <t>1,200—1,280</t>
  </si>
  <si>
    <t>1,390—1,400</t>
  </si>
  <si>
    <t>1,300—1,400</t>
  </si>
  <si>
    <t>880—930</t>
  </si>
  <si>
    <t>38,000—52,000</t>
  </si>
  <si>
    <t>105,000—108,000</t>
  </si>
  <si>
    <t>38,000—54,000</t>
  </si>
  <si>
    <t>45,000—53,000</t>
  </si>
  <si>
    <t>Jan 5</t>
  </si>
  <si>
    <t>890—920</t>
  </si>
  <si>
    <t>120,000—142,000</t>
  </si>
  <si>
    <t>45,000—49,000</t>
  </si>
  <si>
    <t>Jan 12</t>
  </si>
  <si>
    <t>Jan 19</t>
  </si>
  <si>
    <t>Jan 26</t>
  </si>
  <si>
    <t>1,280—1,350</t>
  </si>
  <si>
    <t>106,000—110,000</t>
  </si>
  <si>
    <t>30,000—38,000</t>
  </si>
  <si>
    <t>39,000—46,000</t>
  </si>
  <si>
    <t>1,250—1,320</t>
  </si>
  <si>
    <t>900—930</t>
  </si>
  <si>
    <t>106,000—114,000</t>
  </si>
  <si>
    <t>152,000—153,000</t>
  </si>
  <si>
    <t>137,500—138,000</t>
  </si>
  <si>
    <t>120,000—138,000</t>
  </si>
  <si>
    <t>Feb 2</t>
  </si>
  <si>
    <t>Feb 9</t>
  </si>
  <si>
    <t>Feb 16</t>
  </si>
  <si>
    <t>Feb 23</t>
  </si>
  <si>
    <t>930—960</t>
  </si>
  <si>
    <t>940—970</t>
  </si>
  <si>
    <t>664*</t>
  </si>
  <si>
    <t>29,000—36,000</t>
  </si>
  <si>
    <t>38,000—48,000</t>
  </si>
  <si>
    <t>165,000—170,000</t>
  </si>
  <si>
    <t>38,000—59,000</t>
  </si>
  <si>
    <t>26,000—36,000</t>
  </si>
  <si>
    <t>38,000—57,000</t>
  </si>
  <si>
    <t>165,000—172,000</t>
  </si>
  <si>
    <t>132,500—140,000</t>
  </si>
  <si>
    <t>1,160—1,220</t>
  </si>
  <si>
    <t>1,280—1,320</t>
  </si>
  <si>
    <t>110,000—114,000</t>
  </si>
  <si>
    <t>119,000—121,000</t>
  </si>
  <si>
    <t>38,000—50,000</t>
  </si>
  <si>
    <t>1,180—1,220</t>
  </si>
  <si>
    <t>1,290—1,320</t>
  </si>
  <si>
    <t>38,000—56,000</t>
  </si>
  <si>
    <t>1,190—1,230</t>
  </si>
  <si>
    <t>Mar 2</t>
  </si>
  <si>
    <t>Mar 9</t>
  </si>
  <si>
    <t>Mar 16</t>
  </si>
  <si>
    <t>Mar 23</t>
  </si>
  <si>
    <t>Mar 30</t>
  </si>
  <si>
    <t>45,000—56,000</t>
  </si>
  <si>
    <t>175,000—177000</t>
  </si>
  <si>
    <t>139,500—140,000</t>
  </si>
  <si>
    <t>1,220—1,250</t>
  </si>
  <si>
    <t>115,000—120,000</t>
  </si>
  <si>
    <t>124,000—126,000</t>
  </si>
  <si>
    <t>1,230—1,290</t>
  </si>
  <si>
    <t>920—940</t>
  </si>
  <si>
    <t>930—950</t>
  </si>
  <si>
    <t>116,000—120,500</t>
  </si>
  <si>
    <t>125,000—127,000</t>
  </si>
  <si>
    <t>139,500—142,000</t>
  </si>
  <si>
    <t>FD NWE</t>
  </si>
  <si>
    <t>Apr 6</t>
  </si>
  <si>
    <t>910—940</t>
  </si>
  <si>
    <t>920—950</t>
  </si>
  <si>
    <t>124,000—130,500</t>
  </si>
  <si>
    <t>133,000—136,000</t>
  </si>
  <si>
    <t>50,000—56,000</t>
  </si>
  <si>
    <t>34,000—44,000</t>
  </si>
  <si>
    <t>43,000—52,000</t>
  </si>
  <si>
    <t>168,000—168,500</t>
  </si>
  <si>
    <t>Apr 13</t>
  </si>
  <si>
    <t>Apr 20</t>
  </si>
  <si>
    <t>Apr 27</t>
  </si>
  <si>
    <t>124,000—131,000</t>
  </si>
  <si>
    <t>170,000—179000</t>
  </si>
  <si>
    <t>162,000—168,000</t>
  </si>
  <si>
    <t>43,000—55,000</t>
  </si>
  <si>
    <t>42,000—52,000</t>
  </si>
  <si>
    <t>37,000—42,000</t>
  </si>
  <si>
    <t>May 4</t>
  </si>
  <si>
    <t>May 11</t>
  </si>
  <si>
    <t>May 18</t>
  </si>
  <si>
    <t>May 25</t>
  </si>
  <si>
    <t>133,000—140,000</t>
  </si>
  <si>
    <t>143,000—146,000</t>
  </si>
  <si>
    <t>75,000—95,000</t>
  </si>
  <si>
    <t>52,000—57,500</t>
  </si>
  <si>
    <t>53,000—63,000</t>
  </si>
  <si>
    <t>178,000—180,000</t>
  </si>
  <si>
    <t>172,000—175,000</t>
  </si>
  <si>
    <t>68,000—95,000</t>
  </si>
  <si>
    <t>49,000—59,000</t>
  </si>
  <si>
    <t>1,260—1,320</t>
  </si>
  <si>
    <t>1,170—1,230</t>
  </si>
  <si>
    <t>870—920</t>
  </si>
  <si>
    <t>134,000—140,000</t>
  </si>
  <si>
    <t>860—910</t>
  </si>
  <si>
    <t>134,500—140,000</t>
  </si>
  <si>
    <t>June 1</t>
  </si>
  <si>
    <t>830—890</t>
  </si>
  <si>
    <t>850—910</t>
  </si>
  <si>
    <t>137,500—145,000</t>
  </si>
  <si>
    <t>148,000—155,000</t>
  </si>
  <si>
    <t>June 8</t>
  </si>
  <si>
    <t>June 15</t>
  </si>
  <si>
    <t>June 22</t>
  </si>
  <si>
    <t>June 29</t>
  </si>
  <si>
    <t>58,000—63,000</t>
  </si>
  <si>
    <t>161,000—164,000</t>
  </si>
  <si>
    <t>1,140—1,200</t>
  </si>
  <si>
    <t>820—870</t>
  </si>
  <si>
    <t>840—890</t>
  </si>
  <si>
    <t>135,000—145,000</t>
  </si>
  <si>
    <t>175,000—175,500</t>
  </si>
  <si>
    <t>161,000—162,000</t>
  </si>
  <si>
    <t>128,000—130,000</t>
  </si>
  <si>
    <t>59,000—67,000</t>
  </si>
  <si>
    <t>не смотри, это в евро, а нужны доллары</t>
  </si>
  <si>
    <t>это в долларах</t>
  </si>
  <si>
    <t>1,050—1,120</t>
  </si>
  <si>
    <t>820—860</t>
  </si>
  <si>
    <t>830—870</t>
  </si>
  <si>
    <t>85,000—125,000</t>
  </si>
  <si>
    <t>134,000—142,000</t>
  </si>
  <si>
    <t>146,000—155,000</t>
  </si>
  <si>
    <t>800—850</t>
  </si>
  <si>
    <t>1,050—1,080</t>
  </si>
  <si>
    <t>1,080—1,140</t>
  </si>
  <si>
    <t>800—840</t>
  </si>
  <si>
    <t>820—850</t>
  </si>
  <si>
    <t>134,500—145,000</t>
  </si>
  <si>
    <t>52,000—63,000</t>
  </si>
  <si>
    <t>July 6</t>
  </si>
  <si>
    <t>990—1,050</t>
  </si>
  <si>
    <t>136,000—145,000</t>
  </si>
  <si>
    <t>July 13</t>
  </si>
  <si>
    <t>July 20</t>
  </si>
  <si>
    <t>July 27</t>
  </si>
  <si>
    <t>78,000—100,000</t>
  </si>
  <si>
    <t>157,000—170,000</t>
  </si>
  <si>
    <t>970—1,030</t>
  </si>
  <si>
    <t>1,030—1,120</t>
  </si>
  <si>
    <t>136,500—143,000</t>
  </si>
  <si>
    <t>80,000—98,000</t>
  </si>
  <si>
    <t>63,000—68,000</t>
  </si>
  <si>
    <t>52,000—60,000</t>
  </si>
  <si>
    <t>41,000—45,000</t>
  </si>
  <si>
    <t>137,500—143,000</t>
  </si>
  <si>
    <t>76,000—98,000</t>
  </si>
  <si>
    <t>Aug 3</t>
  </si>
  <si>
    <t>Aug 10</t>
  </si>
  <si>
    <t>Aug 17</t>
  </si>
  <si>
    <t>Aug 24</t>
  </si>
  <si>
    <t>Aug 31</t>
  </si>
  <si>
    <t>75,000—90,000</t>
  </si>
  <si>
    <t>180,000—180,500</t>
  </si>
  <si>
    <t>160,000—175,000</t>
  </si>
  <si>
    <t>147,000—157,000</t>
  </si>
  <si>
    <t>135,500—143,000</t>
  </si>
  <si>
    <t>148,000—157,000</t>
  </si>
  <si>
    <t>70,000—80,000</t>
  </si>
  <si>
    <t>150,000—159,000</t>
  </si>
  <si>
    <t>161,000–169,000</t>
  </si>
  <si>
    <t>49,000—58,000</t>
  </si>
  <si>
    <t>850—900</t>
  </si>
  <si>
    <t>Sept 7</t>
  </si>
  <si>
    <t>Sept 14</t>
  </si>
  <si>
    <t>Sept 21</t>
  </si>
  <si>
    <t>Sept 28</t>
  </si>
  <si>
    <t>1,020—1,080</t>
  </si>
  <si>
    <t>84,500—85,000</t>
  </si>
  <si>
    <t>177,500—178,000</t>
  </si>
  <si>
    <t>169,500—170,000</t>
  </si>
  <si>
    <t>65,000—80,000</t>
  </si>
  <si>
    <t>150,000—160,000</t>
  </si>
  <si>
    <t>161,000–170,000</t>
  </si>
  <si>
    <t>65,000—73,000</t>
  </si>
  <si>
    <t>60,000—70,000</t>
  </si>
  <si>
    <t>860—900</t>
  </si>
  <si>
    <t>49,000—65,700</t>
  </si>
  <si>
    <t>1,120—1,180</t>
  </si>
  <si>
    <t>178,500—179,500</t>
  </si>
  <si>
    <t>77,800—106,900</t>
  </si>
  <si>
    <t>Oct 5</t>
  </si>
  <si>
    <t>Oct 12</t>
  </si>
  <si>
    <t>Oct 19</t>
  </si>
  <si>
    <t>Oct 26</t>
  </si>
  <si>
    <t>850—890</t>
  </si>
  <si>
    <t>100,000—100,500</t>
  </si>
  <si>
    <t>1,180—1,250</t>
  </si>
  <si>
    <t>850—880</t>
  </si>
  <si>
    <t>860—890</t>
  </si>
  <si>
    <t>90,000—106,000</t>
  </si>
  <si>
    <t>65,000—70,000</t>
  </si>
  <si>
    <t>161,000—170,000</t>
  </si>
  <si>
    <t>Nov 2</t>
  </si>
  <si>
    <t>Nov 9</t>
  </si>
  <si>
    <t>Nov 16</t>
  </si>
  <si>
    <t>Nov 23</t>
  </si>
  <si>
    <t>Nov 30</t>
  </si>
  <si>
    <t>175,000—180,000</t>
  </si>
  <si>
    <t>1,050—1,140</t>
  </si>
  <si>
    <t>143,000—159,000</t>
  </si>
  <si>
    <t>100,000—102,000</t>
  </si>
  <si>
    <t>50,000—70,000</t>
  </si>
  <si>
    <t>90,000—105,000</t>
  </si>
  <si>
    <t>45,000—50,000</t>
  </si>
  <si>
    <t>1,050—1,100</t>
  </si>
  <si>
    <t>141,000—159,000</t>
  </si>
  <si>
    <t>85,000—96,000</t>
  </si>
  <si>
    <t>139,000—159,000</t>
  </si>
  <si>
    <t>159,000—170,000</t>
  </si>
  <si>
    <t>84,000—95,000</t>
  </si>
  <si>
    <t>84,000—96,000</t>
  </si>
  <si>
    <r>
      <t>240,000</t>
    </r>
    <r>
      <rPr>
        <sz val="9"/>
        <color rgb="FF000000"/>
        <rFont val="Arial"/>
        <family val="2"/>
        <charset val="204"/>
      </rPr>
      <t>—240,500</t>
    </r>
  </si>
  <si>
    <t>Dec 7</t>
  </si>
  <si>
    <t>1,040—1,070</t>
  </si>
  <si>
    <t>90,000—91,000</t>
  </si>
  <si>
    <t>80,000—88,000</t>
  </si>
  <si>
    <t>Dec 14</t>
  </si>
  <si>
    <t>Dec 21</t>
  </si>
  <si>
    <t>137,000—143,000</t>
  </si>
  <si>
    <t>145,000—152,000</t>
  </si>
  <si>
    <t>160,000—172,000</t>
  </si>
  <si>
    <t>200,000—215,000</t>
  </si>
  <si>
    <t>90,000—105,600</t>
  </si>
  <si>
    <t>68,000—74,000</t>
  </si>
  <si>
    <t>80,000—96,000</t>
  </si>
  <si>
    <t>90,000—99,600</t>
  </si>
  <si>
    <t>74,000—80,000</t>
  </si>
  <si>
    <t>Jan 4</t>
  </si>
  <si>
    <t>Jan 11</t>
  </si>
  <si>
    <t>Jan 18</t>
  </si>
  <si>
    <t>Jan 25</t>
  </si>
  <si>
    <t>138,000—143,000</t>
  </si>
  <si>
    <t>68,000—99,600</t>
  </si>
  <si>
    <t>68,000—80,000</t>
  </si>
  <si>
    <t>68,000—90,600</t>
  </si>
  <si>
    <t>150,000—155,000</t>
  </si>
  <si>
    <t>80,000—85,000</t>
  </si>
  <si>
    <t>43,000—45,000</t>
  </si>
  <si>
    <t>136,000—143,000</t>
  </si>
  <si>
    <t>90,600—96,000</t>
  </si>
  <si>
    <t>70,000—80,500</t>
  </si>
  <si>
    <t>76,000—83,000</t>
  </si>
  <si>
    <t>1,100—1,130</t>
  </si>
  <si>
    <t>Feb 1</t>
  </si>
  <si>
    <t>Feb 8</t>
  </si>
  <si>
    <t>Feb 15</t>
  </si>
  <si>
    <t>Feb 22</t>
  </si>
  <si>
    <t>Feb 29</t>
  </si>
  <si>
    <t>90,600—100,000</t>
  </si>
  <si>
    <t>90,000—100,000</t>
  </si>
  <si>
    <t>63,000—80,500</t>
  </si>
  <si>
    <t>85,000—94,000</t>
  </si>
  <si>
    <t>1,270—1,320</t>
  </si>
  <si>
    <t>1,290—1,350</t>
  </si>
  <si>
    <t>147,000—153,000</t>
  </si>
  <si>
    <t>138,000—144,000</t>
  </si>
  <si>
    <t>147,000—151,000</t>
  </si>
  <si>
    <t>76,000—82,500</t>
  </si>
  <si>
    <t>82,000—94,000</t>
  </si>
  <si>
    <t>Mar 7</t>
  </si>
  <si>
    <t>Mar 14</t>
  </si>
  <si>
    <t>Mar 21</t>
  </si>
  <si>
    <t>Mar 28</t>
  </si>
  <si>
    <t>78,000—85,000</t>
  </si>
  <si>
    <t>76,000—92,400</t>
  </si>
  <si>
    <t>1,330—1,400</t>
  </si>
  <si>
    <t>140,000—149,000</t>
  </si>
  <si>
    <t>890—925</t>
  </si>
  <si>
    <t>Apr 4</t>
  </si>
  <si>
    <t>Apr 11</t>
  </si>
  <si>
    <t>Apr 18</t>
  </si>
  <si>
    <t>Apr 25</t>
  </si>
  <si>
    <t>100,000—115,000</t>
  </si>
  <si>
    <t>86,000—103,000</t>
  </si>
  <si>
    <t>85,000—100,000</t>
  </si>
  <si>
    <t>140,000—143,000</t>
  </si>
  <si>
    <t>86,000—110,000</t>
  </si>
  <si>
    <t>92,400—103,000</t>
  </si>
  <si>
    <t>95,000—110,000</t>
  </si>
  <si>
    <t>88,500—113,000</t>
  </si>
  <si>
    <t>95,000—102,000</t>
  </si>
  <si>
    <t>100,000—125,000</t>
  </si>
  <si>
    <t>May 2</t>
  </si>
  <si>
    <t>May 9</t>
  </si>
  <si>
    <t>May 16</t>
  </si>
  <si>
    <t>May 23</t>
  </si>
  <si>
    <t>May 30</t>
  </si>
  <si>
    <t>900—940</t>
  </si>
  <si>
    <t>120,000—125,000</t>
  </si>
  <si>
    <t>1,230—1,300</t>
  </si>
  <si>
    <t>900—950</t>
  </si>
  <si>
    <t>210,000—230,000</t>
  </si>
  <si>
    <t>135,000—140,000</t>
  </si>
  <si>
    <t>91,000—105,000</t>
  </si>
  <si>
    <t>117,000—120,000</t>
  </si>
  <si>
    <t>1,220—1,280</t>
  </si>
  <si>
    <t>140,000—148,000</t>
  </si>
  <si>
    <t>114,000—115,000</t>
  </si>
  <si>
    <t>104,000—120,000</t>
  </si>
  <si>
    <t>June 6</t>
  </si>
  <si>
    <t>June 13</t>
  </si>
  <si>
    <t>June 20</t>
  </si>
  <si>
    <t>June 27</t>
  </si>
  <si>
    <t>134,000—148,000</t>
  </si>
  <si>
    <t>136,500—141,500</t>
  </si>
  <si>
    <t>95,000—113,000</t>
  </si>
  <si>
    <t>108,000—120,000</t>
  </si>
  <si>
    <t>92,500—115,000</t>
  </si>
  <si>
    <t>97,000—105,000</t>
  </si>
  <si>
    <t>95,000—120,000</t>
  </si>
  <si>
    <t>133,000—143,000</t>
  </si>
  <si>
    <t>97,000—110,000</t>
  </si>
  <si>
    <t>90,000—120,000</t>
  </si>
  <si>
    <t>95,000—112,000</t>
  </si>
  <si>
    <t>July 4</t>
  </si>
  <si>
    <t>July 11</t>
  </si>
  <si>
    <t>July 18</t>
  </si>
  <si>
    <t>July 25</t>
  </si>
  <si>
    <t>930—945</t>
  </si>
  <si>
    <t>102,000—104,000</t>
  </si>
  <si>
    <t>180,000—230,000</t>
  </si>
  <si>
    <t>141,000—141,500</t>
  </si>
  <si>
    <t>92,000—96,000</t>
  </si>
  <si>
    <t>132,000—143,000</t>
  </si>
  <si>
    <t>104,000—121,000</t>
  </si>
  <si>
    <t>180,000—207,000</t>
  </si>
  <si>
    <t>141,000—148,000</t>
  </si>
  <si>
    <t>101,000—112,000</t>
  </si>
  <si>
    <t>95,000—105,000</t>
  </si>
  <si>
    <t>1,180—1,270</t>
  </si>
  <si>
    <t>140,000—157,000</t>
  </si>
  <si>
    <t>100,000—112,000</t>
  </si>
  <si>
    <t>Aug 1</t>
  </si>
  <si>
    <t>Aug 8</t>
  </si>
  <si>
    <t>Aug 15</t>
  </si>
  <si>
    <t>Aug 22</t>
  </si>
  <si>
    <t>Aug 29</t>
  </si>
  <si>
    <t>1,200—1,270</t>
  </si>
  <si>
    <t>170,000—192,000</t>
  </si>
  <si>
    <t>1,320—1,360</t>
  </si>
  <si>
    <t>114,000—121,000</t>
  </si>
  <si>
    <t>910—935</t>
  </si>
  <si>
    <t>103,000—121,000</t>
  </si>
  <si>
    <t>110,000—126,500</t>
  </si>
  <si>
    <t>890—910</t>
  </si>
  <si>
    <t>131,500—143,000</t>
  </si>
  <si>
    <t>105,000—117,000</t>
  </si>
  <si>
    <t>117,000—125,500</t>
  </si>
  <si>
    <t>126,000—143,000</t>
  </si>
  <si>
    <t>112,000—125,000</t>
  </si>
  <si>
    <t>70,000—75,000</t>
  </si>
  <si>
    <t>Sept 5</t>
  </si>
  <si>
    <t>Sept 12</t>
  </si>
  <si>
    <t>Sept 19</t>
  </si>
  <si>
    <t>Sept 26</t>
  </si>
  <si>
    <t>1,230—1,280</t>
  </si>
  <si>
    <t>110,000—121,000</t>
  </si>
  <si>
    <t>105,000—115,000</t>
  </si>
  <si>
    <t>106,000—122,000</t>
  </si>
  <si>
    <t>131,000—148,000</t>
  </si>
  <si>
    <t>142,000—153,000</t>
  </si>
  <si>
    <t>141,000—150,000</t>
  </si>
  <si>
    <t>103,000—112,000</t>
  </si>
  <si>
    <t>104,000—122,000</t>
  </si>
  <si>
    <t>1,200—1,230</t>
  </si>
  <si>
    <t>1,280—1,330</t>
  </si>
  <si>
    <t>132,000—148,000</t>
  </si>
  <si>
    <t>103,000—115,000</t>
  </si>
  <si>
    <t>102,000—115,000</t>
  </si>
  <si>
    <t>101,000—115,000</t>
  </si>
  <si>
    <t>Oct 3</t>
  </si>
  <si>
    <t>Oct 10</t>
  </si>
  <si>
    <t>Oct 17</t>
  </si>
  <si>
    <t>Oct 24</t>
  </si>
  <si>
    <t>Oct 31</t>
  </si>
  <si>
    <t>100,250—105,000</t>
  </si>
  <si>
    <t>101,000—105,000</t>
  </si>
  <si>
    <t>99,000—105,000</t>
  </si>
  <si>
    <t>870—900</t>
  </si>
  <si>
    <t>1,210—1,300</t>
  </si>
  <si>
    <t>100,200—105,000</t>
  </si>
  <si>
    <t>99,000—100,500</t>
  </si>
  <si>
    <t>Nov 7</t>
  </si>
  <si>
    <t>Nov 14</t>
  </si>
  <si>
    <t>Nov 21</t>
  </si>
  <si>
    <t>Nov 28</t>
  </si>
  <si>
    <t>60,000—65,000</t>
  </si>
  <si>
    <t>85,000—105,000</t>
  </si>
  <si>
    <t>175,000—192,000</t>
  </si>
  <si>
    <t>95,000—97,000</t>
  </si>
  <si>
    <t>99,000—100,000</t>
  </si>
  <si>
    <t>1,080—1,160</t>
  </si>
  <si>
    <t>1,180—1,230</t>
  </si>
  <si>
    <t>136,000—153,000</t>
  </si>
  <si>
    <t>142,000—158,000</t>
  </si>
  <si>
    <t>93,000—95,000</t>
  </si>
  <si>
    <t>97,000—100,000</t>
  </si>
  <si>
    <t>1,060—1,160</t>
  </si>
  <si>
    <t>146,000—158,000</t>
  </si>
  <si>
    <t>90,000—95,000</t>
  </si>
  <si>
    <t>93,500—100,000</t>
  </si>
  <si>
    <t>89,000—95,000</t>
  </si>
  <si>
    <t>88,000—100,000</t>
  </si>
  <si>
    <r>
      <t xml:space="preserve">825 </t>
    </r>
    <r>
      <rPr>
        <sz val="11"/>
        <color rgb="FFFF0000"/>
        <rFont val="Wingdings"/>
        <charset val="2"/>
      </rPr>
      <t></t>
    </r>
    <r>
      <rPr>
        <vertAlign val="subscript"/>
        <sz val="10"/>
        <color rgb="FFFF0000"/>
        <rFont val="Arial"/>
        <family val="2"/>
        <charset val="204"/>
      </rPr>
      <t>5</t>
    </r>
  </si>
  <si>
    <r>
      <t xml:space="preserve">834 </t>
    </r>
    <r>
      <rPr>
        <sz val="11"/>
        <color rgb="FF00B050"/>
        <rFont val="Wingdings"/>
        <charset val="2"/>
      </rPr>
      <t></t>
    </r>
    <r>
      <rPr>
        <vertAlign val="superscript"/>
        <sz val="10"/>
        <color rgb="FF00B050"/>
        <rFont val="Arial"/>
        <family val="2"/>
        <charset val="204"/>
      </rPr>
      <t>5</t>
    </r>
  </si>
  <si>
    <t>145,000—158,000</t>
  </si>
  <si>
    <t>158,000—166,000</t>
  </si>
  <si>
    <t>81,000—89,000</t>
  </si>
  <si>
    <t>83,000—100,000</t>
  </si>
  <si>
    <t>Dec 5</t>
  </si>
  <si>
    <t>Dec 12</t>
  </si>
  <si>
    <t>Dec 19</t>
  </si>
  <si>
    <t>1,060—1,150</t>
  </si>
  <si>
    <t>870—890</t>
  </si>
  <si>
    <t>890—915</t>
  </si>
  <si>
    <t>85,000—95,000</t>
  </si>
  <si>
    <t>170,000—187,000</t>
  </si>
  <si>
    <t>141,000—145,000</t>
  </si>
  <si>
    <t>71,000—82,500</t>
  </si>
  <si>
    <t>81,000—84,500</t>
  </si>
  <si>
    <t>144,000—158,000</t>
  </si>
  <si>
    <t>155,000—166,000</t>
  </si>
  <si>
    <t>63,000—72,000</t>
  </si>
  <si>
    <t>Jan 9</t>
  </si>
  <si>
    <t>Jan 16</t>
  </si>
  <si>
    <t>Jan 23</t>
  </si>
  <si>
    <t>Jan 30</t>
  </si>
  <si>
    <t>38,000—42,000</t>
  </si>
  <si>
    <t>53,000—56,000</t>
  </si>
  <si>
    <t>80,000—82,000</t>
  </si>
  <si>
    <t>1,070—1,200</t>
  </si>
  <si>
    <t>156,000—165,000</t>
  </si>
  <si>
    <t>146,000—146,500</t>
  </si>
  <si>
    <t>85,000—103,000</t>
  </si>
  <si>
    <t>175,000—183,000</t>
  </si>
  <si>
    <t>81,000—87,100</t>
  </si>
  <si>
    <t>81,000—87,000</t>
  </si>
  <si>
    <t>Feb 6</t>
  </si>
  <si>
    <t>Feb 13</t>
  </si>
  <si>
    <t>Feb 20</t>
  </si>
  <si>
    <t>Feb 27</t>
  </si>
  <si>
    <t>145,000—159,000</t>
  </si>
  <si>
    <t>156,000—166,000</t>
  </si>
  <si>
    <t>165,000—175,000</t>
  </si>
  <si>
    <t>151,000—161,000</t>
  </si>
  <si>
    <t>85,000—98,000</t>
  </si>
  <si>
    <t>67,000—70,000</t>
  </si>
  <si>
    <t>87,000—88,000</t>
  </si>
  <si>
    <t>875—915</t>
  </si>
  <si>
    <t>900—920</t>
  </si>
  <si>
    <t>150,000—164,000</t>
  </si>
  <si>
    <t>166,000—176,000</t>
  </si>
  <si>
    <t>88,000—94,200</t>
  </si>
  <si>
    <t>1,100—1,230</t>
  </si>
  <si>
    <t>142,000—162,000</t>
  </si>
  <si>
    <t>163,000—175,000</t>
  </si>
  <si>
    <t>72,000—74,000</t>
  </si>
  <si>
    <t>135,000—155,000</t>
  </si>
  <si>
    <t>149,000—170,000</t>
  </si>
  <si>
    <t>72,000—76,000</t>
  </si>
  <si>
    <t>91,000—96,000</t>
  </si>
  <si>
    <t>Mar 6</t>
  </si>
  <si>
    <t>Mar 13</t>
  </si>
  <si>
    <t>Mar 20</t>
  </si>
  <si>
    <t>Mar 27</t>
  </si>
  <si>
    <t>160,000—176,000</t>
  </si>
  <si>
    <t>156,000—156,500</t>
  </si>
  <si>
    <t>74,000—77,500</t>
  </si>
  <si>
    <t>93,000—97,000</t>
  </si>
  <si>
    <t>85,000—93,000</t>
  </si>
  <si>
    <t>73,375—78,500</t>
  </si>
  <si>
    <t>94,000—98,000</t>
  </si>
  <si>
    <r>
      <t xml:space="preserve">845 </t>
    </r>
    <r>
      <rPr>
        <b/>
        <sz val="12"/>
        <color rgb="FF0070C0"/>
        <rFont val="Arial"/>
        <family val="2"/>
        <charset val="204"/>
      </rPr>
      <t>=</t>
    </r>
  </si>
  <si>
    <t>135,000—152,000</t>
  </si>
  <si>
    <t>149,000—165,000</t>
  </si>
  <si>
    <t>75,000—84,000</t>
  </si>
  <si>
    <t>85,000—87,000</t>
  </si>
  <si>
    <t>875—930</t>
  </si>
  <si>
    <t>135,000—148,000</t>
  </si>
  <si>
    <t>149,000—164,000</t>
  </si>
  <si>
    <t>77,000—86,000</t>
  </si>
  <si>
    <t>77,000—81,000</t>
  </si>
  <si>
    <t>Apr 3</t>
  </si>
  <si>
    <t>Apr 10</t>
  </si>
  <si>
    <t>Apr 17</t>
  </si>
  <si>
    <t>Apr 24</t>
  </si>
  <si>
    <t>149,000—162,000</t>
  </si>
  <si>
    <t>80,000—91,000</t>
  </si>
  <si>
    <t>135,000—166,000</t>
  </si>
  <si>
    <t>146,000—154,000</t>
  </si>
  <si>
    <t>84,600—85,500</t>
  </si>
  <si>
    <t>74,000—79,000</t>
  </si>
  <si>
    <t>84,600—86,500</t>
  </si>
  <si>
    <t>860—930</t>
  </si>
  <si>
    <t>72,500—74,000</t>
  </si>
  <si>
    <t>58,000—65,000</t>
  </si>
  <si>
    <t>130,000—143,000</t>
  </si>
  <si>
    <t>86,500—89,000</t>
  </si>
  <si>
    <t>69,000—71,000</t>
  </si>
  <si>
    <t>65,000—67,000</t>
  </si>
  <si>
    <t>May 8</t>
  </si>
  <si>
    <t>May 15</t>
  </si>
  <si>
    <t>May 22</t>
  </si>
  <si>
    <t>May 29</t>
  </si>
  <si>
    <t>1,020—1,100</t>
  </si>
  <si>
    <t>130,000—140,000</t>
  </si>
  <si>
    <t>143,000—156,000</t>
  </si>
  <si>
    <t>70,000—88,000</t>
  </si>
  <si>
    <t>130,000—156,000</t>
  </si>
  <si>
    <t>56,000—70,000</t>
  </si>
  <si>
    <t>127,000—136,000</t>
  </si>
  <si>
    <t>138,000—151,000</t>
  </si>
  <si>
    <t>72,000—72,500</t>
  </si>
  <si>
    <t>53,500—58,000</t>
  </si>
  <si>
    <t>1,000—1,080</t>
  </si>
  <si>
    <t>June 5</t>
  </si>
  <si>
    <t>June 12</t>
  </si>
  <si>
    <t>June 19</t>
  </si>
  <si>
    <t>June 26</t>
  </si>
  <si>
    <t>64,000—66,000</t>
  </si>
  <si>
    <t>50,000—57,000</t>
  </si>
  <si>
    <t>120,000—132,000</t>
  </si>
  <si>
    <t>133,000—146,000</t>
  </si>
  <si>
    <t>125,000—156,000</t>
  </si>
  <si>
    <t>50,000—53,000</t>
  </si>
  <si>
    <t>44,000—52,400</t>
  </si>
  <si>
    <t>62,000—63,000</t>
  </si>
  <si>
    <t>36,000—43,500</t>
  </si>
  <si>
    <t>118,000—125,000</t>
  </si>
  <si>
    <t>131,000—141,000</t>
  </si>
  <si>
    <t>62,000—64,500</t>
  </si>
  <si>
    <t>32,000—40,000</t>
  </si>
  <si>
    <t>July 3</t>
  </si>
  <si>
    <t>July 10</t>
  </si>
  <si>
    <t>July 17</t>
  </si>
  <si>
    <t>July 24</t>
  </si>
  <si>
    <t>July 31</t>
  </si>
  <si>
    <t>118,000—123,500</t>
  </si>
  <si>
    <t>131,000—140,000</t>
  </si>
  <si>
    <t>50,000—76,000</t>
  </si>
  <si>
    <t>40,000—50,500</t>
  </si>
  <si>
    <t>65,000—66,740</t>
  </si>
  <si>
    <t>42,000—77,500</t>
  </si>
  <si>
    <t>880—900</t>
  </si>
  <si>
    <t>72,500—73,000</t>
  </si>
  <si>
    <t>82,000—90,000</t>
  </si>
  <si>
    <t>865—870</t>
  </si>
  <si>
    <t>930—940</t>
  </si>
  <si>
    <t>76,000—78,300</t>
  </si>
  <si>
    <t>83,000—92,000</t>
  </si>
  <si>
    <t>925—930</t>
  </si>
  <si>
    <t>140,000—151,000</t>
  </si>
  <si>
    <t>73,500—77,200</t>
  </si>
  <si>
    <t>83,700—90,500</t>
  </si>
  <si>
    <t>960—1,040</t>
  </si>
  <si>
    <t>83,700—88,000</t>
  </si>
  <si>
    <t>920—925</t>
  </si>
  <si>
    <t>80,000—89,000</t>
  </si>
  <si>
    <t>860—875</t>
  </si>
  <si>
    <t>81,500—81,800</t>
  </si>
  <si>
    <t>83,000—84,000</t>
  </si>
  <si>
    <t>855—865</t>
  </si>
  <si>
    <t>905—910</t>
  </si>
  <si>
    <t>50,000—71,000</t>
  </si>
  <si>
    <t>82,000—82,500</t>
  </si>
  <si>
    <t>80,000—84,000</t>
  </si>
  <si>
    <t>144,000—146,000</t>
  </si>
  <si>
    <t>930—1,020</t>
  </si>
  <si>
    <t>1,060—1,120</t>
  </si>
  <si>
    <t>845—855</t>
  </si>
  <si>
    <t>900—905</t>
  </si>
  <si>
    <t>82,100—82,500</t>
  </si>
  <si>
    <t>75,000—76,900</t>
  </si>
  <si>
    <t>920—1,000</t>
  </si>
  <si>
    <t>840—855</t>
  </si>
  <si>
    <t>895—900</t>
  </si>
  <si>
    <t>840—850</t>
  </si>
  <si>
    <t>885—890</t>
  </si>
  <si>
    <t>810—860</t>
  </si>
  <si>
    <t>72,000—73,000</t>
  </si>
  <si>
    <t>900—980</t>
  </si>
  <si>
    <t>1,030—1,080</t>
  </si>
  <si>
    <t>82,100—82,650</t>
  </si>
  <si>
    <t>70,000—77,800</t>
  </si>
  <si>
    <t>900—960</t>
  </si>
  <si>
    <t>Propylene</t>
  </si>
  <si>
    <t>PGP</t>
  </si>
  <si>
    <t>CGP</t>
  </si>
  <si>
    <t>PP homo</t>
  </si>
  <si>
    <t>PP block copolymer</t>
  </si>
  <si>
    <t>FOB Rotterdam</t>
  </si>
  <si>
    <t>Phenol</t>
  </si>
  <si>
    <t>ChemCourier</t>
  </si>
  <si>
    <t>74,700—76,400</t>
  </si>
  <si>
    <t>810—855</t>
  </si>
  <si>
    <t>82,400—83,300</t>
  </si>
  <si>
    <t>76,400—82,900</t>
  </si>
  <si>
    <t>870—960</t>
  </si>
  <si>
    <t>980—1,060</t>
  </si>
  <si>
    <t>810—850</t>
  </si>
  <si>
    <t>82,400—83,700</t>
  </si>
  <si>
    <t>74,000—82,900</t>
  </si>
  <si>
    <t>810—830</t>
  </si>
  <si>
    <t>67,000—75,000</t>
  </si>
  <si>
    <t>840—880</t>
  </si>
  <si>
    <t>66,000—72,000</t>
  </si>
  <si>
    <t>990—1,080</t>
  </si>
  <si>
    <t>55,000—71,000</t>
  </si>
  <si>
    <t>50,000—58,000</t>
  </si>
  <si>
    <t>78,000—83,700</t>
  </si>
  <si>
    <t>44,000—50,600</t>
  </si>
  <si>
    <t>Dec 24</t>
  </si>
  <si>
    <t>36,300—40,000</t>
  </si>
  <si>
    <t>755—780</t>
  </si>
  <si>
    <t>770—790</t>
  </si>
  <si>
    <t>765—790</t>
  </si>
  <si>
    <t>750—780</t>
  </si>
  <si>
    <t>51,000—71,000</t>
  </si>
  <si>
    <t>40,000—60,000</t>
  </si>
  <si>
    <t>765—800</t>
  </si>
  <si>
    <t>40,500—47,700</t>
  </si>
  <si>
    <t>750—770</t>
  </si>
  <si>
    <t>755—775</t>
  </si>
  <si>
    <t>770—795</t>
  </si>
  <si>
    <t>69,000—73,000</t>
  </si>
  <si>
    <t>44,000—47,000</t>
  </si>
  <si>
    <t>900—970</t>
  </si>
  <si>
    <t>45,500—47,000</t>
  </si>
  <si>
    <t>900—1,000</t>
  </si>
  <si>
    <t>770—820</t>
  </si>
  <si>
    <t>800—880</t>
  </si>
  <si>
    <t>45,500—46,500</t>
  </si>
  <si>
    <t>45,000—45,500</t>
  </si>
  <si>
    <t>800—900</t>
  </si>
  <si>
    <t>1,200—1,450</t>
  </si>
  <si>
    <t>1,400—1,550</t>
  </si>
  <si>
    <t>72,450—76,650</t>
  </si>
  <si>
    <t>44,000—45,500</t>
  </si>
  <si>
    <t>1,350—1,550</t>
  </si>
  <si>
    <t>1,550—1,780</t>
  </si>
  <si>
    <t>1,150—1,210</t>
  </si>
  <si>
    <t>1,150—1,270</t>
  </si>
  <si>
    <t>1,700—2,000</t>
  </si>
  <si>
    <t>76,000—78,000</t>
  </si>
  <si>
    <t>1,800—1,870</t>
  </si>
  <si>
    <t>70,000—87,000</t>
  </si>
  <si>
    <t>80,000—80,500</t>
  </si>
  <si>
    <t>45,000—50,600</t>
  </si>
  <si>
    <t>1,750—2,050</t>
  </si>
  <si>
    <t>1,850—2,100</t>
  </si>
  <si>
    <t>70,800—74,000</t>
  </si>
  <si>
    <t>73,000—74,000</t>
  </si>
  <si>
    <t>ChemCourier C3 MCP Forecast</t>
  </si>
  <si>
    <t>80,000—100,000</t>
  </si>
  <si>
    <t>73,000—75,000</t>
  </si>
  <si>
    <t>80,000—101,000</t>
  </si>
  <si>
    <t>1,650—1,900</t>
  </si>
  <si>
    <t>1,750—1,950</t>
  </si>
  <si>
    <t>87,500—88,000</t>
  </si>
  <si>
    <t>90,000—90,500</t>
  </si>
  <si>
    <t>1,220—1,270</t>
  </si>
  <si>
    <r>
      <t xml:space="preserve">1,150 </t>
    </r>
    <r>
      <rPr>
        <sz val="11"/>
        <color rgb="FFFF0000"/>
        <rFont val="Wingdings"/>
        <charset val="2"/>
      </rPr>
      <t></t>
    </r>
    <r>
      <rPr>
        <vertAlign val="subscript"/>
        <sz val="10"/>
        <color rgb="FFFF0000"/>
        <rFont val="Arial"/>
        <family val="2"/>
        <charset val="204"/>
      </rPr>
      <t>60</t>
    </r>
  </si>
  <si>
    <r>
      <t xml:space="preserve">1,537 </t>
    </r>
    <r>
      <rPr>
        <sz val="11"/>
        <color rgb="FFFF0000"/>
        <rFont val="Wingdings"/>
        <charset val="2"/>
      </rPr>
      <t></t>
    </r>
    <r>
      <rPr>
        <vertAlign val="subscript"/>
        <sz val="10"/>
        <color rgb="FFFF0000"/>
        <rFont val="Arial"/>
        <family val="2"/>
        <charset val="204"/>
      </rPr>
      <t>114</t>
    </r>
  </si>
  <si>
    <r>
      <rPr>
        <b/>
        <sz val="11"/>
        <color rgb="FFFF0000"/>
        <rFont val="Wingdings"/>
        <charset val="2"/>
      </rPr>
      <t></t>
    </r>
    <r>
      <rPr>
        <b/>
        <sz val="12"/>
        <color rgb="FF0070C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</si>
</sst>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0.000%"/>
    <numFmt numFmtId="166" formatCode="0.0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9"/>
      <color rgb="FFFFFFFF"/>
      <name val="Arial"/>
      <family val="2"/>
      <charset val="204"/>
    </font>
    <font>
      <i/>
      <sz val="9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theme="1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color rgb="FF00B050"/>
      <name val="Wingdings"/>
      <charset val="2"/>
    </font>
    <font>
      <b/>
      <sz val="11"/>
      <color rgb="FF0070C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Wingdings"/>
      <charset val="2"/>
    </font>
    <font>
      <sz val="9"/>
      <color rgb="FFFF0000"/>
      <name val="Wingdings"/>
      <charset val="2"/>
    </font>
    <font>
      <sz val="10"/>
      <color rgb="FFFF0000"/>
      <name val="Wingdings"/>
      <charset val="2"/>
    </font>
    <font>
      <b/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1"/>
      <color rgb="FF92D05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name val="Arial"/>
      <family val="2"/>
      <charset val="204"/>
    </font>
    <font>
      <sz val="11"/>
      <color rgb="FF00B050"/>
      <name val="Wingdings"/>
      <charset val="2"/>
    </font>
    <font>
      <vertAlign val="superscript"/>
      <sz val="10"/>
      <color rgb="FF00B050"/>
      <name val="Arial"/>
      <family val="2"/>
      <charset val="204"/>
    </font>
    <font>
      <b/>
      <sz val="12"/>
      <color rgb="FF0070C0"/>
      <name val="Arial"/>
      <family val="2"/>
      <charset val="204"/>
    </font>
    <font>
      <sz val="11"/>
      <color rgb="FFFF0000"/>
      <name val="Wingdings"/>
      <charset val="2"/>
    </font>
    <font>
      <vertAlign val="subscript"/>
      <sz val="10"/>
      <color rgb="FFFF0000"/>
      <name val="Arial"/>
      <family val="2"/>
      <charset val="204"/>
    </font>
    <font>
      <i/>
      <u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i/>
      <sz val="10"/>
      <color rgb="FF000000"/>
      <name val="Arial"/>
      <family val="2"/>
      <charset val="204"/>
    </font>
    <font>
      <sz val="11"/>
      <color rgb="FF00B050"/>
      <name val="Calibri"/>
      <family val="2"/>
      <charset val="204"/>
      <scheme val="minor"/>
    </font>
    <font>
      <sz val="9"/>
      <color rgb="FF00B050"/>
      <name val="Arial"/>
      <family val="2"/>
      <charset val="204"/>
    </font>
    <font>
      <sz val="10"/>
      <color rgb="FF00B05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9"/>
      <color rgb="FFFF0000"/>
      <name val="Arial"/>
      <family val="2"/>
      <charset val="204"/>
    </font>
    <font>
      <sz val="10"/>
      <color rgb="FFFF0000"/>
      <name val="Arial"/>
      <family val="2"/>
      <charset val="204"/>
    </font>
    <font>
      <sz val="27"/>
      <color rgb="FF202124"/>
      <name val="Arial"/>
      <family val="2"/>
      <charset val="204"/>
    </font>
    <font>
      <b/>
      <sz val="11"/>
      <color rgb="FFFF0000"/>
      <name val="Wingdings"/>
      <charset val="2"/>
    </font>
  </fonts>
  <fills count="17">
    <fill>
      <patternFill patternType="none"/>
    </fill>
    <fill>
      <patternFill patternType="gray125"/>
    </fill>
    <fill>
      <patternFill patternType="solid">
        <fgColor rgb="FF3C919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1B1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E5D27"/>
        <bgColor indexed="64"/>
      </patternFill>
    </fill>
    <fill>
      <patternFill patternType="solid">
        <fgColor rgb="FFDAA36A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41919A"/>
      </bottom>
      <diagonal/>
    </border>
    <border>
      <left/>
      <right/>
      <top style="medium">
        <color rgb="FF41919A"/>
      </top>
      <bottom style="medium">
        <color rgb="FF41919A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41919A"/>
      </top>
      <bottom style="thin">
        <color rgb="FF41919A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24" fillId="0" borderId="0"/>
    <xf numFmtId="0" fontId="1" fillId="0" borderId="0"/>
    <xf numFmtId="0" fontId="7" fillId="0" borderId="0"/>
  </cellStyleXfs>
  <cellXfs count="183">
    <xf numFmtId="0" fontId="0" fillId="0" borderId="0" xfId="0"/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NumberFormat="1"/>
    <xf numFmtId="3" fontId="5" fillId="4" borderId="1" xfId="0" applyNumberFormat="1" applyFont="1" applyFill="1" applyBorder="1" applyAlignment="1">
      <alignment horizontal="center" vertical="center"/>
    </xf>
    <xf numFmtId="0" fontId="7" fillId="0" borderId="0" xfId="0" applyFont="1"/>
    <xf numFmtId="9" fontId="0" fillId="0" borderId="0" xfId="1" applyFont="1" applyAlignment="1">
      <alignment horizontal="center"/>
    </xf>
    <xf numFmtId="9" fontId="8" fillId="4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0" fillId="0" borderId="0" xfId="0" applyFill="1"/>
    <xf numFmtId="0" fontId="5" fillId="4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3" fontId="5" fillId="0" borderId="0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9" fontId="8" fillId="5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4" borderId="1" xfId="0" applyFont="1" applyFill="1" applyBorder="1" applyAlignment="1">
      <alignment horizontal="right" vertical="center"/>
    </xf>
    <xf numFmtId="0" fontId="5" fillId="0" borderId="0" xfId="0" applyFont="1" applyFill="1" applyBorder="1"/>
    <xf numFmtId="3" fontId="0" fillId="0" borderId="0" xfId="0" applyNumberFormat="1"/>
    <xf numFmtId="0" fontId="0" fillId="0" borderId="3" xfId="0" applyBorder="1"/>
    <xf numFmtId="0" fontId="0" fillId="0" borderId="4" xfId="0" applyBorder="1"/>
    <xf numFmtId="0" fontId="22" fillId="0" borderId="0" xfId="0" applyFont="1"/>
    <xf numFmtId="4" fontId="5" fillId="4" borderId="1" xfId="0" applyNumberFormat="1" applyFont="1" applyFill="1" applyBorder="1" applyAlignment="1">
      <alignment horizontal="center" vertical="center"/>
    </xf>
    <xf numFmtId="0" fontId="0" fillId="14" borderId="0" xfId="0" applyFill="1"/>
    <xf numFmtId="1" fontId="0" fillId="0" borderId="0" xfId="0" applyNumberFormat="1"/>
    <xf numFmtId="0" fontId="18" fillId="3" borderId="1" xfId="0" applyFont="1" applyFill="1" applyBorder="1" applyAlignment="1">
      <alignment horizontal="left" vertical="center"/>
    </xf>
    <xf numFmtId="2" fontId="0" fillId="0" borderId="0" xfId="0" applyNumberFormat="1"/>
    <xf numFmtId="0" fontId="19" fillId="0" borderId="0" xfId="0" applyFont="1" applyFill="1" applyAlignment="1">
      <alignment vertical="center"/>
    </xf>
    <xf numFmtId="3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Fill="1" applyBorder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3" fontId="6" fillId="13" borderId="0" xfId="0" applyNumberFormat="1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9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center" vertical="center"/>
    </xf>
    <xf numFmtId="1" fontId="0" fillId="0" borderId="0" xfId="0" applyNumberFormat="1" applyFill="1" applyBorder="1"/>
    <xf numFmtId="0" fontId="23" fillId="0" borderId="0" xfId="2" applyFill="1" applyBorder="1" applyAlignment="1" applyProtection="1">
      <alignment horizontal="center" vertical="center"/>
    </xf>
    <xf numFmtId="0" fontId="5" fillId="0" borderId="0" xfId="0" applyFont="1"/>
    <xf numFmtId="0" fontId="5" fillId="5" borderId="1" xfId="0" applyFont="1" applyFill="1" applyBorder="1" applyAlignment="1">
      <alignment vertical="center"/>
    </xf>
    <xf numFmtId="3" fontId="5" fillId="5" borderId="1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right" vertical="center"/>
    </xf>
    <xf numFmtId="0" fontId="30" fillId="3" borderId="0" xfId="0" applyFont="1" applyFill="1" applyAlignment="1">
      <alignment horizontal="center" vertical="center"/>
    </xf>
    <xf numFmtId="10" fontId="0" fillId="0" borderId="0" xfId="0" applyNumberFormat="1"/>
    <xf numFmtId="165" fontId="0" fillId="0" borderId="0" xfId="0" applyNumberFormat="1"/>
    <xf numFmtId="0" fontId="32" fillId="0" borderId="0" xfId="0" applyFont="1"/>
    <xf numFmtId="0" fontId="33" fillId="0" borderId="0" xfId="0" applyFont="1"/>
    <xf numFmtId="0" fontId="3" fillId="0" borderId="0" xfId="0" applyFont="1"/>
    <xf numFmtId="0" fontId="0" fillId="3" borderId="0" xfId="0" applyFill="1" applyBorder="1" applyAlignment="1">
      <alignment vertical="center"/>
    </xf>
    <xf numFmtId="0" fontId="14" fillId="0" borderId="0" xfId="0" applyFont="1" applyFill="1" applyBorder="1" applyAlignment="1">
      <alignment horizontal="left" vertical="center"/>
    </xf>
    <xf numFmtId="9" fontId="8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9" fontId="0" fillId="0" borderId="0" xfId="1" applyFont="1"/>
    <xf numFmtId="0" fontId="21" fillId="3" borderId="1" xfId="0" applyFont="1" applyFill="1" applyBorder="1" applyAlignment="1">
      <alignment horizontal="center" vertical="center"/>
    </xf>
    <xf numFmtId="0" fontId="34" fillId="0" borderId="0" xfId="0" applyFont="1"/>
    <xf numFmtId="0" fontId="0" fillId="9" borderId="0" xfId="0" applyFill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35" fillId="4" borderId="1" xfId="0" applyFont="1" applyFill="1" applyBorder="1" applyAlignment="1">
      <alignment vertical="center"/>
    </xf>
    <xf numFmtId="2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vertical="center"/>
    </xf>
    <xf numFmtId="0" fontId="17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3" fontId="5" fillId="4" borderId="5" xfId="0" applyNumberFormat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left" vertical="center"/>
    </xf>
    <xf numFmtId="9" fontId="8" fillId="4" borderId="5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3" fontId="5" fillId="3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3" fontId="5" fillId="5" borderId="5" xfId="0" applyNumberFormat="1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left" vertical="center"/>
    </xf>
    <xf numFmtId="9" fontId="8" fillId="5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5" fillId="15" borderId="5" xfId="0" applyFont="1" applyFill="1" applyBorder="1" applyAlignment="1">
      <alignment vertical="center"/>
    </xf>
    <xf numFmtId="3" fontId="5" fillId="15" borderId="5" xfId="0" applyNumberFormat="1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9" fontId="8" fillId="15" borderId="5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4" fontId="5" fillId="5" borderId="5" xfId="0" applyNumberFormat="1" applyFont="1" applyFill="1" applyBorder="1" applyAlignment="1">
      <alignment horizontal="center" vertical="center"/>
    </xf>
    <xf numFmtId="0" fontId="35" fillId="4" borderId="2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0" fontId="34" fillId="0" borderId="0" xfId="0" applyFont="1" applyFill="1" applyBorder="1"/>
    <xf numFmtId="0" fontId="5" fillId="5" borderId="0" xfId="0" applyFont="1" applyFill="1" applyBorder="1" applyAlignment="1">
      <alignment vertical="center"/>
    </xf>
    <xf numFmtId="2" fontId="0" fillId="14" borderId="0" xfId="0" applyNumberFormat="1" applyFill="1"/>
    <xf numFmtId="3" fontId="6" fillId="0" borderId="0" xfId="0" applyNumberFormat="1" applyFont="1" applyFill="1" applyAlignment="1">
      <alignment horizontal="center"/>
    </xf>
    <xf numFmtId="3" fontId="6" fillId="0" borderId="0" xfId="0" applyNumberFormat="1" applyFont="1" applyAlignment="1">
      <alignment horizontal="left"/>
    </xf>
    <xf numFmtId="0" fontId="37" fillId="0" borderId="0" xfId="0" applyFont="1"/>
    <xf numFmtId="0" fontId="38" fillId="4" borderId="1" xfId="0" applyFont="1" applyFill="1" applyBorder="1" applyAlignment="1">
      <alignment vertical="center"/>
    </xf>
    <xf numFmtId="0" fontId="38" fillId="4" borderId="0" xfId="0" applyFont="1" applyFill="1" applyBorder="1" applyAlignment="1">
      <alignment vertical="center"/>
    </xf>
    <xf numFmtId="0" fontId="39" fillId="0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/>
    </xf>
    <xf numFmtId="0" fontId="18" fillId="5" borderId="0" xfId="0" applyFont="1" applyFill="1"/>
    <xf numFmtId="0" fontId="13" fillId="3" borderId="0" xfId="0" applyFont="1" applyFill="1" applyBorder="1" applyAlignment="1">
      <alignment horizontal="center" vertical="center"/>
    </xf>
    <xf numFmtId="0" fontId="7" fillId="3" borderId="0" xfId="2" applyFont="1" applyFill="1" applyBorder="1" applyAlignment="1" applyProtection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3" fontId="18" fillId="4" borderId="5" xfId="0" applyNumberFormat="1" applyFont="1" applyFill="1" applyBorder="1" applyAlignment="1">
      <alignment horizontal="center" vertical="center"/>
    </xf>
    <xf numFmtId="1" fontId="0" fillId="16" borderId="0" xfId="0" applyNumberFormat="1" applyFill="1"/>
    <xf numFmtId="0" fontId="0" fillId="16" borderId="3" xfId="0" applyFill="1" applyBorder="1"/>
    <xf numFmtId="0" fontId="0" fillId="16" borderId="6" xfId="0" applyFill="1" applyBorder="1"/>
    <xf numFmtId="2" fontId="0" fillId="16" borderId="4" xfId="0" applyNumberFormat="1" applyFill="1" applyBorder="1"/>
    <xf numFmtId="2" fontId="0" fillId="0" borderId="0" xfId="0" applyNumberFormat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166" fontId="0" fillId="0" borderId="0" xfId="0" applyNumberFormat="1"/>
    <xf numFmtId="0" fontId="40" fillId="0" borderId="0" xfId="0" applyFont="1"/>
    <xf numFmtId="0" fontId="18" fillId="0" borderId="0" xfId="0" applyFont="1" applyFill="1" applyBorder="1" applyAlignment="1">
      <alignment vertical="center"/>
    </xf>
    <xf numFmtId="0" fontId="21" fillId="3" borderId="0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vertical="center"/>
    </xf>
    <xf numFmtId="0" fontId="13" fillId="4" borderId="5" xfId="0" applyFont="1" applyFill="1" applyBorder="1" applyAlignment="1">
      <alignment horizontal="center" vertical="center"/>
    </xf>
    <xf numFmtId="3" fontId="13" fillId="4" borderId="5" xfId="0" applyNumberFormat="1" applyFont="1" applyFill="1" applyBorder="1" applyAlignment="1">
      <alignment horizontal="center" vertical="center"/>
    </xf>
    <xf numFmtId="9" fontId="7" fillId="4" borderId="5" xfId="0" applyNumberFormat="1" applyFont="1" applyFill="1" applyBorder="1" applyAlignment="1">
      <alignment horizontal="center" vertical="center"/>
    </xf>
    <xf numFmtId="3" fontId="12" fillId="3" borderId="5" xfId="0" applyNumberFormat="1" applyFont="1" applyFill="1" applyBorder="1" applyAlignment="1">
      <alignment horizontal="center" vertical="center"/>
    </xf>
    <xf numFmtId="0" fontId="31" fillId="3" borderId="5" xfId="0" applyFont="1" applyFill="1" applyBorder="1" applyAlignment="1">
      <alignment horizontal="center" vertical="center"/>
    </xf>
    <xf numFmtId="0" fontId="32" fillId="0" borderId="5" xfId="0" applyFont="1" applyBorder="1"/>
    <xf numFmtId="0" fontId="12" fillId="3" borderId="0" xfId="0" applyFont="1" applyFill="1" applyBorder="1" applyAlignment="1">
      <alignment horizontal="center" vertical="center"/>
    </xf>
    <xf numFmtId="3" fontId="27" fillId="4" borderId="5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9" fillId="6" borderId="0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</cellXfs>
  <cellStyles count="7">
    <cellStyle name="=D:\WINNT\SYSTEM32\COMMAND.COM" xfId="3"/>
    <cellStyle name="Hyperlink" xfId="2" builtinId="8"/>
    <cellStyle name="Normal" xfId="0" builtinId="0"/>
    <cellStyle name="Percent" xfId="1" builtinId="5"/>
    <cellStyle name="Обычный 2" xfId="4"/>
    <cellStyle name="Обычный 3" xfId="6"/>
    <cellStyle name="Обычный 4" xfId="5"/>
  </cellStyles>
  <dxfs count="56"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b/>
        <i val="0"/>
        <color theme="4"/>
      </font>
    </dxf>
    <dxf>
      <font>
        <color rgb="FF00B050"/>
      </font>
    </dxf>
    <dxf>
      <font>
        <color rgb="FFFF0000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color rgb="FF00B050"/>
      </font>
    </dxf>
    <dxf>
      <font>
        <color rgb="FFFF0000"/>
      </font>
    </dxf>
    <dxf>
      <font>
        <b/>
        <i val="0"/>
        <color theme="4"/>
      </font>
    </dxf>
    <dxf>
      <font>
        <color rgb="FF00B050"/>
      </font>
    </dxf>
    <dxf>
      <font>
        <color rgb="FFFF0000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b/>
        <i val="0"/>
        <color theme="4"/>
      </font>
    </dxf>
  </dxfs>
  <tableStyles count="0" defaultTableStyle="TableStyleMedium2" defaultPivotStyle="PivotStyleLight16"/>
  <colors>
    <mruColors>
      <color rgb="FF991B1E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Charts!$B$25</c:f>
              <c:strCache>
                <c:ptCount val="1"/>
                <c:pt idx="0">
                  <c:v>Naphtha-Propane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multiLvlStrRef>
              <c:f>Charts!$C$22:$AA$24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  <c:pt idx="23">
                    <c:v> </c:v>
                  </c:pt>
                  <c:pt idx="24">
                    <c:v> </c:v>
                  </c:pt>
                </c:lvl>
                <c:lvl>
                  <c:pt idx="0">
                    <c:v>Jan </c:v>
                  </c:pt>
                  <c:pt idx="4">
                    <c:v>Feb </c:v>
                  </c:pt>
                  <c:pt idx="8">
                    <c:v>Mar </c:v>
                  </c:pt>
                  <c:pt idx="12">
                    <c:v>Apr </c:v>
                  </c:pt>
                  <c:pt idx="17">
                    <c:v>May </c:v>
                  </c:pt>
                  <c:pt idx="21">
                    <c:v>June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Charts!$C$25:$AA$25</c:f>
              <c:numCache>
                <c:formatCode>General</c:formatCode>
                <c:ptCount val="25"/>
                <c:pt idx="0">
                  <c:v>0</c:v>
                </c:pt>
                <c:pt idx="1">
                  <c:v>48</c:v>
                </c:pt>
                <c:pt idx="2">
                  <c:v>34</c:v>
                </c:pt>
                <c:pt idx="3">
                  <c:v>39</c:v>
                </c:pt>
                <c:pt idx="4">
                  <c:v>37</c:v>
                </c:pt>
                <c:pt idx="5">
                  <c:v>22</c:v>
                </c:pt>
                <c:pt idx="6">
                  <c:v>47</c:v>
                </c:pt>
                <c:pt idx="7">
                  <c:v>24</c:v>
                </c:pt>
                <c:pt idx="8">
                  <c:v>-19</c:v>
                </c:pt>
                <c:pt idx="9">
                  <c:v>-3</c:v>
                </c:pt>
                <c:pt idx="10">
                  <c:v>24</c:v>
                </c:pt>
                <c:pt idx="11">
                  <c:v>50</c:v>
                </c:pt>
                <c:pt idx="12">
                  <c:v>54</c:v>
                </c:pt>
                <c:pt idx="13">
                  <c:v>114</c:v>
                </c:pt>
                <c:pt idx="14">
                  <c:v>234</c:v>
                </c:pt>
                <c:pt idx="15">
                  <c:v>295</c:v>
                </c:pt>
                <c:pt idx="16">
                  <c:v>319.75</c:v>
                </c:pt>
                <c:pt idx="17">
                  <c:v>265</c:v>
                </c:pt>
                <c:pt idx="18">
                  <c:v>267</c:v>
                </c:pt>
                <c:pt idx="19">
                  <c:v>268</c:v>
                </c:pt>
                <c:pt idx="20">
                  <c:v>166.75</c:v>
                </c:pt>
                <c:pt idx="21">
                  <c:v>132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C-4935-BF9B-B3303DC56F81}"/>
            </c:ext>
          </c:extLst>
        </c:ser>
        <c:ser>
          <c:idx val="0"/>
          <c:order val="1"/>
          <c:tx>
            <c:strRef>
              <c:f>Charts!$B$26</c:f>
              <c:strCache>
                <c:ptCount val="1"/>
                <c:pt idx="0">
                  <c:v>Naphtha-Butane</c:v>
                </c:pt>
              </c:strCache>
            </c:strRef>
          </c:tx>
          <c:marker>
            <c:symbol val="none"/>
          </c:marker>
          <c:cat>
            <c:multiLvlStrRef>
              <c:f>Charts!$C$22:$AA$24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  <c:pt idx="23">
                    <c:v> </c:v>
                  </c:pt>
                  <c:pt idx="24">
                    <c:v> </c:v>
                  </c:pt>
                </c:lvl>
                <c:lvl>
                  <c:pt idx="0">
                    <c:v>Jan </c:v>
                  </c:pt>
                  <c:pt idx="4">
                    <c:v>Feb </c:v>
                  </c:pt>
                  <c:pt idx="8">
                    <c:v>Mar </c:v>
                  </c:pt>
                  <c:pt idx="12">
                    <c:v>Apr </c:v>
                  </c:pt>
                  <c:pt idx="17">
                    <c:v>May </c:v>
                  </c:pt>
                  <c:pt idx="21">
                    <c:v>June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Charts!$C$26:$AA$26</c:f>
              <c:numCache>
                <c:formatCode>General</c:formatCode>
                <c:ptCount val="25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44</c:v>
                </c:pt>
                <c:pt idx="4">
                  <c:v>47</c:v>
                </c:pt>
                <c:pt idx="5">
                  <c:v>48</c:v>
                </c:pt>
                <c:pt idx="6">
                  <c:v>73</c:v>
                </c:pt>
                <c:pt idx="7">
                  <c:v>68</c:v>
                </c:pt>
                <c:pt idx="8">
                  <c:v>84</c:v>
                </c:pt>
                <c:pt idx="9">
                  <c:v>81</c:v>
                </c:pt>
                <c:pt idx="10">
                  <c:v>89</c:v>
                </c:pt>
                <c:pt idx="11">
                  <c:v>36</c:v>
                </c:pt>
                <c:pt idx="12">
                  <c:v>13</c:v>
                </c:pt>
                <c:pt idx="13">
                  <c:v>21</c:v>
                </c:pt>
                <c:pt idx="14">
                  <c:v>106</c:v>
                </c:pt>
                <c:pt idx="15">
                  <c:v>121</c:v>
                </c:pt>
                <c:pt idx="16">
                  <c:v>98.75</c:v>
                </c:pt>
                <c:pt idx="17">
                  <c:v>102</c:v>
                </c:pt>
                <c:pt idx="18">
                  <c:v>107</c:v>
                </c:pt>
                <c:pt idx="19">
                  <c:v>107</c:v>
                </c:pt>
                <c:pt idx="20">
                  <c:v>93.75</c:v>
                </c:pt>
                <c:pt idx="21">
                  <c:v>95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1C-4935-BF9B-B3303DC56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291376"/>
        <c:axId val="2079293552"/>
      </c:lineChart>
      <c:catAx>
        <c:axId val="2079291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/>
          <a:lstStyle/>
          <a:p>
            <a:pPr>
              <a:defRPr sz="600"/>
            </a:pPr>
            <a:endParaRPr lang="ru-RU"/>
          </a:p>
        </c:txPr>
        <c:crossAx val="2079293552"/>
        <c:crosses val="autoZero"/>
        <c:auto val="1"/>
        <c:lblAlgn val="ctr"/>
        <c:lblOffset val="100"/>
        <c:noMultiLvlLbl val="0"/>
      </c:catAx>
      <c:valAx>
        <c:axId val="2079293552"/>
        <c:scaling>
          <c:orientation val="minMax"/>
          <c:max val="200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800" b="0">
                    <a:solidFill>
                      <a:schemeClr val="accent2">
                        <a:lumMod val="75000"/>
                      </a:schemeClr>
                    </a:solidFill>
                  </a:defRPr>
                </a:pPr>
                <a:r>
                  <a:rPr lang="en-US" sz="800" b="0">
                    <a:solidFill>
                      <a:schemeClr val="accent2">
                        <a:lumMod val="75000"/>
                      </a:schemeClr>
                    </a:solidFill>
                  </a:rPr>
                  <a:t>$/t</a:t>
                </a:r>
                <a:endParaRPr lang="ru-RU" sz="800" b="0">
                  <a:solidFill>
                    <a:schemeClr val="accent2">
                      <a:lumMod val="75000"/>
                    </a:schemeClr>
                  </a:solidFill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600"/>
            </a:pPr>
            <a:endParaRPr lang="ru-RU"/>
          </a:p>
        </c:txPr>
        <c:crossAx val="2079291376"/>
        <c:crosses val="autoZero"/>
        <c:crossBetween val="between"/>
        <c:majorUnit val="20"/>
      </c:valAx>
    </c:plotArea>
    <c:legend>
      <c:legendPos val="b"/>
      <c:layout>
        <c:manualLayout>
          <c:xMode val="edge"/>
          <c:yMode val="edge"/>
          <c:x val="7.2525916456219502E-2"/>
          <c:y val="0.91867584007051362"/>
          <c:w val="0.91201604640921718"/>
          <c:h val="5.5728025281725435E-2"/>
        </c:manualLayout>
      </c:layout>
      <c:overlay val="0"/>
    </c:legend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606209150326795"/>
          <c:y val="4.8339831297795059E-2"/>
          <c:w val="0.73181324490580546"/>
          <c:h val="0.64737752147560979"/>
        </c:manualLayout>
      </c:layout>
      <c:lineChart>
        <c:grouping val="standard"/>
        <c:varyColors val="0"/>
        <c:ser>
          <c:idx val="1"/>
          <c:order val="0"/>
          <c:tx>
            <c:strRef>
              <c:f>Charts!$B$32</c:f>
              <c:strCache>
                <c:ptCount val="1"/>
                <c:pt idx="0">
                  <c:v>С3 CIF NWE*</c:v>
                </c:pt>
              </c:strCache>
            </c:strRef>
          </c:tx>
          <c:marker>
            <c:symbol val="none"/>
          </c:marker>
          <c:cat>
            <c:multiLvlStrRef>
              <c:f>Charts!$C$22:$AB$24</c:f>
              <c:multiLvlStrCache>
                <c:ptCount val="26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  <c:pt idx="23">
                    <c:v> </c:v>
                  </c:pt>
                  <c:pt idx="24">
                    <c:v> </c:v>
                  </c:pt>
                  <c:pt idx="25">
                    <c:v> </c:v>
                  </c:pt>
                </c:lvl>
                <c:lvl>
                  <c:pt idx="0">
                    <c:v>Jan </c:v>
                  </c:pt>
                  <c:pt idx="4">
                    <c:v>Feb </c:v>
                  </c:pt>
                  <c:pt idx="8">
                    <c:v>Mar </c:v>
                  </c:pt>
                  <c:pt idx="12">
                    <c:v>Apr </c:v>
                  </c:pt>
                  <c:pt idx="17">
                    <c:v>May </c:v>
                  </c:pt>
                  <c:pt idx="21">
                    <c:v>June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Charts!$C$32:$AB$32</c:f>
              <c:numCache>
                <c:formatCode>General</c:formatCode>
                <c:ptCount val="26"/>
                <c:pt idx="0">
                  <c:v>779.06976744186045</c:v>
                </c:pt>
                <c:pt idx="1">
                  <c:v>810.46511627906978</c:v>
                </c:pt>
                <c:pt idx="2">
                  <c:v>819.76744186046517</c:v>
                </c:pt>
                <c:pt idx="3">
                  <c:v>873.80952380952385</c:v>
                </c:pt>
                <c:pt idx="4">
                  <c:v>864.70588235294122</c:v>
                </c:pt>
                <c:pt idx="5">
                  <c:v>895.2380952380953</c:v>
                </c:pt>
                <c:pt idx="6">
                  <c:v>915.2941176470589</c:v>
                </c:pt>
                <c:pt idx="7">
                  <c:v>988.23529411764707</c:v>
                </c:pt>
                <c:pt idx="8">
                  <c:v>1052.3255813953488</c:v>
                </c:pt>
                <c:pt idx="9">
                  <c:v>1177.0114942528735</c:v>
                </c:pt>
                <c:pt idx="10">
                  <c:v>1356.3218390804598</c:v>
                </c:pt>
                <c:pt idx="11">
                  <c:v>1522.9885057471265</c:v>
                </c:pt>
                <c:pt idx="12">
                  <c:v>1609.1954022988507</c:v>
                </c:pt>
                <c:pt idx="13">
                  <c:v>2104.6511627906975</c:v>
                </c:pt>
                <c:pt idx="14">
                  <c:v>2129.4117647058824</c:v>
                </c:pt>
                <c:pt idx="15">
                  <c:v>1774.1176470588236</c:v>
                </c:pt>
                <c:pt idx="16">
                  <c:v>1770.5882352941178</c:v>
                </c:pt>
                <c:pt idx="17">
                  <c:v>2057.6470588235293</c:v>
                </c:pt>
                <c:pt idx="18">
                  <c:v>2034.1176470588236</c:v>
                </c:pt>
                <c:pt idx="19">
                  <c:v>1918.6046511627908</c:v>
                </c:pt>
                <c:pt idx="20">
                  <c:v>1651.1627906976744</c:v>
                </c:pt>
                <c:pt idx="21">
                  <c:v>1537.2093023255813</c:v>
                </c:pt>
                <c:pt idx="22">
                  <c:v>#N/A</c:v>
                </c:pt>
                <c:pt idx="23">
                  <c:v>#N/A</c:v>
                </c:pt>
                <c:pt idx="24" formatCode="0.00">
                  <c:v>#N/A</c:v>
                </c:pt>
                <c:pt idx="25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AD-49FB-A32A-172933179CA6}"/>
            </c:ext>
          </c:extLst>
        </c:ser>
        <c:ser>
          <c:idx val="0"/>
          <c:order val="1"/>
          <c:tx>
            <c:strRef>
              <c:f>Charts!$B$33</c:f>
              <c:strCache>
                <c:ptCount val="1"/>
                <c:pt idx="0">
                  <c:v>C3 CFR China</c:v>
                </c:pt>
              </c:strCache>
            </c:strRef>
          </c:tx>
          <c:marker>
            <c:symbol val="none"/>
          </c:marker>
          <c:cat>
            <c:multiLvlStrRef>
              <c:f>Charts!$C$22:$AB$24</c:f>
              <c:multiLvlStrCache>
                <c:ptCount val="26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  <c:pt idx="23">
                    <c:v> </c:v>
                  </c:pt>
                  <c:pt idx="24">
                    <c:v> </c:v>
                  </c:pt>
                  <c:pt idx="25">
                    <c:v> </c:v>
                  </c:pt>
                </c:lvl>
                <c:lvl>
                  <c:pt idx="0">
                    <c:v>Jan </c:v>
                  </c:pt>
                  <c:pt idx="4">
                    <c:v>Feb </c:v>
                  </c:pt>
                  <c:pt idx="8">
                    <c:v>Mar </c:v>
                  </c:pt>
                  <c:pt idx="12">
                    <c:v>Apr </c:v>
                  </c:pt>
                  <c:pt idx="17">
                    <c:v>May </c:v>
                  </c:pt>
                  <c:pt idx="21">
                    <c:v>June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Charts!$C$33:$AB$33</c:f>
              <c:numCache>
                <c:formatCode>General</c:formatCode>
                <c:ptCount val="26"/>
                <c:pt idx="0">
                  <c:v>745</c:v>
                </c:pt>
                <c:pt idx="1">
                  <c:v>770</c:v>
                </c:pt>
                <c:pt idx="2">
                  <c:v>785</c:v>
                </c:pt>
                <c:pt idx="3">
                  <c:v>820</c:v>
                </c:pt>
                <c:pt idx="4">
                  <c:v>825</c:v>
                </c:pt>
                <c:pt idx="5">
                  <c:v>825</c:v>
                </c:pt>
                <c:pt idx="6">
                  <c:v>825</c:v>
                </c:pt>
                <c:pt idx="7">
                  <c:v>840</c:v>
                </c:pt>
                <c:pt idx="8">
                  <c:v>890</c:v>
                </c:pt>
                <c:pt idx="9">
                  <c:v>1100</c:v>
                </c:pt>
                <c:pt idx="10">
                  <c:v>1100</c:v>
                </c:pt>
                <c:pt idx="11">
                  <c:v>1280</c:v>
                </c:pt>
                <c:pt idx="12">
                  <c:v>1290</c:v>
                </c:pt>
                <c:pt idx="13">
                  <c:v>1330</c:v>
                </c:pt>
                <c:pt idx="14">
                  <c:v>1340</c:v>
                </c:pt>
                <c:pt idx="15">
                  <c:v>1330</c:v>
                </c:pt>
                <c:pt idx="16">
                  <c:v>1340</c:v>
                </c:pt>
                <c:pt idx="17">
                  <c:v>1270</c:v>
                </c:pt>
                <c:pt idx="18">
                  <c:v>1280</c:v>
                </c:pt>
                <c:pt idx="19">
                  <c:v>1250</c:v>
                </c:pt>
                <c:pt idx="20">
                  <c:v>1210</c:v>
                </c:pt>
                <c:pt idx="21">
                  <c:v>1150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AD-49FB-A32A-172933179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291920"/>
        <c:axId val="2079288112"/>
      </c:lineChart>
      <c:catAx>
        <c:axId val="207929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</c:spPr>
        <c:txPr>
          <a:bodyPr rot="0" vert="horz"/>
          <a:lstStyle/>
          <a:p>
            <a:pPr>
              <a:defRPr sz="700"/>
            </a:pPr>
            <a:endParaRPr lang="ru-RU"/>
          </a:p>
        </c:txPr>
        <c:crossAx val="2079288112"/>
        <c:crosses val="autoZero"/>
        <c:auto val="1"/>
        <c:lblAlgn val="ctr"/>
        <c:lblOffset val="100"/>
        <c:noMultiLvlLbl val="0"/>
      </c:catAx>
      <c:valAx>
        <c:axId val="2079288112"/>
        <c:scaling>
          <c:orientation val="minMax"/>
          <c:max val="2200"/>
          <c:min val="7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800" i="0">
                    <a:solidFill>
                      <a:schemeClr val="accent2">
                        <a:lumMod val="75000"/>
                      </a:schemeClr>
                    </a:solidFill>
                  </a:defRPr>
                </a:pPr>
                <a:r>
                  <a:rPr lang="pl-PL" sz="800" i="0">
                    <a:solidFill>
                      <a:schemeClr val="accent2">
                        <a:lumMod val="75000"/>
                      </a:schemeClr>
                    </a:solidFill>
                  </a:rPr>
                  <a:t>$/</a:t>
                </a:r>
                <a:r>
                  <a:rPr lang="en-US" sz="800" i="0">
                    <a:solidFill>
                      <a:schemeClr val="accent2">
                        <a:lumMod val="75000"/>
                      </a:schemeClr>
                    </a:solidFill>
                  </a:rPr>
                  <a:t>t</a:t>
                </a:r>
                <a:endParaRPr lang="pl-PL" sz="800" i="0">
                  <a:solidFill>
                    <a:schemeClr val="accent2">
                      <a:lumMod val="75000"/>
                    </a:schemeClr>
                  </a:solidFill>
                </a:endParaRP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700"/>
            </a:pPr>
            <a:endParaRPr lang="ru-RU"/>
          </a:p>
        </c:txPr>
        <c:crossAx val="2079291920"/>
        <c:crosses val="autoZero"/>
        <c:crossBetween val="between"/>
        <c:majorUnit val="200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05"/>
          <c:y val="0.91501645943815679"/>
          <c:w val="0.9"/>
          <c:h val="7.9907414661130632E-2"/>
        </c:manualLayout>
      </c:layout>
      <c:overlay val="0"/>
      <c:txPr>
        <a:bodyPr/>
        <a:lstStyle/>
        <a:p>
          <a:pPr>
            <a:defRPr sz="700"/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ysClr val="windowText" lastClr="000000"/>
      </a:solidFill>
      <a:round/>
    </a:ln>
  </c:spPr>
  <c:txPr>
    <a:bodyPr/>
    <a:lstStyle/>
    <a:p>
      <a:pPr>
        <a:defRPr>
          <a:solidFill>
            <a:sysClr val="windowText" lastClr="000000"/>
          </a:solidFill>
          <a:latin typeface="Arial" pitchFamily="34" charset="0"/>
          <a:cs typeface="Arial" pitchFamily="34" charset="0"/>
        </a:defRPr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668640477565955"/>
          <c:y val="5.4463321857179781E-2"/>
          <c:w val="0.76142836510687462"/>
          <c:h val="0.57381768393261834"/>
        </c:manualLayout>
      </c:layout>
      <c:lineChart>
        <c:grouping val="standard"/>
        <c:varyColors val="0"/>
        <c:ser>
          <c:idx val="1"/>
          <c:order val="0"/>
          <c:tx>
            <c:strRef>
              <c:f>Charts!$B$37</c:f>
              <c:strCache>
                <c:ptCount val="1"/>
                <c:pt idx="0">
                  <c:v>PP homo CFR China</c:v>
                </c:pt>
              </c:strCache>
            </c:strRef>
          </c:tx>
          <c:marker>
            <c:symbol val="none"/>
          </c:marker>
          <c:cat>
            <c:multiLvlStrRef>
              <c:f>Charts!$C$22:$AB$24</c:f>
              <c:multiLvlStrCache>
                <c:ptCount val="26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  <c:pt idx="23">
                    <c:v> </c:v>
                  </c:pt>
                  <c:pt idx="24">
                    <c:v> </c:v>
                  </c:pt>
                  <c:pt idx="25">
                    <c:v> </c:v>
                  </c:pt>
                </c:lvl>
                <c:lvl>
                  <c:pt idx="0">
                    <c:v>Jan </c:v>
                  </c:pt>
                  <c:pt idx="4">
                    <c:v>Feb </c:v>
                  </c:pt>
                  <c:pt idx="8">
                    <c:v>Mar </c:v>
                  </c:pt>
                  <c:pt idx="12">
                    <c:v>Apr </c:v>
                  </c:pt>
                  <c:pt idx="17">
                    <c:v>May </c:v>
                  </c:pt>
                  <c:pt idx="21">
                    <c:v>June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Charts!$C$37:$AB$37</c:f>
              <c:numCache>
                <c:formatCode>General</c:formatCode>
                <c:ptCount val="26"/>
                <c:pt idx="0">
                  <c:v>767.5</c:v>
                </c:pt>
                <c:pt idx="1">
                  <c:v>765</c:v>
                </c:pt>
                <c:pt idx="2">
                  <c:v>767.5</c:v>
                </c:pt>
                <c:pt idx="3">
                  <c:v>760</c:v>
                </c:pt>
                <c:pt idx="4">
                  <c:v>765</c:v>
                </c:pt>
                <c:pt idx="5">
                  <c:v>765</c:v>
                </c:pt>
                <c:pt idx="6">
                  <c:v>795</c:v>
                </c:pt>
                <c:pt idx="7">
                  <c:v>795</c:v>
                </c:pt>
                <c:pt idx="8">
                  <c:v>795</c:v>
                </c:pt>
                <c:pt idx="9">
                  <c:v>1140</c:v>
                </c:pt>
                <c:pt idx="10">
                  <c:v>1140</c:v>
                </c:pt>
                <c:pt idx="11">
                  <c:v>1180</c:v>
                </c:pt>
                <c:pt idx="12">
                  <c:v>1180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1255</c:v>
                </c:pt>
                <c:pt idx="19">
                  <c:v>1245</c:v>
                </c:pt>
                <c:pt idx="20">
                  <c:v>1245</c:v>
                </c:pt>
                <c:pt idx="21">
                  <c:v>1225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8-4C00-B9D0-4EA870ED653A}"/>
            </c:ext>
          </c:extLst>
        </c:ser>
        <c:ser>
          <c:idx val="0"/>
          <c:order val="1"/>
          <c:tx>
            <c:strRef>
              <c:f>Charts!$B$38</c:f>
              <c:strCache>
                <c:ptCount val="1"/>
                <c:pt idx="0">
                  <c:v>C3 CFR China</c:v>
                </c:pt>
              </c:strCache>
            </c:strRef>
          </c:tx>
          <c:marker>
            <c:symbol val="none"/>
          </c:marker>
          <c:cat>
            <c:multiLvlStrRef>
              <c:f>Charts!$C$22:$AB$24</c:f>
              <c:multiLvlStrCache>
                <c:ptCount val="26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  <c:pt idx="23">
                    <c:v> </c:v>
                  </c:pt>
                  <c:pt idx="24">
                    <c:v> </c:v>
                  </c:pt>
                  <c:pt idx="25">
                    <c:v> </c:v>
                  </c:pt>
                </c:lvl>
                <c:lvl>
                  <c:pt idx="0">
                    <c:v>Jan </c:v>
                  </c:pt>
                  <c:pt idx="4">
                    <c:v>Feb </c:v>
                  </c:pt>
                  <c:pt idx="8">
                    <c:v>Mar </c:v>
                  </c:pt>
                  <c:pt idx="12">
                    <c:v>Apr </c:v>
                  </c:pt>
                  <c:pt idx="17">
                    <c:v>May </c:v>
                  </c:pt>
                  <c:pt idx="21">
                    <c:v>June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Charts!$C$38:$AB$38</c:f>
              <c:numCache>
                <c:formatCode>General</c:formatCode>
                <c:ptCount val="26"/>
                <c:pt idx="0">
                  <c:v>745</c:v>
                </c:pt>
                <c:pt idx="1">
                  <c:v>770</c:v>
                </c:pt>
                <c:pt idx="2">
                  <c:v>785</c:v>
                </c:pt>
                <c:pt idx="3">
                  <c:v>820</c:v>
                </c:pt>
                <c:pt idx="4">
                  <c:v>825</c:v>
                </c:pt>
                <c:pt idx="5">
                  <c:v>825</c:v>
                </c:pt>
                <c:pt idx="6">
                  <c:v>825</c:v>
                </c:pt>
                <c:pt idx="7">
                  <c:v>840</c:v>
                </c:pt>
                <c:pt idx="8">
                  <c:v>890</c:v>
                </c:pt>
                <c:pt idx="9">
                  <c:v>1100</c:v>
                </c:pt>
                <c:pt idx="10">
                  <c:v>1100</c:v>
                </c:pt>
                <c:pt idx="11">
                  <c:v>1280</c:v>
                </c:pt>
                <c:pt idx="12">
                  <c:v>1290</c:v>
                </c:pt>
                <c:pt idx="13">
                  <c:v>1330</c:v>
                </c:pt>
                <c:pt idx="14">
                  <c:v>1340</c:v>
                </c:pt>
                <c:pt idx="15">
                  <c:v>1330</c:v>
                </c:pt>
                <c:pt idx="16">
                  <c:v>1340</c:v>
                </c:pt>
                <c:pt idx="17">
                  <c:v>1270</c:v>
                </c:pt>
                <c:pt idx="18">
                  <c:v>1280</c:v>
                </c:pt>
                <c:pt idx="19">
                  <c:v>1250</c:v>
                </c:pt>
                <c:pt idx="20">
                  <c:v>1210</c:v>
                </c:pt>
                <c:pt idx="21">
                  <c:v>1150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8-4C00-B9D0-4EA870ED653A}"/>
            </c:ext>
          </c:extLst>
        </c:ser>
        <c:ser>
          <c:idx val="2"/>
          <c:order val="2"/>
          <c:tx>
            <c:strRef>
              <c:f>Charts!$B$39</c:f>
              <c:strCache>
                <c:ptCount val="1"/>
                <c:pt idx="0">
                  <c:v>Naphtha CFR Japan </c:v>
                </c:pt>
              </c:strCache>
            </c:strRef>
          </c:tx>
          <c:marker>
            <c:symbol val="none"/>
          </c:marker>
          <c:cat>
            <c:multiLvlStrRef>
              <c:f>Charts!$C$22:$AB$24</c:f>
              <c:multiLvlStrCache>
                <c:ptCount val="26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  <c:pt idx="23">
                    <c:v> </c:v>
                  </c:pt>
                  <c:pt idx="24">
                    <c:v> </c:v>
                  </c:pt>
                  <c:pt idx="25">
                    <c:v> </c:v>
                  </c:pt>
                </c:lvl>
                <c:lvl>
                  <c:pt idx="0">
                    <c:v>Jan </c:v>
                  </c:pt>
                  <c:pt idx="4">
                    <c:v>Feb </c:v>
                  </c:pt>
                  <c:pt idx="8">
                    <c:v>Mar </c:v>
                  </c:pt>
                  <c:pt idx="12">
                    <c:v>Apr </c:v>
                  </c:pt>
                  <c:pt idx="17">
                    <c:v>May </c:v>
                  </c:pt>
                  <c:pt idx="21">
                    <c:v>June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Charts!$C$39:$AB$39</c:f>
              <c:numCache>
                <c:formatCode>General</c:formatCode>
                <c:ptCount val="26"/>
                <c:pt idx="0">
                  <c:v>534</c:v>
                </c:pt>
                <c:pt idx="1">
                  <c:v>560</c:v>
                </c:pt>
                <c:pt idx="2">
                  <c:v>559</c:v>
                </c:pt>
                <c:pt idx="3">
                  <c:v>585</c:v>
                </c:pt>
                <c:pt idx="4">
                  <c:v>598</c:v>
                </c:pt>
                <c:pt idx="5">
                  <c:v>612</c:v>
                </c:pt>
                <c:pt idx="6">
                  <c:v>594</c:v>
                </c:pt>
                <c:pt idx="7">
                  <c:v>616</c:v>
                </c:pt>
                <c:pt idx="8">
                  <c:v>777</c:v>
                </c:pt>
                <c:pt idx="9">
                  <c:v>875</c:v>
                </c:pt>
                <c:pt idx="10">
                  <c:v>1039</c:v>
                </c:pt>
                <c:pt idx="11">
                  <c:v>998</c:v>
                </c:pt>
                <c:pt idx="12">
                  <c:v>1093</c:v>
                </c:pt>
                <c:pt idx="13">
                  <c:v>1003</c:v>
                </c:pt>
                <c:pt idx="14">
                  <c:v>991</c:v>
                </c:pt>
                <c:pt idx="15">
                  <c:v>959</c:v>
                </c:pt>
                <c:pt idx="16">
                  <c:v>1039</c:v>
                </c:pt>
                <c:pt idx="17">
                  <c:v>972</c:v>
                </c:pt>
                <c:pt idx="18">
                  <c:v>1021</c:v>
                </c:pt>
                <c:pt idx="19">
                  <c:v>970</c:v>
                </c:pt>
                <c:pt idx="20">
                  <c:v>835</c:v>
                </c:pt>
                <c:pt idx="21">
                  <c:v>808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38-4C00-B9D0-4EA870ED6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288656"/>
        <c:axId val="2079287568"/>
      </c:lineChart>
      <c:catAx>
        <c:axId val="207928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</c:spPr>
        <c:txPr>
          <a:bodyPr rot="0" vert="horz" anchor="ctr" anchorCtr="1"/>
          <a:lstStyle/>
          <a:p>
            <a:pPr>
              <a:defRPr sz="700"/>
            </a:pPr>
            <a:endParaRPr lang="ru-RU"/>
          </a:p>
        </c:txPr>
        <c:crossAx val="2079287568"/>
        <c:crosses val="autoZero"/>
        <c:auto val="1"/>
        <c:lblAlgn val="ctr"/>
        <c:lblOffset val="100"/>
        <c:noMultiLvlLbl val="0"/>
      </c:catAx>
      <c:valAx>
        <c:axId val="2079287568"/>
        <c:scaling>
          <c:orientation val="minMax"/>
          <c:max val="1400"/>
          <c:min val="5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800" i="0">
                    <a:solidFill>
                      <a:schemeClr val="accent2">
                        <a:lumMod val="75000"/>
                      </a:schemeClr>
                    </a:solidFill>
                  </a:defRPr>
                </a:pPr>
                <a:r>
                  <a:rPr lang="pl-PL" sz="800" i="0">
                    <a:solidFill>
                      <a:schemeClr val="accent2">
                        <a:lumMod val="75000"/>
                      </a:schemeClr>
                    </a:solidFill>
                  </a:rPr>
                  <a:t>$/</a:t>
                </a:r>
                <a:r>
                  <a:rPr lang="en-US" sz="800" i="0">
                    <a:solidFill>
                      <a:schemeClr val="accent2">
                        <a:lumMod val="75000"/>
                      </a:schemeClr>
                    </a:solidFill>
                  </a:rPr>
                  <a:t>t</a:t>
                </a:r>
                <a:endParaRPr lang="pl-PL" sz="800" i="0">
                  <a:solidFill>
                    <a:schemeClr val="accent2">
                      <a:lumMod val="75000"/>
                    </a:schemeClr>
                  </a:solidFill>
                </a:endParaRP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700"/>
            </a:pPr>
            <a:endParaRPr lang="ru-RU"/>
          </a:p>
        </c:txPr>
        <c:crossAx val="2079288656"/>
        <c:crosses val="autoZero"/>
        <c:crossBetween val="between"/>
        <c:majorUnit val="100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1.8890060531304698E-2"/>
          <c:y val="0.86785373576673008"/>
          <c:w val="0.95079631541280107"/>
          <c:h val="0.12719505315534443"/>
        </c:manualLayout>
      </c:layout>
      <c:overlay val="0"/>
      <c:txPr>
        <a:bodyPr/>
        <a:lstStyle/>
        <a:p>
          <a:pPr>
            <a:defRPr sz="650"/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ysClr val="windowText" lastClr="000000"/>
      </a:solidFill>
      <a:round/>
    </a:ln>
  </c:spPr>
  <c:txPr>
    <a:bodyPr/>
    <a:lstStyle/>
    <a:p>
      <a:pPr>
        <a:defRPr>
          <a:solidFill>
            <a:sysClr val="windowText" lastClr="000000"/>
          </a:solidFill>
          <a:latin typeface="Arial" pitchFamily="34" charset="0"/>
          <a:cs typeface="Arial" pitchFamily="34" charset="0"/>
        </a:defRPr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273303255613494"/>
          <c:y val="5.2101825689743135E-2"/>
          <c:w val="0.75932974358903971"/>
          <c:h val="0.709563463529467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multiLvlStrRef>
              <c:f>Charts!$C$28:$O$29</c:f>
              <c:multiLvlStrCache>
                <c:ptCount val="13"/>
                <c:lvl>
                  <c:pt idx="0">
                    <c:v>June</c:v>
                  </c:pt>
                  <c:pt idx="2">
                    <c:v>Aug</c:v>
                  </c:pt>
                  <c:pt idx="4">
                    <c:v>Oct</c:v>
                  </c:pt>
                  <c:pt idx="6">
                    <c:v>Dec</c:v>
                  </c:pt>
                  <c:pt idx="8">
                    <c:v>Feb</c:v>
                  </c:pt>
                  <c:pt idx="10">
                    <c:v>Apr</c:v>
                  </c:pt>
                  <c:pt idx="12">
                    <c:v>June</c:v>
                  </c:pt>
                </c:lvl>
                <c:lvl>
                  <c:pt idx="0">
                    <c:v>2025</c:v>
                  </c:pt>
                  <c:pt idx="7">
                    <c:v>2026</c:v>
                  </c:pt>
                </c:lvl>
              </c:multiLvlStrCache>
            </c:multiLvlStrRef>
          </c:cat>
          <c:val>
            <c:numRef>
              <c:f>Charts!$C$30:$O$30</c:f>
              <c:numCache>
                <c:formatCode>#,##0</c:formatCode>
                <c:ptCount val="13"/>
                <c:pt idx="0">
                  <c:v>1015</c:v>
                </c:pt>
                <c:pt idx="1">
                  <c:v>1015</c:v>
                </c:pt>
                <c:pt idx="2">
                  <c:v>1005</c:v>
                </c:pt>
                <c:pt idx="3">
                  <c:v>1005</c:v>
                </c:pt>
                <c:pt idx="4">
                  <c:v>1005</c:v>
                </c:pt>
                <c:pt idx="5">
                  <c:v>980</c:v>
                </c:pt>
                <c:pt idx="6">
                  <c:v>980</c:v>
                </c:pt>
                <c:pt idx="7">
                  <c:v>950</c:v>
                </c:pt>
                <c:pt idx="8">
                  <c:v>965</c:v>
                </c:pt>
                <c:pt idx="9">
                  <c:v>1000</c:v>
                </c:pt>
                <c:pt idx="10">
                  <c:v>1465</c:v>
                </c:pt>
                <c:pt idx="11">
                  <c:v>1585</c:v>
                </c:pt>
                <c:pt idx="12">
                  <c:v>1555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28-4C05-A62D-C3705A9FB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297360"/>
        <c:axId val="2079285392"/>
      </c:lineChart>
      <c:catAx>
        <c:axId val="2079297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800"/>
            </a:pPr>
            <a:endParaRPr lang="ru-RU"/>
          </a:p>
        </c:txPr>
        <c:crossAx val="2079285392"/>
        <c:crosses val="autoZero"/>
        <c:auto val="1"/>
        <c:lblAlgn val="ctr"/>
        <c:lblOffset val="100"/>
        <c:noMultiLvlLbl val="0"/>
      </c:catAx>
      <c:valAx>
        <c:axId val="2079285392"/>
        <c:scaling>
          <c:orientation val="minMax"/>
          <c:max val="1700"/>
          <c:min val="92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300" b="1">
                    <a:solidFill>
                      <a:schemeClr val="accent2">
                        <a:lumMod val="75000"/>
                      </a:schemeClr>
                    </a:solidFill>
                  </a:defRPr>
                </a:pPr>
                <a:r>
                  <a:rPr lang="en-US" sz="1000" b="1" i="0" baseline="0">
                    <a:effectLst/>
                  </a:rPr>
                  <a:t>€/t</a:t>
                </a:r>
                <a:endParaRPr lang="ru-RU" sz="300" b="1">
                  <a:effectLst/>
                </a:endParaRPr>
              </a:p>
            </c:rich>
          </c:tx>
          <c:layout/>
          <c:overlay val="0"/>
          <c:spPr>
            <a:solidFill>
              <a:sysClr val="window" lastClr="FFFFFF"/>
            </a:solidFill>
          </c:spPr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ru-RU"/>
          </a:p>
        </c:txPr>
        <c:crossAx val="2079297360"/>
        <c:crosses val="autoZero"/>
        <c:crossBetween val="between"/>
        <c:majorUnit val="100"/>
      </c:valAx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22577967508597"/>
          <c:y val="4.7614178595773687E-2"/>
          <c:w val="0.80135953990276299"/>
          <c:h val="0.65527539195637352"/>
        </c:manualLayout>
      </c:layout>
      <c:lineChart>
        <c:grouping val="standard"/>
        <c:varyColors val="0"/>
        <c:ser>
          <c:idx val="3"/>
          <c:order val="0"/>
          <c:tx>
            <c:strRef>
              <c:f>Charts!$B$32</c:f>
              <c:strCache>
                <c:ptCount val="1"/>
                <c:pt idx="0">
                  <c:v>С3 CIF NWE*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multiLvlStrRef>
              <c:f>Charts!$C$22:$AB$24</c:f>
              <c:multiLvlStrCache>
                <c:ptCount val="26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  <c:pt idx="23">
                    <c:v> </c:v>
                  </c:pt>
                  <c:pt idx="24">
                    <c:v> </c:v>
                  </c:pt>
                  <c:pt idx="25">
                    <c:v> </c:v>
                  </c:pt>
                </c:lvl>
                <c:lvl>
                  <c:pt idx="0">
                    <c:v>Jan </c:v>
                  </c:pt>
                  <c:pt idx="4">
                    <c:v>Feb </c:v>
                  </c:pt>
                  <c:pt idx="8">
                    <c:v>Mar </c:v>
                  </c:pt>
                  <c:pt idx="12">
                    <c:v>Apr </c:v>
                  </c:pt>
                  <c:pt idx="17">
                    <c:v>May </c:v>
                  </c:pt>
                  <c:pt idx="21">
                    <c:v>June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Charts!$C$32:$AB$32</c:f>
              <c:numCache>
                <c:formatCode>General</c:formatCode>
                <c:ptCount val="26"/>
                <c:pt idx="0">
                  <c:v>779.06976744186045</c:v>
                </c:pt>
                <c:pt idx="1">
                  <c:v>810.46511627906978</c:v>
                </c:pt>
                <c:pt idx="2">
                  <c:v>819.76744186046517</c:v>
                </c:pt>
                <c:pt idx="3">
                  <c:v>873.80952380952385</c:v>
                </c:pt>
                <c:pt idx="4">
                  <c:v>864.70588235294122</c:v>
                </c:pt>
                <c:pt idx="5">
                  <c:v>895.2380952380953</c:v>
                </c:pt>
                <c:pt idx="6">
                  <c:v>915.2941176470589</c:v>
                </c:pt>
                <c:pt idx="7">
                  <c:v>988.23529411764707</c:v>
                </c:pt>
                <c:pt idx="8">
                  <c:v>1052.3255813953488</c:v>
                </c:pt>
                <c:pt idx="9">
                  <c:v>1177.0114942528735</c:v>
                </c:pt>
                <c:pt idx="10">
                  <c:v>1356.3218390804598</c:v>
                </c:pt>
                <c:pt idx="11">
                  <c:v>1522.9885057471265</c:v>
                </c:pt>
                <c:pt idx="12">
                  <c:v>1609.1954022988507</c:v>
                </c:pt>
                <c:pt idx="13">
                  <c:v>2104.6511627906975</c:v>
                </c:pt>
                <c:pt idx="14">
                  <c:v>2129.4117647058824</c:v>
                </c:pt>
                <c:pt idx="15">
                  <c:v>1774.1176470588236</c:v>
                </c:pt>
                <c:pt idx="16">
                  <c:v>1770.5882352941178</c:v>
                </c:pt>
                <c:pt idx="17">
                  <c:v>2057.6470588235293</c:v>
                </c:pt>
                <c:pt idx="18">
                  <c:v>2034.1176470588236</c:v>
                </c:pt>
                <c:pt idx="19">
                  <c:v>1918.6046511627908</c:v>
                </c:pt>
                <c:pt idx="20">
                  <c:v>1651.1627906976744</c:v>
                </c:pt>
                <c:pt idx="21">
                  <c:v>1537.2093023255813</c:v>
                </c:pt>
                <c:pt idx="22">
                  <c:v>#N/A</c:v>
                </c:pt>
                <c:pt idx="23">
                  <c:v>#N/A</c:v>
                </c:pt>
                <c:pt idx="24" formatCode="0.00">
                  <c:v>#N/A</c:v>
                </c:pt>
                <c:pt idx="25" formatCode="0.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0-48A8-A95D-F94C60E604A5}"/>
            </c:ext>
          </c:extLst>
        </c:ser>
        <c:ser>
          <c:idx val="4"/>
          <c:order val="1"/>
          <c:tx>
            <c:strRef>
              <c:f>Charts!$B$33</c:f>
              <c:strCache>
                <c:ptCount val="1"/>
                <c:pt idx="0">
                  <c:v>C3 CFR China</c:v>
                </c:pt>
              </c:strCache>
            </c:strRef>
          </c:tx>
          <c:spPr>
            <a:ln>
              <a:solidFill>
                <a:srgbClr val="E46C0A"/>
              </a:solidFill>
            </a:ln>
          </c:spPr>
          <c:marker>
            <c:symbol val="none"/>
          </c:marker>
          <c:cat>
            <c:multiLvlStrRef>
              <c:f>Charts!$C$22:$AB$24</c:f>
              <c:multiLvlStrCache>
                <c:ptCount val="26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  <c:pt idx="23">
                    <c:v> </c:v>
                  </c:pt>
                  <c:pt idx="24">
                    <c:v> </c:v>
                  </c:pt>
                  <c:pt idx="25">
                    <c:v> </c:v>
                  </c:pt>
                </c:lvl>
                <c:lvl>
                  <c:pt idx="0">
                    <c:v>Jan </c:v>
                  </c:pt>
                  <c:pt idx="4">
                    <c:v>Feb </c:v>
                  </c:pt>
                  <c:pt idx="8">
                    <c:v>Mar </c:v>
                  </c:pt>
                  <c:pt idx="12">
                    <c:v>Apr </c:v>
                  </c:pt>
                  <c:pt idx="17">
                    <c:v>May </c:v>
                  </c:pt>
                  <c:pt idx="21">
                    <c:v>June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Charts!$C$33:$AB$33</c:f>
              <c:numCache>
                <c:formatCode>General</c:formatCode>
                <c:ptCount val="26"/>
                <c:pt idx="0">
                  <c:v>745</c:v>
                </c:pt>
                <c:pt idx="1">
                  <c:v>770</c:v>
                </c:pt>
                <c:pt idx="2">
                  <c:v>785</c:v>
                </c:pt>
                <c:pt idx="3">
                  <c:v>820</c:v>
                </c:pt>
                <c:pt idx="4">
                  <c:v>825</c:v>
                </c:pt>
                <c:pt idx="5">
                  <c:v>825</c:v>
                </c:pt>
                <c:pt idx="6">
                  <c:v>825</c:v>
                </c:pt>
                <c:pt idx="7">
                  <c:v>840</c:v>
                </c:pt>
                <c:pt idx="8">
                  <c:v>890</c:v>
                </c:pt>
                <c:pt idx="9">
                  <c:v>1100</c:v>
                </c:pt>
                <c:pt idx="10">
                  <c:v>1100</c:v>
                </c:pt>
                <c:pt idx="11">
                  <c:v>1280</c:v>
                </c:pt>
                <c:pt idx="12">
                  <c:v>1290</c:v>
                </c:pt>
                <c:pt idx="13">
                  <c:v>1330</c:v>
                </c:pt>
                <c:pt idx="14">
                  <c:v>1340</c:v>
                </c:pt>
                <c:pt idx="15">
                  <c:v>1330</c:v>
                </c:pt>
                <c:pt idx="16">
                  <c:v>1340</c:v>
                </c:pt>
                <c:pt idx="17">
                  <c:v>1270</c:v>
                </c:pt>
                <c:pt idx="18">
                  <c:v>1280</c:v>
                </c:pt>
                <c:pt idx="19">
                  <c:v>1250</c:v>
                </c:pt>
                <c:pt idx="20">
                  <c:v>1210</c:v>
                </c:pt>
                <c:pt idx="21">
                  <c:v>1150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C0-48A8-A95D-F94C60E60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294096"/>
        <c:axId val="2079289200"/>
      </c:lineChart>
      <c:catAx>
        <c:axId val="20792940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ru-RU"/>
          </a:p>
        </c:txPr>
        <c:crossAx val="2079289200"/>
        <c:crosses val="autoZero"/>
        <c:auto val="1"/>
        <c:lblAlgn val="ctr"/>
        <c:lblOffset val="100"/>
        <c:noMultiLvlLbl val="0"/>
      </c:catAx>
      <c:valAx>
        <c:axId val="2079289200"/>
        <c:scaling>
          <c:orientation val="minMax"/>
          <c:max val="2200"/>
          <c:min val="7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$/t</a:t>
                </a:r>
                <a:endParaRPr lang="ru-RU" sz="1000" b="0"/>
              </a:p>
            </c:rich>
          </c:tx>
          <c:layout>
            <c:manualLayout>
              <c:xMode val="edge"/>
              <c:yMode val="edge"/>
              <c:x val="9.504132489103612E-3"/>
              <c:y val="0.388873203064067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ru-RU"/>
          </a:p>
        </c:txPr>
        <c:crossAx val="2079294096"/>
        <c:crosses val="autoZero"/>
        <c:crossBetween val="between"/>
        <c:majorUnit val="200"/>
      </c:valAx>
    </c:plotArea>
    <c:legend>
      <c:legendPos val="b"/>
      <c:layout>
        <c:manualLayout>
          <c:xMode val="edge"/>
          <c:yMode val="edge"/>
          <c:x val="0.13398790466026325"/>
          <c:y val="0.92230436264485349"/>
          <c:w val="0.80732360962883909"/>
          <c:h val="6.9038513974096785E-2"/>
        </c:manualLayout>
      </c:layout>
      <c:overlay val="0"/>
      <c:txPr>
        <a:bodyPr/>
        <a:lstStyle/>
        <a:p>
          <a:pPr>
            <a:defRPr sz="900"/>
          </a:pPr>
          <a:endParaRPr lang="ru-RU"/>
        </a:p>
      </c:txPr>
    </c:legend>
    <c:plotVisOnly val="1"/>
    <c:dispBlanksAs val="gap"/>
    <c:showDLblsOverMax val="0"/>
  </c:chart>
  <c:spPr>
    <a:solidFill>
      <a:srgbClr val="FDE9D9"/>
    </a:solidFill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83544790465207"/>
          <c:y val="5.6239935587761677E-2"/>
          <c:w val="0.81164744329104188"/>
          <c:h val="0.59223352165725052"/>
        </c:manualLayout>
      </c:layout>
      <c:lineChart>
        <c:grouping val="standard"/>
        <c:varyColors val="0"/>
        <c:ser>
          <c:idx val="3"/>
          <c:order val="0"/>
          <c:tx>
            <c:strRef>
              <c:f>Charts!$B$42</c:f>
              <c:strCache>
                <c:ptCount val="1"/>
                <c:pt idx="0">
                  <c:v>Naphtha CIF ARA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Charts!$C$22:$AA$24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  <c:pt idx="23">
                    <c:v> </c:v>
                  </c:pt>
                  <c:pt idx="24">
                    <c:v> </c:v>
                  </c:pt>
                </c:lvl>
                <c:lvl>
                  <c:pt idx="0">
                    <c:v>Jan </c:v>
                  </c:pt>
                  <c:pt idx="4">
                    <c:v>Feb </c:v>
                  </c:pt>
                  <c:pt idx="8">
                    <c:v>Mar </c:v>
                  </c:pt>
                  <c:pt idx="12">
                    <c:v>Apr </c:v>
                  </c:pt>
                  <c:pt idx="17">
                    <c:v>May </c:v>
                  </c:pt>
                  <c:pt idx="21">
                    <c:v>June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Charts!$C$42:$AA$42</c:f>
              <c:numCache>
                <c:formatCode>General</c:formatCode>
                <c:ptCount val="25"/>
                <c:pt idx="0">
                  <c:v>489</c:v>
                </c:pt>
                <c:pt idx="1">
                  <c:v>536</c:v>
                </c:pt>
                <c:pt idx="2">
                  <c:v>531</c:v>
                </c:pt>
                <c:pt idx="3">
                  <c:v>548</c:v>
                </c:pt>
                <c:pt idx="4">
                  <c:v>558</c:v>
                </c:pt>
                <c:pt idx="5">
                  <c:v>575</c:v>
                </c:pt>
                <c:pt idx="6">
                  <c:v>558</c:v>
                </c:pt>
                <c:pt idx="7">
                  <c:v>575</c:v>
                </c:pt>
                <c:pt idx="8">
                  <c:v>671</c:v>
                </c:pt>
                <c:pt idx="9">
                  <c:v>768</c:v>
                </c:pt>
                <c:pt idx="10">
                  <c:v>951</c:v>
                </c:pt>
                <c:pt idx="11">
                  <c:v>895</c:v>
                </c:pt>
                <c:pt idx="12">
                  <c:v>938</c:v>
                </c:pt>
                <c:pt idx="13">
                  <c:v>895</c:v>
                </c:pt>
                <c:pt idx="14">
                  <c:v>889</c:v>
                </c:pt>
                <c:pt idx="15">
                  <c:v>934</c:v>
                </c:pt>
                <c:pt idx="16">
                  <c:v>981.75</c:v>
                </c:pt>
                <c:pt idx="17">
                  <c:v>885</c:v>
                </c:pt>
                <c:pt idx="18">
                  <c:v>930</c:v>
                </c:pt>
                <c:pt idx="19">
                  <c:v>870</c:v>
                </c:pt>
                <c:pt idx="20">
                  <c:v>751.75</c:v>
                </c:pt>
                <c:pt idx="21">
                  <c:v>750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4-42E1-9101-998071AB6CB9}"/>
            </c:ext>
          </c:extLst>
        </c:ser>
        <c:ser>
          <c:idx val="0"/>
          <c:order val="1"/>
          <c:tx>
            <c:strRef>
              <c:f>Charts!$B$43</c:f>
              <c:strCache>
                <c:ptCount val="1"/>
                <c:pt idx="0">
                  <c:v>Propane CIF ARA</c:v>
                </c:pt>
              </c:strCache>
            </c:strRef>
          </c:tx>
          <c:marker>
            <c:symbol val="none"/>
          </c:marker>
          <c:cat>
            <c:multiLvlStrRef>
              <c:f>Charts!$C$22:$AA$24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  <c:pt idx="23">
                    <c:v> </c:v>
                  </c:pt>
                  <c:pt idx="24">
                    <c:v> </c:v>
                  </c:pt>
                </c:lvl>
                <c:lvl>
                  <c:pt idx="0">
                    <c:v>Jan </c:v>
                  </c:pt>
                  <c:pt idx="4">
                    <c:v>Feb </c:v>
                  </c:pt>
                  <c:pt idx="8">
                    <c:v>Mar </c:v>
                  </c:pt>
                  <c:pt idx="12">
                    <c:v>Apr </c:v>
                  </c:pt>
                  <c:pt idx="17">
                    <c:v>May </c:v>
                  </c:pt>
                  <c:pt idx="21">
                    <c:v>June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Charts!$C$43:$AA$43</c:f>
              <c:numCache>
                <c:formatCode>General</c:formatCode>
                <c:ptCount val="25"/>
                <c:pt idx="0">
                  <c:v>489</c:v>
                </c:pt>
                <c:pt idx="1">
                  <c:v>488</c:v>
                </c:pt>
                <c:pt idx="2">
                  <c:v>497</c:v>
                </c:pt>
                <c:pt idx="3">
                  <c:v>509</c:v>
                </c:pt>
                <c:pt idx="4">
                  <c:v>521</c:v>
                </c:pt>
                <c:pt idx="5">
                  <c:v>553</c:v>
                </c:pt>
                <c:pt idx="6">
                  <c:v>511</c:v>
                </c:pt>
                <c:pt idx="7">
                  <c:v>551</c:v>
                </c:pt>
                <c:pt idx="8">
                  <c:v>690</c:v>
                </c:pt>
                <c:pt idx="9">
                  <c:v>771</c:v>
                </c:pt>
                <c:pt idx="10">
                  <c:v>927</c:v>
                </c:pt>
                <c:pt idx="11">
                  <c:v>845</c:v>
                </c:pt>
                <c:pt idx="12">
                  <c:v>884</c:v>
                </c:pt>
                <c:pt idx="13">
                  <c:v>781</c:v>
                </c:pt>
                <c:pt idx="14">
                  <c:v>655</c:v>
                </c:pt>
                <c:pt idx="15">
                  <c:v>639</c:v>
                </c:pt>
                <c:pt idx="16">
                  <c:v>662</c:v>
                </c:pt>
                <c:pt idx="17">
                  <c:v>620</c:v>
                </c:pt>
                <c:pt idx="18">
                  <c:v>663</c:v>
                </c:pt>
                <c:pt idx="19">
                  <c:v>602</c:v>
                </c:pt>
                <c:pt idx="20">
                  <c:v>585</c:v>
                </c:pt>
                <c:pt idx="21">
                  <c:v>618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E4-42E1-9101-998071AB6CB9}"/>
            </c:ext>
          </c:extLst>
        </c:ser>
        <c:ser>
          <c:idx val="1"/>
          <c:order val="2"/>
          <c:tx>
            <c:strRef>
              <c:f>Charts!$B$44</c:f>
              <c:strCache>
                <c:ptCount val="1"/>
                <c:pt idx="0">
                  <c:v>Butane CIF ARA</c:v>
                </c:pt>
              </c:strCache>
            </c:strRef>
          </c:tx>
          <c:marker>
            <c:symbol val="none"/>
          </c:marker>
          <c:cat>
            <c:multiLvlStrRef>
              <c:f>Charts!$C$22:$AA$24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  <c:pt idx="23">
                    <c:v> </c:v>
                  </c:pt>
                  <c:pt idx="24">
                    <c:v> </c:v>
                  </c:pt>
                </c:lvl>
                <c:lvl>
                  <c:pt idx="0">
                    <c:v>Jan </c:v>
                  </c:pt>
                  <c:pt idx="4">
                    <c:v>Feb </c:v>
                  </c:pt>
                  <c:pt idx="8">
                    <c:v>Mar </c:v>
                  </c:pt>
                  <c:pt idx="12">
                    <c:v>Apr </c:v>
                  </c:pt>
                  <c:pt idx="17">
                    <c:v>May </c:v>
                  </c:pt>
                  <c:pt idx="21">
                    <c:v>June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Charts!$C$44:$AA$44</c:f>
              <c:numCache>
                <c:formatCode>General</c:formatCode>
                <c:ptCount val="25"/>
                <c:pt idx="0">
                  <c:v>449</c:v>
                </c:pt>
                <c:pt idx="1">
                  <c:v>506</c:v>
                </c:pt>
                <c:pt idx="2">
                  <c:v>491</c:v>
                </c:pt>
                <c:pt idx="3">
                  <c:v>504</c:v>
                </c:pt>
                <c:pt idx="4">
                  <c:v>511</c:v>
                </c:pt>
                <c:pt idx="5">
                  <c:v>527</c:v>
                </c:pt>
                <c:pt idx="6">
                  <c:v>485</c:v>
                </c:pt>
                <c:pt idx="7">
                  <c:v>507</c:v>
                </c:pt>
                <c:pt idx="8">
                  <c:v>587</c:v>
                </c:pt>
                <c:pt idx="9">
                  <c:v>687</c:v>
                </c:pt>
                <c:pt idx="10">
                  <c:v>862</c:v>
                </c:pt>
                <c:pt idx="11">
                  <c:v>859</c:v>
                </c:pt>
                <c:pt idx="12">
                  <c:v>925</c:v>
                </c:pt>
                <c:pt idx="13">
                  <c:v>874</c:v>
                </c:pt>
                <c:pt idx="14">
                  <c:v>783</c:v>
                </c:pt>
                <c:pt idx="15">
                  <c:v>813</c:v>
                </c:pt>
                <c:pt idx="16">
                  <c:v>883</c:v>
                </c:pt>
                <c:pt idx="17">
                  <c:v>783</c:v>
                </c:pt>
                <c:pt idx="18">
                  <c:v>823</c:v>
                </c:pt>
                <c:pt idx="19">
                  <c:v>763</c:v>
                </c:pt>
                <c:pt idx="20">
                  <c:v>658</c:v>
                </c:pt>
                <c:pt idx="21">
                  <c:v>655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E4-42E1-9101-998071AB6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294640"/>
        <c:axId val="2079285936"/>
      </c:lineChart>
      <c:catAx>
        <c:axId val="2079294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/>
          <a:lstStyle/>
          <a:p>
            <a:pPr>
              <a:defRPr sz="600"/>
            </a:pPr>
            <a:endParaRPr lang="ru-RU"/>
          </a:p>
        </c:txPr>
        <c:crossAx val="2079285936"/>
        <c:crosses val="autoZero"/>
        <c:auto val="1"/>
        <c:lblAlgn val="ctr"/>
        <c:lblOffset val="100"/>
        <c:noMultiLvlLbl val="0"/>
      </c:catAx>
      <c:valAx>
        <c:axId val="2079285936"/>
        <c:scaling>
          <c:orientation val="minMax"/>
          <c:max val="1000"/>
          <c:min val="4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800" b="0">
                    <a:solidFill>
                      <a:schemeClr val="accent2">
                        <a:lumMod val="75000"/>
                      </a:schemeClr>
                    </a:solidFill>
                  </a:defRPr>
                </a:pPr>
                <a:r>
                  <a:rPr lang="en-US" sz="800" b="0">
                    <a:solidFill>
                      <a:schemeClr val="accent2">
                        <a:lumMod val="75000"/>
                      </a:schemeClr>
                    </a:solidFill>
                  </a:rPr>
                  <a:t>$/t</a:t>
                </a:r>
                <a:endParaRPr lang="ru-RU" sz="800" b="0">
                  <a:solidFill>
                    <a:schemeClr val="accent2">
                      <a:lumMod val="75000"/>
                    </a:schemeClr>
                  </a:solidFill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600"/>
            </a:pPr>
            <a:endParaRPr lang="ru-RU"/>
          </a:p>
        </c:txPr>
        <c:crossAx val="2079294640"/>
        <c:crosses val="autoZero"/>
        <c:crossBetween val="between"/>
        <c:majorUnit val="100"/>
      </c:valAx>
    </c:plotArea>
    <c:legend>
      <c:legendPos val="b"/>
      <c:layout>
        <c:manualLayout>
          <c:xMode val="edge"/>
          <c:yMode val="edge"/>
          <c:x val="1.7595155709342562E-2"/>
          <c:y val="0.84706521739130436"/>
          <c:w val="0.972274125336409"/>
          <c:h val="0.15293478260869564"/>
        </c:manualLayout>
      </c:layout>
      <c:overlay val="0"/>
      <c:txPr>
        <a:bodyPr/>
        <a:lstStyle/>
        <a:p>
          <a:pPr>
            <a:defRPr sz="700"/>
          </a:pPr>
          <a:endParaRPr lang="ru-RU"/>
        </a:p>
      </c:txPr>
    </c:legend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58057630736394"/>
          <c:y val="4.7614178595773687E-2"/>
          <c:w val="0.77500474327048496"/>
          <c:h val="0.61357361963190182"/>
        </c:manualLayout>
      </c:layout>
      <c:lineChart>
        <c:grouping val="standard"/>
        <c:varyColors val="0"/>
        <c:ser>
          <c:idx val="0"/>
          <c:order val="0"/>
          <c:tx>
            <c:strRef>
              <c:f>Title_page!$B$27</c:f>
              <c:strCache>
                <c:ptCount val="1"/>
                <c:pt idx="0">
                  <c:v>PP homo FD NWE </c:v>
                </c:pt>
              </c:strCache>
            </c:strRef>
          </c:tx>
          <c:marker>
            <c:symbol val="none"/>
          </c:marker>
          <c:cat>
            <c:multiLvlStrRef>
              <c:f>Title_page!$AV$25:$BX$26</c:f>
              <c:multiLvlStrCache>
                <c:ptCount val="29"/>
                <c:lvl>
                  <c:pt idx="0">
                    <c:v>June</c:v>
                  </c:pt>
                  <c:pt idx="2">
                    <c:v>Aug</c:v>
                  </c:pt>
                  <c:pt idx="4">
                    <c:v>Oct</c:v>
                  </c:pt>
                  <c:pt idx="6">
                    <c:v>Dec</c:v>
                  </c:pt>
                  <c:pt idx="8">
                    <c:v>Feb</c:v>
                  </c:pt>
                  <c:pt idx="10">
                    <c:v>Apr</c:v>
                  </c:pt>
                  <c:pt idx="12">
                    <c:v>June</c:v>
                  </c:pt>
                  <c:pt idx="14">
                    <c:v>Aug</c:v>
                  </c:pt>
                  <c:pt idx="16">
                    <c:v>Oct</c:v>
                  </c:pt>
                  <c:pt idx="18">
                    <c:v>Dec</c:v>
                  </c:pt>
                  <c:pt idx="20">
                    <c:v>Feb</c:v>
                  </c:pt>
                  <c:pt idx="22">
                    <c:v>Apr</c:v>
                  </c:pt>
                  <c:pt idx="24">
                    <c:v>June</c:v>
                  </c:pt>
                  <c:pt idx="26">
                    <c:v>Aug</c:v>
                  </c:pt>
                  <c:pt idx="28">
                    <c:v>Oct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  <c:pt idx="19">
                    <c:v>2026</c:v>
                  </c:pt>
                </c:lvl>
              </c:multiLvlStrCache>
            </c:multiLvlStrRef>
          </c:cat>
          <c:val>
            <c:numRef>
              <c:f>Title_page!$AV$27:$BX$27</c:f>
              <c:numCache>
                <c:formatCode>General</c:formatCode>
                <c:ptCount val="29"/>
                <c:pt idx="0">
                  <c:v>1200</c:v>
                </c:pt>
                <c:pt idx="1">
                  <c:v>1225</c:v>
                </c:pt>
                <c:pt idx="2">
                  <c:v>1275</c:v>
                </c:pt>
                <c:pt idx="3">
                  <c:v>1215</c:v>
                </c:pt>
                <c:pt idx="4">
                  <c:v>1140</c:v>
                </c:pt>
                <c:pt idx="5">
                  <c:v>1110</c:v>
                </c:pt>
                <c:pt idx="6">
                  <c:v>1105</c:v>
                </c:pt>
                <c:pt idx="7">
                  <c:v>1135</c:v>
                </c:pt>
                <c:pt idx="8">
                  <c:v>1165</c:v>
                </c:pt>
                <c:pt idx="9">
                  <c:v>1150</c:v>
                </c:pt>
                <c:pt idx="10">
                  <c:v>1075</c:v>
                </c:pt>
                <c:pt idx="11">
                  <c:v>1040</c:v>
                </c:pt>
                <c:pt idx="12">
                  <c:v>1015</c:v>
                </c:pt>
                <c:pt idx="13">
                  <c:v>1015</c:v>
                </c:pt>
                <c:pt idx="14">
                  <c:v>1000</c:v>
                </c:pt>
                <c:pt idx="15">
                  <c:v>960</c:v>
                </c:pt>
                <c:pt idx="16">
                  <c:v>925</c:v>
                </c:pt>
                <c:pt idx="17">
                  <c:v>915</c:v>
                </c:pt>
                <c:pt idx="18">
                  <c:v>930</c:v>
                </c:pt>
                <c:pt idx="19">
                  <c:v>930</c:v>
                </c:pt>
                <c:pt idx="20">
                  <c:v>950</c:v>
                </c:pt>
                <c:pt idx="21">
                  <c:v>1450</c:v>
                </c:pt>
                <c:pt idx="22">
                  <c:v>1900</c:v>
                </c:pt>
                <c:pt idx="23">
                  <c:v>1775</c:v>
                </c:pt>
                <c:pt idx="24">
                  <c:v>1775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A-45FC-86C1-6DB5F724AE08}"/>
            </c:ext>
          </c:extLst>
        </c:ser>
        <c:ser>
          <c:idx val="1"/>
          <c:order val="1"/>
          <c:tx>
            <c:strRef>
              <c:f>Title_page!$B$28</c:f>
              <c:strCache>
                <c:ptCount val="1"/>
                <c:pt idx="0">
                  <c:v>Propylene FD NWE (contract)</c:v>
                </c:pt>
              </c:strCache>
            </c:strRef>
          </c:tx>
          <c:marker>
            <c:symbol val="none"/>
          </c:marker>
          <c:cat>
            <c:multiLvlStrRef>
              <c:f>Title_page!$AV$25:$BX$26</c:f>
              <c:multiLvlStrCache>
                <c:ptCount val="29"/>
                <c:lvl>
                  <c:pt idx="0">
                    <c:v>June</c:v>
                  </c:pt>
                  <c:pt idx="2">
                    <c:v>Aug</c:v>
                  </c:pt>
                  <c:pt idx="4">
                    <c:v>Oct</c:v>
                  </c:pt>
                  <c:pt idx="6">
                    <c:v>Dec</c:v>
                  </c:pt>
                  <c:pt idx="8">
                    <c:v>Feb</c:v>
                  </c:pt>
                  <c:pt idx="10">
                    <c:v>Apr</c:v>
                  </c:pt>
                  <c:pt idx="12">
                    <c:v>June</c:v>
                  </c:pt>
                  <c:pt idx="14">
                    <c:v>Aug</c:v>
                  </c:pt>
                  <c:pt idx="16">
                    <c:v>Oct</c:v>
                  </c:pt>
                  <c:pt idx="18">
                    <c:v>Dec</c:v>
                  </c:pt>
                  <c:pt idx="20">
                    <c:v>Feb</c:v>
                  </c:pt>
                  <c:pt idx="22">
                    <c:v>Apr</c:v>
                  </c:pt>
                  <c:pt idx="24">
                    <c:v>June</c:v>
                  </c:pt>
                  <c:pt idx="26">
                    <c:v>Aug</c:v>
                  </c:pt>
                  <c:pt idx="28">
                    <c:v>Oct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  <c:pt idx="19">
                    <c:v>2026</c:v>
                  </c:pt>
                </c:lvl>
              </c:multiLvlStrCache>
            </c:multiLvlStrRef>
          </c:cat>
          <c:val>
            <c:numRef>
              <c:f>Title_page!$AV$28:$BX$28</c:f>
              <c:numCache>
                <c:formatCode>General</c:formatCode>
                <c:ptCount val="29"/>
                <c:pt idx="0">
                  <c:v>1105</c:v>
                </c:pt>
                <c:pt idx="1">
                  <c:v>1105</c:v>
                </c:pt>
                <c:pt idx="2">
                  <c:v>1125</c:v>
                </c:pt>
                <c:pt idx="3">
                  <c:v>1095</c:v>
                </c:pt>
                <c:pt idx="4">
                  <c:v>1060</c:v>
                </c:pt>
                <c:pt idx="5">
                  <c:v>1085</c:v>
                </c:pt>
                <c:pt idx="6">
                  <c:v>1075</c:v>
                </c:pt>
                <c:pt idx="7">
                  <c:v>1075</c:v>
                </c:pt>
                <c:pt idx="8">
                  <c:v>1127.5</c:v>
                </c:pt>
                <c:pt idx="9">
                  <c:v>1135</c:v>
                </c:pt>
                <c:pt idx="10">
                  <c:v>1080</c:v>
                </c:pt>
                <c:pt idx="11">
                  <c:v>1015</c:v>
                </c:pt>
                <c:pt idx="12">
                  <c:v>1015</c:v>
                </c:pt>
                <c:pt idx="13">
                  <c:v>1015</c:v>
                </c:pt>
                <c:pt idx="14">
                  <c:v>1005</c:v>
                </c:pt>
                <c:pt idx="15">
                  <c:v>1005</c:v>
                </c:pt>
                <c:pt idx="16">
                  <c:v>1005</c:v>
                </c:pt>
                <c:pt idx="17">
                  <c:v>980</c:v>
                </c:pt>
                <c:pt idx="18">
                  <c:v>980</c:v>
                </c:pt>
                <c:pt idx="19">
                  <c:v>950</c:v>
                </c:pt>
                <c:pt idx="20">
                  <c:v>965</c:v>
                </c:pt>
                <c:pt idx="21">
                  <c:v>1000</c:v>
                </c:pt>
                <c:pt idx="22">
                  <c:v>1465</c:v>
                </c:pt>
                <c:pt idx="23">
                  <c:v>1585</c:v>
                </c:pt>
                <c:pt idx="24">
                  <c:v>1555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A-45FC-86C1-6DB5F724AE08}"/>
            </c:ext>
          </c:extLst>
        </c:ser>
        <c:ser>
          <c:idx val="2"/>
          <c:order val="2"/>
          <c:tx>
            <c:strRef>
              <c:f>Title_page!$B$29</c:f>
              <c:strCache>
                <c:ptCount val="1"/>
                <c:pt idx="0">
                  <c:v>Naphtha CIF ARA*</c:v>
                </c:pt>
              </c:strCache>
            </c:strRef>
          </c:tx>
          <c:marker>
            <c:symbol val="none"/>
          </c:marker>
          <c:cat>
            <c:multiLvlStrRef>
              <c:f>Title_page!$AV$25:$BX$26</c:f>
              <c:multiLvlStrCache>
                <c:ptCount val="29"/>
                <c:lvl>
                  <c:pt idx="0">
                    <c:v>June</c:v>
                  </c:pt>
                  <c:pt idx="2">
                    <c:v>Aug</c:v>
                  </c:pt>
                  <c:pt idx="4">
                    <c:v>Oct</c:v>
                  </c:pt>
                  <c:pt idx="6">
                    <c:v>Dec</c:v>
                  </c:pt>
                  <c:pt idx="8">
                    <c:v>Feb</c:v>
                  </c:pt>
                  <c:pt idx="10">
                    <c:v>Apr</c:v>
                  </c:pt>
                  <c:pt idx="12">
                    <c:v>June</c:v>
                  </c:pt>
                  <c:pt idx="14">
                    <c:v>Aug</c:v>
                  </c:pt>
                  <c:pt idx="16">
                    <c:v>Oct</c:v>
                  </c:pt>
                  <c:pt idx="18">
                    <c:v>Dec</c:v>
                  </c:pt>
                  <c:pt idx="20">
                    <c:v>Feb</c:v>
                  </c:pt>
                  <c:pt idx="22">
                    <c:v>Apr</c:v>
                  </c:pt>
                  <c:pt idx="24">
                    <c:v>June</c:v>
                  </c:pt>
                  <c:pt idx="26">
                    <c:v>Aug</c:v>
                  </c:pt>
                  <c:pt idx="28">
                    <c:v>Oct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  <c:pt idx="19">
                    <c:v>2026</c:v>
                  </c:pt>
                </c:lvl>
              </c:multiLvlStrCache>
            </c:multiLvlStrRef>
          </c:cat>
          <c:val>
            <c:numRef>
              <c:f>Title_page!$AV$29:$BX$29</c:f>
              <c:numCache>
                <c:formatCode>General</c:formatCode>
                <c:ptCount val="29"/>
                <c:pt idx="0">
                  <c:v>641.70000000000005</c:v>
                </c:pt>
                <c:pt idx="1">
                  <c:v>639.4</c:v>
                </c:pt>
                <c:pt idx="2">
                  <c:v>585.9</c:v>
                </c:pt>
                <c:pt idx="3">
                  <c:v>574.20000000000005</c:v>
                </c:pt>
                <c:pt idx="4">
                  <c:v>587.88</c:v>
                </c:pt>
                <c:pt idx="5">
                  <c:v>570</c:v>
                </c:pt>
                <c:pt idx="6">
                  <c:v>599.04</c:v>
                </c:pt>
                <c:pt idx="7">
                  <c:v>616.31999999999994</c:v>
                </c:pt>
                <c:pt idx="8">
                  <c:v>617.5</c:v>
                </c:pt>
                <c:pt idx="9">
                  <c:v>575.67000000000007</c:v>
                </c:pt>
                <c:pt idx="10">
                  <c:v>485.76</c:v>
                </c:pt>
                <c:pt idx="11">
                  <c:v>479.71</c:v>
                </c:pt>
                <c:pt idx="12">
                  <c:v>459</c:v>
                </c:pt>
                <c:pt idx="13">
                  <c:v>514.16999999999996</c:v>
                </c:pt>
                <c:pt idx="14">
                  <c:v>486.97499999999997</c:v>
                </c:pt>
                <c:pt idx="15">
                  <c:v>484.5</c:v>
                </c:pt>
                <c:pt idx="16">
                  <c:v>463.54</c:v>
                </c:pt>
                <c:pt idx="17">
                  <c:v>438.59999999999997</c:v>
                </c:pt>
                <c:pt idx="18">
                  <c:v>430.95</c:v>
                </c:pt>
                <c:pt idx="19">
                  <c:v>460.32</c:v>
                </c:pt>
                <c:pt idx="20">
                  <c:v>488.75</c:v>
                </c:pt>
                <c:pt idx="21">
                  <c:v>778.65</c:v>
                </c:pt>
                <c:pt idx="22">
                  <c:v>834.48749999999995</c:v>
                </c:pt>
                <c:pt idx="23">
                  <c:v>646.505</c:v>
                </c:pt>
                <c:pt idx="24">
                  <c:v>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DA-45FC-86C1-6DB5F724AE08}"/>
            </c:ext>
          </c:extLst>
        </c:ser>
        <c:ser>
          <c:idx val="3"/>
          <c:order val="3"/>
          <c:tx>
            <c:strRef>
              <c:f>Title_page!$B$30</c:f>
              <c:strCache>
                <c:ptCount val="1"/>
                <c:pt idx="0">
                  <c:v>ChemCourier C3 MCP Forecast</c:v>
                </c:pt>
              </c:strCache>
            </c:strRef>
          </c:tx>
          <c:spPr>
            <a:ln>
              <a:solidFill>
                <a:schemeClr val="accent2"/>
              </a:solidFill>
              <a:prstDash val="sysDot"/>
            </a:ln>
          </c:spPr>
          <c:marker>
            <c:symbol val="none"/>
          </c:marker>
          <c:cat>
            <c:multiLvlStrRef>
              <c:f>Title_page!$AV$25:$BX$26</c:f>
              <c:multiLvlStrCache>
                <c:ptCount val="29"/>
                <c:lvl>
                  <c:pt idx="0">
                    <c:v>June</c:v>
                  </c:pt>
                  <c:pt idx="2">
                    <c:v>Aug</c:v>
                  </c:pt>
                  <c:pt idx="4">
                    <c:v>Oct</c:v>
                  </c:pt>
                  <c:pt idx="6">
                    <c:v>Dec</c:v>
                  </c:pt>
                  <c:pt idx="8">
                    <c:v>Feb</c:v>
                  </c:pt>
                  <c:pt idx="10">
                    <c:v>Apr</c:v>
                  </c:pt>
                  <c:pt idx="12">
                    <c:v>June</c:v>
                  </c:pt>
                  <c:pt idx="14">
                    <c:v>Aug</c:v>
                  </c:pt>
                  <c:pt idx="16">
                    <c:v>Oct</c:v>
                  </c:pt>
                  <c:pt idx="18">
                    <c:v>Dec</c:v>
                  </c:pt>
                  <c:pt idx="20">
                    <c:v>Feb</c:v>
                  </c:pt>
                  <c:pt idx="22">
                    <c:v>Apr</c:v>
                  </c:pt>
                  <c:pt idx="24">
                    <c:v>June</c:v>
                  </c:pt>
                  <c:pt idx="26">
                    <c:v>Aug</c:v>
                  </c:pt>
                  <c:pt idx="28">
                    <c:v>Oct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  <c:pt idx="19">
                    <c:v>2026</c:v>
                  </c:pt>
                </c:lvl>
              </c:multiLvlStrCache>
            </c:multiLvlStrRef>
          </c:cat>
          <c:val>
            <c:numRef>
              <c:f>Title_page!$AV$30:$BX$30</c:f>
              <c:numCache>
                <c:formatCode>General</c:formatCode>
                <c:ptCount val="29"/>
                <c:pt idx="24">
                  <c:v>1555</c:v>
                </c:pt>
                <c:pt idx="25">
                  <c:v>1403</c:v>
                </c:pt>
                <c:pt idx="26">
                  <c:v>1425</c:v>
                </c:pt>
                <c:pt idx="27">
                  <c:v>1414</c:v>
                </c:pt>
                <c:pt idx="28">
                  <c:v>1378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96-43E1-AD9D-481A7D6AB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295728"/>
        <c:axId val="2079296816"/>
      </c:lineChart>
      <c:catAx>
        <c:axId val="2079295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900"/>
            </a:pPr>
            <a:endParaRPr lang="ru-RU"/>
          </a:p>
        </c:txPr>
        <c:crossAx val="2079296816"/>
        <c:crosses val="autoZero"/>
        <c:auto val="1"/>
        <c:lblAlgn val="ctr"/>
        <c:lblOffset val="100"/>
        <c:noMultiLvlLbl val="0"/>
      </c:catAx>
      <c:valAx>
        <c:axId val="2079296816"/>
        <c:scaling>
          <c:orientation val="minMax"/>
          <c:max val="2000"/>
          <c:min val="4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 i="0" u="none" strike="noStrike" baseline="0">
                    <a:effectLst/>
                  </a:rPr>
                  <a:t>€</a:t>
                </a:r>
                <a:r>
                  <a:rPr lang="en-US" sz="1000" b="0"/>
                  <a:t>/t</a:t>
                </a:r>
                <a:endParaRPr lang="ru-RU" sz="1000" b="0"/>
              </a:p>
            </c:rich>
          </c:tx>
          <c:layout>
            <c:manualLayout>
              <c:xMode val="edge"/>
              <c:yMode val="edge"/>
              <c:x val="9.504132489103612E-3"/>
              <c:y val="0.388873203064067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ru-RU"/>
          </a:p>
        </c:txPr>
        <c:crossAx val="2079295728"/>
        <c:crosses val="autoZero"/>
        <c:crossBetween val="between"/>
        <c:majorUnit val="200"/>
      </c:valAx>
    </c:plotArea>
    <c:legend>
      <c:legendPos val="b"/>
      <c:layout>
        <c:manualLayout>
          <c:xMode val="edge"/>
          <c:yMode val="edge"/>
          <c:x val="0"/>
          <c:y val="0.83046106095087935"/>
          <c:w val="1"/>
          <c:h val="0.16953893904912068"/>
        </c:manualLayout>
      </c:layout>
      <c:overlay val="0"/>
      <c:txPr>
        <a:bodyPr/>
        <a:lstStyle/>
        <a:p>
          <a:pPr>
            <a:defRPr sz="900"/>
          </a:pPr>
          <a:endParaRPr lang="ru-RU"/>
        </a:p>
      </c:txPr>
    </c:legend>
    <c:plotVisOnly val="1"/>
    <c:dispBlanksAs val="gap"/>
    <c:showDLblsOverMax val="0"/>
  </c:chart>
  <c:spPr>
    <a:solidFill>
      <a:srgbClr val="FDE9D9"/>
    </a:solidFill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pin" dx="20" fmlaLink="calc_Charts!$A$1" max="30000" min="1" page="10" val="277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</xdr:row>
          <xdr:rowOff>66675</xdr:rowOff>
        </xdr:from>
        <xdr:to>
          <xdr:col>1</xdr:col>
          <xdr:colOff>133350</xdr:colOff>
          <xdr:row>8</xdr:row>
          <xdr:rowOff>19050</xdr:rowOff>
        </xdr:to>
        <xdr:sp macro="" textlink="">
          <xdr:nvSpPr>
            <xdr:cNvPr id="9217" name="Spinner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1322874</xdr:colOff>
      <xdr:row>2</xdr:row>
      <xdr:rowOff>139012</xdr:rowOff>
    </xdr:from>
    <xdr:to>
      <xdr:col>7</xdr:col>
      <xdr:colOff>168111</xdr:colOff>
      <xdr:row>19</xdr:row>
      <xdr:rowOff>68024</xdr:rowOff>
    </xdr:to>
    <xdr:graphicFrame macro="">
      <xdr:nvGraphicFramePr>
        <xdr:cNvPr id="39" name="Диаграмма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1306285</xdr:colOff>
      <xdr:row>1</xdr:row>
      <xdr:rowOff>10885</xdr:rowOff>
    </xdr:from>
    <xdr:to>
      <xdr:col>7</xdr:col>
      <xdr:colOff>187309</xdr:colOff>
      <xdr:row>3</xdr:row>
      <xdr:rowOff>26764</xdr:rowOff>
    </xdr:to>
    <xdr:sp macro="" textlink="">
      <xdr:nvSpPr>
        <xdr:cNvPr id="40" name="Прямоугольник 39"/>
        <xdr:cNvSpPr>
          <a:spLocks noChangeAspect="1"/>
        </xdr:cNvSpPr>
      </xdr:nvSpPr>
      <xdr:spPr bwMode="auto">
        <a:xfrm>
          <a:off x="1915885" y="190994"/>
          <a:ext cx="3577715" cy="376097"/>
        </a:xfrm>
        <a:prstGeom prst="rect">
          <a:avLst/>
        </a:prstGeom>
        <a:solidFill>
          <a:srgbClr val="972219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lang="en-US" sz="9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Naphtha-LPG spreads in ARA</a:t>
          </a:r>
          <a:endParaRPr lang="ru-RU" sz="900" b="1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402773</xdr:colOff>
      <xdr:row>1</xdr:row>
      <xdr:rowOff>87086</xdr:rowOff>
    </xdr:from>
    <xdr:to>
      <xdr:col>12</xdr:col>
      <xdr:colOff>484480</xdr:colOff>
      <xdr:row>4</xdr:row>
      <xdr:rowOff>3476</xdr:rowOff>
    </xdr:to>
    <xdr:sp macro="" textlink="">
      <xdr:nvSpPr>
        <xdr:cNvPr id="42" name="Прямоугольник 41"/>
        <xdr:cNvSpPr>
          <a:spLocks noChangeAspect="1"/>
        </xdr:cNvSpPr>
      </xdr:nvSpPr>
      <xdr:spPr bwMode="auto">
        <a:xfrm>
          <a:off x="5709064" y="267195"/>
          <a:ext cx="3337525" cy="456717"/>
        </a:xfrm>
        <a:prstGeom prst="rect">
          <a:avLst/>
        </a:prstGeom>
        <a:solidFill>
          <a:srgbClr val="991B1E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Popylene</a:t>
          </a:r>
          <a:r>
            <a:rPr lang="en-US" sz="900" b="1" baseline="0">
              <a:solidFill>
                <a:schemeClr val="bg1"/>
              </a:solidFill>
              <a:latin typeface="Arial" pitchFamily="34" charset="0"/>
              <a:cs typeface="Arial" pitchFamily="34" charset="0"/>
            </a:rPr>
            <a:t> </a:t>
          </a:r>
          <a:r>
            <a:rPr lang="en-US" sz="90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spot prices in Europe and Asia</a:t>
          </a:r>
          <a:endParaRPr lang="ru-RU" sz="900" b="1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402771</xdr:colOff>
      <xdr:row>3</xdr:row>
      <xdr:rowOff>174517</xdr:rowOff>
    </xdr:from>
    <xdr:to>
      <xdr:col>10</xdr:col>
      <xdr:colOff>561253</xdr:colOff>
      <xdr:row>15</xdr:row>
      <xdr:rowOff>137208</xdr:rowOff>
    </xdr:to>
    <xdr:graphicFrame macro="">
      <xdr:nvGraphicFramePr>
        <xdr:cNvPr id="43" name="Диаграмма 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13</xdr:col>
      <xdr:colOff>87088</xdr:colOff>
      <xdr:row>1</xdr:row>
      <xdr:rowOff>163286</xdr:rowOff>
    </xdr:from>
    <xdr:to>
      <xdr:col>18</xdr:col>
      <xdr:colOff>166693</xdr:colOff>
      <xdr:row>4</xdr:row>
      <xdr:rowOff>78808</xdr:rowOff>
    </xdr:to>
    <xdr:sp macro="" textlink="">
      <xdr:nvSpPr>
        <xdr:cNvPr id="45" name="Прямоугольник 44"/>
        <xdr:cNvSpPr>
          <a:spLocks noChangeAspect="1"/>
        </xdr:cNvSpPr>
      </xdr:nvSpPr>
      <xdr:spPr bwMode="auto">
        <a:xfrm>
          <a:off x="9300361" y="343395"/>
          <a:ext cx="3335423" cy="455849"/>
        </a:xfrm>
        <a:prstGeom prst="rect">
          <a:avLst/>
        </a:prstGeom>
        <a:solidFill>
          <a:srgbClr val="BE5D27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Spot prices</a:t>
          </a:r>
          <a:r>
            <a:rPr lang="en-US" sz="1000" b="1" baseline="0">
              <a:solidFill>
                <a:schemeClr val="bg1"/>
              </a:solidFill>
              <a:latin typeface="Arial" pitchFamily="34" charset="0"/>
              <a:cs typeface="Arial" pitchFamily="34" charset="0"/>
            </a:rPr>
            <a:t> in Asia</a:t>
          </a:r>
          <a:endParaRPr lang="ru-RU" sz="1000" b="1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13</xdr:col>
      <xdr:colOff>87086</xdr:colOff>
      <xdr:row>4</xdr:row>
      <xdr:rowOff>69758</xdr:rowOff>
    </xdr:from>
    <xdr:to>
      <xdr:col>16</xdr:col>
      <xdr:colOff>245568</xdr:colOff>
      <xdr:row>16</xdr:row>
      <xdr:rowOff>32449</xdr:rowOff>
    </xdr:to>
    <xdr:graphicFrame macro="">
      <xdr:nvGraphicFramePr>
        <xdr:cNvPr id="46" name="Диаграмма 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4</xdr:row>
      <xdr:rowOff>9868</xdr:rowOff>
    </xdr:from>
    <xdr:to>
      <xdr:col>23</xdr:col>
      <xdr:colOff>301684</xdr:colOff>
      <xdr:row>17</xdr:row>
      <xdr:rowOff>178798</xdr:rowOff>
    </xdr:to>
    <xdr:graphicFrame macro="">
      <xdr:nvGraphicFramePr>
        <xdr:cNvPr id="48" name="Диаграмма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</xdr:row>
      <xdr:rowOff>0</xdr:rowOff>
    </xdr:from>
    <xdr:to>
      <xdr:col>23</xdr:col>
      <xdr:colOff>311604</xdr:colOff>
      <xdr:row>4</xdr:row>
      <xdr:rowOff>14327</xdr:rowOff>
    </xdr:to>
    <xdr:sp macro="" textlink="">
      <xdr:nvSpPr>
        <xdr:cNvPr id="49" name="Прямоугольник 48"/>
        <xdr:cNvSpPr>
          <a:spLocks noChangeAspect="1"/>
        </xdr:cNvSpPr>
      </xdr:nvSpPr>
      <xdr:spPr bwMode="auto">
        <a:xfrm>
          <a:off x="13120255" y="360218"/>
          <a:ext cx="2916258" cy="374545"/>
        </a:xfrm>
        <a:prstGeom prst="rect">
          <a:avLst/>
        </a:prstGeom>
        <a:solidFill>
          <a:srgbClr val="991B1E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Propylene FD NWE</a:t>
          </a:r>
          <a:r>
            <a:rPr lang="en-US" sz="9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(contract)</a:t>
          </a:r>
          <a:endParaRPr lang="ru-RU" sz="9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endParaRPr lang="ru-RU" sz="1200" b="1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25</xdr:col>
      <xdr:colOff>10885</xdr:colOff>
      <xdr:row>2</xdr:row>
      <xdr:rowOff>10885</xdr:rowOff>
    </xdr:from>
    <xdr:to>
      <xdr:col>30</xdr:col>
      <xdr:colOff>239104</xdr:colOff>
      <xdr:row>18</xdr:row>
      <xdr:rowOff>63139</xdr:rowOff>
    </xdr:to>
    <xdr:graphicFrame macro="">
      <xdr:nvGraphicFramePr>
        <xdr:cNvPr id="50" name="Диаграмма 4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13</xdr:col>
      <xdr:colOff>324342</xdr:colOff>
      <xdr:row>22</xdr:row>
      <xdr:rowOff>6914</xdr:rowOff>
    </xdr:to>
    <xdr:sp macro="" textlink="">
      <xdr:nvSpPr>
        <xdr:cNvPr id="12" name="Прямоугольник 11"/>
        <xdr:cNvSpPr>
          <a:spLocks noChangeAspect="1"/>
        </xdr:cNvSpPr>
      </xdr:nvSpPr>
      <xdr:spPr bwMode="auto">
        <a:xfrm>
          <a:off x="5979459" y="3585882"/>
          <a:ext cx="3596459" cy="374467"/>
        </a:xfrm>
        <a:prstGeom prst="rect">
          <a:avLst/>
        </a:prstGeom>
        <a:solidFill>
          <a:srgbClr val="972219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lang="en-US" sz="9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Feedstock</a:t>
          </a:r>
          <a:r>
            <a:rPr lang="en-US" sz="9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prices</a:t>
          </a:r>
          <a:r>
            <a:rPr lang="en-US" sz="9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in ARA</a:t>
          </a:r>
          <a:endParaRPr lang="ru-RU" sz="900" b="1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0</xdr:colOff>
      <xdr:row>22</xdr:row>
      <xdr:rowOff>0</xdr:rowOff>
    </xdr:from>
    <xdr:to>
      <xdr:col>11</xdr:col>
      <xdr:colOff>158481</xdr:colOff>
      <xdr:row>33</xdr:row>
      <xdr:rowOff>87382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325200</xdr:colOff>
      <xdr:row>16</xdr:row>
      <xdr:rowOff>99225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2"/>
  <sheetViews>
    <sheetView zoomScale="120" zoomScaleNormal="120" workbookViewId="0">
      <selection activeCell="H16" sqref="H16"/>
    </sheetView>
  </sheetViews>
  <sheetFormatPr defaultRowHeight="15" x14ac:dyDescent="0.25"/>
  <cols>
    <col min="2" max="2" width="19.28515625" customWidth="1"/>
    <col min="3" max="3" width="20" customWidth="1"/>
    <col min="4" max="4" width="13.28515625" customWidth="1"/>
    <col min="5" max="5" width="14.5703125" customWidth="1"/>
    <col min="6" max="6" width="14.140625" customWidth="1"/>
    <col min="7" max="7" width="11.28515625" customWidth="1"/>
    <col min="10" max="10" width="9.85546875" bestFit="1" customWidth="1"/>
  </cols>
  <sheetData>
    <row r="3" spans="2:10" x14ac:dyDescent="0.25">
      <c r="B3" s="167" t="s">
        <v>257</v>
      </c>
      <c r="C3" s="167"/>
      <c r="D3" s="167"/>
      <c r="E3" s="167"/>
      <c r="F3" s="167"/>
      <c r="G3" s="167"/>
    </row>
    <row r="4" spans="2:10" x14ac:dyDescent="0.25">
      <c r="B4" s="78"/>
      <c r="C4" s="34" t="s">
        <v>273</v>
      </c>
      <c r="D4" s="34"/>
      <c r="E4" s="153" t="str">
        <f>'Propylene EU and US'!C9</f>
        <v>Jun</v>
      </c>
      <c r="F4" s="153" t="str">
        <f>'Propylene EU and US'!D9</f>
        <v>May</v>
      </c>
      <c r="G4" s="164" t="s">
        <v>2</v>
      </c>
    </row>
    <row r="5" spans="2:10" x14ac:dyDescent="0.25">
      <c r="B5" s="157" t="s">
        <v>1353</v>
      </c>
      <c r="C5" s="142" t="s">
        <v>274</v>
      </c>
      <c r="D5" s="142" t="s">
        <v>43</v>
      </c>
      <c r="E5" s="159">
        <f ca="1">'Propylene EU and US'!C10</f>
        <v>1555</v>
      </c>
      <c r="F5" s="159">
        <f ca="1">'Propylene EU and US'!D10</f>
        <v>1585</v>
      </c>
      <c r="G5" s="160">
        <f ca="1">'Propylene EU and US'!F10</f>
        <v>-1.8927444794952675E-2</v>
      </c>
      <c r="I5" s="79"/>
    </row>
    <row r="6" spans="2:10" x14ac:dyDescent="0.25">
      <c r="B6" s="167" t="s">
        <v>18</v>
      </c>
      <c r="C6" s="167"/>
      <c r="D6" s="167"/>
      <c r="E6" s="167"/>
      <c r="F6" s="167"/>
      <c r="G6" s="167"/>
      <c r="I6" s="79"/>
    </row>
    <row r="7" spans="2:10" ht="15" customHeight="1" x14ac:dyDescent="0.25">
      <c r="B7" s="78"/>
      <c r="C7" s="34" t="s">
        <v>273</v>
      </c>
      <c r="D7" s="34"/>
      <c r="E7" s="153"/>
      <c r="F7" s="153"/>
      <c r="G7" s="153"/>
      <c r="I7" s="79"/>
    </row>
    <row r="8" spans="2:10" x14ac:dyDescent="0.25">
      <c r="B8" s="154" t="s">
        <v>275</v>
      </c>
      <c r="C8" s="155"/>
      <c r="D8" s="155"/>
      <c r="E8" s="156" t="str">
        <f>'Propylene EU and US'!C12</f>
        <v>June 4</v>
      </c>
      <c r="F8" s="156" t="str">
        <f>'Propylene EU and US'!D12</f>
        <v>May 28</v>
      </c>
      <c r="G8" s="155" t="s">
        <v>2</v>
      </c>
      <c r="I8" s="79"/>
    </row>
    <row r="9" spans="2:10" ht="15" customHeight="1" x14ac:dyDescent="0.25">
      <c r="B9" s="157" t="s">
        <v>276</v>
      </c>
      <c r="C9" s="142" t="s">
        <v>71</v>
      </c>
      <c r="D9" s="142" t="s">
        <v>19</v>
      </c>
      <c r="E9" s="158">
        <f ca="1">'Propylene EU and US'!OLE_LINK3</f>
        <v>618</v>
      </c>
      <c r="F9" s="159">
        <f ca="1">'Propylene EU and US'!D14</f>
        <v>585</v>
      </c>
      <c r="G9" s="160">
        <f ca="1">'Propylene EU and US'!F14</f>
        <v>5.6410256410256432E-2</v>
      </c>
      <c r="I9" s="79"/>
      <c r="J9" s="80"/>
    </row>
    <row r="10" spans="2:10" ht="15" customHeight="1" x14ac:dyDescent="0.25">
      <c r="B10" s="157" t="s">
        <v>277</v>
      </c>
      <c r="C10" s="142" t="s">
        <v>71</v>
      </c>
      <c r="D10" s="142" t="s">
        <v>19</v>
      </c>
      <c r="E10" s="159">
        <f ca="1">'Propylene EU and US'!C15</f>
        <v>655</v>
      </c>
      <c r="F10" s="159">
        <f ca="1">'Propylene EU and US'!D15</f>
        <v>658</v>
      </c>
      <c r="G10" s="160" t="str">
        <f ca="1">'Propylene EU and US'!F15</f>
        <v>≈</v>
      </c>
      <c r="I10" s="79"/>
      <c r="J10" s="80"/>
    </row>
    <row r="11" spans="2:10" ht="15" customHeight="1" x14ac:dyDescent="0.25">
      <c r="B11" s="157" t="s">
        <v>278</v>
      </c>
      <c r="C11" s="142" t="s">
        <v>71</v>
      </c>
      <c r="D11" s="142" t="s">
        <v>19</v>
      </c>
      <c r="E11" s="159">
        <f ca="1">'Propylene EU and US'!C16</f>
        <v>750</v>
      </c>
      <c r="F11" s="159">
        <f ca="1">'Propylene EU and US'!D16</f>
        <v>751.75</v>
      </c>
      <c r="G11" s="160" t="str">
        <f ca="1">'Propylene EU and US'!F16</f>
        <v>≈</v>
      </c>
      <c r="I11" s="79"/>
      <c r="J11" s="80"/>
    </row>
    <row r="12" spans="2:10" ht="15.75" customHeight="1" x14ac:dyDescent="0.25">
      <c r="B12" s="157" t="s">
        <v>278</v>
      </c>
      <c r="C12" s="142" t="s">
        <v>279</v>
      </c>
      <c r="D12" s="142" t="s">
        <v>19</v>
      </c>
      <c r="E12" s="159">
        <f ca="1">'Propylene Asia'!B31</f>
        <v>808</v>
      </c>
      <c r="F12" s="159">
        <f ca="1">'Propylene Asia'!C31</f>
        <v>835</v>
      </c>
      <c r="G12" s="160">
        <f ca="1">'Propylene Asia'!E31</f>
        <v>-3.2335329341317331E-2</v>
      </c>
      <c r="I12" s="79"/>
      <c r="J12" s="80"/>
    </row>
    <row r="13" spans="2:10" x14ac:dyDescent="0.25">
      <c r="B13" s="154" t="s">
        <v>1353</v>
      </c>
      <c r="C13" s="155"/>
      <c r="D13" s="155"/>
      <c r="E13" s="161"/>
      <c r="F13" s="161"/>
      <c r="G13" s="162"/>
      <c r="I13" s="79"/>
    </row>
    <row r="14" spans="2:10" x14ac:dyDescent="0.25">
      <c r="B14" s="157" t="s">
        <v>1354</v>
      </c>
      <c r="C14" s="142" t="s">
        <v>280</v>
      </c>
      <c r="D14" s="142" t="s">
        <v>43</v>
      </c>
      <c r="E14" s="159">
        <f ca="1">'Propylene EU and US'!C18</f>
        <v>1322</v>
      </c>
      <c r="F14" s="159">
        <f ca="1">'Propylene EU and US'!D18</f>
        <v>1420</v>
      </c>
      <c r="G14" s="160">
        <f ca="1">'Propylene EU and US'!F18</f>
        <v>-6.9014084507042273E-2</v>
      </c>
      <c r="I14" s="79"/>
    </row>
    <row r="15" spans="2:10" ht="15.75" customHeight="1" x14ac:dyDescent="0.25">
      <c r="B15" s="157" t="s">
        <v>1354</v>
      </c>
      <c r="C15" s="142" t="s">
        <v>274</v>
      </c>
      <c r="D15" s="142" t="s">
        <v>43</v>
      </c>
      <c r="E15" s="159">
        <f ca="1">'Propylene EU and US'!C20</f>
        <v>1322</v>
      </c>
      <c r="F15" s="159">
        <f ca="1">'Propylene EU and US'!D20</f>
        <v>1427</v>
      </c>
      <c r="G15" s="160">
        <f ca="1">'Propylene EU and US'!F20</f>
        <v>-7.3580939032936277E-2</v>
      </c>
      <c r="I15" s="79"/>
    </row>
    <row r="16" spans="2:10" ht="15.75" customHeight="1" x14ac:dyDescent="0.25">
      <c r="B16" s="157" t="s">
        <v>1355</v>
      </c>
      <c r="C16" s="142" t="s">
        <v>280</v>
      </c>
      <c r="D16" s="142" t="s">
        <v>43</v>
      </c>
      <c r="E16" s="159">
        <f ca="1">'Propylene EU and US'!C19</f>
        <v>1283</v>
      </c>
      <c r="F16" s="159">
        <f ca="1">'Propylene EU and US'!D19</f>
        <v>1347</v>
      </c>
      <c r="G16" s="160">
        <f ca="1">'Propylene EU and US'!F19</f>
        <v>-4.7512991833704499E-2</v>
      </c>
      <c r="I16" s="79"/>
    </row>
    <row r="17" spans="2:10" ht="15.75" customHeight="1" x14ac:dyDescent="0.25">
      <c r="B17" s="157" t="s">
        <v>1354</v>
      </c>
      <c r="C17" s="142" t="s">
        <v>21</v>
      </c>
      <c r="D17" s="142" t="s">
        <v>19</v>
      </c>
      <c r="E17" s="159">
        <f ca="1">'Propylene Asia'!B33</f>
        <v>1150</v>
      </c>
      <c r="F17" s="159">
        <f ca="1">'Propylene Asia'!C33</f>
        <v>1210</v>
      </c>
      <c r="G17" s="160">
        <f ca="1">'Propylene Asia'!E33</f>
        <v>-4.9586776859504078E-2</v>
      </c>
      <c r="I17" s="79"/>
    </row>
    <row r="18" spans="2:10" ht="15.75" customHeight="1" x14ac:dyDescent="0.25">
      <c r="B18" s="157" t="s">
        <v>1354</v>
      </c>
      <c r="C18" s="142" t="s">
        <v>20</v>
      </c>
      <c r="D18" s="142" t="s">
        <v>19</v>
      </c>
      <c r="E18" s="159">
        <f ca="1">'Propylene Asia'!B34</f>
        <v>1130</v>
      </c>
      <c r="F18" s="159">
        <f ca="1">'Propylene Asia'!C34</f>
        <v>1200</v>
      </c>
      <c r="G18" s="160">
        <f ca="1">'Propylene Asia'!E34</f>
        <v>-5.8333333333333348E-2</v>
      </c>
      <c r="I18" s="79"/>
      <c r="J18" t="s">
        <v>7</v>
      </c>
    </row>
    <row r="19" spans="2:10" x14ac:dyDescent="0.25">
      <c r="B19" s="154" t="s">
        <v>4</v>
      </c>
      <c r="C19" s="155"/>
      <c r="D19" s="155"/>
      <c r="E19" s="163"/>
      <c r="F19" s="163"/>
      <c r="G19" s="162"/>
      <c r="I19" s="79"/>
    </row>
    <row r="20" spans="2:10" x14ac:dyDescent="0.25">
      <c r="B20" s="157" t="s">
        <v>1356</v>
      </c>
      <c r="C20" s="142" t="s">
        <v>274</v>
      </c>
      <c r="D20" s="142" t="s">
        <v>43</v>
      </c>
      <c r="E20" s="159" t="str">
        <f ca="1">'Propylene EU and US'!C22</f>
        <v>1,650—1,900</v>
      </c>
      <c r="F20" s="159" t="str">
        <f ca="1">'Propylene EU and US'!D22</f>
        <v>1,650—1,900</v>
      </c>
      <c r="G20" s="160" t="str">
        <f ca="1">'Propylene EU and US'!F22</f>
        <v>=</v>
      </c>
      <c r="I20" s="79"/>
    </row>
    <row r="21" spans="2:10" ht="15.75" customHeight="1" x14ac:dyDescent="0.25">
      <c r="B21" s="157" t="s">
        <v>1357</v>
      </c>
      <c r="C21" s="142" t="s">
        <v>274</v>
      </c>
      <c r="D21" s="142" t="s">
        <v>43</v>
      </c>
      <c r="E21" s="159" t="str">
        <f ca="1">'Propylene EU and US'!C23</f>
        <v>1,750—1,950</v>
      </c>
      <c r="F21" s="159" t="str">
        <f ca="1">'Propylene EU and US'!D23</f>
        <v>1,750—1,950</v>
      </c>
      <c r="G21" s="160" t="str">
        <f ca="1">'Propylene EU and US'!F23</f>
        <v>=</v>
      </c>
      <c r="I21" s="79"/>
    </row>
    <row r="22" spans="2:10" ht="15.75" customHeight="1" x14ac:dyDescent="0.25">
      <c r="B22" s="157" t="s">
        <v>1359</v>
      </c>
      <c r="C22" s="142" t="s">
        <v>1358</v>
      </c>
      <c r="D22" s="142" t="s">
        <v>19</v>
      </c>
      <c r="E22" s="159">
        <f ca="1">'Propylene EU and US'!C24</f>
        <v>1406</v>
      </c>
      <c r="F22" s="159">
        <f ca="1">'Propylene EU and US'!D24</f>
        <v>1410</v>
      </c>
      <c r="G22" s="160" t="str">
        <f ca="1">'Propylene EU and US'!F24</f>
        <v>≈</v>
      </c>
      <c r="I22" s="79"/>
    </row>
    <row r="23" spans="2:10" ht="15.75" customHeight="1" x14ac:dyDescent="0.25">
      <c r="B23" s="157" t="s">
        <v>82</v>
      </c>
      <c r="C23" s="142" t="s">
        <v>1358</v>
      </c>
      <c r="D23" s="142" t="s">
        <v>19</v>
      </c>
      <c r="E23" s="159">
        <f ca="1">'Propylene EU and US'!C25</f>
        <v>1373</v>
      </c>
      <c r="F23" s="159">
        <f ca="1">'Propylene EU and US'!D25</f>
        <v>1441</v>
      </c>
      <c r="G23" s="160">
        <f ca="1">'Propylene EU and US'!F25</f>
        <v>-4.7189451769604429E-2</v>
      </c>
      <c r="I23" s="79"/>
    </row>
    <row r="24" spans="2:10" ht="15.75" customHeight="1" x14ac:dyDescent="0.25">
      <c r="B24" s="157" t="s">
        <v>1356</v>
      </c>
      <c r="C24" s="142" t="s">
        <v>21</v>
      </c>
      <c r="D24" s="142" t="s">
        <v>19</v>
      </c>
      <c r="E24" s="159" t="str">
        <f ca="1">'Propylene Asia'!B36</f>
        <v>1,200—1,250</v>
      </c>
      <c r="F24" s="159" t="str">
        <f ca="1">'Propylene Asia'!C36</f>
        <v>1,210—1,280</v>
      </c>
      <c r="G24" s="160">
        <f ca="1">'Propylene Asia'!E36</f>
        <v>-1.6064257028112428E-2</v>
      </c>
      <c r="I24" s="79"/>
    </row>
    <row r="25" spans="2:10" ht="15.75" customHeight="1" x14ac:dyDescent="0.25">
      <c r="B25" s="157" t="s">
        <v>1357</v>
      </c>
      <c r="C25" s="142" t="s">
        <v>21</v>
      </c>
      <c r="D25" s="142" t="s">
        <v>19</v>
      </c>
      <c r="E25" s="159" t="str">
        <f ca="1">'Propylene Asia'!B37</f>
        <v>1,220—1,270</v>
      </c>
      <c r="F25" s="159" t="str">
        <f ca="1">'Propylene Asia'!C37</f>
        <v>1,250—1,300</v>
      </c>
      <c r="G25" s="160">
        <f ca="1">'Propylene Asia'!E37</f>
        <v>-2.352941176470591E-2</v>
      </c>
      <c r="I25" s="79"/>
    </row>
    <row r="26" spans="2:10" ht="15.75" customHeight="1" x14ac:dyDescent="0.25">
      <c r="B26" s="157" t="s">
        <v>523</v>
      </c>
      <c r="C26" s="142" t="s">
        <v>21</v>
      </c>
      <c r="D26" s="142" t="s">
        <v>19</v>
      </c>
      <c r="E26" s="159">
        <f ca="1">'Propylene Asia'!B38</f>
        <v>990</v>
      </c>
      <c r="F26" s="159">
        <f ca="1">'Propylene Asia'!C38</f>
        <v>1000</v>
      </c>
      <c r="G26" s="160">
        <f ca="1">'Propylene Asia'!E38</f>
        <v>-1.0000000000000009E-2</v>
      </c>
      <c r="I26" s="79"/>
    </row>
    <row r="27" spans="2:10" x14ac:dyDescent="0.25">
      <c r="B27" s="157" t="s">
        <v>524</v>
      </c>
      <c r="C27" s="142" t="s">
        <v>21</v>
      </c>
      <c r="D27" s="142" t="s">
        <v>19</v>
      </c>
      <c r="E27" s="159">
        <f ca="1">'Propylene Asia'!B39</f>
        <v>910</v>
      </c>
      <c r="F27" s="159">
        <f ca="1">'Propylene Asia'!C39</f>
        <v>930</v>
      </c>
      <c r="G27" s="160">
        <f ca="1">'Propylene Asia'!E39</f>
        <v>-2.1505376344086002E-2</v>
      </c>
      <c r="I27" s="79"/>
    </row>
    <row r="28" spans="2:10" x14ac:dyDescent="0.25">
      <c r="B28" s="152" t="s">
        <v>1360</v>
      </c>
      <c r="C28" s="81"/>
      <c r="D28" s="81"/>
      <c r="E28" s="81"/>
      <c r="F28" s="81"/>
      <c r="G28" s="81"/>
    </row>
    <row r="29" spans="2:10" x14ac:dyDescent="0.25">
      <c r="B29" s="82" t="s">
        <v>281</v>
      </c>
      <c r="C29" s="81"/>
      <c r="D29" s="81"/>
      <c r="E29" s="81"/>
      <c r="F29" s="81"/>
      <c r="G29" s="81"/>
    </row>
    <row r="30" spans="2:10" x14ac:dyDescent="0.25">
      <c r="B30" s="82" t="s">
        <v>282</v>
      </c>
    </row>
    <row r="31" spans="2:10" x14ac:dyDescent="0.25">
      <c r="B31" s="83" t="s">
        <v>283</v>
      </c>
    </row>
    <row r="32" spans="2:10" x14ac:dyDescent="0.25">
      <c r="B32" s="83" t="s">
        <v>284</v>
      </c>
    </row>
  </sheetData>
  <mergeCells count="2">
    <mergeCell ref="B3:G3"/>
    <mergeCell ref="B6:G6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D18" sqref="D18"/>
    </sheetView>
  </sheetViews>
  <sheetFormatPr defaultRowHeight="15" x14ac:dyDescent="0.25"/>
  <cols>
    <col min="1" max="1" width="17.42578125" customWidth="1"/>
    <col min="2" max="2" width="18.5703125" customWidth="1"/>
    <col min="3" max="3" width="16.28515625" customWidth="1"/>
    <col min="4" max="4" width="12.7109375" customWidth="1"/>
  </cols>
  <sheetData>
    <row r="1" spans="1:9" ht="15" customHeight="1" x14ac:dyDescent="0.25">
      <c r="A1" s="167" t="s">
        <v>677</v>
      </c>
      <c r="B1" s="167"/>
      <c r="C1" s="167"/>
      <c r="D1" s="68"/>
      <c r="F1" s="168" t="s">
        <v>73</v>
      </c>
      <c r="G1" s="168"/>
      <c r="H1" s="168"/>
    </row>
    <row r="2" spans="1:9" ht="16.149999999999999" customHeight="1" x14ac:dyDescent="0.25">
      <c r="A2" s="138" t="s">
        <v>676</v>
      </c>
      <c r="B2" s="139"/>
      <c r="C2" s="138" t="s">
        <v>247</v>
      </c>
      <c r="D2" s="40"/>
      <c r="F2" s="142" t="s">
        <v>75</v>
      </c>
      <c r="G2" s="142" t="s">
        <v>74</v>
      </c>
      <c r="H2" s="137" t="s">
        <v>76</v>
      </c>
      <c r="I2" s="53"/>
    </row>
    <row r="3" spans="1:9" ht="15.75" x14ac:dyDescent="0.25">
      <c r="A3" s="137" t="s">
        <v>1430</v>
      </c>
      <c r="B3" s="137"/>
      <c r="C3" s="137" t="s">
        <v>1429</v>
      </c>
      <c r="D3" s="69"/>
    </row>
    <row r="4" spans="1:9" x14ac:dyDescent="0.25">
      <c r="A4" s="144">
        <f ca="1">'Propylene EU and US'!L18</f>
        <v>1322</v>
      </c>
      <c r="C4" s="50">
        <f ca="1">'Propylene Asia'!K33</f>
        <v>1150</v>
      </c>
      <c r="D4" s="70"/>
    </row>
    <row r="5" spans="1:9" x14ac:dyDescent="0.25">
      <c r="A5" s="144">
        <f ca="1">'Propylene EU and US'!L18-'Propylene EU and US'!Q18</f>
        <v>-98</v>
      </c>
      <c r="C5" s="50">
        <f ca="1">'Propylene Asia'!K33-'Propylene Asia'!P33</f>
        <v>-60</v>
      </c>
      <c r="D5" s="70"/>
      <c r="F5" s="142" t="s">
        <v>1172</v>
      </c>
    </row>
    <row r="6" spans="1:9" ht="15.75" x14ac:dyDescent="0.25">
      <c r="A6" t="s">
        <v>882</v>
      </c>
      <c r="C6" s="11"/>
      <c r="D6" s="11"/>
      <c r="F6" s="137" t="s">
        <v>1171</v>
      </c>
    </row>
    <row r="11" spans="1:9" x14ac:dyDescent="0.25">
      <c r="A11" s="167" t="s">
        <v>706</v>
      </c>
      <c r="B11" s="167"/>
      <c r="C11" s="167"/>
      <c r="D11" s="68"/>
      <c r="F11" s="168" t="s">
        <v>73</v>
      </c>
      <c r="G11" s="168"/>
      <c r="H11" s="168"/>
    </row>
    <row r="12" spans="1:9" ht="15" customHeight="1" x14ac:dyDescent="0.25">
      <c r="A12" s="140" t="s">
        <v>269</v>
      </c>
      <c r="B12" s="141" t="s">
        <v>825</v>
      </c>
      <c r="C12" s="140" t="s">
        <v>263</v>
      </c>
      <c r="D12" s="71"/>
      <c r="F12" s="142" t="s">
        <v>75</v>
      </c>
      <c r="G12" s="142" t="s">
        <v>1240</v>
      </c>
      <c r="H12" s="137" t="s">
        <v>76</v>
      </c>
    </row>
    <row r="13" spans="1:9" ht="15.75" x14ac:dyDescent="0.25">
      <c r="A13" s="143">
        <v>1555</v>
      </c>
      <c r="B13" s="165" t="s">
        <v>1431</v>
      </c>
      <c r="C13" s="143">
        <v>1585</v>
      </c>
      <c r="D13" s="69"/>
    </row>
    <row r="14" spans="1:9" x14ac:dyDescent="0.25">
      <c r="A14" s="50">
        <f ca="1">'Propylene EU and US'!L10</f>
        <v>1555</v>
      </c>
      <c r="B14" s="150">
        <f ca="1">A14-C14</f>
        <v>-30</v>
      </c>
      <c r="C14" s="50">
        <f ca="1">'Propylene EU and US'!Q10</f>
        <v>1585</v>
      </c>
      <c r="D14" s="70"/>
    </row>
    <row r="15" spans="1:9" x14ac:dyDescent="0.25">
      <c r="A15" s="50"/>
      <c r="B15" s="50"/>
      <c r="C15" s="50"/>
      <c r="D15" s="70"/>
    </row>
    <row r="16" spans="1:9" x14ac:dyDescent="0.25">
      <c r="D16" s="11"/>
    </row>
    <row r="18" spans="1:4" x14ac:dyDescent="0.25">
      <c r="A18" s="144">
        <f>'Propylene EU and US'!L32</f>
        <v>0</v>
      </c>
    </row>
    <row r="20" spans="1:4" ht="17.25" customHeight="1" x14ac:dyDescent="0.45">
      <c r="A20">
        <v>988</v>
      </c>
      <c r="D20" s="151"/>
    </row>
    <row r="22" spans="1:4" x14ac:dyDescent="0.25">
      <c r="B22">
        <v>757</v>
      </c>
    </row>
    <row r="24" spans="1:4" x14ac:dyDescent="0.25">
      <c r="A24">
        <v>1537</v>
      </c>
    </row>
    <row r="25" spans="1:4" x14ac:dyDescent="0.25">
      <c r="A25">
        <f>A24-1651</f>
        <v>-114</v>
      </c>
    </row>
    <row r="27" spans="1:4" x14ac:dyDescent="0.25">
      <c r="A27">
        <f>A24-A25</f>
        <v>1651</v>
      </c>
    </row>
  </sheetData>
  <mergeCells count="4">
    <mergeCell ref="F11:H11"/>
    <mergeCell ref="F1:H1"/>
    <mergeCell ref="A11:C11"/>
    <mergeCell ref="A1:C1"/>
  </mergeCells>
  <hyperlinks>
    <hyperlink ref="B12" location="Europe" display="Europe"/>
  </hyperlink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C10" sqref="C10"/>
    </sheetView>
  </sheetViews>
  <sheetFormatPr defaultRowHeight="15" x14ac:dyDescent="0.25"/>
  <cols>
    <col min="1" max="1" width="26.28515625" customWidth="1"/>
    <col min="2" max="2" width="3.42578125" customWidth="1"/>
    <col min="3" max="3" width="13.42578125" customWidth="1"/>
    <col min="4" max="4" width="13.140625" customWidth="1"/>
    <col min="5" max="5" width="2.85546875" customWidth="1"/>
    <col min="6" max="6" width="6.5703125" bestFit="1" customWidth="1"/>
    <col min="8" max="8" width="13" customWidth="1"/>
    <col min="10" max="12" width="9.5703125" bestFit="1" customWidth="1"/>
    <col min="16" max="17" width="9.5703125" bestFit="1" customWidth="1"/>
    <col min="21" max="21" width="13.42578125" bestFit="1" customWidth="1"/>
  </cols>
  <sheetData>
    <row r="1" spans="1:22" ht="15.75" thickBot="1" x14ac:dyDescent="0.3">
      <c r="A1" s="171"/>
      <c r="B1" s="171"/>
      <c r="C1" s="171"/>
      <c r="D1" s="171"/>
      <c r="E1" s="171"/>
      <c r="F1" s="171"/>
      <c r="H1" s="45">
        <v>2026</v>
      </c>
      <c r="I1" s="46">
        <v>2026</v>
      </c>
      <c r="K1" s="47"/>
    </row>
    <row r="2" spans="1:22" x14ac:dyDescent="0.25">
      <c r="A2" s="84"/>
      <c r="B2" s="84"/>
      <c r="C2" s="136" t="s">
        <v>108</v>
      </c>
      <c r="D2" s="166" t="s">
        <v>109</v>
      </c>
      <c r="E2" s="170" t="s">
        <v>2</v>
      </c>
      <c r="F2" s="170"/>
      <c r="U2" s="47" t="str">
        <f>ADDRESS(2,MATCH(H$1,Database!$D$1:$XFD$1,0)+3,4,,"Database")</f>
        <v>Database!JT2</v>
      </c>
      <c r="V2" s="47" t="str">
        <f>ADDRESS(2,MATCH(I$1,Database!$D$1:$XFD$1,0)+3,4,,"Database")</f>
        <v>Database!JT2</v>
      </c>
    </row>
    <row r="3" spans="1:22" x14ac:dyDescent="0.25">
      <c r="A3" s="19"/>
      <c r="B3" s="19"/>
      <c r="C3" s="26"/>
      <c r="D3" s="26"/>
      <c r="E3" s="26"/>
      <c r="F3" s="27"/>
      <c r="U3" s="47" t="str">
        <f>ADDRESS(50,MATCH(H$1,Database!$D$1:$XFD$1,1)+3,4,,"Database")</f>
        <v>Database!KR50</v>
      </c>
      <c r="V3" s="47" t="str">
        <f>ADDRESS(50,MATCH(I$1,Database!$D$1:$XFD$1,1)+3,4,,"Database")</f>
        <v>Database!KR50</v>
      </c>
    </row>
    <row r="4" spans="1:22" x14ac:dyDescent="0.25">
      <c r="A4" s="15"/>
      <c r="B4" s="15"/>
      <c r="C4" s="32"/>
      <c r="D4" s="32"/>
      <c r="E4" s="85"/>
      <c r="F4" s="86"/>
      <c r="J4" s="3"/>
      <c r="K4" s="5"/>
      <c r="O4" s="3"/>
      <c r="P4" s="5"/>
      <c r="S4" s="6"/>
    </row>
    <row r="5" spans="1:22" x14ac:dyDescent="0.25">
      <c r="A5" s="19"/>
      <c r="B5" s="19"/>
      <c r="C5" s="32"/>
      <c r="D5" s="100">
        <f ca="1">HLOOKUP(D9,INDIRECT($V$5):INDIRECT($V$6),2,FALSE)</f>
        <v>1585</v>
      </c>
      <c r="E5" s="87"/>
      <c r="F5" s="27"/>
      <c r="J5" s="3"/>
      <c r="K5" s="5"/>
      <c r="O5" s="3"/>
      <c r="P5" s="5"/>
      <c r="S5" s="6"/>
      <c r="U5" s="47" t="str">
        <f>ADDRESS(2,MATCH($H$1,calc_MCP!$D$1:$XFD$1,0)+3,4,,"calc_MCP")</f>
        <v>calc_MCP!JA2</v>
      </c>
      <c r="V5" s="47" t="str">
        <f>ADDRESS(2,MATCH(I$1,calc_MCP!$D$1:$XFD$1,0)+3,4,,"calc_MCP")</f>
        <v>calc_MCP!JA2</v>
      </c>
    </row>
    <row r="6" spans="1:22" x14ac:dyDescent="0.25">
      <c r="A6" s="15"/>
      <c r="B6" s="15"/>
      <c r="C6" s="32"/>
      <c r="D6" s="32"/>
      <c r="E6" s="85"/>
      <c r="F6" s="86"/>
      <c r="J6" s="3"/>
      <c r="K6" s="5"/>
      <c r="O6" s="3"/>
      <c r="P6" s="5"/>
      <c r="S6" s="6"/>
      <c r="U6" s="47" t="str">
        <f>ADDRESS(10,MATCH(H$1,calc_MCP!$D$1:$XFD$1,1)+3,4,,"calc_MCP")</f>
        <v>calc_MCP!XEK10</v>
      </c>
      <c r="V6" s="47" t="str">
        <f>ADDRESS(10,MATCH(I$1,calc_MCP!$D$1:$XFD$1,1)+3,4,,"calc_MCP")</f>
        <v>calc_MCP!XEK10</v>
      </c>
    </row>
    <row r="7" spans="1:22" x14ac:dyDescent="0.25">
      <c r="J7" s="3"/>
      <c r="K7" s="5"/>
      <c r="O7" s="3"/>
      <c r="P7" s="5"/>
      <c r="S7" s="6"/>
    </row>
    <row r="8" spans="1:22" x14ac:dyDescent="0.25">
      <c r="A8" s="174" t="s">
        <v>34</v>
      </c>
      <c r="B8" s="174"/>
      <c r="C8" s="174"/>
      <c r="D8" s="174"/>
      <c r="E8" s="174"/>
      <c r="F8" s="174"/>
      <c r="G8" s="18"/>
      <c r="H8" s="18"/>
      <c r="J8" s="3"/>
      <c r="K8" s="5"/>
      <c r="O8" s="3"/>
      <c r="P8" s="5"/>
      <c r="S8" s="6"/>
    </row>
    <row r="9" spans="1:22" x14ac:dyDescent="0.25">
      <c r="A9" s="84"/>
      <c r="B9" s="84"/>
      <c r="C9" s="97" t="s">
        <v>264</v>
      </c>
      <c r="D9" s="97" t="s">
        <v>263</v>
      </c>
      <c r="E9" s="98"/>
      <c r="F9" s="98" t="s">
        <v>2</v>
      </c>
      <c r="G9" s="19"/>
      <c r="H9" s="19"/>
      <c r="J9" s="3"/>
      <c r="K9" s="5"/>
      <c r="O9" s="3"/>
      <c r="P9" s="5"/>
      <c r="S9" s="6"/>
    </row>
    <row r="10" spans="1:22" x14ac:dyDescent="0.25">
      <c r="A10" s="99" t="s">
        <v>357</v>
      </c>
      <c r="B10" s="99" t="s">
        <v>43</v>
      </c>
      <c r="C10" s="100">
        <f ca="1">HLOOKUP(C9,INDIRECT($U$5):INDIRECT($U$6),2,FALSE)</f>
        <v>1555</v>
      </c>
      <c r="D10" s="100">
        <f ca="1">HLOOKUP(D9,INDIRECT($V$5):INDIRECT($V$6),2,FALSE)</f>
        <v>1585</v>
      </c>
      <c r="E10" s="101" t="str">
        <f ca="1">IF(OR(F10="=",F10="≈",F10="—"),"",IF(F10&gt;0,"",IF(F10&lt;0,"","")))</f>
        <v></v>
      </c>
      <c r="F10" s="102">
        <f ca="1">S10</f>
        <v>-1.8927444794952675E-2</v>
      </c>
      <c r="G10" s="20"/>
      <c r="H10" s="20"/>
      <c r="I10">
        <f t="shared" ref="I10:I23" ca="1" si="0">IFERROR(FIND("—",SUBSTITUTE(C10,"*","")),0)</f>
        <v>0</v>
      </c>
      <c r="J10" s="3">
        <f t="shared" ref="J10:J23" ca="1" si="1">IF(I10=0,VALUE(SUBSTITUTE(C10,"*","")),VALUE(LEFT(SUBSTITUTE(C10,"*",""),I10-1)))</f>
        <v>1555</v>
      </c>
      <c r="K10" s="5">
        <f t="shared" ref="K10:K23" ca="1" si="2">IF(I10=0,VALUE(SUBSTITUTE(C10,"*","")),VALUE(RIGHT(SUBSTITUTE(C10,"*",""),LEN(SUBSTITUTE(C10,"*",""))-I10)))</f>
        <v>1555</v>
      </c>
      <c r="L10">
        <f t="shared" ref="L10:L23" ca="1" si="3">AVERAGE(J10:K10)</f>
        <v>1555</v>
      </c>
      <c r="N10">
        <f t="shared" ref="N10:N23" ca="1" si="4">IFERROR(FIND("—",SUBSTITUTE(D10,"*","")),0)</f>
        <v>0</v>
      </c>
      <c r="O10" s="3">
        <f t="shared" ref="O10:O23" ca="1" si="5">IF(N10=0,VALUE(SUBSTITUTE(D10,"*","")),VALUE(LEFT(SUBSTITUTE(D10,"*",""),N10-1)))</f>
        <v>1585</v>
      </c>
      <c r="P10" s="5">
        <f t="shared" ref="P10:P23" ca="1" si="6">IF(N10=0,VALUE(SUBSTITUTE(D10,"*","")),VALUE(RIGHT(SUBSTITUTE(D10,"*",""),LEN(SUBSTITUTE(D10,"*",""))-N10)))</f>
        <v>1585</v>
      </c>
      <c r="Q10">
        <f t="shared" ref="Q10:Q23" ca="1" si="7">AVERAGE(O10:P10)</f>
        <v>1585</v>
      </c>
      <c r="S10" s="6">
        <f t="shared" ref="S10:S25" ca="1" si="8">IFERROR(IF(L10/Q10-1=0,"=",IF(OR(AND(L10/Q10-1&lt;0.005,L10/Q10-1&gt;0), AND(L10/Q10-1&lt;0,L10/Q10-1&gt;-0.005)),"≈",L10/Q10-1)),"—")</f>
        <v>-1.8927444794952675E-2</v>
      </c>
    </row>
    <row r="11" spans="1:22" x14ac:dyDescent="0.25">
      <c r="A11" s="175" t="s">
        <v>18</v>
      </c>
      <c r="B11" s="175"/>
      <c r="C11" s="175"/>
      <c r="D11" s="175"/>
      <c r="E11" s="175"/>
      <c r="F11" s="175"/>
      <c r="G11" s="18"/>
      <c r="H11" s="18"/>
      <c r="J11" s="3"/>
      <c r="K11" s="5"/>
      <c r="O11" s="3"/>
      <c r="P11" s="5"/>
      <c r="S11" s="6"/>
    </row>
    <row r="12" spans="1:22" x14ac:dyDescent="0.25">
      <c r="A12" s="103"/>
      <c r="B12" s="103"/>
      <c r="C12" s="104" t="str">
        <f>OLE_LINK1</f>
        <v>June 4</v>
      </c>
      <c r="D12" s="149" t="str">
        <f>OLE_LINK2</f>
        <v>May 28</v>
      </c>
      <c r="E12" s="105"/>
      <c r="F12" s="105" t="s">
        <v>2</v>
      </c>
      <c r="G12" s="19"/>
      <c r="H12" s="19"/>
      <c r="J12" s="3"/>
      <c r="K12" s="5"/>
      <c r="O12" s="3"/>
      <c r="P12" s="5"/>
      <c r="S12" s="6"/>
    </row>
    <row r="13" spans="1:22" x14ac:dyDescent="0.25">
      <c r="A13" s="105" t="s">
        <v>5</v>
      </c>
      <c r="B13" s="105"/>
      <c r="C13" s="106"/>
      <c r="D13" s="107"/>
      <c r="E13" s="106"/>
      <c r="F13" s="106"/>
      <c r="G13" s="15"/>
      <c r="H13" s="21"/>
      <c r="J13" s="3"/>
      <c r="K13" s="5"/>
      <c r="O13" s="3"/>
      <c r="P13" s="5"/>
      <c r="S13" s="6"/>
    </row>
    <row r="14" spans="1:22" x14ac:dyDescent="0.25">
      <c r="A14" s="99" t="s">
        <v>88</v>
      </c>
      <c r="B14" s="99" t="s">
        <v>19</v>
      </c>
      <c r="C14" s="100">
        <f ca="1">HLOOKUP(OLE_LINK1,INDIRECT($U$2):INDIRECT($U$3),11,FALSE)</f>
        <v>618</v>
      </c>
      <c r="D14" s="100">
        <f ca="1">HLOOKUP(OLE_LINK2,INDIRECT($V$2):INDIRECT($V$3),11,FALSE)</f>
        <v>585</v>
      </c>
      <c r="E14" s="101" t="str">
        <f ca="1">IF(OR(F14="=",F14="≈",F14="—"),"",IF(F14&gt;0,"",IF(F14&lt;0,"","")))</f>
        <v></v>
      </c>
      <c r="F14" s="102">
        <f ca="1">S14</f>
        <v>5.6410256410256432E-2</v>
      </c>
      <c r="G14" s="15"/>
      <c r="H14" s="72"/>
      <c r="I14">
        <f t="shared" ca="1" si="0"/>
        <v>0</v>
      </c>
      <c r="J14" s="3">
        <f t="shared" ca="1" si="1"/>
        <v>618</v>
      </c>
      <c r="K14" s="5">
        <f t="shared" ca="1" si="2"/>
        <v>618</v>
      </c>
      <c r="L14">
        <f t="shared" ca="1" si="3"/>
        <v>618</v>
      </c>
      <c r="N14">
        <f t="shared" ca="1" si="4"/>
        <v>0</v>
      </c>
      <c r="O14" s="3">
        <f t="shared" ca="1" si="5"/>
        <v>585</v>
      </c>
      <c r="P14" s="5">
        <f t="shared" ca="1" si="6"/>
        <v>585</v>
      </c>
      <c r="Q14">
        <f t="shared" ca="1" si="7"/>
        <v>585</v>
      </c>
      <c r="S14" s="6">
        <f t="shared" ca="1" si="8"/>
        <v>5.6410256410256432E-2</v>
      </c>
    </row>
    <row r="15" spans="1:22" x14ac:dyDescent="0.25">
      <c r="A15" s="99" t="s">
        <v>89</v>
      </c>
      <c r="B15" s="99" t="s">
        <v>19</v>
      </c>
      <c r="C15" s="100">
        <f ca="1">HLOOKUP(OLE_LINK1,INDIRECT($U$2):INDIRECT($U$3),12,FALSE)</f>
        <v>655</v>
      </c>
      <c r="D15" s="100">
        <f ca="1">HLOOKUP(OLE_LINK2,INDIRECT($V$2):INDIRECT($V$3),12,FALSE)</f>
        <v>658</v>
      </c>
      <c r="E15" s="101" t="str">
        <f ca="1">IF(OR(F15="=",F15="≈",F15="—"),"",IF(F15&gt;0,"",IF(F15&lt;0,"","")))</f>
        <v/>
      </c>
      <c r="F15" s="102" t="str">
        <f ca="1">S15</f>
        <v>≈</v>
      </c>
      <c r="G15" s="15"/>
      <c r="H15" s="22"/>
      <c r="I15">
        <f t="shared" ca="1" si="0"/>
        <v>0</v>
      </c>
      <c r="J15" s="3">
        <f t="shared" ca="1" si="1"/>
        <v>655</v>
      </c>
      <c r="K15" s="5">
        <f t="shared" ca="1" si="2"/>
        <v>655</v>
      </c>
      <c r="L15">
        <f t="shared" ca="1" si="3"/>
        <v>655</v>
      </c>
      <c r="N15">
        <f t="shared" ca="1" si="4"/>
        <v>0</v>
      </c>
      <c r="O15" s="3">
        <f t="shared" ca="1" si="5"/>
        <v>658</v>
      </c>
      <c r="P15" s="5">
        <f t="shared" ca="1" si="6"/>
        <v>658</v>
      </c>
      <c r="Q15">
        <f t="shared" ca="1" si="7"/>
        <v>658</v>
      </c>
      <c r="S15" s="6" t="str">
        <f t="shared" ca="1" si="8"/>
        <v>≈</v>
      </c>
    </row>
    <row r="16" spans="1:22" x14ac:dyDescent="0.25">
      <c r="A16" s="99" t="s">
        <v>87</v>
      </c>
      <c r="B16" s="99" t="s">
        <v>19</v>
      </c>
      <c r="C16" s="100">
        <f ca="1">HLOOKUP(OLE_LINK1,INDIRECT($U$2):INDIRECT($U$3),7,FALSE)</f>
        <v>750</v>
      </c>
      <c r="D16" s="100">
        <f ca="1">HLOOKUP(OLE_LINK2,INDIRECT($V$2):INDIRECT($V$3),7,FALSE)</f>
        <v>751.75</v>
      </c>
      <c r="E16" s="101" t="str">
        <f ca="1">IF(OR(F16="=",F16="≈",F16="—"),"",IF(F16&gt;0,"",IF(F16&lt;0,"","")))</f>
        <v/>
      </c>
      <c r="F16" s="102" t="str">
        <f ca="1">S16</f>
        <v>≈</v>
      </c>
      <c r="G16" s="15"/>
      <c r="H16" s="22"/>
      <c r="I16">
        <f t="shared" ca="1" si="0"/>
        <v>0</v>
      </c>
      <c r="J16" s="3">
        <f t="shared" ca="1" si="1"/>
        <v>750</v>
      </c>
      <c r="K16" s="5">
        <f t="shared" ca="1" si="2"/>
        <v>750</v>
      </c>
      <c r="L16">
        <f t="shared" ca="1" si="3"/>
        <v>750</v>
      </c>
      <c r="N16">
        <f t="shared" ca="1" si="4"/>
        <v>0</v>
      </c>
      <c r="O16" s="3">
        <f t="shared" ca="1" si="5"/>
        <v>751.75</v>
      </c>
      <c r="P16" s="5">
        <f t="shared" ca="1" si="6"/>
        <v>751.75</v>
      </c>
      <c r="Q16">
        <f t="shared" ca="1" si="7"/>
        <v>751.75</v>
      </c>
      <c r="S16" s="6" t="str">
        <f t="shared" ca="1" si="8"/>
        <v>≈</v>
      </c>
    </row>
    <row r="17" spans="1:19" x14ac:dyDescent="0.25">
      <c r="A17" s="105" t="s">
        <v>426</v>
      </c>
      <c r="B17" s="105"/>
      <c r="C17" s="108"/>
      <c r="D17" s="108"/>
      <c r="E17" s="106"/>
      <c r="F17" s="109"/>
      <c r="G17" s="15"/>
      <c r="H17" s="23"/>
      <c r="J17" s="3"/>
      <c r="K17" s="5"/>
      <c r="O17" s="3"/>
      <c r="P17" s="5"/>
      <c r="S17" s="6"/>
    </row>
    <row r="18" spans="1:19" x14ac:dyDescent="0.25">
      <c r="A18" s="99" t="s">
        <v>392</v>
      </c>
      <c r="B18" s="99" t="s">
        <v>43</v>
      </c>
      <c r="C18" s="100">
        <f ca="1">HLOOKUP(OLE_LINK1,INDIRECT($U$2):INDIRECT($U$3),6,FALSE)</f>
        <v>1322</v>
      </c>
      <c r="D18" s="100">
        <f ca="1">HLOOKUP(OLE_LINK2,INDIRECT($V$2):INDIRECT($V$3),6,FALSE)</f>
        <v>1420</v>
      </c>
      <c r="E18" s="101" t="str">
        <f ca="1">IF(OR(F18="=",F18="≈",F18="—"),"",IF(F18&gt;0,"",IF(F18&lt;0,"","")))</f>
        <v></v>
      </c>
      <c r="F18" s="102">
        <f ca="1">S18</f>
        <v>-6.9014084507042273E-2</v>
      </c>
      <c r="G18" s="24"/>
      <c r="H18" s="22"/>
      <c r="I18">
        <f t="shared" ca="1" si="0"/>
        <v>0</v>
      </c>
      <c r="J18" s="3">
        <f t="shared" ca="1" si="1"/>
        <v>1322</v>
      </c>
      <c r="K18" s="5">
        <f t="shared" ca="1" si="2"/>
        <v>1322</v>
      </c>
      <c r="L18">
        <f t="shared" ca="1" si="3"/>
        <v>1322</v>
      </c>
      <c r="N18">
        <f t="shared" ca="1" si="4"/>
        <v>0</v>
      </c>
      <c r="O18" s="3">
        <f t="shared" ca="1" si="5"/>
        <v>1420</v>
      </c>
      <c r="P18" s="5">
        <f t="shared" ca="1" si="6"/>
        <v>1420</v>
      </c>
      <c r="Q18">
        <f t="shared" ca="1" si="7"/>
        <v>1420</v>
      </c>
      <c r="S18" s="6">
        <f t="shared" ca="1" si="8"/>
        <v>-6.9014084507042273E-2</v>
      </c>
    </row>
    <row r="19" spans="1:19" x14ac:dyDescent="0.25">
      <c r="A19" s="99" t="s">
        <v>393</v>
      </c>
      <c r="B19" s="99" t="s">
        <v>43</v>
      </c>
      <c r="C19" s="100">
        <f ca="1">HLOOKUP(OLE_LINK1,INDIRECT($U$2):INDIRECT($U$3),5,FALSE)</f>
        <v>1283</v>
      </c>
      <c r="D19" s="100">
        <f ca="1">HLOOKUP(OLE_LINK2,INDIRECT($V$2):INDIRECT($V$3),5,FALSE)</f>
        <v>1347</v>
      </c>
      <c r="E19" s="101" t="str">
        <f ca="1">IF(OR(F19="=",F19="≈",F19="—"),"",IF(F19&gt;0,"",IF(F19&lt;0,"","")))</f>
        <v></v>
      </c>
      <c r="F19" s="102">
        <f ca="1">S19</f>
        <v>-4.7512991833704499E-2</v>
      </c>
      <c r="G19" s="24"/>
      <c r="H19" s="22"/>
      <c r="I19">
        <f t="shared" ca="1" si="0"/>
        <v>0</v>
      </c>
      <c r="J19" s="3">
        <f t="shared" ca="1" si="1"/>
        <v>1283</v>
      </c>
      <c r="K19" s="5">
        <f t="shared" ca="1" si="2"/>
        <v>1283</v>
      </c>
      <c r="L19">
        <f t="shared" ca="1" si="3"/>
        <v>1283</v>
      </c>
      <c r="N19">
        <f t="shared" ca="1" si="4"/>
        <v>0</v>
      </c>
      <c r="O19" s="3">
        <f t="shared" ca="1" si="5"/>
        <v>1347</v>
      </c>
      <c r="P19" s="5">
        <f t="shared" ca="1" si="6"/>
        <v>1347</v>
      </c>
      <c r="Q19">
        <f t="shared" ca="1" si="7"/>
        <v>1347</v>
      </c>
      <c r="S19" s="6">
        <f t="shared" ca="1" si="8"/>
        <v>-4.7512991833704499E-2</v>
      </c>
    </row>
    <row r="20" spans="1:19" x14ac:dyDescent="0.25">
      <c r="A20" s="99" t="s">
        <v>394</v>
      </c>
      <c r="B20" s="99" t="s">
        <v>43</v>
      </c>
      <c r="C20" s="100">
        <f ca="1">HLOOKUP(OLE_LINK1,INDIRECT($U$2):INDIRECT($U$3),9,FALSE)</f>
        <v>1322</v>
      </c>
      <c r="D20" s="100">
        <f ca="1">HLOOKUP(OLE_LINK2,INDIRECT($V$2):INDIRECT($V$3),9,FALSE)</f>
        <v>1427</v>
      </c>
      <c r="E20" s="101" t="str">
        <f ca="1">IF(OR(F20="=",F20="≈",F20="—"),"",IF(F20&gt;0,"",IF(F20&lt;0,"","")))</f>
        <v></v>
      </c>
      <c r="F20" s="102">
        <f ca="1">S20</f>
        <v>-7.3580939032936277E-2</v>
      </c>
      <c r="G20" s="24"/>
      <c r="H20" s="22"/>
      <c r="I20">
        <f t="shared" ca="1" si="0"/>
        <v>0</v>
      </c>
      <c r="J20" s="3">
        <f t="shared" ref="J20" ca="1" si="9">IF(I20=0,VALUE(SUBSTITUTE(C20,"*","")),VALUE(LEFT(SUBSTITUTE(C20,"*",""),I20-1)))</f>
        <v>1322</v>
      </c>
      <c r="K20" s="5">
        <f t="shared" ref="K20" ca="1" si="10">IF(I20=0,VALUE(SUBSTITUTE(C20,"*","")),VALUE(RIGHT(SUBSTITUTE(C20,"*",""),LEN(SUBSTITUTE(C20,"*",""))-I20)))</f>
        <v>1322</v>
      </c>
      <c r="L20">
        <f t="shared" ref="L20" ca="1" si="11">AVERAGE(J20:K20)</f>
        <v>1322</v>
      </c>
      <c r="N20">
        <f t="shared" ref="N20" ca="1" si="12">IFERROR(FIND("—",SUBSTITUTE(D20,"*","")),0)</f>
        <v>0</v>
      </c>
      <c r="O20" s="3">
        <f t="shared" ref="O20" ca="1" si="13">IF(N20=0,VALUE(SUBSTITUTE(D20,"*","")),VALUE(LEFT(SUBSTITUTE(D20,"*",""),N20-1)))</f>
        <v>1427</v>
      </c>
      <c r="P20" s="5">
        <f t="shared" ref="P20" ca="1" si="14">IF(N20=0,VALUE(SUBSTITUTE(D20,"*","")),VALUE(RIGHT(SUBSTITUTE(D20,"*",""),LEN(SUBSTITUTE(D20,"*",""))-N20)))</f>
        <v>1427</v>
      </c>
      <c r="Q20">
        <f t="shared" ref="Q20" ca="1" si="15">AVERAGE(O20:P20)</f>
        <v>1427</v>
      </c>
      <c r="S20" s="6">
        <f t="shared" ca="1" si="8"/>
        <v>-7.3580939032936277E-2</v>
      </c>
    </row>
    <row r="21" spans="1:19" x14ac:dyDescent="0.25">
      <c r="A21" s="105" t="s">
        <v>4</v>
      </c>
      <c r="B21" s="105"/>
      <c r="C21" s="108"/>
      <c r="D21" s="108"/>
      <c r="E21" s="106"/>
      <c r="F21" s="109"/>
      <c r="G21" s="15"/>
      <c r="H21" s="23"/>
      <c r="J21" s="3"/>
      <c r="K21" s="5"/>
      <c r="O21" s="3"/>
      <c r="P21" s="5"/>
      <c r="S21" s="6"/>
    </row>
    <row r="22" spans="1:19" x14ac:dyDescent="0.25">
      <c r="A22" s="99" t="s">
        <v>389</v>
      </c>
      <c r="B22" s="99" t="s">
        <v>43</v>
      </c>
      <c r="C22" s="100" t="str">
        <f ca="1">HLOOKUP(OLE_LINK1,INDIRECT($U$2):INDIRECT($U$3),13,FALSE)</f>
        <v>1,650—1,900</v>
      </c>
      <c r="D22" s="100" t="str">
        <f ca="1">HLOOKUP(OLE_LINK2,INDIRECT($V$2):INDIRECT($V$3),13,FALSE)</f>
        <v>1,650—1,900</v>
      </c>
      <c r="E22" s="101" t="str">
        <f ca="1">IF(OR(F22="=",F22="≈",F22="—"),"",IF(F22&gt;0,"",IF(F22&lt;0,"","")))</f>
        <v/>
      </c>
      <c r="F22" s="102" t="str">
        <f ca="1">S22</f>
        <v>=</v>
      </c>
      <c r="G22" s="15"/>
      <c r="H22" s="25"/>
      <c r="I22">
        <f t="shared" ca="1" si="0"/>
        <v>6</v>
      </c>
      <c r="J22" s="3">
        <f t="shared" ca="1" si="1"/>
        <v>1650</v>
      </c>
      <c r="K22" s="5">
        <f t="shared" ca="1" si="2"/>
        <v>1900</v>
      </c>
      <c r="L22">
        <f t="shared" ca="1" si="3"/>
        <v>1775</v>
      </c>
      <c r="N22">
        <f t="shared" ca="1" si="4"/>
        <v>6</v>
      </c>
      <c r="O22" s="3">
        <f t="shared" ca="1" si="5"/>
        <v>1650</v>
      </c>
      <c r="P22" s="5">
        <f t="shared" ca="1" si="6"/>
        <v>1900</v>
      </c>
      <c r="Q22">
        <f t="shared" ca="1" si="7"/>
        <v>1775</v>
      </c>
      <c r="S22" s="6" t="str">
        <f t="shared" ca="1" si="8"/>
        <v>=</v>
      </c>
    </row>
    <row r="23" spans="1:19" x14ac:dyDescent="0.25">
      <c r="A23" s="99" t="s">
        <v>395</v>
      </c>
      <c r="B23" s="99" t="s">
        <v>43</v>
      </c>
      <c r="C23" s="100" t="str">
        <f ca="1">HLOOKUP(OLE_LINK1,INDIRECT($U$2):INDIRECT($U$3),14,FALSE)</f>
        <v>1,750—1,950</v>
      </c>
      <c r="D23" s="100" t="str">
        <f ca="1">HLOOKUP(OLE_LINK2,INDIRECT($V$2):INDIRECT($V$3),14,FALSE)</f>
        <v>1,750—1,950</v>
      </c>
      <c r="E23" s="101" t="str">
        <f ca="1">IF(OR(F23="=",F23="≈",F23="—"),"",IF(F23&gt;0,"",IF(F23&lt;0,"","")))</f>
        <v/>
      </c>
      <c r="F23" s="102" t="str">
        <f ca="1">S23</f>
        <v>=</v>
      </c>
      <c r="G23" s="15"/>
      <c r="H23" s="20"/>
      <c r="I23">
        <f t="shared" ca="1" si="0"/>
        <v>6</v>
      </c>
      <c r="J23" s="3">
        <f t="shared" ca="1" si="1"/>
        <v>1750</v>
      </c>
      <c r="K23" s="5">
        <f t="shared" ca="1" si="2"/>
        <v>1950</v>
      </c>
      <c r="L23">
        <f t="shared" ca="1" si="3"/>
        <v>1850</v>
      </c>
      <c r="N23">
        <f t="shared" ca="1" si="4"/>
        <v>6</v>
      </c>
      <c r="O23" s="3">
        <f t="shared" ca="1" si="5"/>
        <v>1750</v>
      </c>
      <c r="P23" s="5">
        <f t="shared" ca="1" si="6"/>
        <v>1950</v>
      </c>
      <c r="Q23">
        <f t="shared" ca="1" si="7"/>
        <v>1850</v>
      </c>
      <c r="S23" s="6" t="str">
        <f t="shared" ca="1" si="8"/>
        <v>=</v>
      </c>
    </row>
    <row r="24" spans="1:19" x14ac:dyDescent="0.25">
      <c r="A24" s="99" t="s">
        <v>38</v>
      </c>
      <c r="B24" s="99" t="s">
        <v>19</v>
      </c>
      <c r="C24" s="100">
        <f ca="1">HLOOKUP(OLE_LINK1,INDIRECT($U$2):INDIRECT($U$3),10,FALSE)</f>
        <v>1406</v>
      </c>
      <c r="D24" s="100">
        <f ca="1">HLOOKUP(OLE_LINK2,INDIRECT($V$2):INDIRECT($V$3),10,FALSE)</f>
        <v>1410</v>
      </c>
      <c r="E24" s="101" t="str">
        <f ca="1">IF(OR(F24="=",F24="≈",F24="—"),"",IF(F24&gt;0,"",IF(F24&lt;0,"","")))</f>
        <v/>
      </c>
      <c r="F24" s="102" t="str">
        <f ca="1">S24</f>
        <v>≈</v>
      </c>
      <c r="G24" s="15"/>
      <c r="H24" s="20"/>
      <c r="I24">
        <f t="shared" ref="I24:I25" ca="1" si="16">IFERROR(FIND("—",SUBSTITUTE(C24,"*","")),0)</f>
        <v>0</v>
      </c>
      <c r="J24" s="3">
        <f t="shared" ref="J24:J25" ca="1" si="17">IF(I24=0,VALUE(SUBSTITUTE(C24,"*","")),VALUE(LEFT(SUBSTITUTE(C24,"*",""),I24-1)))</f>
        <v>1406</v>
      </c>
      <c r="K24" s="5">
        <f t="shared" ref="K24:K25" ca="1" si="18">IF(I24=0,VALUE(SUBSTITUTE(C24,"*","")),VALUE(RIGHT(SUBSTITUTE(C24,"*",""),LEN(SUBSTITUTE(C24,"*",""))-I24)))</f>
        <v>1406</v>
      </c>
      <c r="L24">
        <f t="shared" ref="L24:L25" ca="1" si="19">AVERAGE(J24:K24)</f>
        <v>1406</v>
      </c>
      <c r="N24">
        <f t="shared" ref="N24:N25" ca="1" si="20">IFERROR(FIND("—",SUBSTITUTE(D24,"*","")),0)</f>
        <v>0</v>
      </c>
      <c r="O24" s="3">
        <f t="shared" ref="O24:O25" ca="1" si="21">IF(N24=0,VALUE(SUBSTITUTE(D24,"*","")),VALUE(LEFT(SUBSTITUTE(D24,"*",""),N24-1)))</f>
        <v>1410</v>
      </c>
      <c r="P24" s="5">
        <f t="shared" ref="P24:P25" ca="1" si="22">IF(N24=0,VALUE(SUBSTITUTE(D24,"*","")),VALUE(RIGHT(SUBSTITUTE(D24,"*",""),LEN(SUBSTITUTE(D24,"*",""))-N24)))</f>
        <v>1410</v>
      </c>
      <c r="Q24">
        <f t="shared" ref="Q24:Q25" ca="1" si="23">AVERAGE(O24:P24)</f>
        <v>1410</v>
      </c>
      <c r="S24" s="6" t="str">
        <f t="shared" ca="1" si="8"/>
        <v>≈</v>
      </c>
    </row>
    <row r="25" spans="1:19" x14ac:dyDescent="0.25">
      <c r="A25" s="99" t="s">
        <v>39</v>
      </c>
      <c r="B25" s="99" t="s">
        <v>19</v>
      </c>
      <c r="C25" s="100">
        <f ca="1">HLOOKUP(OLE_LINK1,INDIRECT($U$2):INDIRECT($U$3),15,FALSE)</f>
        <v>1373</v>
      </c>
      <c r="D25" s="100">
        <f ca="1">HLOOKUP(OLE_LINK2,INDIRECT($V$2):INDIRECT($V$3),15,FALSE)</f>
        <v>1441</v>
      </c>
      <c r="E25" s="101" t="str">
        <f ca="1">IF(OR(F25="=",F25="≈",F25="—"),"",IF(F25&gt;0,"",IF(F25&lt;0,"","")))</f>
        <v></v>
      </c>
      <c r="F25" s="102">
        <f ca="1">S25</f>
        <v>-4.7189451769604429E-2</v>
      </c>
      <c r="G25" s="15"/>
      <c r="H25" s="20"/>
      <c r="I25">
        <f t="shared" ca="1" si="16"/>
        <v>0</v>
      </c>
      <c r="J25" s="3">
        <f t="shared" ca="1" si="17"/>
        <v>1373</v>
      </c>
      <c r="K25" s="5">
        <f t="shared" ca="1" si="18"/>
        <v>1373</v>
      </c>
      <c r="L25">
        <f t="shared" ca="1" si="19"/>
        <v>1373</v>
      </c>
      <c r="N25">
        <f t="shared" ca="1" si="20"/>
        <v>0</v>
      </c>
      <c r="O25" s="3">
        <f t="shared" ca="1" si="21"/>
        <v>1441</v>
      </c>
      <c r="P25" s="5">
        <f t="shared" ca="1" si="22"/>
        <v>1441</v>
      </c>
      <c r="Q25">
        <f t="shared" ca="1" si="23"/>
        <v>1441</v>
      </c>
      <c r="S25" s="6">
        <f t="shared" ca="1" si="8"/>
        <v>-4.7189451769604429E-2</v>
      </c>
    </row>
    <row r="26" spans="1:19" x14ac:dyDescent="0.25">
      <c r="G26" s="11"/>
      <c r="H26" s="11"/>
      <c r="J26" s="3"/>
      <c r="K26" s="5"/>
      <c r="O26" s="3"/>
      <c r="P26" s="5"/>
      <c r="S26" s="6"/>
    </row>
    <row r="27" spans="1:19" x14ac:dyDescent="0.25">
      <c r="J27" s="3"/>
      <c r="K27" s="5"/>
      <c r="O27" s="3"/>
      <c r="P27" s="5"/>
      <c r="S27" s="6"/>
    </row>
    <row r="28" spans="1:19" x14ac:dyDescent="0.25">
      <c r="A28" s="173" t="s">
        <v>257</v>
      </c>
      <c r="B28" s="173"/>
      <c r="C28" s="173"/>
      <c r="D28" s="173"/>
      <c r="E28" s="173"/>
      <c r="F28" s="173"/>
      <c r="J28" s="3"/>
      <c r="K28" s="5"/>
      <c r="O28" s="3"/>
      <c r="P28" s="5"/>
      <c r="S28" s="6"/>
    </row>
    <row r="29" spans="1:19" ht="15.75" thickBot="1" x14ac:dyDescent="0.3">
      <c r="A29" s="33"/>
      <c r="B29" s="33"/>
      <c r="C29" s="63" t="s">
        <v>266</v>
      </c>
      <c r="D29" s="90" t="s">
        <v>265</v>
      </c>
      <c r="E29" s="172" t="s">
        <v>2</v>
      </c>
      <c r="F29" s="172"/>
      <c r="J29" s="3"/>
      <c r="K29" s="5"/>
      <c r="O29" s="3"/>
      <c r="P29" s="5"/>
      <c r="S29" s="6"/>
    </row>
    <row r="30" spans="1:19" ht="15.75" thickBot="1" x14ac:dyDescent="0.3">
      <c r="A30" s="1" t="s">
        <v>258</v>
      </c>
      <c r="B30" s="2" t="s">
        <v>36</v>
      </c>
      <c r="C30" s="48" t="e">
        <f ca="1">HLOOKUP(C29,INDIRECT($U$5):INDIRECT($U$6),3,FALSE)</f>
        <v>#N/A</v>
      </c>
      <c r="D30" s="48" t="e">
        <f ca="1">HLOOKUP(D29,INDIRECT($V$5):INDIRECT($V$6),3,FALSE)</f>
        <v>#N/A</v>
      </c>
      <c r="E30" s="16" t="str">
        <f ca="1">IF(OR(F30="=",F30="≈",F30="—"),"",IF(F30&gt;0,"",IF(F30&lt;0,"","")))</f>
        <v/>
      </c>
      <c r="F30" s="7" t="str">
        <f ca="1">S30</f>
        <v>—</v>
      </c>
      <c r="I30">
        <f ca="1">IFERROR(FIND("—",SUBSTITUTE(C30,"*","")),0)</f>
        <v>0</v>
      </c>
      <c r="J30" s="3" t="e">
        <f ca="1">IF(I30=0,VALUE(SUBSTITUTE(C30,"*","")),VALUE(LEFT(SUBSTITUTE(C30,"*",""),I30-1)))</f>
        <v>#N/A</v>
      </c>
      <c r="K30" s="5" t="e">
        <f ca="1">IF(I30=0,VALUE(SUBSTITUTE(C30,"*","")),VALUE(RIGHT(SUBSTITUTE(C30,"*",""),LEN(SUBSTITUTE(C30,"*",""))-I30)))</f>
        <v>#N/A</v>
      </c>
      <c r="L30" t="e">
        <f ca="1">AVERAGE(J30:K30)</f>
        <v>#N/A</v>
      </c>
      <c r="N30">
        <f ca="1">IFERROR(FIND("—",SUBSTITUTE(D30,"*","")),0)</f>
        <v>0</v>
      </c>
      <c r="O30" s="3" t="e">
        <f ca="1">IF(N30=0,VALUE(SUBSTITUTE(D30,"*","")),VALUE(LEFT(SUBSTITUTE(D30,"*",""),N30-1)))</f>
        <v>#N/A</v>
      </c>
      <c r="P30" s="5" t="e">
        <f ca="1">IF(N30=0,VALUE(SUBSTITUTE(D30,"*","")),VALUE(RIGHT(SUBSTITUTE(D30,"*",""),LEN(SUBSTITUTE(D30,"*",""))-N30)))</f>
        <v>#N/A</v>
      </c>
      <c r="Q30" t="e">
        <f ca="1">AVERAGE(O30:P30)</f>
        <v>#N/A</v>
      </c>
      <c r="S30" s="6" t="str">
        <f ca="1">IFERROR(IF(L30/Q30-1=0,"=",IF(OR(AND(L30/Q30-1&lt;0.005,L30/Q30-1&gt;0), AND(L30/Q30-1&lt;0,L30/Q30-1&gt;-0.005)),"≈",L30/Q30-1)),"—")</f>
        <v>—</v>
      </c>
    </row>
    <row r="31" spans="1:19" ht="15.75" thickBot="1" x14ac:dyDescent="0.3">
      <c r="A31" s="73" t="s">
        <v>258</v>
      </c>
      <c r="B31" s="76" t="s">
        <v>19</v>
      </c>
      <c r="C31" s="74" t="e">
        <f ca="1">HLOOKUP(C29,INDIRECT($U$5):INDIRECT($U$6),4,FALSE)</f>
        <v>#N/A</v>
      </c>
      <c r="D31" s="74" t="e">
        <f ca="1">HLOOKUP(D29,INDIRECT($V$5):INDIRECT($V$6),4,FALSE)</f>
        <v>#N/A</v>
      </c>
      <c r="E31" s="17" t="str">
        <f ca="1">IF(OR(F31="=",F31="≈",F31="—"),"",IF(F31&gt;0,"",IF(F31&lt;0,"","")))</f>
        <v/>
      </c>
      <c r="F31" s="38" t="str">
        <f ca="1">S31</f>
        <v>—</v>
      </c>
      <c r="I31">
        <f t="shared" ref="I31:I37" ca="1" si="24">IFERROR(FIND("—",SUBSTITUTE(C31,"*","")),0)</f>
        <v>0</v>
      </c>
      <c r="J31" s="3" t="e">
        <f t="shared" ref="J31:J37" ca="1" si="25">IF(I31=0,VALUE(SUBSTITUTE(C31,"*","")),VALUE(LEFT(SUBSTITUTE(C31,"*",""),I31-1)))</f>
        <v>#N/A</v>
      </c>
      <c r="K31" s="5" t="e">
        <f t="shared" ref="K31:K37" ca="1" si="26">IF(I31=0,VALUE(SUBSTITUTE(C31,"*","")),VALUE(RIGHT(SUBSTITUTE(C31,"*",""),LEN(SUBSTITUTE(C31,"*",""))-I31)))</f>
        <v>#N/A</v>
      </c>
      <c r="L31" t="e">
        <f t="shared" ref="L31:L37" ca="1" si="27">AVERAGE(J31:K31)</f>
        <v>#N/A</v>
      </c>
      <c r="N31">
        <f t="shared" ref="N31:N37" ca="1" si="28">IFERROR(FIND("—",SUBSTITUTE(D31,"*","")),0)</f>
        <v>0</v>
      </c>
      <c r="O31" s="3" t="e">
        <f t="shared" ref="O31:O37" ca="1" si="29">IF(N31=0,VALUE(SUBSTITUTE(D31,"*","")),VALUE(LEFT(SUBSTITUTE(D31,"*",""),N31-1)))</f>
        <v>#N/A</v>
      </c>
      <c r="P31" s="5" t="e">
        <f t="shared" ref="P31:P37" ca="1" si="30">IF(N31=0,VALUE(SUBSTITUTE(D31,"*","")),VALUE(RIGHT(SUBSTITUTE(D31,"*",""),LEN(SUBSTITUTE(D31,"*",""))-N31)))</f>
        <v>#N/A</v>
      </c>
      <c r="Q31" t="e">
        <f t="shared" ref="Q31:Q37" ca="1" si="31">AVERAGE(O31:P31)</f>
        <v>#N/A</v>
      </c>
      <c r="S31" s="6" t="str">
        <f t="shared" ref="S31:S37" ca="1" si="32">IFERROR(IF(L31/Q31-1=0,"=",IF(OR(AND(L31/Q31-1&lt;0.005,L31/Q31-1&gt;0), AND(L31/Q31-1&lt;0,L31/Q31-1&gt;-0.005)),"≈",L31/Q31-1)),"—")</f>
        <v>—</v>
      </c>
    </row>
    <row r="32" spans="1:19" x14ac:dyDescent="0.25">
      <c r="A32" s="173" t="s">
        <v>18</v>
      </c>
      <c r="B32" s="173"/>
      <c r="C32" s="173"/>
      <c r="D32" s="173"/>
      <c r="E32" s="173"/>
      <c r="F32" s="173"/>
      <c r="J32" s="3"/>
      <c r="K32" s="5"/>
      <c r="O32" s="3"/>
      <c r="P32" s="5"/>
      <c r="S32" s="6"/>
    </row>
    <row r="33" spans="1:19" ht="15.75" thickBot="1" x14ac:dyDescent="0.3">
      <c r="A33" s="8"/>
      <c r="B33" s="8"/>
      <c r="C33" s="62" t="str">
        <f>'Propylene Asia'!OLE_LINK1</f>
        <v>June 4</v>
      </c>
      <c r="D33" s="62" t="str">
        <f>'Propylene Asia'!OLE_LINK2</f>
        <v>May 28</v>
      </c>
      <c r="E33" s="172" t="s">
        <v>2</v>
      </c>
      <c r="F33" s="172"/>
      <c r="J33" s="3"/>
      <c r="K33" s="5"/>
      <c r="O33" s="3"/>
      <c r="P33" s="5"/>
      <c r="S33" s="6"/>
    </row>
    <row r="34" spans="1:19" ht="15.75" thickBot="1" x14ac:dyDescent="0.3">
      <c r="A34" s="1" t="s">
        <v>248</v>
      </c>
      <c r="B34" s="2" t="s">
        <v>31</v>
      </c>
      <c r="C34" s="48">
        <f ca="1">HLOOKUP(C33,INDIRECT($U$2):INDIRECT($U$3),30,FALSE)</f>
        <v>0</v>
      </c>
      <c r="D34" s="48">
        <f ca="1">HLOOKUP(D$33,INDIRECT($V$2):INDIRECT($V$3),30,FALSE)</f>
        <v>0</v>
      </c>
      <c r="E34" s="42" t="str">
        <f ca="1">IF(OR(F34="=",F34="≈",F34="—"),"",IF(F34&gt;0,"",IF(F34&lt;0,"","")))</f>
        <v/>
      </c>
      <c r="F34" s="7" t="str">
        <f ca="1">S34</f>
        <v>—</v>
      </c>
      <c r="I34">
        <f t="shared" ca="1" si="24"/>
        <v>0</v>
      </c>
      <c r="J34" s="3">
        <f t="shared" ca="1" si="25"/>
        <v>0</v>
      </c>
      <c r="K34" s="5">
        <f t="shared" ca="1" si="26"/>
        <v>0</v>
      </c>
      <c r="L34">
        <f t="shared" ca="1" si="27"/>
        <v>0</v>
      </c>
      <c r="N34">
        <f t="shared" ca="1" si="28"/>
        <v>0</v>
      </c>
      <c r="O34" s="3">
        <f t="shared" ca="1" si="29"/>
        <v>0</v>
      </c>
      <c r="P34" s="5">
        <f t="shared" ca="1" si="30"/>
        <v>0</v>
      </c>
      <c r="Q34">
        <f t="shared" ca="1" si="31"/>
        <v>0</v>
      </c>
      <c r="S34" s="6" t="str">
        <f t="shared" ca="1" si="32"/>
        <v>—</v>
      </c>
    </row>
    <row r="35" spans="1:19" ht="15.75" thickBot="1" x14ac:dyDescent="0.3">
      <c r="A35" s="73" t="s">
        <v>248</v>
      </c>
      <c r="B35" s="76" t="s">
        <v>19</v>
      </c>
      <c r="C35" s="74">
        <f ca="1">HLOOKUP(C$33,INDIRECT($U$2):INDIRECT($U$3),31,FALSE)</f>
        <v>0</v>
      </c>
      <c r="D35" s="74">
        <f ca="1">HLOOKUP(D$33,INDIRECT($V$2):INDIRECT($V$3),31,FALSE)</f>
        <v>0</v>
      </c>
      <c r="E35" s="77" t="str">
        <f ca="1">IF(OR(F35="=",F35="≈",F35="—"),"",IF(F35&gt;0,"",IF(F35&lt;0,"","")))</f>
        <v/>
      </c>
      <c r="F35" s="38" t="str">
        <f ca="1">S35</f>
        <v>—</v>
      </c>
      <c r="I35">
        <f t="shared" ca="1" si="24"/>
        <v>0</v>
      </c>
      <c r="J35" s="3">
        <f t="shared" ca="1" si="25"/>
        <v>0</v>
      </c>
      <c r="K35" s="5">
        <f t="shared" ca="1" si="26"/>
        <v>0</v>
      </c>
      <c r="L35">
        <f t="shared" ca="1" si="27"/>
        <v>0</v>
      </c>
      <c r="N35">
        <f t="shared" ca="1" si="28"/>
        <v>0</v>
      </c>
      <c r="O35" s="3">
        <f t="shared" ca="1" si="29"/>
        <v>0</v>
      </c>
      <c r="P35" s="5">
        <f t="shared" ca="1" si="30"/>
        <v>0</v>
      </c>
      <c r="Q35">
        <f t="shared" ca="1" si="31"/>
        <v>0</v>
      </c>
      <c r="S35" s="6" t="str">
        <f t="shared" ca="1" si="32"/>
        <v>—</v>
      </c>
    </row>
    <row r="36" spans="1:19" ht="15.75" thickBot="1" x14ac:dyDescent="0.3">
      <c r="A36" s="1" t="s">
        <v>30</v>
      </c>
      <c r="B36" s="2" t="s">
        <v>31</v>
      </c>
      <c r="C36" s="48">
        <f ca="1">HLOOKUP(C$33,INDIRECT($U$2):INDIRECT($U$3),28,FALSE)</f>
        <v>0</v>
      </c>
      <c r="D36" s="48">
        <f ca="1">HLOOKUP(D$33,INDIRECT($V$2):INDIRECT($V$3),28,FALSE)</f>
        <v>0</v>
      </c>
      <c r="E36" s="42" t="str">
        <f ca="1">IF(OR(F36="=",F36="≈",F36="—"),"",IF(F36&gt;0,"",IF(F36&lt;0,"","")))</f>
        <v/>
      </c>
      <c r="F36" s="7" t="str">
        <f ca="1">S36</f>
        <v>—</v>
      </c>
      <c r="I36">
        <f t="shared" ca="1" si="24"/>
        <v>0</v>
      </c>
      <c r="J36" s="3">
        <f t="shared" ca="1" si="25"/>
        <v>0</v>
      </c>
      <c r="K36" s="5">
        <f t="shared" ca="1" si="26"/>
        <v>0</v>
      </c>
      <c r="L36">
        <f t="shared" ca="1" si="27"/>
        <v>0</v>
      </c>
      <c r="N36">
        <f t="shared" ca="1" si="28"/>
        <v>0</v>
      </c>
      <c r="O36" s="3">
        <f t="shared" ca="1" si="29"/>
        <v>0</v>
      </c>
      <c r="P36" s="5">
        <f t="shared" ca="1" si="30"/>
        <v>0</v>
      </c>
      <c r="Q36">
        <f t="shared" ca="1" si="31"/>
        <v>0</v>
      </c>
      <c r="S36" s="6" t="str">
        <f t="shared" ca="1" si="32"/>
        <v>—</v>
      </c>
    </row>
    <row r="37" spans="1:19" ht="15.75" thickBot="1" x14ac:dyDescent="0.3">
      <c r="A37" s="73" t="s">
        <v>30</v>
      </c>
      <c r="B37" s="76" t="s">
        <v>19</v>
      </c>
      <c r="C37" s="74">
        <f ca="1">HLOOKUP(C$33,INDIRECT($U$2):INDIRECT($U$3),29,FALSE)</f>
        <v>0</v>
      </c>
      <c r="D37" s="74">
        <f ca="1">HLOOKUP(D$33,INDIRECT($V$2):INDIRECT($V$3),29,FALSE)</f>
        <v>0</v>
      </c>
      <c r="E37" s="77" t="str">
        <f ca="1">IF(OR(F37="=",F37="≈",F37="—"),"",IF(F37&gt;0,"",IF(F37&lt;0,"","")))</f>
        <v/>
      </c>
      <c r="F37" s="38" t="str">
        <f ca="1">S37</f>
        <v>—</v>
      </c>
      <c r="I37">
        <f t="shared" ca="1" si="24"/>
        <v>0</v>
      </c>
      <c r="J37" s="3">
        <f t="shared" ca="1" si="25"/>
        <v>0</v>
      </c>
      <c r="K37" s="5">
        <f t="shared" ca="1" si="26"/>
        <v>0</v>
      </c>
      <c r="L37">
        <f t="shared" ca="1" si="27"/>
        <v>0</v>
      </c>
      <c r="N37">
        <f t="shared" ca="1" si="28"/>
        <v>0</v>
      </c>
      <c r="O37" s="3">
        <f t="shared" ca="1" si="29"/>
        <v>0</v>
      </c>
      <c r="P37" s="5">
        <f t="shared" ca="1" si="30"/>
        <v>0</v>
      </c>
      <c r="Q37">
        <f t="shared" ca="1" si="31"/>
        <v>0</v>
      </c>
      <c r="S37" s="6" t="str">
        <f t="shared" ca="1" si="32"/>
        <v>—</v>
      </c>
    </row>
    <row r="39" spans="1:19" x14ac:dyDescent="0.25">
      <c r="A39" s="169" t="s">
        <v>16</v>
      </c>
      <c r="B39" s="169"/>
      <c r="C39" s="169"/>
      <c r="D39" s="169"/>
      <c r="E39" s="169"/>
      <c r="F39" s="169"/>
    </row>
    <row r="40" spans="1:19" ht="15.75" thickBot="1" x14ac:dyDescent="0.3">
      <c r="A40" s="88"/>
      <c r="C40" s="111" t="str">
        <f>OLE_LINK1</f>
        <v>June 4</v>
      </c>
      <c r="D40" s="111" t="str">
        <f>OLE_LINK2</f>
        <v>May 28</v>
      </c>
      <c r="E40" s="111" t="s">
        <v>2</v>
      </c>
      <c r="F40" s="111"/>
    </row>
    <row r="41" spans="1:19" ht="15.75" thickBot="1" x14ac:dyDescent="0.3">
      <c r="A41" s="73" t="s">
        <v>40</v>
      </c>
      <c r="C41" s="74"/>
      <c r="D41" s="74"/>
      <c r="E41" s="17"/>
      <c r="F41" s="38"/>
    </row>
    <row r="42" spans="1:19" ht="15.75" thickBot="1" x14ac:dyDescent="0.3">
      <c r="A42" s="73" t="s">
        <v>26</v>
      </c>
      <c r="C42" s="74"/>
      <c r="D42" s="74"/>
      <c r="E42" s="17"/>
      <c r="F42" s="38"/>
    </row>
    <row r="43" spans="1:19" ht="15.75" thickBot="1" x14ac:dyDescent="0.3">
      <c r="A43" s="73" t="s">
        <v>91</v>
      </c>
      <c r="C43" s="74"/>
      <c r="D43" s="74"/>
      <c r="E43" s="17"/>
      <c r="F43" s="38"/>
    </row>
    <row r="44" spans="1:19" ht="15.75" thickBot="1" x14ac:dyDescent="0.3">
      <c r="A44" s="73" t="s">
        <v>250</v>
      </c>
      <c r="C44" s="74"/>
      <c r="D44" s="74"/>
      <c r="E44" s="17"/>
      <c r="F44" s="38"/>
    </row>
    <row r="45" spans="1:19" ht="15.75" thickBot="1" x14ac:dyDescent="0.3">
      <c r="A45" s="73" t="s">
        <v>92</v>
      </c>
      <c r="C45" s="74"/>
      <c r="D45" s="74"/>
      <c r="E45" s="17"/>
      <c r="F45" s="38"/>
    </row>
    <row r="46" spans="1:19" ht="15.75" thickBot="1" x14ac:dyDescent="0.3">
      <c r="A46" s="73" t="s">
        <v>93</v>
      </c>
      <c r="C46" s="74"/>
      <c r="D46" s="74"/>
      <c r="E46" s="17"/>
      <c r="F46" s="38"/>
    </row>
    <row r="47" spans="1:19" ht="15.75" thickBot="1" x14ac:dyDescent="0.3">
      <c r="A47" s="73" t="s">
        <v>22</v>
      </c>
      <c r="C47" s="74"/>
      <c r="D47" s="74"/>
      <c r="E47" s="17"/>
      <c r="F47" s="38"/>
    </row>
  </sheetData>
  <mergeCells count="9">
    <mergeCell ref="A39:F39"/>
    <mergeCell ref="E2:F2"/>
    <mergeCell ref="A1:F1"/>
    <mergeCell ref="E33:F33"/>
    <mergeCell ref="A28:F28"/>
    <mergeCell ref="A8:F8"/>
    <mergeCell ref="A11:F11"/>
    <mergeCell ref="E29:F29"/>
    <mergeCell ref="A32:F32"/>
  </mergeCells>
  <conditionalFormatting sqref="F4:F6 F10 F14:F23">
    <cfRule type="containsText" dxfId="55" priority="55" operator="containsText" text="≈">
      <formula>NOT(ISERROR(SEARCH("≈",F4)))</formula>
    </cfRule>
  </conditionalFormatting>
  <conditionalFormatting sqref="E4:E6 E10 E14:E23">
    <cfRule type="containsText" dxfId="54" priority="53" operator="containsText" text="">
      <formula>NOT(ISERROR(SEARCH("",E4)))</formula>
    </cfRule>
    <cfRule type="containsText" dxfId="53" priority="54" operator="containsText" text="">
      <formula>NOT(ISERROR(SEARCH("",E4)))</formula>
    </cfRule>
  </conditionalFormatting>
  <conditionalFormatting sqref="E34">
    <cfRule type="containsText" dxfId="52" priority="47" operator="containsText" text="">
      <formula>NOT(ISERROR(SEARCH("",E34)))</formula>
    </cfRule>
    <cfRule type="containsText" dxfId="51" priority="48" operator="containsText" text="">
      <formula>NOT(ISERROR(SEARCH("",E34)))</formula>
    </cfRule>
  </conditionalFormatting>
  <conditionalFormatting sqref="E35">
    <cfRule type="containsText" dxfId="50" priority="45" operator="containsText" text="">
      <formula>NOT(ISERROR(SEARCH("",E35)))</formula>
    </cfRule>
    <cfRule type="containsText" dxfId="49" priority="46" operator="containsText" text="">
      <formula>NOT(ISERROR(SEARCH("",E35)))</formula>
    </cfRule>
  </conditionalFormatting>
  <conditionalFormatting sqref="E36">
    <cfRule type="containsText" dxfId="48" priority="43" operator="containsText" text="">
      <formula>NOT(ISERROR(SEARCH("",E36)))</formula>
    </cfRule>
    <cfRule type="containsText" dxfId="47" priority="44" operator="containsText" text="">
      <formula>NOT(ISERROR(SEARCH("",E36)))</formula>
    </cfRule>
  </conditionalFormatting>
  <conditionalFormatting sqref="E37">
    <cfRule type="containsText" dxfId="46" priority="41" operator="containsText" text="">
      <formula>NOT(ISERROR(SEARCH("",E37)))</formula>
    </cfRule>
    <cfRule type="containsText" dxfId="45" priority="42" operator="containsText" text="">
      <formula>NOT(ISERROR(SEARCH("",E37)))</formula>
    </cfRule>
  </conditionalFormatting>
  <conditionalFormatting sqref="F34">
    <cfRule type="containsText" dxfId="44" priority="35" operator="containsText" text="≈">
      <formula>NOT(ISERROR(SEARCH("≈",F34)))</formula>
    </cfRule>
  </conditionalFormatting>
  <conditionalFormatting sqref="F35">
    <cfRule type="containsText" dxfId="43" priority="33" operator="containsText" text="≈">
      <formula>NOT(ISERROR(SEARCH("≈",F35)))</formula>
    </cfRule>
  </conditionalFormatting>
  <conditionalFormatting sqref="F30">
    <cfRule type="containsText" dxfId="42" priority="31" operator="containsText" text="≈">
      <formula>NOT(ISERROR(SEARCH("≈",F30)))</formula>
    </cfRule>
  </conditionalFormatting>
  <conditionalFormatting sqref="F31">
    <cfRule type="containsText" dxfId="41" priority="29" operator="containsText" text="≈">
      <formula>NOT(ISERROR(SEARCH("≈",F31)))</formula>
    </cfRule>
  </conditionalFormatting>
  <conditionalFormatting sqref="F36">
    <cfRule type="containsText" dxfId="40" priority="27" operator="containsText" text="≈">
      <formula>NOT(ISERROR(SEARCH("≈",F36)))</formula>
    </cfRule>
  </conditionalFormatting>
  <conditionalFormatting sqref="F37">
    <cfRule type="containsText" dxfId="39" priority="25" operator="containsText" text="≈">
      <formula>NOT(ISERROR(SEARCH("≈",F37)))</formula>
    </cfRule>
  </conditionalFormatting>
  <conditionalFormatting sqref="E30">
    <cfRule type="containsText" dxfId="38" priority="19" operator="containsText" text="">
      <formula>NOT(ISERROR(SEARCH("",E30)))</formula>
    </cfRule>
    <cfRule type="containsText" dxfId="37" priority="20" operator="containsText" text="">
      <formula>NOT(ISERROR(SEARCH("",E30)))</formula>
    </cfRule>
  </conditionalFormatting>
  <conditionalFormatting sqref="E31">
    <cfRule type="containsText" dxfId="36" priority="17" operator="containsText" text="">
      <formula>NOT(ISERROR(SEARCH("",E31)))</formula>
    </cfRule>
    <cfRule type="containsText" dxfId="35" priority="18" operator="containsText" text="">
      <formula>NOT(ISERROR(SEARCH("",E31)))</formula>
    </cfRule>
  </conditionalFormatting>
  <conditionalFormatting sqref="E24">
    <cfRule type="containsText" dxfId="34" priority="15" operator="containsText" text="">
      <formula>NOT(ISERROR(SEARCH("",E24)))</formula>
    </cfRule>
    <cfRule type="containsText" dxfId="33" priority="16" operator="containsText" text="">
      <formula>NOT(ISERROR(SEARCH("",E24)))</formula>
    </cfRule>
  </conditionalFormatting>
  <conditionalFormatting sqref="E25">
    <cfRule type="containsText" dxfId="32" priority="13" operator="containsText" text="">
      <formula>NOT(ISERROR(SEARCH("",E25)))</formula>
    </cfRule>
    <cfRule type="containsText" dxfId="31" priority="14" operator="containsText" text="">
      <formula>NOT(ISERROR(SEARCH("",E25)))</formula>
    </cfRule>
  </conditionalFormatting>
  <conditionalFormatting sqref="F24">
    <cfRule type="containsText" dxfId="30" priority="11" operator="containsText" text="≈">
      <formula>NOT(ISERROR(SEARCH("≈",F24)))</formula>
    </cfRule>
  </conditionalFormatting>
  <conditionalFormatting sqref="F25">
    <cfRule type="containsText" dxfId="29" priority="9" operator="containsText" text="≈">
      <formula>NOT(ISERROR(SEARCH("≈",F25)))</formula>
    </cfRule>
  </conditionalFormatting>
  <conditionalFormatting sqref="F41:F46">
    <cfRule type="containsText" dxfId="28" priority="7" operator="containsText" text="≈">
      <formula>NOT(ISERROR(SEARCH("≈",F41)))</formula>
    </cfRule>
  </conditionalFormatting>
  <conditionalFormatting sqref="E41:E46">
    <cfRule type="containsText" dxfId="27" priority="5" operator="containsText" text="">
      <formula>NOT(ISERROR(SEARCH("",E41)))</formula>
    </cfRule>
    <cfRule type="containsText" dxfId="26" priority="6" operator="containsText" text="">
      <formula>NOT(ISERROR(SEARCH("",E41)))</formula>
    </cfRule>
  </conditionalFormatting>
  <conditionalFormatting sqref="F47">
    <cfRule type="containsText" dxfId="25" priority="3" operator="containsText" text="≈">
      <formula>NOT(ISERROR(SEARCH("≈",F47)))</formula>
    </cfRule>
  </conditionalFormatting>
  <conditionalFormatting sqref="E47">
    <cfRule type="containsText" dxfId="24" priority="1" operator="containsText" text="">
      <formula>NOT(ISERROR(SEARCH("",E47)))</formula>
    </cfRule>
    <cfRule type="containsText" dxfId="23" priority="2" operator="containsText" text="">
      <formula>NOT(ISERROR(SEARCH("",E47)))</formula>
    </cfRule>
  </conditionalFormatting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6" operator="containsText" id="{76C742E1-AD7B-4134-9924-5C436A8FDB0B}">
            <xm:f>NOT(ISERROR(SEARCH("=",F4)))</xm:f>
            <xm:f>"="</xm:f>
            <x14:dxf>
              <font>
                <b/>
                <i val="0"/>
                <color theme="4"/>
              </font>
            </x14:dxf>
          </x14:cfRule>
          <xm:sqref>F4:F6 F10 F14:F23</xm:sqref>
        </x14:conditionalFormatting>
        <x14:conditionalFormatting xmlns:xm="http://schemas.microsoft.com/office/excel/2006/main">
          <x14:cfRule type="containsText" priority="36" operator="containsText" id="{9A637DB4-7FC4-438D-93D2-019F4724D85B}">
            <xm:f>NOT(ISERROR(SEARCH("=",F34)))</xm:f>
            <xm:f>"="</xm:f>
            <x14:dxf>
              <font>
                <b/>
                <i val="0"/>
                <color theme="4"/>
              </font>
            </x14:dxf>
          </x14:cfRule>
          <xm:sqref>F34</xm:sqref>
        </x14:conditionalFormatting>
        <x14:conditionalFormatting xmlns:xm="http://schemas.microsoft.com/office/excel/2006/main">
          <x14:cfRule type="containsText" priority="34" operator="containsText" id="{B40D0081-568A-496A-9A29-483FECEF6637}">
            <xm:f>NOT(ISERROR(SEARCH("=",F35)))</xm:f>
            <xm:f>"="</xm:f>
            <x14:dxf>
              <font>
                <b/>
                <i val="0"/>
                <color theme="4"/>
              </font>
            </x14:dxf>
          </x14:cfRule>
          <xm:sqref>F35</xm:sqref>
        </x14:conditionalFormatting>
        <x14:conditionalFormatting xmlns:xm="http://schemas.microsoft.com/office/excel/2006/main">
          <x14:cfRule type="containsText" priority="32" operator="containsText" id="{B31BBC90-6E35-4B80-A2AF-B41CC904FDC2}">
            <xm:f>NOT(ISERROR(SEARCH("=",F30)))</xm:f>
            <xm:f>"="</xm:f>
            <x14:dxf>
              <font>
                <b/>
                <i val="0"/>
                <color theme="4"/>
              </font>
            </x14:dxf>
          </x14:cfRule>
          <xm:sqref>F30</xm:sqref>
        </x14:conditionalFormatting>
        <x14:conditionalFormatting xmlns:xm="http://schemas.microsoft.com/office/excel/2006/main">
          <x14:cfRule type="containsText" priority="30" operator="containsText" id="{8D829BD4-4468-4439-A43A-3C0477D752F5}">
            <xm:f>NOT(ISERROR(SEARCH("=",F31)))</xm:f>
            <xm:f>"="</xm:f>
            <x14:dxf>
              <font>
                <b/>
                <i val="0"/>
                <color theme="4"/>
              </font>
            </x14:dxf>
          </x14:cfRule>
          <xm:sqref>F31</xm:sqref>
        </x14:conditionalFormatting>
        <x14:conditionalFormatting xmlns:xm="http://schemas.microsoft.com/office/excel/2006/main">
          <x14:cfRule type="containsText" priority="28" operator="containsText" id="{7FB9E2C9-1DE3-44F1-A3FC-8B4A438D2DE9}">
            <xm:f>NOT(ISERROR(SEARCH("=",F36)))</xm:f>
            <xm:f>"="</xm:f>
            <x14:dxf>
              <font>
                <b/>
                <i val="0"/>
                <color theme="4"/>
              </font>
            </x14:dxf>
          </x14:cfRule>
          <xm:sqref>F36</xm:sqref>
        </x14:conditionalFormatting>
        <x14:conditionalFormatting xmlns:xm="http://schemas.microsoft.com/office/excel/2006/main">
          <x14:cfRule type="containsText" priority="26" operator="containsText" id="{CFB41A2D-2173-4AD9-AA0E-87F651147DFB}">
            <xm:f>NOT(ISERROR(SEARCH("=",F37)))</xm:f>
            <xm:f>"="</xm:f>
            <x14:dxf>
              <font>
                <b/>
                <i val="0"/>
                <color theme="4"/>
              </font>
            </x14:dxf>
          </x14:cfRule>
          <xm:sqref>F37</xm:sqref>
        </x14:conditionalFormatting>
        <x14:conditionalFormatting xmlns:xm="http://schemas.microsoft.com/office/excel/2006/main">
          <x14:cfRule type="containsText" priority="12" operator="containsText" id="{3F8C1FF6-3224-4FD5-91A7-156F087505F7}">
            <xm:f>NOT(ISERROR(SEARCH("=",F24)))</xm:f>
            <xm:f>"="</xm:f>
            <x14:dxf>
              <font>
                <b/>
                <i val="0"/>
                <color theme="4"/>
              </font>
            </x14:dxf>
          </x14:cfRule>
          <xm:sqref>F24</xm:sqref>
        </x14:conditionalFormatting>
        <x14:conditionalFormatting xmlns:xm="http://schemas.microsoft.com/office/excel/2006/main">
          <x14:cfRule type="containsText" priority="10" operator="containsText" id="{D0AA7CEE-30C5-4004-BC98-AF386D8B8261}">
            <xm:f>NOT(ISERROR(SEARCH("=",F25)))</xm:f>
            <xm:f>"="</xm:f>
            <x14:dxf>
              <font>
                <b/>
                <i val="0"/>
                <color theme="4"/>
              </font>
            </x14:dxf>
          </x14:cfRule>
          <xm:sqref>F25</xm:sqref>
        </x14:conditionalFormatting>
        <x14:conditionalFormatting xmlns:xm="http://schemas.microsoft.com/office/excel/2006/main">
          <x14:cfRule type="containsText" priority="8" operator="containsText" id="{EBB220CF-0D92-4E1F-874D-F908A3AD65C1}">
            <xm:f>NOT(ISERROR(SEARCH("=",F41)))</xm:f>
            <xm:f>"="</xm:f>
            <x14:dxf>
              <font>
                <b/>
                <i val="0"/>
                <color theme="4"/>
              </font>
            </x14:dxf>
          </x14:cfRule>
          <xm:sqref>F41:F46</xm:sqref>
        </x14:conditionalFormatting>
        <x14:conditionalFormatting xmlns:xm="http://schemas.microsoft.com/office/excel/2006/main">
          <x14:cfRule type="containsText" priority="4" operator="containsText" id="{38B258E5-49BF-4EF2-9616-85649BEFE1CB}">
            <xm:f>NOT(ISERROR(SEARCH("=",F47)))</xm:f>
            <xm:f>"="</xm:f>
            <x14:dxf>
              <font>
                <b/>
                <i val="0"/>
                <color theme="4"/>
              </font>
            </x14:dxf>
          </x14:cfRule>
          <xm:sqref>F47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"/>
  <sheetViews>
    <sheetView topLeftCell="A13" workbookViewId="0">
      <selection activeCell="B3" sqref="B3"/>
    </sheetView>
  </sheetViews>
  <sheetFormatPr defaultRowHeight="15" x14ac:dyDescent="0.25"/>
  <cols>
    <col min="1" max="1" width="26.5703125" customWidth="1"/>
    <col min="2" max="2" width="16.42578125" customWidth="1"/>
    <col min="3" max="3" width="15.7109375" customWidth="1"/>
    <col min="4" max="4" width="2.85546875" customWidth="1"/>
    <col min="5" max="5" width="5.7109375" customWidth="1"/>
    <col min="20" max="20" width="15.42578125" customWidth="1"/>
  </cols>
  <sheetData>
    <row r="1" spans="1:21" x14ac:dyDescent="0.25">
      <c r="A1" s="171" t="s">
        <v>0</v>
      </c>
      <c r="B1" s="171"/>
      <c r="C1" s="171"/>
      <c r="D1" s="171"/>
      <c r="E1" s="171"/>
    </row>
    <row r="2" spans="1:21" x14ac:dyDescent="0.25">
      <c r="A2" s="84"/>
      <c r="B2" s="112" t="s">
        <v>108</v>
      </c>
      <c r="C2" s="166" t="s">
        <v>109</v>
      </c>
      <c r="D2" s="170" t="s">
        <v>2</v>
      </c>
      <c r="E2" s="170"/>
      <c r="T2" s="47" t="str">
        <f>'Propylene EU and US'!U2</f>
        <v>Database!JT2</v>
      </c>
      <c r="U2" s="47" t="str">
        <f>'Propylene EU and US'!V2</f>
        <v>Database!JT2</v>
      </c>
    </row>
    <row r="3" spans="1:21" x14ac:dyDescent="0.25">
      <c r="A3" s="105" t="s">
        <v>426</v>
      </c>
      <c r="B3" s="107"/>
      <c r="C3" s="107"/>
      <c r="D3" s="109"/>
      <c r="E3" s="109"/>
      <c r="I3" s="3"/>
      <c r="J3" s="5"/>
      <c r="N3" s="3"/>
      <c r="O3" s="5"/>
      <c r="R3" s="6"/>
      <c r="T3" s="47" t="str">
        <f>'Propylene EU and US'!U3</f>
        <v>Database!KR50</v>
      </c>
      <c r="U3" s="47" t="str">
        <f>'Propylene EU and US'!V3</f>
        <v>Database!KR50</v>
      </c>
    </row>
    <row r="4" spans="1:21" x14ac:dyDescent="0.25">
      <c r="A4" s="99" t="s">
        <v>526</v>
      </c>
      <c r="B4" s="100" t="str">
        <f ca="1">HLOOKUP(OLE_LINK1,INDIRECT($T$2):INDIRECT($T$3),3,FALSE)</f>
        <v>60,000—65,000</v>
      </c>
      <c r="C4" s="100" t="str">
        <f ca="1">HLOOKUP(OLE_LINK2,INDIRECT($U$2):INDIRECT($U$3),3,FALSE)</f>
        <v>60,000—65,000</v>
      </c>
      <c r="D4" s="101" t="str">
        <f ca="1">IF(OR(E4="=",E4="≈",E4="—"),"",IF(E4&gt;0,"",IF(E4&lt;0,"","")))</f>
        <v/>
      </c>
      <c r="E4" s="102" t="str">
        <f ca="1">R4</f>
        <v>=</v>
      </c>
      <c r="H4">
        <f t="shared" ref="H4:H24" ca="1" si="0">IFERROR(FIND("—",SUBSTITUTE(B4,"*","")),0)</f>
        <v>7</v>
      </c>
      <c r="I4" s="3">
        <f t="shared" ref="I4:I24" ca="1" si="1">IF(H4=0,VALUE(SUBSTITUTE(B4,"*","")),VALUE(LEFT(SUBSTITUTE(B4,"*",""),H4-1)))</f>
        <v>60000</v>
      </c>
      <c r="J4" s="5">
        <f t="shared" ref="J4:J38" ca="1" si="2">IF(H4=0,VALUE(SUBSTITUTE(B4,"*","")),VALUE(RIGHT(SUBSTITUTE(B4,"*",""),LEN(SUBSTITUTE(B4,"*",""))-H4)))</f>
        <v>65000</v>
      </c>
      <c r="K4">
        <f t="shared" ref="K4:K24" ca="1" si="3">AVERAGE(I4:J4)</f>
        <v>62500</v>
      </c>
      <c r="M4">
        <f t="shared" ref="M4:M38" ca="1" si="4">IFERROR(FIND("—",SUBSTITUTE(C4,"*","")),0)</f>
        <v>7</v>
      </c>
      <c r="N4" s="3">
        <f t="shared" ref="N4:N38" ca="1" si="5">IF(M4=0,VALUE(SUBSTITUTE(C4,"*","")),VALUE(LEFT(SUBSTITUTE(C4,"*",""),M4-1)))</f>
        <v>60000</v>
      </c>
      <c r="O4" s="5">
        <f t="shared" ref="O4:O38" ca="1" si="6">IF(M4=0,VALUE(SUBSTITUTE(C4,"*","")),VALUE(RIGHT(SUBSTITUTE(C4,"*",""),LEN(SUBSTITUTE(C4,"*",""))-M4)))</f>
        <v>65000</v>
      </c>
      <c r="P4">
        <f t="shared" ref="P4:P24" ca="1" si="7">AVERAGE(N4:O4)</f>
        <v>62500</v>
      </c>
      <c r="R4" s="6" t="str">
        <f t="shared" ref="R4:R24" ca="1" si="8">IFERROR(IF(K4/P4-1=0,"=",IF(OR(AND(K4/P4-1&lt;0.005,K4/P4-1&gt;0), AND(K4/P4-1&lt;0,K4/P4-1&gt;-0.005)),"≈",K4/P4-1)),"—")</f>
        <v>=</v>
      </c>
    </row>
    <row r="5" spans="1:21" x14ac:dyDescent="0.25">
      <c r="A5" s="105" t="s">
        <v>4</v>
      </c>
      <c r="B5" s="115"/>
      <c r="C5" s="115"/>
      <c r="D5" s="116"/>
      <c r="E5" s="117"/>
      <c r="I5" s="3"/>
      <c r="J5" s="5"/>
      <c r="N5" s="3"/>
      <c r="O5" s="5"/>
      <c r="R5" s="6"/>
    </row>
    <row r="6" spans="1:21" x14ac:dyDescent="0.25">
      <c r="A6" s="99" t="s">
        <v>541</v>
      </c>
      <c r="B6" s="100" t="str">
        <f ca="1">HLOOKUP(OLE_LINK1,INDIRECT($T$2):INDIRECT($T$3),33,FALSE)</f>
        <v>—</v>
      </c>
      <c r="C6" s="100" t="str">
        <f ca="1">HLOOKUP(OLE_LINK2,INDIRECT($U$2):INDIRECT($U$3),33,FALSE)</f>
        <v>—</v>
      </c>
      <c r="D6" s="101" t="str">
        <f t="shared" ref="D6:D12" ca="1" si="9">IF(OR(E6="=",E6="≈",E6="—"),"",IF(E6&gt;0,"",IF(E6&lt;0,"","")))</f>
        <v/>
      </c>
      <c r="E6" s="102" t="str">
        <f t="shared" ref="E6:E12" ca="1" si="10">R6</f>
        <v>—</v>
      </c>
      <c r="H6">
        <f t="shared" ca="1" si="0"/>
        <v>1</v>
      </c>
      <c r="I6" s="3" t="e">
        <f t="shared" ref="I6" ca="1" si="11">IF(H6=0,VALUE(SUBSTITUTE(B6,"*","")),VALUE(LEFT(SUBSTITUTE(B6,"*",""),H6-1)))</f>
        <v>#VALUE!</v>
      </c>
      <c r="J6" s="5" t="e">
        <f t="shared" ref="J6" ca="1" si="12">IF(H6=0,VALUE(SUBSTITUTE(B6,"*","")),VALUE(RIGHT(SUBSTITUTE(B6,"*",""),LEN(SUBSTITUTE(B6,"*",""))-H6)))</f>
        <v>#VALUE!</v>
      </c>
      <c r="K6" t="e">
        <f t="shared" ref="K6" ca="1" si="13">AVERAGE(I6:J6)</f>
        <v>#VALUE!</v>
      </c>
      <c r="M6">
        <f t="shared" ref="M6" ca="1" si="14">IFERROR(FIND("—",SUBSTITUTE(C6,"*","")),0)</f>
        <v>1</v>
      </c>
      <c r="N6" s="3" t="e">
        <f t="shared" ref="N6" ca="1" si="15">IF(M6=0,VALUE(SUBSTITUTE(C6,"*","")),VALUE(LEFT(SUBSTITUTE(C6,"*",""),M6-1)))</f>
        <v>#VALUE!</v>
      </c>
      <c r="O6" s="5" t="e">
        <f t="shared" ref="O6" ca="1" si="16">IF(M6=0,VALUE(SUBSTITUTE(C6,"*","")),VALUE(RIGHT(SUBSTITUTE(C6,"*",""),LEN(SUBSTITUTE(C6,"*",""))-M6)))</f>
        <v>#VALUE!</v>
      </c>
      <c r="P6" t="e">
        <f t="shared" ref="P6" ca="1" si="17">AVERAGE(N6:O6)</f>
        <v>#VALUE!</v>
      </c>
      <c r="R6" s="6" t="str">
        <f t="shared" ref="R6" ca="1" si="18">IFERROR(IF(K6/P6-1=0,"=",IF(OR(AND(K6/P6-1&lt;0.005,K6/P6-1&gt;0), AND(K6/P6-1&lt;0,K6/P6-1&gt;-0.005)),"≈",K6/P6-1)),"—")</f>
        <v>—</v>
      </c>
    </row>
    <row r="7" spans="1:21" x14ac:dyDescent="0.25">
      <c r="A7" s="99" t="s">
        <v>542</v>
      </c>
      <c r="B7" s="100" t="str">
        <f ca="1">HLOOKUP(OLE_LINK1,INDIRECT($T$2):INDIRECT($T$3),34,FALSE)</f>
        <v>—</v>
      </c>
      <c r="C7" s="100" t="str">
        <f ca="1">HLOOKUP(OLE_LINK2,INDIRECT($U$2):INDIRECT($U$3),34,FALSE)</f>
        <v>—</v>
      </c>
      <c r="D7" s="101" t="str">
        <f t="shared" ca="1" si="9"/>
        <v/>
      </c>
      <c r="E7" s="102" t="str">
        <f t="shared" ca="1" si="10"/>
        <v>—</v>
      </c>
      <c r="H7">
        <f t="shared" ref="H7:H12" ca="1" si="19">IFERROR(FIND("—",SUBSTITUTE(B7,"*","")),0)</f>
        <v>1</v>
      </c>
      <c r="I7" s="3" t="e">
        <f t="shared" ref="I7:I12" ca="1" si="20">IF(H7=0,VALUE(SUBSTITUTE(B7,"*","")),VALUE(LEFT(SUBSTITUTE(B7,"*",""),H7-1)))</f>
        <v>#VALUE!</v>
      </c>
      <c r="J7" s="5" t="e">
        <f t="shared" ref="J7:J12" ca="1" si="21">IF(H7=0,VALUE(SUBSTITUTE(B7,"*","")),VALUE(RIGHT(SUBSTITUTE(B7,"*",""),LEN(SUBSTITUTE(B7,"*",""))-H7)))</f>
        <v>#VALUE!</v>
      </c>
      <c r="K7" t="e">
        <f t="shared" ref="K7:K12" ca="1" si="22">AVERAGE(I7:J7)</f>
        <v>#VALUE!</v>
      </c>
      <c r="M7">
        <f t="shared" ref="M7:M12" ca="1" si="23">IFERROR(FIND("—",SUBSTITUTE(C7,"*","")),0)</f>
        <v>1</v>
      </c>
      <c r="N7" s="3" t="e">
        <f t="shared" ref="N7:N12" ca="1" si="24">IF(M7=0,VALUE(SUBSTITUTE(C7,"*","")),VALUE(LEFT(SUBSTITUTE(C7,"*",""),M7-1)))</f>
        <v>#VALUE!</v>
      </c>
      <c r="O7" s="5" t="e">
        <f t="shared" ref="O7:O12" ca="1" si="25">IF(M7=0,VALUE(SUBSTITUTE(C7,"*","")),VALUE(RIGHT(SUBSTITUTE(C7,"*",""),LEN(SUBSTITUTE(C7,"*",""))-M7)))</f>
        <v>#VALUE!</v>
      </c>
      <c r="P7" t="e">
        <f t="shared" ref="P7:P12" ca="1" si="26">AVERAGE(N7:O7)</f>
        <v>#VALUE!</v>
      </c>
      <c r="R7" s="6" t="str">
        <f t="shared" ref="R7:R12" ca="1" si="27">IFERROR(IF(K7/P7-1=0,"=",IF(OR(AND(K7/P7-1&lt;0.005,K7/P7-1&gt;0), AND(K7/P7-1&lt;0,K7/P7-1&gt;-0.005)),"≈",K7/P7-1)),"—")</f>
        <v>—</v>
      </c>
    </row>
    <row r="8" spans="1:21" x14ac:dyDescent="0.25">
      <c r="A8" s="99" t="s">
        <v>543</v>
      </c>
      <c r="B8" s="100">
        <f ca="1">HLOOKUP(OLE_LINK1,INDIRECT($T$2):INDIRECT($T$3),35,FALSE)</f>
        <v>102000</v>
      </c>
      <c r="C8" s="100" t="str">
        <f ca="1">HLOOKUP(OLE_LINK2,INDIRECT($U$2):INDIRECT($U$3),35,FALSE)</f>
        <v>80,000—101,000</v>
      </c>
      <c r="D8" s="101" t="str">
        <f t="shared" ca="1" si="9"/>
        <v></v>
      </c>
      <c r="E8" s="102">
        <f t="shared" ca="1" si="10"/>
        <v>0.1270718232044199</v>
      </c>
      <c r="H8">
        <f t="shared" ca="1" si="19"/>
        <v>0</v>
      </c>
      <c r="I8" s="3">
        <f t="shared" ca="1" si="20"/>
        <v>102000</v>
      </c>
      <c r="J8" s="5">
        <f t="shared" ca="1" si="21"/>
        <v>102000</v>
      </c>
      <c r="K8">
        <f t="shared" ca="1" si="22"/>
        <v>102000</v>
      </c>
      <c r="M8">
        <f t="shared" ca="1" si="23"/>
        <v>7</v>
      </c>
      <c r="N8" s="3">
        <f t="shared" ca="1" si="24"/>
        <v>80000</v>
      </c>
      <c r="O8" s="5">
        <f t="shared" ca="1" si="25"/>
        <v>101000</v>
      </c>
      <c r="P8">
        <f t="shared" ca="1" si="26"/>
        <v>90500</v>
      </c>
      <c r="R8" s="6">
        <f t="shared" ca="1" si="27"/>
        <v>0.1270718232044199</v>
      </c>
    </row>
    <row r="9" spans="1:21" x14ac:dyDescent="0.25">
      <c r="A9" s="99" t="s">
        <v>544</v>
      </c>
      <c r="B9" s="100">
        <f ca="1">HLOOKUP(OLE_LINK1,INDIRECT($T$2):INDIRECT($T$3),36,FALSE)</f>
        <v>145000</v>
      </c>
      <c r="C9" s="100">
        <f ca="1">HLOOKUP(OLE_LINK2,INDIRECT($U$2):INDIRECT($U$3),36,FALSE)</f>
        <v>160000</v>
      </c>
      <c r="D9" s="101" t="str">
        <f t="shared" ca="1" si="9"/>
        <v></v>
      </c>
      <c r="E9" s="102">
        <f t="shared" ca="1" si="10"/>
        <v>-9.375E-2</v>
      </c>
      <c r="H9">
        <f t="shared" ca="1" si="19"/>
        <v>0</v>
      </c>
      <c r="I9" s="3">
        <f t="shared" ca="1" si="20"/>
        <v>145000</v>
      </c>
      <c r="J9" s="5">
        <f t="shared" ca="1" si="21"/>
        <v>145000</v>
      </c>
      <c r="K9">
        <f t="shared" ca="1" si="22"/>
        <v>145000</v>
      </c>
      <c r="M9">
        <f t="shared" ca="1" si="23"/>
        <v>0</v>
      </c>
      <c r="N9" s="3">
        <f t="shared" ca="1" si="24"/>
        <v>160000</v>
      </c>
      <c r="O9" s="5">
        <f t="shared" ca="1" si="25"/>
        <v>160000</v>
      </c>
      <c r="P9">
        <f t="shared" ca="1" si="26"/>
        <v>160000</v>
      </c>
      <c r="R9" s="6">
        <f t="shared" ca="1" si="27"/>
        <v>-9.375E-2</v>
      </c>
    </row>
    <row r="10" spans="1:21" x14ac:dyDescent="0.25">
      <c r="A10" s="99" t="s">
        <v>545</v>
      </c>
      <c r="B10" s="100" t="str">
        <f ca="1">HLOOKUP(OLE_LINK1,INDIRECT($T$2):INDIRECT($T$3),37,FALSE)</f>
        <v>—</v>
      </c>
      <c r="C10" s="100">
        <f ca="1">HLOOKUP(OLE_LINK2,INDIRECT($U$2):INDIRECT($U$3),37,FALSE)</f>
        <v>190000</v>
      </c>
      <c r="D10" s="101" t="str">
        <f t="shared" ca="1" si="9"/>
        <v/>
      </c>
      <c r="E10" s="102" t="str">
        <f t="shared" ca="1" si="10"/>
        <v>—</v>
      </c>
      <c r="H10">
        <f t="shared" ca="1" si="19"/>
        <v>1</v>
      </c>
      <c r="I10" s="3" t="e">
        <f t="shared" ca="1" si="20"/>
        <v>#VALUE!</v>
      </c>
      <c r="J10" s="5" t="e">
        <f t="shared" ca="1" si="21"/>
        <v>#VALUE!</v>
      </c>
      <c r="K10" t="e">
        <f t="shared" ca="1" si="22"/>
        <v>#VALUE!</v>
      </c>
      <c r="M10">
        <f t="shared" ca="1" si="23"/>
        <v>0</v>
      </c>
      <c r="N10" s="3">
        <f t="shared" ca="1" si="24"/>
        <v>190000</v>
      </c>
      <c r="O10" s="5">
        <f t="shared" ca="1" si="25"/>
        <v>190000</v>
      </c>
      <c r="P10">
        <f t="shared" ca="1" si="26"/>
        <v>190000</v>
      </c>
      <c r="R10" s="6" t="str">
        <f t="shared" ca="1" si="27"/>
        <v>—</v>
      </c>
    </row>
    <row r="11" spans="1:21" x14ac:dyDescent="0.25">
      <c r="A11" s="99" t="s">
        <v>546</v>
      </c>
      <c r="B11" s="100" t="str">
        <f ca="1">HLOOKUP(OLE_LINK1,INDIRECT($T$2):INDIRECT($T$3),38,FALSE)</f>
        <v>90,000—90,500</v>
      </c>
      <c r="C11" s="100" t="str">
        <f ca="1">HLOOKUP(OLE_LINK2,INDIRECT($U$2):INDIRECT($U$3),38,FALSE)</f>
        <v>87,500—88,000</v>
      </c>
      <c r="D11" s="101" t="str">
        <f t="shared" ca="1" si="9"/>
        <v></v>
      </c>
      <c r="E11" s="102">
        <f t="shared" ca="1" si="10"/>
        <v>2.8490028490028463E-2</v>
      </c>
      <c r="H11">
        <f t="shared" ca="1" si="19"/>
        <v>7</v>
      </c>
      <c r="I11" s="3">
        <f t="shared" ca="1" si="20"/>
        <v>90000</v>
      </c>
      <c r="J11" s="5">
        <f t="shared" ca="1" si="21"/>
        <v>90500</v>
      </c>
      <c r="K11">
        <f t="shared" ca="1" si="22"/>
        <v>90250</v>
      </c>
      <c r="M11">
        <f t="shared" ca="1" si="23"/>
        <v>7</v>
      </c>
      <c r="N11" s="3">
        <f t="shared" ca="1" si="24"/>
        <v>87500</v>
      </c>
      <c r="O11" s="5">
        <f t="shared" ca="1" si="25"/>
        <v>88000</v>
      </c>
      <c r="P11">
        <f t="shared" ca="1" si="26"/>
        <v>87750</v>
      </c>
      <c r="R11" s="6">
        <f t="shared" ca="1" si="27"/>
        <v>2.8490028490028463E-2</v>
      </c>
    </row>
    <row r="12" spans="1:21" x14ac:dyDescent="0.25">
      <c r="A12" s="99" t="s">
        <v>547</v>
      </c>
      <c r="B12" s="100" t="str">
        <f ca="1">HLOOKUP(OLE_LINK1,INDIRECT($T$2):INDIRECT($T$3),39,FALSE)</f>
        <v>73,000—75,000</v>
      </c>
      <c r="C12" s="100" t="str">
        <f ca="1">HLOOKUP(OLE_LINK2,INDIRECT($U$2):INDIRECT($U$3),39,FALSE)</f>
        <v>73,000—75,000</v>
      </c>
      <c r="D12" s="101" t="str">
        <f t="shared" ca="1" si="9"/>
        <v/>
      </c>
      <c r="E12" s="102" t="str">
        <f t="shared" ca="1" si="10"/>
        <v>=</v>
      </c>
      <c r="H12">
        <f t="shared" ca="1" si="19"/>
        <v>7</v>
      </c>
      <c r="I12" s="3">
        <f t="shared" ca="1" si="20"/>
        <v>73000</v>
      </c>
      <c r="J12" s="5">
        <f t="shared" ca="1" si="21"/>
        <v>75000</v>
      </c>
      <c r="K12">
        <f t="shared" ca="1" si="22"/>
        <v>74000</v>
      </c>
      <c r="M12">
        <f t="shared" ca="1" si="23"/>
        <v>7</v>
      </c>
      <c r="N12" s="3">
        <f t="shared" ca="1" si="24"/>
        <v>73000</v>
      </c>
      <c r="O12" s="5">
        <f t="shared" ca="1" si="25"/>
        <v>75000</v>
      </c>
      <c r="P12">
        <f t="shared" ca="1" si="26"/>
        <v>74000</v>
      </c>
      <c r="R12" s="6" t="str">
        <f t="shared" ca="1" si="27"/>
        <v>=</v>
      </c>
    </row>
    <row r="13" spans="1:21" x14ac:dyDescent="0.25">
      <c r="A13" s="176" t="s">
        <v>6</v>
      </c>
      <c r="B13" s="176"/>
      <c r="C13" s="176"/>
      <c r="D13" s="176"/>
      <c r="E13" s="176"/>
      <c r="I13" s="3"/>
      <c r="J13" s="5"/>
      <c r="N13" s="3"/>
      <c r="O13" s="5"/>
      <c r="R13" s="6"/>
    </row>
    <row r="14" spans="1:21" x14ac:dyDescent="0.25">
      <c r="A14" s="105" t="s">
        <v>426</v>
      </c>
      <c r="B14" s="107"/>
      <c r="C14" s="107"/>
      <c r="D14" s="109"/>
      <c r="E14" s="109"/>
      <c r="I14" s="3"/>
      <c r="J14" s="5"/>
      <c r="N14" s="3"/>
      <c r="O14" s="5"/>
      <c r="R14" s="6"/>
    </row>
    <row r="15" spans="1:21" x14ac:dyDescent="0.25">
      <c r="A15" s="99" t="s">
        <v>526</v>
      </c>
      <c r="B15" s="123" t="str">
        <f ca="1">IFERROR(IF(I4=J4,TEXT(I4/1.22/B$24,"#,###"),CONCATENATE(TEXT(I4/1.22/B$24,"#,###"),"—",TEXT(J4/1.22/B$24,"#,###"))),"—")</f>
        <v>671—726</v>
      </c>
      <c r="C15" s="123" t="str">
        <f ca="1">IFERROR(IF(N4=O4,TEXT(N4/1.22/C$24,"#,###"),CONCATENATE(TEXT(N4/1.22/C$24,"#,###"),"—",TEXT(O4/1.22/C$24,"#,###"))),"—")</f>
        <v>694—751</v>
      </c>
      <c r="D15" s="101" t="str">
        <f ca="1">IF(OR(E15="=",E15="≈",E15="—"),"",IF(E15&gt;0,"",IF(E15&lt;0,"","")))</f>
        <v></v>
      </c>
      <c r="E15" s="102">
        <f ca="1">R15</f>
        <v>-3.3217993079584729E-2</v>
      </c>
      <c r="H15">
        <f t="shared" ca="1" si="0"/>
        <v>4</v>
      </c>
      <c r="I15" s="3">
        <f t="shared" ca="1" si="1"/>
        <v>671</v>
      </c>
      <c r="J15" s="5">
        <f t="shared" ca="1" si="2"/>
        <v>726</v>
      </c>
      <c r="K15">
        <f t="shared" ca="1" si="3"/>
        <v>698.5</v>
      </c>
      <c r="M15">
        <f t="shared" ca="1" si="4"/>
        <v>4</v>
      </c>
      <c r="N15" s="3">
        <f t="shared" ca="1" si="5"/>
        <v>694</v>
      </c>
      <c r="O15" s="5">
        <f t="shared" ca="1" si="6"/>
        <v>751</v>
      </c>
      <c r="P15">
        <f t="shared" ca="1" si="7"/>
        <v>722.5</v>
      </c>
      <c r="R15" s="6">
        <f t="shared" ca="1" si="8"/>
        <v>-3.3217993079584729E-2</v>
      </c>
    </row>
    <row r="16" spans="1:21" x14ac:dyDescent="0.25">
      <c r="A16" s="105" t="s">
        <v>4</v>
      </c>
      <c r="B16" s="126"/>
      <c r="C16" s="126"/>
      <c r="D16" s="116"/>
      <c r="E16" s="117"/>
      <c r="I16" s="3"/>
      <c r="J16" s="5"/>
      <c r="N16" s="3"/>
      <c r="O16" s="5"/>
      <c r="R16" s="6"/>
    </row>
    <row r="17" spans="1:18" x14ac:dyDescent="0.25">
      <c r="A17" s="99" t="s">
        <v>541</v>
      </c>
      <c r="B17" s="123" t="str">
        <f t="shared" ref="B17:B23" ca="1" si="28">IFERROR(IF(I6=J6,TEXT(I6/1.22/B$24,"#,###"),CONCATENATE(TEXT(I6/1.22/B$24,"#,###"),"—",TEXT(J6/1.22/B$24,"#,###"))),"—")</f>
        <v>—</v>
      </c>
      <c r="C17" s="123" t="str">
        <f t="shared" ref="C17:C23" ca="1" si="29">IFERROR(IF(N6=O6,TEXT(N6/1.22/C$24,"#,###"),CONCATENATE(TEXT(N6/1.22/C$24,"#,###"),"—",TEXT(O6/1.22/C$24,"#,###"))),"—")</f>
        <v>—</v>
      </c>
      <c r="D17" s="101" t="str">
        <f t="shared" ref="D17:D24" ca="1" si="30">IF(OR(E17="=",E17="≈",E17="—"),"",IF(E17&gt;0,"",IF(E17&lt;0,"","")))</f>
        <v/>
      </c>
      <c r="E17" s="102" t="str">
        <f t="shared" ref="E17:E24" ca="1" si="31">R17</f>
        <v>—</v>
      </c>
      <c r="H17">
        <f t="shared" ref="H17:H23" ca="1" si="32">IFERROR(FIND("—",SUBSTITUTE(B17,"*","")),0)</f>
        <v>1</v>
      </c>
      <c r="I17" s="3" t="e">
        <f t="shared" ref="I17:I23" ca="1" si="33">IF(H17=0,VALUE(SUBSTITUTE(B17,"*","")),VALUE(LEFT(SUBSTITUTE(B17,"*",""),H17-1)))</f>
        <v>#VALUE!</v>
      </c>
      <c r="J17" s="5" t="e">
        <f t="shared" ref="J17:J23" ca="1" si="34">IF(H17=0,VALUE(SUBSTITUTE(B17,"*","")),VALUE(RIGHT(SUBSTITUTE(B17,"*",""),LEN(SUBSTITUTE(B17,"*",""))-H17)))</f>
        <v>#VALUE!</v>
      </c>
      <c r="K17" t="e">
        <f t="shared" ref="K17:K23" ca="1" si="35">AVERAGE(I17:J17)</f>
        <v>#VALUE!</v>
      </c>
      <c r="M17">
        <f t="shared" ref="M17:M23" ca="1" si="36">IFERROR(FIND("—",SUBSTITUTE(C17,"*","")),0)</f>
        <v>1</v>
      </c>
      <c r="N17" s="3" t="e">
        <f t="shared" ref="N17:N23" ca="1" si="37">IF(M17=0,VALUE(SUBSTITUTE(C17,"*","")),VALUE(LEFT(SUBSTITUTE(C17,"*",""),M17-1)))</f>
        <v>#VALUE!</v>
      </c>
      <c r="O17" s="5" t="e">
        <f t="shared" ref="O17:O23" ca="1" si="38">IF(M17=0,VALUE(SUBSTITUTE(C17,"*","")),VALUE(RIGHT(SUBSTITUTE(C17,"*",""),LEN(SUBSTITUTE(C17,"*",""))-M17)))</f>
        <v>#VALUE!</v>
      </c>
      <c r="P17" t="e">
        <f t="shared" ref="P17:P23" ca="1" si="39">AVERAGE(N17:O17)</f>
        <v>#VALUE!</v>
      </c>
      <c r="R17" s="6" t="str">
        <f t="shared" ref="R17:R23" ca="1" si="40">IFERROR(IF(K17/P17-1=0,"=",IF(OR(AND(K17/P17-1&lt;0.005,K17/P17-1&gt;0), AND(K17/P17-1&lt;0,K17/P17-1&gt;-0.005)),"≈",K17/P17-1)),"—")</f>
        <v>—</v>
      </c>
    </row>
    <row r="18" spans="1:18" x14ac:dyDescent="0.25">
      <c r="A18" s="99" t="s">
        <v>542</v>
      </c>
      <c r="B18" s="123" t="str">
        <f t="shared" ca="1" si="28"/>
        <v>—</v>
      </c>
      <c r="C18" s="123" t="str">
        <f t="shared" ca="1" si="29"/>
        <v>—</v>
      </c>
      <c r="D18" s="101" t="str">
        <f t="shared" ca="1" si="30"/>
        <v/>
      </c>
      <c r="E18" s="102" t="str">
        <f t="shared" ca="1" si="31"/>
        <v>—</v>
      </c>
      <c r="H18">
        <f t="shared" ca="1" si="32"/>
        <v>1</v>
      </c>
      <c r="I18" s="3" t="e">
        <f t="shared" ca="1" si="33"/>
        <v>#VALUE!</v>
      </c>
      <c r="J18" s="5" t="e">
        <f t="shared" ca="1" si="34"/>
        <v>#VALUE!</v>
      </c>
      <c r="K18" t="e">
        <f t="shared" ca="1" si="35"/>
        <v>#VALUE!</v>
      </c>
      <c r="M18">
        <f t="shared" ca="1" si="36"/>
        <v>1</v>
      </c>
      <c r="N18" s="3" t="e">
        <f t="shared" ca="1" si="37"/>
        <v>#VALUE!</v>
      </c>
      <c r="O18" s="5" t="e">
        <f t="shared" ca="1" si="38"/>
        <v>#VALUE!</v>
      </c>
      <c r="P18" t="e">
        <f t="shared" ca="1" si="39"/>
        <v>#VALUE!</v>
      </c>
      <c r="R18" s="6" t="str">
        <f t="shared" ca="1" si="40"/>
        <v>—</v>
      </c>
    </row>
    <row r="19" spans="1:18" x14ac:dyDescent="0.25">
      <c r="A19" s="99" t="s">
        <v>543</v>
      </c>
      <c r="B19" s="123" t="str">
        <f t="shared" ca="1" si="28"/>
        <v>1,140</v>
      </c>
      <c r="C19" s="123" t="str">
        <f t="shared" ca="1" si="29"/>
        <v>925—1,168</v>
      </c>
      <c r="D19" s="101" t="str">
        <f t="shared" ca="1" si="30"/>
        <v></v>
      </c>
      <c r="E19" s="102">
        <f t="shared" ca="1" si="31"/>
        <v>8.93454371715241E-2</v>
      </c>
      <c r="H19">
        <f t="shared" ca="1" si="32"/>
        <v>0</v>
      </c>
      <c r="I19" s="3">
        <f t="shared" ca="1" si="33"/>
        <v>1140</v>
      </c>
      <c r="J19" s="5">
        <f t="shared" ca="1" si="34"/>
        <v>1140</v>
      </c>
      <c r="K19">
        <f t="shared" ca="1" si="35"/>
        <v>1140</v>
      </c>
      <c r="M19">
        <f t="shared" ca="1" si="36"/>
        <v>4</v>
      </c>
      <c r="N19" s="3">
        <f t="shared" ca="1" si="37"/>
        <v>925</v>
      </c>
      <c r="O19" s="5">
        <f t="shared" ca="1" si="38"/>
        <v>1168</v>
      </c>
      <c r="P19">
        <f t="shared" ca="1" si="39"/>
        <v>1046.5</v>
      </c>
      <c r="R19" s="6">
        <f t="shared" ca="1" si="40"/>
        <v>8.93454371715241E-2</v>
      </c>
    </row>
    <row r="20" spans="1:18" x14ac:dyDescent="0.25">
      <c r="A20" s="99" t="s">
        <v>544</v>
      </c>
      <c r="B20" s="123" t="str">
        <f t="shared" ca="1" si="28"/>
        <v>1,621</v>
      </c>
      <c r="C20" s="123" t="str">
        <f t="shared" ca="1" si="29"/>
        <v>1,850</v>
      </c>
      <c r="D20" s="101" t="str">
        <f t="shared" ca="1" si="30"/>
        <v></v>
      </c>
      <c r="E20" s="102">
        <f t="shared" ca="1" si="31"/>
        <v>-0.12378378378378374</v>
      </c>
      <c r="H20">
        <f t="shared" ca="1" si="32"/>
        <v>0</v>
      </c>
      <c r="I20" s="3">
        <f t="shared" ca="1" si="33"/>
        <v>1621</v>
      </c>
      <c r="J20" s="5">
        <f t="shared" ca="1" si="34"/>
        <v>1621</v>
      </c>
      <c r="K20">
        <f t="shared" ca="1" si="35"/>
        <v>1621</v>
      </c>
      <c r="M20">
        <f t="shared" ca="1" si="36"/>
        <v>0</v>
      </c>
      <c r="N20" s="3">
        <f t="shared" ca="1" si="37"/>
        <v>1850</v>
      </c>
      <c r="O20" s="5">
        <f t="shared" ca="1" si="38"/>
        <v>1850</v>
      </c>
      <c r="P20">
        <f t="shared" ca="1" si="39"/>
        <v>1850</v>
      </c>
      <c r="R20" s="6">
        <f t="shared" ca="1" si="40"/>
        <v>-0.12378378378378374</v>
      </c>
    </row>
    <row r="21" spans="1:18" x14ac:dyDescent="0.25">
      <c r="A21" s="99" t="s">
        <v>545</v>
      </c>
      <c r="B21" s="123" t="str">
        <f t="shared" ca="1" si="28"/>
        <v>—</v>
      </c>
      <c r="C21" s="123" t="str">
        <f t="shared" ca="1" si="29"/>
        <v>2,197</v>
      </c>
      <c r="D21" s="101" t="str">
        <f t="shared" ca="1" si="30"/>
        <v/>
      </c>
      <c r="E21" s="102" t="str">
        <f t="shared" ca="1" si="31"/>
        <v>—</v>
      </c>
      <c r="H21">
        <f t="shared" ca="1" si="32"/>
        <v>1</v>
      </c>
      <c r="I21" s="3" t="e">
        <f t="shared" ca="1" si="33"/>
        <v>#VALUE!</v>
      </c>
      <c r="J21" s="5" t="e">
        <f t="shared" ca="1" si="34"/>
        <v>#VALUE!</v>
      </c>
      <c r="K21" t="e">
        <f t="shared" ca="1" si="35"/>
        <v>#VALUE!</v>
      </c>
      <c r="M21">
        <f t="shared" ca="1" si="36"/>
        <v>0</v>
      </c>
      <c r="N21" s="3">
        <f t="shared" ca="1" si="37"/>
        <v>2197</v>
      </c>
      <c r="O21" s="5">
        <f t="shared" ca="1" si="38"/>
        <v>2197</v>
      </c>
      <c r="P21">
        <f t="shared" ca="1" si="39"/>
        <v>2197</v>
      </c>
      <c r="R21" s="6" t="str">
        <f t="shared" ca="1" si="40"/>
        <v>—</v>
      </c>
    </row>
    <row r="22" spans="1:18" x14ac:dyDescent="0.25">
      <c r="A22" s="99" t="s">
        <v>546</v>
      </c>
      <c r="B22" s="123" t="str">
        <f t="shared" ca="1" si="28"/>
        <v>1,006—1,011</v>
      </c>
      <c r="C22" s="123" t="str">
        <f t="shared" ca="1" si="29"/>
        <v>1,012—1,017</v>
      </c>
      <c r="D22" s="101" t="str">
        <f t="shared" ca="1" si="30"/>
        <v></v>
      </c>
      <c r="E22" s="102">
        <f t="shared" ca="1" si="31"/>
        <v>-5.9142434696894952E-3</v>
      </c>
      <c r="H22">
        <f t="shared" ca="1" si="32"/>
        <v>6</v>
      </c>
      <c r="I22" s="3">
        <f t="shared" ca="1" si="33"/>
        <v>1006</v>
      </c>
      <c r="J22" s="5">
        <f t="shared" ca="1" si="34"/>
        <v>1011</v>
      </c>
      <c r="K22">
        <f t="shared" ca="1" si="35"/>
        <v>1008.5</v>
      </c>
      <c r="M22">
        <f t="shared" ca="1" si="36"/>
        <v>6</v>
      </c>
      <c r="N22" s="3">
        <f t="shared" ca="1" si="37"/>
        <v>1012</v>
      </c>
      <c r="O22" s="5">
        <f t="shared" ca="1" si="38"/>
        <v>1017</v>
      </c>
      <c r="P22">
        <f t="shared" ca="1" si="39"/>
        <v>1014.5</v>
      </c>
      <c r="R22" s="6">
        <f t="shared" ca="1" si="40"/>
        <v>-5.9142434696894952E-3</v>
      </c>
    </row>
    <row r="23" spans="1:18" x14ac:dyDescent="0.25">
      <c r="A23" s="99" t="s">
        <v>547</v>
      </c>
      <c r="B23" s="123" t="str">
        <f t="shared" ca="1" si="28"/>
        <v>816—838</v>
      </c>
      <c r="C23" s="123" t="str">
        <f t="shared" ca="1" si="29"/>
        <v>844—867</v>
      </c>
      <c r="D23" s="101" t="str">
        <f t="shared" ca="1" si="30"/>
        <v></v>
      </c>
      <c r="E23" s="102">
        <f t="shared" ca="1" si="31"/>
        <v>-3.3313851548801843E-2</v>
      </c>
      <c r="H23">
        <f t="shared" ca="1" si="32"/>
        <v>4</v>
      </c>
      <c r="I23" s="3">
        <f t="shared" ca="1" si="33"/>
        <v>816</v>
      </c>
      <c r="J23" s="5">
        <f t="shared" ca="1" si="34"/>
        <v>838</v>
      </c>
      <c r="K23">
        <f t="shared" ca="1" si="35"/>
        <v>827</v>
      </c>
      <c r="M23">
        <f t="shared" ca="1" si="36"/>
        <v>4</v>
      </c>
      <c r="N23" s="3">
        <f t="shared" ca="1" si="37"/>
        <v>844</v>
      </c>
      <c r="O23" s="5">
        <f t="shared" ca="1" si="38"/>
        <v>867</v>
      </c>
      <c r="P23">
        <f t="shared" ca="1" si="39"/>
        <v>855.5</v>
      </c>
      <c r="R23" s="6">
        <f t="shared" ca="1" si="40"/>
        <v>-3.3313851548801843E-2</v>
      </c>
    </row>
    <row r="24" spans="1:18" x14ac:dyDescent="0.25">
      <c r="A24" s="106" t="s">
        <v>8</v>
      </c>
      <c r="B24" s="124">
        <f ca="1">HLOOKUP(OLE_LINK1,INDIRECT($T$2):INDIRECT($T$3),2,FALSE)</f>
        <v>73.34</v>
      </c>
      <c r="C24" s="124">
        <f ca="1">HLOOKUP(OLE_LINK2,INDIRECT($U$2):INDIRECT($U$3),2,FALSE)</f>
        <v>70.900000000000006</v>
      </c>
      <c r="D24" s="116" t="str">
        <f t="shared" ca="1" si="30"/>
        <v></v>
      </c>
      <c r="E24" s="117">
        <f t="shared" ca="1" si="31"/>
        <v>3.4414668547249505E-2</v>
      </c>
      <c r="H24">
        <f t="shared" ca="1" si="0"/>
        <v>0</v>
      </c>
      <c r="I24" s="3">
        <f t="shared" ca="1" si="1"/>
        <v>73.34</v>
      </c>
      <c r="J24" s="5">
        <f t="shared" ca="1" si="2"/>
        <v>73.34</v>
      </c>
      <c r="K24">
        <f t="shared" ca="1" si="3"/>
        <v>73.34</v>
      </c>
      <c r="M24">
        <f t="shared" ca="1" si="4"/>
        <v>0</v>
      </c>
      <c r="N24" s="3">
        <f t="shared" ca="1" si="5"/>
        <v>70.900000000000006</v>
      </c>
      <c r="O24" s="5">
        <f t="shared" ca="1" si="6"/>
        <v>70.900000000000006</v>
      </c>
      <c r="P24">
        <f t="shared" ca="1" si="7"/>
        <v>70.900000000000006</v>
      </c>
      <c r="R24" s="6">
        <f t="shared" ca="1" si="8"/>
        <v>3.4414668547249505E-2</v>
      </c>
    </row>
    <row r="25" spans="1:18" x14ac:dyDescent="0.25">
      <c r="I25" s="3"/>
      <c r="J25" s="5"/>
      <c r="N25" s="3"/>
      <c r="O25" s="5"/>
      <c r="R25" s="6"/>
    </row>
    <row r="26" spans="1:18" x14ac:dyDescent="0.25">
      <c r="I26" s="3"/>
      <c r="J26" s="5"/>
      <c r="N26" s="3"/>
      <c r="O26" s="5"/>
      <c r="R26" s="6"/>
    </row>
    <row r="27" spans="1:18" x14ac:dyDescent="0.25">
      <c r="I27" s="3"/>
      <c r="J27" s="5"/>
      <c r="N27" s="3"/>
      <c r="O27" s="5"/>
      <c r="R27" s="6"/>
    </row>
    <row r="28" spans="1:18" x14ac:dyDescent="0.25">
      <c r="A28" s="169" t="s">
        <v>16</v>
      </c>
      <c r="B28" s="169"/>
      <c r="C28" s="169"/>
      <c r="D28" s="169"/>
      <c r="E28" s="169"/>
      <c r="I28" s="3"/>
      <c r="J28" s="5"/>
      <c r="N28" s="3"/>
      <c r="O28" s="5"/>
      <c r="R28" s="6"/>
    </row>
    <row r="29" spans="1:18" x14ac:dyDescent="0.25">
      <c r="A29" s="113"/>
      <c r="B29" s="110" t="str">
        <f>OLE_LINK1</f>
        <v>June 4</v>
      </c>
      <c r="C29" s="110" t="str">
        <f>OLE_LINK2</f>
        <v>May 28</v>
      </c>
      <c r="D29" s="170" t="s">
        <v>2</v>
      </c>
      <c r="E29" s="170"/>
      <c r="I29" s="3"/>
      <c r="J29" s="5"/>
      <c r="N29" s="3"/>
      <c r="O29" s="5"/>
      <c r="R29" s="6"/>
    </row>
    <row r="30" spans="1:18" x14ac:dyDescent="0.25">
      <c r="A30" s="105" t="s">
        <v>5</v>
      </c>
      <c r="B30" s="104"/>
      <c r="C30" s="104"/>
      <c r="D30" s="104"/>
      <c r="E30" s="104"/>
      <c r="I30" s="3"/>
      <c r="J30" s="5"/>
      <c r="N30" s="3"/>
      <c r="O30" s="5"/>
      <c r="R30" s="6"/>
    </row>
    <row r="31" spans="1:18" x14ac:dyDescent="0.25">
      <c r="A31" s="119" t="s">
        <v>40</v>
      </c>
      <c r="B31" s="120">
        <f ca="1">HLOOKUP(OLE_LINK1,INDIRECT($T$2):INDIRECT($T$3),17,FALSE)</f>
        <v>808</v>
      </c>
      <c r="C31" s="120">
        <f ca="1">HLOOKUP(OLE_LINK2,INDIRECT($U$2):INDIRECT($U$3),17,FALSE)</f>
        <v>835</v>
      </c>
      <c r="D31" s="121" t="str">
        <f t="shared" ref="D31:D39" ca="1" si="41">IF(OR(E31="=",E31="≈",E31="—"),"",IF(E31&gt;0,"",IF(E31&lt;0,"","")))</f>
        <v></v>
      </c>
      <c r="E31" s="122">
        <f t="shared" ref="E31:E39" ca="1" si="42">R31</f>
        <v>-3.2335329341317331E-2</v>
      </c>
      <c r="H31">
        <f t="shared" ref="H31:H38" ca="1" si="43">IFERROR(FIND("—",SUBSTITUTE(B31,"*","")),0)</f>
        <v>0</v>
      </c>
      <c r="I31" s="3">
        <f t="shared" ref="I31:I38" ca="1" si="44">IF(H31=0,VALUE(SUBSTITUTE(B31,"*","")),VALUE(LEFT(SUBSTITUTE(B31,"*",""),H31-1)))</f>
        <v>808</v>
      </c>
      <c r="J31" s="5">
        <f t="shared" ca="1" si="2"/>
        <v>808</v>
      </c>
      <c r="K31">
        <f t="shared" ref="K31:K38" ca="1" si="45">AVERAGE(I31:J31)</f>
        <v>808</v>
      </c>
      <c r="M31">
        <f t="shared" ca="1" si="4"/>
        <v>0</v>
      </c>
      <c r="N31" s="3">
        <f t="shared" ca="1" si="5"/>
        <v>835</v>
      </c>
      <c r="O31" s="5">
        <f t="shared" ca="1" si="6"/>
        <v>835</v>
      </c>
      <c r="P31">
        <f t="shared" ref="P31:P38" ca="1" si="46">AVERAGE(N31:O31)</f>
        <v>835</v>
      </c>
      <c r="R31" s="6">
        <f t="shared" ref="R31:R38" ca="1" si="47">IFERROR(IF(K31/P31-1=0,"=",IF(OR(AND(K31/P31-1&lt;0.005,K31/P31-1&gt;0), AND(K31/P31-1&lt;0,K31/P31-1&gt;-0.005)),"≈",K31/P31-1)),"—")</f>
        <v>-3.2335329341317331E-2</v>
      </c>
    </row>
    <row r="32" spans="1:18" x14ac:dyDescent="0.25">
      <c r="A32" s="105" t="s">
        <v>426</v>
      </c>
      <c r="B32" s="115"/>
      <c r="C32" s="115"/>
      <c r="D32" s="116"/>
      <c r="E32" s="117"/>
      <c r="I32" s="3"/>
      <c r="J32" s="5"/>
      <c r="N32" s="3"/>
      <c r="O32" s="5"/>
      <c r="R32" s="6"/>
    </row>
    <row r="33" spans="1:18" x14ac:dyDescent="0.25">
      <c r="A33" s="119" t="s">
        <v>431</v>
      </c>
      <c r="B33" s="120">
        <f ca="1">HLOOKUP(OLE_LINK1,INDIRECT($T$2):INDIRECT($T$3),18,FALSE)</f>
        <v>1150</v>
      </c>
      <c r="C33" s="120">
        <f ca="1">HLOOKUP(OLE_LINK2,INDIRECT($U$2):INDIRECT($U$3),18,FALSE)</f>
        <v>1210</v>
      </c>
      <c r="D33" s="121" t="str">
        <f t="shared" ca="1" si="41"/>
        <v></v>
      </c>
      <c r="E33" s="122">
        <f t="shared" ca="1" si="42"/>
        <v>-4.9586776859504078E-2</v>
      </c>
      <c r="H33">
        <f t="shared" ca="1" si="43"/>
        <v>0</v>
      </c>
      <c r="I33" s="3">
        <f t="shared" ca="1" si="44"/>
        <v>1150</v>
      </c>
      <c r="J33" s="5">
        <f t="shared" ca="1" si="2"/>
        <v>1150</v>
      </c>
      <c r="K33">
        <f t="shared" ca="1" si="45"/>
        <v>1150</v>
      </c>
      <c r="M33">
        <f t="shared" ca="1" si="4"/>
        <v>0</v>
      </c>
      <c r="N33" s="3">
        <f t="shared" ca="1" si="5"/>
        <v>1210</v>
      </c>
      <c r="O33" s="5">
        <f t="shared" ca="1" si="6"/>
        <v>1210</v>
      </c>
      <c r="P33">
        <f t="shared" ca="1" si="46"/>
        <v>1210</v>
      </c>
      <c r="R33" s="6">
        <f t="shared" ca="1" si="47"/>
        <v>-4.9586776859504078E-2</v>
      </c>
    </row>
    <row r="34" spans="1:18" x14ac:dyDescent="0.25">
      <c r="A34" s="119" t="s">
        <v>432</v>
      </c>
      <c r="B34" s="120">
        <f ca="1">HLOOKUP(OLE_LINK1,INDIRECT($T$2):INDIRECT($T$3),19,FALSE)</f>
        <v>1130</v>
      </c>
      <c r="C34" s="120">
        <f ca="1">HLOOKUP(OLE_LINK2,INDIRECT($U$2):INDIRECT($U$3),19,FALSE)</f>
        <v>1200</v>
      </c>
      <c r="D34" s="121" t="str">
        <f t="shared" ca="1" si="41"/>
        <v></v>
      </c>
      <c r="E34" s="122">
        <f t="shared" ca="1" si="42"/>
        <v>-5.8333333333333348E-2</v>
      </c>
      <c r="H34">
        <f t="shared" ca="1" si="43"/>
        <v>0</v>
      </c>
      <c r="I34" s="3">
        <f t="shared" ca="1" si="44"/>
        <v>1130</v>
      </c>
      <c r="J34" s="5">
        <f t="shared" ca="1" si="2"/>
        <v>1130</v>
      </c>
      <c r="K34">
        <f t="shared" ca="1" si="45"/>
        <v>1130</v>
      </c>
      <c r="M34">
        <f t="shared" ca="1" si="4"/>
        <v>0</v>
      </c>
      <c r="N34" s="3">
        <f t="shared" ca="1" si="5"/>
        <v>1200</v>
      </c>
      <c r="O34" s="5">
        <f t="shared" ca="1" si="6"/>
        <v>1200</v>
      </c>
      <c r="P34">
        <f t="shared" ca="1" si="46"/>
        <v>1200</v>
      </c>
      <c r="R34" s="6">
        <f t="shared" ca="1" si="47"/>
        <v>-5.8333333333333348E-2</v>
      </c>
    </row>
    <row r="35" spans="1:18" x14ac:dyDescent="0.25">
      <c r="A35" s="105" t="s">
        <v>4</v>
      </c>
      <c r="B35" s="115"/>
      <c r="C35" s="115"/>
      <c r="D35" s="116"/>
      <c r="E35" s="117"/>
      <c r="I35" s="3"/>
      <c r="J35" s="5"/>
      <c r="N35" s="3"/>
      <c r="O35" s="5"/>
      <c r="R35" s="6"/>
    </row>
    <row r="36" spans="1:18" x14ac:dyDescent="0.25">
      <c r="A36" s="119" t="s">
        <v>435</v>
      </c>
      <c r="B36" s="120" t="str">
        <f ca="1">HLOOKUP(OLE_LINK1,INDIRECT($T$2):INDIRECT($T$3),20,FALSE)</f>
        <v>1,200—1,250</v>
      </c>
      <c r="C36" s="120" t="str">
        <f ca="1">HLOOKUP(OLE_LINK2,INDIRECT($U$2):INDIRECT($U$3),20,FALSE)</f>
        <v>1,210—1,280</v>
      </c>
      <c r="D36" s="121" t="str">
        <f t="shared" ca="1" si="41"/>
        <v></v>
      </c>
      <c r="E36" s="122">
        <f t="shared" ca="1" si="42"/>
        <v>-1.6064257028112428E-2</v>
      </c>
      <c r="H36">
        <f t="shared" ca="1" si="43"/>
        <v>6</v>
      </c>
      <c r="I36" s="3">
        <f t="shared" ca="1" si="44"/>
        <v>1200</v>
      </c>
      <c r="J36" s="5">
        <f t="shared" ca="1" si="2"/>
        <v>1250</v>
      </c>
      <c r="K36">
        <f t="shared" ca="1" si="45"/>
        <v>1225</v>
      </c>
      <c r="M36">
        <f t="shared" ca="1" si="4"/>
        <v>6</v>
      </c>
      <c r="N36" s="3">
        <f t="shared" ca="1" si="5"/>
        <v>1210</v>
      </c>
      <c r="O36" s="5">
        <f t="shared" ca="1" si="6"/>
        <v>1280</v>
      </c>
      <c r="P36">
        <f t="shared" ca="1" si="46"/>
        <v>1245</v>
      </c>
      <c r="R36" s="6">
        <f t="shared" ca="1" si="47"/>
        <v>-1.6064257028112428E-2</v>
      </c>
    </row>
    <row r="37" spans="1:18" x14ac:dyDescent="0.25">
      <c r="A37" s="119" t="s">
        <v>436</v>
      </c>
      <c r="B37" s="120" t="str">
        <f ca="1">HLOOKUP(OLE_LINK1,INDIRECT($T$2):INDIRECT($T$3),21,FALSE)</f>
        <v>1,220—1,270</v>
      </c>
      <c r="C37" s="120" t="str">
        <f ca="1">HLOOKUP(OLE_LINK2,INDIRECT($U$2):INDIRECT($U$3),21,FALSE)</f>
        <v>1,250—1,300</v>
      </c>
      <c r="D37" s="121" t="str">
        <f t="shared" ca="1" si="41"/>
        <v></v>
      </c>
      <c r="E37" s="122">
        <f t="shared" ca="1" si="42"/>
        <v>-2.352941176470591E-2</v>
      </c>
      <c r="H37">
        <f t="shared" ca="1" si="43"/>
        <v>6</v>
      </c>
      <c r="I37" s="3">
        <f t="shared" ca="1" si="44"/>
        <v>1220</v>
      </c>
      <c r="J37" s="5">
        <f t="shared" ca="1" si="2"/>
        <v>1270</v>
      </c>
      <c r="K37">
        <f t="shared" ca="1" si="45"/>
        <v>1245</v>
      </c>
      <c r="M37">
        <f t="shared" ca="1" si="4"/>
        <v>6</v>
      </c>
      <c r="N37" s="3">
        <f t="shared" ca="1" si="5"/>
        <v>1250</v>
      </c>
      <c r="O37" s="5">
        <f t="shared" ca="1" si="6"/>
        <v>1300</v>
      </c>
      <c r="P37">
        <f t="shared" ca="1" si="46"/>
        <v>1275</v>
      </c>
      <c r="R37" s="6">
        <f t="shared" ca="1" si="47"/>
        <v>-2.352941176470591E-2</v>
      </c>
    </row>
    <row r="38" spans="1:18" x14ac:dyDescent="0.25">
      <c r="A38" s="119" t="s">
        <v>523</v>
      </c>
      <c r="B38" s="120">
        <f ca="1">HLOOKUP(OLE_LINK1,INDIRECT($T$2):INDIRECT($T$3),22,FALSE)</f>
        <v>990</v>
      </c>
      <c r="C38" s="120">
        <f ca="1">HLOOKUP(OLE_LINK2,INDIRECT($U$2):INDIRECT($U$3),22,FALSE)</f>
        <v>1000</v>
      </c>
      <c r="D38" s="121" t="str">
        <f t="shared" ca="1" si="41"/>
        <v></v>
      </c>
      <c r="E38" s="122">
        <f t="shared" ca="1" si="42"/>
        <v>-1.0000000000000009E-2</v>
      </c>
      <c r="H38">
        <f t="shared" ca="1" si="43"/>
        <v>0</v>
      </c>
      <c r="I38" s="3">
        <f t="shared" ca="1" si="44"/>
        <v>990</v>
      </c>
      <c r="J38" s="5">
        <f t="shared" ca="1" si="2"/>
        <v>990</v>
      </c>
      <c r="K38">
        <f t="shared" ca="1" si="45"/>
        <v>990</v>
      </c>
      <c r="M38">
        <f t="shared" ca="1" si="4"/>
        <v>0</v>
      </c>
      <c r="N38" s="3">
        <f t="shared" ca="1" si="5"/>
        <v>1000</v>
      </c>
      <c r="O38" s="5">
        <f t="shared" ca="1" si="6"/>
        <v>1000</v>
      </c>
      <c r="P38">
        <f t="shared" ca="1" si="46"/>
        <v>1000</v>
      </c>
      <c r="R38" s="6">
        <f t="shared" ca="1" si="47"/>
        <v>-1.0000000000000009E-2</v>
      </c>
    </row>
    <row r="39" spans="1:18" x14ac:dyDescent="0.25">
      <c r="A39" s="119" t="s">
        <v>524</v>
      </c>
      <c r="B39" s="120">
        <f ca="1">HLOOKUP(OLE_LINK1,INDIRECT($T$2):INDIRECT($T$3),23,FALSE)</f>
        <v>910</v>
      </c>
      <c r="C39" s="120">
        <f ca="1">HLOOKUP(OLE_LINK2,INDIRECT($U$2):INDIRECT($U$3),23,FALSE)</f>
        <v>930</v>
      </c>
      <c r="D39" s="121" t="str">
        <f t="shared" ca="1" si="41"/>
        <v></v>
      </c>
      <c r="E39" s="122">
        <f t="shared" ca="1" si="42"/>
        <v>-2.1505376344086002E-2</v>
      </c>
      <c r="H39">
        <f t="shared" ref="H39" ca="1" si="48">IFERROR(FIND("—",SUBSTITUTE(B39,"*","")),0)</f>
        <v>0</v>
      </c>
      <c r="I39" s="3">
        <f t="shared" ref="I39" ca="1" si="49">IF(H39=0,VALUE(SUBSTITUTE(B39,"*","")),VALUE(LEFT(SUBSTITUTE(B39,"*",""),H39-1)))</f>
        <v>910</v>
      </c>
      <c r="J39" s="5">
        <f t="shared" ref="J39" ca="1" si="50">IF(H39=0,VALUE(SUBSTITUTE(B39,"*","")),VALUE(RIGHT(SUBSTITUTE(B39,"*",""),LEN(SUBSTITUTE(B39,"*",""))-H39)))</f>
        <v>910</v>
      </c>
      <c r="K39">
        <f t="shared" ref="K39" ca="1" si="51">AVERAGE(I39:J39)</f>
        <v>910</v>
      </c>
      <c r="M39">
        <f t="shared" ref="M39" ca="1" si="52">IFERROR(FIND("—",SUBSTITUTE(C39,"*","")),0)</f>
        <v>0</v>
      </c>
      <c r="N39" s="3">
        <f t="shared" ref="N39" ca="1" si="53">IF(M39=0,VALUE(SUBSTITUTE(C39,"*","")),VALUE(LEFT(SUBSTITUTE(C39,"*",""),M39-1)))</f>
        <v>930</v>
      </c>
      <c r="O39" s="5">
        <f t="shared" ref="O39" ca="1" si="54">IF(M39=0,VALUE(SUBSTITUTE(C39,"*","")),VALUE(RIGHT(SUBSTITUTE(C39,"*",""),LEN(SUBSTITUTE(C39,"*",""))-M39)))</f>
        <v>930</v>
      </c>
      <c r="P39">
        <f t="shared" ref="P39" ca="1" si="55">AVERAGE(N39:O39)</f>
        <v>930</v>
      </c>
      <c r="R39" s="6">
        <f t="shared" ref="R39" ca="1" si="56">IFERROR(IF(K39/P39-1=0,"=",IF(OR(AND(K39/P39-1&lt;0.005,K39/P39-1&gt;0), AND(K39/P39-1&lt;0,K39/P39-1&gt;-0.005)),"≈",K39/P39-1)),"—")</f>
        <v>-2.1505376344086002E-2</v>
      </c>
    </row>
    <row r="40" spans="1:18" x14ac:dyDescent="0.25">
      <c r="A40" s="177" t="s">
        <v>251</v>
      </c>
      <c r="B40" s="177"/>
      <c r="C40" s="177"/>
      <c r="D40" s="177"/>
      <c r="E40" s="177"/>
    </row>
    <row r="41" spans="1:18" x14ac:dyDescent="0.25">
      <c r="A41" s="118"/>
      <c r="B41" s="104" t="str">
        <f>OLE_LINK1</f>
        <v>June 4</v>
      </c>
      <c r="C41" s="104" t="str">
        <f>OLE_LINK2</f>
        <v>May 28</v>
      </c>
      <c r="D41" s="178" t="s">
        <v>2</v>
      </c>
      <c r="E41" s="178"/>
    </row>
    <row r="42" spans="1:18" x14ac:dyDescent="0.25">
      <c r="A42" s="114" t="s">
        <v>252</v>
      </c>
      <c r="B42" s="115">
        <f ca="1">HLOOKUP(OLE_LINK1,INDIRECT($T$2):INDIRECT($T$3),22,FALSE)</f>
        <v>990</v>
      </c>
      <c r="C42" s="115">
        <f ca="1">HLOOKUP(OLE_LINK2,INDIRECT($U$2):INDIRECT($U$3),22,FALSE)</f>
        <v>1000</v>
      </c>
      <c r="D42" s="116" t="str">
        <f ca="1">IF(OR(E42="=",E42="≈",E42="—"),"",IF(E42&gt;0,"",IF(E42&lt;0,"","")))</f>
        <v></v>
      </c>
      <c r="E42" s="117">
        <f ca="1">R42</f>
        <v>-1.0000000000000009E-2</v>
      </c>
      <c r="H42">
        <f t="shared" ref="H42:H44" ca="1" si="57">IFERROR(FIND("—",SUBSTITUTE(B42,"*","")),0)</f>
        <v>0</v>
      </c>
      <c r="I42" s="3">
        <f t="shared" ref="I42:I44" ca="1" si="58">IF(H42=0,VALUE(SUBSTITUTE(B42,"*","")),VALUE(LEFT(SUBSTITUTE(B42,"*",""),H42-1)))</f>
        <v>990</v>
      </c>
      <c r="J42" s="5">
        <f t="shared" ref="J42:J44" ca="1" si="59">IF(H42=0,VALUE(SUBSTITUTE(B42,"*","")),VALUE(RIGHT(SUBSTITUTE(B42,"*",""),LEN(SUBSTITUTE(B42,"*",""))-H42)))</f>
        <v>990</v>
      </c>
      <c r="K42">
        <f t="shared" ref="K42:K44" ca="1" si="60">AVERAGE(I42:J42)</f>
        <v>990</v>
      </c>
      <c r="M42">
        <f t="shared" ref="M42:M44" ca="1" si="61">IFERROR(FIND("—",SUBSTITUTE(C42,"*","")),0)</f>
        <v>0</v>
      </c>
      <c r="N42" s="3">
        <f t="shared" ref="N42:N44" ca="1" si="62">IF(M42=0,VALUE(SUBSTITUTE(C42,"*","")),VALUE(LEFT(SUBSTITUTE(C42,"*",""),M42-1)))</f>
        <v>1000</v>
      </c>
      <c r="O42" s="5">
        <f t="shared" ref="O42:O44" ca="1" si="63">IF(M42=0,VALUE(SUBSTITUTE(C42,"*","")),VALUE(RIGHT(SUBSTITUTE(C42,"*",""),LEN(SUBSTITUTE(C42,"*",""))-M42)))</f>
        <v>1000</v>
      </c>
      <c r="P42">
        <f t="shared" ref="P42:P44" ca="1" si="64">AVERAGE(N42:O42)</f>
        <v>1000</v>
      </c>
      <c r="R42" s="6">
        <f t="shared" ref="R42:R44" ca="1" si="65">IFERROR(IF(K42/P42-1=0,"=",IF(OR(AND(K42/P42-1&lt;0.005,K42/P42-1&gt;0), AND(K42/P42-1&lt;0,K42/P42-1&gt;-0.005)),"≈",K42/P42-1)),"—")</f>
        <v>-1.0000000000000009E-2</v>
      </c>
    </row>
    <row r="43" spans="1:18" x14ac:dyDescent="0.25">
      <c r="A43" s="114" t="s">
        <v>253</v>
      </c>
      <c r="B43" s="115">
        <f ca="1">HLOOKUP(OLE_LINK1,INDIRECT($T$2):INDIRECT($T$3),23,FALSE)</f>
        <v>910</v>
      </c>
      <c r="C43" s="115">
        <f ca="1">HLOOKUP(OLE_LINK2,INDIRECT($U$2):INDIRECT($U$3),23,FALSE)</f>
        <v>930</v>
      </c>
      <c r="D43" s="116" t="str">
        <f ca="1">IF(OR(E43="=",E43="≈",E43="—"),"",IF(E43&gt;0,"",IF(E43&lt;0,"","")))</f>
        <v></v>
      </c>
      <c r="E43" s="117">
        <f ca="1">R43</f>
        <v>-2.1505376344086002E-2</v>
      </c>
      <c r="H43">
        <f t="shared" ca="1" si="57"/>
        <v>0</v>
      </c>
      <c r="I43" s="3">
        <f t="shared" ca="1" si="58"/>
        <v>910</v>
      </c>
      <c r="J43" s="5">
        <f t="shared" ca="1" si="59"/>
        <v>910</v>
      </c>
      <c r="K43">
        <f t="shared" ca="1" si="60"/>
        <v>910</v>
      </c>
      <c r="M43">
        <f t="shared" ca="1" si="61"/>
        <v>0</v>
      </c>
      <c r="N43" s="3">
        <f t="shared" ca="1" si="62"/>
        <v>930</v>
      </c>
      <c r="O43" s="5">
        <f t="shared" ca="1" si="63"/>
        <v>930</v>
      </c>
      <c r="P43">
        <f t="shared" ca="1" si="64"/>
        <v>930</v>
      </c>
      <c r="R43" s="6">
        <f t="shared" ca="1" si="65"/>
        <v>-2.1505376344086002E-2</v>
      </c>
    </row>
    <row r="44" spans="1:18" x14ac:dyDescent="0.25">
      <c r="A44" s="114" t="s">
        <v>254</v>
      </c>
      <c r="B44" s="115">
        <f ca="1">HLOOKUP(OLE_LINK1,INDIRECT($T$2):INDIRECT($T$3),24,FALSE)</f>
        <v>0</v>
      </c>
      <c r="C44" s="115">
        <f ca="1">HLOOKUP(OLE_LINK2,INDIRECT($U$2):INDIRECT($U$3),24,FALSE)</f>
        <v>0</v>
      </c>
      <c r="D44" s="116" t="str">
        <f ca="1">IF(OR(E44="=",E44="≈",E44="—"),"",IF(E44&gt;0,"",IF(E44&lt;0,"","")))</f>
        <v/>
      </c>
      <c r="E44" s="117" t="str">
        <f ca="1">R44</f>
        <v>—</v>
      </c>
      <c r="H44">
        <f t="shared" ca="1" si="57"/>
        <v>0</v>
      </c>
      <c r="I44" s="3">
        <f t="shared" ca="1" si="58"/>
        <v>0</v>
      </c>
      <c r="J44" s="5">
        <f t="shared" ca="1" si="59"/>
        <v>0</v>
      </c>
      <c r="K44">
        <f t="shared" ca="1" si="60"/>
        <v>0</v>
      </c>
      <c r="M44">
        <f t="shared" ca="1" si="61"/>
        <v>0</v>
      </c>
      <c r="N44" s="3">
        <f t="shared" ca="1" si="62"/>
        <v>0</v>
      </c>
      <c r="O44" s="5">
        <f t="shared" ca="1" si="63"/>
        <v>0</v>
      </c>
      <c r="P44">
        <f t="shared" ca="1" si="64"/>
        <v>0</v>
      </c>
      <c r="R44" s="6" t="str">
        <f t="shared" ca="1" si="65"/>
        <v>—</v>
      </c>
    </row>
    <row r="45" spans="1:18" x14ac:dyDescent="0.25">
      <c r="A45" s="75"/>
    </row>
    <row r="46" spans="1:18" x14ac:dyDescent="0.25">
      <c r="A46" s="75"/>
    </row>
    <row r="47" spans="1:18" x14ac:dyDescent="0.25">
      <c r="A47" s="75"/>
    </row>
    <row r="48" spans="1:18" x14ac:dyDescent="0.25">
      <c r="A48" s="75"/>
    </row>
  </sheetData>
  <mergeCells count="7">
    <mergeCell ref="A13:E13"/>
    <mergeCell ref="A1:E1"/>
    <mergeCell ref="D2:E2"/>
    <mergeCell ref="A40:E40"/>
    <mergeCell ref="D41:E41"/>
    <mergeCell ref="D29:E29"/>
    <mergeCell ref="A28:E28"/>
  </mergeCells>
  <conditionalFormatting sqref="E31:E38 E4:E12 E15:E24">
    <cfRule type="containsText" dxfId="11" priority="15" operator="containsText" text="≈">
      <formula>NOT(ISERROR(SEARCH("≈",E4)))</formula>
    </cfRule>
  </conditionalFormatting>
  <conditionalFormatting sqref="D31:D38 D4:D12 D15:D24">
    <cfRule type="containsText" dxfId="10" priority="13" operator="containsText" text="">
      <formula>NOT(ISERROR(SEARCH("",D4)))</formula>
    </cfRule>
    <cfRule type="containsText" dxfId="9" priority="14" operator="containsText" text="">
      <formula>NOT(ISERROR(SEARCH("",D4)))</formula>
    </cfRule>
  </conditionalFormatting>
  <conditionalFormatting sqref="E39">
    <cfRule type="containsText" dxfId="8" priority="7" operator="containsText" text="≈">
      <formula>NOT(ISERROR(SEARCH("≈",E39)))</formula>
    </cfRule>
  </conditionalFormatting>
  <conditionalFormatting sqref="D39">
    <cfRule type="containsText" dxfId="7" priority="5" operator="containsText" text="">
      <formula>NOT(ISERROR(SEARCH("",D39)))</formula>
    </cfRule>
    <cfRule type="containsText" dxfId="6" priority="6" operator="containsText" text="">
      <formula>NOT(ISERROR(SEARCH("",D39)))</formula>
    </cfRule>
  </conditionalFormatting>
  <conditionalFormatting sqref="D42:D44">
    <cfRule type="containsText" dxfId="5" priority="1" operator="containsText" text="">
      <formula>NOT(ISERROR(SEARCH("",D42)))</formula>
    </cfRule>
    <cfRule type="containsText" dxfId="4" priority="2" operator="containsText" text="">
      <formula>NOT(ISERROR(SEARCH("",D42)))</formula>
    </cfRule>
  </conditionalFormatting>
  <conditionalFormatting sqref="E42:E44">
    <cfRule type="containsText" dxfId="3" priority="3" operator="containsText" text="≈">
      <formula>NOT(ISERROR(SEARCH("≈",E42)))</formula>
    </cfRule>
  </conditionalFormatting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" operator="containsText" id="{CB680A37-A84B-4088-B3BE-E659CCDE0806}">
            <xm:f>NOT(ISERROR(SEARCH("=",E4)))</xm:f>
            <xm:f>"="</xm:f>
            <x14:dxf>
              <font>
                <b/>
                <i val="0"/>
                <color theme="4"/>
              </font>
            </x14:dxf>
          </x14:cfRule>
          <xm:sqref>E31:E38 E4:E12 E15:E24</xm:sqref>
        </x14:conditionalFormatting>
        <x14:conditionalFormatting xmlns:xm="http://schemas.microsoft.com/office/excel/2006/main">
          <x14:cfRule type="containsText" priority="8" operator="containsText" id="{81847005-0F2C-4570-9984-B3B035910BCA}">
            <xm:f>NOT(ISERROR(SEARCH("=",E39)))</xm:f>
            <xm:f>"="</xm:f>
            <x14:dxf>
              <font>
                <b/>
                <i val="0"/>
                <color theme="4"/>
              </font>
            </x14:dxf>
          </x14:cfRule>
          <xm:sqref>E39</xm:sqref>
        </x14:conditionalFormatting>
        <x14:conditionalFormatting xmlns:xm="http://schemas.microsoft.com/office/excel/2006/main">
          <x14:cfRule type="containsText" priority="4" operator="containsText" id="{31201CA3-5C4A-4CD1-8B09-734D2B324256}">
            <xm:f>NOT(ISERROR(SEARCH("=",E42)))</xm:f>
            <xm:f>"="</xm:f>
            <x14:dxf>
              <font>
                <b/>
                <i val="0"/>
                <color theme="4"/>
              </font>
            </x14:dxf>
          </x14:cfRule>
          <xm:sqref>E42:E44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1:AC80"/>
  <sheetViews>
    <sheetView tabSelected="1" topLeftCell="F1" zoomScale="90" zoomScaleNormal="90" workbookViewId="0">
      <selection activeCell="R15" sqref="R15"/>
    </sheetView>
  </sheetViews>
  <sheetFormatPr defaultRowHeight="15" x14ac:dyDescent="0.25"/>
  <cols>
    <col min="2" max="2" width="21" bestFit="1" customWidth="1"/>
    <col min="3" max="27" width="9.5703125" bestFit="1" customWidth="1"/>
  </cols>
  <sheetData>
    <row r="21" spans="2:29" x14ac:dyDescent="0.25">
      <c r="AB21" t="str">
        <f>IF(LEFT(calc_Charts!AA11,4)=LEFT(calc_Charts!AB11,4),"",LEFT(calc_Charts!AB11,4))</f>
        <v>0</v>
      </c>
    </row>
    <row r="22" spans="2:29" x14ac:dyDescent="0.25">
      <c r="C22">
        <f>calc_Charts!C10</f>
        <v>2026</v>
      </c>
      <c r="D22" t="str">
        <f>IF(calc_Charts!D10&gt;calc_Charts!C10,calc_Charts!D10,"")</f>
        <v/>
      </c>
      <c r="E22" t="str">
        <f>IF(calc_Charts!E10&gt;calc_Charts!D10,calc_Charts!E10,"")</f>
        <v/>
      </c>
      <c r="F22" t="str">
        <f>IF(calc_Charts!F10&gt;calc_Charts!E10,calc_Charts!F10,"")</f>
        <v/>
      </c>
      <c r="G22" t="str">
        <f>IF(calc_Charts!G10&gt;calc_Charts!F10,calc_Charts!G10,"")</f>
        <v/>
      </c>
      <c r="H22" t="str">
        <f>IF(calc_Charts!H10&gt;calc_Charts!G10,calc_Charts!H10,"")</f>
        <v/>
      </c>
      <c r="I22" t="str">
        <f>IF(calc_Charts!I10&gt;calc_Charts!H10,calc_Charts!I10,"")</f>
        <v/>
      </c>
      <c r="J22" t="str">
        <f>IF(calc_Charts!J10&gt;calc_Charts!I10,calc_Charts!J10,"")</f>
        <v/>
      </c>
      <c r="K22" t="str">
        <f>IF(calc_Charts!K10&gt;calc_Charts!J10,calc_Charts!K10,"")</f>
        <v/>
      </c>
      <c r="L22" t="str">
        <f>IF(calc_Charts!L10&gt;calc_Charts!K10,calc_Charts!L10,"")</f>
        <v/>
      </c>
      <c r="M22" t="str">
        <f>IF(calc_Charts!M10&gt;calc_Charts!L10,calc_Charts!M10,"")</f>
        <v/>
      </c>
      <c r="N22" t="str">
        <f>IF(calc_Charts!N10&gt;calc_Charts!M10,calc_Charts!N10,"")</f>
        <v/>
      </c>
      <c r="O22" t="str">
        <f>IF(calc_Charts!O10&gt;calc_Charts!N10,calc_Charts!O10,"")</f>
        <v/>
      </c>
      <c r="P22" t="str">
        <f>IF(calc_Charts!P10&gt;calc_Charts!O10,calc_Charts!P10,"")</f>
        <v/>
      </c>
      <c r="Q22" t="str">
        <f>IF(calc_Charts!Q10&gt;calc_Charts!P10,calc_Charts!Q10,"")</f>
        <v/>
      </c>
      <c r="R22" t="str">
        <f>IF(calc_Charts!R10&gt;calc_Charts!Q10,calc_Charts!R10,"")</f>
        <v/>
      </c>
      <c r="S22" t="str">
        <f>IF(calc_Charts!S10&gt;calc_Charts!R10,calc_Charts!S10,"")</f>
        <v/>
      </c>
      <c r="T22" t="str">
        <f>IF(calc_Charts!T10&gt;calc_Charts!S10,calc_Charts!T10,"")</f>
        <v/>
      </c>
      <c r="U22" t="str">
        <f>IF(calc_Charts!U10&gt;calc_Charts!T10,calc_Charts!U10,"")</f>
        <v/>
      </c>
      <c r="V22" t="str">
        <f>IF(calc_Charts!V10&gt;calc_Charts!U10,calc_Charts!V10,"")</f>
        <v/>
      </c>
      <c r="W22" t="str">
        <f>IF(calc_Charts!W10&gt;calc_Charts!V10,calc_Charts!W10,"")</f>
        <v/>
      </c>
      <c r="X22" t="str">
        <f>IF(calc_Charts!X10&gt;calc_Charts!W10,calc_Charts!X10,"")</f>
        <v/>
      </c>
      <c r="Y22" t="str">
        <f>IF(calc_Charts!Y10&gt;calc_Charts!X10,calc_Charts!Y10,"")</f>
        <v/>
      </c>
      <c r="Z22" t="str">
        <f>IF(calc_Charts!Z10&gt;calc_Charts!Y10,calc_Charts!Z10,"")</f>
        <v/>
      </c>
      <c r="AA22" t="str">
        <f>IF(calc_Charts!AA10&gt;calc_Charts!Z10,calc_Charts!AA10,"")</f>
        <v/>
      </c>
    </row>
    <row r="23" spans="2:29" x14ac:dyDescent="0.25">
      <c r="C23" t="str">
        <f>LEFT(calc_Charts!C11,4)</f>
        <v xml:space="preserve">Jan </v>
      </c>
      <c r="D23" t="str">
        <f>IF(LEFT(calc_Charts!C11,4)=LEFT(calc_Charts!D11,4),"",LEFT(calc_Charts!D11,4))</f>
        <v/>
      </c>
      <c r="E23" t="str">
        <f>IF(LEFT(calc_Charts!D11,4)=LEFT(calc_Charts!E11,4),"",LEFT(calc_Charts!E11,4))</f>
        <v/>
      </c>
      <c r="F23" t="str">
        <f>IF(LEFT(calc_Charts!E11,4)=LEFT(calc_Charts!F11,4),"",LEFT(calc_Charts!F11,4))</f>
        <v/>
      </c>
      <c r="G23" t="str">
        <f>IF(LEFT(calc_Charts!F11,4)=LEFT(calc_Charts!G11,4),"",LEFT(calc_Charts!G11,4))</f>
        <v xml:space="preserve">Feb </v>
      </c>
      <c r="H23" t="str">
        <f>IF(LEFT(calc_Charts!G11,4)=LEFT(calc_Charts!H11,4),"",LEFT(calc_Charts!H11,4))</f>
        <v/>
      </c>
      <c r="I23" t="str">
        <f>IF(LEFT(calc_Charts!H11,4)=LEFT(calc_Charts!I11,4),"",LEFT(calc_Charts!I11,4))</f>
        <v/>
      </c>
      <c r="J23" t="str">
        <f>IF(LEFT(calc_Charts!I11,4)=LEFT(calc_Charts!J11,4),"",LEFT(calc_Charts!J11,4))</f>
        <v/>
      </c>
      <c r="K23" t="str">
        <f>IF(LEFT(calc_Charts!J11,4)=LEFT(calc_Charts!K11,4),"",LEFT(calc_Charts!K11,4))</f>
        <v xml:space="preserve">Mar </v>
      </c>
      <c r="L23" t="str">
        <f>IF(LEFT(calc_Charts!K11,4)=LEFT(calc_Charts!L11,4),"",LEFT(calc_Charts!L11,4))</f>
        <v/>
      </c>
      <c r="M23" t="str">
        <f>IF(LEFT(calc_Charts!L11,4)=LEFT(calc_Charts!M11,4),"",LEFT(calc_Charts!M11,4))</f>
        <v/>
      </c>
      <c r="N23" t="str">
        <f>IF(LEFT(calc_Charts!M11,4)=LEFT(calc_Charts!N11,4),"",LEFT(calc_Charts!N11,4))</f>
        <v/>
      </c>
      <c r="O23" t="str">
        <f>IF(LEFT(calc_Charts!N11,4)=LEFT(calc_Charts!O11,4),"",LEFT(calc_Charts!O11,4))</f>
        <v xml:space="preserve">Apr </v>
      </c>
      <c r="P23" t="str">
        <f>IF(LEFT(calc_Charts!O11,4)=LEFT(calc_Charts!P11,4),"",LEFT(calc_Charts!P11,4))</f>
        <v/>
      </c>
      <c r="Q23" t="str">
        <f>IF(LEFT(calc_Charts!P11,4)=LEFT(calc_Charts!Q11,4),"",LEFT(calc_Charts!Q11,4))</f>
        <v/>
      </c>
      <c r="R23" t="str">
        <f>IF(LEFT(calc_Charts!Q11,4)=LEFT(calc_Charts!R11,4),"",LEFT(calc_Charts!R11,4))</f>
        <v/>
      </c>
      <c r="S23" t="str">
        <f>IF(LEFT(calc_Charts!R11,4)=LEFT(calc_Charts!S11,4),"",LEFT(calc_Charts!S11,4))</f>
        <v/>
      </c>
      <c r="T23" t="str">
        <f>IF(LEFT(calc_Charts!S11,4)=LEFT(calc_Charts!T11,4),"",LEFT(calc_Charts!T11,4))</f>
        <v xml:space="preserve">May </v>
      </c>
      <c r="U23" t="str">
        <f>IF(LEFT(calc_Charts!T11,4)=LEFT(calc_Charts!U11,4),"",LEFT(calc_Charts!U11,4))</f>
        <v/>
      </c>
      <c r="V23" t="str">
        <f>IF(LEFT(calc_Charts!U11,4)=LEFT(calc_Charts!V11,4),"",LEFT(calc_Charts!V11,4))</f>
        <v/>
      </c>
      <c r="W23" t="str">
        <f>IF(LEFT(calc_Charts!V11,4)=LEFT(calc_Charts!W11,4),"",LEFT(calc_Charts!W11,4))</f>
        <v/>
      </c>
      <c r="X23" t="str">
        <f>IF(LEFT(calc_Charts!W11,4)=LEFT(calc_Charts!X11,4),"",LEFT(calc_Charts!X11,4))</f>
        <v>June</v>
      </c>
      <c r="Y23" t="str">
        <f>IF(LEFT(calc_Charts!X11,4)=LEFT(calc_Charts!Y11,4),"",LEFT(calc_Charts!Y11,4))</f>
        <v/>
      </c>
      <c r="Z23" t="str">
        <f>IF(LEFT(calc_Charts!Y11,4)=LEFT(calc_Charts!Z11,4),"",LEFT(calc_Charts!Z11,4))</f>
        <v/>
      </c>
      <c r="AA23" t="str">
        <f>IF(LEFT(calc_Charts!Z11,4)=LEFT(calc_Charts!AA11,4),"",LEFT(calc_Charts!AA11,4))</f>
        <v/>
      </c>
    </row>
    <row r="24" spans="2:29" x14ac:dyDescent="0.25">
      <c r="C24" t="s">
        <v>64</v>
      </c>
      <c r="D24" t="s">
        <v>64</v>
      </c>
      <c r="E24" t="s">
        <v>64</v>
      </c>
      <c r="F24" t="s">
        <v>64</v>
      </c>
      <c r="G24" t="s">
        <v>64</v>
      </c>
      <c r="H24" t="s">
        <v>64</v>
      </c>
      <c r="I24" t="s">
        <v>64</v>
      </c>
      <c r="J24" t="s">
        <v>64</v>
      </c>
      <c r="K24" t="s">
        <v>64</v>
      </c>
      <c r="L24" t="s">
        <v>64</v>
      </c>
      <c r="M24" t="s">
        <v>64</v>
      </c>
      <c r="N24" t="s">
        <v>64</v>
      </c>
      <c r="O24" t="s">
        <v>64</v>
      </c>
      <c r="P24" t="s">
        <v>64</v>
      </c>
      <c r="Q24" t="s">
        <v>64</v>
      </c>
      <c r="R24" t="s">
        <v>64</v>
      </c>
      <c r="S24" t="s">
        <v>64</v>
      </c>
      <c r="T24" t="s">
        <v>64</v>
      </c>
      <c r="U24" t="s">
        <v>64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</row>
    <row r="25" spans="2:29" x14ac:dyDescent="0.25">
      <c r="B25" t="s">
        <v>429</v>
      </c>
      <c r="C25">
        <f>calc_Charts!C20-calc_Charts!C25</f>
        <v>0</v>
      </c>
      <c r="D25">
        <f>calc_Charts!D20-calc_Charts!D25</f>
        <v>48</v>
      </c>
      <c r="E25">
        <f>calc_Charts!E20-calc_Charts!E25</f>
        <v>34</v>
      </c>
      <c r="F25">
        <f>calc_Charts!F20-calc_Charts!F25</f>
        <v>39</v>
      </c>
      <c r="G25">
        <f>calc_Charts!G20-calc_Charts!G25</f>
        <v>37</v>
      </c>
      <c r="H25">
        <f>calc_Charts!H20-calc_Charts!H25</f>
        <v>22</v>
      </c>
      <c r="I25">
        <f>calc_Charts!I20-calc_Charts!I25</f>
        <v>47</v>
      </c>
      <c r="J25">
        <f>calc_Charts!J20-calc_Charts!J25</f>
        <v>24</v>
      </c>
      <c r="K25">
        <f>calc_Charts!K20-calc_Charts!K25</f>
        <v>-19</v>
      </c>
      <c r="L25">
        <f>calc_Charts!L20-calc_Charts!L25</f>
        <v>-3</v>
      </c>
      <c r="M25">
        <f>calc_Charts!M20-calc_Charts!M25</f>
        <v>24</v>
      </c>
      <c r="N25">
        <f>calc_Charts!N20-calc_Charts!N25</f>
        <v>50</v>
      </c>
      <c r="O25">
        <f>calc_Charts!O20-calc_Charts!O25</f>
        <v>54</v>
      </c>
      <c r="P25">
        <f>calc_Charts!P20-calc_Charts!P25</f>
        <v>114</v>
      </c>
      <c r="Q25">
        <f>calc_Charts!Q20-calc_Charts!Q25</f>
        <v>234</v>
      </c>
      <c r="R25">
        <f>calc_Charts!R20-calc_Charts!R25</f>
        <v>295</v>
      </c>
      <c r="S25">
        <f>calc_Charts!S20-calc_Charts!S25</f>
        <v>319.75</v>
      </c>
      <c r="T25">
        <f>calc_Charts!T20-calc_Charts!T25</f>
        <v>265</v>
      </c>
      <c r="U25">
        <f>calc_Charts!U20-calc_Charts!U25</f>
        <v>267</v>
      </c>
      <c r="V25">
        <f>calc_Charts!V20-calc_Charts!V25</f>
        <v>268</v>
      </c>
      <c r="W25">
        <f>calc_Charts!W20-calc_Charts!W25</f>
        <v>166.75</v>
      </c>
      <c r="X25">
        <f>calc_Charts!X20-calc_Charts!X25</f>
        <v>132</v>
      </c>
      <c r="Y25" t="e">
        <f>calc_Charts!Y20-calc_Charts!Y25</f>
        <v>#N/A</v>
      </c>
      <c r="Z25" t="e">
        <f>calc_Charts!Z20-calc_Charts!Z25</f>
        <v>#N/A</v>
      </c>
      <c r="AA25" t="e">
        <f>calc_Charts!AA20-calc_Charts!AA25</f>
        <v>#N/A</v>
      </c>
    </row>
    <row r="26" spans="2:29" x14ac:dyDescent="0.25">
      <c r="B26" t="s">
        <v>430</v>
      </c>
      <c r="C26">
        <f>calc_Charts!C20-calc_Charts!C30</f>
        <v>40</v>
      </c>
      <c r="D26">
        <f>calc_Charts!D20-calc_Charts!D30</f>
        <v>30</v>
      </c>
      <c r="E26">
        <f>calc_Charts!E20-calc_Charts!E30</f>
        <v>40</v>
      </c>
      <c r="F26">
        <f>calc_Charts!F20-calc_Charts!F30</f>
        <v>44</v>
      </c>
      <c r="G26">
        <f>calc_Charts!G20-calc_Charts!G30</f>
        <v>47</v>
      </c>
      <c r="H26">
        <f>calc_Charts!H20-calc_Charts!H30</f>
        <v>48</v>
      </c>
      <c r="I26">
        <f>calc_Charts!I20-calc_Charts!I30</f>
        <v>73</v>
      </c>
      <c r="J26">
        <f>calc_Charts!J20-calc_Charts!J30</f>
        <v>68</v>
      </c>
      <c r="K26">
        <f>calc_Charts!K20-calc_Charts!K30</f>
        <v>84</v>
      </c>
      <c r="L26">
        <f>calc_Charts!L20-calc_Charts!L30</f>
        <v>81</v>
      </c>
      <c r="M26">
        <f>calc_Charts!M20-calc_Charts!M30</f>
        <v>89</v>
      </c>
      <c r="N26">
        <f>calc_Charts!N20-calc_Charts!N30</f>
        <v>36</v>
      </c>
      <c r="O26">
        <f>calc_Charts!O20-calc_Charts!O30</f>
        <v>13</v>
      </c>
      <c r="P26">
        <f>calc_Charts!P20-calc_Charts!P30</f>
        <v>21</v>
      </c>
      <c r="Q26">
        <f>calc_Charts!Q20-calc_Charts!Q30</f>
        <v>106</v>
      </c>
      <c r="R26">
        <f>calc_Charts!R20-calc_Charts!R30</f>
        <v>121</v>
      </c>
      <c r="S26">
        <f>calc_Charts!S20-calc_Charts!S30</f>
        <v>98.75</v>
      </c>
      <c r="T26">
        <f>calc_Charts!T20-calc_Charts!T30</f>
        <v>102</v>
      </c>
      <c r="U26">
        <f>calc_Charts!U20-calc_Charts!U30</f>
        <v>107</v>
      </c>
      <c r="V26">
        <f>calc_Charts!V20-calc_Charts!V30</f>
        <v>107</v>
      </c>
      <c r="W26">
        <f>calc_Charts!W20-calc_Charts!W30</f>
        <v>93.75</v>
      </c>
      <c r="X26">
        <f>calc_Charts!X20-calc_Charts!X30</f>
        <v>95</v>
      </c>
      <c r="Y26" t="e">
        <f>calc_Charts!Y20-calc_Charts!Y30</f>
        <v>#N/A</v>
      </c>
      <c r="Z26" t="e">
        <f>calc_Charts!Z20-calc_Charts!Z30</f>
        <v>#N/A</v>
      </c>
      <c r="AA26" t="e">
        <f>calc_Charts!AA20-calc_Charts!AA30</f>
        <v>#N/A</v>
      </c>
    </row>
    <row r="28" spans="2:29" x14ac:dyDescent="0.25">
      <c r="C28">
        <f>calc_MCP!D8</f>
        <v>2025</v>
      </c>
      <c r="D28" t="str">
        <f>IF(calc_MCP!E8&gt;calc_MCP!D8,calc_MCP!E8,"")</f>
        <v/>
      </c>
      <c r="E28" t="str">
        <f>IF(calc_MCP!F8&gt;calc_MCP!E8,calc_MCP!F8,"")</f>
        <v/>
      </c>
      <c r="F28" t="str">
        <f>IF(calc_MCP!G8&gt;calc_MCP!F8,calc_MCP!G8,"")</f>
        <v/>
      </c>
      <c r="G28" t="str">
        <f>IF(calc_MCP!H8&gt;calc_MCP!G8,calc_MCP!H8,"")</f>
        <v/>
      </c>
      <c r="H28" t="str">
        <f>IF(calc_MCP!I8&gt;calc_MCP!H8,calc_MCP!I8,"")</f>
        <v/>
      </c>
      <c r="I28" t="str">
        <f>IF(calc_MCP!J8&gt;calc_MCP!I8,calc_MCP!J8,"")</f>
        <v/>
      </c>
      <c r="J28">
        <f>IF(calc_MCP!K8&gt;calc_MCP!J8,calc_MCP!K8,"")</f>
        <v>2026</v>
      </c>
      <c r="K28" t="str">
        <f>IF(calc_MCP!L8&gt;calc_MCP!K8,calc_MCP!L8,"")</f>
        <v/>
      </c>
      <c r="L28" t="str">
        <f>IF(calc_MCP!M8&gt;calc_MCP!L8,calc_MCP!M8,"")</f>
        <v/>
      </c>
      <c r="M28" t="str">
        <f>IF(calc_MCP!N8&gt;calc_MCP!M8,calc_MCP!N8,"")</f>
        <v/>
      </c>
      <c r="N28" t="str">
        <f>IF(calc_MCP!O8&gt;calc_MCP!N8,calc_MCP!O8,"")</f>
        <v/>
      </c>
      <c r="O28" t="str">
        <f>IF(calc_MCP!P8&gt;calc_MCP!O8,calc_MCP!P8,"")</f>
        <v/>
      </c>
    </row>
    <row r="29" spans="2:29" x14ac:dyDescent="0.25">
      <c r="C29" t="str">
        <f>calc_MCP!D9</f>
        <v>June</v>
      </c>
      <c r="E29" t="str">
        <f>calc_MCP!F9</f>
        <v>Aug</v>
      </c>
      <c r="G29" t="str">
        <f>calc_MCP!H9</f>
        <v>Oct</v>
      </c>
      <c r="I29" t="str">
        <f>calc_MCP!J9</f>
        <v>Dec</v>
      </c>
      <c r="K29" t="str">
        <f>calc_MCP!L9</f>
        <v>Feb</v>
      </c>
      <c r="M29" t="str">
        <f>calc_MCP!N9</f>
        <v>Apr</v>
      </c>
      <c r="O29" t="str">
        <f>calc_MCP!P9</f>
        <v>June</v>
      </c>
    </row>
    <row r="30" spans="2:29" x14ac:dyDescent="0.25">
      <c r="B30" t="s">
        <v>272</v>
      </c>
      <c r="C30" s="44">
        <f ca="1">calc_MCP!D14</f>
        <v>1015</v>
      </c>
      <c r="D30" s="44">
        <f ca="1">calc_MCP!E14</f>
        <v>1015</v>
      </c>
      <c r="E30" s="44">
        <f ca="1">calc_MCP!F14</f>
        <v>1005</v>
      </c>
      <c r="F30" s="44">
        <f ca="1">calc_MCP!G14</f>
        <v>1005</v>
      </c>
      <c r="G30" s="44">
        <f ca="1">calc_MCP!H14</f>
        <v>1005</v>
      </c>
      <c r="H30" s="44">
        <f ca="1">calc_MCP!I14</f>
        <v>980</v>
      </c>
      <c r="I30" s="44">
        <f ca="1">calc_MCP!J14</f>
        <v>980</v>
      </c>
      <c r="J30" s="44">
        <f ca="1">calc_MCP!K14</f>
        <v>950</v>
      </c>
      <c r="K30" s="44">
        <f ca="1">calc_MCP!L14</f>
        <v>965</v>
      </c>
      <c r="L30" s="44">
        <f ca="1">calc_MCP!M14</f>
        <v>1000</v>
      </c>
      <c r="M30" s="44">
        <f ca="1">calc_MCP!N14</f>
        <v>1465</v>
      </c>
      <c r="N30" s="44">
        <f ca="1">calc_MCP!O14</f>
        <v>1585</v>
      </c>
      <c r="O30" s="44">
        <f ca="1">calc_MCP!P14</f>
        <v>1555</v>
      </c>
    </row>
    <row r="31" spans="2:29" ht="15.75" thickBot="1" x14ac:dyDescent="0.3"/>
    <row r="32" spans="2:29" ht="15.75" thickBot="1" x14ac:dyDescent="0.3">
      <c r="B32" t="s">
        <v>678</v>
      </c>
      <c r="C32">
        <f>calc_Charts!C39</f>
        <v>779.06976744186045</v>
      </c>
      <c r="D32">
        <f>calc_Charts!D39</f>
        <v>810.46511627906978</v>
      </c>
      <c r="E32">
        <f>calc_Charts!E39</f>
        <v>819.76744186046517</v>
      </c>
      <c r="F32">
        <f>calc_Charts!F39</f>
        <v>873.80952380952385</v>
      </c>
      <c r="G32">
        <f>calc_Charts!G39</f>
        <v>864.70588235294122</v>
      </c>
      <c r="H32">
        <f>calc_Charts!H39</f>
        <v>895.2380952380953</v>
      </c>
      <c r="I32">
        <f>calc_Charts!I39</f>
        <v>915.2941176470589</v>
      </c>
      <c r="J32">
        <f>calc_Charts!J39</f>
        <v>988.23529411764707</v>
      </c>
      <c r="K32">
        <f>calc_Charts!K39</f>
        <v>1052.3255813953488</v>
      </c>
      <c r="L32">
        <f>calc_Charts!L39</f>
        <v>1177.0114942528735</v>
      </c>
      <c r="M32">
        <f>calc_Charts!M39</f>
        <v>1356.3218390804598</v>
      </c>
      <c r="N32">
        <f>calc_Charts!N39</f>
        <v>1522.9885057471265</v>
      </c>
      <c r="O32">
        <f>calc_Charts!O39</f>
        <v>1609.1954022988507</v>
      </c>
      <c r="P32">
        <f>calc_Charts!P39</f>
        <v>2104.6511627906975</v>
      </c>
      <c r="Q32">
        <f>calc_Charts!Q39</f>
        <v>2129.4117647058824</v>
      </c>
      <c r="R32">
        <f>calc_Charts!R39</f>
        <v>1774.1176470588236</v>
      </c>
      <c r="S32">
        <f>calc_Charts!S39</f>
        <v>1770.5882352941178</v>
      </c>
      <c r="T32">
        <f>calc_Charts!T39</f>
        <v>2057.6470588235293</v>
      </c>
      <c r="U32">
        <f>calc_Charts!U39</f>
        <v>2034.1176470588236</v>
      </c>
      <c r="V32">
        <f>calc_Charts!V39</f>
        <v>1918.6046511627908</v>
      </c>
      <c r="W32" s="145">
        <f>calc_Charts!W39</f>
        <v>1651.1627906976744</v>
      </c>
      <c r="X32" s="146">
        <f>calc_Charts!X39</f>
        <v>1537.2093023255813</v>
      </c>
      <c r="Y32" s="146" t="e">
        <f>calc_Charts!Y39</f>
        <v>#N/A</v>
      </c>
      <c r="Z32" s="146" t="e">
        <f>calc_Charts!Z39</f>
        <v>#N/A</v>
      </c>
      <c r="AA32" s="147" t="e">
        <f>calc_Charts!AA39</f>
        <v>#N/A</v>
      </c>
      <c r="AB32" s="147" t="e">
        <f>calc_Charts!AB39</f>
        <v>#N/A</v>
      </c>
      <c r="AC32" t="s">
        <v>883</v>
      </c>
    </row>
    <row r="33" spans="2:28" x14ac:dyDescent="0.25">
      <c r="B33" t="s">
        <v>525</v>
      </c>
      <c r="C33">
        <f>calc_Charts!C44</f>
        <v>745</v>
      </c>
      <c r="D33">
        <f>calc_Charts!D44</f>
        <v>770</v>
      </c>
      <c r="E33">
        <f>calc_Charts!E44</f>
        <v>785</v>
      </c>
      <c r="F33">
        <f>calc_Charts!F44</f>
        <v>820</v>
      </c>
      <c r="G33">
        <f>calc_Charts!G44</f>
        <v>825</v>
      </c>
      <c r="H33">
        <f>calc_Charts!H44</f>
        <v>825</v>
      </c>
      <c r="I33">
        <f>calc_Charts!I44</f>
        <v>825</v>
      </c>
      <c r="J33">
        <f>calc_Charts!J44</f>
        <v>840</v>
      </c>
      <c r="K33">
        <f>calc_Charts!K44</f>
        <v>890</v>
      </c>
      <c r="L33">
        <f>calc_Charts!L44</f>
        <v>1100</v>
      </c>
      <c r="M33">
        <f>calc_Charts!M44</f>
        <v>1100</v>
      </c>
      <c r="N33">
        <f>calc_Charts!N44</f>
        <v>1280</v>
      </c>
      <c r="O33">
        <f>calc_Charts!O44</f>
        <v>1290</v>
      </c>
      <c r="P33">
        <f>calc_Charts!P44</f>
        <v>1330</v>
      </c>
      <c r="Q33">
        <f>calc_Charts!Q44</f>
        <v>1340</v>
      </c>
      <c r="R33">
        <f>calc_Charts!R44</f>
        <v>1330</v>
      </c>
      <c r="S33">
        <f>calc_Charts!S44</f>
        <v>1340</v>
      </c>
      <c r="T33">
        <f>calc_Charts!T44</f>
        <v>1270</v>
      </c>
      <c r="U33">
        <f>calc_Charts!U44</f>
        <v>1280</v>
      </c>
      <c r="V33">
        <f>calc_Charts!V44</f>
        <v>1250</v>
      </c>
      <c r="W33">
        <f>calc_Charts!W44</f>
        <v>1210</v>
      </c>
      <c r="X33">
        <f>calc_Charts!X44</f>
        <v>1150</v>
      </c>
      <c r="Y33" t="e">
        <f>calc_Charts!Y44</f>
        <v>#N/A</v>
      </c>
      <c r="Z33" t="e">
        <f>calc_Charts!Z44</f>
        <v>#N/A</v>
      </c>
      <c r="AA33" t="e">
        <f>calc_Charts!AA44</f>
        <v>#N/A</v>
      </c>
      <c r="AB33" t="e">
        <f>calc_Charts!AB44</f>
        <v>#N/A</v>
      </c>
    </row>
    <row r="34" spans="2:28" x14ac:dyDescent="0.25">
      <c r="B34" t="s">
        <v>425</v>
      </c>
      <c r="C34" t="e">
        <f>calc_Charts!C71</f>
        <v>#N/A</v>
      </c>
      <c r="D34" t="e">
        <f>calc_Charts!D71</f>
        <v>#N/A</v>
      </c>
      <c r="E34" t="e">
        <f>calc_Charts!E71</f>
        <v>#N/A</v>
      </c>
      <c r="F34" t="e">
        <f>calc_Charts!F71</f>
        <v>#N/A</v>
      </c>
      <c r="G34" t="e">
        <f>calc_Charts!G71</f>
        <v>#N/A</v>
      </c>
      <c r="H34" t="e">
        <f>calc_Charts!H71</f>
        <v>#N/A</v>
      </c>
      <c r="I34" t="e">
        <f>calc_Charts!I71</f>
        <v>#N/A</v>
      </c>
      <c r="J34" t="e">
        <f>calc_Charts!J71</f>
        <v>#N/A</v>
      </c>
      <c r="K34" t="e">
        <f>calc_Charts!K71</f>
        <v>#N/A</v>
      </c>
      <c r="L34" t="e">
        <f>calc_Charts!L71</f>
        <v>#N/A</v>
      </c>
      <c r="M34" t="e">
        <f>calc_Charts!M71</f>
        <v>#N/A</v>
      </c>
      <c r="N34" t="e">
        <f>calc_Charts!N71</f>
        <v>#N/A</v>
      </c>
      <c r="O34" t="e">
        <f>calc_Charts!O71</f>
        <v>#N/A</v>
      </c>
      <c r="P34" t="e">
        <f>calc_Charts!P71</f>
        <v>#N/A</v>
      </c>
      <c r="Q34" t="e">
        <f>calc_Charts!Q71</f>
        <v>#N/A</v>
      </c>
      <c r="R34" t="e">
        <f>calc_Charts!R71</f>
        <v>#N/A</v>
      </c>
      <c r="S34" t="e">
        <f>calc_Charts!S71</f>
        <v>#N/A</v>
      </c>
      <c r="T34" t="e">
        <f>calc_Charts!T71</f>
        <v>#N/A</v>
      </c>
      <c r="U34" t="e">
        <f>calc_Charts!U71</f>
        <v>#N/A</v>
      </c>
      <c r="V34" t="e">
        <f>calc_Charts!V71</f>
        <v>#N/A</v>
      </c>
      <c r="W34" t="e">
        <f>calc_Charts!W71</f>
        <v>#N/A</v>
      </c>
      <c r="X34" t="e">
        <f>calc_Charts!X71</f>
        <v>#N/A</v>
      </c>
      <c r="Y34" t="e">
        <f>calc_Charts!Y71</f>
        <v>#N/A</v>
      </c>
      <c r="Z34" t="e">
        <f>calc_Charts!Z71</f>
        <v>#N/A</v>
      </c>
      <c r="AA34" t="e">
        <f>calc_Charts!AA71</f>
        <v>#N/A</v>
      </c>
    </row>
    <row r="37" spans="2:28" x14ac:dyDescent="0.25">
      <c r="B37" t="s">
        <v>435</v>
      </c>
      <c r="C37">
        <f>calc_Charts!C55</f>
        <v>767.5</v>
      </c>
      <c r="D37">
        <f>calc_Charts!D55</f>
        <v>765</v>
      </c>
      <c r="E37">
        <f>calc_Charts!E55</f>
        <v>767.5</v>
      </c>
      <c r="F37">
        <f>calc_Charts!F55</f>
        <v>760</v>
      </c>
      <c r="G37">
        <f>calc_Charts!G55</f>
        <v>765</v>
      </c>
      <c r="H37">
        <f>calc_Charts!H55</f>
        <v>765</v>
      </c>
      <c r="I37">
        <f>calc_Charts!I55</f>
        <v>795</v>
      </c>
      <c r="J37">
        <f>calc_Charts!J55</f>
        <v>795</v>
      </c>
      <c r="K37">
        <f>calc_Charts!K55</f>
        <v>795</v>
      </c>
      <c r="L37">
        <f>calc_Charts!L55</f>
        <v>1140</v>
      </c>
      <c r="M37">
        <f>calc_Charts!M55</f>
        <v>1140</v>
      </c>
      <c r="N37">
        <f>calc_Charts!N55</f>
        <v>1180</v>
      </c>
      <c r="O37">
        <f>calc_Charts!O55</f>
        <v>1180</v>
      </c>
      <c r="P37">
        <f>calc_Charts!P55</f>
        <v>1250</v>
      </c>
      <c r="Q37">
        <f>calc_Charts!Q55</f>
        <v>1250</v>
      </c>
      <c r="R37">
        <f>calc_Charts!R55</f>
        <v>1250</v>
      </c>
      <c r="S37">
        <f>calc_Charts!S55</f>
        <v>1250</v>
      </c>
      <c r="T37">
        <f>calc_Charts!T55</f>
        <v>1250</v>
      </c>
      <c r="U37">
        <f>calc_Charts!U55</f>
        <v>1255</v>
      </c>
      <c r="V37">
        <f>calc_Charts!V55</f>
        <v>1245</v>
      </c>
      <c r="W37">
        <f>calc_Charts!W55</f>
        <v>1245</v>
      </c>
      <c r="X37">
        <f>calc_Charts!X55</f>
        <v>1225</v>
      </c>
      <c r="Y37" t="e">
        <f>calc_Charts!Y55</f>
        <v>#N/A</v>
      </c>
      <c r="Z37" t="e">
        <f>calc_Charts!Z55</f>
        <v>#N/A</v>
      </c>
      <c r="AA37" t="e">
        <f>calc_Charts!AA55</f>
        <v>#N/A</v>
      </c>
      <c r="AB37" t="e">
        <f>calc_Charts!AB55</f>
        <v>#N/A</v>
      </c>
    </row>
    <row r="38" spans="2:28" x14ac:dyDescent="0.25">
      <c r="B38" t="s">
        <v>525</v>
      </c>
      <c r="C38">
        <f>calc_Charts!C44</f>
        <v>745</v>
      </c>
      <c r="D38">
        <f>calc_Charts!D44</f>
        <v>770</v>
      </c>
      <c r="E38">
        <f>calc_Charts!E44</f>
        <v>785</v>
      </c>
      <c r="F38">
        <f>calc_Charts!F44</f>
        <v>820</v>
      </c>
      <c r="G38">
        <f>calc_Charts!G44</f>
        <v>825</v>
      </c>
      <c r="H38">
        <f>calc_Charts!H44</f>
        <v>825</v>
      </c>
      <c r="I38">
        <f>calc_Charts!I44</f>
        <v>825</v>
      </c>
      <c r="J38">
        <f>calc_Charts!J44</f>
        <v>840</v>
      </c>
      <c r="K38">
        <f>calc_Charts!K44</f>
        <v>890</v>
      </c>
      <c r="L38">
        <f>calc_Charts!L44</f>
        <v>1100</v>
      </c>
      <c r="M38">
        <f>calc_Charts!M44</f>
        <v>1100</v>
      </c>
      <c r="N38">
        <f>calc_Charts!N44</f>
        <v>1280</v>
      </c>
      <c r="O38">
        <f>calc_Charts!O44</f>
        <v>1290</v>
      </c>
      <c r="P38">
        <f>calc_Charts!P44</f>
        <v>1330</v>
      </c>
      <c r="Q38">
        <f>calc_Charts!Q44</f>
        <v>1340</v>
      </c>
      <c r="R38">
        <f>calc_Charts!R44</f>
        <v>1330</v>
      </c>
      <c r="S38">
        <f>calc_Charts!S44</f>
        <v>1340</v>
      </c>
      <c r="T38">
        <f>calc_Charts!T44</f>
        <v>1270</v>
      </c>
      <c r="U38">
        <f>calc_Charts!U44</f>
        <v>1280</v>
      </c>
      <c r="V38">
        <f>calc_Charts!V44</f>
        <v>1250</v>
      </c>
      <c r="W38">
        <f>calc_Charts!W44</f>
        <v>1210</v>
      </c>
      <c r="X38">
        <f>calc_Charts!X44</f>
        <v>1150</v>
      </c>
      <c r="Y38" t="e">
        <f>calc_Charts!Y44</f>
        <v>#N/A</v>
      </c>
      <c r="Z38" t="e">
        <f>calc_Charts!Z44</f>
        <v>#N/A</v>
      </c>
      <c r="AA38" t="e">
        <f>calc_Charts!AA44</f>
        <v>#N/A</v>
      </c>
      <c r="AB38" t="e">
        <f>calc_Charts!AB44</f>
        <v>#N/A</v>
      </c>
    </row>
    <row r="39" spans="2:28" x14ac:dyDescent="0.25">
      <c r="B39" t="s">
        <v>256</v>
      </c>
      <c r="C39">
        <f>calc_Charts!C61</f>
        <v>534</v>
      </c>
      <c r="D39">
        <f>calc_Charts!D61</f>
        <v>560</v>
      </c>
      <c r="E39">
        <f>calc_Charts!E61</f>
        <v>559</v>
      </c>
      <c r="F39">
        <f>calc_Charts!F61</f>
        <v>585</v>
      </c>
      <c r="G39">
        <f>calc_Charts!G61</f>
        <v>598</v>
      </c>
      <c r="H39">
        <f>calc_Charts!H61</f>
        <v>612</v>
      </c>
      <c r="I39">
        <f>calc_Charts!I61</f>
        <v>594</v>
      </c>
      <c r="J39">
        <f>calc_Charts!J61</f>
        <v>616</v>
      </c>
      <c r="K39">
        <f>calc_Charts!K61</f>
        <v>777</v>
      </c>
      <c r="L39">
        <f>calc_Charts!L61</f>
        <v>875</v>
      </c>
      <c r="M39">
        <f>calc_Charts!M61</f>
        <v>1039</v>
      </c>
      <c r="N39">
        <f>calc_Charts!N61</f>
        <v>998</v>
      </c>
      <c r="O39">
        <f>calc_Charts!O61</f>
        <v>1093</v>
      </c>
      <c r="P39">
        <f>calc_Charts!P61</f>
        <v>1003</v>
      </c>
      <c r="Q39">
        <f>calc_Charts!Q61</f>
        <v>991</v>
      </c>
      <c r="R39">
        <f>calc_Charts!R61</f>
        <v>959</v>
      </c>
      <c r="S39">
        <f>calc_Charts!S61</f>
        <v>1039</v>
      </c>
      <c r="T39">
        <f>calc_Charts!T61</f>
        <v>972</v>
      </c>
      <c r="U39">
        <f>calc_Charts!U61</f>
        <v>1021</v>
      </c>
      <c r="V39">
        <f>calc_Charts!V61</f>
        <v>970</v>
      </c>
      <c r="W39">
        <f>calc_Charts!W61</f>
        <v>835</v>
      </c>
      <c r="X39">
        <f>calc_Charts!X61</f>
        <v>808</v>
      </c>
      <c r="Y39" t="e">
        <f>calc_Charts!Y61</f>
        <v>#N/A</v>
      </c>
      <c r="Z39" t="e">
        <f>calc_Charts!Z61</f>
        <v>#N/A</v>
      </c>
      <c r="AA39" t="e">
        <f>calc_Charts!AA61</f>
        <v>#N/A</v>
      </c>
      <c r="AB39" t="e">
        <f>calc_Charts!AB61</f>
        <v>#N/A</v>
      </c>
    </row>
    <row r="42" spans="2:28" x14ac:dyDescent="0.25">
      <c r="B42" t="s">
        <v>87</v>
      </c>
      <c r="C42">
        <f>calc_Charts!C20</f>
        <v>489</v>
      </c>
      <c r="D42">
        <f>calc_Charts!D20</f>
        <v>536</v>
      </c>
      <c r="E42">
        <f>calc_Charts!E20</f>
        <v>531</v>
      </c>
      <c r="F42">
        <f>calc_Charts!F20</f>
        <v>548</v>
      </c>
      <c r="G42">
        <f>calc_Charts!G20</f>
        <v>558</v>
      </c>
      <c r="H42">
        <f>calc_Charts!H20</f>
        <v>575</v>
      </c>
      <c r="I42">
        <f>calc_Charts!I20</f>
        <v>558</v>
      </c>
      <c r="J42">
        <f>calc_Charts!J20</f>
        <v>575</v>
      </c>
      <c r="K42">
        <f>calc_Charts!K20</f>
        <v>671</v>
      </c>
      <c r="L42">
        <f>calc_Charts!L20</f>
        <v>768</v>
      </c>
      <c r="M42">
        <f>calc_Charts!M20</f>
        <v>951</v>
      </c>
      <c r="N42">
        <f>calc_Charts!N20</f>
        <v>895</v>
      </c>
      <c r="O42">
        <f>calc_Charts!O20</f>
        <v>938</v>
      </c>
      <c r="P42">
        <f>calc_Charts!P20</f>
        <v>895</v>
      </c>
      <c r="Q42">
        <f>calc_Charts!Q20</f>
        <v>889</v>
      </c>
      <c r="R42">
        <f>calc_Charts!R20</f>
        <v>934</v>
      </c>
      <c r="S42">
        <f>calc_Charts!S20</f>
        <v>981.75</v>
      </c>
      <c r="T42">
        <f>calc_Charts!T20</f>
        <v>885</v>
      </c>
      <c r="U42">
        <f>calc_Charts!U20</f>
        <v>930</v>
      </c>
      <c r="V42">
        <f>calc_Charts!V20</f>
        <v>870</v>
      </c>
      <c r="W42">
        <f>calc_Charts!W20</f>
        <v>751.75</v>
      </c>
      <c r="X42">
        <f>calc_Charts!X20</f>
        <v>750</v>
      </c>
      <c r="Y42" t="e">
        <f>calc_Charts!Y20</f>
        <v>#N/A</v>
      </c>
      <c r="Z42" t="e">
        <f>calc_Charts!Z20</f>
        <v>#N/A</v>
      </c>
      <c r="AA42" t="e">
        <f>calc_Charts!AA20</f>
        <v>#N/A</v>
      </c>
    </row>
    <row r="43" spans="2:28" x14ac:dyDescent="0.25">
      <c r="B43" t="s">
        <v>88</v>
      </c>
      <c r="C43">
        <f>calc_Charts!C91</f>
        <v>489</v>
      </c>
      <c r="D43">
        <f>calc_Charts!D91</f>
        <v>488</v>
      </c>
      <c r="E43">
        <f>calc_Charts!E91</f>
        <v>497</v>
      </c>
      <c r="F43">
        <f>calc_Charts!F91</f>
        <v>509</v>
      </c>
      <c r="G43">
        <f>calc_Charts!G91</f>
        <v>521</v>
      </c>
      <c r="H43">
        <f>calc_Charts!H91</f>
        <v>553</v>
      </c>
      <c r="I43">
        <f>calc_Charts!I91</f>
        <v>511</v>
      </c>
      <c r="J43">
        <f>calc_Charts!J91</f>
        <v>551</v>
      </c>
      <c r="K43">
        <f>calc_Charts!K91</f>
        <v>690</v>
      </c>
      <c r="L43">
        <f>calc_Charts!L91</f>
        <v>771</v>
      </c>
      <c r="M43">
        <f>calc_Charts!M91</f>
        <v>927</v>
      </c>
      <c r="N43">
        <f>calc_Charts!N91</f>
        <v>845</v>
      </c>
      <c r="O43">
        <f>calc_Charts!O91</f>
        <v>884</v>
      </c>
      <c r="P43">
        <f>calc_Charts!P91</f>
        <v>781</v>
      </c>
      <c r="Q43">
        <f>calc_Charts!Q91</f>
        <v>655</v>
      </c>
      <c r="R43">
        <f>calc_Charts!R91</f>
        <v>639</v>
      </c>
      <c r="S43">
        <f>calc_Charts!S91</f>
        <v>662</v>
      </c>
      <c r="T43">
        <f>calc_Charts!T91</f>
        <v>620</v>
      </c>
      <c r="U43">
        <f>calc_Charts!U91</f>
        <v>663</v>
      </c>
      <c r="V43">
        <f>calc_Charts!V91</f>
        <v>602</v>
      </c>
      <c r="W43">
        <f>calc_Charts!W91</f>
        <v>585</v>
      </c>
      <c r="X43">
        <f>calc_Charts!X91</f>
        <v>618</v>
      </c>
      <c r="Y43" t="e">
        <f>calc_Charts!Y91</f>
        <v>#N/A</v>
      </c>
      <c r="Z43" t="e">
        <f>calc_Charts!Z91</f>
        <v>#N/A</v>
      </c>
      <c r="AA43" t="e">
        <f>calc_Charts!AA91</f>
        <v>#N/A</v>
      </c>
    </row>
    <row r="44" spans="2:28" x14ac:dyDescent="0.25">
      <c r="B44" t="s">
        <v>89</v>
      </c>
      <c r="C44">
        <f>calc_Charts!C96</f>
        <v>449</v>
      </c>
      <c r="D44">
        <f>calc_Charts!D96</f>
        <v>506</v>
      </c>
      <c r="E44">
        <f>calc_Charts!E96</f>
        <v>491</v>
      </c>
      <c r="F44">
        <f>calc_Charts!F96</f>
        <v>504</v>
      </c>
      <c r="G44">
        <f>calc_Charts!G96</f>
        <v>511</v>
      </c>
      <c r="H44">
        <f>calc_Charts!H96</f>
        <v>527</v>
      </c>
      <c r="I44">
        <f>calc_Charts!I96</f>
        <v>485</v>
      </c>
      <c r="J44">
        <f>calc_Charts!J96</f>
        <v>507</v>
      </c>
      <c r="K44">
        <f>calc_Charts!K96</f>
        <v>587</v>
      </c>
      <c r="L44">
        <f>calc_Charts!L96</f>
        <v>687</v>
      </c>
      <c r="M44">
        <f>calc_Charts!M96</f>
        <v>862</v>
      </c>
      <c r="N44">
        <f>calc_Charts!N96</f>
        <v>859</v>
      </c>
      <c r="O44">
        <f>calc_Charts!O96</f>
        <v>925</v>
      </c>
      <c r="P44">
        <f>calc_Charts!P96</f>
        <v>874</v>
      </c>
      <c r="Q44">
        <f>calc_Charts!Q96</f>
        <v>783</v>
      </c>
      <c r="R44">
        <f>calc_Charts!R96</f>
        <v>813</v>
      </c>
      <c r="S44">
        <f>calc_Charts!S96</f>
        <v>883</v>
      </c>
      <c r="T44">
        <f>calc_Charts!T96</f>
        <v>783</v>
      </c>
      <c r="U44">
        <f>calc_Charts!U96</f>
        <v>823</v>
      </c>
      <c r="V44">
        <f>calc_Charts!V96</f>
        <v>763</v>
      </c>
      <c r="W44">
        <f>calc_Charts!W96</f>
        <v>658</v>
      </c>
      <c r="X44">
        <f>calc_Charts!X96</f>
        <v>655</v>
      </c>
      <c r="Y44" t="e">
        <f>calc_Charts!Y96</f>
        <v>#N/A</v>
      </c>
      <c r="Z44" t="e">
        <f>calc_Charts!Z96</f>
        <v>#N/A</v>
      </c>
      <c r="AA44" t="e">
        <f>calc_Charts!AA96</f>
        <v>#N/A</v>
      </c>
    </row>
    <row r="47" spans="2:28" x14ac:dyDescent="0.25">
      <c r="B47" t="s">
        <v>17</v>
      </c>
      <c r="C47" s="50" t="e">
        <f>calc_Charts!C81</f>
        <v>#N/A</v>
      </c>
      <c r="D47" s="50" t="e">
        <f>calc_Charts!D81</f>
        <v>#N/A</v>
      </c>
      <c r="E47" s="50" t="e">
        <f>calc_Charts!E81</f>
        <v>#N/A</v>
      </c>
      <c r="F47" s="50" t="e">
        <f>calc_Charts!F81</f>
        <v>#N/A</v>
      </c>
      <c r="G47" s="50" t="e">
        <f>calc_Charts!G81</f>
        <v>#N/A</v>
      </c>
      <c r="H47" s="50" t="e">
        <f>calc_Charts!H81</f>
        <v>#N/A</v>
      </c>
      <c r="I47" s="50" t="e">
        <f>calc_Charts!I81</f>
        <v>#N/A</v>
      </c>
      <c r="J47" s="50" t="e">
        <f>calc_Charts!J81</f>
        <v>#N/A</v>
      </c>
      <c r="K47" s="50" t="e">
        <f>calc_Charts!K81</f>
        <v>#N/A</v>
      </c>
      <c r="L47" s="50" t="e">
        <f>calc_Charts!L81</f>
        <v>#N/A</v>
      </c>
      <c r="M47" s="50" t="e">
        <f>calc_Charts!M81</f>
        <v>#N/A</v>
      </c>
      <c r="N47" s="50" t="e">
        <f>calc_Charts!N81</f>
        <v>#N/A</v>
      </c>
      <c r="O47" s="50" t="e">
        <f>calc_Charts!O81</f>
        <v>#N/A</v>
      </c>
      <c r="P47" s="50" t="e">
        <f>calc_Charts!P81</f>
        <v>#N/A</v>
      </c>
      <c r="Q47" s="50" t="e">
        <f>calc_Charts!Q81</f>
        <v>#N/A</v>
      </c>
      <c r="R47" s="50" t="e">
        <f>calc_Charts!R81</f>
        <v>#N/A</v>
      </c>
      <c r="S47" s="50" t="e">
        <f>calc_Charts!S81</f>
        <v>#N/A</v>
      </c>
      <c r="T47" s="50" t="e">
        <f>calc_Charts!T81</f>
        <v>#N/A</v>
      </c>
      <c r="U47" s="50" t="e">
        <f>calc_Charts!U81</f>
        <v>#N/A</v>
      </c>
      <c r="V47" s="50" t="e">
        <f>calc_Charts!V81</f>
        <v>#N/A</v>
      </c>
      <c r="W47" s="50" t="e">
        <f>calc_Charts!W81</f>
        <v>#N/A</v>
      </c>
      <c r="X47" s="50" t="e">
        <f>calc_Charts!X81</f>
        <v>#N/A</v>
      </c>
      <c r="Y47" s="50" t="e">
        <f>calc_Charts!Y81</f>
        <v>#N/A</v>
      </c>
      <c r="Z47" s="50" t="e">
        <f>calc_Charts!Z81</f>
        <v>#N/A</v>
      </c>
      <c r="AA47" s="50" t="e">
        <f>calc_Charts!AA81</f>
        <v>#N/A</v>
      </c>
    </row>
    <row r="48" spans="2:28" x14ac:dyDescent="0.25">
      <c r="B48" t="s">
        <v>37</v>
      </c>
      <c r="C48">
        <f t="shared" ref="C48:AA48" si="0">C32</f>
        <v>779.06976744186045</v>
      </c>
      <c r="D48">
        <f t="shared" si="0"/>
        <v>810.46511627906978</v>
      </c>
      <c r="E48">
        <f t="shared" si="0"/>
        <v>819.76744186046517</v>
      </c>
      <c r="F48">
        <f t="shared" si="0"/>
        <v>873.80952380952385</v>
      </c>
      <c r="G48">
        <f t="shared" si="0"/>
        <v>864.70588235294122</v>
      </c>
      <c r="H48">
        <f t="shared" si="0"/>
        <v>895.2380952380953</v>
      </c>
      <c r="I48">
        <f t="shared" si="0"/>
        <v>915.2941176470589</v>
      </c>
      <c r="J48">
        <f t="shared" si="0"/>
        <v>988.23529411764707</v>
      </c>
      <c r="K48">
        <f t="shared" si="0"/>
        <v>1052.3255813953488</v>
      </c>
      <c r="L48">
        <f t="shared" si="0"/>
        <v>1177.0114942528735</v>
      </c>
      <c r="M48">
        <f t="shared" si="0"/>
        <v>1356.3218390804598</v>
      </c>
      <c r="N48">
        <f t="shared" si="0"/>
        <v>1522.9885057471265</v>
      </c>
      <c r="O48">
        <f t="shared" si="0"/>
        <v>1609.1954022988507</v>
      </c>
      <c r="P48">
        <f t="shared" si="0"/>
        <v>2104.6511627906975</v>
      </c>
      <c r="Q48">
        <f t="shared" si="0"/>
        <v>2129.4117647058824</v>
      </c>
      <c r="R48">
        <f t="shared" si="0"/>
        <v>1774.1176470588236</v>
      </c>
      <c r="S48">
        <f t="shared" si="0"/>
        <v>1770.5882352941178</v>
      </c>
      <c r="T48">
        <f t="shared" si="0"/>
        <v>2057.6470588235293</v>
      </c>
      <c r="U48">
        <f t="shared" si="0"/>
        <v>2034.1176470588236</v>
      </c>
      <c r="V48">
        <f t="shared" si="0"/>
        <v>1918.6046511627908</v>
      </c>
      <c r="W48">
        <f t="shared" si="0"/>
        <v>1651.1627906976744</v>
      </c>
      <c r="X48">
        <f t="shared" si="0"/>
        <v>1537.2093023255813</v>
      </c>
      <c r="Y48" t="e">
        <f t="shared" si="0"/>
        <v>#N/A</v>
      </c>
      <c r="Z48" t="e">
        <f t="shared" si="0"/>
        <v>#N/A</v>
      </c>
      <c r="AA48" t="e">
        <f t="shared" si="0"/>
        <v>#N/A</v>
      </c>
    </row>
    <row r="49" spans="2:27" x14ac:dyDescent="0.25">
      <c r="B49" t="s">
        <v>69</v>
      </c>
      <c r="C49">
        <f t="shared" ref="C49:AA49" si="1">C33</f>
        <v>745</v>
      </c>
      <c r="D49">
        <f t="shared" si="1"/>
        <v>770</v>
      </c>
      <c r="E49">
        <f t="shared" si="1"/>
        <v>785</v>
      </c>
      <c r="F49">
        <f t="shared" si="1"/>
        <v>820</v>
      </c>
      <c r="G49">
        <f t="shared" si="1"/>
        <v>825</v>
      </c>
      <c r="H49">
        <f t="shared" si="1"/>
        <v>825</v>
      </c>
      <c r="I49">
        <f t="shared" si="1"/>
        <v>825</v>
      </c>
      <c r="J49">
        <f t="shared" si="1"/>
        <v>840</v>
      </c>
      <c r="K49">
        <f t="shared" si="1"/>
        <v>890</v>
      </c>
      <c r="L49">
        <f t="shared" si="1"/>
        <v>1100</v>
      </c>
      <c r="M49">
        <f t="shared" si="1"/>
        <v>1100</v>
      </c>
      <c r="N49">
        <f t="shared" si="1"/>
        <v>1280</v>
      </c>
      <c r="O49">
        <f t="shared" si="1"/>
        <v>1290</v>
      </c>
      <c r="P49">
        <f t="shared" si="1"/>
        <v>1330</v>
      </c>
      <c r="Q49">
        <f t="shared" si="1"/>
        <v>1340</v>
      </c>
      <c r="R49">
        <f t="shared" si="1"/>
        <v>1330</v>
      </c>
      <c r="S49">
        <f t="shared" si="1"/>
        <v>1340</v>
      </c>
      <c r="T49">
        <f t="shared" si="1"/>
        <v>1270</v>
      </c>
      <c r="U49">
        <f t="shared" si="1"/>
        <v>1280</v>
      </c>
      <c r="V49">
        <f t="shared" si="1"/>
        <v>1250</v>
      </c>
      <c r="W49">
        <f t="shared" si="1"/>
        <v>1210</v>
      </c>
      <c r="X49">
        <f t="shared" si="1"/>
        <v>1150</v>
      </c>
      <c r="Y49" t="e">
        <f t="shared" si="1"/>
        <v>#N/A</v>
      </c>
      <c r="Z49" t="e">
        <f t="shared" si="1"/>
        <v>#N/A</v>
      </c>
      <c r="AA49" t="e">
        <f t="shared" si="1"/>
        <v>#N/A</v>
      </c>
    </row>
    <row r="52" spans="2:27" x14ac:dyDescent="0.25">
      <c r="B52" t="s">
        <v>23</v>
      </c>
      <c r="C52">
        <f>calc_Charts!C91</f>
        <v>489</v>
      </c>
      <c r="D52">
        <f>calc_Charts!D91</f>
        <v>488</v>
      </c>
      <c r="E52">
        <f>calc_Charts!E91</f>
        <v>497</v>
      </c>
      <c r="F52">
        <f>calc_Charts!F91</f>
        <v>509</v>
      </c>
      <c r="G52">
        <f>calc_Charts!G91</f>
        <v>521</v>
      </c>
      <c r="H52">
        <f>calc_Charts!H91</f>
        <v>553</v>
      </c>
      <c r="I52">
        <f>calc_Charts!I91</f>
        <v>511</v>
      </c>
      <c r="J52">
        <f>calc_Charts!J91</f>
        <v>551</v>
      </c>
      <c r="K52">
        <f>calc_Charts!K91</f>
        <v>690</v>
      </c>
      <c r="L52">
        <f>calc_Charts!L91</f>
        <v>771</v>
      </c>
      <c r="M52">
        <f>calc_Charts!M91</f>
        <v>927</v>
      </c>
      <c r="N52">
        <f>calc_Charts!N91</f>
        <v>845</v>
      </c>
      <c r="O52">
        <f>calc_Charts!O91</f>
        <v>884</v>
      </c>
      <c r="P52">
        <f>calc_Charts!P91</f>
        <v>781</v>
      </c>
      <c r="Q52">
        <f>calc_Charts!Q91</f>
        <v>655</v>
      </c>
      <c r="R52">
        <f>calc_Charts!R91</f>
        <v>639</v>
      </c>
      <c r="S52">
        <f>calc_Charts!S91</f>
        <v>662</v>
      </c>
      <c r="T52">
        <f>calc_Charts!T91</f>
        <v>620</v>
      </c>
      <c r="U52">
        <f>calc_Charts!U91</f>
        <v>663</v>
      </c>
      <c r="V52">
        <f>calc_Charts!V91</f>
        <v>602</v>
      </c>
      <c r="W52">
        <f>calc_Charts!W91</f>
        <v>585</v>
      </c>
      <c r="X52">
        <f>calc_Charts!X91</f>
        <v>618</v>
      </c>
      <c r="Y52" t="e">
        <f>calc_Charts!Y91</f>
        <v>#N/A</v>
      </c>
      <c r="Z52" t="e">
        <f>calc_Charts!Z91</f>
        <v>#N/A</v>
      </c>
      <c r="AA52" t="e">
        <f>calc_Charts!AA91</f>
        <v>#N/A</v>
      </c>
    </row>
    <row r="53" spans="2:27" x14ac:dyDescent="0.25">
      <c r="B53" t="s">
        <v>28</v>
      </c>
      <c r="C53">
        <f>calc_Charts!C96</f>
        <v>449</v>
      </c>
      <c r="D53">
        <f>calc_Charts!D96</f>
        <v>506</v>
      </c>
      <c r="E53">
        <f>calc_Charts!E96</f>
        <v>491</v>
      </c>
      <c r="F53">
        <f>calc_Charts!F96</f>
        <v>504</v>
      </c>
      <c r="G53">
        <f>calc_Charts!G96</f>
        <v>511</v>
      </c>
      <c r="H53">
        <f>calc_Charts!H96</f>
        <v>527</v>
      </c>
      <c r="I53">
        <f>calc_Charts!I96</f>
        <v>485</v>
      </c>
      <c r="J53">
        <f>calc_Charts!J96</f>
        <v>507</v>
      </c>
      <c r="K53">
        <f>calc_Charts!K96</f>
        <v>587</v>
      </c>
      <c r="L53">
        <f>calc_Charts!L96</f>
        <v>687</v>
      </c>
      <c r="M53">
        <f>calc_Charts!M96</f>
        <v>862</v>
      </c>
      <c r="N53">
        <f>calc_Charts!N96</f>
        <v>859</v>
      </c>
      <c r="O53">
        <f>calc_Charts!O96</f>
        <v>925</v>
      </c>
      <c r="P53">
        <f>calc_Charts!P96</f>
        <v>874</v>
      </c>
      <c r="Q53">
        <f>calc_Charts!Q96</f>
        <v>783</v>
      </c>
      <c r="R53">
        <f>calc_Charts!R96</f>
        <v>813</v>
      </c>
      <c r="S53">
        <f>calc_Charts!S96</f>
        <v>883</v>
      </c>
      <c r="T53">
        <f>calc_Charts!T96</f>
        <v>783</v>
      </c>
      <c r="U53">
        <f>calc_Charts!U96</f>
        <v>823</v>
      </c>
      <c r="V53">
        <f>calc_Charts!V96</f>
        <v>763</v>
      </c>
      <c r="W53">
        <f>calc_Charts!W96</f>
        <v>658</v>
      </c>
      <c r="X53">
        <f>calc_Charts!X96</f>
        <v>655</v>
      </c>
      <c r="Y53" t="e">
        <f>calc_Charts!Y96</f>
        <v>#N/A</v>
      </c>
      <c r="Z53" t="e">
        <f>calc_Charts!Z96</f>
        <v>#N/A</v>
      </c>
      <c r="AA53" t="e">
        <f>calc_Charts!AA96</f>
        <v>#N/A</v>
      </c>
    </row>
    <row r="54" spans="2:27" x14ac:dyDescent="0.25">
      <c r="B54" t="s">
        <v>24</v>
      </c>
      <c r="C54">
        <f>C38</f>
        <v>745</v>
      </c>
      <c r="D54">
        <f t="shared" ref="D54:AA54" si="2">D38</f>
        <v>770</v>
      </c>
      <c r="E54">
        <f t="shared" si="2"/>
        <v>785</v>
      </c>
      <c r="F54">
        <f t="shared" si="2"/>
        <v>820</v>
      </c>
      <c r="G54">
        <f t="shared" si="2"/>
        <v>825</v>
      </c>
      <c r="H54">
        <f t="shared" si="2"/>
        <v>825</v>
      </c>
      <c r="I54">
        <f t="shared" si="2"/>
        <v>825</v>
      </c>
      <c r="J54">
        <f t="shared" si="2"/>
        <v>840</v>
      </c>
      <c r="K54">
        <f t="shared" si="2"/>
        <v>890</v>
      </c>
      <c r="L54">
        <f t="shared" si="2"/>
        <v>1100</v>
      </c>
      <c r="M54">
        <f t="shared" si="2"/>
        <v>1100</v>
      </c>
      <c r="N54">
        <f t="shared" si="2"/>
        <v>1280</v>
      </c>
      <c r="O54">
        <f t="shared" si="2"/>
        <v>1290</v>
      </c>
      <c r="P54">
        <f t="shared" si="2"/>
        <v>1330</v>
      </c>
      <c r="Q54">
        <f t="shared" si="2"/>
        <v>1340</v>
      </c>
      <c r="R54">
        <f t="shared" si="2"/>
        <v>1330</v>
      </c>
      <c r="S54">
        <f t="shared" si="2"/>
        <v>1340</v>
      </c>
      <c r="T54">
        <f t="shared" si="2"/>
        <v>1270</v>
      </c>
      <c r="U54">
        <f t="shared" si="2"/>
        <v>1280</v>
      </c>
      <c r="V54">
        <f t="shared" si="2"/>
        <v>1250</v>
      </c>
      <c r="W54">
        <f t="shared" si="2"/>
        <v>1210</v>
      </c>
      <c r="X54">
        <f t="shared" si="2"/>
        <v>1150</v>
      </c>
      <c r="Y54" t="e">
        <f t="shared" si="2"/>
        <v>#N/A</v>
      </c>
      <c r="Z54" t="e">
        <f t="shared" si="2"/>
        <v>#N/A</v>
      </c>
      <c r="AA54" t="e">
        <f t="shared" si="2"/>
        <v>#N/A</v>
      </c>
    </row>
    <row r="57" spans="2:27" x14ac:dyDescent="0.25">
      <c r="B57" t="s">
        <v>42</v>
      </c>
      <c r="C57" t="e">
        <f>calc_Charts!C106</f>
        <v>#N/A</v>
      </c>
      <c r="D57" t="e">
        <f>calc_Charts!D106</f>
        <v>#N/A</v>
      </c>
      <c r="E57" t="e">
        <f>calc_Charts!E106</f>
        <v>#N/A</v>
      </c>
      <c r="F57" t="e">
        <f>calc_Charts!F106</f>
        <v>#N/A</v>
      </c>
      <c r="G57" t="e">
        <f>calc_Charts!G106</f>
        <v>#N/A</v>
      </c>
      <c r="H57" t="e">
        <f>calc_Charts!H106</f>
        <v>#N/A</v>
      </c>
      <c r="I57" t="e">
        <f>calc_Charts!I106</f>
        <v>#N/A</v>
      </c>
      <c r="J57" t="e">
        <f>calc_Charts!J106</f>
        <v>#N/A</v>
      </c>
      <c r="K57" t="e">
        <f>calc_Charts!K106</f>
        <v>#N/A</v>
      </c>
      <c r="L57" t="e">
        <f>calc_Charts!L106</f>
        <v>#N/A</v>
      </c>
      <c r="M57" t="e">
        <f>calc_Charts!M106</f>
        <v>#N/A</v>
      </c>
      <c r="N57" t="e">
        <f>calc_Charts!N106</f>
        <v>#N/A</v>
      </c>
      <c r="O57" t="e">
        <f>calc_Charts!O106</f>
        <v>#N/A</v>
      </c>
      <c r="P57" t="e">
        <f>calc_Charts!P106</f>
        <v>#N/A</v>
      </c>
      <c r="Q57" t="e">
        <f>calc_Charts!Q106</f>
        <v>#N/A</v>
      </c>
      <c r="R57" t="e">
        <f>calc_Charts!R106</f>
        <v>#N/A</v>
      </c>
      <c r="S57" t="e">
        <f>calc_Charts!S106</f>
        <v>#N/A</v>
      </c>
      <c r="T57" t="e">
        <f>calc_Charts!T106</f>
        <v>#N/A</v>
      </c>
      <c r="U57" t="e">
        <f>calc_Charts!U106</f>
        <v>#N/A</v>
      </c>
      <c r="V57" t="e">
        <f>calc_Charts!V106</f>
        <v>#N/A</v>
      </c>
      <c r="W57" t="e">
        <f>calc_Charts!W106</f>
        <v>#N/A</v>
      </c>
      <c r="X57" t="e">
        <f>calc_Charts!X106</f>
        <v>#N/A</v>
      </c>
      <c r="Y57" t="e">
        <f>calc_Charts!Y106</f>
        <v>#N/A</v>
      </c>
      <c r="Z57" t="e">
        <f>calc_Charts!Z106</f>
        <v>#N/A</v>
      </c>
      <c r="AA57" t="e">
        <f>calc_Charts!AA106</f>
        <v>#N/A</v>
      </c>
    </row>
    <row r="58" spans="2:27" x14ac:dyDescent="0.25">
      <c r="B58" t="s">
        <v>32</v>
      </c>
      <c r="C58" t="e">
        <f>calc_Charts!C111</f>
        <v>#N/A</v>
      </c>
      <c r="D58" t="e">
        <f>calc_Charts!D111</f>
        <v>#N/A</v>
      </c>
      <c r="E58" t="e">
        <f>calc_Charts!E111</f>
        <v>#N/A</v>
      </c>
      <c r="F58" t="e">
        <f>calc_Charts!F111</f>
        <v>#N/A</v>
      </c>
      <c r="G58" t="e">
        <f>calc_Charts!G111</f>
        <v>#N/A</v>
      </c>
      <c r="H58" t="e">
        <f>calc_Charts!H111</f>
        <v>#N/A</v>
      </c>
      <c r="I58" t="e">
        <f>calc_Charts!I111</f>
        <v>#N/A</v>
      </c>
      <c r="J58" t="e">
        <f>calc_Charts!J111</f>
        <v>#N/A</v>
      </c>
      <c r="K58" t="e">
        <f>calc_Charts!K111</f>
        <v>#N/A</v>
      </c>
      <c r="L58" t="e">
        <f>calc_Charts!L111</f>
        <v>#N/A</v>
      </c>
      <c r="M58" t="e">
        <f>calc_Charts!M111</f>
        <v>#N/A</v>
      </c>
      <c r="N58" t="e">
        <f>calc_Charts!N111</f>
        <v>#N/A</v>
      </c>
      <c r="O58" t="e">
        <f>calc_Charts!O111</f>
        <v>#N/A</v>
      </c>
      <c r="P58" t="e">
        <f>calc_Charts!P111</f>
        <v>#N/A</v>
      </c>
      <c r="Q58" t="e">
        <f>calc_Charts!Q111</f>
        <v>#N/A</v>
      </c>
      <c r="R58" t="e">
        <f>calc_Charts!R111</f>
        <v>#N/A</v>
      </c>
      <c r="S58" t="e">
        <f>calc_Charts!S111</f>
        <v>#N/A</v>
      </c>
      <c r="T58" t="e">
        <f>calc_Charts!T111</f>
        <v>#N/A</v>
      </c>
      <c r="U58" t="e">
        <f>calc_Charts!U111</f>
        <v>#N/A</v>
      </c>
      <c r="V58" t="e">
        <f>calc_Charts!V111</f>
        <v>#N/A</v>
      </c>
      <c r="W58" t="e">
        <f>calc_Charts!W111</f>
        <v>#N/A</v>
      </c>
      <c r="X58" t="e">
        <f>calc_Charts!X111</f>
        <v>#N/A</v>
      </c>
      <c r="Y58" t="e">
        <f>calc_Charts!Y111</f>
        <v>#N/A</v>
      </c>
      <c r="Z58" t="e">
        <f>calc_Charts!Z111</f>
        <v>#N/A</v>
      </c>
      <c r="AA58" t="e">
        <f>calc_Charts!AA111</f>
        <v>#N/A</v>
      </c>
    </row>
    <row r="61" spans="2:27" x14ac:dyDescent="0.25">
      <c r="B61" t="s">
        <v>33</v>
      </c>
      <c r="C61" t="e">
        <f>calc_Charts!C120</f>
        <v>#N/A</v>
      </c>
      <c r="D61" t="e">
        <f>calc_Charts!D120</f>
        <v>#N/A</v>
      </c>
      <c r="E61" t="e">
        <f>calc_Charts!E120</f>
        <v>#N/A</v>
      </c>
      <c r="F61" t="e">
        <f>calc_Charts!F120</f>
        <v>#N/A</v>
      </c>
      <c r="G61" t="e">
        <f>calc_Charts!G120</f>
        <v>#N/A</v>
      </c>
      <c r="H61" t="e">
        <f>calc_Charts!H120</f>
        <v>#N/A</v>
      </c>
      <c r="I61" t="e">
        <f>calc_Charts!I120</f>
        <v>#N/A</v>
      </c>
      <c r="J61" t="e">
        <f>calc_Charts!J120</f>
        <v>#N/A</v>
      </c>
      <c r="K61" t="e">
        <f>calc_Charts!K120</f>
        <v>#N/A</v>
      </c>
      <c r="L61" t="e">
        <f>calc_Charts!L120</f>
        <v>#N/A</v>
      </c>
      <c r="M61" t="e">
        <f>calc_Charts!M120</f>
        <v>#N/A</v>
      </c>
      <c r="N61" t="e">
        <f>calc_Charts!N120</f>
        <v>#N/A</v>
      </c>
      <c r="O61" t="e">
        <f>calc_Charts!O120</f>
        <v>#N/A</v>
      </c>
      <c r="P61" t="e">
        <f>calc_Charts!P120</f>
        <v>#N/A</v>
      </c>
      <c r="Q61" t="e">
        <f>calc_Charts!Q120</f>
        <v>#N/A</v>
      </c>
      <c r="R61" t="e">
        <f>calc_Charts!R120</f>
        <v>#N/A</v>
      </c>
      <c r="S61" t="e">
        <f>calc_Charts!S120</f>
        <v>#N/A</v>
      </c>
      <c r="T61" t="e">
        <f>calc_Charts!T120</f>
        <v>#N/A</v>
      </c>
      <c r="U61" t="e">
        <f>calc_Charts!U120</f>
        <v>#N/A</v>
      </c>
      <c r="V61" t="e">
        <f>calc_Charts!V120</f>
        <v>#N/A</v>
      </c>
      <c r="W61" t="e">
        <f>calc_Charts!W120</f>
        <v>#N/A</v>
      </c>
      <c r="X61" t="e">
        <f>calc_Charts!X120</f>
        <v>#N/A</v>
      </c>
      <c r="Y61" t="e">
        <f>calc_Charts!Y120</f>
        <v>#N/A</v>
      </c>
      <c r="Z61" t="e">
        <f>calc_Charts!Z120</f>
        <v>#N/A</v>
      </c>
      <c r="AA61" t="e">
        <f>calc_Charts!AA120</f>
        <v>#N/A</v>
      </c>
    </row>
    <row r="64" spans="2:27" x14ac:dyDescent="0.25">
      <c r="B64" t="s">
        <v>15</v>
      </c>
      <c r="C64">
        <f t="shared" ref="C64:AA64" si="3">C32</f>
        <v>779.06976744186045</v>
      </c>
      <c r="D64">
        <f t="shared" si="3"/>
        <v>810.46511627906978</v>
      </c>
      <c r="E64">
        <f t="shared" si="3"/>
        <v>819.76744186046517</v>
      </c>
      <c r="F64">
        <f t="shared" si="3"/>
        <v>873.80952380952385</v>
      </c>
      <c r="G64">
        <f t="shared" si="3"/>
        <v>864.70588235294122</v>
      </c>
      <c r="H64">
        <f t="shared" si="3"/>
        <v>895.2380952380953</v>
      </c>
      <c r="I64">
        <f t="shared" si="3"/>
        <v>915.2941176470589</v>
      </c>
      <c r="J64">
        <f t="shared" si="3"/>
        <v>988.23529411764707</v>
      </c>
      <c r="K64">
        <f t="shared" si="3"/>
        <v>1052.3255813953488</v>
      </c>
      <c r="L64">
        <f t="shared" si="3"/>
        <v>1177.0114942528735</v>
      </c>
      <c r="M64">
        <f t="shared" si="3"/>
        <v>1356.3218390804598</v>
      </c>
      <c r="N64">
        <f t="shared" si="3"/>
        <v>1522.9885057471265</v>
      </c>
      <c r="O64">
        <f t="shared" si="3"/>
        <v>1609.1954022988507</v>
      </c>
      <c r="P64">
        <f t="shared" si="3"/>
        <v>2104.6511627906975</v>
      </c>
      <c r="Q64">
        <f t="shared" si="3"/>
        <v>2129.4117647058824</v>
      </c>
      <c r="R64">
        <f t="shared" si="3"/>
        <v>1774.1176470588236</v>
      </c>
      <c r="S64">
        <f t="shared" si="3"/>
        <v>1770.5882352941178</v>
      </c>
      <c r="T64">
        <f t="shared" si="3"/>
        <v>2057.6470588235293</v>
      </c>
      <c r="U64">
        <f t="shared" si="3"/>
        <v>2034.1176470588236</v>
      </c>
      <c r="V64">
        <f t="shared" si="3"/>
        <v>1918.6046511627908</v>
      </c>
      <c r="W64">
        <f t="shared" si="3"/>
        <v>1651.1627906976744</v>
      </c>
      <c r="X64">
        <f t="shared" si="3"/>
        <v>1537.2093023255813</v>
      </c>
      <c r="Y64" t="e">
        <f t="shared" si="3"/>
        <v>#N/A</v>
      </c>
      <c r="Z64" t="e">
        <f t="shared" si="3"/>
        <v>#N/A</v>
      </c>
      <c r="AA64" t="e">
        <f t="shared" si="3"/>
        <v>#N/A</v>
      </c>
    </row>
    <row r="65" spans="2:27" x14ac:dyDescent="0.25">
      <c r="B65" t="s">
        <v>21</v>
      </c>
      <c r="C65">
        <f>C53</f>
        <v>449</v>
      </c>
      <c r="D65">
        <f t="shared" ref="D65:AA65" si="4">D53</f>
        <v>506</v>
      </c>
      <c r="E65">
        <f t="shared" si="4"/>
        <v>491</v>
      </c>
      <c r="F65">
        <f t="shared" si="4"/>
        <v>504</v>
      </c>
      <c r="G65">
        <f t="shared" si="4"/>
        <v>511</v>
      </c>
      <c r="H65">
        <f t="shared" si="4"/>
        <v>527</v>
      </c>
      <c r="I65">
        <f t="shared" si="4"/>
        <v>485</v>
      </c>
      <c r="J65">
        <f t="shared" si="4"/>
        <v>507</v>
      </c>
      <c r="K65">
        <f t="shared" si="4"/>
        <v>587</v>
      </c>
      <c r="L65">
        <f t="shared" si="4"/>
        <v>687</v>
      </c>
      <c r="M65">
        <f t="shared" si="4"/>
        <v>862</v>
      </c>
      <c r="N65">
        <f t="shared" si="4"/>
        <v>859</v>
      </c>
      <c r="O65">
        <f t="shared" si="4"/>
        <v>925</v>
      </c>
      <c r="P65">
        <f t="shared" si="4"/>
        <v>874</v>
      </c>
      <c r="Q65">
        <f t="shared" si="4"/>
        <v>783</v>
      </c>
      <c r="R65">
        <f t="shared" si="4"/>
        <v>813</v>
      </c>
      <c r="S65">
        <f t="shared" si="4"/>
        <v>883</v>
      </c>
      <c r="T65">
        <f t="shared" si="4"/>
        <v>783</v>
      </c>
      <c r="U65">
        <f t="shared" si="4"/>
        <v>823</v>
      </c>
      <c r="V65">
        <f t="shared" si="4"/>
        <v>763</v>
      </c>
      <c r="W65">
        <f t="shared" si="4"/>
        <v>658</v>
      </c>
      <c r="X65">
        <f t="shared" si="4"/>
        <v>655</v>
      </c>
      <c r="Y65" t="e">
        <f t="shared" si="4"/>
        <v>#N/A</v>
      </c>
      <c r="Z65" t="e">
        <f t="shared" si="4"/>
        <v>#N/A</v>
      </c>
      <c r="AA65" t="e">
        <f t="shared" si="4"/>
        <v>#N/A</v>
      </c>
    </row>
    <row r="66" spans="2:27" x14ac:dyDescent="0.25">
      <c r="B66" t="s">
        <v>70</v>
      </c>
      <c r="C66" s="50">
        <f>C25/1.2/calc_Charts!C123</f>
        <v>0</v>
      </c>
      <c r="D66" s="50">
        <f>D25/1.2/calc_Charts!D123</f>
        <v>0.50910016545755377</v>
      </c>
      <c r="E66" s="50">
        <f>E25/1.2/calc_Charts!E123</f>
        <v>0.36549707602339188</v>
      </c>
      <c r="F66" s="50">
        <f>F25/1.2/calc_Charts!F123</f>
        <v>0.42611773960928284</v>
      </c>
      <c r="G66" s="50">
        <f>G25/1.2/calc_Charts!G123</f>
        <v>0.40090148658605301</v>
      </c>
      <c r="H66" s="50">
        <f>H25/1.2/calc_Charts!H123</f>
        <v>0.23668129787417166</v>
      </c>
      <c r="I66" s="50">
        <f>I25/1.2/calc_Charts!I123</f>
        <v>0.51433574086233314</v>
      </c>
      <c r="J66" s="50">
        <f>J25/1.2/calc_Charts!J123</f>
        <v>0.26154047338825681</v>
      </c>
      <c r="K66" s="50">
        <f>K25/1.2/calc_Charts!K123</f>
        <v>-0.20351328191945159</v>
      </c>
      <c r="L66" s="50">
        <f>L25/1.2/calc_Charts!L123</f>
        <v>-3.1617554066017454E-2</v>
      </c>
      <c r="M66" s="50">
        <f>M25/1.2/calc_Charts!M123</f>
        <v>0.24058703235895587</v>
      </c>
      <c r="N66" s="50">
        <f>N25/1.2/calc_Charts!N123</f>
        <v>0.51618764453254051</v>
      </c>
      <c r="O66" s="50">
        <f>O25/1.2/calc_Charts!O123</f>
        <v>0.55817415033490447</v>
      </c>
      <c r="P66" s="50">
        <f>P25/1.2/calc_Charts!P123</f>
        <v>1.2132822477650065</v>
      </c>
      <c r="Q66" s="50">
        <f>Q25/1.2/calc_Charts!Q123</f>
        <v>2.5920510434667019</v>
      </c>
      <c r="R66" s="50">
        <f>R25/1.2/calc_Charts!R123</f>
        <v>3.2777777777777781</v>
      </c>
      <c r="S66" s="50">
        <f>S25/1.2/calc_Charts!S123</f>
        <v>3.5675235417503464</v>
      </c>
      <c r="T66" s="50">
        <f>T25/1.2/calc_Charts!T123</f>
        <v>2.935832668616503</v>
      </c>
      <c r="U66" s="50">
        <f>U25/1.2/calc_Charts!U123</f>
        <v>3.03381510771748</v>
      </c>
      <c r="V66" s="50">
        <f>V25/1.2/calc_Charts!V123</f>
        <v>3.147756636128729</v>
      </c>
      <c r="W66" s="50">
        <f>W25/1.2/calc_Charts!W123</f>
        <v>1.9599200752233192</v>
      </c>
      <c r="X66" s="50">
        <f>X25/1.2/calc_Charts!X123</f>
        <v>1.4998636487592036</v>
      </c>
      <c r="Y66" s="50" t="e">
        <f>Y25/1.2/calc_Charts!Y123</f>
        <v>#N/A</v>
      </c>
      <c r="Z66" s="50" t="e">
        <f>Z25/1.2/calc_Charts!Z123</f>
        <v>#N/A</v>
      </c>
      <c r="AA66" s="50" t="e">
        <f>AA25/1.2/calc_Charts!AA123</f>
        <v>#N/A</v>
      </c>
    </row>
    <row r="67" spans="2:27" ht="15.75" thickBot="1" x14ac:dyDescent="0.3">
      <c r="B67" s="51" t="s">
        <v>30</v>
      </c>
      <c r="C67" t="e">
        <f>C57</f>
        <v>#N/A</v>
      </c>
      <c r="D67" t="e">
        <f t="shared" ref="D67:AA67" si="5">D57</f>
        <v>#N/A</v>
      </c>
      <c r="E67" t="e">
        <f t="shared" si="5"/>
        <v>#N/A</v>
      </c>
      <c r="F67" t="e">
        <f t="shared" si="5"/>
        <v>#N/A</v>
      </c>
      <c r="G67" t="e">
        <f t="shared" si="5"/>
        <v>#N/A</v>
      </c>
      <c r="H67" t="e">
        <f t="shared" si="5"/>
        <v>#N/A</v>
      </c>
      <c r="I67" t="e">
        <f t="shared" si="5"/>
        <v>#N/A</v>
      </c>
      <c r="J67" t="e">
        <f t="shared" si="5"/>
        <v>#N/A</v>
      </c>
      <c r="K67" t="e">
        <f t="shared" si="5"/>
        <v>#N/A</v>
      </c>
      <c r="L67" t="e">
        <f t="shared" si="5"/>
        <v>#N/A</v>
      </c>
      <c r="M67" t="e">
        <f t="shared" si="5"/>
        <v>#N/A</v>
      </c>
      <c r="N67" t="e">
        <f t="shared" si="5"/>
        <v>#N/A</v>
      </c>
      <c r="O67" t="e">
        <f t="shared" si="5"/>
        <v>#N/A</v>
      </c>
      <c r="P67" t="e">
        <f t="shared" si="5"/>
        <v>#N/A</v>
      </c>
      <c r="Q67" t="e">
        <f t="shared" si="5"/>
        <v>#N/A</v>
      </c>
      <c r="R67" t="e">
        <f t="shared" si="5"/>
        <v>#N/A</v>
      </c>
      <c r="S67" t="e">
        <f t="shared" si="5"/>
        <v>#N/A</v>
      </c>
      <c r="T67" t="e">
        <f t="shared" si="5"/>
        <v>#N/A</v>
      </c>
      <c r="U67" t="e">
        <f t="shared" si="5"/>
        <v>#N/A</v>
      </c>
      <c r="V67" t="e">
        <f t="shared" si="5"/>
        <v>#N/A</v>
      </c>
      <c r="W67" t="e">
        <f t="shared" si="5"/>
        <v>#N/A</v>
      </c>
      <c r="X67" t="e">
        <f t="shared" si="5"/>
        <v>#N/A</v>
      </c>
      <c r="Y67" t="e">
        <f t="shared" si="5"/>
        <v>#N/A</v>
      </c>
      <c r="Z67" t="e">
        <f t="shared" si="5"/>
        <v>#N/A</v>
      </c>
      <c r="AA67" t="e">
        <f t="shared" si="5"/>
        <v>#N/A</v>
      </c>
    </row>
    <row r="71" spans="2:27" x14ac:dyDescent="0.25">
      <c r="B71" t="s">
        <v>71</v>
      </c>
      <c r="C71">
        <f>C49</f>
        <v>745</v>
      </c>
      <c r="D71">
        <f t="shared" ref="D71:AA71" si="6">D49</f>
        <v>770</v>
      </c>
      <c r="E71">
        <f t="shared" si="6"/>
        <v>785</v>
      </c>
      <c r="F71">
        <f t="shared" si="6"/>
        <v>820</v>
      </c>
      <c r="G71">
        <f t="shared" si="6"/>
        <v>825</v>
      </c>
      <c r="H71">
        <f t="shared" si="6"/>
        <v>825</v>
      </c>
      <c r="I71">
        <f t="shared" si="6"/>
        <v>825</v>
      </c>
      <c r="J71">
        <f t="shared" si="6"/>
        <v>840</v>
      </c>
      <c r="K71">
        <f t="shared" si="6"/>
        <v>890</v>
      </c>
      <c r="L71">
        <f t="shared" si="6"/>
        <v>1100</v>
      </c>
      <c r="M71">
        <f t="shared" si="6"/>
        <v>1100</v>
      </c>
      <c r="N71">
        <f t="shared" si="6"/>
        <v>1280</v>
      </c>
      <c r="O71">
        <f t="shared" si="6"/>
        <v>1290</v>
      </c>
      <c r="P71">
        <f t="shared" si="6"/>
        <v>1330</v>
      </c>
      <c r="Q71">
        <f t="shared" si="6"/>
        <v>1340</v>
      </c>
      <c r="R71">
        <f t="shared" si="6"/>
        <v>1330</v>
      </c>
      <c r="S71">
        <f t="shared" si="6"/>
        <v>1340</v>
      </c>
      <c r="T71">
        <f t="shared" si="6"/>
        <v>1270</v>
      </c>
      <c r="U71">
        <f t="shared" si="6"/>
        <v>1280</v>
      </c>
      <c r="V71">
        <f t="shared" si="6"/>
        <v>1250</v>
      </c>
      <c r="W71">
        <f t="shared" si="6"/>
        <v>1210</v>
      </c>
      <c r="X71">
        <f t="shared" si="6"/>
        <v>1150</v>
      </c>
      <c r="Y71" t="e">
        <f t="shared" si="6"/>
        <v>#N/A</v>
      </c>
      <c r="Z71" t="e">
        <f t="shared" si="6"/>
        <v>#N/A</v>
      </c>
      <c r="AA71" t="e">
        <f t="shared" si="6"/>
        <v>#N/A</v>
      </c>
    </row>
    <row r="72" spans="2:27" x14ac:dyDescent="0.25">
      <c r="B72" t="s">
        <v>20</v>
      </c>
      <c r="C72">
        <f>C54</f>
        <v>745</v>
      </c>
      <c r="D72">
        <f t="shared" ref="D72:AA72" si="7">D54</f>
        <v>770</v>
      </c>
      <c r="E72">
        <f t="shared" si="7"/>
        <v>785</v>
      </c>
      <c r="F72">
        <f t="shared" si="7"/>
        <v>820</v>
      </c>
      <c r="G72">
        <f t="shared" si="7"/>
        <v>825</v>
      </c>
      <c r="H72">
        <f t="shared" si="7"/>
        <v>825</v>
      </c>
      <c r="I72">
        <f t="shared" si="7"/>
        <v>825</v>
      </c>
      <c r="J72">
        <f t="shared" si="7"/>
        <v>840</v>
      </c>
      <c r="K72">
        <f t="shared" si="7"/>
        <v>890</v>
      </c>
      <c r="L72">
        <f t="shared" si="7"/>
        <v>1100</v>
      </c>
      <c r="M72">
        <f t="shared" si="7"/>
        <v>1100</v>
      </c>
      <c r="N72">
        <f t="shared" si="7"/>
        <v>1280</v>
      </c>
      <c r="O72">
        <f t="shared" si="7"/>
        <v>1290</v>
      </c>
      <c r="P72">
        <f t="shared" si="7"/>
        <v>1330</v>
      </c>
      <c r="Q72">
        <f t="shared" si="7"/>
        <v>1340</v>
      </c>
      <c r="R72">
        <f t="shared" si="7"/>
        <v>1330</v>
      </c>
      <c r="S72">
        <f t="shared" si="7"/>
        <v>1340</v>
      </c>
      <c r="T72">
        <f t="shared" si="7"/>
        <v>1270</v>
      </c>
      <c r="U72">
        <f t="shared" si="7"/>
        <v>1280</v>
      </c>
      <c r="V72">
        <f t="shared" si="7"/>
        <v>1250</v>
      </c>
      <c r="W72">
        <f t="shared" si="7"/>
        <v>1210</v>
      </c>
      <c r="X72">
        <f t="shared" si="7"/>
        <v>1150</v>
      </c>
      <c r="Y72" t="e">
        <f t="shared" si="7"/>
        <v>#N/A</v>
      </c>
      <c r="Z72" t="e">
        <f t="shared" si="7"/>
        <v>#N/A</v>
      </c>
      <c r="AA72" t="e">
        <f t="shared" si="7"/>
        <v>#N/A</v>
      </c>
    </row>
    <row r="73" spans="2:27" x14ac:dyDescent="0.25">
      <c r="B73" t="s">
        <v>72</v>
      </c>
      <c r="C73" s="50">
        <f>C27/1.2/calc_Charts!C123</f>
        <v>0</v>
      </c>
      <c r="D73" s="50">
        <f>D27/1.2/calc_Charts!D123</f>
        <v>0</v>
      </c>
      <c r="E73" s="50">
        <f>E27/1.2/calc_Charts!E123</f>
        <v>0</v>
      </c>
      <c r="F73" s="50">
        <f>F27/1.2/calc_Charts!F123</f>
        <v>0</v>
      </c>
      <c r="G73" s="50">
        <f>G27/1.2/calc_Charts!G123</f>
        <v>0</v>
      </c>
      <c r="H73" s="50">
        <f>H27/1.2/calc_Charts!H123</f>
        <v>0</v>
      </c>
      <c r="I73" s="50">
        <f>I27/1.2/calc_Charts!I123</f>
        <v>0</v>
      </c>
      <c r="J73" s="50">
        <f>J27/1.2/calc_Charts!J123</f>
        <v>0</v>
      </c>
      <c r="K73" s="50">
        <f>K27/1.2/calc_Charts!K123</f>
        <v>0</v>
      </c>
      <c r="L73" s="50">
        <f>L27/1.2/calc_Charts!L123</f>
        <v>0</v>
      </c>
      <c r="M73" s="50">
        <f>M27/1.2/calc_Charts!M123</f>
        <v>0</v>
      </c>
      <c r="N73" s="50">
        <f>N27/1.2/calc_Charts!N123</f>
        <v>0</v>
      </c>
      <c r="O73" s="50">
        <f>O27/1.2/calc_Charts!O123</f>
        <v>0</v>
      </c>
      <c r="P73" s="50">
        <f>P27/1.2/calc_Charts!P123</f>
        <v>0</v>
      </c>
      <c r="Q73" s="50">
        <f>Q27/1.2/calc_Charts!Q123</f>
        <v>0</v>
      </c>
      <c r="R73" s="50">
        <f>R27/1.2/calc_Charts!R123</f>
        <v>0</v>
      </c>
      <c r="S73" s="50">
        <f>S27/1.2/calc_Charts!S123</f>
        <v>0</v>
      </c>
      <c r="T73" s="50">
        <f>T27/1.2/calc_Charts!T123</f>
        <v>0</v>
      </c>
      <c r="U73" s="50">
        <f>U27/1.2/calc_Charts!U123</f>
        <v>0</v>
      </c>
      <c r="V73" s="50">
        <f>V27/1.2/calc_Charts!V123</f>
        <v>0</v>
      </c>
      <c r="W73" s="50">
        <f>W27/1.2/calc_Charts!W123</f>
        <v>0</v>
      </c>
      <c r="X73" s="50">
        <f>X27/1.2/calc_Charts!X123</f>
        <v>0</v>
      </c>
      <c r="Y73" s="50" t="e">
        <f>Y27/1.2/calc_Charts!Y123</f>
        <v>#N/A</v>
      </c>
      <c r="Z73" s="50" t="e">
        <f>Z27/1.2/calc_Charts!Z123</f>
        <v>#N/A</v>
      </c>
      <c r="AA73" s="50" t="e">
        <f>AA27/1.2/calc_Charts!AA123</f>
        <v>#N/A</v>
      </c>
    </row>
    <row r="74" spans="2:27" ht="15.75" thickBot="1" x14ac:dyDescent="0.3">
      <c r="B74" s="51" t="s">
        <v>41</v>
      </c>
      <c r="C74" t="e">
        <f>C58</f>
        <v>#N/A</v>
      </c>
      <c r="D74" t="e">
        <f t="shared" ref="D74:AA74" si="8">D58</f>
        <v>#N/A</v>
      </c>
      <c r="E74" t="e">
        <f t="shared" si="8"/>
        <v>#N/A</v>
      </c>
      <c r="F74" t="e">
        <f t="shared" si="8"/>
        <v>#N/A</v>
      </c>
      <c r="G74" t="e">
        <f t="shared" si="8"/>
        <v>#N/A</v>
      </c>
      <c r="H74" t="e">
        <f t="shared" si="8"/>
        <v>#N/A</v>
      </c>
      <c r="I74" t="e">
        <f t="shared" si="8"/>
        <v>#N/A</v>
      </c>
      <c r="J74" t="e">
        <f t="shared" si="8"/>
        <v>#N/A</v>
      </c>
      <c r="K74" t="e">
        <f t="shared" si="8"/>
        <v>#N/A</v>
      </c>
      <c r="L74" t="e">
        <f t="shared" si="8"/>
        <v>#N/A</v>
      </c>
      <c r="M74" t="e">
        <f t="shared" si="8"/>
        <v>#N/A</v>
      </c>
      <c r="N74" t="e">
        <f t="shared" si="8"/>
        <v>#N/A</v>
      </c>
      <c r="O74" t="e">
        <f t="shared" si="8"/>
        <v>#N/A</v>
      </c>
      <c r="P74" t="e">
        <f t="shared" si="8"/>
        <v>#N/A</v>
      </c>
      <c r="Q74" t="e">
        <f t="shared" si="8"/>
        <v>#N/A</v>
      </c>
      <c r="R74" t="e">
        <f t="shared" si="8"/>
        <v>#N/A</v>
      </c>
      <c r="S74" t="e">
        <f t="shared" si="8"/>
        <v>#N/A</v>
      </c>
      <c r="T74" t="e">
        <f t="shared" si="8"/>
        <v>#N/A</v>
      </c>
      <c r="U74" t="e">
        <f t="shared" si="8"/>
        <v>#N/A</v>
      </c>
      <c r="V74" t="e">
        <f t="shared" si="8"/>
        <v>#N/A</v>
      </c>
      <c r="W74" t="e">
        <f t="shared" si="8"/>
        <v>#N/A</v>
      </c>
      <c r="X74" t="e">
        <f t="shared" si="8"/>
        <v>#N/A</v>
      </c>
      <c r="Y74" t="e">
        <f t="shared" si="8"/>
        <v>#N/A</v>
      </c>
      <c r="Z74" t="e">
        <f t="shared" si="8"/>
        <v>#N/A</v>
      </c>
      <c r="AA74" t="e">
        <f t="shared" si="8"/>
        <v>#N/A</v>
      </c>
    </row>
    <row r="77" spans="2:27" x14ac:dyDescent="0.25">
      <c r="B77" t="s">
        <v>79</v>
      </c>
    </row>
    <row r="78" spans="2:27" x14ac:dyDescent="0.25">
      <c r="B78" t="s">
        <v>80</v>
      </c>
      <c r="C78">
        <f>C32-C33</f>
        <v>34.069767441860449</v>
      </c>
      <c r="D78">
        <f t="shared" ref="D78:AA78" si="9">D32-D33</f>
        <v>40.465116279069775</v>
      </c>
      <c r="E78">
        <f t="shared" si="9"/>
        <v>34.767441860465169</v>
      </c>
      <c r="F78">
        <f t="shared" si="9"/>
        <v>53.809523809523853</v>
      </c>
      <c r="G78">
        <f t="shared" si="9"/>
        <v>39.705882352941217</v>
      </c>
      <c r="H78">
        <f t="shared" si="9"/>
        <v>70.238095238095298</v>
      </c>
      <c r="I78">
        <f t="shared" si="9"/>
        <v>90.294117647058897</v>
      </c>
      <c r="J78">
        <f t="shared" si="9"/>
        <v>148.23529411764707</v>
      </c>
      <c r="K78">
        <f t="shared" si="9"/>
        <v>162.32558139534876</v>
      </c>
      <c r="L78">
        <f t="shared" si="9"/>
        <v>77.01149425287349</v>
      </c>
      <c r="M78">
        <f t="shared" si="9"/>
        <v>256.32183908045977</v>
      </c>
      <c r="N78">
        <f t="shared" si="9"/>
        <v>242.98850574712651</v>
      </c>
      <c r="O78">
        <f t="shared" si="9"/>
        <v>319.19540229885069</v>
      </c>
      <c r="P78">
        <f t="shared" si="9"/>
        <v>774.65116279069753</v>
      </c>
      <c r="Q78">
        <f t="shared" si="9"/>
        <v>789.41176470588243</v>
      </c>
      <c r="R78">
        <f t="shared" si="9"/>
        <v>444.11764705882365</v>
      </c>
      <c r="S78">
        <f t="shared" si="9"/>
        <v>430.58823529411779</v>
      </c>
      <c r="T78">
        <f t="shared" si="9"/>
        <v>787.64705882352928</v>
      </c>
      <c r="U78">
        <f t="shared" si="9"/>
        <v>754.11764705882365</v>
      </c>
      <c r="V78">
        <f t="shared" si="9"/>
        <v>668.60465116279079</v>
      </c>
      <c r="W78">
        <f t="shared" si="9"/>
        <v>441.16279069767438</v>
      </c>
      <c r="X78">
        <f t="shared" si="9"/>
        <v>387.20930232558135</v>
      </c>
      <c r="Y78" t="e">
        <f t="shared" si="9"/>
        <v>#N/A</v>
      </c>
      <c r="Z78" t="e">
        <f t="shared" si="9"/>
        <v>#N/A</v>
      </c>
      <c r="AA78" t="e">
        <f t="shared" si="9"/>
        <v>#N/A</v>
      </c>
    </row>
    <row r="79" spans="2:27" x14ac:dyDescent="0.25">
      <c r="B79" t="s">
        <v>81</v>
      </c>
      <c r="C79">
        <f>calc_Charts!C133-Charts!C33</f>
        <v>32.5</v>
      </c>
      <c r="D79">
        <f>calc_Charts!D133-Charts!D33</f>
        <v>10</v>
      </c>
      <c r="E79">
        <f>calc_Charts!E133-Charts!E33</f>
        <v>-2.5</v>
      </c>
      <c r="F79">
        <f>calc_Charts!F133-Charts!F33</f>
        <v>-42.5</v>
      </c>
      <c r="G79">
        <f>calc_Charts!G133-Charts!G33</f>
        <v>-42.5</v>
      </c>
      <c r="H79">
        <f>calc_Charts!H133-Charts!H33</f>
        <v>-42.5</v>
      </c>
      <c r="I79">
        <f>calc_Charts!I133-Charts!I33</f>
        <v>15</v>
      </c>
      <c r="J79">
        <f>calc_Charts!J133-Charts!J33</f>
        <v>0</v>
      </c>
      <c r="K79">
        <f>calc_Charts!K133-Charts!K33</f>
        <v>-40</v>
      </c>
      <c r="L79">
        <f>calc_Charts!L133-Charts!L33</f>
        <v>100</v>
      </c>
      <c r="M79">
        <f>calc_Charts!M133-Charts!M33</f>
        <v>100</v>
      </c>
      <c r="N79">
        <f>calc_Charts!N133-Charts!N33</f>
        <v>-70</v>
      </c>
      <c r="O79">
        <f>calc_Charts!O133-Charts!O33</f>
        <v>-80</v>
      </c>
      <c r="P79">
        <f>calc_Charts!P133-Charts!P33</f>
        <v>-65</v>
      </c>
      <c r="Q79">
        <f>calc_Charts!Q133-Charts!Q33</f>
        <v>-75</v>
      </c>
      <c r="R79">
        <f>calc_Charts!R133-Charts!R33</f>
        <v>-55</v>
      </c>
      <c r="S79">
        <f>calc_Charts!S133-Charts!S33</f>
        <v>-65</v>
      </c>
      <c r="T79">
        <f>calc_Charts!T133-Charts!T33</f>
        <v>5</v>
      </c>
      <c r="U79">
        <f>calc_Charts!U133-Charts!U33</f>
        <v>-5</v>
      </c>
      <c r="V79">
        <f>calc_Charts!V133-Charts!V33</f>
        <v>25</v>
      </c>
      <c r="W79">
        <f>calc_Charts!W133-Charts!W33</f>
        <v>65</v>
      </c>
      <c r="X79">
        <f>calc_Charts!X133-Charts!X33</f>
        <v>95</v>
      </c>
      <c r="Y79" t="e">
        <f>calc_Charts!Y133-Charts!Y33</f>
        <v>#N/A</v>
      </c>
      <c r="Z79" t="e">
        <f>calc_Charts!Z133-Charts!Z33</f>
        <v>#N/A</v>
      </c>
      <c r="AA79" t="e">
        <f>calc_Charts!AA133-Charts!AA33</f>
        <v>#N/A</v>
      </c>
    </row>
    <row r="80" spans="2:27" x14ac:dyDescent="0.25">
      <c r="B80" t="s">
        <v>82</v>
      </c>
      <c r="C80">
        <f>calc_Charts!C138-Charts!C33</f>
        <v>-35</v>
      </c>
      <c r="D80">
        <f>calc_Charts!D138-Charts!D33</f>
        <v>-60</v>
      </c>
      <c r="E80">
        <f>calc_Charts!E138-Charts!E33</f>
        <v>-65</v>
      </c>
      <c r="F80">
        <f>calc_Charts!F138-Charts!F33</f>
        <v>-80</v>
      </c>
      <c r="G80">
        <f>calc_Charts!G138-Charts!G33</f>
        <v>-65</v>
      </c>
      <c r="H80">
        <f>calc_Charts!H138-Charts!H33</f>
        <v>-50</v>
      </c>
      <c r="I80">
        <f>calc_Charts!I138-Charts!I33</f>
        <v>-50</v>
      </c>
      <c r="J80">
        <f>calc_Charts!J138-Charts!J33</f>
        <v>-55</v>
      </c>
      <c r="K80">
        <f>calc_Charts!K138-Charts!K33</f>
        <v>-45</v>
      </c>
      <c r="L80">
        <f>calc_Charts!L138-Charts!L33</f>
        <v>-55</v>
      </c>
      <c r="M80">
        <f>calc_Charts!M138-Charts!M33</f>
        <v>-70</v>
      </c>
      <c r="N80">
        <f>calc_Charts!N138-Charts!N33</f>
        <v>-220</v>
      </c>
      <c r="O80">
        <f>calc_Charts!O138-Charts!O33</f>
        <v>-155</v>
      </c>
      <c r="P80">
        <f>calc_Charts!P138-Charts!P33</f>
        <v>-145</v>
      </c>
      <c r="Q80">
        <f>calc_Charts!Q138-Charts!Q33</f>
        <v>-205</v>
      </c>
      <c r="R80">
        <f>calc_Charts!R138-Charts!R33</f>
        <v>-245</v>
      </c>
      <c r="S80">
        <f>calc_Charts!S138-Charts!S33</f>
        <v>-255</v>
      </c>
      <c r="T80">
        <f>calc_Charts!T138-Charts!T33</f>
        <v>-190</v>
      </c>
      <c r="U80">
        <f>calc_Charts!U138-Charts!U33</f>
        <v>-250</v>
      </c>
      <c r="V80">
        <f>calc_Charts!V138-Charts!V33</f>
        <v>-200</v>
      </c>
      <c r="W80">
        <f>calc_Charts!W138-Charts!W33</f>
        <v>-210</v>
      </c>
      <c r="X80">
        <f>calc_Charts!X138-Charts!X33</f>
        <v>-160</v>
      </c>
      <c r="Y80" t="e">
        <f>calc_Charts!Y138-Charts!Y33</f>
        <v>#N/A</v>
      </c>
      <c r="Z80" t="e">
        <f>calc_Charts!Z138-Charts!Z33</f>
        <v>#N/A</v>
      </c>
      <c r="AA80" t="e">
        <f>calc_Charts!AA138-Charts!AA33</f>
        <v>#N/A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Spinner 1">
              <controlPr defaultSize="0" autoPict="0">
                <anchor moveWithCells="1" sizeWithCells="1">
                  <from>
                    <xdr:col>0</xdr:col>
                    <xdr:colOff>66675</xdr:colOff>
                    <xdr:row>1</xdr:row>
                    <xdr:rowOff>66675</xdr:rowOff>
                  </from>
                  <to>
                    <xdr:col>1</xdr:col>
                    <xdr:colOff>133350</xdr:colOff>
                    <xdr:row>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6"/>
  <sheetViews>
    <sheetView zoomScale="106" zoomScaleNormal="110" workbookViewId="0">
      <pane xSplit="3" ySplit="2" topLeftCell="KI3" activePane="bottomRight" state="frozen"/>
      <selection pane="topRight" activeCell="D1" sqref="D1"/>
      <selection pane="bottomLeft" activeCell="A3" sqref="A3"/>
      <selection pane="bottomRight" activeCell="KQ11" sqref="KQ11"/>
    </sheetView>
  </sheetViews>
  <sheetFormatPr defaultRowHeight="15" x14ac:dyDescent="0.25"/>
  <cols>
    <col min="2" max="2" width="4" style="13" customWidth="1"/>
    <col min="3" max="3" width="39.7109375" customWidth="1"/>
    <col min="4" max="13" width="8" customWidth="1"/>
    <col min="14" max="24" width="8.28515625" customWidth="1"/>
    <col min="25" max="25" width="14.28515625" customWidth="1"/>
    <col min="26" max="26" width="14.7109375" customWidth="1"/>
    <col min="27" max="27" width="14.85546875" customWidth="1"/>
    <col min="28" max="28" width="15.7109375" customWidth="1"/>
    <col min="29" max="31" width="14.7109375" bestFit="1" customWidth="1"/>
    <col min="32" max="32" width="13.7109375" bestFit="1" customWidth="1"/>
    <col min="33" max="34" width="14.7109375" bestFit="1" customWidth="1"/>
    <col min="35" max="41" width="14.85546875" bestFit="1" customWidth="1"/>
    <col min="42" max="42" width="11" bestFit="1" customWidth="1"/>
    <col min="43" max="43" width="14.7109375" customWidth="1"/>
    <col min="44" max="50" width="14.85546875" bestFit="1" customWidth="1"/>
    <col min="51" max="51" width="14.28515625" customWidth="1"/>
    <col min="52" max="60" width="14.85546875" bestFit="1" customWidth="1"/>
    <col min="61" max="61" width="14.42578125" customWidth="1"/>
    <col min="62" max="62" width="14.5703125" customWidth="1"/>
    <col min="63" max="63" width="16.140625" customWidth="1"/>
    <col min="64" max="64" width="14.85546875" customWidth="1"/>
    <col min="65" max="65" width="15.42578125" customWidth="1"/>
    <col min="66" max="66" width="14.85546875" customWidth="1"/>
    <col min="67" max="67" width="14.85546875" bestFit="1" customWidth="1"/>
    <col min="68" max="68" width="16.28515625" customWidth="1"/>
    <col min="69" max="69" width="14.85546875" bestFit="1" customWidth="1"/>
    <col min="70" max="70" width="15.28515625" customWidth="1"/>
    <col min="71" max="71" width="14.85546875" bestFit="1" customWidth="1"/>
    <col min="72" max="72" width="14.7109375" bestFit="1" customWidth="1"/>
    <col min="73" max="75" width="14.85546875" bestFit="1" customWidth="1"/>
    <col min="76" max="76" width="13.140625" customWidth="1"/>
    <col min="77" max="78" width="15" bestFit="1" customWidth="1"/>
    <col min="79" max="79" width="11.140625" bestFit="1" customWidth="1"/>
    <col min="80" max="82" width="13" bestFit="1" customWidth="1"/>
    <col min="83" max="83" width="13.28515625" customWidth="1"/>
    <col min="84" max="85" width="13" bestFit="1" customWidth="1"/>
    <col min="86" max="107" width="13.85546875" customWidth="1"/>
    <col min="108" max="109" width="9.7109375" bestFit="1" customWidth="1"/>
    <col min="117" max="119" width="14.85546875" bestFit="1" customWidth="1"/>
    <col min="120" max="120" width="14.7109375" customWidth="1"/>
    <col min="121" max="121" width="11.140625" customWidth="1"/>
    <col min="122" max="122" width="11.7109375" customWidth="1"/>
    <col min="123" max="123" width="11" bestFit="1" customWidth="1"/>
    <col min="124" max="124" width="13.7109375" bestFit="1" customWidth="1"/>
    <col min="125" max="125" width="14.85546875" bestFit="1" customWidth="1"/>
    <col min="126" max="126" width="12.85546875" bestFit="1" customWidth="1"/>
    <col min="127" max="127" width="14.42578125" customWidth="1"/>
    <col min="128" max="128" width="14.140625" customWidth="1"/>
    <col min="129" max="129" width="12.85546875" bestFit="1" customWidth="1"/>
    <col min="130" max="130" width="13.7109375" bestFit="1" customWidth="1"/>
    <col min="131" max="133" width="15.7109375" bestFit="1" customWidth="1"/>
    <col min="134" max="134" width="14.140625" customWidth="1"/>
    <col min="135" max="135" width="15.7109375" bestFit="1" customWidth="1"/>
    <col min="136" max="136" width="14.7109375" customWidth="1"/>
    <col min="137" max="139" width="13.7109375" bestFit="1" customWidth="1"/>
    <col min="140" max="141" width="15.7109375" bestFit="1" customWidth="1"/>
    <col min="142" max="142" width="14.85546875" bestFit="1" customWidth="1"/>
    <col min="143" max="143" width="15.7109375" bestFit="1" customWidth="1"/>
    <col min="144" max="144" width="14.85546875" customWidth="1"/>
    <col min="145" max="145" width="14" customWidth="1"/>
    <col min="146" max="147" width="13.7109375" bestFit="1" customWidth="1"/>
    <col min="148" max="148" width="15.7109375" bestFit="1" customWidth="1"/>
    <col min="149" max="149" width="14.7109375" bestFit="1" customWidth="1"/>
    <col min="150" max="151" width="15.7109375" bestFit="1" customWidth="1"/>
    <col min="152" max="152" width="14" customWidth="1"/>
    <col min="153" max="154" width="15.7109375" bestFit="1" customWidth="1"/>
    <col min="155" max="155" width="13.7109375" bestFit="1" customWidth="1"/>
    <col min="156" max="156" width="15.7109375" bestFit="1" customWidth="1"/>
    <col min="157" max="158" width="13.7109375" bestFit="1" customWidth="1"/>
    <col min="159" max="159" width="15.7109375" style="41" bestFit="1" customWidth="1"/>
    <col min="160" max="160" width="15" bestFit="1" customWidth="1"/>
    <col min="161" max="161" width="14.5703125" customWidth="1"/>
    <col min="162" max="162" width="15.7109375" bestFit="1" customWidth="1"/>
    <col min="163" max="163" width="14.85546875" bestFit="1" customWidth="1"/>
    <col min="164" max="164" width="15.7109375" bestFit="1" customWidth="1"/>
    <col min="165" max="165" width="12.85546875" customWidth="1"/>
    <col min="166" max="166" width="11.5703125" bestFit="1" customWidth="1"/>
    <col min="167" max="167" width="13.7109375" bestFit="1" customWidth="1"/>
    <col min="168" max="168" width="13.85546875" customWidth="1"/>
    <col min="169" max="169" width="15.7109375" bestFit="1" customWidth="1"/>
    <col min="170" max="170" width="14.85546875" bestFit="1" customWidth="1"/>
    <col min="171" max="171" width="15.7109375" bestFit="1" customWidth="1"/>
    <col min="172" max="172" width="14.5703125" customWidth="1"/>
    <col min="173" max="174" width="15.7109375" bestFit="1" customWidth="1"/>
    <col min="175" max="175" width="15.140625" customWidth="1"/>
    <col min="176" max="176" width="13.7109375" bestFit="1" customWidth="1"/>
    <col min="177" max="179" width="15.7109375" bestFit="1" customWidth="1"/>
    <col min="180" max="180" width="13.7109375" bestFit="1" customWidth="1"/>
    <col min="181" max="181" width="15.7109375" style="41" bestFit="1" customWidth="1"/>
    <col min="182" max="183" width="15.7109375" bestFit="1" customWidth="1"/>
    <col min="184" max="191" width="14.85546875" bestFit="1" customWidth="1"/>
    <col min="192" max="192" width="14.85546875" style="41" bestFit="1" customWidth="1"/>
    <col min="193" max="199" width="14.85546875" bestFit="1" customWidth="1"/>
    <col min="200" max="200" width="14.85546875" customWidth="1"/>
    <col min="201" max="202" width="15.5703125" customWidth="1"/>
    <col min="203" max="214" width="14.85546875" bestFit="1" customWidth="1"/>
    <col min="215" max="215" width="15.85546875" customWidth="1"/>
    <col min="216" max="225" width="14.85546875" bestFit="1" customWidth="1"/>
    <col min="226" max="226" width="15.5703125" customWidth="1"/>
    <col min="227" max="241" width="14.85546875" bestFit="1" customWidth="1"/>
    <col min="242" max="242" width="13.7109375" bestFit="1" customWidth="1"/>
    <col min="243" max="249" width="14.85546875" bestFit="1" customWidth="1"/>
    <col min="250" max="250" width="14.85546875" style="41" bestFit="1" customWidth="1"/>
    <col min="251" max="253" width="14.85546875" bestFit="1" customWidth="1"/>
    <col min="254" max="254" width="13.7109375" bestFit="1" customWidth="1"/>
    <col min="255" max="257" width="12.85546875" bestFit="1" customWidth="1"/>
    <col min="258" max="258" width="12.85546875" customWidth="1"/>
    <col min="259" max="260" width="14.85546875" bestFit="1" customWidth="1"/>
    <col min="261" max="261" width="14.28515625" customWidth="1"/>
    <col min="262" max="263" width="14.85546875" bestFit="1" customWidth="1"/>
    <col min="264" max="264" width="12.85546875" bestFit="1" customWidth="1"/>
    <col min="265" max="266" width="17.42578125" customWidth="1"/>
    <col min="267" max="267" width="14.140625" bestFit="1" customWidth="1"/>
    <col min="268" max="268" width="12.28515625" bestFit="1" customWidth="1"/>
    <col min="269" max="269" width="14.140625" bestFit="1" customWidth="1"/>
    <col min="270" max="270" width="14.28515625" customWidth="1"/>
    <col min="271" max="271" width="14.140625" bestFit="1" customWidth="1"/>
    <col min="272" max="274" width="12.28515625" bestFit="1" customWidth="1"/>
    <col min="275" max="275" width="14.140625" customWidth="1"/>
    <col min="276" max="277" width="12.28515625" bestFit="1" customWidth="1"/>
    <col min="278" max="278" width="14" customWidth="1"/>
    <col min="279" max="279" width="12.7109375" bestFit="1" customWidth="1"/>
    <col min="281" max="281" width="12.28515625" customWidth="1"/>
    <col min="282" max="284" width="12.7109375" bestFit="1" customWidth="1"/>
    <col min="285" max="285" width="16.28515625" customWidth="1"/>
    <col min="286" max="286" width="12.7109375" bestFit="1" customWidth="1"/>
    <col min="287" max="287" width="14.85546875" customWidth="1"/>
    <col min="288" max="289" width="12.85546875" bestFit="1" customWidth="1"/>
    <col min="290" max="290" width="13.85546875" customWidth="1"/>
    <col min="291" max="291" width="13.7109375" customWidth="1"/>
    <col min="292" max="293" width="12.85546875" bestFit="1" customWidth="1"/>
    <col min="294" max="294" width="13.42578125" customWidth="1"/>
    <col min="295" max="295" width="12.85546875" bestFit="1" customWidth="1"/>
    <col min="296" max="296" width="13.28515625" customWidth="1"/>
    <col min="297" max="300" width="14" bestFit="1" customWidth="1"/>
    <col min="301" max="301" width="14" customWidth="1"/>
  </cols>
  <sheetData>
    <row r="1" spans="1:304 16384:16384" x14ac:dyDescent="0.25">
      <c r="D1">
        <v>2020</v>
      </c>
      <c r="E1">
        <v>2020</v>
      </c>
      <c r="F1">
        <v>2020</v>
      </c>
      <c r="G1">
        <v>2020</v>
      </c>
      <c r="H1">
        <v>2020</v>
      </c>
      <c r="I1">
        <v>2020</v>
      </c>
      <c r="J1">
        <v>2020</v>
      </c>
      <c r="K1">
        <v>2020</v>
      </c>
      <c r="L1">
        <v>2020</v>
      </c>
      <c r="M1">
        <v>2020</v>
      </c>
      <c r="N1">
        <v>2020</v>
      </c>
      <c r="O1">
        <v>2020</v>
      </c>
      <c r="P1">
        <v>2020</v>
      </c>
      <c r="Q1">
        <v>2020</v>
      </c>
      <c r="R1">
        <v>2020</v>
      </c>
      <c r="S1">
        <v>2020</v>
      </c>
      <c r="T1">
        <v>2020</v>
      </c>
      <c r="U1">
        <v>2020</v>
      </c>
      <c r="V1">
        <v>2020</v>
      </c>
      <c r="W1">
        <v>2020</v>
      </c>
      <c r="X1">
        <v>2020</v>
      </c>
      <c r="Y1">
        <v>2021</v>
      </c>
      <c r="Z1">
        <v>2021</v>
      </c>
      <c r="AA1">
        <v>2021</v>
      </c>
      <c r="AB1">
        <v>2021</v>
      </c>
      <c r="AC1">
        <v>2021</v>
      </c>
      <c r="AD1">
        <v>2021</v>
      </c>
      <c r="AE1">
        <v>2021</v>
      </c>
      <c r="AF1">
        <v>2021</v>
      </c>
      <c r="AG1">
        <v>2021</v>
      </c>
      <c r="AH1">
        <v>2021</v>
      </c>
      <c r="AI1">
        <v>2021</v>
      </c>
      <c r="AJ1">
        <v>2021</v>
      </c>
      <c r="AK1">
        <v>2021</v>
      </c>
      <c r="AL1">
        <v>2021</v>
      </c>
      <c r="AM1">
        <v>2021</v>
      </c>
      <c r="AN1">
        <v>2021</v>
      </c>
      <c r="AO1">
        <v>2021</v>
      </c>
      <c r="AP1">
        <v>2021</v>
      </c>
      <c r="AQ1">
        <v>2021</v>
      </c>
      <c r="AR1">
        <v>2021</v>
      </c>
      <c r="AS1">
        <v>2021</v>
      </c>
      <c r="AT1">
        <v>2021</v>
      </c>
      <c r="AU1">
        <v>2021</v>
      </c>
      <c r="AV1">
        <v>2021</v>
      </c>
      <c r="AW1">
        <v>2021</v>
      </c>
      <c r="AX1">
        <v>2021</v>
      </c>
      <c r="AY1">
        <v>2021</v>
      </c>
      <c r="AZ1">
        <v>2021</v>
      </c>
      <c r="BA1">
        <v>2021</v>
      </c>
      <c r="BB1">
        <v>2021</v>
      </c>
      <c r="BC1">
        <v>2021</v>
      </c>
      <c r="BD1">
        <v>2021</v>
      </c>
      <c r="BE1">
        <v>2021</v>
      </c>
      <c r="BF1">
        <v>2021</v>
      </c>
      <c r="BG1">
        <v>2021</v>
      </c>
      <c r="BH1">
        <v>2021</v>
      </c>
      <c r="BI1">
        <v>2021</v>
      </c>
      <c r="BJ1">
        <v>2021</v>
      </c>
      <c r="BK1">
        <v>2021</v>
      </c>
      <c r="BL1">
        <v>2021</v>
      </c>
      <c r="BM1">
        <v>2021</v>
      </c>
      <c r="BN1">
        <v>2021</v>
      </c>
      <c r="BO1">
        <v>2021</v>
      </c>
      <c r="BP1">
        <v>2021</v>
      </c>
      <c r="BQ1">
        <v>2021</v>
      </c>
      <c r="BR1">
        <v>2021</v>
      </c>
      <c r="BS1">
        <v>2021</v>
      </c>
      <c r="BT1">
        <v>2021</v>
      </c>
      <c r="BU1">
        <v>2021</v>
      </c>
      <c r="BV1">
        <v>2021</v>
      </c>
      <c r="BW1">
        <v>2021</v>
      </c>
      <c r="BX1">
        <v>2022</v>
      </c>
      <c r="BY1">
        <v>2022</v>
      </c>
      <c r="BZ1">
        <v>2022</v>
      </c>
      <c r="CA1">
        <v>2022</v>
      </c>
      <c r="CB1">
        <v>2022</v>
      </c>
      <c r="CC1">
        <v>2022</v>
      </c>
      <c r="CD1">
        <v>2022</v>
      </c>
      <c r="CE1">
        <v>2022</v>
      </c>
      <c r="CF1">
        <v>2022</v>
      </c>
      <c r="CG1">
        <v>2022</v>
      </c>
      <c r="CH1">
        <v>2022</v>
      </c>
      <c r="CI1">
        <v>2022</v>
      </c>
      <c r="CJ1">
        <v>2022</v>
      </c>
      <c r="CK1">
        <v>2022</v>
      </c>
      <c r="CL1">
        <v>2022</v>
      </c>
      <c r="CM1">
        <v>2022</v>
      </c>
      <c r="CN1">
        <v>2022</v>
      </c>
      <c r="CO1">
        <v>2022</v>
      </c>
      <c r="CP1">
        <v>2022</v>
      </c>
      <c r="CQ1">
        <v>2022</v>
      </c>
      <c r="CR1">
        <v>2022</v>
      </c>
      <c r="CS1">
        <v>2022</v>
      </c>
      <c r="CT1">
        <v>2022</v>
      </c>
      <c r="CU1">
        <v>2022</v>
      </c>
      <c r="CV1">
        <v>2022</v>
      </c>
      <c r="CW1">
        <v>2022</v>
      </c>
      <c r="CX1">
        <v>2022</v>
      </c>
      <c r="CY1">
        <v>2022</v>
      </c>
      <c r="CZ1">
        <v>2022</v>
      </c>
      <c r="DA1">
        <v>2022</v>
      </c>
      <c r="DB1">
        <v>2022</v>
      </c>
      <c r="DC1">
        <v>2022</v>
      </c>
      <c r="DD1">
        <v>2022</v>
      </c>
      <c r="DE1">
        <v>2022</v>
      </c>
      <c r="DF1">
        <v>2022</v>
      </c>
      <c r="DG1">
        <v>2022</v>
      </c>
      <c r="DH1">
        <v>2022</v>
      </c>
      <c r="DI1">
        <v>2022</v>
      </c>
      <c r="DJ1">
        <v>2022</v>
      </c>
      <c r="DK1">
        <v>2022</v>
      </c>
      <c r="DL1">
        <v>2022</v>
      </c>
      <c r="DM1">
        <v>2022</v>
      </c>
      <c r="DN1">
        <v>2022</v>
      </c>
      <c r="DO1">
        <v>2022</v>
      </c>
      <c r="DP1">
        <v>2022</v>
      </c>
      <c r="DQ1">
        <v>2022</v>
      </c>
      <c r="DR1">
        <v>2022</v>
      </c>
      <c r="DS1">
        <v>2022</v>
      </c>
      <c r="DT1">
        <v>2022</v>
      </c>
      <c r="DU1">
        <v>2022</v>
      </c>
      <c r="DV1">
        <v>2022</v>
      </c>
      <c r="DW1">
        <v>2023</v>
      </c>
      <c r="DX1">
        <v>2023</v>
      </c>
      <c r="DY1">
        <v>2023</v>
      </c>
      <c r="DZ1">
        <v>2023</v>
      </c>
      <c r="EA1">
        <v>2023</v>
      </c>
      <c r="EB1">
        <v>2023</v>
      </c>
      <c r="EC1">
        <v>2023</v>
      </c>
      <c r="ED1">
        <v>2023</v>
      </c>
      <c r="EE1">
        <v>2023</v>
      </c>
      <c r="EF1">
        <v>2023</v>
      </c>
      <c r="EG1">
        <v>2023</v>
      </c>
      <c r="EH1">
        <v>2023</v>
      </c>
      <c r="EI1">
        <v>2023</v>
      </c>
      <c r="EJ1">
        <v>2023</v>
      </c>
      <c r="EK1">
        <v>2023</v>
      </c>
      <c r="EL1">
        <v>2023</v>
      </c>
      <c r="EM1">
        <v>2023</v>
      </c>
      <c r="EN1">
        <v>2023</v>
      </c>
      <c r="EO1">
        <v>2023</v>
      </c>
      <c r="EP1">
        <v>2023</v>
      </c>
      <c r="EQ1">
        <v>2023</v>
      </c>
      <c r="ER1">
        <v>2023</v>
      </c>
      <c r="ES1">
        <v>2023</v>
      </c>
      <c r="ET1">
        <v>2023</v>
      </c>
      <c r="EU1">
        <v>2023</v>
      </c>
      <c r="EV1">
        <v>2023</v>
      </c>
      <c r="EW1">
        <v>2023</v>
      </c>
      <c r="EX1">
        <v>2023</v>
      </c>
      <c r="EY1">
        <v>2023</v>
      </c>
      <c r="EZ1">
        <v>2023</v>
      </c>
      <c r="FA1">
        <v>2023</v>
      </c>
      <c r="FB1">
        <v>2023</v>
      </c>
      <c r="FC1" s="41">
        <v>2023</v>
      </c>
      <c r="FD1">
        <v>2023</v>
      </c>
      <c r="FE1">
        <v>2023</v>
      </c>
      <c r="FF1">
        <v>2023</v>
      </c>
      <c r="FG1">
        <v>2023</v>
      </c>
      <c r="FH1">
        <v>2023</v>
      </c>
      <c r="FI1">
        <v>2023</v>
      </c>
      <c r="FJ1">
        <v>2023</v>
      </c>
      <c r="FK1">
        <v>2023</v>
      </c>
      <c r="FL1">
        <v>2023</v>
      </c>
      <c r="FM1">
        <v>2023</v>
      </c>
      <c r="FN1">
        <v>2023</v>
      </c>
      <c r="FO1">
        <v>2023</v>
      </c>
      <c r="FP1">
        <v>2023</v>
      </c>
      <c r="FQ1">
        <v>2023</v>
      </c>
      <c r="FR1">
        <v>2023</v>
      </c>
      <c r="FS1">
        <v>2023</v>
      </c>
      <c r="FT1">
        <v>2023</v>
      </c>
      <c r="FU1">
        <v>2023</v>
      </c>
      <c r="FV1">
        <v>2024</v>
      </c>
      <c r="FW1">
        <v>2024</v>
      </c>
      <c r="FX1">
        <v>2024</v>
      </c>
      <c r="FY1" s="41">
        <v>2024</v>
      </c>
      <c r="FZ1" s="41">
        <v>2024</v>
      </c>
      <c r="GA1" s="41">
        <v>2024</v>
      </c>
      <c r="GB1" s="41">
        <v>2024</v>
      </c>
      <c r="GC1" s="41">
        <v>2024</v>
      </c>
      <c r="GD1" s="41">
        <v>2024</v>
      </c>
      <c r="GE1" s="41">
        <v>2024</v>
      </c>
      <c r="GF1" s="41">
        <v>2024</v>
      </c>
      <c r="GG1" s="41">
        <v>2024</v>
      </c>
      <c r="GH1" s="41">
        <v>2024</v>
      </c>
      <c r="GI1" s="41">
        <v>2024</v>
      </c>
      <c r="GJ1" s="41">
        <v>2024</v>
      </c>
      <c r="GK1" s="41">
        <v>2024</v>
      </c>
      <c r="GL1" s="41">
        <v>2024</v>
      </c>
      <c r="GM1" s="41">
        <v>2024</v>
      </c>
      <c r="GN1" s="41">
        <v>2024</v>
      </c>
      <c r="GO1" s="41">
        <v>2024</v>
      </c>
      <c r="GP1" s="41">
        <v>2024</v>
      </c>
      <c r="GQ1" s="41">
        <v>2024</v>
      </c>
      <c r="GR1" s="41">
        <v>2024</v>
      </c>
      <c r="GS1" s="41">
        <v>2024</v>
      </c>
      <c r="GT1" s="41">
        <v>2024</v>
      </c>
      <c r="GU1" s="41">
        <v>2024</v>
      </c>
      <c r="GV1" s="41">
        <v>2024</v>
      </c>
      <c r="GW1" s="41">
        <v>2024</v>
      </c>
      <c r="GX1" s="41">
        <v>2024</v>
      </c>
      <c r="GY1" s="41">
        <v>2024</v>
      </c>
      <c r="GZ1" s="41">
        <v>2024</v>
      </c>
      <c r="HA1" s="41">
        <v>2024</v>
      </c>
      <c r="HB1" s="41">
        <v>2024</v>
      </c>
      <c r="HC1" s="41">
        <v>2024</v>
      </c>
      <c r="HD1" s="41">
        <v>2024</v>
      </c>
      <c r="HE1" s="41">
        <v>2024</v>
      </c>
      <c r="HF1" s="41">
        <v>2024</v>
      </c>
      <c r="HG1" s="41">
        <v>2024</v>
      </c>
      <c r="HH1" s="41">
        <v>2024</v>
      </c>
      <c r="HI1" s="41">
        <v>2024</v>
      </c>
      <c r="HJ1" s="41">
        <v>2024</v>
      </c>
      <c r="HK1" s="41">
        <v>2024</v>
      </c>
      <c r="HL1" s="41">
        <v>2024</v>
      </c>
      <c r="HM1" s="41">
        <v>2024</v>
      </c>
      <c r="HN1" s="41">
        <v>2024</v>
      </c>
      <c r="HO1" s="41">
        <v>2024</v>
      </c>
      <c r="HP1" s="41">
        <v>2024</v>
      </c>
      <c r="HQ1" s="41">
        <v>2024</v>
      </c>
      <c r="HR1" s="41">
        <v>2024</v>
      </c>
      <c r="HS1" s="41">
        <v>2024</v>
      </c>
      <c r="HT1" s="41">
        <v>2024</v>
      </c>
      <c r="HU1" s="41">
        <v>2025</v>
      </c>
      <c r="HV1" s="41">
        <v>2025</v>
      </c>
      <c r="HW1" s="41">
        <v>2025</v>
      </c>
      <c r="HX1" s="41">
        <v>2025</v>
      </c>
      <c r="HY1" s="41">
        <v>2025</v>
      </c>
      <c r="HZ1" s="41">
        <v>2025</v>
      </c>
      <c r="IA1" s="41">
        <v>2025</v>
      </c>
      <c r="IB1" s="41">
        <v>2025</v>
      </c>
      <c r="IC1" s="41">
        <v>2025</v>
      </c>
      <c r="ID1" s="41">
        <v>2025</v>
      </c>
      <c r="IE1" s="41">
        <v>2025</v>
      </c>
      <c r="IF1" s="41">
        <v>2025</v>
      </c>
      <c r="IG1" s="41">
        <v>2025</v>
      </c>
      <c r="IH1" s="41">
        <v>2025</v>
      </c>
      <c r="II1" s="41">
        <v>2025</v>
      </c>
      <c r="IJ1" s="41">
        <v>2025</v>
      </c>
      <c r="IK1" s="41">
        <v>2025</v>
      </c>
      <c r="IL1" s="41">
        <v>2025</v>
      </c>
      <c r="IM1" s="41">
        <v>2025</v>
      </c>
      <c r="IN1" s="41">
        <v>2025</v>
      </c>
      <c r="IO1" s="41">
        <v>2025</v>
      </c>
      <c r="IP1" s="41">
        <v>2025</v>
      </c>
      <c r="IQ1" s="41">
        <v>2025</v>
      </c>
      <c r="IR1" s="41">
        <v>2025</v>
      </c>
      <c r="IS1" s="41">
        <v>2025</v>
      </c>
      <c r="IT1" s="41">
        <v>2025</v>
      </c>
      <c r="IU1" s="41">
        <v>2025</v>
      </c>
      <c r="IV1" s="41">
        <v>2025</v>
      </c>
      <c r="IW1" s="41">
        <v>2025</v>
      </c>
      <c r="IX1" s="41">
        <v>2025</v>
      </c>
      <c r="IY1" s="41">
        <v>2025</v>
      </c>
      <c r="IZ1" s="41">
        <v>2025</v>
      </c>
      <c r="JA1" s="41">
        <v>2025</v>
      </c>
      <c r="JB1" s="41">
        <v>2025</v>
      </c>
      <c r="JC1" s="41">
        <v>2025</v>
      </c>
      <c r="JD1" s="41">
        <v>2025</v>
      </c>
      <c r="JE1" s="41">
        <v>2025</v>
      </c>
      <c r="JF1" s="41">
        <v>2025</v>
      </c>
      <c r="JG1" s="41">
        <v>2025</v>
      </c>
      <c r="JH1" s="41">
        <v>2025</v>
      </c>
      <c r="JI1" s="41">
        <v>2025</v>
      </c>
      <c r="JJ1" s="41">
        <v>2025</v>
      </c>
      <c r="JK1" s="41">
        <v>2025</v>
      </c>
      <c r="JL1" s="41">
        <v>2025</v>
      </c>
      <c r="JM1" s="41">
        <v>2025</v>
      </c>
      <c r="JN1" s="41">
        <v>2025</v>
      </c>
      <c r="JO1" s="41">
        <v>2025</v>
      </c>
      <c r="JP1" s="41">
        <v>2025</v>
      </c>
      <c r="JQ1" s="41">
        <v>2025</v>
      </c>
      <c r="JR1" s="41">
        <v>2025</v>
      </c>
      <c r="JS1" s="41">
        <v>2025</v>
      </c>
      <c r="JT1" s="41">
        <v>2026</v>
      </c>
      <c r="JU1" s="41">
        <v>2026</v>
      </c>
      <c r="JV1" s="41">
        <v>2026</v>
      </c>
      <c r="JW1" s="41">
        <v>2026</v>
      </c>
      <c r="JX1" s="41">
        <v>2026</v>
      </c>
      <c r="JY1" s="41">
        <v>2026</v>
      </c>
      <c r="JZ1" s="41">
        <v>2026</v>
      </c>
      <c r="KA1" s="41">
        <v>2026</v>
      </c>
      <c r="KB1" s="41">
        <v>2026</v>
      </c>
      <c r="KC1" s="41">
        <v>2026</v>
      </c>
      <c r="KD1" s="41">
        <v>2026</v>
      </c>
      <c r="KE1" s="41">
        <v>2026</v>
      </c>
      <c r="KF1" s="41">
        <v>2026</v>
      </c>
      <c r="KG1" s="41">
        <v>2026</v>
      </c>
      <c r="KH1" s="41">
        <v>2026</v>
      </c>
      <c r="KI1" s="41">
        <v>2026</v>
      </c>
      <c r="KJ1" s="41">
        <v>2026</v>
      </c>
      <c r="KK1" s="41">
        <v>2026</v>
      </c>
      <c r="KL1" s="41">
        <v>2026</v>
      </c>
      <c r="KM1" s="41">
        <v>2026</v>
      </c>
      <c r="KN1" s="41">
        <v>2026</v>
      </c>
      <c r="KO1" s="41">
        <v>2026</v>
      </c>
      <c r="KP1" s="41">
        <v>2026</v>
      </c>
      <c r="KQ1" s="41">
        <v>2026</v>
      </c>
      <c r="KR1" s="41">
        <v>2026</v>
      </c>
    </row>
    <row r="2" spans="1:304 16384:16384" s="9" customFormat="1" x14ac:dyDescent="0.25">
      <c r="B2" s="28">
        <v>1</v>
      </c>
      <c r="D2" s="9" t="s">
        <v>149</v>
      </c>
      <c r="E2" s="9" t="s">
        <v>148</v>
      </c>
      <c r="F2" s="9" t="s">
        <v>147</v>
      </c>
      <c r="G2" s="9" t="s">
        <v>146</v>
      </c>
      <c r="H2" s="9" t="s">
        <v>145</v>
      </c>
      <c r="I2" s="9" t="s">
        <v>144</v>
      </c>
      <c r="J2" s="9" t="s">
        <v>143</v>
      </c>
      <c r="K2" s="9" t="s">
        <v>142</v>
      </c>
      <c r="L2" s="9" t="s">
        <v>141</v>
      </c>
      <c r="M2" s="9" t="s">
        <v>140</v>
      </c>
      <c r="N2" s="9" t="s">
        <v>139</v>
      </c>
      <c r="O2" s="9" t="s">
        <v>138</v>
      </c>
      <c r="P2" s="9" t="s">
        <v>137</v>
      </c>
      <c r="Q2" s="9" t="s">
        <v>136</v>
      </c>
      <c r="R2" s="9" t="s">
        <v>135</v>
      </c>
      <c r="S2" s="9" t="s">
        <v>134</v>
      </c>
      <c r="T2" s="9" t="s">
        <v>133</v>
      </c>
      <c r="U2" s="9" t="s">
        <v>132</v>
      </c>
      <c r="V2" s="9" t="s">
        <v>131</v>
      </c>
      <c r="W2" s="9" t="s">
        <v>130</v>
      </c>
      <c r="X2" s="9" t="s">
        <v>83</v>
      </c>
      <c r="Y2" s="10" t="s">
        <v>129</v>
      </c>
      <c r="Z2" s="12" t="s">
        <v>128</v>
      </c>
      <c r="AA2" s="10" t="s">
        <v>127</v>
      </c>
      <c r="AB2" s="12" t="s">
        <v>126</v>
      </c>
      <c r="AC2" s="9" t="s">
        <v>125</v>
      </c>
      <c r="AD2" s="9" t="s">
        <v>124</v>
      </c>
      <c r="AE2" s="9" t="s">
        <v>123</v>
      </c>
      <c r="AF2" s="9" t="s">
        <v>122</v>
      </c>
      <c r="AG2" s="9" t="s">
        <v>121</v>
      </c>
      <c r="AH2" s="9" t="s">
        <v>120</v>
      </c>
      <c r="AI2" s="9" t="s">
        <v>119</v>
      </c>
      <c r="AJ2" s="9" t="s">
        <v>118</v>
      </c>
      <c r="AK2" s="9" t="s">
        <v>117</v>
      </c>
      <c r="AL2" s="9" t="s">
        <v>116</v>
      </c>
      <c r="AM2" s="9" t="s">
        <v>115</v>
      </c>
      <c r="AN2" s="9" t="s">
        <v>114</v>
      </c>
      <c r="AO2" s="9" t="s">
        <v>113</v>
      </c>
      <c r="AP2" s="9" t="s">
        <v>112</v>
      </c>
      <c r="AQ2" s="9" t="s">
        <v>111</v>
      </c>
      <c r="AR2" s="9" t="s">
        <v>110</v>
      </c>
      <c r="AS2" s="9" t="s">
        <v>109</v>
      </c>
      <c r="AT2" s="9" t="s">
        <v>108</v>
      </c>
      <c r="AU2" s="9" t="s">
        <v>107</v>
      </c>
      <c r="AV2" s="9" t="s">
        <v>106</v>
      </c>
      <c r="AW2" s="9" t="s">
        <v>105</v>
      </c>
      <c r="AX2" s="9" t="s">
        <v>104</v>
      </c>
      <c r="AY2" s="9" t="s">
        <v>103</v>
      </c>
      <c r="AZ2" s="9" t="s">
        <v>102</v>
      </c>
      <c r="BA2" s="9" t="s">
        <v>101</v>
      </c>
      <c r="BB2" s="9" t="s">
        <v>100</v>
      </c>
      <c r="BC2" s="9" t="s">
        <v>44</v>
      </c>
      <c r="BD2" s="9" t="s">
        <v>45</v>
      </c>
      <c r="BE2" s="9" t="s">
        <v>46</v>
      </c>
      <c r="BF2" s="9" t="s">
        <v>47</v>
      </c>
      <c r="BG2" s="9" t="s">
        <v>60</v>
      </c>
      <c r="BH2" s="9" t="s">
        <v>61</v>
      </c>
      <c r="BI2" s="9" t="s">
        <v>62</v>
      </c>
      <c r="BJ2" s="9" t="s">
        <v>63</v>
      </c>
      <c r="BK2" s="9" t="s">
        <v>48</v>
      </c>
      <c r="BL2" s="9" t="s">
        <v>49</v>
      </c>
      <c r="BM2" s="9" t="s">
        <v>50</v>
      </c>
      <c r="BN2" s="9" t="s">
        <v>51</v>
      </c>
      <c r="BO2" s="9" t="s">
        <v>52</v>
      </c>
      <c r="BP2" s="9" t="s">
        <v>53</v>
      </c>
      <c r="BQ2" s="9" t="s">
        <v>54</v>
      </c>
      <c r="BR2" s="9" t="s">
        <v>55</v>
      </c>
      <c r="BS2" s="9" t="s">
        <v>56</v>
      </c>
      <c r="BT2" s="9" t="s">
        <v>57</v>
      </c>
      <c r="BU2" s="9" t="s">
        <v>58</v>
      </c>
      <c r="BV2" s="9" t="s">
        <v>59</v>
      </c>
      <c r="BW2" s="9" t="s">
        <v>83</v>
      </c>
      <c r="BX2" s="9" t="s">
        <v>11</v>
      </c>
      <c r="BY2" s="9" t="s">
        <v>1</v>
      </c>
      <c r="BZ2" s="9" t="s">
        <v>9</v>
      </c>
      <c r="CA2" s="9" t="s">
        <v>12</v>
      </c>
      <c r="CB2" s="9" t="s">
        <v>65</v>
      </c>
      <c r="CC2" s="9" t="s">
        <v>66</v>
      </c>
      <c r="CD2" s="9" t="s">
        <v>67</v>
      </c>
      <c r="CE2" s="9" t="s">
        <v>68</v>
      </c>
      <c r="CF2" s="9" t="s">
        <v>290</v>
      </c>
      <c r="CG2" s="9" t="s">
        <v>291</v>
      </c>
      <c r="CH2" s="9" t="s">
        <v>292</v>
      </c>
      <c r="CI2" s="9" t="s">
        <v>293</v>
      </c>
      <c r="CJ2" s="9" t="s">
        <v>302</v>
      </c>
      <c r="CK2" s="9" t="s">
        <v>303</v>
      </c>
      <c r="CL2" s="9" t="s">
        <v>304</v>
      </c>
      <c r="CM2" s="9" t="s">
        <v>305</v>
      </c>
      <c r="CN2" s="9" t="s">
        <v>306</v>
      </c>
      <c r="CO2" s="9" t="s">
        <v>315</v>
      </c>
      <c r="CP2" s="9" t="s">
        <v>316</v>
      </c>
      <c r="CQ2" s="9" t="s">
        <v>317</v>
      </c>
      <c r="CR2" s="9" t="s">
        <v>318</v>
      </c>
      <c r="CS2" s="9" t="s">
        <v>331</v>
      </c>
      <c r="CT2" s="9" t="s">
        <v>332</v>
      </c>
      <c r="CU2" s="9" t="s">
        <v>333</v>
      </c>
      <c r="CV2" s="9" t="s">
        <v>334</v>
      </c>
      <c r="CW2" s="9" t="s">
        <v>342</v>
      </c>
      <c r="CX2" s="9" t="s">
        <v>692</v>
      </c>
      <c r="CY2" s="9" t="s">
        <v>691</v>
      </c>
      <c r="CZ2" s="9" t="s">
        <v>690</v>
      </c>
      <c r="DA2" s="9" t="s">
        <v>689</v>
      </c>
      <c r="DB2" s="9" t="s">
        <v>688</v>
      </c>
      <c r="DC2" s="9" t="s">
        <v>687</v>
      </c>
      <c r="DD2" s="9" t="s">
        <v>686</v>
      </c>
      <c r="DE2" s="9" t="s">
        <v>685</v>
      </c>
      <c r="DF2" s="9" t="s">
        <v>684</v>
      </c>
      <c r="DG2" s="9" t="s">
        <v>683</v>
      </c>
      <c r="DH2" s="9" t="s">
        <v>680</v>
      </c>
      <c r="DI2" s="9" t="s">
        <v>681</v>
      </c>
      <c r="DJ2" s="9" t="s">
        <v>682</v>
      </c>
      <c r="DK2" s="9" t="s">
        <v>707</v>
      </c>
      <c r="DL2" s="9" t="s">
        <v>708</v>
      </c>
      <c r="DM2" s="9" t="s">
        <v>709</v>
      </c>
      <c r="DN2" s="9" t="s">
        <v>710</v>
      </c>
      <c r="DO2" s="9" t="s">
        <v>731</v>
      </c>
      <c r="DP2" s="9" t="s">
        <v>732</v>
      </c>
      <c r="DQ2" s="9" t="s">
        <v>733</v>
      </c>
      <c r="DR2" s="9" t="s">
        <v>734</v>
      </c>
      <c r="DS2" s="9" t="s">
        <v>748</v>
      </c>
      <c r="DT2" s="9" t="s">
        <v>749</v>
      </c>
      <c r="DU2" s="9" t="s">
        <v>750</v>
      </c>
      <c r="DV2" s="9" t="s">
        <v>751</v>
      </c>
      <c r="DW2" s="9" t="s">
        <v>767</v>
      </c>
      <c r="DX2" s="9" t="s">
        <v>771</v>
      </c>
      <c r="DY2" s="9" t="s">
        <v>772</v>
      </c>
      <c r="DZ2" s="9" t="s">
        <v>773</v>
      </c>
      <c r="EA2" s="9" t="s">
        <v>784</v>
      </c>
      <c r="EB2" s="9" t="s">
        <v>785</v>
      </c>
      <c r="EC2" s="9" t="s">
        <v>786</v>
      </c>
      <c r="ED2" s="9" t="s">
        <v>787</v>
      </c>
      <c r="EE2" s="9" t="s">
        <v>808</v>
      </c>
      <c r="EF2" s="9" t="s">
        <v>809</v>
      </c>
      <c r="EG2" s="9" t="s">
        <v>810</v>
      </c>
      <c r="EH2" s="9" t="s">
        <v>811</v>
      </c>
      <c r="EI2" s="9" t="s">
        <v>812</v>
      </c>
      <c r="EJ2" s="9" t="s">
        <v>826</v>
      </c>
      <c r="EK2" s="9" t="s">
        <v>835</v>
      </c>
      <c r="EL2" s="9" t="s">
        <v>836</v>
      </c>
      <c r="EM2" s="9" t="s">
        <v>837</v>
      </c>
      <c r="EN2" s="9" t="s">
        <v>844</v>
      </c>
      <c r="EO2" s="9" t="s">
        <v>845</v>
      </c>
      <c r="EP2" s="9" t="s">
        <v>846</v>
      </c>
      <c r="EQ2" s="9" t="s">
        <v>847</v>
      </c>
      <c r="ER2" s="9" t="s">
        <v>863</v>
      </c>
      <c r="ES2" s="9" t="s">
        <v>868</v>
      </c>
      <c r="ET2" s="9" t="s">
        <v>869</v>
      </c>
      <c r="EU2" s="9" t="s">
        <v>870</v>
      </c>
      <c r="EV2" s="9" t="s">
        <v>871</v>
      </c>
      <c r="EW2" s="9" t="s">
        <v>897</v>
      </c>
      <c r="EX2" s="9" t="s">
        <v>900</v>
      </c>
      <c r="EY2" s="9" t="s">
        <v>901</v>
      </c>
      <c r="EZ2" s="9" t="s">
        <v>902</v>
      </c>
      <c r="FA2" s="9" t="s">
        <v>914</v>
      </c>
      <c r="FB2" s="9" t="s">
        <v>915</v>
      </c>
      <c r="FC2" s="9" t="s">
        <v>916</v>
      </c>
      <c r="FD2" s="9" t="s">
        <v>917</v>
      </c>
      <c r="FE2" s="9" t="s">
        <v>918</v>
      </c>
      <c r="FF2" s="9" t="s">
        <v>930</v>
      </c>
      <c r="FG2" s="9" t="s">
        <v>931</v>
      </c>
      <c r="FH2" s="9" t="s">
        <v>932</v>
      </c>
      <c r="FI2" s="9" t="s">
        <v>933</v>
      </c>
      <c r="FJ2" s="9" t="s">
        <v>948</v>
      </c>
      <c r="FK2" s="9" t="s">
        <v>949</v>
      </c>
      <c r="FL2" s="9" t="s">
        <v>950</v>
      </c>
      <c r="FM2" s="9" t="s">
        <v>951</v>
      </c>
      <c r="FN2" s="9" t="s">
        <v>960</v>
      </c>
      <c r="FO2" s="9" t="s">
        <v>961</v>
      </c>
      <c r="FP2" s="9" t="s">
        <v>962</v>
      </c>
      <c r="FQ2" s="9" t="s">
        <v>963</v>
      </c>
      <c r="FR2" s="9" t="s">
        <v>964</v>
      </c>
      <c r="FS2" s="9" t="s">
        <v>980</v>
      </c>
      <c r="FT2" s="9" t="s">
        <v>984</v>
      </c>
      <c r="FU2" s="9" t="s">
        <v>985</v>
      </c>
      <c r="FV2" s="9" t="s">
        <v>995</v>
      </c>
      <c r="FW2" s="9" t="s">
        <v>996</v>
      </c>
      <c r="FX2" s="9" t="s">
        <v>997</v>
      </c>
      <c r="FY2" s="9" t="s">
        <v>998</v>
      </c>
      <c r="FZ2" s="9" t="s">
        <v>1011</v>
      </c>
      <c r="GA2" s="9" t="s">
        <v>1012</v>
      </c>
      <c r="GB2" s="9" t="s">
        <v>1013</v>
      </c>
      <c r="GC2" s="9" t="s">
        <v>1014</v>
      </c>
      <c r="GD2" s="9" t="s">
        <v>1015</v>
      </c>
      <c r="GE2" s="9" t="s">
        <v>1027</v>
      </c>
      <c r="GF2" s="9" t="s">
        <v>1028</v>
      </c>
      <c r="GG2" s="9" t="s">
        <v>1029</v>
      </c>
      <c r="GH2" s="9" t="s">
        <v>1030</v>
      </c>
      <c r="GI2" s="9" t="s">
        <v>1036</v>
      </c>
      <c r="GJ2" s="9" t="s">
        <v>1037</v>
      </c>
      <c r="GK2" s="9" t="s">
        <v>1038</v>
      </c>
      <c r="GL2" s="9" t="s">
        <v>1039</v>
      </c>
      <c r="GM2" s="9" t="s">
        <v>1050</v>
      </c>
      <c r="GN2" s="9" t="s">
        <v>1051</v>
      </c>
      <c r="GO2" s="9" t="s">
        <v>1052</v>
      </c>
      <c r="GP2" s="9" t="s">
        <v>1053</v>
      </c>
      <c r="GQ2" s="9" t="s">
        <v>1054</v>
      </c>
      <c r="GR2" s="9" t="s">
        <v>1067</v>
      </c>
      <c r="GS2" s="9" t="s">
        <v>1068</v>
      </c>
      <c r="GT2" s="9" t="s">
        <v>1069</v>
      </c>
      <c r="GU2" s="9" t="s">
        <v>1070</v>
      </c>
      <c r="GV2" s="9" t="s">
        <v>1082</v>
      </c>
      <c r="GW2" s="9" t="s">
        <v>1083</v>
      </c>
      <c r="GX2" s="9" t="s">
        <v>1084</v>
      </c>
      <c r="GY2" s="9" t="s">
        <v>1085</v>
      </c>
      <c r="GZ2" s="9" t="s">
        <v>1100</v>
      </c>
      <c r="HA2" s="9" t="s">
        <v>1101</v>
      </c>
      <c r="HB2" s="9" t="s">
        <v>1102</v>
      </c>
      <c r="HC2" s="9" t="s">
        <v>1103</v>
      </c>
      <c r="HD2" s="9" t="s">
        <v>1104</v>
      </c>
      <c r="HE2" s="9" t="s">
        <v>1119</v>
      </c>
      <c r="HF2" s="9" t="s">
        <v>1120</v>
      </c>
      <c r="HG2" s="9" t="s">
        <v>1121</v>
      </c>
      <c r="HH2" s="9" t="s">
        <v>1122</v>
      </c>
      <c r="HI2" s="9" t="s">
        <v>1138</v>
      </c>
      <c r="HJ2" s="9" t="s">
        <v>1139</v>
      </c>
      <c r="HK2" s="9" t="s">
        <v>1140</v>
      </c>
      <c r="HL2" s="9" t="s">
        <v>1141</v>
      </c>
      <c r="HM2" s="9" t="s">
        <v>1142</v>
      </c>
      <c r="HN2" s="9" t="s">
        <v>1150</v>
      </c>
      <c r="HO2" s="9" t="s">
        <v>1151</v>
      </c>
      <c r="HP2" s="9" t="s">
        <v>1152</v>
      </c>
      <c r="HQ2" s="9" t="s">
        <v>1153</v>
      </c>
      <c r="HR2" s="9" t="s">
        <v>1177</v>
      </c>
      <c r="HS2" s="9" t="s">
        <v>1178</v>
      </c>
      <c r="HT2" s="9" t="s">
        <v>1179</v>
      </c>
      <c r="HU2" s="9" t="s">
        <v>1191</v>
      </c>
      <c r="HV2" s="9" t="s">
        <v>1192</v>
      </c>
      <c r="HW2" s="9" t="s">
        <v>1193</v>
      </c>
      <c r="HX2" s="9" t="s">
        <v>1194</v>
      </c>
      <c r="HY2" s="9" t="s">
        <v>1205</v>
      </c>
      <c r="HZ2" s="9" t="s">
        <v>1206</v>
      </c>
      <c r="IA2" s="9" t="s">
        <v>1207</v>
      </c>
      <c r="IB2" s="9" t="s">
        <v>1208</v>
      </c>
      <c r="IC2" s="9" t="s">
        <v>1229</v>
      </c>
      <c r="ID2" s="9" t="s">
        <v>1230</v>
      </c>
      <c r="IE2" s="9" t="s">
        <v>1231</v>
      </c>
      <c r="IF2" s="9" t="s">
        <v>1232</v>
      </c>
      <c r="IG2" s="9" t="s">
        <v>1250</v>
      </c>
      <c r="IH2" s="9" t="s">
        <v>1251</v>
      </c>
      <c r="II2" s="9" t="s">
        <v>1252</v>
      </c>
      <c r="IJ2" s="9" t="s">
        <v>1253</v>
      </c>
      <c r="IK2" s="9" t="s">
        <v>113</v>
      </c>
      <c r="IL2" s="9" t="s">
        <v>1268</v>
      </c>
      <c r="IM2" s="9" t="s">
        <v>1269</v>
      </c>
      <c r="IN2" s="9" t="s">
        <v>1270</v>
      </c>
      <c r="IO2" s="9" t="s">
        <v>1271</v>
      </c>
      <c r="IP2" s="9" t="s">
        <v>1283</v>
      </c>
      <c r="IQ2" s="9" t="s">
        <v>1284</v>
      </c>
      <c r="IR2" s="9" t="s">
        <v>1285</v>
      </c>
      <c r="IS2" s="9" t="s">
        <v>1286</v>
      </c>
      <c r="IT2" s="9" t="s">
        <v>1300</v>
      </c>
      <c r="IU2" s="9" t="s">
        <v>1301</v>
      </c>
      <c r="IV2" s="9" t="s">
        <v>1302</v>
      </c>
      <c r="IW2" s="9" t="s">
        <v>1303</v>
      </c>
      <c r="IX2" s="9" t="s">
        <v>1304</v>
      </c>
      <c r="IY2" s="9" t="s">
        <v>149</v>
      </c>
      <c r="IZ2" s="9" t="s">
        <v>148</v>
      </c>
      <c r="JA2" s="9" t="s">
        <v>147</v>
      </c>
      <c r="JB2" s="9" t="s">
        <v>146</v>
      </c>
      <c r="JC2" s="9" t="s">
        <v>145</v>
      </c>
      <c r="JD2" s="9" t="s">
        <v>144</v>
      </c>
      <c r="JE2" s="9" t="s">
        <v>143</v>
      </c>
      <c r="JF2" s="9" t="s">
        <v>142</v>
      </c>
      <c r="JG2" s="9" t="s">
        <v>141</v>
      </c>
      <c r="JH2" s="9" t="s">
        <v>140</v>
      </c>
      <c r="JI2" s="9" t="s">
        <v>139</v>
      </c>
      <c r="JJ2" s="9" t="s">
        <v>138</v>
      </c>
      <c r="JK2" s="9" t="s">
        <v>137</v>
      </c>
      <c r="JL2" s="9" t="s">
        <v>136</v>
      </c>
      <c r="JM2" s="9" t="s">
        <v>135</v>
      </c>
      <c r="JN2" s="9" t="s">
        <v>134</v>
      </c>
      <c r="JO2" s="9" t="s">
        <v>133</v>
      </c>
      <c r="JP2" s="9" t="s">
        <v>132</v>
      </c>
      <c r="JQ2" s="9" t="s">
        <v>131</v>
      </c>
      <c r="JR2" s="9" t="s">
        <v>130</v>
      </c>
      <c r="JS2" s="9" t="s">
        <v>1379</v>
      </c>
      <c r="JT2" s="9" t="s">
        <v>129</v>
      </c>
      <c r="JU2" s="9" t="s">
        <v>128</v>
      </c>
      <c r="JV2" s="9" t="s">
        <v>127</v>
      </c>
      <c r="JW2" s="9" t="s">
        <v>126</v>
      </c>
      <c r="JX2" s="9" t="s">
        <v>125</v>
      </c>
      <c r="JY2" s="9" t="s">
        <v>124</v>
      </c>
      <c r="JZ2" s="9" t="s">
        <v>123</v>
      </c>
      <c r="KA2" s="9" t="s">
        <v>122</v>
      </c>
      <c r="KB2" s="9" t="s">
        <v>121</v>
      </c>
      <c r="KC2" s="9" t="s">
        <v>120</v>
      </c>
      <c r="KD2" s="9" t="s">
        <v>119</v>
      </c>
      <c r="KE2" s="9" t="s">
        <v>118</v>
      </c>
      <c r="KF2" s="9" t="s">
        <v>117</v>
      </c>
      <c r="KG2" s="9" t="s">
        <v>116</v>
      </c>
      <c r="KH2" s="9" t="s">
        <v>115</v>
      </c>
      <c r="KI2" s="9" t="s">
        <v>114</v>
      </c>
      <c r="KJ2" s="9" t="s">
        <v>306</v>
      </c>
      <c r="KK2" s="9" t="s">
        <v>112</v>
      </c>
      <c r="KL2" s="9" t="s">
        <v>111</v>
      </c>
      <c r="KM2" s="9" t="s">
        <v>110</v>
      </c>
      <c r="KN2" s="9" t="s">
        <v>109</v>
      </c>
      <c r="KO2" s="9" t="s">
        <v>108</v>
      </c>
      <c r="KP2" s="9" t="s">
        <v>107</v>
      </c>
      <c r="KQ2" s="9" t="s">
        <v>106</v>
      </c>
      <c r="KR2" s="9" t="s">
        <v>105</v>
      </c>
    </row>
    <row r="3" spans="1:304 16384:16384" ht="15.75" thickBot="1" x14ac:dyDescent="0.3">
      <c r="A3" s="181" t="s">
        <v>10</v>
      </c>
      <c r="B3" s="29">
        <v>2</v>
      </c>
      <c r="C3" t="s">
        <v>8</v>
      </c>
      <c r="Y3" s="30"/>
      <c r="Z3" s="36"/>
      <c r="AA3" s="30"/>
      <c r="AB3" s="36"/>
      <c r="AC3" s="36"/>
      <c r="AD3" s="36"/>
      <c r="AE3" s="36"/>
      <c r="AF3" s="36"/>
      <c r="AG3" s="36"/>
      <c r="AH3" s="36"/>
      <c r="AI3" s="5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5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>
        <v>71.489999999999995</v>
      </c>
      <c r="BQ3" s="36">
        <v>71.2</v>
      </c>
      <c r="BR3" s="36">
        <v>72.599999999999994</v>
      </c>
      <c r="BS3" s="36">
        <v>74.599999999999994</v>
      </c>
      <c r="BT3" s="36">
        <v>74.06</v>
      </c>
      <c r="BU3" s="36">
        <v>73.599999999999994</v>
      </c>
      <c r="BV3" s="36">
        <v>73.569999999999993</v>
      </c>
      <c r="BW3" s="36">
        <v>73.790000000000006</v>
      </c>
      <c r="BX3" s="36">
        <v>74.290000000000006</v>
      </c>
      <c r="BY3" s="36">
        <v>74.569999999999993</v>
      </c>
      <c r="BZ3" s="36">
        <v>76.44</v>
      </c>
      <c r="CA3" s="36">
        <v>78.95</v>
      </c>
      <c r="CB3" s="36">
        <v>76.650000000000006</v>
      </c>
      <c r="CC3" s="36">
        <v>74.72</v>
      </c>
      <c r="CD3" s="36">
        <v>75.75</v>
      </c>
      <c r="CE3" s="36">
        <v>86.93</v>
      </c>
      <c r="CF3" s="36">
        <v>111.76</v>
      </c>
      <c r="CG3" s="36">
        <v>120.38</v>
      </c>
      <c r="CH3" s="36">
        <v>104.8</v>
      </c>
      <c r="CI3" s="36">
        <v>96.05</v>
      </c>
      <c r="CJ3" s="36">
        <v>83.41</v>
      </c>
      <c r="CK3" s="36">
        <v>76.25</v>
      </c>
      <c r="CL3" s="36">
        <v>81.290000000000006</v>
      </c>
      <c r="CM3" s="36">
        <v>75</v>
      </c>
      <c r="CN3" s="36">
        <v>72.3</v>
      </c>
      <c r="CO3" s="36">
        <v>66.239999999999995</v>
      </c>
      <c r="CP3" s="36">
        <v>65.790000000000006</v>
      </c>
      <c r="CQ3" s="36">
        <v>62.4</v>
      </c>
      <c r="CR3" s="36">
        <v>62.05</v>
      </c>
      <c r="CS3" s="36">
        <v>61.58</v>
      </c>
      <c r="CT3" s="36">
        <v>58.39</v>
      </c>
      <c r="CU3" s="36">
        <v>56.87</v>
      </c>
      <c r="CV3" s="36">
        <v>53.36</v>
      </c>
      <c r="CW3" s="36">
        <v>52.51</v>
      </c>
      <c r="CX3" s="36">
        <v>63.14</v>
      </c>
      <c r="CY3" s="36">
        <v>58.26</v>
      </c>
      <c r="CZ3" s="36">
        <v>56.48</v>
      </c>
      <c r="DA3" s="36">
        <v>60.2</v>
      </c>
      <c r="DB3" s="36">
        <v>60.26</v>
      </c>
      <c r="DC3" s="36">
        <v>60.62</v>
      </c>
      <c r="DD3" s="36">
        <v>60.76</v>
      </c>
      <c r="DE3" s="36">
        <v>60</v>
      </c>
      <c r="DF3" s="36">
        <v>60.24</v>
      </c>
      <c r="DG3" s="36">
        <v>61.18</v>
      </c>
      <c r="DH3" s="36">
        <v>59.78</v>
      </c>
      <c r="DI3" s="36">
        <v>60.87</v>
      </c>
      <c r="DJ3" s="36">
        <v>58.45</v>
      </c>
      <c r="DK3" s="36">
        <v>59.4</v>
      </c>
      <c r="DL3" s="36">
        <v>63.76</v>
      </c>
      <c r="DM3" s="36">
        <v>61.59</v>
      </c>
      <c r="DN3" s="36">
        <v>61.43</v>
      </c>
      <c r="DO3" s="36">
        <v>61.62</v>
      </c>
      <c r="DP3" s="36">
        <v>61.06</v>
      </c>
      <c r="DQ3" s="36">
        <v>60.35</v>
      </c>
      <c r="DR3" s="36">
        <v>60.5</v>
      </c>
      <c r="DS3" s="36">
        <v>60.88</v>
      </c>
      <c r="DT3" s="36">
        <v>62.57</v>
      </c>
      <c r="DU3" s="36">
        <v>63.36</v>
      </c>
      <c r="DV3" s="36">
        <v>70.53</v>
      </c>
      <c r="DW3" s="36">
        <v>71.98</v>
      </c>
      <c r="DX3" s="36">
        <v>69.02</v>
      </c>
      <c r="DY3" s="36">
        <v>68.78</v>
      </c>
      <c r="DZ3" s="36">
        <v>68.959999999999994</v>
      </c>
      <c r="EA3" s="36">
        <v>70.12</v>
      </c>
      <c r="EB3" s="36">
        <v>71.58</v>
      </c>
      <c r="EC3" s="36">
        <v>74.209999999999994</v>
      </c>
      <c r="ED3" s="36">
        <v>74.709999999999994</v>
      </c>
      <c r="EE3" s="36">
        <v>75.25</v>
      </c>
      <c r="EF3" s="36">
        <v>75.459999999999994</v>
      </c>
      <c r="EG3" s="36">
        <v>75.75</v>
      </c>
      <c r="EH3" s="36">
        <v>76.959999999999994</v>
      </c>
      <c r="EI3" s="36">
        <v>76.98</v>
      </c>
      <c r="EJ3" s="36">
        <v>79.5</v>
      </c>
      <c r="EK3" s="36">
        <v>82.09</v>
      </c>
      <c r="EL3" s="36">
        <v>81.650000000000006</v>
      </c>
      <c r="EM3" s="36">
        <v>81.63</v>
      </c>
      <c r="EN3" s="36">
        <v>79.31</v>
      </c>
      <c r="EO3" s="36">
        <v>76.69</v>
      </c>
      <c r="EP3" s="36">
        <v>80.760000000000005</v>
      </c>
      <c r="EQ3" s="36">
        <v>79.97</v>
      </c>
      <c r="ER3" s="36">
        <v>80.989999999999995</v>
      </c>
      <c r="ES3" s="36">
        <v>81.459999999999994</v>
      </c>
      <c r="ET3" s="36">
        <v>84.32</v>
      </c>
      <c r="EU3" s="36">
        <v>84.25</v>
      </c>
      <c r="EV3" s="36">
        <v>85.62</v>
      </c>
      <c r="EW3" s="36">
        <v>90.34</v>
      </c>
      <c r="EX3" s="36">
        <v>90.63</v>
      </c>
      <c r="EY3" s="36">
        <v>91.2</v>
      </c>
      <c r="EZ3" s="36">
        <v>90.05</v>
      </c>
      <c r="FA3" s="36">
        <v>92.84</v>
      </c>
      <c r="FB3" s="56">
        <v>97.4</v>
      </c>
      <c r="FC3" s="36">
        <v>96.7</v>
      </c>
      <c r="FD3" s="36">
        <v>94.44</v>
      </c>
      <c r="FE3" s="36">
        <v>95.93</v>
      </c>
      <c r="FF3" s="36">
        <v>97.84</v>
      </c>
      <c r="FG3" s="36">
        <v>95.98</v>
      </c>
      <c r="FH3" s="36">
        <v>96.62</v>
      </c>
      <c r="FI3" s="36">
        <v>96.5</v>
      </c>
      <c r="FJ3" s="36">
        <v>99.46</v>
      </c>
      <c r="FK3" s="36">
        <v>99.98</v>
      </c>
      <c r="FL3" s="36">
        <v>97.37</v>
      </c>
      <c r="FM3" s="36">
        <v>93.15</v>
      </c>
      <c r="FN3" s="36">
        <v>93.28</v>
      </c>
      <c r="FO3" s="56">
        <v>92.2</v>
      </c>
      <c r="FP3" s="36">
        <v>89.46</v>
      </c>
      <c r="FQ3" s="36">
        <v>88.16</v>
      </c>
      <c r="FR3" s="36">
        <v>88.47</v>
      </c>
      <c r="FS3" s="36">
        <v>92.78</v>
      </c>
      <c r="FT3" s="36">
        <v>89.89</v>
      </c>
      <c r="FU3" s="36">
        <v>90.41</v>
      </c>
      <c r="FV3" s="36">
        <v>89.69</v>
      </c>
      <c r="FW3" s="36">
        <v>89.39</v>
      </c>
      <c r="FX3" s="36">
        <v>88.35</v>
      </c>
      <c r="FY3" s="36">
        <v>88.28</v>
      </c>
      <c r="FZ3" s="36">
        <v>89.67</v>
      </c>
      <c r="GA3" s="36">
        <v>91.15</v>
      </c>
      <c r="GB3" s="36">
        <v>91.43</v>
      </c>
      <c r="GC3" s="36">
        <v>92.44</v>
      </c>
      <c r="GD3" s="36">
        <v>91.87</v>
      </c>
      <c r="GE3" s="36">
        <v>90.34</v>
      </c>
      <c r="GF3" s="36">
        <v>91.54</v>
      </c>
      <c r="GG3" s="36">
        <v>92.69</v>
      </c>
      <c r="GH3" s="36">
        <v>92.59</v>
      </c>
      <c r="GI3" s="36">
        <v>92.39</v>
      </c>
      <c r="GJ3" s="36">
        <v>93.22</v>
      </c>
      <c r="GK3" s="36">
        <v>94.32</v>
      </c>
      <c r="GL3" s="36">
        <v>92.51</v>
      </c>
      <c r="GM3" s="36">
        <v>91.78</v>
      </c>
      <c r="GN3" s="36">
        <v>91.82</v>
      </c>
      <c r="GO3" s="36">
        <v>91.26</v>
      </c>
      <c r="GP3" s="36">
        <v>90.19</v>
      </c>
      <c r="GQ3" s="36">
        <v>89.26</v>
      </c>
      <c r="GR3" s="36">
        <v>88.74</v>
      </c>
      <c r="GS3" s="36">
        <v>89.02</v>
      </c>
      <c r="GT3" s="36">
        <v>84.88</v>
      </c>
      <c r="GU3" s="36">
        <v>87.81</v>
      </c>
      <c r="GV3" s="36">
        <v>87.95</v>
      </c>
      <c r="GW3" s="36">
        <v>87.86</v>
      </c>
      <c r="GX3" s="36">
        <v>88.09</v>
      </c>
      <c r="GY3" s="36">
        <v>86.55</v>
      </c>
      <c r="GZ3" s="36">
        <v>86.11</v>
      </c>
      <c r="HA3" s="36">
        <v>85.95</v>
      </c>
      <c r="HB3" s="36">
        <v>90.01</v>
      </c>
      <c r="HC3" s="36">
        <v>91.69</v>
      </c>
      <c r="HD3" s="36">
        <v>91.44</v>
      </c>
      <c r="HE3" s="36">
        <v>88.93</v>
      </c>
      <c r="HF3" s="36">
        <v>91.27</v>
      </c>
      <c r="HG3" s="36">
        <v>91.67</v>
      </c>
      <c r="HH3" s="36">
        <v>92.39</v>
      </c>
      <c r="HI3" s="36">
        <v>94.51</v>
      </c>
      <c r="HJ3" s="36">
        <v>96.95</v>
      </c>
      <c r="HK3" s="36">
        <v>97.15</v>
      </c>
      <c r="HL3" s="36">
        <v>96.92</v>
      </c>
      <c r="HM3" s="36">
        <v>97.05</v>
      </c>
      <c r="HN3" s="36">
        <v>98.22</v>
      </c>
      <c r="HO3" s="36">
        <v>98.37</v>
      </c>
      <c r="HP3" s="36">
        <v>100.22</v>
      </c>
      <c r="HQ3" s="36">
        <v>108.01</v>
      </c>
      <c r="HR3" s="36">
        <v>101.56</v>
      </c>
      <c r="HS3" s="36">
        <v>103.27</v>
      </c>
      <c r="HT3" s="36">
        <v>102.78</v>
      </c>
      <c r="HU3" s="36">
        <v>101.68</v>
      </c>
      <c r="HV3" s="36">
        <v>102.81</v>
      </c>
      <c r="HW3" s="36">
        <v>98.28</v>
      </c>
      <c r="HX3" s="36">
        <v>98.01</v>
      </c>
      <c r="HY3" s="36">
        <v>98.06</v>
      </c>
      <c r="HZ3" s="36">
        <v>94.05</v>
      </c>
      <c r="IA3" s="36">
        <v>90.43</v>
      </c>
      <c r="IB3" s="36">
        <v>85.93</v>
      </c>
      <c r="IC3" s="36">
        <v>89.79</v>
      </c>
      <c r="ID3" s="36">
        <v>86.66</v>
      </c>
      <c r="IE3" s="36">
        <v>82.85</v>
      </c>
      <c r="IF3" s="36">
        <v>84.21</v>
      </c>
      <c r="IG3" s="36">
        <v>84.55</v>
      </c>
      <c r="IH3" s="36">
        <v>86.01</v>
      </c>
      <c r="II3" s="36">
        <v>82.59</v>
      </c>
      <c r="IJ3" s="36">
        <v>82.36</v>
      </c>
      <c r="IK3" s="36">
        <v>81.56</v>
      </c>
      <c r="IL3" s="36">
        <v>80.86</v>
      </c>
      <c r="IM3" s="36">
        <v>80.22</v>
      </c>
      <c r="IN3" s="36">
        <v>79.75</v>
      </c>
      <c r="IO3" s="36">
        <v>79.599999999999994</v>
      </c>
      <c r="IP3" s="36">
        <v>78.5</v>
      </c>
      <c r="IQ3" s="56">
        <v>79</v>
      </c>
      <c r="IR3" s="36">
        <v>78.72</v>
      </c>
      <c r="IS3" s="56">
        <v>78.2</v>
      </c>
      <c r="IT3" s="36">
        <v>79.02</v>
      </c>
      <c r="IU3" s="56">
        <v>78.17</v>
      </c>
      <c r="IV3" s="36">
        <v>77.959999999999994</v>
      </c>
      <c r="IW3" s="56">
        <v>78.45</v>
      </c>
      <c r="IX3" s="36">
        <v>81.83</v>
      </c>
      <c r="IY3" s="56">
        <v>80.19</v>
      </c>
      <c r="IZ3" s="56">
        <v>79.599999999999994</v>
      </c>
      <c r="JA3" s="56">
        <v>80.099999999999994</v>
      </c>
      <c r="JB3" s="56">
        <v>80.44</v>
      </c>
      <c r="JC3" s="56">
        <v>80.849999999999994</v>
      </c>
      <c r="JD3" s="56">
        <v>84.92</v>
      </c>
      <c r="JE3" s="56">
        <v>83</v>
      </c>
      <c r="JF3" s="56">
        <v>83.99</v>
      </c>
      <c r="JG3" s="56">
        <v>81.5</v>
      </c>
      <c r="JH3" s="56">
        <v>81.55</v>
      </c>
      <c r="JI3" s="56">
        <v>78.84</v>
      </c>
      <c r="JJ3" s="56">
        <v>81.650000000000006</v>
      </c>
      <c r="JK3" s="56">
        <v>79.47</v>
      </c>
      <c r="JL3" s="56">
        <v>81.19</v>
      </c>
      <c r="JM3" s="56">
        <v>81.290000000000006</v>
      </c>
      <c r="JN3" s="56">
        <v>80.94</v>
      </c>
      <c r="JO3" s="56">
        <v>78.59</v>
      </c>
      <c r="JP3" s="56">
        <v>77.959999999999994</v>
      </c>
      <c r="JQ3" s="56">
        <v>77.900000000000006</v>
      </c>
      <c r="JR3" s="56">
        <v>80.38</v>
      </c>
      <c r="JS3" s="56">
        <v>78.59</v>
      </c>
      <c r="JT3" s="56">
        <v>78.23</v>
      </c>
      <c r="JU3" s="56">
        <v>78.569999999999993</v>
      </c>
      <c r="JV3" s="56">
        <v>77.52</v>
      </c>
      <c r="JW3" s="56">
        <v>76.27</v>
      </c>
      <c r="JX3" s="56">
        <v>76.91</v>
      </c>
      <c r="JY3" s="56">
        <v>77.459999999999994</v>
      </c>
      <c r="JZ3" s="56">
        <v>76.150000000000006</v>
      </c>
      <c r="KA3" s="56">
        <v>76.47</v>
      </c>
      <c r="KB3" s="56">
        <v>77.8</v>
      </c>
      <c r="KC3" s="56">
        <v>79.069999999999993</v>
      </c>
      <c r="KD3" s="56">
        <v>83.13</v>
      </c>
      <c r="KE3" s="56">
        <v>80.72</v>
      </c>
      <c r="KF3" s="56">
        <v>80.62</v>
      </c>
      <c r="KG3" s="56">
        <v>78.3</v>
      </c>
      <c r="KH3" s="56">
        <v>75.23</v>
      </c>
      <c r="KI3" s="56">
        <v>75</v>
      </c>
      <c r="KJ3" s="56">
        <v>74.69</v>
      </c>
      <c r="KK3" s="56">
        <v>75.22</v>
      </c>
      <c r="KL3" s="56">
        <v>73.34</v>
      </c>
      <c r="KM3" s="56">
        <v>70.95</v>
      </c>
      <c r="KN3" s="56">
        <v>70.900000000000006</v>
      </c>
      <c r="KO3" s="56">
        <v>73.34</v>
      </c>
    </row>
    <row r="4" spans="1:304 16384:16384" ht="15.75" thickBot="1" x14ac:dyDescent="0.3">
      <c r="A4" s="181"/>
      <c r="B4" s="29">
        <v>3</v>
      </c>
      <c r="C4" s="125" t="s">
        <v>526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 t="s">
        <v>527</v>
      </c>
      <c r="R4" s="14" t="s">
        <v>527</v>
      </c>
      <c r="S4" s="14" t="s">
        <v>527</v>
      </c>
      <c r="T4" s="14" t="s">
        <v>527</v>
      </c>
      <c r="U4" s="14" t="s">
        <v>527</v>
      </c>
      <c r="V4" s="14" t="s">
        <v>528</v>
      </c>
      <c r="W4" s="14" t="s">
        <v>528</v>
      </c>
      <c r="X4" s="14" t="s">
        <v>528</v>
      </c>
      <c r="Y4" s="30" t="s">
        <v>528</v>
      </c>
      <c r="Z4" s="39" t="s">
        <v>529</v>
      </c>
      <c r="AA4" s="30" t="s">
        <v>529</v>
      </c>
      <c r="AB4" s="36" t="s">
        <v>529</v>
      </c>
      <c r="AC4" s="36" t="s">
        <v>529</v>
      </c>
      <c r="AD4" s="36" t="s">
        <v>3</v>
      </c>
      <c r="AE4" s="36" t="s">
        <v>3</v>
      </c>
      <c r="AF4" s="36" t="s">
        <v>3</v>
      </c>
      <c r="AG4" s="36" t="s">
        <v>3</v>
      </c>
      <c r="AH4" s="36" t="s">
        <v>3</v>
      </c>
      <c r="AI4" s="36" t="s">
        <v>3</v>
      </c>
      <c r="AJ4" s="36" t="s">
        <v>3</v>
      </c>
      <c r="AK4" s="36" t="s">
        <v>3</v>
      </c>
      <c r="AL4" s="36" t="s">
        <v>3</v>
      </c>
      <c r="AM4" s="36" t="s">
        <v>3</v>
      </c>
      <c r="AN4" s="36" t="s">
        <v>3</v>
      </c>
      <c r="AO4" s="36" t="s">
        <v>3</v>
      </c>
      <c r="AP4" s="30" t="s">
        <v>3</v>
      </c>
      <c r="AQ4" s="36" t="s">
        <v>3</v>
      </c>
      <c r="AR4" s="36" t="s">
        <v>3</v>
      </c>
      <c r="AS4" s="36" t="s">
        <v>3</v>
      </c>
      <c r="AT4" s="36" t="s">
        <v>3</v>
      </c>
      <c r="AU4" s="30" t="s">
        <v>3</v>
      </c>
      <c r="AV4" s="30" t="s">
        <v>3</v>
      </c>
      <c r="AW4" s="30" t="s">
        <v>3</v>
      </c>
      <c r="AX4" s="30" t="s">
        <v>3</v>
      </c>
      <c r="AY4" s="30" t="s">
        <v>3</v>
      </c>
      <c r="AZ4" s="30" t="s">
        <v>530</v>
      </c>
      <c r="BA4" s="30" t="s">
        <v>530</v>
      </c>
      <c r="BB4" s="30" t="s">
        <v>530</v>
      </c>
      <c r="BC4" s="30" t="s">
        <v>530</v>
      </c>
      <c r="BD4" s="30" t="s">
        <v>530</v>
      </c>
      <c r="BE4" s="30" t="s">
        <v>530</v>
      </c>
      <c r="BF4" s="30" t="s">
        <v>530</v>
      </c>
      <c r="BG4" s="30" t="s">
        <v>531</v>
      </c>
      <c r="BH4" s="30" t="s">
        <v>531</v>
      </c>
      <c r="BI4" s="30" t="s">
        <v>531</v>
      </c>
      <c r="BJ4" s="30" t="s">
        <v>531</v>
      </c>
      <c r="BK4" s="30" t="s">
        <v>532</v>
      </c>
      <c r="BL4" s="30" t="s">
        <v>532</v>
      </c>
      <c r="BM4" s="30" t="s">
        <v>533</v>
      </c>
      <c r="BN4" s="30" t="s">
        <v>533</v>
      </c>
      <c r="BO4" s="30" t="s">
        <v>533</v>
      </c>
      <c r="BP4" s="30" t="s">
        <v>534</v>
      </c>
      <c r="BQ4" s="30" t="s">
        <v>535</v>
      </c>
      <c r="BR4" s="30" t="s">
        <v>535</v>
      </c>
      <c r="BS4" s="30" t="s">
        <v>535</v>
      </c>
      <c r="BT4" s="30" t="s">
        <v>535</v>
      </c>
      <c r="BU4" s="30" t="s">
        <v>536</v>
      </c>
      <c r="BV4" s="30" t="s">
        <v>536</v>
      </c>
      <c r="BW4" s="30" t="s">
        <v>536</v>
      </c>
      <c r="BX4" s="30" t="s">
        <v>536</v>
      </c>
      <c r="BY4" s="30" t="s">
        <v>3</v>
      </c>
      <c r="BZ4" s="30" t="s">
        <v>3</v>
      </c>
      <c r="CA4" s="30" t="s">
        <v>3</v>
      </c>
      <c r="CB4" s="30" t="s">
        <v>3</v>
      </c>
      <c r="CC4" s="30" t="s">
        <v>536</v>
      </c>
      <c r="CD4" s="30" t="s">
        <v>536</v>
      </c>
      <c r="CE4" s="30" t="s">
        <v>536</v>
      </c>
      <c r="CF4" s="30" t="s">
        <v>3</v>
      </c>
      <c r="CG4" s="30" t="s">
        <v>3</v>
      </c>
      <c r="CH4" s="30" t="s">
        <v>3</v>
      </c>
      <c r="CI4" s="30" t="s">
        <v>3</v>
      </c>
      <c r="CJ4" s="30" t="s">
        <v>537</v>
      </c>
      <c r="CK4" s="30" t="s">
        <v>3</v>
      </c>
      <c r="CL4" s="30" t="s">
        <v>3</v>
      </c>
      <c r="CM4" s="30" t="s">
        <v>538</v>
      </c>
      <c r="CN4" s="30" t="s">
        <v>538</v>
      </c>
      <c r="CO4" s="30" t="s">
        <v>539</v>
      </c>
      <c r="CP4" s="30" t="s">
        <v>539</v>
      </c>
      <c r="CQ4" s="30" t="s">
        <v>539</v>
      </c>
      <c r="CR4" s="30" t="s">
        <v>3</v>
      </c>
      <c r="CS4" s="30" t="s">
        <v>3</v>
      </c>
      <c r="CT4" s="30" t="s">
        <v>540</v>
      </c>
      <c r="CU4" s="30" t="s">
        <v>540</v>
      </c>
      <c r="CV4" s="30" t="s">
        <v>540</v>
      </c>
      <c r="CW4" s="30" t="s">
        <v>540</v>
      </c>
      <c r="CX4" s="30" t="s">
        <v>540</v>
      </c>
      <c r="CY4" s="30" t="s">
        <v>540</v>
      </c>
      <c r="CZ4" s="30" t="s">
        <v>540</v>
      </c>
      <c r="DA4" s="30" t="s">
        <v>540</v>
      </c>
      <c r="DB4" s="30" t="s">
        <v>3</v>
      </c>
      <c r="DC4" s="30" t="s">
        <v>3</v>
      </c>
      <c r="DD4" s="30" t="s">
        <v>3</v>
      </c>
      <c r="DE4" s="30" t="s">
        <v>3</v>
      </c>
      <c r="DF4" s="30" t="s">
        <v>3</v>
      </c>
      <c r="DG4" s="30" t="s">
        <v>3</v>
      </c>
      <c r="DH4" s="30" t="s">
        <v>3</v>
      </c>
      <c r="DI4" s="30" t="s">
        <v>3</v>
      </c>
      <c r="DJ4" s="30" t="s">
        <v>3</v>
      </c>
      <c r="DK4" s="30" t="s">
        <v>721</v>
      </c>
      <c r="DL4" s="30" t="s">
        <v>721</v>
      </c>
      <c r="DM4" s="30" t="s">
        <v>721</v>
      </c>
      <c r="DN4" s="30" t="s">
        <v>721</v>
      </c>
      <c r="DO4" s="30" t="s">
        <v>721</v>
      </c>
      <c r="DP4" s="30" t="s">
        <v>721</v>
      </c>
      <c r="DQ4" s="30" t="s">
        <v>721</v>
      </c>
      <c r="DR4" s="30" t="s">
        <v>721</v>
      </c>
      <c r="DS4" s="30" t="s">
        <v>3</v>
      </c>
      <c r="DT4" s="30" t="s">
        <v>757</v>
      </c>
      <c r="DU4" s="30" t="s">
        <v>757</v>
      </c>
      <c r="DV4" s="30" t="s">
        <v>757</v>
      </c>
      <c r="DW4" s="30" t="s">
        <v>757</v>
      </c>
      <c r="DX4" s="30" t="s">
        <v>721</v>
      </c>
      <c r="DY4" s="30" t="s">
        <v>721</v>
      </c>
      <c r="DZ4" s="30" t="s">
        <v>721</v>
      </c>
      <c r="EA4" s="30" t="s">
        <v>3</v>
      </c>
      <c r="EB4" s="30" t="s">
        <v>721</v>
      </c>
      <c r="EC4" s="30" t="s">
        <v>721</v>
      </c>
      <c r="ED4" s="30" t="s">
        <v>721</v>
      </c>
      <c r="EE4" s="30" t="s">
        <v>721</v>
      </c>
      <c r="EF4" s="30" t="s">
        <v>721</v>
      </c>
      <c r="EG4" s="30" t="s">
        <v>721</v>
      </c>
      <c r="EH4" s="30" t="s">
        <v>721</v>
      </c>
      <c r="EI4" s="30" t="s">
        <v>721</v>
      </c>
      <c r="EJ4" s="30" t="s">
        <v>3</v>
      </c>
      <c r="EK4" s="30" t="s">
        <v>3</v>
      </c>
      <c r="EL4" s="30" t="s">
        <v>721</v>
      </c>
      <c r="EM4" s="30" t="s">
        <v>721</v>
      </c>
      <c r="EN4" s="30" t="s">
        <v>843</v>
      </c>
      <c r="EO4" s="30" t="s">
        <v>843</v>
      </c>
      <c r="EP4" s="30" t="s">
        <v>843</v>
      </c>
      <c r="EQ4" s="30" t="s">
        <v>843</v>
      </c>
      <c r="ER4" s="30" t="s">
        <v>843</v>
      </c>
      <c r="ES4" s="30" t="s">
        <v>843</v>
      </c>
      <c r="ET4" s="30" t="s">
        <v>843</v>
      </c>
      <c r="EU4" s="30" t="s">
        <v>843</v>
      </c>
      <c r="EV4" s="30" t="s">
        <v>843</v>
      </c>
      <c r="EW4" s="30" t="s">
        <v>843</v>
      </c>
      <c r="EX4" s="30" t="s">
        <v>911</v>
      </c>
      <c r="EY4" s="30" t="s">
        <v>911</v>
      </c>
      <c r="EZ4" s="30" t="s">
        <v>911</v>
      </c>
      <c r="FA4" s="30" t="s">
        <v>911</v>
      </c>
      <c r="FB4" s="30" t="s">
        <v>911</v>
      </c>
      <c r="FC4" s="30" t="s">
        <v>911</v>
      </c>
      <c r="FD4" s="30" t="s">
        <v>911</v>
      </c>
      <c r="FE4" s="30" t="s">
        <v>911</v>
      </c>
      <c r="FF4" s="30" t="s">
        <v>911</v>
      </c>
      <c r="FG4" s="30" t="s">
        <v>911</v>
      </c>
      <c r="FH4" s="30" t="s">
        <v>911</v>
      </c>
      <c r="FI4" s="30" t="s">
        <v>911</v>
      </c>
      <c r="FJ4" s="30" t="s">
        <v>911</v>
      </c>
      <c r="FK4" s="30" t="s">
        <v>911</v>
      </c>
      <c r="FL4" s="30" t="s">
        <v>911</v>
      </c>
      <c r="FM4" s="30" t="s">
        <v>911</v>
      </c>
      <c r="FN4" s="30" t="s">
        <v>911</v>
      </c>
      <c r="FO4" s="30" t="s">
        <v>971</v>
      </c>
      <c r="FP4" s="30" t="s">
        <v>971</v>
      </c>
      <c r="FQ4" s="30" t="s">
        <v>971</v>
      </c>
      <c r="FR4" s="30" t="s">
        <v>971</v>
      </c>
      <c r="FS4" s="30" t="s">
        <v>971</v>
      </c>
      <c r="FT4" s="30" t="s">
        <v>971</v>
      </c>
      <c r="FU4" s="30" t="s">
        <v>971</v>
      </c>
      <c r="FV4" s="30" t="s">
        <v>971</v>
      </c>
      <c r="FW4" s="30" t="s">
        <v>971</v>
      </c>
      <c r="FX4" s="30" t="s">
        <v>1005</v>
      </c>
      <c r="FY4" s="30" t="s">
        <v>1005</v>
      </c>
      <c r="FZ4" s="30" t="s">
        <v>1005</v>
      </c>
      <c r="GA4" s="30" t="s">
        <v>1005</v>
      </c>
      <c r="GB4" s="30" t="s">
        <v>1005</v>
      </c>
      <c r="GC4" s="30" t="s">
        <v>1005</v>
      </c>
      <c r="GD4" s="30" t="s">
        <v>1005</v>
      </c>
      <c r="GE4" s="30" t="s">
        <v>1005</v>
      </c>
      <c r="GF4" s="30" t="s">
        <v>756</v>
      </c>
      <c r="GG4" s="30" t="s">
        <v>756</v>
      </c>
      <c r="GH4" s="30" t="s">
        <v>756</v>
      </c>
      <c r="GI4" s="30" t="s">
        <v>1004</v>
      </c>
      <c r="GJ4" s="30" t="s">
        <v>1004</v>
      </c>
      <c r="GK4" s="30" t="s">
        <v>1004</v>
      </c>
      <c r="GL4" s="30" t="s">
        <v>1004</v>
      </c>
      <c r="GM4" s="30" t="s">
        <v>1004</v>
      </c>
      <c r="GN4" s="30" t="s">
        <v>1004</v>
      </c>
      <c r="GO4" s="30" t="s">
        <v>1004</v>
      </c>
      <c r="GP4" s="30" t="s">
        <v>1004</v>
      </c>
      <c r="GQ4" s="30" t="s">
        <v>1004</v>
      </c>
      <c r="GR4" s="30" t="s">
        <v>1004</v>
      </c>
      <c r="GS4" s="30" t="s">
        <v>1004</v>
      </c>
      <c r="GT4" s="30" t="s">
        <v>1004</v>
      </c>
      <c r="GU4" s="30" t="s">
        <v>1004</v>
      </c>
      <c r="GV4" s="30" t="s">
        <v>1004</v>
      </c>
      <c r="GW4" s="30" t="s">
        <v>1004</v>
      </c>
      <c r="GX4" s="30" t="s">
        <v>1004</v>
      </c>
      <c r="GY4" s="30" t="s">
        <v>1004</v>
      </c>
      <c r="GZ4" s="30" t="s">
        <v>1004</v>
      </c>
      <c r="HA4" s="30" t="s">
        <v>1004</v>
      </c>
      <c r="HB4" s="30" t="s">
        <v>1004</v>
      </c>
      <c r="HC4" s="30" t="s">
        <v>1004</v>
      </c>
      <c r="HD4" s="30" t="s">
        <v>1004</v>
      </c>
      <c r="HE4" s="30" t="s">
        <v>1118</v>
      </c>
      <c r="HF4" s="30" t="s">
        <v>1118</v>
      </c>
      <c r="HG4" s="30" t="s">
        <v>1118</v>
      </c>
      <c r="HH4" s="30" t="s">
        <v>1118</v>
      </c>
      <c r="HI4" s="30" t="s">
        <v>1118</v>
      </c>
      <c r="HJ4" s="30" t="s">
        <v>1118</v>
      </c>
      <c r="HK4" s="30" t="s">
        <v>1118</v>
      </c>
      <c r="HL4" s="30" t="s">
        <v>1118</v>
      </c>
      <c r="HM4" s="30" t="s">
        <v>1118</v>
      </c>
      <c r="HN4" s="30" t="s">
        <v>1154</v>
      </c>
      <c r="HO4" s="30" t="s">
        <v>1154</v>
      </c>
      <c r="HP4" s="30" t="s">
        <v>1154</v>
      </c>
      <c r="HQ4" s="30" t="s">
        <v>1154</v>
      </c>
      <c r="HR4" s="30" t="s">
        <v>1154</v>
      </c>
      <c r="HS4" s="30" t="s">
        <v>1154</v>
      </c>
      <c r="HT4" s="30" t="s">
        <v>1118</v>
      </c>
      <c r="HU4" s="30" t="s">
        <v>1195</v>
      </c>
      <c r="HV4" s="30" t="s">
        <v>1195</v>
      </c>
      <c r="HW4" s="30" t="s">
        <v>1195</v>
      </c>
      <c r="HX4" s="30" t="s">
        <v>1195</v>
      </c>
      <c r="HY4" s="30" t="s">
        <v>1195</v>
      </c>
      <c r="HZ4" s="30" t="s">
        <v>640</v>
      </c>
      <c r="IA4" s="30" t="s">
        <v>640</v>
      </c>
      <c r="IB4" s="30" t="s">
        <v>640</v>
      </c>
      <c r="IC4" s="30" t="s">
        <v>872</v>
      </c>
      <c r="ID4" s="30" t="s">
        <v>872</v>
      </c>
      <c r="IE4" s="30" t="s">
        <v>872</v>
      </c>
      <c r="IF4" s="30" t="s">
        <v>872</v>
      </c>
      <c r="IG4" s="30" t="s">
        <v>872</v>
      </c>
      <c r="IH4" s="30" t="s">
        <v>872</v>
      </c>
      <c r="II4" s="30" t="s">
        <v>872</v>
      </c>
      <c r="IJ4" s="30" t="s">
        <v>872</v>
      </c>
      <c r="IK4" s="30" t="s">
        <v>872</v>
      </c>
      <c r="IL4" s="30" t="s">
        <v>872</v>
      </c>
      <c r="IM4" s="30" t="s">
        <v>872</v>
      </c>
      <c r="IN4" s="30" t="s">
        <v>872</v>
      </c>
      <c r="IO4" s="30" t="s">
        <v>872</v>
      </c>
      <c r="IP4" s="30" t="s">
        <v>872</v>
      </c>
      <c r="IQ4" s="30" t="s">
        <v>872</v>
      </c>
      <c r="IR4" s="30" t="s">
        <v>872</v>
      </c>
      <c r="IS4" s="30" t="s">
        <v>872</v>
      </c>
      <c r="IT4" s="30" t="s">
        <v>872</v>
      </c>
      <c r="IU4" s="30" t="s">
        <v>872</v>
      </c>
      <c r="IV4" s="30" t="s">
        <v>872</v>
      </c>
      <c r="IW4" s="30" t="s">
        <v>872</v>
      </c>
      <c r="IX4" s="30" t="s">
        <v>872</v>
      </c>
      <c r="IY4" s="30" t="s">
        <v>872</v>
      </c>
      <c r="IZ4" s="30" t="s">
        <v>872</v>
      </c>
      <c r="JA4" s="30" t="s">
        <v>872</v>
      </c>
      <c r="JB4" s="30" t="s">
        <v>872</v>
      </c>
      <c r="JC4" s="30" t="s">
        <v>720</v>
      </c>
      <c r="JD4" s="30" t="s">
        <v>720</v>
      </c>
      <c r="JE4" s="30" t="s">
        <v>720</v>
      </c>
      <c r="JF4" s="30" t="s">
        <v>720</v>
      </c>
      <c r="JG4" s="30" t="s">
        <v>720</v>
      </c>
      <c r="JH4" s="30" t="s">
        <v>720</v>
      </c>
      <c r="JI4" s="30" t="s">
        <v>720</v>
      </c>
      <c r="JJ4" s="30" t="s">
        <v>720</v>
      </c>
      <c r="JK4" s="30" t="s">
        <v>720</v>
      </c>
      <c r="JL4" s="30" t="s">
        <v>720</v>
      </c>
      <c r="JM4" s="30" t="s">
        <v>720</v>
      </c>
      <c r="JN4" s="30" t="s">
        <v>720</v>
      </c>
      <c r="JO4" s="30" t="s">
        <v>720</v>
      </c>
      <c r="JP4" s="30" t="s">
        <v>720</v>
      </c>
      <c r="JQ4" s="30" t="s">
        <v>720</v>
      </c>
      <c r="JR4" s="30" t="s">
        <v>720</v>
      </c>
      <c r="JS4" s="30" t="s">
        <v>720</v>
      </c>
      <c r="JT4" s="30" t="s">
        <v>3</v>
      </c>
      <c r="JU4" s="30" t="s">
        <v>720</v>
      </c>
      <c r="JV4" s="30" t="s">
        <v>720</v>
      </c>
      <c r="JW4" s="30" t="s">
        <v>720</v>
      </c>
      <c r="JX4" s="30" t="s">
        <v>720</v>
      </c>
      <c r="JY4" s="30" t="s">
        <v>720</v>
      </c>
      <c r="JZ4" s="30" t="s">
        <v>720</v>
      </c>
      <c r="KA4" s="30" t="s">
        <v>720</v>
      </c>
      <c r="KB4" s="30" t="s">
        <v>720</v>
      </c>
      <c r="KC4" s="30" t="s">
        <v>720</v>
      </c>
      <c r="KD4" s="30" t="s">
        <v>720</v>
      </c>
      <c r="KE4" s="30" t="s">
        <v>720</v>
      </c>
      <c r="KF4" s="30" t="s">
        <v>720</v>
      </c>
      <c r="KG4" s="30" t="s">
        <v>674</v>
      </c>
      <c r="KH4" s="30" t="s">
        <v>674</v>
      </c>
      <c r="KI4" s="30" t="s">
        <v>674</v>
      </c>
      <c r="KJ4" s="30" t="s">
        <v>674</v>
      </c>
      <c r="KK4" s="30" t="s">
        <v>1154</v>
      </c>
      <c r="KL4" s="30" t="s">
        <v>1154</v>
      </c>
      <c r="KM4" s="30" t="s">
        <v>1154</v>
      </c>
      <c r="KN4" s="30" t="s">
        <v>1154</v>
      </c>
      <c r="KO4" s="30" t="s">
        <v>1154</v>
      </c>
    </row>
    <row r="5" spans="1:304 16384:16384" x14ac:dyDescent="0.25">
      <c r="A5" s="182" t="s">
        <v>13</v>
      </c>
      <c r="B5" s="29">
        <v>4</v>
      </c>
      <c r="C5" s="91" t="s">
        <v>356</v>
      </c>
      <c r="D5">
        <v>732.5</v>
      </c>
      <c r="E5">
        <v>732.5</v>
      </c>
      <c r="F5">
        <v>732.5</v>
      </c>
      <c r="G5">
        <v>732.5</v>
      </c>
      <c r="H5">
        <v>732.5</v>
      </c>
      <c r="I5">
        <v>732.5</v>
      </c>
      <c r="J5">
        <v>732.5</v>
      </c>
      <c r="K5">
        <v>732.5</v>
      </c>
      <c r="L5">
        <v>720</v>
      </c>
      <c r="M5">
        <v>720</v>
      </c>
      <c r="N5">
        <v>720</v>
      </c>
      <c r="O5">
        <v>720</v>
      </c>
      <c r="P5">
        <v>720</v>
      </c>
      <c r="Q5">
        <v>720</v>
      </c>
      <c r="R5">
        <v>720</v>
      </c>
      <c r="S5">
        <v>720</v>
      </c>
      <c r="T5">
        <v>720</v>
      </c>
      <c r="U5">
        <v>735</v>
      </c>
      <c r="V5">
        <v>735</v>
      </c>
      <c r="W5">
        <v>735</v>
      </c>
      <c r="X5">
        <v>735</v>
      </c>
      <c r="Y5" s="30">
        <v>800</v>
      </c>
      <c r="Z5" s="30">
        <v>800</v>
      </c>
      <c r="AA5" s="30">
        <v>800</v>
      </c>
      <c r="AB5" s="30">
        <v>800</v>
      </c>
      <c r="AC5" s="30">
        <v>885</v>
      </c>
      <c r="AD5" s="30">
        <v>885</v>
      </c>
      <c r="AE5" s="30">
        <v>885</v>
      </c>
      <c r="AF5" s="30">
        <v>885</v>
      </c>
      <c r="AG5" s="31">
        <v>970</v>
      </c>
      <c r="AH5" s="31">
        <v>970</v>
      </c>
      <c r="AI5" s="31">
        <v>970</v>
      </c>
      <c r="AJ5" s="31">
        <v>970</v>
      </c>
      <c r="AK5" s="31">
        <v>1015</v>
      </c>
      <c r="AL5" s="31">
        <v>1015</v>
      </c>
      <c r="AM5" s="31">
        <v>1015</v>
      </c>
      <c r="AN5" s="31">
        <v>1015</v>
      </c>
      <c r="AO5" s="31">
        <v>1015</v>
      </c>
      <c r="AP5" s="31">
        <v>1025</v>
      </c>
      <c r="AQ5" s="31">
        <v>1025</v>
      </c>
      <c r="AR5" s="31">
        <v>1025</v>
      </c>
      <c r="AS5" s="31">
        <v>1025</v>
      </c>
      <c r="AT5" s="31">
        <v>1065</v>
      </c>
      <c r="AU5" s="31">
        <v>1065</v>
      </c>
      <c r="AV5" s="31">
        <v>1065</v>
      </c>
      <c r="AW5" s="31">
        <v>1065</v>
      </c>
      <c r="AX5" s="31">
        <v>1115</v>
      </c>
      <c r="AY5" s="31">
        <v>1115</v>
      </c>
      <c r="AZ5" s="31">
        <v>1115</v>
      </c>
      <c r="BA5" s="31">
        <v>1115</v>
      </c>
      <c r="BB5" s="31">
        <v>1115</v>
      </c>
      <c r="BC5" s="31">
        <v>1173</v>
      </c>
      <c r="BD5" s="31">
        <v>1173</v>
      </c>
      <c r="BE5" s="31">
        <v>1173</v>
      </c>
      <c r="BF5" s="31">
        <v>1173</v>
      </c>
      <c r="BG5" s="31">
        <v>1168</v>
      </c>
      <c r="BH5" s="31">
        <v>1168</v>
      </c>
      <c r="BI5" s="31">
        <v>1168</v>
      </c>
      <c r="BJ5" s="31">
        <v>1168</v>
      </c>
      <c r="BK5" s="31">
        <v>1193</v>
      </c>
      <c r="BL5" s="31">
        <v>1193</v>
      </c>
      <c r="BM5" s="31">
        <v>1193</v>
      </c>
      <c r="BN5" s="31">
        <v>1193</v>
      </c>
      <c r="BO5" s="31">
        <v>1193</v>
      </c>
      <c r="BP5" s="31">
        <v>1288</v>
      </c>
      <c r="BQ5" s="31">
        <v>1288</v>
      </c>
      <c r="BR5" s="31">
        <v>1288</v>
      </c>
      <c r="BS5" s="31">
        <v>1288</v>
      </c>
      <c r="BT5" s="31">
        <v>1288</v>
      </c>
      <c r="BU5" s="31">
        <v>1288</v>
      </c>
      <c r="BV5" s="31">
        <v>1288</v>
      </c>
      <c r="BW5" s="31">
        <v>1288</v>
      </c>
      <c r="BX5" s="31">
        <v>1288</v>
      </c>
      <c r="BY5" s="31">
        <v>1288</v>
      </c>
      <c r="BZ5" s="31">
        <v>1288</v>
      </c>
      <c r="CA5" s="31">
        <v>1288</v>
      </c>
      <c r="CB5" s="31">
        <v>1355</v>
      </c>
      <c r="CC5" s="31">
        <v>1355</v>
      </c>
      <c r="CD5" s="31">
        <v>1355</v>
      </c>
      <c r="CE5" s="31">
        <v>1355</v>
      </c>
      <c r="CF5" s="31">
        <v>1450</v>
      </c>
      <c r="CG5" s="31">
        <v>1450</v>
      </c>
      <c r="CH5" s="31">
        <v>1450</v>
      </c>
      <c r="CI5" s="31">
        <v>1450</v>
      </c>
      <c r="CJ5" s="31">
        <v>1675</v>
      </c>
      <c r="CK5" s="31">
        <v>1675</v>
      </c>
      <c r="CL5" s="31">
        <v>1675</v>
      </c>
      <c r="CM5" s="31">
        <v>1675</v>
      </c>
      <c r="CN5" s="31">
        <v>1675</v>
      </c>
      <c r="CO5" s="31">
        <v>1610</v>
      </c>
      <c r="CP5" s="31">
        <v>1610</v>
      </c>
      <c r="CQ5" s="31">
        <v>1610</v>
      </c>
      <c r="CR5" s="31">
        <v>1610</v>
      </c>
      <c r="CS5" s="31">
        <v>1600</v>
      </c>
      <c r="CT5" s="31">
        <v>1600</v>
      </c>
      <c r="CU5" s="31">
        <v>1600</v>
      </c>
      <c r="CV5" s="31">
        <v>1600</v>
      </c>
      <c r="CW5" s="31">
        <v>1480</v>
      </c>
      <c r="CX5" s="31">
        <v>1480</v>
      </c>
      <c r="CY5" s="31">
        <v>1480</v>
      </c>
      <c r="CZ5" s="31">
        <v>1480</v>
      </c>
      <c r="DA5" s="31">
        <v>1480</v>
      </c>
      <c r="DB5" s="31">
        <v>1395</v>
      </c>
      <c r="DC5" s="31">
        <v>1395</v>
      </c>
      <c r="DD5" s="31">
        <v>1395</v>
      </c>
      <c r="DE5" s="31">
        <v>1395</v>
      </c>
      <c r="DF5" s="31">
        <v>1230</v>
      </c>
      <c r="DG5" s="31">
        <v>1230</v>
      </c>
      <c r="DH5" s="31">
        <v>1230</v>
      </c>
      <c r="DI5" s="31">
        <v>1230</v>
      </c>
      <c r="DJ5" s="31">
        <v>1230</v>
      </c>
      <c r="DK5" s="31">
        <v>1180</v>
      </c>
      <c r="DL5" s="31">
        <v>1180</v>
      </c>
      <c r="DM5" s="31">
        <v>1180</v>
      </c>
      <c r="DN5" s="31">
        <v>1180</v>
      </c>
      <c r="DO5" s="31">
        <v>1200</v>
      </c>
      <c r="DP5" s="31">
        <v>1200</v>
      </c>
      <c r="DQ5" s="31">
        <v>1200</v>
      </c>
      <c r="DR5" s="31">
        <v>1200</v>
      </c>
      <c r="DS5" s="31">
        <v>1170</v>
      </c>
      <c r="DT5" s="31">
        <v>1170</v>
      </c>
      <c r="DU5" s="31">
        <v>1170</v>
      </c>
      <c r="DV5" s="31">
        <v>1170</v>
      </c>
      <c r="DW5" s="31">
        <v>1075</v>
      </c>
      <c r="DX5" s="31">
        <v>1075</v>
      </c>
      <c r="DY5" s="31">
        <v>1075</v>
      </c>
      <c r="DZ5" s="31">
        <v>1075</v>
      </c>
      <c r="EA5" s="31">
        <v>1155</v>
      </c>
      <c r="EB5" s="31">
        <v>1155</v>
      </c>
      <c r="EC5" s="31">
        <v>1155</v>
      </c>
      <c r="ED5" s="31">
        <v>1155</v>
      </c>
      <c r="EE5" s="31">
        <v>1185</v>
      </c>
      <c r="EF5" s="31">
        <v>1185</v>
      </c>
      <c r="EG5" s="31">
        <v>1185</v>
      </c>
      <c r="EH5" s="31">
        <v>1185</v>
      </c>
      <c r="EI5" s="31">
        <v>1185</v>
      </c>
      <c r="EJ5" s="31">
        <v>1145</v>
      </c>
      <c r="EK5" s="31">
        <v>1145</v>
      </c>
      <c r="EL5" s="31">
        <v>1145</v>
      </c>
      <c r="EM5" s="31">
        <v>1145</v>
      </c>
      <c r="EN5" s="31">
        <v>1130</v>
      </c>
      <c r="EO5" s="31">
        <v>1130</v>
      </c>
      <c r="EP5" s="31">
        <v>1130</v>
      </c>
      <c r="EQ5" s="31">
        <v>1130</v>
      </c>
      <c r="ER5" s="31">
        <v>1050</v>
      </c>
      <c r="ES5" s="31">
        <v>1050</v>
      </c>
      <c r="ET5" s="31">
        <v>1050</v>
      </c>
      <c r="EU5" s="31">
        <v>1050</v>
      </c>
      <c r="EV5" s="31">
        <v>1050</v>
      </c>
      <c r="EW5" s="31">
        <v>1000</v>
      </c>
      <c r="EX5" s="31">
        <v>1000</v>
      </c>
      <c r="EY5" s="31">
        <v>1000</v>
      </c>
      <c r="EZ5" s="31">
        <v>1000</v>
      </c>
      <c r="FA5" s="31">
        <v>1000</v>
      </c>
      <c r="FB5" s="31">
        <v>1000</v>
      </c>
      <c r="FC5" s="31">
        <v>1000</v>
      </c>
      <c r="FD5" s="31">
        <v>1000</v>
      </c>
      <c r="FE5" s="31">
        <v>1000</v>
      </c>
      <c r="FF5" s="31">
        <v>1060</v>
      </c>
      <c r="FG5" s="31">
        <v>1060</v>
      </c>
      <c r="FH5" s="31">
        <v>1060</v>
      </c>
      <c r="FI5" s="31">
        <v>1060</v>
      </c>
      <c r="FJ5" s="31">
        <v>1120</v>
      </c>
      <c r="FK5" s="31">
        <v>1120</v>
      </c>
      <c r="FL5" s="31">
        <v>1120</v>
      </c>
      <c r="FM5" s="31">
        <v>1120</v>
      </c>
      <c r="FN5" s="31">
        <v>1080</v>
      </c>
      <c r="FO5" s="31">
        <v>1080</v>
      </c>
      <c r="FP5" s="31">
        <v>1080</v>
      </c>
      <c r="FQ5" s="31">
        <v>1080</v>
      </c>
      <c r="FR5" s="31">
        <v>1080</v>
      </c>
      <c r="FS5" s="31">
        <v>1050</v>
      </c>
      <c r="FT5" s="31">
        <v>1050</v>
      </c>
      <c r="FU5" s="31">
        <v>1050</v>
      </c>
      <c r="FV5" s="31">
        <v>1050</v>
      </c>
      <c r="FW5" s="31">
        <v>1050</v>
      </c>
      <c r="FX5" s="31">
        <v>1050</v>
      </c>
      <c r="FY5" s="31">
        <v>1050</v>
      </c>
      <c r="FZ5" s="31">
        <v>1065</v>
      </c>
      <c r="GA5" s="31">
        <v>1065</v>
      </c>
      <c r="GB5" s="31">
        <v>1065</v>
      </c>
      <c r="GC5" s="31">
        <v>1065</v>
      </c>
      <c r="GD5" s="31">
        <v>1065</v>
      </c>
      <c r="GE5" s="31">
        <v>1100</v>
      </c>
      <c r="GF5" s="31">
        <v>1100</v>
      </c>
      <c r="GG5" s="31">
        <v>1100</v>
      </c>
      <c r="GH5" s="31">
        <v>1100</v>
      </c>
      <c r="GI5" s="31">
        <v>1145</v>
      </c>
      <c r="GJ5" s="31">
        <v>1145</v>
      </c>
      <c r="GK5" s="31">
        <v>1145</v>
      </c>
      <c r="GL5" s="31">
        <v>1145</v>
      </c>
      <c r="GM5" s="31">
        <v>1135</v>
      </c>
      <c r="GN5" s="31">
        <v>1135</v>
      </c>
      <c r="GO5" s="31">
        <v>1135</v>
      </c>
      <c r="GP5" s="31">
        <v>1135</v>
      </c>
      <c r="GQ5" s="31">
        <v>1135</v>
      </c>
      <c r="GR5" s="31">
        <v>1105</v>
      </c>
      <c r="GS5" s="31">
        <v>1105</v>
      </c>
      <c r="GT5" s="31">
        <v>1105</v>
      </c>
      <c r="GU5" s="31">
        <v>1105</v>
      </c>
      <c r="GV5" s="31">
        <v>1105</v>
      </c>
      <c r="GW5" s="31">
        <v>1105</v>
      </c>
      <c r="GX5" s="31">
        <v>1105</v>
      </c>
      <c r="GY5" s="31">
        <v>1105</v>
      </c>
      <c r="GZ5" s="31">
        <v>1125</v>
      </c>
      <c r="HA5" s="31">
        <v>1125</v>
      </c>
      <c r="HB5" s="31">
        <v>1125</v>
      </c>
      <c r="HC5" s="31">
        <v>1125</v>
      </c>
      <c r="HD5" s="31">
        <v>1125</v>
      </c>
      <c r="HE5" s="31">
        <v>1095</v>
      </c>
      <c r="HF5" s="31">
        <v>1095</v>
      </c>
      <c r="HG5" s="31">
        <v>1095</v>
      </c>
      <c r="HH5" s="31">
        <v>1095</v>
      </c>
      <c r="HI5" s="31">
        <v>1060</v>
      </c>
      <c r="HJ5" s="31">
        <v>1060</v>
      </c>
      <c r="HK5" s="31">
        <v>1060</v>
      </c>
      <c r="HL5" s="31">
        <v>1060</v>
      </c>
      <c r="HM5" s="31">
        <v>1060</v>
      </c>
      <c r="HN5" s="31">
        <v>1085</v>
      </c>
      <c r="HO5" s="31">
        <v>1085</v>
      </c>
      <c r="HP5" s="31">
        <v>1085</v>
      </c>
      <c r="HQ5" s="31">
        <v>1085</v>
      </c>
      <c r="HR5" s="31">
        <v>1075</v>
      </c>
      <c r="HS5" s="31">
        <v>1075</v>
      </c>
      <c r="HT5" s="31">
        <v>1075</v>
      </c>
      <c r="HU5" s="31">
        <v>1075</v>
      </c>
      <c r="HV5" s="31">
        <v>1075</v>
      </c>
      <c r="HW5" s="31">
        <v>1075</v>
      </c>
      <c r="HX5" s="31">
        <v>1075</v>
      </c>
      <c r="HY5" s="31">
        <v>1127.5</v>
      </c>
      <c r="HZ5" s="31">
        <v>1127.5</v>
      </c>
      <c r="IA5" s="31">
        <v>1127.5</v>
      </c>
      <c r="IB5" s="31">
        <v>1127.5</v>
      </c>
      <c r="IC5" s="31">
        <v>1135</v>
      </c>
      <c r="ID5" s="31">
        <v>1135</v>
      </c>
      <c r="IE5" s="31">
        <v>1135</v>
      </c>
      <c r="IF5" s="31">
        <v>1135</v>
      </c>
      <c r="IG5" s="31">
        <v>1080</v>
      </c>
      <c r="IH5" s="31">
        <v>1080</v>
      </c>
      <c r="II5" s="31">
        <v>1080</v>
      </c>
      <c r="IJ5" s="31">
        <v>1080</v>
      </c>
      <c r="IK5" s="31">
        <v>1080</v>
      </c>
      <c r="IL5" s="31">
        <v>1015</v>
      </c>
      <c r="IM5" s="31">
        <v>1015</v>
      </c>
      <c r="IN5" s="31">
        <v>1015</v>
      </c>
      <c r="IO5" s="31">
        <v>1015</v>
      </c>
      <c r="IP5" s="31">
        <v>1015</v>
      </c>
      <c r="IQ5" s="31">
        <v>1015</v>
      </c>
      <c r="IR5" s="31">
        <v>1015</v>
      </c>
      <c r="IS5" s="31">
        <v>1015</v>
      </c>
      <c r="IT5" s="31">
        <v>1015</v>
      </c>
      <c r="IU5" s="31">
        <v>1015</v>
      </c>
      <c r="IV5" s="31">
        <v>1015</v>
      </c>
      <c r="IW5" s="31">
        <v>1015</v>
      </c>
      <c r="IX5" s="31">
        <v>1015</v>
      </c>
      <c r="IY5" s="31">
        <v>1005</v>
      </c>
      <c r="IZ5" s="31">
        <v>1005</v>
      </c>
      <c r="JA5" s="31">
        <v>1005</v>
      </c>
      <c r="JB5" s="31">
        <v>1005</v>
      </c>
      <c r="JC5" s="31">
        <v>1005</v>
      </c>
      <c r="JD5" s="31">
        <v>1005</v>
      </c>
      <c r="JE5" s="31">
        <v>1005</v>
      </c>
      <c r="JF5" s="31">
        <v>1005</v>
      </c>
      <c r="JG5" s="31">
        <v>1005</v>
      </c>
      <c r="JH5" s="31">
        <v>1005</v>
      </c>
      <c r="JI5" s="31">
        <v>1005</v>
      </c>
      <c r="JJ5" s="31">
        <v>1005</v>
      </c>
      <c r="JK5" s="31">
        <v>1005</v>
      </c>
      <c r="JL5" s="31">
        <v>980</v>
      </c>
      <c r="JM5" s="31">
        <v>980</v>
      </c>
      <c r="JN5" s="31">
        <v>980</v>
      </c>
      <c r="JO5" s="31">
        <v>980</v>
      </c>
      <c r="JP5" s="31">
        <v>980</v>
      </c>
      <c r="JQ5" s="31">
        <v>980</v>
      </c>
      <c r="JR5" s="31">
        <v>980</v>
      </c>
      <c r="JS5" s="31">
        <v>980</v>
      </c>
      <c r="JT5" s="31">
        <v>950</v>
      </c>
      <c r="JU5" s="31">
        <v>950</v>
      </c>
      <c r="JV5" s="31">
        <v>950</v>
      </c>
      <c r="JW5" s="31">
        <v>950</v>
      </c>
      <c r="JX5" s="31">
        <v>965</v>
      </c>
      <c r="JY5" s="31">
        <v>965</v>
      </c>
      <c r="JZ5" s="31">
        <v>965</v>
      </c>
      <c r="KA5" s="31">
        <v>965</v>
      </c>
      <c r="KB5" s="31">
        <v>1000</v>
      </c>
      <c r="KC5" s="31">
        <v>1000</v>
      </c>
      <c r="KD5" s="31">
        <v>1000</v>
      </c>
      <c r="KE5" s="31">
        <v>1000</v>
      </c>
      <c r="KF5" s="31">
        <v>1465</v>
      </c>
      <c r="KG5" s="31">
        <v>1465</v>
      </c>
      <c r="KH5" s="31">
        <v>1465</v>
      </c>
      <c r="KI5" s="31">
        <v>1465</v>
      </c>
      <c r="KJ5" s="31">
        <v>1465</v>
      </c>
      <c r="KK5" s="31">
        <v>1585</v>
      </c>
      <c r="KL5" s="31">
        <v>1585</v>
      </c>
      <c r="KM5" s="31">
        <v>1585</v>
      </c>
      <c r="KN5" s="31">
        <v>1585</v>
      </c>
      <c r="KO5" s="31">
        <v>1555</v>
      </c>
      <c r="KP5" s="31">
        <v>1555</v>
      </c>
      <c r="KQ5" s="31">
        <v>1555</v>
      </c>
      <c r="KR5" s="31">
        <v>1555</v>
      </c>
    </row>
    <row r="6" spans="1:304 16384:16384" x14ac:dyDescent="0.25">
      <c r="A6" s="182"/>
      <c r="B6" s="29">
        <v>5</v>
      </c>
      <c r="C6" s="91" t="s">
        <v>393</v>
      </c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1"/>
      <c r="AS6" s="31"/>
      <c r="AT6" s="31"/>
      <c r="AU6" s="30"/>
      <c r="AV6" s="30"/>
      <c r="AW6" s="30"/>
      <c r="AX6" s="31"/>
      <c r="AY6" s="31"/>
      <c r="AZ6" s="31"/>
      <c r="BA6" s="30"/>
      <c r="BB6" s="30"/>
      <c r="BC6" s="30"/>
      <c r="BD6" s="30"/>
      <c r="BE6" s="30"/>
      <c r="BF6" s="30"/>
      <c r="BG6" s="30"/>
      <c r="BH6" s="31"/>
      <c r="BI6" s="30"/>
      <c r="BJ6" s="31"/>
      <c r="BK6" s="31"/>
      <c r="BL6" s="31"/>
      <c r="BM6" s="30"/>
      <c r="BN6" s="30"/>
      <c r="BO6" s="30"/>
      <c r="BP6" s="30"/>
      <c r="BQ6" s="30"/>
      <c r="BR6" s="30"/>
      <c r="BS6" s="31"/>
      <c r="BT6" s="31"/>
      <c r="BU6" s="31"/>
      <c r="BV6" s="30"/>
      <c r="BW6" s="30"/>
      <c r="BX6" s="30"/>
      <c r="BY6" s="30">
        <v>1198</v>
      </c>
      <c r="BZ6" s="30">
        <v>1198</v>
      </c>
      <c r="CA6" s="30">
        <v>1198</v>
      </c>
      <c r="CB6" s="30">
        <v>1198</v>
      </c>
      <c r="CC6" s="30">
        <v>1220</v>
      </c>
      <c r="CD6" s="30">
        <v>1220</v>
      </c>
      <c r="CE6" s="30">
        <v>1186</v>
      </c>
      <c r="CF6" s="31">
        <v>1238</v>
      </c>
      <c r="CG6" s="31">
        <v>1337</v>
      </c>
      <c r="CH6" s="31">
        <v>1374</v>
      </c>
      <c r="CI6" s="31">
        <v>1444</v>
      </c>
      <c r="CJ6" s="31">
        <v>1595</v>
      </c>
      <c r="CK6" s="31">
        <v>1599</v>
      </c>
      <c r="CL6" s="31">
        <v>1558</v>
      </c>
      <c r="CM6" s="31">
        <v>1544</v>
      </c>
      <c r="CN6" s="31">
        <v>1533</v>
      </c>
      <c r="CO6" s="31">
        <v>1471</v>
      </c>
      <c r="CP6" s="31">
        <v>1435</v>
      </c>
      <c r="CQ6" s="31" t="s">
        <v>3</v>
      </c>
      <c r="CR6" s="31">
        <v>1288</v>
      </c>
      <c r="CS6" s="31">
        <v>1292</v>
      </c>
      <c r="CT6" s="31">
        <v>1330</v>
      </c>
      <c r="CU6" s="31">
        <v>1359</v>
      </c>
      <c r="CV6" s="31" t="s">
        <v>3</v>
      </c>
      <c r="CW6" s="31" t="s">
        <v>3</v>
      </c>
      <c r="CX6" s="31">
        <v>1036</v>
      </c>
      <c r="CY6" s="31">
        <v>918</v>
      </c>
      <c r="CZ6" s="31">
        <v>918</v>
      </c>
      <c r="DA6" s="31" t="s">
        <v>3</v>
      </c>
      <c r="DB6" s="31">
        <v>735</v>
      </c>
      <c r="DC6" s="31">
        <v>637</v>
      </c>
      <c r="DD6" s="31">
        <v>501</v>
      </c>
      <c r="DE6" s="31">
        <v>453</v>
      </c>
      <c r="DF6" s="31">
        <v>453</v>
      </c>
      <c r="DG6" s="31">
        <v>438</v>
      </c>
      <c r="DH6" s="31">
        <v>460</v>
      </c>
      <c r="DI6" s="31">
        <v>466</v>
      </c>
      <c r="DJ6" s="31">
        <v>466</v>
      </c>
      <c r="DK6" s="31">
        <v>466</v>
      </c>
      <c r="DL6" s="31">
        <v>502</v>
      </c>
      <c r="DM6" s="31">
        <v>561</v>
      </c>
      <c r="DN6" s="31">
        <v>649</v>
      </c>
      <c r="DO6" s="31">
        <v>759</v>
      </c>
      <c r="DP6" s="31">
        <v>750</v>
      </c>
      <c r="DQ6" s="31">
        <v>780</v>
      </c>
      <c r="DR6" s="31">
        <v>900</v>
      </c>
      <c r="DS6" s="31">
        <v>819</v>
      </c>
      <c r="DT6" s="31">
        <v>702</v>
      </c>
      <c r="DU6" s="31">
        <v>702</v>
      </c>
      <c r="DV6" s="31">
        <v>702</v>
      </c>
      <c r="DW6" s="31">
        <v>721</v>
      </c>
      <c r="DX6" s="31">
        <v>726</v>
      </c>
      <c r="DY6" s="31">
        <v>753</v>
      </c>
      <c r="DZ6" s="31">
        <v>681</v>
      </c>
      <c r="EA6" s="31" t="s">
        <v>790</v>
      </c>
      <c r="EB6" s="31">
        <v>664</v>
      </c>
      <c r="EC6" s="31">
        <v>693</v>
      </c>
      <c r="ED6" s="31">
        <v>722</v>
      </c>
      <c r="EE6" s="31">
        <v>741</v>
      </c>
      <c r="EF6" s="31">
        <v>800</v>
      </c>
      <c r="EG6" s="31">
        <v>800</v>
      </c>
      <c r="EH6" s="31">
        <v>784</v>
      </c>
      <c r="EI6" s="31">
        <v>779</v>
      </c>
      <c r="EJ6" s="31">
        <v>773</v>
      </c>
      <c r="EK6" s="31">
        <v>784</v>
      </c>
      <c r="EL6" s="31">
        <v>779</v>
      </c>
      <c r="EM6" s="31">
        <v>716</v>
      </c>
      <c r="EN6" s="31">
        <v>701</v>
      </c>
      <c r="EO6" s="31">
        <v>610</v>
      </c>
      <c r="EP6" s="31">
        <v>622</v>
      </c>
      <c r="EQ6" s="31">
        <v>540</v>
      </c>
      <c r="ER6" s="31">
        <v>512</v>
      </c>
      <c r="ES6" s="31">
        <v>490</v>
      </c>
      <c r="ET6" s="31">
        <v>483</v>
      </c>
      <c r="EU6" s="31">
        <v>435</v>
      </c>
      <c r="EV6" s="31">
        <v>394</v>
      </c>
      <c r="EW6" s="31">
        <v>385</v>
      </c>
      <c r="EX6" s="31">
        <v>369</v>
      </c>
      <c r="EY6" s="31">
        <v>387</v>
      </c>
      <c r="EZ6" s="31">
        <v>440</v>
      </c>
      <c r="FA6" s="31">
        <v>462</v>
      </c>
      <c r="FB6" s="31">
        <v>520</v>
      </c>
      <c r="FC6" s="31">
        <v>552</v>
      </c>
      <c r="FD6" s="31">
        <v>531</v>
      </c>
      <c r="FE6" s="31">
        <v>542</v>
      </c>
      <c r="FF6" s="31">
        <v>502</v>
      </c>
      <c r="FG6" s="31">
        <v>570</v>
      </c>
      <c r="FH6" s="31">
        <v>557</v>
      </c>
      <c r="FI6" s="31">
        <v>535</v>
      </c>
      <c r="FJ6" s="31">
        <v>672</v>
      </c>
      <c r="FK6" s="31">
        <v>588</v>
      </c>
      <c r="FL6" s="31">
        <v>644</v>
      </c>
      <c r="FM6" s="31">
        <v>584</v>
      </c>
      <c r="FN6" s="31">
        <v>772</v>
      </c>
      <c r="FO6" s="31">
        <v>767</v>
      </c>
      <c r="FP6" s="31">
        <v>792</v>
      </c>
      <c r="FQ6" s="31">
        <v>800</v>
      </c>
      <c r="FR6" s="31">
        <v>810</v>
      </c>
      <c r="FS6" s="31">
        <v>735</v>
      </c>
      <c r="FT6" s="31">
        <v>697</v>
      </c>
      <c r="FU6" s="31">
        <v>689</v>
      </c>
      <c r="FV6" s="31">
        <v>735</v>
      </c>
      <c r="FW6" s="31">
        <v>704</v>
      </c>
      <c r="FX6" s="31">
        <v>807</v>
      </c>
      <c r="FY6" s="31">
        <v>919</v>
      </c>
      <c r="FZ6" s="31">
        <v>905</v>
      </c>
      <c r="GA6" s="31">
        <v>926</v>
      </c>
      <c r="GB6" s="31">
        <v>961</v>
      </c>
      <c r="GC6" s="31">
        <v>975</v>
      </c>
      <c r="GD6" s="31">
        <v>975</v>
      </c>
      <c r="GE6" s="31">
        <v>970</v>
      </c>
      <c r="GF6" s="31">
        <v>970</v>
      </c>
      <c r="GG6" s="31">
        <v>1024</v>
      </c>
      <c r="GH6" s="31">
        <v>1020</v>
      </c>
      <c r="GI6" s="31">
        <v>1034</v>
      </c>
      <c r="GJ6" s="31">
        <v>983</v>
      </c>
      <c r="GK6" s="31">
        <v>970</v>
      </c>
      <c r="GL6" s="31">
        <v>945</v>
      </c>
      <c r="GM6" s="31">
        <v>890</v>
      </c>
      <c r="GN6" s="31">
        <v>922</v>
      </c>
      <c r="GO6" s="31">
        <v>884</v>
      </c>
      <c r="GP6" s="31">
        <v>883</v>
      </c>
      <c r="GQ6" s="31">
        <v>852</v>
      </c>
      <c r="GR6" s="31">
        <v>832</v>
      </c>
      <c r="GS6" s="31">
        <v>881</v>
      </c>
      <c r="GT6" s="31">
        <v>850</v>
      </c>
      <c r="GU6" s="31">
        <v>849</v>
      </c>
      <c r="GV6" s="31">
        <v>832</v>
      </c>
      <c r="GW6" s="31">
        <v>807</v>
      </c>
      <c r="GX6" s="31">
        <v>851</v>
      </c>
      <c r="GY6" s="31">
        <v>862</v>
      </c>
      <c r="GZ6" s="31">
        <v>890</v>
      </c>
      <c r="HA6" s="31">
        <v>883</v>
      </c>
      <c r="HB6" s="31">
        <v>886</v>
      </c>
      <c r="HC6" s="31">
        <v>873</v>
      </c>
      <c r="HD6" s="31">
        <v>869</v>
      </c>
      <c r="HE6" s="31">
        <v>813</v>
      </c>
      <c r="HF6" s="31">
        <v>788</v>
      </c>
      <c r="HG6" s="31">
        <v>756</v>
      </c>
      <c r="HH6" s="31">
        <v>665</v>
      </c>
      <c r="HI6" s="31">
        <v>756</v>
      </c>
      <c r="HJ6" s="31">
        <v>756</v>
      </c>
      <c r="HK6" s="31">
        <v>758</v>
      </c>
      <c r="HL6" s="31">
        <v>742</v>
      </c>
      <c r="HM6" s="31">
        <v>726</v>
      </c>
      <c r="HN6" s="31">
        <v>723</v>
      </c>
      <c r="HO6" s="31">
        <v>705</v>
      </c>
      <c r="HP6" s="31">
        <v>720</v>
      </c>
      <c r="HQ6" s="31">
        <v>738</v>
      </c>
      <c r="HR6" s="31">
        <v>701</v>
      </c>
      <c r="HS6" s="31">
        <v>726</v>
      </c>
      <c r="HT6" s="31">
        <v>728</v>
      </c>
      <c r="HU6" s="31">
        <v>736</v>
      </c>
      <c r="HV6" s="31">
        <v>817</v>
      </c>
      <c r="HW6" s="31">
        <v>851</v>
      </c>
      <c r="HX6" s="31">
        <v>860</v>
      </c>
      <c r="HY6" s="31">
        <v>884</v>
      </c>
      <c r="HZ6" s="31">
        <v>895</v>
      </c>
      <c r="IA6" s="31">
        <v>936</v>
      </c>
      <c r="IB6" s="31">
        <v>941</v>
      </c>
      <c r="IC6" s="31">
        <v>940</v>
      </c>
      <c r="ID6" s="31">
        <v>941</v>
      </c>
      <c r="IE6" s="31">
        <v>901</v>
      </c>
      <c r="IF6" s="31">
        <v>887</v>
      </c>
      <c r="IG6" s="31">
        <v>864</v>
      </c>
      <c r="IH6" s="31">
        <v>843</v>
      </c>
      <c r="II6" s="31">
        <v>786</v>
      </c>
      <c r="IJ6" s="31">
        <v>766</v>
      </c>
      <c r="IK6" s="31">
        <v>759</v>
      </c>
      <c r="IL6" s="31">
        <v>772</v>
      </c>
      <c r="IM6" s="31">
        <v>761</v>
      </c>
      <c r="IN6" s="31">
        <v>752</v>
      </c>
      <c r="IO6" s="31">
        <v>709</v>
      </c>
      <c r="IP6" s="31">
        <v>709</v>
      </c>
      <c r="IQ6" s="31">
        <v>709</v>
      </c>
      <c r="IR6" s="31">
        <v>660</v>
      </c>
      <c r="IS6" s="31">
        <v>634</v>
      </c>
      <c r="IT6" s="31">
        <v>670</v>
      </c>
      <c r="IU6" s="31">
        <v>625</v>
      </c>
      <c r="IV6" s="31">
        <v>614</v>
      </c>
      <c r="IW6" s="31">
        <v>580</v>
      </c>
      <c r="IX6" s="31">
        <v>566</v>
      </c>
      <c r="IY6" s="31">
        <v>574</v>
      </c>
      <c r="IZ6" s="31">
        <v>574</v>
      </c>
      <c r="JA6" s="31">
        <v>540</v>
      </c>
      <c r="JB6" s="31">
        <v>530</v>
      </c>
      <c r="JC6" s="31">
        <v>543</v>
      </c>
      <c r="JD6" s="31">
        <v>524</v>
      </c>
      <c r="JE6" s="31">
        <v>540</v>
      </c>
      <c r="JF6" s="31">
        <v>577</v>
      </c>
      <c r="JG6" s="31">
        <v>553</v>
      </c>
      <c r="JH6" s="31">
        <v>583</v>
      </c>
      <c r="JI6" s="31">
        <v>553</v>
      </c>
      <c r="JJ6" s="31">
        <v>549</v>
      </c>
      <c r="JK6" s="31">
        <v>553</v>
      </c>
      <c r="JL6" s="31">
        <v>530</v>
      </c>
      <c r="JM6" s="31">
        <v>530</v>
      </c>
      <c r="JN6" s="31">
        <v>537</v>
      </c>
      <c r="JO6" s="31">
        <v>537</v>
      </c>
      <c r="JP6" s="31">
        <v>529</v>
      </c>
      <c r="JQ6" s="31">
        <v>510</v>
      </c>
      <c r="JR6" s="31">
        <v>553</v>
      </c>
      <c r="JS6" s="31">
        <v>511</v>
      </c>
      <c r="JT6" s="31">
        <v>632</v>
      </c>
      <c r="JU6" s="31">
        <v>627</v>
      </c>
      <c r="JV6" s="31">
        <v>637</v>
      </c>
      <c r="JW6" s="31">
        <v>637</v>
      </c>
      <c r="JX6" s="31">
        <v>637</v>
      </c>
      <c r="JY6" s="31">
        <v>664</v>
      </c>
      <c r="JZ6" s="31">
        <v>680</v>
      </c>
      <c r="KA6" s="31">
        <v>814</v>
      </c>
      <c r="KB6" s="31">
        <v>851</v>
      </c>
      <c r="KC6" s="31">
        <v>989</v>
      </c>
      <c r="KD6" s="31">
        <v>1086</v>
      </c>
      <c r="KE6" s="31">
        <v>1310</v>
      </c>
      <c r="KF6" s="31">
        <v>1256</v>
      </c>
      <c r="KG6" s="31">
        <v>1698</v>
      </c>
      <c r="KH6" s="31">
        <v>1598</v>
      </c>
      <c r="KI6" s="31">
        <v>1463</v>
      </c>
      <c r="KJ6" s="31">
        <v>1505</v>
      </c>
      <c r="KK6" s="31">
        <v>1570</v>
      </c>
      <c r="KL6" s="31">
        <v>1570</v>
      </c>
      <c r="KM6" s="31">
        <v>1536</v>
      </c>
      <c r="KN6" s="31">
        <v>1347</v>
      </c>
      <c r="KO6" s="31">
        <v>1283</v>
      </c>
    </row>
    <row r="7" spans="1:304 16384:16384" x14ac:dyDescent="0.25">
      <c r="A7" s="182"/>
      <c r="B7" s="29">
        <v>6</v>
      </c>
      <c r="C7" s="91" t="s">
        <v>392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1"/>
      <c r="AH7" s="31"/>
      <c r="AI7" s="31"/>
      <c r="AJ7" s="30"/>
      <c r="AK7" s="30"/>
      <c r="AL7" s="30"/>
      <c r="AM7" s="30"/>
      <c r="AN7" s="30"/>
      <c r="AO7" s="30"/>
      <c r="AP7" s="30"/>
      <c r="AQ7" s="30"/>
      <c r="AR7" s="31"/>
      <c r="AS7" s="31"/>
      <c r="AT7" s="31"/>
      <c r="AU7" s="31"/>
      <c r="AV7" s="31"/>
      <c r="AW7" s="30"/>
      <c r="AX7" s="30"/>
      <c r="AY7" s="31"/>
      <c r="AZ7" s="30"/>
      <c r="BA7" s="30"/>
      <c r="BB7" s="30"/>
      <c r="BC7" s="30"/>
      <c r="BD7" s="30"/>
      <c r="BE7" s="30"/>
      <c r="BF7" s="30"/>
      <c r="BG7" s="31"/>
      <c r="BH7" s="31"/>
      <c r="BI7" s="30"/>
      <c r="BJ7" s="30"/>
      <c r="BK7" s="30"/>
      <c r="BL7" s="30"/>
      <c r="BM7" s="31"/>
      <c r="BN7" s="31"/>
      <c r="BO7" s="31"/>
      <c r="BP7" s="30"/>
      <c r="BQ7" s="30"/>
      <c r="BR7" s="30"/>
      <c r="BS7" s="30"/>
      <c r="BT7" s="30"/>
      <c r="BU7" s="30"/>
      <c r="BV7" s="30"/>
      <c r="BW7" s="30"/>
      <c r="BX7" s="39"/>
      <c r="BY7" s="30">
        <v>1302</v>
      </c>
      <c r="BZ7" s="30">
        <v>1302</v>
      </c>
      <c r="CA7" s="30">
        <v>1272</v>
      </c>
      <c r="CB7" s="30">
        <v>1314</v>
      </c>
      <c r="CC7" s="30">
        <v>1301</v>
      </c>
      <c r="CD7" s="30">
        <v>1265</v>
      </c>
      <c r="CE7" s="30">
        <v>1256</v>
      </c>
      <c r="CF7" s="31">
        <v>1305</v>
      </c>
      <c r="CG7" s="31">
        <v>1367</v>
      </c>
      <c r="CH7" s="31">
        <v>1483</v>
      </c>
      <c r="CI7" s="31">
        <v>1513</v>
      </c>
      <c r="CJ7" s="31">
        <v>1675</v>
      </c>
      <c r="CK7" s="31">
        <v>1640</v>
      </c>
      <c r="CL7" s="31">
        <v>1574</v>
      </c>
      <c r="CM7" s="31">
        <v>1564</v>
      </c>
      <c r="CN7" s="31">
        <v>1491</v>
      </c>
      <c r="CO7" s="31">
        <v>1449</v>
      </c>
      <c r="CP7" s="31">
        <v>1449</v>
      </c>
      <c r="CQ7" s="31">
        <v>1249</v>
      </c>
      <c r="CR7" s="31">
        <v>1320</v>
      </c>
      <c r="CS7" s="31">
        <v>1312</v>
      </c>
      <c r="CT7" s="31">
        <v>1324</v>
      </c>
      <c r="CU7" s="31">
        <v>1356</v>
      </c>
      <c r="CV7" s="31">
        <v>1299</v>
      </c>
      <c r="CW7" s="31">
        <v>1095</v>
      </c>
      <c r="CX7" s="31">
        <v>1049</v>
      </c>
      <c r="CY7" s="31">
        <v>962</v>
      </c>
      <c r="CZ7" s="31">
        <v>962</v>
      </c>
      <c r="DA7" s="31">
        <v>837</v>
      </c>
      <c r="DB7" s="31">
        <v>712</v>
      </c>
      <c r="DC7" s="31">
        <v>657</v>
      </c>
      <c r="DD7" s="31">
        <v>540</v>
      </c>
      <c r="DE7" s="31">
        <v>485</v>
      </c>
      <c r="DF7" s="31">
        <v>468</v>
      </c>
      <c r="DG7" s="31">
        <v>465</v>
      </c>
      <c r="DH7" s="31">
        <v>460</v>
      </c>
      <c r="DI7" s="31">
        <v>466</v>
      </c>
      <c r="DJ7" s="31">
        <v>478</v>
      </c>
      <c r="DK7" s="31">
        <v>649</v>
      </c>
      <c r="DL7" s="31">
        <v>708</v>
      </c>
      <c r="DM7" s="31">
        <v>779</v>
      </c>
      <c r="DN7" s="31">
        <v>797</v>
      </c>
      <c r="DO7" s="31">
        <v>824</v>
      </c>
      <c r="DP7" s="31">
        <v>810</v>
      </c>
      <c r="DQ7" s="31">
        <v>858</v>
      </c>
      <c r="DR7" s="31">
        <v>900</v>
      </c>
      <c r="DS7" s="31">
        <v>837</v>
      </c>
      <c r="DT7" s="31">
        <v>702</v>
      </c>
      <c r="DU7" s="31">
        <v>848</v>
      </c>
      <c r="DV7" s="31">
        <v>819</v>
      </c>
      <c r="DW7" s="31">
        <v>817</v>
      </c>
      <c r="DX7" s="31">
        <v>855</v>
      </c>
      <c r="DY7" s="31">
        <v>903</v>
      </c>
      <c r="DZ7" s="31">
        <v>860</v>
      </c>
      <c r="EA7" s="31">
        <v>924</v>
      </c>
      <c r="EB7" s="31">
        <v>912</v>
      </c>
      <c r="EC7" s="31">
        <v>895</v>
      </c>
      <c r="ED7" s="31">
        <v>901</v>
      </c>
      <c r="EE7" s="31">
        <v>930</v>
      </c>
      <c r="EF7" s="31">
        <v>918</v>
      </c>
      <c r="EG7" s="31">
        <v>889</v>
      </c>
      <c r="EH7" s="31">
        <v>915</v>
      </c>
      <c r="EI7" s="31">
        <v>858</v>
      </c>
      <c r="EJ7" s="31">
        <v>871</v>
      </c>
      <c r="EK7" s="31">
        <v>908</v>
      </c>
      <c r="EL7" s="31">
        <v>916</v>
      </c>
      <c r="EM7" s="31">
        <v>905</v>
      </c>
      <c r="EN7" s="31">
        <v>825</v>
      </c>
      <c r="EO7" s="31">
        <v>678</v>
      </c>
      <c r="EP7" s="31">
        <v>689</v>
      </c>
      <c r="EQ7" s="31">
        <v>689</v>
      </c>
      <c r="ER7" s="31">
        <v>668</v>
      </c>
      <c r="ES7" s="31">
        <v>651</v>
      </c>
      <c r="ET7" s="31">
        <v>599</v>
      </c>
      <c r="EU7" s="31">
        <v>578</v>
      </c>
      <c r="EV7" s="31">
        <v>445</v>
      </c>
      <c r="EW7" s="31">
        <v>480</v>
      </c>
      <c r="EX7" s="31">
        <v>449</v>
      </c>
      <c r="EY7" s="31">
        <v>470</v>
      </c>
      <c r="EZ7" s="31">
        <v>490</v>
      </c>
      <c r="FA7" s="31">
        <v>605</v>
      </c>
      <c r="FB7" s="31">
        <v>643</v>
      </c>
      <c r="FC7" s="31">
        <v>649</v>
      </c>
      <c r="FD7" s="31">
        <v>680</v>
      </c>
      <c r="FE7" s="31">
        <v>688</v>
      </c>
      <c r="FF7" s="31">
        <v>688</v>
      </c>
      <c r="FG7" s="31">
        <v>682</v>
      </c>
      <c r="FH7" s="31">
        <v>663</v>
      </c>
      <c r="FI7" s="31">
        <v>669</v>
      </c>
      <c r="FJ7" s="31">
        <v>735</v>
      </c>
      <c r="FK7" s="31">
        <v>728</v>
      </c>
      <c r="FL7" s="31">
        <v>795</v>
      </c>
      <c r="FM7" s="31">
        <v>806</v>
      </c>
      <c r="FN7" s="31">
        <v>832</v>
      </c>
      <c r="FO7" s="31">
        <v>837</v>
      </c>
      <c r="FP7" s="31">
        <v>859</v>
      </c>
      <c r="FQ7" s="31">
        <v>856</v>
      </c>
      <c r="FR7" s="31">
        <v>853</v>
      </c>
      <c r="FS7" s="31">
        <v>767</v>
      </c>
      <c r="FT7" s="31">
        <v>769</v>
      </c>
      <c r="FU7" s="31">
        <v>761</v>
      </c>
      <c r="FV7" s="31">
        <v>819</v>
      </c>
      <c r="FW7" s="31">
        <v>866</v>
      </c>
      <c r="FX7" s="31">
        <v>941</v>
      </c>
      <c r="FY7" s="31">
        <v>982</v>
      </c>
      <c r="FZ7" s="31">
        <v>998</v>
      </c>
      <c r="GA7" s="31">
        <v>993</v>
      </c>
      <c r="GB7" s="31">
        <v>1012</v>
      </c>
      <c r="GC7" s="31">
        <v>1016</v>
      </c>
      <c r="GD7" s="31">
        <v>1016</v>
      </c>
      <c r="GE7" s="31">
        <v>1075</v>
      </c>
      <c r="GF7" s="31">
        <v>1051</v>
      </c>
      <c r="GG7" s="31">
        <v>1054</v>
      </c>
      <c r="GH7" s="31">
        <v>1050</v>
      </c>
      <c r="GI7" s="31">
        <v>1065</v>
      </c>
      <c r="GJ7" s="31">
        <v>1050</v>
      </c>
      <c r="GK7" s="31">
        <v>1048</v>
      </c>
      <c r="GL7" s="31">
        <v>1028</v>
      </c>
      <c r="GM7" s="31">
        <v>990</v>
      </c>
      <c r="GN7" s="31">
        <v>997</v>
      </c>
      <c r="GO7" s="31">
        <v>970</v>
      </c>
      <c r="GP7" s="31">
        <v>978</v>
      </c>
      <c r="GQ7" s="31">
        <v>936</v>
      </c>
      <c r="GR7" s="31">
        <v>939</v>
      </c>
      <c r="GS7" s="31">
        <v>955</v>
      </c>
      <c r="GT7" s="31">
        <v>935</v>
      </c>
      <c r="GU7" s="31">
        <v>924</v>
      </c>
      <c r="GV7" s="31">
        <v>907</v>
      </c>
      <c r="GW7" s="31">
        <v>872</v>
      </c>
      <c r="GX7" s="31">
        <v>890</v>
      </c>
      <c r="GY7" s="31">
        <v>923</v>
      </c>
      <c r="GZ7" s="31">
        <v>934</v>
      </c>
      <c r="HA7" s="31">
        <v>922</v>
      </c>
      <c r="HB7" s="31">
        <v>927</v>
      </c>
      <c r="HC7" s="31">
        <v>920</v>
      </c>
      <c r="HD7" s="31">
        <v>898</v>
      </c>
      <c r="HE7" s="31">
        <v>887</v>
      </c>
      <c r="HF7" s="31">
        <v>862</v>
      </c>
      <c r="HG7" s="31">
        <v>862</v>
      </c>
      <c r="HH7" s="31">
        <v>860</v>
      </c>
      <c r="HI7" s="31">
        <v>848</v>
      </c>
      <c r="HJ7" s="31">
        <v>838</v>
      </c>
      <c r="HK7" s="31">
        <v>852</v>
      </c>
      <c r="HL7" s="31">
        <v>805</v>
      </c>
      <c r="HM7" s="31">
        <v>800</v>
      </c>
      <c r="HN7" s="31">
        <v>807</v>
      </c>
      <c r="HO7" s="31">
        <v>789</v>
      </c>
      <c r="HP7" s="31">
        <v>788</v>
      </c>
      <c r="HQ7" s="31">
        <v>792</v>
      </c>
      <c r="HR7" s="31">
        <v>785</v>
      </c>
      <c r="HS7" s="31">
        <v>794</v>
      </c>
      <c r="HT7" s="31">
        <v>823</v>
      </c>
      <c r="HU7" s="31">
        <v>830</v>
      </c>
      <c r="HV7" s="31">
        <v>882</v>
      </c>
      <c r="HW7" s="31">
        <v>901</v>
      </c>
      <c r="HX7" s="31">
        <v>940</v>
      </c>
      <c r="HY7" s="31">
        <v>958</v>
      </c>
      <c r="HZ7" s="31">
        <v>936</v>
      </c>
      <c r="IA7" s="31">
        <v>1006</v>
      </c>
      <c r="IB7" s="31">
        <v>1019</v>
      </c>
      <c r="IC7" s="31">
        <v>1003</v>
      </c>
      <c r="ID7" s="31">
        <v>1003</v>
      </c>
      <c r="IE7" s="31">
        <v>959</v>
      </c>
      <c r="IF7" s="31">
        <v>965</v>
      </c>
      <c r="IG7" s="31">
        <v>950</v>
      </c>
      <c r="IH7" s="31">
        <v>950</v>
      </c>
      <c r="II7" s="31">
        <v>886</v>
      </c>
      <c r="IJ7" s="31">
        <v>855</v>
      </c>
      <c r="IK7" s="31">
        <v>830</v>
      </c>
      <c r="IL7" s="31">
        <v>853</v>
      </c>
      <c r="IM7" s="31">
        <v>831</v>
      </c>
      <c r="IN7" s="31">
        <v>805</v>
      </c>
      <c r="IO7" s="31">
        <v>790</v>
      </c>
      <c r="IP7" s="31">
        <v>790</v>
      </c>
      <c r="IQ7" s="31">
        <v>827</v>
      </c>
      <c r="IR7" s="31">
        <v>822</v>
      </c>
      <c r="IS7" s="31">
        <v>790</v>
      </c>
      <c r="IT7" s="31">
        <v>790</v>
      </c>
      <c r="IU7" s="31">
        <v>790</v>
      </c>
      <c r="IV7" s="31">
        <v>743</v>
      </c>
      <c r="IW7" s="31">
        <v>770</v>
      </c>
      <c r="IX7" s="31">
        <v>740</v>
      </c>
      <c r="IY7" s="31">
        <v>755</v>
      </c>
      <c r="IZ7" s="31">
        <v>755</v>
      </c>
      <c r="JA7" s="31">
        <v>750</v>
      </c>
      <c r="JB7" s="31">
        <v>730</v>
      </c>
      <c r="JC7" s="31">
        <v>775</v>
      </c>
      <c r="JD7" s="31">
        <v>775</v>
      </c>
      <c r="JE7" s="31">
        <v>775</v>
      </c>
      <c r="JF7" s="31">
        <v>759</v>
      </c>
      <c r="JG7" s="31">
        <v>754</v>
      </c>
      <c r="JH7" s="31">
        <v>743</v>
      </c>
      <c r="JI7" s="31">
        <v>717</v>
      </c>
      <c r="JJ7" s="31">
        <v>687</v>
      </c>
      <c r="JK7" s="31">
        <v>690</v>
      </c>
      <c r="JL7" s="31">
        <v>688</v>
      </c>
      <c r="JM7" s="31">
        <v>660</v>
      </c>
      <c r="JN7" s="31">
        <v>680</v>
      </c>
      <c r="JO7" s="31">
        <v>651</v>
      </c>
      <c r="JP7" s="31">
        <v>657</v>
      </c>
      <c r="JQ7" s="31">
        <v>631</v>
      </c>
      <c r="JR7" s="31">
        <v>631</v>
      </c>
      <c r="JS7" s="31">
        <v>623</v>
      </c>
      <c r="JT7" s="31">
        <v>670</v>
      </c>
      <c r="JU7" s="31">
        <v>697</v>
      </c>
      <c r="JV7" s="31">
        <v>705</v>
      </c>
      <c r="JW7" s="31">
        <v>734</v>
      </c>
      <c r="JX7" s="31">
        <v>735</v>
      </c>
      <c r="JY7" s="31">
        <v>752</v>
      </c>
      <c r="JZ7" s="31">
        <v>778</v>
      </c>
      <c r="KA7" s="31">
        <v>840</v>
      </c>
      <c r="KB7" s="31">
        <v>905</v>
      </c>
      <c r="KC7" s="31">
        <v>1024</v>
      </c>
      <c r="KD7" s="31">
        <v>1180</v>
      </c>
      <c r="KE7" s="31">
        <v>1325</v>
      </c>
      <c r="KF7" s="31">
        <v>1400</v>
      </c>
      <c r="KG7" s="31">
        <v>1810</v>
      </c>
      <c r="KH7" s="31">
        <v>1810</v>
      </c>
      <c r="KI7" s="31">
        <v>1508</v>
      </c>
      <c r="KJ7" s="31">
        <v>1505</v>
      </c>
      <c r="KK7" s="31">
        <v>1749</v>
      </c>
      <c r="KL7" s="31">
        <v>1729</v>
      </c>
      <c r="KM7" s="31">
        <v>1650</v>
      </c>
      <c r="KN7" s="31">
        <v>1420</v>
      </c>
      <c r="KO7" s="31">
        <v>1322</v>
      </c>
    </row>
    <row r="8" spans="1:304 16384:16384" x14ac:dyDescent="0.25">
      <c r="A8" s="182"/>
      <c r="B8" s="29">
        <v>7</v>
      </c>
      <c r="C8" s="91" t="s">
        <v>87</v>
      </c>
      <c r="D8">
        <v>381</v>
      </c>
      <c r="E8">
        <v>380</v>
      </c>
      <c r="F8">
        <v>384</v>
      </c>
      <c r="G8">
        <v>396</v>
      </c>
      <c r="H8">
        <v>372</v>
      </c>
      <c r="I8">
        <v>344</v>
      </c>
      <c r="J8">
        <v>384</v>
      </c>
      <c r="K8">
        <v>370</v>
      </c>
      <c r="L8">
        <v>366</v>
      </c>
      <c r="M8">
        <v>400</v>
      </c>
      <c r="N8">
        <v>382</v>
      </c>
      <c r="O8">
        <v>379</v>
      </c>
      <c r="P8">
        <v>336</v>
      </c>
      <c r="Q8">
        <v>355</v>
      </c>
      <c r="R8">
        <v>368</v>
      </c>
      <c r="S8">
        <v>368</v>
      </c>
      <c r="T8">
        <v>395</v>
      </c>
      <c r="U8">
        <v>407</v>
      </c>
      <c r="V8">
        <v>437</v>
      </c>
      <c r="W8">
        <v>452</v>
      </c>
      <c r="X8">
        <v>439</v>
      </c>
      <c r="Y8" s="30">
        <v>495</v>
      </c>
      <c r="Z8" s="30">
        <v>506</v>
      </c>
      <c r="AA8" s="30">
        <v>506</v>
      </c>
      <c r="AB8" s="30">
        <v>505</v>
      </c>
      <c r="AC8" s="30">
        <v>533</v>
      </c>
      <c r="AD8" s="30">
        <v>536</v>
      </c>
      <c r="AE8" s="30">
        <v>572</v>
      </c>
      <c r="AF8" s="30">
        <v>596</v>
      </c>
      <c r="AG8" s="30">
        <v>598</v>
      </c>
      <c r="AH8" s="30">
        <v>604</v>
      </c>
      <c r="AI8" s="30">
        <v>558</v>
      </c>
      <c r="AJ8" s="30">
        <v>538</v>
      </c>
      <c r="AK8" s="30">
        <v>551</v>
      </c>
      <c r="AL8" s="30">
        <v>544</v>
      </c>
      <c r="AM8" s="30">
        <v>564</v>
      </c>
      <c r="AN8" s="30">
        <v>552</v>
      </c>
      <c r="AO8" s="30">
        <v>587</v>
      </c>
      <c r="AP8" s="31">
        <v>600</v>
      </c>
      <c r="AQ8" s="31">
        <v>589</v>
      </c>
      <c r="AR8" s="31">
        <v>575</v>
      </c>
      <c r="AS8" s="31">
        <v>604</v>
      </c>
      <c r="AT8" s="31">
        <v>617</v>
      </c>
      <c r="AU8" s="31">
        <v>624</v>
      </c>
      <c r="AV8" s="31">
        <v>627</v>
      </c>
      <c r="AW8" s="31">
        <v>658</v>
      </c>
      <c r="AX8" s="31">
        <v>675</v>
      </c>
      <c r="AY8" s="31">
        <v>664</v>
      </c>
      <c r="AZ8" s="31">
        <v>675</v>
      </c>
      <c r="BA8" s="31">
        <v>670</v>
      </c>
      <c r="BB8" s="31">
        <v>690</v>
      </c>
      <c r="BC8" s="31">
        <v>666</v>
      </c>
      <c r="BD8" s="31">
        <v>660</v>
      </c>
      <c r="BE8" s="31">
        <v>599</v>
      </c>
      <c r="BF8" s="31">
        <v>642</v>
      </c>
      <c r="BG8" s="31">
        <v>659</v>
      </c>
      <c r="BH8" s="31">
        <v>660</v>
      </c>
      <c r="BI8" s="31">
        <v>687</v>
      </c>
      <c r="BJ8" s="31">
        <v>695</v>
      </c>
      <c r="BK8" s="31">
        <v>718</v>
      </c>
      <c r="BL8" s="31">
        <v>744</v>
      </c>
      <c r="BM8" s="31">
        <v>761</v>
      </c>
      <c r="BN8" s="31">
        <v>770</v>
      </c>
      <c r="BO8" s="31">
        <v>768</v>
      </c>
      <c r="BP8" s="31">
        <v>751</v>
      </c>
      <c r="BQ8" s="31">
        <v>751</v>
      </c>
      <c r="BR8" s="31">
        <v>722</v>
      </c>
      <c r="BS8" s="31">
        <v>737</v>
      </c>
      <c r="BT8" s="31">
        <v>652</v>
      </c>
      <c r="BU8" s="31">
        <v>701</v>
      </c>
      <c r="BV8" s="31">
        <v>711</v>
      </c>
      <c r="BW8" s="31">
        <v>711</v>
      </c>
      <c r="BX8" s="31">
        <v>741</v>
      </c>
      <c r="BY8" s="31">
        <v>770</v>
      </c>
      <c r="BZ8" s="31">
        <v>800</v>
      </c>
      <c r="CA8" s="31">
        <v>811</v>
      </c>
      <c r="CB8" s="30">
        <v>833</v>
      </c>
      <c r="CC8" s="31">
        <v>862</v>
      </c>
      <c r="CD8" s="31">
        <v>846</v>
      </c>
      <c r="CE8" s="31">
        <v>932</v>
      </c>
      <c r="CF8" s="31">
        <v>1045</v>
      </c>
      <c r="CG8" s="31">
        <v>1034</v>
      </c>
      <c r="CH8" s="31">
        <v>963</v>
      </c>
      <c r="CI8" s="31">
        <v>988</v>
      </c>
      <c r="CJ8" s="31">
        <v>953</v>
      </c>
      <c r="CK8" s="31">
        <v>862</v>
      </c>
      <c r="CL8" s="31">
        <v>934</v>
      </c>
      <c r="CM8" s="31">
        <v>930</v>
      </c>
      <c r="CN8" s="31">
        <v>915</v>
      </c>
      <c r="CO8" s="31">
        <v>899</v>
      </c>
      <c r="CP8" s="31">
        <v>911</v>
      </c>
      <c r="CQ8" s="31">
        <v>886</v>
      </c>
      <c r="CR8" s="31">
        <v>870</v>
      </c>
      <c r="CS8" s="31">
        <v>841</v>
      </c>
      <c r="CT8" s="31">
        <v>812</v>
      </c>
      <c r="CU8" s="31">
        <v>778</v>
      </c>
      <c r="CV8" s="31">
        <v>798</v>
      </c>
      <c r="CW8" s="31">
        <v>792</v>
      </c>
      <c r="CX8" s="31">
        <v>805</v>
      </c>
      <c r="CY8" s="31">
        <v>742</v>
      </c>
      <c r="CZ8" s="31">
        <v>742</v>
      </c>
      <c r="DA8" s="31">
        <v>730</v>
      </c>
      <c r="DB8" s="31">
        <v>668</v>
      </c>
      <c r="DC8" s="31">
        <v>665</v>
      </c>
      <c r="DD8" s="31">
        <v>674</v>
      </c>
      <c r="DE8" s="39">
        <v>647</v>
      </c>
      <c r="DF8" s="39">
        <v>628</v>
      </c>
      <c r="DG8" s="39">
        <v>610</v>
      </c>
      <c r="DH8" s="39">
        <v>648</v>
      </c>
      <c r="DI8" s="39">
        <v>635</v>
      </c>
      <c r="DJ8" s="39">
        <v>639</v>
      </c>
      <c r="DK8" s="39">
        <v>695</v>
      </c>
      <c r="DL8" s="39">
        <v>664</v>
      </c>
      <c r="DM8" s="39">
        <v>649</v>
      </c>
      <c r="DN8" s="39">
        <v>678</v>
      </c>
      <c r="DO8" s="39">
        <v>689</v>
      </c>
      <c r="DP8" s="39">
        <v>675</v>
      </c>
      <c r="DQ8" s="31">
        <v>680</v>
      </c>
      <c r="DR8" s="39">
        <v>647</v>
      </c>
      <c r="DS8" s="39">
        <v>645</v>
      </c>
      <c r="DT8" s="39">
        <v>580</v>
      </c>
      <c r="DU8" s="39">
        <v>586</v>
      </c>
      <c r="DV8" s="39">
        <v>591</v>
      </c>
      <c r="DW8" s="39">
        <v>611</v>
      </c>
      <c r="DX8" s="39">
        <v>680</v>
      </c>
      <c r="DY8" s="39">
        <v>719</v>
      </c>
      <c r="DZ8" s="39">
        <v>729</v>
      </c>
      <c r="EA8" s="39">
        <v>726</v>
      </c>
      <c r="EB8" s="39">
        <v>699</v>
      </c>
      <c r="EC8" s="39">
        <v>723</v>
      </c>
      <c r="ED8" s="39">
        <v>716</v>
      </c>
      <c r="EE8" s="39">
        <v>730</v>
      </c>
      <c r="EF8" s="39">
        <v>701</v>
      </c>
      <c r="EG8" s="39">
        <v>601</v>
      </c>
      <c r="EH8" s="39">
        <v>648</v>
      </c>
      <c r="EI8" s="31">
        <v>683</v>
      </c>
      <c r="EJ8" s="31">
        <v>699</v>
      </c>
      <c r="EK8" s="31">
        <v>704</v>
      </c>
      <c r="EL8" s="31">
        <v>663</v>
      </c>
      <c r="EM8" s="31">
        <v>649</v>
      </c>
      <c r="EN8" s="31">
        <v>561</v>
      </c>
      <c r="EO8" s="31">
        <v>582</v>
      </c>
      <c r="EP8" s="31">
        <v>588</v>
      </c>
      <c r="EQ8" s="31">
        <v>621</v>
      </c>
      <c r="ER8" s="31">
        <v>582</v>
      </c>
      <c r="ES8" s="31">
        <v>590</v>
      </c>
      <c r="ET8" s="31">
        <v>538</v>
      </c>
      <c r="EU8" s="31">
        <v>550</v>
      </c>
      <c r="EV8" s="31">
        <v>517</v>
      </c>
      <c r="EW8" s="31">
        <v>520</v>
      </c>
      <c r="EX8" s="31">
        <v>580</v>
      </c>
      <c r="EY8" s="30">
        <v>586</v>
      </c>
      <c r="EZ8" s="30">
        <v>612</v>
      </c>
      <c r="FA8" s="31">
        <v>619</v>
      </c>
      <c r="FB8" s="31">
        <v>662</v>
      </c>
      <c r="FC8" s="31">
        <v>647</v>
      </c>
      <c r="FD8" s="31">
        <v>648</v>
      </c>
      <c r="FE8" s="31">
        <v>647</v>
      </c>
      <c r="FF8" s="31">
        <v>679</v>
      </c>
      <c r="FG8" s="31">
        <v>714</v>
      </c>
      <c r="FH8" s="31">
        <v>714</v>
      </c>
      <c r="FI8" s="30">
        <v>703</v>
      </c>
      <c r="FJ8" s="31">
        <v>646</v>
      </c>
      <c r="FK8" s="30">
        <v>633</v>
      </c>
      <c r="FL8" s="30">
        <v>655</v>
      </c>
      <c r="FM8" s="31">
        <v>641</v>
      </c>
      <c r="FN8" s="31">
        <v>634</v>
      </c>
      <c r="FO8" s="30">
        <v>613</v>
      </c>
      <c r="FP8" s="30">
        <v>630</v>
      </c>
      <c r="FQ8" s="30">
        <v>617</v>
      </c>
      <c r="FR8" s="30">
        <v>640</v>
      </c>
      <c r="FS8" s="30">
        <v>614</v>
      </c>
      <c r="FT8" s="31">
        <v>615</v>
      </c>
      <c r="FU8" s="31">
        <v>655</v>
      </c>
      <c r="FV8" s="31">
        <v>638</v>
      </c>
      <c r="FW8" s="31">
        <v>633</v>
      </c>
      <c r="FX8" s="31">
        <v>626</v>
      </c>
      <c r="FY8" s="31">
        <v>642</v>
      </c>
      <c r="FZ8" s="30">
        <v>656</v>
      </c>
      <c r="GA8" s="30">
        <v>647</v>
      </c>
      <c r="GB8" s="31">
        <v>647</v>
      </c>
      <c r="GC8" s="31">
        <v>659</v>
      </c>
      <c r="GD8" s="30">
        <v>677</v>
      </c>
      <c r="GE8" s="31">
        <v>697</v>
      </c>
      <c r="GF8" s="30">
        <v>714</v>
      </c>
      <c r="GG8" s="30">
        <v>714</v>
      </c>
      <c r="GH8" s="31">
        <v>703</v>
      </c>
      <c r="GI8" s="31">
        <v>692</v>
      </c>
      <c r="GJ8" s="31">
        <v>680</v>
      </c>
      <c r="GK8" s="31">
        <v>692</v>
      </c>
      <c r="GL8" s="31">
        <v>687</v>
      </c>
      <c r="GM8" s="31">
        <v>685</v>
      </c>
      <c r="GN8" s="31">
        <v>670</v>
      </c>
      <c r="GO8" s="31">
        <v>642</v>
      </c>
      <c r="GP8" s="31">
        <v>658</v>
      </c>
      <c r="GQ8" s="31">
        <v>665</v>
      </c>
      <c r="GR8" s="31">
        <v>614</v>
      </c>
      <c r="GS8" s="31">
        <v>656</v>
      </c>
      <c r="GT8" s="31">
        <v>682</v>
      </c>
      <c r="GU8" s="31">
        <v>690</v>
      </c>
      <c r="GV8" s="31">
        <v>702</v>
      </c>
      <c r="GW8" s="31">
        <v>688</v>
      </c>
      <c r="GX8" s="31">
        <v>695</v>
      </c>
      <c r="GY8" s="31">
        <v>674</v>
      </c>
      <c r="GZ8" s="31">
        <v>649</v>
      </c>
      <c r="HA8" s="31">
        <v>666</v>
      </c>
      <c r="HB8" s="31">
        <v>668</v>
      </c>
      <c r="HC8" s="31">
        <v>653</v>
      </c>
      <c r="HD8" s="31">
        <v>651</v>
      </c>
      <c r="HE8" s="31">
        <v>633</v>
      </c>
      <c r="HF8" s="31">
        <v>590</v>
      </c>
      <c r="HG8" s="31">
        <v>640</v>
      </c>
      <c r="HH8" s="31">
        <v>638</v>
      </c>
      <c r="HI8" s="31">
        <v>638</v>
      </c>
      <c r="HJ8" s="31">
        <v>657</v>
      </c>
      <c r="HK8" s="31">
        <v>636</v>
      </c>
      <c r="HL8" s="31">
        <v>643</v>
      </c>
      <c r="HM8" s="31">
        <v>639</v>
      </c>
      <c r="HN8" s="31">
        <v>654</v>
      </c>
      <c r="HO8" s="31">
        <v>621</v>
      </c>
      <c r="HP8" s="31">
        <v>619</v>
      </c>
      <c r="HQ8" s="31">
        <v>600</v>
      </c>
      <c r="HR8" s="31">
        <v>591</v>
      </c>
      <c r="HS8" s="31">
        <v>608</v>
      </c>
      <c r="HT8" s="31">
        <v>624</v>
      </c>
      <c r="HU8" s="31">
        <v>636</v>
      </c>
      <c r="HV8" s="31">
        <v>666</v>
      </c>
      <c r="HW8" s="31">
        <v>654</v>
      </c>
      <c r="HX8" s="31">
        <v>642</v>
      </c>
      <c r="HY8" s="31">
        <v>646</v>
      </c>
      <c r="HZ8" s="31">
        <v>662</v>
      </c>
      <c r="IA8" s="31">
        <v>665</v>
      </c>
      <c r="IB8" s="31">
        <v>650</v>
      </c>
      <c r="IC8" s="31">
        <v>595</v>
      </c>
      <c r="ID8" s="31">
        <v>610</v>
      </c>
      <c r="IE8" s="31">
        <v>609</v>
      </c>
      <c r="IF8" s="31">
        <v>619</v>
      </c>
      <c r="IG8" s="31">
        <v>613</v>
      </c>
      <c r="IH8" s="31">
        <v>492.5</v>
      </c>
      <c r="II8" s="31">
        <v>543</v>
      </c>
      <c r="IJ8" s="31">
        <v>548</v>
      </c>
      <c r="IK8" s="31">
        <v>552</v>
      </c>
      <c r="IL8" s="31">
        <v>534</v>
      </c>
      <c r="IM8" s="31">
        <v>568</v>
      </c>
      <c r="IN8" s="31">
        <v>546</v>
      </c>
      <c r="IO8" s="31">
        <v>539</v>
      </c>
      <c r="IP8" s="31">
        <v>525</v>
      </c>
      <c r="IQ8" s="31">
        <v>557</v>
      </c>
      <c r="IR8" s="31">
        <v>595</v>
      </c>
      <c r="IS8" s="31">
        <v>540</v>
      </c>
      <c r="IT8" s="31">
        <v>539.5</v>
      </c>
      <c r="IU8" s="31">
        <v>562</v>
      </c>
      <c r="IV8" s="31">
        <v>548.25</v>
      </c>
      <c r="IW8" s="31">
        <v>539</v>
      </c>
      <c r="IX8" s="31">
        <v>591</v>
      </c>
      <c r="IY8" s="31">
        <v>563.25</v>
      </c>
      <c r="IZ8" s="31">
        <v>545.25</v>
      </c>
      <c r="JA8" s="31">
        <v>551</v>
      </c>
      <c r="JB8" s="31">
        <v>566.25</v>
      </c>
      <c r="JC8" s="31">
        <v>562</v>
      </c>
      <c r="JD8" s="31">
        <v>563</v>
      </c>
      <c r="JE8" s="31">
        <v>568</v>
      </c>
      <c r="JF8" s="31">
        <v>570</v>
      </c>
      <c r="JG8" s="31">
        <v>534</v>
      </c>
      <c r="JH8" s="31">
        <v>548</v>
      </c>
      <c r="JI8" s="31">
        <v>507</v>
      </c>
      <c r="JJ8" s="31">
        <v>517.75</v>
      </c>
      <c r="JK8" s="31">
        <v>539</v>
      </c>
      <c r="JL8" s="31">
        <v>543</v>
      </c>
      <c r="JM8" s="31">
        <v>547</v>
      </c>
      <c r="JN8" s="31">
        <v>526.5</v>
      </c>
      <c r="JO8" s="31">
        <v>510</v>
      </c>
      <c r="JP8" s="31">
        <v>516</v>
      </c>
      <c r="JQ8" s="31">
        <v>516</v>
      </c>
      <c r="JR8" s="31">
        <v>492</v>
      </c>
      <c r="JS8" s="31">
        <v>507</v>
      </c>
      <c r="JT8" s="31">
        <v>489</v>
      </c>
      <c r="JU8" s="31">
        <v>536</v>
      </c>
      <c r="JV8" s="31">
        <v>531</v>
      </c>
      <c r="JW8" s="31">
        <v>548</v>
      </c>
      <c r="JX8" s="31">
        <v>558</v>
      </c>
      <c r="JY8" s="31">
        <v>575</v>
      </c>
      <c r="JZ8" s="31">
        <v>558</v>
      </c>
      <c r="KA8" s="31">
        <v>575</v>
      </c>
      <c r="KB8" s="31">
        <v>671</v>
      </c>
      <c r="KC8" s="31">
        <v>768</v>
      </c>
      <c r="KD8" s="31">
        <v>951</v>
      </c>
      <c r="KE8" s="31">
        <v>895</v>
      </c>
      <c r="KF8" s="31">
        <v>938</v>
      </c>
      <c r="KG8" s="31">
        <v>895</v>
      </c>
      <c r="KH8" s="31">
        <v>889</v>
      </c>
      <c r="KI8" s="31">
        <v>934</v>
      </c>
      <c r="KJ8" s="31">
        <v>981.75</v>
      </c>
      <c r="KK8" s="31">
        <v>885</v>
      </c>
      <c r="KL8" s="31">
        <v>930</v>
      </c>
      <c r="KM8" s="31">
        <v>870</v>
      </c>
      <c r="KN8" s="31">
        <v>751.75</v>
      </c>
      <c r="KO8" s="31">
        <v>750</v>
      </c>
    </row>
    <row r="9" spans="1:304 16384:16384" x14ac:dyDescent="0.25">
      <c r="A9" s="182"/>
      <c r="B9" s="29">
        <v>8</v>
      </c>
      <c r="C9" s="132" t="s">
        <v>230</v>
      </c>
      <c r="D9" t="s">
        <v>229</v>
      </c>
      <c r="E9" t="s">
        <v>228</v>
      </c>
      <c r="F9" t="s">
        <v>227</v>
      </c>
      <c r="G9" t="s">
        <v>226</v>
      </c>
      <c r="H9" t="s">
        <v>225</v>
      </c>
      <c r="I9" t="s">
        <v>224</v>
      </c>
      <c r="J9" t="s">
        <v>223</v>
      </c>
      <c r="K9" t="s">
        <v>222</v>
      </c>
      <c r="L9" t="s">
        <v>221</v>
      </c>
      <c r="M9" t="s">
        <v>220</v>
      </c>
      <c r="N9" t="s">
        <v>219</v>
      </c>
      <c r="O9" t="s">
        <v>218</v>
      </c>
      <c r="P9" t="s">
        <v>217</v>
      </c>
      <c r="Q9" t="s">
        <v>216</v>
      </c>
      <c r="R9" t="s">
        <v>215</v>
      </c>
      <c r="S9" t="s">
        <v>214</v>
      </c>
      <c r="T9" t="s">
        <v>213</v>
      </c>
      <c r="U9" t="s">
        <v>212</v>
      </c>
      <c r="V9" t="s">
        <v>211</v>
      </c>
      <c r="W9" t="s">
        <v>210</v>
      </c>
      <c r="X9" t="s">
        <v>209</v>
      </c>
      <c r="Y9" s="30" t="s">
        <v>208</v>
      </c>
      <c r="Z9" s="30" t="s">
        <v>207</v>
      </c>
      <c r="AA9" s="30" t="s">
        <v>206</v>
      </c>
      <c r="AB9" s="30" t="s">
        <v>205</v>
      </c>
      <c r="AC9" s="30" t="s">
        <v>204</v>
      </c>
      <c r="AD9" s="30" t="s">
        <v>203</v>
      </c>
      <c r="AE9" s="30" t="s">
        <v>202</v>
      </c>
      <c r="AF9" s="30" t="s">
        <v>201</v>
      </c>
      <c r="AG9" s="30" t="s">
        <v>200</v>
      </c>
      <c r="AH9" s="30" t="s">
        <v>199</v>
      </c>
      <c r="AI9" s="30" t="s">
        <v>198</v>
      </c>
      <c r="AJ9" s="30" t="s">
        <v>197</v>
      </c>
      <c r="AK9" s="31" t="s">
        <v>196</v>
      </c>
      <c r="AL9" s="31" t="s">
        <v>195</v>
      </c>
      <c r="AM9" s="31" t="s">
        <v>194</v>
      </c>
      <c r="AN9" s="31" t="s">
        <v>193</v>
      </c>
      <c r="AO9" s="31" t="s">
        <v>192</v>
      </c>
      <c r="AP9" s="31" t="s">
        <v>191</v>
      </c>
      <c r="AQ9" s="31" t="s">
        <v>190</v>
      </c>
      <c r="AR9" s="31" t="s">
        <v>189</v>
      </c>
      <c r="AS9" s="31" t="s">
        <v>188</v>
      </c>
      <c r="AT9" s="31" t="s">
        <v>187</v>
      </c>
      <c r="AU9" s="31" t="s">
        <v>186</v>
      </c>
      <c r="AV9" s="31" t="s">
        <v>185</v>
      </c>
      <c r="AW9" s="31" t="s">
        <v>184</v>
      </c>
      <c r="AX9" s="31" t="s">
        <v>183</v>
      </c>
      <c r="AY9" s="31" t="s">
        <v>182</v>
      </c>
      <c r="AZ9" s="31" t="s">
        <v>181</v>
      </c>
      <c r="BA9" s="31" t="s">
        <v>180</v>
      </c>
      <c r="BB9" s="31" t="s">
        <v>179</v>
      </c>
      <c r="BC9" s="31" t="s">
        <v>178</v>
      </c>
      <c r="BD9" s="31" t="s">
        <v>25</v>
      </c>
      <c r="BE9" s="31" t="s">
        <v>177</v>
      </c>
      <c r="BF9" s="31" t="s">
        <v>152</v>
      </c>
      <c r="BG9" s="31" t="s">
        <v>176</v>
      </c>
      <c r="BH9" s="31" t="s">
        <v>175</v>
      </c>
      <c r="BI9" s="31" t="s">
        <v>174</v>
      </c>
      <c r="BJ9" s="31" t="s">
        <v>173</v>
      </c>
      <c r="BK9" s="31" t="s">
        <v>172</v>
      </c>
      <c r="BL9" s="31" t="s">
        <v>171</v>
      </c>
      <c r="BM9" s="31" t="s">
        <v>170</v>
      </c>
      <c r="BN9" s="31" t="s">
        <v>169</v>
      </c>
      <c r="BO9" s="31" t="s">
        <v>168</v>
      </c>
      <c r="BP9" s="31" t="s">
        <v>167</v>
      </c>
      <c r="BQ9" s="31" t="s">
        <v>166</v>
      </c>
      <c r="BR9" s="31" t="s">
        <v>165</v>
      </c>
      <c r="BS9" s="31" t="s">
        <v>164</v>
      </c>
      <c r="BT9" s="31" t="s">
        <v>163</v>
      </c>
      <c r="BU9" s="31" t="s">
        <v>162</v>
      </c>
      <c r="BV9" s="31" t="s">
        <v>161</v>
      </c>
      <c r="BW9" s="31" t="s">
        <v>160</v>
      </c>
      <c r="BX9" s="31" t="s">
        <v>159</v>
      </c>
      <c r="BY9" s="31" t="s">
        <v>158</v>
      </c>
      <c r="BZ9" s="31" t="s">
        <v>157</v>
      </c>
      <c r="CA9" s="31" t="s">
        <v>156</v>
      </c>
      <c r="CB9" s="30" t="s">
        <v>155</v>
      </c>
      <c r="CC9" s="31" t="s">
        <v>285</v>
      </c>
      <c r="CD9" s="31" t="s">
        <v>287</v>
      </c>
      <c r="CE9" s="30" t="s">
        <v>289</v>
      </c>
      <c r="CF9" s="31" t="s">
        <v>296</v>
      </c>
      <c r="CG9" s="31" t="s">
        <v>299</v>
      </c>
      <c r="CH9" s="31" t="s">
        <v>301</v>
      </c>
      <c r="CI9" s="31" t="s">
        <v>308</v>
      </c>
      <c r="CJ9" s="31" t="s">
        <v>310</v>
      </c>
      <c r="CK9" s="31" t="s">
        <v>312</v>
      </c>
      <c r="CL9" s="31" t="s">
        <v>314</v>
      </c>
      <c r="CM9" s="31" t="s">
        <v>320</v>
      </c>
      <c r="CN9" s="31" t="s">
        <v>323</v>
      </c>
      <c r="CO9" s="31" t="s">
        <v>325</v>
      </c>
      <c r="CP9" s="31" t="s">
        <v>326</v>
      </c>
      <c r="CQ9" s="31" t="s">
        <v>328</v>
      </c>
      <c r="CR9" s="31" t="s">
        <v>330</v>
      </c>
      <c r="CS9" s="31" t="s">
        <v>336</v>
      </c>
      <c r="CT9" s="31" t="s">
        <v>338</v>
      </c>
      <c r="CU9" s="31" t="s">
        <v>340</v>
      </c>
      <c r="CV9" s="31" t="s">
        <v>341</v>
      </c>
      <c r="CW9" s="31" t="s">
        <v>345</v>
      </c>
      <c r="CX9" s="31" t="s">
        <v>346</v>
      </c>
      <c r="CY9" s="31" t="s">
        <v>348</v>
      </c>
      <c r="CZ9" s="31" t="s">
        <v>350</v>
      </c>
      <c r="DA9" s="31" t="s">
        <v>351</v>
      </c>
      <c r="DB9" s="31" t="s">
        <v>354</v>
      </c>
      <c r="DC9" s="31" t="s">
        <v>355</v>
      </c>
      <c r="DD9" s="31" t="s">
        <v>427</v>
      </c>
      <c r="DE9" s="31" t="s">
        <v>428</v>
      </c>
      <c r="ED9" s="44"/>
      <c r="EK9" s="44"/>
      <c r="EL9" s="44"/>
      <c r="EN9" s="31"/>
      <c r="EO9" s="44"/>
      <c r="EP9" s="44"/>
      <c r="EQ9" s="44"/>
      <c r="ER9" s="44"/>
      <c r="EW9" s="44"/>
      <c r="EX9" s="44"/>
      <c r="EY9" s="30"/>
      <c r="EZ9" s="30"/>
      <c r="FB9" s="31"/>
      <c r="FC9" s="54"/>
      <c r="FD9" s="54"/>
      <c r="FE9" s="54"/>
      <c r="FF9" s="54"/>
      <c r="FG9" s="44"/>
      <c r="FH9" s="44"/>
      <c r="FI9" s="30"/>
      <c r="FK9" s="30"/>
      <c r="FL9" s="30"/>
      <c r="FO9" s="30"/>
      <c r="FP9" s="30"/>
      <c r="FU9" s="44"/>
      <c r="FV9" s="44"/>
      <c r="FW9" s="44"/>
      <c r="FX9" s="31"/>
      <c r="FZ9" s="44"/>
      <c r="GA9" s="30"/>
      <c r="GC9" s="31"/>
      <c r="GD9" s="44"/>
      <c r="GE9" s="44"/>
      <c r="GF9" s="44"/>
      <c r="GG9" s="44"/>
      <c r="GI9" s="31"/>
      <c r="GJ9" s="54"/>
      <c r="GK9" s="44"/>
    </row>
    <row r="10" spans="1:304 16384:16384" x14ac:dyDescent="0.25">
      <c r="A10" s="182"/>
      <c r="B10" s="29">
        <v>9</v>
      </c>
      <c r="C10" s="91" t="s">
        <v>394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7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31">
        <v>1276</v>
      </c>
      <c r="BZ10" s="31">
        <v>1324</v>
      </c>
      <c r="CA10" s="44">
        <v>1275</v>
      </c>
      <c r="CB10" s="31">
        <v>1355</v>
      </c>
      <c r="CC10" s="31">
        <v>1323</v>
      </c>
      <c r="CD10" s="31">
        <v>1311</v>
      </c>
      <c r="CE10" s="31">
        <v>1298</v>
      </c>
      <c r="CF10" s="31">
        <v>1378</v>
      </c>
      <c r="CG10" s="31">
        <v>1411</v>
      </c>
      <c r="CH10" s="31">
        <v>1483</v>
      </c>
      <c r="CI10" s="31">
        <v>1513</v>
      </c>
      <c r="CJ10" s="31">
        <v>1642</v>
      </c>
      <c r="CK10" s="31">
        <v>1615</v>
      </c>
      <c r="CL10" s="31">
        <v>1591</v>
      </c>
      <c r="CM10" s="31">
        <v>1581</v>
      </c>
      <c r="CN10" s="31">
        <v>1524</v>
      </c>
      <c r="CO10" s="31">
        <v>1481</v>
      </c>
      <c r="CP10" s="31">
        <v>1482</v>
      </c>
      <c r="CQ10" s="31">
        <v>1297</v>
      </c>
      <c r="CR10" s="31">
        <v>1336</v>
      </c>
      <c r="CS10" s="31">
        <v>1376</v>
      </c>
      <c r="CT10" s="31">
        <v>1378</v>
      </c>
      <c r="CU10" s="31">
        <v>1404</v>
      </c>
      <c r="CV10" s="31">
        <v>1299</v>
      </c>
      <c r="CW10" s="31">
        <v>1169</v>
      </c>
      <c r="CX10" s="31">
        <v>1079</v>
      </c>
      <c r="CY10" s="31">
        <v>962</v>
      </c>
      <c r="CZ10" s="31">
        <v>962</v>
      </c>
      <c r="DA10" s="31">
        <v>865</v>
      </c>
      <c r="DB10" s="31">
        <v>740</v>
      </c>
      <c r="DC10" s="31">
        <v>684</v>
      </c>
      <c r="DD10" s="31">
        <v>566</v>
      </c>
      <c r="DE10" s="31">
        <v>510</v>
      </c>
      <c r="DF10" s="31">
        <v>492</v>
      </c>
      <c r="DG10" s="31">
        <v>490</v>
      </c>
      <c r="DH10" s="31">
        <v>484</v>
      </c>
      <c r="DI10" s="31">
        <v>490</v>
      </c>
      <c r="DJ10" s="31">
        <v>502</v>
      </c>
      <c r="DK10" s="31">
        <v>590</v>
      </c>
      <c r="DL10" s="31">
        <v>649</v>
      </c>
      <c r="DM10" s="31">
        <v>720</v>
      </c>
      <c r="DN10" s="31">
        <v>743</v>
      </c>
      <c r="DO10" s="31">
        <v>880</v>
      </c>
      <c r="DP10" s="31">
        <v>960</v>
      </c>
      <c r="DQ10" s="31">
        <v>948</v>
      </c>
      <c r="DR10" s="31">
        <v>948</v>
      </c>
      <c r="DS10" s="31">
        <v>878</v>
      </c>
      <c r="DT10" s="31">
        <v>819</v>
      </c>
      <c r="DU10" s="31">
        <v>878</v>
      </c>
      <c r="DV10" s="31">
        <v>842</v>
      </c>
      <c r="DW10" s="31">
        <v>860</v>
      </c>
      <c r="DX10" s="31">
        <v>866</v>
      </c>
      <c r="DY10" s="31">
        <v>909</v>
      </c>
      <c r="DZ10" s="31">
        <v>903</v>
      </c>
      <c r="EA10" s="31">
        <v>953</v>
      </c>
      <c r="EB10" s="31">
        <v>924</v>
      </c>
      <c r="EC10" s="31">
        <v>904</v>
      </c>
      <c r="ED10" s="31">
        <v>933</v>
      </c>
      <c r="EE10" s="31">
        <v>960</v>
      </c>
      <c r="EF10" s="31">
        <v>954</v>
      </c>
      <c r="EG10" s="31">
        <v>948</v>
      </c>
      <c r="EH10" s="31">
        <v>960</v>
      </c>
      <c r="EI10" s="31">
        <v>910</v>
      </c>
      <c r="EJ10" s="31">
        <v>877</v>
      </c>
      <c r="EK10" s="31">
        <v>927</v>
      </c>
      <c r="EL10" s="31">
        <v>933</v>
      </c>
      <c r="EM10" s="31">
        <v>927</v>
      </c>
      <c r="EN10" s="31">
        <v>864</v>
      </c>
      <c r="EO10" s="31">
        <v>706</v>
      </c>
      <c r="EP10" s="31">
        <v>757</v>
      </c>
      <c r="EQ10" s="31">
        <v>718</v>
      </c>
      <c r="ER10" s="31">
        <v>706</v>
      </c>
      <c r="ES10" s="31">
        <v>662</v>
      </c>
      <c r="ET10" s="31">
        <v>614</v>
      </c>
      <c r="EU10" s="31">
        <v>630</v>
      </c>
      <c r="EV10" s="31">
        <v>557</v>
      </c>
      <c r="EW10" s="31">
        <v>500</v>
      </c>
      <c r="EX10" s="31">
        <v>499</v>
      </c>
      <c r="EY10" s="30">
        <v>550</v>
      </c>
      <c r="EZ10" s="30">
        <v>504</v>
      </c>
      <c r="FA10" s="31">
        <v>650</v>
      </c>
      <c r="FB10" s="31">
        <v>650</v>
      </c>
      <c r="FC10" s="31">
        <v>653</v>
      </c>
      <c r="FD10" s="31">
        <v>675</v>
      </c>
      <c r="FE10" s="31">
        <v>688</v>
      </c>
      <c r="FF10" s="31">
        <v>690</v>
      </c>
      <c r="FG10" s="31">
        <v>695</v>
      </c>
      <c r="FH10" s="31">
        <v>689</v>
      </c>
      <c r="FI10" s="30">
        <v>673</v>
      </c>
      <c r="FJ10" s="31">
        <v>755</v>
      </c>
      <c r="FK10" s="30">
        <v>734</v>
      </c>
      <c r="FL10" s="30">
        <v>812</v>
      </c>
      <c r="FM10" s="31">
        <v>829</v>
      </c>
      <c r="FN10" s="31">
        <v>853</v>
      </c>
      <c r="FO10" s="30">
        <v>886</v>
      </c>
      <c r="FP10" s="30">
        <v>897</v>
      </c>
      <c r="FQ10" s="31">
        <v>892</v>
      </c>
      <c r="FR10" s="31">
        <v>864</v>
      </c>
      <c r="FS10" s="31">
        <v>777</v>
      </c>
      <c r="FT10" s="31">
        <v>788</v>
      </c>
      <c r="FU10" s="31">
        <v>788</v>
      </c>
      <c r="FV10" s="31">
        <v>814</v>
      </c>
      <c r="FW10" s="31">
        <v>841</v>
      </c>
      <c r="FX10" s="31">
        <v>940</v>
      </c>
      <c r="FY10" s="31">
        <v>980</v>
      </c>
      <c r="FZ10" s="31">
        <v>987</v>
      </c>
      <c r="GA10" s="30">
        <v>980</v>
      </c>
      <c r="GB10" s="31">
        <v>980</v>
      </c>
      <c r="GC10" s="31">
        <v>985</v>
      </c>
      <c r="GD10" s="31">
        <v>1012</v>
      </c>
      <c r="GE10" s="31">
        <v>1078</v>
      </c>
      <c r="GF10" s="31">
        <v>1062</v>
      </c>
      <c r="GG10" s="31">
        <v>1067</v>
      </c>
      <c r="GH10" s="31">
        <v>1060</v>
      </c>
      <c r="GI10" s="31">
        <v>1088</v>
      </c>
      <c r="GJ10" s="31">
        <v>1060</v>
      </c>
      <c r="GK10" s="31">
        <v>1036</v>
      </c>
      <c r="GL10" s="31">
        <v>1019</v>
      </c>
      <c r="GM10" s="31">
        <v>965</v>
      </c>
      <c r="GN10" s="31">
        <v>965</v>
      </c>
      <c r="GO10" s="31">
        <v>965</v>
      </c>
      <c r="GP10" s="31">
        <v>987</v>
      </c>
      <c r="GQ10" s="31">
        <v>934</v>
      </c>
      <c r="GR10" s="31">
        <v>928</v>
      </c>
      <c r="GS10" s="31">
        <v>942</v>
      </c>
      <c r="GT10" s="31">
        <v>929</v>
      </c>
      <c r="GU10" s="31">
        <v>920</v>
      </c>
      <c r="GV10" s="31">
        <v>928</v>
      </c>
      <c r="GW10" s="31">
        <v>928</v>
      </c>
      <c r="GX10" s="31">
        <v>939</v>
      </c>
      <c r="GY10" s="31">
        <v>950</v>
      </c>
      <c r="GZ10" s="31">
        <v>982</v>
      </c>
      <c r="HA10" s="31">
        <v>968</v>
      </c>
      <c r="HB10" s="31">
        <v>968</v>
      </c>
      <c r="HC10" s="31">
        <v>945</v>
      </c>
      <c r="HD10" s="31">
        <v>955</v>
      </c>
      <c r="HE10" s="31">
        <v>903</v>
      </c>
      <c r="HF10" s="31">
        <v>887</v>
      </c>
      <c r="HG10" s="31">
        <v>876</v>
      </c>
      <c r="HH10" s="31">
        <v>876</v>
      </c>
      <c r="HI10" s="31">
        <v>882</v>
      </c>
      <c r="HJ10" s="31">
        <v>854</v>
      </c>
      <c r="HK10" s="31">
        <v>854</v>
      </c>
      <c r="HL10" s="31">
        <v>806</v>
      </c>
      <c r="HM10" s="31">
        <v>795</v>
      </c>
      <c r="HN10" s="31">
        <v>792</v>
      </c>
      <c r="HO10" s="31">
        <v>781</v>
      </c>
      <c r="HP10" s="31">
        <v>803</v>
      </c>
      <c r="HQ10" s="31">
        <v>787</v>
      </c>
      <c r="HR10" s="31">
        <v>774</v>
      </c>
      <c r="HS10" s="31">
        <v>785</v>
      </c>
      <c r="HT10" s="31">
        <v>817</v>
      </c>
      <c r="HU10" s="31">
        <v>839</v>
      </c>
      <c r="HV10" s="31">
        <v>887</v>
      </c>
      <c r="HW10" s="31">
        <v>897</v>
      </c>
      <c r="HX10" s="31">
        <v>914</v>
      </c>
      <c r="HY10" s="31">
        <v>948</v>
      </c>
      <c r="HZ10" s="31">
        <v>1003</v>
      </c>
      <c r="IA10" s="31">
        <v>1006</v>
      </c>
      <c r="IB10" s="31">
        <v>1030</v>
      </c>
      <c r="IC10" s="31">
        <v>1015</v>
      </c>
      <c r="ID10" s="31">
        <v>1015</v>
      </c>
      <c r="IE10" s="31">
        <v>965</v>
      </c>
      <c r="IF10" s="31">
        <v>999</v>
      </c>
      <c r="IG10" s="31">
        <v>950</v>
      </c>
      <c r="IH10" s="31">
        <v>930</v>
      </c>
      <c r="II10" s="31">
        <v>886</v>
      </c>
      <c r="IJ10" s="31">
        <v>860</v>
      </c>
      <c r="IK10" s="31">
        <v>840</v>
      </c>
      <c r="IL10" s="31">
        <v>842</v>
      </c>
      <c r="IM10" s="31">
        <v>822</v>
      </c>
      <c r="IN10" s="31">
        <v>805</v>
      </c>
      <c r="IO10" s="31">
        <v>790</v>
      </c>
      <c r="IP10" s="31">
        <v>782</v>
      </c>
      <c r="IQ10" s="31">
        <v>827</v>
      </c>
      <c r="IR10" s="31">
        <v>822</v>
      </c>
      <c r="IS10" s="31">
        <v>790</v>
      </c>
      <c r="IT10" s="31">
        <v>782</v>
      </c>
      <c r="IU10" s="31">
        <v>775</v>
      </c>
      <c r="IV10" s="31">
        <v>726</v>
      </c>
      <c r="IW10" s="31">
        <v>760</v>
      </c>
      <c r="IX10" s="31">
        <v>740</v>
      </c>
      <c r="IY10" s="31">
        <v>755</v>
      </c>
      <c r="IZ10" s="31">
        <v>735</v>
      </c>
      <c r="JA10" s="31">
        <v>740</v>
      </c>
      <c r="JB10" s="31">
        <v>710</v>
      </c>
      <c r="JC10" s="31">
        <v>779</v>
      </c>
      <c r="JD10" s="31">
        <v>770</v>
      </c>
      <c r="JE10" s="31">
        <v>775</v>
      </c>
      <c r="JF10" s="31">
        <v>759</v>
      </c>
      <c r="JG10" s="31">
        <v>724</v>
      </c>
      <c r="JH10" s="31">
        <v>743</v>
      </c>
      <c r="JI10" s="31">
        <v>719</v>
      </c>
      <c r="JJ10" s="31">
        <v>670</v>
      </c>
      <c r="JK10" s="31">
        <v>694</v>
      </c>
      <c r="JL10" s="31">
        <v>700</v>
      </c>
      <c r="JM10" s="31">
        <v>681</v>
      </c>
      <c r="JN10" s="31">
        <v>666</v>
      </c>
      <c r="JO10" s="31">
        <v>657</v>
      </c>
      <c r="JP10" s="31">
        <v>657</v>
      </c>
      <c r="JQ10" s="31">
        <v>631</v>
      </c>
      <c r="JR10" s="31">
        <v>631</v>
      </c>
      <c r="JS10" s="31">
        <v>623</v>
      </c>
      <c r="JT10" s="31">
        <v>670</v>
      </c>
      <c r="JU10" s="31">
        <v>675</v>
      </c>
      <c r="JV10" s="31">
        <v>680</v>
      </c>
      <c r="JW10" s="31">
        <v>741</v>
      </c>
      <c r="JX10" s="31">
        <v>743</v>
      </c>
      <c r="JY10" s="31">
        <v>752</v>
      </c>
      <c r="JZ10" s="31">
        <v>820</v>
      </c>
      <c r="KA10" s="31">
        <v>840</v>
      </c>
      <c r="KB10" s="31">
        <v>905</v>
      </c>
      <c r="KC10" s="31">
        <v>1030</v>
      </c>
      <c r="KD10" s="31">
        <v>1180</v>
      </c>
      <c r="KE10" s="31">
        <v>1325</v>
      </c>
      <c r="KF10" s="31">
        <v>1400</v>
      </c>
      <c r="KG10" s="31">
        <v>1875</v>
      </c>
      <c r="KH10" s="31">
        <v>1897</v>
      </c>
      <c r="KI10" s="31">
        <v>1678</v>
      </c>
      <c r="KJ10" s="31">
        <v>1520</v>
      </c>
      <c r="KK10" s="31">
        <v>1767</v>
      </c>
      <c r="KL10" s="31">
        <v>1744</v>
      </c>
      <c r="KM10" s="31">
        <v>1664</v>
      </c>
      <c r="KN10" s="31">
        <v>1427</v>
      </c>
      <c r="KO10" s="31">
        <v>1322</v>
      </c>
    </row>
    <row r="11" spans="1:304 16384:16384" x14ac:dyDescent="0.25">
      <c r="A11" s="182"/>
      <c r="B11" s="29">
        <v>10</v>
      </c>
      <c r="C11" s="91" t="s">
        <v>38</v>
      </c>
      <c r="Y11" s="31" t="s">
        <v>3</v>
      </c>
      <c r="Z11" s="31">
        <v>951</v>
      </c>
      <c r="AA11" s="31">
        <v>1137</v>
      </c>
      <c r="AB11" s="31">
        <v>1216</v>
      </c>
      <c r="AC11" s="31">
        <v>1207</v>
      </c>
      <c r="AD11" s="31">
        <v>1252</v>
      </c>
      <c r="AE11" s="31">
        <v>1244</v>
      </c>
      <c r="AF11" s="31">
        <v>1503</v>
      </c>
      <c r="AG11" s="31">
        <v>1537</v>
      </c>
      <c r="AH11" s="31">
        <v>1647</v>
      </c>
      <c r="AI11" s="31">
        <v>1587</v>
      </c>
      <c r="AJ11" s="31">
        <v>1518</v>
      </c>
      <c r="AK11" s="31">
        <v>1832</v>
      </c>
      <c r="AL11" s="31">
        <v>2024</v>
      </c>
      <c r="AM11" s="31">
        <v>2080</v>
      </c>
      <c r="AN11" s="31">
        <v>2428</v>
      </c>
      <c r="AO11" s="31">
        <v>2548</v>
      </c>
      <c r="AP11" s="31">
        <v>2186</v>
      </c>
      <c r="AQ11" s="31">
        <v>2372</v>
      </c>
      <c r="AR11" s="31">
        <v>2289</v>
      </c>
      <c r="AS11" s="31">
        <v>1962</v>
      </c>
      <c r="AT11" s="31">
        <v>1858</v>
      </c>
      <c r="AU11" s="31">
        <v>1833</v>
      </c>
      <c r="AV11" s="31">
        <v>1778</v>
      </c>
      <c r="AW11" s="31">
        <v>1747</v>
      </c>
      <c r="AX11" s="31">
        <v>1753</v>
      </c>
      <c r="AY11" s="31">
        <v>1622</v>
      </c>
      <c r="AZ11" s="31">
        <v>1610</v>
      </c>
      <c r="BA11" s="31">
        <v>1402</v>
      </c>
      <c r="BB11" s="31">
        <v>1484</v>
      </c>
      <c r="BC11" s="31">
        <v>1425</v>
      </c>
      <c r="BD11" s="31">
        <v>1441</v>
      </c>
      <c r="BE11" s="31">
        <v>1450</v>
      </c>
      <c r="BF11" s="31">
        <v>1416</v>
      </c>
      <c r="BG11" s="31">
        <v>1495</v>
      </c>
      <c r="BH11" s="31">
        <v>1500</v>
      </c>
      <c r="BI11" s="31">
        <v>1488</v>
      </c>
      <c r="BJ11" s="31">
        <v>1434</v>
      </c>
      <c r="BK11" s="31">
        <v>1601</v>
      </c>
      <c r="BL11" s="31">
        <v>1634</v>
      </c>
      <c r="BM11" s="31">
        <v>1698</v>
      </c>
      <c r="BN11" s="31">
        <v>1734</v>
      </c>
      <c r="BO11" s="31">
        <v>1728</v>
      </c>
      <c r="BP11" s="31">
        <v>1720</v>
      </c>
      <c r="BQ11" s="31">
        <v>1731</v>
      </c>
      <c r="BR11" s="31">
        <v>1625</v>
      </c>
      <c r="BS11" s="31">
        <v>1621</v>
      </c>
      <c r="BT11" s="31">
        <v>1578</v>
      </c>
      <c r="BU11" s="31">
        <v>1638</v>
      </c>
      <c r="BV11" s="31">
        <v>1747</v>
      </c>
      <c r="BW11" s="31">
        <v>1879</v>
      </c>
      <c r="BX11" s="31">
        <v>1918</v>
      </c>
      <c r="BY11" s="31">
        <v>1777</v>
      </c>
      <c r="BZ11" s="31">
        <v>1691</v>
      </c>
      <c r="CA11" s="31">
        <v>1639</v>
      </c>
      <c r="CB11" s="31">
        <v>1624</v>
      </c>
      <c r="CC11" s="31">
        <v>1637</v>
      </c>
      <c r="CD11" s="31">
        <v>1589</v>
      </c>
      <c r="CE11" s="31">
        <v>1670</v>
      </c>
      <c r="CF11" s="31">
        <v>1624</v>
      </c>
      <c r="CG11" s="31">
        <v>1778</v>
      </c>
      <c r="CH11" s="31">
        <v>1976</v>
      </c>
      <c r="CI11" s="31">
        <v>1975</v>
      </c>
      <c r="CJ11" s="31">
        <v>1927</v>
      </c>
      <c r="CK11" s="31">
        <v>1969</v>
      </c>
      <c r="CL11" s="31">
        <v>2006</v>
      </c>
      <c r="CM11" s="31">
        <v>2017</v>
      </c>
      <c r="CN11" s="31">
        <v>2034</v>
      </c>
      <c r="CO11" s="31">
        <v>1862</v>
      </c>
      <c r="CP11" s="31">
        <v>1825</v>
      </c>
      <c r="CQ11" s="31">
        <v>1910</v>
      </c>
      <c r="CR11" s="31">
        <v>2088</v>
      </c>
      <c r="CS11" s="31">
        <v>2103</v>
      </c>
      <c r="CT11" s="31">
        <v>2289</v>
      </c>
      <c r="CU11" s="31">
        <v>2429</v>
      </c>
      <c r="CV11" s="31">
        <v>2482</v>
      </c>
      <c r="CW11" s="31">
        <v>2348</v>
      </c>
      <c r="CX11" s="31">
        <v>2154</v>
      </c>
      <c r="CY11" s="31">
        <v>1911</v>
      </c>
      <c r="CZ11" s="31">
        <v>1866</v>
      </c>
      <c r="DA11" s="31">
        <v>1677</v>
      </c>
      <c r="DB11" s="31">
        <v>1699</v>
      </c>
      <c r="DC11" s="31">
        <v>1550</v>
      </c>
      <c r="DD11" s="31">
        <v>1583</v>
      </c>
      <c r="DE11" s="130">
        <v>1414</v>
      </c>
      <c r="DF11" s="130">
        <v>1366</v>
      </c>
      <c r="DG11" s="130">
        <v>1545</v>
      </c>
      <c r="DH11" s="130">
        <v>1604</v>
      </c>
      <c r="DI11" s="130">
        <v>1601</v>
      </c>
      <c r="DJ11" s="130">
        <v>1457</v>
      </c>
      <c r="DK11" s="130">
        <v>1524</v>
      </c>
      <c r="DL11" s="130">
        <v>1580</v>
      </c>
      <c r="DM11" s="31">
        <v>1543</v>
      </c>
      <c r="DN11" s="31">
        <v>1523</v>
      </c>
      <c r="DO11" s="31">
        <v>1501</v>
      </c>
      <c r="DP11" s="31">
        <v>1476</v>
      </c>
      <c r="DQ11" s="31">
        <v>1531</v>
      </c>
      <c r="DR11" s="31">
        <v>1288</v>
      </c>
      <c r="DS11" s="31">
        <v>1243</v>
      </c>
      <c r="DT11" s="31">
        <v>1404</v>
      </c>
      <c r="DU11" s="31">
        <v>1448</v>
      </c>
      <c r="DV11" s="31">
        <v>1320</v>
      </c>
      <c r="DW11" s="31">
        <v>1367</v>
      </c>
      <c r="DX11" s="31">
        <v>1331</v>
      </c>
      <c r="DY11" s="31">
        <v>1439</v>
      </c>
      <c r="DZ11" s="31">
        <v>1489</v>
      </c>
      <c r="EA11" s="31">
        <v>1497</v>
      </c>
      <c r="EB11" s="31">
        <v>1501</v>
      </c>
      <c r="EC11" s="31">
        <v>1495</v>
      </c>
      <c r="ED11" s="31">
        <v>1466</v>
      </c>
      <c r="EE11" s="31">
        <v>1431</v>
      </c>
      <c r="EF11" s="31">
        <v>1406</v>
      </c>
      <c r="EG11" s="31">
        <v>1400</v>
      </c>
      <c r="EH11" s="31">
        <v>1429</v>
      </c>
      <c r="EI11" s="31">
        <v>1477</v>
      </c>
      <c r="EJ11" s="31">
        <v>1493</v>
      </c>
      <c r="EK11" s="31">
        <v>1505</v>
      </c>
      <c r="EL11" s="31">
        <v>1572</v>
      </c>
      <c r="EM11" s="31">
        <v>1570</v>
      </c>
      <c r="EN11" s="31">
        <v>1305</v>
      </c>
      <c r="EO11" s="31">
        <v>1289</v>
      </c>
      <c r="EP11" s="31">
        <v>1216</v>
      </c>
      <c r="EQ11" s="31">
        <v>1235</v>
      </c>
      <c r="ER11" s="31">
        <v>1219</v>
      </c>
      <c r="ES11" s="31">
        <v>1165</v>
      </c>
      <c r="ET11" s="31">
        <v>1144</v>
      </c>
      <c r="EU11" s="31">
        <v>1096</v>
      </c>
      <c r="EV11" s="31">
        <v>1011</v>
      </c>
      <c r="EW11" s="31">
        <v>966</v>
      </c>
      <c r="EX11" s="31">
        <v>979</v>
      </c>
      <c r="EY11" s="30">
        <v>962</v>
      </c>
      <c r="EZ11" s="31">
        <v>1121</v>
      </c>
      <c r="FA11" s="31">
        <v>1011</v>
      </c>
      <c r="FB11" s="31">
        <v>1008</v>
      </c>
      <c r="FC11" s="31">
        <v>1009</v>
      </c>
      <c r="FD11" s="31">
        <v>1049</v>
      </c>
      <c r="FE11" s="31">
        <v>1028</v>
      </c>
      <c r="FF11" s="31">
        <v>1062</v>
      </c>
      <c r="FG11" s="31">
        <v>1158</v>
      </c>
      <c r="FH11" s="31">
        <v>1209</v>
      </c>
      <c r="FI11" s="31">
        <v>1226</v>
      </c>
      <c r="FJ11" s="31">
        <v>1284</v>
      </c>
      <c r="FK11" s="31">
        <v>1201</v>
      </c>
      <c r="FL11" s="31">
        <v>1248</v>
      </c>
      <c r="FM11" s="31">
        <v>1157</v>
      </c>
      <c r="FN11" s="31">
        <v>1161</v>
      </c>
      <c r="FO11" s="30">
        <v>1117</v>
      </c>
      <c r="FP11" s="31">
        <v>1119</v>
      </c>
      <c r="FQ11" s="31">
        <v>1116</v>
      </c>
      <c r="FR11" s="31">
        <v>1049</v>
      </c>
      <c r="FS11" s="31">
        <v>1096</v>
      </c>
      <c r="FT11" s="31">
        <v>1096</v>
      </c>
      <c r="FU11" s="31">
        <v>1089</v>
      </c>
      <c r="FV11" s="31">
        <v>1089</v>
      </c>
      <c r="FW11" s="31">
        <v>1156</v>
      </c>
      <c r="FX11" s="31">
        <v>1226</v>
      </c>
      <c r="FY11" s="31">
        <v>1251</v>
      </c>
      <c r="FZ11" s="31">
        <v>1257</v>
      </c>
      <c r="GA11" s="31">
        <v>1314</v>
      </c>
      <c r="GB11" s="31">
        <v>1369</v>
      </c>
      <c r="GC11" s="31">
        <v>1411</v>
      </c>
      <c r="GD11" s="31">
        <v>1487</v>
      </c>
      <c r="GE11" s="31">
        <v>1470</v>
      </c>
      <c r="GF11" s="31">
        <v>1485</v>
      </c>
      <c r="GG11" s="31">
        <v>1523</v>
      </c>
      <c r="GH11" s="31">
        <v>1540</v>
      </c>
      <c r="GI11" s="31">
        <v>1478</v>
      </c>
      <c r="GJ11" s="31">
        <v>1427</v>
      </c>
      <c r="GK11" s="31">
        <v>1382</v>
      </c>
      <c r="GL11" s="31">
        <v>1375</v>
      </c>
      <c r="GM11" s="31">
        <v>1348</v>
      </c>
      <c r="GN11" s="31">
        <v>1373</v>
      </c>
      <c r="GO11" s="31">
        <v>1396</v>
      </c>
      <c r="GP11" s="31">
        <v>1438</v>
      </c>
      <c r="GQ11" s="31">
        <v>1439</v>
      </c>
      <c r="GR11" s="31">
        <v>1269</v>
      </c>
      <c r="GS11" s="31">
        <v>1281</v>
      </c>
      <c r="GT11" s="31">
        <v>1303</v>
      </c>
      <c r="GU11" s="31">
        <v>1255</v>
      </c>
      <c r="GV11" s="31">
        <v>1238</v>
      </c>
      <c r="GW11" s="31">
        <v>1253</v>
      </c>
      <c r="GX11" s="31">
        <v>1260</v>
      </c>
      <c r="GY11" s="31">
        <v>1206</v>
      </c>
      <c r="GZ11" s="31">
        <v>1183</v>
      </c>
      <c r="HA11" s="31">
        <v>1191</v>
      </c>
      <c r="HB11" s="31">
        <v>1233</v>
      </c>
      <c r="HC11" s="31">
        <v>1196</v>
      </c>
      <c r="HD11" s="31">
        <v>1206</v>
      </c>
      <c r="HE11" s="31">
        <v>1176</v>
      </c>
      <c r="HF11" s="31">
        <v>1101</v>
      </c>
      <c r="HG11" s="31">
        <v>1126</v>
      </c>
      <c r="HH11" s="31">
        <v>1096</v>
      </c>
      <c r="HI11" s="31">
        <v>1061</v>
      </c>
      <c r="HJ11" s="31">
        <v>1128</v>
      </c>
      <c r="HK11" s="31">
        <v>1046</v>
      </c>
      <c r="HL11" s="31">
        <v>1075</v>
      </c>
      <c r="HM11" s="31">
        <v>1050</v>
      </c>
      <c r="HN11" s="31">
        <v>1094</v>
      </c>
      <c r="HO11" s="31">
        <v>1030</v>
      </c>
      <c r="HP11" s="31">
        <v>986</v>
      </c>
      <c r="HQ11" s="31">
        <v>955</v>
      </c>
      <c r="HR11" s="31">
        <v>930</v>
      </c>
      <c r="HS11" s="31">
        <v>950</v>
      </c>
      <c r="HT11" s="31">
        <v>1004</v>
      </c>
      <c r="HU11" s="31">
        <v>976</v>
      </c>
      <c r="HV11" s="31">
        <v>1006</v>
      </c>
      <c r="HW11" s="31">
        <v>994</v>
      </c>
      <c r="HX11" s="31">
        <v>987</v>
      </c>
      <c r="HY11" s="31">
        <v>984</v>
      </c>
      <c r="HZ11" s="31">
        <v>1011</v>
      </c>
      <c r="IA11" s="31">
        <v>989</v>
      </c>
      <c r="IB11" s="31">
        <v>948</v>
      </c>
      <c r="IC11" s="31">
        <v>882</v>
      </c>
      <c r="ID11" s="31">
        <v>828</v>
      </c>
      <c r="IE11" s="31">
        <v>805</v>
      </c>
      <c r="IF11" s="31">
        <v>773</v>
      </c>
      <c r="IG11" s="31">
        <v>803</v>
      </c>
      <c r="IH11" s="31">
        <v>701</v>
      </c>
      <c r="II11" s="31">
        <v>784</v>
      </c>
      <c r="IJ11" s="31">
        <v>735</v>
      </c>
      <c r="IK11" s="31">
        <v>705</v>
      </c>
      <c r="IL11" s="31">
        <v>716</v>
      </c>
      <c r="IM11" s="31">
        <v>752</v>
      </c>
      <c r="IN11" s="31">
        <v>700</v>
      </c>
      <c r="IO11" s="31">
        <v>688</v>
      </c>
      <c r="IP11" s="31">
        <v>670</v>
      </c>
      <c r="IQ11" s="31">
        <v>685</v>
      </c>
      <c r="IR11" s="31">
        <v>771</v>
      </c>
      <c r="IS11" s="31">
        <v>719</v>
      </c>
      <c r="IT11" s="31">
        <v>711</v>
      </c>
      <c r="IU11" s="31">
        <v>762</v>
      </c>
      <c r="IV11" s="31">
        <v>779</v>
      </c>
      <c r="IW11" s="31">
        <v>797</v>
      </c>
      <c r="IX11" s="31">
        <v>774</v>
      </c>
      <c r="IY11" s="31">
        <v>762</v>
      </c>
      <c r="IZ11" s="31">
        <v>778</v>
      </c>
      <c r="JA11" s="31">
        <v>745</v>
      </c>
      <c r="JB11" s="31">
        <v>732</v>
      </c>
      <c r="JC11" s="31">
        <v>721</v>
      </c>
      <c r="JD11" s="31">
        <v>721</v>
      </c>
      <c r="JE11" s="31">
        <v>720</v>
      </c>
      <c r="JF11" s="31">
        <v>716</v>
      </c>
      <c r="JG11" s="31">
        <v>716</v>
      </c>
      <c r="JH11" s="31">
        <v>721</v>
      </c>
      <c r="JI11" s="31">
        <v>713</v>
      </c>
      <c r="JJ11" s="31">
        <v>707</v>
      </c>
      <c r="JK11" s="31">
        <v>739</v>
      </c>
      <c r="JL11" s="31">
        <v>733</v>
      </c>
      <c r="JM11" s="31">
        <v>766</v>
      </c>
      <c r="JN11" s="31">
        <v>777</v>
      </c>
      <c r="JO11" s="31">
        <v>813</v>
      </c>
      <c r="JP11" s="31">
        <v>807</v>
      </c>
      <c r="JQ11" s="31">
        <v>866</v>
      </c>
      <c r="JR11" s="31">
        <v>896</v>
      </c>
      <c r="JS11" s="31">
        <v>916</v>
      </c>
      <c r="JT11" s="31">
        <v>972</v>
      </c>
      <c r="JU11" s="31">
        <v>985</v>
      </c>
      <c r="JV11" s="31">
        <v>1062</v>
      </c>
      <c r="JW11" s="31">
        <v>1133</v>
      </c>
      <c r="JX11" s="31">
        <v>1068</v>
      </c>
      <c r="JY11" s="31">
        <v>1126</v>
      </c>
      <c r="JZ11" s="31">
        <v>1113</v>
      </c>
      <c r="KA11" s="31">
        <v>1111</v>
      </c>
      <c r="KB11" s="31">
        <v>1158</v>
      </c>
      <c r="KC11" s="31">
        <v>1158</v>
      </c>
      <c r="KD11" s="31">
        <v>1212</v>
      </c>
      <c r="KE11" s="31">
        <v>1351</v>
      </c>
      <c r="KF11" s="31">
        <v>1371</v>
      </c>
      <c r="KG11" s="31">
        <v>1409</v>
      </c>
      <c r="KH11" s="31">
        <v>1366</v>
      </c>
      <c r="KI11" s="31">
        <v>1314</v>
      </c>
      <c r="KJ11" s="31">
        <v>1465</v>
      </c>
      <c r="KK11" s="31">
        <v>1428</v>
      </c>
      <c r="KL11" s="31">
        <v>1409</v>
      </c>
      <c r="KM11" s="31">
        <v>1443</v>
      </c>
      <c r="KN11" s="31">
        <v>1410</v>
      </c>
      <c r="KO11" s="31">
        <v>1406</v>
      </c>
    </row>
    <row r="12" spans="1:304 16384:16384" x14ac:dyDescent="0.25">
      <c r="A12" s="182"/>
      <c r="B12" s="29">
        <v>11</v>
      </c>
      <c r="C12" s="91" t="s">
        <v>88</v>
      </c>
      <c r="D12">
        <v>328</v>
      </c>
      <c r="E12">
        <v>323</v>
      </c>
      <c r="F12">
        <v>328</v>
      </c>
      <c r="G12">
        <v>319</v>
      </c>
      <c r="H12">
        <v>310</v>
      </c>
      <c r="I12">
        <v>298</v>
      </c>
      <c r="J12">
        <v>329</v>
      </c>
      <c r="K12">
        <v>331</v>
      </c>
      <c r="L12">
        <v>344</v>
      </c>
      <c r="M12">
        <v>380</v>
      </c>
      <c r="N12">
        <v>392</v>
      </c>
      <c r="O12">
        <v>385</v>
      </c>
      <c r="P12">
        <v>363</v>
      </c>
      <c r="Q12">
        <v>384</v>
      </c>
      <c r="R12">
        <v>391</v>
      </c>
      <c r="S12">
        <v>359</v>
      </c>
      <c r="T12">
        <v>379</v>
      </c>
      <c r="U12">
        <v>375</v>
      </c>
      <c r="V12">
        <v>417</v>
      </c>
      <c r="W12">
        <v>460</v>
      </c>
      <c r="X12">
        <v>447</v>
      </c>
      <c r="Y12" s="30">
        <v>511</v>
      </c>
      <c r="Z12" s="26">
        <v>544</v>
      </c>
      <c r="AA12" s="32">
        <v>493</v>
      </c>
      <c r="AB12" s="31">
        <v>479</v>
      </c>
      <c r="AC12" s="31">
        <v>519</v>
      </c>
      <c r="AD12" s="31">
        <v>533</v>
      </c>
      <c r="AE12" s="31">
        <v>566</v>
      </c>
      <c r="AF12" s="31">
        <v>558</v>
      </c>
      <c r="AG12" s="31">
        <v>569</v>
      </c>
      <c r="AH12" s="31">
        <v>536</v>
      </c>
      <c r="AI12" s="31">
        <v>508</v>
      </c>
      <c r="AJ12" s="31">
        <v>488</v>
      </c>
      <c r="AK12" s="31">
        <v>522</v>
      </c>
      <c r="AL12" s="31">
        <v>503</v>
      </c>
      <c r="AM12" s="31">
        <v>470</v>
      </c>
      <c r="AN12" s="31">
        <v>467</v>
      </c>
      <c r="AO12" s="31">
        <v>495</v>
      </c>
      <c r="AP12" s="31">
        <v>479</v>
      </c>
      <c r="AQ12" s="31">
        <v>476</v>
      </c>
      <c r="AR12" s="31">
        <v>480</v>
      </c>
      <c r="AS12" s="31">
        <v>506</v>
      </c>
      <c r="AT12" s="31">
        <v>517</v>
      </c>
      <c r="AU12" s="31">
        <v>549</v>
      </c>
      <c r="AV12" s="31">
        <v>558</v>
      </c>
      <c r="AW12" s="31">
        <v>601</v>
      </c>
      <c r="AX12" s="31">
        <v>633</v>
      </c>
      <c r="AY12" s="31">
        <v>619</v>
      </c>
      <c r="AZ12" s="31">
        <v>632</v>
      </c>
      <c r="BA12" s="31">
        <v>611</v>
      </c>
      <c r="BB12" s="31">
        <v>640</v>
      </c>
      <c r="BC12" s="31">
        <v>617</v>
      </c>
      <c r="BD12" s="31">
        <v>661</v>
      </c>
      <c r="BE12" s="31">
        <v>634</v>
      </c>
      <c r="BF12" s="31">
        <v>640</v>
      </c>
      <c r="BG12" s="31">
        <v>670</v>
      </c>
      <c r="BH12" s="31">
        <v>672</v>
      </c>
      <c r="BI12" s="31">
        <v>743</v>
      </c>
      <c r="BJ12" s="31">
        <v>756</v>
      </c>
      <c r="BK12" s="31">
        <v>810</v>
      </c>
      <c r="BL12" s="31">
        <v>825</v>
      </c>
      <c r="BM12" s="31">
        <v>842</v>
      </c>
      <c r="BN12" s="31">
        <v>827</v>
      </c>
      <c r="BO12" s="31">
        <v>800</v>
      </c>
      <c r="BP12" s="31">
        <v>826</v>
      </c>
      <c r="BQ12" s="31">
        <v>836</v>
      </c>
      <c r="BR12" s="31">
        <v>747</v>
      </c>
      <c r="BS12" s="31">
        <v>781</v>
      </c>
      <c r="BT12" s="31">
        <v>592</v>
      </c>
      <c r="BU12" s="31">
        <v>639</v>
      </c>
      <c r="BV12" s="31">
        <v>651</v>
      </c>
      <c r="BW12" s="31">
        <v>640</v>
      </c>
      <c r="BX12" s="31">
        <v>698</v>
      </c>
      <c r="BY12" s="31">
        <v>718</v>
      </c>
      <c r="BZ12" s="31">
        <v>693</v>
      </c>
      <c r="CA12">
        <v>693</v>
      </c>
      <c r="CB12" s="30">
        <v>712</v>
      </c>
      <c r="CC12" s="31">
        <v>728</v>
      </c>
      <c r="CD12" s="31">
        <v>743</v>
      </c>
      <c r="CE12" s="31">
        <v>843</v>
      </c>
      <c r="CF12" s="31">
        <v>948</v>
      </c>
      <c r="CG12" s="31">
        <v>877</v>
      </c>
      <c r="CH12" s="31">
        <v>797</v>
      </c>
      <c r="CI12" s="31">
        <v>890</v>
      </c>
      <c r="CJ12" s="31">
        <v>835</v>
      </c>
      <c r="CK12" s="31">
        <v>744</v>
      </c>
      <c r="CL12" s="31">
        <v>793</v>
      </c>
      <c r="CM12" s="31">
        <v>777</v>
      </c>
      <c r="CN12" s="31">
        <v>763</v>
      </c>
      <c r="CO12" s="31">
        <v>764</v>
      </c>
      <c r="CP12" s="31">
        <v>750</v>
      </c>
      <c r="CQ12" s="31">
        <v>738</v>
      </c>
      <c r="CR12" s="31">
        <v>753</v>
      </c>
      <c r="CS12" s="31">
        <v>745</v>
      </c>
      <c r="CT12" s="31">
        <v>730</v>
      </c>
      <c r="CU12" s="31">
        <v>711</v>
      </c>
      <c r="CV12" s="31">
        <v>706</v>
      </c>
      <c r="CW12" s="31">
        <v>709</v>
      </c>
      <c r="CX12" s="31">
        <v>675</v>
      </c>
      <c r="CY12" s="31">
        <v>638</v>
      </c>
      <c r="CZ12" s="31">
        <v>650</v>
      </c>
      <c r="DA12" s="31">
        <v>653</v>
      </c>
      <c r="DB12" s="31">
        <v>622</v>
      </c>
      <c r="DC12" s="31">
        <v>632</v>
      </c>
      <c r="DD12" s="31">
        <v>639</v>
      </c>
      <c r="DE12" s="31">
        <v>660</v>
      </c>
      <c r="DF12" s="31">
        <v>637</v>
      </c>
      <c r="DG12" s="31">
        <v>631</v>
      </c>
      <c r="DH12" s="31">
        <v>631</v>
      </c>
      <c r="DI12" s="31">
        <v>587</v>
      </c>
      <c r="DJ12" s="31">
        <v>558</v>
      </c>
      <c r="DK12" s="31">
        <v>585</v>
      </c>
      <c r="DL12" s="31">
        <v>558</v>
      </c>
      <c r="DM12" s="31">
        <v>547</v>
      </c>
      <c r="DN12" s="31">
        <v>580</v>
      </c>
      <c r="DO12" s="31">
        <v>602</v>
      </c>
      <c r="DP12" s="31">
        <v>587</v>
      </c>
      <c r="DQ12" s="31">
        <v>590</v>
      </c>
      <c r="DR12" s="31">
        <v>581</v>
      </c>
      <c r="DS12" s="31">
        <v>590</v>
      </c>
      <c r="DT12" s="31">
        <v>548</v>
      </c>
      <c r="DU12" s="31">
        <v>555</v>
      </c>
      <c r="DV12" s="31">
        <v>523</v>
      </c>
      <c r="DW12" s="31">
        <v>540</v>
      </c>
      <c r="DX12" s="31">
        <v>567</v>
      </c>
      <c r="DY12" s="31">
        <v>641</v>
      </c>
      <c r="DZ12" s="31">
        <v>681</v>
      </c>
      <c r="EA12" s="31">
        <v>684</v>
      </c>
      <c r="EB12" s="31">
        <v>670</v>
      </c>
      <c r="EC12" s="31">
        <v>642</v>
      </c>
      <c r="ED12" s="31">
        <v>627</v>
      </c>
      <c r="EE12" s="31">
        <v>648</v>
      </c>
      <c r="EF12" s="31">
        <v>602</v>
      </c>
      <c r="EG12" s="31">
        <v>504</v>
      </c>
      <c r="EH12" s="31">
        <v>505</v>
      </c>
      <c r="EI12" s="31">
        <v>504</v>
      </c>
      <c r="EJ12" s="31">
        <v>513</v>
      </c>
      <c r="EK12" s="31">
        <v>527</v>
      </c>
      <c r="EL12" s="31">
        <v>505</v>
      </c>
      <c r="EM12" s="31">
        <v>492</v>
      </c>
      <c r="EN12" s="31">
        <v>416</v>
      </c>
      <c r="EO12" s="31">
        <v>431</v>
      </c>
      <c r="EP12" s="31">
        <v>429</v>
      </c>
      <c r="EQ12" s="31">
        <v>438</v>
      </c>
      <c r="ER12" s="31">
        <v>401</v>
      </c>
      <c r="ES12" s="31">
        <v>416</v>
      </c>
      <c r="ET12" s="31">
        <v>407</v>
      </c>
      <c r="EU12" s="31">
        <v>436</v>
      </c>
      <c r="EV12" s="31">
        <v>417</v>
      </c>
      <c r="EW12" s="31">
        <v>413</v>
      </c>
      <c r="EX12" s="31">
        <v>466</v>
      </c>
      <c r="EY12" s="30">
        <v>481</v>
      </c>
      <c r="EZ12" s="30">
        <v>486</v>
      </c>
      <c r="FA12" s="31">
        <v>500</v>
      </c>
      <c r="FB12" s="31">
        <v>530</v>
      </c>
      <c r="FC12" s="31">
        <v>533</v>
      </c>
      <c r="FD12" s="31">
        <v>511</v>
      </c>
      <c r="FE12" s="31">
        <v>537</v>
      </c>
      <c r="FF12" s="31">
        <v>570</v>
      </c>
      <c r="FG12" s="31">
        <v>585</v>
      </c>
      <c r="FH12" s="31">
        <v>574</v>
      </c>
      <c r="FI12" s="30">
        <v>575</v>
      </c>
      <c r="FJ12" s="31">
        <v>542</v>
      </c>
      <c r="FK12" s="30">
        <v>524</v>
      </c>
      <c r="FL12" s="30">
        <v>552</v>
      </c>
      <c r="FM12" s="31">
        <v>573</v>
      </c>
      <c r="FN12" s="31">
        <v>530</v>
      </c>
      <c r="FO12" s="30">
        <v>475</v>
      </c>
      <c r="FP12" s="30">
        <v>504</v>
      </c>
      <c r="FQ12" s="30">
        <v>484</v>
      </c>
      <c r="FR12" s="30">
        <v>500</v>
      </c>
      <c r="FS12" s="30">
        <v>494</v>
      </c>
      <c r="FT12" s="31">
        <v>477</v>
      </c>
      <c r="FU12" s="31">
        <v>515</v>
      </c>
      <c r="FV12" s="31">
        <v>508</v>
      </c>
      <c r="FW12" s="31">
        <v>485</v>
      </c>
      <c r="FX12" s="31">
        <v>506</v>
      </c>
      <c r="FY12" s="31">
        <v>512</v>
      </c>
      <c r="FZ12" s="30">
        <v>525</v>
      </c>
      <c r="GA12" s="30">
        <v>529</v>
      </c>
      <c r="GB12" s="31">
        <v>559</v>
      </c>
      <c r="GC12" s="31">
        <v>530</v>
      </c>
      <c r="GD12" s="30">
        <v>531</v>
      </c>
      <c r="GE12" s="30">
        <v>556</v>
      </c>
      <c r="GF12" s="30">
        <v>540</v>
      </c>
      <c r="GG12" s="30">
        <v>532</v>
      </c>
      <c r="GH12" s="30">
        <v>523</v>
      </c>
      <c r="GI12" s="31">
        <v>542</v>
      </c>
      <c r="GJ12" s="31">
        <v>515</v>
      </c>
      <c r="GK12" s="31">
        <v>515</v>
      </c>
      <c r="GL12" s="31">
        <v>501</v>
      </c>
      <c r="GM12" s="31">
        <v>497</v>
      </c>
      <c r="GN12" s="31">
        <v>490</v>
      </c>
      <c r="GO12" s="31">
        <v>484</v>
      </c>
      <c r="GP12" s="31">
        <v>502</v>
      </c>
      <c r="GQ12" s="31">
        <v>519</v>
      </c>
      <c r="GR12" s="31">
        <v>501</v>
      </c>
      <c r="GS12" s="31">
        <v>539</v>
      </c>
      <c r="GT12" s="31">
        <v>552</v>
      </c>
      <c r="GU12" s="31">
        <v>560</v>
      </c>
      <c r="GV12" s="31">
        <v>579</v>
      </c>
      <c r="GW12" s="31">
        <v>577</v>
      </c>
      <c r="GX12" s="31">
        <v>581</v>
      </c>
      <c r="GY12" s="31">
        <v>569</v>
      </c>
      <c r="GZ12" s="31">
        <v>571</v>
      </c>
      <c r="HA12" s="31">
        <v>589</v>
      </c>
      <c r="HB12" s="31">
        <v>588</v>
      </c>
      <c r="HC12" s="31">
        <v>591</v>
      </c>
      <c r="HD12" s="31">
        <v>588</v>
      </c>
      <c r="HE12" s="31">
        <v>578</v>
      </c>
      <c r="HF12" s="31">
        <v>529</v>
      </c>
      <c r="HG12" s="31">
        <v>581</v>
      </c>
      <c r="HH12" s="31">
        <v>574</v>
      </c>
      <c r="HI12" s="31">
        <v>604</v>
      </c>
      <c r="HJ12" s="41" t="s">
        <v>3</v>
      </c>
      <c r="HK12" s="31">
        <v>599</v>
      </c>
      <c r="HL12" s="31">
        <v>596</v>
      </c>
      <c r="HM12" s="31">
        <v>595</v>
      </c>
      <c r="HN12" s="31">
        <v>601</v>
      </c>
      <c r="HO12" s="31">
        <v>570</v>
      </c>
      <c r="HP12" s="31">
        <v>575</v>
      </c>
      <c r="HQ12" s="31">
        <v>566</v>
      </c>
      <c r="HR12" s="31">
        <v>556</v>
      </c>
      <c r="HS12" s="31">
        <v>562</v>
      </c>
      <c r="HT12" s="31">
        <v>564</v>
      </c>
      <c r="HU12" s="31">
        <v>587</v>
      </c>
      <c r="HV12" s="31">
        <v>596</v>
      </c>
      <c r="HW12" s="31">
        <v>581</v>
      </c>
      <c r="HX12" s="31">
        <v>569</v>
      </c>
      <c r="HY12" s="31">
        <v>578</v>
      </c>
      <c r="HZ12" s="31">
        <v>575</v>
      </c>
      <c r="IA12" s="31">
        <v>558</v>
      </c>
      <c r="IB12" s="31">
        <v>561</v>
      </c>
      <c r="IC12" s="31">
        <v>550</v>
      </c>
      <c r="ID12" s="31">
        <v>530</v>
      </c>
      <c r="IE12" s="31">
        <v>551</v>
      </c>
      <c r="IF12" s="31">
        <v>567</v>
      </c>
      <c r="IG12" s="31">
        <v>572</v>
      </c>
      <c r="IH12" s="31">
        <v>376.625</v>
      </c>
      <c r="II12" s="31">
        <v>461</v>
      </c>
      <c r="IJ12" s="31">
        <v>463</v>
      </c>
      <c r="IK12" s="31">
        <v>470</v>
      </c>
      <c r="IL12" s="31">
        <v>440</v>
      </c>
      <c r="IM12" s="31">
        <v>476</v>
      </c>
      <c r="IN12" s="31">
        <v>457</v>
      </c>
      <c r="IO12" s="31">
        <v>459</v>
      </c>
      <c r="IP12" s="31">
        <v>454</v>
      </c>
      <c r="IQ12" s="31">
        <v>460</v>
      </c>
      <c r="IR12" s="31">
        <v>491</v>
      </c>
      <c r="IS12" s="31">
        <v>465</v>
      </c>
      <c r="IT12" s="31">
        <v>451</v>
      </c>
      <c r="IU12" s="31">
        <v>472</v>
      </c>
      <c r="IV12" s="31">
        <v>459</v>
      </c>
      <c r="IW12" s="31">
        <v>442</v>
      </c>
      <c r="IX12" s="31">
        <v>459</v>
      </c>
      <c r="IY12" s="31">
        <v>445</v>
      </c>
      <c r="IZ12" s="31">
        <v>435</v>
      </c>
      <c r="JA12" s="31">
        <v>432</v>
      </c>
      <c r="JB12" s="31">
        <v>453</v>
      </c>
      <c r="JC12" s="31">
        <v>466</v>
      </c>
      <c r="JD12" s="31">
        <v>477</v>
      </c>
      <c r="JE12" s="31">
        <v>482</v>
      </c>
      <c r="JF12" s="31">
        <v>477</v>
      </c>
      <c r="JG12" s="31">
        <v>435</v>
      </c>
      <c r="JH12" s="31">
        <v>443</v>
      </c>
      <c r="JI12" s="31">
        <v>413</v>
      </c>
      <c r="JJ12" s="31">
        <v>417</v>
      </c>
      <c r="JK12" s="31">
        <v>450</v>
      </c>
      <c r="JL12" s="31">
        <v>426</v>
      </c>
      <c r="JM12" s="31">
        <v>431</v>
      </c>
      <c r="JN12" s="31">
        <v>453</v>
      </c>
      <c r="JO12" s="31">
        <v>462</v>
      </c>
      <c r="JP12" s="31">
        <v>476</v>
      </c>
      <c r="JQ12" s="31">
        <v>483</v>
      </c>
      <c r="JR12" s="31">
        <v>464</v>
      </c>
      <c r="JS12" s="31">
        <v>482</v>
      </c>
      <c r="JT12" s="31">
        <v>489</v>
      </c>
      <c r="JU12" s="31">
        <v>488</v>
      </c>
      <c r="JV12" s="31">
        <v>497</v>
      </c>
      <c r="JW12" s="31">
        <v>509</v>
      </c>
      <c r="JX12" s="31">
        <v>521</v>
      </c>
      <c r="JY12" s="31">
        <v>553</v>
      </c>
      <c r="JZ12" s="31">
        <v>511</v>
      </c>
      <c r="KA12" s="31">
        <v>551</v>
      </c>
      <c r="KB12" s="31">
        <v>690</v>
      </c>
      <c r="KC12" s="31">
        <v>771</v>
      </c>
      <c r="KD12" s="31">
        <v>927</v>
      </c>
      <c r="KE12" s="31">
        <v>845</v>
      </c>
      <c r="KF12" s="31">
        <v>884</v>
      </c>
      <c r="KG12" s="31">
        <v>781</v>
      </c>
      <c r="KH12" s="31">
        <v>655</v>
      </c>
      <c r="KI12" s="31">
        <v>639</v>
      </c>
      <c r="KJ12" s="31">
        <v>662</v>
      </c>
      <c r="KK12" s="31">
        <v>620</v>
      </c>
      <c r="KL12" s="31">
        <v>663</v>
      </c>
      <c r="KM12" s="31">
        <v>602</v>
      </c>
      <c r="KN12" s="31">
        <v>585</v>
      </c>
      <c r="KO12" s="31">
        <v>618</v>
      </c>
    </row>
    <row r="13" spans="1:304 16384:16384" x14ac:dyDescent="0.25">
      <c r="A13" s="182"/>
      <c r="B13" s="29">
        <v>12</v>
      </c>
      <c r="C13" s="91" t="s">
        <v>89</v>
      </c>
      <c r="D13">
        <v>305</v>
      </c>
      <c r="E13">
        <v>304</v>
      </c>
      <c r="F13">
        <v>306</v>
      </c>
      <c r="G13">
        <v>341</v>
      </c>
      <c r="H13">
        <v>327</v>
      </c>
      <c r="I13">
        <v>332</v>
      </c>
      <c r="J13">
        <v>374</v>
      </c>
      <c r="K13">
        <v>370</v>
      </c>
      <c r="L13">
        <v>377</v>
      </c>
      <c r="M13">
        <v>405</v>
      </c>
      <c r="N13">
        <v>397</v>
      </c>
      <c r="O13">
        <v>396</v>
      </c>
      <c r="P13">
        <v>373</v>
      </c>
      <c r="Q13">
        <v>385</v>
      </c>
      <c r="R13">
        <v>354</v>
      </c>
      <c r="S13">
        <v>353</v>
      </c>
      <c r="T13">
        <v>399</v>
      </c>
      <c r="U13">
        <v>413</v>
      </c>
      <c r="V13">
        <v>441</v>
      </c>
      <c r="W13">
        <v>456</v>
      </c>
      <c r="X13">
        <v>441</v>
      </c>
      <c r="Y13" s="30">
        <v>456</v>
      </c>
      <c r="Z13" s="32">
        <v>441</v>
      </c>
      <c r="AA13" s="32">
        <v>451</v>
      </c>
      <c r="AB13" s="31">
        <v>482</v>
      </c>
      <c r="AC13" s="31">
        <v>505</v>
      </c>
      <c r="AD13" s="31">
        <v>520</v>
      </c>
      <c r="AE13" s="31">
        <v>524</v>
      </c>
      <c r="AF13" s="31">
        <v>554</v>
      </c>
      <c r="AG13" s="31">
        <v>535</v>
      </c>
      <c r="AH13" s="31">
        <v>533</v>
      </c>
      <c r="AI13" s="31">
        <v>511</v>
      </c>
      <c r="AJ13" s="31">
        <v>492</v>
      </c>
      <c r="AK13" s="31">
        <v>519</v>
      </c>
      <c r="AL13" s="31">
        <v>507</v>
      </c>
      <c r="AM13" s="31">
        <v>496</v>
      </c>
      <c r="AN13" s="31">
        <v>428</v>
      </c>
      <c r="AO13" s="31">
        <v>463</v>
      </c>
      <c r="AP13" s="31">
        <v>492</v>
      </c>
      <c r="AQ13" s="31">
        <v>458</v>
      </c>
      <c r="AR13" s="31">
        <v>453</v>
      </c>
      <c r="AS13" s="31">
        <v>499</v>
      </c>
      <c r="AT13" s="31">
        <v>515</v>
      </c>
      <c r="AU13" s="31">
        <v>536</v>
      </c>
      <c r="AV13" s="31">
        <v>550</v>
      </c>
      <c r="AW13" s="31">
        <v>580</v>
      </c>
      <c r="AX13" s="31">
        <v>619</v>
      </c>
      <c r="AY13" s="31">
        <v>628</v>
      </c>
      <c r="AZ13" s="31">
        <v>641</v>
      </c>
      <c r="BA13" s="31">
        <v>638</v>
      </c>
      <c r="BB13" s="31">
        <v>659</v>
      </c>
      <c r="BC13" s="31">
        <v>658</v>
      </c>
      <c r="BD13" s="31">
        <v>648</v>
      </c>
      <c r="BE13" s="31">
        <v>611</v>
      </c>
      <c r="BF13" s="31">
        <v>661</v>
      </c>
      <c r="BG13" s="31">
        <v>682</v>
      </c>
      <c r="BH13" s="31">
        <v>683</v>
      </c>
      <c r="BI13" s="31">
        <v>713</v>
      </c>
      <c r="BJ13" s="31">
        <v>701</v>
      </c>
      <c r="BK13" s="31">
        <v>759</v>
      </c>
      <c r="BL13" s="31">
        <v>790</v>
      </c>
      <c r="BM13" s="31">
        <v>790</v>
      </c>
      <c r="BN13" s="31">
        <v>822</v>
      </c>
      <c r="BO13" s="31">
        <v>802</v>
      </c>
      <c r="BP13" s="31">
        <v>819</v>
      </c>
      <c r="BQ13" s="31">
        <v>820</v>
      </c>
      <c r="BR13" s="31">
        <v>770</v>
      </c>
      <c r="BS13" s="31">
        <v>776</v>
      </c>
      <c r="BT13" s="31">
        <v>654</v>
      </c>
      <c r="BU13" s="31">
        <v>694</v>
      </c>
      <c r="BV13" s="31">
        <v>704</v>
      </c>
      <c r="BW13" s="31">
        <v>704</v>
      </c>
      <c r="BX13" s="31">
        <v>754</v>
      </c>
      <c r="BY13" s="31">
        <v>784</v>
      </c>
      <c r="BZ13" s="31">
        <v>812</v>
      </c>
      <c r="CA13">
        <v>803</v>
      </c>
      <c r="CB13" s="30">
        <v>825</v>
      </c>
      <c r="CC13" s="31">
        <v>854</v>
      </c>
      <c r="CD13" s="31">
        <v>821</v>
      </c>
      <c r="CE13" s="31">
        <v>894</v>
      </c>
      <c r="CF13" s="31">
        <v>1009</v>
      </c>
      <c r="CG13" s="31">
        <v>956</v>
      </c>
      <c r="CH13" s="31">
        <v>874</v>
      </c>
      <c r="CI13" s="31">
        <v>936</v>
      </c>
      <c r="CJ13" s="31">
        <v>894</v>
      </c>
      <c r="CK13" s="31">
        <v>819</v>
      </c>
      <c r="CL13" s="31">
        <v>869</v>
      </c>
      <c r="CM13" s="31">
        <v>852</v>
      </c>
      <c r="CN13" s="31">
        <v>907</v>
      </c>
      <c r="CO13" s="31">
        <v>903</v>
      </c>
      <c r="CP13" s="31">
        <v>883</v>
      </c>
      <c r="CQ13" s="31">
        <v>855</v>
      </c>
      <c r="CR13" s="31">
        <v>840</v>
      </c>
      <c r="CS13" s="31">
        <v>806</v>
      </c>
      <c r="CT13" s="31">
        <v>766</v>
      </c>
      <c r="CU13" s="31">
        <v>723</v>
      </c>
      <c r="CV13" s="31">
        <v>719</v>
      </c>
      <c r="CW13" s="31">
        <v>674</v>
      </c>
      <c r="CX13" s="31">
        <v>650</v>
      </c>
      <c r="CY13" s="31">
        <v>595</v>
      </c>
      <c r="CZ13" s="31">
        <v>621</v>
      </c>
      <c r="DA13" s="31">
        <v>651</v>
      </c>
      <c r="DB13" s="31">
        <v>597</v>
      </c>
      <c r="DC13" s="31">
        <v>602</v>
      </c>
      <c r="DD13" s="31">
        <v>614</v>
      </c>
      <c r="DE13" s="31">
        <v>625</v>
      </c>
      <c r="DF13" s="31">
        <v>592</v>
      </c>
      <c r="DG13" s="31">
        <v>569</v>
      </c>
      <c r="DH13" s="31">
        <v>594</v>
      </c>
      <c r="DI13" s="31">
        <v>608</v>
      </c>
      <c r="DJ13" s="31">
        <v>597</v>
      </c>
      <c r="DK13" s="31">
        <v>640</v>
      </c>
      <c r="DL13" s="31">
        <v>606</v>
      </c>
      <c r="DM13" s="31">
        <v>587</v>
      </c>
      <c r="DN13" s="31">
        <v>610</v>
      </c>
      <c r="DO13" s="31">
        <v>631</v>
      </c>
      <c r="DP13" s="31">
        <v>637</v>
      </c>
      <c r="DQ13" s="31">
        <v>639</v>
      </c>
      <c r="DR13" s="31">
        <v>595</v>
      </c>
      <c r="DS13" s="31">
        <v>601</v>
      </c>
      <c r="DT13" s="31">
        <v>539</v>
      </c>
      <c r="DU13" s="31">
        <v>545</v>
      </c>
      <c r="DV13" s="31">
        <v>552</v>
      </c>
      <c r="DW13" s="31">
        <v>533</v>
      </c>
      <c r="DX13" s="31">
        <v>580</v>
      </c>
      <c r="DY13" s="31">
        <v>610</v>
      </c>
      <c r="DZ13" s="31">
        <v>622</v>
      </c>
      <c r="EA13" s="31">
        <v>658</v>
      </c>
      <c r="EB13" s="31">
        <v>686</v>
      </c>
      <c r="EC13" s="31">
        <v>705</v>
      </c>
      <c r="ED13" s="31">
        <v>697</v>
      </c>
      <c r="EE13" s="31">
        <v>702</v>
      </c>
      <c r="EF13" s="31">
        <v>657</v>
      </c>
      <c r="EG13" s="31">
        <v>529</v>
      </c>
      <c r="EH13" s="31">
        <v>517</v>
      </c>
      <c r="EI13" s="31">
        <v>533</v>
      </c>
      <c r="EJ13" s="31">
        <v>549</v>
      </c>
      <c r="EK13" s="31">
        <v>541</v>
      </c>
      <c r="EL13" s="31">
        <v>520</v>
      </c>
      <c r="EM13" s="31">
        <v>487</v>
      </c>
      <c r="EN13" s="31">
        <v>412</v>
      </c>
      <c r="EO13" s="31">
        <v>448</v>
      </c>
      <c r="EP13" s="31">
        <v>419</v>
      </c>
      <c r="EQ13" s="31">
        <v>435</v>
      </c>
      <c r="ER13" s="31">
        <v>396</v>
      </c>
      <c r="ES13" s="31">
        <v>331</v>
      </c>
      <c r="ET13" s="31">
        <v>309</v>
      </c>
      <c r="EU13" s="31">
        <v>319</v>
      </c>
      <c r="EV13" s="31">
        <v>303</v>
      </c>
      <c r="EW13" s="31">
        <v>310</v>
      </c>
      <c r="EX13" s="31">
        <v>348</v>
      </c>
      <c r="EY13" s="30">
        <v>446</v>
      </c>
      <c r="EZ13" s="30">
        <v>453</v>
      </c>
      <c r="FA13" s="31">
        <v>516</v>
      </c>
      <c r="FB13" s="31">
        <v>594</v>
      </c>
      <c r="FC13" s="31">
        <v>568</v>
      </c>
      <c r="FD13" s="31">
        <v>561</v>
      </c>
      <c r="FE13" s="31">
        <v>554</v>
      </c>
      <c r="FF13" s="31">
        <v>574</v>
      </c>
      <c r="FG13" s="31">
        <v>598</v>
      </c>
      <c r="FH13" s="31">
        <v>602</v>
      </c>
      <c r="FI13" s="30">
        <v>552</v>
      </c>
      <c r="FJ13" s="31">
        <v>522</v>
      </c>
      <c r="FK13" s="30">
        <v>509</v>
      </c>
      <c r="FL13" s="30">
        <v>527</v>
      </c>
      <c r="FM13" s="31">
        <v>516</v>
      </c>
      <c r="FN13" s="31">
        <v>524</v>
      </c>
      <c r="FO13" s="30">
        <v>504</v>
      </c>
      <c r="FP13" s="30">
        <v>531</v>
      </c>
      <c r="FQ13" s="30">
        <v>521</v>
      </c>
      <c r="FR13" s="30">
        <v>540</v>
      </c>
      <c r="FS13" s="30">
        <v>577</v>
      </c>
      <c r="FT13" s="31">
        <v>585</v>
      </c>
      <c r="FU13" s="31">
        <v>540</v>
      </c>
      <c r="FV13" s="31">
        <v>535</v>
      </c>
      <c r="FW13" s="31">
        <v>530</v>
      </c>
      <c r="FX13" s="31">
        <v>527</v>
      </c>
      <c r="FY13" s="31">
        <v>547</v>
      </c>
      <c r="FZ13" s="30">
        <v>581</v>
      </c>
      <c r="GA13" s="30">
        <v>570</v>
      </c>
      <c r="GB13" s="31">
        <v>593</v>
      </c>
      <c r="GC13" s="31">
        <v>584</v>
      </c>
      <c r="GD13" s="30">
        <v>595</v>
      </c>
      <c r="GE13" s="30">
        <v>671</v>
      </c>
      <c r="GF13" s="30">
        <v>688</v>
      </c>
      <c r="GG13" s="30">
        <v>667</v>
      </c>
      <c r="GH13" s="30">
        <v>526</v>
      </c>
      <c r="GI13" s="31">
        <v>519</v>
      </c>
      <c r="GJ13" s="31">
        <v>515</v>
      </c>
      <c r="GK13" s="31">
        <v>498</v>
      </c>
      <c r="GL13" s="31">
        <v>485</v>
      </c>
      <c r="GM13" s="31">
        <v>472</v>
      </c>
      <c r="GN13" s="31">
        <v>462</v>
      </c>
      <c r="GO13" s="31">
        <v>430</v>
      </c>
      <c r="GP13" s="31">
        <v>443</v>
      </c>
      <c r="GQ13" s="31">
        <v>455</v>
      </c>
      <c r="GR13" s="31">
        <v>423</v>
      </c>
      <c r="GS13" s="31">
        <v>457</v>
      </c>
      <c r="GT13" s="31">
        <v>479</v>
      </c>
      <c r="GU13" s="31">
        <v>486</v>
      </c>
      <c r="GV13" s="31">
        <v>541</v>
      </c>
      <c r="GW13" s="31">
        <v>530</v>
      </c>
      <c r="GX13" s="31">
        <v>535</v>
      </c>
      <c r="GY13" s="31">
        <v>535</v>
      </c>
      <c r="GZ13" s="31">
        <v>525</v>
      </c>
      <c r="HA13" s="31">
        <v>554</v>
      </c>
      <c r="HB13" s="31">
        <v>564</v>
      </c>
      <c r="HC13" s="31">
        <v>556</v>
      </c>
      <c r="HD13" s="31">
        <v>559</v>
      </c>
      <c r="HE13" s="31">
        <v>560</v>
      </c>
      <c r="HF13" s="31">
        <v>531</v>
      </c>
      <c r="HG13" s="31">
        <v>569</v>
      </c>
      <c r="HH13" s="31">
        <v>592</v>
      </c>
      <c r="HI13" s="31">
        <v>601</v>
      </c>
      <c r="HJ13" s="41" t="s">
        <v>3</v>
      </c>
      <c r="HK13" s="31">
        <v>599</v>
      </c>
      <c r="HL13" s="31">
        <v>612</v>
      </c>
      <c r="HM13" s="31">
        <v>611</v>
      </c>
      <c r="HN13" s="31">
        <v>631</v>
      </c>
      <c r="HO13" s="31">
        <v>557</v>
      </c>
      <c r="HP13" s="31">
        <v>555</v>
      </c>
      <c r="HQ13" s="31">
        <v>540</v>
      </c>
      <c r="HR13" s="31">
        <v>538</v>
      </c>
      <c r="HS13" s="31">
        <v>548</v>
      </c>
      <c r="HT13" s="31">
        <v>564</v>
      </c>
      <c r="HU13" s="31">
        <v>602</v>
      </c>
      <c r="HV13" s="31">
        <v>618</v>
      </c>
      <c r="HW13" s="31">
        <v>624</v>
      </c>
      <c r="HX13" s="31">
        <v>621</v>
      </c>
      <c r="HY13" s="31">
        <v>620</v>
      </c>
      <c r="HZ13" s="31">
        <v>637</v>
      </c>
      <c r="IA13" s="31">
        <v>624</v>
      </c>
      <c r="IB13" s="31">
        <v>579</v>
      </c>
      <c r="IC13" s="31">
        <v>535</v>
      </c>
      <c r="ID13" s="31">
        <v>548</v>
      </c>
      <c r="IE13" s="31">
        <v>549</v>
      </c>
      <c r="IF13" s="31">
        <v>551</v>
      </c>
      <c r="IG13" s="31">
        <v>538</v>
      </c>
      <c r="IH13" s="31">
        <v>439.875</v>
      </c>
      <c r="II13" s="31">
        <v>481</v>
      </c>
      <c r="IJ13" s="31">
        <v>483</v>
      </c>
      <c r="IK13" s="31">
        <v>485</v>
      </c>
      <c r="IL13" s="31">
        <v>454</v>
      </c>
      <c r="IM13" s="31">
        <v>480</v>
      </c>
      <c r="IN13" s="31">
        <v>462</v>
      </c>
      <c r="IO13" s="31">
        <v>495</v>
      </c>
      <c r="IP13" s="31">
        <v>447</v>
      </c>
      <c r="IQ13" s="31">
        <v>473</v>
      </c>
      <c r="IR13" s="31">
        <v>505</v>
      </c>
      <c r="IS13" s="31">
        <v>457</v>
      </c>
      <c r="IT13" s="31">
        <v>460</v>
      </c>
      <c r="IU13" s="31">
        <v>473</v>
      </c>
      <c r="IV13" s="31">
        <v>463</v>
      </c>
      <c r="IW13" s="31">
        <v>454</v>
      </c>
      <c r="IX13" s="31">
        <v>485</v>
      </c>
      <c r="IY13" s="31">
        <v>467</v>
      </c>
      <c r="IZ13" s="31">
        <v>453</v>
      </c>
      <c r="JA13" s="31">
        <v>462</v>
      </c>
      <c r="JB13" s="31">
        <v>476</v>
      </c>
      <c r="JC13" s="31">
        <v>475</v>
      </c>
      <c r="JD13" s="31">
        <v>484</v>
      </c>
      <c r="JE13" s="31">
        <v>493</v>
      </c>
      <c r="JF13" s="31">
        <v>502</v>
      </c>
      <c r="JG13" s="31">
        <v>475</v>
      </c>
      <c r="JH13" s="31">
        <v>494</v>
      </c>
      <c r="JI13" s="31">
        <v>463</v>
      </c>
      <c r="JJ13" s="31">
        <v>472</v>
      </c>
      <c r="JK13" s="31">
        <v>490</v>
      </c>
      <c r="JL13" s="31">
        <v>499</v>
      </c>
      <c r="JM13" s="31">
        <v>501</v>
      </c>
      <c r="JN13" s="31">
        <v>494</v>
      </c>
      <c r="JO13" s="31">
        <v>483</v>
      </c>
      <c r="JP13" s="31">
        <v>491</v>
      </c>
      <c r="JQ13" s="31">
        <v>491</v>
      </c>
      <c r="JR13" s="31">
        <v>470</v>
      </c>
      <c r="JS13" s="31">
        <v>485</v>
      </c>
      <c r="JT13" s="31">
        <v>449</v>
      </c>
      <c r="JU13" s="31">
        <v>506</v>
      </c>
      <c r="JV13" s="31">
        <v>491</v>
      </c>
      <c r="JW13" s="31">
        <v>504</v>
      </c>
      <c r="JX13" s="31">
        <v>511</v>
      </c>
      <c r="JY13" s="31">
        <v>527</v>
      </c>
      <c r="JZ13" s="31">
        <v>485</v>
      </c>
      <c r="KA13" s="31">
        <v>507</v>
      </c>
      <c r="KB13" s="31">
        <v>587</v>
      </c>
      <c r="KC13" s="31">
        <v>687</v>
      </c>
      <c r="KD13" s="31">
        <v>862</v>
      </c>
      <c r="KE13" s="31">
        <v>859</v>
      </c>
      <c r="KF13" s="31">
        <v>925</v>
      </c>
      <c r="KG13" s="31">
        <v>874</v>
      </c>
      <c r="KH13" s="31">
        <v>783</v>
      </c>
      <c r="KI13" s="31">
        <v>813</v>
      </c>
      <c r="KJ13" s="31">
        <v>883</v>
      </c>
      <c r="KK13" s="31">
        <v>783</v>
      </c>
      <c r="KL13" s="31">
        <v>823</v>
      </c>
      <c r="KM13" s="31">
        <v>763</v>
      </c>
      <c r="KN13" s="31">
        <v>658</v>
      </c>
      <c r="KO13" s="31">
        <v>655</v>
      </c>
    </row>
    <row r="14" spans="1:304 16384:16384" x14ac:dyDescent="0.25">
      <c r="A14" s="182"/>
      <c r="B14" s="29">
        <v>13</v>
      </c>
      <c r="C14" s="91" t="s">
        <v>389</v>
      </c>
      <c r="D14" s="30" t="s">
        <v>358</v>
      </c>
      <c r="E14" s="30" t="s">
        <v>359</v>
      </c>
      <c r="F14" s="30" t="s">
        <v>359</v>
      </c>
      <c r="G14" s="30" t="s">
        <v>360</v>
      </c>
      <c r="H14" s="30" t="s">
        <v>360</v>
      </c>
      <c r="I14" s="30" t="s">
        <v>360</v>
      </c>
      <c r="J14" s="30" t="s">
        <v>360</v>
      </c>
      <c r="K14" s="30" t="s">
        <v>360</v>
      </c>
      <c r="L14" s="30" t="s">
        <v>360</v>
      </c>
      <c r="M14" s="30" t="s">
        <v>360</v>
      </c>
      <c r="N14" s="30" t="s">
        <v>360</v>
      </c>
      <c r="O14" s="30" t="s">
        <v>360</v>
      </c>
      <c r="P14" s="30" t="s">
        <v>360</v>
      </c>
      <c r="Q14" s="30" t="s">
        <v>360</v>
      </c>
      <c r="R14" s="30" t="s">
        <v>360</v>
      </c>
      <c r="S14" s="30" t="s">
        <v>360</v>
      </c>
      <c r="T14" s="30" t="s">
        <v>360</v>
      </c>
      <c r="U14" s="30" t="s">
        <v>361</v>
      </c>
      <c r="V14" s="30" t="s">
        <v>362</v>
      </c>
      <c r="W14" s="30" t="s">
        <v>362</v>
      </c>
      <c r="X14" s="30" t="s">
        <v>362</v>
      </c>
      <c r="Y14" s="31" t="s">
        <v>362</v>
      </c>
      <c r="Z14" s="31" t="s">
        <v>233</v>
      </c>
      <c r="AA14" s="31" t="s">
        <v>233</v>
      </c>
      <c r="AB14" s="31" t="s">
        <v>232</v>
      </c>
      <c r="AC14" s="31" t="s">
        <v>363</v>
      </c>
      <c r="AD14" s="31" t="s">
        <v>364</v>
      </c>
      <c r="AE14" s="31" t="s">
        <v>364</v>
      </c>
      <c r="AF14" s="31" t="s">
        <v>365</v>
      </c>
      <c r="AG14" s="31" t="s">
        <v>365</v>
      </c>
      <c r="AH14" s="31" t="s">
        <v>239</v>
      </c>
      <c r="AI14" s="31" t="s">
        <v>154</v>
      </c>
      <c r="AJ14" s="31" t="s">
        <v>366</v>
      </c>
      <c r="AK14" s="31" t="s">
        <v>366</v>
      </c>
      <c r="AL14" s="31" t="s">
        <v>367</v>
      </c>
      <c r="AM14" s="31" t="s">
        <v>368</v>
      </c>
      <c r="AN14" s="31" t="s">
        <v>368</v>
      </c>
      <c r="AO14" s="31" t="s">
        <v>368</v>
      </c>
      <c r="AP14" s="31" t="s">
        <v>368</v>
      </c>
      <c r="AQ14" s="31" t="s">
        <v>369</v>
      </c>
      <c r="AR14" s="31" t="s">
        <v>298</v>
      </c>
      <c r="AS14" s="31" t="s">
        <v>370</v>
      </c>
      <c r="AT14" s="31" t="s">
        <v>370</v>
      </c>
      <c r="AU14" s="31" t="s">
        <v>294</v>
      </c>
      <c r="AV14" s="31" t="s">
        <v>371</v>
      </c>
      <c r="AW14" s="31" t="s">
        <v>371</v>
      </c>
      <c r="AX14" s="31" t="s">
        <v>371</v>
      </c>
      <c r="AY14" s="31" t="s">
        <v>371</v>
      </c>
      <c r="AZ14" s="31" t="s">
        <v>372</v>
      </c>
      <c r="BA14" s="31" t="s">
        <v>372</v>
      </c>
      <c r="BB14" s="31" t="s">
        <v>372</v>
      </c>
      <c r="BC14" s="31" t="s">
        <v>372</v>
      </c>
      <c r="BD14" s="31" t="s">
        <v>373</v>
      </c>
      <c r="BE14" s="31" t="s">
        <v>374</v>
      </c>
      <c r="BF14" s="31" t="s">
        <v>374</v>
      </c>
      <c r="BG14" s="31" t="s">
        <v>374</v>
      </c>
      <c r="BH14" s="31" t="s">
        <v>374</v>
      </c>
      <c r="BI14" s="31" t="s">
        <v>374</v>
      </c>
      <c r="BJ14" s="31" t="s">
        <v>374</v>
      </c>
      <c r="BK14" s="31" t="s">
        <v>373</v>
      </c>
      <c r="BL14" s="31" t="s">
        <v>373</v>
      </c>
      <c r="BM14" s="31" t="s">
        <v>373</v>
      </c>
      <c r="BN14" s="31" t="s">
        <v>373</v>
      </c>
      <c r="BO14" s="31" t="s">
        <v>373</v>
      </c>
      <c r="BP14" s="31" t="s">
        <v>373</v>
      </c>
      <c r="BQ14" s="31" t="s">
        <v>375</v>
      </c>
      <c r="BR14" s="31" t="s">
        <v>375</v>
      </c>
      <c r="BS14" s="31" t="s">
        <v>376</v>
      </c>
      <c r="BT14" s="31" t="s">
        <v>376</v>
      </c>
      <c r="BU14" s="31" t="s">
        <v>377</v>
      </c>
      <c r="BV14" s="31" t="s">
        <v>377</v>
      </c>
      <c r="BW14" s="31" t="s">
        <v>377</v>
      </c>
      <c r="BX14" s="31" t="s">
        <v>377</v>
      </c>
      <c r="BY14" s="31" t="s">
        <v>377</v>
      </c>
      <c r="BZ14" s="31" t="s">
        <v>377</v>
      </c>
      <c r="CA14" s="31" t="s">
        <v>377</v>
      </c>
      <c r="CB14" s="31" t="s">
        <v>377</v>
      </c>
      <c r="CC14" s="31" t="s">
        <v>377</v>
      </c>
      <c r="CD14" s="31" t="s">
        <v>377</v>
      </c>
      <c r="CE14" s="31" t="s">
        <v>377</v>
      </c>
      <c r="CF14" s="31" t="s">
        <v>378</v>
      </c>
      <c r="CG14" s="31" t="s">
        <v>379</v>
      </c>
      <c r="CH14" s="31" t="s">
        <v>380</v>
      </c>
      <c r="CI14" s="31" t="s">
        <v>380</v>
      </c>
      <c r="CJ14" s="31" t="s">
        <v>380</v>
      </c>
      <c r="CK14" s="31" t="s">
        <v>367</v>
      </c>
      <c r="CL14" s="31" t="s">
        <v>381</v>
      </c>
      <c r="CM14" s="31" t="s">
        <v>381</v>
      </c>
      <c r="CN14" s="31" t="s">
        <v>381</v>
      </c>
      <c r="CO14" s="31" t="s">
        <v>381</v>
      </c>
      <c r="CP14" s="31" t="s">
        <v>382</v>
      </c>
      <c r="CQ14" s="31" t="s">
        <v>382</v>
      </c>
      <c r="CR14" s="31" t="s">
        <v>383</v>
      </c>
      <c r="CS14" s="31" t="s">
        <v>383</v>
      </c>
      <c r="CT14" s="31" t="s">
        <v>384</v>
      </c>
      <c r="CU14" s="31" t="s">
        <v>385</v>
      </c>
      <c r="CV14" s="31" t="s">
        <v>377</v>
      </c>
      <c r="CW14" s="31" t="s">
        <v>377</v>
      </c>
      <c r="CX14" s="31" t="s">
        <v>373</v>
      </c>
      <c r="CY14" s="31" t="s">
        <v>386</v>
      </c>
      <c r="CZ14" s="31" t="s">
        <v>387</v>
      </c>
      <c r="DA14" s="31" t="s">
        <v>86</v>
      </c>
      <c r="DB14" s="31" t="s">
        <v>86</v>
      </c>
      <c r="DC14" s="31" t="s">
        <v>388</v>
      </c>
      <c r="DD14" s="30" t="s">
        <v>388</v>
      </c>
      <c r="DE14" s="30" t="s">
        <v>388</v>
      </c>
      <c r="DF14" s="30" t="s">
        <v>388</v>
      </c>
      <c r="DG14" s="30" t="s">
        <v>693</v>
      </c>
      <c r="DH14" s="30" t="s">
        <v>693</v>
      </c>
      <c r="DI14" s="30" t="s">
        <v>693</v>
      </c>
      <c r="DJ14" s="30" t="s">
        <v>693</v>
      </c>
      <c r="DK14" s="30" t="s">
        <v>693</v>
      </c>
      <c r="DL14" s="30" t="s">
        <v>693</v>
      </c>
      <c r="DM14" s="30" t="s">
        <v>693</v>
      </c>
      <c r="DN14" s="30" t="s">
        <v>723</v>
      </c>
      <c r="DO14" s="30" t="s">
        <v>723</v>
      </c>
      <c r="DP14" s="30" t="s">
        <v>723</v>
      </c>
      <c r="DQ14" s="30" t="s">
        <v>723</v>
      </c>
      <c r="DR14" s="30" t="s">
        <v>723</v>
      </c>
      <c r="DS14" s="30" t="s">
        <v>723</v>
      </c>
      <c r="DT14" s="30" t="s">
        <v>759</v>
      </c>
      <c r="DU14" s="30" t="s">
        <v>759</v>
      </c>
      <c r="DV14" s="30" t="s">
        <v>759</v>
      </c>
      <c r="DW14" s="30" t="s">
        <v>759</v>
      </c>
      <c r="DX14" s="30" t="s">
        <v>514</v>
      </c>
      <c r="DY14" s="30" t="s">
        <v>515</v>
      </c>
      <c r="DZ14" s="30" t="s">
        <v>515</v>
      </c>
      <c r="EA14" s="30" t="s">
        <v>515</v>
      </c>
      <c r="EB14" s="30" t="s">
        <v>799</v>
      </c>
      <c r="EC14" s="30" t="s">
        <v>804</v>
      </c>
      <c r="ED14" s="30" t="s">
        <v>807</v>
      </c>
      <c r="EE14" s="30" t="s">
        <v>807</v>
      </c>
      <c r="EF14" s="30" t="s">
        <v>816</v>
      </c>
      <c r="EG14" s="30" t="s">
        <v>819</v>
      </c>
      <c r="EH14" s="30" t="s">
        <v>819</v>
      </c>
      <c r="EI14" s="30" t="s">
        <v>819</v>
      </c>
      <c r="EJ14" s="30" t="s">
        <v>819</v>
      </c>
      <c r="EK14" s="30" t="s">
        <v>819</v>
      </c>
      <c r="EL14" s="30" t="s">
        <v>819</v>
      </c>
      <c r="EM14" s="30" t="s">
        <v>819</v>
      </c>
      <c r="EN14" s="30" t="s">
        <v>819</v>
      </c>
      <c r="EO14" s="30" t="s">
        <v>499</v>
      </c>
      <c r="EP14" s="30" t="s">
        <v>858</v>
      </c>
      <c r="EQ14" s="30" t="s">
        <v>858</v>
      </c>
      <c r="ER14" s="30" t="s">
        <v>858</v>
      </c>
      <c r="ES14" s="30" t="s">
        <v>486</v>
      </c>
      <c r="ET14" s="30" t="s">
        <v>884</v>
      </c>
      <c r="EU14" s="30" t="s">
        <v>884</v>
      </c>
      <c r="EV14" s="30" t="s">
        <v>891</v>
      </c>
      <c r="EW14" s="30" t="s">
        <v>898</v>
      </c>
      <c r="EX14" s="30" t="s">
        <v>905</v>
      </c>
      <c r="EY14" s="30" t="s">
        <v>905</v>
      </c>
      <c r="EZ14" s="30" t="s">
        <v>905</v>
      </c>
      <c r="FA14" s="30" t="s">
        <v>905</v>
      </c>
      <c r="FB14" s="30" t="s">
        <v>905</v>
      </c>
      <c r="FC14" s="30" t="s">
        <v>905</v>
      </c>
      <c r="FD14" s="30" t="s">
        <v>905</v>
      </c>
      <c r="FE14" s="30" t="s">
        <v>905</v>
      </c>
      <c r="FF14" s="30" t="s">
        <v>934</v>
      </c>
      <c r="FG14" s="30" t="s">
        <v>934</v>
      </c>
      <c r="FH14" s="30" t="s">
        <v>457</v>
      </c>
      <c r="FI14" s="30" t="s">
        <v>490</v>
      </c>
      <c r="FJ14" s="30" t="s">
        <v>490</v>
      </c>
      <c r="FK14" s="30" t="s">
        <v>517</v>
      </c>
      <c r="FL14" s="30" t="s">
        <v>511</v>
      </c>
      <c r="FM14" s="30" t="s">
        <v>511</v>
      </c>
      <c r="FN14" s="30" t="s">
        <v>511</v>
      </c>
      <c r="FO14" s="30" t="s">
        <v>966</v>
      </c>
      <c r="FP14" s="30" t="s">
        <v>972</v>
      </c>
      <c r="FQ14" s="30" t="s">
        <v>972</v>
      </c>
      <c r="FR14" s="30" t="s">
        <v>972</v>
      </c>
      <c r="FS14" s="30" t="s">
        <v>981</v>
      </c>
      <c r="FT14" s="30" t="s">
        <v>981</v>
      </c>
      <c r="FU14" s="30" t="s">
        <v>981</v>
      </c>
      <c r="FV14" s="30" t="s">
        <v>981</v>
      </c>
      <c r="FW14" s="30" t="s">
        <v>981</v>
      </c>
      <c r="FX14" s="30" t="s">
        <v>458</v>
      </c>
      <c r="FY14" s="30" t="s">
        <v>1010</v>
      </c>
      <c r="FZ14" s="30" t="s">
        <v>1010</v>
      </c>
      <c r="GA14" s="30" t="s">
        <v>465</v>
      </c>
      <c r="GB14" s="30" t="s">
        <v>1020</v>
      </c>
      <c r="GC14" s="30" t="s">
        <v>778</v>
      </c>
      <c r="GD14" s="30" t="s">
        <v>778</v>
      </c>
      <c r="GE14" s="30" t="s">
        <v>778</v>
      </c>
      <c r="GF14" s="30" t="s">
        <v>477</v>
      </c>
      <c r="GG14" s="30" t="s">
        <v>477</v>
      </c>
      <c r="GH14" s="30" t="s">
        <v>477</v>
      </c>
      <c r="GI14" s="30" t="s">
        <v>477</v>
      </c>
      <c r="GJ14" s="30" t="s">
        <v>778</v>
      </c>
      <c r="GK14" s="30" t="s">
        <v>778</v>
      </c>
      <c r="GL14" s="30" t="s">
        <v>778</v>
      </c>
      <c r="GM14" s="30" t="s">
        <v>778</v>
      </c>
      <c r="GN14" s="30" t="s">
        <v>1057</v>
      </c>
      <c r="GO14" s="30" t="s">
        <v>1063</v>
      </c>
      <c r="GP14" s="30" t="s">
        <v>1063</v>
      </c>
      <c r="GQ14" s="30" t="s">
        <v>465</v>
      </c>
      <c r="GR14" s="30" t="s">
        <v>465</v>
      </c>
      <c r="GS14" s="30" t="s">
        <v>232</v>
      </c>
      <c r="GT14" s="30" t="s">
        <v>232</v>
      </c>
      <c r="GU14" s="30" t="s">
        <v>232</v>
      </c>
      <c r="GV14" s="30" t="s">
        <v>232</v>
      </c>
      <c r="GW14" s="30" t="s">
        <v>232</v>
      </c>
      <c r="GX14" s="30" t="s">
        <v>232</v>
      </c>
      <c r="GY14" s="30" t="s">
        <v>1097</v>
      </c>
      <c r="GZ14" s="30" t="s">
        <v>1105</v>
      </c>
      <c r="HA14" s="30" t="s">
        <v>723</v>
      </c>
      <c r="HB14" s="30" t="s">
        <v>723</v>
      </c>
      <c r="HC14" s="30" t="s">
        <v>723</v>
      </c>
      <c r="HD14" s="30" t="s">
        <v>723</v>
      </c>
      <c r="HE14" s="30" t="s">
        <v>1123</v>
      </c>
      <c r="HF14" s="30" t="s">
        <v>465</v>
      </c>
      <c r="HG14" s="30" t="s">
        <v>1132</v>
      </c>
      <c r="HH14" s="30" t="s">
        <v>954</v>
      </c>
      <c r="HI14" s="30" t="s">
        <v>954</v>
      </c>
      <c r="HJ14" s="30" t="s">
        <v>483</v>
      </c>
      <c r="HK14" s="30" t="s">
        <v>483</v>
      </c>
      <c r="HL14" s="30" t="s">
        <v>487</v>
      </c>
      <c r="HM14" s="30" t="s">
        <v>461</v>
      </c>
      <c r="HN14" s="30" t="s">
        <v>461</v>
      </c>
      <c r="HO14" s="30" t="s">
        <v>1159</v>
      </c>
      <c r="HP14" s="30" t="s">
        <v>1165</v>
      </c>
      <c r="HQ14" s="30" t="s">
        <v>1165</v>
      </c>
      <c r="HR14" s="30" t="s">
        <v>1165</v>
      </c>
      <c r="HS14" s="30" t="s">
        <v>1180</v>
      </c>
      <c r="HT14" s="30" t="s">
        <v>1180</v>
      </c>
      <c r="HU14" s="30" t="s">
        <v>1180</v>
      </c>
      <c r="HV14" s="30" t="s">
        <v>1198</v>
      </c>
      <c r="HW14" s="30" t="s">
        <v>1198</v>
      </c>
      <c r="HX14" s="30" t="s">
        <v>1198</v>
      </c>
      <c r="HY14" s="30" t="s">
        <v>1198</v>
      </c>
      <c r="HZ14" s="30" t="s">
        <v>459</v>
      </c>
      <c r="IA14" s="30" t="s">
        <v>1221</v>
      </c>
      <c r="IB14" s="30" t="s">
        <v>1221</v>
      </c>
      <c r="IC14" s="30" t="s">
        <v>1221</v>
      </c>
      <c r="ID14" s="30" t="s">
        <v>1221</v>
      </c>
      <c r="IE14" s="30" t="s">
        <v>233</v>
      </c>
      <c r="IF14" s="30" t="s">
        <v>233</v>
      </c>
      <c r="IG14" s="30" t="s">
        <v>233</v>
      </c>
      <c r="IH14" s="30" t="s">
        <v>233</v>
      </c>
      <c r="II14" s="30" t="s">
        <v>906</v>
      </c>
      <c r="IJ14" s="30" t="s">
        <v>906</v>
      </c>
      <c r="IK14" s="30" t="s">
        <v>906</v>
      </c>
      <c r="IL14" s="30" t="s">
        <v>1272</v>
      </c>
      <c r="IM14" s="30" t="s">
        <v>1272</v>
      </c>
      <c r="IN14" s="30" t="s">
        <v>1272</v>
      </c>
      <c r="IO14" s="30" t="s">
        <v>1282</v>
      </c>
      <c r="IP14" s="30" t="s">
        <v>1282</v>
      </c>
      <c r="IQ14" s="30" t="s">
        <v>362</v>
      </c>
      <c r="IR14" s="30" t="s">
        <v>362</v>
      </c>
      <c r="IS14" s="30" t="s">
        <v>362</v>
      </c>
      <c r="IT14" s="30" t="s">
        <v>362</v>
      </c>
      <c r="IU14" s="30" t="s">
        <v>362</v>
      </c>
      <c r="IV14" s="30" t="s">
        <v>362</v>
      </c>
      <c r="IW14" s="30" t="s">
        <v>362</v>
      </c>
      <c r="IX14" s="30" t="s">
        <v>362</v>
      </c>
      <c r="IY14" s="30" t="s">
        <v>449</v>
      </c>
      <c r="IZ14" s="30" t="s">
        <v>1322</v>
      </c>
      <c r="JA14" s="30" t="s">
        <v>1322</v>
      </c>
      <c r="JB14" s="30" t="s">
        <v>1322</v>
      </c>
      <c r="JC14" s="30" t="s">
        <v>1322</v>
      </c>
      <c r="JD14" s="30" t="s">
        <v>1335</v>
      </c>
      <c r="JE14" s="30" t="s">
        <v>1341</v>
      </c>
      <c r="JF14" s="30" t="s">
        <v>1341</v>
      </c>
      <c r="JG14" s="30" t="s">
        <v>1341</v>
      </c>
      <c r="JH14" s="30" t="s">
        <v>1348</v>
      </c>
      <c r="JI14" s="30" t="s">
        <v>1352</v>
      </c>
      <c r="JJ14" s="30" t="s">
        <v>727</v>
      </c>
      <c r="JK14" s="30" t="s">
        <v>727</v>
      </c>
      <c r="JL14" s="30" t="s">
        <v>1365</v>
      </c>
      <c r="JM14" s="30" t="s">
        <v>1365</v>
      </c>
      <c r="JN14" s="30" t="s">
        <v>1365</v>
      </c>
      <c r="JO14" s="30" t="s">
        <v>1365</v>
      </c>
      <c r="JP14" s="30" t="s">
        <v>1365</v>
      </c>
      <c r="JQ14" s="30" t="s">
        <v>360</v>
      </c>
      <c r="JR14" s="30" t="s">
        <v>360</v>
      </c>
      <c r="JS14" s="30" t="s">
        <v>360</v>
      </c>
      <c r="JT14" s="30" t="s">
        <v>360</v>
      </c>
      <c r="JU14" s="30" t="s">
        <v>360</v>
      </c>
      <c r="JV14" s="30" t="s">
        <v>360</v>
      </c>
      <c r="JW14" s="30" t="s">
        <v>360</v>
      </c>
      <c r="JX14" s="30" t="s">
        <v>360</v>
      </c>
      <c r="JY14" s="30" t="s">
        <v>1394</v>
      </c>
      <c r="JZ14" s="30" t="s">
        <v>1396</v>
      </c>
      <c r="KA14" s="30" t="s">
        <v>1396</v>
      </c>
      <c r="KB14" s="30" t="s">
        <v>1396</v>
      </c>
      <c r="KC14" s="30" t="s">
        <v>234</v>
      </c>
      <c r="KD14" s="30" t="s">
        <v>1402</v>
      </c>
      <c r="KE14" s="30" t="s">
        <v>1406</v>
      </c>
      <c r="KF14" s="30" t="s">
        <v>1410</v>
      </c>
      <c r="KG14" s="30" t="s">
        <v>1412</v>
      </c>
      <c r="KH14" s="30" t="s">
        <v>239</v>
      </c>
      <c r="KI14" s="30" t="s">
        <v>1416</v>
      </c>
      <c r="KJ14" s="30" t="s">
        <v>1416</v>
      </c>
      <c r="KK14" s="30" t="s">
        <v>1416</v>
      </c>
      <c r="KL14" s="30" t="s">
        <v>1410</v>
      </c>
      <c r="KM14" s="30" t="s">
        <v>1410</v>
      </c>
      <c r="KN14" s="30" t="s">
        <v>1424</v>
      </c>
      <c r="KO14" s="30" t="s">
        <v>1424</v>
      </c>
    </row>
    <row r="15" spans="1:304 16384:16384" x14ac:dyDescent="0.25">
      <c r="A15" s="182"/>
      <c r="B15" s="29">
        <v>14</v>
      </c>
      <c r="C15" s="91" t="s">
        <v>395</v>
      </c>
      <c r="D15" s="30" t="s">
        <v>396</v>
      </c>
      <c r="E15" s="30" t="s">
        <v>397</v>
      </c>
      <c r="F15" s="30" t="s">
        <v>397</v>
      </c>
      <c r="G15" s="30" t="s">
        <v>151</v>
      </c>
      <c r="H15" s="30" t="s">
        <v>151</v>
      </c>
      <c r="I15" s="30" t="s">
        <v>151</v>
      </c>
      <c r="J15" s="30" t="s">
        <v>151</v>
      </c>
      <c r="K15" s="30" t="s">
        <v>151</v>
      </c>
      <c r="L15" s="30" t="s">
        <v>151</v>
      </c>
      <c r="M15" s="30" t="s">
        <v>151</v>
      </c>
      <c r="N15" s="30" t="s">
        <v>151</v>
      </c>
      <c r="O15" s="30" t="s">
        <v>151</v>
      </c>
      <c r="P15" s="30" t="s">
        <v>151</v>
      </c>
      <c r="Q15" s="30" t="s">
        <v>151</v>
      </c>
      <c r="R15" s="30" t="s">
        <v>151</v>
      </c>
      <c r="S15" s="30" t="s">
        <v>151</v>
      </c>
      <c r="T15" s="30" t="s">
        <v>151</v>
      </c>
      <c r="U15" s="30" t="s">
        <v>398</v>
      </c>
      <c r="V15" s="30" t="s">
        <v>150</v>
      </c>
      <c r="W15" s="30" t="s">
        <v>150</v>
      </c>
      <c r="X15" s="30" t="s">
        <v>150</v>
      </c>
      <c r="Y15" s="30" t="s">
        <v>150</v>
      </c>
      <c r="Z15" s="30" t="s">
        <v>232</v>
      </c>
      <c r="AA15" s="30" t="s">
        <v>232</v>
      </c>
      <c r="AB15" s="30" t="s">
        <v>234</v>
      </c>
      <c r="AC15" s="30" t="s">
        <v>399</v>
      </c>
      <c r="AD15" s="30" t="s">
        <v>77</v>
      </c>
      <c r="AE15" s="30" t="s">
        <v>77</v>
      </c>
      <c r="AF15" s="30" t="s">
        <v>400</v>
      </c>
      <c r="AG15" s="30" t="s">
        <v>400</v>
      </c>
      <c r="AH15" s="30" t="s">
        <v>401</v>
      </c>
      <c r="AI15" s="30" t="s">
        <v>402</v>
      </c>
      <c r="AJ15" s="30" t="s">
        <v>370</v>
      </c>
      <c r="AK15" s="30" t="s">
        <v>370</v>
      </c>
      <c r="AL15" s="30" t="s">
        <v>403</v>
      </c>
      <c r="AM15" s="30" t="s">
        <v>404</v>
      </c>
      <c r="AN15" s="30" t="s">
        <v>404</v>
      </c>
      <c r="AO15" s="30" t="s">
        <v>404</v>
      </c>
      <c r="AP15" s="30" t="s">
        <v>404</v>
      </c>
      <c r="AQ15" s="30" t="s">
        <v>404</v>
      </c>
      <c r="AR15" s="30" t="s">
        <v>404</v>
      </c>
      <c r="AS15" s="30" t="s">
        <v>405</v>
      </c>
      <c r="AT15" s="30" t="s">
        <v>405</v>
      </c>
      <c r="AU15" s="30" t="s">
        <v>78</v>
      </c>
      <c r="AV15" s="30" t="s">
        <v>406</v>
      </c>
      <c r="AW15" s="30" t="s">
        <v>406</v>
      </c>
      <c r="AX15" s="30" t="s">
        <v>406</v>
      </c>
      <c r="AY15" s="30" t="s">
        <v>406</v>
      </c>
      <c r="AZ15" s="30" t="s">
        <v>406</v>
      </c>
      <c r="BA15" s="30" t="s">
        <v>406</v>
      </c>
      <c r="BB15" s="30" t="s">
        <v>406</v>
      </c>
      <c r="BC15" s="30" t="s">
        <v>406</v>
      </c>
      <c r="BD15" s="30" t="s">
        <v>406</v>
      </c>
      <c r="BE15" s="30" t="s">
        <v>406</v>
      </c>
      <c r="BF15" s="30" t="s">
        <v>406</v>
      </c>
      <c r="BG15" s="30" t="s">
        <v>406</v>
      </c>
      <c r="BH15" s="30" t="s">
        <v>406</v>
      </c>
      <c r="BI15" s="30" t="s">
        <v>406</v>
      </c>
      <c r="BJ15" s="30" t="s">
        <v>406</v>
      </c>
      <c r="BK15" s="30" t="s">
        <v>406</v>
      </c>
      <c r="BL15" s="30" t="s">
        <v>407</v>
      </c>
      <c r="BM15" s="30" t="s">
        <v>407</v>
      </c>
      <c r="BN15" s="30" t="s">
        <v>407</v>
      </c>
      <c r="BO15" s="30" t="s">
        <v>407</v>
      </c>
      <c r="BP15" s="30" t="s">
        <v>407</v>
      </c>
      <c r="BQ15" s="30" t="s">
        <v>408</v>
      </c>
      <c r="BR15" s="30" t="s">
        <v>408</v>
      </c>
      <c r="BS15" s="30" t="s">
        <v>409</v>
      </c>
      <c r="BT15" s="30" t="s">
        <v>409</v>
      </c>
      <c r="BU15" s="30" t="s">
        <v>410</v>
      </c>
      <c r="BV15" s="30" t="s">
        <v>410</v>
      </c>
      <c r="BW15" s="30" t="s">
        <v>410</v>
      </c>
      <c r="BX15" s="30" t="s">
        <v>410</v>
      </c>
      <c r="BY15" s="30" t="s">
        <v>410</v>
      </c>
      <c r="BZ15" s="30" t="s">
        <v>411</v>
      </c>
      <c r="CA15" s="30" t="s">
        <v>411</v>
      </c>
      <c r="CB15" s="30" t="s">
        <v>411</v>
      </c>
      <c r="CC15" s="30" t="s">
        <v>411</v>
      </c>
      <c r="CD15" s="30" t="s">
        <v>411</v>
      </c>
      <c r="CE15" s="30" t="s">
        <v>411</v>
      </c>
      <c r="CF15" s="30" t="s">
        <v>411</v>
      </c>
      <c r="CG15" s="30" t="s">
        <v>294</v>
      </c>
      <c r="CH15" s="30" t="s">
        <v>412</v>
      </c>
      <c r="CI15" s="30" t="s">
        <v>412</v>
      </c>
      <c r="CJ15" s="30" t="s">
        <v>412</v>
      </c>
      <c r="CK15" s="30" t="s">
        <v>413</v>
      </c>
      <c r="CL15" s="30" t="s">
        <v>414</v>
      </c>
      <c r="CM15" s="30" t="s">
        <v>414</v>
      </c>
      <c r="CN15" s="30" t="s">
        <v>414</v>
      </c>
      <c r="CO15" s="30" t="s">
        <v>414</v>
      </c>
      <c r="CP15" s="30" t="s">
        <v>153</v>
      </c>
      <c r="CQ15" s="30" t="s">
        <v>153</v>
      </c>
      <c r="CR15" s="30" t="s">
        <v>415</v>
      </c>
      <c r="CS15" s="30" t="s">
        <v>415</v>
      </c>
      <c r="CT15" s="30" t="s">
        <v>416</v>
      </c>
      <c r="CU15" s="30" t="s">
        <v>416</v>
      </c>
      <c r="CV15" s="30" t="s">
        <v>416</v>
      </c>
      <c r="CW15" s="30" t="s">
        <v>416</v>
      </c>
      <c r="CX15" s="30" t="s">
        <v>417</v>
      </c>
      <c r="CY15" s="30" t="s">
        <v>418</v>
      </c>
      <c r="CZ15" s="30" t="s">
        <v>374</v>
      </c>
      <c r="DA15" s="30" t="s">
        <v>374</v>
      </c>
      <c r="DB15" s="30" t="s">
        <v>374</v>
      </c>
      <c r="DC15" s="30" t="s">
        <v>419</v>
      </c>
      <c r="DD15" s="30" t="s">
        <v>419</v>
      </c>
      <c r="DE15" s="30" t="s">
        <v>419</v>
      </c>
      <c r="DF15" s="30" t="s">
        <v>419</v>
      </c>
      <c r="DG15" s="30" t="s">
        <v>694</v>
      </c>
      <c r="DH15" s="30" t="s">
        <v>694</v>
      </c>
      <c r="DI15" s="30" t="s">
        <v>694</v>
      </c>
      <c r="DJ15" s="30" t="s">
        <v>694</v>
      </c>
      <c r="DK15" s="30" t="s">
        <v>694</v>
      </c>
      <c r="DL15" s="30" t="s">
        <v>694</v>
      </c>
      <c r="DM15" s="30" t="s">
        <v>694</v>
      </c>
      <c r="DN15" s="30" t="s">
        <v>694</v>
      </c>
      <c r="DO15" s="30" t="s">
        <v>694</v>
      </c>
      <c r="DP15" s="30" t="s">
        <v>694</v>
      </c>
      <c r="DQ15" s="30" t="s">
        <v>694</v>
      </c>
      <c r="DR15" s="30" t="s">
        <v>694</v>
      </c>
      <c r="DS15" s="30" t="s">
        <v>694</v>
      </c>
      <c r="DT15" s="30" t="s">
        <v>760</v>
      </c>
      <c r="DU15" s="30" t="s">
        <v>761</v>
      </c>
      <c r="DV15" s="30" t="s">
        <v>761</v>
      </c>
      <c r="DW15" s="30" t="s">
        <v>761</v>
      </c>
      <c r="DX15" s="30" t="s">
        <v>774</v>
      </c>
      <c r="DY15" s="30" t="s">
        <v>778</v>
      </c>
      <c r="DZ15" s="30" t="s">
        <v>778</v>
      </c>
      <c r="EA15" s="30" t="s">
        <v>778</v>
      </c>
      <c r="EB15" s="30" t="s">
        <v>800</v>
      </c>
      <c r="EC15" s="30" t="s">
        <v>805</v>
      </c>
      <c r="ED15" s="30" t="s">
        <v>479</v>
      </c>
      <c r="EE15" s="30" t="s">
        <v>479</v>
      </c>
      <c r="EF15" s="30" t="s">
        <v>477</v>
      </c>
      <c r="EG15" s="30" t="s">
        <v>399</v>
      </c>
      <c r="EH15" s="30" t="s">
        <v>399</v>
      </c>
      <c r="EI15" s="30" t="s">
        <v>399</v>
      </c>
      <c r="EJ15" s="30" t="s">
        <v>399</v>
      </c>
      <c r="EK15" s="30" t="s">
        <v>399</v>
      </c>
      <c r="EL15" s="30" t="s">
        <v>399</v>
      </c>
      <c r="EM15" s="30" t="s">
        <v>399</v>
      </c>
      <c r="EN15" s="30" t="s">
        <v>399</v>
      </c>
      <c r="EO15" s="30" t="s">
        <v>857</v>
      </c>
      <c r="EP15" s="30" t="s">
        <v>480</v>
      </c>
      <c r="EQ15" s="30" t="s">
        <v>480</v>
      </c>
      <c r="ER15" s="30" t="s">
        <v>480</v>
      </c>
      <c r="ES15" s="30" t="s">
        <v>874</v>
      </c>
      <c r="ET15" s="30" t="s">
        <v>461</v>
      </c>
      <c r="EU15" s="30" t="s">
        <v>461</v>
      </c>
      <c r="EV15" s="30" t="s">
        <v>892</v>
      </c>
      <c r="EW15" s="30" t="s">
        <v>884</v>
      </c>
      <c r="EX15" s="30" t="s">
        <v>906</v>
      </c>
      <c r="EY15" s="30" t="s">
        <v>906</v>
      </c>
      <c r="EZ15" s="30" t="s">
        <v>906</v>
      </c>
      <c r="FA15" s="30" t="s">
        <v>906</v>
      </c>
      <c r="FB15" s="30" t="s">
        <v>884</v>
      </c>
      <c r="FC15" s="30" t="s">
        <v>884</v>
      </c>
      <c r="FD15" s="30" t="s">
        <v>884</v>
      </c>
      <c r="FE15" s="30" t="s">
        <v>884</v>
      </c>
      <c r="FF15" s="30" t="s">
        <v>493</v>
      </c>
      <c r="FG15" s="30" t="s">
        <v>493</v>
      </c>
      <c r="FH15" s="30" t="s">
        <v>461</v>
      </c>
      <c r="FI15" s="30" t="s">
        <v>945</v>
      </c>
      <c r="FJ15" s="30" t="s">
        <v>945</v>
      </c>
      <c r="FK15" s="30" t="s">
        <v>232</v>
      </c>
      <c r="FL15" s="30" t="s">
        <v>954</v>
      </c>
      <c r="FM15" s="30" t="s">
        <v>954</v>
      </c>
      <c r="FN15" s="30" t="s">
        <v>954</v>
      </c>
      <c r="FO15" s="30" t="s">
        <v>483</v>
      </c>
      <c r="FP15" s="30" t="s">
        <v>945</v>
      </c>
      <c r="FQ15" s="30" t="s">
        <v>945</v>
      </c>
      <c r="FR15" s="30" t="s">
        <v>945</v>
      </c>
      <c r="FS15" s="30" t="s">
        <v>460</v>
      </c>
      <c r="FT15" s="30" t="s">
        <v>460</v>
      </c>
      <c r="FU15" s="30" t="s">
        <v>460</v>
      </c>
      <c r="FV15" s="30" t="s">
        <v>460</v>
      </c>
      <c r="FW15" s="30" t="s">
        <v>460</v>
      </c>
      <c r="FX15" s="30" t="s">
        <v>483</v>
      </c>
      <c r="FY15" s="30" t="s">
        <v>498</v>
      </c>
      <c r="FZ15" s="30" t="s">
        <v>498</v>
      </c>
      <c r="GA15" s="30" t="s">
        <v>693</v>
      </c>
      <c r="GB15" s="30" t="s">
        <v>1021</v>
      </c>
      <c r="GC15" s="30" t="s">
        <v>474</v>
      </c>
      <c r="GD15" s="30" t="s">
        <v>474</v>
      </c>
      <c r="GE15" s="30" t="s">
        <v>474</v>
      </c>
      <c r="GF15" s="30" t="s">
        <v>1033</v>
      </c>
      <c r="GG15" s="30" t="s">
        <v>1033</v>
      </c>
      <c r="GH15" s="30" t="s">
        <v>1033</v>
      </c>
      <c r="GI15" s="30" t="s">
        <v>1033</v>
      </c>
      <c r="GJ15" s="30" t="s">
        <v>467</v>
      </c>
      <c r="GK15" s="30" t="s">
        <v>467</v>
      </c>
      <c r="GL15" s="30" t="s">
        <v>774</v>
      </c>
      <c r="GM15" s="30" t="s">
        <v>774</v>
      </c>
      <c r="GN15" s="30" t="s">
        <v>778</v>
      </c>
      <c r="GO15" s="30" t="s">
        <v>723</v>
      </c>
      <c r="GP15" s="30" t="s">
        <v>723</v>
      </c>
      <c r="GQ15" s="30" t="s">
        <v>723</v>
      </c>
      <c r="GR15" s="30" t="s">
        <v>723</v>
      </c>
      <c r="GS15" s="30" t="s">
        <v>723</v>
      </c>
      <c r="GT15" s="30" t="s">
        <v>723</v>
      </c>
      <c r="GU15" s="30" t="s">
        <v>723</v>
      </c>
      <c r="GV15" s="30" t="s">
        <v>778</v>
      </c>
      <c r="GW15" s="30" t="s">
        <v>778</v>
      </c>
      <c r="GX15" s="30" t="s">
        <v>778</v>
      </c>
      <c r="GY15" s="30" t="s">
        <v>477</v>
      </c>
      <c r="GZ15" s="30" t="s">
        <v>477</v>
      </c>
      <c r="HA15" s="30" t="s">
        <v>1107</v>
      </c>
      <c r="HB15" s="30" t="s">
        <v>1107</v>
      </c>
      <c r="HC15" s="30" t="s">
        <v>1107</v>
      </c>
      <c r="HD15" s="30" t="s">
        <v>1107</v>
      </c>
      <c r="HE15" s="30" t="s">
        <v>477</v>
      </c>
      <c r="HF15" s="30" t="s">
        <v>477</v>
      </c>
      <c r="HG15" s="30" t="s">
        <v>1133</v>
      </c>
      <c r="HH15" s="30" t="s">
        <v>1133</v>
      </c>
      <c r="HI15" s="30" t="s">
        <v>1133</v>
      </c>
      <c r="HJ15" s="30" t="s">
        <v>1057</v>
      </c>
      <c r="HK15" s="30" t="s">
        <v>1057</v>
      </c>
      <c r="HL15" s="30" t="s">
        <v>1147</v>
      </c>
      <c r="HM15" s="30" t="s">
        <v>465</v>
      </c>
      <c r="HN15" s="30" t="s">
        <v>465</v>
      </c>
      <c r="HO15" s="30" t="s">
        <v>1160</v>
      </c>
      <c r="HP15" s="30" t="s">
        <v>804</v>
      </c>
      <c r="HQ15" s="30" t="s">
        <v>804</v>
      </c>
      <c r="HR15" s="30" t="s">
        <v>804</v>
      </c>
      <c r="HS15" s="30" t="s">
        <v>804</v>
      </c>
      <c r="HT15" s="30" t="s">
        <v>804</v>
      </c>
      <c r="HU15" s="30" t="s">
        <v>804</v>
      </c>
      <c r="HV15" s="30" t="s">
        <v>1063</v>
      </c>
      <c r="HW15" s="30" t="s">
        <v>1063</v>
      </c>
      <c r="HX15" s="30" t="s">
        <v>1063</v>
      </c>
      <c r="HY15" s="30" t="s">
        <v>1063</v>
      </c>
      <c r="HZ15" s="30" t="s">
        <v>778</v>
      </c>
      <c r="IA15" s="30" t="s">
        <v>778</v>
      </c>
      <c r="IB15" s="30" t="s">
        <v>778</v>
      </c>
      <c r="IC15" s="30" t="s">
        <v>778</v>
      </c>
      <c r="ID15" s="30" t="s">
        <v>778</v>
      </c>
      <c r="IE15" s="30" t="s">
        <v>723</v>
      </c>
      <c r="IF15" s="30" t="s">
        <v>723</v>
      </c>
      <c r="IG15" s="30" t="s">
        <v>723</v>
      </c>
      <c r="IH15" s="30" t="s">
        <v>723</v>
      </c>
      <c r="II15" s="30" t="s">
        <v>484</v>
      </c>
      <c r="IJ15" s="30" t="s">
        <v>484</v>
      </c>
      <c r="IK15" s="30" t="s">
        <v>484</v>
      </c>
      <c r="IL15" s="30" t="s">
        <v>485</v>
      </c>
      <c r="IM15" s="30" t="s">
        <v>485</v>
      </c>
      <c r="IN15" s="30" t="s">
        <v>485</v>
      </c>
      <c r="IO15" s="30" t="s">
        <v>483</v>
      </c>
      <c r="IP15" s="30" t="s">
        <v>483</v>
      </c>
      <c r="IQ15" s="30" t="s">
        <v>516</v>
      </c>
      <c r="IR15" s="30" t="s">
        <v>516</v>
      </c>
      <c r="IS15" s="30" t="s">
        <v>516</v>
      </c>
      <c r="IT15" s="30" t="s">
        <v>516</v>
      </c>
      <c r="IU15" s="30" t="s">
        <v>516</v>
      </c>
      <c r="IV15" s="30" t="s">
        <v>516</v>
      </c>
      <c r="IW15" s="30" t="s">
        <v>516</v>
      </c>
      <c r="IX15" s="30" t="s">
        <v>516</v>
      </c>
      <c r="IY15" s="30" t="s">
        <v>486</v>
      </c>
      <c r="IZ15" s="30" t="s">
        <v>486</v>
      </c>
      <c r="JA15" s="30" t="s">
        <v>486</v>
      </c>
      <c r="JB15" s="30" t="s">
        <v>486</v>
      </c>
      <c r="JC15" s="30" t="s">
        <v>486</v>
      </c>
      <c r="JD15" s="30" t="s">
        <v>1336</v>
      </c>
      <c r="JE15" s="30" t="s">
        <v>520</v>
      </c>
      <c r="JF15" s="30" t="s">
        <v>520</v>
      </c>
      <c r="JG15" s="30" t="s">
        <v>520</v>
      </c>
      <c r="JH15" s="30" t="s">
        <v>1349</v>
      </c>
      <c r="JI15" s="30" t="s">
        <v>934</v>
      </c>
      <c r="JJ15" s="30" t="s">
        <v>456</v>
      </c>
      <c r="JK15" s="30" t="s">
        <v>456</v>
      </c>
      <c r="JL15" s="30" t="s">
        <v>1366</v>
      </c>
      <c r="JM15" s="30" t="s">
        <v>1366</v>
      </c>
      <c r="JN15" s="30" t="s">
        <v>1366</v>
      </c>
      <c r="JO15" s="30" t="s">
        <v>1366</v>
      </c>
      <c r="JP15" s="30" t="s">
        <v>1366</v>
      </c>
      <c r="JQ15" s="30" t="s">
        <v>1374</v>
      </c>
      <c r="JR15" s="30" t="s">
        <v>1374</v>
      </c>
      <c r="JS15" s="30" t="s">
        <v>1374</v>
      </c>
      <c r="JT15" s="30" t="s">
        <v>1374</v>
      </c>
      <c r="JU15" s="30" t="s">
        <v>1282</v>
      </c>
      <c r="JV15" s="30" t="s">
        <v>1282</v>
      </c>
      <c r="JW15" s="30" t="s">
        <v>1282</v>
      </c>
      <c r="JX15" s="30" t="s">
        <v>1282</v>
      </c>
      <c r="JY15" s="30" t="s">
        <v>934</v>
      </c>
      <c r="JZ15" s="30" t="s">
        <v>934</v>
      </c>
      <c r="KA15" s="30" t="s">
        <v>934</v>
      </c>
      <c r="KB15" s="30" t="s">
        <v>934</v>
      </c>
      <c r="KC15" s="30" t="s">
        <v>363</v>
      </c>
      <c r="KD15" s="30" t="s">
        <v>1403</v>
      </c>
      <c r="KE15" s="30" t="s">
        <v>1407</v>
      </c>
      <c r="KF15" s="30" t="s">
        <v>402</v>
      </c>
      <c r="KG15" s="30" t="s">
        <v>402</v>
      </c>
      <c r="KH15" s="30" t="s">
        <v>402</v>
      </c>
      <c r="KI15" s="30" t="s">
        <v>1417</v>
      </c>
      <c r="KJ15" s="30" t="s">
        <v>1417</v>
      </c>
      <c r="KK15" s="30" t="s">
        <v>1417</v>
      </c>
      <c r="KL15" s="30" t="s">
        <v>1417</v>
      </c>
      <c r="KM15" s="30" t="s">
        <v>1417</v>
      </c>
      <c r="KN15" s="30" t="s">
        <v>1425</v>
      </c>
      <c r="KO15" s="30" t="s">
        <v>1425</v>
      </c>
      <c r="XFD15" s="31"/>
    </row>
    <row r="16" spans="1:304 16384:16384" x14ac:dyDescent="0.25">
      <c r="A16" s="92"/>
      <c r="B16" s="29">
        <v>15</v>
      </c>
      <c r="C16" s="91" t="s">
        <v>39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1" t="s">
        <v>3</v>
      </c>
      <c r="Z16" s="31">
        <v>1276</v>
      </c>
      <c r="AA16" s="31">
        <v>1636</v>
      </c>
      <c r="AB16" s="31">
        <v>1824</v>
      </c>
      <c r="AC16" s="31">
        <v>1864</v>
      </c>
      <c r="AD16" s="31">
        <v>1875</v>
      </c>
      <c r="AE16" s="31">
        <v>1877</v>
      </c>
      <c r="AF16" s="31">
        <v>1909</v>
      </c>
      <c r="AG16" s="31">
        <v>1944</v>
      </c>
      <c r="AH16" s="31">
        <v>1962</v>
      </c>
      <c r="AI16" s="31">
        <v>1963</v>
      </c>
      <c r="AJ16" s="31">
        <v>1958</v>
      </c>
      <c r="AK16" s="31">
        <v>1993</v>
      </c>
      <c r="AL16" s="31">
        <v>2085</v>
      </c>
      <c r="AM16" s="31">
        <v>2100</v>
      </c>
      <c r="AN16" s="31">
        <v>2034</v>
      </c>
      <c r="AO16" s="31">
        <v>2017</v>
      </c>
      <c r="AP16" s="31">
        <v>1923</v>
      </c>
      <c r="AQ16" s="31">
        <v>1947</v>
      </c>
      <c r="AR16" s="31">
        <v>1709</v>
      </c>
      <c r="AS16" s="31">
        <v>1713</v>
      </c>
      <c r="AT16" s="31">
        <v>1714</v>
      </c>
      <c r="AU16" s="31">
        <v>1705</v>
      </c>
      <c r="AV16" s="31">
        <v>1455</v>
      </c>
      <c r="AW16" s="31">
        <v>1399</v>
      </c>
      <c r="AX16" s="31">
        <v>1251</v>
      </c>
      <c r="AY16" s="31">
        <v>1242</v>
      </c>
      <c r="AZ16" s="31">
        <v>1211</v>
      </c>
      <c r="BA16" s="31">
        <v>1035</v>
      </c>
      <c r="BB16" s="31">
        <v>1065</v>
      </c>
      <c r="BC16" s="31">
        <v>1067</v>
      </c>
      <c r="BD16" s="31">
        <v>996</v>
      </c>
      <c r="BE16" s="31">
        <v>996</v>
      </c>
      <c r="BF16" s="31">
        <v>999</v>
      </c>
      <c r="BG16" s="31">
        <v>932</v>
      </c>
      <c r="BH16" s="31">
        <v>888</v>
      </c>
      <c r="BI16" s="31">
        <v>875</v>
      </c>
      <c r="BJ16" s="31">
        <v>867</v>
      </c>
      <c r="BK16" s="31">
        <v>788</v>
      </c>
      <c r="BL16" s="31">
        <v>749</v>
      </c>
      <c r="BM16" s="31">
        <v>727</v>
      </c>
      <c r="BN16" s="31">
        <v>698</v>
      </c>
      <c r="BO16" s="31">
        <v>696</v>
      </c>
      <c r="BP16" s="31">
        <v>695</v>
      </c>
      <c r="BQ16" s="31">
        <v>695</v>
      </c>
      <c r="BR16" s="31">
        <v>681</v>
      </c>
      <c r="BS16" s="31">
        <v>676</v>
      </c>
      <c r="BT16" s="31">
        <v>677</v>
      </c>
      <c r="BU16" s="31">
        <v>674</v>
      </c>
      <c r="BV16" s="31">
        <v>676</v>
      </c>
      <c r="BW16" s="31">
        <v>687</v>
      </c>
      <c r="BX16" s="31">
        <v>683</v>
      </c>
      <c r="BY16" s="31">
        <v>683</v>
      </c>
      <c r="BZ16" s="31">
        <v>601</v>
      </c>
      <c r="CA16" s="31">
        <v>598</v>
      </c>
      <c r="CB16" s="31">
        <v>619</v>
      </c>
      <c r="CC16" s="31">
        <v>628</v>
      </c>
      <c r="CD16" s="31">
        <v>716</v>
      </c>
      <c r="CE16" s="31">
        <v>715</v>
      </c>
      <c r="CF16" s="31">
        <v>700</v>
      </c>
      <c r="CG16" s="31">
        <v>816</v>
      </c>
      <c r="CH16" s="31" t="s">
        <v>3</v>
      </c>
      <c r="CI16" s="31">
        <v>1300</v>
      </c>
      <c r="CJ16" s="31">
        <v>1310</v>
      </c>
      <c r="CK16" s="31">
        <v>1366</v>
      </c>
      <c r="CL16" s="31">
        <v>1358</v>
      </c>
      <c r="CM16" s="31">
        <v>1349</v>
      </c>
      <c r="CN16" s="31">
        <v>1333</v>
      </c>
      <c r="CO16" s="31">
        <v>1107</v>
      </c>
      <c r="CP16" s="31">
        <v>1106</v>
      </c>
      <c r="CQ16" s="31">
        <v>1096</v>
      </c>
      <c r="CR16" s="31">
        <v>1073</v>
      </c>
      <c r="CS16" s="31">
        <v>1072</v>
      </c>
      <c r="CT16" s="31">
        <v>1070</v>
      </c>
      <c r="CU16" s="31">
        <v>990</v>
      </c>
      <c r="CV16" s="31">
        <v>940</v>
      </c>
      <c r="CW16" s="31">
        <v>926</v>
      </c>
      <c r="CX16" s="31">
        <v>860</v>
      </c>
      <c r="CY16" s="31">
        <v>755</v>
      </c>
      <c r="CZ16" s="31">
        <v>768</v>
      </c>
      <c r="DA16" s="31">
        <v>759</v>
      </c>
      <c r="DB16" s="31">
        <v>765</v>
      </c>
      <c r="DC16" s="31">
        <v>746</v>
      </c>
      <c r="DD16" s="31">
        <v>743</v>
      </c>
      <c r="DE16" s="130">
        <v>729</v>
      </c>
      <c r="DF16" s="130">
        <v>732</v>
      </c>
      <c r="DG16" s="130">
        <v>724</v>
      </c>
      <c r="DH16" s="130">
        <v>830</v>
      </c>
      <c r="DI16" s="130">
        <v>829</v>
      </c>
      <c r="DJ16" s="130">
        <v>710</v>
      </c>
      <c r="DK16" s="130">
        <v>768</v>
      </c>
      <c r="DL16" s="31">
        <v>758</v>
      </c>
      <c r="DM16" s="31">
        <v>855</v>
      </c>
      <c r="DN16" s="31">
        <v>868</v>
      </c>
      <c r="DO16" s="31">
        <v>888</v>
      </c>
      <c r="DP16" s="31">
        <v>1008</v>
      </c>
      <c r="DQ16" s="31">
        <v>986</v>
      </c>
      <c r="DR16" s="31">
        <v>986</v>
      </c>
      <c r="DS16" s="31">
        <v>982</v>
      </c>
      <c r="DT16" s="31">
        <v>1073</v>
      </c>
      <c r="DU16" s="41" t="s">
        <v>3</v>
      </c>
      <c r="DV16" s="31">
        <v>956</v>
      </c>
      <c r="DW16" s="31">
        <v>950</v>
      </c>
      <c r="DX16" s="31">
        <v>977</v>
      </c>
      <c r="DY16" s="31">
        <v>983</v>
      </c>
      <c r="DZ16" s="31">
        <v>1023</v>
      </c>
      <c r="EA16" s="31">
        <v>1021</v>
      </c>
      <c r="EB16" s="31">
        <v>1048</v>
      </c>
      <c r="EC16" s="31">
        <v>1179</v>
      </c>
      <c r="ED16" s="31">
        <v>1254</v>
      </c>
      <c r="EE16" s="31">
        <v>1273</v>
      </c>
      <c r="EF16" s="31">
        <v>1290</v>
      </c>
      <c r="EG16" s="31">
        <v>1318</v>
      </c>
      <c r="EH16" s="31">
        <v>1374</v>
      </c>
      <c r="EI16" s="31">
        <v>1372</v>
      </c>
      <c r="EJ16" s="31">
        <v>1315</v>
      </c>
      <c r="EK16" s="31">
        <v>1277</v>
      </c>
      <c r="EL16" s="31">
        <v>1283</v>
      </c>
      <c r="EM16" s="31">
        <v>1285</v>
      </c>
      <c r="EN16" s="31">
        <v>1098</v>
      </c>
      <c r="EO16" s="31">
        <v>986</v>
      </c>
      <c r="EP16" s="31">
        <v>978</v>
      </c>
      <c r="EQ16" s="31">
        <v>970</v>
      </c>
      <c r="ER16" s="31">
        <v>965</v>
      </c>
      <c r="ES16" s="31">
        <v>936</v>
      </c>
      <c r="ET16" s="31">
        <v>864</v>
      </c>
      <c r="EU16" s="31">
        <v>872</v>
      </c>
      <c r="EV16" s="31">
        <v>865</v>
      </c>
      <c r="EW16" s="31">
        <v>817</v>
      </c>
      <c r="EX16" s="31">
        <v>824</v>
      </c>
      <c r="EY16" s="30">
        <v>842</v>
      </c>
      <c r="EZ16" s="31">
        <v>939</v>
      </c>
      <c r="FA16" s="31">
        <v>822</v>
      </c>
      <c r="FB16" s="31">
        <v>821</v>
      </c>
      <c r="FC16" s="31">
        <v>820</v>
      </c>
      <c r="FD16" s="31">
        <v>814</v>
      </c>
      <c r="FE16" s="31">
        <v>813</v>
      </c>
      <c r="FF16" s="31">
        <v>802</v>
      </c>
      <c r="FG16" s="31">
        <v>857</v>
      </c>
      <c r="FH16" s="31" t="s">
        <v>3</v>
      </c>
      <c r="FI16" s="31">
        <v>1206</v>
      </c>
      <c r="FJ16" s="31">
        <v>1150</v>
      </c>
      <c r="FK16" s="31">
        <v>1166</v>
      </c>
      <c r="FL16" s="31">
        <v>1164</v>
      </c>
      <c r="FM16" s="31">
        <v>1164</v>
      </c>
      <c r="FN16" s="31">
        <v>1162</v>
      </c>
      <c r="FO16" s="30">
        <v>1154</v>
      </c>
      <c r="FP16" s="31">
        <v>1118</v>
      </c>
      <c r="FQ16" s="31">
        <v>1093</v>
      </c>
      <c r="FR16" s="31">
        <v>1099</v>
      </c>
      <c r="FS16" s="30">
        <v>1079</v>
      </c>
      <c r="FT16" s="31">
        <v>1079</v>
      </c>
      <c r="FU16" s="31">
        <v>1065</v>
      </c>
      <c r="FV16" s="31">
        <v>1065</v>
      </c>
      <c r="FW16" s="31">
        <v>1038</v>
      </c>
      <c r="FX16" s="31">
        <v>1034</v>
      </c>
      <c r="FY16" s="31">
        <v>997</v>
      </c>
      <c r="FZ16" s="31">
        <v>997</v>
      </c>
      <c r="GA16" s="31">
        <v>1010</v>
      </c>
      <c r="GB16" s="31">
        <v>1050</v>
      </c>
      <c r="GC16" s="31">
        <v>1271</v>
      </c>
      <c r="GD16" s="31">
        <v>1302</v>
      </c>
      <c r="GE16" s="31">
        <v>1304</v>
      </c>
      <c r="GF16" s="31">
        <v>1310</v>
      </c>
      <c r="GG16" s="31">
        <v>1303</v>
      </c>
      <c r="GH16" s="31">
        <v>1288</v>
      </c>
      <c r="GI16" s="31">
        <v>1265</v>
      </c>
      <c r="GJ16" s="31">
        <v>1237</v>
      </c>
      <c r="GK16" s="31">
        <v>1190</v>
      </c>
      <c r="GL16" s="31">
        <v>1193</v>
      </c>
      <c r="GM16" s="31">
        <v>1176</v>
      </c>
      <c r="GN16" s="31">
        <v>1185</v>
      </c>
      <c r="GO16" s="31">
        <v>1190</v>
      </c>
      <c r="GP16" s="31">
        <v>1194</v>
      </c>
      <c r="GQ16" s="31">
        <v>1196</v>
      </c>
      <c r="GR16" s="31">
        <v>1143</v>
      </c>
      <c r="GS16" s="31">
        <v>1180</v>
      </c>
      <c r="GT16" s="31">
        <v>1203</v>
      </c>
      <c r="GU16" s="31">
        <v>1210</v>
      </c>
      <c r="GV16" s="31">
        <v>1213</v>
      </c>
      <c r="GW16" s="31">
        <v>1189</v>
      </c>
      <c r="GX16" s="31">
        <v>1175</v>
      </c>
      <c r="GY16" s="31">
        <v>1140</v>
      </c>
      <c r="GZ16" s="31">
        <v>1134</v>
      </c>
      <c r="HA16" s="31">
        <v>1147</v>
      </c>
      <c r="HB16" s="31">
        <v>1150</v>
      </c>
      <c r="HC16" s="31">
        <v>1166</v>
      </c>
      <c r="HD16" s="31">
        <v>1172</v>
      </c>
      <c r="HE16" s="31">
        <v>1159</v>
      </c>
      <c r="HF16" s="31">
        <v>1202</v>
      </c>
      <c r="HG16" s="41" t="s">
        <v>3</v>
      </c>
      <c r="HH16" s="41" t="s">
        <v>3</v>
      </c>
      <c r="HI16" s="31">
        <v>1140</v>
      </c>
      <c r="HJ16" s="31">
        <v>1129</v>
      </c>
      <c r="HK16" s="31">
        <v>1123</v>
      </c>
      <c r="HL16" s="31">
        <v>1070</v>
      </c>
      <c r="HM16" s="31">
        <v>1069</v>
      </c>
      <c r="HN16" s="31">
        <v>1064</v>
      </c>
      <c r="HO16" s="31">
        <v>955</v>
      </c>
      <c r="HP16" s="31">
        <v>955</v>
      </c>
      <c r="HQ16" s="31">
        <v>922</v>
      </c>
      <c r="HR16" s="31">
        <v>883</v>
      </c>
      <c r="HS16" s="31">
        <v>883</v>
      </c>
      <c r="HT16" s="31">
        <v>861</v>
      </c>
      <c r="HU16" s="31">
        <v>829</v>
      </c>
      <c r="HV16" s="31">
        <v>792</v>
      </c>
      <c r="HW16" s="31">
        <v>771</v>
      </c>
      <c r="HX16" s="31">
        <v>782</v>
      </c>
      <c r="HY16" s="31">
        <v>784</v>
      </c>
      <c r="HZ16" s="31">
        <v>781</v>
      </c>
      <c r="IA16" s="31">
        <v>816</v>
      </c>
      <c r="IB16" s="31">
        <v>819</v>
      </c>
      <c r="IC16" s="31">
        <v>821</v>
      </c>
      <c r="ID16" s="31">
        <v>819</v>
      </c>
      <c r="IE16" s="31">
        <v>820</v>
      </c>
      <c r="IF16" s="31">
        <v>811</v>
      </c>
      <c r="IG16" s="31">
        <v>811</v>
      </c>
      <c r="IH16" s="31">
        <v>797</v>
      </c>
      <c r="II16" s="31">
        <v>826</v>
      </c>
      <c r="IJ16" s="31">
        <v>826</v>
      </c>
      <c r="IK16" s="31">
        <v>735</v>
      </c>
      <c r="IL16" s="31">
        <v>738</v>
      </c>
      <c r="IM16" s="31">
        <v>726</v>
      </c>
      <c r="IN16" s="31">
        <v>709</v>
      </c>
      <c r="IO16" s="31">
        <v>680</v>
      </c>
      <c r="IP16" s="31">
        <v>683</v>
      </c>
      <c r="IQ16" s="31">
        <v>605</v>
      </c>
      <c r="IR16" s="31">
        <v>599</v>
      </c>
      <c r="IS16" s="31">
        <v>606</v>
      </c>
      <c r="IT16" s="31">
        <v>612</v>
      </c>
      <c r="IU16" s="31">
        <v>609</v>
      </c>
      <c r="IV16" s="31">
        <v>615</v>
      </c>
      <c r="IW16" s="31">
        <v>598</v>
      </c>
      <c r="IX16" s="31">
        <v>577</v>
      </c>
      <c r="IY16" s="31">
        <v>579</v>
      </c>
      <c r="IZ16" s="31">
        <v>573</v>
      </c>
      <c r="JA16" s="31">
        <v>572</v>
      </c>
      <c r="JB16" s="31">
        <v>571</v>
      </c>
      <c r="JC16" s="31">
        <v>560</v>
      </c>
      <c r="JD16" s="31">
        <v>551</v>
      </c>
      <c r="JE16" s="31">
        <v>557</v>
      </c>
      <c r="JF16" s="31">
        <v>542</v>
      </c>
      <c r="JG16" s="31">
        <v>539</v>
      </c>
      <c r="JH16" s="31">
        <v>514</v>
      </c>
      <c r="JI16" s="31">
        <v>487</v>
      </c>
      <c r="JJ16" s="31">
        <v>465</v>
      </c>
      <c r="JK16" s="31">
        <v>466</v>
      </c>
      <c r="JL16" s="31">
        <v>460</v>
      </c>
      <c r="JM16" s="31">
        <v>464</v>
      </c>
      <c r="JN16" s="31">
        <v>463</v>
      </c>
      <c r="JO16" s="31">
        <v>451</v>
      </c>
      <c r="JP16" s="31">
        <v>441</v>
      </c>
      <c r="JQ16" s="31">
        <v>442</v>
      </c>
      <c r="JR16" s="31">
        <v>472</v>
      </c>
      <c r="JS16" s="31">
        <v>495</v>
      </c>
      <c r="JT16" s="31">
        <v>527</v>
      </c>
      <c r="JU16" s="31">
        <v>640</v>
      </c>
      <c r="JV16" s="31">
        <v>704</v>
      </c>
      <c r="JW16" s="31">
        <v>778</v>
      </c>
      <c r="JX16" s="31">
        <v>886</v>
      </c>
      <c r="JY16" s="31">
        <v>893</v>
      </c>
      <c r="JZ16" s="31">
        <v>887</v>
      </c>
      <c r="KA16" s="31">
        <v>884</v>
      </c>
      <c r="KB16" s="31">
        <v>927</v>
      </c>
      <c r="KC16" s="31">
        <v>1048</v>
      </c>
      <c r="KD16" s="31">
        <v>1355</v>
      </c>
      <c r="KE16" s="31">
        <v>1391</v>
      </c>
      <c r="KF16" s="31">
        <v>1614</v>
      </c>
      <c r="KG16" s="31">
        <v>1852</v>
      </c>
      <c r="KH16" s="31">
        <v>1888</v>
      </c>
      <c r="KI16" s="31">
        <v>1880</v>
      </c>
      <c r="KJ16" s="31">
        <v>1880</v>
      </c>
      <c r="KK16" s="31">
        <v>1756</v>
      </c>
      <c r="KL16" s="31">
        <v>1583</v>
      </c>
      <c r="KM16" s="31">
        <v>1507</v>
      </c>
      <c r="KN16" s="31">
        <v>1441</v>
      </c>
      <c r="KO16" s="31">
        <v>1373</v>
      </c>
      <c r="XFD16" s="31"/>
    </row>
    <row r="17" spans="1:301" ht="15.75" thickBot="1" x14ac:dyDescent="0.3">
      <c r="A17" s="179" t="s">
        <v>27</v>
      </c>
      <c r="B17" s="29">
        <v>16</v>
      </c>
      <c r="C17" s="133" t="s">
        <v>26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26"/>
      <c r="Z17" s="31"/>
      <c r="AA17" s="30"/>
      <c r="AB17" s="30"/>
      <c r="AC17" s="30"/>
      <c r="AD17" s="30"/>
      <c r="AE17" s="30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>
        <v>1200</v>
      </c>
      <c r="BQ17" s="31">
        <v>1160</v>
      </c>
      <c r="BR17" s="31">
        <v>1150</v>
      </c>
      <c r="BS17" s="31">
        <v>1130</v>
      </c>
      <c r="BT17" s="31">
        <v>1100</v>
      </c>
      <c r="BU17" s="31">
        <v>1060</v>
      </c>
      <c r="BV17" s="31">
        <v>1060</v>
      </c>
      <c r="BW17" s="31">
        <v>1055</v>
      </c>
      <c r="BX17" s="31">
        <v>1020</v>
      </c>
      <c r="BY17" s="31">
        <v>975</v>
      </c>
      <c r="BZ17" s="31">
        <v>925</v>
      </c>
      <c r="CA17" s="31">
        <v>980</v>
      </c>
      <c r="CB17" s="31">
        <v>1000</v>
      </c>
      <c r="CC17" s="31">
        <v>1190</v>
      </c>
      <c r="CD17" s="31">
        <v>1210</v>
      </c>
      <c r="CE17" s="31">
        <v>1260</v>
      </c>
      <c r="CF17" s="31">
        <v>1250</v>
      </c>
      <c r="CG17" s="31">
        <v>1360</v>
      </c>
      <c r="CH17" s="31">
        <v>1300</v>
      </c>
      <c r="CI17" s="31">
        <v>1350</v>
      </c>
      <c r="CJ17" s="31">
        <v>1400</v>
      </c>
      <c r="CK17" s="31">
        <v>1380</v>
      </c>
      <c r="CL17" s="31">
        <v>1310</v>
      </c>
      <c r="CM17" s="31">
        <v>1310</v>
      </c>
      <c r="CN17" s="31">
        <v>1240</v>
      </c>
      <c r="CO17" s="31">
        <v>1210</v>
      </c>
      <c r="CP17" s="31">
        <v>1170</v>
      </c>
      <c r="CQ17" s="31">
        <v>1100</v>
      </c>
      <c r="CR17" s="31">
        <v>1070</v>
      </c>
      <c r="CS17" s="31">
        <v>1050</v>
      </c>
      <c r="CT17" s="31">
        <v>1030</v>
      </c>
      <c r="CU17" s="31">
        <v>1010</v>
      </c>
      <c r="CV17" s="31">
        <v>980</v>
      </c>
      <c r="CW17" s="31">
        <v>950</v>
      </c>
      <c r="CX17" s="31">
        <v>920</v>
      </c>
      <c r="CY17" s="31">
        <v>890</v>
      </c>
      <c r="CZ17" s="31">
        <v>875</v>
      </c>
      <c r="DA17" s="31">
        <v>900</v>
      </c>
      <c r="DB17" s="31">
        <v>900</v>
      </c>
      <c r="DC17" s="31">
        <v>860</v>
      </c>
      <c r="EH17" s="44"/>
    </row>
    <row r="18" spans="1:301" ht="15.75" thickBot="1" x14ac:dyDescent="0.3">
      <c r="A18" s="179"/>
      <c r="B18" s="29">
        <v>17</v>
      </c>
      <c r="C18" s="94" t="s">
        <v>40</v>
      </c>
      <c r="D18" s="14"/>
      <c r="E18" s="14"/>
      <c r="F18" s="14"/>
      <c r="G18" s="14"/>
      <c r="H18" s="14">
        <v>414</v>
      </c>
      <c r="I18" s="14">
        <v>383</v>
      </c>
      <c r="J18" s="14">
        <v>416</v>
      </c>
      <c r="K18" s="14">
        <v>408</v>
      </c>
      <c r="L18" s="14">
        <v>386</v>
      </c>
      <c r="M18" s="14">
        <v>416</v>
      </c>
      <c r="N18" s="14">
        <v>400</v>
      </c>
      <c r="O18" s="14">
        <v>383</v>
      </c>
      <c r="P18" s="14">
        <v>363</v>
      </c>
      <c r="Q18" s="14">
        <v>377</v>
      </c>
      <c r="R18" s="14">
        <v>384</v>
      </c>
      <c r="S18" s="14">
        <v>388</v>
      </c>
      <c r="T18" s="14">
        <v>403</v>
      </c>
      <c r="U18" s="14">
        <v>418</v>
      </c>
      <c r="V18" s="14">
        <v>441</v>
      </c>
      <c r="W18" s="14">
        <v>473</v>
      </c>
      <c r="X18" s="14">
        <v>454</v>
      </c>
      <c r="Y18" s="26">
        <v>506</v>
      </c>
      <c r="Z18" s="31">
        <v>529</v>
      </c>
      <c r="AA18" s="30">
        <v>517</v>
      </c>
      <c r="AB18" s="30">
        <v>516</v>
      </c>
      <c r="AC18" s="30">
        <v>549</v>
      </c>
      <c r="AD18" s="30">
        <v>547</v>
      </c>
      <c r="AE18" s="30">
        <v>580</v>
      </c>
      <c r="AF18" s="30">
        <v>610</v>
      </c>
      <c r="AG18" s="30">
        <v>591</v>
      </c>
      <c r="AH18" s="30">
        <v>616</v>
      </c>
      <c r="AI18" s="30">
        <v>590</v>
      </c>
      <c r="AJ18" s="30">
        <v>570</v>
      </c>
      <c r="AK18" s="30">
        <v>562</v>
      </c>
      <c r="AL18" s="30">
        <v>561</v>
      </c>
      <c r="AM18" s="30">
        <v>577</v>
      </c>
      <c r="AN18" s="30">
        <v>559</v>
      </c>
      <c r="AO18" s="30">
        <v>591</v>
      </c>
      <c r="AP18" s="30">
        <v>609</v>
      </c>
      <c r="AQ18" s="30">
        <v>607</v>
      </c>
      <c r="AR18" s="30">
        <v>591</v>
      </c>
      <c r="AS18" s="30">
        <v>605</v>
      </c>
      <c r="AT18" s="30">
        <v>633</v>
      </c>
      <c r="AU18" s="30">
        <v>637</v>
      </c>
      <c r="AV18" s="30">
        <v>640</v>
      </c>
      <c r="AW18" s="30">
        <v>663</v>
      </c>
      <c r="AX18" s="30">
        <v>678</v>
      </c>
      <c r="AY18" s="30">
        <v>659</v>
      </c>
      <c r="AZ18" s="30">
        <v>679</v>
      </c>
      <c r="BA18" s="30">
        <v>673</v>
      </c>
      <c r="BB18" s="30">
        <v>700</v>
      </c>
      <c r="BC18" s="30">
        <v>655</v>
      </c>
      <c r="BD18" s="30">
        <v>672</v>
      </c>
      <c r="BE18" s="30">
        <v>608</v>
      </c>
      <c r="BF18" s="30">
        <v>640</v>
      </c>
      <c r="BG18" s="30">
        <v>653</v>
      </c>
      <c r="BH18" s="31">
        <v>673</v>
      </c>
      <c r="BI18" s="30">
        <v>697</v>
      </c>
      <c r="BJ18" s="30">
        <v>704</v>
      </c>
      <c r="BK18" s="30">
        <v>722</v>
      </c>
      <c r="BL18" s="30">
        <v>727</v>
      </c>
      <c r="BM18" s="30">
        <v>778</v>
      </c>
      <c r="BN18" s="30">
        <v>783</v>
      </c>
      <c r="BO18" s="30">
        <v>782</v>
      </c>
      <c r="BP18" s="30">
        <v>792</v>
      </c>
      <c r="BQ18" s="30">
        <v>779</v>
      </c>
      <c r="BR18" s="31">
        <v>739</v>
      </c>
      <c r="BS18" s="30">
        <v>755</v>
      </c>
      <c r="BT18" s="30">
        <v>660</v>
      </c>
      <c r="BU18" s="30">
        <v>714</v>
      </c>
      <c r="BV18" s="30">
        <v>707</v>
      </c>
      <c r="BW18" s="31">
        <v>697</v>
      </c>
      <c r="BX18" s="30">
        <v>732</v>
      </c>
      <c r="BY18" s="30">
        <v>769</v>
      </c>
      <c r="BZ18" s="30">
        <v>785</v>
      </c>
      <c r="CA18" s="30">
        <v>805</v>
      </c>
      <c r="CB18" s="30">
        <v>819</v>
      </c>
      <c r="CC18" s="30">
        <v>842</v>
      </c>
      <c r="CD18" s="30">
        <v>843</v>
      </c>
      <c r="CE18" s="30">
        <v>922</v>
      </c>
      <c r="CF18" s="31">
        <v>1112</v>
      </c>
      <c r="CG18" s="31">
        <v>1064</v>
      </c>
      <c r="CH18" s="31">
        <v>909</v>
      </c>
      <c r="CI18" s="31">
        <v>1013</v>
      </c>
      <c r="CJ18" s="31">
        <v>924</v>
      </c>
      <c r="CK18" s="31">
        <v>871</v>
      </c>
      <c r="CL18" s="31">
        <v>943</v>
      </c>
      <c r="CM18" s="31">
        <v>913</v>
      </c>
      <c r="CN18" s="31">
        <v>890</v>
      </c>
      <c r="CO18" s="31">
        <v>898</v>
      </c>
      <c r="CP18" s="31">
        <v>915</v>
      </c>
      <c r="CQ18" s="31">
        <v>882</v>
      </c>
      <c r="CR18" s="31">
        <v>867</v>
      </c>
      <c r="CS18" s="31">
        <v>844</v>
      </c>
      <c r="CT18" s="31">
        <v>841</v>
      </c>
      <c r="CU18" s="31">
        <v>799</v>
      </c>
      <c r="CV18" s="31">
        <v>794</v>
      </c>
      <c r="CW18" s="31">
        <v>831</v>
      </c>
      <c r="CX18" s="31">
        <v>800</v>
      </c>
      <c r="CY18" s="31">
        <v>768</v>
      </c>
      <c r="CZ18" s="31">
        <v>756</v>
      </c>
      <c r="DA18" s="31">
        <v>773</v>
      </c>
      <c r="DB18" s="31">
        <v>727</v>
      </c>
      <c r="DC18" s="31">
        <v>715</v>
      </c>
      <c r="DD18" s="30">
        <v>660</v>
      </c>
      <c r="DE18" s="30">
        <v>680</v>
      </c>
      <c r="DF18" s="30">
        <v>639</v>
      </c>
      <c r="DG18" s="30">
        <v>659</v>
      </c>
      <c r="DH18" s="30">
        <v>676</v>
      </c>
      <c r="DI18" s="30">
        <v>681</v>
      </c>
      <c r="DJ18" s="30">
        <v>665</v>
      </c>
      <c r="DK18" s="30">
        <v>703</v>
      </c>
      <c r="DL18" s="30">
        <v>680</v>
      </c>
      <c r="DM18" s="30">
        <v>656</v>
      </c>
      <c r="DN18" s="30">
        <v>680</v>
      </c>
      <c r="DO18" s="30">
        <v>690</v>
      </c>
      <c r="DP18" s="30">
        <v>696</v>
      </c>
      <c r="DQ18" s="30">
        <v>716</v>
      </c>
      <c r="DR18" s="30">
        <v>704</v>
      </c>
      <c r="DS18" s="30">
        <v>667</v>
      </c>
      <c r="DT18" s="30">
        <v>623</v>
      </c>
      <c r="DU18" s="30">
        <v>640</v>
      </c>
      <c r="DV18" s="30">
        <v>626</v>
      </c>
      <c r="DW18" s="30">
        <v>639</v>
      </c>
      <c r="DX18" s="30">
        <v>672</v>
      </c>
      <c r="DY18" s="30">
        <v>707</v>
      </c>
      <c r="DZ18" s="30">
        <v>711</v>
      </c>
      <c r="EA18" s="30">
        <v>705</v>
      </c>
      <c r="EB18" s="30">
        <v>707</v>
      </c>
      <c r="EC18" s="30">
        <v>722</v>
      </c>
      <c r="ED18" s="30">
        <v>722</v>
      </c>
      <c r="EE18" s="30">
        <v>726</v>
      </c>
      <c r="EF18" s="30">
        <v>713</v>
      </c>
      <c r="EG18" s="30">
        <v>669</v>
      </c>
      <c r="EH18" s="30">
        <v>625</v>
      </c>
      <c r="EI18" s="30">
        <v>666</v>
      </c>
      <c r="EJ18" s="30">
        <v>689</v>
      </c>
      <c r="EK18" s="30">
        <v>690</v>
      </c>
      <c r="EL18" s="30">
        <v>659</v>
      </c>
      <c r="EM18" s="30">
        <v>654</v>
      </c>
      <c r="EN18" s="30">
        <v>584</v>
      </c>
      <c r="EO18" s="30">
        <v>607</v>
      </c>
      <c r="EP18" s="30">
        <v>577</v>
      </c>
      <c r="EQ18" s="30">
        <v>602</v>
      </c>
      <c r="ER18" s="30">
        <v>570</v>
      </c>
      <c r="ES18" s="30">
        <v>567</v>
      </c>
      <c r="ET18" s="30">
        <v>546</v>
      </c>
      <c r="EU18" s="30">
        <v>531</v>
      </c>
      <c r="EV18" s="30">
        <v>512</v>
      </c>
      <c r="EW18" s="30">
        <v>512</v>
      </c>
      <c r="EX18" s="30">
        <v>580</v>
      </c>
      <c r="EY18" s="30">
        <v>588</v>
      </c>
      <c r="EZ18" s="30">
        <v>615</v>
      </c>
      <c r="FA18" s="31">
        <v>656</v>
      </c>
      <c r="FB18" s="31">
        <v>661</v>
      </c>
      <c r="FC18" s="30">
        <v>643</v>
      </c>
      <c r="FD18" s="30">
        <v>655</v>
      </c>
      <c r="FE18" s="30">
        <v>665</v>
      </c>
      <c r="FF18" s="30">
        <v>679</v>
      </c>
      <c r="FG18" s="30">
        <v>717</v>
      </c>
      <c r="FH18" s="30">
        <v>708</v>
      </c>
      <c r="FI18" s="30">
        <v>708</v>
      </c>
      <c r="FJ18" s="30">
        <v>679</v>
      </c>
      <c r="FK18" s="30">
        <v>662</v>
      </c>
      <c r="FL18" s="30">
        <v>673</v>
      </c>
      <c r="FM18" s="30">
        <v>660</v>
      </c>
      <c r="FN18" s="30">
        <v>646</v>
      </c>
      <c r="FO18" s="30">
        <v>631</v>
      </c>
      <c r="FP18" s="30">
        <v>649</v>
      </c>
      <c r="FQ18" s="30">
        <v>656</v>
      </c>
      <c r="FR18" s="30">
        <v>660</v>
      </c>
      <c r="FS18" s="30">
        <v>650</v>
      </c>
      <c r="FT18" s="30">
        <v>638</v>
      </c>
      <c r="FU18" s="30">
        <v>693</v>
      </c>
      <c r="FV18" s="30">
        <v>636</v>
      </c>
      <c r="FW18" s="30">
        <v>650</v>
      </c>
      <c r="FX18" s="30">
        <v>659</v>
      </c>
      <c r="FY18" s="30">
        <v>677</v>
      </c>
      <c r="FZ18" s="30">
        <v>696</v>
      </c>
      <c r="GA18" s="30">
        <v>666</v>
      </c>
      <c r="GB18" s="30">
        <v>706</v>
      </c>
      <c r="GC18" s="30">
        <v>671</v>
      </c>
      <c r="GD18" s="30">
        <v>686</v>
      </c>
      <c r="GE18" s="30">
        <v>686</v>
      </c>
      <c r="GF18" s="30">
        <v>711</v>
      </c>
      <c r="GG18" s="30">
        <v>718</v>
      </c>
      <c r="GH18" s="30">
        <v>709</v>
      </c>
      <c r="GI18" s="30">
        <v>696</v>
      </c>
      <c r="GJ18" s="30">
        <v>706</v>
      </c>
      <c r="GK18" s="30">
        <v>711</v>
      </c>
      <c r="GL18" s="30">
        <v>711</v>
      </c>
      <c r="GM18" s="30">
        <v>713</v>
      </c>
      <c r="GN18" s="30">
        <v>667</v>
      </c>
      <c r="GO18" s="30">
        <v>659</v>
      </c>
      <c r="GP18" s="30">
        <v>676</v>
      </c>
      <c r="GQ18" s="30">
        <v>693</v>
      </c>
      <c r="GR18" s="30">
        <v>648</v>
      </c>
      <c r="GS18" s="30">
        <v>677</v>
      </c>
      <c r="GT18" s="30">
        <v>694</v>
      </c>
      <c r="GU18" s="30">
        <v>707</v>
      </c>
      <c r="GV18" s="30">
        <v>718</v>
      </c>
      <c r="GW18" s="30">
        <v>693</v>
      </c>
      <c r="GX18" s="30">
        <v>695</v>
      </c>
      <c r="GY18" s="30">
        <v>687</v>
      </c>
      <c r="GZ18" s="30">
        <v>672</v>
      </c>
      <c r="HA18" s="30">
        <v>660</v>
      </c>
      <c r="HB18" s="30">
        <v>683</v>
      </c>
      <c r="HC18" s="30">
        <v>668</v>
      </c>
      <c r="HD18" s="30">
        <v>671</v>
      </c>
      <c r="HE18" s="30">
        <v>648</v>
      </c>
      <c r="HF18" s="30">
        <v>624</v>
      </c>
      <c r="HG18" s="30">
        <v>651</v>
      </c>
      <c r="HH18" s="30">
        <v>659</v>
      </c>
      <c r="HI18" s="30">
        <v>675</v>
      </c>
      <c r="HJ18" s="30">
        <v>688</v>
      </c>
      <c r="HK18" s="30">
        <v>661</v>
      </c>
      <c r="HL18" s="30">
        <v>673</v>
      </c>
      <c r="HM18" s="30">
        <v>655</v>
      </c>
      <c r="HN18" s="30">
        <v>662</v>
      </c>
      <c r="HO18" s="30">
        <v>636</v>
      </c>
      <c r="HP18" s="30">
        <v>641</v>
      </c>
      <c r="HQ18" s="30">
        <v>629</v>
      </c>
      <c r="HR18" s="30">
        <v>629</v>
      </c>
      <c r="HS18" s="30">
        <v>634</v>
      </c>
      <c r="HT18" s="30">
        <v>641</v>
      </c>
      <c r="HU18" s="30">
        <v>668</v>
      </c>
      <c r="HV18" s="30">
        <v>683</v>
      </c>
      <c r="HW18" s="30">
        <v>672</v>
      </c>
      <c r="HX18" s="30">
        <v>671</v>
      </c>
      <c r="HY18" s="30">
        <v>665</v>
      </c>
      <c r="HZ18" s="30">
        <v>678</v>
      </c>
      <c r="IA18" s="30">
        <v>670</v>
      </c>
      <c r="IB18" s="30">
        <v>662</v>
      </c>
      <c r="IC18" s="30">
        <v>630</v>
      </c>
      <c r="ID18" s="30">
        <v>631</v>
      </c>
      <c r="IE18" s="30">
        <v>631</v>
      </c>
      <c r="IF18" s="30">
        <v>639</v>
      </c>
      <c r="IG18" s="30">
        <v>631</v>
      </c>
      <c r="IH18" s="31">
        <v>517.75</v>
      </c>
      <c r="II18" s="30">
        <v>553</v>
      </c>
      <c r="IJ18" s="30">
        <v>589</v>
      </c>
      <c r="IK18" s="30">
        <v>572</v>
      </c>
      <c r="IL18" s="30">
        <v>562</v>
      </c>
      <c r="IM18" s="30">
        <v>590</v>
      </c>
      <c r="IN18" s="30">
        <v>577</v>
      </c>
      <c r="IO18" s="30">
        <v>563</v>
      </c>
      <c r="IP18" s="30">
        <v>563</v>
      </c>
      <c r="IQ18" s="93">
        <v>571.5</v>
      </c>
      <c r="IR18" s="30">
        <v>633</v>
      </c>
      <c r="IS18" s="30">
        <v>579</v>
      </c>
      <c r="IT18" s="93">
        <v>572.25</v>
      </c>
      <c r="IU18" s="30">
        <v>598</v>
      </c>
      <c r="IV18" s="30">
        <v>582</v>
      </c>
      <c r="IW18" s="30">
        <v>566</v>
      </c>
      <c r="IX18" s="30">
        <v>608</v>
      </c>
      <c r="IY18" s="30">
        <v>584</v>
      </c>
      <c r="IZ18" s="30">
        <v>564</v>
      </c>
      <c r="JA18" s="30">
        <v>576</v>
      </c>
      <c r="JB18" s="30">
        <v>590</v>
      </c>
      <c r="JC18" s="30">
        <v>605</v>
      </c>
      <c r="JD18" s="30">
        <v>603</v>
      </c>
      <c r="JE18" s="30">
        <v>609</v>
      </c>
      <c r="JF18" s="30">
        <v>606</v>
      </c>
      <c r="JG18" s="30">
        <v>587</v>
      </c>
      <c r="JH18" s="30">
        <v>584</v>
      </c>
      <c r="JI18" s="30">
        <v>549</v>
      </c>
      <c r="JJ18" s="30">
        <v>552</v>
      </c>
      <c r="JK18" s="30">
        <v>571</v>
      </c>
      <c r="JL18" s="30">
        <v>578</v>
      </c>
      <c r="JM18" s="30">
        <v>587</v>
      </c>
      <c r="JN18" s="30">
        <v>569</v>
      </c>
      <c r="JO18" s="30">
        <v>558</v>
      </c>
      <c r="JP18" s="30">
        <v>562</v>
      </c>
      <c r="JQ18" s="30">
        <v>560</v>
      </c>
      <c r="JR18" s="30">
        <v>533</v>
      </c>
      <c r="JS18" s="30">
        <v>540</v>
      </c>
      <c r="JT18" s="30">
        <v>534</v>
      </c>
      <c r="JU18" s="30">
        <v>560</v>
      </c>
      <c r="JV18" s="30">
        <v>559</v>
      </c>
      <c r="JW18" s="30">
        <v>585</v>
      </c>
      <c r="JX18" s="30">
        <v>598</v>
      </c>
      <c r="JY18" s="30">
        <v>612</v>
      </c>
      <c r="JZ18" s="30">
        <v>594</v>
      </c>
      <c r="KA18" s="30">
        <v>616</v>
      </c>
      <c r="KB18" s="30">
        <v>777</v>
      </c>
      <c r="KC18" s="30">
        <v>875</v>
      </c>
      <c r="KD18" s="31">
        <v>1039</v>
      </c>
      <c r="KE18" s="30">
        <v>998</v>
      </c>
      <c r="KF18" s="31">
        <v>1093</v>
      </c>
      <c r="KG18" s="30">
        <v>1003</v>
      </c>
      <c r="KH18" s="31">
        <v>991</v>
      </c>
      <c r="KI18" s="30">
        <v>959</v>
      </c>
      <c r="KJ18" s="31">
        <v>1039</v>
      </c>
      <c r="KK18" s="30">
        <v>972</v>
      </c>
      <c r="KL18" s="31">
        <v>1021</v>
      </c>
      <c r="KM18" s="30">
        <v>970</v>
      </c>
      <c r="KN18" s="31">
        <v>835</v>
      </c>
      <c r="KO18" s="30">
        <v>808</v>
      </c>
    </row>
    <row r="19" spans="1:301" ht="15.75" thickBot="1" x14ac:dyDescent="0.3">
      <c r="A19" s="179"/>
      <c r="B19" s="29">
        <v>18</v>
      </c>
      <c r="C19" s="94" t="s">
        <v>433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26"/>
      <c r="Z19" s="27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0"/>
      <c r="BH19" s="31"/>
      <c r="BI19" s="31"/>
      <c r="BJ19" s="31"/>
      <c r="BK19" s="30"/>
      <c r="BL19" s="31"/>
      <c r="BM19" s="31"/>
      <c r="BN19" s="31"/>
      <c r="BO19" s="30"/>
      <c r="BP19" s="31"/>
      <c r="BQ19" s="31"/>
      <c r="BR19" s="31"/>
      <c r="BS19" s="31"/>
      <c r="BT19" s="31"/>
      <c r="BU19" s="30"/>
      <c r="BV19" s="31"/>
      <c r="BW19" s="31"/>
      <c r="BX19" s="31"/>
      <c r="BY19" s="31">
        <v>1030</v>
      </c>
      <c r="BZ19" s="31">
        <v>1065</v>
      </c>
      <c r="CA19" s="31">
        <v>1070</v>
      </c>
      <c r="CB19" s="31">
        <v>1080</v>
      </c>
      <c r="CC19" s="31">
        <v>1115</v>
      </c>
      <c r="CD19" s="31">
        <v>1135</v>
      </c>
      <c r="CE19" s="31">
        <v>1170</v>
      </c>
      <c r="CF19" s="31">
        <v>1220</v>
      </c>
      <c r="CG19" s="31">
        <v>1275</v>
      </c>
      <c r="CH19" s="31">
        <v>1180</v>
      </c>
      <c r="CI19" s="31">
        <v>1180</v>
      </c>
      <c r="CJ19" s="31">
        <v>1175</v>
      </c>
      <c r="CK19" s="31">
        <v>1165</v>
      </c>
      <c r="CL19" s="31">
        <v>1150</v>
      </c>
      <c r="CM19" s="31">
        <v>1150</v>
      </c>
      <c r="CN19" s="31">
        <v>1135</v>
      </c>
      <c r="CO19" s="31">
        <v>1135</v>
      </c>
      <c r="CP19" s="31">
        <v>1125</v>
      </c>
      <c r="CQ19" s="31">
        <v>1050</v>
      </c>
      <c r="CR19" s="31">
        <v>1040</v>
      </c>
      <c r="CS19" s="31">
        <v>1025</v>
      </c>
      <c r="CT19" s="31">
        <v>1030</v>
      </c>
      <c r="CU19" s="31">
        <v>1030</v>
      </c>
      <c r="CV19" s="31">
        <v>1010</v>
      </c>
      <c r="CW19" s="31">
        <v>975</v>
      </c>
      <c r="CX19" s="31">
        <v>950</v>
      </c>
      <c r="CY19" s="31">
        <v>925</v>
      </c>
      <c r="CZ19" s="31">
        <v>915</v>
      </c>
      <c r="DA19" s="31">
        <v>890</v>
      </c>
      <c r="DB19" s="31">
        <v>885</v>
      </c>
      <c r="DC19" s="31">
        <v>905</v>
      </c>
      <c r="DD19" s="31">
        <v>890</v>
      </c>
      <c r="DE19" s="31">
        <v>870</v>
      </c>
      <c r="DF19" s="31">
        <v>875</v>
      </c>
      <c r="DG19" s="31">
        <v>890</v>
      </c>
      <c r="DH19" s="31">
        <v>895</v>
      </c>
      <c r="DI19" s="31">
        <v>895</v>
      </c>
      <c r="DJ19" s="31">
        <v>895</v>
      </c>
      <c r="DK19" s="31">
        <v>895</v>
      </c>
      <c r="DL19" s="31">
        <v>910</v>
      </c>
      <c r="DM19" s="31">
        <v>890</v>
      </c>
      <c r="DN19" s="31">
        <v>880</v>
      </c>
      <c r="DO19" s="31">
        <v>840</v>
      </c>
      <c r="DP19" s="31">
        <v>840</v>
      </c>
      <c r="DQ19" s="31">
        <v>855</v>
      </c>
      <c r="DR19" s="31">
        <v>870</v>
      </c>
      <c r="DS19" s="31">
        <v>885</v>
      </c>
      <c r="DT19" s="31">
        <v>890</v>
      </c>
      <c r="DU19" s="31">
        <v>890</v>
      </c>
      <c r="DV19" s="31">
        <v>900</v>
      </c>
      <c r="DW19" s="31">
        <v>895</v>
      </c>
      <c r="DX19" s="31">
        <v>880</v>
      </c>
      <c r="DY19" s="31">
        <v>885</v>
      </c>
      <c r="DZ19" s="31">
        <v>900</v>
      </c>
      <c r="EA19" s="31">
        <v>950</v>
      </c>
      <c r="EB19" s="31">
        <v>990</v>
      </c>
      <c r="EC19" s="31">
        <v>995</v>
      </c>
      <c r="ED19" s="31">
        <v>1000</v>
      </c>
      <c r="EE19" s="31">
        <v>945</v>
      </c>
      <c r="EF19" s="31">
        <v>935</v>
      </c>
      <c r="EG19" s="31">
        <v>925</v>
      </c>
      <c r="EH19" s="31">
        <v>905</v>
      </c>
      <c r="EI19" s="31">
        <v>905</v>
      </c>
      <c r="EJ19" s="31">
        <v>920</v>
      </c>
      <c r="EK19" s="31">
        <v>930</v>
      </c>
      <c r="EL19" s="31">
        <v>930</v>
      </c>
      <c r="EM19" s="31">
        <v>915</v>
      </c>
      <c r="EN19" s="31">
        <v>915</v>
      </c>
      <c r="EO19" s="31">
        <v>891</v>
      </c>
      <c r="EP19" s="31">
        <v>876</v>
      </c>
      <c r="EQ19" s="31">
        <v>835</v>
      </c>
      <c r="ER19" s="31">
        <v>785</v>
      </c>
      <c r="ES19" s="31">
        <v>760</v>
      </c>
      <c r="ET19" s="31">
        <v>735</v>
      </c>
      <c r="EU19" s="31">
        <v>725</v>
      </c>
      <c r="EV19" s="31">
        <v>760</v>
      </c>
      <c r="EW19" s="31">
        <v>770</v>
      </c>
      <c r="EX19" s="31">
        <v>770</v>
      </c>
      <c r="EY19" s="31">
        <v>775</v>
      </c>
      <c r="EZ19" s="31">
        <v>785</v>
      </c>
      <c r="FA19" s="31">
        <v>805</v>
      </c>
      <c r="FB19" s="31">
        <v>810</v>
      </c>
      <c r="FC19" s="31">
        <v>820</v>
      </c>
      <c r="FD19" s="31">
        <v>820</v>
      </c>
      <c r="FE19" s="31">
        <v>825</v>
      </c>
      <c r="FF19" s="31">
        <v>835</v>
      </c>
      <c r="FG19" s="31">
        <v>855</v>
      </c>
      <c r="FH19" s="31">
        <v>860</v>
      </c>
      <c r="FI19" s="31">
        <v>860</v>
      </c>
      <c r="FJ19" s="31">
        <v>860</v>
      </c>
      <c r="FK19" s="31">
        <v>855</v>
      </c>
      <c r="FL19" s="31">
        <v>850</v>
      </c>
      <c r="FM19" s="31">
        <v>850</v>
      </c>
      <c r="FN19" s="31">
        <v>840</v>
      </c>
      <c r="FO19" s="31">
        <v>855</v>
      </c>
      <c r="FP19" s="31">
        <v>855</v>
      </c>
      <c r="FQ19" s="31">
        <v>855</v>
      </c>
      <c r="FR19" s="31">
        <v>850</v>
      </c>
      <c r="FS19" s="31">
        <v>850</v>
      </c>
      <c r="FT19" s="31">
        <v>840</v>
      </c>
      <c r="FU19" s="31">
        <v>840</v>
      </c>
      <c r="FV19" s="31">
        <v>840</v>
      </c>
      <c r="FW19" s="31">
        <v>825</v>
      </c>
      <c r="FX19" s="31">
        <v>825</v>
      </c>
      <c r="FY19" s="31">
        <v>845</v>
      </c>
      <c r="FZ19" s="31">
        <v>850</v>
      </c>
      <c r="GA19" s="31">
        <v>850</v>
      </c>
      <c r="GB19" s="31">
        <v>850</v>
      </c>
      <c r="GC19" s="31">
        <v>845</v>
      </c>
      <c r="GD19" s="31">
        <v>845</v>
      </c>
      <c r="GE19" s="31">
        <v>845</v>
      </c>
      <c r="GF19" s="31">
        <v>835</v>
      </c>
      <c r="GG19" s="31">
        <v>850</v>
      </c>
      <c r="GH19" s="31">
        <v>845</v>
      </c>
      <c r="GI19" s="31">
        <v>850</v>
      </c>
      <c r="GJ19" s="31">
        <v>850</v>
      </c>
      <c r="GK19" s="31">
        <v>850</v>
      </c>
      <c r="GL19" s="31">
        <v>850</v>
      </c>
      <c r="GM19" s="31">
        <v>850</v>
      </c>
      <c r="GN19" s="31">
        <v>850</v>
      </c>
      <c r="GO19" s="31">
        <v>845</v>
      </c>
      <c r="GP19" s="31">
        <v>850</v>
      </c>
      <c r="GQ19" s="31">
        <v>850</v>
      </c>
      <c r="GR19" s="31">
        <v>855</v>
      </c>
      <c r="GS19" s="31">
        <v>860</v>
      </c>
      <c r="GT19" s="31">
        <v>865</v>
      </c>
      <c r="GU19" s="31">
        <v>875</v>
      </c>
      <c r="GV19" s="31">
        <v>870</v>
      </c>
      <c r="GW19" s="31">
        <v>875</v>
      </c>
      <c r="GX19" s="31">
        <v>875</v>
      </c>
      <c r="GY19" s="31">
        <v>875</v>
      </c>
      <c r="GZ19" s="31">
        <v>865</v>
      </c>
      <c r="HA19" s="31">
        <v>869</v>
      </c>
      <c r="HB19" s="31">
        <v>865</v>
      </c>
      <c r="HC19" s="31">
        <v>872</v>
      </c>
      <c r="HD19" s="31">
        <v>860</v>
      </c>
      <c r="HE19" s="31">
        <v>865</v>
      </c>
      <c r="HF19" s="31">
        <v>855</v>
      </c>
      <c r="HG19" s="31">
        <v>850</v>
      </c>
      <c r="HH19" s="31">
        <v>850</v>
      </c>
      <c r="HI19" s="31">
        <v>850</v>
      </c>
      <c r="HJ19" s="31">
        <v>855</v>
      </c>
      <c r="HK19" s="31">
        <v>860</v>
      </c>
      <c r="HL19" s="31">
        <v>865</v>
      </c>
      <c r="HM19" s="31">
        <v>860</v>
      </c>
      <c r="HN19" s="31">
        <v>855</v>
      </c>
      <c r="HO19" s="31">
        <v>845</v>
      </c>
      <c r="HP19" s="31">
        <v>830</v>
      </c>
      <c r="HQ19" s="31">
        <v>825</v>
      </c>
      <c r="HR19" s="31">
        <v>830</v>
      </c>
      <c r="HS19" s="31">
        <v>840</v>
      </c>
      <c r="HT19" s="31">
        <v>850</v>
      </c>
      <c r="HU19" s="31">
        <v>860</v>
      </c>
      <c r="HV19" s="31">
        <v>870</v>
      </c>
      <c r="HW19" s="31">
        <v>870</v>
      </c>
      <c r="HX19" s="31">
        <v>870</v>
      </c>
      <c r="HY19" s="31">
        <v>870</v>
      </c>
      <c r="HZ19" s="31">
        <v>860</v>
      </c>
      <c r="IA19" s="31">
        <v>850</v>
      </c>
      <c r="IB19" s="31">
        <v>850</v>
      </c>
      <c r="IC19" s="31">
        <v>845</v>
      </c>
      <c r="ID19" s="31">
        <v>845</v>
      </c>
      <c r="IE19" s="31">
        <v>830</v>
      </c>
      <c r="IF19" s="31">
        <v>830</v>
      </c>
      <c r="IG19" s="31">
        <v>820</v>
      </c>
      <c r="IH19" s="31">
        <v>815</v>
      </c>
      <c r="II19" s="31">
        <v>825</v>
      </c>
      <c r="IJ19" s="31">
        <v>825</v>
      </c>
      <c r="IK19" s="31">
        <v>820</v>
      </c>
      <c r="IL19" s="31">
        <v>805</v>
      </c>
      <c r="IM19" s="31">
        <v>805</v>
      </c>
      <c r="IN19" s="31">
        <v>795</v>
      </c>
      <c r="IO19" s="31">
        <v>785</v>
      </c>
      <c r="IP19" s="30">
        <v>775</v>
      </c>
      <c r="IQ19" s="31">
        <v>750</v>
      </c>
      <c r="IR19" s="31">
        <v>760</v>
      </c>
      <c r="IS19" s="31">
        <v>800</v>
      </c>
      <c r="IT19" s="31">
        <v>795</v>
      </c>
      <c r="IU19" s="31">
        <v>775</v>
      </c>
      <c r="IV19" s="31">
        <v>765</v>
      </c>
      <c r="IW19" s="31">
        <v>768</v>
      </c>
      <c r="IX19" s="31">
        <v>770</v>
      </c>
      <c r="IY19" s="31">
        <v>768</v>
      </c>
      <c r="IZ19" s="31">
        <v>778</v>
      </c>
      <c r="JA19" s="31">
        <v>780</v>
      </c>
      <c r="JB19" s="31">
        <v>787</v>
      </c>
      <c r="JC19" s="31">
        <v>790</v>
      </c>
      <c r="JD19" s="31">
        <v>795</v>
      </c>
      <c r="JE19" s="31">
        <v>800</v>
      </c>
      <c r="JF19" s="31">
        <v>795</v>
      </c>
      <c r="JG19" s="31">
        <v>785</v>
      </c>
      <c r="JH19" s="31">
        <v>785</v>
      </c>
      <c r="JI19" s="31">
        <v>775</v>
      </c>
      <c r="JJ19" s="31">
        <v>760</v>
      </c>
      <c r="JK19" s="31">
        <v>745</v>
      </c>
      <c r="JL19" s="31">
        <v>730</v>
      </c>
      <c r="JM19" s="31">
        <v>725</v>
      </c>
      <c r="JN19" s="31">
        <v>730</v>
      </c>
      <c r="JO19" s="31">
        <v>735</v>
      </c>
      <c r="JP19" s="31">
        <v>745</v>
      </c>
      <c r="JQ19" s="31">
        <v>745</v>
      </c>
      <c r="JR19" s="31">
        <v>745</v>
      </c>
      <c r="JS19" s="31">
        <v>742</v>
      </c>
      <c r="JT19" s="31">
        <v>745</v>
      </c>
      <c r="JU19" s="31">
        <v>770</v>
      </c>
      <c r="JV19" s="31">
        <v>785</v>
      </c>
      <c r="JW19" s="31">
        <v>820</v>
      </c>
      <c r="JX19" s="31">
        <v>825</v>
      </c>
      <c r="JY19" s="31">
        <v>825</v>
      </c>
      <c r="JZ19" s="31">
        <v>825</v>
      </c>
      <c r="KA19" s="31">
        <v>840</v>
      </c>
      <c r="KB19" s="31">
        <v>890</v>
      </c>
      <c r="KC19" s="31">
        <v>1100</v>
      </c>
      <c r="KD19" s="31">
        <v>1100</v>
      </c>
      <c r="KE19" s="31">
        <v>1280</v>
      </c>
      <c r="KF19" s="31">
        <v>1290</v>
      </c>
      <c r="KG19" s="31">
        <v>1330</v>
      </c>
      <c r="KH19" s="31">
        <v>1340</v>
      </c>
      <c r="KI19" s="31">
        <v>1330</v>
      </c>
      <c r="KJ19" s="31">
        <v>1340</v>
      </c>
      <c r="KK19" s="31">
        <v>1270</v>
      </c>
      <c r="KL19" s="31">
        <v>1280</v>
      </c>
      <c r="KM19" s="31">
        <v>1250</v>
      </c>
      <c r="KN19" s="31">
        <v>1210</v>
      </c>
      <c r="KO19" s="31">
        <v>1150</v>
      </c>
    </row>
    <row r="20" spans="1:301" ht="15.75" thickBot="1" x14ac:dyDescent="0.3">
      <c r="A20" s="179"/>
      <c r="B20" s="29">
        <v>19</v>
      </c>
      <c r="C20" s="94" t="s">
        <v>434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26"/>
      <c r="Z20" s="26"/>
      <c r="AA20" s="26"/>
      <c r="AB20" s="30"/>
      <c r="AC20" s="26"/>
      <c r="AD20" s="26"/>
      <c r="AE20" s="26"/>
      <c r="AF20" s="32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>
        <v>990</v>
      </c>
      <c r="BY20" s="31">
        <v>1010</v>
      </c>
      <c r="BZ20" s="31">
        <v>1035</v>
      </c>
      <c r="CA20" s="31">
        <v>1040</v>
      </c>
      <c r="CB20" s="31">
        <v>1040</v>
      </c>
      <c r="CC20" s="31">
        <v>1085</v>
      </c>
      <c r="CD20" s="31">
        <v>1150</v>
      </c>
      <c r="CE20" s="31">
        <v>1195</v>
      </c>
      <c r="CF20" s="31">
        <v>1250</v>
      </c>
      <c r="CG20" s="31">
        <v>1305</v>
      </c>
      <c r="CH20" s="31">
        <v>1240</v>
      </c>
      <c r="CI20" s="31">
        <v>1260</v>
      </c>
      <c r="CJ20" s="31">
        <v>1250</v>
      </c>
      <c r="CK20" s="31">
        <v>1210</v>
      </c>
      <c r="CL20" s="31">
        <v>1190</v>
      </c>
      <c r="CM20" s="31">
        <v>1190</v>
      </c>
      <c r="CN20" s="31">
        <v>1165</v>
      </c>
      <c r="CO20" s="31">
        <v>1150</v>
      </c>
      <c r="CP20" s="31">
        <v>1130</v>
      </c>
      <c r="CQ20" s="31">
        <v>1075</v>
      </c>
      <c r="CR20" s="31">
        <v>1030</v>
      </c>
      <c r="CS20" s="31">
        <v>1030</v>
      </c>
      <c r="CT20" s="31">
        <v>1030</v>
      </c>
      <c r="CU20" s="31">
        <v>1025</v>
      </c>
      <c r="CV20" s="31">
        <v>995</v>
      </c>
      <c r="CW20" s="31">
        <v>975</v>
      </c>
      <c r="CX20" s="31">
        <v>950</v>
      </c>
      <c r="CY20" s="31">
        <v>910</v>
      </c>
      <c r="CZ20" s="31">
        <v>890</v>
      </c>
      <c r="DA20" s="31">
        <v>880</v>
      </c>
      <c r="DB20" s="31">
        <v>895</v>
      </c>
      <c r="DC20" s="31">
        <v>895</v>
      </c>
      <c r="DD20" s="31">
        <v>880</v>
      </c>
      <c r="DE20" s="31">
        <v>855</v>
      </c>
      <c r="DF20" s="31">
        <v>860</v>
      </c>
      <c r="DG20" s="31">
        <v>870</v>
      </c>
      <c r="DH20" s="31">
        <v>875</v>
      </c>
      <c r="DI20" s="31">
        <v>875</v>
      </c>
      <c r="DJ20" s="31">
        <v>865</v>
      </c>
      <c r="DK20" s="31">
        <v>865</v>
      </c>
      <c r="DL20" s="31">
        <v>865</v>
      </c>
      <c r="DM20" s="31">
        <v>860</v>
      </c>
      <c r="DN20" s="31">
        <v>850</v>
      </c>
      <c r="DO20" s="31">
        <v>830</v>
      </c>
      <c r="DP20" s="31">
        <v>820</v>
      </c>
      <c r="DQ20" s="31">
        <v>825</v>
      </c>
      <c r="DR20" s="31">
        <v>835</v>
      </c>
      <c r="DS20" s="31">
        <v>850</v>
      </c>
      <c r="DT20" s="31">
        <v>855</v>
      </c>
      <c r="DU20" s="31">
        <v>855</v>
      </c>
      <c r="DV20" s="31">
        <v>865</v>
      </c>
      <c r="DW20" s="31">
        <v>865</v>
      </c>
      <c r="DX20" s="31">
        <v>850</v>
      </c>
      <c r="DY20" s="31">
        <v>855</v>
      </c>
      <c r="DZ20" s="31">
        <v>870</v>
      </c>
      <c r="EA20" s="31">
        <v>920</v>
      </c>
      <c r="EB20" s="31">
        <v>960</v>
      </c>
      <c r="EC20" s="31">
        <v>965</v>
      </c>
      <c r="ED20" s="31">
        <v>980</v>
      </c>
      <c r="EE20" s="31">
        <v>930</v>
      </c>
      <c r="EF20" s="31">
        <v>920</v>
      </c>
      <c r="EG20" s="31">
        <v>900</v>
      </c>
      <c r="EH20" s="31">
        <v>880</v>
      </c>
      <c r="EI20" s="31">
        <v>880</v>
      </c>
      <c r="EJ20" s="31">
        <v>900</v>
      </c>
      <c r="EK20" s="31">
        <v>905</v>
      </c>
      <c r="EL20" s="31">
        <v>905</v>
      </c>
      <c r="EM20" s="31">
        <v>895</v>
      </c>
      <c r="EN20" s="31">
        <v>895</v>
      </c>
      <c r="EO20" s="31">
        <v>871</v>
      </c>
      <c r="EP20" s="31">
        <v>856</v>
      </c>
      <c r="EQ20" s="31">
        <v>826</v>
      </c>
      <c r="ER20" s="31">
        <v>780</v>
      </c>
      <c r="ES20" s="31">
        <v>745</v>
      </c>
      <c r="ET20" s="31">
        <v>705</v>
      </c>
      <c r="EU20" s="31">
        <v>695</v>
      </c>
      <c r="EV20" s="31">
        <v>710</v>
      </c>
      <c r="EW20" s="31">
        <v>725</v>
      </c>
      <c r="EX20" s="31">
        <v>745</v>
      </c>
      <c r="EY20" s="31">
        <v>730</v>
      </c>
      <c r="EZ20" s="31">
        <v>735</v>
      </c>
      <c r="FA20" s="31">
        <v>755</v>
      </c>
      <c r="FB20" s="31">
        <v>760</v>
      </c>
      <c r="FC20" s="31">
        <v>780</v>
      </c>
      <c r="FD20" s="31">
        <v>780</v>
      </c>
      <c r="FE20" s="31">
        <v>785</v>
      </c>
      <c r="FF20" s="31">
        <v>795</v>
      </c>
      <c r="FG20" s="31">
        <v>810</v>
      </c>
      <c r="FH20" s="31">
        <v>820</v>
      </c>
      <c r="FI20" s="31">
        <v>820</v>
      </c>
      <c r="FJ20" s="31">
        <v>820</v>
      </c>
      <c r="FK20" s="31">
        <v>815</v>
      </c>
      <c r="FL20" s="31">
        <v>815</v>
      </c>
      <c r="FM20" s="31">
        <v>815</v>
      </c>
      <c r="FN20" s="31">
        <v>805</v>
      </c>
      <c r="FO20" s="30">
        <v>815</v>
      </c>
      <c r="FP20" s="31">
        <v>815</v>
      </c>
      <c r="FQ20" s="31">
        <v>815</v>
      </c>
      <c r="FR20" s="31">
        <v>810</v>
      </c>
      <c r="FS20" s="31">
        <v>810</v>
      </c>
      <c r="FT20" s="31">
        <v>810</v>
      </c>
      <c r="FU20" s="31">
        <v>810</v>
      </c>
      <c r="FV20" s="31">
        <v>810</v>
      </c>
      <c r="FW20" s="31">
        <v>795</v>
      </c>
      <c r="FX20" s="31">
        <v>795</v>
      </c>
      <c r="FY20" s="31">
        <v>810</v>
      </c>
      <c r="FZ20" s="31">
        <v>815</v>
      </c>
      <c r="GA20" s="31">
        <v>815</v>
      </c>
      <c r="GB20" s="31">
        <v>815</v>
      </c>
      <c r="GC20" s="31">
        <v>815</v>
      </c>
      <c r="GD20" s="31">
        <v>815</v>
      </c>
      <c r="GE20" s="31">
        <v>815</v>
      </c>
      <c r="GF20" s="31">
        <v>815</v>
      </c>
      <c r="GG20" s="31">
        <v>815</v>
      </c>
      <c r="GH20" s="31">
        <v>810</v>
      </c>
      <c r="GI20" s="31">
        <v>815</v>
      </c>
      <c r="GJ20" s="31">
        <v>820</v>
      </c>
      <c r="GK20" s="31">
        <v>820</v>
      </c>
      <c r="GL20" s="31">
        <v>820</v>
      </c>
      <c r="GM20" s="31">
        <v>820</v>
      </c>
      <c r="GN20" s="31">
        <v>820</v>
      </c>
      <c r="GO20" s="31">
        <v>815</v>
      </c>
      <c r="GP20" s="31">
        <v>820</v>
      </c>
      <c r="GQ20" s="31">
        <v>820</v>
      </c>
      <c r="GR20" s="31">
        <v>825</v>
      </c>
      <c r="GS20" s="31">
        <v>830</v>
      </c>
      <c r="GT20" s="31">
        <v>830</v>
      </c>
      <c r="GU20" s="31">
        <v>835</v>
      </c>
      <c r="GV20" s="31">
        <v>835</v>
      </c>
      <c r="GW20" s="31">
        <v>850</v>
      </c>
      <c r="GX20" s="31">
        <v>855</v>
      </c>
      <c r="GY20" s="31">
        <v>855</v>
      </c>
      <c r="GZ20" s="31">
        <v>850</v>
      </c>
      <c r="HA20" s="31">
        <v>850</v>
      </c>
      <c r="HB20" s="31">
        <v>850</v>
      </c>
      <c r="HC20" s="31">
        <v>847</v>
      </c>
      <c r="HD20" s="31">
        <v>835</v>
      </c>
      <c r="HE20" s="31">
        <v>840</v>
      </c>
      <c r="HF20" s="31">
        <v>825</v>
      </c>
      <c r="HG20" s="31">
        <v>820</v>
      </c>
      <c r="HH20" s="31">
        <v>820</v>
      </c>
      <c r="HI20" s="31">
        <v>800</v>
      </c>
      <c r="HJ20" s="31">
        <v>820</v>
      </c>
      <c r="HK20" s="31">
        <v>825</v>
      </c>
      <c r="HL20" s="31">
        <v>830</v>
      </c>
      <c r="HM20" s="31">
        <v>825</v>
      </c>
      <c r="HN20" s="31">
        <v>820</v>
      </c>
      <c r="HO20" s="31">
        <v>810</v>
      </c>
      <c r="HP20" s="31">
        <v>800</v>
      </c>
      <c r="HQ20" s="31">
        <v>790</v>
      </c>
      <c r="HR20" s="31">
        <v>795</v>
      </c>
      <c r="HS20" s="31">
        <v>800</v>
      </c>
      <c r="HT20" s="31">
        <v>815</v>
      </c>
      <c r="HU20" s="31">
        <v>830</v>
      </c>
      <c r="HV20" s="31">
        <v>850</v>
      </c>
      <c r="HW20" s="31">
        <v>850</v>
      </c>
      <c r="HX20" s="31">
        <v>850</v>
      </c>
      <c r="HY20" s="31">
        <v>850</v>
      </c>
      <c r="HZ20" s="31">
        <v>835</v>
      </c>
      <c r="IA20" s="31">
        <v>825</v>
      </c>
      <c r="IB20" s="31">
        <v>825</v>
      </c>
      <c r="IC20" s="31">
        <v>825</v>
      </c>
      <c r="ID20" s="31">
        <v>825</v>
      </c>
      <c r="IE20" s="31">
        <v>810</v>
      </c>
      <c r="IF20" s="31">
        <v>800</v>
      </c>
      <c r="IG20" s="31">
        <v>800</v>
      </c>
      <c r="IH20" s="31">
        <v>780</v>
      </c>
      <c r="II20" s="31">
        <v>785</v>
      </c>
      <c r="IJ20" s="31">
        <v>785</v>
      </c>
      <c r="IK20" s="31">
        <v>780</v>
      </c>
      <c r="IL20" s="31">
        <v>780</v>
      </c>
      <c r="IM20" s="31">
        <v>770</v>
      </c>
      <c r="IN20" s="31">
        <v>760</v>
      </c>
      <c r="IO20" s="31">
        <v>750</v>
      </c>
      <c r="IP20" s="30">
        <v>745</v>
      </c>
      <c r="IQ20" s="31">
        <v>710</v>
      </c>
      <c r="IR20" s="31">
        <v>710</v>
      </c>
      <c r="IS20" s="31">
        <v>750</v>
      </c>
      <c r="IT20" s="31">
        <v>745</v>
      </c>
      <c r="IU20" s="31">
        <v>740</v>
      </c>
      <c r="IV20" s="31">
        <v>738</v>
      </c>
      <c r="IW20" s="31">
        <v>738</v>
      </c>
      <c r="IX20" s="31">
        <v>730</v>
      </c>
      <c r="IY20" s="31">
        <v>735</v>
      </c>
      <c r="IZ20" s="31">
        <v>745</v>
      </c>
      <c r="JA20" s="31">
        <v>750</v>
      </c>
      <c r="JB20" s="31">
        <v>757</v>
      </c>
      <c r="JC20" s="31">
        <v>760</v>
      </c>
      <c r="JD20" s="31">
        <v>760</v>
      </c>
      <c r="JE20" s="31">
        <v>770</v>
      </c>
      <c r="JF20" s="31">
        <v>760</v>
      </c>
      <c r="JG20" s="31">
        <v>750</v>
      </c>
      <c r="JH20" s="31">
        <v>750</v>
      </c>
      <c r="JI20" s="31">
        <v>750</v>
      </c>
      <c r="JJ20" s="31">
        <v>740</v>
      </c>
      <c r="JK20" s="31">
        <v>730</v>
      </c>
      <c r="JL20" s="31">
        <v>710</v>
      </c>
      <c r="JM20" s="31">
        <v>695</v>
      </c>
      <c r="JN20" s="31">
        <v>695</v>
      </c>
      <c r="JO20" s="31">
        <v>695</v>
      </c>
      <c r="JP20" s="31">
        <v>715</v>
      </c>
      <c r="JQ20" s="31">
        <v>715</v>
      </c>
      <c r="JR20" s="31">
        <v>715</v>
      </c>
      <c r="JS20" s="31">
        <v>710</v>
      </c>
      <c r="JT20" s="31">
        <v>710</v>
      </c>
      <c r="JU20" s="31">
        <v>730</v>
      </c>
      <c r="JV20" s="31">
        <v>745</v>
      </c>
      <c r="JW20" s="31">
        <v>775</v>
      </c>
      <c r="JX20" s="31">
        <v>790</v>
      </c>
      <c r="JY20" s="31">
        <v>785</v>
      </c>
      <c r="JZ20" s="31">
        <v>785</v>
      </c>
      <c r="KA20" s="31">
        <v>790</v>
      </c>
      <c r="KB20" s="31">
        <v>850</v>
      </c>
      <c r="KC20" s="31">
        <v>1070</v>
      </c>
      <c r="KD20" s="31">
        <v>1080</v>
      </c>
      <c r="KE20" s="31">
        <v>1230</v>
      </c>
      <c r="KF20" s="31">
        <v>1250</v>
      </c>
      <c r="KG20" s="31">
        <v>1320</v>
      </c>
      <c r="KH20" s="31">
        <v>1330</v>
      </c>
      <c r="KI20" s="31">
        <v>1320</v>
      </c>
      <c r="KJ20" s="31">
        <v>1270</v>
      </c>
      <c r="KK20" s="31">
        <v>1255</v>
      </c>
      <c r="KL20" s="31">
        <v>1245</v>
      </c>
      <c r="KM20" s="31">
        <v>1230</v>
      </c>
      <c r="KN20" s="31">
        <v>1200</v>
      </c>
      <c r="KO20" s="31">
        <v>1130</v>
      </c>
    </row>
    <row r="21" spans="1:301" ht="15.75" thickBot="1" x14ac:dyDescent="0.3">
      <c r="A21" s="179"/>
      <c r="B21" s="29">
        <v>20</v>
      </c>
      <c r="C21" s="94" t="s">
        <v>435</v>
      </c>
      <c r="D21" s="14" t="s">
        <v>437</v>
      </c>
      <c r="E21" s="14" t="s">
        <v>437</v>
      </c>
      <c r="F21" s="14" t="s">
        <v>438</v>
      </c>
      <c r="G21" s="14" t="s">
        <v>439</v>
      </c>
      <c r="H21" s="14" t="s">
        <v>445</v>
      </c>
      <c r="I21" s="14" t="s">
        <v>445</v>
      </c>
      <c r="J21" s="14" t="s">
        <v>440</v>
      </c>
      <c r="K21" s="14" t="s">
        <v>441</v>
      </c>
      <c r="L21" s="14" t="s">
        <v>441</v>
      </c>
      <c r="M21" s="14" t="s">
        <v>441</v>
      </c>
      <c r="N21" s="14" t="s">
        <v>451</v>
      </c>
      <c r="O21" s="14" t="s">
        <v>398</v>
      </c>
      <c r="P21" s="14" t="s">
        <v>454</v>
      </c>
      <c r="Q21" s="14" t="s">
        <v>454</v>
      </c>
      <c r="R21" s="14" t="s">
        <v>456</v>
      </c>
      <c r="S21" s="14" t="s">
        <v>457</v>
      </c>
      <c r="T21" s="14" t="s">
        <v>460</v>
      </c>
      <c r="U21" s="14" t="s">
        <v>460</v>
      </c>
      <c r="V21" s="14" t="s">
        <v>462</v>
      </c>
      <c r="W21" s="14" t="s">
        <v>462</v>
      </c>
      <c r="X21" s="14" t="s">
        <v>462</v>
      </c>
      <c r="Y21" s="26" t="s">
        <v>462</v>
      </c>
      <c r="Z21" s="26" t="s">
        <v>463</v>
      </c>
      <c r="AA21" s="26" t="s">
        <v>463</v>
      </c>
      <c r="AB21" s="30" t="s">
        <v>463</v>
      </c>
      <c r="AC21" s="26" t="s">
        <v>463</v>
      </c>
      <c r="AD21" s="30" t="s">
        <v>463</v>
      </c>
      <c r="AE21" s="31" t="s">
        <v>463</v>
      </c>
      <c r="AF21" s="31" t="s">
        <v>465</v>
      </c>
      <c r="AG21" s="31" t="s">
        <v>363</v>
      </c>
      <c r="AH21" s="31" t="s">
        <v>468</v>
      </c>
      <c r="AI21" s="31" t="s">
        <v>470</v>
      </c>
      <c r="AJ21" s="31" t="s">
        <v>472</v>
      </c>
      <c r="AK21" s="31" t="s">
        <v>474</v>
      </c>
      <c r="AL21" s="31" t="s">
        <v>476</v>
      </c>
      <c r="AM21" s="31" t="s">
        <v>478</v>
      </c>
      <c r="AN21" s="31" t="s">
        <v>465</v>
      </c>
      <c r="AO21" s="31" t="s">
        <v>481</v>
      </c>
      <c r="AP21" s="31" t="s">
        <v>481</v>
      </c>
      <c r="AQ21" s="31" t="s">
        <v>483</v>
      </c>
      <c r="AR21" s="31" t="s">
        <v>231</v>
      </c>
      <c r="AS21" s="31" t="s">
        <v>231</v>
      </c>
      <c r="AT21" s="31" t="s">
        <v>486</v>
      </c>
      <c r="AU21" s="31" t="s">
        <v>488</v>
      </c>
      <c r="AV21" s="31" t="s">
        <v>490</v>
      </c>
      <c r="AW21" s="31" t="s">
        <v>492</v>
      </c>
      <c r="AX21" s="31" t="s">
        <v>492</v>
      </c>
      <c r="AY21" s="31" t="s">
        <v>493</v>
      </c>
      <c r="AZ21" s="31" t="s">
        <v>493</v>
      </c>
      <c r="BA21" s="31" t="s">
        <v>493</v>
      </c>
      <c r="BB21" s="31" t="s">
        <v>496</v>
      </c>
      <c r="BC21" s="31" t="s">
        <v>496</v>
      </c>
      <c r="BD21" s="31" t="s">
        <v>496</v>
      </c>
      <c r="BE21" s="31" t="s">
        <v>496</v>
      </c>
      <c r="BF21" s="31" t="s">
        <v>493</v>
      </c>
      <c r="BG21" s="31" t="s">
        <v>493</v>
      </c>
      <c r="BH21" s="31" t="s">
        <v>493</v>
      </c>
      <c r="BI21" s="31" t="s">
        <v>493</v>
      </c>
      <c r="BJ21" s="31" t="s">
        <v>498</v>
      </c>
      <c r="BK21" s="31" t="s">
        <v>498</v>
      </c>
      <c r="BL21" s="31" t="s">
        <v>498</v>
      </c>
      <c r="BM21" s="31" t="s">
        <v>500</v>
      </c>
      <c r="BN21" s="31" t="s">
        <v>500</v>
      </c>
      <c r="BO21" s="31" t="s">
        <v>501</v>
      </c>
      <c r="BP21" s="31" t="s">
        <v>503</v>
      </c>
      <c r="BQ21" s="31" t="s">
        <v>505</v>
      </c>
      <c r="BR21" s="31" t="s">
        <v>505</v>
      </c>
      <c r="BS21" s="31" t="s">
        <v>498</v>
      </c>
      <c r="BT21" s="31" t="s">
        <v>498</v>
      </c>
      <c r="BU21" s="31" t="s">
        <v>498</v>
      </c>
      <c r="BV21" s="31" t="s">
        <v>508</v>
      </c>
      <c r="BW21" s="31" t="s">
        <v>231</v>
      </c>
      <c r="BX21" s="31" t="s">
        <v>231</v>
      </c>
      <c r="BY21" s="31" t="s">
        <v>231</v>
      </c>
      <c r="BZ21" s="31" t="s">
        <v>509</v>
      </c>
      <c r="CA21" s="31" t="s">
        <v>509</v>
      </c>
      <c r="CB21" s="31" t="s">
        <v>509</v>
      </c>
      <c r="CC21" s="31" t="s">
        <v>510</v>
      </c>
      <c r="CD21" s="31" t="s">
        <v>512</v>
      </c>
      <c r="CE21" s="31" t="s">
        <v>512</v>
      </c>
      <c r="CF21" s="31" t="s">
        <v>485</v>
      </c>
      <c r="CG21" s="31" t="s">
        <v>506</v>
      </c>
      <c r="CH21" s="31" t="s">
        <v>506</v>
      </c>
      <c r="CI21" s="31" t="s">
        <v>506</v>
      </c>
      <c r="CJ21" s="31" t="s">
        <v>506</v>
      </c>
      <c r="CK21" s="31" t="s">
        <v>506</v>
      </c>
      <c r="CL21" s="31" t="s">
        <v>506</v>
      </c>
      <c r="CM21" s="31" t="s">
        <v>506</v>
      </c>
      <c r="CN21" s="31" t="s">
        <v>484</v>
      </c>
      <c r="CO21" s="31" t="s">
        <v>484</v>
      </c>
      <c r="CP21" s="31" t="s">
        <v>484</v>
      </c>
      <c r="CQ21" s="31" t="s">
        <v>484</v>
      </c>
      <c r="CR21" s="31" t="s">
        <v>483</v>
      </c>
      <c r="CS21" s="31" t="s">
        <v>515</v>
      </c>
      <c r="CT21" s="31" t="s">
        <v>515</v>
      </c>
      <c r="CU21" s="31" t="s">
        <v>515</v>
      </c>
      <c r="CV21" s="31" t="s">
        <v>516</v>
      </c>
      <c r="CW21" s="31" t="s">
        <v>516</v>
      </c>
      <c r="CX21" s="31" t="s">
        <v>516</v>
      </c>
      <c r="CY21" s="31" t="s">
        <v>518</v>
      </c>
      <c r="CZ21" s="31" t="s">
        <v>520</v>
      </c>
      <c r="DA21" s="31" t="s">
        <v>451</v>
      </c>
      <c r="DB21" s="31" t="s">
        <v>695</v>
      </c>
      <c r="DC21" s="31" t="s">
        <v>696</v>
      </c>
      <c r="DD21" s="31" t="s">
        <v>696</v>
      </c>
      <c r="DE21" s="31" t="s">
        <v>696</v>
      </c>
      <c r="DF21" s="31" t="s">
        <v>696</v>
      </c>
      <c r="DG21" s="31" t="s">
        <v>696</v>
      </c>
      <c r="DH21" s="31" t="s">
        <v>704</v>
      </c>
      <c r="DI21" s="31" t="s">
        <v>704</v>
      </c>
      <c r="DJ21" s="31" t="s">
        <v>704</v>
      </c>
      <c r="DK21" s="31" t="s">
        <v>704</v>
      </c>
      <c r="DL21" s="31" t="s">
        <v>722</v>
      </c>
      <c r="DM21" s="31" t="s">
        <v>448</v>
      </c>
      <c r="DN21" s="31" t="s">
        <v>724</v>
      </c>
      <c r="DO21" s="31" t="s">
        <v>727</v>
      </c>
      <c r="DP21" s="31" t="s">
        <v>738</v>
      </c>
      <c r="DQ21" s="31" t="s">
        <v>742</v>
      </c>
      <c r="DR21" s="31" t="s">
        <v>746</v>
      </c>
      <c r="DS21" s="31" t="s">
        <v>746</v>
      </c>
      <c r="DT21" s="31" t="s">
        <v>746</v>
      </c>
      <c r="DU21" s="31" t="s">
        <v>742</v>
      </c>
      <c r="DV21" s="31" t="s">
        <v>742</v>
      </c>
      <c r="DW21" s="31" t="s">
        <v>768</v>
      </c>
      <c r="DX21" s="31" t="s">
        <v>768</v>
      </c>
      <c r="DY21" s="31" t="s">
        <v>779</v>
      </c>
      <c r="DZ21" s="31" t="s">
        <v>779</v>
      </c>
      <c r="EA21" s="31" t="s">
        <v>788</v>
      </c>
      <c r="EB21" s="31" t="s">
        <v>788</v>
      </c>
      <c r="EC21" s="31" t="s">
        <v>788</v>
      </c>
      <c r="ED21" s="31" t="s">
        <v>788</v>
      </c>
      <c r="EE21" s="31" t="s">
        <v>788</v>
      </c>
      <c r="EF21" s="31" t="s">
        <v>788</v>
      </c>
      <c r="EG21" s="31" t="s">
        <v>788</v>
      </c>
      <c r="EH21" s="31" t="s">
        <v>820</v>
      </c>
      <c r="EI21" s="31" t="s">
        <v>820</v>
      </c>
      <c r="EJ21" s="31" t="s">
        <v>827</v>
      </c>
      <c r="EK21" s="31" t="s">
        <v>827</v>
      </c>
      <c r="EL21" s="31" t="s">
        <v>827</v>
      </c>
      <c r="EM21" s="31" t="s">
        <v>827</v>
      </c>
      <c r="EN21" s="31" t="s">
        <v>827</v>
      </c>
      <c r="EO21" s="31" t="s">
        <v>779</v>
      </c>
      <c r="EP21" s="31" t="s">
        <v>859</v>
      </c>
      <c r="EQ21" s="31" t="s">
        <v>861</v>
      </c>
      <c r="ER21" s="31" t="s">
        <v>864</v>
      </c>
      <c r="ES21" s="31" t="s">
        <v>875</v>
      </c>
      <c r="ET21" s="31" t="s">
        <v>885</v>
      </c>
      <c r="EU21" s="31" t="s">
        <v>890</v>
      </c>
      <c r="EV21" s="31" t="s">
        <v>893</v>
      </c>
      <c r="EW21" s="31" t="s">
        <v>893</v>
      </c>
      <c r="EX21" s="31" t="s">
        <v>893</v>
      </c>
      <c r="EY21" s="31" t="s">
        <v>885</v>
      </c>
      <c r="EZ21" s="31" t="s">
        <v>885</v>
      </c>
      <c r="FA21" s="31" t="s">
        <v>885</v>
      </c>
      <c r="FB21" s="31" t="s">
        <v>885</v>
      </c>
      <c r="FC21" s="31" t="s">
        <v>885</v>
      </c>
      <c r="FD21" s="31" t="s">
        <v>885</v>
      </c>
      <c r="FE21" s="31" t="s">
        <v>876</v>
      </c>
      <c r="FF21" s="31" t="s">
        <v>929</v>
      </c>
      <c r="FG21" s="31" t="s">
        <v>929</v>
      </c>
      <c r="FH21" s="31" t="s">
        <v>943</v>
      </c>
      <c r="FI21" s="31" t="s">
        <v>943</v>
      </c>
      <c r="FJ21" s="31" t="s">
        <v>943</v>
      </c>
      <c r="FK21" s="31" t="s">
        <v>952</v>
      </c>
      <c r="FL21" s="31" t="s">
        <v>955</v>
      </c>
      <c r="FM21" s="31" t="s">
        <v>955</v>
      </c>
      <c r="FN21" s="31" t="s">
        <v>955</v>
      </c>
      <c r="FO21" s="31" t="s">
        <v>955</v>
      </c>
      <c r="FP21" s="31" t="s">
        <v>955</v>
      </c>
      <c r="FQ21" s="31" t="s">
        <v>955</v>
      </c>
      <c r="FR21" s="31" t="s">
        <v>955</v>
      </c>
      <c r="FS21" s="31" t="s">
        <v>955</v>
      </c>
      <c r="FT21" s="31" t="s">
        <v>952</v>
      </c>
      <c r="FU21" s="31" t="s">
        <v>956</v>
      </c>
      <c r="FV21" s="31" t="s">
        <v>956</v>
      </c>
      <c r="FW21" s="31" t="s">
        <v>746</v>
      </c>
      <c r="FX21" s="31" t="s">
        <v>746</v>
      </c>
      <c r="FY21" s="31" t="s">
        <v>746</v>
      </c>
      <c r="FZ21" s="31" t="s">
        <v>746</v>
      </c>
      <c r="GA21" s="31" t="s">
        <v>746</v>
      </c>
      <c r="GB21" s="31" t="s">
        <v>746</v>
      </c>
      <c r="GC21" s="31" t="s">
        <v>746</v>
      </c>
      <c r="GD21" s="31" t="s">
        <v>746</v>
      </c>
      <c r="GE21" s="31" t="s">
        <v>746</v>
      </c>
      <c r="GF21" s="31" t="s">
        <v>746</v>
      </c>
      <c r="GG21" s="31" t="s">
        <v>742</v>
      </c>
      <c r="GH21" s="31" t="s">
        <v>742</v>
      </c>
      <c r="GI21" s="31" t="s">
        <v>742</v>
      </c>
      <c r="GJ21" s="31" t="s">
        <v>768</v>
      </c>
      <c r="GK21" s="31" t="s">
        <v>768</v>
      </c>
      <c r="GL21" s="31" t="s">
        <v>768</v>
      </c>
      <c r="GM21" s="31" t="s">
        <v>1055</v>
      </c>
      <c r="GN21" s="31" t="s">
        <v>1058</v>
      </c>
      <c r="GO21" s="31" t="s">
        <v>1058</v>
      </c>
      <c r="GP21" s="31" t="s">
        <v>1058</v>
      </c>
      <c r="GQ21" s="31" t="s">
        <v>1058</v>
      </c>
      <c r="GR21" s="31" t="s">
        <v>1058</v>
      </c>
      <c r="GS21" s="31" t="s">
        <v>1058</v>
      </c>
      <c r="GT21" s="31" t="s">
        <v>827</v>
      </c>
      <c r="GU21" s="31" t="s">
        <v>1055</v>
      </c>
      <c r="GV21" s="31" t="s">
        <v>1055</v>
      </c>
      <c r="GW21" s="31" t="s">
        <v>1055</v>
      </c>
      <c r="GX21" s="31" t="s">
        <v>779</v>
      </c>
      <c r="GY21" s="31" t="s">
        <v>779</v>
      </c>
      <c r="GZ21" s="31" t="s">
        <v>779</v>
      </c>
      <c r="HA21" s="31" t="s">
        <v>779</v>
      </c>
      <c r="HB21" s="31" t="s">
        <v>768</v>
      </c>
      <c r="HC21" s="31" t="s">
        <v>1112</v>
      </c>
      <c r="HD21" s="31" t="s">
        <v>1112</v>
      </c>
      <c r="HE21" s="31" t="s">
        <v>1112</v>
      </c>
      <c r="HF21" s="31" t="s">
        <v>929</v>
      </c>
      <c r="HG21" s="31" t="s">
        <v>929</v>
      </c>
      <c r="HH21" s="31" t="s">
        <v>943</v>
      </c>
      <c r="HI21" s="31" t="s">
        <v>943</v>
      </c>
      <c r="HJ21" s="31" t="s">
        <v>1146</v>
      </c>
      <c r="HK21" s="31" t="s">
        <v>1146</v>
      </c>
      <c r="HL21" s="31" t="s">
        <v>1146</v>
      </c>
      <c r="HM21" s="31" t="s">
        <v>1146</v>
      </c>
      <c r="HN21" s="31" t="s">
        <v>1146</v>
      </c>
      <c r="HO21" s="31" t="s">
        <v>1146</v>
      </c>
      <c r="HP21" s="31" t="s">
        <v>1146</v>
      </c>
      <c r="HQ21" s="31" t="s">
        <v>1146</v>
      </c>
      <c r="HR21" s="31" t="s">
        <v>1146</v>
      </c>
      <c r="HS21" s="31" t="s">
        <v>1181</v>
      </c>
      <c r="HT21" s="31" t="s">
        <v>1181</v>
      </c>
      <c r="HU21" s="31" t="s">
        <v>1146</v>
      </c>
      <c r="HV21" s="31" t="s">
        <v>1146</v>
      </c>
      <c r="HW21" s="31" t="s">
        <v>1146</v>
      </c>
      <c r="HX21" s="31" t="s">
        <v>1146</v>
      </c>
      <c r="HY21" s="31" t="s">
        <v>1146</v>
      </c>
      <c r="HZ21" s="31" t="s">
        <v>1216</v>
      </c>
      <c r="IA21" s="31" t="s">
        <v>1216</v>
      </c>
      <c r="IB21" s="31" t="s">
        <v>1216</v>
      </c>
      <c r="IC21" s="31" t="s">
        <v>1216</v>
      </c>
      <c r="ID21" s="31" t="s">
        <v>1216</v>
      </c>
      <c r="IE21" s="31" t="s">
        <v>1216</v>
      </c>
      <c r="IF21" s="31" t="s">
        <v>1245</v>
      </c>
      <c r="IG21" s="31" t="s">
        <v>1245</v>
      </c>
      <c r="IH21" s="31" t="s">
        <v>1261</v>
      </c>
      <c r="II21" s="31" t="s">
        <v>358</v>
      </c>
      <c r="IJ21" s="31" t="s">
        <v>358</v>
      </c>
      <c r="IK21" s="31" t="s">
        <v>358</v>
      </c>
      <c r="IL21" s="31" t="s">
        <v>358</v>
      </c>
      <c r="IM21" s="31" t="s">
        <v>358</v>
      </c>
      <c r="IN21" s="31" t="s">
        <v>358</v>
      </c>
      <c r="IO21" s="31" t="s">
        <v>358</v>
      </c>
      <c r="IP21" s="31" t="s">
        <v>358</v>
      </c>
      <c r="IQ21" s="31" t="s">
        <v>358</v>
      </c>
      <c r="IR21" s="31" t="s">
        <v>358</v>
      </c>
      <c r="IS21" s="31" t="s">
        <v>3</v>
      </c>
      <c r="IT21" s="31" t="s">
        <v>3</v>
      </c>
      <c r="IU21" s="31" t="s">
        <v>1112</v>
      </c>
      <c r="IV21" s="31" t="s">
        <v>1112</v>
      </c>
      <c r="IW21" s="31" t="s">
        <v>1311</v>
      </c>
      <c r="IX21" s="31" t="s">
        <v>1314</v>
      </c>
      <c r="IY21" s="31" t="s">
        <v>1314</v>
      </c>
      <c r="IZ21" s="31" t="s">
        <v>1314</v>
      </c>
      <c r="JA21" s="31" t="s">
        <v>1314</v>
      </c>
      <c r="JB21" s="31" t="s">
        <v>1326</v>
      </c>
      <c r="JC21" s="31" t="s">
        <v>1329</v>
      </c>
      <c r="JD21" s="31" t="s">
        <v>1337</v>
      </c>
      <c r="JE21" s="31" t="s">
        <v>1342</v>
      </c>
      <c r="JF21" s="31" t="s">
        <v>1344</v>
      </c>
      <c r="JG21" s="31" t="s">
        <v>1346</v>
      </c>
      <c r="JH21" s="31" t="s">
        <v>1346</v>
      </c>
      <c r="JI21" s="31" t="s">
        <v>1346</v>
      </c>
      <c r="JJ21" s="31" t="s">
        <v>894</v>
      </c>
      <c r="JK21" s="31" t="s">
        <v>1362</v>
      </c>
      <c r="JL21" s="31" t="s">
        <v>1367</v>
      </c>
      <c r="JM21" s="31" t="s">
        <v>1370</v>
      </c>
      <c r="JN21" s="31" t="s">
        <v>1370</v>
      </c>
      <c r="JO21" s="31" t="s">
        <v>1370</v>
      </c>
      <c r="JP21" s="31" t="s">
        <v>1370</v>
      </c>
      <c r="JQ21" s="31" t="s">
        <v>1370</v>
      </c>
      <c r="JR21" s="31" t="s">
        <v>1370</v>
      </c>
      <c r="JS21" s="31" t="s">
        <v>1381</v>
      </c>
      <c r="JT21" s="31" t="s">
        <v>1381</v>
      </c>
      <c r="JU21" s="31" t="s">
        <v>1384</v>
      </c>
      <c r="JV21" s="31" t="s">
        <v>1381</v>
      </c>
      <c r="JW21" s="31" t="s">
        <v>1389</v>
      </c>
      <c r="JX21" s="31" t="s">
        <v>1390</v>
      </c>
      <c r="JY21" s="31" t="s">
        <v>1390</v>
      </c>
      <c r="JZ21" s="31" t="s">
        <v>1397</v>
      </c>
      <c r="KA21" s="31" t="s">
        <v>1397</v>
      </c>
      <c r="KB21" s="31" t="s">
        <v>1397</v>
      </c>
      <c r="KC21" s="30" t="s">
        <v>461</v>
      </c>
      <c r="KD21" s="30" t="s">
        <v>461</v>
      </c>
      <c r="KE21" s="30" t="s">
        <v>1408</v>
      </c>
      <c r="KF21" s="30" t="s">
        <v>1408</v>
      </c>
      <c r="KG21" s="30" t="s">
        <v>234</v>
      </c>
      <c r="KH21" s="30" t="s">
        <v>234</v>
      </c>
      <c r="KI21" s="30" t="s">
        <v>234</v>
      </c>
      <c r="KJ21" s="30" t="s">
        <v>234</v>
      </c>
      <c r="KK21" s="30" t="s">
        <v>234</v>
      </c>
      <c r="KL21" s="30" t="s">
        <v>1147</v>
      </c>
      <c r="KM21" s="30" t="s">
        <v>504</v>
      </c>
      <c r="KN21" s="30" t="s">
        <v>504</v>
      </c>
      <c r="KO21" s="30" t="s">
        <v>465</v>
      </c>
    </row>
    <row r="22" spans="1:301" ht="15.75" thickBot="1" x14ac:dyDescent="0.3">
      <c r="A22" s="179"/>
      <c r="B22" s="29">
        <v>21</v>
      </c>
      <c r="C22" s="94" t="s">
        <v>436</v>
      </c>
      <c r="D22" s="14" t="s">
        <v>442</v>
      </c>
      <c r="E22" s="14" t="s">
        <v>442</v>
      </c>
      <c r="F22" s="14" t="s">
        <v>443</v>
      </c>
      <c r="G22" s="14" t="s">
        <v>444</v>
      </c>
      <c r="H22" s="14" t="s">
        <v>446</v>
      </c>
      <c r="I22" s="14" t="s">
        <v>447</v>
      </c>
      <c r="J22" s="14" t="s">
        <v>448</v>
      </c>
      <c r="K22" s="14" t="s">
        <v>449</v>
      </c>
      <c r="L22" s="14" t="s">
        <v>449</v>
      </c>
      <c r="M22" s="14" t="s">
        <v>449</v>
      </c>
      <c r="N22" s="14" t="s">
        <v>450</v>
      </c>
      <c r="O22" s="14" t="s">
        <v>452</v>
      </c>
      <c r="P22" s="14" t="s">
        <v>453</v>
      </c>
      <c r="Q22" s="14" t="s">
        <v>453</v>
      </c>
      <c r="R22" s="14" t="s">
        <v>455</v>
      </c>
      <c r="S22" s="14" t="s">
        <v>458</v>
      </c>
      <c r="T22" s="14" t="s">
        <v>459</v>
      </c>
      <c r="U22" s="14" t="s">
        <v>233</v>
      </c>
      <c r="V22" s="14" t="s">
        <v>461</v>
      </c>
      <c r="W22" s="14" t="s">
        <v>461</v>
      </c>
      <c r="X22" s="14" t="s">
        <v>461</v>
      </c>
      <c r="Y22" s="32" t="s">
        <v>461</v>
      </c>
      <c r="Z22" s="32" t="s">
        <v>464</v>
      </c>
      <c r="AA22" s="32" t="s">
        <v>464</v>
      </c>
      <c r="AB22" s="31" t="s">
        <v>464</v>
      </c>
      <c r="AC22" s="31" t="s">
        <v>464</v>
      </c>
      <c r="AD22" s="31" t="s">
        <v>464</v>
      </c>
      <c r="AE22" s="31" t="s">
        <v>464</v>
      </c>
      <c r="AF22" s="31" t="s">
        <v>466</v>
      </c>
      <c r="AG22" s="31" t="s">
        <v>467</v>
      </c>
      <c r="AH22" s="31" t="s">
        <v>469</v>
      </c>
      <c r="AI22" s="31" t="s">
        <v>471</v>
      </c>
      <c r="AJ22" s="31" t="s">
        <v>473</v>
      </c>
      <c r="AK22" s="31" t="s">
        <v>475</v>
      </c>
      <c r="AL22" s="31" t="s">
        <v>477</v>
      </c>
      <c r="AM22" s="31" t="s">
        <v>479</v>
      </c>
      <c r="AN22" s="31" t="s">
        <v>480</v>
      </c>
      <c r="AO22" s="31" t="s">
        <v>482</v>
      </c>
      <c r="AP22" s="31" t="s">
        <v>482</v>
      </c>
      <c r="AQ22" s="31" t="s">
        <v>484</v>
      </c>
      <c r="AR22" s="31" t="s">
        <v>485</v>
      </c>
      <c r="AS22" s="31" t="s">
        <v>485</v>
      </c>
      <c r="AT22" s="31" t="s">
        <v>487</v>
      </c>
      <c r="AU22" s="31" t="s">
        <v>489</v>
      </c>
      <c r="AV22" s="31" t="s">
        <v>491</v>
      </c>
      <c r="AW22" s="31" t="s">
        <v>491</v>
      </c>
      <c r="AX22" s="31" t="s">
        <v>491</v>
      </c>
      <c r="AY22" s="31" t="s">
        <v>494</v>
      </c>
      <c r="AZ22" s="31" t="s">
        <v>494</v>
      </c>
      <c r="BA22" s="31" t="s">
        <v>495</v>
      </c>
      <c r="BB22" s="31" t="s">
        <v>495</v>
      </c>
      <c r="BC22" s="31" t="s">
        <v>464</v>
      </c>
      <c r="BD22" s="31" t="s">
        <v>464</v>
      </c>
      <c r="BE22" s="31" t="s">
        <v>464</v>
      </c>
      <c r="BF22" s="31" t="s">
        <v>497</v>
      </c>
      <c r="BG22" s="31" t="s">
        <v>497</v>
      </c>
      <c r="BH22" s="31" t="s">
        <v>497</v>
      </c>
      <c r="BI22" s="31" t="s">
        <v>497</v>
      </c>
      <c r="BJ22" s="31" t="s">
        <v>499</v>
      </c>
      <c r="BK22" s="31" t="s">
        <v>499</v>
      </c>
      <c r="BL22" s="31" t="s">
        <v>499</v>
      </c>
      <c r="BM22" s="31" t="s">
        <v>477</v>
      </c>
      <c r="BN22" s="31" t="s">
        <v>477</v>
      </c>
      <c r="BO22" s="31" t="s">
        <v>502</v>
      </c>
      <c r="BP22" s="31" t="s">
        <v>504</v>
      </c>
      <c r="BQ22" s="31" t="s">
        <v>506</v>
      </c>
      <c r="BR22" s="31" t="s">
        <v>506</v>
      </c>
      <c r="BS22" s="31" t="s">
        <v>507</v>
      </c>
      <c r="BT22" s="31" t="s">
        <v>507</v>
      </c>
      <c r="BU22" s="31" t="s">
        <v>507</v>
      </c>
      <c r="BV22" s="31" t="s">
        <v>498</v>
      </c>
      <c r="BW22" s="31" t="s">
        <v>491</v>
      </c>
      <c r="BX22" s="31" t="s">
        <v>491</v>
      </c>
      <c r="BY22" s="31" t="s">
        <v>491</v>
      </c>
      <c r="BZ22" s="31" t="s">
        <v>510</v>
      </c>
      <c r="CA22" s="31" t="s">
        <v>510</v>
      </c>
      <c r="CB22" s="31" t="s">
        <v>510</v>
      </c>
      <c r="CC22" s="31" t="s">
        <v>511</v>
      </c>
      <c r="CD22" s="31" t="s">
        <v>485</v>
      </c>
      <c r="CE22" s="31" t="s">
        <v>485</v>
      </c>
      <c r="CF22" s="31" t="s">
        <v>507</v>
      </c>
      <c r="CG22" s="31" t="s">
        <v>465</v>
      </c>
      <c r="CH22" s="31" t="s">
        <v>465</v>
      </c>
      <c r="CI22" s="31" t="s">
        <v>465</v>
      </c>
      <c r="CJ22" s="31" t="s">
        <v>465</v>
      </c>
      <c r="CK22" s="31" t="s">
        <v>465</v>
      </c>
      <c r="CL22" s="31" t="s">
        <v>465</v>
      </c>
      <c r="CM22" s="31" t="s">
        <v>465</v>
      </c>
      <c r="CN22" s="31" t="s">
        <v>513</v>
      </c>
      <c r="CO22" s="31" t="s">
        <v>513</v>
      </c>
      <c r="CP22" s="31" t="s">
        <v>513</v>
      </c>
      <c r="CQ22" s="31" t="s">
        <v>513</v>
      </c>
      <c r="CR22" s="31" t="s">
        <v>514</v>
      </c>
      <c r="CS22" s="31" t="s">
        <v>483</v>
      </c>
      <c r="CT22" s="31" t="s">
        <v>483</v>
      </c>
      <c r="CU22" s="31" t="s">
        <v>483</v>
      </c>
      <c r="CV22" s="31" t="s">
        <v>517</v>
      </c>
      <c r="CW22" s="31" t="s">
        <v>517</v>
      </c>
      <c r="CX22" s="31" t="s">
        <v>517</v>
      </c>
      <c r="CY22" s="31" t="s">
        <v>519</v>
      </c>
      <c r="CZ22" s="31" t="s">
        <v>521</v>
      </c>
      <c r="DA22" s="31" t="s">
        <v>522</v>
      </c>
      <c r="DB22" s="31" t="s">
        <v>697</v>
      </c>
      <c r="DC22" s="31" t="s">
        <v>698</v>
      </c>
      <c r="DD22" s="31" t="s">
        <v>699</v>
      </c>
      <c r="DE22" s="31" t="s">
        <v>699</v>
      </c>
      <c r="DF22" s="31" t="s">
        <v>698</v>
      </c>
      <c r="DG22" s="31" t="s">
        <v>698</v>
      </c>
      <c r="DH22" s="31" t="s">
        <v>705</v>
      </c>
      <c r="DI22" s="31" t="s">
        <v>705</v>
      </c>
      <c r="DJ22" s="31" t="s">
        <v>705</v>
      </c>
      <c r="DK22" s="31" t="s">
        <v>705</v>
      </c>
      <c r="DL22" s="31" t="s">
        <v>446</v>
      </c>
      <c r="DM22" s="31" t="s">
        <v>446</v>
      </c>
      <c r="DN22" s="31" t="s">
        <v>442</v>
      </c>
      <c r="DO22" s="31" t="s">
        <v>728</v>
      </c>
      <c r="DP22" s="31" t="s">
        <v>739</v>
      </c>
      <c r="DQ22" s="31" t="s">
        <v>743</v>
      </c>
      <c r="DR22" s="31" t="s">
        <v>747</v>
      </c>
      <c r="DS22" s="31" t="s">
        <v>747</v>
      </c>
      <c r="DT22" s="31" t="s">
        <v>747</v>
      </c>
      <c r="DU22" s="31" t="s">
        <v>762</v>
      </c>
      <c r="DV22" s="31" t="s">
        <v>762</v>
      </c>
      <c r="DW22" s="31" t="s">
        <v>743</v>
      </c>
      <c r="DX22" s="31" t="s">
        <v>743</v>
      </c>
      <c r="DY22" s="31" t="s">
        <v>438</v>
      </c>
      <c r="DZ22" s="31" t="s">
        <v>438</v>
      </c>
      <c r="EA22" s="31" t="s">
        <v>789</v>
      </c>
      <c r="EB22" s="31" t="s">
        <v>789</v>
      </c>
      <c r="EC22" s="31" t="s">
        <v>789</v>
      </c>
      <c r="ED22" s="31" t="s">
        <v>789</v>
      </c>
      <c r="EE22" s="31" t="s">
        <v>789</v>
      </c>
      <c r="EF22" s="31" t="s">
        <v>789</v>
      </c>
      <c r="EG22" s="31" t="s">
        <v>789</v>
      </c>
      <c r="EH22" s="31" t="s">
        <v>821</v>
      </c>
      <c r="EI22" s="31" t="s">
        <v>821</v>
      </c>
      <c r="EJ22" s="31" t="s">
        <v>828</v>
      </c>
      <c r="EK22" s="31" t="s">
        <v>828</v>
      </c>
      <c r="EL22" s="31" t="s">
        <v>828</v>
      </c>
      <c r="EM22" s="31" t="s">
        <v>828</v>
      </c>
      <c r="EN22" s="31" t="s">
        <v>828</v>
      </c>
      <c r="EO22" s="31" t="s">
        <v>827</v>
      </c>
      <c r="EP22" s="31" t="s">
        <v>762</v>
      </c>
      <c r="EQ22" s="31" t="s">
        <v>742</v>
      </c>
      <c r="ER22" s="31" t="s">
        <v>865</v>
      </c>
      <c r="ES22" s="31" t="s">
        <v>876</v>
      </c>
      <c r="ET22" s="31" t="s">
        <v>886</v>
      </c>
      <c r="EU22" s="31" t="s">
        <v>885</v>
      </c>
      <c r="EV22" s="31" t="s">
        <v>894</v>
      </c>
      <c r="EW22" s="31" t="s">
        <v>894</v>
      </c>
      <c r="EX22" s="31" t="s">
        <v>894</v>
      </c>
      <c r="EY22" s="31" t="s">
        <v>886</v>
      </c>
      <c r="EZ22" s="31" t="s">
        <v>886</v>
      </c>
      <c r="FA22" s="31" t="s">
        <v>886</v>
      </c>
      <c r="FB22" s="31" t="s">
        <v>886</v>
      </c>
      <c r="FC22" s="31" t="s">
        <v>886</v>
      </c>
      <c r="FD22" s="31" t="s">
        <v>886</v>
      </c>
      <c r="FE22" s="31" t="s">
        <v>929</v>
      </c>
      <c r="FF22" s="31" t="s">
        <v>861</v>
      </c>
      <c r="FG22" s="31" t="s">
        <v>861</v>
      </c>
      <c r="FH22" s="31" t="s">
        <v>859</v>
      </c>
      <c r="FI22" s="31" t="s">
        <v>859</v>
      </c>
      <c r="FJ22" s="31" t="s">
        <v>859</v>
      </c>
      <c r="FK22" s="31" t="s">
        <v>943</v>
      </c>
      <c r="FL22" s="31" t="s">
        <v>956</v>
      </c>
      <c r="FM22" s="31" t="s">
        <v>956</v>
      </c>
      <c r="FN22" s="31" t="s">
        <v>956</v>
      </c>
      <c r="FO22" s="31" t="s">
        <v>956</v>
      </c>
      <c r="FP22" s="31" t="s">
        <v>956</v>
      </c>
      <c r="FQ22" s="31" t="s">
        <v>956</v>
      </c>
      <c r="FR22" s="31" t="s">
        <v>956</v>
      </c>
      <c r="FS22" s="31" t="s">
        <v>956</v>
      </c>
      <c r="FT22" s="31" t="s">
        <v>943</v>
      </c>
      <c r="FU22" s="31" t="s">
        <v>746</v>
      </c>
      <c r="FV22" s="31" t="s">
        <v>746</v>
      </c>
      <c r="FW22" s="31" t="s">
        <v>742</v>
      </c>
      <c r="FX22" s="31" t="s">
        <v>742</v>
      </c>
      <c r="FY22" s="31" t="s">
        <v>742</v>
      </c>
      <c r="FZ22" s="31" t="s">
        <v>742</v>
      </c>
      <c r="GA22" s="31" t="s">
        <v>742</v>
      </c>
      <c r="GB22" s="31" t="s">
        <v>742</v>
      </c>
      <c r="GC22" s="31" t="s">
        <v>742</v>
      </c>
      <c r="GD22" s="31" t="s">
        <v>742</v>
      </c>
      <c r="GE22" s="31" t="s">
        <v>742</v>
      </c>
      <c r="GF22" s="31" t="s">
        <v>742</v>
      </c>
      <c r="GG22" s="31" t="s">
        <v>1035</v>
      </c>
      <c r="GH22" s="31" t="s">
        <v>1035</v>
      </c>
      <c r="GI22" s="31" t="s">
        <v>1035</v>
      </c>
      <c r="GJ22" s="31" t="s">
        <v>437</v>
      </c>
      <c r="GK22" s="31" t="s">
        <v>437</v>
      </c>
      <c r="GL22" s="31" t="s">
        <v>437</v>
      </c>
      <c r="GM22" s="31" t="s">
        <v>821</v>
      </c>
      <c r="GN22" s="31" t="s">
        <v>788</v>
      </c>
      <c r="GO22" s="31" t="s">
        <v>788</v>
      </c>
      <c r="GP22" s="31" t="s">
        <v>788</v>
      </c>
      <c r="GQ22" s="31" t="s">
        <v>788</v>
      </c>
      <c r="GR22" s="31" t="s">
        <v>788</v>
      </c>
      <c r="GS22" s="31" t="s">
        <v>788</v>
      </c>
      <c r="GT22" s="31" t="s">
        <v>821</v>
      </c>
      <c r="GU22" s="31" t="s">
        <v>821</v>
      </c>
      <c r="GV22" s="31" t="s">
        <v>1086</v>
      </c>
      <c r="GW22" s="31" t="s">
        <v>1086</v>
      </c>
      <c r="GX22" s="31" t="s">
        <v>827</v>
      </c>
      <c r="GY22" s="31" t="s">
        <v>827</v>
      </c>
      <c r="GZ22" s="31" t="s">
        <v>827</v>
      </c>
      <c r="HA22" s="31" t="s">
        <v>827</v>
      </c>
      <c r="HB22" s="31" t="s">
        <v>1109</v>
      </c>
      <c r="HC22" s="31" t="s">
        <v>437</v>
      </c>
      <c r="HD22" s="31" t="s">
        <v>437</v>
      </c>
      <c r="HE22" s="31" t="s">
        <v>437</v>
      </c>
      <c r="HF22" s="31" t="s">
        <v>747</v>
      </c>
      <c r="HG22" s="31" t="s">
        <v>747</v>
      </c>
      <c r="HH22" s="31" t="s">
        <v>747</v>
      </c>
      <c r="HI22" s="31" t="s">
        <v>747</v>
      </c>
      <c r="HJ22" s="31" t="s">
        <v>768</v>
      </c>
      <c r="HK22" s="31" t="s">
        <v>768</v>
      </c>
      <c r="HL22" s="31" t="s">
        <v>768</v>
      </c>
      <c r="HM22" s="31" t="s">
        <v>768</v>
      </c>
      <c r="HN22" s="31" t="s">
        <v>768</v>
      </c>
      <c r="HO22" s="31" t="s">
        <v>768</v>
      </c>
      <c r="HP22" s="31" t="s">
        <v>768</v>
      </c>
      <c r="HQ22" s="31" t="s">
        <v>768</v>
      </c>
      <c r="HR22" s="31" t="s">
        <v>768</v>
      </c>
      <c r="HS22" s="31" t="s">
        <v>1182</v>
      </c>
      <c r="HT22" s="31" t="s">
        <v>1182</v>
      </c>
      <c r="HU22" s="31" t="s">
        <v>1182</v>
      </c>
      <c r="HV22" s="31" t="s">
        <v>1182</v>
      </c>
      <c r="HW22" s="31" t="s">
        <v>1182</v>
      </c>
      <c r="HX22" s="31" t="s">
        <v>1182</v>
      </c>
      <c r="HY22" s="31" t="s">
        <v>1182</v>
      </c>
      <c r="HZ22" s="31" t="s">
        <v>1217</v>
      </c>
      <c r="IA22" s="31" t="s">
        <v>1217</v>
      </c>
      <c r="IB22" s="31" t="s">
        <v>1217</v>
      </c>
      <c r="IC22" s="31" t="s">
        <v>1217</v>
      </c>
      <c r="ID22" s="31" t="s">
        <v>1217</v>
      </c>
      <c r="IE22" s="31" t="s">
        <v>1217</v>
      </c>
      <c r="IF22" s="31" t="s">
        <v>827</v>
      </c>
      <c r="IG22" s="31" t="s">
        <v>827</v>
      </c>
      <c r="IH22" s="31" t="s">
        <v>827</v>
      </c>
      <c r="II22" s="31" t="s">
        <v>827</v>
      </c>
      <c r="IJ22" s="31" t="s">
        <v>827</v>
      </c>
      <c r="IK22" s="31" t="s">
        <v>827</v>
      </c>
      <c r="IL22" s="31" t="s">
        <v>827</v>
      </c>
      <c r="IM22" s="31" t="s">
        <v>827</v>
      </c>
      <c r="IN22" s="31" t="s">
        <v>827</v>
      </c>
      <c r="IO22" s="31" t="s">
        <v>827</v>
      </c>
      <c r="IP22" s="31" t="s">
        <v>827</v>
      </c>
      <c r="IQ22" s="31" t="s">
        <v>827</v>
      </c>
      <c r="IR22" s="31" t="s">
        <v>827</v>
      </c>
      <c r="IS22" s="31" t="s">
        <v>3</v>
      </c>
      <c r="IT22" s="31" t="s">
        <v>3</v>
      </c>
      <c r="IU22" s="31" t="s">
        <v>705</v>
      </c>
      <c r="IV22" s="31" t="s">
        <v>705</v>
      </c>
      <c r="IW22" s="31" t="s">
        <v>699</v>
      </c>
      <c r="IX22" s="31" t="s">
        <v>1315</v>
      </c>
      <c r="IY22" s="31" t="s">
        <v>1318</v>
      </c>
      <c r="IZ22" s="31" t="s">
        <v>1318</v>
      </c>
      <c r="JA22" s="31" t="s">
        <v>1324</v>
      </c>
      <c r="JB22" s="31" t="s">
        <v>1324</v>
      </c>
      <c r="JC22" s="31" t="s">
        <v>1330</v>
      </c>
      <c r="JD22" s="31" t="s">
        <v>1338</v>
      </c>
      <c r="JE22" s="31" t="s">
        <v>1343</v>
      </c>
      <c r="JF22" s="31" t="s">
        <v>1345</v>
      </c>
      <c r="JG22" s="31" t="s">
        <v>875</v>
      </c>
      <c r="JH22" s="31" t="s">
        <v>875</v>
      </c>
      <c r="JI22" s="31" t="s">
        <v>875</v>
      </c>
      <c r="JJ22" s="31" t="s">
        <v>929</v>
      </c>
      <c r="JK22" s="31" t="s">
        <v>876</v>
      </c>
      <c r="JL22" s="31" t="s">
        <v>876</v>
      </c>
      <c r="JM22" s="31" t="s">
        <v>876</v>
      </c>
      <c r="JN22" s="31" t="s">
        <v>876</v>
      </c>
      <c r="JO22" s="31" t="s">
        <v>1372</v>
      </c>
      <c r="JP22" s="31" t="s">
        <v>1372</v>
      </c>
      <c r="JQ22" s="31" t="s">
        <v>1372</v>
      </c>
      <c r="JR22" s="31" t="s">
        <v>1372</v>
      </c>
      <c r="JS22" s="31" t="s">
        <v>1382</v>
      </c>
      <c r="JT22" s="31" t="s">
        <v>1383</v>
      </c>
      <c r="JU22" s="31" t="s">
        <v>1382</v>
      </c>
      <c r="JV22" s="31" t="s">
        <v>1387</v>
      </c>
      <c r="JW22" s="31" t="s">
        <v>1383</v>
      </c>
      <c r="JX22" s="31" t="s">
        <v>1391</v>
      </c>
      <c r="JY22" s="31" t="s">
        <v>1391</v>
      </c>
      <c r="JZ22" s="31" t="s">
        <v>1398</v>
      </c>
      <c r="KA22" s="31" t="s">
        <v>1398</v>
      </c>
      <c r="KB22" s="31" t="s">
        <v>1401</v>
      </c>
      <c r="KC22" s="30" t="s">
        <v>232</v>
      </c>
      <c r="KD22" s="30" t="s">
        <v>232</v>
      </c>
      <c r="KE22" s="30" t="s">
        <v>1409</v>
      </c>
      <c r="KF22" s="30" t="s">
        <v>1409</v>
      </c>
      <c r="KG22" s="30" t="s">
        <v>466</v>
      </c>
      <c r="KH22" s="30" t="s">
        <v>466</v>
      </c>
      <c r="KI22" s="30" t="s">
        <v>723</v>
      </c>
      <c r="KJ22" s="30" t="s">
        <v>723</v>
      </c>
      <c r="KK22" s="30" t="s">
        <v>723</v>
      </c>
      <c r="KL22" s="30" t="s">
        <v>723</v>
      </c>
      <c r="KM22" s="30" t="s">
        <v>723</v>
      </c>
      <c r="KN22" s="30" t="s">
        <v>723</v>
      </c>
      <c r="KO22" s="30" t="s">
        <v>1428</v>
      </c>
    </row>
    <row r="23" spans="1:301" ht="15.75" thickBot="1" x14ac:dyDescent="0.3">
      <c r="A23" s="179"/>
      <c r="B23" s="29">
        <v>22</v>
      </c>
      <c r="C23" s="94" t="s">
        <v>523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26">
        <v>830</v>
      </c>
      <c r="Z23" s="27">
        <v>805</v>
      </c>
      <c r="AA23" s="30">
        <v>810</v>
      </c>
      <c r="AB23" s="30">
        <v>855</v>
      </c>
      <c r="AC23" s="30">
        <v>860</v>
      </c>
      <c r="AD23" s="30">
        <v>900</v>
      </c>
      <c r="AE23" s="30">
        <v>900</v>
      </c>
      <c r="AF23" s="30">
        <v>1005</v>
      </c>
      <c r="AG23" s="30">
        <v>1100</v>
      </c>
      <c r="AH23" s="30">
        <v>1180</v>
      </c>
      <c r="AI23" s="55">
        <v>1210</v>
      </c>
      <c r="AJ23" s="31">
        <v>1150</v>
      </c>
      <c r="AK23" s="30">
        <v>1135</v>
      </c>
      <c r="AL23" s="30">
        <v>1130</v>
      </c>
      <c r="AM23" s="30">
        <v>1128</v>
      </c>
      <c r="AN23" s="30">
        <v>1150</v>
      </c>
      <c r="AO23" s="30">
        <v>1164</v>
      </c>
      <c r="AP23" s="30">
        <v>1200</v>
      </c>
      <c r="AQ23" s="30">
        <v>1295</v>
      </c>
      <c r="AR23" s="30">
        <v>1295</v>
      </c>
      <c r="AS23" s="59">
        <v>1245</v>
      </c>
      <c r="AT23" s="30">
        <v>1255</v>
      </c>
      <c r="AU23" s="30">
        <v>1210</v>
      </c>
      <c r="AV23" s="30">
        <v>1200</v>
      </c>
      <c r="AW23" s="30">
        <v>1200</v>
      </c>
      <c r="AX23" s="30">
        <v>1215</v>
      </c>
      <c r="AY23" s="30">
        <v>1270</v>
      </c>
      <c r="AZ23" s="30">
        <v>1290</v>
      </c>
      <c r="BA23" s="30">
        <v>1230</v>
      </c>
      <c r="BB23" s="30">
        <v>1249</v>
      </c>
      <c r="BC23" s="30">
        <v>1229</v>
      </c>
      <c r="BD23" s="30">
        <v>1210</v>
      </c>
      <c r="BE23" s="30">
        <v>1370</v>
      </c>
      <c r="BF23" s="30">
        <v>1390</v>
      </c>
      <c r="BG23" s="30">
        <v>1390</v>
      </c>
      <c r="BH23" s="30">
        <v>1340</v>
      </c>
      <c r="BI23" s="30">
        <v>1340</v>
      </c>
      <c r="BJ23" s="30">
        <v>1340</v>
      </c>
      <c r="BK23" s="30">
        <v>1340</v>
      </c>
      <c r="BL23" s="30">
        <v>1350</v>
      </c>
      <c r="BM23" s="30">
        <v>1400</v>
      </c>
      <c r="BN23" s="30">
        <v>1385</v>
      </c>
      <c r="BO23" s="30">
        <v>1300</v>
      </c>
      <c r="BP23" s="31">
        <v>1290</v>
      </c>
      <c r="BQ23" s="31">
        <v>1260</v>
      </c>
      <c r="BR23" s="31">
        <v>1280</v>
      </c>
      <c r="BS23" s="31">
        <v>1240</v>
      </c>
      <c r="BT23" s="31">
        <v>1240</v>
      </c>
      <c r="BU23" s="31">
        <v>1220</v>
      </c>
      <c r="BV23" s="31">
        <v>1210</v>
      </c>
      <c r="BW23" s="31">
        <v>1235</v>
      </c>
      <c r="BX23" s="31">
        <v>1270</v>
      </c>
      <c r="BY23" s="31">
        <v>1500</v>
      </c>
      <c r="BZ23" s="31">
        <v>1475</v>
      </c>
      <c r="CA23" s="31">
        <v>1475</v>
      </c>
      <c r="CB23" s="31">
        <v>1470</v>
      </c>
      <c r="CC23" s="31">
        <v>1510</v>
      </c>
      <c r="CD23" s="31">
        <v>1550</v>
      </c>
      <c r="CE23" s="31">
        <v>1500</v>
      </c>
      <c r="CF23" s="31">
        <v>1495</v>
      </c>
      <c r="CG23" s="31">
        <v>1590</v>
      </c>
      <c r="CH23" s="31">
        <v>1550</v>
      </c>
      <c r="CI23" s="31">
        <v>1500</v>
      </c>
      <c r="CJ23" s="31">
        <v>1500</v>
      </c>
      <c r="CK23" s="31">
        <v>1480</v>
      </c>
      <c r="CL23" s="31">
        <v>1450</v>
      </c>
      <c r="CM23" s="31">
        <v>1430</v>
      </c>
      <c r="CN23" s="31">
        <v>1420</v>
      </c>
      <c r="CO23" s="31">
        <v>1420</v>
      </c>
      <c r="CP23" s="31">
        <v>1425</v>
      </c>
      <c r="CQ23" s="31">
        <v>1380</v>
      </c>
      <c r="CR23" s="31">
        <v>1389</v>
      </c>
      <c r="CS23" s="31">
        <v>1425</v>
      </c>
      <c r="CT23" s="31">
        <v>1450</v>
      </c>
      <c r="CU23" s="31">
        <v>1490</v>
      </c>
      <c r="CV23" s="31">
        <v>1480</v>
      </c>
      <c r="CW23" s="31">
        <v>1460</v>
      </c>
      <c r="CX23" s="31">
        <v>1375</v>
      </c>
      <c r="CY23" s="31">
        <v>1300</v>
      </c>
      <c r="CZ23" s="31">
        <v>1200</v>
      </c>
      <c r="DA23" s="31">
        <v>1200</v>
      </c>
      <c r="DB23" s="31">
        <v>1200</v>
      </c>
      <c r="DC23" s="31">
        <v>1185</v>
      </c>
      <c r="DD23" s="31">
        <v>1185</v>
      </c>
      <c r="DE23" s="31">
        <v>1160</v>
      </c>
      <c r="DF23" s="31">
        <v>1165</v>
      </c>
      <c r="DG23" s="31">
        <v>1185</v>
      </c>
      <c r="DH23" s="31">
        <v>1200</v>
      </c>
      <c r="DI23" s="31">
        <v>1250</v>
      </c>
      <c r="DJ23" s="31">
        <v>1255</v>
      </c>
      <c r="DK23" s="31">
        <v>1240</v>
      </c>
      <c r="DL23" s="31">
        <v>1270</v>
      </c>
      <c r="DM23" s="31">
        <v>1195</v>
      </c>
      <c r="DN23" s="31">
        <v>1195</v>
      </c>
      <c r="DO23" s="31">
        <v>1175</v>
      </c>
      <c r="DP23" s="31">
        <v>1125</v>
      </c>
      <c r="DQ23" s="31">
        <v>1065</v>
      </c>
      <c r="DR23" s="31">
        <v>1010</v>
      </c>
      <c r="DS23" s="31">
        <v>940</v>
      </c>
      <c r="DT23" s="31">
        <v>975</v>
      </c>
      <c r="DU23" s="31">
        <v>950</v>
      </c>
      <c r="DV23" s="31">
        <v>955</v>
      </c>
      <c r="DW23" s="31">
        <v>900</v>
      </c>
      <c r="DX23" s="31">
        <v>920</v>
      </c>
      <c r="DY23" s="31">
        <v>955</v>
      </c>
      <c r="DZ23" s="31">
        <v>960</v>
      </c>
      <c r="EA23" s="31">
        <v>985</v>
      </c>
      <c r="EB23" s="31">
        <v>955</v>
      </c>
      <c r="EC23" s="31">
        <v>990</v>
      </c>
      <c r="ED23" s="31">
        <v>990</v>
      </c>
      <c r="EE23" s="31">
        <v>990</v>
      </c>
      <c r="EF23" s="31">
        <v>970</v>
      </c>
      <c r="EG23" s="31">
        <v>940</v>
      </c>
      <c r="EH23" s="31">
        <v>895</v>
      </c>
      <c r="EI23" s="31">
        <v>930</v>
      </c>
      <c r="EJ23" s="31">
        <v>915</v>
      </c>
      <c r="EK23" s="31">
        <v>895</v>
      </c>
      <c r="EL23" s="31">
        <v>910</v>
      </c>
      <c r="EM23" s="31">
        <v>910</v>
      </c>
      <c r="EN23" s="31">
        <v>910</v>
      </c>
      <c r="EO23" s="31">
        <v>895</v>
      </c>
      <c r="EP23" s="31">
        <v>880</v>
      </c>
      <c r="EQ23" s="31">
        <v>860</v>
      </c>
      <c r="ER23" s="31">
        <v>820</v>
      </c>
      <c r="ES23" s="31">
        <v>755</v>
      </c>
      <c r="ET23" s="31">
        <v>720</v>
      </c>
      <c r="EU23" s="31">
        <v>750</v>
      </c>
      <c r="EV23" s="31">
        <v>760</v>
      </c>
      <c r="EW23" s="31">
        <v>755</v>
      </c>
      <c r="EX23" s="31">
        <v>770</v>
      </c>
      <c r="EY23" s="31">
        <v>820</v>
      </c>
      <c r="EZ23" s="31">
        <v>850</v>
      </c>
      <c r="FA23" s="31">
        <v>920</v>
      </c>
      <c r="FB23" s="31">
        <v>930</v>
      </c>
      <c r="FC23" s="31">
        <v>930</v>
      </c>
      <c r="FD23" s="31">
        <v>930</v>
      </c>
      <c r="FE23" s="31">
        <v>930</v>
      </c>
      <c r="FF23" s="31">
        <v>959</v>
      </c>
      <c r="FG23" s="31">
        <v>1049</v>
      </c>
      <c r="FH23" s="31">
        <v>1090</v>
      </c>
      <c r="FI23" s="31">
        <v>1080</v>
      </c>
      <c r="FJ23" s="31">
        <v>1070</v>
      </c>
      <c r="FK23" s="31">
        <v>1010</v>
      </c>
      <c r="FL23" s="31">
        <v>975</v>
      </c>
      <c r="FM23" s="31">
        <v>965</v>
      </c>
      <c r="FN23" s="31">
        <v>960</v>
      </c>
      <c r="FO23" s="31">
        <v>900</v>
      </c>
      <c r="FP23" s="31">
        <v>900</v>
      </c>
      <c r="FQ23" s="31">
        <v>930</v>
      </c>
      <c r="FR23" s="31">
        <v>930</v>
      </c>
      <c r="FS23" s="31">
        <v>920</v>
      </c>
      <c r="FT23" s="31">
        <v>905</v>
      </c>
      <c r="FU23" s="31">
        <v>910</v>
      </c>
      <c r="FV23" s="31">
        <v>909</v>
      </c>
      <c r="FW23" s="31">
        <v>830</v>
      </c>
      <c r="FX23" s="31">
        <v>830</v>
      </c>
      <c r="FY23" s="31">
        <v>860</v>
      </c>
      <c r="FZ23" s="31">
        <v>920</v>
      </c>
      <c r="GA23" s="31">
        <v>920</v>
      </c>
      <c r="GB23" s="31">
        <v>920</v>
      </c>
      <c r="GC23" s="31">
        <v>950</v>
      </c>
      <c r="GD23" s="31">
        <v>920</v>
      </c>
      <c r="GE23" s="31">
        <v>910</v>
      </c>
      <c r="GF23" s="31">
        <v>910</v>
      </c>
      <c r="GG23" s="31">
        <v>910</v>
      </c>
      <c r="GH23" s="31">
        <v>889</v>
      </c>
      <c r="GI23" s="31">
        <v>890</v>
      </c>
      <c r="GJ23" s="31">
        <v>900</v>
      </c>
      <c r="GK23" s="31">
        <v>915</v>
      </c>
      <c r="GL23" s="31">
        <v>920</v>
      </c>
      <c r="GM23" s="31">
        <v>920</v>
      </c>
      <c r="GN23" s="31">
        <v>920</v>
      </c>
      <c r="GO23" s="31">
        <v>910</v>
      </c>
      <c r="GP23" s="31">
        <v>910</v>
      </c>
      <c r="GQ23" s="31">
        <v>920</v>
      </c>
      <c r="GR23" s="31">
        <v>925</v>
      </c>
      <c r="GS23" s="31">
        <v>925</v>
      </c>
      <c r="GT23" s="31">
        <v>930</v>
      </c>
      <c r="GU23" s="31">
        <v>940</v>
      </c>
      <c r="GV23" s="31">
        <v>940</v>
      </c>
      <c r="GW23" s="31">
        <v>945</v>
      </c>
      <c r="GX23" s="31">
        <v>945</v>
      </c>
      <c r="GY23" s="31">
        <v>975</v>
      </c>
      <c r="GZ23" s="31">
        <v>975</v>
      </c>
      <c r="HA23" s="31">
        <v>970</v>
      </c>
      <c r="HB23" s="31">
        <v>970</v>
      </c>
      <c r="HC23" s="31">
        <v>970</v>
      </c>
      <c r="HD23" s="31">
        <v>990</v>
      </c>
      <c r="HE23" s="31">
        <v>1000</v>
      </c>
      <c r="HF23" s="31">
        <v>1020</v>
      </c>
      <c r="HG23" s="31">
        <v>1020</v>
      </c>
      <c r="HH23" s="31">
        <v>1020</v>
      </c>
      <c r="HI23" s="31">
        <v>1000</v>
      </c>
      <c r="HJ23" s="31">
        <v>1000</v>
      </c>
      <c r="HK23" s="31">
        <v>920</v>
      </c>
      <c r="HL23" s="31">
        <v>900</v>
      </c>
      <c r="HM23" s="31">
        <v>900</v>
      </c>
      <c r="HN23" s="31">
        <v>890</v>
      </c>
      <c r="HO23" s="31">
        <v>890</v>
      </c>
      <c r="HP23" s="31">
        <v>890</v>
      </c>
      <c r="HQ23" s="31">
        <v>895</v>
      </c>
      <c r="HR23" s="31">
        <v>890</v>
      </c>
      <c r="HS23" s="31">
        <v>890</v>
      </c>
      <c r="HT23" s="31">
        <v>885</v>
      </c>
      <c r="HU23" s="31">
        <v>875</v>
      </c>
      <c r="HV23" s="31">
        <v>890</v>
      </c>
      <c r="HW23" s="31">
        <v>885</v>
      </c>
      <c r="HX23" s="31">
        <v>890</v>
      </c>
      <c r="HY23" s="31">
        <v>890</v>
      </c>
      <c r="HZ23" s="31">
        <v>895</v>
      </c>
      <c r="IA23" s="31">
        <v>900</v>
      </c>
      <c r="IB23" s="31">
        <v>930</v>
      </c>
      <c r="IC23" s="31">
        <v>940</v>
      </c>
      <c r="ID23" s="31">
        <v>935</v>
      </c>
      <c r="IE23" s="31">
        <v>930</v>
      </c>
      <c r="IF23" s="31">
        <v>900</v>
      </c>
      <c r="IG23" s="31">
        <v>895</v>
      </c>
      <c r="IH23" s="31">
        <v>855</v>
      </c>
      <c r="II23" s="31">
        <v>870</v>
      </c>
      <c r="IJ23" s="31">
        <v>870</v>
      </c>
      <c r="IK23" s="31">
        <v>820</v>
      </c>
      <c r="IL23" s="31">
        <v>805</v>
      </c>
      <c r="IM23" s="31">
        <v>830</v>
      </c>
      <c r="IN23" s="31">
        <v>820</v>
      </c>
      <c r="IO23" s="31">
        <v>820</v>
      </c>
      <c r="IP23" s="31">
        <v>820</v>
      </c>
      <c r="IQ23" s="31">
        <v>820</v>
      </c>
      <c r="IR23" s="31">
        <v>825</v>
      </c>
      <c r="IS23" s="31">
        <v>824</v>
      </c>
      <c r="IT23" s="31">
        <v>815</v>
      </c>
      <c r="IU23" s="31">
        <v>815</v>
      </c>
      <c r="IV23" s="31">
        <v>790</v>
      </c>
      <c r="IW23" s="31">
        <v>790</v>
      </c>
      <c r="IX23" s="31">
        <v>765</v>
      </c>
      <c r="IY23" s="31">
        <v>765</v>
      </c>
      <c r="IZ23" s="31">
        <v>770</v>
      </c>
      <c r="JA23" s="31">
        <v>775</v>
      </c>
      <c r="JB23" s="31">
        <v>785</v>
      </c>
      <c r="JC23" s="31">
        <v>780</v>
      </c>
      <c r="JD23" s="31">
        <v>800</v>
      </c>
      <c r="JE23" s="31">
        <v>800</v>
      </c>
      <c r="JF23" s="31">
        <v>800</v>
      </c>
      <c r="JG23" s="31">
        <v>790</v>
      </c>
      <c r="JH23" s="31">
        <v>790</v>
      </c>
      <c r="JI23" s="31">
        <v>770</v>
      </c>
      <c r="JJ23" s="31">
        <v>770</v>
      </c>
      <c r="JK23" s="31">
        <v>770</v>
      </c>
      <c r="JL23" s="31">
        <v>750</v>
      </c>
      <c r="JM23" s="31">
        <v>750</v>
      </c>
      <c r="JN23" s="31">
        <v>750</v>
      </c>
      <c r="JO23" s="31">
        <v>740</v>
      </c>
      <c r="JP23" s="31">
        <v>720</v>
      </c>
      <c r="JQ23" s="31">
        <v>710</v>
      </c>
      <c r="JR23" s="31">
        <v>710</v>
      </c>
      <c r="JS23" s="31">
        <v>710</v>
      </c>
      <c r="JT23" s="31">
        <v>710</v>
      </c>
      <c r="JU23" s="31">
        <v>710</v>
      </c>
      <c r="JV23" s="31">
        <v>720</v>
      </c>
      <c r="JW23" s="31">
        <v>740</v>
      </c>
      <c r="JX23" s="31">
        <v>760</v>
      </c>
      <c r="JY23" s="31">
        <v>775</v>
      </c>
      <c r="JZ23" s="31">
        <v>775</v>
      </c>
      <c r="KA23" s="31">
        <v>785</v>
      </c>
      <c r="KB23" s="31">
        <v>845</v>
      </c>
      <c r="KC23" s="31">
        <v>1045</v>
      </c>
      <c r="KD23" s="31">
        <v>1030</v>
      </c>
      <c r="KE23" s="31">
        <v>1060</v>
      </c>
      <c r="KF23" s="31">
        <v>1135</v>
      </c>
      <c r="KG23" s="31">
        <v>1185</v>
      </c>
      <c r="KH23" s="31">
        <v>1135</v>
      </c>
      <c r="KI23" s="31">
        <v>1085</v>
      </c>
      <c r="KJ23" s="31">
        <v>1085</v>
      </c>
      <c r="KK23" s="31">
        <v>1080</v>
      </c>
      <c r="KL23" s="31">
        <v>1030</v>
      </c>
      <c r="KM23" s="31">
        <v>1050</v>
      </c>
      <c r="KN23" s="31">
        <v>1000</v>
      </c>
      <c r="KO23" s="31">
        <v>990</v>
      </c>
    </row>
    <row r="24" spans="1:301" ht="15.75" thickBot="1" x14ac:dyDescent="0.3">
      <c r="A24" s="179"/>
      <c r="B24" s="29">
        <v>23</v>
      </c>
      <c r="C24" s="94" t="s">
        <v>524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30">
        <v>900</v>
      </c>
      <c r="Z24" s="30">
        <v>900</v>
      </c>
      <c r="AA24" s="30">
        <v>900</v>
      </c>
      <c r="AB24" s="30">
        <v>910</v>
      </c>
      <c r="AC24" s="30">
        <v>915</v>
      </c>
      <c r="AD24" s="30">
        <v>1025</v>
      </c>
      <c r="AE24" s="30">
        <v>1025</v>
      </c>
      <c r="AF24" s="30">
        <v>1100</v>
      </c>
      <c r="AG24" s="30">
        <v>1110</v>
      </c>
      <c r="AH24" s="30">
        <v>1160</v>
      </c>
      <c r="AI24" s="57">
        <v>1160</v>
      </c>
      <c r="AJ24" s="31">
        <v>1100</v>
      </c>
      <c r="AK24" s="30">
        <v>1110</v>
      </c>
      <c r="AL24" s="31">
        <v>1100</v>
      </c>
      <c r="AM24" s="31">
        <v>1100</v>
      </c>
      <c r="AN24" s="31">
        <v>1110</v>
      </c>
      <c r="AO24" s="30">
        <v>1090</v>
      </c>
      <c r="AP24" s="30">
        <v>1090</v>
      </c>
      <c r="AQ24" s="30">
        <v>1000</v>
      </c>
      <c r="AR24" s="30">
        <v>1010</v>
      </c>
      <c r="AS24" s="59">
        <v>900</v>
      </c>
      <c r="AT24" s="30">
        <v>850</v>
      </c>
      <c r="AU24" s="30">
        <v>760</v>
      </c>
      <c r="AV24" s="30">
        <v>725</v>
      </c>
      <c r="AW24" s="30">
        <v>710</v>
      </c>
      <c r="AX24" s="30">
        <v>670</v>
      </c>
      <c r="AY24" s="30">
        <v>700</v>
      </c>
      <c r="AZ24" s="30">
        <v>690</v>
      </c>
      <c r="BA24" s="30">
        <v>690</v>
      </c>
      <c r="BB24" s="30">
        <v>800</v>
      </c>
      <c r="BC24" s="30">
        <v>725</v>
      </c>
      <c r="BD24" s="30">
        <v>750</v>
      </c>
      <c r="BE24" s="30">
        <v>788</v>
      </c>
      <c r="BF24" s="30">
        <v>805</v>
      </c>
      <c r="BG24" s="30">
        <v>785</v>
      </c>
      <c r="BH24" s="30">
        <v>805</v>
      </c>
      <c r="BI24" s="30">
        <v>805</v>
      </c>
      <c r="BJ24" s="30">
        <v>900</v>
      </c>
      <c r="BK24" s="30">
        <v>880</v>
      </c>
      <c r="BL24" s="30">
        <v>880</v>
      </c>
      <c r="BM24" s="30">
        <v>960</v>
      </c>
      <c r="BN24" s="30">
        <v>870</v>
      </c>
      <c r="BO24" s="30">
        <v>880</v>
      </c>
      <c r="BP24" s="31">
        <v>870</v>
      </c>
      <c r="BQ24" s="31">
        <v>800</v>
      </c>
      <c r="BR24" s="31">
        <v>785</v>
      </c>
      <c r="BS24" s="31">
        <v>755</v>
      </c>
      <c r="BT24" s="31">
        <v>755</v>
      </c>
      <c r="BU24" s="31">
        <v>720</v>
      </c>
      <c r="BV24" s="31">
        <v>710</v>
      </c>
      <c r="BW24" s="31">
        <v>695</v>
      </c>
      <c r="BX24" s="31">
        <v>735</v>
      </c>
      <c r="BY24" s="31">
        <v>780</v>
      </c>
      <c r="BZ24" s="31">
        <v>785</v>
      </c>
      <c r="CA24" s="31">
        <v>800</v>
      </c>
      <c r="CB24" s="30">
        <v>800</v>
      </c>
      <c r="CC24" s="30">
        <v>820</v>
      </c>
      <c r="CD24" s="30">
        <v>860</v>
      </c>
      <c r="CE24" s="30">
        <v>845</v>
      </c>
      <c r="CF24" s="30">
        <v>840</v>
      </c>
      <c r="CG24" s="30">
        <v>880</v>
      </c>
      <c r="CH24" s="30">
        <v>850</v>
      </c>
      <c r="CI24" s="30">
        <v>815</v>
      </c>
      <c r="CJ24" s="30">
        <v>805</v>
      </c>
      <c r="CK24" s="30">
        <v>785</v>
      </c>
      <c r="CL24" s="30">
        <v>770</v>
      </c>
      <c r="CM24" s="30">
        <v>770</v>
      </c>
      <c r="CN24" s="30">
        <v>765</v>
      </c>
      <c r="CO24" s="30">
        <v>765</v>
      </c>
      <c r="CP24" s="30">
        <v>735</v>
      </c>
      <c r="CQ24" s="30">
        <v>710</v>
      </c>
      <c r="CR24" s="30">
        <v>751</v>
      </c>
      <c r="CS24" s="30">
        <v>775</v>
      </c>
      <c r="CT24" s="30">
        <v>769</v>
      </c>
      <c r="CU24" s="30">
        <v>788</v>
      </c>
      <c r="CV24" s="30">
        <v>783</v>
      </c>
      <c r="CW24" s="30">
        <v>750</v>
      </c>
      <c r="CX24" s="30">
        <v>720</v>
      </c>
      <c r="CY24" s="30">
        <v>675</v>
      </c>
      <c r="CZ24" s="30">
        <v>650</v>
      </c>
      <c r="DA24" s="30">
        <v>623</v>
      </c>
      <c r="DB24" s="30">
        <v>623</v>
      </c>
      <c r="DC24" s="30">
        <v>612</v>
      </c>
      <c r="DD24" s="30">
        <v>590</v>
      </c>
      <c r="DE24" s="31">
        <v>600</v>
      </c>
      <c r="DF24" s="31">
        <v>595</v>
      </c>
      <c r="DG24" s="31">
        <v>610</v>
      </c>
      <c r="DH24" s="31">
        <v>605</v>
      </c>
      <c r="DI24" s="31">
        <v>620</v>
      </c>
      <c r="DJ24" s="31">
        <v>620</v>
      </c>
      <c r="DK24" s="31">
        <v>625</v>
      </c>
      <c r="DL24" s="31">
        <v>680</v>
      </c>
      <c r="DM24" s="31">
        <v>715</v>
      </c>
      <c r="DN24" s="31">
        <v>650</v>
      </c>
      <c r="DO24" s="31">
        <v>640</v>
      </c>
      <c r="DP24" s="31">
        <v>645</v>
      </c>
      <c r="DQ24" s="31">
        <v>665</v>
      </c>
      <c r="DR24" s="31">
        <v>655</v>
      </c>
      <c r="DS24" s="31">
        <v>640</v>
      </c>
      <c r="DT24" s="31">
        <v>670</v>
      </c>
      <c r="DU24" s="31">
        <v>660</v>
      </c>
      <c r="DV24" s="31">
        <v>650</v>
      </c>
      <c r="DW24" s="31">
        <v>620</v>
      </c>
      <c r="DX24" s="31">
        <v>595</v>
      </c>
      <c r="DY24" s="31">
        <v>590</v>
      </c>
      <c r="DZ24" s="31">
        <v>590</v>
      </c>
      <c r="EA24" s="31">
        <v>620</v>
      </c>
      <c r="EB24" s="31">
        <v>625</v>
      </c>
      <c r="EC24" s="31">
        <v>660</v>
      </c>
      <c r="ED24" s="31">
        <v>695</v>
      </c>
      <c r="EE24" s="31">
        <v>695</v>
      </c>
      <c r="EF24" s="31">
        <v>705</v>
      </c>
      <c r="EG24" s="31">
        <v>725</v>
      </c>
      <c r="EH24" s="31">
        <v>715</v>
      </c>
      <c r="EI24" s="31">
        <v>730</v>
      </c>
      <c r="EJ24" s="31">
        <v>730</v>
      </c>
      <c r="EK24" s="31">
        <v>770</v>
      </c>
      <c r="EL24" s="31">
        <v>765</v>
      </c>
      <c r="EM24" s="31">
        <v>765</v>
      </c>
      <c r="EN24" s="31">
        <v>765</v>
      </c>
      <c r="EO24" s="31">
        <v>765</v>
      </c>
      <c r="EP24" s="31">
        <v>750</v>
      </c>
      <c r="EQ24" s="31">
        <v>730</v>
      </c>
      <c r="ER24" s="31">
        <v>670</v>
      </c>
      <c r="ES24" s="31">
        <v>610</v>
      </c>
      <c r="ET24" s="31">
        <v>625</v>
      </c>
      <c r="EU24" s="31">
        <v>635</v>
      </c>
      <c r="EV24" s="31">
        <v>620</v>
      </c>
      <c r="EW24" s="31">
        <v>610</v>
      </c>
      <c r="EX24" s="31">
        <v>635</v>
      </c>
      <c r="EY24" s="31">
        <v>665</v>
      </c>
      <c r="EZ24" s="31">
        <v>690</v>
      </c>
      <c r="FA24" s="31">
        <v>740</v>
      </c>
      <c r="FB24" s="31">
        <v>750</v>
      </c>
      <c r="FC24" s="31">
        <v>750</v>
      </c>
      <c r="FD24" s="31">
        <v>750</v>
      </c>
      <c r="FE24" s="31">
        <v>745</v>
      </c>
      <c r="FF24" s="31">
        <v>744</v>
      </c>
      <c r="FG24" s="31">
        <v>809</v>
      </c>
      <c r="FH24" s="31">
        <v>860</v>
      </c>
      <c r="FI24" s="31">
        <v>860</v>
      </c>
      <c r="FJ24" s="31">
        <v>855</v>
      </c>
      <c r="FK24" s="31">
        <v>835</v>
      </c>
      <c r="FL24" s="31">
        <v>850</v>
      </c>
      <c r="FM24" s="31">
        <v>845</v>
      </c>
      <c r="FN24" s="31">
        <v>845</v>
      </c>
      <c r="FO24" s="31">
        <v>800</v>
      </c>
      <c r="FP24" s="31">
        <v>790</v>
      </c>
      <c r="FQ24" s="31">
        <v>800</v>
      </c>
      <c r="FR24" s="31">
        <v>800</v>
      </c>
      <c r="FS24" s="31">
        <v>800</v>
      </c>
      <c r="FT24" s="31">
        <v>790</v>
      </c>
      <c r="FU24" s="31">
        <v>795</v>
      </c>
      <c r="FV24" s="31">
        <v>795</v>
      </c>
      <c r="FW24" s="31">
        <v>835</v>
      </c>
      <c r="FX24" s="31">
        <v>835</v>
      </c>
      <c r="FY24" s="31">
        <v>835</v>
      </c>
      <c r="FZ24" s="31">
        <v>850</v>
      </c>
      <c r="GA24" s="31">
        <v>850</v>
      </c>
      <c r="GB24" s="31">
        <v>855</v>
      </c>
      <c r="GC24" s="31">
        <v>890</v>
      </c>
      <c r="GD24" s="31">
        <v>870</v>
      </c>
      <c r="GE24" s="31">
        <v>870</v>
      </c>
      <c r="GF24" s="31">
        <v>875</v>
      </c>
      <c r="GG24" s="31">
        <v>890</v>
      </c>
      <c r="GH24" s="31">
        <v>900</v>
      </c>
      <c r="GI24" s="31">
        <v>900</v>
      </c>
      <c r="GJ24" s="31">
        <v>905</v>
      </c>
      <c r="GK24" s="31">
        <v>920</v>
      </c>
      <c r="GL24" s="31">
        <v>935</v>
      </c>
      <c r="GM24" s="31">
        <v>935</v>
      </c>
      <c r="GN24" s="31">
        <v>945</v>
      </c>
      <c r="GO24" s="31">
        <v>940</v>
      </c>
      <c r="GP24" s="31">
        <v>935</v>
      </c>
      <c r="GQ24" s="31">
        <v>925</v>
      </c>
      <c r="GR24" s="31">
        <v>930</v>
      </c>
      <c r="GS24" s="31">
        <v>930</v>
      </c>
      <c r="GT24" s="31">
        <v>933</v>
      </c>
      <c r="GU24" s="31">
        <v>933</v>
      </c>
      <c r="GV24" s="31">
        <v>930</v>
      </c>
      <c r="GW24" s="31">
        <v>925</v>
      </c>
      <c r="GX24" s="31">
        <v>920</v>
      </c>
      <c r="GY24" s="31">
        <v>910</v>
      </c>
      <c r="GZ24" s="31">
        <v>850</v>
      </c>
      <c r="HA24" s="31">
        <v>830</v>
      </c>
      <c r="HB24" s="31">
        <v>830</v>
      </c>
      <c r="HC24" s="31">
        <v>825</v>
      </c>
      <c r="HD24" s="31">
        <v>810</v>
      </c>
      <c r="HE24" s="31">
        <v>800</v>
      </c>
      <c r="HF24" s="31">
        <v>780</v>
      </c>
      <c r="HG24" s="31">
        <v>780</v>
      </c>
      <c r="HH24" s="31">
        <v>715</v>
      </c>
      <c r="HI24" s="31">
        <v>705</v>
      </c>
      <c r="HJ24" s="31">
        <v>705</v>
      </c>
      <c r="HK24" s="31">
        <v>705</v>
      </c>
      <c r="HL24" s="31">
        <v>695</v>
      </c>
      <c r="HM24" s="31">
        <v>695</v>
      </c>
      <c r="HN24" s="31">
        <v>690</v>
      </c>
      <c r="HO24" s="31">
        <v>685</v>
      </c>
      <c r="HP24" s="31">
        <v>665</v>
      </c>
      <c r="HQ24" s="31">
        <v>670</v>
      </c>
      <c r="HR24" s="31">
        <v>660</v>
      </c>
      <c r="HS24" s="31">
        <v>660</v>
      </c>
      <c r="HT24" s="31">
        <v>660</v>
      </c>
      <c r="HU24" s="31">
        <v>665</v>
      </c>
      <c r="HV24" s="31">
        <v>685</v>
      </c>
      <c r="HW24" s="31">
        <v>680</v>
      </c>
      <c r="HX24" s="31">
        <v>685</v>
      </c>
      <c r="HY24" s="31">
        <v>685</v>
      </c>
      <c r="HZ24" s="31">
        <v>710</v>
      </c>
      <c r="IA24" s="31">
        <v>730</v>
      </c>
      <c r="IB24" s="31">
        <v>740</v>
      </c>
      <c r="IC24" s="31">
        <v>760</v>
      </c>
      <c r="ID24" s="31">
        <v>750</v>
      </c>
      <c r="IE24" s="31">
        <v>745</v>
      </c>
      <c r="IF24" s="31">
        <v>740</v>
      </c>
      <c r="IG24" s="31">
        <v>740</v>
      </c>
      <c r="IH24" s="31">
        <v>720</v>
      </c>
      <c r="II24" s="31">
        <v>720</v>
      </c>
      <c r="IJ24" s="31">
        <v>720</v>
      </c>
      <c r="IK24" s="31">
        <v>705</v>
      </c>
      <c r="IL24" s="31">
        <v>685</v>
      </c>
      <c r="IM24" s="31">
        <v>700</v>
      </c>
      <c r="IN24" s="31">
        <v>690</v>
      </c>
      <c r="IO24" s="31">
        <v>680</v>
      </c>
      <c r="IP24" s="31">
        <v>670</v>
      </c>
      <c r="IQ24" s="31">
        <v>645</v>
      </c>
      <c r="IR24" s="31">
        <v>660</v>
      </c>
      <c r="IS24" s="31">
        <v>654</v>
      </c>
      <c r="IT24" s="31">
        <v>650</v>
      </c>
      <c r="IU24" s="31">
        <v>620</v>
      </c>
      <c r="IV24" s="31">
        <v>600</v>
      </c>
      <c r="IW24" s="31">
        <v>605</v>
      </c>
      <c r="IX24" s="31">
        <v>605</v>
      </c>
      <c r="IY24" s="31">
        <v>605</v>
      </c>
      <c r="IZ24" s="31">
        <v>600</v>
      </c>
      <c r="JA24" s="31">
        <v>590</v>
      </c>
      <c r="JB24" s="31">
        <v>590</v>
      </c>
      <c r="JC24" s="31">
        <v>555</v>
      </c>
      <c r="JD24" s="31">
        <v>555</v>
      </c>
      <c r="JE24" s="31">
        <v>559</v>
      </c>
      <c r="JF24" s="31">
        <v>560</v>
      </c>
      <c r="JG24" s="31">
        <v>550</v>
      </c>
      <c r="JH24" s="31">
        <v>550</v>
      </c>
      <c r="JI24" s="31">
        <v>535</v>
      </c>
      <c r="JJ24" s="31">
        <v>520</v>
      </c>
      <c r="JK24" s="31">
        <v>530</v>
      </c>
      <c r="JL24" s="31">
        <v>525</v>
      </c>
      <c r="JM24" s="31">
        <v>525</v>
      </c>
      <c r="JN24" s="31">
        <v>525</v>
      </c>
      <c r="JO24" s="31">
        <v>520</v>
      </c>
      <c r="JP24" s="31">
        <v>520</v>
      </c>
      <c r="JQ24" s="31">
        <v>515</v>
      </c>
      <c r="JR24" s="31">
        <v>500</v>
      </c>
      <c r="JS24" s="31">
        <v>500</v>
      </c>
      <c r="JT24" s="31">
        <v>500</v>
      </c>
      <c r="JU24" s="31">
        <v>515</v>
      </c>
      <c r="JV24" s="31">
        <v>520</v>
      </c>
      <c r="JW24" s="31">
        <v>545</v>
      </c>
      <c r="JX24" s="31">
        <v>545</v>
      </c>
      <c r="JY24" s="31">
        <v>560</v>
      </c>
      <c r="JZ24" s="31">
        <v>565</v>
      </c>
      <c r="KA24" s="31">
        <v>570</v>
      </c>
      <c r="KB24" s="31">
        <v>605</v>
      </c>
      <c r="KC24" s="31">
        <v>775</v>
      </c>
      <c r="KD24" s="31">
        <v>760</v>
      </c>
      <c r="KE24" s="31">
        <v>910</v>
      </c>
      <c r="KF24" s="31">
        <v>975</v>
      </c>
      <c r="KG24" s="31">
        <v>1075</v>
      </c>
      <c r="KH24" s="31">
        <v>1040</v>
      </c>
      <c r="KI24" s="31">
        <v>970</v>
      </c>
      <c r="KJ24" s="31">
        <v>970</v>
      </c>
      <c r="KK24" s="31">
        <v>1010</v>
      </c>
      <c r="KL24" s="31">
        <v>995</v>
      </c>
      <c r="KM24" s="31">
        <v>995</v>
      </c>
      <c r="KN24" s="31">
        <v>930</v>
      </c>
      <c r="KO24" s="31">
        <v>910</v>
      </c>
    </row>
    <row r="25" spans="1:301" ht="15.75" thickBot="1" x14ac:dyDescent="0.3">
      <c r="A25" s="179"/>
      <c r="B25" s="29">
        <v>24</v>
      </c>
      <c r="C25" s="133" t="s">
        <v>94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30"/>
      <c r="Z25" s="30"/>
      <c r="AA25" s="30"/>
      <c r="AB25" s="30"/>
      <c r="AC25" s="30"/>
      <c r="AD25" s="30"/>
      <c r="AE25" s="41"/>
      <c r="AF25" s="30"/>
      <c r="AG25" s="30"/>
      <c r="AH25" s="30"/>
      <c r="AI25" s="55"/>
      <c r="AJ25" s="31"/>
      <c r="AK25" s="30"/>
      <c r="AL25" s="30"/>
      <c r="AM25" s="30"/>
      <c r="AN25" s="30"/>
      <c r="AO25" s="30"/>
      <c r="AP25" s="41"/>
      <c r="AQ25" s="30"/>
      <c r="AR25" s="30"/>
      <c r="AS25" s="59"/>
      <c r="AT25" s="60"/>
      <c r="AU25" s="60"/>
      <c r="AV25" s="59"/>
      <c r="AW25" s="30"/>
      <c r="AX25" s="59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1" t="s">
        <v>235</v>
      </c>
      <c r="BQ25" s="31" t="s">
        <v>236</v>
      </c>
      <c r="BR25" s="31" t="s">
        <v>237</v>
      </c>
      <c r="BS25" s="31" t="s">
        <v>238</v>
      </c>
      <c r="BT25" s="31" t="s">
        <v>240</v>
      </c>
      <c r="BU25" s="31" t="s">
        <v>241</v>
      </c>
      <c r="BV25" s="31" t="s">
        <v>242</v>
      </c>
      <c r="BW25" s="31" t="s">
        <v>243</v>
      </c>
      <c r="BX25" s="31" t="s">
        <v>244</v>
      </c>
      <c r="BY25" s="31" t="s">
        <v>245</v>
      </c>
      <c r="BZ25" s="31" t="s">
        <v>245</v>
      </c>
      <c r="CA25" s="31" t="s">
        <v>246</v>
      </c>
      <c r="CB25" s="30" t="s">
        <v>3</v>
      </c>
      <c r="CC25" s="30" t="s">
        <v>246</v>
      </c>
      <c r="CD25" s="30" t="s">
        <v>286</v>
      </c>
      <c r="CE25" s="30" t="s">
        <v>288</v>
      </c>
      <c r="CF25" s="30" t="s">
        <v>295</v>
      </c>
      <c r="CG25" s="30" t="s">
        <v>297</v>
      </c>
      <c r="CH25" s="30" t="s">
        <v>300</v>
      </c>
      <c r="CI25" s="30" t="s">
        <v>307</v>
      </c>
      <c r="CJ25" s="30" t="s">
        <v>309</v>
      </c>
      <c r="CK25" s="30" t="s">
        <v>311</v>
      </c>
      <c r="CL25" s="30" t="s">
        <v>313</v>
      </c>
      <c r="CM25" s="30" t="s">
        <v>319</v>
      </c>
      <c r="CN25" s="30" t="s">
        <v>321</v>
      </c>
      <c r="CO25" s="30" t="s">
        <v>324</v>
      </c>
      <c r="CP25" s="30" t="s">
        <v>324</v>
      </c>
      <c r="CQ25" s="30" t="s">
        <v>327</v>
      </c>
      <c r="CR25" s="30" t="s">
        <v>329</v>
      </c>
      <c r="CS25" s="30" t="s">
        <v>335</v>
      </c>
      <c r="CT25" s="30" t="s">
        <v>337</v>
      </c>
      <c r="CU25" s="30" t="s">
        <v>339</v>
      </c>
      <c r="CV25" s="30" t="s">
        <v>327</v>
      </c>
      <c r="CW25" s="30" t="s">
        <v>344</v>
      </c>
      <c r="CX25" s="30" t="s">
        <v>343</v>
      </c>
      <c r="CY25" s="30" t="s">
        <v>347</v>
      </c>
      <c r="CZ25" s="30" t="s">
        <v>349</v>
      </c>
      <c r="DA25" s="30" t="s">
        <v>322</v>
      </c>
      <c r="DB25" s="30" t="s">
        <v>353</v>
      </c>
      <c r="DC25" s="30" t="s">
        <v>352</v>
      </c>
    </row>
    <row r="26" spans="1:301" ht="15.75" thickBot="1" x14ac:dyDescent="0.3">
      <c r="A26" s="179"/>
      <c r="B26" s="29">
        <v>25</v>
      </c>
      <c r="C26" s="133" t="s">
        <v>95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55"/>
      <c r="AJ26" s="55"/>
      <c r="AK26" s="55"/>
      <c r="AL26" s="55"/>
      <c r="AM26" s="55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0"/>
      <c r="BN26" s="30"/>
      <c r="BO26" s="30"/>
      <c r="BP26" s="31">
        <v>7200</v>
      </c>
      <c r="BQ26" s="31">
        <v>7200</v>
      </c>
      <c r="BR26" s="31">
        <v>7000</v>
      </c>
      <c r="BS26" s="31">
        <v>6700</v>
      </c>
      <c r="BT26" s="31">
        <v>5900</v>
      </c>
      <c r="BU26" s="31">
        <v>5500</v>
      </c>
      <c r="BV26" s="31">
        <v>4600</v>
      </c>
      <c r="BW26" s="31">
        <v>4600</v>
      </c>
      <c r="BX26" s="31">
        <v>4200</v>
      </c>
      <c r="BY26" s="31">
        <v>6000</v>
      </c>
      <c r="BZ26" s="31">
        <v>6300</v>
      </c>
      <c r="CA26" s="31">
        <v>6500</v>
      </c>
      <c r="CB26" s="30" t="s">
        <v>3</v>
      </c>
      <c r="CC26" s="31">
        <v>7400</v>
      </c>
      <c r="CD26" s="31">
        <v>8300</v>
      </c>
      <c r="CE26" s="31">
        <v>8400</v>
      </c>
      <c r="CF26" s="31">
        <v>8600</v>
      </c>
      <c r="CG26" s="31">
        <v>9500</v>
      </c>
      <c r="CH26" s="31">
        <v>11000</v>
      </c>
      <c r="CI26" s="31">
        <v>11000</v>
      </c>
      <c r="CJ26" s="31">
        <v>11000</v>
      </c>
      <c r="CK26" s="31">
        <v>11000</v>
      </c>
      <c r="CL26" s="31">
        <v>9900</v>
      </c>
      <c r="CM26" s="31">
        <v>9900</v>
      </c>
      <c r="CN26" s="31">
        <v>9900</v>
      </c>
      <c r="CO26" s="31">
        <v>9900</v>
      </c>
      <c r="CP26" s="31">
        <v>9700</v>
      </c>
      <c r="CQ26" s="31">
        <v>10200</v>
      </c>
      <c r="CR26" s="31">
        <v>11000</v>
      </c>
      <c r="CS26" s="31">
        <v>11600</v>
      </c>
      <c r="CT26" s="31">
        <v>12400</v>
      </c>
      <c r="CU26" s="31">
        <v>11600</v>
      </c>
      <c r="CV26" s="31">
        <v>11500</v>
      </c>
      <c r="CW26" s="31">
        <v>10700</v>
      </c>
      <c r="CX26" s="31">
        <v>10500</v>
      </c>
      <c r="CY26" s="31">
        <v>10300</v>
      </c>
      <c r="CZ26" s="31">
        <v>10300</v>
      </c>
      <c r="DA26" s="31">
        <v>9400</v>
      </c>
      <c r="DB26" s="31">
        <v>8700</v>
      </c>
      <c r="DC26" s="31">
        <v>7800</v>
      </c>
    </row>
    <row r="27" spans="1:301" x14ac:dyDescent="0.25">
      <c r="A27" s="64"/>
      <c r="B27" s="29">
        <v>26</v>
      </c>
      <c r="C27" s="134" t="s">
        <v>255</v>
      </c>
      <c r="D27" s="14"/>
      <c r="E27" s="14"/>
      <c r="F27" s="14"/>
      <c r="G27" s="14"/>
      <c r="H27" s="14">
        <v>1175</v>
      </c>
      <c r="I27" s="14">
        <v>1195</v>
      </c>
      <c r="J27" s="14">
        <v>1195</v>
      </c>
      <c r="K27" s="14">
        <v>1235</v>
      </c>
      <c r="L27" s="14">
        <v>1290</v>
      </c>
      <c r="M27" s="14">
        <v>1290</v>
      </c>
      <c r="N27" s="14">
        <v>1365</v>
      </c>
      <c r="O27" s="14">
        <v>1365</v>
      </c>
      <c r="P27" s="14">
        <v>1450</v>
      </c>
      <c r="Q27" s="14">
        <v>1600</v>
      </c>
      <c r="R27" s="14">
        <v>1675</v>
      </c>
      <c r="S27" s="14">
        <v>1750</v>
      </c>
      <c r="T27" s="14">
        <v>1800</v>
      </c>
      <c r="U27" s="14">
        <v>1800</v>
      </c>
      <c r="V27" s="14">
        <v>1800</v>
      </c>
      <c r="W27" s="14">
        <v>1750</v>
      </c>
      <c r="X27" s="14">
        <v>1700</v>
      </c>
      <c r="Y27" s="31">
        <v>1675</v>
      </c>
      <c r="Z27" s="31">
        <v>1625</v>
      </c>
      <c r="AA27" s="31">
        <v>1625</v>
      </c>
      <c r="AB27" s="31">
        <v>1675</v>
      </c>
      <c r="AC27" s="31">
        <v>1675</v>
      </c>
      <c r="AD27" s="31">
        <v>1695</v>
      </c>
      <c r="AE27" s="31">
        <v>1695</v>
      </c>
      <c r="AF27" s="31">
        <v>1800</v>
      </c>
      <c r="AG27" s="31">
        <v>1900</v>
      </c>
      <c r="AH27" s="31">
        <v>1900</v>
      </c>
      <c r="AI27" s="55">
        <v>2050</v>
      </c>
      <c r="AJ27" s="55">
        <v>2100</v>
      </c>
      <c r="AK27" s="55">
        <v>2100</v>
      </c>
      <c r="AL27" s="55">
        <v>2050</v>
      </c>
      <c r="AM27" s="55">
        <v>2000</v>
      </c>
      <c r="AN27" s="31">
        <v>1950</v>
      </c>
      <c r="AO27" s="31">
        <v>1950</v>
      </c>
      <c r="AP27" s="31">
        <v>1950</v>
      </c>
      <c r="AQ27" s="31">
        <v>1950</v>
      </c>
      <c r="AR27" s="31">
        <v>1925</v>
      </c>
      <c r="AS27" s="31">
        <v>1850</v>
      </c>
      <c r="AT27" s="31">
        <v>1800</v>
      </c>
      <c r="AU27" s="31">
        <v>1725</v>
      </c>
      <c r="AV27" s="31">
        <v>1700</v>
      </c>
      <c r="AW27" s="31">
        <v>1700</v>
      </c>
      <c r="AX27" s="31">
        <v>1750</v>
      </c>
      <c r="AY27" s="31">
        <v>1750</v>
      </c>
      <c r="AZ27" s="31">
        <v>1800</v>
      </c>
      <c r="BA27" s="31">
        <v>1850</v>
      </c>
      <c r="BB27" s="31">
        <v>1925</v>
      </c>
      <c r="BC27" s="31">
        <v>1950</v>
      </c>
      <c r="BD27" s="31">
        <v>2000</v>
      </c>
      <c r="BE27" s="31">
        <v>2025</v>
      </c>
      <c r="BF27" s="31">
        <v>2000</v>
      </c>
      <c r="BG27" s="31">
        <v>2000</v>
      </c>
      <c r="BH27" s="31">
        <v>1950</v>
      </c>
      <c r="BI27" s="31">
        <v>1900</v>
      </c>
      <c r="BJ27" s="31">
        <v>1825</v>
      </c>
      <c r="BK27" s="31">
        <v>1825</v>
      </c>
      <c r="BL27" s="31">
        <v>1775</v>
      </c>
      <c r="BM27" s="30">
        <v>1775</v>
      </c>
      <c r="BN27" s="30">
        <v>1850</v>
      </c>
      <c r="BO27" s="30">
        <v>1900</v>
      </c>
      <c r="BP27" s="31">
        <v>1900</v>
      </c>
      <c r="BQ27" s="31">
        <v>1950</v>
      </c>
      <c r="BR27" s="31">
        <v>1900</v>
      </c>
      <c r="BS27" s="31">
        <v>1950</v>
      </c>
      <c r="BT27" s="31">
        <v>2000</v>
      </c>
      <c r="BU27" s="31">
        <v>1975</v>
      </c>
      <c r="BV27" s="31">
        <v>1950</v>
      </c>
      <c r="BW27" s="31">
        <v>1900</v>
      </c>
      <c r="BX27" s="31">
        <v>1900</v>
      </c>
      <c r="BY27" s="31">
        <v>1800</v>
      </c>
      <c r="BZ27" s="31">
        <v>1800</v>
      </c>
      <c r="CA27" s="31">
        <v>1800</v>
      </c>
      <c r="CB27" s="31">
        <v>1800</v>
      </c>
      <c r="CC27" s="31">
        <v>1800</v>
      </c>
      <c r="CD27" s="31">
        <v>1825</v>
      </c>
      <c r="CE27" s="31">
        <v>1850</v>
      </c>
      <c r="CF27" s="31">
        <v>1850</v>
      </c>
      <c r="CG27" s="31">
        <v>1850</v>
      </c>
      <c r="CH27" s="31">
        <v>1950</v>
      </c>
      <c r="CI27" s="31">
        <v>1950</v>
      </c>
      <c r="CJ27" s="31">
        <v>1950</v>
      </c>
      <c r="CK27" s="31">
        <v>1950</v>
      </c>
      <c r="CL27" s="31">
        <v>1950</v>
      </c>
      <c r="CM27" s="31">
        <v>1950</v>
      </c>
      <c r="CN27" s="31">
        <v>1950</v>
      </c>
      <c r="CO27" s="31">
        <v>1950</v>
      </c>
      <c r="CP27" s="31">
        <v>1950</v>
      </c>
      <c r="CQ27" s="31">
        <v>1900</v>
      </c>
      <c r="CR27" s="31">
        <v>1900</v>
      </c>
      <c r="CS27" s="31">
        <v>1925</v>
      </c>
      <c r="CT27" s="30">
        <v>2000</v>
      </c>
      <c r="CU27" s="30">
        <v>2000</v>
      </c>
      <c r="CV27" s="30">
        <v>2000</v>
      </c>
      <c r="CW27" s="30">
        <v>2000</v>
      </c>
      <c r="CX27" s="30" t="s">
        <v>3</v>
      </c>
      <c r="CY27" s="30" t="s">
        <v>3</v>
      </c>
      <c r="CZ27" s="30">
        <v>1850</v>
      </c>
      <c r="DA27" s="30">
        <v>1850</v>
      </c>
      <c r="DB27" s="30">
        <v>1850</v>
      </c>
      <c r="DC27" s="30" t="s">
        <v>3</v>
      </c>
    </row>
    <row r="28" spans="1:301" x14ac:dyDescent="0.25">
      <c r="A28" s="180" t="s">
        <v>29</v>
      </c>
      <c r="B28" s="29">
        <v>27</v>
      </c>
      <c r="C28" s="135" t="s">
        <v>96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7">
        <v>48.75</v>
      </c>
      <c r="Z28" s="36">
        <v>48.75</v>
      </c>
      <c r="AA28" s="36">
        <v>48.75</v>
      </c>
      <c r="AB28" s="30">
        <v>48.75</v>
      </c>
      <c r="AC28" s="30">
        <v>41.5</v>
      </c>
      <c r="AD28" s="30">
        <v>41.5</v>
      </c>
      <c r="AE28" s="30">
        <v>41.5</v>
      </c>
      <c r="AF28" s="30">
        <v>41.5</v>
      </c>
      <c r="AG28" s="31">
        <v>41.5</v>
      </c>
      <c r="AH28" s="30">
        <v>41.5</v>
      </c>
      <c r="AI28" s="41">
        <v>41.5</v>
      </c>
      <c r="AJ28" s="30">
        <v>41.5</v>
      </c>
      <c r="AK28" s="30">
        <v>50.75</v>
      </c>
      <c r="AL28" s="30">
        <v>50.75</v>
      </c>
      <c r="AM28" s="30">
        <v>50.75</v>
      </c>
      <c r="AN28" s="30">
        <v>50.75</v>
      </c>
      <c r="AO28" s="30">
        <v>50.75</v>
      </c>
      <c r="AP28" s="30">
        <v>55.25</v>
      </c>
      <c r="AQ28" s="31">
        <v>55.25</v>
      </c>
      <c r="AR28" s="58">
        <v>55.25</v>
      </c>
      <c r="AS28" s="30">
        <v>55.25</v>
      </c>
      <c r="AT28" s="30">
        <v>62</v>
      </c>
      <c r="AU28" s="30">
        <v>62</v>
      </c>
      <c r="AV28" s="30">
        <v>62</v>
      </c>
      <c r="AW28" s="30">
        <v>62</v>
      </c>
      <c r="AX28" s="30">
        <v>72</v>
      </c>
      <c r="AY28" s="30">
        <v>72</v>
      </c>
      <c r="AZ28" s="31">
        <v>72</v>
      </c>
      <c r="BA28" s="30">
        <v>72</v>
      </c>
      <c r="BB28" s="30">
        <v>72</v>
      </c>
      <c r="BC28" s="30">
        <v>90</v>
      </c>
      <c r="BD28" s="30">
        <v>90</v>
      </c>
      <c r="BE28" s="30">
        <v>90</v>
      </c>
      <c r="BF28" s="30">
        <v>90</v>
      </c>
      <c r="BG28" s="30">
        <v>97</v>
      </c>
      <c r="BH28" s="30">
        <v>97</v>
      </c>
      <c r="BI28" s="30">
        <v>97</v>
      </c>
      <c r="BJ28" s="30">
        <v>97</v>
      </c>
      <c r="BK28" s="30">
        <v>90</v>
      </c>
      <c r="BL28" s="30">
        <v>90</v>
      </c>
      <c r="BM28" s="30">
        <v>90</v>
      </c>
      <c r="BN28" s="30">
        <v>90</v>
      </c>
      <c r="BO28" s="30">
        <v>90</v>
      </c>
      <c r="BP28" s="30">
        <v>80</v>
      </c>
      <c r="BQ28" s="30">
        <v>80</v>
      </c>
      <c r="BR28" s="30">
        <v>80</v>
      </c>
      <c r="BS28" s="30">
        <v>80</v>
      </c>
      <c r="BT28" s="60">
        <v>65</v>
      </c>
      <c r="BU28" s="60">
        <v>65</v>
      </c>
      <c r="BV28" s="60">
        <v>65</v>
      </c>
      <c r="BW28" s="60">
        <v>65</v>
      </c>
      <c r="BX28" s="60">
        <v>62</v>
      </c>
      <c r="BY28" s="60">
        <v>62</v>
      </c>
      <c r="BZ28" s="60">
        <v>62</v>
      </c>
      <c r="CA28" s="60">
        <v>62</v>
      </c>
      <c r="CB28" s="60">
        <v>65</v>
      </c>
      <c r="CC28" s="60">
        <v>65</v>
      </c>
      <c r="CD28" s="60">
        <v>65</v>
      </c>
      <c r="CE28" s="60">
        <v>65</v>
      </c>
      <c r="CF28" s="30">
        <v>68</v>
      </c>
      <c r="CG28" s="30">
        <v>68</v>
      </c>
      <c r="CH28" s="30">
        <v>68</v>
      </c>
      <c r="CI28" s="30">
        <v>68</v>
      </c>
      <c r="CJ28" s="30">
        <v>79</v>
      </c>
      <c r="CK28" s="30">
        <v>79</v>
      </c>
      <c r="CL28" s="30">
        <v>79</v>
      </c>
      <c r="CM28" s="30">
        <v>79</v>
      </c>
      <c r="CN28" s="30">
        <v>79</v>
      </c>
      <c r="CO28" s="30">
        <v>79</v>
      </c>
      <c r="CP28" s="30">
        <v>79</v>
      </c>
      <c r="CQ28" s="30">
        <v>79</v>
      </c>
      <c r="CR28" s="30">
        <v>79</v>
      </c>
      <c r="CS28" s="30">
        <v>81</v>
      </c>
      <c r="CT28" s="30">
        <v>81</v>
      </c>
      <c r="CU28" s="30">
        <v>81</v>
      </c>
      <c r="CV28" s="30">
        <v>81</v>
      </c>
      <c r="CW28" s="30">
        <v>87.25</v>
      </c>
      <c r="CX28" s="30">
        <v>87.25</v>
      </c>
      <c r="CY28" s="30">
        <v>87.25</v>
      </c>
      <c r="CZ28" s="30">
        <v>87.25</v>
      </c>
      <c r="DA28" s="30">
        <v>87.25</v>
      </c>
      <c r="DB28" s="30">
        <v>87</v>
      </c>
      <c r="DC28" s="30">
        <v>87</v>
      </c>
      <c r="DD28" s="30">
        <v>87</v>
      </c>
      <c r="DE28" s="30">
        <v>87</v>
      </c>
    </row>
    <row r="29" spans="1:301" x14ac:dyDescent="0.25">
      <c r="A29" s="180"/>
      <c r="B29" s="29">
        <v>28</v>
      </c>
      <c r="C29" s="135" t="s">
        <v>97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7"/>
      <c r="Z29" s="37"/>
      <c r="AA29" s="36"/>
      <c r="AB29" s="30"/>
      <c r="AC29" s="30"/>
      <c r="AD29" s="30"/>
      <c r="AE29" s="30"/>
      <c r="AF29" s="30"/>
      <c r="AG29" s="30"/>
      <c r="AH29" s="30"/>
      <c r="AI29" s="41"/>
      <c r="AJ29" s="30"/>
      <c r="AK29" s="30"/>
      <c r="AL29" s="30"/>
      <c r="AM29" s="30"/>
      <c r="AN29" s="30"/>
      <c r="AO29" s="30"/>
      <c r="AP29" s="30"/>
      <c r="AQ29" s="30"/>
      <c r="AR29" s="59"/>
      <c r="AS29" s="30"/>
      <c r="AT29" s="30"/>
      <c r="AU29" s="30"/>
      <c r="AV29" s="30"/>
      <c r="AW29" s="30"/>
      <c r="AX29" s="30"/>
      <c r="AY29" s="30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31">
        <v>1984</v>
      </c>
      <c r="BL29" s="31">
        <v>1984</v>
      </c>
      <c r="BM29" s="31">
        <v>1984</v>
      </c>
      <c r="BN29" s="31">
        <v>1984</v>
      </c>
      <c r="BO29" s="31">
        <v>1984</v>
      </c>
      <c r="BP29" s="31">
        <v>1764</v>
      </c>
      <c r="BQ29" s="31">
        <v>1764</v>
      </c>
      <c r="BR29" s="31">
        <v>1764</v>
      </c>
      <c r="BS29" s="31">
        <v>1764</v>
      </c>
      <c r="BT29" s="31">
        <v>1433</v>
      </c>
      <c r="BU29" s="31">
        <v>1433</v>
      </c>
      <c r="BV29" s="31">
        <v>1433</v>
      </c>
      <c r="BW29" s="31">
        <v>1433</v>
      </c>
      <c r="BX29" s="31">
        <v>1367</v>
      </c>
      <c r="BY29" s="31">
        <v>1367</v>
      </c>
      <c r="BZ29" s="31">
        <v>1367</v>
      </c>
      <c r="CA29" s="31">
        <v>1367</v>
      </c>
      <c r="CB29" s="31">
        <v>1433</v>
      </c>
      <c r="CC29" s="31">
        <v>1433</v>
      </c>
      <c r="CD29" s="31">
        <v>1433</v>
      </c>
      <c r="CE29" s="31">
        <v>1433</v>
      </c>
      <c r="CF29" s="31">
        <v>1499</v>
      </c>
      <c r="CG29" s="31">
        <v>1499</v>
      </c>
      <c r="CH29" s="31">
        <v>1499</v>
      </c>
      <c r="CI29" s="31">
        <v>1499</v>
      </c>
      <c r="CJ29" s="31">
        <v>1742</v>
      </c>
      <c r="CK29" s="31">
        <v>1742</v>
      </c>
      <c r="CL29" s="31">
        <v>1742</v>
      </c>
      <c r="CM29" s="31">
        <v>1742</v>
      </c>
      <c r="CN29" s="31">
        <v>1742</v>
      </c>
      <c r="CO29" s="31">
        <v>1742</v>
      </c>
      <c r="CP29" s="31">
        <v>1742</v>
      </c>
      <c r="CQ29" s="31">
        <v>1742</v>
      </c>
      <c r="CR29" s="31">
        <v>1742</v>
      </c>
      <c r="CS29" s="31">
        <v>1786</v>
      </c>
      <c r="CT29" s="31">
        <v>1786</v>
      </c>
      <c r="CU29" s="31">
        <v>1786</v>
      </c>
      <c r="CV29" s="31">
        <v>1786</v>
      </c>
      <c r="CW29" s="31">
        <v>1924</v>
      </c>
      <c r="CX29" s="31">
        <v>1924</v>
      </c>
      <c r="CY29" s="31">
        <v>1924</v>
      </c>
      <c r="CZ29" s="31">
        <v>1924</v>
      </c>
      <c r="DA29" s="31">
        <v>1924</v>
      </c>
      <c r="DB29" s="31">
        <v>1918</v>
      </c>
      <c r="DC29" s="31">
        <v>1918</v>
      </c>
      <c r="DD29" s="31">
        <v>1918</v>
      </c>
      <c r="DE29" s="31">
        <v>1918</v>
      </c>
    </row>
    <row r="30" spans="1:301" x14ac:dyDescent="0.25">
      <c r="A30" s="180"/>
      <c r="B30" s="29">
        <v>29</v>
      </c>
      <c r="C30" s="135" t="s">
        <v>98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6"/>
      <c r="Z30" s="36"/>
      <c r="AA30" s="36"/>
      <c r="AB30" s="30"/>
      <c r="AC30" s="30"/>
      <c r="AD30" s="30"/>
      <c r="AE30" s="30"/>
      <c r="AF30" s="30"/>
      <c r="AG30" s="30" t="s">
        <v>3</v>
      </c>
      <c r="AH30" s="30" t="s">
        <v>3</v>
      </c>
      <c r="AI30" s="30" t="s">
        <v>3</v>
      </c>
      <c r="AJ30" s="30" t="s">
        <v>3</v>
      </c>
      <c r="AK30" s="30" t="s">
        <v>3</v>
      </c>
      <c r="AL30" s="30" t="s">
        <v>3</v>
      </c>
      <c r="AM30" s="30" t="s">
        <v>3</v>
      </c>
      <c r="AN30" s="30" t="s">
        <v>3</v>
      </c>
      <c r="AO30" s="30" t="s">
        <v>3</v>
      </c>
      <c r="AP30" s="30" t="s">
        <v>3</v>
      </c>
      <c r="AQ30" s="30" t="s">
        <v>3</v>
      </c>
      <c r="AR30" s="30" t="s">
        <v>3</v>
      </c>
      <c r="AS30" s="30" t="s">
        <v>3</v>
      </c>
      <c r="AT30" s="30" t="s">
        <v>3</v>
      </c>
      <c r="AU30" s="30" t="s">
        <v>3</v>
      </c>
      <c r="AV30" s="30" t="s">
        <v>3</v>
      </c>
      <c r="AW30" s="30" t="s">
        <v>3</v>
      </c>
      <c r="AX30" s="30" t="s">
        <v>3</v>
      </c>
      <c r="AY30" s="30" t="s">
        <v>3</v>
      </c>
      <c r="AZ30" s="30" t="s">
        <v>3</v>
      </c>
      <c r="BA30" s="30" t="s">
        <v>3</v>
      </c>
      <c r="BB30" s="30" t="s">
        <v>3</v>
      </c>
      <c r="BC30" s="30" t="s">
        <v>3</v>
      </c>
      <c r="BD30" s="30" t="s">
        <v>3</v>
      </c>
      <c r="BE30" s="30" t="s">
        <v>3</v>
      </c>
      <c r="BF30" s="30" t="s">
        <v>3</v>
      </c>
      <c r="BG30" s="30" t="s">
        <v>3</v>
      </c>
      <c r="BH30" s="30" t="s">
        <v>3</v>
      </c>
      <c r="BI30" s="30" t="s">
        <v>3</v>
      </c>
      <c r="BJ30" s="30" t="s">
        <v>3</v>
      </c>
      <c r="BK30" s="30" t="s">
        <v>3</v>
      </c>
      <c r="BL30" s="30" t="s">
        <v>3</v>
      </c>
      <c r="BM30" s="30" t="s">
        <v>3</v>
      </c>
      <c r="BN30" s="30" t="s">
        <v>3</v>
      </c>
      <c r="BO30" s="30" t="s">
        <v>3</v>
      </c>
      <c r="BP30" s="30" t="s">
        <v>3</v>
      </c>
      <c r="BQ30" s="30" t="s">
        <v>3</v>
      </c>
      <c r="BR30" s="30" t="s">
        <v>3</v>
      </c>
      <c r="BS30" s="30" t="s">
        <v>3</v>
      </c>
      <c r="BT30" s="30" t="s">
        <v>3</v>
      </c>
      <c r="BU30" s="30" t="s">
        <v>3</v>
      </c>
      <c r="BV30" s="30" t="s">
        <v>3</v>
      </c>
      <c r="BW30" s="30" t="s">
        <v>3</v>
      </c>
      <c r="BX30" s="30" t="s">
        <v>3</v>
      </c>
      <c r="BY30" s="30" t="s">
        <v>3</v>
      </c>
      <c r="BZ30" s="30" t="s">
        <v>3</v>
      </c>
      <c r="CA30" s="30" t="s">
        <v>3</v>
      </c>
      <c r="CB30" s="30" t="s">
        <v>3</v>
      </c>
      <c r="CC30" s="30" t="s">
        <v>3</v>
      </c>
      <c r="CD30" s="30" t="s">
        <v>3</v>
      </c>
      <c r="CE30" s="30" t="s">
        <v>3</v>
      </c>
      <c r="CF30" s="30" t="s">
        <v>3</v>
      </c>
      <c r="CG30" s="30" t="s">
        <v>3</v>
      </c>
      <c r="CH30" s="30" t="s">
        <v>3</v>
      </c>
      <c r="CI30" s="30" t="s">
        <v>3</v>
      </c>
      <c r="CJ30" s="30" t="s">
        <v>3</v>
      </c>
      <c r="CK30" s="30" t="s">
        <v>3</v>
      </c>
      <c r="CL30" s="30" t="s">
        <v>3</v>
      </c>
      <c r="CM30" s="30" t="s">
        <v>3</v>
      </c>
      <c r="CN30" s="30" t="s">
        <v>3</v>
      </c>
      <c r="CO30" s="30" t="s">
        <v>3</v>
      </c>
      <c r="CP30" s="30" t="s">
        <v>3</v>
      </c>
      <c r="CQ30" s="30" t="s">
        <v>3</v>
      </c>
      <c r="CR30" s="30" t="s">
        <v>3</v>
      </c>
      <c r="CS30" s="30" t="s">
        <v>3</v>
      </c>
      <c r="CT30" s="30" t="s">
        <v>3</v>
      </c>
      <c r="CU30" s="30" t="s">
        <v>3</v>
      </c>
      <c r="CV30" s="30" t="s">
        <v>3</v>
      </c>
      <c r="CW30" s="30" t="s">
        <v>3</v>
      </c>
      <c r="CX30" s="30" t="s">
        <v>3</v>
      </c>
      <c r="CY30" s="30" t="s">
        <v>3</v>
      </c>
      <c r="CZ30" s="30" t="s">
        <v>3</v>
      </c>
      <c r="DA30" s="30" t="s">
        <v>3</v>
      </c>
      <c r="DB30" s="30" t="s">
        <v>3</v>
      </c>
      <c r="DC30" s="30" t="s">
        <v>3</v>
      </c>
    </row>
    <row r="31" spans="1:301" x14ac:dyDescent="0.25">
      <c r="A31" s="180"/>
      <c r="B31" s="29">
        <v>30</v>
      </c>
      <c r="C31" s="135" t="s">
        <v>99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6"/>
      <c r="Z31" s="36"/>
      <c r="AA31" s="36"/>
      <c r="AB31" s="30"/>
      <c r="AC31" s="30"/>
      <c r="AD31" s="30"/>
      <c r="AF31" s="30"/>
      <c r="AG31" s="30" t="s">
        <v>3</v>
      </c>
      <c r="AH31" s="30" t="s">
        <v>3</v>
      </c>
      <c r="AI31" s="30" t="s">
        <v>3</v>
      </c>
      <c r="AJ31" s="30" t="s">
        <v>3</v>
      </c>
      <c r="AK31" s="30" t="s">
        <v>3</v>
      </c>
      <c r="AL31" s="30" t="s">
        <v>3</v>
      </c>
      <c r="AM31" s="30" t="s">
        <v>3</v>
      </c>
      <c r="AN31" s="30" t="s">
        <v>3</v>
      </c>
      <c r="AO31" s="30" t="s">
        <v>3</v>
      </c>
      <c r="AP31" s="30" t="s">
        <v>3</v>
      </c>
      <c r="AQ31" s="30" t="s">
        <v>3</v>
      </c>
      <c r="AR31" s="30" t="s">
        <v>3</v>
      </c>
      <c r="AS31" s="30" t="s">
        <v>3</v>
      </c>
      <c r="AT31" s="30" t="s">
        <v>3</v>
      </c>
      <c r="AU31" s="30" t="s">
        <v>3</v>
      </c>
      <c r="AV31" s="30" t="s">
        <v>3</v>
      </c>
      <c r="AW31" s="30" t="s">
        <v>3</v>
      </c>
      <c r="AX31" s="30" t="s">
        <v>3</v>
      </c>
      <c r="AY31" s="30" t="s">
        <v>3</v>
      </c>
      <c r="AZ31" s="30" t="s">
        <v>3</v>
      </c>
      <c r="BA31" s="30" t="s">
        <v>3</v>
      </c>
      <c r="BB31" s="30" t="s">
        <v>3</v>
      </c>
      <c r="BC31" s="30" t="s">
        <v>3</v>
      </c>
      <c r="BD31" s="30" t="s">
        <v>3</v>
      </c>
      <c r="BE31" s="30" t="s">
        <v>3</v>
      </c>
      <c r="BF31" s="30" t="s">
        <v>3</v>
      </c>
      <c r="BG31" s="30" t="s">
        <v>3</v>
      </c>
      <c r="BH31" s="30" t="s">
        <v>3</v>
      </c>
      <c r="BI31" s="30" t="s">
        <v>3</v>
      </c>
      <c r="BJ31" s="30" t="s">
        <v>3</v>
      </c>
      <c r="BK31" s="30" t="s">
        <v>3</v>
      </c>
      <c r="BL31" s="30" t="s">
        <v>3</v>
      </c>
      <c r="BM31" s="30" t="s">
        <v>3</v>
      </c>
      <c r="BN31" s="30" t="s">
        <v>3</v>
      </c>
      <c r="BO31" s="30" t="s">
        <v>3</v>
      </c>
      <c r="BP31" s="30" t="s">
        <v>3</v>
      </c>
      <c r="BQ31" s="30" t="s">
        <v>3</v>
      </c>
      <c r="BR31" s="30" t="s">
        <v>3</v>
      </c>
      <c r="BS31" s="30" t="s">
        <v>3</v>
      </c>
      <c r="BT31" s="30" t="s">
        <v>3</v>
      </c>
      <c r="BU31" s="30" t="s">
        <v>3</v>
      </c>
      <c r="BV31" s="30" t="s">
        <v>3</v>
      </c>
      <c r="BW31" s="30" t="s">
        <v>3</v>
      </c>
      <c r="BX31" s="30" t="s">
        <v>3</v>
      </c>
      <c r="BY31" s="30" t="s">
        <v>3</v>
      </c>
      <c r="BZ31" s="30" t="s">
        <v>3</v>
      </c>
      <c r="CA31" s="30" t="s">
        <v>3</v>
      </c>
      <c r="CB31" s="30" t="s">
        <v>3</v>
      </c>
      <c r="CC31" s="30" t="s">
        <v>3</v>
      </c>
      <c r="CD31" s="30" t="s">
        <v>3</v>
      </c>
      <c r="CE31" s="30" t="s">
        <v>3</v>
      </c>
      <c r="CF31" s="30" t="s">
        <v>3</v>
      </c>
      <c r="CG31" s="30" t="s">
        <v>3</v>
      </c>
      <c r="CH31" s="30" t="s">
        <v>3</v>
      </c>
      <c r="CI31" s="30" t="s">
        <v>3</v>
      </c>
      <c r="CJ31" s="30" t="s">
        <v>3</v>
      </c>
      <c r="CK31" s="30" t="s">
        <v>3</v>
      </c>
      <c r="CL31" s="30" t="s">
        <v>3</v>
      </c>
      <c r="CM31" s="30" t="s">
        <v>3</v>
      </c>
      <c r="CN31" s="30" t="s">
        <v>3</v>
      </c>
      <c r="CO31" s="30" t="s">
        <v>3</v>
      </c>
      <c r="CP31" s="30" t="s">
        <v>3</v>
      </c>
      <c r="CQ31" s="30" t="s">
        <v>3</v>
      </c>
      <c r="CR31" s="30" t="s">
        <v>3</v>
      </c>
      <c r="CS31" s="30" t="s">
        <v>3</v>
      </c>
      <c r="CT31" s="30" t="s">
        <v>3</v>
      </c>
      <c r="CU31" s="30" t="s">
        <v>3</v>
      </c>
      <c r="CV31" s="30" t="s">
        <v>3</v>
      </c>
      <c r="CW31" s="30" t="s">
        <v>3</v>
      </c>
      <c r="CX31" s="30" t="s">
        <v>3</v>
      </c>
      <c r="CY31" s="30" t="s">
        <v>3</v>
      </c>
      <c r="CZ31" s="30" t="s">
        <v>3</v>
      </c>
      <c r="DA31" s="30" t="s">
        <v>3</v>
      </c>
      <c r="DB31" s="30" t="s">
        <v>3</v>
      </c>
      <c r="DC31" s="30" t="s">
        <v>3</v>
      </c>
    </row>
    <row r="32" spans="1:301" s="52" customFormat="1" x14ac:dyDescent="0.25">
      <c r="A32" s="180"/>
      <c r="B32" s="29">
        <v>31</v>
      </c>
      <c r="C32" s="96" t="s">
        <v>424</v>
      </c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40"/>
      <c r="Z32" s="40"/>
      <c r="AA32" s="40"/>
      <c r="AB32" s="41"/>
      <c r="AC32" s="41"/>
      <c r="AD32" s="41"/>
      <c r="AE32" s="41"/>
      <c r="AF32" s="54"/>
      <c r="AG32" s="55"/>
      <c r="AH32" s="55"/>
      <c r="AI32" s="55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95" t="s">
        <v>3</v>
      </c>
      <c r="BY32" s="95">
        <v>55</v>
      </c>
      <c r="BZ32" s="95">
        <v>53.5</v>
      </c>
      <c r="CA32" s="95">
        <v>56.5</v>
      </c>
      <c r="CB32" s="95">
        <v>56.5</v>
      </c>
      <c r="CC32" s="95">
        <v>58.5</v>
      </c>
      <c r="CD32" s="95">
        <v>61.125</v>
      </c>
      <c r="CE32" s="95">
        <v>63.5</v>
      </c>
      <c r="CF32" s="95">
        <v>66.25</v>
      </c>
      <c r="CG32" s="95">
        <v>74</v>
      </c>
      <c r="CH32" s="95">
        <v>69.25</v>
      </c>
      <c r="CI32" s="95">
        <v>65</v>
      </c>
      <c r="CJ32" s="95">
        <v>66.75</v>
      </c>
      <c r="CK32" s="95">
        <v>66.25</v>
      </c>
      <c r="CL32" s="95">
        <v>68</v>
      </c>
      <c r="CM32" s="95">
        <v>66.25</v>
      </c>
      <c r="CN32" s="95">
        <v>64</v>
      </c>
      <c r="CO32" s="95">
        <v>64.5</v>
      </c>
      <c r="CP32" s="95">
        <v>61</v>
      </c>
      <c r="CQ32" s="95">
        <v>55.75</v>
      </c>
      <c r="CR32" s="95">
        <v>55.75</v>
      </c>
      <c r="CS32" s="95">
        <v>53.5</v>
      </c>
      <c r="CT32" s="95">
        <v>54</v>
      </c>
      <c r="CU32" s="95">
        <v>48.75</v>
      </c>
      <c r="CV32" s="95">
        <v>45.25</v>
      </c>
      <c r="CW32" s="95">
        <v>45.25</v>
      </c>
      <c r="CX32" s="95">
        <v>45.25</v>
      </c>
      <c r="CY32" s="95">
        <v>41.25</v>
      </c>
      <c r="CZ32" s="95">
        <v>46</v>
      </c>
      <c r="DA32" s="95">
        <v>46.25</v>
      </c>
      <c r="DB32" s="95">
        <v>49.5</v>
      </c>
      <c r="DC32" s="95">
        <v>49</v>
      </c>
      <c r="DD32" s="95">
        <v>46</v>
      </c>
      <c r="DE32" s="95">
        <v>44</v>
      </c>
      <c r="DF32" s="95">
        <v>44.5</v>
      </c>
      <c r="FC32" s="148"/>
      <c r="FY32" s="148"/>
      <c r="GJ32" s="148"/>
      <c r="IP32" s="148"/>
    </row>
    <row r="33" spans="1:301" x14ac:dyDescent="0.25">
      <c r="A33" s="180"/>
      <c r="B33" s="29">
        <v>32</v>
      </c>
      <c r="C33" s="96" t="s">
        <v>423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40"/>
      <c r="Z33" s="40"/>
      <c r="AA33" s="40"/>
      <c r="AB33" s="41"/>
      <c r="AC33" s="41"/>
      <c r="AD33" s="41"/>
      <c r="AE33" s="41"/>
      <c r="AF33" s="41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93" t="s">
        <v>3</v>
      </c>
      <c r="BY33" s="93">
        <f t="shared" ref="BY33:DF33" si="0">BY32*2.20462*10</f>
        <v>1212.5409999999999</v>
      </c>
      <c r="BZ33" s="93">
        <f t="shared" si="0"/>
        <v>1179.4716999999998</v>
      </c>
      <c r="CA33" s="93">
        <f t="shared" si="0"/>
        <v>1245.6102999999998</v>
      </c>
      <c r="CB33" s="93">
        <f t="shared" si="0"/>
        <v>1245.6102999999998</v>
      </c>
      <c r="CC33" s="93">
        <f t="shared" si="0"/>
        <v>1289.7027</v>
      </c>
      <c r="CD33" s="93">
        <f t="shared" si="0"/>
        <v>1347.573975</v>
      </c>
      <c r="CE33" s="93">
        <f t="shared" si="0"/>
        <v>1399.9337</v>
      </c>
      <c r="CF33" s="93">
        <f t="shared" si="0"/>
        <v>1460.5607499999999</v>
      </c>
      <c r="CG33" s="93">
        <f t="shared" si="0"/>
        <v>1631.4187999999999</v>
      </c>
      <c r="CH33" s="93">
        <f t="shared" si="0"/>
        <v>1526.6993499999999</v>
      </c>
      <c r="CI33" s="93">
        <f t="shared" si="0"/>
        <v>1433.0029999999999</v>
      </c>
      <c r="CJ33" s="93">
        <f t="shared" si="0"/>
        <v>1471.5838499999998</v>
      </c>
      <c r="CK33" s="93">
        <f t="shared" si="0"/>
        <v>1460.5607499999999</v>
      </c>
      <c r="CL33" s="93">
        <f t="shared" si="0"/>
        <v>1499.1415999999999</v>
      </c>
      <c r="CM33" s="93">
        <f t="shared" si="0"/>
        <v>1460.5607499999999</v>
      </c>
      <c r="CN33" s="93">
        <f t="shared" si="0"/>
        <v>1410.9567999999999</v>
      </c>
      <c r="CO33" s="93">
        <f t="shared" si="0"/>
        <v>1421.9798999999998</v>
      </c>
      <c r="CP33" s="93">
        <f t="shared" si="0"/>
        <v>1344.8181999999999</v>
      </c>
      <c r="CQ33" s="93">
        <f t="shared" si="0"/>
        <v>1229.07565</v>
      </c>
      <c r="CR33" s="93">
        <f t="shared" si="0"/>
        <v>1229.07565</v>
      </c>
      <c r="CS33" s="93">
        <f t="shared" si="0"/>
        <v>1179.4716999999998</v>
      </c>
      <c r="CT33" s="93">
        <f t="shared" si="0"/>
        <v>1190.4947999999999</v>
      </c>
      <c r="CU33" s="93">
        <f t="shared" si="0"/>
        <v>1074.75225</v>
      </c>
      <c r="CV33" s="93">
        <f t="shared" si="0"/>
        <v>997.59054999999989</v>
      </c>
      <c r="CW33" s="93">
        <f t="shared" si="0"/>
        <v>997.59054999999989</v>
      </c>
      <c r="CX33" s="93">
        <f t="shared" si="0"/>
        <v>997.59054999999989</v>
      </c>
      <c r="CY33" s="93">
        <f t="shared" si="0"/>
        <v>909.4057499999999</v>
      </c>
      <c r="CZ33" s="93">
        <f t="shared" si="0"/>
        <v>1014.1251999999998</v>
      </c>
      <c r="DA33" s="93">
        <f t="shared" si="0"/>
        <v>1019.6367499999999</v>
      </c>
      <c r="DB33" s="93">
        <f t="shared" si="0"/>
        <v>1091.2868999999998</v>
      </c>
      <c r="DC33" s="93">
        <f t="shared" si="0"/>
        <v>1080.2637999999999</v>
      </c>
      <c r="DD33" s="93">
        <f t="shared" si="0"/>
        <v>1014.1251999999998</v>
      </c>
      <c r="DE33" s="93">
        <f t="shared" si="0"/>
        <v>970.03279999999995</v>
      </c>
      <c r="DF33" s="93">
        <f t="shared" si="0"/>
        <v>981.05589999999995</v>
      </c>
    </row>
    <row r="34" spans="1:301" x14ac:dyDescent="0.25">
      <c r="A34" s="181" t="s">
        <v>10</v>
      </c>
      <c r="B34" s="29">
        <v>33</v>
      </c>
      <c r="C34" s="127" t="s">
        <v>541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27"/>
      <c r="AA34" s="11"/>
      <c r="BX34" s="31"/>
      <c r="BY34" s="31" t="s">
        <v>548</v>
      </c>
      <c r="BZ34" s="31" t="s">
        <v>549</v>
      </c>
      <c r="CA34" s="31" t="s">
        <v>550</v>
      </c>
      <c r="CB34" s="31" t="s">
        <v>550</v>
      </c>
      <c r="CC34" s="31" t="s">
        <v>551</v>
      </c>
      <c r="CD34" s="31" t="s">
        <v>551</v>
      </c>
      <c r="CE34" s="31" t="s">
        <v>552</v>
      </c>
      <c r="CF34" s="31" t="s">
        <v>553</v>
      </c>
      <c r="CG34" s="31" t="s">
        <v>553</v>
      </c>
      <c r="CH34" s="31" t="s">
        <v>554</v>
      </c>
      <c r="CI34" s="31" t="s">
        <v>555</v>
      </c>
      <c r="CJ34" s="31" t="s">
        <v>556</v>
      </c>
      <c r="CK34" s="31" t="s">
        <v>557</v>
      </c>
      <c r="CL34" s="31" t="s">
        <v>558</v>
      </c>
      <c r="CM34" s="31" t="s">
        <v>559</v>
      </c>
      <c r="CN34" s="31" t="s">
        <v>560</v>
      </c>
      <c r="CO34" s="31" t="s">
        <v>560</v>
      </c>
      <c r="CP34" s="31" t="s">
        <v>560</v>
      </c>
      <c r="CQ34" s="31" t="s">
        <v>561</v>
      </c>
      <c r="CR34" s="31" t="s">
        <v>562</v>
      </c>
      <c r="CS34" s="31" t="s">
        <v>563</v>
      </c>
      <c r="CT34" s="31" t="s">
        <v>564</v>
      </c>
      <c r="CU34" s="31" t="s">
        <v>565</v>
      </c>
      <c r="CV34" s="31" t="s">
        <v>565</v>
      </c>
      <c r="CW34" s="31" t="s">
        <v>566</v>
      </c>
      <c r="CX34" s="31" t="s">
        <v>567</v>
      </c>
      <c r="CY34" s="31" t="s">
        <v>567</v>
      </c>
      <c r="CZ34" s="31" t="s">
        <v>568</v>
      </c>
      <c r="DA34" s="31" t="s">
        <v>568</v>
      </c>
      <c r="DB34" s="31" t="s">
        <v>569</v>
      </c>
      <c r="DC34" s="31" t="s">
        <v>570</v>
      </c>
      <c r="DD34" s="31" t="s">
        <v>571</v>
      </c>
      <c r="DE34" s="31" t="s">
        <v>700</v>
      </c>
      <c r="DF34" s="31" t="s">
        <v>701</v>
      </c>
      <c r="DG34" s="31" t="s">
        <v>701</v>
      </c>
      <c r="DH34" s="31" t="s">
        <v>711</v>
      </c>
      <c r="DI34" s="31" t="s">
        <v>712</v>
      </c>
      <c r="DJ34" s="31" t="s">
        <v>712</v>
      </c>
      <c r="DK34" s="31" t="s">
        <v>713</v>
      </c>
      <c r="DL34" s="31" t="s">
        <v>713</v>
      </c>
      <c r="DM34" s="31" t="s">
        <v>713</v>
      </c>
      <c r="DN34" s="31" t="s">
        <v>713</v>
      </c>
      <c r="DO34" s="31" t="s">
        <v>725</v>
      </c>
      <c r="DP34" s="31" t="s">
        <v>725</v>
      </c>
      <c r="DQ34" s="31" t="s">
        <v>744</v>
      </c>
      <c r="DR34" s="31" t="s">
        <v>744</v>
      </c>
      <c r="DS34" s="31" t="s">
        <v>752</v>
      </c>
      <c r="DT34" s="31" t="s">
        <v>744</v>
      </c>
      <c r="DU34" s="31" t="s">
        <v>744</v>
      </c>
      <c r="DV34" s="31" t="s">
        <v>764</v>
      </c>
      <c r="DW34" s="31" t="s">
        <v>764</v>
      </c>
      <c r="DX34" s="31" t="s">
        <v>775</v>
      </c>
      <c r="DY34" s="31" t="s">
        <v>780</v>
      </c>
      <c r="DZ34" s="31" t="s">
        <v>780</v>
      </c>
      <c r="EA34" s="31" t="s">
        <v>780</v>
      </c>
      <c r="EB34" s="31" t="s">
        <v>801</v>
      </c>
      <c r="EC34" s="31" t="s">
        <v>599</v>
      </c>
      <c r="ED34" s="31" t="s">
        <v>599</v>
      </c>
      <c r="EE34" s="31" t="s">
        <v>599</v>
      </c>
      <c r="EF34" s="31" t="s">
        <v>817</v>
      </c>
      <c r="EG34" s="31" t="s">
        <v>817</v>
      </c>
      <c r="EH34" s="31" t="s">
        <v>817</v>
      </c>
      <c r="EI34" s="31" t="s">
        <v>822</v>
      </c>
      <c r="EJ34" s="31" t="s">
        <v>829</v>
      </c>
      <c r="EK34" s="31" t="s">
        <v>838</v>
      </c>
      <c r="EL34" s="31" t="s">
        <v>838</v>
      </c>
      <c r="EM34" s="31" t="s">
        <v>838</v>
      </c>
      <c r="EN34" s="31" t="s">
        <v>848</v>
      </c>
      <c r="EO34" s="31" t="s">
        <v>848</v>
      </c>
      <c r="EP34" s="31" t="s">
        <v>860</v>
      </c>
      <c r="EQ34" s="31" t="s">
        <v>862</v>
      </c>
      <c r="ER34" s="31" t="s">
        <v>866</v>
      </c>
      <c r="ES34" s="31" t="s">
        <v>877</v>
      </c>
      <c r="ET34" s="31" t="s">
        <v>877</v>
      </c>
      <c r="EU34" s="31" t="s">
        <v>888</v>
      </c>
      <c r="EV34" s="31" t="s">
        <v>895</v>
      </c>
      <c r="EW34" s="31" t="s">
        <v>899</v>
      </c>
      <c r="EX34" s="31" t="s">
        <v>907</v>
      </c>
      <c r="EY34" s="31" t="s">
        <v>912</v>
      </c>
      <c r="EZ34" s="31" t="s">
        <v>912</v>
      </c>
      <c r="FA34" s="31" t="s">
        <v>912</v>
      </c>
      <c r="FB34" s="31" t="s">
        <v>923</v>
      </c>
      <c r="FC34" s="31" t="s">
        <v>926</v>
      </c>
      <c r="FD34" s="31" t="s">
        <v>926</v>
      </c>
      <c r="FE34" s="31" t="s">
        <v>926</v>
      </c>
      <c r="FF34" s="31" t="s">
        <v>926</v>
      </c>
      <c r="FG34" s="31" t="s">
        <v>939</v>
      </c>
      <c r="FH34" s="31" t="s">
        <v>939</v>
      </c>
      <c r="FI34" s="31" t="s">
        <v>939</v>
      </c>
      <c r="FJ34" s="31" t="s">
        <v>939</v>
      </c>
      <c r="FK34" s="31" t="s">
        <v>939</v>
      </c>
      <c r="FL34" s="31" t="s">
        <v>939</v>
      </c>
      <c r="FM34" s="31" t="s">
        <v>939</v>
      </c>
      <c r="FN34" s="31" t="s">
        <v>939</v>
      </c>
      <c r="FO34" s="31" t="s">
        <v>967</v>
      </c>
      <c r="FP34" s="31" t="s">
        <v>973</v>
      </c>
      <c r="FQ34" s="31" t="s">
        <v>975</v>
      </c>
      <c r="FR34" s="31" t="s">
        <v>975</v>
      </c>
      <c r="FS34" s="31" t="s">
        <v>975</v>
      </c>
      <c r="FT34" s="31" t="s">
        <v>986</v>
      </c>
      <c r="FU34" s="31" t="s">
        <v>986</v>
      </c>
      <c r="FV34" s="31" t="s">
        <v>999</v>
      </c>
      <c r="FW34" s="31" t="s">
        <v>999</v>
      </c>
      <c r="FX34" s="31" t="s">
        <v>1006</v>
      </c>
      <c r="FY34" s="31" t="s">
        <v>1006</v>
      </c>
      <c r="FZ34" s="31" t="s">
        <v>1006</v>
      </c>
      <c r="GA34" s="31" t="s">
        <v>1006</v>
      </c>
      <c r="GB34" s="31" t="s">
        <v>999</v>
      </c>
      <c r="GC34" s="31" t="s">
        <v>999</v>
      </c>
      <c r="GD34" s="31" t="s">
        <v>1023</v>
      </c>
      <c r="GE34" s="31" t="s">
        <v>1023</v>
      </c>
      <c r="GF34" s="31" t="s">
        <v>999</v>
      </c>
      <c r="GG34" s="31" t="s">
        <v>999</v>
      </c>
      <c r="GH34" s="31" t="s">
        <v>999</v>
      </c>
      <c r="GI34" s="31" t="s">
        <v>999</v>
      </c>
      <c r="GJ34" s="31" t="s">
        <v>999</v>
      </c>
      <c r="GK34" s="31" t="s">
        <v>999</v>
      </c>
      <c r="GL34" s="31" t="s">
        <v>999</v>
      </c>
      <c r="GM34" s="31" t="s">
        <v>999</v>
      </c>
      <c r="GN34" s="31" t="s">
        <v>999</v>
      </c>
      <c r="GO34" s="31" t="s">
        <v>999</v>
      </c>
      <c r="GP34" s="31" t="s">
        <v>1064</v>
      </c>
      <c r="GQ34" s="31" t="s">
        <v>1064</v>
      </c>
      <c r="GR34" s="31" t="s">
        <v>1071</v>
      </c>
      <c r="GS34" s="31" t="s">
        <v>1071</v>
      </c>
      <c r="GT34" s="31" t="s">
        <v>1078</v>
      </c>
      <c r="GU34" s="31" t="s">
        <v>1078</v>
      </c>
      <c r="GV34" s="31" t="s">
        <v>1078</v>
      </c>
      <c r="GW34" s="31" t="s">
        <v>1091</v>
      </c>
      <c r="GX34" s="31" t="s">
        <v>1091</v>
      </c>
      <c r="GY34" s="31" t="s">
        <v>1091</v>
      </c>
      <c r="GZ34" s="31" t="s">
        <v>1091</v>
      </c>
      <c r="HA34" s="31" t="s">
        <v>1091</v>
      </c>
      <c r="HB34" s="31" t="s">
        <v>1091</v>
      </c>
      <c r="HC34" s="31" t="s">
        <v>1113</v>
      </c>
      <c r="HD34" s="31" t="s">
        <v>1116</v>
      </c>
      <c r="HE34" s="31" t="s">
        <v>1116</v>
      </c>
      <c r="HF34" s="31" t="s">
        <v>1127</v>
      </c>
      <c r="HG34" s="31" t="s">
        <v>1134</v>
      </c>
      <c r="HH34" s="31" t="s">
        <v>1134</v>
      </c>
      <c r="HI34" s="31" t="s">
        <v>1134</v>
      </c>
      <c r="HJ34" s="31" t="s">
        <v>1134</v>
      </c>
      <c r="HK34" s="31" t="s">
        <v>1134</v>
      </c>
      <c r="HL34" s="31" t="s">
        <v>1127</v>
      </c>
      <c r="HM34" s="31" t="s">
        <v>1127</v>
      </c>
      <c r="HN34" s="31" t="s">
        <v>1134</v>
      </c>
      <c r="HO34" s="31" t="s">
        <v>1161</v>
      </c>
      <c r="HP34" s="31" t="s">
        <v>1161</v>
      </c>
      <c r="HQ34" s="31" t="s">
        <v>1161</v>
      </c>
      <c r="HR34" s="31" t="s">
        <v>1173</v>
      </c>
      <c r="HS34" s="31" t="s">
        <v>1173</v>
      </c>
      <c r="HT34" s="31" t="s">
        <v>1188</v>
      </c>
      <c r="HU34" s="31" t="s">
        <v>1188</v>
      </c>
      <c r="HV34" s="31" t="s">
        <v>1188</v>
      </c>
      <c r="HW34" s="31" t="s">
        <v>1188</v>
      </c>
      <c r="HX34" s="31" t="s">
        <v>1188</v>
      </c>
      <c r="HY34" s="31" t="s">
        <v>1209</v>
      </c>
      <c r="HZ34" s="31" t="s">
        <v>1218</v>
      </c>
      <c r="IA34" s="31" t="s">
        <v>1222</v>
      </c>
      <c r="IB34" s="31" t="s">
        <v>1225</v>
      </c>
      <c r="IC34" s="31" t="s">
        <v>1225</v>
      </c>
      <c r="ID34" s="31" t="s">
        <v>1225</v>
      </c>
      <c r="IE34" s="31" t="s">
        <v>1241</v>
      </c>
      <c r="IF34" s="31" t="s">
        <v>1246</v>
      </c>
      <c r="IG34" s="31" t="s">
        <v>877</v>
      </c>
      <c r="IH34" s="31" t="s">
        <v>877</v>
      </c>
      <c r="II34" s="31" t="s">
        <v>877</v>
      </c>
      <c r="IJ34" s="31" t="s">
        <v>1264</v>
      </c>
      <c r="IK34" s="31" t="s">
        <v>1264</v>
      </c>
      <c r="IL34" s="31" t="s">
        <v>1273</v>
      </c>
      <c r="IM34" s="31" t="s">
        <v>1278</v>
      </c>
      <c r="IN34" s="31" t="s">
        <v>1278</v>
      </c>
      <c r="IO34" s="31" t="s">
        <v>1278</v>
      </c>
      <c r="IP34" s="31" t="s">
        <v>1289</v>
      </c>
      <c r="IQ34" s="31" t="s">
        <v>1289</v>
      </c>
      <c r="IR34" s="31" t="s">
        <v>1296</v>
      </c>
      <c r="IS34" s="31" t="s">
        <v>1296</v>
      </c>
      <c r="IT34" s="31" t="s">
        <v>1305</v>
      </c>
      <c r="IU34" s="31" t="s">
        <v>3</v>
      </c>
      <c r="IV34" s="31" t="s">
        <v>3</v>
      </c>
      <c r="IW34" s="31" t="s">
        <v>3</v>
      </c>
      <c r="IX34" s="31" t="s">
        <v>3</v>
      </c>
      <c r="IY34" s="31" t="s">
        <v>3</v>
      </c>
      <c r="IZ34" s="31" t="s">
        <v>3</v>
      </c>
      <c r="JA34" s="31" t="s">
        <v>3</v>
      </c>
      <c r="JB34" s="31" t="s">
        <v>3</v>
      </c>
      <c r="JC34" s="31" t="s">
        <v>3</v>
      </c>
      <c r="JD34" s="31" t="s">
        <v>3</v>
      </c>
      <c r="JE34" s="31" t="s">
        <v>3</v>
      </c>
      <c r="JF34" s="31" t="s">
        <v>3</v>
      </c>
      <c r="JG34" s="31" t="s">
        <v>3</v>
      </c>
      <c r="JH34" s="31" t="s">
        <v>3</v>
      </c>
      <c r="JI34" s="31" t="s">
        <v>3</v>
      </c>
      <c r="JJ34" s="31" t="s">
        <v>3</v>
      </c>
      <c r="JK34" s="31" t="s">
        <v>3</v>
      </c>
      <c r="JL34" s="31" t="s">
        <v>3</v>
      </c>
      <c r="JM34" s="31" t="s">
        <v>3</v>
      </c>
      <c r="JN34" s="31" t="s">
        <v>3</v>
      </c>
      <c r="JO34" s="31" t="s">
        <v>3</v>
      </c>
      <c r="JP34" s="31" t="s">
        <v>3</v>
      </c>
      <c r="JQ34" s="31" t="s">
        <v>3</v>
      </c>
      <c r="JR34" s="31" t="s">
        <v>3</v>
      </c>
      <c r="JS34" s="31" t="s">
        <v>3</v>
      </c>
      <c r="JT34" s="31" t="s">
        <v>3</v>
      </c>
      <c r="JU34" s="31" t="s">
        <v>3</v>
      </c>
      <c r="JV34" s="31" t="s">
        <v>3</v>
      </c>
      <c r="JW34" s="31" t="s">
        <v>3</v>
      </c>
      <c r="JX34" s="31" t="s">
        <v>3</v>
      </c>
      <c r="JY34" s="31" t="s">
        <v>3</v>
      </c>
      <c r="JZ34" s="31" t="s">
        <v>3</v>
      </c>
      <c r="KA34" s="31" t="s">
        <v>3</v>
      </c>
      <c r="KB34" s="31" t="s">
        <v>3</v>
      </c>
      <c r="KC34" s="31" t="s">
        <v>3</v>
      </c>
      <c r="KD34" s="31" t="s">
        <v>3</v>
      </c>
      <c r="KE34" s="31" t="s">
        <v>3</v>
      </c>
      <c r="KF34" s="31" t="s">
        <v>3</v>
      </c>
      <c r="KG34" s="31" t="s">
        <v>3</v>
      </c>
      <c r="KH34" s="31" t="s">
        <v>3</v>
      </c>
      <c r="KI34" s="31" t="s">
        <v>3</v>
      </c>
      <c r="KJ34" s="31" t="s">
        <v>3</v>
      </c>
      <c r="KK34" s="31" t="s">
        <v>3</v>
      </c>
      <c r="KL34" s="31" t="s">
        <v>3</v>
      </c>
      <c r="KM34" s="31" t="s">
        <v>3</v>
      </c>
      <c r="KN34" s="31" t="s">
        <v>3</v>
      </c>
      <c r="KO34" s="31" t="s">
        <v>3</v>
      </c>
    </row>
    <row r="35" spans="1:301" x14ac:dyDescent="0.25">
      <c r="A35" s="181"/>
      <c r="B35" s="29">
        <v>34</v>
      </c>
      <c r="C35" s="127" t="s">
        <v>542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BY35" s="31" t="s">
        <v>572</v>
      </c>
      <c r="BZ35" s="31" t="s">
        <v>573</v>
      </c>
      <c r="CA35" s="31" t="s">
        <v>574</v>
      </c>
      <c r="CB35" s="31" t="s">
        <v>575</v>
      </c>
      <c r="CC35" s="31" t="s">
        <v>576</v>
      </c>
      <c r="CD35" s="31" t="s">
        <v>576</v>
      </c>
      <c r="CE35" s="31" t="s">
        <v>577</v>
      </c>
      <c r="CF35" s="31" t="s">
        <v>577</v>
      </c>
      <c r="CG35" s="31" t="s">
        <v>577</v>
      </c>
      <c r="CH35" s="31" t="s">
        <v>577</v>
      </c>
      <c r="CI35" s="31" t="s">
        <v>578</v>
      </c>
      <c r="CJ35" s="31" t="s">
        <v>579</v>
      </c>
      <c r="CK35" s="31" t="s">
        <v>580</v>
      </c>
      <c r="CL35" s="31" t="s">
        <v>581</v>
      </c>
      <c r="CM35" s="31" t="s">
        <v>581</v>
      </c>
      <c r="CN35" s="31" t="s">
        <v>582</v>
      </c>
      <c r="CO35" s="31" t="s">
        <v>582</v>
      </c>
      <c r="CP35" s="31" t="s">
        <v>582</v>
      </c>
      <c r="CQ35" s="31" t="s">
        <v>583</v>
      </c>
      <c r="CR35" s="31" t="s">
        <v>584</v>
      </c>
      <c r="CS35" s="31" t="s">
        <v>585</v>
      </c>
      <c r="CT35" s="31" t="s">
        <v>588</v>
      </c>
      <c r="CU35" s="31" t="s">
        <v>588</v>
      </c>
      <c r="CV35" s="31" t="s">
        <v>589</v>
      </c>
      <c r="CW35" s="31" t="s">
        <v>590</v>
      </c>
      <c r="CX35" s="31" t="s">
        <v>586</v>
      </c>
      <c r="CY35" s="31" t="s">
        <v>586</v>
      </c>
      <c r="CZ35" s="31" t="s">
        <v>587</v>
      </c>
      <c r="DA35" s="31" t="s">
        <v>587</v>
      </c>
      <c r="DB35" s="31" t="s">
        <v>591</v>
      </c>
      <c r="DC35" s="31" t="s">
        <v>592</v>
      </c>
      <c r="DD35" s="31" t="s">
        <v>592</v>
      </c>
      <c r="DE35" s="31" t="s">
        <v>702</v>
      </c>
      <c r="DF35" s="31" t="s">
        <v>703</v>
      </c>
      <c r="DG35" s="31" t="s">
        <v>703</v>
      </c>
      <c r="DH35" s="31" t="s">
        <v>703</v>
      </c>
      <c r="DI35" s="31" t="s">
        <v>703</v>
      </c>
      <c r="DJ35" s="31" t="s">
        <v>703</v>
      </c>
      <c r="DK35" s="31" t="s">
        <v>703</v>
      </c>
      <c r="DL35" s="31" t="s">
        <v>703</v>
      </c>
      <c r="DM35" s="31" t="s">
        <v>703</v>
      </c>
      <c r="DN35" s="31" t="s">
        <v>703</v>
      </c>
      <c r="DO35" s="31" t="s">
        <v>703</v>
      </c>
      <c r="DP35" s="31" t="s">
        <v>740</v>
      </c>
      <c r="DQ35" s="31" t="s">
        <v>745</v>
      </c>
      <c r="DR35" s="31" t="s">
        <v>745</v>
      </c>
      <c r="DS35" s="31" t="s">
        <v>753</v>
      </c>
      <c r="DT35" s="31" t="s">
        <v>753</v>
      </c>
      <c r="DU35" s="31" t="s">
        <v>753</v>
      </c>
      <c r="DV35" s="31" t="s">
        <v>753</v>
      </c>
      <c r="DW35" s="31" t="s">
        <v>753</v>
      </c>
      <c r="DX35" s="31" t="s">
        <v>745</v>
      </c>
      <c r="DY35" s="31" t="s">
        <v>745</v>
      </c>
      <c r="DZ35" s="31" t="s">
        <v>745</v>
      </c>
      <c r="EA35" s="31" t="s">
        <v>745</v>
      </c>
      <c r="EB35" s="31" t="s">
        <v>802</v>
      </c>
      <c r="EC35" s="31" t="s">
        <v>802</v>
      </c>
      <c r="ED35" s="31" t="s">
        <v>802</v>
      </c>
      <c r="EE35" s="31" t="s">
        <v>802</v>
      </c>
      <c r="EF35" s="31" t="s">
        <v>818</v>
      </c>
      <c r="EG35" s="31" t="s">
        <v>818</v>
      </c>
      <c r="EH35" s="31" t="s">
        <v>818</v>
      </c>
      <c r="EI35" s="31" t="s">
        <v>823</v>
      </c>
      <c r="EJ35" s="31" t="s">
        <v>830</v>
      </c>
      <c r="EK35" s="31" t="s">
        <v>830</v>
      </c>
      <c r="EL35" s="31" t="s">
        <v>830</v>
      </c>
      <c r="EM35" s="31" t="s">
        <v>830</v>
      </c>
      <c r="EN35" s="31" t="s">
        <v>849</v>
      </c>
      <c r="EO35" s="31" t="s">
        <v>849</v>
      </c>
      <c r="EP35" s="31" t="s">
        <v>849</v>
      </c>
      <c r="EQ35" s="31" t="s">
        <v>849</v>
      </c>
      <c r="ER35" s="31" t="s">
        <v>867</v>
      </c>
      <c r="ES35" s="31" t="s">
        <v>867</v>
      </c>
      <c r="ET35" s="31" t="s">
        <v>867</v>
      </c>
      <c r="EU35" s="31" t="s">
        <v>889</v>
      </c>
      <c r="EV35" s="31" t="s">
        <v>889</v>
      </c>
      <c r="EW35" s="31" t="s">
        <v>889</v>
      </c>
      <c r="EX35" s="31" t="s">
        <v>889</v>
      </c>
      <c r="EY35" s="31" t="s">
        <v>889</v>
      </c>
      <c r="EZ35" s="31" t="s">
        <v>889</v>
      </c>
      <c r="FA35" s="31" t="s">
        <v>922</v>
      </c>
      <c r="FB35" s="31" t="s">
        <v>924</v>
      </c>
      <c r="FC35" s="31" t="s">
        <v>589</v>
      </c>
      <c r="FD35" s="31" t="s">
        <v>927</v>
      </c>
      <c r="FE35" s="31" t="s">
        <v>927</v>
      </c>
      <c r="FF35" s="31" t="s">
        <v>927</v>
      </c>
      <c r="FG35" s="31" t="s">
        <v>940</v>
      </c>
      <c r="FH35" s="31" t="s">
        <v>940</v>
      </c>
      <c r="FI35" s="31" t="s">
        <v>940</v>
      </c>
      <c r="FJ35" s="31" t="s">
        <v>940</v>
      </c>
      <c r="FK35" s="31" t="s">
        <v>959</v>
      </c>
      <c r="FL35" s="31" t="s">
        <v>959</v>
      </c>
      <c r="FM35" s="31" t="s">
        <v>959</v>
      </c>
      <c r="FN35" s="31" t="s">
        <v>959</v>
      </c>
      <c r="FO35" s="31" t="s">
        <v>959</v>
      </c>
      <c r="FP35" s="31" t="s">
        <v>959</v>
      </c>
      <c r="FQ35" s="31" t="s">
        <v>976</v>
      </c>
      <c r="FR35" s="31" t="s">
        <v>976</v>
      </c>
      <c r="FS35" s="31" t="s">
        <v>976</v>
      </c>
      <c r="FT35" s="31" t="s">
        <v>987</v>
      </c>
      <c r="FU35" s="31" t="s">
        <v>987</v>
      </c>
      <c r="FV35" s="31" t="s">
        <v>987</v>
      </c>
      <c r="FW35" s="31" t="s">
        <v>987</v>
      </c>
      <c r="FX35" s="31" t="s">
        <v>987</v>
      </c>
      <c r="FY35" s="31" t="s">
        <v>987</v>
      </c>
      <c r="FZ35" s="31" t="s">
        <v>987</v>
      </c>
      <c r="GA35" s="31" t="s">
        <v>987</v>
      </c>
      <c r="GB35" s="31" t="s">
        <v>1022</v>
      </c>
      <c r="GC35" s="31" t="s">
        <v>1022</v>
      </c>
      <c r="GD35" s="31" t="s">
        <v>1024</v>
      </c>
      <c r="GE35" s="31" t="s">
        <v>1024</v>
      </c>
      <c r="GF35" s="31" t="s">
        <v>1034</v>
      </c>
      <c r="GG35" s="31" t="s">
        <v>1034</v>
      </c>
      <c r="GH35" s="31" t="s">
        <v>1034</v>
      </c>
      <c r="GI35" s="31" t="s">
        <v>1034</v>
      </c>
      <c r="GJ35" s="31" t="s">
        <v>1034</v>
      </c>
      <c r="GK35" s="31" t="s">
        <v>1034</v>
      </c>
      <c r="GL35" s="31" t="s">
        <v>1034</v>
      </c>
      <c r="GM35" s="31" t="s">
        <v>1034</v>
      </c>
      <c r="GN35" s="31" t="s">
        <v>1034</v>
      </c>
      <c r="GO35" s="31" t="s">
        <v>1034</v>
      </c>
      <c r="GP35" s="31" t="s">
        <v>1034</v>
      </c>
      <c r="GQ35" s="31" t="s">
        <v>1034</v>
      </c>
      <c r="GR35" s="31" t="s">
        <v>1034</v>
      </c>
      <c r="GS35" s="31" t="s">
        <v>1034</v>
      </c>
      <c r="GT35" s="31" t="s">
        <v>1034</v>
      </c>
      <c r="GU35" s="31" t="s">
        <v>1034</v>
      </c>
      <c r="GV35" s="31" t="s">
        <v>1034</v>
      </c>
      <c r="GW35" s="31" t="s">
        <v>1064</v>
      </c>
      <c r="GX35" s="31" t="s">
        <v>1064</v>
      </c>
      <c r="GY35" s="31" t="s">
        <v>1098</v>
      </c>
      <c r="GZ35" s="31" t="s">
        <v>1064</v>
      </c>
      <c r="HA35" s="31" t="s">
        <v>1064</v>
      </c>
      <c r="HB35" s="31" t="s">
        <v>1064</v>
      </c>
      <c r="HC35" s="31" t="s">
        <v>1064</v>
      </c>
      <c r="HD35" s="31" t="s">
        <v>1064</v>
      </c>
      <c r="HE35" s="31" t="s">
        <v>1064</v>
      </c>
      <c r="HF35" s="31" t="s">
        <v>1128</v>
      </c>
      <c r="HG35" s="31" t="s">
        <v>1128</v>
      </c>
      <c r="HH35" s="31" t="s">
        <v>1128</v>
      </c>
      <c r="HI35" s="31" t="s">
        <v>1128</v>
      </c>
      <c r="HJ35" s="31" t="s">
        <v>1128</v>
      </c>
      <c r="HK35" s="31" t="s">
        <v>1128</v>
      </c>
      <c r="HL35" s="31" t="s">
        <v>1128</v>
      </c>
      <c r="HM35" s="31" t="s">
        <v>1128</v>
      </c>
      <c r="HN35" s="31" t="s">
        <v>1128</v>
      </c>
      <c r="HO35" s="31" t="s">
        <v>1162</v>
      </c>
      <c r="HP35" s="31" t="s">
        <v>1166</v>
      </c>
      <c r="HQ35" s="31" t="s">
        <v>1166</v>
      </c>
      <c r="HR35" s="31" t="s">
        <v>1174</v>
      </c>
      <c r="HS35" s="31" t="s">
        <v>1174</v>
      </c>
      <c r="HT35" s="31" t="s">
        <v>1189</v>
      </c>
      <c r="HU35" s="31" t="s">
        <v>1189</v>
      </c>
      <c r="HV35" s="31" t="s">
        <v>1199</v>
      </c>
      <c r="HW35" s="31" t="s">
        <v>1199</v>
      </c>
      <c r="HX35" s="31" t="s">
        <v>1199</v>
      </c>
      <c r="HY35" s="31" t="s">
        <v>1210</v>
      </c>
      <c r="HZ35" s="31" t="s">
        <v>1219</v>
      </c>
      <c r="IA35" s="31" t="s">
        <v>1223</v>
      </c>
      <c r="IB35" s="31" t="s">
        <v>1226</v>
      </c>
      <c r="IC35" s="31" t="s">
        <v>1226</v>
      </c>
      <c r="ID35" s="31" t="s">
        <v>1226</v>
      </c>
      <c r="IE35" s="31" t="s">
        <v>1242</v>
      </c>
      <c r="IF35" s="31" t="s">
        <v>1247</v>
      </c>
      <c r="IG35" s="31" t="s">
        <v>1254</v>
      </c>
      <c r="IH35" s="31" t="s">
        <v>1254</v>
      </c>
      <c r="II35" s="31" t="s">
        <v>1254</v>
      </c>
      <c r="IJ35" s="31" t="s">
        <v>967</v>
      </c>
      <c r="IK35" s="31" t="s">
        <v>967</v>
      </c>
      <c r="IL35" s="31" t="s">
        <v>1274</v>
      </c>
      <c r="IM35" s="31" t="s">
        <v>1279</v>
      </c>
      <c r="IN35" s="31" t="s">
        <v>1279</v>
      </c>
      <c r="IO35" s="31" t="s">
        <v>1279</v>
      </c>
      <c r="IP35" s="31" t="s">
        <v>1290</v>
      </c>
      <c r="IQ35" s="31" t="s">
        <v>1290</v>
      </c>
      <c r="IR35" s="31" t="s">
        <v>1297</v>
      </c>
      <c r="IS35" s="31" t="s">
        <v>1297</v>
      </c>
      <c r="IT35" s="31" t="s">
        <v>1306</v>
      </c>
      <c r="IU35" s="31" t="s">
        <v>3</v>
      </c>
      <c r="IV35" s="31" t="s">
        <v>3</v>
      </c>
      <c r="IW35" s="31" t="s">
        <v>3</v>
      </c>
      <c r="IX35" s="31" t="s">
        <v>3</v>
      </c>
      <c r="IY35" s="31" t="s">
        <v>3</v>
      </c>
      <c r="IZ35" s="31" t="s">
        <v>3</v>
      </c>
      <c r="JA35" s="31" t="s">
        <v>3</v>
      </c>
      <c r="JB35" s="31" t="s">
        <v>3</v>
      </c>
      <c r="JC35" s="31" t="s">
        <v>3</v>
      </c>
      <c r="JD35" s="31" t="s">
        <v>3</v>
      </c>
      <c r="JE35" s="31" t="s">
        <v>3</v>
      </c>
      <c r="JF35" s="31" t="s">
        <v>3</v>
      </c>
      <c r="JG35" s="31" t="s">
        <v>3</v>
      </c>
      <c r="JH35" s="31" t="s">
        <v>3</v>
      </c>
      <c r="JI35" s="31" t="s">
        <v>3</v>
      </c>
      <c r="JJ35" s="31" t="s">
        <v>3</v>
      </c>
      <c r="JK35" s="31" t="s">
        <v>3</v>
      </c>
      <c r="JL35" s="31" t="s">
        <v>3</v>
      </c>
      <c r="JM35" s="31" t="s">
        <v>3</v>
      </c>
      <c r="JN35" s="31" t="s">
        <v>3</v>
      </c>
      <c r="JO35" s="31" t="s">
        <v>3</v>
      </c>
      <c r="JP35" s="31" t="s">
        <v>3</v>
      </c>
      <c r="JQ35" s="31" t="s">
        <v>3</v>
      </c>
      <c r="JR35" s="31" t="s">
        <v>3</v>
      </c>
      <c r="JS35" s="31" t="s">
        <v>3</v>
      </c>
      <c r="JT35" s="31" t="s">
        <v>3</v>
      </c>
      <c r="JU35" s="31" t="s">
        <v>3</v>
      </c>
      <c r="JV35" s="31" t="s">
        <v>3</v>
      </c>
      <c r="JW35" s="31" t="s">
        <v>3</v>
      </c>
      <c r="JX35" s="31" t="s">
        <v>3</v>
      </c>
      <c r="JY35" s="31" t="s">
        <v>3</v>
      </c>
      <c r="JZ35" s="31" t="s">
        <v>3</v>
      </c>
      <c r="KA35" s="31" t="s">
        <v>3</v>
      </c>
      <c r="KB35" s="31" t="s">
        <v>3</v>
      </c>
      <c r="KC35" s="31" t="s">
        <v>3</v>
      </c>
      <c r="KD35" s="31" t="s">
        <v>3</v>
      </c>
      <c r="KE35" s="31" t="s">
        <v>3</v>
      </c>
      <c r="KF35" s="31" t="s">
        <v>3</v>
      </c>
      <c r="KG35" s="31" t="s">
        <v>3</v>
      </c>
      <c r="KH35" s="31" t="s">
        <v>3</v>
      </c>
      <c r="KI35" s="31" t="s">
        <v>3</v>
      </c>
      <c r="KJ35" s="31" t="s">
        <v>3</v>
      </c>
      <c r="KK35" s="31" t="s">
        <v>3</v>
      </c>
      <c r="KL35" s="31" t="s">
        <v>3</v>
      </c>
      <c r="KM35" s="31" t="s">
        <v>3</v>
      </c>
      <c r="KN35" s="31" t="s">
        <v>3</v>
      </c>
      <c r="KO35" s="31" t="s">
        <v>3</v>
      </c>
    </row>
    <row r="36" spans="1:301" x14ac:dyDescent="0.25">
      <c r="A36" s="181"/>
      <c r="B36" s="29">
        <v>35</v>
      </c>
      <c r="C36" s="91" t="s">
        <v>543</v>
      </c>
      <c r="BY36" s="31" t="s">
        <v>642</v>
      </c>
      <c r="BZ36" s="31" t="s">
        <v>643</v>
      </c>
      <c r="CA36" s="31" t="s">
        <v>643</v>
      </c>
      <c r="CB36" s="31" t="s">
        <v>646</v>
      </c>
      <c r="CC36" s="31" t="s">
        <v>646</v>
      </c>
      <c r="CD36" s="31" t="s">
        <v>646</v>
      </c>
      <c r="CE36" s="31" t="s">
        <v>646</v>
      </c>
      <c r="CF36" s="31" t="s">
        <v>646</v>
      </c>
      <c r="CG36" s="31" t="s">
        <v>651</v>
      </c>
      <c r="CH36" s="31" t="s">
        <v>651</v>
      </c>
      <c r="CI36" s="31" t="s">
        <v>651</v>
      </c>
      <c r="CJ36" s="31" t="s">
        <v>652</v>
      </c>
      <c r="CK36" s="31" t="s">
        <v>655</v>
      </c>
      <c r="CL36" s="31" t="s">
        <v>655</v>
      </c>
      <c r="CM36" s="31" t="s">
        <v>655</v>
      </c>
      <c r="CN36" s="31" t="s">
        <v>657</v>
      </c>
      <c r="CO36" s="31" t="s">
        <v>646</v>
      </c>
      <c r="CP36" s="31" t="s">
        <v>646</v>
      </c>
      <c r="CQ36" s="31" t="s">
        <v>646</v>
      </c>
      <c r="CR36" s="31" t="s">
        <v>660</v>
      </c>
      <c r="CS36" s="31" t="s">
        <v>661</v>
      </c>
      <c r="CT36" s="31" t="s">
        <v>664</v>
      </c>
      <c r="CU36" s="31" t="s">
        <v>664</v>
      </c>
      <c r="CV36" s="31" t="s">
        <v>664</v>
      </c>
      <c r="CW36" s="31" t="s">
        <v>665</v>
      </c>
      <c r="CX36" s="31" t="s">
        <v>627</v>
      </c>
      <c r="CY36" s="31" t="s">
        <v>668</v>
      </c>
      <c r="CZ36" s="31" t="s">
        <v>668</v>
      </c>
      <c r="DA36" s="31" t="s">
        <v>668</v>
      </c>
      <c r="DB36" s="31" t="s">
        <v>670</v>
      </c>
      <c r="DC36" s="31" t="s">
        <v>671</v>
      </c>
      <c r="DD36" s="131" t="s">
        <v>671</v>
      </c>
      <c r="DE36" s="131" t="s">
        <v>671</v>
      </c>
      <c r="DF36" s="131" t="s">
        <v>674</v>
      </c>
      <c r="DG36" s="131" t="s">
        <v>674</v>
      </c>
      <c r="DH36" s="131" t="s">
        <v>714</v>
      </c>
      <c r="DI36" s="131" t="s">
        <v>714</v>
      </c>
      <c r="DJ36" s="131" t="s">
        <v>714</v>
      </c>
      <c r="DK36" s="131" t="s">
        <v>715</v>
      </c>
      <c r="DL36" s="131" t="s">
        <v>715</v>
      </c>
      <c r="DM36" s="131" t="s">
        <v>715</v>
      </c>
      <c r="DN36" s="131" t="s">
        <v>715</v>
      </c>
      <c r="DO36" s="131" t="s">
        <v>735</v>
      </c>
      <c r="DP36" s="131" t="s">
        <v>736</v>
      </c>
      <c r="DQ36" s="131" t="s">
        <v>736</v>
      </c>
      <c r="DR36" s="131" t="s">
        <v>736</v>
      </c>
      <c r="DS36" s="131" t="s">
        <v>3</v>
      </c>
      <c r="DT36" s="131" t="s">
        <v>736</v>
      </c>
      <c r="DU36" s="131" t="s">
        <v>763</v>
      </c>
      <c r="DV36" s="131" t="s">
        <v>765</v>
      </c>
      <c r="DW36" s="131" t="s">
        <v>765</v>
      </c>
      <c r="DX36" s="131" t="s">
        <v>763</v>
      </c>
      <c r="DY36" s="131" t="s">
        <v>765</v>
      </c>
      <c r="DZ36" s="131" t="s">
        <v>765</v>
      </c>
      <c r="EA36" s="131" t="s">
        <v>794</v>
      </c>
      <c r="EB36" s="131" t="s">
        <v>796</v>
      </c>
      <c r="EC36" s="131" t="s">
        <v>806</v>
      </c>
      <c r="ED36" s="131" t="s">
        <v>806</v>
      </c>
      <c r="EE36" s="131" t="s">
        <v>813</v>
      </c>
      <c r="EF36" s="131" t="s">
        <v>813</v>
      </c>
      <c r="EG36" s="131" t="s">
        <v>813</v>
      </c>
      <c r="EH36" s="131" t="s">
        <v>813</v>
      </c>
      <c r="EI36" s="131" t="s">
        <v>813</v>
      </c>
      <c r="EJ36" s="131" t="s">
        <v>831</v>
      </c>
      <c r="EK36" s="131" t="s">
        <v>831</v>
      </c>
      <c r="EL36" s="131" t="s">
        <v>831</v>
      </c>
      <c r="EM36" s="131" t="s">
        <v>831</v>
      </c>
      <c r="EN36" s="131" t="s">
        <v>831</v>
      </c>
      <c r="EO36" s="131" t="s">
        <v>852</v>
      </c>
      <c r="EP36" s="131" t="s">
        <v>852</v>
      </c>
      <c r="EQ36" s="131" t="s">
        <v>852</v>
      </c>
      <c r="ER36" s="131" t="s">
        <v>872</v>
      </c>
      <c r="ES36" s="131" t="s">
        <v>872</v>
      </c>
      <c r="ET36" s="131" t="s">
        <v>872</v>
      </c>
      <c r="EU36" s="131" t="s">
        <v>872</v>
      </c>
      <c r="EV36" s="131" t="s">
        <v>872</v>
      </c>
      <c r="EW36" s="131" t="s">
        <v>872</v>
      </c>
      <c r="EX36" s="131" t="s">
        <v>909</v>
      </c>
      <c r="EY36" s="131" t="s">
        <v>909</v>
      </c>
      <c r="EZ36" s="131" t="s">
        <v>909</v>
      </c>
      <c r="FA36" s="131" t="s">
        <v>909</v>
      </c>
      <c r="FB36" s="131" t="s">
        <v>909</v>
      </c>
      <c r="FC36" s="31" t="s">
        <v>3</v>
      </c>
      <c r="FD36" s="31" t="s">
        <v>3</v>
      </c>
      <c r="FE36" s="31" t="s">
        <v>3</v>
      </c>
      <c r="FF36" s="131" t="s">
        <v>935</v>
      </c>
      <c r="FG36" s="131" t="s">
        <v>935</v>
      </c>
      <c r="FH36" s="131" t="s">
        <v>935</v>
      </c>
      <c r="FI36" s="131" t="s">
        <v>935</v>
      </c>
      <c r="FJ36" s="131" t="s">
        <v>935</v>
      </c>
      <c r="FK36" s="131" t="s">
        <v>953</v>
      </c>
      <c r="FL36" s="31">
        <v>100000</v>
      </c>
      <c r="FM36" s="31">
        <v>100000</v>
      </c>
      <c r="FN36" s="31">
        <v>100000</v>
      </c>
      <c r="FO36" s="31" t="s">
        <v>968</v>
      </c>
      <c r="FP36" s="31" t="s">
        <v>968</v>
      </c>
      <c r="FQ36" s="31" t="s">
        <v>968</v>
      </c>
      <c r="FR36" s="31">
        <v>100000</v>
      </c>
      <c r="FS36" s="31" t="s">
        <v>982</v>
      </c>
      <c r="FT36" s="31" t="s">
        <v>990</v>
      </c>
      <c r="FU36" s="31" t="s">
        <v>993</v>
      </c>
      <c r="FV36" s="31" t="s">
        <v>1000</v>
      </c>
      <c r="FW36" s="31" t="s">
        <v>1002</v>
      </c>
      <c r="FX36" s="31" t="s">
        <v>1007</v>
      </c>
      <c r="FY36" s="31" t="s">
        <v>1007</v>
      </c>
      <c r="FZ36" s="31" t="s">
        <v>1016</v>
      </c>
      <c r="GA36" s="31" t="s">
        <v>1017</v>
      </c>
      <c r="GB36" s="31" t="s">
        <v>1017</v>
      </c>
      <c r="GC36" s="31" t="s">
        <v>1017</v>
      </c>
      <c r="GD36" s="31" t="s">
        <v>1017</v>
      </c>
      <c r="GE36" s="31">
        <v>115000</v>
      </c>
      <c r="GF36" s="31">
        <v>115000</v>
      </c>
      <c r="GG36" s="31">
        <v>115000</v>
      </c>
      <c r="GH36" s="31">
        <v>115000</v>
      </c>
      <c r="GI36" s="31" t="s">
        <v>1040</v>
      </c>
      <c r="GJ36" s="31">
        <v>120000</v>
      </c>
      <c r="GK36" s="31">
        <v>120000</v>
      </c>
      <c r="GL36" s="31">
        <v>120000</v>
      </c>
      <c r="GM36" s="31">
        <v>120000</v>
      </c>
      <c r="GN36" s="31">
        <v>115000</v>
      </c>
      <c r="GO36" s="31">
        <v>115000</v>
      </c>
      <c r="GP36" s="31" t="s">
        <v>1065</v>
      </c>
      <c r="GQ36" s="31" t="s">
        <v>1065</v>
      </c>
      <c r="GR36" s="31" t="s">
        <v>1065</v>
      </c>
      <c r="GS36" s="31" t="s">
        <v>1075</v>
      </c>
      <c r="GT36" s="31" t="s">
        <v>1075</v>
      </c>
      <c r="GU36" s="31" t="s">
        <v>1075</v>
      </c>
      <c r="GV36" s="31" t="s">
        <v>1087</v>
      </c>
      <c r="GW36" s="31" t="s">
        <v>1092</v>
      </c>
      <c r="GX36" s="31" t="s">
        <v>1092</v>
      </c>
      <c r="GY36" s="31" t="s">
        <v>1092</v>
      </c>
      <c r="GZ36" s="31" t="s">
        <v>1092</v>
      </c>
      <c r="HA36" s="31" t="s">
        <v>1108</v>
      </c>
      <c r="HB36" s="31" t="s">
        <v>1108</v>
      </c>
      <c r="HC36" s="31" t="s">
        <v>1108</v>
      </c>
      <c r="HD36" s="31" t="s">
        <v>1108</v>
      </c>
      <c r="HE36" s="31" t="s">
        <v>1124</v>
      </c>
      <c r="HF36" s="31" t="s">
        <v>1124</v>
      </c>
      <c r="HG36" s="31" t="s">
        <v>1124</v>
      </c>
      <c r="HH36" s="31" t="s">
        <v>1124</v>
      </c>
      <c r="HI36" s="31" t="s">
        <v>1124</v>
      </c>
      <c r="HJ36" s="31" t="s">
        <v>1125</v>
      </c>
      <c r="HK36" s="31" t="s">
        <v>1125</v>
      </c>
      <c r="HL36" s="31" t="s">
        <v>1125</v>
      </c>
      <c r="HM36" s="31" t="s">
        <v>1125</v>
      </c>
      <c r="HN36" s="31" t="s">
        <v>1155</v>
      </c>
      <c r="HO36" s="31" t="s">
        <v>1155</v>
      </c>
      <c r="HP36" s="31" t="s">
        <v>1155</v>
      </c>
      <c r="HQ36" s="31" t="s">
        <v>1155</v>
      </c>
      <c r="HR36" s="31" t="s">
        <v>1155</v>
      </c>
      <c r="HS36" s="31" t="s">
        <v>1183</v>
      </c>
      <c r="HT36" s="31" t="s">
        <v>1183</v>
      </c>
      <c r="HU36" s="31" t="s">
        <v>1196</v>
      </c>
      <c r="HV36" s="31">
        <v>85000</v>
      </c>
      <c r="HW36" s="31" t="s">
        <v>1201</v>
      </c>
      <c r="HX36" s="31" t="s">
        <v>1201</v>
      </c>
      <c r="HY36" s="31" t="s">
        <v>1213</v>
      </c>
      <c r="HZ36" s="31" t="s">
        <v>1213</v>
      </c>
      <c r="IA36" s="31" t="s">
        <v>1213</v>
      </c>
      <c r="IB36" s="31" t="s">
        <v>1213</v>
      </c>
      <c r="IC36" s="31" t="s">
        <v>1183</v>
      </c>
      <c r="ID36" s="31" t="s">
        <v>1237</v>
      </c>
      <c r="IE36" s="31" t="s">
        <v>1237</v>
      </c>
      <c r="IF36" s="31" t="s">
        <v>1183</v>
      </c>
      <c r="IG36" s="31" t="s">
        <v>1255</v>
      </c>
      <c r="IH36" s="31" t="s">
        <v>1255</v>
      </c>
      <c r="II36" s="31" t="s">
        <v>1263</v>
      </c>
      <c r="IJ36" s="31" t="s">
        <v>1263</v>
      </c>
      <c r="IK36" s="31" t="s">
        <v>1263</v>
      </c>
      <c r="IL36" s="31" t="s">
        <v>1275</v>
      </c>
      <c r="IM36" s="31" t="s">
        <v>1275</v>
      </c>
      <c r="IN36" s="31" t="s">
        <v>1275</v>
      </c>
      <c r="IO36" s="31" t="s">
        <v>1275</v>
      </c>
      <c r="IP36" s="31" t="s">
        <v>1293</v>
      </c>
      <c r="IQ36" s="31" t="s">
        <v>1293</v>
      </c>
      <c r="IR36" s="31" t="s">
        <v>1293</v>
      </c>
      <c r="IS36" s="31" t="s">
        <v>1293</v>
      </c>
      <c r="IT36" s="31" t="s">
        <v>1293</v>
      </c>
      <c r="IU36" s="31" t="s">
        <v>1307</v>
      </c>
      <c r="IV36" s="31" t="s">
        <v>1307</v>
      </c>
      <c r="IW36" s="31" t="s">
        <v>1307</v>
      </c>
      <c r="IX36" s="31" t="s">
        <v>1307</v>
      </c>
      <c r="IY36" s="31" t="s">
        <v>1307</v>
      </c>
      <c r="IZ36" s="31" t="s">
        <v>1307</v>
      </c>
      <c r="JA36" s="31" t="s">
        <v>1307</v>
      </c>
      <c r="JB36" s="31" t="s">
        <v>1307</v>
      </c>
      <c r="JC36" s="31" t="s">
        <v>1331</v>
      </c>
      <c r="JD36" s="31" t="s">
        <v>1331</v>
      </c>
      <c r="JE36" s="31" t="s">
        <v>1331</v>
      </c>
      <c r="JF36" s="31" t="s">
        <v>1331</v>
      </c>
      <c r="JG36" s="31" t="s">
        <v>1331</v>
      </c>
      <c r="JH36" s="31">
        <v>71000</v>
      </c>
      <c r="JI36" s="31">
        <v>71000</v>
      </c>
      <c r="JJ36" s="31">
        <v>71000</v>
      </c>
      <c r="JK36" s="31">
        <v>71000</v>
      </c>
      <c r="JL36" s="31" t="s">
        <v>3</v>
      </c>
      <c r="JM36" s="31">
        <v>71000</v>
      </c>
      <c r="JN36" s="31">
        <v>71000</v>
      </c>
      <c r="JO36" s="31">
        <v>71000</v>
      </c>
      <c r="JP36" s="31">
        <v>71000</v>
      </c>
      <c r="JQ36" s="31" t="s">
        <v>1375</v>
      </c>
      <c r="JR36" s="31" t="s">
        <v>1375</v>
      </c>
      <c r="JS36" s="31" t="s">
        <v>1375</v>
      </c>
      <c r="JT36" s="31" t="s">
        <v>3</v>
      </c>
      <c r="JU36" s="31" t="s">
        <v>1385</v>
      </c>
      <c r="JV36" s="31" t="s">
        <v>1385</v>
      </c>
      <c r="JW36" s="31" t="s">
        <v>1385</v>
      </c>
      <c r="JX36" s="31" t="s">
        <v>3</v>
      </c>
      <c r="JY36" s="31" t="s">
        <v>1385</v>
      </c>
      <c r="JZ36" s="31" t="s">
        <v>1385</v>
      </c>
      <c r="KA36" s="31" t="s">
        <v>1385</v>
      </c>
      <c r="KB36" s="31" t="s">
        <v>3</v>
      </c>
      <c r="KC36" s="31" t="s">
        <v>1375</v>
      </c>
      <c r="KD36" s="31" t="s">
        <v>1375</v>
      </c>
      <c r="KE36" s="31" t="s">
        <v>1375</v>
      </c>
      <c r="KF36" s="31" t="s">
        <v>3</v>
      </c>
      <c r="KG36" s="31" t="s">
        <v>1413</v>
      </c>
      <c r="KH36" s="31" t="s">
        <v>1413</v>
      </c>
      <c r="KI36" s="31" t="s">
        <v>1413</v>
      </c>
      <c r="KJ36" s="31" t="s">
        <v>1413</v>
      </c>
      <c r="KK36" s="31" t="s">
        <v>1421</v>
      </c>
      <c r="KL36" s="31" t="s">
        <v>1423</v>
      </c>
      <c r="KM36" s="31" t="s">
        <v>1423</v>
      </c>
      <c r="KN36" s="31" t="s">
        <v>1423</v>
      </c>
      <c r="KO36" s="31">
        <v>102000</v>
      </c>
    </row>
    <row r="37" spans="1:301" x14ac:dyDescent="0.25">
      <c r="A37" s="181"/>
      <c r="B37" s="29">
        <v>36</v>
      </c>
      <c r="C37" s="91" t="s">
        <v>544</v>
      </c>
      <c r="BZ37" s="31" t="s">
        <v>644</v>
      </c>
      <c r="CA37" s="31" t="s">
        <v>644</v>
      </c>
      <c r="CB37" s="31" t="s">
        <v>647</v>
      </c>
      <c r="CC37" s="31" t="s">
        <v>647</v>
      </c>
      <c r="CD37" s="31" t="s">
        <v>647</v>
      </c>
      <c r="CE37" s="31" t="s">
        <v>647</v>
      </c>
      <c r="CF37" s="31" t="s">
        <v>649</v>
      </c>
      <c r="CG37" s="31" t="s">
        <v>649</v>
      </c>
      <c r="CH37" s="31" t="s">
        <v>649</v>
      </c>
      <c r="CI37" s="31" t="s">
        <v>649</v>
      </c>
      <c r="CJ37" s="31" t="s">
        <v>653</v>
      </c>
      <c r="CK37" s="31" t="s">
        <v>653</v>
      </c>
      <c r="CL37" s="31" t="s">
        <v>653</v>
      </c>
      <c r="CM37" s="31" t="s">
        <v>656</v>
      </c>
      <c r="CN37" s="31" t="s">
        <v>656</v>
      </c>
      <c r="CO37" s="31" t="s">
        <v>656</v>
      </c>
      <c r="CP37" s="31" t="s">
        <v>656</v>
      </c>
      <c r="CQ37" s="31" t="s">
        <v>659</v>
      </c>
      <c r="CR37" s="31" t="s">
        <v>659</v>
      </c>
      <c r="CS37" s="31" t="s">
        <v>662</v>
      </c>
      <c r="CT37" s="31" t="s">
        <v>662</v>
      </c>
      <c r="CU37" s="31" t="s">
        <v>662</v>
      </c>
      <c r="CV37" s="31" t="s">
        <v>662</v>
      </c>
      <c r="CW37" s="31" t="s">
        <v>666</v>
      </c>
      <c r="CX37" s="31" t="s">
        <v>667</v>
      </c>
      <c r="CY37" s="31" t="s">
        <v>663</v>
      </c>
      <c r="CZ37" s="31" t="s">
        <v>663</v>
      </c>
      <c r="DA37" s="31" t="s">
        <v>663</v>
      </c>
      <c r="DB37" s="31" t="s">
        <v>3</v>
      </c>
      <c r="DC37" s="31" t="s">
        <v>672</v>
      </c>
      <c r="DD37" s="131" t="s">
        <v>672</v>
      </c>
      <c r="DE37" s="131" t="s">
        <v>672</v>
      </c>
      <c r="DF37" s="131" t="s">
        <v>675</v>
      </c>
      <c r="DG37" s="131" t="s">
        <v>675</v>
      </c>
      <c r="DH37" s="131" t="s">
        <v>716</v>
      </c>
      <c r="DI37" s="131" t="s">
        <v>716</v>
      </c>
      <c r="DJ37" s="131" t="s">
        <v>716</v>
      </c>
      <c r="DK37" s="131" t="s">
        <v>716</v>
      </c>
      <c r="DL37" s="131" t="s">
        <v>716</v>
      </c>
      <c r="DM37" s="131" t="s">
        <v>716</v>
      </c>
      <c r="DN37" s="131" t="s">
        <v>716</v>
      </c>
      <c r="DO37" s="131" t="s">
        <v>730</v>
      </c>
      <c r="DP37" s="131" t="s">
        <v>737</v>
      </c>
      <c r="DQ37" s="131" t="s">
        <v>741</v>
      </c>
      <c r="DR37" s="131" t="s">
        <v>741</v>
      </c>
      <c r="DS37" s="131" t="s">
        <v>741</v>
      </c>
      <c r="DT37" s="131" t="s">
        <v>730</v>
      </c>
      <c r="DU37" s="131" t="s">
        <v>730</v>
      </c>
      <c r="DV37" s="131" t="s">
        <v>730</v>
      </c>
      <c r="DW37" s="131" t="s">
        <v>730</v>
      </c>
      <c r="DX37" s="31" t="s">
        <v>3</v>
      </c>
      <c r="DY37" s="131" t="s">
        <v>781</v>
      </c>
      <c r="DZ37" s="131" t="s">
        <v>781</v>
      </c>
      <c r="EA37" s="131" t="s">
        <v>793</v>
      </c>
      <c r="EB37" s="131" t="s">
        <v>797</v>
      </c>
      <c r="EC37" s="131" t="s">
        <v>797</v>
      </c>
      <c r="ED37" s="131" t="s">
        <v>797</v>
      </c>
      <c r="EE37" s="31">
        <v>177000</v>
      </c>
      <c r="EF37" s="31" t="s">
        <v>814</v>
      </c>
      <c r="EG37" s="31" t="s">
        <v>814</v>
      </c>
      <c r="EH37" s="31" t="s">
        <v>814</v>
      </c>
      <c r="EI37" s="31" t="s">
        <v>814</v>
      </c>
      <c r="EJ37" s="31" t="s">
        <v>3</v>
      </c>
      <c r="EK37" s="31" t="s">
        <v>839</v>
      </c>
      <c r="EL37" s="31" t="s">
        <v>839</v>
      </c>
      <c r="EM37" s="31" t="s">
        <v>839</v>
      </c>
      <c r="EN37" s="31" t="s">
        <v>839</v>
      </c>
      <c r="EO37" s="31" t="s">
        <v>853</v>
      </c>
      <c r="EP37" s="31" t="s">
        <v>853</v>
      </c>
      <c r="EQ37" s="31" t="s">
        <v>853</v>
      </c>
      <c r="ER37" s="31" t="s">
        <v>3</v>
      </c>
      <c r="ES37" s="31" t="s">
        <v>878</v>
      </c>
      <c r="ET37" s="31" t="s">
        <v>878</v>
      </c>
      <c r="EU37" s="31" t="s">
        <v>878</v>
      </c>
      <c r="EV37" s="31" t="s">
        <v>878</v>
      </c>
      <c r="EW37" s="31" t="s">
        <v>3</v>
      </c>
      <c r="EX37" s="31" t="s">
        <v>3</v>
      </c>
      <c r="EY37" s="31" t="s">
        <v>3</v>
      </c>
      <c r="EZ37" s="31" t="s">
        <v>3</v>
      </c>
      <c r="FA37" s="31" t="s">
        <v>920</v>
      </c>
      <c r="FB37" s="31" t="s">
        <v>920</v>
      </c>
      <c r="FC37" s="31" t="s">
        <v>920</v>
      </c>
      <c r="FD37" s="31" t="s">
        <v>920</v>
      </c>
      <c r="FE37" s="31" t="s">
        <v>920</v>
      </c>
      <c r="FF37" s="31" t="s">
        <v>936</v>
      </c>
      <c r="FG37" s="31" t="s">
        <v>936</v>
      </c>
      <c r="FH37" s="31" t="s">
        <v>936</v>
      </c>
      <c r="FI37" s="31" t="s">
        <v>936</v>
      </c>
      <c r="FJ37" s="31" t="s">
        <v>936</v>
      </c>
      <c r="FK37" s="31" t="s">
        <v>3</v>
      </c>
      <c r="FL37" s="31" t="s">
        <v>3</v>
      </c>
      <c r="FM37" s="31" t="s">
        <v>3</v>
      </c>
      <c r="FN37" s="31">
        <v>240000</v>
      </c>
      <c r="FO37" s="31">
        <v>240000</v>
      </c>
      <c r="FP37" s="31">
        <v>240000</v>
      </c>
      <c r="FQ37" s="31">
        <v>240000</v>
      </c>
      <c r="FR37" s="31" t="s">
        <v>979</v>
      </c>
      <c r="FS37" s="31">
        <v>200000</v>
      </c>
      <c r="FT37" s="31" t="s">
        <v>989</v>
      </c>
      <c r="FU37" s="31" t="s">
        <v>989</v>
      </c>
      <c r="FV37" s="31" t="s">
        <v>989</v>
      </c>
      <c r="FW37" s="31">
        <v>215000</v>
      </c>
      <c r="FX37" s="31">
        <v>215000</v>
      </c>
      <c r="FY37" s="31">
        <v>215000</v>
      </c>
      <c r="FZ37" s="31">
        <v>215000</v>
      </c>
      <c r="GA37" s="31">
        <v>215000</v>
      </c>
      <c r="GB37" s="31">
        <v>215000</v>
      </c>
      <c r="GC37" s="31">
        <v>215000</v>
      </c>
      <c r="GD37" s="31">
        <v>215000</v>
      </c>
      <c r="GE37" s="31">
        <v>215000</v>
      </c>
      <c r="GF37" s="31">
        <v>215000</v>
      </c>
      <c r="GG37" s="31">
        <v>215000</v>
      </c>
      <c r="GH37" s="31">
        <v>215000</v>
      </c>
      <c r="GI37" s="31">
        <v>205000</v>
      </c>
      <c r="GJ37" s="31">
        <v>205000</v>
      </c>
      <c r="GK37" s="31">
        <v>205000</v>
      </c>
      <c r="GL37" s="31">
        <v>205000</v>
      </c>
      <c r="GM37" s="31">
        <v>205000</v>
      </c>
      <c r="GN37" s="31" t="s">
        <v>1059</v>
      </c>
      <c r="GO37" s="31" t="s">
        <v>1059</v>
      </c>
      <c r="GP37" s="31" t="s">
        <v>1059</v>
      </c>
      <c r="GQ37" s="31" t="s">
        <v>1059</v>
      </c>
      <c r="GR37" s="31" t="s">
        <v>1059</v>
      </c>
      <c r="GS37" s="31" t="s">
        <v>1059</v>
      </c>
      <c r="GT37" s="31" t="s">
        <v>1059</v>
      </c>
      <c r="GU37" s="31" t="s">
        <v>1059</v>
      </c>
      <c r="GV37" s="31" t="s">
        <v>1088</v>
      </c>
      <c r="GW37" s="31" t="s">
        <v>1093</v>
      </c>
      <c r="GX37" s="31" t="s">
        <v>1093</v>
      </c>
      <c r="GY37" s="31" t="s">
        <v>1093</v>
      </c>
      <c r="GZ37" s="31" t="s">
        <v>1106</v>
      </c>
      <c r="HA37" s="31" t="s">
        <v>1106</v>
      </c>
      <c r="HB37" s="31" t="s">
        <v>1106</v>
      </c>
      <c r="HC37" s="31" t="s">
        <v>1106</v>
      </c>
      <c r="HD37" s="31" t="s">
        <v>1106</v>
      </c>
      <c r="HE37" s="31" t="s">
        <v>1106</v>
      </c>
      <c r="HF37" s="31" t="s">
        <v>1106</v>
      </c>
      <c r="HG37" s="31" t="s">
        <v>1106</v>
      </c>
      <c r="HH37" s="31" t="s">
        <v>1106</v>
      </c>
      <c r="HI37" s="31" t="s">
        <v>1106</v>
      </c>
      <c r="HJ37" s="31" t="s">
        <v>1106</v>
      </c>
      <c r="HK37" s="31" t="s">
        <v>1106</v>
      </c>
      <c r="HL37" s="31" t="s">
        <v>1106</v>
      </c>
      <c r="HM37" s="31" t="s">
        <v>1106</v>
      </c>
      <c r="HN37" s="31" t="s">
        <v>1156</v>
      </c>
      <c r="HO37" s="31" t="s">
        <v>1156</v>
      </c>
      <c r="HP37" s="31" t="s">
        <v>1156</v>
      </c>
      <c r="HQ37" s="31" t="s">
        <v>1156</v>
      </c>
      <c r="HR37" s="31" t="s">
        <v>1156</v>
      </c>
      <c r="HS37" s="31" t="s">
        <v>1184</v>
      </c>
      <c r="HT37" s="31" t="s">
        <v>1184</v>
      </c>
      <c r="HU37" s="31" t="s">
        <v>3</v>
      </c>
      <c r="HV37" s="31" t="s">
        <v>965</v>
      </c>
      <c r="HW37" s="31" t="s">
        <v>1202</v>
      </c>
      <c r="HX37" s="31" t="s">
        <v>1202</v>
      </c>
      <c r="HY37" s="31" t="s">
        <v>1211</v>
      </c>
      <c r="HZ37" s="31" t="s">
        <v>1211</v>
      </c>
      <c r="IA37" s="31" t="s">
        <v>1211</v>
      </c>
      <c r="IB37" s="31" t="s">
        <v>1211</v>
      </c>
      <c r="IC37" s="31" t="s">
        <v>1233</v>
      </c>
      <c r="ID37" s="31" t="s">
        <v>1233</v>
      </c>
      <c r="IE37" s="31" t="s">
        <v>1233</v>
      </c>
      <c r="IF37" s="31" t="s">
        <v>1233</v>
      </c>
      <c r="IG37" s="31" t="s">
        <v>1256</v>
      </c>
      <c r="IH37" s="31" t="s">
        <v>1256</v>
      </c>
      <c r="II37" s="31" t="s">
        <v>1256</v>
      </c>
      <c r="IJ37" s="31" t="s">
        <v>1256</v>
      </c>
      <c r="IK37" s="31" t="s">
        <v>1256</v>
      </c>
      <c r="IL37" s="31" t="s">
        <v>1276</v>
      </c>
      <c r="IM37" s="31" t="s">
        <v>1276</v>
      </c>
      <c r="IN37" s="31" t="s">
        <v>1276</v>
      </c>
      <c r="IO37" s="31" t="s">
        <v>1276</v>
      </c>
      <c r="IP37" s="31" t="s">
        <v>1291</v>
      </c>
      <c r="IQ37" s="31" t="s">
        <v>1291</v>
      </c>
      <c r="IR37" s="31" t="s">
        <v>1291</v>
      </c>
      <c r="IS37" s="31" t="s">
        <v>1291</v>
      </c>
      <c r="IT37" s="31" t="s">
        <v>3</v>
      </c>
      <c r="IU37" s="31">
        <v>140000</v>
      </c>
      <c r="IV37" s="31">
        <v>140000</v>
      </c>
      <c r="IW37" s="31">
        <v>140000</v>
      </c>
      <c r="IX37" s="31">
        <v>140000</v>
      </c>
      <c r="IY37" s="31" t="s">
        <v>1319</v>
      </c>
      <c r="IZ37" s="31" t="s">
        <v>1319</v>
      </c>
      <c r="JA37" s="31" t="s">
        <v>1319</v>
      </c>
      <c r="JB37" s="31" t="s">
        <v>1319</v>
      </c>
      <c r="JC37" s="31" t="s">
        <v>1319</v>
      </c>
      <c r="JD37" s="31" t="s">
        <v>1319</v>
      </c>
      <c r="JE37" s="31" t="s">
        <v>1319</v>
      </c>
      <c r="JF37" s="31" t="s">
        <v>1319</v>
      </c>
      <c r="JG37" s="31" t="s">
        <v>1319</v>
      </c>
      <c r="JH37" s="31">
        <v>140000</v>
      </c>
      <c r="JI37" s="31" t="s">
        <v>1319</v>
      </c>
      <c r="JJ37" s="31" t="s">
        <v>1319</v>
      </c>
      <c r="JK37" s="31" t="s">
        <v>1319</v>
      </c>
      <c r="JL37" s="31">
        <v>137000</v>
      </c>
      <c r="JM37" s="31">
        <v>137000</v>
      </c>
      <c r="JN37" s="31">
        <v>137000</v>
      </c>
      <c r="JO37" s="31">
        <v>137000</v>
      </c>
      <c r="JP37" s="31">
        <v>137000</v>
      </c>
      <c r="JQ37" s="31">
        <v>133000</v>
      </c>
      <c r="JR37" s="31">
        <v>133000</v>
      </c>
      <c r="JS37" s="31">
        <v>133000</v>
      </c>
      <c r="JT37" s="31" t="s">
        <v>3</v>
      </c>
      <c r="JU37" s="31">
        <v>133000</v>
      </c>
      <c r="JV37" s="31">
        <v>133000</v>
      </c>
      <c r="JW37" s="31">
        <v>133000</v>
      </c>
      <c r="JX37" s="31" t="s">
        <v>3</v>
      </c>
      <c r="JY37" s="31">
        <v>132000</v>
      </c>
      <c r="JZ37" s="31">
        <v>132000</v>
      </c>
      <c r="KA37" s="31">
        <v>132000</v>
      </c>
      <c r="KB37" s="31" t="s">
        <v>3</v>
      </c>
      <c r="KC37" s="31">
        <v>132000</v>
      </c>
      <c r="KD37" s="31">
        <v>132000</v>
      </c>
      <c r="KE37" s="31">
        <v>132000</v>
      </c>
      <c r="KF37" s="31" t="s">
        <v>3</v>
      </c>
      <c r="KG37" s="31">
        <v>150000</v>
      </c>
      <c r="KH37" s="31">
        <v>150000</v>
      </c>
      <c r="KI37" s="31">
        <v>150000</v>
      </c>
      <c r="KJ37" s="31">
        <v>150000</v>
      </c>
      <c r="KK37" s="31">
        <v>160000</v>
      </c>
      <c r="KL37" s="31">
        <v>160000</v>
      </c>
      <c r="KM37" s="31">
        <v>160000</v>
      </c>
      <c r="KN37" s="31">
        <v>160000</v>
      </c>
      <c r="KO37" s="31">
        <v>145000</v>
      </c>
    </row>
    <row r="38" spans="1:301" x14ac:dyDescent="0.25">
      <c r="A38" s="181"/>
      <c r="B38" s="29">
        <v>37</v>
      </c>
      <c r="C38" s="91" t="s">
        <v>545</v>
      </c>
      <c r="BZ38" s="31" t="s">
        <v>645</v>
      </c>
      <c r="CA38" s="31" t="s">
        <v>645</v>
      </c>
      <c r="CB38" s="31" t="s">
        <v>648</v>
      </c>
      <c r="CC38" s="31" t="s">
        <v>648</v>
      </c>
      <c r="CD38" s="31" t="s">
        <v>648</v>
      </c>
      <c r="CE38" s="31" t="s">
        <v>648</v>
      </c>
      <c r="CF38" s="31" t="s">
        <v>650</v>
      </c>
      <c r="CG38" s="31" t="s">
        <v>650</v>
      </c>
      <c r="CH38" s="31" t="s">
        <v>650</v>
      </c>
      <c r="CI38" s="31" t="s">
        <v>650</v>
      </c>
      <c r="CJ38" s="31" t="s">
        <v>654</v>
      </c>
      <c r="CK38" s="31" t="s">
        <v>654</v>
      </c>
      <c r="CL38" s="31" t="s">
        <v>654</v>
      </c>
      <c r="CM38" s="31" t="s">
        <v>654</v>
      </c>
      <c r="CN38" s="31" t="s">
        <v>654</v>
      </c>
      <c r="CO38" s="31" t="s">
        <v>658</v>
      </c>
      <c r="CP38" s="31" t="s">
        <v>658</v>
      </c>
      <c r="CQ38" s="31" t="s">
        <v>658</v>
      </c>
      <c r="CR38" s="31" t="s">
        <v>658</v>
      </c>
      <c r="CS38" s="31" t="s">
        <v>663</v>
      </c>
      <c r="CT38" s="31" t="s">
        <v>663</v>
      </c>
      <c r="CU38" s="31" t="s">
        <v>663</v>
      </c>
      <c r="CV38" s="31" t="s">
        <v>663</v>
      </c>
      <c r="CW38" s="31" t="s">
        <v>663</v>
      </c>
      <c r="CX38" s="31" t="s">
        <v>663</v>
      </c>
      <c r="CY38" s="31" t="s">
        <v>663</v>
      </c>
      <c r="CZ38" s="31" t="s">
        <v>663</v>
      </c>
      <c r="DA38" s="31" t="s">
        <v>663</v>
      </c>
      <c r="DB38" s="31" t="s">
        <v>669</v>
      </c>
      <c r="DC38" s="31" t="s">
        <v>673</v>
      </c>
      <c r="DD38" s="131" t="s">
        <v>673</v>
      </c>
      <c r="DE38" s="131" t="s">
        <v>673</v>
      </c>
      <c r="DF38" s="131" t="s">
        <v>673</v>
      </c>
      <c r="DG38" s="131" t="s">
        <v>673</v>
      </c>
      <c r="DH38" s="131" t="s">
        <v>673</v>
      </c>
      <c r="DI38" s="131" t="s">
        <v>673</v>
      </c>
      <c r="DJ38" s="131" t="s">
        <v>673</v>
      </c>
      <c r="DK38" s="131" t="s">
        <v>717</v>
      </c>
      <c r="DL38" s="131" t="s">
        <v>717</v>
      </c>
      <c r="DM38" s="131" t="s">
        <v>717</v>
      </c>
      <c r="DN38" s="131" t="s">
        <v>717</v>
      </c>
      <c r="DO38" s="131" t="s">
        <v>729</v>
      </c>
      <c r="DP38" s="131" t="s">
        <v>717</v>
      </c>
      <c r="DQ38" s="131" t="s">
        <v>717</v>
      </c>
      <c r="DR38" s="131" t="s">
        <v>717</v>
      </c>
      <c r="DS38" s="131" t="s">
        <v>754</v>
      </c>
      <c r="DT38" s="131" t="s">
        <v>754</v>
      </c>
      <c r="DU38" s="131" t="s">
        <v>754</v>
      </c>
      <c r="DV38" s="131" t="s">
        <v>754</v>
      </c>
      <c r="DW38" s="131" t="s">
        <v>769</v>
      </c>
      <c r="DX38" s="31" t="s">
        <v>3</v>
      </c>
      <c r="DY38" s="131" t="s">
        <v>782</v>
      </c>
      <c r="DZ38" s="131" t="s">
        <v>783</v>
      </c>
      <c r="EA38" s="31">
        <v>132500</v>
      </c>
      <c r="EB38" s="131" t="s">
        <v>798</v>
      </c>
      <c r="EC38" s="131" t="s">
        <v>798</v>
      </c>
      <c r="ED38" s="131" t="s">
        <v>798</v>
      </c>
      <c r="EE38" s="131" t="s">
        <v>798</v>
      </c>
      <c r="EF38" s="131" t="s">
        <v>815</v>
      </c>
      <c r="EG38" s="131" t="s">
        <v>815</v>
      </c>
      <c r="EH38" s="131" t="s">
        <v>815</v>
      </c>
      <c r="EI38" s="131" t="s">
        <v>824</v>
      </c>
      <c r="EJ38" s="131" t="s">
        <v>834</v>
      </c>
      <c r="EK38" s="131" t="s">
        <v>840</v>
      </c>
      <c r="EL38" s="131" t="s">
        <v>840</v>
      </c>
      <c r="EM38" s="131" t="s">
        <v>840</v>
      </c>
      <c r="EN38" s="31" t="s">
        <v>3</v>
      </c>
      <c r="EO38" s="131" t="s">
        <v>854</v>
      </c>
      <c r="EP38" s="131" t="s">
        <v>854</v>
      </c>
      <c r="EQ38" s="131" t="s">
        <v>854</v>
      </c>
      <c r="ER38" s="131" t="s">
        <v>873</v>
      </c>
      <c r="ES38" s="131" t="s">
        <v>879</v>
      </c>
      <c r="ET38" s="131" t="s">
        <v>879</v>
      </c>
      <c r="EU38" s="131" t="s">
        <v>879</v>
      </c>
      <c r="EV38" s="131" t="s">
        <v>879</v>
      </c>
      <c r="EW38" s="131" t="s">
        <v>904</v>
      </c>
      <c r="EX38" s="131" t="s">
        <v>904</v>
      </c>
      <c r="EY38" s="131" t="s">
        <v>904</v>
      </c>
      <c r="EZ38" s="131" t="s">
        <v>904</v>
      </c>
      <c r="FA38" s="131" t="s">
        <v>921</v>
      </c>
      <c r="FB38" s="131" t="s">
        <v>921</v>
      </c>
      <c r="FC38" s="31" t="s">
        <v>921</v>
      </c>
      <c r="FD38" s="31" t="s">
        <v>921</v>
      </c>
      <c r="FE38" s="31" t="s">
        <v>921</v>
      </c>
      <c r="FF38" s="31" t="s">
        <v>937</v>
      </c>
      <c r="FG38" s="31" t="s">
        <v>937</v>
      </c>
      <c r="FH38" s="31" t="s">
        <v>937</v>
      </c>
      <c r="FI38" s="31" t="s">
        <v>937</v>
      </c>
      <c r="FJ38" s="31" t="s">
        <v>946</v>
      </c>
      <c r="FK38" s="31" t="s">
        <v>920</v>
      </c>
      <c r="FL38" s="31" t="s">
        <v>920</v>
      </c>
      <c r="FM38" s="31" t="s">
        <v>920</v>
      </c>
      <c r="FN38" s="31" t="s">
        <v>965</v>
      </c>
      <c r="FO38" s="31" t="s">
        <v>965</v>
      </c>
      <c r="FP38" s="31" t="s">
        <v>965</v>
      </c>
      <c r="FQ38" s="31" t="s">
        <v>965</v>
      </c>
      <c r="FR38" s="31" t="s">
        <v>965</v>
      </c>
      <c r="FS38" s="31" t="s">
        <v>854</v>
      </c>
      <c r="FT38" s="31" t="s">
        <v>988</v>
      </c>
      <c r="FU38" s="31" t="s">
        <v>988</v>
      </c>
      <c r="FV38" s="31" t="s">
        <v>988</v>
      </c>
      <c r="FW38" s="31" t="s">
        <v>1003</v>
      </c>
      <c r="FX38" s="31" t="s">
        <v>1003</v>
      </c>
      <c r="FY38" s="31" t="s">
        <v>1003</v>
      </c>
      <c r="FZ38" s="31" t="s">
        <v>548</v>
      </c>
      <c r="GA38" s="31" t="s">
        <v>548</v>
      </c>
      <c r="GB38" s="31" t="s">
        <v>548</v>
      </c>
      <c r="GC38" s="31" t="s">
        <v>548</v>
      </c>
      <c r="GD38" s="31" t="s">
        <v>548</v>
      </c>
      <c r="GE38" s="31" t="s">
        <v>548</v>
      </c>
      <c r="GF38" s="31" t="s">
        <v>548</v>
      </c>
      <c r="GG38" s="31" t="s">
        <v>548</v>
      </c>
      <c r="GH38" s="31" t="s">
        <v>548</v>
      </c>
      <c r="GI38" s="31" t="s">
        <v>741</v>
      </c>
      <c r="GJ38" s="31" t="s">
        <v>1043</v>
      </c>
      <c r="GK38" s="31" t="s">
        <v>1043</v>
      </c>
      <c r="GL38" s="31" t="s">
        <v>1043</v>
      </c>
      <c r="GM38" s="31" t="s">
        <v>1043</v>
      </c>
      <c r="GN38" s="31" t="s">
        <v>1060</v>
      </c>
      <c r="GO38" s="31" t="s">
        <v>1060</v>
      </c>
      <c r="GP38" s="31" t="s">
        <v>1060</v>
      </c>
      <c r="GQ38" s="31" t="s">
        <v>1060</v>
      </c>
      <c r="GR38" s="31" t="s">
        <v>1072</v>
      </c>
      <c r="GS38" s="31" t="s">
        <v>1072</v>
      </c>
      <c r="GT38" s="31" t="s">
        <v>1072</v>
      </c>
      <c r="GU38" s="31" t="s">
        <v>1072</v>
      </c>
      <c r="GV38" s="31" t="s">
        <v>1089</v>
      </c>
      <c r="GW38" s="31" t="s">
        <v>1094</v>
      </c>
      <c r="GX38" s="31" t="s">
        <v>1094</v>
      </c>
      <c r="GY38" s="31" t="s">
        <v>1094</v>
      </c>
      <c r="GZ38" s="31" t="s">
        <v>1094</v>
      </c>
      <c r="HA38" s="31" t="s">
        <v>1094</v>
      </c>
      <c r="HB38" s="31" t="s">
        <v>1094</v>
      </c>
      <c r="HC38" s="31" t="s">
        <v>1094</v>
      </c>
      <c r="HD38" s="31" t="s">
        <v>1094</v>
      </c>
      <c r="HE38" s="31" t="s">
        <v>1094</v>
      </c>
      <c r="HF38" s="31" t="s">
        <v>1129</v>
      </c>
      <c r="HG38" s="31" t="s">
        <v>1129</v>
      </c>
      <c r="HH38" s="31" t="s">
        <v>1129</v>
      </c>
      <c r="HI38" s="31" t="s">
        <v>1129</v>
      </c>
      <c r="HJ38" s="31" t="s">
        <v>1129</v>
      </c>
      <c r="HK38" s="31" t="s">
        <v>1129</v>
      </c>
      <c r="HL38" s="31" t="s">
        <v>1129</v>
      </c>
      <c r="HM38" s="31" t="s">
        <v>1129</v>
      </c>
      <c r="HN38" s="31" t="s">
        <v>1129</v>
      </c>
      <c r="HO38" s="31" t="s">
        <v>1129</v>
      </c>
      <c r="HP38" s="31" t="s">
        <v>1129</v>
      </c>
      <c r="HQ38" s="31" t="s">
        <v>1129</v>
      </c>
      <c r="HR38" s="31" t="s">
        <v>1129</v>
      </c>
      <c r="HS38" s="31" t="s">
        <v>1185</v>
      </c>
      <c r="HT38" s="31" t="s">
        <v>1185</v>
      </c>
      <c r="HU38" s="31" t="s">
        <v>3</v>
      </c>
      <c r="HV38" s="31" t="s">
        <v>1200</v>
      </c>
      <c r="HW38" s="31" t="s">
        <v>716</v>
      </c>
      <c r="HX38" s="31" t="s">
        <v>716</v>
      </c>
      <c r="HY38" s="31" t="s">
        <v>1212</v>
      </c>
      <c r="HZ38" s="31" t="s">
        <v>1212</v>
      </c>
      <c r="IA38" s="31" t="s">
        <v>1212</v>
      </c>
      <c r="IB38" s="31" t="s">
        <v>1212</v>
      </c>
      <c r="IC38" s="31" t="s">
        <v>1234</v>
      </c>
      <c r="ID38" s="31" t="s">
        <v>1234</v>
      </c>
      <c r="IE38" s="31" t="s">
        <v>1234</v>
      </c>
      <c r="IF38" s="31" t="s">
        <v>1234</v>
      </c>
      <c r="IG38" s="31" t="s">
        <v>1257</v>
      </c>
      <c r="IH38" s="31" t="s">
        <v>1257</v>
      </c>
      <c r="II38" s="31" t="s">
        <v>1257</v>
      </c>
      <c r="IJ38" s="31" t="s">
        <v>1257</v>
      </c>
      <c r="IK38" s="31" t="s">
        <v>1257</v>
      </c>
      <c r="IL38" s="31" t="s">
        <v>1257</v>
      </c>
      <c r="IM38" s="31" t="s">
        <v>1257</v>
      </c>
      <c r="IN38" s="31" t="s">
        <v>1257</v>
      </c>
      <c r="IO38" s="31" t="s">
        <v>1257</v>
      </c>
      <c r="IP38" s="31" t="s">
        <v>1257</v>
      </c>
      <c r="IQ38" s="31" t="s">
        <v>1257</v>
      </c>
      <c r="IR38" s="31" t="s">
        <v>1257</v>
      </c>
      <c r="IS38" s="31" t="s">
        <v>1257</v>
      </c>
      <c r="IT38" s="31" t="s">
        <v>3</v>
      </c>
      <c r="IU38" s="31">
        <v>146000</v>
      </c>
      <c r="IV38" s="31">
        <v>146000</v>
      </c>
      <c r="IW38" s="31">
        <v>146000</v>
      </c>
      <c r="IX38" s="31">
        <v>146000</v>
      </c>
      <c r="IY38" s="31">
        <v>154000</v>
      </c>
      <c r="IZ38" s="31">
        <v>154000</v>
      </c>
      <c r="JA38" s="31">
        <v>154000</v>
      </c>
      <c r="JB38" s="31">
        <v>154000</v>
      </c>
      <c r="JC38" s="31" t="s">
        <v>1334</v>
      </c>
      <c r="JD38" s="31" t="s">
        <v>1334</v>
      </c>
      <c r="JE38" s="31" t="s">
        <v>1334</v>
      </c>
      <c r="JF38" s="31" t="s">
        <v>1334</v>
      </c>
      <c r="JG38" s="31" t="s">
        <v>3</v>
      </c>
      <c r="JH38" s="31">
        <v>146000</v>
      </c>
      <c r="JI38" s="31" t="s">
        <v>1334</v>
      </c>
      <c r="JJ38" s="31" t="s">
        <v>1334</v>
      </c>
      <c r="JK38" s="31" t="s">
        <v>1334</v>
      </c>
      <c r="JL38" s="31">
        <v>146000</v>
      </c>
      <c r="JM38" s="31">
        <v>146000</v>
      </c>
      <c r="JN38" s="31">
        <v>146000</v>
      </c>
      <c r="JO38" s="31">
        <v>146000</v>
      </c>
      <c r="JP38" s="31">
        <v>146000</v>
      </c>
      <c r="JQ38" s="31">
        <v>140000</v>
      </c>
      <c r="JR38" s="31">
        <v>140000</v>
      </c>
      <c r="JS38" s="31">
        <v>140000</v>
      </c>
      <c r="JT38" s="31" t="s">
        <v>3</v>
      </c>
      <c r="JU38" s="31">
        <v>135000</v>
      </c>
      <c r="JV38" s="31">
        <v>135000</v>
      </c>
      <c r="JW38" s="31">
        <v>135000</v>
      </c>
      <c r="JX38" s="31" t="s">
        <v>3</v>
      </c>
      <c r="JY38" s="31">
        <v>135000</v>
      </c>
      <c r="JZ38" s="31">
        <v>135000</v>
      </c>
      <c r="KA38" s="31">
        <v>135000</v>
      </c>
      <c r="KB38" s="31" t="s">
        <v>3</v>
      </c>
      <c r="KC38" s="31">
        <v>135000</v>
      </c>
      <c r="KD38" s="31">
        <v>135000</v>
      </c>
      <c r="KE38" s="31">
        <v>135000</v>
      </c>
      <c r="KF38" s="31" t="s">
        <v>3</v>
      </c>
      <c r="KG38" s="31">
        <v>165000</v>
      </c>
      <c r="KH38" s="31">
        <v>165000</v>
      </c>
      <c r="KI38" s="31">
        <v>165000</v>
      </c>
      <c r="KJ38" s="31">
        <v>165000</v>
      </c>
      <c r="KK38" s="31">
        <v>190000</v>
      </c>
      <c r="KL38" s="31">
        <v>190000</v>
      </c>
      <c r="KM38" s="31">
        <v>190000</v>
      </c>
      <c r="KN38" s="31">
        <v>190000</v>
      </c>
      <c r="KO38" s="31" t="s">
        <v>3</v>
      </c>
    </row>
    <row r="39" spans="1:301" x14ac:dyDescent="0.25">
      <c r="A39" s="181"/>
      <c r="B39" s="29">
        <v>38</v>
      </c>
      <c r="C39" s="91" t="s">
        <v>546</v>
      </c>
      <c r="Y39" s="31" t="s">
        <v>593</v>
      </c>
      <c r="Z39" s="31" t="s">
        <v>593</v>
      </c>
      <c r="AA39" s="31" t="s">
        <v>593</v>
      </c>
      <c r="AB39" s="31" t="s">
        <v>593</v>
      </c>
      <c r="AC39" s="31" t="s">
        <v>594</v>
      </c>
      <c r="AD39" s="31" t="s">
        <v>595</v>
      </c>
      <c r="AE39" s="31" t="s">
        <v>595</v>
      </c>
      <c r="AF39" s="31" t="s">
        <v>595</v>
      </c>
      <c r="AG39" s="31" t="s">
        <v>596</v>
      </c>
      <c r="AH39" s="31" t="s">
        <v>596</v>
      </c>
      <c r="AI39" s="31" t="s">
        <v>596</v>
      </c>
      <c r="AJ39" s="31" t="s">
        <v>596</v>
      </c>
      <c r="AK39" s="31" t="s">
        <v>597</v>
      </c>
      <c r="AL39" s="31" t="s">
        <v>597</v>
      </c>
      <c r="AM39" s="31" t="s">
        <v>597</v>
      </c>
      <c r="AN39" s="31" t="s">
        <v>597</v>
      </c>
      <c r="AO39" s="31" t="s">
        <v>597</v>
      </c>
      <c r="AP39" s="31" t="s">
        <v>3</v>
      </c>
      <c r="AQ39" s="31" t="s">
        <v>598</v>
      </c>
      <c r="AR39" s="31" t="s">
        <v>598</v>
      </c>
      <c r="AS39" s="31" t="s">
        <v>598</v>
      </c>
      <c r="AT39" s="31" t="s">
        <v>599</v>
      </c>
      <c r="AU39" s="31" t="s">
        <v>599</v>
      </c>
      <c r="AV39" s="31" t="s">
        <v>599</v>
      </c>
      <c r="AW39" s="31" t="s">
        <v>599</v>
      </c>
      <c r="AX39" s="31" t="s">
        <v>600</v>
      </c>
      <c r="AY39" s="31" t="s">
        <v>600</v>
      </c>
      <c r="AZ39" s="31" t="s">
        <v>600</v>
      </c>
      <c r="BA39" s="31" t="s">
        <v>600</v>
      </c>
      <c r="BB39" s="31" t="s">
        <v>600</v>
      </c>
      <c r="BC39" s="31" t="s">
        <v>599</v>
      </c>
      <c r="BD39" s="31" t="s">
        <v>599</v>
      </c>
      <c r="BE39" s="31" t="s">
        <v>599</v>
      </c>
      <c r="BF39" s="31" t="s">
        <v>599</v>
      </c>
      <c r="BG39" s="31" t="s">
        <v>601</v>
      </c>
      <c r="BH39" s="31" t="s">
        <v>601</v>
      </c>
      <c r="BI39" s="31" t="s">
        <v>601</v>
      </c>
      <c r="BJ39" s="31" t="s">
        <v>601</v>
      </c>
      <c r="BK39" s="31" t="s">
        <v>601</v>
      </c>
      <c r="BL39" s="31" t="s">
        <v>602</v>
      </c>
      <c r="BM39" s="31" t="s">
        <v>602</v>
      </c>
      <c r="BN39" s="31" t="s">
        <v>602</v>
      </c>
      <c r="BO39" s="31" t="s">
        <v>602</v>
      </c>
      <c r="BP39" s="31" t="s">
        <v>603</v>
      </c>
      <c r="BQ39" s="31" t="s">
        <v>603</v>
      </c>
      <c r="BR39" s="31" t="s">
        <v>603</v>
      </c>
      <c r="BS39" s="31" t="s">
        <v>603</v>
      </c>
      <c r="BT39" s="31" t="s">
        <v>604</v>
      </c>
      <c r="BU39" s="31" t="s">
        <v>604</v>
      </c>
      <c r="BV39" s="31" t="s">
        <v>604</v>
      </c>
      <c r="BW39" s="31" t="s">
        <v>604</v>
      </c>
      <c r="BX39" s="31" t="s">
        <v>3</v>
      </c>
      <c r="BY39" s="31" t="s">
        <v>605</v>
      </c>
      <c r="BZ39" s="31" t="s">
        <v>605</v>
      </c>
      <c r="CA39" s="31" t="s">
        <v>605</v>
      </c>
      <c r="CB39" s="31" t="s">
        <v>606</v>
      </c>
      <c r="CC39" s="31" t="s">
        <v>606</v>
      </c>
      <c r="CD39" s="31" t="s">
        <v>606</v>
      </c>
      <c r="CE39" s="31" t="s">
        <v>606</v>
      </c>
      <c r="CF39" s="31" t="s">
        <v>607</v>
      </c>
      <c r="CG39" s="31" t="s">
        <v>607</v>
      </c>
      <c r="CH39" s="31" t="s">
        <v>607</v>
      </c>
      <c r="CI39" s="31" t="s">
        <v>607</v>
      </c>
      <c r="CJ39" s="31" t="s">
        <v>607</v>
      </c>
      <c r="CK39" s="31" t="s">
        <v>538</v>
      </c>
      <c r="CL39" s="31" t="s">
        <v>538</v>
      </c>
      <c r="CM39" s="31" t="s">
        <v>608</v>
      </c>
      <c r="CN39" s="31" t="s">
        <v>608</v>
      </c>
      <c r="CO39" s="31" t="s">
        <v>608</v>
      </c>
      <c r="CP39" s="31" t="s">
        <v>608</v>
      </c>
      <c r="CQ39" s="31">
        <v>95000</v>
      </c>
      <c r="CR39" s="31">
        <v>95000</v>
      </c>
      <c r="CS39" s="31" t="s">
        <v>609</v>
      </c>
      <c r="CT39" s="31" t="s">
        <v>609</v>
      </c>
      <c r="CU39" s="31">
        <v>86000</v>
      </c>
      <c r="CV39" s="31">
        <v>86000</v>
      </c>
      <c r="CW39" s="31">
        <v>86000</v>
      </c>
      <c r="CX39" s="31">
        <v>79000</v>
      </c>
      <c r="CY39" s="31">
        <v>79000</v>
      </c>
      <c r="CZ39" s="31">
        <v>79000</v>
      </c>
      <c r="DA39" s="31">
        <v>79000</v>
      </c>
      <c r="DB39" s="31">
        <v>60000</v>
      </c>
      <c r="DC39" s="31">
        <v>60000</v>
      </c>
      <c r="DD39" s="131">
        <v>60000</v>
      </c>
      <c r="DE39" s="131">
        <v>60000</v>
      </c>
      <c r="DF39" s="131" t="s">
        <v>610</v>
      </c>
      <c r="DG39" s="131" t="s">
        <v>610</v>
      </c>
      <c r="DH39" s="131" t="s">
        <v>610</v>
      </c>
      <c r="DI39" s="131" t="s">
        <v>610</v>
      </c>
      <c r="DJ39" s="131" t="s">
        <v>610</v>
      </c>
      <c r="DK39" s="131" t="s">
        <v>610</v>
      </c>
      <c r="DL39" s="131" t="s">
        <v>718</v>
      </c>
      <c r="DM39" s="131" t="s">
        <v>718</v>
      </c>
      <c r="DN39" s="131" t="s">
        <v>718</v>
      </c>
      <c r="DO39" s="131" t="s">
        <v>718</v>
      </c>
      <c r="DP39" s="131" t="s">
        <v>718</v>
      </c>
      <c r="DQ39" s="131" t="s">
        <v>718</v>
      </c>
      <c r="DR39" s="131" t="s">
        <v>718</v>
      </c>
      <c r="DS39" s="131" t="s">
        <v>755</v>
      </c>
      <c r="DT39" s="131" t="s">
        <v>755</v>
      </c>
      <c r="DU39" s="131" t="s">
        <v>755</v>
      </c>
      <c r="DV39" s="131" t="s">
        <v>755</v>
      </c>
      <c r="DW39" s="54">
        <v>40000</v>
      </c>
      <c r="DX39" s="131" t="s">
        <v>776</v>
      </c>
      <c r="DY39" s="131" t="s">
        <v>776</v>
      </c>
      <c r="DZ39" s="131" t="s">
        <v>776</v>
      </c>
      <c r="EA39" s="131" t="s">
        <v>791</v>
      </c>
      <c r="EB39" s="131" t="s">
        <v>795</v>
      </c>
      <c r="EC39" s="131" t="s">
        <v>795</v>
      </c>
      <c r="ED39" s="131" t="s">
        <v>795</v>
      </c>
      <c r="EE39" s="131" t="s">
        <v>795</v>
      </c>
      <c r="EF39" s="131" t="s">
        <v>795</v>
      </c>
      <c r="EG39" s="131" t="s">
        <v>795</v>
      </c>
      <c r="EH39" s="131" t="s">
        <v>795</v>
      </c>
      <c r="EI39" s="131" t="s">
        <v>795</v>
      </c>
      <c r="EJ39" s="131" t="s">
        <v>832</v>
      </c>
      <c r="EK39" s="131" t="s">
        <v>832</v>
      </c>
      <c r="EL39" s="131" t="s">
        <v>832</v>
      </c>
      <c r="EM39" s="131" t="s">
        <v>842</v>
      </c>
      <c r="EN39" s="131" t="s">
        <v>850</v>
      </c>
      <c r="EO39" s="131" t="s">
        <v>855</v>
      </c>
      <c r="EP39" s="131" t="s">
        <v>855</v>
      </c>
      <c r="EQ39" s="131" t="s">
        <v>855</v>
      </c>
      <c r="ER39" s="31" t="s">
        <v>3</v>
      </c>
      <c r="ES39" s="131" t="s">
        <v>880</v>
      </c>
      <c r="ET39" s="131" t="s">
        <v>887</v>
      </c>
      <c r="EU39" s="131" t="s">
        <v>887</v>
      </c>
      <c r="EV39" s="131" t="s">
        <v>887</v>
      </c>
      <c r="EW39" s="131" t="s">
        <v>903</v>
      </c>
      <c r="EX39" s="131" t="s">
        <v>908</v>
      </c>
      <c r="EY39" s="131" t="s">
        <v>908</v>
      </c>
      <c r="EZ39" s="131" t="s">
        <v>913</v>
      </c>
      <c r="FA39" s="131" t="s">
        <v>919</v>
      </c>
      <c r="FB39" s="131" t="s">
        <v>925</v>
      </c>
      <c r="FC39" s="31" t="s">
        <v>925</v>
      </c>
      <c r="FD39" s="31" t="s">
        <v>925</v>
      </c>
      <c r="FE39" s="31" t="s">
        <v>925</v>
      </c>
      <c r="FF39" s="31" t="s">
        <v>938</v>
      </c>
      <c r="FG39" s="31" t="s">
        <v>941</v>
      </c>
      <c r="FH39" s="31" t="s">
        <v>941</v>
      </c>
      <c r="FI39" s="31" t="s">
        <v>941</v>
      </c>
      <c r="FJ39" s="31" t="s">
        <v>941</v>
      </c>
      <c r="FK39" s="31" t="s">
        <v>958</v>
      </c>
      <c r="FL39" s="31" t="s">
        <v>958</v>
      </c>
      <c r="FM39" s="31" t="s">
        <v>958</v>
      </c>
      <c r="FN39" s="31" t="s">
        <v>958</v>
      </c>
      <c r="FO39" s="31" t="s">
        <v>969</v>
      </c>
      <c r="FP39" s="31" t="s">
        <v>942</v>
      </c>
      <c r="FQ39" s="31" t="s">
        <v>942</v>
      </c>
      <c r="FR39" s="31" t="s">
        <v>942</v>
      </c>
      <c r="FS39" s="31" t="s">
        <v>942</v>
      </c>
      <c r="FT39" s="31" t="s">
        <v>991</v>
      </c>
      <c r="FU39" s="31" t="s">
        <v>994</v>
      </c>
      <c r="FV39" s="31" t="s">
        <v>1001</v>
      </c>
      <c r="FW39" s="31" t="s">
        <v>1001</v>
      </c>
      <c r="FX39" s="31" t="s">
        <v>925</v>
      </c>
      <c r="FY39" s="31" t="s">
        <v>1008</v>
      </c>
      <c r="FZ39" s="31" t="s">
        <v>1008</v>
      </c>
      <c r="GA39" s="31" t="s">
        <v>1018</v>
      </c>
      <c r="GB39" s="31" t="s">
        <v>1018</v>
      </c>
      <c r="GC39" s="31" t="s">
        <v>1008</v>
      </c>
      <c r="GD39" s="31" t="s">
        <v>1025</v>
      </c>
      <c r="GE39" s="31" t="s">
        <v>1031</v>
      </c>
      <c r="GF39" s="31" t="s">
        <v>1031</v>
      </c>
      <c r="GG39" s="31" t="s">
        <v>630</v>
      </c>
      <c r="GH39" s="31" t="s">
        <v>630</v>
      </c>
      <c r="GI39" s="31" t="s">
        <v>1041</v>
      </c>
      <c r="GJ39" s="31" t="s">
        <v>1044</v>
      </c>
      <c r="GK39" s="31" t="s">
        <v>1046</v>
      </c>
      <c r="GL39" s="31" t="s">
        <v>1048</v>
      </c>
      <c r="GM39" s="31" t="s">
        <v>1048</v>
      </c>
      <c r="GN39" s="31" t="s">
        <v>1061</v>
      </c>
      <c r="GO39" s="31" t="s">
        <v>1061</v>
      </c>
      <c r="GP39" s="31" t="s">
        <v>1046</v>
      </c>
      <c r="GQ39" s="31" t="s">
        <v>1046</v>
      </c>
      <c r="GR39" s="31" t="s">
        <v>1073</v>
      </c>
      <c r="GS39" s="31" t="s">
        <v>1076</v>
      </c>
      <c r="GT39" s="31" t="s">
        <v>1079</v>
      </c>
      <c r="GU39" s="31" t="s">
        <v>1081</v>
      </c>
      <c r="GV39" s="31" t="s">
        <v>1081</v>
      </c>
      <c r="GW39" s="31" t="s">
        <v>1095</v>
      </c>
      <c r="GX39" s="31" t="s">
        <v>1095</v>
      </c>
      <c r="GY39" s="31" t="s">
        <v>1099</v>
      </c>
      <c r="GZ39" s="31" t="s">
        <v>1099</v>
      </c>
      <c r="HA39" s="31" t="s">
        <v>1099</v>
      </c>
      <c r="HB39" s="31" t="s">
        <v>1110</v>
      </c>
      <c r="HC39" s="31" t="s">
        <v>1114</v>
      </c>
      <c r="HD39" s="31" t="s">
        <v>1114</v>
      </c>
      <c r="HE39" s="31" t="s">
        <v>1125</v>
      </c>
      <c r="HF39" s="31" t="s">
        <v>1130</v>
      </c>
      <c r="HG39" s="31" t="s">
        <v>1135</v>
      </c>
      <c r="HH39" s="31" t="s">
        <v>1136</v>
      </c>
      <c r="HI39" s="31" t="s">
        <v>1144</v>
      </c>
      <c r="HJ39" s="31" t="s">
        <v>1145</v>
      </c>
      <c r="HK39" s="31" t="s">
        <v>1145</v>
      </c>
      <c r="HL39" s="31" t="s">
        <v>1145</v>
      </c>
      <c r="HM39" s="31" t="s">
        <v>1076</v>
      </c>
      <c r="HN39" s="31" t="s">
        <v>1157</v>
      </c>
      <c r="HO39" s="31" t="s">
        <v>1163</v>
      </c>
      <c r="HP39" s="31" t="s">
        <v>1167</v>
      </c>
      <c r="HQ39" s="31" t="s">
        <v>1169</v>
      </c>
      <c r="HR39" s="31" t="s">
        <v>1175</v>
      </c>
      <c r="HS39" s="31" t="s">
        <v>1186</v>
      </c>
      <c r="HT39" s="31" t="s">
        <v>1190</v>
      </c>
      <c r="HU39" s="31" t="s">
        <v>958</v>
      </c>
      <c r="HV39" s="31" t="s">
        <v>958</v>
      </c>
      <c r="HW39" s="31" t="s">
        <v>958</v>
      </c>
      <c r="HX39" s="31" t="s">
        <v>958</v>
      </c>
      <c r="HY39" s="31" t="s">
        <v>1214</v>
      </c>
      <c r="HZ39" s="31" t="s">
        <v>1214</v>
      </c>
      <c r="IA39" s="31" t="s">
        <v>1224</v>
      </c>
      <c r="IB39" s="31" t="s">
        <v>1227</v>
      </c>
      <c r="IC39" s="31" t="s">
        <v>1235</v>
      </c>
      <c r="ID39" s="31" t="s">
        <v>1238</v>
      </c>
      <c r="IE39" s="31" t="s">
        <v>1243</v>
      </c>
      <c r="IF39" s="31" t="s">
        <v>1248</v>
      </c>
      <c r="IG39" s="31" t="s">
        <v>1258</v>
      </c>
      <c r="IH39" s="31" t="s">
        <v>1260</v>
      </c>
      <c r="II39" s="31" t="s">
        <v>1260</v>
      </c>
      <c r="IJ39" s="31" t="s">
        <v>1265</v>
      </c>
      <c r="IK39" s="31" t="s">
        <v>631</v>
      </c>
      <c r="IL39" s="31" t="s">
        <v>631</v>
      </c>
      <c r="IM39" s="31" t="s">
        <v>631</v>
      </c>
      <c r="IN39" s="31" t="s">
        <v>1280</v>
      </c>
      <c r="IO39" s="31" t="s">
        <v>1287</v>
      </c>
      <c r="IP39" s="31" t="s">
        <v>1287</v>
      </c>
      <c r="IQ39" s="31" t="s">
        <v>1294</v>
      </c>
      <c r="IR39" s="31" t="s">
        <v>1298</v>
      </c>
      <c r="IS39" s="31" t="s">
        <v>1298</v>
      </c>
      <c r="IT39" s="31" t="s">
        <v>1298</v>
      </c>
      <c r="IU39" s="31" t="s">
        <v>1294</v>
      </c>
      <c r="IV39" s="31" t="s">
        <v>1309</v>
      </c>
      <c r="IW39" s="31" t="s">
        <v>1312</v>
      </c>
      <c r="IX39" s="31" t="s">
        <v>1316</v>
      </c>
      <c r="IY39" s="31" t="s">
        <v>1320</v>
      </c>
      <c r="IZ39" s="31" t="s">
        <v>1320</v>
      </c>
      <c r="JA39" s="31" t="s">
        <v>3</v>
      </c>
      <c r="JB39" s="31" t="s">
        <v>1327</v>
      </c>
      <c r="JC39" s="31" t="s">
        <v>1332</v>
      </c>
      <c r="JD39" s="31" t="s">
        <v>1339</v>
      </c>
      <c r="JE39" s="31" t="s">
        <v>1339</v>
      </c>
      <c r="JF39" s="31" t="s">
        <v>1339</v>
      </c>
      <c r="JG39" s="31" t="s">
        <v>1339</v>
      </c>
      <c r="JH39" s="31" t="s">
        <v>1350</v>
      </c>
      <c r="JI39" s="31" t="s">
        <v>1350</v>
      </c>
      <c r="JJ39" s="31" t="s">
        <v>1350</v>
      </c>
      <c r="JK39" s="31" t="s">
        <v>1363</v>
      </c>
      <c r="JL39" s="31" t="s">
        <v>1368</v>
      </c>
      <c r="JM39" s="31" t="s">
        <v>1368</v>
      </c>
      <c r="JN39" s="31" t="s">
        <v>1368</v>
      </c>
      <c r="JO39" s="31" t="s">
        <v>1368</v>
      </c>
      <c r="JP39" s="31" t="s">
        <v>1368</v>
      </c>
      <c r="JQ39" s="31" t="s">
        <v>1368</v>
      </c>
      <c r="JR39" s="31" t="s">
        <v>1377</v>
      </c>
      <c r="JS39" s="31" t="s">
        <v>1377</v>
      </c>
      <c r="JT39" s="31" t="s">
        <v>3</v>
      </c>
      <c r="JU39" s="31" t="s">
        <v>625</v>
      </c>
      <c r="JV39" s="31" t="s">
        <v>625</v>
      </c>
      <c r="JW39" s="31" t="s">
        <v>625</v>
      </c>
      <c r="JX39" s="31" t="s">
        <v>1392</v>
      </c>
      <c r="JY39" s="31" t="s">
        <v>1392</v>
      </c>
      <c r="JZ39" s="31" t="s">
        <v>1392</v>
      </c>
      <c r="KA39" s="31" t="s">
        <v>1392</v>
      </c>
      <c r="KB39" s="31" t="s">
        <v>1392</v>
      </c>
      <c r="KC39" s="31" t="s">
        <v>1392</v>
      </c>
      <c r="KD39" s="31" t="s">
        <v>1404</v>
      </c>
      <c r="KE39" s="31" t="s">
        <v>1404</v>
      </c>
      <c r="KF39" s="31" t="s">
        <v>1411</v>
      </c>
      <c r="KG39" s="31" t="s">
        <v>1414</v>
      </c>
      <c r="KH39" s="31" t="s">
        <v>1414</v>
      </c>
      <c r="KI39" s="31" t="s">
        <v>1414</v>
      </c>
      <c r="KJ39" s="31" t="s">
        <v>1414</v>
      </c>
      <c r="KK39" s="31">
        <v>90000</v>
      </c>
      <c r="KL39" s="31">
        <v>90000</v>
      </c>
      <c r="KM39" s="31">
        <v>90000</v>
      </c>
      <c r="KN39" s="31" t="s">
        <v>1426</v>
      </c>
      <c r="KO39" s="31" t="s">
        <v>1427</v>
      </c>
    </row>
    <row r="40" spans="1:301" x14ac:dyDescent="0.25">
      <c r="A40" s="181"/>
      <c r="B40" s="29">
        <v>39</v>
      </c>
      <c r="C40" s="91" t="s">
        <v>547</v>
      </c>
      <c r="Y40" s="31" t="s">
        <v>3</v>
      </c>
      <c r="Z40" s="31" t="s">
        <v>611</v>
      </c>
      <c r="AA40" s="31" t="s">
        <v>611</v>
      </c>
      <c r="AB40" s="31" t="s">
        <v>611</v>
      </c>
      <c r="AC40" s="31" t="s">
        <v>611</v>
      </c>
      <c r="AD40" s="31" t="s">
        <v>612</v>
      </c>
      <c r="AE40" s="31" t="s">
        <v>612</v>
      </c>
      <c r="AF40" s="31" t="s">
        <v>612</v>
      </c>
      <c r="AG40" s="31" t="s">
        <v>613</v>
      </c>
      <c r="AH40" s="31" t="s">
        <v>613</v>
      </c>
      <c r="AI40" s="31" t="s">
        <v>613</v>
      </c>
      <c r="AJ40" s="31" t="s">
        <v>613</v>
      </c>
      <c r="AK40" s="31" t="s">
        <v>614</v>
      </c>
      <c r="AL40" s="31" t="s">
        <v>614</v>
      </c>
      <c r="AM40" s="31" t="s">
        <v>614</v>
      </c>
      <c r="AN40" s="31" t="s">
        <v>614</v>
      </c>
      <c r="AO40" s="31" t="s">
        <v>614</v>
      </c>
      <c r="AP40" s="31" t="s">
        <v>3</v>
      </c>
      <c r="AQ40" s="31" t="s">
        <v>615</v>
      </c>
      <c r="AR40" s="31" t="s">
        <v>615</v>
      </c>
      <c r="AS40" s="31" t="s">
        <v>615</v>
      </c>
      <c r="AT40" s="31" t="s">
        <v>616</v>
      </c>
      <c r="AU40" s="31" t="s">
        <v>616</v>
      </c>
      <c r="AV40" s="31" t="s">
        <v>616</v>
      </c>
      <c r="AW40" s="31" t="s">
        <v>616</v>
      </c>
      <c r="AX40" s="31" t="s">
        <v>617</v>
      </c>
      <c r="AY40" s="31" t="s">
        <v>618</v>
      </c>
      <c r="AZ40" s="31" t="s">
        <v>618</v>
      </c>
      <c r="BA40" s="31" t="s">
        <v>618</v>
      </c>
      <c r="BB40" s="31" t="s">
        <v>618</v>
      </c>
      <c r="BC40" s="31" t="s">
        <v>619</v>
      </c>
      <c r="BD40" s="31" t="s">
        <v>620</v>
      </c>
      <c r="BE40" s="31" t="s">
        <v>620</v>
      </c>
      <c r="BF40" s="31" t="s">
        <v>620</v>
      </c>
      <c r="BG40" s="31" t="s">
        <v>621</v>
      </c>
      <c r="BH40" s="31" t="s">
        <v>622</v>
      </c>
      <c r="BI40" s="31" t="s">
        <v>622</v>
      </c>
      <c r="BJ40" s="31" t="s">
        <v>622</v>
      </c>
      <c r="BK40" s="31" t="s">
        <v>623</v>
      </c>
      <c r="BL40" s="31" t="s">
        <v>623</v>
      </c>
      <c r="BM40" s="31" t="s">
        <v>624</v>
      </c>
      <c r="BN40" s="31" t="s">
        <v>624</v>
      </c>
      <c r="BO40" s="31" t="s">
        <v>624</v>
      </c>
      <c r="BP40" s="31" t="s">
        <v>625</v>
      </c>
      <c r="BQ40" s="31" t="s">
        <v>626</v>
      </c>
      <c r="BR40" s="31" t="s">
        <v>626</v>
      </c>
      <c r="BS40" s="31" t="s">
        <v>626</v>
      </c>
      <c r="BT40" s="31" t="s">
        <v>627</v>
      </c>
      <c r="BU40" s="31" t="s">
        <v>628</v>
      </c>
      <c r="BV40" s="31" t="s">
        <v>629</v>
      </c>
      <c r="BW40" s="31" t="s">
        <v>629</v>
      </c>
      <c r="BX40" s="31" t="s">
        <v>3</v>
      </c>
      <c r="BY40" s="31" t="s">
        <v>630</v>
      </c>
      <c r="BZ40" s="31" t="s">
        <v>630</v>
      </c>
      <c r="CA40" s="31" t="s">
        <v>630</v>
      </c>
      <c r="CB40" s="31" t="s">
        <v>630</v>
      </c>
      <c r="CC40" s="31" t="s">
        <v>630</v>
      </c>
      <c r="CD40" s="31" t="s">
        <v>630</v>
      </c>
      <c r="CE40" s="31" t="s">
        <v>630</v>
      </c>
      <c r="CF40" s="31" t="s">
        <v>631</v>
      </c>
      <c r="CG40" s="31" t="s">
        <v>631</v>
      </c>
      <c r="CH40" s="31" t="s">
        <v>631</v>
      </c>
      <c r="CI40" s="31" t="s">
        <v>631</v>
      </c>
      <c r="CJ40" s="31" t="s">
        <v>631</v>
      </c>
      <c r="CK40" s="31" t="s">
        <v>632</v>
      </c>
      <c r="CL40" s="31" t="s">
        <v>632</v>
      </c>
      <c r="CM40" s="31" t="s">
        <v>633</v>
      </c>
      <c r="CN40" s="31" t="s">
        <v>633</v>
      </c>
      <c r="CO40" s="31" t="s">
        <v>634</v>
      </c>
      <c r="CP40" s="31" t="s">
        <v>633</v>
      </c>
      <c r="CQ40" s="31" t="s">
        <v>635</v>
      </c>
      <c r="CR40" s="31" t="s">
        <v>635</v>
      </c>
      <c r="CS40" s="31" t="s">
        <v>636</v>
      </c>
      <c r="CT40" s="31" t="s">
        <v>637</v>
      </c>
      <c r="CU40" s="31" t="s">
        <v>637</v>
      </c>
      <c r="CV40" s="31" t="s">
        <v>637</v>
      </c>
      <c r="CW40" s="31" t="s">
        <v>637</v>
      </c>
      <c r="CX40" s="31" t="s">
        <v>638</v>
      </c>
      <c r="CY40" s="31" t="s">
        <v>638</v>
      </c>
      <c r="CZ40" s="31" t="s">
        <v>638</v>
      </c>
      <c r="DA40" s="31" t="s">
        <v>638</v>
      </c>
      <c r="DB40" s="31" t="s">
        <v>639</v>
      </c>
      <c r="DC40" s="31" t="s">
        <v>640</v>
      </c>
      <c r="DD40" s="131" t="s">
        <v>640</v>
      </c>
      <c r="DE40" s="131" t="s">
        <v>640</v>
      </c>
      <c r="DF40" s="131" t="s">
        <v>641</v>
      </c>
      <c r="DG40" s="131" t="s">
        <v>641</v>
      </c>
      <c r="DH40" s="131" t="s">
        <v>719</v>
      </c>
      <c r="DI40" s="131" t="s">
        <v>719</v>
      </c>
      <c r="DJ40" s="131" t="s">
        <v>719</v>
      </c>
      <c r="DK40" s="131" t="s">
        <v>720</v>
      </c>
      <c r="DL40" s="131" t="s">
        <v>720</v>
      </c>
      <c r="DM40" s="131" t="s">
        <v>720</v>
      </c>
      <c r="DN40" s="131" t="s">
        <v>720</v>
      </c>
      <c r="DO40" s="131" t="s">
        <v>726</v>
      </c>
      <c r="DP40" s="131" t="s">
        <v>726</v>
      </c>
      <c r="DQ40" s="131" t="s">
        <v>726</v>
      </c>
      <c r="DR40" s="131" t="s">
        <v>726</v>
      </c>
      <c r="DS40" s="131" t="s">
        <v>756</v>
      </c>
      <c r="DT40" s="131" t="s">
        <v>758</v>
      </c>
      <c r="DU40" s="131" t="s">
        <v>758</v>
      </c>
      <c r="DV40" s="131" t="s">
        <v>766</v>
      </c>
      <c r="DW40" s="131" t="s">
        <v>770</v>
      </c>
      <c r="DX40" s="131" t="s">
        <v>777</v>
      </c>
      <c r="DY40" s="131" t="s">
        <v>777</v>
      </c>
      <c r="DZ40" s="131" t="s">
        <v>777</v>
      </c>
      <c r="EA40" s="131" t="s">
        <v>792</v>
      </c>
      <c r="EB40" s="131" t="s">
        <v>792</v>
      </c>
      <c r="EC40" s="131" t="s">
        <v>803</v>
      </c>
      <c r="ED40" s="131" t="s">
        <v>803</v>
      </c>
      <c r="EE40" s="131" t="s">
        <v>715</v>
      </c>
      <c r="EF40" s="131" t="s">
        <v>715</v>
      </c>
      <c r="EG40" s="131" t="s">
        <v>715</v>
      </c>
      <c r="EH40" s="131" t="s">
        <v>715</v>
      </c>
      <c r="EI40" s="131" t="s">
        <v>715</v>
      </c>
      <c r="EJ40" s="131" t="s">
        <v>833</v>
      </c>
      <c r="EK40" s="131" t="s">
        <v>833</v>
      </c>
      <c r="EL40" s="131" t="s">
        <v>833</v>
      </c>
      <c r="EM40" s="131" t="s">
        <v>841</v>
      </c>
      <c r="EN40" s="131" t="s">
        <v>851</v>
      </c>
      <c r="EO40" s="131" t="s">
        <v>856</v>
      </c>
      <c r="EP40" s="131" t="s">
        <v>856</v>
      </c>
      <c r="EQ40" s="131" t="s">
        <v>856</v>
      </c>
      <c r="ER40" s="31" t="s">
        <v>3</v>
      </c>
      <c r="ES40" s="31" t="s">
        <v>881</v>
      </c>
      <c r="ET40" s="31" t="s">
        <v>881</v>
      </c>
      <c r="EU40" s="31" t="s">
        <v>881</v>
      </c>
      <c r="EV40" s="31" t="s">
        <v>896</v>
      </c>
      <c r="EW40" s="31" t="s">
        <v>896</v>
      </c>
      <c r="EX40" s="31" t="s">
        <v>910</v>
      </c>
      <c r="EY40" s="31" t="s">
        <v>910</v>
      </c>
      <c r="EZ40" s="31" t="s">
        <v>896</v>
      </c>
      <c r="FA40" s="31" t="s">
        <v>896</v>
      </c>
      <c r="FB40" s="31" t="s">
        <v>714</v>
      </c>
      <c r="FC40" s="31" t="s">
        <v>714</v>
      </c>
      <c r="FD40" s="31" t="s">
        <v>928</v>
      </c>
      <c r="FE40" s="31" t="s">
        <v>928</v>
      </c>
      <c r="FF40" s="31" t="s">
        <v>928</v>
      </c>
      <c r="FG40" s="31" t="s">
        <v>942</v>
      </c>
      <c r="FH40" s="31" t="s">
        <v>944</v>
      </c>
      <c r="FI40" s="31" t="s">
        <v>944</v>
      </c>
      <c r="FJ40" s="31" t="s">
        <v>947</v>
      </c>
      <c r="FK40" s="31" t="s">
        <v>947</v>
      </c>
      <c r="FL40" s="31" t="s">
        <v>957</v>
      </c>
      <c r="FM40" s="31" t="s">
        <v>957</v>
      </c>
      <c r="FN40" s="31" t="s">
        <v>957</v>
      </c>
      <c r="FO40" s="31" t="s">
        <v>970</v>
      </c>
      <c r="FP40" s="31" t="s">
        <v>974</v>
      </c>
      <c r="FQ40" s="31" t="s">
        <v>977</v>
      </c>
      <c r="FR40" s="31" t="s">
        <v>978</v>
      </c>
      <c r="FS40" s="31" t="s">
        <v>983</v>
      </c>
      <c r="FT40" s="31" t="s">
        <v>992</v>
      </c>
      <c r="FU40" s="31" t="s">
        <v>992</v>
      </c>
      <c r="FV40" s="31" t="s">
        <v>992</v>
      </c>
      <c r="FW40" s="31" t="s">
        <v>1004</v>
      </c>
      <c r="FX40" s="31" t="s">
        <v>668</v>
      </c>
      <c r="FY40" s="31" t="s">
        <v>1009</v>
      </c>
      <c r="FZ40" s="31" t="s">
        <v>629</v>
      </c>
      <c r="GA40" s="31" t="s">
        <v>1019</v>
      </c>
      <c r="GB40" s="31" t="s">
        <v>1019</v>
      </c>
      <c r="GC40" s="31" t="s">
        <v>1019</v>
      </c>
      <c r="GD40" s="31" t="s">
        <v>1026</v>
      </c>
      <c r="GE40" s="31" t="s">
        <v>1032</v>
      </c>
      <c r="GF40" s="31" t="s">
        <v>1032</v>
      </c>
      <c r="GG40" s="31" t="s">
        <v>1032</v>
      </c>
      <c r="GH40" s="31" t="s">
        <v>1032</v>
      </c>
      <c r="GI40" s="31" t="s">
        <v>1042</v>
      </c>
      <c r="GJ40" s="31" t="s">
        <v>1045</v>
      </c>
      <c r="GK40" s="31" t="s">
        <v>1047</v>
      </c>
      <c r="GL40" s="31" t="s">
        <v>1049</v>
      </c>
      <c r="GM40" s="31" t="s">
        <v>1056</v>
      </c>
      <c r="GN40" s="31" t="s">
        <v>1062</v>
      </c>
      <c r="GO40" s="31" t="s">
        <v>1062</v>
      </c>
      <c r="GP40" s="31" t="s">
        <v>1062</v>
      </c>
      <c r="GQ40" s="31" t="s">
        <v>1066</v>
      </c>
      <c r="GR40" s="31" t="s">
        <v>1074</v>
      </c>
      <c r="GS40" s="31" t="s">
        <v>1077</v>
      </c>
      <c r="GT40" s="31" t="s">
        <v>1080</v>
      </c>
      <c r="GU40" s="31" t="s">
        <v>1080</v>
      </c>
      <c r="GV40" s="31" t="s">
        <v>1090</v>
      </c>
      <c r="GW40" s="31" t="s">
        <v>1096</v>
      </c>
      <c r="GX40" s="31" t="s">
        <v>1061</v>
      </c>
      <c r="GY40" s="31" t="s">
        <v>1061</v>
      </c>
      <c r="GZ40" s="31" t="s">
        <v>1061</v>
      </c>
      <c r="HA40" s="31" t="s">
        <v>1061</v>
      </c>
      <c r="HB40" s="31" t="s">
        <v>1111</v>
      </c>
      <c r="HC40" s="31" t="s">
        <v>1115</v>
      </c>
      <c r="HD40" s="31" t="s">
        <v>1117</v>
      </c>
      <c r="HE40" s="31" t="s">
        <v>1126</v>
      </c>
      <c r="HF40" s="31" t="s">
        <v>1131</v>
      </c>
      <c r="HG40" s="31" t="s">
        <v>1135</v>
      </c>
      <c r="HH40" s="31" t="s">
        <v>1137</v>
      </c>
      <c r="HI40" s="31" t="s">
        <v>1143</v>
      </c>
      <c r="HJ40" s="31" t="s">
        <v>1096</v>
      </c>
      <c r="HK40" s="31" t="s">
        <v>1096</v>
      </c>
      <c r="HL40" s="31" t="s">
        <v>1148</v>
      </c>
      <c r="HM40" s="31" t="s">
        <v>1149</v>
      </c>
      <c r="HN40" s="31" t="s">
        <v>1158</v>
      </c>
      <c r="HO40" s="31" t="s">
        <v>1164</v>
      </c>
      <c r="HP40" s="31" t="s">
        <v>1168</v>
      </c>
      <c r="HQ40" s="31" t="s">
        <v>1170</v>
      </c>
      <c r="HR40" s="31" t="s">
        <v>1176</v>
      </c>
      <c r="HS40" s="31" t="s">
        <v>1187</v>
      </c>
      <c r="HT40" s="31" t="s">
        <v>631</v>
      </c>
      <c r="HU40" s="31" t="s">
        <v>1197</v>
      </c>
      <c r="HV40" s="31" t="s">
        <v>1197</v>
      </c>
      <c r="HW40" s="31" t="s">
        <v>1203</v>
      </c>
      <c r="HX40" s="31" t="s">
        <v>1204</v>
      </c>
      <c r="HY40" s="31" t="s">
        <v>1215</v>
      </c>
      <c r="HZ40" s="31" t="s">
        <v>1220</v>
      </c>
      <c r="IA40" s="31" t="s">
        <v>1220</v>
      </c>
      <c r="IB40" s="31" t="s">
        <v>1228</v>
      </c>
      <c r="IC40" s="31" t="s">
        <v>1236</v>
      </c>
      <c r="ID40" s="31" t="s">
        <v>1239</v>
      </c>
      <c r="IE40" s="31" t="s">
        <v>1244</v>
      </c>
      <c r="IF40" s="31" t="s">
        <v>1249</v>
      </c>
      <c r="IG40" s="31" t="s">
        <v>1259</v>
      </c>
      <c r="IH40" s="31" t="s">
        <v>1259</v>
      </c>
      <c r="II40" s="31" t="s">
        <v>1262</v>
      </c>
      <c r="IJ40" s="31" t="s">
        <v>1266</v>
      </c>
      <c r="IK40" s="31" t="s">
        <v>1267</v>
      </c>
      <c r="IL40" s="31" t="s">
        <v>1277</v>
      </c>
      <c r="IM40" s="31" t="s">
        <v>1277</v>
      </c>
      <c r="IN40" s="31" t="s">
        <v>1281</v>
      </c>
      <c r="IO40" s="31" t="s">
        <v>1288</v>
      </c>
      <c r="IP40" s="31" t="s">
        <v>1292</v>
      </c>
      <c r="IQ40" s="31" t="s">
        <v>1295</v>
      </c>
      <c r="IR40" s="31" t="s">
        <v>1299</v>
      </c>
      <c r="IS40" s="31" t="s">
        <v>1299</v>
      </c>
      <c r="IT40" s="31" t="s">
        <v>1299</v>
      </c>
      <c r="IU40" s="31" t="s">
        <v>1308</v>
      </c>
      <c r="IV40" s="31" t="s">
        <v>1310</v>
      </c>
      <c r="IW40" s="31" t="s">
        <v>1313</v>
      </c>
      <c r="IX40" s="31" t="s">
        <v>1317</v>
      </c>
      <c r="IY40" s="31" t="s">
        <v>1321</v>
      </c>
      <c r="IZ40" s="31" t="s">
        <v>1323</v>
      </c>
      <c r="JA40" s="31" t="s">
        <v>1325</v>
      </c>
      <c r="JB40" s="31" t="s">
        <v>1328</v>
      </c>
      <c r="JC40" s="31" t="s">
        <v>1333</v>
      </c>
      <c r="JD40" s="31" t="s">
        <v>1340</v>
      </c>
      <c r="JE40" s="31" t="s">
        <v>618</v>
      </c>
      <c r="JF40" s="31" t="s">
        <v>618</v>
      </c>
      <c r="JG40" s="31" t="s">
        <v>1347</v>
      </c>
      <c r="JH40" s="31" t="s">
        <v>1351</v>
      </c>
      <c r="JI40" s="31" t="s">
        <v>1351</v>
      </c>
      <c r="JJ40" s="31" t="s">
        <v>1361</v>
      </c>
      <c r="JK40" s="31" t="s">
        <v>1364</v>
      </c>
      <c r="JL40" s="31" t="s">
        <v>1369</v>
      </c>
      <c r="JM40" s="31" t="s">
        <v>1186</v>
      </c>
      <c r="JN40" s="31" t="s">
        <v>1371</v>
      </c>
      <c r="JO40" s="31" t="s">
        <v>1373</v>
      </c>
      <c r="JP40" s="31" t="s">
        <v>909</v>
      </c>
      <c r="JQ40" s="31" t="s">
        <v>1376</v>
      </c>
      <c r="JR40" s="31" t="s">
        <v>1378</v>
      </c>
      <c r="JS40" s="31" t="s">
        <v>1380</v>
      </c>
      <c r="JT40" s="31" t="s">
        <v>3</v>
      </c>
      <c r="JU40" s="31" t="s">
        <v>1386</v>
      </c>
      <c r="JV40" s="31" t="s">
        <v>1388</v>
      </c>
      <c r="JW40" s="31" t="s">
        <v>1388</v>
      </c>
      <c r="JX40" s="31" t="s">
        <v>1393</v>
      </c>
      <c r="JY40" s="31" t="s">
        <v>1395</v>
      </c>
      <c r="JZ40" s="31" t="s">
        <v>1399</v>
      </c>
      <c r="KA40" s="31" t="s">
        <v>1400</v>
      </c>
      <c r="KB40" s="31" t="s">
        <v>1400</v>
      </c>
      <c r="KC40" s="31" t="s">
        <v>1400</v>
      </c>
      <c r="KD40" s="31" t="s">
        <v>1405</v>
      </c>
      <c r="KE40" s="31" t="s">
        <v>1405</v>
      </c>
      <c r="KF40" s="31" t="s">
        <v>1405</v>
      </c>
      <c r="KG40" s="31" t="s">
        <v>1405</v>
      </c>
      <c r="KH40" s="31" t="s">
        <v>1415</v>
      </c>
      <c r="KI40" s="31" t="s">
        <v>1418</v>
      </c>
      <c r="KJ40" s="31" t="s">
        <v>1419</v>
      </c>
      <c r="KK40" s="31" t="s">
        <v>1422</v>
      </c>
      <c r="KL40" s="31" t="s">
        <v>1422</v>
      </c>
      <c r="KM40" s="31" t="s">
        <v>1422</v>
      </c>
      <c r="KN40" s="31" t="s">
        <v>1422</v>
      </c>
      <c r="KO40" s="31" t="s">
        <v>1422</v>
      </c>
    </row>
    <row r="41" spans="1:301" x14ac:dyDescent="0.25">
      <c r="B41" s="29">
        <v>40</v>
      </c>
      <c r="C41" s="128" t="s">
        <v>14</v>
      </c>
      <c r="D41">
        <v>0.84</v>
      </c>
      <c r="E41">
        <v>0.85</v>
      </c>
      <c r="F41">
        <v>0.84</v>
      </c>
      <c r="G41">
        <v>0.85</v>
      </c>
      <c r="H41">
        <v>0.84</v>
      </c>
      <c r="I41">
        <v>0.85</v>
      </c>
      <c r="J41">
        <v>0.84</v>
      </c>
      <c r="K41">
        <v>0.86</v>
      </c>
      <c r="L41">
        <v>0.85</v>
      </c>
      <c r="M41">
        <v>0.85</v>
      </c>
      <c r="N41">
        <v>0.85</v>
      </c>
      <c r="O41">
        <v>0.85</v>
      </c>
      <c r="P41">
        <v>0.86</v>
      </c>
      <c r="Q41">
        <v>0.85</v>
      </c>
      <c r="R41">
        <v>0.85</v>
      </c>
      <c r="S41">
        <v>0.84</v>
      </c>
      <c r="T41">
        <v>0.84</v>
      </c>
      <c r="U41">
        <v>0.82</v>
      </c>
      <c r="V41">
        <v>0.83</v>
      </c>
      <c r="W41">
        <v>0.82</v>
      </c>
      <c r="X41">
        <v>0.82</v>
      </c>
      <c r="Y41">
        <v>0.82</v>
      </c>
      <c r="Z41">
        <v>0.82</v>
      </c>
      <c r="AA41">
        <v>0.82</v>
      </c>
      <c r="AB41">
        <v>0.82</v>
      </c>
      <c r="AC41">
        <v>0.83</v>
      </c>
      <c r="AD41">
        <v>0.83</v>
      </c>
      <c r="AE41">
        <v>0.83</v>
      </c>
      <c r="AF41">
        <v>0.82</v>
      </c>
      <c r="AG41">
        <v>0.83</v>
      </c>
      <c r="AH41">
        <v>0.84</v>
      </c>
      <c r="AI41">
        <v>0.84</v>
      </c>
      <c r="AJ41">
        <v>0.85</v>
      </c>
      <c r="AK41">
        <v>0.85</v>
      </c>
      <c r="AL41">
        <v>0.84</v>
      </c>
      <c r="AM41">
        <v>0.83</v>
      </c>
      <c r="AN41">
        <v>0.83</v>
      </c>
      <c r="AO41">
        <v>0.83</v>
      </c>
      <c r="AP41">
        <v>0.83</v>
      </c>
      <c r="AQ41">
        <v>0.83</v>
      </c>
      <c r="AR41">
        <v>0.82</v>
      </c>
      <c r="AS41">
        <v>0.82</v>
      </c>
      <c r="AT41">
        <v>0.82</v>
      </c>
      <c r="AU41">
        <v>0.82</v>
      </c>
      <c r="AV41">
        <v>0.84</v>
      </c>
      <c r="AW41">
        <v>0.84</v>
      </c>
      <c r="AX41">
        <v>0.84</v>
      </c>
      <c r="AY41">
        <v>0.85</v>
      </c>
      <c r="AZ41">
        <v>0.85</v>
      </c>
      <c r="BA41">
        <v>0.85</v>
      </c>
      <c r="BB41">
        <v>0.84</v>
      </c>
      <c r="BC41">
        <v>0.84</v>
      </c>
      <c r="BD41">
        <v>0.85</v>
      </c>
      <c r="BE41">
        <v>0.86</v>
      </c>
      <c r="BF41">
        <v>0.85</v>
      </c>
      <c r="BG41">
        <v>0.84</v>
      </c>
      <c r="BH41">
        <v>0.84</v>
      </c>
      <c r="BI41">
        <v>0.85</v>
      </c>
      <c r="BJ41">
        <v>0.85</v>
      </c>
      <c r="BK41">
        <v>0.86</v>
      </c>
      <c r="BL41">
        <v>0.87</v>
      </c>
      <c r="BM41">
        <v>0.86</v>
      </c>
      <c r="BN41">
        <v>0.86</v>
      </c>
      <c r="BO41">
        <v>0.86</v>
      </c>
      <c r="BP41">
        <v>0.87</v>
      </c>
      <c r="BQ41">
        <v>0.87</v>
      </c>
      <c r="BR41">
        <v>0.88</v>
      </c>
      <c r="BS41">
        <v>0.89</v>
      </c>
      <c r="BT41">
        <v>0.88</v>
      </c>
      <c r="BU41">
        <v>0.88</v>
      </c>
      <c r="BV41">
        <v>0.88</v>
      </c>
      <c r="BW41">
        <v>0.88</v>
      </c>
      <c r="BX41">
        <v>0.88</v>
      </c>
      <c r="BY41">
        <v>0.87</v>
      </c>
      <c r="BZ41">
        <v>0.88</v>
      </c>
      <c r="CA41">
        <v>0.89</v>
      </c>
      <c r="CB41">
        <v>0.89</v>
      </c>
      <c r="CC41">
        <v>0.87</v>
      </c>
      <c r="CD41">
        <v>0.88</v>
      </c>
      <c r="CE41">
        <v>0.89</v>
      </c>
      <c r="CF41">
        <v>0.9</v>
      </c>
      <c r="CG41">
        <v>0.91</v>
      </c>
      <c r="CH41">
        <v>0.9</v>
      </c>
      <c r="CI41">
        <v>0.91</v>
      </c>
      <c r="CJ41">
        <v>0.9</v>
      </c>
      <c r="CK41">
        <v>0.92</v>
      </c>
      <c r="CL41">
        <v>0.92</v>
      </c>
      <c r="CM41">
        <v>0.92</v>
      </c>
      <c r="CN41">
        <v>0.95</v>
      </c>
      <c r="CO41">
        <v>0.94</v>
      </c>
      <c r="CP41">
        <v>0.96</v>
      </c>
      <c r="CQ41">
        <v>0.95</v>
      </c>
      <c r="CR41">
        <v>0.94</v>
      </c>
      <c r="CS41">
        <v>0.93</v>
      </c>
      <c r="CT41">
        <v>0.93</v>
      </c>
      <c r="CU41">
        <v>0.96</v>
      </c>
      <c r="CV41">
        <v>0.95</v>
      </c>
      <c r="CW41">
        <v>0.96</v>
      </c>
      <c r="CX41">
        <v>0.98</v>
      </c>
      <c r="CY41">
        <v>1</v>
      </c>
      <c r="CZ41">
        <v>0.98</v>
      </c>
      <c r="DA41">
        <v>0.99</v>
      </c>
      <c r="DB41">
        <v>0.98</v>
      </c>
      <c r="DC41">
        <v>0.97</v>
      </c>
      <c r="DD41">
        <v>0.98</v>
      </c>
      <c r="DE41">
        <v>1</v>
      </c>
      <c r="DF41">
        <v>1</v>
      </c>
      <c r="DG41">
        <v>1</v>
      </c>
      <c r="DH41">
        <v>1</v>
      </c>
      <c r="DI41">
        <v>1.02</v>
      </c>
      <c r="DJ41">
        <v>1.02</v>
      </c>
      <c r="DK41">
        <v>1.02</v>
      </c>
      <c r="DL41">
        <v>1.03</v>
      </c>
      <c r="DM41">
        <v>1.02</v>
      </c>
      <c r="DN41">
        <v>1</v>
      </c>
      <c r="DO41">
        <v>1.03</v>
      </c>
      <c r="DP41">
        <v>0.98</v>
      </c>
      <c r="DQ41">
        <v>0.96</v>
      </c>
      <c r="DR41">
        <v>0.96</v>
      </c>
      <c r="DS41">
        <v>0.96</v>
      </c>
      <c r="DT41">
        <v>0.95</v>
      </c>
      <c r="DU41">
        <v>0.94</v>
      </c>
      <c r="DV41">
        <v>0.94</v>
      </c>
      <c r="DW41">
        <v>0.95</v>
      </c>
      <c r="DX41">
        <v>0.93</v>
      </c>
      <c r="DY41">
        <v>0.92</v>
      </c>
      <c r="DZ41">
        <v>0.92</v>
      </c>
      <c r="EA41">
        <v>0.91</v>
      </c>
      <c r="EB41">
        <v>0.93</v>
      </c>
      <c r="EC41">
        <v>0.93</v>
      </c>
      <c r="ED41">
        <v>0.94</v>
      </c>
      <c r="EE41">
        <v>0.94</v>
      </c>
      <c r="EF41">
        <v>0.95</v>
      </c>
      <c r="EG41">
        <v>0.94</v>
      </c>
      <c r="EH41">
        <v>0.92</v>
      </c>
      <c r="EI41">
        <v>0.92</v>
      </c>
      <c r="EJ41">
        <v>0.92</v>
      </c>
      <c r="EK41">
        <v>0.91</v>
      </c>
      <c r="EL41">
        <v>0.91</v>
      </c>
      <c r="EM41">
        <v>0.9</v>
      </c>
      <c r="EN41">
        <v>0.9</v>
      </c>
      <c r="EO41">
        <v>0.91</v>
      </c>
      <c r="EP41">
        <v>0.92</v>
      </c>
      <c r="EQ41">
        <v>0.93</v>
      </c>
      <c r="ER41">
        <v>0.93</v>
      </c>
      <c r="ES41">
        <v>0.93</v>
      </c>
      <c r="ET41">
        <v>0.92</v>
      </c>
      <c r="EU41">
        <v>0.91</v>
      </c>
      <c r="EV41">
        <v>0.91</v>
      </c>
      <c r="EW41">
        <v>0.92</v>
      </c>
      <c r="EX41">
        <v>0.89</v>
      </c>
      <c r="EY41">
        <v>0.89</v>
      </c>
      <c r="EZ41">
        <v>0.9</v>
      </c>
      <c r="FA41">
        <v>0.91</v>
      </c>
      <c r="FB41">
        <v>0.91</v>
      </c>
      <c r="FC41" s="41">
        <v>0.92</v>
      </c>
      <c r="FD41">
        <v>0.92</v>
      </c>
      <c r="FE41">
        <v>0.92</v>
      </c>
      <c r="FF41">
        <v>0.93</v>
      </c>
      <c r="FG41">
        <v>0.93</v>
      </c>
      <c r="FH41">
        <v>0.94</v>
      </c>
      <c r="FI41">
        <v>0.95</v>
      </c>
      <c r="FJ41">
        <v>0.95</v>
      </c>
      <c r="FK41">
        <v>0.94</v>
      </c>
      <c r="FL41">
        <v>0.95</v>
      </c>
      <c r="FM41">
        <v>0.95</v>
      </c>
      <c r="FN41">
        <v>0.94</v>
      </c>
      <c r="FO41">
        <v>0.93</v>
      </c>
      <c r="FP41">
        <v>0.92</v>
      </c>
      <c r="FQ41">
        <v>0.92</v>
      </c>
      <c r="FR41">
        <v>0.91</v>
      </c>
      <c r="FS41">
        <v>0.93</v>
      </c>
      <c r="FT41">
        <v>0.92</v>
      </c>
      <c r="FU41">
        <v>0.91</v>
      </c>
      <c r="FV41">
        <v>0.91</v>
      </c>
      <c r="FW41">
        <v>0.91</v>
      </c>
      <c r="FX41">
        <v>0.92</v>
      </c>
      <c r="FY41" s="41">
        <v>0.92</v>
      </c>
      <c r="FZ41">
        <v>0.93</v>
      </c>
      <c r="GA41">
        <v>0.93</v>
      </c>
      <c r="GB41">
        <v>0.93</v>
      </c>
      <c r="GC41">
        <v>0.92</v>
      </c>
      <c r="GD41">
        <v>0.92</v>
      </c>
      <c r="GE41">
        <v>0.92</v>
      </c>
      <c r="GF41">
        <v>0.92</v>
      </c>
      <c r="GG41">
        <v>0.92</v>
      </c>
      <c r="GH41">
        <v>0.93</v>
      </c>
      <c r="GI41">
        <v>0.92</v>
      </c>
      <c r="GJ41" s="41">
        <v>0.93</v>
      </c>
      <c r="GK41" s="41">
        <v>0.94</v>
      </c>
      <c r="GL41" s="41">
        <v>0.93</v>
      </c>
      <c r="GM41" s="41">
        <v>0.93</v>
      </c>
      <c r="GN41" s="41">
        <v>0.93</v>
      </c>
      <c r="GO41" s="41">
        <v>0.92</v>
      </c>
      <c r="GP41" s="41">
        <v>0.92</v>
      </c>
      <c r="GQ41" s="41">
        <v>0.92</v>
      </c>
      <c r="GR41" s="41">
        <v>0.92</v>
      </c>
      <c r="GS41" s="41">
        <v>0.93</v>
      </c>
      <c r="GT41" s="41">
        <v>0.93</v>
      </c>
      <c r="GU41" s="41">
        <v>0.93</v>
      </c>
      <c r="GV41" s="41">
        <v>0.93</v>
      </c>
      <c r="GW41" s="41">
        <v>0.92</v>
      </c>
      <c r="GX41" s="41">
        <v>0.91</v>
      </c>
      <c r="GY41" s="41">
        <v>0.92</v>
      </c>
      <c r="GZ41" s="41">
        <v>0.93</v>
      </c>
      <c r="HA41" s="41">
        <v>0.92</v>
      </c>
      <c r="HB41" s="41">
        <v>0.91</v>
      </c>
      <c r="HC41" s="41">
        <v>0.9</v>
      </c>
      <c r="HD41" s="41">
        <v>0.9</v>
      </c>
      <c r="HE41" s="41">
        <v>0.9</v>
      </c>
      <c r="HF41" s="41">
        <v>0.91</v>
      </c>
      <c r="HG41" s="41">
        <v>0.9</v>
      </c>
      <c r="HH41" s="41">
        <v>0.9</v>
      </c>
      <c r="HI41" s="41">
        <v>0.91</v>
      </c>
      <c r="HJ41" s="41">
        <v>0.91</v>
      </c>
      <c r="HK41" s="41">
        <v>0.92</v>
      </c>
      <c r="HL41" s="41">
        <v>0.93</v>
      </c>
      <c r="HM41" s="41">
        <v>0.92</v>
      </c>
      <c r="HN41" s="41">
        <v>0.93</v>
      </c>
      <c r="HO41" s="41">
        <v>0.95</v>
      </c>
      <c r="HP41" s="41">
        <v>0.95</v>
      </c>
      <c r="HQ41" s="41">
        <v>0.95</v>
      </c>
      <c r="HR41" s="41">
        <v>0.95</v>
      </c>
      <c r="HS41" s="41">
        <v>0.95</v>
      </c>
      <c r="HT41" s="41">
        <v>0.96</v>
      </c>
      <c r="HU41" s="41">
        <v>0.97</v>
      </c>
      <c r="HV41" s="41">
        <v>0.97</v>
      </c>
      <c r="HW41" s="41">
        <v>0.96</v>
      </c>
      <c r="HX41" s="41">
        <v>0.96</v>
      </c>
      <c r="HY41" s="41">
        <v>0.96</v>
      </c>
      <c r="HZ41" s="41">
        <v>0.96</v>
      </c>
      <c r="IA41" s="41">
        <v>0.96</v>
      </c>
      <c r="IB41" s="41">
        <v>0.95</v>
      </c>
      <c r="IC41" s="41">
        <v>0.93</v>
      </c>
      <c r="ID41" s="41">
        <v>0.92</v>
      </c>
      <c r="IE41" s="41">
        <v>0.92</v>
      </c>
      <c r="IF41" s="41">
        <v>0.93</v>
      </c>
      <c r="IG41" s="41">
        <v>0.9</v>
      </c>
      <c r="IH41" s="41">
        <v>0.9</v>
      </c>
      <c r="II41" s="41">
        <v>0.88</v>
      </c>
      <c r="IJ41" s="41">
        <v>0.88</v>
      </c>
      <c r="IK41" s="41">
        <v>0.88</v>
      </c>
      <c r="IL41" s="41">
        <v>0.89</v>
      </c>
      <c r="IM41" s="41">
        <v>0.89</v>
      </c>
      <c r="IN41" s="41">
        <v>0.88</v>
      </c>
      <c r="IO41" s="41">
        <v>0.89</v>
      </c>
      <c r="IP41" s="41">
        <v>0.88</v>
      </c>
      <c r="IQ41" s="41">
        <v>0.87</v>
      </c>
      <c r="IR41" s="41">
        <v>0.87</v>
      </c>
      <c r="IS41" s="41">
        <v>0.85</v>
      </c>
      <c r="IT41" s="41">
        <v>0.85</v>
      </c>
      <c r="IU41" s="41">
        <v>0.85</v>
      </c>
      <c r="IV41" s="41">
        <v>0.86</v>
      </c>
      <c r="IW41" s="41">
        <v>0.85</v>
      </c>
      <c r="IX41" s="41">
        <v>0.87</v>
      </c>
      <c r="IY41" s="41">
        <v>0.86</v>
      </c>
      <c r="IZ41" s="41">
        <v>0.86</v>
      </c>
      <c r="JA41" s="41">
        <v>0.86</v>
      </c>
      <c r="JB41" s="41">
        <v>0.86</v>
      </c>
      <c r="JC41" s="41">
        <v>0.86</v>
      </c>
      <c r="JD41" s="41">
        <v>0.86</v>
      </c>
      <c r="JE41" s="41">
        <v>0.84</v>
      </c>
      <c r="JF41" s="41">
        <v>0.85</v>
      </c>
      <c r="JG41" s="41">
        <v>0.85</v>
      </c>
      <c r="JH41" s="41">
        <v>0.86</v>
      </c>
      <c r="JI41" s="41">
        <v>0.86</v>
      </c>
      <c r="JJ41" s="41">
        <v>0.86</v>
      </c>
      <c r="JK41" s="41">
        <v>0.86</v>
      </c>
      <c r="JL41" s="41">
        <v>0.87</v>
      </c>
      <c r="JM41" s="41">
        <v>0.86</v>
      </c>
      <c r="JN41" s="41">
        <v>0.87</v>
      </c>
      <c r="JO41" s="41">
        <v>0.86</v>
      </c>
      <c r="JP41" s="41">
        <v>0.86</v>
      </c>
      <c r="JQ41" s="41">
        <v>0.85</v>
      </c>
      <c r="JR41" s="41">
        <v>0.85</v>
      </c>
      <c r="JS41" s="41">
        <v>0.85</v>
      </c>
      <c r="JT41" s="41">
        <v>0.86</v>
      </c>
      <c r="JU41" s="41">
        <v>0.86</v>
      </c>
      <c r="JV41" s="41">
        <v>0.86</v>
      </c>
      <c r="JW41" s="41">
        <v>0.84</v>
      </c>
      <c r="JX41" s="41">
        <v>0.85</v>
      </c>
      <c r="JY41" s="41">
        <v>0.84</v>
      </c>
      <c r="JZ41" s="41">
        <v>0.85</v>
      </c>
      <c r="KA41" s="41">
        <v>0.85</v>
      </c>
      <c r="KB41" s="41">
        <v>0.86</v>
      </c>
      <c r="KC41" s="41">
        <v>0.87</v>
      </c>
      <c r="KD41" s="41">
        <v>0.87</v>
      </c>
      <c r="KE41" s="41">
        <v>0.87</v>
      </c>
      <c r="KF41" s="41">
        <v>0.87</v>
      </c>
      <c r="KG41" s="41">
        <v>0.86</v>
      </c>
      <c r="KH41" s="41">
        <v>0.85</v>
      </c>
      <c r="KI41" s="41">
        <v>0.85</v>
      </c>
      <c r="KJ41" s="41">
        <v>0.85</v>
      </c>
      <c r="KK41" s="41">
        <v>0.85</v>
      </c>
      <c r="KL41" s="41">
        <v>0.85</v>
      </c>
      <c r="KM41" s="41">
        <v>0.86</v>
      </c>
      <c r="KN41" s="41">
        <v>0.86</v>
      </c>
      <c r="KO41" s="41">
        <v>0.86</v>
      </c>
    </row>
    <row r="42" spans="1:301" x14ac:dyDescent="0.25"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301" x14ac:dyDescent="0.25"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spans="1:301" x14ac:dyDescent="0.25"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301" x14ac:dyDescent="0.25"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spans="1:301" x14ac:dyDescent="0.25"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</sheetData>
  <mergeCells count="5">
    <mergeCell ref="A17:A26"/>
    <mergeCell ref="A28:A33"/>
    <mergeCell ref="A3:A4"/>
    <mergeCell ref="A5:A15"/>
    <mergeCell ref="A34:A40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K42"/>
  <sheetViews>
    <sheetView topLeftCell="B1" zoomScaleNormal="100" workbookViewId="0">
      <selection activeCell="E3" sqref="E3"/>
    </sheetView>
  </sheetViews>
  <sheetFormatPr defaultRowHeight="15" x14ac:dyDescent="0.25"/>
  <cols>
    <col min="3" max="3" width="29.28515625" bestFit="1" customWidth="1"/>
    <col min="4" max="4" width="15" customWidth="1"/>
    <col min="5" max="5" width="16.7109375" customWidth="1"/>
    <col min="14" max="14" width="9.140625" customWidth="1"/>
    <col min="15" max="15" width="10.140625" customWidth="1"/>
    <col min="16" max="16" width="9.28515625" bestFit="1" customWidth="1"/>
    <col min="28" max="28" width="9.85546875" bestFit="1" customWidth="1"/>
  </cols>
  <sheetData>
    <row r="1" spans="1:16365" x14ac:dyDescent="0.25">
      <c r="D1">
        <v>2020</v>
      </c>
      <c r="E1">
        <v>2020</v>
      </c>
      <c r="F1">
        <f>Database!Y1</f>
        <v>2021</v>
      </c>
      <c r="G1">
        <f>Database!Z1</f>
        <v>2021</v>
      </c>
      <c r="H1">
        <f>Database!AA1</f>
        <v>2021</v>
      </c>
      <c r="I1">
        <f>Database!AB1</f>
        <v>2021</v>
      </c>
      <c r="J1">
        <f>Database!AC1</f>
        <v>2021</v>
      </c>
      <c r="K1">
        <f>Database!AD1</f>
        <v>2021</v>
      </c>
      <c r="L1">
        <f>Database!AE1</f>
        <v>2021</v>
      </c>
      <c r="M1">
        <f>Database!AF1</f>
        <v>2021</v>
      </c>
      <c r="N1">
        <f>Database!AG1</f>
        <v>2021</v>
      </c>
      <c r="O1">
        <f>Database!AH1</f>
        <v>2021</v>
      </c>
      <c r="P1">
        <f>Database!AI1</f>
        <v>2021</v>
      </c>
      <c r="Q1">
        <f>Database!AJ1</f>
        <v>2021</v>
      </c>
      <c r="R1">
        <f>Database!AK1</f>
        <v>2021</v>
      </c>
      <c r="S1">
        <f>Database!AL1</f>
        <v>2021</v>
      </c>
      <c r="T1">
        <f>Database!AM1</f>
        <v>2021</v>
      </c>
      <c r="U1">
        <f>Database!AN1</f>
        <v>2021</v>
      </c>
      <c r="V1">
        <f>Database!AO1</f>
        <v>2021</v>
      </c>
      <c r="W1">
        <f>Database!AP1</f>
        <v>2021</v>
      </c>
      <c r="X1">
        <f>Database!AQ1</f>
        <v>2021</v>
      </c>
      <c r="Y1">
        <f>Database!AR1</f>
        <v>2021</v>
      </c>
      <c r="Z1">
        <f>Database!AS1</f>
        <v>2021</v>
      </c>
      <c r="AA1">
        <f>Database!AT1</f>
        <v>2021</v>
      </c>
      <c r="AB1">
        <f>Database!AU1</f>
        <v>2021</v>
      </c>
      <c r="AC1">
        <f>Database!AV1</f>
        <v>2021</v>
      </c>
      <c r="AD1">
        <f>Database!AW1</f>
        <v>2021</v>
      </c>
      <c r="AE1">
        <f>Database!AX1</f>
        <v>2021</v>
      </c>
      <c r="AF1">
        <f>Database!AY1</f>
        <v>2021</v>
      </c>
      <c r="AG1">
        <f>Database!AZ1</f>
        <v>2021</v>
      </c>
      <c r="AH1">
        <f>Database!BA1</f>
        <v>2021</v>
      </c>
      <c r="AI1">
        <f>Database!BB1</f>
        <v>2021</v>
      </c>
      <c r="AJ1">
        <f>Database!BC1</f>
        <v>2021</v>
      </c>
      <c r="AK1">
        <f>Database!BD1</f>
        <v>2021</v>
      </c>
      <c r="AL1">
        <f>Database!BE1</f>
        <v>2021</v>
      </c>
      <c r="AM1">
        <f>Database!BF1</f>
        <v>2021</v>
      </c>
      <c r="AN1">
        <f>Database!BG1</f>
        <v>2021</v>
      </c>
      <c r="AO1">
        <f>Database!BH1</f>
        <v>2021</v>
      </c>
      <c r="AP1">
        <f>Database!BI1</f>
        <v>2021</v>
      </c>
      <c r="AQ1">
        <f>Database!BJ1</f>
        <v>2021</v>
      </c>
      <c r="AR1">
        <f>Database!BK1</f>
        <v>2021</v>
      </c>
      <c r="AS1">
        <f>Database!BL1</f>
        <v>2021</v>
      </c>
      <c r="AT1">
        <f>Database!BM1</f>
        <v>2021</v>
      </c>
      <c r="AU1">
        <f>Database!BN1</f>
        <v>2021</v>
      </c>
      <c r="AV1">
        <f>Database!BO1</f>
        <v>2021</v>
      </c>
      <c r="AW1">
        <f>Database!BP1</f>
        <v>2021</v>
      </c>
      <c r="AX1">
        <f>Database!BQ1</f>
        <v>2021</v>
      </c>
      <c r="AY1">
        <f>Database!BR1</f>
        <v>2021</v>
      </c>
      <c r="AZ1">
        <f>Database!BS1</f>
        <v>2021</v>
      </c>
      <c r="BA1">
        <f>Database!BT1</f>
        <v>2021</v>
      </c>
      <c r="BB1">
        <f>Database!BU1</f>
        <v>2021</v>
      </c>
      <c r="BC1">
        <f>Database!BV1</f>
        <v>2021</v>
      </c>
      <c r="BD1">
        <f>Database!BW1</f>
        <v>2021</v>
      </c>
      <c r="BE1">
        <f>Database!BX1</f>
        <v>2022</v>
      </c>
      <c r="BF1">
        <f>Database!BY1</f>
        <v>2022</v>
      </c>
      <c r="BG1">
        <f>Database!BZ1</f>
        <v>2022</v>
      </c>
      <c r="BH1">
        <f>Database!CA1</f>
        <v>2022</v>
      </c>
      <c r="BI1">
        <f>Database!CB1</f>
        <v>2022</v>
      </c>
      <c r="BJ1">
        <f>Database!CC1</f>
        <v>2022</v>
      </c>
      <c r="BK1">
        <f>Database!CD1</f>
        <v>2022</v>
      </c>
      <c r="BL1">
        <f>Database!CE1</f>
        <v>2022</v>
      </c>
      <c r="BM1">
        <f>Database!CF1</f>
        <v>2022</v>
      </c>
      <c r="BN1">
        <f>Database!CG1</f>
        <v>2022</v>
      </c>
      <c r="BO1">
        <f>Database!CH1</f>
        <v>2022</v>
      </c>
      <c r="BP1">
        <f>Database!CI1</f>
        <v>2022</v>
      </c>
      <c r="BQ1">
        <f>Database!CJ1</f>
        <v>2022</v>
      </c>
      <c r="BR1">
        <f>Database!CK1</f>
        <v>2022</v>
      </c>
      <c r="BS1">
        <f>Database!CL1</f>
        <v>2022</v>
      </c>
      <c r="BT1">
        <f>Database!CM1</f>
        <v>2022</v>
      </c>
      <c r="BU1">
        <f>Database!CN1</f>
        <v>2022</v>
      </c>
      <c r="BV1">
        <f>Database!CO1</f>
        <v>2022</v>
      </c>
      <c r="BW1">
        <f>Database!CP1</f>
        <v>2022</v>
      </c>
      <c r="BX1">
        <f>Database!CQ1</f>
        <v>2022</v>
      </c>
      <c r="BY1">
        <f>Database!CR1</f>
        <v>2022</v>
      </c>
      <c r="BZ1">
        <f>Database!CS1</f>
        <v>2022</v>
      </c>
      <c r="CA1">
        <f>Database!CT1</f>
        <v>2022</v>
      </c>
      <c r="CB1">
        <f>Database!CU1</f>
        <v>2022</v>
      </c>
      <c r="CC1">
        <f>Database!CV1</f>
        <v>2022</v>
      </c>
      <c r="CD1">
        <f>Database!CW1</f>
        <v>2022</v>
      </c>
      <c r="CE1">
        <f>Database!CX1</f>
        <v>2022</v>
      </c>
      <c r="CF1">
        <f>Database!CY1</f>
        <v>2022</v>
      </c>
      <c r="CG1">
        <f>Database!CZ1</f>
        <v>2022</v>
      </c>
      <c r="CH1">
        <f>Database!DA1</f>
        <v>2022</v>
      </c>
      <c r="CI1">
        <f>Database!DB1</f>
        <v>2022</v>
      </c>
      <c r="CJ1">
        <f>Database!DC1</f>
        <v>2022</v>
      </c>
      <c r="CK1">
        <f>Database!DD1</f>
        <v>2022</v>
      </c>
      <c r="CL1">
        <f>Database!DE1</f>
        <v>2022</v>
      </c>
      <c r="CM1">
        <f>Database!DF1</f>
        <v>2022</v>
      </c>
      <c r="CN1">
        <f>Database!DG1</f>
        <v>2022</v>
      </c>
      <c r="CO1">
        <f>Database!DH1</f>
        <v>2022</v>
      </c>
      <c r="CP1">
        <f>Database!DI1</f>
        <v>2022</v>
      </c>
      <c r="CQ1">
        <f>Database!DJ1</f>
        <v>2022</v>
      </c>
      <c r="CR1">
        <f>Database!DK1</f>
        <v>2022</v>
      </c>
      <c r="CS1">
        <f>Database!DL1</f>
        <v>2022</v>
      </c>
      <c r="CT1">
        <f>Database!DM1</f>
        <v>2022</v>
      </c>
      <c r="CU1">
        <f>Database!DN1</f>
        <v>2022</v>
      </c>
      <c r="CV1">
        <f>Database!DO1</f>
        <v>2022</v>
      </c>
      <c r="CW1">
        <f>Database!DP1</f>
        <v>2022</v>
      </c>
      <c r="CX1">
        <f>Database!DQ1</f>
        <v>2022</v>
      </c>
      <c r="CY1">
        <f>Database!DR1</f>
        <v>2022</v>
      </c>
      <c r="CZ1">
        <f>Database!DS1</f>
        <v>2022</v>
      </c>
      <c r="DA1">
        <f>Database!DT1</f>
        <v>2022</v>
      </c>
      <c r="DB1">
        <f>Database!DU1</f>
        <v>2022</v>
      </c>
      <c r="DC1">
        <f>Database!DV1</f>
        <v>2022</v>
      </c>
      <c r="DD1">
        <f>Database!DW1</f>
        <v>2023</v>
      </c>
      <c r="DE1">
        <f>Database!DX1</f>
        <v>2023</v>
      </c>
      <c r="DF1">
        <f>Database!DY1</f>
        <v>2023</v>
      </c>
      <c r="DG1">
        <f>Database!DZ1</f>
        <v>2023</v>
      </c>
      <c r="DH1">
        <f>Database!EA1</f>
        <v>2023</v>
      </c>
      <c r="DI1">
        <f>Database!EB1</f>
        <v>2023</v>
      </c>
      <c r="DJ1">
        <f>Database!EC1</f>
        <v>2023</v>
      </c>
      <c r="DK1">
        <f>Database!ED1</f>
        <v>2023</v>
      </c>
      <c r="DL1">
        <f>Database!EE1</f>
        <v>2023</v>
      </c>
      <c r="DM1">
        <f>Database!EF1</f>
        <v>2023</v>
      </c>
      <c r="DN1">
        <f>Database!EG1</f>
        <v>2023</v>
      </c>
      <c r="DO1">
        <f>Database!EH1</f>
        <v>2023</v>
      </c>
      <c r="DP1">
        <f>Database!EI1</f>
        <v>2023</v>
      </c>
      <c r="DQ1">
        <f>Database!EJ1</f>
        <v>2023</v>
      </c>
      <c r="DR1">
        <f>Database!EK1</f>
        <v>2023</v>
      </c>
      <c r="DS1">
        <f>Database!EL1</f>
        <v>2023</v>
      </c>
      <c r="DT1">
        <f>Database!EM1</f>
        <v>2023</v>
      </c>
      <c r="DU1">
        <f>Database!EN1</f>
        <v>2023</v>
      </c>
      <c r="DV1">
        <f>Database!EO1</f>
        <v>2023</v>
      </c>
      <c r="DW1">
        <f>Database!EP1</f>
        <v>2023</v>
      </c>
      <c r="DX1">
        <f>Database!EQ1</f>
        <v>2023</v>
      </c>
      <c r="DY1">
        <f>Database!ER1</f>
        <v>2023</v>
      </c>
      <c r="DZ1">
        <f>Database!ES1</f>
        <v>2023</v>
      </c>
      <c r="EA1">
        <f>Database!ET1</f>
        <v>2023</v>
      </c>
      <c r="EB1">
        <f>Database!EU1</f>
        <v>2023</v>
      </c>
      <c r="EC1">
        <f>Database!EV1</f>
        <v>2023</v>
      </c>
      <c r="ED1">
        <f>Database!EW1</f>
        <v>2023</v>
      </c>
      <c r="EE1">
        <f>Database!EX1</f>
        <v>2023</v>
      </c>
      <c r="EF1">
        <f>Database!EY1</f>
        <v>2023</v>
      </c>
      <c r="EG1">
        <f>Database!EZ1</f>
        <v>2023</v>
      </c>
      <c r="EH1">
        <f>Database!FA1</f>
        <v>2023</v>
      </c>
      <c r="EI1">
        <f>Database!FB1</f>
        <v>2023</v>
      </c>
      <c r="EJ1">
        <f>Database!FC1</f>
        <v>2023</v>
      </c>
      <c r="EK1">
        <f>Database!FD1</f>
        <v>2023</v>
      </c>
      <c r="EL1">
        <f>Database!FE1</f>
        <v>2023</v>
      </c>
      <c r="EM1">
        <f>Database!FF1</f>
        <v>2023</v>
      </c>
      <c r="EN1">
        <f>Database!FG1</f>
        <v>2023</v>
      </c>
      <c r="EO1">
        <f>Database!FH1</f>
        <v>2023</v>
      </c>
      <c r="EP1">
        <f>Database!FI1</f>
        <v>2023</v>
      </c>
      <c r="EQ1">
        <f>Database!FJ1</f>
        <v>2023</v>
      </c>
      <c r="ER1">
        <f>Database!FK1</f>
        <v>2023</v>
      </c>
      <c r="ES1">
        <f>Database!FL1</f>
        <v>2023</v>
      </c>
      <c r="ET1">
        <f>Database!FM1</f>
        <v>2023</v>
      </c>
      <c r="EU1">
        <f>Database!FN1</f>
        <v>2023</v>
      </c>
      <c r="EV1">
        <f>Database!FO1</f>
        <v>2023</v>
      </c>
      <c r="EW1">
        <f>Database!FP1</f>
        <v>2023</v>
      </c>
      <c r="EX1">
        <f>Database!FQ1</f>
        <v>2023</v>
      </c>
      <c r="EY1">
        <f>Database!FR1</f>
        <v>2023</v>
      </c>
      <c r="EZ1">
        <f>Database!FS1</f>
        <v>2023</v>
      </c>
      <c r="FA1">
        <f>Database!FT1</f>
        <v>2023</v>
      </c>
      <c r="FB1">
        <f>Database!FU1</f>
        <v>2023</v>
      </c>
      <c r="FC1">
        <f>Database!FV1</f>
        <v>2024</v>
      </c>
      <c r="FD1">
        <f>Database!FW1</f>
        <v>2024</v>
      </c>
      <c r="FE1">
        <f>Database!FX1</f>
        <v>2024</v>
      </c>
      <c r="FF1">
        <f>Database!FY1</f>
        <v>2024</v>
      </c>
      <c r="FG1">
        <f>Database!FZ1</f>
        <v>2024</v>
      </c>
      <c r="FH1">
        <f>Database!GA1</f>
        <v>2024</v>
      </c>
      <c r="FI1">
        <f>Database!GB1</f>
        <v>2024</v>
      </c>
      <c r="FJ1">
        <f>Database!GC1</f>
        <v>2024</v>
      </c>
      <c r="FK1">
        <f>Database!GD1</f>
        <v>2024</v>
      </c>
      <c r="FL1">
        <f>Database!GE1</f>
        <v>2024</v>
      </c>
      <c r="FM1">
        <f>Database!GF1</f>
        <v>2024</v>
      </c>
      <c r="FN1">
        <f>Database!GG1</f>
        <v>2024</v>
      </c>
      <c r="FO1">
        <f>Database!GH1</f>
        <v>2024</v>
      </c>
      <c r="FP1">
        <f>Database!GI1</f>
        <v>2024</v>
      </c>
      <c r="FQ1">
        <f>Database!GJ1</f>
        <v>2024</v>
      </c>
      <c r="FR1">
        <f>Database!GK1</f>
        <v>2024</v>
      </c>
      <c r="FS1">
        <f>Database!GL1</f>
        <v>2024</v>
      </c>
      <c r="FT1">
        <f>Database!GM1</f>
        <v>2024</v>
      </c>
      <c r="FU1">
        <f>Database!GN1</f>
        <v>2024</v>
      </c>
      <c r="FV1">
        <f>Database!GO1</f>
        <v>2024</v>
      </c>
      <c r="FW1">
        <f>Database!GP1</f>
        <v>2024</v>
      </c>
      <c r="FX1">
        <f>Database!GQ1</f>
        <v>2024</v>
      </c>
      <c r="FY1">
        <f>Database!GR1</f>
        <v>2024</v>
      </c>
      <c r="FZ1">
        <f>Database!GS1</f>
        <v>2024</v>
      </c>
      <c r="GA1">
        <f>Database!GT1</f>
        <v>2024</v>
      </c>
      <c r="GB1">
        <f>Database!GU1</f>
        <v>2024</v>
      </c>
      <c r="GC1">
        <f>Database!GV1</f>
        <v>2024</v>
      </c>
      <c r="GD1">
        <f>Database!GW1</f>
        <v>2024</v>
      </c>
      <c r="GE1">
        <f>Database!GX1</f>
        <v>2024</v>
      </c>
      <c r="GF1">
        <f>Database!GY1</f>
        <v>2024</v>
      </c>
      <c r="GG1">
        <f>Database!GZ1</f>
        <v>2024</v>
      </c>
      <c r="GH1">
        <f>Database!HA1</f>
        <v>2024</v>
      </c>
      <c r="GI1">
        <f>Database!HB1</f>
        <v>2024</v>
      </c>
      <c r="GJ1">
        <f>Database!HC1</f>
        <v>2024</v>
      </c>
      <c r="GK1">
        <f>Database!HD1</f>
        <v>2024</v>
      </c>
      <c r="GL1">
        <f>Database!HE1</f>
        <v>2024</v>
      </c>
      <c r="GM1">
        <f>Database!HF1</f>
        <v>2024</v>
      </c>
      <c r="GN1">
        <f>Database!HG1</f>
        <v>2024</v>
      </c>
      <c r="GO1">
        <f>Database!HH1</f>
        <v>2024</v>
      </c>
      <c r="GP1">
        <f>Database!HI1</f>
        <v>2024</v>
      </c>
      <c r="GQ1">
        <f>Database!HJ1</f>
        <v>2024</v>
      </c>
      <c r="GR1">
        <f>Database!HK1</f>
        <v>2024</v>
      </c>
      <c r="GS1">
        <f>Database!HL1</f>
        <v>2024</v>
      </c>
      <c r="GT1">
        <f>Database!HM1</f>
        <v>2024</v>
      </c>
      <c r="GU1">
        <f>Database!HN1</f>
        <v>2024</v>
      </c>
      <c r="GV1">
        <f>Database!HO1</f>
        <v>2024</v>
      </c>
      <c r="GW1">
        <f>Database!HP1</f>
        <v>2024</v>
      </c>
      <c r="GX1">
        <f>Database!HQ1</f>
        <v>2024</v>
      </c>
      <c r="GY1">
        <f>Database!HR1</f>
        <v>2024</v>
      </c>
      <c r="GZ1">
        <f>Database!HS1</f>
        <v>2024</v>
      </c>
      <c r="HA1">
        <f>Database!HT1</f>
        <v>2024</v>
      </c>
      <c r="HB1">
        <f>Database!HU1</f>
        <v>2025</v>
      </c>
      <c r="HC1">
        <f>Database!HV1</f>
        <v>2025</v>
      </c>
      <c r="HD1">
        <f>Database!HW1</f>
        <v>2025</v>
      </c>
      <c r="HE1">
        <f>Database!HX1</f>
        <v>2025</v>
      </c>
      <c r="HF1">
        <f>Database!HY1</f>
        <v>2025</v>
      </c>
      <c r="HG1">
        <f>Database!HZ1</f>
        <v>2025</v>
      </c>
      <c r="HH1">
        <f>Database!IA1</f>
        <v>2025</v>
      </c>
      <c r="HI1">
        <f>Database!IB1</f>
        <v>2025</v>
      </c>
      <c r="HJ1">
        <f>Database!IC1</f>
        <v>2025</v>
      </c>
      <c r="HK1">
        <f>Database!ID1</f>
        <v>2025</v>
      </c>
      <c r="HL1">
        <f>Database!IE1</f>
        <v>2025</v>
      </c>
      <c r="HM1">
        <f>Database!IF1</f>
        <v>2025</v>
      </c>
      <c r="HN1">
        <f>Database!IG1</f>
        <v>2025</v>
      </c>
      <c r="HO1">
        <f>Database!IH1</f>
        <v>2025</v>
      </c>
      <c r="HP1">
        <f>Database!II1</f>
        <v>2025</v>
      </c>
      <c r="HQ1">
        <f>Database!IJ1</f>
        <v>2025</v>
      </c>
      <c r="HR1">
        <f>Database!IK1</f>
        <v>2025</v>
      </c>
      <c r="HS1">
        <f>Database!IL1</f>
        <v>2025</v>
      </c>
      <c r="HT1">
        <f>Database!IM1</f>
        <v>2025</v>
      </c>
      <c r="HU1">
        <f>Database!IN1</f>
        <v>2025</v>
      </c>
      <c r="HV1">
        <f>Database!IO1</f>
        <v>2025</v>
      </c>
      <c r="HW1">
        <f>Database!IP1</f>
        <v>2025</v>
      </c>
      <c r="HX1">
        <f>Database!IQ1</f>
        <v>2025</v>
      </c>
      <c r="HY1">
        <f>Database!IR1</f>
        <v>2025</v>
      </c>
      <c r="HZ1">
        <f>Database!IS1</f>
        <v>2025</v>
      </c>
      <c r="IA1">
        <f>Database!IT1</f>
        <v>2025</v>
      </c>
      <c r="IB1">
        <f>Database!IU1</f>
        <v>2025</v>
      </c>
      <c r="IC1">
        <f>Database!IV1</f>
        <v>2025</v>
      </c>
      <c r="ID1">
        <f>Database!IW1</f>
        <v>2025</v>
      </c>
      <c r="IE1">
        <f>Database!IX1</f>
        <v>2025</v>
      </c>
      <c r="IF1">
        <f>Database!IY1</f>
        <v>2025</v>
      </c>
      <c r="IG1">
        <f>Database!IZ1</f>
        <v>2025</v>
      </c>
      <c r="IH1">
        <f>Database!JA1</f>
        <v>2025</v>
      </c>
      <c r="II1">
        <f>Database!JB1</f>
        <v>2025</v>
      </c>
      <c r="IJ1">
        <f>Database!JC1</f>
        <v>2025</v>
      </c>
      <c r="IK1">
        <f>Database!JD1</f>
        <v>2025</v>
      </c>
      <c r="IL1">
        <f>Database!JE1</f>
        <v>2025</v>
      </c>
      <c r="IM1">
        <f>Database!JF1</f>
        <v>2025</v>
      </c>
      <c r="IN1">
        <f>Database!JG1</f>
        <v>2025</v>
      </c>
      <c r="IO1">
        <f>Database!JH1</f>
        <v>2025</v>
      </c>
      <c r="IP1">
        <f>Database!JI1</f>
        <v>2025</v>
      </c>
      <c r="IQ1">
        <f>Database!JJ1</f>
        <v>2025</v>
      </c>
      <c r="IR1">
        <f>Database!JK1</f>
        <v>2025</v>
      </c>
      <c r="IS1">
        <f>Database!JL1</f>
        <v>2025</v>
      </c>
      <c r="IT1">
        <f>Database!JM1</f>
        <v>2025</v>
      </c>
      <c r="IU1">
        <f>Database!JN1</f>
        <v>2025</v>
      </c>
      <c r="IV1">
        <f>Database!JO1</f>
        <v>2025</v>
      </c>
      <c r="IW1">
        <f>Database!JP1</f>
        <v>2025</v>
      </c>
      <c r="IX1">
        <f>Database!JQ1</f>
        <v>2025</v>
      </c>
      <c r="IY1">
        <f>Database!JR1</f>
        <v>2025</v>
      </c>
      <c r="IZ1">
        <f>Database!JS1</f>
        <v>2025</v>
      </c>
      <c r="JA1">
        <f>Database!JT1</f>
        <v>2026</v>
      </c>
      <c r="JB1">
        <f>Database!JU1</f>
        <v>2026</v>
      </c>
      <c r="JC1">
        <f>Database!JV1</f>
        <v>2026</v>
      </c>
      <c r="JD1">
        <f>Database!JW1</f>
        <v>2026</v>
      </c>
      <c r="JE1">
        <f>Database!JX1</f>
        <v>2026</v>
      </c>
      <c r="JF1">
        <f>Database!JY1</f>
        <v>2026</v>
      </c>
      <c r="JG1">
        <f>Database!JZ1</f>
        <v>2026</v>
      </c>
      <c r="JH1">
        <f>Database!KA1</f>
        <v>2026</v>
      </c>
      <c r="JI1">
        <f>Database!KB1</f>
        <v>2026</v>
      </c>
      <c r="JJ1">
        <f>Database!KC1</f>
        <v>2026</v>
      </c>
      <c r="JK1">
        <f>Database!KD1</f>
        <v>2026</v>
      </c>
      <c r="JL1">
        <f>Database!KE1</f>
        <v>2026</v>
      </c>
      <c r="JM1">
        <f>Database!KF1</f>
        <v>2026</v>
      </c>
      <c r="JN1">
        <f>Database!KG1</f>
        <v>2026</v>
      </c>
      <c r="JO1">
        <f>Database!KH1</f>
        <v>2026</v>
      </c>
      <c r="JP1">
        <f>Database!KI1</f>
        <v>2026</v>
      </c>
      <c r="JQ1">
        <f>Database!KJ1</f>
        <v>2026</v>
      </c>
      <c r="JR1">
        <f>Database!KK1</f>
        <v>2026</v>
      </c>
      <c r="JS1">
        <f>Database!KL1</f>
        <v>2026</v>
      </c>
      <c r="JT1">
        <f>Database!KM1</f>
        <v>2026</v>
      </c>
      <c r="JU1">
        <f>Database!KN1</f>
        <v>2026</v>
      </c>
      <c r="JV1">
        <f>Database!KO1</f>
        <v>2026</v>
      </c>
      <c r="JW1">
        <f>Database!KP1</f>
        <v>2026</v>
      </c>
      <c r="JX1">
        <f>Database!KQ1</f>
        <v>2026</v>
      </c>
      <c r="JY1">
        <f>Database!KR1</f>
        <v>2026</v>
      </c>
      <c r="JZ1">
        <f>Database!KS1</f>
        <v>0</v>
      </c>
      <c r="KA1">
        <f>Database!KT1</f>
        <v>0</v>
      </c>
      <c r="KB1">
        <f>Database!KU1</f>
        <v>0</v>
      </c>
      <c r="KC1">
        <f>Database!KV1</f>
        <v>0</v>
      </c>
      <c r="KD1">
        <f>Database!KW1</f>
        <v>0</v>
      </c>
      <c r="KE1">
        <f>Database!KX1</f>
        <v>0</v>
      </c>
      <c r="KF1">
        <f>Database!KY1</f>
        <v>0</v>
      </c>
      <c r="KG1">
        <f>Database!KZ1</f>
        <v>0</v>
      </c>
      <c r="KH1">
        <f>Database!LA1</f>
        <v>0</v>
      </c>
      <c r="KI1">
        <f>Database!LB1</f>
        <v>0</v>
      </c>
      <c r="KJ1">
        <f>Database!LC1</f>
        <v>0</v>
      </c>
      <c r="KK1">
        <f>Database!LD1</f>
        <v>0</v>
      </c>
      <c r="KL1">
        <f>Database!LE1</f>
        <v>0</v>
      </c>
      <c r="KM1">
        <f>Database!LF1</f>
        <v>0</v>
      </c>
      <c r="KN1">
        <f>Database!LG1</f>
        <v>0</v>
      </c>
      <c r="KO1">
        <f>Database!LH1</f>
        <v>0</v>
      </c>
      <c r="KP1">
        <f>Database!LI1</f>
        <v>0</v>
      </c>
      <c r="KQ1">
        <f>Database!LJ1</f>
        <v>0</v>
      </c>
      <c r="KR1">
        <f>Database!LK1</f>
        <v>0</v>
      </c>
      <c r="KS1">
        <f>Database!LL1</f>
        <v>0</v>
      </c>
      <c r="KT1">
        <f>Database!LM1</f>
        <v>0</v>
      </c>
      <c r="KU1">
        <f>Database!LN1</f>
        <v>0</v>
      </c>
      <c r="KV1">
        <f>Database!LO1</f>
        <v>0</v>
      </c>
      <c r="KW1">
        <f>Database!LP1</f>
        <v>0</v>
      </c>
      <c r="KX1">
        <f>Database!LQ1</f>
        <v>0</v>
      </c>
      <c r="KY1">
        <f>Database!LR1</f>
        <v>0</v>
      </c>
      <c r="KZ1">
        <f>Database!LS1</f>
        <v>0</v>
      </c>
      <c r="LA1">
        <f>Database!LT1</f>
        <v>0</v>
      </c>
      <c r="LB1">
        <f>Database!LU1</f>
        <v>0</v>
      </c>
      <c r="LC1">
        <f>Database!LV1</f>
        <v>0</v>
      </c>
      <c r="LD1">
        <f>Database!LW1</f>
        <v>0</v>
      </c>
      <c r="LE1">
        <f>Database!LX1</f>
        <v>0</v>
      </c>
      <c r="LF1">
        <f>Database!LY1</f>
        <v>0</v>
      </c>
      <c r="LG1">
        <f>Database!LZ1</f>
        <v>0</v>
      </c>
      <c r="LH1">
        <f>Database!MA1</f>
        <v>0</v>
      </c>
      <c r="LI1">
        <f>Database!MB1</f>
        <v>0</v>
      </c>
      <c r="LJ1">
        <f>Database!MC1</f>
        <v>0</v>
      </c>
      <c r="LK1">
        <f>Database!MD1</f>
        <v>0</v>
      </c>
      <c r="LL1">
        <f>Database!ME1</f>
        <v>0</v>
      </c>
      <c r="LM1">
        <f>Database!MF1</f>
        <v>0</v>
      </c>
      <c r="LN1">
        <f>Database!MG1</f>
        <v>0</v>
      </c>
      <c r="LO1">
        <f>Database!MH1</f>
        <v>0</v>
      </c>
      <c r="LP1">
        <f>Database!MI1</f>
        <v>0</v>
      </c>
      <c r="LQ1">
        <f>Database!MJ1</f>
        <v>0</v>
      </c>
      <c r="LR1">
        <f>Database!MK1</f>
        <v>0</v>
      </c>
      <c r="LS1">
        <f>Database!ML1</f>
        <v>0</v>
      </c>
      <c r="LT1">
        <f>Database!MM1</f>
        <v>0</v>
      </c>
      <c r="LU1">
        <f>Database!MN1</f>
        <v>0</v>
      </c>
      <c r="LV1">
        <f>Database!MO1</f>
        <v>0</v>
      </c>
      <c r="LW1">
        <f>Database!MP1</f>
        <v>0</v>
      </c>
      <c r="LX1">
        <f>Database!MQ1</f>
        <v>0</v>
      </c>
      <c r="LY1">
        <f>Database!MR1</f>
        <v>0</v>
      </c>
      <c r="LZ1">
        <f>Database!MS1</f>
        <v>0</v>
      </c>
      <c r="MA1">
        <f>Database!MT1</f>
        <v>0</v>
      </c>
      <c r="MB1">
        <f>Database!MU1</f>
        <v>0</v>
      </c>
      <c r="MC1">
        <f>Database!MV1</f>
        <v>0</v>
      </c>
      <c r="MD1">
        <f>Database!MW1</f>
        <v>0</v>
      </c>
      <c r="ME1">
        <f>Database!MX1</f>
        <v>0</v>
      </c>
      <c r="MF1">
        <f>Database!MY1</f>
        <v>0</v>
      </c>
      <c r="MG1">
        <f>Database!MZ1</f>
        <v>0</v>
      </c>
      <c r="MH1">
        <f>Database!NA1</f>
        <v>0</v>
      </c>
      <c r="MI1">
        <f>Database!NB1</f>
        <v>0</v>
      </c>
      <c r="MJ1">
        <f>Database!NC1</f>
        <v>0</v>
      </c>
      <c r="MK1">
        <f>Database!ND1</f>
        <v>0</v>
      </c>
      <c r="ML1">
        <f>Database!NE1</f>
        <v>0</v>
      </c>
      <c r="MM1">
        <f>Database!NF1</f>
        <v>0</v>
      </c>
      <c r="MN1">
        <f>Database!NG1</f>
        <v>0</v>
      </c>
      <c r="MO1">
        <f>Database!NH1</f>
        <v>0</v>
      </c>
      <c r="MP1">
        <f>Database!NI1</f>
        <v>0</v>
      </c>
      <c r="MQ1">
        <f>Database!NJ1</f>
        <v>0</v>
      </c>
      <c r="MR1">
        <f>Database!NK1</f>
        <v>0</v>
      </c>
      <c r="MS1">
        <f>Database!NL1</f>
        <v>0</v>
      </c>
      <c r="MT1">
        <f>Database!NM1</f>
        <v>0</v>
      </c>
      <c r="MU1">
        <f>Database!NN1</f>
        <v>0</v>
      </c>
      <c r="MV1">
        <f>Database!NO1</f>
        <v>0</v>
      </c>
      <c r="MW1">
        <f>Database!NP1</f>
        <v>0</v>
      </c>
      <c r="MX1">
        <f>Database!NQ1</f>
        <v>0</v>
      </c>
      <c r="MY1">
        <f>Database!NR1</f>
        <v>0</v>
      </c>
      <c r="MZ1">
        <f>Database!NS1</f>
        <v>0</v>
      </c>
      <c r="NA1">
        <f>Database!NT1</f>
        <v>0</v>
      </c>
      <c r="NB1">
        <f>Database!NU1</f>
        <v>0</v>
      </c>
      <c r="NC1">
        <f>Database!NV1</f>
        <v>0</v>
      </c>
      <c r="ND1">
        <f>Database!NW1</f>
        <v>0</v>
      </c>
      <c r="NE1">
        <f>Database!NX1</f>
        <v>0</v>
      </c>
      <c r="NF1">
        <f>Database!NY1</f>
        <v>0</v>
      </c>
      <c r="NG1">
        <f>Database!NZ1</f>
        <v>0</v>
      </c>
      <c r="NH1">
        <f>Database!OA1</f>
        <v>0</v>
      </c>
      <c r="NI1">
        <f>Database!OB1</f>
        <v>0</v>
      </c>
      <c r="NJ1">
        <f>Database!OC1</f>
        <v>0</v>
      </c>
      <c r="NK1">
        <f>Database!OD1</f>
        <v>0</v>
      </c>
      <c r="NL1">
        <f>Database!OE1</f>
        <v>0</v>
      </c>
      <c r="NM1">
        <f>Database!OF1</f>
        <v>0</v>
      </c>
      <c r="NN1">
        <f>Database!OG1</f>
        <v>0</v>
      </c>
      <c r="NO1">
        <f>Database!OH1</f>
        <v>0</v>
      </c>
      <c r="NP1">
        <f>Database!OI1</f>
        <v>0</v>
      </c>
      <c r="NQ1">
        <f>Database!OJ1</f>
        <v>0</v>
      </c>
      <c r="NR1">
        <f>Database!OK1</f>
        <v>0</v>
      </c>
      <c r="NS1">
        <f>Database!OL1</f>
        <v>0</v>
      </c>
      <c r="NT1">
        <f>Database!OM1</f>
        <v>0</v>
      </c>
      <c r="NU1">
        <f>Database!ON1</f>
        <v>0</v>
      </c>
      <c r="NV1">
        <f>Database!OO1</f>
        <v>0</v>
      </c>
      <c r="NW1">
        <f>Database!OP1</f>
        <v>0</v>
      </c>
      <c r="NX1">
        <f>Database!OQ1</f>
        <v>0</v>
      </c>
      <c r="NY1">
        <f>Database!OR1</f>
        <v>0</v>
      </c>
      <c r="NZ1">
        <f>Database!OS1</f>
        <v>0</v>
      </c>
      <c r="OA1">
        <f>Database!OT1</f>
        <v>0</v>
      </c>
      <c r="OB1">
        <f>Database!OU1</f>
        <v>0</v>
      </c>
      <c r="OC1">
        <f>Database!OV1</f>
        <v>0</v>
      </c>
      <c r="OD1">
        <f>Database!OW1</f>
        <v>0</v>
      </c>
      <c r="OE1">
        <f>Database!OX1</f>
        <v>0</v>
      </c>
      <c r="OF1">
        <f>Database!OY1</f>
        <v>0</v>
      </c>
      <c r="OG1">
        <f>Database!OZ1</f>
        <v>0</v>
      </c>
      <c r="OH1">
        <f>Database!PA1</f>
        <v>0</v>
      </c>
      <c r="OI1">
        <f>Database!PB1</f>
        <v>0</v>
      </c>
      <c r="OJ1">
        <f>Database!PC1</f>
        <v>0</v>
      </c>
      <c r="OK1">
        <f>Database!PD1</f>
        <v>0</v>
      </c>
      <c r="OL1">
        <f>Database!PE1</f>
        <v>0</v>
      </c>
      <c r="OM1">
        <f>Database!PF1</f>
        <v>0</v>
      </c>
      <c r="ON1">
        <f>Database!PG1</f>
        <v>0</v>
      </c>
      <c r="OO1">
        <f>Database!PH1</f>
        <v>0</v>
      </c>
      <c r="OP1">
        <f>Database!PI1</f>
        <v>0</v>
      </c>
      <c r="OQ1">
        <f>Database!PJ1</f>
        <v>0</v>
      </c>
      <c r="OR1">
        <f>Database!PK1</f>
        <v>0</v>
      </c>
      <c r="OS1">
        <f>Database!PL1</f>
        <v>0</v>
      </c>
      <c r="OT1">
        <f>Database!PM1</f>
        <v>0</v>
      </c>
      <c r="OU1">
        <f>Database!PN1</f>
        <v>0</v>
      </c>
      <c r="OV1">
        <f>Database!PO1</f>
        <v>0</v>
      </c>
      <c r="OW1">
        <f>Database!PP1</f>
        <v>0</v>
      </c>
      <c r="OX1">
        <f>Database!PQ1</f>
        <v>0</v>
      </c>
      <c r="OY1">
        <f>Database!PR1</f>
        <v>0</v>
      </c>
      <c r="OZ1">
        <f>Database!PS1</f>
        <v>0</v>
      </c>
      <c r="PA1">
        <f>Database!PT1</f>
        <v>0</v>
      </c>
      <c r="PB1">
        <f>Database!PU1</f>
        <v>0</v>
      </c>
      <c r="PC1">
        <f>Database!PV1</f>
        <v>0</v>
      </c>
      <c r="PD1">
        <f>Database!PW1</f>
        <v>0</v>
      </c>
      <c r="PE1">
        <f>Database!PX1</f>
        <v>0</v>
      </c>
      <c r="PF1">
        <f>Database!PY1</f>
        <v>0</v>
      </c>
      <c r="PG1">
        <f>Database!PZ1</f>
        <v>0</v>
      </c>
      <c r="PH1">
        <f>Database!QA1</f>
        <v>0</v>
      </c>
      <c r="PI1">
        <f>Database!QB1</f>
        <v>0</v>
      </c>
      <c r="PJ1">
        <f>Database!QC1</f>
        <v>0</v>
      </c>
      <c r="PK1">
        <f>Database!QD1</f>
        <v>0</v>
      </c>
      <c r="PL1">
        <f>Database!QE1</f>
        <v>0</v>
      </c>
      <c r="PM1">
        <f>Database!QF1</f>
        <v>0</v>
      </c>
      <c r="PN1">
        <f>Database!QG1</f>
        <v>0</v>
      </c>
      <c r="PO1">
        <f>Database!QH1</f>
        <v>0</v>
      </c>
      <c r="PP1">
        <f>Database!QI1</f>
        <v>0</v>
      </c>
      <c r="PQ1">
        <f>Database!QJ1</f>
        <v>0</v>
      </c>
      <c r="PR1">
        <f>Database!QK1</f>
        <v>0</v>
      </c>
      <c r="PS1">
        <f>Database!QL1</f>
        <v>0</v>
      </c>
      <c r="PT1">
        <f>Database!QM1</f>
        <v>0</v>
      </c>
      <c r="PU1">
        <f>Database!QN1</f>
        <v>0</v>
      </c>
      <c r="PV1">
        <f>Database!QO1</f>
        <v>0</v>
      </c>
      <c r="PW1">
        <f>Database!QP1</f>
        <v>0</v>
      </c>
      <c r="PX1">
        <f>Database!QQ1</f>
        <v>0</v>
      </c>
      <c r="PY1">
        <f>Database!QR1</f>
        <v>0</v>
      </c>
      <c r="PZ1">
        <f>Database!QS1</f>
        <v>0</v>
      </c>
      <c r="QA1">
        <f>Database!QT1</f>
        <v>0</v>
      </c>
      <c r="QB1">
        <f>Database!QU1</f>
        <v>0</v>
      </c>
      <c r="QC1">
        <f>Database!QV1</f>
        <v>0</v>
      </c>
      <c r="QD1">
        <f>Database!QW1</f>
        <v>0</v>
      </c>
      <c r="QE1">
        <f>Database!QX1</f>
        <v>0</v>
      </c>
      <c r="QF1">
        <f>Database!QY1</f>
        <v>0</v>
      </c>
      <c r="QG1">
        <f>Database!QZ1</f>
        <v>0</v>
      </c>
      <c r="QH1">
        <f>Database!RA1</f>
        <v>0</v>
      </c>
      <c r="QI1">
        <f>Database!RB1</f>
        <v>0</v>
      </c>
      <c r="QJ1">
        <f>Database!RC1</f>
        <v>0</v>
      </c>
      <c r="QK1">
        <f>Database!RD1</f>
        <v>0</v>
      </c>
      <c r="QL1">
        <f>Database!RE1</f>
        <v>0</v>
      </c>
      <c r="QM1">
        <f>Database!RF1</f>
        <v>0</v>
      </c>
      <c r="QN1">
        <f>Database!RG1</f>
        <v>0</v>
      </c>
      <c r="QO1">
        <f>Database!RH1</f>
        <v>0</v>
      </c>
      <c r="QP1">
        <f>Database!RI1</f>
        <v>0</v>
      </c>
      <c r="QQ1">
        <f>Database!RJ1</f>
        <v>0</v>
      </c>
      <c r="QR1">
        <f>Database!RK1</f>
        <v>0</v>
      </c>
      <c r="QS1">
        <f>Database!RL1</f>
        <v>0</v>
      </c>
      <c r="QT1">
        <f>Database!RM1</f>
        <v>0</v>
      </c>
      <c r="QU1">
        <f>Database!RN1</f>
        <v>0</v>
      </c>
      <c r="QV1">
        <f>Database!RO1</f>
        <v>0</v>
      </c>
      <c r="QW1">
        <f>Database!RP1</f>
        <v>0</v>
      </c>
      <c r="QX1">
        <f>Database!RQ1</f>
        <v>0</v>
      </c>
      <c r="QY1">
        <f>Database!RR1</f>
        <v>0</v>
      </c>
      <c r="QZ1">
        <f>Database!RS1</f>
        <v>0</v>
      </c>
      <c r="RA1">
        <f>Database!RT1</f>
        <v>0</v>
      </c>
      <c r="RB1">
        <f>Database!RU1</f>
        <v>0</v>
      </c>
      <c r="RC1">
        <f>Database!RV1</f>
        <v>0</v>
      </c>
      <c r="RD1">
        <f>Database!RW1</f>
        <v>0</v>
      </c>
      <c r="RE1">
        <f>Database!RX1</f>
        <v>0</v>
      </c>
      <c r="RF1">
        <f>Database!RY1</f>
        <v>0</v>
      </c>
      <c r="RG1">
        <f>Database!RZ1</f>
        <v>0</v>
      </c>
      <c r="RH1">
        <f>Database!SA1</f>
        <v>0</v>
      </c>
      <c r="RI1">
        <f>Database!SB1</f>
        <v>0</v>
      </c>
      <c r="RJ1">
        <f>Database!SC1</f>
        <v>0</v>
      </c>
      <c r="RK1">
        <f>Database!SD1</f>
        <v>0</v>
      </c>
      <c r="RL1">
        <f>Database!SE1</f>
        <v>0</v>
      </c>
      <c r="RM1">
        <f>Database!SF1</f>
        <v>0</v>
      </c>
      <c r="RN1">
        <f>Database!SG1</f>
        <v>0</v>
      </c>
      <c r="RO1">
        <f>Database!SH1</f>
        <v>0</v>
      </c>
      <c r="RP1">
        <f>Database!SI1</f>
        <v>0</v>
      </c>
      <c r="RQ1">
        <f>Database!SJ1</f>
        <v>0</v>
      </c>
      <c r="RR1">
        <f>Database!SK1</f>
        <v>0</v>
      </c>
      <c r="RS1">
        <f>Database!SL1</f>
        <v>0</v>
      </c>
      <c r="RT1">
        <f>Database!SM1</f>
        <v>0</v>
      </c>
      <c r="RU1">
        <f>Database!SN1</f>
        <v>0</v>
      </c>
      <c r="RV1">
        <f>Database!SO1</f>
        <v>0</v>
      </c>
      <c r="RW1">
        <f>Database!SP1</f>
        <v>0</v>
      </c>
      <c r="RX1">
        <f>Database!SQ1</f>
        <v>0</v>
      </c>
      <c r="RY1">
        <f>Database!SR1</f>
        <v>0</v>
      </c>
      <c r="RZ1">
        <f>Database!SS1</f>
        <v>0</v>
      </c>
      <c r="SA1">
        <f>Database!ST1</f>
        <v>0</v>
      </c>
      <c r="SB1">
        <f>Database!SU1</f>
        <v>0</v>
      </c>
      <c r="SC1">
        <f>Database!SV1</f>
        <v>0</v>
      </c>
      <c r="SD1">
        <f>Database!SW1</f>
        <v>0</v>
      </c>
      <c r="SE1">
        <f>Database!SX1</f>
        <v>0</v>
      </c>
      <c r="SF1">
        <f>Database!SY1</f>
        <v>0</v>
      </c>
      <c r="SG1">
        <f>Database!SZ1</f>
        <v>0</v>
      </c>
      <c r="SH1">
        <f>Database!TA1</f>
        <v>0</v>
      </c>
      <c r="SI1">
        <f>Database!TB1</f>
        <v>0</v>
      </c>
      <c r="SJ1">
        <f>Database!TC1</f>
        <v>0</v>
      </c>
      <c r="SK1">
        <f>Database!TD1</f>
        <v>0</v>
      </c>
      <c r="SL1">
        <f>Database!TE1</f>
        <v>0</v>
      </c>
      <c r="SM1">
        <f>Database!TF1</f>
        <v>0</v>
      </c>
      <c r="SN1">
        <f>Database!TG1</f>
        <v>0</v>
      </c>
      <c r="SO1">
        <f>Database!TH1</f>
        <v>0</v>
      </c>
      <c r="SP1">
        <f>Database!TI1</f>
        <v>0</v>
      </c>
      <c r="SQ1">
        <f>Database!TJ1</f>
        <v>0</v>
      </c>
      <c r="SR1">
        <f>Database!TK1</f>
        <v>0</v>
      </c>
      <c r="SS1">
        <f>Database!TL1</f>
        <v>0</v>
      </c>
      <c r="ST1">
        <f>Database!TM1</f>
        <v>0</v>
      </c>
      <c r="SU1">
        <f>Database!TN1</f>
        <v>0</v>
      </c>
      <c r="SV1">
        <f>Database!TO1</f>
        <v>0</v>
      </c>
      <c r="SW1">
        <f>Database!TP1</f>
        <v>0</v>
      </c>
      <c r="SX1">
        <f>Database!TQ1</f>
        <v>0</v>
      </c>
      <c r="SY1">
        <f>Database!TR1</f>
        <v>0</v>
      </c>
      <c r="SZ1">
        <f>Database!TS1</f>
        <v>0</v>
      </c>
      <c r="TA1">
        <f>Database!TT1</f>
        <v>0</v>
      </c>
      <c r="TB1">
        <f>Database!TU1</f>
        <v>0</v>
      </c>
      <c r="TC1">
        <f>Database!TV1</f>
        <v>0</v>
      </c>
      <c r="TD1">
        <f>Database!TW1</f>
        <v>0</v>
      </c>
      <c r="TE1">
        <f>Database!TX1</f>
        <v>0</v>
      </c>
      <c r="TF1">
        <f>Database!TY1</f>
        <v>0</v>
      </c>
      <c r="TG1">
        <f>Database!TZ1</f>
        <v>0</v>
      </c>
      <c r="TH1">
        <f>Database!UA1</f>
        <v>0</v>
      </c>
      <c r="TI1">
        <f>Database!UB1</f>
        <v>0</v>
      </c>
      <c r="TJ1">
        <f>Database!UC1</f>
        <v>0</v>
      </c>
      <c r="TK1">
        <f>Database!UD1</f>
        <v>0</v>
      </c>
      <c r="TL1">
        <f>Database!UE1</f>
        <v>0</v>
      </c>
      <c r="TM1">
        <f>Database!UF1</f>
        <v>0</v>
      </c>
      <c r="TN1">
        <f>Database!UG1</f>
        <v>0</v>
      </c>
      <c r="TO1">
        <f>Database!UH1</f>
        <v>0</v>
      </c>
      <c r="TP1">
        <f>Database!UI1</f>
        <v>0</v>
      </c>
      <c r="TQ1">
        <f>Database!UJ1</f>
        <v>0</v>
      </c>
      <c r="TR1">
        <f>Database!UK1</f>
        <v>0</v>
      </c>
      <c r="TS1">
        <f>Database!UL1</f>
        <v>0</v>
      </c>
      <c r="TT1">
        <f>Database!UM1</f>
        <v>0</v>
      </c>
      <c r="TU1">
        <f>Database!UN1</f>
        <v>0</v>
      </c>
      <c r="TV1">
        <f>Database!UO1</f>
        <v>0</v>
      </c>
      <c r="TW1">
        <f>Database!UP1</f>
        <v>0</v>
      </c>
      <c r="TX1">
        <f>Database!UQ1</f>
        <v>0</v>
      </c>
      <c r="TY1">
        <f>Database!UR1</f>
        <v>0</v>
      </c>
      <c r="TZ1">
        <f>Database!US1</f>
        <v>0</v>
      </c>
      <c r="UA1">
        <f>Database!UT1</f>
        <v>0</v>
      </c>
      <c r="UB1">
        <f>Database!UU1</f>
        <v>0</v>
      </c>
      <c r="UC1">
        <f>Database!UV1</f>
        <v>0</v>
      </c>
      <c r="UD1">
        <f>Database!UW1</f>
        <v>0</v>
      </c>
      <c r="UE1">
        <f>Database!UX1</f>
        <v>0</v>
      </c>
      <c r="UF1">
        <f>Database!UY1</f>
        <v>0</v>
      </c>
      <c r="UG1">
        <f>Database!UZ1</f>
        <v>0</v>
      </c>
      <c r="UH1">
        <f>Database!VA1</f>
        <v>0</v>
      </c>
      <c r="UI1">
        <f>Database!VB1</f>
        <v>0</v>
      </c>
      <c r="UJ1">
        <f>Database!VC1</f>
        <v>0</v>
      </c>
      <c r="UK1">
        <f>Database!VD1</f>
        <v>0</v>
      </c>
      <c r="UL1">
        <f>Database!VE1</f>
        <v>0</v>
      </c>
      <c r="UM1">
        <f>Database!VF1</f>
        <v>0</v>
      </c>
      <c r="UN1">
        <f>Database!VG1</f>
        <v>0</v>
      </c>
      <c r="UO1">
        <f>Database!VH1</f>
        <v>0</v>
      </c>
      <c r="UP1">
        <f>Database!VI1</f>
        <v>0</v>
      </c>
      <c r="UQ1">
        <f>Database!VJ1</f>
        <v>0</v>
      </c>
      <c r="UR1">
        <f>Database!VK1</f>
        <v>0</v>
      </c>
      <c r="US1">
        <f>Database!VL1</f>
        <v>0</v>
      </c>
      <c r="UT1">
        <f>Database!VM1</f>
        <v>0</v>
      </c>
      <c r="UU1">
        <f>Database!VN1</f>
        <v>0</v>
      </c>
      <c r="UV1">
        <f>Database!VO1</f>
        <v>0</v>
      </c>
      <c r="UW1">
        <f>Database!VP1</f>
        <v>0</v>
      </c>
      <c r="UX1">
        <f>Database!VQ1</f>
        <v>0</v>
      </c>
      <c r="UY1">
        <f>Database!VR1</f>
        <v>0</v>
      </c>
      <c r="UZ1">
        <f>Database!VS1</f>
        <v>0</v>
      </c>
      <c r="VA1">
        <f>Database!VT1</f>
        <v>0</v>
      </c>
      <c r="VB1">
        <f>Database!VU1</f>
        <v>0</v>
      </c>
      <c r="VC1">
        <f>Database!VV1</f>
        <v>0</v>
      </c>
      <c r="VD1">
        <f>Database!VW1</f>
        <v>0</v>
      </c>
      <c r="VE1">
        <f>Database!VX1</f>
        <v>0</v>
      </c>
      <c r="VF1">
        <f>Database!VY1</f>
        <v>0</v>
      </c>
      <c r="VG1">
        <f>Database!VZ1</f>
        <v>0</v>
      </c>
      <c r="VH1">
        <f>Database!WA1</f>
        <v>0</v>
      </c>
      <c r="VI1">
        <f>Database!WB1</f>
        <v>0</v>
      </c>
      <c r="VJ1">
        <f>Database!WC1</f>
        <v>0</v>
      </c>
      <c r="VK1">
        <f>Database!WD1</f>
        <v>0</v>
      </c>
      <c r="VL1">
        <f>Database!WE1</f>
        <v>0</v>
      </c>
      <c r="VM1">
        <f>Database!WF1</f>
        <v>0</v>
      </c>
      <c r="VN1">
        <f>Database!WG1</f>
        <v>0</v>
      </c>
      <c r="VO1">
        <f>Database!WH1</f>
        <v>0</v>
      </c>
      <c r="VP1">
        <f>Database!WI1</f>
        <v>0</v>
      </c>
      <c r="VQ1">
        <f>Database!WJ1</f>
        <v>0</v>
      </c>
      <c r="VR1">
        <f>Database!WK1</f>
        <v>0</v>
      </c>
      <c r="VS1">
        <f>Database!WL1</f>
        <v>0</v>
      </c>
      <c r="VT1">
        <f>Database!WM1</f>
        <v>0</v>
      </c>
      <c r="VU1">
        <f>Database!WN1</f>
        <v>0</v>
      </c>
      <c r="VV1">
        <f>Database!WO1</f>
        <v>0</v>
      </c>
      <c r="VW1">
        <f>Database!WP1</f>
        <v>0</v>
      </c>
      <c r="VX1">
        <f>Database!WQ1</f>
        <v>0</v>
      </c>
      <c r="VY1">
        <f>Database!WR1</f>
        <v>0</v>
      </c>
      <c r="VZ1">
        <f>Database!WS1</f>
        <v>0</v>
      </c>
      <c r="WA1">
        <f>Database!WT1</f>
        <v>0</v>
      </c>
      <c r="WB1">
        <f>Database!WU1</f>
        <v>0</v>
      </c>
      <c r="WC1">
        <f>Database!WV1</f>
        <v>0</v>
      </c>
      <c r="WD1">
        <f>Database!WW1</f>
        <v>0</v>
      </c>
      <c r="WE1">
        <f>Database!WX1</f>
        <v>0</v>
      </c>
      <c r="WF1">
        <f>Database!WY1</f>
        <v>0</v>
      </c>
      <c r="WG1">
        <f>Database!WZ1</f>
        <v>0</v>
      </c>
      <c r="WH1">
        <f>Database!XA1</f>
        <v>0</v>
      </c>
      <c r="WI1">
        <f>Database!XB1</f>
        <v>0</v>
      </c>
      <c r="WJ1">
        <f>Database!XC1</f>
        <v>0</v>
      </c>
      <c r="WK1">
        <f>Database!XD1</f>
        <v>0</v>
      </c>
      <c r="WL1">
        <f>Database!XE1</f>
        <v>0</v>
      </c>
      <c r="WM1">
        <f>Database!XF1</f>
        <v>0</v>
      </c>
      <c r="WN1">
        <f>Database!XG1</f>
        <v>0</v>
      </c>
      <c r="WO1">
        <f>Database!XH1</f>
        <v>0</v>
      </c>
      <c r="WP1">
        <f>Database!XI1</f>
        <v>0</v>
      </c>
      <c r="WQ1">
        <f>Database!XJ1</f>
        <v>0</v>
      </c>
      <c r="WR1">
        <f>Database!XK1</f>
        <v>0</v>
      </c>
      <c r="WS1">
        <f>Database!XL1</f>
        <v>0</v>
      </c>
      <c r="WT1">
        <f>Database!XM1</f>
        <v>0</v>
      </c>
      <c r="WU1">
        <f>Database!XN1</f>
        <v>0</v>
      </c>
      <c r="WV1">
        <f>Database!XO1</f>
        <v>0</v>
      </c>
      <c r="WW1">
        <f>Database!XP1</f>
        <v>0</v>
      </c>
      <c r="WX1">
        <f>Database!XQ1</f>
        <v>0</v>
      </c>
      <c r="WY1">
        <f>Database!XR1</f>
        <v>0</v>
      </c>
      <c r="WZ1">
        <f>Database!XS1</f>
        <v>0</v>
      </c>
      <c r="XA1">
        <f>Database!XT1</f>
        <v>0</v>
      </c>
      <c r="XB1">
        <f>Database!XU1</f>
        <v>0</v>
      </c>
      <c r="XC1">
        <f>Database!XV1</f>
        <v>0</v>
      </c>
      <c r="XD1">
        <f>Database!XW1</f>
        <v>0</v>
      </c>
      <c r="XE1">
        <f>Database!XX1</f>
        <v>0</v>
      </c>
      <c r="XF1">
        <f>Database!XY1</f>
        <v>0</v>
      </c>
      <c r="XG1">
        <f>Database!XZ1</f>
        <v>0</v>
      </c>
      <c r="XH1">
        <f>Database!YA1</f>
        <v>0</v>
      </c>
      <c r="XI1">
        <f>Database!YB1</f>
        <v>0</v>
      </c>
      <c r="XJ1">
        <f>Database!YC1</f>
        <v>0</v>
      </c>
      <c r="XK1">
        <f>Database!YD1</f>
        <v>0</v>
      </c>
      <c r="XL1">
        <f>Database!YE1</f>
        <v>0</v>
      </c>
      <c r="XM1">
        <f>Database!YF1</f>
        <v>0</v>
      </c>
      <c r="XN1">
        <f>Database!YG1</f>
        <v>0</v>
      </c>
      <c r="XO1">
        <f>Database!YH1</f>
        <v>0</v>
      </c>
      <c r="XP1">
        <f>Database!YI1</f>
        <v>0</v>
      </c>
      <c r="XQ1">
        <f>Database!YJ1</f>
        <v>0</v>
      </c>
      <c r="XR1">
        <f>Database!YK1</f>
        <v>0</v>
      </c>
      <c r="XS1">
        <f>Database!YL1</f>
        <v>0</v>
      </c>
      <c r="XT1">
        <f>Database!YM1</f>
        <v>0</v>
      </c>
      <c r="XU1">
        <f>Database!YN1</f>
        <v>0</v>
      </c>
      <c r="XV1">
        <f>Database!YO1</f>
        <v>0</v>
      </c>
      <c r="XW1">
        <f>Database!YP1</f>
        <v>0</v>
      </c>
      <c r="XX1">
        <f>Database!YQ1</f>
        <v>0</v>
      </c>
      <c r="XY1">
        <f>Database!YR1</f>
        <v>0</v>
      </c>
      <c r="XZ1">
        <f>Database!YS1</f>
        <v>0</v>
      </c>
      <c r="YA1">
        <f>Database!YT1</f>
        <v>0</v>
      </c>
      <c r="YB1">
        <f>Database!YU1</f>
        <v>0</v>
      </c>
      <c r="YC1">
        <f>Database!YV1</f>
        <v>0</v>
      </c>
      <c r="YD1">
        <f>Database!YW1</f>
        <v>0</v>
      </c>
      <c r="YE1">
        <f>Database!YX1</f>
        <v>0</v>
      </c>
      <c r="YF1">
        <f>Database!YY1</f>
        <v>0</v>
      </c>
      <c r="YG1">
        <f>Database!YZ1</f>
        <v>0</v>
      </c>
      <c r="YH1">
        <f>Database!ZA1</f>
        <v>0</v>
      </c>
      <c r="YI1">
        <f>Database!ZB1</f>
        <v>0</v>
      </c>
      <c r="YJ1">
        <f>Database!ZC1</f>
        <v>0</v>
      </c>
      <c r="YK1">
        <f>Database!ZD1</f>
        <v>0</v>
      </c>
      <c r="YL1">
        <f>Database!ZE1</f>
        <v>0</v>
      </c>
      <c r="YM1">
        <f>Database!ZF1</f>
        <v>0</v>
      </c>
      <c r="YN1">
        <f>Database!ZG1</f>
        <v>0</v>
      </c>
      <c r="YO1">
        <f>Database!ZH1</f>
        <v>0</v>
      </c>
      <c r="YP1">
        <f>Database!ZI1</f>
        <v>0</v>
      </c>
      <c r="YQ1">
        <f>Database!ZJ1</f>
        <v>0</v>
      </c>
      <c r="YR1">
        <f>Database!ZK1</f>
        <v>0</v>
      </c>
      <c r="YS1">
        <f>Database!ZL1</f>
        <v>0</v>
      </c>
      <c r="YT1">
        <f>Database!ZM1</f>
        <v>0</v>
      </c>
      <c r="YU1">
        <f>Database!ZN1</f>
        <v>0</v>
      </c>
      <c r="YV1">
        <f>Database!ZO1</f>
        <v>0</v>
      </c>
      <c r="YW1">
        <f>Database!ZP1</f>
        <v>0</v>
      </c>
      <c r="YX1">
        <f>Database!ZQ1</f>
        <v>0</v>
      </c>
      <c r="YY1">
        <f>Database!ZR1</f>
        <v>0</v>
      </c>
      <c r="YZ1">
        <f>Database!ZS1</f>
        <v>0</v>
      </c>
      <c r="ZA1">
        <f>Database!ZT1</f>
        <v>0</v>
      </c>
      <c r="ZB1">
        <f>Database!ZU1</f>
        <v>0</v>
      </c>
      <c r="ZC1">
        <f>Database!ZV1</f>
        <v>0</v>
      </c>
      <c r="ZD1">
        <f>Database!ZW1</f>
        <v>0</v>
      </c>
      <c r="ZE1">
        <f>Database!ZX1</f>
        <v>0</v>
      </c>
      <c r="ZF1">
        <f>Database!ZY1</f>
        <v>0</v>
      </c>
      <c r="ZG1">
        <f>Database!ZZ1</f>
        <v>0</v>
      </c>
      <c r="ZH1">
        <f>Database!AAA1</f>
        <v>0</v>
      </c>
      <c r="ZI1">
        <f>Database!AAB1</f>
        <v>0</v>
      </c>
      <c r="ZJ1">
        <f>Database!AAC1</f>
        <v>0</v>
      </c>
      <c r="ZK1">
        <f>Database!AAD1</f>
        <v>0</v>
      </c>
      <c r="ZL1">
        <f>Database!AAE1</f>
        <v>0</v>
      </c>
      <c r="ZM1">
        <f>Database!AAF1</f>
        <v>0</v>
      </c>
      <c r="ZN1">
        <f>Database!AAG1</f>
        <v>0</v>
      </c>
      <c r="ZO1">
        <f>Database!AAH1</f>
        <v>0</v>
      </c>
      <c r="ZP1">
        <f>Database!AAI1</f>
        <v>0</v>
      </c>
      <c r="ZQ1">
        <f>Database!AAJ1</f>
        <v>0</v>
      </c>
      <c r="ZR1">
        <f>Database!AAK1</f>
        <v>0</v>
      </c>
      <c r="ZS1">
        <f>Database!AAL1</f>
        <v>0</v>
      </c>
      <c r="ZT1">
        <f>Database!AAM1</f>
        <v>0</v>
      </c>
      <c r="ZU1">
        <f>Database!AAN1</f>
        <v>0</v>
      </c>
      <c r="ZV1">
        <f>Database!AAO1</f>
        <v>0</v>
      </c>
      <c r="ZW1">
        <f>Database!AAP1</f>
        <v>0</v>
      </c>
      <c r="ZX1">
        <f>Database!AAQ1</f>
        <v>0</v>
      </c>
      <c r="ZY1">
        <f>Database!AAR1</f>
        <v>0</v>
      </c>
      <c r="ZZ1">
        <f>Database!AAS1</f>
        <v>0</v>
      </c>
      <c r="AAA1">
        <f>Database!AAT1</f>
        <v>0</v>
      </c>
      <c r="AAB1">
        <f>Database!AAU1</f>
        <v>0</v>
      </c>
      <c r="AAC1">
        <f>Database!AAV1</f>
        <v>0</v>
      </c>
      <c r="AAD1">
        <f>Database!AAW1</f>
        <v>0</v>
      </c>
      <c r="AAE1">
        <f>Database!AAX1</f>
        <v>0</v>
      </c>
      <c r="AAF1">
        <f>Database!AAY1</f>
        <v>0</v>
      </c>
      <c r="AAG1">
        <f>Database!AAZ1</f>
        <v>0</v>
      </c>
      <c r="AAH1">
        <f>Database!ABA1</f>
        <v>0</v>
      </c>
      <c r="AAI1">
        <f>Database!ABB1</f>
        <v>0</v>
      </c>
      <c r="AAJ1">
        <f>Database!ABC1</f>
        <v>0</v>
      </c>
      <c r="AAK1">
        <f>Database!ABD1</f>
        <v>0</v>
      </c>
      <c r="AAL1">
        <f>Database!ABE1</f>
        <v>0</v>
      </c>
      <c r="AAM1">
        <f>Database!ABF1</f>
        <v>0</v>
      </c>
      <c r="AAN1">
        <f>Database!ABG1</f>
        <v>0</v>
      </c>
      <c r="AAO1">
        <f>Database!ABH1</f>
        <v>0</v>
      </c>
      <c r="AAP1">
        <f>Database!ABI1</f>
        <v>0</v>
      </c>
      <c r="AAQ1">
        <f>Database!ABJ1</f>
        <v>0</v>
      </c>
      <c r="AAR1">
        <f>Database!ABK1</f>
        <v>0</v>
      </c>
      <c r="AAS1">
        <f>Database!ABL1</f>
        <v>0</v>
      </c>
      <c r="AAT1">
        <f>Database!ABM1</f>
        <v>0</v>
      </c>
      <c r="AAU1">
        <f>Database!ABN1</f>
        <v>0</v>
      </c>
      <c r="AAV1">
        <f>Database!ABO1</f>
        <v>0</v>
      </c>
      <c r="AAW1">
        <f>Database!ABP1</f>
        <v>0</v>
      </c>
      <c r="AAX1">
        <f>Database!ABQ1</f>
        <v>0</v>
      </c>
      <c r="AAY1">
        <f>Database!ABR1</f>
        <v>0</v>
      </c>
      <c r="AAZ1">
        <f>Database!ABS1</f>
        <v>0</v>
      </c>
      <c r="ABA1">
        <f>Database!ABT1</f>
        <v>0</v>
      </c>
      <c r="ABB1">
        <f>Database!ABU1</f>
        <v>0</v>
      </c>
      <c r="ABC1">
        <f>Database!ABV1</f>
        <v>0</v>
      </c>
      <c r="ABD1">
        <f>Database!ABW1</f>
        <v>0</v>
      </c>
      <c r="ABE1">
        <f>Database!ABX1</f>
        <v>0</v>
      </c>
      <c r="ABF1">
        <f>Database!ABY1</f>
        <v>0</v>
      </c>
      <c r="ABG1">
        <f>Database!ABZ1</f>
        <v>0</v>
      </c>
      <c r="ABH1">
        <f>Database!ACA1</f>
        <v>0</v>
      </c>
      <c r="ABI1">
        <f>Database!ACB1</f>
        <v>0</v>
      </c>
      <c r="ABJ1">
        <f>Database!ACC1</f>
        <v>0</v>
      </c>
      <c r="ABK1">
        <f>Database!ACD1</f>
        <v>0</v>
      </c>
      <c r="ABL1">
        <f>Database!ACE1</f>
        <v>0</v>
      </c>
      <c r="ABM1">
        <f>Database!ACF1</f>
        <v>0</v>
      </c>
      <c r="ABN1">
        <f>Database!ACG1</f>
        <v>0</v>
      </c>
      <c r="ABO1">
        <f>Database!ACH1</f>
        <v>0</v>
      </c>
      <c r="ABP1">
        <f>Database!ACI1</f>
        <v>0</v>
      </c>
      <c r="ABQ1">
        <f>Database!ACJ1</f>
        <v>0</v>
      </c>
      <c r="ABR1">
        <f>Database!ACK1</f>
        <v>0</v>
      </c>
      <c r="ABS1">
        <f>Database!ACL1</f>
        <v>0</v>
      </c>
      <c r="ABT1">
        <f>Database!ACM1</f>
        <v>0</v>
      </c>
      <c r="ABU1">
        <f>Database!ACN1</f>
        <v>0</v>
      </c>
      <c r="ABV1">
        <f>Database!ACO1</f>
        <v>0</v>
      </c>
      <c r="ABW1">
        <f>Database!ACP1</f>
        <v>0</v>
      </c>
      <c r="ABX1">
        <f>Database!ACQ1</f>
        <v>0</v>
      </c>
      <c r="ABY1">
        <f>Database!ACR1</f>
        <v>0</v>
      </c>
      <c r="ABZ1">
        <f>Database!ACS1</f>
        <v>0</v>
      </c>
      <c r="ACA1">
        <f>Database!ACT1</f>
        <v>0</v>
      </c>
      <c r="ACB1">
        <f>Database!ACU1</f>
        <v>0</v>
      </c>
      <c r="ACC1">
        <f>Database!ACV1</f>
        <v>0</v>
      </c>
      <c r="ACD1">
        <f>Database!ACW1</f>
        <v>0</v>
      </c>
      <c r="ACE1">
        <f>Database!ACX1</f>
        <v>0</v>
      </c>
      <c r="ACF1">
        <f>Database!ACY1</f>
        <v>0</v>
      </c>
      <c r="ACG1">
        <f>Database!ACZ1</f>
        <v>0</v>
      </c>
      <c r="ACH1">
        <f>Database!ADA1</f>
        <v>0</v>
      </c>
      <c r="ACI1">
        <f>Database!ADB1</f>
        <v>0</v>
      </c>
      <c r="ACJ1">
        <f>Database!ADC1</f>
        <v>0</v>
      </c>
      <c r="ACK1">
        <f>Database!ADD1</f>
        <v>0</v>
      </c>
      <c r="ACL1">
        <f>Database!ADE1</f>
        <v>0</v>
      </c>
      <c r="ACM1">
        <f>Database!ADF1</f>
        <v>0</v>
      </c>
      <c r="ACN1">
        <f>Database!ADG1</f>
        <v>0</v>
      </c>
      <c r="ACO1">
        <f>Database!ADH1</f>
        <v>0</v>
      </c>
      <c r="ACP1">
        <f>Database!ADI1</f>
        <v>0</v>
      </c>
      <c r="ACQ1">
        <f>Database!ADJ1</f>
        <v>0</v>
      </c>
      <c r="ACR1">
        <f>Database!ADK1</f>
        <v>0</v>
      </c>
      <c r="ACS1">
        <f>Database!ADL1</f>
        <v>0</v>
      </c>
      <c r="ACT1">
        <f>Database!ADM1</f>
        <v>0</v>
      </c>
      <c r="ACU1">
        <f>Database!ADN1</f>
        <v>0</v>
      </c>
      <c r="ACV1">
        <f>Database!ADO1</f>
        <v>0</v>
      </c>
      <c r="ACW1">
        <f>Database!ADP1</f>
        <v>0</v>
      </c>
      <c r="ACX1">
        <f>Database!ADQ1</f>
        <v>0</v>
      </c>
      <c r="ACY1">
        <f>Database!ADR1</f>
        <v>0</v>
      </c>
      <c r="ACZ1">
        <f>Database!ADS1</f>
        <v>0</v>
      </c>
      <c r="ADA1">
        <f>Database!ADT1</f>
        <v>0</v>
      </c>
      <c r="ADB1">
        <f>Database!ADU1</f>
        <v>0</v>
      </c>
      <c r="ADC1">
        <f>Database!ADV1</f>
        <v>0</v>
      </c>
      <c r="ADD1">
        <f>Database!ADW1</f>
        <v>0</v>
      </c>
      <c r="ADE1">
        <f>Database!ADX1</f>
        <v>0</v>
      </c>
      <c r="ADF1">
        <f>Database!ADY1</f>
        <v>0</v>
      </c>
      <c r="ADG1">
        <f>Database!ADZ1</f>
        <v>0</v>
      </c>
      <c r="ADH1">
        <f>Database!AEA1</f>
        <v>0</v>
      </c>
      <c r="ADI1">
        <f>Database!AEB1</f>
        <v>0</v>
      </c>
      <c r="ADJ1">
        <f>Database!AEC1</f>
        <v>0</v>
      </c>
      <c r="ADK1">
        <f>Database!AED1</f>
        <v>0</v>
      </c>
      <c r="ADL1">
        <f>Database!AEE1</f>
        <v>0</v>
      </c>
      <c r="ADM1">
        <f>Database!AEF1</f>
        <v>0</v>
      </c>
      <c r="ADN1">
        <f>Database!AEG1</f>
        <v>0</v>
      </c>
      <c r="ADO1">
        <f>Database!AEH1</f>
        <v>0</v>
      </c>
      <c r="ADP1">
        <f>Database!AEI1</f>
        <v>0</v>
      </c>
      <c r="ADQ1">
        <f>Database!AEJ1</f>
        <v>0</v>
      </c>
      <c r="ADR1">
        <f>Database!AEK1</f>
        <v>0</v>
      </c>
      <c r="ADS1">
        <f>Database!AEL1</f>
        <v>0</v>
      </c>
      <c r="ADT1">
        <f>Database!AEM1</f>
        <v>0</v>
      </c>
      <c r="ADU1">
        <f>Database!AEN1</f>
        <v>0</v>
      </c>
      <c r="ADV1">
        <f>Database!AEO1</f>
        <v>0</v>
      </c>
      <c r="ADW1">
        <f>Database!AEP1</f>
        <v>0</v>
      </c>
      <c r="ADX1">
        <f>Database!AEQ1</f>
        <v>0</v>
      </c>
      <c r="ADY1">
        <f>Database!AER1</f>
        <v>0</v>
      </c>
      <c r="ADZ1">
        <f>Database!AES1</f>
        <v>0</v>
      </c>
      <c r="AEA1">
        <f>Database!AET1</f>
        <v>0</v>
      </c>
      <c r="AEB1">
        <f>Database!AEU1</f>
        <v>0</v>
      </c>
      <c r="AEC1">
        <f>Database!AEV1</f>
        <v>0</v>
      </c>
      <c r="AED1">
        <f>Database!AEW1</f>
        <v>0</v>
      </c>
      <c r="AEE1">
        <f>Database!AEX1</f>
        <v>0</v>
      </c>
      <c r="AEF1">
        <f>Database!AEY1</f>
        <v>0</v>
      </c>
      <c r="AEG1">
        <f>Database!AEZ1</f>
        <v>0</v>
      </c>
      <c r="AEH1">
        <f>Database!AFA1</f>
        <v>0</v>
      </c>
      <c r="AEI1">
        <f>Database!AFB1</f>
        <v>0</v>
      </c>
      <c r="AEJ1">
        <f>Database!AFC1</f>
        <v>0</v>
      </c>
      <c r="AEK1">
        <f>Database!AFD1</f>
        <v>0</v>
      </c>
      <c r="AEL1">
        <f>Database!AFE1</f>
        <v>0</v>
      </c>
      <c r="AEM1">
        <f>Database!AFF1</f>
        <v>0</v>
      </c>
      <c r="AEN1">
        <f>Database!AFG1</f>
        <v>0</v>
      </c>
      <c r="AEO1">
        <f>Database!AFH1</f>
        <v>0</v>
      </c>
      <c r="AEP1">
        <f>Database!AFI1</f>
        <v>0</v>
      </c>
      <c r="AEQ1">
        <f>Database!AFJ1</f>
        <v>0</v>
      </c>
      <c r="AER1">
        <f>Database!AFK1</f>
        <v>0</v>
      </c>
      <c r="AES1">
        <f>Database!AFL1</f>
        <v>0</v>
      </c>
      <c r="AET1">
        <f>Database!AFM1</f>
        <v>0</v>
      </c>
      <c r="AEU1">
        <f>Database!AFN1</f>
        <v>0</v>
      </c>
      <c r="AEV1">
        <f>Database!AFO1</f>
        <v>0</v>
      </c>
      <c r="AEW1">
        <f>Database!AFP1</f>
        <v>0</v>
      </c>
      <c r="AEX1">
        <f>Database!AFQ1</f>
        <v>0</v>
      </c>
      <c r="AEY1">
        <f>Database!AFR1</f>
        <v>0</v>
      </c>
      <c r="AEZ1">
        <f>Database!AFS1</f>
        <v>0</v>
      </c>
      <c r="AFA1">
        <f>Database!AFT1</f>
        <v>0</v>
      </c>
      <c r="AFB1">
        <f>Database!AFU1</f>
        <v>0</v>
      </c>
      <c r="AFC1">
        <f>Database!AFV1</f>
        <v>0</v>
      </c>
      <c r="AFD1">
        <f>Database!AFW1</f>
        <v>0</v>
      </c>
      <c r="AFE1">
        <f>Database!AFX1</f>
        <v>0</v>
      </c>
      <c r="AFF1">
        <f>Database!AFY1</f>
        <v>0</v>
      </c>
      <c r="AFG1">
        <f>Database!AFZ1</f>
        <v>0</v>
      </c>
      <c r="AFH1">
        <f>Database!AGA1</f>
        <v>0</v>
      </c>
      <c r="AFI1">
        <f>Database!AGB1</f>
        <v>0</v>
      </c>
      <c r="AFJ1">
        <f>Database!AGC1</f>
        <v>0</v>
      </c>
      <c r="AFK1">
        <f>Database!AGD1</f>
        <v>0</v>
      </c>
      <c r="AFL1">
        <f>Database!AGE1</f>
        <v>0</v>
      </c>
      <c r="AFM1">
        <f>Database!AGF1</f>
        <v>0</v>
      </c>
      <c r="AFN1">
        <f>Database!AGG1</f>
        <v>0</v>
      </c>
      <c r="AFO1">
        <f>Database!AGH1</f>
        <v>0</v>
      </c>
      <c r="AFP1">
        <f>Database!AGI1</f>
        <v>0</v>
      </c>
      <c r="AFQ1">
        <f>Database!AGJ1</f>
        <v>0</v>
      </c>
      <c r="AFR1">
        <f>Database!AGK1</f>
        <v>0</v>
      </c>
      <c r="AFS1">
        <f>Database!AGL1</f>
        <v>0</v>
      </c>
      <c r="AFT1">
        <f>Database!AGM1</f>
        <v>0</v>
      </c>
      <c r="AFU1">
        <f>Database!AGN1</f>
        <v>0</v>
      </c>
      <c r="AFV1">
        <f>Database!AGO1</f>
        <v>0</v>
      </c>
      <c r="AFW1">
        <f>Database!AGP1</f>
        <v>0</v>
      </c>
      <c r="AFX1">
        <f>Database!AGQ1</f>
        <v>0</v>
      </c>
      <c r="AFY1">
        <f>Database!AGR1</f>
        <v>0</v>
      </c>
      <c r="AFZ1">
        <f>Database!AGS1</f>
        <v>0</v>
      </c>
      <c r="AGA1">
        <f>Database!AGT1</f>
        <v>0</v>
      </c>
      <c r="AGB1">
        <f>Database!AGU1</f>
        <v>0</v>
      </c>
      <c r="AGC1">
        <f>Database!AGV1</f>
        <v>0</v>
      </c>
      <c r="AGD1">
        <f>Database!AGW1</f>
        <v>0</v>
      </c>
      <c r="AGE1">
        <f>Database!AGX1</f>
        <v>0</v>
      </c>
      <c r="AGF1">
        <f>Database!AGY1</f>
        <v>0</v>
      </c>
      <c r="AGG1">
        <f>Database!AGZ1</f>
        <v>0</v>
      </c>
      <c r="AGH1">
        <f>Database!AHA1</f>
        <v>0</v>
      </c>
      <c r="AGI1">
        <f>Database!AHB1</f>
        <v>0</v>
      </c>
      <c r="AGJ1">
        <f>Database!AHC1</f>
        <v>0</v>
      </c>
      <c r="AGK1">
        <f>Database!AHD1</f>
        <v>0</v>
      </c>
      <c r="AGL1">
        <f>Database!AHE1</f>
        <v>0</v>
      </c>
      <c r="AGM1">
        <f>Database!AHF1</f>
        <v>0</v>
      </c>
      <c r="AGN1">
        <f>Database!AHG1</f>
        <v>0</v>
      </c>
      <c r="AGO1">
        <f>Database!AHH1</f>
        <v>0</v>
      </c>
      <c r="AGP1">
        <f>Database!AHI1</f>
        <v>0</v>
      </c>
      <c r="AGQ1">
        <f>Database!AHJ1</f>
        <v>0</v>
      </c>
      <c r="AGR1">
        <f>Database!AHK1</f>
        <v>0</v>
      </c>
      <c r="AGS1">
        <f>Database!AHL1</f>
        <v>0</v>
      </c>
      <c r="AGT1">
        <f>Database!AHM1</f>
        <v>0</v>
      </c>
      <c r="AGU1">
        <f>Database!AHN1</f>
        <v>0</v>
      </c>
      <c r="AGV1">
        <f>Database!AHO1</f>
        <v>0</v>
      </c>
      <c r="AGW1">
        <f>Database!AHP1</f>
        <v>0</v>
      </c>
      <c r="AGX1">
        <f>Database!AHQ1</f>
        <v>0</v>
      </c>
      <c r="AGY1">
        <f>Database!AHR1</f>
        <v>0</v>
      </c>
      <c r="AGZ1">
        <f>Database!AHS1</f>
        <v>0</v>
      </c>
      <c r="AHA1">
        <f>Database!AHT1</f>
        <v>0</v>
      </c>
      <c r="AHB1">
        <f>Database!AHU1</f>
        <v>0</v>
      </c>
      <c r="AHC1">
        <f>Database!AHV1</f>
        <v>0</v>
      </c>
      <c r="AHD1">
        <f>Database!AHW1</f>
        <v>0</v>
      </c>
      <c r="AHE1">
        <f>Database!AHX1</f>
        <v>0</v>
      </c>
      <c r="AHF1">
        <f>Database!AHY1</f>
        <v>0</v>
      </c>
      <c r="AHG1">
        <f>Database!AHZ1</f>
        <v>0</v>
      </c>
      <c r="AHH1">
        <f>Database!AIA1</f>
        <v>0</v>
      </c>
      <c r="AHI1">
        <f>Database!AIB1</f>
        <v>0</v>
      </c>
      <c r="AHJ1">
        <f>Database!AIC1</f>
        <v>0</v>
      </c>
      <c r="AHK1">
        <f>Database!AID1</f>
        <v>0</v>
      </c>
      <c r="AHL1">
        <f>Database!AIE1</f>
        <v>0</v>
      </c>
      <c r="AHM1">
        <f>Database!AIF1</f>
        <v>0</v>
      </c>
      <c r="AHN1">
        <f>Database!AIG1</f>
        <v>0</v>
      </c>
      <c r="AHO1">
        <f>Database!AIH1</f>
        <v>0</v>
      </c>
      <c r="AHP1">
        <f>Database!AII1</f>
        <v>0</v>
      </c>
      <c r="AHQ1">
        <f>Database!AIJ1</f>
        <v>0</v>
      </c>
      <c r="AHR1">
        <f>Database!AIK1</f>
        <v>0</v>
      </c>
      <c r="AHS1">
        <f>Database!AIL1</f>
        <v>0</v>
      </c>
      <c r="AHT1">
        <f>Database!AIM1</f>
        <v>0</v>
      </c>
      <c r="AHU1">
        <f>Database!AIN1</f>
        <v>0</v>
      </c>
      <c r="AHV1">
        <f>Database!AIO1</f>
        <v>0</v>
      </c>
      <c r="AHW1">
        <f>Database!AIP1</f>
        <v>0</v>
      </c>
      <c r="AHX1">
        <f>Database!AIQ1</f>
        <v>0</v>
      </c>
      <c r="AHY1">
        <f>Database!AIR1</f>
        <v>0</v>
      </c>
      <c r="AHZ1">
        <f>Database!AIS1</f>
        <v>0</v>
      </c>
      <c r="AIA1">
        <f>Database!AIT1</f>
        <v>0</v>
      </c>
      <c r="AIB1">
        <f>Database!AIU1</f>
        <v>0</v>
      </c>
      <c r="AIC1">
        <f>Database!AIV1</f>
        <v>0</v>
      </c>
      <c r="AID1">
        <f>Database!AIW1</f>
        <v>0</v>
      </c>
      <c r="AIE1">
        <f>Database!AIX1</f>
        <v>0</v>
      </c>
      <c r="AIF1">
        <f>Database!AIY1</f>
        <v>0</v>
      </c>
      <c r="AIG1">
        <f>Database!AIZ1</f>
        <v>0</v>
      </c>
      <c r="AIH1">
        <f>Database!AJA1</f>
        <v>0</v>
      </c>
      <c r="AII1">
        <f>Database!AJB1</f>
        <v>0</v>
      </c>
      <c r="AIJ1">
        <f>Database!AJC1</f>
        <v>0</v>
      </c>
      <c r="AIK1">
        <f>Database!AJD1</f>
        <v>0</v>
      </c>
      <c r="AIL1">
        <f>Database!AJE1</f>
        <v>0</v>
      </c>
      <c r="AIM1">
        <f>Database!AJF1</f>
        <v>0</v>
      </c>
      <c r="AIN1">
        <f>Database!AJG1</f>
        <v>0</v>
      </c>
      <c r="AIO1">
        <f>Database!AJH1</f>
        <v>0</v>
      </c>
      <c r="AIP1">
        <f>Database!AJI1</f>
        <v>0</v>
      </c>
      <c r="AIQ1">
        <f>Database!AJJ1</f>
        <v>0</v>
      </c>
      <c r="AIR1">
        <f>Database!AJK1</f>
        <v>0</v>
      </c>
      <c r="AIS1">
        <f>Database!AJL1</f>
        <v>0</v>
      </c>
      <c r="AIT1">
        <f>Database!AJM1</f>
        <v>0</v>
      </c>
      <c r="AIU1">
        <f>Database!AJN1</f>
        <v>0</v>
      </c>
      <c r="AIV1">
        <f>Database!AJO1</f>
        <v>0</v>
      </c>
      <c r="AIW1">
        <f>Database!AJP1</f>
        <v>0</v>
      </c>
      <c r="AIX1">
        <f>Database!AJQ1</f>
        <v>0</v>
      </c>
      <c r="AIY1">
        <f>Database!AJR1</f>
        <v>0</v>
      </c>
      <c r="AIZ1">
        <f>Database!AJS1</f>
        <v>0</v>
      </c>
      <c r="AJA1">
        <f>Database!AJT1</f>
        <v>0</v>
      </c>
      <c r="AJB1">
        <f>Database!AJU1</f>
        <v>0</v>
      </c>
      <c r="AJC1">
        <f>Database!AJV1</f>
        <v>0</v>
      </c>
      <c r="AJD1">
        <f>Database!AJW1</f>
        <v>0</v>
      </c>
      <c r="AJE1">
        <f>Database!AJX1</f>
        <v>0</v>
      </c>
      <c r="AJF1">
        <f>Database!AJY1</f>
        <v>0</v>
      </c>
      <c r="AJG1">
        <f>Database!AJZ1</f>
        <v>0</v>
      </c>
      <c r="AJH1">
        <f>Database!AKA1</f>
        <v>0</v>
      </c>
      <c r="AJI1">
        <f>Database!AKB1</f>
        <v>0</v>
      </c>
      <c r="AJJ1">
        <f>Database!AKC1</f>
        <v>0</v>
      </c>
      <c r="AJK1">
        <f>Database!AKD1</f>
        <v>0</v>
      </c>
      <c r="AJL1">
        <f>Database!AKE1</f>
        <v>0</v>
      </c>
      <c r="AJM1">
        <f>Database!AKF1</f>
        <v>0</v>
      </c>
      <c r="AJN1">
        <f>Database!AKG1</f>
        <v>0</v>
      </c>
      <c r="AJO1">
        <f>Database!AKH1</f>
        <v>0</v>
      </c>
      <c r="AJP1">
        <f>Database!AKI1</f>
        <v>0</v>
      </c>
      <c r="AJQ1">
        <f>Database!AKJ1</f>
        <v>0</v>
      </c>
      <c r="AJR1">
        <f>Database!AKK1</f>
        <v>0</v>
      </c>
      <c r="AJS1">
        <f>Database!AKL1</f>
        <v>0</v>
      </c>
      <c r="AJT1">
        <f>Database!AKM1</f>
        <v>0</v>
      </c>
      <c r="AJU1">
        <f>Database!AKN1</f>
        <v>0</v>
      </c>
      <c r="AJV1">
        <f>Database!AKO1</f>
        <v>0</v>
      </c>
      <c r="AJW1">
        <f>Database!AKP1</f>
        <v>0</v>
      </c>
      <c r="AJX1">
        <f>Database!AKQ1</f>
        <v>0</v>
      </c>
      <c r="AJY1">
        <f>Database!AKR1</f>
        <v>0</v>
      </c>
      <c r="AJZ1">
        <f>Database!AKS1</f>
        <v>0</v>
      </c>
      <c r="AKA1">
        <f>Database!AKT1</f>
        <v>0</v>
      </c>
      <c r="AKB1">
        <f>Database!AKU1</f>
        <v>0</v>
      </c>
      <c r="AKC1">
        <f>Database!AKV1</f>
        <v>0</v>
      </c>
      <c r="AKD1">
        <f>Database!AKW1</f>
        <v>0</v>
      </c>
      <c r="AKE1">
        <f>Database!AKX1</f>
        <v>0</v>
      </c>
      <c r="AKF1">
        <f>Database!AKY1</f>
        <v>0</v>
      </c>
      <c r="AKG1">
        <f>Database!AKZ1</f>
        <v>0</v>
      </c>
      <c r="AKH1">
        <f>Database!ALA1</f>
        <v>0</v>
      </c>
      <c r="AKI1">
        <f>Database!ALB1</f>
        <v>0</v>
      </c>
      <c r="AKJ1">
        <f>Database!ALC1</f>
        <v>0</v>
      </c>
      <c r="AKK1">
        <f>Database!ALD1</f>
        <v>0</v>
      </c>
      <c r="AKL1">
        <f>Database!ALE1</f>
        <v>0</v>
      </c>
      <c r="AKM1">
        <f>Database!ALF1</f>
        <v>0</v>
      </c>
      <c r="AKN1">
        <f>Database!ALG1</f>
        <v>0</v>
      </c>
      <c r="AKO1">
        <f>Database!ALH1</f>
        <v>0</v>
      </c>
      <c r="AKP1">
        <f>Database!ALI1</f>
        <v>0</v>
      </c>
      <c r="AKQ1">
        <f>Database!ALJ1</f>
        <v>0</v>
      </c>
      <c r="AKR1">
        <f>Database!ALK1</f>
        <v>0</v>
      </c>
      <c r="AKS1">
        <f>Database!ALL1</f>
        <v>0</v>
      </c>
      <c r="AKT1">
        <f>Database!ALM1</f>
        <v>0</v>
      </c>
      <c r="AKU1">
        <f>Database!ALN1</f>
        <v>0</v>
      </c>
      <c r="AKV1">
        <f>Database!ALO1</f>
        <v>0</v>
      </c>
      <c r="AKW1">
        <f>Database!ALP1</f>
        <v>0</v>
      </c>
      <c r="AKX1">
        <f>Database!ALQ1</f>
        <v>0</v>
      </c>
      <c r="AKY1">
        <f>Database!ALR1</f>
        <v>0</v>
      </c>
      <c r="AKZ1">
        <f>Database!ALS1</f>
        <v>0</v>
      </c>
      <c r="ALA1">
        <f>Database!ALT1</f>
        <v>0</v>
      </c>
      <c r="ALB1">
        <f>Database!ALU1</f>
        <v>0</v>
      </c>
      <c r="ALC1">
        <f>Database!ALV1</f>
        <v>0</v>
      </c>
      <c r="ALD1">
        <f>Database!ALW1</f>
        <v>0</v>
      </c>
      <c r="ALE1">
        <f>Database!ALX1</f>
        <v>0</v>
      </c>
      <c r="ALF1">
        <f>Database!ALY1</f>
        <v>0</v>
      </c>
      <c r="ALG1">
        <f>Database!ALZ1</f>
        <v>0</v>
      </c>
      <c r="ALH1">
        <f>Database!AMA1</f>
        <v>0</v>
      </c>
      <c r="ALI1">
        <f>Database!AMB1</f>
        <v>0</v>
      </c>
      <c r="ALJ1">
        <f>Database!AMC1</f>
        <v>0</v>
      </c>
      <c r="ALK1">
        <f>Database!AMD1</f>
        <v>0</v>
      </c>
      <c r="ALL1">
        <f>Database!AME1</f>
        <v>0</v>
      </c>
      <c r="ALM1">
        <f>Database!AMF1</f>
        <v>0</v>
      </c>
      <c r="ALN1">
        <f>Database!AMG1</f>
        <v>0</v>
      </c>
      <c r="ALO1">
        <f>Database!AMH1</f>
        <v>0</v>
      </c>
      <c r="ALP1">
        <f>Database!AMI1</f>
        <v>0</v>
      </c>
      <c r="ALQ1">
        <f>Database!AMJ1</f>
        <v>0</v>
      </c>
      <c r="ALR1">
        <f>Database!AMK1</f>
        <v>0</v>
      </c>
      <c r="ALS1">
        <f>Database!AML1</f>
        <v>0</v>
      </c>
      <c r="ALT1">
        <f>Database!AMM1</f>
        <v>0</v>
      </c>
      <c r="ALU1">
        <f>Database!AMN1</f>
        <v>0</v>
      </c>
      <c r="ALV1">
        <f>Database!AMO1</f>
        <v>0</v>
      </c>
      <c r="ALW1">
        <f>Database!AMP1</f>
        <v>0</v>
      </c>
      <c r="ALX1">
        <f>Database!AMQ1</f>
        <v>0</v>
      </c>
      <c r="ALY1">
        <f>Database!AMR1</f>
        <v>0</v>
      </c>
      <c r="ALZ1">
        <f>Database!AMS1</f>
        <v>0</v>
      </c>
      <c r="AMA1">
        <f>Database!AMT1</f>
        <v>0</v>
      </c>
      <c r="AMB1">
        <f>Database!AMU1</f>
        <v>0</v>
      </c>
      <c r="AMC1">
        <f>Database!AMV1</f>
        <v>0</v>
      </c>
      <c r="AMD1">
        <f>Database!AMW1</f>
        <v>0</v>
      </c>
      <c r="AME1">
        <f>Database!AMX1</f>
        <v>0</v>
      </c>
      <c r="AMF1">
        <f>Database!AMY1</f>
        <v>0</v>
      </c>
      <c r="AMG1">
        <f>Database!AMZ1</f>
        <v>0</v>
      </c>
      <c r="AMH1">
        <f>Database!ANA1</f>
        <v>0</v>
      </c>
      <c r="AMI1">
        <f>Database!ANB1</f>
        <v>0</v>
      </c>
      <c r="AMJ1">
        <f>Database!ANC1</f>
        <v>0</v>
      </c>
      <c r="AMK1">
        <f>Database!AND1</f>
        <v>0</v>
      </c>
      <c r="AML1">
        <f>Database!ANE1</f>
        <v>0</v>
      </c>
      <c r="AMM1">
        <f>Database!ANF1</f>
        <v>0</v>
      </c>
      <c r="AMN1">
        <f>Database!ANG1</f>
        <v>0</v>
      </c>
      <c r="AMO1">
        <f>Database!ANH1</f>
        <v>0</v>
      </c>
      <c r="AMP1">
        <f>Database!ANI1</f>
        <v>0</v>
      </c>
      <c r="AMQ1">
        <f>Database!ANJ1</f>
        <v>0</v>
      </c>
      <c r="AMR1">
        <f>Database!ANK1</f>
        <v>0</v>
      </c>
      <c r="AMS1">
        <f>Database!ANL1</f>
        <v>0</v>
      </c>
      <c r="AMT1">
        <f>Database!ANM1</f>
        <v>0</v>
      </c>
      <c r="AMU1">
        <f>Database!ANN1</f>
        <v>0</v>
      </c>
      <c r="AMV1">
        <f>Database!ANO1</f>
        <v>0</v>
      </c>
      <c r="AMW1">
        <f>Database!ANP1</f>
        <v>0</v>
      </c>
      <c r="AMX1">
        <f>Database!ANQ1</f>
        <v>0</v>
      </c>
      <c r="AMY1">
        <f>Database!ANR1</f>
        <v>0</v>
      </c>
      <c r="AMZ1">
        <f>Database!ANS1</f>
        <v>0</v>
      </c>
      <c r="ANA1">
        <f>Database!ANT1</f>
        <v>0</v>
      </c>
      <c r="ANB1">
        <f>Database!ANU1</f>
        <v>0</v>
      </c>
      <c r="ANC1">
        <f>Database!ANV1</f>
        <v>0</v>
      </c>
      <c r="AND1">
        <f>Database!ANW1</f>
        <v>0</v>
      </c>
      <c r="ANE1">
        <f>Database!ANX1</f>
        <v>0</v>
      </c>
      <c r="ANF1">
        <f>Database!ANY1</f>
        <v>0</v>
      </c>
      <c r="ANG1">
        <f>Database!ANZ1</f>
        <v>0</v>
      </c>
      <c r="ANH1">
        <f>Database!AOA1</f>
        <v>0</v>
      </c>
      <c r="ANI1">
        <f>Database!AOB1</f>
        <v>0</v>
      </c>
      <c r="ANJ1">
        <f>Database!AOC1</f>
        <v>0</v>
      </c>
      <c r="ANK1">
        <f>Database!AOD1</f>
        <v>0</v>
      </c>
      <c r="ANL1">
        <f>Database!AOE1</f>
        <v>0</v>
      </c>
      <c r="ANM1">
        <f>Database!AOF1</f>
        <v>0</v>
      </c>
      <c r="ANN1">
        <f>Database!AOG1</f>
        <v>0</v>
      </c>
      <c r="ANO1">
        <f>Database!AOH1</f>
        <v>0</v>
      </c>
      <c r="ANP1">
        <f>Database!AOI1</f>
        <v>0</v>
      </c>
      <c r="ANQ1">
        <f>Database!AOJ1</f>
        <v>0</v>
      </c>
      <c r="ANR1">
        <f>Database!AOK1</f>
        <v>0</v>
      </c>
      <c r="ANS1">
        <f>Database!AOL1</f>
        <v>0</v>
      </c>
      <c r="ANT1">
        <f>Database!AOM1</f>
        <v>0</v>
      </c>
      <c r="ANU1">
        <f>Database!AON1</f>
        <v>0</v>
      </c>
      <c r="ANV1">
        <f>Database!AOO1</f>
        <v>0</v>
      </c>
      <c r="ANW1">
        <f>Database!AOP1</f>
        <v>0</v>
      </c>
      <c r="ANX1">
        <f>Database!AOQ1</f>
        <v>0</v>
      </c>
      <c r="ANY1">
        <f>Database!AOR1</f>
        <v>0</v>
      </c>
      <c r="ANZ1">
        <f>Database!AOS1</f>
        <v>0</v>
      </c>
      <c r="AOA1">
        <f>Database!AOT1</f>
        <v>0</v>
      </c>
      <c r="AOB1">
        <f>Database!AOU1</f>
        <v>0</v>
      </c>
      <c r="AOC1">
        <f>Database!AOV1</f>
        <v>0</v>
      </c>
      <c r="AOD1">
        <f>Database!AOW1</f>
        <v>0</v>
      </c>
      <c r="AOE1">
        <f>Database!AOX1</f>
        <v>0</v>
      </c>
      <c r="AOF1">
        <f>Database!AOY1</f>
        <v>0</v>
      </c>
      <c r="AOG1">
        <f>Database!AOZ1</f>
        <v>0</v>
      </c>
      <c r="AOH1">
        <f>Database!APA1</f>
        <v>0</v>
      </c>
      <c r="AOI1">
        <f>Database!APB1</f>
        <v>0</v>
      </c>
      <c r="AOJ1">
        <f>Database!APC1</f>
        <v>0</v>
      </c>
      <c r="AOK1">
        <f>Database!APD1</f>
        <v>0</v>
      </c>
      <c r="AOL1">
        <f>Database!APE1</f>
        <v>0</v>
      </c>
      <c r="AOM1">
        <f>Database!APF1</f>
        <v>0</v>
      </c>
      <c r="AON1">
        <f>Database!APG1</f>
        <v>0</v>
      </c>
      <c r="AOO1">
        <f>Database!APH1</f>
        <v>0</v>
      </c>
      <c r="AOP1">
        <f>Database!API1</f>
        <v>0</v>
      </c>
      <c r="AOQ1">
        <f>Database!APJ1</f>
        <v>0</v>
      </c>
      <c r="AOR1">
        <f>Database!APK1</f>
        <v>0</v>
      </c>
      <c r="AOS1">
        <f>Database!APL1</f>
        <v>0</v>
      </c>
      <c r="AOT1">
        <f>Database!APM1</f>
        <v>0</v>
      </c>
      <c r="AOU1">
        <f>Database!APN1</f>
        <v>0</v>
      </c>
      <c r="AOV1">
        <f>Database!APO1</f>
        <v>0</v>
      </c>
      <c r="AOW1">
        <f>Database!APP1</f>
        <v>0</v>
      </c>
      <c r="AOX1">
        <f>Database!APQ1</f>
        <v>0</v>
      </c>
      <c r="AOY1">
        <f>Database!APR1</f>
        <v>0</v>
      </c>
      <c r="AOZ1">
        <f>Database!APS1</f>
        <v>0</v>
      </c>
      <c r="APA1">
        <f>Database!APT1</f>
        <v>0</v>
      </c>
      <c r="APB1">
        <f>Database!APU1</f>
        <v>0</v>
      </c>
      <c r="APC1">
        <f>Database!APV1</f>
        <v>0</v>
      </c>
      <c r="APD1">
        <f>Database!APW1</f>
        <v>0</v>
      </c>
      <c r="APE1">
        <f>Database!APX1</f>
        <v>0</v>
      </c>
      <c r="APF1">
        <f>Database!APY1</f>
        <v>0</v>
      </c>
      <c r="APG1">
        <f>Database!APZ1</f>
        <v>0</v>
      </c>
      <c r="APH1">
        <f>Database!AQA1</f>
        <v>0</v>
      </c>
      <c r="API1">
        <f>Database!AQB1</f>
        <v>0</v>
      </c>
      <c r="APJ1">
        <f>Database!AQC1</f>
        <v>0</v>
      </c>
      <c r="APK1">
        <f>Database!AQD1</f>
        <v>0</v>
      </c>
      <c r="APL1">
        <f>Database!AQE1</f>
        <v>0</v>
      </c>
      <c r="APM1">
        <f>Database!AQF1</f>
        <v>0</v>
      </c>
      <c r="APN1">
        <f>Database!AQG1</f>
        <v>0</v>
      </c>
      <c r="APO1">
        <f>Database!AQH1</f>
        <v>0</v>
      </c>
      <c r="APP1">
        <f>Database!AQI1</f>
        <v>0</v>
      </c>
      <c r="APQ1">
        <f>Database!AQJ1</f>
        <v>0</v>
      </c>
      <c r="APR1">
        <f>Database!AQK1</f>
        <v>0</v>
      </c>
      <c r="APS1">
        <f>Database!AQL1</f>
        <v>0</v>
      </c>
      <c r="APT1">
        <f>Database!AQM1</f>
        <v>0</v>
      </c>
      <c r="APU1">
        <f>Database!AQN1</f>
        <v>0</v>
      </c>
      <c r="APV1">
        <f>Database!AQO1</f>
        <v>0</v>
      </c>
      <c r="APW1">
        <f>Database!AQP1</f>
        <v>0</v>
      </c>
      <c r="APX1">
        <f>Database!AQQ1</f>
        <v>0</v>
      </c>
      <c r="APY1">
        <f>Database!AQR1</f>
        <v>0</v>
      </c>
      <c r="APZ1">
        <f>Database!AQS1</f>
        <v>0</v>
      </c>
      <c r="AQA1">
        <f>Database!AQT1</f>
        <v>0</v>
      </c>
      <c r="AQB1">
        <f>Database!AQU1</f>
        <v>0</v>
      </c>
      <c r="AQC1">
        <f>Database!AQV1</f>
        <v>0</v>
      </c>
      <c r="AQD1">
        <f>Database!AQW1</f>
        <v>0</v>
      </c>
      <c r="AQE1">
        <f>Database!AQX1</f>
        <v>0</v>
      </c>
      <c r="AQF1">
        <f>Database!AQY1</f>
        <v>0</v>
      </c>
      <c r="AQG1">
        <f>Database!AQZ1</f>
        <v>0</v>
      </c>
      <c r="AQH1">
        <f>Database!ARA1</f>
        <v>0</v>
      </c>
      <c r="AQI1">
        <f>Database!ARB1</f>
        <v>0</v>
      </c>
      <c r="AQJ1">
        <f>Database!ARC1</f>
        <v>0</v>
      </c>
      <c r="AQK1">
        <f>Database!ARD1</f>
        <v>0</v>
      </c>
      <c r="AQL1">
        <f>Database!ARE1</f>
        <v>0</v>
      </c>
      <c r="AQM1">
        <f>Database!ARF1</f>
        <v>0</v>
      </c>
      <c r="AQN1">
        <f>Database!ARG1</f>
        <v>0</v>
      </c>
      <c r="AQO1">
        <f>Database!ARH1</f>
        <v>0</v>
      </c>
      <c r="AQP1">
        <f>Database!ARI1</f>
        <v>0</v>
      </c>
      <c r="AQQ1">
        <f>Database!ARJ1</f>
        <v>0</v>
      </c>
      <c r="AQR1">
        <f>Database!ARK1</f>
        <v>0</v>
      </c>
      <c r="AQS1">
        <f>Database!ARL1</f>
        <v>0</v>
      </c>
      <c r="AQT1">
        <f>Database!ARM1</f>
        <v>0</v>
      </c>
      <c r="AQU1">
        <f>Database!ARN1</f>
        <v>0</v>
      </c>
      <c r="AQV1">
        <f>Database!ARO1</f>
        <v>0</v>
      </c>
      <c r="AQW1">
        <f>Database!ARP1</f>
        <v>0</v>
      </c>
      <c r="AQX1">
        <f>Database!ARQ1</f>
        <v>0</v>
      </c>
      <c r="AQY1">
        <f>Database!ARR1</f>
        <v>0</v>
      </c>
      <c r="AQZ1">
        <f>Database!ARS1</f>
        <v>0</v>
      </c>
      <c r="ARA1">
        <f>Database!ART1</f>
        <v>0</v>
      </c>
      <c r="ARB1">
        <f>Database!ARU1</f>
        <v>0</v>
      </c>
      <c r="ARC1">
        <f>Database!ARV1</f>
        <v>0</v>
      </c>
      <c r="ARD1">
        <f>Database!ARW1</f>
        <v>0</v>
      </c>
      <c r="ARE1">
        <f>Database!ARX1</f>
        <v>0</v>
      </c>
      <c r="ARF1">
        <f>Database!ARY1</f>
        <v>0</v>
      </c>
      <c r="ARG1">
        <f>Database!ARZ1</f>
        <v>0</v>
      </c>
      <c r="ARH1">
        <f>Database!ASA1</f>
        <v>0</v>
      </c>
      <c r="ARI1">
        <f>Database!ASB1</f>
        <v>0</v>
      </c>
      <c r="ARJ1">
        <f>Database!ASC1</f>
        <v>0</v>
      </c>
      <c r="ARK1">
        <f>Database!ASD1</f>
        <v>0</v>
      </c>
      <c r="ARL1">
        <f>Database!ASE1</f>
        <v>0</v>
      </c>
      <c r="ARM1">
        <f>Database!ASF1</f>
        <v>0</v>
      </c>
      <c r="ARN1">
        <f>Database!ASG1</f>
        <v>0</v>
      </c>
      <c r="ARO1">
        <f>Database!ASH1</f>
        <v>0</v>
      </c>
      <c r="ARP1">
        <f>Database!ASI1</f>
        <v>0</v>
      </c>
      <c r="ARQ1">
        <f>Database!ASJ1</f>
        <v>0</v>
      </c>
      <c r="ARR1">
        <f>Database!ASK1</f>
        <v>0</v>
      </c>
      <c r="ARS1">
        <f>Database!ASL1</f>
        <v>0</v>
      </c>
      <c r="ART1">
        <f>Database!ASM1</f>
        <v>0</v>
      </c>
      <c r="ARU1">
        <f>Database!ASN1</f>
        <v>0</v>
      </c>
      <c r="ARV1">
        <f>Database!ASO1</f>
        <v>0</v>
      </c>
      <c r="ARW1">
        <f>Database!ASP1</f>
        <v>0</v>
      </c>
      <c r="ARX1">
        <f>Database!ASQ1</f>
        <v>0</v>
      </c>
      <c r="ARY1">
        <f>Database!ASR1</f>
        <v>0</v>
      </c>
      <c r="ARZ1">
        <f>Database!ASS1</f>
        <v>0</v>
      </c>
      <c r="ASA1">
        <f>Database!AST1</f>
        <v>0</v>
      </c>
      <c r="ASB1">
        <f>Database!ASU1</f>
        <v>0</v>
      </c>
      <c r="ASC1">
        <f>Database!ASV1</f>
        <v>0</v>
      </c>
      <c r="ASD1">
        <f>Database!ASW1</f>
        <v>0</v>
      </c>
      <c r="ASE1">
        <f>Database!ASX1</f>
        <v>0</v>
      </c>
      <c r="ASF1">
        <f>Database!ASY1</f>
        <v>0</v>
      </c>
      <c r="ASG1">
        <f>Database!ASZ1</f>
        <v>0</v>
      </c>
      <c r="ASH1">
        <f>Database!ATA1</f>
        <v>0</v>
      </c>
      <c r="ASI1">
        <f>Database!ATB1</f>
        <v>0</v>
      </c>
      <c r="ASJ1">
        <f>Database!ATC1</f>
        <v>0</v>
      </c>
      <c r="ASK1">
        <f>Database!ATD1</f>
        <v>0</v>
      </c>
      <c r="ASL1">
        <f>Database!ATE1</f>
        <v>0</v>
      </c>
      <c r="ASM1">
        <f>Database!ATF1</f>
        <v>0</v>
      </c>
      <c r="ASN1">
        <f>Database!ATG1</f>
        <v>0</v>
      </c>
      <c r="ASO1">
        <f>Database!ATH1</f>
        <v>0</v>
      </c>
      <c r="ASP1">
        <f>Database!ATI1</f>
        <v>0</v>
      </c>
      <c r="ASQ1">
        <f>Database!ATJ1</f>
        <v>0</v>
      </c>
      <c r="ASR1">
        <f>Database!ATK1</f>
        <v>0</v>
      </c>
      <c r="ASS1">
        <f>Database!ATL1</f>
        <v>0</v>
      </c>
      <c r="AST1">
        <f>Database!ATM1</f>
        <v>0</v>
      </c>
      <c r="ASU1">
        <f>Database!ATN1</f>
        <v>0</v>
      </c>
      <c r="ASV1">
        <f>Database!ATO1</f>
        <v>0</v>
      </c>
      <c r="ASW1">
        <f>Database!ATP1</f>
        <v>0</v>
      </c>
      <c r="ASX1">
        <f>Database!ATQ1</f>
        <v>0</v>
      </c>
      <c r="ASY1">
        <f>Database!ATR1</f>
        <v>0</v>
      </c>
      <c r="ASZ1">
        <f>Database!ATS1</f>
        <v>0</v>
      </c>
      <c r="ATA1">
        <f>Database!ATT1</f>
        <v>0</v>
      </c>
      <c r="ATB1">
        <f>Database!ATU1</f>
        <v>0</v>
      </c>
      <c r="ATC1">
        <f>Database!ATV1</f>
        <v>0</v>
      </c>
      <c r="ATD1">
        <f>Database!ATW1</f>
        <v>0</v>
      </c>
      <c r="ATE1">
        <f>Database!ATX1</f>
        <v>0</v>
      </c>
      <c r="ATF1">
        <f>Database!ATY1</f>
        <v>0</v>
      </c>
      <c r="ATG1">
        <f>Database!ATZ1</f>
        <v>0</v>
      </c>
      <c r="ATH1">
        <f>Database!AUA1</f>
        <v>0</v>
      </c>
      <c r="ATI1">
        <f>Database!AUB1</f>
        <v>0</v>
      </c>
      <c r="ATJ1">
        <f>Database!AUC1</f>
        <v>0</v>
      </c>
      <c r="ATK1">
        <f>Database!AUD1</f>
        <v>0</v>
      </c>
      <c r="ATL1">
        <f>Database!AUE1</f>
        <v>0</v>
      </c>
      <c r="ATM1">
        <f>Database!AUF1</f>
        <v>0</v>
      </c>
      <c r="ATN1">
        <f>Database!AUG1</f>
        <v>0</v>
      </c>
      <c r="ATO1">
        <f>Database!AUH1</f>
        <v>0</v>
      </c>
      <c r="ATP1">
        <f>Database!AUI1</f>
        <v>0</v>
      </c>
      <c r="ATQ1">
        <f>Database!AUJ1</f>
        <v>0</v>
      </c>
      <c r="ATR1">
        <f>Database!AUK1</f>
        <v>0</v>
      </c>
      <c r="ATS1">
        <f>Database!AUL1</f>
        <v>0</v>
      </c>
      <c r="ATT1">
        <f>Database!AUM1</f>
        <v>0</v>
      </c>
      <c r="ATU1">
        <f>Database!AUN1</f>
        <v>0</v>
      </c>
      <c r="ATV1">
        <f>Database!AUO1</f>
        <v>0</v>
      </c>
      <c r="ATW1">
        <f>Database!AUP1</f>
        <v>0</v>
      </c>
      <c r="ATX1">
        <f>Database!AUQ1</f>
        <v>0</v>
      </c>
      <c r="ATY1">
        <f>Database!AUR1</f>
        <v>0</v>
      </c>
      <c r="ATZ1">
        <f>Database!AUS1</f>
        <v>0</v>
      </c>
      <c r="AUA1">
        <f>Database!AUT1</f>
        <v>0</v>
      </c>
      <c r="AUB1">
        <f>Database!AUU1</f>
        <v>0</v>
      </c>
      <c r="AUC1">
        <f>Database!AUV1</f>
        <v>0</v>
      </c>
      <c r="AUD1">
        <f>Database!AUW1</f>
        <v>0</v>
      </c>
      <c r="AUE1">
        <f>Database!AUX1</f>
        <v>0</v>
      </c>
      <c r="AUF1">
        <f>Database!AUY1</f>
        <v>0</v>
      </c>
      <c r="AUG1">
        <f>Database!AUZ1</f>
        <v>0</v>
      </c>
      <c r="AUH1">
        <f>Database!AVA1</f>
        <v>0</v>
      </c>
      <c r="AUI1">
        <f>Database!AVB1</f>
        <v>0</v>
      </c>
      <c r="AUJ1">
        <f>Database!AVC1</f>
        <v>0</v>
      </c>
      <c r="AUK1">
        <f>Database!AVD1</f>
        <v>0</v>
      </c>
      <c r="AUL1">
        <f>Database!AVE1</f>
        <v>0</v>
      </c>
      <c r="AUM1">
        <f>Database!AVF1</f>
        <v>0</v>
      </c>
      <c r="AUN1">
        <f>Database!AVG1</f>
        <v>0</v>
      </c>
      <c r="AUO1">
        <f>Database!AVH1</f>
        <v>0</v>
      </c>
      <c r="AUP1">
        <f>Database!AVI1</f>
        <v>0</v>
      </c>
      <c r="AUQ1">
        <f>Database!AVJ1</f>
        <v>0</v>
      </c>
      <c r="AUR1">
        <f>Database!AVK1</f>
        <v>0</v>
      </c>
      <c r="AUS1">
        <f>Database!AVL1</f>
        <v>0</v>
      </c>
      <c r="AUT1">
        <f>Database!AVM1</f>
        <v>0</v>
      </c>
      <c r="AUU1">
        <f>Database!AVN1</f>
        <v>0</v>
      </c>
      <c r="AUV1">
        <f>Database!AVO1</f>
        <v>0</v>
      </c>
      <c r="AUW1">
        <f>Database!AVP1</f>
        <v>0</v>
      </c>
      <c r="AUX1">
        <f>Database!AVQ1</f>
        <v>0</v>
      </c>
      <c r="AUY1">
        <f>Database!AVR1</f>
        <v>0</v>
      </c>
      <c r="AUZ1">
        <f>Database!AVS1</f>
        <v>0</v>
      </c>
      <c r="AVA1">
        <f>Database!AVT1</f>
        <v>0</v>
      </c>
      <c r="AVB1">
        <f>Database!AVU1</f>
        <v>0</v>
      </c>
      <c r="AVC1">
        <f>Database!AVV1</f>
        <v>0</v>
      </c>
      <c r="AVD1">
        <f>Database!AVW1</f>
        <v>0</v>
      </c>
      <c r="AVE1">
        <f>Database!AVX1</f>
        <v>0</v>
      </c>
      <c r="AVF1">
        <f>Database!AVY1</f>
        <v>0</v>
      </c>
      <c r="AVG1">
        <f>Database!AVZ1</f>
        <v>0</v>
      </c>
      <c r="AVH1">
        <f>Database!AWA1</f>
        <v>0</v>
      </c>
      <c r="AVI1">
        <f>Database!AWB1</f>
        <v>0</v>
      </c>
      <c r="AVJ1">
        <f>Database!AWC1</f>
        <v>0</v>
      </c>
      <c r="AVK1">
        <f>Database!AWD1</f>
        <v>0</v>
      </c>
      <c r="AVL1">
        <f>Database!AWE1</f>
        <v>0</v>
      </c>
      <c r="AVM1">
        <f>Database!AWF1</f>
        <v>0</v>
      </c>
      <c r="AVN1">
        <f>Database!AWG1</f>
        <v>0</v>
      </c>
      <c r="AVO1">
        <f>Database!AWH1</f>
        <v>0</v>
      </c>
      <c r="AVP1">
        <f>Database!AWI1</f>
        <v>0</v>
      </c>
      <c r="AVQ1">
        <f>Database!AWJ1</f>
        <v>0</v>
      </c>
      <c r="AVR1">
        <f>Database!AWK1</f>
        <v>0</v>
      </c>
      <c r="AVS1">
        <f>Database!AWL1</f>
        <v>0</v>
      </c>
      <c r="AVT1">
        <f>Database!AWM1</f>
        <v>0</v>
      </c>
      <c r="AVU1">
        <f>Database!AWN1</f>
        <v>0</v>
      </c>
      <c r="AVV1">
        <f>Database!AWO1</f>
        <v>0</v>
      </c>
      <c r="AVW1">
        <f>Database!AWP1</f>
        <v>0</v>
      </c>
      <c r="AVX1">
        <f>Database!AWQ1</f>
        <v>0</v>
      </c>
      <c r="AVY1">
        <f>Database!AWR1</f>
        <v>0</v>
      </c>
      <c r="AVZ1">
        <f>Database!AWS1</f>
        <v>0</v>
      </c>
      <c r="AWA1">
        <f>Database!AWT1</f>
        <v>0</v>
      </c>
      <c r="AWB1">
        <f>Database!AWU1</f>
        <v>0</v>
      </c>
      <c r="AWC1">
        <f>Database!AWV1</f>
        <v>0</v>
      </c>
      <c r="AWD1">
        <f>Database!AWW1</f>
        <v>0</v>
      </c>
      <c r="AWE1">
        <f>Database!AWX1</f>
        <v>0</v>
      </c>
      <c r="AWF1">
        <f>Database!AWY1</f>
        <v>0</v>
      </c>
      <c r="AWG1">
        <f>Database!AWZ1</f>
        <v>0</v>
      </c>
      <c r="AWH1">
        <f>Database!AXA1</f>
        <v>0</v>
      </c>
      <c r="AWI1">
        <f>Database!AXB1</f>
        <v>0</v>
      </c>
      <c r="AWJ1">
        <f>Database!AXC1</f>
        <v>0</v>
      </c>
      <c r="AWK1">
        <f>Database!AXD1</f>
        <v>0</v>
      </c>
      <c r="AWL1">
        <f>Database!AXE1</f>
        <v>0</v>
      </c>
      <c r="AWM1">
        <f>Database!AXF1</f>
        <v>0</v>
      </c>
      <c r="AWN1">
        <f>Database!AXG1</f>
        <v>0</v>
      </c>
      <c r="AWO1">
        <f>Database!AXH1</f>
        <v>0</v>
      </c>
      <c r="AWP1">
        <f>Database!AXI1</f>
        <v>0</v>
      </c>
      <c r="AWQ1">
        <f>Database!AXJ1</f>
        <v>0</v>
      </c>
      <c r="AWR1">
        <f>Database!AXK1</f>
        <v>0</v>
      </c>
      <c r="AWS1">
        <f>Database!AXL1</f>
        <v>0</v>
      </c>
      <c r="AWT1">
        <f>Database!AXM1</f>
        <v>0</v>
      </c>
      <c r="AWU1">
        <f>Database!AXN1</f>
        <v>0</v>
      </c>
      <c r="AWV1">
        <f>Database!AXO1</f>
        <v>0</v>
      </c>
      <c r="AWW1">
        <f>Database!AXP1</f>
        <v>0</v>
      </c>
      <c r="AWX1">
        <f>Database!AXQ1</f>
        <v>0</v>
      </c>
      <c r="AWY1">
        <f>Database!AXR1</f>
        <v>0</v>
      </c>
      <c r="AWZ1">
        <f>Database!AXS1</f>
        <v>0</v>
      </c>
      <c r="AXA1">
        <f>Database!AXT1</f>
        <v>0</v>
      </c>
      <c r="AXB1">
        <f>Database!AXU1</f>
        <v>0</v>
      </c>
      <c r="AXC1">
        <f>Database!AXV1</f>
        <v>0</v>
      </c>
      <c r="AXD1">
        <f>Database!AXW1</f>
        <v>0</v>
      </c>
      <c r="AXE1">
        <f>Database!AXX1</f>
        <v>0</v>
      </c>
      <c r="AXF1">
        <f>Database!AXY1</f>
        <v>0</v>
      </c>
      <c r="AXG1">
        <f>Database!AXZ1</f>
        <v>0</v>
      </c>
      <c r="AXH1">
        <f>Database!AYA1</f>
        <v>0</v>
      </c>
      <c r="AXI1">
        <f>Database!AYB1</f>
        <v>0</v>
      </c>
      <c r="AXJ1">
        <f>Database!AYC1</f>
        <v>0</v>
      </c>
      <c r="AXK1">
        <f>Database!AYD1</f>
        <v>0</v>
      </c>
      <c r="AXL1">
        <f>Database!AYE1</f>
        <v>0</v>
      </c>
      <c r="AXM1">
        <f>Database!AYF1</f>
        <v>0</v>
      </c>
      <c r="AXN1">
        <f>Database!AYG1</f>
        <v>0</v>
      </c>
      <c r="AXO1">
        <f>Database!AYH1</f>
        <v>0</v>
      </c>
      <c r="AXP1">
        <f>Database!AYI1</f>
        <v>0</v>
      </c>
      <c r="AXQ1">
        <f>Database!AYJ1</f>
        <v>0</v>
      </c>
      <c r="AXR1">
        <f>Database!AYK1</f>
        <v>0</v>
      </c>
      <c r="AXS1">
        <f>Database!AYL1</f>
        <v>0</v>
      </c>
      <c r="AXT1">
        <f>Database!AYM1</f>
        <v>0</v>
      </c>
      <c r="AXU1">
        <f>Database!AYN1</f>
        <v>0</v>
      </c>
      <c r="AXV1">
        <f>Database!AYO1</f>
        <v>0</v>
      </c>
      <c r="AXW1">
        <f>Database!AYP1</f>
        <v>0</v>
      </c>
      <c r="AXX1">
        <f>Database!AYQ1</f>
        <v>0</v>
      </c>
      <c r="AXY1">
        <f>Database!AYR1</f>
        <v>0</v>
      </c>
      <c r="AXZ1">
        <f>Database!AYS1</f>
        <v>0</v>
      </c>
      <c r="AYA1">
        <f>Database!AYT1</f>
        <v>0</v>
      </c>
      <c r="AYB1">
        <f>Database!AYU1</f>
        <v>0</v>
      </c>
      <c r="AYC1">
        <f>Database!AYV1</f>
        <v>0</v>
      </c>
      <c r="AYD1">
        <f>Database!AYW1</f>
        <v>0</v>
      </c>
      <c r="AYE1">
        <f>Database!AYX1</f>
        <v>0</v>
      </c>
      <c r="AYF1">
        <f>Database!AYY1</f>
        <v>0</v>
      </c>
      <c r="AYG1">
        <f>Database!AYZ1</f>
        <v>0</v>
      </c>
      <c r="AYH1">
        <f>Database!AZA1</f>
        <v>0</v>
      </c>
      <c r="AYI1">
        <f>Database!AZB1</f>
        <v>0</v>
      </c>
      <c r="AYJ1">
        <f>Database!AZC1</f>
        <v>0</v>
      </c>
      <c r="AYK1">
        <f>Database!AZD1</f>
        <v>0</v>
      </c>
      <c r="AYL1">
        <f>Database!AZE1</f>
        <v>0</v>
      </c>
      <c r="AYM1">
        <f>Database!AZF1</f>
        <v>0</v>
      </c>
      <c r="AYN1">
        <f>Database!AZG1</f>
        <v>0</v>
      </c>
      <c r="AYO1">
        <f>Database!AZH1</f>
        <v>0</v>
      </c>
      <c r="AYP1">
        <f>Database!AZI1</f>
        <v>0</v>
      </c>
      <c r="AYQ1">
        <f>Database!AZJ1</f>
        <v>0</v>
      </c>
      <c r="AYR1">
        <f>Database!AZK1</f>
        <v>0</v>
      </c>
      <c r="AYS1">
        <f>Database!AZL1</f>
        <v>0</v>
      </c>
      <c r="AYT1">
        <f>Database!AZM1</f>
        <v>0</v>
      </c>
      <c r="AYU1">
        <f>Database!AZN1</f>
        <v>0</v>
      </c>
      <c r="AYV1">
        <f>Database!AZO1</f>
        <v>0</v>
      </c>
      <c r="AYW1">
        <f>Database!AZP1</f>
        <v>0</v>
      </c>
      <c r="AYX1">
        <f>Database!AZQ1</f>
        <v>0</v>
      </c>
      <c r="AYY1">
        <f>Database!AZR1</f>
        <v>0</v>
      </c>
      <c r="AYZ1">
        <f>Database!AZS1</f>
        <v>0</v>
      </c>
      <c r="AZA1">
        <f>Database!AZT1</f>
        <v>0</v>
      </c>
      <c r="AZB1">
        <f>Database!AZU1</f>
        <v>0</v>
      </c>
      <c r="AZC1">
        <f>Database!AZV1</f>
        <v>0</v>
      </c>
      <c r="AZD1">
        <f>Database!AZW1</f>
        <v>0</v>
      </c>
      <c r="AZE1">
        <f>Database!AZX1</f>
        <v>0</v>
      </c>
      <c r="AZF1">
        <f>Database!AZY1</f>
        <v>0</v>
      </c>
      <c r="AZG1">
        <f>Database!AZZ1</f>
        <v>0</v>
      </c>
      <c r="AZH1">
        <f>Database!BAA1</f>
        <v>0</v>
      </c>
      <c r="AZI1">
        <f>Database!BAB1</f>
        <v>0</v>
      </c>
      <c r="AZJ1">
        <f>Database!BAC1</f>
        <v>0</v>
      </c>
      <c r="AZK1">
        <f>Database!BAD1</f>
        <v>0</v>
      </c>
      <c r="AZL1">
        <f>Database!BAE1</f>
        <v>0</v>
      </c>
      <c r="AZM1">
        <f>Database!BAF1</f>
        <v>0</v>
      </c>
      <c r="AZN1">
        <f>Database!BAG1</f>
        <v>0</v>
      </c>
      <c r="AZO1">
        <f>Database!BAH1</f>
        <v>0</v>
      </c>
      <c r="AZP1">
        <f>Database!BAI1</f>
        <v>0</v>
      </c>
      <c r="AZQ1">
        <f>Database!BAJ1</f>
        <v>0</v>
      </c>
      <c r="AZR1">
        <f>Database!BAK1</f>
        <v>0</v>
      </c>
      <c r="AZS1">
        <f>Database!BAL1</f>
        <v>0</v>
      </c>
      <c r="AZT1">
        <f>Database!BAM1</f>
        <v>0</v>
      </c>
      <c r="AZU1">
        <f>Database!BAN1</f>
        <v>0</v>
      </c>
      <c r="AZV1">
        <f>Database!BAO1</f>
        <v>0</v>
      </c>
      <c r="AZW1">
        <f>Database!BAP1</f>
        <v>0</v>
      </c>
      <c r="AZX1">
        <f>Database!BAQ1</f>
        <v>0</v>
      </c>
      <c r="AZY1">
        <f>Database!BAR1</f>
        <v>0</v>
      </c>
      <c r="AZZ1">
        <f>Database!BAS1</f>
        <v>0</v>
      </c>
      <c r="BAA1">
        <f>Database!BAT1</f>
        <v>0</v>
      </c>
      <c r="BAB1">
        <f>Database!BAU1</f>
        <v>0</v>
      </c>
      <c r="BAC1">
        <f>Database!BAV1</f>
        <v>0</v>
      </c>
      <c r="BAD1">
        <f>Database!BAW1</f>
        <v>0</v>
      </c>
      <c r="BAE1">
        <f>Database!BAX1</f>
        <v>0</v>
      </c>
      <c r="BAF1">
        <f>Database!BAY1</f>
        <v>0</v>
      </c>
      <c r="BAG1">
        <f>Database!BAZ1</f>
        <v>0</v>
      </c>
      <c r="BAH1">
        <f>Database!BBA1</f>
        <v>0</v>
      </c>
      <c r="BAI1">
        <f>Database!BBB1</f>
        <v>0</v>
      </c>
      <c r="BAJ1">
        <f>Database!BBC1</f>
        <v>0</v>
      </c>
      <c r="BAK1">
        <f>Database!BBD1</f>
        <v>0</v>
      </c>
      <c r="BAL1">
        <f>Database!BBE1</f>
        <v>0</v>
      </c>
      <c r="BAM1">
        <f>Database!BBF1</f>
        <v>0</v>
      </c>
      <c r="BAN1">
        <f>Database!BBG1</f>
        <v>0</v>
      </c>
      <c r="BAO1">
        <f>Database!BBH1</f>
        <v>0</v>
      </c>
      <c r="BAP1">
        <f>Database!BBI1</f>
        <v>0</v>
      </c>
      <c r="BAQ1">
        <f>Database!BBJ1</f>
        <v>0</v>
      </c>
      <c r="BAR1">
        <f>Database!BBK1</f>
        <v>0</v>
      </c>
      <c r="BAS1">
        <f>Database!BBL1</f>
        <v>0</v>
      </c>
      <c r="BAT1">
        <f>Database!BBM1</f>
        <v>0</v>
      </c>
      <c r="BAU1">
        <f>Database!BBN1</f>
        <v>0</v>
      </c>
      <c r="BAV1">
        <f>Database!BBO1</f>
        <v>0</v>
      </c>
      <c r="BAW1">
        <f>Database!BBP1</f>
        <v>0</v>
      </c>
      <c r="BAX1">
        <f>Database!BBQ1</f>
        <v>0</v>
      </c>
      <c r="BAY1">
        <f>Database!BBR1</f>
        <v>0</v>
      </c>
      <c r="BAZ1">
        <f>Database!BBS1</f>
        <v>0</v>
      </c>
      <c r="BBA1">
        <f>Database!BBT1</f>
        <v>0</v>
      </c>
      <c r="BBB1">
        <f>Database!BBU1</f>
        <v>0</v>
      </c>
      <c r="BBC1">
        <f>Database!BBV1</f>
        <v>0</v>
      </c>
      <c r="BBD1">
        <f>Database!BBW1</f>
        <v>0</v>
      </c>
      <c r="BBE1">
        <f>Database!BBX1</f>
        <v>0</v>
      </c>
      <c r="BBF1">
        <f>Database!BBY1</f>
        <v>0</v>
      </c>
      <c r="BBG1">
        <f>Database!BBZ1</f>
        <v>0</v>
      </c>
      <c r="BBH1">
        <f>Database!BCA1</f>
        <v>0</v>
      </c>
      <c r="BBI1">
        <f>Database!BCB1</f>
        <v>0</v>
      </c>
      <c r="BBJ1">
        <f>Database!BCC1</f>
        <v>0</v>
      </c>
      <c r="BBK1">
        <f>Database!BCD1</f>
        <v>0</v>
      </c>
      <c r="BBL1">
        <f>Database!BCE1</f>
        <v>0</v>
      </c>
      <c r="BBM1">
        <f>Database!BCF1</f>
        <v>0</v>
      </c>
      <c r="BBN1">
        <f>Database!BCG1</f>
        <v>0</v>
      </c>
      <c r="BBO1">
        <f>Database!BCH1</f>
        <v>0</v>
      </c>
      <c r="BBP1">
        <f>Database!BCI1</f>
        <v>0</v>
      </c>
      <c r="BBQ1">
        <f>Database!BCJ1</f>
        <v>0</v>
      </c>
      <c r="BBR1">
        <f>Database!BCK1</f>
        <v>0</v>
      </c>
      <c r="BBS1">
        <f>Database!BCL1</f>
        <v>0</v>
      </c>
      <c r="BBT1">
        <f>Database!BCM1</f>
        <v>0</v>
      </c>
      <c r="BBU1">
        <f>Database!BCN1</f>
        <v>0</v>
      </c>
      <c r="BBV1">
        <f>Database!BCO1</f>
        <v>0</v>
      </c>
      <c r="BBW1">
        <f>Database!BCP1</f>
        <v>0</v>
      </c>
      <c r="BBX1">
        <f>Database!BCQ1</f>
        <v>0</v>
      </c>
      <c r="BBY1">
        <f>Database!BCR1</f>
        <v>0</v>
      </c>
      <c r="BBZ1">
        <f>Database!BCS1</f>
        <v>0</v>
      </c>
      <c r="BCA1">
        <f>Database!BCT1</f>
        <v>0</v>
      </c>
      <c r="BCB1">
        <f>Database!BCU1</f>
        <v>0</v>
      </c>
      <c r="BCC1">
        <f>Database!BCV1</f>
        <v>0</v>
      </c>
      <c r="BCD1">
        <f>Database!BCW1</f>
        <v>0</v>
      </c>
      <c r="BCE1">
        <f>Database!BCX1</f>
        <v>0</v>
      </c>
      <c r="BCF1">
        <f>Database!BCY1</f>
        <v>0</v>
      </c>
      <c r="BCG1">
        <f>Database!BCZ1</f>
        <v>0</v>
      </c>
      <c r="BCH1">
        <f>Database!BDA1</f>
        <v>0</v>
      </c>
      <c r="BCI1">
        <f>Database!BDB1</f>
        <v>0</v>
      </c>
      <c r="BCJ1">
        <f>Database!BDC1</f>
        <v>0</v>
      </c>
      <c r="BCK1">
        <f>Database!BDD1</f>
        <v>0</v>
      </c>
      <c r="BCL1">
        <f>Database!BDE1</f>
        <v>0</v>
      </c>
      <c r="BCM1">
        <f>Database!BDF1</f>
        <v>0</v>
      </c>
      <c r="BCN1">
        <f>Database!BDG1</f>
        <v>0</v>
      </c>
      <c r="BCO1">
        <f>Database!BDH1</f>
        <v>0</v>
      </c>
      <c r="BCP1">
        <f>Database!BDI1</f>
        <v>0</v>
      </c>
      <c r="BCQ1">
        <f>Database!BDJ1</f>
        <v>0</v>
      </c>
      <c r="BCR1">
        <f>Database!BDK1</f>
        <v>0</v>
      </c>
      <c r="BCS1">
        <f>Database!BDL1</f>
        <v>0</v>
      </c>
      <c r="BCT1">
        <f>Database!BDM1</f>
        <v>0</v>
      </c>
      <c r="BCU1">
        <f>Database!BDN1</f>
        <v>0</v>
      </c>
      <c r="BCV1">
        <f>Database!BDO1</f>
        <v>0</v>
      </c>
      <c r="BCW1">
        <f>Database!BDP1</f>
        <v>0</v>
      </c>
      <c r="BCX1">
        <f>Database!BDQ1</f>
        <v>0</v>
      </c>
      <c r="BCY1">
        <f>Database!BDR1</f>
        <v>0</v>
      </c>
      <c r="BCZ1">
        <f>Database!BDS1</f>
        <v>0</v>
      </c>
      <c r="BDA1">
        <f>Database!BDT1</f>
        <v>0</v>
      </c>
      <c r="BDB1">
        <f>Database!BDU1</f>
        <v>0</v>
      </c>
      <c r="BDC1">
        <f>Database!BDV1</f>
        <v>0</v>
      </c>
      <c r="BDD1">
        <f>Database!BDW1</f>
        <v>0</v>
      </c>
      <c r="BDE1">
        <f>Database!BDX1</f>
        <v>0</v>
      </c>
      <c r="BDF1">
        <f>Database!BDY1</f>
        <v>0</v>
      </c>
      <c r="BDG1">
        <f>Database!BDZ1</f>
        <v>0</v>
      </c>
      <c r="BDH1">
        <f>Database!BEA1</f>
        <v>0</v>
      </c>
      <c r="BDI1">
        <f>Database!BEB1</f>
        <v>0</v>
      </c>
      <c r="BDJ1">
        <f>Database!BEC1</f>
        <v>0</v>
      </c>
      <c r="BDK1">
        <f>Database!BED1</f>
        <v>0</v>
      </c>
      <c r="BDL1">
        <f>Database!BEE1</f>
        <v>0</v>
      </c>
      <c r="BDM1">
        <f>Database!BEF1</f>
        <v>0</v>
      </c>
      <c r="BDN1">
        <f>Database!BEG1</f>
        <v>0</v>
      </c>
      <c r="BDO1">
        <f>Database!BEH1</f>
        <v>0</v>
      </c>
      <c r="BDP1">
        <f>Database!BEI1</f>
        <v>0</v>
      </c>
      <c r="BDQ1">
        <f>Database!BEJ1</f>
        <v>0</v>
      </c>
      <c r="BDR1">
        <f>Database!BEK1</f>
        <v>0</v>
      </c>
      <c r="BDS1">
        <f>Database!BEL1</f>
        <v>0</v>
      </c>
      <c r="BDT1">
        <f>Database!BEM1</f>
        <v>0</v>
      </c>
      <c r="BDU1">
        <f>Database!BEN1</f>
        <v>0</v>
      </c>
      <c r="BDV1">
        <f>Database!BEO1</f>
        <v>0</v>
      </c>
      <c r="BDW1">
        <f>Database!BEP1</f>
        <v>0</v>
      </c>
      <c r="BDX1">
        <f>Database!BEQ1</f>
        <v>0</v>
      </c>
      <c r="BDY1">
        <f>Database!BER1</f>
        <v>0</v>
      </c>
      <c r="BDZ1">
        <f>Database!BES1</f>
        <v>0</v>
      </c>
      <c r="BEA1">
        <f>Database!BET1</f>
        <v>0</v>
      </c>
      <c r="BEB1">
        <f>Database!BEU1</f>
        <v>0</v>
      </c>
      <c r="BEC1">
        <f>Database!BEV1</f>
        <v>0</v>
      </c>
      <c r="BED1">
        <f>Database!BEW1</f>
        <v>0</v>
      </c>
      <c r="BEE1">
        <f>Database!BEX1</f>
        <v>0</v>
      </c>
      <c r="BEF1">
        <f>Database!BEY1</f>
        <v>0</v>
      </c>
      <c r="BEG1">
        <f>Database!BEZ1</f>
        <v>0</v>
      </c>
      <c r="BEH1">
        <f>Database!BFA1</f>
        <v>0</v>
      </c>
      <c r="BEI1">
        <f>Database!BFB1</f>
        <v>0</v>
      </c>
      <c r="BEJ1">
        <f>Database!BFC1</f>
        <v>0</v>
      </c>
      <c r="BEK1">
        <f>Database!BFD1</f>
        <v>0</v>
      </c>
      <c r="BEL1">
        <f>Database!BFE1</f>
        <v>0</v>
      </c>
      <c r="BEM1">
        <f>Database!BFF1</f>
        <v>0</v>
      </c>
      <c r="BEN1">
        <f>Database!BFG1</f>
        <v>0</v>
      </c>
      <c r="BEO1">
        <f>Database!BFH1</f>
        <v>0</v>
      </c>
      <c r="BEP1">
        <f>Database!BFI1</f>
        <v>0</v>
      </c>
      <c r="BEQ1">
        <f>Database!BFJ1</f>
        <v>0</v>
      </c>
      <c r="BER1">
        <f>Database!BFK1</f>
        <v>0</v>
      </c>
      <c r="BES1">
        <f>Database!BFL1</f>
        <v>0</v>
      </c>
      <c r="BET1">
        <f>Database!BFM1</f>
        <v>0</v>
      </c>
      <c r="BEU1">
        <f>Database!BFN1</f>
        <v>0</v>
      </c>
      <c r="BEV1">
        <f>Database!BFO1</f>
        <v>0</v>
      </c>
      <c r="BEW1">
        <f>Database!BFP1</f>
        <v>0</v>
      </c>
      <c r="BEX1">
        <f>Database!BFQ1</f>
        <v>0</v>
      </c>
      <c r="BEY1">
        <f>Database!BFR1</f>
        <v>0</v>
      </c>
      <c r="BEZ1">
        <f>Database!BFS1</f>
        <v>0</v>
      </c>
      <c r="BFA1">
        <f>Database!BFT1</f>
        <v>0</v>
      </c>
      <c r="BFB1">
        <f>Database!BFU1</f>
        <v>0</v>
      </c>
      <c r="BFC1">
        <f>Database!BFV1</f>
        <v>0</v>
      </c>
      <c r="BFD1">
        <f>Database!BFW1</f>
        <v>0</v>
      </c>
      <c r="BFE1">
        <f>Database!BFX1</f>
        <v>0</v>
      </c>
      <c r="BFF1">
        <f>Database!BFY1</f>
        <v>0</v>
      </c>
      <c r="BFG1">
        <f>Database!BFZ1</f>
        <v>0</v>
      </c>
      <c r="BFH1">
        <f>Database!BGA1</f>
        <v>0</v>
      </c>
      <c r="BFI1">
        <f>Database!BGB1</f>
        <v>0</v>
      </c>
      <c r="BFJ1">
        <f>Database!BGC1</f>
        <v>0</v>
      </c>
      <c r="BFK1">
        <f>Database!BGD1</f>
        <v>0</v>
      </c>
      <c r="BFL1">
        <f>Database!BGE1</f>
        <v>0</v>
      </c>
      <c r="BFM1">
        <f>Database!BGF1</f>
        <v>0</v>
      </c>
      <c r="BFN1">
        <f>Database!BGG1</f>
        <v>0</v>
      </c>
      <c r="BFO1">
        <f>Database!BGH1</f>
        <v>0</v>
      </c>
      <c r="BFP1">
        <f>Database!BGI1</f>
        <v>0</v>
      </c>
      <c r="BFQ1">
        <f>Database!BGJ1</f>
        <v>0</v>
      </c>
      <c r="BFR1">
        <f>Database!BGK1</f>
        <v>0</v>
      </c>
      <c r="BFS1">
        <f>Database!BGL1</f>
        <v>0</v>
      </c>
      <c r="BFT1">
        <f>Database!BGM1</f>
        <v>0</v>
      </c>
      <c r="BFU1">
        <f>Database!BGN1</f>
        <v>0</v>
      </c>
      <c r="BFV1">
        <f>Database!BGO1</f>
        <v>0</v>
      </c>
      <c r="BFW1">
        <f>Database!BGP1</f>
        <v>0</v>
      </c>
      <c r="BFX1">
        <f>Database!BGQ1</f>
        <v>0</v>
      </c>
      <c r="BFY1">
        <f>Database!BGR1</f>
        <v>0</v>
      </c>
      <c r="BFZ1">
        <f>Database!BGS1</f>
        <v>0</v>
      </c>
      <c r="BGA1">
        <f>Database!BGT1</f>
        <v>0</v>
      </c>
      <c r="BGB1">
        <f>Database!BGU1</f>
        <v>0</v>
      </c>
      <c r="BGC1">
        <f>Database!BGV1</f>
        <v>0</v>
      </c>
      <c r="BGD1">
        <f>Database!BGW1</f>
        <v>0</v>
      </c>
      <c r="BGE1">
        <f>Database!BGX1</f>
        <v>0</v>
      </c>
      <c r="BGF1">
        <f>Database!BGY1</f>
        <v>0</v>
      </c>
      <c r="BGG1">
        <f>Database!BGZ1</f>
        <v>0</v>
      </c>
      <c r="BGH1">
        <f>Database!BHA1</f>
        <v>0</v>
      </c>
      <c r="BGI1">
        <f>Database!BHB1</f>
        <v>0</v>
      </c>
      <c r="BGJ1">
        <f>Database!BHC1</f>
        <v>0</v>
      </c>
      <c r="BGK1">
        <f>Database!BHD1</f>
        <v>0</v>
      </c>
      <c r="BGL1">
        <f>Database!BHE1</f>
        <v>0</v>
      </c>
      <c r="BGM1">
        <f>Database!BHF1</f>
        <v>0</v>
      </c>
      <c r="BGN1">
        <f>Database!BHG1</f>
        <v>0</v>
      </c>
      <c r="BGO1">
        <f>Database!BHH1</f>
        <v>0</v>
      </c>
      <c r="BGP1">
        <f>Database!BHI1</f>
        <v>0</v>
      </c>
      <c r="BGQ1">
        <f>Database!BHJ1</f>
        <v>0</v>
      </c>
      <c r="BGR1">
        <f>Database!BHK1</f>
        <v>0</v>
      </c>
      <c r="BGS1">
        <f>Database!BHL1</f>
        <v>0</v>
      </c>
      <c r="BGT1">
        <f>Database!BHM1</f>
        <v>0</v>
      </c>
      <c r="BGU1">
        <f>Database!BHN1</f>
        <v>0</v>
      </c>
      <c r="BGV1">
        <f>Database!BHO1</f>
        <v>0</v>
      </c>
      <c r="BGW1">
        <f>Database!BHP1</f>
        <v>0</v>
      </c>
      <c r="BGX1">
        <f>Database!BHQ1</f>
        <v>0</v>
      </c>
      <c r="BGY1">
        <f>Database!BHR1</f>
        <v>0</v>
      </c>
      <c r="BGZ1">
        <f>Database!BHS1</f>
        <v>0</v>
      </c>
      <c r="BHA1">
        <f>Database!BHT1</f>
        <v>0</v>
      </c>
      <c r="BHB1">
        <f>Database!BHU1</f>
        <v>0</v>
      </c>
      <c r="BHC1">
        <f>Database!BHV1</f>
        <v>0</v>
      </c>
      <c r="BHD1">
        <f>Database!BHW1</f>
        <v>0</v>
      </c>
      <c r="BHE1">
        <f>Database!BHX1</f>
        <v>0</v>
      </c>
      <c r="BHF1">
        <f>Database!BHY1</f>
        <v>0</v>
      </c>
      <c r="BHG1">
        <f>Database!BHZ1</f>
        <v>0</v>
      </c>
      <c r="BHH1">
        <f>Database!BIA1</f>
        <v>0</v>
      </c>
      <c r="BHI1">
        <f>Database!BIB1</f>
        <v>0</v>
      </c>
      <c r="BHJ1">
        <f>Database!BIC1</f>
        <v>0</v>
      </c>
      <c r="BHK1">
        <f>Database!BID1</f>
        <v>0</v>
      </c>
      <c r="BHL1">
        <f>Database!BIE1</f>
        <v>0</v>
      </c>
      <c r="BHM1">
        <f>Database!BIF1</f>
        <v>0</v>
      </c>
      <c r="BHN1">
        <f>Database!BIG1</f>
        <v>0</v>
      </c>
      <c r="BHO1">
        <f>Database!BIH1</f>
        <v>0</v>
      </c>
      <c r="BHP1">
        <f>Database!BII1</f>
        <v>0</v>
      </c>
      <c r="BHQ1">
        <f>Database!BIJ1</f>
        <v>0</v>
      </c>
      <c r="BHR1">
        <f>Database!BIK1</f>
        <v>0</v>
      </c>
      <c r="BHS1">
        <f>Database!BIL1</f>
        <v>0</v>
      </c>
      <c r="BHT1">
        <f>Database!BIM1</f>
        <v>0</v>
      </c>
      <c r="BHU1">
        <f>Database!BIN1</f>
        <v>0</v>
      </c>
      <c r="BHV1">
        <f>Database!BIO1</f>
        <v>0</v>
      </c>
      <c r="BHW1">
        <f>Database!BIP1</f>
        <v>0</v>
      </c>
      <c r="BHX1">
        <f>Database!BIQ1</f>
        <v>0</v>
      </c>
      <c r="BHY1">
        <f>Database!BIR1</f>
        <v>0</v>
      </c>
      <c r="BHZ1">
        <f>Database!BIS1</f>
        <v>0</v>
      </c>
      <c r="BIA1">
        <f>Database!BIT1</f>
        <v>0</v>
      </c>
      <c r="BIB1">
        <f>Database!BIU1</f>
        <v>0</v>
      </c>
      <c r="BIC1">
        <f>Database!BIV1</f>
        <v>0</v>
      </c>
      <c r="BID1">
        <f>Database!BIW1</f>
        <v>0</v>
      </c>
      <c r="BIE1">
        <f>Database!BIX1</f>
        <v>0</v>
      </c>
      <c r="BIF1">
        <f>Database!BIY1</f>
        <v>0</v>
      </c>
      <c r="BIG1">
        <f>Database!BIZ1</f>
        <v>0</v>
      </c>
      <c r="BIH1">
        <f>Database!BJA1</f>
        <v>0</v>
      </c>
      <c r="BII1">
        <f>Database!BJB1</f>
        <v>0</v>
      </c>
      <c r="BIJ1">
        <f>Database!BJC1</f>
        <v>0</v>
      </c>
      <c r="BIK1">
        <f>Database!BJD1</f>
        <v>0</v>
      </c>
      <c r="BIL1">
        <f>Database!BJE1</f>
        <v>0</v>
      </c>
      <c r="BIM1">
        <f>Database!BJF1</f>
        <v>0</v>
      </c>
      <c r="BIN1">
        <f>Database!BJG1</f>
        <v>0</v>
      </c>
      <c r="BIO1">
        <f>Database!BJH1</f>
        <v>0</v>
      </c>
      <c r="BIP1">
        <f>Database!BJI1</f>
        <v>0</v>
      </c>
      <c r="BIQ1">
        <f>Database!BJJ1</f>
        <v>0</v>
      </c>
      <c r="BIR1">
        <f>Database!BJK1</f>
        <v>0</v>
      </c>
      <c r="BIS1">
        <f>Database!BJL1</f>
        <v>0</v>
      </c>
      <c r="BIT1">
        <f>Database!BJM1</f>
        <v>0</v>
      </c>
      <c r="BIU1">
        <f>Database!BJN1</f>
        <v>0</v>
      </c>
      <c r="BIV1">
        <f>Database!BJO1</f>
        <v>0</v>
      </c>
      <c r="BIW1">
        <f>Database!BJP1</f>
        <v>0</v>
      </c>
      <c r="BIX1">
        <f>Database!BJQ1</f>
        <v>0</v>
      </c>
      <c r="BIY1">
        <f>Database!BJR1</f>
        <v>0</v>
      </c>
      <c r="BIZ1">
        <f>Database!BJS1</f>
        <v>0</v>
      </c>
      <c r="BJA1">
        <f>Database!BJT1</f>
        <v>0</v>
      </c>
      <c r="BJB1">
        <f>Database!BJU1</f>
        <v>0</v>
      </c>
      <c r="BJC1">
        <f>Database!BJV1</f>
        <v>0</v>
      </c>
      <c r="BJD1">
        <f>Database!BJW1</f>
        <v>0</v>
      </c>
      <c r="BJE1">
        <f>Database!BJX1</f>
        <v>0</v>
      </c>
      <c r="BJF1">
        <f>Database!BJY1</f>
        <v>0</v>
      </c>
      <c r="BJG1">
        <f>Database!BJZ1</f>
        <v>0</v>
      </c>
      <c r="BJH1">
        <f>Database!BKA1</f>
        <v>0</v>
      </c>
      <c r="BJI1">
        <f>Database!BKB1</f>
        <v>0</v>
      </c>
      <c r="BJJ1">
        <f>Database!BKC1</f>
        <v>0</v>
      </c>
      <c r="BJK1">
        <f>Database!BKD1</f>
        <v>0</v>
      </c>
      <c r="BJL1">
        <f>Database!BKE1</f>
        <v>0</v>
      </c>
      <c r="BJM1">
        <f>Database!BKF1</f>
        <v>0</v>
      </c>
      <c r="BJN1">
        <f>Database!BKG1</f>
        <v>0</v>
      </c>
      <c r="BJO1">
        <f>Database!BKH1</f>
        <v>0</v>
      </c>
      <c r="BJP1">
        <f>Database!BKI1</f>
        <v>0</v>
      </c>
      <c r="BJQ1">
        <f>Database!BKJ1</f>
        <v>0</v>
      </c>
      <c r="BJR1">
        <f>Database!BKK1</f>
        <v>0</v>
      </c>
      <c r="BJS1">
        <f>Database!BKL1</f>
        <v>0</v>
      </c>
      <c r="BJT1">
        <f>Database!BKM1</f>
        <v>0</v>
      </c>
      <c r="BJU1">
        <f>Database!BKN1</f>
        <v>0</v>
      </c>
      <c r="BJV1">
        <f>Database!BKO1</f>
        <v>0</v>
      </c>
      <c r="BJW1">
        <f>Database!BKP1</f>
        <v>0</v>
      </c>
      <c r="BJX1">
        <f>Database!BKQ1</f>
        <v>0</v>
      </c>
      <c r="BJY1">
        <f>Database!BKR1</f>
        <v>0</v>
      </c>
      <c r="BJZ1">
        <f>Database!BKS1</f>
        <v>0</v>
      </c>
      <c r="BKA1">
        <f>Database!BKT1</f>
        <v>0</v>
      </c>
      <c r="BKB1">
        <f>Database!BKU1</f>
        <v>0</v>
      </c>
      <c r="BKC1">
        <f>Database!BKV1</f>
        <v>0</v>
      </c>
      <c r="BKD1">
        <f>Database!BKW1</f>
        <v>0</v>
      </c>
      <c r="BKE1">
        <f>Database!BKX1</f>
        <v>0</v>
      </c>
      <c r="BKF1">
        <f>Database!BKY1</f>
        <v>0</v>
      </c>
      <c r="BKG1">
        <f>Database!BKZ1</f>
        <v>0</v>
      </c>
      <c r="BKH1">
        <f>Database!BLA1</f>
        <v>0</v>
      </c>
      <c r="BKI1">
        <f>Database!BLB1</f>
        <v>0</v>
      </c>
      <c r="BKJ1">
        <f>Database!BLC1</f>
        <v>0</v>
      </c>
      <c r="BKK1">
        <f>Database!BLD1</f>
        <v>0</v>
      </c>
      <c r="BKL1">
        <f>Database!BLE1</f>
        <v>0</v>
      </c>
      <c r="BKM1">
        <f>Database!BLF1</f>
        <v>0</v>
      </c>
      <c r="BKN1">
        <f>Database!BLG1</f>
        <v>0</v>
      </c>
      <c r="BKO1">
        <f>Database!BLH1</f>
        <v>0</v>
      </c>
      <c r="BKP1">
        <f>Database!BLI1</f>
        <v>0</v>
      </c>
      <c r="BKQ1">
        <f>Database!BLJ1</f>
        <v>0</v>
      </c>
      <c r="BKR1">
        <f>Database!BLK1</f>
        <v>0</v>
      </c>
      <c r="BKS1">
        <f>Database!BLL1</f>
        <v>0</v>
      </c>
      <c r="BKT1">
        <f>Database!BLM1</f>
        <v>0</v>
      </c>
      <c r="BKU1">
        <f>Database!BLN1</f>
        <v>0</v>
      </c>
      <c r="BKV1">
        <f>Database!BLO1</f>
        <v>0</v>
      </c>
      <c r="BKW1">
        <f>Database!BLP1</f>
        <v>0</v>
      </c>
      <c r="BKX1">
        <f>Database!BLQ1</f>
        <v>0</v>
      </c>
      <c r="BKY1">
        <f>Database!BLR1</f>
        <v>0</v>
      </c>
      <c r="BKZ1">
        <f>Database!BLS1</f>
        <v>0</v>
      </c>
      <c r="BLA1">
        <f>Database!BLT1</f>
        <v>0</v>
      </c>
      <c r="BLB1">
        <f>Database!BLU1</f>
        <v>0</v>
      </c>
      <c r="BLC1">
        <f>Database!BLV1</f>
        <v>0</v>
      </c>
      <c r="BLD1">
        <f>Database!BLW1</f>
        <v>0</v>
      </c>
      <c r="BLE1">
        <f>Database!BLX1</f>
        <v>0</v>
      </c>
      <c r="BLF1">
        <f>Database!BLY1</f>
        <v>0</v>
      </c>
      <c r="BLG1">
        <f>Database!BLZ1</f>
        <v>0</v>
      </c>
      <c r="BLH1">
        <f>Database!BMA1</f>
        <v>0</v>
      </c>
      <c r="BLI1">
        <f>Database!BMB1</f>
        <v>0</v>
      </c>
      <c r="BLJ1">
        <f>Database!BMC1</f>
        <v>0</v>
      </c>
      <c r="BLK1">
        <f>Database!BMD1</f>
        <v>0</v>
      </c>
      <c r="BLL1">
        <f>Database!BME1</f>
        <v>0</v>
      </c>
      <c r="BLM1">
        <f>Database!BMF1</f>
        <v>0</v>
      </c>
      <c r="BLN1">
        <f>Database!BMG1</f>
        <v>0</v>
      </c>
      <c r="BLO1">
        <f>Database!BMH1</f>
        <v>0</v>
      </c>
      <c r="BLP1">
        <f>Database!BMI1</f>
        <v>0</v>
      </c>
      <c r="BLQ1">
        <f>Database!BMJ1</f>
        <v>0</v>
      </c>
      <c r="BLR1">
        <f>Database!BMK1</f>
        <v>0</v>
      </c>
      <c r="BLS1">
        <f>Database!BML1</f>
        <v>0</v>
      </c>
      <c r="BLT1">
        <f>Database!BMM1</f>
        <v>0</v>
      </c>
      <c r="BLU1">
        <f>Database!BMN1</f>
        <v>0</v>
      </c>
      <c r="BLV1">
        <f>Database!BMO1</f>
        <v>0</v>
      </c>
      <c r="BLW1">
        <f>Database!BMP1</f>
        <v>0</v>
      </c>
      <c r="BLX1">
        <f>Database!BMQ1</f>
        <v>0</v>
      </c>
      <c r="BLY1">
        <f>Database!BMR1</f>
        <v>0</v>
      </c>
      <c r="BLZ1">
        <f>Database!BMS1</f>
        <v>0</v>
      </c>
      <c r="BMA1">
        <f>Database!BMT1</f>
        <v>0</v>
      </c>
      <c r="BMB1">
        <f>Database!BMU1</f>
        <v>0</v>
      </c>
      <c r="BMC1">
        <f>Database!BMV1</f>
        <v>0</v>
      </c>
      <c r="BMD1">
        <f>Database!BMW1</f>
        <v>0</v>
      </c>
      <c r="BME1">
        <f>Database!BMX1</f>
        <v>0</v>
      </c>
      <c r="BMF1">
        <f>Database!BMY1</f>
        <v>0</v>
      </c>
      <c r="BMG1">
        <f>Database!BMZ1</f>
        <v>0</v>
      </c>
      <c r="BMH1">
        <f>Database!BNA1</f>
        <v>0</v>
      </c>
      <c r="BMI1">
        <f>Database!BNB1</f>
        <v>0</v>
      </c>
      <c r="BMJ1">
        <f>Database!BNC1</f>
        <v>0</v>
      </c>
      <c r="BMK1">
        <f>Database!BND1</f>
        <v>0</v>
      </c>
      <c r="BML1">
        <f>Database!BNE1</f>
        <v>0</v>
      </c>
      <c r="BMM1">
        <f>Database!BNF1</f>
        <v>0</v>
      </c>
      <c r="BMN1">
        <f>Database!BNG1</f>
        <v>0</v>
      </c>
      <c r="BMO1">
        <f>Database!BNH1</f>
        <v>0</v>
      </c>
      <c r="BMP1">
        <f>Database!BNI1</f>
        <v>0</v>
      </c>
      <c r="BMQ1">
        <f>Database!BNJ1</f>
        <v>0</v>
      </c>
      <c r="BMR1">
        <f>Database!BNK1</f>
        <v>0</v>
      </c>
      <c r="BMS1">
        <f>Database!BNL1</f>
        <v>0</v>
      </c>
      <c r="BMT1">
        <f>Database!BNM1</f>
        <v>0</v>
      </c>
      <c r="BMU1">
        <f>Database!BNN1</f>
        <v>0</v>
      </c>
      <c r="BMV1">
        <f>Database!BNO1</f>
        <v>0</v>
      </c>
      <c r="BMW1">
        <f>Database!BNP1</f>
        <v>0</v>
      </c>
      <c r="BMX1">
        <f>Database!BNQ1</f>
        <v>0</v>
      </c>
      <c r="BMY1">
        <f>Database!BNR1</f>
        <v>0</v>
      </c>
      <c r="BMZ1">
        <f>Database!BNS1</f>
        <v>0</v>
      </c>
      <c r="BNA1">
        <f>Database!BNT1</f>
        <v>0</v>
      </c>
      <c r="BNB1">
        <f>Database!BNU1</f>
        <v>0</v>
      </c>
      <c r="BNC1">
        <f>Database!BNV1</f>
        <v>0</v>
      </c>
      <c r="BND1">
        <f>Database!BNW1</f>
        <v>0</v>
      </c>
      <c r="BNE1">
        <f>Database!BNX1</f>
        <v>0</v>
      </c>
      <c r="BNF1">
        <f>Database!BNY1</f>
        <v>0</v>
      </c>
      <c r="BNG1">
        <f>Database!BNZ1</f>
        <v>0</v>
      </c>
      <c r="BNH1">
        <f>Database!BOA1</f>
        <v>0</v>
      </c>
      <c r="BNI1">
        <f>Database!BOB1</f>
        <v>0</v>
      </c>
      <c r="BNJ1">
        <f>Database!BOC1</f>
        <v>0</v>
      </c>
      <c r="BNK1">
        <f>Database!BOD1</f>
        <v>0</v>
      </c>
      <c r="BNL1">
        <f>Database!BOE1</f>
        <v>0</v>
      </c>
      <c r="BNM1">
        <f>Database!BOF1</f>
        <v>0</v>
      </c>
      <c r="BNN1">
        <f>Database!BOG1</f>
        <v>0</v>
      </c>
      <c r="BNO1">
        <f>Database!BOH1</f>
        <v>0</v>
      </c>
      <c r="BNP1">
        <f>Database!BOI1</f>
        <v>0</v>
      </c>
      <c r="BNQ1">
        <f>Database!BOJ1</f>
        <v>0</v>
      </c>
      <c r="BNR1">
        <f>Database!BOK1</f>
        <v>0</v>
      </c>
      <c r="BNS1">
        <f>Database!BOL1</f>
        <v>0</v>
      </c>
      <c r="BNT1">
        <f>Database!BOM1</f>
        <v>0</v>
      </c>
      <c r="BNU1">
        <f>Database!BON1</f>
        <v>0</v>
      </c>
      <c r="BNV1">
        <f>Database!BOO1</f>
        <v>0</v>
      </c>
      <c r="BNW1">
        <f>Database!BOP1</f>
        <v>0</v>
      </c>
      <c r="BNX1">
        <f>Database!BOQ1</f>
        <v>0</v>
      </c>
      <c r="BNY1">
        <f>Database!BOR1</f>
        <v>0</v>
      </c>
      <c r="BNZ1">
        <f>Database!BOS1</f>
        <v>0</v>
      </c>
      <c r="BOA1">
        <f>Database!BOT1</f>
        <v>0</v>
      </c>
      <c r="BOB1">
        <f>Database!BOU1</f>
        <v>0</v>
      </c>
      <c r="BOC1">
        <f>Database!BOV1</f>
        <v>0</v>
      </c>
      <c r="BOD1">
        <f>Database!BOW1</f>
        <v>0</v>
      </c>
      <c r="BOE1">
        <f>Database!BOX1</f>
        <v>0</v>
      </c>
      <c r="BOF1">
        <f>Database!BOY1</f>
        <v>0</v>
      </c>
      <c r="BOG1">
        <f>Database!BOZ1</f>
        <v>0</v>
      </c>
      <c r="BOH1">
        <f>Database!BPA1</f>
        <v>0</v>
      </c>
      <c r="BOI1">
        <f>Database!BPB1</f>
        <v>0</v>
      </c>
      <c r="BOJ1">
        <f>Database!BPC1</f>
        <v>0</v>
      </c>
      <c r="BOK1">
        <f>Database!BPD1</f>
        <v>0</v>
      </c>
      <c r="BOL1">
        <f>Database!BPE1</f>
        <v>0</v>
      </c>
      <c r="BOM1">
        <f>Database!BPF1</f>
        <v>0</v>
      </c>
      <c r="BON1">
        <f>Database!BPG1</f>
        <v>0</v>
      </c>
      <c r="BOO1">
        <f>Database!BPH1</f>
        <v>0</v>
      </c>
      <c r="BOP1">
        <f>Database!BPI1</f>
        <v>0</v>
      </c>
      <c r="BOQ1">
        <f>Database!BPJ1</f>
        <v>0</v>
      </c>
      <c r="BOR1">
        <f>Database!BPK1</f>
        <v>0</v>
      </c>
      <c r="BOS1">
        <f>Database!BPL1</f>
        <v>0</v>
      </c>
      <c r="BOT1">
        <f>Database!BPM1</f>
        <v>0</v>
      </c>
      <c r="BOU1">
        <f>Database!BPN1</f>
        <v>0</v>
      </c>
      <c r="BOV1">
        <f>Database!BPO1</f>
        <v>0</v>
      </c>
      <c r="BOW1">
        <f>Database!BPP1</f>
        <v>0</v>
      </c>
      <c r="BOX1">
        <f>Database!BPQ1</f>
        <v>0</v>
      </c>
      <c r="BOY1">
        <f>Database!BPR1</f>
        <v>0</v>
      </c>
      <c r="BOZ1">
        <f>Database!BPS1</f>
        <v>0</v>
      </c>
      <c r="BPA1">
        <f>Database!BPT1</f>
        <v>0</v>
      </c>
      <c r="BPB1">
        <f>Database!BPU1</f>
        <v>0</v>
      </c>
      <c r="BPC1">
        <f>Database!BPV1</f>
        <v>0</v>
      </c>
      <c r="BPD1">
        <f>Database!BPW1</f>
        <v>0</v>
      </c>
      <c r="BPE1">
        <f>Database!BPX1</f>
        <v>0</v>
      </c>
      <c r="BPF1">
        <f>Database!BPY1</f>
        <v>0</v>
      </c>
      <c r="BPG1">
        <f>Database!BPZ1</f>
        <v>0</v>
      </c>
      <c r="BPH1">
        <f>Database!BQA1</f>
        <v>0</v>
      </c>
      <c r="BPI1">
        <f>Database!BQB1</f>
        <v>0</v>
      </c>
      <c r="BPJ1">
        <f>Database!BQC1</f>
        <v>0</v>
      </c>
      <c r="BPK1">
        <f>Database!BQD1</f>
        <v>0</v>
      </c>
      <c r="BPL1">
        <f>Database!BQE1</f>
        <v>0</v>
      </c>
      <c r="BPM1">
        <f>Database!BQF1</f>
        <v>0</v>
      </c>
      <c r="BPN1">
        <f>Database!BQG1</f>
        <v>0</v>
      </c>
      <c r="BPO1">
        <f>Database!BQH1</f>
        <v>0</v>
      </c>
      <c r="BPP1">
        <f>Database!BQI1</f>
        <v>0</v>
      </c>
      <c r="BPQ1">
        <f>Database!BQJ1</f>
        <v>0</v>
      </c>
      <c r="BPR1">
        <f>Database!BQK1</f>
        <v>0</v>
      </c>
      <c r="BPS1">
        <f>Database!BQL1</f>
        <v>0</v>
      </c>
      <c r="BPT1">
        <f>Database!BQM1</f>
        <v>0</v>
      </c>
      <c r="BPU1">
        <f>Database!BQN1</f>
        <v>0</v>
      </c>
      <c r="BPV1">
        <f>Database!BQO1</f>
        <v>0</v>
      </c>
      <c r="BPW1">
        <f>Database!BQP1</f>
        <v>0</v>
      </c>
      <c r="BPX1">
        <f>Database!BQQ1</f>
        <v>0</v>
      </c>
      <c r="BPY1">
        <f>Database!BQR1</f>
        <v>0</v>
      </c>
      <c r="BPZ1">
        <f>Database!BQS1</f>
        <v>0</v>
      </c>
      <c r="BQA1">
        <f>Database!BQT1</f>
        <v>0</v>
      </c>
      <c r="BQB1">
        <f>Database!BQU1</f>
        <v>0</v>
      </c>
      <c r="BQC1">
        <f>Database!BQV1</f>
        <v>0</v>
      </c>
      <c r="BQD1">
        <f>Database!BQW1</f>
        <v>0</v>
      </c>
      <c r="BQE1">
        <f>Database!BQX1</f>
        <v>0</v>
      </c>
      <c r="BQF1">
        <f>Database!BQY1</f>
        <v>0</v>
      </c>
      <c r="BQG1">
        <f>Database!BQZ1</f>
        <v>0</v>
      </c>
      <c r="BQH1">
        <f>Database!BRA1</f>
        <v>0</v>
      </c>
      <c r="BQI1">
        <f>Database!BRB1</f>
        <v>0</v>
      </c>
      <c r="BQJ1">
        <f>Database!BRC1</f>
        <v>0</v>
      </c>
      <c r="BQK1">
        <f>Database!BRD1</f>
        <v>0</v>
      </c>
      <c r="BQL1">
        <f>Database!BRE1</f>
        <v>0</v>
      </c>
      <c r="BQM1">
        <f>Database!BRF1</f>
        <v>0</v>
      </c>
      <c r="BQN1">
        <f>Database!BRG1</f>
        <v>0</v>
      </c>
      <c r="BQO1">
        <f>Database!BRH1</f>
        <v>0</v>
      </c>
      <c r="BQP1">
        <f>Database!BRI1</f>
        <v>0</v>
      </c>
      <c r="BQQ1">
        <f>Database!BRJ1</f>
        <v>0</v>
      </c>
      <c r="BQR1">
        <f>Database!BRK1</f>
        <v>0</v>
      </c>
      <c r="BQS1">
        <f>Database!BRL1</f>
        <v>0</v>
      </c>
      <c r="BQT1">
        <f>Database!BRM1</f>
        <v>0</v>
      </c>
      <c r="BQU1">
        <f>Database!BRN1</f>
        <v>0</v>
      </c>
      <c r="BQV1">
        <f>Database!BRO1</f>
        <v>0</v>
      </c>
      <c r="BQW1">
        <f>Database!BRP1</f>
        <v>0</v>
      </c>
      <c r="BQX1">
        <f>Database!BRQ1</f>
        <v>0</v>
      </c>
      <c r="BQY1">
        <f>Database!BRR1</f>
        <v>0</v>
      </c>
      <c r="BQZ1">
        <f>Database!BRS1</f>
        <v>0</v>
      </c>
      <c r="BRA1">
        <f>Database!BRT1</f>
        <v>0</v>
      </c>
      <c r="BRB1">
        <f>Database!BRU1</f>
        <v>0</v>
      </c>
      <c r="BRC1">
        <f>Database!BRV1</f>
        <v>0</v>
      </c>
      <c r="BRD1">
        <f>Database!BRW1</f>
        <v>0</v>
      </c>
      <c r="BRE1">
        <f>Database!BRX1</f>
        <v>0</v>
      </c>
      <c r="BRF1">
        <f>Database!BRY1</f>
        <v>0</v>
      </c>
      <c r="BRG1">
        <f>Database!BRZ1</f>
        <v>0</v>
      </c>
      <c r="BRH1">
        <f>Database!BSA1</f>
        <v>0</v>
      </c>
      <c r="BRI1">
        <f>Database!BSB1</f>
        <v>0</v>
      </c>
      <c r="BRJ1">
        <f>Database!BSC1</f>
        <v>0</v>
      </c>
      <c r="BRK1">
        <f>Database!BSD1</f>
        <v>0</v>
      </c>
      <c r="BRL1">
        <f>Database!BSE1</f>
        <v>0</v>
      </c>
      <c r="BRM1">
        <f>Database!BSF1</f>
        <v>0</v>
      </c>
      <c r="BRN1">
        <f>Database!BSG1</f>
        <v>0</v>
      </c>
      <c r="BRO1">
        <f>Database!BSH1</f>
        <v>0</v>
      </c>
      <c r="BRP1">
        <f>Database!BSI1</f>
        <v>0</v>
      </c>
      <c r="BRQ1">
        <f>Database!BSJ1</f>
        <v>0</v>
      </c>
      <c r="BRR1">
        <f>Database!BSK1</f>
        <v>0</v>
      </c>
      <c r="BRS1">
        <f>Database!BSL1</f>
        <v>0</v>
      </c>
      <c r="BRT1">
        <f>Database!BSM1</f>
        <v>0</v>
      </c>
      <c r="BRU1">
        <f>Database!BSN1</f>
        <v>0</v>
      </c>
      <c r="BRV1">
        <f>Database!BSO1</f>
        <v>0</v>
      </c>
      <c r="BRW1">
        <f>Database!BSP1</f>
        <v>0</v>
      </c>
      <c r="BRX1">
        <f>Database!BSQ1</f>
        <v>0</v>
      </c>
      <c r="BRY1">
        <f>Database!BSR1</f>
        <v>0</v>
      </c>
      <c r="BRZ1">
        <f>Database!BSS1</f>
        <v>0</v>
      </c>
      <c r="BSA1">
        <f>Database!BST1</f>
        <v>0</v>
      </c>
      <c r="BSB1">
        <f>Database!BSU1</f>
        <v>0</v>
      </c>
      <c r="BSC1">
        <f>Database!BSV1</f>
        <v>0</v>
      </c>
      <c r="BSD1">
        <f>Database!BSW1</f>
        <v>0</v>
      </c>
      <c r="BSE1">
        <f>Database!BSX1</f>
        <v>0</v>
      </c>
      <c r="BSF1">
        <f>Database!BSY1</f>
        <v>0</v>
      </c>
      <c r="BSG1">
        <f>Database!BSZ1</f>
        <v>0</v>
      </c>
      <c r="BSH1">
        <f>Database!BTA1</f>
        <v>0</v>
      </c>
      <c r="BSI1">
        <f>Database!BTB1</f>
        <v>0</v>
      </c>
      <c r="BSJ1">
        <f>Database!BTC1</f>
        <v>0</v>
      </c>
      <c r="BSK1">
        <f>Database!BTD1</f>
        <v>0</v>
      </c>
      <c r="BSL1">
        <f>Database!BTE1</f>
        <v>0</v>
      </c>
      <c r="BSM1">
        <f>Database!BTF1</f>
        <v>0</v>
      </c>
      <c r="BSN1">
        <f>Database!BTG1</f>
        <v>0</v>
      </c>
      <c r="BSO1">
        <f>Database!BTH1</f>
        <v>0</v>
      </c>
      <c r="BSP1">
        <f>Database!BTI1</f>
        <v>0</v>
      </c>
      <c r="BSQ1">
        <f>Database!BTJ1</f>
        <v>0</v>
      </c>
      <c r="BSR1">
        <f>Database!BTK1</f>
        <v>0</v>
      </c>
      <c r="BSS1">
        <f>Database!BTL1</f>
        <v>0</v>
      </c>
      <c r="BST1">
        <f>Database!BTM1</f>
        <v>0</v>
      </c>
      <c r="BSU1">
        <f>Database!BTN1</f>
        <v>0</v>
      </c>
      <c r="BSV1">
        <f>Database!BTO1</f>
        <v>0</v>
      </c>
      <c r="BSW1">
        <f>Database!BTP1</f>
        <v>0</v>
      </c>
      <c r="BSX1">
        <f>Database!BTQ1</f>
        <v>0</v>
      </c>
      <c r="BSY1">
        <f>Database!BTR1</f>
        <v>0</v>
      </c>
      <c r="BSZ1">
        <f>Database!BTS1</f>
        <v>0</v>
      </c>
      <c r="BTA1">
        <f>Database!BTT1</f>
        <v>0</v>
      </c>
      <c r="BTB1">
        <f>Database!BTU1</f>
        <v>0</v>
      </c>
      <c r="BTC1">
        <f>Database!BTV1</f>
        <v>0</v>
      </c>
      <c r="BTD1">
        <f>Database!BTW1</f>
        <v>0</v>
      </c>
      <c r="BTE1">
        <f>Database!BTX1</f>
        <v>0</v>
      </c>
      <c r="BTF1">
        <f>Database!BTY1</f>
        <v>0</v>
      </c>
      <c r="BTG1">
        <f>Database!BTZ1</f>
        <v>0</v>
      </c>
      <c r="BTH1">
        <f>Database!BUA1</f>
        <v>0</v>
      </c>
      <c r="BTI1">
        <f>Database!BUB1</f>
        <v>0</v>
      </c>
      <c r="BTJ1">
        <f>Database!BUC1</f>
        <v>0</v>
      </c>
      <c r="BTK1">
        <f>Database!BUD1</f>
        <v>0</v>
      </c>
      <c r="BTL1">
        <f>Database!BUE1</f>
        <v>0</v>
      </c>
      <c r="BTM1">
        <f>Database!BUF1</f>
        <v>0</v>
      </c>
      <c r="BTN1">
        <f>Database!BUG1</f>
        <v>0</v>
      </c>
      <c r="BTO1">
        <f>Database!BUH1</f>
        <v>0</v>
      </c>
      <c r="BTP1">
        <f>Database!BUI1</f>
        <v>0</v>
      </c>
      <c r="BTQ1">
        <f>Database!BUJ1</f>
        <v>0</v>
      </c>
      <c r="BTR1">
        <f>Database!BUK1</f>
        <v>0</v>
      </c>
      <c r="BTS1">
        <f>Database!BUL1</f>
        <v>0</v>
      </c>
      <c r="BTT1">
        <f>Database!BUM1</f>
        <v>0</v>
      </c>
      <c r="BTU1">
        <f>Database!BUN1</f>
        <v>0</v>
      </c>
      <c r="BTV1">
        <f>Database!BUO1</f>
        <v>0</v>
      </c>
      <c r="BTW1">
        <f>Database!BUP1</f>
        <v>0</v>
      </c>
      <c r="BTX1">
        <f>Database!BUQ1</f>
        <v>0</v>
      </c>
      <c r="BTY1">
        <f>Database!BUR1</f>
        <v>0</v>
      </c>
      <c r="BTZ1">
        <f>Database!BUS1</f>
        <v>0</v>
      </c>
      <c r="BUA1">
        <f>Database!BUT1</f>
        <v>0</v>
      </c>
      <c r="BUB1">
        <f>Database!BUU1</f>
        <v>0</v>
      </c>
      <c r="BUC1">
        <f>Database!BUV1</f>
        <v>0</v>
      </c>
      <c r="BUD1">
        <f>Database!BUW1</f>
        <v>0</v>
      </c>
      <c r="BUE1">
        <f>Database!BUX1</f>
        <v>0</v>
      </c>
      <c r="BUF1">
        <f>Database!BUY1</f>
        <v>0</v>
      </c>
      <c r="BUG1">
        <f>Database!BUZ1</f>
        <v>0</v>
      </c>
      <c r="BUH1">
        <f>Database!BVA1</f>
        <v>0</v>
      </c>
      <c r="BUI1">
        <f>Database!BVB1</f>
        <v>0</v>
      </c>
      <c r="BUJ1">
        <f>Database!BVC1</f>
        <v>0</v>
      </c>
      <c r="BUK1">
        <f>Database!BVD1</f>
        <v>0</v>
      </c>
      <c r="BUL1">
        <f>Database!BVE1</f>
        <v>0</v>
      </c>
      <c r="BUM1">
        <f>Database!BVF1</f>
        <v>0</v>
      </c>
      <c r="BUN1">
        <f>Database!BVG1</f>
        <v>0</v>
      </c>
      <c r="BUO1">
        <f>Database!BVH1</f>
        <v>0</v>
      </c>
      <c r="BUP1">
        <f>Database!BVI1</f>
        <v>0</v>
      </c>
      <c r="BUQ1">
        <f>Database!BVJ1</f>
        <v>0</v>
      </c>
      <c r="BUR1">
        <f>Database!BVK1</f>
        <v>0</v>
      </c>
      <c r="BUS1">
        <f>Database!BVL1</f>
        <v>0</v>
      </c>
      <c r="BUT1">
        <f>Database!BVM1</f>
        <v>0</v>
      </c>
      <c r="BUU1">
        <f>Database!BVN1</f>
        <v>0</v>
      </c>
      <c r="BUV1">
        <f>Database!BVO1</f>
        <v>0</v>
      </c>
      <c r="BUW1">
        <f>Database!BVP1</f>
        <v>0</v>
      </c>
      <c r="BUX1">
        <f>Database!BVQ1</f>
        <v>0</v>
      </c>
      <c r="BUY1">
        <f>Database!BVR1</f>
        <v>0</v>
      </c>
      <c r="BUZ1">
        <f>Database!BVS1</f>
        <v>0</v>
      </c>
      <c r="BVA1">
        <f>Database!BVT1</f>
        <v>0</v>
      </c>
      <c r="BVB1">
        <f>Database!BVU1</f>
        <v>0</v>
      </c>
      <c r="BVC1">
        <f>Database!BVV1</f>
        <v>0</v>
      </c>
      <c r="BVD1">
        <f>Database!BVW1</f>
        <v>0</v>
      </c>
      <c r="BVE1">
        <f>Database!BVX1</f>
        <v>0</v>
      </c>
      <c r="BVF1">
        <f>Database!BVY1</f>
        <v>0</v>
      </c>
      <c r="BVG1">
        <f>Database!BVZ1</f>
        <v>0</v>
      </c>
      <c r="BVH1">
        <f>Database!BWA1</f>
        <v>0</v>
      </c>
      <c r="BVI1">
        <f>Database!BWB1</f>
        <v>0</v>
      </c>
      <c r="BVJ1">
        <f>Database!BWC1</f>
        <v>0</v>
      </c>
      <c r="BVK1">
        <f>Database!BWD1</f>
        <v>0</v>
      </c>
      <c r="BVL1">
        <f>Database!BWE1</f>
        <v>0</v>
      </c>
      <c r="BVM1">
        <f>Database!BWF1</f>
        <v>0</v>
      </c>
      <c r="BVN1">
        <f>Database!BWG1</f>
        <v>0</v>
      </c>
      <c r="BVO1">
        <f>Database!BWH1</f>
        <v>0</v>
      </c>
      <c r="BVP1">
        <f>Database!BWI1</f>
        <v>0</v>
      </c>
      <c r="BVQ1">
        <f>Database!BWJ1</f>
        <v>0</v>
      </c>
      <c r="BVR1">
        <f>Database!BWK1</f>
        <v>0</v>
      </c>
      <c r="BVS1">
        <f>Database!BWL1</f>
        <v>0</v>
      </c>
      <c r="BVT1">
        <f>Database!BWM1</f>
        <v>0</v>
      </c>
      <c r="BVU1">
        <f>Database!BWN1</f>
        <v>0</v>
      </c>
      <c r="BVV1">
        <f>Database!BWO1</f>
        <v>0</v>
      </c>
      <c r="BVW1">
        <f>Database!BWP1</f>
        <v>0</v>
      </c>
      <c r="BVX1">
        <f>Database!BWQ1</f>
        <v>0</v>
      </c>
      <c r="BVY1">
        <f>Database!BWR1</f>
        <v>0</v>
      </c>
      <c r="BVZ1">
        <f>Database!BWS1</f>
        <v>0</v>
      </c>
      <c r="BWA1">
        <f>Database!BWT1</f>
        <v>0</v>
      </c>
      <c r="BWB1">
        <f>Database!BWU1</f>
        <v>0</v>
      </c>
      <c r="BWC1">
        <f>Database!BWV1</f>
        <v>0</v>
      </c>
      <c r="BWD1">
        <f>Database!BWW1</f>
        <v>0</v>
      </c>
      <c r="BWE1">
        <f>Database!BWX1</f>
        <v>0</v>
      </c>
      <c r="BWF1">
        <f>Database!BWY1</f>
        <v>0</v>
      </c>
      <c r="BWG1">
        <f>Database!BWZ1</f>
        <v>0</v>
      </c>
      <c r="BWH1">
        <f>Database!BXA1</f>
        <v>0</v>
      </c>
      <c r="BWI1">
        <f>Database!BXB1</f>
        <v>0</v>
      </c>
      <c r="BWJ1">
        <f>Database!BXC1</f>
        <v>0</v>
      </c>
      <c r="BWK1">
        <f>Database!BXD1</f>
        <v>0</v>
      </c>
      <c r="BWL1">
        <f>Database!BXE1</f>
        <v>0</v>
      </c>
      <c r="BWM1">
        <f>Database!BXF1</f>
        <v>0</v>
      </c>
      <c r="BWN1">
        <f>Database!BXG1</f>
        <v>0</v>
      </c>
      <c r="BWO1">
        <f>Database!BXH1</f>
        <v>0</v>
      </c>
      <c r="BWP1">
        <f>Database!BXI1</f>
        <v>0</v>
      </c>
      <c r="BWQ1">
        <f>Database!BXJ1</f>
        <v>0</v>
      </c>
      <c r="BWR1">
        <f>Database!BXK1</f>
        <v>0</v>
      </c>
      <c r="BWS1">
        <f>Database!BXL1</f>
        <v>0</v>
      </c>
      <c r="BWT1">
        <f>Database!BXM1</f>
        <v>0</v>
      </c>
      <c r="BWU1">
        <f>Database!BXN1</f>
        <v>0</v>
      </c>
      <c r="BWV1">
        <f>Database!BXO1</f>
        <v>0</v>
      </c>
      <c r="BWW1">
        <f>Database!BXP1</f>
        <v>0</v>
      </c>
      <c r="BWX1">
        <f>Database!BXQ1</f>
        <v>0</v>
      </c>
      <c r="BWY1">
        <f>Database!BXR1</f>
        <v>0</v>
      </c>
      <c r="BWZ1">
        <f>Database!BXS1</f>
        <v>0</v>
      </c>
      <c r="BXA1">
        <f>Database!BXT1</f>
        <v>0</v>
      </c>
      <c r="BXB1">
        <f>Database!BXU1</f>
        <v>0</v>
      </c>
      <c r="BXC1">
        <f>Database!BXV1</f>
        <v>0</v>
      </c>
      <c r="BXD1">
        <f>Database!BXW1</f>
        <v>0</v>
      </c>
      <c r="BXE1">
        <f>Database!BXX1</f>
        <v>0</v>
      </c>
      <c r="BXF1">
        <f>Database!BXY1</f>
        <v>0</v>
      </c>
      <c r="BXG1">
        <f>Database!BXZ1</f>
        <v>0</v>
      </c>
      <c r="BXH1">
        <f>Database!BYA1</f>
        <v>0</v>
      </c>
      <c r="BXI1">
        <f>Database!BYB1</f>
        <v>0</v>
      </c>
      <c r="BXJ1">
        <f>Database!BYC1</f>
        <v>0</v>
      </c>
      <c r="BXK1">
        <f>Database!BYD1</f>
        <v>0</v>
      </c>
      <c r="BXL1">
        <f>Database!BYE1</f>
        <v>0</v>
      </c>
      <c r="BXM1">
        <f>Database!BYF1</f>
        <v>0</v>
      </c>
      <c r="BXN1">
        <f>Database!BYG1</f>
        <v>0</v>
      </c>
      <c r="BXO1">
        <f>Database!BYH1</f>
        <v>0</v>
      </c>
      <c r="BXP1">
        <f>Database!BYI1</f>
        <v>0</v>
      </c>
      <c r="BXQ1">
        <f>Database!BYJ1</f>
        <v>0</v>
      </c>
      <c r="BXR1">
        <f>Database!BYK1</f>
        <v>0</v>
      </c>
      <c r="BXS1">
        <f>Database!BYL1</f>
        <v>0</v>
      </c>
      <c r="BXT1">
        <f>Database!BYM1</f>
        <v>0</v>
      </c>
      <c r="BXU1">
        <f>Database!BYN1</f>
        <v>0</v>
      </c>
      <c r="BXV1">
        <f>Database!BYO1</f>
        <v>0</v>
      </c>
      <c r="BXW1">
        <f>Database!BYP1</f>
        <v>0</v>
      </c>
      <c r="BXX1">
        <f>Database!BYQ1</f>
        <v>0</v>
      </c>
      <c r="BXY1">
        <f>Database!BYR1</f>
        <v>0</v>
      </c>
      <c r="BXZ1">
        <f>Database!BYS1</f>
        <v>0</v>
      </c>
      <c r="BYA1">
        <f>Database!BYT1</f>
        <v>0</v>
      </c>
      <c r="BYB1">
        <f>Database!BYU1</f>
        <v>0</v>
      </c>
      <c r="BYC1">
        <f>Database!BYV1</f>
        <v>0</v>
      </c>
      <c r="BYD1">
        <f>Database!BYW1</f>
        <v>0</v>
      </c>
      <c r="BYE1">
        <f>Database!BYX1</f>
        <v>0</v>
      </c>
      <c r="BYF1">
        <f>Database!BYY1</f>
        <v>0</v>
      </c>
      <c r="BYG1">
        <f>Database!BYZ1</f>
        <v>0</v>
      </c>
      <c r="BYH1">
        <f>Database!BZA1</f>
        <v>0</v>
      </c>
      <c r="BYI1">
        <f>Database!BZB1</f>
        <v>0</v>
      </c>
      <c r="BYJ1">
        <f>Database!BZC1</f>
        <v>0</v>
      </c>
      <c r="BYK1">
        <f>Database!BZD1</f>
        <v>0</v>
      </c>
      <c r="BYL1">
        <f>Database!BZE1</f>
        <v>0</v>
      </c>
      <c r="BYM1">
        <f>Database!BZF1</f>
        <v>0</v>
      </c>
      <c r="BYN1">
        <f>Database!BZG1</f>
        <v>0</v>
      </c>
      <c r="BYO1">
        <f>Database!BZH1</f>
        <v>0</v>
      </c>
      <c r="BYP1">
        <f>Database!BZI1</f>
        <v>0</v>
      </c>
      <c r="BYQ1">
        <f>Database!BZJ1</f>
        <v>0</v>
      </c>
      <c r="BYR1">
        <f>Database!BZK1</f>
        <v>0</v>
      </c>
      <c r="BYS1">
        <f>Database!BZL1</f>
        <v>0</v>
      </c>
      <c r="BYT1">
        <f>Database!BZM1</f>
        <v>0</v>
      </c>
      <c r="BYU1">
        <f>Database!BZN1</f>
        <v>0</v>
      </c>
      <c r="BYV1">
        <f>Database!BZO1</f>
        <v>0</v>
      </c>
      <c r="BYW1">
        <f>Database!BZP1</f>
        <v>0</v>
      </c>
      <c r="BYX1">
        <f>Database!BZQ1</f>
        <v>0</v>
      </c>
      <c r="BYY1">
        <f>Database!BZR1</f>
        <v>0</v>
      </c>
      <c r="BYZ1">
        <f>Database!BZS1</f>
        <v>0</v>
      </c>
      <c r="BZA1">
        <f>Database!BZT1</f>
        <v>0</v>
      </c>
      <c r="BZB1">
        <f>Database!BZU1</f>
        <v>0</v>
      </c>
      <c r="BZC1">
        <f>Database!BZV1</f>
        <v>0</v>
      </c>
      <c r="BZD1">
        <f>Database!BZW1</f>
        <v>0</v>
      </c>
      <c r="BZE1">
        <f>Database!BZX1</f>
        <v>0</v>
      </c>
      <c r="BZF1">
        <f>Database!BZY1</f>
        <v>0</v>
      </c>
      <c r="BZG1">
        <f>Database!BZZ1</f>
        <v>0</v>
      </c>
      <c r="BZH1">
        <f>Database!CAA1</f>
        <v>0</v>
      </c>
      <c r="BZI1">
        <f>Database!CAB1</f>
        <v>0</v>
      </c>
      <c r="BZJ1">
        <f>Database!CAC1</f>
        <v>0</v>
      </c>
      <c r="BZK1">
        <f>Database!CAD1</f>
        <v>0</v>
      </c>
      <c r="BZL1">
        <f>Database!CAE1</f>
        <v>0</v>
      </c>
      <c r="BZM1">
        <f>Database!CAF1</f>
        <v>0</v>
      </c>
      <c r="BZN1">
        <f>Database!CAG1</f>
        <v>0</v>
      </c>
      <c r="BZO1">
        <f>Database!CAH1</f>
        <v>0</v>
      </c>
      <c r="BZP1">
        <f>Database!CAI1</f>
        <v>0</v>
      </c>
      <c r="BZQ1">
        <f>Database!CAJ1</f>
        <v>0</v>
      </c>
      <c r="BZR1">
        <f>Database!CAK1</f>
        <v>0</v>
      </c>
      <c r="BZS1">
        <f>Database!CAL1</f>
        <v>0</v>
      </c>
      <c r="BZT1">
        <f>Database!CAM1</f>
        <v>0</v>
      </c>
      <c r="BZU1">
        <f>Database!CAN1</f>
        <v>0</v>
      </c>
      <c r="BZV1">
        <f>Database!CAO1</f>
        <v>0</v>
      </c>
      <c r="BZW1">
        <f>Database!CAP1</f>
        <v>0</v>
      </c>
      <c r="BZX1">
        <f>Database!CAQ1</f>
        <v>0</v>
      </c>
      <c r="BZY1">
        <f>Database!CAR1</f>
        <v>0</v>
      </c>
      <c r="BZZ1">
        <f>Database!CAS1</f>
        <v>0</v>
      </c>
      <c r="CAA1">
        <f>Database!CAT1</f>
        <v>0</v>
      </c>
      <c r="CAB1">
        <f>Database!CAU1</f>
        <v>0</v>
      </c>
      <c r="CAC1">
        <f>Database!CAV1</f>
        <v>0</v>
      </c>
      <c r="CAD1">
        <f>Database!CAW1</f>
        <v>0</v>
      </c>
      <c r="CAE1">
        <f>Database!CAX1</f>
        <v>0</v>
      </c>
      <c r="CAF1">
        <f>Database!CAY1</f>
        <v>0</v>
      </c>
      <c r="CAG1">
        <f>Database!CAZ1</f>
        <v>0</v>
      </c>
      <c r="CAH1">
        <f>Database!CBA1</f>
        <v>0</v>
      </c>
      <c r="CAI1">
        <f>Database!CBB1</f>
        <v>0</v>
      </c>
      <c r="CAJ1">
        <f>Database!CBC1</f>
        <v>0</v>
      </c>
      <c r="CAK1">
        <f>Database!CBD1</f>
        <v>0</v>
      </c>
      <c r="CAL1">
        <f>Database!CBE1</f>
        <v>0</v>
      </c>
      <c r="CAM1">
        <f>Database!CBF1</f>
        <v>0</v>
      </c>
      <c r="CAN1">
        <f>Database!CBG1</f>
        <v>0</v>
      </c>
      <c r="CAO1">
        <f>Database!CBH1</f>
        <v>0</v>
      </c>
      <c r="CAP1">
        <f>Database!CBI1</f>
        <v>0</v>
      </c>
      <c r="CAQ1">
        <f>Database!CBJ1</f>
        <v>0</v>
      </c>
      <c r="CAR1">
        <f>Database!CBK1</f>
        <v>0</v>
      </c>
      <c r="CAS1">
        <f>Database!CBL1</f>
        <v>0</v>
      </c>
      <c r="CAT1">
        <f>Database!CBM1</f>
        <v>0</v>
      </c>
      <c r="CAU1">
        <f>Database!CBN1</f>
        <v>0</v>
      </c>
      <c r="CAV1">
        <f>Database!CBO1</f>
        <v>0</v>
      </c>
      <c r="CAW1">
        <f>Database!CBP1</f>
        <v>0</v>
      </c>
      <c r="CAX1">
        <f>Database!CBQ1</f>
        <v>0</v>
      </c>
      <c r="CAY1">
        <f>Database!CBR1</f>
        <v>0</v>
      </c>
      <c r="CAZ1">
        <f>Database!CBS1</f>
        <v>0</v>
      </c>
      <c r="CBA1">
        <f>Database!CBT1</f>
        <v>0</v>
      </c>
      <c r="CBB1">
        <f>Database!CBU1</f>
        <v>0</v>
      </c>
      <c r="CBC1">
        <f>Database!CBV1</f>
        <v>0</v>
      </c>
      <c r="CBD1">
        <f>Database!CBW1</f>
        <v>0</v>
      </c>
      <c r="CBE1">
        <f>Database!CBX1</f>
        <v>0</v>
      </c>
      <c r="CBF1">
        <f>Database!CBY1</f>
        <v>0</v>
      </c>
      <c r="CBG1">
        <f>Database!CBZ1</f>
        <v>0</v>
      </c>
      <c r="CBH1">
        <f>Database!CCA1</f>
        <v>0</v>
      </c>
      <c r="CBI1">
        <f>Database!CCB1</f>
        <v>0</v>
      </c>
      <c r="CBJ1">
        <f>Database!CCC1</f>
        <v>0</v>
      </c>
      <c r="CBK1">
        <f>Database!CCD1</f>
        <v>0</v>
      </c>
      <c r="CBL1">
        <f>Database!CCE1</f>
        <v>0</v>
      </c>
      <c r="CBM1">
        <f>Database!CCF1</f>
        <v>0</v>
      </c>
      <c r="CBN1">
        <f>Database!CCG1</f>
        <v>0</v>
      </c>
      <c r="CBO1">
        <f>Database!CCH1</f>
        <v>0</v>
      </c>
      <c r="CBP1">
        <f>Database!CCI1</f>
        <v>0</v>
      </c>
      <c r="CBQ1">
        <f>Database!CCJ1</f>
        <v>0</v>
      </c>
      <c r="CBR1">
        <f>Database!CCK1</f>
        <v>0</v>
      </c>
      <c r="CBS1">
        <f>Database!CCL1</f>
        <v>0</v>
      </c>
      <c r="CBT1">
        <f>Database!CCM1</f>
        <v>0</v>
      </c>
      <c r="CBU1">
        <f>Database!CCN1</f>
        <v>0</v>
      </c>
      <c r="CBV1">
        <f>Database!CCO1</f>
        <v>0</v>
      </c>
      <c r="CBW1">
        <f>Database!CCP1</f>
        <v>0</v>
      </c>
      <c r="CBX1">
        <f>Database!CCQ1</f>
        <v>0</v>
      </c>
      <c r="CBY1">
        <f>Database!CCR1</f>
        <v>0</v>
      </c>
      <c r="CBZ1">
        <f>Database!CCS1</f>
        <v>0</v>
      </c>
      <c r="CCA1">
        <f>Database!CCT1</f>
        <v>0</v>
      </c>
      <c r="CCB1">
        <f>Database!CCU1</f>
        <v>0</v>
      </c>
      <c r="CCC1">
        <f>Database!CCV1</f>
        <v>0</v>
      </c>
      <c r="CCD1">
        <f>Database!CCW1</f>
        <v>0</v>
      </c>
      <c r="CCE1">
        <f>Database!CCX1</f>
        <v>0</v>
      </c>
      <c r="CCF1">
        <f>Database!CCY1</f>
        <v>0</v>
      </c>
      <c r="CCG1">
        <f>Database!CCZ1</f>
        <v>0</v>
      </c>
      <c r="CCH1">
        <f>Database!CDA1</f>
        <v>0</v>
      </c>
      <c r="CCI1">
        <f>Database!CDB1</f>
        <v>0</v>
      </c>
      <c r="CCJ1">
        <f>Database!CDC1</f>
        <v>0</v>
      </c>
      <c r="CCK1">
        <f>Database!CDD1</f>
        <v>0</v>
      </c>
      <c r="CCL1">
        <f>Database!CDE1</f>
        <v>0</v>
      </c>
      <c r="CCM1">
        <f>Database!CDF1</f>
        <v>0</v>
      </c>
      <c r="CCN1">
        <f>Database!CDG1</f>
        <v>0</v>
      </c>
      <c r="CCO1">
        <f>Database!CDH1</f>
        <v>0</v>
      </c>
      <c r="CCP1">
        <f>Database!CDI1</f>
        <v>0</v>
      </c>
      <c r="CCQ1">
        <f>Database!CDJ1</f>
        <v>0</v>
      </c>
      <c r="CCR1">
        <f>Database!CDK1</f>
        <v>0</v>
      </c>
      <c r="CCS1">
        <f>Database!CDL1</f>
        <v>0</v>
      </c>
      <c r="CCT1">
        <f>Database!CDM1</f>
        <v>0</v>
      </c>
      <c r="CCU1">
        <f>Database!CDN1</f>
        <v>0</v>
      </c>
      <c r="CCV1">
        <f>Database!CDO1</f>
        <v>0</v>
      </c>
      <c r="CCW1">
        <f>Database!CDP1</f>
        <v>0</v>
      </c>
      <c r="CCX1">
        <f>Database!CDQ1</f>
        <v>0</v>
      </c>
      <c r="CCY1">
        <f>Database!CDR1</f>
        <v>0</v>
      </c>
      <c r="CCZ1">
        <f>Database!CDS1</f>
        <v>0</v>
      </c>
      <c r="CDA1">
        <f>Database!CDT1</f>
        <v>0</v>
      </c>
      <c r="CDB1">
        <f>Database!CDU1</f>
        <v>0</v>
      </c>
      <c r="CDC1">
        <f>Database!CDV1</f>
        <v>0</v>
      </c>
      <c r="CDD1">
        <f>Database!CDW1</f>
        <v>0</v>
      </c>
      <c r="CDE1">
        <f>Database!CDX1</f>
        <v>0</v>
      </c>
      <c r="CDF1">
        <f>Database!CDY1</f>
        <v>0</v>
      </c>
      <c r="CDG1">
        <f>Database!CDZ1</f>
        <v>0</v>
      </c>
      <c r="CDH1">
        <f>Database!CEA1</f>
        <v>0</v>
      </c>
      <c r="CDI1">
        <f>Database!CEB1</f>
        <v>0</v>
      </c>
      <c r="CDJ1">
        <f>Database!CEC1</f>
        <v>0</v>
      </c>
      <c r="CDK1">
        <f>Database!CED1</f>
        <v>0</v>
      </c>
      <c r="CDL1">
        <f>Database!CEE1</f>
        <v>0</v>
      </c>
      <c r="CDM1">
        <f>Database!CEF1</f>
        <v>0</v>
      </c>
      <c r="CDN1">
        <f>Database!CEG1</f>
        <v>0</v>
      </c>
      <c r="CDO1">
        <f>Database!CEH1</f>
        <v>0</v>
      </c>
      <c r="CDP1">
        <f>Database!CEI1</f>
        <v>0</v>
      </c>
      <c r="CDQ1">
        <f>Database!CEJ1</f>
        <v>0</v>
      </c>
      <c r="CDR1">
        <f>Database!CEK1</f>
        <v>0</v>
      </c>
      <c r="CDS1">
        <f>Database!CEL1</f>
        <v>0</v>
      </c>
      <c r="CDT1">
        <f>Database!CEM1</f>
        <v>0</v>
      </c>
      <c r="CDU1">
        <f>Database!CEN1</f>
        <v>0</v>
      </c>
      <c r="CDV1">
        <f>Database!CEO1</f>
        <v>0</v>
      </c>
      <c r="CDW1">
        <f>Database!CEP1</f>
        <v>0</v>
      </c>
      <c r="CDX1">
        <f>Database!CEQ1</f>
        <v>0</v>
      </c>
      <c r="CDY1">
        <f>Database!CER1</f>
        <v>0</v>
      </c>
      <c r="CDZ1">
        <f>Database!CES1</f>
        <v>0</v>
      </c>
      <c r="CEA1">
        <f>Database!CET1</f>
        <v>0</v>
      </c>
      <c r="CEB1">
        <f>Database!CEU1</f>
        <v>0</v>
      </c>
      <c r="CEC1">
        <f>Database!CEV1</f>
        <v>0</v>
      </c>
      <c r="CED1">
        <f>Database!CEW1</f>
        <v>0</v>
      </c>
      <c r="CEE1">
        <f>Database!CEX1</f>
        <v>0</v>
      </c>
      <c r="CEF1">
        <f>Database!CEY1</f>
        <v>0</v>
      </c>
      <c r="CEG1">
        <f>Database!CEZ1</f>
        <v>0</v>
      </c>
      <c r="CEH1">
        <f>Database!CFA1</f>
        <v>0</v>
      </c>
      <c r="CEI1">
        <f>Database!CFB1</f>
        <v>0</v>
      </c>
      <c r="CEJ1">
        <f>Database!CFC1</f>
        <v>0</v>
      </c>
      <c r="CEK1">
        <f>Database!CFD1</f>
        <v>0</v>
      </c>
      <c r="CEL1">
        <f>Database!CFE1</f>
        <v>0</v>
      </c>
      <c r="CEM1">
        <f>Database!CFF1</f>
        <v>0</v>
      </c>
      <c r="CEN1">
        <f>Database!CFG1</f>
        <v>0</v>
      </c>
      <c r="CEO1">
        <f>Database!CFH1</f>
        <v>0</v>
      </c>
      <c r="CEP1">
        <f>Database!CFI1</f>
        <v>0</v>
      </c>
      <c r="CEQ1">
        <f>Database!CFJ1</f>
        <v>0</v>
      </c>
      <c r="CER1">
        <f>Database!CFK1</f>
        <v>0</v>
      </c>
      <c r="CES1">
        <f>Database!CFL1</f>
        <v>0</v>
      </c>
      <c r="CET1">
        <f>Database!CFM1</f>
        <v>0</v>
      </c>
      <c r="CEU1">
        <f>Database!CFN1</f>
        <v>0</v>
      </c>
      <c r="CEV1">
        <f>Database!CFO1</f>
        <v>0</v>
      </c>
      <c r="CEW1">
        <f>Database!CFP1</f>
        <v>0</v>
      </c>
      <c r="CEX1">
        <f>Database!CFQ1</f>
        <v>0</v>
      </c>
      <c r="CEY1">
        <f>Database!CFR1</f>
        <v>0</v>
      </c>
      <c r="CEZ1">
        <f>Database!CFS1</f>
        <v>0</v>
      </c>
      <c r="CFA1">
        <f>Database!CFT1</f>
        <v>0</v>
      </c>
      <c r="CFB1">
        <f>Database!CFU1</f>
        <v>0</v>
      </c>
      <c r="CFC1">
        <f>Database!CFV1</f>
        <v>0</v>
      </c>
      <c r="CFD1">
        <f>Database!CFW1</f>
        <v>0</v>
      </c>
      <c r="CFE1">
        <f>Database!CFX1</f>
        <v>0</v>
      </c>
      <c r="CFF1">
        <f>Database!CFY1</f>
        <v>0</v>
      </c>
      <c r="CFG1">
        <f>Database!CFZ1</f>
        <v>0</v>
      </c>
      <c r="CFH1">
        <f>Database!CGA1</f>
        <v>0</v>
      </c>
      <c r="CFI1">
        <f>Database!CGB1</f>
        <v>0</v>
      </c>
      <c r="CFJ1">
        <f>Database!CGC1</f>
        <v>0</v>
      </c>
      <c r="CFK1">
        <f>Database!CGD1</f>
        <v>0</v>
      </c>
      <c r="CFL1">
        <f>Database!CGE1</f>
        <v>0</v>
      </c>
      <c r="CFM1">
        <f>Database!CGF1</f>
        <v>0</v>
      </c>
      <c r="CFN1">
        <f>Database!CGG1</f>
        <v>0</v>
      </c>
      <c r="CFO1">
        <f>Database!CGH1</f>
        <v>0</v>
      </c>
      <c r="CFP1">
        <f>Database!CGI1</f>
        <v>0</v>
      </c>
      <c r="CFQ1">
        <f>Database!CGJ1</f>
        <v>0</v>
      </c>
      <c r="CFR1">
        <f>Database!CGK1</f>
        <v>0</v>
      </c>
      <c r="CFS1">
        <f>Database!CGL1</f>
        <v>0</v>
      </c>
      <c r="CFT1">
        <f>Database!CGM1</f>
        <v>0</v>
      </c>
      <c r="CFU1">
        <f>Database!CGN1</f>
        <v>0</v>
      </c>
      <c r="CFV1">
        <f>Database!CGO1</f>
        <v>0</v>
      </c>
      <c r="CFW1">
        <f>Database!CGP1</f>
        <v>0</v>
      </c>
      <c r="CFX1">
        <f>Database!CGQ1</f>
        <v>0</v>
      </c>
      <c r="CFY1">
        <f>Database!CGR1</f>
        <v>0</v>
      </c>
      <c r="CFZ1">
        <f>Database!CGS1</f>
        <v>0</v>
      </c>
      <c r="CGA1">
        <f>Database!CGT1</f>
        <v>0</v>
      </c>
      <c r="CGB1">
        <f>Database!CGU1</f>
        <v>0</v>
      </c>
      <c r="CGC1">
        <f>Database!CGV1</f>
        <v>0</v>
      </c>
      <c r="CGD1">
        <f>Database!CGW1</f>
        <v>0</v>
      </c>
      <c r="CGE1">
        <f>Database!CGX1</f>
        <v>0</v>
      </c>
      <c r="CGF1">
        <f>Database!CGY1</f>
        <v>0</v>
      </c>
      <c r="CGG1">
        <f>Database!CGZ1</f>
        <v>0</v>
      </c>
      <c r="CGH1">
        <f>Database!CHA1</f>
        <v>0</v>
      </c>
      <c r="CGI1">
        <f>Database!CHB1</f>
        <v>0</v>
      </c>
      <c r="CGJ1">
        <f>Database!CHC1</f>
        <v>0</v>
      </c>
      <c r="CGK1">
        <f>Database!CHD1</f>
        <v>0</v>
      </c>
      <c r="CGL1">
        <f>Database!CHE1</f>
        <v>0</v>
      </c>
      <c r="CGM1">
        <f>Database!CHF1</f>
        <v>0</v>
      </c>
      <c r="CGN1">
        <f>Database!CHG1</f>
        <v>0</v>
      </c>
      <c r="CGO1">
        <f>Database!CHH1</f>
        <v>0</v>
      </c>
      <c r="CGP1">
        <f>Database!CHI1</f>
        <v>0</v>
      </c>
      <c r="CGQ1">
        <f>Database!CHJ1</f>
        <v>0</v>
      </c>
      <c r="CGR1">
        <f>Database!CHK1</f>
        <v>0</v>
      </c>
      <c r="CGS1">
        <f>Database!CHL1</f>
        <v>0</v>
      </c>
      <c r="CGT1">
        <f>Database!CHM1</f>
        <v>0</v>
      </c>
      <c r="CGU1">
        <f>Database!CHN1</f>
        <v>0</v>
      </c>
      <c r="CGV1">
        <f>Database!CHO1</f>
        <v>0</v>
      </c>
      <c r="CGW1">
        <f>Database!CHP1</f>
        <v>0</v>
      </c>
      <c r="CGX1">
        <f>Database!CHQ1</f>
        <v>0</v>
      </c>
      <c r="CGY1">
        <f>Database!CHR1</f>
        <v>0</v>
      </c>
      <c r="CGZ1">
        <f>Database!CHS1</f>
        <v>0</v>
      </c>
      <c r="CHA1">
        <f>Database!CHT1</f>
        <v>0</v>
      </c>
      <c r="CHB1">
        <f>Database!CHU1</f>
        <v>0</v>
      </c>
      <c r="CHC1">
        <f>Database!CHV1</f>
        <v>0</v>
      </c>
      <c r="CHD1">
        <f>Database!CHW1</f>
        <v>0</v>
      </c>
      <c r="CHE1">
        <f>Database!CHX1</f>
        <v>0</v>
      </c>
      <c r="CHF1">
        <f>Database!CHY1</f>
        <v>0</v>
      </c>
      <c r="CHG1">
        <f>Database!CHZ1</f>
        <v>0</v>
      </c>
      <c r="CHH1">
        <f>Database!CIA1</f>
        <v>0</v>
      </c>
      <c r="CHI1">
        <f>Database!CIB1</f>
        <v>0</v>
      </c>
      <c r="CHJ1">
        <f>Database!CIC1</f>
        <v>0</v>
      </c>
      <c r="CHK1">
        <f>Database!CID1</f>
        <v>0</v>
      </c>
      <c r="CHL1">
        <f>Database!CIE1</f>
        <v>0</v>
      </c>
      <c r="CHM1">
        <f>Database!CIF1</f>
        <v>0</v>
      </c>
      <c r="CHN1">
        <f>Database!CIG1</f>
        <v>0</v>
      </c>
      <c r="CHO1">
        <f>Database!CIH1</f>
        <v>0</v>
      </c>
      <c r="CHP1">
        <f>Database!CII1</f>
        <v>0</v>
      </c>
      <c r="CHQ1">
        <f>Database!CIJ1</f>
        <v>0</v>
      </c>
      <c r="CHR1">
        <f>Database!CIK1</f>
        <v>0</v>
      </c>
      <c r="CHS1">
        <f>Database!CIL1</f>
        <v>0</v>
      </c>
      <c r="CHT1">
        <f>Database!CIM1</f>
        <v>0</v>
      </c>
      <c r="CHU1">
        <f>Database!CIN1</f>
        <v>0</v>
      </c>
      <c r="CHV1">
        <f>Database!CIO1</f>
        <v>0</v>
      </c>
      <c r="CHW1">
        <f>Database!CIP1</f>
        <v>0</v>
      </c>
      <c r="CHX1">
        <f>Database!CIQ1</f>
        <v>0</v>
      </c>
      <c r="CHY1">
        <f>Database!CIR1</f>
        <v>0</v>
      </c>
      <c r="CHZ1">
        <f>Database!CIS1</f>
        <v>0</v>
      </c>
      <c r="CIA1">
        <f>Database!CIT1</f>
        <v>0</v>
      </c>
      <c r="CIB1">
        <f>Database!CIU1</f>
        <v>0</v>
      </c>
      <c r="CIC1">
        <f>Database!CIV1</f>
        <v>0</v>
      </c>
      <c r="CID1">
        <f>Database!CIW1</f>
        <v>0</v>
      </c>
      <c r="CIE1">
        <f>Database!CIX1</f>
        <v>0</v>
      </c>
      <c r="CIF1">
        <f>Database!CIY1</f>
        <v>0</v>
      </c>
      <c r="CIG1">
        <f>Database!CIZ1</f>
        <v>0</v>
      </c>
      <c r="CIH1">
        <f>Database!CJA1</f>
        <v>0</v>
      </c>
      <c r="CII1">
        <f>Database!CJB1</f>
        <v>0</v>
      </c>
      <c r="CIJ1">
        <f>Database!CJC1</f>
        <v>0</v>
      </c>
      <c r="CIK1">
        <f>Database!CJD1</f>
        <v>0</v>
      </c>
      <c r="CIL1">
        <f>Database!CJE1</f>
        <v>0</v>
      </c>
      <c r="CIM1">
        <f>Database!CJF1</f>
        <v>0</v>
      </c>
      <c r="CIN1">
        <f>Database!CJG1</f>
        <v>0</v>
      </c>
      <c r="CIO1">
        <f>Database!CJH1</f>
        <v>0</v>
      </c>
      <c r="CIP1">
        <f>Database!CJI1</f>
        <v>0</v>
      </c>
      <c r="CIQ1">
        <f>Database!CJJ1</f>
        <v>0</v>
      </c>
      <c r="CIR1">
        <f>Database!CJK1</f>
        <v>0</v>
      </c>
      <c r="CIS1">
        <f>Database!CJL1</f>
        <v>0</v>
      </c>
      <c r="CIT1">
        <f>Database!CJM1</f>
        <v>0</v>
      </c>
      <c r="CIU1">
        <f>Database!CJN1</f>
        <v>0</v>
      </c>
      <c r="CIV1">
        <f>Database!CJO1</f>
        <v>0</v>
      </c>
      <c r="CIW1">
        <f>Database!CJP1</f>
        <v>0</v>
      </c>
      <c r="CIX1">
        <f>Database!CJQ1</f>
        <v>0</v>
      </c>
      <c r="CIY1">
        <f>Database!CJR1</f>
        <v>0</v>
      </c>
      <c r="CIZ1">
        <f>Database!CJS1</f>
        <v>0</v>
      </c>
      <c r="CJA1">
        <f>Database!CJT1</f>
        <v>0</v>
      </c>
      <c r="CJB1">
        <f>Database!CJU1</f>
        <v>0</v>
      </c>
      <c r="CJC1">
        <f>Database!CJV1</f>
        <v>0</v>
      </c>
      <c r="CJD1">
        <f>Database!CJW1</f>
        <v>0</v>
      </c>
      <c r="CJE1">
        <f>Database!CJX1</f>
        <v>0</v>
      </c>
      <c r="CJF1">
        <f>Database!CJY1</f>
        <v>0</v>
      </c>
      <c r="CJG1">
        <f>Database!CJZ1</f>
        <v>0</v>
      </c>
      <c r="CJH1">
        <f>Database!CKA1</f>
        <v>0</v>
      </c>
      <c r="CJI1">
        <f>Database!CKB1</f>
        <v>0</v>
      </c>
      <c r="CJJ1">
        <f>Database!CKC1</f>
        <v>0</v>
      </c>
      <c r="CJK1">
        <f>Database!CKD1</f>
        <v>0</v>
      </c>
      <c r="CJL1">
        <f>Database!CKE1</f>
        <v>0</v>
      </c>
      <c r="CJM1">
        <f>Database!CKF1</f>
        <v>0</v>
      </c>
      <c r="CJN1">
        <f>Database!CKG1</f>
        <v>0</v>
      </c>
      <c r="CJO1">
        <f>Database!CKH1</f>
        <v>0</v>
      </c>
      <c r="CJP1">
        <f>Database!CKI1</f>
        <v>0</v>
      </c>
      <c r="CJQ1">
        <f>Database!CKJ1</f>
        <v>0</v>
      </c>
      <c r="CJR1">
        <f>Database!CKK1</f>
        <v>0</v>
      </c>
      <c r="CJS1">
        <f>Database!CKL1</f>
        <v>0</v>
      </c>
      <c r="CJT1">
        <f>Database!CKM1</f>
        <v>0</v>
      </c>
      <c r="CJU1">
        <f>Database!CKN1</f>
        <v>0</v>
      </c>
      <c r="CJV1">
        <f>Database!CKO1</f>
        <v>0</v>
      </c>
      <c r="CJW1">
        <f>Database!CKP1</f>
        <v>0</v>
      </c>
      <c r="CJX1">
        <f>Database!CKQ1</f>
        <v>0</v>
      </c>
      <c r="CJY1">
        <f>Database!CKR1</f>
        <v>0</v>
      </c>
      <c r="CJZ1">
        <f>Database!CKS1</f>
        <v>0</v>
      </c>
      <c r="CKA1">
        <f>Database!CKT1</f>
        <v>0</v>
      </c>
      <c r="CKB1">
        <f>Database!CKU1</f>
        <v>0</v>
      </c>
      <c r="CKC1">
        <f>Database!CKV1</f>
        <v>0</v>
      </c>
      <c r="CKD1">
        <f>Database!CKW1</f>
        <v>0</v>
      </c>
      <c r="CKE1">
        <f>Database!CKX1</f>
        <v>0</v>
      </c>
      <c r="CKF1">
        <f>Database!CKY1</f>
        <v>0</v>
      </c>
      <c r="CKG1">
        <f>Database!CKZ1</f>
        <v>0</v>
      </c>
      <c r="CKH1">
        <f>Database!CLA1</f>
        <v>0</v>
      </c>
      <c r="CKI1">
        <f>Database!CLB1</f>
        <v>0</v>
      </c>
      <c r="CKJ1">
        <f>Database!CLC1</f>
        <v>0</v>
      </c>
      <c r="CKK1">
        <f>Database!CLD1</f>
        <v>0</v>
      </c>
      <c r="CKL1">
        <f>Database!CLE1</f>
        <v>0</v>
      </c>
      <c r="CKM1">
        <f>Database!CLF1</f>
        <v>0</v>
      </c>
      <c r="CKN1">
        <f>Database!CLG1</f>
        <v>0</v>
      </c>
      <c r="CKO1">
        <f>Database!CLH1</f>
        <v>0</v>
      </c>
      <c r="CKP1">
        <f>Database!CLI1</f>
        <v>0</v>
      </c>
      <c r="CKQ1">
        <f>Database!CLJ1</f>
        <v>0</v>
      </c>
      <c r="CKR1">
        <f>Database!CLK1</f>
        <v>0</v>
      </c>
      <c r="CKS1">
        <f>Database!CLL1</f>
        <v>0</v>
      </c>
      <c r="CKT1">
        <f>Database!CLM1</f>
        <v>0</v>
      </c>
      <c r="CKU1">
        <f>Database!CLN1</f>
        <v>0</v>
      </c>
      <c r="CKV1">
        <f>Database!CLO1</f>
        <v>0</v>
      </c>
      <c r="CKW1">
        <f>Database!CLP1</f>
        <v>0</v>
      </c>
      <c r="CKX1">
        <f>Database!CLQ1</f>
        <v>0</v>
      </c>
      <c r="CKY1">
        <f>Database!CLR1</f>
        <v>0</v>
      </c>
      <c r="CKZ1">
        <f>Database!CLS1</f>
        <v>0</v>
      </c>
      <c r="CLA1">
        <f>Database!CLT1</f>
        <v>0</v>
      </c>
      <c r="CLB1">
        <f>Database!CLU1</f>
        <v>0</v>
      </c>
      <c r="CLC1">
        <f>Database!CLV1</f>
        <v>0</v>
      </c>
      <c r="CLD1">
        <f>Database!CLW1</f>
        <v>0</v>
      </c>
      <c r="CLE1">
        <f>Database!CLX1</f>
        <v>0</v>
      </c>
      <c r="CLF1">
        <f>Database!CLY1</f>
        <v>0</v>
      </c>
      <c r="CLG1">
        <f>Database!CLZ1</f>
        <v>0</v>
      </c>
      <c r="CLH1">
        <f>Database!CMA1</f>
        <v>0</v>
      </c>
      <c r="CLI1">
        <f>Database!CMB1</f>
        <v>0</v>
      </c>
      <c r="CLJ1">
        <f>Database!CMC1</f>
        <v>0</v>
      </c>
      <c r="CLK1">
        <f>Database!CMD1</f>
        <v>0</v>
      </c>
      <c r="CLL1">
        <f>Database!CME1</f>
        <v>0</v>
      </c>
      <c r="CLM1">
        <f>Database!CMF1</f>
        <v>0</v>
      </c>
      <c r="CLN1">
        <f>Database!CMG1</f>
        <v>0</v>
      </c>
      <c r="CLO1">
        <f>Database!CMH1</f>
        <v>0</v>
      </c>
      <c r="CLP1">
        <f>Database!CMI1</f>
        <v>0</v>
      </c>
      <c r="CLQ1">
        <f>Database!CMJ1</f>
        <v>0</v>
      </c>
      <c r="CLR1">
        <f>Database!CMK1</f>
        <v>0</v>
      </c>
      <c r="CLS1">
        <f>Database!CML1</f>
        <v>0</v>
      </c>
      <c r="CLT1">
        <f>Database!CMM1</f>
        <v>0</v>
      </c>
      <c r="CLU1">
        <f>Database!CMN1</f>
        <v>0</v>
      </c>
      <c r="CLV1">
        <f>Database!CMO1</f>
        <v>0</v>
      </c>
      <c r="CLW1">
        <f>Database!CMP1</f>
        <v>0</v>
      </c>
      <c r="CLX1">
        <f>Database!CMQ1</f>
        <v>0</v>
      </c>
      <c r="CLY1">
        <f>Database!CMR1</f>
        <v>0</v>
      </c>
      <c r="CLZ1">
        <f>Database!CMS1</f>
        <v>0</v>
      </c>
      <c r="CMA1">
        <f>Database!CMT1</f>
        <v>0</v>
      </c>
      <c r="CMB1">
        <f>Database!CMU1</f>
        <v>0</v>
      </c>
      <c r="CMC1">
        <f>Database!CMV1</f>
        <v>0</v>
      </c>
      <c r="CMD1">
        <f>Database!CMW1</f>
        <v>0</v>
      </c>
      <c r="CME1">
        <f>Database!CMX1</f>
        <v>0</v>
      </c>
      <c r="CMF1">
        <f>Database!CMY1</f>
        <v>0</v>
      </c>
      <c r="CMG1">
        <f>Database!CMZ1</f>
        <v>0</v>
      </c>
      <c r="CMH1">
        <f>Database!CNA1</f>
        <v>0</v>
      </c>
      <c r="CMI1">
        <f>Database!CNB1</f>
        <v>0</v>
      </c>
      <c r="CMJ1">
        <f>Database!CNC1</f>
        <v>0</v>
      </c>
      <c r="CMK1">
        <f>Database!CND1</f>
        <v>0</v>
      </c>
      <c r="CML1">
        <f>Database!CNE1</f>
        <v>0</v>
      </c>
      <c r="CMM1">
        <f>Database!CNF1</f>
        <v>0</v>
      </c>
      <c r="CMN1">
        <f>Database!CNG1</f>
        <v>0</v>
      </c>
      <c r="CMO1">
        <f>Database!CNH1</f>
        <v>0</v>
      </c>
      <c r="CMP1">
        <f>Database!CNI1</f>
        <v>0</v>
      </c>
      <c r="CMQ1">
        <f>Database!CNJ1</f>
        <v>0</v>
      </c>
      <c r="CMR1">
        <f>Database!CNK1</f>
        <v>0</v>
      </c>
      <c r="CMS1">
        <f>Database!CNL1</f>
        <v>0</v>
      </c>
      <c r="CMT1">
        <f>Database!CNM1</f>
        <v>0</v>
      </c>
      <c r="CMU1">
        <f>Database!CNN1</f>
        <v>0</v>
      </c>
      <c r="CMV1">
        <f>Database!CNO1</f>
        <v>0</v>
      </c>
      <c r="CMW1">
        <f>Database!CNP1</f>
        <v>0</v>
      </c>
      <c r="CMX1">
        <f>Database!CNQ1</f>
        <v>0</v>
      </c>
      <c r="CMY1">
        <f>Database!CNR1</f>
        <v>0</v>
      </c>
      <c r="CMZ1">
        <f>Database!CNS1</f>
        <v>0</v>
      </c>
      <c r="CNA1">
        <f>Database!CNT1</f>
        <v>0</v>
      </c>
      <c r="CNB1">
        <f>Database!CNU1</f>
        <v>0</v>
      </c>
      <c r="CNC1">
        <f>Database!CNV1</f>
        <v>0</v>
      </c>
      <c r="CND1">
        <f>Database!CNW1</f>
        <v>0</v>
      </c>
      <c r="CNE1">
        <f>Database!CNX1</f>
        <v>0</v>
      </c>
      <c r="CNF1">
        <f>Database!CNY1</f>
        <v>0</v>
      </c>
      <c r="CNG1">
        <f>Database!CNZ1</f>
        <v>0</v>
      </c>
      <c r="CNH1">
        <f>Database!COA1</f>
        <v>0</v>
      </c>
      <c r="CNI1">
        <f>Database!COB1</f>
        <v>0</v>
      </c>
      <c r="CNJ1">
        <f>Database!COC1</f>
        <v>0</v>
      </c>
      <c r="CNK1">
        <f>Database!COD1</f>
        <v>0</v>
      </c>
      <c r="CNL1">
        <f>Database!COE1</f>
        <v>0</v>
      </c>
      <c r="CNM1">
        <f>Database!COF1</f>
        <v>0</v>
      </c>
      <c r="CNN1">
        <f>Database!COG1</f>
        <v>0</v>
      </c>
      <c r="CNO1">
        <f>Database!COH1</f>
        <v>0</v>
      </c>
      <c r="CNP1">
        <f>Database!COI1</f>
        <v>0</v>
      </c>
      <c r="CNQ1">
        <f>Database!COJ1</f>
        <v>0</v>
      </c>
      <c r="CNR1">
        <f>Database!COK1</f>
        <v>0</v>
      </c>
      <c r="CNS1">
        <f>Database!COL1</f>
        <v>0</v>
      </c>
      <c r="CNT1">
        <f>Database!COM1</f>
        <v>0</v>
      </c>
      <c r="CNU1">
        <f>Database!CON1</f>
        <v>0</v>
      </c>
      <c r="CNV1">
        <f>Database!COO1</f>
        <v>0</v>
      </c>
      <c r="CNW1">
        <f>Database!COP1</f>
        <v>0</v>
      </c>
      <c r="CNX1">
        <f>Database!COQ1</f>
        <v>0</v>
      </c>
      <c r="CNY1">
        <f>Database!COR1</f>
        <v>0</v>
      </c>
      <c r="CNZ1">
        <f>Database!COS1</f>
        <v>0</v>
      </c>
      <c r="COA1">
        <f>Database!COT1</f>
        <v>0</v>
      </c>
      <c r="COB1">
        <f>Database!COU1</f>
        <v>0</v>
      </c>
      <c r="COC1">
        <f>Database!COV1</f>
        <v>0</v>
      </c>
      <c r="COD1">
        <f>Database!COW1</f>
        <v>0</v>
      </c>
      <c r="COE1">
        <f>Database!COX1</f>
        <v>0</v>
      </c>
      <c r="COF1">
        <f>Database!COY1</f>
        <v>0</v>
      </c>
      <c r="COG1">
        <f>Database!COZ1</f>
        <v>0</v>
      </c>
      <c r="COH1">
        <f>Database!CPA1</f>
        <v>0</v>
      </c>
      <c r="COI1">
        <f>Database!CPB1</f>
        <v>0</v>
      </c>
      <c r="COJ1">
        <f>Database!CPC1</f>
        <v>0</v>
      </c>
      <c r="COK1">
        <f>Database!CPD1</f>
        <v>0</v>
      </c>
      <c r="COL1">
        <f>Database!CPE1</f>
        <v>0</v>
      </c>
      <c r="COM1">
        <f>Database!CPF1</f>
        <v>0</v>
      </c>
      <c r="CON1">
        <f>Database!CPG1</f>
        <v>0</v>
      </c>
      <c r="COO1">
        <f>Database!CPH1</f>
        <v>0</v>
      </c>
      <c r="COP1">
        <f>Database!CPI1</f>
        <v>0</v>
      </c>
      <c r="COQ1">
        <f>Database!CPJ1</f>
        <v>0</v>
      </c>
      <c r="COR1">
        <f>Database!CPK1</f>
        <v>0</v>
      </c>
      <c r="COS1">
        <f>Database!CPL1</f>
        <v>0</v>
      </c>
      <c r="COT1">
        <f>Database!CPM1</f>
        <v>0</v>
      </c>
      <c r="COU1">
        <f>Database!CPN1</f>
        <v>0</v>
      </c>
      <c r="COV1">
        <f>Database!CPO1</f>
        <v>0</v>
      </c>
      <c r="COW1">
        <f>Database!CPP1</f>
        <v>0</v>
      </c>
      <c r="COX1">
        <f>Database!CPQ1</f>
        <v>0</v>
      </c>
      <c r="COY1">
        <f>Database!CPR1</f>
        <v>0</v>
      </c>
      <c r="COZ1">
        <f>Database!CPS1</f>
        <v>0</v>
      </c>
      <c r="CPA1">
        <f>Database!CPT1</f>
        <v>0</v>
      </c>
      <c r="CPB1">
        <f>Database!CPU1</f>
        <v>0</v>
      </c>
      <c r="CPC1">
        <f>Database!CPV1</f>
        <v>0</v>
      </c>
      <c r="CPD1">
        <f>Database!CPW1</f>
        <v>0</v>
      </c>
      <c r="CPE1">
        <f>Database!CPX1</f>
        <v>0</v>
      </c>
      <c r="CPF1">
        <f>Database!CPY1</f>
        <v>0</v>
      </c>
      <c r="CPG1">
        <f>Database!CPZ1</f>
        <v>0</v>
      </c>
      <c r="CPH1">
        <f>Database!CQA1</f>
        <v>0</v>
      </c>
      <c r="CPI1">
        <f>Database!CQB1</f>
        <v>0</v>
      </c>
      <c r="CPJ1">
        <f>Database!CQC1</f>
        <v>0</v>
      </c>
      <c r="CPK1">
        <f>Database!CQD1</f>
        <v>0</v>
      </c>
      <c r="CPL1">
        <f>Database!CQE1</f>
        <v>0</v>
      </c>
      <c r="CPM1">
        <f>Database!CQF1</f>
        <v>0</v>
      </c>
      <c r="CPN1">
        <f>Database!CQG1</f>
        <v>0</v>
      </c>
      <c r="CPO1">
        <f>Database!CQH1</f>
        <v>0</v>
      </c>
      <c r="CPP1">
        <f>Database!CQI1</f>
        <v>0</v>
      </c>
      <c r="CPQ1">
        <f>Database!CQJ1</f>
        <v>0</v>
      </c>
      <c r="CPR1">
        <f>Database!CQK1</f>
        <v>0</v>
      </c>
      <c r="CPS1">
        <f>Database!CQL1</f>
        <v>0</v>
      </c>
      <c r="CPT1">
        <f>Database!CQM1</f>
        <v>0</v>
      </c>
      <c r="CPU1">
        <f>Database!CQN1</f>
        <v>0</v>
      </c>
      <c r="CPV1">
        <f>Database!CQO1</f>
        <v>0</v>
      </c>
      <c r="CPW1">
        <f>Database!CQP1</f>
        <v>0</v>
      </c>
      <c r="CPX1">
        <f>Database!CQQ1</f>
        <v>0</v>
      </c>
      <c r="CPY1">
        <f>Database!CQR1</f>
        <v>0</v>
      </c>
      <c r="CPZ1">
        <f>Database!CQS1</f>
        <v>0</v>
      </c>
      <c r="CQA1">
        <f>Database!CQT1</f>
        <v>0</v>
      </c>
      <c r="CQB1">
        <f>Database!CQU1</f>
        <v>0</v>
      </c>
      <c r="CQC1">
        <f>Database!CQV1</f>
        <v>0</v>
      </c>
      <c r="CQD1">
        <f>Database!CQW1</f>
        <v>0</v>
      </c>
      <c r="CQE1">
        <f>Database!CQX1</f>
        <v>0</v>
      </c>
      <c r="CQF1">
        <f>Database!CQY1</f>
        <v>0</v>
      </c>
      <c r="CQG1">
        <f>Database!CQZ1</f>
        <v>0</v>
      </c>
      <c r="CQH1">
        <f>Database!CRA1</f>
        <v>0</v>
      </c>
      <c r="CQI1">
        <f>Database!CRB1</f>
        <v>0</v>
      </c>
      <c r="CQJ1">
        <f>Database!CRC1</f>
        <v>0</v>
      </c>
      <c r="CQK1">
        <f>Database!CRD1</f>
        <v>0</v>
      </c>
      <c r="CQL1">
        <f>Database!CRE1</f>
        <v>0</v>
      </c>
      <c r="CQM1">
        <f>Database!CRF1</f>
        <v>0</v>
      </c>
      <c r="CQN1">
        <f>Database!CRG1</f>
        <v>0</v>
      </c>
      <c r="CQO1">
        <f>Database!CRH1</f>
        <v>0</v>
      </c>
      <c r="CQP1">
        <f>Database!CRI1</f>
        <v>0</v>
      </c>
      <c r="CQQ1">
        <f>Database!CRJ1</f>
        <v>0</v>
      </c>
      <c r="CQR1">
        <f>Database!CRK1</f>
        <v>0</v>
      </c>
      <c r="CQS1">
        <f>Database!CRL1</f>
        <v>0</v>
      </c>
      <c r="CQT1">
        <f>Database!CRM1</f>
        <v>0</v>
      </c>
      <c r="CQU1">
        <f>Database!CRN1</f>
        <v>0</v>
      </c>
      <c r="CQV1">
        <f>Database!CRO1</f>
        <v>0</v>
      </c>
      <c r="CQW1">
        <f>Database!CRP1</f>
        <v>0</v>
      </c>
      <c r="CQX1">
        <f>Database!CRQ1</f>
        <v>0</v>
      </c>
      <c r="CQY1">
        <f>Database!CRR1</f>
        <v>0</v>
      </c>
      <c r="CQZ1">
        <f>Database!CRS1</f>
        <v>0</v>
      </c>
      <c r="CRA1">
        <f>Database!CRT1</f>
        <v>0</v>
      </c>
      <c r="CRB1">
        <f>Database!CRU1</f>
        <v>0</v>
      </c>
      <c r="CRC1">
        <f>Database!CRV1</f>
        <v>0</v>
      </c>
      <c r="CRD1">
        <f>Database!CRW1</f>
        <v>0</v>
      </c>
      <c r="CRE1">
        <f>Database!CRX1</f>
        <v>0</v>
      </c>
      <c r="CRF1">
        <f>Database!CRY1</f>
        <v>0</v>
      </c>
      <c r="CRG1">
        <f>Database!CRZ1</f>
        <v>0</v>
      </c>
      <c r="CRH1">
        <f>Database!CSA1</f>
        <v>0</v>
      </c>
      <c r="CRI1">
        <f>Database!CSB1</f>
        <v>0</v>
      </c>
      <c r="CRJ1">
        <f>Database!CSC1</f>
        <v>0</v>
      </c>
      <c r="CRK1">
        <f>Database!CSD1</f>
        <v>0</v>
      </c>
      <c r="CRL1">
        <f>Database!CSE1</f>
        <v>0</v>
      </c>
      <c r="CRM1">
        <f>Database!CSF1</f>
        <v>0</v>
      </c>
      <c r="CRN1">
        <f>Database!CSG1</f>
        <v>0</v>
      </c>
      <c r="CRO1">
        <f>Database!CSH1</f>
        <v>0</v>
      </c>
      <c r="CRP1">
        <f>Database!CSI1</f>
        <v>0</v>
      </c>
      <c r="CRQ1">
        <f>Database!CSJ1</f>
        <v>0</v>
      </c>
      <c r="CRR1">
        <f>Database!CSK1</f>
        <v>0</v>
      </c>
      <c r="CRS1">
        <f>Database!CSL1</f>
        <v>0</v>
      </c>
      <c r="CRT1">
        <f>Database!CSM1</f>
        <v>0</v>
      </c>
      <c r="CRU1">
        <f>Database!CSN1</f>
        <v>0</v>
      </c>
      <c r="CRV1">
        <f>Database!CSO1</f>
        <v>0</v>
      </c>
      <c r="CRW1">
        <f>Database!CSP1</f>
        <v>0</v>
      </c>
      <c r="CRX1">
        <f>Database!CSQ1</f>
        <v>0</v>
      </c>
      <c r="CRY1">
        <f>Database!CSR1</f>
        <v>0</v>
      </c>
      <c r="CRZ1">
        <f>Database!CSS1</f>
        <v>0</v>
      </c>
      <c r="CSA1">
        <f>Database!CST1</f>
        <v>0</v>
      </c>
      <c r="CSB1">
        <f>Database!CSU1</f>
        <v>0</v>
      </c>
      <c r="CSC1">
        <f>Database!CSV1</f>
        <v>0</v>
      </c>
      <c r="CSD1">
        <f>Database!CSW1</f>
        <v>0</v>
      </c>
      <c r="CSE1">
        <f>Database!CSX1</f>
        <v>0</v>
      </c>
      <c r="CSF1">
        <f>Database!CSY1</f>
        <v>0</v>
      </c>
      <c r="CSG1">
        <f>Database!CSZ1</f>
        <v>0</v>
      </c>
      <c r="CSH1">
        <f>Database!CTA1</f>
        <v>0</v>
      </c>
      <c r="CSI1">
        <f>Database!CTB1</f>
        <v>0</v>
      </c>
      <c r="CSJ1">
        <f>Database!CTC1</f>
        <v>0</v>
      </c>
      <c r="CSK1">
        <f>Database!CTD1</f>
        <v>0</v>
      </c>
      <c r="CSL1">
        <f>Database!CTE1</f>
        <v>0</v>
      </c>
      <c r="CSM1">
        <f>Database!CTF1</f>
        <v>0</v>
      </c>
      <c r="CSN1">
        <f>Database!CTG1</f>
        <v>0</v>
      </c>
      <c r="CSO1">
        <f>Database!CTH1</f>
        <v>0</v>
      </c>
      <c r="CSP1">
        <f>Database!CTI1</f>
        <v>0</v>
      </c>
      <c r="CSQ1">
        <f>Database!CTJ1</f>
        <v>0</v>
      </c>
      <c r="CSR1">
        <f>Database!CTK1</f>
        <v>0</v>
      </c>
      <c r="CSS1">
        <f>Database!CTL1</f>
        <v>0</v>
      </c>
      <c r="CST1">
        <f>Database!CTM1</f>
        <v>0</v>
      </c>
      <c r="CSU1">
        <f>Database!CTN1</f>
        <v>0</v>
      </c>
      <c r="CSV1">
        <f>Database!CTO1</f>
        <v>0</v>
      </c>
      <c r="CSW1">
        <f>Database!CTP1</f>
        <v>0</v>
      </c>
      <c r="CSX1">
        <f>Database!CTQ1</f>
        <v>0</v>
      </c>
      <c r="CSY1">
        <f>Database!CTR1</f>
        <v>0</v>
      </c>
      <c r="CSZ1">
        <f>Database!CTS1</f>
        <v>0</v>
      </c>
      <c r="CTA1">
        <f>Database!CTT1</f>
        <v>0</v>
      </c>
      <c r="CTB1">
        <f>Database!CTU1</f>
        <v>0</v>
      </c>
      <c r="CTC1">
        <f>Database!CTV1</f>
        <v>0</v>
      </c>
      <c r="CTD1">
        <f>Database!CTW1</f>
        <v>0</v>
      </c>
      <c r="CTE1">
        <f>Database!CTX1</f>
        <v>0</v>
      </c>
      <c r="CTF1">
        <f>Database!CTY1</f>
        <v>0</v>
      </c>
      <c r="CTG1">
        <f>Database!CTZ1</f>
        <v>0</v>
      </c>
      <c r="CTH1">
        <f>Database!CUA1</f>
        <v>0</v>
      </c>
      <c r="CTI1">
        <f>Database!CUB1</f>
        <v>0</v>
      </c>
      <c r="CTJ1">
        <f>Database!CUC1</f>
        <v>0</v>
      </c>
      <c r="CTK1">
        <f>Database!CUD1</f>
        <v>0</v>
      </c>
      <c r="CTL1">
        <f>Database!CUE1</f>
        <v>0</v>
      </c>
      <c r="CTM1">
        <f>Database!CUF1</f>
        <v>0</v>
      </c>
      <c r="CTN1">
        <f>Database!CUG1</f>
        <v>0</v>
      </c>
      <c r="CTO1">
        <f>Database!CUH1</f>
        <v>0</v>
      </c>
      <c r="CTP1">
        <f>Database!CUI1</f>
        <v>0</v>
      </c>
      <c r="CTQ1">
        <f>Database!CUJ1</f>
        <v>0</v>
      </c>
      <c r="CTR1">
        <f>Database!CUK1</f>
        <v>0</v>
      </c>
      <c r="CTS1">
        <f>Database!CUL1</f>
        <v>0</v>
      </c>
      <c r="CTT1">
        <f>Database!CUM1</f>
        <v>0</v>
      </c>
      <c r="CTU1">
        <f>Database!CUN1</f>
        <v>0</v>
      </c>
      <c r="CTV1">
        <f>Database!CUO1</f>
        <v>0</v>
      </c>
      <c r="CTW1">
        <f>Database!CUP1</f>
        <v>0</v>
      </c>
      <c r="CTX1">
        <f>Database!CUQ1</f>
        <v>0</v>
      </c>
      <c r="CTY1">
        <f>Database!CUR1</f>
        <v>0</v>
      </c>
      <c r="CTZ1">
        <f>Database!CUS1</f>
        <v>0</v>
      </c>
      <c r="CUA1">
        <f>Database!CUT1</f>
        <v>0</v>
      </c>
      <c r="CUB1">
        <f>Database!CUU1</f>
        <v>0</v>
      </c>
      <c r="CUC1">
        <f>Database!CUV1</f>
        <v>0</v>
      </c>
      <c r="CUD1">
        <f>Database!CUW1</f>
        <v>0</v>
      </c>
      <c r="CUE1">
        <f>Database!CUX1</f>
        <v>0</v>
      </c>
      <c r="CUF1">
        <f>Database!CUY1</f>
        <v>0</v>
      </c>
      <c r="CUG1">
        <f>Database!CUZ1</f>
        <v>0</v>
      </c>
      <c r="CUH1">
        <f>Database!CVA1</f>
        <v>0</v>
      </c>
      <c r="CUI1">
        <f>Database!CVB1</f>
        <v>0</v>
      </c>
      <c r="CUJ1">
        <f>Database!CVC1</f>
        <v>0</v>
      </c>
      <c r="CUK1">
        <f>Database!CVD1</f>
        <v>0</v>
      </c>
      <c r="CUL1">
        <f>Database!CVE1</f>
        <v>0</v>
      </c>
      <c r="CUM1">
        <f>Database!CVF1</f>
        <v>0</v>
      </c>
      <c r="CUN1">
        <f>Database!CVG1</f>
        <v>0</v>
      </c>
      <c r="CUO1">
        <f>Database!CVH1</f>
        <v>0</v>
      </c>
      <c r="CUP1">
        <f>Database!CVI1</f>
        <v>0</v>
      </c>
      <c r="CUQ1">
        <f>Database!CVJ1</f>
        <v>0</v>
      </c>
      <c r="CUR1">
        <f>Database!CVK1</f>
        <v>0</v>
      </c>
      <c r="CUS1">
        <f>Database!CVL1</f>
        <v>0</v>
      </c>
      <c r="CUT1">
        <f>Database!CVM1</f>
        <v>0</v>
      </c>
      <c r="CUU1">
        <f>Database!CVN1</f>
        <v>0</v>
      </c>
      <c r="CUV1">
        <f>Database!CVO1</f>
        <v>0</v>
      </c>
      <c r="CUW1">
        <f>Database!CVP1</f>
        <v>0</v>
      </c>
      <c r="CUX1">
        <f>Database!CVQ1</f>
        <v>0</v>
      </c>
      <c r="CUY1">
        <f>Database!CVR1</f>
        <v>0</v>
      </c>
      <c r="CUZ1">
        <f>Database!CVS1</f>
        <v>0</v>
      </c>
      <c r="CVA1">
        <f>Database!CVT1</f>
        <v>0</v>
      </c>
      <c r="CVB1">
        <f>Database!CVU1</f>
        <v>0</v>
      </c>
      <c r="CVC1">
        <f>Database!CVV1</f>
        <v>0</v>
      </c>
      <c r="CVD1">
        <f>Database!CVW1</f>
        <v>0</v>
      </c>
      <c r="CVE1">
        <f>Database!CVX1</f>
        <v>0</v>
      </c>
      <c r="CVF1">
        <f>Database!CVY1</f>
        <v>0</v>
      </c>
      <c r="CVG1">
        <f>Database!CVZ1</f>
        <v>0</v>
      </c>
      <c r="CVH1">
        <f>Database!CWA1</f>
        <v>0</v>
      </c>
      <c r="CVI1">
        <f>Database!CWB1</f>
        <v>0</v>
      </c>
      <c r="CVJ1">
        <f>Database!CWC1</f>
        <v>0</v>
      </c>
      <c r="CVK1">
        <f>Database!CWD1</f>
        <v>0</v>
      </c>
      <c r="CVL1">
        <f>Database!CWE1</f>
        <v>0</v>
      </c>
      <c r="CVM1">
        <f>Database!CWF1</f>
        <v>0</v>
      </c>
      <c r="CVN1">
        <f>Database!CWG1</f>
        <v>0</v>
      </c>
      <c r="CVO1">
        <f>Database!CWH1</f>
        <v>0</v>
      </c>
      <c r="CVP1">
        <f>Database!CWI1</f>
        <v>0</v>
      </c>
      <c r="CVQ1">
        <f>Database!CWJ1</f>
        <v>0</v>
      </c>
      <c r="CVR1">
        <f>Database!CWK1</f>
        <v>0</v>
      </c>
      <c r="CVS1">
        <f>Database!CWL1</f>
        <v>0</v>
      </c>
      <c r="CVT1">
        <f>Database!CWM1</f>
        <v>0</v>
      </c>
      <c r="CVU1">
        <f>Database!CWN1</f>
        <v>0</v>
      </c>
      <c r="CVV1">
        <f>Database!CWO1</f>
        <v>0</v>
      </c>
      <c r="CVW1">
        <f>Database!CWP1</f>
        <v>0</v>
      </c>
      <c r="CVX1">
        <f>Database!CWQ1</f>
        <v>0</v>
      </c>
      <c r="CVY1">
        <f>Database!CWR1</f>
        <v>0</v>
      </c>
      <c r="CVZ1">
        <f>Database!CWS1</f>
        <v>0</v>
      </c>
      <c r="CWA1">
        <f>Database!CWT1</f>
        <v>0</v>
      </c>
      <c r="CWB1">
        <f>Database!CWU1</f>
        <v>0</v>
      </c>
      <c r="CWC1">
        <f>Database!CWV1</f>
        <v>0</v>
      </c>
      <c r="CWD1">
        <f>Database!CWW1</f>
        <v>0</v>
      </c>
      <c r="CWE1">
        <f>Database!CWX1</f>
        <v>0</v>
      </c>
      <c r="CWF1">
        <f>Database!CWY1</f>
        <v>0</v>
      </c>
      <c r="CWG1">
        <f>Database!CWZ1</f>
        <v>0</v>
      </c>
      <c r="CWH1">
        <f>Database!CXA1</f>
        <v>0</v>
      </c>
      <c r="CWI1">
        <f>Database!CXB1</f>
        <v>0</v>
      </c>
      <c r="CWJ1">
        <f>Database!CXC1</f>
        <v>0</v>
      </c>
      <c r="CWK1">
        <f>Database!CXD1</f>
        <v>0</v>
      </c>
      <c r="CWL1">
        <f>Database!CXE1</f>
        <v>0</v>
      </c>
      <c r="CWM1">
        <f>Database!CXF1</f>
        <v>0</v>
      </c>
      <c r="CWN1">
        <f>Database!CXG1</f>
        <v>0</v>
      </c>
      <c r="CWO1">
        <f>Database!CXH1</f>
        <v>0</v>
      </c>
      <c r="CWP1">
        <f>Database!CXI1</f>
        <v>0</v>
      </c>
      <c r="CWQ1">
        <f>Database!CXJ1</f>
        <v>0</v>
      </c>
      <c r="CWR1">
        <f>Database!CXK1</f>
        <v>0</v>
      </c>
      <c r="CWS1">
        <f>Database!CXL1</f>
        <v>0</v>
      </c>
      <c r="CWT1">
        <f>Database!CXM1</f>
        <v>0</v>
      </c>
      <c r="CWU1">
        <f>Database!CXN1</f>
        <v>0</v>
      </c>
      <c r="CWV1">
        <f>Database!CXO1</f>
        <v>0</v>
      </c>
      <c r="CWW1">
        <f>Database!CXP1</f>
        <v>0</v>
      </c>
      <c r="CWX1">
        <f>Database!CXQ1</f>
        <v>0</v>
      </c>
      <c r="CWY1">
        <f>Database!CXR1</f>
        <v>0</v>
      </c>
      <c r="CWZ1">
        <f>Database!CXS1</f>
        <v>0</v>
      </c>
      <c r="CXA1">
        <f>Database!CXT1</f>
        <v>0</v>
      </c>
      <c r="CXB1">
        <f>Database!CXU1</f>
        <v>0</v>
      </c>
      <c r="CXC1">
        <f>Database!CXV1</f>
        <v>0</v>
      </c>
      <c r="CXD1">
        <f>Database!CXW1</f>
        <v>0</v>
      </c>
      <c r="CXE1">
        <f>Database!CXX1</f>
        <v>0</v>
      </c>
      <c r="CXF1">
        <f>Database!CXY1</f>
        <v>0</v>
      </c>
      <c r="CXG1">
        <f>Database!CXZ1</f>
        <v>0</v>
      </c>
      <c r="CXH1">
        <f>Database!CYA1</f>
        <v>0</v>
      </c>
      <c r="CXI1">
        <f>Database!CYB1</f>
        <v>0</v>
      </c>
      <c r="CXJ1">
        <f>Database!CYC1</f>
        <v>0</v>
      </c>
      <c r="CXK1">
        <f>Database!CYD1</f>
        <v>0</v>
      </c>
      <c r="CXL1">
        <f>Database!CYE1</f>
        <v>0</v>
      </c>
      <c r="CXM1">
        <f>Database!CYF1</f>
        <v>0</v>
      </c>
      <c r="CXN1">
        <f>Database!CYG1</f>
        <v>0</v>
      </c>
      <c r="CXO1">
        <f>Database!CYH1</f>
        <v>0</v>
      </c>
      <c r="CXP1">
        <f>Database!CYI1</f>
        <v>0</v>
      </c>
      <c r="CXQ1">
        <f>Database!CYJ1</f>
        <v>0</v>
      </c>
      <c r="CXR1">
        <f>Database!CYK1</f>
        <v>0</v>
      </c>
      <c r="CXS1">
        <f>Database!CYL1</f>
        <v>0</v>
      </c>
      <c r="CXT1">
        <f>Database!CYM1</f>
        <v>0</v>
      </c>
      <c r="CXU1">
        <f>Database!CYN1</f>
        <v>0</v>
      </c>
      <c r="CXV1">
        <f>Database!CYO1</f>
        <v>0</v>
      </c>
      <c r="CXW1">
        <f>Database!CYP1</f>
        <v>0</v>
      </c>
      <c r="CXX1">
        <f>Database!CYQ1</f>
        <v>0</v>
      </c>
      <c r="CXY1">
        <f>Database!CYR1</f>
        <v>0</v>
      </c>
      <c r="CXZ1">
        <f>Database!CYS1</f>
        <v>0</v>
      </c>
      <c r="CYA1">
        <f>Database!CYT1</f>
        <v>0</v>
      </c>
      <c r="CYB1">
        <f>Database!CYU1</f>
        <v>0</v>
      </c>
      <c r="CYC1">
        <f>Database!CYV1</f>
        <v>0</v>
      </c>
      <c r="CYD1">
        <f>Database!CYW1</f>
        <v>0</v>
      </c>
      <c r="CYE1">
        <f>Database!CYX1</f>
        <v>0</v>
      </c>
      <c r="CYF1">
        <f>Database!CYY1</f>
        <v>0</v>
      </c>
      <c r="CYG1">
        <f>Database!CYZ1</f>
        <v>0</v>
      </c>
      <c r="CYH1">
        <f>Database!CZA1</f>
        <v>0</v>
      </c>
      <c r="CYI1">
        <f>Database!CZB1</f>
        <v>0</v>
      </c>
      <c r="CYJ1">
        <f>Database!CZC1</f>
        <v>0</v>
      </c>
      <c r="CYK1">
        <f>Database!CZD1</f>
        <v>0</v>
      </c>
      <c r="CYL1">
        <f>Database!CZE1</f>
        <v>0</v>
      </c>
      <c r="CYM1">
        <f>Database!CZF1</f>
        <v>0</v>
      </c>
      <c r="CYN1">
        <f>Database!CZG1</f>
        <v>0</v>
      </c>
      <c r="CYO1">
        <f>Database!CZH1</f>
        <v>0</v>
      </c>
      <c r="CYP1">
        <f>Database!CZI1</f>
        <v>0</v>
      </c>
      <c r="CYQ1">
        <f>Database!CZJ1</f>
        <v>0</v>
      </c>
      <c r="CYR1">
        <f>Database!CZK1</f>
        <v>0</v>
      </c>
      <c r="CYS1">
        <f>Database!CZL1</f>
        <v>0</v>
      </c>
      <c r="CYT1">
        <f>Database!CZM1</f>
        <v>0</v>
      </c>
      <c r="CYU1">
        <f>Database!CZN1</f>
        <v>0</v>
      </c>
      <c r="CYV1">
        <f>Database!CZO1</f>
        <v>0</v>
      </c>
      <c r="CYW1">
        <f>Database!CZP1</f>
        <v>0</v>
      </c>
      <c r="CYX1">
        <f>Database!CZQ1</f>
        <v>0</v>
      </c>
      <c r="CYY1">
        <f>Database!CZR1</f>
        <v>0</v>
      </c>
      <c r="CYZ1">
        <f>Database!CZS1</f>
        <v>0</v>
      </c>
      <c r="CZA1">
        <f>Database!CZT1</f>
        <v>0</v>
      </c>
      <c r="CZB1">
        <f>Database!CZU1</f>
        <v>0</v>
      </c>
      <c r="CZC1">
        <f>Database!CZV1</f>
        <v>0</v>
      </c>
      <c r="CZD1">
        <f>Database!CZW1</f>
        <v>0</v>
      </c>
      <c r="CZE1">
        <f>Database!CZX1</f>
        <v>0</v>
      </c>
      <c r="CZF1">
        <f>Database!CZY1</f>
        <v>0</v>
      </c>
      <c r="CZG1">
        <f>Database!CZZ1</f>
        <v>0</v>
      </c>
      <c r="CZH1">
        <f>Database!DAA1</f>
        <v>0</v>
      </c>
      <c r="CZI1">
        <f>Database!DAB1</f>
        <v>0</v>
      </c>
      <c r="CZJ1">
        <f>Database!DAC1</f>
        <v>0</v>
      </c>
      <c r="CZK1">
        <f>Database!DAD1</f>
        <v>0</v>
      </c>
      <c r="CZL1">
        <f>Database!DAE1</f>
        <v>0</v>
      </c>
      <c r="CZM1">
        <f>Database!DAF1</f>
        <v>0</v>
      </c>
      <c r="CZN1">
        <f>Database!DAG1</f>
        <v>0</v>
      </c>
      <c r="CZO1">
        <f>Database!DAH1</f>
        <v>0</v>
      </c>
      <c r="CZP1">
        <f>Database!DAI1</f>
        <v>0</v>
      </c>
      <c r="CZQ1">
        <f>Database!DAJ1</f>
        <v>0</v>
      </c>
      <c r="CZR1">
        <f>Database!DAK1</f>
        <v>0</v>
      </c>
      <c r="CZS1">
        <f>Database!DAL1</f>
        <v>0</v>
      </c>
      <c r="CZT1">
        <f>Database!DAM1</f>
        <v>0</v>
      </c>
      <c r="CZU1">
        <f>Database!DAN1</f>
        <v>0</v>
      </c>
      <c r="CZV1">
        <f>Database!DAO1</f>
        <v>0</v>
      </c>
      <c r="CZW1">
        <f>Database!DAP1</f>
        <v>0</v>
      </c>
      <c r="CZX1">
        <f>Database!DAQ1</f>
        <v>0</v>
      </c>
      <c r="CZY1">
        <f>Database!DAR1</f>
        <v>0</v>
      </c>
      <c r="CZZ1">
        <f>Database!DAS1</f>
        <v>0</v>
      </c>
      <c r="DAA1">
        <f>Database!DAT1</f>
        <v>0</v>
      </c>
      <c r="DAB1">
        <f>Database!DAU1</f>
        <v>0</v>
      </c>
      <c r="DAC1">
        <f>Database!DAV1</f>
        <v>0</v>
      </c>
      <c r="DAD1">
        <f>Database!DAW1</f>
        <v>0</v>
      </c>
      <c r="DAE1">
        <f>Database!DAX1</f>
        <v>0</v>
      </c>
      <c r="DAF1">
        <f>Database!DAY1</f>
        <v>0</v>
      </c>
      <c r="DAG1">
        <f>Database!DAZ1</f>
        <v>0</v>
      </c>
      <c r="DAH1">
        <f>Database!DBA1</f>
        <v>0</v>
      </c>
      <c r="DAI1">
        <f>Database!DBB1</f>
        <v>0</v>
      </c>
      <c r="DAJ1">
        <f>Database!DBC1</f>
        <v>0</v>
      </c>
      <c r="DAK1">
        <f>Database!DBD1</f>
        <v>0</v>
      </c>
      <c r="DAL1">
        <f>Database!DBE1</f>
        <v>0</v>
      </c>
      <c r="DAM1">
        <f>Database!DBF1</f>
        <v>0</v>
      </c>
      <c r="DAN1">
        <f>Database!DBG1</f>
        <v>0</v>
      </c>
      <c r="DAO1">
        <f>Database!DBH1</f>
        <v>0</v>
      </c>
      <c r="DAP1">
        <f>Database!DBI1</f>
        <v>0</v>
      </c>
      <c r="DAQ1">
        <f>Database!DBJ1</f>
        <v>0</v>
      </c>
      <c r="DAR1">
        <f>Database!DBK1</f>
        <v>0</v>
      </c>
      <c r="DAS1">
        <f>Database!DBL1</f>
        <v>0</v>
      </c>
      <c r="DAT1">
        <f>Database!DBM1</f>
        <v>0</v>
      </c>
      <c r="DAU1">
        <f>Database!DBN1</f>
        <v>0</v>
      </c>
      <c r="DAV1">
        <f>Database!DBO1</f>
        <v>0</v>
      </c>
      <c r="DAW1">
        <f>Database!DBP1</f>
        <v>0</v>
      </c>
      <c r="DAX1">
        <f>Database!DBQ1</f>
        <v>0</v>
      </c>
      <c r="DAY1">
        <f>Database!DBR1</f>
        <v>0</v>
      </c>
      <c r="DAZ1">
        <f>Database!DBS1</f>
        <v>0</v>
      </c>
      <c r="DBA1">
        <f>Database!DBT1</f>
        <v>0</v>
      </c>
      <c r="DBB1">
        <f>Database!DBU1</f>
        <v>0</v>
      </c>
      <c r="DBC1">
        <f>Database!DBV1</f>
        <v>0</v>
      </c>
      <c r="DBD1">
        <f>Database!DBW1</f>
        <v>0</v>
      </c>
      <c r="DBE1">
        <f>Database!DBX1</f>
        <v>0</v>
      </c>
      <c r="DBF1">
        <f>Database!DBY1</f>
        <v>0</v>
      </c>
      <c r="DBG1">
        <f>Database!DBZ1</f>
        <v>0</v>
      </c>
      <c r="DBH1">
        <f>Database!DCA1</f>
        <v>0</v>
      </c>
      <c r="DBI1">
        <f>Database!DCB1</f>
        <v>0</v>
      </c>
      <c r="DBJ1">
        <f>Database!DCC1</f>
        <v>0</v>
      </c>
      <c r="DBK1">
        <f>Database!DCD1</f>
        <v>0</v>
      </c>
      <c r="DBL1">
        <f>Database!DCE1</f>
        <v>0</v>
      </c>
      <c r="DBM1">
        <f>Database!DCF1</f>
        <v>0</v>
      </c>
      <c r="DBN1">
        <f>Database!DCG1</f>
        <v>0</v>
      </c>
      <c r="DBO1">
        <f>Database!DCH1</f>
        <v>0</v>
      </c>
      <c r="DBP1">
        <f>Database!DCI1</f>
        <v>0</v>
      </c>
      <c r="DBQ1">
        <f>Database!DCJ1</f>
        <v>0</v>
      </c>
      <c r="DBR1">
        <f>Database!DCK1</f>
        <v>0</v>
      </c>
      <c r="DBS1">
        <f>Database!DCL1</f>
        <v>0</v>
      </c>
      <c r="DBT1">
        <f>Database!DCM1</f>
        <v>0</v>
      </c>
      <c r="DBU1">
        <f>Database!DCN1</f>
        <v>0</v>
      </c>
      <c r="DBV1">
        <f>Database!DCO1</f>
        <v>0</v>
      </c>
      <c r="DBW1">
        <f>Database!DCP1</f>
        <v>0</v>
      </c>
      <c r="DBX1">
        <f>Database!DCQ1</f>
        <v>0</v>
      </c>
      <c r="DBY1">
        <f>Database!DCR1</f>
        <v>0</v>
      </c>
      <c r="DBZ1">
        <f>Database!DCS1</f>
        <v>0</v>
      </c>
      <c r="DCA1">
        <f>Database!DCT1</f>
        <v>0</v>
      </c>
      <c r="DCB1">
        <f>Database!DCU1</f>
        <v>0</v>
      </c>
      <c r="DCC1">
        <f>Database!DCV1</f>
        <v>0</v>
      </c>
      <c r="DCD1">
        <f>Database!DCW1</f>
        <v>0</v>
      </c>
      <c r="DCE1">
        <f>Database!DCX1</f>
        <v>0</v>
      </c>
      <c r="DCF1">
        <f>Database!DCY1</f>
        <v>0</v>
      </c>
      <c r="DCG1">
        <f>Database!DCZ1</f>
        <v>0</v>
      </c>
      <c r="DCH1">
        <f>Database!DDA1</f>
        <v>0</v>
      </c>
      <c r="DCI1">
        <f>Database!DDB1</f>
        <v>0</v>
      </c>
      <c r="DCJ1">
        <f>Database!DDC1</f>
        <v>0</v>
      </c>
      <c r="DCK1">
        <f>Database!DDD1</f>
        <v>0</v>
      </c>
      <c r="DCL1">
        <f>Database!DDE1</f>
        <v>0</v>
      </c>
      <c r="DCM1">
        <f>Database!DDF1</f>
        <v>0</v>
      </c>
      <c r="DCN1">
        <f>Database!DDG1</f>
        <v>0</v>
      </c>
      <c r="DCO1">
        <f>Database!DDH1</f>
        <v>0</v>
      </c>
      <c r="DCP1">
        <f>Database!DDI1</f>
        <v>0</v>
      </c>
      <c r="DCQ1">
        <f>Database!DDJ1</f>
        <v>0</v>
      </c>
      <c r="DCR1">
        <f>Database!DDK1</f>
        <v>0</v>
      </c>
      <c r="DCS1">
        <f>Database!DDL1</f>
        <v>0</v>
      </c>
      <c r="DCT1">
        <f>Database!DDM1</f>
        <v>0</v>
      </c>
      <c r="DCU1">
        <f>Database!DDN1</f>
        <v>0</v>
      </c>
      <c r="DCV1">
        <f>Database!DDO1</f>
        <v>0</v>
      </c>
      <c r="DCW1">
        <f>Database!DDP1</f>
        <v>0</v>
      </c>
      <c r="DCX1">
        <f>Database!DDQ1</f>
        <v>0</v>
      </c>
      <c r="DCY1">
        <f>Database!DDR1</f>
        <v>0</v>
      </c>
      <c r="DCZ1">
        <f>Database!DDS1</f>
        <v>0</v>
      </c>
      <c r="DDA1">
        <f>Database!DDT1</f>
        <v>0</v>
      </c>
      <c r="DDB1">
        <f>Database!DDU1</f>
        <v>0</v>
      </c>
      <c r="DDC1">
        <f>Database!DDV1</f>
        <v>0</v>
      </c>
      <c r="DDD1">
        <f>Database!DDW1</f>
        <v>0</v>
      </c>
      <c r="DDE1">
        <f>Database!DDX1</f>
        <v>0</v>
      </c>
      <c r="DDF1">
        <f>Database!DDY1</f>
        <v>0</v>
      </c>
      <c r="DDG1">
        <f>Database!DDZ1</f>
        <v>0</v>
      </c>
      <c r="DDH1">
        <f>Database!DEA1</f>
        <v>0</v>
      </c>
      <c r="DDI1">
        <f>Database!DEB1</f>
        <v>0</v>
      </c>
      <c r="DDJ1">
        <f>Database!DEC1</f>
        <v>0</v>
      </c>
      <c r="DDK1">
        <f>Database!DED1</f>
        <v>0</v>
      </c>
      <c r="DDL1">
        <f>Database!DEE1</f>
        <v>0</v>
      </c>
      <c r="DDM1">
        <f>Database!DEF1</f>
        <v>0</v>
      </c>
      <c r="DDN1">
        <f>Database!DEG1</f>
        <v>0</v>
      </c>
      <c r="DDO1">
        <f>Database!DEH1</f>
        <v>0</v>
      </c>
      <c r="DDP1">
        <f>Database!DEI1</f>
        <v>0</v>
      </c>
      <c r="DDQ1">
        <f>Database!DEJ1</f>
        <v>0</v>
      </c>
      <c r="DDR1">
        <f>Database!DEK1</f>
        <v>0</v>
      </c>
      <c r="DDS1">
        <f>Database!DEL1</f>
        <v>0</v>
      </c>
      <c r="DDT1">
        <f>Database!DEM1</f>
        <v>0</v>
      </c>
      <c r="DDU1">
        <f>Database!DEN1</f>
        <v>0</v>
      </c>
      <c r="DDV1">
        <f>Database!DEO1</f>
        <v>0</v>
      </c>
      <c r="DDW1">
        <f>Database!DEP1</f>
        <v>0</v>
      </c>
      <c r="DDX1">
        <f>Database!DEQ1</f>
        <v>0</v>
      </c>
      <c r="DDY1">
        <f>Database!DER1</f>
        <v>0</v>
      </c>
      <c r="DDZ1">
        <f>Database!DES1</f>
        <v>0</v>
      </c>
      <c r="DEA1">
        <f>Database!DET1</f>
        <v>0</v>
      </c>
      <c r="DEB1">
        <f>Database!DEU1</f>
        <v>0</v>
      </c>
      <c r="DEC1">
        <f>Database!DEV1</f>
        <v>0</v>
      </c>
      <c r="DED1">
        <f>Database!DEW1</f>
        <v>0</v>
      </c>
      <c r="DEE1">
        <f>Database!DEX1</f>
        <v>0</v>
      </c>
      <c r="DEF1">
        <f>Database!DEY1</f>
        <v>0</v>
      </c>
      <c r="DEG1">
        <f>Database!DEZ1</f>
        <v>0</v>
      </c>
      <c r="DEH1">
        <f>Database!DFA1</f>
        <v>0</v>
      </c>
      <c r="DEI1">
        <f>Database!DFB1</f>
        <v>0</v>
      </c>
      <c r="DEJ1">
        <f>Database!DFC1</f>
        <v>0</v>
      </c>
      <c r="DEK1">
        <f>Database!DFD1</f>
        <v>0</v>
      </c>
      <c r="DEL1">
        <f>Database!DFE1</f>
        <v>0</v>
      </c>
      <c r="DEM1">
        <f>Database!DFF1</f>
        <v>0</v>
      </c>
      <c r="DEN1">
        <f>Database!DFG1</f>
        <v>0</v>
      </c>
      <c r="DEO1">
        <f>Database!DFH1</f>
        <v>0</v>
      </c>
      <c r="DEP1">
        <f>Database!DFI1</f>
        <v>0</v>
      </c>
      <c r="DEQ1">
        <f>Database!DFJ1</f>
        <v>0</v>
      </c>
      <c r="DER1">
        <f>Database!DFK1</f>
        <v>0</v>
      </c>
      <c r="DES1">
        <f>Database!DFL1</f>
        <v>0</v>
      </c>
      <c r="DET1">
        <f>Database!DFM1</f>
        <v>0</v>
      </c>
      <c r="DEU1">
        <f>Database!DFN1</f>
        <v>0</v>
      </c>
      <c r="DEV1">
        <f>Database!DFO1</f>
        <v>0</v>
      </c>
      <c r="DEW1">
        <f>Database!DFP1</f>
        <v>0</v>
      </c>
      <c r="DEX1">
        <f>Database!DFQ1</f>
        <v>0</v>
      </c>
      <c r="DEY1">
        <f>Database!DFR1</f>
        <v>0</v>
      </c>
      <c r="DEZ1">
        <f>Database!DFS1</f>
        <v>0</v>
      </c>
      <c r="DFA1">
        <f>Database!DFT1</f>
        <v>0</v>
      </c>
      <c r="DFB1">
        <f>Database!DFU1</f>
        <v>0</v>
      </c>
      <c r="DFC1">
        <f>Database!DFV1</f>
        <v>0</v>
      </c>
      <c r="DFD1">
        <f>Database!DFW1</f>
        <v>0</v>
      </c>
      <c r="DFE1">
        <f>Database!DFX1</f>
        <v>0</v>
      </c>
      <c r="DFF1">
        <f>Database!DFY1</f>
        <v>0</v>
      </c>
      <c r="DFG1">
        <f>Database!DFZ1</f>
        <v>0</v>
      </c>
      <c r="DFH1">
        <f>Database!DGA1</f>
        <v>0</v>
      </c>
      <c r="DFI1">
        <f>Database!DGB1</f>
        <v>0</v>
      </c>
      <c r="DFJ1">
        <f>Database!DGC1</f>
        <v>0</v>
      </c>
      <c r="DFK1">
        <f>Database!DGD1</f>
        <v>0</v>
      </c>
      <c r="DFL1">
        <f>Database!DGE1</f>
        <v>0</v>
      </c>
      <c r="DFM1">
        <f>Database!DGF1</f>
        <v>0</v>
      </c>
      <c r="DFN1">
        <f>Database!DGG1</f>
        <v>0</v>
      </c>
      <c r="DFO1">
        <f>Database!DGH1</f>
        <v>0</v>
      </c>
      <c r="DFP1">
        <f>Database!DGI1</f>
        <v>0</v>
      </c>
      <c r="DFQ1">
        <f>Database!DGJ1</f>
        <v>0</v>
      </c>
      <c r="DFR1">
        <f>Database!DGK1</f>
        <v>0</v>
      </c>
      <c r="DFS1">
        <f>Database!DGL1</f>
        <v>0</v>
      </c>
      <c r="DFT1">
        <f>Database!DGM1</f>
        <v>0</v>
      </c>
      <c r="DFU1">
        <f>Database!DGN1</f>
        <v>0</v>
      </c>
      <c r="DFV1">
        <f>Database!DGO1</f>
        <v>0</v>
      </c>
      <c r="DFW1">
        <f>Database!DGP1</f>
        <v>0</v>
      </c>
      <c r="DFX1">
        <f>Database!DGQ1</f>
        <v>0</v>
      </c>
      <c r="DFY1">
        <f>Database!DGR1</f>
        <v>0</v>
      </c>
      <c r="DFZ1">
        <f>Database!DGS1</f>
        <v>0</v>
      </c>
      <c r="DGA1">
        <f>Database!DGT1</f>
        <v>0</v>
      </c>
      <c r="DGB1">
        <f>Database!DGU1</f>
        <v>0</v>
      </c>
      <c r="DGC1">
        <f>Database!DGV1</f>
        <v>0</v>
      </c>
      <c r="DGD1">
        <f>Database!DGW1</f>
        <v>0</v>
      </c>
      <c r="DGE1">
        <f>Database!DGX1</f>
        <v>0</v>
      </c>
      <c r="DGF1">
        <f>Database!DGY1</f>
        <v>0</v>
      </c>
      <c r="DGG1">
        <f>Database!DGZ1</f>
        <v>0</v>
      </c>
      <c r="DGH1">
        <f>Database!DHA1</f>
        <v>0</v>
      </c>
      <c r="DGI1">
        <f>Database!DHB1</f>
        <v>0</v>
      </c>
      <c r="DGJ1">
        <f>Database!DHC1</f>
        <v>0</v>
      </c>
      <c r="DGK1">
        <f>Database!DHD1</f>
        <v>0</v>
      </c>
      <c r="DGL1">
        <f>Database!DHE1</f>
        <v>0</v>
      </c>
      <c r="DGM1">
        <f>Database!DHF1</f>
        <v>0</v>
      </c>
      <c r="DGN1">
        <f>Database!DHG1</f>
        <v>0</v>
      </c>
      <c r="DGO1">
        <f>Database!DHH1</f>
        <v>0</v>
      </c>
      <c r="DGP1">
        <f>Database!DHI1</f>
        <v>0</v>
      </c>
      <c r="DGQ1">
        <f>Database!DHJ1</f>
        <v>0</v>
      </c>
      <c r="DGR1">
        <f>Database!DHK1</f>
        <v>0</v>
      </c>
      <c r="DGS1">
        <f>Database!DHL1</f>
        <v>0</v>
      </c>
      <c r="DGT1">
        <f>Database!DHM1</f>
        <v>0</v>
      </c>
      <c r="DGU1">
        <f>Database!DHN1</f>
        <v>0</v>
      </c>
      <c r="DGV1">
        <f>Database!DHO1</f>
        <v>0</v>
      </c>
      <c r="DGW1">
        <f>Database!DHP1</f>
        <v>0</v>
      </c>
      <c r="DGX1">
        <f>Database!DHQ1</f>
        <v>0</v>
      </c>
      <c r="DGY1">
        <f>Database!DHR1</f>
        <v>0</v>
      </c>
      <c r="DGZ1">
        <f>Database!DHS1</f>
        <v>0</v>
      </c>
      <c r="DHA1">
        <f>Database!DHT1</f>
        <v>0</v>
      </c>
      <c r="DHB1">
        <f>Database!DHU1</f>
        <v>0</v>
      </c>
      <c r="DHC1">
        <f>Database!DHV1</f>
        <v>0</v>
      </c>
      <c r="DHD1">
        <f>Database!DHW1</f>
        <v>0</v>
      </c>
      <c r="DHE1">
        <f>Database!DHX1</f>
        <v>0</v>
      </c>
      <c r="DHF1">
        <f>Database!DHY1</f>
        <v>0</v>
      </c>
      <c r="DHG1">
        <f>Database!DHZ1</f>
        <v>0</v>
      </c>
      <c r="DHH1">
        <f>Database!DIA1</f>
        <v>0</v>
      </c>
      <c r="DHI1">
        <f>Database!DIB1</f>
        <v>0</v>
      </c>
      <c r="DHJ1">
        <f>Database!DIC1</f>
        <v>0</v>
      </c>
      <c r="DHK1">
        <f>Database!DID1</f>
        <v>0</v>
      </c>
      <c r="DHL1">
        <f>Database!DIE1</f>
        <v>0</v>
      </c>
      <c r="DHM1">
        <f>Database!DIF1</f>
        <v>0</v>
      </c>
      <c r="DHN1">
        <f>Database!DIG1</f>
        <v>0</v>
      </c>
      <c r="DHO1">
        <f>Database!DIH1</f>
        <v>0</v>
      </c>
      <c r="DHP1">
        <f>Database!DII1</f>
        <v>0</v>
      </c>
      <c r="DHQ1">
        <f>Database!DIJ1</f>
        <v>0</v>
      </c>
      <c r="DHR1">
        <f>Database!DIK1</f>
        <v>0</v>
      </c>
      <c r="DHS1">
        <f>Database!DIL1</f>
        <v>0</v>
      </c>
      <c r="DHT1">
        <f>Database!DIM1</f>
        <v>0</v>
      </c>
      <c r="DHU1">
        <f>Database!DIN1</f>
        <v>0</v>
      </c>
      <c r="DHV1">
        <f>Database!DIO1</f>
        <v>0</v>
      </c>
      <c r="DHW1">
        <f>Database!DIP1</f>
        <v>0</v>
      </c>
      <c r="DHX1">
        <f>Database!DIQ1</f>
        <v>0</v>
      </c>
      <c r="DHY1">
        <f>Database!DIR1</f>
        <v>0</v>
      </c>
      <c r="DHZ1">
        <f>Database!DIS1</f>
        <v>0</v>
      </c>
      <c r="DIA1">
        <f>Database!DIT1</f>
        <v>0</v>
      </c>
      <c r="DIB1">
        <f>Database!DIU1</f>
        <v>0</v>
      </c>
      <c r="DIC1">
        <f>Database!DIV1</f>
        <v>0</v>
      </c>
      <c r="DID1">
        <f>Database!DIW1</f>
        <v>0</v>
      </c>
      <c r="DIE1">
        <f>Database!DIX1</f>
        <v>0</v>
      </c>
      <c r="DIF1">
        <f>Database!DIY1</f>
        <v>0</v>
      </c>
      <c r="DIG1">
        <f>Database!DIZ1</f>
        <v>0</v>
      </c>
      <c r="DIH1">
        <f>Database!DJA1</f>
        <v>0</v>
      </c>
      <c r="DII1">
        <f>Database!DJB1</f>
        <v>0</v>
      </c>
      <c r="DIJ1">
        <f>Database!DJC1</f>
        <v>0</v>
      </c>
      <c r="DIK1">
        <f>Database!DJD1</f>
        <v>0</v>
      </c>
      <c r="DIL1">
        <f>Database!DJE1</f>
        <v>0</v>
      </c>
      <c r="DIM1">
        <f>Database!DJF1</f>
        <v>0</v>
      </c>
      <c r="DIN1">
        <f>Database!DJG1</f>
        <v>0</v>
      </c>
      <c r="DIO1">
        <f>Database!DJH1</f>
        <v>0</v>
      </c>
      <c r="DIP1">
        <f>Database!DJI1</f>
        <v>0</v>
      </c>
      <c r="DIQ1">
        <f>Database!DJJ1</f>
        <v>0</v>
      </c>
      <c r="DIR1">
        <f>Database!DJK1</f>
        <v>0</v>
      </c>
      <c r="DIS1">
        <f>Database!DJL1</f>
        <v>0</v>
      </c>
      <c r="DIT1">
        <f>Database!DJM1</f>
        <v>0</v>
      </c>
      <c r="DIU1">
        <f>Database!DJN1</f>
        <v>0</v>
      </c>
      <c r="DIV1">
        <f>Database!DJO1</f>
        <v>0</v>
      </c>
      <c r="DIW1">
        <f>Database!DJP1</f>
        <v>0</v>
      </c>
      <c r="DIX1">
        <f>Database!DJQ1</f>
        <v>0</v>
      </c>
      <c r="DIY1">
        <f>Database!DJR1</f>
        <v>0</v>
      </c>
      <c r="DIZ1">
        <f>Database!DJS1</f>
        <v>0</v>
      </c>
      <c r="DJA1">
        <f>Database!DJT1</f>
        <v>0</v>
      </c>
      <c r="DJB1">
        <f>Database!DJU1</f>
        <v>0</v>
      </c>
      <c r="DJC1">
        <f>Database!DJV1</f>
        <v>0</v>
      </c>
      <c r="DJD1">
        <f>Database!DJW1</f>
        <v>0</v>
      </c>
      <c r="DJE1">
        <f>Database!DJX1</f>
        <v>0</v>
      </c>
      <c r="DJF1">
        <f>Database!DJY1</f>
        <v>0</v>
      </c>
      <c r="DJG1">
        <f>Database!DJZ1</f>
        <v>0</v>
      </c>
      <c r="DJH1">
        <f>Database!DKA1</f>
        <v>0</v>
      </c>
      <c r="DJI1">
        <f>Database!DKB1</f>
        <v>0</v>
      </c>
      <c r="DJJ1">
        <f>Database!DKC1</f>
        <v>0</v>
      </c>
      <c r="DJK1">
        <f>Database!DKD1</f>
        <v>0</v>
      </c>
      <c r="DJL1">
        <f>Database!DKE1</f>
        <v>0</v>
      </c>
      <c r="DJM1">
        <f>Database!DKF1</f>
        <v>0</v>
      </c>
      <c r="DJN1">
        <f>Database!DKG1</f>
        <v>0</v>
      </c>
      <c r="DJO1">
        <f>Database!DKH1</f>
        <v>0</v>
      </c>
      <c r="DJP1">
        <f>Database!DKI1</f>
        <v>0</v>
      </c>
      <c r="DJQ1">
        <f>Database!DKJ1</f>
        <v>0</v>
      </c>
      <c r="DJR1">
        <f>Database!DKK1</f>
        <v>0</v>
      </c>
      <c r="DJS1">
        <f>Database!DKL1</f>
        <v>0</v>
      </c>
      <c r="DJT1">
        <f>Database!DKM1</f>
        <v>0</v>
      </c>
      <c r="DJU1">
        <f>Database!DKN1</f>
        <v>0</v>
      </c>
      <c r="DJV1">
        <f>Database!DKO1</f>
        <v>0</v>
      </c>
      <c r="DJW1">
        <f>Database!DKP1</f>
        <v>0</v>
      </c>
      <c r="DJX1">
        <f>Database!DKQ1</f>
        <v>0</v>
      </c>
      <c r="DJY1">
        <f>Database!DKR1</f>
        <v>0</v>
      </c>
      <c r="DJZ1">
        <f>Database!DKS1</f>
        <v>0</v>
      </c>
      <c r="DKA1">
        <f>Database!DKT1</f>
        <v>0</v>
      </c>
      <c r="DKB1">
        <f>Database!DKU1</f>
        <v>0</v>
      </c>
      <c r="DKC1">
        <f>Database!DKV1</f>
        <v>0</v>
      </c>
      <c r="DKD1">
        <f>Database!DKW1</f>
        <v>0</v>
      </c>
      <c r="DKE1">
        <f>Database!DKX1</f>
        <v>0</v>
      </c>
      <c r="DKF1">
        <f>Database!DKY1</f>
        <v>0</v>
      </c>
      <c r="DKG1">
        <f>Database!DKZ1</f>
        <v>0</v>
      </c>
      <c r="DKH1">
        <f>Database!DLA1</f>
        <v>0</v>
      </c>
      <c r="DKI1">
        <f>Database!DLB1</f>
        <v>0</v>
      </c>
      <c r="DKJ1">
        <f>Database!DLC1</f>
        <v>0</v>
      </c>
      <c r="DKK1">
        <f>Database!DLD1</f>
        <v>0</v>
      </c>
      <c r="DKL1">
        <f>Database!DLE1</f>
        <v>0</v>
      </c>
      <c r="DKM1">
        <f>Database!DLF1</f>
        <v>0</v>
      </c>
      <c r="DKN1">
        <f>Database!DLG1</f>
        <v>0</v>
      </c>
      <c r="DKO1">
        <f>Database!DLH1</f>
        <v>0</v>
      </c>
      <c r="DKP1">
        <f>Database!DLI1</f>
        <v>0</v>
      </c>
      <c r="DKQ1">
        <f>Database!DLJ1</f>
        <v>0</v>
      </c>
      <c r="DKR1">
        <f>Database!DLK1</f>
        <v>0</v>
      </c>
      <c r="DKS1">
        <f>Database!DLL1</f>
        <v>0</v>
      </c>
      <c r="DKT1">
        <f>Database!DLM1</f>
        <v>0</v>
      </c>
      <c r="DKU1">
        <f>Database!DLN1</f>
        <v>0</v>
      </c>
      <c r="DKV1">
        <f>Database!DLO1</f>
        <v>0</v>
      </c>
      <c r="DKW1">
        <f>Database!DLP1</f>
        <v>0</v>
      </c>
      <c r="DKX1">
        <f>Database!DLQ1</f>
        <v>0</v>
      </c>
      <c r="DKY1">
        <f>Database!DLR1</f>
        <v>0</v>
      </c>
      <c r="DKZ1">
        <f>Database!DLS1</f>
        <v>0</v>
      </c>
      <c r="DLA1">
        <f>Database!DLT1</f>
        <v>0</v>
      </c>
      <c r="DLB1">
        <f>Database!DLU1</f>
        <v>0</v>
      </c>
      <c r="DLC1">
        <f>Database!DLV1</f>
        <v>0</v>
      </c>
      <c r="DLD1">
        <f>Database!DLW1</f>
        <v>0</v>
      </c>
      <c r="DLE1">
        <f>Database!DLX1</f>
        <v>0</v>
      </c>
      <c r="DLF1">
        <f>Database!DLY1</f>
        <v>0</v>
      </c>
      <c r="DLG1">
        <f>Database!DLZ1</f>
        <v>0</v>
      </c>
      <c r="DLH1">
        <f>Database!DMA1</f>
        <v>0</v>
      </c>
      <c r="DLI1">
        <f>Database!DMB1</f>
        <v>0</v>
      </c>
      <c r="DLJ1">
        <f>Database!DMC1</f>
        <v>0</v>
      </c>
      <c r="DLK1">
        <f>Database!DMD1</f>
        <v>0</v>
      </c>
      <c r="DLL1">
        <f>Database!DME1</f>
        <v>0</v>
      </c>
      <c r="DLM1">
        <f>Database!DMF1</f>
        <v>0</v>
      </c>
      <c r="DLN1">
        <f>Database!DMG1</f>
        <v>0</v>
      </c>
      <c r="DLO1">
        <f>Database!DMH1</f>
        <v>0</v>
      </c>
      <c r="DLP1">
        <f>Database!DMI1</f>
        <v>0</v>
      </c>
      <c r="DLQ1">
        <f>Database!DMJ1</f>
        <v>0</v>
      </c>
      <c r="DLR1">
        <f>Database!DMK1</f>
        <v>0</v>
      </c>
      <c r="DLS1">
        <f>Database!DML1</f>
        <v>0</v>
      </c>
      <c r="DLT1">
        <f>Database!DMM1</f>
        <v>0</v>
      </c>
      <c r="DLU1">
        <f>Database!DMN1</f>
        <v>0</v>
      </c>
      <c r="DLV1">
        <f>Database!DMO1</f>
        <v>0</v>
      </c>
      <c r="DLW1">
        <f>Database!DMP1</f>
        <v>0</v>
      </c>
      <c r="DLX1">
        <f>Database!DMQ1</f>
        <v>0</v>
      </c>
      <c r="DLY1">
        <f>Database!DMR1</f>
        <v>0</v>
      </c>
      <c r="DLZ1">
        <f>Database!DMS1</f>
        <v>0</v>
      </c>
      <c r="DMA1">
        <f>Database!DMT1</f>
        <v>0</v>
      </c>
      <c r="DMB1">
        <f>Database!DMU1</f>
        <v>0</v>
      </c>
      <c r="DMC1">
        <f>Database!DMV1</f>
        <v>0</v>
      </c>
      <c r="DMD1">
        <f>Database!DMW1</f>
        <v>0</v>
      </c>
      <c r="DME1">
        <f>Database!DMX1</f>
        <v>0</v>
      </c>
      <c r="DMF1">
        <f>Database!DMY1</f>
        <v>0</v>
      </c>
      <c r="DMG1">
        <f>Database!DMZ1</f>
        <v>0</v>
      </c>
      <c r="DMH1">
        <f>Database!DNA1</f>
        <v>0</v>
      </c>
      <c r="DMI1">
        <f>Database!DNB1</f>
        <v>0</v>
      </c>
      <c r="DMJ1">
        <f>Database!DNC1</f>
        <v>0</v>
      </c>
      <c r="DMK1">
        <f>Database!DND1</f>
        <v>0</v>
      </c>
      <c r="DML1">
        <f>Database!DNE1</f>
        <v>0</v>
      </c>
      <c r="DMM1">
        <f>Database!DNF1</f>
        <v>0</v>
      </c>
      <c r="DMN1">
        <f>Database!DNG1</f>
        <v>0</v>
      </c>
      <c r="DMO1">
        <f>Database!DNH1</f>
        <v>0</v>
      </c>
      <c r="DMP1">
        <f>Database!DNI1</f>
        <v>0</v>
      </c>
      <c r="DMQ1">
        <f>Database!DNJ1</f>
        <v>0</v>
      </c>
      <c r="DMR1">
        <f>Database!DNK1</f>
        <v>0</v>
      </c>
      <c r="DMS1">
        <f>Database!DNL1</f>
        <v>0</v>
      </c>
      <c r="DMT1">
        <f>Database!DNM1</f>
        <v>0</v>
      </c>
      <c r="DMU1">
        <f>Database!DNN1</f>
        <v>0</v>
      </c>
      <c r="DMV1">
        <f>Database!DNO1</f>
        <v>0</v>
      </c>
      <c r="DMW1">
        <f>Database!DNP1</f>
        <v>0</v>
      </c>
      <c r="DMX1">
        <f>Database!DNQ1</f>
        <v>0</v>
      </c>
      <c r="DMY1">
        <f>Database!DNR1</f>
        <v>0</v>
      </c>
      <c r="DMZ1">
        <f>Database!DNS1</f>
        <v>0</v>
      </c>
      <c r="DNA1">
        <f>Database!DNT1</f>
        <v>0</v>
      </c>
      <c r="DNB1">
        <f>Database!DNU1</f>
        <v>0</v>
      </c>
      <c r="DNC1">
        <f>Database!DNV1</f>
        <v>0</v>
      </c>
      <c r="DND1">
        <f>Database!DNW1</f>
        <v>0</v>
      </c>
      <c r="DNE1">
        <f>Database!DNX1</f>
        <v>0</v>
      </c>
      <c r="DNF1">
        <f>Database!DNY1</f>
        <v>0</v>
      </c>
      <c r="DNG1">
        <f>Database!DNZ1</f>
        <v>0</v>
      </c>
      <c r="DNH1">
        <f>Database!DOA1</f>
        <v>0</v>
      </c>
      <c r="DNI1">
        <f>Database!DOB1</f>
        <v>0</v>
      </c>
      <c r="DNJ1">
        <f>Database!DOC1</f>
        <v>0</v>
      </c>
      <c r="DNK1">
        <f>Database!DOD1</f>
        <v>0</v>
      </c>
      <c r="DNL1">
        <f>Database!DOE1</f>
        <v>0</v>
      </c>
      <c r="DNM1">
        <f>Database!DOF1</f>
        <v>0</v>
      </c>
      <c r="DNN1">
        <f>Database!DOG1</f>
        <v>0</v>
      </c>
      <c r="DNO1">
        <f>Database!DOH1</f>
        <v>0</v>
      </c>
      <c r="DNP1">
        <f>Database!DOI1</f>
        <v>0</v>
      </c>
      <c r="DNQ1">
        <f>Database!DOJ1</f>
        <v>0</v>
      </c>
      <c r="DNR1">
        <f>Database!DOK1</f>
        <v>0</v>
      </c>
      <c r="DNS1">
        <f>Database!DOL1</f>
        <v>0</v>
      </c>
      <c r="DNT1">
        <f>Database!DOM1</f>
        <v>0</v>
      </c>
      <c r="DNU1">
        <f>Database!DON1</f>
        <v>0</v>
      </c>
      <c r="DNV1">
        <f>Database!DOO1</f>
        <v>0</v>
      </c>
      <c r="DNW1">
        <f>Database!DOP1</f>
        <v>0</v>
      </c>
      <c r="DNX1">
        <f>Database!DOQ1</f>
        <v>0</v>
      </c>
      <c r="DNY1">
        <f>Database!DOR1</f>
        <v>0</v>
      </c>
      <c r="DNZ1">
        <f>Database!DOS1</f>
        <v>0</v>
      </c>
      <c r="DOA1">
        <f>Database!DOT1</f>
        <v>0</v>
      </c>
      <c r="DOB1">
        <f>Database!DOU1</f>
        <v>0</v>
      </c>
      <c r="DOC1">
        <f>Database!DOV1</f>
        <v>0</v>
      </c>
      <c r="DOD1">
        <f>Database!DOW1</f>
        <v>0</v>
      </c>
      <c r="DOE1">
        <f>Database!DOX1</f>
        <v>0</v>
      </c>
      <c r="DOF1">
        <f>Database!DOY1</f>
        <v>0</v>
      </c>
      <c r="DOG1">
        <f>Database!DOZ1</f>
        <v>0</v>
      </c>
      <c r="DOH1">
        <f>Database!DPA1</f>
        <v>0</v>
      </c>
      <c r="DOI1">
        <f>Database!DPB1</f>
        <v>0</v>
      </c>
      <c r="DOJ1">
        <f>Database!DPC1</f>
        <v>0</v>
      </c>
      <c r="DOK1">
        <f>Database!DPD1</f>
        <v>0</v>
      </c>
      <c r="DOL1">
        <f>Database!DPE1</f>
        <v>0</v>
      </c>
      <c r="DOM1">
        <f>Database!DPF1</f>
        <v>0</v>
      </c>
      <c r="DON1">
        <f>Database!DPG1</f>
        <v>0</v>
      </c>
      <c r="DOO1">
        <f>Database!DPH1</f>
        <v>0</v>
      </c>
      <c r="DOP1">
        <f>Database!DPI1</f>
        <v>0</v>
      </c>
      <c r="DOQ1">
        <f>Database!DPJ1</f>
        <v>0</v>
      </c>
      <c r="DOR1">
        <f>Database!DPK1</f>
        <v>0</v>
      </c>
      <c r="DOS1">
        <f>Database!DPL1</f>
        <v>0</v>
      </c>
      <c r="DOT1">
        <f>Database!DPM1</f>
        <v>0</v>
      </c>
      <c r="DOU1">
        <f>Database!DPN1</f>
        <v>0</v>
      </c>
      <c r="DOV1">
        <f>Database!DPO1</f>
        <v>0</v>
      </c>
      <c r="DOW1">
        <f>Database!DPP1</f>
        <v>0</v>
      </c>
      <c r="DOX1">
        <f>Database!DPQ1</f>
        <v>0</v>
      </c>
      <c r="DOY1">
        <f>Database!DPR1</f>
        <v>0</v>
      </c>
      <c r="DOZ1">
        <f>Database!DPS1</f>
        <v>0</v>
      </c>
      <c r="DPA1">
        <f>Database!DPT1</f>
        <v>0</v>
      </c>
      <c r="DPB1">
        <f>Database!DPU1</f>
        <v>0</v>
      </c>
      <c r="DPC1">
        <f>Database!DPV1</f>
        <v>0</v>
      </c>
      <c r="DPD1">
        <f>Database!DPW1</f>
        <v>0</v>
      </c>
      <c r="DPE1">
        <f>Database!DPX1</f>
        <v>0</v>
      </c>
      <c r="DPF1">
        <f>Database!DPY1</f>
        <v>0</v>
      </c>
      <c r="DPG1">
        <f>Database!DPZ1</f>
        <v>0</v>
      </c>
      <c r="DPH1">
        <f>Database!DQA1</f>
        <v>0</v>
      </c>
      <c r="DPI1">
        <f>Database!DQB1</f>
        <v>0</v>
      </c>
      <c r="DPJ1">
        <f>Database!DQC1</f>
        <v>0</v>
      </c>
      <c r="DPK1">
        <f>Database!DQD1</f>
        <v>0</v>
      </c>
      <c r="DPL1">
        <f>Database!DQE1</f>
        <v>0</v>
      </c>
      <c r="DPM1">
        <f>Database!DQF1</f>
        <v>0</v>
      </c>
      <c r="DPN1">
        <f>Database!DQG1</f>
        <v>0</v>
      </c>
      <c r="DPO1">
        <f>Database!DQH1</f>
        <v>0</v>
      </c>
      <c r="DPP1">
        <f>Database!DQI1</f>
        <v>0</v>
      </c>
      <c r="DPQ1">
        <f>Database!DQJ1</f>
        <v>0</v>
      </c>
      <c r="DPR1">
        <f>Database!DQK1</f>
        <v>0</v>
      </c>
      <c r="DPS1">
        <f>Database!DQL1</f>
        <v>0</v>
      </c>
      <c r="DPT1">
        <f>Database!DQM1</f>
        <v>0</v>
      </c>
      <c r="DPU1">
        <f>Database!DQN1</f>
        <v>0</v>
      </c>
      <c r="DPV1">
        <f>Database!DQO1</f>
        <v>0</v>
      </c>
      <c r="DPW1">
        <f>Database!DQP1</f>
        <v>0</v>
      </c>
      <c r="DPX1">
        <f>Database!DQQ1</f>
        <v>0</v>
      </c>
      <c r="DPY1">
        <f>Database!DQR1</f>
        <v>0</v>
      </c>
      <c r="DPZ1">
        <f>Database!DQS1</f>
        <v>0</v>
      </c>
      <c r="DQA1">
        <f>Database!DQT1</f>
        <v>0</v>
      </c>
      <c r="DQB1">
        <f>Database!DQU1</f>
        <v>0</v>
      </c>
      <c r="DQC1">
        <f>Database!DQV1</f>
        <v>0</v>
      </c>
      <c r="DQD1">
        <f>Database!DQW1</f>
        <v>0</v>
      </c>
      <c r="DQE1">
        <f>Database!DQX1</f>
        <v>0</v>
      </c>
      <c r="DQF1">
        <f>Database!DQY1</f>
        <v>0</v>
      </c>
      <c r="DQG1">
        <f>Database!DQZ1</f>
        <v>0</v>
      </c>
      <c r="DQH1">
        <f>Database!DRA1</f>
        <v>0</v>
      </c>
      <c r="DQI1">
        <f>Database!DRB1</f>
        <v>0</v>
      </c>
      <c r="DQJ1">
        <f>Database!DRC1</f>
        <v>0</v>
      </c>
      <c r="DQK1">
        <f>Database!DRD1</f>
        <v>0</v>
      </c>
      <c r="DQL1">
        <f>Database!DRE1</f>
        <v>0</v>
      </c>
      <c r="DQM1">
        <f>Database!DRF1</f>
        <v>0</v>
      </c>
      <c r="DQN1">
        <f>Database!DRG1</f>
        <v>0</v>
      </c>
      <c r="DQO1">
        <f>Database!DRH1</f>
        <v>0</v>
      </c>
      <c r="DQP1">
        <f>Database!DRI1</f>
        <v>0</v>
      </c>
      <c r="DQQ1">
        <f>Database!DRJ1</f>
        <v>0</v>
      </c>
      <c r="DQR1">
        <f>Database!DRK1</f>
        <v>0</v>
      </c>
      <c r="DQS1">
        <f>Database!DRL1</f>
        <v>0</v>
      </c>
      <c r="DQT1">
        <f>Database!DRM1</f>
        <v>0</v>
      </c>
      <c r="DQU1">
        <f>Database!DRN1</f>
        <v>0</v>
      </c>
      <c r="DQV1">
        <f>Database!DRO1</f>
        <v>0</v>
      </c>
      <c r="DQW1">
        <f>Database!DRP1</f>
        <v>0</v>
      </c>
      <c r="DQX1">
        <f>Database!DRQ1</f>
        <v>0</v>
      </c>
      <c r="DQY1">
        <f>Database!DRR1</f>
        <v>0</v>
      </c>
      <c r="DQZ1">
        <f>Database!DRS1</f>
        <v>0</v>
      </c>
      <c r="DRA1">
        <f>Database!DRT1</f>
        <v>0</v>
      </c>
      <c r="DRB1">
        <f>Database!DRU1</f>
        <v>0</v>
      </c>
      <c r="DRC1">
        <f>Database!DRV1</f>
        <v>0</v>
      </c>
      <c r="DRD1">
        <f>Database!DRW1</f>
        <v>0</v>
      </c>
      <c r="DRE1">
        <f>Database!DRX1</f>
        <v>0</v>
      </c>
      <c r="DRF1">
        <f>Database!DRY1</f>
        <v>0</v>
      </c>
      <c r="DRG1">
        <f>Database!DRZ1</f>
        <v>0</v>
      </c>
      <c r="DRH1">
        <f>Database!DSA1</f>
        <v>0</v>
      </c>
      <c r="DRI1">
        <f>Database!DSB1</f>
        <v>0</v>
      </c>
      <c r="DRJ1">
        <f>Database!DSC1</f>
        <v>0</v>
      </c>
      <c r="DRK1">
        <f>Database!DSD1</f>
        <v>0</v>
      </c>
      <c r="DRL1">
        <f>Database!DSE1</f>
        <v>0</v>
      </c>
      <c r="DRM1">
        <f>Database!DSF1</f>
        <v>0</v>
      </c>
      <c r="DRN1">
        <f>Database!DSG1</f>
        <v>0</v>
      </c>
      <c r="DRO1">
        <f>Database!DSH1</f>
        <v>0</v>
      </c>
      <c r="DRP1">
        <f>Database!DSI1</f>
        <v>0</v>
      </c>
      <c r="DRQ1">
        <f>Database!DSJ1</f>
        <v>0</v>
      </c>
      <c r="DRR1">
        <f>Database!DSK1</f>
        <v>0</v>
      </c>
      <c r="DRS1">
        <f>Database!DSL1</f>
        <v>0</v>
      </c>
      <c r="DRT1">
        <f>Database!DSM1</f>
        <v>0</v>
      </c>
      <c r="DRU1">
        <f>Database!DSN1</f>
        <v>0</v>
      </c>
      <c r="DRV1">
        <f>Database!DSO1</f>
        <v>0</v>
      </c>
      <c r="DRW1">
        <f>Database!DSP1</f>
        <v>0</v>
      </c>
      <c r="DRX1">
        <f>Database!DSQ1</f>
        <v>0</v>
      </c>
      <c r="DRY1">
        <f>Database!DSR1</f>
        <v>0</v>
      </c>
      <c r="DRZ1">
        <f>Database!DSS1</f>
        <v>0</v>
      </c>
      <c r="DSA1">
        <f>Database!DST1</f>
        <v>0</v>
      </c>
      <c r="DSB1">
        <f>Database!DSU1</f>
        <v>0</v>
      </c>
      <c r="DSC1">
        <f>Database!DSV1</f>
        <v>0</v>
      </c>
      <c r="DSD1">
        <f>Database!DSW1</f>
        <v>0</v>
      </c>
      <c r="DSE1">
        <f>Database!DSX1</f>
        <v>0</v>
      </c>
      <c r="DSF1">
        <f>Database!DSY1</f>
        <v>0</v>
      </c>
      <c r="DSG1">
        <f>Database!DSZ1</f>
        <v>0</v>
      </c>
      <c r="DSH1">
        <f>Database!DTA1</f>
        <v>0</v>
      </c>
      <c r="DSI1">
        <f>Database!DTB1</f>
        <v>0</v>
      </c>
      <c r="DSJ1">
        <f>Database!DTC1</f>
        <v>0</v>
      </c>
      <c r="DSK1">
        <f>Database!DTD1</f>
        <v>0</v>
      </c>
      <c r="DSL1">
        <f>Database!DTE1</f>
        <v>0</v>
      </c>
      <c r="DSM1">
        <f>Database!DTF1</f>
        <v>0</v>
      </c>
      <c r="DSN1">
        <f>Database!DTG1</f>
        <v>0</v>
      </c>
      <c r="DSO1">
        <f>Database!DTH1</f>
        <v>0</v>
      </c>
      <c r="DSP1">
        <f>Database!DTI1</f>
        <v>0</v>
      </c>
      <c r="DSQ1">
        <f>Database!DTJ1</f>
        <v>0</v>
      </c>
      <c r="DSR1">
        <f>Database!DTK1</f>
        <v>0</v>
      </c>
      <c r="DSS1">
        <f>Database!DTL1</f>
        <v>0</v>
      </c>
      <c r="DST1">
        <f>Database!DTM1</f>
        <v>0</v>
      </c>
      <c r="DSU1">
        <f>Database!DTN1</f>
        <v>0</v>
      </c>
      <c r="DSV1">
        <f>Database!DTO1</f>
        <v>0</v>
      </c>
      <c r="DSW1">
        <f>Database!DTP1</f>
        <v>0</v>
      </c>
      <c r="DSX1">
        <f>Database!DTQ1</f>
        <v>0</v>
      </c>
      <c r="DSY1">
        <f>Database!DTR1</f>
        <v>0</v>
      </c>
      <c r="DSZ1">
        <f>Database!DTS1</f>
        <v>0</v>
      </c>
      <c r="DTA1">
        <f>Database!DTT1</f>
        <v>0</v>
      </c>
      <c r="DTB1">
        <f>Database!DTU1</f>
        <v>0</v>
      </c>
      <c r="DTC1">
        <f>Database!DTV1</f>
        <v>0</v>
      </c>
      <c r="DTD1">
        <f>Database!DTW1</f>
        <v>0</v>
      </c>
      <c r="DTE1">
        <f>Database!DTX1</f>
        <v>0</v>
      </c>
      <c r="DTF1">
        <f>Database!DTY1</f>
        <v>0</v>
      </c>
      <c r="DTG1">
        <f>Database!DTZ1</f>
        <v>0</v>
      </c>
      <c r="DTH1">
        <f>Database!DUA1</f>
        <v>0</v>
      </c>
      <c r="DTI1">
        <f>Database!DUB1</f>
        <v>0</v>
      </c>
      <c r="DTJ1">
        <f>Database!DUC1</f>
        <v>0</v>
      </c>
      <c r="DTK1">
        <f>Database!DUD1</f>
        <v>0</v>
      </c>
      <c r="DTL1">
        <f>Database!DUE1</f>
        <v>0</v>
      </c>
      <c r="DTM1">
        <f>Database!DUF1</f>
        <v>0</v>
      </c>
      <c r="DTN1">
        <f>Database!DUG1</f>
        <v>0</v>
      </c>
      <c r="DTO1">
        <f>Database!DUH1</f>
        <v>0</v>
      </c>
      <c r="DTP1">
        <f>Database!DUI1</f>
        <v>0</v>
      </c>
      <c r="DTQ1">
        <f>Database!DUJ1</f>
        <v>0</v>
      </c>
      <c r="DTR1">
        <f>Database!DUK1</f>
        <v>0</v>
      </c>
      <c r="DTS1">
        <f>Database!DUL1</f>
        <v>0</v>
      </c>
      <c r="DTT1">
        <f>Database!DUM1</f>
        <v>0</v>
      </c>
      <c r="DTU1">
        <f>Database!DUN1</f>
        <v>0</v>
      </c>
      <c r="DTV1">
        <f>Database!DUO1</f>
        <v>0</v>
      </c>
      <c r="DTW1">
        <f>Database!DUP1</f>
        <v>0</v>
      </c>
      <c r="DTX1">
        <f>Database!DUQ1</f>
        <v>0</v>
      </c>
      <c r="DTY1">
        <f>Database!DUR1</f>
        <v>0</v>
      </c>
      <c r="DTZ1">
        <f>Database!DUS1</f>
        <v>0</v>
      </c>
      <c r="DUA1">
        <f>Database!DUT1</f>
        <v>0</v>
      </c>
      <c r="DUB1">
        <f>Database!DUU1</f>
        <v>0</v>
      </c>
      <c r="DUC1">
        <f>Database!DUV1</f>
        <v>0</v>
      </c>
      <c r="DUD1">
        <f>Database!DUW1</f>
        <v>0</v>
      </c>
      <c r="DUE1">
        <f>Database!DUX1</f>
        <v>0</v>
      </c>
      <c r="DUF1">
        <f>Database!DUY1</f>
        <v>0</v>
      </c>
      <c r="DUG1">
        <f>Database!DUZ1</f>
        <v>0</v>
      </c>
      <c r="DUH1">
        <f>Database!DVA1</f>
        <v>0</v>
      </c>
      <c r="DUI1">
        <f>Database!DVB1</f>
        <v>0</v>
      </c>
      <c r="DUJ1">
        <f>Database!DVC1</f>
        <v>0</v>
      </c>
      <c r="DUK1">
        <f>Database!DVD1</f>
        <v>0</v>
      </c>
      <c r="DUL1">
        <f>Database!DVE1</f>
        <v>0</v>
      </c>
      <c r="DUM1">
        <f>Database!DVF1</f>
        <v>0</v>
      </c>
      <c r="DUN1">
        <f>Database!DVG1</f>
        <v>0</v>
      </c>
      <c r="DUO1">
        <f>Database!DVH1</f>
        <v>0</v>
      </c>
      <c r="DUP1">
        <f>Database!DVI1</f>
        <v>0</v>
      </c>
      <c r="DUQ1">
        <f>Database!DVJ1</f>
        <v>0</v>
      </c>
      <c r="DUR1">
        <f>Database!DVK1</f>
        <v>0</v>
      </c>
      <c r="DUS1">
        <f>Database!DVL1</f>
        <v>0</v>
      </c>
      <c r="DUT1">
        <f>Database!DVM1</f>
        <v>0</v>
      </c>
      <c r="DUU1">
        <f>Database!DVN1</f>
        <v>0</v>
      </c>
      <c r="DUV1">
        <f>Database!DVO1</f>
        <v>0</v>
      </c>
      <c r="DUW1">
        <f>Database!DVP1</f>
        <v>0</v>
      </c>
      <c r="DUX1">
        <f>Database!DVQ1</f>
        <v>0</v>
      </c>
      <c r="DUY1">
        <f>Database!DVR1</f>
        <v>0</v>
      </c>
      <c r="DUZ1">
        <f>Database!DVS1</f>
        <v>0</v>
      </c>
      <c r="DVA1">
        <f>Database!DVT1</f>
        <v>0</v>
      </c>
      <c r="DVB1">
        <f>Database!DVU1</f>
        <v>0</v>
      </c>
      <c r="DVC1">
        <f>Database!DVV1</f>
        <v>0</v>
      </c>
      <c r="DVD1">
        <f>Database!DVW1</f>
        <v>0</v>
      </c>
      <c r="DVE1">
        <f>Database!DVX1</f>
        <v>0</v>
      </c>
      <c r="DVF1">
        <f>Database!DVY1</f>
        <v>0</v>
      </c>
      <c r="DVG1">
        <f>Database!DVZ1</f>
        <v>0</v>
      </c>
      <c r="DVH1">
        <f>Database!DWA1</f>
        <v>0</v>
      </c>
      <c r="DVI1">
        <f>Database!DWB1</f>
        <v>0</v>
      </c>
      <c r="DVJ1">
        <f>Database!DWC1</f>
        <v>0</v>
      </c>
      <c r="DVK1">
        <f>Database!DWD1</f>
        <v>0</v>
      </c>
      <c r="DVL1">
        <f>Database!DWE1</f>
        <v>0</v>
      </c>
      <c r="DVM1">
        <f>Database!DWF1</f>
        <v>0</v>
      </c>
      <c r="DVN1">
        <f>Database!DWG1</f>
        <v>0</v>
      </c>
      <c r="DVO1">
        <f>Database!DWH1</f>
        <v>0</v>
      </c>
      <c r="DVP1">
        <f>Database!DWI1</f>
        <v>0</v>
      </c>
      <c r="DVQ1">
        <f>Database!DWJ1</f>
        <v>0</v>
      </c>
      <c r="DVR1">
        <f>Database!DWK1</f>
        <v>0</v>
      </c>
      <c r="DVS1">
        <f>Database!DWL1</f>
        <v>0</v>
      </c>
      <c r="DVT1">
        <f>Database!DWM1</f>
        <v>0</v>
      </c>
      <c r="DVU1">
        <f>Database!DWN1</f>
        <v>0</v>
      </c>
      <c r="DVV1">
        <f>Database!DWO1</f>
        <v>0</v>
      </c>
      <c r="DVW1">
        <f>Database!DWP1</f>
        <v>0</v>
      </c>
      <c r="DVX1">
        <f>Database!DWQ1</f>
        <v>0</v>
      </c>
      <c r="DVY1">
        <f>Database!DWR1</f>
        <v>0</v>
      </c>
      <c r="DVZ1">
        <f>Database!DWS1</f>
        <v>0</v>
      </c>
      <c r="DWA1">
        <f>Database!DWT1</f>
        <v>0</v>
      </c>
      <c r="DWB1">
        <f>Database!DWU1</f>
        <v>0</v>
      </c>
      <c r="DWC1">
        <f>Database!DWV1</f>
        <v>0</v>
      </c>
      <c r="DWD1">
        <f>Database!DWW1</f>
        <v>0</v>
      </c>
      <c r="DWE1">
        <f>Database!DWX1</f>
        <v>0</v>
      </c>
      <c r="DWF1">
        <f>Database!DWY1</f>
        <v>0</v>
      </c>
      <c r="DWG1">
        <f>Database!DWZ1</f>
        <v>0</v>
      </c>
      <c r="DWH1">
        <f>Database!DXA1</f>
        <v>0</v>
      </c>
      <c r="DWI1">
        <f>Database!DXB1</f>
        <v>0</v>
      </c>
      <c r="DWJ1">
        <f>Database!DXC1</f>
        <v>0</v>
      </c>
      <c r="DWK1">
        <f>Database!DXD1</f>
        <v>0</v>
      </c>
      <c r="DWL1">
        <f>Database!DXE1</f>
        <v>0</v>
      </c>
      <c r="DWM1">
        <f>Database!DXF1</f>
        <v>0</v>
      </c>
      <c r="DWN1">
        <f>Database!DXG1</f>
        <v>0</v>
      </c>
      <c r="DWO1">
        <f>Database!DXH1</f>
        <v>0</v>
      </c>
      <c r="DWP1">
        <f>Database!DXI1</f>
        <v>0</v>
      </c>
      <c r="DWQ1">
        <f>Database!DXJ1</f>
        <v>0</v>
      </c>
      <c r="DWR1">
        <f>Database!DXK1</f>
        <v>0</v>
      </c>
      <c r="DWS1">
        <f>Database!DXL1</f>
        <v>0</v>
      </c>
      <c r="DWT1">
        <f>Database!DXM1</f>
        <v>0</v>
      </c>
      <c r="DWU1">
        <f>Database!DXN1</f>
        <v>0</v>
      </c>
      <c r="DWV1">
        <f>Database!DXO1</f>
        <v>0</v>
      </c>
      <c r="DWW1">
        <f>Database!DXP1</f>
        <v>0</v>
      </c>
      <c r="DWX1">
        <f>Database!DXQ1</f>
        <v>0</v>
      </c>
      <c r="DWY1">
        <f>Database!DXR1</f>
        <v>0</v>
      </c>
      <c r="DWZ1">
        <f>Database!DXS1</f>
        <v>0</v>
      </c>
      <c r="DXA1">
        <f>Database!DXT1</f>
        <v>0</v>
      </c>
      <c r="DXB1">
        <f>Database!DXU1</f>
        <v>0</v>
      </c>
      <c r="DXC1">
        <f>Database!DXV1</f>
        <v>0</v>
      </c>
      <c r="DXD1">
        <f>Database!DXW1</f>
        <v>0</v>
      </c>
      <c r="DXE1">
        <f>Database!DXX1</f>
        <v>0</v>
      </c>
      <c r="DXF1">
        <f>Database!DXY1</f>
        <v>0</v>
      </c>
      <c r="DXG1">
        <f>Database!DXZ1</f>
        <v>0</v>
      </c>
      <c r="DXH1">
        <f>Database!DYA1</f>
        <v>0</v>
      </c>
      <c r="DXI1">
        <f>Database!DYB1</f>
        <v>0</v>
      </c>
      <c r="DXJ1">
        <f>Database!DYC1</f>
        <v>0</v>
      </c>
      <c r="DXK1">
        <f>Database!DYD1</f>
        <v>0</v>
      </c>
      <c r="DXL1">
        <f>Database!DYE1</f>
        <v>0</v>
      </c>
      <c r="DXM1">
        <f>Database!DYF1</f>
        <v>0</v>
      </c>
      <c r="DXN1">
        <f>Database!DYG1</f>
        <v>0</v>
      </c>
      <c r="DXO1">
        <f>Database!DYH1</f>
        <v>0</v>
      </c>
      <c r="DXP1">
        <f>Database!DYI1</f>
        <v>0</v>
      </c>
      <c r="DXQ1">
        <f>Database!DYJ1</f>
        <v>0</v>
      </c>
      <c r="DXR1">
        <f>Database!DYK1</f>
        <v>0</v>
      </c>
      <c r="DXS1">
        <f>Database!DYL1</f>
        <v>0</v>
      </c>
      <c r="DXT1">
        <f>Database!DYM1</f>
        <v>0</v>
      </c>
      <c r="DXU1">
        <f>Database!DYN1</f>
        <v>0</v>
      </c>
      <c r="DXV1">
        <f>Database!DYO1</f>
        <v>0</v>
      </c>
      <c r="DXW1">
        <f>Database!DYP1</f>
        <v>0</v>
      </c>
      <c r="DXX1">
        <f>Database!DYQ1</f>
        <v>0</v>
      </c>
      <c r="DXY1">
        <f>Database!DYR1</f>
        <v>0</v>
      </c>
      <c r="DXZ1">
        <f>Database!DYS1</f>
        <v>0</v>
      </c>
      <c r="DYA1">
        <f>Database!DYT1</f>
        <v>0</v>
      </c>
      <c r="DYB1">
        <f>Database!DYU1</f>
        <v>0</v>
      </c>
      <c r="DYC1">
        <f>Database!DYV1</f>
        <v>0</v>
      </c>
      <c r="DYD1">
        <f>Database!DYW1</f>
        <v>0</v>
      </c>
      <c r="DYE1">
        <f>Database!DYX1</f>
        <v>0</v>
      </c>
      <c r="DYF1">
        <f>Database!DYY1</f>
        <v>0</v>
      </c>
      <c r="DYG1">
        <f>Database!DYZ1</f>
        <v>0</v>
      </c>
      <c r="DYH1">
        <f>Database!DZA1</f>
        <v>0</v>
      </c>
      <c r="DYI1">
        <f>Database!DZB1</f>
        <v>0</v>
      </c>
      <c r="DYJ1">
        <f>Database!DZC1</f>
        <v>0</v>
      </c>
      <c r="DYK1">
        <f>Database!DZD1</f>
        <v>0</v>
      </c>
      <c r="DYL1">
        <f>Database!DZE1</f>
        <v>0</v>
      </c>
      <c r="DYM1">
        <f>Database!DZF1</f>
        <v>0</v>
      </c>
      <c r="DYN1">
        <f>Database!DZG1</f>
        <v>0</v>
      </c>
      <c r="DYO1">
        <f>Database!DZH1</f>
        <v>0</v>
      </c>
      <c r="DYP1">
        <f>Database!DZI1</f>
        <v>0</v>
      </c>
      <c r="DYQ1">
        <f>Database!DZJ1</f>
        <v>0</v>
      </c>
      <c r="DYR1">
        <f>Database!DZK1</f>
        <v>0</v>
      </c>
      <c r="DYS1">
        <f>Database!DZL1</f>
        <v>0</v>
      </c>
      <c r="DYT1">
        <f>Database!DZM1</f>
        <v>0</v>
      </c>
      <c r="DYU1">
        <f>Database!DZN1</f>
        <v>0</v>
      </c>
      <c r="DYV1">
        <f>Database!DZO1</f>
        <v>0</v>
      </c>
      <c r="DYW1">
        <f>Database!DZP1</f>
        <v>0</v>
      </c>
      <c r="DYX1">
        <f>Database!DZQ1</f>
        <v>0</v>
      </c>
      <c r="DYY1">
        <f>Database!DZR1</f>
        <v>0</v>
      </c>
      <c r="DYZ1">
        <f>Database!DZS1</f>
        <v>0</v>
      </c>
      <c r="DZA1">
        <f>Database!DZT1</f>
        <v>0</v>
      </c>
      <c r="DZB1">
        <f>Database!DZU1</f>
        <v>0</v>
      </c>
      <c r="DZC1">
        <f>Database!DZV1</f>
        <v>0</v>
      </c>
      <c r="DZD1">
        <f>Database!DZW1</f>
        <v>0</v>
      </c>
      <c r="DZE1">
        <f>Database!DZX1</f>
        <v>0</v>
      </c>
      <c r="DZF1">
        <f>Database!DZY1</f>
        <v>0</v>
      </c>
      <c r="DZG1">
        <f>Database!DZZ1</f>
        <v>0</v>
      </c>
      <c r="DZH1">
        <f>Database!EAA1</f>
        <v>0</v>
      </c>
      <c r="DZI1">
        <f>Database!EAB1</f>
        <v>0</v>
      </c>
      <c r="DZJ1">
        <f>Database!EAC1</f>
        <v>0</v>
      </c>
      <c r="DZK1">
        <f>Database!EAD1</f>
        <v>0</v>
      </c>
      <c r="DZL1">
        <f>Database!EAE1</f>
        <v>0</v>
      </c>
      <c r="DZM1">
        <f>Database!EAF1</f>
        <v>0</v>
      </c>
      <c r="DZN1">
        <f>Database!EAG1</f>
        <v>0</v>
      </c>
      <c r="DZO1">
        <f>Database!EAH1</f>
        <v>0</v>
      </c>
      <c r="DZP1">
        <f>Database!EAI1</f>
        <v>0</v>
      </c>
      <c r="DZQ1">
        <f>Database!EAJ1</f>
        <v>0</v>
      </c>
      <c r="DZR1">
        <f>Database!EAK1</f>
        <v>0</v>
      </c>
      <c r="DZS1">
        <f>Database!EAL1</f>
        <v>0</v>
      </c>
      <c r="DZT1">
        <f>Database!EAM1</f>
        <v>0</v>
      </c>
      <c r="DZU1">
        <f>Database!EAN1</f>
        <v>0</v>
      </c>
      <c r="DZV1">
        <f>Database!EAO1</f>
        <v>0</v>
      </c>
      <c r="DZW1">
        <f>Database!EAP1</f>
        <v>0</v>
      </c>
      <c r="DZX1">
        <f>Database!EAQ1</f>
        <v>0</v>
      </c>
      <c r="DZY1">
        <f>Database!EAR1</f>
        <v>0</v>
      </c>
      <c r="DZZ1">
        <f>Database!EAS1</f>
        <v>0</v>
      </c>
      <c r="EAA1">
        <f>Database!EAT1</f>
        <v>0</v>
      </c>
      <c r="EAB1">
        <f>Database!EAU1</f>
        <v>0</v>
      </c>
      <c r="EAC1">
        <f>Database!EAV1</f>
        <v>0</v>
      </c>
      <c r="EAD1">
        <f>Database!EAW1</f>
        <v>0</v>
      </c>
      <c r="EAE1">
        <f>Database!EAX1</f>
        <v>0</v>
      </c>
      <c r="EAF1">
        <f>Database!EAY1</f>
        <v>0</v>
      </c>
      <c r="EAG1">
        <f>Database!EAZ1</f>
        <v>0</v>
      </c>
      <c r="EAH1">
        <f>Database!EBA1</f>
        <v>0</v>
      </c>
      <c r="EAI1">
        <f>Database!EBB1</f>
        <v>0</v>
      </c>
      <c r="EAJ1">
        <f>Database!EBC1</f>
        <v>0</v>
      </c>
      <c r="EAK1">
        <f>Database!EBD1</f>
        <v>0</v>
      </c>
      <c r="EAL1">
        <f>Database!EBE1</f>
        <v>0</v>
      </c>
      <c r="EAM1">
        <f>Database!EBF1</f>
        <v>0</v>
      </c>
      <c r="EAN1">
        <f>Database!EBG1</f>
        <v>0</v>
      </c>
      <c r="EAO1">
        <f>Database!EBH1</f>
        <v>0</v>
      </c>
      <c r="EAP1">
        <f>Database!EBI1</f>
        <v>0</v>
      </c>
      <c r="EAQ1">
        <f>Database!EBJ1</f>
        <v>0</v>
      </c>
      <c r="EAR1">
        <f>Database!EBK1</f>
        <v>0</v>
      </c>
      <c r="EAS1">
        <f>Database!EBL1</f>
        <v>0</v>
      </c>
      <c r="EAT1">
        <f>Database!EBM1</f>
        <v>0</v>
      </c>
      <c r="EAU1">
        <f>Database!EBN1</f>
        <v>0</v>
      </c>
      <c r="EAV1">
        <f>Database!EBO1</f>
        <v>0</v>
      </c>
      <c r="EAW1">
        <f>Database!EBP1</f>
        <v>0</v>
      </c>
      <c r="EAX1">
        <f>Database!EBQ1</f>
        <v>0</v>
      </c>
      <c r="EAY1">
        <f>Database!EBR1</f>
        <v>0</v>
      </c>
      <c r="EAZ1">
        <f>Database!EBS1</f>
        <v>0</v>
      </c>
      <c r="EBA1">
        <f>Database!EBT1</f>
        <v>0</v>
      </c>
      <c r="EBB1">
        <f>Database!EBU1</f>
        <v>0</v>
      </c>
      <c r="EBC1">
        <f>Database!EBV1</f>
        <v>0</v>
      </c>
      <c r="EBD1">
        <f>Database!EBW1</f>
        <v>0</v>
      </c>
      <c r="EBE1">
        <f>Database!EBX1</f>
        <v>0</v>
      </c>
      <c r="EBF1">
        <f>Database!EBY1</f>
        <v>0</v>
      </c>
      <c r="EBG1">
        <f>Database!EBZ1</f>
        <v>0</v>
      </c>
      <c r="EBH1">
        <f>Database!ECA1</f>
        <v>0</v>
      </c>
      <c r="EBI1">
        <f>Database!ECB1</f>
        <v>0</v>
      </c>
      <c r="EBJ1">
        <f>Database!ECC1</f>
        <v>0</v>
      </c>
      <c r="EBK1">
        <f>Database!ECD1</f>
        <v>0</v>
      </c>
      <c r="EBL1">
        <f>Database!ECE1</f>
        <v>0</v>
      </c>
      <c r="EBM1">
        <f>Database!ECF1</f>
        <v>0</v>
      </c>
      <c r="EBN1">
        <f>Database!ECG1</f>
        <v>0</v>
      </c>
      <c r="EBO1">
        <f>Database!ECH1</f>
        <v>0</v>
      </c>
      <c r="EBP1">
        <f>Database!ECI1</f>
        <v>0</v>
      </c>
      <c r="EBQ1">
        <f>Database!ECJ1</f>
        <v>0</v>
      </c>
      <c r="EBR1">
        <f>Database!ECK1</f>
        <v>0</v>
      </c>
      <c r="EBS1">
        <f>Database!ECL1</f>
        <v>0</v>
      </c>
      <c r="EBT1">
        <f>Database!ECM1</f>
        <v>0</v>
      </c>
      <c r="EBU1">
        <f>Database!ECN1</f>
        <v>0</v>
      </c>
      <c r="EBV1">
        <f>Database!ECO1</f>
        <v>0</v>
      </c>
      <c r="EBW1">
        <f>Database!ECP1</f>
        <v>0</v>
      </c>
      <c r="EBX1">
        <f>Database!ECQ1</f>
        <v>0</v>
      </c>
      <c r="EBY1">
        <f>Database!ECR1</f>
        <v>0</v>
      </c>
      <c r="EBZ1">
        <f>Database!ECS1</f>
        <v>0</v>
      </c>
      <c r="ECA1">
        <f>Database!ECT1</f>
        <v>0</v>
      </c>
      <c r="ECB1">
        <f>Database!ECU1</f>
        <v>0</v>
      </c>
      <c r="ECC1">
        <f>Database!ECV1</f>
        <v>0</v>
      </c>
      <c r="ECD1">
        <f>Database!ECW1</f>
        <v>0</v>
      </c>
      <c r="ECE1">
        <f>Database!ECX1</f>
        <v>0</v>
      </c>
      <c r="ECF1">
        <f>Database!ECY1</f>
        <v>0</v>
      </c>
      <c r="ECG1">
        <f>Database!ECZ1</f>
        <v>0</v>
      </c>
      <c r="ECH1">
        <f>Database!EDA1</f>
        <v>0</v>
      </c>
      <c r="ECI1">
        <f>Database!EDB1</f>
        <v>0</v>
      </c>
      <c r="ECJ1">
        <f>Database!EDC1</f>
        <v>0</v>
      </c>
      <c r="ECK1">
        <f>Database!EDD1</f>
        <v>0</v>
      </c>
      <c r="ECL1">
        <f>Database!EDE1</f>
        <v>0</v>
      </c>
      <c r="ECM1">
        <f>Database!EDF1</f>
        <v>0</v>
      </c>
      <c r="ECN1">
        <f>Database!EDG1</f>
        <v>0</v>
      </c>
      <c r="ECO1">
        <f>Database!EDH1</f>
        <v>0</v>
      </c>
      <c r="ECP1">
        <f>Database!EDI1</f>
        <v>0</v>
      </c>
      <c r="ECQ1">
        <f>Database!EDJ1</f>
        <v>0</v>
      </c>
      <c r="ECR1">
        <f>Database!EDK1</f>
        <v>0</v>
      </c>
      <c r="ECS1">
        <f>Database!EDL1</f>
        <v>0</v>
      </c>
      <c r="ECT1">
        <f>Database!EDM1</f>
        <v>0</v>
      </c>
      <c r="ECU1">
        <f>Database!EDN1</f>
        <v>0</v>
      </c>
      <c r="ECV1">
        <f>Database!EDO1</f>
        <v>0</v>
      </c>
      <c r="ECW1">
        <f>Database!EDP1</f>
        <v>0</v>
      </c>
      <c r="ECX1">
        <f>Database!EDQ1</f>
        <v>0</v>
      </c>
      <c r="ECY1">
        <f>Database!EDR1</f>
        <v>0</v>
      </c>
      <c r="ECZ1">
        <f>Database!EDS1</f>
        <v>0</v>
      </c>
      <c r="EDA1">
        <f>Database!EDT1</f>
        <v>0</v>
      </c>
      <c r="EDB1">
        <f>Database!EDU1</f>
        <v>0</v>
      </c>
      <c r="EDC1">
        <f>Database!EDV1</f>
        <v>0</v>
      </c>
      <c r="EDD1">
        <f>Database!EDW1</f>
        <v>0</v>
      </c>
      <c r="EDE1">
        <f>Database!EDX1</f>
        <v>0</v>
      </c>
      <c r="EDF1">
        <f>Database!EDY1</f>
        <v>0</v>
      </c>
      <c r="EDG1">
        <f>Database!EDZ1</f>
        <v>0</v>
      </c>
      <c r="EDH1">
        <f>Database!EEA1</f>
        <v>0</v>
      </c>
      <c r="EDI1">
        <f>Database!EEB1</f>
        <v>0</v>
      </c>
      <c r="EDJ1">
        <f>Database!EEC1</f>
        <v>0</v>
      </c>
      <c r="EDK1">
        <f>Database!EED1</f>
        <v>0</v>
      </c>
      <c r="EDL1">
        <f>Database!EEE1</f>
        <v>0</v>
      </c>
      <c r="EDM1">
        <f>Database!EEF1</f>
        <v>0</v>
      </c>
      <c r="EDN1">
        <f>Database!EEG1</f>
        <v>0</v>
      </c>
      <c r="EDO1">
        <f>Database!EEH1</f>
        <v>0</v>
      </c>
      <c r="EDP1">
        <f>Database!EEI1</f>
        <v>0</v>
      </c>
      <c r="EDQ1">
        <f>Database!EEJ1</f>
        <v>0</v>
      </c>
      <c r="EDR1">
        <f>Database!EEK1</f>
        <v>0</v>
      </c>
      <c r="EDS1">
        <f>Database!EEL1</f>
        <v>0</v>
      </c>
      <c r="EDT1">
        <f>Database!EEM1</f>
        <v>0</v>
      </c>
      <c r="EDU1">
        <f>Database!EEN1</f>
        <v>0</v>
      </c>
      <c r="EDV1">
        <f>Database!EEO1</f>
        <v>0</v>
      </c>
      <c r="EDW1">
        <f>Database!EEP1</f>
        <v>0</v>
      </c>
      <c r="EDX1">
        <f>Database!EEQ1</f>
        <v>0</v>
      </c>
      <c r="EDY1">
        <f>Database!EER1</f>
        <v>0</v>
      </c>
      <c r="EDZ1">
        <f>Database!EES1</f>
        <v>0</v>
      </c>
      <c r="EEA1">
        <f>Database!EET1</f>
        <v>0</v>
      </c>
      <c r="EEB1">
        <f>Database!EEU1</f>
        <v>0</v>
      </c>
      <c r="EEC1">
        <f>Database!EEV1</f>
        <v>0</v>
      </c>
      <c r="EED1">
        <f>Database!EEW1</f>
        <v>0</v>
      </c>
      <c r="EEE1">
        <f>Database!EEX1</f>
        <v>0</v>
      </c>
      <c r="EEF1">
        <f>Database!EEY1</f>
        <v>0</v>
      </c>
      <c r="EEG1">
        <f>Database!EEZ1</f>
        <v>0</v>
      </c>
      <c r="EEH1">
        <f>Database!EFA1</f>
        <v>0</v>
      </c>
      <c r="EEI1">
        <f>Database!EFB1</f>
        <v>0</v>
      </c>
      <c r="EEJ1">
        <f>Database!EFC1</f>
        <v>0</v>
      </c>
      <c r="EEK1">
        <f>Database!EFD1</f>
        <v>0</v>
      </c>
      <c r="EEL1">
        <f>Database!EFE1</f>
        <v>0</v>
      </c>
      <c r="EEM1">
        <f>Database!EFF1</f>
        <v>0</v>
      </c>
      <c r="EEN1">
        <f>Database!EFG1</f>
        <v>0</v>
      </c>
      <c r="EEO1">
        <f>Database!EFH1</f>
        <v>0</v>
      </c>
      <c r="EEP1">
        <f>Database!EFI1</f>
        <v>0</v>
      </c>
      <c r="EEQ1">
        <f>Database!EFJ1</f>
        <v>0</v>
      </c>
      <c r="EER1">
        <f>Database!EFK1</f>
        <v>0</v>
      </c>
      <c r="EES1">
        <f>Database!EFL1</f>
        <v>0</v>
      </c>
      <c r="EET1">
        <f>Database!EFM1</f>
        <v>0</v>
      </c>
      <c r="EEU1">
        <f>Database!EFN1</f>
        <v>0</v>
      </c>
      <c r="EEV1">
        <f>Database!EFO1</f>
        <v>0</v>
      </c>
      <c r="EEW1">
        <f>Database!EFP1</f>
        <v>0</v>
      </c>
      <c r="EEX1">
        <f>Database!EFQ1</f>
        <v>0</v>
      </c>
      <c r="EEY1">
        <f>Database!EFR1</f>
        <v>0</v>
      </c>
      <c r="EEZ1">
        <f>Database!EFS1</f>
        <v>0</v>
      </c>
      <c r="EFA1">
        <f>Database!EFT1</f>
        <v>0</v>
      </c>
      <c r="EFB1">
        <f>Database!EFU1</f>
        <v>0</v>
      </c>
      <c r="EFC1">
        <f>Database!EFV1</f>
        <v>0</v>
      </c>
      <c r="EFD1">
        <f>Database!EFW1</f>
        <v>0</v>
      </c>
      <c r="EFE1">
        <f>Database!EFX1</f>
        <v>0</v>
      </c>
      <c r="EFF1">
        <f>Database!EFY1</f>
        <v>0</v>
      </c>
      <c r="EFG1">
        <f>Database!EFZ1</f>
        <v>0</v>
      </c>
      <c r="EFH1">
        <f>Database!EGA1</f>
        <v>0</v>
      </c>
      <c r="EFI1">
        <f>Database!EGB1</f>
        <v>0</v>
      </c>
      <c r="EFJ1">
        <f>Database!EGC1</f>
        <v>0</v>
      </c>
      <c r="EFK1">
        <f>Database!EGD1</f>
        <v>0</v>
      </c>
      <c r="EFL1">
        <f>Database!EGE1</f>
        <v>0</v>
      </c>
      <c r="EFM1">
        <f>Database!EGF1</f>
        <v>0</v>
      </c>
      <c r="EFN1">
        <f>Database!EGG1</f>
        <v>0</v>
      </c>
      <c r="EFO1">
        <f>Database!EGH1</f>
        <v>0</v>
      </c>
      <c r="EFP1">
        <f>Database!EGI1</f>
        <v>0</v>
      </c>
      <c r="EFQ1">
        <f>Database!EGJ1</f>
        <v>0</v>
      </c>
      <c r="EFR1">
        <f>Database!EGK1</f>
        <v>0</v>
      </c>
      <c r="EFS1">
        <f>Database!EGL1</f>
        <v>0</v>
      </c>
      <c r="EFT1">
        <f>Database!EGM1</f>
        <v>0</v>
      </c>
      <c r="EFU1">
        <f>Database!EGN1</f>
        <v>0</v>
      </c>
      <c r="EFV1">
        <f>Database!EGO1</f>
        <v>0</v>
      </c>
      <c r="EFW1">
        <f>Database!EGP1</f>
        <v>0</v>
      </c>
      <c r="EFX1">
        <f>Database!EGQ1</f>
        <v>0</v>
      </c>
      <c r="EFY1">
        <f>Database!EGR1</f>
        <v>0</v>
      </c>
      <c r="EFZ1">
        <f>Database!EGS1</f>
        <v>0</v>
      </c>
      <c r="EGA1">
        <f>Database!EGT1</f>
        <v>0</v>
      </c>
      <c r="EGB1">
        <f>Database!EGU1</f>
        <v>0</v>
      </c>
      <c r="EGC1">
        <f>Database!EGV1</f>
        <v>0</v>
      </c>
      <c r="EGD1">
        <f>Database!EGW1</f>
        <v>0</v>
      </c>
      <c r="EGE1">
        <f>Database!EGX1</f>
        <v>0</v>
      </c>
      <c r="EGF1">
        <f>Database!EGY1</f>
        <v>0</v>
      </c>
      <c r="EGG1">
        <f>Database!EGZ1</f>
        <v>0</v>
      </c>
      <c r="EGH1">
        <f>Database!EHA1</f>
        <v>0</v>
      </c>
      <c r="EGI1">
        <f>Database!EHB1</f>
        <v>0</v>
      </c>
      <c r="EGJ1">
        <f>Database!EHC1</f>
        <v>0</v>
      </c>
      <c r="EGK1">
        <f>Database!EHD1</f>
        <v>0</v>
      </c>
      <c r="EGL1">
        <f>Database!EHE1</f>
        <v>0</v>
      </c>
      <c r="EGM1">
        <f>Database!EHF1</f>
        <v>0</v>
      </c>
      <c r="EGN1">
        <f>Database!EHG1</f>
        <v>0</v>
      </c>
      <c r="EGO1">
        <f>Database!EHH1</f>
        <v>0</v>
      </c>
      <c r="EGP1">
        <f>Database!EHI1</f>
        <v>0</v>
      </c>
      <c r="EGQ1">
        <f>Database!EHJ1</f>
        <v>0</v>
      </c>
      <c r="EGR1">
        <f>Database!EHK1</f>
        <v>0</v>
      </c>
      <c r="EGS1">
        <f>Database!EHL1</f>
        <v>0</v>
      </c>
      <c r="EGT1">
        <f>Database!EHM1</f>
        <v>0</v>
      </c>
      <c r="EGU1">
        <f>Database!EHN1</f>
        <v>0</v>
      </c>
      <c r="EGV1">
        <f>Database!EHO1</f>
        <v>0</v>
      </c>
      <c r="EGW1">
        <f>Database!EHP1</f>
        <v>0</v>
      </c>
      <c r="EGX1">
        <f>Database!EHQ1</f>
        <v>0</v>
      </c>
      <c r="EGY1">
        <f>Database!EHR1</f>
        <v>0</v>
      </c>
      <c r="EGZ1">
        <f>Database!EHS1</f>
        <v>0</v>
      </c>
      <c r="EHA1">
        <f>Database!EHT1</f>
        <v>0</v>
      </c>
      <c r="EHB1">
        <f>Database!EHU1</f>
        <v>0</v>
      </c>
      <c r="EHC1">
        <f>Database!EHV1</f>
        <v>0</v>
      </c>
      <c r="EHD1">
        <f>Database!EHW1</f>
        <v>0</v>
      </c>
      <c r="EHE1">
        <f>Database!EHX1</f>
        <v>0</v>
      </c>
      <c r="EHF1">
        <f>Database!EHY1</f>
        <v>0</v>
      </c>
      <c r="EHG1">
        <f>Database!EHZ1</f>
        <v>0</v>
      </c>
      <c r="EHH1">
        <f>Database!EIA1</f>
        <v>0</v>
      </c>
      <c r="EHI1">
        <f>Database!EIB1</f>
        <v>0</v>
      </c>
      <c r="EHJ1">
        <f>Database!EIC1</f>
        <v>0</v>
      </c>
      <c r="EHK1">
        <f>Database!EID1</f>
        <v>0</v>
      </c>
      <c r="EHL1">
        <f>Database!EIE1</f>
        <v>0</v>
      </c>
      <c r="EHM1">
        <f>Database!EIF1</f>
        <v>0</v>
      </c>
      <c r="EHN1">
        <f>Database!EIG1</f>
        <v>0</v>
      </c>
      <c r="EHO1">
        <f>Database!EIH1</f>
        <v>0</v>
      </c>
      <c r="EHP1">
        <f>Database!EII1</f>
        <v>0</v>
      </c>
      <c r="EHQ1">
        <f>Database!EIJ1</f>
        <v>0</v>
      </c>
      <c r="EHR1">
        <f>Database!EIK1</f>
        <v>0</v>
      </c>
      <c r="EHS1">
        <f>Database!EIL1</f>
        <v>0</v>
      </c>
      <c r="EHT1">
        <f>Database!EIM1</f>
        <v>0</v>
      </c>
      <c r="EHU1">
        <f>Database!EIN1</f>
        <v>0</v>
      </c>
      <c r="EHV1">
        <f>Database!EIO1</f>
        <v>0</v>
      </c>
      <c r="EHW1">
        <f>Database!EIP1</f>
        <v>0</v>
      </c>
      <c r="EHX1">
        <f>Database!EIQ1</f>
        <v>0</v>
      </c>
      <c r="EHY1">
        <f>Database!EIR1</f>
        <v>0</v>
      </c>
      <c r="EHZ1">
        <f>Database!EIS1</f>
        <v>0</v>
      </c>
      <c r="EIA1">
        <f>Database!EIT1</f>
        <v>0</v>
      </c>
      <c r="EIB1">
        <f>Database!EIU1</f>
        <v>0</v>
      </c>
      <c r="EIC1">
        <f>Database!EIV1</f>
        <v>0</v>
      </c>
      <c r="EID1">
        <f>Database!EIW1</f>
        <v>0</v>
      </c>
      <c r="EIE1">
        <f>Database!EIX1</f>
        <v>0</v>
      </c>
      <c r="EIF1">
        <f>Database!EIY1</f>
        <v>0</v>
      </c>
      <c r="EIG1">
        <f>Database!EIZ1</f>
        <v>0</v>
      </c>
      <c r="EIH1">
        <f>Database!EJA1</f>
        <v>0</v>
      </c>
      <c r="EII1">
        <f>Database!EJB1</f>
        <v>0</v>
      </c>
      <c r="EIJ1">
        <f>Database!EJC1</f>
        <v>0</v>
      </c>
      <c r="EIK1">
        <f>Database!EJD1</f>
        <v>0</v>
      </c>
      <c r="EIL1">
        <f>Database!EJE1</f>
        <v>0</v>
      </c>
      <c r="EIM1">
        <f>Database!EJF1</f>
        <v>0</v>
      </c>
      <c r="EIN1">
        <f>Database!EJG1</f>
        <v>0</v>
      </c>
      <c r="EIO1">
        <f>Database!EJH1</f>
        <v>0</v>
      </c>
      <c r="EIP1">
        <f>Database!EJI1</f>
        <v>0</v>
      </c>
      <c r="EIQ1">
        <f>Database!EJJ1</f>
        <v>0</v>
      </c>
      <c r="EIR1">
        <f>Database!EJK1</f>
        <v>0</v>
      </c>
      <c r="EIS1">
        <f>Database!EJL1</f>
        <v>0</v>
      </c>
      <c r="EIT1">
        <f>Database!EJM1</f>
        <v>0</v>
      </c>
      <c r="EIU1">
        <f>Database!EJN1</f>
        <v>0</v>
      </c>
      <c r="EIV1">
        <f>Database!EJO1</f>
        <v>0</v>
      </c>
      <c r="EIW1">
        <f>Database!EJP1</f>
        <v>0</v>
      </c>
      <c r="EIX1">
        <f>Database!EJQ1</f>
        <v>0</v>
      </c>
      <c r="EIY1">
        <f>Database!EJR1</f>
        <v>0</v>
      </c>
      <c r="EIZ1">
        <f>Database!EJS1</f>
        <v>0</v>
      </c>
      <c r="EJA1">
        <f>Database!EJT1</f>
        <v>0</v>
      </c>
      <c r="EJB1">
        <f>Database!EJU1</f>
        <v>0</v>
      </c>
      <c r="EJC1">
        <f>Database!EJV1</f>
        <v>0</v>
      </c>
      <c r="EJD1">
        <f>Database!EJW1</f>
        <v>0</v>
      </c>
      <c r="EJE1">
        <f>Database!EJX1</f>
        <v>0</v>
      </c>
      <c r="EJF1">
        <f>Database!EJY1</f>
        <v>0</v>
      </c>
      <c r="EJG1">
        <f>Database!EJZ1</f>
        <v>0</v>
      </c>
      <c r="EJH1">
        <f>Database!EKA1</f>
        <v>0</v>
      </c>
      <c r="EJI1">
        <f>Database!EKB1</f>
        <v>0</v>
      </c>
      <c r="EJJ1">
        <f>Database!EKC1</f>
        <v>0</v>
      </c>
      <c r="EJK1">
        <f>Database!EKD1</f>
        <v>0</v>
      </c>
      <c r="EJL1">
        <f>Database!EKE1</f>
        <v>0</v>
      </c>
      <c r="EJM1">
        <f>Database!EKF1</f>
        <v>0</v>
      </c>
      <c r="EJN1">
        <f>Database!EKG1</f>
        <v>0</v>
      </c>
      <c r="EJO1">
        <f>Database!EKH1</f>
        <v>0</v>
      </c>
      <c r="EJP1">
        <f>Database!EKI1</f>
        <v>0</v>
      </c>
      <c r="EJQ1">
        <f>Database!EKJ1</f>
        <v>0</v>
      </c>
      <c r="EJR1">
        <f>Database!EKK1</f>
        <v>0</v>
      </c>
      <c r="EJS1">
        <f>Database!EKL1</f>
        <v>0</v>
      </c>
      <c r="EJT1">
        <f>Database!EKM1</f>
        <v>0</v>
      </c>
      <c r="EJU1">
        <f>Database!EKN1</f>
        <v>0</v>
      </c>
      <c r="EJV1">
        <f>Database!EKO1</f>
        <v>0</v>
      </c>
      <c r="EJW1">
        <f>Database!EKP1</f>
        <v>0</v>
      </c>
      <c r="EJX1">
        <f>Database!EKQ1</f>
        <v>0</v>
      </c>
      <c r="EJY1">
        <f>Database!EKR1</f>
        <v>0</v>
      </c>
      <c r="EJZ1">
        <f>Database!EKS1</f>
        <v>0</v>
      </c>
      <c r="EKA1">
        <f>Database!EKT1</f>
        <v>0</v>
      </c>
      <c r="EKB1">
        <f>Database!EKU1</f>
        <v>0</v>
      </c>
      <c r="EKC1">
        <f>Database!EKV1</f>
        <v>0</v>
      </c>
      <c r="EKD1">
        <f>Database!EKW1</f>
        <v>0</v>
      </c>
      <c r="EKE1">
        <f>Database!EKX1</f>
        <v>0</v>
      </c>
      <c r="EKF1">
        <f>Database!EKY1</f>
        <v>0</v>
      </c>
      <c r="EKG1">
        <f>Database!EKZ1</f>
        <v>0</v>
      </c>
      <c r="EKH1">
        <f>Database!ELA1</f>
        <v>0</v>
      </c>
      <c r="EKI1">
        <f>Database!ELB1</f>
        <v>0</v>
      </c>
      <c r="EKJ1">
        <f>Database!ELC1</f>
        <v>0</v>
      </c>
      <c r="EKK1">
        <f>Database!ELD1</f>
        <v>0</v>
      </c>
      <c r="EKL1">
        <f>Database!ELE1</f>
        <v>0</v>
      </c>
      <c r="EKM1">
        <f>Database!ELF1</f>
        <v>0</v>
      </c>
      <c r="EKN1">
        <f>Database!ELG1</f>
        <v>0</v>
      </c>
      <c r="EKO1">
        <f>Database!ELH1</f>
        <v>0</v>
      </c>
      <c r="EKP1">
        <f>Database!ELI1</f>
        <v>0</v>
      </c>
      <c r="EKQ1">
        <f>Database!ELJ1</f>
        <v>0</v>
      </c>
      <c r="EKR1">
        <f>Database!ELK1</f>
        <v>0</v>
      </c>
      <c r="EKS1">
        <f>Database!ELL1</f>
        <v>0</v>
      </c>
      <c r="EKT1">
        <f>Database!ELM1</f>
        <v>0</v>
      </c>
      <c r="EKU1">
        <f>Database!ELN1</f>
        <v>0</v>
      </c>
      <c r="EKV1">
        <f>Database!ELO1</f>
        <v>0</v>
      </c>
      <c r="EKW1">
        <f>Database!ELP1</f>
        <v>0</v>
      </c>
      <c r="EKX1">
        <f>Database!ELQ1</f>
        <v>0</v>
      </c>
      <c r="EKY1">
        <f>Database!ELR1</f>
        <v>0</v>
      </c>
      <c r="EKZ1">
        <f>Database!ELS1</f>
        <v>0</v>
      </c>
      <c r="ELA1">
        <f>Database!ELT1</f>
        <v>0</v>
      </c>
      <c r="ELB1">
        <f>Database!ELU1</f>
        <v>0</v>
      </c>
      <c r="ELC1">
        <f>Database!ELV1</f>
        <v>0</v>
      </c>
      <c r="ELD1">
        <f>Database!ELW1</f>
        <v>0</v>
      </c>
      <c r="ELE1">
        <f>Database!ELX1</f>
        <v>0</v>
      </c>
      <c r="ELF1">
        <f>Database!ELY1</f>
        <v>0</v>
      </c>
      <c r="ELG1">
        <f>Database!ELZ1</f>
        <v>0</v>
      </c>
      <c r="ELH1">
        <f>Database!EMA1</f>
        <v>0</v>
      </c>
      <c r="ELI1">
        <f>Database!EMB1</f>
        <v>0</v>
      </c>
      <c r="ELJ1">
        <f>Database!EMC1</f>
        <v>0</v>
      </c>
      <c r="ELK1">
        <f>Database!EMD1</f>
        <v>0</v>
      </c>
      <c r="ELL1">
        <f>Database!EME1</f>
        <v>0</v>
      </c>
      <c r="ELM1">
        <f>Database!EMF1</f>
        <v>0</v>
      </c>
      <c r="ELN1">
        <f>Database!EMG1</f>
        <v>0</v>
      </c>
      <c r="ELO1">
        <f>Database!EMH1</f>
        <v>0</v>
      </c>
      <c r="ELP1">
        <f>Database!EMI1</f>
        <v>0</v>
      </c>
      <c r="ELQ1">
        <f>Database!EMJ1</f>
        <v>0</v>
      </c>
      <c r="ELR1">
        <f>Database!EMK1</f>
        <v>0</v>
      </c>
      <c r="ELS1">
        <f>Database!EML1</f>
        <v>0</v>
      </c>
      <c r="ELT1">
        <f>Database!EMM1</f>
        <v>0</v>
      </c>
      <c r="ELU1">
        <f>Database!EMN1</f>
        <v>0</v>
      </c>
      <c r="ELV1">
        <f>Database!EMO1</f>
        <v>0</v>
      </c>
      <c r="ELW1">
        <f>Database!EMP1</f>
        <v>0</v>
      </c>
      <c r="ELX1">
        <f>Database!EMQ1</f>
        <v>0</v>
      </c>
      <c r="ELY1">
        <f>Database!EMR1</f>
        <v>0</v>
      </c>
      <c r="ELZ1">
        <f>Database!EMS1</f>
        <v>0</v>
      </c>
      <c r="EMA1">
        <f>Database!EMT1</f>
        <v>0</v>
      </c>
      <c r="EMB1">
        <f>Database!EMU1</f>
        <v>0</v>
      </c>
      <c r="EMC1">
        <f>Database!EMV1</f>
        <v>0</v>
      </c>
      <c r="EMD1">
        <f>Database!EMW1</f>
        <v>0</v>
      </c>
      <c r="EME1">
        <f>Database!EMX1</f>
        <v>0</v>
      </c>
      <c r="EMF1">
        <f>Database!EMY1</f>
        <v>0</v>
      </c>
      <c r="EMG1">
        <f>Database!EMZ1</f>
        <v>0</v>
      </c>
      <c r="EMH1">
        <f>Database!ENA1</f>
        <v>0</v>
      </c>
      <c r="EMI1">
        <f>Database!ENB1</f>
        <v>0</v>
      </c>
      <c r="EMJ1">
        <f>Database!ENC1</f>
        <v>0</v>
      </c>
      <c r="EMK1">
        <f>Database!END1</f>
        <v>0</v>
      </c>
      <c r="EML1">
        <f>Database!ENE1</f>
        <v>0</v>
      </c>
      <c r="EMM1">
        <f>Database!ENF1</f>
        <v>0</v>
      </c>
      <c r="EMN1">
        <f>Database!ENG1</f>
        <v>0</v>
      </c>
      <c r="EMO1">
        <f>Database!ENH1</f>
        <v>0</v>
      </c>
      <c r="EMP1">
        <f>Database!ENI1</f>
        <v>0</v>
      </c>
      <c r="EMQ1">
        <f>Database!ENJ1</f>
        <v>0</v>
      </c>
      <c r="EMR1">
        <f>Database!ENK1</f>
        <v>0</v>
      </c>
      <c r="EMS1">
        <f>Database!ENL1</f>
        <v>0</v>
      </c>
      <c r="EMT1">
        <f>Database!ENM1</f>
        <v>0</v>
      </c>
      <c r="EMU1">
        <f>Database!ENN1</f>
        <v>0</v>
      </c>
      <c r="EMV1">
        <f>Database!ENO1</f>
        <v>0</v>
      </c>
      <c r="EMW1">
        <f>Database!ENP1</f>
        <v>0</v>
      </c>
      <c r="EMX1">
        <f>Database!ENQ1</f>
        <v>0</v>
      </c>
      <c r="EMY1">
        <f>Database!ENR1</f>
        <v>0</v>
      </c>
      <c r="EMZ1">
        <f>Database!ENS1</f>
        <v>0</v>
      </c>
      <c r="ENA1">
        <f>Database!ENT1</f>
        <v>0</v>
      </c>
      <c r="ENB1">
        <f>Database!ENU1</f>
        <v>0</v>
      </c>
      <c r="ENC1">
        <f>Database!ENV1</f>
        <v>0</v>
      </c>
      <c r="END1">
        <f>Database!ENW1</f>
        <v>0</v>
      </c>
      <c r="ENE1">
        <f>Database!ENX1</f>
        <v>0</v>
      </c>
      <c r="ENF1">
        <f>Database!ENY1</f>
        <v>0</v>
      </c>
      <c r="ENG1">
        <f>Database!ENZ1</f>
        <v>0</v>
      </c>
      <c r="ENH1">
        <f>Database!EOA1</f>
        <v>0</v>
      </c>
      <c r="ENI1">
        <f>Database!EOB1</f>
        <v>0</v>
      </c>
      <c r="ENJ1">
        <f>Database!EOC1</f>
        <v>0</v>
      </c>
      <c r="ENK1">
        <f>Database!EOD1</f>
        <v>0</v>
      </c>
      <c r="ENL1">
        <f>Database!EOE1</f>
        <v>0</v>
      </c>
      <c r="ENM1">
        <f>Database!EOF1</f>
        <v>0</v>
      </c>
      <c r="ENN1">
        <f>Database!EOG1</f>
        <v>0</v>
      </c>
      <c r="ENO1">
        <f>Database!EOH1</f>
        <v>0</v>
      </c>
      <c r="ENP1">
        <f>Database!EOI1</f>
        <v>0</v>
      </c>
      <c r="ENQ1">
        <f>Database!EOJ1</f>
        <v>0</v>
      </c>
      <c r="ENR1">
        <f>Database!EOK1</f>
        <v>0</v>
      </c>
      <c r="ENS1">
        <f>Database!EOL1</f>
        <v>0</v>
      </c>
      <c r="ENT1">
        <f>Database!EOM1</f>
        <v>0</v>
      </c>
      <c r="ENU1">
        <f>Database!EON1</f>
        <v>0</v>
      </c>
      <c r="ENV1">
        <f>Database!EOO1</f>
        <v>0</v>
      </c>
      <c r="ENW1">
        <f>Database!EOP1</f>
        <v>0</v>
      </c>
      <c r="ENX1">
        <f>Database!EOQ1</f>
        <v>0</v>
      </c>
      <c r="ENY1">
        <f>Database!EOR1</f>
        <v>0</v>
      </c>
      <c r="ENZ1">
        <f>Database!EOS1</f>
        <v>0</v>
      </c>
      <c r="EOA1">
        <f>Database!EOT1</f>
        <v>0</v>
      </c>
      <c r="EOB1">
        <f>Database!EOU1</f>
        <v>0</v>
      </c>
      <c r="EOC1">
        <f>Database!EOV1</f>
        <v>0</v>
      </c>
      <c r="EOD1">
        <f>Database!EOW1</f>
        <v>0</v>
      </c>
      <c r="EOE1">
        <f>Database!EOX1</f>
        <v>0</v>
      </c>
      <c r="EOF1">
        <f>Database!EOY1</f>
        <v>0</v>
      </c>
      <c r="EOG1">
        <f>Database!EOZ1</f>
        <v>0</v>
      </c>
      <c r="EOH1">
        <f>Database!EPA1</f>
        <v>0</v>
      </c>
      <c r="EOI1">
        <f>Database!EPB1</f>
        <v>0</v>
      </c>
      <c r="EOJ1">
        <f>Database!EPC1</f>
        <v>0</v>
      </c>
      <c r="EOK1">
        <f>Database!EPD1</f>
        <v>0</v>
      </c>
      <c r="EOL1">
        <f>Database!EPE1</f>
        <v>0</v>
      </c>
      <c r="EOM1">
        <f>Database!EPF1</f>
        <v>0</v>
      </c>
      <c r="EON1">
        <f>Database!EPG1</f>
        <v>0</v>
      </c>
      <c r="EOO1">
        <f>Database!EPH1</f>
        <v>0</v>
      </c>
      <c r="EOP1">
        <f>Database!EPI1</f>
        <v>0</v>
      </c>
      <c r="EOQ1">
        <f>Database!EPJ1</f>
        <v>0</v>
      </c>
      <c r="EOR1">
        <f>Database!EPK1</f>
        <v>0</v>
      </c>
      <c r="EOS1">
        <f>Database!EPL1</f>
        <v>0</v>
      </c>
      <c r="EOT1">
        <f>Database!EPM1</f>
        <v>0</v>
      </c>
      <c r="EOU1">
        <f>Database!EPN1</f>
        <v>0</v>
      </c>
      <c r="EOV1">
        <f>Database!EPO1</f>
        <v>0</v>
      </c>
      <c r="EOW1">
        <f>Database!EPP1</f>
        <v>0</v>
      </c>
      <c r="EOX1">
        <f>Database!EPQ1</f>
        <v>0</v>
      </c>
      <c r="EOY1">
        <f>Database!EPR1</f>
        <v>0</v>
      </c>
      <c r="EOZ1">
        <f>Database!EPS1</f>
        <v>0</v>
      </c>
      <c r="EPA1">
        <f>Database!EPT1</f>
        <v>0</v>
      </c>
      <c r="EPB1">
        <f>Database!EPU1</f>
        <v>0</v>
      </c>
      <c r="EPC1">
        <f>Database!EPV1</f>
        <v>0</v>
      </c>
      <c r="EPD1">
        <f>Database!EPW1</f>
        <v>0</v>
      </c>
      <c r="EPE1">
        <f>Database!EPX1</f>
        <v>0</v>
      </c>
      <c r="EPF1">
        <f>Database!EPY1</f>
        <v>0</v>
      </c>
      <c r="EPG1">
        <f>Database!EPZ1</f>
        <v>0</v>
      </c>
      <c r="EPH1">
        <f>Database!EQA1</f>
        <v>0</v>
      </c>
      <c r="EPI1">
        <f>Database!EQB1</f>
        <v>0</v>
      </c>
      <c r="EPJ1">
        <f>Database!EQC1</f>
        <v>0</v>
      </c>
      <c r="EPK1">
        <f>Database!EQD1</f>
        <v>0</v>
      </c>
      <c r="EPL1">
        <f>Database!EQE1</f>
        <v>0</v>
      </c>
      <c r="EPM1">
        <f>Database!EQF1</f>
        <v>0</v>
      </c>
      <c r="EPN1">
        <f>Database!EQG1</f>
        <v>0</v>
      </c>
      <c r="EPO1">
        <f>Database!EQH1</f>
        <v>0</v>
      </c>
      <c r="EPP1">
        <f>Database!EQI1</f>
        <v>0</v>
      </c>
      <c r="EPQ1">
        <f>Database!EQJ1</f>
        <v>0</v>
      </c>
      <c r="EPR1">
        <f>Database!EQK1</f>
        <v>0</v>
      </c>
      <c r="EPS1">
        <f>Database!EQL1</f>
        <v>0</v>
      </c>
      <c r="EPT1">
        <f>Database!EQM1</f>
        <v>0</v>
      </c>
      <c r="EPU1">
        <f>Database!EQN1</f>
        <v>0</v>
      </c>
      <c r="EPV1">
        <f>Database!EQO1</f>
        <v>0</v>
      </c>
      <c r="EPW1">
        <f>Database!EQP1</f>
        <v>0</v>
      </c>
      <c r="EPX1">
        <f>Database!EQQ1</f>
        <v>0</v>
      </c>
      <c r="EPY1">
        <f>Database!EQR1</f>
        <v>0</v>
      </c>
      <c r="EPZ1">
        <f>Database!EQS1</f>
        <v>0</v>
      </c>
      <c r="EQA1">
        <f>Database!EQT1</f>
        <v>0</v>
      </c>
      <c r="EQB1">
        <f>Database!EQU1</f>
        <v>0</v>
      </c>
      <c r="EQC1">
        <f>Database!EQV1</f>
        <v>0</v>
      </c>
      <c r="EQD1">
        <f>Database!EQW1</f>
        <v>0</v>
      </c>
      <c r="EQE1">
        <f>Database!EQX1</f>
        <v>0</v>
      </c>
      <c r="EQF1">
        <f>Database!EQY1</f>
        <v>0</v>
      </c>
      <c r="EQG1">
        <f>Database!EQZ1</f>
        <v>0</v>
      </c>
      <c r="EQH1">
        <f>Database!ERA1</f>
        <v>0</v>
      </c>
      <c r="EQI1">
        <f>Database!ERB1</f>
        <v>0</v>
      </c>
      <c r="EQJ1">
        <f>Database!ERC1</f>
        <v>0</v>
      </c>
      <c r="EQK1">
        <f>Database!ERD1</f>
        <v>0</v>
      </c>
      <c r="EQL1">
        <f>Database!ERE1</f>
        <v>0</v>
      </c>
      <c r="EQM1">
        <f>Database!ERF1</f>
        <v>0</v>
      </c>
      <c r="EQN1">
        <f>Database!ERG1</f>
        <v>0</v>
      </c>
      <c r="EQO1">
        <f>Database!ERH1</f>
        <v>0</v>
      </c>
      <c r="EQP1">
        <f>Database!ERI1</f>
        <v>0</v>
      </c>
      <c r="EQQ1">
        <f>Database!ERJ1</f>
        <v>0</v>
      </c>
      <c r="EQR1">
        <f>Database!ERK1</f>
        <v>0</v>
      </c>
      <c r="EQS1">
        <f>Database!ERL1</f>
        <v>0</v>
      </c>
      <c r="EQT1">
        <f>Database!ERM1</f>
        <v>0</v>
      </c>
      <c r="EQU1">
        <f>Database!ERN1</f>
        <v>0</v>
      </c>
      <c r="EQV1">
        <f>Database!ERO1</f>
        <v>0</v>
      </c>
      <c r="EQW1">
        <f>Database!ERP1</f>
        <v>0</v>
      </c>
      <c r="EQX1">
        <f>Database!ERQ1</f>
        <v>0</v>
      </c>
      <c r="EQY1">
        <f>Database!ERR1</f>
        <v>0</v>
      </c>
      <c r="EQZ1">
        <f>Database!ERS1</f>
        <v>0</v>
      </c>
      <c r="ERA1">
        <f>Database!ERT1</f>
        <v>0</v>
      </c>
      <c r="ERB1">
        <f>Database!ERU1</f>
        <v>0</v>
      </c>
      <c r="ERC1">
        <f>Database!ERV1</f>
        <v>0</v>
      </c>
      <c r="ERD1">
        <f>Database!ERW1</f>
        <v>0</v>
      </c>
      <c r="ERE1">
        <f>Database!ERX1</f>
        <v>0</v>
      </c>
      <c r="ERF1">
        <f>Database!ERY1</f>
        <v>0</v>
      </c>
      <c r="ERG1">
        <f>Database!ERZ1</f>
        <v>0</v>
      </c>
      <c r="ERH1">
        <f>Database!ESA1</f>
        <v>0</v>
      </c>
      <c r="ERI1">
        <f>Database!ESB1</f>
        <v>0</v>
      </c>
      <c r="ERJ1">
        <f>Database!ESC1</f>
        <v>0</v>
      </c>
      <c r="ERK1">
        <f>Database!ESD1</f>
        <v>0</v>
      </c>
      <c r="ERL1">
        <f>Database!ESE1</f>
        <v>0</v>
      </c>
      <c r="ERM1">
        <f>Database!ESF1</f>
        <v>0</v>
      </c>
      <c r="ERN1">
        <f>Database!ESG1</f>
        <v>0</v>
      </c>
      <c r="ERO1">
        <f>Database!ESH1</f>
        <v>0</v>
      </c>
      <c r="ERP1">
        <f>Database!ESI1</f>
        <v>0</v>
      </c>
      <c r="ERQ1">
        <f>Database!ESJ1</f>
        <v>0</v>
      </c>
      <c r="ERR1">
        <f>Database!ESK1</f>
        <v>0</v>
      </c>
      <c r="ERS1">
        <f>Database!ESL1</f>
        <v>0</v>
      </c>
      <c r="ERT1">
        <f>Database!ESM1</f>
        <v>0</v>
      </c>
      <c r="ERU1">
        <f>Database!ESN1</f>
        <v>0</v>
      </c>
      <c r="ERV1">
        <f>Database!ESO1</f>
        <v>0</v>
      </c>
      <c r="ERW1">
        <f>Database!ESP1</f>
        <v>0</v>
      </c>
      <c r="ERX1">
        <f>Database!ESQ1</f>
        <v>0</v>
      </c>
      <c r="ERY1">
        <f>Database!ESR1</f>
        <v>0</v>
      </c>
      <c r="ERZ1">
        <f>Database!ESS1</f>
        <v>0</v>
      </c>
      <c r="ESA1">
        <f>Database!EST1</f>
        <v>0</v>
      </c>
      <c r="ESB1">
        <f>Database!ESU1</f>
        <v>0</v>
      </c>
      <c r="ESC1">
        <f>Database!ESV1</f>
        <v>0</v>
      </c>
      <c r="ESD1">
        <f>Database!ESW1</f>
        <v>0</v>
      </c>
      <c r="ESE1">
        <f>Database!ESX1</f>
        <v>0</v>
      </c>
      <c r="ESF1">
        <f>Database!ESY1</f>
        <v>0</v>
      </c>
      <c r="ESG1">
        <f>Database!ESZ1</f>
        <v>0</v>
      </c>
      <c r="ESH1">
        <f>Database!ETA1</f>
        <v>0</v>
      </c>
      <c r="ESI1">
        <f>Database!ETB1</f>
        <v>0</v>
      </c>
      <c r="ESJ1">
        <f>Database!ETC1</f>
        <v>0</v>
      </c>
      <c r="ESK1">
        <f>Database!ETD1</f>
        <v>0</v>
      </c>
      <c r="ESL1">
        <f>Database!ETE1</f>
        <v>0</v>
      </c>
      <c r="ESM1">
        <f>Database!ETF1</f>
        <v>0</v>
      </c>
      <c r="ESN1">
        <f>Database!ETG1</f>
        <v>0</v>
      </c>
      <c r="ESO1">
        <f>Database!ETH1</f>
        <v>0</v>
      </c>
      <c r="ESP1">
        <f>Database!ETI1</f>
        <v>0</v>
      </c>
      <c r="ESQ1">
        <f>Database!ETJ1</f>
        <v>0</v>
      </c>
      <c r="ESR1">
        <f>Database!ETK1</f>
        <v>0</v>
      </c>
      <c r="ESS1">
        <f>Database!ETL1</f>
        <v>0</v>
      </c>
      <c r="EST1">
        <f>Database!ETM1</f>
        <v>0</v>
      </c>
      <c r="ESU1">
        <f>Database!ETN1</f>
        <v>0</v>
      </c>
      <c r="ESV1">
        <f>Database!ETO1</f>
        <v>0</v>
      </c>
      <c r="ESW1">
        <f>Database!ETP1</f>
        <v>0</v>
      </c>
      <c r="ESX1">
        <f>Database!ETQ1</f>
        <v>0</v>
      </c>
      <c r="ESY1">
        <f>Database!ETR1</f>
        <v>0</v>
      </c>
      <c r="ESZ1">
        <f>Database!ETS1</f>
        <v>0</v>
      </c>
      <c r="ETA1">
        <f>Database!ETT1</f>
        <v>0</v>
      </c>
      <c r="ETB1">
        <f>Database!ETU1</f>
        <v>0</v>
      </c>
      <c r="ETC1">
        <f>Database!ETV1</f>
        <v>0</v>
      </c>
      <c r="ETD1">
        <f>Database!ETW1</f>
        <v>0</v>
      </c>
      <c r="ETE1">
        <f>Database!ETX1</f>
        <v>0</v>
      </c>
      <c r="ETF1">
        <f>Database!ETY1</f>
        <v>0</v>
      </c>
      <c r="ETG1">
        <f>Database!ETZ1</f>
        <v>0</v>
      </c>
      <c r="ETH1">
        <f>Database!EUA1</f>
        <v>0</v>
      </c>
      <c r="ETI1">
        <f>Database!EUB1</f>
        <v>0</v>
      </c>
      <c r="ETJ1">
        <f>Database!EUC1</f>
        <v>0</v>
      </c>
      <c r="ETK1">
        <f>Database!EUD1</f>
        <v>0</v>
      </c>
      <c r="ETL1">
        <f>Database!EUE1</f>
        <v>0</v>
      </c>
      <c r="ETM1">
        <f>Database!EUF1</f>
        <v>0</v>
      </c>
      <c r="ETN1">
        <f>Database!EUG1</f>
        <v>0</v>
      </c>
      <c r="ETO1">
        <f>Database!EUH1</f>
        <v>0</v>
      </c>
      <c r="ETP1">
        <f>Database!EUI1</f>
        <v>0</v>
      </c>
      <c r="ETQ1">
        <f>Database!EUJ1</f>
        <v>0</v>
      </c>
      <c r="ETR1">
        <f>Database!EUK1</f>
        <v>0</v>
      </c>
      <c r="ETS1">
        <f>Database!EUL1</f>
        <v>0</v>
      </c>
      <c r="ETT1">
        <f>Database!EUM1</f>
        <v>0</v>
      </c>
      <c r="ETU1">
        <f>Database!EUN1</f>
        <v>0</v>
      </c>
      <c r="ETV1">
        <f>Database!EUO1</f>
        <v>0</v>
      </c>
      <c r="ETW1">
        <f>Database!EUP1</f>
        <v>0</v>
      </c>
      <c r="ETX1">
        <f>Database!EUQ1</f>
        <v>0</v>
      </c>
      <c r="ETY1">
        <f>Database!EUR1</f>
        <v>0</v>
      </c>
      <c r="ETZ1">
        <f>Database!EUS1</f>
        <v>0</v>
      </c>
      <c r="EUA1">
        <f>Database!EUT1</f>
        <v>0</v>
      </c>
      <c r="EUB1">
        <f>Database!EUU1</f>
        <v>0</v>
      </c>
      <c r="EUC1">
        <f>Database!EUV1</f>
        <v>0</v>
      </c>
      <c r="EUD1">
        <f>Database!EUW1</f>
        <v>0</v>
      </c>
      <c r="EUE1">
        <f>Database!EUX1</f>
        <v>0</v>
      </c>
      <c r="EUF1">
        <f>Database!EUY1</f>
        <v>0</v>
      </c>
      <c r="EUG1">
        <f>Database!EUZ1</f>
        <v>0</v>
      </c>
      <c r="EUH1">
        <f>Database!EVA1</f>
        <v>0</v>
      </c>
      <c r="EUI1">
        <f>Database!EVB1</f>
        <v>0</v>
      </c>
      <c r="EUJ1">
        <f>Database!EVC1</f>
        <v>0</v>
      </c>
      <c r="EUK1">
        <f>Database!EVD1</f>
        <v>0</v>
      </c>
      <c r="EUL1">
        <f>Database!EVE1</f>
        <v>0</v>
      </c>
      <c r="EUM1">
        <f>Database!EVF1</f>
        <v>0</v>
      </c>
      <c r="EUN1">
        <f>Database!EVG1</f>
        <v>0</v>
      </c>
      <c r="EUO1">
        <f>Database!EVH1</f>
        <v>0</v>
      </c>
      <c r="EUP1">
        <f>Database!EVI1</f>
        <v>0</v>
      </c>
      <c r="EUQ1">
        <f>Database!EVJ1</f>
        <v>0</v>
      </c>
      <c r="EUR1">
        <f>Database!EVK1</f>
        <v>0</v>
      </c>
      <c r="EUS1">
        <f>Database!EVL1</f>
        <v>0</v>
      </c>
      <c r="EUT1">
        <f>Database!EVM1</f>
        <v>0</v>
      </c>
      <c r="EUU1">
        <f>Database!EVN1</f>
        <v>0</v>
      </c>
      <c r="EUV1">
        <f>Database!EVO1</f>
        <v>0</v>
      </c>
      <c r="EUW1">
        <f>Database!EVP1</f>
        <v>0</v>
      </c>
      <c r="EUX1">
        <f>Database!EVQ1</f>
        <v>0</v>
      </c>
      <c r="EUY1">
        <f>Database!EVR1</f>
        <v>0</v>
      </c>
      <c r="EUZ1">
        <f>Database!EVS1</f>
        <v>0</v>
      </c>
      <c r="EVA1">
        <f>Database!EVT1</f>
        <v>0</v>
      </c>
      <c r="EVB1">
        <f>Database!EVU1</f>
        <v>0</v>
      </c>
      <c r="EVC1">
        <f>Database!EVV1</f>
        <v>0</v>
      </c>
      <c r="EVD1">
        <f>Database!EVW1</f>
        <v>0</v>
      </c>
      <c r="EVE1">
        <f>Database!EVX1</f>
        <v>0</v>
      </c>
      <c r="EVF1">
        <f>Database!EVY1</f>
        <v>0</v>
      </c>
      <c r="EVG1">
        <f>Database!EVZ1</f>
        <v>0</v>
      </c>
      <c r="EVH1">
        <f>Database!EWA1</f>
        <v>0</v>
      </c>
      <c r="EVI1">
        <f>Database!EWB1</f>
        <v>0</v>
      </c>
      <c r="EVJ1">
        <f>Database!EWC1</f>
        <v>0</v>
      </c>
      <c r="EVK1">
        <f>Database!EWD1</f>
        <v>0</v>
      </c>
      <c r="EVL1">
        <f>Database!EWE1</f>
        <v>0</v>
      </c>
      <c r="EVM1">
        <f>Database!EWF1</f>
        <v>0</v>
      </c>
      <c r="EVN1">
        <f>Database!EWG1</f>
        <v>0</v>
      </c>
      <c r="EVO1">
        <f>Database!EWH1</f>
        <v>0</v>
      </c>
      <c r="EVP1">
        <f>Database!EWI1</f>
        <v>0</v>
      </c>
      <c r="EVQ1">
        <f>Database!EWJ1</f>
        <v>0</v>
      </c>
      <c r="EVR1">
        <f>Database!EWK1</f>
        <v>0</v>
      </c>
      <c r="EVS1">
        <f>Database!EWL1</f>
        <v>0</v>
      </c>
      <c r="EVT1">
        <f>Database!EWM1</f>
        <v>0</v>
      </c>
      <c r="EVU1">
        <f>Database!EWN1</f>
        <v>0</v>
      </c>
      <c r="EVV1">
        <f>Database!EWO1</f>
        <v>0</v>
      </c>
      <c r="EVW1">
        <f>Database!EWP1</f>
        <v>0</v>
      </c>
      <c r="EVX1">
        <f>Database!EWQ1</f>
        <v>0</v>
      </c>
      <c r="EVY1">
        <f>Database!EWR1</f>
        <v>0</v>
      </c>
      <c r="EVZ1">
        <f>Database!EWS1</f>
        <v>0</v>
      </c>
      <c r="EWA1">
        <f>Database!EWT1</f>
        <v>0</v>
      </c>
      <c r="EWB1">
        <f>Database!EWU1</f>
        <v>0</v>
      </c>
      <c r="EWC1">
        <f>Database!EWV1</f>
        <v>0</v>
      </c>
      <c r="EWD1">
        <f>Database!EWW1</f>
        <v>0</v>
      </c>
      <c r="EWE1">
        <f>Database!EWX1</f>
        <v>0</v>
      </c>
      <c r="EWF1">
        <f>Database!EWY1</f>
        <v>0</v>
      </c>
      <c r="EWG1">
        <f>Database!EWZ1</f>
        <v>0</v>
      </c>
      <c r="EWH1">
        <f>Database!EXA1</f>
        <v>0</v>
      </c>
      <c r="EWI1">
        <f>Database!EXB1</f>
        <v>0</v>
      </c>
      <c r="EWJ1">
        <f>Database!EXC1</f>
        <v>0</v>
      </c>
      <c r="EWK1">
        <f>Database!EXD1</f>
        <v>0</v>
      </c>
      <c r="EWL1">
        <f>Database!EXE1</f>
        <v>0</v>
      </c>
      <c r="EWM1">
        <f>Database!EXF1</f>
        <v>0</v>
      </c>
      <c r="EWN1">
        <f>Database!EXG1</f>
        <v>0</v>
      </c>
      <c r="EWO1">
        <f>Database!EXH1</f>
        <v>0</v>
      </c>
      <c r="EWP1">
        <f>Database!EXI1</f>
        <v>0</v>
      </c>
      <c r="EWQ1">
        <f>Database!EXJ1</f>
        <v>0</v>
      </c>
      <c r="EWR1">
        <f>Database!EXK1</f>
        <v>0</v>
      </c>
      <c r="EWS1">
        <f>Database!EXL1</f>
        <v>0</v>
      </c>
      <c r="EWT1">
        <f>Database!EXM1</f>
        <v>0</v>
      </c>
      <c r="EWU1">
        <f>Database!EXN1</f>
        <v>0</v>
      </c>
      <c r="EWV1">
        <f>Database!EXO1</f>
        <v>0</v>
      </c>
      <c r="EWW1">
        <f>Database!EXP1</f>
        <v>0</v>
      </c>
      <c r="EWX1">
        <f>Database!EXQ1</f>
        <v>0</v>
      </c>
      <c r="EWY1">
        <f>Database!EXR1</f>
        <v>0</v>
      </c>
      <c r="EWZ1">
        <f>Database!EXS1</f>
        <v>0</v>
      </c>
      <c r="EXA1">
        <f>Database!EXT1</f>
        <v>0</v>
      </c>
      <c r="EXB1">
        <f>Database!EXU1</f>
        <v>0</v>
      </c>
      <c r="EXC1">
        <f>Database!EXV1</f>
        <v>0</v>
      </c>
      <c r="EXD1">
        <f>Database!EXW1</f>
        <v>0</v>
      </c>
      <c r="EXE1">
        <f>Database!EXX1</f>
        <v>0</v>
      </c>
      <c r="EXF1">
        <f>Database!EXY1</f>
        <v>0</v>
      </c>
      <c r="EXG1">
        <f>Database!EXZ1</f>
        <v>0</v>
      </c>
      <c r="EXH1">
        <f>Database!EYA1</f>
        <v>0</v>
      </c>
      <c r="EXI1">
        <f>Database!EYB1</f>
        <v>0</v>
      </c>
      <c r="EXJ1">
        <f>Database!EYC1</f>
        <v>0</v>
      </c>
      <c r="EXK1">
        <f>Database!EYD1</f>
        <v>0</v>
      </c>
      <c r="EXL1">
        <f>Database!EYE1</f>
        <v>0</v>
      </c>
      <c r="EXM1">
        <f>Database!EYF1</f>
        <v>0</v>
      </c>
      <c r="EXN1">
        <f>Database!EYG1</f>
        <v>0</v>
      </c>
      <c r="EXO1">
        <f>Database!EYH1</f>
        <v>0</v>
      </c>
      <c r="EXP1">
        <f>Database!EYI1</f>
        <v>0</v>
      </c>
      <c r="EXQ1">
        <f>Database!EYJ1</f>
        <v>0</v>
      </c>
      <c r="EXR1">
        <f>Database!EYK1</f>
        <v>0</v>
      </c>
      <c r="EXS1">
        <f>Database!EYL1</f>
        <v>0</v>
      </c>
      <c r="EXT1">
        <f>Database!EYM1</f>
        <v>0</v>
      </c>
      <c r="EXU1">
        <f>Database!EYN1</f>
        <v>0</v>
      </c>
      <c r="EXV1">
        <f>Database!EYO1</f>
        <v>0</v>
      </c>
      <c r="EXW1">
        <f>Database!EYP1</f>
        <v>0</v>
      </c>
      <c r="EXX1">
        <f>Database!EYQ1</f>
        <v>0</v>
      </c>
      <c r="EXY1">
        <f>Database!EYR1</f>
        <v>0</v>
      </c>
      <c r="EXZ1">
        <f>Database!EYS1</f>
        <v>0</v>
      </c>
      <c r="EYA1">
        <f>Database!EYT1</f>
        <v>0</v>
      </c>
      <c r="EYB1">
        <f>Database!EYU1</f>
        <v>0</v>
      </c>
      <c r="EYC1">
        <f>Database!EYV1</f>
        <v>0</v>
      </c>
      <c r="EYD1">
        <f>Database!EYW1</f>
        <v>0</v>
      </c>
      <c r="EYE1">
        <f>Database!EYX1</f>
        <v>0</v>
      </c>
      <c r="EYF1">
        <f>Database!EYY1</f>
        <v>0</v>
      </c>
      <c r="EYG1">
        <f>Database!EYZ1</f>
        <v>0</v>
      </c>
      <c r="EYH1">
        <f>Database!EZA1</f>
        <v>0</v>
      </c>
      <c r="EYI1">
        <f>Database!EZB1</f>
        <v>0</v>
      </c>
      <c r="EYJ1">
        <f>Database!EZC1</f>
        <v>0</v>
      </c>
      <c r="EYK1">
        <f>Database!EZD1</f>
        <v>0</v>
      </c>
      <c r="EYL1">
        <f>Database!EZE1</f>
        <v>0</v>
      </c>
      <c r="EYM1">
        <f>Database!EZF1</f>
        <v>0</v>
      </c>
      <c r="EYN1">
        <f>Database!EZG1</f>
        <v>0</v>
      </c>
      <c r="EYO1">
        <f>Database!EZH1</f>
        <v>0</v>
      </c>
      <c r="EYP1">
        <f>Database!EZI1</f>
        <v>0</v>
      </c>
      <c r="EYQ1">
        <f>Database!EZJ1</f>
        <v>0</v>
      </c>
      <c r="EYR1">
        <f>Database!EZK1</f>
        <v>0</v>
      </c>
      <c r="EYS1">
        <f>Database!EZL1</f>
        <v>0</v>
      </c>
      <c r="EYT1">
        <f>Database!EZM1</f>
        <v>0</v>
      </c>
      <c r="EYU1">
        <f>Database!EZN1</f>
        <v>0</v>
      </c>
      <c r="EYV1">
        <f>Database!EZO1</f>
        <v>0</v>
      </c>
      <c r="EYW1">
        <f>Database!EZP1</f>
        <v>0</v>
      </c>
      <c r="EYX1">
        <f>Database!EZQ1</f>
        <v>0</v>
      </c>
      <c r="EYY1">
        <f>Database!EZR1</f>
        <v>0</v>
      </c>
      <c r="EYZ1">
        <f>Database!EZS1</f>
        <v>0</v>
      </c>
      <c r="EZA1">
        <f>Database!EZT1</f>
        <v>0</v>
      </c>
      <c r="EZB1">
        <f>Database!EZU1</f>
        <v>0</v>
      </c>
      <c r="EZC1">
        <f>Database!EZV1</f>
        <v>0</v>
      </c>
      <c r="EZD1">
        <f>Database!EZW1</f>
        <v>0</v>
      </c>
      <c r="EZE1">
        <f>Database!EZX1</f>
        <v>0</v>
      </c>
      <c r="EZF1">
        <f>Database!EZY1</f>
        <v>0</v>
      </c>
      <c r="EZG1">
        <f>Database!EZZ1</f>
        <v>0</v>
      </c>
      <c r="EZH1">
        <f>Database!FAA1</f>
        <v>0</v>
      </c>
      <c r="EZI1">
        <f>Database!FAB1</f>
        <v>0</v>
      </c>
      <c r="EZJ1">
        <f>Database!FAC1</f>
        <v>0</v>
      </c>
      <c r="EZK1">
        <f>Database!FAD1</f>
        <v>0</v>
      </c>
      <c r="EZL1">
        <f>Database!FAE1</f>
        <v>0</v>
      </c>
      <c r="EZM1">
        <f>Database!FAF1</f>
        <v>0</v>
      </c>
      <c r="EZN1">
        <f>Database!FAG1</f>
        <v>0</v>
      </c>
      <c r="EZO1">
        <f>Database!FAH1</f>
        <v>0</v>
      </c>
      <c r="EZP1">
        <f>Database!FAI1</f>
        <v>0</v>
      </c>
      <c r="EZQ1">
        <f>Database!FAJ1</f>
        <v>0</v>
      </c>
      <c r="EZR1">
        <f>Database!FAK1</f>
        <v>0</v>
      </c>
      <c r="EZS1">
        <f>Database!FAL1</f>
        <v>0</v>
      </c>
      <c r="EZT1">
        <f>Database!FAM1</f>
        <v>0</v>
      </c>
      <c r="EZU1">
        <f>Database!FAN1</f>
        <v>0</v>
      </c>
      <c r="EZV1">
        <f>Database!FAO1</f>
        <v>0</v>
      </c>
      <c r="EZW1">
        <f>Database!FAP1</f>
        <v>0</v>
      </c>
      <c r="EZX1">
        <f>Database!FAQ1</f>
        <v>0</v>
      </c>
      <c r="EZY1">
        <f>Database!FAR1</f>
        <v>0</v>
      </c>
      <c r="EZZ1">
        <f>Database!FAS1</f>
        <v>0</v>
      </c>
      <c r="FAA1">
        <f>Database!FAT1</f>
        <v>0</v>
      </c>
      <c r="FAB1">
        <f>Database!FAU1</f>
        <v>0</v>
      </c>
      <c r="FAC1">
        <f>Database!FAV1</f>
        <v>0</v>
      </c>
      <c r="FAD1">
        <f>Database!FAW1</f>
        <v>0</v>
      </c>
      <c r="FAE1">
        <f>Database!FAX1</f>
        <v>0</v>
      </c>
      <c r="FAF1">
        <f>Database!FAY1</f>
        <v>0</v>
      </c>
      <c r="FAG1">
        <f>Database!FAZ1</f>
        <v>0</v>
      </c>
      <c r="FAH1">
        <f>Database!FBA1</f>
        <v>0</v>
      </c>
      <c r="FAI1">
        <f>Database!FBB1</f>
        <v>0</v>
      </c>
      <c r="FAJ1">
        <f>Database!FBC1</f>
        <v>0</v>
      </c>
      <c r="FAK1">
        <f>Database!FBD1</f>
        <v>0</v>
      </c>
      <c r="FAL1">
        <f>Database!FBE1</f>
        <v>0</v>
      </c>
      <c r="FAM1">
        <f>Database!FBF1</f>
        <v>0</v>
      </c>
      <c r="FAN1">
        <f>Database!FBG1</f>
        <v>0</v>
      </c>
      <c r="FAO1">
        <f>Database!FBH1</f>
        <v>0</v>
      </c>
      <c r="FAP1">
        <f>Database!FBI1</f>
        <v>0</v>
      </c>
      <c r="FAQ1">
        <f>Database!FBJ1</f>
        <v>0</v>
      </c>
      <c r="FAR1">
        <f>Database!FBK1</f>
        <v>0</v>
      </c>
      <c r="FAS1">
        <f>Database!FBL1</f>
        <v>0</v>
      </c>
      <c r="FAT1">
        <f>Database!FBM1</f>
        <v>0</v>
      </c>
      <c r="FAU1">
        <f>Database!FBN1</f>
        <v>0</v>
      </c>
      <c r="FAV1">
        <f>Database!FBO1</f>
        <v>0</v>
      </c>
      <c r="FAW1">
        <f>Database!FBP1</f>
        <v>0</v>
      </c>
      <c r="FAX1">
        <f>Database!FBQ1</f>
        <v>0</v>
      </c>
      <c r="FAY1">
        <f>Database!FBR1</f>
        <v>0</v>
      </c>
      <c r="FAZ1">
        <f>Database!FBS1</f>
        <v>0</v>
      </c>
      <c r="FBA1">
        <f>Database!FBT1</f>
        <v>0</v>
      </c>
      <c r="FBB1">
        <f>Database!FBU1</f>
        <v>0</v>
      </c>
      <c r="FBC1">
        <f>Database!FBV1</f>
        <v>0</v>
      </c>
      <c r="FBD1">
        <f>Database!FBW1</f>
        <v>0</v>
      </c>
      <c r="FBE1">
        <f>Database!FBX1</f>
        <v>0</v>
      </c>
      <c r="FBF1">
        <f>Database!FBY1</f>
        <v>0</v>
      </c>
      <c r="FBG1">
        <f>Database!FBZ1</f>
        <v>0</v>
      </c>
      <c r="FBH1">
        <f>Database!FCA1</f>
        <v>0</v>
      </c>
      <c r="FBI1">
        <f>Database!FCB1</f>
        <v>0</v>
      </c>
      <c r="FBJ1">
        <f>Database!FCC1</f>
        <v>0</v>
      </c>
      <c r="FBK1">
        <f>Database!FCD1</f>
        <v>0</v>
      </c>
      <c r="FBL1">
        <f>Database!FCE1</f>
        <v>0</v>
      </c>
      <c r="FBM1">
        <f>Database!FCF1</f>
        <v>0</v>
      </c>
      <c r="FBN1">
        <f>Database!FCG1</f>
        <v>0</v>
      </c>
      <c r="FBO1">
        <f>Database!FCH1</f>
        <v>0</v>
      </c>
      <c r="FBP1">
        <f>Database!FCI1</f>
        <v>0</v>
      </c>
      <c r="FBQ1">
        <f>Database!FCJ1</f>
        <v>0</v>
      </c>
      <c r="FBR1">
        <f>Database!FCK1</f>
        <v>0</v>
      </c>
      <c r="FBS1">
        <f>Database!FCL1</f>
        <v>0</v>
      </c>
      <c r="FBT1">
        <f>Database!FCM1</f>
        <v>0</v>
      </c>
      <c r="FBU1">
        <f>Database!FCN1</f>
        <v>0</v>
      </c>
      <c r="FBV1">
        <f>Database!FCO1</f>
        <v>0</v>
      </c>
      <c r="FBW1">
        <f>Database!FCP1</f>
        <v>0</v>
      </c>
      <c r="FBX1">
        <f>Database!FCQ1</f>
        <v>0</v>
      </c>
      <c r="FBY1">
        <f>Database!FCR1</f>
        <v>0</v>
      </c>
      <c r="FBZ1">
        <f>Database!FCS1</f>
        <v>0</v>
      </c>
      <c r="FCA1">
        <f>Database!FCT1</f>
        <v>0</v>
      </c>
      <c r="FCB1">
        <f>Database!FCU1</f>
        <v>0</v>
      </c>
      <c r="FCC1">
        <f>Database!FCV1</f>
        <v>0</v>
      </c>
      <c r="FCD1">
        <f>Database!FCW1</f>
        <v>0</v>
      </c>
      <c r="FCE1">
        <f>Database!FCX1</f>
        <v>0</v>
      </c>
      <c r="FCF1">
        <f>Database!FCY1</f>
        <v>0</v>
      </c>
      <c r="FCG1">
        <f>Database!FCZ1</f>
        <v>0</v>
      </c>
      <c r="FCH1">
        <f>Database!FDA1</f>
        <v>0</v>
      </c>
      <c r="FCI1">
        <f>Database!FDB1</f>
        <v>0</v>
      </c>
      <c r="FCJ1">
        <f>Database!FDC1</f>
        <v>0</v>
      </c>
      <c r="FCK1">
        <f>Database!FDD1</f>
        <v>0</v>
      </c>
      <c r="FCL1">
        <f>Database!FDE1</f>
        <v>0</v>
      </c>
      <c r="FCM1">
        <f>Database!FDF1</f>
        <v>0</v>
      </c>
      <c r="FCN1">
        <f>Database!FDG1</f>
        <v>0</v>
      </c>
      <c r="FCO1">
        <f>Database!FDH1</f>
        <v>0</v>
      </c>
      <c r="FCP1">
        <f>Database!FDI1</f>
        <v>0</v>
      </c>
      <c r="FCQ1">
        <f>Database!FDJ1</f>
        <v>0</v>
      </c>
      <c r="FCR1">
        <f>Database!FDK1</f>
        <v>0</v>
      </c>
      <c r="FCS1">
        <f>Database!FDL1</f>
        <v>0</v>
      </c>
      <c r="FCT1">
        <f>Database!FDM1</f>
        <v>0</v>
      </c>
      <c r="FCU1">
        <f>Database!FDN1</f>
        <v>0</v>
      </c>
      <c r="FCV1">
        <f>Database!FDO1</f>
        <v>0</v>
      </c>
      <c r="FCW1">
        <f>Database!FDP1</f>
        <v>0</v>
      </c>
      <c r="FCX1">
        <f>Database!FDQ1</f>
        <v>0</v>
      </c>
      <c r="FCY1">
        <f>Database!FDR1</f>
        <v>0</v>
      </c>
      <c r="FCZ1">
        <f>Database!FDS1</f>
        <v>0</v>
      </c>
      <c r="FDA1">
        <f>Database!FDT1</f>
        <v>0</v>
      </c>
      <c r="FDB1">
        <f>Database!FDU1</f>
        <v>0</v>
      </c>
      <c r="FDC1">
        <f>Database!FDV1</f>
        <v>0</v>
      </c>
      <c r="FDD1">
        <f>Database!FDW1</f>
        <v>0</v>
      </c>
      <c r="FDE1">
        <f>Database!FDX1</f>
        <v>0</v>
      </c>
      <c r="FDF1">
        <f>Database!FDY1</f>
        <v>0</v>
      </c>
      <c r="FDG1">
        <f>Database!FDZ1</f>
        <v>0</v>
      </c>
      <c r="FDH1">
        <f>Database!FEA1</f>
        <v>0</v>
      </c>
      <c r="FDI1">
        <f>Database!FEB1</f>
        <v>0</v>
      </c>
      <c r="FDJ1">
        <f>Database!FEC1</f>
        <v>0</v>
      </c>
      <c r="FDK1">
        <f>Database!FED1</f>
        <v>0</v>
      </c>
      <c r="FDL1">
        <f>Database!FEE1</f>
        <v>0</v>
      </c>
      <c r="FDM1">
        <f>Database!FEF1</f>
        <v>0</v>
      </c>
      <c r="FDN1">
        <f>Database!FEG1</f>
        <v>0</v>
      </c>
      <c r="FDO1">
        <f>Database!FEH1</f>
        <v>0</v>
      </c>
      <c r="FDP1">
        <f>Database!FEI1</f>
        <v>0</v>
      </c>
      <c r="FDQ1">
        <f>Database!FEJ1</f>
        <v>0</v>
      </c>
      <c r="FDR1">
        <f>Database!FEK1</f>
        <v>0</v>
      </c>
      <c r="FDS1">
        <f>Database!FEL1</f>
        <v>0</v>
      </c>
      <c r="FDT1">
        <f>Database!FEM1</f>
        <v>0</v>
      </c>
      <c r="FDU1">
        <f>Database!FEN1</f>
        <v>0</v>
      </c>
      <c r="FDV1">
        <f>Database!FEO1</f>
        <v>0</v>
      </c>
      <c r="FDW1">
        <f>Database!FEP1</f>
        <v>0</v>
      </c>
      <c r="FDX1">
        <f>Database!FEQ1</f>
        <v>0</v>
      </c>
      <c r="FDY1">
        <f>Database!FER1</f>
        <v>0</v>
      </c>
      <c r="FDZ1">
        <f>Database!FES1</f>
        <v>0</v>
      </c>
      <c r="FEA1">
        <f>Database!FET1</f>
        <v>0</v>
      </c>
      <c r="FEB1">
        <f>Database!FEU1</f>
        <v>0</v>
      </c>
      <c r="FEC1">
        <f>Database!FEV1</f>
        <v>0</v>
      </c>
      <c r="FED1">
        <f>Database!FEW1</f>
        <v>0</v>
      </c>
      <c r="FEE1">
        <f>Database!FEX1</f>
        <v>0</v>
      </c>
      <c r="FEF1">
        <f>Database!FEY1</f>
        <v>0</v>
      </c>
      <c r="FEG1">
        <f>Database!FEZ1</f>
        <v>0</v>
      </c>
      <c r="FEH1">
        <f>Database!FFA1</f>
        <v>0</v>
      </c>
      <c r="FEI1">
        <f>Database!FFB1</f>
        <v>0</v>
      </c>
      <c r="FEJ1">
        <f>Database!FFC1</f>
        <v>0</v>
      </c>
      <c r="FEK1">
        <f>Database!FFD1</f>
        <v>0</v>
      </c>
      <c r="FEL1">
        <f>Database!FFE1</f>
        <v>0</v>
      </c>
      <c r="FEM1">
        <f>Database!FFF1</f>
        <v>0</v>
      </c>
      <c r="FEN1">
        <f>Database!FFG1</f>
        <v>0</v>
      </c>
      <c r="FEO1">
        <f>Database!FFH1</f>
        <v>0</v>
      </c>
      <c r="FEP1">
        <f>Database!FFI1</f>
        <v>0</v>
      </c>
      <c r="FEQ1">
        <f>Database!FFJ1</f>
        <v>0</v>
      </c>
      <c r="FER1">
        <f>Database!FFK1</f>
        <v>0</v>
      </c>
      <c r="FES1">
        <f>Database!FFL1</f>
        <v>0</v>
      </c>
      <c r="FET1">
        <f>Database!FFM1</f>
        <v>0</v>
      </c>
      <c r="FEU1">
        <f>Database!FFN1</f>
        <v>0</v>
      </c>
      <c r="FEV1">
        <f>Database!FFO1</f>
        <v>0</v>
      </c>
      <c r="FEW1">
        <f>Database!FFP1</f>
        <v>0</v>
      </c>
      <c r="FEX1">
        <f>Database!FFQ1</f>
        <v>0</v>
      </c>
      <c r="FEY1">
        <f>Database!FFR1</f>
        <v>0</v>
      </c>
      <c r="FEZ1">
        <f>Database!FFS1</f>
        <v>0</v>
      </c>
      <c r="FFA1">
        <f>Database!FFT1</f>
        <v>0</v>
      </c>
      <c r="FFB1">
        <f>Database!FFU1</f>
        <v>0</v>
      </c>
      <c r="FFC1">
        <f>Database!FFV1</f>
        <v>0</v>
      </c>
      <c r="FFD1">
        <f>Database!FFW1</f>
        <v>0</v>
      </c>
      <c r="FFE1">
        <f>Database!FFX1</f>
        <v>0</v>
      </c>
      <c r="FFF1">
        <f>Database!FFY1</f>
        <v>0</v>
      </c>
      <c r="FFG1">
        <f>Database!FFZ1</f>
        <v>0</v>
      </c>
      <c r="FFH1">
        <f>Database!FGA1</f>
        <v>0</v>
      </c>
      <c r="FFI1">
        <f>Database!FGB1</f>
        <v>0</v>
      </c>
      <c r="FFJ1">
        <f>Database!FGC1</f>
        <v>0</v>
      </c>
      <c r="FFK1">
        <f>Database!FGD1</f>
        <v>0</v>
      </c>
      <c r="FFL1">
        <f>Database!FGE1</f>
        <v>0</v>
      </c>
      <c r="FFM1">
        <f>Database!FGF1</f>
        <v>0</v>
      </c>
      <c r="FFN1">
        <f>Database!FGG1</f>
        <v>0</v>
      </c>
      <c r="FFO1">
        <f>Database!FGH1</f>
        <v>0</v>
      </c>
      <c r="FFP1">
        <f>Database!FGI1</f>
        <v>0</v>
      </c>
      <c r="FFQ1">
        <f>Database!FGJ1</f>
        <v>0</v>
      </c>
      <c r="FFR1">
        <f>Database!FGK1</f>
        <v>0</v>
      </c>
      <c r="FFS1">
        <f>Database!FGL1</f>
        <v>0</v>
      </c>
      <c r="FFT1">
        <f>Database!FGM1</f>
        <v>0</v>
      </c>
      <c r="FFU1">
        <f>Database!FGN1</f>
        <v>0</v>
      </c>
      <c r="FFV1">
        <f>Database!FGO1</f>
        <v>0</v>
      </c>
      <c r="FFW1">
        <f>Database!FGP1</f>
        <v>0</v>
      </c>
      <c r="FFX1">
        <f>Database!FGQ1</f>
        <v>0</v>
      </c>
      <c r="FFY1">
        <f>Database!FGR1</f>
        <v>0</v>
      </c>
      <c r="FFZ1">
        <f>Database!FGS1</f>
        <v>0</v>
      </c>
      <c r="FGA1">
        <f>Database!FGT1</f>
        <v>0</v>
      </c>
      <c r="FGB1">
        <f>Database!FGU1</f>
        <v>0</v>
      </c>
      <c r="FGC1">
        <f>Database!FGV1</f>
        <v>0</v>
      </c>
      <c r="FGD1">
        <f>Database!FGW1</f>
        <v>0</v>
      </c>
      <c r="FGE1">
        <f>Database!FGX1</f>
        <v>0</v>
      </c>
      <c r="FGF1">
        <f>Database!FGY1</f>
        <v>0</v>
      </c>
      <c r="FGG1">
        <f>Database!FGZ1</f>
        <v>0</v>
      </c>
      <c r="FGH1">
        <f>Database!FHA1</f>
        <v>0</v>
      </c>
      <c r="FGI1">
        <f>Database!FHB1</f>
        <v>0</v>
      </c>
      <c r="FGJ1">
        <f>Database!FHC1</f>
        <v>0</v>
      </c>
      <c r="FGK1">
        <f>Database!FHD1</f>
        <v>0</v>
      </c>
      <c r="FGL1">
        <f>Database!FHE1</f>
        <v>0</v>
      </c>
      <c r="FGM1">
        <f>Database!FHF1</f>
        <v>0</v>
      </c>
      <c r="FGN1">
        <f>Database!FHG1</f>
        <v>0</v>
      </c>
      <c r="FGO1">
        <f>Database!FHH1</f>
        <v>0</v>
      </c>
      <c r="FGP1">
        <f>Database!FHI1</f>
        <v>0</v>
      </c>
      <c r="FGQ1">
        <f>Database!FHJ1</f>
        <v>0</v>
      </c>
      <c r="FGR1">
        <f>Database!FHK1</f>
        <v>0</v>
      </c>
      <c r="FGS1">
        <f>Database!FHL1</f>
        <v>0</v>
      </c>
      <c r="FGT1">
        <f>Database!FHM1</f>
        <v>0</v>
      </c>
      <c r="FGU1">
        <f>Database!FHN1</f>
        <v>0</v>
      </c>
      <c r="FGV1">
        <f>Database!FHO1</f>
        <v>0</v>
      </c>
      <c r="FGW1">
        <f>Database!FHP1</f>
        <v>0</v>
      </c>
      <c r="FGX1">
        <f>Database!FHQ1</f>
        <v>0</v>
      </c>
      <c r="FGY1">
        <f>Database!FHR1</f>
        <v>0</v>
      </c>
      <c r="FGZ1">
        <f>Database!FHS1</f>
        <v>0</v>
      </c>
      <c r="FHA1">
        <f>Database!FHT1</f>
        <v>0</v>
      </c>
      <c r="FHB1">
        <f>Database!FHU1</f>
        <v>0</v>
      </c>
      <c r="FHC1">
        <f>Database!FHV1</f>
        <v>0</v>
      </c>
      <c r="FHD1">
        <f>Database!FHW1</f>
        <v>0</v>
      </c>
      <c r="FHE1">
        <f>Database!FHX1</f>
        <v>0</v>
      </c>
      <c r="FHF1">
        <f>Database!FHY1</f>
        <v>0</v>
      </c>
      <c r="FHG1">
        <f>Database!FHZ1</f>
        <v>0</v>
      </c>
      <c r="FHH1">
        <f>Database!FIA1</f>
        <v>0</v>
      </c>
      <c r="FHI1">
        <f>Database!FIB1</f>
        <v>0</v>
      </c>
      <c r="FHJ1">
        <f>Database!FIC1</f>
        <v>0</v>
      </c>
      <c r="FHK1">
        <f>Database!FID1</f>
        <v>0</v>
      </c>
      <c r="FHL1">
        <f>Database!FIE1</f>
        <v>0</v>
      </c>
      <c r="FHM1">
        <f>Database!FIF1</f>
        <v>0</v>
      </c>
      <c r="FHN1">
        <f>Database!FIG1</f>
        <v>0</v>
      </c>
      <c r="FHO1">
        <f>Database!FIH1</f>
        <v>0</v>
      </c>
      <c r="FHP1">
        <f>Database!FII1</f>
        <v>0</v>
      </c>
      <c r="FHQ1">
        <f>Database!FIJ1</f>
        <v>0</v>
      </c>
      <c r="FHR1">
        <f>Database!FIK1</f>
        <v>0</v>
      </c>
      <c r="FHS1">
        <f>Database!FIL1</f>
        <v>0</v>
      </c>
      <c r="FHT1">
        <f>Database!FIM1</f>
        <v>0</v>
      </c>
      <c r="FHU1">
        <f>Database!FIN1</f>
        <v>0</v>
      </c>
      <c r="FHV1">
        <f>Database!FIO1</f>
        <v>0</v>
      </c>
      <c r="FHW1">
        <f>Database!FIP1</f>
        <v>0</v>
      </c>
      <c r="FHX1">
        <f>Database!FIQ1</f>
        <v>0</v>
      </c>
      <c r="FHY1">
        <f>Database!FIR1</f>
        <v>0</v>
      </c>
      <c r="FHZ1">
        <f>Database!FIS1</f>
        <v>0</v>
      </c>
      <c r="FIA1">
        <f>Database!FIT1</f>
        <v>0</v>
      </c>
      <c r="FIB1">
        <f>Database!FIU1</f>
        <v>0</v>
      </c>
      <c r="FIC1">
        <f>Database!FIV1</f>
        <v>0</v>
      </c>
      <c r="FID1">
        <f>Database!FIW1</f>
        <v>0</v>
      </c>
      <c r="FIE1">
        <f>Database!FIX1</f>
        <v>0</v>
      </c>
      <c r="FIF1">
        <f>Database!FIY1</f>
        <v>0</v>
      </c>
      <c r="FIG1">
        <f>Database!FIZ1</f>
        <v>0</v>
      </c>
      <c r="FIH1">
        <f>Database!FJA1</f>
        <v>0</v>
      </c>
      <c r="FII1">
        <f>Database!FJB1</f>
        <v>0</v>
      </c>
      <c r="FIJ1">
        <f>Database!FJC1</f>
        <v>0</v>
      </c>
      <c r="FIK1">
        <f>Database!FJD1</f>
        <v>0</v>
      </c>
      <c r="FIL1">
        <f>Database!FJE1</f>
        <v>0</v>
      </c>
      <c r="FIM1">
        <f>Database!FJF1</f>
        <v>0</v>
      </c>
      <c r="FIN1">
        <f>Database!FJG1</f>
        <v>0</v>
      </c>
      <c r="FIO1">
        <f>Database!FJH1</f>
        <v>0</v>
      </c>
      <c r="FIP1">
        <f>Database!FJI1</f>
        <v>0</v>
      </c>
      <c r="FIQ1">
        <f>Database!FJJ1</f>
        <v>0</v>
      </c>
      <c r="FIR1">
        <f>Database!FJK1</f>
        <v>0</v>
      </c>
      <c r="FIS1">
        <f>Database!FJL1</f>
        <v>0</v>
      </c>
      <c r="FIT1">
        <f>Database!FJM1</f>
        <v>0</v>
      </c>
      <c r="FIU1">
        <f>Database!FJN1</f>
        <v>0</v>
      </c>
      <c r="FIV1">
        <f>Database!FJO1</f>
        <v>0</v>
      </c>
      <c r="FIW1">
        <f>Database!FJP1</f>
        <v>0</v>
      </c>
      <c r="FIX1">
        <f>Database!FJQ1</f>
        <v>0</v>
      </c>
      <c r="FIY1">
        <f>Database!FJR1</f>
        <v>0</v>
      </c>
      <c r="FIZ1">
        <f>Database!FJS1</f>
        <v>0</v>
      </c>
      <c r="FJA1">
        <f>Database!FJT1</f>
        <v>0</v>
      </c>
      <c r="FJB1">
        <f>Database!FJU1</f>
        <v>0</v>
      </c>
      <c r="FJC1">
        <f>Database!FJV1</f>
        <v>0</v>
      </c>
      <c r="FJD1">
        <f>Database!FJW1</f>
        <v>0</v>
      </c>
      <c r="FJE1">
        <f>Database!FJX1</f>
        <v>0</v>
      </c>
      <c r="FJF1">
        <f>Database!FJY1</f>
        <v>0</v>
      </c>
      <c r="FJG1">
        <f>Database!FJZ1</f>
        <v>0</v>
      </c>
      <c r="FJH1">
        <f>Database!FKA1</f>
        <v>0</v>
      </c>
      <c r="FJI1">
        <f>Database!FKB1</f>
        <v>0</v>
      </c>
      <c r="FJJ1">
        <f>Database!FKC1</f>
        <v>0</v>
      </c>
      <c r="FJK1">
        <f>Database!FKD1</f>
        <v>0</v>
      </c>
      <c r="FJL1">
        <f>Database!FKE1</f>
        <v>0</v>
      </c>
      <c r="FJM1">
        <f>Database!FKF1</f>
        <v>0</v>
      </c>
      <c r="FJN1">
        <f>Database!FKG1</f>
        <v>0</v>
      </c>
      <c r="FJO1">
        <f>Database!FKH1</f>
        <v>0</v>
      </c>
      <c r="FJP1">
        <f>Database!FKI1</f>
        <v>0</v>
      </c>
      <c r="FJQ1">
        <f>Database!FKJ1</f>
        <v>0</v>
      </c>
      <c r="FJR1">
        <f>Database!FKK1</f>
        <v>0</v>
      </c>
      <c r="FJS1">
        <f>Database!FKL1</f>
        <v>0</v>
      </c>
      <c r="FJT1">
        <f>Database!FKM1</f>
        <v>0</v>
      </c>
      <c r="FJU1">
        <f>Database!FKN1</f>
        <v>0</v>
      </c>
      <c r="FJV1">
        <f>Database!FKO1</f>
        <v>0</v>
      </c>
      <c r="FJW1">
        <f>Database!FKP1</f>
        <v>0</v>
      </c>
      <c r="FJX1">
        <f>Database!FKQ1</f>
        <v>0</v>
      </c>
      <c r="FJY1">
        <f>Database!FKR1</f>
        <v>0</v>
      </c>
      <c r="FJZ1">
        <f>Database!FKS1</f>
        <v>0</v>
      </c>
      <c r="FKA1">
        <f>Database!FKT1</f>
        <v>0</v>
      </c>
      <c r="FKB1">
        <f>Database!FKU1</f>
        <v>0</v>
      </c>
      <c r="FKC1">
        <f>Database!FKV1</f>
        <v>0</v>
      </c>
      <c r="FKD1">
        <f>Database!FKW1</f>
        <v>0</v>
      </c>
      <c r="FKE1">
        <f>Database!FKX1</f>
        <v>0</v>
      </c>
      <c r="FKF1">
        <f>Database!FKY1</f>
        <v>0</v>
      </c>
      <c r="FKG1">
        <f>Database!FKZ1</f>
        <v>0</v>
      </c>
      <c r="FKH1">
        <f>Database!FLA1</f>
        <v>0</v>
      </c>
      <c r="FKI1">
        <f>Database!FLB1</f>
        <v>0</v>
      </c>
      <c r="FKJ1">
        <f>Database!FLC1</f>
        <v>0</v>
      </c>
      <c r="FKK1">
        <f>Database!FLD1</f>
        <v>0</v>
      </c>
      <c r="FKL1">
        <f>Database!FLE1</f>
        <v>0</v>
      </c>
      <c r="FKM1">
        <f>Database!FLF1</f>
        <v>0</v>
      </c>
      <c r="FKN1">
        <f>Database!FLG1</f>
        <v>0</v>
      </c>
      <c r="FKO1">
        <f>Database!FLH1</f>
        <v>0</v>
      </c>
      <c r="FKP1">
        <f>Database!FLI1</f>
        <v>0</v>
      </c>
      <c r="FKQ1">
        <f>Database!FLJ1</f>
        <v>0</v>
      </c>
      <c r="FKR1">
        <f>Database!FLK1</f>
        <v>0</v>
      </c>
      <c r="FKS1">
        <f>Database!FLL1</f>
        <v>0</v>
      </c>
      <c r="FKT1">
        <f>Database!FLM1</f>
        <v>0</v>
      </c>
      <c r="FKU1">
        <f>Database!FLN1</f>
        <v>0</v>
      </c>
      <c r="FKV1">
        <f>Database!FLO1</f>
        <v>0</v>
      </c>
      <c r="FKW1">
        <f>Database!FLP1</f>
        <v>0</v>
      </c>
      <c r="FKX1">
        <f>Database!FLQ1</f>
        <v>0</v>
      </c>
      <c r="FKY1">
        <f>Database!FLR1</f>
        <v>0</v>
      </c>
      <c r="FKZ1">
        <f>Database!FLS1</f>
        <v>0</v>
      </c>
      <c r="FLA1">
        <f>Database!FLT1</f>
        <v>0</v>
      </c>
      <c r="FLB1">
        <f>Database!FLU1</f>
        <v>0</v>
      </c>
      <c r="FLC1">
        <f>Database!FLV1</f>
        <v>0</v>
      </c>
      <c r="FLD1">
        <f>Database!FLW1</f>
        <v>0</v>
      </c>
      <c r="FLE1">
        <f>Database!FLX1</f>
        <v>0</v>
      </c>
      <c r="FLF1">
        <f>Database!FLY1</f>
        <v>0</v>
      </c>
      <c r="FLG1">
        <f>Database!FLZ1</f>
        <v>0</v>
      </c>
      <c r="FLH1">
        <f>Database!FMA1</f>
        <v>0</v>
      </c>
      <c r="FLI1">
        <f>Database!FMB1</f>
        <v>0</v>
      </c>
      <c r="FLJ1">
        <f>Database!FMC1</f>
        <v>0</v>
      </c>
      <c r="FLK1">
        <f>Database!FMD1</f>
        <v>0</v>
      </c>
      <c r="FLL1">
        <f>Database!FME1</f>
        <v>0</v>
      </c>
      <c r="FLM1">
        <f>Database!FMF1</f>
        <v>0</v>
      </c>
      <c r="FLN1">
        <f>Database!FMG1</f>
        <v>0</v>
      </c>
      <c r="FLO1">
        <f>Database!FMH1</f>
        <v>0</v>
      </c>
      <c r="FLP1">
        <f>Database!FMI1</f>
        <v>0</v>
      </c>
      <c r="FLQ1">
        <f>Database!FMJ1</f>
        <v>0</v>
      </c>
      <c r="FLR1">
        <f>Database!FMK1</f>
        <v>0</v>
      </c>
      <c r="FLS1">
        <f>Database!FML1</f>
        <v>0</v>
      </c>
      <c r="FLT1">
        <f>Database!FMM1</f>
        <v>0</v>
      </c>
      <c r="FLU1">
        <f>Database!FMN1</f>
        <v>0</v>
      </c>
      <c r="FLV1">
        <f>Database!FMO1</f>
        <v>0</v>
      </c>
      <c r="FLW1">
        <f>Database!FMP1</f>
        <v>0</v>
      </c>
      <c r="FLX1">
        <f>Database!FMQ1</f>
        <v>0</v>
      </c>
      <c r="FLY1">
        <f>Database!FMR1</f>
        <v>0</v>
      </c>
      <c r="FLZ1">
        <f>Database!FMS1</f>
        <v>0</v>
      </c>
      <c r="FMA1">
        <f>Database!FMT1</f>
        <v>0</v>
      </c>
      <c r="FMB1">
        <f>Database!FMU1</f>
        <v>0</v>
      </c>
      <c r="FMC1">
        <f>Database!FMV1</f>
        <v>0</v>
      </c>
      <c r="FMD1">
        <f>Database!FMW1</f>
        <v>0</v>
      </c>
      <c r="FME1">
        <f>Database!FMX1</f>
        <v>0</v>
      </c>
      <c r="FMF1">
        <f>Database!FMY1</f>
        <v>0</v>
      </c>
      <c r="FMG1">
        <f>Database!FMZ1</f>
        <v>0</v>
      </c>
      <c r="FMH1">
        <f>Database!FNA1</f>
        <v>0</v>
      </c>
      <c r="FMI1">
        <f>Database!FNB1</f>
        <v>0</v>
      </c>
      <c r="FMJ1">
        <f>Database!FNC1</f>
        <v>0</v>
      </c>
      <c r="FMK1">
        <f>Database!FND1</f>
        <v>0</v>
      </c>
      <c r="FML1">
        <f>Database!FNE1</f>
        <v>0</v>
      </c>
      <c r="FMM1">
        <f>Database!FNF1</f>
        <v>0</v>
      </c>
      <c r="FMN1">
        <f>Database!FNG1</f>
        <v>0</v>
      </c>
      <c r="FMO1">
        <f>Database!FNH1</f>
        <v>0</v>
      </c>
      <c r="FMP1">
        <f>Database!FNI1</f>
        <v>0</v>
      </c>
      <c r="FMQ1">
        <f>Database!FNJ1</f>
        <v>0</v>
      </c>
      <c r="FMR1">
        <f>Database!FNK1</f>
        <v>0</v>
      </c>
      <c r="FMS1">
        <f>Database!FNL1</f>
        <v>0</v>
      </c>
      <c r="FMT1">
        <f>Database!FNM1</f>
        <v>0</v>
      </c>
      <c r="FMU1">
        <f>Database!FNN1</f>
        <v>0</v>
      </c>
      <c r="FMV1">
        <f>Database!FNO1</f>
        <v>0</v>
      </c>
      <c r="FMW1">
        <f>Database!FNP1</f>
        <v>0</v>
      </c>
      <c r="FMX1">
        <f>Database!FNQ1</f>
        <v>0</v>
      </c>
      <c r="FMY1">
        <f>Database!FNR1</f>
        <v>0</v>
      </c>
      <c r="FMZ1">
        <f>Database!FNS1</f>
        <v>0</v>
      </c>
      <c r="FNA1">
        <f>Database!FNT1</f>
        <v>0</v>
      </c>
      <c r="FNB1">
        <f>Database!FNU1</f>
        <v>0</v>
      </c>
      <c r="FNC1">
        <f>Database!FNV1</f>
        <v>0</v>
      </c>
      <c r="FND1">
        <f>Database!FNW1</f>
        <v>0</v>
      </c>
      <c r="FNE1">
        <f>Database!FNX1</f>
        <v>0</v>
      </c>
      <c r="FNF1">
        <f>Database!FNY1</f>
        <v>0</v>
      </c>
      <c r="FNG1">
        <f>Database!FNZ1</f>
        <v>0</v>
      </c>
      <c r="FNH1">
        <f>Database!FOA1</f>
        <v>0</v>
      </c>
      <c r="FNI1">
        <f>Database!FOB1</f>
        <v>0</v>
      </c>
      <c r="FNJ1">
        <f>Database!FOC1</f>
        <v>0</v>
      </c>
      <c r="FNK1">
        <f>Database!FOD1</f>
        <v>0</v>
      </c>
      <c r="FNL1">
        <f>Database!FOE1</f>
        <v>0</v>
      </c>
      <c r="FNM1">
        <f>Database!FOF1</f>
        <v>0</v>
      </c>
      <c r="FNN1">
        <f>Database!FOG1</f>
        <v>0</v>
      </c>
      <c r="FNO1">
        <f>Database!FOH1</f>
        <v>0</v>
      </c>
      <c r="FNP1">
        <f>Database!FOI1</f>
        <v>0</v>
      </c>
      <c r="FNQ1">
        <f>Database!FOJ1</f>
        <v>0</v>
      </c>
      <c r="FNR1">
        <f>Database!FOK1</f>
        <v>0</v>
      </c>
      <c r="FNS1">
        <f>Database!FOL1</f>
        <v>0</v>
      </c>
      <c r="FNT1">
        <f>Database!FOM1</f>
        <v>0</v>
      </c>
      <c r="FNU1">
        <f>Database!FON1</f>
        <v>0</v>
      </c>
      <c r="FNV1">
        <f>Database!FOO1</f>
        <v>0</v>
      </c>
      <c r="FNW1">
        <f>Database!FOP1</f>
        <v>0</v>
      </c>
      <c r="FNX1">
        <f>Database!FOQ1</f>
        <v>0</v>
      </c>
      <c r="FNY1">
        <f>Database!FOR1</f>
        <v>0</v>
      </c>
      <c r="FNZ1">
        <f>Database!FOS1</f>
        <v>0</v>
      </c>
      <c r="FOA1">
        <f>Database!FOT1</f>
        <v>0</v>
      </c>
      <c r="FOB1">
        <f>Database!FOU1</f>
        <v>0</v>
      </c>
      <c r="FOC1">
        <f>Database!FOV1</f>
        <v>0</v>
      </c>
      <c r="FOD1">
        <f>Database!FOW1</f>
        <v>0</v>
      </c>
      <c r="FOE1">
        <f>Database!FOX1</f>
        <v>0</v>
      </c>
      <c r="FOF1">
        <f>Database!FOY1</f>
        <v>0</v>
      </c>
      <c r="FOG1">
        <f>Database!FOZ1</f>
        <v>0</v>
      </c>
      <c r="FOH1">
        <f>Database!FPA1</f>
        <v>0</v>
      </c>
      <c r="FOI1">
        <f>Database!FPB1</f>
        <v>0</v>
      </c>
      <c r="FOJ1">
        <f>Database!FPC1</f>
        <v>0</v>
      </c>
      <c r="FOK1">
        <f>Database!FPD1</f>
        <v>0</v>
      </c>
      <c r="FOL1">
        <f>Database!FPE1</f>
        <v>0</v>
      </c>
      <c r="FOM1">
        <f>Database!FPF1</f>
        <v>0</v>
      </c>
      <c r="FON1">
        <f>Database!FPG1</f>
        <v>0</v>
      </c>
      <c r="FOO1">
        <f>Database!FPH1</f>
        <v>0</v>
      </c>
      <c r="FOP1">
        <f>Database!FPI1</f>
        <v>0</v>
      </c>
      <c r="FOQ1">
        <f>Database!FPJ1</f>
        <v>0</v>
      </c>
      <c r="FOR1">
        <f>Database!FPK1</f>
        <v>0</v>
      </c>
      <c r="FOS1">
        <f>Database!FPL1</f>
        <v>0</v>
      </c>
      <c r="FOT1">
        <f>Database!FPM1</f>
        <v>0</v>
      </c>
      <c r="FOU1">
        <f>Database!FPN1</f>
        <v>0</v>
      </c>
      <c r="FOV1">
        <f>Database!FPO1</f>
        <v>0</v>
      </c>
      <c r="FOW1">
        <f>Database!FPP1</f>
        <v>0</v>
      </c>
      <c r="FOX1">
        <f>Database!FPQ1</f>
        <v>0</v>
      </c>
      <c r="FOY1">
        <f>Database!FPR1</f>
        <v>0</v>
      </c>
      <c r="FOZ1">
        <f>Database!FPS1</f>
        <v>0</v>
      </c>
      <c r="FPA1">
        <f>Database!FPT1</f>
        <v>0</v>
      </c>
      <c r="FPB1">
        <f>Database!FPU1</f>
        <v>0</v>
      </c>
      <c r="FPC1">
        <f>Database!FPV1</f>
        <v>0</v>
      </c>
      <c r="FPD1">
        <f>Database!FPW1</f>
        <v>0</v>
      </c>
      <c r="FPE1">
        <f>Database!FPX1</f>
        <v>0</v>
      </c>
      <c r="FPF1">
        <f>Database!FPY1</f>
        <v>0</v>
      </c>
      <c r="FPG1">
        <f>Database!FPZ1</f>
        <v>0</v>
      </c>
      <c r="FPH1">
        <f>Database!FQA1</f>
        <v>0</v>
      </c>
      <c r="FPI1">
        <f>Database!FQB1</f>
        <v>0</v>
      </c>
      <c r="FPJ1">
        <f>Database!FQC1</f>
        <v>0</v>
      </c>
      <c r="FPK1">
        <f>Database!FQD1</f>
        <v>0</v>
      </c>
      <c r="FPL1">
        <f>Database!FQE1</f>
        <v>0</v>
      </c>
      <c r="FPM1">
        <f>Database!FQF1</f>
        <v>0</v>
      </c>
      <c r="FPN1">
        <f>Database!FQG1</f>
        <v>0</v>
      </c>
      <c r="FPO1">
        <f>Database!FQH1</f>
        <v>0</v>
      </c>
      <c r="FPP1">
        <f>Database!FQI1</f>
        <v>0</v>
      </c>
      <c r="FPQ1">
        <f>Database!FQJ1</f>
        <v>0</v>
      </c>
      <c r="FPR1">
        <f>Database!FQK1</f>
        <v>0</v>
      </c>
      <c r="FPS1">
        <f>Database!FQL1</f>
        <v>0</v>
      </c>
      <c r="FPT1">
        <f>Database!FQM1</f>
        <v>0</v>
      </c>
      <c r="FPU1">
        <f>Database!FQN1</f>
        <v>0</v>
      </c>
      <c r="FPV1">
        <f>Database!FQO1</f>
        <v>0</v>
      </c>
      <c r="FPW1">
        <f>Database!FQP1</f>
        <v>0</v>
      </c>
      <c r="FPX1">
        <f>Database!FQQ1</f>
        <v>0</v>
      </c>
      <c r="FPY1">
        <f>Database!FQR1</f>
        <v>0</v>
      </c>
      <c r="FPZ1">
        <f>Database!FQS1</f>
        <v>0</v>
      </c>
      <c r="FQA1">
        <f>Database!FQT1</f>
        <v>0</v>
      </c>
      <c r="FQB1">
        <f>Database!FQU1</f>
        <v>0</v>
      </c>
      <c r="FQC1">
        <f>Database!FQV1</f>
        <v>0</v>
      </c>
      <c r="FQD1">
        <f>Database!FQW1</f>
        <v>0</v>
      </c>
      <c r="FQE1">
        <f>Database!FQX1</f>
        <v>0</v>
      </c>
      <c r="FQF1">
        <f>Database!FQY1</f>
        <v>0</v>
      </c>
      <c r="FQG1">
        <f>Database!FQZ1</f>
        <v>0</v>
      </c>
      <c r="FQH1">
        <f>Database!FRA1</f>
        <v>0</v>
      </c>
      <c r="FQI1">
        <f>Database!FRB1</f>
        <v>0</v>
      </c>
      <c r="FQJ1">
        <f>Database!FRC1</f>
        <v>0</v>
      </c>
      <c r="FQK1">
        <f>Database!FRD1</f>
        <v>0</v>
      </c>
      <c r="FQL1">
        <f>Database!FRE1</f>
        <v>0</v>
      </c>
      <c r="FQM1">
        <f>Database!FRF1</f>
        <v>0</v>
      </c>
      <c r="FQN1">
        <f>Database!FRG1</f>
        <v>0</v>
      </c>
      <c r="FQO1">
        <f>Database!FRH1</f>
        <v>0</v>
      </c>
      <c r="FQP1">
        <f>Database!FRI1</f>
        <v>0</v>
      </c>
      <c r="FQQ1">
        <f>Database!FRJ1</f>
        <v>0</v>
      </c>
      <c r="FQR1">
        <f>Database!FRK1</f>
        <v>0</v>
      </c>
      <c r="FQS1">
        <f>Database!FRL1</f>
        <v>0</v>
      </c>
      <c r="FQT1">
        <f>Database!FRM1</f>
        <v>0</v>
      </c>
      <c r="FQU1">
        <f>Database!FRN1</f>
        <v>0</v>
      </c>
      <c r="FQV1">
        <f>Database!FRO1</f>
        <v>0</v>
      </c>
      <c r="FQW1">
        <f>Database!FRP1</f>
        <v>0</v>
      </c>
      <c r="FQX1">
        <f>Database!FRQ1</f>
        <v>0</v>
      </c>
      <c r="FQY1">
        <f>Database!FRR1</f>
        <v>0</v>
      </c>
      <c r="FQZ1">
        <f>Database!FRS1</f>
        <v>0</v>
      </c>
      <c r="FRA1">
        <f>Database!FRT1</f>
        <v>0</v>
      </c>
      <c r="FRB1">
        <f>Database!FRU1</f>
        <v>0</v>
      </c>
      <c r="FRC1">
        <f>Database!FRV1</f>
        <v>0</v>
      </c>
      <c r="FRD1">
        <f>Database!FRW1</f>
        <v>0</v>
      </c>
      <c r="FRE1">
        <f>Database!FRX1</f>
        <v>0</v>
      </c>
      <c r="FRF1">
        <f>Database!FRY1</f>
        <v>0</v>
      </c>
      <c r="FRG1">
        <f>Database!FRZ1</f>
        <v>0</v>
      </c>
      <c r="FRH1">
        <f>Database!FSA1</f>
        <v>0</v>
      </c>
      <c r="FRI1">
        <f>Database!FSB1</f>
        <v>0</v>
      </c>
      <c r="FRJ1">
        <f>Database!FSC1</f>
        <v>0</v>
      </c>
      <c r="FRK1">
        <f>Database!FSD1</f>
        <v>0</v>
      </c>
      <c r="FRL1">
        <f>Database!FSE1</f>
        <v>0</v>
      </c>
      <c r="FRM1">
        <f>Database!FSF1</f>
        <v>0</v>
      </c>
      <c r="FRN1">
        <f>Database!FSG1</f>
        <v>0</v>
      </c>
      <c r="FRO1">
        <f>Database!FSH1</f>
        <v>0</v>
      </c>
      <c r="FRP1">
        <f>Database!FSI1</f>
        <v>0</v>
      </c>
      <c r="FRQ1">
        <f>Database!FSJ1</f>
        <v>0</v>
      </c>
      <c r="FRR1">
        <f>Database!FSK1</f>
        <v>0</v>
      </c>
      <c r="FRS1">
        <f>Database!FSL1</f>
        <v>0</v>
      </c>
      <c r="FRT1">
        <f>Database!FSM1</f>
        <v>0</v>
      </c>
      <c r="FRU1">
        <f>Database!FSN1</f>
        <v>0</v>
      </c>
      <c r="FRV1">
        <f>Database!FSO1</f>
        <v>0</v>
      </c>
      <c r="FRW1">
        <f>Database!FSP1</f>
        <v>0</v>
      </c>
      <c r="FRX1">
        <f>Database!FSQ1</f>
        <v>0</v>
      </c>
      <c r="FRY1">
        <f>Database!FSR1</f>
        <v>0</v>
      </c>
      <c r="FRZ1">
        <f>Database!FSS1</f>
        <v>0</v>
      </c>
      <c r="FSA1">
        <f>Database!FST1</f>
        <v>0</v>
      </c>
      <c r="FSB1">
        <f>Database!FSU1</f>
        <v>0</v>
      </c>
      <c r="FSC1">
        <f>Database!FSV1</f>
        <v>0</v>
      </c>
      <c r="FSD1">
        <f>Database!FSW1</f>
        <v>0</v>
      </c>
      <c r="FSE1">
        <f>Database!FSX1</f>
        <v>0</v>
      </c>
      <c r="FSF1">
        <f>Database!FSY1</f>
        <v>0</v>
      </c>
      <c r="FSG1">
        <f>Database!FSZ1</f>
        <v>0</v>
      </c>
      <c r="FSH1">
        <f>Database!FTA1</f>
        <v>0</v>
      </c>
      <c r="FSI1">
        <f>Database!FTB1</f>
        <v>0</v>
      </c>
      <c r="FSJ1">
        <f>Database!FTC1</f>
        <v>0</v>
      </c>
      <c r="FSK1">
        <f>Database!FTD1</f>
        <v>0</v>
      </c>
      <c r="FSL1">
        <f>Database!FTE1</f>
        <v>0</v>
      </c>
      <c r="FSM1">
        <f>Database!FTF1</f>
        <v>0</v>
      </c>
      <c r="FSN1">
        <f>Database!FTG1</f>
        <v>0</v>
      </c>
      <c r="FSO1">
        <f>Database!FTH1</f>
        <v>0</v>
      </c>
      <c r="FSP1">
        <f>Database!FTI1</f>
        <v>0</v>
      </c>
      <c r="FSQ1">
        <f>Database!FTJ1</f>
        <v>0</v>
      </c>
      <c r="FSR1">
        <f>Database!FTK1</f>
        <v>0</v>
      </c>
      <c r="FSS1">
        <f>Database!FTL1</f>
        <v>0</v>
      </c>
      <c r="FST1">
        <f>Database!FTM1</f>
        <v>0</v>
      </c>
      <c r="FSU1">
        <f>Database!FTN1</f>
        <v>0</v>
      </c>
      <c r="FSV1">
        <f>Database!FTO1</f>
        <v>0</v>
      </c>
      <c r="FSW1">
        <f>Database!FTP1</f>
        <v>0</v>
      </c>
      <c r="FSX1">
        <f>Database!FTQ1</f>
        <v>0</v>
      </c>
      <c r="FSY1">
        <f>Database!FTR1</f>
        <v>0</v>
      </c>
      <c r="FSZ1">
        <f>Database!FTS1</f>
        <v>0</v>
      </c>
      <c r="FTA1">
        <f>Database!FTT1</f>
        <v>0</v>
      </c>
      <c r="FTB1">
        <f>Database!FTU1</f>
        <v>0</v>
      </c>
      <c r="FTC1">
        <f>Database!FTV1</f>
        <v>0</v>
      </c>
      <c r="FTD1">
        <f>Database!FTW1</f>
        <v>0</v>
      </c>
      <c r="FTE1">
        <f>Database!FTX1</f>
        <v>0</v>
      </c>
      <c r="FTF1">
        <f>Database!FTY1</f>
        <v>0</v>
      </c>
      <c r="FTG1">
        <f>Database!FTZ1</f>
        <v>0</v>
      </c>
      <c r="FTH1">
        <f>Database!FUA1</f>
        <v>0</v>
      </c>
      <c r="FTI1">
        <f>Database!FUB1</f>
        <v>0</v>
      </c>
      <c r="FTJ1">
        <f>Database!FUC1</f>
        <v>0</v>
      </c>
      <c r="FTK1">
        <f>Database!FUD1</f>
        <v>0</v>
      </c>
      <c r="FTL1">
        <f>Database!FUE1</f>
        <v>0</v>
      </c>
      <c r="FTM1">
        <f>Database!FUF1</f>
        <v>0</v>
      </c>
      <c r="FTN1">
        <f>Database!FUG1</f>
        <v>0</v>
      </c>
      <c r="FTO1">
        <f>Database!FUH1</f>
        <v>0</v>
      </c>
      <c r="FTP1">
        <f>Database!FUI1</f>
        <v>0</v>
      </c>
      <c r="FTQ1">
        <f>Database!FUJ1</f>
        <v>0</v>
      </c>
      <c r="FTR1">
        <f>Database!FUK1</f>
        <v>0</v>
      </c>
      <c r="FTS1">
        <f>Database!FUL1</f>
        <v>0</v>
      </c>
      <c r="FTT1">
        <f>Database!FUM1</f>
        <v>0</v>
      </c>
      <c r="FTU1">
        <f>Database!FUN1</f>
        <v>0</v>
      </c>
      <c r="FTV1">
        <f>Database!FUO1</f>
        <v>0</v>
      </c>
      <c r="FTW1">
        <f>Database!FUP1</f>
        <v>0</v>
      </c>
      <c r="FTX1">
        <f>Database!FUQ1</f>
        <v>0</v>
      </c>
      <c r="FTY1">
        <f>Database!FUR1</f>
        <v>0</v>
      </c>
      <c r="FTZ1">
        <f>Database!FUS1</f>
        <v>0</v>
      </c>
      <c r="FUA1">
        <f>Database!FUT1</f>
        <v>0</v>
      </c>
      <c r="FUB1">
        <f>Database!FUU1</f>
        <v>0</v>
      </c>
      <c r="FUC1">
        <f>Database!FUV1</f>
        <v>0</v>
      </c>
      <c r="FUD1">
        <f>Database!FUW1</f>
        <v>0</v>
      </c>
      <c r="FUE1">
        <f>Database!FUX1</f>
        <v>0</v>
      </c>
      <c r="FUF1">
        <f>Database!FUY1</f>
        <v>0</v>
      </c>
      <c r="FUG1">
        <f>Database!FUZ1</f>
        <v>0</v>
      </c>
      <c r="FUH1">
        <f>Database!FVA1</f>
        <v>0</v>
      </c>
      <c r="FUI1">
        <f>Database!FVB1</f>
        <v>0</v>
      </c>
      <c r="FUJ1">
        <f>Database!FVC1</f>
        <v>0</v>
      </c>
      <c r="FUK1">
        <f>Database!FVD1</f>
        <v>0</v>
      </c>
      <c r="FUL1">
        <f>Database!FVE1</f>
        <v>0</v>
      </c>
      <c r="FUM1">
        <f>Database!FVF1</f>
        <v>0</v>
      </c>
      <c r="FUN1">
        <f>Database!FVG1</f>
        <v>0</v>
      </c>
      <c r="FUO1">
        <f>Database!FVH1</f>
        <v>0</v>
      </c>
      <c r="FUP1">
        <f>Database!FVI1</f>
        <v>0</v>
      </c>
      <c r="FUQ1">
        <f>Database!FVJ1</f>
        <v>0</v>
      </c>
      <c r="FUR1">
        <f>Database!FVK1</f>
        <v>0</v>
      </c>
      <c r="FUS1">
        <f>Database!FVL1</f>
        <v>0</v>
      </c>
      <c r="FUT1">
        <f>Database!FVM1</f>
        <v>0</v>
      </c>
      <c r="FUU1">
        <f>Database!FVN1</f>
        <v>0</v>
      </c>
      <c r="FUV1">
        <f>Database!FVO1</f>
        <v>0</v>
      </c>
      <c r="FUW1">
        <f>Database!FVP1</f>
        <v>0</v>
      </c>
      <c r="FUX1">
        <f>Database!FVQ1</f>
        <v>0</v>
      </c>
      <c r="FUY1">
        <f>Database!FVR1</f>
        <v>0</v>
      </c>
      <c r="FUZ1">
        <f>Database!FVS1</f>
        <v>0</v>
      </c>
      <c r="FVA1">
        <f>Database!FVT1</f>
        <v>0</v>
      </c>
      <c r="FVB1">
        <f>Database!FVU1</f>
        <v>0</v>
      </c>
      <c r="FVC1">
        <f>Database!FVV1</f>
        <v>0</v>
      </c>
      <c r="FVD1">
        <f>Database!FVW1</f>
        <v>0</v>
      </c>
      <c r="FVE1">
        <f>Database!FVX1</f>
        <v>0</v>
      </c>
      <c r="FVF1">
        <f>Database!FVY1</f>
        <v>0</v>
      </c>
      <c r="FVG1">
        <f>Database!FVZ1</f>
        <v>0</v>
      </c>
      <c r="FVH1">
        <f>Database!FWA1</f>
        <v>0</v>
      </c>
      <c r="FVI1">
        <f>Database!FWB1</f>
        <v>0</v>
      </c>
      <c r="FVJ1">
        <f>Database!FWC1</f>
        <v>0</v>
      </c>
      <c r="FVK1">
        <f>Database!FWD1</f>
        <v>0</v>
      </c>
      <c r="FVL1">
        <f>Database!FWE1</f>
        <v>0</v>
      </c>
      <c r="FVM1">
        <f>Database!FWF1</f>
        <v>0</v>
      </c>
      <c r="FVN1">
        <f>Database!FWG1</f>
        <v>0</v>
      </c>
      <c r="FVO1">
        <f>Database!FWH1</f>
        <v>0</v>
      </c>
      <c r="FVP1">
        <f>Database!FWI1</f>
        <v>0</v>
      </c>
      <c r="FVQ1">
        <f>Database!FWJ1</f>
        <v>0</v>
      </c>
      <c r="FVR1">
        <f>Database!FWK1</f>
        <v>0</v>
      </c>
      <c r="FVS1">
        <f>Database!FWL1</f>
        <v>0</v>
      </c>
      <c r="FVT1">
        <f>Database!FWM1</f>
        <v>0</v>
      </c>
      <c r="FVU1">
        <f>Database!FWN1</f>
        <v>0</v>
      </c>
      <c r="FVV1">
        <f>Database!FWO1</f>
        <v>0</v>
      </c>
      <c r="FVW1">
        <f>Database!FWP1</f>
        <v>0</v>
      </c>
      <c r="FVX1">
        <f>Database!FWQ1</f>
        <v>0</v>
      </c>
      <c r="FVY1">
        <f>Database!FWR1</f>
        <v>0</v>
      </c>
      <c r="FVZ1">
        <f>Database!FWS1</f>
        <v>0</v>
      </c>
      <c r="FWA1">
        <f>Database!FWT1</f>
        <v>0</v>
      </c>
      <c r="FWB1">
        <f>Database!FWU1</f>
        <v>0</v>
      </c>
      <c r="FWC1">
        <f>Database!FWV1</f>
        <v>0</v>
      </c>
      <c r="FWD1">
        <f>Database!FWW1</f>
        <v>0</v>
      </c>
      <c r="FWE1">
        <f>Database!FWX1</f>
        <v>0</v>
      </c>
      <c r="FWF1">
        <f>Database!FWY1</f>
        <v>0</v>
      </c>
      <c r="FWG1">
        <f>Database!FWZ1</f>
        <v>0</v>
      </c>
      <c r="FWH1">
        <f>Database!FXA1</f>
        <v>0</v>
      </c>
      <c r="FWI1">
        <f>Database!FXB1</f>
        <v>0</v>
      </c>
      <c r="FWJ1">
        <f>Database!FXC1</f>
        <v>0</v>
      </c>
      <c r="FWK1">
        <f>Database!FXD1</f>
        <v>0</v>
      </c>
      <c r="FWL1">
        <f>Database!FXE1</f>
        <v>0</v>
      </c>
      <c r="FWM1">
        <f>Database!FXF1</f>
        <v>0</v>
      </c>
      <c r="FWN1">
        <f>Database!FXG1</f>
        <v>0</v>
      </c>
      <c r="FWO1">
        <f>Database!FXH1</f>
        <v>0</v>
      </c>
      <c r="FWP1">
        <f>Database!FXI1</f>
        <v>0</v>
      </c>
      <c r="FWQ1">
        <f>Database!FXJ1</f>
        <v>0</v>
      </c>
      <c r="FWR1">
        <f>Database!FXK1</f>
        <v>0</v>
      </c>
      <c r="FWS1">
        <f>Database!FXL1</f>
        <v>0</v>
      </c>
      <c r="FWT1">
        <f>Database!FXM1</f>
        <v>0</v>
      </c>
      <c r="FWU1">
        <f>Database!FXN1</f>
        <v>0</v>
      </c>
      <c r="FWV1">
        <f>Database!FXO1</f>
        <v>0</v>
      </c>
      <c r="FWW1">
        <f>Database!FXP1</f>
        <v>0</v>
      </c>
      <c r="FWX1">
        <f>Database!FXQ1</f>
        <v>0</v>
      </c>
      <c r="FWY1">
        <f>Database!FXR1</f>
        <v>0</v>
      </c>
      <c r="FWZ1">
        <f>Database!FXS1</f>
        <v>0</v>
      </c>
      <c r="FXA1">
        <f>Database!FXT1</f>
        <v>0</v>
      </c>
      <c r="FXB1">
        <f>Database!FXU1</f>
        <v>0</v>
      </c>
      <c r="FXC1">
        <f>Database!FXV1</f>
        <v>0</v>
      </c>
      <c r="FXD1">
        <f>Database!FXW1</f>
        <v>0</v>
      </c>
      <c r="FXE1">
        <f>Database!FXX1</f>
        <v>0</v>
      </c>
      <c r="FXF1">
        <f>Database!FXY1</f>
        <v>0</v>
      </c>
      <c r="FXG1">
        <f>Database!FXZ1</f>
        <v>0</v>
      </c>
      <c r="FXH1">
        <f>Database!FYA1</f>
        <v>0</v>
      </c>
      <c r="FXI1">
        <f>Database!FYB1</f>
        <v>0</v>
      </c>
      <c r="FXJ1">
        <f>Database!FYC1</f>
        <v>0</v>
      </c>
      <c r="FXK1">
        <f>Database!FYD1</f>
        <v>0</v>
      </c>
      <c r="FXL1">
        <f>Database!FYE1</f>
        <v>0</v>
      </c>
      <c r="FXM1">
        <f>Database!FYF1</f>
        <v>0</v>
      </c>
      <c r="FXN1">
        <f>Database!FYG1</f>
        <v>0</v>
      </c>
      <c r="FXO1">
        <f>Database!FYH1</f>
        <v>0</v>
      </c>
      <c r="FXP1">
        <f>Database!FYI1</f>
        <v>0</v>
      </c>
      <c r="FXQ1">
        <f>Database!FYJ1</f>
        <v>0</v>
      </c>
      <c r="FXR1">
        <f>Database!FYK1</f>
        <v>0</v>
      </c>
      <c r="FXS1">
        <f>Database!FYL1</f>
        <v>0</v>
      </c>
      <c r="FXT1">
        <f>Database!FYM1</f>
        <v>0</v>
      </c>
      <c r="FXU1">
        <f>Database!FYN1</f>
        <v>0</v>
      </c>
      <c r="FXV1">
        <f>Database!FYO1</f>
        <v>0</v>
      </c>
      <c r="FXW1">
        <f>Database!FYP1</f>
        <v>0</v>
      </c>
      <c r="FXX1">
        <f>Database!FYQ1</f>
        <v>0</v>
      </c>
      <c r="FXY1">
        <f>Database!FYR1</f>
        <v>0</v>
      </c>
      <c r="FXZ1">
        <f>Database!FYS1</f>
        <v>0</v>
      </c>
      <c r="FYA1">
        <f>Database!FYT1</f>
        <v>0</v>
      </c>
      <c r="FYB1">
        <f>Database!FYU1</f>
        <v>0</v>
      </c>
      <c r="FYC1">
        <f>Database!FYV1</f>
        <v>0</v>
      </c>
      <c r="FYD1">
        <f>Database!FYW1</f>
        <v>0</v>
      </c>
      <c r="FYE1">
        <f>Database!FYX1</f>
        <v>0</v>
      </c>
      <c r="FYF1">
        <f>Database!FYY1</f>
        <v>0</v>
      </c>
      <c r="FYG1">
        <f>Database!FYZ1</f>
        <v>0</v>
      </c>
      <c r="FYH1">
        <f>Database!FZA1</f>
        <v>0</v>
      </c>
      <c r="FYI1">
        <f>Database!FZB1</f>
        <v>0</v>
      </c>
      <c r="FYJ1">
        <f>Database!FZC1</f>
        <v>0</v>
      </c>
      <c r="FYK1">
        <f>Database!FZD1</f>
        <v>0</v>
      </c>
      <c r="FYL1">
        <f>Database!FZE1</f>
        <v>0</v>
      </c>
      <c r="FYM1">
        <f>Database!FZF1</f>
        <v>0</v>
      </c>
      <c r="FYN1">
        <f>Database!FZG1</f>
        <v>0</v>
      </c>
      <c r="FYO1">
        <f>Database!FZH1</f>
        <v>0</v>
      </c>
      <c r="FYP1">
        <f>Database!FZI1</f>
        <v>0</v>
      </c>
      <c r="FYQ1">
        <f>Database!FZJ1</f>
        <v>0</v>
      </c>
      <c r="FYR1">
        <f>Database!FZK1</f>
        <v>0</v>
      </c>
      <c r="FYS1">
        <f>Database!FZL1</f>
        <v>0</v>
      </c>
      <c r="FYT1">
        <f>Database!FZM1</f>
        <v>0</v>
      </c>
      <c r="FYU1">
        <f>Database!FZN1</f>
        <v>0</v>
      </c>
      <c r="FYV1">
        <f>Database!FZO1</f>
        <v>0</v>
      </c>
      <c r="FYW1">
        <f>Database!FZP1</f>
        <v>0</v>
      </c>
      <c r="FYX1">
        <f>Database!FZQ1</f>
        <v>0</v>
      </c>
      <c r="FYY1">
        <f>Database!FZR1</f>
        <v>0</v>
      </c>
      <c r="FYZ1">
        <f>Database!FZS1</f>
        <v>0</v>
      </c>
      <c r="FZA1">
        <f>Database!FZT1</f>
        <v>0</v>
      </c>
      <c r="FZB1">
        <f>Database!FZU1</f>
        <v>0</v>
      </c>
      <c r="FZC1">
        <f>Database!FZV1</f>
        <v>0</v>
      </c>
      <c r="FZD1">
        <f>Database!FZW1</f>
        <v>0</v>
      </c>
      <c r="FZE1">
        <f>Database!FZX1</f>
        <v>0</v>
      </c>
      <c r="FZF1">
        <f>Database!FZY1</f>
        <v>0</v>
      </c>
      <c r="FZG1">
        <f>Database!FZZ1</f>
        <v>0</v>
      </c>
      <c r="FZH1">
        <f>Database!GAA1</f>
        <v>0</v>
      </c>
      <c r="FZI1">
        <f>Database!GAB1</f>
        <v>0</v>
      </c>
      <c r="FZJ1">
        <f>Database!GAC1</f>
        <v>0</v>
      </c>
      <c r="FZK1">
        <f>Database!GAD1</f>
        <v>0</v>
      </c>
      <c r="FZL1">
        <f>Database!GAE1</f>
        <v>0</v>
      </c>
      <c r="FZM1">
        <f>Database!GAF1</f>
        <v>0</v>
      </c>
      <c r="FZN1">
        <f>Database!GAG1</f>
        <v>0</v>
      </c>
      <c r="FZO1">
        <f>Database!GAH1</f>
        <v>0</v>
      </c>
      <c r="FZP1">
        <f>Database!GAI1</f>
        <v>0</v>
      </c>
      <c r="FZQ1">
        <f>Database!GAJ1</f>
        <v>0</v>
      </c>
      <c r="FZR1">
        <f>Database!GAK1</f>
        <v>0</v>
      </c>
      <c r="FZS1">
        <f>Database!GAL1</f>
        <v>0</v>
      </c>
      <c r="FZT1">
        <f>Database!GAM1</f>
        <v>0</v>
      </c>
      <c r="FZU1">
        <f>Database!GAN1</f>
        <v>0</v>
      </c>
      <c r="FZV1">
        <f>Database!GAO1</f>
        <v>0</v>
      </c>
      <c r="FZW1">
        <f>Database!GAP1</f>
        <v>0</v>
      </c>
      <c r="FZX1">
        <f>Database!GAQ1</f>
        <v>0</v>
      </c>
      <c r="FZY1">
        <f>Database!GAR1</f>
        <v>0</v>
      </c>
      <c r="FZZ1">
        <f>Database!GAS1</f>
        <v>0</v>
      </c>
      <c r="GAA1">
        <f>Database!GAT1</f>
        <v>0</v>
      </c>
      <c r="GAB1">
        <f>Database!GAU1</f>
        <v>0</v>
      </c>
      <c r="GAC1">
        <f>Database!GAV1</f>
        <v>0</v>
      </c>
      <c r="GAD1">
        <f>Database!GAW1</f>
        <v>0</v>
      </c>
      <c r="GAE1">
        <f>Database!GAX1</f>
        <v>0</v>
      </c>
      <c r="GAF1">
        <f>Database!GAY1</f>
        <v>0</v>
      </c>
      <c r="GAG1">
        <f>Database!GAZ1</f>
        <v>0</v>
      </c>
      <c r="GAH1">
        <f>Database!GBA1</f>
        <v>0</v>
      </c>
      <c r="GAI1">
        <f>Database!GBB1</f>
        <v>0</v>
      </c>
      <c r="GAJ1">
        <f>Database!GBC1</f>
        <v>0</v>
      </c>
      <c r="GAK1">
        <f>Database!GBD1</f>
        <v>0</v>
      </c>
      <c r="GAL1">
        <f>Database!GBE1</f>
        <v>0</v>
      </c>
      <c r="GAM1">
        <f>Database!GBF1</f>
        <v>0</v>
      </c>
      <c r="GAN1">
        <f>Database!GBG1</f>
        <v>0</v>
      </c>
      <c r="GAO1">
        <f>Database!GBH1</f>
        <v>0</v>
      </c>
      <c r="GAP1">
        <f>Database!GBI1</f>
        <v>0</v>
      </c>
      <c r="GAQ1">
        <f>Database!GBJ1</f>
        <v>0</v>
      </c>
      <c r="GAR1">
        <f>Database!GBK1</f>
        <v>0</v>
      </c>
      <c r="GAS1">
        <f>Database!GBL1</f>
        <v>0</v>
      </c>
      <c r="GAT1">
        <f>Database!GBM1</f>
        <v>0</v>
      </c>
      <c r="GAU1">
        <f>Database!GBN1</f>
        <v>0</v>
      </c>
      <c r="GAV1">
        <f>Database!GBO1</f>
        <v>0</v>
      </c>
      <c r="GAW1">
        <f>Database!GBP1</f>
        <v>0</v>
      </c>
      <c r="GAX1">
        <f>Database!GBQ1</f>
        <v>0</v>
      </c>
      <c r="GAY1">
        <f>Database!GBR1</f>
        <v>0</v>
      </c>
      <c r="GAZ1">
        <f>Database!GBS1</f>
        <v>0</v>
      </c>
      <c r="GBA1">
        <f>Database!GBT1</f>
        <v>0</v>
      </c>
      <c r="GBB1">
        <f>Database!GBU1</f>
        <v>0</v>
      </c>
      <c r="GBC1">
        <f>Database!GBV1</f>
        <v>0</v>
      </c>
      <c r="GBD1">
        <f>Database!GBW1</f>
        <v>0</v>
      </c>
      <c r="GBE1">
        <f>Database!GBX1</f>
        <v>0</v>
      </c>
      <c r="GBF1">
        <f>Database!GBY1</f>
        <v>0</v>
      </c>
      <c r="GBG1">
        <f>Database!GBZ1</f>
        <v>0</v>
      </c>
      <c r="GBH1">
        <f>Database!GCA1</f>
        <v>0</v>
      </c>
      <c r="GBI1">
        <f>Database!GCB1</f>
        <v>0</v>
      </c>
      <c r="GBJ1">
        <f>Database!GCC1</f>
        <v>0</v>
      </c>
      <c r="GBK1">
        <f>Database!GCD1</f>
        <v>0</v>
      </c>
      <c r="GBL1">
        <f>Database!GCE1</f>
        <v>0</v>
      </c>
      <c r="GBM1">
        <f>Database!GCF1</f>
        <v>0</v>
      </c>
      <c r="GBN1">
        <f>Database!GCG1</f>
        <v>0</v>
      </c>
      <c r="GBO1">
        <f>Database!GCH1</f>
        <v>0</v>
      </c>
      <c r="GBP1">
        <f>Database!GCI1</f>
        <v>0</v>
      </c>
      <c r="GBQ1">
        <f>Database!GCJ1</f>
        <v>0</v>
      </c>
      <c r="GBR1">
        <f>Database!GCK1</f>
        <v>0</v>
      </c>
      <c r="GBS1">
        <f>Database!GCL1</f>
        <v>0</v>
      </c>
      <c r="GBT1">
        <f>Database!GCM1</f>
        <v>0</v>
      </c>
      <c r="GBU1">
        <f>Database!GCN1</f>
        <v>0</v>
      </c>
      <c r="GBV1">
        <f>Database!GCO1</f>
        <v>0</v>
      </c>
      <c r="GBW1">
        <f>Database!GCP1</f>
        <v>0</v>
      </c>
      <c r="GBX1">
        <f>Database!GCQ1</f>
        <v>0</v>
      </c>
      <c r="GBY1">
        <f>Database!GCR1</f>
        <v>0</v>
      </c>
      <c r="GBZ1">
        <f>Database!GCS1</f>
        <v>0</v>
      </c>
      <c r="GCA1">
        <f>Database!GCT1</f>
        <v>0</v>
      </c>
      <c r="GCB1">
        <f>Database!GCU1</f>
        <v>0</v>
      </c>
      <c r="GCC1">
        <f>Database!GCV1</f>
        <v>0</v>
      </c>
      <c r="GCD1">
        <f>Database!GCW1</f>
        <v>0</v>
      </c>
      <c r="GCE1">
        <f>Database!GCX1</f>
        <v>0</v>
      </c>
      <c r="GCF1">
        <f>Database!GCY1</f>
        <v>0</v>
      </c>
      <c r="GCG1">
        <f>Database!GCZ1</f>
        <v>0</v>
      </c>
      <c r="GCH1">
        <f>Database!GDA1</f>
        <v>0</v>
      </c>
      <c r="GCI1">
        <f>Database!GDB1</f>
        <v>0</v>
      </c>
      <c r="GCJ1">
        <f>Database!GDC1</f>
        <v>0</v>
      </c>
      <c r="GCK1">
        <f>Database!GDD1</f>
        <v>0</v>
      </c>
      <c r="GCL1">
        <f>Database!GDE1</f>
        <v>0</v>
      </c>
      <c r="GCM1">
        <f>Database!GDF1</f>
        <v>0</v>
      </c>
      <c r="GCN1">
        <f>Database!GDG1</f>
        <v>0</v>
      </c>
      <c r="GCO1">
        <f>Database!GDH1</f>
        <v>0</v>
      </c>
      <c r="GCP1">
        <f>Database!GDI1</f>
        <v>0</v>
      </c>
      <c r="GCQ1">
        <f>Database!GDJ1</f>
        <v>0</v>
      </c>
      <c r="GCR1">
        <f>Database!GDK1</f>
        <v>0</v>
      </c>
      <c r="GCS1">
        <f>Database!GDL1</f>
        <v>0</v>
      </c>
      <c r="GCT1">
        <f>Database!GDM1</f>
        <v>0</v>
      </c>
      <c r="GCU1">
        <f>Database!GDN1</f>
        <v>0</v>
      </c>
      <c r="GCV1">
        <f>Database!GDO1</f>
        <v>0</v>
      </c>
      <c r="GCW1">
        <f>Database!GDP1</f>
        <v>0</v>
      </c>
      <c r="GCX1">
        <f>Database!GDQ1</f>
        <v>0</v>
      </c>
      <c r="GCY1">
        <f>Database!GDR1</f>
        <v>0</v>
      </c>
      <c r="GCZ1">
        <f>Database!GDS1</f>
        <v>0</v>
      </c>
      <c r="GDA1">
        <f>Database!GDT1</f>
        <v>0</v>
      </c>
      <c r="GDB1">
        <f>Database!GDU1</f>
        <v>0</v>
      </c>
      <c r="GDC1">
        <f>Database!GDV1</f>
        <v>0</v>
      </c>
      <c r="GDD1">
        <f>Database!GDW1</f>
        <v>0</v>
      </c>
      <c r="GDE1">
        <f>Database!GDX1</f>
        <v>0</v>
      </c>
      <c r="GDF1">
        <f>Database!GDY1</f>
        <v>0</v>
      </c>
      <c r="GDG1">
        <f>Database!GDZ1</f>
        <v>0</v>
      </c>
      <c r="GDH1">
        <f>Database!GEA1</f>
        <v>0</v>
      </c>
      <c r="GDI1">
        <f>Database!GEB1</f>
        <v>0</v>
      </c>
      <c r="GDJ1">
        <f>Database!GEC1</f>
        <v>0</v>
      </c>
      <c r="GDK1">
        <f>Database!GED1</f>
        <v>0</v>
      </c>
      <c r="GDL1">
        <f>Database!GEE1</f>
        <v>0</v>
      </c>
      <c r="GDM1">
        <f>Database!GEF1</f>
        <v>0</v>
      </c>
      <c r="GDN1">
        <f>Database!GEG1</f>
        <v>0</v>
      </c>
      <c r="GDO1">
        <f>Database!GEH1</f>
        <v>0</v>
      </c>
      <c r="GDP1">
        <f>Database!GEI1</f>
        <v>0</v>
      </c>
      <c r="GDQ1">
        <f>Database!GEJ1</f>
        <v>0</v>
      </c>
      <c r="GDR1">
        <f>Database!GEK1</f>
        <v>0</v>
      </c>
      <c r="GDS1">
        <f>Database!GEL1</f>
        <v>0</v>
      </c>
      <c r="GDT1">
        <f>Database!GEM1</f>
        <v>0</v>
      </c>
      <c r="GDU1">
        <f>Database!GEN1</f>
        <v>0</v>
      </c>
      <c r="GDV1">
        <f>Database!GEO1</f>
        <v>0</v>
      </c>
      <c r="GDW1">
        <f>Database!GEP1</f>
        <v>0</v>
      </c>
      <c r="GDX1">
        <f>Database!GEQ1</f>
        <v>0</v>
      </c>
      <c r="GDY1">
        <f>Database!GER1</f>
        <v>0</v>
      </c>
      <c r="GDZ1">
        <f>Database!GES1</f>
        <v>0</v>
      </c>
      <c r="GEA1">
        <f>Database!GET1</f>
        <v>0</v>
      </c>
      <c r="GEB1">
        <f>Database!GEU1</f>
        <v>0</v>
      </c>
      <c r="GEC1">
        <f>Database!GEV1</f>
        <v>0</v>
      </c>
      <c r="GED1">
        <f>Database!GEW1</f>
        <v>0</v>
      </c>
      <c r="GEE1">
        <f>Database!GEX1</f>
        <v>0</v>
      </c>
      <c r="GEF1">
        <f>Database!GEY1</f>
        <v>0</v>
      </c>
      <c r="GEG1">
        <f>Database!GEZ1</f>
        <v>0</v>
      </c>
      <c r="GEH1">
        <f>Database!GFA1</f>
        <v>0</v>
      </c>
      <c r="GEI1">
        <f>Database!GFB1</f>
        <v>0</v>
      </c>
      <c r="GEJ1">
        <f>Database!GFC1</f>
        <v>0</v>
      </c>
      <c r="GEK1">
        <f>Database!GFD1</f>
        <v>0</v>
      </c>
      <c r="GEL1">
        <f>Database!GFE1</f>
        <v>0</v>
      </c>
      <c r="GEM1">
        <f>Database!GFF1</f>
        <v>0</v>
      </c>
      <c r="GEN1">
        <f>Database!GFG1</f>
        <v>0</v>
      </c>
      <c r="GEO1">
        <f>Database!GFH1</f>
        <v>0</v>
      </c>
      <c r="GEP1">
        <f>Database!GFI1</f>
        <v>0</v>
      </c>
      <c r="GEQ1">
        <f>Database!GFJ1</f>
        <v>0</v>
      </c>
      <c r="GER1">
        <f>Database!GFK1</f>
        <v>0</v>
      </c>
      <c r="GES1">
        <f>Database!GFL1</f>
        <v>0</v>
      </c>
      <c r="GET1">
        <f>Database!GFM1</f>
        <v>0</v>
      </c>
      <c r="GEU1">
        <f>Database!GFN1</f>
        <v>0</v>
      </c>
      <c r="GEV1">
        <f>Database!GFO1</f>
        <v>0</v>
      </c>
      <c r="GEW1">
        <f>Database!GFP1</f>
        <v>0</v>
      </c>
      <c r="GEX1">
        <f>Database!GFQ1</f>
        <v>0</v>
      </c>
      <c r="GEY1">
        <f>Database!GFR1</f>
        <v>0</v>
      </c>
      <c r="GEZ1">
        <f>Database!GFS1</f>
        <v>0</v>
      </c>
      <c r="GFA1">
        <f>Database!GFT1</f>
        <v>0</v>
      </c>
      <c r="GFB1">
        <f>Database!GFU1</f>
        <v>0</v>
      </c>
      <c r="GFC1">
        <f>Database!GFV1</f>
        <v>0</v>
      </c>
      <c r="GFD1">
        <f>Database!GFW1</f>
        <v>0</v>
      </c>
      <c r="GFE1">
        <f>Database!GFX1</f>
        <v>0</v>
      </c>
      <c r="GFF1">
        <f>Database!GFY1</f>
        <v>0</v>
      </c>
      <c r="GFG1">
        <f>Database!GFZ1</f>
        <v>0</v>
      </c>
      <c r="GFH1">
        <f>Database!GGA1</f>
        <v>0</v>
      </c>
      <c r="GFI1">
        <f>Database!GGB1</f>
        <v>0</v>
      </c>
      <c r="GFJ1">
        <f>Database!GGC1</f>
        <v>0</v>
      </c>
      <c r="GFK1">
        <f>Database!GGD1</f>
        <v>0</v>
      </c>
      <c r="GFL1">
        <f>Database!GGE1</f>
        <v>0</v>
      </c>
      <c r="GFM1">
        <f>Database!GGF1</f>
        <v>0</v>
      </c>
      <c r="GFN1">
        <f>Database!GGG1</f>
        <v>0</v>
      </c>
      <c r="GFO1">
        <f>Database!GGH1</f>
        <v>0</v>
      </c>
      <c r="GFP1">
        <f>Database!GGI1</f>
        <v>0</v>
      </c>
      <c r="GFQ1">
        <f>Database!GGJ1</f>
        <v>0</v>
      </c>
      <c r="GFR1">
        <f>Database!GGK1</f>
        <v>0</v>
      </c>
      <c r="GFS1">
        <f>Database!GGL1</f>
        <v>0</v>
      </c>
      <c r="GFT1">
        <f>Database!GGM1</f>
        <v>0</v>
      </c>
      <c r="GFU1">
        <f>Database!GGN1</f>
        <v>0</v>
      </c>
      <c r="GFV1">
        <f>Database!GGO1</f>
        <v>0</v>
      </c>
      <c r="GFW1">
        <f>Database!GGP1</f>
        <v>0</v>
      </c>
      <c r="GFX1">
        <f>Database!GGQ1</f>
        <v>0</v>
      </c>
      <c r="GFY1">
        <f>Database!GGR1</f>
        <v>0</v>
      </c>
      <c r="GFZ1">
        <f>Database!GGS1</f>
        <v>0</v>
      </c>
      <c r="GGA1">
        <f>Database!GGT1</f>
        <v>0</v>
      </c>
      <c r="GGB1">
        <f>Database!GGU1</f>
        <v>0</v>
      </c>
      <c r="GGC1">
        <f>Database!GGV1</f>
        <v>0</v>
      </c>
      <c r="GGD1">
        <f>Database!GGW1</f>
        <v>0</v>
      </c>
      <c r="GGE1">
        <f>Database!GGX1</f>
        <v>0</v>
      </c>
      <c r="GGF1">
        <f>Database!GGY1</f>
        <v>0</v>
      </c>
      <c r="GGG1">
        <f>Database!GGZ1</f>
        <v>0</v>
      </c>
      <c r="GGH1">
        <f>Database!GHA1</f>
        <v>0</v>
      </c>
      <c r="GGI1">
        <f>Database!GHB1</f>
        <v>0</v>
      </c>
      <c r="GGJ1">
        <f>Database!GHC1</f>
        <v>0</v>
      </c>
      <c r="GGK1">
        <f>Database!GHD1</f>
        <v>0</v>
      </c>
      <c r="GGL1">
        <f>Database!GHE1</f>
        <v>0</v>
      </c>
      <c r="GGM1">
        <f>Database!GHF1</f>
        <v>0</v>
      </c>
      <c r="GGN1">
        <f>Database!GHG1</f>
        <v>0</v>
      </c>
      <c r="GGO1">
        <f>Database!GHH1</f>
        <v>0</v>
      </c>
      <c r="GGP1">
        <f>Database!GHI1</f>
        <v>0</v>
      </c>
      <c r="GGQ1">
        <f>Database!GHJ1</f>
        <v>0</v>
      </c>
      <c r="GGR1">
        <f>Database!GHK1</f>
        <v>0</v>
      </c>
      <c r="GGS1">
        <f>Database!GHL1</f>
        <v>0</v>
      </c>
      <c r="GGT1">
        <f>Database!GHM1</f>
        <v>0</v>
      </c>
      <c r="GGU1">
        <f>Database!GHN1</f>
        <v>0</v>
      </c>
      <c r="GGV1">
        <f>Database!GHO1</f>
        <v>0</v>
      </c>
      <c r="GGW1">
        <f>Database!GHP1</f>
        <v>0</v>
      </c>
      <c r="GGX1">
        <f>Database!GHQ1</f>
        <v>0</v>
      </c>
      <c r="GGY1">
        <f>Database!GHR1</f>
        <v>0</v>
      </c>
      <c r="GGZ1">
        <f>Database!GHS1</f>
        <v>0</v>
      </c>
      <c r="GHA1">
        <f>Database!GHT1</f>
        <v>0</v>
      </c>
      <c r="GHB1">
        <f>Database!GHU1</f>
        <v>0</v>
      </c>
      <c r="GHC1">
        <f>Database!GHV1</f>
        <v>0</v>
      </c>
      <c r="GHD1">
        <f>Database!GHW1</f>
        <v>0</v>
      </c>
      <c r="GHE1">
        <f>Database!GHX1</f>
        <v>0</v>
      </c>
      <c r="GHF1">
        <f>Database!GHY1</f>
        <v>0</v>
      </c>
      <c r="GHG1">
        <f>Database!GHZ1</f>
        <v>0</v>
      </c>
      <c r="GHH1">
        <f>Database!GIA1</f>
        <v>0</v>
      </c>
      <c r="GHI1">
        <f>Database!GIB1</f>
        <v>0</v>
      </c>
      <c r="GHJ1">
        <f>Database!GIC1</f>
        <v>0</v>
      </c>
      <c r="GHK1">
        <f>Database!GID1</f>
        <v>0</v>
      </c>
      <c r="GHL1">
        <f>Database!GIE1</f>
        <v>0</v>
      </c>
      <c r="GHM1">
        <f>Database!GIF1</f>
        <v>0</v>
      </c>
      <c r="GHN1">
        <f>Database!GIG1</f>
        <v>0</v>
      </c>
      <c r="GHO1">
        <f>Database!GIH1</f>
        <v>0</v>
      </c>
      <c r="GHP1">
        <f>Database!GII1</f>
        <v>0</v>
      </c>
      <c r="GHQ1">
        <f>Database!GIJ1</f>
        <v>0</v>
      </c>
      <c r="GHR1">
        <f>Database!GIK1</f>
        <v>0</v>
      </c>
      <c r="GHS1">
        <f>Database!GIL1</f>
        <v>0</v>
      </c>
      <c r="GHT1">
        <f>Database!GIM1</f>
        <v>0</v>
      </c>
      <c r="GHU1">
        <f>Database!GIN1</f>
        <v>0</v>
      </c>
      <c r="GHV1">
        <f>Database!GIO1</f>
        <v>0</v>
      </c>
      <c r="GHW1">
        <f>Database!GIP1</f>
        <v>0</v>
      </c>
      <c r="GHX1">
        <f>Database!GIQ1</f>
        <v>0</v>
      </c>
      <c r="GHY1">
        <f>Database!GIR1</f>
        <v>0</v>
      </c>
      <c r="GHZ1">
        <f>Database!GIS1</f>
        <v>0</v>
      </c>
      <c r="GIA1">
        <f>Database!GIT1</f>
        <v>0</v>
      </c>
      <c r="GIB1">
        <f>Database!GIU1</f>
        <v>0</v>
      </c>
      <c r="GIC1">
        <f>Database!GIV1</f>
        <v>0</v>
      </c>
      <c r="GID1">
        <f>Database!GIW1</f>
        <v>0</v>
      </c>
      <c r="GIE1">
        <f>Database!GIX1</f>
        <v>0</v>
      </c>
      <c r="GIF1">
        <f>Database!GIY1</f>
        <v>0</v>
      </c>
      <c r="GIG1">
        <f>Database!GIZ1</f>
        <v>0</v>
      </c>
      <c r="GIH1">
        <f>Database!GJA1</f>
        <v>0</v>
      </c>
      <c r="GII1">
        <f>Database!GJB1</f>
        <v>0</v>
      </c>
      <c r="GIJ1">
        <f>Database!GJC1</f>
        <v>0</v>
      </c>
      <c r="GIK1">
        <f>Database!GJD1</f>
        <v>0</v>
      </c>
      <c r="GIL1">
        <f>Database!GJE1</f>
        <v>0</v>
      </c>
      <c r="GIM1">
        <f>Database!GJF1</f>
        <v>0</v>
      </c>
      <c r="GIN1">
        <f>Database!GJG1</f>
        <v>0</v>
      </c>
      <c r="GIO1">
        <f>Database!GJH1</f>
        <v>0</v>
      </c>
      <c r="GIP1">
        <f>Database!GJI1</f>
        <v>0</v>
      </c>
      <c r="GIQ1">
        <f>Database!GJJ1</f>
        <v>0</v>
      </c>
      <c r="GIR1">
        <f>Database!GJK1</f>
        <v>0</v>
      </c>
      <c r="GIS1">
        <f>Database!GJL1</f>
        <v>0</v>
      </c>
      <c r="GIT1">
        <f>Database!GJM1</f>
        <v>0</v>
      </c>
      <c r="GIU1">
        <f>Database!GJN1</f>
        <v>0</v>
      </c>
      <c r="GIV1">
        <f>Database!GJO1</f>
        <v>0</v>
      </c>
      <c r="GIW1">
        <f>Database!GJP1</f>
        <v>0</v>
      </c>
      <c r="GIX1">
        <f>Database!GJQ1</f>
        <v>0</v>
      </c>
      <c r="GIY1">
        <f>Database!GJR1</f>
        <v>0</v>
      </c>
      <c r="GIZ1">
        <f>Database!GJS1</f>
        <v>0</v>
      </c>
      <c r="GJA1">
        <f>Database!GJT1</f>
        <v>0</v>
      </c>
      <c r="GJB1">
        <f>Database!GJU1</f>
        <v>0</v>
      </c>
      <c r="GJC1">
        <f>Database!GJV1</f>
        <v>0</v>
      </c>
      <c r="GJD1">
        <f>Database!GJW1</f>
        <v>0</v>
      </c>
      <c r="GJE1">
        <f>Database!GJX1</f>
        <v>0</v>
      </c>
      <c r="GJF1">
        <f>Database!GJY1</f>
        <v>0</v>
      </c>
      <c r="GJG1">
        <f>Database!GJZ1</f>
        <v>0</v>
      </c>
      <c r="GJH1">
        <f>Database!GKA1</f>
        <v>0</v>
      </c>
      <c r="GJI1">
        <f>Database!GKB1</f>
        <v>0</v>
      </c>
      <c r="GJJ1">
        <f>Database!GKC1</f>
        <v>0</v>
      </c>
      <c r="GJK1">
        <f>Database!GKD1</f>
        <v>0</v>
      </c>
      <c r="GJL1">
        <f>Database!GKE1</f>
        <v>0</v>
      </c>
      <c r="GJM1">
        <f>Database!GKF1</f>
        <v>0</v>
      </c>
      <c r="GJN1">
        <f>Database!GKG1</f>
        <v>0</v>
      </c>
      <c r="GJO1">
        <f>Database!GKH1</f>
        <v>0</v>
      </c>
      <c r="GJP1">
        <f>Database!GKI1</f>
        <v>0</v>
      </c>
      <c r="GJQ1">
        <f>Database!GKJ1</f>
        <v>0</v>
      </c>
      <c r="GJR1">
        <f>Database!GKK1</f>
        <v>0</v>
      </c>
      <c r="GJS1">
        <f>Database!GKL1</f>
        <v>0</v>
      </c>
      <c r="GJT1">
        <f>Database!GKM1</f>
        <v>0</v>
      </c>
      <c r="GJU1">
        <f>Database!GKN1</f>
        <v>0</v>
      </c>
      <c r="GJV1">
        <f>Database!GKO1</f>
        <v>0</v>
      </c>
      <c r="GJW1">
        <f>Database!GKP1</f>
        <v>0</v>
      </c>
      <c r="GJX1">
        <f>Database!GKQ1</f>
        <v>0</v>
      </c>
      <c r="GJY1">
        <f>Database!GKR1</f>
        <v>0</v>
      </c>
      <c r="GJZ1">
        <f>Database!GKS1</f>
        <v>0</v>
      </c>
      <c r="GKA1">
        <f>Database!GKT1</f>
        <v>0</v>
      </c>
      <c r="GKB1">
        <f>Database!GKU1</f>
        <v>0</v>
      </c>
      <c r="GKC1">
        <f>Database!GKV1</f>
        <v>0</v>
      </c>
      <c r="GKD1">
        <f>Database!GKW1</f>
        <v>0</v>
      </c>
      <c r="GKE1">
        <f>Database!GKX1</f>
        <v>0</v>
      </c>
      <c r="GKF1">
        <f>Database!GKY1</f>
        <v>0</v>
      </c>
      <c r="GKG1">
        <f>Database!GKZ1</f>
        <v>0</v>
      </c>
      <c r="GKH1">
        <f>Database!GLA1</f>
        <v>0</v>
      </c>
      <c r="GKI1">
        <f>Database!GLB1</f>
        <v>0</v>
      </c>
      <c r="GKJ1">
        <f>Database!GLC1</f>
        <v>0</v>
      </c>
      <c r="GKK1">
        <f>Database!GLD1</f>
        <v>0</v>
      </c>
      <c r="GKL1">
        <f>Database!GLE1</f>
        <v>0</v>
      </c>
      <c r="GKM1">
        <f>Database!GLF1</f>
        <v>0</v>
      </c>
      <c r="GKN1">
        <f>Database!GLG1</f>
        <v>0</v>
      </c>
      <c r="GKO1">
        <f>Database!GLH1</f>
        <v>0</v>
      </c>
      <c r="GKP1">
        <f>Database!GLI1</f>
        <v>0</v>
      </c>
      <c r="GKQ1">
        <f>Database!GLJ1</f>
        <v>0</v>
      </c>
      <c r="GKR1">
        <f>Database!GLK1</f>
        <v>0</v>
      </c>
      <c r="GKS1">
        <f>Database!GLL1</f>
        <v>0</v>
      </c>
      <c r="GKT1">
        <f>Database!GLM1</f>
        <v>0</v>
      </c>
      <c r="GKU1">
        <f>Database!GLN1</f>
        <v>0</v>
      </c>
      <c r="GKV1">
        <f>Database!GLO1</f>
        <v>0</v>
      </c>
      <c r="GKW1">
        <f>Database!GLP1</f>
        <v>0</v>
      </c>
      <c r="GKX1">
        <f>Database!GLQ1</f>
        <v>0</v>
      </c>
      <c r="GKY1">
        <f>Database!GLR1</f>
        <v>0</v>
      </c>
      <c r="GKZ1">
        <f>Database!GLS1</f>
        <v>0</v>
      </c>
      <c r="GLA1">
        <f>Database!GLT1</f>
        <v>0</v>
      </c>
      <c r="GLB1">
        <f>Database!GLU1</f>
        <v>0</v>
      </c>
      <c r="GLC1">
        <f>Database!GLV1</f>
        <v>0</v>
      </c>
      <c r="GLD1">
        <f>Database!GLW1</f>
        <v>0</v>
      </c>
      <c r="GLE1">
        <f>Database!GLX1</f>
        <v>0</v>
      </c>
      <c r="GLF1">
        <f>Database!GLY1</f>
        <v>0</v>
      </c>
      <c r="GLG1">
        <f>Database!GLZ1</f>
        <v>0</v>
      </c>
      <c r="GLH1">
        <f>Database!GMA1</f>
        <v>0</v>
      </c>
      <c r="GLI1">
        <f>Database!GMB1</f>
        <v>0</v>
      </c>
      <c r="GLJ1">
        <f>Database!GMC1</f>
        <v>0</v>
      </c>
      <c r="GLK1">
        <f>Database!GMD1</f>
        <v>0</v>
      </c>
      <c r="GLL1">
        <f>Database!GME1</f>
        <v>0</v>
      </c>
      <c r="GLM1">
        <f>Database!GMF1</f>
        <v>0</v>
      </c>
      <c r="GLN1">
        <f>Database!GMG1</f>
        <v>0</v>
      </c>
      <c r="GLO1">
        <f>Database!GMH1</f>
        <v>0</v>
      </c>
      <c r="GLP1">
        <f>Database!GMI1</f>
        <v>0</v>
      </c>
      <c r="GLQ1">
        <f>Database!GMJ1</f>
        <v>0</v>
      </c>
      <c r="GLR1">
        <f>Database!GMK1</f>
        <v>0</v>
      </c>
      <c r="GLS1">
        <f>Database!GML1</f>
        <v>0</v>
      </c>
      <c r="GLT1">
        <f>Database!GMM1</f>
        <v>0</v>
      </c>
      <c r="GLU1">
        <f>Database!GMN1</f>
        <v>0</v>
      </c>
      <c r="GLV1">
        <f>Database!GMO1</f>
        <v>0</v>
      </c>
      <c r="GLW1">
        <f>Database!GMP1</f>
        <v>0</v>
      </c>
      <c r="GLX1">
        <f>Database!GMQ1</f>
        <v>0</v>
      </c>
      <c r="GLY1">
        <f>Database!GMR1</f>
        <v>0</v>
      </c>
      <c r="GLZ1">
        <f>Database!GMS1</f>
        <v>0</v>
      </c>
      <c r="GMA1">
        <f>Database!GMT1</f>
        <v>0</v>
      </c>
      <c r="GMB1">
        <f>Database!GMU1</f>
        <v>0</v>
      </c>
      <c r="GMC1">
        <f>Database!GMV1</f>
        <v>0</v>
      </c>
      <c r="GMD1">
        <f>Database!GMW1</f>
        <v>0</v>
      </c>
      <c r="GME1">
        <f>Database!GMX1</f>
        <v>0</v>
      </c>
      <c r="GMF1">
        <f>Database!GMY1</f>
        <v>0</v>
      </c>
      <c r="GMG1">
        <f>Database!GMZ1</f>
        <v>0</v>
      </c>
      <c r="GMH1">
        <f>Database!GNA1</f>
        <v>0</v>
      </c>
      <c r="GMI1">
        <f>Database!GNB1</f>
        <v>0</v>
      </c>
      <c r="GMJ1">
        <f>Database!GNC1</f>
        <v>0</v>
      </c>
      <c r="GMK1">
        <f>Database!GND1</f>
        <v>0</v>
      </c>
      <c r="GML1">
        <f>Database!GNE1</f>
        <v>0</v>
      </c>
      <c r="GMM1">
        <f>Database!GNF1</f>
        <v>0</v>
      </c>
      <c r="GMN1">
        <f>Database!GNG1</f>
        <v>0</v>
      </c>
      <c r="GMO1">
        <f>Database!GNH1</f>
        <v>0</v>
      </c>
      <c r="GMP1">
        <f>Database!GNI1</f>
        <v>0</v>
      </c>
      <c r="GMQ1">
        <f>Database!GNJ1</f>
        <v>0</v>
      </c>
      <c r="GMR1">
        <f>Database!GNK1</f>
        <v>0</v>
      </c>
      <c r="GMS1">
        <f>Database!GNL1</f>
        <v>0</v>
      </c>
      <c r="GMT1">
        <f>Database!GNM1</f>
        <v>0</v>
      </c>
      <c r="GMU1">
        <f>Database!GNN1</f>
        <v>0</v>
      </c>
      <c r="GMV1">
        <f>Database!GNO1</f>
        <v>0</v>
      </c>
      <c r="GMW1">
        <f>Database!GNP1</f>
        <v>0</v>
      </c>
      <c r="GMX1">
        <f>Database!GNQ1</f>
        <v>0</v>
      </c>
      <c r="GMY1">
        <f>Database!GNR1</f>
        <v>0</v>
      </c>
      <c r="GMZ1">
        <f>Database!GNS1</f>
        <v>0</v>
      </c>
      <c r="GNA1">
        <f>Database!GNT1</f>
        <v>0</v>
      </c>
      <c r="GNB1">
        <f>Database!GNU1</f>
        <v>0</v>
      </c>
      <c r="GNC1">
        <f>Database!GNV1</f>
        <v>0</v>
      </c>
      <c r="GND1">
        <f>Database!GNW1</f>
        <v>0</v>
      </c>
      <c r="GNE1">
        <f>Database!GNX1</f>
        <v>0</v>
      </c>
      <c r="GNF1">
        <f>Database!GNY1</f>
        <v>0</v>
      </c>
      <c r="GNG1">
        <f>Database!GNZ1</f>
        <v>0</v>
      </c>
      <c r="GNH1">
        <f>Database!GOA1</f>
        <v>0</v>
      </c>
      <c r="GNI1">
        <f>Database!GOB1</f>
        <v>0</v>
      </c>
      <c r="GNJ1">
        <f>Database!GOC1</f>
        <v>0</v>
      </c>
      <c r="GNK1">
        <f>Database!GOD1</f>
        <v>0</v>
      </c>
      <c r="GNL1">
        <f>Database!GOE1</f>
        <v>0</v>
      </c>
      <c r="GNM1">
        <f>Database!GOF1</f>
        <v>0</v>
      </c>
      <c r="GNN1">
        <f>Database!GOG1</f>
        <v>0</v>
      </c>
      <c r="GNO1">
        <f>Database!GOH1</f>
        <v>0</v>
      </c>
      <c r="GNP1">
        <f>Database!GOI1</f>
        <v>0</v>
      </c>
      <c r="GNQ1">
        <f>Database!GOJ1</f>
        <v>0</v>
      </c>
      <c r="GNR1">
        <f>Database!GOK1</f>
        <v>0</v>
      </c>
      <c r="GNS1">
        <f>Database!GOL1</f>
        <v>0</v>
      </c>
      <c r="GNT1">
        <f>Database!GOM1</f>
        <v>0</v>
      </c>
      <c r="GNU1">
        <f>Database!GON1</f>
        <v>0</v>
      </c>
      <c r="GNV1">
        <f>Database!GOO1</f>
        <v>0</v>
      </c>
      <c r="GNW1">
        <f>Database!GOP1</f>
        <v>0</v>
      </c>
      <c r="GNX1">
        <f>Database!GOQ1</f>
        <v>0</v>
      </c>
      <c r="GNY1">
        <f>Database!GOR1</f>
        <v>0</v>
      </c>
      <c r="GNZ1">
        <f>Database!GOS1</f>
        <v>0</v>
      </c>
      <c r="GOA1">
        <f>Database!GOT1</f>
        <v>0</v>
      </c>
      <c r="GOB1">
        <f>Database!GOU1</f>
        <v>0</v>
      </c>
      <c r="GOC1">
        <f>Database!GOV1</f>
        <v>0</v>
      </c>
      <c r="GOD1">
        <f>Database!GOW1</f>
        <v>0</v>
      </c>
      <c r="GOE1">
        <f>Database!GOX1</f>
        <v>0</v>
      </c>
      <c r="GOF1">
        <f>Database!GOY1</f>
        <v>0</v>
      </c>
      <c r="GOG1">
        <f>Database!GOZ1</f>
        <v>0</v>
      </c>
      <c r="GOH1">
        <f>Database!GPA1</f>
        <v>0</v>
      </c>
      <c r="GOI1">
        <f>Database!GPB1</f>
        <v>0</v>
      </c>
      <c r="GOJ1">
        <f>Database!GPC1</f>
        <v>0</v>
      </c>
      <c r="GOK1">
        <f>Database!GPD1</f>
        <v>0</v>
      </c>
      <c r="GOL1">
        <f>Database!GPE1</f>
        <v>0</v>
      </c>
      <c r="GOM1">
        <f>Database!GPF1</f>
        <v>0</v>
      </c>
      <c r="GON1">
        <f>Database!GPG1</f>
        <v>0</v>
      </c>
      <c r="GOO1">
        <f>Database!GPH1</f>
        <v>0</v>
      </c>
      <c r="GOP1">
        <f>Database!GPI1</f>
        <v>0</v>
      </c>
      <c r="GOQ1">
        <f>Database!GPJ1</f>
        <v>0</v>
      </c>
      <c r="GOR1">
        <f>Database!GPK1</f>
        <v>0</v>
      </c>
      <c r="GOS1">
        <f>Database!GPL1</f>
        <v>0</v>
      </c>
      <c r="GOT1">
        <f>Database!GPM1</f>
        <v>0</v>
      </c>
      <c r="GOU1">
        <f>Database!GPN1</f>
        <v>0</v>
      </c>
      <c r="GOV1">
        <f>Database!GPO1</f>
        <v>0</v>
      </c>
      <c r="GOW1">
        <f>Database!GPP1</f>
        <v>0</v>
      </c>
      <c r="GOX1">
        <f>Database!GPQ1</f>
        <v>0</v>
      </c>
      <c r="GOY1">
        <f>Database!GPR1</f>
        <v>0</v>
      </c>
      <c r="GOZ1">
        <f>Database!GPS1</f>
        <v>0</v>
      </c>
      <c r="GPA1">
        <f>Database!GPT1</f>
        <v>0</v>
      </c>
      <c r="GPB1">
        <f>Database!GPU1</f>
        <v>0</v>
      </c>
      <c r="GPC1">
        <f>Database!GPV1</f>
        <v>0</v>
      </c>
      <c r="GPD1">
        <f>Database!GPW1</f>
        <v>0</v>
      </c>
      <c r="GPE1">
        <f>Database!GPX1</f>
        <v>0</v>
      </c>
      <c r="GPF1">
        <f>Database!GPY1</f>
        <v>0</v>
      </c>
      <c r="GPG1">
        <f>Database!GPZ1</f>
        <v>0</v>
      </c>
      <c r="GPH1">
        <f>Database!GQA1</f>
        <v>0</v>
      </c>
      <c r="GPI1">
        <f>Database!GQB1</f>
        <v>0</v>
      </c>
      <c r="GPJ1">
        <f>Database!GQC1</f>
        <v>0</v>
      </c>
      <c r="GPK1">
        <f>Database!GQD1</f>
        <v>0</v>
      </c>
      <c r="GPL1">
        <f>Database!GQE1</f>
        <v>0</v>
      </c>
      <c r="GPM1">
        <f>Database!GQF1</f>
        <v>0</v>
      </c>
      <c r="GPN1">
        <f>Database!GQG1</f>
        <v>0</v>
      </c>
      <c r="GPO1">
        <f>Database!GQH1</f>
        <v>0</v>
      </c>
      <c r="GPP1">
        <f>Database!GQI1</f>
        <v>0</v>
      </c>
      <c r="GPQ1">
        <f>Database!GQJ1</f>
        <v>0</v>
      </c>
      <c r="GPR1">
        <f>Database!GQK1</f>
        <v>0</v>
      </c>
      <c r="GPS1">
        <f>Database!GQL1</f>
        <v>0</v>
      </c>
      <c r="GPT1">
        <f>Database!GQM1</f>
        <v>0</v>
      </c>
      <c r="GPU1">
        <f>Database!GQN1</f>
        <v>0</v>
      </c>
      <c r="GPV1">
        <f>Database!GQO1</f>
        <v>0</v>
      </c>
      <c r="GPW1">
        <f>Database!GQP1</f>
        <v>0</v>
      </c>
      <c r="GPX1">
        <f>Database!GQQ1</f>
        <v>0</v>
      </c>
      <c r="GPY1">
        <f>Database!GQR1</f>
        <v>0</v>
      </c>
      <c r="GPZ1">
        <f>Database!GQS1</f>
        <v>0</v>
      </c>
      <c r="GQA1">
        <f>Database!GQT1</f>
        <v>0</v>
      </c>
      <c r="GQB1">
        <f>Database!GQU1</f>
        <v>0</v>
      </c>
      <c r="GQC1">
        <f>Database!GQV1</f>
        <v>0</v>
      </c>
      <c r="GQD1">
        <f>Database!GQW1</f>
        <v>0</v>
      </c>
      <c r="GQE1">
        <f>Database!GQX1</f>
        <v>0</v>
      </c>
      <c r="GQF1">
        <f>Database!GQY1</f>
        <v>0</v>
      </c>
      <c r="GQG1">
        <f>Database!GQZ1</f>
        <v>0</v>
      </c>
      <c r="GQH1">
        <f>Database!GRA1</f>
        <v>0</v>
      </c>
      <c r="GQI1">
        <f>Database!GRB1</f>
        <v>0</v>
      </c>
      <c r="GQJ1">
        <f>Database!GRC1</f>
        <v>0</v>
      </c>
      <c r="GQK1">
        <f>Database!GRD1</f>
        <v>0</v>
      </c>
      <c r="GQL1">
        <f>Database!GRE1</f>
        <v>0</v>
      </c>
      <c r="GQM1">
        <f>Database!GRF1</f>
        <v>0</v>
      </c>
      <c r="GQN1">
        <f>Database!GRG1</f>
        <v>0</v>
      </c>
      <c r="GQO1">
        <f>Database!GRH1</f>
        <v>0</v>
      </c>
      <c r="GQP1">
        <f>Database!GRI1</f>
        <v>0</v>
      </c>
      <c r="GQQ1">
        <f>Database!GRJ1</f>
        <v>0</v>
      </c>
      <c r="GQR1">
        <f>Database!GRK1</f>
        <v>0</v>
      </c>
      <c r="GQS1">
        <f>Database!GRL1</f>
        <v>0</v>
      </c>
      <c r="GQT1">
        <f>Database!GRM1</f>
        <v>0</v>
      </c>
      <c r="GQU1">
        <f>Database!GRN1</f>
        <v>0</v>
      </c>
      <c r="GQV1">
        <f>Database!GRO1</f>
        <v>0</v>
      </c>
      <c r="GQW1">
        <f>Database!GRP1</f>
        <v>0</v>
      </c>
      <c r="GQX1">
        <f>Database!GRQ1</f>
        <v>0</v>
      </c>
      <c r="GQY1">
        <f>Database!GRR1</f>
        <v>0</v>
      </c>
      <c r="GQZ1">
        <f>Database!GRS1</f>
        <v>0</v>
      </c>
      <c r="GRA1">
        <f>Database!GRT1</f>
        <v>0</v>
      </c>
      <c r="GRB1">
        <f>Database!GRU1</f>
        <v>0</v>
      </c>
      <c r="GRC1">
        <f>Database!GRV1</f>
        <v>0</v>
      </c>
      <c r="GRD1">
        <f>Database!GRW1</f>
        <v>0</v>
      </c>
      <c r="GRE1">
        <f>Database!GRX1</f>
        <v>0</v>
      </c>
      <c r="GRF1">
        <f>Database!GRY1</f>
        <v>0</v>
      </c>
      <c r="GRG1">
        <f>Database!GRZ1</f>
        <v>0</v>
      </c>
      <c r="GRH1">
        <f>Database!GSA1</f>
        <v>0</v>
      </c>
      <c r="GRI1">
        <f>Database!GSB1</f>
        <v>0</v>
      </c>
      <c r="GRJ1">
        <f>Database!GSC1</f>
        <v>0</v>
      </c>
      <c r="GRK1">
        <f>Database!GSD1</f>
        <v>0</v>
      </c>
      <c r="GRL1">
        <f>Database!GSE1</f>
        <v>0</v>
      </c>
      <c r="GRM1">
        <f>Database!GSF1</f>
        <v>0</v>
      </c>
      <c r="GRN1">
        <f>Database!GSG1</f>
        <v>0</v>
      </c>
      <c r="GRO1">
        <f>Database!GSH1</f>
        <v>0</v>
      </c>
      <c r="GRP1">
        <f>Database!GSI1</f>
        <v>0</v>
      </c>
      <c r="GRQ1">
        <f>Database!GSJ1</f>
        <v>0</v>
      </c>
      <c r="GRR1">
        <f>Database!GSK1</f>
        <v>0</v>
      </c>
      <c r="GRS1">
        <f>Database!GSL1</f>
        <v>0</v>
      </c>
      <c r="GRT1">
        <f>Database!GSM1</f>
        <v>0</v>
      </c>
      <c r="GRU1">
        <f>Database!GSN1</f>
        <v>0</v>
      </c>
      <c r="GRV1">
        <f>Database!GSO1</f>
        <v>0</v>
      </c>
      <c r="GRW1">
        <f>Database!GSP1</f>
        <v>0</v>
      </c>
      <c r="GRX1">
        <f>Database!GSQ1</f>
        <v>0</v>
      </c>
      <c r="GRY1">
        <f>Database!GSR1</f>
        <v>0</v>
      </c>
      <c r="GRZ1">
        <f>Database!GSS1</f>
        <v>0</v>
      </c>
      <c r="GSA1">
        <f>Database!GST1</f>
        <v>0</v>
      </c>
      <c r="GSB1">
        <f>Database!GSU1</f>
        <v>0</v>
      </c>
      <c r="GSC1">
        <f>Database!GSV1</f>
        <v>0</v>
      </c>
      <c r="GSD1">
        <f>Database!GSW1</f>
        <v>0</v>
      </c>
      <c r="GSE1">
        <f>Database!GSX1</f>
        <v>0</v>
      </c>
      <c r="GSF1">
        <f>Database!GSY1</f>
        <v>0</v>
      </c>
      <c r="GSG1">
        <f>Database!GSZ1</f>
        <v>0</v>
      </c>
      <c r="GSH1">
        <f>Database!GTA1</f>
        <v>0</v>
      </c>
      <c r="GSI1">
        <f>Database!GTB1</f>
        <v>0</v>
      </c>
      <c r="GSJ1">
        <f>Database!GTC1</f>
        <v>0</v>
      </c>
      <c r="GSK1">
        <f>Database!GTD1</f>
        <v>0</v>
      </c>
      <c r="GSL1">
        <f>Database!GTE1</f>
        <v>0</v>
      </c>
      <c r="GSM1">
        <f>Database!GTF1</f>
        <v>0</v>
      </c>
      <c r="GSN1">
        <f>Database!GTG1</f>
        <v>0</v>
      </c>
      <c r="GSO1">
        <f>Database!GTH1</f>
        <v>0</v>
      </c>
      <c r="GSP1">
        <f>Database!GTI1</f>
        <v>0</v>
      </c>
      <c r="GSQ1">
        <f>Database!GTJ1</f>
        <v>0</v>
      </c>
      <c r="GSR1">
        <f>Database!GTK1</f>
        <v>0</v>
      </c>
      <c r="GSS1">
        <f>Database!GTL1</f>
        <v>0</v>
      </c>
      <c r="GST1">
        <f>Database!GTM1</f>
        <v>0</v>
      </c>
      <c r="GSU1">
        <f>Database!GTN1</f>
        <v>0</v>
      </c>
      <c r="GSV1">
        <f>Database!GTO1</f>
        <v>0</v>
      </c>
      <c r="GSW1">
        <f>Database!GTP1</f>
        <v>0</v>
      </c>
      <c r="GSX1">
        <f>Database!GTQ1</f>
        <v>0</v>
      </c>
      <c r="GSY1">
        <f>Database!GTR1</f>
        <v>0</v>
      </c>
      <c r="GSZ1">
        <f>Database!GTS1</f>
        <v>0</v>
      </c>
      <c r="GTA1">
        <f>Database!GTT1</f>
        <v>0</v>
      </c>
      <c r="GTB1">
        <f>Database!GTU1</f>
        <v>0</v>
      </c>
      <c r="GTC1">
        <f>Database!GTV1</f>
        <v>0</v>
      </c>
      <c r="GTD1">
        <f>Database!GTW1</f>
        <v>0</v>
      </c>
      <c r="GTE1">
        <f>Database!GTX1</f>
        <v>0</v>
      </c>
      <c r="GTF1">
        <f>Database!GTY1</f>
        <v>0</v>
      </c>
      <c r="GTG1">
        <f>Database!GTZ1</f>
        <v>0</v>
      </c>
      <c r="GTH1">
        <f>Database!GUA1</f>
        <v>0</v>
      </c>
      <c r="GTI1">
        <f>Database!GUB1</f>
        <v>0</v>
      </c>
      <c r="GTJ1">
        <f>Database!GUC1</f>
        <v>0</v>
      </c>
      <c r="GTK1">
        <f>Database!GUD1</f>
        <v>0</v>
      </c>
      <c r="GTL1">
        <f>Database!GUE1</f>
        <v>0</v>
      </c>
      <c r="GTM1">
        <f>Database!GUF1</f>
        <v>0</v>
      </c>
      <c r="GTN1">
        <f>Database!GUG1</f>
        <v>0</v>
      </c>
      <c r="GTO1">
        <f>Database!GUH1</f>
        <v>0</v>
      </c>
      <c r="GTP1">
        <f>Database!GUI1</f>
        <v>0</v>
      </c>
      <c r="GTQ1">
        <f>Database!GUJ1</f>
        <v>0</v>
      </c>
      <c r="GTR1">
        <f>Database!GUK1</f>
        <v>0</v>
      </c>
      <c r="GTS1">
        <f>Database!GUL1</f>
        <v>0</v>
      </c>
      <c r="GTT1">
        <f>Database!GUM1</f>
        <v>0</v>
      </c>
      <c r="GTU1">
        <f>Database!GUN1</f>
        <v>0</v>
      </c>
      <c r="GTV1">
        <f>Database!GUO1</f>
        <v>0</v>
      </c>
      <c r="GTW1">
        <f>Database!GUP1</f>
        <v>0</v>
      </c>
      <c r="GTX1">
        <f>Database!GUQ1</f>
        <v>0</v>
      </c>
      <c r="GTY1">
        <f>Database!GUR1</f>
        <v>0</v>
      </c>
      <c r="GTZ1">
        <f>Database!GUS1</f>
        <v>0</v>
      </c>
      <c r="GUA1">
        <f>Database!GUT1</f>
        <v>0</v>
      </c>
      <c r="GUB1">
        <f>Database!GUU1</f>
        <v>0</v>
      </c>
      <c r="GUC1">
        <f>Database!GUV1</f>
        <v>0</v>
      </c>
      <c r="GUD1">
        <f>Database!GUW1</f>
        <v>0</v>
      </c>
      <c r="GUE1">
        <f>Database!GUX1</f>
        <v>0</v>
      </c>
      <c r="GUF1">
        <f>Database!GUY1</f>
        <v>0</v>
      </c>
      <c r="GUG1">
        <f>Database!GUZ1</f>
        <v>0</v>
      </c>
      <c r="GUH1">
        <f>Database!GVA1</f>
        <v>0</v>
      </c>
      <c r="GUI1">
        <f>Database!GVB1</f>
        <v>0</v>
      </c>
      <c r="GUJ1">
        <f>Database!GVC1</f>
        <v>0</v>
      </c>
      <c r="GUK1">
        <f>Database!GVD1</f>
        <v>0</v>
      </c>
      <c r="GUL1">
        <f>Database!GVE1</f>
        <v>0</v>
      </c>
      <c r="GUM1">
        <f>Database!GVF1</f>
        <v>0</v>
      </c>
      <c r="GUN1">
        <f>Database!GVG1</f>
        <v>0</v>
      </c>
      <c r="GUO1">
        <f>Database!GVH1</f>
        <v>0</v>
      </c>
      <c r="GUP1">
        <f>Database!GVI1</f>
        <v>0</v>
      </c>
      <c r="GUQ1">
        <f>Database!GVJ1</f>
        <v>0</v>
      </c>
      <c r="GUR1">
        <f>Database!GVK1</f>
        <v>0</v>
      </c>
      <c r="GUS1">
        <f>Database!GVL1</f>
        <v>0</v>
      </c>
      <c r="GUT1">
        <f>Database!GVM1</f>
        <v>0</v>
      </c>
      <c r="GUU1">
        <f>Database!GVN1</f>
        <v>0</v>
      </c>
      <c r="GUV1">
        <f>Database!GVO1</f>
        <v>0</v>
      </c>
      <c r="GUW1">
        <f>Database!GVP1</f>
        <v>0</v>
      </c>
      <c r="GUX1">
        <f>Database!GVQ1</f>
        <v>0</v>
      </c>
      <c r="GUY1">
        <f>Database!GVR1</f>
        <v>0</v>
      </c>
      <c r="GUZ1">
        <f>Database!GVS1</f>
        <v>0</v>
      </c>
      <c r="GVA1">
        <f>Database!GVT1</f>
        <v>0</v>
      </c>
      <c r="GVB1">
        <f>Database!GVU1</f>
        <v>0</v>
      </c>
      <c r="GVC1">
        <f>Database!GVV1</f>
        <v>0</v>
      </c>
      <c r="GVD1">
        <f>Database!GVW1</f>
        <v>0</v>
      </c>
      <c r="GVE1">
        <f>Database!GVX1</f>
        <v>0</v>
      </c>
      <c r="GVF1">
        <f>Database!GVY1</f>
        <v>0</v>
      </c>
      <c r="GVG1">
        <f>Database!GVZ1</f>
        <v>0</v>
      </c>
      <c r="GVH1">
        <f>Database!GWA1</f>
        <v>0</v>
      </c>
      <c r="GVI1">
        <f>Database!GWB1</f>
        <v>0</v>
      </c>
      <c r="GVJ1">
        <f>Database!GWC1</f>
        <v>0</v>
      </c>
      <c r="GVK1">
        <f>Database!GWD1</f>
        <v>0</v>
      </c>
      <c r="GVL1">
        <f>Database!GWE1</f>
        <v>0</v>
      </c>
      <c r="GVM1">
        <f>Database!GWF1</f>
        <v>0</v>
      </c>
      <c r="GVN1">
        <f>Database!GWG1</f>
        <v>0</v>
      </c>
      <c r="GVO1">
        <f>Database!GWH1</f>
        <v>0</v>
      </c>
      <c r="GVP1">
        <f>Database!GWI1</f>
        <v>0</v>
      </c>
      <c r="GVQ1">
        <f>Database!GWJ1</f>
        <v>0</v>
      </c>
      <c r="GVR1">
        <f>Database!GWK1</f>
        <v>0</v>
      </c>
      <c r="GVS1">
        <f>Database!GWL1</f>
        <v>0</v>
      </c>
      <c r="GVT1">
        <f>Database!GWM1</f>
        <v>0</v>
      </c>
      <c r="GVU1">
        <f>Database!GWN1</f>
        <v>0</v>
      </c>
      <c r="GVV1">
        <f>Database!GWO1</f>
        <v>0</v>
      </c>
      <c r="GVW1">
        <f>Database!GWP1</f>
        <v>0</v>
      </c>
      <c r="GVX1">
        <f>Database!GWQ1</f>
        <v>0</v>
      </c>
      <c r="GVY1">
        <f>Database!GWR1</f>
        <v>0</v>
      </c>
      <c r="GVZ1">
        <f>Database!GWS1</f>
        <v>0</v>
      </c>
      <c r="GWA1">
        <f>Database!GWT1</f>
        <v>0</v>
      </c>
      <c r="GWB1">
        <f>Database!GWU1</f>
        <v>0</v>
      </c>
      <c r="GWC1">
        <f>Database!GWV1</f>
        <v>0</v>
      </c>
      <c r="GWD1">
        <f>Database!GWW1</f>
        <v>0</v>
      </c>
      <c r="GWE1">
        <f>Database!GWX1</f>
        <v>0</v>
      </c>
      <c r="GWF1">
        <f>Database!GWY1</f>
        <v>0</v>
      </c>
      <c r="GWG1">
        <f>Database!GWZ1</f>
        <v>0</v>
      </c>
      <c r="GWH1">
        <f>Database!GXA1</f>
        <v>0</v>
      </c>
      <c r="GWI1">
        <f>Database!GXB1</f>
        <v>0</v>
      </c>
      <c r="GWJ1">
        <f>Database!GXC1</f>
        <v>0</v>
      </c>
      <c r="GWK1">
        <f>Database!GXD1</f>
        <v>0</v>
      </c>
      <c r="GWL1">
        <f>Database!GXE1</f>
        <v>0</v>
      </c>
      <c r="GWM1">
        <f>Database!GXF1</f>
        <v>0</v>
      </c>
      <c r="GWN1">
        <f>Database!GXG1</f>
        <v>0</v>
      </c>
      <c r="GWO1">
        <f>Database!GXH1</f>
        <v>0</v>
      </c>
      <c r="GWP1">
        <f>Database!GXI1</f>
        <v>0</v>
      </c>
      <c r="GWQ1">
        <f>Database!GXJ1</f>
        <v>0</v>
      </c>
      <c r="GWR1">
        <f>Database!GXK1</f>
        <v>0</v>
      </c>
      <c r="GWS1">
        <f>Database!GXL1</f>
        <v>0</v>
      </c>
      <c r="GWT1">
        <f>Database!GXM1</f>
        <v>0</v>
      </c>
      <c r="GWU1">
        <f>Database!GXN1</f>
        <v>0</v>
      </c>
      <c r="GWV1">
        <f>Database!GXO1</f>
        <v>0</v>
      </c>
      <c r="GWW1">
        <f>Database!GXP1</f>
        <v>0</v>
      </c>
      <c r="GWX1">
        <f>Database!GXQ1</f>
        <v>0</v>
      </c>
      <c r="GWY1">
        <f>Database!GXR1</f>
        <v>0</v>
      </c>
      <c r="GWZ1">
        <f>Database!GXS1</f>
        <v>0</v>
      </c>
      <c r="GXA1">
        <f>Database!GXT1</f>
        <v>0</v>
      </c>
      <c r="GXB1">
        <f>Database!GXU1</f>
        <v>0</v>
      </c>
      <c r="GXC1">
        <f>Database!GXV1</f>
        <v>0</v>
      </c>
      <c r="GXD1">
        <f>Database!GXW1</f>
        <v>0</v>
      </c>
      <c r="GXE1">
        <f>Database!GXX1</f>
        <v>0</v>
      </c>
      <c r="GXF1">
        <f>Database!GXY1</f>
        <v>0</v>
      </c>
      <c r="GXG1">
        <f>Database!GXZ1</f>
        <v>0</v>
      </c>
      <c r="GXH1">
        <f>Database!GYA1</f>
        <v>0</v>
      </c>
      <c r="GXI1">
        <f>Database!GYB1</f>
        <v>0</v>
      </c>
      <c r="GXJ1">
        <f>Database!GYC1</f>
        <v>0</v>
      </c>
      <c r="GXK1">
        <f>Database!GYD1</f>
        <v>0</v>
      </c>
      <c r="GXL1">
        <f>Database!GYE1</f>
        <v>0</v>
      </c>
      <c r="GXM1">
        <f>Database!GYF1</f>
        <v>0</v>
      </c>
      <c r="GXN1">
        <f>Database!GYG1</f>
        <v>0</v>
      </c>
      <c r="GXO1">
        <f>Database!GYH1</f>
        <v>0</v>
      </c>
      <c r="GXP1">
        <f>Database!GYI1</f>
        <v>0</v>
      </c>
      <c r="GXQ1">
        <f>Database!GYJ1</f>
        <v>0</v>
      </c>
      <c r="GXR1">
        <f>Database!GYK1</f>
        <v>0</v>
      </c>
      <c r="GXS1">
        <f>Database!GYL1</f>
        <v>0</v>
      </c>
      <c r="GXT1">
        <f>Database!GYM1</f>
        <v>0</v>
      </c>
      <c r="GXU1">
        <f>Database!GYN1</f>
        <v>0</v>
      </c>
      <c r="GXV1">
        <f>Database!GYO1</f>
        <v>0</v>
      </c>
      <c r="GXW1">
        <f>Database!GYP1</f>
        <v>0</v>
      </c>
      <c r="GXX1">
        <f>Database!GYQ1</f>
        <v>0</v>
      </c>
      <c r="GXY1">
        <f>Database!GYR1</f>
        <v>0</v>
      </c>
      <c r="GXZ1">
        <f>Database!GYS1</f>
        <v>0</v>
      </c>
      <c r="GYA1">
        <f>Database!GYT1</f>
        <v>0</v>
      </c>
      <c r="GYB1">
        <f>Database!GYU1</f>
        <v>0</v>
      </c>
      <c r="GYC1">
        <f>Database!GYV1</f>
        <v>0</v>
      </c>
      <c r="GYD1">
        <f>Database!GYW1</f>
        <v>0</v>
      </c>
      <c r="GYE1">
        <f>Database!GYX1</f>
        <v>0</v>
      </c>
      <c r="GYF1">
        <f>Database!GYY1</f>
        <v>0</v>
      </c>
      <c r="GYG1">
        <f>Database!GYZ1</f>
        <v>0</v>
      </c>
      <c r="GYH1">
        <f>Database!GZA1</f>
        <v>0</v>
      </c>
      <c r="GYI1">
        <f>Database!GZB1</f>
        <v>0</v>
      </c>
      <c r="GYJ1">
        <f>Database!GZC1</f>
        <v>0</v>
      </c>
      <c r="GYK1">
        <f>Database!GZD1</f>
        <v>0</v>
      </c>
      <c r="GYL1">
        <f>Database!GZE1</f>
        <v>0</v>
      </c>
      <c r="GYM1">
        <f>Database!GZF1</f>
        <v>0</v>
      </c>
      <c r="GYN1">
        <f>Database!GZG1</f>
        <v>0</v>
      </c>
      <c r="GYO1">
        <f>Database!GZH1</f>
        <v>0</v>
      </c>
      <c r="GYP1">
        <f>Database!GZI1</f>
        <v>0</v>
      </c>
      <c r="GYQ1">
        <f>Database!GZJ1</f>
        <v>0</v>
      </c>
      <c r="GYR1">
        <f>Database!GZK1</f>
        <v>0</v>
      </c>
      <c r="GYS1">
        <f>Database!GZL1</f>
        <v>0</v>
      </c>
      <c r="GYT1">
        <f>Database!GZM1</f>
        <v>0</v>
      </c>
      <c r="GYU1">
        <f>Database!GZN1</f>
        <v>0</v>
      </c>
      <c r="GYV1">
        <f>Database!GZO1</f>
        <v>0</v>
      </c>
      <c r="GYW1">
        <f>Database!GZP1</f>
        <v>0</v>
      </c>
      <c r="GYX1">
        <f>Database!GZQ1</f>
        <v>0</v>
      </c>
      <c r="GYY1">
        <f>Database!GZR1</f>
        <v>0</v>
      </c>
      <c r="GYZ1">
        <f>Database!GZS1</f>
        <v>0</v>
      </c>
      <c r="GZA1">
        <f>Database!GZT1</f>
        <v>0</v>
      </c>
      <c r="GZB1">
        <f>Database!GZU1</f>
        <v>0</v>
      </c>
      <c r="GZC1">
        <f>Database!GZV1</f>
        <v>0</v>
      </c>
      <c r="GZD1">
        <f>Database!GZW1</f>
        <v>0</v>
      </c>
      <c r="GZE1">
        <f>Database!GZX1</f>
        <v>0</v>
      </c>
      <c r="GZF1">
        <f>Database!GZY1</f>
        <v>0</v>
      </c>
      <c r="GZG1">
        <f>Database!GZZ1</f>
        <v>0</v>
      </c>
      <c r="GZH1">
        <f>Database!HAA1</f>
        <v>0</v>
      </c>
      <c r="GZI1">
        <f>Database!HAB1</f>
        <v>0</v>
      </c>
      <c r="GZJ1">
        <f>Database!HAC1</f>
        <v>0</v>
      </c>
      <c r="GZK1">
        <f>Database!HAD1</f>
        <v>0</v>
      </c>
      <c r="GZL1">
        <f>Database!HAE1</f>
        <v>0</v>
      </c>
      <c r="GZM1">
        <f>Database!HAF1</f>
        <v>0</v>
      </c>
      <c r="GZN1">
        <f>Database!HAG1</f>
        <v>0</v>
      </c>
      <c r="GZO1">
        <f>Database!HAH1</f>
        <v>0</v>
      </c>
      <c r="GZP1">
        <f>Database!HAI1</f>
        <v>0</v>
      </c>
      <c r="GZQ1">
        <f>Database!HAJ1</f>
        <v>0</v>
      </c>
      <c r="GZR1">
        <f>Database!HAK1</f>
        <v>0</v>
      </c>
      <c r="GZS1">
        <f>Database!HAL1</f>
        <v>0</v>
      </c>
      <c r="GZT1">
        <f>Database!HAM1</f>
        <v>0</v>
      </c>
      <c r="GZU1">
        <f>Database!HAN1</f>
        <v>0</v>
      </c>
      <c r="GZV1">
        <f>Database!HAO1</f>
        <v>0</v>
      </c>
      <c r="GZW1">
        <f>Database!HAP1</f>
        <v>0</v>
      </c>
      <c r="GZX1">
        <f>Database!HAQ1</f>
        <v>0</v>
      </c>
      <c r="GZY1">
        <f>Database!HAR1</f>
        <v>0</v>
      </c>
      <c r="GZZ1">
        <f>Database!HAS1</f>
        <v>0</v>
      </c>
      <c r="HAA1">
        <f>Database!HAT1</f>
        <v>0</v>
      </c>
      <c r="HAB1">
        <f>Database!HAU1</f>
        <v>0</v>
      </c>
      <c r="HAC1">
        <f>Database!HAV1</f>
        <v>0</v>
      </c>
      <c r="HAD1">
        <f>Database!HAW1</f>
        <v>0</v>
      </c>
      <c r="HAE1">
        <f>Database!HAX1</f>
        <v>0</v>
      </c>
      <c r="HAF1">
        <f>Database!HAY1</f>
        <v>0</v>
      </c>
      <c r="HAG1">
        <f>Database!HAZ1</f>
        <v>0</v>
      </c>
      <c r="HAH1">
        <f>Database!HBA1</f>
        <v>0</v>
      </c>
      <c r="HAI1">
        <f>Database!HBB1</f>
        <v>0</v>
      </c>
      <c r="HAJ1">
        <f>Database!HBC1</f>
        <v>0</v>
      </c>
      <c r="HAK1">
        <f>Database!HBD1</f>
        <v>0</v>
      </c>
      <c r="HAL1">
        <f>Database!HBE1</f>
        <v>0</v>
      </c>
      <c r="HAM1">
        <f>Database!HBF1</f>
        <v>0</v>
      </c>
      <c r="HAN1">
        <f>Database!HBG1</f>
        <v>0</v>
      </c>
      <c r="HAO1">
        <f>Database!HBH1</f>
        <v>0</v>
      </c>
      <c r="HAP1">
        <f>Database!HBI1</f>
        <v>0</v>
      </c>
      <c r="HAQ1">
        <f>Database!HBJ1</f>
        <v>0</v>
      </c>
      <c r="HAR1">
        <f>Database!HBK1</f>
        <v>0</v>
      </c>
      <c r="HAS1">
        <f>Database!HBL1</f>
        <v>0</v>
      </c>
      <c r="HAT1">
        <f>Database!HBM1</f>
        <v>0</v>
      </c>
      <c r="HAU1">
        <f>Database!HBN1</f>
        <v>0</v>
      </c>
      <c r="HAV1">
        <f>Database!HBO1</f>
        <v>0</v>
      </c>
      <c r="HAW1">
        <f>Database!HBP1</f>
        <v>0</v>
      </c>
      <c r="HAX1">
        <f>Database!HBQ1</f>
        <v>0</v>
      </c>
      <c r="HAY1">
        <f>Database!HBR1</f>
        <v>0</v>
      </c>
      <c r="HAZ1">
        <f>Database!HBS1</f>
        <v>0</v>
      </c>
      <c r="HBA1">
        <f>Database!HBT1</f>
        <v>0</v>
      </c>
      <c r="HBB1">
        <f>Database!HBU1</f>
        <v>0</v>
      </c>
      <c r="HBC1">
        <f>Database!HBV1</f>
        <v>0</v>
      </c>
      <c r="HBD1">
        <f>Database!HBW1</f>
        <v>0</v>
      </c>
      <c r="HBE1">
        <f>Database!HBX1</f>
        <v>0</v>
      </c>
      <c r="HBF1">
        <f>Database!HBY1</f>
        <v>0</v>
      </c>
      <c r="HBG1">
        <f>Database!HBZ1</f>
        <v>0</v>
      </c>
      <c r="HBH1">
        <f>Database!HCA1</f>
        <v>0</v>
      </c>
      <c r="HBI1">
        <f>Database!HCB1</f>
        <v>0</v>
      </c>
      <c r="HBJ1">
        <f>Database!HCC1</f>
        <v>0</v>
      </c>
      <c r="HBK1">
        <f>Database!HCD1</f>
        <v>0</v>
      </c>
      <c r="HBL1">
        <f>Database!HCE1</f>
        <v>0</v>
      </c>
      <c r="HBM1">
        <f>Database!HCF1</f>
        <v>0</v>
      </c>
      <c r="HBN1">
        <f>Database!HCG1</f>
        <v>0</v>
      </c>
      <c r="HBO1">
        <f>Database!HCH1</f>
        <v>0</v>
      </c>
      <c r="HBP1">
        <f>Database!HCI1</f>
        <v>0</v>
      </c>
      <c r="HBQ1">
        <f>Database!HCJ1</f>
        <v>0</v>
      </c>
      <c r="HBR1">
        <f>Database!HCK1</f>
        <v>0</v>
      </c>
      <c r="HBS1">
        <f>Database!HCL1</f>
        <v>0</v>
      </c>
      <c r="HBT1">
        <f>Database!HCM1</f>
        <v>0</v>
      </c>
      <c r="HBU1">
        <f>Database!HCN1</f>
        <v>0</v>
      </c>
      <c r="HBV1">
        <f>Database!HCO1</f>
        <v>0</v>
      </c>
      <c r="HBW1">
        <f>Database!HCP1</f>
        <v>0</v>
      </c>
      <c r="HBX1">
        <f>Database!HCQ1</f>
        <v>0</v>
      </c>
      <c r="HBY1">
        <f>Database!HCR1</f>
        <v>0</v>
      </c>
      <c r="HBZ1">
        <f>Database!HCS1</f>
        <v>0</v>
      </c>
      <c r="HCA1">
        <f>Database!HCT1</f>
        <v>0</v>
      </c>
      <c r="HCB1">
        <f>Database!HCU1</f>
        <v>0</v>
      </c>
      <c r="HCC1">
        <f>Database!HCV1</f>
        <v>0</v>
      </c>
      <c r="HCD1">
        <f>Database!HCW1</f>
        <v>0</v>
      </c>
      <c r="HCE1">
        <f>Database!HCX1</f>
        <v>0</v>
      </c>
      <c r="HCF1">
        <f>Database!HCY1</f>
        <v>0</v>
      </c>
      <c r="HCG1">
        <f>Database!HCZ1</f>
        <v>0</v>
      </c>
      <c r="HCH1">
        <f>Database!HDA1</f>
        <v>0</v>
      </c>
      <c r="HCI1">
        <f>Database!HDB1</f>
        <v>0</v>
      </c>
      <c r="HCJ1">
        <f>Database!HDC1</f>
        <v>0</v>
      </c>
      <c r="HCK1">
        <f>Database!HDD1</f>
        <v>0</v>
      </c>
      <c r="HCL1">
        <f>Database!HDE1</f>
        <v>0</v>
      </c>
      <c r="HCM1">
        <f>Database!HDF1</f>
        <v>0</v>
      </c>
      <c r="HCN1">
        <f>Database!HDG1</f>
        <v>0</v>
      </c>
      <c r="HCO1">
        <f>Database!HDH1</f>
        <v>0</v>
      </c>
      <c r="HCP1">
        <f>Database!HDI1</f>
        <v>0</v>
      </c>
      <c r="HCQ1">
        <f>Database!HDJ1</f>
        <v>0</v>
      </c>
      <c r="HCR1">
        <f>Database!HDK1</f>
        <v>0</v>
      </c>
      <c r="HCS1">
        <f>Database!HDL1</f>
        <v>0</v>
      </c>
      <c r="HCT1">
        <f>Database!HDM1</f>
        <v>0</v>
      </c>
      <c r="HCU1">
        <f>Database!HDN1</f>
        <v>0</v>
      </c>
      <c r="HCV1">
        <f>Database!HDO1</f>
        <v>0</v>
      </c>
      <c r="HCW1">
        <f>Database!HDP1</f>
        <v>0</v>
      </c>
      <c r="HCX1">
        <f>Database!HDQ1</f>
        <v>0</v>
      </c>
      <c r="HCY1">
        <f>Database!HDR1</f>
        <v>0</v>
      </c>
      <c r="HCZ1">
        <f>Database!HDS1</f>
        <v>0</v>
      </c>
      <c r="HDA1">
        <f>Database!HDT1</f>
        <v>0</v>
      </c>
      <c r="HDB1">
        <f>Database!HDU1</f>
        <v>0</v>
      </c>
      <c r="HDC1">
        <f>Database!HDV1</f>
        <v>0</v>
      </c>
      <c r="HDD1">
        <f>Database!HDW1</f>
        <v>0</v>
      </c>
      <c r="HDE1">
        <f>Database!HDX1</f>
        <v>0</v>
      </c>
      <c r="HDF1">
        <f>Database!HDY1</f>
        <v>0</v>
      </c>
      <c r="HDG1">
        <f>Database!HDZ1</f>
        <v>0</v>
      </c>
      <c r="HDH1">
        <f>Database!HEA1</f>
        <v>0</v>
      </c>
      <c r="HDI1">
        <f>Database!HEB1</f>
        <v>0</v>
      </c>
      <c r="HDJ1">
        <f>Database!HEC1</f>
        <v>0</v>
      </c>
      <c r="HDK1">
        <f>Database!HED1</f>
        <v>0</v>
      </c>
      <c r="HDL1">
        <f>Database!HEE1</f>
        <v>0</v>
      </c>
      <c r="HDM1">
        <f>Database!HEF1</f>
        <v>0</v>
      </c>
      <c r="HDN1">
        <f>Database!HEG1</f>
        <v>0</v>
      </c>
      <c r="HDO1">
        <f>Database!HEH1</f>
        <v>0</v>
      </c>
      <c r="HDP1">
        <f>Database!HEI1</f>
        <v>0</v>
      </c>
      <c r="HDQ1">
        <f>Database!HEJ1</f>
        <v>0</v>
      </c>
      <c r="HDR1">
        <f>Database!HEK1</f>
        <v>0</v>
      </c>
      <c r="HDS1">
        <f>Database!HEL1</f>
        <v>0</v>
      </c>
      <c r="HDT1">
        <f>Database!HEM1</f>
        <v>0</v>
      </c>
      <c r="HDU1">
        <f>Database!HEN1</f>
        <v>0</v>
      </c>
      <c r="HDV1">
        <f>Database!HEO1</f>
        <v>0</v>
      </c>
      <c r="HDW1">
        <f>Database!HEP1</f>
        <v>0</v>
      </c>
      <c r="HDX1">
        <f>Database!HEQ1</f>
        <v>0</v>
      </c>
      <c r="HDY1">
        <f>Database!HER1</f>
        <v>0</v>
      </c>
      <c r="HDZ1">
        <f>Database!HES1</f>
        <v>0</v>
      </c>
      <c r="HEA1">
        <f>Database!HET1</f>
        <v>0</v>
      </c>
      <c r="HEB1">
        <f>Database!HEU1</f>
        <v>0</v>
      </c>
      <c r="HEC1">
        <f>Database!HEV1</f>
        <v>0</v>
      </c>
      <c r="HED1">
        <f>Database!HEW1</f>
        <v>0</v>
      </c>
      <c r="HEE1">
        <f>Database!HEX1</f>
        <v>0</v>
      </c>
      <c r="HEF1">
        <f>Database!HEY1</f>
        <v>0</v>
      </c>
      <c r="HEG1">
        <f>Database!HEZ1</f>
        <v>0</v>
      </c>
      <c r="HEH1">
        <f>Database!HFA1</f>
        <v>0</v>
      </c>
      <c r="HEI1">
        <f>Database!HFB1</f>
        <v>0</v>
      </c>
      <c r="HEJ1">
        <f>Database!HFC1</f>
        <v>0</v>
      </c>
      <c r="HEK1">
        <f>Database!HFD1</f>
        <v>0</v>
      </c>
      <c r="HEL1">
        <f>Database!HFE1</f>
        <v>0</v>
      </c>
      <c r="HEM1">
        <f>Database!HFF1</f>
        <v>0</v>
      </c>
      <c r="HEN1">
        <f>Database!HFG1</f>
        <v>0</v>
      </c>
      <c r="HEO1">
        <f>Database!HFH1</f>
        <v>0</v>
      </c>
      <c r="HEP1">
        <f>Database!HFI1</f>
        <v>0</v>
      </c>
      <c r="HEQ1">
        <f>Database!HFJ1</f>
        <v>0</v>
      </c>
      <c r="HER1">
        <f>Database!HFK1</f>
        <v>0</v>
      </c>
      <c r="HES1">
        <f>Database!HFL1</f>
        <v>0</v>
      </c>
      <c r="HET1">
        <f>Database!HFM1</f>
        <v>0</v>
      </c>
      <c r="HEU1">
        <f>Database!HFN1</f>
        <v>0</v>
      </c>
      <c r="HEV1">
        <f>Database!HFO1</f>
        <v>0</v>
      </c>
      <c r="HEW1">
        <f>Database!HFP1</f>
        <v>0</v>
      </c>
      <c r="HEX1">
        <f>Database!HFQ1</f>
        <v>0</v>
      </c>
      <c r="HEY1">
        <f>Database!HFR1</f>
        <v>0</v>
      </c>
      <c r="HEZ1">
        <f>Database!HFS1</f>
        <v>0</v>
      </c>
      <c r="HFA1">
        <f>Database!HFT1</f>
        <v>0</v>
      </c>
      <c r="HFB1">
        <f>Database!HFU1</f>
        <v>0</v>
      </c>
      <c r="HFC1">
        <f>Database!HFV1</f>
        <v>0</v>
      </c>
      <c r="HFD1">
        <f>Database!HFW1</f>
        <v>0</v>
      </c>
      <c r="HFE1">
        <f>Database!HFX1</f>
        <v>0</v>
      </c>
      <c r="HFF1">
        <f>Database!HFY1</f>
        <v>0</v>
      </c>
      <c r="HFG1">
        <f>Database!HFZ1</f>
        <v>0</v>
      </c>
      <c r="HFH1">
        <f>Database!HGA1</f>
        <v>0</v>
      </c>
      <c r="HFI1">
        <f>Database!HGB1</f>
        <v>0</v>
      </c>
      <c r="HFJ1">
        <f>Database!HGC1</f>
        <v>0</v>
      </c>
      <c r="HFK1">
        <f>Database!HGD1</f>
        <v>0</v>
      </c>
      <c r="HFL1">
        <f>Database!HGE1</f>
        <v>0</v>
      </c>
      <c r="HFM1">
        <f>Database!HGF1</f>
        <v>0</v>
      </c>
      <c r="HFN1">
        <f>Database!HGG1</f>
        <v>0</v>
      </c>
      <c r="HFO1">
        <f>Database!HGH1</f>
        <v>0</v>
      </c>
      <c r="HFP1">
        <f>Database!HGI1</f>
        <v>0</v>
      </c>
      <c r="HFQ1">
        <f>Database!HGJ1</f>
        <v>0</v>
      </c>
      <c r="HFR1">
        <f>Database!HGK1</f>
        <v>0</v>
      </c>
      <c r="HFS1">
        <f>Database!HGL1</f>
        <v>0</v>
      </c>
      <c r="HFT1">
        <f>Database!HGM1</f>
        <v>0</v>
      </c>
      <c r="HFU1">
        <f>Database!HGN1</f>
        <v>0</v>
      </c>
      <c r="HFV1">
        <f>Database!HGO1</f>
        <v>0</v>
      </c>
      <c r="HFW1">
        <f>Database!HGP1</f>
        <v>0</v>
      </c>
      <c r="HFX1">
        <f>Database!HGQ1</f>
        <v>0</v>
      </c>
      <c r="HFY1">
        <f>Database!HGR1</f>
        <v>0</v>
      </c>
      <c r="HFZ1">
        <f>Database!HGS1</f>
        <v>0</v>
      </c>
      <c r="HGA1">
        <f>Database!HGT1</f>
        <v>0</v>
      </c>
      <c r="HGB1">
        <f>Database!HGU1</f>
        <v>0</v>
      </c>
      <c r="HGC1">
        <f>Database!HGV1</f>
        <v>0</v>
      </c>
      <c r="HGD1">
        <f>Database!HGW1</f>
        <v>0</v>
      </c>
      <c r="HGE1">
        <f>Database!HGX1</f>
        <v>0</v>
      </c>
      <c r="HGF1">
        <f>Database!HGY1</f>
        <v>0</v>
      </c>
      <c r="HGG1">
        <f>Database!HGZ1</f>
        <v>0</v>
      </c>
      <c r="HGH1">
        <f>Database!HHA1</f>
        <v>0</v>
      </c>
      <c r="HGI1">
        <f>Database!HHB1</f>
        <v>0</v>
      </c>
      <c r="HGJ1">
        <f>Database!HHC1</f>
        <v>0</v>
      </c>
      <c r="HGK1">
        <f>Database!HHD1</f>
        <v>0</v>
      </c>
      <c r="HGL1">
        <f>Database!HHE1</f>
        <v>0</v>
      </c>
      <c r="HGM1">
        <f>Database!HHF1</f>
        <v>0</v>
      </c>
      <c r="HGN1">
        <f>Database!HHG1</f>
        <v>0</v>
      </c>
      <c r="HGO1">
        <f>Database!HHH1</f>
        <v>0</v>
      </c>
      <c r="HGP1">
        <f>Database!HHI1</f>
        <v>0</v>
      </c>
      <c r="HGQ1">
        <f>Database!HHJ1</f>
        <v>0</v>
      </c>
      <c r="HGR1">
        <f>Database!HHK1</f>
        <v>0</v>
      </c>
      <c r="HGS1">
        <f>Database!HHL1</f>
        <v>0</v>
      </c>
      <c r="HGT1">
        <f>Database!HHM1</f>
        <v>0</v>
      </c>
      <c r="HGU1">
        <f>Database!HHN1</f>
        <v>0</v>
      </c>
      <c r="HGV1">
        <f>Database!HHO1</f>
        <v>0</v>
      </c>
      <c r="HGW1">
        <f>Database!HHP1</f>
        <v>0</v>
      </c>
      <c r="HGX1">
        <f>Database!HHQ1</f>
        <v>0</v>
      </c>
      <c r="HGY1">
        <f>Database!HHR1</f>
        <v>0</v>
      </c>
      <c r="HGZ1">
        <f>Database!HHS1</f>
        <v>0</v>
      </c>
      <c r="HHA1">
        <f>Database!HHT1</f>
        <v>0</v>
      </c>
      <c r="HHB1">
        <f>Database!HHU1</f>
        <v>0</v>
      </c>
      <c r="HHC1">
        <f>Database!HHV1</f>
        <v>0</v>
      </c>
      <c r="HHD1">
        <f>Database!HHW1</f>
        <v>0</v>
      </c>
      <c r="HHE1">
        <f>Database!HHX1</f>
        <v>0</v>
      </c>
      <c r="HHF1">
        <f>Database!HHY1</f>
        <v>0</v>
      </c>
      <c r="HHG1">
        <f>Database!HHZ1</f>
        <v>0</v>
      </c>
      <c r="HHH1">
        <f>Database!HIA1</f>
        <v>0</v>
      </c>
      <c r="HHI1">
        <f>Database!HIB1</f>
        <v>0</v>
      </c>
      <c r="HHJ1">
        <f>Database!HIC1</f>
        <v>0</v>
      </c>
      <c r="HHK1">
        <f>Database!HID1</f>
        <v>0</v>
      </c>
      <c r="HHL1">
        <f>Database!HIE1</f>
        <v>0</v>
      </c>
      <c r="HHM1">
        <f>Database!HIF1</f>
        <v>0</v>
      </c>
      <c r="HHN1">
        <f>Database!HIG1</f>
        <v>0</v>
      </c>
      <c r="HHO1">
        <f>Database!HIH1</f>
        <v>0</v>
      </c>
      <c r="HHP1">
        <f>Database!HII1</f>
        <v>0</v>
      </c>
      <c r="HHQ1">
        <f>Database!HIJ1</f>
        <v>0</v>
      </c>
      <c r="HHR1">
        <f>Database!HIK1</f>
        <v>0</v>
      </c>
      <c r="HHS1">
        <f>Database!HIL1</f>
        <v>0</v>
      </c>
      <c r="HHT1">
        <f>Database!HIM1</f>
        <v>0</v>
      </c>
      <c r="HHU1">
        <f>Database!HIN1</f>
        <v>0</v>
      </c>
      <c r="HHV1">
        <f>Database!HIO1</f>
        <v>0</v>
      </c>
      <c r="HHW1">
        <f>Database!HIP1</f>
        <v>0</v>
      </c>
      <c r="HHX1">
        <f>Database!HIQ1</f>
        <v>0</v>
      </c>
      <c r="HHY1">
        <f>Database!HIR1</f>
        <v>0</v>
      </c>
      <c r="HHZ1">
        <f>Database!HIS1</f>
        <v>0</v>
      </c>
      <c r="HIA1">
        <f>Database!HIT1</f>
        <v>0</v>
      </c>
      <c r="HIB1">
        <f>Database!HIU1</f>
        <v>0</v>
      </c>
      <c r="HIC1">
        <f>Database!HIV1</f>
        <v>0</v>
      </c>
      <c r="HID1">
        <f>Database!HIW1</f>
        <v>0</v>
      </c>
      <c r="HIE1">
        <f>Database!HIX1</f>
        <v>0</v>
      </c>
      <c r="HIF1">
        <f>Database!HIY1</f>
        <v>0</v>
      </c>
      <c r="HIG1">
        <f>Database!HIZ1</f>
        <v>0</v>
      </c>
      <c r="HIH1">
        <f>Database!HJA1</f>
        <v>0</v>
      </c>
      <c r="HII1">
        <f>Database!HJB1</f>
        <v>0</v>
      </c>
      <c r="HIJ1">
        <f>Database!HJC1</f>
        <v>0</v>
      </c>
      <c r="HIK1">
        <f>Database!HJD1</f>
        <v>0</v>
      </c>
      <c r="HIL1">
        <f>Database!HJE1</f>
        <v>0</v>
      </c>
      <c r="HIM1">
        <f>Database!HJF1</f>
        <v>0</v>
      </c>
      <c r="HIN1">
        <f>Database!HJG1</f>
        <v>0</v>
      </c>
      <c r="HIO1">
        <f>Database!HJH1</f>
        <v>0</v>
      </c>
      <c r="HIP1">
        <f>Database!HJI1</f>
        <v>0</v>
      </c>
      <c r="HIQ1">
        <f>Database!HJJ1</f>
        <v>0</v>
      </c>
      <c r="HIR1">
        <f>Database!HJK1</f>
        <v>0</v>
      </c>
      <c r="HIS1">
        <f>Database!HJL1</f>
        <v>0</v>
      </c>
      <c r="HIT1">
        <f>Database!HJM1</f>
        <v>0</v>
      </c>
      <c r="HIU1">
        <f>Database!HJN1</f>
        <v>0</v>
      </c>
      <c r="HIV1">
        <f>Database!HJO1</f>
        <v>0</v>
      </c>
      <c r="HIW1">
        <f>Database!HJP1</f>
        <v>0</v>
      </c>
      <c r="HIX1">
        <f>Database!HJQ1</f>
        <v>0</v>
      </c>
      <c r="HIY1">
        <f>Database!HJR1</f>
        <v>0</v>
      </c>
      <c r="HIZ1">
        <f>Database!HJS1</f>
        <v>0</v>
      </c>
      <c r="HJA1">
        <f>Database!HJT1</f>
        <v>0</v>
      </c>
      <c r="HJB1">
        <f>Database!HJU1</f>
        <v>0</v>
      </c>
      <c r="HJC1">
        <f>Database!HJV1</f>
        <v>0</v>
      </c>
      <c r="HJD1">
        <f>Database!HJW1</f>
        <v>0</v>
      </c>
      <c r="HJE1">
        <f>Database!HJX1</f>
        <v>0</v>
      </c>
      <c r="HJF1">
        <f>Database!HJY1</f>
        <v>0</v>
      </c>
      <c r="HJG1">
        <f>Database!HJZ1</f>
        <v>0</v>
      </c>
      <c r="HJH1">
        <f>Database!HKA1</f>
        <v>0</v>
      </c>
      <c r="HJI1">
        <f>Database!HKB1</f>
        <v>0</v>
      </c>
      <c r="HJJ1">
        <f>Database!HKC1</f>
        <v>0</v>
      </c>
      <c r="HJK1">
        <f>Database!HKD1</f>
        <v>0</v>
      </c>
      <c r="HJL1">
        <f>Database!HKE1</f>
        <v>0</v>
      </c>
      <c r="HJM1">
        <f>Database!HKF1</f>
        <v>0</v>
      </c>
      <c r="HJN1">
        <f>Database!HKG1</f>
        <v>0</v>
      </c>
      <c r="HJO1">
        <f>Database!HKH1</f>
        <v>0</v>
      </c>
      <c r="HJP1">
        <f>Database!HKI1</f>
        <v>0</v>
      </c>
      <c r="HJQ1">
        <f>Database!HKJ1</f>
        <v>0</v>
      </c>
      <c r="HJR1">
        <f>Database!HKK1</f>
        <v>0</v>
      </c>
      <c r="HJS1">
        <f>Database!HKL1</f>
        <v>0</v>
      </c>
      <c r="HJT1">
        <f>Database!HKM1</f>
        <v>0</v>
      </c>
      <c r="HJU1">
        <f>Database!HKN1</f>
        <v>0</v>
      </c>
      <c r="HJV1">
        <f>Database!HKO1</f>
        <v>0</v>
      </c>
      <c r="HJW1">
        <f>Database!HKP1</f>
        <v>0</v>
      </c>
      <c r="HJX1">
        <f>Database!HKQ1</f>
        <v>0</v>
      </c>
      <c r="HJY1">
        <f>Database!HKR1</f>
        <v>0</v>
      </c>
      <c r="HJZ1">
        <f>Database!HKS1</f>
        <v>0</v>
      </c>
      <c r="HKA1">
        <f>Database!HKT1</f>
        <v>0</v>
      </c>
      <c r="HKB1">
        <f>Database!HKU1</f>
        <v>0</v>
      </c>
      <c r="HKC1">
        <f>Database!HKV1</f>
        <v>0</v>
      </c>
      <c r="HKD1">
        <f>Database!HKW1</f>
        <v>0</v>
      </c>
      <c r="HKE1">
        <f>Database!HKX1</f>
        <v>0</v>
      </c>
      <c r="HKF1">
        <f>Database!HKY1</f>
        <v>0</v>
      </c>
      <c r="HKG1">
        <f>Database!HKZ1</f>
        <v>0</v>
      </c>
      <c r="HKH1">
        <f>Database!HLA1</f>
        <v>0</v>
      </c>
      <c r="HKI1">
        <f>Database!HLB1</f>
        <v>0</v>
      </c>
      <c r="HKJ1">
        <f>Database!HLC1</f>
        <v>0</v>
      </c>
      <c r="HKK1">
        <f>Database!HLD1</f>
        <v>0</v>
      </c>
      <c r="HKL1">
        <f>Database!HLE1</f>
        <v>0</v>
      </c>
      <c r="HKM1">
        <f>Database!HLF1</f>
        <v>0</v>
      </c>
      <c r="HKN1">
        <f>Database!HLG1</f>
        <v>0</v>
      </c>
      <c r="HKO1">
        <f>Database!HLH1</f>
        <v>0</v>
      </c>
      <c r="HKP1">
        <f>Database!HLI1</f>
        <v>0</v>
      </c>
      <c r="HKQ1">
        <f>Database!HLJ1</f>
        <v>0</v>
      </c>
      <c r="HKR1">
        <f>Database!HLK1</f>
        <v>0</v>
      </c>
      <c r="HKS1">
        <f>Database!HLL1</f>
        <v>0</v>
      </c>
      <c r="HKT1">
        <f>Database!HLM1</f>
        <v>0</v>
      </c>
      <c r="HKU1">
        <f>Database!HLN1</f>
        <v>0</v>
      </c>
      <c r="HKV1">
        <f>Database!HLO1</f>
        <v>0</v>
      </c>
      <c r="HKW1">
        <f>Database!HLP1</f>
        <v>0</v>
      </c>
      <c r="HKX1">
        <f>Database!HLQ1</f>
        <v>0</v>
      </c>
      <c r="HKY1">
        <f>Database!HLR1</f>
        <v>0</v>
      </c>
      <c r="HKZ1">
        <f>Database!HLS1</f>
        <v>0</v>
      </c>
      <c r="HLA1">
        <f>Database!HLT1</f>
        <v>0</v>
      </c>
      <c r="HLB1">
        <f>Database!HLU1</f>
        <v>0</v>
      </c>
      <c r="HLC1">
        <f>Database!HLV1</f>
        <v>0</v>
      </c>
      <c r="HLD1">
        <f>Database!HLW1</f>
        <v>0</v>
      </c>
      <c r="HLE1">
        <f>Database!HLX1</f>
        <v>0</v>
      </c>
      <c r="HLF1">
        <f>Database!HLY1</f>
        <v>0</v>
      </c>
      <c r="HLG1">
        <f>Database!HLZ1</f>
        <v>0</v>
      </c>
      <c r="HLH1">
        <f>Database!HMA1</f>
        <v>0</v>
      </c>
      <c r="HLI1">
        <f>Database!HMB1</f>
        <v>0</v>
      </c>
      <c r="HLJ1">
        <f>Database!HMC1</f>
        <v>0</v>
      </c>
      <c r="HLK1">
        <f>Database!HMD1</f>
        <v>0</v>
      </c>
      <c r="HLL1">
        <f>Database!HME1</f>
        <v>0</v>
      </c>
      <c r="HLM1">
        <f>Database!HMF1</f>
        <v>0</v>
      </c>
      <c r="HLN1">
        <f>Database!HMG1</f>
        <v>0</v>
      </c>
      <c r="HLO1">
        <f>Database!HMH1</f>
        <v>0</v>
      </c>
      <c r="HLP1">
        <f>Database!HMI1</f>
        <v>0</v>
      </c>
      <c r="HLQ1">
        <f>Database!HMJ1</f>
        <v>0</v>
      </c>
      <c r="HLR1">
        <f>Database!HMK1</f>
        <v>0</v>
      </c>
      <c r="HLS1">
        <f>Database!HML1</f>
        <v>0</v>
      </c>
      <c r="HLT1">
        <f>Database!HMM1</f>
        <v>0</v>
      </c>
      <c r="HLU1">
        <f>Database!HMN1</f>
        <v>0</v>
      </c>
      <c r="HLV1">
        <f>Database!HMO1</f>
        <v>0</v>
      </c>
      <c r="HLW1">
        <f>Database!HMP1</f>
        <v>0</v>
      </c>
      <c r="HLX1">
        <f>Database!HMQ1</f>
        <v>0</v>
      </c>
      <c r="HLY1">
        <f>Database!HMR1</f>
        <v>0</v>
      </c>
      <c r="HLZ1">
        <f>Database!HMS1</f>
        <v>0</v>
      </c>
      <c r="HMA1">
        <f>Database!HMT1</f>
        <v>0</v>
      </c>
      <c r="HMB1">
        <f>Database!HMU1</f>
        <v>0</v>
      </c>
      <c r="HMC1">
        <f>Database!HMV1</f>
        <v>0</v>
      </c>
      <c r="HMD1">
        <f>Database!HMW1</f>
        <v>0</v>
      </c>
      <c r="HME1">
        <f>Database!HMX1</f>
        <v>0</v>
      </c>
      <c r="HMF1">
        <f>Database!HMY1</f>
        <v>0</v>
      </c>
      <c r="HMG1">
        <f>Database!HMZ1</f>
        <v>0</v>
      </c>
      <c r="HMH1">
        <f>Database!HNA1</f>
        <v>0</v>
      </c>
      <c r="HMI1">
        <f>Database!HNB1</f>
        <v>0</v>
      </c>
      <c r="HMJ1">
        <f>Database!HNC1</f>
        <v>0</v>
      </c>
      <c r="HMK1">
        <f>Database!HND1</f>
        <v>0</v>
      </c>
      <c r="HML1">
        <f>Database!HNE1</f>
        <v>0</v>
      </c>
      <c r="HMM1">
        <f>Database!HNF1</f>
        <v>0</v>
      </c>
      <c r="HMN1">
        <f>Database!HNG1</f>
        <v>0</v>
      </c>
      <c r="HMO1">
        <f>Database!HNH1</f>
        <v>0</v>
      </c>
      <c r="HMP1">
        <f>Database!HNI1</f>
        <v>0</v>
      </c>
      <c r="HMQ1">
        <f>Database!HNJ1</f>
        <v>0</v>
      </c>
      <c r="HMR1">
        <f>Database!HNK1</f>
        <v>0</v>
      </c>
      <c r="HMS1">
        <f>Database!HNL1</f>
        <v>0</v>
      </c>
      <c r="HMT1">
        <f>Database!HNM1</f>
        <v>0</v>
      </c>
      <c r="HMU1">
        <f>Database!HNN1</f>
        <v>0</v>
      </c>
      <c r="HMV1">
        <f>Database!HNO1</f>
        <v>0</v>
      </c>
      <c r="HMW1">
        <f>Database!HNP1</f>
        <v>0</v>
      </c>
      <c r="HMX1">
        <f>Database!HNQ1</f>
        <v>0</v>
      </c>
      <c r="HMY1">
        <f>Database!HNR1</f>
        <v>0</v>
      </c>
      <c r="HMZ1">
        <f>Database!HNS1</f>
        <v>0</v>
      </c>
      <c r="HNA1">
        <f>Database!HNT1</f>
        <v>0</v>
      </c>
      <c r="HNB1">
        <f>Database!HNU1</f>
        <v>0</v>
      </c>
      <c r="HNC1">
        <f>Database!HNV1</f>
        <v>0</v>
      </c>
      <c r="HND1">
        <f>Database!HNW1</f>
        <v>0</v>
      </c>
      <c r="HNE1">
        <f>Database!HNX1</f>
        <v>0</v>
      </c>
      <c r="HNF1">
        <f>Database!HNY1</f>
        <v>0</v>
      </c>
      <c r="HNG1">
        <f>Database!HNZ1</f>
        <v>0</v>
      </c>
      <c r="HNH1">
        <f>Database!HOA1</f>
        <v>0</v>
      </c>
      <c r="HNI1">
        <f>Database!HOB1</f>
        <v>0</v>
      </c>
      <c r="HNJ1">
        <f>Database!HOC1</f>
        <v>0</v>
      </c>
      <c r="HNK1">
        <f>Database!HOD1</f>
        <v>0</v>
      </c>
      <c r="HNL1">
        <f>Database!HOE1</f>
        <v>0</v>
      </c>
      <c r="HNM1">
        <f>Database!HOF1</f>
        <v>0</v>
      </c>
      <c r="HNN1">
        <f>Database!HOG1</f>
        <v>0</v>
      </c>
      <c r="HNO1">
        <f>Database!HOH1</f>
        <v>0</v>
      </c>
      <c r="HNP1">
        <f>Database!HOI1</f>
        <v>0</v>
      </c>
      <c r="HNQ1">
        <f>Database!HOJ1</f>
        <v>0</v>
      </c>
      <c r="HNR1">
        <f>Database!HOK1</f>
        <v>0</v>
      </c>
      <c r="HNS1">
        <f>Database!HOL1</f>
        <v>0</v>
      </c>
      <c r="HNT1">
        <f>Database!HOM1</f>
        <v>0</v>
      </c>
      <c r="HNU1">
        <f>Database!HON1</f>
        <v>0</v>
      </c>
      <c r="HNV1">
        <f>Database!HOO1</f>
        <v>0</v>
      </c>
      <c r="HNW1">
        <f>Database!HOP1</f>
        <v>0</v>
      </c>
      <c r="HNX1">
        <f>Database!HOQ1</f>
        <v>0</v>
      </c>
      <c r="HNY1">
        <f>Database!HOR1</f>
        <v>0</v>
      </c>
      <c r="HNZ1">
        <f>Database!HOS1</f>
        <v>0</v>
      </c>
      <c r="HOA1">
        <f>Database!HOT1</f>
        <v>0</v>
      </c>
      <c r="HOB1">
        <f>Database!HOU1</f>
        <v>0</v>
      </c>
      <c r="HOC1">
        <f>Database!HOV1</f>
        <v>0</v>
      </c>
      <c r="HOD1">
        <f>Database!HOW1</f>
        <v>0</v>
      </c>
      <c r="HOE1">
        <f>Database!HOX1</f>
        <v>0</v>
      </c>
      <c r="HOF1">
        <f>Database!HOY1</f>
        <v>0</v>
      </c>
      <c r="HOG1">
        <f>Database!HOZ1</f>
        <v>0</v>
      </c>
      <c r="HOH1">
        <f>Database!HPA1</f>
        <v>0</v>
      </c>
      <c r="HOI1">
        <f>Database!HPB1</f>
        <v>0</v>
      </c>
      <c r="HOJ1">
        <f>Database!HPC1</f>
        <v>0</v>
      </c>
      <c r="HOK1">
        <f>Database!HPD1</f>
        <v>0</v>
      </c>
      <c r="HOL1">
        <f>Database!HPE1</f>
        <v>0</v>
      </c>
      <c r="HOM1">
        <f>Database!HPF1</f>
        <v>0</v>
      </c>
      <c r="HON1">
        <f>Database!HPG1</f>
        <v>0</v>
      </c>
      <c r="HOO1">
        <f>Database!HPH1</f>
        <v>0</v>
      </c>
      <c r="HOP1">
        <f>Database!HPI1</f>
        <v>0</v>
      </c>
      <c r="HOQ1">
        <f>Database!HPJ1</f>
        <v>0</v>
      </c>
      <c r="HOR1">
        <f>Database!HPK1</f>
        <v>0</v>
      </c>
      <c r="HOS1">
        <f>Database!HPL1</f>
        <v>0</v>
      </c>
      <c r="HOT1">
        <f>Database!HPM1</f>
        <v>0</v>
      </c>
      <c r="HOU1">
        <f>Database!HPN1</f>
        <v>0</v>
      </c>
      <c r="HOV1">
        <f>Database!HPO1</f>
        <v>0</v>
      </c>
      <c r="HOW1">
        <f>Database!HPP1</f>
        <v>0</v>
      </c>
      <c r="HOX1">
        <f>Database!HPQ1</f>
        <v>0</v>
      </c>
      <c r="HOY1">
        <f>Database!HPR1</f>
        <v>0</v>
      </c>
      <c r="HOZ1">
        <f>Database!HPS1</f>
        <v>0</v>
      </c>
      <c r="HPA1">
        <f>Database!HPT1</f>
        <v>0</v>
      </c>
      <c r="HPB1">
        <f>Database!HPU1</f>
        <v>0</v>
      </c>
      <c r="HPC1">
        <f>Database!HPV1</f>
        <v>0</v>
      </c>
      <c r="HPD1">
        <f>Database!HPW1</f>
        <v>0</v>
      </c>
      <c r="HPE1">
        <f>Database!HPX1</f>
        <v>0</v>
      </c>
      <c r="HPF1">
        <f>Database!HPY1</f>
        <v>0</v>
      </c>
      <c r="HPG1">
        <f>Database!HPZ1</f>
        <v>0</v>
      </c>
      <c r="HPH1">
        <f>Database!HQA1</f>
        <v>0</v>
      </c>
      <c r="HPI1">
        <f>Database!HQB1</f>
        <v>0</v>
      </c>
      <c r="HPJ1">
        <f>Database!HQC1</f>
        <v>0</v>
      </c>
      <c r="HPK1">
        <f>Database!HQD1</f>
        <v>0</v>
      </c>
      <c r="HPL1">
        <f>Database!HQE1</f>
        <v>0</v>
      </c>
      <c r="HPM1">
        <f>Database!HQF1</f>
        <v>0</v>
      </c>
      <c r="HPN1">
        <f>Database!HQG1</f>
        <v>0</v>
      </c>
      <c r="HPO1">
        <f>Database!HQH1</f>
        <v>0</v>
      </c>
      <c r="HPP1">
        <f>Database!HQI1</f>
        <v>0</v>
      </c>
      <c r="HPQ1">
        <f>Database!HQJ1</f>
        <v>0</v>
      </c>
      <c r="HPR1">
        <f>Database!HQK1</f>
        <v>0</v>
      </c>
      <c r="HPS1">
        <f>Database!HQL1</f>
        <v>0</v>
      </c>
      <c r="HPT1">
        <f>Database!HQM1</f>
        <v>0</v>
      </c>
      <c r="HPU1">
        <f>Database!HQN1</f>
        <v>0</v>
      </c>
      <c r="HPV1">
        <f>Database!HQO1</f>
        <v>0</v>
      </c>
      <c r="HPW1">
        <f>Database!HQP1</f>
        <v>0</v>
      </c>
      <c r="HPX1">
        <f>Database!HQQ1</f>
        <v>0</v>
      </c>
      <c r="HPY1">
        <f>Database!HQR1</f>
        <v>0</v>
      </c>
      <c r="HPZ1">
        <f>Database!HQS1</f>
        <v>0</v>
      </c>
      <c r="HQA1">
        <f>Database!HQT1</f>
        <v>0</v>
      </c>
      <c r="HQB1">
        <f>Database!HQU1</f>
        <v>0</v>
      </c>
      <c r="HQC1">
        <f>Database!HQV1</f>
        <v>0</v>
      </c>
      <c r="HQD1">
        <f>Database!HQW1</f>
        <v>0</v>
      </c>
      <c r="HQE1">
        <f>Database!HQX1</f>
        <v>0</v>
      </c>
      <c r="HQF1">
        <f>Database!HQY1</f>
        <v>0</v>
      </c>
      <c r="HQG1">
        <f>Database!HQZ1</f>
        <v>0</v>
      </c>
      <c r="HQH1">
        <f>Database!HRA1</f>
        <v>0</v>
      </c>
      <c r="HQI1">
        <f>Database!HRB1</f>
        <v>0</v>
      </c>
      <c r="HQJ1">
        <f>Database!HRC1</f>
        <v>0</v>
      </c>
      <c r="HQK1">
        <f>Database!HRD1</f>
        <v>0</v>
      </c>
      <c r="HQL1">
        <f>Database!HRE1</f>
        <v>0</v>
      </c>
      <c r="HQM1">
        <f>Database!HRF1</f>
        <v>0</v>
      </c>
      <c r="HQN1">
        <f>Database!HRG1</f>
        <v>0</v>
      </c>
      <c r="HQO1">
        <f>Database!HRH1</f>
        <v>0</v>
      </c>
      <c r="HQP1">
        <f>Database!HRI1</f>
        <v>0</v>
      </c>
      <c r="HQQ1">
        <f>Database!HRJ1</f>
        <v>0</v>
      </c>
      <c r="HQR1">
        <f>Database!HRK1</f>
        <v>0</v>
      </c>
      <c r="HQS1">
        <f>Database!HRL1</f>
        <v>0</v>
      </c>
      <c r="HQT1">
        <f>Database!HRM1</f>
        <v>0</v>
      </c>
      <c r="HQU1">
        <f>Database!HRN1</f>
        <v>0</v>
      </c>
      <c r="HQV1">
        <f>Database!HRO1</f>
        <v>0</v>
      </c>
      <c r="HQW1">
        <f>Database!HRP1</f>
        <v>0</v>
      </c>
      <c r="HQX1">
        <f>Database!HRQ1</f>
        <v>0</v>
      </c>
      <c r="HQY1">
        <f>Database!HRR1</f>
        <v>0</v>
      </c>
      <c r="HQZ1">
        <f>Database!HRS1</f>
        <v>0</v>
      </c>
      <c r="HRA1">
        <f>Database!HRT1</f>
        <v>0</v>
      </c>
      <c r="HRB1">
        <f>Database!HRU1</f>
        <v>0</v>
      </c>
      <c r="HRC1">
        <f>Database!HRV1</f>
        <v>0</v>
      </c>
      <c r="HRD1">
        <f>Database!HRW1</f>
        <v>0</v>
      </c>
      <c r="HRE1">
        <f>Database!HRX1</f>
        <v>0</v>
      </c>
      <c r="HRF1">
        <f>Database!HRY1</f>
        <v>0</v>
      </c>
      <c r="HRG1">
        <f>Database!HRZ1</f>
        <v>0</v>
      </c>
      <c r="HRH1">
        <f>Database!HSA1</f>
        <v>0</v>
      </c>
      <c r="HRI1">
        <f>Database!HSB1</f>
        <v>0</v>
      </c>
      <c r="HRJ1">
        <f>Database!HSC1</f>
        <v>0</v>
      </c>
      <c r="HRK1">
        <f>Database!HSD1</f>
        <v>0</v>
      </c>
      <c r="HRL1">
        <f>Database!HSE1</f>
        <v>0</v>
      </c>
      <c r="HRM1">
        <f>Database!HSF1</f>
        <v>0</v>
      </c>
      <c r="HRN1">
        <f>Database!HSG1</f>
        <v>0</v>
      </c>
      <c r="HRO1">
        <f>Database!HSH1</f>
        <v>0</v>
      </c>
      <c r="HRP1">
        <f>Database!HSI1</f>
        <v>0</v>
      </c>
      <c r="HRQ1">
        <f>Database!HSJ1</f>
        <v>0</v>
      </c>
      <c r="HRR1">
        <f>Database!HSK1</f>
        <v>0</v>
      </c>
      <c r="HRS1">
        <f>Database!HSL1</f>
        <v>0</v>
      </c>
      <c r="HRT1">
        <f>Database!HSM1</f>
        <v>0</v>
      </c>
      <c r="HRU1">
        <f>Database!HSN1</f>
        <v>0</v>
      </c>
      <c r="HRV1">
        <f>Database!HSO1</f>
        <v>0</v>
      </c>
      <c r="HRW1">
        <f>Database!HSP1</f>
        <v>0</v>
      </c>
      <c r="HRX1">
        <f>Database!HSQ1</f>
        <v>0</v>
      </c>
      <c r="HRY1">
        <f>Database!HSR1</f>
        <v>0</v>
      </c>
      <c r="HRZ1">
        <f>Database!HSS1</f>
        <v>0</v>
      </c>
      <c r="HSA1">
        <f>Database!HST1</f>
        <v>0</v>
      </c>
      <c r="HSB1">
        <f>Database!HSU1</f>
        <v>0</v>
      </c>
      <c r="HSC1">
        <f>Database!HSV1</f>
        <v>0</v>
      </c>
      <c r="HSD1">
        <f>Database!HSW1</f>
        <v>0</v>
      </c>
      <c r="HSE1">
        <f>Database!HSX1</f>
        <v>0</v>
      </c>
      <c r="HSF1">
        <f>Database!HSY1</f>
        <v>0</v>
      </c>
      <c r="HSG1">
        <f>Database!HSZ1</f>
        <v>0</v>
      </c>
      <c r="HSH1">
        <f>Database!HTA1</f>
        <v>0</v>
      </c>
      <c r="HSI1">
        <f>Database!HTB1</f>
        <v>0</v>
      </c>
      <c r="HSJ1">
        <f>Database!HTC1</f>
        <v>0</v>
      </c>
      <c r="HSK1">
        <f>Database!HTD1</f>
        <v>0</v>
      </c>
      <c r="HSL1">
        <f>Database!HTE1</f>
        <v>0</v>
      </c>
      <c r="HSM1">
        <f>Database!HTF1</f>
        <v>0</v>
      </c>
      <c r="HSN1">
        <f>Database!HTG1</f>
        <v>0</v>
      </c>
      <c r="HSO1">
        <f>Database!HTH1</f>
        <v>0</v>
      </c>
      <c r="HSP1">
        <f>Database!HTI1</f>
        <v>0</v>
      </c>
      <c r="HSQ1">
        <f>Database!HTJ1</f>
        <v>0</v>
      </c>
      <c r="HSR1">
        <f>Database!HTK1</f>
        <v>0</v>
      </c>
      <c r="HSS1">
        <f>Database!HTL1</f>
        <v>0</v>
      </c>
      <c r="HST1">
        <f>Database!HTM1</f>
        <v>0</v>
      </c>
      <c r="HSU1">
        <f>Database!HTN1</f>
        <v>0</v>
      </c>
      <c r="HSV1">
        <f>Database!HTO1</f>
        <v>0</v>
      </c>
      <c r="HSW1">
        <f>Database!HTP1</f>
        <v>0</v>
      </c>
      <c r="HSX1">
        <f>Database!HTQ1</f>
        <v>0</v>
      </c>
      <c r="HSY1">
        <f>Database!HTR1</f>
        <v>0</v>
      </c>
      <c r="HSZ1">
        <f>Database!HTS1</f>
        <v>0</v>
      </c>
      <c r="HTA1">
        <f>Database!HTT1</f>
        <v>0</v>
      </c>
      <c r="HTB1">
        <f>Database!HTU1</f>
        <v>0</v>
      </c>
      <c r="HTC1">
        <f>Database!HTV1</f>
        <v>0</v>
      </c>
      <c r="HTD1">
        <f>Database!HTW1</f>
        <v>0</v>
      </c>
      <c r="HTE1">
        <f>Database!HTX1</f>
        <v>0</v>
      </c>
      <c r="HTF1">
        <f>Database!HTY1</f>
        <v>0</v>
      </c>
      <c r="HTG1">
        <f>Database!HTZ1</f>
        <v>0</v>
      </c>
      <c r="HTH1">
        <f>Database!HUA1</f>
        <v>0</v>
      </c>
      <c r="HTI1">
        <f>Database!HUB1</f>
        <v>0</v>
      </c>
      <c r="HTJ1">
        <f>Database!HUC1</f>
        <v>0</v>
      </c>
      <c r="HTK1">
        <f>Database!HUD1</f>
        <v>0</v>
      </c>
      <c r="HTL1">
        <f>Database!HUE1</f>
        <v>0</v>
      </c>
      <c r="HTM1">
        <f>Database!HUF1</f>
        <v>0</v>
      </c>
      <c r="HTN1">
        <f>Database!HUG1</f>
        <v>0</v>
      </c>
      <c r="HTO1">
        <f>Database!HUH1</f>
        <v>0</v>
      </c>
      <c r="HTP1">
        <f>Database!HUI1</f>
        <v>0</v>
      </c>
      <c r="HTQ1">
        <f>Database!HUJ1</f>
        <v>0</v>
      </c>
      <c r="HTR1">
        <f>Database!HUK1</f>
        <v>0</v>
      </c>
      <c r="HTS1">
        <f>Database!HUL1</f>
        <v>0</v>
      </c>
      <c r="HTT1">
        <f>Database!HUM1</f>
        <v>0</v>
      </c>
      <c r="HTU1">
        <f>Database!HUN1</f>
        <v>0</v>
      </c>
      <c r="HTV1">
        <f>Database!HUO1</f>
        <v>0</v>
      </c>
      <c r="HTW1">
        <f>Database!HUP1</f>
        <v>0</v>
      </c>
      <c r="HTX1">
        <f>Database!HUQ1</f>
        <v>0</v>
      </c>
      <c r="HTY1">
        <f>Database!HUR1</f>
        <v>0</v>
      </c>
      <c r="HTZ1">
        <f>Database!HUS1</f>
        <v>0</v>
      </c>
      <c r="HUA1">
        <f>Database!HUT1</f>
        <v>0</v>
      </c>
      <c r="HUB1">
        <f>Database!HUU1</f>
        <v>0</v>
      </c>
      <c r="HUC1">
        <f>Database!HUV1</f>
        <v>0</v>
      </c>
      <c r="HUD1">
        <f>Database!HUW1</f>
        <v>0</v>
      </c>
      <c r="HUE1">
        <f>Database!HUX1</f>
        <v>0</v>
      </c>
      <c r="HUF1">
        <f>Database!HUY1</f>
        <v>0</v>
      </c>
      <c r="HUG1">
        <f>Database!HUZ1</f>
        <v>0</v>
      </c>
      <c r="HUH1">
        <f>Database!HVA1</f>
        <v>0</v>
      </c>
      <c r="HUI1">
        <f>Database!HVB1</f>
        <v>0</v>
      </c>
      <c r="HUJ1">
        <f>Database!HVC1</f>
        <v>0</v>
      </c>
      <c r="HUK1">
        <f>Database!HVD1</f>
        <v>0</v>
      </c>
      <c r="HUL1">
        <f>Database!HVE1</f>
        <v>0</v>
      </c>
      <c r="HUM1">
        <f>Database!HVF1</f>
        <v>0</v>
      </c>
      <c r="HUN1">
        <f>Database!HVG1</f>
        <v>0</v>
      </c>
      <c r="HUO1">
        <f>Database!HVH1</f>
        <v>0</v>
      </c>
      <c r="HUP1">
        <f>Database!HVI1</f>
        <v>0</v>
      </c>
      <c r="HUQ1">
        <f>Database!HVJ1</f>
        <v>0</v>
      </c>
      <c r="HUR1">
        <f>Database!HVK1</f>
        <v>0</v>
      </c>
      <c r="HUS1">
        <f>Database!HVL1</f>
        <v>0</v>
      </c>
      <c r="HUT1">
        <f>Database!HVM1</f>
        <v>0</v>
      </c>
      <c r="HUU1">
        <f>Database!HVN1</f>
        <v>0</v>
      </c>
      <c r="HUV1">
        <f>Database!HVO1</f>
        <v>0</v>
      </c>
      <c r="HUW1">
        <f>Database!HVP1</f>
        <v>0</v>
      </c>
      <c r="HUX1">
        <f>Database!HVQ1</f>
        <v>0</v>
      </c>
      <c r="HUY1">
        <f>Database!HVR1</f>
        <v>0</v>
      </c>
      <c r="HUZ1">
        <f>Database!HVS1</f>
        <v>0</v>
      </c>
      <c r="HVA1">
        <f>Database!HVT1</f>
        <v>0</v>
      </c>
      <c r="HVB1">
        <f>Database!HVU1</f>
        <v>0</v>
      </c>
      <c r="HVC1">
        <f>Database!HVV1</f>
        <v>0</v>
      </c>
      <c r="HVD1">
        <f>Database!HVW1</f>
        <v>0</v>
      </c>
      <c r="HVE1">
        <f>Database!HVX1</f>
        <v>0</v>
      </c>
      <c r="HVF1">
        <f>Database!HVY1</f>
        <v>0</v>
      </c>
      <c r="HVG1">
        <f>Database!HVZ1</f>
        <v>0</v>
      </c>
      <c r="HVH1">
        <f>Database!HWA1</f>
        <v>0</v>
      </c>
      <c r="HVI1">
        <f>Database!HWB1</f>
        <v>0</v>
      </c>
      <c r="HVJ1">
        <f>Database!HWC1</f>
        <v>0</v>
      </c>
      <c r="HVK1">
        <f>Database!HWD1</f>
        <v>0</v>
      </c>
      <c r="HVL1">
        <f>Database!HWE1</f>
        <v>0</v>
      </c>
      <c r="HVM1">
        <f>Database!HWF1</f>
        <v>0</v>
      </c>
      <c r="HVN1">
        <f>Database!HWG1</f>
        <v>0</v>
      </c>
      <c r="HVO1">
        <f>Database!HWH1</f>
        <v>0</v>
      </c>
      <c r="HVP1">
        <f>Database!HWI1</f>
        <v>0</v>
      </c>
      <c r="HVQ1">
        <f>Database!HWJ1</f>
        <v>0</v>
      </c>
      <c r="HVR1">
        <f>Database!HWK1</f>
        <v>0</v>
      </c>
      <c r="HVS1">
        <f>Database!HWL1</f>
        <v>0</v>
      </c>
      <c r="HVT1">
        <f>Database!HWM1</f>
        <v>0</v>
      </c>
      <c r="HVU1">
        <f>Database!HWN1</f>
        <v>0</v>
      </c>
      <c r="HVV1">
        <f>Database!HWO1</f>
        <v>0</v>
      </c>
      <c r="HVW1">
        <f>Database!HWP1</f>
        <v>0</v>
      </c>
      <c r="HVX1">
        <f>Database!HWQ1</f>
        <v>0</v>
      </c>
      <c r="HVY1">
        <f>Database!HWR1</f>
        <v>0</v>
      </c>
      <c r="HVZ1">
        <f>Database!HWS1</f>
        <v>0</v>
      </c>
      <c r="HWA1">
        <f>Database!HWT1</f>
        <v>0</v>
      </c>
      <c r="HWB1">
        <f>Database!HWU1</f>
        <v>0</v>
      </c>
      <c r="HWC1">
        <f>Database!HWV1</f>
        <v>0</v>
      </c>
      <c r="HWD1">
        <f>Database!HWW1</f>
        <v>0</v>
      </c>
      <c r="HWE1">
        <f>Database!HWX1</f>
        <v>0</v>
      </c>
      <c r="HWF1">
        <f>Database!HWY1</f>
        <v>0</v>
      </c>
      <c r="HWG1">
        <f>Database!HWZ1</f>
        <v>0</v>
      </c>
      <c r="HWH1">
        <f>Database!HXA1</f>
        <v>0</v>
      </c>
      <c r="HWI1">
        <f>Database!HXB1</f>
        <v>0</v>
      </c>
      <c r="HWJ1">
        <f>Database!HXC1</f>
        <v>0</v>
      </c>
      <c r="HWK1">
        <f>Database!HXD1</f>
        <v>0</v>
      </c>
      <c r="HWL1">
        <f>Database!HXE1</f>
        <v>0</v>
      </c>
      <c r="HWM1">
        <f>Database!HXF1</f>
        <v>0</v>
      </c>
      <c r="HWN1">
        <f>Database!HXG1</f>
        <v>0</v>
      </c>
      <c r="HWO1">
        <f>Database!HXH1</f>
        <v>0</v>
      </c>
      <c r="HWP1">
        <f>Database!HXI1</f>
        <v>0</v>
      </c>
      <c r="HWQ1">
        <f>Database!HXJ1</f>
        <v>0</v>
      </c>
      <c r="HWR1">
        <f>Database!HXK1</f>
        <v>0</v>
      </c>
      <c r="HWS1">
        <f>Database!HXL1</f>
        <v>0</v>
      </c>
      <c r="HWT1">
        <f>Database!HXM1</f>
        <v>0</v>
      </c>
      <c r="HWU1">
        <f>Database!HXN1</f>
        <v>0</v>
      </c>
      <c r="HWV1">
        <f>Database!HXO1</f>
        <v>0</v>
      </c>
      <c r="HWW1">
        <f>Database!HXP1</f>
        <v>0</v>
      </c>
      <c r="HWX1">
        <f>Database!HXQ1</f>
        <v>0</v>
      </c>
      <c r="HWY1">
        <f>Database!HXR1</f>
        <v>0</v>
      </c>
      <c r="HWZ1">
        <f>Database!HXS1</f>
        <v>0</v>
      </c>
      <c r="HXA1">
        <f>Database!HXT1</f>
        <v>0</v>
      </c>
      <c r="HXB1">
        <f>Database!HXU1</f>
        <v>0</v>
      </c>
      <c r="HXC1">
        <f>Database!HXV1</f>
        <v>0</v>
      </c>
      <c r="HXD1">
        <f>Database!HXW1</f>
        <v>0</v>
      </c>
      <c r="HXE1">
        <f>Database!HXX1</f>
        <v>0</v>
      </c>
      <c r="HXF1">
        <f>Database!HXY1</f>
        <v>0</v>
      </c>
      <c r="HXG1">
        <f>Database!HXZ1</f>
        <v>0</v>
      </c>
      <c r="HXH1">
        <f>Database!HYA1</f>
        <v>0</v>
      </c>
      <c r="HXI1">
        <f>Database!HYB1</f>
        <v>0</v>
      </c>
      <c r="HXJ1">
        <f>Database!HYC1</f>
        <v>0</v>
      </c>
      <c r="HXK1">
        <f>Database!HYD1</f>
        <v>0</v>
      </c>
      <c r="HXL1">
        <f>Database!HYE1</f>
        <v>0</v>
      </c>
      <c r="HXM1">
        <f>Database!HYF1</f>
        <v>0</v>
      </c>
      <c r="HXN1">
        <f>Database!HYG1</f>
        <v>0</v>
      </c>
      <c r="HXO1">
        <f>Database!HYH1</f>
        <v>0</v>
      </c>
      <c r="HXP1">
        <f>Database!HYI1</f>
        <v>0</v>
      </c>
      <c r="HXQ1">
        <f>Database!HYJ1</f>
        <v>0</v>
      </c>
      <c r="HXR1">
        <f>Database!HYK1</f>
        <v>0</v>
      </c>
      <c r="HXS1">
        <f>Database!HYL1</f>
        <v>0</v>
      </c>
      <c r="HXT1">
        <f>Database!HYM1</f>
        <v>0</v>
      </c>
      <c r="HXU1">
        <f>Database!HYN1</f>
        <v>0</v>
      </c>
      <c r="HXV1">
        <f>Database!HYO1</f>
        <v>0</v>
      </c>
      <c r="HXW1">
        <f>Database!HYP1</f>
        <v>0</v>
      </c>
      <c r="HXX1">
        <f>Database!HYQ1</f>
        <v>0</v>
      </c>
      <c r="HXY1">
        <f>Database!HYR1</f>
        <v>0</v>
      </c>
      <c r="HXZ1">
        <f>Database!HYS1</f>
        <v>0</v>
      </c>
      <c r="HYA1">
        <f>Database!HYT1</f>
        <v>0</v>
      </c>
      <c r="HYB1">
        <f>Database!HYU1</f>
        <v>0</v>
      </c>
      <c r="HYC1">
        <f>Database!HYV1</f>
        <v>0</v>
      </c>
      <c r="HYD1">
        <f>Database!HYW1</f>
        <v>0</v>
      </c>
      <c r="HYE1">
        <f>Database!HYX1</f>
        <v>0</v>
      </c>
      <c r="HYF1">
        <f>Database!HYY1</f>
        <v>0</v>
      </c>
      <c r="HYG1">
        <f>Database!HYZ1</f>
        <v>0</v>
      </c>
      <c r="HYH1">
        <f>Database!HZA1</f>
        <v>0</v>
      </c>
      <c r="HYI1">
        <f>Database!HZB1</f>
        <v>0</v>
      </c>
      <c r="HYJ1">
        <f>Database!HZC1</f>
        <v>0</v>
      </c>
      <c r="HYK1">
        <f>Database!HZD1</f>
        <v>0</v>
      </c>
      <c r="HYL1">
        <f>Database!HZE1</f>
        <v>0</v>
      </c>
      <c r="HYM1">
        <f>Database!HZF1</f>
        <v>0</v>
      </c>
      <c r="HYN1">
        <f>Database!HZG1</f>
        <v>0</v>
      </c>
      <c r="HYO1">
        <f>Database!HZH1</f>
        <v>0</v>
      </c>
      <c r="HYP1">
        <f>Database!HZI1</f>
        <v>0</v>
      </c>
      <c r="HYQ1">
        <f>Database!HZJ1</f>
        <v>0</v>
      </c>
      <c r="HYR1">
        <f>Database!HZK1</f>
        <v>0</v>
      </c>
      <c r="HYS1">
        <f>Database!HZL1</f>
        <v>0</v>
      </c>
      <c r="HYT1">
        <f>Database!HZM1</f>
        <v>0</v>
      </c>
      <c r="HYU1">
        <f>Database!HZN1</f>
        <v>0</v>
      </c>
      <c r="HYV1">
        <f>Database!HZO1</f>
        <v>0</v>
      </c>
      <c r="HYW1">
        <f>Database!HZP1</f>
        <v>0</v>
      </c>
      <c r="HYX1">
        <f>Database!HZQ1</f>
        <v>0</v>
      </c>
      <c r="HYY1">
        <f>Database!HZR1</f>
        <v>0</v>
      </c>
      <c r="HYZ1">
        <f>Database!HZS1</f>
        <v>0</v>
      </c>
      <c r="HZA1">
        <f>Database!HZT1</f>
        <v>0</v>
      </c>
      <c r="HZB1">
        <f>Database!HZU1</f>
        <v>0</v>
      </c>
      <c r="HZC1">
        <f>Database!HZV1</f>
        <v>0</v>
      </c>
      <c r="HZD1">
        <f>Database!HZW1</f>
        <v>0</v>
      </c>
      <c r="HZE1">
        <f>Database!HZX1</f>
        <v>0</v>
      </c>
      <c r="HZF1">
        <f>Database!HZY1</f>
        <v>0</v>
      </c>
      <c r="HZG1">
        <f>Database!HZZ1</f>
        <v>0</v>
      </c>
      <c r="HZH1">
        <f>Database!IAA1</f>
        <v>0</v>
      </c>
      <c r="HZI1">
        <f>Database!IAB1</f>
        <v>0</v>
      </c>
      <c r="HZJ1">
        <f>Database!IAC1</f>
        <v>0</v>
      </c>
      <c r="HZK1">
        <f>Database!IAD1</f>
        <v>0</v>
      </c>
      <c r="HZL1">
        <f>Database!IAE1</f>
        <v>0</v>
      </c>
      <c r="HZM1">
        <f>Database!IAF1</f>
        <v>0</v>
      </c>
      <c r="HZN1">
        <f>Database!IAG1</f>
        <v>0</v>
      </c>
      <c r="HZO1">
        <f>Database!IAH1</f>
        <v>0</v>
      </c>
      <c r="HZP1">
        <f>Database!IAI1</f>
        <v>0</v>
      </c>
      <c r="HZQ1">
        <f>Database!IAJ1</f>
        <v>0</v>
      </c>
      <c r="HZR1">
        <f>Database!IAK1</f>
        <v>0</v>
      </c>
      <c r="HZS1">
        <f>Database!IAL1</f>
        <v>0</v>
      </c>
      <c r="HZT1">
        <f>Database!IAM1</f>
        <v>0</v>
      </c>
      <c r="HZU1">
        <f>Database!IAN1</f>
        <v>0</v>
      </c>
      <c r="HZV1">
        <f>Database!IAO1</f>
        <v>0</v>
      </c>
      <c r="HZW1">
        <f>Database!IAP1</f>
        <v>0</v>
      </c>
      <c r="HZX1">
        <f>Database!IAQ1</f>
        <v>0</v>
      </c>
      <c r="HZY1">
        <f>Database!IAR1</f>
        <v>0</v>
      </c>
      <c r="HZZ1">
        <f>Database!IAS1</f>
        <v>0</v>
      </c>
      <c r="IAA1">
        <f>Database!IAT1</f>
        <v>0</v>
      </c>
      <c r="IAB1">
        <f>Database!IAU1</f>
        <v>0</v>
      </c>
      <c r="IAC1">
        <f>Database!IAV1</f>
        <v>0</v>
      </c>
      <c r="IAD1">
        <f>Database!IAW1</f>
        <v>0</v>
      </c>
      <c r="IAE1">
        <f>Database!IAX1</f>
        <v>0</v>
      </c>
      <c r="IAF1">
        <f>Database!IAY1</f>
        <v>0</v>
      </c>
      <c r="IAG1">
        <f>Database!IAZ1</f>
        <v>0</v>
      </c>
      <c r="IAH1">
        <f>Database!IBA1</f>
        <v>0</v>
      </c>
      <c r="IAI1">
        <f>Database!IBB1</f>
        <v>0</v>
      </c>
      <c r="IAJ1">
        <f>Database!IBC1</f>
        <v>0</v>
      </c>
      <c r="IAK1">
        <f>Database!IBD1</f>
        <v>0</v>
      </c>
      <c r="IAL1">
        <f>Database!IBE1</f>
        <v>0</v>
      </c>
      <c r="IAM1">
        <f>Database!IBF1</f>
        <v>0</v>
      </c>
      <c r="IAN1">
        <f>Database!IBG1</f>
        <v>0</v>
      </c>
      <c r="IAO1">
        <f>Database!IBH1</f>
        <v>0</v>
      </c>
      <c r="IAP1">
        <f>Database!IBI1</f>
        <v>0</v>
      </c>
      <c r="IAQ1">
        <f>Database!IBJ1</f>
        <v>0</v>
      </c>
      <c r="IAR1">
        <f>Database!IBK1</f>
        <v>0</v>
      </c>
      <c r="IAS1">
        <f>Database!IBL1</f>
        <v>0</v>
      </c>
      <c r="IAT1">
        <f>Database!IBM1</f>
        <v>0</v>
      </c>
      <c r="IAU1">
        <f>Database!IBN1</f>
        <v>0</v>
      </c>
      <c r="IAV1">
        <f>Database!IBO1</f>
        <v>0</v>
      </c>
      <c r="IAW1">
        <f>Database!IBP1</f>
        <v>0</v>
      </c>
      <c r="IAX1">
        <f>Database!IBQ1</f>
        <v>0</v>
      </c>
      <c r="IAY1">
        <f>Database!IBR1</f>
        <v>0</v>
      </c>
      <c r="IAZ1">
        <f>Database!IBS1</f>
        <v>0</v>
      </c>
      <c r="IBA1">
        <f>Database!IBT1</f>
        <v>0</v>
      </c>
      <c r="IBB1">
        <f>Database!IBU1</f>
        <v>0</v>
      </c>
      <c r="IBC1">
        <f>Database!IBV1</f>
        <v>0</v>
      </c>
      <c r="IBD1">
        <f>Database!IBW1</f>
        <v>0</v>
      </c>
      <c r="IBE1">
        <f>Database!IBX1</f>
        <v>0</v>
      </c>
      <c r="IBF1">
        <f>Database!IBY1</f>
        <v>0</v>
      </c>
      <c r="IBG1">
        <f>Database!IBZ1</f>
        <v>0</v>
      </c>
      <c r="IBH1">
        <f>Database!ICA1</f>
        <v>0</v>
      </c>
      <c r="IBI1">
        <f>Database!ICB1</f>
        <v>0</v>
      </c>
      <c r="IBJ1">
        <f>Database!ICC1</f>
        <v>0</v>
      </c>
      <c r="IBK1">
        <f>Database!ICD1</f>
        <v>0</v>
      </c>
      <c r="IBL1">
        <f>Database!ICE1</f>
        <v>0</v>
      </c>
      <c r="IBM1">
        <f>Database!ICF1</f>
        <v>0</v>
      </c>
      <c r="IBN1">
        <f>Database!ICG1</f>
        <v>0</v>
      </c>
      <c r="IBO1">
        <f>Database!ICH1</f>
        <v>0</v>
      </c>
      <c r="IBP1">
        <f>Database!ICI1</f>
        <v>0</v>
      </c>
      <c r="IBQ1">
        <f>Database!ICJ1</f>
        <v>0</v>
      </c>
      <c r="IBR1">
        <f>Database!ICK1</f>
        <v>0</v>
      </c>
      <c r="IBS1">
        <f>Database!ICL1</f>
        <v>0</v>
      </c>
      <c r="IBT1">
        <f>Database!ICM1</f>
        <v>0</v>
      </c>
      <c r="IBU1">
        <f>Database!ICN1</f>
        <v>0</v>
      </c>
      <c r="IBV1">
        <f>Database!ICO1</f>
        <v>0</v>
      </c>
      <c r="IBW1">
        <f>Database!ICP1</f>
        <v>0</v>
      </c>
      <c r="IBX1">
        <f>Database!ICQ1</f>
        <v>0</v>
      </c>
      <c r="IBY1">
        <f>Database!ICR1</f>
        <v>0</v>
      </c>
      <c r="IBZ1">
        <f>Database!ICS1</f>
        <v>0</v>
      </c>
      <c r="ICA1">
        <f>Database!ICT1</f>
        <v>0</v>
      </c>
      <c r="ICB1">
        <f>Database!ICU1</f>
        <v>0</v>
      </c>
      <c r="ICC1">
        <f>Database!ICV1</f>
        <v>0</v>
      </c>
      <c r="ICD1">
        <f>Database!ICW1</f>
        <v>0</v>
      </c>
      <c r="ICE1">
        <f>Database!ICX1</f>
        <v>0</v>
      </c>
      <c r="ICF1">
        <f>Database!ICY1</f>
        <v>0</v>
      </c>
      <c r="ICG1">
        <f>Database!ICZ1</f>
        <v>0</v>
      </c>
      <c r="ICH1">
        <f>Database!IDA1</f>
        <v>0</v>
      </c>
      <c r="ICI1">
        <f>Database!IDB1</f>
        <v>0</v>
      </c>
      <c r="ICJ1">
        <f>Database!IDC1</f>
        <v>0</v>
      </c>
      <c r="ICK1">
        <f>Database!IDD1</f>
        <v>0</v>
      </c>
      <c r="ICL1">
        <f>Database!IDE1</f>
        <v>0</v>
      </c>
      <c r="ICM1">
        <f>Database!IDF1</f>
        <v>0</v>
      </c>
      <c r="ICN1">
        <f>Database!IDG1</f>
        <v>0</v>
      </c>
      <c r="ICO1">
        <f>Database!IDH1</f>
        <v>0</v>
      </c>
      <c r="ICP1">
        <f>Database!IDI1</f>
        <v>0</v>
      </c>
      <c r="ICQ1">
        <f>Database!IDJ1</f>
        <v>0</v>
      </c>
      <c r="ICR1">
        <f>Database!IDK1</f>
        <v>0</v>
      </c>
      <c r="ICS1">
        <f>Database!IDL1</f>
        <v>0</v>
      </c>
      <c r="ICT1">
        <f>Database!IDM1</f>
        <v>0</v>
      </c>
      <c r="ICU1">
        <f>Database!IDN1</f>
        <v>0</v>
      </c>
      <c r="ICV1">
        <f>Database!IDO1</f>
        <v>0</v>
      </c>
      <c r="ICW1">
        <f>Database!IDP1</f>
        <v>0</v>
      </c>
      <c r="ICX1">
        <f>Database!IDQ1</f>
        <v>0</v>
      </c>
      <c r="ICY1">
        <f>Database!IDR1</f>
        <v>0</v>
      </c>
      <c r="ICZ1">
        <f>Database!IDS1</f>
        <v>0</v>
      </c>
      <c r="IDA1">
        <f>Database!IDT1</f>
        <v>0</v>
      </c>
      <c r="IDB1">
        <f>Database!IDU1</f>
        <v>0</v>
      </c>
      <c r="IDC1">
        <f>Database!IDV1</f>
        <v>0</v>
      </c>
      <c r="IDD1">
        <f>Database!IDW1</f>
        <v>0</v>
      </c>
      <c r="IDE1">
        <f>Database!IDX1</f>
        <v>0</v>
      </c>
      <c r="IDF1">
        <f>Database!IDY1</f>
        <v>0</v>
      </c>
      <c r="IDG1">
        <f>Database!IDZ1</f>
        <v>0</v>
      </c>
      <c r="IDH1">
        <f>Database!IEA1</f>
        <v>0</v>
      </c>
      <c r="IDI1">
        <f>Database!IEB1</f>
        <v>0</v>
      </c>
      <c r="IDJ1">
        <f>Database!IEC1</f>
        <v>0</v>
      </c>
      <c r="IDK1">
        <f>Database!IED1</f>
        <v>0</v>
      </c>
      <c r="IDL1">
        <f>Database!IEE1</f>
        <v>0</v>
      </c>
      <c r="IDM1">
        <f>Database!IEF1</f>
        <v>0</v>
      </c>
      <c r="IDN1">
        <f>Database!IEG1</f>
        <v>0</v>
      </c>
      <c r="IDO1">
        <f>Database!IEH1</f>
        <v>0</v>
      </c>
      <c r="IDP1">
        <f>Database!IEI1</f>
        <v>0</v>
      </c>
      <c r="IDQ1">
        <f>Database!IEJ1</f>
        <v>0</v>
      </c>
      <c r="IDR1">
        <f>Database!IEK1</f>
        <v>0</v>
      </c>
      <c r="IDS1">
        <f>Database!IEL1</f>
        <v>0</v>
      </c>
      <c r="IDT1">
        <f>Database!IEM1</f>
        <v>0</v>
      </c>
      <c r="IDU1">
        <f>Database!IEN1</f>
        <v>0</v>
      </c>
      <c r="IDV1">
        <f>Database!IEO1</f>
        <v>0</v>
      </c>
      <c r="IDW1">
        <f>Database!IEP1</f>
        <v>0</v>
      </c>
      <c r="IDX1">
        <f>Database!IEQ1</f>
        <v>0</v>
      </c>
      <c r="IDY1">
        <f>Database!IER1</f>
        <v>0</v>
      </c>
      <c r="IDZ1">
        <f>Database!IES1</f>
        <v>0</v>
      </c>
      <c r="IEA1">
        <f>Database!IET1</f>
        <v>0</v>
      </c>
      <c r="IEB1">
        <f>Database!IEU1</f>
        <v>0</v>
      </c>
      <c r="IEC1">
        <f>Database!IEV1</f>
        <v>0</v>
      </c>
      <c r="IED1">
        <f>Database!IEW1</f>
        <v>0</v>
      </c>
      <c r="IEE1">
        <f>Database!IEX1</f>
        <v>0</v>
      </c>
      <c r="IEF1">
        <f>Database!IEY1</f>
        <v>0</v>
      </c>
      <c r="IEG1">
        <f>Database!IEZ1</f>
        <v>0</v>
      </c>
      <c r="IEH1">
        <f>Database!IFA1</f>
        <v>0</v>
      </c>
      <c r="IEI1">
        <f>Database!IFB1</f>
        <v>0</v>
      </c>
      <c r="IEJ1">
        <f>Database!IFC1</f>
        <v>0</v>
      </c>
      <c r="IEK1">
        <f>Database!IFD1</f>
        <v>0</v>
      </c>
      <c r="IEL1">
        <f>Database!IFE1</f>
        <v>0</v>
      </c>
      <c r="IEM1">
        <f>Database!IFF1</f>
        <v>0</v>
      </c>
      <c r="IEN1">
        <f>Database!IFG1</f>
        <v>0</v>
      </c>
      <c r="IEO1">
        <f>Database!IFH1</f>
        <v>0</v>
      </c>
      <c r="IEP1">
        <f>Database!IFI1</f>
        <v>0</v>
      </c>
      <c r="IEQ1">
        <f>Database!IFJ1</f>
        <v>0</v>
      </c>
      <c r="IER1">
        <f>Database!IFK1</f>
        <v>0</v>
      </c>
      <c r="IES1">
        <f>Database!IFL1</f>
        <v>0</v>
      </c>
      <c r="IET1">
        <f>Database!IFM1</f>
        <v>0</v>
      </c>
      <c r="IEU1">
        <f>Database!IFN1</f>
        <v>0</v>
      </c>
      <c r="IEV1">
        <f>Database!IFO1</f>
        <v>0</v>
      </c>
      <c r="IEW1">
        <f>Database!IFP1</f>
        <v>0</v>
      </c>
      <c r="IEX1">
        <f>Database!IFQ1</f>
        <v>0</v>
      </c>
      <c r="IEY1">
        <f>Database!IFR1</f>
        <v>0</v>
      </c>
      <c r="IEZ1">
        <f>Database!IFS1</f>
        <v>0</v>
      </c>
      <c r="IFA1">
        <f>Database!IFT1</f>
        <v>0</v>
      </c>
      <c r="IFB1">
        <f>Database!IFU1</f>
        <v>0</v>
      </c>
      <c r="IFC1">
        <f>Database!IFV1</f>
        <v>0</v>
      </c>
      <c r="IFD1">
        <f>Database!IFW1</f>
        <v>0</v>
      </c>
      <c r="IFE1">
        <f>Database!IFX1</f>
        <v>0</v>
      </c>
      <c r="IFF1">
        <f>Database!IFY1</f>
        <v>0</v>
      </c>
      <c r="IFG1">
        <f>Database!IFZ1</f>
        <v>0</v>
      </c>
      <c r="IFH1">
        <f>Database!IGA1</f>
        <v>0</v>
      </c>
      <c r="IFI1">
        <f>Database!IGB1</f>
        <v>0</v>
      </c>
      <c r="IFJ1">
        <f>Database!IGC1</f>
        <v>0</v>
      </c>
      <c r="IFK1">
        <f>Database!IGD1</f>
        <v>0</v>
      </c>
      <c r="IFL1">
        <f>Database!IGE1</f>
        <v>0</v>
      </c>
      <c r="IFM1">
        <f>Database!IGF1</f>
        <v>0</v>
      </c>
      <c r="IFN1">
        <f>Database!IGG1</f>
        <v>0</v>
      </c>
      <c r="IFO1">
        <f>Database!IGH1</f>
        <v>0</v>
      </c>
      <c r="IFP1">
        <f>Database!IGI1</f>
        <v>0</v>
      </c>
      <c r="IFQ1">
        <f>Database!IGJ1</f>
        <v>0</v>
      </c>
      <c r="IFR1">
        <f>Database!IGK1</f>
        <v>0</v>
      </c>
      <c r="IFS1">
        <f>Database!IGL1</f>
        <v>0</v>
      </c>
      <c r="IFT1">
        <f>Database!IGM1</f>
        <v>0</v>
      </c>
      <c r="IFU1">
        <f>Database!IGN1</f>
        <v>0</v>
      </c>
      <c r="IFV1">
        <f>Database!IGO1</f>
        <v>0</v>
      </c>
      <c r="IFW1">
        <f>Database!IGP1</f>
        <v>0</v>
      </c>
      <c r="IFX1">
        <f>Database!IGQ1</f>
        <v>0</v>
      </c>
      <c r="IFY1">
        <f>Database!IGR1</f>
        <v>0</v>
      </c>
      <c r="IFZ1">
        <f>Database!IGS1</f>
        <v>0</v>
      </c>
      <c r="IGA1">
        <f>Database!IGT1</f>
        <v>0</v>
      </c>
      <c r="IGB1">
        <f>Database!IGU1</f>
        <v>0</v>
      </c>
      <c r="IGC1">
        <f>Database!IGV1</f>
        <v>0</v>
      </c>
      <c r="IGD1">
        <f>Database!IGW1</f>
        <v>0</v>
      </c>
      <c r="IGE1">
        <f>Database!IGX1</f>
        <v>0</v>
      </c>
      <c r="IGF1">
        <f>Database!IGY1</f>
        <v>0</v>
      </c>
      <c r="IGG1">
        <f>Database!IGZ1</f>
        <v>0</v>
      </c>
      <c r="IGH1">
        <f>Database!IHA1</f>
        <v>0</v>
      </c>
      <c r="IGI1">
        <f>Database!IHB1</f>
        <v>0</v>
      </c>
      <c r="IGJ1">
        <f>Database!IHC1</f>
        <v>0</v>
      </c>
      <c r="IGK1">
        <f>Database!IHD1</f>
        <v>0</v>
      </c>
      <c r="IGL1">
        <f>Database!IHE1</f>
        <v>0</v>
      </c>
      <c r="IGM1">
        <f>Database!IHF1</f>
        <v>0</v>
      </c>
      <c r="IGN1">
        <f>Database!IHG1</f>
        <v>0</v>
      </c>
      <c r="IGO1">
        <f>Database!IHH1</f>
        <v>0</v>
      </c>
      <c r="IGP1">
        <f>Database!IHI1</f>
        <v>0</v>
      </c>
      <c r="IGQ1">
        <f>Database!IHJ1</f>
        <v>0</v>
      </c>
      <c r="IGR1">
        <f>Database!IHK1</f>
        <v>0</v>
      </c>
      <c r="IGS1">
        <f>Database!IHL1</f>
        <v>0</v>
      </c>
      <c r="IGT1">
        <f>Database!IHM1</f>
        <v>0</v>
      </c>
      <c r="IGU1">
        <f>Database!IHN1</f>
        <v>0</v>
      </c>
      <c r="IGV1">
        <f>Database!IHO1</f>
        <v>0</v>
      </c>
      <c r="IGW1">
        <f>Database!IHP1</f>
        <v>0</v>
      </c>
      <c r="IGX1">
        <f>Database!IHQ1</f>
        <v>0</v>
      </c>
      <c r="IGY1">
        <f>Database!IHR1</f>
        <v>0</v>
      </c>
      <c r="IGZ1">
        <f>Database!IHS1</f>
        <v>0</v>
      </c>
      <c r="IHA1">
        <f>Database!IHT1</f>
        <v>0</v>
      </c>
      <c r="IHB1">
        <f>Database!IHU1</f>
        <v>0</v>
      </c>
      <c r="IHC1">
        <f>Database!IHV1</f>
        <v>0</v>
      </c>
      <c r="IHD1">
        <f>Database!IHW1</f>
        <v>0</v>
      </c>
      <c r="IHE1">
        <f>Database!IHX1</f>
        <v>0</v>
      </c>
      <c r="IHF1">
        <f>Database!IHY1</f>
        <v>0</v>
      </c>
      <c r="IHG1">
        <f>Database!IHZ1</f>
        <v>0</v>
      </c>
      <c r="IHH1">
        <f>Database!IIA1</f>
        <v>0</v>
      </c>
      <c r="IHI1">
        <f>Database!IIB1</f>
        <v>0</v>
      </c>
      <c r="IHJ1">
        <f>Database!IIC1</f>
        <v>0</v>
      </c>
      <c r="IHK1">
        <f>Database!IID1</f>
        <v>0</v>
      </c>
      <c r="IHL1">
        <f>Database!IIE1</f>
        <v>0</v>
      </c>
      <c r="IHM1">
        <f>Database!IIF1</f>
        <v>0</v>
      </c>
      <c r="IHN1">
        <f>Database!IIG1</f>
        <v>0</v>
      </c>
      <c r="IHO1">
        <f>Database!IIH1</f>
        <v>0</v>
      </c>
      <c r="IHP1">
        <f>Database!III1</f>
        <v>0</v>
      </c>
      <c r="IHQ1">
        <f>Database!IIJ1</f>
        <v>0</v>
      </c>
      <c r="IHR1">
        <f>Database!IIK1</f>
        <v>0</v>
      </c>
      <c r="IHS1">
        <f>Database!IIL1</f>
        <v>0</v>
      </c>
      <c r="IHT1">
        <f>Database!IIM1</f>
        <v>0</v>
      </c>
      <c r="IHU1">
        <f>Database!IIN1</f>
        <v>0</v>
      </c>
      <c r="IHV1">
        <f>Database!IIO1</f>
        <v>0</v>
      </c>
      <c r="IHW1">
        <f>Database!IIP1</f>
        <v>0</v>
      </c>
      <c r="IHX1">
        <f>Database!IIQ1</f>
        <v>0</v>
      </c>
      <c r="IHY1">
        <f>Database!IIR1</f>
        <v>0</v>
      </c>
      <c r="IHZ1">
        <f>Database!IIS1</f>
        <v>0</v>
      </c>
      <c r="IIA1">
        <f>Database!IIT1</f>
        <v>0</v>
      </c>
      <c r="IIB1">
        <f>Database!IIU1</f>
        <v>0</v>
      </c>
      <c r="IIC1">
        <f>Database!IIV1</f>
        <v>0</v>
      </c>
      <c r="IID1">
        <f>Database!IIW1</f>
        <v>0</v>
      </c>
      <c r="IIE1">
        <f>Database!IIX1</f>
        <v>0</v>
      </c>
      <c r="IIF1">
        <f>Database!IIY1</f>
        <v>0</v>
      </c>
      <c r="IIG1">
        <f>Database!IIZ1</f>
        <v>0</v>
      </c>
      <c r="IIH1">
        <f>Database!IJA1</f>
        <v>0</v>
      </c>
      <c r="III1">
        <f>Database!IJB1</f>
        <v>0</v>
      </c>
      <c r="IIJ1">
        <f>Database!IJC1</f>
        <v>0</v>
      </c>
      <c r="IIK1">
        <f>Database!IJD1</f>
        <v>0</v>
      </c>
      <c r="IIL1">
        <f>Database!IJE1</f>
        <v>0</v>
      </c>
      <c r="IIM1">
        <f>Database!IJF1</f>
        <v>0</v>
      </c>
      <c r="IIN1">
        <f>Database!IJG1</f>
        <v>0</v>
      </c>
      <c r="IIO1">
        <f>Database!IJH1</f>
        <v>0</v>
      </c>
      <c r="IIP1">
        <f>Database!IJI1</f>
        <v>0</v>
      </c>
      <c r="IIQ1">
        <f>Database!IJJ1</f>
        <v>0</v>
      </c>
      <c r="IIR1">
        <f>Database!IJK1</f>
        <v>0</v>
      </c>
      <c r="IIS1">
        <f>Database!IJL1</f>
        <v>0</v>
      </c>
      <c r="IIT1">
        <f>Database!IJM1</f>
        <v>0</v>
      </c>
      <c r="IIU1">
        <f>Database!IJN1</f>
        <v>0</v>
      </c>
      <c r="IIV1">
        <f>Database!IJO1</f>
        <v>0</v>
      </c>
      <c r="IIW1">
        <f>Database!IJP1</f>
        <v>0</v>
      </c>
      <c r="IIX1">
        <f>Database!IJQ1</f>
        <v>0</v>
      </c>
      <c r="IIY1">
        <f>Database!IJR1</f>
        <v>0</v>
      </c>
      <c r="IIZ1">
        <f>Database!IJS1</f>
        <v>0</v>
      </c>
      <c r="IJA1">
        <f>Database!IJT1</f>
        <v>0</v>
      </c>
      <c r="IJB1">
        <f>Database!IJU1</f>
        <v>0</v>
      </c>
      <c r="IJC1">
        <f>Database!IJV1</f>
        <v>0</v>
      </c>
      <c r="IJD1">
        <f>Database!IJW1</f>
        <v>0</v>
      </c>
      <c r="IJE1">
        <f>Database!IJX1</f>
        <v>0</v>
      </c>
      <c r="IJF1">
        <f>Database!IJY1</f>
        <v>0</v>
      </c>
      <c r="IJG1">
        <f>Database!IJZ1</f>
        <v>0</v>
      </c>
      <c r="IJH1">
        <f>Database!IKA1</f>
        <v>0</v>
      </c>
      <c r="IJI1">
        <f>Database!IKB1</f>
        <v>0</v>
      </c>
      <c r="IJJ1">
        <f>Database!IKC1</f>
        <v>0</v>
      </c>
      <c r="IJK1">
        <f>Database!IKD1</f>
        <v>0</v>
      </c>
      <c r="IJL1">
        <f>Database!IKE1</f>
        <v>0</v>
      </c>
      <c r="IJM1">
        <f>Database!IKF1</f>
        <v>0</v>
      </c>
      <c r="IJN1">
        <f>Database!IKG1</f>
        <v>0</v>
      </c>
      <c r="IJO1">
        <f>Database!IKH1</f>
        <v>0</v>
      </c>
      <c r="IJP1">
        <f>Database!IKI1</f>
        <v>0</v>
      </c>
      <c r="IJQ1">
        <f>Database!IKJ1</f>
        <v>0</v>
      </c>
      <c r="IJR1">
        <f>Database!IKK1</f>
        <v>0</v>
      </c>
      <c r="IJS1">
        <f>Database!IKL1</f>
        <v>0</v>
      </c>
      <c r="IJT1">
        <f>Database!IKM1</f>
        <v>0</v>
      </c>
      <c r="IJU1">
        <f>Database!IKN1</f>
        <v>0</v>
      </c>
      <c r="IJV1">
        <f>Database!IKO1</f>
        <v>0</v>
      </c>
      <c r="IJW1">
        <f>Database!IKP1</f>
        <v>0</v>
      </c>
      <c r="IJX1">
        <f>Database!IKQ1</f>
        <v>0</v>
      </c>
      <c r="IJY1">
        <f>Database!IKR1</f>
        <v>0</v>
      </c>
      <c r="IJZ1">
        <f>Database!IKS1</f>
        <v>0</v>
      </c>
      <c r="IKA1">
        <f>Database!IKT1</f>
        <v>0</v>
      </c>
      <c r="IKB1">
        <f>Database!IKU1</f>
        <v>0</v>
      </c>
      <c r="IKC1">
        <f>Database!IKV1</f>
        <v>0</v>
      </c>
      <c r="IKD1">
        <f>Database!IKW1</f>
        <v>0</v>
      </c>
      <c r="IKE1">
        <f>Database!IKX1</f>
        <v>0</v>
      </c>
      <c r="IKF1">
        <f>Database!IKY1</f>
        <v>0</v>
      </c>
      <c r="IKG1">
        <f>Database!IKZ1</f>
        <v>0</v>
      </c>
      <c r="IKH1">
        <f>Database!ILA1</f>
        <v>0</v>
      </c>
      <c r="IKI1">
        <f>Database!ILB1</f>
        <v>0</v>
      </c>
      <c r="IKJ1">
        <f>Database!ILC1</f>
        <v>0</v>
      </c>
      <c r="IKK1">
        <f>Database!ILD1</f>
        <v>0</v>
      </c>
      <c r="IKL1">
        <f>Database!ILE1</f>
        <v>0</v>
      </c>
      <c r="IKM1">
        <f>Database!ILF1</f>
        <v>0</v>
      </c>
      <c r="IKN1">
        <f>Database!ILG1</f>
        <v>0</v>
      </c>
      <c r="IKO1">
        <f>Database!ILH1</f>
        <v>0</v>
      </c>
      <c r="IKP1">
        <f>Database!ILI1</f>
        <v>0</v>
      </c>
      <c r="IKQ1">
        <f>Database!ILJ1</f>
        <v>0</v>
      </c>
      <c r="IKR1">
        <f>Database!ILK1</f>
        <v>0</v>
      </c>
      <c r="IKS1">
        <f>Database!ILL1</f>
        <v>0</v>
      </c>
      <c r="IKT1">
        <f>Database!ILM1</f>
        <v>0</v>
      </c>
      <c r="IKU1">
        <f>Database!ILN1</f>
        <v>0</v>
      </c>
      <c r="IKV1">
        <f>Database!ILO1</f>
        <v>0</v>
      </c>
      <c r="IKW1">
        <f>Database!ILP1</f>
        <v>0</v>
      </c>
      <c r="IKX1">
        <f>Database!ILQ1</f>
        <v>0</v>
      </c>
      <c r="IKY1">
        <f>Database!ILR1</f>
        <v>0</v>
      </c>
      <c r="IKZ1">
        <f>Database!ILS1</f>
        <v>0</v>
      </c>
      <c r="ILA1">
        <f>Database!ILT1</f>
        <v>0</v>
      </c>
      <c r="ILB1">
        <f>Database!ILU1</f>
        <v>0</v>
      </c>
      <c r="ILC1">
        <f>Database!ILV1</f>
        <v>0</v>
      </c>
      <c r="ILD1">
        <f>Database!ILW1</f>
        <v>0</v>
      </c>
      <c r="ILE1">
        <f>Database!ILX1</f>
        <v>0</v>
      </c>
      <c r="ILF1">
        <f>Database!ILY1</f>
        <v>0</v>
      </c>
      <c r="ILG1">
        <f>Database!ILZ1</f>
        <v>0</v>
      </c>
      <c r="ILH1">
        <f>Database!IMA1</f>
        <v>0</v>
      </c>
      <c r="ILI1">
        <f>Database!IMB1</f>
        <v>0</v>
      </c>
      <c r="ILJ1">
        <f>Database!IMC1</f>
        <v>0</v>
      </c>
      <c r="ILK1">
        <f>Database!IMD1</f>
        <v>0</v>
      </c>
      <c r="ILL1">
        <f>Database!IME1</f>
        <v>0</v>
      </c>
      <c r="ILM1">
        <f>Database!IMF1</f>
        <v>0</v>
      </c>
      <c r="ILN1">
        <f>Database!IMG1</f>
        <v>0</v>
      </c>
      <c r="ILO1">
        <f>Database!IMH1</f>
        <v>0</v>
      </c>
      <c r="ILP1">
        <f>Database!IMI1</f>
        <v>0</v>
      </c>
      <c r="ILQ1">
        <f>Database!IMJ1</f>
        <v>0</v>
      </c>
      <c r="ILR1">
        <f>Database!IMK1</f>
        <v>0</v>
      </c>
      <c r="ILS1">
        <f>Database!IML1</f>
        <v>0</v>
      </c>
      <c r="ILT1">
        <f>Database!IMM1</f>
        <v>0</v>
      </c>
      <c r="ILU1">
        <f>Database!IMN1</f>
        <v>0</v>
      </c>
      <c r="ILV1">
        <f>Database!IMO1</f>
        <v>0</v>
      </c>
      <c r="ILW1">
        <f>Database!IMP1</f>
        <v>0</v>
      </c>
      <c r="ILX1">
        <f>Database!IMQ1</f>
        <v>0</v>
      </c>
      <c r="ILY1">
        <f>Database!IMR1</f>
        <v>0</v>
      </c>
      <c r="ILZ1">
        <f>Database!IMS1</f>
        <v>0</v>
      </c>
      <c r="IMA1">
        <f>Database!IMT1</f>
        <v>0</v>
      </c>
      <c r="IMB1">
        <f>Database!IMU1</f>
        <v>0</v>
      </c>
      <c r="IMC1">
        <f>Database!IMV1</f>
        <v>0</v>
      </c>
      <c r="IMD1">
        <f>Database!IMW1</f>
        <v>0</v>
      </c>
      <c r="IME1">
        <f>Database!IMX1</f>
        <v>0</v>
      </c>
      <c r="IMF1">
        <f>Database!IMY1</f>
        <v>0</v>
      </c>
      <c r="IMG1">
        <f>Database!IMZ1</f>
        <v>0</v>
      </c>
      <c r="IMH1">
        <f>Database!INA1</f>
        <v>0</v>
      </c>
      <c r="IMI1">
        <f>Database!INB1</f>
        <v>0</v>
      </c>
      <c r="IMJ1">
        <f>Database!INC1</f>
        <v>0</v>
      </c>
      <c r="IMK1">
        <f>Database!IND1</f>
        <v>0</v>
      </c>
      <c r="IML1">
        <f>Database!INE1</f>
        <v>0</v>
      </c>
      <c r="IMM1">
        <f>Database!INF1</f>
        <v>0</v>
      </c>
      <c r="IMN1">
        <f>Database!ING1</f>
        <v>0</v>
      </c>
      <c r="IMO1">
        <f>Database!INH1</f>
        <v>0</v>
      </c>
      <c r="IMP1">
        <f>Database!INI1</f>
        <v>0</v>
      </c>
      <c r="IMQ1">
        <f>Database!INJ1</f>
        <v>0</v>
      </c>
      <c r="IMR1">
        <f>Database!INK1</f>
        <v>0</v>
      </c>
      <c r="IMS1">
        <f>Database!INL1</f>
        <v>0</v>
      </c>
      <c r="IMT1">
        <f>Database!INM1</f>
        <v>0</v>
      </c>
      <c r="IMU1">
        <f>Database!INN1</f>
        <v>0</v>
      </c>
      <c r="IMV1">
        <f>Database!INO1</f>
        <v>0</v>
      </c>
      <c r="IMW1">
        <f>Database!INP1</f>
        <v>0</v>
      </c>
      <c r="IMX1">
        <f>Database!INQ1</f>
        <v>0</v>
      </c>
      <c r="IMY1">
        <f>Database!INR1</f>
        <v>0</v>
      </c>
      <c r="IMZ1">
        <f>Database!INS1</f>
        <v>0</v>
      </c>
      <c r="INA1">
        <f>Database!INT1</f>
        <v>0</v>
      </c>
      <c r="INB1">
        <f>Database!INU1</f>
        <v>0</v>
      </c>
      <c r="INC1">
        <f>Database!INV1</f>
        <v>0</v>
      </c>
      <c r="IND1">
        <f>Database!INW1</f>
        <v>0</v>
      </c>
      <c r="INE1">
        <f>Database!INX1</f>
        <v>0</v>
      </c>
      <c r="INF1">
        <f>Database!INY1</f>
        <v>0</v>
      </c>
      <c r="ING1">
        <f>Database!INZ1</f>
        <v>0</v>
      </c>
      <c r="INH1">
        <f>Database!IOA1</f>
        <v>0</v>
      </c>
      <c r="INI1">
        <f>Database!IOB1</f>
        <v>0</v>
      </c>
      <c r="INJ1">
        <f>Database!IOC1</f>
        <v>0</v>
      </c>
      <c r="INK1">
        <f>Database!IOD1</f>
        <v>0</v>
      </c>
      <c r="INL1">
        <f>Database!IOE1</f>
        <v>0</v>
      </c>
      <c r="INM1">
        <f>Database!IOF1</f>
        <v>0</v>
      </c>
      <c r="INN1">
        <f>Database!IOG1</f>
        <v>0</v>
      </c>
      <c r="INO1">
        <f>Database!IOH1</f>
        <v>0</v>
      </c>
      <c r="INP1">
        <f>Database!IOI1</f>
        <v>0</v>
      </c>
      <c r="INQ1">
        <f>Database!IOJ1</f>
        <v>0</v>
      </c>
      <c r="INR1">
        <f>Database!IOK1</f>
        <v>0</v>
      </c>
      <c r="INS1">
        <f>Database!IOL1</f>
        <v>0</v>
      </c>
      <c r="INT1">
        <f>Database!IOM1</f>
        <v>0</v>
      </c>
      <c r="INU1">
        <f>Database!ION1</f>
        <v>0</v>
      </c>
      <c r="INV1">
        <f>Database!IOO1</f>
        <v>0</v>
      </c>
      <c r="INW1">
        <f>Database!IOP1</f>
        <v>0</v>
      </c>
      <c r="INX1">
        <f>Database!IOQ1</f>
        <v>0</v>
      </c>
      <c r="INY1">
        <f>Database!IOR1</f>
        <v>0</v>
      </c>
      <c r="INZ1">
        <f>Database!IOS1</f>
        <v>0</v>
      </c>
      <c r="IOA1">
        <f>Database!IOT1</f>
        <v>0</v>
      </c>
      <c r="IOB1">
        <f>Database!IOU1</f>
        <v>0</v>
      </c>
      <c r="IOC1">
        <f>Database!IOV1</f>
        <v>0</v>
      </c>
      <c r="IOD1">
        <f>Database!IOW1</f>
        <v>0</v>
      </c>
      <c r="IOE1">
        <f>Database!IOX1</f>
        <v>0</v>
      </c>
      <c r="IOF1">
        <f>Database!IOY1</f>
        <v>0</v>
      </c>
      <c r="IOG1">
        <f>Database!IOZ1</f>
        <v>0</v>
      </c>
      <c r="IOH1">
        <f>Database!IPA1</f>
        <v>0</v>
      </c>
      <c r="IOI1">
        <f>Database!IPB1</f>
        <v>0</v>
      </c>
      <c r="IOJ1">
        <f>Database!IPC1</f>
        <v>0</v>
      </c>
      <c r="IOK1">
        <f>Database!IPD1</f>
        <v>0</v>
      </c>
      <c r="IOL1">
        <f>Database!IPE1</f>
        <v>0</v>
      </c>
      <c r="IOM1">
        <f>Database!IPF1</f>
        <v>0</v>
      </c>
      <c r="ION1">
        <f>Database!IPG1</f>
        <v>0</v>
      </c>
      <c r="IOO1">
        <f>Database!IPH1</f>
        <v>0</v>
      </c>
      <c r="IOP1">
        <f>Database!IPI1</f>
        <v>0</v>
      </c>
      <c r="IOQ1">
        <f>Database!IPJ1</f>
        <v>0</v>
      </c>
      <c r="IOR1">
        <f>Database!IPK1</f>
        <v>0</v>
      </c>
      <c r="IOS1">
        <f>Database!IPL1</f>
        <v>0</v>
      </c>
      <c r="IOT1">
        <f>Database!IPM1</f>
        <v>0</v>
      </c>
      <c r="IOU1">
        <f>Database!IPN1</f>
        <v>0</v>
      </c>
      <c r="IOV1">
        <f>Database!IPO1</f>
        <v>0</v>
      </c>
      <c r="IOW1">
        <f>Database!IPP1</f>
        <v>0</v>
      </c>
      <c r="IOX1">
        <f>Database!IPQ1</f>
        <v>0</v>
      </c>
      <c r="IOY1">
        <f>Database!IPR1</f>
        <v>0</v>
      </c>
      <c r="IOZ1">
        <f>Database!IPS1</f>
        <v>0</v>
      </c>
      <c r="IPA1">
        <f>Database!IPT1</f>
        <v>0</v>
      </c>
      <c r="IPB1">
        <f>Database!IPU1</f>
        <v>0</v>
      </c>
      <c r="IPC1">
        <f>Database!IPV1</f>
        <v>0</v>
      </c>
      <c r="IPD1">
        <f>Database!IPW1</f>
        <v>0</v>
      </c>
      <c r="IPE1">
        <f>Database!IPX1</f>
        <v>0</v>
      </c>
      <c r="IPF1">
        <f>Database!IPY1</f>
        <v>0</v>
      </c>
      <c r="IPG1">
        <f>Database!IPZ1</f>
        <v>0</v>
      </c>
      <c r="IPH1">
        <f>Database!IQA1</f>
        <v>0</v>
      </c>
      <c r="IPI1">
        <f>Database!IQB1</f>
        <v>0</v>
      </c>
      <c r="IPJ1">
        <f>Database!IQC1</f>
        <v>0</v>
      </c>
      <c r="IPK1">
        <f>Database!IQD1</f>
        <v>0</v>
      </c>
      <c r="IPL1">
        <f>Database!IQE1</f>
        <v>0</v>
      </c>
      <c r="IPM1">
        <f>Database!IQF1</f>
        <v>0</v>
      </c>
      <c r="IPN1">
        <f>Database!IQG1</f>
        <v>0</v>
      </c>
      <c r="IPO1">
        <f>Database!IQH1</f>
        <v>0</v>
      </c>
      <c r="IPP1">
        <f>Database!IQI1</f>
        <v>0</v>
      </c>
      <c r="IPQ1">
        <f>Database!IQJ1</f>
        <v>0</v>
      </c>
      <c r="IPR1">
        <f>Database!IQK1</f>
        <v>0</v>
      </c>
      <c r="IPS1">
        <f>Database!IQL1</f>
        <v>0</v>
      </c>
      <c r="IPT1">
        <f>Database!IQM1</f>
        <v>0</v>
      </c>
      <c r="IPU1">
        <f>Database!IQN1</f>
        <v>0</v>
      </c>
      <c r="IPV1">
        <f>Database!IQO1</f>
        <v>0</v>
      </c>
      <c r="IPW1">
        <f>Database!IQP1</f>
        <v>0</v>
      </c>
      <c r="IPX1">
        <f>Database!IQQ1</f>
        <v>0</v>
      </c>
      <c r="IPY1">
        <f>Database!IQR1</f>
        <v>0</v>
      </c>
      <c r="IPZ1">
        <f>Database!IQS1</f>
        <v>0</v>
      </c>
      <c r="IQA1">
        <f>Database!IQT1</f>
        <v>0</v>
      </c>
      <c r="IQB1">
        <f>Database!IQU1</f>
        <v>0</v>
      </c>
      <c r="IQC1">
        <f>Database!IQV1</f>
        <v>0</v>
      </c>
      <c r="IQD1">
        <f>Database!IQW1</f>
        <v>0</v>
      </c>
      <c r="IQE1">
        <f>Database!IQX1</f>
        <v>0</v>
      </c>
      <c r="IQF1">
        <f>Database!IQY1</f>
        <v>0</v>
      </c>
      <c r="IQG1">
        <f>Database!IQZ1</f>
        <v>0</v>
      </c>
      <c r="IQH1">
        <f>Database!IRA1</f>
        <v>0</v>
      </c>
      <c r="IQI1">
        <f>Database!IRB1</f>
        <v>0</v>
      </c>
      <c r="IQJ1">
        <f>Database!IRC1</f>
        <v>0</v>
      </c>
      <c r="IQK1">
        <f>Database!IRD1</f>
        <v>0</v>
      </c>
      <c r="IQL1">
        <f>Database!IRE1</f>
        <v>0</v>
      </c>
      <c r="IQM1">
        <f>Database!IRF1</f>
        <v>0</v>
      </c>
      <c r="IQN1">
        <f>Database!IRG1</f>
        <v>0</v>
      </c>
      <c r="IQO1">
        <f>Database!IRH1</f>
        <v>0</v>
      </c>
      <c r="IQP1">
        <f>Database!IRI1</f>
        <v>0</v>
      </c>
      <c r="IQQ1">
        <f>Database!IRJ1</f>
        <v>0</v>
      </c>
      <c r="IQR1">
        <f>Database!IRK1</f>
        <v>0</v>
      </c>
      <c r="IQS1">
        <f>Database!IRL1</f>
        <v>0</v>
      </c>
      <c r="IQT1">
        <f>Database!IRM1</f>
        <v>0</v>
      </c>
      <c r="IQU1">
        <f>Database!IRN1</f>
        <v>0</v>
      </c>
      <c r="IQV1">
        <f>Database!IRO1</f>
        <v>0</v>
      </c>
      <c r="IQW1">
        <f>Database!IRP1</f>
        <v>0</v>
      </c>
      <c r="IQX1">
        <f>Database!IRQ1</f>
        <v>0</v>
      </c>
      <c r="IQY1">
        <f>Database!IRR1</f>
        <v>0</v>
      </c>
      <c r="IQZ1">
        <f>Database!IRS1</f>
        <v>0</v>
      </c>
      <c r="IRA1">
        <f>Database!IRT1</f>
        <v>0</v>
      </c>
      <c r="IRB1">
        <f>Database!IRU1</f>
        <v>0</v>
      </c>
      <c r="IRC1">
        <f>Database!IRV1</f>
        <v>0</v>
      </c>
      <c r="IRD1">
        <f>Database!IRW1</f>
        <v>0</v>
      </c>
      <c r="IRE1">
        <f>Database!IRX1</f>
        <v>0</v>
      </c>
      <c r="IRF1">
        <f>Database!IRY1</f>
        <v>0</v>
      </c>
      <c r="IRG1">
        <f>Database!IRZ1</f>
        <v>0</v>
      </c>
      <c r="IRH1">
        <f>Database!ISA1</f>
        <v>0</v>
      </c>
      <c r="IRI1">
        <f>Database!ISB1</f>
        <v>0</v>
      </c>
      <c r="IRJ1">
        <f>Database!ISC1</f>
        <v>0</v>
      </c>
      <c r="IRK1">
        <f>Database!ISD1</f>
        <v>0</v>
      </c>
      <c r="IRL1">
        <f>Database!ISE1</f>
        <v>0</v>
      </c>
      <c r="IRM1">
        <f>Database!ISF1</f>
        <v>0</v>
      </c>
      <c r="IRN1">
        <f>Database!ISG1</f>
        <v>0</v>
      </c>
      <c r="IRO1">
        <f>Database!ISH1</f>
        <v>0</v>
      </c>
      <c r="IRP1">
        <f>Database!ISI1</f>
        <v>0</v>
      </c>
      <c r="IRQ1">
        <f>Database!ISJ1</f>
        <v>0</v>
      </c>
      <c r="IRR1">
        <f>Database!ISK1</f>
        <v>0</v>
      </c>
      <c r="IRS1">
        <f>Database!ISL1</f>
        <v>0</v>
      </c>
      <c r="IRT1">
        <f>Database!ISM1</f>
        <v>0</v>
      </c>
      <c r="IRU1">
        <f>Database!ISN1</f>
        <v>0</v>
      </c>
      <c r="IRV1">
        <f>Database!ISO1</f>
        <v>0</v>
      </c>
      <c r="IRW1">
        <f>Database!ISP1</f>
        <v>0</v>
      </c>
      <c r="IRX1">
        <f>Database!ISQ1</f>
        <v>0</v>
      </c>
      <c r="IRY1">
        <f>Database!ISR1</f>
        <v>0</v>
      </c>
      <c r="IRZ1">
        <f>Database!ISS1</f>
        <v>0</v>
      </c>
      <c r="ISA1">
        <f>Database!IST1</f>
        <v>0</v>
      </c>
      <c r="ISB1">
        <f>Database!ISU1</f>
        <v>0</v>
      </c>
      <c r="ISC1">
        <f>Database!ISV1</f>
        <v>0</v>
      </c>
      <c r="ISD1">
        <f>Database!ISW1</f>
        <v>0</v>
      </c>
      <c r="ISE1">
        <f>Database!ISX1</f>
        <v>0</v>
      </c>
      <c r="ISF1">
        <f>Database!ISY1</f>
        <v>0</v>
      </c>
      <c r="ISG1">
        <f>Database!ISZ1</f>
        <v>0</v>
      </c>
      <c r="ISH1">
        <f>Database!ITA1</f>
        <v>0</v>
      </c>
      <c r="ISI1">
        <f>Database!ITB1</f>
        <v>0</v>
      </c>
      <c r="ISJ1">
        <f>Database!ITC1</f>
        <v>0</v>
      </c>
      <c r="ISK1">
        <f>Database!ITD1</f>
        <v>0</v>
      </c>
      <c r="ISL1">
        <f>Database!ITE1</f>
        <v>0</v>
      </c>
      <c r="ISM1">
        <f>Database!ITF1</f>
        <v>0</v>
      </c>
      <c r="ISN1">
        <f>Database!ITG1</f>
        <v>0</v>
      </c>
      <c r="ISO1">
        <f>Database!ITH1</f>
        <v>0</v>
      </c>
      <c r="ISP1">
        <f>Database!ITI1</f>
        <v>0</v>
      </c>
      <c r="ISQ1">
        <f>Database!ITJ1</f>
        <v>0</v>
      </c>
      <c r="ISR1">
        <f>Database!ITK1</f>
        <v>0</v>
      </c>
      <c r="ISS1">
        <f>Database!ITL1</f>
        <v>0</v>
      </c>
      <c r="IST1">
        <f>Database!ITM1</f>
        <v>0</v>
      </c>
      <c r="ISU1">
        <f>Database!ITN1</f>
        <v>0</v>
      </c>
      <c r="ISV1">
        <f>Database!ITO1</f>
        <v>0</v>
      </c>
      <c r="ISW1">
        <f>Database!ITP1</f>
        <v>0</v>
      </c>
      <c r="ISX1">
        <f>Database!ITQ1</f>
        <v>0</v>
      </c>
      <c r="ISY1">
        <f>Database!ITR1</f>
        <v>0</v>
      </c>
      <c r="ISZ1">
        <f>Database!ITS1</f>
        <v>0</v>
      </c>
      <c r="ITA1">
        <f>Database!ITT1</f>
        <v>0</v>
      </c>
      <c r="ITB1">
        <f>Database!ITU1</f>
        <v>0</v>
      </c>
      <c r="ITC1">
        <f>Database!ITV1</f>
        <v>0</v>
      </c>
      <c r="ITD1">
        <f>Database!ITW1</f>
        <v>0</v>
      </c>
      <c r="ITE1">
        <f>Database!ITX1</f>
        <v>0</v>
      </c>
      <c r="ITF1">
        <f>Database!ITY1</f>
        <v>0</v>
      </c>
      <c r="ITG1">
        <f>Database!ITZ1</f>
        <v>0</v>
      </c>
      <c r="ITH1">
        <f>Database!IUA1</f>
        <v>0</v>
      </c>
      <c r="ITI1">
        <f>Database!IUB1</f>
        <v>0</v>
      </c>
      <c r="ITJ1">
        <f>Database!IUC1</f>
        <v>0</v>
      </c>
      <c r="ITK1">
        <f>Database!IUD1</f>
        <v>0</v>
      </c>
      <c r="ITL1">
        <f>Database!IUE1</f>
        <v>0</v>
      </c>
      <c r="ITM1">
        <f>Database!IUF1</f>
        <v>0</v>
      </c>
      <c r="ITN1">
        <f>Database!IUG1</f>
        <v>0</v>
      </c>
      <c r="ITO1">
        <f>Database!IUH1</f>
        <v>0</v>
      </c>
      <c r="ITP1">
        <f>Database!IUI1</f>
        <v>0</v>
      </c>
      <c r="ITQ1">
        <f>Database!IUJ1</f>
        <v>0</v>
      </c>
      <c r="ITR1">
        <f>Database!IUK1</f>
        <v>0</v>
      </c>
      <c r="ITS1">
        <f>Database!IUL1</f>
        <v>0</v>
      </c>
      <c r="ITT1">
        <f>Database!IUM1</f>
        <v>0</v>
      </c>
      <c r="ITU1">
        <f>Database!IUN1</f>
        <v>0</v>
      </c>
      <c r="ITV1">
        <f>Database!IUO1</f>
        <v>0</v>
      </c>
      <c r="ITW1">
        <f>Database!IUP1</f>
        <v>0</v>
      </c>
      <c r="ITX1">
        <f>Database!IUQ1</f>
        <v>0</v>
      </c>
      <c r="ITY1">
        <f>Database!IUR1</f>
        <v>0</v>
      </c>
      <c r="ITZ1">
        <f>Database!IUS1</f>
        <v>0</v>
      </c>
      <c r="IUA1">
        <f>Database!IUT1</f>
        <v>0</v>
      </c>
      <c r="IUB1">
        <f>Database!IUU1</f>
        <v>0</v>
      </c>
      <c r="IUC1">
        <f>Database!IUV1</f>
        <v>0</v>
      </c>
      <c r="IUD1">
        <f>Database!IUW1</f>
        <v>0</v>
      </c>
      <c r="IUE1">
        <f>Database!IUX1</f>
        <v>0</v>
      </c>
      <c r="IUF1">
        <f>Database!IUY1</f>
        <v>0</v>
      </c>
      <c r="IUG1">
        <f>Database!IUZ1</f>
        <v>0</v>
      </c>
      <c r="IUH1">
        <f>Database!IVA1</f>
        <v>0</v>
      </c>
      <c r="IUI1">
        <f>Database!IVB1</f>
        <v>0</v>
      </c>
      <c r="IUJ1">
        <f>Database!IVC1</f>
        <v>0</v>
      </c>
      <c r="IUK1">
        <f>Database!IVD1</f>
        <v>0</v>
      </c>
      <c r="IUL1">
        <f>Database!IVE1</f>
        <v>0</v>
      </c>
      <c r="IUM1">
        <f>Database!IVF1</f>
        <v>0</v>
      </c>
      <c r="IUN1">
        <f>Database!IVG1</f>
        <v>0</v>
      </c>
      <c r="IUO1">
        <f>Database!IVH1</f>
        <v>0</v>
      </c>
      <c r="IUP1">
        <f>Database!IVI1</f>
        <v>0</v>
      </c>
      <c r="IUQ1">
        <f>Database!IVJ1</f>
        <v>0</v>
      </c>
      <c r="IUR1">
        <f>Database!IVK1</f>
        <v>0</v>
      </c>
      <c r="IUS1">
        <f>Database!IVL1</f>
        <v>0</v>
      </c>
      <c r="IUT1">
        <f>Database!IVM1</f>
        <v>0</v>
      </c>
      <c r="IUU1">
        <f>Database!IVN1</f>
        <v>0</v>
      </c>
      <c r="IUV1">
        <f>Database!IVO1</f>
        <v>0</v>
      </c>
      <c r="IUW1">
        <f>Database!IVP1</f>
        <v>0</v>
      </c>
      <c r="IUX1">
        <f>Database!IVQ1</f>
        <v>0</v>
      </c>
      <c r="IUY1">
        <f>Database!IVR1</f>
        <v>0</v>
      </c>
      <c r="IUZ1">
        <f>Database!IVS1</f>
        <v>0</v>
      </c>
      <c r="IVA1">
        <f>Database!IVT1</f>
        <v>0</v>
      </c>
      <c r="IVB1">
        <f>Database!IVU1</f>
        <v>0</v>
      </c>
      <c r="IVC1">
        <f>Database!IVV1</f>
        <v>0</v>
      </c>
      <c r="IVD1">
        <f>Database!IVW1</f>
        <v>0</v>
      </c>
      <c r="IVE1">
        <f>Database!IVX1</f>
        <v>0</v>
      </c>
      <c r="IVF1">
        <f>Database!IVY1</f>
        <v>0</v>
      </c>
      <c r="IVG1">
        <f>Database!IVZ1</f>
        <v>0</v>
      </c>
      <c r="IVH1">
        <f>Database!IWA1</f>
        <v>0</v>
      </c>
      <c r="IVI1">
        <f>Database!IWB1</f>
        <v>0</v>
      </c>
      <c r="IVJ1">
        <f>Database!IWC1</f>
        <v>0</v>
      </c>
      <c r="IVK1">
        <f>Database!IWD1</f>
        <v>0</v>
      </c>
      <c r="IVL1">
        <f>Database!IWE1</f>
        <v>0</v>
      </c>
      <c r="IVM1">
        <f>Database!IWF1</f>
        <v>0</v>
      </c>
      <c r="IVN1">
        <f>Database!IWG1</f>
        <v>0</v>
      </c>
      <c r="IVO1">
        <f>Database!IWH1</f>
        <v>0</v>
      </c>
      <c r="IVP1">
        <f>Database!IWI1</f>
        <v>0</v>
      </c>
      <c r="IVQ1">
        <f>Database!IWJ1</f>
        <v>0</v>
      </c>
      <c r="IVR1">
        <f>Database!IWK1</f>
        <v>0</v>
      </c>
      <c r="IVS1">
        <f>Database!IWL1</f>
        <v>0</v>
      </c>
      <c r="IVT1">
        <f>Database!IWM1</f>
        <v>0</v>
      </c>
      <c r="IVU1">
        <f>Database!IWN1</f>
        <v>0</v>
      </c>
      <c r="IVV1">
        <f>Database!IWO1</f>
        <v>0</v>
      </c>
      <c r="IVW1">
        <f>Database!IWP1</f>
        <v>0</v>
      </c>
      <c r="IVX1">
        <f>Database!IWQ1</f>
        <v>0</v>
      </c>
      <c r="IVY1">
        <f>Database!IWR1</f>
        <v>0</v>
      </c>
      <c r="IVZ1">
        <f>Database!IWS1</f>
        <v>0</v>
      </c>
      <c r="IWA1">
        <f>Database!IWT1</f>
        <v>0</v>
      </c>
      <c r="IWB1">
        <f>Database!IWU1</f>
        <v>0</v>
      </c>
      <c r="IWC1">
        <f>Database!IWV1</f>
        <v>0</v>
      </c>
      <c r="IWD1">
        <f>Database!IWW1</f>
        <v>0</v>
      </c>
      <c r="IWE1">
        <f>Database!IWX1</f>
        <v>0</v>
      </c>
      <c r="IWF1">
        <f>Database!IWY1</f>
        <v>0</v>
      </c>
      <c r="IWG1">
        <f>Database!IWZ1</f>
        <v>0</v>
      </c>
      <c r="IWH1">
        <f>Database!IXA1</f>
        <v>0</v>
      </c>
      <c r="IWI1">
        <f>Database!IXB1</f>
        <v>0</v>
      </c>
      <c r="IWJ1">
        <f>Database!IXC1</f>
        <v>0</v>
      </c>
      <c r="IWK1">
        <f>Database!IXD1</f>
        <v>0</v>
      </c>
      <c r="IWL1">
        <f>Database!IXE1</f>
        <v>0</v>
      </c>
      <c r="IWM1">
        <f>Database!IXF1</f>
        <v>0</v>
      </c>
      <c r="IWN1">
        <f>Database!IXG1</f>
        <v>0</v>
      </c>
      <c r="IWO1">
        <f>Database!IXH1</f>
        <v>0</v>
      </c>
      <c r="IWP1">
        <f>Database!IXI1</f>
        <v>0</v>
      </c>
      <c r="IWQ1">
        <f>Database!IXJ1</f>
        <v>0</v>
      </c>
      <c r="IWR1">
        <f>Database!IXK1</f>
        <v>0</v>
      </c>
      <c r="IWS1">
        <f>Database!IXL1</f>
        <v>0</v>
      </c>
      <c r="IWT1">
        <f>Database!IXM1</f>
        <v>0</v>
      </c>
      <c r="IWU1">
        <f>Database!IXN1</f>
        <v>0</v>
      </c>
      <c r="IWV1">
        <f>Database!IXO1</f>
        <v>0</v>
      </c>
      <c r="IWW1">
        <f>Database!IXP1</f>
        <v>0</v>
      </c>
      <c r="IWX1">
        <f>Database!IXQ1</f>
        <v>0</v>
      </c>
      <c r="IWY1">
        <f>Database!IXR1</f>
        <v>0</v>
      </c>
      <c r="IWZ1">
        <f>Database!IXS1</f>
        <v>0</v>
      </c>
      <c r="IXA1">
        <f>Database!IXT1</f>
        <v>0</v>
      </c>
      <c r="IXB1">
        <f>Database!IXU1</f>
        <v>0</v>
      </c>
      <c r="IXC1">
        <f>Database!IXV1</f>
        <v>0</v>
      </c>
      <c r="IXD1">
        <f>Database!IXW1</f>
        <v>0</v>
      </c>
      <c r="IXE1">
        <f>Database!IXX1</f>
        <v>0</v>
      </c>
      <c r="IXF1">
        <f>Database!IXY1</f>
        <v>0</v>
      </c>
      <c r="IXG1">
        <f>Database!IXZ1</f>
        <v>0</v>
      </c>
      <c r="IXH1">
        <f>Database!IYA1</f>
        <v>0</v>
      </c>
      <c r="IXI1">
        <f>Database!IYB1</f>
        <v>0</v>
      </c>
      <c r="IXJ1">
        <f>Database!IYC1</f>
        <v>0</v>
      </c>
      <c r="IXK1">
        <f>Database!IYD1</f>
        <v>0</v>
      </c>
      <c r="IXL1">
        <f>Database!IYE1</f>
        <v>0</v>
      </c>
      <c r="IXM1">
        <f>Database!IYF1</f>
        <v>0</v>
      </c>
      <c r="IXN1">
        <f>Database!IYG1</f>
        <v>0</v>
      </c>
      <c r="IXO1">
        <f>Database!IYH1</f>
        <v>0</v>
      </c>
      <c r="IXP1">
        <f>Database!IYI1</f>
        <v>0</v>
      </c>
      <c r="IXQ1">
        <f>Database!IYJ1</f>
        <v>0</v>
      </c>
      <c r="IXR1">
        <f>Database!IYK1</f>
        <v>0</v>
      </c>
      <c r="IXS1">
        <f>Database!IYL1</f>
        <v>0</v>
      </c>
      <c r="IXT1">
        <f>Database!IYM1</f>
        <v>0</v>
      </c>
      <c r="IXU1">
        <f>Database!IYN1</f>
        <v>0</v>
      </c>
      <c r="IXV1">
        <f>Database!IYO1</f>
        <v>0</v>
      </c>
      <c r="IXW1">
        <f>Database!IYP1</f>
        <v>0</v>
      </c>
      <c r="IXX1">
        <f>Database!IYQ1</f>
        <v>0</v>
      </c>
      <c r="IXY1">
        <f>Database!IYR1</f>
        <v>0</v>
      </c>
      <c r="IXZ1">
        <f>Database!IYS1</f>
        <v>0</v>
      </c>
      <c r="IYA1">
        <f>Database!IYT1</f>
        <v>0</v>
      </c>
      <c r="IYB1">
        <f>Database!IYU1</f>
        <v>0</v>
      </c>
      <c r="IYC1">
        <f>Database!IYV1</f>
        <v>0</v>
      </c>
      <c r="IYD1">
        <f>Database!IYW1</f>
        <v>0</v>
      </c>
      <c r="IYE1">
        <f>Database!IYX1</f>
        <v>0</v>
      </c>
      <c r="IYF1">
        <f>Database!IYY1</f>
        <v>0</v>
      </c>
      <c r="IYG1">
        <f>Database!IYZ1</f>
        <v>0</v>
      </c>
      <c r="IYH1">
        <f>Database!IZA1</f>
        <v>0</v>
      </c>
      <c r="IYI1">
        <f>Database!IZB1</f>
        <v>0</v>
      </c>
      <c r="IYJ1">
        <f>Database!IZC1</f>
        <v>0</v>
      </c>
      <c r="IYK1">
        <f>Database!IZD1</f>
        <v>0</v>
      </c>
      <c r="IYL1">
        <f>Database!IZE1</f>
        <v>0</v>
      </c>
      <c r="IYM1">
        <f>Database!IZF1</f>
        <v>0</v>
      </c>
      <c r="IYN1">
        <f>Database!IZG1</f>
        <v>0</v>
      </c>
      <c r="IYO1">
        <f>Database!IZH1</f>
        <v>0</v>
      </c>
      <c r="IYP1">
        <f>Database!IZI1</f>
        <v>0</v>
      </c>
      <c r="IYQ1">
        <f>Database!IZJ1</f>
        <v>0</v>
      </c>
      <c r="IYR1">
        <f>Database!IZK1</f>
        <v>0</v>
      </c>
      <c r="IYS1">
        <f>Database!IZL1</f>
        <v>0</v>
      </c>
      <c r="IYT1">
        <f>Database!IZM1</f>
        <v>0</v>
      </c>
      <c r="IYU1">
        <f>Database!IZN1</f>
        <v>0</v>
      </c>
      <c r="IYV1">
        <f>Database!IZO1</f>
        <v>0</v>
      </c>
      <c r="IYW1">
        <f>Database!IZP1</f>
        <v>0</v>
      </c>
      <c r="IYX1">
        <f>Database!IZQ1</f>
        <v>0</v>
      </c>
      <c r="IYY1">
        <f>Database!IZR1</f>
        <v>0</v>
      </c>
      <c r="IYZ1">
        <f>Database!IZS1</f>
        <v>0</v>
      </c>
      <c r="IZA1">
        <f>Database!IZT1</f>
        <v>0</v>
      </c>
      <c r="IZB1">
        <f>Database!IZU1</f>
        <v>0</v>
      </c>
      <c r="IZC1">
        <f>Database!IZV1</f>
        <v>0</v>
      </c>
      <c r="IZD1">
        <f>Database!IZW1</f>
        <v>0</v>
      </c>
      <c r="IZE1">
        <f>Database!IZX1</f>
        <v>0</v>
      </c>
      <c r="IZF1">
        <f>Database!IZY1</f>
        <v>0</v>
      </c>
      <c r="IZG1">
        <f>Database!IZZ1</f>
        <v>0</v>
      </c>
      <c r="IZH1">
        <f>Database!JAA1</f>
        <v>0</v>
      </c>
      <c r="IZI1">
        <f>Database!JAB1</f>
        <v>0</v>
      </c>
      <c r="IZJ1">
        <f>Database!JAC1</f>
        <v>0</v>
      </c>
      <c r="IZK1">
        <f>Database!JAD1</f>
        <v>0</v>
      </c>
      <c r="IZL1">
        <f>Database!JAE1</f>
        <v>0</v>
      </c>
      <c r="IZM1">
        <f>Database!JAF1</f>
        <v>0</v>
      </c>
      <c r="IZN1">
        <f>Database!JAG1</f>
        <v>0</v>
      </c>
      <c r="IZO1">
        <f>Database!JAH1</f>
        <v>0</v>
      </c>
      <c r="IZP1">
        <f>Database!JAI1</f>
        <v>0</v>
      </c>
      <c r="IZQ1">
        <f>Database!JAJ1</f>
        <v>0</v>
      </c>
      <c r="IZR1">
        <f>Database!JAK1</f>
        <v>0</v>
      </c>
      <c r="IZS1">
        <f>Database!JAL1</f>
        <v>0</v>
      </c>
      <c r="IZT1">
        <f>Database!JAM1</f>
        <v>0</v>
      </c>
      <c r="IZU1">
        <f>Database!JAN1</f>
        <v>0</v>
      </c>
      <c r="IZV1">
        <f>Database!JAO1</f>
        <v>0</v>
      </c>
      <c r="IZW1">
        <f>Database!JAP1</f>
        <v>0</v>
      </c>
      <c r="IZX1">
        <f>Database!JAQ1</f>
        <v>0</v>
      </c>
      <c r="IZY1">
        <f>Database!JAR1</f>
        <v>0</v>
      </c>
      <c r="IZZ1">
        <f>Database!JAS1</f>
        <v>0</v>
      </c>
      <c r="JAA1">
        <f>Database!JAT1</f>
        <v>0</v>
      </c>
      <c r="JAB1">
        <f>Database!JAU1</f>
        <v>0</v>
      </c>
      <c r="JAC1">
        <f>Database!JAV1</f>
        <v>0</v>
      </c>
      <c r="JAD1">
        <f>Database!JAW1</f>
        <v>0</v>
      </c>
      <c r="JAE1">
        <f>Database!JAX1</f>
        <v>0</v>
      </c>
      <c r="JAF1">
        <f>Database!JAY1</f>
        <v>0</v>
      </c>
      <c r="JAG1">
        <f>Database!JAZ1</f>
        <v>0</v>
      </c>
      <c r="JAH1">
        <f>Database!JBA1</f>
        <v>0</v>
      </c>
      <c r="JAI1">
        <f>Database!JBB1</f>
        <v>0</v>
      </c>
      <c r="JAJ1">
        <f>Database!JBC1</f>
        <v>0</v>
      </c>
      <c r="JAK1">
        <f>Database!JBD1</f>
        <v>0</v>
      </c>
      <c r="JAL1">
        <f>Database!JBE1</f>
        <v>0</v>
      </c>
      <c r="JAM1">
        <f>Database!JBF1</f>
        <v>0</v>
      </c>
      <c r="JAN1">
        <f>Database!JBG1</f>
        <v>0</v>
      </c>
      <c r="JAO1">
        <f>Database!JBH1</f>
        <v>0</v>
      </c>
      <c r="JAP1">
        <f>Database!JBI1</f>
        <v>0</v>
      </c>
      <c r="JAQ1">
        <f>Database!JBJ1</f>
        <v>0</v>
      </c>
      <c r="JAR1">
        <f>Database!JBK1</f>
        <v>0</v>
      </c>
      <c r="JAS1">
        <f>Database!JBL1</f>
        <v>0</v>
      </c>
      <c r="JAT1">
        <f>Database!JBM1</f>
        <v>0</v>
      </c>
      <c r="JAU1">
        <f>Database!JBN1</f>
        <v>0</v>
      </c>
      <c r="JAV1">
        <f>Database!JBO1</f>
        <v>0</v>
      </c>
      <c r="JAW1">
        <f>Database!JBP1</f>
        <v>0</v>
      </c>
      <c r="JAX1">
        <f>Database!JBQ1</f>
        <v>0</v>
      </c>
      <c r="JAY1">
        <f>Database!JBR1</f>
        <v>0</v>
      </c>
      <c r="JAZ1">
        <f>Database!JBS1</f>
        <v>0</v>
      </c>
      <c r="JBA1">
        <f>Database!JBT1</f>
        <v>0</v>
      </c>
      <c r="JBB1">
        <f>Database!JBU1</f>
        <v>0</v>
      </c>
      <c r="JBC1">
        <f>Database!JBV1</f>
        <v>0</v>
      </c>
      <c r="JBD1">
        <f>Database!JBW1</f>
        <v>0</v>
      </c>
      <c r="JBE1">
        <f>Database!JBX1</f>
        <v>0</v>
      </c>
      <c r="JBF1">
        <f>Database!JBY1</f>
        <v>0</v>
      </c>
      <c r="JBG1">
        <f>Database!JBZ1</f>
        <v>0</v>
      </c>
      <c r="JBH1">
        <f>Database!JCA1</f>
        <v>0</v>
      </c>
      <c r="JBI1">
        <f>Database!JCB1</f>
        <v>0</v>
      </c>
      <c r="JBJ1">
        <f>Database!JCC1</f>
        <v>0</v>
      </c>
      <c r="JBK1">
        <f>Database!JCD1</f>
        <v>0</v>
      </c>
      <c r="JBL1">
        <f>Database!JCE1</f>
        <v>0</v>
      </c>
      <c r="JBM1">
        <f>Database!JCF1</f>
        <v>0</v>
      </c>
      <c r="JBN1">
        <f>Database!JCG1</f>
        <v>0</v>
      </c>
      <c r="JBO1">
        <f>Database!JCH1</f>
        <v>0</v>
      </c>
      <c r="JBP1">
        <f>Database!JCI1</f>
        <v>0</v>
      </c>
      <c r="JBQ1">
        <f>Database!JCJ1</f>
        <v>0</v>
      </c>
      <c r="JBR1">
        <f>Database!JCK1</f>
        <v>0</v>
      </c>
      <c r="JBS1">
        <f>Database!JCL1</f>
        <v>0</v>
      </c>
      <c r="JBT1">
        <f>Database!JCM1</f>
        <v>0</v>
      </c>
      <c r="JBU1">
        <f>Database!JCN1</f>
        <v>0</v>
      </c>
      <c r="JBV1">
        <f>Database!JCO1</f>
        <v>0</v>
      </c>
      <c r="JBW1">
        <f>Database!JCP1</f>
        <v>0</v>
      </c>
      <c r="JBX1">
        <f>Database!JCQ1</f>
        <v>0</v>
      </c>
      <c r="JBY1">
        <f>Database!JCR1</f>
        <v>0</v>
      </c>
      <c r="JBZ1">
        <f>Database!JCS1</f>
        <v>0</v>
      </c>
      <c r="JCA1">
        <f>Database!JCT1</f>
        <v>0</v>
      </c>
      <c r="JCB1">
        <f>Database!JCU1</f>
        <v>0</v>
      </c>
      <c r="JCC1">
        <f>Database!JCV1</f>
        <v>0</v>
      </c>
      <c r="JCD1">
        <f>Database!JCW1</f>
        <v>0</v>
      </c>
      <c r="JCE1">
        <f>Database!JCX1</f>
        <v>0</v>
      </c>
      <c r="JCF1">
        <f>Database!JCY1</f>
        <v>0</v>
      </c>
      <c r="JCG1">
        <f>Database!JCZ1</f>
        <v>0</v>
      </c>
      <c r="JCH1">
        <f>Database!JDA1</f>
        <v>0</v>
      </c>
      <c r="JCI1">
        <f>Database!JDB1</f>
        <v>0</v>
      </c>
      <c r="JCJ1">
        <f>Database!JDC1</f>
        <v>0</v>
      </c>
      <c r="JCK1">
        <f>Database!JDD1</f>
        <v>0</v>
      </c>
      <c r="JCL1">
        <f>Database!JDE1</f>
        <v>0</v>
      </c>
      <c r="JCM1">
        <f>Database!JDF1</f>
        <v>0</v>
      </c>
      <c r="JCN1">
        <f>Database!JDG1</f>
        <v>0</v>
      </c>
      <c r="JCO1">
        <f>Database!JDH1</f>
        <v>0</v>
      </c>
      <c r="JCP1">
        <f>Database!JDI1</f>
        <v>0</v>
      </c>
      <c r="JCQ1">
        <f>Database!JDJ1</f>
        <v>0</v>
      </c>
      <c r="JCR1">
        <f>Database!JDK1</f>
        <v>0</v>
      </c>
      <c r="JCS1">
        <f>Database!JDL1</f>
        <v>0</v>
      </c>
      <c r="JCT1">
        <f>Database!JDM1</f>
        <v>0</v>
      </c>
      <c r="JCU1">
        <f>Database!JDN1</f>
        <v>0</v>
      </c>
      <c r="JCV1">
        <f>Database!JDO1</f>
        <v>0</v>
      </c>
      <c r="JCW1">
        <f>Database!JDP1</f>
        <v>0</v>
      </c>
      <c r="JCX1">
        <f>Database!JDQ1</f>
        <v>0</v>
      </c>
      <c r="JCY1">
        <f>Database!JDR1</f>
        <v>0</v>
      </c>
      <c r="JCZ1">
        <f>Database!JDS1</f>
        <v>0</v>
      </c>
      <c r="JDA1">
        <f>Database!JDT1</f>
        <v>0</v>
      </c>
      <c r="JDB1">
        <f>Database!JDU1</f>
        <v>0</v>
      </c>
      <c r="JDC1">
        <f>Database!JDV1</f>
        <v>0</v>
      </c>
      <c r="JDD1">
        <f>Database!JDW1</f>
        <v>0</v>
      </c>
      <c r="JDE1">
        <f>Database!JDX1</f>
        <v>0</v>
      </c>
      <c r="JDF1">
        <f>Database!JDY1</f>
        <v>0</v>
      </c>
      <c r="JDG1">
        <f>Database!JDZ1</f>
        <v>0</v>
      </c>
      <c r="JDH1">
        <f>Database!JEA1</f>
        <v>0</v>
      </c>
      <c r="JDI1">
        <f>Database!JEB1</f>
        <v>0</v>
      </c>
      <c r="JDJ1">
        <f>Database!JEC1</f>
        <v>0</v>
      </c>
      <c r="JDK1">
        <f>Database!JED1</f>
        <v>0</v>
      </c>
      <c r="JDL1">
        <f>Database!JEE1</f>
        <v>0</v>
      </c>
      <c r="JDM1">
        <f>Database!JEF1</f>
        <v>0</v>
      </c>
      <c r="JDN1">
        <f>Database!JEG1</f>
        <v>0</v>
      </c>
      <c r="JDO1">
        <f>Database!JEH1</f>
        <v>0</v>
      </c>
      <c r="JDP1">
        <f>Database!JEI1</f>
        <v>0</v>
      </c>
      <c r="JDQ1">
        <f>Database!JEJ1</f>
        <v>0</v>
      </c>
      <c r="JDR1">
        <f>Database!JEK1</f>
        <v>0</v>
      </c>
      <c r="JDS1">
        <f>Database!JEL1</f>
        <v>0</v>
      </c>
      <c r="JDT1">
        <f>Database!JEM1</f>
        <v>0</v>
      </c>
      <c r="JDU1">
        <f>Database!JEN1</f>
        <v>0</v>
      </c>
      <c r="JDV1">
        <f>Database!JEO1</f>
        <v>0</v>
      </c>
      <c r="JDW1">
        <f>Database!JEP1</f>
        <v>0</v>
      </c>
      <c r="JDX1">
        <f>Database!JEQ1</f>
        <v>0</v>
      </c>
      <c r="JDY1">
        <f>Database!JER1</f>
        <v>0</v>
      </c>
      <c r="JDZ1">
        <f>Database!JES1</f>
        <v>0</v>
      </c>
      <c r="JEA1">
        <f>Database!JET1</f>
        <v>0</v>
      </c>
      <c r="JEB1">
        <f>Database!JEU1</f>
        <v>0</v>
      </c>
      <c r="JEC1">
        <f>Database!JEV1</f>
        <v>0</v>
      </c>
      <c r="JED1">
        <f>Database!JEW1</f>
        <v>0</v>
      </c>
      <c r="JEE1">
        <f>Database!JEX1</f>
        <v>0</v>
      </c>
      <c r="JEF1">
        <f>Database!JEY1</f>
        <v>0</v>
      </c>
      <c r="JEG1">
        <f>Database!JEZ1</f>
        <v>0</v>
      </c>
      <c r="JEH1">
        <f>Database!JFA1</f>
        <v>0</v>
      </c>
      <c r="JEI1">
        <f>Database!JFB1</f>
        <v>0</v>
      </c>
      <c r="JEJ1">
        <f>Database!JFC1</f>
        <v>0</v>
      </c>
      <c r="JEK1">
        <f>Database!JFD1</f>
        <v>0</v>
      </c>
      <c r="JEL1">
        <f>Database!JFE1</f>
        <v>0</v>
      </c>
      <c r="JEM1">
        <f>Database!JFF1</f>
        <v>0</v>
      </c>
      <c r="JEN1">
        <f>Database!JFG1</f>
        <v>0</v>
      </c>
      <c r="JEO1">
        <f>Database!JFH1</f>
        <v>0</v>
      </c>
      <c r="JEP1">
        <f>Database!JFI1</f>
        <v>0</v>
      </c>
      <c r="JEQ1">
        <f>Database!JFJ1</f>
        <v>0</v>
      </c>
      <c r="JER1">
        <f>Database!JFK1</f>
        <v>0</v>
      </c>
      <c r="JES1">
        <f>Database!JFL1</f>
        <v>0</v>
      </c>
      <c r="JET1">
        <f>Database!JFM1</f>
        <v>0</v>
      </c>
      <c r="JEU1">
        <f>Database!JFN1</f>
        <v>0</v>
      </c>
      <c r="JEV1">
        <f>Database!JFO1</f>
        <v>0</v>
      </c>
      <c r="JEW1">
        <f>Database!JFP1</f>
        <v>0</v>
      </c>
      <c r="JEX1">
        <f>Database!JFQ1</f>
        <v>0</v>
      </c>
      <c r="JEY1">
        <f>Database!JFR1</f>
        <v>0</v>
      </c>
      <c r="JEZ1">
        <f>Database!JFS1</f>
        <v>0</v>
      </c>
      <c r="JFA1">
        <f>Database!JFT1</f>
        <v>0</v>
      </c>
      <c r="JFB1">
        <f>Database!JFU1</f>
        <v>0</v>
      </c>
      <c r="JFC1">
        <f>Database!JFV1</f>
        <v>0</v>
      </c>
      <c r="JFD1">
        <f>Database!JFW1</f>
        <v>0</v>
      </c>
      <c r="JFE1">
        <f>Database!JFX1</f>
        <v>0</v>
      </c>
      <c r="JFF1">
        <f>Database!JFY1</f>
        <v>0</v>
      </c>
      <c r="JFG1">
        <f>Database!JFZ1</f>
        <v>0</v>
      </c>
      <c r="JFH1">
        <f>Database!JGA1</f>
        <v>0</v>
      </c>
      <c r="JFI1">
        <f>Database!JGB1</f>
        <v>0</v>
      </c>
      <c r="JFJ1">
        <f>Database!JGC1</f>
        <v>0</v>
      </c>
      <c r="JFK1">
        <f>Database!JGD1</f>
        <v>0</v>
      </c>
      <c r="JFL1">
        <f>Database!JGE1</f>
        <v>0</v>
      </c>
      <c r="JFM1">
        <f>Database!JGF1</f>
        <v>0</v>
      </c>
      <c r="JFN1">
        <f>Database!JGG1</f>
        <v>0</v>
      </c>
      <c r="JFO1">
        <f>Database!JGH1</f>
        <v>0</v>
      </c>
      <c r="JFP1">
        <f>Database!JGI1</f>
        <v>0</v>
      </c>
      <c r="JFQ1">
        <f>Database!JGJ1</f>
        <v>0</v>
      </c>
      <c r="JFR1">
        <f>Database!JGK1</f>
        <v>0</v>
      </c>
      <c r="JFS1">
        <f>Database!JGL1</f>
        <v>0</v>
      </c>
      <c r="JFT1">
        <f>Database!JGM1</f>
        <v>0</v>
      </c>
      <c r="JFU1">
        <f>Database!JGN1</f>
        <v>0</v>
      </c>
      <c r="JFV1">
        <f>Database!JGO1</f>
        <v>0</v>
      </c>
      <c r="JFW1">
        <f>Database!JGP1</f>
        <v>0</v>
      </c>
      <c r="JFX1">
        <f>Database!JGQ1</f>
        <v>0</v>
      </c>
      <c r="JFY1">
        <f>Database!JGR1</f>
        <v>0</v>
      </c>
      <c r="JFZ1">
        <f>Database!JGS1</f>
        <v>0</v>
      </c>
      <c r="JGA1">
        <f>Database!JGT1</f>
        <v>0</v>
      </c>
      <c r="JGB1">
        <f>Database!JGU1</f>
        <v>0</v>
      </c>
      <c r="JGC1">
        <f>Database!JGV1</f>
        <v>0</v>
      </c>
      <c r="JGD1">
        <f>Database!JGW1</f>
        <v>0</v>
      </c>
      <c r="JGE1">
        <f>Database!JGX1</f>
        <v>0</v>
      </c>
      <c r="JGF1">
        <f>Database!JGY1</f>
        <v>0</v>
      </c>
      <c r="JGG1">
        <f>Database!JGZ1</f>
        <v>0</v>
      </c>
      <c r="JGH1">
        <f>Database!JHA1</f>
        <v>0</v>
      </c>
      <c r="JGI1">
        <f>Database!JHB1</f>
        <v>0</v>
      </c>
      <c r="JGJ1">
        <f>Database!JHC1</f>
        <v>0</v>
      </c>
      <c r="JGK1">
        <f>Database!JHD1</f>
        <v>0</v>
      </c>
      <c r="JGL1">
        <f>Database!JHE1</f>
        <v>0</v>
      </c>
      <c r="JGM1">
        <f>Database!JHF1</f>
        <v>0</v>
      </c>
      <c r="JGN1">
        <f>Database!JHG1</f>
        <v>0</v>
      </c>
      <c r="JGO1">
        <f>Database!JHH1</f>
        <v>0</v>
      </c>
      <c r="JGP1">
        <f>Database!JHI1</f>
        <v>0</v>
      </c>
      <c r="JGQ1">
        <f>Database!JHJ1</f>
        <v>0</v>
      </c>
      <c r="JGR1">
        <f>Database!JHK1</f>
        <v>0</v>
      </c>
      <c r="JGS1">
        <f>Database!JHL1</f>
        <v>0</v>
      </c>
      <c r="JGT1">
        <f>Database!JHM1</f>
        <v>0</v>
      </c>
      <c r="JGU1">
        <f>Database!JHN1</f>
        <v>0</v>
      </c>
      <c r="JGV1">
        <f>Database!JHO1</f>
        <v>0</v>
      </c>
      <c r="JGW1">
        <f>Database!JHP1</f>
        <v>0</v>
      </c>
      <c r="JGX1">
        <f>Database!JHQ1</f>
        <v>0</v>
      </c>
      <c r="JGY1">
        <f>Database!JHR1</f>
        <v>0</v>
      </c>
      <c r="JGZ1">
        <f>Database!JHS1</f>
        <v>0</v>
      </c>
      <c r="JHA1">
        <f>Database!JHT1</f>
        <v>0</v>
      </c>
      <c r="JHB1">
        <f>Database!JHU1</f>
        <v>0</v>
      </c>
      <c r="JHC1">
        <f>Database!JHV1</f>
        <v>0</v>
      </c>
      <c r="JHD1">
        <f>Database!JHW1</f>
        <v>0</v>
      </c>
      <c r="JHE1">
        <f>Database!JHX1</f>
        <v>0</v>
      </c>
      <c r="JHF1">
        <f>Database!JHY1</f>
        <v>0</v>
      </c>
      <c r="JHG1">
        <f>Database!JHZ1</f>
        <v>0</v>
      </c>
      <c r="JHH1">
        <f>Database!JIA1</f>
        <v>0</v>
      </c>
      <c r="JHI1">
        <f>Database!JIB1</f>
        <v>0</v>
      </c>
      <c r="JHJ1">
        <f>Database!JIC1</f>
        <v>0</v>
      </c>
      <c r="JHK1">
        <f>Database!JID1</f>
        <v>0</v>
      </c>
      <c r="JHL1">
        <f>Database!JIE1</f>
        <v>0</v>
      </c>
      <c r="JHM1">
        <f>Database!JIF1</f>
        <v>0</v>
      </c>
      <c r="JHN1">
        <f>Database!JIG1</f>
        <v>0</v>
      </c>
      <c r="JHO1">
        <f>Database!JIH1</f>
        <v>0</v>
      </c>
      <c r="JHP1">
        <f>Database!JII1</f>
        <v>0</v>
      </c>
      <c r="JHQ1">
        <f>Database!JIJ1</f>
        <v>0</v>
      </c>
      <c r="JHR1">
        <f>Database!JIK1</f>
        <v>0</v>
      </c>
      <c r="JHS1">
        <f>Database!JIL1</f>
        <v>0</v>
      </c>
      <c r="JHT1">
        <f>Database!JIM1</f>
        <v>0</v>
      </c>
      <c r="JHU1">
        <f>Database!JIN1</f>
        <v>0</v>
      </c>
      <c r="JHV1">
        <f>Database!JIO1</f>
        <v>0</v>
      </c>
      <c r="JHW1">
        <f>Database!JIP1</f>
        <v>0</v>
      </c>
      <c r="JHX1">
        <f>Database!JIQ1</f>
        <v>0</v>
      </c>
      <c r="JHY1">
        <f>Database!JIR1</f>
        <v>0</v>
      </c>
      <c r="JHZ1">
        <f>Database!JIS1</f>
        <v>0</v>
      </c>
      <c r="JIA1">
        <f>Database!JIT1</f>
        <v>0</v>
      </c>
      <c r="JIB1">
        <f>Database!JIU1</f>
        <v>0</v>
      </c>
      <c r="JIC1">
        <f>Database!JIV1</f>
        <v>0</v>
      </c>
      <c r="JID1">
        <f>Database!JIW1</f>
        <v>0</v>
      </c>
      <c r="JIE1">
        <f>Database!JIX1</f>
        <v>0</v>
      </c>
      <c r="JIF1">
        <f>Database!JIY1</f>
        <v>0</v>
      </c>
      <c r="JIG1">
        <f>Database!JIZ1</f>
        <v>0</v>
      </c>
      <c r="JIH1">
        <f>Database!JJA1</f>
        <v>0</v>
      </c>
      <c r="JII1">
        <f>Database!JJB1</f>
        <v>0</v>
      </c>
      <c r="JIJ1">
        <f>Database!JJC1</f>
        <v>0</v>
      </c>
      <c r="JIK1">
        <f>Database!JJD1</f>
        <v>0</v>
      </c>
      <c r="JIL1">
        <f>Database!JJE1</f>
        <v>0</v>
      </c>
      <c r="JIM1">
        <f>Database!JJF1</f>
        <v>0</v>
      </c>
      <c r="JIN1">
        <f>Database!JJG1</f>
        <v>0</v>
      </c>
      <c r="JIO1">
        <f>Database!JJH1</f>
        <v>0</v>
      </c>
      <c r="JIP1">
        <f>Database!JJI1</f>
        <v>0</v>
      </c>
      <c r="JIQ1">
        <f>Database!JJJ1</f>
        <v>0</v>
      </c>
      <c r="JIR1">
        <f>Database!JJK1</f>
        <v>0</v>
      </c>
      <c r="JIS1">
        <f>Database!JJL1</f>
        <v>0</v>
      </c>
      <c r="JIT1">
        <f>Database!JJM1</f>
        <v>0</v>
      </c>
      <c r="JIU1">
        <f>Database!JJN1</f>
        <v>0</v>
      </c>
      <c r="JIV1">
        <f>Database!JJO1</f>
        <v>0</v>
      </c>
      <c r="JIW1">
        <f>Database!JJP1</f>
        <v>0</v>
      </c>
      <c r="JIX1">
        <f>Database!JJQ1</f>
        <v>0</v>
      </c>
      <c r="JIY1">
        <f>Database!JJR1</f>
        <v>0</v>
      </c>
      <c r="JIZ1">
        <f>Database!JJS1</f>
        <v>0</v>
      </c>
      <c r="JJA1">
        <f>Database!JJT1</f>
        <v>0</v>
      </c>
      <c r="JJB1">
        <f>Database!JJU1</f>
        <v>0</v>
      </c>
      <c r="JJC1">
        <f>Database!JJV1</f>
        <v>0</v>
      </c>
      <c r="JJD1">
        <f>Database!JJW1</f>
        <v>0</v>
      </c>
      <c r="JJE1">
        <f>Database!JJX1</f>
        <v>0</v>
      </c>
      <c r="JJF1">
        <f>Database!JJY1</f>
        <v>0</v>
      </c>
      <c r="JJG1">
        <f>Database!JJZ1</f>
        <v>0</v>
      </c>
      <c r="JJH1">
        <f>Database!JKA1</f>
        <v>0</v>
      </c>
      <c r="JJI1">
        <f>Database!JKB1</f>
        <v>0</v>
      </c>
      <c r="JJJ1">
        <f>Database!JKC1</f>
        <v>0</v>
      </c>
      <c r="JJK1">
        <f>Database!JKD1</f>
        <v>0</v>
      </c>
      <c r="JJL1">
        <f>Database!JKE1</f>
        <v>0</v>
      </c>
      <c r="JJM1">
        <f>Database!JKF1</f>
        <v>0</v>
      </c>
      <c r="JJN1">
        <f>Database!JKG1</f>
        <v>0</v>
      </c>
      <c r="JJO1">
        <f>Database!JKH1</f>
        <v>0</v>
      </c>
      <c r="JJP1">
        <f>Database!JKI1</f>
        <v>0</v>
      </c>
      <c r="JJQ1">
        <f>Database!JKJ1</f>
        <v>0</v>
      </c>
      <c r="JJR1">
        <f>Database!JKK1</f>
        <v>0</v>
      </c>
      <c r="JJS1">
        <f>Database!JKL1</f>
        <v>0</v>
      </c>
      <c r="JJT1">
        <f>Database!JKM1</f>
        <v>0</v>
      </c>
      <c r="JJU1">
        <f>Database!JKN1</f>
        <v>0</v>
      </c>
      <c r="JJV1">
        <f>Database!JKO1</f>
        <v>0</v>
      </c>
      <c r="JJW1">
        <f>Database!JKP1</f>
        <v>0</v>
      </c>
      <c r="JJX1">
        <f>Database!JKQ1</f>
        <v>0</v>
      </c>
      <c r="JJY1">
        <f>Database!JKR1</f>
        <v>0</v>
      </c>
      <c r="JJZ1">
        <f>Database!JKS1</f>
        <v>0</v>
      </c>
      <c r="JKA1">
        <f>Database!JKT1</f>
        <v>0</v>
      </c>
      <c r="JKB1">
        <f>Database!JKU1</f>
        <v>0</v>
      </c>
      <c r="JKC1">
        <f>Database!JKV1</f>
        <v>0</v>
      </c>
      <c r="JKD1">
        <f>Database!JKW1</f>
        <v>0</v>
      </c>
      <c r="JKE1">
        <f>Database!JKX1</f>
        <v>0</v>
      </c>
      <c r="JKF1">
        <f>Database!JKY1</f>
        <v>0</v>
      </c>
      <c r="JKG1">
        <f>Database!JKZ1</f>
        <v>0</v>
      </c>
      <c r="JKH1">
        <f>Database!JLA1</f>
        <v>0</v>
      </c>
      <c r="JKI1">
        <f>Database!JLB1</f>
        <v>0</v>
      </c>
      <c r="JKJ1">
        <f>Database!JLC1</f>
        <v>0</v>
      </c>
      <c r="JKK1">
        <f>Database!JLD1</f>
        <v>0</v>
      </c>
      <c r="JKL1">
        <f>Database!JLE1</f>
        <v>0</v>
      </c>
      <c r="JKM1">
        <f>Database!JLF1</f>
        <v>0</v>
      </c>
      <c r="JKN1">
        <f>Database!JLG1</f>
        <v>0</v>
      </c>
      <c r="JKO1">
        <f>Database!JLH1</f>
        <v>0</v>
      </c>
      <c r="JKP1">
        <f>Database!JLI1</f>
        <v>0</v>
      </c>
      <c r="JKQ1">
        <f>Database!JLJ1</f>
        <v>0</v>
      </c>
      <c r="JKR1">
        <f>Database!JLK1</f>
        <v>0</v>
      </c>
      <c r="JKS1">
        <f>Database!JLL1</f>
        <v>0</v>
      </c>
      <c r="JKT1">
        <f>Database!JLM1</f>
        <v>0</v>
      </c>
      <c r="JKU1">
        <f>Database!JLN1</f>
        <v>0</v>
      </c>
      <c r="JKV1">
        <f>Database!JLO1</f>
        <v>0</v>
      </c>
      <c r="JKW1">
        <f>Database!JLP1</f>
        <v>0</v>
      </c>
      <c r="JKX1">
        <f>Database!JLQ1</f>
        <v>0</v>
      </c>
      <c r="JKY1">
        <f>Database!JLR1</f>
        <v>0</v>
      </c>
      <c r="JKZ1">
        <f>Database!JLS1</f>
        <v>0</v>
      </c>
      <c r="JLA1">
        <f>Database!JLT1</f>
        <v>0</v>
      </c>
      <c r="JLB1">
        <f>Database!JLU1</f>
        <v>0</v>
      </c>
      <c r="JLC1">
        <f>Database!JLV1</f>
        <v>0</v>
      </c>
      <c r="JLD1">
        <f>Database!JLW1</f>
        <v>0</v>
      </c>
      <c r="JLE1">
        <f>Database!JLX1</f>
        <v>0</v>
      </c>
      <c r="JLF1">
        <f>Database!JLY1</f>
        <v>0</v>
      </c>
      <c r="JLG1">
        <f>Database!JLZ1</f>
        <v>0</v>
      </c>
      <c r="JLH1">
        <f>Database!JMA1</f>
        <v>0</v>
      </c>
      <c r="JLI1">
        <f>Database!JMB1</f>
        <v>0</v>
      </c>
      <c r="JLJ1">
        <f>Database!JMC1</f>
        <v>0</v>
      </c>
      <c r="JLK1">
        <f>Database!JMD1</f>
        <v>0</v>
      </c>
      <c r="JLL1">
        <f>Database!JME1</f>
        <v>0</v>
      </c>
      <c r="JLM1">
        <f>Database!JMF1</f>
        <v>0</v>
      </c>
      <c r="JLN1">
        <f>Database!JMG1</f>
        <v>0</v>
      </c>
      <c r="JLO1">
        <f>Database!JMH1</f>
        <v>0</v>
      </c>
      <c r="JLP1">
        <f>Database!JMI1</f>
        <v>0</v>
      </c>
      <c r="JLQ1">
        <f>Database!JMJ1</f>
        <v>0</v>
      </c>
      <c r="JLR1">
        <f>Database!JMK1</f>
        <v>0</v>
      </c>
      <c r="JLS1">
        <f>Database!JML1</f>
        <v>0</v>
      </c>
      <c r="JLT1">
        <f>Database!JMM1</f>
        <v>0</v>
      </c>
      <c r="JLU1">
        <f>Database!JMN1</f>
        <v>0</v>
      </c>
      <c r="JLV1">
        <f>Database!JMO1</f>
        <v>0</v>
      </c>
      <c r="JLW1">
        <f>Database!JMP1</f>
        <v>0</v>
      </c>
      <c r="JLX1">
        <f>Database!JMQ1</f>
        <v>0</v>
      </c>
      <c r="JLY1">
        <f>Database!JMR1</f>
        <v>0</v>
      </c>
      <c r="JLZ1">
        <f>Database!JMS1</f>
        <v>0</v>
      </c>
      <c r="JMA1">
        <f>Database!JMT1</f>
        <v>0</v>
      </c>
      <c r="JMB1">
        <f>Database!JMU1</f>
        <v>0</v>
      </c>
      <c r="JMC1">
        <f>Database!JMV1</f>
        <v>0</v>
      </c>
      <c r="JMD1">
        <f>Database!JMW1</f>
        <v>0</v>
      </c>
      <c r="JME1">
        <f>Database!JMX1</f>
        <v>0</v>
      </c>
      <c r="JMF1">
        <f>Database!JMY1</f>
        <v>0</v>
      </c>
      <c r="JMG1">
        <f>Database!JMZ1</f>
        <v>0</v>
      </c>
      <c r="JMH1">
        <f>Database!JNA1</f>
        <v>0</v>
      </c>
      <c r="JMI1">
        <f>Database!JNB1</f>
        <v>0</v>
      </c>
      <c r="JMJ1">
        <f>Database!JNC1</f>
        <v>0</v>
      </c>
      <c r="JMK1">
        <f>Database!JND1</f>
        <v>0</v>
      </c>
      <c r="JML1">
        <f>Database!JNE1</f>
        <v>0</v>
      </c>
      <c r="JMM1">
        <f>Database!JNF1</f>
        <v>0</v>
      </c>
      <c r="JMN1">
        <f>Database!JNG1</f>
        <v>0</v>
      </c>
      <c r="JMO1">
        <f>Database!JNH1</f>
        <v>0</v>
      </c>
      <c r="JMP1">
        <f>Database!JNI1</f>
        <v>0</v>
      </c>
      <c r="JMQ1">
        <f>Database!JNJ1</f>
        <v>0</v>
      </c>
      <c r="JMR1">
        <f>Database!JNK1</f>
        <v>0</v>
      </c>
      <c r="JMS1">
        <f>Database!JNL1</f>
        <v>0</v>
      </c>
      <c r="JMT1">
        <f>Database!JNM1</f>
        <v>0</v>
      </c>
      <c r="JMU1">
        <f>Database!JNN1</f>
        <v>0</v>
      </c>
      <c r="JMV1">
        <f>Database!JNO1</f>
        <v>0</v>
      </c>
      <c r="JMW1">
        <f>Database!JNP1</f>
        <v>0</v>
      </c>
      <c r="JMX1">
        <f>Database!JNQ1</f>
        <v>0</v>
      </c>
      <c r="JMY1">
        <f>Database!JNR1</f>
        <v>0</v>
      </c>
      <c r="JMZ1">
        <f>Database!JNS1</f>
        <v>0</v>
      </c>
      <c r="JNA1">
        <f>Database!JNT1</f>
        <v>0</v>
      </c>
      <c r="JNB1">
        <f>Database!JNU1</f>
        <v>0</v>
      </c>
      <c r="JNC1">
        <f>Database!JNV1</f>
        <v>0</v>
      </c>
      <c r="JND1">
        <f>Database!JNW1</f>
        <v>0</v>
      </c>
      <c r="JNE1">
        <f>Database!JNX1</f>
        <v>0</v>
      </c>
      <c r="JNF1">
        <f>Database!JNY1</f>
        <v>0</v>
      </c>
      <c r="JNG1">
        <f>Database!JNZ1</f>
        <v>0</v>
      </c>
      <c r="JNH1">
        <f>Database!JOA1</f>
        <v>0</v>
      </c>
      <c r="JNI1">
        <f>Database!JOB1</f>
        <v>0</v>
      </c>
      <c r="JNJ1">
        <f>Database!JOC1</f>
        <v>0</v>
      </c>
      <c r="JNK1">
        <f>Database!JOD1</f>
        <v>0</v>
      </c>
      <c r="JNL1">
        <f>Database!JOE1</f>
        <v>0</v>
      </c>
      <c r="JNM1">
        <f>Database!JOF1</f>
        <v>0</v>
      </c>
      <c r="JNN1">
        <f>Database!JOG1</f>
        <v>0</v>
      </c>
      <c r="JNO1">
        <f>Database!JOH1</f>
        <v>0</v>
      </c>
      <c r="JNP1">
        <f>Database!JOI1</f>
        <v>0</v>
      </c>
      <c r="JNQ1">
        <f>Database!JOJ1</f>
        <v>0</v>
      </c>
      <c r="JNR1">
        <f>Database!JOK1</f>
        <v>0</v>
      </c>
      <c r="JNS1">
        <f>Database!JOL1</f>
        <v>0</v>
      </c>
      <c r="JNT1">
        <f>Database!JOM1</f>
        <v>0</v>
      </c>
      <c r="JNU1">
        <f>Database!JON1</f>
        <v>0</v>
      </c>
      <c r="JNV1">
        <f>Database!JOO1</f>
        <v>0</v>
      </c>
      <c r="JNW1">
        <f>Database!JOP1</f>
        <v>0</v>
      </c>
      <c r="JNX1">
        <f>Database!JOQ1</f>
        <v>0</v>
      </c>
      <c r="JNY1">
        <f>Database!JOR1</f>
        <v>0</v>
      </c>
      <c r="JNZ1">
        <f>Database!JOS1</f>
        <v>0</v>
      </c>
      <c r="JOA1">
        <f>Database!JOT1</f>
        <v>0</v>
      </c>
      <c r="JOB1">
        <f>Database!JOU1</f>
        <v>0</v>
      </c>
      <c r="JOC1">
        <f>Database!JOV1</f>
        <v>0</v>
      </c>
      <c r="JOD1">
        <f>Database!JOW1</f>
        <v>0</v>
      </c>
      <c r="JOE1">
        <f>Database!JOX1</f>
        <v>0</v>
      </c>
      <c r="JOF1">
        <f>Database!JOY1</f>
        <v>0</v>
      </c>
      <c r="JOG1">
        <f>Database!JOZ1</f>
        <v>0</v>
      </c>
      <c r="JOH1">
        <f>Database!JPA1</f>
        <v>0</v>
      </c>
      <c r="JOI1">
        <f>Database!JPB1</f>
        <v>0</v>
      </c>
      <c r="JOJ1">
        <f>Database!JPC1</f>
        <v>0</v>
      </c>
      <c r="JOK1">
        <f>Database!JPD1</f>
        <v>0</v>
      </c>
      <c r="JOL1">
        <f>Database!JPE1</f>
        <v>0</v>
      </c>
      <c r="JOM1">
        <f>Database!JPF1</f>
        <v>0</v>
      </c>
      <c r="JON1">
        <f>Database!JPG1</f>
        <v>0</v>
      </c>
      <c r="JOO1">
        <f>Database!JPH1</f>
        <v>0</v>
      </c>
      <c r="JOP1">
        <f>Database!JPI1</f>
        <v>0</v>
      </c>
      <c r="JOQ1">
        <f>Database!JPJ1</f>
        <v>0</v>
      </c>
      <c r="JOR1">
        <f>Database!JPK1</f>
        <v>0</v>
      </c>
      <c r="JOS1">
        <f>Database!JPL1</f>
        <v>0</v>
      </c>
      <c r="JOT1">
        <f>Database!JPM1</f>
        <v>0</v>
      </c>
      <c r="JOU1">
        <f>Database!JPN1</f>
        <v>0</v>
      </c>
      <c r="JOV1">
        <f>Database!JPO1</f>
        <v>0</v>
      </c>
      <c r="JOW1">
        <f>Database!JPP1</f>
        <v>0</v>
      </c>
      <c r="JOX1">
        <f>Database!JPQ1</f>
        <v>0</v>
      </c>
      <c r="JOY1">
        <f>Database!JPR1</f>
        <v>0</v>
      </c>
      <c r="JOZ1">
        <f>Database!JPS1</f>
        <v>0</v>
      </c>
      <c r="JPA1">
        <f>Database!JPT1</f>
        <v>0</v>
      </c>
      <c r="JPB1">
        <f>Database!JPU1</f>
        <v>0</v>
      </c>
      <c r="JPC1">
        <f>Database!JPV1</f>
        <v>0</v>
      </c>
      <c r="JPD1">
        <f>Database!JPW1</f>
        <v>0</v>
      </c>
      <c r="JPE1">
        <f>Database!JPX1</f>
        <v>0</v>
      </c>
      <c r="JPF1">
        <f>Database!JPY1</f>
        <v>0</v>
      </c>
      <c r="JPG1">
        <f>Database!JPZ1</f>
        <v>0</v>
      </c>
      <c r="JPH1">
        <f>Database!JQA1</f>
        <v>0</v>
      </c>
      <c r="JPI1">
        <f>Database!JQB1</f>
        <v>0</v>
      </c>
      <c r="JPJ1">
        <f>Database!JQC1</f>
        <v>0</v>
      </c>
      <c r="JPK1">
        <f>Database!JQD1</f>
        <v>0</v>
      </c>
      <c r="JPL1">
        <f>Database!JQE1</f>
        <v>0</v>
      </c>
      <c r="JPM1">
        <f>Database!JQF1</f>
        <v>0</v>
      </c>
      <c r="JPN1">
        <f>Database!JQG1</f>
        <v>0</v>
      </c>
      <c r="JPO1">
        <f>Database!JQH1</f>
        <v>0</v>
      </c>
      <c r="JPP1">
        <f>Database!JQI1</f>
        <v>0</v>
      </c>
      <c r="JPQ1">
        <f>Database!JQJ1</f>
        <v>0</v>
      </c>
      <c r="JPR1">
        <f>Database!JQK1</f>
        <v>0</v>
      </c>
      <c r="JPS1">
        <f>Database!JQL1</f>
        <v>0</v>
      </c>
      <c r="JPT1">
        <f>Database!JQM1</f>
        <v>0</v>
      </c>
      <c r="JPU1">
        <f>Database!JQN1</f>
        <v>0</v>
      </c>
      <c r="JPV1">
        <f>Database!JQO1</f>
        <v>0</v>
      </c>
      <c r="JPW1">
        <f>Database!JQP1</f>
        <v>0</v>
      </c>
      <c r="JPX1">
        <f>Database!JQQ1</f>
        <v>0</v>
      </c>
      <c r="JPY1">
        <f>Database!JQR1</f>
        <v>0</v>
      </c>
      <c r="JPZ1">
        <f>Database!JQS1</f>
        <v>0</v>
      </c>
      <c r="JQA1">
        <f>Database!JQT1</f>
        <v>0</v>
      </c>
      <c r="JQB1">
        <f>Database!JQU1</f>
        <v>0</v>
      </c>
      <c r="JQC1">
        <f>Database!JQV1</f>
        <v>0</v>
      </c>
      <c r="JQD1">
        <f>Database!JQW1</f>
        <v>0</v>
      </c>
      <c r="JQE1">
        <f>Database!JQX1</f>
        <v>0</v>
      </c>
      <c r="JQF1">
        <f>Database!JQY1</f>
        <v>0</v>
      </c>
      <c r="JQG1">
        <f>Database!JQZ1</f>
        <v>0</v>
      </c>
      <c r="JQH1">
        <f>Database!JRA1</f>
        <v>0</v>
      </c>
      <c r="JQI1">
        <f>Database!JRB1</f>
        <v>0</v>
      </c>
      <c r="JQJ1">
        <f>Database!JRC1</f>
        <v>0</v>
      </c>
      <c r="JQK1">
        <f>Database!JRD1</f>
        <v>0</v>
      </c>
      <c r="JQL1">
        <f>Database!JRE1</f>
        <v>0</v>
      </c>
      <c r="JQM1">
        <f>Database!JRF1</f>
        <v>0</v>
      </c>
      <c r="JQN1">
        <f>Database!JRG1</f>
        <v>0</v>
      </c>
      <c r="JQO1">
        <f>Database!JRH1</f>
        <v>0</v>
      </c>
      <c r="JQP1">
        <f>Database!JRI1</f>
        <v>0</v>
      </c>
      <c r="JQQ1">
        <f>Database!JRJ1</f>
        <v>0</v>
      </c>
      <c r="JQR1">
        <f>Database!JRK1</f>
        <v>0</v>
      </c>
      <c r="JQS1">
        <f>Database!JRL1</f>
        <v>0</v>
      </c>
      <c r="JQT1">
        <f>Database!JRM1</f>
        <v>0</v>
      </c>
      <c r="JQU1">
        <f>Database!JRN1</f>
        <v>0</v>
      </c>
      <c r="JQV1">
        <f>Database!JRO1</f>
        <v>0</v>
      </c>
      <c r="JQW1">
        <f>Database!JRP1</f>
        <v>0</v>
      </c>
      <c r="JQX1">
        <f>Database!JRQ1</f>
        <v>0</v>
      </c>
      <c r="JQY1">
        <f>Database!JRR1</f>
        <v>0</v>
      </c>
      <c r="JQZ1">
        <f>Database!JRS1</f>
        <v>0</v>
      </c>
      <c r="JRA1">
        <f>Database!JRT1</f>
        <v>0</v>
      </c>
      <c r="JRB1">
        <f>Database!JRU1</f>
        <v>0</v>
      </c>
      <c r="JRC1">
        <f>Database!JRV1</f>
        <v>0</v>
      </c>
      <c r="JRD1">
        <f>Database!JRW1</f>
        <v>0</v>
      </c>
      <c r="JRE1">
        <f>Database!JRX1</f>
        <v>0</v>
      </c>
      <c r="JRF1">
        <f>Database!JRY1</f>
        <v>0</v>
      </c>
      <c r="JRG1">
        <f>Database!JRZ1</f>
        <v>0</v>
      </c>
      <c r="JRH1">
        <f>Database!JSA1</f>
        <v>0</v>
      </c>
      <c r="JRI1">
        <f>Database!JSB1</f>
        <v>0</v>
      </c>
      <c r="JRJ1">
        <f>Database!JSC1</f>
        <v>0</v>
      </c>
      <c r="JRK1">
        <f>Database!JSD1</f>
        <v>0</v>
      </c>
      <c r="JRL1">
        <f>Database!JSE1</f>
        <v>0</v>
      </c>
      <c r="JRM1">
        <f>Database!JSF1</f>
        <v>0</v>
      </c>
      <c r="JRN1">
        <f>Database!JSG1</f>
        <v>0</v>
      </c>
      <c r="JRO1">
        <f>Database!JSH1</f>
        <v>0</v>
      </c>
      <c r="JRP1">
        <f>Database!JSI1</f>
        <v>0</v>
      </c>
      <c r="JRQ1">
        <f>Database!JSJ1</f>
        <v>0</v>
      </c>
      <c r="JRR1">
        <f>Database!JSK1</f>
        <v>0</v>
      </c>
      <c r="JRS1">
        <f>Database!JSL1</f>
        <v>0</v>
      </c>
      <c r="JRT1">
        <f>Database!JSM1</f>
        <v>0</v>
      </c>
      <c r="JRU1">
        <f>Database!JSN1</f>
        <v>0</v>
      </c>
      <c r="JRV1">
        <f>Database!JSO1</f>
        <v>0</v>
      </c>
      <c r="JRW1">
        <f>Database!JSP1</f>
        <v>0</v>
      </c>
      <c r="JRX1">
        <f>Database!JSQ1</f>
        <v>0</v>
      </c>
      <c r="JRY1">
        <f>Database!JSR1</f>
        <v>0</v>
      </c>
      <c r="JRZ1">
        <f>Database!JSS1</f>
        <v>0</v>
      </c>
      <c r="JSA1">
        <f>Database!JST1</f>
        <v>0</v>
      </c>
      <c r="JSB1">
        <f>Database!JSU1</f>
        <v>0</v>
      </c>
      <c r="JSC1">
        <f>Database!JSV1</f>
        <v>0</v>
      </c>
      <c r="JSD1">
        <f>Database!JSW1</f>
        <v>0</v>
      </c>
      <c r="JSE1">
        <f>Database!JSX1</f>
        <v>0</v>
      </c>
      <c r="JSF1">
        <f>Database!JSY1</f>
        <v>0</v>
      </c>
      <c r="JSG1">
        <f>Database!JSZ1</f>
        <v>0</v>
      </c>
      <c r="JSH1">
        <f>Database!JTA1</f>
        <v>0</v>
      </c>
      <c r="JSI1">
        <f>Database!JTB1</f>
        <v>0</v>
      </c>
      <c r="JSJ1">
        <f>Database!JTC1</f>
        <v>0</v>
      </c>
      <c r="JSK1">
        <f>Database!JTD1</f>
        <v>0</v>
      </c>
      <c r="JSL1">
        <f>Database!JTE1</f>
        <v>0</v>
      </c>
      <c r="JSM1">
        <f>Database!JTF1</f>
        <v>0</v>
      </c>
      <c r="JSN1">
        <f>Database!JTG1</f>
        <v>0</v>
      </c>
      <c r="JSO1">
        <f>Database!JTH1</f>
        <v>0</v>
      </c>
      <c r="JSP1">
        <f>Database!JTI1</f>
        <v>0</v>
      </c>
      <c r="JSQ1">
        <f>Database!JTJ1</f>
        <v>0</v>
      </c>
      <c r="JSR1">
        <f>Database!JTK1</f>
        <v>0</v>
      </c>
      <c r="JSS1">
        <f>Database!JTL1</f>
        <v>0</v>
      </c>
      <c r="JST1">
        <f>Database!JTM1</f>
        <v>0</v>
      </c>
      <c r="JSU1">
        <f>Database!JTN1</f>
        <v>0</v>
      </c>
      <c r="JSV1">
        <f>Database!JTO1</f>
        <v>0</v>
      </c>
      <c r="JSW1">
        <f>Database!JTP1</f>
        <v>0</v>
      </c>
      <c r="JSX1">
        <f>Database!JTQ1</f>
        <v>0</v>
      </c>
      <c r="JSY1">
        <f>Database!JTR1</f>
        <v>0</v>
      </c>
      <c r="JSZ1">
        <f>Database!JTS1</f>
        <v>0</v>
      </c>
      <c r="JTA1">
        <f>Database!JTT1</f>
        <v>0</v>
      </c>
      <c r="JTB1">
        <f>Database!JTU1</f>
        <v>0</v>
      </c>
      <c r="JTC1">
        <f>Database!JTV1</f>
        <v>0</v>
      </c>
      <c r="JTD1">
        <f>Database!JTW1</f>
        <v>0</v>
      </c>
      <c r="JTE1">
        <f>Database!JTX1</f>
        <v>0</v>
      </c>
      <c r="JTF1">
        <f>Database!JTY1</f>
        <v>0</v>
      </c>
      <c r="JTG1">
        <f>Database!JTZ1</f>
        <v>0</v>
      </c>
      <c r="JTH1">
        <f>Database!JUA1</f>
        <v>0</v>
      </c>
      <c r="JTI1">
        <f>Database!JUB1</f>
        <v>0</v>
      </c>
      <c r="JTJ1">
        <f>Database!JUC1</f>
        <v>0</v>
      </c>
      <c r="JTK1">
        <f>Database!JUD1</f>
        <v>0</v>
      </c>
      <c r="JTL1">
        <f>Database!JUE1</f>
        <v>0</v>
      </c>
      <c r="JTM1">
        <f>Database!JUF1</f>
        <v>0</v>
      </c>
      <c r="JTN1">
        <f>Database!JUG1</f>
        <v>0</v>
      </c>
      <c r="JTO1">
        <f>Database!JUH1</f>
        <v>0</v>
      </c>
      <c r="JTP1">
        <f>Database!JUI1</f>
        <v>0</v>
      </c>
      <c r="JTQ1">
        <f>Database!JUJ1</f>
        <v>0</v>
      </c>
      <c r="JTR1">
        <f>Database!JUK1</f>
        <v>0</v>
      </c>
      <c r="JTS1">
        <f>Database!JUL1</f>
        <v>0</v>
      </c>
      <c r="JTT1">
        <f>Database!JUM1</f>
        <v>0</v>
      </c>
      <c r="JTU1">
        <f>Database!JUN1</f>
        <v>0</v>
      </c>
      <c r="JTV1">
        <f>Database!JUO1</f>
        <v>0</v>
      </c>
      <c r="JTW1">
        <f>Database!JUP1</f>
        <v>0</v>
      </c>
      <c r="JTX1">
        <f>Database!JUQ1</f>
        <v>0</v>
      </c>
      <c r="JTY1">
        <f>Database!JUR1</f>
        <v>0</v>
      </c>
      <c r="JTZ1">
        <f>Database!JUS1</f>
        <v>0</v>
      </c>
      <c r="JUA1">
        <f>Database!JUT1</f>
        <v>0</v>
      </c>
      <c r="JUB1">
        <f>Database!JUU1</f>
        <v>0</v>
      </c>
      <c r="JUC1">
        <f>Database!JUV1</f>
        <v>0</v>
      </c>
      <c r="JUD1">
        <f>Database!JUW1</f>
        <v>0</v>
      </c>
      <c r="JUE1">
        <f>Database!JUX1</f>
        <v>0</v>
      </c>
      <c r="JUF1">
        <f>Database!JUY1</f>
        <v>0</v>
      </c>
      <c r="JUG1">
        <f>Database!JUZ1</f>
        <v>0</v>
      </c>
      <c r="JUH1">
        <f>Database!JVA1</f>
        <v>0</v>
      </c>
      <c r="JUI1">
        <f>Database!JVB1</f>
        <v>0</v>
      </c>
      <c r="JUJ1">
        <f>Database!JVC1</f>
        <v>0</v>
      </c>
      <c r="JUK1">
        <f>Database!JVD1</f>
        <v>0</v>
      </c>
      <c r="JUL1">
        <f>Database!JVE1</f>
        <v>0</v>
      </c>
      <c r="JUM1">
        <f>Database!JVF1</f>
        <v>0</v>
      </c>
      <c r="JUN1">
        <f>Database!JVG1</f>
        <v>0</v>
      </c>
      <c r="JUO1">
        <f>Database!JVH1</f>
        <v>0</v>
      </c>
      <c r="JUP1">
        <f>Database!JVI1</f>
        <v>0</v>
      </c>
      <c r="JUQ1">
        <f>Database!JVJ1</f>
        <v>0</v>
      </c>
      <c r="JUR1">
        <f>Database!JVK1</f>
        <v>0</v>
      </c>
      <c r="JUS1">
        <f>Database!JVL1</f>
        <v>0</v>
      </c>
      <c r="JUT1">
        <f>Database!JVM1</f>
        <v>0</v>
      </c>
      <c r="JUU1">
        <f>Database!JVN1</f>
        <v>0</v>
      </c>
      <c r="JUV1">
        <f>Database!JVO1</f>
        <v>0</v>
      </c>
      <c r="JUW1">
        <f>Database!JVP1</f>
        <v>0</v>
      </c>
      <c r="JUX1">
        <f>Database!JVQ1</f>
        <v>0</v>
      </c>
      <c r="JUY1">
        <f>Database!JVR1</f>
        <v>0</v>
      </c>
      <c r="JUZ1">
        <f>Database!JVS1</f>
        <v>0</v>
      </c>
      <c r="JVA1">
        <f>Database!JVT1</f>
        <v>0</v>
      </c>
      <c r="JVB1">
        <f>Database!JVU1</f>
        <v>0</v>
      </c>
      <c r="JVC1">
        <f>Database!JVV1</f>
        <v>0</v>
      </c>
      <c r="JVD1">
        <f>Database!JVW1</f>
        <v>0</v>
      </c>
      <c r="JVE1">
        <f>Database!JVX1</f>
        <v>0</v>
      </c>
      <c r="JVF1">
        <f>Database!JVY1</f>
        <v>0</v>
      </c>
      <c r="JVG1">
        <f>Database!JVZ1</f>
        <v>0</v>
      </c>
      <c r="JVH1">
        <f>Database!JWA1</f>
        <v>0</v>
      </c>
      <c r="JVI1">
        <f>Database!JWB1</f>
        <v>0</v>
      </c>
      <c r="JVJ1">
        <f>Database!JWC1</f>
        <v>0</v>
      </c>
      <c r="JVK1">
        <f>Database!JWD1</f>
        <v>0</v>
      </c>
      <c r="JVL1">
        <f>Database!JWE1</f>
        <v>0</v>
      </c>
      <c r="JVM1">
        <f>Database!JWF1</f>
        <v>0</v>
      </c>
      <c r="JVN1">
        <f>Database!JWG1</f>
        <v>0</v>
      </c>
      <c r="JVO1">
        <f>Database!JWH1</f>
        <v>0</v>
      </c>
      <c r="JVP1">
        <f>Database!JWI1</f>
        <v>0</v>
      </c>
      <c r="JVQ1">
        <f>Database!JWJ1</f>
        <v>0</v>
      </c>
      <c r="JVR1">
        <f>Database!JWK1</f>
        <v>0</v>
      </c>
      <c r="JVS1">
        <f>Database!JWL1</f>
        <v>0</v>
      </c>
      <c r="JVT1">
        <f>Database!JWM1</f>
        <v>0</v>
      </c>
      <c r="JVU1">
        <f>Database!JWN1</f>
        <v>0</v>
      </c>
      <c r="JVV1">
        <f>Database!JWO1</f>
        <v>0</v>
      </c>
      <c r="JVW1">
        <f>Database!JWP1</f>
        <v>0</v>
      </c>
      <c r="JVX1">
        <f>Database!JWQ1</f>
        <v>0</v>
      </c>
      <c r="JVY1">
        <f>Database!JWR1</f>
        <v>0</v>
      </c>
      <c r="JVZ1">
        <f>Database!JWS1</f>
        <v>0</v>
      </c>
      <c r="JWA1">
        <f>Database!JWT1</f>
        <v>0</v>
      </c>
      <c r="JWB1">
        <f>Database!JWU1</f>
        <v>0</v>
      </c>
      <c r="JWC1">
        <f>Database!JWV1</f>
        <v>0</v>
      </c>
      <c r="JWD1">
        <f>Database!JWW1</f>
        <v>0</v>
      </c>
      <c r="JWE1">
        <f>Database!JWX1</f>
        <v>0</v>
      </c>
      <c r="JWF1">
        <f>Database!JWY1</f>
        <v>0</v>
      </c>
      <c r="JWG1">
        <f>Database!JWZ1</f>
        <v>0</v>
      </c>
      <c r="JWH1">
        <f>Database!JXA1</f>
        <v>0</v>
      </c>
      <c r="JWI1">
        <f>Database!JXB1</f>
        <v>0</v>
      </c>
      <c r="JWJ1">
        <f>Database!JXC1</f>
        <v>0</v>
      </c>
      <c r="JWK1">
        <f>Database!JXD1</f>
        <v>0</v>
      </c>
      <c r="JWL1">
        <f>Database!JXE1</f>
        <v>0</v>
      </c>
      <c r="JWM1">
        <f>Database!JXF1</f>
        <v>0</v>
      </c>
      <c r="JWN1">
        <f>Database!JXG1</f>
        <v>0</v>
      </c>
      <c r="JWO1">
        <f>Database!JXH1</f>
        <v>0</v>
      </c>
      <c r="JWP1">
        <f>Database!JXI1</f>
        <v>0</v>
      </c>
      <c r="JWQ1">
        <f>Database!JXJ1</f>
        <v>0</v>
      </c>
      <c r="JWR1">
        <f>Database!JXK1</f>
        <v>0</v>
      </c>
      <c r="JWS1">
        <f>Database!JXL1</f>
        <v>0</v>
      </c>
      <c r="JWT1">
        <f>Database!JXM1</f>
        <v>0</v>
      </c>
      <c r="JWU1">
        <f>Database!JXN1</f>
        <v>0</v>
      </c>
      <c r="JWV1">
        <f>Database!JXO1</f>
        <v>0</v>
      </c>
      <c r="JWW1">
        <f>Database!JXP1</f>
        <v>0</v>
      </c>
      <c r="JWX1">
        <f>Database!JXQ1</f>
        <v>0</v>
      </c>
      <c r="JWY1">
        <f>Database!JXR1</f>
        <v>0</v>
      </c>
      <c r="JWZ1">
        <f>Database!JXS1</f>
        <v>0</v>
      </c>
      <c r="JXA1">
        <f>Database!JXT1</f>
        <v>0</v>
      </c>
      <c r="JXB1">
        <f>Database!JXU1</f>
        <v>0</v>
      </c>
      <c r="JXC1">
        <f>Database!JXV1</f>
        <v>0</v>
      </c>
      <c r="JXD1">
        <f>Database!JXW1</f>
        <v>0</v>
      </c>
      <c r="JXE1">
        <f>Database!JXX1</f>
        <v>0</v>
      </c>
      <c r="JXF1">
        <f>Database!JXY1</f>
        <v>0</v>
      </c>
      <c r="JXG1">
        <f>Database!JXZ1</f>
        <v>0</v>
      </c>
      <c r="JXH1">
        <f>Database!JYA1</f>
        <v>0</v>
      </c>
      <c r="JXI1">
        <f>Database!JYB1</f>
        <v>0</v>
      </c>
      <c r="JXJ1">
        <f>Database!JYC1</f>
        <v>0</v>
      </c>
      <c r="JXK1">
        <f>Database!JYD1</f>
        <v>0</v>
      </c>
      <c r="JXL1">
        <f>Database!JYE1</f>
        <v>0</v>
      </c>
      <c r="JXM1">
        <f>Database!JYF1</f>
        <v>0</v>
      </c>
      <c r="JXN1">
        <f>Database!JYG1</f>
        <v>0</v>
      </c>
      <c r="JXO1">
        <f>Database!JYH1</f>
        <v>0</v>
      </c>
      <c r="JXP1">
        <f>Database!JYI1</f>
        <v>0</v>
      </c>
      <c r="JXQ1">
        <f>Database!JYJ1</f>
        <v>0</v>
      </c>
      <c r="JXR1">
        <f>Database!JYK1</f>
        <v>0</v>
      </c>
      <c r="JXS1">
        <f>Database!JYL1</f>
        <v>0</v>
      </c>
      <c r="JXT1">
        <f>Database!JYM1</f>
        <v>0</v>
      </c>
      <c r="JXU1">
        <f>Database!JYN1</f>
        <v>0</v>
      </c>
      <c r="JXV1">
        <f>Database!JYO1</f>
        <v>0</v>
      </c>
      <c r="JXW1">
        <f>Database!JYP1</f>
        <v>0</v>
      </c>
      <c r="JXX1">
        <f>Database!JYQ1</f>
        <v>0</v>
      </c>
      <c r="JXY1">
        <f>Database!JYR1</f>
        <v>0</v>
      </c>
      <c r="JXZ1">
        <f>Database!JYS1</f>
        <v>0</v>
      </c>
      <c r="JYA1">
        <f>Database!JYT1</f>
        <v>0</v>
      </c>
      <c r="JYB1">
        <f>Database!JYU1</f>
        <v>0</v>
      </c>
      <c r="JYC1">
        <f>Database!JYV1</f>
        <v>0</v>
      </c>
      <c r="JYD1">
        <f>Database!JYW1</f>
        <v>0</v>
      </c>
      <c r="JYE1">
        <f>Database!JYX1</f>
        <v>0</v>
      </c>
      <c r="JYF1">
        <f>Database!JYY1</f>
        <v>0</v>
      </c>
      <c r="JYG1">
        <f>Database!JYZ1</f>
        <v>0</v>
      </c>
      <c r="JYH1">
        <f>Database!JZA1</f>
        <v>0</v>
      </c>
      <c r="JYI1">
        <f>Database!JZB1</f>
        <v>0</v>
      </c>
      <c r="JYJ1">
        <f>Database!JZC1</f>
        <v>0</v>
      </c>
      <c r="JYK1">
        <f>Database!JZD1</f>
        <v>0</v>
      </c>
      <c r="JYL1">
        <f>Database!JZE1</f>
        <v>0</v>
      </c>
      <c r="JYM1">
        <f>Database!JZF1</f>
        <v>0</v>
      </c>
      <c r="JYN1">
        <f>Database!JZG1</f>
        <v>0</v>
      </c>
      <c r="JYO1">
        <f>Database!JZH1</f>
        <v>0</v>
      </c>
      <c r="JYP1">
        <f>Database!JZI1</f>
        <v>0</v>
      </c>
      <c r="JYQ1">
        <f>Database!JZJ1</f>
        <v>0</v>
      </c>
      <c r="JYR1">
        <f>Database!JZK1</f>
        <v>0</v>
      </c>
      <c r="JYS1">
        <f>Database!JZL1</f>
        <v>0</v>
      </c>
      <c r="JYT1">
        <f>Database!JZM1</f>
        <v>0</v>
      </c>
      <c r="JYU1">
        <f>Database!JZN1</f>
        <v>0</v>
      </c>
      <c r="JYV1">
        <f>Database!JZO1</f>
        <v>0</v>
      </c>
      <c r="JYW1">
        <f>Database!JZP1</f>
        <v>0</v>
      </c>
      <c r="JYX1">
        <f>Database!JZQ1</f>
        <v>0</v>
      </c>
      <c r="JYY1">
        <f>Database!JZR1</f>
        <v>0</v>
      </c>
      <c r="JYZ1">
        <f>Database!JZS1</f>
        <v>0</v>
      </c>
      <c r="JZA1">
        <f>Database!JZT1</f>
        <v>0</v>
      </c>
      <c r="JZB1">
        <f>Database!JZU1</f>
        <v>0</v>
      </c>
      <c r="JZC1">
        <f>Database!JZV1</f>
        <v>0</v>
      </c>
      <c r="JZD1">
        <f>Database!JZW1</f>
        <v>0</v>
      </c>
      <c r="JZE1">
        <f>Database!JZX1</f>
        <v>0</v>
      </c>
      <c r="JZF1">
        <f>Database!JZY1</f>
        <v>0</v>
      </c>
      <c r="JZG1">
        <f>Database!JZZ1</f>
        <v>0</v>
      </c>
      <c r="JZH1">
        <f>Database!KAA1</f>
        <v>0</v>
      </c>
      <c r="JZI1">
        <f>Database!KAB1</f>
        <v>0</v>
      </c>
      <c r="JZJ1">
        <f>Database!KAC1</f>
        <v>0</v>
      </c>
      <c r="JZK1">
        <f>Database!KAD1</f>
        <v>0</v>
      </c>
      <c r="JZL1">
        <f>Database!KAE1</f>
        <v>0</v>
      </c>
      <c r="JZM1">
        <f>Database!KAF1</f>
        <v>0</v>
      </c>
      <c r="JZN1">
        <f>Database!KAG1</f>
        <v>0</v>
      </c>
      <c r="JZO1">
        <f>Database!KAH1</f>
        <v>0</v>
      </c>
      <c r="JZP1">
        <f>Database!KAI1</f>
        <v>0</v>
      </c>
      <c r="JZQ1">
        <f>Database!KAJ1</f>
        <v>0</v>
      </c>
      <c r="JZR1">
        <f>Database!KAK1</f>
        <v>0</v>
      </c>
      <c r="JZS1">
        <f>Database!KAL1</f>
        <v>0</v>
      </c>
      <c r="JZT1">
        <f>Database!KAM1</f>
        <v>0</v>
      </c>
      <c r="JZU1">
        <f>Database!KAN1</f>
        <v>0</v>
      </c>
      <c r="JZV1">
        <f>Database!KAO1</f>
        <v>0</v>
      </c>
      <c r="JZW1">
        <f>Database!KAP1</f>
        <v>0</v>
      </c>
      <c r="JZX1">
        <f>Database!KAQ1</f>
        <v>0</v>
      </c>
      <c r="JZY1">
        <f>Database!KAR1</f>
        <v>0</v>
      </c>
      <c r="JZZ1">
        <f>Database!KAS1</f>
        <v>0</v>
      </c>
      <c r="KAA1">
        <f>Database!KAT1</f>
        <v>0</v>
      </c>
      <c r="KAB1">
        <f>Database!KAU1</f>
        <v>0</v>
      </c>
      <c r="KAC1">
        <f>Database!KAV1</f>
        <v>0</v>
      </c>
      <c r="KAD1">
        <f>Database!KAW1</f>
        <v>0</v>
      </c>
      <c r="KAE1">
        <f>Database!KAX1</f>
        <v>0</v>
      </c>
      <c r="KAF1">
        <f>Database!KAY1</f>
        <v>0</v>
      </c>
      <c r="KAG1">
        <f>Database!KAZ1</f>
        <v>0</v>
      </c>
      <c r="KAH1">
        <f>Database!KBA1</f>
        <v>0</v>
      </c>
      <c r="KAI1">
        <f>Database!KBB1</f>
        <v>0</v>
      </c>
      <c r="KAJ1">
        <f>Database!KBC1</f>
        <v>0</v>
      </c>
      <c r="KAK1">
        <f>Database!KBD1</f>
        <v>0</v>
      </c>
      <c r="KAL1">
        <f>Database!KBE1</f>
        <v>0</v>
      </c>
      <c r="KAM1">
        <f>Database!KBF1</f>
        <v>0</v>
      </c>
      <c r="KAN1">
        <f>Database!KBG1</f>
        <v>0</v>
      </c>
      <c r="KAO1">
        <f>Database!KBH1</f>
        <v>0</v>
      </c>
      <c r="KAP1">
        <f>Database!KBI1</f>
        <v>0</v>
      </c>
      <c r="KAQ1">
        <f>Database!KBJ1</f>
        <v>0</v>
      </c>
      <c r="KAR1">
        <f>Database!KBK1</f>
        <v>0</v>
      </c>
      <c r="KAS1">
        <f>Database!KBL1</f>
        <v>0</v>
      </c>
      <c r="KAT1">
        <f>Database!KBM1</f>
        <v>0</v>
      </c>
      <c r="KAU1">
        <f>Database!KBN1</f>
        <v>0</v>
      </c>
      <c r="KAV1">
        <f>Database!KBO1</f>
        <v>0</v>
      </c>
      <c r="KAW1">
        <f>Database!KBP1</f>
        <v>0</v>
      </c>
      <c r="KAX1">
        <f>Database!KBQ1</f>
        <v>0</v>
      </c>
      <c r="KAY1">
        <f>Database!KBR1</f>
        <v>0</v>
      </c>
      <c r="KAZ1">
        <f>Database!KBS1</f>
        <v>0</v>
      </c>
      <c r="KBA1">
        <f>Database!KBT1</f>
        <v>0</v>
      </c>
      <c r="KBB1">
        <f>Database!KBU1</f>
        <v>0</v>
      </c>
      <c r="KBC1">
        <f>Database!KBV1</f>
        <v>0</v>
      </c>
      <c r="KBD1">
        <f>Database!KBW1</f>
        <v>0</v>
      </c>
      <c r="KBE1">
        <f>Database!KBX1</f>
        <v>0</v>
      </c>
      <c r="KBF1">
        <f>Database!KBY1</f>
        <v>0</v>
      </c>
      <c r="KBG1">
        <f>Database!KBZ1</f>
        <v>0</v>
      </c>
      <c r="KBH1">
        <f>Database!KCA1</f>
        <v>0</v>
      </c>
      <c r="KBI1">
        <f>Database!KCB1</f>
        <v>0</v>
      </c>
      <c r="KBJ1">
        <f>Database!KCC1</f>
        <v>0</v>
      </c>
      <c r="KBK1">
        <f>Database!KCD1</f>
        <v>0</v>
      </c>
      <c r="KBL1">
        <f>Database!KCE1</f>
        <v>0</v>
      </c>
      <c r="KBM1">
        <f>Database!KCF1</f>
        <v>0</v>
      </c>
      <c r="KBN1">
        <f>Database!KCG1</f>
        <v>0</v>
      </c>
      <c r="KBO1">
        <f>Database!KCH1</f>
        <v>0</v>
      </c>
      <c r="KBP1">
        <f>Database!KCI1</f>
        <v>0</v>
      </c>
      <c r="KBQ1">
        <f>Database!KCJ1</f>
        <v>0</v>
      </c>
      <c r="KBR1">
        <f>Database!KCK1</f>
        <v>0</v>
      </c>
      <c r="KBS1">
        <f>Database!KCL1</f>
        <v>0</v>
      </c>
      <c r="KBT1">
        <f>Database!KCM1</f>
        <v>0</v>
      </c>
      <c r="KBU1">
        <f>Database!KCN1</f>
        <v>0</v>
      </c>
      <c r="KBV1">
        <f>Database!KCO1</f>
        <v>0</v>
      </c>
      <c r="KBW1">
        <f>Database!KCP1</f>
        <v>0</v>
      </c>
      <c r="KBX1">
        <f>Database!KCQ1</f>
        <v>0</v>
      </c>
      <c r="KBY1">
        <f>Database!KCR1</f>
        <v>0</v>
      </c>
      <c r="KBZ1">
        <f>Database!KCS1</f>
        <v>0</v>
      </c>
      <c r="KCA1">
        <f>Database!KCT1</f>
        <v>0</v>
      </c>
      <c r="KCB1">
        <f>Database!KCU1</f>
        <v>0</v>
      </c>
      <c r="KCC1">
        <f>Database!KCV1</f>
        <v>0</v>
      </c>
      <c r="KCD1">
        <f>Database!KCW1</f>
        <v>0</v>
      </c>
      <c r="KCE1">
        <f>Database!KCX1</f>
        <v>0</v>
      </c>
      <c r="KCF1">
        <f>Database!KCY1</f>
        <v>0</v>
      </c>
      <c r="KCG1">
        <f>Database!KCZ1</f>
        <v>0</v>
      </c>
      <c r="KCH1">
        <f>Database!KDA1</f>
        <v>0</v>
      </c>
      <c r="KCI1">
        <f>Database!KDB1</f>
        <v>0</v>
      </c>
      <c r="KCJ1">
        <f>Database!KDC1</f>
        <v>0</v>
      </c>
      <c r="KCK1">
        <f>Database!KDD1</f>
        <v>0</v>
      </c>
      <c r="KCL1">
        <f>Database!KDE1</f>
        <v>0</v>
      </c>
      <c r="KCM1">
        <f>Database!KDF1</f>
        <v>0</v>
      </c>
      <c r="KCN1">
        <f>Database!KDG1</f>
        <v>0</v>
      </c>
      <c r="KCO1">
        <f>Database!KDH1</f>
        <v>0</v>
      </c>
      <c r="KCP1">
        <f>Database!KDI1</f>
        <v>0</v>
      </c>
      <c r="KCQ1">
        <f>Database!KDJ1</f>
        <v>0</v>
      </c>
      <c r="KCR1">
        <f>Database!KDK1</f>
        <v>0</v>
      </c>
      <c r="KCS1">
        <f>Database!KDL1</f>
        <v>0</v>
      </c>
      <c r="KCT1">
        <f>Database!KDM1</f>
        <v>0</v>
      </c>
      <c r="KCU1">
        <f>Database!KDN1</f>
        <v>0</v>
      </c>
      <c r="KCV1">
        <f>Database!KDO1</f>
        <v>0</v>
      </c>
      <c r="KCW1">
        <f>Database!KDP1</f>
        <v>0</v>
      </c>
      <c r="KCX1">
        <f>Database!KDQ1</f>
        <v>0</v>
      </c>
      <c r="KCY1">
        <f>Database!KDR1</f>
        <v>0</v>
      </c>
      <c r="KCZ1">
        <f>Database!KDS1</f>
        <v>0</v>
      </c>
      <c r="KDA1">
        <f>Database!KDT1</f>
        <v>0</v>
      </c>
      <c r="KDB1">
        <f>Database!KDU1</f>
        <v>0</v>
      </c>
      <c r="KDC1">
        <f>Database!KDV1</f>
        <v>0</v>
      </c>
      <c r="KDD1">
        <f>Database!KDW1</f>
        <v>0</v>
      </c>
      <c r="KDE1">
        <f>Database!KDX1</f>
        <v>0</v>
      </c>
      <c r="KDF1">
        <f>Database!KDY1</f>
        <v>0</v>
      </c>
      <c r="KDG1">
        <f>Database!KDZ1</f>
        <v>0</v>
      </c>
      <c r="KDH1">
        <f>Database!KEA1</f>
        <v>0</v>
      </c>
      <c r="KDI1">
        <f>Database!KEB1</f>
        <v>0</v>
      </c>
      <c r="KDJ1">
        <f>Database!KEC1</f>
        <v>0</v>
      </c>
      <c r="KDK1">
        <f>Database!KED1</f>
        <v>0</v>
      </c>
      <c r="KDL1">
        <f>Database!KEE1</f>
        <v>0</v>
      </c>
      <c r="KDM1">
        <f>Database!KEF1</f>
        <v>0</v>
      </c>
      <c r="KDN1">
        <f>Database!KEG1</f>
        <v>0</v>
      </c>
      <c r="KDO1">
        <f>Database!KEH1</f>
        <v>0</v>
      </c>
      <c r="KDP1">
        <f>Database!KEI1</f>
        <v>0</v>
      </c>
      <c r="KDQ1">
        <f>Database!KEJ1</f>
        <v>0</v>
      </c>
      <c r="KDR1">
        <f>Database!KEK1</f>
        <v>0</v>
      </c>
      <c r="KDS1">
        <f>Database!KEL1</f>
        <v>0</v>
      </c>
      <c r="KDT1">
        <f>Database!KEM1</f>
        <v>0</v>
      </c>
      <c r="KDU1">
        <f>Database!KEN1</f>
        <v>0</v>
      </c>
      <c r="KDV1">
        <f>Database!KEO1</f>
        <v>0</v>
      </c>
      <c r="KDW1">
        <f>Database!KEP1</f>
        <v>0</v>
      </c>
      <c r="KDX1">
        <f>Database!KEQ1</f>
        <v>0</v>
      </c>
      <c r="KDY1">
        <f>Database!KER1</f>
        <v>0</v>
      </c>
      <c r="KDZ1">
        <f>Database!KES1</f>
        <v>0</v>
      </c>
      <c r="KEA1">
        <f>Database!KET1</f>
        <v>0</v>
      </c>
      <c r="KEB1">
        <f>Database!KEU1</f>
        <v>0</v>
      </c>
      <c r="KEC1">
        <f>Database!KEV1</f>
        <v>0</v>
      </c>
      <c r="KED1">
        <f>Database!KEW1</f>
        <v>0</v>
      </c>
      <c r="KEE1">
        <f>Database!KEX1</f>
        <v>0</v>
      </c>
      <c r="KEF1">
        <f>Database!KEY1</f>
        <v>0</v>
      </c>
      <c r="KEG1">
        <f>Database!KEZ1</f>
        <v>0</v>
      </c>
      <c r="KEH1">
        <f>Database!KFA1</f>
        <v>0</v>
      </c>
      <c r="KEI1">
        <f>Database!KFB1</f>
        <v>0</v>
      </c>
      <c r="KEJ1">
        <f>Database!KFC1</f>
        <v>0</v>
      </c>
      <c r="KEK1">
        <f>Database!KFD1</f>
        <v>0</v>
      </c>
      <c r="KEL1">
        <f>Database!KFE1</f>
        <v>0</v>
      </c>
      <c r="KEM1">
        <f>Database!KFF1</f>
        <v>0</v>
      </c>
      <c r="KEN1">
        <f>Database!KFG1</f>
        <v>0</v>
      </c>
      <c r="KEO1">
        <f>Database!KFH1</f>
        <v>0</v>
      </c>
      <c r="KEP1">
        <f>Database!KFI1</f>
        <v>0</v>
      </c>
      <c r="KEQ1">
        <f>Database!KFJ1</f>
        <v>0</v>
      </c>
      <c r="KER1">
        <f>Database!KFK1</f>
        <v>0</v>
      </c>
      <c r="KES1">
        <f>Database!KFL1</f>
        <v>0</v>
      </c>
      <c r="KET1">
        <f>Database!KFM1</f>
        <v>0</v>
      </c>
      <c r="KEU1">
        <f>Database!KFN1</f>
        <v>0</v>
      </c>
      <c r="KEV1">
        <f>Database!KFO1</f>
        <v>0</v>
      </c>
      <c r="KEW1">
        <f>Database!KFP1</f>
        <v>0</v>
      </c>
      <c r="KEX1">
        <f>Database!KFQ1</f>
        <v>0</v>
      </c>
      <c r="KEY1">
        <f>Database!KFR1</f>
        <v>0</v>
      </c>
      <c r="KEZ1">
        <f>Database!KFS1</f>
        <v>0</v>
      </c>
      <c r="KFA1">
        <f>Database!KFT1</f>
        <v>0</v>
      </c>
      <c r="KFB1">
        <f>Database!KFU1</f>
        <v>0</v>
      </c>
      <c r="KFC1">
        <f>Database!KFV1</f>
        <v>0</v>
      </c>
      <c r="KFD1">
        <f>Database!KFW1</f>
        <v>0</v>
      </c>
      <c r="KFE1">
        <f>Database!KFX1</f>
        <v>0</v>
      </c>
      <c r="KFF1">
        <f>Database!KFY1</f>
        <v>0</v>
      </c>
      <c r="KFG1">
        <f>Database!KFZ1</f>
        <v>0</v>
      </c>
      <c r="KFH1">
        <f>Database!KGA1</f>
        <v>0</v>
      </c>
      <c r="KFI1">
        <f>Database!KGB1</f>
        <v>0</v>
      </c>
      <c r="KFJ1">
        <f>Database!KGC1</f>
        <v>0</v>
      </c>
      <c r="KFK1">
        <f>Database!KGD1</f>
        <v>0</v>
      </c>
      <c r="KFL1">
        <f>Database!KGE1</f>
        <v>0</v>
      </c>
      <c r="KFM1">
        <f>Database!KGF1</f>
        <v>0</v>
      </c>
      <c r="KFN1">
        <f>Database!KGG1</f>
        <v>0</v>
      </c>
      <c r="KFO1">
        <f>Database!KGH1</f>
        <v>0</v>
      </c>
      <c r="KFP1">
        <f>Database!KGI1</f>
        <v>0</v>
      </c>
      <c r="KFQ1">
        <f>Database!KGJ1</f>
        <v>0</v>
      </c>
      <c r="KFR1">
        <f>Database!KGK1</f>
        <v>0</v>
      </c>
      <c r="KFS1">
        <f>Database!KGL1</f>
        <v>0</v>
      </c>
      <c r="KFT1">
        <f>Database!KGM1</f>
        <v>0</v>
      </c>
      <c r="KFU1">
        <f>Database!KGN1</f>
        <v>0</v>
      </c>
      <c r="KFV1">
        <f>Database!KGO1</f>
        <v>0</v>
      </c>
      <c r="KFW1">
        <f>Database!KGP1</f>
        <v>0</v>
      </c>
      <c r="KFX1">
        <f>Database!KGQ1</f>
        <v>0</v>
      </c>
      <c r="KFY1">
        <f>Database!KGR1</f>
        <v>0</v>
      </c>
      <c r="KFZ1">
        <f>Database!KGS1</f>
        <v>0</v>
      </c>
      <c r="KGA1">
        <f>Database!KGT1</f>
        <v>0</v>
      </c>
      <c r="KGB1">
        <f>Database!KGU1</f>
        <v>0</v>
      </c>
      <c r="KGC1">
        <f>Database!KGV1</f>
        <v>0</v>
      </c>
      <c r="KGD1">
        <f>Database!KGW1</f>
        <v>0</v>
      </c>
      <c r="KGE1">
        <f>Database!KGX1</f>
        <v>0</v>
      </c>
      <c r="KGF1">
        <f>Database!KGY1</f>
        <v>0</v>
      </c>
      <c r="KGG1">
        <f>Database!KGZ1</f>
        <v>0</v>
      </c>
      <c r="KGH1">
        <f>Database!KHA1</f>
        <v>0</v>
      </c>
      <c r="KGI1">
        <f>Database!KHB1</f>
        <v>0</v>
      </c>
      <c r="KGJ1">
        <f>Database!KHC1</f>
        <v>0</v>
      </c>
      <c r="KGK1">
        <f>Database!KHD1</f>
        <v>0</v>
      </c>
      <c r="KGL1">
        <f>Database!KHE1</f>
        <v>0</v>
      </c>
      <c r="KGM1">
        <f>Database!KHF1</f>
        <v>0</v>
      </c>
      <c r="KGN1">
        <f>Database!KHG1</f>
        <v>0</v>
      </c>
      <c r="KGO1">
        <f>Database!KHH1</f>
        <v>0</v>
      </c>
      <c r="KGP1">
        <f>Database!KHI1</f>
        <v>0</v>
      </c>
      <c r="KGQ1">
        <f>Database!KHJ1</f>
        <v>0</v>
      </c>
      <c r="KGR1">
        <f>Database!KHK1</f>
        <v>0</v>
      </c>
      <c r="KGS1">
        <f>Database!KHL1</f>
        <v>0</v>
      </c>
      <c r="KGT1">
        <f>Database!KHM1</f>
        <v>0</v>
      </c>
      <c r="KGU1">
        <f>Database!KHN1</f>
        <v>0</v>
      </c>
      <c r="KGV1">
        <f>Database!KHO1</f>
        <v>0</v>
      </c>
      <c r="KGW1">
        <f>Database!KHP1</f>
        <v>0</v>
      </c>
      <c r="KGX1">
        <f>Database!KHQ1</f>
        <v>0</v>
      </c>
      <c r="KGY1">
        <f>Database!KHR1</f>
        <v>0</v>
      </c>
      <c r="KGZ1">
        <f>Database!KHS1</f>
        <v>0</v>
      </c>
      <c r="KHA1">
        <f>Database!KHT1</f>
        <v>0</v>
      </c>
      <c r="KHB1">
        <f>Database!KHU1</f>
        <v>0</v>
      </c>
      <c r="KHC1">
        <f>Database!KHV1</f>
        <v>0</v>
      </c>
      <c r="KHD1">
        <f>Database!KHW1</f>
        <v>0</v>
      </c>
      <c r="KHE1">
        <f>Database!KHX1</f>
        <v>0</v>
      </c>
      <c r="KHF1">
        <f>Database!KHY1</f>
        <v>0</v>
      </c>
      <c r="KHG1">
        <f>Database!KHZ1</f>
        <v>0</v>
      </c>
      <c r="KHH1">
        <f>Database!KIA1</f>
        <v>0</v>
      </c>
      <c r="KHI1">
        <f>Database!KIB1</f>
        <v>0</v>
      </c>
      <c r="KHJ1">
        <f>Database!KIC1</f>
        <v>0</v>
      </c>
      <c r="KHK1">
        <f>Database!KID1</f>
        <v>0</v>
      </c>
      <c r="KHL1">
        <f>Database!KIE1</f>
        <v>0</v>
      </c>
      <c r="KHM1">
        <f>Database!KIF1</f>
        <v>0</v>
      </c>
      <c r="KHN1">
        <f>Database!KIG1</f>
        <v>0</v>
      </c>
      <c r="KHO1">
        <f>Database!KIH1</f>
        <v>0</v>
      </c>
      <c r="KHP1">
        <f>Database!KII1</f>
        <v>0</v>
      </c>
      <c r="KHQ1">
        <f>Database!KIJ1</f>
        <v>0</v>
      </c>
      <c r="KHR1">
        <f>Database!KIK1</f>
        <v>0</v>
      </c>
      <c r="KHS1">
        <f>Database!KIL1</f>
        <v>0</v>
      </c>
      <c r="KHT1">
        <f>Database!KIM1</f>
        <v>0</v>
      </c>
      <c r="KHU1">
        <f>Database!KIN1</f>
        <v>0</v>
      </c>
      <c r="KHV1">
        <f>Database!KIO1</f>
        <v>0</v>
      </c>
      <c r="KHW1">
        <f>Database!KIP1</f>
        <v>0</v>
      </c>
      <c r="KHX1">
        <f>Database!KIQ1</f>
        <v>0</v>
      </c>
      <c r="KHY1">
        <f>Database!KIR1</f>
        <v>0</v>
      </c>
      <c r="KHZ1">
        <f>Database!KIS1</f>
        <v>0</v>
      </c>
      <c r="KIA1">
        <f>Database!KIT1</f>
        <v>0</v>
      </c>
      <c r="KIB1">
        <f>Database!KIU1</f>
        <v>0</v>
      </c>
      <c r="KIC1">
        <f>Database!KIV1</f>
        <v>0</v>
      </c>
      <c r="KID1">
        <f>Database!KIW1</f>
        <v>0</v>
      </c>
      <c r="KIE1">
        <f>Database!KIX1</f>
        <v>0</v>
      </c>
      <c r="KIF1">
        <f>Database!KIY1</f>
        <v>0</v>
      </c>
      <c r="KIG1">
        <f>Database!KIZ1</f>
        <v>0</v>
      </c>
      <c r="KIH1">
        <f>Database!KJA1</f>
        <v>0</v>
      </c>
      <c r="KII1">
        <f>Database!KJB1</f>
        <v>0</v>
      </c>
      <c r="KIJ1">
        <f>Database!KJC1</f>
        <v>0</v>
      </c>
      <c r="KIK1">
        <f>Database!KJD1</f>
        <v>0</v>
      </c>
      <c r="KIL1">
        <f>Database!KJE1</f>
        <v>0</v>
      </c>
      <c r="KIM1">
        <f>Database!KJF1</f>
        <v>0</v>
      </c>
      <c r="KIN1">
        <f>Database!KJG1</f>
        <v>0</v>
      </c>
      <c r="KIO1">
        <f>Database!KJH1</f>
        <v>0</v>
      </c>
      <c r="KIP1">
        <f>Database!KJI1</f>
        <v>0</v>
      </c>
      <c r="KIQ1">
        <f>Database!KJJ1</f>
        <v>0</v>
      </c>
      <c r="KIR1">
        <f>Database!KJK1</f>
        <v>0</v>
      </c>
      <c r="KIS1">
        <f>Database!KJL1</f>
        <v>0</v>
      </c>
      <c r="KIT1">
        <f>Database!KJM1</f>
        <v>0</v>
      </c>
      <c r="KIU1">
        <f>Database!KJN1</f>
        <v>0</v>
      </c>
      <c r="KIV1">
        <f>Database!KJO1</f>
        <v>0</v>
      </c>
      <c r="KIW1">
        <f>Database!KJP1</f>
        <v>0</v>
      </c>
      <c r="KIX1">
        <f>Database!KJQ1</f>
        <v>0</v>
      </c>
      <c r="KIY1">
        <f>Database!KJR1</f>
        <v>0</v>
      </c>
      <c r="KIZ1">
        <f>Database!KJS1</f>
        <v>0</v>
      </c>
      <c r="KJA1">
        <f>Database!KJT1</f>
        <v>0</v>
      </c>
      <c r="KJB1">
        <f>Database!KJU1</f>
        <v>0</v>
      </c>
      <c r="KJC1">
        <f>Database!KJV1</f>
        <v>0</v>
      </c>
      <c r="KJD1">
        <f>Database!KJW1</f>
        <v>0</v>
      </c>
      <c r="KJE1">
        <f>Database!KJX1</f>
        <v>0</v>
      </c>
      <c r="KJF1">
        <f>Database!KJY1</f>
        <v>0</v>
      </c>
      <c r="KJG1">
        <f>Database!KJZ1</f>
        <v>0</v>
      </c>
      <c r="KJH1">
        <f>Database!KKA1</f>
        <v>0</v>
      </c>
      <c r="KJI1">
        <f>Database!KKB1</f>
        <v>0</v>
      </c>
      <c r="KJJ1">
        <f>Database!KKC1</f>
        <v>0</v>
      </c>
      <c r="KJK1">
        <f>Database!KKD1</f>
        <v>0</v>
      </c>
      <c r="KJL1">
        <f>Database!KKE1</f>
        <v>0</v>
      </c>
      <c r="KJM1">
        <f>Database!KKF1</f>
        <v>0</v>
      </c>
      <c r="KJN1">
        <f>Database!KKG1</f>
        <v>0</v>
      </c>
      <c r="KJO1">
        <f>Database!KKH1</f>
        <v>0</v>
      </c>
      <c r="KJP1">
        <f>Database!KKI1</f>
        <v>0</v>
      </c>
      <c r="KJQ1">
        <f>Database!KKJ1</f>
        <v>0</v>
      </c>
      <c r="KJR1">
        <f>Database!KKK1</f>
        <v>0</v>
      </c>
      <c r="KJS1">
        <f>Database!KKL1</f>
        <v>0</v>
      </c>
      <c r="KJT1">
        <f>Database!KKM1</f>
        <v>0</v>
      </c>
      <c r="KJU1">
        <f>Database!KKN1</f>
        <v>0</v>
      </c>
      <c r="KJV1">
        <f>Database!KKO1</f>
        <v>0</v>
      </c>
      <c r="KJW1">
        <f>Database!KKP1</f>
        <v>0</v>
      </c>
      <c r="KJX1">
        <f>Database!KKQ1</f>
        <v>0</v>
      </c>
      <c r="KJY1">
        <f>Database!KKR1</f>
        <v>0</v>
      </c>
      <c r="KJZ1">
        <f>Database!KKS1</f>
        <v>0</v>
      </c>
      <c r="KKA1">
        <f>Database!KKT1</f>
        <v>0</v>
      </c>
      <c r="KKB1">
        <f>Database!KKU1</f>
        <v>0</v>
      </c>
      <c r="KKC1">
        <f>Database!KKV1</f>
        <v>0</v>
      </c>
      <c r="KKD1">
        <f>Database!KKW1</f>
        <v>0</v>
      </c>
      <c r="KKE1">
        <f>Database!KKX1</f>
        <v>0</v>
      </c>
      <c r="KKF1">
        <f>Database!KKY1</f>
        <v>0</v>
      </c>
      <c r="KKG1">
        <f>Database!KKZ1</f>
        <v>0</v>
      </c>
      <c r="KKH1">
        <f>Database!KLA1</f>
        <v>0</v>
      </c>
      <c r="KKI1">
        <f>Database!KLB1</f>
        <v>0</v>
      </c>
      <c r="KKJ1">
        <f>Database!KLC1</f>
        <v>0</v>
      </c>
      <c r="KKK1">
        <f>Database!KLD1</f>
        <v>0</v>
      </c>
      <c r="KKL1">
        <f>Database!KLE1</f>
        <v>0</v>
      </c>
      <c r="KKM1">
        <f>Database!KLF1</f>
        <v>0</v>
      </c>
      <c r="KKN1">
        <f>Database!KLG1</f>
        <v>0</v>
      </c>
      <c r="KKO1">
        <f>Database!KLH1</f>
        <v>0</v>
      </c>
      <c r="KKP1">
        <f>Database!KLI1</f>
        <v>0</v>
      </c>
      <c r="KKQ1">
        <f>Database!KLJ1</f>
        <v>0</v>
      </c>
      <c r="KKR1">
        <f>Database!KLK1</f>
        <v>0</v>
      </c>
      <c r="KKS1">
        <f>Database!KLL1</f>
        <v>0</v>
      </c>
      <c r="KKT1">
        <f>Database!KLM1</f>
        <v>0</v>
      </c>
      <c r="KKU1">
        <f>Database!KLN1</f>
        <v>0</v>
      </c>
      <c r="KKV1">
        <f>Database!KLO1</f>
        <v>0</v>
      </c>
      <c r="KKW1">
        <f>Database!KLP1</f>
        <v>0</v>
      </c>
      <c r="KKX1">
        <f>Database!KLQ1</f>
        <v>0</v>
      </c>
      <c r="KKY1">
        <f>Database!KLR1</f>
        <v>0</v>
      </c>
      <c r="KKZ1">
        <f>Database!KLS1</f>
        <v>0</v>
      </c>
      <c r="KLA1">
        <f>Database!KLT1</f>
        <v>0</v>
      </c>
      <c r="KLB1">
        <f>Database!KLU1</f>
        <v>0</v>
      </c>
      <c r="KLC1">
        <f>Database!KLV1</f>
        <v>0</v>
      </c>
      <c r="KLD1">
        <f>Database!KLW1</f>
        <v>0</v>
      </c>
      <c r="KLE1">
        <f>Database!KLX1</f>
        <v>0</v>
      </c>
      <c r="KLF1">
        <f>Database!KLY1</f>
        <v>0</v>
      </c>
      <c r="KLG1">
        <f>Database!KLZ1</f>
        <v>0</v>
      </c>
      <c r="KLH1">
        <f>Database!KMA1</f>
        <v>0</v>
      </c>
      <c r="KLI1">
        <f>Database!KMB1</f>
        <v>0</v>
      </c>
      <c r="KLJ1">
        <f>Database!KMC1</f>
        <v>0</v>
      </c>
      <c r="KLK1">
        <f>Database!KMD1</f>
        <v>0</v>
      </c>
      <c r="KLL1">
        <f>Database!KME1</f>
        <v>0</v>
      </c>
      <c r="KLM1">
        <f>Database!KMF1</f>
        <v>0</v>
      </c>
      <c r="KLN1">
        <f>Database!KMG1</f>
        <v>0</v>
      </c>
      <c r="KLO1">
        <f>Database!KMH1</f>
        <v>0</v>
      </c>
      <c r="KLP1">
        <f>Database!KMI1</f>
        <v>0</v>
      </c>
      <c r="KLQ1">
        <f>Database!KMJ1</f>
        <v>0</v>
      </c>
      <c r="KLR1">
        <f>Database!KMK1</f>
        <v>0</v>
      </c>
      <c r="KLS1">
        <f>Database!KML1</f>
        <v>0</v>
      </c>
      <c r="KLT1">
        <f>Database!KMM1</f>
        <v>0</v>
      </c>
      <c r="KLU1">
        <f>Database!KMN1</f>
        <v>0</v>
      </c>
      <c r="KLV1">
        <f>Database!KMO1</f>
        <v>0</v>
      </c>
      <c r="KLW1">
        <f>Database!KMP1</f>
        <v>0</v>
      </c>
      <c r="KLX1">
        <f>Database!KMQ1</f>
        <v>0</v>
      </c>
      <c r="KLY1">
        <f>Database!KMR1</f>
        <v>0</v>
      </c>
      <c r="KLZ1">
        <f>Database!KMS1</f>
        <v>0</v>
      </c>
      <c r="KMA1">
        <f>Database!KMT1</f>
        <v>0</v>
      </c>
      <c r="KMB1">
        <f>Database!KMU1</f>
        <v>0</v>
      </c>
      <c r="KMC1">
        <f>Database!KMV1</f>
        <v>0</v>
      </c>
      <c r="KMD1">
        <f>Database!KMW1</f>
        <v>0</v>
      </c>
      <c r="KME1">
        <f>Database!KMX1</f>
        <v>0</v>
      </c>
      <c r="KMF1">
        <f>Database!KMY1</f>
        <v>0</v>
      </c>
      <c r="KMG1">
        <f>Database!KMZ1</f>
        <v>0</v>
      </c>
      <c r="KMH1">
        <f>Database!KNA1</f>
        <v>0</v>
      </c>
      <c r="KMI1">
        <f>Database!KNB1</f>
        <v>0</v>
      </c>
      <c r="KMJ1">
        <f>Database!KNC1</f>
        <v>0</v>
      </c>
      <c r="KMK1">
        <f>Database!KND1</f>
        <v>0</v>
      </c>
      <c r="KML1">
        <f>Database!KNE1</f>
        <v>0</v>
      </c>
      <c r="KMM1">
        <f>Database!KNF1</f>
        <v>0</v>
      </c>
      <c r="KMN1">
        <f>Database!KNG1</f>
        <v>0</v>
      </c>
      <c r="KMO1">
        <f>Database!KNH1</f>
        <v>0</v>
      </c>
      <c r="KMP1">
        <f>Database!KNI1</f>
        <v>0</v>
      </c>
      <c r="KMQ1">
        <f>Database!KNJ1</f>
        <v>0</v>
      </c>
      <c r="KMR1">
        <f>Database!KNK1</f>
        <v>0</v>
      </c>
      <c r="KMS1">
        <f>Database!KNL1</f>
        <v>0</v>
      </c>
      <c r="KMT1">
        <f>Database!KNM1</f>
        <v>0</v>
      </c>
      <c r="KMU1">
        <f>Database!KNN1</f>
        <v>0</v>
      </c>
      <c r="KMV1">
        <f>Database!KNO1</f>
        <v>0</v>
      </c>
      <c r="KMW1">
        <f>Database!KNP1</f>
        <v>0</v>
      </c>
      <c r="KMX1">
        <f>Database!KNQ1</f>
        <v>0</v>
      </c>
      <c r="KMY1">
        <f>Database!KNR1</f>
        <v>0</v>
      </c>
      <c r="KMZ1">
        <f>Database!KNS1</f>
        <v>0</v>
      </c>
      <c r="KNA1">
        <f>Database!KNT1</f>
        <v>0</v>
      </c>
      <c r="KNB1">
        <f>Database!KNU1</f>
        <v>0</v>
      </c>
      <c r="KNC1">
        <f>Database!KNV1</f>
        <v>0</v>
      </c>
      <c r="KND1">
        <f>Database!KNW1</f>
        <v>0</v>
      </c>
      <c r="KNE1">
        <f>Database!KNX1</f>
        <v>0</v>
      </c>
      <c r="KNF1">
        <f>Database!KNY1</f>
        <v>0</v>
      </c>
      <c r="KNG1">
        <f>Database!KNZ1</f>
        <v>0</v>
      </c>
      <c r="KNH1">
        <f>Database!KOA1</f>
        <v>0</v>
      </c>
      <c r="KNI1">
        <f>Database!KOB1</f>
        <v>0</v>
      </c>
      <c r="KNJ1">
        <f>Database!KOC1</f>
        <v>0</v>
      </c>
      <c r="KNK1">
        <f>Database!KOD1</f>
        <v>0</v>
      </c>
      <c r="KNL1">
        <f>Database!KOE1</f>
        <v>0</v>
      </c>
      <c r="KNM1">
        <f>Database!KOF1</f>
        <v>0</v>
      </c>
      <c r="KNN1">
        <f>Database!KOG1</f>
        <v>0</v>
      </c>
      <c r="KNO1">
        <f>Database!KOH1</f>
        <v>0</v>
      </c>
      <c r="KNP1">
        <f>Database!KOI1</f>
        <v>0</v>
      </c>
      <c r="KNQ1">
        <f>Database!KOJ1</f>
        <v>0</v>
      </c>
      <c r="KNR1">
        <f>Database!KOK1</f>
        <v>0</v>
      </c>
      <c r="KNS1">
        <f>Database!KOL1</f>
        <v>0</v>
      </c>
      <c r="KNT1">
        <f>Database!KOM1</f>
        <v>0</v>
      </c>
      <c r="KNU1">
        <f>Database!KON1</f>
        <v>0</v>
      </c>
      <c r="KNV1">
        <f>Database!KOO1</f>
        <v>0</v>
      </c>
      <c r="KNW1">
        <f>Database!KOP1</f>
        <v>0</v>
      </c>
      <c r="KNX1">
        <f>Database!KOQ1</f>
        <v>0</v>
      </c>
      <c r="KNY1">
        <f>Database!KOR1</f>
        <v>0</v>
      </c>
      <c r="KNZ1">
        <f>Database!KOS1</f>
        <v>0</v>
      </c>
      <c r="KOA1">
        <f>Database!KOT1</f>
        <v>0</v>
      </c>
      <c r="KOB1">
        <f>Database!KOU1</f>
        <v>0</v>
      </c>
      <c r="KOC1">
        <f>Database!KOV1</f>
        <v>0</v>
      </c>
      <c r="KOD1">
        <f>Database!KOW1</f>
        <v>0</v>
      </c>
      <c r="KOE1">
        <f>Database!KOX1</f>
        <v>0</v>
      </c>
      <c r="KOF1">
        <f>Database!KOY1</f>
        <v>0</v>
      </c>
      <c r="KOG1">
        <f>Database!KOZ1</f>
        <v>0</v>
      </c>
      <c r="KOH1">
        <f>Database!KPA1</f>
        <v>0</v>
      </c>
      <c r="KOI1">
        <f>Database!KPB1</f>
        <v>0</v>
      </c>
      <c r="KOJ1">
        <f>Database!KPC1</f>
        <v>0</v>
      </c>
      <c r="KOK1">
        <f>Database!KPD1</f>
        <v>0</v>
      </c>
      <c r="KOL1">
        <f>Database!KPE1</f>
        <v>0</v>
      </c>
      <c r="KOM1">
        <f>Database!KPF1</f>
        <v>0</v>
      </c>
      <c r="KON1">
        <f>Database!KPG1</f>
        <v>0</v>
      </c>
      <c r="KOO1">
        <f>Database!KPH1</f>
        <v>0</v>
      </c>
      <c r="KOP1">
        <f>Database!KPI1</f>
        <v>0</v>
      </c>
      <c r="KOQ1">
        <f>Database!KPJ1</f>
        <v>0</v>
      </c>
      <c r="KOR1">
        <f>Database!KPK1</f>
        <v>0</v>
      </c>
      <c r="KOS1">
        <f>Database!KPL1</f>
        <v>0</v>
      </c>
      <c r="KOT1">
        <f>Database!KPM1</f>
        <v>0</v>
      </c>
      <c r="KOU1">
        <f>Database!KPN1</f>
        <v>0</v>
      </c>
      <c r="KOV1">
        <f>Database!KPO1</f>
        <v>0</v>
      </c>
      <c r="KOW1">
        <f>Database!KPP1</f>
        <v>0</v>
      </c>
      <c r="KOX1">
        <f>Database!KPQ1</f>
        <v>0</v>
      </c>
      <c r="KOY1">
        <f>Database!KPR1</f>
        <v>0</v>
      </c>
      <c r="KOZ1">
        <f>Database!KPS1</f>
        <v>0</v>
      </c>
      <c r="KPA1">
        <f>Database!KPT1</f>
        <v>0</v>
      </c>
      <c r="KPB1">
        <f>Database!KPU1</f>
        <v>0</v>
      </c>
      <c r="KPC1">
        <f>Database!KPV1</f>
        <v>0</v>
      </c>
      <c r="KPD1">
        <f>Database!KPW1</f>
        <v>0</v>
      </c>
      <c r="KPE1">
        <f>Database!KPX1</f>
        <v>0</v>
      </c>
      <c r="KPF1">
        <f>Database!KPY1</f>
        <v>0</v>
      </c>
      <c r="KPG1">
        <f>Database!KPZ1</f>
        <v>0</v>
      </c>
      <c r="KPH1">
        <f>Database!KQA1</f>
        <v>0</v>
      </c>
      <c r="KPI1">
        <f>Database!KQB1</f>
        <v>0</v>
      </c>
      <c r="KPJ1">
        <f>Database!KQC1</f>
        <v>0</v>
      </c>
      <c r="KPK1">
        <f>Database!KQD1</f>
        <v>0</v>
      </c>
      <c r="KPL1">
        <f>Database!KQE1</f>
        <v>0</v>
      </c>
      <c r="KPM1">
        <f>Database!KQF1</f>
        <v>0</v>
      </c>
      <c r="KPN1">
        <f>Database!KQG1</f>
        <v>0</v>
      </c>
      <c r="KPO1">
        <f>Database!KQH1</f>
        <v>0</v>
      </c>
      <c r="KPP1">
        <f>Database!KQI1</f>
        <v>0</v>
      </c>
      <c r="KPQ1">
        <f>Database!KQJ1</f>
        <v>0</v>
      </c>
      <c r="KPR1">
        <f>Database!KQK1</f>
        <v>0</v>
      </c>
      <c r="KPS1">
        <f>Database!KQL1</f>
        <v>0</v>
      </c>
      <c r="KPT1">
        <f>Database!KQM1</f>
        <v>0</v>
      </c>
      <c r="KPU1">
        <f>Database!KQN1</f>
        <v>0</v>
      </c>
      <c r="KPV1">
        <f>Database!KQO1</f>
        <v>0</v>
      </c>
      <c r="KPW1">
        <f>Database!KQP1</f>
        <v>0</v>
      </c>
      <c r="KPX1">
        <f>Database!KQQ1</f>
        <v>0</v>
      </c>
      <c r="KPY1">
        <f>Database!KQR1</f>
        <v>0</v>
      </c>
      <c r="KPZ1">
        <f>Database!KQS1</f>
        <v>0</v>
      </c>
      <c r="KQA1">
        <f>Database!KQT1</f>
        <v>0</v>
      </c>
      <c r="KQB1">
        <f>Database!KQU1</f>
        <v>0</v>
      </c>
      <c r="KQC1">
        <f>Database!KQV1</f>
        <v>0</v>
      </c>
      <c r="KQD1">
        <f>Database!KQW1</f>
        <v>0</v>
      </c>
      <c r="KQE1">
        <f>Database!KQX1</f>
        <v>0</v>
      </c>
      <c r="KQF1">
        <f>Database!KQY1</f>
        <v>0</v>
      </c>
      <c r="KQG1">
        <f>Database!KQZ1</f>
        <v>0</v>
      </c>
      <c r="KQH1">
        <f>Database!KRA1</f>
        <v>0</v>
      </c>
      <c r="KQI1">
        <f>Database!KRB1</f>
        <v>0</v>
      </c>
      <c r="KQJ1">
        <f>Database!KRC1</f>
        <v>0</v>
      </c>
      <c r="KQK1">
        <f>Database!KRD1</f>
        <v>0</v>
      </c>
      <c r="KQL1">
        <f>Database!KRE1</f>
        <v>0</v>
      </c>
      <c r="KQM1">
        <f>Database!KRF1</f>
        <v>0</v>
      </c>
      <c r="KQN1">
        <f>Database!KRG1</f>
        <v>0</v>
      </c>
      <c r="KQO1">
        <f>Database!KRH1</f>
        <v>0</v>
      </c>
      <c r="KQP1">
        <f>Database!KRI1</f>
        <v>0</v>
      </c>
      <c r="KQQ1">
        <f>Database!KRJ1</f>
        <v>0</v>
      </c>
      <c r="KQR1">
        <f>Database!KRK1</f>
        <v>0</v>
      </c>
      <c r="KQS1">
        <f>Database!KRL1</f>
        <v>0</v>
      </c>
      <c r="KQT1">
        <f>Database!KRM1</f>
        <v>0</v>
      </c>
      <c r="KQU1">
        <f>Database!KRN1</f>
        <v>0</v>
      </c>
      <c r="KQV1">
        <f>Database!KRO1</f>
        <v>0</v>
      </c>
      <c r="KQW1">
        <f>Database!KRP1</f>
        <v>0</v>
      </c>
      <c r="KQX1">
        <f>Database!KRQ1</f>
        <v>0</v>
      </c>
      <c r="KQY1">
        <f>Database!KRR1</f>
        <v>0</v>
      </c>
      <c r="KQZ1">
        <f>Database!KRS1</f>
        <v>0</v>
      </c>
      <c r="KRA1">
        <f>Database!KRT1</f>
        <v>0</v>
      </c>
      <c r="KRB1">
        <f>Database!KRU1</f>
        <v>0</v>
      </c>
      <c r="KRC1">
        <f>Database!KRV1</f>
        <v>0</v>
      </c>
      <c r="KRD1">
        <f>Database!KRW1</f>
        <v>0</v>
      </c>
      <c r="KRE1">
        <f>Database!KRX1</f>
        <v>0</v>
      </c>
      <c r="KRF1">
        <f>Database!KRY1</f>
        <v>0</v>
      </c>
      <c r="KRG1">
        <f>Database!KRZ1</f>
        <v>0</v>
      </c>
      <c r="KRH1">
        <f>Database!KSA1</f>
        <v>0</v>
      </c>
      <c r="KRI1">
        <f>Database!KSB1</f>
        <v>0</v>
      </c>
      <c r="KRJ1">
        <f>Database!KSC1</f>
        <v>0</v>
      </c>
      <c r="KRK1">
        <f>Database!KSD1</f>
        <v>0</v>
      </c>
      <c r="KRL1">
        <f>Database!KSE1</f>
        <v>0</v>
      </c>
      <c r="KRM1">
        <f>Database!KSF1</f>
        <v>0</v>
      </c>
      <c r="KRN1">
        <f>Database!KSG1</f>
        <v>0</v>
      </c>
      <c r="KRO1">
        <f>Database!KSH1</f>
        <v>0</v>
      </c>
      <c r="KRP1">
        <f>Database!KSI1</f>
        <v>0</v>
      </c>
      <c r="KRQ1">
        <f>Database!KSJ1</f>
        <v>0</v>
      </c>
      <c r="KRR1">
        <f>Database!KSK1</f>
        <v>0</v>
      </c>
      <c r="KRS1">
        <f>Database!KSL1</f>
        <v>0</v>
      </c>
      <c r="KRT1">
        <f>Database!KSM1</f>
        <v>0</v>
      </c>
      <c r="KRU1">
        <f>Database!KSN1</f>
        <v>0</v>
      </c>
      <c r="KRV1">
        <f>Database!KSO1</f>
        <v>0</v>
      </c>
      <c r="KRW1">
        <f>Database!KSP1</f>
        <v>0</v>
      </c>
      <c r="KRX1">
        <f>Database!KSQ1</f>
        <v>0</v>
      </c>
      <c r="KRY1">
        <f>Database!KSR1</f>
        <v>0</v>
      </c>
      <c r="KRZ1">
        <f>Database!KSS1</f>
        <v>0</v>
      </c>
      <c r="KSA1">
        <f>Database!KST1</f>
        <v>0</v>
      </c>
      <c r="KSB1">
        <f>Database!KSU1</f>
        <v>0</v>
      </c>
      <c r="KSC1">
        <f>Database!KSV1</f>
        <v>0</v>
      </c>
      <c r="KSD1">
        <f>Database!KSW1</f>
        <v>0</v>
      </c>
      <c r="KSE1">
        <f>Database!KSX1</f>
        <v>0</v>
      </c>
      <c r="KSF1">
        <f>Database!KSY1</f>
        <v>0</v>
      </c>
      <c r="KSG1">
        <f>Database!KSZ1</f>
        <v>0</v>
      </c>
      <c r="KSH1">
        <f>Database!KTA1</f>
        <v>0</v>
      </c>
      <c r="KSI1">
        <f>Database!KTB1</f>
        <v>0</v>
      </c>
      <c r="KSJ1">
        <f>Database!KTC1</f>
        <v>0</v>
      </c>
      <c r="KSK1">
        <f>Database!KTD1</f>
        <v>0</v>
      </c>
      <c r="KSL1">
        <f>Database!KTE1</f>
        <v>0</v>
      </c>
      <c r="KSM1">
        <f>Database!KTF1</f>
        <v>0</v>
      </c>
      <c r="KSN1">
        <f>Database!KTG1</f>
        <v>0</v>
      </c>
      <c r="KSO1">
        <f>Database!KTH1</f>
        <v>0</v>
      </c>
      <c r="KSP1">
        <f>Database!KTI1</f>
        <v>0</v>
      </c>
      <c r="KSQ1">
        <f>Database!KTJ1</f>
        <v>0</v>
      </c>
      <c r="KSR1">
        <f>Database!KTK1</f>
        <v>0</v>
      </c>
      <c r="KSS1">
        <f>Database!KTL1</f>
        <v>0</v>
      </c>
      <c r="KST1">
        <f>Database!KTM1</f>
        <v>0</v>
      </c>
      <c r="KSU1">
        <f>Database!KTN1</f>
        <v>0</v>
      </c>
      <c r="KSV1">
        <f>Database!KTO1</f>
        <v>0</v>
      </c>
      <c r="KSW1">
        <f>Database!KTP1</f>
        <v>0</v>
      </c>
      <c r="KSX1">
        <f>Database!KTQ1</f>
        <v>0</v>
      </c>
      <c r="KSY1">
        <f>Database!KTR1</f>
        <v>0</v>
      </c>
      <c r="KSZ1">
        <f>Database!KTS1</f>
        <v>0</v>
      </c>
      <c r="KTA1">
        <f>Database!KTT1</f>
        <v>0</v>
      </c>
      <c r="KTB1">
        <f>Database!KTU1</f>
        <v>0</v>
      </c>
      <c r="KTC1">
        <f>Database!KTV1</f>
        <v>0</v>
      </c>
      <c r="KTD1">
        <f>Database!KTW1</f>
        <v>0</v>
      </c>
      <c r="KTE1">
        <f>Database!KTX1</f>
        <v>0</v>
      </c>
      <c r="KTF1">
        <f>Database!KTY1</f>
        <v>0</v>
      </c>
      <c r="KTG1">
        <f>Database!KTZ1</f>
        <v>0</v>
      </c>
      <c r="KTH1">
        <f>Database!KUA1</f>
        <v>0</v>
      </c>
      <c r="KTI1">
        <f>Database!KUB1</f>
        <v>0</v>
      </c>
      <c r="KTJ1">
        <f>Database!KUC1</f>
        <v>0</v>
      </c>
      <c r="KTK1">
        <f>Database!KUD1</f>
        <v>0</v>
      </c>
      <c r="KTL1">
        <f>Database!KUE1</f>
        <v>0</v>
      </c>
      <c r="KTM1">
        <f>Database!KUF1</f>
        <v>0</v>
      </c>
      <c r="KTN1">
        <f>Database!KUG1</f>
        <v>0</v>
      </c>
      <c r="KTO1">
        <f>Database!KUH1</f>
        <v>0</v>
      </c>
      <c r="KTP1">
        <f>Database!KUI1</f>
        <v>0</v>
      </c>
      <c r="KTQ1">
        <f>Database!KUJ1</f>
        <v>0</v>
      </c>
      <c r="KTR1">
        <f>Database!KUK1</f>
        <v>0</v>
      </c>
      <c r="KTS1">
        <f>Database!KUL1</f>
        <v>0</v>
      </c>
      <c r="KTT1">
        <f>Database!KUM1</f>
        <v>0</v>
      </c>
      <c r="KTU1">
        <f>Database!KUN1</f>
        <v>0</v>
      </c>
      <c r="KTV1">
        <f>Database!KUO1</f>
        <v>0</v>
      </c>
      <c r="KTW1">
        <f>Database!KUP1</f>
        <v>0</v>
      </c>
      <c r="KTX1">
        <f>Database!KUQ1</f>
        <v>0</v>
      </c>
      <c r="KTY1">
        <f>Database!KUR1</f>
        <v>0</v>
      </c>
      <c r="KTZ1">
        <f>Database!KUS1</f>
        <v>0</v>
      </c>
      <c r="KUA1">
        <f>Database!KUT1</f>
        <v>0</v>
      </c>
      <c r="KUB1">
        <f>Database!KUU1</f>
        <v>0</v>
      </c>
      <c r="KUC1">
        <f>Database!KUV1</f>
        <v>0</v>
      </c>
      <c r="KUD1">
        <f>Database!KUW1</f>
        <v>0</v>
      </c>
      <c r="KUE1">
        <f>Database!KUX1</f>
        <v>0</v>
      </c>
      <c r="KUF1">
        <f>Database!KUY1</f>
        <v>0</v>
      </c>
      <c r="KUG1">
        <f>Database!KUZ1</f>
        <v>0</v>
      </c>
      <c r="KUH1">
        <f>Database!KVA1</f>
        <v>0</v>
      </c>
      <c r="KUI1">
        <f>Database!KVB1</f>
        <v>0</v>
      </c>
      <c r="KUJ1">
        <f>Database!KVC1</f>
        <v>0</v>
      </c>
      <c r="KUK1">
        <f>Database!KVD1</f>
        <v>0</v>
      </c>
      <c r="KUL1">
        <f>Database!KVE1</f>
        <v>0</v>
      </c>
      <c r="KUM1">
        <f>Database!KVF1</f>
        <v>0</v>
      </c>
      <c r="KUN1">
        <f>Database!KVG1</f>
        <v>0</v>
      </c>
      <c r="KUO1">
        <f>Database!KVH1</f>
        <v>0</v>
      </c>
      <c r="KUP1">
        <f>Database!KVI1</f>
        <v>0</v>
      </c>
      <c r="KUQ1">
        <f>Database!KVJ1</f>
        <v>0</v>
      </c>
      <c r="KUR1">
        <f>Database!KVK1</f>
        <v>0</v>
      </c>
      <c r="KUS1">
        <f>Database!KVL1</f>
        <v>0</v>
      </c>
      <c r="KUT1">
        <f>Database!KVM1</f>
        <v>0</v>
      </c>
      <c r="KUU1">
        <f>Database!KVN1</f>
        <v>0</v>
      </c>
      <c r="KUV1">
        <f>Database!KVO1</f>
        <v>0</v>
      </c>
      <c r="KUW1">
        <f>Database!KVP1</f>
        <v>0</v>
      </c>
      <c r="KUX1">
        <f>Database!KVQ1</f>
        <v>0</v>
      </c>
      <c r="KUY1">
        <f>Database!KVR1</f>
        <v>0</v>
      </c>
      <c r="KUZ1">
        <f>Database!KVS1</f>
        <v>0</v>
      </c>
      <c r="KVA1">
        <f>Database!KVT1</f>
        <v>0</v>
      </c>
      <c r="KVB1">
        <f>Database!KVU1</f>
        <v>0</v>
      </c>
      <c r="KVC1">
        <f>Database!KVV1</f>
        <v>0</v>
      </c>
      <c r="KVD1">
        <f>Database!KVW1</f>
        <v>0</v>
      </c>
      <c r="KVE1">
        <f>Database!KVX1</f>
        <v>0</v>
      </c>
      <c r="KVF1">
        <f>Database!KVY1</f>
        <v>0</v>
      </c>
      <c r="KVG1">
        <f>Database!KVZ1</f>
        <v>0</v>
      </c>
      <c r="KVH1">
        <f>Database!KWA1</f>
        <v>0</v>
      </c>
      <c r="KVI1">
        <f>Database!KWB1</f>
        <v>0</v>
      </c>
      <c r="KVJ1">
        <f>Database!KWC1</f>
        <v>0</v>
      </c>
      <c r="KVK1">
        <f>Database!KWD1</f>
        <v>0</v>
      </c>
      <c r="KVL1">
        <f>Database!KWE1</f>
        <v>0</v>
      </c>
      <c r="KVM1">
        <f>Database!KWF1</f>
        <v>0</v>
      </c>
      <c r="KVN1">
        <f>Database!KWG1</f>
        <v>0</v>
      </c>
      <c r="KVO1">
        <f>Database!KWH1</f>
        <v>0</v>
      </c>
      <c r="KVP1">
        <f>Database!KWI1</f>
        <v>0</v>
      </c>
      <c r="KVQ1">
        <f>Database!KWJ1</f>
        <v>0</v>
      </c>
      <c r="KVR1">
        <f>Database!KWK1</f>
        <v>0</v>
      </c>
      <c r="KVS1">
        <f>Database!KWL1</f>
        <v>0</v>
      </c>
      <c r="KVT1">
        <f>Database!KWM1</f>
        <v>0</v>
      </c>
      <c r="KVU1">
        <f>Database!KWN1</f>
        <v>0</v>
      </c>
      <c r="KVV1">
        <f>Database!KWO1</f>
        <v>0</v>
      </c>
      <c r="KVW1">
        <f>Database!KWP1</f>
        <v>0</v>
      </c>
      <c r="KVX1">
        <f>Database!KWQ1</f>
        <v>0</v>
      </c>
      <c r="KVY1">
        <f>Database!KWR1</f>
        <v>0</v>
      </c>
      <c r="KVZ1">
        <f>Database!KWS1</f>
        <v>0</v>
      </c>
      <c r="KWA1">
        <f>Database!KWT1</f>
        <v>0</v>
      </c>
      <c r="KWB1">
        <f>Database!KWU1</f>
        <v>0</v>
      </c>
      <c r="KWC1">
        <f>Database!KWV1</f>
        <v>0</v>
      </c>
      <c r="KWD1">
        <f>Database!KWW1</f>
        <v>0</v>
      </c>
      <c r="KWE1">
        <f>Database!KWX1</f>
        <v>0</v>
      </c>
      <c r="KWF1">
        <f>Database!KWY1</f>
        <v>0</v>
      </c>
      <c r="KWG1">
        <f>Database!KWZ1</f>
        <v>0</v>
      </c>
      <c r="KWH1">
        <f>Database!KXA1</f>
        <v>0</v>
      </c>
      <c r="KWI1">
        <f>Database!KXB1</f>
        <v>0</v>
      </c>
      <c r="KWJ1">
        <f>Database!KXC1</f>
        <v>0</v>
      </c>
      <c r="KWK1">
        <f>Database!KXD1</f>
        <v>0</v>
      </c>
      <c r="KWL1">
        <f>Database!KXE1</f>
        <v>0</v>
      </c>
      <c r="KWM1">
        <f>Database!KXF1</f>
        <v>0</v>
      </c>
      <c r="KWN1">
        <f>Database!KXG1</f>
        <v>0</v>
      </c>
      <c r="KWO1">
        <f>Database!KXH1</f>
        <v>0</v>
      </c>
      <c r="KWP1">
        <f>Database!KXI1</f>
        <v>0</v>
      </c>
      <c r="KWQ1">
        <f>Database!KXJ1</f>
        <v>0</v>
      </c>
      <c r="KWR1">
        <f>Database!KXK1</f>
        <v>0</v>
      </c>
      <c r="KWS1">
        <f>Database!KXL1</f>
        <v>0</v>
      </c>
      <c r="KWT1">
        <f>Database!KXM1</f>
        <v>0</v>
      </c>
      <c r="KWU1">
        <f>Database!KXN1</f>
        <v>0</v>
      </c>
      <c r="KWV1">
        <f>Database!KXO1</f>
        <v>0</v>
      </c>
      <c r="KWW1">
        <f>Database!KXP1</f>
        <v>0</v>
      </c>
      <c r="KWX1">
        <f>Database!KXQ1</f>
        <v>0</v>
      </c>
      <c r="KWY1">
        <f>Database!KXR1</f>
        <v>0</v>
      </c>
      <c r="KWZ1">
        <f>Database!KXS1</f>
        <v>0</v>
      </c>
      <c r="KXA1">
        <f>Database!KXT1</f>
        <v>0</v>
      </c>
      <c r="KXB1">
        <f>Database!KXU1</f>
        <v>0</v>
      </c>
      <c r="KXC1">
        <f>Database!KXV1</f>
        <v>0</v>
      </c>
      <c r="KXD1">
        <f>Database!KXW1</f>
        <v>0</v>
      </c>
      <c r="KXE1">
        <f>Database!KXX1</f>
        <v>0</v>
      </c>
      <c r="KXF1">
        <f>Database!KXY1</f>
        <v>0</v>
      </c>
      <c r="KXG1">
        <f>Database!KXZ1</f>
        <v>0</v>
      </c>
      <c r="KXH1">
        <f>Database!KYA1</f>
        <v>0</v>
      </c>
      <c r="KXI1">
        <f>Database!KYB1</f>
        <v>0</v>
      </c>
      <c r="KXJ1">
        <f>Database!KYC1</f>
        <v>0</v>
      </c>
      <c r="KXK1">
        <f>Database!KYD1</f>
        <v>0</v>
      </c>
      <c r="KXL1">
        <f>Database!KYE1</f>
        <v>0</v>
      </c>
      <c r="KXM1">
        <f>Database!KYF1</f>
        <v>0</v>
      </c>
      <c r="KXN1">
        <f>Database!KYG1</f>
        <v>0</v>
      </c>
      <c r="KXO1">
        <f>Database!KYH1</f>
        <v>0</v>
      </c>
      <c r="KXP1">
        <f>Database!KYI1</f>
        <v>0</v>
      </c>
      <c r="KXQ1">
        <f>Database!KYJ1</f>
        <v>0</v>
      </c>
      <c r="KXR1">
        <f>Database!KYK1</f>
        <v>0</v>
      </c>
      <c r="KXS1">
        <f>Database!KYL1</f>
        <v>0</v>
      </c>
      <c r="KXT1">
        <f>Database!KYM1</f>
        <v>0</v>
      </c>
      <c r="KXU1">
        <f>Database!KYN1</f>
        <v>0</v>
      </c>
      <c r="KXV1">
        <f>Database!KYO1</f>
        <v>0</v>
      </c>
      <c r="KXW1">
        <f>Database!KYP1</f>
        <v>0</v>
      </c>
      <c r="KXX1">
        <f>Database!KYQ1</f>
        <v>0</v>
      </c>
      <c r="KXY1">
        <f>Database!KYR1</f>
        <v>0</v>
      </c>
      <c r="KXZ1">
        <f>Database!KYS1</f>
        <v>0</v>
      </c>
      <c r="KYA1">
        <f>Database!KYT1</f>
        <v>0</v>
      </c>
      <c r="KYB1">
        <f>Database!KYU1</f>
        <v>0</v>
      </c>
      <c r="KYC1">
        <f>Database!KYV1</f>
        <v>0</v>
      </c>
      <c r="KYD1">
        <f>Database!KYW1</f>
        <v>0</v>
      </c>
      <c r="KYE1">
        <f>Database!KYX1</f>
        <v>0</v>
      </c>
      <c r="KYF1">
        <f>Database!KYY1</f>
        <v>0</v>
      </c>
      <c r="KYG1">
        <f>Database!KYZ1</f>
        <v>0</v>
      </c>
      <c r="KYH1">
        <f>Database!KZA1</f>
        <v>0</v>
      </c>
      <c r="KYI1">
        <f>Database!KZB1</f>
        <v>0</v>
      </c>
      <c r="KYJ1">
        <f>Database!KZC1</f>
        <v>0</v>
      </c>
      <c r="KYK1">
        <f>Database!KZD1</f>
        <v>0</v>
      </c>
      <c r="KYL1">
        <f>Database!KZE1</f>
        <v>0</v>
      </c>
      <c r="KYM1">
        <f>Database!KZF1</f>
        <v>0</v>
      </c>
      <c r="KYN1">
        <f>Database!KZG1</f>
        <v>0</v>
      </c>
      <c r="KYO1">
        <f>Database!KZH1</f>
        <v>0</v>
      </c>
      <c r="KYP1">
        <f>Database!KZI1</f>
        <v>0</v>
      </c>
      <c r="KYQ1">
        <f>Database!KZJ1</f>
        <v>0</v>
      </c>
      <c r="KYR1">
        <f>Database!KZK1</f>
        <v>0</v>
      </c>
      <c r="KYS1">
        <f>Database!KZL1</f>
        <v>0</v>
      </c>
      <c r="KYT1">
        <f>Database!KZM1</f>
        <v>0</v>
      </c>
      <c r="KYU1">
        <f>Database!KZN1</f>
        <v>0</v>
      </c>
      <c r="KYV1">
        <f>Database!KZO1</f>
        <v>0</v>
      </c>
      <c r="KYW1">
        <f>Database!KZP1</f>
        <v>0</v>
      </c>
      <c r="KYX1">
        <f>Database!KZQ1</f>
        <v>0</v>
      </c>
      <c r="KYY1">
        <f>Database!KZR1</f>
        <v>0</v>
      </c>
      <c r="KYZ1">
        <f>Database!KZS1</f>
        <v>0</v>
      </c>
      <c r="KZA1">
        <f>Database!KZT1</f>
        <v>0</v>
      </c>
      <c r="KZB1">
        <f>Database!KZU1</f>
        <v>0</v>
      </c>
      <c r="KZC1">
        <f>Database!KZV1</f>
        <v>0</v>
      </c>
      <c r="KZD1">
        <f>Database!KZW1</f>
        <v>0</v>
      </c>
      <c r="KZE1">
        <f>Database!KZX1</f>
        <v>0</v>
      </c>
      <c r="KZF1">
        <f>Database!KZY1</f>
        <v>0</v>
      </c>
      <c r="KZG1">
        <f>Database!KZZ1</f>
        <v>0</v>
      </c>
      <c r="KZH1">
        <f>Database!LAA1</f>
        <v>0</v>
      </c>
      <c r="KZI1">
        <f>Database!LAB1</f>
        <v>0</v>
      </c>
      <c r="KZJ1">
        <f>Database!LAC1</f>
        <v>0</v>
      </c>
      <c r="KZK1">
        <f>Database!LAD1</f>
        <v>0</v>
      </c>
      <c r="KZL1">
        <f>Database!LAE1</f>
        <v>0</v>
      </c>
      <c r="KZM1">
        <f>Database!LAF1</f>
        <v>0</v>
      </c>
      <c r="KZN1">
        <f>Database!LAG1</f>
        <v>0</v>
      </c>
      <c r="KZO1">
        <f>Database!LAH1</f>
        <v>0</v>
      </c>
      <c r="KZP1">
        <f>Database!LAI1</f>
        <v>0</v>
      </c>
      <c r="KZQ1">
        <f>Database!LAJ1</f>
        <v>0</v>
      </c>
      <c r="KZR1">
        <f>Database!LAK1</f>
        <v>0</v>
      </c>
      <c r="KZS1">
        <f>Database!LAL1</f>
        <v>0</v>
      </c>
      <c r="KZT1">
        <f>Database!LAM1</f>
        <v>0</v>
      </c>
      <c r="KZU1">
        <f>Database!LAN1</f>
        <v>0</v>
      </c>
      <c r="KZV1">
        <f>Database!LAO1</f>
        <v>0</v>
      </c>
      <c r="KZW1">
        <f>Database!LAP1</f>
        <v>0</v>
      </c>
      <c r="KZX1">
        <f>Database!LAQ1</f>
        <v>0</v>
      </c>
      <c r="KZY1">
        <f>Database!LAR1</f>
        <v>0</v>
      </c>
      <c r="KZZ1">
        <f>Database!LAS1</f>
        <v>0</v>
      </c>
      <c r="LAA1">
        <f>Database!LAT1</f>
        <v>0</v>
      </c>
      <c r="LAB1">
        <f>Database!LAU1</f>
        <v>0</v>
      </c>
      <c r="LAC1">
        <f>Database!LAV1</f>
        <v>0</v>
      </c>
      <c r="LAD1">
        <f>Database!LAW1</f>
        <v>0</v>
      </c>
      <c r="LAE1">
        <f>Database!LAX1</f>
        <v>0</v>
      </c>
      <c r="LAF1">
        <f>Database!LAY1</f>
        <v>0</v>
      </c>
      <c r="LAG1">
        <f>Database!LAZ1</f>
        <v>0</v>
      </c>
      <c r="LAH1">
        <f>Database!LBA1</f>
        <v>0</v>
      </c>
      <c r="LAI1">
        <f>Database!LBB1</f>
        <v>0</v>
      </c>
      <c r="LAJ1">
        <f>Database!LBC1</f>
        <v>0</v>
      </c>
      <c r="LAK1">
        <f>Database!LBD1</f>
        <v>0</v>
      </c>
      <c r="LAL1">
        <f>Database!LBE1</f>
        <v>0</v>
      </c>
      <c r="LAM1">
        <f>Database!LBF1</f>
        <v>0</v>
      </c>
      <c r="LAN1">
        <f>Database!LBG1</f>
        <v>0</v>
      </c>
      <c r="LAO1">
        <f>Database!LBH1</f>
        <v>0</v>
      </c>
      <c r="LAP1">
        <f>Database!LBI1</f>
        <v>0</v>
      </c>
      <c r="LAQ1">
        <f>Database!LBJ1</f>
        <v>0</v>
      </c>
      <c r="LAR1">
        <f>Database!LBK1</f>
        <v>0</v>
      </c>
      <c r="LAS1">
        <f>Database!LBL1</f>
        <v>0</v>
      </c>
      <c r="LAT1">
        <f>Database!LBM1</f>
        <v>0</v>
      </c>
      <c r="LAU1">
        <f>Database!LBN1</f>
        <v>0</v>
      </c>
      <c r="LAV1">
        <f>Database!LBO1</f>
        <v>0</v>
      </c>
      <c r="LAW1">
        <f>Database!LBP1</f>
        <v>0</v>
      </c>
      <c r="LAX1">
        <f>Database!LBQ1</f>
        <v>0</v>
      </c>
      <c r="LAY1">
        <f>Database!LBR1</f>
        <v>0</v>
      </c>
      <c r="LAZ1">
        <f>Database!LBS1</f>
        <v>0</v>
      </c>
      <c r="LBA1">
        <f>Database!LBT1</f>
        <v>0</v>
      </c>
      <c r="LBB1">
        <f>Database!LBU1</f>
        <v>0</v>
      </c>
      <c r="LBC1">
        <f>Database!LBV1</f>
        <v>0</v>
      </c>
      <c r="LBD1">
        <f>Database!LBW1</f>
        <v>0</v>
      </c>
      <c r="LBE1">
        <f>Database!LBX1</f>
        <v>0</v>
      </c>
      <c r="LBF1">
        <f>Database!LBY1</f>
        <v>0</v>
      </c>
      <c r="LBG1">
        <f>Database!LBZ1</f>
        <v>0</v>
      </c>
      <c r="LBH1">
        <f>Database!LCA1</f>
        <v>0</v>
      </c>
      <c r="LBI1">
        <f>Database!LCB1</f>
        <v>0</v>
      </c>
      <c r="LBJ1">
        <f>Database!LCC1</f>
        <v>0</v>
      </c>
      <c r="LBK1">
        <f>Database!LCD1</f>
        <v>0</v>
      </c>
      <c r="LBL1">
        <f>Database!LCE1</f>
        <v>0</v>
      </c>
      <c r="LBM1">
        <f>Database!LCF1</f>
        <v>0</v>
      </c>
      <c r="LBN1">
        <f>Database!LCG1</f>
        <v>0</v>
      </c>
      <c r="LBO1">
        <f>Database!LCH1</f>
        <v>0</v>
      </c>
      <c r="LBP1">
        <f>Database!LCI1</f>
        <v>0</v>
      </c>
      <c r="LBQ1">
        <f>Database!LCJ1</f>
        <v>0</v>
      </c>
      <c r="LBR1">
        <f>Database!LCK1</f>
        <v>0</v>
      </c>
      <c r="LBS1">
        <f>Database!LCL1</f>
        <v>0</v>
      </c>
      <c r="LBT1">
        <f>Database!LCM1</f>
        <v>0</v>
      </c>
      <c r="LBU1">
        <f>Database!LCN1</f>
        <v>0</v>
      </c>
      <c r="LBV1">
        <f>Database!LCO1</f>
        <v>0</v>
      </c>
      <c r="LBW1">
        <f>Database!LCP1</f>
        <v>0</v>
      </c>
      <c r="LBX1">
        <f>Database!LCQ1</f>
        <v>0</v>
      </c>
      <c r="LBY1">
        <f>Database!LCR1</f>
        <v>0</v>
      </c>
      <c r="LBZ1">
        <f>Database!LCS1</f>
        <v>0</v>
      </c>
      <c r="LCA1">
        <f>Database!LCT1</f>
        <v>0</v>
      </c>
      <c r="LCB1">
        <f>Database!LCU1</f>
        <v>0</v>
      </c>
      <c r="LCC1">
        <f>Database!LCV1</f>
        <v>0</v>
      </c>
      <c r="LCD1">
        <f>Database!LCW1</f>
        <v>0</v>
      </c>
      <c r="LCE1">
        <f>Database!LCX1</f>
        <v>0</v>
      </c>
      <c r="LCF1">
        <f>Database!LCY1</f>
        <v>0</v>
      </c>
      <c r="LCG1">
        <f>Database!LCZ1</f>
        <v>0</v>
      </c>
      <c r="LCH1">
        <f>Database!LDA1</f>
        <v>0</v>
      </c>
      <c r="LCI1">
        <f>Database!LDB1</f>
        <v>0</v>
      </c>
      <c r="LCJ1">
        <f>Database!LDC1</f>
        <v>0</v>
      </c>
      <c r="LCK1">
        <f>Database!LDD1</f>
        <v>0</v>
      </c>
      <c r="LCL1">
        <f>Database!LDE1</f>
        <v>0</v>
      </c>
      <c r="LCM1">
        <f>Database!LDF1</f>
        <v>0</v>
      </c>
      <c r="LCN1">
        <f>Database!LDG1</f>
        <v>0</v>
      </c>
      <c r="LCO1">
        <f>Database!LDH1</f>
        <v>0</v>
      </c>
      <c r="LCP1">
        <f>Database!LDI1</f>
        <v>0</v>
      </c>
      <c r="LCQ1">
        <f>Database!LDJ1</f>
        <v>0</v>
      </c>
      <c r="LCR1">
        <f>Database!LDK1</f>
        <v>0</v>
      </c>
      <c r="LCS1">
        <f>Database!LDL1</f>
        <v>0</v>
      </c>
      <c r="LCT1">
        <f>Database!LDM1</f>
        <v>0</v>
      </c>
      <c r="LCU1">
        <f>Database!LDN1</f>
        <v>0</v>
      </c>
      <c r="LCV1">
        <f>Database!LDO1</f>
        <v>0</v>
      </c>
      <c r="LCW1">
        <f>Database!LDP1</f>
        <v>0</v>
      </c>
      <c r="LCX1">
        <f>Database!LDQ1</f>
        <v>0</v>
      </c>
      <c r="LCY1">
        <f>Database!LDR1</f>
        <v>0</v>
      </c>
      <c r="LCZ1">
        <f>Database!LDS1</f>
        <v>0</v>
      </c>
      <c r="LDA1">
        <f>Database!LDT1</f>
        <v>0</v>
      </c>
      <c r="LDB1">
        <f>Database!LDU1</f>
        <v>0</v>
      </c>
      <c r="LDC1">
        <f>Database!LDV1</f>
        <v>0</v>
      </c>
      <c r="LDD1">
        <f>Database!LDW1</f>
        <v>0</v>
      </c>
      <c r="LDE1">
        <f>Database!LDX1</f>
        <v>0</v>
      </c>
      <c r="LDF1">
        <f>Database!LDY1</f>
        <v>0</v>
      </c>
      <c r="LDG1">
        <f>Database!LDZ1</f>
        <v>0</v>
      </c>
      <c r="LDH1">
        <f>Database!LEA1</f>
        <v>0</v>
      </c>
      <c r="LDI1">
        <f>Database!LEB1</f>
        <v>0</v>
      </c>
      <c r="LDJ1">
        <f>Database!LEC1</f>
        <v>0</v>
      </c>
      <c r="LDK1">
        <f>Database!LED1</f>
        <v>0</v>
      </c>
      <c r="LDL1">
        <f>Database!LEE1</f>
        <v>0</v>
      </c>
      <c r="LDM1">
        <f>Database!LEF1</f>
        <v>0</v>
      </c>
      <c r="LDN1">
        <f>Database!LEG1</f>
        <v>0</v>
      </c>
      <c r="LDO1">
        <f>Database!LEH1</f>
        <v>0</v>
      </c>
      <c r="LDP1">
        <f>Database!LEI1</f>
        <v>0</v>
      </c>
      <c r="LDQ1">
        <f>Database!LEJ1</f>
        <v>0</v>
      </c>
      <c r="LDR1">
        <f>Database!LEK1</f>
        <v>0</v>
      </c>
      <c r="LDS1">
        <f>Database!LEL1</f>
        <v>0</v>
      </c>
      <c r="LDT1">
        <f>Database!LEM1</f>
        <v>0</v>
      </c>
      <c r="LDU1">
        <f>Database!LEN1</f>
        <v>0</v>
      </c>
      <c r="LDV1">
        <f>Database!LEO1</f>
        <v>0</v>
      </c>
      <c r="LDW1">
        <f>Database!LEP1</f>
        <v>0</v>
      </c>
      <c r="LDX1">
        <f>Database!LEQ1</f>
        <v>0</v>
      </c>
      <c r="LDY1">
        <f>Database!LER1</f>
        <v>0</v>
      </c>
      <c r="LDZ1">
        <f>Database!LES1</f>
        <v>0</v>
      </c>
      <c r="LEA1">
        <f>Database!LET1</f>
        <v>0</v>
      </c>
      <c r="LEB1">
        <f>Database!LEU1</f>
        <v>0</v>
      </c>
      <c r="LEC1">
        <f>Database!LEV1</f>
        <v>0</v>
      </c>
      <c r="LED1">
        <f>Database!LEW1</f>
        <v>0</v>
      </c>
      <c r="LEE1">
        <f>Database!LEX1</f>
        <v>0</v>
      </c>
      <c r="LEF1">
        <f>Database!LEY1</f>
        <v>0</v>
      </c>
      <c r="LEG1">
        <f>Database!LEZ1</f>
        <v>0</v>
      </c>
      <c r="LEH1">
        <f>Database!LFA1</f>
        <v>0</v>
      </c>
      <c r="LEI1">
        <f>Database!LFB1</f>
        <v>0</v>
      </c>
      <c r="LEJ1">
        <f>Database!LFC1</f>
        <v>0</v>
      </c>
      <c r="LEK1">
        <f>Database!LFD1</f>
        <v>0</v>
      </c>
      <c r="LEL1">
        <f>Database!LFE1</f>
        <v>0</v>
      </c>
      <c r="LEM1">
        <f>Database!LFF1</f>
        <v>0</v>
      </c>
      <c r="LEN1">
        <f>Database!LFG1</f>
        <v>0</v>
      </c>
      <c r="LEO1">
        <f>Database!LFH1</f>
        <v>0</v>
      </c>
      <c r="LEP1">
        <f>Database!LFI1</f>
        <v>0</v>
      </c>
      <c r="LEQ1">
        <f>Database!LFJ1</f>
        <v>0</v>
      </c>
      <c r="LER1">
        <f>Database!LFK1</f>
        <v>0</v>
      </c>
      <c r="LES1">
        <f>Database!LFL1</f>
        <v>0</v>
      </c>
      <c r="LET1">
        <f>Database!LFM1</f>
        <v>0</v>
      </c>
      <c r="LEU1">
        <f>Database!LFN1</f>
        <v>0</v>
      </c>
      <c r="LEV1">
        <f>Database!LFO1</f>
        <v>0</v>
      </c>
      <c r="LEW1">
        <f>Database!LFP1</f>
        <v>0</v>
      </c>
      <c r="LEX1">
        <f>Database!LFQ1</f>
        <v>0</v>
      </c>
      <c r="LEY1">
        <f>Database!LFR1</f>
        <v>0</v>
      </c>
      <c r="LEZ1">
        <f>Database!LFS1</f>
        <v>0</v>
      </c>
      <c r="LFA1">
        <f>Database!LFT1</f>
        <v>0</v>
      </c>
      <c r="LFB1">
        <f>Database!LFU1</f>
        <v>0</v>
      </c>
      <c r="LFC1">
        <f>Database!LFV1</f>
        <v>0</v>
      </c>
      <c r="LFD1">
        <f>Database!LFW1</f>
        <v>0</v>
      </c>
      <c r="LFE1">
        <f>Database!LFX1</f>
        <v>0</v>
      </c>
      <c r="LFF1">
        <f>Database!LFY1</f>
        <v>0</v>
      </c>
      <c r="LFG1">
        <f>Database!LFZ1</f>
        <v>0</v>
      </c>
      <c r="LFH1">
        <f>Database!LGA1</f>
        <v>0</v>
      </c>
      <c r="LFI1">
        <f>Database!LGB1</f>
        <v>0</v>
      </c>
      <c r="LFJ1">
        <f>Database!LGC1</f>
        <v>0</v>
      </c>
      <c r="LFK1">
        <f>Database!LGD1</f>
        <v>0</v>
      </c>
      <c r="LFL1">
        <f>Database!LGE1</f>
        <v>0</v>
      </c>
      <c r="LFM1">
        <f>Database!LGF1</f>
        <v>0</v>
      </c>
      <c r="LFN1">
        <f>Database!LGG1</f>
        <v>0</v>
      </c>
      <c r="LFO1">
        <f>Database!LGH1</f>
        <v>0</v>
      </c>
      <c r="LFP1">
        <f>Database!LGI1</f>
        <v>0</v>
      </c>
      <c r="LFQ1">
        <f>Database!LGJ1</f>
        <v>0</v>
      </c>
      <c r="LFR1">
        <f>Database!LGK1</f>
        <v>0</v>
      </c>
      <c r="LFS1">
        <f>Database!LGL1</f>
        <v>0</v>
      </c>
      <c r="LFT1">
        <f>Database!LGM1</f>
        <v>0</v>
      </c>
      <c r="LFU1">
        <f>Database!LGN1</f>
        <v>0</v>
      </c>
      <c r="LFV1">
        <f>Database!LGO1</f>
        <v>0</v>
      </c>
      <c r="LFW1">
        <f>Database!LGP1</f>
        <v>0</v>
      </c>
      <c r="LFX1">
        <f>Database!LGQ1</f>
        <v>0</v>
      </c>
      <c r="LFY1">
        <f>Database!LGR1</f>
        <v>0</v>
      </c>
      <c r="LFZ1">
        <f>Database!LGS1</f>
        <v>0</v>
      </c>
      <c r="LGA1">
        <f>Database!LGT1</f>
        <v>0</v>
      </c>
      <c r="LGB1">
        <f>Database!LGU1</f>
        <v>0</v>
      </c>
      <c r="LGC1">
        <f>Database!LGV1</f>
        <v>0</v>
      </c>
      <c r="LGD1">
        <f>Database!LGW1</f>
        <v>0</v>
      </c>
      <c r="LGE1">
        <f>Database!LGX1</f>
        <v>0</v>
      </c>
      <c r="LGF1">
        <f>Database!LGY1</f>
        <v>0</v>
      </c>
      <c r="LGG1">
        <f>Database!LGZ1</f>
        <v>0</v>
      </c>
      <c r="LGH1">
        <f>Database!LHA1</f>
        <v>0</v>
      </c>
      <c r="LGI1">
        <f>Database!LHB1</f>
        <v>0</v>
      </c>
      <c r="LGJ1">
        <f>Database!LHC1</f>
        <v>0</v>
      </c>
      <c r="LGK1">
        <f>Database!LHD1</f>
        <v>0</v>
      </c>
      <c r="LGL1">
        <f>Database!LHE1</f>
        <v>0</v>
      </c>
      <c r="LGM1">
        <f>Database!LHF1</f>
        <v>0</v>
      </c>
      <c r="LGN1">
        <f>Database!LHG1</f>
        <v>0</v>
      </c>
      <c r="LGO1">
        <f>Database!LHH1</f>
        <v>0</v>
      </c>
      <c r="LGP1">
        <f>Database!LHI1</f>
        <v>0</v>
      </c>
      <c r="LGQ1">
        <f>Database!LHJ1</f>
        <v>0</v>
      </c>
      <c r="LGR1">
        <f>Database!LHK1</f>
        <v>0</v>
      </c>
      <c r="LGS1">
        <f>Database!LHL1</f>
        <v>0</v>
      </c>
      <c r="LGT1">
        <f>Database!LHM1</f>
        <v>0</v>
      </c>
      <c r="LGU1">
        <f>Database!LHN1</f>
        <v>0</v>
      </c>
      <c r="LGV1">
        <f>Database!LHO1</f>
        <v>0</v>
      </c>
      <c r="LGW1">
        <f>Database!LHP1</f>
        <v>0</v>
      </c>
      <c r="LGX1">
        <f>Database!LHQ1</f>
        <v>0</v>
      </c>
      <c r="LGY1">
        <f>Database!LHR1</f>
        <v>0</v>
      </c>
      <c r="LGZ1">
        <f>Database!LHS1</f>
        <v>0</v>
      </c>
      <c r="LHA1">
        <f>Database!LHT1</f>
        <v>0</v>
      </c>
      <c r="LHB1">
        <f>Database!LHU1</f>
        <v>0</v>
      </c>
      <c r="LHC1">
        <f>Database!LHV1</f>
        <v>0</v>
      </c>
      <c r="LHD1">
        <f>Database!LHW1</f>
        <v>0</v>
      </c>
      <c r="LHE1">
        <f>Database!LHX1</f>
        <v>0</v>
      </c>
      <c r="LHF1">
        <f>Database!LHY1</f>
        <v>0</v>
      </c>
      <c r="LHG1">
        <f>Database!LHZ1</f>
        <v>0</v>
      </c>
      <c r="LHH1">
        <f>Database!LIA1</f>
        <v>0</v>
      </c>
      <c r="LHI1">
        <f>Database!LIB1</f>
        <v>0</v>
      </c>
      <c r="LHJ1">
        <f>Database!LIC1</f>
        <v>0</v>
      </c>
      <c r="LHK1">
        <f>Database!LID1</f>
        <v>0</v>
      </c>
      <c r="LHL1">
        <f>Database!LIE1</f>
        <v>0</v>
      </c>
      <c r="LHM1">
        <f>Database!LIF1</f>
        <v>0</v>
      </c>
      <c r="LHN1">
        <f>Database!LIG1</f>
        <v>0</v>
      </c>
      <c r="LHO1">
        <f>Database!LIH1</f>
        <v>0</v>
      </c>
      <c r="LHP1">
        <f>Database!LII1</f>
        <v>0</v>
      </c>
      <c r="LHQ1">
        <f>Database!LIJ1</f>
        <v>0</v>
      </c>
      <c r="LHR1">
        <f>Database!LIK1</f>
        <v>0</v>
      </c>
      <c r="LHS1">
        <f>Database!LIL1</f>
        <v>0</v>
      </c>
      <c r="LHT1">
        <f>Database!LIM1</f>
        <v>0</v>
      </c>
      <c r="LHU1">
        <f>Database!LIN1</f>
        <v>0</v>
      </c>
      <c r="LHV1">
        <f>Database!LIO1</f>
        <v>0</v>
      </c>
      <c r="LHW1">
        <f>Database!LIP1</f>
        <v>0</v>
      </c>
      <c r="LHX1">
        <f>Database!LIQ1</f>
        <v>0</v>
      </c>
      <c r="LHY1">
        <f>Database!LIR1</f>
        <v>0</v>
      </c>
      <c r="LHZ1">
        <f>Database!LIS1</f>
        <v>0</v>
      </c>
      <c r="LIA1">
        <f>Database!LIT1</f>
        <v>0</v>
      </c>
      <c r="LIB1">
        <f>Database!LIU1</f>
        <v>0</v>
      </c>
      <c r="LIC1">
        <f>Database!LIV1</f>
        <v>0</v>
      </c>
      <c r="LID1">
        <f>Database!LIW1</f>
        <v>0</v>
      </c>
      <c r="LIE1">
        <f>Database!LIX1</f>
        <v>0</v>
      </c>
      <c r="LIF1">
        <f>Database!LIY1</f>
        <v>0</v>
      </c>
      <c r="LIG1">
        <f>Database!LIZ1</f>
        <v>0</v>
      </c>
      <c r="LIH1">
        <f>Database!LJA1</f>
        <v>0</v>
      </c>
      <c r="LII1">
        <f>Database!LJB1</f>
        <v>0</v>
      </c>
      <c r="LIJ1">
        <f>Database!LJC1</f>
        <v>0</v>
      </c>
      <c r="LIK1">
        <f>Database!LJD1</f>
        <v>0</v>
      </c>
      <c r="LIL1">
        <f>Database!LJE1</f>
        <v>0</v>
      </c>
      <c r="LIM1">
        <f>Database!LJF1</f>
        <v>0</v>
      </c>
      <c r="LIN1">
        <f>Database!LJG1</f>
        <v>0</v>
      </c>
      <c r="LIO1">
        <f>Database!LJH1</f>
        <v>0</v>
      </c>
      <c r="LIP1">
        <f>Database!LJI1</f>
        <v>0</v>
      </c>
      <c r="LIQ1">
        <f>Database!LJJ1</f>
        <v>0</v>
      </c>
      <c r="LIR1">
        <f>Database!LJK1</f>
        <v>0</v>
      </c>
      <c r="LIS1">
        <f>Database!LJL1</f>
        <v>0</v>
      </c>
      <c r="LIT1">
        <f>Database!LJM1</f>
        <v>0</v>
      </c>
      <c r="LIU1">
        <f>Database!LJN1</f>
        <v>0</v>
      </c>
      <c r="LIV1">
        <f>Database!LJO1</f>
        <v>0</v>
      </c>
      <c r="LIW1">
        <f>Database!LJP1</f>
        <v>0</v>
      </c>
      <c r="LIX1">
        <f>Database!LJQ1</f>
        <v>0</v>
      </c>
      <c r="LIY1">
        <f>Database!LJR1</f>
        <v>0</v>
      </c>
      <c r="LIZ1">
        <f>Database!LJS1</f>
        <v>0</v>
      </c>
      <c r="LJA1">
        <f>Database!LJT1</f>
        <v>0</v>
      </c>
      <c r="LJB1">
        <f>Database!LJU1</f>
        <v>0</v>
      </c>
      <c r="LJC1">
        <f>Database!LJV1</f>
        <v>0</v>
      </c>
      <c r="LJD1">
        <f>Database!LJW1</f>
        <v>0</v>
      </c>
      <c r="LJE1">
        <f>Database!LJX1</f>
        <v>0</v>
      </c>
      <c r="LJF1">
        <f>Database!LJY1</f>
        <v>0</v>
      </c>
      <c r="LJG1">
        <f>Database!LJZ1</f>
        <v>0</v>
      </c>
      <c r="LJH1">
        <f>Database!LKA1</f>
        <v>0</v>
      </c>
      <c r="LJI1">
        <f>Database!LKB1</f>
        <v>0</v>
      </c>
      <c r="LJJ1">
        <f>Database!LKC1</f>
        <v>0</v>
      </c>
      <c r="LJK1">
        <f>Database!LKD1</f>
        <v>0</v>
      </c>
      <c r="LJL1">
        <f>Database!LKE1</f>
        <v>0</v>
      </c>
      <c r="LJM1">
        <f>Database!LKF1</f>
        <v>0</v>
      </c>
      <c r="LJN1">
        <f>Database!LKG1</f>
        <v>0</v>
      </c>
      <c r="LJO1">
        <f>Database!LKH1</f>
        <v>0</v>
      </c>
      <c r="LJP1">
        <f>Database!LKI1</f>
        <v>0</v>
      </c>
      <c r="LJQ1">
        <f>Database!LKJ1</f>
        <v>0</v>
      </c>
      <c r="LJR1">
        <f>Database!LKK1</f>
        <v>0</v>
      </c>
      <c r="LJS1">
        <f>Database!LKL1</f>
        <v>0</v>
      </c>
      <c r="LJT1">
        <f>Database!LKM1</f>
        <v>0</v>
      </c>
      <c r="LJU1">
        <f>Database!LKN1</f>
        <v>0</v>
      </c>
      <c r="LJV1">
        <f>Database!LKO1</f>
        <v>0</v>
      </c>
      <c r="LJW1">
        <f>Database!LKP1</f>
        <v>0</v>
      </c>
      <c r="LJX1">
        <f>Database!LKQ1</f>
        <v>0</v>
      </c>
      <c r="LJY1">
        <f>Database!LKR1</f>
        <v>0</v>
      </c>
      <c r="LJZ1">
        <f>Database!LKS1</f>
        <v>0</v>
      </c>
      <c r="LKA1">
        <f>Database!LKT1</f>
        <v>0</v>
      </c>
      <c r="LKB1">
        <f>Database!LKU1</f>
        <v>0</v>
      </c>
      <c r="LKC1">
        <f>Database!LKV1</f>
        <v>0</v>
      </c>
      <c r="LKD1">
        <f>Database!LKW1</f>
        <v>0</v>
      </c>
      <c r="LKE1">
        <f>Database!LKX1</f>
        <v>0</v>
      </c>
      <c r="LKF1">
        <f>Database!LKY1</f>
        <v>0</v>
      </c>
      <c r="LKG1">
        <f>Database!LKZ1</f>
        <v>0</v>
      </c>
      <c r="LKH1">
        <f>Database!LLA1</f>
        <v>0</v>
      </c>
      <c r="LKI1">
        <f>Database!LLB1</f>
        <v>0</v>
      </c>
      <c r="LKJ1">
        <f>Database!LLC1</f>
        <v>0</v>
      </c>
      <c r="LKK1">
        <f>Database!LLD1</f>
        <v>0</v>
      </c>
      <c r="LKL1">
        <f>Database!LLE1</f>
        <v>0</v>
      </c>
      <c r="LKM1">
        <f>Database!LLF1</f>
        <v>0</v>
      </c>
      <c r="LKN1">
        <f>Database!LLG1</f>
        <v>0</v>
      </c>
      <c r="LKO1">
        <f>Database!LLH1</f>
        <v>0</v>
      </c>
      <c r="LKP1">
        <f>Database!LLI1</f>
        <v>0</v>
      </c>
      <c r="LKQ1">
        <f>Database!LLJ1</f>
        <v>0</v>
      </c>
      <c r="LKR1">
        <f>Database!LLK1</f>
        <v>0</v>
      </c>
      <c r="LKS1">
        <f>Database!LLL1</f>
        <v>0</v>
      </c>
      <c r="LKT1">
        <f>Database!LLM1</f>
        <v>0</v>
      </c>
      <c r="LKU1">
        <f>Database!LLN1</f>
        <v>0</v>
      </c>
      <c r="LKV1">
        <f>Database!LLO1</f>
        <v>0</v>
      </c>
      <c r="LKW1">
        <f>Database!LLP1</f>
        <v>0</v>
      </c>
      <c r="LKX1">
        <f>Database!LLQ1</f>
        <v>0</v>
      </c>
      <c r="LKY1">
        <f>Database!LLR1</f>
        <v>0</v>
      </c>
      <c r="LKZ1">
        <f>Database!LLS1</f>
        <v>0</v>
      </c>
      <c r="LLA1">
        <f>Database!LLT1</f>
        <v>0</v>
      </c>
      <c r="LLB1">
        <f>Database!LLU1</f>
        <v>0</v>
      </c>
      <c r="LLC1">
        <f>Database!LLV1</f>
        <v>0</v>
      </c>
      <c r="LLD1">
        <f>Database!LLW1</f>
        <v>0</v>
      </c>
      <c r="LLE1">
        <f>Database!LLX1</f>
        <v>0</v>
      </c>
      <c r="LLF1">
        <f>Database!LLY1</f>
        <v>0</v>
      </c>
      <c r="LLG1">
        <f>Database!LLZ1</f>
        <v>0</v>
      </c>
      <c r="LLH1">
        <f>Database!LMA1</f>
        <v>0</v>
      </c>
      <c r="LLI1">
        <f>Database!LMB1</f>
        <v>0</v>
      </c>
      <c r="LLJ1">
        <f>Database!LMC1</f>
        <v>0</v>
      </c>
      <c r="LLK1">
        <f>Database!LMD1</f>
        <v>0</v>
      </c>
      <c r="LLL1">
        <f>Database!LME1</f>
        <v>0</v>
      </c>
      <c r="LLM1">
        <f>Database!LMF1</f>
        <v>0</v>
      </c>
      <c r="LLN1">
        <f>Database!LMG1</f>
        <v>0</v>
      </c>
      <c r="LLO1">
        <f>Database!LMH1</f>
        <v>0</v>
      </c>
      <c r="LLP1">
        <f>Database!LMI1</f>
        <v>0</v>
      </c>
      <c r="LLQ1">
        <f>Database!LMJ1</f>
        <v>0</v>
      </c>
      <c r="LLR1">
        <f>Database!LMK1</f>
        <v>0</v>
      </c>
      <c r="LLS1">
        <f>Database!LML1</f>
        <v>0</v>
      </c>
      <c r="LLT1">
        <f>Database!LMM1</f>
        <v>0</v>
      </c>
      <c r="LLU1">
        <f>Database!LMN1</f>
        <v>0</v>
      </c>
      <c r="LLV1">
        <f>Database!LMO1</f>
        <v>0</v>
      </c>
      <c r="LLW1">
        <f>Database!LMP1</f>
        <v>0</v>
      </c>
      <c r="LLX1">
        <f>Database!LMQ1</f>
        <v>0</v>
      </c>
      <c r="LLY1">
        <f>Database!LMR1</f>
        <v>0</v>
      </c>
      <c r="LLZ1">
        <f>Database!LMS1</f>
        <v>0</v>
      </c>
      <c r="LMA1">
        <f>Database!LMT1</f>
        <v>0</v>
      </c>
      <c r="LMB1">
        <f>Database!LMU1</f>
        <v>0</v>
      </c>
      <c r="LMC1">
        <f>Database!LMV1</f>
        <v>0</v>
      </c>
      <c r="LMD1">
        <f>Database!LMW1</f>
        <v>0</v>
      </c>
      <c r="LME1">
        <f>Database!LMX1</f>
        <v>0</v>
      </c>
      <c r="LMF1">
        <f>Database!LMY1</f>
        <v>0</v>
      </c>
      <c r="LMG1">
        <f>Database!LMZ1</f>
        <v>0</v>
      </c>
      <c r="LMH1">
        <f>Database!LNA1</f>
        <v>0</v>
      </c>
      <c r="LMI1">
        <f>Database!LNB1</f>
        <v>0</v>
      </c>
      <c r="LMJ1">
        <f>Database!LNC1</f>
        <v>0</v>
      </c>
      <c r="LMK1">
        <f>Database!LND1</f>
        <v>0</v>
      </c>
      <c r="LML1">
        <f>Database!LNE1</f>
        <v>0</v>
      </c>
      <c r="LMM1">
        <f>Database!LNF1</f>
        <v>0</v>
      </c>
      <c r="LMN1">
        <f>Database!LNG1</f>
        <v>0</v>
      </c>
      <c r="LMO1">
        <f>Database!LNH1</f>
        <v>0</v>
      </c>
      <c r="LMP1">
        <f>Database!LNI1</f>
        <v>0</v>
      </c>
      <c r="LMQ1">
        <f>Database!LNJ1</f>
        <v>0</v>
      </c>
      <c r="LMR1">
        <f>Database!LNK1</f>
        <v>0</v>
      </c>
      <c r="LMS1">
        <f>Database!LNL1</f>
        <v>0</v>
      </c>
      <c r="LMT1">
        <f>Database!LNM1</f>
        <v>0</v>
      </c>
      <c r="LMU1">
        <f>Database!LNN1</f>
        <v>0</v>
      </c>
      <c r="LMV1">
        <f>Database!LNO1</f>
        <v>0</v>
      </c>
      <c r="LMW1">
        <f>Database!LNP1</f>
        <v>0</v>
      </c>
      <c r="LMX1">
        <f>Database!LNQ1</f>
        <v>0</v>
      </c>
      <c r="LMY1">
        <f>Database!LNR1</f>
        <v>0</v>
      </c>
      <c r="LMZ1">
        <f>Database!LNS1</f>
        <v>0</v>
      </c>
      <c r="LNA1">
        <f>Database!LNT1</f>
        <v>0</v>
      </c>
      <c r="LNB1">
        <f>Database!LNU1</f>
        <v>0</v>
      </c>
      <c r="LNC1">
        <f>Database!LNV1</f>
        <v>0</v>
      </c>
      <c r="LND1">
        <f>Database!LNW1</f>
        <v>0</v>
      </c>
      <c r="LNE1">
        <f>Database!LNX1</f>
        <v>0</v>
      </c>
      <c r="LNF1">
        <f>Database!LNY1</f>
        <v>0</v>
      </c>
      <c r="LNG1">
        <f>Database!LNZ1</f>
        <v>0</v>
      </c>
      <c r="LNH1">
        <f>Database!LOA1</f>
        <v>0</v>
      </c>
      <c r="LNI1">
        <f>Database!LOB1</f>
        <v>0</v>
      </c>
      <c r="LNJ1">
        <f>Database!LOC1</f>
        <v>0</v>
      </c>
      <c r="LNK1">
        <f>Database!LOD1</f>
        <v>0</v>
      </c>
      <c r="LNL1">
        <f>Database!LOE1</f>
        <v>0</v>
      </c>
      <c r="LNM1">
        <f>Database!LOF1</f>
        <v>0</v>
      </c>
      <c r="LNN1">
        <f>Database!LOG1</f>
        <v>0</v>
      </c>
      <c r="LNO1">
        <f>Database!LOH1</f>
        <v>0</v>
      </c>
      <c r="LNP1">
        <f>Database!LOI1</f>
        <v>0</v>
      </c>
      <c r="LNQ1">
        <f>Database!LOJ1</f>
        <v>0</v>
      </c>
      <c r="LNR1">
        <f>Database!LOK1</f>
        <v>0</v>
      </c>
      <c r="LNS1">
        <f>Database!LOL1</f>
        <v>0</v>
      </c>
      <c r="LNT1">
        <f>Database!LOM1</f>
        <v>0</v>
      </c>
      <c r="LNU1">
        <f>Database!LON1</f>
        <v>0</v>
      </c>
      <c r="LNV1">
        <f>Database!LOO1</f>
        <v>0</v>
      </c>
      <c r="LNW1">
        <f>Database!LOP1</f>
        <v>0</v>
      </c>
      <c r="LNX1">
        <f>Database!LOQ1</f>
        <v>0</v>
      </c>
      <c r="LNY1">
        <f>Database!LOR1</f>
        <v>0</v>
      </c>
      <c r="LNZ1">
        <f>Database!LOS1</f>
        <v>0</v>
      </c>
      <c r="LOA1">
        <f>Database!LOT1</f>
        <v>0</v>
      </c>
      <c r="LOB1">
        <f>Database!LOU1</f>
        <v>0</v>
      </c>
      <c r="LOC1">
        <f>Database!LOV1</f>
        <v>0</v>
      </c>
      <c r="LOD1">
        <f>Database!LOW1</f>
        <v>0</v>
      </c>
      <c r="LOE1">
        <f>Database!LOX1</f>
        <v>0</v>
      </c>
      <c r="LOF1">
        <f>Database!LOY1</f>
        <v>0</v>
      </c>
      <c r="LOG1">
        <f>Database!LOZ1</f>
        <v>0</v>
      </c>
      <c r="LOH1">
        <f>Database!LPA1</f>
        <v>0</v>
      </c>
      <c r="LOI1">
        <f>Database!LPB1</f>
        <v>0</v>
      </c>
      <c r="LOJ1">
        <f>Database!LPC1</f>
        <v>0</v>
      </c>
      <c r="LOK1">
        <f>Database!LPD1</f>
        <v>0</v>
      </c>
      <c r="LOL1">
        <f>Database!LPE1</f>
        <v>0</v>
      </c>
      <c r="LOM1">
        <f>Database!LPF1</f>
        <v>0</v>
      </c>
      <c r="LON1">
        <f>Database!LPG1</f>
        <v>0</v>
      </c>
      <c r="LOO1">
        <f>Database!LPH1</f>
        <v>0</v>
      </c>
      <c r="LOP1">
        <f>Database!LPI1</f>
        <v>0</v>
      </c>
      <c r="LOQ1">
        <f>Database!LPJ1</f>
        <v>0</v>
      </c>
      <c r="LOR1">
        <f>Database!LPK1</f>
        <v>0</v>
      </c>
      <c r="LOS1">
        <f>Database!LPL1</f>
        <v>0</v>
      </c>
      <c r="LOT1">
        <f>Database!LPM1</f>
        <v>0</v>
      </c>
      <c r="LOU1">
        <f>Database!LPN1</f>
        <v>0</v>
      </c>
      <c r="LOV1">
        <f>Database!LPO1</f>
        <v>0</v>
      </c>
      <c r="LOW1">
        <f>Database!LPP1</f>
        <v>0</v>
      </c>
      <c r="LOX1">
        <f>Database!LPQ1</f>
        <v>0</v>
      </c>
      <c r="LOY1">
        <f>Database!LPR1</f>
        <v>0</v>
      </c>
      <c r="LOZ1">
        <f>Database!LPS1</f>
        <v>0</v>
      </c>
      <c r="LPA1">
        <f>Database!LPT1</f>
        <v>0</v>
      </c>
      <c r="LPB1">
        <f>Database!LPU1</f>
        <v>0</v>
      </c>
      <c r="LPC1">
        <f>Database!LPV1</f>
        <v>0</v>
      </c>
      <c r="LPD1">
        <f>Database!LPW1</f>
        <v>0</v>
      </c>
      <c r="LPE1">
        <f>Database!LPX1</f>
        <v>0</v>
      </c>
      <c r="LPF1">
        <f>Database!LPY1</f>
        <v>0</v>
      </c>
      <c r="LPG1">
        <f>Database!LPZ1</f>
        <v>0</v>
      </c>
      <c r="LPH1">
        <f>Database!LQA1</f>
        <v>0</v>
      </c>
      <c r="LPI1">
        <f>Database!LQB1</f>
        <v>0</v>
      </c>
      <c r="LPJ1">
        <f>Database!LQC1</f>
        <v>0</v>
      </c>
      <c r="LPK1">
        <f>Database!LQD1</f>
        <v>0</v>
      </c>
      <c r="LPL1">
        <f>Database!LQE1</f>
        <v>0</v>
      </c>
      <c r="LPM1">
        <f>Database!LQF1</f>
        <v>0</v>
      </c>
      <c r="LPN1">
        <f>Database!LQG1</f>
        <v>0</v>
      </c>
      <c r="LPO1">
        <f>Database!LQH1</f>
        <v>0</v>
      </c>
      <c r="LPP1">
        <f>Database!LQI1</f>
        <v>0</v>
      </c>
      <c r="LPQ1">
        <f>Database!LQJ1</f>
        <v>0</v>
      </c>
      <c r="LPR1">
        <f>Database!LQK1</f>
        <v>0</v>
      </c>
      <c r="LPS1">
        <f>Database!LQL1</f>
        <v>0</v>
      </c>
      <c r="LPT1">
        <f>Database!LQM1</f>
        <v>0</v>
      </c>
      <c r="LPU1">
        <f>Database!LQN1</f>
        <v>0</v>
      </c>
      <c r="LPV1">
        <f>Database!LQO1</f>
        <v>0</v>
      </c>
      <c r="LPW1">
        <f>Database!LQP1</f>
        <v>0</v>
      </c>
      <c r="LPX1">
        <f>Database!LQQ1</f>
        <v>0</v>
      </c>
      <c r="LPY1">
        <f>Database!LQR1</f>
        <v>0</v>
      </c>
      <c r="LPZ1">
        <f>Database!LQS1</f>
        <v>0</v>
      </c>
      <c r="LQA1">
        <f>Database!LQT1</f>
        <v>0</v>
      </c>
      <c r="LQB1">
        <f>Database!LQU1</f>
        <v>0</v>
      </c>
      <c r="LQC1">
        <f>Database!LQV1</f>
        <v>0</v>
      </c>
      <c r="LQD1">
        <f>Database!LQW1</f>
        <v>0</v>
      </c>
      <c r="LQE1">
        <f>Database!LQX1</f>
        <v>0</v>
      </c>
      <c r="LQF1">
        <f>Database!LQY1</f>
        <v>0</v>
      </c>
      <c r="LQG1">
        <f>Database!LQZ1</f>
        <v>0</v>
      </c>
      <c r="LQH1">
        <f>Database!LRA1</f>
        <v>0</v>
      </c>
      <c r="LQI1">
        <f>Database!LRB1</f>
        <v>0</v>
      </c>
      <c r="LQJ1">
        <f>Database!LRC1</f>
        <v>0</v>
      </c>
      <c r="LQK1">
        <f>Database!LRD1</f>
        <v>0</v>
      </c>
      <c r="LQL1">
        <f>Database!LRE1</f>
        <v>0</v>
      </c>
      <c r="LQM1">
        <f>Database!LRF1</f>
        <v>0</v>
      </c>
      <c r="LQN1">
        <f>Database!LRG1</f>
        <v>0</v>
      </c>
      <c r="LQO1">
        <f>Database!LRH1</f>
        <v>0</v>
      </c>
      <c r="LQP1">
        <f>Database!LRI1</f>
        <v>0</v>
      </c>
      <c r="LQQ1">
        <f>Database!LRJ1</f>
        <v>0</v>
      </c>
      <c r="LQR1">
        <f>Database!LRK1</f>
        <v>0</v>
      </c>
      <c r="LQS1">
        <f>Database!LRL1</f>
        <v>0</v>
      </c>
      <c r="LQT1">
        <f>Database!LRM1</f>
        <v>0</v>
      </c>
      <c r="LQU1">
        <f>Database!LRN1</f>
        <v>0</v>
      </c>
      <c r="LQV1">
        <f>Database!LRO1</f>
        <v>0</v>
      </c>
      <c r="LQW1">
        <f>Database!LRP1</f>
        <v>0</v>
      </c>
      <c r="LQX1">
        <f>Database!LRQ1</f>
        <v>0</v>
      </c>
      <c r="LQY1">
        <f>Database!LRR1</f>
        <v>0</v>
      </c>
      <c r="LQZ1">
        <f>Database!LRS1</f>
        <v>0</v>
      </c>
      <c r="LRA1">
        <f>Database!LRT1</f>
        <v>0</v>
      </c>
      <c r="LRB1">
        <f>Database!LRU1</f>
        <v>0</v>
      </c>
      <c r="LRC1">
        <f>Database!LRV1</f>
        <v>0</v>
      </c>
      <c r="LRD1">
        <f>Database!LRW1</f>
        <v>0</v>
      </c>
      <c r="LRE1">
        <f>Database!LRX1</f>
        <v>0</v>
      </c>
      <c r="LRF1">
        <f>Database!LRY1</f>
        <v>0</v>
      </c>
      <c r="LRG1">
        <f>Database!LRZ1</f>
        <v>0</v>
      </c>
      <c r="LRH1">
        <f>Database!LSA1</f>
        <v>0</v>
      </c>
      <c r="LRI1">
        <f>Database!LSB1</f>
        <v>0</v>
      </c>
      <c r="LRJ1">
        <f>Database!LSC1</f>
        <v>0</v>
      </c>
      <c r="LRK1">
        <f>Database!LSD1</f>
        <v>0</v>
      </c>
      <c r="LRL1">
        <f>Database!LSE1</f>
        <v>0</v>
      </c>
      <c r="LRM1">
        <f>Database!LSF1</f>
        <v>0</v>
      </c>
      <c r="LRN1">
        <f>Database!LSG1</f>
        <v>0</v>
      </c>
      <c r="LRO1">
        <f>Database!LSH1</f>
        <v>0</v>
      </c>
      <c r="LRP1">
        <f>Database!LSI1</f>
        <v>0</v>
      </c>
      <c r="LRQ1">
        <f>Database!LSJ1</f>
        <v>0</v>
      </c>
      <c r="LRR1">
        <f>Database!LSK1</f>
        <v>0</v>
      </c>
      <c r="LRS1">
        <f>Database!LSL1</f>
        <v>0</v>
      </c>
      <c r="LRT1">
        <f>Database!LSM1</f>
        <v>0</v>
      </c>
      <c r="LRU1">
        <f>Database!LSN1</f>
        <v>0</v>
      </c>
      <c r="LRV1">
        <f>Database!LSO1</f>
        <v>0</v>
      </c>
      <c r="LRW1">
        <f>Database!LSP1</f>
        <v>0</v>
      </c>
      <c r="LRX1">
        <f>Database!LSQ1</f>
        <v>0</v>
      </c>
      <c r="LRY1">
        <f>Database!LSR1</f>
        <v>0</v>
      </c>
      <c r="LRZ1">
        <f>Database!LSS1</f>
        <v>0</v>
      </c>
      <c r="LSA1">
        <f>Database!LST1</f>
        <v>0</v>
      </c>
      <c r="LSB1">
        <f>Database!LSU1</f>
        <v>0</v>
      </c>
      <c r="LSC1">
        <f>Database!LSV1</f>
        <v>0</v>
      </c>
      <c r="LSD1">
        <f>Database!LSW1</f>
        <v>0</v>
      </c>
      <c r="LSE1">
        <f>Database!LSX1</f>
        <v>0</v>
      </c>
      <c r="LSF1">
        <f>Database!LSY1</f>
        <v>0</v>
      </c>
      <c r="LSG1">
        <f>Database!LSZ1</f>
        <v>0</v>
      </c>
      <c r="LSH1">
        <f>Database!LTA1</f>
        <v>0</v>
      </c>
      <c r="LSI1">
        <f>Database!LTB1</f>
        <v>0</v>
      </c>
      <c r="LSJ1">
        <f>Database!LTC1</f>
        <v>0</v>
      </c>
      <c r="LSK1">
        <f>Database!LTD1</f>
        <v>0</v>
      </c>
      <c r="LSL1">
        <f>Database!LTE1</f>
        <v>0</v>
      </c>
      <c r="LSM1">
        <f>Database!LTF1</f>
        <v>0</v>
      </c>
      <c r="LSN1">
        <f>Database!LTG1</f>
        <v>0</v>
      </c>
      <c r="LSO1">
        <f>Database!LTH1</f>
        <v>0</v>
      </c>
      <c r="LSP1">
        <f>Database!LTI1</f>
        <v>0</v>
      </c>
      <c r="LSQ1">
        <f>Database!LTJ1</f>
        <v>0</v>
      </c>
      <c r="LSR1">
        <f>Database!LTK1</f>
        <v>0</v>
      </c>
      <c r="LSS1">
        <f>Database!LTL1</f>
        <v>0</v>
      </c>
      <c r="LST1">
        <f>Database!LTM1</f>
        <v>0</v>
      </c>
      <c r="LSU1">
        <f>Database!LTN1</f>
        <v>0</v>
      </c>
      <c r="LSV1">
        <f>Database!LTO1</f>
        <v>0</v>
      </c>
      <c r="LSW1">
        <f>Database!LTP1</f>
        <v>0</v>
      </c>
      <c r="LSX1">
        <f>Database!LTQ1</f>
        <v>0</v>
      </c>
      <c r="LSY1">
        <f>Database!LTR1</f>
        <v>0</v>
      </c>
      <c r="LSZ1">
        <f>Database!LTS1</f>
        <v>0</v>
      </c>
      <c r="LTA1">
        <f>Database!LTT1</f>
        <v>0</v>
      </c>
      <c r="LTB1">
        <f>Database!LTU1</f>
        <v>0</v>
      </c>
      <c r="LTC1">
        <f>Database!LTV1</f>
        <v>0</v>
      </c>
      <c r="LTD1">
        <f>Database!LTW1</f>
        <v>0</v>
      </c>
      <c r="LTE1">
        <f>Database!LTX1</f>
        <v>0</v>
      </c>
      <c r="LTF1">
        <f>Database!LTY1</f>
        <v>0</v>
      </c>
      <c r="LTG1">
        <f>Database!LTZ1</f>
        <v>0</v>
      </c>
      <c r="LTH1">
        <f>Database!LUA1</f>
        <v>0</v>
      </c>
      <c r="LTI1">
        <f>Database!LUB1</f>
        <v>0</v>
      </c>
      <c r="LTJ1">
        <f>Database!LUC1</f>
        <v>0</v>
      </c>
      <c r="LTK1">
        <f>Database!LUD1</f>
        <v>0</v>
      </c>
      <c r="LTL1">
        <f>Database!LUE1</f>
        <v>0</v>
      </c>
      <c r="LTM1">
        <f>Database!LUF1</f>
        <v>0</v>
      </c>
      <c r="LTN1">
        <f>Database!LUG1</f>
        <v>0</v>
      </c>
      <c r="LTO1">
        <f>Database!LUH1</f>
        <v>0</v>
      </c>
      <c r="LTP1">
        <f>Database!LUI1</f>
        <v>0</v>
      </c>
      <c r="LTQ1">
        <f>Database!LUJ1</f>
        <v>0</v>
      </c>
      <c r="LTR1">
        <f>Database!LUK1</f>
        <v>0</v>
      </c>
      <c r="LTS1">
        <f>Database!LUL1</f>
        <v>0</v>
      </c>
      <c r="LTT1">
        <f>Database!LUM1</f>
        <v>0</v>
      </c>
      <c r="LTU1">
        <f>Database!LUN1</f>
        <v>0</v>
      </c>
      <c r="LTV1">
        <f>Database!LUO1</f>
        <v>0</v>
      </c>
      <c r="LTW1">
        <f>Database!LUP1</f>
        <v>0</v>
      </c>
      <c r="LTX1">
        <f>Database!LUQ1</f>
        <v>0</v>
      </c>
      <c r="LTY1">
        <f>Database!LUR1</f>
        <v>0</v>
      </c>
      <c r="LTZ1">
        <f>Database!LUS1</f>
        <v>0</v>
      </c>
      <c r="LUA1">
        <f>Database!LUT1</f>
        <v>0</v>
      </c>
      <c r="LUB1">
        <f>Database!LUU1</f>
        <v>0</v>
      </c>
      <c r="LUC1">
        <f>Database!LUV1</f>
        <v>0</v>
      </c>
      <c r="LUD1">
        <f>Database!LUW1</f>
        <v>0</v>
      </c>
      <c r="LUE1">
        <f>Database!LUX1</f>
        <v>0</v>
      </c>
      <c r="LUF1">
        <f>Database!LUY1</f>
        <v>0</v>
      </c>
      <c r="LUG1">
        <f>Database!LUZ1</f>
        <v>0</v>
      </c>
      <c r="LUH1">
        <f>Database!LVA1</f>
        <v>0</v>
      </c>
      <c r="LUI1">
        <f>Database!LVB1</f>
        <v>0</v>
      </c>
      <c r="LUJ1">
        <f>Database!LVC1</f>
        <v>0</v>
      </c>
      <c r="LUK1">
        <f>Database!LVD1</f>
        <v>0</v>
      </c>
      <c r="LUL1">
        <f>Database!LVE1</f>
        <v>0</v>
      </c>
      <c r="LUM1">
        <f>Database!LVF1</f>
        <v>0</v>
      </c>
      <c r="LUN1">
        <f>Database!LVG1</f>
        <v>0</v>
      </c>
      <c r="LUO1">
        <f>Database!LVH1</f>
        <v>0</v>
      </c>
      <c r="LUP1">
        <f>Database!LVI1</f>
        <v>0</v>
      </c>
      <c r="LUQ1">
        <f>Database!LVJ1</f>
        <v>0</v>
      </c>
      <c r="LUR1">
        <f>Database!LVK1</f>
        <v>0</v>
      </c>
      <c r="LUS1">
        <f>Database!LVL1</f>
        <v>0</v>
      </c>
      <c r="LUT1">
        <f>Database!LVM1</f>
        <v>0</v>
      </c>
      <c r="LUU1">
        <f>Database!LVN1</f>
        <v>0</v>
      </c>
      <c r="LUV1">
        <f>Database!LVO1</f>
        <v>0</v>
      </c>
      <c r="LUW1">
        <f>Database!LVP1</f>
        <v>0</v>
      </c>
      <c r="LUX1">
        <f>Database!LVQ1</f>
        <v>0</v>
      </c>
      <c r="LUY1">
        <f>Database!LVR1</f>
        <v>0</v>
      </c>
      <c r="LUZ1">
        <f>Database!LVS1</f>
        <v>0</v>
      </c>
      <c r="LVA1">
        <f>Database!LVT1</f>
        <v>0</v>
      </c>
      <c r="LVB1">
        <f>Database!LVU1</f>
        <v>0</v>
      </c>
      <c r="LVC1">
        <f>Database!LVV1</f>
        <v>0</v>
      </c>
      <c r="LVD1">
        <f>Database!LVW1</f>
        <v>0</v>
      </c>
      <c r="LVE1">
        <f>Database!LVX1</f>
        <v>0</v>
      </c>
      <c r="LVF1">
        <f>Database!LVY1</f>
        <v>0</v>
      </c>
      <c r="LVG1">
        <f>Database!LVZ1</f>
        <v>0</v>
      </c>
      <c r="LVH1">
        <f>Database!LWA1</f>
        <v>0</v>
      </c>
      <c r="LVI1">
        <f>Database!LWB1</f>
        <v>0</v>
      </c>
      <c r="LVJ1">
        <f>Database!LWC1</f>
        <v>0</v>
      </c>
      <c r="LVK1">
        <f>Database!LWD1</f>
        <v>0</v>
      </c>
      <c r="LVL1">
        <f>Database!LWE1</f>
        <v>0</v>
      </c>
      <c r="LVM1">
        <f>Database!LWF1</f>
        <v>0</v>
      </c>
      <c r="LVN1">
        <f>Database!LWG1</f>
        <v>0</v>
      </c>
      <c r="LVO1">
        <f>Database!LWH1</f>
        <v>0</v>
      </c>
      <c r="LVP1">
        <f>Database!LWI1</f>
        <v>0</v>
      </c>
      <c r="LVQ1">
        <f>Database!LWJ1</f>
        <v>0</v>
      </c>
      <c r="LVR1">
        <f>Database!LWK1</f>
        <v>0</v>
      </c>
      <c r="LVS1">
        <f>Database!LWL1</f>
        <v>0</v>
      </c>
      <c r="LVT1">
        <f>Database!LWM1</f>
        <v>0</v>
      </c>
      <c r="LVU1">
        <f>Database!LWN1</f>
        <v>0</v>
      </c>
      <c r="LVV1">
        <f>Database!LWO1</f>
        <v>0</v>
      </c>
      <c r="LVW1">
        <f>Database!LWP1</f>
        <v>0</v>
      </c>
      <c r="LVX1">
        <f>Database!LWQ1</f>
        <v>0</v>
      </c>
      <c r="LVY1">
        <f>Database!LWR1</f>
        <v>0</v>
      </c>
      <c r="LVZ1">
        <f>Database!LWS1</f>
        <v>0</v>
      </c>
      <c r="LWA1">
        <f>Database!LWT1</f>
        <v>0</v>
      </c>
      <c r="LWB1">
        <f>Database!LWU1</f>
        <v>0</v>
      </c>
      <c r="LWC1">
        <f>Database!LWV1</f>
        <v>0</v>
      </c>
      <c r="LWD1">
        <f>Database!LWW1</f>
        <v>0</v>
      </c>
      <c r="LWE1">
        <f>Database!LWX1</f>
        <v>0</v>
      </c>
      <c r="LWF1">
        <f>Database!LWY1</f>
        <v>0</v>
      </c>
      <c r="LWG1">
        <f>Database!LWZ1</f>
        <v>0</v>
      </c>
      <c r="LWH1">
        <f>Database!LXA1</f>
        <v>0</v>
      </c>
      <c r="LWI1">
        <f>Database!LXB1</f>
        <v>0</v>
      </c>
      <c r="LWJ1">
        <f>Database!LXC1</f>
        <v>0</v>
      </c>
      <c r="LWK1">
        <f>Database!LXD1</f>
        <v>0</v>
      </c>
      <c r="LWL1">
        <f>Database!LXE1</f>
        <v>0</v>
      </c>
      <c r="LWM1">
        <f>Database!LXF1</f>
        <v>0</v>
      </c>
      <c r="LWN1">
        <f>Database!LXG1</f>
        <v>0</v>
      </c>
      <c r="LWO1">
        <f>Database!LXH1</f>
        <v>0</v>
      </c>
      <c r="LWP1">
        <f>Database!LXI1</f>
        <v>0</v>
      </c>
      <c r="LWQ1">
        <f>Database!LXJ1</f>
        <v>0</v>
      </c>
      <c r="LWR1">
        <f>Database!LXK1</f>
        <v>0</v>
      </c>
      <c r="LWS1">
        <f>Database!LXL1</f>
        <v>0</v>
      </c>
      <c r="LWT1">
        <f>Database!LXM1</f>
        <v>0</v>
      </c>
      <c r="LWU1">
        <f>Database!LXN1</f>
        <v>0</v>
      </c>
      <c r="LWV1">
        <f>Database!LXO1</f>
        <v>0</v>
      </c>
      <c r="LWW1">
        <f>Database!LXP1</f>
        <v>0</v>
      </c>
      <c r="LWX1">
        <f>Database!LXQ1</f>
        <v>0</v>
      </c>
      <c r="LWY1">
        <f>Database!LXR1</f>
        <v>0</v>
      </c>
      <c r="LWZ1">
        <f>Database!LXS1</f>
        <v>0</v>
      </c>
      <c r="LXA1">
        <f>Database!LXT1</f>
        <v>0</v>
      </c>
      <c r="LXB1">
        <f>Database!LXU1</f>
        <v>0</v>
      </c>
      <c r="LXC1">
        <f>Database!LXV1</f>
        <v>0</v>
      </c>
      <c r="LXD1">
        <f>Database!LXW1</f>
        <v>0</v>
      </c>
      <c r="LXE1">
        <f>Database!LXX1</f>
        <v>0</v>
      </c>
      <c r="LXF1">
        <f>Database!LXY1</f>
        <v>0</v>
      </c>
      <c r="LXG1">
        <f>Database!LXZ1</f>
        <v>0</v>
      </c>
      <c r="LXH1">
        <f>Database!LYA1</f>
        <v>0</v>
      </c>
      <c r="LXI1">
        <f>Database!LYB1</f>
        <v>0</v>
      </c>
      <c r="LXJ1">
        <f>Database!LYC1</f>
        <v>0</v>
      </c>
      <c r="LXK1">
        <f>Database!LYD1</f>
        <v>0</v>
      </c>
      <c r="LXL1">
        <f>Database!LYE1</f>
        <v>0</v>
      </c>
      <c r="LXM1">
        <f>Database!LYF1</f>
        <v>0</v>
      </c>
      <c r="LXN1">
        <f>Database!LYG1</f>
        <v>0</v>
      </c>
      <c r="LXO1">
        <f>Database!LYH1</f>
        <v>0</v>
      </c>
      <c r="LXP1">
        <f>Database!LYI1</f>
        <v>0</v>
      </c>
      <c r="LXQ1">
        <f>Database!LYJ1</f>
        <v>0</v>
      </c>
      <c r="LXR1">
        <f>Database!LYK1</f>
        <v>0</v>
      </c>
      <c r="LXS1">
        <f>Database!LYL1</f>
        <v>0</v>
      </c>
      <c r="LXT1">
        <f>Database!LYM1</f>
        <v>0</v>
      </c>
      <c r="LXU1">
        <f>Database!LYN1</f>
        <v>0</v>
      </c>
      <c r="LXV1">
        <f>Database!LYO1</f>
        <v>0</v>
      </c>
      <c r="LXW1">
        <f>Database!LYP1</f>
        <v>0</v>
      </c>
      <c r="LXX1">
        <f>Database!LYQ1</f>
        <v>0</v>
      </c>
      <c r="LXY1">
        <f>Database!LYR1</f>
        <v>0</v>
      </c>
      <c r="LXZ1">
        <f>Database!LYS1</f>
        <v>0</v>
      </c>
      <c r="LYA1">
        <f>Database!LYT1</f>
        <v>0</v>
      </c>
      <c r="LYB1">
        <f>Database!LYU1</f>
        <v>0</v>
      </c>
      <c r="LYC1">
        <f>Database!LYV1</f>
        <v>0</v>
      </c>
      <c r="LYD1">
        <f>Database!LYW1</f>
        <v>0</v>
      </c>
      <c r="LYE1">
        <f>Database!LYX1</f>
        <v>0</v>
      </c>
      <c r="LYF1">
        <f>Database!LYY1</f>
        <v>0</v>
      </c>
      <c r="LYG1">
        <f>Database!LYZ1</f>
        <v>0</v>
      </c>
      <c r="LYH1">
        <f>Database!LZA1</f>
        <v>0</v>
      </c>
      <c r="LYI1">
        <f>Database!LZB1</f>
        <v>0</v>
      </c>
      <c r="LYJ1">
        <f>Database!LZC1</f>
        <v>0</v>
      </c>
      <c r="LYK1">
        <f>Database!LZD1</f>
        <v>0</v>
      </c>
      <c r="LYL1">
        <f>Database!LZE1</f>
        <v>0</v>
      </c>
      <c r="LYM1">
        <f>Database!LZF1</f>
        <v>0</v>
      </c>
      <c r="LYN1">
        <f>Database!LZG1</f>
        <v>0</v>
      </c>
      <c r="LYO1">
        <f>Database!LZH1</f>
        <v>0</v>
      </c>
      <c r="LYP1">
        <f>Database!LZI1</f>
        <v>0</v>
      </c>
      <c r="LYQ1">
        <f>Database!LZJ1</f>
        <v>0</v>
      </c>
      <c r="LYR1">
        <f>Database!LZK1</f>
        <v>0</v>
      </c>
      <c r="LYS1">
        <f>Database!LZL1</f>
        <v>0</v>
      </c>
      <c r="LYT1">
        <f>Database!LZM1</f>
        <v>0</v>
      </c>
      <c r="LYU1">
        <f>Database!LZN1</f>
        <v>0</v>
      </c>
      <c r="LYV1">
        <f>Database!LZO1</f>
        <v>0</v>
      </c>
      <c r="LYW1">
        <f>Database!LZP1</f>
        <v>0</v>
      </c>
      <c r="LYX1">
        <f>Database!LZQ1</f>
        <v>0</v>
      </c>
      <c r="LYY1">
        <f>Database!LZR1</f>
        <v>0</v>
      </c>
      <c r="LYZ1">
        <f>Database!LZS1</f>
        <v>0</v>
      </c>
      <c r="LZA1">
        <f>Database!LZT1</f>
        <v>0</v>
      </c>
      <c r="LZB1">
        <f>Database!LZU1</f>
        <v>0</v>
      </c>
      <c r="LZC1">
        <f>Database!LZV1</f>
        <v>0</v>
      </c>
      <c r="LZD1">
        <f>Database!LZW1</f>
        <v>0</v>
      </c>
      <c r="LZE1">
        <f>Database!LZX1</f>
        <v>0</v>
      </c>
      <c r="LZF1">
        <f>Database!LZY1</f>
        <v>0</v>
      </c>
      <c r="LZG1">
        <f>Database!LZZ1</f>
        <v>0</v>
      </c>
      <c r="LZH1">
        <f>Database!MAA1</f>
        <v>0</v>
      </c>
      <c r="LZI1">
        <f>Database!MAB1</f>
        <v>0</v>
      </c>
      <c r="LZJ1">
        <f>Database!MAC1</f>
        <v>0</v>
      </c>
      <c r="LZK1">
        <f>Database!MAD1</f>
        <v>0</v>
      </c>
      <c r="LZL1">
        <f>Database!MAE1</f>
        <v>0</v>
      </c>
      <c r="LZM1">
        <f>Database!MAF1</f>
        <v>0</v>
      </c>
      <c r="LZN1">
        <f>Database!MAG1</f>
        <v>0</v>
      </c>
      <c r="LZO1">
        <f>Database!MAH1</f>
        <v>0</v>
      </c>
      <c r="LZP1">
        <f>Database!MAI1</f>
        <v>0</v>
      </c>
      <c r="LZQ1">
        <f>Database!MAJ1</f>
        <v>0</v>
      </c>
      <c r="LZR1">
        <f>Database!MAK1</f>
        <v>0</v>
      </c>
      <c r="LZS1">
        <f>Database!MAL1</f>
        <v>0</v>
      </c>
      <c r="LZT1">
        <f>Database!MAM1</f>
        <v>0</v>
      </c>
      <c r="LZU1">
        <f>Database!MAN1</f>
        <v>0</v>
      </c>
      <c r="LZV1">
        <f>Database!MAO1</f>
        <v>0</v>
      </c>
      <c r="LZW1">
        <f>Database!MAP1</f>
        <v>0</v>
      </c>
      <c r="LZX1">
        <f>Database!MAQ1</f>
        <v>0</v>
      </c>
      <c r="LZY1">
        <f>Database!MAR1</f>
        <v>0</v>
      </c>
      <c r="LZZ1">
        <f>Database!MAS1</f>
        <v>0</v>
      </c>
      <c r="MAA1">
        <f>Database!MAT1</f>
        <v>0</v>
      </c>
      <c r="MAB1">
        <f>Database!MAU1</f>
        <v>0</v>
      </c>
      <c r="MAC1">
        <f>Database!MAV1</f>
        <v>0</v>
      </c>
      <c r="MAD1">
        <f>Database!MAW1</f>
        <v>0</v>
      </c>
      <c r="MAE1">
        <f>Database!MAX1</f>
        <v>0</v>
      </c>
      <c r="MAF1">
        <f>Database!MAY1</f>
        <v>0</v>
      </c>
      <c r="MAG1">
        <f>Database!MAZ1</f>
        <v>0</v>
      </c>
      <c r="MAH1">
        <f>Database!MBA1</f>
        <v>0</v>
      </c>
      <c r="MAI1">
        <f>Database!MBB1</f>
        <v>0</v>
      </c>
      <c r="MAJ1">
        <f>Database!MBC1</f>
        <v>0</v>
      </c>
      <c r="MAK1">
        <f>Database!MBD1</f>
        <v>0</v>
      </c>
      <c r="MAL1">
        <f>Database!MBE1</f>
        <v>0</v>
      </c>
      <c r="MAM1">
        <f>Database!MBF1</f>
        <v>0</v>
      </c>
      <c r="MAN1">
        <f>Database!MBG1</f>
        <v>0</v>
      </c>
      <c r="MAO1">
        <f>Database!MBH1</f>
        <v>0</v>
      </c>
      <c r="MAP1">
        <f>Database!MBI1</f>
        <v>0</v>
      </c>
      <c r="MAQ1">
        <f>Database!MBJ1</f>
        <v>0</v>
      </c>
      <c r="MAR1">
        <f>Database!MBK1</f>
        <v>0</v>
      </c>
      <c r="MAS1">
        <f>Database!MBL1</f>
        <v>0</v>
      </c>
      <c r="MAT1">
        <f>Database!MBM1</f>
        <v>0</v>
      </c>
      <c r="MAU1">
        <f>Database!MBN1</f>
        <v>0</v>
      </c>
      <c r="MAV1">
        <f>Database!MBO1</f>
        <v>0</v>
      </c>
      <c r="MAW1">
        <f>Database!MBP1</f>
        <v>0</v>
      </c>
      <c r="MAX1">
        <f>Database!MBQ1</f>
        <v>0</v>
      </c>
      <c r="MAY1">
        <f>Database!MBR1</f>
        <v>0</v>
      </c>
      <c r="MAZ1">
        <f>Database!MBS1</f>
        <v>0</v>
      </c>
      <c r="MBA1">
        <f>Database!MBT1</f>
        <v>0</v>
      </c>
      <c r="MBB1">
        <f>Database!MBU1</f>
        <v>0</v>
      </c>
      <c r="MBC1">
        <f>Database!MBV1</f>
        <v>0</v>
      </c>
      <c r="MBD1">
        <f>Database!MBW1</f>
        <v>0</v>
      </c>
      <c r="MBE1">
        <f>Database!MBX1</f>
        <v>0</v>
      </c>
      <c r="MBF1">
        <f>Database!MBY1</f>
        <v>0</v>
      </c>
      <c r="MBG1">
        <f>Database!MBZ1</f>
        <v>0</v>
      </c>
      <c r="MBH1">
        <f>Database!MCA1</f>
        <v>0</v>
      </c>
      <c r="MBI1">
        <f>Database!MCB1</f>
        <v>0</v>
      </c>
      <c r="MBJ1">
        <f>Database!MCC1</f>
        <v>0</v>
      </c>
      <c r="MBK1">
        <f>Database!MCD1</f>
        <v>0</v>
      </c>
      <c r="MBL1">
        <f>Database!MCE1</f>
        <v>0</v>
      </c>
      <c r="MBM1">
        <f>Database!MCF1</f>
        <v>0</v>
      </c>
      <c r="MBN1">
        <f>Database!MCG1</f>
        <v>0</v>
      </c>
      <c r="MBO1">
        <f>Database!MCH1</f>
        <v>0</v>
      </c>
      <c r="MBP1">
        <f>Database!MCI1</f>
        <v>0</v>
      </c>
      <c r="MBQ1">
        <f>Database!MCJ1</f>
        <v>0</v>
      </c>
      <c r="MBR1">
        <f>Database!MCK1</f>
        <v>0</v>
      </c>
      <c r="MBS1">
        <f>Database!MCL1</f>
        <v>0</v>
      </c>
      <c r="MBT1">
        <f>Database!MCM1</f>
        <v>0</v>
      </c>
      <c r="MBU1">
        <f>Database!MCN1</f>
        <v>0</v>
      </c>
      <c r="MBV1">
        <f>Database!MCO1</f>
        <v>0</v>
      </c>
      <c r="MBW1">
        <f>Database!MCP1</f>
        <v>0</v>
      </c>
      <c r="MBX1">
        <f>Database!MCQ1</f>
        <v>0</v>
      </c>
      <c r="MBY1">
        <f>Database!MCR1</f>
        <v>0</v>
      </c>
      <c r="MBZ1">
        <f>Database!MCS1</f>
        <v>0</v>
      </c>
      <c r="MCA1">
        <f>Database!MCT1</f>
        <v>0</v>
      </c>
      <c r="MCB1">
        <f>Database!MCU1</f>
        <v>0</v>
      </c>
      <c r="MCC1">
        <f>Database!MCV1</f>
        <v>0</v>
      </c>
      <c r="MCD1">
        <f>Database!MCW1</f>
        <v>0</v>
      </c>
      <c r="MCE1">
        <f>Database!MCX1</f>
        <v>0</v>
      </c>
      <c r="MCF1">
        <f>Database!MCY1</f>
        <v>0</v>
      </c>
      <c r="MCG1">
        <f>Database!MCZ1</f>
        <v>0</v>
      </c>
      <c r="MCH1">
        <f>Database!MDA1</f>
        <v>0</v>
      </c>
      <c r="MCI1">
        <f>Database!MDB1</f>
        <v>0</v>
      </c>
      <c r="MCJ1">
        <f>Database!MDC1</f>
        <v>0</v>
      </c>
      <c r="MCK1">
        <f>Database!MDD1</f>
        <v>0</v>
      </c>
      <c r="MCL1">
        <f>Database!MDE1</f>
        <v>0</v>
      </c>
      <c r="MCM1">
        <f>Database!MDF1</f>
        <v>0</v>
      </c>
      <c r="MCN1">
        <f>Database!MDG1</f>
        <v>0</v>
      </c>
      <c r="MCO1">
        <f>Database!MDH1</f>
        <v>0</v>
      </c>
      <c r="MCP1">
        <f>Database!MDI1</f>
        <v>0</v>
      </c>
      <c r="MCQ1">
        <f>Database!MDJ1</f>
        <v>0</v>
      </c>
      <c r="MCR1">
        <f>Database!MDK1</f>
        <v>0</v>
      </c>
      <c r="MCS1">
        <f>Database!MDL1</f>
        <v>0</v>
      </c>
      <c r="MCT1">
        <f>Database!MDM1</f>
        <v>0</v>
      </c>
      <c r="MCU1">
        <f>Database!MDN1</f>
        <v>0</v>
      </c>
      <c r="MCV1">
        <f>Database!MDO1</f>
        <v>0</v>
      </c>
      <c r="MCW1">
        <f>Database!MDP1</f>
        <v>0</v>
      </c>
      <c r="MCX1">
        <f>Database!MDQ1</f>
        <v>0</v>
      </c>
      <c r="MCY1">
        <f>Database!MDR1</f>
        <v>0</v>
      </c>
      <c r="MCZ1">
        <f>Database!MDS1</f>
        <v>0</v>
      </c>
      <c r="MDA1">
        <f>Database!MDT1</f>
        <v>0</v>
      </c>
      <c r="MDB1">
        <f>Database!MDU1</f>
        <v>0</v>
      </c>
      <c r="MDC1">
        <f>Database!MDV1</f>
        <v>0</v>
      </c>
      <c r="MDD1">
        <f>Database!MDW1</f>
        <v>0</v>
      </c>
      <c r="MDE1">
        <f>Database!MDX1</f>
        <v>0</v>
      </c>
      <c r="MDF1">
        <f>Database!MDY1</f>
        <v>0</v>
      </c>
      <c r="MDG1">
        <f>Database!MDZ1</f>
        <v>0</v>
      </c>
      <c r="MDH1">
        <f>Database!MEA1</f>
        <v>0</v>
      </c>
      <c r="MDI1">
        <f>Database!MEB1</f>
        <v>0</v>
      </c>
      <c r="MDJ1">
        <f>Database!MEC1</f>
        <v>0</v>
      </c>
      <c r="MDK1">
        <f>Database!MED1</f>
        <v>0</v>
      </c>
      <c r="MDL1">
        <f>Database!MEE1</f>
        <v>0</v>
      </c>
      <c r="MDM1">
        <f>Database!MEF1</f>
        <v>0</v>
      </c>
      <c r="MDN1">
        <f>Database!MEG1</f>
        <v>0</v>
      </c>
      <c r="MDO1">
        <f>Database!MEH1</f>
        <v>0</v>
      </c>
      <c r="MDP1">
        <f>Database!MEI1</f>
        <v>0</v>
      </c>
      <c r="MDQ1">
        <f>Database!MEJ1</f>
        <v>0</v>
      </c>
      <c r="MDR1">
        <f>Database!MEK1</f>
        <v>0</v>
      </c>
      <c r="MDS1">
        <f>Database!MEL1</f>
        <v>0</v>
      </c>
      <c r="MDT1">
        <f>Database!MEM1</f>
        <v>0</v>
      </c>
      <c r="MDU1">
        <f>Database!MEN1</f>
        <v>0</v>
      </c>
      <c r="MDV1">
        <f>Database!MEO1</f>
        <v>0</v>
      </c>
      <c r="MDW1">
        <f>Database!MEP1</f>
        <v>0</v>
      </c>
      <c r="MDX1">
        <f>Database!MEQ1</f>
        <v>0</v>
      </c>
      <c r="MDY1">
        <f>Database!MER1</f>
        <v>0</v>
      </c>
      <c r="MDZ1">
        <f>Database!MES1</f>
        <v>0</v>
      </c>
      <c r="MEA1">
        <f>Database!MET1</f>
        <v>0</v>
      </c>
      <c r="MEB1">
        <f>Database!MEU1</f>
        <v>0</v>
      </c>
      <c r="MEC1">
        <f>Database!MEV1</f>
        <v>0</v>
      </c>
      <c r="MED1">
        <f>Database!MEW1</f>
        <v>0</v>
      </c>
      <c r="MEE1">
        <f>Database!MEX1</f>
        <v>0</v>
      </c>
      <c r="MEF1">
        <f>Database!MEY1</f>
        <v>0</v>
      </c>
      <c r="MEG1">
        <f>Database!MEZ1</f>
        <v>0</v>
      </c>
      <c r="MEH1">
        <f>Database!MFA1</f>
        <v>0</v>
      </c>
      <c r="MEI1">
        <f>Database!MFB1</f>
        <v>0</v>
      </c>
      <c r="MEJ1">
        <f>Database!MFC1</f>
        <v>0</v>
      </c>
      <c r="MEK1">
        <f>Database!MFD1</f>
        <v>0</v>
      </c>
      <c r="MEL1">
        <f>Database!MFE1</f>
        <v>0</v>
      </c>
      <c r="MEM1">
        <f>Database!MFF1</f>
        <v>0</v>
      </c>
      <c r="MEN1">
        <f>Database!MFG1</f>
        <v>0</v>
      </c>
      <c r="MEO1">
        <f>Database!MFH1</f>
        <v>0</v>
      </c>
      <c r="MEP1">
        <f>Database!MFI1</f>
        <v>0</v>
      </c>
      <c r="MEQ1">
        <f>Database!MFJ1</f>
        <v>0</v>
      </c>
      <c r="MER1">
        <f>Database!MFK1</f>
        <v>0</v>
      </c>
      <c r="MES1">
        <f>Database!MFL1</f>
        <v>0</v>
      </c>
      <c r="MET1">
        <f>Database!MFM1</f>
        <v>0</v>
      </c>
      <c r="MEU1">
        <f>Database!MFN1</f>
        <v>0</v>
      </c>
      <c r="MEV1">
        <f>Database!MFO1</f>
        <v>0</v>
      </c>
      <c r="MEW1">
        <f>Database!MFP1</f>
        <v>0</v>
      </c>
      <c r="MEX1">
        <f>Database!MFQ1</f>
        <v>0</v>
      </c>
      <c r="MEY1">
        <f>Database!MFR1</f>
        <v>0</v>
      </c>
      <c r="MEZ1">
        <f>Database!MFS1</f>
        <v>0</v>
      </c>
      <c r="MFA1">
        <f>Database!MFT1</f>
        <v>0</v>
      </c>
      <c r="MFB1">
        <f>Database!MFU1</f>
        <v>0</v>
      </c>
      <c r="MFC1">
        <f>Database!MFV1</f>
        <v>0</v>
      </c>
      <c r="MFD1">
        <f>Database!MFW1</f>
        <v>0</v>
      </c>
      <c r="MFE1">
        <f>Database!MFX1</f>
        <v>0</v>
      </c>
      <c r="MFF1">
        <f>Database!MFY1</f>
        <v>0</v>
      </c>
      <c r="MFG1">
        <f>Database!MFZ1</f>
        <v>0</v>
      </c>
      <c r="MFH1">
        <f>Database!MGA1</f>
        <v>0</v>
      </c>
      <c r="MFI1">
        <f>Database!MGB1</f>
        <v>0</v>
      </c>
      <c r="MFJ1">
        <f>Database!MGC1</f>
        <v>0</v>
      </c>
      <c r="MFK1">
        <f>Database!MGD1</f>
        <v>0</v>
      </c>
      <c r="MFL1">
        <f>Database!MGE1</f>
        <v>0</v>
      </c>
      <c r="MFM1">
        <f>Database!MGF1</f>
        <v>0</v>
      </c>
      <c r="MFN1">
        <f>Database!MGG1</f>
        <v>0</v>
      </c>
      <c r="MFO1">
        <f>Database!MGH1</f>
        <v>0</v>
      </c>
      <c r="MFP1">
        <f>Database!MGI1</f>
        <v>0</v>
      </c>
      <c r="MFQ1">
        <f>Database!MGJ1</f>
        <v>0</v>
      </c>
      <c r="MFR1">
        <f>Database!MGK1</f>
        <v>0</v>
      </c>
      <c r="MFS1">
        <f>Database!MGL1</f>
        <v>0</v>
      </c>
      <c r="MFT1">
        <f>Database!MGM1</f>
        <v>0</v>
      </c>
      <c r="MFU1">
        <f>Database!MGN1</f>
        <v>0</v>
      </c>
      <c r="MFV1">
        <f>Database!MGO1</f>
        <v>0</v>
      </c>
      <c r="MFW1">
        <f>Database!MGP1</f>
        <v>0</v>
      </c>
      <c r="MFX1">
        <f>Database!MGQ1</f>
        <v>0</v>
      </c>
      <c r="MFY1">
        <f>Database!MGR1</f>
        <v>0</v>
      </c>
      <c r="MFZ1">
        <f>Database!MGS1</f>
        <v>0</v>
      </c>
      <c r="MGA1">
        <f>Database!MGT1</f>
        <v>0</v>
      </c>
      <c r="MGB1">
        <f>Database!MGU1</f>
        <v>0</v>
      </c>
      <c r="MGC1">
        <f>Database!MGV1</f>
        <v>0</v>
      </c>
      <c r="MGD1">
        <f>Database!MGW1</f>
        <v>0</v>
      </c>
      <c r="MGE1">
        <f>Database!MGX1</f>
        <v>0</v>
      </c>
      <c r="MGF1">
        <f>Database!MGY1</f>
        <v>0</v>
      </c>
      <c r="MGG1">
        <f>Database!MGZ1</f>
        <v>0</v>
      </c>
      <c r="MGH1">
        <f>Database!MHA1</f>
        <v>0</v>
      </c>
      <c r="MGI1">
        <f>Database!MHB1</f>
        <v>0</v>
      </c>
      <c r="MGJ1">
        <f>Database!MHC1</f>
        <v>0</v>
      </c>
      <c r="MGK1">
        <f>Database!MHD1</f>
        <v>0</v>
      </c>
      <c r="MGL1">
        <f>Database!MHE1</f>
        <v>0</v>
      </c>
      <c r="MGM1">
        <f>Database!MHF1</f>
        <v>0</v>
      </c>
      <c r="MGN1">
        <f>Database!MHG1</f>
        <v>0</v>
      </c>
      <c r="MGO1">
        <f>Database!MHH1</f>
        <v>0</v>
      </c>
      <c r="MGP1">
        <f>Database!MHI1</f>
        <v>0</v>
      </c>
      <c r="MGQ1">
        <f>Database!MHJ1</f>
        <v>0</v>
      </c>
      <c r="MGR1">
        <f>Database!MHK1</f>
        <v>0</v>
      </c>
      <c r="MGS1">
        <f>Database!MHL1</f>
        <v>0</v>
      </c>
      <c r="MGT1">
        <f>Database!MHM1</f>
        <v>0</v>
      </c>
      <c r="MGU1">
        <f>Database!MHN1</f>
        <v>0</v>
      </c>
      <c r="MGV1">
        <f>Database!MHO1</f>
        <v>0</v>
      </c>
      <c r="MGW1">
        <f>Database!MHP1</f>
        <v>0</v>
      </c>
      <c r="MGX1">
        <f>Database!MHQ1</f>
        <v>0</v>
      </c>
      <c r="MGY1">
        <f>Database!MHR1</f>
        <v>0</v>
      </c>
      <c r="MGZ1">
        <f>Database!MHS1</f>
        <v>0</v>
      </c>
      <c r="MHA1">
        <f>Database!MHT1</f>
        <v>0</v>
      </c>
      <c r="MHB1">
        <f>Database!MHU1</f>
        <v>0</v>
      </c>
      <c r="MHC1">
        <f>Database!MHV1</f>
        <v>0</v>
      </c>
      <c r="MHD1">
        <f>Database!MHW1</f>
        <v>0</v>
      </c>
      <c r="MHE1">
        <f>Database!MHX1</f>
        <v>0</v>
      </c>
      <c r="MHF1">
        <f>Database!MHY1</f>
        <v>0</v>
      </c>
      <c r="MHG1">
        <f>Database!MHZ1</f>
        <v>0</v>
      </c>
      <c r="MHH1">
        <f>Database!MIA1</f>
        <v>0</v>
      </c>
      <c r="MHI1">
        <f>Database!MIB1</f>
        <v>0</v>
      </c>
      <c r="MHJ1">
        <f>Database!MIC1</f>
        <v>0</v>
      </c>
      <c r="MHK1">
        <f>Database!MID1</f>
        <v>0</v>
      </c>
      <c r="MHL1">
        <f>Database!MIE1</f>
        <v>0</v>
      </c>
      <c r="MHM1">
        <f>Database!MIF1</f>
        <v>0</v>
      </c>
      <c r="MHN1">
        <f>Database!MIG1</f>
        <v>0</v>
      </c>
      <c r="MHO1">
        <f>Database!MIH1</f>
        <v>0</v>
      </c>
      <c r="MHP1">
        <f>Database!MII1</f>
        <v>0</v>
      </c>
      <c r="MHQ1">
        <f>Database!MIJ1</f>
        <v>0</v>
      </c>
      <c r="MHR1">
        <f>Database!MIK1</f>
        <v>0</v>
      </c>
      <c r="MHS1">
        <f>Database!MIL1</f>
        <v>0</v>
      </c>
      <c r="MHT1">
        <f>Database!MIM1</f>
        <v>0</v>
      </c>
      <c r="MHU1">
        <f>Database!MIN1</f>
        <v>0</v>
      </c>
      <c r="MHV1">
        <f>Database!MIO1</f>
        <v>0</v>
      </c>
      <c r="MHW1">
        <f>Database!MIP1</f>
        <v>0</v>
      </c>
      <c r="MHX1">
        <f>Database!MIQ1</f>
        <v>0</v>
      </c>
      <c r="MHY1">
        <f>Database!MIR1</f>
        <v>0</v>
      </c>
      <c r="MHZ1">
        <f>Database!MIS1</f>
        <v>0</v>
      </c>
      <c r="MIA1">
        <f>Database!MIT1</f>
        <v>0</v>
      </c>
      <c r="MIB1">
        <f>Database!MIU1</f>
        <v>0</v>
      </c>
      <c r="MIC1">
        <f>Database!MIV1</f>
        <v>0</v>
      </c>
      <c r="MID1">
        <f>Database!MIW1</f>
        <v>0</v>
      </c>
      <c r="MIE1">
        <f>Database!MIX1</f>
        <v>0</v>
      </c>
      <c r="MIF1">
        <f>Database!MIY1</f>
        <v>0</v>
      </c>
      <c r="MIG1">
        <f>Database!MIZ1</f>
        <v>0</v>
      </c>
      <c r="MIH1">
        <f>Database!MJA1</f>
        <v>0</v>
      </c>
      <c r="MII1">
        <f>Database!MJB1</f>
        <v>0</v>
      </c>
      <c r="MIJ1">
        <f>Database!MJC1</f>
        <v>0</v>
      </c>
      <c r="MIK1">
        <f>Database!MJD1</f>
        <v>0</v>
      </c>
      <c r="MIL1">
        <f>Database!MJE1</f>
        <v>0</v>
      </c>
      <c r="MIM1">
        <f>Database!MJF1</f>
        <v>0</v>
      </c>
      <c r="MIN1">
        <f>Database!MJG1</f>
        <v>0</v>
      </c>
      <c r="MIO1">
        <f>Database!MJH1</f>
        <v>0</v>
      </c>
      <c r="MIP1">
        <f>Database!MJI1</f>
        <v>0</v>
      </c>
      <c r="MIQ1">
        <f>Database!MJJ1</f>
        <v>0</v>
      </c>
      <c r="MIR1">
        <f>Database!MJK1</f>
        <v>0</v>
      </c>
      <c r="MIS1">
        <f>Database!MJL1</f>
        <v>0</v>
      </c>
      <c r="MIT1">
        <f>Database!MJM1</f>
        <v>0</v>
      </c>
      <c r="MIU1">
        <f>Database!MJN1</f>
        <v>0</v>
      </c>
      <c r="MIV1">
        <f>Database!MJO1</f>
        <v>0</v>
      </c>
      <c r="MIW1">
        <f>Database!MJP1</f>
        <v>0</v>
      </c>
      <c r="MIX1">
        <f>Database!MJQ1</f>
        <v>0</v>
      </c>
      <c r="MIY1">
        <f>Database!MJR1</f>
        <v>0</v>
      </c>
      <c r="MIZ1">
        <f>Database!MJS1</f>
        <v>0</v>
      </c>
      <c r="MJA1">
        <f>Database!MJT1</f>
        <v>0</v>
      </c>
      <c r="MJB1">
        <f>Database!MJU1</f>
        <v>0</v>
      </c>
      <c r="MJC1">
        <f>Database!MJV1</f>
        <v>0</v>
      </c>
      <c r="MJD1">
        <f>Database!MJW1</f>
        <v>0</v>
      </c>
      <c r="MJE1">
        <f>Database!MJX1</f>
        <v>0</v>
      </c>
      <c r="MJF1">
        <f>Database!MJY1</f>
        <v>0</v>
      </c>
      <c r="MJG1">
        <f>Database!MJZ1</f>
        <v>0</v>
      </c>
      <c r="MJH1">
        <f>Database!MKA1</f>
        <v>0</v>
      </c>
      <c r="MJI1">
        <f>Database!MKB1</f>
        <v>0</v>
      </c>
      <c r="MJJ1">
        <f>Database!MKC1</f>
        <v>0</v>
      </c>
      <c r="MJK1">
        <f>Database!MKD1</f>
        <v>0</v>
      </c>
      <c r="MJL1">
        <f>Database!MKE1</f>
        <v>0</v>
      </c>
      <c r="MJM1">
        <f>Database!MKF1</f>
        <v>0</v>
      </c>
      <c r="MJN1">
        <f>Database!MKG1</f>
        <v>0</v>
      </c>
      <c r="MJO1">
        <f>Database!MKH1</f>
        <v>0</v>
      </c>
      <c r="MJP1">
        <f>Database!MKI1</f>
        <v>0</v>
      </c>
      <c r="MJQ1">
        <f>Database!MKJ1</f>
        <v>0</v>
      </c>
      <c r="MJR1">
        <f>Database!MKK1</f>
        <v>0</v>
      </c>
      <c r="MJS1">
        <f>Database!MKL1</f>
        <v>0</v>
      </c>
      <c r="MJT1">
        <f>Database!MKM1</f>
        <v>0</v>
      </c>
      <c r="MJU1">
        <f>Database!MKN1</f>
        <v>0</v>
      </c>
      <c r="MJV1">
        <f>Database!MKO1</f>
        <v>0</v>
      </c>
      <c r="MJW1">
        <f>Database!MKP1</f>
        <v>0</v>
      </c>
      <c r="MJX1">
        <f>Database!MKQ1</f>
        <v>0</v>
      </c>
      <c r="MJY1">
        <f>Database!MKR1</f>
        <v>0</v>
      </c>
      <c r="MJZ1">
        <f>Database!MKS1</f>
        <v>0</v>
      </c>
      <c r="MKA1">
        <f>Database!MKT1</f>
        <v>0</v>
      </c>
      <c r="MKB1">
        <f>Database!MKU1</f>
        <v>0</v>
      </c>
      <c r="MKC1">
        <f>Database!MKV1</f>
        <v>0</v>
      </c>
      <c r="MKD1">
        <f>Database!MKW1</f>
        <v>0</v>
      </c>
      <c r="MKE1">
        <f>Database!MKX1</f>
        <v>0</v>
      </c>
      <c r="MKF1">
        <f>Database!MKY1</f>
        <v>0</v>
      </c>
      <c r="MKG1">
        <f>Database!MKZ1</f>
        <v>0</v>
      </c>
      <c r="MKH1">
        <f>Database!MLA1</f>
        <v>0</v>
      </c>
      <c r="MKI1">
        <f>Database!MLB1</f>
        <v>0</v>
      </c>
      <c r="MKJ1">
        <f>Database!MLC1</f>
        <v>0</v>
      </c>
      <c r="MKK1">
        <f>Database!MLD1</f>
        <v>0</v>
      </c>
      <c r="MKL1">
        <f>Database!MLE1</f>
        <v>0</v>
      </c>
      <c r="MKM1">
        <f>Database!MLF1</f>
        <v>0</v>
      </c>
      <c r="MKN1">
        <f>Database!MLG1</f>
        <v>0</v>
      </c>
      <c r="MKO1">
        <f>Database!MLH1</f>
        <v>0</v>
      </c>
      <c r="MKP1">
        <f>Database!MLI1</f>
        <v>0</v>
      </c>
      <c r="MKQ1">
        <f>Database!MLJ1</f>
        <v>0</v>
      </c>
      <c r="MKR1">
        <f>Database!MLK1</f>
        <v>0</v>
      </c>
      <c r="MKS1">
        <f>Database!MLL1</f>
        <v>0</v>
      </c>
      <c r="MKT1">
        <f>Database!MLM1</f>
        <v>0</v>
      </c>
      <c r="MKU1">
        <f>Database!MLN1</f>
        <v>0</v>
      </c>
      <c r="MKV1">
        <f>Database!MLO1</f>
        <v>0</v>
      </c>
      <c r="MKW1">
        <f>Database!MLP1</f>
        <v>0</v>
      </c>
      <c r="MKX1">
        <f>Database!MLQ1</f>
        <v>0</v>
      </c>
      <c r="MKY1">
        <f>Database!MLR1</f>
        <v>0</v>
      </c>
      <c r="MKZ1">
        <f>Database!MLS1</f>
        <v>0</v>
      </c>
      <c r="MLA1">
        <f>Database!MLT1</f>
        <v>0</v>
      </c>
      <c r="MLB1">
        <f>Database!MLU1</f>
        <v>0</v>
      </c>
      <c r="MLC1">
        <f>Database!MLV1</f>
        <v>0</v>
      </c>
      <c r="MLD1">
        <f>Database!MLW1</f>
        <v>0</v>
      </c>
      <c r="MLE1">
        <f>Database!MLX1</f>
        <v>0</v>
      </c>
      <c r="MLF1">
        <f>Database!MLY1</f>
        <v>0</v>
      </c>
      <c r="MLG1">
        <f>Database!MLZ1</f>
        <v>0</v>
      </c>
      <c r="MLH1">
        <f>Database!MMA1</f>
        <v>0</v>
      </c>
      <c r="MLI1">
        <f>Database!MMB1</f>
        <v>0</v>
      </c>
      <c r="MLJ1">
        <f>Database!MMC1</f>
        <v>0</v>
      </c>
      <c r="MLK1">
        <f>Database!MMD1</f>
        <v>0</v>
      </c>
      <c r="MLL1">
        <f>Database!MME1</f>
        <v>0</v>
      </c>
      <c r="MLM1">
        <f>Database!MMF1</f>
        <v>0</v>
      </c>
      <c r="MLN1">
        <f>Database!MMG1</f>
        <v>0</v>
      </c>
      <c r="MLO1">
        <f>Database!MMH1</f>
        <v>0</v>
      </c>
      <c r="MLP1">
        <f>Database!MMI1</f>
        <v>0</v>
      </c>
      <c r="MLQ1">
        <f>Database!MMJ1</f>
        <v>0</v>
      </c>
      <c r="MLR1">
        <f>Database!MMK1</f>
        <v>0</v>
      </c>
      <c r="MLS1">
        <f>Database!MML1</f>
        <v>0</v>
      </c>
      <c r="MLT1">
        <f>Database!MMM1</f>
        <v>0</v>
      </c>
      <c r="MLU1">
        <f>Database!MMN1</f>
        <v>0</v>
      </c>
      <c r="MLV1">
        <f>Database!MMO1</f>
        <v>0</v>
      </c>
      <c r="MLW1">
        <f>Database!MMP1</f>
        <v>0</v>
      </c>
      <c r="MLX1">
        <f>Database!MMQ1</f>
        <v>0</v>
      </c>
      <c r="MLY1">
        <f>Database!MMR1</f>
        <v>0</v>
      </c>
      <c r="MLZ1">
        <f>Database!MMS1</f>
        <v>0</v>
      </c>
      <c r="MMA1">
        <f>Database!MMT1</f>
        <v>0</v>
      </c>
      <c r="MMB1">
        <f>Database!MMU1</f>
        <v>0</v>
      </c>
      <c r="MMC1">
        <f>Database!MMV1</f>
        <v>0</v>
      </c>
      <c r="MMD1">
        <f>Database!MMW1</f>
        <v>0</v>
      </c>
      <c r="MME1">
        <f>Database!MMX1</f>
        <v>0</v>
      </c>
      <c r="MMF1">
        <f>Database!MMY1</f>
        <v>0</v>
      </c>
      <c r="MMG1">
        <f>Database!MMZ1</f>
        <v>0</v>
      </c>
      <c r="MMH1">
        <f>Database!MNA1</f>
        <v>0</v>
      </c>
      <c r="MMI1">
        <f>Database!MNB1</f>
        <v>0</v>
      </c>
      <c r="MMJ1">
        <f>Database!MNC1</f>
        <v>0</v>
      </c>
      <c r="MMK1">
        <f>Database!MND1</f>
        <v>0</v>
      </c>
      <c r="MML1">
        <f>Database!MNE1</f>
        <v>0</v>
      </c>
      <c r="MMM1">
        <f>Database!MNF1</f>
        <v>0</v>
      </c>
      <c r="MMN1">
        <f>Database!MNG1</f>
        <v>0</v>
      </c>
      <c r="MMO1">
        <f>Database!MNH1</f>
        <v>0</v>
      </c>
      <c r="MMP1">
        <f>Database!MNI1</f>
        <v>0</v>
      </c>
      <c r="MMQ1">
        <f>Database!MNJ1</f>
        <v>0</v>
      </c>
      <c r="MMR1">
        <f>Database!MNK1</f>
        <v>0</v>
      </c>
      <c r="MMS1">
        <f>Database!MNL1</f>
        <v>0</v>
      </c>
      <c r="MMT1">
        <f>Database!MNM1</f>
        <v>0</v>
      </c>
      <c r="MMU1">
        <f>Database!MNN1</f>
        <v>0</v>
      </c>
      <c r="MMV1">
        <f>Database!MNO1</f>
        <v>0</v>
      </c>
      <c r="MMW1">
        <f>Database!MNP1</f>
        <v>0</v>
      </c>
      <c r="MMX1">
        <f>Database!MNQ1</f>
        <v>0</v>
      </c>
      <c r="MMY1">
        <f>Database!MNR1</f>
        <v>0</v>
      </c>
      <c r="MMZ1">
        <f>Database!MNS1</f>
        <v>0</v>
      </c>
      <c r="MNA1">
        <f>Database!MNT1</f>
        <v>0</v>
      </c>
      <c r="MNB1">
        <f>Database!MNU1</f>
        <v>0</v>
      </c>
      <c r="MNC1">
        <f>Database!MNV1</f>
        <v>0</v>
      </c>
      <c r="MND1">
        <f>Database!MNW1</f>
        <v>0</v>
      </c>
      <c r="MNE1">
        <f>Database!MNX1</f>
        <v>0</v>
      </c>
      <c r="MNF1">
        <f>Database!MNY1</f>
        <v>0</v>
      </c>
      <c r="MNG1">
        <f>Database!MNZ1</f>
        <v>0</v>
      </c>
      <c r="MNH1">
        <f>Database!MOA1</f>
        <v>0</v>
      </c>
      <c r="MNI1">
        <f>Database!MOB1</f>
        <v>0</v>
      </c>
      <c r="MNJ1">
        <f>Database!MOC1</f>
        <v>0</v>
      </c>
      <c r="MNK1">
        <f>Database!MOD1</f>
        <v>0</v>
      </c>
      <c r="MNL1">
        <f>Database!MOE1</f>
        <v>0</v>
      </c>
      <c r="MNM1">
        <f>Database!MOF1</f>
        <v>0</v>
      </c>
      <c r="MNN1">
        <f>Database!MOG1</f>
        <v>0</v>
      </c>
      <c r="MNO1">
        <f>Database!MOH1</f>
        <v>0</v>
      </c>
      <c r="MNP1">
        <f>Database!MOI1</f>
        <v>0</v>
      </c>
      <c r="MNQ1">
        <f>Database!MOJ1</f>
        <v>0</v>
      </c>
      <c r="MNR1">
        <f>Database!MOK1</f>
        <v>0</v>
      </c>
      <c r="MNS1">
        <f>Database!MOL1</f>
        <v>0</v>
      </c>
      <c r="MNT1">
        <f>Database!MOM1</f>
        <v>0</v>
      </c>
      <c r="MNU1">
        <f>Database!MON1</f>
        <v>0</v>
      </c>
      <c r="MNV1">
        <f>Database!MOO1</f>
        <v>0</v>
      </c>
      <c r="MNW1">
        <f>Database!MOP1</f>
        <v>0</v>
      </c>
      <c r="MNX1">
        <f>Database!MOQ1</f>
        <v>0</v>
      </c>
      <c r="MNY1">
        <f>Database!MOR1</f>
        <v>0</v>
      </c>
      <c r="MNZ1">
        <f>Database!MOS1</f>
        <v>0</v>
      </c>
      <c r="MOA1">
        <f>Database!MOT1</f>
        <v>0</v>
      </c>
      <c r="MOB1">
        <f>Database!MOU1</f>
        <v>0</v>
      </c>
      <c r="MOC1">
        <f>Database!MOV1</f>
        <v>0</v>
      </c>
      <c r="MOD1">
        <f>Database!MOW1</f>
        <v>0</v>
      </c>
      <c r="MOE1">
        <f>Database!MOX1</f>
        <v>0</v>
      </c>
      <c r="MOF1">
        <f>Database!MOY1</f>
        <v>0</v>
      </c>
      <c r="MOG1">
        <f>Database!MOZ1</f>
        <v>0</v>
      </c>
      <c r="MOH1">
        <f>Database!MPA1</f>
        <v>0</v>
      </c>
      <c r="MOI1">
        <f>Database!MPB1</f>
        <v>0</v>
      </c>
      <c r="MOJ1">
        <f>Database!MPC1</f>
        <v>0</v>
      </c>
      <c r="MOK1">
        <f>Database!MPD1</f>
        <v>0</v>
      </c>
      <c r="MOL1">
        <f>Database!MPE1</f>
        <v>0</v>
      </c>
      <c r="MOM1">
        <f>Database!MPF1</f>
        <v>0</v>
      </c>
      <c r="MON1">
        <f>Database!MPG1</f>
        <v>0</v>
      </c>
      <c r="MOO1">
        <f>Database!MPH1</f>
        <v>0</v>
      </c>
      <c r="MOP1">
        <f>Database!MPI1</f>
        <v>0</v>
      </c>
      <c r="MOQ1">
        <f>Database!MPJ1</f>
        <v>0</v>
      </c>
      <c r="MOR1">
        <f>Database!MPK1</f>
        <v>0</v>
      </c>
      <c r="MOS1">
        <f>Database!MPL1</f>
        <v>0</v>
      </c>
      <c r="MOT1">
        <f>Database!MPM1</f>
        <v>0</v>
      </c>
      <c r="MOU1">
        <f>Database!MPN1</f>
        <v>0</v>
      </c>
      <c r="MOV1">
        <f>Database!MPO1</f>
        <v>0</v>
      </c>
      <c r="MOW1">
        <f>Database!MPP1</f>
        <v>0</v>
      </c>
      <c r="MOX1">
        <f>Database!MPQ1</f>
        <v>0</v>
      </c>
      <c r="MOY1">
        <f>Database!MPR1</f>
        <v>0</v>
      </c>
      <c r="MOZ1">
        <f>Database!MPS1</f>
        <v>0</v>
      </c>
      <c r="MPA1">
        <f>Database!MPT1</f>
        <v>0</v>
      </c>
      <c r="MPB1">
        <f>Database!MPU1</f>
        <v>0</v>
      </c>
      <c r="MPC1">
        <f>Database!MPV1</f>
        <v>0</v>
      </c>
      <c r="MPD1">
        <f>Database!MPW1</f>
        <v>0</v>
      </c>
      <c r="MPE1">
        <f>Database!MPX1</f>
        <v>0</v>
      </c>
      <c r="MPF1">
        <f>Database!MPY1</f>
        <v>0</v>
      </c>
      <c r="MPG1">
        <f>Database!MPZ1</f>
        <v>0</v>
      </c>
      <c r="MPH1">
        <f>Database!MQA1</f>
        <v>0</v>
      </c>
      <c r="MPI1">
        <f>Database!MQB1</f>
        <v>0</v>
      </c>
      <c r="MPJ1">
        <f>Database!MQC1</f>
        <v>0</v>
      </c>
      <c r="MPK1">
        <f>Database!MQD1</f>
        <v>0</v>
      </c>
      <c r="MPL1">
        <f>Database!MQE1</f>
        <v>0</v>
      </c>
      <c r="MPM1">
        <f>Database!MQF1</f>
        <v>0</v>
      </c>
      <c r="MPN1">
        <f>Database!MQG1</f>
        <v>0</v>
      </c>
      <c r="MPO1">
        <f>Database!MQH1</f>
        <v>0</v>
      </c>
      <c r="MPP1">
        <f>Database!MQI1</f>
        <v>0</v>
      </c>
      <c r="MPQ1">
        <f>Database!MQJ1</f>
        <v>0</v>
      </c>
      <c r="MPR1">
        <f>Database!MQK1</f>
        <v>0</v>
      </c>
      <c r="MPS1">
        <f>Database!MQL1</f>
        <v>0</v>
      </c>
      <c r="MPT1">
        <f>Database!MQM1</f>
        <v>0</v>
      </c>
      <c r="MPU1">
        <f>Database!MQN1</f>
        <v>0</v>
      </c>
      <c r="MPV1">
        <f>Database!MQO1</f>
        <v>0</v>
      </c>
      <c r="MPW1">
        <f>Database!MQP1</f>
        <v>0</v>
      </c>
      <c r="MPX1">
        <f>Database!MQQ1</f>
        <v>0</v>
      </c>
      <c r="MPY1">
        <f>Database!MQR1</f>
        <v>0</v>
      </c>
      <c r="MPZ1">
        <f>Database!MQS1</f>
        <v>0</v>
      </c>
      <c r="MQA1">
        <f>Database!MQT1</f>
        <v>0</v>
      </c>
      <c r="MQB1">
        <f>Database!MQU1</f>
        <v>0</v>
      </c>
      <c r="MQC1">
        <f>Database!MQV1</f>
        <v>0</v>
      </c>
      <c r="MQD1">
        <f>Database!MQW1</f>
        <v>0</v>
      </c>
      <c r="MQE1">
        <f>Database!MQX1</f>
        <v>0</v>
      </c>
      <c r="MQF1">
        <f>Database!MQY1</f>
        <v>0</v>
      </c>
      <c r="MQG1">
        <f>Database!MQZ1</f>
        <v>0</v>
      </c>
      <c r="MQH1">
        <f>Database!MRA1</f>
        <v>0</v>
      </c>
      <c r="MQI1">
        <f>Database!MRB1</f>
        <v>0</v>
      </c>
      <c r="MQJ1">
        <f>Database!MRC1</f>
        <v>0</v>
      </c>
      <c r="MQK1">
        <f>Database!MRD1</f>
        <v>0</v>
      </c>
      <c r="MQL1">
        <f>Database!MRE1</f>
        <v>0</v>
      </c>
      <c r="MQM1">
        <f>Database!MRF1</f>
        <v>0</v>
      </c>
      <c r="MQN1">
        <f>Database!MRG1</f>
        <v>0</v>
      </c>
      <c r="MQO1">
        <f>Database!MRH1</f>
        <v>0</v>
      </c>
      <c r="MQP1">
        <f>Database!MRI1</f>
        <v>0</v>
      </c>
      <c r="MQQ1">
        <f>Database!MRJ1</f>
        <v>0</v>
      </c>
      <c r="MQR1">
        <f>Database!MRK1</f>
        <v>0</v>
      </c>
      <c r="MQS1">
        <f>Database!MRL1</f>
        <v>0</v>
      </c>
      <c r="MQT1">
        <f>Database!MRM1</f>
        <v>0</v>
      </c>
      <c r="MQU1">
        <f>Database!MRN1</f>
        <v>0</v>
      </c>
      <c r="MQV1">
        <f>Database!MRO1</f>
        <v>0</v>
      </c>
      <c r="MQW1">
        <f>Database!MRP1</f>
        <v>0</v>
      </c>
      <c r="MQX1">
        <f>Database!MRQ1</f>
        <v>0</v>
      </c>
      <c r="MQY1">
        <f>Database!MRR1</f>
        <v>0</v>
      </c>
      <c r="MQZ1">
        <f>Database!MRS1</f>
        <v>0</v>
      </c>
      <c r="MRA1">
        <f>Database!MRT1</f>
        <v>0</v>
      </c>
      <c r="MRB1">
        <f>Database!MRU1</f>
        <v>0</v>
      </c>
      <c r="MRC1">
        <f>Database!MRV1</f>
        <v>0</v>
      </c>
      <c r="MRD1">
        <f>Database!MRW1</f>
        <v>0</v>
      </c>
      <c r="MRE1">
        <f>Database!MRX1</f>
        <v>0</v>
      </c>
      <c r="MRF1">
        <f>Database!MRY1</f>
        <v>0</v>
      </c>
      <c r="MRG1">
        <f>Database!MRZ1</f>
        <v>0</v>
      </c>
      <c r="MRH1">
        <f>Database!MSA1</f>
        <v>0</v>
      </c>
      <c r="MRI1">
        <f>Database!MSB1</f>
        <v>0</v>
      </c>
      <c r="MRJ1">
        <f>Database!MSC1</f>
        <v>0</v>
      </c>
      <c r="MRK1">
        <f>Database!MSD1</f>
        <v>0</v>
      </c>
      <c r="MRL1">
        <f>Database!MSE1</f>
        <v>0</v>
      </c>
      <c r="MRM1">
        <f>Database!MSF1</f>
        <v>0</v>
      </c>
      <c r="MRN1">
        <f>Database!MSG1</f>
        <v>0</v>
      </c>
      <c r="MRO1">
        <f>Database!MSH1</f>
        <v>0</v>
      </c>
      <c r="MRP1">
        <f>Database!MSI1</f>
        <v>0</v>
      </c>
      <c r="MRQ1">
        <f>Database!MSJ1</f>
        <v>0</v>
      </c>
      <c r="MRR1">
        <f>Database!MSK1</f>
        <v>0</v>
      </c>
      <c r="MRS1">
        <f>Database!MSL1</f>
        <v>0</v>
      </c>
      <c r="MRT1">
        <f>Database!MSM1</f>
        <v>0</v>
      </c>
      <c r="MRU1">
        <f>Database!MSN1</f>
        <v>0</v>
      </c>
      <c r="MRV1">
        <f>Database!MSO1</f>
        <v>0</v>
      </c>
      <c r="MRW1">
        <f>Database!MSP1</f>
        <v>0</v>
      </c>
      <c r="MRX1">
        <f>Database!MSQ1</f>
        <v>0</v>
      </c>
      <c r="MRY1">
        <f>Database!MSR1</f>
        <v>0</v>
      </c>
      <c r="MRZ1">
        <f>Database!MSS1</f>
        <v>0</v>
      </c>
      <c r="MSA1">
        <f>Database!MST1</f>
        <v>0</v>
      </c>
      <c r="MSB1">
        <f>Database!MSU1</f>
        <v>0</v>
      </c>
      <c r="MSC1">
        <f>Database!MSV1</f>
        <v>0</v>
      </c>
      <c r="MSD1">
        <f>Database!MSW1</f>
        <v>0</v>
      </c>
      <c r="MSE1">
        <f>Database!MSX1</f>
        <v>0</v>
      </c>
      <c r="MSF1">
        <f>Database!MSY1</f>
        <v>0</v>
      </c>
      <c r="MSG1">
        <f>Database!MSZ1</f>
        <v>0</v>
      </c>
      <c r="MSH1">
        <f>Database!MTA1</f>
        <v>0</v>
      </c>
      <c r="MSI1">
        <f>Database!MTB1</f>
        <v>0</v>
      </c>
      <c r="MSJ1">
        <f>Database!MTC1</f>
        <v>0</v>
      </c>
      <c r="MSK1">
        <f>Database!MTD1</f>
        <v>0</v>
      </c>
      <c r="MSL1">
        <f>Database!MTE1</f>
        <v>0</v>
      </c>
      <c r="MSM1">
        <f>Database!MTF1</f>
        <v>0</v>
      </c>
      <c r="MSN1">
        <f>Database!MTG1</f>
        <v>0</v>
      </c>
      <c r="MSO1">
        <f>Database!MTH1</f>
        <v>0</v>
      </c>
      <c r="MSP1">
        <f>Database!MTI1</f>
        <v>0</v>
      </c>
      <c r="MSQ1">
        <f>Database!MTJ1</f>
        <v>0</v>
      </c>
      <c r="MSR1">
        <f>Database!MTK1</f>
        <v>0</v>
      </c>
      <c r="MSS1">
        <f>Database!MTL1</f>
        <v>0</v>
      </c>
      <c r="MST1">
        <f>Database!MTM1</f>
        <v>0</v>
      </c>
      <c r="MSU1">
        <f>Database!MTN1</f>
        <v>0</v>
      </c>
      <c r="MSV1">
        <f>Database!MTO1</f>
        <v>0</v>
      </c>
      <c r="MSW1">
        <f>Database!MTP1</f>
        <v>0</v>
      </c>
      <c r="MSX1">
        <f>Database!MTQ1</f>
        <v>0</v>
      </c>
      <c r="MSY1">
        <f>Database!MTR1</f>
        <v>0</v>
      </c>
      <c r="MSZ1">
        <f>Database!MTS1</f>
        <v>0</v>
      </c>
      <c r="MTA1">
        <f>Database!MTT1</f>
        <v>0</v>
      </c>
      <c r="MTB1">
        <f>Database!MTU1</f>
        <v>0</v>
      </c>
      <c r="MTC1">
        <f>Database!MTV1</f>
        <v>0</v>
      </c>
      <c r="MTD1">
        <f>Database!MTW1</f>
        <v>0</v>
      </c>
      <c r="MTE1">
        <f>Database!MTX1</f>
        <v>0</v>
      </c>
      <c r="MTF1">
        <f>Database!MTY1</f>
        <v>0</v>
      </c>
      <c r="MTG1">
        <f>Database!MTZ1</f>
        <v>0</v>
      </c>
      <c r="MTH1">
        <f>Database!MUA1</f>
        <v>0</v>
      </c>
      <c r="MTI1">
        <f>Database!MUB1</f>
        <v>0</v>
      </c>
      <c r="MTJ1">
        <f>Database!MUC1</f>
        <v>0</v>
      </c>
      <c r="MTK1">
        <f>Database!MUD1</f>
        <v>0</v>
      </c>
      <c r="MTL1">
        <f>Database!MUE1</f>
        <v>0</v>
      </c>
      <c r="MTM1">
        <f>Database!MUF1</f>
        <v>0</v>
      </c>
      <c r="MTN1">
        <f>Database!MUG1</f>
        <v>0</v>
      </c>
      <c r="MTO1">
        <f>Database!MUH1</f>
        <v>0</v>
      </c>
      <c r="MTP1">
        <f>Database!MUI1</f>
        <v>0</v>
      </c>
      <c r="MTQ1">
        <f>Database!MUJ1</f>
        <v>0</v>
      </c>
      <c r="MTR1">
        <f>Database!MUK1</f>
        <v>0</v>
      </c>
      <c r="MTS1">
        <f>Database!MUL1</f>
        <v>0</v>
      </c>
      <c r="MTT1">
        <f>Database!MUM1</f>
        <v>0</v>
      </c>
      <c r="MTU1">
        <f>Database!MUN1</f>
        <v>0</v>
      </c>
      <c r="MTV1">
        <f>Database!MUO1</f>
        <v>0</v>
      </c>
      <c r="MTW1">
        <f>Database!MUP1</f>
        <v>0</v>
      </c>
      <c r="MTX1">
        <f>Database!MUQ1</f>
        <v>0</v>
      </c>
      <c r="MTY1">
        <f>Database!MUR1</f>
        <v>0</v>
      </c>
      <c r="MTZ1">
        <f>Database!MUS1</f>
        <v>0</v>
      </c>
      <c r="MUA1">
        <f>Database!MUT1</f>
        <v>0</v>
      </c>
      <c r="MUB1">
        <f>Database!MUU1</f>
        <v>0</v>
      </c>
      <c r="MUC1">
        <f>Database!MUV1</f>
        <v>0</v>
      </c>
      <c r="MUD1">
        <f>Database!MUW1</f>
        <v>0</v>
      </c>
      <c r="MUE1">
        <f>Database!MUX1</f>
        <v>0</v>
      </c>
      <c r="MUF1">
        <f>Database!MUY1</f>
        <v>0</v>
      </c>
      <c r="MUG1">
        <f>Database!MUZ1</f>
        <v>0</v>
      </c>
      <c r="MUH1">
        <f>Database!MVA1</f>
        <v>0</v>
      </c>
      <c r="MUI1">
        <f>Database!MVB1</f>
        <v>0</v>
      </c>
      <c r="MUJ1">
        <f>Database!MVC1</f>
        <v>0</v>
      </c>
      <c r="MUK1">
        <f>Database!MVD1</f>
        <v>0</v>
      </c>
      <c r="MUL1">
        <f>Database!MVE1</f>
        <v>0</v>
      </c>
      <c r="MUM1">
        <f>Database!MVF1</f>
        <v>0</v>
      </c>
      <c r="MUN1">
        <f>Database!MVG1</f>
        <v>0</v>
      </c>
      <c r="MUO1">
        <f>Database!MVH1</f>
        <v>0</v>
      </c>
      <c r="MUP1">
        <f>Database!MVI1</f>
        <v>0</v>
      </c>
      <c r="MUQ1">
        <f>Database!MVJ1</f>
        <v>0</v>
      </c>
      <c r="MUR1">
        <f>Database!MVK1</f>
        <v>0</v>
      </c>
      <c r="MUS1">
        <f>Database!MVL1</f>
        <v>0</v>
      </c>
      <c r="MUT1">
        <f>Database!MVM1</f>
        <v>0</v>
      </c>
      <c r="MUU1">
        <f>Database!MVN1</f>
        <v>0</v>
      </c>
      <c r="MUV1">
        <f>Database!MVO1</f>
        <v>0</v>
      </c>
      <c r="MUW1">
        <f>Database!MVP1</f>
        <v>0</v>
      </c>
      <c r="MUX1">
        <f>Database!MVQ1</f>
        <v>0</v>
      </c>
      <c r="MUY1">
        <f>Database!MVR1</f>
        <v>0</v>
      </c>
      <c r="MUZ1">
        <f>Database!MVS1</f>
        <v>0</v>
      </c>
      <c r="MVA1">
        <f>Database!MVT1</f>
        <v>0</v>
      </c>
      <c r="MVB1">
        <f>Database!MVU1</f>
        <v>0</v>
      </c>
      <c r="MVC1">
        <f>Database!MVV1</f>
        <v>0</v>
      </c>
      <c r="MVD1">
        <f>Database!MVW1</f>
        <v>0</v>
      </c>
      <c r="MVE1">
        <f>Database!MVX1</f>
        <v>0</v>
      </c>
      <c r="MVF1">
        <f>Database!MVY1</f>
        <v>0</v>
      </c>
      <c r="MVG1">
        <f>Database!MVZ1</f>
        <v>0</v>
      </c>
      <c r="MVH1">
        <f>Database!MWA1</f>
        <v>0</v>
      </c>
      <c r="MVI1">
        <f>Database!MWB1</f>
        <v>0</v>
      </c>
      <c r="MVJ1">
        <f>Database!MWC1</f>
        <v>0</v>
      </c>
      <c r="MVK1">
        <f>Database!MWD1</f>
        <v>0</v>
      </c>
      <c r="MVL1">
        <f>Database!MWE1</f>
        <v>0</v>
      </c>
      <c r="MVM1">
        <f>Database!MWF1</f>
        <v>0</v>
      </c>
      <c r="MVN1">
        <f>Database!MWG1</f>
        <v>0</v>
      </c>
      <c r="MVO1">
        <f>Database!MWH1</f>
        <v>0</v>
      </c>
      <c r="MVP1">
        <f>Database!MWI1</f>
        <v>0</v>
      </c>
      <c r="MVQ1">
        <f>Database!MWJ1</f>
        <v>0</v>
      </c>
      <c r="MVR1">
        <f>Database!MWK1</f>
        <v>0</v>
      </c>
      <c r="MVS1">
        <f>Database!MWL1</f>
        <v>0</v>
      </c>
      <c r="MVT1">
        <f>Database!MWM1</f>
        <v>0</v>
      </c>
      <c r="MVU1">
        <f>Database!MWN1</f>
        <v>0</v>
      </c>
      <c r="MVV1">
        <f>Database!MWO1</f>
        <v>0</v>
      </c>
      <c r="MVW1">
        <f>Database!MWP1</f>
        <v>0</v>
      </c>
      <c r="MVX1">
        <f>Database!MWQ1</f>
        <v>0</v>
      </c>
      <c r="MVY1">
        <f>Database!MWR1</f>
        <v>0</v>
      </c>
      <c r="MVZ1">
        <f>Database!MWS1</f>
        <v>0</v>
      </c>
      <c r="MWA1">
        <f>Database!MWT1</f>
        <v>0</v>
      </c>
      <c r="MWB1">
        <f>Database!MWU1</f>
        <v>0</v>
      </c>
      <c r="MWC1">
        <f>Database!MWV1</f>
        <v>0</v>
      </c>
      <c r="MWD1">
        <f>Database!MWW1</f>
        <v>0</v>
      </c>
      <c r="MWE1">
        <f>Database!MWX1</f>
        <v>0</v>
      </c>
      <c r="MWF1">
        <f>Database!MWY1</f>
        <v>0</v>
      </c>
      <c r="MWG1">
        <f>Database!MWZ1</f>
        <v>0</v>
      </c>
      <c r="MWH1">
        <f>Database!MXA1</f>
        <v>0</v>
      </c>
      <c r="MWI1">
        <f>Database!MXB1</f>
        <v>0</v>
      </c>
      <c r="MWJ1">
        <f>Database!MXC1</f>
        <v>0</v>
      </c>
      <c r="MWK1">
        <f>Database!MXD1</f>
        <v>0</v>
      </c>
      <c r="MWL1">
        <f>Database!MXE1</f>
        <v>0</v>
      </c>
      <c r="MWM1">
        <f>Database!MXF1</f>
        <v>0</v>
      </c>
      <c r="MWN1">
        <f>Database!MXG1</f>
        <v>0</v>
      </c>
      <c r="MWO1">
        <f>Database!MXH1</f>
        <v>0</v>
      </c>
      <c r="MWP1">
        <f>Database!MXI1</f>
        <v>0</v>
      </c>
      <c r="MWQ1">
        <f>Database!MXJ1</f>
        <v>0</v>
      </c>
      <c r="MWR1">
        <f>Database!MXK1</f>
        <v>0</v>
      </c>
      <c r="MWS1">
        <f>Database!MXL1</f>
        <v>0</v>
      </c>
      <c r="MWT1">
        <f>Database!MXM1</f>
        <v>0</v>
      </c>
      <c r="MWU1">
        <f>Database!MXN1</f>
        <v>0</v>
      </c>
      <c r="MWV1">
        <f>Database!MXO1</f>
        <v>0</v>
      </c>
      <c r="MWW1">
        <f>Database!MXP1</f>
        <v>0</v>
      </c>
      <c r="MWX1">
        <f>Database!MXQ1</f>
        <v>0</v>
      </c>
      <c r="MWY1">
        <f>Database!MXR1</f>
        <v>0</v>
      </c>
      <c r="MWZ1">
        <f>Database!MXS1</f>
        <v>0</v>
      </c>
      <c r="MXA1">
        <f>Database!MXT1</f>
        <v>0</v>
      </c>
      <c r="MXB1">
        <f>Database!MXU1</f>
        <v>0</v>
      </c>
      <c r="MXC1">
        <f>Database!MXV1</f>
        <v>0</v>
      </c>
      <c r="MXD1">
        <f>Database!MXW1</f>
        <v>0</v>
      </c>
      <c r="MXE1">
        <f>Database!MXX1</f>
        <v>0</v>
      </c>
      <c r="MXF1">
        <f>Database!MXY1</f>
        <v>0</v>
      </c>
      <c r="MXG1">
        <f>Database!MXZ1</f>
        <v>0</v>
      </c>
      <c r="MXH1">
        <f>Database!MYA1</f>
        <v>0</v>
      </c>
      <c r="MXI1">
        <f>Database!MYB1</f>
        <v>0</v>
      </c>
      <c r="MXJ1">
        <f>Database!MYC1</f>
        <v>0</v>
      </c>
      <c r="MXK1">
        <f>Database!MYD1</f>
        <v>0</v>
      </c>
      <c r="MXL1">
        <f>Database!MYE1</f>
        <v>0</v>
      </c>
      <c r="MXM1">
        <f>Database!MYF1</f>
        <v>0</v>
      </c>
      <c r="MXN1">
        <f>Database!MYG1</f>
        <v>0</v>
      </c>
      <c r="MXO1">
        <f>Database!MYH1</f>
        <v>0</v>
      </c>
      <c r="MXP1">
        <f>Database!MYI1</f>
        <v>0</v>
      </c>
      <c r="MXQ1">
        <f>Database!MYJ1</f>
        <v>0</v>
      </c>
      <c r="MXR1">
        <f>Database!MYK1</f>
        <v>0</v>
      </c>
      <c r="MXS1">
        <f>Database!MYL1</f>
        <v>0</v>
      </c>
      <c r="MXT1">
        <f>Database!MYM1</f>
        <v>0</v>
      </c>
      <c r="MXU1">
        <f>Database!MYN1</f>
        <v>0</v>
      </c>
      <c r="MXV1">
        <f>Database!MYO1</f>
        <v>0</v>
      </c>
      <c r="MXW1">
        <f>Database!MYP1</f>
        <v>0</v>
      </c>
      <c r="MXX1">
        <f>Database!MYQ1</f>
        <v>0</v>
      </c>
      <c r="MXY1">
        <f>Database!MYR1</f>
        <v>0</v>
      </c>
      <c r="MXZ1">
        <f>Database!MYS1</f>
        <v>0</v>
      </c>
      <c r="MYA1">
        <f>Database!MYT1</f>
        <v>0</v>
      </c>
      <c r="MYB1">
        <f>Database!MYU1</f>
        <v>0</v>
      </c>
      <c r="MYC1">
        <f>Database!MYV1</f>
        <v>0</v>
      </c>
      <c r="MYD1">
        <f>Database!MYW1</f>
        <v>0</v>
      </c>
      <c r="MYE1">
        <f>Database!MYX1</f>
        <v>0</v>
      </c>
      <c r="MYF1">
        <f>Database!MYY1</f>
        <v>0</v>
      </c>
      <c r="MYG1">
        <f>Database!MYZ1</f>
        <v>0</v>
      </c>
      <c r="MYH1">
        <f>Database!MZA1</f>
        <v>0</v>
      </c>
      <c r="MYI1">
        <f>Database!MZB1</f>
        <v>0</v>
      </c>
      <c r="MYJ1">
        <f>Database!MZC1</f>
        <v>0</v>
      </c>
      <c r="MYK1">
        <f>Database!MZD1</f>
        <v>0</v>
      </c>
      <c r="MYL1">
        <f>Database!MZE1</f>
        <v>0</v>
      </c>
      <c r="MYM1">
        <f>Database!MZF1</f>
        <v>0</v>
      </c>
      <c r="MYN1">
        <f>Database!MZG1</f>
        <v>0</v>
      </c>
      <c r="MYO1">
        <f>Database!MZH1</f>
        <v>0</v>
      </c>
      <c r="MYP1">
        <f>Database!MZI1</f>
        <v>0</v>
      </c>
      <c r="MYQ1">
        <f>Database!MZJ1</f>
        <v>0</v>
      </c>
      <c r="MYR1">
        <f>Database!MZK1</f>
        <v>0</v>
      </c>
      <c r="MYS1">
        <f>Database!MZL1</f>
        <v>0</v>
      </c>
      <c r="MYT1">
        <f>Database!MZM1</f>
        <v>0</v>
      </c>
      <c r="MYU1">
        <f>Database!MZN1</f>
        <v>0</v>
      </c>
      <c r="MYV1">
        <f>Database!MZO1</f>
        <v>0</v>
      </c>
      <c r="MYW1">
        <f>Database!MZP1</f>
        <v>0</v>
      </c>
      <c r="MYX1">
        <f>Database!MZQ1</f>
        <v>0</v>
      </c>
      <c r="MYY1">
        <f>Database!MZR1</f>
        <v>0</v>
      </c>
      <c r="MYZ1">
        <f>Database!MZS1</f>
        <v>0</v>
      </c>
      <c r="MZA1">
        <f>Database!MZT1</f>
        <v>0</v>
      </c>
      <c r="MZB1">
        <f>Database!MZU1</f>
        <v>0</v>
      </c>
      <c r="MZC1">
        <f>Database!MZV1</f>
        <v>0</v>
      </c>
      <c r="MZD1">
        <f>Database!MZW1</f>
        <v>0</v>
      </c>
      <c r="MZE1">
        <f>Database!MZX1</f>
        <v>0</v>
      </c>
      <c r="MZF1">
        <f>Database!MZY1</f>
        <v>0</v>
      </c>
      <c r="MZG1">
        <f>Database!MZZ1</f>
        <v>0</v>
      </c>
      <c r="MZH1">
        <f>Database!NAA1</f>
        <v>0</v>
      </c>
      <c r="MZI1">
        <f>Database!NAB1</f>
        <v>0</v>
      </c>
      <c r="MZJ1">
        <f>Database!NAC1</f>
        <v>0</v>
      </c>
      <c r="MZK1">
        <f>Database!NAD1</f>
        <v>0</v>
      </c>
      <c r="MZL1">
        <f>Database!NAE1</f>
        <v>0</v>
      </c>
      <c r="MZM1">
        <f>Database!NAF1</f>
        <v>0</v>
      </c>
      <c r="MZN1">
        <f>Database!NAG1</f>
        <v>0</v>
      </c>
      <c r="MZO1">
        <f>Database!NAH1</f>
        <v>0</v>
      </c>
      <c r="MZP1">
        <f>Database!NAI1</f>
        <v>0</v>
      </c>
      <c r="MZQ1">
        <f>Database!NAJ1</f>
        <v>0</v>
      </c>
      <c r="MZR1">
        <f>Database!NAK1</f>
        <v>0</v>
      </c>
      <c r="MZS1">
        <f>Database!NAL1</f>
        <v>0</v>
      </c>
      <c r="MZT1">
        <f>Database!NAM1</f>
        <v>0</v>
      </c>
      <c r="MZU1">
        <f>Database!NAN1</f>
        <v>0</v>
      </c>
      <c r="MZV1">
        <f>Database!NAO1</f>
        <v>0</v>
      </c>
      <c r="MZW1">
        <f>Database!NAP1</f>
        <v>0</v>
      </c>
      <c r="MZX1">
        <f>Database!NAQ1</f>
        <v>0</v>
      </c>
      <c r="MZY1">
        <f>Database!NAR1</f>
        <v>0</v>
      </c>
      <c r="MZZ1">
        <f>Database!NAS1</f>
        <v>0</v>
      </c>
      <c r="NAA1">
        <f>Database!NAT1</f>
        <v>0</v>
      </c>
      <c r="NAB1">
        <f>Database!NAU1</f>
        <v>0</v>
      </c>
      <c r="NAC1">
        <f>Database!NAV1</f>
        <v>0</v>
      </c>
      <c r="NAD1">
        <f>Database!NAW1</f>
        <v>0</v>
      </c>
      <c r="NAE1">
        <f>Database!NAX1</f>
        <v>0</v>
      </c>
      <c r="NAF1">
        <f>Database!NAY1</f>
        <v>0</v>
      </c>
      <c r="NAG1">
        <f>Database!NAZ1</f>
        <v>0</v>
      </c>
      <c r="NAH1">
        <f>Database!NBA1</f>
        <v>0</v>
      </c>
      <c r="NAI1">
        <f>Database!NBB1</f>
        <v>0</v>
      </c>
      <c r="NAJ1">
        <f>Database!NBC1</f>
        <v>0</v>
      </c>
      <c r="NAK1">
        <f>Database!NBD1</f>
        <v>0</v>
      </c>
      <c r="NAL1">
        <f>Database!NBE1</f>
        <v>0</v>
      </c>
      <c r="NAM1">
        <f>Database!NBF1</f>
        <v>0</v>
      </c>
      <c r="NAN1">
        <f>Database!NBG1</f>
        <v>0</v>
      </c>
      <c r="NAO1">
        <f>Database!NBH1</f>
        <v>0</v>
      </c>
      <c r="NAP1">
        <f>Database!NBI1</f>
        <v>0</v>
      </c>
      <c r="NAQ1">
        <f>Database!NBJ1</f>
        <v>0</v>
      </c>
      <c r="NAR1">
        <f>Database!NBK1</f>
        <v>0</v>
      </c>
      <c r="NAS1">
        <f>Database!NBL1</f>
        <v>0</v>
      </c>
      <c r="NAT1">
        <f>Database!NBM1</f>
        <v>0</v>
      </c>
      <c r="NAU1">
        <f>Database!NBN1</f>
        <v>0</v>
      </c>
      <c r="NAV1">
        <f>Database!NBO1</f>
        <v>0</v>
      </c>
      <c r="NAW1">
        <f>Database!NBP1</f>
        <v>0</v>
      </c>
      <c r="NAX1">
        <f>Database!NBQ1</f>
        <v>0</v>
      </c>
      <c r="NAY1">
        <f>Database!NBR1</f>
        <v>0</v>
      </c>
      <c r="NAZ1">
        <f>Database!NBS1</f>
        <v>0</v>
      </c>
      <c r="NBA1">
        <f>Database!NBT1</f>
        <v>0</v>
      </c>
      <c r="NBB1">
        <f>Database!NBU1</f>
        <v>0</v>
      </c>
      <c r="NBC1">
        <f>Database!NBV1</f>
        <v>0</v>
      </c>
      <c r="NBD1">
        <f>Database!NBW1</f>
        <v>0</v>
      </c>
      <c r="NBE1">
        <f>Database!NBX1</f>
        <v>0</v>
      </c>
      <c r="NBF1">
        <f>Database!NBY1</f>
        <v>0</v>
      </c>
      <c r="NBG1">
        <f>Database!NBZ1</f>
        <v>0</v>
      </c>
      <c r="NBH1">
        <f>Database!NCA1</f>
        <v>0</v>
      </c>
      <c r="NBI1">
        <f>Database!NCB1</f>
        <v>0</v>
      </c>
      <c r="NBJ1">
        <f>Database!NCC1</f>
        <v>0</v>
      </c>
      <c r="NBK1">
        <f>Database!NCD1</f>
        <v>0</v>
      </c>
      <c r="NBL1">
        <f>Database!NCE1</f>
        <v>0</v>
      </c>
      <c r="NBM1">
        <f>Database!NCF1</f>
        <v>0</v>
      </c>
      <c r="NBN1">
        <f>Database!NCG1</f>
        <v>0</v>
      </c>
      <c r="NBO1">
        <f>Database!NCH1</f>
        <v>0</v>
      </c>
      <c r="NBP1">
        <f>Database!NCI1</f>
        <v>0</v>
      </c>
      <c r="NBQ1">
        <f>Database!NCJ1</f>
        <v>0</v>
      </c>
      <c r="NBR1">
        <f>Database!NCK1</f>
        <v>0</v>
      </c>
      <c r="NBS1">
        <f>Database!NCL1</f>
        <v>0</v>
      </c>
      <c r="NBT1">
        <f>Database!NCM1</f>
        <v>0</v>
      </c>
      <c r="NBU1">
        <f>Database!NCN1</f>
        <v>0</v>
      </c>
      <c r="NBV1">
        <f>Database!NCO1</f>
        <v>0</v>
      </c>
      <c r="NBW1">
        <f>Database!NCP1</f>
        <v>0</v>
      </c>
      <c r="NBX1">
        <f>Database!NCQ1</f>
        <v>0</v>
      </c>
      <c r="NBY1">
        <f>Database!NCR1</f>
        <v>0</v>
      </c>
      <c r="NBZ1">
        <f>Database!NCS1</f>
        <v>0</v>
      </c>
      <c r="NCA1">
        <f>Database!NCT1</f>
        <v>0</v>
      </c>
      <c r="NCB1">
        <f>Database!NCU1</f>
        <v>0</v>
      </c>
      <c r="NCC1">
        <f>Database!NCV1</f>
        <v>0</v>
      </c>
      <c r="NCD1">
        <f>Database!NCW1</f>
        <v>0</v>
      </c>
      <c r="NCE1">
        <f>Database!NCX1</f>
        <v>0</v>
      </c>
      <c r="NCF1">
        <f>Database!NCY1</f>
        <v>0</v>
      </c>
      <c r="NCG1">
        <f>Database!NCZ1</f>
        <v>0</v>
      </c>
      <c r="NCH1">
        <f>Database!NDA1</f>
        <v>0</v>
      </c>
      <c r="NCI1">
        <f>Database!NDB1</f>
        <v>0</v>
      </c>
      <c r="NCJ1">
        <f>Database!NDC1</f>
        <v>0</v>
      </c>
      <c r="NCK1">
        <f>Database!NDD1</f>
        <v>0</v>
      </c>
      <c r="NCL1">
        <f>Database!NDE1</f>
        <v>0</v>
      </c>
      <c r="NCM1">
        <f>Database!NDF1</f>
        <v>0</v>
      </c>
      <c r="NCN1">
        <f>Database!NDG1</f>
        <v>0</v>
      </c>
      <c r="NCO1">
        <f>Database!NDH1</f>
        <v>0</v>
      </c>
      <c r="NCP1">
        <f>Database!NDI1</f>
        <v>0</v>
      </c>
      <c r="NCQ1">
        <f>Database!NDJ1</f>
        <v>0</v>
      </c>
      <c r="NCR1">
        <f>Database!NDK1</f>
        <v>0</v>
      </c>
      <c r="NCS1">
        <f>Database!NDL1</f>
        <v>0</v>
      </c>
      <c r="NCT1">
        <f>Database!NDM1</f>
        <v>0</v>
      </c>
      <c r="NCU1">
        <f>Database!NDN1</f>
        <v>0</v>
      </c>
      <c r="NCV1">
        <f>Database!NDO1</f>
        <v>0</v>
      </c>
      <c r="NCW1">
        <f>Database!NDP1</f>
        <v>0</v>
      </c>
      <c r="NCX1">
        <f>Database!NDQ1</f>
        <v>0</v>
      </c>
      <c r="NCY1">
        <f>Database!NDR1</f>
        <v>0</v>
      </c>
      <c r="NCZ1">
        <f>Database!NDS1</f>
        <v>0</v>
      </c>
      <c r="NDA1">
        <f>Database!NDT1</f>
        <v>0</v>
      </c>
      <c r="NDB1">
        <f>Database!NDU1</f>
        <v>0</v>
      </c>
      <c r="NDC1">
        <f>Database!NDV1</f>
        <v>0</v>
      </c>
      <c r="NDD1">
        <f>Database!NDW1</f>
        <v>0</v>
      </c>
      <c r="NDE1">
        <f>Database!NDX1</f>
        <v>0</v>
      </c>
      <c r="NDF1">
        <f>Database!NDY1</f>
        <v>0</v>
      </c>
      <c r="NDG1">
        <f>Database!NDZ1</f>
        <v>0</v>
      </c>
      <c r="NDH1">
        <f>Database!NEA1</f>
        <v>0</v>
      </c>
      <c r="NDI1">
        <f>Database!NEB1</f>
        <v>0</v>
      </c>
      <c r="NDJ1">
        <f>Database!NEC1</f>
        <v>0</v>
      </c>
      <c r="NDK1">
        <f>Database!NED1</f>
        <v>0</v>
      </c>
      <c r="NDL1">
        <f>Database!NEE1</f>
        <v>0</v>
      </c>
      <c r="NDM1">
        <f>Database!NEF1</f>
        <v>0</v>
      </c>
      <c r="NDN1">
        <f>Database!NEG1</f>
        <v>0</v>
      </c>
      <c r="NDO1">
        <f>Database!NEH1</f>
        <v>0</v>
      </c>
      <c r="NDP1">
        <f>Database!NEI1</f>
        <v>0</v>
      </c>
      <c r="NDQ1">
        <f>Database!NEJ1</f>
        <v>0</v>
      </c>
      <c r="NDR1">
        <f>Database!NEK1</f>
        <v>0</v>
      </c>
      <c r="NDS1">
        <f>Database!NEL1</f>
        <v>0</v>
      </c>
      <c r="NDT1">
        <f>Database!NEM1</f>
        <v>0</v>
      </c>
      <c r="NDU1">
        <f>Database!NEN1</f>
        <v>0</v>
      </c>
      <c r="NDV1">
        <f>Database!NEO1</f>
        <v>0</v>
      </c>
      <c r="NDW1">
        <f>Database!NEP1</f>
        <v>0</v>
      </c>
      <c r="NDX1">
        <f>Database!NEQ1</f>
        <v>0</v>
      </c>
      <c r="NDY1">
        <f>Database!NER1</f>
        <v>0</v>
      </c>
      <c r="NDZ1">
        <f>Database!NES1</f>
        <v>0</v>
      </c>
      <c r="NEA1">
        <f>Database!NET1</f>
        <v>0</v>
      </c>
      <c r="NEB1">
        <f>Database!NEU1</f>
        <v>0</v>
      </c>
      <c r="NEC1">
        <f>Database!NEV1</f>
        <v>0</v>
      </c>
      <c r="NED1">
        <f>Database!NEW1</f>
        <v>0</v>
      </c>
      <c r="NEE1">
        <f>Database!NEX1</f>
        <v>0</v>
      </c>
      <c r="NEF1">
        <f>Database!NEY1</f>
        <v>0</v>
      </c>
      <c r="NEG1">
        <f>Database!NEZ1</f>
        <v>0</v>
      </c>
      <c r="NEH1">
        <f>Database!NFA1</f>
        <v>0</v>
      </c>
      <c r="NEI1">
        <f>Database!NFB1</f>
        <v>0</v>
      </c>
      <c r="NEJ1">
        <f>Database!NFC1</f>
        <v>0</v>
      </c>
      <c r="NEK1">
        <f>Database!NFD1</f>
        <v>0</v>
      </c>
      <c r="NEL1">
        <f>Database!NFE1</f>
        <v>0</v>
      </c>
      <c r="NEM1">
        <f>Database!NFF1</f>
        <v>0</v>
      </c>
      <c r="NEN1">
        <f>Database!NFG1</f>
        <v>0</v>
      </c>
      <c r="NEO1">
        <f>Database!NFH1</f>
        <v>0</v>
      </c>
      <c r="NEP1">
        <f>Database!NFI1</f>
        <v>0</v>
      </c>
      <c r="NEQ1">
        <f>Database!NFJ1</f>
        <v>0</v>
      </c>
      <c r="NER1">
        <f>Database!NFK1</f>
        <v>0</v>
      </c>
      <c r="NES1">
        <f>Database!NFL1</f>
        <v>0</v>
      </c>
      <c r="NET1">
        <f>Database!NFM1</f>
        <v>0</v>
      </c>
      <c r="NEU1">
        <f>Database!NFN1</f>
        <v>0</v>
      </c>
      <c r="NEV1">
        <f>Database!NFO1</f>
        <v>0</v>
      </c>
      <c r="NEW1">
        <f>Database!NFP1</f>
        <v>0</v>
      </c>
      <c r="NEX1">
        <f>Database!NFQ1</f>
        <v>0</v>
      </c>
      <c r="NEY1">
        <f>Database!NFR1</f>
        <v>0</v>
      </c>
      <c r="NEZ1">
        <f>Database!NFS1</f>
        <v>0</v>
      </c>
      <c r="NFA1">
        <f>Database!NFT1</f>
        <v>0</v>
      </c>
      <c r="NFB1">
        <f>Database!NFU1</f>
        <v>0</v>
      </c>
      <c r="NFC1">
        <f>Database!NFV1</f>
        <v>0</v>
      </c>
      <c r="NFD1">
        <f>Database!NFW1</f>
        <v>0</v>
      </c>
      <c r="NFE1">
        <f>Database!NFX1</f>
        <v>0</v>
      </c>
      <c r="NFF1">
        <f>Database!NFY1</f>
        <v>0</v>
      </c>
      <c r="NFG1">
        <f>Database!NFZ1</f>
        <v>0</v>
      </c>
      <c r="NFH1">
        <f>Database!NGA1</f>
        <v>0</v>
      </c>
      <c r="NFI1">
        <f>Database!NGB1</f>
        <v>0</v>
      </c>
      <c r="NFJ1">
        <f>Database!NGC1</f>
        <v>0</v>
      </c>
      <c r="NFK1">
        <f>Database!NGD1</f>
        <v>0</v>
      </c>
      <c r="NFL1">
        <f>Database!NGE1</f>
        <v>0</v>
      </c>
      <c r="NFM1">
        <f>Database!NGF1</f>
        <v>0</v>
      </c>
      <c r="NFN1">
        <f>Database!NGG1</f>
        <v>0</v>
      </c>
      <c r="NFO1">
        <f>Database!NGH1</f>
        <v>0</v>
      </c>
      <c r="NFP1">
        <f>Database!NGI1</f>
        <v>0</v>
      </c>
      <c r="NFQ1">
        <f>Database!NGJ1</f>
        <v>0</v>
      </c>
      <c r="NFR1">
        <f>Database!NGK1</f>
        <v>0</v>
      </c>
      <c r="NFS1">
        <f>Database!NGL1</f>
        <v>0</v>
      </c>
      <c r="NFT1">
        <f>Database!NGM1</f>
        <v>0</v>
      </c>
      <c r="NFU1">
        <f>Database!NGN1</f>
        <v>0</v>
      </c>
      <c r="NFV1">
        <f>Database!NGO1</f>
        <v>0</v>
      </c>
      <c r="NFW1">
        <f>Database!NGP1</f>
        <v>0</v>
      </c>
      <c r="NFX1">
        <f>Database!NGQ1</f>
        <v>0</v>
      </c>
      <c r="NFY1">
        <f>Database!NGR1</f>
        <v>0</v>
      </c>
      <c r="NFZ1">
        <f>Database!NGS1</f>
        <v>0</v>
      </c>
      <c r="NGA1">
        <f>Database!NGT1</f>
        <v>0</v>
      </c>
      <c r="NGB1">
        <f>Database!NGU1</f>
        <v>0</v>
      </c>
      <c r="NGC1">
        <f>Database!NGV1</f>
        <v>0</v>
      </c>
      <c r="NGD1">
        <f>Database!NGW1</f>
        <v>0</v>
      </c>
      <c r="NGE1">
        <f>Database!NGX1</f>
        <v>0</v>
      </c>
      <c r="NGF1">
        <f>Database!NGY1</f>
        <v>0</v>
      </c>
      <c r="NGG1">
        <f>Database!NGZ1</f>
        <v>0</v>
      </c>
      <c r="NGH1">
        <f>Database!NHA1</f>
        <v>0</v>
      </c>
      <c r="NGI1">
        <f>Database!NHB1</f>
        <v>0</v>
      </c>
      <c r="NGJ1">
        <f>Database!NHC1</f>
        <v>0</v>
      </c>
      <c r="NGK1">
        <f>Database!NHD1</f>
        <v>0</v>
      </c>
      <c r="NGL1">
        <f>Database!NHE1</f>
        <v>0</v>
      </c>
      <c r="NGM1">
        <f>Database!NHF1</f>
        <v>0</v>
      </c>
      <c r="NGN1">
        <f>Database!NHG1</f>
        <v>0</v>
      </c>
      <c r="NGO1">
        <f>Database!NHH1</f>
        <v>0</v>
      </c>
      <c r="NGP1">
        <f>Database!NHI1</f>
        <v>0</v>
      </c>
      <c r="NGQ1">
        <f>Database!NHJ1</f>
        <v>0</v>
      </c>
      <c r="NGR1">
        <f>Database!NHK1</f>
        <v>0</v>
      </c>
      <c r="NGS1">
        <f>Database!NHL1</f>
        <v>0</v>
      </c>
      <c r="NGT1">
        <f>Database!NHM1</f>
        <v>0</v>
      </c>
      <c r="NGU1">
        <f>Database!NHN1</f>
        <v>0</v>
      </c>
      <c r="NGV1">
        <f>Database!NHO1</f>
        <v>0</v>
      </c>
      <c r="NGW1">
        <f>Database!NHP1</f>
        <v>0</v>
      </c>
      <c r="NGX1">
        <f>Database!NHQ1</f>
        <v>0</v>
      </c>
      <c r="NGY1">
        <f>Database!NHR1</f>
        <v>0</v>
      </c>
      <c r="NGZ1">
        <f>Database!NHS1</f>
        <v>0</v>
      </c>
      <c r="NHA1">
        <f>Database!NHT1</f>
        <v>0</v>
      </c>
      <c r="NHB1">
        <f>Database!NHU1</f>
        <v>0</v>
      </c>
      <c r="NHC1">
        <f>Database!NHV1</f>
        <v>0</v>
      </c>
      <c r="NHD1">
        <f>Database!NHW1</f>
        <v>0</v>
      </c>
      <c r="NHE1">
        <f>Database!NHX1</f>
        <v>0</v>
      </c>
      <c r="NHF1">
        <f>Database!NHY1</f>
        <v>0</v>
      </c>
      <c r="NHG1">
        <f>Database!NHZ1</f>
        <v>0</v>
      </c>
      <c r="NHH1">
        <f>Database!NIA1</f>
        <v>0</v>
      </c>
      <c r="NHI1">
        <f>Database!NIB1</f>
        <v>0</v>
      </c>
      <c r="NHJ1">
        <f>Database!NIC1</f>
        <v>0</v>
      </c>
      <c r="NHK1">
        <f>Database!NID1</f>
        <v>0</v>
      </c>
      <c r="NHL1">
        <f>Database!NIE1</f>
        <v>0</v>
      </c>
      <c r="NHM1">
        <f>Database!NIF1</f>
        <v>0</v>
      </c>
      <c r="NHN1">
        <f>Database!NIG1</f>
        <v>0</v>
      </c>
      <c r="NHO1">
        <f>Database!NIH1</f>
        <v>0</v>
      </c>
      <c r="NHP1">
        <f>Database!NII1</f>
        <v>0</v>
      </c>
      <c r="NHQ1">
        <f>Database!NIJ1</f>
        <v>0</v>
      </c>
      <c r="NHR1">
        <f>Database!NIK1</f>
        <v>0</v>
      </c>
      <c r="NHS1">
        <f>Database!NIL1</f>
        <v>0</v>
      </c>
      <c r="NHT1">
        <f>Database!NIM1</f>
        <v>0</v>
      </c>
      <c r="NHU1">
        <f>Database!NIN1</f>
        <v>0</v>
      </c>
      <c r="NHV1">
        <f>Database!NIO1</f>
        <v>0</v>
      </c>
      <c r="NHW1">
        <f>Database!NIP1</f>
        <v>0</v>
      </c>
      <c r="NHX1">
        <f>Database!NIQ1</f>
        <v>0</v>
      </c>
      <c r="NHY1">
        <f>Database!NIR1</f>
        <v>0</v>
      </c>
      <c r="NHZ1">
        <f>Database!NIS1</f>
        <v>0</v>
      </c>
      <c r="NIA1">
        <f>Database!NIT1</f>
        <v>0</v>
      </c>
      <c r="NIB1">
        <f>Database!NIU1</f>
        <v>0</v>
      </c>
      <c r="NIC1">
        <f>Database!NIV1</f>
        <v>0</v>
      </c>
      <c r="NID1">
        <f>Database!NIW1</f>
        <v>0</v>
      </c>
      <c r="NIE1">
        <f>Database!NIX1</f>
        <v>0</v>
      </c>
      <c r="NIF1">
        <f>Database!NIY1</f>
        <v>0</v>
      </c>
      <c r="NIG1">
        <f>Database!NIZ1</f>
        <v>0</v>
      </c>
      <c r="NIH1">
        <f>Database!NJA1</f>
        <v>0</v>
      </c>
      <c r="NII1">
        <f>Database!NJB1</f>
        <v>0</v>
      </c>
      <c r="NIJ1">
        <f>Database!NJC1</f>
        <v>0</v>
      </c>
      <c r="NIK1">
        <f>Database!NJD1</f>
        <v>0</v>
      </c>
      <c r="NIL1">
        <f>Database!NJE1</f>
        <v>0</v>
      </c>
      <c r="NIM1">
        <f>Database!NJF1</f>
        <v>0</v>
      </c>
      <c r="NIN1">
        <f>Database!NJG1</f>
        <v>0</v>
      </c>
      <c r="NIO1">
        <f>Database!NJH1</f>
        <v>0</v>
      </c>
      <c r="NIP1">
        <f>Database!NJI1</f>
        <v>0</v>
      </c>
      <c r="NIQ1">
        <f>Database!NJJ1</f>
        <v>0</v>
      </c>
      <c r="NIR1">
        <f>Database!NJK1</f>
        <v>0</v>
      </c>
      <c r="NIS1">
        <f>Database!NJL1</f>
        <v>0</v>
      </c>
      <c r="NIT1">
        <f>Database!NJM1</f>
        <v>0</v>
      </c>
      <c r="NIU1">
        <f>Database!NJN1</f>
        <v>0</v>
      </c>
      <c r="NIV1">
        <f>Database!NJO1</f>
        <v>0</v>
      </c>
      <c r="NIW1">
        <f>Database!NJP1</f>
        <v>0</v>
      </c>
      <c r="NIX1">
        <f>Database!NJQ1</f>
        <v>0</v>
      </c>
      <c r="NIY1">
        <f>Database!NJR1</f>
        <v>0</v>
      </c>
      <c r="NIZ1">
        <f>Database!NJS1</f>
        <v>0</v>
      </c>
      <c r="NJA1">
        <f>Database!NJT1</f>
        <v>0</v>
      </c>
      <c r="NJB1">
        <f>Database!NJU1</f>
        <v>0</v>
      </c>
      <c r="NJC1">
        <f>Database!NJV1</f>
        <v>0</v>
      </c>
      <c r="NJD1">
        <f>Database!NJW1</f>
        <v>0</v>
      </c>
      <c r="NJE1">
        <f>Database!NJX1</f>
        <v>0</v>
      </c>
      <c r="NJF1">
        <f>Database!NJY1</f>
        <v>0</v>
      </c>
      <c r="NJG1">
        <f>Database!NJZ1</f>
        <v>0</v>
      </c>
      <c r="NJH1">
        <f>Database!NKA1</f>
        <v>0</v>
      </c>
      <c r="NJI1">
        <f>Database!NKB1</f>
        <v>0</v>
      </c>
      <c r="NJJ1">
        <f>Database!NKC1</f>
        <v>0</v>
      </c>
      <c r="NJK1">
        <f>Database!NKD1</f>
        <v>0</v>
      </c>
      <c r="NJL1">
        <f>Database!NKE1</f>
        <v>0</v>
      </c>
      <c r="NJM1">
        <f>Database!NKF1</f>
        <v>0</v>
      </c>
      <c r="NJN1">
        <f>Database!NKG1</f>
        <v>0</v>
      </c>
      <c r="NJO1">
        <f>Database!NKH1</f>
        <v>0</v>
      </c>
      <c r="NJP1">
        <f>Database!NKI1</f>
        <v>0</v>
      </c>
      <c r="NJQ1">
        <f>Database!NKJ1</f>
        <v>0</v>
      </c>
      <c r="NJR1">
        <f>Database!NKK1</f>
        <v>0</v>
      </c>
      <c r="NJS1">
        <f>Database!NKL1</f>
        <v>0</v>
      </c>
      <c r="NJT1">
        <f>Database!NKM1</f>
        <v>0</v>
      </c>
      <c r="NJU1">
        <f>Database!NKN1</f>
        <v>0</v>
      </c>
      <c r="NJV1">
        <f>Database!NKO1</f>
        <v>0</v>
      </c>
      <c r="NJW1">
        <f>Database!NKP1</f>
        <v>0</v>
      </c>
      <c r="NJX1">
        <f>Database!NKQ1</f>
        <v>0</v>
      </c>
      <c r="NJY1">
        <f>Database!NKR1</f>
        <v>0</v>
      </c>
      <c r="NJZ1">
        <f>Database!NKS1</f>
        <v>0</v>
      </c>
      <c r="NKA1">
        <f>Database!NKT1</f>
        <v>0</v>
      </c>
      <c r="NKB1">
        <f>Database!NKU1</f>
        <v>0</v>
      </c>
      <c r="NKC1">
        <f>Database!NKV1</f>
        <v>0</v>
      </c>
      <c r="NKD1">
        <f>Database!NKW1</f>
        <v>0</v>
      </c>
      <c r="NKE1">
        <f>Database!NKX1</f>
        <v>0</v>
      </c>
      <c r="NKF1">
        <f>Database!NKY1</f>
        <v>0</v>
      </c>
      <c r="NKG1">
        <f>Database!NKZ1</f>
        <v>0</v>
      </c>
      <c r="NKH1">
        <f>Database!NLA1</f>
        <v>0</v>
      </c>
      <c r="NKI1">
        <f>Database!NLB1</f>
        <v>0</v>
      </c>
      <c r="NKJ1">
        <f>Database!NLC1</f>
        <v>0</v>
      </c>
      <c r="NKK1">
        <f>Database!NLD1</f>
        <v>0</v>
      </c>
      <c r="NKL1">
        <f>Database!NLE1</f>
        <v>0</v>
      </c>
      <c r="NKM1">
        <f>Database!NLF1</f>
        <v>0</v>
      </c>
      <c r="NKN1">
        <f>Database!NLG1</f>
        <v>0</v>
      </c>
      <c r="NKO1">
        <f>Database!NLH1</f>
        <v>0</v>
      </c>
      <c r="NKP1">
        <f>Database!NLI1</f>
        <v>0</v>
      </c>
      <c r="NKQ1">
        <f>Database!NLJ1</f>
        <v>0</v>
      </c>
      <c r="NKR1">
        <f>Database!NLK1</f>
        <v>0</v>
      </c>
      <c r="NKS1">
        <f>Database!NLL1</f>
        <v>0</v>
      </c>
      <c r="NKT1">
        <f>Database!NLM1</f>
        <v>0</v>
      </c>
      <c r="NKU1">
        <f>Database!NLN1</f>
        <v>0</v>
      </c>
      <c r="NKV1">
        <f>Database!NLO1</f>
        <v>0</v>
      </c>
      <c r="NKW1">
        <f>Database!NLP1</f>
        <v>0</v>
      </c>
      <c r="NKX1">
        <f>Database!NLQ1</f>
        <v>0</v>
      </c>
      <c r="NKY1">
        <f>Database!NLR1</f>
        <v>0</v>
      </c>
      <c r="NKZ1">
        <f>Database!NLS1</f>
        <v>0</v>
      </c>
      <c r="NLA1">
        <f>Database!NLT1</f>
        <v>0</v>
      </c>
      <c r="NLB1">
        <f>Database!NLU1</f>
        <v>0</v>
      </c>
      <c r="NLC1">
        <f>Database!NLV1</f>
        <v>0</v>
      </c>
      <c r="NLD1">
        <f>Database!NLW1</f>
        <v>0</v>
      </c>
      <c r="NLE1">
        <f>Database!NLX1</f>
        <v>0</v>
      </c>
      <c r="NLF1">
        <f>Database!NLY1</f>
        <v>0</v>
      </c>
      <c r="NLG1">
        <f>Database!NLZ1</f>
        <v>0</v>
      </c>
      <c r="NLH1">
        <f>Database!NMA1</f>
        <v>0</v>
      </c>
      <c r="NLI1">
        <f>Database!NMB1</f>
        <v>0</v>
      </c>
      <c r="NLJ1">
        <f>Database!NMC1</f>
        <v>0</v>
      </c>
      <c r="NLK1">
        <f>Database!NMD1</f>
        <v>0</v>
      </c>
      <c r="NLL1">
        <f>Database!NME1</f>
        <v>0</v>
      </c>
      <c r="NLM1">
        <f>Database!NMF1</f>
        <v>0</v>
      </c>
      <c r="NLN1">
        <f>Database!NMG1</f>
        <v>0</v>
      </c>
      <c r="NLO1">
        <f>Database!NMH1</f>
        <v>0</v>
      </c>
      <c r="NLP1">
        <f>Database!NMI1</f>
        <v>0</v>
      </c>
      <c r="NLQ1">
        <f>Database!NMJ1</f>
        <v>0</v>
      </c>
      <c r="NLR1">
        <f>Database!NMK1</f>
        <v>0</v>
      </c>
      <c r="NLS1">
        <f>Database!NML1</f>
        <v>0</v>
      </c>
      <c r="NLT1">
        <f>Database!NMM1</f>
        <v>0</v>
      </c>
      <c r="NLU1">
        <f>Database!NMN1</f>
        <v>0</v>
      </c>
      <c r="NLV1">
        <f>Database!NMO1</f>
        <v>0</v>
      </c>
      <c r="NLW1">
        <f>Database!NMP1</f>
        <v>0</v>
      </c>
      <c r="NLX1">
        <f>Database!NMQ1</f>
        <v>0</v>
      </c>
      <c r="NLY1">
        <f>Database!NMR1</f>
        <v>0</v>
      </c>
      <c r="NLZ1">
        <f>Database!NMS1</f>
        <v>0</v>
      </c>
      <c r="NMA1">
        <f>Database!NMT1</f>
        <v>0</v>
      </c>
      <c r="NMB1">
        <f>Database!NMU1</f>
        <v>0</v>
      </c>
      <c r="NMC1">
        <f>Database!NMV1</f>
        <v>0</v>
      </c>
      <c r="NMD1">
        <f>Database!NMW1</f>
        <v>0</v>
      </c>
      <c r="NME1">
        <f>Database!NMX1</f>
        <v>0</v>
      </c>
      <c r="NMF1">
        <f>Database!NMY1</f>
        <v>0</v>
      </c>
      <c r="NMG1">
        <f>Database!NMZ1</f>
        <v>0</v>
      </c>
      <c r="NMH1">
        <f>Database!NNA1</f>
        <v>0</v>
      </c>
      <c r="NMI1">
        <f>Database!NNB1</f>
        <v>0</v>
      </c>
      <c r="NMJ1">
        <f>Database!NNC1</f>
        <v>0</v>
      </c>
      <c r="NMK1">
        <f>Database!NND1</f>
        <v>0</v>
      </c>
      <c r="NML1">
        <f>Database!NNE1</f>
        <v>0</v>
      </c>
      <c r="NMM1">
        <f>Database!NNF1</f>
        <v>0</v>
      </c>
      <c r="NMN1">
        <f>Database!NNG1</f>
        <v>0</v>
      </c>
      <c r="NMO1">
        <f>Database!NNH1</f>
        <v>0</v>
      </c>
      <c r="NMP1">
        <f>Database!NNI1</f>
        <v>0</v>
      </c>
      <c r="NMQ1">
        <f>Database!NNJ1</f>
        <v>0</v>
      </c>
      <c r="NMR1">
        <f>Database!NNK1</f>
        <v>0</v>
      </c>
      <c r="NMS1">
        <f>Database!NNL1</f>
        <v>0</v>
      </c>
      <c r="NMT1">
        <f>Database!NNM1</f>
        <v>0</v>
      </c>
      <c r="NMU1">
        <f>Database!NNN1</f>
        <v>0</v>
      </c>
      <c r="NMV1">
        <f>Database!NNO1</f>
        <v>0</v>
      </c>
      <c r="NMW1">
        <f>Database!NNP1</f>
        <v>0</v>
      </c>
      <c r="NMX1">
        <f>Database!NNQ1</f>
        <v>0</v>
      </c>
      <c r="NMY1">
        <f>Database!NNR1</f>
        <v>0</v>
      </c>
      <c r="NMZ1">
        <f>Database!NNS1</f>
        <v>0</v>
      </c>
      <c r="NNA1">
        <f>Database!NNT1</f>
        <v>0</v>
      </c>
      <c r="NNB1">
        <f>Database!NNU1</f>
        <v>0</v>
      </c>
      <c r="NNC1">
        <f>Database!NNV1</f>
        <v>0</v>
      </c>
      <c r="NND1">
        <f>Database!NNW1</f>
        <v>0</v>
      </c>
      <c r="NNE1">
        <f>Database!NNX1</f>
        <v>0</v>
      </c>
      <c r="NNF1">
        <f>Database!NNY1</f>
        <v>0</v>
      </c>
      <c r="NNG1">
        <f>Database!NNZ1</f>
        <v>0</v>
      </c>
      <c r="NNH1">
        <f>Database!NOA1</f>
        <v>0</v>
      </c>
      <c r="NNI1">
        <f>Database!NOB1</f>
        <v>0</v>
      </c>
      <c r="NNJ1">
        <f>Database!NOC1</f>
        <v>0</v>
      </c>
      <c r="NNK1">
        <f>Database!NOD1</f>
        <v>0</v>
      </c>
      <c r="NNL1">
        <f>Database!NOE1</f>
        <v>0</v>
      </c>
      <c r="NNM1">
        <f>Database!NOF1</f>
        <v>0</v>
      </c>
      <c r="NNN1">
        <f>Database!NOG1</f>
        <v>0</v>
      </c>
      <c r="NNO1">
        <f>Database!NOH1</f>
        <v>0</v>
      </c>
      <c r="NNP1">
        <f>Database!NOI1</f>
        <v>0</v>
      </c>
      <c r="NNQ1">
        <f>Database!NOJ1</f>
        <v>0</v>
      </c>
      <c r="NNR1">
        <f>Database!NOK1</f>
        <v>0</v>
      </c>
      <c r="NNS1">
        <f>Database!NOL1</f>
        <v>0</v>
      </c>
      <c r="NNT1">
        <f>Database!NOM1</f>
        <v>0</v>
      </c>
      <c r="NNU1">
        <f>Database!NON1</f>
        <v>0</v>
      </c>
      <c r="NNV1">
        <f>Database!NOO1</f>
        <v>0</v>
      </c>
      <c r="NNW1">
        <f>Database!NOP1</f>
        <v>0</v>
      </c>
      <c r="NNX1">
        <f>Database!NOQ1</f>
        <v>0</v>
      </c>
      <c r="NNY1">
        <f>Database!NOR1</f>
        <v>0</v>
      </c>
      <c r="NNZ1">
        <f>Database!NOS1</f>
        <v>0</v>
      </c>
      <c r="NOA1">
        <f>Database!NOT1</f>
        <v>0</v>
      </c>
      <c r="NOB1">
        <f>Database!NOU1</f>
        <v>0</v>
      </c>
      <c r="NOC1">
        <f>Database!NOV1</f>
        <v>0</v>
      </c>
      <c r="NOD1">
        <f>Database!NOW1</f>
        <v>0</v>
      </c>
      <c r="NOE1">
        <f>Database!NOX1</f>
        <v>0</v>
      </c>
      <c r="NOF1">
        <f>Database!NOY1</f>
        <v>0</v>
      </c>
      <c r="NOG1">
        <f>Database!NOZ1</f>
        <v>0</v>
      </c>
      <c r="NOH1">
        <f>Database!NPA1</f>
        <v>0</v>
      </c>
      <c r="NOI1">
        <f>Database!NPB1</f>
        <v>0</v>
      </c>
      <c r="NOJ1">
        <f>Database!NPC1</f>
        <v>0</v>
      </c>
      <c r="NOK1">
        <f>Database!NPD1</f>
        <v>0</v>
      </c>
      <c r="NOL1">
        <f>Database!NPE1</f>
        <v>0</v>
      </c>
      <c r="NOM1">
        <f>Database!NPF1</f>
        <v>0</v>
      </c>
      <c r="NON1">
        <f>Database!NPG1</f>
        <v>0</v>
      </c>
      <c r="NOO1">
        <f>Database!NPH1</f>
        <v>0</v>
      </c>
      <c r="NOP1">
        <f>Database!NPI1</f>
        <v>0</v>
      </c>
      <c r="NOQ1">
        <f>Database!NPJ1</f>
        <v>0</v>
      </c>
      <c r="NOR1">
        <f>Database!NPK1</f>
        <v>0</v>
      </c>
      <c r="NOS1">
        <f>Database!NPL1</f>
        <v>0</v>
      </c>
      <c r="NOT1">
        <f>Database!NPM1</f>
        <v>0</v>
      </c>
      <c r="NOU1">
        <f>Database!NPN1</f>
        <v>0</v>
      </c>
      <c r="NOV1">
        <f>Database!NPO1</f>
        <v>0</v>
      </c>
      <c r="NOW1">
        <f>Database!NPP1</f>
        <v>0</v>
      </c>
      <c r="NOX1">
        <f>Database!NPQ1</f>
        <v>0</v>
      </c>
      <c r="NOY1">
        <f>Database!NPR1</f>
        <v>0</v>
      </c>
      <c r="NOZ1">
        <f>Database!NPS1</f>
        <v>0</v>
      </c>
      <c r="NPA1">
        <f>Database!NPT1</f>
        <v>0</v>
      </c>
      <c r="NPB1">
        <f>Database!NPU1</f>
        <v>0</v>
      </c>
      <c r="NPC1">
        <f>Database!NPV1</f>
        <v>0</v>
      </c>
      <c r="NPD1">
        <f>Database!NPW1</f>
        <v>0</v>
      </c>
      <c r="NPE1">
        <f>Database!NPX1</f>
        <v>0</v>
      </c>
      <c r="NPF1">
        <f>Database!NPY1</f>
        <v>0</v>
      </c>
      <c r="NPG1">
        <f>Database!NPZ1</f>
        <v>0</v>
      </c>
      <c r="NPH1">
        <f>Database!NQA1</f>
        <v>0</v>
      </c>
      <c r="NPI1">
        <f>Database!NQB1</f>
        <v>0</v>
      </c>
      <c r="NPJ1">
        <f>Database!NQC1</f>
        <v>0</v>
      </c>
      <c r="NPK1">
        <f>Database!NQD1</f>
        <v>0</v>
      </c>
      <c r="NPL1">
        <f>Database!NQE1</f>
        <v>0</v>
      </c>
      <c r="NPM1">
        <f>Database!NQF1</f>
        <v>0</v>
      </c>
      <c r="NPN1">
        <f>Database!NQG1</f>
        <v>0</v>
      </c>
      <c r="NPO1">
        <f>Database!NQH1</f>
        <v>0</v>
      </c>
      <c r="NPP1">
        <f>Database!NQI1</f>
        <v>0</v>
      </c>
      <c r="NPQ1">
        <f>Database!NQJ1</f>
        <v>0</v>
      </c>
      <c r="NPR1">
        <f>Database!NQK1</f>
        <v>0</v>
      </c>
      <c r="NPS1">
        <f>Database!NQL1</f>
        <v>0</v>
      </c>
      <c r="NPT1">
        <f>Database!NQM1</f>
        <v>0</v>
      </c>
      <c r="NPU1">
        <f>Database!NQN1</f>
        <v>0</v>
      </c>
      <c r="NPV1">
        <f>Database!NQO1</f>
        <v>0</v>
      </c>
      <c r="NPW1">
        <f>Database!NQP1</f>
        <v>0</v>
      </c>
      <c r="NPX1">
        <f>Database!NQQ1</f>
        <v>0</v>
      </c>
      <c r="NPY1">
        <f>Database!NQR1</f>
        <v>0</v>
      </c>
      <c r="NPZ1">
        <f>Database!NQS1</f>
        <v>0</v>
      </c>
      <c r="NQA1">
        <f>Database!NQT1</f>
        <v>0</v>
      </c>
      <c r="NQB1">
        <f>Database!NQU1</f>
        <v>0</v>
      </c>
      <c r="NQC1">
        <f>Database!NQV1</f>
        <v>0</v>
      </c>
      <c r="NQD1">
        <f>Database!NQW1</f>
        <v>0</v>
      </c>
      <c r="NQE1">
        <f>Database!NQX1</f>
        <v>0</v>
      </c>
      <c r="NQF1">
        <f>Database!NQY1</f>
        <v>0</v>
      </c>
      <c r="NQG1">
        <f>Database!NQZ1</f>
        <v>0</v>
      </c>
      <c r="NQH1">
        <f>Database!NRA1</f>
        <v>0</v>
      </c>
      <c r="NQI1">
        <f>Database!NRB1</f>
        <v>0</v>
      </c>
      <c r="NQJ1">
        <f>Database!NRC1</f>
        <v>0</v>
      </c>
      <c r="NQK1">
        <f>Database!NRD1</f>
        <v>0</v>
      </c>
      <c r="NQL1">
        <f>Database!NRE1</f>
        <v>0</v>
      </c>
      <c r="NQM1">
        <f>Database!NRF1</f>
        <v>0</v>
      </c>
      <c r="NQN1">
        <f>Database!NRG1</f>
        <v>0</v>
      </c>
      <c r="NQO1">
        <f>Database!NRH1</f>
        <v>0</v>
      </c>
      <c r="NQP1">
        <f>Database!NRI1</f>
        <v>0</v>
      </c>
      <c r="NQQ1">
        <f>Database!NRJ1</f>
        <v>0</v>
      </c>
      <c r="NQR1">
        <f>Database!NRK1</f>
        <v>0</v>
      </c>
      <c r="NQS1">
        <f>Database!NRL1</f>
        <v>0</v>
      </c>
      <c r="NQT1">
        <f>Database!NRM1</f>
        <v>0</v>
      </c>
      <c r="NQU1">
        <f>Database!NRN1</f>
        <v>0</v>
      </c>
      <c r="NQV1">
        <f>Database!NRO1</f>
        <v>0</v>
      </c>
      <c r="NQW1">
        <f>Database!NRP1</f>
        <v>0</v>
      </c>
      <c r="NQX1">
        <f>Database!NRQ1</f>
        <v>0</v>
      </c>
      <c r="NQY1">
        <f>Database!NRR1</f>
        <v>0</v>
      </c>
      <c r="NQZ1">
        <f>Database!NRS1</f>
        <v>0</v>
      </c>
      <c r="NRA1">
        <f>Database!NRT1</f>
        <v>0</v>
      </c>
      <c r="NRB1">
        <f>Database!NRU1</f>
        <v>0</v>
      </c>
      <c r="NRC1">
        <f>Database!NRV1</f>
        <v>0</v>
      </c>
      <c r="NRD1">
        <f>Database!NRW1</f>
        <v>0</v>
      </c>
      <c r="NRE1">
        <f>Database!NRX1</f>
        <v>0</v>
      </c>
      <c r="NRF1">
        <f>Database!NRY1</f>
        <v>0</v>
      </c>
      <c r="NRG1">
        <f>Database!NRZ1</f>
        <v>0</v>
      </c>
      <c r="NRH1">
        <f>Database!NSA1</f>
        <v>0</v>
      </c>
      <c r="NRI1">
        <f>Database!NSB1</f>
        <v>0</v>
      </c>
      <c r="NRJ1">
        <f>Database!NSC1</f>
        <v>0</v>
      </c>
      <c r="NRK1">
        <f>Database!NSD1</f>
        <v>0</v>
      </c>
      <c r="NRL1">
        <f>Database!NSE1</f>
        <v>0</v>
      </c>
      <c r="NRM1">
        <f>Database!NSF1</f>
        <v>0</v>
      </c>
      <c r="NRN1">
        <f>Database!NSG1</f>
        <v>0</v>
      </c>
      <c r="NRO1">
        <f>Database!NSH1</f>
        <v>0</v>
      </c>
      <c r="NRP1">
        <f>Database!NSI1</f>
        <v>0</v>
      </c>
      <c r="NRQ1">
        <f>Database!NSJ1</f>
        <v>0</v>
      </c>
      <c r="NRR1">
        <f>Database!NSK1</f>
        <v>0</v>
      </c>
      <c r="NRS1">
        <f>Database!NSL1</f>
        <v>0</v>
      </c>
      <c r="NRT1">
        <f>Database!NSM1</f>
        <v>0</v>
      </c>
      <c r="NRU1">
        <f>Database!NSN1</f>
        <v>0</v>
      </c>
      <c r="NRV1">
        <f>Database!NSO1</f>
        <v>0</v>
      </c>
      <c r="NRW1">
        <f>Database!NSP1</f>
        <v>0</v>
      </c>
      <c r="NRX1">
        <f>Database!NSQ1</f>
        <v>0</v>
      </c>
      <c r="NRY1">
        <f>Database!NSR1</f>
        <v>0</v>
      </c>
      <c r="NRZ1">
        <f>Database!NSS1</f>
        <v>0</v>
      </c>
      <c r="NSA1">
        <f>Database!NST1</f>
        <v>0</v>
      </c>
      <c r="NSB1">
        <f>Database!NSU1</f>
        <v>0</v>
      </c>
      <c r="NSC1">
        <f>Database!NSV1</f>
        <v>0</v>
      </c>
      <c r="NSD1">
        <f>Database!NSW1</f>
        <v>0</v>
      </c>
      <c r="NSE1">
        <f>Database!NSX1</f>
        <v>0</v>
      </c>
      <c r="NSF1">
        <f>Database!NSY1</f>
        <v>0</v>
      </c>
      <c r="NSG1">
        <f>Database!NSZ1</f>
        <v>0</v>
      </c>
      <c r="NSH1">
        <f>Database!NTA1</f>
        <v>0</v>
      </c>
      <c r="NSI1">
        <f>Database!NTB1</f>
        <v>0</v>
      </c>
      <c r="NSJ1">
        <f>Database!NTC1</f>
        <v>0</v>
      </c>
      <c r="NSK1">
        <f>Database!NTD1</f>
        <v>0</v>
      </c>
      <c r="NSL1">
        <f>Database!NTE1</f>
        <v>0</v>
      </c>
      <c r="NSM1">
        <f>Database!NTF1</f>
        <v>0</v>
      </c>
      <c r="NSN1">
        <f>Database!NTG1</f>
        <v>0</v>
      </c>
      <c r="NSO1">
        <f>Database!NTH1</f>
        <v>0</v>
      </c>
      <c r="NSP1">
        <f>Database!NTI1</f>
        <v>0</v>
      </c>
      <c r="NSQ1">
        <f>Database!NTJ1</f>
        <v>0</v>
      </c>
      <c r="NSR1">
        <f>Database!NTK1</f>
        <v>0</v>
      </c>
      <c r="NSS1">
        <f>Database!NTL1</f>
        <v>0</v>
      </c>
      <c r="NST1">
        <f>Database!NTM1</f>
        <v>0</v>
      </c>
      <c r="NSU1">
        <f>Database!NTN1</f>
        <v>0</v>
      </c>
      <c r="NSV1">
        <f>Database!NTO1</f>
        <v>0</v>
      </c>
      <c r="NSW1">
        <f>Database!NTP1</f>
        <v>0</v>
      </c>
      <c r="NSX1">
        <f>Database!NTQ1</f>
        <v>0</v>
      </c>
      <c r="NSY1">
        <f>Database!NTR1</f>
        <v>0</v>
      </c>
      <c r="NSZ1">
        <f>Database!NTS1</f>
        <v>0</v>
      </c>
      <c r="NTA1">
        <f>Database!NTT1</f>
        <v>0</v>
      </c>
      <c r="NTB1">
        <f>Database!NTU1</f>
        <v>0</v>
      </c>
      <c r="NTC1">
        <f>Database!NTV1</f>
        <v>0</v>
      </c>
      <c r="NTD1">
        <f>Database!NTW1</f>
        <v>0</v>
      </c>
      <c r="NTE1">
        <f>Database!NTX1</f>
        <v>0</v>
      </c>
      <c r="NTF1">
        <f>Database!NTY1</f>
        <v>0</v>
      </c>
      <c r="NTG1">
        <f>Database!NTZ1</f>
        <v>0</v>
      </c>
      <c r="NTH1">
        <f>Database!NUA1</f>
        <v>0</v>
      </c>
      <c r="NTI1">
        <f>Database!NUB1</f>
        <v>0</v>
      </c>
      <c r="NTJ1">
        <f>Database!NUC1</f>
        <v>0</v>
      </c>
      <c r="NTK1">
        <f>Database!NUD1</f>
        <v>0</v>
      </c>
      <c r="NTL1">
        <f>Database!NUE1</f>
        <v>0</v>
      </c>
      <c r="NTM1">
        <f>Database!NUF1</f>
        <v>0</v>
      </c>
      <c r="NTN1">
        <f>Database!NUG1</f>
        <v>0</v>
      </c>
      <c r="NTO1">
        <f>Database!NUH1</f>
        <v>0</v>
      </c>
      <c r="NTP1">
        <f>Database!NUI1</f>
        <v>0</v>
      </c>
      <c r="NTQ1">
        <f>Database!NUJ1</f>
        <v>0</v>
      </c>
      <c r="NTR1">
        <f>Database!NUK1</f>
        <v>0</v>
      </c>
      <c r="NTS1">
        <f>Database!NUL1</f>
        <v>0</v>
      </c>
      <c r="NTT1">
        <f>Database!NUM1</f>
        <v>0</v>
      </c>
      <c r="NTU1">
        <f>Database!NUN1</f>
        <v>0</v>
      </c>
      <c r="NTV1">
        <f>Database!NUO1</f>
        <v>0</v>
      </c>
      <c r="NTW1">
        <f>Database!NUP1</f>
        <v>0</v>
      </c>
      <c r="NTX1">
        <f>Database!NUQ1</f>
        <v>0</v>
      </c>
      <c r="NTY1">
        <f>Database!NUR1</f>
        <v>0</v>
      </c>
      <c r="NTZ1">
        <f>Database!NUS1</f>
        <v>0</v>
      </c>
      <c r="NUA1">
        <f>Database!NUT1</f>
        <v>0</v>
      </c>
      <c r="NUB1">
        <f>Database!NUU1</f>
        <v>0</v>
      </c>
      <c r="NUC1">
        <f>Database!NUV1</f>
        <v>0</v>
      </c>
      <c r="NUD1">
        <f>Database!NUW1</f>
        <v>0</v>
      </c>
      <c r="NUE1">
        <f>Database!NUX1</f>
        <v>0</v>
      </c>
      <c r="NUF1">
        <f>Database!NUY1</f>
        <v>0</v>
      </c>
      <c r="NUG1">
        <f>Database!NUZ1</f>
        <v>0</v>
      </c>
      <c r="NUH1">
        <f>Database!NVA1</f>
        <v>0</v>
      </c>
      <c r="NUI1">
        <f>Database!NVB1</f>
        <v>0</v>
      </c>
      <c r="NUJ1">
        <f>Database!NVC1</f>
        <v>0</v>
      </c>
      <c r="NUK1">
        <f>Database!NVD1</f>
        <v>0</v>
      </c>
      <c r="NUL1">
        <f>Database!NVE1</f>
        <v>0</v>
      </c>
      <c r="NUM1">
        <f>Database!NVF1</f>
        <v>0</v>
      </c>
      <c r="NUN1">
        <f>Database!NVG1</f>
        <v>0</v>
      </c>
      <c r="NUO1">
        <f>Database!NVH1</f>
        <v>0</v>
      </c>
      <c r="NUP1">
        <f>Database!NVI1</f>
        <v>0</v>
      </c>
      <c r="NUQ1">
        <f>Database!NVJ1</f>
        <v>0</v>
      </c>
      <c r="NUR1">
        <f>Database!NVK1</f>
        <v>0</v>
      </c>
      <c r="NUS1">
        <f>Database!NVL1</f>
        <v>0</v>
      </c>
      <c r="NUT1">
        <f>Database!NVM1</f>
        <v>0</v>
      </c>
      <c r="NUU1">
        <f>Database!NVN1</f>
        <v>0</v>
      </c>
      <c r="NUV1">
        <f>Database!NVO1</f>
        <v>0</v>
      </c>
      <c r="NUW1">
        <f>Database!NVP1</f>
        <v>0</v>
      </c>
      <c r="NUX1">
        <f>Database!NVQ1</f>
        <v>0</v>
      </c>
      <c r="NUY1">
        <f>Database!NVR1</f>
        <v>0</v>
      </c>
      <c r="NUZ1">
        <f>Database!NVS1</f>
        <v>0</v>
      </c>
      <c r="NVA1">
        <f>Database!NVT1</f>
        <v>0</v>
      </c>
      <c r="NVB1">
        <f>Database!NVU1</f>
        <v>0</v>
      </c>
      <c r="NVC1">
        <f>Database!NVV1</f>
        <v>0</v>
      </c>
      <c r="NVD1">
        <f>Database!NVW1</f>
        <v>0</v>
      </c>
      <c r="NVE1">
        <f>Database!NVX1</f>
        <v>0</v>
      </c>
      <c r="NVF1">
        <f>Database!NVY1</f>
        <v>0</v>
      </c>
      <c r="NVG1">
        <f>Database!NVZ1</f>
        <v>0</v>
      </c>
      <c r="NVH1">
        <f>Database!NWA1</f>
        <v>0</v>
      </c>
      <c r="NVI1">
        <f>Database!NWB1</f>
        <v>0</v>
      </c>
      <c r="NVJ1">
        <f>Database!NWC1</f>
        <v>0</v>
      </c>
      <c r="NVK1">
        <f>Database!NWD1</f>
        <v>0</v>
      </c>
      <c r="NVL1">
        <f>Database!NWE1</f>
        <v>0</v>
      </c>
      <c r="NVM1">
        <f>Database!NWF1</f>
        <v>0</v>
      </c>
      <c r="NVN1">
        <f>Database!NWG1</f>
        <v>0</v>
      </c>
      <c r="NVO1">
        <f>Database!NWH1</f>
        <v>0</v>
      </c>
      <c r="NVP1">
        <f>Database!NWI1</f>
        <v>0</v>
      </c>
      <c r="NVQ1">
        <f>Database!NWJ1</f>
        <v>0</v>
      </c>
      <c r="NVR1">
        <f>Database!NWK1</f>
        <v>0</v>
      </c>
      <c r="NVS1">
        <f>Database!NWL1</f>
        <v>0</v>
      </c>
      <c r="NVT1">
        <f>Database!NWM1</f>
        <v>0</v>
      </c>
      <c r="NVU1">
        <f>Database!NWN1</f>
        <v>0</v>
      </c>
      <c r="NVV1">
        <f>Database!NWO1</f>
        <v>0</v>
      </c>
      <c r="NVW1">
        <f>Database!NWP1</f>
        <v>0</v>
      </c>
      <c r="NVX1">
        <f>Database!NWQ1</f>
        <v>0</v>
      </c>
      <c r="NVY1">
        <f>Database!NWR1</f>
        <v>0</v>
      </c>
      <c r="NVZ1">
        <f>Database!NWS1</f>
        <v>0</v>
      </c>
      <c r="NWA1">
        <f>Database!NWT1</f>
        <v>0</v>
      </c>
      <c r="NWB1">
        <f>Database!NWU1</f>
        <v>0</v>
      </c>
      <c r="NWC1">
        <f>Database!NWV1</f>
        <v>0</v>
      </c>
      <c r="NWD1">
        <f>Database!NWW1</f>
        <v>0</v>
      </c>
      <c r="NWE1">
        <f>Database!NWX1</f>
        <v>0</v>
      </c>
      <c r="NWF1">
        <f>Database!NWY1</f>
        <v>0</v>
      </c>
      <c r="NWG1">
        <f>Database!NWZ1</f>
        <v>0</v>
      </c>
      <c r="NWH1">
        <f>Database!NXA1</f>
        <v>0</v>
      </c>
      <c r="NWI1">
        <f>Database!NXB1</f>
        <v>0</v>
      </c>
      <c r="NWJ1">
        <f>Database!NXC1</f>
        <v>0</v>
      </c>
      <c r="NWK1">
        <f>Database!NXD1</f>
        <v>0</v>
      </c>
      <c r="NWL1">
        <f>Database!NXE1</f>
        <v>0</v>
      </c>
      <c r="NWM1">
        <f>Database!NXF1</f>
        <v>0</v>
      </c>
      <c r="NWN1">
        <f>Database!NXG1</f>
        <v>0</v>
      </c>
      <c r="NWO1">
        <f>Database!NXH1</f>
        <v>0</v>
      </c>
      <c r="NWP1">
        <f>Database!NXI1</f>
        <v>0</v>
      </c>
      <c r="NWQ1">
        <f>Database!NXJ1</f>
        <v>0</v>
      </c>
      <c r="NWR1">
        <f>Database!NXK1</f>
        <v>0</v>
      </c>
      <c r="NWS1">
        <f>Database!NXL1</f>
        <v>0</v>
      </c>
      <c r="NWT1">
        <f>Database!NXM1</f>
        <v>0</v>
      </c>
      <c r="NWU1">
        <f>Database!NXN1</f>
        <v>0</v>
      </c>
      <c r="NWV1">
        <f>Database!NXO1</f>
        <v>0</v>
      </c>
      <c r="NWW1">
        <f>Database!NXP1</f>
        <v>0</v>
      </c>
      <c r="NWX1">
        <f>Database!NXQ1</f>
        <v>0</v>
      </c>
      <c r="NWY1">
        <f>Database!NXR1</f>
        <v>0</v>
      </c>
      <c r="NWZ1">
        <f>Database!NXS1</f>
        <v>0</v>
      </c>
      <c r="NXA1">
        <f>Database!NXT1</f>
        <v>0</v>
      </c>
      <c r="NXB1">
        <f>Database!NXU1</f>
        <v>0</v>
      </c>
      <c r="NXC1">
        <f>Database!NXV1</f>
        <v>0</v>
      </c>
      <c r="NXD1">
        <f>Database!NXW1</f>
        <v>0</v>
      </c>
      <c r="NXE1">
        <f>Database!NXX1</f>
        <v>0</v>
      </c>
      <c r="NXF1">
        <f>Database!NXY1</f>
        <v>0</v>
      </c>
      <c r="NXG1">
        <f>Database!NXZ1</f>
        <v>0</v>
      </c>
      <c r="NXH1">
        <f>Database!NYA1</f>
        <v>0</v>
      </c>
      <c r="NXI1">
        <f>Database!NYB1</f>
        <v>0</v>
      </c>
      <c r="NXJ1">
        <f>Database!NYC1</f>
        <v>0</v>
      </c>
      <c r="NXK1">
        <f>Database!NYD1</f>
        <v>0</v>
      </c>
      <c r="NXL1">
        <f>Database!NYE1</f>
        <v>0</v>
      </c>
      <c r="NXM1">
        <f>Database!NYF1</f>
        <v>0</v>
      </c>
      <c r="NXN1">
        <f>Database!NYG1</f>
        <v>0</v>
      </c>
      <c r="NXO1">
        <f>Database!NYH1</f>
        <v>0</v>
      </c>
      <c r="NXP1">
        <f>Database!NYI1</f>
        <v>0</v>
      </c>
      <c r="NXQ1">
        <f>Database!NYJ1</f>
        <v>0</v>
      </c>
      <c r="NXR1">
        <f>Database!NYK1</f>
        <v>0</v>
      </c>
      <c r="NXS1">
        <f>Database!NYL1</f>
        <v>0</v>
      </c>
      <c r="NXT1">
        <f>Database!NYM1</f>
        <v>0</v>
      </c>
      <c r="NXU1">
        <f>Database!NYN1</f>
        <v>0</v>
      </c>
      <c r="NXV1">
        <f>Database!NYO1</f>
        <v>0</v>
      </c>
      <c r="NXW1">
        <f>Database!NYP1</f>
        <v>0</v>
      </c>
      <c r="NXX1">
        <f>Database!NYQ1</f>
        <v>0</v>
      </c>
      <c r="NXY1">
        <f>Database!NYR1</f>
        <v>0</v>
      </c>
      <c r="NXZ1">
        <f>Database!NYS1</f>
        <v>0</v>
      </c>
      <c r="NYA1">
        <f>Database!NYT1</f>
        <v>0</v>
      </c>
      <c r="NYB1">
        <f>Database!NYU1</f>
        <v>0</v>
      </c>
      <c r="NYC1">
        <f>Database!NYV1</f>
        <v>0</v>
      </c>
      <c r="NYD1">
        <f>Database!NYW1</f>
        <v>0</v>
      </c>
      <c r="NYE1">
        <f>Database!NYX1</f>
        <v>0</v>
      </c>
      <c r="NYF1">
        <f>Database!NYY1</f>
        <v>0</v>
      </c>
      <c r="NYG1">
        <f>Database!NYZ1</f>
        <v>0</v>
      </c>
      <c r="NYH1">
        <f>Database!NZA1</f>
        <v>0</v>
      </c>
      <c r="NYI1">
        <f>Database!NZB1</f>
        <v>0</v>
      </c>
      <c r="NYJ1">
        <f>Database!NZC1</f>
        <v>0</v>
      </c>
      <c r="NYK1">
        <f>Database!NZD1</f>
        <v>0</v>
      </c>
      <c r="NYL1">
        <f>Database!NZE1</f>
        <v>0</v>
      </c>
      <c r="NYM1">
        <f>Database!NZF1</f>
        <v>0</v>
      </c>
      <c r="NYN1">
        <f>Database!NZG1</f>
        <v>0</v>
      </c>
      <c r="NYO1">
        <f>Database!NZH1</f>
        <v>0</v>
      </c>
      <c r="NYP1">
        <f>Database!NZI1</f>
        <v>0</v>
      </c>
      <c r="NYQ1">
        <f>Database!NZJ1</f>
        <v>0</v>
      </c>
      <c r="NYR1">
        <f>Database!NZK1</f>
        <v>0</v>
      </c>
      <c r="NYS1">
        <f>Database!NZL1</f>
        <v>0</v>
      </c>
      <c r="NYT1">
        <f>Database!NZM1</f>
        <v>0</v>
      </c>
      <c r="NYU1">
        <f>Database!NZN1</f>
        <v>0</v>
      </c>
      <c r="NYV1">
        <f>Database!NZO1</f>
        <v>0</v>
      </c>
      <c r="NYW1">
        <f>Database!NZP1</f>
        <v>0</v>
      </c>
      <c r="NYX1">
        <f>Database!NZQ1</f>
        <v>0</v>
      </c>
      <c r="NYY1">
        <f>Database!NZR1</f>
        <v>0</v>
      </c>
      <c r="NYZ1">
        <f>Database!NZS1</f>
        <v>0</v>
      </c>
      <c r="NZA1">
        <f>Database!NZT1</f>
        <v>0</v>
      </c>
      <c r="NZB1">
        <f>Database!NZU1</f>
        <v>0</v>
      </c>
      <c r="NZC1">
        <f>Database!NZV1</f>
        <v>0</v>
      </c>
      <c r="NZD1">
        <f>Database!NZW1</f>
        <v>0</v>
      </c>
      <c r="NZE1">
        <f>Database!NZX1</f>
        <v>0</v>
      </c>
      <c r="NZF1">
        <f>Database!NZY1</f>
        <v>0</v>
      </c>
      <c r="NZG1">
        <f>Database!NZZ1</f>
        <v>0</v>
      </c>
      <c r="NZH1">
        <f>Database!OAA1</f>
        <v>0</v>
      </c>
      <c r="NZI1">
        <f>Database!OAB1</f>
        <v>0</v>
      </c>
      <c r="NZJ1">
        <f>Database!OAC1</f>
        <v>0</v>
      </c>
      <c r="NZK1">
        <f>Database!OAD1</f>
        <v>0</v>
      </c>
      <c r="NZL1">
        <f>Database!OAE1</f>
        <v>0</v>
      </c>
      <c r="NZM1">
        <f>Database!OAF1</f>
        <v>0</v>
      </c>
      <c r="NZN1">
        <f>Database!OAG1</f>
        <v>0</v>
      </c>
      <c r="NZO1">
        <f>Database!OAH1</f>
        <v>0</v>
      </c>
      <c r="NZP1">
        <f>Database!OAI1</f>
        <v>0</v>
      </c>
      <c r="NZQ1">
        <f>Database!OAJ1</f>
        <v>0</v>
      </c>
      <c r="NZR1">
        <f>Database!OAK1</f>
        <v>0</v>
      </c>
      <c r="NZS1">
        <f>Database!OAL1</f>
        <v>0</v>
      </c>
      <c r="NZT1">
        <f>Database!OAM1</f>
        <v>0</v>
      </c>
      <c r="NZU1">
        <f>Database!OAN1</f>
        <v>0</v>
      </c>
      <c r="NZV1">
        <f>Database!OAO1</f>
        <v>0</v>
      </c>
      <c r="NZW1">
        <f>Database!OAP1</f>
        <v>0</v>
      </c>
      <c r="NZX1">
        <f>Database!OAQ1</f>
        <v>0</v>
      </c>
      <c r="NZY1">
        <f>Database!OAR1</f>
        <v>0</v>
      </c>
      <c r="NZZ1">
        <f>Database!OAS1</f>
        <v>0</v>
      </c>
      <c r="OAA1">
        <f>Database!OAT1</f>
        <v>0</v>
      </c>
      <c r="OAB1">
        <f>Database!OAU1</f>
        <v>0</v>
      </c>
      <c r="OAC1">
        <f>Database!OAV1</f>
        <v>0</v>
      </c>
      <c r="OAD1">
        <f>Database!OAW1</f>
        <v>0</v>
      </c>
      <c r="OAE1">
        <f>Database!OAX1</f>
        <v>0</v>
      </c>
      <c r="OAF1">
        <f>Database!OAY1</f>
        <v>0</v>
      </c>
      <c r="OAG1">
        <f>Database!OAZ1</f>
        <v>0</v>
      </c>
      <c r="OAH1">
        <f>Database!OBA1</f>
        <v>0</v>
      </c>
      <c r="OAI1">
        <f>Database!OBB1</f>
        <v>0</v>
      </c>
      <c r="OAJ1">
        <f>Database!OBC1</f>
        <v>0</v>
      </c>
      <c r="OAK1">
        <f>Database!OBD1</f>
        <v>0</v>
      </c>
      <c r="OAL1">
        <f>Database!OBE1</f>
        <v>0</v>
      </c>
      <c r="OAM1">
        <f>Database!OBF1</f>
        <v>0</v>
      </c>
      <c r="OAN1">
        <f>Database!OBG1</f>
        <v>0</v>
      </c>
      <c r="OAO1">
        <f>Database!OBH1</f>
        <v>0</v>
      </c>
      <c r="OAP1">
        <f>Database!OBI1</f>
        <v>0</v>
      </c>
      <c r="OAQ1">
        <f>Database!OBJ1</f>
        <v>0</v>
      </c>
      <c r="OAR1">
        <f>Database!OBK1</f>
        <v>0</v>
      </c>
      <c r="OAS1">
        <f>Database!OBL1</f>
        <v>0</v>
      </c>
      <c r="OAT1">
        <f>Database!OBM1</f>
        <v>0</v>
      </c>
      <c r="OAU1">
        <f>Database!OBN1</f>
        <v>0</v>
      </c>
      <c r="OAV1">
        <f>Database!OBO1</f>
        <v>0</v>
      </c>
      <c r="OAW1">
        <f>Database!OBP1</f>
        <v>0</v>
      </c>
      <c r="OAX1">
        <f>Database!OBQ1</f>
        <v>0</v>
      </c>
      <c r="OAY1">
        <f>Database!OBR1</f>
        <v>0</v>
      </c>
      <c r="OAZ1">
        <f>Database!OBS1</f>
        <v>0</v>
      </c>
      <c r="OBA1">
        <f>Database!OBT1</f>
        <v>0</v>
      </c>
      <c r="OBB1">
        <f>Database!OBU1</f>
        <v>0</v>
      </c>
      <c r="OBC1">
        <f>Database!OBV1</f>
        <v>0</v>
      </c>
      <c r="OBD1">
        <f>Database!OBW1</f>
        <v>0</v>
      </c>
      <c r="OBE1">
        <f>Database!OBX1</f>
        <v>0</v>
      </c>
      <c r="OBF1">
        <f>Database!OBY1</f>
        <v>0</v>
      </c>
      <c r="OBG1">
        <f>Database!OBZ1</f>
        <v>0</v>
      </c>
      <c r="OBH1">
        <f>Database!OCA1</f>
        <v>0</v>
      </c>
      <c r="OBI1">
        <f>Database!OCB1</f>
        <v>0</v>
      </c>
      <c r="OBJ1">
        <f>Database!OCC1</f>
        <v>0</v>
      </c>
      <c r="OBK1">
        <f>Database!OCD1</f>
        <v>0</v>
      </c>
      <c r="OBL1">
        <f>Database!OCE1</f>
        <v>0</v>
      </c>
      <c r="OBM1">
        <f>Database!OCF1</f>
        <v>0</v>
      </c>
      <c r="OBN1">
        <f>Database!OCG1</f>
        <v>0</v>
      </c>
      <c r="OBO1">
        <f>Database!OCH1</f>
        <v>0</v>
      </c>
      <c r="OBP1">
        <f>Database!OCI1</f>
        <v>0</v>
      </c>
      <c r="OBQ1">
        <f>Database!OCJ1</f>
        <v>0</v>
      </c>
      <c r="OBR1">
        <f>Database!OCK1</f>
        <v>0</v>
      </c>
      <c r="OBS1">
        <f>Database!OCL1</f>
        <v>0</v>
      </c>
      <c r="OBT1">
        <f>Database!OCM1</f>
        <v>0</v>
      </c>
      <c r="OBU1">
        <f>Database!OCN1</f>
        <v>0</v>
      </c>
      <c r="OBV1">
        <f>Database!OCO1</f>
        <v>0</v>
      </c>
      <c r="OBW1">
        <f>Database!OCP1</f>
        <v>0</v>
      </c>
      <c r="OBX1">
        <f>Database!OCQ1</f>
        <v>0</v>
      </c>
      <c r="OBY1">
        <f>Database!OCR1</f>
        <v>0</v>
      </c>
      <c r="OBZ1">
        <f>Database!OCS1</f>
        <v>0</v>
      </c>
      <c r="OCA1">
        <f>Database!OCT1</f>
        <v>0</v>
      </c>
      <c r="OCB1">
        <f>Database!OCU1</f>
        <v>0</v>
      </c>
      <c r="OCC1">
        <f>Database!OCV1</f>
        <v>0</v>
      </c>
      <c r="OCD1">
        <f>Database!OCW1</f>
        <v>0</v>
      </c>
      <c r="OCE1">
        <f>Database!OCX1</f>
        <v>0</v>
      </c>
      <c r="OCF1">
        <f>Database!OCY1</f>
        <v>0</v>
      </c>
      <c r="OCG1">
        <f>Database!OCZ1</f>
        <v>0</v>
      </c>
      <c r="OCH1">
        <f>Database!ODA1</f>
        <v>0</v>
      </c>
      <c r="OCI1">
        <f>Database!ODB1</f>
        <v>0</v>
      </c>
      <c r="OCJ1">
        <f>Database!ODC1</f>
        <v>0</v>
      </c>
      <c r="OCK1">
        <f>Database!ODD1</f>
        <v>0</v>
      </c>
      <c r="OCL1">
        <f>Database!ODE1</f>
        <v>0</v>
      </c>
      <c r="OCM1">
        <f>Database!ODF1</f>
        <v>0</v>
      </c>
      <c r="OCN1">
        <f>Database!ODG1</f>
        <v>0</v>
      </c>
      <c r="OCO1">
        <f>Database!ODH1</f>
        <v>0</v>
      </c>
      <c r="OCP1">
        <f>Database!ODI1</f>
        <v>0</v>
      </c>
      <c r="OCQ1">
        <f>Database!ODJ1</f>
        <v>0</v>
      </c>
      <c r="OCR1">
        <f>Database!ODK1</f>
        <v>0</v>
      </c>
      <c r="OCS1">
        <f>Database!ODL1</f>
        <v>0</v>
      </c>
      <c r="OCT1">
        <f>Database!ODM1</f>
        <v>0</v>
      </c>
      <c r="OCU1">
        <f>Database!ODN1</f>
        <v>0</v>
      </c>
      <c r="OCV1">
        <f>Database!ODO1</f>
        <v>0</v>
      </c>
      <c r="OCW1">
        <f>Database!ODP1</f>
        <v>0</v>
      </c>
      <c r="OCX1">
        <f>Database!ODQ1</f>
        <v>0</v>
      </c>
      <c r="OCY1">
        <f>Database!ODR1</f>
        <v>0</v>
      </c>
      <c r="OCZ1">
        <f>Database!ODS1</f>
        <v>0</v>
      </c>
      <c r="ODA1">
        <f>Database!ODT1</f>
        <v>0</v>
      </c>
      <c r="ODB1">
        <f>Database!ODU1</f>
        <v>0</v>
      </c>
      <c r="ODC1">
        <f>Database!ODV1</f>
        <v>0</v>
      </c>
      <c r="ODD1">
        <f>Database!ODW1</f>
        <v>0</v>
      </c>
      <c r="ODE1">
        <f>Database!ODX1</f>
        <v>0</v>
      </c>
      <c r="ODF1">
        <f>Database!ODY1</f>
        <v>0</v>
      </c>
      <c r="ODG1">
        <f>Database!ODZ1</f>
        <v>0</v>
      </c>
      <c r="ODH1">
        <f>Database!OEA1</f>
        <v>0</v>
      </c>
      <c r="ODI1">
        <f>Database!OEB1</f>
        <v>0</v>
      </c>
      <c r="ODJ1">
        <f>Database!OEC1</f>
        <v>0</v>
      </c>
      <c r="ODK1">
        <f>Database!OED1</f>
        <v>0</v>
      </c>
      <c r="ODL1">
        <f>Database!OEE1</f>
        <v>0</v>
      </c>
      <c r="ODM1">
        <f>Database!OEF1</f>
        <v>0</v>
      </c>
      <c r="ODN1">
        <f>Database!OEG1</f>
        <v>0</v>
      </c>
      <c r="ODO1">
        <f>Database!OEH1</f>
        <v>0</v>
      </c>
      <c r="ODP1">
        <f>Database!OEI1</f>
        <v>0</v>
      </c>
      <c r="ODQ1">
        <f>Database!OEJ1</f>
        <v>0</v>
      </c>
      <c r="ODR1">
        <f>Database!OEK1</f>
        <v>0</v>
      </c>
      <c r="ODS1">
        <f>Database!OEL1</f>
        <v>0</v>
      </c>
      <c r="ODT1">
        <f>Database!OEM1</f>
        <v>0</v>
      </c>
      <c r="ODU1">
        <f>Database!OEN1</f>
        <v>0</v>
      </c>
      <c r="ODV1">
        <f>Database!OEO1</f>
        <v>0</v>
      </c>
      <c r="ODW1">
        <f>Database!OEP1</f>
        <v>0</v>
      </c>
      <c r="ODX1">
        <f>Database!OEQ1</f>
        <v>0</v>
      </c>
      <c r="ODY1">
        <f>Database!OER1</f>
        <v>0</v>
      </c>
      <c r="ODZ1">
        <f>Database!OES1</f>
        <v>0</v>
      </c>
      <c r="OEA1">
        <f>Database!OET1</f>
        <v>0</v>
      </c>
      <c r="OEB1">
        <f>Database!OEU1</f>
        <v>0</v>
      </c>
      <c r="OEC1">
        <f>Database!OEV1</f>
        <v>0</v>
      </c>
      <c r="OED1">
        <f>Database!OEW1</f>
        <v>0</v>
      </c>
      <c r="OEE1">
        <f>Database!OEX1</f>
        <v>0</v>
      </c>
      <c r="OEF1">
        <f>Database!OEY1</f>
        <v>0</v>
      </c>
      <c r="OEG1">
        <f>Database!OEZ1</f>
        <v>0</v>
      </c>
      <c r="OEH1">
        <f>Database!OFA1</f>
        <v>0</v>
      </c>
      <c r="OEI1">
        <f>Database!OFB1</f>
        <v>0</v>
      </c>
      <c r="OEJ1">
        <f>Database!OFC1</f>
        <v>0</v>
      </c>
      <c r="OEK1">
        <f>Database!OFD1</f>
        <v>0</v>
      </c>
      <c r="OEL1">
        <f>Database!OFE1</f>
        <v>0</v>
      </c>
      <c r="OEM1">
        <f>Database!OFF1</f>
        <v>0</v>
      </c>
      <c r="OEN1">
        <f>Database!OFG1</f>
        <v>0</v>
      </c>
      <c r="OEO1">
        <f>Database!OFH1</f>
        <v>0</v>
      </c>
      <c r="OEP1">
        <f>Database!OFI1</f>
        <v>0</v>
      </c>
      <c r="OEQ1">
        <f>Database!OFJ1</f>
        <v>0</v>
      </c>
      <c r="OER1">
        <f>Database!OFK1</f>
        <v>0</v>
      </c>
      <c r="OES1">
        <f>Database!OFL1</f>
        <v>0</v>
      </c>
      <c r="OET1">
        <f>Database!OFM1</f>
        <v>0</v>
      </c>
      <c r="OEU1">
        <f>Database!OFN1</f>
        <v>0</v>
      </c>
      <c r="OEV1">
        <f>Database!OFO1</f>
        <v>0</v>
      </c>
      <c r="OEW1">
        <f>Database!OFP1</f>
        <v>0</v>
      </c>
      <c r="OEX1">
        <f>Database!OFQ1</f>
        <v>0</v>
      </c>
      <c r="OEY1">
        <f>Database!OFR1</f>
        <v>0</v>
      </c>
      <c r="OEZ1">
        <f>Database!OFS1</f>
        <v>0</v>
      </c>
      <c r="OFA1">
        <f>Database!OFT1</f>
        <v>0</v>
      </c>
      <c r="OFB1">
        <f>Database!OFU1</f>
        <v>0</v>
      </c>
      <c r="OFC1">
        <f>Database!OFV1</f>
        <v>0</v>
      </c>
      <c r="OFD1">
        <f>Database!OFW1</f>
        <v>0</v>
      </c>
      <c r="OFE1">
        <f>Database!OFX1</f>
        <v>0</v>
      </c>
      <c r="OFF1">
        <f>Database!OFY1</f>
        <v>0</v>
      </c>
      <c r="OFG1">
        <f>Database!OFZ1</f>
        <v>0</v>
      </c>
      <c r="OFH1">
        <f>Database!OGA1</f>
        <v>0</v>
      </c>
      <c r="OFI1">
        <f>Database!OGB1</f>
        <v>0</v>
      </c>
      <c r="OFJ1">
        <f>Database!OGC1</f>
        <v>0</v>
      </c>
      <c r="OFK1">
        <f>Database!OGD1</f>
        <v>0</v>
      </c>
      <c r="OFL1">
        <f>Database!OGE1</f>
        <v>0</v>
      </c>
      <c r="OFM1">
        <f>Database!OGF1</f>
        <v>0</v>
      </c>
      <c r="OFN1">
        <f>Database!OGG1</f>
        <v>0</v>
      </c>
      <c r="OFO1">
        <f>Database!OGH1</f>
        <v>0</v>
      </c>
      <c r="OFP1">
        <f>Database!OGI1</f>
        <v>0</v>
      </c>
      <c r="OFQ1">
        <f>Database!OGJ1</f>
        <v>0</v>
      </c>
      <c r="OFR1">
        <f>Database!OGK1</f>
        <v>0</v>
      </c>
      <c r="OFS1">
        <f>Database!OGL1</f>
        <v>0</v>
      </c>
      <c r="OFT1">
        <f>Database!OGM1</f>
        <v>0</v>
      </c>
      <c r="OFU1">
        <f>Database!OGN1</f>
        <v>0</v>
      </c>
      <c r="OFV1">
        <f>Database!OGO1</f>
        <v>0</v>
      </c>
      <c r="OFW1">
        <f>Database!OGP1</f>
        <v>0</v>
      </c>
      <c r="OFX1">
        <f>Database!OGQ1</f>
        <v>0</v>
      </c>
      <c r="OFY1">
        <f>Database!OGR1</f>
        <v>0</v>
      </c>
      <c r="OFZ1">
        <f>Database!OGS1</f>
        <v>0</v>
      </c>
      <c r="OGA1">
        <f>Database!OGT1</f>
        <v>0</v>
      </c>
      <c r="OGB1">
        <f>Database!OGU1</f>
        <v>0</v>
      </c>
      <c r="OGC1">
        <f>Database!OGV1</f>
        <v>0</v>
      </c>
      <c r="OGD1">
        <f>Database!OGW1</f>
        <v>0</v>
      </c>
      <c r="OGE1">
        <f>Database!OGX1</f>
        <v>0</v>
      </c>
      <c r="OGF1">
        <f>Database!OGY1</f>
        <v>0</v>
      </c>
      <c r="OGG1">
        <f>Database!OGZ1</f>
        <v>0</v>
      </c>
      <c r="OGH1">
        <f>Database!OHA1</f>
        <v>0</v>
      </c>
      <c r="OGI1">
        <f>Database!OHB1</f>
        <v>0</v>
      </c>
      <c r="OGJ1">
        <f>Database!OHC1</f>
        <v>0</v>
      </c>
      <c r="OGK1">
        <f>Database!OHD1</f>
        <v>0</v>
      </c>
      <c r="OGL1">
        <f>Database!OHE1</f>
        <v>0</v>
      </c>
      <c r="OGM1">
        <f>Database!OHF1</f>
        <v>0</v>
      </c>
      <c r="OGN1">
        <f>Database!OHG1</f>
        <v>0</v>
      </c>
      <c r="OGO1">
        <f>Database!OHH1</f>
        <v>0</v>
      </c>
      <c r="OGP1">
        <f>Database!OHI1</f>
        <v>0</v>
      </c>
      <c r="OGQ1">
        <f>Database!OHJ1</f>
        <v>0</v>
      </c>
      <c r="OGR1">
        <f>Database!OHK1</f>
        <v>0</v>
      </c>
      <c r="OGS1">
        <f>Database!OHL1</f>
        <v>0</v>
      </c>
      <c r="OGT1">
        <f>Database!OHM1</f>
        <v>0</v>
      </c>
      <c r="OGU1">
        <f>Database!OHN1</f>
        <v>0</v>
      </c>
      <c r="OGV1">
        <f>Database!OHO1</f>
        <v>0</v>
      </c>
      <c r="OGW1">
        <f>Database!OHP1</f>
        <v>0</v>
      </c>
      <c r="OGX1">
        <f>Database!OHQ1</f>
        <v>0</v>
      </c>
      <c r="OGY1">
        <f>Database!OHR1</f>
        <v>0</v>
      </c>
      <c r="OGZ1">
        <f>Database!OHS1</f>
        <v>0</v>
      </c>
      <c r="OHA1">
        <f>Database!OHT1</f>
        <v>0</v>
      </c>
      <c r="OHB1">
        <f>Database!OHU1</f>
        <v>0</v>
      </c>
      <c r="OHC1">
        <f>Database!OHV1</f>
        <v>0</v>
      </c>
      <c r="OHD1">
        <f>Database!OHW1</f>
        <v>0</v>
      </c>
      <c r="OHE1">
        <f>Database!OHX1</f>
        <v>0</v>
      </c>
      <c r="OHF1">
        <f>Database!OHY1</f>
        <v>0</v>
      </c>
      <c r="OHG1">
        <f>Database!OHZ1</f>
        <v>0</v>
      </c>
      <c r="OHH1">
        <f>Database!OIA1</f>
        <v>0</v>
      </c>
      <c r="OHI1">
        <f>Database!OIB1</f>
        <v>0</v>
      </c>
      <c r="OHJ1">
        <f>Database!OIC1</f>
        <v>0</v>
      </c>
      <c r="OHK1">
        <f>Database!OID1</f>
        <v>0</v>
      </c>
      <c r="OHL1">
        <f>Database!OIE1</f>
        <v>0</v>
      </c>
      <c r="OHM1">
        <f>Database!OIF1</f>
        <v>0</v>
      </c>
      <c r="OHN1">
        <f>Database!OIG1</f>
        <v>0</v>
      </c>
      <c r="OHO1">
        <f>Database!OIH1</f>
        <v>0</v>
      </c>
      <c r="OHP1">
        <f>Database!OII1</f>
        <v>0</v>
      </c>
      <c r="OHQ1">
        <f>Database!OIJ1</f>
        <v>0</v>
      </c>
      <c r="OHR1">
        <f>Database!OIK1</f>
        <v>0</v>
      </c>
      <c r="OHS1">
        <f>Database!OIL1</f>
        <v>0</v>
      </c>
      <c r="OHT1">
        <f>Database!OIM1</f>
        <v>0</v>
      </c>
      <c r="OHU1">
        <f>Database!OIN1</f>
        <v>0</v>
      </c>
      <c r="OHV1">
        <f>Database!OIO1</f>
        <v>0</v>
      </c>
      <c r="OHW1">
        <f>Database!OIP1</f>
        <v>0</v>
      </c>
      <c r="OHX1">
        <f>Database!OIQ1</f>
        <v>0</v>
      </c>
      <c r="OHY1">
        <f>Database!OIR1</f>
        <v>0</v>
      </c>
      <c r="OHZ1">
        <f>Database!OIS1</f>
        <v>0</v>
      </c>
      <c r="OIA1">
        <f>Database!OIT1</f>
        <v>0</v>
      </c>
      <c r="OIB1">
        <f>Database!OIU1</f>
        <v>0</v>
      </c>
      <c r="OIC1">
        <f>Database!OIV1</f>
        <v>0</v>
      </c>
      <c r="OID1">
        <f>Database!OIW1</f>
        <v>0</v>
      </c>
      <c r="OIE1">
        <f>Database!OIX1</f>
        <v>0</v>
      </c>
      <c r="OIF1">
        <f>Database!OIY1</f>
        <v>0</v>
      </c>
      <c r="OIG1">
        <f>Database!OIZ1</f>
        <v>0</v>
      </c>
      <c r="OIH1">
        <f>Database!OJA1</f>
        <v>0</v>
      </c>
      <c r="OII1">
        <f>Database!OJB1</f>
        <v>0</v>
      </c>
      <c r="OIJ1">
        <f>Database!OJC1</f>
        <v>0</v>
      </c>
      <c r="OIK1">
        <f>Database!OJD1</f>
        <v>0</v>
      </c>
      <c r="OIL1">
        <f>Database!OJE1</f>
        <v>0</v>
      </c>
      <c r="OIM1">
        <f>Database!OJF1</f>
        <v>0</v>
      </c>
      <c r="OIN1">
        <f>Database!OJG1</f>
        <v>0</v>
      </c>
      <c r="OIO1">
        <f>Database!OJH1</f>
        <v>0</v>
      </c>
      <c r="OIP1">
        <f>Database!OJI1</f>
        <v>0</v>
      </c>
      <c r="OIQ1">
        <f>Database!OJJ1</f>
        <v>0</v>
      </c>
      <c r="OIR1">
        <f>Database!OJK1</f>
        <v>0</v>
      </c>
      <c r="OIS1">
        <f>Database!OJL1</f>
        <v>0</v>
      </c>
      <c r="OIT1">
        <f>Database!OJM1</f>
        <v>0</v>
      </c>
      <c r="OIU1">
        <f>Database!OJN1</f>
        <v>0</v>
      </c>
      <c r="OIV1">
        <f>Database!OJO1</f>
        <v>0</v>
      </c>
      <c r="OIW1">
        <f>Database!OJP1</f>
        <v>0</v>
      </c>
      <c r="OIX1">
        <f>Database!OJQ1</f>
        <v>0</v>
      </c>
      <c r="OIY1">
        <f>Database!OJR1</f>
        <v>0</v>
      </c>
      <c r="OIZ1">
        <f>Database!OJS1</f>
        <v>0</v>
      </c>
      <c r="OJA1">
        <f>Database!OJT1</f>
        <v>0</v>
      </c>
      <c r="OJB1">
        <f>Database!OJU1</f>
        <v>0</v>
      </c>
      <c r="OJC1">
        <f>Database!OJV1</f>
        <v>0</v>
      </c>
      <c r="OJD1">
        <f>Database!OJW1</f>
        <v>0</v>
      </c>
      <c r="OJE1">
        <f>Database!OJX1</f>
        <v>0</v>
      </c>
      <c r="OJF1">
        <f>Database!OJY1</f>
        <v>0</v>
      </c>
      <c r="OJG1">
        <f>Database!OJZ1</f>
        <v>0</v>
      </c>
      <c r="OJH1">
        <f>Database!OKA1</f>
        <v>0</v>
      </c>
      <c r="OJI1">
        <f>Database!OKB1</f>
        <v>0</v>
      </c>
      <c r="OJJ1">
        <f>Database!OKC1</f>
        <v>0</v>
      </c>
      <c r="OJK1">
        <f>Database!OKD1</f>
        <v>0</v>
      </c>
      <c r="OJL1">
        <f>Database!OKE1</f>
        <v>0</v>
      </c>
      <c r="OJM1">
        <f>Database!OKF1</f>
        <v>0</v>
      </c>
      <c r="OJN1">
        <f>Database!OKG1</f>
        <v>0</v>
      </c>
      <c r="OJO1">
        <f>Database!OKH1</f>
        <v>0</v>
      </c>
      <c r="OJP1">
        <f>Database!OKI1</f>
        <v>0</v>
      </c>
      <c r="OJQ1">
        <f>Database!OKJ1</f>
        <v>0</v>
      </c>
      <c r="OJR1">
        <f>Database!OKK1</f>
        <v>0</v>
      </c>
      <c r="OJS1">
        <f>Database!OKL1</f>
        <v>0</v>
      </c>
      <c r="OJT1">
        <f>Database!OKM1</f>
        <v>0</v>
      </c>
      <c r="OJU1">
        <f>Database!OKN1</f>
        <v>0</v>
      </c>
      <c r="OJV1">
        <f>Database!OKO1</f>
        <v>0</v>
      </c>
      <c r="OJW1">
        <f>Database!OKP1</f>
        <v>0</v>
      </c>
      <c r="OJX1">
        <f>Database!OKQ1</f>
        <v>0</v>
      </c>
      <c r="OJY1">
        <f>Database!OKR1</f>
        <v>0</v>
      </c>
      <c r="OJZ1">
        <f>Database!OKS1</f>
        <v>0</v>
      </c>
      <c r="OKA1">
        <f>Database!OKT1</f>
        <v>0</v>
      </c>
      <c r="OKB1">
        <f>Database!OKU1</f>
        <v>0</v>
      </c>
      <c r="OKC1">
        <f>Database!OKV1</f>
        <v>0</v>
      </c>
      <c r="OKD1">
        <f>Database!OKW1</f>
        <v>0</v>
      </c>
      <c r="OKE1">
        <f>Database!OKX1</f>
        <v>0</v>
      </c>
      <c r="OKF1">
        <f>Database!OKY1</f>
        <v>0</v>
      </c>
      <c r="OKG1">
        <f>Database!OKZ1</f>
        <v>0</v>
      </c>
      <c r="OKH1">
        <f>Database!OLA1</f>
        <v>0</v>
      </c>
      <c r="OKI1">
        <f>Database!OLB1</f>
        <v>0</v>
      </c>
      <c r="OKJ1">
        <f>Database!OLC1</f>
        <v>0</v>
      </c>
      <c r="OKK1">
        <f>Database!OLD1</f>
        <v>0</v>
      </c>
      <c r="OKL1">
        <f>Database!OLE1</f>
        <v>0</v>
      </c>
      <c r="OKM1">
        <f>Database!OLF1</f>
        <v>0</v>
      </c>
      <c r="OKN1">
        <f>Database!OLG1</f>
        <v>0</v>
      </c>
      <c r="OKO1">
        <f>Database!OLH1</f>
        <v>0</v>
      </c>
      <c r="OKP1">
        <f>Database!OLI1</f>
        <v>0</v>
      </c>
      <c r="OKQ1">
        <f>Database!OLJ1</f>
        <v>0</v>
      </c>
      <c r="OKR1">
        <f>Database!OLK1</f>
        <v>0</v>
      </c>
      <c r="OKS1">
        <f>Database!OLL1</f>
        <v>0</v>
      </c>
      <c r="OKT1">
        <f>Database!OLM1</f>
        <v>0</v>
      </c>
      <c r="OKU1">
        <f>Database!OLN1</f>
        <v>0</v>
      </c>
      <c r="OKV1">
        <f>Database!OLO1</f>
        <v>0</v>
      </c>
      <c r="OKW1">
        <f>Database!OLP1</f>
        <v>0</v>
      </c>
      <c r="OKX1">
        <f>Database!OLQ1</f>
        <v>0</v>
      </c>
      <c r="OKY1">
        <f>Database!OLR1</f>
        <v>0</v>
      </c>
      <c r="OKZ1">
        <f>Database!OLS1</f>
        <v>0</v>
      </c>
      <c r="OLA1">
        <f>Database!OLT1</f>
        <v>0</v>
      </c>
      <c r="OLB1">
        <f>Database!OLU1</f>
        <v>0</v>
      </c>
      <c r="OLC1">
        <f>Database!OLV1</f>
        <v>0</v>
      </c>
      <c r="OLD1">
        <f>Database!OLW1</f>
        <v>0</v>
      </c>
      <c r="OLE1">
        <f>Database!OLX1</f>
        <v>0</v>
      </c>
      <c r="OLF1">
        <f>Database!OLY1</f>
        <v>0</v>
      </c>
      <c r="OLG1">
        <f>Database!OLZ1</f>
        <v>0</v>
      </c>
      <c r="OLH1">
        <f>Database!OMA1</f>
        <v>0</v>
      </c>
      <c r="OLI1">
        <f>Database!OMB1</f>
        <v>0</v>
      </c>
      <c r="OLJ1">
        <f>Database!OMC1</f>
        <v>0</v>
      </c>
      <c r="OLK1">
        <f>Database!OMD1</f>
        <v>0</v>
      </c>
      <c r="OLL1">
        <f>Database!OME1</f>
        <v>0</v>
      </c>
      <c r="OLM1">
        <f>Database!OMF1</f>
        <v>0</v>
      </c>
      <c r="OLN1">
        <f>Database!OMG1</f>
        <v>0</v>
      </c>
      <c r="OLO1">
        <f>Database!OMH1</f>
        <v>0</v>
      </c>
      <c r="OLP1">
        <f>Database!OMI1</f>
        <v>0</v>
      </c>
      <c r="OLQ1">
        <f>Database!OMJ1</f>
        <v>0</v>
      </c>
      <c r="OLR1">
        <f>Database!OMK1</f>
        <v>0</v>
      </c>
      <c r="OLS1">
        <f>Database!OML1</f>
        <v>0</v>
      </c>
      <c r="OLT1">
        <f>Database!OMM1</f>
        <v>0</v>
      </c>
      <c r="OLU1">
        <f>Database!OMN1</f>
        <v>0</v>
      </c>
      <c r="OLV1">
        <f>Database!OMO1</f>
        <v>0</v>
      </c>
      <c r="OLW1">
        <f>Database!OMP1</f>
        <v>0</v>
      </c>
      <c r="OLX1">
        <f>Database!OMQ1</f>
        <v>0</v>
      </c>
      <c r="OLY1">
        <f>Database!OMR1</f>
        <v>0</v>
      </c>
      <c r="OLZ1">
        <f>Database!OMS1</f>
        <v>0</v>
      </c>
      <c r="OMA1">
        <f>Database!OMT1</f>
        <v>0</v>
      </c>
      <c r="OMB1">
        <f>Database!OMU1</f>
        <v>0</v>
      </c>
      <c r="OMC1">
        <f>Database!OMV1</f>
        <v>0</v>
      </c>
      <c r="OMD1">
        <f>Database!OMW1</f>
        <v>0</v>
      </c>
      <c r="OME1">
        <f>Database!OMX1</f>
        <v>0</v>
      </c>
      <c r="OMF1">
        <f>Database!OMY1</f>
        <v>0</v>
      </c>
      <c r="OMG1">
        <f>Database!OMZ1</f>
        <v>0</v>
      </c>
      <c r="OMH1">
        <f>Database!ONA1</f>
        <v>0</v>
      </c>
      <c r="OMI1">
        <f>Database!ONB1</f>
        <v>0</v>
      </c>
      <c r="OMJ1">
        <f>Database!ONC1</f>
        <v>0</v>
      </c>
      <c r="OMK1">
        <f>Database!OND1</f>
        <v>0</v>
      </c>
      <c r="OML1">
        <f>Database!ONE1</f>
        <v>0</v>
      </c>
      <c r="OMM1">
        <f>Database!ONF1</f>
        <v>0</v>
      </c>
      <c r="OMN1">
        <f>Database!ONG1</f>
        <v>0</v>
      </c>
      <c r="OMO1">
        <f>Database!ONH1</f>
        <v>0</v>
      </c>
      <c r="OMP1">
        <f>Database!ONI1</f>
        <v>0</v>
      </c>
      <c r="OMQ1">
        <f>Database!ONJ1</f>
        <v>0</v>
      </c>
      <c r="OMR1">
        <f>Database!ONK1</f>
        <v>0</v>
      </c>
      <c r="OMS1">
        <f>Database!ONL1</f>
        <v>0</v>
      </c>
      <c r="OMT1">
        <f>Database!ONM1</f>
        <v>0</v>
      </c>
      <c r="OMU1">
        <f>Database!ONN1</f>
        <v>0</v>
      </c>
      <c r="OMV1">
        <f>Database!ONO1</f>
        <v>0</v>
      </c>
      <c r="OMW1">
        <f>Database!ONP1</f>
        <v>0</v>
      </c>
      <c r="OMX1">
        <f>Database!ONQ1</f>
        <v>0</v>
      </c>
      <c r="OMY1">
        <f>Database!ONR1</f>
        <v>0</v>
      </c>
      <c r="OMZ1">
        <f>Database!ONS1</f>
        <v>0</v>
      </c>
      <c r="ONA1">
        <f>Database!ONT1</f>
        <v>0</v>
      </c>
      <c r="ONB1">
        <f>Database!ONU1</f>
        <v>0</v>
      </c>
      <c r="ONC1">
        <f>Database!ONV1</f>
        <v>0</v>
      </c>
      <c r="OND1">
        <f>Database!ONW1</f>
        <v>0</v>
      </c>
      <c r="ONE1">
        <f>Database!ONX1</f>
        <v>0</v>
      </c>
      <c r="ONF1">
        <f>Database!ONY1</f>
        <v>0</v>
      </c>
      <c r="ONG1">
        <f>Database!ONZ1</f>
        <v>0</v>
      </c>
      <c r="ONH1">
        <f>Database!OOA1</f>
        <v>0</v>
      </c>
      <c r="ONI1">
        <f>Database!OOB1</f>
        <v>0</v>
      </c>
      <c r="ONJ1">
        <f>Database!OOC1</f>
        <v>0</v>
      </c>
      <c r="ONK1">
        <f>Database!OOD1</f>
        <v>0</v>
      </c>
      <c r="ONL1">
        <f>Database!OOE1</f>
        <v>0</v>
      </c>
      <c r="ONM1">
        <f>Database!OOF1</f>
        <v>0</v>
      </c>
      <c r="ONN1">
        <f>Database!OOG1</f>
        <v>0</v>
      </c>
      <c r="ONO1">
        <f>Database!OOH1</f>
        <v>0</v>
      </c>
      <c r="ONP1">
        <f>Database!OOI1</f>
        <v>0</v>
      </c>
      <c r="ONQ1">
        <f>Database!OOJ1</f>
        <v>0</v>
      </c>
      <c r="ONR1">
        <f>Database!OOK1</f>
        <v>0</v>
      </c>
      <c r="ONS1">
        <f>Database!OOL1</f>
        <v>0</v>
      </c>
      <c r="ONT1">
        <f>Database!OOM1</f>
        <v>0</v>
      </c>
      <c r="ONU1">
        <f>Database!OON1</f>
        <v>0</v>
      </c>
      <c r="ONV1">
        <f>Database!OOO1</f>
        <v>0</v>
      </c>
      <c r="ONW1">
        <f>Database!OOP1</f>
        <v>0</v>
      </c>
      <c r="ONX1">
        <f>Database!OOQ1</f>
        <v>0</v>
      </c>
      <c r="ONY1">
        <f>Database!OOR1</f>
        <v>0</v>
      </c>
      <c r="ONZ1">
        <f>Database!OOS1</f>
        <v>0</v>
      </c>
      <c r="OOA1">
        <f>Database!OOT1</f>
        <v>0</v>
      </c>
      <c r="OOB1">
        <f>Database!OOU1</f>
        <v>0</v>
      </c>
      <c r="OOC1">
        <f>Database!OOV1</f>
        <v>0</v>
      </c>
      <c r="OOD1">
        <f>Database!OOW1</f>
        <v>0</v>
      </c>
      <c r="OOE1">
        <f>Database!OOX1</f>
        <v>0</v>
      </c>
      <c r="OOF1">
        <f>Database!OOY1</f>
        <v>0</v>
      </c>
      <c r="OOG1">
        <f>Database!OOZ1</f>
        <v>0</v>
      </c>
      <c r="OOH1">
        <f>Database!OPA1</f>
        <v>0</v>
      </c>
      <c r="OOI1">
        <f>Database!OPB1</f>
        <v>0</v>
      </c>
      <c r="OOJ1">
        <f>Database!OPC1</f>
        <v>0</v>
      </c>
      <c r="OOK1">
        <f>Database!OPD1</f>
        <v>0</v>
      </c>
      <c r="OOL1">
        <f>Database!OPE1</f>
        <v>0</v>
      </c>
      <c r="OOM1">
        <f>Database!OPF1</f>
        <v>0</v>
      </c>
      <c r="OON1">
        <f>Database!OPG1</f>
        <v>0</v>
      </c>
      <c r="OOO1">
        <f>Database!OPH1</f>
        <v>0</v>
      </c>
      <c r="OOP1">
        <f>Database!OPI1</f>
        <v>0</v>
      </c>
      <c r="OOQ1">
        <f>Database!OPJ1</f>
        <v>0</v>
      </c>
      <c r="OOR1">
        <f>Database!OPK1</f>
        <v>0</v>
      </c>
      <c r="OOS1">
        <f>Database!OPL1</f>
        <v>0</v>
      </c>
      <c r="OOT1">
        <f>Database!OPM1</f>
        <v>0</v>
      </c>
      <c r="OOU1">
        <f>Database!OPN1</f>
        <v>0</v>
      </c>
      <c r="OOV1">
        <f>Database!OPO1</f>
        <v>0</v>
      </c>
      <c r="OOW1">
        <f>Database!OPP1</f>
        <v>0</v>
      </c>
      <c r="OOX1">
        <f>Database!OPQ1</f>
        <v>0</v>
      </c>
      <c r="OOY1">
        <f>Database!OPR1</f>
        <v>0</v>
      </c>
      <c r="OOZ1">
        <f>Database!OPS1</f>
        <v>0</v>
      </c>
      <c r="OPA1">
        <f>Database!OPT1</f>
        <v>0</v>
      </c>
      <c r="OPB1">
        <f>Database!OPU1</f>
        <v>0</v>
      </c>
      <c r="OPC1">
        <f>Database!OPV1</f>
        <v>0</v>
      </c>
      <c r="OPD1">
        <f>Database!OPW1</f>
        <v>0</v>
      </c>
      <c r="OPE1">
        <f>Database!OPX1</f>
        <v>0</v>
      </c>
      <c r="OPF1">
        <f>Database!OPY1</f>
        <v>0</v>
      </c>
      <c r="OPG1">
        <f>Database!OPZ1</f>
        <v>0</v>
      </c>
      <c r="OPH1">
        <f>Database!OQA1</f>
        <v>0</v>
      </c>
      <c r="OPI1">
        <f>Database!OQB1</f>
        <v>0</v>
      </c>
      <c r="OPJ1">
        <f>Database!OQC1</f>
        <v>0</v>
      </c>
      <c r="OPK1">
        <f>Database!OQD1</f>
        <v>0</v>
      </c>
      <c r="OPL1">
        <f>Database!OQE1</f>
        <v>0</v>
      </c>
      <c r="OPM1">
        <f>Database!OQF1</f>
        <v>0</v>
      </c>
      <c r="OPN1">
        <f>Database!OQG1</f>
        <v>0</v>
      </c>
      <c r="OPO1">
        <f>Database!OQH1</f>
        <v>0</v>
      </c>
      <c r="OPP1">
        <f>Database!OQI1</f>
        <v>0</v>
      </c>
      <c r="OPQ1">
        <f>Database!OQJ1</f>
        <v>0</v>
      </c>
      <c r="OPR1">
        <f>Database!OQK1</f>
        <v>0</v>
      </c>
      <c r="OPS1">
        <f>Database!OQL1</f>
        <v>0</v>
      </c>
      <c r="OPT1">
        <f>Database!OQM1</f>
        <v>0</v>
      </c>
      <c r="OPU1">
        <f>Database!OQN1</f>
        <v>0</v>
      </c>
      <c r="OPV1">
        <f>Database!OQO1</f>
        <v>0</v>
      </c>
      <c r="OPW1">
        <f>Database!OQP1</f>
        <v>0</v>
      </c>
      <c r="OPX1">
        <f>Database!OQQ1</f>
        <v>0</v>
      </c>
      <c r="OPY1">
        <f>Database!OQR1</f>
        <v>0</v>
      </c>
      <c r="OPZ1">
        <f>Database!OQS1</f>
        <v>0</v>
      </c>
      <c r="OQA1">
        <f>Database!OQT1</f>
        <v>0</v>
      </c>
      <c r="OQB1">
        <f>Database!OQU1</f>
        <v>0</v>
      </c>
      <c r="OQC1">
        <f>Database!OQV1</f>
        <v>0</v>
      </c>
      <c r="OQD1">
        <f>Database!OQW1</f>
        <v>0</v>
      </c>
      <c r="OQE1">
        <f>Database!OQX1</f>
        <v>0</v>
      </c>
      <c r="OQF1">
        <f>Database!OQY1</f>
        <v>0</v>
      </c>
      <c r="OQG1">
        <f>Database!OQZ1</f>
        <v>0</v>
      </c>
      <c r="OQH1">
        <f>Database!ORA1</f>
        <v>0</v>
      </c>
      <c r="OQI1">
        <f>Database!ORB1</f>
        <v>0</v>
      </c>
      <c r="OQJ1">
        <f>Database!ORC1</f>
        <v>0</v>
      </c>
      <c r="OQK1">
        <f>Database!ORD1</f>
        <v>0</v>
      </c>
      <c r="OQL1">
        <f>Database!ORE1</f>
        <v>0</v>
      </c>
      <c r="OQM1">
        <f>Database!ORF1</f>
        <v>0</v>
      </c>
      <c r="OQN1">
        <f>Database!ORG1</f>
        <v>0</v>
      </c>
      <c r="OQO1">
        <f>Database!ORH1</f>
        <v>0</v>
      </c>
      <c r="OQP1">
        <f>Database!ORI1</f>
        <v>0</v>
      </c>
      <c r="OQQ1">
        <f>Database!ORJ1</f>
        <v>0</v>
      </c>
      <c r="OQR1">
        <f>Database!ORK1</f>
        <v>0</v>
      </c>
      <c r="OQS1">
        <f>Database!ORL1</f>
        <v>0</v>
      </c>
      <c r="OQT1">
        <f>Database!ORM1</f>
        <v>0</v>
      </c>
      <c r="OQU1">
        <f>Database!ORN1</f>
        <v>0</v>
      </c>
      <c r="OQV1">
        <f>Database!ORO1</f>
        <v>0</v>
      </c>
      <c r="OQW1">
        <f>Database!ORP1</f>
        <v>0</v>
      </c>
      <c r="OQX1">
        <f>Database!ORQ1</f>
        <v>0</v>
      </c>
      <c r="OQY1">
        <f>Database!ORR1</f>
        <v>0</v>
      </c>
      <c r="OQZ1">
        <f>Database!ORS1</f>
        <v>0</v>
      </c>
      <c r="ORA1">
        <f>Database!ORT1</f>
        <v>0</v>
      </c>
      <c r="ORB1">
        <f>Database!ORU1</f>
        <v>0</v>
      </c>
      <c r="ORC1">
        <f>Database!ORV1</f>
        <v>0</v>
      </c>
      <c r="ORD1">
        <f>Database!ORW1</f>
        <v>0</v>
      </c>
      <c r="ORE1">
        <f>Database!ORX1</f>
        <v>0</v>
      </c>
      <c r="ORF1">
        <f>Database!ORY1</f>
        <v>0</v>
      </c>
      <c r="ORG1">
        <f>Database!ORZ1</f>
        <v>0</v>
      </c>
      <c r="ORH1">
        <f>Database!OSA1</f>
        <v>0</v>
      </c>
      <c r="ORI1">
        <f>Database!OSB1</f>
        <v>0</v>
      </c>
      <c r="ORJ1">
        <f>Database!OSC1</f>
        <v>0</v>
      </c>
      <c r="ORK1">
        <f>Database!OSD1</f>
        <v>0</v>
      </c>
      <c r="ORL1">
        <f>Database!OSE1</f>
        <v>0</v>
      </c>
      <c r="ORM1">
        <f>Database!OSF1</f>
        <v>0</v>
      </c>
      <c r="ORN1">
        <f>Database!OSG1</f>
        <v>0</v>
      </c>
      <c r="ORO1">
        <f>Database!OSH1</f>
        <v>0</v>
      </c>
      <c r="ORP1">
        <f>Database!OSI1</f>
        <v>0</v>
      </c>
      <c r="ORQ1">
        <f>Database!OSJ1</f>
        <v>0</v>
      </c>
      <c r="ORR1">
        <f>Database!OSK1</f>
        <v>0</v>
      </c>
      <c r="ORS1">
        <f>Database!OSL1</f>
        <v>0</v>
      </c>
      <c r="ORT1">
        <f>Database!OSM1</f>
        <v>0</v>
      </c>
      <c r="ORU1">
        <f>Database!OSN1</f>
        <v>0</v>
      </c>
      <c r="ORV1">
        <f>Database!OSO1</f>
        <v>0</v>
      </c>
      <c r="ORW1">
        <f>Database!OSP1</f>
        <v>0</v>
      </c>
      <c r="ORX1">
        <f>Database!OSQ1</f>
        <v>0</v>
      </c>
      <c r="ORY1">
        <f>Database!OSR1</f>
        <v>0</v>
      </c>
      <c r="ORZ1">
        <f>Database!OSS1</f>
        <v>0</v>
      </c>
      <c r="OSA1">
        <f>Database!OST1</f>
        <v>0</v>
      </c>
      <c r="OSB1">
        <f>Database!OSU1</f>
        <v>0</v>
      </c>
      <c r="OSC1">
        <f>Database!OSV1</f>
        <v>0</v>
      </c>
      <c r="OSD1">
        <f>Database!OSW1</f>
        <v>0</v>
      </c>
      <c r="OSE1">
        <f>Database!OSX1</f>
        <v>0</v>
      </c>
      <c r="OSF1">
        <f>Database!OSY1</f>
        <v>0</v>
      </c>
      <c r="OSG1">
        <f>Database!OSZ1</f>
        <v>0</v>
      </c>
      <c r="OSH1">
        <f>Database!OTA1</f>
        <v>0</v>
      </c>
      <c r="OSI1">
        <f>Database!OTB1</f>
        <v>0</v>
      </c>
      <c r="OSJ1">
        <f>Database!OTC1</f>
        <v>0</v>
      </c>
      <c r="OSK1">
        <f>Database!OTD1</f>
        <v>0</v>
      </c>
      <c r="OSL1">
        <f>Database!OTE1</f>
        <v>0</v>
      </c>
      <c r="OSM1">
        <f>Database!OTF1</f>
        <v>0</v>
      </c>
      <c r="OSN1">
        <f>Database!OTG1</f>
        <v>0</v>
      </c>
      <c r="OSO1">
        <f>Database!OTH1</f>
        <v>0</v>
      </c>
      <c r="OSP1">
        <f>Database!OTI1</f>
        <v>0</v>
      </c>
      <c r="OSQ1">
        <f>Database!OTJ1</f>
        <v>0</v>
      </c>
      <c r="OSR1">
        <f>Database!OTK1</f>
        <v>0</v>
      </c>
      <c r="OSS1">
        <f>Database!OTL1</f>
        <v>0</v>
      </c>
      <c r="OST1">
        <f>Database!OTM1</f>
        <v>0</v>
      </c>
      <c r="OSU1">
        <f>Database!OTN1</f>
        <v>0</v>
      </c>
      <c r="OSV1">
        <f>Database!OTO1</f>
        <v>0</v>
      </c>
      <c r="OSW1">
        <f>Database!OTP1</f>
        <v>0</v>
      </c>
      <c r="OSX1">
        <f>Database!OTQ1</f>
        <v>0</v>
      </c>
      <c r="OSY1">
        <f>Database!OTR1</f>
        <v>0</v>
      </c>
      <c r="OSZ1">
        <f>Database!OTS1</f>
        <v>0</v>
      </c>
      <c r="OTA1">
        <f>Database!OTT1</f>
        <v>0</v>
      </c>
      <c r="OTB1">
        <f>Database!OTU1</f>
        <v>0</v>
      </c>
      <c r="OTC1">
        <f>Database!OTV1</f>
        <v>0</v>
      </c>
      <c r="OTD1">
        <f>Database!OTW1</f>
        <v>0</v>
      </c>
      <c r="OTE1">
        <f>Database!OTX1</f>
        <v>0</v>
      </c>
      <c r="OTF1">
        <f>Database!OTY1</f>
        <v>0</v>
      </c>
      <c r="OTG1">
        <f>Database!OTZ1</f>
        <v>0</v>
      </c>
      <c r="OTH1">
        <f>Database!OUA1</f>
        <v>0</v>
      </c>
      <c r="OTI1">
        <f>Database!OUB1</f>
        <v>0</v>
      </c>
      <c r="OTJ1">
        <f>Database!OUC1</f>
        <v>0</v>
      </c>
      <c r="OTK1">
        <f>Database!OUD1</f>
        <v>0</v>
      </c>
      <c r="OTL1">
        <f>Database!OUE1</f>
        <v>0</v>
      </c>
      <c r="OTM1">
        <f>Database!OUF1</f>
        <v>0</v>
      </c>
      <c r="OTN1">
        <f>Database!OUG1</f>
        <v>0</v>
      </c>
      <c r="OTO1">
        <f>Database!OUH1</f>
        <v>0</v>
      </c>
      <c r="OTP1">
        <f>Database!OUI1</f>
        <v>0</v>
      </c>
      <c r="OTQ1">
        <f>Database!OUJ1</f>
        <v>0</v>
      </c>
      <c r="OTR1">
        <f>Database!OUK1</f>
        <v>0</v>
      </c>
      <c r="OTS1">
        <f>Database!OUL1</f>
        <v>0</v>
      </c>
      <c r="OTT1">
        <f>Database!OUM1</f>
        <v>0</v>
      </c>
      <c r="OTU1">
        <f>Database!OUN1</f>
        <v>0</v>
      </c>
      <c r="OTV1">
        <f>Database!OUO1</f>
        <v>0</v>
      </c>
      <c r="OTW1">
        <f>Database!OUP1</f>
        <v>0</v>
      </c>
      <c r="OTX1">
        <f>Database!OUQ1</f>
        <v>0</v>
      </c>
      <c r="OTY1">
        <f>Database!OUR1</f>
        <v>0</v>
      </c>
      <c r="OTZ1">
        <f>Database!OUS1</f>
        <v>0</v>
      </c>
      <c r="OUA1">
        <f>Database!OUT1</f>
        <v>0</v>
      </c>
      <c r="OUB1">
        <f>Database!OUU1</f>
        <v>0</v>
      </c>
      <c r="OUC1">
        <f>Database!OUV1</f>
        <v>0</v>
      </c>
      <c r="OUD1">
        <f>Database!OUW1</f>
        <v>0</v>
      </c>
      <c r="OUE1">
        <f>Database!OUX1</f>
        <v>0</v>
      </c>
      <c r="OUF1">
        <f>Database!OUY1</f>
        <v>0</v>
      </c>
      <c r="OUG1">
        <f>Database!OUZ1</f>
        <v>0</v>
      </c>
      <c r="OUH1">
        <f>Database!OVA1</f>
        <v>0</v>
      </c>
      <c r="OUI1">
        <f>Database!OVB1</f>
        <v>0</v>
      </c>
      <c r="OUJ1">
        <f>Database!OVC1</f>
        <v>0</v>
      </c>
      <c r="OUK1">
        <f>Database!OVD1</f>
        <v>0</v>
      </c>
      <c r="OUL1">
        <f>Database!OVE1</f>
        <v>0</v>
      </c>
      <c r="OUM1">
        <f>Database!OVF1</f>
        <v>0</v>
      </c>
      <c r="OUN1">
        <f>Database!OVG1</f>
        <v>0</v>
      </c>
      <c r="OUO1">
        <f>Database!OVH1</f>
        <v>0</v>
      </c>
      <c r="OUP1">
        <f>Database!OVI1</f>
        <v>0</v>
      </c>
      <c r="OUQ1">
        <f>Database!OVJ1</f>
        <v>0</v>
      </c>
      <c r="OUR1">
        <f>Database!OVK1</f>
        <v>0</v>
      </c>
      <c r="OUS1">
        <f>Database!OVL1</f>
        <v>0</v>
      </c>
      <c r="OUT1">
        <f>Database!OVM1</f>
        <v>0</v>
      </c>
      <c r="OUU1">
        <f>Database!OVN1</f>
        <v>0</v>
      </c>
      <c r="OUV1">
        <f>Database!OVO1</f>
        <v>0</v>
      </c>
      <c r="OUW1">
        <f>Database!OVP1</f>
        <v>0</v>
      </c>
      <c r="OUX1">
        <f>Database!OVQ1</f>
        <v>0</v>
      </c>
      <c r="OUY1">
        <f>Database!OVR1</f>
        <v>0</v>
      </c>
      <c r="OUZ1">
        <f>Database!OVS1</f>
        <v>0</v>
      </c>
      <c r="OVA1">
        <f>Database!OVT1</f>
        <v>0</v>
      </c>
      <c r="OVB1">
        <f>Database!OVU1</f>
        <v>0</v>
      </c>
      <c r="OVC1">
        <f>Database!OVV1</f>
        <v>0</v>
      </c>
      <c r="OVD1">
        <f>Database!OVW1</f>
        <v>0</v>
      </c>
      <c r="OVE1">
        <f>Database!OVX1</f>
        <v>0</v>
      </c>
      <c r="OVF1">
        <f>Database!OVY1</f>
        <v>0</v>
      </c>
      <c r="OVG1">
        <f>Database!OVZ1</f>
        <v>0</v>
      </c>
      <c r="OVH1">
        <f>Database!OWA1</f>
        <v>0</v>
      </c>
      <c r="OVI1">
        <f>Database!OWB1</f>
        <v>0</v>
      </c>
      <c r="OVJ1">
        <f>Database!OWC1</f>
        <v>0</v>
      </c>
      <c r="OVK1">
        <f>Database!OWD1</f>
        <v>0</v>
      </c>
      <c r="OVL1">
        <f>Database!OWE1</f>
        <v>0</v>
      </c>
      <c r="OVM1">
        <f>Database!OWF1</f>
        <v>0</v>
      </c>
      <c r="OVN1">
        <f>Database!OWG1</f>
        <v>0</v>
      </c>
      <c r="OVO1">
        <f>Database!OWH1</f>
        <v>0</v>
      </c>
      <c r="OVP1">
        <f>Database!OWI1</f>
        <v>0</v>
      </c>
      <c r="OVQ1">
        <f>Database!OWJ1</f>
        <v>0</v>
      </c>
      <c r="OVR1">
        <f>Database!OWK1</f>
        <v>0</v>
      </c>
      <c r="OVS1">
        <f>Database!OWL1</f>
        <v>0</v>
      </c>
      <c r="OVT1">
        <f>Database!OWM1</f>
        <v>0</v>
      </c>
      <c r="OVU1">
        <f>Database!OWN1</f>
        <v>0</v>
      </c>
      <c r="OVV1">
        <f>Database!OWO1</f>
        <v>0</v>
      </c>
      <c r="OVW1">
        <f>Database!OWP1</f>
        <v>0</v>
      </c>
      <c r="OVX1">
        <f>Database!OWQ1</f>
        <v>0</v>
      </c>
      <c r="OVY1">
        <f>Database!OWR1</f>
        <v>0</v>
      </c>
      <c r="OVZ1">
        <f>Database!OWS1</f>
        <v>0</v>
      </c>
      <c r="OWA1">
        <f>Database!OWT1</f>
        <v>0</v>
      </c>
      <c r="OWB1">
        <f>Database!OWU1</f>
        <v>0</v>
      </c>
      <c r="OWC1">
        <f>Database!OWV1</f>
        <v>0</v>
      </c>
      <c r="OWD1">
        <f>Database!OWW1</f>
        <v>0</v>
      </c>
      <c r="OWE1">
        <f>Database!OWX1</f>
        <v>0</v>
      </c>
      <c r="OWF1">
        <f>Database!OWY1</f>
        <v>0</v>
      </c>
      <c r="OWG1">
        <f>Database!OWZ1</f>
        <v>0</v>
      </c>
      <c r="OWH1">
        <f>Database!OXA1</f>
        <v>0</v>
      </c>
      <c r="OWI1">
        <f>Database!OXB1</f>
        <v>0</v>
      </c>
      <c r="OWJ1">
        <f>Database!OXC1</f>
        <v>0</v>
      </c>
      <c r="OWK1">
        <f>Database!OXD1</f>
        <v>0</v>
      </c>
      <c r="OWL1">
        <f>Database!OXE1</f>
        <v>0</v>
      </c>
      <c r="OWM1">
        <f>Database!OXF1</f>
        <v>0</v>
      </c>
      <c r="OWN1">
        <f>Database!OXG1</f>
        <v>0</v>
      </c>
      <c r="OWO1">
        <f>Database!OXH1</f>
        <v>0</v>
      </c>
      <c r="OWP1">
        <f>Database!OXI1</f>
        <v>0</v>
      </c>
      <c r="OWQ1">
        <f>Database!OXJ1</f>
        <v>0</v>
      </c>
      <c r="OWR1">
        <f>Database!OXK1</f>
        <v>0</v>
      </c>
      <c r="OWS1">
        <f>Database!OXL1</f>
        <v>0</v>
      </c>
      <c r="OWT1">
        <f>Database!OXM1</f>
        <v>0</v>
      </c>
      <c r="OWU1">
        <f>Database!OXN1</f>
        <v>0</v>
      </c>
      <c r="OWV1">
        <f>Database!OXO1</f>
        <v>0</v>
      </c>
      <c r="OWW1">
        <f>Database!OXP1</f>
        <v>0</v>
      </c>
      <c r="OWX1">
        <f>Database!OXQ1</f>
        <v>0</v>
      </c>
      <c r="OWY1">
        <f>Database!OXR1</f>
        <v>0</v>
      </c>
      <c r="OWZ1">
        <f>Database!OXS1</f>
        <v>0</v>
      </c>
      <c r="OXA1">
        <f>Database!OXT1</f>
        <v>0</v>
      </c>
      <c r="OXB1">
        <f>Database!OXU1</f>
        <v>0</v>
      </c>
      <c r="OXC1">
        <f>Database!OXV1</f>
        <v>0</v>
      </c>
      <c r="OXD1">
        <f>Database!OXW1</f>
        <v>0</v>
      </c>
      <c r="OXE1">
        <f>Database!OXX1</f>
        <v>0</v>
      </c>
      <c r="OXF1">
        <f>Database!OXY1</f>
        <v>0</v>
      </c>
      <c r="OXG1">
        <f>Database!OXZ1</f>
        <v>0</v>
      </c>
      <c r="OXH1">
        <f>Database!OYA1</f>
        <v>0</v>
      </c>
      <c r="OXI1">
        <f>Database!OYB1</f>
        <v>0</v>
      </c>
      <c r="OXJ1">
        <f>Database!OYC1</f>
        <v>0</v>
      </c>
      <c r="OXK1">
        <f>Database!OYD1</f>
        <v>0</v>
      </c>
      <c r="OXL1">
        <f>Database!OYE1</f>
        <v>0</v>
      </c>
      <c r="OXM1">
        <f>Database!OYF1</f>
        <v>0</v>
      </c>
      <c r="OXN1">
        <f>Database!OYG1</f>
        <v>0</v>
      </c>
      <c r="OXO1">
        <f>Database!OYH1</f>
        <v>0</v>
      </c>
      <c r="OXP1">
        <f>Database!OYI1</f>
        <v>0</v>
      </c>
      <c r="OXQ1">
        <f>Database!OYJ1</f>
        <v>0</v>
      </c>
      <c r="OXR1">
        <f>Database!OYK1</f>
        <v>0</v>
      </c>
      <c r="OXS1">
        <f>Database!OYL1</f>
        <v>0</v>
      </c>
      <c r="OXT1">
        <f>Database!OYM1</f>
        <v>0</v>
      </c>
      <c r="OXU1">
        <f>Database!OYN1</f>
        <v>0</v>
      </c>
      <c r="OXV1">
        <f>Database!OYO1</f>
        <v>0</v>
      </c>
      <c r="OXW1">
        <f>Database!OYP1</f>
        <v>0</v>
      </c>
      <c r="OXX1">
        <f>Database!OYQ1</f>
        <v>0</v>
      </c>
      <c r="OXY1">
        <f>Database!OYR1</f>
        <v>0</v>
      </c>
      <c r="OXZ1">
        <f>Database!OYS1</f>
        <v>0</v>
      </c>
      <c r="OYA1">
        <f>Database!OYT1</f>
        <v>0</v>
      </c>
      <c r="OYB1">
        <f>Database!OYU1</f>
        <v>0</v>
      </c>
      <c r="OYC1">
        <f>Database!OYV1</f>
        <v>0</v>
      </c>
      <c r="OYD1">
        <f>Database!OYW1</f>
        <v>0</v>
      </c>
      <c r="OYE1">
        <f>Database!OYX1</f>
        <v>0</v>
      </c>
      <c r="OYF1">
        <f>Database!OYY1</f>
        <v>0</v>
      </c>
      <c r="OYG1">
        <f>Database!OYZ1</f>
        <v>0</v>
      </c>
      <c r="OYH1">
        <f>Database!OZA1</f>
        <v>0</v>
      </c>
      <c r="OYI1">
        <f>Database!OZB1</f>
        <v>0</v>
      </c>
      <c r="OYJ1">
        <f>Database!OZC1</f>
        <v>0</v>
      </c>
      <c r="OYK1">
        <f>Database!OZD1</f>
        <v>0</v>
      </c>
      <c r="OYL1">
        <f>Database!OZE1</f>
        <v>0</v>
      </c>
      <c r="OYM1">
        <f>Database!OZF1</f>
        <v>0</v>
      </c>
      <c r="OYN1">
        <f>Database!OZG1</f>
        <v>0</v>
      </c>
      <c r="OYO1">
        <f>Database!OZH1</f>
        <v>0</v>
      </c>
      <c r="OYP1">
        <f>Database!OZI1</f>
        <v>0</v>
      </c>
      <c r="OYQ1">
        <f>Database!OZJ1</f>
        <v>0</v>
      </c>
      <c r="OYR1">
        <f>Database!OZK1</f>
        <v>0</v>
      </c>
      <c r="OYS1">
        <f>Database!OZL1</f>
        <v>0</v>
      </c>
      <c r="OYT1">
        <f>Database!OZM1</f>
        <v>0</v>
      </c>
      <c r="OYU1">
        <f>Database!OZN1</f>
        <v>0</v>
      </c>
      <c r="OYV1">
        <f>Database!OZO1</f>
        <v>0</v>
      </c>
      <c r="OYW1">
        <f>Database!OZP1</f>
        <v>0</v>
      </c>
      <c r="OYX1">
        <f>Database!OZQ1</f>
        <v>0</v>
      </c>
      <c r="OYY1">
        <f>Database!OZR1</f>
        <v>0</v>
      </c>
      <c r="OYZ1">
        <f>Database!OZS1</f>
        <v>0</v>
      </c>
      <c r="OZA1">
        <f>Database!OZT1</f>
        <v>0</v>
      </c>
      <c r="OZB1">
        <f>Database!OZU1</f>
        <v>0</v>
      </c>
      <c r="OZC1">
        <f>Database!OZV1</f>
        <v>0</v>
      </c>
      <c r="OZD1">
        <f>Database!OZW1</f>
        <v>0</v>
      </c>
      <c r="OZE1">
        <f>Database!OZX1</f>
        <v>0</v>
      </c>
      <c r="OZF1">
        <f>Database!OZY1</f>
        <v>0</v>
      </c>
      <c r="OZG1">
        <f>Database!OZZ1</f>
        <v>0</v>
      </c>
      <c r="OZH1">
        <f>Database!PAA1</f>
        <v>0</v>
      </c>
      <c r="OZI1">
        <f>Database!PAB1</f>
        <v>0</v>
      </c>
      <c r="OZJ1">
        <f>Database!PAC1</f>
        <v>0</v>
      </c>
      <c r="OZK1">
        <f>Database!PAD1</f>
        <v>0</v>
      </c>
      <c r="OZL1">
        <f>Database!PAE1</f>
        <v>0</v>
      </c>
      <c r="OZM1">
        <f>Database!PAF1</f>
        <v>0</v>
      </c>
      <c r="OZN1">
        <f>Database!PAG1</f>
        <v>0</v>
      </c>
      <c r="OZO1">
        <f>Database!PAH1</f>
        <v>0</v>
      </c>
      <c r="OZP1">
        <f>Database!PAI1</f>
        <v>0</v>
      </c>
      <c r="OZQ1">
        <f>Database!PAJ1</f>
        <v>0</v>
      </c>
      <c r="OZR1">
        <f>Database!PAK1</f>
        <v>0</v>
      </c>
      <c r="OZS1">
        <f>Database!PAL1</f>
        <v>0</v>
      </c>
      <c r="OZT1">
        <f>Database!PAM1</f>
        <v>0</v>
      </c>
      <c r="OZU1">
        <f>Database!PAN1</f>
        <v>0</v>
      </c>
      <c r="OZV1">
        <f>Database!PAO1</f>
        <v>0</v>
      </c>
      <c r="OZW1">
        <f>Database!PAP1</f>
        <v>0</v>
      </c>
      <c r="OZX1">
        <f>Database!PAQ1</f>
        <v>0</v>
      </c>
      <c r="OZY1">
        <f>Database!PAR1</f>
        <v>0</v>
      </c>
      <c r="OZZ1">
        <f>Database!PAS1</f>
        <v>0</v>
      </c>
      <c r="PAA1">
        <f>Database!PAT1</f>
        <v>0</v>
      </c>
      <c r="PAB1">
        <f>Database!PAU1</f>
        <v>0</v>
      </c>
      <c r="PAC1">
        <f>Database!PAV1</f>
        <v>0</v>
      </c>
      <c r="PAD1">
        <f>Database!PAW1</f>
        <v>0</v>
      </c>
      <c r="PAE1">
        <f>Database!PAX1</f>
        <v>0</v>
      </c>
      <c r="PAF1">
        <f>Database!PAY1</f>
        <v>0</v>
      </c>
      <c r="PAG1">
        <f>Database!PAZ1</f>
        <v>0</v>
      </c>
      <c r="PAH1">
        <f>Database!PBA1</f>
        <v>0</v>
      </c>
      <c r="PAI1">
        <f>Database!PBB1</f>
        <v>0</v>
      </c>
      <c r="PAJ1">
        <f>Database!PBC1</f>
        <v>0</v>
      </c>
      <c r="PAK1">
        <f>Database!PBD1</f>
        <v>0</v>
      </c>
      <c r="PAL1">
        <f>Database!PBE1</f>
        <v>0</v>
      </c>
      <c r="PAM1">
        <f>Database!PBF1</f>
        <v>0</v>
      </c>
      <c r="PAN1">
        <f>Database!PBG1</f>
        <v>0</v>
      </c>
      <c r="PAO1">
        <f>Database!PBH1</f>
        <v>0</v>
      </c>
      <c r="PAP1">
        <f>Database!PBI1</f>
        <v>0</v>
      </c>
      <c r="PAQ1">
        <f>Database!PBJ1</f>
        <v>0</v>
      </c>
      <c r="PAR1">
        <f>Database!PBK1</f>
        <v>0</v>
      </c>
      <c r="PAS1">
        <f>Database!PBL1</f>
        <v>0</v>
      </c>
      <c r="PAT1">
        <f>Database!PBM1</f>
        <v>0</v>
      </c>
      <c r="PAU1">
        <f>Database!PBN1</f>
        <v>0</v>
      </c>
      <c r="PAV1">
        <f>Database!PBO1</f>
        <v>0</v>
      </c>
      <c r="PAW1">
        <f>Database!PBP1</f>
        <v>0</v>
      </c>
      <c r="PAX1">
        <f>Database!PBQ1</f>
        <v>0</v>
      </c>
      <c r="PAY1">
        <f>Database!PBR1</f>
        <v>0</v>
      </c>
      <c r="PAZ1">
        <f>Database!PBS1</f>
        <v>0</v>
      </c>
      <c r="PBA1">
        <f>Database!PBT1</f>
        <v>0</v>
      </c>
      <c r="PBB1">
        <f>Database!PBU1</f>
        <v>0</v>
      </c>
      <c r="PBC1">
        <f>Database!PBV1</f>
        <v>0</v>
      </c>
      <c r="PBD1">
        <f>Database!PBW1</f>
        <v>0</v>
      </c>
      <c r="PBE1">
        <f>Database!PBX1</f>
        <v>0</v>
      </c>
      <c r="PBF1">
        <f>Database!PBY1</f>
        <v>0</v>
      </c>
      <c r="PBG1">
        <f>Database!PBZ1</f>
        <v>0</v>
      </c>
      <c r="PBH1">
        <f>Database!PCA1</f>
        <v>0</v>
      </c>
      <c r="PBI1">
        <f>Database!PCB1</f>
        <v>0</v>
      </c>
      <c r="PBJ1">
        <f>Database!PCC1</f>
        <v>0</v>
      </c>
      <c r="PBK1">
        <f>Database!PCD1</f>
        <v>0</v>
      </c>
      <c r="PBL1">
        <f>Database!PCE1</f>
        <v>0</v>
      </c>
      <c r="PBM1">
        <f>Database!PCF1</f>
        <v>0</v>
      </c>
      <c r="PBN1">
        <f>Database!PCG1</f>
        <v>0</v>
      </c>
      <c r="PBO1">
        <f>Database!PCH1</f>
        <v>0</v>
      </c>
      <c r="PBP1">
        <f>Database!PCI1</f>
        <v>0</v>
      </c>
      <c r="PBQ1">
        <f>Database!PCJ1</f>
        <v>0</v>
      </c>
      <c r="PBR1">
        <f>Database!PCK1</f>
        <v>0</v>
      </c>
      <c r="PBS1">
        <f>Database!PCL1</f>
        <v>0</v>
      </c>
      <c r="PBT1">
        <f>Database!PCM1</f>
        <v>0</v>
      </c>
      <c r="PBU1">
        <f>Database!PCN1</f>
        <v>0</v>
      </c>
      <c r="PBV1">
        <f>Database!PCO1</f>
        <v>0</v>
      </c>
      <c r="PBW1">
        <f>Database!PCP1</f>
        <v>0</v>
      </c>
      <c r="PBX1">
        <f>Database!PCQ1</f>
        <v>0</v>
      </c>
      <c r="PBY1">
        <f>Database!PCR1</f>
        <v>0</v>
      </c>
      <c r="PBZ1">
        <f>Database!PCS1</f>
        <v>0</v>
      </c>
      <c r="PCA1">
        <f>Database!PCT1</f>
        <v>0</v>
      </c>
      <c r="PCB1">
        <f>Database!PCU1</f>
        <v>0</v>
      </c>
      <c r="PCC1">
        <f>Database!PCV1</f>
        <v>0</v>
      </c>
      <c r="PCD1">
        <f>Database!PCW1</f>
        <v>0</v>
      </c>
      <c r="PCE1">
        <f>Database!PCX1</f>
        <v>0</v>
      </c>
      <c r="PCF1">
        <f>Database!PCY1</f>
        <v>0</v>
      </c>
      <c r="PCG1">
        <f>Database!PCZ1</f>
        <v>0</v>
      </c>
      <c r="PCH1">
        <f>Database!PDA1</f>
        <v>0</v>
      </c>
      <c r="PCI1">
        <f>Database!PDB1</f>
        <v>0</v>
      </c>
      <c r="PCJ1">
        <f>Database!PDC1</f>
        <v>0</v>
      </c>
      <c r="PCK1">
        <f>Database!PDD1</f>
        <v>0</v>
      </c>
      <c r="PCL1">
        <f>Database!PDE1</f>
        <v>0</v>
      </c>
      <c r="PCM1">
        <f>Database!PDF1</f>
        <v>0</v>
      </c>
      <c r="PCN1">
        <f>Database!PDG1</f>
        <v>0</v>
      </c>
      <c r="PCO1">
        <f>Database!PDH1</f>
        <v>0</v>
      </c>
      <c r="PCP1">
        <f>Database!PDI1</f>
        <v>0</v>
      </c>
      <c r="PCQ1">
        <f>Database!PDJ1</f>
        <v>0</v>
      </c>
      <c r="PCR1">
        <f>Database!PDK1</f>
        <v>0</v>
      </c>
      <c r="PCS1">
        <f>Database!PDL1</f>
        <v>0</v>
      </c>
      <c r="PCT1">
        <f>Database!PDM1</f>
        <v>0</v>
      </c>
      <c r="PCU1">
        <f>Database!PDN1</f>
        <v>0</v>
      </c>
      <c r="PCV1">
        <f>Database!PDO1</f>
        <v>0</v>
      </c>
      <c r="PCW1">
        <f>Database!PDP1</f>
        <v>0</v>
      </c>
      <c r="PCX1">
        <f>Database!PDQ1</f>
        <v>0</v>
      </c>
      <c r="PCY1">
        <f>Database!PDR1</f>
        <v>0</v>
      </c>
      <c r="PCZ1">
        <f>Database!PDS1</f>
        <v>0</v>
      </c>
      <c r="PDA1">
        <f>Database!PDT1</f>
        <v>0</v>
      </c>
      <c r="PDB1">
        <f>Database!PDU1</f>
        <v>0</v>
      </c>
      <c r="PDC1">
        <f>Database!PDV1</f>
        <v>0</v>
      </c>
      <c r="PDD1">
        <f>Database!PDW1</f>
        <v>0</v>
      </c>
      <c r="PDE1">
        <f>Database!PDX1</f>
        <v>0</v>
      </c>
      <c r="PDF1">
        <f>Database!PDY1</f>
        <v>0</v>
      </c>
      <c r="PDG1">
        <f>Database!PDZ1</f>
        <v>0</v>
      </c>
      <c r="PDH1">
        <f>Database!PEA1</f>
        <v>0</v>
      </c>
      <c r="PDI1">
        <f>Database!PEB1</f>
        <v>0</v>
      </c>
      <c r="PDJ1">
        <f>Database!PEC1</f>
        <v>0</v>
      </c>
      <c r="PDK1">
        <f>Database!PED1</f>
        <v>0</v>
      </c>
      <c r="PDL1">
        <f>Database!PEE1</f>
        <v>0</v>
      </c>
      <c r="PDM1">
        <f>Database!PEF1</f>
        <v>0</v>
      </c>
      <c r="PDN1">
        <f>Database!PEG1</f>
        <v>0</v>
      </c>
      <c r="PDO1">
        <f>Database!PEH1</f>
        <v>0</v>
      </c>
      <c r="PDP1">
        <f>Database!PEI1</f>
        <v>0</v>
      </c>
      <c r="PDQ1">
        <f>Database!PEJ1</f>
        <v>0</v>
      </c>
      <c r="PDR1">
        <f>Database!PEK1</f>
        <v>0</v>
      </c>
      <c r="PDS1">
        <f>Database!PEL1</f>
        <v>0</v>
      </c>
      <c r="PDT1">
        <f>Database!PEM1</f>
        <v>0</v>
      </c>
      <c r="PDU1">
        <f>Database!PEN1</f>
        <v>0</v>
      </c>
      <c r="PDV1">
        <f>Database!PEO1</f>
        <v>0</v>
      </c>
      <c r="PDW1">
        <f>Database!PEP1</f>
        <v>0</v>
      </c>
      <c r="PDX1">
        <f>Database!PEQ1</f>
        <v>0</v>
      </c>
      <c r="PDY1">
        <f>Database!PER1</f>
        <v>0</v>
      </c>
      <c r="PDZ1">
        <f>Database!PES1</f>
        <v>0</v>
      </c>
      <c r="PEA1">
        <f>Database!PET1</f>
        <v>0</v>
      </c>
      <c r="PEB1">
        <f>Database!PEU1</f>
        <v>0</v>
      </c>
      <c r="PEC1">
        <f>Database!PEV1</f>
        <v>0</v>
      </c>
      <c r="PED1">
        <f>Database!PEW1</f>
        <v>0</v>
      </c>
      <c r="PEE1">
        <f>Database!PEX1</f>
        <v>0</v>
      </c>
      <c r="PEF1">
        <f>Database!PEY1</f>
        <v>0</v>
      </c>
      <c r="PEG1">
        <f>Database!PEZ1</f>
        <v>0</v>
      </c>
      <c r="PEH1">
        <f>Database!PFA1</f>
        <v>0</v>
      </c>
      <c r="PEI1">
        <f>Database!PFB1</f>
        <v>0</v>
      </c>
      <c r="PEJ1">
        <f>Database!PFC1</f>
        <v>0</v>
      </c>
      <c r="PEK1">
        <f>Database!PFD1</f>
        <v>0</v>
      </c>
      <c r="PEL1">
        <f>Database!PFE1</f>
        <v>0</v>
      </c>
      <c r="PEM1">
        <f>Database!PFF1</f>
        <v>0</v>
      </c>
      <c r="PEN1">
        <f>Database!PFG1</f>
        <v>0</v>
      </c>
      <c r="PEO1">
        <f>Database!PFH1</f>
        <v>0</v>
      </c>
      <c r="PEP1">
        <f>Database!PFI1</f>
        <v>0</v>
      </c>
      <c r="PEQ1">
        <f>Database!PFJ1</f>
        <v>0</v>
      </c>
      <c r="PER1">
        <f>Database!PFK1</f>
        <v>0</v>
      </c>
      <c r="PES1">
        <f>Database!PFL1</f>
        <v>0</v>
      </c>
      <c r="PET1">
        <f>Database!PFM1</f>
        <v>0</v>
      </c>
      <c r="PEU1">
        <f>Database!PFN1</f>
        <v>0</v>
      </c>
      <c r="PEV1">
        <f>Database!PFO1</f>
        <v>0</v>
      </c>
      <c r="PEW1">
        <f>Database!PFP1</f>
        <v>0</v>
      </c>
      <c r="PEX1">
        <f>Database!PFQ1</f>
        <v>0</v>
      </c>
      <c r="PEY1">
        <f>Database!PFR1</f>
        <v>0</v>
      </c>
      <c r="PEZ1">
        <f>Database!PFS1</f>
        <v>0</v>
      </c>
      <c r="PFA1">
        <f>Database!PFT1</f>
        <v>0</v>
      </c>
      <c r="PFB1">
        <f>Database!PFU1</f>
        <v>0</v>
      </c>
      <c r="PFC1">
        <f>Database!PFV1</f>
        <v>0</v>
      </c>
      <c r="PFD1">
        <f>Database!PFW1</f>
        <v>0</v>
      </c>
      <c r="PFE1">
        <f>Database!PFX1</f>
        <v>0</v>
      </c>
      <c r="PFF1">
        <f>Database!PFY1</f>
        <v>0</v>
      </c>
      <c r="PFG1">
        <f>Database!PFZ1</f>
        <v>0</v>
      </c>
      <c r="PFH1">
        <f>Database!PGA1</f>
        <v>0</v>
      </c>
      <c r="PFI1">
        <f>Database!PGB1</f>
        <v>0</v>
      </c>
      <c r="PFJ1">
        <f>Database!PGC1</f>
        <v>0</v>
      </c>
      <c r="PFK1">
        <f>Database!PGD1</f>
        <v>0</v>
      </c>
      <c r="PFL1">
        <f>Database!PGE1</f>
        <v>0</v>
      </c>
      <c r="PFM1">
        <f>Database!PGF1</f>
        <v>0</v>
      </c>
      <c r="PFN1">
        <f>Database!PGG1</f>
        <v>0</v>
      </c>
      <c r="PFO1">
        <f>Database!PGH1</f>
        <v>0</v>
      </c>
      <c r="PFP1">
        <f>Database!PGI1</f>
        <v>0</v>
      </c>
      <c r="PFQ1">
        <f>Database!PGJ1</f>
        <v>0</v>
      </c>
      <c r="PFR1">
        <f>Database!PGK1</f>
        <v>0</v>
      </c>
      <c r="PFS1">
        <f>Database!PGL1</f>
        <v>0</v>
      </c>
      <c r="PFT1">
        <f>Database!PGM1</f>
        <v>0</v>
      </c>
      <c r="PFU1">
        <f>Database!PGN1</f>
        <v>0</v>
      </c>
      <c r="PFV1">
        <f>Database!PGO1</f>
        <v>0</v>
      </c>
      <c r="PFW1">
        <f>Database!PGP1</f>
        <v>0</v>
      </c>
      <c r="PFX1">
        <f>Database!PGQ1</f>
        <v>0</v>
      </c>
      <c r="PFY1">
        <f>Database!PGR1</f>
        <v>0</v>
      </c>
      <c r="PFZ1">
        <f>Database!PGS1</f>
        <v>0</v>
      </c>
      <c r="PGA1">
        <f>Database!PGT1</f>
        <v>0</v>
      </c>
      <c r="PGB1">
        <f>Database!PGU1</f>
        <v>0</v>
      </c>
      <c r="PGC1">
        <f>Database!PGV1</f>
        <v>0</v>
      </c>
      <c r="PGD1">
        <f>Database!PGW1</f>
        <v>0</v>
      </c>
      <c r="PGE1">
        <f>Database!PGX1</f>
        <v>0</v>
      </c>
      <c r="PGF1">
        <f>Database!PGY1</f>
        <v>0</v>
      </c>
      <c r="PGG1">
        <f>Database!PGZ1</f>
        <v>0</v>
      </c>
      <c r="PGH1">
        <f>Database!PHA1</f>
        <v>0</v>
      </c>
      <c r="PGI1">
        <f>Database!PHB1</f>
        <v>0</v>
      </c>
      <c r="PGJ1">
        <f>Database!PHC1</f>
        <v>0</v>
      </c>
      <c r="PGK1">
        <f>Database!PHD1</f>
        <v>0</v>
      </c>
      <c r="PGL1">
        <f>Database!PHE1</f>
        <v>0</v>
      </c>
      <c r="PGM1">
        <f>Database!PHF1</f>
        <v>0</v>
      </c>
      <c r="PGN1">
        <f>Database!PHG1</f>
        <v>0</v>
      </c>
      <c r="PGO1">
        <f>Database!PHH1</f>
        <v>0</v>
      </c>
      <c r="PGP1">
        <f>Database!PHI1</f>
        <v>0</v>
      </c>
      <c r="PGQ1">
        <f>Database!PHJ1</f>
        <v>0</v>
      </c>
      <c r="PGR1">
        <f>Database!PHK1</f>
        <v>0</v>
      </c>
      <c r="PGS1">
        <f>Database!PHL1</f>
        <v>0</v>
      </c>
      <c r="PGT1">
        <f>Database!PHM1</f>
        <v>0</v>
      </c>
      <c r="PGU1">
        <f>Database!PHN1</f>
        <v>0</v>
      </c>
      <c r="PGV1">
        <f>Database!PHO1</f>
        <v>0</v>
      </c>
      <c r="PGW1">
        <f>Database!PHP1</f>
        <v>0</v>
      </c>
      <c r="PGX1">
        <f>Database!PHQ1</f>
        <v>0</v>
      </c>
      <c r="PGY1">
        <f>Database!PHR1</f>
        <v>0</v>
      </c>
      <c r="PGZ1">
        <f>Database!PHS1</f>
        <v>0</v>
      </c>
      <c r="PHA1">
        <f>Database!PHT1</f>
        <v>0</v>
      </c>
      <c r="PHB1">
        <f>Database!PHU1</f>
        <v>0</v>
      </c>
      <c r="PHC1">
        <f>Database!PHV1</f>
        <v>0</v>
      </c>
      <c r="PHD1">
        <f>Database!PHW1</f>
        <v>0</v>
      </c>
      <c r="PHE1">
        <f>Database!PHX1</f>
        <v>0</v>
      </c>
      <c r="PHF1">
        <f>Database!PHY1</f>
        <v>0</v>
      </c>
      <c r="PHG1">
        <f>Database!PHZ1</f>
        <v>0</v>
      </c>
      <c r="PHH1">
        <f>Database!PIA1</f>
        <v>0</v>
      </c>
      <c r="PHI1">
        <f>Database!PIB1</f>
        <v>0</v>
      </c>
      <c r="PHJ1">
        <f>Database!PIC1</f>
        <v>0</v>
      </c>
      <c r="PHK1">
        <f>Database!PID1</f>
        <v>0</v>
      </c>
      <c r="PHL1">
        <f>Database!PIE1</f>
        <v>0</v>
      </c>
      <c r="PHM1">
        <f>Database!PIF1</f>
        <v>0</v>
      </c>
      <c r="PHN1">
        <f>Database!PIG1</f>
        <v>0</v>
      </c>
      <c r="PHO1">
        <f>Database!PIH1</f>
        <v>0</v>
      </c>
      <c r="PHP1">
        <f>Database!PII1</f>
        <v>0</v>
      </c>
      <c r="PHQ1">
        <f>Database!PIJ1</f>
        <v>0</v>
      </c>
      <c r="PHR1">
        <f>Database!PIK1</f>
        <v>0</v>
      </c>
      <c r="PHS1">
        <f>Database!PIL1</f>
        <v>0</v>
      </c>
      <c r="PHT1">
        <f>Database!PIM1</f>
        <v>0</v>
      </c>
      <c r="PHU1">
        <f>Database!PIN1</f>
        <v>0</v>
      </c>
      <c r="PHV1">
        <f>Database!PIO1</f>
        <v>0</v>
      </c>
      <c r="PHW1">
        <f>Database!PIP1</f>
        <v>0</v>
      </c>
      <c r="PHX1">
        <f>Database!PIQ1</f>
        <v>0</v>
      </c>
      <c r="PHY1">
        <f>Database!PIR1</f>
        <v>0</v>
      </c>
      <c r="PHZ1">
        <f>Database!PIS1</f>
        <v>0</v>
      </c>
      <c r="PIA1">
        <f>Database!PIT1</f>
        <v>0</v>
      </c>
      <c r="PIB1">
        <f>Database!PIU1</f>
        <v>0</v>
      </c>
      <c r="PIC1">
        <f>Database!PIV1</f>
        <v>0</v>
      </c>
      <c r="PID1">
        <f>Database!PIW1</f>
        <v>0</v>
      </c>
      <c r="PIE1">
        <f>Database!PIX1</f>
        <v>0</v>
      </c>
      <c r="PIF1">
        <f>Database!PIY1</f>
        <v>0</v>
      </c>
      <c r="PIG1">
        <f>Database!PIZ1</f>
        <v>0</v>
      </c>
      <c r="PIH1">
        <f>Database!PJA1</f>
        <v>0</v>
      </c>
      <c r="PII1">
        <f>Database!PJB1</f>
        <v>0</v>
      </c>
      <c r="PIJ1">
        <f>Database!PJC1</f>
        <v>0</v>
      </c>
      <c r="PIK1">
        <f>Database!PJD1</f>
        <v>0</v>
      </c>
      <c r="PIL1">
        <f>Database!PJE1</f>
        <v>0</v>
      </c>
      <c r="PIM1">
        <f>Database!PJF1</f>
        <v>0</v>
      </c>
      <c r="PIN1">
        <f>Database!PJG1</f>
        <v>0</v>
      </c>
      <c r="PIO1">
        <f>Database!PJH1</f>
        <v>0</v>
      </c>
      <c r="PIP1">
        <f>Database!PJI1</f>
        <v>0</v>
      </c>
      <c r="PIQ1">
        <f>Database!PJJ1</f>
        <v>0</v>
      </c>
      <c r="PIR1">
        <f>Database!PJK1</f>
        <v>0</v>
      </c>
      <c r="PIS1">
        <f>Database!PJL1</f>
        <v>0</v>
      </c>
      <c r="PIT1">
        <f>Database!PJM1</f>
        <v>0</v>
      </c>
      <c r="PIU1">
        <f>Database!PJN1</f>
        <v>0</v>
      </c>
      <c r="PIV1">
        <f>Database!PJO1</f>
        <v>0</v>
      </c>
      <c r="PIW1">
        <f>Database!PJP1</f>
        <v>0</v>
      </c>
      <c r="PIX1">
        <f>Database!PJQ1</f>
        <v>0</v>
      </c>
      <c r="PIY1">
        <f>Database!PJR1</f>
        <v>0</v>
      </c>
      <c r="PIZ1">
        <f>Database!PJS1</f>
        <v>0</v>
      </c>
      <c r="PJA1">
        <f>Database!PJT1</f>
        <v>0</v>
      </c>
      <c r="PJB1">
        <f>Database!PJU1</f>
        <v>0</v>
      </c>
      <c r="PJC1">
        <f>Database!PJV1</f>
        <v>0</v>
      </c>
      <c r="PJD1">
        <f>Database!PJW1</f>
        <v>0</v>
      </c>
      <c r="PJE1">
        <f>Database!PJX1</f>
        <v>0</v>
      </c>
      <c r="PJF1">
        <f>Database!PJY1</f>
        <v>0</v>
      </c>
      <c r="PJG1">
        <f>Database!PJZ1</f>
        <v>0</v>
      </c>
      <c r="PJH1">
        <f>Database!PKA1</f>
        <v>0</v>
      </c>
      <c r="PJI1">
        <f>Database!PKB1</f>
        <v>0</v>
      </c>
      <c r="PJJ1">
        <f>Database!PKC1</f>
        <v>0</v>
      </c>
      <c r="PJK1">
        <f>Database!PKD1</f>
        <v>0</v>
      </c>
      <c r="PJL1">
        <f>Database!PKE1</f>
        <v>0</v>
      </c>
      <c r="PJM1">
        <f>Database!PKF1</f>
        <v>0</v>
      </c>
      <c r="PJN1">
        <f>Database!PKG1</f>
        <v>0</v>
      </c>
      <c r="PJO1">
        <f>Database!PKH1</f>
        <v>0</v>
      </c>
      <c r="PJP1">
        <f>Database!PKI1</f>
        <v>0</v>
      </c>
      <c r="PJQ1">
        <f>Database!PKJ1</f>
        <v>0</v>
      </c>
      <c r="PJR1">
        <f>Database!PKK1</f>
        <v>0</v>
      </c>
      <c r="PJS1">
        <f>Database!PKL1</f>
        <v>0</v>
      </c>
      <c r="PJT1">
        <f>Database!PKM1</f>
        <v>0</v>
      </c>
      <c r="PJU1">
        <f>Database!PKN1</f>
        <v>0</v>
      </c>
      <c r="PJV1">
        <f>Database!PKO1</f>
        <v>0</v>
      </c>
      <c r="PJW1">
        <f>Database!PKP1</f>
        <v>0</v>
      </c>
      <c r="PJX1">
        <f>Database!PKQ1</f>
        <v>0</v>
      </c>
      <c r="PJY1">
        <f>Database!PKR1</f>
        <v>0</v>
      </c>
      <c r="PJZ1">
        <f>Database!PKS1</f>
        <v>0</v>
      </c>
      <c r="PKA1">
        <f>Database!PKT1</f>
        <v>0</v>
      </c>
      <c r="PKB1">
        <f>Database!PKU1</f>
        <v>0</v>
      </c>
      <c r="PKC1">
        <f>Database!PKV1</f>
        <v>0</v>
      </c>
      <c r="PKD1">
        <f>Database!PKW1</f>
        <v>0</v>
      </c>
      <c r="PKE1">
        <f>Database!PKX1</f>
        <v>0</v>
      </c>
      <c r="PKF1">
        <f>Database!PKY1</f>
        <v>0</v>
      </c>
      <c r="PKG1">
        <f>Database!PKZ1</f>
        <v>0</v>
      </c>
      <c r="PKH1">
        <f>Database!PLA1</f>
        <v>0</v>
      </c>
      <c r="PKI1">
        <f>Database!PLB1</f>
        <v>0</v>
      </c>
      <c r="PKJ1">
        <f>Database!PLC1</f>
        <v>0</v>
      </c>
      <c r="PKK1">
        <f>Database!PLD1</f>
        <v>0</v>
      </c>
      <c r="PKL1">
        <f>Database!PLE1</f>
        <v>0</v>
      </c>
      <c r="PKM1">
        <f>Database!PLF1</f>
        <v>0</v>
      </c>
      <c r="PKN1">
        <f>Database!PLG1</f>
        <v>0</v>
      </c>
      <c r="PKO1">
        <f>Database!PLH1</f>
        <v>0</v>
      </c>
      <c r="PKP1">
        <f>Database!PLI1</f>
        <v>0</v>
      </c>
      <c r="PKQ1">
        <f>Database!PLJ1</f>
        <v>0</v>
      </c>
      <c r="PKR1">
        <f>Database!PLK1</f>
        <v>0</v>
      </c>
      <c r="PKS1">
        <f>Database!PLL1</f>
        <v>0</v>
      </c>
      <c r="PKT1">
        <f>Database!PLM1</f>
        <v>0</v>
      </c>
      <c r="PKU1">
        <f>Database!PLN1</f>
        <v>0</v>
      </c>
      <c r="PKV1">
        <f>Database!PLO1</f>
        <v>0</v>
      </c>
      <c r="PKW1">
        <f>Database!PLP1</f>
        <v>0</v>
      </c>
      <c r="PKX1">
        <f>Database!PLQ1</f>
        <v>0</v>
      </c>
      <c r="PKY1">
        <f>Database!PLR1</f>
        <v>0</v>
      </c>
      <c r="PKZ1">
        <f>Database!PLS1</f>
        <v>0</v>
      </c>
      <c r="PLA1">
        <f>Database!PLT1</f>
        <v>0</v>
      </c>
      <c r="PLB1">
        <f>Database!PLU1</f>
        <v>0</v>
      </c>
      <c r="PLC1">
        <f>Database!PLV1</f>
        <v>0</v>
      </c>
      <c r="PLD1">
        <f>Database!PLW1</f>
        <v>0</v>
      </c>
      <c r="PLE1">
        <f>Database!PLX1</f>
        <v>0</v>
      </c>
      <c r="PLF1">
        <f>Database!PLY1</f>
        <v>0</v>
      </c>
      <c r="PLG1">
        <f>Database!PLZ1</f>
        <v>0</v>
      </c>
      <c r="PLH1">
        <f>Database!PMA1</f>
        <v>0</v>
      </c>
      <c r="PLI1">
        <f>Database!PMB1</f>
        <v>0</v>
      </c>
      <c r="PLJ1">
        <f>Database!PMC1</f>
        <v>0</v>
      </c>
      <c r="PLK1">
        <f>Database!PMD1</f>
        <v>0</v>
      </c>
      <c r="PLL1">
        <f>Database!PME1</f>
        <v>0</v>
      </c>
      <c r="PLM1">
        <f>Database!PMF1</f>
        <v>0</v>
      </c>
      <c r="PLN1">
        <f>Database!PMG1</f>
        <v>0</v>
      </c>
      <c r="PLO1">
        <f>Database!PMH1</f>
        <v>0</v>
      </c>
      <c r="PLP1">
        <f>Database!PMI1</f>
        <v>0</v>
      </c>
      <c r="PLQ1">
        <f>Database!PMJ1</f>
        <v>0</v>
      </c>
      <c r="PLR1">
        <f>Database!PMK1</f>
        <v>0</v>
      </c>
      <c r="PLS1">
        <f>Database!PML1</f>
        <v>0</v>
      </c>
      <c r="PLT1">
        <f>Database!PMM1</f>
        <v>0</v>
      </c>
      <c r="PLU1">
        <f>Database!PMN1</f>
        <v>0</v>
      </c>
      <c r="PLV1">
        <f>Database!PMO1</f>
        <v>0</v>
      </c>
      <c r="PLW1">
        <f>Database!PMP1</f>
        <v>0</v>
      </c>
      <c r="PLX1">
        <f>Database!PMQ1</f>
        <v>0</v>
      </c>
      <c r="PLY1">
        <f>Database!PMR1</f>
        <v>0</v>
      </c>
      <c r="PLZ1">
        <f>Database!PMS1</f>
        <v>0</v>
      </c>
      <c r="PMA1">
        <f>Database!PMT1</f>
        <v>0</v>
      </c>
      <c r="PMB1">
        <f>Database!PMU1</f>
        <v>0</v>
      </c>
      <c r="PMC1">
        <f>Database!PMV1</f>
        <v>0</v>
      </c>
      <c r="PMD1">
        <f>Database!PMW1</f>
        <v>0</v>
      </c>
      <c r="PME1">
        <f>Database!PMX1</f>
        <v>0</v>
      </c>
      <c r="PMF1">
        <f>Database!PMY1</f>
        <v>0</v>
      </c>
      <c r="PMG1">
        <f>Database!PMZ1</f>
        <v>0</v>
      </c>
      <c r="PMH1">
        <f>Database!PNA1</f>
        <v>0</v>
      </c>
      <c r="PMI1">
        <f>Database!PNB1</f>
        <v>0</v>
      </c>
      <c r="PMJ1">
        <f>Database!PNC1</f>
        <v>0</v>
      </c>
      <c r="PMK1">
        <f>Database!PND1</f>
        <v>0</v>
      </c>
      <c r="PML1">
        <f>Database!PNE1</f>
        <v>0</v>
      </c>
      <c r="PMM1">
        <f>Database!PNF1</f>
        <v>0</v>
      </c>
      <c r="PMN1">
        <f>Database!PNG1</f>
        <v>0</v>
      </c>
      <c r="PMO1">
        <f>Database!PNH1</f>
        <v>0</v>
      </c>
      <c r="PMP1">
        <f>Database!PNI1</f>
        <v>0</v>
      </c>
      <c r="PMQ1">
        <f>Database!PNJ1</f>
        <v>0</v>
      </c>
      <c r="PMR1">
        <f>Database!PNK1</f>
        <v>0</v>
      </c>
      <c r="PMS1">
        <f>Database!PNL1</f>
        <v>0</v>
      </c>
      <c r="PMT1">
        <f>Database!PNM1</f>
        <v>0</v>
      </c>
      <c r="PMU1">
        <f>Database!PNN1</f>
        <v>0</v>
      </c>
      <c r="PMV1">
        <f>Database!PNO1</f>
        <v>0</v>
      </c>
      <c r="PMW1">
        <f>Database!PNP1</f>
        <v>0</v>
      </c>
      <c r="PMX1">
        <f>Database!PNQ1</f>
        <v>0</v>
      </c>
      <c r="PMY1">
        <f>Database!PNR1</f>
        <v>0</v>
      </c>
      <c r="PMZ1">
        <f>Database!PNS1</f>
        <v>0</v>
      </c>
      <c r="PNA1">
        <f>Database!PNT1</f>
        <v>0</v>
      </c>
      <c r="PNB1">
        <f>Database!PNU1</f>
        <v>0</v>
      </c>
      <c r="PNC1">
        <f>Database!PNV1</f>
        <v>0</v>
      </c>
      <c r="PND1">
        <f>Database!PNW1</f>
        <v>0</v>
      </c>
      <c r="PNE1">
        <f>Database!PNX1</f>
        <v>0</v>
      </c>
      <c r="PNF1">
        <f>Database!PNY1</f>
        <v>0</v>
      </c>
      <c r="PNG1">
        <f>Database!PNZ1</f>
        <v>0</v>
      </c>
      <c r="PNH1">
        <f>Database!POA1</f>
        <v>0</v>
      </c>
      <c r="PNI1">
        <f>Database!POB1</f>
        <v>0</v>
      </c>
      <c r="PNJ1">
        <f>Database!POC1</f>
        <v>0</v>
      </c>
      <c r="PNK1">
        <f>Database!POD1</f>
        <v>0</v>
      </c>
      <c r="PNL1">
        <f>Database!POE1</f>
        <v>0</v>
      </c>
      <c r="PNM1">
        <f>Database!POF1</f>
        <v>0</v>
      </c>
      <c r="PNN1">
        <f>Database!POG1</f>
        <v>0</v>
      </c>
      <c r="PNO1">
        <f>Database!POH1</f>
        <v>0</v>
      </c>
      <c r="PNP1">
        <f>Database!POI1</f>
        <v>0</v>
      </c>
      <c r="PNQ1">
        <f>Database!POJ1</f>
        <v>0</v>
      </c>
      <c r="PNR1">
        <f>Database!POK1</f>
        <v>0</v>
      </c>
      <c r="PNS1">
        <f>Database!POL1</f>
        <v>0</v>
      </c>
      <c r="PNT1">
        <f>Database!POM1</f>
        <v>0</v>
      </c>
      <c r="PNU1">
        <f>Database!PON1</f>
        <v>0</v>
      </c>
      <c r="PNV1">
        <f>Database!POO1</f>
        <v>0</v>
      </c>
      <c r="PNW1">
        <f>Database!POP1</f>
        <v>0</v>
      </c>
      <c r="PNX1">
        <f>Database!POQ1</f>
        <v>0</v>
      </c>
      <c r="PNY1">
        <f>Database!POR1</f>
        <v>0</v>
      </c>
      <c r="PNZ1">
        <f>Database!POS1</f>
        <v>0</v>
      </c>
      <c r="POA1">
        <f>Database!POT1</f>
        <v>0</v>
      </c>
      <c r="POB1">
        <f>Database!POU1</f>
        <v>0</v>
      </c>
      <c r="POC1">
        <f>Database!POV1</f>
        <v>0</v>
      </c>
      <c r="POD1">
        <f>Database!POW1</f>
        <v>0</v>
      </c>
      <c r="POE1">
        <f>Database!POX1</f>
        <v>0</v>
      </c>
      <c r="POF1">
        <f>Database!POY1</f>
        <v>0</v>
      </c>
      <c r="POG1">
        <f>Database!POZ1</f>
        <v>0</v>
      </c>
      <c r="POH1">
        <f>Database!PPA1</f>
        <v>0</v>
      </c>
      <c r="POI1">
        <f>Database!PPB1</f>
        <v>0</v>
      </c>
      <c r="POJ1">
        <f>Database!PPC1</f>
        <v>0</v>
      </c>
      <c r="POK1">
        <f>Database!PPD1</f>
        <v>0</v>
      </c>
      <c r="POL1">
        <f>Database!PPE1</f>
        <v>0</v>
      </c>
      <c r="POM1">
        <f>Database!PPF1</f>
        <v>0</v>
      </c>
      <c r="PON1">
        <f>Database!PPG1</f>
        <v>0</v>
      </c>
      <c r="POO1">
        <f>Database!PPH1</f>
        <v>0</v>
      </c>
      <c r="POP1">
        <f>Database!PPI1</f>
        <v>0</v>
      </c>
      <c r="POQ1">
        <f>Database!PPJ1</f>
        <v>0</v>
      </c>
      <c r="POR1">
        <f>Database!PPK1</f>
        <v>0</v>
      </c>
      <c r="POS1">
        <f>Database!PPL1</f>
        <v>0</v>
      </c>
      <c r="POT1">
        <f>Database!PPM1</f>
        <v>0</v>
      </c>
      <c r="POU1">
        <f>Database!PPN1</f>
        <v>0</v>
      </c>
      <c r="POV1">
        <f>Database!PPO1</f>
        <v>0</v>
      </c>
      <c r="POW1">
        <f>Database!PPP1</f>
        <v>0</v>
      </c>
      <c r="POX1">
        <f>Database!PPQ1</f>
        <v>0</v>
      </c>
      <c r="POY1">
        <f>Database!PPR1</f>
        <v>0</v>
      </c>
      <c r="POZ1">
        <f>Database!PPS1</f>
        <v>0</v>
      </c>
      <c r="PPA1">
        <f>Database!PPT1</f>
        <v>0</v>
      </c>
      <c r="PPB1">
        <f>Database!PPU1</f>
        <v>0</v>
      </c>
      <c r="PPC1">
        <f>Database!PPV1</f>
        <v>0</v>
      </c>
      <c r="PPD1">
        <f>Database!PPW1</f>
        <v>0</v>
      </c>
      <c r="PPE1">
        <f>Database!PPX1</f>
        <v>0</v>
      </c>
      <c r="PPF1">
        <f>Database!PPY1</f>
        <v>0</v>
      </c>
      <c r="PPG1">
        <f>Database!PPZ1</f>
        <v>0</v>
      </c>
      <c r="PPH1">
        <f>Database!PQA1</f>
        <v>0</v>
      </c>
      <c r="PPI1">
        <f>Database!PQB1</f>
        <v>0</v>
      </c>
      <c r="PPJ1">
        <f>Database!PQC1</f>
        <v>0</v>
      </c>
      <c r="PPK1">
        <f>Database!PQD1</f>
        <v>0</v>
      </c>
      <c r="PPL1">
        <f>Database!PQE1</f>
        <v>0</v>
      </c>
      <c r="PPM1">
        <f>Database!PQF1</f>
        <v>0</v>
      </c>
      <c r="PPN1">
        <f>Database!PQG1</f>
        <v>0</v>
      </c>
      <c r="PPO1">
        <f>Database!PQH1</f>
        <v>0</v>
      </c>
      <c r="PPP1">
        <f>Database!PQI1</f>
        <v>0</v>
      </c>
      <c r="PPQ1">
        <f>Database!PQJ1</f>
        <v>0</v>
      </c>
      <c r="PPR1">
        <f>Database!PQK1</f>
        <v>0</v>
      </c>
      <c r="PPS1">
        <f>Database!PQL1</f>
        <v>0</v>
      </c>
      <c r="PPT1">
        <f>Database!PQM1</f>
        <v>0</v>
      </c>
      <c r="PPU1">
        <f>Database!PQN1</f>
        <v>0</v>
      </c>
      <c r="PPV1">
        <f>Database!PQO1</f>
        <v>0</v>
      </c>
      <c r="PPW1">
        <f>Database!PQP1</f>
        <v>0</v>
      </c>
      <c r="PPX1">
        <f>Database!PQQ1</f>
        <v>0</v>
      </c>
      <c r="PPY1">
        <f>Database!PQR1</f>
        <v>0</v>
      </c>
      <c r="PPZ1">
        <f>Database!PQS1</f>
        <v>0</v>
      </c>
      <c r="PQA1">
        <f>Database!PQT1</f>
        <v>0</v>
      </c>
      <c r="PQB1">
        <f>Database!PQU1</f>
        <v>0</v>
      </c>
      <c r="PQC1">
        <f>Database!PQV1</f>
        <v>0</v>
      </c>
      <c r="PQD1">
        <f>Database!PQW1</f>
        <v>0</v>
      </c>
      <c r="PQE1">
        <f>Database!PQX1</f>
        <v>0</v>
      </c>
      <c r="PQF1">
        <f>Database!PQY1</f>
        <v>0</v>
      </c>
      <c r="PQG1">
        <f>Database!PQZ1</f>
        <v>0</v>
      </c>
      <c r="PQH1">
        <f>Database!PRA1</f>
        <v>0</v>
      </c>
      <c r="PQI1">
        <f>Database!PRB1</f>
        <v>0</v>
      </c>
      <c r="PQJ1">
        <f>Database!PRC1</f>
        <v>0</v>
      </c>
      <c r="PQK1">
        <f>Database!PRD1</f>
        <v>0</v>
      </c>
      <c r="PQL1">
        <f>Database!PRE1</f>
        <v>0</v>
      </c>
      <c r="PQM1">
        <f>Database!PRF1</f>
        <v>0</v>
      </c>
      <c r="PQN1">
        <f>Database!PRG1</f>
        <v>0</v>
      </c>
      <c r="PQO1">
        <f>Database!PRH1</f>
        <v>0</v>
      </c>
      <c r="PQP1">
        <f>Database!PRI1</f>
        <v>0</v>
      </c>
      <c r="PQQ1">
        <f>Database!PRJ1</f>
        <v>0</v>
      </c>
      <c r="PQR1">
        <f>Database!PRK1</f>
        <v>0</v>
      </c>
      <c r="PQS1">
        <f>Database!PRL1</f>
        <v>0</v>
      </c>
      <c r="PQT1">
        <f>Database!PRM1</f>
        <v>0</v>
      </c>
      <c r="PQU1">
        <f>Database!PRN1</f>
        <v>0</v>
      </c>
      <c r="PQV1">
        <f>Database!PRO1</f>
        <v>0</v>
      </c>
      <c r="PQW1">
        <f>Database!PRP1</f>
        <v>0</v>
      </c>
      <c r="PQX1">
        <f>Database!PRQ1</f>
        <v>0</v>
      </c>
      <c r="PQY1">
        <f>Database!PRR1</f>
        <v>0</v>
      </c>
      <c r="PQZ1">
        <f>Database!PRS1</f>
        <v>0</v>
      </c>
      <c r="PRA1">
        <f>Database!PRT1</f>
        <v>0</v>
      </c>
      <c r="PRB1">
        <f>Database!PRU1</f>
        <v>0</v>
      </c>
      <c r="PRC1">
        <f>Database!PRV1</f>
        <v>0</v>
      </c>
      <c r="PRD1">
        <f>Database!PRW1</f>
        <v>0</v>
      </c>
      <c r="PRE1">
        <f>Database!PRX1</f>
        <v>0</v>
      </c>
      <c r="PRF1">
        <f>Database!PRY1</f>
        <v>0</v>
      </c>
      <c r="PRG1">
        <f>Database!PRZ1</f>
        <v>0</v>
      </c>
      <c r="PRH1">
        <f>Database!PSA1</f>
        <v>0</v>
      </c>
      <c r="PRI1">
        <f>Database!PSB1</f>
        <v>0</v>
      </c>
      <c r="PRJ1">
        <f>Database!PSC1</f>
        <v>0</v>
      </c>
      <c r="PRK1">
        <f>Database!PSD1</f>
        <v>0</v>
      </c>
      <c r="PRL1">
        <f>Database!PSE1</f>
        <v>0</v>
      </c>
      <c r="PRM1">
        <f>Database!PSF1</f>
        <v>0</v>
      </c>
      <c r="PRN1">
        <f>Database!PSG1</f>
        <v>0</v>
      </c>
      <c r="PRO1">
        <f>Database!PSH1</f>
        <v>0</v>
      </c>
      <c r="PRP1">
        <f>Database!PSI1</f>
        <v>0</v>
      </c>
      <c r="PRQ1">
        <f>Database!PSJ1</f>
        <v>0</v>
      </c>
      <c r="PRR1">
        <f>Database!PSK1</f>
        <v>0</v>
      </c>
      <c r="PRS1">
        <f>Database!PSL1</f>
        <v>0</v>
      </c>
      <c r="PRT1">
        <f>Database!PSM1</f>
        <v>0</v>
      </c>
      <c r="PRU1">
        <f>Database!PSN1</f>
        <v>0</v>
      </c>
      <c r="PRV1">
        <f>Database!PSO1</f>
        <v>0</v>
      </c>
      <c r="PRW1">
        <f>Database!PSP1</f>
        <v>0</v>
      </c>
      <c r="PRX1">
        <f>Database!PSQ1</f>
        <v>0</v>
      </c>
      <c r="PRY1">
        <f>Database!PSR1</f>
        <v>0</v>
      </c>
      <c r="PRZ1">
        <f>Database!PSS1</f>
        <v>0</v>
      </c>
      <c r="PSA1">
        <f>Database!PST1</f>
        <v>0</v>
      </c>
      <c r="PSB1">
        <f>Database!PSU1</f>
        <v>0</v>
      </c>
      <c r="PSC1">
        <f>Database!PSV1</f>
        <v>0</v>
      </c>
      <c r="PSD1">
        <f>Database!PSW1</f>
        <v>0</v>
      </c>
      <c r="PSE1">
        <f>Database!PSX1</f>
        <v>0</v>
      </c>
      <c r="PSF1">
        <f>Database!PSY1</f>
        <v>0</v>
      </c>
      <c r="PSG1">
        <f>Database!PSZ1</f>
        <v>0</v>
      </c>
      <c r="PSH1">
        <f>Database!PTA1</f>
        <v>0</v>
      </c>
      <c r="PSI1">
        <f>Database!PTB1</f>
        <v>0</v>
      </c>
      <c r="PSJ1">
        <f>Database!PTC1</f>
        <v>0</v>
      </c>
      <c r="PSK1">
        <f>Database!PTD1</f>
        <v>0</v>
      </c>
      <c r="PSL1">
        <f>Database!PTE1</f>
        <v>0</v>
      </c>
      <c r="PSM1">
        <f>Database!PTF1</f>
        <v>0</v>
      </c>
      <c r="PSN1">
        <f>Database!PTG1</f>
        <v>0</v>
      </c>
      <c r="PSO1">
        <f>Database!PTH1</f>
        <v>0</v>
      </c>
      <c r="PSP1">
        <f>Database!PTI1</f>
        <v>0</v>
      </c>
      <c r="PSQ1">
        <f>Database!PTJ1</f>
        <v>0</v>
      </c>
      <c r="PSR1">
        <f>Database!PTK1</f>
        <v>0</v>
      </c>
      <c r="PSS1">
        <f>Database!PTL1</f>
        <v>0</v>
      </c>
      <c r="PST1">
        <f>Database!PTM1</f>
        <v>0</v>
      </c>
      <c r="PSU1">
        <f>Database!PTN1</f>
        <v>0</v>
      </c>
      <c r="PSV1">
        <f>Database!PTO1</f>
        <v>0</v>
      </c>
      <c r="PSW1">
        <f>Database!PTP1</f>
        <v>0</v>
      </c>
      <c r="PSX1">
        <f>Database!PTQ1</f>
        <v>0</v>
      </c>
      <c r="PSY1">
        <f>Database!PTR1</f>
        <v>0</v>
      </c>
      <c r="PSZ1">
        <f>Database!PTS1</f>
        <v>0</v>
      </c>
      <c r="PTA1">
        <f>Database!PTT1</f>
        <v>0</v>
      </c>
      <c r="PTB1">
        <f>Database!PTU1</f>
        <v>0</v>
      </c>
      <c r="PTC1">
        <f>Database!PTV1</f>
        <v>0</v>
      </c>
      <c r="PTD1">
        <f>Database!PTW1</f>
        <v>0</v>
      </c>
      <c r="PTE1">
        <f>Database!PTX1</f>
        <v>0</v>
      </c>
      <c r="PTF1">
        <f>Database!PTY1</f>
        <v>0</v>
      </c>
      <c r="PTG1">
        <f>Database!PTZ1</f>
        <v>0</v>
      </c>
      <c r="PTH1">
        <f>Database!PUA1</f>
        <v>0</v>
      </c>
      <c r="PTI1">
        <f>Database!PUB1</f>
        <v>0</v>
      </c>
      <c r="PTJ1">
        <f>Database!PUC1</f>
        <v>0</v>
      </c>
      <c r="PTK1">
        <f>Database!PUD1</f>
        <v>0</v>
      </c>
      <c r="PTL1">
        <f>Database!PUE1</f>
        <v>0</v>
      </c>
      <c r="PTM1">
        <f>Database!PUF1</f>
        <v>0</v>
      </c>
      <c r="PTN1">
        <f>Database!PUG1</f>
        <v>0</v>
      </c>
      <c r="PTO1">
        <f>Database!PUH1</f>
        <v>0</v>
      </c>
      <c r="PTP1">
        <f>Database!PUI1</f>
        <v>0</v>
      </c>
      <c r="PTQ1">
        <f>Database!PUJ1</f>
        <v>0</v>
      </c>
      <c r="PTR1">
        <f>Database!PUK1</f>
        <v>0</v>
      </c>
      <c r="PTS1">
        <f>Database!PUL1</f>
        <v>0</v>
      </c>
      <c r="PTT1">
        <f>Database!PUM1</f>
        <v>0</v>
      </c>
      <c r="PTU1">
        <f>Database!PUN1</f>
        <v>0</v>
      </c>
      <c r="PTV1">
        <f>Database!PUO1</f>
        <v>0</v>
      </c>
      <c r="PTW1">
        <f>Database!PUP1</f>
        <v>0</v>
      </c>
      <c r="PTX1">
        <f>Database!PUQ1</f>
        <v>0</v>
      </c>
      <c r="PTY1">
        <f>Database!PUR1</f>
        <v>0</v>
      </c>
      <c r="PTZ1">
        <f>Database!PUS1</f>
        <v>0</v>
      </c>
      <c r="PUA1">
        <f>Database!PUT1</f>
        <v>0</v>
      </c>
      <c r="PUB1">
        <f>Database!PUU1</f>
        <v>0</v>
      </c>
      <c r="PUC1">
        <f>Database!PUV1</f>
        <v>0</v>
      </c>
      <c r="PUD1">
        <f>Database!PUW1</f>
        <v>0</v>
      </c>
      <c r="PUE1">
        <f>Database!PUX1</f>
        <v>0</v>
      </c>
      <c r="PUF1">
        <f>Database!PUY1</f>
        <v>0</v>
      </c>
      <c r="PUG1">
        <f>Database!PUZ1</f>
        <v>0</v>
      </c>
      <c r="PUH1">
        <f>Database!PVA1</f>
        <v>0</v>
      </c>
      <c r="PUI1">
        <f>Database!PVB1</f>
        <v>0</v>
      </c>
      <c r="PUJ1">
        <f>Database!PVC1</f>
        <v>0</v>
      </c>
      <c r="PUK1">
        <f>Database!PVD1</f>
        <v>0</v>
      </c>
      <c r="PUL1">
        <f>Database!PVE1</f>
        <v>0</v>
      </c>
      <c r="PUM1">
        <f>Database!PVF1</f>
        <v>0</v>
      </c>
      <c r="PUN1">
        <f>Database!PVG1</f>
        <v>0</v>
      </c>
      <c r="PUO1">
        <f>Database!PVH1</f>
        <v>0</v>
      </c>
      <c r="PUP1">
        <f>Database!PVI1</f>
        <v>0</v>
      </c>
      <c r="PUQ1">
        <f>Database!PVJ1</f>
        <v>0</v>
      </c>
      <c r="PUR1">
        <f>Database!PVK1</f>
        <v>0</v>
      </c>
      <c r="PUS1">
        <f>Database!PVL1</f>
        <v>0</v>
      </c>
      <c r="PUT1">
        <f>Database!PVM1</f>
        <v>0</v>
      </c>
      <c r="PUU1">
        <f>Database!PVN1</f>
        <v>0</v>
      </c>
      <c r="PUV1">
        <f>Database!PVO1</f>
        <v>0</v>
      </c>
      <c r="PUW1">
        <f>Database!PVP1</f>
        <v>0</v>
      </c>
      <c r="PUX1">
        <f>Database!PVQ1</f>
        <v>0</v>
      </c>
      <c r="PUY1">
        <f>Database!PVR1</f>
        <v>0</v>
      </c>
      <c r="PUZ1">
        <f>Database!PVS1</f>
        <v>0</v>
      </c>
      <c r="PVA1">
        <f>Database!PVT1</f>
        <v>0</v>
      </c>
      <c r="PVB1">
        <f>Database!PVU1</f>
        <v>0</v>
      </c>
      <c r="PVC1">
        <f>Database!PVV1</f>
        <v>0</v>
      </c>
      <c r="PVD1">
        <f>Database!PVW1</f>
        <v>0</v>
      </c>
      <c r="PVE1">
        <f>Database!PVX1</f>
        <v>0</v>
      </c>
      <c r="PVF1">
        <f>Database!PVY1</f>
        <v>0</v>
      </c>
      <c r="PVG1">
        <f>Database!PVZ1</f>
        <v>0</v>
      </c>
      <c r="PVH1">
        <f>Database!PWA1</f>
        <v>0</v>
      </c>
      <c r="PVI1">
        <f>Database!PWB1</f>
        <v>0</v>
      </c>
      <c r="PVJ1">
        <f>Database!PWC1</f>
        <v>0</v>
      </c>
      <c r="PVK1">
        <f>Database!PWD1</f>
        <v>0</v>
      </c>
      <c r="PVL1">
        <f>Database!PWE1</f>
        <v>0</v>
      </c>
      <c r="PVM1">
        <f>Database!PWF1</f>
        <v>0</v>
      </c>
      <c r="PVN1">
        <f>Database!PWG1</f>
        <v>0</v>
      </c>
      <c r="PVO1">
        <f>Database!PWH1</f>
        <v>0</v>
      </c>
      <c r="PVP1">
        <f>Database!PWI1</f>
        <v>0</v>
      </c>
      <c r="PVQ1">
        <f>Database!PWJ1</f>
        <v>0</v>
      </c>
      <c r="PVR1">
        <f>Database!PWK1</f>
        <v>0</v>
      </c>
      <c r="PVS1">
        <f>Database!PWL1</f>
        <v>0</v>
      </c>
      <c r="PVT1">
        <f>Database!PWM1</f>
        <v>0</v>
      </c>
      <c r="PVU1">
        <f>Database!PWN1</f>
        <v>0</v>
      </c>
      <c r="PVV1">
        <f>Database!PWO1</f>
        <v>0</v>
      </c>
      <c r="PVW1">
        <f>Database!PWP1</f>
        <v>0</v>
      </c>
      <c r="PVX1">
        <f>Database!PWQ1</f>
        <v>0</v>
      </c>
      <c r="PVY1">
        <f>Database!PWR1</f>
        <v>0</v>
      </c>
      <c r="PVZ1">
        <f>Database!PWS1</f>
        <v>0</v>
      </c>
      <c r="PWA1">
        <f>Database!PWT1</f>
        <v>0</v>
      </c>
      <c r="PWB1">
        <f>Database!PWU1</f>
        <v>0</v>
      </c>
      <c r="PWC1">
        <f>Database!PWV1</f>
        <v>0</v>
      </c>
      <c r="PWD1">
        <f>Database!PWW1</f>
        <v>0</v>
      </c>
      <c r="PWE1">
        <f>Database!PWX1</f>
        <v>0</v>
      </c>
      <c r="PWF1">
        <f>Database!PWY1</f>
        <v>0</v>
      </c>
      <c r="PWG1">
        <f>Database!PWZ1</f>
        <v>0</v>
      </c>
      <c r="PWH1">
        <f>Database!PXA1</f>
        <v>0</v>
      </c>
      <c r="PWI1">
        <f>Database!PXB1</f>
        <v>0</v>
      </c>
      <c r="PWJ1">
        <f>Database!PXC1</f>
        <v>0</v>
      </c>
      <c r="PWK1">
        <f>Database!PXD1</f>
        <v>0</v>
      </c>
      <c r="PWL1">
        <f>Database!PXE1</f>
        <v>0</v>
      </c>
      <c r="PWM1">
        <f>Database!PXF1</f>
        <v>0</v>
      </c>
      <c r="PWN1">
        <f>Database!PXG1</f>
        <v>0</v>
      </c>
      <c r="PWO1">
        <f>Database!PXH1</f>
        <v>0</v>
      </c>
      <c r="PWP1">
        <f>Database!PXI1</f>
        <v>0</v>
      </c>
      <c r="PWQ1">
        <f>Database!PXJ1</f>
        <v>0</v>
      </c>
      <c r="PWR1">
        <f>Database!PXK1</f>
        <v>0</v>
      </c>
      <c r="PWS1">
        <f>Database!PXL1</f>
        <v>0</v>
      </c>
      <c r="PWT1">
        <f>Database!PXM1</f>
        <v>0</v>
      </c>
      <c r="PWU1">
        <f>Database!PXN1</f>
        <v>0</v>
      </c>
      <c r="PWV1">
        <f>Database!PXO1</f>
        <v>0</v>
      </c>
      <c r="PWW1">
        <f>Database!PXP1</f>
        <v>0</v>
      </c>
      <c r="PWX1">
        <f>Database!PXQ1</f>
        <v>0</v>
      </c>
      <c r="PWY1">
        <f>Database!PXR1</f>
        <v>0</v>
      </c>
      <c r="PWZ1">
        <f>Database!PXS1</f>
        <v>0</v>
      </c>
      <c r="PXA1">
        <f>Database!PXT1</f>
        <v>0</v>
      </c>
      <c r="PXB1">
        <f>Database!PXU1</f>
        <v>0</v>
      </c>
      <c r="PXC1">
        <f>Database!PXV1</f>
        <v>0</v>
      </c>
      <c r="PXD1">
        <f>Database!PXW1</f>
        <v>0</v>
      </c>
      <c r="PXE1">
        <f>Database!PXX1</f>
        <v>0</v>
      </c>
      <c r="PXF1">
        <f>Database!PXY1</f>
        <v>0</v>
      </c>
      <c r="PXG1">
        <f>Database!PXZ1</f>
        <v>0</v>
      </c>
      <c r="PXH1">
        <f>Database!PYA1</f>
        <v>0</v>
      </c>
      <c r="PXI1">
        <f>Database!PYB1</f>
        <v>0</v>
      </c>
      <c r="PXJ1">
        <f>Database!PYC1</f>
        <v>0</v>
      </c>
      <c r="PXK1">
        <f>Database!PYD1</f>
        <v>0</v>
      </c>
      <c r="PXL1">
        <f>Database!PYE1</f>
        <v>0</v>
      </c>
      <c r="PXM1">
        <f>Database!PYF1</f>
        <v>0</v>
      </c>
      <c r="PXN1">
        <f>Database!PYG1</f>
        <v>0</v>
      </c>
      <c r="PXO1">
        <f>Database!PYH1</f>
        <v>0</v>
      </c>
      <c r="PXP1">
        <f>Database!PYI1</f>
        <v>0</v>
      </c>
      <c r="PXQ1">
        <f>Database!PYJ1</f>
        <v>0</v>
      </c>
      <c r="PXR1">
        <f>Database!PYK1</f>
        <v>0</v>
      </c>
      <c r="PXS1">
        <f>Database!PYL1</f>
        <v>0</v>
      </c>
      <c r="PXT1">
        <f>Database!PYM1</f>
        <v>0</v>
      </c>
      <c r="PXU1">
        <f>Database!PYN1</f>
        <v>0</v>
      </c>
      <c r="PXV1">
        <f>Database!PYO1</f>
        <v>0</v>
      </c>
      <c r="PXW1">
        <f>Database!PYP1</f>
        <v>0</v>
      </c>
      <c r="PXX1">
        <f>Database!PYQ1</f>
        <v>0</v>
      </c>
      <c r="PXY1">
        <f>Database!PYR1</f>
        <v>0</v>
      </c>
      <c r="PXZ1">
        <f>Database!PYS1</f>
        <v>0</v>
      </c>
      <c r="PYA1">
        <f>Database!PYT1</f>
        <v>0</v>
      </c>
      <c r="PYB1">
        <f>Database!PYU1</f>
        <v>0</v>
      </c>
      <c r="PYC1">
        <f>Database!PYV1</f>
        <v>0</v>
      </c>
      <c r="PYD1">
        <f>Database!PYW1</f>
        <v>0</v>
      </c>
      <c r="PYE1">
        <f>Database!PYX1</f>
        <v>0</v>
      </c>
      <c r="PYF1">
        <f>Database!PYY1</f>
        <v>0</v>
      </c>
      <c r="PYG1">
        <f>Database!PYZ1</f>
        <v>0</v>
      </c>
      <c r="PYH1">
        <f>Database!PZA1</f>
        <v>0</v>
      </c>
      <c r="PYI1">
        <f>Database!PZB1</f>
        <v>0</v>
      </c>
      <c r="PYJ1">
        <f>Database!PZC1</f>
        <v>0</v>
      </c>
      <c r="PYK1">
        <f>Database!PZD1</f>
        <v>0</v>
      </c>
      <c r="PYL1">
        <f>Database!PZE1</f>
        <v>0</v>
      </c>
      <c r="PYM1">
        <f>Database!PZF1</f>
        <v>0</v>
      </c>
      <c r="PYN1">
        <f>Database!PZG1</f>
        <v>0</v>
      </c>
      <c r="PYO1">
        <f>Database!PZH1</f>
        <v>0</v>
      </c>
      <c r="PYP1">
        <f>Database!PZI1</f>
        <v>0</v>
      </c>
      <c r="PYQ1">
        <f>Database!PZJ1</f>
        <v>0</v>
      </c>
      <c r="PYR1">
        <f>Database!PZK1</f>
        <v>0</v>
      </c>
      <c r="PYS1">
        <f>Database!PZL1</f>
        <v>0</v>
      </c>
      <c r="PYT1">
        <f>Database!PZM1</f>
        <v>0</v>
      </c>
      <c r="PYU1">
        <f>Database!PZN1</f>
        <v>0</v>
      </c>
      <c r="PYV1">
        <f>Database!PZO1</f>
        <v>0</v>
      </c>
      <c r="PYW1">
        <f>Database!PZP1</f>
        <v>0</v>
      </c>
      <c r="PYX1">
        <f>Database!PZQ1</f>
        <v>0</v>
      </c>
      <c r="PYY1">
        <f>Database!PZR1</f>
        <v>0</v>
      </c>
      <c r="PYZ1">
        <f>Database!PZS1</f>
        <v>0</v>
      </c>
      <c r="PZA1">
        <f>Database!PZT1</f>
        <v>0</v>
      </c>
      <c r="PZB1">
        <f>Database!PZU1</f>
        <v>0</v>
      </c>
      <c r="PZC1">
        <f>Database!PZV1</f>
        <v>0</v>
      </c>
      <c r="PZD1">
        <f>Database!PZW1</f>
        <v>0</v>
      </c>
      <c r="PZE1">
        <f>Database!PZX1</f>
        <v>0</v>
      </c>
      <c r="PZF1">
        <f>Database!PZY1</f>
        <v>0</v>
      </c>
      <c r="PZG1">
        <f>Database!PZZ1</f>
        <v>0</v>
      </c>
      <c r="PZH1">
        <f>Database!QAA1</f>
        <v>0</v>
      </c>
      <c r="PZI1">
        <f>Database!QAB1</f>
        <v>0</v>
      </c>
      <c r="PZJ1">
        <f>Database!QAC1</f>
        <v>0</v>
      </c>
      <c r="PZK1">
        <f>Database!QAD1</f>
        <v>0</v>
      </c>
      <c r="PZL1">
        <f>Database!QAE1</f>
        <v>0</v>
      </c>
      <c r="PZM1">
        <f>Database!QAF1</f>
        <v>0</v>
      </c>
      <c r="PZN1">
        <f>Database!QAG1</f>
        <v>0</v>
      </c>
      <c r="PZO1">
        <f>Database!QAH1</f>
        <v>0</v>
      </c>
      <c r="PZP1">
        <f>Database!QAI1</f>
        <v>0</v>
      </c>
      <c r="PZQ1">
        <f>Database!QAJ1</f>
        <v>0</v>
      </c>
      <c r="PZR1">
        <f>Database!QAK1</f>
        <v>0</v>
      </c>
      <c r="PZS1">
        <f>Database!QAL1</f>
        <v>0</v>
      </c>
      <c r="PZT1">
        <f>Database!QAM1</f>
        <v>0</v>
      </c>
      <c r="PZU1">
        <f>Database!QAN1</f>
        <v>0</v>
      </c>
      <c r="PZV1">
        <f>Database!QAO1</f>
        <v>0</v>
      </c>
      <c r="PZW1">
        <f>Database!QAP1</f>
        <v>0</v>
      </c>
      <c r="PZX1">
        <f>Database!QAQ1</f>
        <v>0</v>
      </c>
      <c r="PZY1">
        <f>Database!QAR1</f>
        <v>0</v>
      </c>
      <c r="PZZ1">
        <f>Database!QAS1</f>
        <v>0</v>
      </c>
      <c r="QAA1">
        <f>Database!QAT1</f>
        <v>0</v>
      </c>
      <c r="QAB1">
        <f>Database!QAU1</f>
        <v>0</v>
      </c>
      <c r="QAC1">
        <f>Database!QAV1</f>
        <v>0</v>
      </c>
      <c r="QAD1">
        <f>Database!QAW1</f>
        <v>0</v>
      </c>
      <c r="QAE1">
        <f>Database!QAX1</f>
        <v>0</v>
      </c>
      <c r="QAF1">
        <f>Database!QAY1</f>
        <v>0</v>
      </c>
      <c r="QAG1">
        <f>Database!QAZ1</f>
        <v>0</v>
      </c>
      <c r="QAH1">
        <f>Database!QBA1</f>
        <v>0</v>
      </c>
      <c r="QAI1">
        <f>Database!QBB1</f>
        <v>0</v>
      </c>
      <c r="QAJ1">
        <f>Database!QBC1</f>
        <v>0</v>
      </c>
      <c r="QAK1">
        <f>Database!QBD1</f>
        <v>0</v>
      </c>
      <c r="QAL1">
        <f>Database!QBE1</f>
        <v>0</v>
      </c>
      <c r="QAM1">
        <f>Database!QBF1</f>
        <v>0</v>
      </c>
      <c r="QAN1">
        <f>Database!QBG1</f>
        <v>0</v>
      </c>
      <c r="QAO1">
        <f>Database!QBH1</f>
        <v>0</v>
      </c>
      <c r="QAP1">
        <f>Database!QBI1</f>
        <v>0</v>
      </c>
      <c r="QAQ1">
        <f>Database!QBJ1</f>
        <v>0</v>
      </c>
      <c r="QAR1">
        <f>Database!QBK1</f>
        <v>0</v>
      </c>
      <c r="QAS1">
        <f>Database!QBL1</f>
        <v>0</v>
      </c>
      <c r="QAT1">
        <f>Database!QBM1</f>
        <v>0</v>
      </c>
      <c r="QAU1">
        <f>Database!QBN1</f>
        <v>0</v>
      </c>
      <c r="QAV1">
        <f>Database!QBO1</f>
        <v>0</v>
      </c>
      <c r="QAW1">
        <f>Database!QBP1</f>
        <v>0</v>
      </c>
      <c r="QAX1">
        <f>Database!QBQ1</f>
        <v>0</v>
      </c>
      <c r="QAY1">
        <f>Database!QBR1</f>
        <v>0</v>
      </c>
      <c r="QAZ1">
        <f>Database!QBS1</f>
        <v>0</v>
      </c>
      <c r="QBA1">
        <f>Database!QBT1</f>
        <v>0</v>
      </c>
      <c r="QBB1">
        <f>Database!QBU1</f>
        <v>0</v>
      </c>
      <c r="QBC1">
        <f>Database!QBV1</f>
        <v>0</v>
      </c>
      <c r="QBD1">
        <f>Database!QBW1</f>
        <v>0</v>
      </c>
      <c r="QBE1">
        <f>Database!QBX1</f>
        <v>0</v>
      </c>
      <c r="QBF1">
        <f>Database!QBY1</f>
        <v>0</v>
      </c>
      <c r="QBG1">
        <f>Database!QBZ1</f>
        <v>0</v>
      </c>
      <c r="QBH1">
        <f>Database!QCA1</f>
        <v>0</v>
      </c>
      <c r="QBI1">
        <f>Database!QCB1</f>
        <v>0</v>
      </c>
      <c r="QBJ1">
        <f>Database!QCC1</f>
        <v>0</v>
      </c>
      <c r="QBK1">
        <f>Database!QCD1</f>
        <v>0</v>
      </c>
      <c r="QBL1">
        <f>Database!QCE1</f>
        <v>0</v>
      </c>
      <c r="QBM1">
        <f>Database!QCF1</f>
        <v>0</v>
      </c>
      <c r="QBN1">
        <f>Database!QCG1</f>
        <v>0</v>
      </c>
      <c r="QBO1">
        <f>Database!QCH1</f>
        <v>0</v>
      </c>
      <c r="QBP1">
        <f>Database!QCI1</f>
        <v>0</v>
      </c>
      <c r="QBQ1">
        <f>Database!QCJ1</f>
        <v>0</v>
      </c>
      <c r="QBR1">
        <f>Database!QCK1</f>
        <v>0</v>
      </c>
      <c r="QBS1">
        <f>Database!QCL1</f>
        <v>0</v>
      </c>
      <c r="QBT1">
        <f>Database!QCM1</f>
        <v>0</v>
      </c>
      <c r="QBU1">
        <f>Database!QCN1</f>
        <v>0</v>
      </c>
      <c r="QBV1">
        <f>Database!QCO1</f>
        <v>0</v>
      </c>
      <c r="QBW1">
        <f>Database!QCP1</f>
        <v>0</v>
      </c>
      <c r="QBX1">
        <f>Database!QCQ1</f>
        <v>0</v>
      </c>
      <c r="QBY1">
        <f>Database!QCR1</f>
        <v>0</v>
      </c>
      <c r="QBZ1">
        <f>Database!QCS1</f>
        <v>0</v>
      </c>
      <c r="QCA1">
        <f>Database!QCT1</f>
        <v>0</v>
      </c>
      <c r="QCB1">
        <f>Database!QCU1</f>
        <v>0</v>
      </c>
      <c r="QCC1">
        <f>Database!QCV1</f>
        <v>0</v>
      </c>
      <c r="QCD1">
        <f>Database!QCW1</f>
        <v>0</v>
      </c>
      <c r="QCE1">
        <f>Database!QCX1</f>
        <v>0</v>
      </c>
      <c r="QCF1">
        <f>Database!QCY1</f>
        <v>0</v>
      </c>
      <c r="QCG1">
        <f>Database!QCZ1</f>
        <v>0</v>
      </c>
      <c r="QCH1">
        <f>Database!QDA1</f>
        <v>0</v>
      </c>
      <c r="QCI1">
        <f>Database!QDB1</f>
        <v>0</v>
      </c>
      <c r="QCJ1">
        <f>Database!QDC1</f>
        <v>0</v>
      </c>
      <c r="QCK1">
        <f>Database!QDD1</f>
        <v>0</v>
      </c>
      <c r="QCL1">
        <f>Database!QDE1</f>
        <v>0</v>
      </c>
      <c r="QCM1">
        <f>Database!QDF1</f>
        <v>0</v>
      </c>
      <c r="QCN1">
        <f>Database!QDG1</f>
        <v>0</v>
      </c>
      <c r="QCO1">
        <f>Database!QDH1</f>
        <v>0</v>
      </c>
      <c r="QCP1">
        <f>Database!QDI1</f>
        <v>0</v>
      </c>
      <c r="QCQ1">
        <f>Database!QDJ1</f>
        <v>0</v>
      </c>
      <c r="QCR1">
        <f>Database!QDK1</f>
        <v>0</v>
      </c>
      <c r="QCS1">
        <f>Database!QDL1</f>
        <v>0</v>
      </c>
      <c r="QCT1">
        <f>Database!QDM1</f>
        <v>0</v>
      </c>
      <c r="QCU1">
        <f>Database!QDN1</f>
        <v>0</v>
      </c>
      <c r="QCV1">
        <f>Database!QDO1</f>
        <v>0</v>
      </c>
      <c r="QCW1">
        <f>Database!QDP1</f>
        <v>0</v>
      </c>
      <c r="QCX1">
        <f>Database!QDQ1</f>
        <v>0</v>
      </c>
      <c r="QCY1">
        <f>Database!QDR1</f>
        <v>0</v>
      </c>
      <c r="QCZ1">
        <f>Database!QDS1</f>
        <v>0</v>
      </c>
      <c r="QDA1">
        <f>Database!QDT1</f>
        <v>0</v>
      </c>
      <c r="QDB1">
        <f>Database!QDU1</f>
        <v>0</v>
      </c>
      <c r="QDC1">
        <f>Database!QDV1</f>
        <v>0</v>
      </c>
      <c r="QDD1">
        <f>Database!QDW1</f>
        <v>0</v>
      </c>
      <c r="QDE1">
        <f>Database!QDX1</f>
        <v>0</v>
      </c>
      <c r="QDF1">
        <f>Database!QDY1</f>
        <v>0</v>
      </c>
      <c r="QDG1">
        <f>Database!QDZ1</f>
        <v>0</v>
      </c>
      <c r="QDH1">
        <f>Database!QEA1</f>
        <v>0</v>
      </c>
      <c r="QDI1">
        <f>Database!QEB1</f>
        <v>0</v>
      </c>
      <c r="QDJ1">
        <f>Database!QEC1</f>
        <v>0</v>
      </c>
      <c r="QDK1">
        <f>Database!QED1</f>
        <v>0</v>
      </c>
      <c r="QDL1">
        <f>Database!QEE1</f>
        <v>0</v>
      </c>
      <c r="QDM1">
        <f>Database!QEF1</f>
        <v>0</v>
      </c>
      <c r="QDN1">
        <f>Database!QEG1</f>
        <v>0</v>
      </c>
      <c r="QDO1">
        <f>Database!QEH1</f>
        <v>0</v>
      </c>
      <c r="QDP1">
        <f>Database!QEI1</f>
        <v>0</v>
      </c>
      <c r="QDQ1">
        <f>Database!QEJ1</f>
        <v>0</v>
      </c>
      <c r="QDR1">
        <f>Database!QEK1</f>
        <v>0</v>
      </c>
      <c r="QDS1">
        <f>Database!QEL1</f>
        <v>0</v>
      </c>
      <c r="QDT1">
        <f>Database!QEM1</f>
        <v>0</v>
      </c>
      <c r="QDU1">
        <f>Database!QEN1</f>
        <v>0</v>
      </c>
      <c r="QDV1">
        <f>Database!QEO1</f>
        <v>0</v>
      </c>
      <c r="QDW1">
        <f>Database!QEP1</f>
        <v>0</v>
      </c>
      <c r="QDX1">
        <f>Database!QEQ1</f>
        <v>0</v>
      </c>
      <c r="QDY1">
        <f>Database!QER1</f>
        <v>0</v>
      </c>
      <c r="QDZ1">
        <f>Database!QES1</f>
        <v>0</v>
      </c>
      <c r="QEA1">
        <f>Database!QET1</f>
        <v>0</v>
      </c>
      <c r="QEB1">
        <f>Database!QEU1</f>
        <v>0</v>
      </c>
      <c r="QEC1">
        <f>Database!QEV1</f>
        <v>0</v>
      </c>
      <c r="QED1">
        <f>Database!QEW1</f>
        <v>0</v>
      </c>
      <c r="QEE1">
        <f>Database!QEX1</f>
        <v>0</v>
      </c>
      <c r="QEF1">
        <f>Database!QEY1</f>
        <v>0</v>
      </c>
      <c r="QEG1">
        <f>Database!QEZ1</f>
        <v>0</v>
      </c>
      <c r="QEH1">
        <f>Database!QFA1</f>
        <v>0</v>
      </c>
      <c r="QEI1">
        <f>Database!QFB1</f>
        <v>0</v>
      </c>
      <c r="QEJ1">
        <f>Database!QFC1</f>
        <v>0</v>
      </c>
      <c r="QEK1">
        <f>Database!QFD1</f>
        <v>0</v>
      </c>
      <c r="QEL1">
        <f>Database!QFE1</f>
        <v>0</v>
      </c>
      <c r="QEM1">
        <f>Database!QFF1</f>
        <v>0</v>
      </c>
      <c r="QEN1">
        <f>Database!QFG1</f>
        <v>0</v>
      </c>
      <c r="QEO1">
        <f>Database!QFH1</f>
        <v>0</v>
      </c>
      <c r="QEP1">
        <f>Database!QFI1</f>
        <v>0</v>
      </c>
      <c r="QEQ1">
        <f>Database!QFJ1</f>
        <v>0</v>
      </c>
      <c r="QER1">
        <f>Database!QFK1</f>
        <v>0</v>
      </c>
      <c r="QES1">
        <f>Database!QFL1</f>
        <v>0</v>
      </c>
      <c r="QET1">
        <f>Database!QFM1</f>
        <v>0</v>
      </c>
      <c r="QEU1">
        <f>Database!QFN1</f>
        <v>0</v>
      </c>
      <c r="QEV1">
        <f>Database!QFO1</f>
        <v>0</v>
      </c>
      <c r="QEW1">
        <f>Database!QFP1</f>
        <v>0</v>
      </c>
      <c r="QEX1">
        <f>Database!QFQ1</f>
        <v>0</v>
      </c>
      <c r="QEY1">
        <f>Database!QFR1</f>
        <v>0</v>
      </c>
      <c r="QEZ1">
        <f>Database!QFS1</f>
        <v>0</v>
      </c>
      <c r="QFA1">
        <f>Database!QFT1</f>
        <v>0</v>
      </c>
      <c r="QFB1">
        <f>Database!QFU1</f>
        <v>0</v>
      </c>
      <c r="QFC1">
        <f>Database!QFV1</f>
        <v>0</v>
      </c>
      <c r="QFD1">
        <f>Database!QFW1</f>
        <v>0</v>
      </c>
      <c r="QFE1">
        <f>Database!QFX1</f>
        <v>0</v>
      </c>
      <c r="QFF1">
        <f>Database!QFY1</f>
        <v>0</v>
      </c>
      <c r="QFG1">
        <f>Database!QFZ1</f>
        <v>0</v>
      </c>
      <c r="QFH1">
        <f>Database!QGA1</f>
        <v>0</v>
      </c>
      <c r="QFI1">
        <f>Database!QGB1</f>
        <v>0</v>
      </c>
      <c r="QFJ1">
        <f>Database!QGC1</f>
        <v>0</v>
      </c>
      <c r="QFK1">
        <f>Database!QGD1</f>
        <v>0</v>
      </c>
      <c r="QFL1">
        <f>Database!QGE1</f>
        <v>0</v>
      </c>
      <c r="QFM1">
        <f>Database!QGF1</f>
        <v>0</v>
      </c>
      <c r="QFN1">
        <f>Database!QGG1</f>
        <v>0</v>
      </c>
      <c r="QFO1">
        <f>Database!QGH1</f>
        <v>0</v>
      </c>
      <c r="QFP1">
        <f>Database!QGI1</f>
        <v>0</v>
      </c>
      <c r="QFQ1">
        <f>Database!QGJ1</f>
        <v>0</v>
      </c>
      <c r="QFR1">
        <f>Database!QGK1</f>
        <v>0</v>
      </c>
      <c r="QFS1">
        <f>Database!QGL1</f>
        <v>0</v>
      </c>
      <c r="QFT1">
        <f>Database!QGM1</f>
        <v>0</v>
      </c>
      <c r="QFU1">
        <f>Database!QGN1</f>
        <v>0</v>
      </c>
      <c r="QFV1">
        <f>Database!QGO1</f>
        <v>0</v>
      </c>
      <c r="QFW1">
        <f>Database!QGP1</f>
        <v>0</v>
      </c>
      <c r="QFX1">
        <f>Database!QGQ1</f>
        <v>0</v>
      </c>
      <c r="QFY1">
        <f>Database!QGR1</f>
        <v>0</v>
      </c>
      <c r="QFZ1">
        <f>Database!QGS1</f>
        <v>0</v>
      </c>
      <c r="QGA1">
        <f>Database!QGT1</f>
        <v>0</v>
      </c>
      <c r="QGB1">
        <f>Database!QGU1</f>
        <v>0</v>
      </c>
      <c r="QGC1">
        <f>Database!QGV1</f>
        <v>0</v>
      </c>
      <c r="QGD1">
        <f>Database!QGW1</f>
        <v>0</v>
      </c>
      <c r="QGE1">
        <f>Database!QGX1</f>
        <v>0</v>
      </c>
      <c r="QGF1">
        <f>Database!QGY1</f>
        <v>0</v>
      </c>
      <c r="QGG1">
        <f>Database!QGZ1</f>
        <v>0</v>
      </c>
      <c r="QGH1">
        <f>Database!QHA1</f>
        <v>0</v>
      </c>
      <c r="QGI1">
        <f>Database!QHB1</f>
        <v>0</v>
      </c>
      <c r="QGJ1">
        <f>Database!QHC1</f>
        <v>0</v>
      </c>
      <c r="QGK1">
        <f>Database!QHD1</f>
        <v>0</v>
      </c>
      <c r="QGL1">
        <f>Database!QHE1</f>
        <v>0</v>
      </c>
      <c r="QGM1">
        <f>Database!QHF1</f>
        <v>0</v>
      </c>
      <c r="QGN1">
        <f>Database!QHG1</f>
        <v>0</v>
      </c>
      <c r="QGO1">
        <f>Database!QHH1</f>
        <v>0</v>
      </c>
      <c r="QGP1">
        <f>Database!QHI1</f>
        <v>0</v>
      </c>
      <c r="QGQ1">
        <f>Database!QHJ1</f>
        <v>0</v>
      </c>
      <c r="QGR1">
        <f>Database!QHK1</f>
        <v>0</v>
      </c>
      <c r="QGS1">
        <f>Database!QHL1</f>
        <v>0</v>
      </c>
      <c r="QGT1">
        <f>Database!QHM1</f>
        <v>0</v>
      </c>
      <c r="QGU1">
        <f>Database!QHN1</f>
        <v>0</v>
      </c>
      <c r="QGV1">
        <f>Database!QHO1</f>
        <v>0</v>
      </c>
      <c r="QGW1">
        <f>Database!QHP1</f>
        <v>0</v>
      </c>
      <c r="QGX1">
        <f>Database!QHQ1</f>
        <v>0</v>
      </c>
      <c r="QGY1">
        <f>Database!QHR1</f>
        <v>0</v>
      </c>
      <c r="QGZ1">
        <f>Database!QHS1</f>
        <v>0</v>
      </c>
      <c r="QHA1">
        <f>Database!QHT1</f>
        <v>0</v>
      </c>
      <c r="QHB1">
        <f>Database!QHU1</f>
        <v>0</v>
      </c>
      <c r="QHC1">
        <f>Database!QHV1</f>
        <v>0</v>
      </c>
      <c r="QHD1">
        <f>Database!QHW1</f>
        <v>0</v>
      </c>
      <c r="QHE1">
        <f>Database!QHX1</f>
        <v>0</v>
      </c>
      <c r="QHF1">
        <f>Database!QHY1</f>
        <v>0</v>
      </c>
      <c r="QHG1">
        <f>Database!QHZ1</f>
        <v>0</v>
      </c>
      <c r="QHH1">
        <f>Database!QIA1</f>
        <v>0</v>
      </c>
      <c r="QHI1">
        <f>Database!QIB1</f>
        <v>0</v>
      </c>
      <c r="QHJ1">
        <f>Database!QIC1</f>
        <v>0</v>
      </c>
      <c r="QHK1">
        <f>Database!QID1</f>
        <v>0</v>
      </c>
      <c r="QHL1">
        <f>Database!QIE1</f>
        <v>0</v>
      </c>
      <c r="QHM1">
        <f>Database!QIF1</f>
        <v>0</v>
      </c>
      <c r="QHN1">
        <f>Database!QIG1</f>
        <v>0</v>
      </c>
      <c r="QHO1">
        <f>Database!QIH1</f>
        <v>0</v>
      </c>
      <c r="QHP1">
        <f>Database!QII1</f>
        <v>0</v>
      </c>
      <c r="QHQ1">
        <f>Database!QIJ1</f>
        <v>0</v>
      </c>
      <c r="QHR1">
        <f>Database!QIK1</f>
        <v>0</v>
      </c>
      <c r="QHS1">
        <f>Database!QIL1</f>
        <v>0</v>
      </c>
      <c r="QHT1">
        <f>Database!QIM1</f>
        <v>0</v>
      </c>
      <c r="QHU1">
        <f>Database!QIN1</f>
        <v>0</v>
      </c>
      <c r="QHV1">
        <f>Database!QIO1</f>
        <v>0</v>
      </c>
      <c r="QHW1">
        <f>Database!QIP1</f>
        <v>0</v>
      </c>
      <c r="QHX1">
        <f>Database!QIQ1</f>
        <v>0</v>
      </c>
      <c r="QHY1">
        <f>Database!QIR1</f>
        <v>0</v>
      </c>
      <c r="QHZ1">
        <f>Database!QIS1</f>
        <v>0</v>
      </c>
      <c r="QIA1">
        <f>Database!QIT1</f>
        <v>0</v>
      </c>
      <c r="QIB1">
        <f>Database!QIU1</f>
        <v>0</v>
      </c>
      <c r="QIC1">
        <f>Database!QIV1</f>
        <v>0</v>
      </c>
      <c r="QID1">
        <f>Database!QIW1</f>
        <v>0</v>
      </c>
      <c r="QIE1">
        <f>Database!QIX1</f>
        <v>0</v>
      </c>
      <c r="QIF1">
        <f>Database!QIY1</f>
        <v>0</v>
      </c>
      <c r="QIG1">
        <f>Database!QIZ1</f>
        <v>0</v>
      </c>
      <c r="QIH1">
        <f>Database!QJA1</f>
        <v>0</v>
      </c>
      <c r="QII1">
        <f>Database!QJB1</f>
        <v>0</v>
      </c>
      <c r="QIJ1">
        <f>Database!QJC1</f>
        <v>0</v>
      </c>
      <c r="QIK1">
        <f>Database!QJD1</f>
        <v>0</v>
      </c>
      <c r="QIL1">
        <f>Database!QJE1</f>
        <v>0</v>
      </c>
      <c r="QIM1">
        <f>Database!QJF1</f>
        <v>0</v>
      </c>
      <c r="QIN1">
        <f>Database!QJG1</f>
        <v>0</v>
      </c>
      <c r="QIO1">
        <f>Database!QJH1</f>
        <v>0</v>
      </c>
      <c r="QIP1">
        <f>Database!QJI1</f>
        <v>0</v>
      </c>
      <c r="QIQ1">
        <f>Database!QJJ1</f>
        <v>0</v>
      </c>
      <c r="QIR1">
        <f>Database!QJK1</f>
        <v>0</v>
      </c>
      <c r="QIS1">
        <f>Database!QJL1</f>
        <v>0</v>
      </c>
      <c r="QIT1">
        <f>Database!QJM1</f>
        <v>0</v>
      </c>
      <c r="QIU1">
        <f>Database!QJN1</f>
        <v>0</v>
      </c>
      <c r="QIV1">
        <f>Database!QJO1</f>
        <v>0</v>
      </c>
      <c r="QIW1">
        <f>Database!QJP1</f>
        <v>0</v>
      </c>
      <c r="QIX1">
        <f>Database!QJQ1</f>
        <v>0</v>
      </c>
      <c r="QIY1">
        <f>Database!QJR1</f>
        <v>0</v>
      </c>
      <c r="QIZ1">
        <f>Database!QJS1</f>
        <v>0</v>
      </c>
      <c r="QJA1">
        <f>Database!QJT1</f>
        <v>0</v>
      </c>
      <c r="QJB1">
        <f>Database!QJU1</f>
        <v>0</v>
      </c>
      <c r="QJC1">
        <f>Database!QJV1</f>
        <v>0</v>
      </c>
      <c r="QJD1">
        <f>Database!QJW1</f>
        <v>0</v>
      </c>
      <c r="QJE1">
        <f>Database!QJX1</f>
        <v>0</v>
      </c>
      <c r="QJF1">
        <f>Database!QJY1</f>
        <v>0</v>
      </c>
      <c r="QJG1">
        <f>Database!QJZ1</f>
        <v>0</v>
      </c>
      <c r="QJH1">
        <f>Database!QKA1</f>
        <v>0</v>
      </c>
      <c r="QJI1">
        <f>Database!QKB1</f>
        <v>0</v>
      </c>
      <c r="QJJ1">
        <f>Database!QKC1</f>
        <v>0</v>
      </c>
      <c r="QJK1">
        <f>Database!QKD1</f>
        <v>0</v>
      </c>
      <c r="QJL1">
        <f>Database!QKE1</f>
        <v>0</v>
      </c>
      <c r="QJM1">
        <f>Database!QKF1</f>
        <v>0</v>
      </c>
      <c r="QJN1">
        <f>Database!QKG1</f>
        <v>0</v>
      </c>
      <c r="QJO1">
        <f>Database!QKH1</f>
        <v>0</v>
      </c>
      <c r="QJP1">
        <f>Database!QKI1</f>
        <v>0</v>
      </c>
      <c r="QJQ1">
        <f>Database!QKJ1</f>
        <v>0</v>
      </c>
      <c r="QJR1">
        <f>Database!QKK1</f>
        <v>0</v>
      </c>
      <c r="QJS1">
        <f>Database!QKL1</f>
        <v>0</v>
      </c>
      <c r="QJT1">
        <f>Database!QKM1</f>
        <v>0</v>
      </c>
      <c r="QJU1">
        <f>Database!QKN1</f>
        <v>0</v>
      </c>
      <c r="QJV1">
        <f>Database!QKO1</f>
        <v>0</v>
      </c>
      <c r="QJW1">
        <f>Database!QKP1</f>
        <v>0</v>
      </c>
      <c r="QJX1">
        <f>Database!QKQ1</f>
        <v>0</v>
      </c>
      <c r="QJY1">
        <f>Database!QKR1</f>
        <v>0</v>
      </c>
      <c r="QJZ1">
        <f>Database!QKS1</f>
        <v>0</v>
      </c>
      <c r="QKA1">
        <f>Database!QKT1</f>
        <v>0</v>
      </c>
      <c r="QKB1">
        <f>Database!QKU1</f>
        <v>0</v>
      </c>
      <c r="QKC1">
        <f>Database!QKV1</f>
        <v>0</v>
      </c>
      <c r="QKD1">
        <f>Database!QKW1</f>
        <v>0</v>
      </c>
      <c r="QKE1">
        <f>Database!QKX1</f>
        <v>0</v>
      </c>
      <c r="QKF1">
        <f>Database!QKY1</f>
        <v>0</v>
      </c>
      <c r="QKG1">
        <f>Database!QKZ1</f>
        <v>0</v>
      </c>
      <c r="QKH1">
        <f>Database!QLA1</f>
        <v>0</v>
      </c>
      <c r="QKI1">
        <f>Database!QLB1</f>
        <v>0</v>
      </c>
      <c r="QKJ1">
        <f>Database!QLC1</f>
        <v>0</v>
      </c>
      <c r="QKK1">
        <f>Database!QLD1</f>
        <v>0</v>
      </c>
      <c r="QKL1">
        <f>Database!QLE1</f>
        <v>0</v>
      </c>
      <c r="QKM1">
        <f>Database!QLF1</f>
        <v>0</v>
      </c>
      <c r="QKN1">
        <f>Database!QLG1</f>
        <v>0</v>
      </c>
      <c r="QKO1">
        <f>Database!QLH1</f>
        <v>0</v>
      </c>
      <c r="QKP1">
        <f>Database!QLI1</f>
        <v>0</v>
      </c>
      <c r="QKQ1">
        <f>Database!QLJ1</f>
        <v>0</v>
      </c>
      <c r="QKR1">
        <f>Database!QLK1</f>
        <v>0</v>
      </c>
      <c r="QKS1">
        <f>Database!QLL1</f>
        <v>0</v>
      </c>
      <c r="QKT1">
        <f>Database!QLM1</f>
        <v>0</v>
      </c>
      <c r="QKU1">
        <f>Database!QLN1</f>
        <v>0</v>
      </c>
      <c r="QKV1">
        <f>Database!QLO1</f>
        <v>0</v>
      </c>
      <c r="QKW1">
        <f>Database!QLP1</f>
        <v>0</v>
      </c>
      <c r="QKX1">
        <f>Database!QLQ1</f>
        <v>0</v>
      </c>
      <c r="QKY1">
        <f>Database!QLR1</f>
        <v>0</v>
      </c>
      <c r="QKZ1">
        <f>Database!QLS1</f>
        <v>0</v>
      </c>
      <c r="QLA1">
        <f>Database!QLT1</f>
        <v>0</v>
      </c>
      <c r="QLB1">
        <f>Database!QLU1</f>
        <v>0</v>
      </c>
      <c r="QLC1">
        <f>Database!QLV1</f>
        <v>0</v>
      </c>
      <c r="QLD1">
        <f>Database!QLW1</f>
        <v>0</v>
      </c>
      <c r="QLE1">
        <f>Database!QLX1</f>
        <v>0</v>
      </c>
      <c r="QLF1">
        <f>Database!QLY1</f>
        <v>0</v>
      </c>
      <c r="QLG1">
        <f>Database!QLZ1</f>
        <v>0</v>
      </c>
      <c r="QLH1">
        <f>Database!QMA1</f>
        <v>0</v>
      </c>
      <c r="QLI1">
        <f>Database!QMB1</f>
        <v>0</v>
      </c>
      <c r="QLJ1">
        <f>Database!QMC1</f>
        <v>0</v>
      </c>
      <c r="QLK1">
        <f>Database!QMD1</f>
        <v>0</v>
      </c>
      <c r="QLL1">
        <f>Database!QME1</f>
        <v>0</v>
      </c>
      <c r="QLM1">
        <f>Database!QMF1</f>
        <v>0</v>
      </c>
      <c r="QLN1">
        <f>Database!QMG1</f>
        <v>0</v>
      </c>
      <c r="QLO1">
        <f>Database!QMH1</f>
        <v>0</v>
      </c>
      <c r="QLP1">
        <f>Database!QMI1</f>
        <v>0</v>
      </c>
      <c r="QLQ1">
        <f>Database!QMJ1</f>
        <v>0</v>
      </c>
      <c r="QLR1">
        <f>Database!QMK1</f>
        <v>0</v>
      </c>
      <c r="QLS1">
        <f>Database!QML1</f>
        <v>0</v>
      </c>
      <c r="QLT1">
        <f>Database!QMM1</f>
        <v>0</v>
      </c>
      <c r="QLU1">
        <f>Database!QMN1</f>
        <v>0</v>
      </c>
      <c r="QLV1">
        <f>Database!QMO1</f>
        <v>0</v>
      </c>
      <c r="QLW1">
        <f>Database!QMP1</f>
        <v>0</v>
      </c>
      <c r="QLX1">
        <f>Database!QMQ1</f>
        <v>0</v>
      </c>
      <c r="QLY1">
        <f>Database!QMR1</f>
        <v>0</v>
      </c>
      <c r="QLZ1">
        <f>Database!QMS1</f>
        <v>0</v>
      </c>
      <c r="QMA1">
        <f>Database!QMT1</f>
        <v>0</v>
      </c>
      <c r="QMB1">
        <f>Database!QMU1</f>
        <v>0</v>
      </c>
      <c r="QMC1">
        <f>Database!QMV1</f>
        <v>0</v>
      </c>
      <c r="QMD1">
        <f>Database!QMW1</f>
        <v>0</v>
      </c>
      <c r="QME1">
        <f>Database!QMX1</f>
        <v>0</v>
      </c>
      <c r="QMF1">
        <f>Database!QMY1</f>
        <v>0</v>
      </c>
      <c r="QMG1">
        <f>Database!QMZ1</f>
        <v>0</v>
      </c>
      <c r="QMH1">
        <f>Database!QNA1</f>
        <v>0</v>
      </c>
      <c r="QMI1">
        <f>Database!QNB1</f>
        <v>0</v>
      </c>
      <c r="QMJ1">
        <f>Database!QNC1</f>
        <v>0</v>
      </c>
      <c r="QMK1">
        <f>Database!QND1</f>
        <v>0</v>
      </c>
      <c r="QML1">
        <f>Database!QNE1</f>
        <v>0</v>
      </c>
      <c r="QMM1">
        <f>Database!QNF1</f>
        <v>0</v>
      </c>
      <c r="QMN1">
        <f>Database!QNG1</f>
        <v>0</v>
      </c>
      <c r="QMO1">
        <f>Database!QNH1</f>
        <v>0</v>
      </c>
      <c r="QMP1">
        <f>Database!QNI1</f>
        <v>0</v>
      </c>
      <c r="QMQ1">
        <f>Database!QNJ1</f>
        <v>0</v>
      </c>
      <c r="QMR1">
        <f>Database!QNK1</f>
        <v>0</v>
      </c>
      <c r="QMS1">
        <f>Database!QNL1</f>
        <v>0</v>
      </c>
      <c r="QMT1">
        <f>Database!QNM1</f>
        <v>0</v>
      </c>
      <c r="QMU1">
        <f>Database!QNN1</f>
        <v>0</v>
      </c>
      <c r="QMV1">
        <f>Database!QNO1</f>
        <v>0</v>
      </c>
      <c r="QMW1">
        <f>Database!QNP1</f>
        <v>0</v>
      </c>
      <c r="QMX1">
        <f>Database!QNQ1</f>
        <v>0</v>
      </c>
      <c r="QMY1">
        <f>Database!QNR1</f>
        <v>0</v>
      </c>
      <c r="QMZ1">
        <f>Database!QNS1</f>
        <v>0</v>
      </c>
      <c r="QNA1">
        <f>Database!QNT1</f>
        <v>0</v>
      </c>
      <c r="QNB1">
        <f>Database!QNU1</f>
        <v>0</v>
      </c>
      <c r="QNC1">
        <f>Database!QNV1</f>
        <v>0</v>
      </c>
      <c r="QND1">
        <f>Database!QNW1</f>
        <v>0</v>
      </c>
      <c r="QNE1">
        <f>Database!QNX1</f>
        <v>0</v>
      </c>
      <c r="QNF1">
        <f>Database!QNY1</f>
        <v>0</v>
      </c>
      <c r="QNG1">
        <f>Database!QNZ1</f>
        <v>0</v>
      </c>
      <c r="QNH1">
        <f>Database!QOA1</f>
        <v>0</v>
      </c>
      <c r="QNI1">
        <f>Database!QOB1</f>
        <v>0</v>
      </c>
      <c r="QNJ1">
        <f>Database!QOC1</f>
        <v>0</v>
      </c>
      <c r="QNK1">
        <f>Database!QOD1</f>
        <v>0</v>
      </c>
      <c r="QNL1">
        <f>Database!QOE1</f>
        <v>0</v>
      </c>
      <c r="QNM1">
        <f>Database!QOF1</f>
        <v>0</v>
      </c>
      <c r="QNN1">
        <f>Database!QOG1</f>
        <v>0</v>
      </c>
      <c r="QNO1">
        <f>Database!QOH1</f>
        <v>0</v>
      </c>
      <c r="QNP1">
        <f>Database!QOI1</f>
        <v>0</v>
      </c>
      <c r="QNQ1">
        <f>Database!QOJ1</f>
        <v>0</v>
      </c>
      <c r="QNR1">
        <f>Database!QOK1</f>
        <v>0</v>
      </c>
      <c r="QNS1">
        <f>Database!QOL1</f>
        <v>0</v>
      </c>
      <c r="QNT1">
        <f>Database!QOM1</f>
        <v>0</v>
      </c>
      <c r="QNU1">
        <f>Database!QON1</f>
        <v>0</v>
      </c>
      <c r="QNV1">
        <f>Database!QOO1</f>
        <v>0</v>
      </c>
      <c r="QNW1">
        <f>Database!QOP1</f>
        <v>0</v>
      </c>
      <c r="QNX1">
        <f>Database!QOQ1</f>
        <v>0</v>
      </c>
      <c r="QNY1">
        <f>Database!QOR1</f>
        <v>0</v>
      </c>
      <c r="QNZ1">
        <f>Database!QOS1</f>
        <v>0</v>
      </c>
      <c r="QOA1">
        <f>Database!QOT1</f>
        <v>0</v>
      </c>
      <c r="QOB1">
        <f>Database!QOU1</f>
        <v>0</v>
      </c>
      <c r="QOC1">
        <f>Database!QOV1</f>
        <v>0</v>
      </c>
      <c r="QOD1">
        <f>Database!QOW1</f>
        <v>0</v>
      </c>
      <c r="QOE1">
        <f>Database!QOX1</f>
        <v>0</v>
      </c>
      <c r="QOF1">
        <f>Database!QOY1</f>
        <v>0</v>
      </c>
      <c r="QOG1">
        <f>Database!QOZ1</f>
        <v>0</v>
      </c>
      <c r="QOH1">
        <f>Database!QPA1</f>
        <v>0</v>
      </c>
      <c r="QOI1">
        <f>Database!QPB1</f>
        <v>0</v>
      </c>
      <c r="QOJ1">
        <f>Database!QPC1</f>
        <v>0</v>
      </c>
      <c r="QOK1">
        <f>Database!QPD1</f>
        <v>0</v>
      </c>
      <c r="QOL1">
        <f>Database!QPE1</f>
        <v>0</v>
      </c>
      <c r="QOM1">
        <f>Database!QPF1</f>
        <v>0</v>
      </c>
      <c r="QON1">
        <f>Database!QPG1</f>
        <v>0</v>
      </c>
      <c r="QOO1">
        <f>Database!QPH1</f>
        <v>0</v>
      </c>
      <c r="QOP1">
        <f>Database!QPI1</f>
        <v>0</v>
      </c>
      <c r="QOQ1">
        <f>Database!QPJ1</f>
        <v>0</v>
      </c>
      <c r="QOR1">
        <f>Database!QPK1</f>
        <v>0</v>
      </c>
      <c r="QOS1">
        <f>Database!QPL1</f>
        <v>0</v>
      </c>
      <c r="QOT1">
        <f>Database!QPM1</f>
        <v>0</v>
      </c>
      <c r="QOU1">
        <f>Database!QPN1</f>
        <v>0</v>
      </c>
      <c r="QOV1">
        <f>Database!QPO1</f>
        <v>0</v>
      </c>
      <c r="QOW1">
        <f>Database!QPP1</f>
        <v>0</v>
      </c>
      <c r="QOX1">
        <f>Database!QPQ1</f>
        <v>0</v>
      </c>
      <c r="QOY1">
        <f>Database!QPR1</f>
        <v>0</v>
      </c>
      <c r="QOZ1">
        <f>Database!QPS1</f>
        <v>0</v>
      </c>
      <c r="QPA1">
        <f>Database!QPT1</f>
        <v>0</v>
      </c>
      <c r="QPB1">
        <f>Database!QPU1</f>
        <v>0</v>
      </c>
      <c r="QPC1">
        <f>Database!QPV1</f>
        <v>0</v>
      </c>
      <c r="QPD1">
        <f>Database!QPW1</f>
        <v>0</v>
      </c>
      <c r="QPE1">
        <f>Database!QPX1</f>
        <v>0</v>
      </c>
      <c r="QPF1">
        <f>Database!QPY1</f>
        <v>0</v>
      </c>
      <c r="QPG1">
        <f>Database!QPZ1</f>
        <v>0</v>
      </c>
      <c r="QPH1">
        <f>Database!QQA1</f>
        <v>0</v>
      </c>
      <c r="QPI1">
        <f>Database!QQB1</f>
        <v>0</v>
      </c>
      <c r="QPJ1">
        <f>Database!QQC1</f>
        <v>0</v>
      </c>
      <c r="QPK1">
        <f>Database!QQD1</f>
        <v>0</v>
      </c>
      <c r="QPL1">
        <f>Database!QQE1</f>
        <v>0</v>
      </c>
      <c r="QPM1">
        <f>Database!QQF1</f>
        <v>0</v>
      </c>
      <c r="QPN1">
        <f>Database!QQG1</f>
        <v>0</v>
      </c>
      <c r="QPO1">
        <f>Database!QQH1</f>
        <v>0</v>
      </c>
      <c r="QPP1">
        <f>Database!QQI1</f>
        <v>0</v>
      </c>
      <c r="QPQ1">
        <f>Database!QQJ1</f>
        <v>0</v>
      </c>
      <c r="QPR1">
        <f>Database!QQK1</f>
        <v>0</v>
      </c>
      <c r="QPS1">
        <f>Database!QQL1</f>
        <v>0</v>
      </c>
      <c r="QPT1">
        <f>Database!QQM1</f>
        <v>0</v>
      </c>
      <c r="QPU1">
        <f>Database!QQN1</f>
        <v>0</v>
      </c>
      <c r="QPV1">
        <f>Database!QQO1</f>
        <v>0</v>
      </c>
      <c r="QPW1">
        <f>Database!QQP1</f>
        <v>0</v>
      </c>
      <c r="QPX1">
        <f>Database!QQQ1</f>
        <v>0</v>
      </c>
      <c r="QPY1">
        <f>Database!QQR1</f>
        <v>0</v>
      </c>
      <c r="QPZ1">
        <f>Database!QQS1</f>
        <v>0</v>
      </c>
      <c r="QQA1">
        <f>Database!QQT1</f>
        <v>0</v>
      </c>
      <c r="QQB1">
        <f>Database!QQU1</f>
        <v>0</v>
      </c>
      <c r="QQC1">
        <f>Database!QQV1</f>
        <v>0</v>
      </c>
      <c r="QQD1">
        <f>Database!QQW1</f>
        <v>0</v>
      </c>
      <c r="QQE1">
        <f>Database!QQX1</f>
        <v>0</v>
      </c>
      <c r="QQF1">
        <f>Database!QQY1</f>
        <v>0</v>
      </c>
      <c r="QQG1">
        <f>Database!QQZ1</f>
        <v>0</v>
      </c>
      <c r="QQH1">
        <f>Database!QRA1</f>
        <v>0</v>
      </c>
      <c r="QQI1">
        <f>Database!QRB1</f>
        <v>0</v>
      </c>
      <c r="QQJ1">
        <f>Database!QRC1</f>
        <v>0</v>
      </c>
      <c r="QQK1">
        <f>Database!QRD1</f>
        <v>0</v>
      </c>
      <c r="QQL1">
        <f>Database!QRE1</f>
        <v>0</v>
      </c>
      <c r="QQM1">
        <f>Database!QRF1</f>
        <v>0</v>
      </c>
      <c r="QQN1">
        <f>Database!QRG1</f>
        <v>0</v>
      </c>
      <c r="QQO1">
        <f>Database!QRH1</f>
        <v>0</v>
      </c>
      <c r="QQP1">
        <f>Database!QRI1</f>
        <v>0</v>
      </c>
      <c r="QQQ1">
        <f>Database!QRJ1</f>
        <v>0</v>
      </c>
      <c r="QQR1">
        <f>Database!QRK1</f>
        <v>0</v>
      </c>
      <c r="QQS1">
        <f>Database!QRL1</f>
        <v>0</v>
      </c>
      <c r="QQT1">
        <f>Database!QRM1</f>
        <v>0</v>
      </c>
      <c r="QQU1">
        <f>Database!QRN1</f>
        <v>0</v>
      </c>
      <c r="QQV1">
        <f>Database!QRO1</f>
        <v>0</v>
      </c>
      <c r="QQW1">
        <f>Database!QRP1</f>
        <v>0</v>
      </c>
      <c r="QQX1">
        <f>Database!QRQ1</f>
        <v>0</v>
      </c>
      <c r="QQY1">
        <f>Database!QRR1</f>
        <v>0</v>
      </c>
      <c r="QQZ1">
        <f>Database!QRS1</f>
        <v>0</v>
      </c>
      <c r="QRA1">
        <f>Database!QRT1</f>
        <v>0</v>
      </c>
      <c r="QRB1">
        <f>Database!QRU1</f>
        <v>0</v>
      </c>
      <c r="QRC1">
        <f>Database!QRV1</f>
        <v>0</v>
      </c>
      <c r="QRD1">
        <f>Database!QRW1</f>
        <v>0</v>
      </c>
      <c r="QRE1">
        <f>Database!QRX1</f>
        <v>0</v>
      </c>
      <c r="QRF1">
        <f>Database!QRY1</f>
        <v>0</v>
      </c>
      <c r="QRG1">
        <f>Database!QRZ1</f>
        <v>0</v>
      </c>
      <c r="QRH1">
        <f>Database!QSA1</f>
        <v>0</v>
      </c>
      <c r="QRI1">
        <f>Database!QSB1</f>
        <v>0</v>
      </c>
      <c r="QRJ1">
        <f>Database!QSC1</f>
        <v>0</v>
      </c>
      <c r="QRK1">
        <f>Database!QSD1</f>
        <v>0</v>
      </c>
      <c r="QRL1">
        <f>Database!QSE1</f>
        <v>0</v>
      </c>
      <c r="QRM1">
        <f>Database!QSF1</f>
        <v>0</v>
      </c>
      <c r="QRN1">
        <f>Database!QSG1</f>
        <v>0</v>
      </c>
      <c r="QRO1">
        <f>Database!QSH1</f>
        <v>0</v>
      </c>
      <c r="QRP1">
        <f>Database!QSI1</f>
        <v>0</v>
      </c>
      <c r="QRQ1">
        <f>Database!QSJ1</f>
        <v>0</v>
      </c>
      <c r="QRR1">
        <f>Database!QSK1</f>
        <v>0</v>
      </c>
      <c r="QRS1">
        <f>Database!QSL1</f>
        <v>0</v>
      </c>
      <c r="QRT1">
        <f>Database!QSM1</f>
        <v>0</v>
      </c>
      <c r="QRU1">
        <f>Database!QSN1</f>
        <v>0</v>
      </c>
      <c r="QRV1">
        <f>Database!QSO1</f>
        <v>0</v>
      </c>
      <c r="QRW1">
        <f>Database!QSP1</f>
        <v>0</v>
      </c>
      <c r="QRX1">
        <f>Database!QSQ1</f>
        <v>0</v>
      </c>
      <c r="QRY1">
        <f>Database!QSR1</f>
        <v>0</v>
      </c>
      <c r="QRZ1">
        <f>Database!QSS1</f>
        <v>0</v>
      </c>
      <c r="QSA1">
        <f>Database!QST1</f>
        <v>0</v>
      </c>
      <c r="QSB1">
        <f>Database!QSU1</f>
        <v>0</v>
      </c>
      <c r="QSC1">
        <f>Database!QSV1</f>
        <v>0</v>
      </c>
      <c r="QSD1">
        <f>Database!QSW1</f>
        <v>0</v>
      </c>
      <c r="QSE1">
        <f>Database!QSX1</f>
        <v>0</v>
      </c>
      <c r="QSF1">
        <f>Database!QSY1</f>
        <v>0</v>
      </c>
      <c r="QSG1">
        <f>Database!QSZ1</f>
        <v>0</v>
      </c>
      <c r="QSH1">
        <f>Database!QTA1</f>
        <v>0</v>
      </c>
      <c r="QSI1">
        <f>Database!QTB1</f>
        <v>0</v>
      </c>
      <c r="QSJ1">
        <f>Database!QTC1</f>
        <v>0</v>
      </c>
      <c r="QSK1">
        <f>Database!QTD1</f>
        <v>0</v>
      </c>
      <c r="QSL1">
        <f>Database!QTE1</f>
        <v>0</v>
      </c>
      <c r="QSM1">
        <f>Database!QTF1</f>
        <v>0</v>
      </c>
      <c r="QSN1">
        <f>Database!QTG1</f>
        <v>0</v>
      </c>
      <c r="QSO1">
        <f>Database!QTH1</f>
        <v>0</v>
      </c>
      <c r="QSP1">
        <f>Database!QTI1</f>
        <v>0</v>
      </c>
      <c r="QSQ1">
        <f>Database!QTJ1</f>
        <v>0</v>
      </c>
      <c r="QSR1">
        <f>Database!QTK1</f>
        <v>0</v>
      </c>
      <c r="QSS1">
        <f>Database!QTL1</f>
        <v>0</v>
      </c>
      <c r="QST1">
        <f>Database!QTM1</f>
        <v>0</v>
      </c>
      <c r="QSU1">
        <f>Database!QTN1</f>
        <v>0</v>
      </c>
      <c r="QSV1">
        <f>Database!QTO1</f>
        <v>0</v>
      </c>
      <c r="QSW1">
        <f>Database!QTP1</f>
        <v>0</v>
      </c>
      <c r="QSX1">
        <f>Database!QTQ1</f>
        <v>0</v>
      </c>
      <c r="QSY1">
        <f>Database!QTR1</f>
        <v>0</v>
      </c>
      <c r="QSZ1">
        <f>Database!QTS1</f>
        <v>0</v>
      </c>
      <c r="QTA1">
        <f>Database!QTT1</f>
        <v>0</v>
      </c>
      <c r="QTB1">
        <f>Database!QTU1</f>
        <v>0</v>
      </c>
      <c r="QTC1">
        <f>Database!QTV1</f>
        <v>0</v>
      </c>
      <c r="QTD1">
        <f>Database!QTW1</f>
        <v>0</v>
      </c>
      <c r="QTE1">
        <f>Database!QTX1</f>
        <v>0</v>
      </c>
      <c r="QTF1">
        <f>Database!QTY1</f>
        <v>0</v>
      </c>
      <c r="QTG1">
        <f>Database!QTZ1</f>
        <v>0</v>
      </c>
      <c r="QTH1">
        <f>Database!QUA1</f>
        <v>0</v>
      </c>
      <c r="QTI1">
        <f>Database!QUB1</f>
        <v>0</v>
      </c>
      <c r="QTJ1">
        <f>Database!QUC1</f>
        <v>0</v>
      </c>
      <c r="QTK1">
        <f>Database!QUD1</f>
        <v>0</v>
      </c>
      <c r="QTL1">
        <f>Database!QUE1</f>
        <v>0</v>
      </c>
      <c r="QTM1">
        <f>Database!QUF1</f>
        <v>0</v>
      </c>
      <c r="QTN1">
        <f>Database!QUG1</f>
        <v>0</v>
      </c>
      <c r="QTO1">
        <f>Database!QUH1</f>
        <v>0</v>
      </c>
      <c r="QTP1">
        <f>Database!QUI1</f>
        <v>0</v>
      </c>
      <c r="QTQ1">
        <f>Database!QUJ1</f>
        <v>0</v>
      </c>
      <c r="QTR1">
        <f>Database!QUK1</f>
        <v>0</v>
      </c>
      <c r="QTS1">
        <f>Database!QUL1</f>
        <v>0</v>
      </c>
      <c r="QTT1">
        <f>Database!QUM1</f>
        <v>0</v>
      </c>
      <c r="QTU1">
        <f>Database!QUN1</f>
        <v>0</v>
      </c>
      <c r="QTV1">
        <f>Database!QUO1</f>
        <v>0</v>
      </c>
      <c r="QTW1">
        <f>Database!QUP1</f>
        <v>0</v>
      </c>
      <c r="QTX1">
        <f>Database!QUQ1</f>
        <v>0</v>
      </c>
      <c r="QTY1">
        <f>Database!QUR1</f>
        <v>0</v>
      </c>
      <c r="QTZ1">
        <f>Database!QUS1</f>
        <v>0</v>
      </c>
      <c r="QUA1">
        <f>Database!QUT1</f>
        <v>0</v>
      </c>
      <c r="QUB1">
        <f>Database!QUU1</f>
        <v>0</v>
      </c>
      <c r="QUC1">
        <f>Database!QUV1</f>
        <v>0</v>
      </c>
      <c r="QUD1">
        <f>Database!QUW1</f>
        <v>0</v>
      </c>
      <c r="QUE1">
        <f>Database!QUX1</f>
        <v>0</v>
      </c>
      <c r="QUF1">
        <f>Database!QUY1</f>
        <v>0</v>
      </c>
      <c r="QUG1">
        <f>Database!QUZ1</f>
        <v>0</v>
      </c>
      <c r="QUH1">
        <f>Database!QVA1</f>
        <v>0</v>
      </c>
      <c r="QUI1">
        <f>Database!QVB1</f>
        <v>0</v>
      </c>
      <c r="QUJ1">
        <f>Database!QVC1</f>
        <v>0</v>
      </c>
      <c r="QUK1">
        <f>Database!QVD1</f>
        <v>0</v>
      </c>
      <c r="QUL1">
        <f>Database!QVE1</f>
        <v>0</v>
      </c>
      <c r="QUM1">
        <f>Database!QVF1</f>
        <v>0</v>
      </c>
      <c r="QUN1">
        <f>Database!QVG1</f>
        <v>0</v>
      </c>
      <c r="QUO1">
        <f>Database!QVH1</f>
        <v>0</v>
      </c>
      <c r="QUP1">
        <f>Database!QVI1</f>
        <v>0</v>
      </c>
      <c r="QUQ1">
        <f>Database!QVJ1</f>
        <v>0</v>
      </c>
      <c r="QUR1">
        <f>Database!QVK1</f>
        <v>0</v>
      </c>
      <c r="QUS1">
        <f>Database!QVL1</f>
        <v>0</v>
      </c>
      <c r="QUT1">
        <f>Database!QVM1</f>
        <v>0</v>
      </c>
      <c r="QUU1">
        <f>Database!QVN1</f>
        <v>0</v>
      </c>
      <c r="QUV1">
        <f>Database!QVO1</f>
        <v>0</v>
      </c>
      <c r="QUW1">
        <f>Database!QVP1</f>
        <v>0</v>
      </c>
      <c r="QUX1">
        <f>Database!QVQ1</f>
        <v>0</v>
      </c>
      <c r="QUY1">
        <f>Database!QVR1</f>
        <v>0</v>
      </c>
      <c r="QUZ1">
        <f>Database!QVS1</f>
        <v>0</v>
      </c>
      <c r="QVA1">
        <f>Database!QVT1</f>
        <v>0</v>
      </c>
      <c r="QVB1">
        <f>Database!QVU1</f>
        <v>0</v>
      </c>
      <c r="QVC1">
        <f>Database!QVV1</f>
        <v>0</v>
      </c>
      <c r="QVD1">
        <f>Database!QVW1</f>
        <v>0</v>
      </c>
      <c r="QVE1">
        <f>Database!QVX1</f>
        <v>0</v>
      </c>
      <c r="QVF1">
        <f>Database!QVY1</f>
        <v>0</v>
      </c>
      <c r="QVG1">
        <f>Database!QVZ1</f>
        <v>0</v>
      </c>
      <c r="QVH1">
        <f>Database!QWA1</f>
        <v>0</v>
      </c>
      <c r="QVI1">
        <f>Database!QWB1</f>
        <v>0</v>
      </c>
      <c r="QVJ1">
        <f>Database!QWC1</f>
        <v>0</v>
      </c>
      <c r="QVK1">
        <f>Database!QWD1</f>
        <v>0</v>
      </c>
      <c r="QVL1">
        <f>Database!QWE1</f>
        <v>0</v>
      </c>
      <c r="QVM1">
        <f>Database!QWF1</f>
        <v>0</v>
      </c>
      <c r="QVN1">
        <f>Database!QWG1</f>
        <v>0</v>
      </c>
      <c r="QVO1">
        <f>Database!QWH1</f>
        <v>0</v>
      </c>
      <c r="QVP1">
        <f>Database!QWI1</f>
        <v>0</v>
      </c>
      <c r="QVQ1">
        <f>Database!QWJ1</f>
        <v>0</v>
      </c>
      <c r="QVR1">
        <f>Database!QWK1</f>
        <v>0</v>
      </c>
      <c r="QVS1">
        <f>Database!QWL1</f>
        <v>0</v>
      </c>
      <c r="QVT1">
        <f>Database!QWM1</f>
        <v>0</v>
      </c>
      <c r="QVU1">
        <f>Database!QWN1</f>
        <v>0</v>
      </c>
      <c r="QVV1">
        <f>Database!QWO1</f>
        <v>0</v>
      </c>
      <c r="QVW1">
        <f>Database!QWP1</f>
        <v>0</v>
      </c>
      <c r="QVX1">
        <f>Database!QWQ1</f>
        <v>0</v>
      </c>
      <c r="QVY1">
        <f>Database!QWR1</f>
        <v>0</v>
      </c>
      <c r="QVZ1">
        <f>Database!QWS1</f>
        <v>0</v>
      </c>
      <c r="QWA1">
        <f>Database!QWT1</f>
        <v>0</v>
      </c>
      <c r="QWB1">
        <f>Database!QWU1</f>
        <v>0</v>
      </c>
      <c r="QWC1">
        <f>Database!QWV1</f>
        <v>0</v>
      </c>
      <c r="QWD1">
        <f>Database!QWW1</f>
        <v>0</v>
      </c>
      <c r="QWE1">
        <f>Database!QWX1</f>
        <v>0</v>
      </c>
      <c r="QWF1">
        <f>Database!QWY1</f>
        <v>0</v>
      </c>
      <c r="QWG1">
        <f>Database!QWZ1</f>
        <v>0</v>
      </c>
      <c r="QWH1">
        <f>Database!QXA1</f>
        <v>0</v>
      </c>
      <c r="QWI1">
        <f>Database!QXB1</f>
        <v>0</v>
      </c>
      <c r="QWJ1">
        <f>Database!QXC1</f>
        <v>0</v>
      </c>
      <c r="QWK1">
        <f>Database!QXD1</f>
        <v>0</v>
      </c>
      <c r="QWL1">
        <f>Database!QXE1</f>
        <v>0</v>
      </c>
      <c r="QWM1">
        <f>Database!QXF1</f>
        <v>0</v>
      </c>
      <c r="QWN1">
        <f>Database!QXG1</f>
        <v>0</v>
      </c>
      <c r="QWO1">
        <f>Database!QXH1</f>
        <v>0</v>
      </c>
      <c r="QWP1">
        <f>Database!QXI1</f>
        <v>0</v>
      </c>
      <c r="QWQ1">
        <f>Database!QXJ1</f>
        <v>0</v>
      </c>
      <c r="QWR1">
        <f>Database!QXK1</f>
        <v>0</v>
      </c>
      <c r="QWS1">
        <f>Database!QXL1</f>
        <v>0</v>
      </c>
      <c r="QWT1">
        <f>Database!QXM1</f>
        <v>0</v>
      </c>
      <c r="QWU1">
        <f>Database!QXN1</f>
        <v>0</v>
      </c>
      <c r="QWV1">
        <f>Database!QXO1</f>
        <v>0</v>
      </c>
      <c r="QWW1">
        <f>Database!QXP1</f>
        <v>0</v>
      </c>
      <c r="QWX1">
        <f>Database!QXQ1</f>
        <v>0</v>
      </c>
      <c r="QWY1">
        <f>Database!QXR1</f>
        <v>0</v>
      </c>
      <c r="QWZ1">
        <f>Database!QXS1</f>
        <v>0</v>
      </c>
      <c r="QXA1">
        <f>Database!QXT1</f>
        <v>0</v>
      </c>
      <c r="QXB1">
        <f>Database!QXU1</f>
        <v>0</v>
      </c>
      <c r="QXC1">
        <f>Database!QXV1</f>
        <v>0</v>
      </c>
      <c r="QXD1">
        <f>Database!QXW1</f>
        <v>0</v>
      </c>
      <c r="QXE1">
        <f>Database!QXX1</f>
        <v>0</v>
      </c>
      <c r="QXF1">
        <f>Database!QXY1</f>
        <v>0</v>
      </c>
      <c r="QXG1">
        <f>Database!QXZ1</f>
        <v>0</v>
      </c>
      <c r="QXH1">
        <f>Database!QYA1</f>
        <v>0</v>
      </c>
      <c r="QXI1">
        <f>Database!QYB1</f>
        <v>0</v>
      </c>
      <c r="QXJ1">
        <f>Database!QYC1</f>
        <v>0</v>
      </c>
      <c r="QXK1">
        <f>Database!QYD1</f>
        <v>0</v>
      </c>
      <c r="QXL1">
        <f>Database!QYE1</f>
        <v>0</v>
      </c>
      <c r="QXM1">
        <f>Database!QYF1</f>
        <v>0</v>
      </c>
      <c r="QXN1">
        <f>Database!QYG1</f>
        <v>0</v>
      </c>
      <c r="QXO1">
        <f>Database!QYH1</f>
        <v>0</v>
      </c>
      <c r="QXP1">
        <f>Database!QYI1</f>
        <v>0</v>
      </c>
      <c r="QXQ1">
        <f>Database!QYJ1</f>
        <v>0</v>
      </c>
      <c r="QXR1">
        <f>Database!QYK1</f>
        <v>0</v>
      </c>
      <c r="QXS1">
        <f>Database!QYL1</f>
        <v>0</v>
      </c>
      <c r="QXT1">
        <f>Database!QYM1</f>
        <v>0</v>
      </c>
      <c r="QXU1">
        <f>Database!QYN1</f>
        <v>0</v>
      </c>
      <c r="QXV1">
        <f>Database!QYO1</f>
        <v>0</v>
      </c>
      <c r="QXW1">
        <f>Database!QYP1</f>
        <v>0</v>
      </c>
      <c r="QXX1">
        <f>Database!QYQ1</f>
        <v>0</v>
      </c>
      <c r="QXY1">
        <f>Database!QYR1</f>
        <v>0</v>
      </c>
      <c r="QXZ1">
        <f>Database!QYS1</f>
        <v>0</v>
      </c>
      <c r="QYA1">
        <f>Database!QYT1</f>
        <v>0</v>
      </c>
      <c r="QYB1">
        <f>Database!QYU1</f>
        <v>0</v>
      </c>
      <c r="QYC1">
        <f>Database!QYV1</f>
        <v>0</v>
      </c>
      <c r="QYD1">
        <f>Database!QYW1</f>
        <v>0</v>
      </c>
      <c r="QYE1">
        <f>Database!QYX1</f>
        <v>0</v>
      </c>
      <c r="QYF1">
        <f>Database!QYY1</f>
        <v>0</v>
      </c>
      <c r="QYG1">
        <f>Database!QYZ1</f>
        <v>0</v>
      </c>
      <c r="QYH1">
        <f>Database!QZA1</f>
        <v>0</v>
      </c>
      <c r="QYI1">
        <f>Database!QZB1</f>
        <v>0</v>
      </c>
      <c r="QYJ1">
        <f>Database!QZC1</f>
        <v>0</v>
      </c>
      <c r="QYK1">
        <f>Database!QZD1</f>
        <v>0</v>
      </c>
      <c r="QYL1">
        <f>Database!QZE1</f>
        <v>0</v>
      </c>
      <c r="QYM1">
        <f>Database!QZF1</f>
        <v>0</v>
      </c>
      <c r="QYN1">
        <f>Database!QZG1</f>
        <v>0</v>
      </c>
      <c r="QYO1">
        <f>Database!QZH1</f>
        <v>0</v>
      </c>
      <c r="QYP1">
        <f>Database!QZI1</f>
        <v>0</v>
      </c>
      <c r="QYQ1">
        <f>Database!QZJ1</f>
        <v>0</v>
      </c>
      <c r="QYR1">
        <f>Database!QZK1</f>
        <v>0</v>
      </c>
      <c r="QYS1">
        <f>Database!QZL1</f>
        <v>0</v>
      </c>
      <c r="QYT1">
        <f>Database!QZM1</f>
        <v>0</v>
      </c>
      <c r="QYU1">
        <f>Database!QZN1</f>
        <v>0</v>
      </c>
      <c r="QYV1">
        <f>Database!QZO1</f>
        <v>0</v>
      </c>
      <c r="QYW1">
        <f>Database!QZP1</f>
        <v>0</v>
      </c>
      <c r="QYX1">
        <f>Database!QZQ1</f>
        <v>0</v>
      </c>
      <c r="QYY1">
        <f>Database!QZR1</f>
        <v>0</v>
      </c>
      <c r="QYZ1">
        <f>Database!QZS1</f>
        <v>0</v>
      </c>
      <c r="QZA1">
        <f>Database!QZT1</f>
        <v>0</v>
      </c>
      <c r="QZB1">
        <f>Database!QZU1</f>
        <v>0</v>
      </c>
      <c r="QZC1">
        <f>Database!QZV1</f>
        <v>0</v>
      </c>
      <c r="QZD1">
        <f>Database!QZW1</f>
        <v>0</v>
      </c>
      <c r="QZE1">
        <f>Database!QZX1</f>
        <v>0</v>
      </c>
      <c r="QZF1">
        <f>Database!QZY1</f>
        <v>0</v>
      </c>
      <c r="QZG1">
        <f>Database!QZZ1</f>
        <v>0</v>
      </c>
      <c r="QZH1">
        <f>Database!RAA1</f>
        <v>0</v>
      </c>
      <c r="QZI1">
        <f>Database!RAB1</f>
        <v>0</v>
      </c>
      <c r="QZJ1">
        <f>Database!RAC1</f>
        <v>0</v>
      </c>
      <c r="QZK1">
        <f>Database!RAD1</f>
        <v>0</v>
      </c>
      <c r="QZL1">
        <f>Database!RAE1</f>
        <v>0</v>
      </c>
      <c r="QZM1">
        <f>Database!RAF1</f>
        <v>0</v>
      </c>
      <c r="QZN1">
        <f>Database!RAG1</f>
        <v>0</v>
      </c>
      <c r="QZO1">
        <f>Database!RAH1</f>
        <v>0</v>
      </c>
      <c r="QZP1">
        <f>Database!RAI1</f>
        <v>0</v>
      </c>
      <c r="QZQ1">
        <f>Database!RAJ1</f>
        <v>0</v>
      </c>
      <c r="QZR1">
        <f>Database!RAK1</f>
        <v>0</v>
      </c>
      <c r="QZS1">
        <f>Database!RAL1</f>
        <v>0</v>
      </c>
      <c r="QZT1">
        <f>Database!RAM1</f>
        <v>0</v>
      </c>
      <c r="QZU1">
        <f>Database!RAN1</f>
        <v>0</v>
      </c>
      <c r="QZV1">
        <f>Database!RAO1</f>
        <v>0</v>
      </c>
      <c r="QZW1">
        <f>Database!RAP1</f>
        <v>0</v>
      </c>
      <c r="QZX1">
        <f>Database!RAQ1</f>
        <v>0</v>
      </c>
      <c r="QZY1">
        <f>Database!RAR1</f>
        <v>0</v>
      </c>
      <c r="QZZ1">
        <f>Database!RAS1</f>
        <v>0</v>
      </c>
      <c r="RAA1">
        <f>Database!RAT1</f>
        <v>0</v>
      </c>
      <c r="RAB1">
        <f>Database!RAU1</f>
        <v>0</v>
      </c>
      <c r="RAC1">
        <f>Database!RAV1</f>
        <v>0</v>
      </c>
      <c r="RAD1">
        <f>Database!RAW1</f>
        <v>0</v>
      </c>
      <c r="RAE1">
        <f>Database!RAX1</f>
        <v>0</v>
      </c>
      <c r="RAF1">
        <f>Database!RAY1</f>
        <v>0</v>
      </c>
      <c r="RAG1">
        <f>Database!RAZ1</f>
        <v>0</v>
      </c>
      <c r="RAH1">
        <f>Database!RBA1</f>
        <v>0</v>
      </c>
      <c r="RAI1">
        <f>Database!RBB1</f>
        <v>0</v>
      </c>
      <c r="RAJ1">
        <f>Database!RBC1</f>
        <v>0</v>
      </c>
      <c r="RAK1">
        <f>Database!RBD1</f>
        <v>0</v>
      </c>
      <c r="RAL1">
        <f>Database!RBE1</f>
        <v>0</v>
      </c>
      <c r="RAM1">
        <f>Database!RBF1</f>
        <v>0</v>
      </c>
      <c r="RAN1">
        <f>Database!RBG1</f>
        <v>0</v>
      </c>
      <c r="RAO1">
        <f>Database!RBH1</f>
        <v>0</v>
      </c>
      <c r="RAP1">
        <f>Database!RBI1</f>
        <v>0</v>
      </c>
      <c r="RAQ1">
        <f>Database!RBJ1</f>
        <v>0</v>
      </c>
      <c r="RAR1">
        <f>Database!RBK1</f>
        <v>0</v>
      </c>
      <c r="RAS1">
        <f>Database!RBL1</f>
        <v>0</v>
      </c>
      <c r="RAT1">
        <f>Database!RBM1</f>
        <v>0</v>
      </c>
      <c r="RAU1">
        <f>Database!RBN1</f>
        <v>0</v>
      </c>
      <c r="RAV1">
        <f>Database!RBO1</f>
        <v>0</v>
      </c>
      <c r="RAW1">
        <f>Database!RBP1</f>
        <v>0</v>
      </c>
      <c r="RAX1">
        <f>Database!RBQ1</f>
        <v>0</v>
      </c>
      <c r="RAY1">
        <f>Database!RBR1</f>
        <v>0</v>
      </c>
      <c r="RAZ1">
        <f>Database!RBS1</f>
        <v>0</v>
      </c>
      <c r="RBA1">
        <f>Database!RBT1</f>
        <v>0</v>
      </c>
      <c r="RBB1">
        <f>Database!RBU1</f>
        <v>0</v>
      </c>
      <c r="RBC1">
        <f>Database!RBV1</f>
        <v>0</v>
      </c>
      <c r="RBD1">
        <f>Database!RBW1</f>
        <v>0</v>
      </c>
      <c r="RBE1">
        <f>Database!RBX1</f>
        <v>0</v>
      </c>
      <c r="RBF1">
        <f>Database!RBY1</f>
        <v>0</v>
      </c>
      <c r="RBG1">
        <f>Database!RBZ1</f>
        <v>0</v>
      </c>
      <c r="RBH1">
        <f>Database!RCA1</f>
        <v>0</v>
      </c>
      <c r="RBI1">
        <f>Database!RCB1</f>
        <v>0</v>
      </c>
      <c r="RBJ1">
        <f>Database!RCC1</f>
        <v>0</v>
      </c>
      <c r="RBK1">
        <f>Database!RCD1</f>
        <v>0</v>
      </c>
      <c r="RBL1">
        <f>Database!RCE1</f>
        <v>0</v>
      </c>
      <c r="RBM1">
        <f>Database!RCF1</f>
        <v>0</v>
      </c>
      <c r="RBN1">
        <f>Database!RCG1</f>
        <v>0</v>
      </c>
      <c r="RBO1">
        <f>Database!RCH1</f>
        <v>0</v>
      </c>
      <c r="RBP1">
        <f>Database!RCI1</f>
        <v>0</v>
      </c>
      <c r="RBQ1">
        <f>Database!RCJ1</f>
        <v>0</v>
      </c>
      <c r="RBR1">
        <f>Database!RCK1</f>
        <v>0</v>
      </c>
      <c r="RBS1">
        <f>Database!RCL1</f>
        <v>0</v>
      </c>
      <c r="RBT1">
        <f>Database!RCM1</f>
        <v>0</v>
      </c>
      <c r="RBU1">
        <f>Database!RCN1</f>
        <v>0</v>
      </c>
      <c r="RBV1">
        <f>Database!RCO1</f>
        <v>0</v>
      </c>
      <c r="RBW1">
        <f>Database!RCP1</f>
        <v>0</v>
      </c>
      <c r="RBX1">
        <f>Database!RCQ1</f>
        <v>0</v>
      </c>
      <c r="RBY1">
        <f>Database!RCR1</f>
        <v>0</v>
      </c>
      <c r="RBZ1">
        <f>Database!RCS1</f>
        <v>0</v>
      </c>
      <c r="RCA1">
        <f>Database!RCT1</f>
        <v>0</v>
      </c>
      <c r="RCB1">
        <f>Database!RCU1</f>
        <v>0</v>
      </c>
      <c r="RCC1">
        <f>Database!RCV1</f>
        <v>0</v>
      </c>
      <c r="RCD1">
        <f>Database!RCW1</f>
        <v>0</v>
      </c>
      <c r="RCE1">
        <f>Database!RCX1</f>
        <v>0</v>
      </c>
      <c r="RCF1">
        <f>Database!RCY1</f>
        <v>0</v>
      </c>
      <c r="RCG1">
        <f>Database!RCZ1</f>
        <v>0</v>
      </c>
      <c r="RCH1">
        <f>Database!RDA1</f>
        <v>0</v>
      </c>
      <c r="RCI1">
        <f>Database!RDB1</f>
        <v>0</v>
      </c>
      <c r="RCJ1">
        <f>Database!RDC1</f>
        <v>0</v>
      </c>
      <c r="RCK1">
        <f>Database!RDD1</f>
        <v>0</v>
      </c>
      <c r="RCL1">
        <f>Database!RDE1</f>
        <v>0</v>
      </c>
      <c r="RCM1">
        <f>Database!RDF1</f>
        <v>0</v>
      </c>
      <c r="RCN1">
        <f>Database!RDG1</f>
        <v>0</v>
      </c>
      <c r="RCO1">
        <f>Database!RDH1</f>
        <v>0</v>
      </c>
      <c r="RCP1">
        <f>Database!RDI1</f>
        <v>0</v>
      </c>
      <c r="RCQ1">
        <f>Database!RDJ1</f>
        <v>0</v>
      </c>
      <c r="RCR1">
        <f>Database!RDK1</f>
        <v>0</v>
      </c>
      <c r="RCS1">
        <f>Database!RDL1</f>
        <v>0</v>
      </c>
      <c r="RCT1">
        <f>Database!RDM1</f>
        <v>0</v>
      </c>
      <c r="RCU1">
        <f>Database!RDN1</f>
        <v>0</v>
      </c>
      <c r="RCV1">
        <f>Database!RDO1</f>
        <v>0</v>
      </c>
      <c r="RCW1">
        <f>Database!RDP1</f>
        <v>0</v>
      </c>
      <c r="RCX1">
        <f>Database!RDQ1</f>
        <v>0</v>
      </c>
      <c r="RCY1">
        <f>Database!RDR1</f>
        <v>0</v>
      </c>
      <c r="RCZ1">
        <f>Database!RDS1</f>
        <v>0</v>
      </c>
      <c r="RDA1">
        <f>Database!RDT1</f>
        <v>0</v>
      </c>
      <c r="RDB1">
        <f>Database!RDU1</f>
        <v>0</v>
      </c>
      <c r="RDC1">
        <f>Database!RDV1</f>
        <v>0</v>
      </c>
      <c r="RDD1">
        <f>Database!RDW1</f>
        <v>0</v>
      </c>
      <c r="RDE1">
        <f>Database!RDX1</f>
        <v>0</v>
      </c>
      <c r="RDF1">
        <f>Database!RDY1</f>
        <v>0</v>
      </c>
      <c r="RDG1">
        <f>Database!RDZ1</f>
        <v>0</v>
      </c>
      <c r="RDH1">
        <f>Database!REA1</f>
        <v>0</v>
      </c>
      <c r="RDI1">
        <f>Database!REB1</f>
        <v>0</v>
      </c>
      <c r="RDJ1">
        <f>Database!REC1</f>
        <v>0</v>
      </c>
      <c r="RDK1">
        <f>Database!RED1</f>
        <v>0</v>
      </c>
      <c r="RDL1">
        <f>Database!REE1</f>
        <v>0</v>
      </c>
      <c r="RDM1">
        <f>Database!REF1</f>
        <v>0</v>
      </c>
      <c r="RDN1">
        <f>Database!REG1</f>
        <v>0</v>
      </c>
      <c r="RDO1">
        <f>Database!REH1</f>
        <v>0</v>
      </c>
      <c r="RDP1">
        <f>Database!REI1</f>
        <v>0</v>
      </c>
      <c r="RDQ1">
        <f>Database!REJ1</f>
        <v>0</v>
      </c>
      <c r="RDR1">
        <f>Database!REK1</f>
        <v>0</v>
      </c>
      <c r="RDS1">
        <f>Database!REL1</f>
        <v>0</v>
      </c>
      <c r="RDT1">
        <f>Database!REM1</f>
        <v>0</v>
      </c>
      <c r="RDU1">
        <f>Database!REN1</f>
        <v>0</v>
      </c>
      <c r="RDV1">
        <f>Database!REO1</f>
        <v>0</v>
      </c>
      <c r="RDW1">
        <f>Database!REP1</f>
        <v>0</v>
      </c>
      <c r="RDX1">
        <f>Database!REQ1</f>
        <v>0</v>
      </c>
      <c r="RDY1">
        <f>Database!RER1</f>
        <v>0</v>
      </c>
      <c r="RDZ1">
        <f>Database!RES1</f>
        <v>0</v>
      </c>
      <c r="REA1">
        <f>Database!RET1</f>
        <v>0</v>
      </c>
      <c r="REB1">
        <f>Database!REU1</f>
        <v>0</v>
      </c>
      <c r="REC1">
        <f>Database!REV1</f>
        <v>0</v>
      </c>
      <c r="RED1">
        <f>Database!REW1</f>
        <v>0</v>
      </c>
      <c r="REE1">
        <f>Database!REX1</f>
        <v>0</v>
      </c>
      <c r="REF1">
        <f>Database!REY1</f>
        <v>0</v>
      </c>
      <c r="REG1">
        <f>Database!REZ1</f>
        <v>0</v>
      </c>
      <c r="REH1">
        <f>Database!RFA1</f>
        <v>0</v>
      </c>
      <c r="REI1">
        <f>Database!RFB1</f>
        <v>0</v>
      </c>
      <c r="REJ1">
        <f>Database!RFC1</f>
        <v>0</v>
      </c>
      <c r="REK1">
        <f>Database!RFD1</f>
        <v>0</v>
      </c>
      <c r="REL1">
        <f>Database!RFE1</f>
        <v>0</v>
      </c>
      <c r="REM1">
        <f>Database!RFF1</f>
        <v>0</v>
      </c>
      <c r="REN1">
        <f>Database!RFG1</f>
        <v>0</v>
      </c>
      <c r="REO1">
        <f>Database!RFH1</f>
        <v>0</v>
      </c>
      <c r="REP1">
        <f>Database!RFI1</f>
        <v>0</v>
      </c>
      <c r="REQ1">
        <f>Database!RFJ1</f>
        <v>0</v>
      </c>
      <c r="RER1">
        <f>Database!RFK1</f>
        <v>0</v>
      </c>
      <c r="RES1">
        <f>Database!RFL1</f>
        <v>0</v>
      </c>
      <c r="RET1">
        <f>Database!RFM1</f>
        <v>0</v>
      </c>
      <c r="REU1">
        <f>Database!RFN1</f>
        <v>0</v>
      </c>
      <c r="REV1">
        <f>Database!RFO1</f>
        <v>0</v>
      </c>
      <c r="REW1">
        <f>Database!RFP1</f>
        <v>0</v>
      </c>
      <c r="REX1">
        <f>Database!RFQ1</f>
        <v>0</v>
      </c>
      <c r="REY1">
        <f>Database!RFR1</f>
        <v>0</v>
      </c>
      <c r="REZ1">
        <f>Database!RFS1</f>
        <v>0</v>
      </c>
      <c r="RFA1">
        <f>Database!RFT1</f>
        <v>0</v>
      </c>
      <c r="RFB1">
        <f>Database!RFU1</f>
        <v>0</v>
      </c>
      <c r="RFC1">
        <f>Database!RFV1</f>
        <v>0</v>
      </c>
      <c r="RFD1">
        <f>Database!RFW1</f>
        <v>0</v>
      </c>
      <c r="RFE1">
        <f>Database!RFX1</f>
        <v>0</v>
      </c>
      <c r="RFF1">
        <f>Database!RFY1</f>
        <v>0</v>
      </c>
      <c r="RFG1">
        <f>Database!RFZ1</f>
        <v>0</v>
      </c>
      <c r="RFH1">
        <f>Database!RGA1</f>
        <v>0</v>
      </c>
      <c r="RFI1">
        <f>Database!RGB1</f>
        <v>0</v>
      </c>
      <c r="RFJ1">
        <f>Database!RGC1</f>
        <v>0</v>
      </c>
      <c r="RFK1">
        <f>Database!RGD1</f>
        <v>0</v>
      </c>
      <c r="RFL1">
        <f>Database!RGE1</f>
        <v>0</v>
      </c>
      <c r="RFM1">
        <f>Database!RGF1</f>
        <v>0</v>
      </c>
      <c r="RFN1">
        <f>Database!RGG1</f>
        <v>0</v>
      </c>
      <c r="RFO1">
        <f>Database!RGH1</f>
        <v>0</v>
      </c>
      <c r="RFP1">
        <f>Database!RGI1</f>
        <v>0</v>
      </c>
      <c r="RFQ1">
        <f>Database!RGJ1</f>
        <v>0</v>
      </c>
      <c r="RFR1">
        <f>Database!RGK1</f>
        <v>0</v>
      </c>
      <c r="RFS1">
        <f>Database!RGL1</f>
        <v>0</v>
      </c>
      <c r="RFT1">
        <f>Database!RGM1</f>
        <v>0</v>
      </c>
      <c r="RFU1">
        <f>Database!RGN1</f>
        <v>0</v>
      </c>
      <c r="RFV1">
        <f>Database!RGO1</f>
        <v>0</v>
      </c>
      <c r="RFW1">
        <f>Database!RGP1</f>
        <v>0</v>
      </c>
      <c r="RFX1">
        <f>Database!RGQ1</f>
        <v>0</v>
      </c>
      <c r="RFY1">
        <f>Database!RGR1</f>
        <v>0</v>
      </c>
      <c r="RFZ1">
        <f>Database!RGS1</f>
        <v>0</v>
      </c>
      <c r="RGA1">
        <f>Database!RGT1</f>
        <v>0</v>
      </c>
      <c r="RGB1">
        <f>Database!RGU1</f>
        <v>0</v>
      </c>
      <c r="RGC1">
        <f>Database!RGV1</f>
        <v>0</v>
      </c>
      <c r="RGD1">
        <f>Database!RGW1</f>
        <v>0</v>
      </c>
      <c r="RGE1">
        <f>Database!RGX1</f>
        <v>0</v>
      </c>
      <c r="RGF1">
        <f>Database!RGY1</f>
        <v>0</v>
      </c>
      <c r="RGG1">
        <f>Database!RGZ1</f>
        <v>0</v>
      </c>
      <c r="RGH1">
        <f>Database!RHA1</f>
        <v>0</v>
      </c>
      <c r="RGI1">
        <f>Database!RHB1</f>
        <v>0</v>
      </c>
      <c r="RGJ1">
        <f>Database!RHC1</f>
        <v>0</v>
      </c>
      <c r="RGK1">
        <f>Database!RHD1</f>
        <v>0</v>
      </c>
      <c r="RGL1">
        <f>Database!RHE1</f>
        <v>0</v>
      </c>
      <c r="RGM1">
        <f>Database!RHF1</f>
        <v>0</v>
      </c>
      <c r="RGN1">
        <f>Database!RHG1</f>
        <v>0</v>
      </c>
      <c r="RGO1">
        <f>Database!RHH1</f>
        <v>0</v>
      </c>
      <c r="RGP1">
        <f>Database!RHI1</f>
        <v>0</v>
      </c>
      <c r="RGQ1">
        <f>Database!RHJ1</f>
        <v>0</v>
      </c>
      <c r="RGR1">
        <f>Database!RHK1</f>
        <v>0</v>
      </c>
      <c r="RGS1">
        <f>Database!RHL1</f>
        <v>0</v>
      </c>
      <c r="RGT1">
        <f>Database!RHM1</f>
        <v>0</v>
      </c>
      <c r="RGU1">
        <f>Database!RHN1</f>
        <v>0</v>
      </c>
      <c r="RGV1">
        <f>Database!RHO1</f>
        <v>0</v>
      </c>
      <c r="RGW1">
        <f>Database!RHP1</f>
        <v>0</v>
      </c>
      <c r="RGX1">
        <f>Database!RHQ1</f>
        <v>0</v>
      </c>
      <c r="RGY1">
        <f>Database!RHR1</f>
        <v>0</v>
      </c>
      <c r="RGZ1">
        <f>Database!RHS1</f>
        <v>0</v>
      </c>
      <c r="RHA1">
        <f>Database!RHT1</f>
        <v>0</v>
      </c>
      <c r="RHB1">
        <f>Database!RHU1</f>
        <v>0</v>
      </c>
      <c r="RHC1">
        <f>Database!RHV1</f>
        <v>0</v>
      </c>
      <c r="RHD1">
        <f>Database!RHW1</f>
        <v>0</v>
      </c>
      <c r="RHE1">
        <f>Database!RHX1</f>
        <v>0</v>
      </c>
      <c r="RHF1">
        <f>Database!RHY1</f>
        <v>0</v>
      </c>
      <c r="RHG1">
        <f>Database!RHZ1</f>
        <v>0</v>
      </c>
      <c r="RHH1">
        <f>Database!RIA1</f>
        <v>0</v>
      </c>
      <c r="RHI1">
        <f>Database!RIB1</f>
        <v>0</v>
      </c>
      <c r="RHJ1">
        <f>Database!RIC1</f>
        <v>0</v>
      </c>
      <c r="RHK1">
        <f>Database!RID1</f>
        <v>0</v>
      </c>
      <c r="RHL1">
        <f>Database!RIE1</f>
        <v>0</v>
      </c>
      <c r="RHM1">
        <f>Database!RIF1</f>
        <v>0</v>
      </c>
      <c r="RHN1">
        <f>Database!RIG1</f>
        <v>0</v>
      </c>
      <c r="RHO1">
        <f>Database!RIH1</f>
        <v>0</v>
      </c>
      <c r="RHP1">
        <f>Database!RII1</f>
        <v>0</v>
      </c>
      <c r="RHQ1">
        <f>Database!RIJ1</f>
        <v>0</v>
      </c>
      <c r="RHR1">
        <f>Database!RIK1</f>
        <v>0</v>
      </c>
      <c r="RHS1">
        <f>Database!RIL1</f>
        <v>0</v>
      </c>
      <c r="RHT1">
        <f>Database!RIM1</f>
        <v>0</v>
      </c>
      <c r="RHU1">
        <f>Database!RIN1</f>
        <v>0</v>
      </c>
      <c r="RHV1">
        <f>Database!RIO1</f>
        <v>0</v>
      </c>
      <c r="RHW1">
        <f>Database!RIP1</f>
        <v>0</v>
      </c>
      <c r="RHX1">
        <f>Database!RIQ1</f>
        <v>0</v>
      </c>
      <c r="RHY1">
        <f>Database!RIR1</f>
        <v>0</v>
      </c>
      <c r="RHZ1">
        <f>Database!RIS1</f>
        <v>0</v>
      </c>
      <c r="RIA1">
        <f>Database!RIT1</f>
        <v>0</v>
      </c>
      <c r="RIB1">
        <f>Database!RIU1</f>
        <v>0</v>
      </c>
      <c r="RIC1">
        <f>Database!RIV1</f>
        <v>0</v>
      </c>
      <c r="RID1">
        <f>Database!RIW1</f>
        <v>0</v>
      </c>
      <c r="RIE1">
        <f>Database!RIX1</f>
        <v>0</v>
      </c>
      <c r="RIF1">
        <f>Database!RIY1</f>
        <v>0</v>
      </c>
      <c r="RIG1">
        <f>Database!RIZ1</f>
        <v>0</v>
      </c>
      <c r="RIH1">
        <f>Database!RJA1</f>
        <v>0</v>
      </c>
      <c r="RII1">
        <f>Database!RJB1</f>
        <v>0</v>
      </c>
      <c r="RIJ1">
        <f>Database!RJC1</f>
        <v>0</v>
      </c>
      <c r="RIK1">
        <f>Database!RJD1</f>
        <v>0</v>
      </c>
      <c r="RIL1">
        <f>Database!RJE1</f>
        <v>0</v>
      </c>
      <c r="RIM1">
        <f>Database!RJF1</f>
        <v>0</v>
      </c>
      <c r="RIN1">
        <f>Database!RJG1</f>
        <v>0</v>
      </c>
      <c r="RIO1">
        <f>Database!RJH1</f>
        <v>0</v>
      </c>
      <c r="RIP1">
        <f>Database!RJI1</f>
        <v>0</v>
      </c>
      <c r="RIQ1">
        <f>Database!RJJ1</f>
        <v>0</v>
      </c>
      <c r="RIR1">
        <f>Database!RJK1</f>
        <v>0</v>
      </c>
      <c r="RIS1">
        <f>Database!RJL1</f>
        <v>0</v>
      </c>
      <c r="RIT1">
        <f>Database!RJM1</f>
        <v>0</v>
      </c>
      <c r="RIU1">
        <f>Database!RJN1</f>
        <v>0</v>
      </c>
      <c r="RIV1">
        <f>Database!RJO1</f>
        <v>0</v>
      </c>
      <c r="RIW1">
        <f>Database!RJP1</f>
        <v>0</v>
      </c>
      <c r="RIX1">
        <f>Database!RJQ1</f>
        <v>0</v>
      </c>
      <c r="RIY1">
        <f>Database!RJR1</f>
        <v>0</v>
      </c>
      <c r="RIZ1">
        <f>Database!RJS1</f>
        <v>0</v>
      </c>
      <c r="RJA1">
        <f>Database!RJT1</f>
        <v>0</v>
      </c>
      <c r="RJB1">
        <f>Database!RJU1</f>
        <v>0</v>
      </c>
      <c r="RJC1">
        <f>Database!RJV1</f>
        <v>0</v>
      </c>
      <c r="RJD1">
        <f>Database!RJW1</f>
        <v>0</v>
      </c>
      <c r="RJE1">
        <f>Database!RJX1</f>
        <v>0</v>
      </c>
      <c r="RJF1">
        <f>Database!RJY1</f>
        <v>0</v>
      </c>
      <c r="RJG1">
        <f>Database!RJZ1</f>
        <v>0</v>
      </c>
      <c r="RJH1">
        <f>Database!RKA1</f>
        <v>0</v>
      </c>
      <c r="RJI1">
        <f>Database!RKB1</f>
        <v>0</v>
      </c>
      <c r="RJJ1">
        <f>Database!RKC1</f>
        <v>0</v>
      </c>
      <c r="RJK1">
        <f>Database!RKD1</f>
        <v>0</v>
      </c>
      <c r="RJL1">
        <f>Database!RKE1</f>
        <v>0</v>
      </c>
      <c r="RJM1">
        <f>Database!RKF1</f>
        <v>0</v>
      </c>
      <c r="RJN1">
        <f>Database!RKG1</f>
        <v>0</v>
      </c>
      <c r="RJO1">
        <f>Database!RKH1</f>
        <v>0</v>
      </c>
      <c r="RJP1">
        <f>Database!RKI1</f>
        <v>0</v>
      </c>
      <c r="RJQ1">
        <f>Database!RKJ1</f>
        <v>0</v>
      </c>
      <c r="RJR1">
        <f>Database!RKK1</f>
        <v>0</v>
      </c>
      <c r="RJS1">
        <f>Database!RKL1</f>
        <v>0</v>
      </c>
      <c r="RJT1">
        <f>Database!RKM1</f>
        <v>0</v>
      </c>
      <c r="RJU1">
        <f>Database!RKN1</f>
        <v>0</v>
      </c>
      <c r="RJV1">
        <f>Database!RKO1</f>
        <v>0</v>
      </c>
      <c r="RJW1">
        <f>Database!RKP1</f>
        <v>0</v>
      </c>
      <c r="RJX1">
        <f>Database!RKQ1</f>
        <v>0</v>
      </c>
      <c r="RJY1">
        <f>Database!RKR1</f>
        <v>0</v>
      </c>
      <c r="RJZ1">
        <f>Database!RKS1</f>
        <v>0</v>
      </c>
      <c r="RKA1">
        <f>Database!RKT1</f>
        <v>0</v>
      </c>
      <c r="RKB1">
        <f>Database!RKU1</f>
        <v>0</v>
      </c>
      <c r="RKC1">
        <f>Database!RKV1</f>
        <v>0</v>
      </c>
      <c r="RKD1">
        <f>Database!RKW1</f>
        <v>0</v>
      </c>
      <c r="RKE1">
        <f>Database!RKX1</f>
        <v>0</v>
      </c>
      <c r="RKF1">
        <f>Database!RKY1</f>
        <v>0</v>
      </c>
      <c r="RKG1">
        <f>Database!RKZ1</f>
        <v>0</v>
      </c>
      <c r="RKH1">
        <f>Database!RLA1</f>
        <v>0</v>
      </c>
      <c r="RKI1">
        <f>Database!RLB1</f>
        <v>0</v>
      </c>
      <c r="RKJ1">
        <f>Database!RLC1</f>
        <v>0</v>
      </c>
      <c r="RKK1">
        <f>Database!RLD1</f>
        <v>0</v>
      </c>
      <c r="RKL1">
        <f>Database!RLE1</f>
        <v>0</v>
      </c>
      <c r="RKM1">
        <f>Database!RLF1</f>
        <v>0</v>
      </c>
      <c r="RKN1">
        <f>Database!RLG1</f>
        <v>0</v>
      </c>
      <c r="RKO1">
        <f>Database!RLH1</f>
        <v>0</v>
      </c>
      <c r="RKP1">
        <f>Database!RLI1</f>
        <v>0</v>
      </c>
      <c r="RKQ1">
        <f>Database!RLJ1</f>
        <v>0</v>
      </c>
      <c r="RKR1">
        <f>Database!RLK1</f>
        <v>0</v>
      </c>
      <c r="RKS1">
        <f>Database!RLL1</f>
        <v>0</v>
      </c>
      <c r="RKT1">
        <f>Database!RLM1</f>
        <v>0</v>
      </c>
      <c r="RKU1">
        <f>Database!RLN1</f>
        <v>0</v>
      </c>
      <c r="RKV1">
        <f>Database!RLO1</f>
        <v>0</v>
      </c>
      <c r="RKW1">
        <f>Database!RLP1</f>
        <v>0</v>
      </c>
      <c r="RKX1">
        <f>Database!RLQ1</f>
        <v>0</v>
      </c>
      <c r="RKY1">
        <f>Database!RLR1</f>
        <v>0</v>
      </c>
      <c r="RKZ1">
        <f>Database!RLS1</f>
        <v>0</v>
      </c>
      <c r="RLA1">
        <f>Database!RLT1</f>
        <v>0</v>
      </c>
      <c r="RLB1">
        <f>Database!RLU1</f>
        <v>0</v>
      </c>
      <c r="RLC1">
        <f>Database!RLV1</f>
        <v>0</v>
      </c>
      <c r="RLD1">
        <f>Database!RLW1</f>
        <v>0</v>
      </c>
      <c r="RLE1">
        <f>Database!RLX1</f>
        <v>0</v>
      </c>
      <c r="RLF1">
        <f>Database!RLY1</f>
        <v>0</v>
      </c>
      <c r="RLG1">
        <f>Database!RLZ1</f>
        <v>0</v>
      </c>
      <c r="RLH1">
        <f>Database!RMA1</f>
        <v>0</v>
      </c>
      <c r="RLI1">
        <f>Database!RMB1</f>
        <v>0</v>
      </c>
      <c r="RLJ1">
        <f>Database!RMC1</f>
        <v>0</v>
      </c>
      <c r="RLK1">
        <f>Database!RMD1</f>
        <v>0</v>
      </c>
      <c r="RLL1">
        <f>Database!RME1</f>
        <v>0</v>
      </c>
      <c r="RLM1">
        <f>Database!RMF1</f>
        <v>0</v>
      </c>
      <c r="RLN1">
        <f>Database!RMG1</f>
        <v>0</v>
      </c>
      <c r="RLO1">
        <f>Database!RMH1</f>
        <v>0</v>
      </c>
      <c r="RLP1">
        <f>Database!RMI1</f>
        <v>0</v>
      </c>
      <c r="RLQ1">
        <f>Database!RMJ1</f>
        <v>0</v>
      </c>
      <c r="RLR1">
        <f>Database!RMK1</f>
        <v>0</v>
      </c>
      <c r="RLS1">
        <f>Database!RML1</f>
        <v>0</v>
      </c>
      <c r="RLT1">
        <f>Database!RMM1</f>
        <v>0</v>
      </c>
      <c r="RLU1">
        <f>Database!RMN1</f>
        <v>0</v>
      </c>
      <c r="RLV1">
        <f>Database!RMO1</f>
        <v>0</v>
      </c>
      <c r="RLW1">
        <f>Database!RMP1</f>
        <v>0</v>
      </c>
      <c r="RLX1">
        <f>Database!RMQ1</f>
        <v>0</v>
      </c>
      <c r="RLY1">
        <f>Database!RMR1</f>
        <v>0</v>
      </c>
      <c r="RLZ1">
        <f>Database!RMS1</f>
        <v>0</v>
      </c>
      <c r="RMA1">
        <f>Database!RMT1</f>
        <v>0</v>
      </c>
      <c r="RMB1">
        <f>Database!RMU1</f>
        <v>0</v>
      </c>
      <c r="RMC1">
        <f>Database!RMV1</f>
        <v>0</v>
      </c>
      <c r="RMD1">
        <f>Database!RMW1</f>
        <v>0</v>
      </c>
      <c r="RME1">
        <f>Database!RMX1</f>
        <v>0</v>
      </c>
      <c r="RMF1">
        <f>Database!RMY1</f>
        <v>0</v>
      </c>
      <c r="RMG1">
        <f>Database!RMZ1</f>
        <v>0</v>
      </c>
      <c r="RMH1">
        <f>Database!RNA1</f>
        <v>0</v>
      </c>
      <c r="RMI1">
        <f>Database!RNB1</f>
        <v>0</v>
      </c>
      <c r="RMJ1">
        <f>Database!RNC1</f>
        <v>0</v>
      </c>
      <c r="RMK1">
        <f>Database!RND1</f>
        <v>0</v>
      </c>
      <c r="RML1">
        <f>Database!RNE1</f>
        <v>0</v>
      </c>
      <c r="RMM1">
        <f>Database!RNF1</f>
        <v>0</v>
      </c>
      <c r="RMN1">
        <f>Database!RNG1</f>
        <v>0</v>
      </c>
      <c r="RMO1">
        <f>Database!RNH1</f>
        <v>0</v>
      </c>
      <c r="RMP1">
        <f>Database!RNI1</f>
        <v>0</v>
      </c>
      <c r="RMQ1">
        <f>Database!RNJ1</f>
        <v>0</v>
      </c>
      <c r="RMR1">
        <f>Database!RNK1</f>
        <v>0</v>
      </c>
      <c r="RMS1">
        <f>Database!RNL1</f>
        <v>0</v>
      </c>
      <c r="RMT1">
        <f>Database!RNM1</f>
        <v>0</v>
      </c>
      <c r="RMU1">
        <f>Database!RNN1</f>
        <v>0</v>
      </c>
      <c r="RMV1">
        <f>Database!RNO1</f>
        <v>0</v>
      </c>
      <c r="RMW1">
        <f>Database!RNP1</f>
        <v>0</v>
      </c>
      <c r="RMX1">
        <f>Database!RNQ1</f>
        <v>0</v>
      </c>
      <c r="RMY1">
        <f>Database!RNR1</f>
        <v>0</v>
      </c>
      <c r="RMZ1">
        <f>Database!RNS1</f>
        <v>0</v>
      </c>
      <c r="RNA1">
        <f>Database!RNT1</f>
        <v>0</v>
      </c>
      <c r="RNB1">
        <f>Database!RNU1</f>
        <v>0</v>
      </c>
      <c r="RNC1">
        <f>Database!RNV1</f>
        <v>0</v>
      </c>
      <c r="RND1">
        <f>Database!RNW1</f>
        <v>0</v>
      </c>
      <c r="RNE1">
        <f>Database!RNX1</f>
        <v>0</v>
      </c>
      <c r="RNF1">
        <f>Database!RNY1</f>
        <v>0</v>
      </c>
      <c r="RNG1">
        <f>Database!RNZ1</f>
        <v>0</v>
      </c>
      <c r="RNH1">
        <f>Database!ROA1</f>
        <v>0</v>
      </c>
      <c r="RNI1">
        <f>Database!ROB1</f>
        <v>0</v>
      </c>
      <c r="RNJ1">
        <f>Database!ROC1</f>
        <v>0</v>
      </c>
      <c r="RNK1">
        <f>Database!ROD1</f>
        <v>0</v>
      </c>
      <c r="RNL1">
        <f>Database!ROE1</f>
        <v>0</v>
      </c>
      <c r="RNM1">
        <f>Database!ROF1</f>
        <v>0</v>
      </c>
      <c r="RNN1">
        <f>Database!ROG1</f>
        <v>0</v>
      </c>
      <c r="RNO1">
        <f>Database!ROH1</f>
        <v>0</v>
      </c>
      <c r="RNP1">
        <f>Database!ROI1</f>
        <v>0</v>
      </c>
      <c r="RNQ1">
        <f>Database!ROJ1</f>
        <v>0</v>
      </c>
      <c r="RNR1">
        <f>Database!ROK1</f>
        <v>0</v>
      </c>
      <c r="RNS1">
        <f>Database!ROL1</f>
        <v>0</v>
      </c>
      <c r="RNT1">
        <f>Database!ROM1</f>
        <v>0</v>
      </c>
      <c r="RNU1">
        <f>Database!RON1</f>
        <v>0</v>
      </c>
      <c r="RNV1">
        <f>Database!ROO1</f>
        <v>0</v>
      </c>
      <c r="RNW1">
        <f>Database!ROP1</f>
        <v>0</v>
      </c>
      <c r="RNX1">
        <f>Database!ROQ1</f>
        <v>0</v>
      </c>
      <c r="RNY1">
        <f>Database!ROR1</f>
        <v>0</v>
      </c>
      <c r="RNZ1">
        <f>Database!ROS1</f>
        <v>0</v>
      </c>
      <c r="ROA1">
        <f>Database!ROT1</f>
        <v>0</v>
      </c>
      <c r="ROB1">
        <f>Database!ROU1</f>
        <v>0</v>
      </c>
      <c r="ROC1">
        <f>Database!ROV1</f>
        <v>0</v>
      </c>
      <c r="ROD1">
        <f>Database!ROW1</f>
        <v>0</v>
      </c>
      <c r="ROE1">
        <f>Database!ROX1</f>
        <v>0</v>
      </c>
      <c r="ROF1">
        <f>Database!ROY1</f>
        <v>0</v>
      </c>
      <c r="ROG1">
        <f>Database!ROZ1</f>
        <v>0</v>
      </c>
      <c r="ROH1">
        <f>Database!RPA1</f>
        <v>0</v>
      </c>
      <c r="ROI1">
        <f>Database!RPB1</f>
        <v>0</v>
      </c>
      <c r="ROJ1">
        <f>Database!RPC1</f>
        <v>0</v>
      </c>
      <c r="ROK1">
        <f>Database!RPD1</f>
        <v>0</v>
      </c>
      <c r="ROL1">
        <f>Database!RPE1</f>
        <v>0</v>
      </c>
      <c r="ROM1">
        <f>Database!RPF1</f>
        <v>0</v>
      </c>
      <c r="RON1">
        <f>Database!RPG1</f>
        <v>0</v>
      </c>
      <c r="ROO1">
        <f>Database!RPH1</f>
        <v>0</v>
      </c>
      <c r="ROP1">
        <f>Database!RPI1</f>
        <v>0</v>
      </c>
      <c r="ROQ1">
        <f>Database!RPJ1</f>
        <v>0</v>
      </c>
      <c r="ROR1">
        <f>Database!RPK1</f>
        <v>0</v>
      </c>
      <c r="ROS1">
        <f>Database!RPL1</f>
        <v>0</v>
      </c>
      <c r="ROT1">
        <f>Database!RPM1</f>
        <v>0</v>
      </c>
      <c r="ROU1">
        <f>Database!RPN1</f>
        <v>0</v>
      </c>
      <c r="ROV1">
        <f>Database!RPO1</f>
        <v>0</v>
      </c>
      <c r="ROW1">
        <f>Database!RPP1</f>
        <v>0</v>
      </c>
      <c r="ROX1">
        <f>Database!RPQ1</f>
        <v>0</v>
      </c>
      <c r="ROY1">
        <f>Database!RPR1</f>
        <v>0</v>
      </c>
      <c r="ROZ1">
        <f>Database!RPS1</f>
        <v>0</v>
      </c>
      <c r="RPA1">
        <f>Database!RPT1</f>
        <v>0</v>
      </c>
      <c r="RPB1">
        <f>Database!RPU1</f>
        <v>0</v>
      </c>
      <c r="RPC1">
        <f>Database!RPV1</f>
        <v>0</v>
      </c>
      <c r="RPD1">
        <f>Database!RPW1</f>
        <v>0</v>
      </c>
      <c r="RPE1">
        <f>Database!RPX1</f>
        <v>0</v>
      </c>
      <c r="RPF1">
        <f>Database!RPY1</f>
        <v>0</v>
      </c>
      <c r="RPG1">
        <f>Database!RPZ1</f>
        <v>0</v>
      </c>
      <c r="RPH1">
        <f>Database!RQA1</f>
        <v>0</v>
      </c>
      <c r="RPI1">
        <f>Database!RQB1</f>
        <v>0</v>
      </c>
      <c r="RPJ1">
        <f>Database!RQC1</f>
        <v>0</v>
      </c>
      <c r="RPK1">
        <f>Database!RQD1</f>
        <v>0</v>
      </c>
      <c r="RPL1">
        <f>Database!RQE1</f>
        <v>0</v>
      </c>
      <c r="RPM1">
        <f>Database!RQF1</f>
        <v>0</v>
      </c>
      <c r="RPN1">
        <f>Database!RQG1</f>
        <v>0</v>
      </c>
      <c r="RPO1">
        <f>Database!RQH1</f>
        <v>0</v>
      </c>
      <c r="RPP1">
        <f>Database!RQI1</f>
        <v>0</v>
      </c>
      <c r="RPQ1">
        <f>Database!RQJ1</f>
        <v>0</v>
      </c>
      <c r="RPR1">
        <f>Database!RQK1</f>
        <v>0</v>
      </c>
      <c r="RPS1">
        <f>Database!RQL1</f>
        <v>0</v>
      </c>
      <c r="RPT1">
        <f>Database!RQM1</f>
        <v>0</v>
      </c>
      <c r="RPU1">
        <f>Database!RQN1</f>
        <v>0</v>
      </c>
      <c r="RPV1">
        <f>Database!RQO1</f>
        <v>0</v>
      </c>
      <c r="RPW1">
        <f>Database!RQP1</f>
        <v>0</v>
      </c>
      <c r="RPX1">
        <f>Database!RQQ1</f>
        <v>0</v>
      </c>
      <c r="RPY1">
        <f>Database!RQR1</f>
        <v>0</v>
      </c>
      <c r="RPZ1">
        <f>Database!RQS1</f>
        <v>0</v>
      </c>
      <c r="RQA1">
        <f>Database!RQT1</f>
        <v>0</v>
      </c>
      <c r="RQB1">
        <f>Database!RQU1</f>
        <v>0</v>
      </c>
      <c r="RQC1">
        <f>Database!RQV1</f>
        <v>0</v>
      </c>
      <c r="RQD1">
        <f>Database!RQW1</f>
        <v>0</v>
      </c>
      <c r="RQE1">
        <f>Database!RQX1</f>
        <v>0</v>
      </c>
      <c r="RQF1">
        <f>Database!RQY1</f>
        <v>0</v>
      </c>
      <c r="RQG1">
        <f>Database!RQZ1</f>
        <v>0</v>
      </c>
      <c r="RQH1">
        <f>Database!RRA1</f>
        <v>0</v>
      </c>
      <c r="RQI1">
        <f>Database!RRB1</f>
        <v>0</v>
      </c>
      <c r="RQJ1">
        <f>Database!RRC1</f>
        <v>0</v>
      </c>
      <c r="RQK1">
        <f>Database!RRD1</f>
        <v>0</v>
      </c>
      <c r="RQL1">
        <f>Database!RRE1</f>
        <v>0</v>
      </c>
      <c r="RQM1">
        <f>Database!RRF1</f>
        <v>0</v>
      </c>
      <c r="RQN1">
        <f>Database!RRG1</f>
        <v>0</v>
      </c>
      <c r="RQO1">
        <f>Database!RRH1</f>
        <v>0</v>
      </c>
      <c r="RQP1">
        <f>Database!RRI1</f>
        <v>0</v>
      </c>
      <c r="RQQ1">
        <f>Database!RRJ1</f>
        <v>0</v>
      </c>
      <c r="RQR1">
        <f>Database!RRK1</f>
        <v>0</v>
      </c>
      <c r="RQS1">
        <f>Database!RRL1</f>
        <v>0</v>
      </c>
      <c r="RQT1">
        <f>Database!RRM1</f>
        <v>0</v>
      </c>
      <c r="RQU1">
        <f>Database!RRN1</f>
        <v>0</v>
      </c>
      <c r="RQV1">
        <f>Database!RRO1</f>
        <v>0</v>
      </c>
      <c r="RQW1">
        <f>Database!RRP1</f>
        <v>0</v>
      </c>
      <c r="RQX1">
        <f>Database!RRQ1</f>
        <v>0</v>
      </c>
      <c r="RQY1">
        <f>Database!RRR1</f>
        <v>0</v>
      </c>
      <c r="RQZ1">
        <f>Database!RRS1</f>
        <v>0</v>
      </c>
      <c r="RRA1">
        <f>Database!RRT1</f>
        <v>0</v>
      </c>
      <c r="RRB1">
        <f>Database!RRU1</f>
        <v>0</v>
      </c>
      <c r="RRC1">
        <f>Database!RRV1</f>
        <v>0</v>
      </c>
      <c r="RRD1">
        <f>Database!RRW1</f>
        <v>0</v>
      </c>
      <c r="RRE1">
        <f>Database!RRX1</f>
        <v>0</v>
      </c>
      <c r="RRF1">
        <f>Database!RRY1</f>
        <v>0</v>
      </c>
      <c r="RRG1">
        <f>Database!RRZ1</f>
        <v>0</v>
      </c>
      <c r="RRH1">
        <f>Database!RSA1</f>
        <v>0</v>
      </c>
      <c r="RRI1">
        <f>Database!RSB1</f>
        <v>0</v>
      </c>
      <c r="RRJ1">
        <f>Database!RSC1</f>
        <v>0</v>
      </c>
      <c r="RRK1">
        <f>Database!RSD1</f>
        <v>0</v>
      </c>
      <c r="RRL1">
        <f>Database!RSE1</f>
        <v>0</v>
      </c>
      <c r="RRM1">
        <f>Database!RSF1</f>
        <v>0</v>
      </c>
      <c r="RRN1">
        <f>Database!RSG1</f>
        <v>0</v>
      </c>
      <c r="RRO1">
        <f>Database!RSH1</f>
        <v>0</v>
      </c>
      <c r="RRP1">
        <f>Database!RSI1</f>
        <v>0</v>
      </c>
      <c r="RRQ1">
        <f>Database!RSJ1</f>
        <v>0</v>
      </c>
      <c r="RRR1">
        <f>Database!RSK1</f>
        <v>0</v>
      </c>
      <c r="RRS1">
        <f>Database!RSL1</f>
        <v>0</v>
      </c>
      <c r="RRT1">
        <f>Database!RSM1</f>
        <v>0</v>
      </c>
      <c r="RRU1">
        <f>Database!RSN1</f>
        <v>0</v>
      </c>
      <c r="RRV1">
        <f>Database!RSO1</f>
        <v>0</v>
      </c>
      <c r="RRW1">
        <f>Database!RSP1</f>
        <v>0</v>
      </c>
      <c r="RRX1">
        <f>Database!RSQ1</f>
        <v>0</v>
      </c>
      <c r="RRY1">
        <f>Database!RSR1</f>
        <v>0</v>
      </c>
      <c r="RRZ1">
        <f>Database!RSS1</f>
        <v>0</v>
      </c>
      <c r="RSA1">
        <f>Database!RST1</f>
        <v>0</v>
      </c>
      <c r="RSB1">
        <f>Database!RSU1</f>
        <v>0</v>
      </c>
      <c r="RSC1">
        <f>Database!RSV1</f>
        <v>0</v>
      </c>
      <c r="RSD1">
        <f>Database!RSW1</f>
        <v>0</v>
      </c>
      <c r="RSE1">
        <f>Database!RSX1</f>
        <v>0</v>
      </c>
      <c r="RSF1">
        <f>Database!RSY1</f>
        <v>0</v>
      </c>
      <c r="RSG1">
        <f>Database!RSZ1</f>
        <v>0</v>
      </c>
      <c r="RSH1">
        <f>Database!RTA1</f>
        <v>0</v>
      </c>
      <c r="RSI1">
        <f>Database!RTB1</f>
        <v>0</v>
      </c>
      <c r="RSJ1">
        <f>Database!RTC1</f>
        <v>0</v>
      </c>
      <c r="RSK1">
        <f>Database!RTD1</f>
        <v>0</v>
      </c>
      <c r="RSL1">
        <f>Database!RTE1</f>
        <v>0</v>
      </c>
      <c r="RSM1">
        <f>Database!RTF1</f>
        <v>0</v>
      </c>
      <c r="RSN1">
        <f>Database!RTG1</f>
        <v>0</v>
      </c>
      <c r="RSO1">
        <f>Database!RTH1</f>
        <v>0</v>
      </c>
      <c r="RSP1">
        <f>Database!RTI1</f>
        <v>0</v>
      </c>
      <c r="RSQ1">
        <f>Database!RTJ1</f>
        <v>0</v>
      </c>
      <c r="RSR1">
        <f>Database!RTK1</f>
        <v>0</v>
      </c>
      <c r="RSS1">
        <f>Database!RTL1</f>
        <v>0</v>
      </c>
      <c r="RST1">
        <f>Database!RTM1</f>
        <v>0</v>
      </c>
      <c r="RSU1">
        <f>Database!RTN1</f>
        <v>0</v>
      </c>
      <c r="RSV1">
        <f>Database!RTO1</f>
        <v>0</v>
      </c>
      <c r="RSW1">
        <f>Database!RTP1</f>
        <v>0</v>
      </c>
      <c r="RSX1">
        <f>Database!RTQ1</f>
        <v>0</v>
      </c>
      <c r="RSY1">
        <f>Database!RTR1</f>
        <v>0</v>
      </c>
      <c r="RSZ1">
        <f>Database!RTS1</f>
        <v>0</v>
      </c>
      <c r="RTA1">
        <f>Database!RTT1</f>
        <v>0</v>
      </c>
      <c r="RTB1">
        <f>Database!RTU1</f>
        <v>0</v>
      </c>
      <c r="RTC1">
        <f>Database!RTV1</f>
        <v>0</v>
      </c>
      <c r="RTD1">
        <f>Database!RTW1</f>
        <v>0</v>
      </c>
      <c r="RTE1">
        <f>Database!RTX1</f>
        <v>0</v>
      </c>
      <c r="RTF1">
        <f>Database!RTY1</f>
        <v>0</v>
      </c>
      <c r="RTG1">
        <f>Database!RTZ1</f>
        <v>0</v>
      </c>
      <c r="RTH1">
        <f>Database!RUA1</f>
        <v>0</v>
      </c>
      <c r="RTI1">
        <f>Database!RUB1</f>
        <v>0</v>
      </c>
      <c r="RTJ1">
        <f>Database!RUC1</f>
        <v>0</v>
      </c>
      <c r="RTK1">
        <f>Database!RUD1</f>
        <v>0</v>
      </c>
      <c r="RTL1">
        <f>Database!RUE1</f>
        <v>0</v>
      </c>
      <c r="RTM1">
        <f>Database!RUF1</f>
        <v>0</v>
      </c>
      <c r="RTN1">
        <f>Database!RUG1</f>
        <v>0</v>
      </c>
      <c r="RTO1">
        <f>Database!RUH1</f>
        <v>0</v>
      </c>
      <c r="RTP1">
        <f>Database!RUI1</f>
        <v>0</v>
      </c>
      <c r="RTQ1">
        <f>Database!RUJ1</f>
        <v>0</v>
      </c>
      <c r="RTR1">
        <f>Database!RUK1</f>
        <v>0</v>
      </c>
      <c r="RTS1">
        <f>Database!RUL1</f>
        <v>0</v>
      </c>
      <c r="RTT1">
        <f>Database!RUM1</f>
        <v>0</v>
      </c>
      <c r="RTU1">
        <f>Database!RUN1</f>
        <v>0</v>
      </c>
      <c r="RTV1">
        <f>Database!RUO1</f>
        <v>0</v>
      </c>
      <c r="RTW1">
        <f>Database!RUP1</f>
        <v>0</v>
      </c>
      <c r="RTX1">
        <f>Database!RUQ1</f>
        <v>0</v>
      </c>
      <c r="RTY1">
        <f>Database!RUR1</f>
        <v>0</v>
      </c>
      <c r="RTZ1">
        <f>Database!RUS1</f>
        <v>0</v>
      </c>
      <c r="RUA1">
        <f>Database!RUT1</f>
        <v>0</v>
      </c>
      <c r="RUB1">
        <f>Database!RUU1</f>
        <v>0</v>
      </c>
      <c r="RUC1">
        <f>Database!RUV1</f>
        <v>0</v>
      </c>
      <c r="RUD1">
        <f>Database!RUW1</f>
        <v>0</v>
      </c>
      <c r="RUE1">
        <f>Database!RUX1</f>
        <v>0</v>
      </c>
      <c r="RUF1">
        <f>Database!RUY1</f>
        <v>0</v>
      </c>
      <c r="RUG1">
        <f>Database!RUZ1</f>
        <v>0</v>
      </c>
      <c r="RUH1">
        <f>Database!RVA1</f>
        <v>0</v>
      </c>
      <c r="RUI1">
        <f>Database!RVB1</f>
        <v>0</v>
      </c>
      <c r="RUJ1">
        <f>Database!RVC1</f>
        <v>0</v>
      </c>
      <c r="RUK1">
        <f>Database!RVD1</f>
        <v>0</v>
      </c>
      <c r="RUL1">
        <f>Database!RVE1</f>
        <v>0</v>
      </c>
      <c r="RUM1">
        <f>Database!RVF1</f>
        <v>0</v>
      </c>
      <c r="RUN1">
        <f>Database!RVG1</f>
        <v>0</v>
      </c>
      <c r="RUO1">
        <f>Database!RVH1</f>
        <v>0</v>
      </c>
      <c r="RUP1">
        <f>Database!RVI1</f>
        <v>0</v>
      </c>
      <c r="RUQ1">
        <f>Database!RVJ1</f>
        <v>0</v>
      </c>
      <c r="RUR1">
        <f>Database!RVK1</f>
        <v>0</v>
      </c>
      <c r="RUS1">
        <f>Database!RVL1</f>
        <v>0</v>
      </c>
      <c r="RUT1">
        <f>Database!RVM1</f>
        <v>0</v>
      </c>
      <c r="RUU1">
        <f>Database!RVN1</f>
        <v>0</v>
      </c>
      <c r="RUV1">
        <f>Database!RVO1</f>
        <v>0</v>
      </c>
      <c r="RUW1">
        <f>Database!RVP1</f>
        <v>0</v>
      </c>
      <c r="RUX1">
        <f>Database!RVQ1</f>
        <v>0</v>
      </c>
      <c r="RUY1">
        <f>Database!RVR1</f>
        <v>0</v>
      </c>
      <c r="RUZ1">
        <f>Database!RVS1</f>
        <v>0</v>
      </c>
      <c r="RVA1">
        <f>Database!RVT1</f>
        <v>0</v>
      </c>
      <c r="RVB1">
        <f>Database!RVU1</f>
        <v>0</v>
      </c>
      <c r="RVC1">
        <f>Database!RVV1</f>
        <v>0</v>
      </c>
      <c r="RVD1">
        <f>Database!RVW1</f>
        <v>0</v>
      </c>
      <c r="RVE1">
        <f>Database!RVX1</f>
        <v>0</v>
      </c>
      <c r="RVF1">
        <f>Database!RVY1</f>
        <v>0</v>
      </c>
      <c r="RVG1">
        <f>Database!RVZ1</f>
        <v>0</v>
      </c>
      <c r="RVH1">
        <f>Database!RWA1</f>
        <v>0</v>
      </c>
      <c r="RVI1">
        <f>Database!RWB1</f>
        <v>0</v>
      </c>
      <c r="RVJ1">
        <f>Database!RWC1</f>
        <v>0</v>
      </c>
      <c r="RVK1">
        <f>Database!RWD1</f>
        <v>0</v>
      </c>
      <c r="RVL1">
        <f>Database!RWE1</f>
        <v>0</v>
      </c>
      <c r="RVM1">
        <f>Database!RWF1</f>
        <v>0</v>
      </c>
      <c r="RVN1">
        <f>Database!RWG1</f>
        <v>0</v>
      </c>
      <c r="RVO1">
        <f>Database!RWH1</f>
        <v>0</v>
      </c>
      <c r="RVP1">
        <f>Database!RWI1</f>
        <v>0</v>
      </c>
      <c r="RVQ1">
        <f>Database!RWJ1</f>
        <v>0</v>
      </c>
      <c r="RVR1">
        <f>Database!RWK1</f>
        <v>0</v>
      </c>
      <c r="RVS1">
        <f>Database!RWL1</f>
        <v>0</v>
      </c>
      <c r="RVT1">
        <f>Database!RWM1</f>
        <v>0</v>
      </c>
      <c r="RVU1">
        <f>Database!RWN1</f>
        <v>0</v>
      </c>
      <c r="RVV1">
        <f>Database!RWO1</f>
        <v>0</v>
      </c>
      <c r="RVW1">
        <f>Database!RWP1</f>
        <v>0</v>
      </c>
      <c r="RVX1">
        <f>Database!RWQ1</f>
        <v>0</v>
      </c>
      <c r="RVY1">
        <f>Database!RWR1</f>
        <v>0</v>
      </c>
      <c r="RVZ1">
        <f>Database!RWS1</f>
        <v>0</v>
      </c>
      <c r="RWA1">
        <f>Database!RWT1</f>
        <v>0</v>
      </c>
      <c r="RWB1">
        <f>Database!RWU1</f>
        <v>0</v>
      </c>
      <c r="RWC1">
        <f>Database!RWV1</f>
        <v>0</v>
      </c>
      <c r="RWD1">
        <f>Database!RWW1</f>
        <v>0</v>
      </c>
      <c r="RWE1">
        <f>Database!RWX1</f>
        <v>0</v>
      </c>
      <c r="RWF1">
        <f>Database!RWY1</f>
        <v>0</v>
      </c>
      <c r="RWG1">
        <f>Database!RWZ1</f>
        <v>0</v>
      </c>
      <c r="RWH1">
        <f>Database!RXA1</f>
        <v>0</v>
      </c>
      <c r="RWI1">
        <f>Database!RXB1</f>
        <v>0</v>
      </c>
      <c r="RWJ1">
        <f>Database!RXC1</f>
        <v>0</v>
      </c>
      <c r="RWK1">
        <f>Database!RXD1</f>
        <v>0</v>
      </c>
      <c r="RWL1">
        <f>Database!RXE1</f>
        <v>0</v>
      </c>
      <c r="RWM1">
        <f>Database!RXF1</f>
        <v>0</v>
      </c>
      <c r="RWN1">
        <f>Database!RXG1</f>
        <v>0</v>
      </c>
      <c r="RWO1">
        <f>Database!RXH1</f>
        <v>0</v>
      </c>
      <c r="RWP1">
        <f>Database!RXI1</f>
        <v>0</v>
      </c>
      <c r="RWQ1">
        <f>Database!RXJ1</f>
        <v>0</v>
      </c>
      <c r="RWR1">
        <f>Database!RXK1</f>
        <v>0</v>
      </c>
      <c r="RWS1">
        <f>Database!RXL1</f>
        <v>0</v>
      </c>
      <c r="RWT1">
        <f>Database!RXM1</f>
        <v>0</v>
      </c>
      <c r="RWU1">
        <f>Database!RXN1</f>
        <v>0</v>
      </c>
      <c r="RWV1">
        <f>Database!RXO1</f>
        <v>0</v>
      </c>
      <c r="RWW1">
        <f>Database!RXP1</f>
        <v>0</v>
      </c>
      <c r="RWX1">
        <f>Database!RXQ1</f>
        <v>0</v>
      </c>
      <c r="RWY1">
        <f>Database!RXR1</f>
        <v>0</v>
      </c>
      <c r="RWZ1">
        <f>Database!RXS1</f>
        <v>0</v>
      </c>
      <c r="RXA1">
        <f>Database!RXT1</f>
        <v>0</v>
      </c>
      <c r="RXB1">
        <f>Database!RXU1</f>
        <v>0</v>
      </c>
      <c r="RXC1">
        <f>Database!RXV1</f>
        <v>0</v>
      </c>
      <c r="RXD1">
        <f>Database!RXW1</f>
        <v>0</v>
      </c>
      <c r="RXE1">
        <f>Database!RXX1</f>
        <v>0</v>
      </c>
      <c r="RXF1">
        <f>Database!RXY1</f>
        <v>0</v>
      </c>
      <c r="RXG1">
        <f>Database!RXZ1</f>
        <v>0</v>
      </c>
      <c r="RXH1">
        <f>Database!RYA1</f>
        <v>0</v>
      </c>
      <c r="RXI1">
        <f>Database!RYB1</f>
        <v>0</v>
      </c>
      <c r="RXJ1">
        <f>Database!RYC1</f>
        <v>0</v>
      </c>
      <c r="RXK1">
        <f>Database!RYD1</f>
        <v>0</v>
      </c>
      <c r="RXL1">
        <f>Database!RYE1</f>
        <v>0</v>
      </c>
      <c r="RXM1">
        <f>Database!RYF1</f>
        <v>0</v>
      </c>
      <c r="RXN1">
        <f>Database!RYG1</f>
        <v>0</v>
      </c>
      <c r="RXO1">
        <f>Database!RYH1</f>
        <v>0</v>
      </c>
      <c r="RXP1">
        <f>Database!RYI1</f>
        <v>0</v>
      </c>
      <c r="RXQ1">
        <f>Database!RYJ1</f>
        <v>0</v>
      </c>
      <c r="RXR1">
        <f>Database!RYK1</f>
        <v>0</v>
      </c>
      <c r="RXS1">
        <f>Database!RYL1</f>
        <v>0</v>
      </c>
      <c r="RXT1">
        <f>Database!RYM1</f>
        <v>0</v>
      </c>
      <c r="RXU1">
        <f>Database!RYN1</f>
        <v>0</v>
      </c>
      <c r="RXV1">
        <f>Database!RYO1</f>
        <v>0</v>
      </c>
      <c r="RXW1">
        <f>Database!RYP1</f>
        <v>0</v>
      </c>
      <c r="RXX1">
        <f>Database!RYQ1</f>
        <v>0</v>
      </c>
      <c r="RXY1">
        <f>Database!RYR1</f>
        <v>0</v>
      </c>
      <c r="RXZ1">
        <f>Database!RYS1</f>
        <v>0</v>
      </c>
      <c r="RYA1">
        <f>Database!RYT1</f>
        <v>0</v>
      </c>
      <c r="RYB1">
        <f>Database!RYU1</f>
        <v>0</v>
      </c>
      <c r="RYC1">
        <f>Database!RYV1</f>
        <v>0</v>
      </c>
      <c r="RYD1">
        <f>Database!RYW1</f>
        <v>0</v>
      </c>
      <c r="RYE1">
        <f>Database!RYX1</f>
        <v>0</v>
      </c>
      <c r="RYF1">
        <f>Database!RYY1</f>
        <v>0</v>
      </c>
      <c r="RYG1">
        <f>Database!RYZ1</f>
        <v>0</v>
      </c>
      <c r="RYH1">
        <f>Database!RZA1</f>
        <v>0</v>
      </c>
      <c r="RYI1">
        <f>Database!RZB1</f>
        <v>0</v>
      </c>
      <c r="RYJ1">
        <f>Database!RZC1</f>
        <v>0</v>
      </c>
      <c r="RYK1">
        <f>Database!RZD1</f>
        <v>0</v>
      </c>
      <c r="RYL1">
        <f>Database!RZE1</f>
        <v>0</v>
      </c>
      <c r="RYM1">
        <f>Database!RZF1</f>
        <v>0</v>
      </c>
      <c r="RYN1">
        <f>Database!RZG1</f>
        <v>0</v>
      </c>
      <c r="RYO1">
        <f>Database!RZH1</f>
        <v>0</v>
      </c>
      <c r="RYP1">
        <f>Database!RZI1</f>
        <v>0</v>
      </c>
      <c r="RYQ1">
        <f>Database!RZJ1</f>
        <v>0</v>
      </c>
      <c r="RYR1">
        <f>Database!RZK1</f>
        <v>0</v>
      </c>
      <c r="RYS1">
        <f>Database!RZL1</f>
        <v>0</v>
      </c>
      <c r="RYT1">
        <f>Database!RZM1</f>
        <v>0</v>
      </c>
      <c r="RYU1">
        <f>Database!RZN1</f>
        <v>0</v>
      </c>
      <c r="RYV1">
        <f>Database!RZO1</f>
        <v>0</v>
      </c>
      <c r="RYW1">
        <f>Database!RZP1</f>
        <v>0</v>
      </c>
      <c r="RYX1">
        <f>Database!RZQ1</f>
        <v>0</v>
      </c>
      <c r="RYY1">
        <f>Database!RZR1</f>
        <v>0</v>
      </c>
      <c r="RYZ1">
        <f>Database!RZS1</f>
        <v>0</v>
      </c>
      <c r="RZA1">
        <f>Database!RZT1</f>
        <v>0</v>
      </c>
      <c r="RZB1">
        <f>Database!RZU1</f>
        <v>0</v>
      </c>
      <c r="RZC1">
        <f>Database!RZV1</f>
        <v>0</v>
      </c>
      <c r="RZD1">
        <f>Database!RZW1</f>
        <v>0</v>
      </c>
      <c r="RZE1">
        <f>Database!RZX1</f>
        <v>0</v>
      </c>
      <c r="RZF1">
        <f>Database!RZY1</f>
        <v>0</v>
      </c>
      <c r="RZG1">
        <f>Database!RZZ1</f>
        <v>0</v>
      </c>
      <c r="RZH1">
        <f>Database!SAA1</f>
        <v>0</v>
      </c>
      <c r="RZI1">
        <f>Database!SAB1</f>
        <v>0</v>
      </c>
      <c r="RZJ1">
        <f>Database!SAC1</f>
        <v>0</v>
      </c>
      <c r="RZK1">
        <f>Database!SAD1</f>
        <v>0</v>
      </c>
      <c r="RZL1">
        <f>Database!SAE1</f>
        <v>0</v>
      </c>
      <c r="RZM1">
        <f>Database!SAF1</f>
        <v>0</v>
      </c>
      <c r="RZN1">
        <f>Database!SAG1</f>
        <v>0</v>
      </c>
      <c r="RZO1">
        <f>Database!SAH1</f>
        <v>0</v>
      </c>
      <c r="RZP1">
        <f>Database!SAI1</f>
        <v>0</v>
      </c>
      <c r="RZQ1">
        <f>Database!SAJ1</f>
        <v>0</v>
      </c>
      <c r="RZR1">
        <f>Database!SAK1</f>
        <v>0</v>
      </c>
      <c r="RZS1">
        <f>Database!SAL1</f>
        <v>0</v>
      </c>
      <c r="RZT1">
        <f>Database!SAM1</f>
        <v>0</v>
      </c>
      <c r="RZU1">
        <f>Database!SAN1</f>
        <v>0</v>
      </c>
      <c r="RZV1">
        <f>Database!SAO1</f>
        <v>0</v>
      </c>
      <c r="RZW1">
        <f>Database!SAP1</f>
        <v>0</v>
      </c>
      <c r="RZX1">
        <f>Database!SAQ1</f>
        <v>0</v>
      </c>
      <c r="RZY1">
        <f>Database!SAR1</f>
        <v>0</v>
      </c>
      <c r="RZZ1">
        <f>Database!SAS1</f>
        <v>0</v>
      </c>
      <c r="SAA1">
        <f>Database!SAT1</f>
        <v>0</v>
      </c>
      <c r="SAB1">
        <f>Database!SAU1</f>
        <v>0</v>
      </c>
      <c r="SAC1">
        <f>Database!SAV1</f>
        <v>0</v>
      </c>
      <c r="SAD1">
        <f>Database!SAW1</f>
        <v>0</v>
      </c>
      <c r="SAE1">
        <f>Database!SAX1</f>
        <v>0</v>
      </c>
      <c r="SAF1">
        <f>Database!SAY1</f>
        <v>0</v>
      </c>
      <c r="SAG1">
        <f>Database!SAZ1</f>
        <v>0</v>
      </c>
      <c r="SAH1">
        <f>Database!SBA1</f>
        <v>0</v>
      </c>
      <c r="SAI1">
        <f>Database!SBB1</f>
        <v>0</v>
      </c>
      <c r="SAJ1">
        <f>Database!SBC1</f>
        <v>0</v>
      </c>
      <c r="SAK1">
        <f>Database!SBD1</f>
        <v>0</v>
      </c>
      <c r="SAL1">
        <f>Database!SBE1</f>
        <v>0</v>
      </c>
      <c r="SAM1">
        <f>Database!SBF1</f>
        <v>0</v>
      </c>
      <c r="SAN1">
        <f>Database!SBG1</f>
        <v>0</v>
      </c>
      <c r="SAO1">
        <f>Database!SBH1</f>
        <v>0</v>
      </c>
      <c r="SAP1">
        <f>Database!SBI1</f>
        <v>0</v>
      </c>
      <c r="SAQ1">
        <f>Database!SBJ1</f>
        <v>0</v>
      </c>
      <c r="SAR1">
        <f>Database!SBK1</f>
        <v>0</v>
      </c>
      <c r="SAS1">
        <f>Database!SBL1</f>
        <v>0</v>
      </c>
      <c r="SAT1">
        <f>Database!SBM1</f>
        <v>0</v>
      </c>
      <c r="SAU1">
        <f>Database!SBN1</f>
        <v>0</v>
      </c>
      <c r="SAV1">
        <f>Database!SBO1</f>
        <v>0</v>
      </c>
      <c r="SAW1">
        <f>Database!SBP1</f>
        <v>0</v>
      </c>
      <c r="SAX1">
        <f>Database!SBQ1</f>
        <v>0</v>
      </c>
      <c r="SAY1">
        <f>Database!SBR1</f>
        <v>0</v>
      </c>
      <c r="SAZ1">
        <f>Database!SBS1</f>
        <v>0</v>
      </c>
      <c r="SBA1">
        <f>Database!SBT1</f>
        <v>0</v>
      </c>
      <c r="SBB1">
        <f>Database!SBU1</f>
        <v>0</v>
      </c>
      <c r="SBC1">
        <f>Database!SBV1</f>
        <v>0</v>
      </c>
      <c r="SBD1">
        <f>Database!SBW1</f>
        <v>0</v>
      </c>
      <c r="SBE1">
        <f>Database!SBX1</f>
        <v>0</v>
      </c>
      <c r="SBF1">
        <f>Database!SBY1</f>
        <v>0</v>
      </c>
      <c r="SBG1">
        <f>Database!SBZ1</f>
        <v>0</v>
      </c>
      <c r="SBH1">
        <f>Database!SCA1</f>
        <v>0</v>
      </c>
      <c r="SBI1">
        <f>Database!SCB1</f>
        <v>0</v>
      </c>
      <c r="SBJ1">
        <f>Database!SCC1</f>
        <v>0</v>
      </c>
      <c r="SBK1">
        <f>Database!SCD1</f>
        <v>0</v>
      </c>
      <c r="SBL1">
        <f>Database!SCE1</f>
        <v>0</v>
      </c>
      <c r="SBM1">
        <f>Database!SCF1</f>
        <v>0</v>
      </c>
      <c r="SBN1">
        <f>Database!SCG1</f>
        <v>0</v>
      </c>
      <c r="SBO1">
        <f>Database!SCH1</f>
        <v>0</v>
      </c>
      <c r="SBP1">
        <f>Database!SCI1</f>
        <v>0</v>
      </c>
      <c r="SBQ1">
        <f>Database!SCJ1</f>
        <v>0</v>
      </c>
      <c r="SBR1">
        <f>Database!SCK1</f>
        <v>0</v>
      </c>
      <c r="SBS1">
        <f>Database!SCL1</f>
        <v>0</v>
      </c>
      <c r="SBT1">
        <f>Database!SCM1</f>
        <v>0</v>
      </c>
      <c r="SBU1">
        <f>Database!SCN1</f>
        <v>0</v>
      </c>
      <c r="SBV1">
        <f>Database!SCO1</f>
        <v>0</v>
      </c>
      <c r="SBW1">
        <f>Database!SCP1</f>
        <v>0</v>
      </c>
      <c r="SBX1">
        <f>Database!SCQ1</f>
        <v>0</v>
      </c>
      <c r="SBY1">
        <f>Database!SCR1</f>
        <v>0</v>
      </c>
      <c r="SBZ1">
        <f>Database!SCS1</f>
        <v>0</v>
      </c>
      <c r="SCA1">
        <f>Database!SCT1</f>
        <v>0</v>
      </c>
      <c r="SCB1">
        <f>Database!SCU1</f>
        <v>0</v>
      </c>
      <c r="SCC1">
        <f>Database!SCV1</f>
        <v>0</v>
      </c>
      <c r="SCD1">
        <f>Database!SCW1</f>
        <v>0</v>
      </c>
      <c r="SCE1">
        <f>Database!SCX1</f>
        <v>0</v>
      </c>
      <c r="SCF1">
        <f>Database!SCY1</f>
        <v>0</v>
      </c>
      <c r="SCG1">
        <f>Database!SCZ1</f>
        <v>0</v>
      </c>
      <c r="SCH1">
        <f>Database!SDA1</f>
        <v>0</v>
      </c>
      <c r="SCI1">
        <f>Database!SDB1</f>
        <v>0</v>
      </c>
      <c r="SCJ1">
        <f>Database!SDC1</f>
        <v>0</v>
      </c>
      <c r="SCK1">
        <f>Database!SDD1</f>
        <v>0</v>
      </c>
      <c r="SCL1">
        <f>Database!SDE1</f>
        <v>0</v>
      </c>
      <c r="SCM1">
        <f>Database!SDF1</f>
        <v>0</v>
      </c>
      <c r="SCN1">
        <f>Database!SDG1</f>
        <v>0</v>
      </c>
      <c r="SCO1">
        <f>Database!SDH1</f>
        <v>0</v>
      </c>
      <c r="SCP1">
        <f>Database!SDI1</f>
        <v>0</v>
      </c>
      <c r="SCQ1">
        <f>Database!SDJ1</f>
        <v>0</v>
      </c>
      <c r="SCR1">
        <f>Database!SDK1</f>
        <v>0</v>
      </c>
      <c r="SCS1">
        <f>Database!SDL1</f>
        <v>0</v>
      </c>
      <c r="SCT1">
        <f>Database!SDM1</f>
        <v>0</v>
      </c>
      <c r="SCU1">
        <f>Database!SDN1</f>
        <v>0</v>
      </c>
      <c r="SCV1">
        <f>Database!SDO1</f>
        <v>0</v>
      </c>
      <c r="SCW1">
        <f>Database!SDP1</f>
        <v>0</v>
      </c>
      <c r="SCX1">
        <f>Database!SDQ1</f>
        <v>0</v>
      </c>
      <c r="SCY1">
        <f>Database!SDR1</f>
        <v>0</v>
      </c>
      <c r="SCZ1">
        <f>Database!SDS1</f>
        <v>0</v>
      </c>
      <c r="SDA1">
        <f>Database!SDT1</f>
        <v>0</v>
      </c>
      <c r="SDB1">
        <f>Database!SDU1</f>
        <v>0</v>
      </c>
      <c r="SDC1">
        <f>Database!SDV1</f>
        <v>0</v>
      </c>
      <c r="SDD1">
        <f>Database!SDW1</f>
        <v>0</v>
      </c>
      <c r="SDE1">
        <f>Database!SDX1</f>
        <v>0</v>
      </c>
      <c r="SDF1">
        <f>Database!SDY1</f>
        <v>0</v>
      </c>
      <c r="SDG1">
        <f>Database!SDZ1</f>
        <v>0</v>
      </c>
      <c r="SDH1">
        <f>Database!SEA1</f>
        <v>0</v>
      </c>
      <c r="SDI1">
        <f>Database!SEB1</f>
        <v>0</v>
      </c>
      <c r="SDJ1">
        <f>Database!SEC1</f>
        <v>0</v>
      </c>
      <c r="SDK1">
        <f>Database!SED1</f>
        <v>0</v>
      </c>
      <c r="SDL1">
        <f>Database!SEE1</f>
        <v>0</v>
      </c>
      <c r="SDM1">
        <f>Database!SEF1</f>
        <v>0</v>
      </c>
      <c r="SDN1">
        <f>Database!SEG1</f>
        <v>0</v>
      </c>
      <c r="SDO1">
        <f>Database!SEH1</f>
        <v>0</v>
      </c>
      <c r="SDP1">
        <f>Database!SEI1</f>
        <v>0</v>
      </c>
      <c r="SDQ1">
        <f>Database!SEJ1</f>
        <v>0</v>
      </c>
      <c r="SDR1">
        <f>Database!SEK1</f>
        <v>0</v>
      </c>
      <c r="SDS1">
        <f>Database!SEL1</f>
        <v>0</v>
      </c>
      <c r="SDT1">
        <f>Database!SEM1</f>
        <v>0</v>
      </c>
      <c r="SDU1">
        <f>Database!SEN1</f>
        <v>0</v>
      </c>
      <c r="SDV1">
        <f>Database!SEO1</f>
        <v>0</v>
      </c>
      <c r="SDW1">
        <f>Database!SEP1</f>
        <v>0</v>
      </c>
      <c r="SDX1">
        <f>Database!SEQ1</f>
        <v>0</v>
      </c>
      <c r="SDY1">
        <f>Database!SER1</f>
        <v>0</v>
      </c>
      <c r="SDZ1">
        <f>Database!SES1</f>
        <v>0</v>
      </c>
      <c r="SEA1">
        <f>Database!SET1</f>
        <v>0</v>
      </c>
      <c r="SEB1">
        <f>Database!SEU1</f>
        <v>0</v>
      </c>
      <c r="SEC1">
        <f>Database!SEV1</f>
        <v>0</v>
      </c>
      <c r="SED1">
        <f>Database!SEW1</f>
        <v>0</v>
      </c>
      <c r="SEE1">
        <f>Database!SEX1</f>
        <v>0</v>
      </c>
      <c r="SEF1">
        <f>Database!SEY1</f>
        <v>0</v>
      </c>
      <c r="SEG1">
        <f>Database!SEZ1</f>
        <v>0</v>
      </c>
      <c r="SEH1">
        <f>Database!SFA1</f>
        <v>0</v>
      </c>
      <c r="SEI1">
        <f>Database!SFB1</f>
        <v>0</v>
      </c>
      <c r="SEJ1">
        <f>Database!SFC1</f>
        <v>0</v>
      </c>
      <c r="SEK1">
        <f>Database!SFD1</f>
        <v>0</v>
      </c>
      <c r="SEL1">
        <f>Database!SFE1</f>
        <v>0</v>
      </c>
      <c r="SEM1">
        <f>Database!SFF1</f>
        <v>0</v>
      </c>
      <c r="SEN1">
        <f>Database!SFG1</f>
        <v>0</v>
      </c>
      <c r="SEO1">
        <f>Database!SFH1</f>
        <v>0</v>
      </c>
      <c r="SEP1">
        <f>Database!SFI1</f>
        <v>0</v>
      </c>
      <c r="SEQ1">
        <f>Database!SFJ1</f>
        <v>0</v>
      </c>
      <c r="SER1">
        <f>Database!SFK1</f>
        <v>0</v>
      </c>
      <c r="SES1">
        <f>Database!SFL1</f>
        <v>0</v>
      </c>
      <c r="SET1">
        <f>Database!SFM1</f>
        <v>0</v>
      </c>
      <c r="SEU1">
        <f>Database!SFN1</f>
        <v>0</v>
      </c>
      <c r="SEV1">
        <f>Database!SFO1</f>
        <v>0</v>
      </c>
      <c r="SEW1">
        <f>Database!SFP1</f>
        <v>0</v>
      </c>
      <c r="SEX1">
        <f>Database!SFQ1</f>
        <v>0</v>
      </c>
      <c r="SEY1">
        <f>Database!SFR1</f>
        <v>0</v>
      </c>
      <c r="SEZ1">
        <f>Database!SFS1</f>
        <v>0</v>
      </c>
      <c r="SFA1">
        <f>Database!SFT1</f>
        <v>0</v>
      </c>
      <c r="SFB1">
        <f>Database!SFU1</f>
        <v>0</v>
      </c>
      <c r="SFC1">
        <f>Database!SFV1</f>
        <v>0</v>
      </c>
      <c r="SFD1">
        <f>Database!SFW1</f>
        <v>0</v>
      </c>
      <c r="SFE1">
        <f>Database!SFX1</f>
        <v>0</v>
      </c>
      <c r="SFF1">
        <f>Database!SFY1</f>
        <v>0</v>
      </c>
      <c r="SFG1">
        <f>Database!SFZ1</f>
        <v>0</v>
      </c>
      <c r="SFH1">
        <f>Database!SGA1</f>
        <v>0</v>
      </c>
      <c r="SFI1">
        <f>Database!SGB1</f>
        <v>0</v>
      </c>
      <c r="SFJ1">
        <f>Database!SGC1</f>
        <v>0</v>
      </c>
      <c r="SFK1">
        <f>Database!SGD1</f>
        <v>0</v>
      </c>
      <c r="SFL1">
        <f>Database!SGE1</f>
        <v>0</v>
      </c>
      <c r="SFM1">
        <f>Database!SGF1</f>
        <v>0</v>
      </c>
      <c r="SFN1">
        <f>Database!SGG1</f>
        <v>0</v>
      </c>
      <c r="SFO1">
        <f>Database!SGH1</f>
        <v>0</v>
      </c>
      <c r="SFP1">
        <f>Database!SGI1</f>
        <v>0</v>
      </c>
      <c r="SFQ1">
        <f>Database!SGJ1</f>
        <v>0</v>
      </c>
      <c r="SFR1">
        <f>Database!SGK1</f>
        <v>0</v>
      </c>
      <c r="SFS1">
        <f>Database!SGL1</f>
        <v>0</v>
      </c>
      <c r="SFT1">
        <f>Database!SGM1</f>
        <v>0</v>
      </c>
      <c r="SFU1">
        <f>Database!SGN1</f>
        <v>0</v>
      </c>
      <c r="SFV1">
        <f>Database!SGO1</f>
        <v>0</v>
      </c>
      <c r="SFW1">
        <f>Database!SGP1</f>
        <v>0</v>
      </c>
      <c r="SFX1">
        <f>Database!SGQ1</f>
        <v>0</v>
      </c>
      <c r="SFY1">
        <f>Database!SGR1</f>
        <v>0</v>
      </c>
      <c r="SFZ1">
        <f>Database!SGS1</f>
        <v>0</v>
      </c>
      <c r="SGA1">
        <f>Database!SGT1</f>
        <v>0</v>
      </c>
      <c r="SGB1">
        <f>Database!SGU1</f>
        <v>0</v>
      </c>
      <c r="SGC1">
        <f>Database!SGV1</f>
        <v>0</v>
      </c>
      <c r="SGD1">
        <f>Database!SGW1</f>
        <v>0</v>
      </c>
      <c r="SGE1">
        <f>Database!SGX1</f>
        <v>0</v>
      </c>
      <c r="SGF1">
        <f>Database!SGY1</f>
        <v>0</v>
      </c>
      <c r="SGG1">
        <f>Database!SGZ1</f>
        <v>0</v>
      </c>
      <c r="SGH1">
        <f>Database!SHA1</f>
        <v>0</v>
      </c>
      <c r="SGI1">
        <f>Database!SHB1</f>
        <v>0</v>
      </c>
      <c r="SGJ1">
        <f>Database!SHC1</f>
        <v>0</v>
      </c>
      <c r="SGK1">
        <f>Database!SHD1</f>
        <v>0</v>
      </c>
      <c r="SGL1">
        <f>Database!SHE1</f>
        <v>0</v>
      </c>
      <c r="SGM1">
        <f>Database!SHF1</f>
        <v>0</v>
      </c>
      <c r="SGN1">
        <f>Database!SHG1</f>
        <v>0</v>
      </c>
      <c r="SGO1">
        <f>Database!SHH1</f>
        <v>0</v>
      </c>
      <c r="SGP1">
        <f>Database!SHI1</f>
        <v>0</v>
      </c>
      <c r="SGQ1">
        <f>Database!SHJ1</f>
        <v>0</v>
      </c>
      <c r="SGR1">
        <f>Database!SHK1</f>
        <v>0</v>
      </c>
      <c r="SGS1">
        <f>Database!SHL1</f>
        <v>0</v>
      </c>
      <c r="SGT1">
        <f>Database!SHM1</f>
        <v>0</v>
      </c>
      <c r="SGU1">
        <f>Database!SHN1</f>
        <v>0</v>
      </c>
      <c r="SGV1">
        <f>Database!SHO1</f>
        <v>0</v>
      </c>
      <c r="SGW1">
        <f>Database!SHP1</f>
        <v>0</v>
      </c>
      <c r="SGX1">
        <f>Database!SHQ1</f>
        <v>0</v>
      </c>
      <c r="SGY1">
        <f>Database!SHR1</f>
        <v>0</v>
      </c>
      <c r="SGZ1">
        <f>Database!SHS1</f>
        <v>0</v>
      </c>
      <c r="SHA1">
        <f>Database!SHT1</f>
        <v>0</v>
      </c>
      <c r="SHB1">
        <f>Database!SHU1</f>
        <v>0</v>
      </c>
      <c r="SHC1">
        <f>Database!SHV1</f>
        <v>0</v>
      </c>
      <c r="SHD1">
        <f>Database!SHW1</f>
        <v>0</v>
      </c>
      <c r="SHE1">
        <f>Database!SHX1</f>
        <v>0</v>
      </c>
      <c r="SHF1">
        <f>Database!SHY1</f>
        <v>0</v>
      </c>
      <c r="SHG1">
        <f>Database!SHZ1</f>
        <v>0</v>
      </c>
      <c r="SHH1">
        <f>Database!SIA1</f>
        <v>0</v>
      </c>
      <c r="SHI1">
        <f>Database!SIB1</f>
        <v>0</v>
      </c>
      <c r="SHJ1">
        <f>Database!SIC1</f>
        <v>0</v>
      </c>
      <c r="SHK1">
        <f>Database!SID1</f>
        <v>0</v>
      </c>
      <c r="SHL1">
        <f>Database!SIE1</f>
        <v>0</v>
      </c>
      <c r="SHM1">
        <f>Database!SIF1</f>
        <v>0</v>
      </c>
      <c r="SHN1">
        <f>Database!SIG1</f>
        <v>0</v>
      </c>
      <c r="SHO1">
        <f>Database!SIH1</f>
        <v>0</v>
      </c>
      <c r="SHP1">
        <f>Database!SII1</f>
        <v>0</v>
      </c>
      <c r="SHQ1">
        <f>Database!SIJ1</f>
        <v>0</v>
      </c>
      <c r="SHR1">
        <f>Database!SIK1</f>
        <v>0</v>
      </c>
      <c r="SHS1">
        <f>Database!SIL1</f>
        <v>0</v>
      </c>
      <c r="SHT1">
        <f>Database!SIM1</f>
        <v>0</v>
      </c>
      <c r="SHU1">
        <f>Database!SIN1</f>
        <v>0</v>
      </c>
      <c r="SHV1">
        <f>Database!SIO1</f>
        <v>0</v>
      </c>
      <c r="SHW1">
        <f>Database!SIP1</f>
        <v>0</v>
      </c>
      <c r="SHX1">
        <f>Database!SIQ1</f>
        <v>0</v>
      </c>
      <c r="SHY1">
        <f>Database!SIR1</f>
        <v>0</v>
      </c>
      <c r="SHZ1">
        <f>Database!SIS1</f>
        <v>0</v>
      </c>
      <c r="SIA1">
        <f>Database!SIT1</f>
        <v>0</v>
      </c>
      <c r="SIB1">
        <f>Database!SIU1</f>
        <v>0</v>
      </c>
      <c r="SIC1">
        <f>Database!SIV1</f>
        <v>0</v>
      </c>
      <c r="SID1">
        <f>Database!SIW1</f>
        <v>0</v>
      </c>
      <c r="SIE1">
        <f>Database!SIX1</f>
        <v>0</v>
      </c>
      <c r="SIF1">
        <f>Database!SIY1</f>
        <v>0</v>
      </c>
      <c r="SIG1">
        <f>Database!SIZ1</f>
        <v>0</v>
      </c>
      <c r="SIH1">
        <f>Database!SJA1</f>
        <v>0</v>
      </c>
      <c r="SII1">
        <f>Database!SJB1</f>
        <v>0</v>
      </c>
      <c r="SIJ1">
        <f>Database!SJC1</f>
        <v>0</v>
      </c>
      <c r="SIK1">
        <f>Database!SJD1</f>
        <v>0</v>
      </c>
      <c r="SIL1">
        <f>Database!SJE1</f>
        <v>0</v>
      </c>
      <c r="SIM1">
        <f>Database!SJF1</f>
        <v>0</v>
      </c>
      <c r="SIN1">
        <f>Database!SJG1</f>
        <v>0</v>
      </c>
      <c r="SIO1">
        <f>Database!SJH1</f>
        <v>0</v>
      </c>
      <c r="SIP1">
        <f>Database!SJI1</f>
        <v>0</v>
      </c>
      <c r="SIQ1">
        <f>Database!SJJ1</f>
        <v>0</v>
      </c>
      <c r="SIR1">
        <f>Database!SJK1</f>
        <v>0</v>
      </c>
      <c r="SIS1">
        <f>Database!SJL1</f>
        <v>0</v>
      </c>
      <c r="SIT1">
        <f>Database!SJM1</f>
        <v>0</v>
      </c>
      <c r="SIU1">
        <f>Database!SJN1</f>
        <v>0</v>
      </c>
      <c r="SIV1">
        <f>Database!SJO1</f>
        <v>0</v>
      </c>
      <c r="SIW1">
        <f>Database!SJP1</f>
        <v>0</v>
      </c>
      <c r="SIX1">
        <f>Database!SJQ1</f>
        <v>0</v>
      </c>
      <c r="SIY1">
        <f>Database!SJR1</f>
        <v>0</v>
      </c>
      <c r="SIZ1">
        <f>Database!SJS1</f>
        <v>0</v>
      </c>
      <c r="SJA1">
        <f>Database!SJT1</f>
        <v>0</v>
      </c>
      <c r="SJB1">
        <f>Database!SJU1</f>
        <v>0</v>
      </c>
      <c r="SJC1">
        <f>Database!SJV1</f>
        <v>0</v>
      </c>
      <c r="SJD1">
        <f>Database!SJW1</f>
        <v>0</v>
      </c>
      <c r="SJE1">
        <f>Database!SJX1</f>
        <v>0</v>
      </c>
      <c r="SJF1">
        <f>Database!SJY1</f>
        <v>0</v>
      </c>
      <c r="SJG1">
        <f>Database!SJZ1</f>
        <v>0</v>
      </c>
      <c r="SJH1">
        <f>Database!SKA1</f>
        <v>0</v>
      </c>
      <c r="SJI1">
        <f>Database!SKB1</f>
        <v>0</v>
      </c>
      <c r="SJJ1">
        <f>Database!SKC1</f>
        <v>0</v>
      </c>
      <c r="SJK1">
        <f>Database!SKD1</f>
        <v>0</v>
      </c>
      <c r="SJL1">
        <f>Database!SKE1</f>
        <v>0</v>
      </c>
      <c r="SJM1">
        <f>Database!SKF1</f>
        <v>0</v>
      </c>
      <c r="SJN1">
        <f>Database!SKG1</f>
        <v>0</v>
      </c>
      <c r="SJO1">
        <f>Database!SKH1</f>
        <v>0</v>
      </c>
      <c r="SJP1">
        <f>Database!SKI1</f>
        <v>0</v>
      </c>
      <c r="SJQ1">
        <f>Database!SKJ1</f>
        <v>0</v>
      </c>
      <c r="SJR1">
        <f>Database!SKK1</f>
        <v>0</v>
      </c>
      <c r="SJS1">
        <f>Database!SKL1</f>
        <v>0</v>
      </c>
      <c r="SJT1">
        <f>Database!SKM1</f>
        <v>0</v>
      </c>
      <c r="SJU1">
        <f>Database!SKN1</f>
        <v>0</v>
      </c>
      <c r="SJV1">
        <f>Database!SKO1</f>
        <v>0</v>
      </c>
      <c r="SJW1">
        <f>Database!SKP1</f>
        <v>0</v>
      </c>
      <c r="SJX1">
        <f>Database!SKQ1</f>
        <v>0</v>
      </c>
      <c r="SJY1">
        <f>Database!SKR1</f>
        <v>0</v>
      </c>
      <c r="SJZ1">
        <f>Database!SKS1</f>
        <v>0</v>
      </c>
      <c r="SKA1">
        <f>Database!SKT1</f>
        <v>0</v>
      </c>
      <c r="SKB1">
        <f>Database!SKU1</f>
        <v>0</v>
      </c>
      <c r="SKC1">
        <f>Database!SKV1</f>
        <v>0</v>
      </c>
      <c r="SKD1">
        <f>Database!SKW1</f>
        <v>0</v>
      </c>
      <c r="SKE1">
        <f>Database!SKX1</f>
        <v>0</v>
      </c>
      <c r="SKF1">
        <f>Database!SKY1</f>
        <v>0</v>
      </c>
      <c r="SKG1">
        <f>Database!SKZ1</f>
        <v>0</v>
      </c>
      <c r="SKH1">
        <f>Database!SLA1</f>
        <v>0</v>
      </c>
      <c r="SKI1">
        <f>Database!SLB1</f>
        <v>0</v>
      </c>
      <c r="SKJ1">
        <f>Database!SLC1</f>
        <v>0</v>
      </c>
      <c r="SKK1">
        <f>Database!SLD1</f>
        <v>0</v>
      </c>
      <c r="SKL1">
        <f>Database!SLE1</f>
        <v>0</v>
      </c>
      <c r="SKM1">
        <f>Database!SLF1</f>
        <v>0</v>
      </c>
      <c r="SKN1">
        <f>Database!SLG1</f>
        <v>0</v>
      </c>
      <c r="SKO1">
        <f>Database!SLH1</f>
        <v>0</v>
      </c>
      <c r="SKP1">
        <f>Database!SLI1</f>
        <v>0</v>
      </c>
      <c r="SKQ1">
        <f>Database!SLJ1</f>
        <v>0</v>
      </c>
      <c r="SKR1">
        <f>Database!SLK1</f>
        <v>0</v>
      </c>
      <c r="SKS1">
        <f>Database!SLL1</f>
        <v>0</v>
      </c>
      <c r="SKT1">
        <f>Database!SLM1</f>
        <v>0</v>
      </c>
      <c r="SKU1">
        <f>Database!SLN1</f>
        <v>0</v>
      </c>
      <c r="SKV1">
        <f>Database!SLO1</f>
        <v>0</v>
      </c>
      <c r="SKW1">
        <f>Database!SLP1</f>
        <v>0</v>
      </c>
      <c r="SKX1">
        <f>Database!SLQ1</f>
        <v>0</v>
      </c>
      <c r="SKY1">
        <f>Database!SLR1</f>
        <v>0</v>
      </c>
      <c r="SKZ1">
        <f>Database!SLS1</f>
        <v>0</v>
      </c>
      <c r="SLA1">
        <f>Database!SLT1</f>
        <v>0</v>
      </c>
      <c r="SLB1">
        <f>Database!SLU1</f>
        <v>0</v>
      </c>
      <c r="SLC1">
        <f>Database!SLV1</f>
        <v>0</v>
      </c>
      <c r="SLD1">
        <f>Database!SLW1</f>
        <v>0</v>
      </c>
      <c r="SLE1">
        <f>Database!SLX1</f>
        <v>0</v>
      </c>
      <c r="SLF1">
        <f>Database!SLY1</f>
        <v>0</v>
      </c>
      <c r="SLG1">
        <f>Database!SLZ1</f>
        <v>0</v>
      </c>
      <c r="SLH1">
        <f>Database!SMA1</f>
        <v>0</v>
      </c>
      <c r="SLI1">
        <f>Database!SMB1</f>
        <v>0</v>
      </c>
      <c r="SLJ1">
        <f>Database!SMC1</f>
        <v>0</v>
      </c>
      <c r="SLK1">
        <f>Database!SMD1</f>
        <v>0</v>
      </c>
      <c r="SLL1">
        <f>Database!SME1</f>
        <v>0</v>
      </c>
      <c r="SLM1">
        <f>Database!SMF1</f>
        <v>0</v>
      </c>
      <c r="SLN1">
        <f>Database!SMG1</f>
        <v>0</v>
      </c>
      <c r="SLO1">
        <f>Database!SMH1</f>
        <v>0</v>
      </c>
      <c r="SLP1">
        <f>Database!SMI1</f>
        <v>0</v>
      </c>
      <c r="SLQ1">
        <f>Database!SMJ1</f>
        <v>0</v>
      </c>
      <c r="SLR1">
        <f>Database!SMK1</f>
        <v>0</v>
      </c>
      <c r="SLS1">
        <f>Database!SML1</f>
        <v>0</v>
      </c>
      <c r="SLT1">
        <f>Database!SMM1</f>
        <v>0</v>
      </c>
      <c r="SLU1">
        <f>Database!SMN1</f>
        <v>0</v>
      </c>
      <c r="SLV1">
        <f>Database!SMO1</f>
        <v>0</v>
      </c>
      <c r="SLW1">
        <f>Database!SMP1</f>
        <v>0</v>
      </c>
      <c r="SLX1">
        <f>Database!SMQ1</f>
        <v>0</v>
      </c>
      <c r="SLY1">
        <f>Database!SMR1</f>
        <v>0</v>
      </c>
      <c r="SLZ1">
        <f>Database!SMS1</f>
        <v>0</v>
      </c>
      <c r="SMA1">
        <f>Database!SMT1</f>
        <v>0</v>
      </c>
      <c r="SMB1">
        <f>Database!SMU1</f>
        <v>0</v>
      </c>
      <c r="SMC1">
        <f>Database!SMV1</f>
        <v>0</v>
      </c>
      <c r="SMD1">
        <f>Database!SMW1</f>
        <v>0</v>
      </c>
      <c r="SME1">
        <f>Database!SMX1</f>
        <v>0</v>
      </c>
      <c r="SMF1">
        <f>Database!SMY1</f>
        <v>0</v>
      </c>
      <c r="SMG1">
        <f>Database!SMZ1</f>
        <v>0</v>
      </c>
      <c r="SMH1">
        <f>Database!SNA1</f>
        <v>0</v>
      </c>
      <c r="SMI1">
        <f>Database!SNB1</f>
        <v>0</v>
      </c>
      <c r="SMJ1">
        <f>Database!SNC1</f>
        <v>0</v>
      </c>
      <c r="SMK1">
        <f>Database!SND1</f>
        <v>0</v>
      </c>
      <c r="SML1">
        <f>Database!SNE1</f>
        <v>0</v>
      </c>
      <c r="SMM1">
        <f>Database!SNF1</f>
        <v>0</v>
      </c>
      <c r="SMN1">
        <f>Database!SNG1</f>
        <v>0</v>
      </c>
      <c r="SMO1">
        <f>Database!SNH1</f>
        <v>0</v>
      </c>
      <c r="SMP1">
        <f>Database!SNI1</f>
        <v>0</v>
      </c>
      <c r="SMQ1">
        <f>Database!SNJ1</f>
        <v>0</v>
      </c>
      <c r="SMR1">
        <f>Database!SNK1</f>
        <v>0</v>
      </c>
      <c r="SMS1">
        <f>Database!SNL1</f>
        <v>0</v>
      </c>
      <c r="SMT1">
        <f>Database!SNM1</f>
        <v>0</v>
      </c>
      <c r="SMU1">
        <f>Database!SNN1</f>
        <v>0</v>
      </c>
      <c r="SMV1">
        <f>Database!SNO1</f>
        <v>0</v>
      </c>
      <c r="SMW1">
        <f>Database!SNP1</f>
        <v>0</v>
      </c>
      <c r="SMX1">
        <f>Database!SNQ1</f>
        <v>0</v>
      </c>
      <c r="SMY1">
        <f>Database!SNR1</f>
        <v>0</v>
      </c>
      <c r="SMZ1">
        <f>Database!SNS1</f>
        <v>0</v>
      </c>
      <c r="SNA1">
        <f>Database!SNT1</f>
        <v>0</v>
      </c>
      <c r="SNB1">
        <f>Database!SNU1</f>
        <v>0</v>
      </c>
      <c r="SNC1">
        <f>Database!SNV1</f>
        <v>0</v>
      </c>
      <c r="SND1">
        <f>Database!SNW1</f>
        <v>0</v>
      </c>
      <c r="SNE1">
        <f>Database!SNX1</f>
        <v>0</v>
      </c>
      <c r="SNF1">
        <f>Database!SNY1</f>
        <v>0</v>
      </c>
      <c r="SNG1">
        <f>Database!SNZ1</f>
        <v>0</v>
      </c>
      <c r="SNH1">
        <f>Database!SOA1</f>
        <v>0</v>
      </c>
      <c r="SNI1">
        <f>Database!SOB1</f>
        <v>0</v>
      </c>
      <c r="SNJ1">
        <f>Database!SOC1</f>
        <v>0</v>
      </c>
      <c r="SNK1">
        <f>Database!SOD1</f>
        <v>0</v>
      </c>
      <c r="SNL1">
        <f>Database!SOE1</f>
        <v>0</v>
      </c>
      <c r="SNM1">
        <f>Database!SOF1</f>
        <v>0</v>
      </c>
      <c r="SNN1">
        <f>Database!SOG1</f>
        <v>0</v>
      </c>
      <c r="SNO1">
        <f>Database!SOH1</f>
        <v>0</v>
      </c>
      <c r="SNP1">
        <f>Database!SOI1</f>
        <v>0</v>
      </c>
      <c r="SNQ1">
        <f>Database!SOJ1</f>
        <v>0</v>
      </c>
      <c r="SNR1">
        <f>Database!SOK1</f>
        <v>0</v>
      </c>
      <c r="SNS1">
        <f>Database!SOL1</f>
        <v>0</v>
      </c>
      <c r="SNT1">
        <f>Database!SOM1</f>
        <v>0</v>
      </c>
      <c r="SNU1">
        <f>Database!SON1</f>
        <v>0</v>
      </c>
      <c r="SNV1">
        <f>Database!SOO1</f>
        <v>0</v>
      </c>
      <c r="SNW1">
        <f>Database!SOP1</f>
        <v>0</v>
      </c>
      <c r="SNX1">
        <f>Database!SOQ1</f>
        <v>0</v>
      </c>
      <c r="SNY1">
        <f>Database!SOR1</f>
        <v>0</v>
      </c>
      <c r="SNZ1">
        <f>Database!SOS1</f>
        <v>0</v>
      </c>
      <c r="SOA1">
        <f>Database!SOT1</f>
        <v>0</v>
      </c>
      <c r="SOB1">
        <f>Database!SOU1</f>
        <v>0</v>
      </c>
      <c r="SOC1">
        <f>Database!SOV1</f>
        <v>0</v>
      </c>
      <c r="SOD1">
        <f>Database!SOW1</f>
        <v>0</v>
      </c>
      <c r="SOE1">
        <f>Database!SOX1</f>
        <v>0</v>
      </c>
      <c r="SOF1">
        <f>Database!SOY1</f>
        <v>0</v>
      </c>
      <c r="SOG1">
        <f>Database!SOZ1</f>
        <v>0</v>
      </c>
      <c r="SOH1">
        <f>Database!SPA1</f>
        <v>0</v>
      </c>
      <c r="SOI1">
        <f>Database!SPB1</f>
        <v>0</v>
      </c>
      <c r="SOJ1">
        <f>Database!SPC1</f>
        <v>0</v>
      </c>
      <c r="SOK1">
        <f>Database!SPD1</f>
        <v>0</v>
      </c>
      <c r="SOL1">
        <f>Database!SPE1</f>
        <v>0</v>
      </c>
      <c r="SOM1">
        <f>Database!SPF1</f>
        <v>0</v>
      </c>
      <c r="SON1">
        <f>Database!SPG1</f>
        <v>0</v>
      </c>
      <c r="SOO1">
        <f>Database!SPH1</f>
        <v>0</v>
      </c>
      <c r="SOP1">
        <f>Database!SPI1</f>
        <v>0</v>
      </c>
      <c r="SOQ1">
        <f>Database!SPJ1</f>
        <v>0</v>
      </c>
      <c r="SOR1">
        <f>Database!SPK1</f>
        <v>0</v>
      </c>
      <c r="SOS1">
        <f>Database!SPL1</f>
        <v>0</v>
      </c>
      <c r="SOT1">
        <f>Database!SPM1</f>
        <v>0</v>
      </c>
      <c r="SOU1">
        <f>Database!SPN1</f>
        <v>0</v>
      </c>
      <c r="SOV1">
        <f>Database!SPO1</f>
        <v>0</v>
      </c>
      <c r="SOW1">
        <f>Database!SPP1</f>
        <v>0</v>
      </c>
      <c r="SOX1">
        <f>Database!SPQ1</f>
        <v>0</v>
      </c>
      <c r="SOY1">
        <f>Database!SPR1</f>
        <v>0</v>
      </c>
      <c r="SOZ1">
        <f>Database!SPS1</f>
        <v>0</v>
      </c>
      <c r="SPA1">
        <f>Database!SPT1</f>
        <v>0</v>
      </c>
      <c r="SPB1">
        <f>Database!SPU1</f>
        <v>0</v>
      </c>
      <c r="SPC1">
        <f>Database!SPV1</f>
        <v>0</v>
      </c>
      <c r="SPD1">
        <f>Database!SPW1</f>
        <v>0</v>
      </c>
      <c r="SPE1">
        <f>Database!SPX1</f>
        <v>0</v>
      </c>
      <c r="SPF1">
        <f>Database!SPY1</f>
        <v>0</v>
      </c>
      <c r="SPG1">
        <f>Database!SPZ1</f>
        <v>0</v>
      </c>
      <c r="SPH1">
        <f>Database!SQA1</f>
        <v>0</v>
      </c>
      <c r="SPI1">
        <f>Database!SQB1</f>
        <v>0</v>
      </c>
      <c r="SPJ1">
        <f>Database!SQC1</f>
        <v>0</v>
      </c>
      <c r="SPK1">
        <f>Database!SQD1</f>
        <v>0</v>
      </c>
      <c r="SPL1">
        <f>Database!SQE1</f>
        <v>0</v>
      </c>
      <c r="SPM1">
        <f>Database!SQF1</f>
        <v>0</v>
      </c>
      <c r="SPN1">
        <f>Database!SQG1</f>
        <v>0</v>
      </c>
      <c r="SPO1">
        <f>Database!SQH1</f>
        <v>0</v>
      </c>
      <c r="SPP1">
        <f>Database!SQI1</f>
        <v>0</v>
      </c>
      <c r="SPQ1">
        <f>Database!SQJ1</f>
        <v>0</v>
      </c>
      <c r="SPR1">
        <f>Database!SQK1</f>
        <v>0</v>
      </c>
      <c r="SPS1">
        <f>Database!SQL1</f>
        <v>0</v>
      </c>
      <c r="SPT1">
        <f>Database!SQM1</f>
        <v>0</v>
      </c>
      <c r="SPU1">
        <f>Database!SQN1</f>
        <v>0</v>
      </c>
      <c r="SPV1">
        <f>Database!SQO1</f>
        <v>0</v>
      </c>
      <c r="SPW1">
        <f>Database!SQP1</f>
        <v>0</v>
      </c>
      <c r="SPX1">
        <f>Database!SQQ1</f>
        <v>0</v>
      </c>
      <c r="SPY1">
        <f>Database!SQR1</f>
        <v>0</v>
      </c>
      <c r="SPZ1">
        <f>Database!SQS1</f>
        <v>0</v>
      </c>
      <c r="SQA1">
        <f>Database!SQT1</f>
        <v>0</v>
      </c>
      <c r="SQB1">
        <f>Database!SQU1</f>
        <v>0</v>
      </c>
      <c r="SQC1">
        <f>Database!SQV1</f>
        <v>0</v>
      </c>
      <c r="SQD1">
        <f>Database!SQW1</f>
        <v>0</v>
      </c>
      <c r="SQE1">
        <f>Database!SQX1</f>
        <v>0</v>
      </c>
      <c r="SQF1">
        <f>Database!SQY1</f>
        <v>0</v>
      </c>
      <c r="SQG1">
        <f>Database!SQZ1</f>
        <v>0</v>
      </c>
      <c r="SQH1">
        <f>Database!SRA1</f>
        <v>0</v>
      </c>
      <c r="SQI1">
        <f>Database!SRB1</f>
        <v>0</v>
      </c>
      <c r="SQJ1">
        <f>Database!SRC1</f>
        <v>0</v>
      </c>
      <c r="SQK1">
        <f>Database!SRD1</f>
        <v>0</v>
      </c>
      <c r="SQL1">
        <f>Database!SRE1</f>
        <v>0</v>
      </c>
      <c r="SQM1">
        <f>Database!SRF1</f>
        <v>0</v>
      </c>
      <c r="SQN1">
        <f>Database!SRG1</f>
        <v>0</v>
      </c>
      <c r="SQO1">
        <f>Database!SRH1</f>
        <v>0</v>
      </c>
      <c r="SQP1">
        <f>Database!SRI1</f>
        <v>0</v>
      </c>
      <c r="SQQ1">
        <f>Database!SRJ1</f>
        <v>0</v>
      </c>
      <c r="SQR1">
        <f>Database!SRK1</f>
        <v>0</v>
      </c>
      <c r="SQS1">
        <f>Database!SRL1</f>
        <v>0</v>
      </c>
      <c r="SQT1">
        <f>Database!SRM1</f>
        <v>0</v>
      </c>
      <c r="SQU1">
        <f>Database!SRN1</f>
        <v>0</v>
      </c>
      <c r="SQV1">
        <f>Database!SRO1</f>
        <v>0</v>
      </c>
      <c r="SQW1">
        <f>Database!SRP1</f>
        <v>0</v>
      </c>
      <c r="SQX1">
        <f>Database!SRQ1</f>
        <v>0</v>
      </c>
      <c r="SQY1">
        <f>Database!SRR1</f>
        <v>0</v>
      </c>
      <c r="SQZ1">
        <f>Database!SRS1</f>
        <v>0</v>
      </c>
      <c r="SRA1">
        <f>Database!SRT1</f>
        <v>0</v>
      </c>
      <c r="SRB1">
        <f>Database!SRU1</f>
        <v>0</v>
      </c>
      <c r="SRC1">
        <f>Database!SRV1</f>
        <v>0</v>
      </c>
      <c r="SRD1">
        <f>Database!SRW1</f>
        <v>0</v>
      </c>
      <c r="SRE1">
        <f>Database!SRX1</f>
        <v>0</v>
      </c>
      <c r="SRF1">
        <f>Database!SRY1</f>
        <v>0</v>
      </c>
      <c r="SRG1">
        <f>Database!SRZ1</f>
        <v>0</v>
      </c>
      <c r="SRH1">
        <f>Database!SSA1</f>
        <v>0</v>
      </c>
      <c r="SRI1">
        <f>Database!SSB1</f>
        <v>0</v>
      </c>
      <c r="SRJ1">
        <f>Database!SSC1</f>
        <v>0</v>
      </c>
      <c r="SRK1">
        <f>Database!SSD1</f>
        <v>0</v>
      </c>
      <c r="SRL1">
        <f>Database!SSE1</f>
        <v>0</v>
      </c>
      <c r="SRM1">
        <f>Database!SSF1</f>
        <v>0</v>
      </c>
      <c r="SRN1">
        <f>Database!SSG1</f>
        <v>0</v>
      </c>
      <c r="SRO1">
        <f>Database!SSH1</f>
        <v>0</v>
      </c>
      <c r="SRP1">
        <f>Database!SSI1</f>
        <v>0</v>
      </c>
      <c r="SRQ1">
        <f>Database!SSJ1</f>
        <v>0</v>
      </c>
      <c r="SRR1">
        <f>Database!SSK1</f>
        <v>0</v>
      </c>
      <c r="SRS1">
        <f>Database!SSL1</f>
        <v>0</v>
      </c>
      <c r="SRT1">
        <f>Database!SSM1</f>
        <v>0</v>
      </c>
      <c r="SRU1">
        <f>Database!SSN1</f>
        <v>0</v>
      </c>
      <c r="SRV1">
        <f>Database!SSO1</f>
        <v>0</v>
      </c>
      <c r="SRW1">
        <f>Database!SSP1</f>
        <v>0</v>
      </c>
      <c r="SRX1">
        <f>Database!SSQ1</f>
        <v>0</v>
      </c>
      <c r="SRY1">
        <f>Database!SSR1</f>
        <v>0</v>
      </c>
      <c r="SRZ1">
        <f>Database!SSS1</f>
        <v>0</v>
      </c>
      <c r="SSA1">
        <f>Database!SST1</f>
        <v>0</v>
      </c>
      <c r="SSB1">
        <f>Database!SSU1</f>
        <v>0</v>
      </c>
      <c r="SSC1">
        <f>Database!SSV1</f>
        <v>0</v>
      </c>
      <c r="SSD1">
        <f>Database!SSW1</f>
        <v>0</v>
      </c>
      <c r="SSE1">
        <f>Database!SSX1</f>
        <v>0</v>
      </c>
      <c r="SSF1">
        <f>Database!SSY1</f>
        <v>0</v>
      </c>
      <c r="SSG1">
        <f>Database!SSZ1</f>
        <v>0</v>
      </c>
      <c r="SSH1">
        <f>Database!STA1</f>
        <v>0</v>
      </c>
      <c r="SSI1">
        <f>Database!STB1</f>
        <v>0</v>
      </c>
      <c r="SSJ1">
        <f>Database!STC1</f>
        <v>0</v>
      </c>
      <c r="SSK1">
        <f>Database!STD1</f>
        <v>0</v>
      </c>
      <c r="SSL1">
        <f>Database!STE1</f>
        <v>0</v>
      </c>
      <c r="SSM1">
        <f>Database!STF1</f>
        <v>0</v>
      </c>
      <c r="SSN1">
        <f>Database!STG1</f>
        <v>0</v>
      </c>
      <c r="SSO1">
        <f>Database!STH1</f>
        <v>0</v>
      </c>
      <c r="SSP1">
        <f>Database!STI1</f>
        <v>0</v>
      </c>
      <c r="SSQ1">
        <f>Database!STJ1</f>
        <v>0</v>
      </c>
      <c r="SSR1">
        <f>Database!STK1</f>
        <v>0</v>
      </c>
      <c r="SSS1">
        <f>Database!STL1</f>
        <v>0</v>
      </c>
      <c r="SST1">
        <f>Database!STM1</f>
        <v>0</v>
      </c>
      <c r="SSU1">
        <f>Database!STN1</f>
        <v>0</v>
      </c>
      <c r="SSV1">
        <f>Database!STO1</f>
        <v>0</v>
      </c>
      <c r="SSW1">
        <f>Database!STP1</f>
        <v>0</v>
      </c>
      <c r="SSX1">
        <f>Database!STQ1</f>
        <v>0</v>
      </c>
      <c r="SSY1">
        <f>Database!STR1</f>
        <v>0</v>
      </c>
      <c r="SSZ1">
        <f>Database!STS1</f>
        <v>0</v>
      </c>
      <c r="STA1">
        <f>Database!STT1</f>
        <v>0</v>
      </c>
      <c r="STB1">
        <f>Database!STU1</f>
        <v>0</v>
      </c>
      <c r="STC1">
        <f>Database!STV1</f>
        <v>0</v>
      </c>
      <c r="STD1">
        <f>Database!STW1</f>
        <v>0</v>
      </c>
      <c r="STE1">
        <f>Database!STX1</f>
        <v>0</v>
      </c>
      <c r="STF1">
        <f>Database!STY1</f>
        <v>0</v>
      </c>
      <c r="STG1">
        <f>Database!STZ1</f>
        <v>0</v>
      </c>
      <c r="STH1">
        <f>Database!SUA1</f>
        <v>0</v>
      </c>
      <c r="STI1">
        <f>Database!SUB1</f>
        <v>0</v>
      </c>
      <c r="STJ1">
        <f>Database!SUC1</f>
        <v>0</v>
      </c>
      <c r="STK1">
        <f>Database!SUD1</f>
        <v>0</v>
      </c>
      <c r="STL1">
        <f>Database!SUE1</f>
        <v>0</v>
      </c>
      <c r="STM1">
        <f>Database!SUF1</f>
        <v>0</v>
      </c>
      <c r="STN1">
        <f>Database!SUG1</f>
        <v>0</v>
      </c>
      <c r="STO1">
        <f>Database!SUH1</f>
        <v>0</v>
      </c>
      <c r="STP1">
        <f>Database!SUI1</f>
        <v>0</v>
      </c>
      <c r="STQ1">
        <f>Database!SUJ1</f>
        <v>0</v>
      </c>
      <c r="STR1">
        <f>Database!SUK1</f>
        <v>0</v>
      </c>
      <c r="STS1">
        <f>Database!SUL1</f>
        <v>0</v>
      </c>
      <c r="STT1">
        <f>Database!SUM1</f>
        <v>0</v>
      </c>
      <c r="STU1">
        <f>Database!SUN1</f>
        <v>0</v>
      </c>
      <c r="STV1">
        <f>Database!SUO1</f>
        <v>0</v>
      </c>
      <c r="STW1">
        <f>Database!SUP1</f>
        <v>0</v>
      </c>
      <c r="STX1">
        <f>Database!SUQ1</f>
        <v>0</v>
      </c>
      <c r="STY1">
        <f>Database!SUR1</f>
        <v>0</v>
      </c>
      <c r="STZ1">
        <f>Database!SUS1</f>
        <v>0</v>
      </c>
      <c r="SUA1">
        <f>Database!SUT1</f>
        <v>0</v>
      </c>
      <c r="SUB1">
        <f>Database!SUU1</f>
        <v>0</v>
      </c>
      <c r="SUC1">
        <f>Database!SUV1</f>
        <v>0</v>
      </c>
      <c r="SUD1">
        <f>Database!SUW1</f>
        <v>0</v>
      </c>
      <c r="SUE1">
        <f>Database!SUX1</f>
        <v>0</v>
      </c>
      <c r="SUF1">
        <f>Database!SUY1</f>
        <v>0</v>
      </c>
      <c r="SUG1">
        <f>Database!SUZ1</f>
        <v>0</v>
      </c>
      <c r="SUH1">
        <f>Database!SVA1</f>
        <v>0</v>
      </c>
      <c r="SUI1">
        <f>Database!SVB1</f>
        <v>0</v>
      </c>
      <c r="SUJ1">
        <f>Database!SVC1</f>
        <v>0</v>
      </c>
      <c r="SUK1">
        <f>Database!SVD1</f>
        <v>0</v>
      </c>
      <c r="SUL1">
        <f>Database!SVE1</f>
        <v>0</v>
      </c>
      <c r="SUM1">
        <f>Database!SVF1</f>
        <v>0</v>
      </c>
      <c r="SUN1">
        <f>Database!SVG1</f>
        <v>0</v>
      </c>
      <c r="SUO1">
        <f>Database!SVH1</f>
        <v>0</v>
      </c>
      <c r="SUP1">
        <f>Database!SVI1</f>
        <v>0</v>
      </c>
      <c r="SUQ1">
        <f>Database!SVJ1</f>
        <v>0</v>
      </c>
      <c r="SUR1">
        <f>Database!SVK1</f>
        <v>0</v>
      </c>
      <c r="SUS1">
        <f>Database!SVL1</f>
        <v>0</v>
      </c>
      <c r="SUT1">
        <f>Database!SVM1</f>
        <v>0</v>
      </c>
      <c r="SUU1">
        <f>Database!SVN1</f>
        <v>0</v>
      </c>
      <c r="SUV1">
        <f>Database!SVO1</f>
        <v>0</v>
      </c>
      <c r="SUW1">
        <f>Database!SVP1</f>
        <v>0</v>
      </c>
      <c r="SUX1">
        <f>Database!SVQ1</f>
        <v>0</v>
      </c>
      <c r="SUY1">
        <f>Database!SVR1</f>
        <v>0</v>
      </c>
      <c r="SUZ1">
        <f>Database!SVS1</f>
        <v>0</v>
      </c>
      <c r="SVA1">
        <f>Database!SVT1</f>
        <v>0</v>
      </c>
      <c r="SVB1">
        <f>Database!SVU1</f>
        <v>0</v>
      </c>
      <c r="SVC1">
        <f>Database!SVV1</f>
        <v>0</v>
      </c>
      <c r="SVD1">
        <f>Database!SVW1</f>
        <v>0</v>
      </c>
      <c r="SVE1">
        <f>Database!SVX1</f>
        <v>0</v>
      </c>
      <c r="SVF1">
        <f>Database!SVY1</f>
        <v>0</v>
      </c>
      <c r="SVG1">
        <f>Database!SVZ1</f>
        <v>0</v>
      </c>
      <c r="SVH1">
        <f>Database!SWA1</f>
        <v>0</v>
      </c>
      <c r="SVI1">
        <f>Database!SWB1</f>
        <v>0</v>
      </c>
      <c r="SVJ1">
        <f>Database!SWC1</f>
        <v>0</v>
      </c>
      <c r="SVK1">
        <f>Database!SWD1</f>
        <v>0</v>
      </c>
      <c r="SVL1">
        <f>Database!SWE1</f>
        <v>0</v>
      </c>
      <c r="SVM1">
        <f>Database!SWF1</f>
        <v>0</v>
      </c>
      <c r="SVN1">
        <f>Database!SWG1</f>
        <v>0</v>
      </c>
      <c r="SVO1">
        <f>Database!SWH1</f>
        <v>0</v>
      </c>
      <c r="SVP1">
        <f>Database!SWI1</f>
        <v>0</v>
      </c>
      <c r="SVQ1">
        <f>Database!SWJ1</f>
        <v>0</v>
      </c>
      <c r="SVR1">
        <f>Database!SWK1</f>
        <v>0</v>
      </c>
      <c r="SVS1">
        <f>Database!SWL1</f>
        <v>0</v>
      </c>
      <c r="SVT1">
        <f>Database!SWM1</f>
        <v>0</v>
      </c>
      <c r="SVU1">
        <f>Database!SWN1</f>
        <v>0</v>
      </c>
      <c r="SVV1">
        <f>Database!SWO1</f>
        <v>0</v>
      </c>
      <c r="SVW1">
        <f>Database!SWP1</f>
        <v>0</v>
      </c>
      <c r="SVX1">
        <f>Database!SWQ1</f>
        <v>0</v>
      </c>
      <c r="SVY1">
        <f>Database!SWR1</f>
        <v>0</v>
      </c>
      <c r="SVZ1">
        <f>Database!SWS1</f>
        <v>0</v>
      </c>
      <c r="SWA1">
        <f>Database!SWT1</f>
        <v>0</v>
      </c>
      <c r="SWB1">
        <f>Database!SWU1</f>
        <v>0</v>
      </c>
      <c r="SWC1">
        <f>Database!SWV1</f>
        <v>0</v>
      </c>
      <c r="SWD1">
        <f>Database!SWW1</f>
        <v>0</v>
      </c>
      <c r="SWE1">
        <f>Database!SWX1</f>
        <v>0</v>
      </c>
      <c r="SWF1">
        <f>Database!SWY1</f>
        <v>0</v>
      </c>
      <c r="SWG1">
        <f>Database!SWZ1</f>
        <v>0</v>
      </c>
      <c r="SWH1">
        <f>Database!SXA1</f>
        <v>0</v>
      </c>
      <c r="SWI1">
        <f>Database!SXB1</f>
        <v>0</v>
      </c>
      <c r="SWJ1">
        <f>Database!SXC1</f>
        <v>0</v>
      </c>
      <c r="SWK1">
        <f>Database!SXD1</f>
        <v>0</v>
      </c>
      <c r="SWL1">
        <f>Database!SXE1</f>
        <v>0</v>
      </c>
      <c r="SWM1">
        <f>Database!SXF1</f>
        <v>0</v>
      </c>
      <c r="SWN1">
        <f>Database!SXG1</f>
        <v>0</v>
      </c>
      <c r="SWO1">
        <f>Database!SXH1</f>
        <v>0</v>
      </c>
      <c r="SWP1">
        <f>Database!SXI1</f>
        <v>0</v>
      </c>
      <c r="SWQ1">
        <f>Database!SXJ1</f>
        <v>0</v>
      </c>
      <c r="SWR1">
        <f>Database!SXK1</f>
        <v>0</v>
      </c>
      <c r="SWS1">
        <f>Database!SXL1</f>
        <v>0</v>
      </c>
      <c r="SWT1">
        <f>Database!SXM1</f>
        <v>0</v>
      </c>
      <c r="SWU1">
        <f>Database!SXN1</f>
        <v>0</v>
      </c>
      <c r="SWV1">
        <f>Database!SXO1</f>
        <v>0</v>
      </c>
      <c r="SWW1">
        <f>Database!SXP1</f>
        <v>0</v>
      </c>
      <c r="SWX1">
        <f>Database!SXQ1</f>
        <v>0</v>
      </c>
      <c r="SWY1">
        <f>Database!SXR1</f>
        <v>0</v>
      </c>
      <c r="SWZ1">
        <f>Database!SXS1</f>
        <v>0</v>
      </c>
      <c r="SXA1">
        <f>Database!SXT1</f>
        <v>0</v>
      </c>
      <c r="SXB1">
        <f>Database!SXU1</f>
        <v>0</v>
      </c>
      <c r="SXC1">
        <f>Database!SXV1</f>
        <v>0</v>
      </c>
      <c r="SXD1">
        <f>Database!SXW1</f>
        <v>0</v>
      </c>
      <c r="SXE1">
        <f>Database!SXX1</f>
        <v>0</v>
      </c>
      <c r="SXF1">
        <f>Database!SXY1</f>
        <v>0</v>
      </c>
      <c r="SXG1">
        <f>Database!SXZ1</f>
        <v>0</v>
      </c>
      <c r="SXH1">
        <f>Database!SYA1</f>
        <v>0</v>
      </c>
      <c r="SXI1">
        <f>Database!SYB1</f>
        <v>0</v>
      </c>
      <c r="SXJ1">
        <f>Database!SYC1</f>
        <v>0</v>
      </c>
      <c r="SXK1">
        <f>Database!SYD1</f>
        <v>0</v>
      </c>
      <c r="SXL1">
        <f>Database!SYE1</f>
        <v>0</v>
      </c>
      <c r="SXM1">
        <f>Database!SYF1</f>
        <v>0</v>
      </c>
      <c r="SXN1">
        <f>Database!SYG1</f>
        <v>0</v>
      </c>
      <c r="SXO1">
        <f>Database!SYH1</f>
        <v>0</v>
      </c>
      <c r="SXP1">
        <f>Database!SYI1</f>
        <v>0</v>
      </c>
      <c r="SXQ1">
        <f>Database!SYJ1</f>
        <v>0</v>
      </c>
      <c r="SXR1">
        <f>Database!SYK1</f>
        <v>0</v>
      </c>
      <c r="SXS1">
        <f>Database!SYL1</f>
        <v>0</v>
      </c>
      <c r="SXT1">
        <f>Database!SYM1</f>
        <v>0</v>
      </c>
      <c r="SXU1">
        <f>Database!SYN1</f>
        <v>0</v>
      </c>
      <c r="SXV1">
        <f>Database!SYO1</f>
        <v>0</v>
      </c>
      <c r="SXW1">
        <f>Database!SYP1</f>
        <v>0</v>
      </c>
      <c r="SXX1">
        <f>Database!SYQ1</f>
        <v>0</v>
      </c>
      <c r="SXY1">
        <f>Database!SYR1</f>
        <v>0</v>
      </c>
      <c r="SXZ1">
        <f>Database!SYS1</f>
        <v>0</v>
      </c>
      <c r="SYA1">
        <f>Database!SYT1</f>
        <v>0</v>
      </c>
      <c r="SYB1">
        <f>Database!SYU1</f>
        <v>0</v>
      </c>
      <c r="SYC1">
        <f>Database!SYV1</f>
        <v>0</v>
      </c>
      <c r="SYD1">
        <f>Database!SYW1</f>
        <v>0</v>
      </c>
      <c r="SYE1">
        <f>Database!SYX1</f>
        <v>0</v>
      </c>
      <c r="SYF1">
        <f>Database!SYY1</f>
        <v>0</v>
      </c>
      <c r="SYG1">
        <f>Database!SYZ1</f>
        <v>0</v>
      </c>
      <c r="SYH1">
        <f>Database!SZA1</f>
        <v>0</v>
      </c>
      <c r="SYI1">
        <f>Database!SZB1</f>
        <v>0</v>
      </c>
      <c r="SYJ1">
        <f>Database!SZC1</f>
        <v>0</v>
      </c>
      <c r="SYK1">
        <f>Database!SZD1</f>
        <v>0</v>
      </c>
      <c r="SYL1">
        <f>Database!SZE1</f>
        <v>0</v>
      </c>
      <c r="SYM1">
        <f>Database!SZF1</f>
        <v>0</v>
      </c>
      <c r="SYN1">
        <f>Database!SZG1</f>
        <v>0</v>
      </c>
      <c r="SYO1">
        <f>Database!SZH1</f>
        <v>0</v>
      </c>
      <c r="SYP1">
        <f>Database!SZI1</f>
        <v>0</v>
      </c>
      <c r="SYQ1">
        <f>Database!SZJ1</f>
        <v>0</v>
      </c>
      <c r="SYR1">
        <f>Database!SZK1</f>
        <v>0</v>
      </c>
      <c r="SYS1">
        <f>Database!SZL1</f>
        <v>0</v>
      </c>
      <c r="SYT1">
        <f>Database!SZM1</f>
        <v>0</v>
      </c>
      <c r="SYU1">
        <f>Database!SZN1</f>
        <v>0</v>
      </c>
      <c r="SYV1">
        <f>Database!SZO1</f>
        <v>0</v>
      </c>
      <c r="SYW1">
        <f>Database!SZP1</f>
        <v>0</v>
      </c>
      <c r="SYX1">
        <f>Database!SZQ1</f>
        <v>0</v>
      </c>
      <c r="SYY1">
        <f>Database!SZR1</f>
        <v>0</v>
      </c>
      <c r="SYZ1">
        <f>Database!SZS1</f>
        <v>0</v>
      </c>
      <c r="SZA1">
        <f>Database!SZT1</f>
        <v>0</v>
      </c>
      <c r="SZB1">
        <f>Database!SZU1</f>
        <v>0</v>
      </c>
      <c r="SZC1">
        <f>Database!SZV1</f>
        <v>0</v>
      </c>
      <c r="SZD1">
        <f>Database!SZW1</f>
        <v>0</v>
      </c>
      <c r="SZE1">
        <f>Database!SZX1</f>
        <v>0</v>
      </c>
      <c r="SZF1">
        <f>Database!SZY1</f>
        <v>0</v>
      </c>
      <c r="SZG1">
        <f>Database!SZZ1</f>
        <v>0</v>
      </c>
      <c r="SZH1">
        <f>Database!TAA1</f>
        <v>0</v>
      </c>
      <c r="SZI1">
        <f>Database!TAB1</f>
        <v>0</v>
      </c>
      <c r="SZJ1">
        <f>Database!TAC1</f>
        <v>0</v>
      </c>
      <c r="SZK1">
        <f>Database!TAD1</f>
        <v>0</v>
      </c>
      <c r="SZL1">
        <f>Database!TAE1</f>
        <v>0</v>
      </c>
      <c r="SZM1">
        <f>Database!TAF1</f>
        <v>0</v>
      </c>
      <c r="SZN1">
        <f>Database!TAG1</f>
        <v>0</v>
      </c>
      <c r="SZO1">
        <f>Database!TAH1</f>
        <v>0</v>
      </c>
      <c r="SZP1">
        <f>Database!TAI1</f>
        <v>0</v>
      </c>
      <c r="SZQ1">
        <f>Database!TAJ1</f>
        <v>0</v>
      </c>
      <c r="SZR1">
        <f>Database!TAK1</f>
        <v>0</v>
      </c>
      <c r="SZS1">
        <f>Database!TAL1</f>
        <v>0</v>
      </c>
      <c r="SZT1">
        <f>Database!TAM1</f>
        <v>0</v>
      </c>
      <c r="SZU1">
        <f>Database!TAN1</f>
        <v>0</v>
      </c>
      <c r="SZV1">
        <f>Database!TAO1</f>
        <v>0</v>
      </c>
      <c r="SZW1">
        <f>Database!TAP1</f>
        <v>0</v>
      </c>
      <c r="SZX1">
        <f>Database!TAQ1</f>
        <v>0</v>
      </c>
      <c r="SZY1">
        <f>Database!TAR1</f>
        <v>0</v>
      </c>
      <c r="SZZ1">
        <f>Database!TAS1</f>
        <v>0</v>
      </c>
      <c r="TAA1">
        <f>Database!TAT1</f>
        <v>0</v>
      </c>
      <c r="TAB1">
        <f>Database!TAU1</f>
        <v>0</v>
      </c>
      <c r="TAC1">
        <f>Database!TAV1</f>
        <v>0</v>
      </c>
      <c r="TAD1">
        <f>Database!TAW1</f>
        <v>0</v>
      </c>
      <c r="TAE1">
        <f>Database!TAX1</f>
        <v>0</v>
      </c>
      <c r="TAF1">
        <f>Database!TAY1</f>
        <v>0</v>
      </c>
      <c r="TAG1">
        <f>Database!TAZ1</f>
        <v>0</v>
      </c>
      <c r="TAH1">
        <f>Database!TBA1</f>
        <v>0</v>
      </c>
      <c r="TAI1">
        <f>Database!TBB1</f>
        <v>0</v>
      </c>
      <c r="TAJ1">
        <f>Database!TBC1</f>
        <v>0</v>
      </c>
      <c r="TAK1">
        <f>Database!TBD1</f>
        <v>0</v>
      </c>
      <c r="TAL1">
        <f>Database!TBE1</f>
        <v>0</v>
      </c>
      <c r="TAM1">
        <f>Database!TBF1</f>
        <v>0</v>
      </c>
      <c r="TAN1">
        <f>Database!TBG1</f>
        <v>0</v>
      </c>
      <c r="TAO1">
        <f>Database!TBH1</f>
        <v>0</v>
      </c>
      <c r="TAP1">
        <f>Database!TBI1</f>
        <v>0</v>
      </c>
      <c r="TAQ1">
        <f>Database!TBJ1</f>
        <v>0</v>
      </c>
      <c r="TAR1">
        <f>Database!TBK1</f>
        <v>0</v>
      </c>
      <c r="TAS1">
        <f>Database!TBL1</f>
        <v>0</v>
      </c>
      <c r="TAT1">
        <f>Database!TBM1</f>
        <v>0</v>
      </c>
      <c r="TAU1">
        <f>Database!TBN1</f>
        <v>0</v>
      </c>
      <c r="TAV1">
        <f>Database!TBO1</f>
        <v>0</v>
      </c>
      <c r="TAW1">
        <f>Database!TBP1</f>
        <v>0</v>
      </c>
      <c r="TAX1">
        <f>Database!TBQ1</f>
        <v>0</v>
      </c>
      <c r="TAY1">
        <f>Database!TBR1</f>
        <v>0</v>
      </c>
      <c r="TAZ1">
        <f>Database!TBS1</f>
        <v>0</v>
      </c>
      <c r="TBA1">
        <f>Database!TBT1</f>
        <v>0</v>
      </c>
      <c r="TBB1">
        <f>Database!TBU1</f>
        <v>0</v>
      </c>
      <c r="TBC1">
        <f>Database!TBV1</f>
        <v>0</v>
      </c>
      <c r="TBD1">
        <f>Database!TBW1</f>
        <v>0</v>
      </c>
      <c r="TBE1">
        <f>Database!TBX1</f>
        <v>0</v>
      </c>
      <c r="TBF1">
        <f>Database!TBY1</f>
        <v>0</v>
      </c>
      <c r="TBG1">
        <f>Database!TBZ1</f>
        <v>0</v>
      </c>
      <c r="TBH1">
        <f>Database!TCA1</f>
        <v>0</v>
      </c>
      <c r="TBI1">
        <f>Database!TCB1</f>
        <v>0</v>
      </c>
      <c r="TBJ1">
        <f>Database!TCC1</f>
        <v>0</v>
      </c>
      <c r="TBK1">
        <f>Database!TCD1</f>
        <v>0</v>
      </c>
      <c r="TBL1">
        <f>Database!TCE1</f>
        <v>0</v>
      </c>
      <c r="TBM1">
        <f>Database!TCF1</f>
        <v>0</v>
      </c>
      <c r="TBN1">
        <f>Database!TCG1</f>
        <v>0</v>
      </c>
      <c r="TBO1">
        <f>Database!TCH1</f>
        <v>0</v>
      </c>
      <c r="TBP1">
        <f>Database!TCI1</f>
        <v>0</v>
      </c>
      <c r="TBQ1">
        <f>Database!TCJ1</f>
        <v>0</v>
      </c>
      <c r="TBR1">
        <f>Database!TCK1</f>
        <v>0</v>
      </c>
      <c r="TBS1">
        <f>Database!TCL1</f>
        <v>0</v>
      </c>
      <c r="TBT1">
        <f>Database!TCM1</f>
        <v>0</v>
      </c>
      <c r="TBU1">
        <f>Database!TCN1</f>
        <v>0</v>
      </c>
      <c r="TBV1">
        <f>Database!TCO1</f>
        <v>0</v>
      </c>
      <c r="TBW1">
        <f>Database!TCP1</f>
        <v>0</v>
      </c>
      <c r="TBX1">
        <f>Database!TCQ1</f>
        <v>0</v>
      </c>
      <c r="TBY1">
        <f>Database!TCR1</f>
        <v>0</v>
      </c>
      <c r="TBZ1">
        <f>Database!TCS1</f>
        <v>0</v>
      </c>
      <c r="TCA1">
        <f>Database!TCT1</f>
        <v>0</v>
      </c>
      <c r="TCB1">
        <f>Database!TCU1</f>
        <v>0</v>
      </c>
      <c r="TCC1">
        <f>Database!TCV1</f>
        <v>0</v>
      </c>
      <c r="TCD1">
        <f>Database!TCW1</f>
        <v>0</v>
      </c>
      <c r="TCE1">
        <f>Database!TCX1</f>
        <v>0</v>
      </c>
      <c r="TCF1">
        <f>Database!TCY1</f>
        <v>0</v>
      </c>
      <c r="TCG1">
        <f>Database!TCZ1</f>
        <v>0</v>
      </c>
      <c r="TCH1">
        <f>Database!TDA1</f>
        <v>0</v>
      </c>
      <c r="TCI1">
        <f>Database!TDB1</f>
        <v>0</v>
      </c>
      <c r="TCJ1">
        <f>Database!TDC1</f>
        <v>0</v>
      </c>
      <c r="TCK1">
        <f>Database!TDD1</f>
        <v>0</v>
      </c>
      <c r="TCL1">
        <f>Database!TDE1</f>
        <v>0</v>
      </c>
      <c r="TCM1">
        <f>Database!TDF1</f>
        <v>0</v>
      </c>
      <c r="TCN1">
        <f>Database!TDG1</f>
        <v>0</v>
      </c>
      <c r="TCO1">
        <f>Database!TDH1</f>
        <v>0</v>
      </c>
      <c r="TCP1">
        <f>Database!TDI1</f>
        <v>0</v>
      </c>
      <c r="TCQ1">
        <f>Database!TDJ1</f>
        <v>0</v>
      </c>
      <c r="TCR1">
        <f>Database!TDK1</f>
        <v>0</v>
      </c>
      <c r="TCS1">
        <f>Database!TDL1</f>
        <v>0</v>
      </c>
      <c r="TCT1">
        <f>Database!TDM1</f>
        <v>0</v>
      </c>
      <c r="TCU1">
        <f>Database!TDN1</f>
        <v>0</v>
      </c>
      <c r="TCV1">
        <f>Database!TDO1</f>
        <v>0</v>
      </c>
      <c r="TCW1">
        <f>Database!TDP1</f>
        <v>0</v>
      </c>
      <c r="TCX1">
        <f>Database!TDQ1</f>
        <v>0</v>
      </c>
      <c r="TCY1">
        <f>Database!TDR1</f>
        <v>0</v>
      </c>
      <c r="TCZ1">
        <f>Database!TDS1</f>
        <v>0</v>
      </c>
      <c r="TDA1">
        <f>Database!TDT1</f>
        <v>0</v>
      </c>
      <c r="TDB1">
        <f>Database!TDU1</f>
        <v>0</v>
      </c>
      <c r="TDC1">
        <f>Database!TDV1</f>
        <v>0</v>
      </c>
      <c r="TDD1">
        <f>Database!TDW1</f>
        <v>0</v>
      </c>
      <c r="TDE1">
        <f>Database!TDX1</f>
        <v>0</v>
      </c>
      <c r="TDF1">
        <f>Database!TDY1</f>
        <v>0</v>
      </c>
      <c r="TDG1">
        <f>Database!TDZ1</f>
        <v>0</v>
      </c>
      <c r="TDH1">
        <f>Database!TEA1</f>
        <v>0</v>
      </c>
      <c r="TDI1">
        <f>Database!TEB1</f>
        <v>0</v>
      </c>
      <c r="TDJ1">
        <f>Database!TEC1</f>
        <v>0</v>
      </c>
      <c r="TDK1">
        <f>Database!TED1</f>
        <v>0</v>
      </c>
      <c r="TDL1">
        <f>Database!TEE1</f>
        <v>0</v>
      </c>
      <c r="TDM1">
        <f>Database!TEF1</f>
        <v>0</v>
      </c>
      <c r="TDN1">
        <f>Database!TEG1</f>
        <v>0</v>
      </c>
      <c r="TDO1">
        <f>Database!TEH1</f>
        <v>0</v>
      </c>
      <c r="TDP1">
        <f>Database!TEI1</f>
        <v>0</v>
      </c>
      <c r="TDQ1">
        <f>Database!TEJ1</f>
        <v>0</v>
      </c>
      <c r="TDR1">
        <f>Database!TEK1</f>
        <v>0</v>
      </c>
      <c r="TDS1">
        <f>Database!TEL1</f>
        <v>0</v>
      </c>
      <c r="TDT1">
        <f>Database!TEM1</f>
        <v>0</v>
      </c>
      <c r="TDU1">
        <f>Database!TEN1</f>
        <v>0</v>
      </c>
      <c r="TDV1">
        <f>Database!TEO1</f>
        <v>0</v>
      </c>
      <c r="TDW1">
        <f>Database!TEP1</f>
        <v>0</v>
      </c>
      <c r="TDX1">
        <f>Database!TEQ1</f>
        <v>0</v>
      </c>
      <c r="TDY1">
        <f>Database!TER1</f>
        <v>0</v>
      </c>
      <c r="TDZ1">
        <f>Database!TES1</f>
        <v>0</v>
      </c>
      <c r="TEA1">
        <f>Database!TET1</f>
        <v>0</v>
      </c>
      <c r="TEB1">
        <f>Database!TEU1</f>
        <v>0</v>
      </c>
      <c r="TEC1">
        <f>Database!TEV1</f>
        <v>0</v>
      </c>
      <c r="TED1">
        <f>Database!TEW1</f>
        <v>0</v>
      </c>
      <c r="TEE1">
        <f>Database!TEX1</f>
        <v>0</v>
      </c>
      <c r="TEF1">
        <f>Database!TEY1</f>
        <v>0</v>
      </c>
      <c r="TEG1">
        <f>Database!TEZ1</f>
        <v>0</v>
      </c>
      <c r="TEH1">
        <f>Database!TFA1</f>
        <v>0</v>
      </c>
      <c r="TEI1">
        <f>Database!TFB1</f>
        <v>0</v>
      </c>
      <c r="TEJ1">
        <f>Database!TFC1</f>
        <v>0</v>
      </c>
      <c r="TEK1">
        <f>Database!TFD1</f>
        <v>0</v>
      </c>
      <c r="TEL1">
        <f>Database!TFE1</f>
        <v>0</v>
      </c>
      <c r="TEM1">
        <f>Database!TFF1</f>
        <v>0</v>
      </c>
      <c r="TEN1">
        <f>Database!TFG1</f>
        <v>0</v>
      </c>
      <c r="TEO1">
        <f>Database!TFH1</f>
        <v>0</v>
      </c>
      <c r="TEP1">
        <f>Database!TFI1</f>
        <v>0</v>
      </c>
      <c r="TEQ1">
        <f>Database!TFJ1</f>
        <v>0</v>
      </c>
      <c r="TER1">
        <f>Database!TFK1</f>
        <v>0</v>
      </c>
      <c r="TES1">
        <f>Database!TFL1</f>
        <v>0</v>
      </c>
      <c r="TET1">
        <f>Database!TFM1</f>
        <v>0</v>
      </c>
      <c r="TEU1">
        <f>Database!TFN1</f>
        <v>0</v>
      </c>
      <c r="TEV1">
        <f>Database!TFO1</f>
        <v>0</v>
      </c>
      <c r="TEW1">
        <f>Database!TFP1</f>
        <v>0</v>
      </c>
      <c r="TEX1">
        <f>Database!TFQ1</f>
        <v>0</v>
      </c>
      <c r="TEY1">
        <f>Database!TFR1</f>
        <v>0</v>
      </c>
      <c r="TEZ1">
        <f>Database!TFS1</f>
        <v>0</v>
      </c>
      <c r="TFA1">
        <f>Database!TFT1</f>
        <v>0</v>
      </c>
      <c r="TFB1">
        <f>Database!TFU1</f>
        <v>0</v>
      </c>
      <c r="TFC1">
        <f>Database!TFV1</f>
        <v>0</v>
      </c>
      <c r="TFD1">
        <f>Database!TFW1</f>
        <v>0</v>
      </c>
      <c r="TFE1">
        <f>Database!TFX1</f>
        <v>0</v>
      </c>
      <c r="TFF1">
        <f>Database!TFY1</f>
        <v>0</v>
      </c>
      <c r="TFG1">
        <f>Database!TFZ1</f>
        <v>0</v>
      </c>
      <c r="TFH1">
        <f>Database!TGA1</f>
        <v>0</v>
      </c>
      <c r="TFI1">
        <f>Database!TGB1</f>
        <v>0</v>
      </c>
      <c r="TFJ1">
        <f>Database!TGC1</f>
        <v>0</v>
      </c>
      <c r="TFK1">
        <f>Database!TGD1</f>
        <v>0</v>
      </c>
      <c r="TFL1">
        <f>Database!TGE1</f>
        <v>0</v>
      </c>
      <c r="TFM1">
        <f>Database!TGF1</f>
        <v>0</v>
      </c>
      <c r="TFN1">
        <f>Database!TGG1</f>
        <v>0</v>
      </c>
      <c r="TFO1">
        <f>Database!TGH1</f>
        <v>0</v>
      </c>
      <c r="TFP1">
        <f>Database!TGI1</f>
        <v>0</v>
      </c>
      <c r="TFQ1">
        <f>Database!TGJ1</f>
        <v>0</v>
      </c>
      <c r="TFR1">
        <f>Database!TGK1</f>
        <v>0</v>
      </c>
      <c r="TFS1">
        <f>Database!TGL1</f>
        <v>0</v>
      </c>
      <c r="TFT1">
        <f>Database!TGM1</f>
        <v>0</v>
      </c>
      <c r="TFU1">
        <f>Database!TGN1</f>
        <v>0</v>
      </c>
      <c r="TFV1">
        <f>Database!TGO1</f>
        <v>0</v>
      </c>
      <c r="TFW1">
        <f>Database!TGP1</f>
        <v>0</v>
      </c>
      <c r="TFX1">
        <f>Database!TGQ1</f>
        <v>0</v>
      </c>
      <c r="TFY1">
        <f>Database!TGR1</f>
        <v>0</v>
      </c>
      <c r="TFZ1">
        <f>Database!TGS1</f>
        <v>0</v>
      </c>
      <c r="TGA1">
        <f>Database!TGT1</f>
        <v>0</v>
      </c>
      <c r="TGB1">
        <f>Database!TGU1</f>
        <v>0</v>
      </c>
      <c r="TGC1">
        <f>Database!TGV1</f>
        <v>0</v>
      </c>
      <c r="TGD1">
        <f>Database!TGW1</f>
        <v>0</v>
      </c>
      <c r="TGE1">
        <f>Database!TGX1</f>
        <v>0</v>
      </c>
      <c r="TGF1">
        <f>Database!TGY1</f>
        <v>0</v>
      </c>
      <c r="TGG1">
        <f>Database!TGZ1</f>
        <v>0</v>
      </c>
      <c r="TGH1">
        <f>Database!THA1</f>
        <v>0</v>
      </c>
      <c r="TGI1">
        <f>Database!THB1</f>
        <v>0</v>
      </c>
      <c r="TGJ1">
        <f>Database!THC1</f>
        <v>0</v>
      </c>
      <c r="TGK1">
        <f>Database!THD1</f>
        <v>0</v>
      </c>
      <c r="TGL1">
        <f>Database!THE1</f>
        <v>0</v>
      </c>
      <c r="TGM1">
        <f>Database!THF1</f>
        <v>0</v>
      </c>
      <c r="TGN1">
        <f>Database!THG1</f>
        <v>0</v>
      </c>
      <c r="TGO1">
        <f>Database!THH1</f>
        <v>0</v>
      </c>
      <c r="TGP1">
        <f>Database!THI1</f>
        <v>0</v>
      </c>
      <c r="TGQ1">
        <f>Database!THJ1</f>
        <v>0</v>
      </c>
      <c r="TGR1">
        <f>Database!THK1</f>
        <v>0</v>
      </c>
      <c r="TGS1">
        <f>Database!THL1</f>
        <v>0</v>
      </c>
      <c r="TGT1">
        <f>Database!THM1</f>
        <v>0</v>
      </c>
      <c r="TGU1">
        <f>Database!THN1</f>
        <v>0</v>
      </c>
      <c r="TGV1">
        <f>Database!THO1</f>
        <v>0</v>
      </c>
      <c r="TGW1">
        <f>Database!THP1</f>
        <v>0</v>
      </c>
      <c r="TGX1">
        <f>Database!THQ1</f>
        <v>0</v>
      </c>
      <c r="TGY1">
        <f>Database!THR1</f>
        <v>0</v>
      </c>
      <c r="TGZ1">
        <f>Database!THS1</f>
        <v>0</v>
      </c>
      <c r="THA1">
        <f>Database!THT1</f>
        <v>0</v>
      </c>
      <c r="THB1">
        <f>Database!THU1</f>
        <v>0</v>
      </c>
      <c r="THC1">
        <f>Database!THV1</f>
        <v>0</v>
      </c>
      <c r="THD1">
        <f>Database!THW1</f>
        <v>0</v>
      </c>
      <c r="THE1">
        <f>Database!THX1</f>
        <v>0</v>
      </c>
      <c r="THF1">
        <f>Database!THY1</f>
        <v>0</v>
      </c>
      <c r="THG1">
        <f>Database!THZ1</f>
        <v>0</v>
      </c>
      <c r="THH1">
        <f>Database!TIA1</f>
        <v>0</v>
      </c>
      <c r="THI1">
        <f>Database!TIB1</f>
        <v>0</v>
      </c>
      <c r="THJ1">
        <f>Database!TIC1</f>
        <v>0</v>
      </c>
      <c r="THK1">
        <f>Database!TID1</f>
        <v>0</v>
      </c>
      <c r="THL1">
        <f>Database!TIE1</f>
        <v>0</v>
      </c>
      <c r="THM1">
        <f>Database!TIF1</f>
        <v>0</v>
      </c>
      <c r="THN1">
        <f>Database!TIG1</f>
        <v>0</v>
      </c>
      <c r="THO1">
        <f>Database!TIH1</f>
        <v>0</v>
      </c>
      <c r="THP1">
        <f>Database!TII1</f>
        <v>0</v>
      </c>
      <c r="THQ1">
        <f>Database!TIJ1</f>
        <v>0</v>
      </c>
      <c r="THR1">
        <f>Database!TIK1</f>
        <v>0</v>
      </c>
      <c r="THS1">
        <f>Database!TIL1</f>
        <v>0</v>
      </c>
      <c r="THT1">
        <f>Database!TIM1</f>
        <v>0</v>
      </c>
      <c r="THU1">
        <f>Database!TIN1</f>
        <v>0</v>
      </c>
      <c r="THV1">
        <f>Database!TIO1</f>
        <v>0</v>
      </c>
      <c r="THW1">
        <f>Database!TIP1</f>
        <v>0</v>
      </c>
      <c r="THX1">
        <f>Database!TIQ1</f>
        <v>0</v>
      </c>
      <c r="THY1">
        <f>Database!TIR1</f>
        <v>0</v>
      </c>
      <c r="THZ1">
        <f>Database!TIS1</f>
        <v>0</v>
      </c>
      <c r="TIA1">
        <f>Database!TIT1</f>
        <v>0</v>
      </c>
      <c r="TIB1">
        <f>Database!TIU1</f>
        <v>0</v>
      </c>
      <c r="TIC1">
        <f>Database!TIV1</f>
        <v>0</v>
      </c>
      <c r="TID1">
        <f>Database!TIW1</f>
        <v>0</v>
      </c>
      <c r="TIE1">
        <f>Database!TIX1</f>
        <v>0</v>
      </c>
      <c r="TIF1">
        <f>Database!TIY1</f>
        <v>0</v>
      </c>
      <c r="TIG1">
        <f>Database!TIZ1</f>
        <v>0</v>
      </c>
      <c r="TIH1">
        <f>Database!TJA1</f>
        <v>0</v>
      </c>
      <c r="TII1">
        <f>Database!TJB1</f>
        <v>0</v>
      </c>
      <c r="TIJ1">
        <f>Database!TJC1</f>
        <v>0</v>
      </c>
      <c r="TIK1">
        <f>Database!TJD1</f>
        <v>0</v>
      </c>
      <c r="TIL1">
        <f>Database!TJE1</f>
        <v>0</v>
      </c>
      <c r="TIM1">
        <f>Database!TJF1</f>
        <v>0</v>
      </c>
      <c r="TIN1">
        <f>Database!TJG1</f>
        <v>0</v>
      </c>
      <c r="TIO1">
        <f>Database!TJH1</f>
        <v>0</v>
      </c>
      <c r="TIP1">
        <f>Database!TJI1</f>
        <v>0</v>
      </c>
      <c r="TIQ1">
        <f>Database!TJJ1</f>
        <v>0</v>
      </c>
      <c r="TIR1">
        <f>Database!TJK1</f>
        <v>0</v>
      </c>
      <c r="TIS1">
        <f>Database!TJL1</f>
        <v>0</v>
      </c>
      <c r="TIT1">
        <f>Database!TJM1</f>
        <v>0</v>
      </c>
      <c r="TIU1">
        <f>Database!TJN1</f>
        <v>0</v>
      </c>
      <c r="TIV1">
        <f>Database!TJO1</f>
        <v>0</v>
      </c>
      <c r="TIW1">
        <f>Database!TJP1</f>
        <v>0</v>
      </c>
      <c r="TIX1">
        <f>Database!TJQ1</f>
        <v>0</v>
      </c>
      <c r="TIY1">
        <f>Database!TJR1</f>
        <v>0</v>
      </c>
      <c r="TIZ1">
        <f>Database!TJS1</f>
        <v>0</v>
      </c>
      <c r="TJA1">
        <f>Database!TJT1</f>
        <v>0</v>
      </c>
      <c r="TJB1">
        <f>Database!TJU1</f>
        <v>0</v>
      </c>
      <c r="TJC1">
        <f>Database!TJV1</f>
        <v>0</v>
      </c>
      <c r="TJD1">
        <f>Database!TJW1</f>
        <v>0</v>
      </c>
      <c r="TJE1">
        <f>Database!TJX1</f>
        <v>0</v>
      </c>
      <c r="TJF1">
        <f>Database!TJY1</f>
        <v>0</v>
      </c>
      <c r="TJG1">
        <f>Database!TJZ1</f>
        <v>0</v>
      </c>
      <c r="TJH1">
        <f>Database!TKA1</f>
        <v>0</v>
      </c>
      <c r="TJI1">
        <f>Database!TKB1</f>
        <v>0</v>
      </c>
      <c r="TJJ1">
        <f>Database!TKC1</f>
        <v>0</v>
      </c>
      <c r="TJK1">
        <f>Database!TKD1</f>
        <v>0</v>
      </c>
      <c r="TJL1">
        <f>Database!TKE1</f>
        <v>0</v>
      </c>
      <c r="TJM1">
        <f>Database!TKF1</f>
        <v>0</v>
      </c>
      <c r="TJN1">
        <f>Database!TKG1</f>
        <v>0</v>
      </c>
      <c r="TJO1">
        <f>Database!TKH1</f>
        <v>0</v>
      </c>
      <c r="TJP1">
        <f>Database!TKI1</f>
        <v>0</v>
      </c>
      <c r="TJQ1">
        <f>Database!TKJ1</f>
        <v>0</v>
      </c>
      <c r="TJR1">
        <f>Database!TKK1</f>
        <v>0</v>
      </c>
      <c r="TJS1">
        <f>Database!TKL1</f>
        <v>0</v>
      </c>
      <c r="TJT1">
        <f>Database!TKM1</f>
        <v>0</v>
      </c>
      <c r="TJU1">
        <f>Database!TKN1</f>
        <v>0</v>
      </c>
      <c r="TJV1">
        <f>Database!TKO1</f>
        <v>0</v>
      </c>
      <c r="TJW1">
        <f>Database!TKP1</f>
        <v>0</v>
      </c>
      <c r="TJX1">
        <f>Database!TKQ1</f>
        <v>0</v>
      </c>
      <c r="TJY1">
        <f>Database!TKR1</f>
        <v>0</v>
      </c>
      <c r="TJZ1">
        <f>Database!TKS1</f>
        <v>0</v>
      </c>
      <c r="TKA1">
        <f>Database!TKT1</f>
        <v>0</v>
      </c>
      <c r="TKB1">
        <f>Database!TKU1</f>
        <v>0</v>
      </c>
      <c r="TKC1">
        <f>Database!TKV1</f>
        <v>0</v>
      </c>
      <c r="TKD1">
        <f>Database!TKW1</f>
        <v>0</v>
      </c>
      <c r="TKE1">
        <f>Database!TKX1</f>
        <v>0</v>
      </c>
      <c r="TKF1">
        <f>Database!TKY1</f>
        <v>0</v>
      </c>
      <c r="TKG1">
        <f>Database!TKZ1</f>
        <v>0</v>
      </c>
      <c r="TKH1">
        <f>Database!TLA1</f>
        <v>0</v>
      </c>
      <c r="TKI1">
        <f>Database!TLB1</f>
        <v>0</v>
      </c>
      <c r="TKJ1">
        <f>Database!TLC1</f>
        <v>0</v>
      </c>
      <c r="TKK1">
        <f>Database!TLD1</f>
        <v>0</v>
      </c>
      <c r="TKL1">
        <f>Database!TLE1</f>
        <v>0</v>
      </c>
      <c r="TKM1">
        <f>Database!TLF1</f>
        <v>0</v>
      </c>
      <c r="TKN1">
        <f>Database!TLG1</f>
        <v>0</v>
      </c>
      <c r="TKO1">
        <f>Database!TLH1</f>
        <v>0</v>
      </c>
      <c r="TKP1">
        <f>Database!TLI1</f>
        <v>0</v>
      </c>
      <c r="TKQ1">
        <f>Database!TLJ1</f>
        <v>0</v>
      </c>
      <c r="TKR1">
        <f>Database!TLK1</f>
        <v>0</v>
      </c>
      <c r="TKS1">
        <f>Database!TLL1</f>
        <v>0</v>
      </c>
      <c r="TKT1">
        <f>Database!TLM1</f>
        <v>0</v>
      </c>
      <c r="TKU1">
        <f>Database!TLN1</f>
        <v>0</v>
      </c>
      <c r="TKV1">
        <f>Database!TLO1</f>
        <v>0</v>
      </c>
      <c r="TKW1">
        <f>Database!TLP1</f>
        <v>0</v>
      </c>
      <c r="TKX1">
        <f>Database!TLQ1</f>
        <v>0</v>
      </c>
      <c r="TKY1">
        <f>Database!TLR1</f>
        <v>0</v>
      </c>
      <c r="TKZ1">
        <f>Database!TLS1</f>
        <v>0</v>
      </c>
      <c r="TLA1">
        <f>Database!TLT1</f>
        <v>0</v>
      </c>
      <c r="TLB1">
        <f>Database!TLU1</f>
        <v>0</v>
      </c>
      <c r="TLC1">
        <f>Database!TLV1</f>
        <v>0</v>
      </c>
      <c r="TLD1">
        <f>Database!TLW1</f>
        <v>0</v>
      </c>
      <c r="TLE1">
        <f>Database!TLX1</f>
        <v>0</v>
      </c>
      <c r="TLF1">
        <f>Database!TLY1</f>
        <v>0</v>
      </c>
      <c r="TLG1">
        <f>Database!TLZ1</f>
        <v>0</v>
      </c>
      <c r="TLH1">
        <f>Database!TMA1</f>
        <v>0</v>
      </c>
      <c r="TLI1">
        <f>Database!TMB1</f>
        <v>0</v>
      </c>
      <c r="TLJ1">
        <f>Database!TMC1</f>
        <v>0</v>
      </c>
      <c r="TLK1">
        <f>Database!TMD1</f>
        <v>0</v>
      </c>
      <c r="TLL1">
        <f>Database!TME1</f>
        <v>0</v>
      </c>
      <c r="TLM1">
        <f>Database!TMF1</f>
        <v>0</v>
      </c>
      <c r="TLN1">
        <f>Database!TMG1</f>
        <v>0</v>
      </c>
      <c r="TLO1">
        <f>Database!TMH1</f>
        <v>0</v>
      </c>
      <c r="TLP1">
        <f>Database!TMI1</f>
        <v>0</v>
      </c>
      <c r="TLQ1">
        <f>Database!TMJ1</f>
        <v>0</v>
      </c>
      <c r="TLR1">
        <f>Database!TMK1</f>
        <v>0</v>
      </c>
      <c r="TLS1">
        <f>Database!TML1</f>
        <v>0</v>
      </c>
      <c r="TLT1">
        <f>Database!TMM1</f>
        <v>0</v>
      </c>
      <c r="TLU1">
        <f>Database!TMN1</f>
        <v>0</v>
      </c>
      <c r="TLV1">
        <f>Database!TMO1</f>
        <v>0</v>
      </c>
      <c r="TLW1">
        <f>Database!TMP1</f>
        <v>0</v>
      </c>
      <c r="TLX1">
        <f>Database!TMQ1</f>
        <v>0</v>
      </c>
      <c r="TLY1">
        <f>Database!TMR1</f>
        <v>0</v>
      </c>
      <c r="TLZ1">
        <f>Database!TMS1</f>
        <v>0</v>
      </c>
      <c r="TMA1">
        <f>Database!TMT1</f>
        <v>0</v>
      </c>
      <c r="TMB1">
        <f>Database!TMU1</f>
        <v>0</v>
      </c>
      <c r="TMC1">
        <f>Database!TMV1</f>
        <v>0</v>
      </c>
      <c r="TMD1">
        <f>Database!TMW1</f>
        <v>0</v>
      </c>
      <c r="TME1">
        <f>Database!TMX1</f>
        <v>0</v>
      </c>
      <c r="TMF1">
        <f>Database!TMY1</f>
        <v>0</v>
      </c>
      <c r="TMG1">
        <f>Database!TMZ1</f>
        <v>0</v>
      </c>
      <c r="TMH1">
        <f>Database!TNA1</f>
        <v>0</v>
      </c>
      <c r="TMI1">
        <f>Database!TNB1</f>
        <v>0</v>
      </c>
      <c r="TMJ1">
        <f>Database!TNC1</f>
        <v>0</v>
      </c>
      <c r="TMK1">
        <f>Database!TND1</f>
        <v>0</v>
      </c>
      <c r="TML1">
        <f>Database!TNE1</f>
        <v>0</v>
      </c>
      <c r="TMM1">
        <f>Database!TNF1</f>
        <v>0</v>
      </c>
      <c r="TMN1">
        <f>Database!TNG1</f>
        <v>0</v>
      </c>
      <c r="TMO1">
        <f>Database!TNH1</f>
        <v>0</v>
      </c>
      <c r="TMP1">
        <f>Database!TNI1</f>
        <v>0</v>
      </c>
      <c r="TMQ1">
        <f>Database!TNJ1</f>
        <v>0</v>
      </c>
      <c r="TMR1">
        <f>Database!TNK1</f>
        <v>0</v>
      </c>
      <c r="TMS1">
        <f>Database!TNL1</f>
        <v>0</v>
      </c>
      <c r="TMT1">
        <f>Database!TNM1</f>
        <v>0</v>
      </c>
      <c r="TMU1">
        <f>Database!TNN1</f>
        <v>0</v>
      </c>
      <c r="TMV1">
        <f>Database!TNO1</f>
        <v>0</v>
      </c>
      <c r="TMW1">
        <f>Database!TNP1</f>
        <v>0</v>
      </c>
      <c r="TMX1">
        <f>Database!TNQ1</f>
        <v>0</v>
      </c>
      <c r="TMY1">
        <f>Database!TNR1</f>
        <v>0</v>
      </c>
      <c r="TMZ1">
        <f>Database!TNS1</f>
        <v>0</v>
      </c>
      <c r="TNA1">
        <f>Database!TNT1</f>
        <v>0</v>
      </c>
      <c r="TNB1">
        <f>Database!TNU1</f>
        <v>0</v>
      </c>
      <c r="TNC1">
        <f>Database!TNV1</f>
        <v>0</v>
      </c>
      <c r="TND1">
        <f>Database!TNW1</f>
        <v>0</v>
      </c>
      <c r="TNE1">
        <f>Database!TNX1</f>
        <v>0</v>
      </c>
      <c r="TNF1">
        <f>Database!TNY1</f>
        <v>0</v>
      </c>
      <c r="TNG1">
        <f>Database!TNZ1</f>
        <v>0</v>
      </c>
      <c r="TNH1">
        <f>Database!TOA1</f>
        <v>0</v>
      </c>
      <c r="TNI1">
        <f>Database!TOB1</f>
        <v>0</v>
      </c>
      <c r="TNJ1">
        <f>Database!TOC1</f>
        <v>0</v>
      </c>
      <c r="TNK1">
        <f>Database!TOD1</f>
        <v>0</v>
      </c>
      <c r="TNL1">
        <f>Database!TOE1</f>
        <v>0</v>
      </c>
      <c r="TNM1">
        <f>Database!TOF1</f>
        <v>0</v>
      </c>
      <c r="TNN1">
        <f>Database!TOG1</f>
        <v>0</v>
      </c>
      <c r="TNO1">
        <f>Database!TOH1</f>
        <v>0</v>
      </c>
      <c r="TNP1">
        <f>Database!TOI1</f>
        <v>0</v>
      </c>
      <c r="TNQ1">
        <f>Database!TOJ1</f>
        <v>0</v>
      </c>
      <c r="TNR1">
        <f>Database!TOK1</f>
        <v>0</v>
      </c>
      <c r="TNS1">
        <f>Database!TOL1</f>
        <v>0</v>
      </c>
      <c r="TNT1">
        <f>Database!TOM1</f>
        <v>0</v>
      </c>
      <c r="TNU1">
        <f>Database!TON1</f>
        <v>0</v>
      </c>
      <c r="TNV1">
        <f>Database!TOO1</f>
        <v>0</v>
      </c>
      <c r="TNW1">
        <f>Database!TOP1</f>
        <v>0</v>
      </c>
      <c r="TNX1">
        <f>Database!TOQ1</f>
        <v>0</v>
      </c>
      <c r="TNY1">
        <f>Database!TOR1</f>
        <v>0</v>
      </c>
      <c r="TNZ1">
        <f>Database!TOS1</f>
        <v>0</v>
      </c>
      <c r="TOA1">
        <f>Database!TOT1</f>
        <v>0</v>
      </c>
      <c r="TOB1">
        <f>Database!TOU1</f>
        <v>0</v>
      </c>
      <c r="TOC1">
        <f>Database!TOV1</f>
        <v>0</v>
      </c>
      <c r="TOD1">
        <f>Database!TOW1</f>
        <v>0</v>
      </c>
      <c r="TOE1">
        <f>Database!TOX1</f>
        <v>0</v>
      </c>
      <c r="TOF1">
        <f>Database!TOY1</f>
        <v>0</v>
      </c>
      <c r="TOG1">
        <f>Database!TOZ1</f>
        <v>0</v>
      </c>
      <c r="TOH1">
        <f>Database!TPA1</f>
        <v>0</v>
      </c>
      <c r="TOI1">
        <f>Database!TPB1</f>
        <v>0</v>
      </c>
      <c r="TOJ1">
        <f>Database!TPC1</f>
        <v>0</v>
      </c>
      <c r="TOK1">
        <f>Database!TPD1</f>
        <v>0</v>
      </c>
      <c r="TOL1">
        <f>Database!TPE1</f>
        <v>0</v>
      </c>
      <c r="TOM1">
        <f>Database!TPF1</f>
        <v>0</v>
      </c>
      <c r="TON1">
        <f>Database!TPG1</f>
        <v>0</v>
      </c>
      <c r="TOO1">
        <f>Database!TPH1</f>
        <v>0</v>
      </c>
      <c r="TOP1">
        <f>Database!TPI1</f>
        <v>0</v>
      </c>
      <c r="TOQ1">
        <f>Database!TPJ1</f>
        <v>0</v>
      </c>
      <c r="TOR1">
        <f>Database!TPK1</f>
        <v>0</v>
      </c>
      <c r="TOS1">
        <f>Database!TPL1</f>
        <v>0</v>
      </c>
      <c r="TOT1">
        <f>Database!TPM1</f>
        <v>0</v>
      </c>
      <c r="TOU1">
        <f>Database!TPN1</f>
        <v>0</v>
      </c>
      <c r="TOV1">
        <f>Database!TPO1</f>
        <v>0</v>
      </c>
      <c r="TOW1">
        <f>Database!TPP1</f>
        <v>0</v>
      </c>
      <c r="TOX1">
        <f>Database!TPQ1</f>
        <v>0</v>
      </c>
      <c r="TOY1">
        <f>Database!TPR1</f>
        <v>0</v>
      </c>
      <c r="TOZ1">
        <f>Database!TPS1</f>
        <v>0</v>
      </c>
      <c r="TPA1">
        <f>Database!TPT1</f>
        <v>0</v>
      </c>
      <c r="TPB1">
        <f>Database!TPU1</f>
        <v>0</v>
      </c>
      <c r="TPC1">
        <f>Database!TPV1</f>
        <v>0</v>
      </c>
      <c r="TPD1">
        <f>Database!TPW1</f>
        <v>0</v>
      </c>
      <c r="TPE1">
        <f>Database!TPX1</f>
        <v>0</v>
      </c>
      <c r="TPF1">
        <f>Database!TPY1</f>
        <v>0</v>
      </c>
      <c r="TPG1">
        <f>Database!TPZ1</f>
        <v>0</v>
      </c>
      <c r="TPH1">
        <f>Database!TQA1</f>
        <v>0</v>
      </c>
      <c r="TPI1">
        <f>Database!TQB1</f>
        <v>0</v>
      </c>
      <c r="TPJ1">
        <f>Database!TQC1</f>
        <v>0</v>
      </c>
      <c r="TPK1">
        <f>Database!TQD1</f>
        <v>0</v>
      </c>
      <c r="TPL1">
        <f>Database!TQE1</f>
        <v>0</v>
      </c>
      <c r="TPM1">
        <f>Database!TQF1</f>
        <v>0</v>
      </c>
      <c r="TPN1">
        <f>Database!TQG1</f>
        <v>0</v>
      </c>
      <c r="TPO1">
        <f>Database!TQH1</f>
        <v>0</v>
      </c>
      <c r="TPP1">
        <f>Database!TQI1</f>
        <v>0</v>
      </c>
      <c r="TPQ1">
        <f>Database!TQJ1</f>
        <v>0</v>
      </c>
      <c r="TPR1">
        <f>Database!TQK1</f>
        <v>0</v>
      </c>
      <c r="TPS1">
        <f>Database!TQL1</f>
        <v>0</v>
      </c>
      <c r="TPT1">
        <f>Database!TQM1</f>
        <v>0</v>
      </c>
      <c r="TPU1">
        <f>Database!TQN1</f>
        <v>0</v>
      </c>
      <c r="TPV1">
        <f>Database!TQO1</f>
        <v>0</v>
      </c>
      <c r="TPW1">
        <f>Database!TQP1</f>
        <v>0</v>
      </c>
      <c r="TPX1">
        <f>Database!TQQ1</f>
        <v>0</v>
      </c>
      <c r="TPY1">
        <f>Database!TQR1</f>
        <v>0</v>
      </c>
      <c r="TPZ1">
        <f>Database!TQS1</f>
        <v>0</v>
      </c>
      <c r="TQA1">
        <f>Database!TQT1</f>
        <v>0</v>
      </c>
      <c r="TQB1">
        <f>Database!TQU1</f>
        <v>0</v>
      </c>
      <c r="TQC1">
        <f>Database!TQV1</f>
        <v>0</v>
      </c>
      <c r="TQD1">
        <f>Database!TQW1</f>
        <v>0</v>
      </c>
      <c r="TQE1">
        <f>Database!TQX1</f>
        <v>0</v>
      </c>
      <c r="TQF1">
        <f>Database!TQY1</f>
        <v>0</v>
      </c>
      <c r="TQG1">
        <f>Database!TQZ1</f>
        <v>0</v>
      </c>
      <c r="TQH1">
        <f>Database!TRA1</f>
        <v>0</v>
      </c>
      <c r="TQI1">
        <f>Database!TRB1</f>
        <v>0</v>
      </c>
      <c r="TQJ1">
        <f>Database!TRC1</f>
        <v>0</v>
      </c>
      <c r="TQK1">
        <f>Database!TRD1</f>
        <v>0</v>
      </c>
      <c r="TQL1">
        <f>Database!TRE1</f>
        <v>0</v>
      </c>
      <c r="TQM1">
        <f>Database!TRF1</f>
        <v>0</v>
      </c>
      <c r="TQN1">
        <f>Database!TRG1</f>
        <v>0</v>
      </c>
      <c r="TQO1">
        <f>Database!TRH1</f>
        <v>0</v>
      </c>
      <c r="TQP1">
        <f>Database!TRI1</f>
        <v>0</v>
      </c>
      <c r="TQQ1">
        <f>Database!TRJ1</f>
        <v>0</v>
      </c>
      <c r="TQR1">
        <f>Database!TRK1</f>
        <v>0</v>
      </c>
      <c r="TQS1">
        <f>Database!TRL1</f>
        <v>0</v>
      </c>
      <c r="TQT1">
        <f>Database!TRM1</f>
        <v>0</v>
      </c>
      <c r="TQU1">
        <f>Database!TRN1</f>
        <v>0</v>
      </c>
      <c r="TQV1">
        <f>Database!TRO1</f>
        <v>0</v>
      </c>
      <c r="TQW1">
        <f>Database!TRP1</f>
        <v>0</v>
      </c>
      <c r="TQX1">
        <f>Database!TRQ1</f>
        <v>0</v>
      </c>
      <c r="TQY1">
        <f>Database!TRR1</f>
        <v>0</v>
      </c>
      <c r="TQZ1">
        <f>Database!TRS1</f>
        <v>0</v>
      </c>
      <c r="TRA1">
        <f>Database!TRT1</f>
        <v>0</v>
      </c>
      <c r="TRB1">
        <f>Database!TRU1</f>
        <v>0</v>
      </c>
      <c r="TRC1">
        <f>Database!TRV1</f>
        <v>0</v>
      </c>
      <c r="TRD1">
        <f>Database!TRW1</f>
        <v>0</v>
      </c>
      <c r="TRE1">
        <f>Database!TRX1</f>
        <v>0</v>
      </c>
      <c r="TRF1">
        <f>Database!TRY1</f>
        <v>0</v>
      </c>
      <c r="TRG1">
        <f>Database!TRZ1</f>
        <v>0</v>
      </c>
      <c r="TRH1">
        <f>Database!TSA1</f>
        <v>0</v>
      </c>
      <c r="TRI1">
        <f>Database!TSB1</f>
        <v>0</v>
      </c>
      <c r="TRJ1">
        <f>Database!TSC1</f>
        <v>0</v>
      </c>
      <c r="TRK1">
        <f>Database!TSD1</f>
        <v>0</v>
      </c>
      <c r="TRL1">
        <f>Database!TSE1</f>
        <v>0</v>
      </c>
      <c r="TRM1">
        <f>Database!TSF1</f>
        <v>0</v>
      </c>
      <c r="TRN1">
        <f>Database!TSG1</f>
        <v>0</v>
      </c>
      <c r="TRO1">
        <f>Database!TSH1</f>
        <v>0</v>
      </c>
      <c r="TRP1">
        <f>Database!TSI1</f>
        <v>0</v>
      </c>
      <c r="TRQ1">
        <f>Database!TSJ1</f>
        <v>0</v>
      </c>
      <c r="TRR1">
        <f>Database!TSK1</f>
        <v>0</v>
      </c>
      <c r="TRS1">
        <f>Database!TSL1</f>
        <v>0</v>
      </c>
      <c r="TRT1">
        <f>Database!TSM1</f>
        <v>0</v>
      </c>
      <c r="TRU1">
        <f>Database!TSN1</f>
        <v>0</v>
      </c>
      <c r="TRV1">
        <f>Database!TSO1</f>
        <v>0</v>
      </c>
      <c r="TRW1">
        <f>Database!TSP1</f>
        <v>0</v>
      </c>
      <c r="TRX1">
        <f>Database!TSQ1</f>
        <v>0</v>
      </c>
      <c r="TRY1">
        <f>Database!TSR1</f>
        <v>0</v>
      </c>
      <c r="TRZ1">
        <f>Database!TSS1</f>
        <v>0</v>
      </c>
      <c r="TSA1">
        <f>Database!TST1</f>
        <v>0</v>
      </c>
      <c r="TSB1">
        <f>Database!TSU1</f>
        <v>0</v>
      </c>
      <c r="TSC1">
        <f>Database!TSV1</f>
        <v>0</v>
      </c>
      <c r="TSD1">
        <f>Database!TSW1</f>
        <v>0</v>
      </c>
      <c r="TSE1">
        <f>Database!TSX1</f>
        <v>0</v>
      </c>
      <c r="TSF1">
        <f>Database!TSY1</f>
        <v>0</v>
      </c>
      <c r="TSG1">
        <f>Database!TSZ1</f>
        <v>0</v>
      </c>
      <c r="TSH1">
        <f>Database!TTA1</f>
        <v>0</v>
      </c>
      <c r="TSI1">
        <f>Database!TTB1</f>
        <v>0</v>
      </c>
      <c r="TSJ1">
        <f>Database!TTC1</f>
        <v>0</v>
      </c>
      <c r="TSK1">
        <f>Database!TTD1</f>
        <v>0</v>
      </c>
      <c r="TSL1">
        <f>Database!TTE1</f>
        <v>0</v>
      </c>
      <c r="TSM1">
        <f>Database!TTF1</f>
        <v>0</v>
      </c>
      <c r="TSN1">
        <f>Database!TTG1</f>
        <v>0</v>
      </c>
      <c r="TSO1">
        <f>Database!TTH1</f>
        <v>0</v>
      </c>
      <c r="TSP1">
        <f>Database!TTI1</f>
        <v>0</v>
      </c>
      <c r="TSQ1">
        <f>Database!TTJ1</f>
        <v>0</v>
      </c>
      <c r="TSR1">
        <f>Database!TTK1</f>
        <v>0</v>
      </c>
      <c r="TSS1">
        <f>Database!TTL1</f>
        <v>0</v>
      </c>
      <c r="TST1">
        <f>Database!TTM1</f>
        <v>0</v>
      </c>
      <c r="TSU1">
        <f>Database!TTN1</f>
        <v>0</v>
      </c>
      <c r="TSV1">
        <f>Database!TTO1</f>
        <v>0</v>
      </c>
      <c r="TSW1">
        <f>Database!TTP1</f>
        <v>0</v>
      </c>
      <c r="TSX1">
        <f>Database!TTQ1</f>
        <v>0</v>
      </c>
      <c r="TSY1">
        <f>Database!TTR1</f>
        <v>0</v>
      </c>
      <c r="TSZ1">
        <f>Database!TTS1</f>
        <v>0</v>
      </c>
      <c r="TTA1">
        <f>Database!TTT1</f>
        <v>0</v>
      </c>
      <c r="TTB1">
        <f>Database!TTU1</f>
        <v>0</v>
      </c>
      <c r="TTC1">
        <f>Database!TTV1</f>
        <v>0</v>
      </c>
      <c r="TTD1">
        <f>Database!TTW1</f>
        <v>0</v>
      </c>
      <c r="TTE1">
        <f>Database!TTX1</f>
        <v>0</v>
      </c>
      <c r="TTF1">
        <f>Database!TTY1</f>
        <v>0</v>
      </c>
      <c r="TTG1">
        <f>Database!TTZ1</f>
        <v>0</v>
      </c>
      <c r="TTH1">
        <f>Database!TUA1</f>
        <v>0</v>
      </c>
      <c r="TTI1">
        <f>Database!TUB1</f>
        <v>0</v>
      </c>
      <c r="TTJ1">
        <f>Database!TUC1</f>
        <v>0</v>
      </c>
      <c r="TTK1">
        <f>Database!TUD1</f>
        <v>0</v>
      </c>
      <c r="TTL1">
        <f>Database!TUE1</f>
        <v>0</v>
      </c>
      <c r="TTM1">
        <f>Database!TUF1</f>
        <v>0</v>
      </c>
      <c r="TTN1">
        <f>Database!TUG1</f>
        <v>0</v>
      </c>
      <c r="TTO1">
        <f>Database!TUH1</f>
        <v>0</v>
      </c>
      <c r="TTP1">
        <f>Database!TUI1</f>
        <v>0</v>
      </c>
      <c r="TTQ1">
        <f>Database!TUJ1</f>
        <v>0</v>
      </c>
      <c r="TTR1">
        <f>Database!TUK1</f>
        <v>0</v>
      </c>
      <c r="TTS1">
        <f>Database!TUL1</f>
        <v>0</v>
      </c>
      <c r="TTT1">
        <f>Database!TUM1</f>
        <v>0</v>
      </c>
      <c r="TTU1">
        <f>Database!TUN1</f>
        <v>0</v>
      </c>
      <c r="TTV1">
        <f>Database!TUO1</f>
        <v>0</v>
      </c>
      <c r="TTW1">
        <f>Database!TUP1</f>
        <v>0</v>
      </c>
      <c r="TTX1">
        <f>Database!TUQ1</f>
        <v>0</v>
      </c>
      <c r="TTY1">
        <f>Database!TUR1</f>
        <v>0</v>
      </c>
      <c r="TTZ1">
        <f>Database!TUS1</f>
        <v>0</v>
      </c>
      <c r="TUA1">
        <f>Database!TUT1</f>
        <v>0</v>
      </c>
      <c r="TUB1">
        <f>Database!TUU1</f>
        <v>0</v>
      </c>
      <c r="TUC1">
        <f>Database!TUV1</f>
        <v>0</v>
      </c>
      <c r="TUD1">
        <f>Database!TUW1</f>
        <v>0</v>
      </c>
      <c r="TUE1">
        <f>Database!TUX1</f>
        <v>0</v>
      </c>
      <c r="TUF1">
        <f>Database!TUY1</f>
        <v>0</v>
      </c>
      <c r="TUG1">
        <f>Database!TUZ1</f>
        <v>0</v>
      </c>
      <c r="TUH1">
        <f>Database!TVA1</f>
        <v>0</v>
      </c>
      <c r="TUI1">
        <f>Database!TVB1</f>
        <v>0</v>
      </c>
      <c r="TUJ1">
        <f>Database!TVC1</f>
        <v>0</v>
      </c>
      <c r="TUK1">
        <f>Database!TVD1</f>
        <v>0</v>
      </c>
      <c r="TUL1">
        <f>Database!TVE1</f>
        <v>0</v>
      </c>
      <c r="TUM1">
        <f>Database!TVF1</f>
        <v>0</v>
      </c>
      <c r="TUN1">
        <f>Database!TVG1</f>
        <v>0</v>
      </c>
      <c r="TUO1">
        <f>Database!TVH1</f>
        <v>0</v>
      </c>
      <c r="TUP1">
        <f>Database!TVI1</f>
        <v>0</v>
      </c>
      <c r="TUQ1">
        <f>Database!TVJ1</f>
        <v>0</v>
      </c>
      <c r="TUR1">
        <f>Database!TVK1</f>
        <v>0</v>
      </c>
      <c r="TUS1">
        <f>Database!TVL1</f>
        <v>0</v>
      </c>
      <c r="TUT1">
        <f>Database!TVM1</f>
        <v>0</v>
      </c>
      <c r="TUU1">
        <f>Database!TVN1</f>
        <v>0</v>
      </c>
      <c r="TUV1">
        <f>Database!TVO1</f>
        <v>0</v>
      </c>
      <c r="TUW1">
        <f>Database!TVP1</f>
        <v>0</v>
      </c>
      <c r="TUX1">
        <f>Database!TVQ1</f>
        <v>0</v>
      </c>
      <c r="TUY1">
        <f>Database!TVR1</f>
        <v>0</v>
      </c>
      <c r="TUZ1">
        <f>Database!TVS1</f>
        <v>0</v>
      </c>
      <c r="TVA1">
        <f>Database!TVT1</f>
        <v>0</v>
      </c>
      <c r="TVB1">
        <f>Database!TVU1</f>
        <v>0</v>
      </c>
      <c r="TVC1">
        <f>Database!TVV1</f>
        <v>0</v>
      </c>
      <c r="TVD1">
        <f>Database!TVW1</f>
        <v>0</v>
      </c>
      <c r="TVE1">
        <f>Database!TVX1</f>
        <v>0</v>
      </c>
      <c r="TVF1">
        <f>Database!TVY1</f>
        <v>0</v>
      </c>
      <c r="TVG1">
        <f>Database!TVZ1</f>
        <v>0</v>
      </c>
      <c r="TVH1">
        <f>Database!TWA1</f>
        <v>0</v>
      </c>
      <c r="TVI1">
        <f>Database!TWB1</f>
        <v>0</v>
      </c>
      <c r="TVJ1">
        <f>Database!TWC1</f>
        <v>0</v>
      </c>
      <c r="TVK1">
        <f>Database!TWD1</f>
        <v>0</v>
      </c>
      <c r="TVL1">
        <f>Database!TWE1</f>
        <v>0</v>
      </c>
      <c r="TVM1">
        <f>Database!TWF1</f>
        <v>0</v>
      </c>
      <c r="TVN1">
        <f>Database!TWG1</f>
        <v>0</v>
      </c>
      <c r="TVO1">
        <f>Database!TWH1</f>
        <v>0</v>
      </c>
      <c r="TVP1">
        <f>Database!TWI1</f>
        <v>0</v>
      </c>
      <c r="TVQ1">
        <f>Database!TWJ1</f>
        <v>0</v>
      </c>
      <c r="TVR1">
        <f>Database!TWK1</f>
        <v>0</v>
      </c>
      <c r="TVS1">
        <f>Database!TWL1</f>
        <v>0</v>
      </c>
      <c r="TVT1">
        <f>Database!TWM1</f>
        <v>0</v>
      </c>
      <c r="TVU1">
        <f>Database!TWN1</f>
        <v>0</v>
      </c>
      <c r="TVV1">
        <f>Database!TWO1</f>
        <v>0</v>
      </c>
      <c r="TVW1">
        <f>Database!TWP1</f>
        <v>0</v>
      </c>
      <c r="TVX1">
        <f>Database!TWQ1</f>
        <v>0</v>
      </c>
      <c r="TVY1">
        <f>Database!TWR1</f>
        <v>0</v>
      </c>
      <c r="TVZ1">
        <f>Database!TWS1</f>
        <v>0</v>
      </c>
      <c r="TWA1">
        <f>Database!TWT1</f>
        <v>0</v>
      </c>
      <c r="TWB1">
        <f>Database!TWU1</f>
        <v>0</v>
      </c>
      <c r="TWC1">
        <f>Database!TWV1</f>
        <v>0</v>
      </c>
      <c r="TWD1">
        <f>Database!TWW1</f>
        <v>0</v>
      </c>
      <c r="TWE1">
        <f>Database!TWX1</f>
        <v>0</v>
      </c>
      <c r="TWF1">
        <f>Database!TWY1</f>
        <v>0</v>
      </c>
      <c r="TWG1">
        <f>Database!TWZ1</f>
        <v>0</v>
      </c>
      <c r="TWH1">
        <f>Database!TXA1</f>
        <v>0</v>
      </c>
      <c r="TWI1">
        <f>Database!TXB1</f>
        <v>0</v>
      </c>
      <c r="TWJ1">
        <f>Database!TXC1</f>
        <v>0</v>
      </c>
      <c r="TWK1">
        <f>Database!TXD1</f>
        <v>0</v>
      </c>
      <c r="TWL1">
        <f>Database!TXE1</f>
        <v>0</v>
      </c>
      <c r="TWM1">
        <f>Database!TXF1</f>
        <v>0</v>
      </c>
      <c r="TWN1">
        <f>Database!TXG1</f>
        <v>0</v>
      </c>
      <c r="TWO1">
        <f>Database!TXH1</f>
        <v>0</v>
      </c>
      <c r="TWP1">
        <f>Database!TXI1</f>
        <v>0</v>
      </c>
      <c r="TWQ1">
        <f>Database!TXJ1</f>
        <v>0</v>
      </c>
      <c r="TWR1">
        <f>Database!TXK1</f>
        <v>0</v>
      </c>
      <c r="TWS1">
        <f>Database!TXL1</f>
        <v>0</v>
      </c>
      <c r="TWT1">
        <f>Database!TXM1</f>
        <v>0</v>
      </c>
      <c r="TWU1">
        <f>Database!TXN1</f>
        <v>0</v>
      </c>
      <c r="TWV1">
        <f>Database!TXO1</f>
        <v>0</v>
      </c>
      <c r="TWW1">
        <f>Database!TXP1</f>
        <v>0</v>
      </c>
      <c r="TWX1">
        <f>Database!TXQ1</f>
        <v>0</v>
      </c>
      <c r="TWY1">
        <f>Database!TXR1</f>
        <v>0</v>
      </c>
      <c r="TWZ1">
        <f>Database!TXS1</f>
        <v>0</v>
      </c>
      <c r="TXA1">
        <f>Database!TXT1</f>
        <v>0</v>
      </c>
      <c r="TXB1">
        <f>Database!TXU1</f>
        <v>0</v>
      </c>
      <c r="TXC1">
        <f>Database!TXV1</f>
        <v>0</v>
      </c>
      <c r="TXD1">
        <f>Database!TXW1</f>
        <v>0</v>
      </c>
      <c r="TXE1">
        <f>Database!TXX1</f>
        <v>0</v>
      </c>
      <c r="TXF1">
        <f>Database!TXY1</f>
        <v>0</v>
      </c>
      <c r="TXG1">
        <f>Database!TXZ1</f>
        <v>0</v>
      </c>
      <c r="TXH1">
        <f>Database!TYA1</f>
        <v>0</v>
      </c>
      <c r="TXI1">
        <f>Database!TYB1</f>
        <v>0</v>
      </c>
      <c r="TXJ1">
        <f>Database!TYC1</f>
        <v>0</v>
      </c>
      <c r="TXK1">
        <f>Database!TYD1</f>
        <v>0</v>
      </c>
      <c r="TXL1">
        <f>Database!TYE1</f>
        <v>0</v>
      </c>
      <c r="TXM1">
        <f>Database!TYF1</f>
        <v>0</v>
      </c>
      <c r="TXN1">
        <f>Database!TYG1</f>
        <v>0</v>
      </c>
      <c r="TXO1">
        <f>Database!TYH1</f>
        <v>0</v>
      </c>
      <c r="TXP1">
        <f>Database!TYI1</f>
        <v>0</v>
      </c>
      <c r="TXQ1">
        <f>Database!TYJ1</f>
        <v>0</v>
      </c>
      <c r="TXR1">
        <f>Database!TYK1</f>
        <v>0</v>
      </c>
      <c r="TXS1">
        <f>Database!TYL1</f>
        <v>0</v>
      </c>
      <c r="TXT1">
        <f>Database!TYM1</f>
        <v>0</v>
      </c>
      <c r="TXU1">
        <f>Database!TYN1</f>
        <v>0</v>
      </c>
      <c r="TXV1">
        <f>Database!TYO1</f>
        <v>0</v>
      </c>
      <c r="TXW1">
        <f>Database!TYP1</f>
        <v>0</v>
      </c>
      <c r="TXX1">
        <f>Database!TYQ1</f>
        <v>0</v>
      </c>
      <c r="TXY1">
        <f>Database!TYR1</f>
        <v>0</v>
      </c>
      <c r="TXZ1">
        <f>Database!TYS1</f>
        <v>0</v>
      </c>
      <c r="TYA1">
        <f>Database!TYT1</f>
        <v>0</v>
      </c>
      <c r="TYB1">
        <f>Database!TYU1</f>
        <v>0</v>
      </c>
      <c r="TYC1">
        <f>Database!TYV1</f>
        <v>0</v>
      </c>
      <c r="TYD1">
        <f>Database!TYW1</f>
        <v>0</v>
      </c>
      <c r="TYE1">
        <f>Database!TYX1</f>
        <v>0</v>
      </c>
      <c r="TYF1">
        <f>Database!TYY1</f>
        <v>0</v>
      </c>
      <c r="TYG1">
        <f>Database!TYZ1</f>
        <v>0</v>
      </c>
      <c r="TYH1">
        <f>Database!TZA1</f>
        <v>0</v>
      </c>
      <c r="TYI1">
        <f>Database!TZB1</f>
        <v>0</v>
      </c>
      <c r="TYJ1">
        <f>Database!TZC1</f>
        <v>0</v>
      </c>
      <c r="TYK1">
        <f>Database!TZD1</f>
        <v>0</v>
      </c>
      <c r="TYL1">
        <f>Database!TZE1</f>
        <v>0</v>
      </c>
      <c r="TYM1">
        <f>Database!TZF1</f>
        <v>0</v>
      </c>
      <c r="TYN1">
        <f>Database!TZG1</f>
        <v>0</v>
      </c>
      <c r="TYO1">
        <f>Database!TZH1</f>
        <v>0</v>
      </c>
      <c r="TYP1">
        <f>Database!TZI1</f>
        <v>0</v>
      </c>
      <c r="TYQ1">
        <f>Database!TZJ1</f>
        <v>0</v>
      </c>
      <c r="TYR1">
        <f>Database!TZK1</f>
        <v>0</v>
      </c>
      <c r="TYS1">
        <f>Database!TZL1</f>
        <v>0</v>
      </c>
      <c r="TYT1">
        <f>Database!TZM1</f>
        <v>0</v>
      </c>
      <c r="TYU1">
        <f>Database!TZN1</f>
        <v>0</v>
      </c>
      <c r="TYV1">
        <f>Database!TZO1</f>
        <v>0</v>
      </c>
      <c r="TYW1">
        <f>Database!TZP1</f>
        <v>0</v>
      </c>
      <c r="TYX1">
        <f>Database!TZQ1</f>
        <v>0</v>
      </c>
      <c r="TYY1">
        <f>Database!TZR1</f>
        <v>0</v>
      </c>
      <c r="TYZ1">
        <f>Database!TZS1</f>
        <v>0</v>
      </c>
      <c r="TZA1">
        <f>Database!TZT1</f>
        <v>0</v>
      </c>
      <c r="TZB1">
        <f>Database!TZU1</f>
        <v>0</v>
      </c>
      <c r="TZC1">
        <f>Database!TZV1</f>
        <v>0</v>
      </c>
      <c r="TZD1">
        <f>Database!TZW1</f>
        <v>0</v>
      </c>
      <c r="TZE1">
        <f>Database!TZX1</f>
        <v>0</v>
      </c>
      <c r="TZF1">
        <f>Database!TZY1</f>
        <v>0</v>
      </c>
      <c r="TZG1">
        <f>Database!TZZ1</f>
        <v>0</v>
      </c>
      <c r="TZH1">
        <f>Database!UAA1</f>
        <v>0</v>
      </c>
      <c r="TZI1">
        <f>Database!UAB1</f>
        <v>0</v>
      </c>
      <c r="TZJ1">
        <f>Database!UAC1</f>
        <v>0</v>
      </c>
      <c r="TZK1">
        <f>Database!UAD1</f>
        <v>0</v>
      </c>
      <c r="TZL1">
        <f>Database!UAE1</f>
        <v>0</v>
      </c>
      <c r="TZM1">
        <f>Database!UAF1</f>
        <v>0</v>
      </c>
      <c r="TZN1">
        <f>Database!UAG1</f>
        <v>0</v>
      </c>
      <c r="TZO1">
        <f>Database!UAH1</f>
        <v>0</v>
      </c>
      <c r="TZP1">
        <f>Database!UAI1</f>
        <v>0</v>
      </c>
      <c r="TZQ1">
        <f>Database!UAJ1</f>
        <v>0</v>
      </c>
      <c r="TZR1">
        <f>Database!UAK1</f>
        <v>0</v>
      </c>
      <c r="TZS1">
        <f>Database!UAL1</f>
        <v>0</v>
      </c>
      <c r="TZT1">
        <f>Database!UAM1</f>
        <v>0</v>
      </c>
      <c r="TZU1">
        <f>Database!UAN1</f>
        <v>0</v>
      </c>
      <c r="TZV1">
        <f>Database!UAO1</f>
        <v>0</v>
      </c>
      <c r="TZW1">
        <f>Database!UAP1</f>
        <v>0</v>
      </c>
      <c r="TZX1">
        <f>Database!UAQ1</f>
        <v>0</v>
      </c>
      <c r="TZY1">
        <f>Database!UAR1</f>
        <v>0</v>
      </c>
      <c r="TZZ1">
        <f>Database!UAS1</f>
        <v>0</v>
      </c>
      <c r="UAA1">
        <f>Database!UAT1</f>
        <v>0</v>
      </c>
      <c r="UAB1">
        <f>Database!UAU1</f>
        <v>0</v>
      </c>
      <c r="UAC1">
        <f>Database!UAV1</f>
        <v>0</v>
      </c>
      <c r="UAD1">
        <f>Database!UAW1</f>
        <v>0</v>
      </c>
      <c r="UAE1">
        <f>Database!UAX1</f>
        <v>0</v>
      </c>
      <c r="UAF1">
        <f>Database!UAY1</f>
        <v>0</v>
      </c>
      <c r="UAG1">
        <f>Database!UAZ1</f>
        <v>0</v>
      </c>
      <c r="UAH1">
        <f>Database!UBA1</f>
        <v>0</v>
      </c>
      <c r="UAI1">
        <f>Database!UBB1</f>
        <v>0</v>
      </c>
      <c r="UAJ1">
        <f>Database!UBC1</f>
        <v>0</v>
      </c>
      <c r="UAK1">
        <f>Database!UBD1</f>
        <v>0</v>
      </c>
      <c r="UAL1">
        <f>Database!UBE1</f>
        <v>0</v>
      </c>
      <c r="UAM1">
        <f>Database!UBF1</f>
        <v>0</v>
      </c>
      <c r="UAN1">
        <f>Database!UBG1</f>
        <v>0</v>
      </c>
      <c r="UAO1">
        <f>Database!UBH1</f>
        <v>0</v>
      </c>
      <c r="UAP1">
        <f>Database!UBI1</f>
        <v>0</v>
      </c>
      <c r="UAQ1">
        <f>Database!UBJ1</f>
        <v>0</v>
      </c>
      <c r="UAR1">
        <f>Database!UBK1</f>
        <v>0</v>
      </c>
      <c r="UAS1">
        <f>Database!UBL1</f>
        <v>0</v>
      </c>
      <c r="UAT1">
        <f>Database!UBM1</f>
        <v>0</v>
      </c>
      <c r="UAU1">
        <f>Database!UBN1</f>
        <v>0</v>
      </c>
      <c r="UAV1">
        <f>Database!UBO1</f>
        <v>0</v>
      </c>
      <c r="UAW1">
        <f>Database!UBP1</f>
        <v>0</v>
      </c>
      <c r="UAX1">
        <f>Database!UBQ1</f>
        <v>0</v>
      </c>
      <c r="UAY1">
        <f>Database!UBR1</f>
        <v>0</v>
      </c>
      <c r="UAZ1">
        <f>Database!UBS1</f>
        <v>0</v>
      </c>
      <c r="UBA1">
        <f>Database!UBT1</f>
        <v>0</v>
      </c>
      <c r="UBB1">
        <f>Database!UBU1</f>
        <v>0</v>
      </c>
      <c r="UBC1">
        <f>Database!UBV1</f>
        <v>0</v>
      </c>
      <c r="UBD1">
        <f>Database!UBW1</f>
        <v>0</v>
      </c>
      <c r="UBE1">
        <f>Database!UBX1</f>
        <v>0</v>
      </c>
      <c r="UBF1">
        <f>Database!UBY1</f>
        <v>0</v>
      </c>
      <c r="UBG1">
        <f>Database!UBZ1</f>
        <v>0</v>
      </c>
      <c r="UBH1">
        <f>Database!UCA1</f>
        <v>0</v>
      </c>
      <c r="UBI1">
        <f>Database!UCB1</f>
        <v>0</v>
      </c>
      <c r="UBJ1">
        <f>Database!UCC1</f>
        <v>0</v>
      </c>
      <c r="UBK1">
        <f>Database!UCD1</f>
        <v>0</v>
      </c>
      <c r="UBL1">
        <f>Database!UCE1</f>
        <v>0</v>
      </c>
      <c r="UBM1">
        <f>Database!UCF1</f>
        <v>0</v>
      </c>
      <c r="UBN1">
        <f>Database!UCG1</f>
        <v>0</v>
      </c>
      <c r="UBO1">
        <f>Database!UCH1</f>
        <v>0</v>
      </c>
      <c r="UBP1">
        <f>Database!UCI1</f>
        <v>0</v>
      </c>
      <c r="UBQ1">
        <f>Database!UCJ1</f>
        <v>0</v>
      </c>
      <c r="UBR1">
        <f>Database!UCK1</f>
        <v>0</v>
      </c>
      <c r="UBS1">
        <f>Database!UCL1</f>
        <v>0</v>
      </c>
      <c r="UBT1">
        <f>Database!UCM1</f>
        <v>0</v>
      </c>
      <c r="UBU1">
        <f>Database!UCN1</f>
        <v>0</v>
      </c>
      <c r="UBV1">
        <f>Database!UCO1</f>
        <v>0</v>
      </c>
      <c r="UBW1">
        <f>Database!UCP1</f>
        <v>0</v>
      </c>
      <c r="UBX1">
        <f>Database!UCQ1</f>
        <v>0</v>
      </c>
      <c r="UBY1">
        <f>Database!UCR1</f>
        <v>0</v>
      </c>
      <c r="UBZ1">
        <f>Database!UCS1</f>
        <v>0</v>
      </c>
      <c r="UCA1">
        <f>Database!UCT1</f>
        <v>0</v>
      </c>
      <c r="UCB1">
        <f>Database!UCU1</f>
        <v>0</v>
      </c>
      <c r="UCC1">
        <f>Database!UCV1</f>
        <v>0</v>
      </c>
      <c r="UCD1">
        <f>Database!UCW1</f>
        <v>0</v>
      </c>
      <c r="UCE1">
        <f>Database!UCX1</f>
        <v>0</v>
      </c>
      <c r="UCF1">
        <f>Database!UCY1</f>
        <v>0</v>
      </c>
      <c r="UCG1">
        <f>Database!UCZ1</f>
        <v>0</v>
      </c>
      <c r="UCH1">
        <f>Database!UDA1</f>
        <v>0</v>
      </c>
      <c r="UCI1">
        <f>Database!UDB1</f>
        <v>0</v>
      </c>
      <c r="UCJ1">
        <f>Database!UDC1</f>
        <v>0</v>
      </c>
      <c r="UCK1">
        <f>Database!UDD1</f>
        <v>0</v>
      </c>
      <c r="UCL1">
        <f>Database!UDE1</f>
        <v>0</v>
      </c>
      <c r="UCM1">
        <f>Database!UDF1</f>
        <v>0</v>
      </c>
      <c r="UCN1">
        <f>Database!UDG1</f>
        <v>0</v>
      </c>
      <c r="UCO1">
        <f>Database!UDH1</f>
        <v>0</v>
      </c>
      <c r="UCP1">
        <f>Database!UDI1</f>
        <v>0</v>
      </c>
      <c r="UCQ1">
        <f>Database!UDJ1</f>
        <v>0</v>
      </c>
      <c r="UCR1">
        <f>Database!UDK1</f>
        <v>0</v>
      </c>
      <c r="UCS1">
        <f>Database!UDL1</f>
        <v>0</v>
      </c>
      <c r="UCT1">
        <f>Database!UDM1</f>
        <v>0</v>
      </c>
      <c r="UCU1">
        <f>Database!UDN1</f>
        <v>0</v>
      </c>
      <c r="UCV1">
        <f>Database!UDO1</f>
        <v>0</v>
      </c>
      <c r="UCW1">
        <f>Database!UDP1</f>
        <v>0</v>
      </c>
      <c r="UCX1">
        <f>Database!UDQ1</f>
        <v>0</v>
      </c>
      <c r="UCY1">
        <f>Database!UDR1</f>
        <v>0</v>
      </c>
      <c r="UCZ1">
        <f>Database!UDS1</f>
        <v>0</v>
      </c>
      <c r="UDA1">
        <f>Database!UDT1</f>
        <v>0</v>
      </c>
      <c r="UDB1">
        <f>Database!UDU1</f>
        <v>0</v>
      </c>
      <c r="UDC1">
        <f>Database!UDV1</f>
        <v>0</v>
      </c>
      <c r="UDD1">
        <f>Database!UDW1</f>
        <v>0</v>
      </c>
      <c r="UDE1">
        <f>Database!UDX1</f>
        <v>0</v>
      </c>
      <c r="UDF1">
        <f>Database!UDY1</f>
        <v>0</v>
      </c>
      <c r="UDG1">
        <f>Database!UDZ1</f>
        <v>0</v>
      </c>
      <c r="UDH1">
        <f>Database!UEA1</f>
        <v>0</v>
      </c>
      <c r="UDI1">
        <f>Database!UEB1</f>
        <v>0</v>
      </c>
      <c r="UDJ1">
        <f>Database!UEC1</f>
        <v>0</v>
      </c>
      <c r="UDK1">
        <f>Database!UED1</f>
        <v>0</v>
      </c>
      <c r="UDL1">
        <f>Database!UEE1</f>
        <v>0</v>
      </c>
      <c r="UDM1">
        <f>Database!UEF1</f>
        <v>0</v>
      </c>
      <c r="UDN1">
        <f>Database!UEG1</f>
        <v>0</v>
      </c>
      <c r="UDO1">
        <f>Database!UEH1</f>
        <v>0</v>
      </c>
      <c r="UDP1">
        <f>Database!UEI1</f>
        <v>0</v>
      </c>
      <c r="UDQ1">
        <f>Database!UEJ1</f>
        <v>0</v>
      </c>
      <c r="UDR1">
        <f>Database!UEK1</f>
        <v>0</v>
      </c>
      <c r="UDS1">
        <f>Database!UEL1</f>
        <v>0</v>
      </c>
      <c r="UDT1">
        <f>Database!UEM1</f>
        <v>0</v>
      </c>
      <c r="UDU1">
        <f>Database!UEN1</f>
        <v>0</v>
      </c>
      <c r="UDV1">
        <f>Database!UEO1</f>
        <v>0</v>
      </c>
      <c r="UDW1">
        <f>Database!UEP1</f>
        <v>0</v>
      </c>
      <c r="UDX1">
        <f>Database!UEQ1</f>
        <v>0</v>
      </c>
      <c r="UDY1">
        <f>Database!UER1</f>
        <v>0</v>
      </c>
      <c r="UDZ1">
        <f>Database!UES1</f>
        <v>0</v>
      </c>
      <c r="UEA1">
        <f>Database!UET1</f>
        <v>0</v>
      </c>
      <c r="UEB1">
        <f>Database!UEU1</f>
        <v>0</v>
      </c>
      <c r="UEC1">
        <f>Database!UEV1</f>
        <v>0</v>
      </c>
      <c r="UED1">
        <f>Database!UEW1</f>
        <v>0</v>
      </c>
      <c r="UEE1">
        <f>Database!UEX1</f>
        <v>0</v>
      </c>
      <c r="UEF1">
        <f>Database!UEY1</f>
        <v>0</v>
      </c>
      <c r="UEG1">
        <f>Database!UEZ1</f>
        <v>0</v>
      </c>
      <c r="UEH1">
        <f>Database!UFA1</f>
        <v>0</v>
      </c>
      <c r="UEI1">
        <f>Database!UFB1</f>
        <v>0</v>
      </c>
      <c r="UEJ1">
        <f>Database!UFC1</f>
        <v>0</v>
      </c>
      <c r="UEK1">
        <f>Database!UFD1</f>
        <v>0</v>
      </c>
      <c r="UEL1">
        <f>Database!UFE1</f>
        <v>0</v>
      </c>
      <c r="UEM1">
        <f>Database!UFF1</f>
        <v>0</v>
      </c>
      <c r="UEN1">
        <f>Database!UFG1</f>
        <v>0</v>
      </c>
      <c r="UEO1">
        <f>Database!UFH1</f>
        <v>0</v>
      </c>
      <c r="UEP1">
        <f>Database!UFI1</f>
        <v>0</v>
      </c>
      <c r="UEQ1">
        <f>Database!UFJ1</f>
        <v>0</v>
      </c>
      <c r="UER1">
        <f>Database!UFK1</f>
        <v>0</v>
      </c>
      <c r="UES1">
        <f>Database!UFL1</f>
        <v>0</v>
      </c>
      <c r="UET1">
        <f>Database!UFM1</f>
        <v>0</v>
      </c>
      <c r="UEU1">
        <f>Database!UFN1</f>
        <v>0</v>
      </c>
      <c r="UEV1">
        <f>Database!UFO1</f>
        <v>0</v>
      </c>
      <c r="UEW1">
        <f>Database!UFP1</f>
        <v>0</v>
      </c>
      <c r="UEX1">
        <f>Database!UFQ1</f>
        <v>0</v>
      </c>
      <c r="UEY1">
        <f>Database!UFR1</f>
        <v>0</v>
      </c>
      <c r="UEZ1">
        <f>Database!UFS1</f>
        <v>0</v>
      </c>
      <c r="UFA1">
        <f>Database!UFT1</f>
        <v>0</v>
      </c>
      <c r="UFB1">
        <f>Database!UFU1</f>
        <v>0</v>
      </c>
      <c r="UFC1">
        <f>Database!UFV1</f>
        <v>0</v>
      </c>
      <c r="UFD1">
        <f>Database!UFW1</f>
        <v>0</v>
      </c>
      <c r="UFE1">
        <f>Database!UFX1</f>
        <v>0</v>
      </c>
      <c r="UFF1">
        <f>Database!UFY1</f>
        <v>0</v>
      </c>
      <c r="UFG1">
        <f>Database!UFZ1</f>
        <v>0</v>
      </c>
      <c r="UFH1">
        <f>Database!UGA1</f>
        <v>0</v>
      </c>
      <c r="UFI1">
        <f>Database!UGB1</f>
        <v>0</v>
      </c>
      <c r="UFJ1">
        <f>Database!UGC1</f>
        <v>0</v>
      </c>
      <c r="UFK1">
        <f>Database!UGD1</f>
        <v>0</v>
      </c>
      <c r="UFL1">
        <f>Database!UGE1</f>
        <v>0</v>
      </c>
      <c r="UFM1">
        <f>Database!UGF1</f>
        <v>0</v>
      </c>
      <c r="UFN1">
        <f>Database!UGG1</f>
        <v>0</v>
      </c>
      <c r="UFO1">
        <f>Database!UGH1</f>
        <v>0</v>
      </c>
      <c r="UFP1">
        <f>Database!UGI1</f>
        <v>0</v>
      </c>
      <c r="UFQ1">
        <f>Database!UGJ1</f>
        <v>0</v>
      </c>
      <c r="UFR1">
        <f>Database!UGK1</f>
        <v>0</v>
      </c>
      <c r="UFS1">
        <f>Database!UGL1</f>
        <v>0</v>
      </c>
      <c r="UFT1">
        <f>Database!UGM1</f>
        <v>0</v>
      </c>
      <c r="UFU1">
        <f>Database!UGN1</f>
        <v>0</v>
      </c>
      <c r="UFV1">
        <f>Database!UGO1</f>
        <v>0</v>
      </c>
      <c r="UFW1">
        <f>Database!UGP1</f>
        <v>0</v>
      </c>
      <c r="UFX1">
        <f>Database!UGQ1</f>
        <v>0</v>
      </c>
      <c r="UFY1">
        <f>Database!UGR1</f>
        <v>0</v>
      </c>
      <c r="UFZ1">
        <f>Database!UGS1</f>
        <v>0</v>
      </c>
      <c r="UGA1">
        <f>Database!UGT1</f>
        <v>0</v>
      </c>
      <c r="UGB1">
        <f>Database!UGU1</f>
        <v>0</v>
      </c>
      <c r="UGC1">
        <f>Database!UGV1</f>
        <v>0</v>
      </c>
      <c r="UGD1">
        <f>Database!UGW1</f>
        <v>0</v>
      </c>
      <c r="UGE1">
        <f>Database!UGX1</f>
        <v>0</v>
      </c>
      <c r="UGF1">
        <f>Database!UGY1</f>
        <v>0</v>
      </c>
      <c r="UGG1">
        <f>Database!UGZ1</f>
        <v>0</v>
      </c>
      <c r="UGH1">
        <f>Database!UHA1</f>
        <v>0</v>
      </c>
      <c r="UGI1">
        <f>Database!UHB1</f>
        <v>0</v>
      </c>
      <c r="UGJ1">
        <f>Database!UHC1</f>
        <v>0</v>
      </c>
      <c r="UGK1">
        <f>Database!UHD1</f>
        <v>0</v>
      </c>
      <c r="UGL1">
        <f>Database!UHE1</f>
        <v>0</v>
      </c>
      <c r="UGM1">
        <f>Database!UHF1</f>
        <v>0</v>
      </c>
      <c r="UGN1">
        <f>Database!UHG1</f>
        <v>0</v>
      </c>
      <c r="UGO1">
        <f>Database!UHH1</f>
        <v>0</v>
      </c>
      <c r="UGP1">
        <f>Database!UHI1</f>
        <v>0</v>
      </c>
      <c r="UGQ1">
        <f>Database!UHJ1</f>
        <v>0</v>
      </c>
      <c r="UGR1">
        <f>Database!UHK1</f>
        <v>0</v>
      </c>
      <c r="UGS1">
        <f>Database!UHL1</f>
        <v>0</v>
      </c>
      <c r="UGT1">
        <f>Database!UHM1</f>
        <v>0</v>
      </c>
      <c r="UGU1">
        <f>Database!UHN1</f>
        <v>0</v>
      </c>
      <c r="UGV1">
        <f>Database!UHO1</f>
        <v>0</v>
      </c>
      <c r="UGW1">
        <f>Database!UHP1</f>
        <v>0</v>
      </c>
      <c r="UGX1">
        <f>Database!UHQ1</f>
        <v>0</v>
      </c>
      <c r="UGY1">
        <f>Database!UHR1</f>
        <v>0</v>
      </c>
      <c r="UGZ1">
        <f>Database!UHS1</f>
        <v>0</v>
      </c>
      <c r="UHA1">
        <f>Database!UHT1</f>
        <v>0</v>
      </c>
      <c r="UHB1">
        <f>Database!UHU1</f>
        <v>0</v>
      </c>
      <c r="UHC1">
        <f>Database!UHV1</f>
        <v>0</v>
      </c>
      <c r="UHD1">
        <f>Database!UHW1</f>
        <v>0</v>
      </c>
      <c r="UHE1">
        <f>Database!UHX1</f>
        <v>0</v>
      </c>
      <c r="UHF1">
        <f>Database!UHY1</f>
        <v>0</v>
      </c>
      <c r="UHG1">
        <f>Database!UHZ1</f>
        <v>0</v>
      </c>
      <c r="UHH1">
        <f>Database!UIA1</f>
        <v>0</v>
      </c>
      <c r="UHI1">
        <f>Database!UIB1</f>
        <v>0</v>
      </c>
      <c r="UHJ1">
        <f>Database!UIC1</f>
        <v>0</v>
      </c>
      <c r="UHK1">
        <f>Database!UID1</f>
        <v>0</v>
      </c>
      <c r="UHL1">
        <f>Database!UIE1</f>
        <v>0</v>
      </c>
      <c r="UHM1">
        <f>Database!UIF1</f>
        <v>0</v>
      </c>
      <c r="UHN1">
        <f>Database!UIG1</f>
        <v>0</v>
      </c>
      <c r="UHO1">
        <f>Database!UIH1</f>
        <v>0</v>
      </c>
      <c r="UHP1">
        <f>Database!UII1</f>
        <v>0</v>
      </c>
      <c r="UHQ1">
        <f>Database!UIJ1</f>
        <v>0</v>
      </c>
      <c r="UHR1">
        <f>Database!UIK1</f>
        <v>0</v>
      </c>
      <c r="UHS1">
        <f>Database!UIL1</f>
        <v>0</v>
      </c>
      <c r="UHT1">
        <f>Database!UIM1</f>
        <v>0</v>
      </c>
      <c r="UHU1">
        <f>Database!UIN1</f>
        <v>0</v>
      </c>
      <c r="UHV1">
        <f>Database!UIO1</f>
        <v>0</v>
      </c>
      <c r="UHW1">
        <f>Database!UIP1</f>
        <v>0</v>
      </c>
      <c r="UHX1">
        <f>Database!UIQ1</f>
        <v>0</v>
      </c>
      <c r="UHY1">
        <f>Database!UIR1</f>
        <v>0</v>
      </c>
      <c r="UHZ1">
        <f>Database!UIS1</f>
        <v>0</v>
      </c>
      <c r="UIA1">
        <f>Database!UIT1</f>
        <v>0</v>
      </c>
      <c r="UIB1">
        <f>Database!UIU1</f>
        <v>0</v>
      </c>
      <c r="UIC1">
        <f>Database!UIV1</f>
        <v>0</v>
      </c>
      <c r="UID1">
        <f>Database!UIW1</f>
        <v>0</v>
      </c>
      <c r="UIE1">
        <f>Database!UIX1</f>
        <v>0</v>
      </c>
      <c r="UIF1">
        <f>Database!UIY1</f>
        <v>0</v>
      </c>
      <c r="UIG1">
        <f>Database!UIZ1</f>
        <v>0</v>
      </c>
      <c r="UIH1">
        <f>Database!UJA1</f>
        <v>0</v>
      </c>
      <c r="UII1">
        <f>Database!UJB1</f>
        <v>0</v>
      </c>
      <c r="UIJ1">
        <f>Database!UJC1</f>
        <v>0</v>
      </c>
      <c r="UIK1">
        <f>Database!UJD1</f>
        <v>0</v>
      </c>
      <c r="UIL1">
        <f>Database!UJE1</f>
        <v>0</v>
      </c>
      <c r="UIM1">
        <f>Database!UJF1</f>
        <v>0</v>
      </c>
      <c r="UIN1">
        <f>Database!UJG1</f>
        <v>0</v>
      </c>
      <c r="UIO1">
        <f>Database!UJH1</f>
        <v>0</v>
      </c>
      <c r="UIP1">
        <f>Database!UJI1</f>
        <v>0</v>
      </c>
      <c r="UIQ1">
        <f>Database!UJJ1</f>
        <v>0</v>
      </c>
      <c r="UIR1">
        <f>Database!UJK1</f>
        <v>0</v>
      </c>
      <c r="UIS1">
        <f>Database!UJL1</f>
        <v>0</v>
      </c>
      <c r="UIT1">
        <f>Database!UJM1</f>
        <v>0</v>
      </c>
      <c r="UIU1">
        <f>Database!UJN1</f>
        <v>0</v>
      </c>
      <c r="UIV1">
        <f>Database!UJO1</f>
        <v>0</v>
      </c>
      <c r="UIW1">
        <f>Database!UJP1</f>
        <v>0</v>
      </c>
      <c r="UIX1">
        <f>Database!UJQ1</f>
        <v>0</v>
      </c>
      <c r="UIY1">
        <f>Database!UJR1</f>
        <v>0</v>
      </c>
      <c r="UIZ1">
        <f>Database!UJS1</f>
        <v>0</v>
      </c>
      <c r="UJA1">
        <f>Database!UJT1</f>
        <v>0</v>
      </c>
      <c r="UJB1">
        <f>Database!UJU1</f>
        <v>0</v>
      </c>
      <c r="UJC1">
        <f>Database!UJV1</f>
        <v>0</v>
      </c>
      <c r="UJD1">
        <f>Database!UJW1</f>
        <v>0</v>
      </c>
      <c r="UJE1">
        <f>Database!UJX1</f>
        <v>0</v>
      </c>
      <c r="UJF1">
        <f>Database!UJY1</f>
        <v>0</v>
      </c>
      <c r="UJG1">
        <f>Database!UJZ1</f>
        <v>0</v>
      </c>
      <c r="UJH1">
        <f>Database!UKA1</f>
        <v>0</v>
      </c>
      <c r="UJI1">
        <f>Database!UKB1</f>
        <v>0</v>
      </c>
      <c r="UJJ1">
        <f>Database!UKC1</f>
        <v>0</v>
      </c>
      <c r="UJK1">
        <f>Database!UKD1</f>
        <v>0</v>
      </c>
      <c r="UJL1">
        <f>Database!UKE1</f>
        <v>0</v>
      </c>
      <c r="UJM1">
        <f>Database!UKF1</f>
        <v>0</v>
      </c>
      <c r="UJN1">
        <f>Database!UKG1</f>
        <v>0</v>
      </c>
      <c r="UJO1">
        <f>Database!UKH1</f>
        <v>0</v>
      </c>
      <c r="UJP1">
        <f>Database!UKI1</f>
        <v>0</v>
      </c>
      <c r="UJQ1">
        <f>Database!UKJ1</f>
        <v>0</v>
      </c>
      <c r="UJR1">
        <f>Database!UKK1</f>
        <v>0</v>
      </c>
      <c r="UJS1">
        <f>Database!UKL1</f>
        <v>0</v>
      </c>
      <c r="UJT1">
        <f>Database!UKM1</f>
        <v>0</v>
      </c>
      <c r="UJU1">
        <f>Database!UKN1</f>
        <v>0</v>
      </c>
      <c r="UJV1">
        <f>Database!UKO1</f>
        <v>0</v>
      </c>
      <c r="UJW1">
        <f>Database!UKP1</f>
        <v>0</v>
      </c>
      <c r="UJX1">
        <f>Database!UKQ1</f>
        <v>0</v>
      </c>
      <c r="UJY1">
        <f>Database!UKR1</f>
        <v>0</v>
      </c>
      <c r="UJZ1">
        <f>Database!UKS1</f>
        <v>0</v>
      </c>
      <c r="UKA1">
        <f>Database!UKT1</f>
        <v>0</v>
      </c>
      <c r="UKB1">
        <f>Database!UKU1</f>
        <v>0</v>
      </c>
      <c r="UKC1">
        <f>Database!UKV1</f>
        <v>0</v>
      </c>
      <c r="UKD1">
        <f>Database!UKW1</f>
        <v>0</v>
      </c>
      <c r="UKE1">
        <f>Database!UKX1</f>
        <v>0</v>
      </c>
      <c r="UKF1">
        <f>Database!UKY1</f>
        <v>0</v>
      </c>
      <c r="UKG1">
        <f>Database!UKZ1</f>
        <v>0</v>
      </c>
      <c r="UKH1">
        <f>Database!ULA1</f>
        <v>0</v>
      </c>
      <c r="UKI1">
        <f>Database!ULB1</f>
        <v>0</v>
      </c>
      <c r="UKJ1">
        <f>Database!ULC1</f>
        <v>0</v>
      </c>
      <c r="UKK1">
        <f>Database!ULD1</f>
        <v>0</v>
      </c>
      <c r="UKL1">
        <f>Database!ULE1</f>
        <v>0</v>
      </c>
      <c r="UKM1">
        <f>Database!ULF1</f>
        <v>0</v>
      </c>
      <c r="UKN1">
        <f>Database!ULG1</f>
        <v>0</v>
      </c>
      <c r="UKO1">
        <f>Database!ULH1</f>
        <v>0</v>
      </c>
      <c r="UKP1">
        <f>Database!ULI1</f>
        <v>0</v>
      </c>
      <c r="UKQ1">
        <f>Database!ULJ1</f>
        <v>0</v>
      </c>
      <c r="UKR1">
        <f>Database!ULK1</f>
        <v>0</v>
      </c>
      <c r="UKS1">
        <f>Database!ULL1</f>
        <v>0</v>
      </c>
      <c r="UKT1">
        <f>Database!ULM1</f>
        <v>0</v>
      </c>
      <c r="UKU1">
        <f>Database!ULN1</f>
        <v>0</v>
      </c>
      <c r="UKV1">
        <f>Database!ULO1</f>
        <v>0</v>
      </c>
      <c r="UKW1">
        <f>Database!ULP1</f>
        <v>0</v>
      </c>
      <c r="UKX1">
        <f>Database!ULQ1</f>
        <v>0</v>
      </c>
      <c r="UKY1">
        <f>Database!ULR1</f>
        <v>0</v>
      </c>
      <c r="UKZ1">
        <f>Database!ULS1</f>
        <v>0</v>
      </c>
      <c r="ULA1">
        <f>Database!ULT1</f>
        <v>0</v>
      </c>
      <c r="ULB1">
        <f>Database!ULU1</f>
        <v>0</v>
      </c>
      <c r="ULC1">
        <f>Database!ULV1</f>
        <v>0</v>
      </c>
      <c r="ULD1">
        <f>Database!ULW1</f>
        <v>0</v>
      </c>
      <c r="ULE1">
        <f>Database!ULX1</f>
        <v>0</v>
      </c>
      <c r="ULF1">
        <f>Database!ULY1</f>
        <v>0</v>
      </c>
      <c r="ULG1">
        <f>Database!ULZ1</f>
        <v>0</v>
      </c>
      <c r="ULH1">
        <f>Database!UMA1</f>
        <v>0</v>
      </c>
      <c r="ULI1">
        <f>Database!UMB1</f>
        <v>0</v>
      </c>
      <c r="ULJ1">
        <f>Database!UMC1</f>
        <v>0</v>
      </c>
      <c r="ULK1">
        <f>Database!UMD1</f>
        <v>0</v>
      </c>
      <c r="ULL1">
        <f>Database!UME1</f>
        <v>0</v>
      </c>
      <c r="ULM1">
        <f>Database!UMF1</f>
        <v>0</v>
      </c>
      <c r="ULN1">
        <f>Database!UMG1</f>
        <v>0</v>
      </c>
      <c r="ULO1">
        <f>Database!UMH1</f>
        <v>0</v>
      </c>
      <c r="ULP1">
        <f>Database!UMI1</f>
        <v>0</v>
      </c>
      <c r="ULQ1">
        <f>Database!UMJ1</f>
        <v>0</v>
      </c>
      <c r="ULR1">
        <f>Database!UMK1</f>
        <v>0</v>
      </c>
      <c r="ULS1">
        <f>Database!UML1</f>
        <v>0</v>
      </c>
      <c r="ULT1">
        <f>Database!UMM1</f>
        <v>0</v>
      </c>
      <c r="ULU1">
        <f>Database!UMN1</f>
        <v>0</v>
      </c>
      <c r="ULV1">
        <f>Database!UMO1</f>
        <v>0</v>
      </c>
      <c r="ULW1">
        <f>Database!UMP1</f>
        <v>0</v>
      </c>
      <c r="ULX1">
        <f>Database!UMQ1</f>
        <v>0</v>
      </c>
      <c r="ULY1">
        <f>Database!UMR1</f>
        <v>0</v>
      </c>
      <c r="ULZ1">
        <f>Database!UMS1</f>
        <v>0</v>
      </c>
      <c r="UMA1">
        <f>Database!UMT1</f>
        <v>0</v>
      </c>
      <c r="UMB1">
        <f>Database!UMU1</f>
        <v>0</v>
      </c>
      <c r="UMC1">
        <f>Database!UMV1</f>
        <v>0</v>
      </c>
      <c r="UMD1">
        <f>Database!UMW1</f>
        <v>0</v>
      </c>
      <c r="UME1">
        <f>Database!UMX1</f>
        <v>0</v>
      </c>
      <c r="UMF1">
        <f>Database!UMY1</f>
        <v>0</v>
      </c>
      <c r="UMG1">
        <f>Database!UMZ1</f>
        <v>0</v>
      </c>
      <c r="UMH1">
        <f>Database!UNA1</f>
        <v>0</v>
      </c>
      <c r="UMI1">
        <f>Database!UNB1</f>
        <v>0</v>
      </c>
      <c r="UMJ1">
        <f>Database!UNC1</f>
        <v>0</v>
      </c>
      <c r="UMK1">
        <f>Database!UND1</f>
        <v>0</v>
      </c>
      <c r="UML1">
        <f>Database!UNE1</f>
        <v>0</v>
      </c>
      <c r="UMM1">
        <f>Database!UNF1</f>
        <v>0</v>
      </c>
      <c r="UMN1">
        <f>Database!UNG1</f>
        <v>0</v>
      </c>
      <c r="UMO1">
        <f>Database!UNH1</f>
        <v>0</v>
      </c>
      <c r="UMP1">
        <f>Database!UNI1</f>
        <v>0</v>
      </c>
      <c r="UMQ1">
        <f>Database!UNJ1</f>
        <v>0</v>
      </c>
      <c r="UMR1">
        <f>Database!UNK1</f>
        <v>0</v>
      </c>
      <c r="UMS1">
        <f>Database!UNL1</f>
        <v>0</v>
      </c>
      <c r="UMT1">
        <f>Database!UNM1</f>
        <v>0</v>
      </c>
      <c r="UMU1">
        <f>Database!UNN1</f>
        <v>0</v>
      </c>
      <c r="UMV1">
        <f>Database!UNO1</f>
        <v>0</v>
      </c>
      <c r="UMW1">
        <f>Database!UNP1</f>
        <v>0</v>
      </c>
      <c r="UMX1">
        <f>Database!UNQ1</f>
        <v>0</v>
      </c>
      <c r="UMY1">
        <f>Database!UNR1</f>
        <v>0</v>
      </c>
      <c r="UMZ1">
        <f>Database!UNS1</f>
        <v>0</v>
      </c>
      <c r="UNA1">
        <f>Database!UNT1</f>
        <v>0</v>
      </c>
      <c r="UNB1">
        <f>Database!UNU1</f>
        <v>0</v>
      </c>
      <c r="UNC1">
        <f>Database!UNV1</f>
        <v>0</v>
      </c>
      <c r="UND1">
        <f>Database!UNW1</f>
        <v>0</v>
      </c>
      <c r="UNE1">
        <f>Database!UNX1</f>
        <v>0</v>
      </c>
      <c r="UNF1">
        <f>Database!UNY1</f>
        <v>0</v>
      </c>
      <c r="UNG1">
        <f>Database!UNZ1</f>
        <v>0</v>
      </c>
      <c r="UNH1">
        <f>Database!UOA1</f>
        <v>0</v>
      </c>
      <c r="UNI1">
        <f>Database!UOB1</f>
        <v>0</v>
      </c>
      <c r="UNJ1">
        <f>Database!UOC1</f>
        <v>0</v>
      </c>
      <c r="UNK1">
        <f>Database!UOD1</f>
        <v>0</v>
      </c>
      <c r="UNL1">
        <f>Database!UOE1</f>
        <v>0</v>
      </c>
      <c r="UNM1">
        <f>Database!UOF1</f>
        <v>0</v>
      </c>
      <c r="UNN1">
        <f>Database!UOG1</f>
        <v>0</v>
      </c>
      <c r="UNO1">
        <f>Database!UOH1</f>
        <v>0</v>
      </c>
      <c r="UNP1">
        <f>Database!UOI1</f>
        <v>0</v>
      </c>
      <c r="UNQ1">
        <f>Database!UOJ1</f>
        <v>0</v>
      </c>
      <c r="UNR1">
        <f>Database!UOK1</f>
        <v>0</v>
      </c>
      <c r="UNS1">
        <f>Database!UOL1</f>
        <v>0</v>
      </c>
      <c r="UNT1">
        <f>Database!UOM1</f>
        <v>0</v>
      </c>
      <c r="UNU1">
        <f>Database!UON1</f>
        <v>0</v>
      </c>
      <c r="UNV1">
        <f>Database!UOO1</f>
        <v>0</v>
      </c>
      <c r="UNW1">
        <f>Database!UOP1</f>
        <v>0</v>
      </c>
      <c r="UNX1">
        <f>Database!UOQ1</f>
        <v>0</v>
      </c>
      <c r="UNY1">
        <f>Database!UOR1</f>
        <v>0</v>
      </c>
      <c r="UNZ1">
        <f>Database!UOS1</f>
        <v>0</v>
      </c>
      <c r="UOA1">
        <f>Database!UOT1</f>
        <v>0</v>
      </c>
      <c r="UOB1">
        <f>Database!UOU1</f>
        <v>0</v>
      </c>
      <c r="UOC1">
        <f>Database!UOV1</f>
        <v>0</v>
      </c>
      <c r="UOD1">
        <f>Database!UOW1</f>
        <v>0</v>
      </c>
      <c r="UOE1">
        <f>Database!UOX1</f>
        <v>0</v>
      </c>
      <c r="UOF1">
        <f>Database!UOY1</f>
        <v>0</v>
      </c>
      <c r="UOG1">
        <f>Database!UOZ1</f>
        <v>0</v>
      </c>
      <c r="UOH1">
        <f>Database!UPA1</f>
        <v>0</v>
      </c>
      <c r="UOI1">
        <f>Database!UPB1</f>
        <v>0</v>
      </c>
      <c r="UOJ1">
        <f>Database!UPC1</f>
        <v>0</v>
      </c>
      <c r="UOK1">
        <f>Database!UPD1</f>
        <v>0</v>
      </c>
      <c r="UOL1">
        <f>Database!UPE1</f>
        <v>0</v>
      </c>
      <c r="UOM1">
        <f>Database!UPF1</f>
        <v>0</v>
      </c>
      <c r="UON1">
        <f>Database!UPG1</f>
        <v>0</v>
      </c>
      <c r="UOO1">
        <f>Database!UPH1</f>
        <v>0</v>
      </c>
      <c r="UOP1">
        <f>Database!UPI1</f>
        <v>0</v>
      </c>
      <c r="UOQ1">
        <f>Database!UPJ1</f>
        <v>0</v>
      </c>
      <c r="UOR1">
        <f>Database!UPK1</f>
        <v>0</v>
      </c>
      <c r="UOS1">
        <f>Database!UPL1</f>
        <v>0</v>
      </c>
      <c r="UOT1">
        <f>Database!UPM1</f>
        <v>0</v>
      </c>
      <c r="UOU1">
        <f>Database!UPN1</f>
        <v>0</v>
      </c>
      <c r="UOV1">
        <f>Database!UPO1</f>
        <v>0</v>
      </c>
      <c r="UOW1">
        <f>Database!UPP1</f>
        <v>0</v>
      </c>
      <c r="UOX1">
        <f>Database!UPQ1</f>
        <v>0</v>
      </c>
      <c r="UOY1">
        <f>Database!UPR1</f>
        <v>0</v>
      </c>
      <c r="UOZ1">
        <f>Database!UPS1</f>
        <v>0</v>
      </c>
      <c r="UPA1">
        <f>Database!UPT1</f>
        <v>0</v>
      </c>
      <c r="UPB1">
        <f>Database!UPU1</f>
        <v>0</v>
      </c>
      <c r="UPC1">
        <f>Database!UPV1</f>
        <v>0</v>
      </c>
      <c r="UPD1">
        <f>Database!UPW1</f>
        <v>0</v>
      </c>
      <c r="UPE1">
        <f>Database!UPX1</f>
        <v>0</v>
      </c>
      <c r="UPF1">
        <f>Database!UPY1</f>
        <v>0</v>
      </c>
      <c r="UPG1">
        <f>Database!UPZ1</f>
        <v>0</v>
      </c>
      <c r="UPH1">
        <f>Database!UQA1</f>
        <v>0</v>
      </c>
      <c r="UPI1">
        <f>Database!UQB1</f>
        <v>0</v>
      </c>
      <c r="UPJ1">
        <f>Database!UQC1</f>
        <v>0</v>
      </c>
      <c r="UPK1">
        <f>Database!UQD1</f>
        <v>0</v>
      </c>
      <c r="UPL1">
        <f>Database!UQE1</f>
        <v>0</v>
      </c>
      <c r="UPM1">
        <f>Database!UQF1</f>
        <v>0</v>
      </c>
      <c r="UPN1">
        <f>Database!UQG1</f>
        <v>0</v>
      </c>
      <c r="UPO1">
        <f>Database!UQH1</f>
        <v>0</v>
      </c>
      <c r="UPP1">
        <f>Database!UQI1</f>
        <v>0</v>
      </c>
      <c r="UPQ1">
        <f>Database!UQJ1</f>
        <v>0</v>
      </c>
      <c r="UPR1">
        <f>Database!UQK1</f>
        <v>0</v>
      </c>
      <c r="UPS1">
        <f>Database!UQL1</f>
        <v>0</v>
      </c>
      <c r="UPT1">
        <f>Database!UQM1</f>
        <v>0</v>
      </c>
      <c r="UPU1">
        <f>Database!UQN1</f>
        <v>0</v>
      </c>
      <c r="UPV1">
        <f>Database!UQO1</f>
        <v>0</v>
      </c>
      <c r="UPW1">
        <f>Database!UQP1</f>
        <v>0</v>
      </c>
      <c r="UPX1">
        <f>Database!UQQ1</f>
        <v>0</v>
      </c>
      <c r="UPY1">
        <f>Database!UQR1</f>
        <v>0</v>
      </c>
      <c r="UPZ1">
        <f>Database!UQS1</f>
        <v>0</v>
      </c>
      <c r="UQA1">
        <f>Database!UQT1</f>
        <v>0</v>
      </c>
      <c r="UQB1">
        <f>Database!UQU1</f>
        <v>0</v>
      </c>
      <c r="UQC1">
        <f>Database!UQV1</f>
        <v>0</v>
      </c>
      <c r="UQD1">
        <f>Database!UQW1</f>
        <v>0</v>
      </c>
      <c r="UQE1">
        <f>Database!UQX1</f>
        <v>0</v>
      </c>
      <c r="UQF1">
        <f>Database!UQY1</f>
        <v>0</v>
      </c>
      <c r="UQG1">
        <f>Database!UQZ1</f>
        <v>0</v>
      </c>
      <c r="UQH1">
        <f>Database!URA1</f>
        <v>0</v>
      </c>
      <c r="UQI1">
        <f>Database!URB1</f>
        <v>0</v>
      </c>
      <c r="UQJ1">
        <f>Database!URC1</f>
        <v>0</v>
      </c>
      <c r="UQK1">
        <f>Database!URD1</f>
        <v>0</v>
      </c>
      <c r="UQL1">
        <f>Database!URE1</f>
        <v>0</v>
      </c>
      <c r="UQM1">
        <f>Database!URF1</f>
        <v>0</v>
      </c>
      <c r="UQN1">
        <f>Database!URG1</f>
        <v>0</v>
      </c>
      <c r="UQO1">
        <f>Database!URH1</f>
        <v>0</v>
      </c>
      <c r="UQP1">
        <f>Database!URI1</f>
        <v>0</v>
      </c>
      <c r="UQQ1">
        <f>Database!URJ1</f>
        <v>0</v>
      </c>
      <c r="UQR1">
        <f>Database!URK1</f>
        <v>0</v>
      </c>
      <c r="UQS1">
        <f>Database!URL1</f>
        <v>0</v>
      </c>
      <c r="UQT1">
        <f>Database!URM1</f>
        <v>0</v>
      </c>
      <c r="UQU1">
        <f>Database!URN1</f>
        <v>0</v>
      </c>
      <c r="UQV1">
        <f>Database!URO1</f>
        <v>0</v>
      </c>
      <c r="UQW1">
        <f>Database!URP1</f>
        <v>0</v>
      </c>
      <c r="UQX1">
        <f>Database!URQ1</f>
        <v>0</v>
      </c>
      <c r="UQY1">
        <f>Database!URR1</f>
        <v>0</v>
      </c>
      <c r="UQZ1">
        <f>Database!URS1</f>
        <v>0</v>
      </c>
      <c r="URA1">
        <f>Database!URT1</f>
        <v>0</v>
      </c>
      <c r="URB1">
        <f>Database!URU1</f>
        <v>0</v>
      </c>
      <c r="URC1">
        <f>Database!URV1</f>
        <v>0</v>
      </c>
      <c r="URD1">
        <f>Database!URW1</f>
        <v>0</v>
      </c>
      <c r="URE1">
        <f>Database!URX1</f>
        <v>0</v>
      </c>
      <c r="URF1">
        <f>Database!URY1</f>
        <v>0</v>
      </c>
      <c r="URG1">
        <f>Database!URZ1</f>
        <v>0</v>
      </c>
      <c r="URH1">
        <f>Database!USA1</f>
        <v>0</v>
      </c>
      <c r="URI1">
        <f>Database!USB1</f>
        <v>0</v>
      </c>
      <c r="URJ1">
        <f>Database!USC1</f>
        <v>0</v>
      </c>
      <c r="URK1">
        <f>Database!USD1</f>
        <v>0</v>
      </c>
      <c r="URL1">
        <f>Database!USE1</f>
        <v>0</v>
      </c>
      <c r="URM1">
        <f>Database!USF1</f>
        <v>0</v>
      </c>
      <c r="URN1">
        <f>Database!USG1</f>
        <v>0</v>
      </c>
      <c r="URO1">
        <f>Database!USH1</f>
        <v>0</v>
      </c>
      <c r="URP1">
        <f>Database!USI1</f>
        <v>0</v>
      </c>
      <c r="URQ1">
        <f>Database!USJ1</f>
        <v>0</v>
      </c>
      <c r="URR1">
        <f>Database!USK1</f>
        <v>0</v>
      </c>
      <c r="URS1">
        <f>Database!USL1</f>
        <v>0</v>
      </c>
      <c r="URT1">
        <f>Database!USM1</f>
        <v>0</v>
      </c>
      <c r="URU1">
        <f>Database!USN1</f>
        <v>0</v>
      </c>
      <c r="URV1">
        <f>Database!USO1</f>
        <v>0</v>
      </c>
      <c r="URW1">
        <f>Database!USP1</f>
        <v>0</v>
      </c>
      <c r="URX1">
        <f>Database!USQ1</f>
        <v>0</v>
      </c>
      <c r="URY1">
        <f>Database!USR1</f>
        <v>0</v>
      </c>
      <c r="URZ1">
        <f>Database!USS1</f>
        <v>0</v>
      </c>
      <c r="USA1">
        <f>Database!UST1</f>
        <v>0</v>
      </c>
      <c r="USB1">
        <f>Database!USU1</f>
        <v>0</v>
      </c>
      <c r="USC1">
        <f>Database!USV1</f>
        <v>0</v>
      </c>
      <c r="USD1">
        <f>Database!USW1</f>
        <v>0</v>
      </c>
      <c r="USE1">
        <f>Database!USX1</f>
        <v>0</v>
      </c>
      <c r="USF1">
        <f>Database!USY1</f>
        <v>0</v>
      </c>
      <c r="USG1">
        <f>Database!USZ1</f>
        <v>0</v>
      </c>
      <c r="USH1">
        <f>Database!UTA1</f>
        <v>0</v>
      </c>
      <c r="USI1">
        <f>Database!UTB1</f>
        <v>0</v>
      </c>
      <c r="USJ1">
        <f>Database!UTC1</f>
        <v>0</v>
      </c>
      <c r="USK1">
        <f>Database!UTD1</f>
        <v>0</v>
      </c>
      <c r="USL1">
        <f>Database!UTE1</f>
        <v>0</v>
      </c>
      <c r="USM1">
        <f>Database!UTF1</f>
        <v>0</v>
      </c>
      <c r="USN1">
        <f>Database!UTG1</f>
        <v>0</v>
      </c>
      <c r="USO1">
        <f>Database!UTH1</f>
        <v>0</v>
      </c>
      <c r="USP1">
        <f>Database!UTI1</f>
        <v>0</v>
      </c>
      <c r="USQ1">
        <f>Database!UTJ1</f>
        <v>0</v>
      </c>
      <c r="USR1">
        <f>Database!UTK1</f>
        <v>0</v>
      </c>
      <c r="USS1">
        <f>Database!UTL1</f>
        <v>0</v>
      </c>
      <c r="UST1">
        <f>Database!UTM1</f>
        <v>0</v>
      </c>
      <c r="USU1">
        <f>Database!UTN1</f>
        <v>0</v>
      </c>
      <c r="USV1">
        <f>Database!UTO1</f>
        <v>0</v>
      </c>
      <c r="USW1">
        <f>Database!UTP1</f>
        <v>0</v>
      </c>
      <c r="USX1">
        <f>Database!UTQ1</f>
        <v>0</v>
      </c>
      <c r="USY1">
        <f>Database!UTR1</f>
        <v>0</v>
      </c>
      <c r="USZ1">
        <f>Database!UTS1</f>
        <v>0</v>
      </c>
      <c r="UTA1">
        <f>Database!UTT1</f>
        <v>0</v>
      </c>
      <c r="UTB1">
        <f>Database!UTU1</f>
        <v>0</v>
      </c>
      <c r="UTC1">
        <f>Database!UTV1</f>
        <v>0</v>
      </c>
      <c r="UTD1">
        <f>Database!UTW1</f>
        <v>0</v>
      </c>
      <c r="UTE1">
        <f>Database!UTX1</f>
        <v>0</v>
      </c>
      <c r="UTF1">
        <f>Database!UTY1</f>
        <v>0</v>
      </c>
      <c r="UTG1">
        <f>Database!UTZ1</f>
        <v>0</v>
      </c>
      <c r="UTH1">
        <f>Database!UUA1</f>
        <v>0</v>
      </c>
      <c r="UTI1">
        <f>Database!UUB1</f>
        <v>0</v>
      </c>
      <c r="UTJ1">
        <f>Database!UUC1</f>
        <v>0</v>
      </c>
      <c r="UTK1">
        <f>Database!UUD1</f>
        <v>0</v>
      </c>
      <c r="UTL1">
        <f>Database!UUE1</f>
        <v>0</v>
      </c>
      <c r="UTM1">
        <f>Database!UUF1</f>
        <v>0</v>
      </c>
      <c r="UTN1">
        <f>Database!UUG1</f>
        <v>0</v>
      </c>
      <c r="UTO1">
        <f>Database!UUH1</f>
        <v>0</v>
      </c>
      <c r="UTP1">
        <f>Database!UUI1</f>
        <v>0</v>
      </c>
      <c r="UTQ1">
        <f>Database!UUJ1</f>
        <v>0</v>
      </c>
      <c r="UTR1">
        <f>Database!UUK1</f>
        <v>0</v>
      </c>
      <c r="UTS1">
        <f>Database!UUL1</f>
        <v>0</v>
      </c>
      <c r="UTT1">
        <f>Database!UUM1</f>
        <v>0</v>
      </c>
      <c r="UTU1">
        <f>Database!UUN1</f>
        <v>0</v>
      </c>
      <c r="UTV1">
        <f>Database!UUO1</f>
        <v>0</v>
      </c>
      <c r="UTW1">
        <f>Database!UUP1</f>
        <v>0</v>
      </c>
      <c r="UTX1">
        <f>Database!UUQ1</f>
        <v>0</v>
      </c>
      <c r="UTY1">
        <f>Database!UUR1</f>
        <v>0</v>
      </c>
      <c r="UTZ1">
        <f>Database!UUS1</f>
        <v>0</v>
      </c>
      <c r="UUA1">
        <f>Database!UUT1</f>
        <v>0</v>
      </c>
      <c r="UUB1">
        <f>Database!UUU1</f>
        <v>0</v>
      </c>
      <c r="UUC1">
        <f>Database!UUV1</f>
        <v>0</v>
      </c>
      <c r="UUD1">
        <f>Database!UUW1</f>
        <v>0</v>
      </c>
      <c r="UUE1">
        <f>Database!UUX1</f>
        <v>0</v>
      </c>
      <c r="UUF1">
        <f>Database!UUY1</f>
        <v>0</v>
      </c>
      <c r="UUG1">
        <f>Database!UUZ1</f>
        <v>0</v>
      </c>
      <c r="UUH1">
        <f>Database!UVA1</f>
        <v>0</v>
      </c>
      <c r="UUI1">
        <f>Database!UVB1</f>
        <v>0</v>
      </c>
      <c r="UUJ1">
        <f>Database!UVC1</f>
        <v>0</v>
      </c>
      <c r="UUK1">
        <f>Database!UVD1</f>
        <v>0</v>
      </c>
      <c r="UUL1">
        <f>Database!UVE1</f>
        <v>0</v>
      </c>
      <c r="UUM1">
        <f>Database!UVF1</f>
        <v>0</v>
      </c>
      <c r="UUN1">
        <f>Database!UVG1</f>
        <v>0</v>
      </c>
      <c r="UUO1">
        <f>Database!UVH1</f>
        <v>0</v>
      </c>
      <c r="UUP1">
        <f>Database!UVI1</f>
        <v>0</v>
      </c>
      <c r="UUQ1">
        <f>Database!UVJ1</f>
        <v>0</v>
      </c>
      <c r="UUR1">
        <f>Database!UVK1</f>
        <v>0</v>
      </c>
      <c r="UUS1">
        <f>Database!UVL1</f>
        <v>0</v>
      </c>
      <c r="UUT1">
        <f>Database!UVM1</f>
        <v>0</v>
      </c>
      <c r="UUU1">
        <f>Database!UVN1</f>
        <v>0</v>
      </c>
      <c r="UUV1">
        <f>Database!UVO1</f>
        <v>0</v>
      </c>
      <c r="UUW1">
        <f>Database!UVP1</f>
        <v>0</v>
      </c>
      <c r="UUX1">
        <f>Database!UVQ1</f>
        <v>0</v>
      </c>
      <c r="UUY1">
        <f>Database!UVR1</f>
        <v>0</v>
      </c>
      <c r="UUZ1">
        <f>Database!UVS1</f>
        <v>0</v>
      </c>
      <c r="UVA1">
        <f>Database!UVT1</f>
        <v>0</v>
      </c>
      <c r="UVB1">
        <f>Database!UVU1</f>
        <v>0</v>
      </c>
      <c r="UVC1">
        <f>Database!UVV1</f>
        <v>0</v>
      </c>
      <c r="UVD1">
        <f>Database!UVW1</f>
        <v>0</v>
      </c>
      <c r="UVE1">
        <f>Database!UVX1</f>
        <v>0</v>
      </c>
      <c r="UVF1">
        <f>Database!UVY1</f>
        <v>0</v>
      </c>
      <c r="UVG1">
        <f>Database!UVZ1</f>
        <v>0</v>
      </c>
      <c r="UVH1">
        <f>Database!UWA1</f>
        <v>0</v>
      </c>
      <c r="UVI1">
        <f>Database!UWB1</f>
        <v>0</v>
      </c>
      <c r="UVJ1">
        <f>Database!UWC1</f>
        <v>0</v>
      </c>
      <c r="UVK1">
        <f>Database!UWD1</f>
        <v>0</v>
      </c>
      <c r="UVL1">
        <f>Database!UWE1</f>
        <v>0</v>
      </c>
      <c r="UVM1">
        <f>Database!UWF1</f>
        <v>0</v>
      </c>
      <c r="UVN1">
        <f>Database!UWG1</f>
        <v>0</v>
      </c>
      <c r="UVO1">
        <f>Database!UWH1</f>
        <v>0</v>
      </c>
      <c r="UVP1">
        <f>Database!UWI1</f>
        <v>0</v>
      </c>
      <c r="UVQ1">
        <f>Database!UWJ1</f>
        <v>0</v>
      </c>
      <c r="UVR1">
        <f>Database!UWK1</f>
        <v>0</v>
      </c>
      <c r="UVS1">
        <f>Database!UWL1</f>
        <v>0</v>
      </c>
      <c r="UVT1">
        <f>Database!UWM1</f>
        <v>0</v>
      </c>
      <c r="UVU1">
        <f>Database!UWN1</f>
        <v>0</v>
      </c>
      <c r="UVV1">
        <f>Database!UWO1</f>
        <v>0</v>
      </c>
      <c r="UVW1">
        <f>Database!UWP1</f>
        <v>0</v>
      </c>
      <c r="UVX1">
        <f>Database!UWQ1</f>
        <v>0</v>
      </c>
      <c r="UVY1">
        <f>Database!UWR1</f>
        <v>0</v>
      </c>
      <c r="UVZ1">
        <f>Database!UWS1</f>
        <v>0</v>
      </c>
      <c r="UWA1">
        <f>Database!UWT1</f>
        <v>0</v>
      </c>
      <c r="UWB1">
        <f>Database!UWU1</f>
        <v>0</v>
      </c>
      <c r="UWC1">
        <f>Database!UWV1</f>
        <v>0</v>
      </c>
      <c r="UWD1">
        <f>Database!UWW1</f>
        <v>0</v>
      </c>
      <c r="UWE1">
        <f>Database!UWX1</f>
        <v>0</v>
      </c>
      <c r="UWF1">
        <f>Database!UWY1</f>
        <v>0</v>
      </c>
      <c r="UWG1">
        <f>Database!UWZ1</f>
        <v>0</v>
      </c>
      <c r="UWH1">
        <f>Database!UXA1</f>
        <v>0</v>
      </c>
      <c r="UWI1">
        <f>Database!UXB1</f>
        <v>0</v>
      </c>
      <c r="UWJ1">
        <f>Database!UXC1</f>
        <v>0</v>
      </c>
      <c r="UWK1">
        <f>Database!UXD1</f>
        <v>0</v>
      </c>
      <c r="UWL1">
        <f>Database!UXE1</f>
        <v>0</v>
      </c>
      <c r="UWM1">
        <f>Database!UXF1</f>
        <v>0</v>
      </c>
      <c r="UWN1">
        <f>Database!UXG1</f>
        <v>0</v>
      </c>
      <c r="UWO1">
        <f>Database!UXH1</f>
        <v>0</v>
      </c>
      <c r="UWP1">
        <f>Database!UXI1</f>
        <v>0</v>
      </c>
      <c r="UWQ1">
        <f>Database!UXJ1</f>
        <v>0</v>
      </c>
      <c r="UWR1">
        <f>Database!UXK1</f>
        <v>0</v>
      </c>
      <c r="UWS1">
        <f>Database!UXL1</f>
        <v>0</v>
      </c>
      <c r="UWT1">
        <f>Database!UXM1</f>
        <v>0</v>
      </c>
      <c r="UWU1">
        <f>Database!UXN1</f>
        <v>0</v>
      </c>
      <c r="UWV1">
        <f>Database!UXO1</f>
        <v>0</v>
      </c>
      <c r="UWW1">
        <f>Database!UXP1</f>
        <v>0</v>
      </c>
      <c r="UWX1">
        <f>Database!UXQ1</f>
        <v>0</v>
      </c>
      <c r="UWY1">
        <f>Database!UXR1</f>
        <v>0</v>
      </c>
      <c r="UWZ1">
        <f>Database!UXS1</f>
        <v>0</v>
      </c>
      <c r="UXA1">
        <f>Database!UXT1</f>
        <v>0</v>
      </c>
      <c r="UXB1">
        <f>Database!UXU1</f>
        <v>0</v>
      </c>
      <c r="UXC1">
        <f>Database!UXV1</f>
        <v>0</v>
      </c>
      <c r="UXD1">
        <f>Database!UXW1</f>
        <v>0</v>
      </c>
      <c r="UXE1">
        <f>Database!UXX1</f>
        <v>0</v>
      </c>
      <c r="UXF1">
        <f>Database!UXY1</f>
        <v>0</v>
      </c>
      <c r="UXG1">
        <f>Database!UXZ1</f>
        <v>0</v>
      </c>
      <c r="UXH1">
        <f>Database!UYA1</f>
        <v>0</v>
      </c>
      <c r="UXI1">
        <f>Database!UYB1</f>
        <v>0</v>
      </c>
      <c r="UXJ1">
        <f>Database!UYC1</f>
        <v>0</v>
      </c>
      <c r="UXK1">
        <f>Database!UYD1</f>
        <v>0</v>
      </c>
      <c r="UXL1">
        <f>Database!UYE1</f>
        <v>0</v>
      </c>
      <c r="UXM1">
        <f>Database!UYF1</f>
        <v>0</v>
      </c>
      <c r="UXN1">
        <f>Database!UYG1</f>
        <v>0</v>
      </c>
      <c r="UXO1">
        <f>Database!UYH1</f>
        <v>0</v>
      </c>
      <c r="UXP1">
        <f>Database!UYI1</f>
        <v>0</v>
      </c>
      <c r="UXQ1">
        <f>Database!UYJ1</f>
        <v>0</v>
      </c>
      <c r="UXR1">
        <f>Database!UYK1</f>
        <v>0</v>
      </c>
      <c r="UXS1">
        <f>Database!UYL1</f>
        <v>0</v>
      </c>
      <c r="UXT1">
        <f>Database!UYM1</f>
        <v>0</v>
      </c>
      <c r="UXU1">
        <f>Database!UYN1</f>
        <v>0</v>
      </c>
      <c r="UXV1">
        <f>Database!UYO1</f>
        <v>0</v>
      </c>
      <c r="UXW1">
        <f>Database!UYP1</f>
        <v>0</v>
      </c>
      <c r="UXX1">
        <f>Database!UYQ1</f>
        <v>0</v>
      </c>
      <c r="UXY1">
        <f>Database!UYR1</f>
        <v>0</v>
      </c>
      <c r="UXZ1">
        <f>Database!UYS1</f>
        <v>0</v>
      </c>
      <c r="UYA1">
        <f>Database!UYT1</f>
        <v>0</v>
      </c>
      <c r="UYB1">
        <f>Database!UYU1</f>
        <v>0</v>
      </c>
      <c r="UYC1">
        <f>Database!UYV1</f>
        <v>0</v>
      </c>
      <c r="UYD1">
        <f>Database!UYW1</f>
        <v>0</v>
      </c>
      <c r="UYE1">
        <f>Database!UYX1</f>
        <v>0</v>
      </c>
      <c r="UYF1">
        <f>Database!UYY1</f>
        <v>0</v>
      </c>
      <c r="UYG1">
        <f>Database!UYZ1</f>
        <v>0</v>
      </c>
      <c r="UYH1">
        <f>Database!UZA1</f>
        <v>0</v>
      </c>
      <c r="UYI1">
        <f>Database!UZB1</f>
        <v>0</v>
      </c>
      <c r="UYJ1">
        <f>Database!UZC1</f>
        <v>0</v>
      </c>
      <c r="UYK1">
        <f>Database!UZD1</f>
        <v>0</v>
      </c>
      <c r="UYL1">
        <f>Database!UZE1</f>
        <v>0</v>
      </c>
      <c r="UYM1">
        <f>Database!UZF1</f>
        <v>0</v>
      </c>
      <c r="UYN1">
        <f>Database!UZG1</f>
        <v>0</v>
      </c>
      <c r="UYO1">
        <f>Database!UZH1</f>
        <v>0</v>
      </c>
      <c r="UYP1">
        <f>Database!UZI1</f>
        <v>0</v>
      </c>
      <c r="UYQ1">
        <f>Database!UZJ1</f>
        <v>0</v>
      </c>
      <c r="UYR1">
        <f>Database!UZK1</f>
        <v>0</v>
      </c>
      <c r="UYS1">
        <f>Database!UZL1</f>
        <v>0</v>
      </c>
      <c r="UYT1">
        <f>Database!UZM1</f>
        <v>0</v>
      </c>
      <c r="UYU1">
        <f>Database!UZN1</f>
        <v>0</v>
      </c>
      <c r="UYV1">
        <f>Database!UZO1</f>
        <v>0</v>
      </c>
      <c r="UYW1">
        <f>Database!UZP1</f>
        <v>0</v>
      </c>
      <c r="UYX1">
        <f>Database!UZQ1</f>
        <v>0</v>
      </c>
      <c r="UYY1">
        <f>Database!UZR1</f>
        <v>0</v>
      </c>
      <c r="UYZ1">
        <f>Database!UZS1</f>
        <v>0</v>
      </c>
      <c r="UZA1">
        <f>Database!UZT1</f>
        <v>0</v>
      </c>
      <c r="UZB1">
        <f>Database!UZU1</f>
        <v>0</v>
      </c>
      <c r="UZC1">
        <f>Database!UZV1</f>
        <v>0</v>
      </c>
      <c r="UZD1">
        <f>Database!UZW1</f>
        <v>0</v>
      </c>
      <c r="UZE1">
        <f>Database!UZX1</f>
        <v>0</v>
      </c>
      <c r="UZF1">
        <f>Database!UZY1</f>
        <v>0</v>
      </c>
      <c r="UZG1">
        <f>Database!UZZ1</f>
        <v>0</v>
      </c>
      <c r="UZH1">
        <f>Database!VAA1</f>
        <v>0</v>
      </c>
      <c r="UZI1">
        <f>Database!VAB1</f>
        <v>0</v>
      </c>
      <c r="UZJ1">
        <f>Database!VAC1</f>
        <v>0</v>
      </c>
      <c r="UZK1">
        <f>Database!VAD1</f>
        <v>0</v>
      </c>
      <c r="UZL1">
        <f>Database!VAE1</f>
        <v>0</v>
      </c>
      <c r="UZM1">
        <f>Database!VAF1</f>
        <v>0</v>
      </c>
      <c r="UZN1">
        <f>Database!VAG1</f>
        <v>0</v>
      </c>
      <c r="UZO1">
        <f>Database!VAH1</f>
        <v>0</v>
      </c>
      <c r="UZP1">
        <f>Database!VAI1</f>
        <v>0</v>
      </c>
      <c r="UZQ1">
        <f>Database!VAJ1</f>
        <v>0</v>
      </c>
      <c r="UZR1">
        <f>Database!VAK1</f>
        <v>0</v>
      </c>
      <c r="UZS1">
        <f>Database!VAL1</f>
        <v>0</v>
      </c>
      <c r="UZT1">
        <f>Database!VAM1</f>
        <v>0</v>
      </c>
      <c r="UZU1">
        <f>Database!VAN1</f>
        <v>0</v>
      </c>
      <c r="UZV1">
        <f>Database!VAO1</f>
        <v>0</v>
      </c>
      <c r="UZW1">
        <f>Database!VAP1</f>
        <v>0</v>
      </c>
      <c r="UZX1">
        <f>Database!VAQ1</f>
        <v>0</v>
      </c>
      <c r="UZY1">
        <f>Database!VAR1</f>
        <v>0</v>
      </c>
      <c r="UZZ1">
        <f>Database!VAS1</f>
        <v>0</v>
      </c>
      <c r="VAA1">
        <f>Database!VAT1</f>
        <v>0</v>
      </c>
      <c r="VAB1">
        <f>Database!VAU1</f>
        <v>0</v>
      </c>
      <c r="VAC1">
        <f>Database!VAV1</f>
        <v>0</v>
      </c>
      <c r="VAD1">
        <f>Database!VAW1</f>
        <v>0</v>
      </c>
      <c r="VAE1">
        <f>Database!VAX1</f>
        <v>0</v>
      </c>
      <c r="VAF1">
        <f>Database!VAY1</f>
        <v>0</v>
      </c>
      <c r="VAG1">
        <f>Database!VAZ1</f>
        <v>0</v>
      </c>
      <c r="VAH1">
        <f>Database!VBA1</f>
        <v>0</v>
      </c>
      <c r="VAI1">
        <f>Database!VBB1</f>
        <v>0</v>
      </c>
      <c r="VAJ1">
        <f>Database!VBC1</f>
        <v>0</v>
      </c>
      <c r="VAK1">
        <f>Database!VBD1</f>
        <v>0</v>
      </c>
      <c r="VAL1">
        <f>Database!VBE1</f>
        <v>0</v>
      </c>
      <c r="VAM1">
        <f>Database!VBF1</f>
        <v>0</v>
      </c>
      <c r="VAN1">
        <f>Database!VBG1</f>
        <v>0</v>
      </c>
      <c r="VAO1">
        <f>Database!VBH1</f>
        <v>0</v>
      </c>
      <c r="VAP1">
        <f>Database!VBI1</f>
        <v>0</v>
      </c>
      <c r="VAQ1">
        <f>Database!VBJ1</f>
        <v>0</v>
      </c>
      <c r="VAR1">
        <f>Database!VBK1</f>
        <v>0</v>
      </c>
      <c r="VAS1">
        <f>Database!VBL1</f>
        <v>0</v>
      </c>
      <c r="VAT1">
        <f>Database!VBM1</f>
        <v>0</v>
      </c>
      <c r="VAU1">
        <f>Database!VBN1</f>
        <v>0</v>
      </c>
      <c r="VAV1">
        <f>Database!VBO1</f>
        <v>0</v>
      </c>
      <c r="VAW1">
        <f>Database!VBP1</f>
        <v>0</v>
      </c>
      <c r="VAX1">
        <f>Database!VBQ1</f>
        <v>0</v>
      </c>
      <c r="VAY1">
        <f>Database!VBR1</f>
        <v>0</v>
      </c>
      <c r="VAZ1">
        <f>Database!VBS1</f>
        <v>0</v>
      </c>
      <c r="VBA1">
        <f>Database!VBT1</f>
        <v>0</v>
      </c>
      <c r="VBB1">
        <f>Database!VBU1</f>
        <v>0</v>
      </c>
      <c r="VBC1">
        <f>Database!VBV1</f>
        <v>0</v>
      </c>
      <c r="VBD1">
        <f>Database!VBW1</f>
        <v>0</v>
      </c>
      <c r="VBE1">
        <f>Database!VBX1</f>
        <v>0</v>
      </c>
      <c r="VBF1">
        <f>Database!VBY1</f>
        <v>0</v>
      </c>
      <c r="VBG1">
        <f>Database!VBZ1</f>
        <v>0</v>
      </c>
      <c r="VBH1">
        <f>Database!VCA1</f>
        <v>0</v>
      </c>
      <c r="VBI1">
        <f>Database!VCB1</f>
        <v>0</v>
      </c>
      <c r="VBJ1">
        <f>Database!VCC1</f>
        <v>0</v>
      </c>
      <c r="VBK1">
        <f>Database!VCD1</f>
        <v>0</v>
      </c>
      <c r="VBL1">
        <f>Database!VCE1</f>
        <v>0</v>
      </c>
      <c r="VBM1">
        <f>Database!VCF1</f>
        <v>0</v>
      </c>
      <c r="VBN1">
        <f>Database!VCG1</f>
        <v>0</v>
      </c>
      <c r="VBO1">
        <f>Database!VCH1</f>
        <v>0</v>
      </c>
      <c r="VBP1">
        <f>Database!VCI1</f>
        <v>0</v>
      </c>
      <c r="VBQ1">
        <f>Database!VCJ1</f>
        <v>0</v>
      </c>
      <c r="VBR1">
        <f>Database!VCK1</f>
        <v>0</v>
      </c>
      <c r="VBS1">
        <f>Database!VCL1</f>
        <v>0</v>
      </c>
      <c r="VBT1">
        <f>Database!VCM1</f>
        <v>0</v>
      </c>
      <c r="VBU1">
        <f>Database!VCN1</f>
        <v>0</v>
      </c>
      <c r="VBV1">
        <f>Database!VCO1</f>
        <v>0</v>
      </c>
      <c r="VBW1">
        <f>Database!VCP1</f>
        <v>0</v>
      </c>
      <c r="VBX1">
        <f>Database!VCQ1</f>
        <v>0</v>
      </c>
      <c r="VBY1">
        <f>Database!VCR1</f>
        <v>0</v>
      </c>
      <c r="VBZ1">
        <f>Database!VCS1</f>
        <v>0</v>
      </c>
      <c r="VCA1">
        <f>Database!VCT1</f>
        <v>0</v>
      </c>
      <c r="VCB1">
        <f>Database!VCU1</f>
        <v>0</v>
      </c>
      <c r="VCC1">
        <f>Database!VCV1</f>
        <v>0</v>
      </c>
      <c r="VCD1">
        <f>Database!VCW1</f>
        <v>0</v>
      </c>
      <c r="VCE1">
        <f>Database!VCX1</f>
        <v>0</v>
      </c>
      <c r="VCF1">
        <f>Database!VCY1</f>
        <v>0</v>
      </c>
      <c r="VCG1">
        <f>Database!VCZ1</f>
        <v>0</v>
      </c>
      <c r="VCH1">
        <f>Database!VDA1</f>
        <v>0</v>
      </c>
      <c r="VCI1">
        <f>Database!VDB1</f>
        <v>0</v>
      </c>
      <c r="VCJ1">
        <f>Database!VDC1</f>
        <v>0</v>
      </c>
      <c r="VCK1">
        <f>Database!VDD1</f>
        <v>0</v>
      </c>
      <c r="VCL1">
        <f>Database!VDE1</f>
        <v>0</v>
      </c>
      <c r="VCM1">
        <f>Database!VDF1</f>
        <v>0</v>
      </c>
      <c r="VCN1">
        <f>Database!VDG1</f>
        <v>0</v>
      </c>
      <c r="VCO1">
        <f>Database!VDH1</f>
        <v>0</v>
      </c>
      <c r="VCP1">
        <f>Database!VDI1</f>
        <v>0</v>
      </c>
      <c r="VCQ1">
        <f>Database!VDJ1</f>
        <v>0</v>
      </c>
      <c r="VCR1">
        <f>Database!VDK1</f>
        <v>0</v>
      </c>
      <c r="VCS1">
        <f>Database!VDL1</f>
        <v>0</v>
      </c>
      <c r="VCT1">
        <f>Database!VDM1</f>
        <v>0</v>
      </c>
      <c r="VCU1">
        <f>Database!VDN1</f>
        <v>0</v>
      </c>
      <c r="VCV1">
        <f>Database!VDO1</f>
        <v>0</v>
      </c>
      <c r="VCW1">
        <f>Database!VDP1</f>
        <v>0</v>
      </c>
      <c r="VCX1">
        <f>Database!VDQ1</f>
        <v>0</v>
      </c>
      <c r="VCY1">
        <f>Database!VDR1</f>
        <v>0</v>
      </c>
      <c r="VCZ1">
        <f>Database!VDS1</f>
        <v>0</v>
      </c>
      <c r="VDA1">
        <f>Database!VDT1</f>
        <v>0</v>
      </c>
      <c r="VDB1">
        <f>Database!VDU1</f>
        <v>0</v>
      </c>
      <c r="VDC1">
        <f>Database!VDV1</f>
        <v>0</v>
      </c>
      <c r="VDD1">
        <f>Database!VDW1</f>
        <v>0</v>
      </c>
      <c r="VDE1">
        <f>Database!VDX1</f>
        <v>0</v>
      </c>
      <c r="VDF1">
        <f>Database!VDY1</f>
        <v>0</v>
      </c>
      <c r="VDG1">
        <f>Database!VDZ1</f>
        <v>0</v>
      </c>
      <c r="VDH1">
        <f>Database!VEA1</f>
        <v>0</v>
      </c>
      <c r="VDI1">
        <f>Database!VEB1</f>
        <v>0</v>
      </c>
      <c r="VDJ1">
        <f>Database!VEC1</f>
        <v>0</v>
      </c>
      <c r="VDK1">
        <f>Database!VED1</f>
        <v>0</v>
      </c>
      <c r="VDL1">
        <f>Database!VEE1</f>
        <v>0</v>
      </c>
      <c r="VDM1">
        <f>Database!VEF1</f>
        <v>0</v>
      </c>
      <c r="VDN1">
        <f>Database!VEG1</f>
        <v>0</v>
      </c>
      <c r="VDO1">
        <f>Database!VEH1</f>
        <v>0</v>
      </c>
      <c r="VDP1">
        <f>Database!VEI1</f>
        <v>0</v>
      </c>
      <c r="VDQ1">
        <f>Database!VEJ1</f>
        <v>0</v>
      </c>
      <c r="VDR1">
        <f>Database!VEK1</f>
        <v>0</v>
      </c>
      <c r="VDS1">
        <f>Database!VEL1</f>
        <v>0</v>
      </c>
      <c r="VDT1">
        <f>Database!VEM1</f>
        <v>0</v>
      </c>
      <c r="VDU1">
        <f>Database!VEN1</f>
        <v>0</v>
      </c>
      <c r="VDV1">
        <f>Database!VEO1</f>
        <v>0</v>
      </c>
      <c r="VDW1">
        <f>Database!VEP1</f>
        <v>0</v>
      </c>
      <c r="VDX1">
        <f>Database!VEQ1</f>
        <v>0</v>
      </c>
      <c r="VDY1">
        <f>Database!VER1</f>
        <v>0</v>
      </c>
      <c r="VDZ1">
        <f>Database!VES1</f>
        <v>0</v>
      </c>
      <c r="VEA1">
        <f>Database!VET1</f>
        <v>0</v>
      </c>
      <c r="VEB1">
        <f>Database!VEU1</f>
        <v>0</v>
      </c>
      <c r="VEC1">
        <f>Database!VEV1</f>
        <v>0</v>
      </c>
      <c r="VED1">
        <f>Database!VEW1</f>
        <v>0</v>
      </c>
      <c r="VEE1">
        <f>Database!VEX1</f>
        <v>0</v>
      </c>
      <c r="VEF1">
        <f>Database!VEY1</f>
        <v>0</v>
      </c>
      <c r="VEG1">
        <f>Database!VEZ1</f>
        <v>0</v>
      </c>
      <c r="VEH1">
        <f>Database!VFA1</f>
        <v>0</v>
      </c>
      <c r="VEI1">
        <f>Database!VFB1</f>
        <v>0</v>
      </c>
      <c r="VEJ1">
        <f>Database!VFC1</f>
        <v>0</v>
      </c>
      <c r="VEK1">
        <f>Database!VFD1</f>
        <v>0</v>
      </c>
      <c r="VEL1">
        <f>Database!VFE1</f>
        <v>0</v>
      </c>
      <c r="VEM1">
        <f>Database!VFF1</f>
        <v>0</v>
      </c>
      <c r="VEN1">
        <f>Database!VFG1</f>
        <v>0</v>
      </c>
      <c r="VEO1">
        <f>Database!VFH1</f>
        <v>0</v>
      </c>
      <c r="VEP1">
        <f>Database!VFI1</f>
        <v>0</v>
      </c>
      <c r="VEQ1">
        <f>Database!VFJ1</f>
        <v>0</v>
      </c>
      <c r="VER1">
        <f>Database!VFK1</f>
        <v>0</v>
      </c>
      <c r="VES1">
        <f>Database!VFL1</f>
        <v>0</v>
      </c>
      <c r="VET1">
        <f>Database!VFM1</f>
        <v>0</v>
      </c>
      <c r="VEU1">
        <f>Database!VFN1</f>
        <v>0</v>
      </c>
      <c r="VEV1">
        <f>Database!VFO1</f>
        <v>0</v>
      </c>
      <c r="VEW1">
        <f>Database!VFP1</f>
        <v>0</v>
      </c>
      <c r="VEX1">
        <f>Database!VFQ1</f>
        <v>0</v>
      </c>
      <c r="VEY1">
        <f>Database!VFR1</f>
        <v>0</v>
      </c>
      <c r="VEZ1">
        <f>Database!VFS1</f>
        <v>0</v>
      </c>
      <c r="VFA1">
        <f>Database!VFT1</f>
        <v>0</v>
      </c>
      <c r="VFB1">
        <f>Database!VFU1</f>
        <v>0</v>
      </c>
      <c r="VFC1">
        <f>Database!VFV1</f>
        <v>0</v>
      </c>
      <c r="VFD1">
        <f>Database!VFW1</f>
        <v>0</v>
      </c>
      <c r="VFE1">
        <f>Database!VFX1</f>
        <v>0</v>
      </c>
      <c r="VFF1">
        <f>Database!VFY1</f>
        <v>0</v>
      </c>
      <c r="VFG1">
        <f>Database!VFZ1</f>
        <v>0</v>
      </c>
      <c r="VFH1">
        <f>Database!VGA1</f>
        <v>0</v>
      </c>
      <c r="VFI1">
        <f>Database!VGB1</f>
        <v>0</v>
      </c>
      <c r="VFJ1">
        <f>Database!VGC1</f>
        <v>0</v>
      </c>
      <c r="VFK1">
        <f>Database!VGD1</f>
        <v>0</v>
      </c>
      <c r="VFL1">
        <f>Database!VGE1</f>
        <v>0</v>
      </c>
      <c r="VFM1">
        <f>Database!VGF1</f>
        <v>0</v>
      </c>
      <c r="VFN1">
        <f>Database!VGG1</f>
        <v>0</v>
      </c>
      <c r="VFO1">
        <f>Database!VGH1</f>
        <v>0</v>
      </c>
      <c r="VFP1">
        <f>Database!VGI1</f>
        <v>0</v>
      </c>
      <c r="VFQ1">
        <f>Database!VGJ1</f>
        <v>0</v>
      </c>
      <c r="VFR1">
        <f>Database!VGK1</f>
        <v>0</v>
      </c>
      <c r="VFS1">
        <f>Database!VGL1</f>
        <v>0</v>
      </c>
      <c r="VFT1">
        <f>Database!VGM1</f>
        <v>0</v>
      </c>
      <c r="VFU1">
        <f>Database!VGN1</f>
        <v>0</v>
      </c>
      <c r="VFV1">
        <f>Database!VGO1</f>
        <v>0</v>
      </c>
      <c r="VFW1">
        <f>Database!VGP1</f>
        <v>0</v>
      </c>
      <c r="VFX1">
        <f>Database!VGQ1</f>
        <v>0</v>
      </c>
      <c r="VFY1">
        <f>Database!VGR1</f>
        <v>0</v>
      </c>
      <c r="VFZ1">
        <f>Database!VGS1</f>
        <v>0</v>
      </c>
      <c r="VGA1">
        <f>Database!VGT1</f>
        <v>0</v>
      </c>
      <c r="VGB1">
        <f>Database!VGU1</f>
        <v>0</v>
      </c>
      <c r="VGC1">
        <f>Database!VGV1</f>
        <v>0</v>
      </c>
      <c r="VGD1">
        <f>Database!VGW1</f>
        <v>0</v>
      </c>
      <c r="VGE1">
        <f>Database!VGX1</f>
        <v>0</v>
      </c>
      <c r="VGF1">
        <f>Database!VGY1</f>
        <v>0</v>
      </c>
      <c r="VGG1">
        <f>Database!VGZ1</f>
        <v>0</v>
      </c>
      <c r="VGH1">
        <f>Database!VHA1</f>
        <v>0</v>
      </c>
      <c r="VGI1">
        <f>Database!VHB1</f>
        <v>0</v>
      </c>
      <c r="VGJ1">
        <f>Database!VHC1</f>
        <v>0</v>
      </c>
      <c r="VGK1">
        <f>Database!VHD1</f>
        <v>0</v>
      </c>
      <c r="VGL1">
        <f>Database!VHE1</f>
        <v>0</v>
      </c>
      <c r="VGM1">
        <f>Database!VHF1</f>
        <v>0</v>
      </c>
      <c r="VGN1">
        <f>Database!VHG1</f>
        <v>0</v>
      </c>
      <c r="VGO1">
        <f>Database!VHH1</f>
        <v>0</v>
      </c>
      <c r="VGP1">
        <f>Database!VHI1</f>
        <v>0</v>
      </c>
      <c r="VGQ1">
        <f>Database!VHJ1</f>
        <v>0</v>
      </c>
      <c r="VGR1">
        <f>Database!VHK1</f>
        <v>0</v>
      </c>
      <c r="VGS1">
        <f>Database!VHL1</f>
        <v>0</v>
      </c>
      <c r="VGT1">
        <f>Database!VHM1</f>
        <v>0</v>
      </c>
      <c r="VGU1">
        <f>Database!VHN1</f>
        <v>0</v>
      </c>
      <c r="VGV1">
        <f>Database!VHO1</f>
        <v>0</v>
      </c>
      <c r="VGW1">
        <f>Database!VHP1</f>
        <v>0</v>
      </c>
      <c r="VGX1">
        <f>Database!VHQ1</f>
        <v>0</v>
      </c>
      <c r="VGY1">
        <f>Database!VHR1</f>
        <v>0</v>
      </c>
      <c r="VGZ1">
        <f>Database!VHS1</f>
        <v>0</v>
      </c>
      <c r="VHA1">
        <f>Database!VHT1</f>
        <v>0</v>
      </c>
      <c r="VHB1">
        <f>Database!VHU1</f>
        <v>0</v>
      </c>
      <c r="VHC1">
        <f>Database!VHV1</f>
        <v>0</v>
      </c>
      <c r="VHD1">
        <f>Database!VHW1</f>
        <v>0</v>
      </c>
      <c r="VHE1">
        <f>Database!VHX1</f>
        <v>0</v>
      </c>
      <c r="VHF1">
        <f>Database!VHY1</f>
        <v>0</v>
      </c>
      <c r="VHG1">
        <f>Database!VHZ1</f>
        <v>0</v>
      </c>
      <c r="VHH1">
        <f>Database!VIA1</f>
        <v>0</v>
      </c>
      <c r="VHI1">
        <f>Database!VIB1</f>
        <v>0</v>
      </c>
      <c r="VHJ1">
        <f>Database!VIC1</f>
        <v>0</v>
      </c>
      <c r="VHK1">
        <f>Database!VID1</f>
        <v>0</v>
      </c>
      <c r="VHL1">
        <f>Database!VIE1</f>
        <v>0</v>
      </c>
      <c r="VHM1">
        <f>Database!VIF1</f>
        <v>0</v>
      </c>
      <c r="VHN1">
        <f>Database!VIG1</f>
        <v>0</v>
      </c>
      <c r="VHO1">
        <f>Database!VIH1</f>
        <v>0</v>
      </c>
      <c r="VHP1">
        <f>Database!VII1</f>
        <v>0</v>
      </c>
      <c r="VHQ1">
        <f>Database!VIJ1</f>
        <v>0</v>
      </c>
      <c r="VHR1">
        <f>Database!VIK1</f>
        <v>0</v>
      </c>
      <c r="VHS1">
        <f>Database!VIL1</f>
        <v>0</v>
      </c>
      <c r="VHT1">
        <f>Database!VIM1</f>
        <v>0</v>
      </c>
      <c r="VHU1">
        <f>Database!VIN1</f>
        <v>0</v>
      </c>
      <c r="VHV1">
        <f>Database!VIO1</f>
        <v>0</v>
      </c>
      <c r="VHW1">
        <f>Database!VIP1</f>
        <v>0</v>
      </c>
      <c r="VHX1">
        <f>Database!VIQ1</f>
        <v>0</v>
      </c>
      <c r="VHY1">
        <f>Database!VIR1</f>
        <v>0</v>
      </c>
      <c r="VHZ1">
        <f>Database!VIS1</f>
        <v>0</v>
      </c>
      <c r="VIA1">
        <f>Database!VIT1</f>
        <v>0</v>
      </c>
      <c r="VIB1">
        <f>Database!VIU1</f>
        <v>0</v>
      </c>
      <c r="VIC1">
        <f>Database!VIV1</f>
        <v>0</v>
      </c>
      <c r="VID1">
        <f>Database!VIW1</f>
        <v>0</v>
      </c>
      <c r="VIE1">
        <f>Database!VIX1</f>
        <v>0</v>
      </c>
      <c r="VIF1">
        <f>Database!VIY1</f>
        <v>0</v>
      </c>
      <c r="VIG1">
        <f>Database!VIZ1</f>
        <v>0</v>
      </c>
      <c r="VIH1">
        <f>Database!VJA1</f>
        <v>0</v>
      </c>
      <c r="VII1">
        <f>Database!VJB1</f>
        <v>0</v>
      </c>
      <c r="VIJ1">
        <f>Database!VJC1</f>
        <v>0</v>
      </c>
      <c r="VIK1">
        <f>Database!VJD1</f>
        <v>0</v>
      </c>
      <c r="VIL1">
        <f>Database!VJE1</f>
        <v>0</v>
      </c>
      <c r="VIM1">
        <f>Database!VJF1</f>
        <v>0</v>
      </c>
      <c r="VIN1">
        <f>Database!VJG1</f>
        <v>0</v>
      </c>
      <c r="VIO1">
        <f>Database!VJH1</f>
        <v>0</v>
      </c>
      <c r="VIP1">
        <f>Database!VJI1</f>
        <v>0</v>
      </c>
      <c r="VIQ1">
        <f>Database!VJJ1</f>
        <v>0</v>
      </c>
      <c r="VIR1">
        <f>Database!VJK1</f>
        <v>0</v>
      </c>
      <c r="VIS1">
        <f>Database!VJL1</f>
        <v>0</v>
      </c>
      <c r="VIT1">
        <f>Database!VJM1</f>
        <v>0</v>
      </c>
      <c r="VIU1">
        <f>Database!VJN1</f>
        <v>0</v>
      </c>
      <c r="VIV1">
        <f>Database!VJO1</f>
        <v>0</v>
      </c>
      <c r="VIW1">
        <f>Database!VJP1</f>
        <v>0</v>
      </c>
      <c r="VIX1">
        <f>Database!VJQ1</f>
        <v>0</v>
      </c>
      <c r="VIY1">
        <f>Database!VJR1</f>
        <v>0</v>
      </c>
      <c r="VIZ1">
        <f>Database!VJS1</f>
        <v>0</v>
      </c>
      <c r="VJA1">
        <f>Database!VJT1</f>
        <v>0</v>
      </c>
      <c r="VJB1">
        <f>Database!VJU1</f>
        <v>0</v>
      </c>
      <c r="VJC1">
        <f>Database!VJV1</f>
        <v>0</v>
      </c>
      <c r="VJD1">
        <f>Database!VJW1</f>
        <v>0</v>
      </c>
      <c r="VJE1">
        <f>Database!VJX1</f>
        <v>0</v>
      </c>
      <c r="VJF1">
        <f>Database!VJY1</f>
        <v>0</v>
      </c>
      <c r="VJG1">
        <f>Database!VJZ1</f>
        <v>0</v>
      </c>
      <c r="VJH1">
        <f>Database!VKA1</f>
        <v>0</v>
      </c>
      <c r="VJI1">
        <f>Database!VKB1</f>
        <v>0</v>
      </c>
      <c r="VJJ1">
        <f>Database!VKC1</f>
        <v>0</v>
      </c>
      <c r="VJK1">
        <f>Database!VKD1</f>
        <v>0</v>
      </c>
      <c r="VJL1">
        <f>Database!VKE1</f>
        <v>0</v>
      </c>
      <c r="VJM1">
        <f>Database!VKF1</f>
        <v>0</v>
      </c>
      <c r="VJN1">
        <f>Database!VKG1</f>
        <v>0</v>
      </c>
      <c r="VJO1">
        <f>Database!VKH1</f>
        <v>0</v>
      </c>
      <c r="VJP1">
        <f>Database!VKI1</f>
        <v>0</v>
      </c>
      <c r="VJQ1">
        <f>Database!VKJ1</f>
        <v>0</v>
      </c>
      <c r="VJR1">
        <f>Database!VKK1</f>
        <v>0</v>
      </c>
      <c r="VJS1">
        <f>Database!VKL1</f>
        <v>0</v>
      </c>
      <c r="VJT1">
        <f>Database!VKM1</f>
        <v>0</v>
      </c>
      <c r="VJU1">
        <f>Database!VKN1</f>
        <v>0</v>
      </c>
      <c r="VJV1">
        <f>Database!VKO1</f>
        <v>0</v>
      </c>
      <c r="VJW1">
        <f>Database!VKP1</f>
        <v>0</v>
      </c>
      <c r="VJX1">
        <f>Database!VKQ1</f>
        <v>0</v>
      </c>
      <c r="VJY1">
        <f>Database!VKR1</f>
        <v>0</v>
      </c>
      <c r="VJZ1">
        <f>Database!VKS1</f>
        <v>0</v>
      </c>
      <c r="VKA1">
        <f>Database!VKT1</f>
        <v>0</v>
      </c>
      <c r="VKB1">
        <f>Database!VKU1</f>
        <v>0</v>
      </c>
      <c r="VKC1">
        <f>Database!VKV1</f>
        <v>0</v>
      </c>
      <c r="VKD1">
        <f>Database!VKW1</f>
        <v>0</v>
      </c>
      <c r="VKE1">
        <f>Database!VKX1</f>
        <v>0</v>
      </c>
      <c r="VKF1">
        <f>Database!VKY1</f>
        <v>0</v>
      </c>
      <c r="VKG1">
        <f>Database!VKZ1</f>
        <v>0</v>
      </c>
      <c r="VKH1">
        <f>Database!VLA1</f>
        <v>0</v>
      </c>
      <c r="VKI1">
        <f>Database!VLB1</f>
        <v>0</v>
      </c>
      <c r="VKJ1">
        <f>Database!VLC1</f>
        <v>0</v>
      </c>
      <c r="VKK1">
        <f>Database!VLD1</f>
        <v>0</v>
      </c>
      <c r="VKL1">
        <f>Database!VLE1</f>
        <v>0</v>
      </c>
      <c r="VKM1">
        <f>Database!VLF1</f>
        <v>0</v>
      </c>
      <c r="VKN1">
        <f>Database!VLG1</f>
        <v>0</v>
      </c>
      <c r="VKO1">
        <f>Database!VLH1</f>
        <v>0</v>
      </c>
      <c r="VKP1">
        <f>Database!VLI1</f>
        <v>0</v>
      </c>
      <c r="VKQ1">
        <f>Database!VLJ1</f>
        <v>0</v>
      </c>
      <c r="VKR1">
        <f>Database!VLK1</f>
        <v>0</v>
      </c>
      <c r="VKS1">
        <f>Database!VLL1</f>
        <v>0</v>
      </c>
      <c r="VKT1">
        <f>Database!VLM1</f>
        <v>0</v>
      </c>
      <c r="VKU1">
        <f>Database!VLN1</f>
        <v>0</v>
      </c>
      <c r="VKV1">
        <f>Database!VLO1</f>
        <v>0</v>
      </c>
      <c r="VKW1">
        <f>Database!VLP1</f>
        <v>0</v>
      </c>
      <c r="VKX1">
        <f>Database!VLQ1</f>
        <v>0</v>
      </c>
      <c r="VKY1">
        <f>Database!VLR1</f>
        <v>0</v>
      </c>
      <c r="VKZ1">
        <f>Database!VLS1</f>
        <v>0</v>
      </c>
      <c r="VLA1">
        <f>Database!VLT1</f>
        <v>0</v>
      </c>
      <c r="VLB1">
        <f>Database!VLU1</f>
        <v>0</v>
      </c>
      <c r="VLC1">
        <f>Database!VLV1</f>
        <v>0</v>
      </c>
      <c r="VLD1">
        <f>Database!VLW1</f>
        <v>0</v>
      </c>
      <c r="VLE1">
        <f>Database!VLX1</f>
        <v>0</v>
      </c>
      <c r="VLF1">
        <f>Database!VLY1</f>
        <v>0</v>
      </c>
      <c r="VLG1">
        <f>Database!VLZ1</f>
        <v>0</v>
      </c>
      <c r="VLH1">
        <f>Database!VMA1</f>
        <v>0</v>
      </c>
      <c r="VLI1">
        <f>Database!VMB1</f>
        <v>0</v>
      </c>
      <c r="VLJ1">
        <f>Database!VMC1</f>
        <v>0</v>
      </c>
      <c r="VLK1">
        <f>Database!VMD1</f>
        <v>0</v>
      </c>
      <c r="VLL1">
        <f>Database!VME1</f>
        <v>0</v>
      </c>
      <c r="VLM1">
        <f>Database!VMF1</f>
        <v>0</v>
      </c>
      <c r="VLN1">
        <f>Database!VMG1</f>
        <v>0</v>
      </c>
      <c r="VLO1">
        <f>Database!VMH1</f>
        <v>0</v>
      </c>
      <c r="VLP1">
        <f>Database!VMI1</f>
        <v>0</v>
      </c>
      <c r="VLQ1">
        <f>Database!VMJ1</f>
        <v>0</v>
      </c>
      <c r="VLR1">
        <f>Database!VMK1</f>
        <v>0</v>
      </c>
      <c r="VLS1">
        <f>Database!VML1</f>
        <v>0</v>
      </c>
      <c r="VLT1">
        <f>Database!VMM1</f>
        <v>0</v>
      </c>
      <c r="VLU1">
        <f>Database!VMN1</f>
        <v>0</v>
      </c>
      <c r="VLV1">
        <f>Database!VMO1</f>
        <v>0</v>
      </c>
      <c r="VLW1">
        <f>Database!VMP1</f>
        <v>0</v>
      </c>
      <c r="VLX1">
        <f>Database!VMQ1</f>
        <v>0</v>
      </c>
      <c r="VLY1">
        <f>Database!VMR1</f>
        <v>0</v>
      </c>
      <c r="VLZ1">
        <f>Database!VMS1</f>
        <v>0</v>
      </c>
      <c r="VMA1">
        <f>Database!VMT1</f>
        <v>0</v>
      </c>
      <c r="VMB1">
        <f>Database!VMU1</f>
        <v>0</v>
      </c>
      <c r="VMC1">
        <f>Database!VMV1</f>
        <v>0</v>
      </c>
      <c r="VMD1">
        <f>Database!VMW1</f>
        <v>0</v>
      </c>
      <c r="VME1">
        <f>Database!VMX1</f>
        <v>0</v>
      </c>
      <c r="VMF1">
        <f>Database!VMY1</f>
        <v>0</v>
      </c>
      <c r="VMG1">
        <f>Database!VMZ1</f>
        <v>0</v>
      </c>
      <c r="VMH1">
        <f>Database!VNA1</f>
        <v>0</v>
      </c>
      <c r="VMI1">
        <f>Database!VNB1</f>
        <v>0</v>
      </c>
      <c r="VMJ1">
        <f>Database!VNC1</f>
        <v>0</v>
      </c>
      <c r="VMK1">
        <f>Database!VND1</f>
        <v>0</v>
      </c>
      <c r="VML1">
        <f>Database!VNE1</f>
        <v>0</v>
      </c>
      <c r="VMM1">
        <f>Database!VNF1</f>
        <v>0</v>
      </c>
      <c r="VMN1">
        <f>Database!VNG1</f>
        <v>0</v>
      </c>
      <c r="VMO1">
        <f>Database!VNH1</f>
        <v>0</v>
      </c>
      <c r="VMP1">
        <f>Database!VNI1</f>
        <v>0</v>
      </c>
      <c r="VMQ1">
        <f>Database!VNJ1</f>
        <v>0</v>
      </c>
      <c r="VMR1">
        <f>Database!VNK1</f>
        <v>0</v>
      </c>
      <c r="VMS1">
        <f>Database!VNL1</f>
        <v>0</v>
      </c>
      <c r="VMT1">
        <f>Database!VNM1</f>
        <v>0</v>
      </c>
      <c r="VMU1">
        <f>Database!VNN1</f>
        <v>0</v>
      </c>
      <c r="VMV1">
        <f>Database!VNO1</f>
        <v>0</v>
      </c>
      <c r="VMW1">
        <f>Database!VNP1</f>
        <v>0</v>
      </c>
      <c r="VMX1">
        <f>Database!VNQ1</f>
        <v>0</v>
      </c>
      <c r="VMY1">
        <f>Database!VNR1</f>
        <v>0</v>
      </c>
      <c r="VMZ1">
        <f>Database!VNS1</f>
        <v>0</v>
      </c>
      <c r="VNA1">
        <f>Database!VNT1</f>
        <v>0</v>
      </c>
      <c r="VNB1">
        <f>Database!VNU1</f>
        <v>0</v>
      </c>
      <c r="VNC1">
        <f>Database!VNV1</f>
        <v>0</v>
      </c>
      <c r="VND1">
        <f>Database!VNW1</f>
        <v>0</v>
      </c>
      <c r="VNE1">
        <f>Database!VNX1</f>
        <v>0</v>
      </c>
      <c r="VNF1">
        <f>Database!VNY1</f>
        <v>0</v>
      </c>
      <c r="VNG1">
        <f>Database!VNZ1</f>
        <v>0</v>
      </c>
      <c r="VNH1">
        <f>Database!VOA1</f>
        <v>0</v>
      </c>
      <c r="VNI1">
        <f>Database!VOB1</f>
        <v>0</v>
      </c>
      <c r="VNJ1">
        <f>Database!VOC1</f>
        <v>0</v>
      </c>
      <c r="VNK1">
        <f>Database!VOD1</f>
        <v>0</v>
      </c>
      <c r="VNL1">
        <f>Database!VOE1</f>
        <v>0</v>
      </c>
      <c r="VNM1">
        <f>Database!VOF1</f>
        <v>0</v>
      </c>
      <c r="VNN1">
        <f>Database!VOG1</f>
        <v>0</v>
      </c>
      <c r="VNO1">
        <f>Database!VOH1</f>
        <v>0</v>
      </c>
      <c r="VNP1">
        <f>Database!VOI1</f>
        <v>0</v>
      </c>
      <c r="VNQ1">
        <f>Database!VOJ1</f>
        <v>0</v>
      </c>
      <c r="VNR1">
        <f>Database!VOK1</f>
        <v>0</v>
      </c>
      <c r="VNS1">
        <f>Database!VOL1</f>
        <v>0</v>
      </c>
      <c r="VNT1">
        <f>Database!VOM1</f>
        <v>0</v>
      </c>
      <c r="VNU1">
        <f>Database!VON1</f>
        <v>0</v>
      </c>
      <c r="VNV1">
        <f>Database!VOO1</f>
        <v>0</v>
      </c>
      <c r="VNW1">
        <f>Database!VOP1</f>
        <v>0</v>
      </c>
      <c r="VNX1">
        <f>Database!VOQ1</f>
        <v>0</v>
      </c>
      <c r="VNY1">
        <f>Database!VOR1</f>
        <v>0</v>
      </c>
      <c r="VNZ1">
        <f>Database!VOS1</f>
        <v>0</v>
      </c>
      <c r="VOA1">
        <f>Database!VOT1</f>
        <v>0</v>
      </c>
      <c r="VOB1">
        <f>Database!VOU1</f>
        <v>0</v>
      </c>
      <c r="VOC1">
        <f>Database!VOV1</f>
        <v>0</v>
      </c>
      <c r="VOD1">
        <f>Database!VOW1</f>
        <v>0</v>
      </c>
      <c r="VOE1">
        <f>Database!VOX1</f>
        <v>0</v>
      </c>
      <c r="VOF1">
        <f>Database!VOY1</f>
        <v>0</v>
      </c>
      <c r="VOG1">
        <f>Database!VOZ1</f>
        <v>0</v>
      </c>
      <c r="VOH1">
        <f>Database!VPA1</f>
        <v>0</v>
      </c>
      <c r="VOI1">
        <f>Database!VPB1</f>
        <v>0</v>
      </c>
      <c r="VOJ1">
        <f>Database!VPC1</f>
        <v>0</v>
      </c>
      <c r="VOK1">
        <f>Database!VPD1</f>
        <v>0</v>
      </c>
      <c r="VOL1">
        <f>Database!VPE1</f>
        <v>0</v>
      </c>
      <c r="VOM1">
        <f>Database!VPF1</f>
        <v>0</v>
      </c>
      <c r="VON1">
        <f>Database!VPG1</f>
        <v>0</v>
      </c>
      <c r="VOO1">
        <f>Database!VPH1</f>
        <v>0</v>
      </c>
      <c r="VOP1">
        <f>Database!VPI1</f>
        <v>0</v>
      </c>
      <c r="VOQ1">
        <f>Database!VPJ1</f>
        <v>0</v>
      </c>
      <c r="VOR1">
        <f>Database!VPK1</f>
        <v>0</v>
      </c>
      <c r="VOS1">
        <f>Database!VPL1</f>
        <v>0</v>
      </c>
      <c r="VOT1">
        <f>Database!VPM1</f>
        <v>0</v>
      </c>
      <c r="VOU1">
        <f>Database!VPN1</f>
        <v>0</v>
      </c>
      <c r="VOV1">
        <f>Database!VPO1</f>
        <v>0</v>
      </c>
      <c r="VOW1">
        <f>Database!VPP1</f>
        <v>0</v>
      </c>
      <c r="VOX1">
        <f>Database!VPQ1</f>
        <v>0</v>
      </c>
      <c r="VOY1">
        <f>Database!VPR1</f>
        <v>0</v>
      </c>
      <c r="VOZ1">
        <f>Database!VPS1</f>
        <v>0</v>
      </c>
      <c r="VPA1">
        <f>Database!VPT1</f>
        <v>0</v>
      </c>
      <c r="VPB1">
        <f>Database!VPU1</f>
        <v>0</v>
      </c>
      <c r="VPC1">
        <f>Database!VPV1</f>
        <v>0</v>
      </c>
      <c r="VPD1">
        <f>Database!VPW1</f>
        <v>0</v>
      </c>
      <c r="VPE1">
        <f>Database!VPX1</f>
        <v>0</v>
      </c>
      <c r="VPF1">
        <f>Database!VPY1</f>
        <v>0</v>
      </c>
      <c r="VPG1">
        <f>Database!VPZ1</f>
        <v>0</v>
      </c>
      <c r="VPH1">
        <f>Database!VQA1</f>
        <v>0</v>
      </c>
      <c r="VPI1">
        <f>Database!VQB1</f>
        <v>0</v>
      </c>
      <c r="VPJ1">
        <f>Database!VQC1</f>
        <v>0</v>
      </c>
      <c r="VPK1">
        <f>Database!VQD1</f>
        <v>0</v>
      </c>
      <c r="VPL1">
        <f>Database!VQE1</f>
        <v>0</v>
      </c>
      <c r="VPM1">
        <f>Database!VQF1</f>
        <v>0</v>
      </c>
      <c r="VPN1">
        <f>Database!VQG1</f>
        <v>0</v>
      </c>
      <c r="VPO1">
        <f>Database!VQH1</f>
        <v>0</v>
      </c>
      <c r="VPP1">
        <f>Database!VQI1</f>
        <v>0</v>
      </c>
      <c r="VPQ1">
        <f>Database!VQJ1</f>
        <v>0</v>
      </c>
      <c r="VPR1">
        <f>Database!VQK1</f>
        <v>0</v>
      </c>
      <c r="VPS1">
        <f>Database!VQL1</f>
        <v>0</v>
      </c>
      <c r="VPT1">
        <f>Database!VQM1</f>
        <v>0</v>
      </c>
      <c r="VPU1">
        <f>Database!VQN1</f>
        <v>0</v>
      </c>
      <c r="VPV1">
        <f>Database!VQO1</f>
        <v>0</v>
      </c>
      <c r="VPW1">
        <f>Database!VQP1</f>
        <v>0</v>
      </c>
      <c r="VPX1">
        <f>Database!VQQ1</f>
        <v>0</v>
      </c>
      <c r="VPY1">
        <f>Database!VQR1</f>
        <v>0</v>
      </c>
      <c r="VPZ1">
        <f>Database!VQS1</f>
        <v>0</v>
      </c>
      <c r="VQA1">
        <f>Database!VQT1</f>
        <v>0</v>
      </c>
      <c r="VQB1">
        <f>Database!VQU1</f>
        <v>0</v>
      </c>
      <c r="VQC1">
        <f>Database!VQV1</f>
        <v>0</v>
      </c>
      <c r="VQD1">
        <f>Database!VQW1</f>
        <v>0</v>
      </c>
      <c r="VQE1">
        <f>Database!VQX1</f>
        <v>0</v>
      </c>
      <c r="VQF1">
        <f>Database!VQY1</f>
        <v>0</v>
      </c>
      <c r="VQG1">
        <f>Database!VQZ1</f>
        <v>0</v>
      </c>
      <c r="VQH1">
        <f>Database!VRA1</f>
        <v>0</v>
      </c>
      <c r="VQI1">
        <f>Database!VRB1</f>
        <v>0</v>
      </c>
      <c r="VQJ1">
        <f>Database!VRC1</f>
        <v>0</v>
      </c>
      <c r="VQK1">
        <f>Database!VRD1</f>
        <v>0</v>
      </c>
      <c r="VQL1">
        <f>Database!VRE1</f>
        <v>0</v>
      </c>
      <c r="VQM1">
        <f>Database!VRF1</f>
        <v>0</v>
      </c>
      <c r="VQN1">
        <f>Database!VRG1</f>
        <v>0</v>
      </c>
      <c r="VQO1">
        <f>Database!VRH1</f>
        <v>0</v>
      </c>
      <c r="VQP1">
        <f>Database!VRI1</f>
        <v>0</v>
      </c>
      <c r="VQQ1">
        <f>Database!VRJ1</f>
        <v>0</v>
      </c>
      <c r="VQR1">
        <f>Database!VRK1</f>
        <v>0</v>
      </c>
      <c r="VQS1">
        <f>Database!VRL1</f>
        <v>0</v>
      </c>
      <c r="VQT1">
        <f>Database!VRM1</f>
        <v>0</v>
      </c>
      <c r="VQU1">
        <f>Database!VRN1</f>
        <v>0</v>
      </c>
      <c r="VQV1">
        <f>Database!VRO1</f>
        <v>0</v>
      </c>
      <c r="VQW1">
        <f>Database!VRP1</f>
        <v>0</v>
      </c>
      <c r="VQX1">
        <f>Database!VRQ1</f>
        <v>0</v>
      </c>
      <c r="VQY1">
        <f>Database!VRR1</f>
        <v>0</v>
      </c>
      <c r="VQZ1">
        <f>Database!VRS1</f>
        <v>0</v>
      </c>
      <c r="VRA1">
        <f>Database!VRT1</f>
        <v>0</v>
      </c>
      <c r="VRB1">
        <f>Database!VRU1</f>
        <v>0</v>
      </c>
      <c r="VRC1">
        <f>Database!VRV1</f>
        <v>0</v>
      </c>
      <c r="VRD1">
        <f>Database!VRW1</f>
        <v>0</v>
      </c>
      <c r="VRE1">
        <f>Database!VRX1</f>
        <v>0</v>
      </c>
      <c r="VRF1">
        <f>Database!VRY1</f>
        <v>0</v>
      </c>
      <c r="VRG1">
        <f>Database!VRZ1</f>
        <v>0</v>
      </c>
      <c r="VRH1">
        <f>Database!VSA1</f>
        <v>0</v>
      </c>
      <c r="VRI1">
        <f>Database!VSB1</f>
        <v>0</v>
      </c>
      <c r="VRJ1">
        <f>Database!VSC1</f>
        <v>0</v>
      </c>
      <c r="VRK1">
        <f>Database!VSD1</f>
        <v>0</v>
      </c>
      <c r="VRL1">
        <f>Database!VSE1</f>
        <v>0</v>
      </c>
      <c r="VRM1">
        <f>Database!VSF1</f>
        <v>0</v>
      </c>
      <c r="VRN1">
        <f>Database!VSG1</f>
        <v>0</v>
      </c>
      <c r="VRO1">
        <f>Database!VSH1</f>
        <v>0</v>
      </c>
      <c r="VRP1">
        <f>Database!VSI1</f>
        <v>0</v>
      </c>
      <c r="VRQ1">
        <f>Database!VSJ1</f>
        <v>0</v>
      </c>
      <c r="VRR1">
        <f>Database!VSK1</f>
        <v>0</v>
      </c>
      <c r="VRS1">
        <f>Database!VSL1</f>
        <v>0</v>
      </c>
      <c r="VRT1">
        <f>Database!VSM1</f>
        <v>0</v>
      </c>
      <c r="VRU1">
        <f>Database!VSN1</f>
        <v>0</v>
      </c>
      <c r="VRV1">
        <f>Database!VSO1</f>
        <v>0</v>
      </c>
      <c r="VRW1">
        <f>Database!VSP1</f>
        <v>0</v>
      </c>
      <c r="VRX1">
        <f>Database!VSQ1</f>
        <v>0</v>
      </c>
      <c r="VRY1">
        <f>Database!VSR1</f>
        <v>0</v>
      </c>
      <c r="VRZ1">
        <f>Database!VSS1</f>
        <v>0</v>
      </c>
      <c r="VSA1">
        <f>Database!VST1</f>
        <v>0</v>
      </c>
      <c r="VSB1">
        <f>Database!VSU1</f>
        <v>0</v>
      </c>
      <c r="VSC1">
        <f>Database!VSV1</f>
        <v>0</v>
      </c>
      <c r="VSD1">
        <f>Database!VSW1</f>
        <v>0</v>
      </c>
      <c r="VSE1">
        <f>Database!VSX1</f>
        <v>0</v>
      </c>
      <c r="VSF1">
        <f>Database!VSY1</f>
        <v>0</v>
      </c>
      <c r="VSG1">
        <f>Database!VSZ1</f>
        <v>0</v>
      </c>
      <c r="VSH1">
        <f>Database!VTA1</f>
        <v>0</v>
      </c>
      <c r="VSI1">
        <f>Database!VTB1</f>
        <v>0</v>
      </c>
      <c r="VSJ1">
        <f>Database!VTC1</f>
        <v>0</v>
      </c>
      <c r="VSK1">
        <f>Database!VTD1</f>
        <v>0</v>
      </c>
      <c r="VSL1">
        <f>Database!VTE1</f>
        <v>0</v>
      </c>
      <c r="VSM1">
        <f>Database!VTF1</f>
        <v>0</v>
      </c>
      <c r="VSN1">
        <f>Database!VTG1</f>
        <v>0</v>
      </c>
      <c r="VSO1">
        <f>Database!VTH1</f>
        <v>0</v>
      </c>
      <c r="VSP1">
        <f>Database!VTI1</f>
        <v>0</v>
      </c>
      <c r="VSQ1">
        <f>Database!VTJ1</f>
        <v>0</v>
      </c>
      <c r="VSR1">
        <f>Database!VTK1</f>
        <v>0</v>
      </c>
      <c r="VSS1">
        <f>Database!VTL1</f>
        <v>0</v>
      </c>
      <c r="VST1">
        <f>Database!VTM1</f>
        <v>0</v>
      </c>
      <c r="VSU1">
        <f>Database!VTN1</f>
        <v>0</v>
      </c>
      <c r="VSV1">
        <f>Database!VTO1</f>
        <v>0</v>
      </c>
      <c r="VSW1">
        <f>Database!VTP1</f>
        <v>0</v>
      </c>
      <c r="VSX1">
        <f>Database!VTQ1</f>
        <v>0</v>
      </c>
      <c r="VSY1">
        <f>Database!VTR1</f>
        <v>0</v>
      </c>
      <c r="VSZ1">
        <f>Database!VTS1</f>
        <v>0</v>
      </c>
      <c r="VTA1">
        <f>Database!VTT1</f>
        <v>0</v>
      </c>
      <c r="VTB1">
        <f>Database!VTU1</f>
        <v>0</v>
      </c>
      <c r="VTC1">
        <f>Database!VTV1</f>
        <v>0</v>
      </c>
      <c r="VTD1">
        <f>Database!VTW1</f>
        <v>0</v>
      </c>
      <c r="VTE1">
        <f>Database!VTX1</f>
        <v>0</v>
      </c>
      <c r="VTF1">
        <f>Database!VTY1</f>
        <v>0</v>
      </c>
      <c r="VTG1">
        <f>Database!VTZ1</f>
        <v>0</v>
      </c>
      <c r="VTH1">
        <f>Database!VUA1</f>
        <v>0</v>
      </c>
      <c r="VTI1">
        <f>Database!VUB1</f>
        <v>0</v>
      </c>
      <c r="VTJ1">
        <f>Database!VUC1</f>
        <v>0</v>
      </c>
      <c r="VTK1">
        <f>Database!VUD1</f>
        <v>0</v>
      </c>
      <c r="VTL1">
        <f>Database!VUE1</f>
        <v>0</v>
      </c>
      <c r="VTM1">
        <f>Database!VUF1</f>
        <v>0</v>
      </c>
      <c r="VTN1">
        <f>Database!VUG1</f>
        <v>0</v>
      </c>
      <c r="VTO1">
        <f>Database!VUH1</f>
        <v>0</v>
      </c>
      <c r="VTP1">
        <f>Database!VUI1</f>
        <v>0</v>
      </c>
      <c r="VTQ1">
        <f>Database!VUJ1</f>
        <v>0</v>
      </c>
      <c r="VTR1">
        <f>Database!VUK1</f>
        <v>0</v>
      </c>
      <c r="VTS1">
        <f>Database!VUL1</f>
        <v>0</v>
      </c>
      <c r="VTT1">
        <f>Database!VUM1</f>
        <v>0</v>
      </c>
      <c r="VTU1">
        <f>Database!VUN1</f>
        <v>0</v>
      </c>
      <c r="VTV1">
        <f>Database!VUO1</f>
        <v>0</v>
      </c>
      <c r="VTW1">
        <f>Database!VUP1</f>
        <v>0</v>
      </c>
      <c r="VTX1">
        <f>Database!VUQ1</f>
        <v>0</v>
      </c>
      <c r="VTY1">
        <f>Database!VUR1</f>
        <v>0</v>
      </c>
      <c r="VTZ1">
        <f>Database!VUS1</f>
        <v>0</v>
      </c>
      <c r="VUA1">
        <f>Database!VUT1</f>
        <v>0</v>
      </c>
      <c r="VUB1">
        <f>Database!VUU1</f>
        <v>0</v>
      </c>
      <c r="VUC1">
        <f>Database!VUV1</f>
        <v>0</v>
      </c>
      <c r="VUD1">
        <f>Database!VUW1</f>
        <v>0</v>
      </c>
      <c r="VUE1">
        <f>Database!VUX1</f>
        <v>0</v>
      </c>
      <c r="VUF1">
        <f>Database!VUY1</f>
        <v>0</v>
      </c>
      <c r="VUG1">
        <f>Database!VUZ1</f>
        <v>0</v>
      </c>
      <c r="VUH1">
        <f>Database!VVA1</f>
        <v>0</v>
      </c>
      <c r="VUI1">
        <f>Database!VVB1</f>
        <v>0</v>
      </c>
      <c r="VUJ1">
        <f>Database!VVC1</f>
        <v>0</v>
      </c>
      <c r="VUK1">
        <f>Database!VVD1</f>
        <v>0</v>
      </c>
      <c r="VUL1">
        <f>Database!VVE1</f>
        <v>0</v>
      </c>
      <c r="VUM1">
        <f>Database!VVF1</f>
        <v>0</v>
      </c>
      <c r="VUN1">
        <f>Database!VVG1</f>
        <v>0</v>
      </c>
      <c r="VUO1">
        <f>Database!VVH1</f>
        <v>0</v>
      </c>
      <c r="VUP1">
        <f>Database!VVI1</f>
        <v>0</v>
      </c>
      <c r="VUQ1">
        <f>Database!VVJ1</f>
        <v>0</v>
      </c>
      <c r="VUR1">
        <f>Database!VVK1</f>
        <v>0</v>
      </c>
      <c r="VUS1">
        <f>Database!VVL1</f>
        <v>0</v>
      </c>
      <c r="VUT1">
        <f>Database!VVM1</f>
        <v>0</v>
      </c>
      <c r="VUU1">
        <f>Database!VVN1</f>
        <v>0</v>
      </c>
      <c r="VUV1">
        <f>Database!VVO1</f>
        <v>0</v>
      </c>
      <c r="VUW1">
        <f>Database!VVP1</f>
        <v>0</v>
      </c>
      <c r="VUX1">
        <f>Database!VVQ1</f>
        <v>0</v>
      </c>
      <c r="VUY1">
        <f>Database!VVR1</f>
        <v>0</v>
      </c>
      <c r="VUZ1">
        <f>Database!VVS1</f>
        <v>0</v>
      </c>
      <c r="VVA1">
        <f>Database!VVT1</f>
        <v>0</v>
      </c>
      <c r="VVB1">
        <f>Database!VVU1</f>
        <v>0</v>
      </c>
      <c r="VVC1">
        <f>Database!VVV1</f>
        <v>0</v>
      </c>
      <c r="VVD1">
        <f>Database!VVW1</f>
        <v>0</v>
      </c>
      <c r="VVE1">
        <f>Database!VVX1</f>
        <v>0</v>
      </c>
      <c r="VVF1">
        <f>Database!VVY1</f>
        <v>0</v>
      </c>
      <c r="VVG1">
        <f>Database!VVZ1</f>
        <v>0</v>
      </c>
      <c r="VVH1">
        <f>Database!VWA1</f>
        <v>0</v>
      </c>
      <c r="VVI1">
        <f>Database!VWB1</f>
        <v>0</v>
      </c>
      <c r="VVJ1">
        <f>Database!VWC1</f>
        <v>0</v>
      </c>
      <c r="VVK1">
        <f>Database!VWD1</f>
        <v>0</v>
      </c>
      <c r="VVL1">
        <f>Database!VWE1</f>
        <v>0</v>
      </c>
      <c r="VVM1">
        <f>Database!VWF1</f>
        <v>0</v>
      </c>
      <c r="VVN1">
        <f>Database!VWG1</f>
        <v>0</v>
      </c>
      <c r="VVO1">
        <f>Database!VWH1</f>
        <v>0</v>
      </c>
      <c r="VVP1">
        <f>Database!VWI1</f>
        <v>0</v>
      </c>
      <c r="VVQ1">
        <f>Database!VWJ1</f>
        <v>0</v>
      </c>
      <c r="VVR1">
        <f>Database!VWK1</f>
        <v>0</v>
      </c>
      <c r="VVS1">
        <f>Database!VWL1</f>
        <v>0</v>
      </c>
      <c r="VVT1">
        <f>Database!VWM1</f>
        <v>0</v>
      </c>
      <c r="VVU1">
        <f>Database!VWN1</f>
        <v>0</v>
      </c>
      <c r="VVV1">
        <f>Database!VWO1</f>
        <v>0</v>
      </c>
      <c r="VVW1">
        <f>Database!VWP1</f>
        <v>0</v>
      </c>
      <c r="VVX1">
        <f>Database!VWQ1</f>
        <v>0</v>
      </c>
      <c r="VVY1">
        <f>Database!VWR1</f>
        <v>0</v>
      </c>
      <c r="VVZ1">
        <f>Database!VWS1</f>
        <v>0</v>
      </c>
      <c r="VWA1">
        <f>Database!VWT1</f>
        <v>0</v>
      </c>
      <c r="VWB1">
        <f>Database!VWU1</f>
        <v>0</v>
      </c>
      <c r="VWC1">
        <f>Database!VWV1</f>
        <v>0</v>
      </c>
      <c r="VWD1">
        <f>Database!VWW1</f>
        <v>0</v>
      </c>
      <c r="VWE1">
        <f>Database!VWX1</f>
        <v>0</v>
      </c>
      <c r="VWF1">
        <f>Database!VWY1</f>
        <v>0</v>
      </c>
      <c r="VWG1">
        <f>Database!VWZ1</f>
        <v>0</v>
      </c>
      <c r="VWH1">
        <f>Database!VXA1</f>
        <v>0</v>
      </c>
      <c r="VWI1">
        <f>Database!VXB1</f>
        <v>0</v>
      </c>
      <c r="VWJ1">
        <f>Database!VXC1</f>
        <v>0</v>
      </c>
      <c r="VWK1">
        <f>Database!VXD1</f>
        <v>0</v>
      </c>
      <c r="VWL1">
        <f>Database!VXE1</f>
        <v>0</v>
      </c>
      <c r="VWM1">
        <f>Database!VXF1</f>
        <v>0</v>
      </c>
      <c r="VWN1">
        <f>Database!VXG1</f>
        <v>0</v>
      </c>
      <c r="VWO1">
        <f>Database!VXH1</f>
        <v>0</v>
      </c>
      <c r="VWP1">
        <f>Database!VXI1</f>
        <v>0</v>
      </c>
      <c r="VWQ1">
        <f>Database!VXJ1</f>
        <v>0</v>
      </c>
      <c r="VWR1">
        <f>Database!VXK1</f>
        <v>0</v>
      </c>
      <c r="VWS1">
        <f>Database!VXL1</f>
        <v>0</v>
      </c>
      <c r="VWT1">
        <f>Database!VXM1</f>
        <v>0</v>
      </c>
      <c r="VWU1">
        <f>Database!VXN1</f>
        <v>0</v>
      </c>
      <c r="VWV1">
        <f>Database!VXO1</f>
        <v>0</v>
      </c>
      <c r="VWW1">
        <f>Database!VXP1</f>
        <v>0</v>
      </c>
      <c r="VWX1">
        <f>Database!VXQ1</f>
        <v>0</v>
      </c>
      <c r="VWY1">
        <f>Database!VXR1</f>
        <v>0</v>
      </c>
      <c r="VWZ1">
        <f>Database!VXS1</f>
        <v>0</v>
      </c>
      <c r="VXA1">
        <f>Database!VXT1</f>
        <v>0</v>
      </c>
      <c r="VXB1">
        <f>Database!VXU1</f>
        <v>0</v>
      </c>
      <c r="VXC1">
        <f>Database!VXV1</f>
        <v>0</v>
      </c>
      <c r="VXD1">
        <f>Database!VXW1</f>
        <v>0</v>
      </c>
      <c r="VXE1">
        <f>Database!VXX1</f>
        <v>0</v>
      </c>
      <c r="VXF1">
        <f>Database!VXY1</f>
        <v>0</v>
      </c>
      <c r="VXG1">
        <f>Database!VXZ1</f>
        <v>0</v>
      </c>
      <c r="VXH1">
        <f>Database!VYA1</f>
        <v>0</v>
      </c>
      <c r="VXI1">
        <f>Database!VYB1</f>
        <v>0</v>
      </c>
      <c r="VXJ1">
        <f>Database!VYC1</f>
        <v>0</v>
      </c>
      <c r="VXK1">
        <f>Database!VYD1</f>
        <v>0</v>
      </c>
      <c r="VXL1">
        <f>Database!VYE1</f>
        <v>0</v>
      </c>
      <c r="VXM1">
        <f>Database!VYF1</f>
        <v>0</v>
      </c>
      <c r="VXN1">
        <f>Database!VYG1</f>
        <v>0</v>
      </c>
      <c r="VXO1">
        <f>Database!VYH1</f>
        <v>0</v>
      </c>
      <c r="VXP1">
        <f>Database!VYI1</f>
        <v>0</v>
      </c>
      <c r="VXQ1">
        <f>Database!VYJ1</f>
        <v>0</v>
      </c>
      <c r="VXR1">
        <f>Database!VYK1</f>
        <v>0</v>
      </c>
      <c r="VXS1">
        <f>Database!VYL1</f>
        <v>0</v>
      </c>
      <c r="VXT1">
        <f>Database!VYM1</f>
        <v>0</v>
      </c>
      <c r="VXU1">
        <f>Database!VYN1</f>
        <v>0</v>
      </c>
      <c r="VXV1">
        <f>Database!VYO1</f>
        <v>0</v>
      </c>
      <c r="VXW1">
        <f>Database!VYP1</f>
        <v>0</v>
      </c>
      <c r="VXX1">
        <f>Database!VYQ1</f>
        <v>0</v>
      </c>
      <c r="VXY1">
        <f>Database!VYR1</f>
        <v>0</v>
      </c>
      <c r="VXZ1">
        <f>Database!VYS1</f>
        <v>0</v>
      </c>
      <c r="VYA1">
        <f>Database!VYT1</f>
        <v>0</v>
      </c>
      <c r="VYB1">
        <f>Database!VYU1</f>
        <v>0</v>
      </c>
      <c r="VYC1">
        <f>Database!VYV1</f>
        <v>0</v>
      </c>
      <c r="VYD1">
        <f>Database!VYW1</f>
        <v>0</v>
      </c>
      <c r="VYE1">
        <f>Database!VYX1</f>
        <v>0</v>
      </c>
      <c r="VYF1">
        <f>Database!VYY1</f>
        <v>0</v>
      </c>
      <c r="VYG1">
        <f>Database!VYZ1</f>
        <v>0</v>
      </c>
      <c r="VYH1">
        <f>Database!VZA1</f>
        <v>0</v>
      </c>
      <c r="VYI1">
        <f>Database!VZB1</f>
        <v>0</v>
      </c>
      <c r="VYJ1">
        <f>Database!VZC1</f>
        <v>0</v>
      </c>
      <c r="VYK1">
        <f>Database!VZD1</f>
        <v>0</v>
      </c>
      <c r="VYL1">
        <f>Database!VZE1</f>
        <v>0</v>
      </c>
      <c r="VYM1">
        <f>Database!VZF1</f>
        <v>0</v>
      </c>
      <c r="VYN1">
        <f>Database!VZG1</f>
        <v>0</v>
      </c>
      <c r="VYO1">
        <f>Database!VZH1</f>
        <v>0</v>
      </c>
      <c r="VYP1">
        <f>Database!VZI1</f>
        <v>0</v>
      </c>
      <c r="VYQ1">
        <f>Database!VZJ1</f>
        <v>0</v>
      </c>
      <c r="VYR1">
        <f>Database!VZK1</f>
        <v>0</v>
      </c>
      <c r="VYS1">
        <f>Database!VZL1</f>
        <v>0</v>
      </c>
      <c r="VYT1">
        <f>Database!VZM1</f>
        <v>0</v>
      </c>
      <c r="VYU1">
        <f>Database!VZN1</f>
        <v>0</v>
      </c>
      <c r="VYV1">
        <f>Database!VZO1</f>
        <v>0</v>
      </c>
      <c r="VYW1">
        <f>Database!VZP1</f>
        <v>0</v>
      </c>
      <c r="VYX1">
        <f>Database!VZQ1</f>
        <v>0</v>
      </c>
      <c r="VYY1">
        <f>Database!VZR1</f>
        <v>0</v>
      </c>
      <c r="VYZ1">
        <f>Database!VZS1</f>
        <v>0</v>
      </c>
      <c r="VZA1">
        <f>Database!VZT1</f>
        <v>0</v>
      </c>
      <c r="VZB1">
        <f>Database!VZU1</f>
        <v>0</v>
      </c>
      <c r="VZC1">
        <f>Database!VZV1</f>
        <v>0</v>
      </c>
      <c r="VZD1">
        <f>Database!VZW1</f>
        <v>0</v>
      </c>
      <c r="VZE1">
        <f>Database!VZX1</f>
        <v>0</v>
      </c>
      <c r="VZF1">
        <f>Database!VZY1</f>
        <v>0</v>
      </c>
      <c r="VZG1">
        <f>Database!VZZ1</f>
        <v>0</v>
      </c>
      <c r="VZH1">
        <f>Database!WAA1</f>
        <v>0</v>
      </c>
      <c r="VZI1">
        <f>Database!WAB1</f>
        <v>0</v>
      </c>
      <c r="VZJ1">
        <f>Database!WAC1</f>
        <v>0</v>
      </c>
      <c r="VZK1">
        <f>Database!WAD1</f>
        <v>0</v>
      </c>
      <c r="VZL1">
        <f>Database!WAE1</f>
        <v>0</v>
      </c>
      <c r="VZM1">
        <f>Database!WAF1</f>
        <v>0</v>
      </c>
      <c r="VZN1">
        <f>Database!WAG1</f>
        <v>0</v>
      </c>
      <c r="VZO1">
        <f>Database!WAH1</f>
        <v>0</v>
      </c>
      <c r="VZP1">
        <f>Database!WAI1</f>
        <v>0</v>
      </c>
      <c r="VZQ1">
        <f>Database!WAJ1</f>
        <v>0</v>
      </c>
      <c r="VZR1">
        <f>Database!WAK1</f>
        <v>0</v>
      </c>
      <c r="VZS1">
        <f>Database!WAL1</f>
        <v>0</v>
      </c>
      <c r="VZT1">
        <f>Database!WAM1</f>
        <v>0</v>
      </c>
      <c r="VZU1">
        <f>Database!WAN1</f>
        <v>0</v>
      </c>
      <c r="VZV1">
        <f>Database!WAO1</f>
        <v>0</v>
      </c>
      <c r="VZW1">
        <f>Database!WAP1</f>
        <v>0</v>
      </c>
      <c r="VZX1">
        <f>Database!WAQ1</f>
        <v>0</v>
      </c>
      <c r="VZY1">
        <f>Database!WAR1</f>
        <v>0</v>
      </c>
      <c r="VZZ1">
        <f>Database!WAS1</f>
        <v>0</v>
      </c>
      <c r="WAA1">
        <f>Database!WAT1</f>
        <v>0</v>
      </c>
      <c r="WAB1">
        <f>Database!WAU1</f>
        <v>0</v>
      </c>
      <c r="WAC1">
        <f>Database!WAV1</f>
        <v>0</v>
      </c>
      <c r="WAD1">
        <f>Database!WAW1</f>
        <v>0</v>
      </c>
      <c r="WAE1">
        <f>Database!WAX1</f>
        <v>0</v>
      </c>
      <c r="WAF1">
        <f>Database!WAY1</f>
        <v>0</v>
      </c>
      <c r="WAG1">
        <f>Database!WAZ1</f>
        <v>0</v>
      </c>
      <c r="WAH1">
        <f>Database!WBA1</f>
        <v>0</v>
      </c>
      <c r="WAI1">
        <f>Database!WBB1</f>
        <v>0</v>
      </c>
      <c r="WAJ1">
        <f>Database!WBC1</f>
        <v>0</v>
      </c>
      <c r="WAK1">
        <f>Database!WBD1</f>
        <v>0</v>
      </c>
      <c r="WAL1">
        <f>Database!WBE1</f>
        <v>0</v>
      </c>
      <c r="WAM1">
        <f>Database!WBF1</f>
        <v>0</v>
      </c>
      <c r="WAN1">
        <f>Database!WBG1</f>
        <v>0</v>
      </c>
      <c r="WAO1">
        <f>Database!WBH1</f>
        <v>0</v>
      </c>
      <c r="WAP1">
        <f>Database!WBI1</f>
        <v>0</v>
      </c>
      <c r="WAQ1">
        <f>Database!WBJ1</f>
        <v>0</v>
      </c>
      <c r="WAR1">
        <f>Database!WBK1</f>
        <v>0</v>
      </c>
      <c r="WAS1">
        <f>Database!WBL1</f>
        <v>0</v>
      </c>
      <c r="WAT1">
        <f>Database!WBM1</f>
        <v>0</v>
      </c>
      <c r="WAU1">
        <f>Database!WBN1</f>
        <v>0</v>
      </c>
      <c r="WAV1">
        <f>Database!WBO1</f>
        <v>0</v>
      </c>
      <c r="WAW1">
        <f>Database!WBP1</f>
        <v>0</v>
      </c>
      <c r="WAX1">
        <f>Database!WBQ1</f>
        <v>0</v>
      </c>
      <c r="WAY1">
        <f>Database!WBR1</f>
        <v>0</v>
      </c>
      <c r="WAZ1">
        <f>Database!WBS1</f>
        <v>0</v>
      </c>
      <c r="WBA1">
        <f>Database!WBT1</f>
        <v>0</v>
      </c>
      <c r="WBB1">
        <f>Database!WBU1</f>
        <v>0</v>
      </c>
      <c r="WBC1">
        <f>Database!WBV1</f>
        <v>0</v>
      </c>
      <c r="WBD1">
        <f>Database!WBW1</f>
        <v>0</v>
      </c>
      <c r="WBE1">
        <f>Database!WBX1</f>
        <v>0</v>
      </c>
      <c r="WBF1">
        <f>Database!WBY1</f>
        <v>0</v>
      </c>
      <c r="WBG1">
        <f>Database!WBZ1</f>
        <v>0</v>
      </c>
      <c r="WBH1">
        <f>Database!WCA1</f>
        <v>0</v>
      </c>
      <c r="WBI1">
        <f>Database!WCB1</f>
        <v>0</v>
      </c>
      <c r="WBJ1">
        <f>Database!WCC1</f>
        <v>0</v>
      </c>
      <c r="WBK1">
        <f>Database!WCD1</f>
        <v>0</v>
      </c>
      <c r="WBL1">
        <f>Database!WCE1</f>
        <v>0</v>
      </c>
      <c r="WBM1">
        <f>Database!WCF1</f>
        <v>0</v>
      </c>
      <c r="WBN1">
        <f>Database!WCG1</f>
        <v>0</v>
      </c>
      <c r="WBO1">
        <f>Database!WCH1</f>
        <v>0</v>
      </c>
      <c r="WBP1">
        <f>Database!WCI1</f>
        <v>0</v>
      </c>
      <c r="WBQ1">
        <f>Database!WCJ1</f>
        <v>0</v>
      </c>
      <c r="WBR1">
        <f>Database!WCK1</f>
        <v>0</v>
      </c>
      <c r="WBS1">
        <f>Database!WCL1</f>
        <v>0</v>
      </c>
      <c r="WBT1">
        <f>Database!WCM1</f>
        <v>0</v>
      </c>
      <c r="WBU1">
        <f>Database!WCN1</f>
        <v>0</v>
      </c>
      <c r="WBV1">
        <f>Database!WCO1</f>
        <v>0</v>
      </c>
      <c r="WBW1">
        <f>Database!WCP1</f>
        <v>0</v>
      </c>
      <c r="WBX1">
        <f>Database!WCQ1</f>
        <v>0</v>
      </c>
      <c r="WBY1">
        <f>Database!WCR1</f>
        <v>0</v>
      </c>
      <c r="WBZ1">
        <f>Database!WCS1</f>
        <v>0</v>
      </c>
      <c r="WCA1">
        <f>Database!WCT1</f>
        <v>0</v>
      </c>
      <c r="WCB1">
        <f>Database!WCU1</f>
        <v>0</v>
      </c>
      <c r="WCC1">
        <f>Database!WCV1</f>
        <v>0</v>
      </c>
      <c r="WCD1">
        <f>Database!WCW1</f>
        <v>0</v>
      </c>
      <c r="WCE1">
        <f>Database!WCX1</f>
        <v>0</v>
      </c>
      <c r="WCF1">
        <f>Database!WCY1</f>
        <v>0</v>
      </c>
      <c r="WCG1">
        <f>Database!WCZ1</f>
        <v>0</v>
      </c>
      <c r="WCH1">
        <f>Database!WDA1</f>
        <v>0</v>
      </c>
      <c r="WCI1">
        <f>Database!WDB1</f>
        <v>0</v>
      </c>
      <c r="WCJ1">
        <f>Database!WDC1</f>
        <v>0</v>
      </c>
      <c r="WCK1">
        <f>Database!WDD1</f>
        <v>0</v>
      </c>
      <c r="WCL1">
        <f>Database!WDE1</f>
        <v>0</v>
      </c>
      <c r="WCM1">
        <f>Database!WDF1</f>
        <v>0</v>
      </c>
      <c r="WCN1">
        <f>Database!WDG1</f>
        <v>0</v>
      </c>
      <c r="WCO1">
        <f>Database!WDH1</f>
        <v>0</v>
      </c>
      <c r="WCP1">
        <f>Database!WDI1</f>
        <v>0</v>
      </c>
      <c r="WCQ1">
        <f>Database!WDJ1</f>
        <v>0</v>
      </c>
      <c r="WCR1">
        <f>Database!WDK1</f>
        <v>0</v>
      </c>
      <c r="WCS1">
        <f>Database!WDL1</f>
        <v>0</v>
      </c>
      <c r="WCT1">
        <f>Database!WDM1</f>
        <v>0</v>
      </c>
      <c r="WCU1">
        <f>Database!WDN1</f>
        <v>0</v>
      </c>
      <c r="WCV1">
        <f>Database!WDO1</f>
        <v>0</v>
      </c>
      <c r="WCW1">
        <f>Database!WDP1</f>
        <v>0</v>
      </c>
      <c r="WCX1">
        <f>Database!WDQ1</f>
        <v>0</v>
      </c>
      <c r="WCY1">
        <f>Database!WDR1</f>
        <v>0</v>
      </c>
      <c r="WCZ1">
        <f>Database!WDS1</f>
        <v>0</v>
      </c>
      <c r="WDA1">
        <f>Database!WDT1</f>
        <v>0</v>
      </c>
      <c r="WDB1">
        <f>Database!WDU1</f>
        <v>0</v>
      </c>
      <c r="WDC1">
        <f>Database!WDV1</f>
        <v>0</v>
      </c>
      <c r="WDD1">
        <f>Database!WDW1</f>
        <v>0</v>
      </c>
      <c r="WDE1">
        <f>Database!WDX1</f>
        <v>0</v>
      </c>
      <c r="WDF1">
        <f>Database!WDY1</f>
        <v>0</v>
      </c>
      <c r="WDG1">
        <f>Database!WDZ1</f>
        <v>0</v>
      </c>
      <c r="WDH1">
        <f>Database!WEA1</f>
        <v>0</v>
      </c>
      <c r="WDI1">
        <f>Database!WEB1</f>
        <v>0</v>
      </c>
      <c r="WDJ1">
        <f>Database!WEC1</f>
        <v>0</v>
      </c>
      <c r="WDK1">
        <f>Database!WED1</f>
        <v>0</v>
      </c>
      <c r="WDL1">
        <f>Database!WEE1</f>
        <v>0</v>
      </c>
      <c r="WDM1">
        <f>Database!WEF1</f>
        <v>0</v>
      </c>
      <c r="WDN1">
        <f>Database!WEG1</f>
        <v>0</v>
      </c>
      <c r="WDO1">
        <f>Database!WEH1</f>
        <v>0</v>
      </c>
      <c r="WDP1">
        <f>Database!WEI1</f>
        <v>0</v>
      </c>
      <c r="WDQ1">
        <f>Database!WEJ1</f>
        <v>0</v>
      </c>
      <c r="WDR1">
        <f>Database!WEK1</f>
        <v>0</v>
      </c>
      <c r="WDS1">
        <f>Database!WEL1</f>
        <v>0</v>
      </c>
      <c r="WDT1">
        <f>Database!WEM1</f>
        <v>0</v>
      </c>
      <c r="WDU1">
        <f>Database!WEN1</f>
        <v>0</v>
      </c>
      <c r="WDV1">
        <f>Database!WEO1</f>
        <v>0</v>
      </c>
      <c r="WDW1">
        <f>Database!WEP1</f>
        <v>0</v>
      </c>
      <c r="WDX1">
        <f>Database!WEQ1</f>
        <v>0</v>
      </c>
      <c r="WDY1">
        <f>Database!WER1</f>
        <v>0</v>
      </c>
      <c r="WDZ1">
        <f>Database!WES1</f>
        <v>0</v>
      </c>
      <c r="WEA1">
        <f>Database!WET1</f>
        <v>0</v>
      </c>
      <c r="WEB1">
        <f>Database!WEU1</f>
        <v>0</v>
      </c>
      <c r="WEC1">
        <f>Database!WEV1</f>
        <v>0</v>
      </c>
      <c r="WED1">
        <f>Database!WEW1</f>
        <v>0</v>
      </c>
      <c r="WEE1">
        <f>Database!WEX1</f>
        <v>0</v>
      </c>
      <c r="WEF1">
        <f>Database!WEY1</f>
        <v>0</v>
      </c>
      <c r="WEG1">
        <f>Database!WEZ1</f>
        <v>0</v>
      </c>
      <c r="WEH1">
        <f>Database!WFA1</f>
        <v>0</v>
      </c>
      <c r="WEI1">
        <f>Database!WFB1</f>
        <v>0</v>
      </c>
      <c r="WEJ1">
        <f>Database!WFC1</f>
        <v>0</v>
      </c>
      <c r="WEK1">
        <f>Database!WFD1</f>
        <v>0</v>
      </c>
      <c r="WEL1">
        <f>Database!WFE1</f>
        <v>0</v>
      </c>
      <c r="WEM1">
        <f>Database!WFF1</f>
        <v>0</v>
      </c>
      <c r="WEN1">
        <f>Database!WFG1</f>
        <v>0</v>
      </c>
      <c r="WEO1">
        <f>Database!WFH1</f>
        <v>0</v>
      </c>
      <c r="WEP1">
        <f>Database!WFI1</f>
        <v>0</v>
      </c>
      <c r="WEQ1">
        <f>Database!WFJ1</f>
        <v>0</v>
      </c>
      <c r="WER1">
        <f>Database!WFK1</f>
        <v>0</v>
      </c>
      <c r="WES1">
        <f>Database!WFL1</f>
        <v>0</v>
      </c>
      <c r="WET1">
        <f>Database!WFM1</f>
        <v>0</v>
      </c>
      <c r="WEU1">
        <f>Database!WFN1</f>
        <v>0</v>
      </c>
      <c r="WEV1">
        <f>Database!WFO1</f>
        <v>0</v>
      </c>
      <c r="WEW1">
        <f>Database!WFP1</f>
        <v>0</v>
      </c>
      <c r="WEX1">
        <f>Database!WFQ1</f>
        <v>0</v>
      </c>
      <c r="WEY1">
        <f>Database!WFR1</f>
        <v>0</v>
      </c>
      <c r="WEZ1">
        <f>Database!WFS1</f>
        <v>0</v>
      </c>
      <c r="WFA1">
        <f>Database!WFT1</f>
        <v>0</v>
      </c>
      <c r="WFB1">
        <f>Database!WFU1</f>
        <v>0</v>
      </c>
      <c r="WFC1">
        <f>Database!WFV1</f>
        <v>0</v>
      </c>
      <c r="WFD1">
        <f>Database!WFW1</f>
        <v>0</v>
      </c>
      <c r="WFE1">
        <f>Database!WFX1</f>
        <v>0</v>
      </c>
      <c r="WFF1">
        <f>Database!WFY1</f>
        <v>0</v>
      </c>
      <c r="WFG1">
        <f>Database!WFZ1</f>
        <v>0</v>
      </c>
      <c r="WFH1">
        <f>Database!WGA1</f>
        <v>0</v>
      </c>
      <c r="WFI1">
        <f>Database!WGB1</f>
        <v>0</v>
      </c>
      <c r="WFJ1">
        <f>Database!WGC1</f>
        <v>0</v>
      </c>
      <c r="WFK1">
        <f>Database!WGD1</f>
        <v>0</v>
      </c>
      <c r="WFL1">
        <f>Database!WGE1</f>
        <v>0</v>
      </c>
      <c r="WFM1">
        <f>Database!WGF1</f>
        <v>0</v>
      </c>
      <c r="WFN1">
        <f>Database!WGG1</f>
        <v>0</v>
      </c>
      <c r="WFO1">
        <f>Database!WGH1</f>
        <v>0</v>
      </c>
      <c r="WFP1">
        <f>Database!WGI1</f>
        <v>0</v>
      </c>
      <c r="WFQ1">
        <f>Database!WGJ1</f>
        <v>0</v>
      </c>
      <c r="WFR1">
        <f>Database!WGK1</f>
        <v>0</v>
      </c>
      <c r="WFS1">
        <f>Database!WGL1</f>
        <v>0</v>
      </c>
      <c r="WFT1">
        <f>Database!WGM1</f>
        <v>0</v>
      </c>
      <c r="WFU1">
        <f>Database!WGN1</f>
        <v>0</v>
      </c>
      <c r="WFV1">
        <f>Database!WGO1</f>
        <v>0</v>
      </c>
      <c r="WFW1">
        <f>Database!WGP1</f>
        <v>0</v>
      </c>
      <c r="WFX1">
        <f>Database!WGQ1</f>
        <v>0</v>
      </c>
      <c r="WFY1">
        <f>Database!WGR1</f>
        <v>0</v>
      </c>
      <c r="WFZ1">
        <f>Database!WGS1</f>
        <v>0</v>
      </c>
      <c r="WGA1">
        <f>Database!WGT1</f>
        <v>0</v>
      </c>
      <c r="WGB1">
        <f>Database!WGU1</f>
        <v>0</v>
      </c>
      <c r="WGC1">
        <f>Database!WGV1</f>
        <v>0</v>
      </c>
      <c r="WGD1">
        <f>Database!WGW1</f>
        <v>0</v>
      </c>
      <c r="WGE1">
        <f>Database!WGX1</f>
        <v>0</v>
      </c>
      <c r="WGF1">
        <f>Database!WGY1</f>
        <v>0</v>
      </c>
      <c r="WGG1">
        <f>Database!WGZ1</f>
        <v>0</v>
      </c>
      <c r="WGH1">
        <f>Database!WHA1</f>
        <v>0</v>
      </c>
      <c r="WGI1">
        <f>Database!WHB1</f>
        <v>0</v>
      </c>
      <c r="WGJ1">
        <f>Database!WHC1</f>
        <v>0</v>
      </c>
      <c r="WGK1">
        <f>Database!WHD1</f>
        <v>0</v>
      </c>
      <c r="WGL1">
        <f>Database!WHE1</f>
        <v>0</v>
      </c>
      <c r="WGM1">
        <f>Database!WHF1</f>
        <v>0</v>
      </c>
      <c r="WGN1">
        <f>Database!WHG1</f>
        <v>0</v>
      </c>
      <c r="WGO1">
        <f>Database!WHH1</f>
        <v>0</v>
      </c>
      <c r="WGP1">
        <f>Database!WHI1</f>
        <v>0</v>
      </c>
      <c r="WGQ1">
        <f>Database!WHJ1</f>
        <v>0</v>
      </c>
      <c r="WGR1">
        <f>Database!WHK1</f>
        <v>0</v>
      </c>
      <c r="WGS1">
        <f>Database!WHL1</f>
        <v>0</v>
      </c>
      <c r="WGT1">
        <f>Database!WHM1</f>
        <v>0</v>
      </c>
      <c r="WGU1">
        <f>Database!WHN1</f>
        <v>0</v>
      </c>
      <c r="WGV1">
        <f>Database!WHO1</f>
        <v>0</v>
      </c>
      <c r="WGW1">
        <f>Database!WHP1</f>
        <v>0</v>
      </c>
      <c r="WGX1">
        <f>Database!WHQ1</f>
        <v>0</v>
      </c>
      <c r="WGY1">
        <f>Database!WHR1</f>
        <v>0</v>
      </c>
      <c r="WGZ1">
        <f>Database!WHS1</f>
        <v>0</v>
      </c>
      <c r="WHA1">
        <f>Database!WHT1</f>
        <v>0</v>
      </c>
      <c r="WHB1">
        <f>Database!WHU1</f>
        <v>0</v>
      </c>
      <c r="WHC1">
        <f>Database!WHV1</f>
        <v>0</v>
      </c>
      <c r="WHD1">
        <f>Database!WHW1</f>
        <v>0</v>
      </c>
      <c r="WHE1">
        <f>Database!WHX1</f>
        <v>0</v>
      </c>
      <c r="WHF1">
        <f>Database!WHY1</f>
        <v>0</v>
      </c>
      <c r="WHG1">
        <f>Database!WHZ1</f>
        <v>0</v>
      </c>
      <c r="WHH1">
        <f>Database!WIA1</f>
        <v>0</v>
      </c>
      <c r="WHI1">
        <f>Database!WIB1</f>
        <v>0</v>
      </c>
      <c r="WHJ1">
        <f>Database!WIC1</f>
        <v>0</v>
      </c>
      <c r="WHK1">
        <f>Database!WID1</f>
        <v>0</v>
      </c>
      <c r="WHL1">
        <f>Database!WIE1</f>
        <v>0</v>
      </c>
      <c r="WHM1">
        <f>Database!WIF1</f>
        <v>0</v>
      </c>
      <c r="WHN1">
        <f>Database!WIG1</f>
        <v>0</v>
      </c>
      <c r="WHO1">
        <f>Database!WIH1</f>
        <v>0</v>
      </c>
      <c r="WHP1">
        <f>Database!WII1</f>
        <v>0</v>
      </c>
      <c r="WHQ1">
        <f>Database!WIJ1</f>
        <v>0</v>
      </c>
      <c r="WHR1">
        <f>Database!WIK1</f>
        <v>0</v>
      </c>
      <c r="WHS1">
        <f>Database!WIL1</f>
        <v>0</v>
      </c>
      <c r="WHT1">
        <f>Database!WIM1</f>
        <v>0</v>
      </c>
      <c r="WHU1">
        <f>Database!WIN1</f>
        <v>0</v>
      </c>
      <c r="WHV1">
        <f>Database!WIO1</f>
        <v>0</v>
      </c>
      <c r="WHW1">
        <f>Database!WIP1</f>
        <v>0</v>
      </c>
      <c r="WHX1">
        <f>Database!WIQ1</f>
        <v>0</v>
      </c>
      <c r="WHY1">
        <f>Database!WIR1</f>
        <v>0</v>
      </c>
      <c r="WHZ1">
        <f>Database!WIS1</f>
        <v>0</v>
      </c>
      <c r="WIA1">
        <f>Database!WIT1</f>
        <v>0</v>
      </c>
      <c r="WIB1">
        <f>Database!WIU1</f>
        <v>0</v>
      </c>
      <c r="WIC1">
        <f>Database!WIV1</f>
        <v>0</v>
      </c>
      <c r="WID1">
        <f>Database!WIW1</f>
        <v>0</v>
      </c>
      <c r="WIE1">
        <f>Database!WIX1</f>
        <v>0</v>
      </c>
      <c r="WIF1">
        <f>Database!WIY1</f>
        <v>0</v>
      </c>
      <c r="WIG1">
        <f>Database!WIZ1</f>
        <v>0</v>
      </c>
      <c r="WIH1">
        <f>Database!WJA1</f>
        <v>0</v>
      </c>
      <c r="WII1">
        <f>Database!WJB1</f>
        <v>0</v>
      </c>
      <c r="WIJ1">
        <f>Database!WJC1</f>
        <v>0</v>
      </c>
      <c r="WIK1">
        <f>Database!WJD1</f>
        <v>0</v>
      </c>
      <c r="WIL1">
        <f>Database!WJE1</f>
        <v>0</v>
      </c>
      <c r="WIM1">
        <f>Database!WJF1</f>
        <v>0</v>
      </c>
      <c r="WIN1">
        <f>Database!WJG1</f>
        <v>0</v>
      </c>
      <c r="WIO1">
        <f>Database!WJH1</f>
        <v>0</v>
      </c>
      <c r="WIP1">
        <f>Database!WJI1</f>
        <v>0</v>
      </c>
      <c r="WIQ1">
        <f>Database!WJJ1</f>
        <v>0</v>
      </c>
      <c r="WIR1">
        <f>Database!WJK1</f>
        <v>0</v>
      </c>
      <c r="WIS1">
        <f>Database!WJL1</f>
        <v>0</v>
      </c>
      <c r="WIT1">
        <f>Database!WJM1</f>
        <v>0</v>
      </c>
      <c r="WIU1">
        <f>Database!WJN1</f>
        <v>0</v>
      </c>
      <c r="WIV1">
        <f>Database!WJO1</f>
        <v>0</v>
      </c>
      <c r="WIW1">
        <f>Database!WJP1</f>
        <v>0</v>
      </c>
      <c r="WIX1">
        <f>Database!WJQ1</f>
        <v>0</v>
      </c>
      <c r="WIY1">
        <f>Database!WJR1</f>
        <v>0</v>
      </c>
      <c r="WIZ1">
        <f>Database!WJS1</f>
        <v>0</v>
      </c>
      <c r="WJA1">
        <f>Database!WJT1</f>
        <v>0</v>
      </c>
      <c r="WJB1">
        <f>Database!WJU1</f>
        <v>0</v>
      </c>
      <c r="WJC1">
        <f>Database!WJV1</f>
        <v>0</v>
      </c>
      <c r="WJD1">
        <f>Database!WJW1</f>
        <v>0</v>
      </c>
      <c r="WJE1">
        <f>Database!WJX1</f>
        <v>0</v>
      </c>
      <c r="WJF1">
        <f>Database!WJY1</f>
        <v>0</v>
      </c>
      <c r="WJG1">
        <f>Database!WJZ1</f>
        <v>0</v>
      </c>
      <c r="WJH1">
        <f>Database!WKA1</f>
        <v>0</v>
      </c>
      <c r="WJI1">
        <f>Database!WKB1</f>
        <v>0</v>
      </c>
      <c r="WJJ1">
        <f>Database!WKC1</f>
        <v>0</v>
      </c>
      <c r="WJK1">
        <f>Database!WKD1</f>
        <v>0</v>
      </c>
      <c r="WJL1">
        <f>Database!WKE1</f>
        <v>0</v>
      </c>
      <c r="WJM1">
        <f>Database!WKF1</f>
        <v>0</v>
      </c>
      <c r="WJN1">
        <f>Database!WKG1</f>
        <v>0</v>
      </c>
      <c r="WJO1">
        <f>Database!WKH1</f>
        <v>0</v>
      </c>
      <c r="WJP1">
        <f>Database!WKI1</f>
        <v>0</v>
      </c>
      <c r="WJQ1">
        <f>Database!WKJ1</f>
        <v>0</v>
      </c>
      <c r="WJR1">
        <f>Database!WKK1</f>
        <v>0</v>
      </c>
      <c r="WJS1">
        <f>Database!WKL1</f>
        <v>0</v>
      </c>
      <c r="WJT1">
        <f>Database!WKM1</f>
        <v>0</v>
      </c>
      <c r="WJU1">
        <f>Database!WKN1</f>
        <v>0</v>
      </c>
      <c r="WJV1">
        <f>Database!WKO1</f>
        <v>0</v>
      </c>
      <c r="WJW1">
        <f>Database!WKP1</f>
        <v>0</v>
      </c>
      <c r="WJX1">
        <f>Database!WKQ1</f>
        <v>0</v>
      </c>
      <c r="WJY1">
        <f>Database!WKR1</f>
        <v>0</v>
      </c>
      <c r="WJZ1">
        <f>Database!WKS1</f>
        <v>0</v>
      </c>
      <c r="WKA1">
        <f>Database!WKT1</f>
        <v>0</v>
      </c>
      <c r="WKB1">
        <f>Database!WKU1</f>
        <v>0</v>
      </c>
      <c r="WKC1">
        <f>Database!WKV1</f>
        <v>0</v>
      </c>
      <c r="WKD1">
        <f>Database!WKW1</f>
        <v>0</v>
      </c>
      <c r="WKE1">
        <f>Database!WKX1</f>
        <v>0</v>
      </c>
      <c r="WKF1">
        <f>Database!WKY1</f>
        <v>0</v>
      </c>
      <c r="WKG1">
        <f>Database!WKZ1</f>
        <v>0</v>
      </c>
      <c r="WKH1">
        <f>Database!WLA1</f>
        <v>0</v>
      </c>
      <c r="WKI1">
        <f>Database!WLB1</f>
        <v>0</v>
      </c>
      <c r="WKJ1">
        <f>Database!WLC1</f>
        <v>0</v>
      </c>
      <c r="WKK1">
        <f>Database!WLD1</f>
        <v>0</v>
      </c>
      <c r="WKL1">
        <f>Database!WLE1</f>
        <v>0</v>
      </c>
      <c r="WKM1">
        <f>Database!WLF1</f>
        <v>0</v>
      </c>
      <c r="WKN1">
        <f>Database!WLG1</f>
        <v>0</v>
      </c>
      <c r="WKO1">
        <f>Database!WLH1</f>
        <v>0</v>
      </c>
      <c r="WKP1">
        <f>Database!WLI1</f>
        <v>0</v>
      </c>
      <c r="WKQ1">
        <f>Database!WLJ1</f>
        <v>0</v>
      </c>
      <c r="WKR1">
        <f>Database!WLK1</f>
        <v>0</v>
      </c>
      <c r="WKS1">
        <f>Database!WLL1</f>
        <v>0</v>
      </c>
      <c r="WKT1">
        <f>Database!WLM1</f>
        <v>0</v>
      </c>
      <c r="WKU1">
        <f>Database!WLN1</f>
        <v>0</v>
      </c>
      <c r="WKV1">
        <f>Database!WLO1</f>
        <v>0</v>
      </c>
      <c r="WKW1">
        <f>Database!WLP1</f>
        <v>0</v>
      </c>
      <c r="WKX1">
        <f>Database!WLQ1</f>
        <v>0</v>
      </c>
      <c r="WKY1">
        <f>Database!WLR1</f>
        <v>0</v>
      </c>
      <c r="WKZ1">
        <f>Database!WLS1</f>
        <v>0</v>
      </c>
      <c r="WLA1">
        <f>Database!WLT1</f>
        <v>0</v>
      </c>
      <c r="WLB1">
        <f>Database!WLU1</f>
        <v>0</v>
      </c>
      <c r="WLC1">
        <f>Database!WLV1</f>
        <v>0</v>
      </c>
      <c r="WLD1">
        <f>Database!WLW1</f>
        <v>0</v>
      </c>
      <c r="WLE1">
        <f>Database!WLX1</f>
        <v>0</v>
      </c>
      <c r="WLF1">
        <f>Database!WLY1</f>
        <v>0</v>
      </c>
      <c r="WLG1">
        <f>Database!WLZ1</f>
        <v>0</v>
      </c>
      <c r="WLH1">
        <f>Database!WMA1</f>
        <v>0</v>
      </c>
      <c r="WLI1">
        <f>Database!WMB1</f>
        <v>0</v>
      </c>
      <c r="WLJ1">
        <f>Database!WMC1</f>
        <v>0</v>
      </c>
      <c r="WLK1">
        <f>Database!WMD1</f>
        <v>0</v>
      </c>
      <c r="WLL1">
        <f>Database!WME1</f>
        <v>0</v>
      </c>
      <c r="WLM1">
        <f>Database!WMF1</f>
        <v>0</v>
      </c>
      <c r="WLN1">
        <f>Database!WMG1</f>
        <v>0</v>
      </c>
      <c r="WLO1">
        <f>Database!WMH1</f>
        <v>0</v>
      </c>
      <c r="WLP1">
        <f>Database!WMI1</f>
        <v>0</v>
      </c>
      <c r="WLQ1">
        <f>Database!WMJ1</f>
        <v>0</v>
      </c>
      <c r="WLR1">
        <f>Database!WMK1</f>
        <v>0</v>
      </c>
      <c r="WLS1">
        <f>Database!WML1</f>
        <v>0</v>
      </c>
      <c r="WLT1">
        <f>Database!WMM1</f>
        <v>0</v>
      </c>
      <c r="WLU1">
        <f>Database!WMN1</f>
        <v>0</v>
      </c>
      <c r="WLV1">
        <f>Database!WMO1</f>
        <v>0</v>
      </c>
      <c r="WLW1">
        <f>Database!WMP1</f>
        <v>0</v>
      </c>
      <c r="WLX1">
        <f>Database!WMQ1</f>
        <v>0</v>
      </c>
      <c r="WLY1">
        <f>Database!WMR1</f>
        <v>0</v>
      </c>
      <c r="WLZ1">
        <f>Database!WMS1</f>
        <v>0</v>
      </c>
      <c r="WMA1">
        <f>Database!WMT1</f>
        <v>0</v>
      </c>
      <c r="WMB1">
        <f>Database!WMU1</f>
        <v>0</v>
      </c>
      <c r="WMC1">
        <f>Database!WMV1</f>
        <v>0</v>
      </c>
      <c r="WMD1">
        <f>Database!WMW1</f>
        <v>0</v>
      </c>
      <c r="WME1">
        <f>Database!WMX1</f>
        <v>0</v>
      </c>
      <c r="WMF1">
        <f>Database!WMY1</f>
        <v>0</v>
      </c>
      <c r="WMG1">
        <f>Database!WMZ1</f>
        <v>0</v>
      </c>
      <c r="WMH1">
        <f>Database!WNA1</f>
        <v>0</v>
      </c>
      <c r="WMI1">
        <f>Database!WNB1</f>
        <v>0</v>
      </c>
      <c r="WMJ1">
        <f>Database!WNC1</f>
        <v>0</v>
      </c>
      <c r="WMK1">
        <f>Database!WND1</f>
        <v>0</v>
      </c>
      <c r="WML1">
        <f>Database!WNE1</f>
        <v>0</v>
      </c>
      <c r="WMM1">
        <f>Database!WNF1</f>
        <v>0</v>
      </c>
      <c r="WMN1">
        <f>Database!WNG1</f>
        <v>0</v>
      </c>
      <c r="WMO1">
        <f>Database!WNH1</f>
        <v>0</v>
      </c>
      <c r="WMP1">
        <f>Database!WNI1</f>
        <v>0</v>
      </c>
      <c r="WMQ1">
        <f>Database!WNJ1</f>
        <v>0</v>
      </c>
      <c r="WMR1">
        <f>Database!WNK1</f>
        <v>0</v>
      </c>
      <c r="WMS1">
        <f>Database!WNL1</f>
        <v>0</v>
      </c>
      <c r="WMT1">
        <f>Database!WNM1</f>
        <v>0</v>
      </c>
      <c r="WMU1">
        <f>Database!WNN1</f>
        <v>0</v>
      </c>
      <c r="WMV1">
        <f>Database!WNO1</f>
        <v>0</v>
      </c>
      <c r="WMW1">
        <f>Database!WNP1</f>
        <v>0</v>
      </c>
      <c r="WMX1">
        <f>Database!WNQ1</f>
        <v>0</v>
      </c>
      <c r="WMY1">
        <f>Database!WNR1</f>
        <v>0</v>
      </c>
      <c r="WMZ1">
        <f>Database!WNS1</f>
        <v>0</v>
      </c>
      <c r="WNA1">
        <f>Database!WNT1</f>
        <v>0</v>
      </c>
      <c r="WNB1">
        <f>Database!WNU1</f>
        <v>0</v>
      </c>
      <c r="WNC1">
        <f>Database!WNV1</f>
        <v>0</v>
      </c>
      <c r="WND1">
        <f>Database!WNW1</f>
        <v>0</v>
      </c>
      <c r="WNE1">
        <f>Database!WNX1</f>
        <v>0</v>
      </c>
      <c r="WNF1">
        <f>Database!WNY1</f>
        <v>0</v>
      </c>
      <c r="WNG1">
        <f>Database!WNZ1</f>
        <v>0</v>
      </c>
      <c r="WNH1">
        <f>Database!WOA1</f>
        <v>0</v>
      </c>
      <c r="WNI1">
        <f>Database!WOB1</f>
        <v>0</v>
      </c>
      <c r="WNJ1">
        <f>Database!WOC1</f>
        <v>0</v>
      </c>
      <c r="WNK1">
        <f>Database!WOD1</f>
        <v>0</v>
      </c>
      <c r="WNL1">
        <f>Database!WOE1</f>
        <v>0</v>
      </c>
      <c r="WNM1">
        <f>Database!WOF1</f>
        <v>0</v>
      </c>
      <c r="WNN1">
        <f>Database!WOG1</f>
        <v>0</v>
      </c>
      <c r="WNO1">
        <f>Database!WOH1</f>
        <v>0</v>
      </c>
      <c r="WNP1">
        <f>Database!WOI1</f>
        <v>0</v>
      </c>
      <c r="WNQ1">
        <f>Database!WOJ1</f>
        <v>0</v>
      </c>
      <c r="WNR1">
        <f>Database!WOK1</f>
        <v>0</v>
      </c>
      <c r="WNS1">
        <f>Database!WOL1</f>
        <v>0</v>
      </c>
      <c r="WNT1">
        <f>Database!WOM1</f>
        <v>0</v>
      </c>
      <c r="WNU1">
        <f>Database!WON1</f>
        <v>0</v>
      </c>
      <c r="WNV1">
        <f>Database!WOO1</f>
        <v>0</v>
      </c>
      <c r="WNW1">
        <f>Database!WOP1</f>
        <v>0</v>
      </c>
      <c r="WNX1">
        <f>Database!WOQ1</f>
        <v>0</v>
      </c>
      <c r="WNY1">
        <f>Database!WOR1</f>
        <v>0</v>
      </c>
      <c r="WNZ1">
        <f>Database!WOS1</f>
        <v>0</v>
      </c>
      <c r="WOA1">
        <f>Database!WOT1</f>
        <v>0</v>
      </c>
      <c r="WOB1">
        <f>Database!WOU1</f>
        <v>0</v>
      </c>
      <c r="WOC1">
        <f>Database!WOV1</f>
        <v>0</v>
      </c>
      <c r="WOD1">
        <f>Database!WOW1</f>
        <v>0</v>
      </c>
      <c r="WOE1">
        <f>Database!WOX1</f>
        <v>0</v>
      </c>
      <c r="WOF1">
        <f>Database!WOY1</f>
        <v>0</v>
      </c>
      <c r="WOG1">
        <f>Database!WOZ1</f>
        <v>0</v>
      </c>
      <c r="WOH1">
        <f>Database!WPA1</f>
        <v>0</v>
      </c>
      <c r="WOI1">
        <f>Database!WPB1</f>
        <v>0</v>
      </c>
      <c r="WOJ1">
        <f>Database!WPC1</f>
        <v>0</v>
      </c>
      <c r="WOK1">
        <f>Database!WPD1</f>
        <v>0</v>
      </c>
      <c r="WOL1">
        <f>Database!WPE1</f>
        <v>0</v>
      </c>
      <c r="WOM1">
        <f>Database!WPF1</f>
        <v>0</v>
      </c>
      <c r="WON1">
        <f>Database!WPG1</f>
        <v>0</v>
      </c>
      <c r="WOO1">
        <f>Database!WPH1</f>
        <v>0</v>
      </c>
      <c r="WOP1">
        <f>Database!WPI1</f>
        <v>0</v>
      </c>
      <c r="WOQ1">
        <f>Database!WPJ1</f>
        <v>0</v>
      </c>
      <c r="WOR1">
        <f>Database!WPK1</f>
        <v>0</v>
      </c>
      <c r="WOS1">
        <f>Database!WPL1</f>
        <v>0</v>
      </c>
      <c r="WOT1">
        <f>Database!WPM1</f>
        <v>0</v>
      </c>
      <c r="WOU1">
        <f>Database!WPN1</f>
        <v>0</v>
      </c>
      <c r="WOV1">
        <f>Database!WPO1</f>
        <v>0</v>
      </c>
      <c r="WOW1">
        <f>Database!WPP1</f>
        <v>0</v>
      </c>
      <c r="WOX1">
        <f>Database!WPQ1</f>
        <v>0</v>
      </c>
      <c r="WOY1">
        <f>Database!WPR1</f>
        <v>0</v>
      </c>
      <c r="WOZ1">
        <f>Database!WPS1</f>
        <v>0</v>
      </c>
      <c r="WPA1">
        <f>Database!WPT1</f>
        <v>0</v>
      </c>
      <c r="WPB1">
        <f>Database!WPU1</f>
        <v>0</v>
      </c>
      <c r="WPC1">
        <f>Database!WPV1</f>
        <v>0</v>
      </c>
      <c r="WPD1">
        <f>Database!WPW1</f>
        <v>0</v>
      </c>
      <c r="WPE1">
        <f>Database!WPX1</f>
        <v>0</v>
      </c>
      <c r="WPF1">
        <f>Database!WPY1</f>
        <v>0</v>
      </c>
      <c r="WPG1">
        <f>Database!WPZ1</f>
        <v>0</v>
      </c>
      <c r="WPH1">
        <f>Database!WQA1</f>
        <v>0</v>
      </c>
      <c r="WPI1">
        <f>Database!WQB1</f>
        <v>0</v>
      </c>
      <c r="WPJ1">
        <f>Database!WQC1</f>
        <v>0</v>
      </c>
      <c r="WPK1">
        <f>Database!WQD1</f>
        <v>0</v>
      </c>
      <c r="WPL1">
        <f>Database!WQE1</f>
        <v>0</v>
      </c>
      <c r="WPM1">
        <f>Database!WQF1</f>
        <v>0</v>
      </c>
      <c r="WPN1">
        <f>Database!WQG1</f>
        <v>0</v>
      </c>
      <c r="WPO1">
        <f>Database!WQH1</f>
        <v>0</v>
      </c>
      <c r="WPP1">
        <f>Database!WQI1</f>
        <v>0</v>
      </c>
      <c r="WPQ1">
        <f>Database!WQJ1</f>
        <v>0</v>
      </c>
      <c r="WPR1">
        <f>Database!WQK1</f>
        <v>0</v>
      </c>
      <c r="WPS1">
        <f>Database!WQL1</f>
        <v>0</v>
      </c>
      <c r="WPT1">
        <f>Database!WQM1</f>
        <v>0</v>
      </c>
      <c r="WPU1">
        <f>Database!WQN1</f>
        <v>0</v>
      </c>
      <c r="WPV1">
        <f>Database!WQO1</f>
        <v>0</v>
      </c>
      <c r="WPW1">
        <f>Database!WQP1</f>
        <v>0</v>
      </c>
      <c r="WPX1">
        <f>Database!WQQ1</f>
        <v>0</v>
      </c>
      <c r="WPY1">
        <f>Database!WQR1</f>
        <v>0</v>
      </c>
      <c r="WPZ1">
        <f>Database!WQS1</f>
        <v>0</v>
      </c>
      <c r="WQA1">
        <f>Database!WQT1</f>
        <v>0</v>
      </c>
      <c r="WQB1">
        <f>Database!WQU1</f>
        <v>0</v>
      </c>
      <c r="WQC1">
        <f>Database!WQV1</f>
        <v>0</v>
      </c>
      <c r="WQD1">
        <f>Database!WQW1</f>
        <v>0</v>
      </c>
      <c r="WQE1">
        <f>Database!WQX1</f>
        <v>0</v>
      </c>
      <c r="WQF1">
        <f>Database!WQY1</f>
        <v>0</v>
      </c>
      <c r="WQG1">
        <f>Database!WQZ1</f>
        <v>0</v>
      </c>
      <c r="WQH1">
        <f>Database!WRA1</f>
        <v>0</v>
      </c>
      <c r="WQI1">
        <f>Database!WRB1</f>
        <v>0</v>
      </c>
      <c r="WQJ1">
        <f>Database!WRC1</f>
        <v>0</v>
      </c>
      <c r="WQK1">
        <f>Database!WRD1</f>
        <v>0</v>
      </c>
      <c r="WQL1">
        <f>Database!WRE1</f>
        <v>0</v>
      </c>
      <c r="WQM1">
        <f>Database!WRF1</f>
        <v>0</v>
      </c>
      <c r="WQN1">
        <f>Database!WRG1</f>
        <v>0</v>
      </c>
      <c r="WQO1">
        <f>Database!WRH1</f>
        <v>0</v>
      </c>
      <c r="WQP1">
        <f>Database!WRI1</f>
        <v>0</v>
      </c>
      <c r="WQQ1">
        <f>Database!WRJ1</f>
        <v>0</v>
      </c>
      <c r="WQR1">
        <f>Database!WRK1</f>
        <v>0</v>
      </c>
      <c r="WQS1">
        <f>Database!WRL1</f>
        <v>0</v>
      </c>
      <c r="WQT1">
        <f>Database!WRM1</f>
        <v>0</v>
      </c>
      <c r="WQU1">
        <f>Database!WRN1</f>
        <v>0</v>
      </c>
      <c r="WQV1">
        <f>Database!WRO1</f>
        <v>0</v>
      </c>
      <c r="WQW1">
        <f>Database!WRP1</f>
        <v>0</v>
      </c>
      <c r="WQX1">
        <f>Database!WRQ1</f>
        <v>0</v>
      </c>
      <c r="WQY1">
        <f>Database!WRR1</f>
        <v>0</v>
      </c>
      <c r="WQZ1">
        <f>Database!WRS1</f>
        <v>0</v>
      </c>
      <c r="WRA1">
        <f>Database!WRT1</f>
        <v>0</v>
      </c>
      <c r="WRB1">
        <f>Database!WRU1</f>
        <v>0</v>
      </c>
      <c r="WRC1">
        <f>Database!WRV1</f>
        <v>0</v>
      </c>
      <c r="WRD1">
        <f>Database!WRW1</f>
        <v>0</v>
      </c>
      <c r="WRE1">
        <f>Database!WRX1</f>
        <v>0</v>
      </c>
      <c r="WRF1">
        <f>Database!WRY1</f>
        <v>0</v>
      </c>
      <c r="WRG1">
        <f>Database!WRZ1</f>
        <v>0</v>
      </c>
      <c r="WRH1">
        <f>Database!WSA1</f>
        <v>0</v>
      </c>
      <c r="WRI1">
        <f>Database!WSB1</f>
        <v>0</v>
      </c>
      <c r="WRJ1">
        <f>Database!WSC1</f>
        <v>0</v>
      </c>
      <c r="WRK1">
        <f>Database!WSD1</f>
        <v>0</v>
      </c>
      <c r="WRL1">
        <f>Database!WSE1</f>
        <v>0</v>
      </c>
      <c r="WRM1">
        <f>Database!WSF1</f>
        <v>0</v>
      </c>
      <c r="WRN1">
        <f>Database!WSG1</f>
        <v>0</v>
      </c>
      <c r="WRO1">
        <f>Database!WSH1</f>
        <v>0</v>
      </c>
      <c r="WRP1">
        <f>Database!WSI1</f>
        <v>0</v>
      </c>
      <c r="WRQ1">
        <f>Database!WSJ1</f>
        <v>0</v>
      </c>
      <c r="WRR1">
        <f>Database!WSK1</f>
        <v>0</v>
      </c>
      <c r="WRS1">
        <f>Database!WSL1</f>
        <v>0</v>
      </c>
      <c r="WRT1">
        <f>Database!WSM1</f>
        <v>0</v>
      </c>
      <c r="WRU1">
        <f>Database!WSN1</f>
        <v>0</v>
      </c>
      <c r="WRV1">
        <f>Database!WSO1</f>
        <v>0</v>
      </c>
      <c r="WRW1">
        <f>Database!WSP1</f>
        <v>0</v>
      </c>
      <c r="WRX1">
        <f>Database!WSQ1</f>
        <v>0</v>
      </c>
      <c r="WRY1">
        <f>Database!WSR1</f>
        <v>0</v>
      </c>
      <c r="WRZ1">
        <f>Database!WSS1</f>
        <v>0</v>
      </c>
      <c r="WSA1">
        <f>Database!WST1</f>
        <v>0</v>
      </c>
      <c r="WSB1">
        <f>Database!WSU1</f>
        <v>0</v>
      </c>
      <c r="WSC1">
        <f>Database!WSV1</f>
        <v>0</v>
      </c>
      <c r="WSD1">
        <f>Database!WSW1</f>
        <v>0</v>
      </c>
      <c r="WSE1">
        <f>Database!WSX1</f>
        <v>0</v>
      </c>
      <c r="WSF1">
        <f>Database!WSY1</f>
        <v>0</v>
      </c>
      <c r="WSG1">
        <f>Database!WSZ1</f>
        <v>0</v>
      </c>
      <c r="WSH1">
        <f>Database!WTA1</f>
        <v>0</v>
      </c>
      <c r="WSI1">
        <f>Database!WTB1</f>
        <v>0</v>
      </c>
      <c r="WSJ1">
        <f>Database!WTC1</f>
        <v>0</v>
      </c>
      <c r="WSK1">
        <f>Database!WTD1</f>
        <v>0</v>
      </c>
      <c r="WSL1">
        <f>Database!WTE1</f>
        <v>0</v>
      </c>
      <c r="WSM1">
        <f>Database!WTF1</f>
        <v>0</v>
      </c>
      <c r="WSN1">
        <f>Database!WTG1</f>
        <v>0</v>
      </c>
      <c r="WSO1">
        <f>Database!WTH1</f>
        <v>0</v>
      </c>
      <c r="WSP1">
        <f>Database!WTI1</f>
        <v>0</v>
      </c>
      <c r="WSQ1">
        <f>Database!WTJ1</f>
        <v>0</v>
      </c>
      <c r="WSR1">
        <f>Database!WTK1</f>
        <v>0</v>
      </c>
      <c r="WSS1">
        <f>Database!WTL1</f>
        <v>0</v>
      </c>
      <c r="WST1">
        <f>Database!WTM1</f>
        <v>0</v>
      </c>
      <c r="WSU1">
        <f>Database!WTN1</f>
        <v>0</v>
      </c>
      <c r="WSV1">
        <f>Database!WTO1</f>
        <v>0</v>
      </c>
      <c r="WSW1">
        <f>Database!WTP1</f>
        <v>0</v>
      </c>
      <c r="WSX1">
        <f>Database!WTQ1</f>
        <v>0</v>
      </c>
      <c r="WSY1">
        <f>Database!WTR1</f>
        <v>0</v>
      </c>
      <c r="WSZ1">
        <f>Database!WTS1</f>
        <v>0</v>
      </c>
      <c r="WTA1">
        <f>Database!WTT1</f>
        <v>0</v>
      </c>
      <c r="WTB1">
        <f>Database!WTU1</f>
        <v>0</v>
      </c>
      <c r="WTC1">
        <f>Database!WTV1</f>
        <v>0</v>
      </c>
      <c r="WTD1">
        <f>Database!WTW1</f>
        <v>0</v>
      </c>
      <c r="WTE1">
        <f>Database!WTX1</f>
        <v>0</v>
      </c>
      <c r="WTF1">
        <f>Database!WTY1</f>
        <v>0</v>
      </c>
      <c r="WTG1">
        <f>Database!WTZ1</f>
        <v>0</v>
      </c>
      <c r="WTH1">
        <f>Database!WUA1</f>
        <v>0</v>
      </c>
      <c r="WTI1">
        <f>Database!WUB1</f>
        <v>0</v>
      </c>
      <c r="WTJ1">
        <f>Database!WUC1</f>
        <v>0</v>
      </c>
      <c r="WTK1">
        <f>Database!WUD1</f>
        <v>0</v>
      </c>
      <c r="WTL1">
        <f>Database!WUE1</f>
        <v>0</v>
      </c>
      <c r="WTM1">
        <f>Database!WUF1</f>
        <v>0</v>
      </c>
      <c r="WTN1">
        <f>Database!WUG1</f>
        <v>0</v>
      </c>
      <c r="WTO1">
        <f>Database!WUH1</f>
        <v>0</v>
      </c>
      <c r="WTP1">
        <f>Database!WUI1</f>
        <v>0</v>
      </c>
      <c r="WTQ1">
        <f>Database!WUJ1</f>
        <v>0</v>
      </c>
      <c r="WTR1">
        <f>Database!WUK1</f>
        <v>0</v>
      </c>
      <c r="WTS1">
        <f>Database!WUL1</f>
        <v>0</v>
      </c>
      <c r="WTT1">
        <f>Database!WUM1</f>
        <v>0</v>
      </c>
      <c r="WTU1">
        <f>Database!WUN1</f>
        <v>0</v>
      </c>
      <c r="WTV1">
        <f>Database!WUO1</f>
        <v>0</v>
      </c>
      <c r="WTW1">
        <f>Database!WUP1</f>
        <v>0</v>
      </c>
      <c r="WTX1">
        <f>Database!WUQ1</f>
        <v>0</v>
      </c>
      <c r="WTY1">
        <f>Database!WUR1</f>
        <v>0</v>
      </c>
      <c r="WTZ1">
        <f>Database!WUS1</f>
        <v>0</v>
      </c>
      <c r="WUA1">
        <f>Database!WUT1</f>
        <v>0</v>
      </c>
      <c r="WUB1">
        <f>Database!WUU1</f>
        <v>0</v>
      </c>
      <c r="WUC1">
        <f>Database!WUV1</f>
        <v>0</v>
      </c>
      <c r="WUD1">
        <f>Database!WUW1</f>
        <v>0</v>
      </c>
      <c r="WUE1">
        <f>Database!WUX1</f>
        <v>0</v>
      </c>
      <c r="WUF1">
        <f>Database!WUY1</f>
        <v>0</v>
      </c>
      <c r="WUG1">
        <f>Database!WUZ1</f>
        <v>0</v>
      </c>
      <c r="WUH1">
        <f>Database!WVA1</f>
        <v>0</v>
      </c>
      <c r="WUI1">
        <f>Database!WVB1</f>
        <v>0</v>
      </c>
      <c r="WUJ1">
        <f>Database!WVC1</f>
        <v>0</v>
      </c>
      <c r="WUK1">
        <f>Database!WVD1</f>
        <v>0</v>
      </c>
      <c r="WUL1">
        <f>Database!WVE1</f>
        <v>0</v>
      </c>
      <c r="WUM1">
        <f>Database!WVF1</f>
        <v>0</v>
      </c>
      <c r="WUN1">
        <f>Database!WVG1</f>
        <v>0</v>
      </c>
      <c r="WUO1">
        <f>Database!WVH1</f>
        <v>0</v>
      </c>
      <c r="WUP1">
        <f>Database!WVI1</f>
        <v>0</v>
      </c>
      <c r="WUQ1">
        <f>Database!WVJ1</f>
        <v>0</v>
      </c>
      <c r="WUR1">
        <f>Database!WVK1</f>
        <v>0</v>
      </c>
      <c r="WUS1">
        <f>Database!WVL1</f>
        <v>0</v>
      </c>
      <c r="WUT1">
        <f>Database!WVM1</f>
        <v>0</v>
      </c>
      <c r="WUU1">
        <f>Database!WVN1</f>
        <v>0</v>
      </c>
      <c r="WUV1">
        <f>Database!WVO1</f>
        <v>0</v>
      </c>
      <c r="WUW1">
        <f>Database!WVP1</f>
        <v>0</v>
      </c>
      <c r="WUX1">
        <f>Database!WVQ1</f>
        <v>0</v>
      </c>
      <c r="WUY1">
        <f>Database!WVR1</f>
        <v>0</v>
      </c>
      <c r="WUZ1">
        <f>Database!WVS1</f>
        <v>0</v>
      </c>
      <c r="WVA1">
        <f>Database!WVT1</f>
        <v>0</v>
      </c>
      <c r="WVB1">
        <f>Database!WVU1</f>
        <v>0</v>
      </c>
      <c r="WVC1">
        <f>Database!WVV1</f>
        <v>0</v>
      </c>
      <c r="WVD1">
        <f>Database!WVW1</f>
        <v>0</v>
      </c>
      <c r="WVE1">
        <f>Database!WVX1</f>
        <v>0</v>
      </c>
      <c r="WVF1">
        <f>Database!WVY1</f>
        <v>0</v>
      </c>
      <c r="WVG1">
        <f>Database!WVZ1</f>
        <v>0</v>
      </c>
      <c r="WVH1">
        <f>Database!WWA1</f>
        <v>0</v>
      </c>
      <c r="WVI1">
        <f>Database!WWB1</f>
        <v>0</v>
      </c>
      <c r="WVJ1">
        <f>Database!WWC1</f>
        <v>0</v>
      </c>
      <c r="WVK1">
        <f>Database!WWD1</f>
        <v>0</v>
      </c>
      <c r="WVL1">
        <f>Database!WWE1</f>
        <v>0</v>
      </c>
      <c r="WVM1">
        <f>Database!WWF1</f>
        <v>0</v>
      </c>
      <c r="WVN1">
        <f>Database!WWG1</f>
        <v>0</v>
      </c>
      <c r="WVO1">
        <f>Database!WWH1</f>
        <v>0</v>
      </c>
      <c r="WVP1">
        <f>Database!WWI1</f>
        <v>0</v>
      </c>
      <c r="WVQ1">
        <f>Database!WWJ1</f>
        <v>0</v>
      </c>
      <c r="WVR1">
        <f>Database!WWK1</f>
        <v>0</v>
      </c>
      <c r="WVS1">
        <f>Database!WWL1</f>
        <v>0</v>
      </c>
      <c r="WVT1">
        <f>Database!WWM1</f>
        <v>0</v>
      </c>
      <c r="WVU1">
        <f>Database!WWN1</f>
        <v>0</v>
      </c>
      <c r="WVV1">
        <f>Database!WWO1</f>
        <v>0</v>
      </c>
      <c r="WVW1">
        <f>Database!WWP1</f>
        <v>0</v>
      </c>
      <c r="WVX1">
        <f>Database!WWQ1</f>
        <v>0</v>
      </c>
      <c r="WVY1">
        <f>Database!WWR1</f>
        <v>0</v>
      </c>
      <c r="WVZ1">
        <f>Database!WWS1</f>
        <v>0</v>
      </c>
      <c r="WWA1">
        <f>Database!WWT1</f>
        <v>0</v>
      </c>
      <c r="WWB1">
        <f>Database!WWU1</f>
        <v>0</v>
      </c>
      <c r="WWC1">
        <f>Database!WWV1</f>
        <v>0</v>
      </c>
      <c r="WWD1">
        <f>Database!WWW1</f>
        <v>0</v>
      </c>
      <c r="WWE1">
        <f>Database!WWX1</f>
        <v>0</v>
      </c>
      <c r="WWF1">
        <f>Database!WWY1</f>
        <v>0</v>
      </c>
      <c r="WWG1">
        <f>Database!WWZ1</f>
        <v>0</v>
      </c>
      <c r="WWH1">
        <f>Database!WXA1</f>
        <v>0</v>
      </c>
      <c r="WWI1">
        <f>Database!WXB1</f>
        <v>0</v>
      </c>
      <c r="WWJ1">
        <f>Database!WXC1</f>
        <v>0</v>
      </c>
      <c r="WWK1">
        <f>Database!WXD1</f>
        <v>0</v>
      </c>
      <c r="WWL1">
        <f>Database!WXE1</f>
        <v>0</v>
      </c>
      <c r="WWM1">
        <f>Database!WXF1</f>
        <v>0</v>
      </c>
      <c r="WWN1">
        <f>Database!WXG1</f>
        <v>0</v>
      </c>
      <c r="WWO1">
        <f>Database!WXH1</f>
        <v>0</v>
      </c>
      <c r="WWP1">
        <f>Database!WXI1</f>
        <v>0</v>
      </c>
      <c r="WWQ1">
        <f>Database!WXJ1</f>
        <v>0</v>
      </c>
      <c r="WWR1">
        <f>Database!WXK1</f>
        <v>0</v>
      </c>
      <c r="WWS1">
        <f>Database!WXL1</f>
        <v>0</v>
      </c>
      <c r="WWT1">
        <f>Database!WXM1</f>
        <v>0</v>
      </c>
      <c r="WWU1">
        <f>Database!WXN1</f>
        <v>0</v>
      </c>
      <c r="WWV1">
        <f>Database!WXO1</f>
        <v>0</v>
      </c>
      <c r="WWW1">
        <f>Database!WXP1</f>
        <v>0</v>
      </c>
      <c r="WWX1">
        <f>Database!WXQ1</f>
        <v>0</v>
      </c>
      <c r="WWY1">
        <f>Database!WXR1</f>
        <v>0</v>
      </c>
      <c r="WWZ1">
        <f>Database!WXS1</f>
        <v>0</v>
      </c>
      <c r="WXA1">
        <f>Database!WXT1</f>
        <v>0</v>
      </c>
      <c r="WXB1">
        <f>Database!WXU1</f>
        <v>0</v>
      </c>
      <c r="WXC1">
        <f>Database!WXV1</f>
        <v>0</v>
      </c>
      <c r="WXD1">
        <f>Database!WXW1</f>
        <v>0</v>
      </c>
      <c r="WXE1">
        <f>Database!WXX1</f>
        <v>0</v>
      </c>
      <c r="WXF1">
        <f>Database!WXY1</f>
        <v>0</v>
      </c>
      <c r="WXG1">
        <f>Database!WXZ1</f>
        <v>0</v>
      </c>
      <c r="WXH1">
        <f>Database!WYA1</f>
        <v>0</v>
      </c>
      <c r="WXI1">
        <f>Database!WYB1</f>
        <v>0</v>
      </c>
      <c r="WXJ1">
        <f>Database!WYC1</f>
        <v>0</v>
      </c>
      <c r="WXK1">
        <f>Database!WYD1</f>
        <v>0</v>
      </c>
      <c r="WXL1">
        <f>Database!WYE1</f>
        <v>0</v>
      </c>
      <c r="WXM1">
        <f>Database!WYF1</f>
        <v>0</v>
      </c>
      <c r="WXN1">
        <f>Database!WYG1</f>
        <v>0</v>
      </c>
      <c r="WXO1">
        <f>Database!WYH1</f>
        <v>0</v>
      </c>
      <c r="WXP1">
        <f>Database!WYI1</f>
        <v>0</v>
      </c>
      <c r="WXQ1">
        <f>Database!WYJ1</f>
        <v>0</v>
      </c>
      <c r="WXR1">
        <f>Database!WYK1</f>
        <v>0</v>
      </c>
      <c r="WXS1">
        <f>Database!WYL1</f>
        <v>0</v>
      </c>
      <c r="WXT1">
        <f>Database!WYM1</f>
        <v>0</v>
      </c>
      <c r="WXU1">
        <f>Database!WYN1</f>
        <v>0</v>
      </c>
      <c r="WXV1">
        <f>Database!WYO1</f>
        <v>0</v>
      </c>
      <c r="WXW1">
        <f>Database!WYP1</f>
        <v>0</v>
      </c>
      <c r="WXX1">
        <f>Database!WYQ1</f>
        <v>0</v>
      </c>
      <c r="WXY1">
        <f>Database!WYR1</f>
        <v>0</v>
      </c>
      <c r="WXZ1">
        <f>Database!WYS1</f>
        <v>0</v>
      </c>
      <c r="WYA1">
        <f>Database!WYT1</f>
        <v>0</v>
      </c>
      <c r="WYB1">
        <f>Database!WYU1</f>
        <v>0</v>
      </c>
      <c r="WYC1">
        <f>Database!WYV1</f>
        <v>0</v>
      </c>
      <c r="WYD1">
        <f>Database!WYW1</f>
        <v>0</v>
      </c>
      <c r="WYE1">
        <f>Database!WYX1</f>
        <v>0</v>
      </c>
      <c r="WYF1">
        <f>Database!WYY1</f>
        <v>0</v>
      </c>
      <c r="WYG1">
        <f>Database!WYZ1</f>
        <v>0</v>
      </c>
      <c r="WYH1">
        <f>Database!WZA1</f>
        <v>0</v>
      </c>
      <c r="WYI1">
        <f>Database!WZB1</f>
        <v>0</v>
      </c>
      <c r="WYJ1">
        <f>Database!WZC1</f>
        <v>0</v>
      </c>
      <c r="WYK1">
        <f>Database!WZD1</f>
        <v>0</v>
      </c>
      <c r="WYL1">
        <f>Database!WZE1</f>
        <v>0</v>
      </c>
      <c r="WYM1">
        <f>Database!WZF1</f>
        <v>0</v>
      </c>
      <c r="WYN1">
        <f>Database!WZG1</f>
        <v>0</v>
      </c>
      <c r="WYO1">
        <f>Database!WZH1</f>
        <v>0</v>
      </c>
      <c r="WYP1">
        <f>Database!WZI1</f>
        <v>0</v>
      </c>
      <c r="WYQ1">
        <f>Database!WZJ1</f>
        <v>0</v>
      </c>
      <c r="WYR1">
        <f>Database!WZK1</f>
        <v>0</v>
      </c>
      <c r="WYS1">
        <f>Database!WZL1</f>
        <v>0</v>
      </c>
      <c r="WYT1">
        <f>Database!WZM1</f>
        <v>0</v>
      </c>
      <c r="WYU1">
        <f>Database!WZN1</f>
        <v>0</v>
      </c>
      <c r="WYV1">
        <f>Database!WZO1</f>
        <v>0</v>
      </c>
      <c r="WYW1">
        <f>Database!WZP1</f>
        <v>0</v>
      </c>
      <c r="WYX1">
        <f>Database!WZQ1</f>
        <v>0</v>
      </c>
      <c r="WYY1">
        <f>Database!WZR1</f>
        <v>0</v>
      </c>
      <c r="WYZ1">
        <f>Database!WZS1</f>
        <v>0</v>
      </c>
      <c r="WZA1">
        <f>Database!WZT1</f>
        <v>0</v>
      </c>
      <c r="WZB1">
        <f>Database!WZU1</f>
        <v>0</v>
      </c>
      <c r="WZC1">
        <f>Database!WZV1</f>
        <v>0</v>
      </c>
      <c r="WZD1">
        <f>Database!WZW1</f>
        <v>0</v>
      </c>
      <c r="WZE1">
        <f>Database!WZX1</f>
        <v>0</v>
      </c>
      <c r="WZF1">
        <f>Database!WZY1</f>
        <v>0</v>
      </c>
      <c r="WZG1">
        <f>Database!WZZ1</f>
        <v>0</v>
      </c>
      <c r="WZH1">
        <f>Database!XAA1</f>
        <v>0</v>
      </c>
      <c r="WZI1">
        <f>Database!XAB1</f>
        <v>0</v>
      </c>
      <c r="WZJ1">
        <f>Database!XAC1</f>
        <v>0</v>
      </c>
      <c r="WZK1">
        <f>Database!XAD1</f>
        <v>0</v>
      </c>
      <c r="WZL1">
        <f>Database!XAE1</f>
        <v>0</v>
      </c>
      <c r="WZM1">
        <f>Database!XAF1</f>
        <v>0</v>
      </c>
      <c r="WZN1">
        <f>Database!XAG1</f>
        <v>0</v>
      </c>
      <c r="WZO1">
        <f>Database!XAH1</f>
        <v>0</v>
      </c>
      <c r="WZP1">
        <f>Database!XAI1</f>
        <v>0</v>
      </c>
      <c r="WZQ1">
        <f>Database!XAJ1</f>
        <v>0</v>
      </c>
      <c r="WZR1">
        <f>Database!XAK1</f>
        <v>0</v>
      </c>
      <c r="WZS1">
        <f>Database!XAL1</f>
        <v>0</v>
      </c>
      <c r="WZT1">
        <f>Database!XAM1</f>
        <v>0</v>
      </c>
      <c r="WZU1">
        <f>Database!XAN1</f>
        <v>0</v>
      </c>
      <c r="WZV1">
        <f>Database!XAO1</f>
        <v>0</v>
      </c>
      <c r="WZW1">
        <f>Database!XAP1</f>
        <v>0</v>
      </c>
      <c r="WZX1">
        <f>Database!XAQ1</f>
        <v>0</v>
      </c>
      <c r="WZY1">
        <f>Database!XAR1</f>
        <v>0</v>
      </c>
      <c r="WZZ1">
        <f>Database!XAS1</f>
        <v>0</v>
      </c>
      <c r="XAA1">
        <f>Database!XAT1</f>
        <v>0</v>
      </c>
      <c r="XAB1">
        <f>Database!XAU1</f>
        <v>0</v>
      </c>
      <c r="XAC1">
        <f>Database!XAV1</f>
        <v>0</v>
      </c>
      <c r="XAD1">
        <f>Database!XAW1</f>
        <v>0</v>
      </c>
      <c r="XAE1">
        <f>Database!XAX1</f>
        <v>0</v>
      </c>
      <c r="XAF1">
        <f>Database!XAY1</f>
        <v>0</v>
      </c>
      <c r="XAG1">
        <f>Database!XAZ1</f>
        <v>0</v>
      </c>
      <c r="XAH1">
        <f>Database!XBA1</f>
        <v>0</v>
      </c>
      <c r="XAI1">
        <f>Database!XBB1</f>
        <v>0</v>
      </c>
      <c r="XAJ1">
        <f>Database!XBC1</f>
        <v>0</v>
      </c>
      <c r="XAK1">
        <f>Database!XBD1</f>
        <v>0</v>
      </c>
      <c r="XAL1">
        <f>Database!XBE1</f>
        <v>0</v>
      </c>
      <c r="XAM1">
        <f>Database!XBF1</f>
        <v>0</v>
      </c>
      <c r="XAN1">
        <f>Database!XBG1</f>
        <v>0</v>
      </c>
      <c r="XAO1">
        <f>Database!XBH1</f>
        <v>0</v>
      </c>
      <c r="XAP1">
        <f>Database!XBI1</f>
        <v>0</v>
      </c>
      <c r="XAQ1">
        <f>Database!XBJ1</f>
        <v>0</v>
      </c>
      <c r="XAR1">
        <f>Database!XBK1</f>
        <v>0</v>
      </c>
      <c r="XAS1">
        <f>Database!XBL1</f>
        <v>0</v>
      </c>
      <c r="XAT1">
        <f>Database!XBM1</f>
        <v>0</v>
      </c>
      <c r="XAU1">
        <f>Database!XBN1</f>
        <v>0</v>
      </c>
      <c r="XAV1">
        <f>Database!XBO1</f>
        <v>0</v>
      </c>
      <c r="XAW1">
        <f>Database!XBP1</f>
        <v>0</v>
      </c>
      <c r="XAX1">
        <f>Database!XBQ1</f>
        <v>0</v>
      </c>
      <c r="XAY1">
        <f>Database!XBR1</f>
        <v>0</v>
      </c>
      <c r="XAZ1">
        <f>Database!XBS1</f>
        <v>0</v>
      </c>
      <c r="XBA1">
        <f>Database!XBT1</f>
        <v>0</v>
      </c>
      <c r="XBB1">
        <f>Database!XBU1</f>
        <v>0</v>
      </c>
      <c r="XBC1">
        <f>Database!XBV1</f>
        <v>0</v>
      </c>
      <c r="XBD1">
        <f>Database!XBW1</f>
        <v>0</v>
      </c>
      <c r="XBE1">
        <f>Database!XBX1</f>
        <v>0</v>
      </c>
      <c r="XBF1">
        <f>Database!XBY1</f>
        <v>0</v>
      </c>
      <c r="XBG1">
        <f>Database!XBZ1</f>
        <v>0</v>
      </c>
      <c r="XBH1">
        <f>Database!XCA1</f>
        <v>0</v>
      </c>
      <c r="XBI1">
        <f>Database!XCB1</f>
        <v>0</v>
      </c>
      <c r="XBJ1">
        <f>Database!XCC1</f>
        <v>0</v>
      </c>
      <c r="XBK1">
        <f>Database!XCD1</f>
        <v>0</v>
      </c>
      <c r="XBL1">
        <f>Database!XCE1</f>
        <v>0</v>
      </c>
      <c r="XBM1">
        <f>Database!XCF1</f>
        <v>0</v>
      </c>
      <c r="XBN1">
        <f>Database!XCG1</f>
        <v>0</v>
      </c>
      <c r="XBO1">
        <f>Database!XCH1</f>
        <v>0</v>
      </c>
      <c r="XBP1">
        <f>Database!XCI1</f>
        <v>0</v>
      </c>
      <c r="XBQ1">
        <f>Database!XCJ1</f>
        <v>0</v>
      </c>
      <c r="XBR1">
        <f>Database!XCK1</f>
        <v>0</v>
      </c>
      <c r="XBS1">
        <f>Database!XCL1</f>
        <v>0</v>
      </c>
      <c r="XBT1">
        <f>Database!XCM1</f>
        <v>0</v>
      </c>
      <c r="XBU1">
        <f>Database!XCN1</f>
        <v>0</v>
      </c>
      <c r="XBV1">
        <f>Database!XCO1</f>
        <v>0</v>
      </c>
      <c r="XBW1">
        <f>Database!XCP1</f>
        <v>0</v>
      </c>
      <c r="XBX1">
        <f>Database!XCQ1</f>
        <v>0</v>
      </c>
      <c r="XBY1">
        <f>Database!XCR1</f>
        <v>0</v>
      </c>
      <c r="XBZ1">
        <f>Database!XCS1</f>
        <v>0</v>
      </c>
      <c r="XCA1">
        <f>Database!XCT1</f>
        <v>0</v>
      </c>
      <c r="XCB1">
        <f>Database!XCU1</f>
        <v>0</v>
      </c>
      <c r="XCC1">
        <f>Database!XCV1</f>
        <v>0</v>
      </c>
      <c r="XCD1">
        <f>Database!XCW1</f>
        <v>0</v>
      </c>
      <c r="XCE1">
        <f>Database!XCX1</f>
        <v>0</v>
      </c>
      <c r="XCF1">
        <f>Database!XCY1</f>
        <v>0</v>
      </c>
      <c r="XCG1">
        <f>Database!XCZ1</f>
        <v>0</v>
      </c>
      <c r="XCH1">
        <f>Database!XDA1</f>
        <v>0</v>
      </c>
      <c r="XCI1">
        <f>Database!XDB1</f>
        <v>0</v>
      </c>
      <c r="XCJ1">
        <f>Database!XDC1</f>
        <v>0</v>
      </c>
      <c r="XCK1">
        <f>Database!XDD1</f>
        <v>0</v>
      </c>
      <c r="XCL1">
        <f>Database!XDE1</f>
        <v>0</v>
      </c>
      <c r="XCM1">
        <f>Database!XDF1</f>
        <v>0</v>
      </c>
      <c r="XCN1">
        <f>Database!XDG1</f>
        <v>0</v>
      </c>
      <c r="XCO1">
        <f>Database!XDH1</f>
        <v>0</v>
      </c>
      <c r="XCP1">
        <f>Database!XDI1</f>
        <v>0</v>
      </c>
      <c r="XCQ1">
        <f>Database!XDJ1</f>
        <v>0</v>
      </c>
      <c r="XCR1">
        <f>Database!XDK1</f>
        <v>0</v>
      </c>
      <c r="XCS1">
        <f>Database!XDL1</f>
        <v>0</v>
      </c>
      <c r="XCT1">
        <f>Database!XDM1</f>
        <v>0</v>
      </c>
      <c r="XCU1">
        <f>Database!XDN1</f>
        <v>0</v>
      </c>
      <c r="XCV1">
        <f>Database!XDO1</f>
        <v>0</v>
      </c>
      <c r="XCW1">
        <f>Database!XDP1</f>
        <v>0</v>
      </c>
      <c r="XCX1">
        <f>Database!XDQ1</f>
        <v>0</v>
      </c>
      <c r="XCY1">
        <f>Database!XDR1</f>
        <v>0</v>
      </c>
      <c r="XCZ1">
        <f>Database!XDS1</f>
        <v>0</v>
      </c>
      <c r="XDA1">
        <f>Database!XDT1</f>
        <v>0</v>
      </c>
      <c r="XDB1">
        <f>Database!XDU1</f>
        <v>0</v>
      </c>
      <c r="XDC1">
        <f>Database!XDV1</f>
        <v>0</v>
      </c>
      <c r="XDD1">
        <f>Database!XDW1</f>
        <v>0</v>
      </c>
      <c r="XDE1">
        <f>Database!XDX1</f>
        <v>0</v>
      </c>
      <c r="XDF1">
        <f>Database!XDY1</f>
        <v>0</v>
      </c>
      <c r="XDG1">
        <f>Database!XDZ1</f>
        <v>0</v>
      </c>
      <c r="XDH1">
        <f>Database!XEA1</f>
        <v>0</v>
      </c>
      <c r="XDI1">
        <f>Database!XEB1</f>
        <v>0</v>
      </c>
      <c r="XDJ1">
        <f>Database!XEC1</f>
        <v>0</v>
      </c>
      <c r="XDK1">
        <f>Database!XED1</f>
        <v>0</v>
      </c>
      <c r="XDL1">
        <f>Database!XEE1</f>
        <v>0</v>
      </c>
      <c r="XDM1">
        <f>Database!XEF1</f>
        <v>0</v>
      </c>
      <c r="XDN1">
        <f>Database!XEG1</f>
        <v>0</v>
      </c>
      <c r="XDO1">
        <f>Database!XEH1</f>
        <v>0</v>
      </c>
      <c r="XDP1">
        <f>Database!XEI1</f>
        <v>0</v>
      </c>
      <c r="XDQ1">
        <f>Database!XEJ1</f>
        <v>0</v>
      </c>
      <c r="XDR1">
        <f>Database!XEK1</f>
        <v>0</v>
      </c>
      <c r="XDS1">
        <f>Database!XEL1</f>
        <v>0</v>
      </c>
      <c r="XDT1">
        <f>Database!XEM1</f>
        <v>0</v>
      </c>
      <c r="XDU1">
        <f>Database!XEN1</f>
        <v>0</v>
      </c>
      <c r="XDV1">
        <f>Database!XEO1</f>
        <v>0</v>
      </c>
      <c r="XDW1">
        <f>Database!XEP1</f>
        <v>0</v>
      </c>
      <c r="XDX1">
        <f>Database!XEQ1</f>
        <v>0</v>
      </c>
      <c r="XDY1">
        <f>Database!XER1</f>
        <v>0</v>
      </c>
      <c r="XDZ1">
        <f>Database!XES1</f>
        <v>0</v>
      </c>
      <c r="XEA1">
        <f>Database!XET1</f>
        <v>0</v>
      </c>
      <c r="XEB1">
        <f>Database!XEU1</f>
        <v>0</v>
      </c>
      <c r="XEC1">
        <f>Database!XEV1</f>
        <v>0</v>
      </c>
      <c r="XED1">
        <f>Database!XEW1</f>
        <v>0</v>
      </c>
      <c r="XEE1">
        <f>Database!XEX1</f>
        <v>0</v>
      </c>
      <c r="XEF1">
        <f>Database!XEY1</f>
        <v>0</v>
      </c>
      <c r="XEG1">
        <f>Database!XEZ1</f>
        <v>0</v>
      </c>
      <c r="XEH1">
        <f>Database!XFA1</f>
        <v>0</v>
      </c>
      <c r="XEI1">
        <f>Database!XFB1</f>
        <v>0</v>
      </c>
      <c r="XEJ1">
        <f>Database!XFC1</f>
        <v>0</v>
      </c>
      <c r="XEK1">
        <f>Database!XFD1</f>
        <v>0</v>
      </c>
    </row>
    <row r="2" spans="1:16365" x14ac:dyDescent="0.25">
      <c r="B2">
        <v>1</v>
      </c>
      <c r="D2" t="str">
        <f>LEFT(Database!W2,3)</f>
        <v>Dec</v>
      </c>
      <c r="E2" t="str">
        <f>LEFT(Database!X2,3)</f>
        <v>Dec</v>
      </c>
      <c r="F2" t="str">
        <f>LEFT(Database!Y2,3)</f>
        <v>Jan</v>
      </c>
      <c r="G2" t="str">
        <f>LEFT(Database!Z2,3)</f>
        <v>Jan</v>
      </c>
      <c r="H2" t="str">
        <f>LEFT(Database!AA2,3)</f>
        <v>Jan</v>
      </c>
      <c r="I2" t="str">
        <f>LEFT(Database!AB2,3)</f>
        <v>Jan</v>
      </c>
      <c r="J2" t="str">
        <f>LEFT(Database!AC2,3)</f>
        <v>Feb</v>
      </c>
      <c r="K2" t="str">
        <f>LEFT(Database!AD2,3)</f>
        <v>Feb</v>
      </c>
      <c r="L2" t="str">
        <f>LEFT(Database!AE2,3)</f>
        <v>Feb</v>
      </c>
      <c r="M2" t="str">
        <f>LEFT(Database!AF2,3)</f>
        <v>Feb</v>
      </c>
      <c r="N2" t="str">
        <f>LEFT(Database!AG2,3)</f>
        <v>Mar</v>
      </c>
      <c r="O2" t="str">
        <f>LEFT(Database!AH2,3)</f>
        <v>Mar</v>
      </c>
      <c r="P2" t="str">
        <f>LEFT(Database!AI2,3)</f>
        <v>Mar</v>
      </c>
      <c r="Q2" t="str">
        <f>LEFT(Database!AJ2,3)</f>
        <v>Mar</v>
      </c>
      <c r="R2" t="str">
        <f>LEFT(Database!AK2,3)</f>
        <v>Apr</v>
      </c>
      <c r="S2" t="str">
        <f>LEFT(Database!AL2,3)</f>
        <v>Apr</v>
      </c>
      <c r="T2" t="str">
        <f>LEFT(Database!AM2,3)</f>
        <v>Apr</v>
      </c>
      <c r="U2" t="str">
        <f>LEFT(Database!AN2,3)</f>
        <v>Apr</v>
      </c>
      <c r="V2" t="str">
        <f>LEFT(Database!AO2,3)</f>
        <v>Apr</v>
      </c>
      <c r="W2" t="str">
        <f>LEFT(Database!AP2,3)</f>
        <v>May</v>
      </c>
      <c r="X2" t="str">
        <f>LEFT(Database!AQ2,3)</f>
        <v>May</v>
      </c>
      <c r="Y2" t="str">
        <f>LEFT(Database!AR2,3)</f>
        <v>May</v>
      </c>
      <c r="Z2" t="str">
        <f>LEFT(Database!AS2,3)</f>
        <v>May</v>
      </c>
      <c r="AA2" t="str">
        <f>LEFT(Database!AT2,3)</f>
        <v>Jun</v>
      </c>
      <c r="AB2" t="str">
        <f>LEFT(Database!AU2,3)</f>
        <v>Jun</v>
      </c>
      <c r="AC2" t="str">
        <f>LEFT(Database!AV2,3)</f>
        <v>Jun</v>
      </c>
      <c r="AD2" t="str">
        <f>LEFT(Database!AW2,3)</f>
        <v>Jun</v>
      </c>
      <c r="AE2" t="str">
        <f>LEFT(Database!AX2,3)</f>
        <v>Jul</v>
      </c>
      <c r="AF2" t="str">
        <f>LEFT(Database!AY2,3)</f>
        <v>Jul</v>
      </c>
      <c r="AG2" t="str">
        <f>LEFT(Database!AZ2,3)</f>
        <v>Jul</v>
      </c>
      <c r="AH2" t="str">
        <f>LEFT(Database!BA2,3)</f>
        <v>Jul</v>
      </c>
      <c r="AI2" t="str">
        <f>LEFT(Database!BB2,3)</f>
        <v>Jul</v>
      </c>
      <c r="AJ2" t="str">
        <f>LEFT(Database!BC2,3)</f>
        <v>Aug</v>
      </c>
      <c r="AK2" t="str">
        <f>LEFT(Database!BD2,3)</f>
        <v>Aug</v>
      </c>
      <c r="AL2" t="str">
        <f>LEFT(Database!BE2,3)</f>
        <v>Aug</v>
      </c>
      <c r="AM2" t="str">
        <f>LEFT(Database!BF2,3)</f>
        <v>Aug</v>
      </c>
      <c r="AN2" t="str">
        <f>LEFT(Database!BG2,3)</f>
        <v>Sep</v>
      </c>
      <c r="AO2" t="str">
        <f>LEFT(Database!BH2,3)</f>
        <v>Sep</v>
      </c>
      <c r="AP2" t="str">
        <f>LEFT(Database!BI2,3)</f>
        <v>Sep</v>
      </c>
      <c r="AQ2" t="str">
        <f>LEFT(Database!BJ2,3)</f>
        <v>Sep</v>
      </c>
      <c r="AR2" t="str">
        <f>LEFT(Database!BK2,3)</f>
        <v>Oct</v>
      </c>
      <c r="AS2" t="str">
        <f>LEFT(Database!BL2,3)</f>
        <v>Oct</v>
      </c>
      <c r="AT2" t="str">
        <f>LEFT(Database!BM2,3)</f>
        <v>Oct</v>
      </c>
      <c r="AU2" t="str">
        <f>LEFT(Database!BN2,3)</f>
        <v>Oct</v>
      </c>
      <c r="AV2" t="str">
        <f>LEFT(Database!BO2,3)</f>
        <v>Oct</v>
      </c>
      <c r="AW2" t="str">
        <f>LEFT(Database!BP2,3)</f>
        <v>Nov</v>
      </c>
      <c r="AX2" t="str">
        <f>LEFT(Database!BQ2,3)</f>
        <v>Nov</v>
      </c>
      <c r="AY2" t="str">
        <f>LEFT(Database!BR2,3)</f>
        <v>Nov</v>
      </c>
      <c r="AZ2" t="str">
        <f>LEFT(Database!BS2,3)</f>
        <v>Nov</v>
      </c>
      <c r="BA2" t="str">
        <f>LEFT(Database!BT2,3)</f>
        <v>Dec</v>
      </c>
      <c r="BB2" t="str">
        <f>LEFT(Database!BU2,3)</f>
        <v>Dec</v>
      </c>
      <c r="BC2" t="str">
        <f>LEFT(Database!BV2,3)</f>
        <v>Dec</v>
      </c>
      <c r="BD2" t="str">
        <f>LEFT(Database!BW2,3)</f>
        <v>Dec</v>
      </c>
      <c r="BE2" t="str">
        <f>LEFT(Database!BX2,3)</f>
        <v>Jan</v>
      </c>
      <c r="BF2" t="str">
        <f>LEFT(Database!BY2,3)</f>
        <v>Jan</v>
      </c>
      <c r="BG2" t="str">
        <f>LEFT(Database!BZ2,3)</f>
        <v>Jan</v>
      </c>
      <c r="BH2" t="str">
        <f>LEFT(Database!CA2,3)</f>
        <v>Jan</v>
      </c>
      <c r="BI2" t="str">
        <f>LEFT(Database!CB2,3)</f>
        <v>Feb</v>
      </c>
      <c r="BJ2" t="str">
        <f>LEFT(Database!CC2,3)</f>
        <v>Feb</v>
      </c>
      <c r="BK2" t="str">
        <f>LEFT(Database!CD2,3)</f>
        <v>Feb</v>
      </c>
      <c r="BL2" t="str">
        <f>LEFT(Database!CE2,3)</f>
        <v>Feb</v>
      </c>
      <c r="BM2" t="str">
        <f>LEFT(Database!CF2,3)</f>
        <v>Mar</v>
      </c>
      <c r="BN2" t="str">
        <f>LEFT(Database!CG2,3)</f>
        <v>Mar</v>
      </c>
      <c r="BO2" t="str">
        <f>LEFT(Database!CH2,3)</f>
        <v>Mar</v>
      </c>
      <c r="BP2" t="str">
        <f>LEFT(Database!CI2,3)</f>
        <v>Mar</v>
      </c>
      <c r="BQ2" t="str">
        <f>LEFT(Database!CJ2,3)</f>
        <v>Apr</v>
      </c>
      <c r="BR2" t="str">
        <f>LEFT(Database!CK2,3)</f>
        <v>Apr</v>
      </c>
      <c r="BS2" t="str">
        <f>LEFT(Database!CL2,3)</f>
        <v>Apr</v>
      </c>
      <c r="BT2" t="str">
        <f>LEFT(Database!CM2,3)</f>
        <v>Apr</v>
      </c>
      <c r="BU2" t="str">
        <f>LEFT(Database!CN2,3)</f>
        <v>Apr</v>
      </c>
      <c r="BV2" t="str">
        <f>LEFT(Database!CO2,3)</f>
        <v>May</v>
      </c>
      <c r="BW2" t="str">
        <f>LEFT(Database!CP2,3)</f>
        <v>May</v>
      </c>
      <c r="BX2" t="str">
        <f>LEFT(Database!CQ2,3)</f>
        <v>May</v>
      </c>
      <c r="BY2" t="str">
        <f>LEFT(Database!CR2,3)</f>
        <v>May</v>
      </c>
      <c r="BZ2" t="str">
        <f>LEFT(Database!CS2,3)</f>
        <v>Jun</v>
      </c>
      <c r="CA2" t="str">
        <f>LEFT(Database!CT2,3)</f>
        <v>Jun</v>
      </c>
      <c r="CB2" t="str">
        <f>LEFT(Database!CU2,3)</f>
        <v>Jun</v>
      </c>
      <c r="CC2" t="str">
        <f>LEFT(Database!CV2,3)</f>
        <v>Jun</v>
      </c>
      <c r="CD2" t="str">
        <f>LEFT(Database!CW2,3)</f>
        <v>Jul</v>
      </c>
      <c r="CE2" t="str">
        <f>LEFT(Database!CX2,3)</f>
        <v>Jul</v>
      </c>
      <c r="CF2" t="str">
        <f>LEFT(Database!CY2,3)</f>
        <v>Jul</v>
      </c>
      <c r="CG2" t="str">
        <f>LEFT(Database!CZ2,3)</f>
        <v>Jul</v>
      </c>
      <c r="CH2" t="str">
        <f>LEFT(Database!DA2,3)</f>
        <v>Jul</v>
      </c>
      <c r="CI2" t="str">
        <f>LEFT(Database!DB2,3)</f>
        <v>Aug</v>
      </c>
      <c r="CJ2" t="str">
        <f>LEFT(Database!DC2,3)</f>
        <v>Aug</v>
      </c>
      <c r="CK2" t="str">
        <f>LEFT(Database!DD2,3)</f>
        <v>Aug</v>
      </c>
      <c r="CL2" t="str">
        <f>LEFT(Database!DE2,3)</f>
        <v>Aug</v>
      </c>
      <c r="CM2" t="str">
        <f>LEFT(Database!DF2,3)</f>
        <v>Sep</v>
      </c>
      <c r="CN2" t="str">
        <f>LEFT(Database!DG2,3)</f>
        <v>Sep</v>
      </c>
      <c r="CO2" t="str">
        <f>LEFT(Database!DH2,3)</f>
        <v>Sep</v>
      </c>
      <c r="CP2" t="str">
        <f>LEFT(Database!DI2,3)</f>
        <v>Sep</v>
      </c>
      <c r="CQ2" t="str">
        <f>LEFT(Database!DJ2,3)</f>
        <v>Sep</v>
      </c>
      <c r="CR2" t="str">
        <f>LEFT(Database!DK2,3)</f>
        <v>Oct</v>
      </c>
      <c r="CS2" t="str">
        <f>LEFT(Database!DL2,3)</f>
        <v>Oct</v>
      </c>
      <c r="CT2" t="str">
        <f>LEFT(Database!DM2,3)</f>
        <v>Oct</v>
      </c>
      <c r="CU2" t="str">
        <f>LEFT(Database!DN2,3)</f>
        <v>Oct</v>
      </c>
      <c r="CV2" t="str">
        <f>LEFT(Database!DO2,3)</f>
        <v>Nov</v>
      </c>
      <c r="CW2" t="str">
        <f>LEFT(Database!DP2,3)</f>
        <v>Nov</v>
      </c>
      <c r="CX2" t="str">
        <f>LEFT(Database!DQ2,3)</f>
        <v>Nov</v>
      </c>
      <c r="CY2" t="str">
        <f>LEFT(Database!DR2,3)</f>
        <v>Nov</v>
      </c>
      <c r="CZ2" t="str">
        <f>LEFT(Database!DS2,3)</f>
        <v>Dec</v>
      </c>
      <c r="DA2" t="str">
        <f>LEFT(Database!DT2,3)</f>
        <v>Dec</v>
      </c>
      <c r="DB2" t="str">
        <f>LEFT(Database!DU2,3)</f>
        <v>Dec</v>
      </c>
      <c r="DC2" t="str">
        <f>LEFT(Database!DV2,3)</f>
        <v>Dec</v>
      </c>
      <c r="DD2" t="str">
        <f>LEFT(Database!DW2,3)</f>
        <v>Jan</v>
      </c>
      <c r="DE2" t="str">
        <f>LEFT(Database!DX2,3)</f>
        <v>Jan</v>
      </c>
      <c r="DF2" t="str">
        <f>LEFT(Database!DY2,3)</f>
        <v>Jan</v>
      </c>
      <c r="DG2" t="str">
        <f>LEFT(Database!DZ2,3)</f>
        <v>Jan</v>
      </c>
      <c r="DH2" t="str">
        <f>LEFT(Database!EA2,3)</f>
        <v>Feb</v>
      </c>
      <c r="DI2" t="str">
        <f>LEFT(Database!EB2,3)</f>
        <v>Feb</v>
      </c>
      <c r="DJ2" t="str">
        <f>LEFT(Database!EC2,3)</f>
        <v>Feb</v>
      </c>
      <c r="DK2" t="str">
        <f>LEFT(Database!ED2,3)</f>
        <v>Feb</v>
      </c>
      <c r="DL2" t="str">
        <f>LEFT(Database!EE2,3)</f>
        <v>Mar</v>
      </c>
      <c r="DM2" t="str">
        <f>LEFT(Database!EF2,3)</f>
        <v>Mar</v>
      </c>
      <c r="DN2" t="str">
        <f>LEFT(Database!EG2,3)</f>
        <v>Mar</v>
      </c>
      <c r="DO2" t="str">
        <f>LEFT(Database!EH2,3)</f>
        <v>Mar</v>
      </c>
      <c r="DP2" t="str">
        <f>LEFT(Database!EI2,3)</f>
        <v>Mar</v>
      </c>
      <c r="DQ2" t="str">
        <f>LEFT(Database!EJ2,3)</f>
        <v>Apr</v>
      </c>
      <c r="DR2" t="str">
        <f>LEFT(Database!EK2,3)</f>
        <v>Apr</v>
      </c>
      <c r="DS2" t="str">
        <f>LEFT(Database!EL2,3)</f>
        <v>Apr</v>
      </c>
      <c r="DT2" t="str">
        <f>LEFT(Database!EM2,3)</f>
        <v>Apr</v>
      </c>
      <c r="DU2" t="str">
        <f>LEFT(Database!EN2,3)</f>
        <v>May</v>
      </c>
      <c r="DV2" t="str">
        <f>LEFT(Database!EO2,3)</f>
        <v>May</v>
      </c>
      <c r="DW2" t="str">
        <f>LEFT(Database!EP2,3)</f>
        <v>May</v>
      </c>
      <c r="DX2" t="str">
        <f>LEFT(Database!EQ2,3)</f>
        <v>May</v>
      </c>
      <c r="DY2" t="str">
        <f>LEFT(Database!ER2,3)</f>
        <v>Jun</v>
      </c>
      <c r="DZ2" t="str">
        <f>LEFT(Database!ES2,3)</f>
        <v>Jun</v>
      </c>
      <c r="EA2" t="str">
        <f>LEFT(Database!ET2,3)</f>
        <v>Jun</v>
      </c>
      <c r="EB2" t="str">
        <f>LEFT(Database!EU2,3)</f>
        <v>Jun</v>
      </c>
      <c r="EC2" t="str">
        <f>LEFT(Database!EV2,3)</f>
        <v>Jun</v>
      </c>
      <c r="ED2" t="str">
        <f>LEFT(Database!EW2,3)</f>
        <v>Jul</v>
      </c>
      <c r="EE2" t="str">
        <f>LEFT(Database!EX2,3)</f>
        <v>Jul</v>
      </c>
      <c r="EF2" t="str">
        <f>LEFT(Database!EY2,3)</f>
        <v>Jul</v>
      </c>
      <c r="EG2" t="str">
        <f>LEFT(Database!EZ2,3)</f>
        <v>Jul</v>
      </c>
      <c r="EH2" t="str">
        <f>LEFT(Database!FA2,3)</f>
        <v>Aug</v>
      </c>
      <c r="EI2" t="str">
        <f>LEFT(Database!FB2,3)</f>
        <v>Aug</v>
      </c>
      <c r="EJ2" t="str">
        <f>LEFT(Database!FC2,3)</f>
        <v>Aug</v>
      </c>
      <c r="EK2" t="str">
        <f>LEFT(Database!FD2,3)</f>
        <v>Aug</v>
      </c>
      <c r="EL2" t="str">
        <f>LEFT(Database!FE2,3)</f>
        <v>Aug</v>
      </c>
      <c r="EM2" t="str">
        <f>LEFT(Database!FF2,3)</f>
        <v>Sep</v>
      </c>
      <c r="EN2" t="str">
        <f>LEFT(Database!FG2,3)</f>
        <v>Sep</v>
      </c>
      <c r="EO2" t="str">
        <f>LEFT(Database!FH2,3)</f>
        <v>Sep</v>
      </c>
      <c r="EP2" t="str">
        <f>LEFT(Database!FI2,3)</f>
        <v>Sep</v>
      </c>
      <c r="EQ2" t="str">
        <f>LEFT(Database!FJ2,3)</f>
        <v>Oct</v>
      </c>
      <c r="ER2" t="str">
        <f>LEFT(Database!FK2,3)</f>
        <v>Oct</v>
      </c>
      <c r="ES2" t="str">
        <f>LEFT(Database!FL2,3)</f>
        <v>Oct</v>
      </c>
      <c r="ET2" t="str">
        <f>LEFT(Database!FM2,3)</f>
        <v>Oct</v>
      </c>
      <c r="EU2" t="str">
        <f>LEFT(Database!FN2,3)</f>
        <v>Nov</v>
      </c>
      <c r="EV2" t="str">
        <f>LEFT(Database!FO2,3)</f>
        <v>Nov</v>
      </c>
      <c r="EW2" t="str">
        <f>LEFT(Database!FP2,3)</f>
        <v>Nov</v>
      </c>
      <c r="EX2" t="str">
        <f>LEFT(Database!FQ2,3)</f>
        <v>Nov</v>
      </c>
      <c r="EY2" t="str">
        <f>LEFT(Database!FR2,3)</f>
        <v>Nov</v>
      </c>
      <c r="EZ2" t="str">
        <f>LEFT(Database!FS2,3)</f>
        <v>Dec</v>
      </c>
      <c r="FA2" t="str">
        <f>LEFT(Database!FT2,3)</f>
        <v>Dec</v>
      </c>
      <c r="FB2" t="str">
        <f>LEFT(Database!FU2,3)</f>
        <v>Dec</v>
      </c>
      <c r="FC2" t="str">
        <f>LEFT(Database!FV2,3)</f>
        <v>Jan</v>
      </c>
      <c r="FD2" t="str">
        <f>LEFT(Database!FW2,3)</f>
        <v>Jan</v>
      </c>
      <c r="FE2" t="str">
        <f>LEFT(Database!FX2,3)</f>
        <v>Jan</v>
      </c>
      <c r="FF2" t="str">
        <f>LEFT(Database!FY2,3)</f>
        <v>Jan</v>
      </c>
      <c r="FG2" t="str">
        <f>LEFT(Database!FZ2,3)</f>
        <v>Feb</v>
      </c>
      <c r="FH2" t="str">
        <f>LEFT(Database!GA2,3)</f>
        <v>Feb</v>
      </c>
      <c r="FI2" t="str">
        <f>LEFT(Database!GB2,3)</f>
        <v>Feb</v>
      </c>
      <c r="FJ2" t="str">
        <f>LEFT(Database!GC2,3)</f>
        <v>Feb</v>
      </c>
      <c r="FK2" t="str">
        <f>LEFT(Database!GD2,3)</f>
        <v>Feb</v>
      </c>
      <c r="FL2" t="str">
        <f>LEFT(Database!GE2,3)</f>
        <v>Mar</v>
      </c>
      <c r="FM2" t="str">
        <f>LEFT(Database!GF2,3)</f>
        <v>Mar</v>
      </c>
      <c r="FN2" t="str">
        <f>LEFT(Database!GG2,3)</f>
        <v>Mar</v>
      </c>
      <c r="FO2" t="str">
        <f>LEFT(Database!GH2,3)</f>
        <v>Mar</v>
      </c>
      <c r="FP2" t="str">
        <f>LEFT(Database!GI2,3)</f>
        <v>Apr</v>
      </c>
      <c r="FQ2" t="str">
        <f>LEFT(Database!GJ2,3)</f>
        <v>Apr</v>
      </c>
      <c r="FR2" t="str">
        <f>LEFT(Database!GK2,3)</f>
        <v>Apr</v>
      </c>
      <c r="FS2" t="str">
        <f>LEFT(Database!GL2,3)</f>
        <v>Apr</v>
      </c>
      <c r="FT2" t="str">
        <f>LEFT(Database!GM2,3)</f>
        <v>May</v>
      </c>
      <c r="FU2" t="str">
        <f>LEFT(Database!GN2,3)</f>
        <v>May</v>
      </c>
      <c r="FV2" t="str">
        <f>LEFT(Database!GO2,3)</f>
        <v>May</v>
      </c>
      <c r="FW2" t="str">
        <f>LEFT(Database!GP2,3)</f>
        <v>May</v>
      </c>
      <c r="FX2" t="str">
        <f>LEFT(Database!GQ2,3)</f>
        <v>May</v>
      </c>
      <c r="FY2" t="str">
        <f>LEFT(Database!GR2,3)</f>
        <v>Jun</v>
      </c>
      <c r="FZ2" t="str">
        <f>LEFT(Database!GS2,3)</f>
        <v>Jun</v>
      </c>
      <c r="GA2" t="str">
        <f>LEFT(Database!GT2,3)</f>
        <v>Jun</v>
      </c>
      <c r="GB2" t="str">
        <f>LEFT(Database!GU2,3)</f>
        <v>Jun</v>
      </c>
      <c r="GC2" t="str">
        <f>LEFT(Database!GV2,3)</f>
        <v>Jul</v>
      </c>
      <c r="GD2" t="str">
        <f>LEFT(Database!GW2,3)</f>
        <v>Jul</v>
      </c>
      <c r="GE2" t="str">
        <f>LEFT(Database!GX2,3)</f>
        <v>Jul</v>
      </c>
      <c r="GF2" t="str">
        <f>LEFT(Database!GY2,3)</f>
        <v>Jul</v>
      </c>
      <c r="GG2" t="str">
        <f>LEFT(Database!GZ2,3)</f>
        <v>Aug</v>
      </c>
      <c r="GH2" t="str">
        <f>LEFT(Database!HA2,3)</f>
        <v>Aug</v>
      </c>
      <c r="GI2" t="str">
        <f>LEFT(Database!HB2,3)</f>
        <v>Aug</v>
      </c>
      <c r="GJ2" t="str">
        <f>LEFT(Database!HC2,3)</f>
        <v>Aug</v>
      </c>
      <c r="GK2" t="str">
        <f>LEFT(Database!HD2,3)</f>
        <v>Aug</v>
      </c>
      <c r="GL2" t="str">
        <f>LEFT(Database!HE2,3)</f>
        <v>Sep</v>
      </c>
      <c r="GM2" t="str">
        <f>LEFT(Database!HF2,3)</f>
        <v>Sep</v>
      </c>
      <c r="GN2" t="str">
        <f>LEFT(Database!HG2,3)</f>
        <v>Sep</v>
      </c>
      <c r="GO2" t="str">
        <f>LEFT(Database!HH2,3)</f>
        <v>Sep</v>
      </c>
      <c r="GP2" t="str">
        <f>LEFT(Database!HI2,3)</f>
        <v>Oct</v>
      </c>
      <c r="GQ2" t="str">
        <f>LEFT(Database!HJ2,3)</f>
        <v>Oct</v>
      </c>
      <c r="GR2" t="str">
        <f>LEFT(Database!HK2,3)</f>
        <v>Oct</v>
      </c>
      <c r="GS2" t="str">
        <f>LEFT(Database!HL2,3)</f>
        <v>Oct</v>
      </c>
      <c r="GT2" t="str">
        <f>LEFT(Database!HM2,3)</f>
        <v>Oct</v>
      </c>
      <c r="GU2" t="str">
        <f>LEFT(Database!HN2,3)</f>
        <v>Nov</v>
      </c>
      <c r="GV2" t="str">
        <f>LEFT(Database!HO2,3)</f>
        <v>Nov</v>
      </c>
      <c r="GW2" t="str">
        <f>LEFT(Database!HP2,3)</f>
        <v>Nov</v>
      </c>
      <c r="GX2" t="str">
        <f>LEFT(Database!HQ2,3)</f>
        <v>Nov</v>
      </c>
      <c r="GY2" t="str">
        <f>LEFT(Database!HR2,3)</f>
        <v>Dec</v>
      </c>
      <c r="GZ2" t="str">
        <f>LEFT(Database!HS2,3)</f>
        <v>Dec</v>
      </c>
      <c r="HA2" t="str">
        <f>LEFT(Database!HT2,3)</f>
        <v>Dec</v>
      </c>
      <c r="HB2" t="str">
        <f>LEFT(Database!HU2,3)</f>
        <v>Jan</v>
      </c>
      <c r="HC2" t="str">
        <f>LEFT(Database!HV2,3)</f>
        <v>Jan</v>
      </c>
      <c r="HD2" t="str">
        <f>LEFT(Database!HW2,3)</f>
        <v>Jan</v>
      </c>
      <c r="HE2" t="str">
        <f>LEFT(Database!HX2,3)</f>
        <v>Jan</v>
      </c>
      <c r="HF2" t="str">
        <f>LEFT(Database!HY2,3)</f>
        <v>Feb</v>
      </c>
      <c r="HG2" t="str">
        <f>LEFT(Database!HZ2,3)</f>
        <v>Feb</v>
      </c>
      <c r="HH2" t="str">
        <f>LEFT(Database!IA2,3)</f>
        <v>Feb</v>
      </c>
      <c r="HI2" t="str">
        <f>LEFT(Database!IB2,3)</f>
        <v>Feb</v>
      </c>
      <c r="HJ2" t="str">
        <f>LEFT(Database!IC2,3)</f>
        <v>Mar</v>
      </c>
      <c r="HK2" t="str">
        <f>LEFT(Database!ID2,3)</f>
        <v>Mar</v>
      </c>
      <c r="HL2" t="str">
        <f>LEFT(Database!IE2,3)</f>
        <v>Mar</v>
      </c>
      <c r="HM2" t="str">
        <f>LEFT(Database!IF2,3)</f>
        <v>Mar</v>
      </c>
      <c r="HN2" t="str">
        <f>LEFT(Database!IG2,3)</f>
        <v>Apr</v>
      </c>
      <c r="HO2" t="str">
        <f>LEFT(Database!IH2,3)</f>
        <v>Apr</v>
      </c>
      <c r="HP2" t="str">
        <f>LEFT(Database!II2,3)</f>
        <v>Apr</v>
      </c>
      <c r="HQ2" t="str">
        <f>LEFT(Database!IJ2,3)</f>
        <v>Apr</v>
      </c>
      <c r="HR2" t="str">
        <f>LEFT(Database!IK2,3)</f>
        <v>Apr</v>
      </c>
      <c r="HS2" t="str">
        <f>LEFT(Database!IL2,3)</f>
        <v>May</v>
      </c>
      <c r="HT2" t="str">
        <f>LEFT(Database!IM2,3)</f>
        <v>May</v>
      </c>
      <c r="HU2" t="str">
        <f>LEFT(Database!IN2,3)</f>
        <v>May</v>
      </c>
      <c r="HV2" t="str">
        <f>LEFT(Database!IO2,3)</f>
        <v>May</v>
      </c>
      <c r="HW2" t="str">
        <f>LEFT(Database!IP2,3)</f>
        <v>Jun</v>
      </c>
      <c r="HX2" t="str">
        <f>LEFT(Database!IQ2,3)</f>
        <v>Jun</v>
      </c>
      <c r="HY2" t="str">
        <f>LEFT(Database!IR2,3)</f>
        <v>Jun</v>
      </c>
      <c r="HZ2" t="str">
        <f>LEFT(Database!IS2,3)</f>
        <v>Jun</v>
      </c>
      <c r="IA2" t="str">
        <f>LEFT(Database!IT2,3)</f>
        <v>Jul</v>
      </c>
      <c r="IB2" t="str">
        <f>LEFT(Database!IU2,3)</f>
        <v>Jul</v>
      </c>
      <c r="IC2" t="str">
        <f>LEFT(Database!IV2,3)</f>
        <v>Jul</v>
      </c>
      <c r="ID2" t="str">
        <f>LEFT(Database!IW2,3)</f>
        <v>Jul</v>
      </c>
      <c r="IE2" t="str">
        <f>LEFT(Database!IX2,3)</f>
        <v>Jul</v>
      </c>
      <c r="IF2" t="str">
        <f>LEFT(Database!IY2,3)</f>
        <v>Aug</v>
      </c>
      <c r="IG2" t="str">
        <f>LEFT(Database!IZ2,3)</f>
        <v>Aug</v>
      </c>
      <c r="IH2" t="str">
        <f>LEFT(Database!JA2,3)</f>
        <v>Aug</v>
      </c>
      <c r="II2" t="str">
        <f>LEFT(Database!JB2,3)</f>
        <v>Aug</v>
      </c>
      <c r="IJ2" t="str">
        <f>LEFT(Database!JC2,3)</f>
        <v>Sep</v>
      </c>
      <c r="IK2" t="str">
        <f>LEFT(Database!JD2,3)</f>
        <v>Sep</v>
      </c>
      <c r="IL2" t="str">
        <f>LEFT(Database!JE2,3)</f>
        <v>Sep</v>
      </c>
      <c r="IM2" t="str">
        <f>LEFT(Database!JF2,3)</f>
        <v>Sep</v>
      </c>
      <c r="IN2" t="str">
        <f>LEFT(Database!JG2,3)</f>
        <v>Oct</v>
      </c>
      <c r="IO2" t="str">
        <f>LEFT(Database!JH2,3)</f>
        <v>Oct</v>
      </c>
      <c r="IP2" t="str">
        <f>LEFT(Database!JI2,3)</f>
        <v>Oct</v>
      </c>
      <c r="IQ2" t="str">
        <f>LEFT(Database!JJ2,3)</f>
        <v>Oct</v>
      </c>
      <c r="IR2" t="str">
        <f>LEFT(Database!JK2,3)</f>
        <v>Oct</v>
      </c>
      <c r="IS2" t="str">
        <f>LEFT(Database!JL2,3)</f>
        <v>Nov</v>
      </c>
      <c r="IT2" t="str">
        <f>LEFT(Database!JM2,3)</f>
        <v>Nov</v>
      </c>
      <c r="IU2" t="str">
        <f>LEFT(Database!JN2,3)</f>
        <v>Nov</v>
      </c>
      <c r="IV2" t="str">
        <f>LEFT(Database!JO2,3)</f>
        <v>Nov</v>
      </c>
      <c r="IW2" t="str">
        <f>LEFT(Database!JP2,3)</f>
        <v>Dec</v>
      </c>
      <c r="IX2" t="str">
        <f>LEFT(Database!JQ2,3)</f>
        <v>Dec</v>
      </c>
      <c r="IY2" t="str">
        <f>LEFT(Database!JR2,3)</f>
        <v>Dec</v>
      </c>
      <c r="IZ2" t="str">
        <f>LEFT(Database!JS2,3)</f>
        <v>Dec</v>
      </c>
      <c r="JA2" t="str">
        <f>LEFT(Database!JT2,3)</f>
        <v>Jan</v>
      </c>
      <c r="JB2" t="str">
        <f>LEFT(Database!JU2,3)</f>
        <v>Jan</v>
      </c>
      <c r="JC2" t="str">
        <f>LEFT(Database!JV2,3)</f>
        <v>Jan</v>
      </c>
      <c r="JD2" t="str">
        <f>LEFT(Database!JW2,3)</f>
        <v>Jan</v>
      </c>
      <c r="JE2" t="str">
        <f>LEFT(Database!JX2,3)</f>
        <v>Feb</v>
      </c>
      <c r="JF2" t="str">
        <f>LEFT(Database!JY2,3)</f>
        <v>Feb</v>
      </c>
      <c r="JG2" t="str">
        <f>LEFT(Database!JZ2,3)</f>
        <v>Feb</v>
      </c>
      <c r="JH2" t="str">
        <f>LEFT(Database!KA2,3)</f>
        <v>Feb</v>
      </c>
      <c r="JI2" t="str">
        <f>LEFT(Database!KB2,3)</f>
        <v>Mar</v>
      </c>
      <c r="JJ2" t="str">
        <f>LEFT(Database!KC2,3)</f>
        <v>Mar</v>
      </c>
      <c r="JK2" t="str">
        <f>LEFT(Database!KD2,3)</f>
        <v>Mar</v>
      </c>
      <c r="JL2" t="str">
        <f>LEFT(Database!KE2,3)</f>
        <v>Mar</v>
      </c>
      <c r="JM2" t="str">
        <f>LEFT(Database!KF2,3)</f>
        <v>Apr</v>
      </c>
      <c r="JN2" t="str">
        <f>LEFT(Database!KG2,3)</f>
        <v>Apr</v>
      </c>
      <c r="JO2" t="str">
        <f>LEFT(Database!KH2,3)</f>
        <v>Apr</v>
      </c>
      <c r="JP2" t="str">
        <f>LEFT(Database!KI2,3)</f>
        <v>Apr</v>
      </c>
      <c r="JQ2" t="str">
        <f>LEFT(Database!KJ2,3)</f>
        <v>Apr</v>
      </c>
      <c r="JR2" t="str">
        <f>LEFT(Database!KK2,3)</f>
        <v>May</v>
      </c>
      <c r="JS2" t="str">
        <f>LEFT(Database!KL2,3)</f>
        <v>May</v>
      </c>
      <c r="JT2" t="str">
        <f>LEFT(Database!KM2,3)</f>
        <v>May</v>
      </c>
      <c r="JU2" t="str">
        <f>LEFT(Database!KN2,3)</f>
        <v>May</v>
      </c>
      <c r="JV2" t="str">
        <f>LEFT(Database!KO2,3)</f>
        <v>Jun</v>
      </c>
      <c r="JW2" t="str">
        <f>LEFT(Database!KP2,3)</f>
        <v>Jun</v>
      </c>
      <c r="JX2" t="str">
        <f>LEFT(Database!KQ2,3)</f>
        <v>Jun</v>
      </c>
      <c r="JY2" t="str">
        <f>LEFT(Database!KR2,3)</f>
        <v>Jun</v>
      </c>
      <c r="JZ2" t="str">
        <f>LEFT(Database!KS2,3)</f>
        <v/>
      </c>
      <c r="KA2" t="str">
        <f>LEFT(Database!KT2,3)</f>
        <v/>
      </c>
      <c r="KB2" t="str">
        <f>LEFT(Database!KU2,3)</f>
        <v/>
      </c>
      <c r="KC2" t="str">
        <f>LEFT(Database!KV2,3)</f>
        <v/>
      </c>
      <c r="KD2" t="str">
        <f>LEFT(Database!KW2,3)</f>
        <v/>
      </c>
      <c r="KE2" t="str">
        <f>LEFT(Database!KX2,3)</f>
        <v/>
      </c>
      <c r="KF2" t="str">
        <f>LEFT(Database!KY2,3)</f>
        <v/>
      </c>
      <c r="KG2" t="str">
        <f>LEFT(Database!KZ2,3)</f>
        <v/>
      </c>
      <c r="KH2" t="str">
        <f>LEFT(Database!LA2,3)</f>
        <v/>
      </c>
      <c r="KI2" t="str">
        <f>LEFT(Database!LB2,3)</f>
        <v/>
      </c>
      <c r="KJ2" t="str">
        <f>LEFT(Database!LC2,3)</f>
        <v/>
      </c>
      <c r="KK2" t="str">
        <f>LEFT(Database!LD2,3)</f>
        <v/>
      </c>
      <c r="KL2" t="str">
        <f>LEFT(Database!LE2,3)</f>
        <v/>
      </c>
      <c r="KM2" t="str">
        <f>LEFT(Database!LF2,3)</f>
        <v/>
      </c>
      <c r="KN2" t="str">
        <f>LEFT(Database!LG2,3)</f>
        <v/>
      </c>
      <c r="KO2" t="str">
        <f>LEFT(Database!LH2,3)</f>
        <v/>
      </c>
      <c r="KP2" t="str">
        <f>LEFT(Database!LI2,3)</f>
        <v/>
      </c>
      <c r="KQ2" t="str">
        <f>LEFT(Database!LJ2,3)</f>
        <v/>
      </c>
      <c r="KR2" t="str">
        <f>LEFT(Database!LK2,3)</f>
        <v/>
      </c>
      <c r="KS2" t="str">
        <f>LEFT(Database!LL2,3)</f>
        <v/>
      </c>
      <c r="KT2" t="str">
        <f>LEFT(Database!LM2,3)</f>
        <v/>
      </c>
      <c r="KU2" t="str">
        <f>LEFT(Database!LN2,3)</f>
        <v/>
      </c>
      <c r="KV2" t="str">
        <f>LEFT(Database!LO2,3)</f>
        <v/>
      </c>
      <c r="KW2" t="str">
        <f>LEFT(Database!LP2,3)</f>
        <v/>
      </c>
      <c r="KX2" t="str">
        <f>LEFT(Database!LQ2,3)</f>
        <v/>
      </c>
      <c r="KY2" t="str">
        <f>LEFT(Database!LR2,3)</f>
        <v/>
      </c>
      <c r="KZ2" t="str">
        <f>LEFT(Database!LS2,3)</f>
        <v/>
      </c>
      <c r="LA2" t="str">
        <f>LEFT(Database!LT2,3)</f>
        <v/>
      </c>
      <c r="LB2" t="str">
        <f>LEFT(Database!LU2,3)</f>
        <v/>
      </c>
      <c r="LC2" t="str">
        <f>LEFT(Database!LV2,3)</f>
        <v/>
      </c>
      <c r="LD2" t="str">
        <f>LEFT(Database!LW2,3)</f>
        <v/>
      </c>
      <c r="LE2" t="str">
        <f>LEFT(Database!LX2,3)</f>
        <v/>
      </c>
      <c r="LF2" t="str">
        <f>LEFT(Database!LY2,3)</f>
        <v/>
      </c>
      <c r="LG2" t="str">
        <f>LEFT(Database!LZ2,3)</f>
        <v/>
      </c>
      <c r="LH2" t="str">
        <f>LEFT(Database!MA2,3)</f>
        <v/>
      </c>
      <c r="LI2" t="str">
        <f>LEFT(Database!MB2,3)</f>
        <v/>
      </c>
      <c r="LJ2" t="str">
        <f>LEFT(Database!MC2,3)</f>
        <v/>
      </c>
      <c r="LK2" t="str">
        <f>LEFT(Database!MD2,3)</f>
        <v/>
      </c>
      <c r="LL2" t="str">
        <f>LEFT(Database!ME2,3)</f>
        <v/>
      </c>
      <c r="LM2" t="str">
        <f>LEFT(Database!MF2,3)</f>
        <v/>
      </c>
      <c r="LN2" t="str">
        <f>LEFT(Database!MG2,3)</f>
        <v/>
      </c>
      <c r="LO2" t="str">
        <f>LEFT(Database!MH2,3)</f>
        <v/>
      </c>
      <c r="LP2" t="str">
        <f>LEFT(Database!MI2,3)</f>
        <v/>
      </c>
      <c r="LQ2" t="str">
        <f>LEFT(Database!MJ2,3)</f>
        <v/>
      </c>
      <c r="LR2" t="str">
        <f>LEFT(Database!MK2,3)</f>
        <v/>
      </c>
      <c r="LS2" t="str">
        <f>LEFT(Database!ML2,3)</f>
        <v/>
      </c>
      <c r="LT2" t="str">
        <f>LEFT(Database!MM2,3)</f>
        <v/>
      </c>
      <c r="LU2" t="str">
        <f>LEFT(Database!MN2,3)</f>
        <v/>
      </c>
      <c r="LV2" t="str">
        <f>LEFT(Database!MO2,3)</f>
        <v/>
      </c>
      <c r="LW2" t="str">
        <f>LEFT(Database!MP2,3)</f>
        <v/>
      </c>
      <c r="LX2" t="str">
        <f>LEFT(Database!MQ2,3)</f>
        <v/>
      </c>
      <c r="LY2" t="str">
        <f>LEFT(Database!MR2,3)</f>
        <v/>
      </c>
      <c r="LZ2" t="str">
        <f>LEFT(Database!MS2,3)</f>
        <v/>
      </c>
      <c r="MA2" t="str">
        <f>LEFT(Database!MT2,3)</f>
        <v/>
      </c>
      <c r="MB2" t="str">
        <f>LEFT(Database!MU2,3)</f>
        <v/>
      </c>
      <c r="MC2" t="str">
        <f>LEFT(Database!MV2,3)</f>
        <v/>
      </c>
      <c r="MD2" t="str">
        <f>LEFT(Database!MW2,3)</f>
        <v/>
      </c>
      <c r="ME2" t="str">
        <f>LEFT(Database!MX2,3)</f>
        <v/>
      </c>
      <c r="MF2" t="str">
        <f>LEFT(Database!MY2,3)</f>
        <v/>
      </c>
      <c r="MG2" t="str">
        <f>LEFT(Database!MZ2,3)</f>
        <v/>
      </c>
      <c r="MH2" t="str">
        <f>LEFT(Database!NA2,3)</f>
        <v/>
      </c>
      <c r="MI2" t="str">
        <f>LEFT(Database!NB2,3)</f>
        <v/>
      </c>
      <c r="MJ2" t="str">
        <f>LEFT(Database!NC2,3)</f>
        <v/>
      </c>
      <c r="MK2" t="str">
        <f>LEFT(Database!ND2,3)</f>
        <v/>
      </c>
      <c r="ML2" t="str">
        <f>LEFT(Database!NE2,3)</f>
        <v/>
      </c>
      <c r="MM2" t="str">
        <f>LEFT(Database!NF2,3)</f>
        <v/>
      </c>
      <c r="MN2" t="str">
        <f>LEFT(Database!NG2,3)</f>
        <v/>
      </c>
      <c r="MO2" t="str">
        <f>LEFT(Database!NH2,3)</f>
        <v/>
      </c>
      <c r="MP2" t="str">
        <f>LEFT(Database!NI2,3)</f>
        <v/>
      </c>
      <c r="MQ2" t="str">
        <f>LEFT(Database!NJ2,3)</f>
        <v/>
      </c>
      <c r="MR2" t="str">
        <f>LEFT(Database!NK2,3)</f>
        <v/>
      </c>
      <c r="MS2" t="str">
        <f>LEFT(Database!NL2,3)</f>
        <v/>
      </c>
      <c r="MT2" t="str">
        <f>LEFT(Database!NM2,3)</f>
        <v/>
      </c>
      <c r="MU2" t="str">
        <f>LEFT(Database!NN2,3)</f>
        <v/>
      </c>
      <c r="MV2" t="str">
        <f>LEFT(Database!NO2,3)</f>
        <v/>
      </c>
      <c r="MW2" t="str">
        <f>LEFT(Database!NP2,3)</f>
        <v/>
      </c>
      <c r="MX2" t="str">
        <f>LEFT(Database!NQ2,3)</f>
        <v/>
      </c>
      <c r="MY2" t="str">
        <f>LEFT(Database!NR2,3)</f>
        <v/>
      </c>
      <c r="MZ2" t="str">
        <f>LEFT(Database!NS2,3)</f>
        <v/>
      </c>
      <c r="NA2" t="str">
        <f>LEFT(Database!NT2,3)</f>
        <v/>
      </c>
      <c r="NB2" t="str">
        <f>LEFT(Database!NU2,3)</f>
        <v/>
      </c>
      <c r="NC2" t="str">
        <f>LEFT(Database!NV2,3)</f>
        <v/>
      </c>
      <c r="ND2" t="str">
        <f>LEFT(Database!NW2,3)</f>
        <v/>
      </c>
      <c r="NE2" t="str">
        <f>LEFT(Database!NX2,3)</f>
        <v/>
      </c>
      <c r="NF2" t="str">
        <f>LEFT(Database!NY2,3)</f>
        <v/>
      </c>
      <c r="NG2" t="str">
        <f>LEFT(Database!NZ2,3)</f>
        <v/>
      </c>
      <c r="NH2" t="str">
        <f>LEFT(Database!OA2,3)</f>
        <v/>
      </c>
      <c r="NI2" t="str">
        <f>LEFT(Database!OB2,3)</f>
        <v/>
      </c>
      <c r="NJ2" t="str">
        <f>LEFT(Database!OC2,3)</f>
        <v/>
      </c>
      <c r="NK2" t="str">
        <f>LEFT(Database!OD2,3)</f>
        <v/>
      </c>
      <c r="NL2" t="str">
        <f>LEFT(Database!OE2,3)</f>
        <v/>
      </c>
      <c r="NM2" t="str">
        <f>LEFT(Database!OF2,3)</f>
        <v/>
      </c>
      <c r="NN2" t="str">
        <f>LEFT(Database!OG2,3)</f>
        <v/>
      </c>
      <c r="NO2" t="str">
        <f>LEFT(Database!OH2,3)</f>
        <v/>
      </c>
      <c r="NP2" t="str">
        <f>LEFT(Database!OI2,3)</f>
        <v/>
      </c>
      <c r="NQ2" t="str">
        <f>LEFT(Database!OJ2,3)</f>
        <v/>
      </c>
      <c r="NR2" t="str">
        <f>LEFT(Database!OK2,3)</f>
        <v/>
      </c>
      <c r="NS2" t="str">
        <f>LEFT(Database!OL2,3)</f>
        <v/>
      </c>
      <c r="NT2" t="str">
        <f>LEFT(Database!OM2,3)</f>
        <v/>
      </c>
      <c r="NU2" t="str">
        <f>LEFT(Database!ON2,3)</f>
        <v/>
      </c>
      <c r="NV2" t="str">
        <f>LEFT(Database!OO2,3)</f>
        <v/>
      </c>
      <c r="NW2" t="str">
        <f>LEFT(Database!OP2,3)</f>
        <v/>
      </c>
      <c r="NX2" t="str">
        <f>LEFT(Database!OQ2,3)</f>
        <v/>
      </c>
      <c r="NY2" t="str">
        <f>LEFT(Database!OR2,3)</f>
        <v/>
      </c>
      <c r="NZ2" t="str">
        <f>LEFT(Database!OS2,3)</f>
        <v/>
      </c>
      <c r="OA2" t="str">
        <f>LEFT(Database!OT2,3)</f>
        <v/>
      </c>
      <c r="OB2" t="str">
        <f>LEFT(Database!OU2,3)</f>
        <v/>
      </c>
      <c r="OC2" t="str">
        <f>LEFT(Database!OV2,3)</f>
        <v/>
      </c>
      <c r="OD2" t="str">
        <f>LEFT(Database!OW2,3)</f>
        <v/>
      </c>
      <c r="OE2" t="str">
        <f>LEFT(Database!OX2,3)</f>
        <v/>
      </c>
      <c r="OF2" t="str">
        <f>LEFT(Database!OY2,3)</f>
        <v/>
      </c>
      <c r="OG2" t="str">
        <f>LEFT(Database!OZ2,3)</f>
        <v/>
      </c>
      <c r="OH2" t="str">
        <f>LEFT(Database!PA2,3)</f>
        <v/>
      </c>
      <c r="OI2" t="str">
        <f>LEFT(Database!PB2,3)</f>
        <v/>
      </c>
      <c r="OJ2" t="str">
        <f>LEFT(Database!PC2,3)</f>
        <v/>
      </c>
      <c r="OK2" t="str">
        <f>LEFT(Database!PD2,3)</f>
        <v/>
      </c>
      <c r="OL2" t="str">
        <f>LEFT(Database!PE2,3)</f>
        <v/>
      </c>
      <c r="OM2" t="str">
        <f>LEFT(Database!PF2,3)</f>
        <v/>
      </c>
      <c r="ON2" t="str">
        <f>LEFT(Database!PG2,3)</f>
        <v/>
      </c>
      <c r="OO2" t="str">
        <f>LEFT(Database!PH2,3)</f>
        <v/>
      </c>
      <c r="OP2" t="str">
        <f>LEFT(Database!PI2,3)</f>
        <v/>
      </c>
      <c r="OQ2" t="str">
        <f>LEFT(Database!PJ2,3)</f>
        <v/>
      </c>
      <c r="OR2" t="str">
        <f>LEFT(Database!PK2,3)</f>
        <v/>
      </c>
      <c r="OS2" t="str">
        <f>LEFT(Database!PL2,3)</f>
        <v/>
      </c>
      <c r="OT2" t="str">
        <f>LEFT(Database!PM2,3)</f>
        <v/>
      </c>
      <c r="OU2" t="str">
        <f>LEFT(Database!PN2,3)</f>
        <v/>
      </c>
      <c r="OV2" t="str">
        <f>LEFT(Database!PO2,3)</f>
        <v/>
      </c>
      <c r="OW2" t="str">
        <f>LEFT(Database!PP2,3)</f>
        <v/>
      </c>
      <c r="OX2" t="str">
        <f>LEFT(Database!PQ2,3)</f>
        <v/>
      </c>
      <c r="OY2" t="str">
        <f>LEFT(Database!PR2,3)</f>
        <v/>
      </c>
      <c r="OZ2" t="str">
        <f>LEFT(Database!PS2,3)</f>
        <v/>
      </c>
      <c r="PA2" t="str">
        <f>LEFT(Database!PT2,3)</f>
        <v/>
      </c>
      <c r="PB2" t="str">
        <f>LEFT(Database!PU2,3)</f>
        <v/>
      </c>
      <c r="PC2" t="str">
        <f>LEFT(Database!PV2,3)</f>
        <v/>
      </c>
      <c r="PD2" t="str">
        <f>LEFT(Database!PW2,3)</f>
        <v/>
      </c>
      <c r="PE2" t="str">
        <f>LEFT(Database!PX2,3)</f>
        <v/>
      </c>
      <c r="PF2" t="str">
        <f>LEFT(Database!PY2,3)</f>
        <v/>
      </c>
      <c r="PG2" t="str">
        <f>LEFT(Database!PZ2,3)</f>
        <v/>
      </c>
      <c r="PH2" t="str">
        <f>LEFT(Database!QA2,3)</f>
        <v/>
      </c>
      <c r="PI2" t="str">
        <f>LEFT(Database!QB2,3)</f>
        <v/>
      </c>
      <c r="PJ2" t="str">
        <f>LEFT(Database!QC2,3)</f>
        <v/>
      </c>
      <c r="PK2" t="str">
        <f>LEFT(Database!QD2,3)</f>
        <v/>
      </c>
      <c r="PL2" t="str">
        <f>LEFT(Database!QE2,3)</f>
        <v/>
      </c>
      <c r="PM2" t="str">
        <f>LEFT(Database!QF2,3)</f>
        <v/>
      </c>
      <c r="PN2" t="str">
        <f>LEFT(Database!QG2,3)</f>
        <v/>
      </c>
      <c r="PO2" t="str">
        <f>LEFT(Database!QH2,3)</f>
        <v/>
      </c>
      <c r="PP2" t="str">
        <f>LEFT(Database!QI2,3)</f>
        <v/>
      </c>
      <c r="PQ2" t="str">
        <f>LEFT(Database!QJ2,3)</f>
        <v/>
      </c>
      <c r="PR2" t="str">
        <f>LEFT(Database!QK2,3)</f>
        <v/>
      </c>
      <c r="PS2" t="str">
        <f>LEFT(Database!QL2,3)</f>
        <v/>
      </c>
      <c r="PT2" t="str">
        <f>LEFT(Database!QM2,3)</f>
        <v/>
      </c>
      <c r="PU2" t="str">
        <f>LEFT(Database!QN2,3)</f>
        <v/>
      </c>
      <c r="PV2" t="str">
        <f>LEFT(Database!QO2,3)</f>
        <v/>
      </c>
      <c r="PW2" t="str">
        <f>LEFT(Database!QP2,3)</f>
        <v/>
      </c>
      <c r="PX2" t="str">
        <f>LEFT(Database!QQ2,3)</f>
        <v/>
      </c>
      <c r="PY2" t="str">
        <f>LEFT(Database!QR2,3)</f>
        <v/>
      </c>
      <c r="PZ2" t="str">
        <f>LEFT(Database!QS2,3)</f>
        <v/>
      </c>
      <c r="QA2" t="str">
        <f>LEFT(Database!QT2,3)</f>
        <v/>
      </c>
      <c r="QB2" t="str">
        <f>LEFT(Database!QU2,3)</f>
        <v/>
      </c>
      <c r="QC2" t="str">
        <f>LEFT(Database!QV2,3)</f>
        <v/>
      </c>
      <c r="QD2" t="str">
        <f>LEFT(Database!QW2,3)</f>
        <v/>
      </c>
      <c r="QE2" t="str">
        <f>LEFT(Database!QX2,3)</f>
        <v/>
      </c>
      <c r="QF2" t="str">
        <f>LEFT(Database!QY2,3)</f>
        <v/>
      </c>
      <c r="QG2" t="str">
        <f>LEFT(Database!QZ2,3)</f>
        <v/>
      </c>
      <c r="QH2" t="str">
        <f>LEFT(Database!RA2,3)</f>
        <v/>
      </c>
      <c r="QI2" t="str">
        <f>LEFT(Database!RB2,3)</f>
        <v/>
      </c>
      <c r="QJ2" t="str">
        <f>LEFT(Database!RC2,3)</f>
        <v/>
      </c>
      <c r="QK2" t="str">
        <f>LEFT(Database!RD2,3)</f>
        <v/>
      </c>
      <c r="QL2" t="str">
        <f>LEFT(Database!RE2,3)</f>
        <v/>
      </c>
      <c r="QM2" t="str">
        <f>LEFT(Database!RF2,3)</f>
        <v/>
      </c>
      <c r="QN2" t="str">
        <f>LEFT(Database!RG2,3)</f>
        <v/>
      </c>
      <c r="QO2" t="str">
        <f>LEFT(Database!RH2,3)</f>
        <v/>
      </c>
      <c r="QP2" t="str">
        <f>LEFT(Database!RI2,3)</f>
        <v/>
      </c>
      <c r="QQ2" t="str">
        <f>LEFT(Database!RJ2,3)</f>
        <v/>
      </c>
      <c r="QR2" t="str">
        <f>LEFT(Database!RK2,3)</f>
        <v/>
      </c>
      <c r="QS2" t="str">
        <f>LEFT(Database!RL2,3)</f>
        <v/>
      </c>
      <c r="QT2" t="str">
        <f>LEFT(Database!RM2,3)</f>
        <v/>
      </c>
      <c r="QU2" t="str">
        <f>LEFT(Database!RN2,3)</f>
        <v/>
      </c>
      <c r="QV2" t="str">
        <f>LEFT(Database!RO2,3)</f>
        <v/>
      </c>
      <c r="QW2" t="str">
        <f>LEFT(Database!RP2,3)</f>
        <v/>
      </c>
      <c r="QX2" t="str">
        <f>LEFT(Database!RQ2,3)</f>
        <v/>
      </c>
      <c r="QY2" t="str">
        <f>LEFT(Database!RR2,3)</f>
        <v/>
      </c>
      <c r="QZ2" t="str">
        <f>LEFT(Database!RS2,3)</f>
        <v/>
      </c>
      <c r="RA2" t="str">
        <f>LEFT(Database!RT2,3)</f>
        <v/>
      </c>
      <c r="RB2" t="str">
        <f>LEFT(Database!RU2,3)</f>
        <v/>
      </c>
      <c r="RC2" t="str">
        <f>LEFT(Database!RV2,3)</f>
        <v/>
      </c>
      <c r="RD2" t="str">
        <f>LEFT(Database!RW2,3)</f>
        <v/>
      </c>
      <c r="RE2" t="str">
        <f>LEFT(Database!RX2,3)</f>
        <v/>
      </c>
      <c r="RF2" t="str">
        <f>LEFT(Database!RY2,3)</f>
        <v/>
      </c>
      <c r="RG2" t="str">
        <f>LEFT(Database!RZ2,3)</f>
        <v/>
      </c>
      <c r="RH2" t="str">
        <f>LEFT(Database!SA2,3)</f>
        <v/>
      </c>
      <c r="RI2" t="str">
        <f>LEFT(Database!SB2,3)</f>
        <v/>
      </c>
      <c r="RJ2" t="str">
        <f>LEFT(Database!SC2,3)</f>
        <v/>
      </c>
      <c r="RK2" t="str">
        <f>LEFT(Database!SD2,3)</f>
        <v/>
      </c>
      <c r="RL2" t="str">
        <f>LEFT(Database!SE2,3)</f>
        <v/>
      </c>
      <c r="RM2" t="str">
        <f>LEFT(Database!SF2,3)</f>
        <v/>
      </c>
      <c r="RN2" t="str">
        <f>LEFT(Database!SG2,3)</f>
        <v/>
      </c>
      <c r="RO2" t="str">
        <f>LEFT(Database!SH2,3)</f>
        <v/>
      </c>
      <c r="RP2" t="str">
        <f>LEFT(Database!SI2,3)</f>
        <v/>
      </c>
      <c r="RQ2" t="str">
        <f>LEFT(Database!SJ2,3)</f>
        <v/>
      </c>
      <c r="RR2" t="str">
        <f>LEFT(Database!SK2,3)</f>
        <v/>
      </c>
      <c r="RS2" t="str">
        <f>LEFT(Database!SL2,3)</f>
        <v/>
      </c>
      <c r="RT2" t="str">
        <f>LEFT(Database!SM2,3)</f>
        <v/>
      </c>
      <c r="RU2" t="str">
        <f>LEFT(Database!SN2,3)</f>
        <v/>
      </c>
      <c r="RV2" t="str">
        <f>LEFT(Database!SO2,3)</f>
        <v/>
      </c>
      <c r="RW2" t="str">
        <f>LEFT(Database!SP2,3)</f>
        <v/>
      </c>
      <c r="RX2" t="str">
        <f>LEFT(Database!SQ2,3)</f>
        <v/>
      </c>
      <c r="RY2" t="str">
        <f>LEFT(Database!SR2,3)</f>
        <v/>
      </c>
      <c r="RZ2" t="str">
        <f>LEFT(Database!SS2,3)</f>
        <v/>
      </c>
      <c r="SA2" t="str">
        <f>LEFT(Database!ST2,3)</f>
        <v/>
      </c>
      <c r="SB2" t="str">
        <f>LEFT(Database!SU2,3)</f>
        <v/>
      </c>
      <c r="SC2" t="str">
        <f>LEFT(Database!SV2,3)</f>
        <v/>
      </c>
      <c r="SD2" t="str">
        <f>LEFT(Database!SW2,3)</f>
        <v/>
      </c>
      <c r="SE2" t="str">
        <f>LEFT(Database!SX2,3)</f>
        <v/>
      </c>
      <c r="SF2" t="str">
        <f>LEFT(Database!SY2,3)</f>
        <v/>
      </c>
      <c r="SG2" t="str">
        <f>LEFT(Database!SZ2,3)</f>
        <v/>
      </c>
      <c r="SH2" t="str">
        <f>LEFT(Database!TA2,3)</f>
        <v/>
      </c>
      <c r="SI2" t="str">
        <f>LEFT(Database!TB2,3)</f>
        <v/>
      </c>
      <c r="SJ2" t="str">
        <f>LEFT(Database!TC2,3)</f>
        <v/>
      </c>
      <c r="SK2" t="str">
        <f>LEFT(Database!TD2,3)</f>
        <v/>
      </c>
      <c r="SL2" t="str">
        <f>LEFT(Database!TE2,3)</f>
        <v/>
      </c>
      <c r="SM2" t="str">
        <f>LEFT(Database!TF2,3)</f>
        <v/>
      </c>
      <c r="SN2" t="str">
        <f>LEFT(Database!TG2,3)</f>
        <v/>
      </c>
      <c r="SO2" t="str">
        <f>LEFT(Database!TH2,3)</f>
        <v/>
      </c>
      <c r="SP2" t="str">
        <f>LEFT(Database!TI2,3)</f>
        <v/>
      </c>
      <c r="SQ2" t="str">
        <f>LEFT(Database!TJ2,3)</f>
        <v/>
      </c>
      <c r="SR2" t="str">
        <f>LEFT(Database!TK2,3)</f>
        <v/>
      </c>
      <c r="SS2" t="str">
        <f>LEFT(Database!TL2,3)</f>
        <v/>
      </c>
      <c r="ST2" t="str">
        <f>LEFT(Database!TM2,3)</f>
        <v/>
      </c>
      <c r="SU2" t="str">
        <f>LEFT(Database!TN2,3)</f>
        <v/>
      </c>
      <c r="SV2" t="str">
        <f>LEFT(Database!TO2,3)</f>
        <v/>
      </c>
      <c r="SW2" t="str">
        <f>LEFT(Database!TP2,3)</f>
        <v/>
      </c>
      <c r="SX2" t="str">
        <f>LEFT(Database!TQ2,3)</f>
        <v/>
      </c>
      <c r="SY2" t="str">
        <f>LEFT(Database!TR2,3)</f>
        <v/>
      </c>
      <c r="SZ2" t="str">
        <f>LEFT(Database!TS2,3)</f>
        <v/>
      </c>
      <c r="TA2" t="str">
        <f>LEFT(Database!TT2,3)</f>
        <v/>
      </c>
      <c r="TB2" t="str">
        <f>LEFT(Database!TU2,3)</f>
        <v/>
      </c>
      <c r="TC2" t="str">
        <f>LEFT(Database!TV2,3)</f>
        <v/>
      </c>
      <c r="TD2" t="str">
        <f>LEFT(Database!TW2,3)</f>
        <v/>
      </c>
      <c r="TE2" t="str">
        <f>LEFT(Database!TX2,3)</f>
        <v/>
      </c>
      <c r="TF2" t="str">
        <f>LEFT(Database!TY2,3)</f>
        <v/>
      </c>
      <c r="TG2" t="str">
        <f>LEFT(Database!TZ2,3)</f>
        <v/>
      </c>
      <c r="TH2" t="str">
        <f>LEFT(Database!UA2,3)</f>
        <v/>
      </c>
      <c r="TI2" t="str">
        <f>LEFT(Database!UB2,3)</f>
        <v/>
      </c>
      <c r="TJ2" t="str">
        <f>LEFT(Database!UC2,3)</f>
        <v/>
      </c>
      <c r="TK2" t="str">
        <f>LEFT(Database!UD2,3)</f>
        <v/>
      </c>
      <c r="TL2" t="str">
        <f>LEFT(Database!UE2,3)</f>
        <v/>
      </c>
      <c r="TM2" t="str">
        <f>LEFT(Database!UF2,3)</f>
        <v/>
      </c>
      <c r="TN2" t="str">
        <f>LEFT(Database!UG2,3)</f>
        <v/>
      </c>
      <c r="TO2" t="str">
        <f>LEFT(Database!UH2,3)</f>
        <v/>
      </c>
      <c r="TP2" t="str">
        <f>LEFT(Database!UI2,3)</f>
        <v/>
      </c>
      <c r="TQ2" t="str">
        <f>LEFT(Database!UJ2,3)</f>
        <v/>
      </c>
      <c r="TR2" t="str">
        <f>LEFT(Database!UK2,3)</f>
        <v/>
      </c>
      <c r="TS2" t="str">
        <f>LEFT(Database!UL2,3)</f>
        <v/>
      </c>
      <c r="TT2" t="str">
        <f>LEFT(Database!UM2,3)</f>
        <v/>
      </c>
      <c r="TU2" t="str">
        <f>LEFT(Database!UN2,3)</f>
        <v/>
      </c>
      <c r="TV2" t="str">
        <f>LEFT(Database!UO2,3)</f>
        <v/>
      </c>
      <c r="TW2" t="str">
        <f>LEFT(Database!UP2,3)</f>
        <v/>
      </c>
      <c r="TX2" t="str">
        <f>LEFT(Database!UQ2,3)</f>
        <v/>
      </c>
      <c r="TY2" t="str">
        <f>LEFT(Database!UR2,3)</f>
        <v/>
      </c>
      <c r="TZ2" t="str">
        <f>LEFT(Database!US2,3)</f>
        <v/>
      </c>
      <c r="UA2" t="str">
        <f>LEFT(Database!UT2,3)</f>
        <v/>
      </c>
      <c r="UB2" t="str">
        <f>LEFT(Database!UU2,3)</f>
        <v/>
      </c>
      <c r="UC2" t="str">
        <f>LEFT(Database!UV2,3)</f>
        <v/>
      </c>
      <c r="UD2" t="str">
        <f>LEFT(Database!UW2,3)</f>
        <v/>
      </c>
      <c r="UE2" t="str">
        <f>LEFT(Database!UX2,3)</f>
        <v/>
      </c>
      <c r="UF2" t="str">
        <f>LEFT(Database!UY2,3)</f>
        <v/>
      </c>
      <c r="UG2" t="str">
        <f>LEFT(Database!UZ2,3)</f>
        <v/>
      </c>
      <c r="UH2" t="str">
        <f>LEFT(Database!VA2,3)</f>
        <v/>
      </c>
      <c r="UI2" t="str">
        <f>LEFT(Database!VB2,3)</f>
        <v/>
      </c>
      <c r="UJ2" t="str">
        <f>LEFT(Database!VC2,3)</f>
        <v/>
      </c>
      <c r="UK2" t="str">
        <f>LEFT(Database!VD2,3)</f>
        <v/>
      </c>
      <c r="UL2" t="str">
        <f>LEFT(Database!VE2,3)</f>
        <v/>
      </c>
      <c r="UM2" t="str">
        <f>LEFT(Database!VF2,3)</f>
        <v/>
      </c>
      <c r="UN2" t="str">
        <f>LEFT(Database!VG2,3)</f>
        <v/>
      </c>
      <c r="UO2" t="str">
        <f>LEFT(Database!VH2,3)</f>
        <v/>
      </c>
      <c r="UP2" t="str">
        <f>LEFT(Database!VI2,3)</f>
        <v/>
      </c>
      <c r="UQ2" t="str">
        <f>LEFT(Database!VJ2,3)</f>
        <v/>
      </c>
      <c r="UR2" t="str">
        <f>LEFT(Database!VK2,3)</f>
        <v/>
      </c>
      <c r="US2" t="str">
        <f>LEFT(Database!VL2,3)</f>
        <v/>
      </c>
      <c r="UT2" t="str">
        <f>LEFT(Database!VM2,3)</f>
        <v/>
      </c>
      <c r="UU2" t="str">
        <f>LEFT(Database!VN2,3)</f>
        <v/>
      </c>
      <c r="UV2" t="str">
        <f>LEFT(Database!VO2,3)</f>
        <v/>
      </c>
      <c r="UW2" t="str">
        <f>LEFT(Database!VP2,3)</f>
        <v/>
      </c>
      <c r="UX2" t="str">
        <f>LEFT(Database!VQ2,3)</f>
        <v/>
      </c>
      <c r="UY2" t="str">
        <f>LEFT(Database!VR2,3)</f>
        <v/>
      </c>
      <c r="UZ2" t="str">
        <f>LEFT(Database!VS2,3)</f>
        <v/>
      </c>
      <c r="VA2" t="str">
        <f>LEFT(Database!VT2,3)</f>
        <v/>
      </c>
      <c r="VB2" t="str">
        <f>LEFT(Database!VU2,3)</f>
        <v/>
      </c>
      <c r="VC2" t="str">
        <f>LEFT(Database!VV2,3)</f>
        <v/>
      </c>
      <c r="VD2" t="str">
        <f>LEFT(Database!VW2,3)</f>
        <v/>
      </c>
      <c r="VE2" t="str">
        <f>LEFT(Database!VX2,3)</f>
        <v/>
      </c>
      <c r="VF2" t="str">
        <f>LEFT(Database!VY2,3)</f>
        <v/>
      </c>
      <c r="VG2" t="str">
        <f>LEFT(Database!VZ2,3)</f>
        <v/>
      </c>
      <c r="VH2" t="str">
        <f>LEFT(Database!WA2,3)</f>
        <v/>
      </c>
      <c r="VI2" t="str">
        <f>LEFT(Database!WB2,3)</f>
        <v/>
      </c>
      <c r="VJ2" t="str">
        <f>LEFT(Database!WC2,3)</f>
        <v/>
      </c>
      <c r="VK2" t="str">
        <f>LEFT(Database!WD2,3)</f>
        <v/>
      </c>
      <c r="VL2" t="str">
        <f>LEFT(Database!WE2,3)</f>
        <v/>
      </c>
      <c r="VM2" t="str">
        <f>LEFT(Database!WF2,3)</f>
        <v/>
      </c>
      <c r="VN2" t="str">
        <f>LEFT(Database!WG2,3)</f>
        <v/>
      </c>
      <c r="VO2" t="str">
        <f>LEFT(Database!WH2,3)</f>
        <v/>
      </c>
      <c r="VP2" t="str">
        <f>LEFT(Database!WI2,3)</f>
        <v/>
      </c>
      <c r="VQ2" t="str">
        <f>LEFT(Database!WJ2,3)</f>
        <v/>
      </c>
      <c r="VR2" t="str">
        <f>LEFT(Database!WK2,3)</f>
        <v/>
      </c>
      <c r="VS2" t="str">
        <f>LEFT(Database!WL2,3)</f>
        <v/>
      </c>
      <c r="VT2" t="str">
        <f>LEFT(Database!WM2,3)</f>
        <v/>
      </c>
      <c r="VU2" t="str">
        <f>LEFT(Database!WN2,3)</f>
        <v/>
      </c>
      <c r="VV2" t="str">
        <f>LEFT(Database!WO2,3)</f>
        <v/>
      </c>
      <c r="VW2" t="str">
        <f>LEFT(Database!WP2,3)</f>
        <v/>
      </c>
      <c r="VX2" t="str">
        <f>LEFT(Database!WQ2,3)</f>
        <v/>
      </c>
      <c r="VY2" t="str">
        <f>LEFT(Database!WR2,3)</f>
        <v/>
      </c>
      <c r="VZ2" t="str">
        <f>LEFT(Database!WS2,3)</f>
        <v/>
      </c>
      <c r="WA2" t="str">
        <f>LEFT(Database!WT2,3)</f>
        <v/>
      </c>
      <c r="WB2" t="str">
        <f>LEFT(Database!WU2,3)</f>
        <v/>
      </c>
      <c r="WC2" t="str">
        <f>LEFT(Database!WV2,3)</f>
        <v/>
      </c>
      <c r="WD2" t="str">
        <f>LEFT(Database!WW2,3)</f>
        <v/>
      </c>
      <c r="WE2" t="str">
        <f>LEFT(Database!WX2,3)</f>
        <v/>
      </c>
      <c r="WF2" t="str">
        <f>LEFT(Database!WY2,3)</f>
        <v/>
      </c>
      <c r="WG2" t="str">
        <f>LEFT(Database!WZ2,3)</f>
        <v/>
      </c>
      <c r="WH2" t="str">
        <f>LEFT(Database!XA2,3)</f>
        <v/>
      </c>
      <c r="WI2" t="str">
        <f>LEFT(Database!XB2,3)</f>
        <v/>
      </c>
      <c r="WJ2" t="str">
        <f>LEFT(Database!XC2,3)</f>
        <v/>
      </c>
      <c r="WK2" t="str">
        <f>LEFT(Database!XD2,3)</f>
        <v/>
      </c>
      <c r="WL2" t="str">
        <f>LEFT(Database!XE2,3)</f>
        <v/>
      </c>
      <c r="WM2" t="str">
        <f>LEFT(Database!XF2,3)</f>
        <v/>
      </c>
      <c r="WN2" t="str">
        <f>LEFT(Database!XG2,3)</f>
        <v/>
      </c>
      <c r="WO2" t="str">
        <f>LEFT(Database!XH2,3)</f>
        <v/>
      </c>
      <c r="WP2" t="str">
        <f>LEFT(Database!XI2,3)</f>
        <v/>
      </c>
      <c r="WQ2" t="str">
        <f>LEFT(Database!XJ2,3)</f>
        <v/>
      </c>
      <c r="WR2" t="str">
        <f>LEFT(Database!XK2,3)</f>
        <v/>
      </c>
      <c r="WS2" t="str">
        <f>LEFT(Database!XL2,3)</f>
        <v/>
      </c>
      <c r="WT2" t="str">
        <f>LEFT(Database!XM2,3)</f>
        <v/>
      </c>
      <c r="WU2" t="str">
        <f>LEFT(Database!XN2,3)</f>
        <v/>
      </c>
      <c r="WV2" t="str">
        <f>LEFT(Database!XO2,3)</f>
        <v/>
      </c>
      <c r="WW2" t="str">
        <f>LEFT(Database!XP2,3)</f>
        <v/>
      </c>
      <c r="WX2" t="str">
        <f>LEFT(Database!XQ2,3)</f>
        <v/>
      </c>
      <c r="WY2" t="str">
        <f>LEFT(Database!XR2,3)</f>
        <v/>
      </c>
      <c r="WZ2" t="str">
        <f>LEFT(Database!XS2,3)</f>
        <v/>
      </c>
      <c r="XA2" t="str">
        <f>LEFT(Database!XT2,3)</f>
        <v/>
      </c>
      <c r="XB2" t="str">
        <f>LEFT(Database!XU2,3)</f>
        <v/>
      </c>
      <c r="XC2" t="str">
        <f>LEFT(Database!XV2,3)</f>
        <v/>
      </c>
      <c r="XD2" t="str">
        <f>LEFT(Database!XW2,3)</f>
        <v/>
      </c>
      <c r="XE2" t="str">
        <f>LEFT(Database!XX2,3)</f>
        <v/>
      </c>
      <c r="XF2" t="str">
        <f>LEFT(Database!XY2,3)</f>
        <v/>
      </c>
      <c r="XG2" t="str">
        <f>LEFT(Database!XZ2,3)</f>
        <v/>
      </c>
      <c r="XH2" t="str">
        <f>LEFT(Database!YA2,3)</f>
        <v/>
      </c>
      <c r="XI2" t="str">
        <f>LEFT(Database!YB2,3)</f>
        <v/>
      </c>
      <c r="XJ2" t="str">
        <f>LEFT(Database!YC2,3)</f>
        <v/>
      </c>
      <c r="XK2" t="str">
        <f>LEFT(Database!YD2,3)</f>
        <v/>
      </c>
      <c r="XL2" t="str">
        <f>LEFT(Database!YE2,3)</f>
        <v/>
      </c>
      <c r="XM2" t="str">
        <f>LEFT(Database!YF2,3)</f>
        <v/>
      </c>
      <c r="XN2" t="str">
        <f>LEFT(Database!YG2,3)</f>
        <v/>
      </c>
      <c r="XO2" t="str">
        <f>LEFT(Database!YH2,3)</f>
        <v/>
      </c>
      <c r="XP2" t="str">
        <f>LEFT(Database!YI2,3)</f>
        <v/>
      </c>
      <c r="XQ2" t="str">
        <f>LEFT(Database!YJ2,3)</f>
        <v/>
      </c>
      <c r="XR2" t="str">
        <f>LEFT(Database!YK2,3)</f>
        <v/>
      </c>
      <c r="XS2" t="str">
        <f>LEFT(Database!YL2,3)</f>
        <v/>
      </c>
      <c r="XT2" t="str">
        <f>LEFT(Database!YM2,3)</f>
        <v/>
      </c>
      <c r="XU2" t="str">
        <f>LEFT(Database!YN2,3)</f>
        <v/>
      </c>
      <c r="XV2" t="str">
        <f>LEFT(Database!YO2,3)</f>
        <v/>
      </c>
      <c r="XW2" t="str">
        <f>LEFT(Database!YP2,3)</f>
        <v/>
      </c>
      <c r="XX2" t="str">
        <f>LEFT(Database!YQ2,3)</f>
        <v/>
      </c>
      <c r="XY2" t="str">
        <f>LEFT(Database!YR2,3)</f>
        <v/>
      </c>
      <c r="XZ2" t="str">
        <f>LEFT(Database!YS2,3)</f>
        <v/>
      </c>
      <c r="YA2" t="str">
        <f>LEFT(Database!YT2,3)</f>
        <v/>
      </c>
      <c r="YB2" t="str">
        <f>LEFT(Database!YU2,3)</f>
        <v/>
      </c>
      <c r="YC2" t="str">
        <f>LEFT(Database!YV2,3)</f>
        <v/>
      </c>
      <c r="YD2" t="str">
        <f>LEFT(Database!YW2,3)</f>
        <v/>
      </c>
      <c r="YE2" t="str">
        <f>LEFT(Database!YX2,3)</f>
        <v/>
      </c>
      <c r="YF2" t="str">
        <f>LEFT(Database!YY2,3)</f>
        <v/>
      </c>
      <c r="YG2" t="str">
        <f>LEFT(Database!YZ2,3)</f>
        <v/>
      </c>
      <c r="YH2" t="str">
        <f>LEFT(Database!ZA2,3)</f>
        <v/>
      </c>
      <c r="YI2" t="str">
        <f>LEFT(Database!ZB2,3)</f>
        <v/>
      </c>
      <c r="YJ2" t="str">
        <f>LEFT(Database!ZC2,3)</f>
        <v/>
      </c>
      <c r="YK2" t="str">
        <f>LEFT(Database!ZD2,3)</f>
        <v/>
      </c>
      <c r="YL2" t="str">
        <f>LEFT(Database!ZE2,3)</f>
        <v/>
      </c>
      <c r="YM2" t="str">
        <f>LEFT(Database!ZF2,3)</f>
        <v/>
      </c>
      <c r="YN2" t="str">
        <f>LEFT(Database!ZG2,3)</f>
        <v/>
      </c>
      <c r="YO2" t="str">
        <f>LEFT(Database!ZH2,3)</f>
        <v/>
      </c>
      <c r="YP2" t="str">
        <f>LEFT(Database!ZI2,3)</f>
        <v/>
      </c>
      <c r="YQ2" t="str">
        <f>LEFT(Database!ZJ2,3)</f>
        <v/>
      </c>
      <c r="YR2" t="str">
        <f>LEFT(Database!ZK2,3)</f>
        <v/>
      </c>
      <c r="YS2" t="str">
        <f>LEFT(Database!ZL2,3)</f>
        <v/>
      </c>
      <c r="YT2" t="str">
        <f>LEFT(Database!ZM2,3)</f>
        <v/>
      </c>
      <c r="YU2" t="str">
        <f>LEFT(Database!ZN2,3)</f>
        <v/>
      </c>
      <c r="YV2" t="str">
        <f>LEFT(Database!ZO2,3)</f>
        <v/>
      </c>
      <c r="YW2" t="str">
        <f>LEFT(Database!ZP2,3)</f>
        <v/>
      </c>
      <c r="YX2" t="str">
        <f>LEFT(Database!ZQ2,3)</f>
        <v/>
      </c>
      <c r="YY2" t="str">
        <f>LEFT(Database!ZR2,3)</f>
        <v/>
      </c>
      <c r="YZ2" t="str">
        <f>LEFT(Database!ZS2,3)</f>
        <v/>
      </c>
      <c r="ZA2" t="str">
        <f>LEFT(Database!ZT2,3)</f>
        <v/>
      </c>
      <c r="ZB2" t="str">
        <f>LEFT(Database!ZU2,3)</f>
        <v/>
      </c>
      <c r="ZC2" t="str">
        <f>LEFT(Database!ZV2,3)</f>
        <v/>
      </c>
      <c r="ZD2" t="str">
        <f>LEFT(Database!ZW2,3)</f>
        <v/>
      </c>
      <c r="ZE2" t="str">
        <f>LEFT(Database!ZX2,3)</f>
        <v/>
      </c>
      <c r="ZF2" t="str">
        <f>LEFT(Database!ZY2,3)</f>
        <v/>
      </c>
      <c r="ZG2" t="str">
        <f>LEFT(Database!ZZ2,3)</f>
        <v/>
      </c>
      <c r="ZH2" t="str">
        <f>LEFT(Database!AAA2,3)</f>
        <v/>
      </c>
      <c r="ZI2" t="str">
        <f>LEFT(Database!AAB2,3)</f>
        <v/>
      </c>
      <c r="ZJ2" t="str">
        <f>LEFT(Database!AAC2,3)</f>
        <v/>
      </c>
      <c r="ZK2" t="str">
        <f>LEFT(Database!AAD2,3)</f>
        <v/>
      </c>
      <c r="ZL2" t="str">
        <f>LEFT(Database!AAE2,3)</f>
        <v/>
      </c>
      <c r="ZM2" t="str">
        <f>LEFT(Database!AAF2,3)</f>
        <v/>
      </c>
      <c r="ZN2" t="str">
        <f>LEFT(Database!AAG2,3)</f>
        <v/>
      </c>
      <c r="ZO2" t="str">
        <f>LEFT(Database!AAH2,3)</f>
        <v/>
      </c>
      <c r="ZP2" t="str">
        <f>LEFT(Database!AAI2,3)</f>
        <v/>
      </c>
      <c r="ZQ2" t="str">
        <f>LEFT(Database!AAJ2,3)</f>
        <v/>
      </c>
      <c r="ZR2" t="str">
        <f>LEFT(Database!AAK2,3)</f>
        <v/>
      </c>
      <c r="ZS2" t="str">
        <f>LEFT(Database!AAL2,3)</f>
        <v/>
      </c>
      <c r="ZT2" t="str">
        <f>LEFT(Database!AAM2,3)</f>
        <v/>
      </c>
      <c r="ZU2" t="str">
        <f>LEFT(Database!AAN2,3)</f>
        <v/>
      </c>
      <c r="ZV2" t="str">
        <f>LEFT(Database!AAO2,3)</f>
        <v/>
      </c>
      <c r="ZW2" t="str">
        <f>LEFT(Database!AAP2,3)</f>
        <v/>
      </c>
      <c r="ZX2" t="str">
        <f>LEFT(Database!AAQ2,3)</f>
        <v/>
      </c>
      <c r="ZY2" t="str">
        <f>LEFT(Database!AAR2,3)</f>
        <v/>
      </c>
      <c r="ZZ2" t="str">
        <f>LEFT(Database!AAS2,3)</f>
        <v/>
      </c>
      <c r="AAA2" t="str">
        <f>LEFT(Database!AAT2,3)</f>
        <v/>
      </c>
      <c r="AAB2" t="str">
        <f>LEFT(Database!AAU2,3)</f>
        <v/>
      </c>
      <c r="AAC2" t="str">
        <f>LEFT(Database!AAV2,3)</f>
        <v/>
      </c>
      <c r="AAD2" t="str">
        <f>LEFT(Database!AAW2,3)</f>
        <v/>
      </c>
      <c r="AAE2" t="str">
        <f>LEFT(Database!AAX2,3)</f>
        <v/>
      </c>
      <c r="AAF2" t="str">
        <f>LEFT(Database!AAY2,3)</f>
        <v/>
      </c>
      <c r="AAG2" t="str">
        <f>LEFT(Database!AAZ2,3)</f>
        <v/>
      </c>
      <c r="AAH2" t="str">
        <f>LEFT(Database!ABA2,3)</f>
        <v/>
      </c>
      <c r="AAI2" t="str">
        <f>LEFT(Database!ABB2,3)</f>
        <v/>
      </c>
      <c r="AAJ2" t="str">
        <f>LEFT(Database!ABC2,3)</f>
        <v/>
      </c>
      <c r="AAK2" t="str">
        <f>LEFT(Database!ABD2,3)</f>
        <v/>
      </c>
      <c r="AAL2" t="str">
        <f>LEFT(Database!ABE2,3)</f>
        <v/>
      </c>
      <c r="AAM2" t="str">
        <f>LEFT(Database!ABF2,3)</f>
        <v/>
      </c>
      <c r="AAN2" t="str">
        <f>LEFT(Database!ABG2,3)</f>
        <v/>
      </c>
      <c r="AAO2" t="str">
        <f>LEFT(Database!ABH2,3)</f>
        <v/>
      </c>
      <c r="AAP2" t="str">
        <f>LEFT(Database!ABI2,3)</f>
        <v/>
      </c>
      <c r="AAQ2" t="str">
        <f>LEFT(Database!ABJ2,3)</f>
        <v/>
      </c>
      <c r="AAR2" t="str">
        <f>LEFT(Database!ABK2,3)</f>
        <v/>
      </c>
      <c r="AAS2" t="str">
        <f>LEFT(Database!ABL2,3)</f>
        <v/>
      </c>
      <c r="AAT2" t="str">
        <f>LEFT(Database!ABM2,3)</f>
        <v/>
      </c>
      <c r="AAU2" t="str">
        <f>LEFT(Database!ABN2,3)</f>
        <v/>
      </c>
      <c r="AAV2" t="str">
        <f>LEFT(Database!ABO2,3)</f>
        <v/>
      </c>
      <c r="AAW2" t="str">
        <f>LEFT(Database!ABP2,3)</f>
        <v/>
      </c>
      <c r="AAX2" t="str">
        <f>LEFT(Database!ABQ2,3)</f>
        <v/>
      </c>
      <c r="AAY2" t="str">
        <f>LEFT(Database!ABR2,3)</f>
        <v/>
      </c>
      <c r="AAZ2" t="str">
        <f>LEFT(Database!ABS2,3)</f>
        <v/>
      </c>
      <c r="ABA2" t="str">
        <f>LEFT(Database!ABT2,3)</f>
        <v/>
      </c>
      <c r="ABB2" t="str">
        <f>LEFT(Database!ABU2,3)</f>
        <v/>
      </c>
      <c r="ABC2" t="str">
        <f>LEFT(Database!ABV2,3)</f>
        <v/>
      </c>
      <c r="ABD2" t="str">
        <f>LEFT(Database!ABW2,3)</f>
        <v/>
      </c>
      <c r="ABE2" t="str">
        <f>LEFT(Database!ABX2,3)</f>
        <v/>
      </c>
      <c r="ABF2" t="str">
        <f>LEFT(Database!ABY2,3)</f>
        <v/>
      </c>
      <c r="ABG2" t="str">
        <f>LEFT(Database!ABZ2,3)</f>
        <v/>
      </c>
      <c r="ABH2" t="str">
        <f>LEFT(Database!ACA2,3)</f>
        <v/>
      </c>
      <c r="ABI2" t="str">
        <f>LEFT(Database!ACB2,3)</f>
        <v/>
      </c>
      <c r="ABJ2" t="str">
        <f>LEFT(Database!ACC2,3)</f>
        <v/>
      </c>
      <c r="ABK2" t="str">
        <f>LEFT(Database!ACD2,3)</f>
        <v/>
      </c>
      <c r="ABL2" t="str">
        <f>LEFT(Database!ACE2,3)</f>
        <v/>
      </c>
      <c r="ABM2" t="str">
        <f>LEFT(Database!ACF2,3)</f>
        <v/>
      </c>
      <c r="ABN2" t="str">
        <f>LEFT(Database!ACG2,3)</f>
        <v/>
      </c>
      <c r="ABO2" t="str">
        <f>LEFT(Database!ACH2,3)</f>
        <v/>
      </c>
      <c r="ABP2" t="str">
        <f>LEFT(Database!ACI2,3)</f>
        <v/>
      </c>
      <c r="ABQ2" t="str">
        <f>LEFT(Database!ACJ2,3)</f>
        <v/>
      </c>
      <c r="ABR2" t="str">
        <f>LEFT(Database!ACK2,3)</f>
        <v/>
      </c>
      <c r="ABS2" t="str">
        <f>LEFT(Database!ACL2,3)</f>
        <v/>
      </c>
      <c r="ABT2" t="str">
        <f>LEFT(Database!ACM2,3)</f>
        <v/>
      </c>
      <c r="ABU2" t="str">
        <f>LEFT(Database!ACN2,3)</f>
        <v/>
      </c>
      <c r="ABV2" t="str">
        <f>LEFT(Database!ACO2,3)</f>
        <v/>
      </c>
      <c r="ABW2" t="str">
        <f>LEFT(Database!ACP2,3)</f>
        <v/>
      </c>
      <c r="ABX2" t="str">
        <f>LEFT(Database!ACQ2,3)</f>
        <v/>
      </c>
      <c r="ABY2" t="str">
        <f>LEFT(Database!ACR2,3)</f>
        <v/>
      </c>
      <c r="ABZ2" t="str">
        <f>LEFT(Database!ACS2,3)</f>
        <v/>
      </c>
      <c r="ACA2" t="str">
        <f>LEFT(Database!ACT2,3)</f>
        <v/>
      </c>
      <c r="ACB2" t="str">
        <f>LEFT(Database!ACU2,3)</f>
        <v/>
      </c>
      <c r="ACC2" t="str">
        <f>LEFT(Database!ACV2,3)</f>
        <v/>
      </c>
      <c r="ACD2" t="str">
        <f>LEFT(Database!ACW2,3)</f>
        <v/>
      </c>
      <c r="ACE2" t="str">
        <f>LEFT(Database!ACX2,3)</f>
        <v/>
      </c>
      <c r="ACF2" t="str">
        <f>LEFT(Database!ACY2,3)</f>
        <v/>
      </c>
      <c r="ACG2" t="str">
        <f>LEFT(Database!ACZ2,3)</f>
        <v/>
      </c>
      <c r="ACH2" t="str">
        <f>LEFT(Database!ADA2,3)</f>
        <v/>
      </c>
      <c r="ACI2" t="str">
        <f>LEFT(Database!ADB2,3)</f>
        <v/>
      </c>
      <c r="ACJ2" t="str">
        <f>LEFT(Database!ADC2,3)</f>
        <v/>
      </c>
      <c r="ACK2" t="str">
        <f>LEFT(Database!ADD2,3)</f>
        <v/>
      </c>
      <c r="ACL2" t="str">
        <f>LEFT(Database!ADE2,3)</f>
        <v/>
      </c>
      <c r="ACM2" t="str">
        <f>LEFT(Database!ADF2,3)</f>
        <v/>
      </c>
      <c r="ACN2" t="str">
        <f>LEFT(Database!ADG2,3)</f>
        <v/>
      </c>
      <c r="ACO2" t="str">
        <f>LEFT(Database!ADH2,3)</f>
        <v/>
      </c>
      <c r="ACP2" t="str">
        <f>LEFT(Database!ADI2,3)</f>
        <v/>
      </c>
      <c r="ACQ2" t="str">
        <f>LEFT(Database!ADJ2,3)</f>
        <v/>
      </c>
      <c r="ACR2" t="str">
        <f>LEFT(Database!ADK2,3)</f>
        <v/>
      </c>
      <c r="ACS2" t="str">
        <f>LEFT(Database!ADL2,3)</f>
        <v/>
      </c>
      <c r="ACT2" t="str">
        <f>LEFT(Database!ADM2,3)</f>
        <v/>
      </c>
      <c r="ACU2" t="str">
        <f>LEFT(Database!ADN2,3)</f>
        <v/>
      </c>
      <c r="ACV2" t="str">
        <f>LEFT(Database!ADO2,3)</f>
        <v/>
      </c>
      <c r="ACW2" t="str">
        <f>LEFT(Database!ADP2,3)</f>
        <v/>
      </c>
      <c r="ACX2" t="str">
        <f>LEFT(Database!ADQ2,3)</f>
        <v/>
      </c>
      <c r="ACY2" t="str">
        <f>LEFT(Database!ADR2,3)</f>
        <v/>
      </c>
      <c r="ACZ2" t="str">
        <f>LEFT(Database!ADS2,3)</f>
        <v/>
      </c>
      <c r="ADA2" t="str">
        <f>LEFT(Database!ADT2,3)</f>
        <v/>
      </c>
      <c r="ADB2" t="str">
        <f>LEFT(Database!ADU2,3)</f>
        <v/>
      </c>
      <c r="ADC2" t="str">
        <f>LEFT(Database!ADV2,3)</f>
        <v/>
      </c>
      <c r="ADD2" t="str">
        <f>LEFT(Database!ADW2,3)</f>
        <v/>
      </c>
      <c r="ADE2" t="str">
        <f>LEFT(Database!ADX2,3)</f>
        <v/>
      </c>
      <c r="ADF2" t="str">
        <f>LEFT(Database!ADY2,3)</f>
        <v/>
      </c>
      <c r="ADG2" t="str">
        <f>LEFT(Database!ADZ2,3)</f>
        <v/>
      </c>
      <c r="ADH2" t="str">
        <f>LEFT(Database!AEA2,3)</f>
        <v/>
      </c>
      <c r="ADI2" t="str">
        <f>LEFT(Database!AEB2,3)</f>
        <v/>
      </c>
      <c r="ADJ2" t="str">
        <f>LEFT(Database!AEC2,3)</f>
        <v/>
      </c>
      <c r="ADK2" t="str">
        <f>LEFT(Database!AED2,3)</f>
        <v/>
      </c>
      <c r="ADL2" t="str">
        <f>LEFT(Database!AEE2,3)</f>
        <v/>
      </c>
      <c r="ADM2" t="str">
        <f>LEFT(Database!AEF2,3)</f>
        <v/>
      </c>
      <c r="ADN2" t="str">
        <f>LEFT(Database!AEG2,3)</f>
        <v/>
      </c>
      <c r="ADO2" t="str">
        <f>LEFT(Database!AEH2,3)</f>
        <v/>
      </c>
      <c r="ADP2" t="str">
        <f>LEFT(Database!AEI2,3)</f>
        <v/>
      </c>
      <c r="ADQ2" t="str">
        <f>LEFT(Database!AEJ2,3)</f>
        <v/>
      </c>
      <c r="ADR2" t="str">
        <f>LEFT(Database!AEK2,3)</f>
        <v/>
      </c>
      <c r="ADS2" t="str">
        <f>LEFT(Database!AEL2,3)</f>
        <v/>
      </c>
      <c r="ADT2" t="str">
        <f>LEFT(Database!AEM2,3)</f>
        <v/>
      </c>
      <c r="ADU2" t="str">
        <f>LEFT(Database!AEN2,3)</f>
        <v/>
      </c>
      <c r="ADV2" t="str">
        <f>LEFT(Database!AEO2,3)</f>
        <v/>
      </c>
      <c r="ADW2" t="str">
        <f>LEFT(Database!AEP2,3)</f>
        <v/>
      </c>
      <c r="ADX2" t="str">
        <f>LEFT(Database!AEQ2,3)</f>
        <v/>
      </c>
      <c r="ADY2" t="str">
        <f>LEFT(Database!AER2,3)</f>
        <v/>
      </c>
      <c r="ADZ2" t="str">
        <f>LEFT(Database!AES2,3)</f>
        <v/>
      </c>
      <c r="AEA2" t="str">
        <f>LEFT(Database!AET2,3)</f>
        <v/>
      </c>
      <c r="AEB2" t="str">
        <f>LEFT(Database!AEU2,3)</f>
        <v/>
      </c>
      <c r="AEC2" t="str">
        <f>LEFT(Database!AEV2,3)</f>
        <v/>
      </c>
      <c r="AED2" t="str">
        <f>LEFT(Database!AEW2,3)</f>
        <v/>
      </c>
      <c r="AEE2" t="str">
        <f>LEFT(Database!AEX2,3)</f>
        <v/>
      </c>
      <c r="AEF2" t="str">
        <f>LEFT(Database!AEY2,3)</f>
        <v/>
      </c>
      <c r="AEG2" t="str">
        <f>LEFT(Database!AEZ2,3)</f>
        <v/>
      </c>
      <c r="AEH2" t="str">
        <f>LEFT(Database!AFA2,3)</f>
        <v/>
      </c>
      <c r="AEI2" t="str">
        <f>LEFT(Database!AFB2,3)</f>
        <v/>
      </c>
      <c r="AEJ2" t="str">
        <f>LEFT(Database!AFC2,3)</f>
        <v/>
      </c>
      <c r="AEK2" t="str">
        <f>LEFT(Database!AFD2,3)</f>
        <v/>
      </c>
      <c r="AEL2" t="str">
        <f>LEFT(Database!AFE2,3)</f>
        <v/>
      </c>
      <c r="AEM2" t="str">
        <f>LEFT(Database!AFF2,3)</f>
        <v/>
      </c>
      <c r="AEN2" t="str">
        <f>LEFT(Database!AFG2,3)</f>
        <v/>
      </c>
      <c r="AEO2" t="str">
        <f>LEFT(Database!AFH2,3)</f>
        <v/>
      </c>
      <c r="AEP2" t="str">
        <f>LEFT(Database!AFI2,3)</f>
        <v/>
      </c>
      <c r="AEQ2" t="str">
        <f>LEFT(Database!AFJ2,3)</f>
        <v/>
      </c>
      <c r="AER2" t="str">
        <f>LEFT(Database!AFK2,3)</f>
        <v/>
      </c>
      <c r="AES2" t="str">
        <f>LEFT(Database!AFL2,3)</f>
        <v/>
      </c>
      <c r="AET2" t="str">
        <f>LEFT(Database!AFM2,3)</f>
        <v/>
      </c>
      <c r="AEU2" t="str">
        <f>LEFT(Database!AFN2,3)</f>
        <v/>
      </c>
      <c r="AEV2" t="str">
        <f>LEFT(Database!AFO2,3)</f>
        <v/>
      </c>
      <c r="AEW2" t="str">
        <f>LEFT(Database!AFP2,3)</f>
        <v/>
      </c>
      <c r="AEX2" t="str">
        <f>LEFT(Database!AFQ2,3)</f>
        <v/>
      </c>
      <c r="AEY2" t="str">
        <f>LEFT(Database!AFR2,3)</f>
        <v/>
      </c>
      <c r="AEZ2" t="str">
        <f>LEFT(Database!AFS2,3)</f>
        <v/>
      </c>
      <c r="AFA2" t="str">
        <f>LEFT(Database!AFT2,3)</f>
        <v/>
      </c>
      <c r="AFB2" t="str">
        <f>LEFT(Database!AFU2,3)</f>
        <v/>
      </c>
      <c r="AFC2" t="str">
        <f>LEFT(Database!AFV2,3)</f>
        <v/>
      </c>
      <c r="AFD2" t="str">
        <f>LEFT(Database!AFW2,3)</f>
        <v/>
      </c>
      <c r="AFE2" t="str">
        <f>LEFT(Database!AFX2,3)</f>
        <v/>
      </c>
      <c r="AFF2" t="str">
        <f>LEFT(Database!AFY2,3)</f>
        <v/>
      </c>
      <c r="AFG2" t="str">
        <f>LEFT(Database!AFZ2,3)</f>
        <v/>
      </c>
      <c r="AFH2" t="str">
        <f>LEFT(Database!AGA2,3)</f>
        <v/>
      </c>
      <c r="AFI2" t="str">
        <f>LEFT(Database!AGB2,3)</f>
        <v/>
      </c>
      <c r="AFJ2" t="str">
        <f>LEFT(Database!AGC2,3)</f>
        <v/>
      </c>
      <c r="AFK2" t="str">
        <f>LEFT(Database!AGD2,3)</f>
        <v/>
      </c>
      <c r="AFL2" t="str">
        <f>LEFT(Database!AGE2,3)</f>
        <v/>
      </c>
      <c r="AFM2" t="str">
        <f>LEFT(Database!AGF2,3)</f>
        <v/>
      </c>
      <c r="AFN2" t="str">
        <f>LEFT(Database!AGG2,3)</f>
        <v/>
      </c>
      <c r="AFO2" t="str">
        <f>LEFT(Database!AGH2,3)</f>
        <v/>
      </c>
      <c r="AFP2" t="str">
        <f>LEFT(Database!AGI2,3)</f>
        <v/>
      </c>
      <c r="AFQ2" t="str">
        <f>LEFT(Database!AGJ2,3)</f>
        <v/>
      </c>
      <c r="AFR2" t="str">
        <f>LEFT(Database!AGK2,3)</f>
        <v/>
      </c>
      <c r="AFS2" t="str">
        <f>LEFT(Database!AGL2,3)</f>
        <v/>
      </c>
      <c r="AFT2" t="str">
        <f>LEFT(Database!AGM2,3)</f>
        <v/>
      </c>
      <c r="AFU2" t="str">
        <f>LEFT(Database!AGN2,3)</f>
        <v/>
      </c>
      <c r="AFV2" t="str">
        <f>LEFT(Database!AGO2,3)</f>
        <v/>
      </c>
      <c r="AFW2" t="str">
        <f>LEFT(Database!AGP2,3)</f>
        <v/>
      </c>
      <c r="AFX2" t="str">
        <f>LEFT(Database!AGQ2,3)</f>
        <v/>
      </c>
      <c r="AFY2" t="str">
        <f>LEFT(Database!AGR2,3)</f>
        <v/>
      </c>
      <c r="AFZ2" t="str">
        <f>LEFT(Database!AGS2,3)</f>
        <v/>
      </c>
      <c r="AGA2" t="str">
        <f>LEFT(Database!AGT2,3)</f>
        <v/>
      </c>
      <c r="AGB2" t="str">
        <f>LEFT(Database!AGU2,3)</f>
        <v/>
      </c>
      <c r="AGC2" t="str">
        <f>LEFT(Database!AGV2,3)</f>
        <v/>
      </c>
      <c r="AGD2" t="str">
        <f>LEFT(Database!AGW2,3)</f>
        <v/>
      </c>
      <c r="AGE2" t="str">
        <f>LEFT(Database!AGX2,3)</f>
        <v/>
      </c>
      <c r="AGF2" t="str">
        <f>LEFT(Database!AGY2,3)</f>
        <v/>
      </c>
      <c r="AGG2" t="str">
        <f>LEFT(Database!AGZ2,3)</f>
        <v/>
      </c>
      <c r="AGH2" t="str">
        <f>LEFT(Database!AHA2,3)</f>
        <v/>
      </c>
      <c r="AGI2" t="str">
        <f>LEFT(Database!AHB2,3)</f>
        <v/>
      </c>
      <c r="AGJ2" t="str">
        <f>LEFT(Database!AHC2,3)</f>
        <v/>
      </c>
      <c r="AGK2" t="str">
        <f>LEFT(Database!AHD2,3)</f>
        <v/>
      </c>
      <c r="AGL2" t="str">
        <f>LEFT(Database!AHE2,3)</f>
        <v/>
      </c>
      <c r="AGM2" t="str">
        <f>LEFT(Database!AHF2,3)</f>
        <v/>
      </c>
      <c r="AGN2" t="str">
        <f>LEFT(Database!AHG2,3)</f>
        <v/>
      </c>
      <c r="AGO2" t="str">
        <f>LEFT(Database!AHH2,3)</f>
        <v/>
      </c>
      <c r="AGP2" t="str">
        <f>LEFT(Database!AHI2,3)</f>
        <v/>
      </c>
      <c r="AGQ2" t="str">
        <f>LEFT(Database!AHJ2,3)</f>
        <v/>
      </c>
      <c r="AGR2" t="str">
        <f>LEFT(Database!AHK2,3)</f>
        <v/>
      </c>
      <c r="AGS2" t="str">
        <f>LEFT(Database!AHL2,3)</f>
        <v/>
      </c>
      <c r="AGT2" t="str">
        <f>LEFT(Database!AHM2,3)</f>
        <v/>
      </c>
      <c r="AGU2" t="str">
        <f>LEFT(Database!AHN2,3)</f>
        <v/>
      </c>
      <c r="AGV2" t="str">
        <f>LEFT(Database!AHO2,3)</f>
        <v/>
      </c>
      <c r="AGW2" t="str">
        <f>LEFT(Database!AHP2,3)</f>
        <v/>
      </c>
      <c r="AGX2" t="str">
        <f>LEFT(Database!AHQ2,3)</f>
        <v/>
      </c>
      <c r="AGY2" t="str">
        <f>LEFT(Database!AHR2,3)</f>
        <v/>
      </c>
      <c r="AGZ2" t="str">
        <f>LEFT(Database!AHS2,3)</f>
        <v/>
      </c>
      <c r="AHA2" t="str">
        <f>LEFT(Database!AHT2,3)</f>
        <v/>
      </c>
      <c r="AHB2" t="str">
        <f>LEFT(Database!AHU2,3)</f>
        <v/>
      </c>
      <c r="AHC2" t="str">
        <f>LEFT(Database!AHV2,3)</f>
        <v/>
      </c>
      <c r="AHD2" t="str">
        <f>LEFT(Database!AHW2,3)</f>
        <v/>
      </c>
      <c r="AHE2" t="str">
        <f>LEFT(Database!AHX2,3)</f>
        <v/>
      </c>
      <c r="AHF2" t="str">
        <f>LEFT(Database!AHY2,3)</f>
        <v/>
      </c>
      <c r="AHG2" t="str">
        <f>LEFT(Database!AHZ2,3)</f>
        <v/>
      </c>
      <c r="AHH2" t="str">
        <f>LEFT(Database!AIA2,3)</f>
        <v/>
      </c>
      <c r="AHI2" t="str">
        <f>LEFT(Database!AIB2,3)</f>
        <v/>
      </c>
      <c r="AHJ2" t="str">
        <f>LEFT(Database!AIC2,3)</f>
        <v/>
      </c>
      <c r="AHK2" t="str">
        <f>LEFT(Database!AID2,3)</f>
        <v/>
      </c>
      <c r="AHL2" t="str">
        <f>LEFT(Database!AIE2,3)</f>
        <v/>
      </c>
      <c r="AHM2" t="str">
        <f>LEFT(Database!AIF2,3)</f>
        <v/>
      </c>
      <c r="AHN2" t="str">
        <f>LEFT(Database!AIG2,3)</f>
        <v/>
      </c>
      <c r="AHO2" t="str">
        <f>LEFT(Database!AIH2,3)</f>
        <v/>
      </c>
      <c r="AHP2" t="str">
        <f>LEFT(Database!AII2,3)</f>
        <v/>
      </c>
      <c r="AHQ2" t="str">
        <f>LEFT(Database!AIJ2,3)</f>
        <v/>
      </c>
      <c r="AHR2" t="str">
        <f>LEFT(Database!AIK2,3)</f>
        <v/>
      </c>
      <c r="AHS2" t="str">
        <f>LEFT(Database!AIL2,3)</f>
        <v/>
      </c>
      <c r="AHT2" t="str">
        <f>LEFT(Database!AIM2,3)</f>
        <v/>
      </c>
      <c r="AHU2" t="str">
        <f>LEFT(Database!AIN2,3)</f>
        <v/>
      </c>
      <c r="AHV2" t="str">
        <f>LEFT(Database!AIO2,3)</f>
        <v/>
      </c>
      <c r="AHW2" t="str">
        <f>LEFT(Database!AIP2,3)</f>
        <v/>
      </c>
      <c r="AHX2" t="str">
        <f>LEFT(Database!AIQ2,3)</f>
        <v/>
      </c>
      <c r="AHY2" t="str">
        <f>LEFT(Database!AIR2,3)</f>
        <v/>
      </c>
      <c r="AHZ2" t="str">
        <f>LEFT(Database!AIS2,3)</f>
        <v/>
      </c>
      <c r="AIA2" t="str">
        <f>LEFT(Database!AIT2,3)</f>
        <v/>
      </c>
      <c r="AIB2" t="str">
        <f>LEFT(Database!AIU2,3)</f>
        <v/>
      </c>
      <c r="AIC2" t="str">
        <f>LEFT(Database!AIV2,3)</f>
        <v/>
      </c>
      <c r="AID2" t="str">
        <f>LEFT(Database!AIW2,3)</f>
        <v/>
      </c>
      <c r="AIE2" t="str">
        <f>LEFT(Database!AIX2,3)</f>
        <v/>
      </c>
      <c r="AIF2" t="str">
        <f>LEFT(Database!AIY2,3)</f>
        <v/>
      </c>
      <c r="AIG2" t="str">
        <f>LEFT(Database!AIZ2,3)</f>
        <v/>
      </c>
      <c r="AIH2" t="str">
        <f>LEFT(Database!AJA2,3)</f>
        <v/>
      </c>
      <c r="AII2" t="str">
        <f>LEFT(Database!AJB2,3)</f>
        <v/>
      </c>
      <c r="AIJ2" t="str">
        <f>LEFT(Database!AJC2,3)</f>
        <v/>
      </c>
      <c r="AIK2" t="str">
        <f>LEFT(Database!AJD2,3)</f>
        <v/>
      </c>
      <c r="AIL2" t="str">
        <f>LEFT(Database!AJE2,3)</f>
        <v/>
      </c>
      <c r="AIM2" t="str">
        <f>LEFT(Database!AJF2,3)</f>
        <v/>
      </c>
      <c r="AIN2" t="str">
        <f>LEFT(Database!AJG2,3)</f>
        <v/>
      </c>
      <c r="AIO2" t="str">
        <f>LEFT(Database!AJH2,3)</f>
        <v/>
      </c>
      <c r="AIP2" t="str">
        <f>LEFT(Database!AJI2,3)</f>
        <v/>
      </c>
      <c r="AIQ2" t="str">
        <f>LEFT(Database!AJJ2,3)</f>
        <v/>
      </c>
      <c r="AIR2" t="str">
        <f>LEFT(Database!AJK2,3)</f>
        <v/>
      </c>
      <c r="AIS2" t="str">
        <f>LEFT(Database!AJL2,3)</f>
        <v/>
      </c>
      <c r="AIT2" t="str">
        <f>LEFT(Database!AJM2,3)</f>
        <v/>
      </c>
      <c r="AIU2" t="str">
        <f>LEFT(Database!AJN2,3)</f>
        <v/>
      </c>
      <c r="AIV2" t="str">
        <f>LEFT(Database!AJO2,3)</f>
        <v/>
      </c>
      <c r="AIW2" t="str">
        <f>LEFT(Database!AJP2,3)</f>
        <v/>
      </c>
      <c r="AIX2" t="str">
        <f>LEFT(Database!AJQ2,3)</f>
        <v/>
      </c>
      <c r="AIY2" t="str">
        <f>LEFT(Database!AJR2,3)</f>
        <v/>
      </c>
      <c r="AIZ2" t="str">
        <f>LEFT(Database!AJS2,3)</f>
        <v/>
      </c>
      <c r="AJA2" t="str">
        <f>LEFT(Database!AJT2,3)</f>
        <v/>
      </c>
      <c r="AJB2" t="str">
        <f>LEFT(Database!AJU2,3)</f>
        <v/>
      </c>
      <c r="AJC2" t="str">
        <f>LEFT(Database!AJV2,3)</f>
        <v/>
      </c>
      <c r="AJD2" t="str">
        <f>LEFT(Database!AJW2,3)</f>
        <v/>
      </c>
      <c r="AJE2" t="str">
        <f>LEFT(Database!AJX2,3)</f>
        <v/>
      </c>
      <c r="AJF2" t="str">
        <f>LEFT(Database!AJY2,3)</f>
        <v/>
      </c>
      <c r="AJG2" t="str">
        <f>LEFT(Database!AJZ2,3)</f>
        <v/>
      </c>
      <c r="AJH2" t="str">
        <f>LEFT(Database!AKA2,3)</f>
        <v/>
      </c>
      <c r="AJI2" t="str">
        <f>LEFT(Database!AKB2,3)</f>
        <v/>
      </c>
      <c r="AJJ2" t="str">
        <f>LEFT(Database!AKC2,3)</f>
        <v/>
      </c>
      <c r="AJK2" t="str">
        <f>LEFT(Database!AKD2,3)</f>
        <v/>
      </c>
      <c r="AJL2" t="str">
        <f>LEFT(Database!AKE2,3)</f>
        <v/>
      </c>
      <c r="AJM2" t="str">
        <f>LEFT(Database!AKF2,3)</f>
        <v/>
      </c>
      <c r="AJN2" t="str">
        <f>LEFT(Database!AKG2,3)</f>
        <v/>
      </c>
      <c r="AJO2" t="str">
        <f>LEFT(Database!AKH2,3)</f>
        <v/>
      </c>
      <c r="AJP2" t="str">
        <f>LEFT(Database!AKI2,3)</f>
        <v/>
      </c>
      <c r="AJQ2" t="str">
        <f>LEFT(Database!AKJ2,3)</f>
        <v/>
      </c>
      <c r="AJR2" t="str">
        <f>LEFT(Database!AKK2,3)</f>
        <v/>
      </c>
      <c r="AJS2" t="str">
        <f>LEFT(Database!AKL2,3)</f>
        <v/>
      </c>
      <c r="AJT2" t="str">
        <f>LEFT(Database!AKM2,3)</f>
        <v/>
      </c>
      <c r="AJU2" t="str">
        <f>LEFT(Database!AKN2,3)</f>
        <v/>
      </c>
      <c r="AJV2" t="str">
        <f>LEFT(Database!AKO2,3)</f>
        <v/>
      </c>
      <c r="AJW2" t="str">
        <f>LEFT(Database!AKP2,3)</f>
        <v/>
      </c>
      <c r="AJX2" t="str">
        <f>LEFT(Database!AKQ2,3)</f>
        <v/>
      </c>
      <c r="AJY2" t="str">
        <f>LEFT(Database!AKR2,3)</f>
        <v/>
      </c>
      <c r="AJZ2" t="str">
        <f>LEFT(Database!AKS2,3)</f>
        <v/>
      </c>
      <c r="AKA2" t="str">
        <f>LEFT(Database!AKT2,3)</f>
        <v/>
      </c>
      <c r="AKB2" t="str">
        <f>LEFT(Database!AKU2,3)</f>
        <v/>
      </c>
      <c r="AKC2" t="str">
        <f>LEFT(Database!AKV2,3)</f>
        <v/>
      </c>
      <c r="AKD2" t="str">
        <f>LEFT(Database!AKW2,3)</f>
        <v/>
      </c>
      <c r="AKE2" t="str">
        <f>LEFT(Database!AKX2,3)</f>
        <v/>
      </c>
      <c r="AKF2" t="str">
        <f>LEFT(Database!AKY2,3)</f>
        <v/>
      </c>
      <c r="AKG2" t="str">
        <f>LEFT(Database!AKZ2,3)</f>
        <v/>
      </c>
      <c r="AKH2" t="str">
        <f>LEFT(Database!ALA2,3)</f>
        <v/>
      </c>
      <c r="AKI2" t="str">
        <f>LEFT(Database!ALB2,3)</f>
        <v/>
      </c>
      <c r="AKJ2" t="str">
        <f>LEFT(Database!ALC2,3)</f>
        <v/>
      </c>
      <c r="AKK2" t="str">
        <f>LEFT(Database!ALD2,3)</f>
        <v/>
      </c>
      <c r="AKL2" t="str">
        <f>LEFT(Database!ALE2,3)</f>
        <v/>
      </c>
      <c r="AKM2" t="str">
        <f>LEFT(Database!ALF2,3)</f>
        <v/>
      </c>
      <c r="AKN2" t="str">
        <f>LEFT(Database!ALG2,3)</f>
        <v/>
      </c>
      <c r="AKO2" t="str">
        <f>LEFT(Database!ALH2,3)</f>
        <v/>
      </c>
      <c r="AKP2" t="str">
        <f>LEFT(Database!ALI2,3)</f>
        <v/>
      </c>
      <c r="AKQ2" t="str">
        <f>LEFT(Database!ALJ2,3)</f>
        <v/>
      </c>
      <c r="AKR2" t="str">
        <f>LEFT(Database!ALK2,3)</f>
        <v/>
      </c>
      <c r="AKS2" t="str">
        <f>LEFT(Database!ALL2,3)</f>
        <v/>
      </c>
      <c r="AKT2" t="str">
        <f>LEFT(Database!ALM2,3)</f>
        <v/>
      </c>
      <c r="AKU2" t="str">
        <f>LEFT(Database!ALN2,3)</f>
        <v/>
      </c>
      <c r="AKV2" t="str">
        <f>LEFT(Database!ALO2,3)</f>
        <v/>
      </c>
      <c r="AKW2" t="str">
        <f>LEFT(Database!ALP2,3)</f>
        <v/>
      </c>
      <c r="AKX2" t="str">
        <f>LEFT(Database!ALQ2,3)</f>
        <v/>
      </c>
      <c r="AKY2" t="str">
        <f>LEFT(Database!ALR2,3)</f>
        <v/>
      </c>
      <c r="AKZ2" t="str">
        <f>LEFT(Database!ALS2,3)</f>
        <v/>
      </c>
      <c r="ALA2" t="str">
        <f>LEFT(Database!ALT2,3)</f>
        <v/>
      </c>
      <c r="ALB2" t="str">
        <f>LEFT(Database!ALU2,3)</f>
        <v/>
      </c>
      <c r="ALC2" t="str">
        <f>LEFT(Database!ALV2,3)</f>
        <v/>
      </c>
      <c r="ALD2" t="str">
        <f>LEFT(Database!ALW2,3)</f>
        <v/>
      </c>
      <c r="ALE2" t="str">
        <f>LEFT(Database!ALX2,3)</f>
        <v/>
      </c>
      <c r="ALF2" t="str">
        <f>LEFT(Database!ALY2,3)</f>
        <v/>
      </c>
      <c r="ALG2" t="str">
        <f>LEFT(Database!ALZ2,3)</f>
        <v/>
      </c>
      <c r="ALH2" t="str">
        <f>LEFT(Database!AMA2,3)</f>
        <v/>
      </c>
      <c r="ALI2" t="str">
        <f>LEFT(Database!AMB2,3)</f>
        <v/>
      </c>
      <c r="ALJ2" t="str">
        <f>LEFT(Database!AMC2,3)</f>
        <v/>
      </c>
      <c r="ALK2" t="str">
        <f>LEFT(Database!AMD2,3)</f>
        <v/>
      </c>
      <c r="ALL2" t="str">
        <f>LEFT(Database!AME2,3)</f>
        <v/>
      </c>
      <c r="ALM2" t="str">
        <f>LEFT(Database!AMF2,3)</f>
        <v/>
      </c>
      <c r="ALN2" t="str">
        <f>LEFT(Database!AMG2,3)</f>
        <v/>
      </c>
      <c r="ALO2" t="str">
        <f>LEFT(Database!AMH2,3)</f>
        <v/>
      </c>
      <c r="ALP2" t="str">
        <f>LEFT(Database!AMI2,3)</f>
        <v/>
      </c>
      <c r="ALQ2" t="str">
        <f>LEFT(Database!AMJ2,3)</f>
        <v/>
      </c>
      <c r="ALR2" t="str">
        <f>LEFT(Database!AMK2,3)</f>
        <v/>
      </c>
      <c r="ALS2" t="str">
        <f>LEFT(Database!AML2,3)</f>
        <v/>
      </c>
      <c r="ALT2" t="str">
        <f>LEFT(Database!AMM2,3)</f>
        <v/>
      </c>
      <c r="ALU2" t="str">
        <f>LEFT(Database!AMN2,3)</f>
        <v/>
      </c>
      <c r="ALV2" t="str">
        <f>LEFT(Database!AMO2,3)</f>
        <v/>
      </c>
      <c r="ALW2" t="str">
        <f>LEFT(Database!AMP2,3)</f>
        <v/>
      </c>
      <c r="ALX2" t="str">
        <f>LEFT(Database!AMQ2,3)</f>
        <v/>
      </c>
      <c r="ALY2" t="str">
        <f>LEFT(Database!AMR2,3)</f>
        <v/>
      </c>
      <c r="ALZ2" t="str">
        <f>LEFT(Database!AMS2,3)</f>
        <v/>
      </c>
      <c r="AMA2" t="str">
        <f>LEFT(Database!AMT2,3)</f>
        <v/>
      </c>
      <c r="AMB2" t="str">
        <f>LEFT(Database!AMU2,3)</f>
        <v/>
      </c>
      <c r="AMC2" t="str">
        <f>LEFT(Database!AMV2,3)</f>
        <v/>
      </c>
      <c r="AMD2" t="str">
        <f>LEFT(Database!AMW2,3)</f>
        <v/>
      </c>
      <c r="AME2" t="str">
        <f>LEFT(Database!AMX2,3)</f>
        <v/>
      </c>
      <c r="AMF2" t="str">
        <f>LEFT(Database!AMY2,3)</f>
        <v/>
      </c>
      <c r="AMG2" t="str">
        <f>LEFT(Database!AMZ2,3)</f>
        <v/>
      </c>
      <c r="AMH2" t="str">
        <f>LEFT(Database!ANA2,3)</f>
        <v/>
      </c>
      <c r="AMI2" t="str">
        <f>LEFT(Database!ANB2,3)</f>
        <v/>
      </c>
      <c r="AMJ2" t="str">
        <f>LEFT(Database!ANC2,3)</f>
        <v/>
      </c>
      <c r="AMK2" t="str">
        <f>LEFT(Database!AND2,3)</f>
        <v/>
      </c>
      <c r="AML2" t="str">
        <f>LEFT(Database!ANE2,3)</f>
        <v/>
      </c>
      <c r="AMM2" t="str">
        <f>LEFT(Database!ANF2,3)</f>
        <v/>
      </c>
      <c r="AMN2" t="str">
        <f>LEFT(Database!ANG2,3)</f>
        <v/>
      </c>
      <c r="AMO2" t="str">
        <f>LEFT(Database!ANH2,3)</f>
        <v/>
      </c>
      <c r="AMP2" t="str">
        <f>LEFT(Database!ANI2,3)</f>
        <v/>
      </c>
      <c r="AMQ2" t="str">
        <f>LEFT(Database!ANJ2,3)</f>
        <v/>
      </c>
      <c r="AMR2" t="str">
        <f>LEFT(Database!ANK2,3)</f>
        <v/>
      </c>
      <c r="AMS2" t="str">
        <f>LEFT(Database!ANL2,3)</f>
        <v/>
      </c>
      <c r="AMT2" t="str">
        <f>LEFT(Database!ANM2,3)</f>
        <v/>
      </c>
      <c r="AMU2" t="str">
        <f>LEFT(Database!ANN2,3)</f>
        <v/>
      </c>
      <c r="AMV2" t="str">
        <f>LEFT(Database!ANO2,3)</f>
        <v/>
      </c>
      <c r="AMW2" t="str">
        <f>LEFT(Database!ANP2,3)</f>
        <v/>
      </c>
      <c r="AMX2" t="str">
        <f>LEFT(Database!ANQ2,3)</f>
        <v/>
      </c>
      <c r="AMY2" t="str">
        <f>LEFT(Database!ANR2,3)</f>
        <v/>
      </c>
      <c r="AMZ2" t="str">
        <f>LEFT(Database!ANS2,3)</f>
        <v/>
      </c>
      <c r="ANA2" t="str">
        <f>LEFT(Database!ANT2,3)</f>
        <v/>
      </c>
      <c r="ANB2" t="str">
        <f>LEFT(Database!ANU2,3)</f>
        <v/>
      </c>
      <c r="ANC2" t="str">
        <f>LEFT(Database!ANV2,3)</f>
        <v/>
      </c>
      <c r="AND2" t="str">
        <f>LEFT(Database!ANW2,3)</f>
        <v/>
      </c>
      <c r="ANE2" t="str">
        <f>LEFT(Database!ANX2,3)</f>
        <v/>
      </c>
      <c r="ANF2" t="str">
        <f>LEFT(Database!ANY2,3)</f>
        <v/>
      </c>
      <c r="ANG2" t="str">
        <f>LEFT(Database!ANZ2,3)</f>
        <v/>
      </c>
      <c r="ANH2" t="str">
        <f>LEFT(Database!AOA2,3)</f>
        <v/>
      </c>
      <c r="ANI2" t="str">
        <f>LEFT(Database!AOB2,3)</f>
        <v/>
      </c>
      <c r="ANJ2" t="str">
        <f>LEFT(Database!AOC2,3)</f>
        <v/>
      </c>
      <c r="ANK2" t="str">
        <f>LEFT(Database!AOD2,3)</f>
        <v/>
      </c>
      <c r="ANL2" t="str">
        <f>LEFT(Database!AOE2,3)</f>
        <v/>
      </c>
      <c r="ANM2" t="str">
        <f>LEFT(Database!AOF2,3)</f>
        <v/>
      </c>
      <c r="ANN2" t="str">
        <f>LEFT(Database!AOG2,3)</f>
        <v/>
      </c>
      <c r="ANO2" t="str">
        <f>LEFT(Database!AOH2,3)</f>
        <v/>
      </c>
      <c r="ANP2" t="str">
        <f>LEFT(Database!AOI2,3)</f>
        <v/>
      </c>
      <c r="ANQ2" t="str">
        <f>LEFT(Database!AOJ2,3)</f>
        <v/>
      </c>
      <c r="ANR2" t="str">
        <f>LEFT(Database!AOK2,3)</f>
        <v/>
      </c>
      <c r="ANS2" t="str">
        <f>LEFT(Database!AOL2,3)</f>
        <v/>
      </c>
      <c r="ANT2" t="str">
        <f>LEFT(Database!AOM2,3)</f>
        <v/>
      </c>
      <c r="ANU2" t="str">
        <f>LEFT(Database!AON2,3)</f>
        <v/>
      </c>
      <c r="ANV2" t="str">
        <f>LEFT(Database!AOO2,3)</f>
        <v/>
      </c>
      <c r="ANW2" t="str">
        <f>LEFT(Database!AOP2,3)</f>
        <v/>
      </c>
      <c r="ANX2" t="str">
        <f>LEFT(Database!AOQ2,3)</f>
        <v/>
      </c>
      <c r="ANY2" t="str">
        <f>LEFT(Database!AOR2,3)</f>
        <v/>
      </c>
      <c r="ANZ2" t="str">
        <f>LEFT(Database!AOS2,3)</f>
        <v/>
      </c>
      <c r="AOA2" t="str">
        <f>LEFT(Database!AOT2,3)</f>
        <v/>
      </c>
      <c r="AOB2" t="str">
        <f>LEFT(Database!AOU2,3)</f>
        <v/>
      </c>
      <c r="AOC2" t="str">
        <f>LEFT(Database!AOV2,3)</f>
        <v/>
      </c>
      <c r="AOD2" t="str">
        <f>LEFT(Database!AOW2,3)</f>
        <v/>
      </c>
      <c r="AOE2" t="str">
        <f>LEFT(Database!AOX2,3)</f>
        <v/>
      </c>
      <c r="AOF2" t="str">
        <f>LEFT(Database!AOY2,3)</f>
        <v/>
      </c>
      <c r="AOG2" t="str">
        <f>LEFT(Database!AOZ2,3)</f>
        <v/>
      </c>
      <c r="AOH2" t="str">
        <f>LEFT(Database!APA2,3)</f>
        <v/>
      </c>
      <c r="AOI2" t="str">
        <f>LEFT(Database!APB2,3)</f>
        <v/>
      </c>
      <c r="AOJ2" t="str">
        <f>LEFT(Database!APC2,3)</f>
        <v/>
      </c>
      <c r="AOK2" t="str">
        <f>LEFT(Database!APD2,3)</f>
        <v/>
      </c>
      <c r="AOL2" t="str">
        <f>LEFT(Database!APE2,3)</f>
        <v/>
      </c>
      <c r="AOM2" t="str">
        <f>LEFT(Database!APF2,3)</f>
        <v/>
      </c>
      <c r="AON2" t="str">
        <f>LEFT(Database!APG2,3)</f>
        <v/>
      </c>
      <c r="AOO2" t="str">
        <f>LEFT(Database!APH2,3)</f>
        <v/>
      </c>
      <c r="AOP2" t="str">
        <f>LEFT(Database!API2,3)</f>
        <v/>
      </c>
      <c r="AOQ2" t="str">
        <f>LEFT(Database!APJ2,3)</f>
        <v/>
      </c>
      <c r="AOR2" t="str">
        <f>LEFT(Database!APK2,3)</f>
        <v/>
      </c>
      <c r="AOS2" t="str">
        <f>LEFT(Database!APL2,3)</f>
        <v/>
      </c>
      <c r="AOT2" t="str">
        <f>LEFT(Database!APM2,3)</f>
        <v/>
      </c>
      <c r="AOU2" t="str">
        <f>LEFT(Database!APN2,3)</f>
        <v/>
      </c>
      <c r="AOV2" t="str">
        <f>LEFT(Database!APO2,3)</f>
        <v/>
      </c>
      <c r="AOW2" t="str">
        <f>LEFT(Database!APP2,3)</f>
        <v/>
      </c>
      <c r="AOX2" t="str">
        <f>LEFT(Database!APQ2,3)</f>
        <v/>
      </c>
      <c r="AOY2" t="str">
        <f>LEFT(Database!APR2,3)</f>
        <v/>
      </c>
      <c r="AOZ2" t="str">
        <f>LEFT(Database!APS2,3)</f>
        <v/>
      </c>
      <c r="APA2" t="str">
        <f>LEFT(Database!APT2,3)</f>
        <v/>
      </c>
      <c r="APB2" t="str">
        <f>LEFT(Database!APU2,3)</f>
        <v/>
      </c>
      <c r="APC2" t="str">
        <f>LEFT(Database!APV2,3)</f>
        <v/>
      </c>
      <c r="APD2" t="str">
        <f>LEFT(Database!APW2,3)</f>
        <v/>
      </c>
      <c r="APE2" t="str">
        <f>LEFT(Database!APX2,3)</f>
        <v/>
      </c>
      <c r="APF2" t="str">
        <f>LEFT(Database!APY2,3)</f>
        <v/>
      </c>
      <c r="APG2" t="str">
        <f>LEFT(Database!APZ2,3)</f>
        <v/>
      </c>
      <c r="APH2" t="str">
        <f>LEFT(Database!AQA2,3)</f>
        <v/>
      </c>
      <c r="API2" t="str">
        <f>LEFT(Database!AQB2,3)</f>
        <v/>
      </c>
      <c r="APJ2" t="str">
        <f>LEFT(Database!AQC2,3)</f>
        <v/>
      </c>
      <c r="APK2" t="str">
        <f>LEFT(Database!AQD2,3)</f>
        <v/>
      </c>
      <c r="APL2" t="str">
        <f>LEFT(Database!AQE2,3)</f>
        <v/>
      </c>
      <c r="APM2" t="str">
        <f>LEFT(Database!AQF2,3)</f>
        <v/>
      </c>
      <c r="APN2" t="str">
        <f>LEFT(Database!AQG2,3)</f>
        <v/>
      </c>
      <c r="APO2" t="str">
        <f>LEFT(Database!AQH2,3)</f>
        <v/>
      </c>
      <c r="APP2" t="str">
        <f>LEFT(Database!AQI2,3)</f>
        <v/>
      </c>
      <c r="APQ2" t="str">
        <f>LEFT(Database!AQJ2,3)</f>
        <v/>
      </c>
      <c r="APR2" t="str">
        <f>LEFT(Database!AQK2,3)</f>
        <v/>
      </c>
      <c r="APS2" t="str">
        <f>LEFT(Database!AQL2,3)</f>
        <v/>
      </c>
      <c r="APT2" t="str">
        <f>LEFT(Database!AQM2,3)</f>
        <v/>
      </c>
      <c r="APU2" t="str">
        <f>LEFT(Database!AQN2,3)</f>
        <v/>
      </c>
      <c r="APV2" t="str">
        <f>LEFT(Database!AQO2,3)</f>
        <v/>
      </c>
      <c r="APW2" t="str">
        <f>LEFT(Database!AQP2,3)</f>
        <v/>
      </c>
      <c r="APX2" t="str">
        <f>LEFT(Database!AQQ2,3)</f>
        <v/>
      </c>
      <c r="APY2" t="str">
        <f>LEFT(Database!AQR2,3)</f>
        <v/>
      </c>
      <c r="APZ2" t="str">
        <f>LEFT(Database!AQS2,3)</f>
        <v/>
      </c>
      <c r="AQA2" t="str">
        <f>LEFT(Database!AQT2,3)</f>
        <v/>
      </c>
      <c r="AQB2" t="str">
        <f>LEFT(Database!AQU2,3)</f>
        <v/>
      </c>
      <c r="AQC2" t="str">
        <f>LEFT(Database!AQV2,3)</f>
        <v/>
      </c>
      <c r="AQD2" t="str">
        <f>LEFT(Database!AQW2,3)</f>
        <v/>
      </c>
      <c r="AQE2" t="str">
        <f>LEFT(Database!AQX2,3)</f>
        <v/>
      </c>
      <c r="AQF2" t="str">
        <f>LEFT(Database!AQY2,3)</f>
        <v/>
      </c>
      <c r="AQG2" t="str">
        <f>LEFT(Database!AQZ2,3)</f>
        <v/>
      </c>
      <c r="AQH2" t="str">
        <f>LEFT(Database!ARA2,3)</f>
        <v/>
      </c>
      <c r="AQI2" t="str">
        <f>LEFT(Database!ARB2,3)</f>
        <v/>
      </c>
      <c r="AQJ2" t="str">
        <f>LEFT(Database!ARC2,3)</f>
        <v/>
      </c>
      <c r="AQK2" t="str">
        <f>LEFT(Database!ARD2,3)</f>
        <v/>
      </c>
      <c r="AQL2" t="str">
        <f>LEFT(Database!ARE2,3)</f>
        <v/>
      </c>
      <c r="AQM2" t="str">
        <f>LEFT(Database!ARF2,3)</f>
        <v/>
      </c>
      <c r="AQN2" t="str">
        <f>LEFT(Database!ARG2,3)</f>
        <v/>
      </c>
      <c r="AQO2" t="str">
        <f>LEFT(Database!ARH2,3)</f>
        <v/>
      </c>
      <c r="AQP2" t="str">
        <f>LEFT(Database!ARI2,3)</f>
        <v/>
      </c>
      <c r="AQQ2" t="str">
        <f>LEFT(Database!ARJ2,3)</f>
        <v/>
      </c>
      <c r="AQR2" t="str">
        <f>LEFT(Database!ARK2,3)</f>
        <v/>
      </c>
      <c r="AQS2" t="str">
        <f>LEFT(Database!ARL2,3)</f>
        <v/>
      </c>
      <c r="AQT2" t="str">
        <f>LEFT(Database!ARM2,3)</f>
        <v/>
      </c>
      <c r="AQU2" t="str">
        <f>LEFT(Database!ARN2,3)</f>
        <v/>
      </c>
      <c r="AQV2" t="str">
        <f>LEFT(Database!ARO2,3)</f>
        <v/>
      </c>
      <c r="AQW2" t="str">
        <f>LEFT(Database!ARP2,3)</f>
        <v/>
      </c>
      <c r="AQX2" t="str">
        <f>LEFT(Database!ARQ2,3)</f>
        <v/>
      </c>
      <c r="AQY2" t="str">
        <f>LEFT(Database!ARR2,3)</f>
        <v/>
      </c>
      <c r="AQZ2" t="str">
        <f>LEFT(Database!ARS2,3)</f>
        <v/>
      </c>
      <c r="ARA2" t="str">
        <f>LEFT(Database!ART2,3)</f>
        <v/>
      </c>
      <c r="ARB2" t="str">
        <f>LEFT(Database!ARU2,3)</f>
        <v/>
      </c>
      <c r="ARC2" t="str">
        <f>LEFT(Database!ARV2,3)</f>
        <v/>
      </c>
      <c r="ARD2" t="str">
        <f>LEFT(Database!ARW2,3)</f>
        <v/>
      </c>
      <c r="ARE2" t="str">
        <f>LEFT(Database!ARX2,3)</f>
        <v/>
      </c>
      <c r="ARF2" t="str">
        <f>LEFT(Database!ARY2,3)</f>
        <v/>
      </c>
      <c r="ARG2" t="str">
        <f>LEFT(Database!ARZ2,3)</f>
        <v/>
      </c>
      <c r="ARH2" t="str">
        <f>LEFT(Database!ASA2,3)</f>
        <v/>
      </c>
      <c r="ARI2" t="str">
        <f>LEFT(Database!ASB2,3)</f>
        <v/>
      </c>
      <c r="ARJ2" t="str">
        <f>LEFT(Database!ASC2,3)</f>
        <v/>
      </c>
      <c r="ARK2" t="str">
        <f>LEFT(Database!ASD2,3)</f>
        <v/>
      </c>
      <c r="ARL2" t="str">
        <f>LEFT(Database!ASE2,3)</f>
        <v/>
      </c>
      <c r="ARM2" t="str">
        <f>LEFT(Database!ASF2,3)</f>
        <v/>
      </c>
      <c r="ARN2" t="str">
        <f>LEFT(Database!ASG2,3)</f>
        <v/>
      </c>
      <c r="ARO2" t="str">
        <f>LEFT(Database!ASH2,3)</f>
        <v/>
      </c>
      <c r="ARP2" t="str">
        <f>LEFT(Database!ASI2,3)</f>
        <v/>
      </c>
      <c r="ARQ2" t="str">
        <f>LEFT(Database!ASJ2,3)</f>
        <v/>
      </c>
      <c r="ARR2" t="str">
        <f>LEFT(Database!ASK2,3)</f>
        <v/>
      </c>
      <c r="ARS2" t="str">
        <f>LEFT(Database!ASL2,3)</f>
        <v/>
      </c>
      <c r="ART2" t="str">
        <f>LEFT(Database!ASM2,3)</f>
        <v/>
      </c>
      <c r="ARU2" t="str">
        <f>LEFT(Database!ASN2,3)</f>
        <v/>
      </c>
      <c r="ARV2" t="str">
        <f>LEFT(Database!ASO2,3)</f>
        <v/>
      </c>
      <c r="ARW2" t="str">
        <f>LEFT(Database!ASP2,3)</f>
        <v/>
      </c>
      <c r="ARX2" t="str">
        <f>LEFT(Database!ASQ2,3)</f>
        <v/>
      </c>
      <c r="ARY2" t="str">
        <f>LEFT(Database!ASR2,3)</f>
        <v/>
      </c>
      <c r="ARZ2" t="str">
        <f>LEFT(Database!ASS2,3)</f>
        <v/>
      </c>
      <c r="ASA2" t="str">
        <f>LEFT(Database!AST2,3)</f>
        <v/>
      </c>
      <c r="ASB2" t="str">
        <f>LEFT(Database!ASU2,3)</f>
        <v/>
      </c>
      <c r="ASC2" t="str">
        <f>LEFT(Database!ASV2,3)</f>
        <v/>
      </c>
      <c r="ASD2" t="str">
        <f>LEFT(Database!ASW2,3)</f>
        <v/>
      </c>
      <c r="ASE2" t="str">
        <f>LEFT(Database!ASX2,3)</f>
        <v/>
      </c>
      <c r="ASF2" t="str">
        <f>LEFT(Database!ASY2,3)</f>
        <v/>
      </c>
      <c r="ASG2" t="str">
        <f>LEFT(Database!ASZ2,3)</f>
        <v/>
      </c>
      <c r="ASH2" t="str">
        <f>LEFT(Database!ATA2,3)</f>
        <v/>
      </c>
      <c r="ASI2" t="str">
        <f>LEFT(Database!ATB2,3)</f>
        <v/>
      </c>
      <c r="ASJ2" t="str">
        <f>LEFT(Database!ATC2,3)</f>
        <v/>
      </c>
      <c r="ASK2" t="str">
        <f>LEFT(Database!ATD2,3)</f>
        <v/>
      </c>
      <c r="ASL2" t="str">
        <f>LEFT(Database!ATE2,3)</f>
        <v/>
      </c>
      <c r="ASM2" t="str">
        <f>LEFT(Database!ATF2,3)</f>
        <v/>
      </c>
      <c r="ASN2" t="str">
        <f>LEFT(Database!ATG2,3)</f>
        <v/>
      </c>
      <c r="ASO2" t="str">
        <f>LEFT(Database!ATH2,3)</f>
        <v/>
      </c>
      <c r="ASP2" t="str">
        <f>LEFT(Database!ATI2,3)</f>
        <v/>
      </c>
      <c r="ASQ2" t="str">
        <f>LEFT(Database!ATJ2,3)</f>
        <v/>
      </c>
      <c r="ASR2" t="str">
        <f>LEFT(Database!ATK2,3)</f>
        <v/>
      </c>
      <c r="ASS2" t="str">
        <f>LEFT(Database!ATL2,3)</f>
        <v/>
      </c>
      <c r="AST2" t="str">
        <f>LEFT(Database!ATM2,3)</f>
        <v/>
      </c>
      <c r="ASU2" t="str">
        <f>LEFT(Database!ATN2,3)</f>
        <v/>
      </c>
      <c r="ASV2" t="str">
        <f>LEFT(Database!ATO2,3)</f>
        <v/>
      </c>
      <c r="ASW2" t="str">
        <f>LEFT(Database!ATP2,3)</f>
        <v/>
      </c>
      <c r="ASX2" t="str">
        <f>LEFT(Database!ATQ2,3)</f>
        <v/>
      </c>
      <c r="ASY2" t="str">
        <f>LEFT(Database!ATR2,3)</f>
        <v/>
      </c>
      <c r="ASZ2" t="str">
        <f>LEFT(Database!ATS2,3)</f>
        <v/>
      </c>
      <c r="ATA2" t="str">
        <f>LEFT(Database!ATT2,3)</f>
        <v/>
      </c>
      <c r="ATB2" t="str">
        <f>LEFT(Database!ATU2,3)</f>
        <v/>
      </c>
      <c r="ATC2" t="str">
        <f>LEFT(Database!ATV2,3)</f>
        <v/>
      </c>
      <c r="ATD2" t="str">
        <f>LEFT(Database!ATW2,3)</f>
        <v/>
      </c>
      <c r="ATE2" t="str">
        <f>LEFT(Database!ATX2,3)</f>
        <v/>
      </c>
      <c r="ATF2" t="str">
        <f>LEFT(Database!ATY2,3)</f>
        <v/>
      </c>
      <c r="ATG2" t="str">
        <f>LEFT(Database!ATZ2,3)</f>
        <v/>
      </c>
      <c r="ATH2" t="str">
        <f>LEFT(Database!AUA2,3)</f>
        <v/>
      </c>
      <c r="ATI2" t="str">
        <f>LEFT(Database!AUB2,3)</f>
        <v/>
      </c>
      <c r="ATJ2" t="str">
        <f>LEFT(Database!AUC2,3)</f>
        <v/>
      </c>
      <c r="ATK2" t="str">
        <f>LEFT(Database!AUD2,3)</f>
        <v/>
      </c>
      <c r="ATL2" t="str">
        <f>LEFT(Database!AUE2,3)</f>
        <v/>
      </c>
      <c r="ATM2" t="str">
        <f>LEFT(Database!AUF2,3)</f>
        <v/>
      </c>
      <c r="ATN2" t="str">
        <f>LEFT(Database!AUG2,3)</f>
        <v/>
      </c>
      <c r="ATO2" t="str">
        <f>LEFT(Database!AUH2,3)</f>
        <v/>
      </c>
      <c r="ATP2" t="str">
        <f>LEFT(Database!AUI2,3)</f>
        <v/>
      </c>
      <c r="ATQ2" t="str">
        <f>LEFT(Database!AUJ2,3)</f>
        <v/>
      </c>
      <c r="ATR2" t="str">
        <f>LEFT(Database!AUK2,3)</f>
        <v/>
      </c>
      <c r="ATS2" t="str">
        <f>LEFT(Database!AUL2,3)</f>
        <v/>
      </c>
      <c r="ATT2" t="str">
        <f>LEFT(Database!AUM2,3)</f>
        <v/>
      </c>
      <c r="ATU2" t="str">
        <f>LEFT(Database!AUN2,3)</f>
        <v/>
      </c>
      <c r="ATV2" t="str">
        <f>LEFT(Database!AUO2,3)</f>
        <v/>
      </c>
      <c r="ATW2" t="str">
        <f>LEFT(Database!AUP2,3)</f>
        <v/>
      </c>
      <c r="ATX2" t="str">
        <f>LEFT(Database!AUQ2,3)</f>
        <v/>
      </c>
      <c r="ATY2" t="str">
        <f>LEFT(Database!AUR2,3)</f>
        <v/>
      </c>
      <c r="ATZ2" t="str">
        <f>LEFT(Database!AUS2,3)</f>
        <v/>
      </c>
      <c r="AUA2" t="str">
        <f>LEFT(Database!AUT2,3)</f>
        <v/>
      </c>
      <c r="AUB2" t="str">
        <f>LEFT(Database!AUU2,3)</f>
        <v/>
      </c>
      <c r="AUC2" t="str">
        <f>LEFT(Database!AUV2,3)</f>
        <v/>
      </c>
      <c r="AUD2" t="str">
        <f>LEFT(Database!AUW2,3)</f>
        <v/>
      </c>
      <c r="AUE2" t="str">
        <f>LEFT(Database!AUX2,3)</f>
        <v/>
      </c>
      <c r="AUF2" t="str">
        <f>LEFT(Database!AUY2,3)</f>
        <v/>
      </c>
      <c r="AUG2" t="str">
        <f>LEFT(Database!AUZ2,3)</f>
        <v/>
      </c>
      <c r="AUH2" t="str">
        <f>LEFT(Database!AVA2,3)</f>
        <v/>
      </c>
      <c r="AUI2" t="str">
        <f>LEFT(Database!AVB2,3)</f>
        <v/>
      </c>
      <c r="AUJ2" t="str">
        <f>LEFT(Database!AVC2,3)</f>
        <v/>
      </c>
      <c r="AUK2" t="str">
        <f>LEFT(Database!AVD2,3)</f>
        <v/>
      </c>
      <c r="AUL2" t="str">
        <f>LEFT(Database!AVE2,3)</f>
        <v/>
      </c>
      <c r="AUM2" t="str">
        <f>LEFT(Database!AVF2,3)</f>
        <v/>
      </c>
      <c r="AUN2" t="str">
        <f>LEFT(Database!AVG2,3)</f>
        <v/>
      </c>
      <c r="AUO2" t="str">
        <f>LEFT(Database!AVH2,3)</f>
        <v/>
      </c>
      <c r="AUP2" t="str">
        <f>LEFT(Database!AVI2,3)</f>
        <v/>
      </c>
      <c r="AUQ2" t="str">
        <f>LEFT(Database!AVJ2,3)</f>
        <v/>
      </c>
      <c r="AUR2" t="str">
        <f>LEFT(Database!AVK2,3)</f>
        <v/>
      </c>
      <c r="AUS2" t="str">
        <f>LEFT(Database!AVL2,3)</f>
        <v/>
      </c>
      <c r="AUT2" t="str">
        <f>LEFT(Database!AVM2,3)</f>
        <v/>
      </c>
      <c r="AUU2" t="str">
        <f>LEFT(Database!AVN2,3)</f>
        <v/>
      </c>
      <c r="AUV2" t="str">
        <f>LEFT(Database!AVO2,3)</f>
        <v/>
      </c>
      <c r="AUW2" t="str">
        <f>LEFT(Database!AVP2,3)</f>
        <v/>
      </c>
      <c r="AUX2" t="str">
        <f>LEFT(Database!AVQ2,3)</f>
        <v/>
      </c>
      <c r="AUY2" t="str">
        <f>LEFT(Database!AVR2,3)</f>
        <v/>
      </c>
      <c r="AUZ2" t="str">
        <f>LEFT(Database!AVS2,3)</f>
        <v/>
      </c>
      <c r="AVA2" t="str">
        <f>LEFT(Database!AVT2,3)</f>
        <v/>
      </c>
      <c r="AVB2" t="str">
        <f>LEFT(Database!AVU2,3)</f>
        <v/>
      </c>
      <c r="AVC2" t="str">
        <f>LEFT(Database!AVV2,3)</f>
        <v/>
      </c>
      <c r="AVD2" t="str">
        <f>LEFT(Database!AVW2,3)</f>
        <v/>
      </c>
      <c r="AVE2" t="str">
        <f>LEFT(Database!AVX2,3)</f>
        <v/>
      </c>
      <c r="AVF2" t="str">
        <f>LEFT(Database!AVY2,3)</f>
        <v/>
      </c>
      <c r="AVG2" t="str">
        <f>LEFT(Database!AVZ2,3)</f>
        <v/>
      </c>
      <c r="AVH2" t="str">
        <f>LEFT(Database!AWA2,3)</f>
        <v/>
      </c>
      <c r="AVI2" t="str">
        <f>LEFT(Database!AWB2,3)</f>
        <v/>
      </c>
      <c r="AVJ2" t="str">
        <f>LEFT(Database!AWC2,3)</f>
        <v/>
      </c>
      <c r="AVK2" t="str">
        <f>LEFT(Database!AWD2,3)</f>
        <v/>
      </c>
      <c r="AVL2" t="str">
        <f>LEFT(Database!AWE2,3)</f>
        <v/>
      </c>
      <c r="AVM2" t="str">
        <f>LEFT(Database!AWF2,3)</f>
        <v/>
      </c>
      <c r="AVN2" t="str">
        <f>LEFT(Database!AWG2,3)</f>
        <v/>
      </c>
      <c r="AVO2" t="str">
        <f>LEFT(Database!AWH2,3)</f>
        <v/>
      </c>
      <c r="AVP2" t="str">
        <f>LEFT(Database!AWI2,3)</f>
        <v/>
      </c>
      <c r="AVQ2" t="str">
        <f>LEFT(Database!AWJ2,3)</f>
        <v/>
      </c>
      <c r="AVR2" t="str">
        <f>LEFT(Database!AWK2,3)</f>
        <v/>
      </c>
      <c r="AVS2" t="str">
        <f>LEFT(Database!AWL2,3)</f>
        <v/>
      </c>
      <c r="AVT2" t="str">
        <f>LEFT(Database!AWM2,3)</f>
        <v/>
      </c>
      <c r="AVU2" t="str">
        <f>LEFT(Database!AWN2,3)</f>
        <v/>
      </c>
      <c r="AVV2" t="str">
        <f>LEFT(Database!AWO2,3)</f>
        <v/>
      </c>
      <c r="AVW2" t="str">
        <f>LEFT(Database!AWP2,3)</f>
        <v/>
      </c>
      <c r="AVX2" t="str">
        <f>LEFT(Database!AWQ2,3)</f>
        <v/>
      </c>
      <c r="AVY2" t="str">
        <f>LEFT(Database!AWR2,3)</f>
        <v/>
      </c>
      <c r="AVZ2" t="str">
        <f>LEFT(Database!AWS2,3)</f>
        <v/>
      </c>
      <c r="AWA2" t="str">
        <f>LEFT(Database!AWT2,3)</f>
        <v/>
      </c>
      <c r="AWB2" t="str">
        <f>LEFT(Database!AWU2,3)</f>
        <v/>
      </c>
      <c r="AWC2" t="str">
        <f>LEFT(Database!AWV2,3)</f>
        <v/>
      </c>
      <c r="AWD2" t="str">
        <f>LEFT(Database!AWW2,3)</f>
        <v/>
      </c>
      <c r="AWE2" t="str">
        <f>LEFT(Database!AWX2,3)</f>
        <v/>
      </c>
      <c r="AWF2" t="str">
        <f>LEFT(Database!AWY2,3)</f>
        <v/>
      </c>
      <c r="AWG2" t="str">
        <f>LEFT(Database!AWZ2,3)</f>
        <v/>
      </c>
      <c r="AWH2" t="str">
        <f>LEFT(Database!AXA2,3)</f>
        <v/>
      </c>
      <c r="AWI2" t="str">
        <f>LEFT(Database!AXB2,3)</f>
        <v/>
      </c>
      <c r="AWJ2" t="str">
        <f>LEFT(Database!AXC2,3)</f>
        <v/>
      </c>
      <c r="AWK2" t="str">
        <f>LEFT(Database!AXD2,3)</f>
        <v/>
      </c>
      <c r="AWL2" t="str">
        <f>LEFT(Database!AXE2,3)</f>
        <v/>
      </c>
      <c r="AWM2" t="str">
        <f>LEFT(Database!AXF2,3)</f>
        <v/>
      </c>
      <c r="AWN2" t="str">
        <f>LEFT(Database!AXG2,3)</f>
        <v/>
      </c>
      <c r="AWO2" t="str">
        <f>LEFT(Database!AXH2,3)</f>
        <v/>
      </c>
      <c r="AWP2" t="str">
        <f>LEFT(Database!AXI2,3)</f>
        <v/>
      </c>
      <c r="AWQ2" t="str">
        <f>LEFT(Database!AXJ2,3)</f>
        <v/>
      </c>
      <c r="AWR2" t="str">
        <f>LEFT(Database!AXK2,3)</f>
        <v/>
      </c>
      <c r="AWS2" t="str">
        <f>LEFT(Database!AXL2,3)</f>
        <v/>
      </c>
      <c r="AWT2" t="str">
        <f>LEFT(Database!AXM2,3)</f>
        <v/>
      </c>
      <c r="AWU2" t="str">
        <f>LEFT(Database!AXN2,3)</f>
        <v/>
      </c>
      <c r="AWV2" t="str">
        <f>LEFT(Database!AXO2,3)</f>
        <v/>
      </c>
      <c r="AWW2" t="str">
        <f>LEFT(Database!AXP2,3)</f>
        <v/>
      </c>
      <c r="AWX2" t="str">
        <f>LEFT(Database!AXQ2,3)</f>
        <v/>
      </c>
      <c r="AWY2" t="str">
        <f>LEFT(Database!AXR2,3)</f>
        <v/>
      </c>
      <c r="AWZ2" t="str">
        <f>LEFT(Database!AXS2,3)</f>
        <v/>
      </c>
      <c r="AXA2" t="str">
        <f>LEFT(Database!AXT2,3)</f>
        <v/>
      </c>
      <c r="AXB2" t="str">
        <f>LEFT(Database!AXU2,3)</f>
        <v/>
      </c>
      <c r="AXC2" t="str">
        <f>LEFT(Database!AXV2,3)</f>
        <v/>
      </c>
      <c r="AXD2" t="str">
        <f>LEFT(Database!AXW2,3)</f>
        <v/>
      </c>
      <c r="AXE2" t="str">
        <f>LEFT(Database!AXX2,3)</f>
        <v/>
      </c>
      <c r="AXF2" t="str">
        <f>LEFT(Database!AXY2,3)</f>
        <v/>
      </c>
      <c r="AXG2" t="str">
        <f>LEFT(Database!AXZ2,3)</f>
        <v/>
      </c>
      <c r="AXH2" t="str">
        <f>LEFT(Database!AYA2,3)</f>
        <v/>
      </c>
      <c r="AXI2" t="str">
        <f>LEFT(Database!AYB2,3)</f>
        <v/>
      </c>
      <c r="AXJ2" t="str">
        <f>LEFT(Database!AYC2,3)</f>
        <v/>
      </c>
      <c r="AXK2" t="str">
        <f>LEFT(Database!AYD2,3)</f>
        <v/>
      </c>
      <c r="AXL2" t="str">
        <f>LEFT(Database!AYE2,3)</f>
        <v/>
      </c>
      <c r="AXM2" t="str">
        <f>LEFT(Database!AYF2,3)</f>
        <v/>
      </c>
      <c r="AXN2" t="str">
        <f>LEFT(Database!AYG2,3)</f>
        <v/>
      </c>
      <c r="AXO2" t="str">
        <f>LEFT(Database!AYH2,3)</f>
        <v/>
      </c>
      <c r="AXP2" t="str">
        <f>LEFT(Database!AYI2,3)</f>
        <v/>
      </c>
      <c r="AXQ2" t="str">
        <f>LEFT(Database!AYJ2,3)</f>
        <v/>
      </c>
      <c r="AXR2" t="str">
        <f>LEFT(Database!AYK2,3)</f>
        <v/>
      </c>
      <c r="AXS2" t="str">
        <f>LEFT(Database!AYL2,3)</f>
        <v/>
      </c>
      <c r="AXT2" t="str">
        <f>LEFT(Database!AYM2,3)</f>
        <v/>
      </c>
      <c r="AXU2" t="str">
        <f>LEFT(Database!AYN2,3)</f>
        <v/>
      </c>
      <c r="AXV2" t="str">
        <f>LEFT(Database!AYO2,3)</f>
        <v/>
      </c>
      <c r="AXW2" t="str">
        <f>LEFT(Database!AYP2,3)</f>
        <v/>
      </c>
      <c r="AXX2" t="str">
        <f>LEFT(Database!AYQ2,3)</f>
        <v/>
      </c>
      <c r="AXY2" t="str">
        <f>LEFT(Database!AYR2,3)</f>
        <v/>
      </c>
      <c r="AXZ2" t="str">
        <f>LEFT(Database!AYS2,3)</f>
        <v/>
      </c>
      <c r="AYA2" t="str">
        <f>LEFT(Database!AYT2,3)</f>
        <v/>
      </c>
      <c r="AYB2" t="str">
        <f>LEFT(Database!AYU2,3)</f>
        <v/>
      </c>
      <c r="AYC2" t="str">
        <f>LEFT(Database!AYV2,3)</f>
        <v/>
      </c>
      <c r="AYD2" t="str">
        <f>LEFT(Database!AYW2,3)</f>
        <v/>
      </c>
      <c r="AYE2" t="str">
        <f>LEFT(Database!AYX2,3)</f>
        <v/>
      </c>
      <c r="AYF2" t="str">
        <f>LEFT(Database!AYY2,3)</f>
        <v/>
      </c>
      <c r="AYG2" t="str">
        <f>LEFT(Database!AYZ2,3)</f>
        <v/>
      </c>
      <c r="AYH2" t="str">
        <f>LEFT(Database!AZA2,3)</f>
        <v/>
      </c>
      <c r="AYI2" t="str">
        <f>LEFT(Database!AZB2,3)</f>
        <v/>
      </c>
      <c r="AYJ2" t="str">
        <f>LEFT(Database!AZC2,3)</f>
        <v/>
      </c>
      <c r="AYK2" t="str">
        <f>LEFT(Database!AZD2,3)</f>
        <v/>
      </c>
      <c r="AYL2" t="str">
        <f>LEFT(Database!AZE2,3)</f>
        <v/>
      </c>
      <c r="AYM2" t="str">
        <f>LEFT(Database!AZF2,3)</f>
        <v/>
      </c>
      <c r="AYN2" t="str">
        <f>LEFT(Database!AZG2,3)</f>
        <v/>
      </c>
      <c r="AYO2" t="str">
        <f>LEFT(Database!AZH2,3)</f>
        <v/>
      </c>
      <c r="AYP2" t="str">
        <f>LEFT(Database!AZI2,3)</f>
        <v/>
      </c>
      <c r="AYQ2" t="str">
        <f>LEFT(Database!AZJ2,3)</f>
        <v/>
      </c>
      <c r="AYR2" t="str">
        <f>LEFT(Database!AZK2,3)</f>
        <v/>
      </c>
      <c r="AYS2" t="str">
        <f>LEFT(Database!AZL2,3)</f>
        <v/>
      </c>
      <c r="AYT2" t="str">
        <f>LEFT(Database!AZM2,3)</f>
        <v/>
      </c>
      <c r="AYU2" t="str">
        <f>LEFT(Database!AZN2,3)</f>
        <v/>
      </c>
      <c r="AYV2" t="str">
        <f>LEFT(Database!AZO2,3)</f>
        <v/>
      </c>
      <c r="AYW2" t="str">
        <f>LEFT(Database!AZP2,3)</f>
        <v/>
      </c>
      <c r="AYX2" t="str">
        <f>LEFT(Database!AZQ2,3)</f>
        <v/>
      </c>
      <c r="AYY2" t="str">
        <f>LEFT(Database!AZR2,3)</f>
        <v/>
      </c>
      <c r="AYZ2" t="str">
        <f>LEFT(Database!AZS2,3)</f>
        <v/>
      </c>
      <c r="AZA2" t="str">
        <f>LEFT(Database!AZT2,3)</f>
        <v/>
      </c>
      <c r="AZB2" t="str">
        <f>LEFT(Database!AZU2,3)</f>
        <v/>
      </c>
      <c r="AZC2" t="str">
        <f>LEFT(Database!AZV2,3)</f>
        <v/>
      </c>
      <c r="AZD2" t="str">
        <f>LEFT(Database!AZW2,3)</f>
        <v/>
      </c>
      <c r="AZE2" t="str">
        <f>LEFT(Database!AZX2,3)</f>
        <v/>
      </c>
      <c r="AZF2" t="str">
        <f>LEFT(Database!AZY2,3)</f>
        <v/>
      </c>
      <c r="AZG2" t="str">
        <f>LEFT(Database!AZZ2,3)</f>
        <v/>
      </c>
      <c r="AZH2" t="str">
        <f>LEFT(Database!BAA2,3)</f>
        <v/>
      </c>
      <c r="AZI2" t="str">
        <f>LEFT(Database!BAB2,3)</f>
        <v/>
      </c>
      <c r="AZJ2" t="str">
        <f>LEFT(Database!BAC2,3)</f>
        <v/>
      </c>
      <c r="AZK2" t="str">
        <f>LEFT(Database!BAD2,3)</f>
        <v/>
      </c>
      <c r="AZL2" t="str">
        <f>LEFT(Database!BAE2,3)</f>
        <v/>
      </c>
      <c r="AZM2" t="str">
        <f>LEFT(Database!BAF2,3)</f>
        <v/>
      </c>
      <c r="AZN2" t="str">
        <f>LEFT(Database!BAG2,3)</f>
        <v/>
      </c>
      <c r="AZO2" t="str">
        <f>LEFT(Database!BAH2,3)</f>
        <v/>
      </c>
      <c r="AZP2" t="str">
        <f>LEFT(Database!BAI2,3)</f>
        <v/>
      </c>
      <c r="AZQ2" t="str">
        <f>LEFT(Database!BAJ2,3)</f>
        <v/>
      </c>
      <c r="AZR2" t="str">
        <f>LEFT(Database!BAK2,3)</f>
        <v/>
      </c>
      <c r="AZS2" t="str">
        <f>LEFT(Database!BAL2,3)</f>
        <v/>
      </c>
      <c r="AZT2" t="str">
        <f>LEFT(Database!BAM2,3)</f>
        <v/>
      </c>
      <c r="AZU2" t="str">
        <f>LEFT(Database!BAN2,3)</f>
        <v/>
      </c>
      <c r="AZV2" t="str">
        <f>LEFT(Database!BAO2,3)</f>
        <v/>
      </c>
      <c r="AZW2" t="str">
        <f>LEFT(Database!BAP2,3)</f>
        <v/>
      </c>
      <c r="AZX2" t="str">
        <f>LEFT(Database!BAQ2,3)</f>
        <v/>
      </c>
      <c r="AZY2" t="str">
        <f>LEFT(Database!BAR2,3)</f>
        <v/>
      </c>
      <c r="AZZ2" t="str">
        <f>LEFT(Database!BAS2,3)</f>
        <v/>
      </c>
      <c r="BAA2" t="str">
        <f>LEFT(Database!BAT2,3)</f>
        <v/>
      </c>
      <c r="BAB2" t="str">
        <f>LEFT(Database!BAU2,3)</f>
        <v/>
      </c>
      <c r="BAC2" t="str">
        <f>LEFT(Database!BAV2,3)</f>
        <v/>
      </c>
      <c r="BAD2" t="str">
        <f>LEFT(Database!BAW2,3)</f>
        <v/>
      </c>
      <c r="BAE2" t="str">
        <f>LEFT(Database!BAX2,3)</f>
        <v/>
      </c>
      <c r="BAF2" t="str">
        <f>LEFT(Database!BAY2,3)</f>
        <v/>
      </c>
      <c r="BAG2" t="str">
        <f>LEFT(Database!BAZ2,3)</f>
        <v/>
      </c>
      <c r="BAH2" t="str">
        <f>LEFT(Database!BBA2,3)</f>
        <v/>
      </c>
      <c r="BAI2" t="str">
        <f>LEFT(Database!BBB2,3)</f>
        <v/>
      </c>
      <c r="BAJ2" t="str">
        <f>LEFT(Database!BBC2,3)</f>
        <v/>
      </c>
      <c r="BAK2" t="str">
        <f>LEFT(Database!BBD2,3)</f>
        <v/>
      </c>
      <c r="BAL2" t="str">
        <f>LEFT(Database!BBE2,3)</f>
        <v/>
      </c>
      <c r="BAM2" t="str">
        <f>LEFT(Database!BBF2,3)</f>
        <v/>
      </c>
      <c r="BAN2" t="str">
        <f>LEFT(Database!BBG2,3)</f>
        <v/>
      </c>
      <c r="BAO2" t="str">
        <f>LEFT(Database!BBH2,3)</f>
        <v/>
      </c>
      <c r="BAP2" t="str">
        <f>LEFT(Database!BBI2,3)</f>
        <v/>
      </c>
      <c r="BAQ2" t="str">
        <f>LEFT(Database!BBJ2,3)</f>
        <v/>
      </c>
      <c r="BAR2" t="str">
        <f>LEFT(Database!BBK2,3)</f>
        <v/>
      </c>
      <c r="BAS2" t="str">
        <f>LEFT(Database!BBL2,3)</f>
        <v/>
      </c>
      <c r="BAT2" t="str">
        <f>LEFT(Database!BBM2,3)</f>
        <v/>
      </c>
      <c r="BAU2" t="str">
        <f>LEFT(Database!BBN2,3)</f>
        <v/>
      </c>
      <c r="BAV2" t="str">
        <f>LEFT(Database!BBO2,3)</f>
        <v/>
      </c>
      <c r="BAW2" t="str">
        <f>LEFT(Database!BBP2,3)</f>
        <v/>
      </c>
      <c r="BAX2" t="str">
        <f>LEFT(Database!BBQ2,3)</f>
        <v/>
      </c>
      <c r="BAY2" t="str">
        <f>LEFT(Database!BBR2,3)</f>
        <v/>
      </c>
      <c r="BAZ2" t="str">
        <f>LEFT(Database!BBS2,3)</f>
        <v/>
      </c>
      <c r="BBA2" t="str">
        <f>LEFT(Database!BBT2,3)</f>
        <v/>
      </c>
      <c r="BBB2" t="str">
        <f>LEFT(Database!BBU2,3)</f>
        <v/>
      </c>
      <c r="BBC2" t="str">
        <f>LEFT(Database!BBV2,3)</f>
        <v/>
      </c>
      <c r="BBD2" t="str">
        <f>LEFT(Database!BBW2,3)</f>
        <v/>
      </c>
      <c r="BBE2" t="str">
        <f>LEFT(Database!BBX2,3)</f>
        <v/>
      </c>
      <c r="BBF2" t="str">
        <f>LEFT(Database!BBY2,3)</f>
        <v/>
      </c>
      <c r="BBG2" t="str">
        <f>LEFT(Database!BBZ2,3)</f>
        <v/>
      </c>
      <c r="BBH2" t="str">
        <f>LEFT(Database!BCA2,3)</f>
        <v/>
      </c>
      <c r="BBI2" t="str">
        <f>LEFT(Database!BCB2,3)</f>
        <v/>
      </c>
      <c r="BBJ2" t="str">
        <f>LEFT(Database!BCC2,3)</f>
        <v/>
      </c>
      <c r="BBK2" t="str">
        <f>LEFT(Database!BCD2,3)</f>
        <v/>
      </c>
      <c r="BBL2" t="str">
        <f>LEFT(Database!BCE2,3)</f>
        <v/>
      </c>
      <c r="BBM2" t="str">
        <f>LEFT(Database!BCF2,3)</f>
        <v/>
      </c>
      <c r="BBN2" t="str">
        <f>LEFT(Database!BCG2,3)</f>
        <v/>
      </c>
      <c r="BBO2" t="str">
        <f>LEFT(Database!BCH2,3)</f>
        <v/>
      </c>
      <c r="BBP2" t="str">
        <f>LEFT(Database!BCI2,3)</f>
        <v/>
      </c>
      <c r="BBQ2" t="str">
        <f>LEFT(Database!BCJ2,3)</f>
        <v/>
      </c>
      <c r="BBR2" t="str">
        <f>LEFT(Database!BCK2,3)</f>
        <v/>
      </c>
      <c r="BBS2" t="str">
        <f>LEFT(Database!BCL2,3)</f>
        <v/>
      </c>
      <c r="BBT2" t="str">
        <f>LEFT(Database!BCM2,3)</f>
        <v/>
      </c>
      <c r="BBU2" t="str">
        <f>LEFT(Database!BCN2,3)</f>
        <v/>
      </c>
      <c r="BBV2" t="str">
        <f>LEFT(Database!BCO2,3)</f>
        <v/>
      </c>
      <c r="BBW2" t="str">
        <f>LEFT(Database!BCP2,3)</f>
        <v/>
      </c>
      <c r="BBX2" t="str">
        <f>LEFT(Database!BCQ2,3)</f>
        <v/>
      </c>
      <c r="BBY2" t="str">
        <f>LEFT(Database!BCR2,3)</f>
        <v/>
      </c>
      <c r="BBZ2" t="str">
        <f>LEFT(Database!BCS2,3)</f>
        <v/>
      </c>
      <c r="BCA2" t="str">
        <f>LEFT(Database!BCT2,3)</f>
        <v/>
      </c>
      <c r="BCB2" t="str">
        <f>LEFT(Database!BCU2,3)</f>
        <v/>
      </c>
      <c r="BCC2" t="str">
        <f>LEFT(Database!BCV2,3)</f>
        <v/>
      </c>
      <c r="BCD2" t="str">
        <f>LEFT(Database!BCW2,3)</f>
        <v/>
      </c>
      <c r="BCE2" t="str">
        <f>LEFT(Database!BCX2,3)</f>
        <v/>
      </c>
      <c r="BCF2" t="str">
        <f>LEFT(Database!BCY2,3)</f>
        <v/>
      </c>
      <c r="BCG2" t="str">
        <f>LEFT(Database!BCZ2,3)</f>
        <v/>
      </c>
      <c r="BCH2" t="str">
        <f>LEFT(Database!BDA2,3)</f>
        <v/>
      </c>
      <c r="BCI2" t="str">
        <f>LEFT(Database!BDB2,3)</f>
        <v/>
      </c>
      <c r="BCJ2" t="str">
        <f>LEFT(Database!BDC2,3)</f>
        <v/>
      </c>
      <c r="BCK2" t="str">
        <f>LEFT(Database!BDD2,3)</f>
        <v/>
      </c>
      <c r="BCL2" t="str">
        <f>LEFT(Database!BDE2,3)</f>
        <v/>
      </c>
      <c r="BCM2" t="str">
        <f>LEFT(Database!BDF2,3)</f>
        <v/>
      </c>
      <c r="BCN2" t="str">
        <f>LEFT(Database!BDG2,3)</f>
        <v/>
      </c>
      <c r="BCO2" t="str">
        <f>LEFT(Database!BDH2,3)</f>
        <v/>
      </c>
      <c r="BCP2" t="str">
        <f>LEFT(Database!BDI2,3)</f>
        <v/>
      </c>
      <c r="BCQ2" t="str">
        <f>LEFT(Database!BDJ2,3)</f>
        <v/>
      </c>
      <c r="BCR2" t="str">
        <f>LEFT(Database!BDK2,3)</f>
        <v/>
      </c>
      <c r="BCS2" t="str">
        <f>LEFT(Database!BDL2,3)</f>
        <v/>
      </c>
      <c r="BCT2" t="str">
        <f>LEFT(Database!BDM2,3)</f>
        <v/>
      </c>
      <c r="BCU2" t="str">
        <f>LEFT(Database!BDN2,3)</f>
        <v/>
      </c>
      <c r="BCV2" t="str">
        <f>LEFT(Database!BDO2,3)</f>
        <v/>
      </c>
      <c r="BCW2" t="str">
        <f>LEFT(Database!BDP2,3)</f>
        <v/>
      </c>
      <c r="BCX2" t="str">
        <f>LEFT(Database!BDQ2,3)</f>
        <v/>
      </c>
      <c r="BCY2" t="str">
        <f>LEFT(Database!BDR2,3)</f>
        <v/>
      </c>
      <c r="BCZ2" t="str">
        <f>LEFT(Database!BDS2,3)</f>
        <v/>
      </c>
      <c r="BDA2" t="str">
        <f>LEFT(Database!BDT2,3)</f>
        <v/>
      </c>
      <c r="BDB2" t="str">
        <f>LEFT(Database!BDU2,3)</f>
        <v/>
      </c>
      <c r="BDC2" t="str">
        <f>LEFT(Database!BDV2,3)</f>
        <v/>
      </c>
      <c r="BDD2" t="str">
        <f>LEFT(Database!BDW2,3)</f>
        <v/>
      </c>
      <c r="BDE2" t="str">
        <f>LEFT(Database!BDX2,3)</f>
        <v/>
      </c>
      <c r="BDF2" t="str">
        <f>LEFT(Database!BDY2,3)</f>
        <v/>
      </c>
      <c r="BDG2" t="str">
        <f>LEFT(Database!BDZ2,3)</f>
        <v/>
      </c>
      <c r="BDH2" t="str">
        <f>LEFT(Database!BEA2,3)</f>
        <v/>
      </c>
      <c r="BDI2" t="str">
        <f>LEFT(Database!BEB2,3)</f>
        <v/>
      </c>
      <c r="BDJ2" t="str">
        <f>LEFT(Database!BEC2,3)</f>
        <v/>
      </c>
      <c r="BDK2" t="str">
        <f>LEFT(Database!BED2,3)</f>
        <v/>
      </c>
      <c r="BDL2" t="str">
        <f>LEFT(Database!BEE2,3)</f>
        <v/>
      </c>
      <c r="BDM2" t="str">
        <f>LEFT(Database!BEF2,3)</f>
        <v/>
      </c>
      <c r="BDN2" t="str">
        <f>LEFT(Database!BEG2,3)</f>
        <v/>
      </c>
      <c r="BDO2" t="str">
        <f>LEFT(Database!BEH2,3)</f>
        <v/>
      </c>
      <c r="BDP2" t="str">
        <f>LEFT(Database!BEI2,3)</f>
        <v/>
      </c>
      <c r="BDQ2" t="str">
        <f>LEFT(Database!BEJ2,3)</f>
        <v/>
      </c>
      <c r="BDR2" t="str">
        <f>LEFT(Database!BEK2,3)</f>
        <v/>
      </c>
      <c r="BDS2" t="str">
        <f>LEFT(Database!BEL2,3)</f>
        <v/>
      </c>
      <c r="BDT2" t="str">
        <f>LEFT(Database!BEM2,3)</f>
        <v/>
      </c>
      <c r="BDU2" t="str">
        <f>LEFT(Database!BEN2,3)</f>
        <v/>
      </c>
      <c r="BDV2" t="str">
        <f>LEFT(Database!BEO2,3)</f>
        <v/>
      </c>
      <c r="BDW2" t="str">
        <f>LEFT(Database!BEP2,3)</f>
        <v/>
      </c>
      <c r="BDX2" t="str">
        <f>LEFT(Database!BEQ2,3)</f>
        <v/>
      </c>
      <c r="BDY2" t="str">
        <f>LEFT(Database!BER2,3)</f>
        <v/>
      </c>
      <c r="BDZ2" t="str">
        <f>LEFT(Database!BES2,3)</f>
        <v/>
      </c>
      <c r="BEA2" t="str">
        <f>LEFT(Database!BET2,3)</f>
        <v/>
      </c>
      <c r="BEB2" t="str">
        <f>LEFT(Database!BEU2,3)</f>
        <v/>
      </c>
      <c r="BEC2" t="str">
        <f>LEFT(Database!BEV2,3)</f>
        <v/>
      </c>
      <c r="BED2" t="str">
        <f>LEFT(Database!BEW2,3)</f>
        <v/>
      </c>
      <c r="BEE2" t="str">
        <f>LEFT(Database!BEX2,3)</f>
        <v/>
      </c>
      <c r="BEF2" t="str">
        <f>LEFT(Database!BEY2,3)</f>
        <v/>
      </c>
      <c r="BEG2" t="str">
        <f>LEFT(Database!BEZ2,3)</f>
        <v/>
      </c>
      <c r="BEH2" t="str">
        <f>LEFT(Database!BFA2,3)</f>
        <v/>
      </c>
      <c r="BEI2" t="str">
        <f>LEFT(Database!BFB2,3)</f>
        <v/>
      </c>
      <c r="BEJ2" t="str">
        <f>LEFT(Database!BFC2,3)</f>
        <v/>
      </c>
      <c r="BEK2" t="str">
        <f>LEFT(Database!BFD2,3)</f>
        <v/>
      </c>
      <c r="BEL2" t="str">
        <f>LEFT(Database!BFE2,3)</f>
        <v/>
      </c>
      <c r="BEM2" t="str">
        <f>LEFT(Database!BFF2,3)</f>
        <v/>
      </c>
      <c r="BEN2" t="str">
        <f>LEFT(Database!BFG2,3)</f>
        <v/>
      </c>
      <c r="BEO2" t="str">
        <f>LEFT(Database!BFH2,3)</f>
        <v/>
      </c>
      <c r="BEP2" t="str">
        <f>LEFT(Database!BFI2,3)</f>
        <v/>
      </c>
      <c r="BEQ2" t="str">
        <f>LEFT(Database!BFJ2,3)</f>
        <v/>
      </c>
      <c r="BER2" t="str">
        <f>LEFT(Database!BFK2,3)</f>
        <v/>
      </c>
      <c r="BES2" t="str">
        <f>LEFT(Database!BFL2,3)</f>
        <v/>
      </c>
      <c r="BET2" t="str">
        <f>LEFT(Database!BFM2,3)</f>
        <v/>
      </c>
      <c r="BEU2" t="str">
        <f>LEFT(Database!BFN2,3)</f>
        <v/>
      </c>
      <c r="BEV2" t="str">
        <f>LEFT(Database!BFO2,3)</f>
        <v/>
      </c>
      <c r="BEW2" t="str">
        <f>LEFT(Database!BFP2,3)</f>
        <v/>
      </c>
      <c r="BEX2" t="str">
        <f>LEFT(Database!BFQ2,3)</f>
        <v/>
      </c>
      <c r="BEY2" t="str">
        <f>LEFT(Database!BFR2,3)</f>
        <v/>
      </c>
      <c r="BEZ2" t="str">
        <f>LEFT(Database!BFS2,3)</f>
        <v/>
      </c>
      <c r="BFA2" t="str">
        <f>LEFT(Database!BFT2,3)</f>
        <v/>
      </c>
      <c r="BFB2" t="str">
        <f>LEFT(Database!BFU2,3)</f>
        <v/>
      </c>
      <c r="BFC2" t="str">
        <f>LEFT(Database!BFV2,3)</f>
        <v/>
      </c>
      <c r="BFD2" t="str">
        <f>LEFT(Database!BFW2,3)</f>
        <v/>
      </c>
      <c r="BFE2" t="str">
        <f>LEFT(Database!BFX2,3)</f>
        <v/>
      </c>
      <c r="BFF2" t="str">
        <f>LEFT(Database!BFY2,3)</f>
        <v/>
      </c>
      <c r="BFG2" t="str">
        <f>LEFT(Database!BFZ2,3)</f>
        <v/>
      </c>
      <c r="BFH2" t="str">
        <f>LEFT(Database!BGA2,3)</f>
        <v/>
      </c>
      <c r="BFI2" t="str">
        <f>LEFT(Database!BGB2,3)</f>
        <v/>
      </c>
      <c r="BFJ2" t="str">
        <f>LEFT(Database!BGC2,3)</f>
        <v/>
      </c>
      <c r="BFK2" t="str">
        <f>LEFT(Database!BGD2,3)</f>
        <v/>
      </c>
      <c r="BFL2" t="str">
        <f>LEFT(Database!BGE2,3)</f>
        <v/>
      </c>
      <c r="BFM2" t="str">
        <f>LEFT(Database!BGF2,3)</f>
        <v/>
      </c>
      <c r="BFN2" t="str">
        <f>LEFT(Database!BGG2,3)</f>
        <v/>
      </c>
      <c r="BFO2" t="str">
        <f>LEFT(Database!BGH2,3)</f>
        <v/>
      </c>
      <c r="BFP2" t="str">
        <f>LEFT(Database!BGI2,3)</f>
        <v/>
      </c>
      <c r="BFQ2" t="str">
        <f>LEFT(Database!BGJ2,3)</f>
        <v/>
      </c>
      <c r="BFR2" t="str">
        <f>LEFT(Database!BGK2,3)</f>
        <v/>
      </c>
      <c r="BFS2" t="str">
        <f>LEFT(Database!BGL2,3)</f>
        <v/>
      </c>
      <c r="BFT2" t="str">
        <f>LEFT(Database!BGM2,3)</f>
        <v/>
      </c>
      <c r="BFU2" t="str">
        <f>LEFT(Database!BGN2,3)</f>
        <v/>
      </c>
      <c r="BFV2" t="str">
        <f>LEFT(Database!BGO2,3)</f>
        <v/>
      </c>
      <c r="BFW2" t="str">
        <f>LEFT(Database!BGP2,3)</f>
        <v/>
      </c>
      <c r="BFX2" t="str">
        <f>LEFT(Database!BGQ2,3)</f>
        <v/>
      </c>
      <c r="BFY2" t="str">
        <f>LEFT(Database!BGR2,3)</f>
        <v/>
      </c>
      <c r="BFZ2" t="str">
        <f>LEFT(Database!BGS2,3)</f>
        <v/>
      </c>
      <c r="BGA2" t="str">
        <f>LEFT(Database!BGT2,3)</f>
        <v/>
      </c>
      <c r="BGB2" t="str">
        <f>LEFT(Database!BGU2,3)</f>
        <v/>
      </c>
      <c r="BGC2" t="str">
        <f>LEFT(Database!BGV2,3)</f>
        <v/>
      </c>
      <c r="BGD2" t="str">
        <f>LEFT(Database!BGW2,3)</f>
        <v/>
      </c>
      <c r="BGE2" t="str">
        <f>LEFT(Database!BGX2,3)</f>
        <v/>
      </c>
      <c r="BGF2" t="str">
        <f>LEFT(Database!BGY2,3)</f>
        <v/>
      </c>
      <c r="BGG2" t="str">
        <f>LEFT(Database!BGZ2,3)</f>
        <v/>
      </c>
      <c r="BGH2" t="str">
        <f>LEFT(Database!BHA2,3)</f>
        <v/>
      </c>
      <c r="BGI2" t="str">
        <f>LEFT(Database!BHB2,3)</f>
        <v/>
      </c>
      <c r="BGJ2" t="str">
        <f>LEFT(Database!BHC2,3)</f>
        <v/>
      </c>
      <c r="BGK2" t="str">
        <f>LEFT(Database!BHD2,3)</f>
        <v/>
      </c>
      <c r="BGL2" t="str">
        <f>LEFT(Database!BHE2,3)</f>
        <v/>
      </c>
      <c r="BGM2" t="str">
        <f>LEFT(Database!BHF2,3)</f>
        <v/>
      </c>
      <c r="BGN2" t="str">
        <f>LEFT(Database!BHG2,3)</f>
        <v/>
      </c>
      <c r="BGO2" t="str">
        <f>LEFT(Database!BHH2,3)</f>
        <v/>
      </c>
      <c r="BGP2" t="str">
        <f>LEFT(Database!BHI2,3)</f>
        <v/>
      </c>
      <c r="BGQ2" t="str">
        <f>LEFT(Database!BHJ2,3)</f>
        <v/>
      </c>
      <c r="BGR2" t="str">
        <f>LEFT(Database!BHK2,3)</f>
        <v/>
      </c>
      <c r="BGS2" t="str">
        <f>LEFT(Database!BHL2,3)</f>
        <v/>
      </c>
      <c r="BGT2" t="str">
        <f>LEFT(Database!BHM2,3)</f>
        <v/>
      </c>
      <c r="BGU2" t="str">
        <f>LEFT(Database!BHN2,3)</f>
        <v/>
      </c>
      <c r="BGV2" t="str">
        <f>LEFT(Database!BHO2,3)</f>
        <v/>
      </c>
      <c r="BGW2" t="str">
        <f>LEFT(Database!BHP2,3)</f>
        <v/>
      </c>
      <c r="BGX2" t="str">
        <f>LEFT(Database!BHQ2,3)</f>
        <v/>
      </c>
      <c r="BGY2" t="str">
        <f>LEFT(Database!BHR2,3)</f>
        <v/>
      </c>
      <c r="BGZ2" t="str">
        <f>LEFT(Database!BHS2,3)</f>
        <v/>
      </c>
      <c r="BHA2" t="str">
        <f>LEFT(Database!BHT2,3)</f>
        <v/>
      </c>
      <c r="BHB2" t="str">
        <f>LEFT(Database!BHU2,3)</f>
        <v/>
      </c>
      <c r="BHC2" t="str">
        <f>LEFT(Database!BHV2,3)</f>
        <v/>
      </c>
      <c r="BHD2" t="str">
        <f>LEFT(Database!BHW2,3)</f>
        <v/>
      </c>
      <c r="BHE2" t="str">
        <f>LEFT(Database!BHX2,3)</f>
        <v/>
      </c>
      <c r="BHF2" t="str">
        <f>LEFT(Database!BHY2,3)</f>
        <v/>
      </c>
      <c r="BHG2" t="str">
        <f>LEFT(Database!BHZ2,3)</f>
        <v/>
      </c>
      <c r="BHH2" t="str">
        <f>LEFT(Database!BIA2,3)</f>
        <v/>
      </c>
      <c r="BHI2" t="str">
        <f>LEFT(Database!BIB2,3)</f>
        <v/>
      </c>
      <c r="BHJ2" t="str">
        <f>LEFT(Database!BIC2,3)</f>
        <v/>
      </c>
      <c r="BHK2" t="str">
        <f>LEFT(Database!BID2,3)</f>
        <v/>
      </c>
      <c r="BHL2" t="str">
        <f>LEFT(Database!BIE2,3)</f>
        <v/>
      </c>
      <c r="BHM2" t="str">
        <f>LEFT(Database!BIF2,3)</f>
        <v/>
      </c>
      <c r="BHN2" t="str">
        <f>LEFT(Database!BIG2,3)</f>
        <v/>
      </c>
      <c r="BHO2" t="str">
        <f>LEFT(Database!BIH2,3)</f>
        <v/>
      </c>
      <c r="BHP2" t="str">
        <f>LEFT(Database!BII2,3)</f>
        <v/>
      </c>
      <c r="BHQ2" t="str">
        <f>LEFT(Database!BIJ2,3)</f>
        <v/>
      </c>
      <c r="BHR2" t="str">
        <f>LEFT(Database!BIK2,3)</f>
        <v/>
      </c>
      <c r="BHS2" t="str">
        <f>LEFT(Database!BIL2,3)</f>
        <v/>
      </c>
      <c r="BHT2" t="str">
        <f>LEFT(Database!BIM2,3)</f>
        <v/>
      </c>
      <c r="BHU2" t="str">
        <f>LEFT(Database!BIN2,3)</f>
        <v/>
      </c>
      <c r="BHV2" t="str">
        <f>LEFT(Database!BIO2,3)</f>
        <v/>
      </c>
      <c r="BHW2" t="str">
        <f>LEFT(Database!BIP2,3)</f>
        <v/>
      </c>
      <c r="BHX2" t="str">
        <f>LEFT(Database!BIQ2,3)</f>
        <v/>
      </c>
      <c r="BHY2" t="str">
        <f>LEFT(Database!BIR2,3)</f>
        <v/>
      </c>
      <c r="BHZ2" t="str">
        <f>LEFT(Database!BIS2,3)</f>
        <v/>
      </c>
      <c r="BIA2" t="str">
        <f>LEFT(Database!BIT2,3)</f>
        <v/>
      </c>
      <c r="BIB2" t="str">
        <f>LEFT(Database!BIU2,3)</f>
        <v/>
      </c>
      <c r="BIC2" t="str">
        <f>LEFT(Database!BIV2,3)</f>
        <v/>
      </c>
      <c r="BID2" t="str">
        <f>LEFT(Database!BIW2,3)</f>
        <v/>
      </c>
      <c r="BIE2" t="str">
        <f>LEFT(Database!BIX2,3)</f>
        <v/>
      </c>
      <c r="BIF2" t="str">
        <f>LEFT(Database!BIY2,3)</f>
        <v/>
      </c>
      <c r="BIG2" t="str">
        <f>LEFT(Database!BIZ2,3)</f>
        <v/>
      </c>
      <c r="BIH2" t="str">
        <f>LEFT(Database!BJA2,3)</f>
        <v/>
      </c>
      <c r="BII2" t="str">
        <f>LEFT(Database!BJB2,3)</f>
        <v/>
      </c>
      <c r="BIJ2" t="str">
        <f>LEFT(Database!BJC2,3)</f>
        <v/>
      </c>
      <c r="BIK2" t="str">
        <f>LEFT(Database!BJD2,3)</f>
        <v/>
      </c>
      <c r="BIL2" t="str">
        <f>LEFT(Database!BJE2,3)</f>
        <v/>
      </c>
      <c r="BIM2" t="str">
        <f>LEFT(Database!BJF2,3)</f>
        <v/>
      </c>
      <c r="BIN2" t="str">
        <f>LEFT(Database!BJG2,3)</f>
        <v/>
      </c>
      <c r="BIO2" t="str">
        <f>LEFT(Database!BJH2,3)</f>
        <v/>
      </c>
      <c r="BIP2" t="str">
        <f>LEFT(Database!BJI2,3)</f>
        <v/>
      </c>
      <c r="BIQ2" t="str">
        <f>LEFT(Database!BJJ2,3)</f>
        <v/>
      </c>
      <c r="BIR2" t="str">
        <f>LEFT(Database!BJK2,3)</f>
        <v/>
      </c>
      <c r="BIS2" t="str">
        <f>LEFT(Database!BJL2,3)</f>
        <v/>
      </c>
      <c r="BIT2" t="str">
        <f>LEFT(Database!BJM2,3)</f>
        <v/>
      </c>
      <c r="BIU2" t="str">
        <f>LEFT(Database!BJN2,3)</f>
        <v/>
      </c>
      <c r="BIV2" t="str">
        <f>LEFT(Database!BJO2,3)</f>
        <v/>
      </c>
      <c r="BIW2" t="str">
        <f>LEFT(Database!BJP2,3)</f>
        <v/>
      </c>
      <c r="BIX2" t="str">
        <f>LEFT(Database!BJQ2,3)</f>
        <v/>
      </c>
      <c r="BIY2" t="str">
        <f>LEFT(Database!BJR2,3)</f>
        <v/>
      </c>
      <c r="BIZ2" t="str">
        <f>LEFT(Database!BJS2,3)</f>
        <v/>
      </c>
      <c r="BJA2" t="str">
        <f>LEFT(Database!BJT2,3)</f>
        <v/>
      </c>
      <c r="BJB2" t="str">
        <f>LEFT(Database!BJU2,3)</f>
        <v/>
      </c>
      <c r="BJC2" t="str">
        <f>LEFT(Database!BJV2,3)</f>
        <v/>
      </c>
      <c r="BJD2" t="str">
        <f>LEFT(Database!BJW2,3)</f>
        <v/>
      </c>
      <c r="BJE2" t="str">
        <f>LEFT(Database!BJX2,3)</f>
        <v/>
      </c>
      <c r="BJF2" t="str">
        <f>LEFT(Database!BJY2,3)</f>
        <v/>
      </c>
      <c r="BJG2" t="str">
        <f>LEFT(Database!BJZ2,3)</f>
        <v/>
      </c>
      <c r="BJH2" t="str">
        <f>LEFT(Database!BKA2,3)</f>
        <v/>
      </c>
      <c r="BJI2" t="str">
        <f>LEFT(Database!BKB2,3)</f>
        <v/>
      </c>
      <c r="BJJ2" t="str">
        <f>LEFT(Database!BKC2,3)</f>
        <v/>
      </c>
      <c r="BJK2" t="str">
        <f>LEFT(Database!BKD2,3)</f>
        <v/>
      </c>
      <c r="BJL2" t="str">
        <f>LEFT(Database!BKE2,3)</f>
        <v/>
      </c>
      <c r="BJM2" t="str">
        <f>LEFT(Database!BKF2,3)</f>
        <v/>
      </c>
      <c r="BJN2" t="str">
        <f>LEFT(Database!BKG2,3)</f>
        <v/>
      </c>
      <c r="BJO2" t="str">
        <f>LEFT(Database!BKH2,3)</f>
        <v/>
      </c>
      <c r="BJP2" t="str">
        <f>LEFT(Database!BKI2,3)</f>
        <v/>
      </c>
      <c r="BJQ2" t="str">
        <f>LEFT(Database!BKJ2,3)</f>
        <v/>
      </c>
      <c r="BJR2" t="str">
        <f>LEFT(Database!BKK2,3)</f>
        <v/>
      </c>
      <c r="BJS2" t="str">
        <f>LEFT(Database!BKL2,3)</f>
        <v/>
      </c>
      <c r="BJT2" t="str">
        <f>LEFT(Database!BKM2,3)</f>
        <v/>
      </c>
      <c r="BJU2" t="str">
        <f>LEFT(Database!BKN2,3)</f>
        <v/>
      </c>
      <c r="BJV2" t="str">
        <f>LEFT(Database!BKO2,3)</f>
        <v/>
      </c>
      <c r="BJW2" t="str">
        <f>LEFT(Database!BKP2,3)</f>
        <v/>
      </c>
      <c r="BJX2" t="str">
        <f>LEFT(Database!BKQ2,3)</f>
        <v/>
      </c>
      <c r="BJY2" t="str">
        <f>LEFT(Database!BKR2,3)</f>
        <v/>
      </c>
      <c r="BJZ2" t="str">
        <f>LEFT(Database!BKS2,3)</f>
        <v/>
      </c>
      <c r="BKA2" t="str">
        <f>LEFT(Database!BKT2,3)</f>
        <v/>
      </c>
      <c r="BKB2" t="str">
        <f>LEFT(Database!BKU2,3)</f>
        <v/>
      </c>
      <c r="BKC2" t="str">
        <f>LEFT(Database!BKV2,3)</f>
        <v/>
      </c>
      <c r="BKD2" t="str">
        <f>LEFT(Database!BKW2,3)</f>
        <v/>
      </c>
      <c r="BKE2" t="str">
        <f>LEFT(Database!BKX2,3)</f>
        <v/>
      </c>
      <c r="BKF2" t="str">
        <f>LEFT(Database!BKY2,3)</f>
        <v/>
      </c>
      <c r="BKG2" t="str">
        <f>LEFT(Database!BKZ2,3)</f>
        <v/>
      </c>
      <c r="BKH2" t="str">
        <f>LEFT(Database!BLA2,3)</f>
        <v/>
      </c>
      <c r="BKI2" t="str">
        <f>LEFT(Database!BLB2,3)</f>
        <v/>
      </c>
      <c r="BKJ2" t="str">
        <f>LEFT(Database!BLC2,3)</f>
        <v/>
      </c>
      <c r="BKK2" t="str">
        <f>LEFT(Database!BLD2,3)</f>
        <v/>
      </c>
      <c r="BKL2" t="str">
        <f>LEFT(Database!BLE2,3)</f>
        <v/>
      </c>
      <c r="BKM2" t="str">
        <f>LEFT(Database!BLF2,3)</f>
        <v/>
      </c>
      <c r="BKN2" t="str">
        <f>LEFT(Database!BLG2,3)</f>
        <v/>
      </c>
      <c r="BKO2" t="str">
        <f>LEFT(Database!BLH2,3)</f>
        <v/>
      </c>
      <c r="BKP2" t="str">
        <f>LEFT(Database!BLI2,3)</f>
        <v/>
      </c>
      <c r="BKQ2" t="str">
        <f>LEFT(Database!BLJ2,3)</f>
        <v/>
      </c>
      <c r="BKR2" t="str">
        <f>LEFT(Database!BLK2,3)</f>
        <v/>
      </c>
      <c r="BKS2" t="str">
        <f>LEFT(Database!BLL2,3)</f>
        <v/>
      </c>
      <c r="BKT2" t="str">
        <f>LEFT(Database!BLM2,3)</f>
        <v/>
      </c>
      <c r="BKU2" t="str">
        <f>LEFT(Database!BLN2,3)</f>
        <v/>
      </c>
      <c r="BKV2" t="str">
        <f>LEFT(Database!BLO2,3)</f>
        <v/>
      </c>
      <c r="BKW2" t="str">
        <f>LEFT(Database!BLP2,3)</f>
        <v/>
      </c>
      <c r="BKX2" t="str">
        <f>LEFT(Database!BLQ2,3)</f>
        <v/>
      </c>
      <c r="BKY2" t="str">
        <f>LEFT(Database!BLR2,3)</f>
        <v/>
      </c>
      <c r="BKZ2" t="str">
        <f>LEFT(Database!BLS2,3)</f>
        <v/>
      </c>
      <c r="BLA2" t="str">
        <f>LEFT(Database!BLT2,3)</f>
        <v/>
      </c>
      <c r="BLB2" t="str">
        <f>LEFT(Database!BLU2,3)</f>
        <v/>
      </c>
      <c r="BLC2" t="str">
        <f>LEFT(Database!BLV2,3)</f>
        <v/>
      </c>
      <c r="BLD2" t="str">
        <f>LEFT(Database!BLW2,3)</f>
        <v/>
      </c>
      <c r="BLE2" t="str">
        <f>LEFT(Database!BLX2,3)</f>
        <v/>
      </c>
      <c r="BLF2" t="str">
        <f>LEFT(Database!BLY2,3)</f>
        <v/>
      </c>
      <c r="BLG2" t="str">
        <f>LEFT(Database!BLZ2,3)</f>
        <v/>
      </c>
      <c r="BLH2" t="str">
        <f>LEFT(Database!BMA2,3)</f>
        <v/>
      </c>
      <c r="BLI2" t="str">
        <f>LEFT(Database!BMB2,3)</f>
        <v/>
      </c>
      <c r="BLJ2" t="str">
        <f>LEFT(Database!BMC2,3)</f>
        <v/>
      </c>
      <c r="BLK2" t="str">
        <f>LEFT(Database!BMD2,3)</f>
        <v/>
      </c>
      <c r="BLL2" t="str">
        <f>LEFT(Database!BME2,3)</f>
        <v/>
      </c>
      <c r="BLM2" t="str">
        <f>LEFT(Database!BMF2,3)</f>
        <v/>
      </c>
      <c r="BLN2" t="str">
        <f>LEFT(Database!BMG2,3)</f>
        <v/>
      </c>
      <c r="BLO2" t="str">
        <f>LEFT(Database!BMH2,3)</f>
        <v/>
      </c>
      <c r="BLP2" t="str">
        <f>LEFT(Database!BMI2,3)</f>
        <v/>
      </c>
      <c r="BLQ2" t="str">
        <f>LEFT(Database!BMJ2,3)</f>
        <v/>
      </c>
      <c r="BLR2" t="str">
        <f>LEFT(Database!BMK2,3)</f>
        <v/>
      </c>
      <c r="BLS2" t="str">
        <f>LEFT(Database!BML2,3)</f>
        <v/>
      </c>
      <c r="BLT2" t="str">
        <f>LEFT(Database!BMM2,3)</f>
        <v/>
      </c>
      <c r="BLU2" t="str">
        <f>LEFT(Database!BMN2,3)</f>
        <v/>
      </c>
      <c r="BLV2" t="str">
        <f>LEFT(Database!BMO2,3)</f>
        <v/>
      </c>
      <c r="BLW2" t="str">
        <f>LEFT(Database!BMP2,3)</f>
        <v/>
      </c>
      <c r="BLX2" t="str">
        <f>LEFT(Database!BMQ2,3)</f>
        <v/>
      </c>
      <c r="BLY2" t="str">
        <f>LEFT(Database!BMR2,3)</f>
        <v/>
      </c>
      <c r="BLZ2" t="str">
        <f>LEFT(Database!BMS2,3)</f>
        <v/>
      </c>
      <c r="BMA2" t="str">
        <f>LEFT(Database!BMT2,3)</f>
        <v/>
      </c>
      <c r="BMB2" t="str">
        <f>LEFT(Database!BMU2,3)</f>
        <v/>
      </c>
      <c r="BMC2" t="str">
        <f>LEFT(Database!BMV2,3)</f>
        <v/>
      </c>
      <c r="BMD2" t="str">
        <f>LEFT(Database!BMW2,3)</f>
        <v/>
      </c>
      <c r="BME2" t="str">
        <f>LEFT(Database!BMX2,3)</f>
        <v/>
      </c>
      <c r="BMF2" t="str">
        <f>LEFT(Database!BMY2,3)</f>
        <v/>
      </c>
      <c r="BMG2" t="str">
        <f>LEFT(Database!BMZ2,3)</f>
        <v/>
      </c>
      <c r="BMH2" t="str">
        <f>LEFT(Database!BNA2,3)</f>
        <v/>
      </c>
      <c r="BMI2" t="str">
        <f>LEFT(Database!BNB2,3)</f>
        <v/>
      </c>
      <c r="BMJ2" t="str">
        <f>LEFT(Database!BNC2,3)</f>
        <v/>
      </c>
      <c r="BMK2" t="str">
        <f>LEFT(Database!BND2,3)</f>
        <v/>
      </c>
      <c r="BML2" t="str">
        <f>LEFT(Database!BNE2,3)</f>
        <v/>
      </c>
      <c r="BMM2" t="str">
        <f>LEFT(Database!BNF2,3)</f>
        <v/>
      </c>
      <c r="BMN2" t="str">
        <f>LEFT(Database!BNG2,3)</f>
        <v/>
      </c>
      <c r="BMO2" t="str">
        <f>LEFT(Database!BNH2,3)</f>
        <v/>
      </c>
      <c r="BMP2" t="str">
        <f>LEFT(Database!BNI2,3)</f>
        <v/>
      </c>
      <c r="BMQ2" t="str">
        <f>LEFT(Database!BNJ2,3)</f>
        <v/>
      </c>
      <c r="BMR2" t="str">
        <f>LEFT(Database!BNK2,3)</f>
        <v/>
      </c>
      <c r="BMS2" t="str">
        <f>LEFT(Database!BNL2,3)</f>
        <v/>
      </c>
      <c r="BMT2" t="str">
        <f>LEFT(Database!BNM2,3)</f>
        <v/>
      </c>
      <c r="BMU2" t="str">
        <f>LEFT(Database!BNN2,3)</f>
        <v/>
      </c>
      <c r="BMV2" t="str">
        <f>LEFT(Database!BNO2,3)</f>
        <v/>
      </c>
      <c r="BMW2" t="str">
        <f>LEFT(Database!BNP2,3)</f>
        <v/>
      </c>
      <c r="BMX2" t="str">
        <f>LEFT(Database!BNQ2,3)</f>
        <v/>
      </c>
      <c r="BMY2" t="str">
        <f>LEFT(Database!BNR2,3)</f>
        <v/>
      </c>
      <c r="BMZ2" t="str">
        <f>LEFT(Database!BNS2,3)</f>
        <v/>
      </c>
      <c r="BNA2" t="str">
        <f>LEFT(Database!BNT2,3)</f>
        <v/>
      </c>
      <c r="BNB2" t="str">
        <f>LEFT(Database!BNU2,3)</f>
        <v/>
      </c>
      <c r="BNC2" t="str">
        <f>LEFT(Database!BNV2,3)</f>
        <v/>
      </c>
      <c r="BND2" t="str">
        <f>LEFT(Database!BNW2,3)</f>
        <v/>
      </c>
      <c r="BNE2" t="str">
        <f>LEFT(Database!BNX2,3)</f>
        <v/>
      </c>
      <c r="BNF2" t="str">
        <f>LEFT(Database!BNY2,3)</f>
        <v/>
      </c>
      <c r="BNG2" t="str">
        <f>LEFT(Database!BNZ2,3)</f>
        <v/>
      </c>
      <c r="BNH2" t="str">
        <f>LEFT(Database!BOA2,3)</f>
        <v/>
      </c>
      <c r="BNI2" t="str">
        <f>LEFT(Database!BOB2,3)</f>
        <v/>
      </c>
      <c r="BNJ2" t="str">
        <f>LEFT(Database!BOC2,3)</f>
        <v/>
      </c>
      <c r="BNK2" t="str">
        <f>LEFT(Database!BOD2,3)</f>
        <v/>
      </c>
      <c r="BNL2" t="str">
        <f>LEFT(Database!BOE2,3)</f>
        <v/>
      </c>
      <c r="BNM2" t="str">
        <f>LEFT(Database!BOF2,3)</f>
        <v/>
      </c>
      <c r="BNN2" t="str">
        <f>LEFT(Database!BOG2,3)</f>
        <v/>
      </c>
      <c r="BNO2" t="str">
        <f>LEFT(Database!BOH2,3)</f>
        <v/>
      </c>
      <c r="BNP2" t="str">
        <f>LEFT(Database!BOI2,3)</f>
        <v/>
      </c>
      <c r="BNQ2" t="str">
        <f>LEFT(Database!BOJ2,3)</f>
        <v/>
      </c>
      <c r="BNR2" t="str">
        <f>LEFT(Database!BOK2,3)</f>
        <v/>
      </c>
      <c r="BNS2" t="str">
        <f>LEFT(Database!BOL2,3)</f>
        <v/>
      </c>
      <c r="BNT2" t="str">
        <f>LEFT(Database!BOM2,3)</f>
        <v/>
      </c>
      <c r="BNU2" t="str">
        <f>LEFT(Database!BON2,3)</f>
        <v/>
      </c>
      <c r="BNV2" t="str">
        <f>LEFT(Database!BOO2,3)</f>
        <v/>
      </c>
      <c r="BNW2" t="str">
        <f>LEFT(Database!BOP2,3)</f>
        <v/>
      </c>
      <c r="BNX2" t="str">
        <f>LEFT(Database!BOQ2,3)</f>
        <v/>
      </c>
      <c r="BNY2" t="str">
        <f>LEFT(Database!BOR2,3)</f>
        <v/>
      </c>
      <c r="BNZ2" t="str">
        <f>LEFT(Database!BOS2,3)</f>
        <v/>
      </c>
      <c r="BOA2" t="str">
        <f>LEFT(Database!BOT2,3)</f>
        <v/>
      </c>
      <c r="BOB2" t="str">
        <f>LEFT(Database!BOU2,3)</f>
        <v/>
      </c>
      <c r="BOC2" t="str">
        <f>LEFT(Database!BOV2,3)</f>
        <v/>
      </c>
      <c r="BOD2" t="str">
        <f>LEFT(Database!BOW2,3)</f>
        <v/>
      </c>
      <c r="BOE2" t="str">
        <f>LEFT(Database!BOX2,3)</f>
        <v/>
      </c>
      <c r="BOF2" t="str">
        <f>LEFT(Database!BOY2,3)</f>
        <v/>
      </c>
      <c r="BOG2" t="str">
        <f>LEFT(Database!BOZ2,3)</f>
        <v/>
      </c>
      <c r="BOH2" t="str">
        <f>LEFT(Database!BPA2,3)</f>
        <v/>
      </c>
      <c r="BOI2" t="str">
        <f>LEFT(Database!BPB2,3)</f>
        <v/>
      </c>
      <c r="BOJ2" t="str">
        <f>LEFT(Database!BPC2,3)</f>
        <v/>
      </c>
      <c r="BOK2" t="str">
        <f>LEFT(Database!BPD2,3)</f>
        <v/>
      </c>
      <c r="BOL2" t="str">
        <f>LEFT(Database!BPE2,3)</f>
        <v/>
      </c>
      <c r="BOM2" t="str">
        <f>LEFT(Database!BPF2,3)</f>
        <v/>
      </c>
      <c r="BON2" t="str">
        <f>LEFT(Database!BPG2,3)</f>
        <v/>
      </c>
      <c r="BOO2" t="str">
        <f>LEFT(Database!BPH2,3)</f>
        <v/>
      </c>
      <c r="BOP2" t="str">
        <f>LEFT(Database!BPI2,3)</f>
        <v/>
      </c>
      <c r="BOQ2" t="str">
        <f>LEFT(Database!BPJ2,3)</f>
        <v/>
      </c>
      <c r="BOR2" t="str">
        <f>LEFT(Database!BPK2,3)</f>
        <v/>
      </c>
      <c r="BOS2" t="str">
        <f>LEFT(Database!BPL2,3)</f>
        <v/>
      </c>
      <c r="BOT2" t="str">
        <f>LEFT(Database!BPM2,3)</f>
        <v/>
      </c>
      <c r="BOU2" t="str">
        <f>LEFT(Database!BPN2,3)</f>
        <v/>
      </c>
      <c r="BOV2" t="str">
        <f>LEFT(Database!BPO2,3)</f>
        <v/>
      </c>
      <c r="BOW2" t="str">
        <f>LEFT(Database!BPP2,3)</f>
        <v/>
      </c>
      <c r="BOX2" t="str">
        <f>LEFT(Database!BPQ2,3)</f>
        <v/>
      </c>
      <c r="BOY2" t="str">
        <f>LEFT(Database!BPR2,3)</f>
        <v/>
      </c>
      <c r="BOZ2" t="str">
        <f>LEFT(Database!BPS2,3)</f>
        <v/>
      </c>
      <c r="BPA2" t="str">
        <f>LEFT(Database!BPT2,3)</f>
        <v/>
      </c>
      <c r="BPB2" t="str">
        <f>LEFT(Database!BPU2,3)</f>
        <v/>
      </c>
      <c r="BPC2" t="str">
        <f>LEFT(Database!BPV2,3)</f>
        <v/>
      </c>
      <c r="BPD2" t="str">
        <f>LEFT(Database!BPW2,3)</f>
        <v/>
      </c>
      <c r="BPE2" t="str">
        <f>LEFT(Database!BPX2,3)</f>
        <v/>
      </c>
      <c r="BPF2" t="str">
        <f>LEFT(Database!BPY2,3)</f>
        <v/>
      </c>
      <c r="BPG2" t="str">
        <f>LEFT(Database!BPZ2,3)</f>
        <v/>
      </c>
      <c r="BPH2" t="str">
        <f>LEFT(Database!BQA2,3)</f>
        <v/>
      </c>
      <c r="BPI2" t="str">
        <f>LEFT(Database!BQB2,3)</f>
        <v/>
      </c>
      <c r="BPJ2" t="str">
        <f>LEFT(Database!BQC2,3)</f>
        <v/>
      </c>
      <c r="BPK2" t="str">
        <f>LEFT(Database!BQD2,3)</f>
        <v/>
      </c>
      <c r="BPL2" t="str">
        <f>LEFT(Database!BQE2,3)</f>
        <v/>
      </c>
      <c r="BPM2" t="str">
        <f>LEFT(Database!BQF2,3)</f>
        <v/>
      </c>
      <c r="BPN2" t="str">
        <f>LEFT(Database!BQG2,3)</f>
        <v/>
      </c>
      <c r="BPO2" t="str">
        <f>LEFT(Database!BQH2,3)</f>
        <v/>
      </c>
      <c r="BPP2" t="str">
        <f>LEFT(Database!BQI2,3)</f>
        <v/>
      </c>
      <c r="BPQ2" t="str">
        <f>LEFT(Database!BQJ2,3)</f>
        <v/>
      </c>
      <c r="BPR2" t="str">
        <f>LEFT(Database!BQK2,3)</f>
        <v/>
      </c>
      <c r="BPS2" t="str">
        <f>LEFT(Database!BQL2,3)</f>
        <v/>
      </c>
      <c r="BPT2" t="str">
        <f>LEFT(Database!BQM2,3)</f>
        <v/>
      </c>
      <c r="BPU2" t="str">
        <f>LEFT(Database!BQN2,3)</f>
        <v/>
      </c>
      <c r="BPV2" t="str">
        <f>LEFT(Database!BQO2,3)</f>
        <v/>
      </c>
      <c r="BPW2" t="str">
        <f>LEFT(Database!BQP2,3)</f>
        <v/>
      </c>
      <c r="BPX2" t="str">
        <f>LEFT(Database!BQQ2,3)</f>
        <v/>
      </c>
      <c r="BPY2" t="str">
        <f>LEFT(Database!BQR2,3)</f>
        <v/>
      </c>
      <c r="BPZ2" t="str">
        <f>LEFT(Database!BQS2,3)</f>
        <v/>
      </c>
      <c r="BQA2" t="str">
        <f>LEFT(Database!BQT2,3)</f>
        <v/>
      </c>
      <c r="BQB2" t="str">
        <f>LEFT(Database!BQU2,3)</f>
        <v/>
      </c>
      <c r="BQC2" t="str">
        <f>LEFT(Database!BQV2,3)</f>
        <v/>
      </c>
      <c r="BQD2" t="str">
        <f>LEFT(Database!BQW2,3)</f>
        <v/>
      </c>
      <c r="BQE2" t="str">
        <f>LEFT(Database!BQX2,3)</f>
        <v/>
      </c>
      <c r="BQF2" t="str">
        <f>LEFT(Database!BQY2,3)</f>
        <v/>
      </c>
      <c r="BQG2" t="str">
        <f>LEFT(Database!BQZ2,3)</f>
        <v/>
      </c>
      <c r="BQH2" t="str">
        <f>LEFT(Database!BRA2,3)</f>
        <v/>
      </c>
      <c r="BQI2" t="str">
        <f>LEFT(Database!BRB2,3)</f>
        <v/>
      </c>
      <c r="BQJ2" t="str">
        <f>LEFT(Database!BRC2,3)</f>
        <v/>
      </c>
      <c r="BQK2" t="str">
        <f>LEFT(Database!BRD2,3)</f>
        <v/>
      </c>
      <c r="BQL2" t="str">
        <f>LEFT(Database!BRE2,3)</f>
        <v/>
      </c>
      <c r="BQM2" t="str">
        <f>LEFT(Database!BRF2,3)</f>
        <v/>
      </c>
      <c r="BQN2" t="str">
        <f>LEFT(Database!BRG2,3)</f>
        <v/>
      </c>
      <c r="BQO2" t="str">
        <f>LEFT(Database!BRH2,3)</f>
        <v/>
      </c>
      <c r="BQP2" t="str">
        <f>LEFT(Database!BRI2,3)</f>
        <v/>
      </c>
      <c r="BQQ2" t="str">
        <f>LEFT(Database!BRJ2,3)</f>
        <v/>
      </c>
      <c r="BQR2" t="str">
        <f>LEFT(Database!BRK2,3)</f>
        <v/>
      </c>
      <c r="BQS2" t="str">
        <f>LEFT(Database!BRL2,3)</f>
        <v/>
      </c>
      <c r="BQT2" t="str">
        <f>LEFT(Database!BRM2,3)</f>
        <v/>
      </c>
      <c r="BQU2" t="str">
        <f>LEFT(Database!BRN2,3)</f>
        <v/>
      </c>
      <c r="BQV2" t="str">
        <f>LEFT(Database!BRO2,3)</f>
        <v/>
      </c>
      <c r="BQW2" t="str">
        <f>LEFT(Database!BRP2,3)</f>
        <v/>
      </c>
      <c r="BQX2" t="str">
        <f>LEFT(Database!BRQ2,3)</f>
        <v/>
      </c>
      <c r="BQY2" t="str">
        <f>LEFT(Database!BRR2,3)</f>
        <v/>
      </c>
      <c r="BQZ2" t="str">
        <f>LEFT(Database!BRS2,3)</f>
        <v/>
      </c>
      <c r="BRA2" t="str">
        <f>LEFT(Database!BRT2,3)</f>
        <v/>
      </c>
      <c r="BRB2" t="str">
        <f>LEFT(Database!BRU2,3)</f>
        <v/>
      </c>
      <c r="BRC2" t="str">
        <f>LEFT(Database!BRV2,3)</f>
        <v/>
      </c>
      <c r="BRD2" t="str">
        <f>LEFT(Database!BRW2,3)</f>
        <v/>
      </c>
      <c r="BRE2" t="str">
        <f>LEFT(Database!BRX2,3)</f>
        <v/>
      </c>
      <c r="BRF2" t="str">
        <f>LEFT(Database!BRY2,3)</f>
        <v/>
      </c>
      <c r="BRG2" t="str">
        <f>LEFT(Database!BRZ2,3)</f>
        <v/>
      </c>
      <c r="BRH2" t="str">
        <f>LEFT(Database!BSA2,3)</f>
        <v/>
      </c>
      <c r="BRI2" t="str">
        <f>LEFT(Database!BSB2,3)</f>
        <v/>
      </c>
      <c r="BRJ2" t="str">
        <f>LEFT(Database!BSC2,3)</f>
        <v/>
      </c>
      <c r="BRK2" t="str">
        <f>LEFT(Database!BSD2,3)</f>
        <v/>
      </c>
      <c r="BRL2" t="str">
        <f>LEFT(Database!BSE2,3)</f>
        <v/>
      </c>
      <c r="BRM2" t="str">
        <f>LEFT(Database!BSF2,3)</f>
        <v/>
      </c>
      <c r="BRN2" t="str">
        <f>LEFT(Database!BSG2,3)</f>
        <v/>
      </c>
      <c r="BRO2" t="str">
        <f>LEFT(Database!BSH2,3)</f>
        <v/>
      </c>
      <c r="BRP2" t="str">
        <f>LEFT(Database!BSI2,3)</f>
        <v/>
      </c>
      <c r="BRQ2" t="str">
        <f>LEFT(Database!BSJ2,3)</f>
        <v/>
      </c>
      <c r="BRR2" t="str">
        <f>LEFT(Database!BSK2,3)</f>
        <v/>
      </c>
      <c r="BRS2" t="str">
        <f>LEFT(Database!BSL2,3)</f>
        <v/>
      </c>
      <c r="BRT2" t="str">
        <f>LEFT(Database!BSM2,3)</f>
        <v/>
      </c>
      <c r="BRU2" t="str">
        <f>LEFT(Database!BSN2,3)</f>
        <v/>
      </c>
      <c r="BRV2" t="str">
        <f>LEFT(Database!BSO2,3)</f>
        <v/>
      </c>
      <c r="BRW2" t="str">
        <f>LEFT(Database!BSP2,3)</f>
        <v/>
      </c>
      <c r="BRX2" t="str">
        <f>LEFT(Database!BSQ2,3)</f>
        <v/>
      </c>
      <c r="BRY2" t="str">
        <f>LEFT(Database!BSR2,3)</f>
        <v/>
      </c>
      <c r="BRZ2" t="str">
        <f>LEFT(Database!BSS2,3)</f>
        <v/>
      </c>
      <c r="BSA2" t="str">
        <f>LEFT(Database!BST2,3)</f>
        <v/>
      </c>
      <c r="BSB2" t="str">
        <f>LEFT(Database!BSU2,3)</f>
        <v/>
      </c>
      <c r="BSC2" t="str">
        <f>LEFT(Database!BSV2,3)</f>
        <v/>
      </c>
      <c r="BSD2" t="str">
        <f>LEFT(Database!BSW2,3)</f>
        <v/>
      </c>
      <c r="BSE2" t="str">
        <f>LEFT(Database!BSX2,3)</f>
        <v/>
      </c>
      <c r="BSF2" t="str">
        <f>LEFT(Database!BSY2,3)</f>
        <v/>
      </c>
      <c r="BSG2" t="str">
        <f>LEFT(Database!BSZ2,3)</f>
        <v/>
      </c>
      <c r="BSH2" t="str">
        <f>LEFT(Database!BTA2,3)</f>
        <v/>
      </c>
      <c r="BSI2" t="str">
        <f>LEFT(Database!BTB2,3)</f>
        <v/>
      </c>
      <c r="BSJ2" t="str">
        <f>LEFT(Database!BTC2,3)</f>
        <v/>
      </c>
      <c r="BSK2" t="str">
        <f>LEFT(Database!BTD2,3)</f>
        <v/>
      </c>
      <c r="BSL2" t="str">
        <f>LEFT(Database!BTE2,3)</f>
        <v/>
      </c>
      <c r="BSM2" t="str">
        <f>LEFT(Database!BTF2,3)</f>
        <v/>
      </c>
      <c r="BSN2" t="str">
        <f>LEFT(Database!BTG2,3)</f>
        <v/>
      </c>
      <c r="BSO2" t="str">
        <f>LEFT(Database!BTH2,3)</f>
        <v/>
      </c>
      <c r="BSP2" t="str">
        <f>LEFT(Database!BTI2,3)</f>
        <v/>
      </c>
      <c r="BSQ2" t="str">
        <f>LEFT(Database!BTJ2,3)</f>
        <v/>
      </c>
      <c r="BSR2" t="str">
        <f>LEFT(Database!BTK2,3)</f>
        <v/>
      </c>
      <c r="BSS2" t="str">
        <f>LEFT(Database!BTL2,3)</f>
        <v/>
      </c>
      <c r="BST2" t="str">
        <f>LEFT(Database!BTM2,3)</f>
        <v/>
      </c>
      <c r="BSU2" t="str">
        <f>LEFT(Database!BTN2,3)</f>
        <v/>
      </c>
      <c r="BSV2" t="str">
        <f>LEFT(Database!BTO2,3)</f>
        <v/>
      </c>
      <c r="BSW2" t="str">
        <f>LEFT(Database!BTP2,3)</f>
        <v/>
      </c>
      <c r="BSX2" t="str">
        <f>LEFT(Database!BTQ2,3)</f>
        <v/>
      </c>
      <c r="BSY2" t="str">
        <f>LEFT(Database!BTR2,3)</f>
        <v/>
      </c>
      <c r="BSZ2" t="str">
        <f>LEFT(Database!BTS2,3)</f>
        <v/>
      </c>
      <c r="BTA2" t="str">
        <f>LEFT(Database!BTT2,3)</f>
        <v/>
      </c>
      <c r="BTB2" t="str">
        <f>LEFT(Database!BTU2,3)</f>
        <v/>
      </c>
      <c r="BTC2" t="str">
        <f>LEFT(Database!BTV2,3)</f>
        <v/>
      </c>
      <c r="BTD2" t="str">
        <f>LEFT(Database!BTW2,3)</f>
        <v/>
      </c>
      <c r="BTE2" t="str">
        <f>LEFT(Database!BTX2,3)</f>
        <v/>
      </c>
      <c r="BTF2" t="str">
        <f>LEFT(Database!BTY2,3)</f>
        <v/>
      </c>
      <c r="BTG2" t="str">
        <f>LEFT(Database!BTZ2,3)</f>
        <v/>
      </c>
      <c r="BTH2" t="str">
        <f>LEFT(Database!BUA2,3)</f>
        <v/>
      </c>
      <c r="BTI2" t="str">
        <f>LEFT(Database!BUB2,3)</f>
        <v/>
      </c>
      <c r="BTJ2" t="str">
        <f>LEFT(Database!BUC2,3)</f>
        <v/>
      </c>
      <c r="BTK2" t="str">
        <f>LEFT(Database!BUD2,3)</f>
        <v/>
      </c>
      <c r="BTL2" t="str">
        <f>LEFT(Database!BUE2,3)</f>
        <v/>
      </c>
      <c r="BTM2" t="str">
        <f>LEFT(Database!BUF2,3)</f>
        <v/>
      </c>
      <c r="BTN2" t="str">
        <f>LEFT(Database!BUG2,3)</f>
        <v/>
      </c>
      <c r="BTO2" t="str">
        <f>LEFT(Database!BUH2,3)</f>
        <v/>
      </c>
      <c r="BTP2" t="str">
        <f>LEFT(Database!BUI2,3)</f>
        <v/>
      </c>
      <c r="BTQ2" t="str">
        <f>LEFT(Database!BUJ2,3)</f>
        <v/>
      </c>
      <c r="BTR2" t="str">
        <f>LEFT(Database!BUK2,3)</f>
        <v/>
      </c>
      <c r="BTS2" t="str">
        <f>LEFT(Database!BUL2,3)</f>
        <v/>
      </c>
      <c r="BTT2" t="str">
        <f>LEFT(Database!BUM2,3)</f>
        <v/>
      </c>
      <c r="BTU2" t="str">
        <f>LEFT(Database!BUN2,3)</f>
        <v/>
      </c>
      <c r="BTV2" t="str">
        <f>LEFT(Database!BUO2,3)</f>
        <v/>
      </c>
      <c r="BTW2" t="str">
        <f>LEFT(Database!BUP2,3)</f>
        <v/>
      </c>
      <c r="BTX2" t="str">
        <f>LEFT(Database!BUQ2,3)</f>
        <v/>
      </c>
      <c r="BTY2" t="str">
        <f>LEFT(Database!BUR2,3)</f>
        <v/>
      </c>
      <c r="BTZ2" t="str">
        <f>LEFT(Database!BUS2,3)</f>
        <v/>
      </c>
      <c r="BUA2" t="str">
        <f>LEFT(Database!BUT2,3)</f>
        <v/>
      </c>
      <c r="BUB2" t="str">
        <f>LEFT(Database!BUU2,3)</f>
        <v/>
      </c>
      <c r="BUC2" t="str">
        <f>LEFT(Database!BUV2,3)</f>
        <v/>
      </c>
      <c r="BUD2" t="str">
        <f>LEFT(Database!BUW2,3)</f>
        <v/>
      </c>
      <c r="BUE2" t="str">
        <f>LEFT(Database!BUX2,3)</f>
        <v/>
      </c>
      <c r="BUF2" t="str">
        <f>LEFT(Database!BUY2,3)</f>
        <v/>
      </c>
      <c r="BUG2" t="str">
        <f>LEFT(Database!BUZ2,3)</f>
        <v/>
      </c>
      <c r="BUH2" t="str">
        <f>LEFT(Database!BVA2,3)</f>
        <v/>
      </c>
      <c r="BUI2" t="str">
        <f>LEFT(Database!BVB2,3)</f>
        <v/>
      </c>
      <c r="BUJ2" t="str">
        <f>LEFT(Database!BVC2,3)</f>
        <v/>
      </c>
      <c r="BUK2" t="str">
        <f>LEFT(Database!BVD2,3)</f>
        <v/>
      </c>
      <c r="BUL2" t="str">
        <f>LEFT(Database!BVE2,3)</f>
        <v/>
      </c>
      <c r="BUM2" t="str">
        <f>LEFT(Database!BVF2,3)</f>
        <v/>
      </c>
      <c r="BUN2" t="str">
        <f>LEFT(Database!BVG2,3)</f>
        <v/>
      </c>
      <c r="BUO2" t="str">
        <f>LEFT(Database!BVH2,3)</f>
        <v/>
      </c>
      <c r="BUP2" t="str">
        <f>LEFT(Database!BVI2,3)</f>
        <v/>
      </c>
      <c r="BUQ2" t="str">
        <f>LEFT(Database!BVJ2,3)</f>
        <v/>
      </c>
      <c r="BUR2" t="str">
        <f>LEFT(Database!BVK2,3)</f>
        <v/>
      </c>
      <c r="BUS2" t="str">
        <f>LEFT(Database!BVL2,3)</f>
        <v/>
      </c>
      <c r="BUT2" t="str">
        <f>LEFT(Database!BVM2,3)</f>
        <v/>
      </c>
      <c r="BUU2" t="str">
        <f>LEFT(Database!BVN2,3)</f>
        <v/>
      </c>
      <c r="BUV2" t="str">
        <f>LEFT(Database!BVO2,3)</f>
        <v/>
      </c>
      <c r="BUW2" t="str">
        <f>LEFT(Database!BVP2,3)</f>
        <v/>
      </c>
      <c r="BUX2" t="str">
        <f>LEFT(Database!BVQ2,3)</f>
        <v/>
      </c>
      <c r="BUY2" t="str">
        <f>LEFT(Database!BVR2,3)</f>
        <v/>
      </c>
      <c r="BUZ2" t="str">
        <f>LEFT(Database!BVS2,3)</f>
        <v/>
      </c>
      <c r="BVA2" t="str">
        <f>LEFT(Database!BVT2,3)</f>
        <v/>
      </c>
      <c r="BVB2" t="str">
        <f>LEFT(Database!BVU2,3)</f>
        <v/>
      </c>
      <c r="BVC2" t="str">
        <f>LEFT(Database!BVV2,3)</f>
        <v/>
      </c>
      <c r="BVD2" t="str">
        <f>LEFT(Database!BVW2,3)</f>
        <v/>
      </c>
      <c r="BVE2" t="str">
        <f>LEFT(Database!BVX2,3)</f>
        <v/>
      </c>
      <c r="BVF2" t="str">
        <f>LEFT(Database!BVY2,3)</f>
        <v/>
      </c>
      <c r="BVG2" t="str">
        <f>LEFT(Database!BVZ2,3)</f>
        <v/>
      </c>
      <c r="BVH2" t="str">
        <f>LEFT(Database!BWA2,3)</f>
        <v/>
      </c>
      <c r="BVI2" t="str">
        <f>LEFT(Database!BWB2,3)</f>
        <v/>
      </c>
      <c r="BVJ2" t="str">
        <f>LEFT(Database!BWC2,3)</f>
        <v/>
      </c>
      <c r="BVK2" t="str">
        <f>LEFT(Database!BWD2,3)</f>
        <v/>
      </c>
      <c r="BVL2" t="str">
        <f>LEFT(Database!BWE2,3)</f>
        <v/>
      </c>
      <c r="BVM2" t="str">
        <f>LEFT(Database!BWF2,3)</f>
        <v/>
      </c>
      <c r="BVN2" t="str">
        <f>LEFT(Database!BWG2,3)</f>
        <v/>
      </c>
      <c r="BVO2" t="str">
        <f>LEFT(Database!BWH2,3)</f>
        <v/>
      </c>
      <c r="BVP2" t="str">
        <f>LEFT(Database!BWI2,3)</f>
        <v/>
      </c>
      <c r="BVQ2" t="str">
        <f>LEFT(Database!BWJ2,3)</f>
        <v/>
      </c>
      <c r="BVR2" t="str">
        <f>LEFT(Database!BWK2,3)</f>
        <v/>
      </c>
      <c r="BVS2" t="str">
        <f>LEFT(Database!BWL2,3)</f>
        <v/>
      </c>
      <c r="BVT2" t="str">
        <f>LEFT(Database!BWM2,3)</f>
        <v/>
      </c>
      <c r="BVU2" t="str">
        <f>LEFT(Database!BWN2,3)</f>
        <v/>
      </c>
      <c r="BVV2" t="str">
        <f>LEFT(Database!BWO2,3)</f>
        <v/>
      </c>
      <c r="BVW2" t="str">
        <f>LEFT(Database!BWP2,3)</f>
        <v/>
      </c>
      <c r="BVX2" t="str">
        <f>LEFT(Database!BWQ2,3)</f>
        <v/>
      </c>
      <c r="BVY2" t="str">
        <f>LEFT(Database!BWR2,3)</f>
        <v/>
      </c>
      <c r="BVZ2" t="str">
        <f>LEFT(Database!BWS2,3)</f>
        <v/>
      </c>
      <c r="BWA2" t="str">
        <f>LEFT(Database!BWT2,3)</f>
        <v/>
      </c>
      <c r="BWB2" t="str">
        <f>LEFT(Database!BWU2,3)</f>
        <v/>
      </c>
      <c r="BWC2" t="str">
        <f>LEFT(Database!BWV2,3)</f>
        <v/>
      </c>
      <c r="BWD2" t="str">
        <f>LEFT(Database!BWW2,3)</f>
        <v/>
      </c>
      <c r="BWE2" t="str">
        <f>LEFT(Database!BWX2,3)</f>
        <v/>
      </c>
      <c r="BWF2" t="str">
        <f>LEFT(Database!BWY2,3)</f>
        <v/>
      </c>
      <c r="BWG2" t="str">
        <f>LEFT(Database!BWZ2,3)</f>
        <v/>
      </c>
      <c r="BWH2" t="str">
        <f>LEFT(Database!BXA2,3)</f>
        <v/>
      </c>
      <c r="BWI2" t="str">
        <f>LEFT(Database!BXB2,3)</f>
        <v/>
      </c>
      <c r="BWJ2" t="str">
        <f>LEFT(Database!BXC2,3)</f>
        <v/>
      </c>
      <c r="BWK2" t="str">
        <f>LEFT(Database!BXD2,3)</f>
        <v/>
      </c>
      <c r="BWL2" t="str">
        <f>LEFT(Database!BXE2,3)</f>
        <v/>
      </c>
      <c r="BWM2" t="str">
        <f>LEFT(Database!BXF2,3)</f>
        <v/>
      </c>
      <c r="BWN2" t="str">
        <f>LEFT(Database!BXG2,3)</f>
        <v/>
      </c>
      <c r="BWO2" t="str">
        <f>LEFT(Database!BXH2,3)</f>
        <v/>
      </c>
      <c r="BWP2" t="str">
        <f>LEFT(Database!BXI2,3)</f>
        <v/>
      </c>
      <c r="BWQ2" t="str">
        <f>LEFT(Database!BXJ2,3)</f>
        <v/>
      </c>
      <c r="BWR2" t="str">
        <f>LEFT(Database!BXK2,3)</f>
        <v/>
      </c>
      <c r="BWS2" t="str">
        <f>LEFT(Database!BXL2,3)</f>
        <v/>
      </c>
      <c r="BWT2" t="str">
        <f>LEFT(Database!BXM2,3)</f>
        <v/>
      </c>
      <c r="BWU2" t="str">
        <f>LEFT(Database!BXN2,3)</f>
        <v/>
      </c>
      <c r="BWV2" t="str">
        <f>LEFT(Database!BXO2,3)</f>
        <v/>
      </c>
      <c r="BWW2" t="str">
        <f>LEFT(Database!BXP2,3)</f>
        <v/>
      </c>
      <c r="BWX2" t="str">
        <f>LEFT(Database!BXQ2,3)</f>
        <v/>
      </c>
      <c r="BWY2" t="str">
        <f>LEFT(Database!BXR2,3)</f>
        <v/>
      </c>
      <c r="BWZ2" t="str">
        <f>LEFT(Database!BXS2,3)</f>
        <v/>
      </c>
      <c r="BXA2" t="str">
        <f>LEFT(Database!BXT2,3)</f>
        <v/>
      </c>
      <c r="BXB2" t="str">
        <f>LEFT(Database!BXU2,3)</f>
        <v/>
      </c>
      <c r="BXC2" t="str">
        <f>LEFT(Database!BXV2,3)</f>
        <v/>
      </c>
      <c r="BXD2" t="str">
        <f>LEFT(Database!BXW2,3)</f>
        <v/>
      </c>
      <c r="BXE2" t="str">
        <f>LEFT(Database!BXX2,3)</f>
        <v/>
      </c>
      <c r="BXF2" t="str">
        <f>LEFT(Database!BXY2,3)</f>
        <v/>
      </c>
      <c r="BXG2" t="str">
        <f>LEFT(Database!BXZ2,3)</f>
        <v/>
      </c>
      <c r="BXH2" t="str">
        <f>LEFT(Database!BYA2,3)</f>
        <v/>
      </c>
      <c r="BXI2" t="str">
        <f>LEFT(Database!BYB2,3)</f>
        <v/>
      </c>
      <c r="BXJ2" t="str">
        <f>LEFT(Database!BYC2,3)</f>
        <v/>
      </c>
      <c r="BXK2" t="str">
        <f>LEFT(Database!BYD2,3)</f>
        <v/>
      </c>
      <c r="BXL2" t="str">
        <f>LEFT(Database!BYE2,3)</f>
        <v/>
      </c>
      <c r="BXM2" t="str">
        <f>LEFT(Database!BYF2,3)</f>
        <v/>
      </c>
      <c r="BXN2" t="str">
        <f>LEFT(Database!BYG2,3)</f>
        <v/>
      </c>
      <c r="BXO2" t="str">
        <f>LEFT(Database!BYH2,3)</f>
        <v/>
      </c>
      <c r="BXP2" t="str">
        <f>LEFT(Database!BYI2,3)</f>
        <v/>
      </c>
      <c r="BXQ2" t="str">
        <f>LEFT(Database!BYJ2,3)</f>
        <v/>
      </c>
      <c r="BXR2" t="str">
        <f>LEFT(Database!BYK2,3)</f>
        <v/>
      </c>
      <c r="BXS2" t="str">
        <f>LEFT(Database!BYL2,3)</f>
        <v/>
      </c>
      <c r="BXT2" t="str">
        <f>LEFT(Database!BYM2,3)</f>
        <v/>
      </c>
      <c r="BXU2" t="str">
        <f>LEFT(Database!BYN2,3)</f>
        <v/>
      </c>
      <c r="BXV2" t="str">
        <f>LEFT(Database!BYO2,3)</f>
        <v/>
      </c>
      <c r="BXW2" t="str">
        <f>LEFT(Database!BYP2,3)</f>
        <v/>
      </c>
      <c r="BXX2" t="str">
        <f>LEFT(Database!BYQ2,3)</f>
        <v/>
      </c>
      <c r="BXY2" t="str">
        <f>LEFT(Database!BYR2,3)</f>
        <v/>
      </c>
      <c r="BXZ2" t="str">
        <f>LEFT(Database!BYS2,3)</f>
        <v/>
      </c>
      <c r="BYA2" t="str">
        <f>LEFT(Database!BYT2,3)</f>
        <v/>
      </c>
      <c r="BYB2" t="str">
        <f>LEFT(Database!BYU2,3)</f>
        <v/>
      </c>
      <c r="BYC2" t="str">
        <f>LEFT(Database!BYV2,3)</f>
        <v/>
      </c>
      <c r="BYD2" t="str">
        <f>LEFT(Database!BYW2,3)</f>
        <v/>
      </c>
      <c r="BYE2" t="str">
        <f>LEFT(Database!BYX2,3)</f>
        <v/>
      </c>
      <c r="BYF2" t="str">
        <f>LEFT(Database!BYY2,3)</f>
        <v/>
      </c>
      <c r="BYG2" t="str">
        <f>LEFT(Database!BYZ2,3)</f>
        <v/>
      </c>
      <c r="BYH2" t="str">
        <f>LEFT(Database!BZA2,3)</f>
        <v/>
      </c>
      <c r="BYI2" t="str">
        <f>LEFT(Database!BZB2,3)</f>
        <v/>
      </c>
      <c r="BYJ2" t="str">
        <f>LEFT(Database!BZC2,3)</f>
        <v/>
      </c>
      <c r="BYK2" t="str">
        <f>LEFT(Database!BZD2,3)</f>
        <v/>
      </c>
      <c r="BYL2" t="str">
        <f>LEFT(Database!BZE2,3)</f>
        <v/>
      </c>
      <c r="BYM2" t="str">
        <f>LEFT(Database!BZF2,3)</f>
        <v/>
      </c>
      <c r="BYN2" t="str">
        <f>LEFT(Database!BZG2,3)</f>
        <v/>
      </c>
      <c r="BYO2" t="str">
        <f>LEFT(Database!BZH2,3)</f>
        <v/>
      </c>
      <c r="BYP2" t="str">
        <f>LEFT(Database!BZI2,3)</f>
        <v/>
      </c>
      <c r="BYQ2" t="str">
        <f>LEFT(Database!BZJ2,3)</f>
        <v/>
      </c>
      <c r="BYR2" t="str">
        <f>LEFT(Database!BZK2,3)</f>
        <v/>
      </c>
      <c r="BYS2" t="str">
        <f>LEFT(Database!BZL2,3)</f>
        <v/>
      </c>
      <c r="BYT2" t="str">
        <f>LEFT(Database!BZM2,3)</f>
        <v/>
      </c>
      <c r="BYU2" t="str">
        <f>LEFT(Database!BZN2,3)</f>
        <v/>
      </c>
      <c r="BYV2" t="str">
        <f>LEFT(Database!BZO2,3)</f>
        <v/>
      </c>
      <c r="BYW2" t="str">
        <f>LEFT(Database!BZP2,3)</f>
        <v/>
      </c>
      <c r="BYX2" t="str">
        <f>LEFT(Database!BZQ2,3)</f>
        <v/>
      </c>
      <c r="BYY2" t="str">
        <f>LEFT(Database!BZR2,3)</f>
        <v/>
      </c>
      <c r="BYZ2" t="str">
        <f>LEFT(Database!BZS2,3)</f>
        <v/>
      </c>
      <c r="BZA2" t="str">
        <f>LEFT(Database!BZT2,3)</f>
        <v/>
      </c>
      <c r="BZB2" t="str">
        <f>LEFT(Database!BZU2,3)</f>
        <v/>
      </c>
      <c r="BZC2" t="str">
        <f>LEFT(Database!BZV2,3)</f>
        <v/>
      </c>
      <c r="BZD2" t="str">
        <f>LEFT(Database!BZW2,3)</f>
        <v/>
      </c>
      <c r="BZE2" t="str">
        <f>LEFT(Database!BZX2,3)</f>
        <v/>
      </c>
      <c r="BZF2" t="str">
        <f>LEFT(Database!BZY2,3)</f>
        <v/>
      </c>
      <c r="BZG2" t="str">
        <f>LEFT(Database!BZZ2,3)</f>
        <v/>
      </c>
      <c r="BZH2" t="str">
        <f>LEFT(Database!CAA2,3)</f>
        <v/>
      </c>
      <c r="BZI2" t="str">
        <f>LEFT(Database!CAB2,3)</f>
        <v/>
      </c>
      <c r="BZJ2" t="str">
        <f>LEFT(Database!CAC2,3)</f>
        <v/>
      </c>
      <c r="BZK2" t="str">
        <f>LEFT(Database!CAD2,3)</f>
        <v/>
      </c>
      <c r="BZL2" t="str">
        <f>LEFT(Database!CAE2,3)</f>
        <v/>
      </c>
      <c r="BZM2" t="str">
        <f>LEFT(Database!CAF2,3)</f>
        <v/>
      </c>
      <c r="BZN2" t="str">
        <f>LEFT(Database!CAG2,3)</f>
        <v/>
      </c>
      <c r="BZO2" t="str">
        <f>LEFT(Database!CAH2,3)</f>
        <v/>
      </c>
      <c r="BZP2" t="str">
        <f>LEFT(Database!CAI2,3)</f>
        <v/>
      </c>
      <c r="BZQ2" t="str">
        <f>LEFT(Database!CAJ2,3)</f>
        <v/>
      </c>
      <c r="BZR2" t="str">
        <f>LEFT(Database!CAK2,3)</f>
        <v/>
      </c>
      <c r="BZS2" t="str">
        <f>LEFT(Database!CAL2,3)</f>
        <v/>
      </c>
      <c r="BZT2" t="str">
        <f>LEFT(Database!CAM2,3)</f>
        <v/>
      </c>
      <c r="BZU2" t="str">
        <f>LEFT(Database!CAN2,3)</f>
        <v/>
      </c>
      <c r="BZV2" t="str">
        <f>LEFT(Database!CAO2,3)</f>
        <v/>
      </c>
      <c r="BZW2" t="str">
        <f>LEFT(Database!CAP2,3)</f>
        <v/>
      </c>
      <c r="BZX2" t="str">
        <f>LEFT(Database!CAQ2,3)</f>
        <v/>
      </c>
      <c r="BZY2" t="str">
        <f>LEFT(Database!CAR2,3)</f>
        <v/>
      </c>
      <c r="BZZ2" t="str">
        <f>LEFT(Database!CAS2,3)</f>
        <v/>
      </c>
      <c r="CAA2" t="str">
        <f>LEFT(Database!CAT2,3)</f>
        <v/>
      </c>
      <c r="CAB2" t="str">
        <f>LEFT(Database!CAU2,3)</f>
        <v/>
      </c>
      <c r="CAC2" t="str">
        <f>LEFT(Database!CAV2,3)</f>
        <v/>
      </c>
      <c r="CAD2" t="str">
        <f>LEFT(Database!CAW2,3)</f>
        <v/>
      </c>
      <c r="CAE2" t="str">
        <f>LEFT(Database!CAX2,3)</f>
        <v/>
      </c>
      <c r="CAF2" t="str">
        <f>LEFT(Database!CAY2,3)</f>
        <v/>
      </c>
      <c r="CAG2" t="str">
        <f>LEFT(Database!CAZ2,3)</f>
        <v/>
      </c>
      <c r="CAH2" t="str">
        <f>LEFT(Database!CBA2,3)</f>
        <v/>
      </c>
      <c r="CAI2" t="str">
        <f>LEFT(Database!CBB2,3)</f>
        <v/>
      </c>
      <c r="CAJ2" t="str">
        <f>LEFT(Database!CBC2,3)</f>
        <v/>
      </c>
      <c r="CAK2" t="str">
        <f>LEFT(Database!CBD2,3)</f>
        <v/>
      </c>
      <c r="CAL2" t="str">
        <f>LEFT(Database!CBE2,3)</f>
        <v/>
      </c>
      <c r="CAM2" t="str">
        <f>LEFT(Database!CBF2,3)</f>
        <v/>
      </c>
      <c r="CAN2" t="str">
        <f>LEFT(Database!CBG2,3)</f>
        <v/>
      </c>
      <c r="CAO2" t="str">
        <f>LEFT(Database!CBH2,3)</f>
        <v/>
      </c>
      <c r="CAP2" t="str">
        <f>LEFT(Database!CBI2,3)</f>
        <v/>
      </c>
      <c r="CAQ2" t="str">
        <f>LEFT(Database!CBJ2,3)</f>
        <v/>
      </c>
      <c r="CAR2" t="str">
        <f>LEFT(Database!CBK2,3)</f>
        <v/>
      </c>
      <c r="CAS2" t="str">
        <f>LEFT(Database!CBL2,3)</f>
        <v/>
      </c>
      <c r="CAT2" t="str">
        <f>LEFT(Database!CBM2,3)</f>
        <v/>
      </c>
      <c r="CAU2" t="str">
        <f>LEFT(Database!CBN2,3)</f>
        <v/>
      </c>
      <c r="CAV2" t="str">
        <f>LEFT(Database!CBO2,3)</f>
        <v/>
      </c>
      <c r="CAW2" t="str">
        <f>LEFT(Database!CBP2,3)</f>
        <v/>
      </c>
      <c r="CAX2" t="str">
        <f>LEFT(Database!CBQ2,3)</f>
        <v/>
      </c>
      <c r="CAY2" t="str">
        <f>LEFT(Database!CBR2,3)</f>
        <v/>
      </c>
      <c r="CAZ2" t="str">
        <f>LEFT(Database!CBS2,3)</f>
        <v/>
      </c>
      <c r="CBA2" t="str">
        <f>LEFT(Database!CBT2,3)</f>
        <v/>
      </c>
      <c r="CBB2" t="str">
        <f>LEFT(Database!CBU2,3)</f>
        <v/>
      </c>
      <c r="CBC2" t="str">
        <f>LEFT(Database!CBV2,3)</f>
        <v/>
      </c>
      <c r="CBD2" t="str">
        <f>LEFT(Database!CBW2,3)</f>
        <v/>
      </c>
      <c r="CBE2" t="str">
        <f>LEFT(Database!CBX2,3)</f>
        <v/>
      </c>
      <c r="CBF2" t="str">
        <f>LEFT(Database!CBY2,3)</f>
        <v/>
      </c>
      <c r="CBG2" t="str">
        <f>LEFT(Database!CBZ2,3)</f>
        <v/>
      </c>
      <c r="CBH2" t="str">
        <f>LEFT(Database!CCA2,3)</f>
        <v/>
      </c>
      <c r="CBI2" t="str">
        <f>LEFT(Database!CCB2,3)</f>
        <v/>
      </c>
      <c r="CBJ2" t="str">
        <f>LEFT(Database!CCC2,3)</f>
        <v/>
      </c>
      <c r="CBK2" t="str">
        <f>LEFT(Database!CCD2,3)</f>
        <v/>
      </c>
      <c r="CBL2" t="str">
        <f>LEFT(Database!CCE2,3)</f>
        <v/>
      </c>
      <c r="CBM2" t="str">
        <f>LEFT(Database!CCF2,3)</f>
        <v/>
      </c>
      <c r="CBN2" t="str">
        <f>LEFT(Database!CCG2,3)</f>
        <v/>
      </c>
      <c r="CBO2" t="str">
        <f>LEFT(Database!CCH2,3)</f>
        <v/>
      </c>
      <c r="CBP2" t="str">
        <f>LEFT(Database!CCI2,3)</f>
        <v/>
      </c>
      <c r="CBQ2" t="str">
        <f>LEFT(Database!CCJ2,3)</f>
        <v/>
      </c>
      <c r="CBR2" t="str">
        <f>LEFT(Database!CCK2,3)</f>
        <v/>
      </c>
      <c r="CBS2" t="str">
        <f>LEFT(Database!CCL2,3)</f>
        <v/>
      </c>
      <c r="CBT2" t="str">
        <f>LEFT(Database!CCM2,3)</f>
        <v/>
      </c>
      <c r="CBU2" t="str">
        <f>LEFT(Database!CCN2,3)</f>
        <v/>
      </c>
      <c r="CBV2" t="str">
        <f>LEFT(Database!CCO2,3)</f>
        <v/>
      </c>
      <c r="CBW2" t="str">
        <f>LEFT(Database!CCP2,3)</f>
        <v/>
      </c>
      <c r="CBX2" t="str">
        <f>LEFT(Database!CCQ2,3)</f>
        <v/>
      </c>
      <c r="CBY2" t="str">
        <f>LEFT(Database!CCR2,3)</f>
        <v/>
      </c>
      <c r="CBZ2" t="str">
        <f>LEFT(Database!CCS2,3)</f>
        <v/>
      </c>
      <c r="CCA2" t="str">
        <f>LEFT(Database!CCT2,3)</f>
        <v/>
      </c>
      <c r="CCB2" t="str">
        <f>LEFT(Database!CCU2,3)</f>
        <v/>
      </c>
      <c r="CCC2" t="str">
        <f>LEFT(Database!CCV2,3)</f>
        <v/>
      </c>
      <c r="CCD2" t="str">
        <f>LEFT(Database!CCW2,3)</f>
        <v/>
      </c>
      <c r="CCE2" t="str">
        <f>LEFT(Database!CCX2,3)</f>
        <v/>
      </c>
      <c r="CCF2" t="str">
        <f>LEFT(Database!CCY2,3)</f>
        <v/>
      </c>
      <c r="CCG2" t="str">
        <f>LEFT(Database!CCZ2,3)</f>
        <v/>
      </c>
      <c r="CCH2" t="str">
        <f>LEFT(Database!CDA2,3)</f>
        <v/>
      </c>
      <c r="CCI2" t="str">
        <f>LEFT(Database!CDB2,3)</f>
        <v/>
      </c>
      <c r="CCJ2" t="str">
        <f>LEFT(Database!CDC2,3)</f>
        <v/>
      </c>
      <c r="CCK2" t="str">
        <f>LEFT(Database!CDD2,3)</f>
        <v/>
      </c>
      <c r="CCL2" t="str">
        <f>LEFT(Database!CDE2,3)</f>
        <v/>
      </c>
      <c r="CCM2" t="str">
        <f>LEFT(Database!CDF2,3)</f>
        <v/>
      </c>
      <c r="CCN2" t="str">
        <f>LEFT(Database!CDG2,3)</f>
        <v/>
      </c>
      <c r="CCO2" t="str">
        <f>LEFT(Database!CDH2,3)</f>
        <v/>
      </c>
      <c r="CCP2" t="str">
        <f>LEFT(Database!CDI2,3)</f>
        <v/>
      </c>
      <c r="CCQ2" t="str">
        <f>LEFT(Database!CDJ2,3)</f>
        <v/>
      </c>
      <c r="CCR2" t="str">
        <f>LEFT(Database!CDK2,3)</f>
        <v/>
      </c>
      <c r="CCS2" t="str">
        <f>LEFT(Database!CDL2,3)</f>
        <v/>
      </c>
      <c r="CCT2" t="str">
        <f>LEFT(Database!CDM2,3)</f>
        <v/>
      </c>
      <c r="CCU2" t="str">
        <f>LEFT(Database!CDN2,3)</f>
        <v/>
      </c>
      <c r="CCV2" t="str">
        <f>LEFT(Database!CDO2,3)</f>
        <v/>
      </c>
      <c r="CCW2" t="str">
        <f>LEFT(Database!CDP2,3)</f>
        <v/>
      </c>
      <c r="CCX2" t="str">
        <f>LEFT(Database!CDQ2,3)</f>
        <v/>
      </c>
      <c r="CCY2" t="str">
        <f>LEFT(Database!CDR2,3)</f>
        <v/>
      </c>
      <c r="CCZ2" t="str">
        <f>LEFT(Database!CDS2,3)</f>
        <v/>
      </c>
      <c r="CDA2" t="str">
        <f>LEFT(Database!CDT2,3)</f>
        <v/>
      </c>
      <c r="CDB2" t="str">
        <f>LEFT(Database!CDU2,3)</f>
        <v/>
      </c>
      <c r="CDC2" t="str">
        <f>LEFT(Database!CDV2,3)</f>
        <v/>
      </c>
      <c r="CDD2" t="str">
        <f>LEFT(Database!CDW2,3)</f>
        <v/>
      </c>
      <c r="CDE2" t="str">
        <f>LEFT(Database!CDX2,3)</f>
        <v/>
      </c>
      <c r="CDF2" t="str">
        <f>LEFT(Database!CDY2,3)</f>
        <v/>
      </c>
      <c r="CDG2" t="str">
        <f>LEFT(Database!CDZ2,3)</f>
        <v/>
      </c>
      <c r="CDH2" t="str">
        <f>LEFT(Database!CEA2,3)</f>
        <v/>
      </c>
      <c r="CDI2" t="str">
        <f>LEFT(Database!CEB2,3)</f>
        <v/>
      </c>
      <c r="CDJ2" t="str">
        <f>LEFT(Database!CEC2,3)</f>
        <v/>
      </c>
      <c r="CDK2" t="str">
        <f>LEFT(Database!CED2,3)</f>
        <v/>
      </c>
      <c r="CDL2" t="str">
        <f>LEFT(Database!CEE2,3)</f>
        <v/>
      </c>
      <c r="CDM2" t="str">
        <f>LEFT(Database!CEF2,3)</f>
        <v/>
      </c>
      <c r="CDN2" t="str">
        <f>LEFT(Database!CEG2,3)</f>
        <v/>
      </c>
      <c r="CDO2" t="str">
        <f>LEFT(Database!CEH2,3)</f>
        <v/>
      </c>
      <c r="CDP2" t="str">
        <f>LEFT(Database!CEI2,3)</f>
        <v/>
      </c>
      <c r="CDQ2" t="str">
        <f>LEFT(Database!CEJ2,3)</f>
        <v/>
      </c>
      <c r="CDR2" t="str">
        <f>LEFT(Database!CEK2,3)</f>
        <v/>
      </c>
      <c r="CDS2" t="str">
        <f>LEFT(Database!CEL2,3)</f>
        <v/>
      </c>
      <c r="CDT2" t="str">
        <f>LEFT(Database!CEM2,3)</f>
        <v/>
      </c>
      <c r="CDU2" t="str">
        <f>LEFT(Database!CEN2,3)</f>
        <v/>
      </c>
      <c r="CDV2" t="str">
        <f>LEFT(Database!CEO2,3)</f>
        <v/>
      </c>
      <c r="CDW2" t="str">
        <f>LEFT(Database!CEP2,3)</f>
        <v/>
      </c>
      <c r="CDX2" t="str">
        <f>LEFT(Database!CEQ2,3)</f>
        <v/>
      </c>
      <c r="CDY2" t="str">
        <f>LEFT(Database!CER2,3)</f>
        <v/>
      </c>
      <c r="CDZ2" t="str">
        <f>LEFT(Database!CES2,3)</f>
        <v/>
      </c>
      <c r="CEA2" t="str">
        <f>LEFT(Database!CET2,3)</f>
        <v/>
      </c>
      <c r="CEB2" t="str">
        <f>LEFT(Database!CEU2,3)</f>
        <v/>
      </c>
      <c r="CEC2" t="str">
        <f>LEFT(Database!CEV2,3)</f>
        <v/>
      </c>
      <c r="CED2" t="str">
        <f>LEFT(Database!CEW2,3)</f>
        <v/>
      </c>
      <c r="CEE2" t="str">
        <f>LEFT(Database!CEX2,3)</f>
        <v/>
      </c>
      <c r="CEF2" t="str">
        <f>LEFT(Database!CEY2,3)</f>
        <v/>
      </c>
      <c r="CEG2" t="str">
        <f>LEFT(Database!CEZ2,3)</f>
        <v/>
      </c>
      <c r="CEH2" t="str">
        <f>LEFT(Database!CFA2,3)</f>
        <v/>
      </c>
      <c r="CEI2" t="str">
        <f>LEFT(Database!CFB2,3)</f>
        <v/>
      </c>
      <c r="CEJ2" t="str">
        <f>LEFT(Database!CFC2,3)</f>
        <v/>
      </c>
      <c r="CEK2" t="str">
        <f>LEFT(Database!CFD2,3)</f>
        <v/>
      </c>
      <c r="CEL2" t="str">
        <f>LEFT(Database!CFE2,3)</f>
        <v/>
      </c>
      <c r="CEM2" t="str">
        <f>LEFT(Database!CFF2,3)</f>
        <v/>
      </c>
      <c r="CEN2" t="str">
        <f>LEFT(Database!CFG2,3)</f>
        <v/>
      </c>
      <c r="CEO2" t="str">
        <f>LEFT(Database!CFH2,3)</f>
        <v/>
      </c>
      <c r="CEP2" t="str">
        <f>LEFT(Database!CFI2,3)</f>
        <v/>
      </c>
      <c r="CEQ2" t="str">
        <f>LEFT(Database!CFJ2,3)</f>
        <v/>
      </c>
      <c r="CER2" t="str">
        <f>LEFT(Database!CFK2,3)</f>
        <v/>
      </c>
      <c r="CES2" t="str">
        <f>LEFT(Database!CFL2,3)</f>
        <v/>
      </c>
      <c r="CET2" t="str">
        <f>LEFT(Database!CFM2,3)</f>
        <v/>
      </c>
      <c r="CEU2" t="str">
        <f>LEFT(Database!CFN2,3)</f>
        <v/>
      </c>
      <c r="CEV2" t="str">
        <f>LEFT(Database!CFO2,3)</f>
        <v/>
      </c>
      <c r="CEW2" t="str">
        <f>LEFT(Database!CFP2,3)</f>
        <v/>
      </c>
      <c r="CEX2" t="str">
        <f>LEFT(Database!CFQ2,3)</f>
        <v/>
      </c>
      <c r="CEY2" t="str">
        <f>LEFT(Database!CFR2,3)</f>
        <v/>
      </c>
      <c r="CEZ2" t="str">
        <f>LEFT(Database!CFS2,3)</f>
        <v/>
      </c>
      <c r="CFA2" t="str">
        <f>LEFT(Database!CFT2,3)</f>
        <v/>
      </c>
      <c r="CFB2" t="str">
        <f>LEFT(Database!CFU2,3)</f>
        <v/>
      </c>
      <c r="CFC2" t="str">
        <f>LEFT(Database!CFV2,3)</f>
        <v/>
      </c>
      <c r="CFD2" t="str">
        <f>LEFT(Database!CFW2,3)</f>
        <v/>
      </c>
      <c r="CFE2" t="str">
        <f>LEFT(Database!CFX2,3)</f>
        <v/>
      </c>
      <c r="CFF2" t="str">
        <f>LEFT(Database!CFY2,3)</f>
        <v/>
      </c>
      <c r="CFG2" t="str">
        <f>LEFT(Database!CFZ2,3)</f>
        <v/>
      </c>
      <c r="CFH2" t="str">
        <f>LEFT(Database!CGA2,3)</f>
        <v/>
      </c>
      <c r="CFI2" t="str">
        <f>LEFT(Database!CGB2,3)</f>
        <v/>
      </c>
      <c r="CFJ2" t="str">
        <f>LEFT(Database!CGC2,3)</f>
        <v/>
      </c>
      <c r="CFK2" t="str">
        <f>LEFT(Database!CGD2,3)</f>
        <v/>
      </c>
      <c r="CFL2" t="str">
        <f>LEFT(Database!CGE2,3)</f>
        <v/>
      </c>
      <c r="CFM2" t="str">
        <f>LEFT(Database!CGF2,3)</f>
        <v/>
      </c>
      <c r="CFN2" t="str">
        <f>LEFT(Database!CGG2,3)</f>
        <v/>
      </c>
      <c r="CFO2" t="str">
        <f>LEFT(Database!CGH2,3)</f>
        <v/>
      </c>
      <c r="CFP2" t="str">
        <f>LEFT(Database!CGI2,3)</f>
        <v/>
      </c>
      <c r="CFQ2" t="str">
        <f>LEFT(Database!CGJ2,3)</f>
        <v/>
      </c>
      <c r="CFR2" t="str">
        <f>LEFT(Database!CGK2,3)</f>
        <v/>
      </c>
      <c r="CFS2" t="str">
        <f>LEFT(Database!CGL2,3)</f>
        <v/>
      </c>
      <c r="CFT2" t="str">
        <f>LEFT(Database!CGM2,3)</f>
        <v/>
      </c>
      <c r="CFU2" t="str">
        <f>LEFT(Database!CGN2,3)</f>
        <v/>
      </c>
      <c r="CFV2" t="str">
        <f>LEFT(Database!CGO2,3)</f>
        <v/>
      </c>
      <c r="CFW2" t="str">
        <f>LEFT(Database!CGP2,3)</f>
        <v/>
      </c>
      <c r="CFX2" t="str">
        <f>LEFT(Database!CGQ2,3)</f>
        <v/>
      </c>
      <c r="CFY2" t="str">
        <f>LEFT(Database!CGR2,3)</f>
        <v/>
      </c>
      <c r="CFZ2" t="str">
        <f>LEFT(Database!CGS2,3)</f>
        <v/>
      </c>
      <c r="CGA2" t="str">
        <f>LEFT(Database!CGT2,3)</f>
        <v/>
      </c>
      <c r="CGB2" t="str">
        <f>LEFT(Database!CGU2,3)</f>
        <v/>
      </c>
      <c r="CGC2" t="str">
        <f>LEFT(Database!CGV2,3)</f>
        <v/>
      </c>
      <c r="CGD2" t="str">
        <f>LEFT(Database!CGW2,3)</f>
        <v/>
      </c>
      <c r="CGE2" t="str">
        <f>LEFT(Database!CGX2,3)</f>
        <v/>
      </c>
      <c r="CGF2" t="str">
        <f>LEFT(Database!CGY2,3)</f>
        <v/>
      </c>
      <c r="CGG2" t="str">
        <f>LEFT(Database!CGZ2,3)</f>
        <v/>
      </c>
      <c r="CGH2" t="str">
        <f>LEFT(Database!CHA2,3)</f>
        <v/>
      </c>
      <c r="CGI2" t="str">
        <f>LEFT(Database!CHB2,3)</f>
        <v/>
      </c>
      <c r="CGJ2" t="str">
        <f>LEFT(Database!CHC2,3)</f>
        <v/>
      </c>
      <c r="CGK2" t="str">
        <f>LEFT(Database!CHD2,3)</f>
        <v/>
      </c>
      <c r="CGL2" t="str">
        <f>LEFT(Database!CHE2,3)</f>
        <v/>
      </c>
      <c r="CGM2" t="str">
        <f>LEFT(Database!CHF2,3)</f>
        <v/>
      </c>
      <c r="CGN2" t="str">
        <f>LEFT(Database!CHG2,3)</f>
        <v/>
      </c>
      <c r="CGO2" t="str">
        <f>LEFT(Database!CHH2,3)</f>
        <v/>
      </c>
      <c r="CGP2" t="str">
        <f>LEFT(Database!CHI2,3)</f>
        <v/>
      </c>
      <c r="CGQ2" t="str">
        <f>LEFT(Database!CHJ2,3)</f>
        <v/>
      </c>
      <c r="CGR2" t="str">
        <f>LEFT(Database!CHK2,3)</f>
        <v/>
      </c>
      <c r="CGS2" t="str">
        <f>LEFT(Database!CHL2,3)</f>
        <v/>
      </c>
      <c r="CGT2" t="str">
        <f>LEFT(Database!CHM2,3)</f>
        <v/>
      </c>
      <c r="CGU2" t="str">
        <f>LEFT(Database!CHN2,3)</f>
        <v/>
      </c>
      <c r="CGV2" t="str">
        <f>LEFT(Database!CHO2,3)</f>
        <v/>
      </c>
      <c r="CGW2" t="str">
        <f>LEFT(Database!CHP2,3)</f>
        <v/>
      </c>
      <c r="CGX2" t="str">
        <f>LEFT(Database!CHQ2,3)</f>
        <v/>
      </c>
      <c r="CGY2" t="str">
        <f>LEFT(Database!CHR2,3)</f>
        <v/>
      </c>
      <c r="CGZ2" t="str">
        <f>LEFT(Database!CHS2,3)</f>
        <v/>
      </c>
      <c r="CHA2" t="str">
        <f>LEFT(Database!CHT2,3)</f>
        <v/>
      </c>
      <c r="CHB2" t="str">
        <f>LEFT(Database!CHU2,3)</f>
        <v/>
      </c>
      <c r="CHC2" t="str">
        <f>LEFT(Database!CHV2,3)</f>
        <v/>
      </c>
      <c r="CHD2" t="str">
        <f>LEFT(Database!CHW2,3)</f>
        <v/>
      </c>
      <c r="CHE2" t="str">
        <f>LEFT(Database!CHX2,3)</f>
        <v/>
      </c>
      <c r="CHF2" t="str">
        <f>LEFT(Database!CHY2,3)</f>
        <v/>
      </c>
      <c r="CHG2" t="str">
        <f>LEFT(Database!CHZ2,3)</f>
        <v/>
      </c>
      <c r="CHH2" t="str">
        <f>LEFT(Database!CIA2,3)</f>
        <v/>
      </c>
      <c r="CHI2" t="str">
        <f>LEFT(Database!CIB2,3)</f>
        <v/>
      </c>
      <c r="CHJ2" t="str">
        <f>LEFT(Database!CIC2,3)</f>
        <v/>
      </c>
      <c r="CHK2" t="str">
        <f>LEFT(Database!CID2,3)</f>
        <v/>
      </c>
      <c r="CHL2" t="str">
        <f>LEFT(Database!CIE2,3)</f>
        <v/>
      </c>
      <c r="CHM2" t="str">
        <f>LEFT(Database!CIF2,3)</f>
        <v/>
      </c>
      <c r="CHN2" t="str">
        <f>LEFT(Database!CIG2,3)</f>
        <v/>
      </c>
      <c r="CHO2" t="str">
        <f>LEFT(Database!CIH2,3)</f>
        <v/>
      </c>
      <c r="CHP2" t="str">
        <f>LEFT(Database!CII2,3)</f>
        <v/>
      </c>
      <c r="CHQ2" t="str">
        <f>LEFT(Database!CIJ2,3)</f>
        <v/>
      </c>
      <c r="CHR2" t="str">
        <f>LEFT(Database!CIK2,3)</f>
        <v/>
      </c>
      <c r="CHS2" t="str">
        <f>LEFT(Database!CIL2,3)</f>
        <v/>
      </c>
      <c r="CHT2" t="str">
        <f>LEFT(Database!CIM2,3)</f>
        <v/>
      </c>
      <c r="CHU2" t="str">
        <f>LEFT(Database!CIN2,3)</f>
        <v/>
      </c>
      <c r="CHV2" t="str">
        <f>LEFT(Database!CIO2,3)</f>
        <v/>
      </c>
      <c r="CHW2" t="str">
        <f>LEFT(Database!CIP2,3)</f>
        <v/>
      </c>
      <c r="CHX2" t="str">
        <f>LEFT(Database!CIQ2,3)</f>
        <v/>
      </c>
      <c r="CHY2" t="str">
        <f>LEFT(Database!CIR2,3)</f>
        <v/>
      </c>
      <c r="CHZ2" t="str">
        <f>LEFT(Database!CIS2,3)</f>
        <v/>
      </c>
      <c r="CIA2" t="str">
        <f>LEFT(Database!CIT2,3)</f>
        <v/>
      </c>
      <c r="CIB2" t="str">
        <f>LEFT(Database!CIU2,3)</f>
        <v/>
      </c>
      <c r="CIC2" t="str">
        <f>LEFT(Database!CIV2,3)</f>
        <v/>
      </c>
      <c r="CID2" t="str">
        <f>LEFT(Database!CIW2,3)</f>
        <v/>
      </c>
      <c r="CIE2" t="str">
        <f>LEFT(Database!CIX2,3)</f>
        <v/>
      </c>
      <c r="CIF2" t="str">
        <f>LEFT(Database!CIY2,3)</f>
        <v/>
      </c>
      <c r="CIG2" t="str">
        <f>LEFT(Database!CIZ2,3)</f>
        <v/>
      </c>
      <c r="CIH2" t="str">
        <f>LEFT(Database!CJA2,3)</f>
        <v/>
      </c>
      <c r="CII2" t="str">
        <f>LEFT(Database!CJB2,3)</f>
        <v/>
      </c>
      <c r="CIJ2" t="str">
        <f>LEFT(Database!CJC2,3)</f>
        <v/>
      </c>
      <c r="CIK2" t="str">
        <f>LEFT(Database!CJD2,3)</f>
        <v/>
      </c>
      <c r="CIL2" t="str">
        <f>LEFT(Database!CJE2,3)</f>
        <v/>
      </c>
      <c r="CIM2" t="str">
        <f>LEFT(Database!CJF2,3)</f>
        <v/>
      </c>
      <c r="CIN2" t="str">
        <f>LEFT(Database!CJG2,3)</f>
        <v/>
      </c>
      <c r="CIO2" t="str">
        <f>LEFT(Database!CJH2,3)</f>
        <v/>
      </c>
      <c r="CIP2" t="str">
        <f>LEFT(Database!CJI2,3)</f>
        <v/>
      </c>
      <c r="CIQ2" t="str">
        <f>LEFT(Database!CJJ2,3)</f>
        <v/>
      </c>
      <c r="CIR2" t="str">
        <f>LEFT(Database!CJK2,3)</f>
        <v/>
      </c>
      <c r="CIS2" t="str">
        <f>LEFT(Database!CJL2,3)</f>
        <v/>
      </c>
      <c r="CIT2" t="str">
        <f>LEFT(Database!CJM2,3)</f>
        <v/>
      </c>
      <c r="CIU2" t="str">
        <f>LEFT(Database!CJN2,3)</f>
        <v/>
      </c>
      <c r="CIV2" t="str">
        <f>LEFT(Database!CJO2,3)</f>
        <v/>
      </c>
      <c r="CIW2" t="str">
        <f>LEFT(Database!CJP2,3)</f>
        <v/>
      </c>
      <c r="CIX2" t="str">
        <f>LEFT(Database!CJQ2,3)</f>
        <v/>
      </c>
      <c r="CIY2" t="str">
        <f>LEFT(Database!CJR2,3)</f>
        <v/>
      </c>
      <c r="CIZ2" t="str">
        <f>LEFT(Database!CJS2,3)</f>
        <v/>
      </c>
      <c r="CJA2" t="str">
        <f>LEFT(Database!CJT2,3)</f>
        <v/>
      </c>
      <c r="CJB2" t="str">
        <f>LEFT(Database!CJU2,3)</f>
        <v/>
      </c>
      <c r="CJC2" t="str">
        <f>LEFT(Database!CJV2,3)</f>
        <v/>
      </c>
      <c r="CJD2" t="str">
        <f>LEFT(Database!CJW2,3)</f>
        <v/>
      </c>
      <c r="CJE2" t="str">
        <f>LEFT(Database!CJX2,3)</f>
        <v/>
      </c>
      <c r="CJF2" t="str">
        <f>LEFT(Database!CJY2,3)</f>
        <v/>
      </c>
      <c r="CJG2" t="str">
        <f>LEFT(Database!CJZ2,3)</f>
        <v/>
      </c>
      <c r="CJH2" t="str">
        <f>LEFT(Database!CKA2,3)</f>
        <v/>
      </c>
      <c r="CJI2" t="str">
        <f>LEFT(Database!CKB2,3)</f>
        <v/>
      </c>
      <c r="CJJ2" t="str">
        <f>LEFT(Database!CKC2,3)</f>
        <v/>
      </c>
      <c r="CJK2" t="str">
        <f>LEFT(Database!CKD2,3)</f>
        <v/>
      </c>
      <c r="CJL2" t="str">
        <f>LEFT(Database!CKE2,3)</f>
        <v/>
      </c>
      <c r="CJM2" t="str">
        <f>LEFT(Database!CKF2,3)</f>
        <v/>
      </c>
      <c r="CJN2" t="str">
        <f>LEFT(Database!CKG2,3)</f>
        <v/>
      </c>
      <c r="CJO2" t="str">
        <f>LEFT(Database!CKH2,3)</f>
        <v/>
      </c>
      <c r="CJP2" t="str">
        <f>LEFT(Database!CKI2,3)</f>
        <v/>
      </c>
      <c r="CJQ2" t="str">
        <f>LEFT(Database!CKJ2,3)</f>
        <v/>
      </c>
      <c r="CJR2" t="str">
        <f>LEFT(Database!CKK2,3)</f>
        <v/>
      </c>
      <c r="CJS2" t="str">
        <f>LEFT(Database!CKL2,3)</f>
        <v/>
      </c>
      <c r="CJT2" t="str">
        <f>LEFT(Database!CKM2,3)</f>
        <v/>
      </c>
      <c r="CJU2" t="str">
        <f>LEFT(Database!CKN2,3)</f>
        <v/>
      </c>
      <c r="CJV2" t="str">
        <f>LEFT(Database!CKO2,3)</f>
        <v/>
      </c>
      <c r="CJW2" t="str">
        <f>LEFT(Database!CKP2,3)</f>
        <v/>
      </c>
      <c r="CJX2" t="str">
        <f>LEFT(Database!CKQ2,3)</f>
        <v/>
      </c>
      <c r="CJY2" t="str">
        <f>LEFT(Database!CKR2,3)</f>
        <v/>
      </c>
      <c r="CJZ2" t="str">
        <f>LEFT(Database!CKS2,3)</f>
        <v/>
      </c>
      <c r="CKA2" t="str">
        <f>LEFT(Database!CKT2,3)</f>
        <v/>
      </c>
      <c r="CKB2" t="str">
        <f>LEFT(Database!CKU2,3)</f>
        <v/>
      </c>
      <c r="CKC2" t="str">
        <f>LEFT(Database!CKV2,3)</f>
        <v/>
      </c>
      <c r="CKD2" t="str">
        <f>LEFT(Database!CKW2,3)</f>
        <v/>
      </c>
      <c r="CKE2" t="str">
        <f>LEFT(Database!CKX2,3)</f>
        <v/>
      </c>
      <c r="CKF2" t="str">
        <f>LEFT(Database!CKY2,3)</f>
        <v/>
      </c>
      <c r="CKG2" t="str">
        <f>LEFT(Database!CKZ2,3)</f>
        <v/>
      </c>
      <c r="CKH2" t="str">
        <f>LEFT(Database!CLA2,3)</f>
        <v/>
      </c>
      <c r="CKI2" t="str">
        <f>LEFT(Database!CLB2,3)</f>
        <v/>
      </c>
      <c r="CKJ2" t="str">
        <f>LEFT(Database!CLC2,3)</f>
        <v/>
      </c>
      <c r="CKK2" t="str">
        <f>LEFT(Database!CLD2,3)</f>
        <v/>
      </c>
      <c r="CKL2" t="str">
        <f>LEFT(Database!CLE2,3)</f>
        <v/>
      </c>
      <c r="CKM2" t="str">
        <f>LEFT(Database!CLF2,3)</f>
        <v/>
      </c>
      <c r="CKN2" t="str">
        <f>LEFT(Database!CLG2,3)</f>
        <v/>
      </c>
      <c r="CKO2" t="str">
        <f>LEFT(Database!CLH2,3)</f>
        <v/>
      </c>
      <c r="CKP2" t="str">
        <f>LEFT(Database!CLI2,3)</f>
        <v/>
      </c>
      <c r="CKQ2" t="str">
        <f>LEFT(Database!CLJ2,3)</f>
        <v/>
      </c>
      <c r="CKR2" t="str">
        <f>LEFT(Database!CLK2,3)</f>
        <v/>
      </c>
      <c r="CKS2" t="str">
        <f>LEFT(Database!CLL2,3)</f>
        <v/>
      </c>
      <c r="CKT2" t="str">
        <f>LEFT(Database!CLM2,3)</f>
        <v/>
      </c>
      <c r="CKU2" t="str">
        <f>LEFT(Database!CLN2,3)</f>
        <v/>
      </c>
      <c r="CKV2" t="str">
        <f>LEFT(Database!CLO2,3)</f>
        <v/>
      </c>
      <c r="CKW2" t="str">
        <f>LEFT(Database!CLP2,3)</f>
        <v/>
      </c>
      <c r="CKX2" t="str">
        <f>LEFT(Database!CLQ2,3)</f>
        <v/>
      </c>
      <c r="CKY2" t="str">
        <f>LEFT(Database!CLR2,3)</f>
        <v/>
      </c>
      <c r="CKZ2" t="str">
        <f>LEFT(Database!CLS2,3)</f>
        <v/>
      </c>
      <c r="CLA2" t="str">
        <f>LEFT(Database!CLT2,3)</f>
        <v/>
      </c>
      <c r="CLB2" t="str">
        <f>LEFT(Database!CLU2,3)</f>
        <v/>
      </c>
      <c r="CLC2" t="str">
        <f>LEFT(Database!CLV2,3)</f>
        <v/>
      </c>
      <c r="CLD2" t="str">
        <f>LEFT(Database!CLW2,3)</f>
        <v/>
      </c>
      <c r="CLE2" t="str">
        <f>LEFT(Database!CLX2,3)</f>
        <v/>
      </c>
      <c r="CLF2" t="str">
        <f>LEFT(Database!CLY2,3)</f>
        <v/>
      </c>
      <c r="CLG2" t="str">
        <f>LEFT(Database!CLZ2,3)</f>
        <v/>
      </c>
      <c r="CLH2" t="str">
        <f>LEFT(Database!CMA2,3)</f>
        <v/>
      </c>
      <c r="CLI2" t="str">
        <f>LEFT(Database!CMB2,3)</f>
        <v/>
      </c>
      <c r="CLJ2" t="str">
        <f>LEFT(Database!CMC2,3)</f>
        <v/>
      </c>
      <c r="CLK2" t="str">
        <f>LEFT(Database!CMD2,3)</f>
        <v/>
      </c>
      <c r="CLL2" t="str">
        <f>LEFT(Database!CME2,3)</f>
        <v/>
      </c>
      <c r="CLM2" t="str">
        <f>LEFT(Database!CMF2,3)</f>
        <v/>
      </c>
      <c r="CLN2" t="str">
        <f>LEFT(Database!CMG2,3)</f>
        <v/>
      </c>
      <c r="CLO2" t="str">
        <f>LEFT(Database!CMH2,3)</f>
        <v/>
      </c>
      <c r="CLP2" t="str">
        <f>LEFT(Database!CMI2,3)</f>
        <v/>
      </c>
      <c r="CLQ2" t="str">
        <f>LEFT(Database!CMJ2,3)</f>
        <v/>
      </c>
      <c r="CLR2" t="str">
        <f>LEFT(Database!CMK2,3)</f>
        <v/>
      </c>
      <c r="CLS2" t="str">
        <f>LEFT(Database!CML2,3)</f>
        <v/>
      </c>
      <c r="CLT2" t="str">
        <f>LEFT(Database!CMM2,3)</f>
        <v/>
      </c>
      <c r="CLU2" t="str">
        <f>LEFT(Database!CMN2,3)</f>
        <v/>
      </c>
      <c r="CLV2" t="str">
        <f>LEFT(Database!CMO2,3)</f>
        <v/>
      </c>
      <c r="CLW2" t="str">
        <f>LEFT(Database!CMP2,3)</f>
        <v/>
      </c>
      <c r="CLX2" t="str">
        <f>LEFT(Database!CMQ2,3)</f>
        <v/>
      </c>
      <c r="CLY2" t="str">
        <f>LEFT(Database!CMR2,3)</f>
        <v/>
      </c>
      <c r="CLZ2" t="str">
        <f>LEFT(Database!CMS2,3)</f>
        <v/>
      </c>
      <c r="CMA2" t="str">
        <f>LEFT(Database!CMT2,3)</f>
        <v/>
      </c>
      <c r="CMB2" t="str">
        <f>LEFT(Database!CMU2,3)</f>
        <v/>
      </c>
      <c r="CMC2" t="str">
        <f>LEFT(Database!CMV2,3)</f>
        <v/>
      </c>
      <c r="CMD2" t="str">
        <f>LEFT(Database!CMW2,3)</f>
        <v/>
      </c>
      <c r="CME2" t="str">
        <f>LEFT(Database!CMX2,3)</f>
        <v/>
      </c>
      <c r="CMF2" t="str">
        <f>LEFT(Database!CMY2,3)</f>
        <v/>
      </c>
      <c r="CMG2" t="str">
        <f>LEFT(Database!CMZ2,3)</f>
        <v/>
      </c>
      <c r="CMH2" t="str">
        <f>LEFT(Database!CNA2,3)</f>
        <v/>
      </c>
      <c r="CMI2" t="str">
        <f>LEFT(Database!CNB2,3)</f>
        <v/>
      </c>
      <c r="CMJ2" t="str">
        <f>LEFT(Database!CNC2,3)</f>
        <v/>
      </c>
      <c r="CMK2" t="str">
        <f>LEFT(Database!CND2,3)</f>
        <v/>
      </c>
      <c r="CML2" t="str">
        <f>LEFT(Database!CNE2,3)</f>
        <v/>
      </c>
      <c r="CMM2" t="str">
        <f>LEFT(Database!CNF2,3)</f>
        <v/>
      </c>
      <c r="CMN2" t="str">
        <f>LEFT(Database!CNG2,3)</f>
        <v/>
      </c>
      <c r="CMO2" t="str">
        <f>LEFT(Database!CNH2,3)</f>
        <v/>
      </c>
      <c r="CMP2" t="str">
        <f>LEFT(Database!CNI2,3)</f>
        <v/>
      </c>
      <c r="CMQ2" t="str">
        <f>LEFT(Database!CNJ2,3)</f>
        <v/>
      </c>
      <c r="CMR2" t="str">
        <f>LEFT(Database!CNK2,3)</f>
        <v/>
      </c>
      <c r="CMS2" t="str">
        <f>LEFT(Database!CNL2,3)</f>
        <v/>
      </c>
      <c r="CMT2" t="str">
        <f>LEFT(Database!CNM2,3)</f>
        <v/>
      </c>
      <c r="CMU2" t="str">
        <f>LEFT(Database!CNN2,3)</f>
        <v/>
      </c>
      <c r="CMV2" t="str">
        <f>LEFT(Database!CNO2,3)</f>
        <v/>
      </c>
      <c r="CMW2" t="str">
        <f>LEFT(Database!CNP2,3)</f>
        <v/>
      </c>
      <c r="CMX2" t="str">
        <f>LEFT(Database!CNQ2,3)</f>
        <v/>
      </c>
      <c r="CMY2" t="str">
        <f>LEFT(Database!CNR2,3)</f>
        <v/>
      </c>
      <c r="CMZ2" t="str">
        <f>LEFT(Database!CNS2,3)</f>
        <v/>
      </c>
      <c r="CNA2" t="str">
        <f>LEFT(Database!CNT2,3)</f>
        <v/>
      </c>
      <c r="CNB2" t="str">
        <f>LEFT(Database!CNU2,3)</f>
        <v/>
      </c>
      <c r="CNC2" t="str">
        <f>LEFT(Database!CNV2,3)</f>
        <v/>
      </c>
      <c r="CND2" t="str">
        <f>LEFT(Database!CNW2,3)</f>
        <v/>
      </c>
      <c r="CNE2" t="str">
        <f>LEFT(Database!CNX2,3)</f>
        <v/>
      </c>
      <c r="CNF2" t="str">
        <f>LEFT(Database!CNY2,3)</f>
        <v/>
      </c>
      <c r="CNG2" t="str">
        <f>LEFT(Database!CNZ2,3)</f>
        <v/>
      </c>
      <c r="CNH2" t="str">
        <f>LEFT(Database!COA2,3)</f>
        <v/>
      </c>
      <c r="CNI2" t="str">
        <f>LEFT(Database!COB2,3)</f>
        <v/>
      </c>
      <c r="CNJ2" t="str">
        <f>LEFT(Database!COC2,3)</f>
        <v/>
      </c>
      <c r="CNK2" t="str">
        <f>LEFT(Database!COD2,3)</f>
        <v/>
      </c>
      <c r="CNL2" t="str">
        <f>LEFT(Database!COE2,3)</f>
        <v/>
      </c>
      <c r="CNM2" t="str">
        <f>LEFT(Database!COF2,3)</f>
        <v/>
      </c>
      <c r="CNN2" t="str">
        <f>LEFT(Database!COG2,3)</f>
        <v/>
      </c>
      <c r="CNO2" t="str">
        <f>LEFT(Database!COH2,3)</f>
        <v/>
      </c>
      <c r="CNP2" t="str">
        <f>LEFT(Database!COI2,3)</f>
        <v/>
      </c>
      <c r="CNQ2" t="str">
        <f>LEFT(Database!COJ2,3)</f>
        <v/>
      </c>
      <c r="CNR2" t="str">
        <f>LEFT(Database!COK2,3)</f>
        <v/>
      </c>
      <c r="CNS2" t="str">
        <f>LEFT(Database!COL2,3)</f>
        <v/>
      </c>
      <c r="CNT2" t="str">
        <f>LEFT(Database!COM2,3)</f>
        <v/>
      </c>
      <c r="CNU2" t="str">
        <f>LEFT(Database!CON2,3)</f>
        <v/>
      </c>
      <c r="CNV2" t="str">
        <f>LEFT(Database!COO2,3)</f>
        <v/>
      </c>
      <c r="CNW2" t="str">
        <f>LEFT(Database!COP2,3)</f>
        <v/>
      </c>
      <c r="CNX2" t="str">
        <f>LEFT(Database!COQ2,3)</f>
        <v/>
      </c>
      <c r="CNY2" t="str">
        <f>LEFT(Database!COR2,3)</f>
        <v/>
      </c>
      <c r="CNZ2" t="str">
        <f>LEFT(Database!COS2,3)</f>
        <v/>
      </c>
      <c r="COA2" t="str">
        <f>LEFT(Database!COT2,3)</f>
        <v/>
      </c>
      <c r="COB2" t="str">
        <f>LEFT(Database!COU2,3)</f>
        <v/>
      </c>
      <c r="COC2" t="str">
        <f>LEFT(Database!COV2,3)</f>
        <v/>
      </c>
      <c r="COD2" t="str">
        <f>LEFT(Database!COW2,3)</f>
        <v/>
      </c>
      <c r="COE2" t="str">
        <f>LEFT(Database!COX2,3)</f>
        <v/>
      </c>
      <c r="COF2" t="str">
        <f>LEFT(Database!COY2,3)</f>
        <v/>
      </c>
      <c r="COG2" t="str">
        <f>LEFT(Database!COZ2,3)</f>
        <v/>
      </c>
      <c r="COH2" t="str">
        <f>LEFT(Database!CPA2,3)</f>
        <v/>
      </c>
      <c r="COI2" t="str">
        <f>LEFT(Database!CPB2,3)</f>
        <v/>
      </c>
      <c r="COJ2" t="str">
        <f>LEFT(Database!CPC2,3)</f>
        <v/>
      </c>
      <c r="COK2" t="str">
        <f>LEFT(Database!CPD2,3)</f>
        <v/>
      </c>
      <c r="COL2" t="str">
        <f>LEFT(Database!CPE2,3)</f>
        <v/>
      </c>
      <c r="COM2" t="str">
        <f>LEFT(Database!CPF2,3)</f>
        <v/>
      </c>
      <c r="CON2" t="str">
        <f>LEFT(Database!CPG2,3)</f>
        <v/>
      </c>
      <c r="COO2" t="str">
        <f>LEFT(Database!CPH2,3)</f>
        <v/>
      </c>
      <c r="COP2" t="str">
        <f>LEFT(Database!CPI2,3)</f>
        <v/>
      </c>
      <c r="COQ2" t="str">
        <f>LEFT(Database!CPJ2,3)</f>
        <v/>
      </c>
      <c r="COR2" t="str">
        <f>LEFT(Database!CPK2,3)</f>
        <v/>
      </c>
      <c r="COS2" t="str">
        <f>LEFT(Database!CPL2,3)</f>
        <v/>
      </c>
      <c r="COT2" t="str">
        <f>LEFT(Database!CPM2,3)</f>
        <v/>
      </c>
      <c r="COU2" t="str">
        <f>LEFT(Database!CPN2,3)</f>
        <v/>
      </c>
      <c r="COV2" t="str">
        <f>LEFT(Database!CPO2,3)</f>
        <v/>
      </c>
      <c r="COW2" t="str">
        <f>LEFT(Database!CPP2,3)</f>
        <v/>
      </c>
      <c r="COX2" t="str">
        <f>LEFT(Database!CPQ2,3)</f>
        <v/>
      </c>
      <c r="COY2" t="str">
        <f>LEFT(Database!CPR2,3)</f>
        <v/>
      </c>
      <c r="COZ2" t="str">
        <f>LEFT(Database!CPS2,3)</f>
        <v/>
      </c>
      <c r="CPA2" t="str">
        <f>LEFT(Database!CPT2,3)</f>
        <v/>
      </c>
      <c r="CPB2" t="str">
        <f>LEFT(Database!CPU2,3)</f>
        <v/>
      </c>
      <c r="CPC2" t="str">
        <f>LEFT(Database!CPV2,3)</f>
        <v/>
      </c>
      <c r="CPD2" t="str">
        <f>LEFT(Database!CPW2,3)</f>
        <v/>
      </c>
      <c r="CPE2" t="str">
        <f>LEFT(Database!CPX2,3)</f>
        <v/>
      </c>
      <c r="CPF2" t="str">
        <f>LEFT(Database!CPY2,3)</f>
        <v/>
      </c>
      <c r="CPG2" t="str">
        <f>LEFT(Database!CPZ2,3)</f>
        <v/>
      </c>
      <c r="CPH2" t="str">
        <f>LEFT(Database!CQA2,3)</f>
        <v/>
      </c>
      <c r="CPI2" t="str">
        <f>LEFT(Database!CQB2,3)</f>
        <v/>
      </c>
      <c r="CPJ2" t="str">
        <f>LEFT(Database!CQC2,3)</f>
        <v/>
      </c>
      <c r="CPK2" t="str">
        <f>LEFT(Database!CQD2,3)</f>
        <v/>
      </c>
      <c r="CPL2" t="str">
        <f>LEFT(Database!CQE2,3)</f>
        <v/>
      </c>
      <c r="CPM2" t="str">
        <f>LEFT(Database!CQF2,3)</f>
        <v/>
      </c>
      <c r="CPN2" t="str">
        <f>LEFT(Database!CQG2,3)</f>
        <v/>
      </c>
      <c r="CPO2" t="str">
        <f>LEFT(Database!CQH2,3)</f>
        <v/>
      </c>
      <c r="CPP2" t="str">
        <f>LEFT(Database!CQI2,3)</f>
        <v/>
      </c>
      <c r="CPQ2" t="str">
        <f>LEFT(Database!CQJ2,3)</f>
        <v/>
      </c>
      <c r="CPR2" t="str">
        <f>LEFT(Database!CQK2,3)</f>
        <v/>
      </c>
      <c r="CPS2" t="str">
        <f>LEFT(Database!CQL2,3)</f>
        <v/>
      </c>
      <c r="CPT2" t="str">
        <f>LEFT(Database!CQM2,3)</f>
        <v/>
      </c>
      <c r="CPU2" t="str">
        <f>LEFT(Database!CQN2,3)</f>
        <v/>
      </c>
      <c r="CPV2" t="str">
        <f>LEFT(Database!CQO2,3)</f>
        <v/>
      </c>
      <c r="CPW2" t="str">
        <f>LEFT(Database!CQP2,3)</f>
        <v/>
      </c>
      <c r="CPX2" t="str">
        <f>LEFT(Database!CQQ2,3)</f>
        <v/>
      </c>
      <c r="CPY2" t="str">
        <f>LEFT(Database!CQR2,3)</f>
        <v/>
      </c>
      <c r="CPZ2" t="str">
        <f>LEFT(Database!CQS2,3)</f>
        <v/>
      </c>
      <c r="CQA2" t="str">
        <f>LEFT(Database!CQT2,3)</f>
        <v/>
      </c>
      <c r="CQB2" t="str">
        <f>LEFT(Database!CQU2,3)</f>
        <v/>
      </c>
      <c r="CQC2" t="str">
        <f>LEFT(Database!CQV2,3)</f>
        <v/>
      </c>
      <c r="CQD2" t="str">
        <f>LEFT(Database!CQW2,3)</f>
        <v/>
      </c>
      <c r="CQE2" t="str">
        <f>LEFT(Database!CQX2,3)</f>
        <v/>
      </c>
      <c r="CQF2" t="str">
        <f>LEFT(Database!CQY2,3)</f>
        <v/>
      </c>
      <c r="CQG2" t="str">
        <f>LEFT(Database!CQZ2,3)</f>
        <v/>
      </c>
      <c r="CQH2" t="str">
        <f>LEFT(Database!CRA2,3)</f>
        <v/>
      </c>
      <c r="CQI2" t="str">
        <f>LEFT(Database!CRB2,3)</f>
        <v/>
      </c>
      <c r="CQJ2" t="str">
        <f>LEFT(Database!CRC2,3)</f>
        <v/>
      </c>
      <c r="CQK2" t="str">
        <f>LEFT(Database!CRD2,3)</f>
        <v/>
      </c>
      <c r="CQL2" t="str">
        <f>LEFT(Database!CRE2,3)</f>
        <v/>
      </c>
      <c r="CQM2" t="str">
        <f>LEFT(Database!CRF2,3)</f>
        <v/>
      </c>
      <c r="CQN2" t="str">
        <f>LEFT(Database!CRG2,3)</f>
        <v/>
      </c>
      <c r="CQO2" t="str">
        <f>LEFT(Database!CRH2,3)</f>
        <v/>
      </c>
      <c r="CQP2" t="str">
        <f>LEFT(Database!CRI2,3)</f>
        <v/>
      </c>
      <c r="CQQ2" t="str">
        <f>LEFT(Database!CRJ2,3)</f>
        <v/>
      </c>
      <c r="CQR2" t="str">
        <f>LEFT(Database!CRK2,3)</f>
        <v/>
      </c>
      <c r="CQS2" t="str">
        <f>LEFT(Database!CRL2,3)</f>
        <v/>
      </c>
      <c r="CQT2" t="str">
        <f>LEFT(Database!CRM2,3)</f>
        <v/>
      </c>
      <c r="CQU2" t="str">
        <f>LEFT(Database!CRN2,3)</f>
        <v/>
      </c>
      <c r="CQV2" t="str">
        <f>LEFT(Database!CRO2,3)</f>
        <v/>
      </c>
      <c r="CQW2" t="str">
        <f>LEFT(Database!CRP2,3)</f>
        <v/>
      </c>
      <c r="CQX2" t="str">
        <f>LEFT(Database!CRQ2,3)</f>
        <v/>
      </c>
      <c r="CQY2" t="str">
        <f>LEFT(Database!CRR2,3)</f>
        <v/>
      </c>
      <c r="CQZ2" t="str">
        <f>LEFT(Database!CRS2,3)</f>
        <v/>
      </c>
      <c r="CRA2" t="str">
        <f>LEFT(Database!CRT2,3)</f>
        <v/>
      </c>
      <c r="CRB2" t="str">
        <f>LEFT(Database!CRU2,3)</f>
        <v/>
      </c>
      <c r="CRC2" t="str">
        <f>LEFT(Database!CRV2,3)</f>
        <v/>
      </c>
      <c r="CRD2" t="str">
        <f>LEFT(Database!CRW2,3)</f>
        <v/>
      </c>
      <c r="CRE2" t="str">
        <f>LEFT(Database!CRX2,3)</f>
        <v/>
      </c>
      <c r="CRF2" t="str">
        <f>LEFT(Database!CRY2,3)</f>
        <v/>
      </c>
      <c r="CRG2" t="str">
        <f>LEFT(Database!CRZ2,3)</f>
        <v/>
      </c>
      <c r="CRH2" t="str">
        <f>LEFT(Database!CSA2,3)</f>
        <v/>
      </c>
      <c r="CRI2" t="str">
        <f>LEFT(Database!CSB2,3)</f>
        <v/>
      </c>
      <c r="CRJ2" t="str">
        <f>LEFT(Database!CSC2,3)</f>
        <v/>
      </c>
      <c r="CRK2" t="str">
        <f>LEFT(Database!CSD2,3)</f>
        <v/>
      </c>
      <c r="CRL2" t="str">
        <f>LEFT(Database!CSE2,3)</f>
        <v/>
      </c>
      <c r="CRM2" t="str">
        <f>LEFT(Database!CSF2,3)</f>
        <v/>
      </c>
      <c r="CRN2" t="str">
        <f>LEFT(Database!CSG2,3)</f>
        <v/>
      </c>
      <c r="CRO2" t="str">
        <f>LEFT(Database!CSH2,3)</f>
        <v/>
      </c>
      <c r="CRP2" t="str">
        <f>LEFT(Database!CSI2,3)</f>
        <v/>
      </c>
      <c r="CRQ2" t="str">
        <f>LEFT(Database!CSJ2,3)</f>
        <v/>
      </c>
      <c r="CRR2" t="str">
        <f>LEFT(Database!CSK2,3)</f>
        <v/>
      </c>
      <c r="CRS2" t="str">
        <f>LEFT(Database!CSL2,3)</f>
        <v/>
      </c>
      <c r="CRT2" t="str">
        <f>LEFT(Database!CSM2,3)</f>
        <v/>
      </c>
      <c r="CRU2" t="str">
        <f>LEFT(Database!CSN2,3)</f>
        <v/>
      </c>
      <c r="CRV2" t="str">
        <f>LEFT(Database!CSO2,3)</f>
        <v/>
      </c>
      <c r="CRW2" t="str">
        <f>LEFT(Database!CSP2,3)</f>
        <v/>
      </c>
      <c r="CRX2" t="str">
        <f>LEFT(Database!CSQ2,3)</f>
        <v/>
      </c>
      <c r="CRY2" t="str">
        <f>LEFT(Database!CSR2,3)</f>
        <v/>
      </c>
      <c r="CRZ2" t="str">
        <f>LEFT(Database!CSS2,3)</f>
        <v/>
      </c>
      <c r="CSA2" t="str">
        <f>LEFT(Database!CST2,3)</f>
        <v/>
      </c>
      <c r="CSB2" t="str">
        <f>LEFT(Database!CSU2,3)</f>
        <v/>
      </c>
      <c r="CSC2" t="str">
        <f>LEFT(Database!CSV2,3)</f>
        <v/>
      </c>
      <c r="CSD2" t="str">
        <f>LEFT(Database!CSW2,3)</f>
        <v/>
      </c>
      <c r="CSE2" t="str">
        <f>LEFT(Database!CSX2,3)</f>
        <v/>
      </c>
      <c r="CSF2" t="str">
        <f>LEFT(Database!CSY2,3)</f>
        <v/>
      </c>
      <c r="CSG2" t="str">
        <f>LEFT(Database!CSZ2,3)</f>
        <v/>
      </c>
      <c r="CSH2" t="str">
        <f>LEFT(Database!CTA2,3)</f>
        <v/>
      </c>
      <c r="CSI2" t="str">
        <f>LEFT(Database!CTB2,3)</f>
        <v/>
      </c>
      <c r="CSJ2" t="str">
        <f>LEFT(Database!CTC2,3)</f>
        <v/>
      </c>
      <c r="CSK2" t="str">
        <f>LEFT(Database!CTD2,3)</f>
        <v/>
      </c>
      <c r="CSL2" t="str">
        <f>LEFT(Database!CTE2,3)</f>
        <v/>
      </c>
      <c r="CSM2" t="str">
        <f>LEFT(Database!CTF2,3)</f>
        <v/>
      </c>
      <c r="CSN2" t="str">
        <f>LEFT(Database!CTG2,3)</f>
        <v/>
      </c>
      <c r="CSO2" t="str">
        <f>LEFT(Database!CTH2,3)</f>
        <v/>
      </c>
      <c r="CSP2" t="str">
        <f>LEFT(Database!CTI2,3)</f>
        <v/>
      </c>
      <c r="CSQ2" t="str">
        <f>LEFT(Database!CTJ2,3)</f>
        <v/>
      </c>
      <c r="CSR2" t="str">
        <f>LEFT(Database!CTK2,3)</f>
        <v/>
      </c>
      <c r="CSS2" t="str">
        <f>LEFT(Database!CTL2,3)</f>
        <v/>
      </c>
      <c r="CST2" t="str">
        <f>LEFT(Database!CTM2,3)</f>
        <v/>
      </c>
      <c r="CSU2" t="str">
        <f>LEFT(Database!CTN2,3)</f>
        <v/>
      </c>
      <c r="CSV2" t="str">
        <f>LEFT(Database!CTO2,3)</f>
        <v/>
      </c>
      <c r="CSW2" t="str">
        <f>LEFT(Database!CTP2,3)</f>
        <v/>
      </c>
      <c r="CSX2" t="str">
        <f>LEFT(Database!CTQ2,3)</f>
        <v/>
      </c>
      <c r="CSY2" t="str">
        <f>LEFT(Database!CTR2,3)</f>
        <v/>
      </c>
      <c r="CSZ2" t="str">
        <f>LEFT(Database!CTS2,3)</f>
        <v/>
      </c>
      <c r="CTA2" t="str">
        <f>LEFT(Database!CTT2,3)</f>
        <v/>
      </c>
      <c r="CTB2" t="str">
        <f>LEFT(Database!CTU2,3)</f>
        <v/>
      </c>
      <c r="CTC2" t="str">
        <f>LEFT(Database!CTV2,3)</f>
        <v/>
      </c>
      <c r="CTD2" t="str">
        <f>LEFT(Database!CTW2,3)</f>
        <v/>
      </c>
      <c r="CTE2" t="str">
        <f>LEFT(Database!CTX2,3)</f>
        <v/>
      </c>
      <c r="CTF2" t="str">
        <f>LEFT(Database!CTY2,3)</f>
        <v/>
      </c>
      <c r="CTG2" t="str">
        <f>LEFT(Database!CTZ2,3)</f>
        <v/>
      </c>
      <c r="CTH2" t="str">
        <f>LEFT(Database!CUA2,3)</f>
        <v/>
      </c>
      <c r="CTI2" t="str">
        <f>LEFT(Database!CUB2,3)</f>
        <v/>
      </c>
      <c r="CTJ2" t="str">
        <f>LEFT(Database!CUC2,3)</f>
        <v/>
      </c>
      <c r="CTK2" t="str">
        <f>LEFT(Database!CUD2,3)</f>
        <v/>
      </c>
      <c r="CTL2" t="str">
        <f>LEFT(Database!CUE2,3)</f>
        <v/>
      </c>
      <c r="CTM2" t="str">
        <f>LEFT(Database!CUF2,3)</f>
        <v/>
      </c>
      <c r="CTN2" t="str">
        <f>LEFT(Database!CUG2,3)</f>
        <v/>
      </c>
      <c r="CTO2" t="str">
        <f>LEFT(Database!CUH2,3)</f>
        <v/>
      </c>
      <c r="CTP2" t="str">
        <f>LEFT(Database!CUI2,3)</f>
        <v/>
      </c>
      <c r="CTQ2" t="str">
        <f>LEFT(Database!CUJ2,3)</f>
        <v/>
      </c>
      <c r="CTR2" t="str">
        <f>LEFT(Database!CUK2,3)</f>
        <v/>
      </c>
      <c r="CTS2" t="str">
        <f>LEFT(Database!CUL2,3)</f>
        <v/>
      </c>
      <c r="CTT2" t="str">
        <f>LEFT(Database!CUM2,3)</f>
        <v/>
      </c>
      <c r="CTU2" t="str">
        <f>LEFT(Database!CUN2,3)</f>
        <v/>
      </c>
      <c r="CTV2" t="str">
        <f>LEFT(Database!CUO2,3)</f>
        <v/>
      </c>
      <c r="CTW2" t="str">
        <f>LEFT(Database!CUP2,3)</f>
        <v/>
      </c>
      <c r="CTX2" t="str">
        <f>LEFT(Database!CUQ2,3)</f>
        <v/>
      </c>
      <c r="CTY2" t="str">
        <f>LEFT(Database!CUR2,3)</f>
        <v/>
      </c>
      <c r="CTZ2" t="str">
        <f>LEFT(Database!CUS2,3)</f>
        <v/>
      </c>
      <c r="CUA2" t="str">
        <f>LEFT(Database!CUT2,3)</f>
        <v/>
      </c>
      <c r="CUB2" t="str">
        <f>LEFT(Database!CUU2,3)</f>
        <v/>
      </c>
      <c r="CUC2" t="str">
        <f>LEFT(Database!CUV2,3)</f>
        <v/>
      </c>
      <c r="CUD2" t="str">
        <f>LEFT(Database!CUW2,3)</f>
        <v/>
      </c>
      <c r="CUE2" t="str">
        <f>LEFT(Database!CUX2,3)</f>
        <v/>
      </c>
      <c r="CUF2" t="str">
        <f>LEFT(Database!CUY2,3)</f>
        <v/>
      </c>
      <c r="CUG2" t="str">
        <f>LEFT(Database!CUZ2,3)</f>
        <v/>
      </c>
      <c r="CUH2" t="str">
        <f>LEFT(Database!CVA2,3)</f>
        <v/>
      </c>
      <c r="CUI2" t="str">
        <f>LEFT(Database!CVB2,3)</f>
        <v/>
      </c>
      <c r="CUJ2" t="str">
        <f>LEFT(Database!CVC2,3)</f>
        <v/>
      </c>
      <c r="CUK2" t="str">
        <f>LEFT(Database!CVD2,3)</f>
        <v/>
      </c>
      <c r="CUL2" t="str">
        <f>LEFT(Database!CVE2,3)</f>
        <v/>
      </c>
      <c r="CUM2" t="str">
        <f>LEFT(Database!CVF2,3)</f>
        <v/>
      </c>
      <c r="CUN2" t="str">
        <f>LEFT(Database!CVG2,3)</f>
        <v/>
      </c>
      <c r="CUO2" t="str">
        <f>LEFT(Database!CVH2,3)</f>
        <v/>
      </c>
      <c r="CUP2" t="str">
        <f>LEFT(Database!CVI2,3)</f>
        <v/>
      </c>
      <c r="CUQ2" t="str">
        <f>LEFT(Database!CVJ2,3)</f>
        <v/>
      </c>
      <c r="CUR2" t="str">
        <f>LEFT(Database!CVK2,3)</f>
        <v/>
      </c>
      <c r="CUS2" t="str">
        <f>LEFT(Database!CVL2,3)</f>
        <v/>
      </c>
      <c r="CUT2" t="str">
        <f>LEFT(Database!CVM2,3)</f>
        <v/>
      </c>
      <c r="CUU2" t="str">
        <f>LEFT(Database!CVN2,3)</f>
        <v/>
      </c>
      <c r="CUV2" t="str">
        <f>LEFT(Database!CVO2,3)</f>
        <v/>
      </c>
      <c r="CUW2" t="str">
        <f>LEFT(Database!CVP2,3)</f>
        <v/>
      </c>
      <c r="CUX2" t="str">
        <f>LEFT(Database!CVQ2,3)</f>
        <v/>
      </c>
      <c r="CUY2" t="str">
        <f>LEFT(Database!CVR2,3)</f>
        <v/>
      </c>
      <c r="CUZ2" t="str">
        <f>LEFT(Database!CVS2,3)</f>
        <v/>
      </c>
      <c r="CVA2" t="str">
        <f>LEFT(Database!CVT2,3)</f>
        <v/>
      </c>
      <c r="CVB2" t="str">
        <f>LEFT(Database!CVU2,3)</f>
        <v/>
      </c>
      <c r="CVC2" t="str">
        <f>LEFT(Database!CVV2,3)</f>
        <v/>
      </c>
      <c r="CVD2" t="str">
        <f>LEFT(Database!CVW2,3)</f>
        <v/>
      </c>
      <c r="CVE2" t="str">
        <f>LEFT(Database!CVX2,3)</f>
        <v/>
      </c>
      <c r="CVF2" t="str">
        <f>LEFT(Database!CVY2,3)</f>
        <v/>
      </c>
      <c r="CVG2" t="str">
        <f>LEFT(Database!CVZ2,3)</f>
        <v/>
      </c>
      <c r="CVH2" t="str">
        <f>LEFT(Database!CWA2,3)</f>
        <v/>
      </c>
      <c r="CVI2" t="str">
        <f>LEFT(Database!CWB2,3)</f>
        <v/>
      </c>
      <c r="CVJ2" t="str">
        <f>LEFT(Database!CWC2,3)</f>
        <v/>
      </c>
      <c r="CVK2" t="str">
        <f>LEFT(Database!CWD2,3)</f>
        <v/>
      </c>
      <c r="CVL2" t="str">
        <f>LEFT(Database!CWE2,3)</f>
        <v/>
      </c>
      <c r="CVM2" t="str">
        <f>LEFT(Database!CWF2,3)</f>
        <v/>
      </c>
      <c r="CVN2" t="str">
        <f>LEFT(Database!CWG2,3)</f>
        <v/>
      </c>
      <c r="CVO2" t="str">
        <f>LEFT(Database!CWH2,3)</f>
        <v/>
      </c>
      <c r="CVP2" t="str">
        <f>LEFT(Database!CWI2,3)</f>
        <v/>
      </c>
      <c r="CVQ2" t="str">
        <f>LEFT(Database!CWJ2,3)</f>
        <v/>
      </c>
      <c r="CVR2" t="str">
        <f>LEFT(Database!CWK2,3)</f>
        <v/>
      </c>
      <c r="CVS2" t="str">
        <f>LEFT(Database!CWL2,3)</f>
        <v/>
      </c>
      <c r="CVT2" t="str">
        <f>LEFT(Database!CWM2,3)</f>
        <v/>
      </c>
      <c r="CVU2" t="str">
        <f>LEFT(Database!CWN2,3)</f>
        <v/>
      </c>
      <c r="CVV2" t="str">
        <f>LEFT(Database!CWO2,3)</f>
        <v/>
      </c>
      <c r="CVW2" t="str">
        <f>LEFT(Database!CWP2,3)</f>
        <v/>
      </c>
      <c r="CVX2" t="str">
        <f>LEFT(Database!CWQ2,3)</f>
        <v/>
      </c>
      <c r="CVY2" t="str">
        <f>LEFT(Database!CWR2,3)</f>
        <v/>
      </c>
      <c r="CVZ2" t="str">
        <f>LEFT(Database!CWS2,3)</f>
        <v/>
      </c>
      <c r="CWA2" t="str">
        <f>LEFT(Database!CWT2,3)</f>
        <v/>
      </c>
      <c r="CWB2" t="str">
        <f>LEFT(Database!CWU2,3)</f>
        <v/>
      </c>
      <c r="CWC2" t="str">
        <f>LEFT(Database!CWV2,3)</f>
        <v/>
      </c>
      <c r="CWD2" t="str">
        <f>LEFT(Database!CWW2,3)</f>
        <v/>
      </c>
      <c r="CWE2" t="str">
        <f>LEFT(Database!CWX2,3)</f>
        <v/>
      </c>
      <c r="CWF2" t="str">
        <f>LEFT(Database!CWY2,3)</f>
        <v/>
      </c>
      <c r="CWG2" t="str">
        <f>LEFT(Database!CWZ2,3)</f>
        <v/>
      </c>
      <c r="CWH2" t="str">
        <f>LEFT(Database!CXA2,3)</f>
        <v/>
      </c>
      <c r="CWI2" t="str">
        <f>LEFT(Database!CXB2,3)</f>
        <v/>
      </c>
      <c r="CWJ2" t="str">
        <f>LEFT(Database!CXC2,3)</f>
        <v/>
      </c>
      <c r="CWK2" t="str">
        <f>LEFT(Database!CXD2,3)</f>
        <v/>
      </c>
      <c r="CWL2" t="str">
        <f>LEFT(Database!CXE2,3)</f>
        <v/>
      </c>
      <c r="CWM2" t="str">
        <f>LEFT(Database!CXF2,3)</f>
        <v/>
      </c>
      <c r="CWN2" t="str">
        <f>LEFT(Database!CXG2,3)</f>
        <v/>
      </c>
      <c r="CWO2" t="str">
        <f>LEFT(Database!CXH2,3)</f>
        <v/>
      </c>
      <c r="CWP2" t="str">
        <f>LEFT(Database!CXI2,3)</f>
        <v/>
      </c>
      <c r="CWQ2" t="str">
        <f>LEFT(Database!CXJ2,3)</f>
        <v/>
      </c>
      <c r="CWR2" t="str">
        <f>LEFT(Database!CXK2,3)</f>
        <v/>
      </c>
      <c r="CWS2" t="str">
        <f>LEFT(Database!CXL2,3)</f>
        <v/>
      </c>
      <c r="CWT2" t="str">
        <f>LEFT(Database!CXM2,3)</f>
        <v/>
      </c>
      <c r="CWU2" t="str">
        <f>LEFT(Database!CXN2,3)</f>
        <v/>
      </c>
      <c r="CWV2" t="str">
        <f>LEFT(Database!CXO2,3)</f>
        <v/>
      </c>
      <c r="CWW2" t="str">
        <f>LEFT(Database!CXP2,3)</f>
        <v/>
      </c>
      <c r="CWX2" t="str">
        <f>LEFT(Database!CXQ2,3)</f>
        <v/>
      </c>
      <c r="CWY2" t="str">
        <f>LEFT(Database!CXR2,3)</f>
        <v/>
      </c>
      <c r="CWZ2" t="str">
        <f>LEFT(Database!CXS2,3)</f>
        <v/>
      </c>
      <c r="CXA2" t="str">
        <f>LEFT(Database!CXT2,3)</f>
        <v/>
      </c>
      <c r="CXB2" t="str">
        <f>LEFT(Database!CXU2,3)</f>
        <v/>
      </c>
      <c r="CXC2" t="str">
        <f>LEFT(Database!CXV2,3)</f>
        <v/>
      </c>
      <c r="CXD2" t="str">
        <f>LEFT(Database!CXW2,3)</f>
        <v/>
      </c>
      <c r="CXE2" t="str">
        <f>LEFT(Database!CXX2,3)</f>
        <v/>
      </c>
      <c r="CXF2" t="str">
        <f>LEFT(Database!CXY2,3)</f>
        <v/>
      </c>
      <c r="CXG2" t="str">
        <f>LEFT(Database!CXZ2,3)</f>
        <v/>
      </c>
      <c r="CXH2" t="str">
        <f>LEFT(Database!CYA2,3)</f>
        <v/>
      </c>
      <c r="CXI2" t="str">
        <f>LEFT(Database!CYB2,3)</f>
        <v/>
      </c>
      <c r="CXJ2" t="str">
        <f>LEFT(Database!CYC2,3)</f>
        <v/>
      </c>
      <c r="CXK2" t="str">
        <f>LEFT(Database!CYD2,3)</f>
        <v/>
      </c>
      <c r="CXL2" t="str">
        <f>LEFT(Database!CYE2,3)</f>
        <v/>
      </c>
      <c r="CXM2" t="str">
        <f>LEFT(Database!CYF2,3)</f>
        <v/>
      </c>
      <c r="CXN2" t="str">
        <f>LEFT(Database!CYG2,3)</f>
        <v/>
      </c>
      <c r="CXO2" t="str">
        <f>LEFT(Database!CYH2,3)</f>
        <v/>
      </c>
      <c r="CXP2" t="str">
        <f>LEFT(Database!CYI2,3)</f>
        <v/>
      </c>
      <c r="CXQ2" t="str">
        <f>LEFT(Database!CYJ2,3)</f>
        <v/>
      </c>
      <c r="CXR2" t="str">
        <f>LEFT(Database!CYK2,3)</f>
        <v/>
      </c>
      <c r="CXS2" t="str">
        <f>LEFT(Database!CYL2,3)</f>
        <v/>
      </c>
      <c r="CXT2" t="str">
        <f>LEFT(Database!CYM2,3)</f>
        <v/>
      </c>
      <c r="CXU2" t="str">
        <f>LEFT(Database!CYN2,3)</f>
        <v/>
      </c>
      <c r="CXV2" t="str">
        <f>LEFT(Database!CYO2,3)</f>
        <v/>
      </c>
      <c r="CXW2" t="str">
        <f>LEFT(Database!CYP2,3)</f>
        <v/>
      </c>
      <c r="CXX2" t="str">
        <f>LEFT(Database!CYQ2,3)</f>
        <v/>
      </c>
      <c r="CXY2" t="str">
        <f>LEFT(Database!CYR2,3)</f>
        <v/>
      </c>
      <c r="CXZ2" t="str">
        <f>LEFT(Database!CYS2,3)</f>
        <v/>
      </c>
      <c r="CYA2" t="str">
        <f>LEFT(Database!CYT2,3)</f>
        <v/>
      </c>
      <c r="CYB2" t="str">
        <f>LEFT(Database!CYU2,3)</f>
        <v/>
      </c>
      <c r="CYC2" t="str">
        <f>LEFT(Database!CYV2,3)</f>
        <v/>
      </c>
      <c r="CYD2" t="str">
        <f>LEFT(Database!CYW2,3)</f>
        <v/>
      </c>
      <c r="CYE2" t="str">
        <f>LEFT(Database!CYX2,3)</f>
        <v/>
      </c>
      <c r="CYF2" t="str">
        <f>LEFT(Database!CYY2,3)</f>
        <v/>
      </c>
      <c r="CYG2" t="str">
        <f>LEFT(Database!CYZ2,3)</f>
        <v/>
      </c>
      <c r="CYH2" t="str">
        <f>LEFT(Database!CZA2,3)</f>
        <v/>
      </c>
      <c r="CYI2" t="str">
        <f>LEFT(Database!CZB2,3)</f>
        <v/>
      </c>
      <c r="CYJ2" t="str">
        <f>LEFT(Database!CZC2,3)</f>
        <v/>
      </c>
      <c r="CYK2" t="str">
        <f>LEFT(Database!CZD2,3)</f>
        <v/>
      </c>
      <c r="CYL2" t="str">
        <f>LEFT(Database!CZE2,3)</f>
        <v/>
      </c>
      <c r="CYM2" t="str">
        <f>LEFT(Database!CZF2,3)</f>
        <v/>
      </c>
      <c r="CYN2" t="str">
        <f>LEFT(Database!CZG2,3)</f>
        <v/>
      </c>
      <c r="CYO2" t="str">
        <f>LEFT(Database!CZH2,3)</f>
        <v/>
      </c>
      <c r="CYP2" t="str">
        <f>LEFT(Database!CZI2,3)</f>
        <v/>
      </c>
      <c r="CYQ2" t="str">
        <f>LEFT(Database!CZJ2,3)</f>
        <v/>
      </c>
      <c r="CYR2" t="str">
        <f>LEFT(Database!CZK2,3)</f>
        <v/>
      </c>
      <c r="CYS2" t="str">
        <f>LEFT(Database!CZL2,3)</f>
        <v/>
      </c>
      <c r="CYT2" t="str">
        <f>LEFT(Database!CZM2,3)</f>
        <v/>
      </c>
      <c r="CYU2" t="str">
        <f>LEFT(Database!CZN2,3)</f>
        <v/>
      </c>
      <c r="CYV2" t="str">
        <f>LEFT(Database!CZO2,3)</f>
        <v/>
      </c>
      <c r="CYW2" t="str">
        <f>LEFT(Database!CZP2,3)</f>
        <v/>
      </c>
      <c r="CYX2" t="str">
        <f>LEFT(Database!CZQ2,3)</f>
        <v/>
      </c>
      <c r="CYY2" t="str">
        <f>LEFT(Database!CZR2,3)</f>
        <v/>
      </c>
      <c r="CYZ2" t="str">
        <f>LEFT(Database!CZS2,3)</f>
        <v/>
      </c>
      <c r="CZA2" t="str">
        <f>LEFT(Database!CZT2,3)</f>
        <v/>
      </c>
      <c r="CZB2" t="str">
        <f>LEFT(Database!CZU2,3)</f>
        <v/>
      </c>
      <c r="CZC2" t="str">
        <f>LEFT(Database!CZV2,3)</f>
        <v/>
      </c>
      <c r="CZD2" t="str">
        <f>LEFT(Database!CZW2,3)</f>
        <v/>
      </c>
      <c r="CZE2" t="str">
        <f>LEFT(Database!CZX2,3)</f>
        <v/>
      </c>
      <c r="CZF2" t="str">
        <f>LEFT(Database!CZY2,3)</f>
        <v/>
      </c>
      <c r="CZG2" t="str">
        <f>LEFT(Database!CZZ2,3)</f>
        <v/>
      </c>
      <c r="CZH2" t="str">
        <f>LEFT(Database!DAA2,3)</f>
        <v/>
      </c>
      <c r="CZI2" t="str">
        <f>LEFT(Database!DAB2,3)</f>
        <v/>
      </c>
      <c r="CZJ2" t="str">
        <f>LEFT(Database!DAC2,3)</f>
        <v/>
      </c>
      <c r="CZK2" t="str">
        <f>LEFT(Database!DAD2,3)</f>
        <v/>
      </c>
      <c r="CZL2" t="str">
        <f>LEFT(Database!DAE2,3)</f>
        <v/>
      </c>
      <c r="CZM2" t="str">
        <f>LEFT(Database!DAF2,3)</f>
        <v/>
      </c>
      <c r="CZN2" t="str">
        <f>LEFT(Database!DAG2,3)</f>
        <v/>
      </c>
      <c r="CZO2" t="str">
        <f>LEFT(Database!DAH2,3)</f>
        <v/>
      </c>
      <c r="CZP2" t="str">
        <f>LEFT(Database!DAI2,3)</f>
        <v/>
      </c>
      <c r="CZQ2" t="str">
        <f>LEFT(Database!DAJ2,3)</f>
        <v/>
      </c>
      <c r="CZR2" t="str">
        <f>LEFT(Database!DAK2,3)</f>
        <v/>
      </c>
      <c r="CZS2" t="str">
        <f>LEFT(Database!DAL2,3)</f>
        <v/>
      </c>
      <c r="CZT2" t="str">
        <f>LEFT(Database!DAM2,3)</f>
        <v/>
      </c>
      <c r="CZU2" t="str">
        <f>LEFT(Database!DAN2,3)</f>
        <v/>
      </c>
      <c r="CZV2" t="str">
        <f>LEFT(Database!DAO2,3)</f>
        <v/>
      </c>
      <c r="CZW2" t="str">
        <f>LEFT(Database!DAP2,3)</f>
        <v/>
      </c>
      <c r="CZX2" t="str">
        <f>LEFT(Database!DAQ2,3)</f>
        <v/>
      </c>
      <c r="CZY2" t="str">
        <f>LEFT(Database!DAR2,3)</f>
        <v/>
      </c>
      <c r="CZZ2" t="str">
        <f>LEFT(Database!DAS2,3)</f>
        <v/>
      </c>
      <c r="DAA2" t="str">
        <f>LEFT(Database!DAT2,3)</f>
        <v/>
      </c>
      <c r="DAB2" t="str">
        <f>LEFT(Database!DAU2,3)</f>
        <v/>
      </c>
      <c r="DAC2" t="str">
        <f>LEFT(Database!DAV2,3)</f>
        <v/>
      </c>
      <c r="DAD2" t="str">
        <f>LEFT(Database!DAW2,3)</f>
        <v/>
      </c>
      <c r="DAE2" t="str">
        <f>LEFT(Database!DAX2,3)</f>
        <v/>
      </c>
      <c r="DAF2" t="str">
        <f>LEFT(Database!DAY2,3)</f>
        <v/>
      </c>
      <c r="DAG2" t="str">
        <f>LEFT(Database!DAZ2,3)</f>
        <v/>
      </c>
      <c r="DAH2" t="str">
        <f>LEFT(Database!DBA2,3)</f>
        <v/>
      </c>
      <c r="DAI2" t="str">
        <f>LEFT(Database!DBB2,3)</f>
        <v/>
      </c>
      <c r="DAJ2" t="str">
        <f>LEFT(Database!DBC2,3)</f>
        <v/>
      </c>
      <c r="DAK2" t="str">
        <f>LEFT(Database!DBD2,3)</f>
        <v/>
      </c>
      <c r="DAL2" t="str">
        <f>LEFT(Database!DBE2,3)</f>
        <v/>
      </c>
      <c r="DAM2" t="str">
        <f>LEFT(Database!DBF2,3)</f>
        <v/>
      </c>
      <c r="DAN2" t="str">
        <f>LEFT(Database!DBG2,3)</f>
        <v/>
      </c>
      <c r="DAO2" t="str">
        <f>LEFT(Database!DBH2,3)</f>
        <v/>
      </c>
      <c r="DAP2" t="str">
        <f>LEFT(Database!DBI2,3)</f>
        <v/>
      </c>
      <c r="DAQ2" t="str">
        <f>LEFT(Database!DBJ2,3)</f>
        <v/>
      </c>
      <c r="DAR2" t="str">
        <f>LEFT(Database!DBK2,3)</f>
        <v/>
      </c>
      <c r="DAS2" t="str">
        <f>LEFT(Database!DBL2,3)</f>
        <v/>
      </c>
      <c r="DAT2" t="str">
        <f>LEFT(Database!DBM2,3)</f>
        <v/>
      </c>
      <c r="DAU2" t="str">
        <f>LEFT(Database!DBN2,3)</f>
        <v/>
      </c>
      <c r="DAV2" t="str">
        <f>LEFT(Database!DBO2,3)</f>
        <v/>
      </c>
      <c r="DAW2" t="str">
        <f>LEFT(Database!DBP2,3)</f>
        <v/>
      </c>
      <c r="DAX2" t="str">
        <f>LEFT(Database!DBQ2,3)</f>
        <v/>
      </c>
      <c r="DAY2" t="str">
        <f>LEFT(Database!DBR2,3)</f>
        <v/>
      </c>
      <c r="DAZ2" t="str">
        <f>LEFT(Database!DBS2,3)</f>
        <v/>
      </c>
      <c r="DBA2" t="str">
        <f>LEFT(Database!DBT2,3)</f>
        <v/>
      </c>
      <c r="DBB2" t="str">
        <f>LEFT(Database!DBU2,3)</f>
        <v/>
      </c>
      <c r="DBC2" t="str">
        <f>LEFT(Database!DBV2,3)</f>
        <v/>
      </c>
      <c r="DBD2" t="str">
        <f>LEFT(Database!DBW2,3)</f>
        <v/>
      </c>
      <c r="DBE2" t="str">
        <f>LEFT(Database!DBX2,3)</f>
        <v/>
      </c>
      <c r="DBF2" t="str">
        <f>LEFT(Database!DBY2,3)</f>
        <v/>
      </c>
      <c r="DBG2" t="str">
        <f>LEFT(Database!DBZ2,3)</f>
        <v/>
      </c>
      <c r="DBH2" t="str">
        <f>LEFT(Database!DCA2,3)</f>
        <v/>
      </c>
      <c r="DBI2" t="str">
        <f>LEFT(Database!DCB2,3)</f>
        <v/>
      </c>
      <c r="DBJ2" t="str">
        <f>LEFT(Database!DCC2,3)</f>
        <v/>
      </c>
      <c r="DBK2" t="str">
        <f>LEFT(Database!DCD2,3)</f>
        <v/>
      </c>
      <c r="DBL2" t="str">
        <f>LEFT(Database!DCE2,3)</f>
        <v/>
      </c>
      <c r="DBM2" t="str">
        <f>LEFT(Database!DCF2,3)</f>
        <v/>
      </c>
      <c r="DBN2" t="str">
        <f>LEFT(Database!DCG2,3)</f>
        <v/>
      </c>
      <c r="DBO2" t="str">
        <f>LEFT(Database!DCH2,3)</f>
        <v/>
      </c>
      <c r="DBP2" t="str">
        <f>LEFT(Database!DCI2,3)</f>
        <v/>
      </c>
      <c r="DBQ2" t="str">
        <f>LEFT(Database!DCJ2,3)</f>
        <v/>
      </c>
      <c r="DBR2" t="str">
        <f>LEFT(Database!DCK2,3)</f>
        <v/>
      </c>
      <c r="DBS2" t="str">
        <f>LEFT(Database!DCL2,3)</f>
        <v/>
      </c>
      <c r="DBT2" t="str">
        <f>LEFT(Database!DCM2,3)</f>
        <v/>
      </c>
      <c r="DBU2" t="str">
        <f>LEFT(Database!DCN2,3)</f>
        <v/>
      </c>
      <c r="DBV2" t="str">
        <f>LEFT(Database!DCO2,3)</f>
        <v/>
      </c>
      <c r="DBW2" t="str">
        <f>LEFT(Database!DCP2,3)</f>
        <v/>
      </c>
      <c r="DBX2" t="str">
        <f>LEFT(Database!DCQ2,3)</f>
        <v/>
      </c>
      <c r="DBY2" t="str">
        <f>LEFT(Database!DCR2,3)</f>
        <v/>
      </c>
      <c r="DBZ2" t="str">
        <f>LEFT(Database!DCS2,3)</f>
        <v/>
      </c>
      <c r="DCA2" t="str">
        <f>LEFT(Database!DCT2,3)</f>
        <v/>
      </c>
      <c r="DCB2" t="str">
        <f>LEFT(Database!DCU2,3)</f>
        <v/>
      </c>
      <c r="DCC2" t="str">
        <f>LEFT(Database!DCV2,3)</f>
        <v/>
      </c>
      <c r="DCD2" t="str">
        <f>LEFT(Database!DCW2,3)</f>
        <v/>
      </c>
      <c r="DCE2" t="str">
        <f>LEFT(Database!DCX2,3)</f>
        <v/>
      </c>
      <c r="DCF2" t="str">
        <f>LEFT(Database!DCY2,3)</f>
        <v/>
      </c>
      <c r="DCG2" t="str">
        <f>LEFT(Database!DCZ2,3)</f>
        <v/>
      </c>
      <c r="DCH2" t="str">
        <f>LEFT(Database!DDA2,3)</f>
        <v/>
      </c>
      <c r="DCI2" t="str">
        <f>LEFT(Database!DDB2,3)</f>
        <v/>
      </c>
      <c r="DCJ2" t="str">
        <f>LEFT(Database!DDC2,3)</f>
        <v/>
      </c>
      <c r="DCK2" t="str">
        <f>LEFT(Database!DDD2,3)</f>
        <v/>
      </c>
      <c r="DCL2" t="str">
        <f>LEFT(Database!DDE2,3)</f>
        <v/>
      </c>
      <c r="DCM2" t="str">
        <f>LEFT(Database!DDF2,3)</f>
        <v/>
      </c>
      <c r="DCN2" t="str">
        <f>LEFT(Database!DDG2,3)</f>
        <v/>
      </c>
      <c r="DCO2" t="str">
        <f>LEFT(Database!DDH2,3)</f>
        <v/>
      </c>
      <c r="DCP2" t="str">
        <f>LEFT(Database!DDI2,3)</f>
        <v/>
      </c>
      <c r="DCQ2" t="str">
        <f>LEFT(Database!DDJ2,3)</f>
        <v/>
      </c>
      <c r="DCR2" t="str">
        <f>LEFT(Database!DDK2,3)</f>
        <v/>
      </c>
      <c r="DCS2" t="str">
        <f>LEFT(Database!DDL2,3)</f>
        <v/>
      </c>
      <c r="DCT2" t="str">
        <f>LEFT(Database!DDM2,3)</f>
        <v/>
      </c>
      <c r="DCU2" t="str">
        <f>LEFT(Database!DDN2,3)</f>
        <v/>
      </c>
      <c r="DCV2" t="str">
        <f>LEFT(Database!DDO2,3)</f>
        <v/>
      </c>
      <c r="DCW2" t="str">
        <f>LEFT(Database!DDP2,3)</f>
        <v/>
      </c>
      <c r="DCX2" t="str">
        <f>LEFT(Database!DDQ2,3)</f>
        <v/>
      </c>
      <c r="DCY2" t="str">
        <f>LEFT(Database!DDR2,3)</f>
        <v/>
      </c>
      <c r="DCZ2" t="str">
        <f>LEFT(Database!DDS2,3)</f>
        <v/>
      </c>
      <c r="DDA2" t="str">
        <f>LEFT(Database!DDT2,3)</f>
        <v/>
      </c>
      <c r="DDB2" t="str">
        <f>LEFT(Database!DDU2,3)</f>
        <v/>
      </c>
      <c r="DDC2" t="str">
        <f>LEFT(Database!DDV2,3)</f>
        <v/>
      </c>
      <c r="DDD2" t="str">
        <f>LEFT(Database!DDW2,3)</f>
        <v/>
      </c>
      <c r="DDE2" t="str">
        <f>LEFT(Database!DDX2,3)</f>
        <v/>
      </c>
      <c r="DDF2" t="str">
        <f>LEFT(Database!DDY2,3)</f>
        <v/>
      </c>
      <c r="DDG2" t="str">
        <f>LEFT(Database!DDZ2,3)</f>
        <v/>
      </c>
      <c r="DDH2" t="str">
        <f>LEFT(Database!DEA2,3)</f>
        <v/>
      </c>
      <c r="DDI2" t="str">
        <f>LEFT(Database!DEB2,3)</f>
        <v/>
      </c>
      <c r="DDJ2" t="str">
        <f>LEFT(Database!DEC2,3)</f>
        <v/>
      </c>
      <c r="DDK2" t="str">
        <f>LEFT(Database!DED2,3)</f>
        <v/>
      </c>
      <c r="DDL2" t="str">
        <f>LEFT(Database!DEE2,3)</f>
        <v/>
      </c>
      <c r="DDM2" t="str">
        <f>LEFT(Database!DEF2,3)</f>
        <v/>
      </c>
      <c r="DDN2" t="str">
        <f>LEFT(Database!DEG2,3)</f>
        <v/>
      </c>
      <c r="DDO2" t="str">
        <f>LEFT(Database!DEH2,3)</f>
        <v/>
      </c>
      <c r="DDP2" t="str">
        <f>LEFT(Database!DEI2,3)</f>
        <v/>
      </c>
      <c r="DDQ2" t="str">
        <f>LEFT(Database!DEJ2,3)</f>
        <v/>
      </c>
      <c r="DDR2" t="str">
        <f>LEFT(Database!DEK2,3)</f>
        <v/>
      </c>
      <c r="DDS2" t="str">
        <f>LEFT(Database!DEL2,3)</f>
        <v/>
      </c>
      <c r="DDT2" t="str">
        <f>LEFT(Database!DEM2,3)</f>
        <v/>
      </c>
      <c r="DDU2" t="str">
        <f>LEFT(Database!DEN2,3)</f>
        <v/>
      </c>
      <c r="DDV2" t="str">
        <f>LEFT(Database!DEO2,3)</f>
        <v/>
      </c>
      <c r="DDW2" t="str">
        <f>LEFT(Database!DEP2,3)</f>
        <v/>
      </c>
      <c r="DDX2" t="str">
        <f>LEFT(Database!DEQ2,3)</f>
        <v/>
      </c>
      <c r="DDY2" t="str">
        <f>LEFT(Database!DER2,3)</f>
        <v/>
      </c>
      <c r="DDZ2" t="str">
        <f>LEFT(Database!DES2,3)</f>
        <v/>
      </c>
      <c r="DEA2" t="str">
        <f>LEFT(Database!DET2,3)</f>
        <v/>
      </c>
      <c r="DEB2" t="str">
        <f>LEFT(Database!DEU2,3)</f>
        <v/>
      </c>
      <c r="DEC2" t="str">
        <f>LEFT(Database!DEV2,3)</f>
        <v/>
      </c>
      <c r="DED2" t="str">
        <f>LEFT(Database!DEW2,3)</f>
        <v/>
      </c>
      <c r="DEE2" t="str">
        <f>LEFT(Database!DEX2,3)</f>
        <v/>
      </c>
      <c r="DEF2" t="str">
        <f>LEFT(Database!DEY2,3)</f>
        <v/>
      </c>
      <c r="DEG2" t="str">
        <f>LEFT(Database!DEZ2,3)</f>
        <v/>
      </c>
      <c r="DEH2" t="str">
        <f>LEFT(Database!DFA2,3)</f>
        <v/>
      </c>
      <c r="DEI2" t="str">
        <f>LEFT(Database!DFB2,3)</f>
        <v/>
      </c>
      <c r="DEJ2" t="str">
        <f>LEFT(Database!DFC2,3)</f>
        <v/>
      </c>
      <c r="DEK2" t="str">
        <f>LEFT(Database!DFD2,3)</f>
        <v/>
      </c>
      <c r="DEL2" t="str">
        <f>LEFT(Database!DFE2,3)</f>
        <v/>
      </c>
      <c r="DEM2" t="str">
        <f>LEFT(Database!DFF2,3)</f>
        <v/>
      </c>
      <c r="DEN2" t="str">
        <f>LEFT(Database!DFG2,3)</f>
        <v/>
      </c>
      <c r="DEO2" t="str">
        <f>LEFT(Database!DFH2,3)</f>
        <v/>
      </c>
      <c r="DEP2" t="str">
        <f>LEFT(Database!DFI2,3)</f>
        <v/>
      </c>
      <c r="DEQ2" t="str">
        <f>LEFT(Database!DFJ2,3)</f>
        <v/>
      </c>
      <c r="DER2" t="str">
        <f>LEFT(Database!DFK2,3)</f>
        <v/>
      </c>
      <c r="DES2" t="str">
        <f>LEFT(Database!DFL2,3)</f>
        <v/>
      </c>
      <c r="DET2" t="str">
        <f>LEFT(Database!DFM2,3)</f>
        <v/>
      </c>
      <c r="DEU2" t="str">
        <f>LEFT(Database!DFN2,3)</f>
        <v/>
      </c>
      <c r="DEV2" t="str">
        <f>LEFT(Database!DFO2,3)</f>
        <v/>
      </c>
      <c r="DEW2" t="str">
        <f>LEFT(Database!DFP2,3)</f>
        <v/>
      </c>
      <c r="DEX2" t="str">
        <f>LEFT(Database!DFQ2,3)</f>
        <v/>
      </c>
      <c r="DEY2" t="str">
        <f>LEFT(Database!DFR2,3)</f>
        <v/>
      </c>
      <c r="DEZ2" t="str">
        <f>LEFT(Database!DFS2,3)</f>
        <v/>
      </c>
      <c r="DFA2" t="str">
        <f>LEFT(Database!DFT2,3)</f>
        <v/>
      </c>
      <c r="DFB2" t="str">
        <f>LEFT(Database!DFU2,3)</f>
        <v/>
      </c>
      <c r="DFC2" t="str">
        <f>LEFT(Database!DFV2,3)</f>
        <v/>
      </c>
      <c r="DFD2" t="str">
        <f>LEFT(Database!DFW2,3)</f>
        <v/>
      </c>
      <c r="DFE2" t="str">
        <f>LEFT(Database!DFX2,3)</f>
        <v/>
      </c>
      <c r="DFF2" t="str">
        <f>LEFT(Database!DFY2,3)</f>
        <v/>
      </c>
      <c r="DFG2" t="str">
        <f>LEFT(Database!DFZ2,3)</f>
        <v/>
      </c>
      <c r="DFH2" t="str">
        <f>LEFT(Database!DGA2,3)</f>
        <v/>
      </c>
      <c r="DFI2" t="str">
        <f>LEFT(Database!DGB2,3)</f>
        <v/>
      </c>
      <c r="DFJ2" t="str">
        <f>LEFT(Database!DGC2,3)</f>
        <v/>
      </c>
      <c r="DFK2" t="str">
        <f>LEFT(Database!DGD2,3)</f>
        <v/>
      </c>
      <c r="DFL2" t="str">
        <f>LEFT(Database!DGE2,3)</f>
        <v/>
      </c>
      <c r="DFM2" t="str">
        <f>LEFT(Database!DGF2,3)</f>
        <v/>
      </c>
      <c r="DFN2" t="str">
        <f>LEFT(Database!DGG2,3)</f>
        <v/>
      </c>
      <c r="DFO2" t="str">
        <f>LEFT(Database!DGH2,3)</f>
        <v/>
      </c>
      <c r="DFP2" t="str">
        <f>LEFT(Database!DGI2,3)</f>
        <v/>
      </c>
      <c r="DFQ2" t="str">
        <f>LEFT(Database!DGJ2,3)</f>
        <v/>
      </c>
      <c r="DFR2" t="str">
        <f>LEFT(Database!DGK2,3)</f>
        <v/>
      </c>
      <c r="DFS2" t="str">
        <f>LEFT(Database!DGL2,3)</f>
        <v/>
      </c>
      <c r="DFT2" t="str">
        <f>LEFT(Database!DGM2,3)</f>
        <v/>
      </c>
      <c r="DFU2" t="str">
        <f>LEFT(Database!DGN2,3)</f>
        <v/>
      </c>
      <c r="DFV2" t="str">
        <f>LEFT(Database!DGO2,3)</f>
        <v/>
      </c>
      <c r="DFW2" t="str">
        <f>LEFT(Database!DGP2,3)</f>
        <v/>
      </c>
      <c r="DFX2" t="str">
        <f>LEFT(Database!DGQ2,3)</f>
        <v/>
      </c>
      <c r="DFY2" t="str">
        <f>LEFT(Database!DGR2,3)</f>
        <v/>
      </c>
      <c r="DFZ2" t="str">
        <f>LEFT(Database!DGS2,3)</f>
        <v/>
      </c>
      <c r="DGA2" t="str">
        <f>LEFT(Database!DGT2,3)</f>
        <v/>
      </c>
      <c r="DGB2" t="str">
        <f>LEFT(Database!DGU2,3)</f>
        <v/>
      </c>
      <c r="DGC2" t="str">
        <f>LEFT(Database!DGV2,3)</f>
        <v/>
      </c>
      <c r="DGD2" t="str">
        <f>LEFT(Database!DGW2,3)</f>
        <v/>
      </c>
      <c r="DGE2" t="str">
        <f>LEFT(Database!DGX2,3)</f>
        <v/>
      </c>
      <c r="DGF2" t="str">
        <f>LEFT(Database!DGY2,3)</f>
        <v/>
      </c>
      <c r="DGG2" t="str">
        <f>LEFT(Database!DGZ2,3)</f>
        <v/>
      </c>
      <c r="DGH2" t="str">
        <f>LEFT(Database!DHA2,3)</f>
        <v/>
      </c>
      <c r="DGI2" t="str">
        <f>LEFT(Database!DHB2,3)</f>
        <v/>
      </c>
      <c r="DGJ2" t="str">
        <f>LEFT(Database!DHC2,3)</f>
        <v/>
      </c>
      <c r="DGK2" t="str">
        <f>LEFT(Database!DHD2,3)</f>
        <v/>
      </c>
      <c r="DGL2" t="str">
        <f>LEFT(Database!DHE2,3)</f>
        <v/>
      </c>
      <c r="DGM2" t="str">
        <f>LEFT(Database!DHF2,3)</f>
        <v/>
      </c>
      <c r="DGN2" t="str">
        <f>LEFT(Database!DHG2,3)</f>
        <v/>
      </c>
      <c r="DGO2" t="str">
        <f>LEFT(Database!DHH2,3)</f>
        <v/>
      </c>
      <c r="DGP2" t="str">
        <f>LEFT(Database!DHI2,3)</f>
        <v/>
      </c>
      <c r="DGQ2" t="str">
        <f>LEFT(Database!DHJ2,3)</f>
        <v/>
      </c>
      <c r="DGR2" t="str">
        <f>LEFT(Database!DHK2,3)</f>
        <v/>
      </c>
      <c r="DGS2" t="str">
        <f>LEFT(Database!DHL2,3)</f>
        <v/>
      </c>
      <c r="DGT2" t="str">
        <f>LEFT(Database!DHM2,3)</f>
        <v/>
      </c>
      <c r="DGU2" t="str">
        <f>LEFT(Database!DHN2,3)</f>
        <v/>
      </c>
      <c r="DGV2" t="str">
        <f>LEFT(Database!DHO2,3)</f>
        <v/>
      </c>
      <c r="DGW2" t="str">
        <f>LEFT(Database!DHP2,3)</f>
        <v/>
      </c>
      <c r="DGX2" t="str">
        <f>LEFT(Database!DHQ2,3)</f>
        <v/>
      </c>
      <c r="DGY2" t="str">
        <f>LEFT(Database!DHR2,3)</f>
        <v/>
      </c>
      <c r="DGZ2" t="str">
        <f>LEFT(Database!DHS2,3)</f>
        <v/>
      </c>
      <c r="DHA2" t="str">
        <f>LEFT(Database!DHT2,3)</f>
        <v/>
      </c>
      <c r="DHB2" t="str">
        <f>LEFT(Database!DHU2,3)</f>
        <v/>
      </c>
      <c r="DHC2" t="str">
        <f>LEFT(Database!DHV2,3)</f>
        <v/>
      </c>
      <c r="DHD2" t="str">
        <f>LEFT(Database!DHW2,3)</f>
        <v/>
      </c>
      <c r="DHE2" t="str">
        <f>LEFT(Database!DHX2,3)</f>
        <v/>
      </c>
      <c r="DHF2" t="str">
        <f>LEFT(Database!DHY2,3)</f>
        <v/>
      </c>
      <c r="DHG2" t="str">
        <f>LEFT(Database!DHZ2,3)</f>
        <v/>
      </c>
      <c r="DHH2" t="str">
        <f>LEFT(Database!DIA2,3)</f>
        <v/>
      </c>
      <c r="DHI2" t="str">
        <f>LEFT(Database!DIB2,3)</f>
        <v/>
      </c>
      <c r="DHJ2" t="str">
        <f>LEFT(Database!DIC2,3)</f>
        <v/>
      </c>
      <c r="DHK2" t="str">
        <f>LEFT(Database!DID2,3)</f>
        <v/>
      </c>
      <c r="DHL2" t="str">
        <f>LEFT(Database!DIE2,3)</f>
        <v/>
      </c>
      <c r="DHM2" t="str">
        <f>LEFT(Database!DIF2,3)</f>
        <v/>
      </c>
      <c r="DHN2" t="str">
        <f>LEFT(Database!DIG2,3)</f>
        <v/>
      </c>
      <c r="DHO2" t="str">
        <f>LEFT(Database!DIH2,3)</f>
        <v/>
      </c>
      <c r="DHP2" t="str">
        <f>LEFT(Database!DII2,3)</f>
        <v/>
      </c>
      <c r="DHQ2" t="str">
        <f>LEFT(Database!DIJ2,3)</f>
        <v/>
      </c>
      <c r="DHR2" t="str">
        <f>LEFT(Database!DIK2,3)</f>
        <v/>
      </c>
      <c r="DHS2" t="str">
        <f>LEFT(Database!DIL2,3)</f>
        <v/>
      </c>
      <c r="DHT2" t="str">
        <f>LEFT(Database!DIM2,3)</f>
        <v/>
      </c>
      <c r="DHU2" t="str">
        <f>LEFT(Database!DIN2,3)</f>
        <v/>
      </c>
      <c r="DHV2" t="str">
        <f>LEFT(Database!DIO2,3)</f>
        <v/>
      </c>
      <c r="DHW2" t="str">
        <f>LEFT(Database!DIP2,3)</f>
        <v/>
      </c>
      <c r="DHX2" t="str">
        <f>LEFT(Database!DIQ2,3)</f>
        <v/>
      </c>
      <c r="DHY2" t="str">
        <f>LEFT(Database!DIR2,3)</f>
        <v/>
      </c>
      <c r="DHZ2" t="str">
        <f>LEFT(Database!DIS2,3)</f>
        <v/>
      </c>
      <c r="DIA2" t="str">
        <f>LEFT(Database!DIT2,3)</f>
        <v/>
      </c>
      <c r="DIB2" t="str">
        <f>LEFT(Database!DIU2,3)</f>
        <v/>
      </c>
      <c r="DIC2" t="str">
        <f>LEFT(Database!DIV2,3)</f>
        <v/>
      </c>
      <c r="DID2" t="str">
        <f>LEFT(Database!DIW2,3)</f>
        <v/>
      </c>
      <c r="DIE2" t="str">
        <f>LEFT(Database!DIX2,3)</f>
        <v/>
      </c>
      <c r="DIF2" t="str">
        <f>LEFT(Database!DIY2,3)</f>
        <v/>
      </c>
      <c r="DIG2" t="str">
        <f>LEFT(Database!DIZ2,3)</f>
        <v/>
      </c>
      <c r="DIH2" t="str">
        <f>LEFT(Database!DJA2,3)</f>
        <v/>
      </c>
      <c r="DII2" t="str">
        <f>LEFT(Database!DJB2,3)</f>
        <v/>
      </c>
      <c r="DIJ2" t="str">
        <f>LEFT(Database!DJC2,3)</f>
        <v/>
      </c>
      <c r="DIK2" t="str">
        <f>LEFT(Database!DJD2,3)</f>
        <v/>
      </c>
      <c r="DIL2" t="str">
        <f>LEFT(Database!DJE2,3)</f>
        <v/>
      </c>
      <c r="DIM2" t="str">
        <f>LEFT(Database!DJF2,3)</f>
        <v/>
      </c>
      <c r="DIN2" t="str">
        <f>LEFT(Database!DJG2,3)</f>
        <v/>
      </c>
      <c r="DIO2" t="str">
        <f>LEFT(Database!DJH2,3)</f>
        <v/>
      </c>
      <c r="DIP2" t="str">
        <f>LEFT(Database!DJI2,3)</f>
        <v/>
      </c>
      <c r="DIQ2" t="str">
        <f>LEFT(Database!DJJ2,3)</f>
        <v/>
      </c>
      <c r="DIR2" t="str">
        <f>LEFT(Database!DJK2,3)</f>
        <v/>
      </c>
      <c r="DIS2" t="str">
        <f>LEFT(Database!DJL2,3)</f>
        <v/>
      </c>
      <c r="DIT2" t="str">
        <f>LEFT(Database!DJM2,3)</f>
        <v/>
      </c>
      <c r="DIU2" t="str">
        <f>LEFT(Database!DJN2,3)</f>
        <v/>
      </c>
      <c r="DIV2" t="str">
        <f>LEFT(Database!DJO2,3)</f>
        <v/>
      </c>
      <c r="DIW2" t="str">
        <f>LEFT(Database!DJP2,3)</f>
        <v/>
      </c>
      <c r="DIX2" t="str">
        <f>LEFT(Database!DJQ2,3)</f>
        <v/>
      </c>
      <c r="DIY2" t="str">
        <f>LEFT(Database!DJR2,3)</f>
        <v/>
      </c>
      <c r="DIZ2" t="str">
        <f>LEFT(Database!DJS2,3)</f>
        <v/>
      </c>
      <c r="DJA2" t="str">
        <f>LEFT(Database!DJT2,3)</f>
        <v/>
      </c>
      <c r="DJB2" t="str">
        <f>LEFT(Database!DJU2,3)</f>
        <v/>
      </c>
      <c r="DJC2" t="str">
        <f>LEFT(Database!DJV2,3)</f>
        <v/>
      </c>
      <c r="DJD2" t="str">
        <f>LEFT(Database!DJW2,3)</f>
        <v/>
      </c>
      <c r="DJE2" t="str">
        <f>LEFT(Database!DJX2,3)</f>
        <v/>
      </c>
      <c r="DJF2" t="str">
        <f>LEFT(Database!DJY2,3)</f>
        <v/>
      </c>
      <c r="DJG2" t="str">
        <f>LEFT(Database!DJZ2,3)</f>
        <v/>
      </c>
      <c r="DJH2" t="str">
        <f>LEFT(Database!DKA2,3)</f>
        <v/>
      </c>
      <c r="DJI2" t="str">
        <f>LEFT(Database!DKB2,3)</f>
        <v/>
      </c>
      <c r="DJJ2" t="str">
        <f>LEFT(Database!DKC2,3)</f>
        <v/>
      </c>
      <c r="DJK2" t="str">
        <f>LEFT(Database!DKD2,3)</f>
        <v/>
      </c>
      <c r="DJL2" t="str">
        <f>LEFT(Database!DKE2,3)</f>
        <v/>
      </c>
      <c r="DJM2" t="str">
        <f>LEFT(Database!DKF2,3)</f>
        <v/>
      </c>
      <c r="DJN2" t="str">
        <f>LEFT(Database!DKG2,3)</f>
        <v/>
      </c>
      <c r="DJO2" t="str">
        <f>LEFT(Database!DKH2,3)</f>
        <v/>
      </c>
      <c r="DJP2" t="str">
        <f>LEFT(Database!DKI2,3)</f>
        <v/>
      </c>
      <c r="DJQ2" t="str">
        <f>LEFT(Database!DKJ2,3)</f>
        <v/>
      </c>
      <c r="DJR2" t="str">
        <f>LEFT(Database!DKK2,3)</f>
        <v/>
      </c>
      <c r="DJS2" t="str">
        <f>LEFT(Database!DKL2,3)</f>
        <v/>
      </c>
      <c r="DJT2" t="str">
        <f>LEFT(Database!DKM2,3)</f>
        <v/>
      </c>
      <c r="DJU2" t="str">
        <f>LEFT(Database!DKN2,3)</f>
        <v/>
      </c>
      <c r="DJV2" t="str">
        <f>LEFT(Database!DKO2,3)</f>
        <v/>
      </c>
      <c r="DJW2" t="str">
        <f>LEFT(Database!DKP2,3)</f>
        <v/>
      </c>
      <c r="DJX2" t="str">
        <f>LEFT(Database!DKQ2,3)</f>
        <v/>
      </c>
      <c r="DJY2" t="str">
        <f>LEFT(Database!DKR2,3)</f>
        <v/>
      </c>
      <c r="DJZ2" t="str">
        <f>LEFT(Database!DKS2,3)</f>
        <v/>
      </c>
      <c r="DKA2" t="str">
        <f>LEFT(Database!DKT2,3)</f>
        <v/>
      </c>
      <c r="DKB2" t="str">
        <f>LEFT(Database!DKU2,3)</f>
        <v/>
      </c>
      <c r="DKC2" t="str">
        <f>LEFT(Database!DKV2,3)</f>
        <v/>
      </c>
      <c r="DKD2" t="str">
        <f>LEFT(Database!DKW2,3)</f>
        <v/>
      </c>
      <c r="DKE2" t="str">
        <f>LEFT(Database!DKX2,3)</f>
        <v/>
      </c>
      <c r="DKF2" t="str">
        <f>LEFT(Database!DKY2,3)</f>
        <v/>
      </c>
      <c r="DKG2" t="str">
        <f>LEFT(Database!DKZ2,3)</f>
        <v/>
      </c>
      <c r="DKH2" t="str">
        <f>LEFT(Database!DLA2,3)</f>
        <v/>
      </c>
      <c r="DKI2" t="str">
        <f>LEFT(Database!DLB2,3)</f>
        <v/>
      </c>
      <c r="DKJ2" t="str">
        <f>LEFT(Database!DLC2,3)</f>
        <v/>
      </c>
      <c r="DKK2" t="str">
        <f>LEFT(Database!DLD2,3)</f>
        <v/>
      </c>
      <c r="DKL2" t="str">
        <f>LEFT(Database!DLE2,3)</f>
        <v/>
      </c>
      <c r="DKM2" t="str">
        <f>LEFT(Database!DLF2,3)</f>
        <v/>
      </c>
      <c r="DKN2" t="str">
        <f>LEFT(Database!DLG2,3)</f>
        <v/>
      </c>
      <c r="DKO2" t="str">
        <f>LEFT(Database!DLH2,3)</f>
        <v/>
      </c>
      <c r="DKP2" t="str">
        <f>LEFT(Database!DLI2,3)</f>
        <v/>
      </c>
      <c r="DKQ2" t="str">
        <f>LEFT(Database!DLJ2,3)</f>
        <v/>
      </c>
      <c r="DKR2" t="str">
        <f>LEFT(Database!DLK2,3)</f>
        <v/>
      </c>
      <c r="DKS2" t="str">
        <f>LEFT(Database!DLL2,3)</f>
        <v/>
      </c>
      <c r="DKT2" t="str">
        <f>LEFT(Database!DLM2,3)</f>
        <v/>
      </c>
      <c r="DKU2" t="str">
        <f>LEFT(Database!DLN2,3)</f>
        <v/>
      </c>
      <c r="DKV2" t="str">
        <f>LEFT(Database!DLO2,3)</f>
        <v/>
      </c>
      <c r="DKW2" t="str">
        <f>LEFT(Database!DLP2,3)</f>
        <v/>
      </c>
      <c r="DKX2" t="str">
        <f>LEFT(Database!DLQ2,3)</f>
        <v/>
      </c>
      <c r="DKY2" t="str">
        <f>LEFT(Database!DLR2,3)</f>
        <v/>
      </c>
      <c r="DKZ2" t="str">
        <f>LEFT(Database!DLS2,3)</f>
        <v/>
      </c>
      <c r="DLA2" t="str">
        <f>LEFT(Database!DLT2,3)</f>
        <v/>
      </c>
      <c r="DLB2" t="str">
        <f>LEFT(Database!DLU2,3)</f>
        <v/>
      </c>
      <c r="DLC2" t="str">
        <f>LEFT(Database!DLV2,3)</f>
        <v/>
      </c>
      <c r="DLD2" t="str">
        <f>LEFT(Database!DLW2,3)</f>
        <v/>
      </c>
      <c r="DLE2" t="str">
        <f>LEFT(Database!DLX2,3)</f>
        <v/>
      </c>
      <c r="DLF2" t="str">
        <f>LEFT(Database!DLY2,3)</f>
        <v/>
      </c>
      <c r="DLG2" t="str">
        <f>LEFT(Database!DLZ2,3)</f>
        <v/>
      </c>
      <c r="DLH2" t="str">
        <f>LEFT(Database!DMA2,3)</f>
        <v/>
      </c>
      <c r="DLI2" t="str">
        <f>LEFT(Database!DMB2,3)</f>
        <v/>
      </c>
      <c r="DLJ2" t="str">
        <f>LEFT(Database!DMC2,3)</f>
        <v/>
      </c>
      <c r="DLK2" t="str">
        <f>LEFT(Database!DMD2,3)</f>
        <v/>
      </c>
      <c r="DLL2" t="str">
        <f>LEFT(Database!DME2,3)</f>
        <v/>
      </c>
      <c r="DLM2" t="str">
        <f>LEFT(Database!DMF2,3)</f>
        <v/>
      </c>
      <c r="DLN2" t="str">
        <f>LEFT(Database!DMG2,3)</f>
        <v/>
      </c>
      <c r="DLO2" t="str">
        <f>LEFT(Database!DMH2,3)</f>
        <v/>
      </c>
      <c r="DLP2" t="str">
        <f>LEFT(Database!DMI2,3)</f>
        <v/>
      </c>
      <c r="DLQ2" t="str">
        <f>LEFT(Database!DMJ2,3)</f>
        <v/>
      </c>
      <c r="DLR2" t="str">
        <f>LEFT(Database!DMK2,3)</f>
        <v/>
      </c>
      <c r="DLS2" t="str">
        <f>LEFT(Database!DML2,3)</f>
        <v/>
      </c>
      <c r="DLT2" t="str">
        <f>LEFT(Database!DMM2,3)</f>
        <v/>
      </c>
      <c r="DLU2" t="str">
        <f>LEFT(Database!DMN2,3)</f>
        <v/>
      </c>
      <c r="DLV2" t="str">
        <f>LEFT(Database!DMO2,3)</f>
        <v/>
      </c>
      <c r="DLW2" t="str">
        <f>LEFT(Database!DMP2,3)</f>
        <v/>
      </c>
      <c r="DLX2" t="str">
        <f>LEFT(Database!DMQ2,3)</f>
        <v/>
      </c>
      <c r="DLY2" t="str">
        <f>LEFT(Database!DMR2,3)</f>
        <v/>
      </c>
      <c r="DLZ2" t="str">
        <f>LEFT(Database!DMS2,3)</f>
        <v/>
      </c>
      <c r="DMA2" t="str">
        <f>LEFT(Database!DMT2,3)</f>
        <v/>
      </c>
      <c r="DMB2" t="str">
        <f>LEFT(Database!DMU2,3)</f>
        <v/>
      </c>
      <c r="DMC2" t="str">
        <f>LEFT(Database!DMV2,3)</f>
        <v/>
      </c>
      <c r="DMD2" t="str">
        <f>LEFT(Database!DMW2,3)</f>
        <v/>
      </c>
      <c r="DME2" t="str">
        <f>LEFT(Database!DMX2,3)</f>
        <v/>
      </c>
      <c r="DMF2" t="str">
        <f>LEFT(Database!DMY2,3)</f>
        <v/>
      </c>
      <c r="DMG2" t="str">
        <f>LEFT(Database!DMZ2,3)</f>
        <v/>
      </c>
      <c r="DMH2" t="str">
        <f>LEFT(Database!DNA2,3)</f>
        <v/>
      </c>
      <c r="DMI2" t="str">
        <f>LEFT(Database!DNB2,3)</f>
        <v/>
      </c>
      <c r="DMJ2" t="str">
        <f>LEFT(Database!DNC2,3)</f>
        <v/>
      </c>
      <c r="DMK2" t="str">
        <f>LEFT(Database!DND2,3)</f>
        <v/>
      </c>
      <c r="DML2" t="str">
        <f>LEFT(Database!DNE2,3)</f>
        <v/>
      </c>
      <c r="DMM2" t="str">
        <f>LEFT(Database!DNF2,3)</f>
        <v/>
      </c>
      <c r="DMN2" t="str">
        <f>LEFT(Database!DNG2,3)</f>
        <v/>
      </c>
      <c r="DMO2" t="str">
        <f>LEFT(Database!DNH2,3)</f>
        <v/>
      </c>
      <c r="DMP2" t="str">
        <f>LEFT(Database!DNI2,3)</f>
        <v/>
      </c>
      <c r="DMQ2" t="str">
        <f>LEFT(Database!DNJ2,3)</f>
        <v/>
      </c>
      <c r="DMR2" t="str">
        <f>LEFT(Database!DNK2,3)</f>
        <v/>
      </c>
      <c r="DMS2" t="str">
        <f>LEFT(Database!DNL2,3)</f>
        <v/>
      </c>
      <c r="DMT2" t="str">
        <f>LEFT(Database!DNM2,3)</f>
        <v/>
      </c>
      <c r="DMU2" t="str">
        <f>LEFT(Database!DNN2,3)</f>
        <v/>
      </c>
      <c r="DMV2" t="str">
        <f>LEFT(Database!DNO2,3)</f>
        <v/>
      </c>
      <c r="DMW2" t="str">
        <f>LEFT(Database!DNP2,3)</f>
        <v/>
      </c>
      <c r="DMX2" t="str">
        <f>LEFT(Database!DNQ2,3)</f>
        <v/>
      </c>
      <c r="DMY2" t="str">
        <f>LEFT(Database!DNR2,3)</f>
        <v/>
      </c>
      <c r="DMZ2" t="str">
        <f>LEFT(Database!DNS2,3)</f>
        <v/>
      </c>
      <c r="DNA2" t="str">
        <f>LEFT(Database!DNT2,3)</f>
        <v/>
      </c>
      <c r="DNB2" t="str">
        <f>LEFT(Database!DNU2,3)</f>
        <v/>
      </c>
      <c r="DNC2" t="str">
        <f>LEFT(Database!DNV2,3)</f>
        <v/>
      </c>
      <c r="DND2" t="str">
        <f>LEFT(Database!DNW2,3)</f>
        <v/>
      </c>
      <c r="DNE2" t="str">
        <f>LEFT(Database!DNX2,3)</f>
        <v/>
      </c>
      <c r="DNF2" t="str">
        <f>LEFT(Database!DNY2,3)</f>
        <v/>
      </c>
      <c r="DNG2" t="str">
        <f>LEFT(Database!DNZ2,3)</f>
        <v/>
      </c>
      <c r="DNH2" t="str">
        <f>LEFT(Database!DOA2,3)</f>
        <v/>
      </c>
      <c r="DNI2" t="str">
        <f>LEFT(Database!DOB2,3)</f>
        <v/>
      </c>
      <c r="DNJ2" t="str">
        <f>LEFT(Database!DOC2,3)</f>
        <v/>
      </c>
      <c r="DNK2" t="str">
        <f>LEFT(Database!DOD2,3)</f>
        <v/>
      </c>
      <c r="DNL2" t="str">
        <f>LEFT(Database!DOE2,3)</f>
        <v/>
      </c>
      <c r="DNM2" t="str">
        <f>LEFT(Database!DOF2,3)</f>
        <v/>
      </c>
      <c r="DNN2" t="str">
        <f>LEFT(Database!DOG2,3)</f>
        <v/>
      </c>
      <c r="DNO2" t="str">
        <f>LEFT(Database!DOH2,3)</f>
        <v/>
      </c>
      <c r="DNP2" t="str">
        <f>LEFT(Database!DOI2,3)</f>
        <v/>
      </c>
      <c r="DNQ2" t="str">
        <f>LEFT(Database!DOJ2,3)</f>
        <v/>
      </c>
      <c r="DNR2" t="str">
        <f>LEFT(Database!DOK2,3)</f>
        <v/>
      </c>
      <c r="DNS2" t="str">
        <f>LEFT(Database!DOL2,3)</f>
        <v/>
      </c>
      <c r="DNT2" t="str">
        <f>LEFT(Database!DOM2,3)</f>
        <v/>
      </c>
      <c r="DNU2" t="str">
        <f>LEFT(Database!DON2,3)</f>
        <v/>
      </c>
      <c r="DNV2" t="str">
        <f>LEFT(Database!DOO2,3)</f>
        <v/>
      </c>
      <c r="DNW2" t="str">
        <f>LEFT(Database!DOP2,3)</f>
        <v/>
      </c>
      <c r="DNX2" t="str">
        <f>LEFT(Database!DOQ2,3)</f>
        <v/>
      </c>
      <c r="DNY2" t="str">
        <f>LEFT(Database!DOR2,3)</f>
        <v/>
      </c>
      <c r="DNZ2" t="str">
        <f>LEFT(Database!DOS2,3)</f>
        <v/>
      </c>
      <c r="DOA2" t="str">
        <f>LEFT(Database!DOT2,3)</f>
        <v/>
      </c>
      <c r="DOB2" t="str">
        <f>LEFT(Database!DOU2,3)</f>
        <v/>
      </c>
      <c r="DOC2" t="str">
        <f>LEFT(Database!DOV2,3)</f>
        <v/>
      </c>
      <c r="DOD2" t="str">
        <f>LEFT(Database!DOW2,3)</f>
        <v/>
      </c>
      <c r="DOE2" t="str">
        <f>LEFT(Database!DOX2,3)</f>
        <v/>
      </c>
      <c r="DOF2" t="str">
        <f>LEFT(Database!DOY2,3)</f>
        <v/>
      </c>
      <c r="DOG2" t="str">
        <f>LEFT(Database!DOZ2,3)</f>
        <v/>
      </c>
      <c r="DOH2" t="str">
        <f>LEFT(Database!DPA2,3)</f>
        <v/>
      </c>
      <c r="DOI2" t="str">
        <f>LEFT(Database!DPB2,3)</f>
        <v/>
      </c>
      <c r="DOJ2" t="str">
        <f>LEFT(Database!DPC2,3)</f>
        <v/>
      </c>
      <c r="DOK2" t="str">
        <f>LEFT(Database!DPD2,3)</f>
        <v/>
      </c>
      <c r="DOL2" t="str">
        <f>LEFT(Database!DPE2,3)</f>
        <v/>
      </c>
      <c r="DOM2" t="str">
        <f>LEFT(Database!DPF2,3)</f>
        <v/>
      </c>
      <c r="DON2" t="str">
        <f>LEFT(Database!DPG2,3)</f>
        <v/>
      </c>
      <c r="DOO2" t="str">
        <f>LEFT(Database!DPH2,3)</f>
        <v/>
      </c>
      <c r="DOP2" t="str">
        <f>LEFT(Database!DPI2,3)</f>
        <v/>
      </c>
      <c r="DOQ2" t="str">
        <f>LEFT(Database!DPJ2,3)</f>
        <v/>
      </c>
      <c r="DOR2" t="str">
        <f>LEFT(Database!DPK2,3)</f>
        <v/>
      </c>
      <c r="DOS2" t="str">
        <f>LEFT(Database!DPL2,3)</f>
        <v/>
      </c>
      <c r="DOT2" t="str">
        <f>LEFT(Database!DPM2,3)</f>
        <v/>
      </c>
      <c r="DOU2" t="str">
        <f>LEFT(Database!DPN2,3)</f>
        <v/>
      </c>
      <c r="DOV2" t="str">
        <f>LEFT(Database!DPO2,3)</f>
        <v/>
      </c>
      <c r="DOW2" t="str">
        <f>LEFT(Database!DPP2,3)</f>
        <v/>
      </c>
      <c r="DOX2" t="str">
        <f>LEFT(Database!DPQ2,3)</f>
        <v/>
      </c>
      <c r="DOY2" t="str">
        <f>LEFT(Database!DPR2,3)</f>
        <v/>
      </c>
      <c r="DOZ2" t="str">
        <f>LEFT(Database!DPS2,3)</f>
        <v/>
      </c>
      <c r="DPA2" t="str">
        <f>LEFT(Database!DPT2,3)</f>
        <v/>
      </c>
      <c r="DPB2" t="str">
        <f>LEFT(Database!DPU2,3)</f>
        <v/>
      </c>
      <c r="DPC2" t="str">
        <f>LEFT(Database!DPV2,3)</f>
        <v/>
      </c>
      <c r="DPD2" t="str">
        <f>LEFT(Database!DPW2,3)</f>
        <v/>
      </c>
      <c r="DPE2" t="str">
        <f>LEFT(Database!DPX2,3)</f>
        <v/>
      </c>
      <c r="DPF2" t="str">
        <f>LEFT(Database!DPY2,3)</f>
        <v/>
      </c>
      <c r="DPG2" t="str">
        <f>LEFT(Database!DPZ2,3)</f>
        <v/>
      </c>
      <c r="DPH2" t="str">
        <f>LEFT(Database!DQA2,3)</f>
        <v/>
      </c>
      <c r="DPI2" t="str">
        <f>LEFT(Database!DQB2,3)</f>
        <v/>
      </c>
      <c r="DPJ2" t="str">
        <f>LEFT(Database!DQC2,3)</f>
        <v/>
      </c>
      <c r="DPK2" t="str">
        <f>LEFT(Database!DQD2,3)</f>
        <v/>
      </c>
      <c r="DPL2" t="str">
        <f>LEFT(Database!DQE2,3)</f>
        <v/>
      </c>
      <c r="DPM2" t="str">
        <f>LEFT(Database!DQF2,3)</f>
        <v/>
      </c>
      <c r="DPN2" t="str">
        <f>LEFT(Database!DQG2,3)</f>
        <v/>
      </c>
      <c r="DPO2" t="str">
        <f>LEFT(Database!DQH2,3)</f>
        <v/>
      </c>
      <c r="DPP2" t="str">
        <f>LEFT(Database!DQI2,3)</f>
        <v/>
      </c>
      <c r="DPQ2" t="str">
        <f>LEFT(Database!DQJ2,3)</f>
        <v/>
      </c>
      <c r="DPR2" t="str">
        <f>LEFT(Database!DQK2,3)</f>
        <v/>
      </c>
      <c r="DPS2" t="str">
        <f>LEFT(Database!DQL2,3)</f>
        <v/>
      </c>
      <c r="DPT2" t="str">
        <f>LEFT(Database!DQM2,3)</f>
        <v/>
      </c>
      <c r="DPU2" t="str">
        <f>LEFT(Database!DQN2,3)</f>
        <v/>
      </c>
      <c r="DPV2" t="str">
        <f>LEFT(Database!DQO2,3)</f>
        <v/>
      </c>
      <c r="DPW2" t="str">
        <f>LEFT(Database!DQP2,3)</f>
        <v/>
      </c>
      <c r="DPX2" t="str">
        <f>LEFT(Database!DQQ2,3)</f>
        <v/>
      </c>
      <c r="DPY2" t="str">
        <f>LEFT(Database!DQR2,3)</f>
        <v/>
      </c>
      <c r="DPZ2" t="str">
        <f>LEFT(Database!DQS2,3)</f>
        <v/>
      </c>
      <c r="DQA2" t="str">
        <f>LEFT(Database!DQT2,3)</f>
        <v/>
      </c>
      <c r="DQB2" t="str">
        <f>LEFT(Database!DQU2,3)</f>
        <v/>
      </c>
      <c r="DQC2" t="str">
        <f>LEFT(Database!DQV2,3)</f>
        <v/>
      </c>
      <c r="DQD2" t="str">
        <f>LEFT(Database!DQW2,3)</f>
        <v/>
      </c>
      <c r="DQE2" t="str">
        <f>LEFT(Database!DQX2,3)</f>
        <v/>
      </c>
      <c r="DQF2" t="str">
        <f>LEFT(Database!DQY2,3)</f>
        <v/>
      </c>
      <c r="DQG2" t="str">
        <f>LEFT(Database!DQZ2,3)</f>
        <v/>
      </c>
      <c r="DQH2" t="str">
        <f>LEFT(Database!DRA2,3)</f>
        <v/>
      </c>
      <c r="DQI2" t="str">
        <f>LEFT(Database!DRB2,3)</f>
        <v/>
      </c>
      <c r="DQJ2" t="str">
        <f>LEFT(Database!DRC2,3)</f>
        <v/>
      </c>
      <c r="DQK2" t="str">
        <f>LEFT(Database!DRD2,3)</f>
        <v/>
      </c>
      <c r="DQL2" t="str">
        <f>LEFT(Database!DRE2,3)</f>
        <v/>
      </c>
      <c r="DQM2" t="str">
        <f>LEFT(Database!DRF2,3)</f>
        <v/>
      </c>
      <c r="DQN2" t="str">
        <f>LEFT(Database!DRG2,3)</f>
        <v/>
      </c>
      <c r="DQO2" t="str">
        <f>LEFT(Database!DRH2,3)</f>
        <v/>
      </c>
      <c r="DQP2" t="str">
        <f>LEFT(Database!DRI2,3)</f>
        <v/>
      </c>
      <c r="DQQ2" t="str">
        <f>LEFT(Database!DRJ2,3)</f>
        <v/>
      </c>
      <c r="DQR2" t="str">
        <f>LEFT(Database!DRK2,3)</f>
        <v/>
      </c>
      <c r="DQS2" t="str">
        <f>LEFT(Database!DRL2,3)</f>
        <v/>
      </c>
      <c r="DQT2" t="str">
        <f>LEFT(Database!DRM2,3)</f>
        <v/>
      </c>
      <c r="DQU2" t="str">
        <f>LEFT(Database!DRN2,3)</f>
        <v/>
      </c>
      <c r="DQV2" t="str">
        <f>LEFT(Database!DRO2,3)</f>
        <v/>
      </c>
      <c r="DQW2" t="str">
        <f>LEFT(Database!DRP2,3)</f>
        <v/>
      </c>
      <c r="DQX2" t="str">
        <f>LEFT(Database!DRQ2,3)</f>
        <v/>
      </c>
      <c r="DQY2" t="str">
        <f>LEFT(Database!DRR2,3)</f>
        <v/>
      </c>
      <c r="DQZ2" t="str">
        <f>LEFT(Database!DRS2,3)</f>
        <v/>
      </c>
      <c r="DRA2" t="str">
        <f>LEFT(Database!DRT2,3)</f>
        <v/>
      </c>
      <c r="DRB2" t="str">
        <f>LEFT(Database!DRU2,3)</f>
        <v/>
      </c>
      <c r="DRC2" t="str">
        <f>LEFT(Database!DRV2,3)</f>
        <v/>
      </c>
      <c r="DRD2" t="str">
        <f>LEFT(Database!DRW2,3)</f>
        <v/>
      </c>
      <c r="DRE2" t="str">
        <f>LEFT(Database!DRX2,3)</f>
        <v/>
      </c>
      <c r="DRF2" t="str">
        <f>LEFT(Database!DRY2,3)</f>
        <v/>
      </c>
      <c r="DRG2" t="str">
        <f>LEFT(Database!DRZ2,3)</f>
        <v/>
      </c>
      <c r="DRH2" t="str">
        <f>LEFT(Database!DSA2,3)</f>
        <v/>
      </c>
      <c r="DRI2" t="str">
        <f>LEFT(Database!DSB2,3)</f>
        <v/>
      </c>
      <c r="DRJ2" t="str">
        <f>LEFT(Database!DSC2,3)</f>
        <v/>
      </c>
      <c r="DRK2" t="str">
        <f>LEFT(Database!DSD2,3)</f>
        <v/>
      </c>
      <c r="DRL2" t="str">
        <f>LEFT(Database!DSE2,3)</f>
        <v/>
      </c>
      <c r="DRM2" t="str">
        <f>LEFT(Database!DSF2,3)</f>
        <v/>
      </c>
      <c r="DRN2" t="str">
        <f>LEFT(Database!DSG2,3)</f>
        <v/>
      </c>
      <c r="DRO2" t="str">
        <f>LEFT(Database!DSH2,3)</f>
        <v/>
      </c>
      <c r="DRP2" t="str">
        <f>LEFT(Database!DSI2,3)</f>
        <v/>
      </c>
      <c r="DRQ2" t="str">
        <f>LEFT(Database!DSJ2,3)</f>
        <v/>
      </c>
      <c r="DRR2" t="str">
        <f>LEFT(Database!DSK2,3)</f>
        <v/>
      </c>
      <c r="DRS2" t="str">
        <f>LEFT(Database!DSL2,3)</f>
        <v/>
      </c>
      <c r="DRT2" t="str">
        <f>LEFT(Database!DSM2,3)</f>
        <v/>
      </c>
      <c r="DRU2" t="str">
        <f>LEFT(Database!DSN2,3)</f>
        <v/>
      </c>
      <c r="DRV2" t="str">
        <f>LEFT(Database!DSO2,3)</f>
        <v/>
      </c>
      <c r="DRW2" t="str">
        <f>LEFT(Database!DSP2,3)</f>
        <v/>
      </c>
      <c r="DRX2" t="str">
        <f>LEFT(Database!DSQ2,3)</f>
        <v/>
      </c>
      <c r="DRY2" t="str">
        <f>LEFT(Database!DSR2,3)</f>
        <v/>
      </c>
      <c r="DRZ2" t="str">
        <f>LEFT(Database!DSS2,3)</f>
        <v/>
      </c>
      <c r="DSA2" t="str">
        <f>LEFT(Database!DST2,3)</f>
        <v/>
      </c>
      <c r="DSB2" t="str">
        <f>LEFT(Database!DSU2,3)</f>
        <v/>
      </c>
      <c r="DSC2" t="str">
        <f>LEFT(Database!DSV2,3)</f>
        <v/>
      </c>
      <c r="DSD2" t="str">
        <f>LEFT(Database!DSW2,3)</f>
        <v/>
      </c>
      <c r="DSE2" t="str">
        <f>LEFT(Database!DSX2,3)</f>
        <v/>
      </c>
      <c r="DSF2" t="str">
        <f>LEFT(Database!DSY2,3)</f>
        <v/>
      </c>
      <c r="DSG2" t="str">
        <f>LEFT(Database!DSZ2,3)</f>
        <v/>
      </c>
      <c r="DSH2" t="str">
        <f>LEFT(Database!DTA2,3)</f>
        <v/>
      </c>
      <c r="DSI2" t="str">
        <f>LEFT(Database!DTB2,3)</f>
        <v/>
      </c>
      <c r="DSJ2" t="str">
        <f>LEFT(Database!DTC2,3)</f>
        <v/>
      </c>
      <c r="DSK2" t="str">
        <f>LEFT(Database!DTD2,3)</f>
        <v/>
      </c>
      <c r="DSL2" t="str">
        <f>LEFT(Database!DTE2,3)</f>
        <v/>
      </c>
      <c r="DSM2" t="str">
        <f>LEFT(Database!DTF2,3)</f>
        <v/>
      </c>
      <c r="DSN2" t="str">
        <f>LEFT(Database!DTG2,3)</f>
        <v/>
      </c>
      <c r="DSO2" t="str">
        <f>LEFT(Database!DTH2,3)</f>
        <v/>
      </c>
      <c r="DSP2" t="str">
        <f>LEFT(Database!DTI2,3)</f>
        <v/>
      </c>
      <c r="DSQ2" t="str">
        <f>LEFT(Database!DTJ2,3)</f>
        <v/>
      </c>
      <c r="DSR2" t="str">
        <f>LEFT(Database!DTK2,3)</f>
        <v/>
      </c>
      <c r="DSS2" t="str">
        <f>LEFT(Database!DTL2,3)</f>
        <v/>
      </c>
      <c r="DST2" t="str">
        <f>LEFT(Database!DTM2,3)</f>
        <v/>
      </c>
      <c r="DSU2" t="str">
        <f>LEFT(Database!DTN2,3)</f>
        <v/>
      </c>
      <c r="DSV2" t="str">
        <f>LEFT(Database!DTO2,3)</f>
        <v/>
      </c>
      <c r="DSW2" t="str">
        <f>LEFT(Database!DTP2,3)</f>
        <v/>
      </c>
      <c r="DSX2" t="str">
        <f>LEFT(Database!DTQ2,3)</f>
        <v/>
      </c>
      <c r="DSY2" t="str">
        <f>LEFT(Database!DTR2,3)</f>
        <v/>
      </c>
      <c r="DSZ2" t="str">
        <f>LEFT(Database!DTS2,3)</f>
        <v/>
      </c>
      <c r="DTA2" t="str">
        <f>LEFT(Database!DTT2,3)</f>
        <v/>
      </c>
      <c r="DTB2" t="str">
        <f>LEFT(Database!DTU2,3)</f>
        <v/>
      </c>
      <c r="DTC2" t="str">
        <f>LEFT(Database!DTV2,3)</f>
        <v/>
      </c>
      <c r="DTD2" t="str">
        <f>LEFT(Database!DTW2,3)</f>
        <v/>
      </c>
      <c r="DTE2" t="str">
        <f>LEFT(Database!DTX2,3)</f>
        <v/>
      </c>
      <c r="DTF2" t="str">
        <f>LEFT(Database!DTY2,3)</f>
        <v/>
      </c>
      <c r="DTG2" t="str">
        <f>LEFT(Database!DTZ2,3)</f>
        <v/>
      </c>
      <c r="DTH2" t="str">
        <f>LEFT(Database!DUA2,3)</f>
        <v/>
      </c>
      <c r="DTI2" t="str">
        <f>LEFT(Database!DUB2,3)</f>
        <v/>
      </c>
      <c r="DTJ2" t="str">
        <f>LEFT(Database!DUC2,3)</f>
        <v/>
      </c>
      <c r="DTK2" t="str">
        <f>LEFT(Database!DUD2,3)</f>
        <v/>
      </c>
      <c r="DTL2" t="str">
        <f>LEFT(Database!DUE2,3)</f>
        <v/>
      </c>
      <c r="DTM2" t="str">
        <f>LEFT(Database!DUF2,3)</f>
        <v/>
      </c>
      <c r="DTN2" t="str">
        <f>LEFT(Database!DUG2,3)</f>
        <v/>
      </c>
      <c r="DTO2" t="str">
        <f>LEFT(Database!DUH2,3)</f>
        <v/>
      </c>
      <c r="DTP2" t="str">
        <f>LEFT(Database!DUI2,3)</f>
        <v/>
      </c>
      <c r="DTQ2" t="str">
        <f>LEFT(Database!DUJ2,3)</f>
        <v/>
      </c>
      <c r="DTR2" t="str">
        <f>LEFT(Database!DUK2,3)</f>
        <v/>
      </c>
      <c r="DTS2" t="str">
        <f>LEFT(Database!DUL2,3)</f>
        <v/>
      </c>
      <c r="DTT2" t="str">
        <f>LEFT(Database!DUM2,3)</f>
        <v/>
      </c>
      <c r="DTU2" t="str">
        <f>LEFT(Database!DUN2,3)</f>
        <v/>
      </c>
      <c r="DTV2" t="str">
        <f>LEFT(Database!DUO2,3)</f>
        <v/>
      </c>
      <c r="DTW2" t="str">
        <f>LEFT(Database!DUP2,3)</f>
        <v/>
      </c>
      <c r="DTX2" t="str">
        <f>LEFT(Database!DUQ2,3)</f>
        <v/>
      </c>
      <c r="DTY2" t="str">
        <f>LEFT(Database!DUR2,3)</f>
        <v/>
      </c>
      <c r="DTZ2" t="str">
        <f>LEFT(Database!DUS2,3)</f>
        <v/>
      </c>
      <c r="DUA2" t="str">
        <f>LEFT(Database!DUT2,3)</f>
        <v/>
      </c>
      <c r="DUB2" t="str">
        <f>LEFT(Database!DUU2,3)</f>
        <v/>
      </c>
      <c r="DUC2" t="str">
        <f>LEFT(Database!DUV2,3)</f>
        <v/>
      </c>
      <c r="DUD2" t="str">
        <f>LEFT(Database!DUW2,3)</f>
        <v/>
      </c>
      <c r="DUE2" t="str">
        <f>LEFT(Database!DUX2,3)</f>
        <v/>
      </c>
      <c r="DUF2" t="str">
        <f>LEFT(Database!DUY2,3)</f>
        <v/>
      </c>
      <c r="DUG2" t="str">
        <f>LEFT(Database!DUZ2,3)</f>
        <v/>
      </c>
      <c r="DUH2" t="str">
        <f>LEFT(Database!DVA2,3)</f>
        <v/>
      </c>
      <c r="DUI2" t="str">
        <f>LEFT(Database!DVB2,3)</f>
        <v/>
      </c>
      <c r="DUJ2" t="str">
        <f>LEFT(Database!DVC2,3)</f>
        <v/>
      </c>
      <c r="DUK2" t="str">
        <f>LEFT(Database!DVD2,3)</f>
        <v/>
      </c>
      <c r="DUL2" t="str">
        <f>LEFT(Database!DVE2,3)</f>
        <v/>
      </c>
      <c r="DUM2" t="str">
        <f>LEFT(Database!DVF2,3)</f>
        <v/>
      </c>
      <c r="DUN2" t="str">
        <f>LEFT(Database!DVG2,3)</f>
        <v/>
      </c>
      <c r="DUO2" t="str">
        <f>LEFT(Database!DVH2,3)</f>
        <v/>
      </c>
      <c r="DUP2" t="str">
        <f>LEFT(Database!DVI2,3)</f>
        <v/>
      </c>
      <c r="DUQ2" t="str">
        <f>LEFT(Database!DVJ2,3)</f>
        <v/>
      </c>
      <c r="DUR2" t="str">
        <f>LEFT(Database!DVK2,3)</f>
        <v/>
      </c>
      <c r="DUS2" t="str">
        <f>LEFT(Database!DVL2,3)</f>
        <v/>
      </c>
      <c r="DUT2" t="str">
        <f>LEFT(Database!DVM2,3)</f>
        <v/>
      </c>
      <c r="DUU2" t="str">
        <f>LEFT(Database!DVN2,3)</f>
        <v/>
      </c>
      <c r="DUV2" t="str">
        <f>LEFT(Database!DVO2,3)</f>
        <v/>
      </c>
      <c r="DUW2" t="str">
        <f>LEFT(Database!DVP2,3)</f>
        <v/>
      </c>
      <c r="DUX2" t="str">
        <f>LEFT(Database!DVQ2,3)</f>
        <v/>
      </c>
      <c r="DUY2" t="str">
        <f>LEFT(Database!DVR2,3)</f>
        <v/>
      </c>
      <c r="DUZ2" t="str">
        <f>LEFT(Database!DVS2,3)</f>
        <v/>
      </c>
      <c r="DVA2" t="str">
        <f>LEFT(Database!DVT2,3)</f>
        <v/>
      </c>
      <c r="DVB2" t="str">
        <f>LEFT(Database!DVU2,3)</f>
        <v/>
      </c>
      <c r="DVC2" t="str">
        <f>LEFT(Database!DVV2,3)</f>
        <v/>
      </c>
      <c r="DVD2" t="str">
        <f>LEFT(Database!DVW2,3)</f>
        <v/>
      </c>
      <c r="DVE2" t="str">
        <f>LEFT(Database!DVX2,3)</f>
        <v/>
      </c>
      <c r="DVF2" t="str">
        <f>LEFT(Database!DVY2,3)</f>
        <v/>
      </c>
      <c r="DVG2" t="str">
        <f>LEFT(Database!DVZ2,3)</f>
        <v/>
      </c>
      <c r="DVH2" t="str">
        <f>LEFT(Database!DWA2,3)</f>
        <v/>
      </c>
      <c r="DVI2" t="str">
        <f>LEFT(Database!DWB2,3)</f>
        <v/>
      </c>
      <c r="DVJ2" t="str">
        <f>LEFT(Database!DWC2,3)</f>
        <v/>
      </c>
      <c r="DVK2" t="str">
        <f>LEFT(Database!DWD2,3)</f>
        <v/>
      </c>
      <c r="DVL2" t="str">
        <f>LEFT(Database!DWE2,3)</f>
        <v/>
      </c>
      <c r="DVM2" t="str">
        <f>LEFT(Database!DWF2,3)</f>
        <v/>
      </c>
      <c r="DVN2" t="str">
        <f>LEFT(Database!DWG2,3)</f>
        <v/>
      </c>
      <c r="DVO2" t="str">
        <f>LEFT(Database!DWH2,3)</f>
        <v/>
      </c>
      <c r="DVP2" t="str">
        <f>LEFT(Database!DWI2,3)</f>
        <v/>
      </c>
      <c r="DVQ2" t="str">
        <f>LEFT(Database!DWJ2,3)</f>
        <v/>
      </c>
      <c r="DVR2" t="str">
        <f>LEFT(Database!DWK2,3)</f>
        <v/>
      </c>
      <c r="DVS2" t="str">
        <f>LEFT(Database!DWL2,3)</f>
        <v/>
      </c>
      <c r="DVT2" t="str">
        <f>LEFT(Database!DWM2,3)</f>
        <v/>
      </c>
      <c r="DVU2" t="str">
        <f>LEFT(Database!DWN2,3)</f>
        <v/>
      </c>
      <c r="DVV2" t="str">
        <f>LEFT(Database!DWO2,3)</f>
        <v/>
      </c>
      <c r="DVW2" t="str">
        <f>LEFT(Database!DWP2,3)</f>
        <v/>
      </c>
      <c r="DVX2" t="str">
        <f>LEFT(Database!DWQ2,3)</f>
        <v/>
      </c>
      <c r="DVY2" t="str">
        <f>LEFT(Database!DWR2,3)</f>
        <v/>
      </c>
      <c r="DVZ2" t="str">
        <f>LEFT(Database!DWS2,3)</f>
        <v/>
      </c>
      <c r="DWA2" t="str">
        <f>LEFT(Database!DWT2,3)</f>
        <v/>
      </c>
      <c r="DWB2" t="str">
        <f>LEFT(Database!DWU2,3)</f>
        <v/>
      </c>
      <c r="DWC2" t="str">
        <f>LEFT(Database!DWV2,3)</f>
        <v/>
      </c>
      <c r="DWD2" t="str">
        <f>LEFT(Database!DWW2,3)</f>
        <v/>
      </c>
      <c r="DWE2" t="str">
        <f>LEFT(Database!DWX2,3)</f>
        <v/>
      </c>
      <c r="DWF2" t="str">
        <f>LEFT(Database!DWY2,3)</f>
        <v/>
      </c>
      <c r="DWG2" t="str">
        <f>LEFT(Database!DWZ2,3)</f>
        <v/>
      </c>
      <c r="DWH2" t="str">
        <f>LEFT(Database!DXA2,3)</f>
        <v/>
      </c>
      <c r="DWI2" t="str">
        <f>LEFT(Database!DXB2,3)</f>
        <v/>
      </c>
      <c r="DWJ2" t="str">
        <f>LEFT(Database!DXC2,3)</f>
        <v/>
      </c>
      <c r="DWK2" t="str">
        <f>LEFT(Database!DXD2,3)</f>
        <v/>
      </c>
      <c r="DWL2" t="str">
        <f>LEFT(Database!DXE2,3)</f>
        <v/>
      </c>
      <c r="DWM2" t="str">
        <f>LEFT(Database!DXF2,3)</f>
        <v/>
      </c>
      <c r="DWN2" t="str">
        <f>LEFT(Database!DXG2,3)</f>
        <v/>
      </c>
      <c r="DWO2" t="str">
        <f>LEFT(Database!DXH2,3)</f>
        <v/>
      </c>
      <c r="DWP2" t="str">
        <f>LEFT(Database!DXI2,3)</f>
        <v/>
      </c>
      <c r="DWQ2" t="str">
        <f>LEFT(Database!DXJ2,3)</f>
        <v/>
      </c>
      <c r="DWR2" t="str">
        <f>LEFT(Database!DXK2,3)</f>
        <v/>
      </c>
      <c r="DWS2" t="str">
        <f>LEFT(Database!DXL2,3)</f>
        <v/>
      </c>
      <c r="DWT2" t="str">
        <f>LEFT(Database!DXM2,3)</f>
        <v/>
      </c>
      <c r="DWU2" t="str">
        <f>LEFT(Database!DXN2,3)</f>
        <v/>
      </c>
      <c r="DWV2" t="str">
        <f>LEFT(Database!DXO2,3)</f>
        <v/>
      </c>
      <c r="DWW2" t="str">
        <f>LEFT(Database!DXP2,3)</f>
        <v/>
      </c>
      <c r="DWX2" t="str">
        <f>LEFT(Database!DXQ2,3)</f>
        <v/>
      </c>
      <c r="DWY2" t="str">
        <f>LEFT(Database!DXR2,3)</f>
        <v/>
      </c>
      <c r="DWZ2" t="str">
        <f>LEFT(Database!DXS2,3)</f>
        <v/>
      </c>
      <c r="DXA2" t="str">
        <f>LEFT(Database!DXT2,3)</f>
        <v/>
      </c>
      <c r="DXB2" t="str">
        <f>LEFT(Database!DXU2,3)</f>
        <v/>
      </c>
      <c r="DXC2" t="str">
        <f>LEFT(Database!DXV2,3)</f>
        <v/>
      </c>
      <c r="DXD2" t="str">
        <f>LEFT(Database!DXW2,3)</f>
        <v/>
      </c>
      <c r="DXE2" t="str">
        <f>LEFT(Database!DXX2,3)</f>
        <v/>
      </c>
      <c r="DXF2" t="str">
        <f>LEFT(Database!DXY2,3)</f>
        <v/>
      </c>
      <c r="DXG2" t="str">
        <f>LEFT(Database!DXZ2,3)</f>
        <v/>
      </c>
      <c r="DXH2" t="str">
        <f>LEFT(Database!DYA2,3)</f>
        <v/>
      </c>
      <c r="DXI2" t="str">
        <f>LEFT(Database!DYB2,3)</f>
        <v/>
      </c>
      <c r="DXJ2" t="str">
        <f>LEFT(Database!DYC2,3)</f>
        <v/>
      </c>
      <c r="DXK2" t="str">
        <f>LEFT(Database!DYD2,3)</f>
        <v/>
      </c>
      <c r="DXL2" t="str">
        <f>LEFT(Database!DYE2,3)</f>
        <v/>
      </c>
      <c r="DXM2" t="str">
        <f>LEFT(Database!DYF2,3)</f>
        <v/>
      </c>
      <c r="DXN2" t="str">
        <f>LEFT(Database!DYG2,3)</f>
        <v/>
      </c>
      <c r="DXO2" t="str">
        <f>LEFT(Database!DYH2,3)</f>
        <v/>
      </c>
      <c r="DXP2" t="str">
        <f>LEFT(Database!DYI2,3)</f>
        <v/>
      </c>
      <c r="DXQ2" t="str">
        <f>LEFT(Database!DYJ2,3)</f>
        <v/>
      </c>
      <c r="DXR2" t="str">
        <f>LEFT(Database!DYK2,3)</f>
        <v/>
      </c>
      <c r="DXS2" t="str">
        <f>LEFT(Database!DYL2,3)</f>
        <v/>
      </c>
      <c r="DXT2" t="str">
        <f>LEFT(Database!DYM2,3)</f>
        <v/>
      </c>
      <c r="DXU2" t="str">
        <f>LEFT(Database!DYN2,3)</f>
        <v/>
      </c>
      <c r="DXV2" t="str">
        <f>LEFT(Database!DYO2,3)</f>
        <v/>
      </c>
      <c r="DXW2" t="str">
        <f>LEFT(Database!DYP2,3)</f>
        <v/>
      </c>
      <c r="DXX2" t="str">
        <f>LEFT(Database!DYQ2,3)</f>
        <v/>
      </c>
      <c r="DXY2" t="str">
        <f>LEFT(Database!DYR2,3)</f>
        <v/>
      </c>
      <c r="DXZ2" t="str">
        <f>LEFT(Database!DYS2,3)</f>
        <v/>
      </c>
      <c r="DYA2" t="str">
        <f>LEFT(Database!DYT2,3)</f>
        <v/>
      </c>
      <c r="DYB2" t="str">
        <f>LEFT(Database!DYU2,3)</f>
        <v/>
      </c>
      <c r="DYC2" t="str">
        <f>LEFT(Database!DYV2,3)</f>
        <v/>
      </c>
      <c r="DYD2" t="str">
        <f>LEFT(Database!DYW2,3)</f>
        <v/>
      </c>
      <c r="DYE2" t="str">
        <f>LEFT(Database!DYX2,3)</f>
        <v/>
      </c>
      <c r="DYF2" t="str">
        <f>LEFT(Database!DYY2,3)</f>
        <v/>
      </c>
      <c r="DYG2" t="str">
        <f>LEFT(Database!DYZ2,3)</f>
        <v/>
      </c>
      <c r="DYH2" t="str">
        <f>LEFT(Database!DZA2,3)</f>
        <v/>
      </c>
      <c r="DYI2" t="str">
        <f>LEFT(Database!DZB2,3)</f>
        <v/>
      </c>
      <c r="DYJ2" t="str">
        <f>LEFT(Database!DZC2,3)</f>
        <v/>
      </c>
      <c r="DYK2" t="str">
        <f>LEFT(Database!DZD2,3)</f>
        <v/>
      </c>
      <c r="DYL2" t="str">
        <f>LEFT(Database!DZE2,3)</f>
        <v/>
      </c>
      <c r="DYM2" t="str">
        <f>LEFT(Database!DZF2,3)</f>
        <v/>
      </c>
      <c r="DYN2" t="str">
        <f>LEFT(Database!DZG2,3)</f>
        <v/>
      </c>
      <c r="DYO2" t="str">
        <f>LEFT(Database!DZH2,3)</f>
        <v/>
      </c>
      <c r="DYP2" t="str">
        <f>LEFT(Database!DZI2,3)</f>
        <v/>
      </c>
      <c r="DYQ2" t="str">
        <f>LEFT(Database!DZJ2,3)</f>
        <v/>
      </c>
      <c r="DYR2" t="str">
        <f>LEFT(Database!DZK2,3)</f>
        <v/>
      </c>
      <c r="DYS2" t="str">
        <f>LEFT(Database!DZL2,3)</f>
        <v/>
      </c>
      <c r="DYT2" t="str">
        <f>LEFT(Database!DZM2,3)</f>
        <v/>
      </c>
      <c r="DYU2" t="str">
        <f>LEFT(Database!DZN2,3)</f>
        <v/>
      </c>
      <c r="DYV2" t="str">
        <f>LEFT(Database!DZO2,3)</f>
        <v/>
      </c>
      <c r="DYW2" t="str">
        <f>LEFT(Database!DZP2,3)</f>
        <v/>
      </c>
      <c r="DYX2" t="str">
        <f>LEFT(Database!DZQ2,3)</f>
        <v/>
      </c>
      <c r="DYY2" t="str">
        <f>LEFT(Database!DZR2,3)</f>
        <v/>
      </c>
      <c r="DYZ2" t="str">
        <f>LEFT(Database!DZS2,3)</f>
        <v/>
      </c>
      <c r="DZA2" t="str">
        <f>LEFT(Database!DZT2,3)</f>
        <v/>
      </c>
      <c r="DZB2" t="str">
        <f>LEFT(Database!DZU2,3)</f>
        <v/>
      </c>
      <c r="DZC2" t="str">
        <f>LEFT(Database!DZV2,3)</f>
        <v/>
      </c>
      <c r="DZD2" t="str">
        <f>LEFT(Database!DZW2,3)</f>
        <v/>
      </c>
      <c r="DZE2" t="str">
        <f>LEFT(Database!DZX2,3)</f>
        <v/>
      </c>
      <c r="DZF2" t="str">
        <f>LEFT(Database!DZY2,3)</f>
        <v/>
      </c>
      <c r="DZG2" t="str">
        <f>LEFT(Database!DZZ2,3)</f>
        <v/>
      </c>
      <c r="DZH2" t="str">
        <f>LEFT(Database!EAA2,3)</f>
        <v/>
      </c>
      <c r="DZI2" t="str">
        <f>LEFT(Database!EAB2,3)</f>
        <v/>
      </c>
      <c r="DZJ2" t="str">
        <f>LEFT(Database!EAC2,3)</f>
        <v/>
      </c>
      <c r="DZK2" t="str">
        <f>LEFT(Database!EAD2,3)</f>
        <v/>
      </c>
      <c r="DZL2" t="str">
        <f>LEFT(Database!EAE2,3)</f>
        <v/>
      </c>
      <c r="DZM2" t="str">
        <f>LEFT(Database!EAF2,3)</f>
        <v/>
      </c>
      <c r="DZN2" t="str">
        <f>LEFT(Database!EAG2,3)</f>
        <v/>
      </c>
      <c r="DZO2" t="str">
        <f>LEFT(Database!EAH2,3)</f>
        <v/>
      </c>
      <c r="DZP2" t="str">
        <f>LEFT(Database!EAI2,3)</f>
        <v/>
      </c>
      <c r="DZQ2" t="str">
        <f>LEFT(Database!EAJ2,3)</f>
        <v/>
      </c>
      <c r="DZR2" t="str">
        <f>LEFT(Database!EAK2,3)</f>
        <v/>
      </c>
      <c r="DZS2" t="str">
        <f>LEFT(Database!EAL2,3)</f>
        <v/>
      </c>
      <c r="DZT2" t="str">
        <f>LEFT(Database!EAM2,3)</f>
        <v/>
      </c>
      <c r="DZU2" t="str">
        <f>LEFT(Database!EAN2,3)</f>
        <v/>
      </c>
      <c r="DZV2" t="str">
        <f>LEFT(Database!EAO2,3)</f>
        <v/>
      </c>
      <c r="DZW2" t="str">
        <f>LEFT(Database!EAP2,3)</f>
        <v/>
      </c>
      <c r="DZX2" t="str">
        <f>LEFT(Database!EAQ2,3)</f>
        <v/>
      </c>
      <c r="DZY2" t="str">
        <f>LEFT(Database!EAR2,3)</f>
        <v/>
      </c>
      <c r="DZZ2" t="str">
        <f>LEFT(Database!EAS2,3)</f>
        <v/>
      </c>
      <c r="EAA2" t="str">
        <f>LEFT(Database!EAT2,3)</f>
        <v/>
      </c>
      <c r="EAB2" t="str">
        <f>LEFT(Database!EAU2,3)</f>
        <v/>
      </c>
      <c r="EAC2" t="str">
        <f>LEFT(Database!EAV2,3)</f>
        <v/>
      </c>
      <c r="EAD2" t="str">
        <f>LEFT(Database!EAW2,3)</f>
        <v/>
      </c>
      <c r="EAE2" t="str">
        <f>LEFT(Database!EAX2,3)</f>
        <v/>
      </c>
      <c r="EAF2" t="str">
        <f>LEFT(Database!EAY2,3)</f>
        <v/>
      </c>
      <c r="EAG2" t="str">
        <f>LEFT(Database!EAZ2,3)</f>
        <v/>
      </c>
      <c r="EAH2" t="str">
        <f>LEFT(Database!EBA2,3)</f>
        <v/>
      </c>
      <c r="EAI2" t="str">
        <f>LEFT(Database!EBB2,3)</f>
        <v/>
      </c>
      <c r="EAJ2" t="str">
        <f>LEFT(Database!EBC2,3)</f>
        <v/>
      </c>
      <c r="EAK2" t="str">
        <f>LEFT(Database!EBD2,3)</f>
        <v/>
      </c>
      <c r="EAL2" t="str">
        <f>LEFT(Database!EBE2,3)</f>
        <v/>
      </c>
      <c r="EAM2" t="str">
        <f>LEFT(Database!EBF2,3)</f>
        <v/>
      </c>
      <c r="EAN2" t="str">
        <f>LEFT(Database!EBG2,3)</f>
        <v/>
      </c>
      <c r="EAO2" t="str">
        <f>LEFT(Database!EBH2,3)</f>
        <v/>
      </c>
      <c r="EAP2" t="str">
        <f>LEFT(Database!EBI2,3)</f>
        <v/>
      </c>
      <c r="EAQ2" t="str">
        <f>LEFT(Database!EBJ2,3)</f>
        <v/>
      </c>
      <c r="EAR2" t="str">
        <f>LEFT(Database!EBK2,3)</f>
        <v/>
      </c>
      <c r="EAS2" t="str">
        <f>LEFT(Database!EBL2,3)</f>
        <v/>
      </c>
      <c r="EAT2" t="str">
        <f>LEFT(Database!EBM2,3)</f>
        <v/>
      </c>
      <c r="EAU2" t="str">
        <f>LEFT(Database!EBN2,3)</f>
        <v/>
      </c>
      <c r="EAV2" t="str">
        <f>LEFT(Database!EBO2,3)</f>
        <v/>
      </c>
      <c r="EAW2" t="str">
        <f>LEFT(Database!EBP2,3)</f>
        <v/>
      </c>
      <c r="EAX2" t="str">
        <f>LEFT(Database!EBQ2,3)</f>
        <v/>
      </c>
      <c r="EAY2" t="str">
        <f>LEFT(Database!EBR2,3)</f>
        <v/>
      </c>
      <c r="EAZ2" t="str">
        <f>LEFT(Database!EBS2,3)</f>
        <v/>
      </c>
      <c r="EBA2" t="str">
        <f>LEFT(Database!EBT2,3)</f>
        <v/>
      </c>
      <c r="EBB2" t="str">
        <f>LEFT(Database!EBU2,3)</f>
        <v/>
      </c>
      <c r="EBC2" t="str">
        <f>LEFT(Database!EBV2,3)</f>
        <v/>
      </c>
      <c r="EBD2" t="str">
        <f>LEFT(Database!EBW2,3)</f>
        <v/>
      </c>
      <c r="EBE2" t="str">
        <f>LEFT(Database!EBX2,3)</f>
        <v/>
      </c>
      <c r="EBF2" t="str">
        <f>LEFT(Database!EBY2,3)</f>
        <v/>
      </c>
      <c r="EBG2" t="str">
        <f>LEFT(Database!EBZ2,3)</f>
        <v/>
      </c>
      <c r="EBH2" t="str">
        <f>LEFT(Database!ECA2,3)</f>
        <v/>
      </c>
      <c r="EBI2" t="str">
        <f>LEFT(Database!ECB2,3)</f>
        <v/>
      </c>
      <c r="EBJ2" t="str">
        <f>LEFT(Database!ECC2,3)</f>
        <v/>
      </c>
      <c r="EBK2" t="str">
        <f>LEFT(Database!ECD2,3)</f>
        <v/>
      </c>
      <c r="EBL2" t="str">
        <f>LEFT(Database!ECE2,3)</f>
        <v/>
      </c>
      <c r="EBM2" t="str">
        <f>LEFT(Database!ECF2,3)</f>
        <v/>
      </c>
      <c r="EBN2" t="str">
        <f>LEFT(Database!ECG2,3)</f>
        <v/>
      </c>
      <c r="EBO2" t="str">
        <f>LEFT(Database!ECH2,3)</f>
        <v/>
      </c>
      <c r="EBP2" t="str">
        <f>LEFT(Database!ECI2,3)</f>
        <v/>
      </c>
      <c r="EBQ2" t="str">
        <f>LEFT(Database!ECJ2,3)</f>
        <v/>
      </c>
      <c r="EBR2" t="str">
        <f>LEFT(Database!ECK2,3)</f>
        <v/>
      </c>
      <c r="EBS2" t="str">
        <f>LEFT(Database!ECL2,3)</f>
        <v/>
      </c>
      <c r="EBT2" t="str">
        <f>LEFT(Database!ECM2,3)</f>
        <v/>
      </c>
      <c r="EBU2" t="str">
        <f>LEFT(Database!ECN2,3)</f>
        <v/>
      </c>
      <c r="EBV2" t="str">
        <f>LEFT(Database!ECO2,3)</f>
        <v/>
      </c>
      <c r="EBW2" t="str">
        <f>LEFT(Database!ECP2,3)</f>
        <v/>
      </c>
      <c r="EBX2" t="str">
        <f>LEFT(Database!ECQ2,3)</f>
        <v/>
      </c>
      <c r="EBY2" t="str">
        <f>LEFT(Database!ECR2,3)</f>
        <v/>
      </c>
      <c r="EBZ2" t="str">
        <f>LEFT(Database!ECS2,3)</f>
        <v/>
      </c>
      <c r="ECA2" t="str">
        <f>LEFT(Database!ECT2,3)</f>
        <v/>
      </c>
      <c r="ECB2" t="str">
        <f>LEFT(Database!ECU2,3)</f>
        <v/>
      </c>
      <c r="ECC2" t="str">
        <f>LEFT(Database!ECV2,3)</f>
        <v/>
      </c>
      <c r="ECD2" t="str">
        <f>LEFT(Database!ECW2,3)</f>
        <v/>
      </c>
      <c r="ECE2" t="str">
        <f>LEFT(Database!ECX2,3)</f>
        <v/>
      </c>
      <c r="ECF2" t="str">
        <f>LEFT(Database!ECY2,3)</f>
        <v/>
      </c>
      <c r="ECG2" t="str">
        <f>LEFT(Database!ECZ2,3)</f>
        <v/>
      </c>
      <c r="ECH2" t="str">
        <f>LEFT(Database!EDA2,3)</f>
        <v/>
      </c>
      <c r="ECI2" t="str">
        <f>LEFT(Database!EDB2,3)</f>
        <v/>
      </c>
      <c r="ECJ2" t="str">
        <f>LEFT(Database!EDC2,3)</f>
        <v/>
      </c>
      <c r="ECK2" t="str">
        <f>LEFT(Database!EDD2,3)</f>
        <v/>
      </c>
      <c r="ECL2" t="str">
        <f>LEFT(Database!EDE2,3)</f>
        <v/>
      </c>
      <c r="ECM2" t="str">
        <f>LEFT(Database!EDF2,3)</f>
        <v/>
      </c>
      <c r="ECN2" t="str">
        <f>LEFT(Database!EDG2,3)</f>
        <v/>
      </c>
      <c r="ECO2" t="str">
        <f>LEFT(Database!EDH2,3)</f>
        <v/>
      </c>
      <c r="ECP2" t="str">
        <f>LEFT(Database!EDI2,3)</f>
        <v/>
      </c>
      <c r="ECQ2" t="str">
        <f>LEFT(Database!EDJ2,3)</f>
        <v/>
      </c>
      <c r="ECR2" t="str">
        <f>LEFT(Database!EDK2,3)</f>
        <v/>
      </c>
      <c r="ECS2" t="str">
        <f>LEFT(Database!EDL2,3)</f>
        <v/>
      </c>
      <c r="ECT2" t="str">
        <f>LEFT(Database!EDM2,3)</f>
        <v/>
      </c>
      <c r="ECU2" t="str">
        <f>LEFT(Database!EDN2,3)</f>
        <v/>
      </c>
      <c r="ECV2" t="str">
        <f>LEFT(Database!EDO2,3)</f>
        <v/>
      </c>
      <c r="ECW2" t="str">
        <f>LEFT(Database!EDP2,3)</f>
        <v/>
      </c>
      <c r="ECX2" t="str">
        <f>LEFT(Database!EDQ2,3)</f>
        <v/>
      </c>
      <c r="ECY2" t="str">
        <f>LEFT(Database!EDR2,3)</f>
        <v/>
      </c>
      <c r="ECZ2" t="str">
        <f>LEFT(Database!EDS2,3)</f>
        <v/>
      </c>
      <c r="EDA2" t="str">
        <f>LEFT(Database!EDT2,3)</f>
        <v/>
      </c>
      <c r="EDB2" t="str">
        <f>LEFT(Database!EDU2,3)</f>
        <v/>
      </c>
      <c r="EDC2" t="str">
        <f>LEFT(Database!EDV2,3)</f>
        <v/>
      </c>
      <c r="EDD2" t="str">
        <f>LEFT(Database!EDW2,3)</f>
        <v/>
      </c>
      <c r="EDE2" t="str">
        <f>LEFT(Database!EDX2,3)</f>
        <v/>
      </c>
      <c r="EDF2" t="str">
        <f>LEFT(Database!EDY2,3)</f>
        <v/>
      </c>
      <c r="EDG2" t="str">
        <f>LEFT(Database!EDZ2,3)</f>
        <v/>
      </c>
      <c r="EDH2" t="str">
        <f>LEFT(Database!EEA2,3)</f>
        <v/>
      </c>
      <c r="EDI2" t="str">
        <f>LEFT(Database!EEB2,3)</f>
        <v/>
      </c>
      <c r="EDJ2" t="str">
        <f>LEFT(Database!EEC2,3)</f>
        <v/>
      </c>
      <c r="EDK2" t="str">
        <f>LEFT(Database!EED2,3)</f>
        <v/>
      </c>
      <c r="EDL2" t="str">
        <f>LEFT(Database!EEE2,3)</f>
        <v/>
      </c>
      <c r="EDM2" t="str">
        <f>LEFT(Database!EEF2,3)</f>
        <v/>
      </c>
      <c r="EDN2" t="str">
        <f>LEFT(Database!EEG2,3)</f>
        <v/>
      </c>
      <c r="EDO2" t="str">
        <f>LEFT(Database!EEH2,3)</f>
        <v/>
      </c>
      <c r="EDP2" t="str">
        <f>LEFT(Database!EEI2,3)</f>
        <v/>
      </c>
      <c r="EDQ2" t="str">
        <f>LEFT(Database!EEJ2,3)</f>
        <v/>
      </c>
      <c r="EDR2" t="str">
        <f>LEFT(Database!EEK2,3)</f>
        <v/>
      </c>
      <c r="EDS2" t="str">
        <f>LEFT(Database!EEL2,3)</f>
        <v/>
      </c>
      <c r="EDT2" t="str">
        <f>LEFT(Database!EEM2,3)</f>
        <v/>
      </c>
      <c r="EDU2" t="str">
        <f>LEFT(Database!EEN2,3)</f>
        <v/>
      </c>
      <c r="EDV2" t="str">
        <f>LEFT(Database!EEO2,3)</f>
        <v/>
      </c>
      <c r="EDW2" t="str">
        <f>LEFT(Database!EEP2,3)</f>
        <v/>
      </c>
      <c r="EDX2" t="str">
        <f>LEFT(Database!EEQ2,3)</f>
        <v/>
      </c>
      <c r="EDY2" t="str">
        <f>LEFT(Database!EER2,3)</f>
        <v/>
      </c>
      <c r="EDZ2" t="str">
        <f>LEFT(Database!EES2,3)</f>
        <v/>
      </c>
      <c r="EEA2" t="str">
        <f>LEFT(Database!EET2,3)</f>
        <v/>
      </c>
      <c r="EEB2" t="str">
        <f>LEFT(Database!EEU2,3)</f>
        <v/>
      </c>
      <c r="EEC2" t="str">
        <f>LEFT(Database!EEV2,3)</f>
        <v/>
      </c>
      <c r="EED2" t="str">
        <f>LEFT(Database!EEW2,3)</f>
        <v/>
      </c>
      <c r="EEE2" t="str">
        <f>LEFT(Database!EEX2,3)</f>
        <v/>
      </c>
      <c r="EEF2" t="str">
        <f>LEFT(Database!EEY2,3)</f>
        <v/>
      </c>
      <c r="EEG2" t="str">
        <f>LEFT(Database!EEZ2,3)</f>
        <v/>
      </c>
      <c r="EEH2" t="str">
        <f>LEFT(Database!EFA2,3)</f>
        <v/>
      </c>
      <c r="EEI2" t="str">
        <f>LEFT(Database!EFB2,3)</f>
        <v/>
      </c>
      <c r="EEJ2" t="str">
        <f>LEFT(Database!EFC2,3)</f>
        <v/>
      </c>
      <c r="EEK2" t="str">
        <f>LEFT(Database!EFD2,3)</f>
        <v/>
      </c>
      <c r="EEL2" t="str">
        <f>LEFT(Database!EFE2,3)</f>
        <v/>
      </c>
      <c r="EEM2" t="str">
        <f>LEFT(Database!EFF2,3)</f>
        <v/>
      </c>
      <c r="EEN2" t="str">
        <f>LEFT(Database!EFG2,3)</f>
        <v/>
      </c>
      <c r="EEO2" t="str">
        <f>LEFT(Database!EFH2,3)</f>
        <v/>
      </c>
      <c r="EEP2" t="str">
        <f>LEFT(Database!EFI2,3)</f>
        <v/>
      </c>
      <c r="EEQ2" t="str">
        <f>LEFT(Database!EFJ2,3)</f>
        <v/>
      </c>
      <c r="EER2" t="str">
        <f>LEFT(Database!EFK2,3)</f>
        <v/>
      </c>
      <c r="EES2" t="str">
        <f>LEFT(Database!EFL2,3)</f>
        <v/>
      </c>
      <c r="EET2" t="str">
        <f>LEFT(Database!EFM2,3)</f>
        <v/>
      </c>
      <c r="EEU2" t="str">
        <f>LEFT(Database!EFN2,3)</f>
        <v/>
      </c>
      <c r="EEV2" t="str">
        <f>LEFT(Database!EFO2,3)</f>
        <v/>
      </c>
      <c r="EEW2" t="str">
        <f>LEFT(Database!EFP2,3)</f>
        <v/>
      </c>
      <c r="EEX2" t="str">
        <f>LEFT(Database!EFQ2,3)</f>
        <v/>
      </c>
      <c r="EEY2" t="str">
        <f>LEFT(Database!EFR2,3)</f>
        <v/>
      </c>
      <c r="EEZ2" t="str">
        <f>LEFT(Database!EFS2,3)</f>
        <v/>
      </c>
      <c r="EFA2" t="str">
        <f>LEFT(Database!EFT2,3)</f>
        <v/>
      </c>
      <c r="EFB2" t="str">
        <f>LEFT(Database!EFU2,3)</f>
        <v/>
      </c>
      <c r="EFC2" t="str">
        <f>LEFT(Database!EFV2,3)</f>
        <v/>
      </c>
      <c r="EFD2" t="str">
        <f>LEFT(Database!EFW2,3)</f>
        <v/>
      </c>
      <c r="EFE2" t="str">
        <f>LEFT(Database!EFX2,3)</f>
        <v/>
      </c>
      <c r="EFF2" t="str">
        <f>LEFT(Database!EFY2,3)</f>
        <v/>
      </c>
      <c r="EFG2" t="str">
        <f>LEFT(Database!EFZ2,3)</f>
        <v/>
      </c>
      <c r="EFH2" t="str">
        <f>LEFT(Database!EGA2,3)</f>
        <v/>
      </c>
      <c r="EFI2" t="str">
        <f>LEFT(Database!EGB2,3)</f>
        <v/>
      </c>
      <c r="EFJ2" t="str">
        <f>LEFT(Database!EGC2,3)</f>
        <v/>
      </c>
      <c r="EFK2" t="str">
        <f>LEFT(Database!EGD2,3)</f>
        <v/>
      </c>
      <c r="EFL2" t="str">
        <f>LEFT(Database!EGE2,3)</f>
        <v/>
      </c>
      <c r="EFM2" t="str">
        <f>LEFT(Database!EGF2,3)</f>
        <v/>
      </c>
      <c r="EFN2" t="str">
        <f>LEFT(Database!EGG2,3)</f>
        <v/>
      </c>
      <c r="EFO2" t="str">
        <f>LEFT(Database!EGH2,3)</f>
        <v/>
      </c>
      <c r="EFP2" t="str">
        <f>LEFT(Database!EGI2,3)</f>
        <v/>
      </c>
      <c r="EFQ2" t="str">
        <f>LEFT(Database!EGJ2,3)</f>
        <v/>
      </c>
      <c r="EFR2" t="str">
        <f>LEFT(Database!EGK2,3)</f>
        <v/>
      </c>
      <c r="EFS2" t="str">
        <f>LEFT(Database!EGL2,3)</f>
        <v/>
      </c>
      <c r="EFT2" t="str">
        <f>LEFT(Database!EGM2,3)</f>
        <v/>
      </c>
      <c r="EFU2" t="str">
        <f>LEFT(Database!EGN2,3)</f>
        <v/>
      </c>
      <c r="EFV2" t="str">
        <f>LEFT(Database!EGO2,3)</f>
        <v/>
      </c>
      <c r="EFW2" t="str">
        <f>LEFT(Database!EGP2,3)</f>
        <v/>
      </c>
      <c r="EFX2" t="str">
        <f>LEFT(Database!EGQ2,3)</f>
        <v/>
      </c>
      <c r="EFY2" t="str">
        <f>LEFT(Database!EGR2,3)</f>
        <v/>
      </c>
      <c r="EFZ2" t="str">
        <f>LEFT(Database!EGS2,3)</f>
        <v/>
      </c>
      <c r="EGA2" t="str">
        <f>LEFT(Database!EGT2,3)</f>
        <v/>
      </c>
      <c r="EGB2" t="str">
        <f>LEFT(Database!EGU2,3)</f>
        <v/>
      </c>
      <c r="EGC2" t="str">
        <f>LEFT(Database!EGV2,3)</f>
        <v/>
      </c>
      <c r="EGD2" t="str">
        <f>LEFT(Database!EGW2,3)</f>
        <v/>
      </c>
      <c r="EGE2" t="str">
        <f>LEFT(Database!EGX2,3)</f>
        <v/>
      </c>
      <c r="EGF2" t="str">
        <f>LEFT(Database!EGY2,3)</f>
        <v/>
      </c>
      <c r="EGG2" t="str">
        <f>LEFT(Database!EGZ2,3)</f>
        <v/>
      </c>
      <c r="EGH2" t="str">
        <f>LEFT(Database!EHA2,3)</f>
        <v/>
      </c>
      <c r="EGI2" t="str">
        <f>LEFT(Database!EHB2,3)</f>
        <v/>
      </c>
      <c r="EGJ2" t="str">
        <f>LEFT(Database!EHC2,3)</f>
        <v/>
      </c>
      <c r="EGK2" t="str">
        <f>LEFT(Database!EHD2,3)</f>
        <v/>
      </c>
      <c r="EGL2" t="str">
        <f>LEFT(Database!EHE2,3)</f>
        <v/>
      </c>
      <c r="EGM2" t="str">
        <f>LEFT(Database!EHF2,3)</f>
        <v/>
      </c>
      <c r="EGN2" t="str">
        <f>LEFT(Database!EHG2,3)</f>
        <v/>
      </c>
      <c r="EGO2" t="str">
        <f>LEFT(Database!EHH2,3)</f>
        <v/>
      </c>
      <c r="EGP2" t="str">
        <f>LEFT(Database!EHI2,3)</f>
        <v/>
      </c>
      <c r="EGQ2" t="str">
        <f>LEFT(Database!EHJ2,3)</f>
        <v/>
      </c>
      <c r="EGR2" t="str">
        <f>LEFT(Database!EHK2,3)</f>
        <v/>
      </c>
      <c r="EGS2" t="str">
        <f>LEFT(Database!EHL2,3)</f>
        <v/>
      </c>
      <c r="EGT2" t="str">
        <f>LEFT(Database!EHM2,3)</f>
        <v/>
      </c>
      <c r="EGU2" t="str">
        <f>LEFT(Database!EHN2,3)</f>
        <v/>
      </c>
      <c r="EGV2" t="str">
        <f>LEFT(Database!EHO2,3)</f>
        <v/>
      </c>
      <c r="EGW2" t="str">
        <f>LEFT(Database!EHP2,3)</f>
        <v/>
      </c>
      <c r="EGX2" t="str">
        <f>LEFT(Database!EHQ2,3)</f>
        <v/>
      </c>
      <c r="EGY2" t="str">
        <f>LEFT(Database!EHR2,3)</f>
        <v/>
      </c>
      <c r="EGZ2" t="str">
        <f>LEFT(Database!EHS2,3)</f>
        <v/>
      </c>
      <c r="EHA2" t="str">
        <f>LEFT(Database!EHT2,3)</f>
        <v/>
      </c>
      <c r="EHB2" t="str">
        <f>LEFT(Database!EHU2,3)</f>
        <v/>
      </c>
      <c r="EHC2" t="str">
        <f>LEFT(Database!EHV2,3)</f>
        <v/>
      </c>
      <c r="EHD2" t="str">
        <f>LEFT(Database!EHW2,3)</f>
        <v/>
      </c>
      <c r="EHE2" t="str">
        <f>LEFT(Database!EHX2,3)</f>
        <v/>
      </c>
      <c r="EHF2" t="str">
        <f>LEFT(Database!EHY2,3)</f>
        <v/>
      </c>
      <c r="EHG2" t="str">
        <f>LEFT(Database!EHZ2,3)</f>
        <v/>
      </c>
      <c r="EHH2" t="str">
        <f>LEFT(Database!EIA2,3)</f>
        <v/>
      </c>
      <c r="EHI2" t="str">
        <f>LEFT(Database!EIB2,3)</f>
        <v/>
      </c>
      <c r="EHJ2" t="str">
        <f>LEFT(Database!EIC2,3)</f>
        <v/>
      </c>
      <c r="EHK2" t="str">
        <f>LEFT(Database!EID2,3)</f>
        <v/>
      </c>
      <c r="EHL2" t="str">
        <f>LEFT(Database!EIE2,3)</f>
        <v/>
      </c>
      <c r="EHM2" t="str">
        <f>LEFT(Database!EIF2,3)</f>
        <v/>
      </c>
      <c r="EHN2" t="str">
        <f>LEFT(Database!EIG2,3)</f>
        <v/>
      </c>
      <c r="EHO2" t="str">
        <f>LEFT(Database!EIH2,3)</f>
        <v/>
      </c>
      <c r="EHP2" t="str">
        <f>LEFT(Database!EII2,3)</f>
        <v/>
      </c>
      <c r="EHQ2" t="str">
        <f>LEFT(Database!EIJ2,3)</f>
        <v/>
      </c>
      <c r="EHR2" t="str">
        <f>LEFT(Database!EIK2,3)</f>
        <v/>
      </c>
      <c r="EHS2" t="str">
        <f>LEFT(Database!EIL2,3)</f>
        <v/>
      </c>
      <c r="EHT2" t="str">
        <f>LEFT(Database!EIM2,3)</f>
        <v/>
      </c>
      <c r="EHU2" t="str">
        <f>LEFT(Database!EIN2,3)</f>
        <v/>
      </c>
      <c r="EHV2" t="str">
        <f>LEFT(Database!EIO2,3)</f>
        <v/>
      </c>
      <c r="EHW2" t="str">
        <f>LEFT(Database!EIP2,3)</f>
        <v/>
      </c>
      <c r="EHX2" t="str">
        <f>LEFT(Database!EIQ2,3)</f>
        <v/>
      </c>
      <c r="EHY2" t="str">
        <f>LEFT(Database!EIR2,3)</f>
        <v/>
      </c>
      <c r="EHZ2" t="str">
        <f>LEFT(Database!EIS2,3)</f>
        <v/>
      </c>
      <c r="EIA2" t="str">
        <f>LEFT(Database!EIT2,3)</f>
        <v/>
      </c>
      <c r="EIB2" t="str">
        <f>LEFT(Database!EIU2,3)</f>
        <v/>
      </c>
      <c r="EIC2" t="str">
        <f>LEFT(Database!EIV2,3)</f>
        <v/>
      </c>
      <c r="EID2" t="str">
        <f>LEFT(Database!EIW2,3)</f>
        <v/>
      </c>
      <c r="EIE2" t="str">
        <f>LEFT(Database!EIX2,3)</f>
        <v/>
      </c>
      <c r="EIF2" t="str">
        <f>LEFT(Database!EIY2,3)</f>
        <v/>
      </c>
      <c r="EIG2" t="str">
        <f>LEFT(Database!EIZ2,3)</f>
        <v/>
      </c>
      <c r="EIH2" t="str">
        <f>LEFT(Database!EJA2,3)</f>
        <v/>
      </c>
      <c r="EII2" t="str">
        <f>LEFT(Database!EJB2,3)</f>
        <v/>
      </c>
      <c r="EIJ2" t="str">
        <f>LEFT(Database!EJC2,3)</f>
        <v/>
      </c>
      <c r="EIK2" t="str">
        <f>LEFT(Database!EJD2,3)</f>
        <v/>
      </c>
      <c r="EIL2" t="str">
        <f>LEFT(Database!EJE2,3)</f>
        <v/>
      </c>
      <c r="EIM2" t="str">
        <f>LEFT(Database!EJF2,3)</f>
        <v/>
      </c>
      <c r="EIN2" t="str">
        <f>LEFT(Database!EJG2,3)</f>
        <v/>
      </c>
      <c r="EIO2" t="str">
        <f>LEFT(Database!EJH2,3)</f>
        <v/>
      </c>
      <c r="EIP2" t="str">
        <f>LEFT(Database!EJI2,3)</f>
        <v/>
      </c>
      <c r="EIQ2" t="str">
        <f>LEFT(Database!EJJ2,3)</f>
        <v/>
      </c>
      <c r="EIR2" t="str">
        <f>LEFT(Database!EJK2,3)</f>
        <v/>
      </c>
      <c r="EIS2" t="str">
        <f>LEFT(Database!EJL2,3)</f>
        <v/>
      </c>
      <c r="EIT2" t="str">
        <f>LEFT(Database!EJM2,3)</f>
        <v/>
      </c>
      <c r="EIU2" t="str">
        <f>LEFT(Database!EJN2,3)</f>
        <v/>
      </c>
      <c r="EIV2" t="str">
        <f>LEFT(Database!EJO2,3)</f>
        <v/>
      </c>
      <c r="EIW2" t="str">
        <f>LEFT(Database!EJP2,3)</f>
        <v/>
      </c>
      <c r="EIX2" t="str">
        <f>LEFT(Database!EJQ2,3)</f>
        <v/>
      </c>
      <c r="EIY2" t="str">
        <f>LEFT(Database!EJR2,3)</f>
        <v/>
      </c>
      <c r="EIZ2" t="str">
        <f>LEFT(Database!EJS2,3)</f>
        <v/>
      </c>
      <c r="EJA2" t="str">
        <f>LEFT(Database!EJT2,3)</f>
        <v/>
      </c>
      <c r="EJB2" t="str">
        <f>LEFT(Database!EJU2,3)</f>
        <v/>
      </c>
      <c r="EJC2" t="str">
        <f>LEFT(Database!EJV2,3)</f>
        <v/>
      </c>
      <c r="EJD2" t="str">
        <f>LEFT(Database!EJW2,3)</f>
        <v/>
      </c>
      <c r="EJE2" t="str">
        <f>LEFT(Database!EJX2,3)</f>
        <v/>
      </c>
      <c r="EJF2" t="str">
        <f>LEFT(Database!EJY2,3)</f>
        <v/>
      </c>
      <c r="EJG2" t="str">
        <f>LEFT(Database!EJZ2,3)</f>
        <v/>
      </c>
      <c r="EJH2" t="str">
        <f>LEFT(Database!EKA2,3)</f>
        <v/>
      </c>
      <c r="EJI2" t="str">
        <f>LEFT(Database!EKB2,3)</f>
        <v/>
      </c>
      <c r="EJJ2" t="str">
        <f>LEFT(Database!EKC2,3)</f>
        <v/>
      </c>
      <c r="EJK2" t="str">
        <f>LEFT(Database!EKD2,3)</f>
        <v/>
      </c>
      <c r="EJL2" t="str">
        <f>LEFT(Database!EKE2,3)</f>
        <v/>
      </c>
      <c r="EJM2" t="str">
        <f>LEFT(Database!EKF2,3)</f>
        <v/>
      </c>
      <c r="EJN2" t="str">
        <f>LEFT(Database!EKG2,3)</f>
        <v/>
      </c>
      <c r="EJO2" t="str">
        <f>LEFT(Database!EKH2,3)</f>
        <v/>
      </c>
      <c r="EJP2" t="str">
        <f>LEFT(Database!EKI2,3)</f>
        <v/>
      </c>
      <c r="EJQ2" t="str">
        <f>LEFT(Database!EKJ2,3)</f>
        <v/>
      </c>
      <c r="EJR2" t="str">
        <f>LEFT(Database!EKK2,3)</f>
        <v/>
      </c>
      <c r="EJS2" t="str">
        <f>LEFT(Database!EKL2,3)</f>
        <v/>
      </c>
      <c r="EJT2" t="str">
        <f>LEFT(Database!EKM2,3)</f>
        <v/>
      </c>
      <c r="EJU2" t="str">
        <f>LEFT(Database!EKN2,3)</f>
        <v/>
      </c>
      <c r="EJV2" t="str">
        <f>LEFT(Database!EKO2,3)</f>
        <v/>
      </c>
      <c r="EJW2" t="str">
        <f>LEFT(Database!EKP2,3)</f>
        <v/>
      </c>
      <c r="EJX2" t="str">
        <f>LEFT(Database!EKQ2,3)</f>
        <v/>
      </c>
      <c r="EJY2" t="str">
        <f>LEFT(Database!EKR2,3)</f>
        <v/>
      </c>
      <c r="EJZ2" t="str">
        <f>LEFT(Database!EKS2,3)</f>
        <v/>
      </c>
      <c r="EKA2" t="str">
        <f>LEFT(Database!EKT2,3)</f>
        <v/>
      </c>
      <c r="EKB2" t="str">
        <f>LEFT(Database!EKU2,3)</f>
        <v/>
      </c>
      <c r="EKC2" t="str">
        <f>LEFT(Database!EKV2,3)</f>
        <v/>
      </c>
      <c r="EKD2" t="str">
        <f>LEFT(Database!EKW2,3)</f>
        <v/>
      </c>
      <c r="EKE2" t="str">
        <f>LEFT(Database!EKX2,3)</f>
        <v/>
      </c>
      <c r="EKF2" t="str">
        <f>LEFT(Database!EKY2,3)</f>
        <v/>
      </c>
      <c r="EKG2" t="str">
        <f>LEFT(Database!EKZ2,3)</f>
        <v/>
      </c>
      <c r="EKH2" t="str">
        <f>LEFT(Database!ELA2,3)</f>
        <v/>
      </c>
      <c r="EKI2" t="str">
        <f>LEFT(Database!ELB2,3)</f>
        <v/>
      </c>
      <c r="EKJ2" t="str">
        <f>LEFT(Database!ELC2,3)</f>
        <v/>
      </c>
      <c r="EKK2" t="str">
        <f>LEFT(Database!ELD2,3)</f>
        <v/>
      </c>
      <c r="EKL2" t="str">
        <f>LEFT(Database!ELE2,3)</f>
        <v/>
      </c>
      <c r="EKM2" t="str">
        <f>LEFT(Database!ELF2,3)</f>
        <v/>
      </c>
      <c r="EKN2" t="str">
        <f>LEFT(Database!ELG2,3)</f>
        <v/>
      </c>
      <c r="EKO2" t="str">
        <f>LEFT(Database!ELH2,3)</f>
        <v/>
      </c>
      <c r="EKP2" t="str">
        <f>LEFT(Database!ELI2,3)</f>
        <v/>
      </c>
      <c r="EKQ2" t="str">
        <f>LEFT(Database!ELJ2,3)</f>
        <v/>
      </c>
      <c r="EKR2" t="str">
        <f>LEFT(Database!ELK2,3)</f>
        <v/>
      </c>
      <c r="EKS2" t="str">
        <f>LEFT(Database!ELL2,3)</f>
        <v/>
      </c>
      <c r="EKT2" t="str">
        <f>LEFT(Database!ELM2,3)</f>
        <v/>
      </c>
      <c r="EKU2" t="str">
        <f>LEFT(Database!ELN2,3)</f>
        <v/>
      </c>
      <c r="EKV2" t="str">
        <f>LEFT(Database!ELO2,3)</f>
        <v/>
      </c>
      <c r="EKW2" t="str">
        <f>LEFT(Database!ELP2,3)</f>
        <v/>
      </c>
      <c r="EKX2" t="str">
        <f>LEFT(Database!ELQ2,3)</f>
        <v/>
      </c>
      <c r="EKY2" t="str">
        <f>LEFT(Database!ELR2,3)</f>
        <v/>
      </c>
      <c r="EKZ2" t="str">
        <f>LEFT(Database!ELS2,3)</f>
        <v/>
      </c>
      <c r="ELA2" t="str">
        <f>LEFT(Database!ELT2,3)</f>
        <v/>
      </c>
      <c r="ELB2" t="str">
        <f>LEFT(Database!ELU2,3)</f>
        <v/>
      </c>
      <c r="ELC2" t="str">
        <f>LEFT(Database!ELV2,3)</f>
        <v/>
      </c>
      <c r="ELD2" t="str">
        <f>LEFT(Database!ELW2,3)</f>
        <v/>
      </c>
      <c r="ELE2" t="str">
        <f>LEFT(Database!ELX2,3)</f>
        <v/>
      </c>
      <c r="ELF2" t="str">
        <f>LEFT(Database!ELY2,3)</f>
        <v/>
      </c>
      <c r="ELG2" t="str">
        <f>LEFT(Database!ELZ2,3)</f>
        <v/>
      </c>
      <c r="ELH2" t="str">
        <f>LEFT(Database!EMA2,3)</f>
        <v/>
      </c>
      <c r="ELI2" t="str">
        <f>LEFT(Database!EMB2,3)</f>
        <v/>
      </c>
      <c r="ELJ2" t="str">
        <f>LEFT(Database!EMC2,3)</f>
        <v/>
      </c>
      <c r="ELK2" t="str">
        <f>LEFT(Database!EMD2,3)</f>
        <v/>
      </c>
      <c r="ELL2" t="str">
        <f>LEFT(Database!EME2,3)</f>
        <v/>
      </c>
      <c r="ELM2" t="str">
        <f>LEFT(Database!EMF2,3)</f>
        <v/>
      </c>
      <c r="ELN2" t="str">
        <f>LEFT(Database!EMG2,3)</f>
        <v/>
      </c>
      <c r="ELO2" t="str">
        <f>LEFT(Database!EMH2,3)</f>
        <v/>
      </c>
      <c r="ELP2" t="str">
        <f>LEFT(Database!EMI2,3)</f>
        <v/>
      </c>
      <c r="ELQ2" t="str">
        <f>LEFT(Database!EMJ2,3)</f>
        <v/>
      </c>
      <c r="ELR2" t="str">
        <f>LEFT(Database!EMK2,3)</f>
        <v/>
      </c>
      <c r="ELS2" t="str">
        <f>LEFT(Database!EML2,3)</f>
        <v/>
      </c>
      <c r="ELT2" t="str">
        <f>LEFT(Database!EMM2,3)</f>
        <v/>
      </c>
      <c r="ELU2" t="str">
        <f>LEFT(Database!EMN2,3)</f>
        <v/>
      </c>
      <c r="ELV2" t="str">
        <f>LEFT(Database!EMO2,3)</f>
        <v/>
      </c>
      <c r="ELW2" t="str">
        <f>LEFT(Database!EMP2,3)</f>
        <v/>
      </c>
      <c r="ELX2" t="str">
        <f>LEFT(Database!EMQ2,3)</f>
        <v/>
      </c>
      <c r="ELY2" t="str">
        <f>LEFT(Database!EMR2,3)</f>
        <v/>
      </c>
      <c r="ELZ2" t="str">
        <f>LEFT(Database!EMS2,3)</f>
        <v/>
      </c>
      <c r="EMA2" t="str">
        <f>LEFT(Database!EMT2,3)</f>
        <v/>
      </c>
      <c r="EMB2" t="str">
        <f>LEFT(Database!EMU2,3)</f>
        <v/>
      </c>
      <c r="EMC2" t="str">
        <f>LEFT(Database!EMV2,3)</f>
        <v/>
      </c>
      <c r="EMD2" t="str">
        <f>LEFT(Database!EMW2,3)</f>
        <v/>
      </c>
      <c r="EME2" t="str">
        <f>LEFT(Database!EMX2,3)</f>
        <v/>
      </c>
      <c r="EMF2" t="str">
        <f>LEFT(Database!EMY2,3)</f>
        <v/>
      </c>
      <c r="EMG2" t="str">
        <f>LEFT(Database!EMZ2,3)</f>
        <v/>
      </c>
      <c r="EMH2" t="str">
        <f>LEFT(Database!ENA2,3)</f>
        <v/>
      </c>
      <c r="EMI2" t="str">
        <f>LEFT(Database!ENB2,3)</f>
        <v/>
      </c>
      <c r="EMJ2" t="str">
        <f>LEFT(Database!ENC2,3)</f>
        <v/>
      </c>
      <c r="EMK2" t="str">
        <f>LEFT(Database!END2,3)</f>
        <v/>
      </c>
      <c r="EML2" t="str">
        <f>LEFT(Database!ENE2,3)</f>
        <v/>
      </c>
      <c r="EMM2" t="str">
        <f>LEFT(Database!ENF2,3)</f>
        <v/>
      </c>
      <c r="EMN2" t="str">
        <f>LEFT(Database!ENG2,3)</f>
        <v/>
      </c>
      <c r="EMO2" t="str">
        <f>LEFT(Database!ENH2,3)</f>
        <v/>
      </c>
      <c r="EMP2" t="str">
        <f>LEFT(Database!ENI2,3)</f>
        <v/>
      </c>
      <c r="EMQ2" t="str">
        <f>LEFT(Database!ENJ2,3)</f>
        <v/>
      </c>
      <c r="EMR2" t="str">
        <f>LEFT(Database!ENK2,3)</f>
        <v/>
      </c>
      <c r="EMS2" t="str">
        <f>LEFT(Database!ENL2,3)</f>
        <v/>
      </c>
      <c r="EMT2" t="str">
        <f>LEFT(Database!ENM2,3)</f>
        <v/>
      </c>
      <c r="EMU2" t="str">
        <f>LEFT(Database!ENN2,3)</f>
        <v/>
      </c>
      <c r="EMV2" t="str">
        <f>LEFT(Database!ENO2,3)</f>
        <v/>
      </c>
      <c r="EMW2" t="str">
        <f>LEFT(Database!ENP2,3)</f>
        <v/>
      </c>
      <c r="EMX2" t="str">
        <f>LEFT(Database!ENQ2,3)</f>
        <v/>
      </c>
      <c r="EMY2" t="str">
        <f>LEFT(Database!ENR2,3)</f>
        <v/>
      </c>
      <c r="EMZ2" t="str">
        <f>LEFT(Database!ENS2,3)</f>
        <v/>
      </c>
      <c r="ENA2" t="str">
        <f>LEFT(Database!ENT2,3)</f>
        <v/>
      </c>
      <c r="ENB2" t="str">
        <f>LEFT(Database!ENU2,3)</f>
        <v/>
      </c>
      <c r="ENC2" t="str">
        <f>LEFT(Database!ENV2,3)</f>
        <v/>
      </c>
      <c r="END2" t="str">
        <f>LEFT(Database!ENW2,3)</f>
        <v/>
      </c>
      <c r="ENE2" t="str">
        <f>LEFT(Database!ENX2,3)</f>
        <v/>
      </c>
      <c r="ENF2" t="str">
        <f>LEFT(Database!ENY2,3)</f>
        <v/>
      </c>
      <c r="ENG2" t="str">
        <f>LEFT(Database!ENZ2,3)</f>
        <v/>
      </c>
      <c r="ENH2" t="str">
        <f>LEFT(Database!EOA2,3)</f>
        <v/>
      </c>
      <c r="ENI2" t="str">
        <f>LEFT(Database!EOB2,3)</f>
        <v/>
      </c>
      <c r="ENJ2" t="str">
        <f>LEFT(Database!EOC2,3)</f>
        <v/>
      </c>
      <c r="ENK2" t="str">
        <f>LEFT(Database!EOD2,3)</f>
        <v/>
      </c>
      <c r="ENL2" t="str">
        <f>LEFT(Database!EOE2,3)</f>
        <v/>
      </c>
      <c r="ENM2" t="str">
        <f>LEFT(Database!EOF2,3)</f>
        <v/>
      </c>
      <c r="ENN2" t="str">
        <f>LEFT(Database!EOG2,3)</f>
        <v/>
      </c>
      <c r="ENO2" t="str">
        <f>LEFT(Database!EOH2,3)</f>
        <v/>
      </c>
      <c r="ENP2" t="str">
        <f>LEFT(Database!EOI2,3)</f>
        <v/>
      </c>
      <c r="ENQ2" t="str">
        <f>LEFT(Database!EOJ2,3)</f>
        <v/>
      </c>
      <c r="ENR2" t="str">
        <f>LEFT(Database!EOK2,3)</f>
        <v/>
      </c>
      <c r="ENS2" t="str">
        <f>LEFT(Database!EOL2,3)</f>
        <v/>
      </c>
      <c r="ENT2" t="str">
        <f>LEFT(Database!EOM2,3)</f>
        <v/>
      </c>
      <c r="ENU2" t="str">
        <f>LEFT(Database!EON2,3)</f>
        <v/>
      </c>
      <c r="ENV2" t="str">
        <f>LEFT(Database!EOO2,3)</f>
        <v/>
      </c>
      <c r="ENW2" t="str">
        <f>LEFT(Database!EOP2,3)</f>
        <v/>
      </c>
      <c r="ENX2" t="str">
        <f>LEFT(Database!EOQ2,3)</f>
        <v/>
      </c>
      <c r="ENY2" t="str">
        <f>LEFT(Database!EOR2,3)</f>
        <v/>
      </c>
      <c r="ENZ2" t="str">
        <f>LEFT(Database!EOS2,3)</f>
        <v/>
      </c>
      <c r="EOA2" t="str">
        <f>LEFT(Database!EOT2,3)</f>
        <v/>
      </c>
      <c r="EOB2" t="str">
        <f>LEFT(Database!EOU2,3)</f>
        <v/>
      </c>
      <c r="EOC2" t="str">
        <f>LEFT(Database!EOV2,3)</f>
        <v/>
      </c>
      <c r="EOD2" t="str">
        <f>LEFT(Database!EOW2,3)</f>
        <v/>
      </c>
      <c r="EOE2" t="str">
        <f>LEFT(Database!EOX2,3)</f>
        <v/>
      </c>
      <c r="EOF2" t="str">
        <f>LEFT(Database!EOY2,3)</f>
        <v/>
      </c>
      <c r="EOG2" t="str">
        <f>LEFT(Database!EOZ2,3)</f>
        <v/>
      </c>
      <c r="EOH2" t="str">
        <f>LEFT(Database!EPA2,3)</f>
        <v/>
      </c>
      <c r="EOI2" t="str">
        <f>LEFT(Database!EPB2,3)</f>
        <v/>
      </c>
      <c r="EOJ2" t="str">
        <f>LEFT(Database!EPC2,3)</f>
        <v/>
      </c>
      <c r="EOK2" t="str">
        <f>LEFT(Database!EPD2,3)</f>
        <v/>
      </c>
      <c r="EOL2" t="str">
        <f>LEFT(Database!EPE2,3)</f>
        <v/>
      </c>
      <c r="EOM2" t="str">
        <f>LEFT(Database!EPF2,3)</f>
        <v/>
      </c>
      <c r="EON2" t="str">
        <f>LEFT(Database!EPG2,3)</f>
        <v/>
      </c>
      <c r="EOO2" t="str">
        <f>LEFT(Database!EPH2,3)</f>
        <v/>
      </c>
      <c r="EOP2" t="str">
        <f>LEFT(Database!EPI2,3)</f>
        <v/>
      </c>
      <c r="EOQ2" t="str">
        <f>LEFT(Database!EPJ2,3)</f>
        <v/>
      </c>
      <c r="EOR2" t="str">
        <f>LEFT(Database!EPK2,3)</f>
        <v/>
      </c>
      <c r="EOS2" t="str">
        <f>LEFT(Database!EPL2,3)</f>
        <v/>
      </c>
      <c r="EOT2" t="str">
        <f>LEFT(Database!EPM2,3)</f>
        <v/>
      </c>
      <c r="EOU2" t="str">
        <f>LEFT(Database!EPN2,3)</f>
        <v/>
      </c>
      <c r="EOV2" t="str">
        <f>LEFT(Database!EPO2,3)</f>
        <v/>
      </c>
      <c r="EOW2" t="str">
        <f>LEFT(Database!EPP2,3)</f>
        <v/>
      </c>
      <c r="EOX2" t="str">
        <f>LEFT(Database!EPQ2,3)</f>
        <v/>
      </c>
      <c r="EOY2" t="str">
        <f>LEFT(Database!EPR2,3)</f>
        <v/>
      </c>
      <c r="EOZ2" t="str">
        <f>LEFT(Database!EPS2,3)</f>
        <v/>
      </c>
      <c r="EPA2" t="str">
        <f>LEFT(Database!EPT2,3)</f>
        <v/>
      </c>
      <c r="EPB2" t="str">
        <f>LEFT(Database!EPU2,3)</f>
        <v/>
      </c>
      <c r="EPC2" t="str">
        <f>LEFT(Database!EPV2,3)</f>
        <v/>
      </c>
      <c r="EPD2" t="str">
        <f>LEFT(Database!EPW2,3)</f>
        <v/>
      </c>
      <c r="EPE2" t="str">
        <f>LEFT(Database!EPX2,3)</f>
        <v/>
      </c>
      <c r="EPF2" t="str">
        <f>LEFT(Database!EPY2,3)</f>
        <v/>
      </c>
      <c r="EPG2" t="str">
        <f>LEFT(Database!EPZ2,3)</f>
        <v/>
      </c>
      <c r="EPH2" t="str">
        <f>LEFT(Database!EQA2,3)</f>
        <v/>
      </c>
      <c r="EPI2" t="str">
        <f>LEFT(Database!EQB2,3)</f>
        <v/>
      </c>
      <c r="EPJ2" t="str">
        <f>LEFT(Database!EQC2,3)</f>
        <v/>
      </c>
      <c r="EPK2" t="str">
        <f>LEFT(Database!EQD2,3)</f>
        <v/>
      </c>
      <c r="EPL2" t="str">
        <f>LEFT(Database!EQE2,3)</f>
        <v/>
      </c>
      <c r="EPM2" t="str">
        <f>LEFT(Database!EQF2,3)</f>
        <v/>
      </c>
      <c r="EPN2" t="str">
        <f>LEFT(Database!EQG2,3)</f>
        <v/>
      </c>
      <c r="EPO2" t="str">
        <f>LEFT(Database!EQH2,3)</f>
        <v/>
      </c>
      <c r="EPP2" t="str">
        <f>LEFT(Database!EQI2,3)</f>
        <v/>
      </c>
      <c r="EPQ2" t="str">
        <f>LEFT(Database!EQJ2,3)</f>
        <v/>
      </c>
      <c r="EPR2" t="str">
        <f>LEFT(Database!EQK2,3)</f>
        <v/>
      </c>
      <c r="EPS2" t="str">
        <f>LEFT(Database!EQL2,3)</f>
        <v/>
      </c>
      <c r="EPT2" t="str">
        <f>LEFT(Database!EQM2,3)</f>
        <v/>
      </c>
      <c r="EPU2" t="str">
        <f>LEFT(Database!EQN2,3)</f>
        <v/>
      </c>
      <c r="EPV2" t="str">
        <f>LEFT(Database!EQO2,3)</f>
        <v/>
      </c>
      <c r="EPW2" t="str">
        <f>LEFT(Database!EQP2,3)</f>
        <v/>
      </c>
      <c r="EPX2" t="str">
        <f>LEFT(Database!EQQ2,3)</f>
        <v/>
      </c>
      <c r="EPY2" t="str">
        <f>LEFT(Database!EQR2,3)</f>
        <v/>
      </c>
      <c r="EPZ2" t="str">
        <f>LEFT(Database!EQS2,3)</f>
        <v/>
      </c>
      <c r="EQA2" t="str">
        <f>LEFT(Database!EQT2,3)</f>
        <v/>
      </c>
      <c r="EQB2" t="str">
        <f>LEFT(Database!EQU2,3)</f>
        <v/>
      </c>
      <c r="EQC2" t="str">
        <f>LEFT(Database!EQV2,3)</f>
        <v/>
      </c>
      <c r="EQD2" t="str">
        <f>LEFT(Database!EQW2,3)</f>
        <v/>
      </c>
      <c r="EQE2" t="str">
        <f>LEFT(Database!EQX2,3)</f>
        <v/>
      </c>
      <c r="EQF2" t="str">
        <f>LEFT(Database!EQY2,3)</f>
        <v/>
      </c>
      <c r="EQG2" t="str">
        <f>LEFT(Database!EQZ2,3)</f>
        <v/>
      </c>
      <c r="EQH2" t="str">
        <f>LEFT(Database!ERA2,3)</f>
        <v/>
      </c>
      <c r="EQI2" t="str">
        <f>LEFT(Database!ERB2,3)</f>
        <v/>
      </c>
      <c r="EQJ2" t="str">
        <f>LEFT(Database!ERC2,3)</f>
        <v/>
      </c>
      <c r="EQK2" t="str">
        <f>LEFT(Database!ERD2,3)</f>
        <v/>
      </c>
      <c r="EQL2" t="str">
        <f>LEFT(Database!ERE2,3)</f>
        <v/>
      </c>
      <c r="EQM2" t="str">
        <f>LEFT(Database!ERF2,3)</f>
        <v/>
      </c>
      <c r="EQN2" t="str">
        <f>LEFT(Database!ERG2,3)</f>
        <v/>
      </c>
      <c r="EQO2" t="str">
        <f>LEFT(Database!ERH2,3)</f>
        <v/>
      </c>
      <c r="EQP2" t="str">
        <f>LEFT(Database!ERI2,3)</f>
        <v/>
      </c>
      <c r="EQQ2" t="str">
        <f>LEFT(Database!ERJ2,3)</f>
        <v/>
      </c>
      <c r="EQR2" t="str">
        <f>LEFT(Database!ERK2,3)</f>
        <v/>
      </c>
      <c r="EQS2" t="str">
        <f>LEFT(Database!ERL2,3)</f>
        <v/>
      </c>
      <c r="EQT2" t="str">
        <f>LEFT(Database!ERM2,3)</f>
        <v/>
      </c>
      <c r="EQU2" t="str">
        <f>LEFT(Database!ERN2,3)</f>
        <v/>
      </c>
      <c r="EQV2" t="str">
        <f>LEFT(Database!ERO2,3)</f>
        <v/>
      </c>
      <c r="EQW2" t="str">
        <f>LEFT(Database!ERP2,3)</f>
        <v/>
      </c>
      <c r="EQX2" t="str">
        <f>LEFT(Database!ERQ2,3)</f>
        <v/>
      </c>
      <c r="EQY2" t="str">
        <f>LEFT(Database!ERR2,3)</f>
        <v/>
      </c>
      <c r="EQZ2" t="str">
        <f>LEFT(Database!ERS2,3)</f>
        <v/>
      </c>
      <c r="ERA2" t="str">
        <f>LEFT(Database!ERT2,3)</f>
        <v/>
      </c>
      <c r="ERB2" t="str">
        <f>LEFT(Database!ERU2,3)</f>
        <v/>
      </c>
      <c r="ERC2" t="str">
        <f>LEFT(Database!ERV2,3)</f>
        <v/>
      </c>
      <c r="ERD2" t="str">
        <f>LEFT(Database!ERW2,3)</f>
        <v/>
      </c>
      <c r="ERE2" t="str">
        <f>LEFT(Database!ERX2,3)</f>
        <v/>
      </c>
      <c r="ERF2" t="str">
        <f>LEFT(Database!ERY2,3)</f>
        <v/>
      </c>
      <c r="ERG2" t="str">
        <f>LEFT(Database!ERZ2,3)</f>
        <v/>
      </c>
      <c r="ERH2" t="str">
        <f>LEFT(Database!ESA2,3)</f>
        <v/>
      </c>
      <c r="ERI2" t="str">
        <f>LEFT(Database!ESB2,3)</f>
        <v/>
      </c>
      <c r="ERJ2" t="str">
        <f>LEFT(Database!ESC2,3)</f>
        <v/>
      </c>
      <c r="ERK2" t="str">
        <f>LEFT(Database!ESD2,3)</f>
        <v/>
      </c>
      <c r="ERL2" t="str">
        <f>LEFT(Database!ESE2,3)</f>
        <v/>
      </c>
      <c r="ERM2" t="str">
        <f>LEFT(Database!ESF2,3)</f>
        <v/>
      </c>
      <c r="ERN2" t="str">
        <f>LEFT(Database!ESG2,3)</f>
        <v/>
      </c>
      <c r="ERO2" t="str">
        <f>LEFT(Database!ESH2,3)</f>
        <v/>
      </c>
      <c r="ERP2" t="str">
        <f>LEFT(Database!ESI2,3)</f>
        <v/>
      </c>
      <c r="ERQ2" t="str">
        <f>LEFT(Database!ESJ2,3)</f>
        <v/>
      </c>
      <c r="ERR2" t="str">
        <f>LEFT(Database!ESK2,3)</f>
        <v/>
      </c>
      <c r="ERS2" t="str">
        <f>LEFT(Database!ESL2,3)</f>
        <v/>
      </c>
      <c r="ERT2" t="str">
        <f>LEFT(Database!ESM2,3)</f>
        <v/>
      </c>
      <c r="ERU2" t="str">
        <f>LEFT(Database!ESN2,3)</f>
        <v/>
      </c>
      <c r="ERV2" t="str">
        <f>LEFT(Database!ESO2,3)</f>
        <v/>
      </c>
      <c r="ERW2" t="str">
        <f>LEFT(Database!ESP2,3)</f>
        <v/>
      </c>
      <c r="ERX2" t="str">
        <f>LEFT(Database!ESQ2,3)</f>
        <v/>
      </c>
      <c r="ERY2" t="str">
        <f>LEFT(Database!ESR2,3)</f>
        <v/>
      </c>
      <c r="ERZ2" t="str">
        <f>LEFT(Database!ESS2,3)</f>
        <v/>
      </c>
      <c r="ESA2" t="str">
        <f>LEFT(Database!EST2,3)</f>
        <v/>
      </c>
      <c r="ESB2" t="str">
        <f>LEFT(Database!ESU2,3)</f>
        <v/>
      </c>
      <c r="ESC2" t="str">
        <f>LEFT(Database!ESV2,3)</f>
        <v/>
      </c>
      <c r="ESD2" t="str">
        <f>LEFT(Database!ESW2,3)</f>
        <v/>
      </c>
      <c r="ESE2" t="str">
        <f>LEFT(Database!ESX2,3)</f>
        <v/>
      </c>
      <c r="ESF2" t="str">
        <f>LEFT(Database!ESY2,3)</f>
        <v/>
      </c>
      <c r="ESG2" t="str">
        <f>LEFT(Database!ESZ2,3)</f>
        <v/>
      </c>
      <c r="ESH2" t="str">
        <f>LEFT(Database!ETA2,3)</f>
        <v/>
      </c>
      <c r="ESI2" t="str">
        <f>LEFT(Database!ETB2,3)</f>
        <v/>
      </c>
      <c r="ESJ2" t="str">
        <f>LEFT(Database!ETC2,3)</f>
        <v/>
      </c>
      <c r="ESK2" t="str">
        <f>LEFT(Database!ETD2,3)</f>
        <v/>
      </c>
      <c r="ESL2" t="str">
        <f>LEFT(Database!ETE2,3)</f>
        <v/>
      </c>
      <c r="ESM2" t="str">
        <f>LEFT(Database!ETF2,3)</f>
        <v/>
      </c>
      <c r="ESN2" t="str">
        <f>LEFT(Database!ETG2,3)</f>
        <v/>
      </c>
      <c r="ESO2" t="str">
        <f>LEFT(Database!ETH2,3)</f>
        <v/>
      </c>
      <c r="ESP2" t="str">
        <f>LEFT(Database!ETI2,3)</f>
        <v/>
      </c>
      <c r="ESQ2" t="str">
        <f>LEFT(Database!ETJ2,3)</f>
        <v/>
      </c>
      <c r="ESR2" t="str">
        <f>LEFT(Database!ETK2,3)</f>
        <v/>
      </c>
      <c r="ESS2" t="str">
        <f>LEFT(Database!ETL2,3)</f>
        <v/>
      </c>
      <c r="EST2" t="str">
        <f>LEFT(Database!ETM2,3)</f>
        <v/>
      </c>
      <c r="ESU2" t="str">
        <f>LEFT(Database!ETN2,3)</f>
        <v/>
      </c>
      <c r="ESV2" t="str">
        <f>LEFT(Database!ETO2,3)</f>
        <v/>
      </c>
      <c r="ESW2" t="str">
        <f>LEFT(Database!ETP2,3)</f>
        <v/>
      </c>
      <c r="ESX2" t="str">
        <f>LEFT(Database!ETQ2,3)</f>
        <v/>
      </c>
      <c r="ESY2" t="str">
        <f>LEFT(Database!ETR2,3)</f>
        <v/>
      </c>
      <c r="ESZ2" t="str">
        <f>LEFT(Database!ETS2,3)</f>
        <v/>
      </c>
      <c r="ETA2" t="str">
        <f>LEFT(Database!ETT2,3)</f>
        <v/>
      </c>
      <c r="ETB2" t="str">
        <f>LEFT(Database!ETU2,3)</f>
        <v/>
      </c>
      <c r="ETC2" t="str">
        <f>LEFT(Database!ETV2,3)</f>
        <v/>
      </c>
      <c r="ETD2" t="str">
        <f>LEFT(Database!ETW2,3)</f>
        <v/>
      </c>
      <c r="ETE2" t="str">
        <f>LEFT(Database!ETX2,3)</f>
        <v/>
      </c>
      <c r="ETF2" t="str">
        <f>LEFT(Database!ETY2,3)</f>
        <v/>
      </c>
      <c r="ETG2" t="str">
        <f>LEFT(Database!ETZ2,3)</f>
        <v/>
      </c>
      <c r="ETH2" t="str">
        <f>LEFT(Database!EUA2,3)</f>
        <v/>
      </c>
      <c r="ETI2" t="str">
        <f>LEFT(Database!EUB2,3)</f>
        <v/>
      </c>
      <c r="ETJ2" t="str">
        <f>LEFT(Database!EUC2,3)</f>
        <v/>
      </c>
      <c r="ETK2" t="str">
        <f>LEFT(Database!EUD2,3)</f>
        <v/>
      </c>
      <c r="ETL2" t="str">
        <f>LEFT(Database!EUE2,3)</f>
        <v/>
      </c>
      <c r="ETM2" t="str">
        <f>LEFT(Database!EUF2,3)</f>
        <v/>
      </c>
      <c r="ETN2" t="str">
        <f>LEFT(Database!EUG2,3)</f>
        <v/>
      </c>
      <c r="ETO2" t="str">
        <f>LEFT(Database!EUH2,3)</f>
        <v/>
      </c>
      <c r="ETP2" t="str">
        <f>LEFT(Database!EUI2,3)</f>
        <v/>
      </c>
      <c r="ETQ2" t="str">
        <f>LEFT(Database!EUJ2,3)</f>
        <v/>
      </c>
      <c r="ETR2" t="str">
        <f>LEFT(Database!EUK2,3)</f>
        <v/>
      </c>
      <c r="ETS2" t="str">
        <f>LEFT(Database!EUL2,3)</f>
        <v/>
      </c>
      <c r="ETT2" t="str">
        <f>LEFT(Database!EUM2,3)</f>
        <v/>
      </c>
      <c r="ETU2" t="str">
        <f>LEFT(Database!EUN2,3)</f>
        <v/>
      </c>
      <c r="ETV2" t="str">
        <f>LEFT(Database!EUO2,3)</f>
        <v/>
      </c>
      <c r="ETW2" t="str">
        <f>LEFT(Database!EUP2,3)</f>
        <v/>
      </c>
      <c r="ETX2" t="str">
        <f>LEFT(Database!EUQ2,3)</f>
        <v/>
      </c>
      <c r="ETY2" t="str">
        <f>LEFT(Database!EUR2,3)</f>
        <v/>
      </c>
      <c r="ETZ2" t="str">
        <f>LEFT(Database!EUS2,3)</f>
        <v/>
      </c>
      <c r="EUA2" t="str">
        <f>LEFT(Database!EUT2,3)</f>
        <v/>
      </c>
      <c r="EUB2" t="str">
        <f>LEFT(Database!EUU2,3)</f>
        <v/>
      </c>
      <c r="EUC2" t="str">
        <f>LEFT(Database!EUV2,3)</f>
        <v/>
      </c>
      <c r="EUD2" t="str">
        <f>LEFT(Database!EUW2,3)</f>
        <v/>
      </c>
      <c r="EUE2" t="str">
        <f>LEFT(Database!EUX2,3)</f>
        <v/>
      </c>
      <c r="EUF2" t="str">
        <f>LEFT(Database!EUY2,3)</f>
        <v/>
      </c>
      <c r="EUG2" t="str">
        <f>LEFT(Database!EUZ2,3)</f>
        <v/>
      </c>
      <c r="EUH2" t="str">
        <f>LEFT(Database!EVA2,3)</f>
        <v/>
      </c>
      <c r="EUI2" t="str">
        <f>LEFT(Database!EVB2,3)</f>
        <v/>
      </c>
      <c r="EUJ2" t="str">
        <f>LEFT(Database!EVC2,3)</f>
        <v/>
      </c>
      <c r="EUK2" t="str">
        <f>LEFT(Database!EVD2,3)</f>
        <v/>
      </c>
      <c r="EUL2" t="str">
        <f>LEFT(Database!EVE2,3)</f>
        <v/>
      </c>
      <c r="EUM2" t="str">
        <f>LEFT(Database!EVF2,3)</f>
        <v/>
      </c>
      <c r="EUN2" t="str">
        <f>LEFT(Database!EVG2,3)</f>
        <v/>
      </c>
      <c r="EUO2" t="str">
        <f>LEFT(Database!EVH2,3)</f>
        <v/>
      </c>
      <c r="EUP2" t="str">
        <f>LEFT(Database!EVI2,3)</f>
        <v/>
      </c>
      <c r="EUQ2" t="str">
        <f>LEFT(Database!EVJ2,3)</f>
        <v/>
      </c>
      <c r="EUR2" t="str">
        <f>LEFT(Database!EVK2,3)</f>
        <v/>
      </c>
      <c r="EUS2" t="str">
        <f>LEFT(Database!EVL2,3)</f>
        <v/>
      </c>
      <c r="EUT2" t="str">
        <f>LEFT(Database!EVM2,3)</f>
        <v/>
      </c>
      <c r="EUU2" t="str">
        <f>LEFT(Database!EVN2,3)</f>
        <v/>
      </c>
      <c r="EUV2" t="str">
        <f>LEFT(Database!EVO2,3)</f>
        <v/>
      </c>
      <c r="EUW2" t="str">
        <f>LEFT(Database!EVP2,3)</f>
        <v/>
      </c>
      <c r="EUX2" t="str">
        <f>LEFT(Database!EVQ2,3)</f>
        <v/>
      </c>
      <c r="EUY2" t="str">
        <f>LEFT(Database!EVR2,3)</f>
        <v/>
      </c>
      <c r="EUZ2" t="str">
        <f>LEFT(Database!EVS2,3)</f>
        <v/>
      </c>
      <c r="EVA2" t="str">
        <f>LEFT(Database!EVT2,3)</f>
        <v/>
      </c>
      <c r="EVB2" t="str">
        <f>LEFT(Database!EVU2,3)</f>
        <v/>
      </c>
      <c r="EVC2" t="str">
        <f>LEFT(Database!EVV2,3)</f>
        <v/>
      </c>
      <c r="EVD2" t="str">
        <f>LEFT(Database!EVW2,3)</f>
        <v/>
      </c>
      <c r="EVE2" t="str">
        <f>LEFT(Database!EVX2,3)</f>
        <v/>
      </c>
      <c r="EVF2" t="str">
        <f>LEFT(Database!EVY2,3)</f>
        <v/>
      </c>
      <c r="EVG2" t="str">
        <f>LEFT(Database!EVZ2,3)</f>
        <v/>
      </c>
      <c r="EVH2" t="str">
        <f>LEFT(Database!EWA2,3)</f>
        <v/>
      </c>
      <c r="EVI2" t="str">
        <f>LEFT(Database!EWB2,3)</f>
        <v/>
      </c>
      <c r="EVJ2" t="str">
        <f>LEFT(Database!EWC2,3)</f>
        <v/>
      </c>
      <c r="EVK2" t="str">
        <f>LEFT(Database!EWD2,3)</f>
        <v/>
      </c>
      <c r="EVL2" t="str">
        <f>LEFT(Database!EWE2,3)</f>
        <v/>
      </c>
      <c r="EVM2" t="str">
        <f>LEFT(Database!EWF2,3)</f>
        <v/>
      </c>
      <c r="EVN2" t="str">
        <f>LEFT(Database!EWG2,3)</f>
        <v/>
      </c>
      <c r="EVO2" t="str">
        <f>LEFT(Database!EWH2,3)</f>
        <v/>
      </c>
      <c r="EVP2" t="str">
        <f>LEFT(Database!EWI2,3)</f>
        <v/>
      </c>
      <c r="EVQ2" t="str">
        <f>LEFT(Database!EWJ2,3)</f>
        <v/>
      </c>
      <c r="EVR2" t="str">
        <f>LEFT(Database!EWK2,3)</f>
        <v/>
      </c>
      <c r="EVS2" t="str">
        <f>LEFT(Database!EWL2,3)</f>
        <v/>
      </c>
      <c r="EVT2" t="str">
        <f>LEFT(Database!EWM2,3)</f>
        <v/>
      </c>
      <c r="EVU2" t="str">
        <f>LEFT(Database!EWN2,3)</f>
        <v/>
      </c>
      <c r="EVV2" t="str">
        <f>LEFT(Database!EWO2,3)</f>
        <v/>
      </c>
      <c r="EVW2" t="str">
        <f>LEFT(Database!EWP2,3)</f>
        <v/>
      </c>
      <c r="EVX2" t="str">
        <f>LEFT(Database!EWQ2,3)</f>
        <v/>
      </c>
      <c r="EVY2" t="str">
        <f>LEFT(Database!EWR2,3)</f>
        <v/>
      </c>
      <c r="EVZ2" t="str">
        <f>LEFT(Database!EWS2,3)</f>
        <v/>
      </c>
      <c r="EWA2" t="str">
        <f>LEFT(Database!EWT2,3)</f>
        <v/>
      </c>
      <c r="EWB2" t="str">
        <f>LEFT(Database!EWU2,3)</f>
        <v/>
      </c>
      <c r="EWC2" t="str">
        <f>LEFT(Database!EWV2,3)</f>
        <v/>
      </c>
      <c r="EWD2" t="str">
        <f>LEFT(Database!EWW2,3)</f>
        <v/>
      </c>
      <c r="EWE2" t="str">
        <f>LEFT(Database!EWX2,3)</f>
        <v/>
      </c>
      <c r="EWF2" t="str">
        <f>LEFT(Database!EWY2,3)</f>
        <v/>
      </c>
      <c r="EWG2" t="str">
        <f>LEFT(Database!EWZ2,3)</f>
        <v/>
      </c>
      <c r="EWH2" t="str">
        <f>LEFT(Database!EXA2,3)</f>
        <v/>
      </c>
      <c r="EWI2" t="str">
        <f>LEFT(Database!EXB2,3)</f>
        <v/>
      </c>
      <c r="EWJ2" t="str">
        <f>LEFT(Database!EXC2,3)</f>
        <v/>
      </c>
      <c r="EWK2" t="str">
        <f>LEFT(Database!EXD2,3)</f>
        <v/>
      </c>
      <c r="EWL2" t="str">
        <f>LEFT(Database!EXE2,3)</f>
        <v/>
      </c>
      <c r="EWM2" t="str">
        <f>LEFT(Database!EXF2,3)</f>
        <v/>
      </c>
      <c r="EWN2" t="str">
        <f>LEFT(Database!EXG2,3)</f>
        <v/>
      </c>
      <c r="EWO2" t="str">
        <f>LEFT(Database!EXH2,3)</f>
        <v/>
      </c>
      <c r="EWP2" t="str">
        <f>LEFT(Database!EXI2,3)</f>
        <v/>
      </c>
      <c r="EWQ2" t="str">
        <f>LEFT(Database!EXJ2,3)</f>
        <v/>
      </c>
      <c r="EWR2" t="str">
        <f>LEFT(Database!EXK2,3)</f>
        <v/>
      </c>
      <c r="EWS2" t="str">
        <f>LEFT(Database!EXL2,3)</f>
        <v/>
      </c>
      <c r="EWT2" t="str">
        <f>LEFT(Database!EXM2,3)</f>
        <v/>
      </c>
      <c r="EWU2" t="str">
        <f>LEFT(Database!EXN2,3)</f>
        <v/>
      </c>
      <c r="EWV2" t="str">
        <f>LEFT(Database!EXO2,3)</f>
        <v/>
      </c>
      <c r="EWW2" t="str">
        <f>LEFT(Database!EXP2,3)</f>
        <v/>
      </c>
      <c r="EWX2" t="str">
        <f>LEFT(Database!EXQ2,3)</f>
        <v/>
      </c>
      <c r="EWY2" t="str">
        <f>LEFT(Database!EXR2,3)</f>
        <v/>
      </c>
      <c r="EWZ2" t="str">
        <f>LEFT(Database!EXS2,3)</f>
        <v/>
      </c>
      <c r="EXA2" t="str">
        <f>LEFT(Database!EXT2,3)</f>
        <v/>
      </c>
      <c r="EXB2" t="str">
        <f>LEFT(Database!EXU2,3)</f>
        <v/>
      </c>
      <c r="EXC2" t="str">
        <f>LEFT(Database!EXV2,3)</f>
        <v/>
      </c>
      <c r="EXD2" t="str">
        <f>LEFT(Database!EXW2,3)</f>
        <v/>
      </c>
      <c r="EXE2" t="str">
        <f>LEFT(Database!EXX2,3)</f>
        <v/>
      </c>
      <c r="EXF2" t="str">
        <f>LEFT(Database!EXY2,3)</f>
        <v/>
      </c>
      <c r="EXG2" t="str">
        <f>LEFT(Database!EXZ2,3)</f>
        <v/>
      </c>
      <c r="EXH2" t="str">
        <f>LEFT(Database!EYA2,3)</f>
        <v/>
      </c>
      <c r="EXI2" t="str">
        <f>LEFT(Database!EYB2,3)</f>
        <v/>
      </c>
      <c r="EXJ2" t="str">
        <f>LEFT(Database!EYC2,3)</f>
        <v/>
      </c>
      <c r="EXK2" t="str">
        <f>LEFT(Database!EYD2,3)</f>
        <v/>
      </c>
      <c r="EXL2" t="str">
        <f>LEFT(Database!EYE2,3)</f>
        <v/>
      </c>
      <c r="EXM2" t="str">
        <f>LEFT(Database!EYF2,3)</f>
        <v/>
      </c>
      <c r="EXN2" t="str">
        <f>LEFT(Database!EYG2,3)</f>
        <v/>
      </c>
      <c r="EXO2" t="str">
        <f>LEFT(Database!EYH2,3)</f>
        <v/>
      </c>
      <c r="EXP2" t="str">
        <f>LEFT(Database!EYI2,3)</f>
        <v/>
      </c>
      <c r="EXQ2" t="str">
        <f>LEFT(Database!EYJ2,3)</f>
        <v/>
      </c>
      <c r="EXR2" t="str">
        <f>LEFT(Database!EYK2,3)</f>
        <v/>
      </c>
      <c r="EXS2" t="str">
        <f>LEFT(Database!EYL2,3)</f>
        <v/>
      </c>
      <c r="EXT2" t="str">
        <f>LEFT(Database!EYM2,3)</f>
        <v/>
      </c>
      <c r="EXU2" t="str">
        <f>LEFT(Database!EYN2,3)</f>
        <v/>
      </c>
      <c r="EXV2" t="str">
        <f>LEFT(Database!EYO2,3)</f>
        <v/>
      </c>
      <c r="EXW2" t="str">
        <f>LEFT(Database!EYP2,3)</f>
        <v/>
      </c>
      <c r="EXX2" t="str">
        <f>LEFT(Database!EYQ2,3)</f>
        <v/>
      </c>
      <c r="EXY2" t="str">
        <f>LEFT(Database!EYR2,3)</f>
        <v/>
      </c>
      <c r="EXZ2" t="str">
        <f>LEFT(Database!EYS2,3)</f>
        <v/>
      </c>
      <c r="EYA2" t="str">
        <f>LEFT(Database!EYT2,3)</f>
        <v/>
      </c>
      <c r="EYB2" t="str">
        <f>LEFT(Database!EYU2,3)</f>
        <v/>
      </c>
      <c r="EYC2" t="str">
        <f>LEFT(Database!EYV2,3)</f>
        <v/>
      </c>
      <c r="EYD2" t="str">
        <f>LEFT(Database!EYW2,3)</f>
        <v/>
      </c>
      <c r="EYE2" t="str">
        <f>LEFT(Database!EYX2,3)</f>
        <v/>
      </c>
      <c r="EYF2" t="str">
        <f>LEFT(Database!EYY2,3)</f>
        <v/>
      </c>
      <c r="EYG2" t="str">
        <f>LEFT(Database!EYZ2,3)</f>
        <v/>
      </c>
      <c r="EYH2" t="str">
        <f>LEFT(Database!EZA2,3)</f>
        <v/>
      </c>
      <c r="EYI2" t="str">
        <f>LEFT(Database!EZB2,3)</f>
        <v/>
      </c>
      <c r="EYJ2" t="str">
        <f>LEFT(Database!EZC2,3)</f>
        <v/>
      </c>
      <c r="EYK2" t="str">
        <f>LEFT(Database!EZD2,3)</f>
        <v/>
      </c>
      <c r="EYL2" t="str">
        <f>LEFT(Database!EZE2,3)</f>
        <v/>
      </c>
      <c r="EYM2" t="str">
        <f>LEFT(Database!EZF2,3)</f>
        <v/>
      </c>
      <c r="EYN2" t="str">
        <f>LEFT(Database!EZG2,3)</f>
        <v/>
      </c>
      <c r="EYO2" t="str">
        <f>LEFT(Database!EZH2,3)</f>
        <v/>
      </c>
      <c r="EYP2" t="str">
        <f>LEFT(Database!EZI2,3)</f>
        <v/>
      </c>
      <c r="EYQ2" t="str">
        <f>LEFT(Database!EZJ2,3)</f>
        <v/>
      </c>
      <c r="EYR2" t="str">
        <f>LEFT(Database!EZK2,3)</f>
        <v/>
      </c>
      <c r="EYS2" t="str">
        <f>LEFT(Database!EZL2,3)</f>
        <v/>
      </c>
      <c r="EYT2" t="str">
        <f>LEFT(Database!EZM2,3)</f>
        <v/>
      </c>
      <c r="EYU2" t="str">
        <f>LEFT(Database!EZN2,3)</f>
        <v/>
      </c>
      <c r="EYV2" t="str">
        <f>LEFT(Database!EZO2,3)</f>
        <v/>
      </c>
      <c r="EYW2" t="str">
        <f>LEFT(Database!EZP2,3)</f>
        <v/>
      </c>
      <c r="EYX2" t="str">
        <f>LEFT(Database!EZQ2,3)</f>
        <v/>
      </c>
      <c r="EYY2" t="str">
        <f>LEFT(Database!EZR2,3)</f>
        <v/>
      </c>
      <c r="EYZ2" t="str">
        <f>LEFT(Database!EZS2,3)</f>
        <v/>
      </c>
      <c r="EZA2" t="str">
        <f>LEFT(Database!EZT2,3)</f>
        <v/>
      </c>
      <c r="EZB2" t="str">
        <f>LEFT(Database!EZU2,3)</f>
        <v/>
      </c>
      <c r="EZC2" t="str">
        <f>LEFT(Database!EZV2,3)</f>
        <v/>
      </c>
      <c r="EZD2" t="str">
        <f>LEFT(Database!EZW2,3)</f>
        <v/>
      </c>
      <c r="EZE2" t="str">
        <f>LEFT(Database!EZX2,3)</f>
        <v/>
      </c>
      <c r="EZF2" t="str">
        <f>LEFT(Database!EZY2,3)</f>
        <v/>
      </c>
      <c r="EZG2" t="str">
        <f>LEFT(Database!EZZ2,3)</f>
        <v/>
      </c>
      <c r="EZH2" t="str">
        <f>LEFT(Database!FAA2,3)</f>
        <v/>
      </c>
      <c r="EZI2" t="str">
        <f>LEFT(Database!FAB2,3)</f>
        <v/>
      </c>
      <c r="EZJ2" t="str">
        <f>LEFT(Database!FAC2,3)</f>
        <v/>
      </c>
      <c r="EZK2" t="str">
        <f>LEFT(Database!FAD2,3)</f>
        <v/>
      </c>
      <c r="EZL2" t="str">
        <f>LEFT(Database!FAE2,3)</f>
        <v/>
      </c>
      <c r="EZM2" t="str">
        <f>LEFT(Database!FAF2,3)</f>
        <v/>
      </c>
      <c r="EZN2" t="str">
        <f>LEFT(Database!FAG2,3)</f>
        <v/>
      </c>
      <c r="EZO2" t="str">
        <f>LEFT(Database!FAH2,3)</f>
        <v/>
      </c>
      <c r="EZP2" t="str">
        <f>LEFT(Database!FAI2,3)</f>
        <v/>
      </c>
      <c r="EZQ2" t="str">
        <f>LEFT(Database!FAJ2,3)</f>
        <v/>
      </c>
      <c r="EZR2" t="str">
        <f>LEFT(Database!FAK2,3)</f>
        <v/>
      </c>
      <c r="EZS2" t="str">
        <f>LEFT(Database!FAL2,3)</f>
        <v/>
      </c>
      <c r="EZT2" t="str">
        <f>LEFT(Database!FAM2,3)</f>
        <v/>
      </c>
      <c r="EZU2" t="str">
        <f>LEFT(Database!FAN2,3)</f>
        <v/>
      </c>
      <c r="EZV2" t="str">
        <f>LEFT(Database!FAO2,3)</f>
        <v/>
      </c>
      <c r="EZW2" t="str">
        <f>LEFT(Database!FAP2,3)</f>
        <v/>
      </c>
      <c r="EZX2" t="str">
        <f>LEFT(Database!FAQ2,3)</f>
        <v/>
      </c>
      <c r="EZY2" t="str">
        <f>LEFT(Database!FAR2,3)</f>
        <v/>
      </c>
      <c r="EZZ2" t="str">
        <f>LEFT(Database!FAS2,3)</f>
        <v/>
      </c>
      <c r="FAA2" t="str">
        <f>LEFT(Database!FAT2,3)</f>
        <v/>
      </c>
      <c r="FAB2" t="str">
        <f>LEFT(Database!FAU2,3)</f>
        <v/>
      </c>
      <c r="FAC2" t="str">
        <f>LEFT(Database!FAV2,3)</f>
        <v/>
      </c>
      <c r="FAD2" t="str">
        <f>LEFT(Database!FAW2,3)</f>
        <v/>
      </c>
      <c r="FAE2" t="str">
        <f>LEFT(Database!FAX2,3)</f>
        <v/>
      </c>
      <c r="FAF2" t="str">
        <f>LEFT(Database!FAY2,3)</f>
        <v/>
      </c>
      <c r="FAG2" t="str">
        <f>LEFT(Database!FAZ2,3)</f>
        <v/>
      </c>
      <c r="FAH2" t="str">
        <f>LEFT(Database!FBA2,3)</f>
        <v/>
      </c>
      <c r="FAI2" t="str">
        <f>LEFT(Database!FBB2,3)</f>
        <v/>
      </c>
      <c r="FAJ2" t="str">
        <f>LEFT(Database!FBC2,3)</f>
        <v/>
      </c>
      <c r="FAK2" t="str">
        <f>LEFT(Database!FBD2,3)</f>
        <v/>
      </c>
      <c r="FAL2" t="str">
        <f>LEFT(Database!FBE2,3)</f>
        <v/>
      </c>
      <c r="FAM2" t="str">
        <f>LEFT(Database!FBF2,3)</f>
        <v/>
      </c>
      <c r="FAN2" t="str">
        <f>LEFT(Database!FBG2,3)</f>
        <v/>
      </c>
      <c r="FAO2" t="str">
        <f>LEFT(Database!FBH2,3)</f>
        <v/>
      </c>
      <c r="FAP2" t="str">
        <f>LEFT(Database!FBI2,3)</f>
        <v/>
      </c>
      <c r="FAQ2" t="str">
        <f>LEFT(Database!FBJ2,3)</f>
        <v/>
      </c>
      <c r="FAR2" t="str">
        <f>LEFT(Database!FBK2,3)</f>
        <v/>
      </c>
      <c r="FAS2" t="str">
        <f>LEFT(Database!FBL2,3)</f>
        <v/>
      </c>
      <c r="FAT2" t="str">
        <f>LEFT(Database!FBM2,3)</f>
        <v/>
      </c>
      <c r="FAU2" t="str">
        <f>LEFT(Database!FBN2,3)</f>
        <v/>
      </c>
      <c r="FAV2" t="str">
        <f>LEFT(Database!FBO2,3)</f>
        <v/>
      </c>
      <c r="FAW2" t="str">
        <f>LEFT(Database!FBP2,3)</f>
        <v/>
      </c>
      <c r="FAX2" t="str">
        <f>LEFT(Database!FBQ2,3)</f>
        <v/>
      </c>
      <c r="FAY2" t="str">
        <f>LEFT(Database!FBR2,3)</f>
        <v/>
      </c>
      <c r="FAZ2" t="str">
        <f>LEFT(Database!FBS2,3)</f>
        <v/>
      </c>
      <c r="FBA2" t="str">
        <f>LEFT(Database!FBT2,3)</f>
        <v/>
      </c>
      <c r="FBB2" t="str">
        <f>LEFT(Database!FBU2,3)</f>
        <v/>
      </c>
      <c r="FBC2" t="str">
        <f>LEFT(Database!FBV2,3)</f>
        <v/>
      </c>
      <c r="FBD2" t="str">
        <f>LEFT(Database!FBW2,3)</f>
        <v/>
      </c>
      <c r="FBE2" t="str">
        <f>LEFT(Database!FBX2,3)</f>
        <v/>
      </c>
      <c r="FBF2" t="str">
        <f>LEFT(Database!FBY2,3)</f>
        <v/>
      </c>
      <c r="FBG2" t="str">
        <f>LEFT(Database!FBZ2,3)</f>
        <v/>
      </c>
      <c r="FBH2" t="str">
        <f>LEFT(Database!FCA2,3)</f>
        <v/>
      </c>
      <c r="FBI2" t="str">
        <f>LEFT(Database!FCB2,3)</f>
        <v/>
      </c>
      <c r="FBJ2" t="str">
        <f>LEFT(Database!FCC2,3)</f>
        <v/>
      </c>
      <c r="FBK2" t="str">
        <f>LEFT(Database!FCD2,3)</f>
        <v/>
      </c>
      <c r="FBL2" t="str">
        <f>LEFT(Database!FCE2,3)</f>
        <v/>
      </c>
      <c r="FBM2" t="str">
        <f>LEFT(Database!FCF2,3)</f>
        <v/>
      </c>
      <c r="FBN2" t="str">
        <f>LEFT(Database!FCG2,3)</f>
        <v/>
      </c>
      <c r="FBO2" t="str">
        <f>LEFT(Database!FCH2,3)</f>
        <v/>
      </c>
      <c r="FBP2" t="str">
        <f>LEFT(Database!FCI2,3)</f>
        <v/>
      </c>
      <c r="FBQ2" t="str">
        <f>LEFT(Database!FCJ2,3)</f>
        <v/>
      </c>
      <c r="FBR2" t="str">
        <f>LEFT(Database!FCK2,3)</f>
        <v/>
      </c>
      <c r="FBS2" t="str">
        <f>LEFT(Database!FCL2,3)</f>
        <v/>
      </c>
      <c r="FBT2" t="str">
        <f>LEFT(Database!FCM2,3)</f>
        <v/>
      </c>
      <c r="FBU2" t="str">
        <f>LEFT(Database!FCN2,3)</f>
        <v/>
      </c>
      <c r="FBV2" t="str">
        <f>LEFT(Database!FCO2,3)</f>
        <v/>
      </c>
      <c r="FBW2" t="str">
        <f>LEFT(Database!FCP2,3)</f>
        <v/>
      </c>
      <c r="FBX2" t="str">
        <f>LEFT(Database!FCQ2,3)</f>
        <v/>
      </c>
      <c r="FBY2" t="str">
        <f>LEFT(Database!FCR2,3)</f>
        <v/>
      </c>
      <c r="FBZ2" t="str">
        <f>LEFT(Database!FCS2,3)</f>
        <v/>
      </c>
      <c r="FCA2" t="str">
        <f>LEFT(Database!FCT2,3)</f>
        <v/>
      </c>
      <c r="FCB2" t="str">
        <f>LEFT(Database!FCU2,3)</f>
        <v/>
      </c>
      <c r="FCC2" t="str">
        <f>LEFT(Database!FCV2,3)</f>
        <v/>
      </c>
      <c r="FCD2" t="str">
        <f>LEFT(Database!FCW2,3)</f>
        <v/>
      </c>
      <c r="FCE2" t="str">
        <f>LEFT(Database!FCX2,3)</f>
        <v/>
      </c>
      <c r="FCF2" t="str">
        <f>LEFT(Database!FCY2,3)</f>
        <v/>
      </c>
      <c r="FCG2" t="str">
        <f>LEFT(Database!FCZ2,3)</f>
        <v/>
      </c>
      <c r="FCH2" t="str">
        <f>LEFT(Database!FDA2,3)</f>
        <v/>
      </c>
      <c r="FCI2" t="str">
        <f>LEFT(Database!FDB2,3)</f>
        <v/>
      </c>
      <c r="FCJ2" t="str">
        <f>LEFT(Database!FDC2,3)</f>
        <v/>
      </c>
      <c r="FCK2" t="str">
        <f>LEFT(Database!FDD2,3)</f>
        <v/>
      </c>
      <c r="FCL2" t="str">
        <f>LEFT(Database!FDE2,3)</f>
        <v/>
      </c>
      <c r="FCM2" t="str">
        <f>LEFT(Database!FDF2,3)</f>
        <v/>
      </c>
      <c r="FCN2" t="str">
        <f>LEFT(Database!FDG2,3)</f>
        <v/>
      </c>
      <c r="FCO2" t="str">
        <f>LEFT(Database!FDH2,3)</f>
        <v/>
      </c>
      <c r="FCP2" t="str">
        <f>LEFT(Database!FDI2,3)</f>
        <v/>
      </c>
      <c r="FCQ2" t="str">
        <f>LEFT(Database!FDJ2,3)</f>
        <v/>
      </c>
      <c r="FCR2" t="str">
        <f>LEFT(Database!FDK2,3)</f>
        <v/>
      </c>
      <c r="FCS2" t="str">
        <f>LEFT(Database!FDL2,3)</f>
        <v/>
      </c>
      <c r="FCT2" t="str">
        <f>LEFT(Database!FDM2,3)</f>
        <v/>
      </c>
      <c r="FCU2" t="str">
        <f>LEFT(Database!FDN2,3)</f>
        <v/>
      </c>
      <c r="FCV2" t="str">
        <f>LEFT(Database!FDO2,3)</f>
        <v/>
      </c>
      <c r="FCW2" t="str">
        <f>LEFT(Database!FDP2,3)</f>
        <v/>
      </c>
      <c r="FCX2" t="str">
        <f>LEFT(Database!FDQ2,3)</f>
        <v/>
      </c>
      <c r="FCY2" t="str">
        <f>LEFT(Database!FDR2,3)</f>
        <v/>
      </c>
      <c r="FCZ2" t="str">
        <f>LEFT(Database!FDS2,3)</f>
        <v/>
      </c>
      <c r="FDA2" t="str">
        <f>LEFT(Database!FDT2,3)</f>
        <v/>
      </c>
      <c r="FDB2" t="str">
        <f>LEFT(Database!FDU2,3)</f>
        <v/>
      </c>
      <c r="FDC2" t="str">
        <f>LEFT(Database!FDV2,3)</f>
        <v/>
      </c>
      <c r="FDD2" t="str">
        <f>LEFT(Database!FDW2,3)</f>
        <v/>
      </c>
      <c r="FDE2" t="str">
        <f>LEFT(Database!FDX2,3)</f>
        <v/>
      </c>
      <c r="FDF2" t="str">
        <f>LEFT(Database!FDY2,3)</f>
        <v/>
      </c>
      <c r="FDG2" t="str">
        <f>LEFT(Database!FDZ2,3)</f>
        <v/>
      </c>
      <c r="FDH2" t="str">
        <f>LEFT(Database!FEA2,3)</f>
        <v/>
      </c>
      <c r="FDI2" t="str">
        <f>LEFT(Database!FEB2,3)</f>
        <v/>
      </c>
      <c r="FDJ2" t="str">
        <f>LEFT(Database!FEC2,3)</f>
        <v/>
      </c>
      <c r="FDK2" t="str">
        <f>LEFT(Database!FED2,3)</f>
        <v/>
      </c>
      <c r="FDL2" t="str">
        <f>LEFT(Database!FEE2,3)</f>
        <v/>
      </c>
      <c r="FDM2" t="str">
        <f>LEFT(Database!FEF2,3)</f>
        <v/>
      </c>
      <c r="FDN2" t="str">
        <f>LEFT(Database!FEG2,3)</f>
        <v/>
      </c>
      <c r="FDO2" t="str">
        <f>LEFT(Database!FEH2,3)</f>
        <v/>
      </c>
      <c r="FDP2" t="str">
        <f>LEFT(Database!FEI2,3)</f>
        <v/>
      </c>
      <c r="FDQ2" t="str">
        <f>LEFT(Database!FEJ2,3)</f>
        <v/>
      </c>
      <c r="FDR2" t="str">
        <f>LEFT(Database!FEK2,3)</f>
        <v/>
      </c>
      <c r="FDS2" t="str">
        <f>LEFT(Database!FEL2,3)</f>
        <v/>
      </c>
      <c r="FDT2" t="str">
        <f>LEFT(Database!FEM2,3)</f>
        <v/>
      </c>
      <c r="FDU2" t="str">
        <f>LEFT(Database!FEN2,3)</f>
        <v/>
      </c>
      <c r="FDV2" t="str">
        <f>LEFT(Database!FEO2,3)</f>
        <v/>
      </c>
      <c r="FDW2" t="str">
        <f>LEFT(Database!FEP2,3)</f>
        <v/>
      </c>
      <c r="FDX2" t="str">
        <f>LEFT(Database!FEQ2,3)</f>
        <v/>
      </c>
      <c r="FDY2" t="str">
        <f>LEFT(Database!FER2,3)</f>
        <v/>
      </c>
      <c r="FDZ2" t="str">
        <f>LEFT(Database!FES2,3)</f>
        <v/>
      </c>
      <c r="FEA2" t="str">
        <f>LEFT(Database!FET2,3)</f>
        <v/>
      </c>
      <c r="FEB2" t="str">
        <f>LEFT(Database!FEU2,3)</f>
        <v/>
      </c>
      <c r="FEC2" t="str">
        <f>LEFT(Database!FEV2,3)</f>
        <v/>
      </c>
      <c r="FED2" t="str">
        <f>LEFT(Database!FEW2,3)</f>
        <v/>
      </c>
      <c r="FEE2" t="str">
        <f>LEFT(Database!FEX2,3)</f>
        <v/>
      </c>
      <c r="FEF2" t="str">
        <f>LEFT(Database!FEY2,3)</f>
        <v/>
      </c>
      <c r="FEG2" t="str">
        <f>LEFT(Database!FEZ2,3)</f>
        <v/>
      </c>
      <c r="FEH2" t="str">
        <f>LEFT(Database!FFA2,3)</f>
        <v/>
      </c>
      <c r="FEI2" t="str">
        <f>LEFT(Database!FFB2,3)</f>
        <v/>
      </c>
      <c r="FEJ2" t="str">
        <f>LEFT(Database!FFC2,3)</f>
        <v/>
      </c>
      <c r="FEK2" t="str">
        <f>LEFT(Database!FFD2,3)</f>
        <v/>
      </c>
      <c r="FEL2" t="str">
        <f>LEFT(Database!FFE2,3)</f>
        <v/>
      </c>
      <c r="FEM2" t="str">
        <f>LEFT(Database!FFF2,3)</f>
        <v/>
      </c>
      <c r="FEN2" t="str">
        <f>LEFT(Database!FFG2,3)</f>
        <v/>
      </c>
      <c r="FEO2" t="str">
        <f>LEFT(Database!FFH2,3)</f>
        <v/>
      </c>
      <c r="FEP2" t="str">
        <f>LEFT(Database!FFI2,3)</f>
        <v/>
      </c>
      <c r="FEQ2" t="str">
        <f>LEFT(Database!FFJ2,3)</f>
        <v/>
      </c>
      <c r="FER2" t="str">
        <f>LEFT(Database!FFK2,3)</f>
        <v/>
      </c>
      <c r="FES2" t="str">
        <f>LEFT(Database!FFL2,3)</f>
        <v/>
      </c>
      <c r="FET2" t="str">
        <f>LEFT(Database!FFM2,3)</f>
        <v/>
      </c>
      <c r="FEU2" t="str">
        <f>LEFT(Database!FFN2,3)</f>
        <v/>
      </c>
      <c r="FEV2" t="str">
        <f>LEFT(Database!FFO2,3)</f>
        <v/>
      </c>
      <c r="FEW2" t="str">
        <f>LEFT(Database!FFP2,3)</f>
        <v/>
      </c>
      <c r="FEX2" t="str">
        <f>LEFT(Database!FFQ2,3)</f>
        <v/>
      </c>
      <c r="FEY2" t="str">
        <f>LEFT(Database!FFR2,3)</f>
        <v/>
      </c>
      <c r="FEZ2" t="str">
        <f>LEFT(Database!FFS2,3)</f>
        <v/>
      </c>
      <c r="FFA2" t="str">
        <f>LEFT(Database!FFT2,3)</f>
        <v/>
      </c>
      <c r="FFB2" t="str">
        <f>LEFT(Database!FFU2,3)</f>
        <v/>
      </c>
      <c r="FFC2" t="str">
        <f>LEFT(Database!FFV2,3)</f>
        <v/>
      </c>
      <c r="FFD2" t="str">
        <f>LEFT(Database!FFW2,3)</f>
        <v/>
      </c>
      <c r="FFE2" t="str">
        <f>LEFT(Database!FFX2,3)</f>
        <v/>
      </c>
      <c r="FFF2" t="str">
        <f>LEFT(Database!FFY2,3)</f>
        <v/>
      </c>
      <c r="FFG2" t="str">
        <f>LEFT(Database!FFZ2,3)</f>
        <v/>
      </c>
      <c r="FFH2" t="str">
        <f>LEFT(Database!FGA2,3)</f>
        <v/>
      </c>
      <c r="FFI2" t="str">
        <f>LEFT(Database!FGB2,3)</f>
        <v/>
      </c>
      <c r="FFJ2" t="str">
        <f>LEFT(Database!FGC2,3)</f>
        <v/>
      </c>
      <c r="FFK2" t="str">
        <f>LEFT(Database!FGD2,3)</f>
        <v/>
      </c>
      <c r="FFL2" t="str">
        <f>LEFT(Database!FGE2,3)</f>
        <v/>
      </c>
      <c r="FFM2" t="str">
        <f>LEFT(Database!FGF2,3)</f>
        <v/>
      </c>
      <c r="FFN2" t="str">
        <f>LEFT(Database!FGG2,3)</f>
        <v/>
      </c>
      <c r="FFO2" t="str">
        <f>LEFT(Database!FGH2,3)</f>
        <v/>
      </c>
      <c r="FFP2" t="str">
        <f>LEFT(Database!FGI2,3)</f>
        <v/>
      </c>
      <c r="FFQ2" t="str">
        <f>LEFT(Database!FGJ2,3)</f>
        <v/>
      </c>
      <c r="FFR2" t="str">
        <f>LEFT(Database!FGK2,3)</f>
        <v/>
      </c>
      <c r="FFS2" t="str">
        <f>LEFT(Database!FGL2,3)</f>
        <v/>
      </c>
      <c r="FFT2" t="str">
        <f>LEFT(Database!FGM2,3)</f>
        <v/>
      </c>
      <c r="FFU2" t="str">
        <f>LEFT(Database!FGN2,3)</f>
        <v/>
      </c>
      <c r="FFV2" t="str">
        <f>LEFT(Database!FGO2,3)</f>
        <v/>
      </c>
      <c r="FFW2" t="str">
        <f>LEFT(Database!FGP2,3)</f>
        <v/>
      </c>
      <c r="FFX2" t="str">
        <f>LEFT(Database!FGQ2,3)</f>
        <v/>
      </c>
      <c r="FFY2" t="str">
        <f>LEFT(Database!FGR2,3)</f>
        <v/>
      </c>
      <c r="FFZ2" t="str">
        <f>LEFT(Database!FGS2,3)</f>
        <v/>
      </c>
      <c r="FGA2" t="str">
        <f>LEFT(Database!FGT2,3)</f>
        <v/>
      </c>
      <c r="FGB2" t="str">
        <f>LEFT(Database!FGU2,3)</f>
        <v/>
      </c>
      <c r="FGC2" t="str">
        <f>LEFT(Database!FGV2,3)</f>
        <v/>
      </c>
      <c r="FGD2" t="str">
        <f>LEFT(Database!FGW2,3)</f>
        <v/>
      </c>
      <c r="FGE2" t="str">
        <f>LEFT(Database!FGX2,3)</f>
        <v/>
      </c>
      <c r="FGF2" t="str">
        <f>LEFT(Database!FGY2,3)</f>
        <v/>
      </c>
      <c r="FGG2" t="str">
        <f>LEFT(Database!FGZ2,3)</f>
        <v/>
      </c>
      <c r="FGH2" t="str">
        <f>LEFT(Database!FHA2,3)</f>
        <v/>
      </c>
      <c r="FGI2" t="str">
        <f>LEFT(Database!FHB2,3)</f>
        <v/>
      </c>
      <c r="FGJ2" t="str">
        <f>LEFT(Database!FHC2,3)</f>
        <v/>
      </c>
      <c r="FGK2" t="str">
        <f>LEFT(Database!FHD2,3)</f>
        <v/>
      </c>
      <c r="FGL2" t="str">
        <f>LEFT(Database!FHE2,3)</f>
        <v/>
      </c>
      <c r="FGM2" t="str">
        <f>LEFT(Database!FHF2,3)</f>
        <v/>
      </c>
      <c r="FGN2" t="str">
        <f>LEFT(Database!FHG2,3)</f>
        <v/>
      </c>
      <c r="FGO2" t="str">
        <f>LEFT(Database!FHH2,3)</f>
        <v/>
      </c>
      <c r="FGP2" t="str">
        <f>LEFT(Database!FHI2,3)</f>
        <v/>
      </c>
      <c r="FGQ2" t="str">
        <f>LEFT(Database!FHJ2,3)</f>
        <v/>
      </c>
      <c r="FGR2" t="str">
        <f>LEFT(Database!FHK2,3)</f>
        <v/>
      </c>
      <c r="FGS2" t="str">
        <f>LEFT(Database!FHL2,3)</f>
        <v/>
      </c>
      <c r="FGT2" t="str">
        <f>LEFT(Database!FHM2,3)</f>
        <v/>
      </c>
      <c r="FGU2" t="str">
        <f>LEFT(Database!FHN2,3)</f>
        <v/>
      </c>
      <c r="FGV2" t="str">
        <f>LEFT(Database!FHO2,3)</f>
        <v/>
      </c>
      <c r="FGW2" t="str">
        <f>LEFT(Database!FHP2,3)</f>
        <v/>
      </c>
      <c r="FGX2" t="str">
        <f>LEFT(Database!FHQ2,3)</f>
        <v/>
      </c>
      <c r="FGY2" t="str">
        <f>LEFT(Database!FHR2,3)</f>
        <v/>
      </c>
      <c r="FGZ2" t="str">
        <f>LEFT(Database!FHS2,3)</f>
        <v/>
      </c>
      <c r="FHA2" t="str">
        <f>LEFT(Database!FHT2,3)</f>
        <v/>
      </c>
      <c r="FHB2" t="str">
        <f>LEFT(Database!FHU2,3)</f>
        <v/>
      </c>
      <c r="FHC2" t="str">
        <f>LEFT(Database!FHV2,3)</f>
        <v/>
      </c>
      <c r="FHD2" t="str">
        <f>LEFT(Database!FHW2,3)</f>
        <v/>
      </c>
      <c r="FHE2" t="str">
        <f>LEFT(Database!FHX2,3)</f>
        <v/>
      </c>
      <c r="FHF2" t="str">
        <f>LEFT(Database!FHY2,3)</f>
        <v/>
      </c>
      <c r="FHG2" t="str">
        <f>LEFT(Database!FHZ2,3)</f>
        <v/>
      </c>
      <c r="FHH2" t="str">
        <f>LEFT(Database!FIA2,3)</f>
        <v/>
      </c>
      <c r="FHI2" t="str">
        <f>LEFT(Database!FIB2,3)</f>
        <v/>
      </c>
      <c r="FHJ2" t="str">
        <f>LEFT(Database!FIC2,3)</f>
        <v/>
      </c>
      <c r="FHK2" t="str">
        <f>LEFT(Database!FID2,3)</f>
        <v/>
      </c>
      <c r="FHL2" t="str">
        <f>LEFT(Database!FIE2,3)</f>
        <v/>
      </c>
      <c r="FHM2" t="str">
        <f>LEFT(Database!FIF2,3)</f>
        <v/>
      </c>
      <c r="FHN2" t="str">
        <f>LEFT(Database!FIG2,3)</f>
        <v/>
      </c>
      <c r="FHO2" t="str">
        <f>LEFT(Database!FIH2,3)</f>
        <v/>
      </c>
      <c r="FHP2" t="str">
        <f>LEFT(Database!FII2,3)</f>
        <v/>
      </c>
      <c r="FHQ2" t="str">
        <f>LEFT(Database!FIJ2,3)</f>
        <v/>
      </c>
      <c r="FHR2" t="str">
        <f>LEFT(Database!FIK2,3)</f>
        <v/>
      </c>
      <c r="FHS2" t="str">
        <f>LEFT(Database!FIL2,3)</f>
        <v/>
      </c>
      <c r="FHT2" t="str">
        <f>LEFT(Database!FIM2,3)</f>
        <v/>
      </c>
      <c r="FHU2" t="str">
        <f>LEFT(Database!FIN2,3)</f>
        <v/>
      </c>
      <c r="FHV2" t="str">
        <f>LEFT(Database!FIO2,3)</f>
        <v/>
      </c>
      <c r="FHW2" t="str">
        <f>LEFT(Database!FIP2,3)</f>
        <v/>
      </c>
      <c r="FHX2" t="str">
        <f>LEFT(Database!FIQ2,3)</f>
        <v/>
      </c>
      <c r="FHY2" t="str">
        <f>LEFT(Database!FIR2,3)</f>
        <v/>
      </c>
      <c r="FHZ2" t="str">
        <f>LEFT(Database!FIS2,3)</f>
        <v/>
      </c>
      <c r="FIA2" t="str">
        <f>LEFT(Database!FIT2,3)</f>
        <v/>
      </c>
      <c r="FIB2" t="str">
        <f>LEFT(Database!FIU2,3)</f>
        <v/>
      </c>
      <c r="FIC2" t="str">
        <f>LEFT(Database!FIV2,3)</f>
        <v/>
      </c>
      <c r="FID2" t="str">
        <f>LEFT(Database!FIW2,3)</f>
        <v/>
      </c>
      <c r="FIE2" t="str">
        <f>LEFT(Database!FIX2,3)</f>
        <v/>
      </c>
      <c r="FIF2" t="str">
        <f>LEFT(Database!FIY2,3)</f>
        <v/>
      </c>
      <c r="FIG2" t="str">
        <f>LEFT(Database!FIZ2,3)</f>
        <v/>
      </c>
      <c r="FIH2" t="str">
        <f>LEFT(Database!FJA2,3)</f>
        <v/>
      </c>
      <c r="FII2" t="str">
        <f>LEFT(Database!FJB2,3)</f>
        <v/>
      </c>
      <c r="FIJ2" t="str">
        <f>LEFT(Database!FJC2,3)</f>
        <v/>
      </c>
      <c r="FIK2" t="str">
        <f>LEFT(Database!FJD2,3)</f>
        <v/>
      </c>
      <c r="FIL2" t="str">
        <f>LEFT(Database!FJE2,3)</f>
        <v/>
      </c>
      <c r="FIM2" t="str">
        <f>LEFT(Database!FJF2,3)</f>
        <v/>
      </c>
      <c r="FIN2" t="str">
        <f>LEFT(Database!FJG2,3)</f>
        <v/>
      </c>
      <c r="FIO2" t="str">
        <f>LEFT(Database!FJH2,3)</f>
        <v/>
      </c>
      <c r="FIP2" t="str">
        <f>LEFT(Database!FJI2,3)</f>
        <v/>
      </c>
      <c r="FIQ2" t="str">
        <f>LEFT(Database!FJJ2,3)</f>
        <v/>
      </c>
      <c r="FIR2" t="str">
        <f>LEFT(Database!FJK2,3)</f>
        <v/>
      </c>
      <c r="FIS2" t="str">
        <f>LEFT(Database!FJL2,3)</f>
        <v/>
      </c>
      <c r="FIT2" t="str">
        <f>LEFT(Database!FJM2,3)</f>
        <v/>
      </c>
      <c r="FIU2" t="str">
        <f>LEFT(Database!FJN2,3)</f>
        <v/>
      </c>
      <c r="FIV2" t="str">
        <f>LEFT(Database!FJO2,3)</f>
        <v/>
      </c>
      <c r="FIW2" t="str">
        <f>LEFT(Database!FJP2,3)</f>
        <v/>
      </c>
      <c r="FIX2" t="str">
        <f>LEFT(Database!FJQ2,3)</f>
        <v/>
      </c>
      <c r="FIY2" t="str">
        <f>LEFT(Database!FJR2,3)</f>
        <v/>
      </c>
      <c r="FIZ2" t="str">
        <f>LEFT(Database!FJS2,3)</f>
        <v/>
      </c>
      <c r="FJA2" t="str">
        <f>LEFT(Database!FJT2,3)</f>
        <v/>
      </c>
      <c r="FJB2" t="str">
        <f>LEFT(Database!FJU2,3)</f>
        <v/>
      </c>
      <c r="FJC2" t="str">
        <f>LEFT(Database!FJV2,3)</f>
        <v/>
      </c>
      <c r="FJD2" t="str">
        <f>LEFT(Database!FJW2,3)</f>
        <v/>
      </c>
      <c r="FJE2" t="str">
        <f>LEFT(Database!FJX2,3)</f>
        <v/>
      </c>
      <c r="FJF2" t="str">
        <f>LEFT(Database!FJY2,3)</f>
        <v/>
      </c>
      <c r="FJG2" t="str">
        <f>LEFT(Database!FJZ2,3)</f>
        <v/>
      </c>
      <c r="FJH2" t="str">
        <f>LEFT(Database!FKA2,3)</f>
        <v/>
      </c>
      <c r="FJI2" t="str">
        <f>LEFT(Database!FKB2,3)</f>
        <v/>
      </c>
      <c r="FJJ2" t="str">
        <f>LEFT(Database!FKC2,3)</f>
        <v/>
      </c>
      <c r="FJK2" t="str">
        <f>LEFT(Database!FKD2,3)</f>
        <v/>
      </c>
      <c r="FJL2" t="str">
        <f>LEFT(Database!FKE2,3)</f>
        <v/>
      </c>
      <c r="FJM2" t="str">
        <f>LEFT(Database!FKF2,3)</f>
        <v/>
      </c>
      <c r="FJN2" t="str">
        <f>LEFT(Database!FKG2,3)</f>
        <v/>
      </c>
      <c r="FJO2" t="str">
        <f>LEFT(Database!FKH2,3)</f>
        <v/>
      </c>
      <c r="FJP2" t="str">
        <f>LEFT(Database!FKI2,3)</f>
        <v/>
      </c>
      <c r="FJQ2" t="str">
        <f>LEFT(Database!FKJ2,3)</f>
        <v/>
      </c>
      <c r="FJR2" t="str">
        <f>LEFT(Database!FKK2,3)</f>
        <v/>
      </c>
      <c r="FJS2" t="str">
        <f>LEFT(Database!FKL2,3)</f>
        <v/>
      </c>
      <c r="FJT2" t="str">
        <f>LEFT(Database!FKM2,3)</f>
        <v/>
      </c>
      <c r="FJU2" t="str">
        <f>LEFT(Database!FKN2,3)</f>
        <v/>
      </c>
      <c r="FJV2" t="str">
        <f>LEFT(Database!FKO2,3)</f>
        <v/>
      </c>
      <c r="FJW2" t="str">
        <f>LEFT(Database!FKP2,3)</f>
        <v/>
      </c>
      <c r="FJX2" t="str">
        <f>LEFT(Database!FKQ2,3)</f>
        <v/>
      </c>
      <c r="FJY2" t="str">
        <f>LEFT(Database!FKR2,3)</f>
        <v/>
      </c>
      <c r="FJZ2" t="str">
        <f>LEFT(Database!FKS2,3)</f>
        <v/>
      </c>
      <c r="FKA2" t="str">
        <f>LEFT(Database!FKT2,3)</f>
        <v/>
      </c>
      <c r="FKB2" t="str">
        <f>LEFT(Database!FKU2,3)</f>
        <v/>
      </c>
      <c r="FKC2" t="str">
        <f>LEFT(Database!FKV2,3)</f>
        <v/>
      </c>
      <c r="FKD2" t="str">
        <f>LEFT(Database!FKW2,3)</f>
        <v/>
      </c>
      <c r="FKE2" t="str">
        <f>LEFT(Database!FKX2,3)</f>
        <v/>
      </c>
      <c r="FKF2" t="str">
        <f>LEFT(Database!FKY2,3)</f>
        <v/>
      </c>
      <c r="FKG2" t="str">
        <f>LEFT(Database!FKZ2,3)</f>
        <v/>
      </c>
      <c r="FKH2" t="str">
        <f>LEFT(Database!FLA2,3)</f>
        <v/>
      </c>
      <c r="FKI2" t="str">
        <f>LEFT(Database!FLB2,3)</f>
        <v/>
      </c>
      <c r="FKJ2" t="str">
        <f>LEFT(Database!FLC2,3)</f>
        <v/>
      </c>
      <c r="FKK2" t="str">
        <f>LEFT(Database!FLD2,3)</f>
        <v/>
      </c>
      <c r="FKL2" t="str">
        <f>LEFT(Database!FLE2,3)</f>
        <v/>
      </c>
      <c r="FKM2" t="str">
        <f>LEFT(Database!FLF2,3)</f>
        <v/>
      </c>
      <c r="FKN2" t="str">
        <f>LEFT(Database!FLG2,3)</f>
        <v/>
      </c>
      <c r="FKO2" t="str">
        <f>LEFT(Database!FLH2,3)</f>
        <v/>
      </c>
      <c r="FKP2" t="str">
        <f>LEFT(Database!FLI2,3)</f>
        <v/>
      </c>
      <c r="FKQ2" t="str">
        <f>LEFT(Database!FLJ2,3)</f>
        <v/>
      </c>
      <c r="FKR2" t="str">
        <f>LEFT(Database!FLK2,3)</f>
        <v/>
      </c>
      <c r="FKS2" t="str">
        <f>LEFT(Database!FLL2,3)</f>
        <v/>
      </c>
      <c r="FKT2" t="str">
        <f>LEFT(Database!FLM2,3)</f>
        <v/>
      </c>
      <c r="FKU2" t="str">
        <f>LEFT(Database!FLN2,3)</f>
        <v/>
      </c>
      <c r="FKV2" t="str">
        <f>LEFT(Database!FLO2,3)</f>
        <v/>
      </c>
      <c r="FKW2" t="str">
        <f>LEFT(Database!FLP2,3)</f>
        <v/>
      </c>
      <c r="FKX2" t="str">
        <f>LEFT(Database!FLQ2,3)</f>
        <v/>
      </c>
      <c r="FKY2" t="str">
        <f>LEFT(Database!FLR2,3)</f>
        <v/>
      </c>
      <c r="FKZ2" t="str">
        <f>LEFT(Database!FLS2,3)</f>
        <v/>
      </c>
      <c r="FLA2" t="str">
        <f>LEFT(Database!FLT2,3)</f>
        <v/>
      </c>
      <c r="FLB2" t="str">
        <f>LEFT(Database!FLU2,3)</f>
        <v/>
      </c>
      <c r="FLC2" t="str">
        <f>LEFT(Database!FLV2,3)</f>
        <v/>
      </c>
      <c r="FLD2" t="str">
        <f>LEFT(Database!FLW2,3)</f>
        <v/>
      </c>
      <c r="FLE2" t="str">
        <f>LEFT(Database!FLX2,3)</f>
        <v/>
      </c>
      <c r="FLF2" t="str">
        <f>LEFT(Database!FLY2,3)</f>
        <v/>
      </c>
      <c r="FLG2" t="str">
        <f>LEFT(Database!FLZ2,3)</f>
        <v/>
      </c>
      <c r="FLH2" t="str">
        <f>LEFT(Database!FMA2,3)</f>
        <v/>
      </c>
      <c r="FLI2" t="str">
        <f>LEFT(Database!FMB2,3)</f>
        <v/>
      </c>
      <c r="FLJ2" t="str">
        <f>LEFT(Database!FMC2,3)</f>
        <v/>
      </c>
      <c r="FLK2" t="str">
        <f>LEFT(Database!FMD2,3)</f>
        <v/>
      </c>
      <c r="FLL2" t="str">
        <f>LEFT(Database!FME2,3)</f>
        <v/>
      </c>
      <c r="FLM2" t="str">
        <f>LEFT(Database!FMF2,3)</f>
        <v/>
      </c>
      <c r="FLN2" t="str">
        <f>LEFT(Database!FMG2,3)</f>
        <v/>
      </c>
      <c r="FLO2" t="str">
        <f>LEFT(Database!FMH2,3)</f>
        <v/>
      </c>
      <c r="FLP2" t="str">
        <f>LEFT(Database!FMI2,3)</f>
        <v/>
      </c>
      <c r="FLQ2" t="str">
        <f>LEFT(Database!FMJ2,3)</f>
        <v/>
      </c>
      <c r="FLR2" t="str">
        <f>LEFT(Database!FMK2,3)</f>
        <v/>
      </c>
      <c r="FLS2" t="str">
        <f>LEFT(Database!FML2,3)</f>
        <v/>
      </c>
      <c r="FLT2" t="str">
        <f>LEFT(Database!FMM2,3)</f>
        <v/>
      </c>
      <c r="FLU2" t="str">
        <f>LEFT(Database!FMN2,3)</f>
        <v/>
      </c>
      <c r="FLV2" t="str">
        <f>LEFT(Database!FMO2,3)</f>
        <v/>
      </c>
      <c r="FLW2" t="str">
        <f>LEFT(Database!FMP2,3)</f>
        <v/>
      </c>
      <c r="FLX2" t="str">
        <f>LEFT(Database!FMQ2,3)</f>
        <v/>
      </c>
      <c r="FLY2" t="str">
        <f>LEFT(Database!FMR2,3)</f>
        <v/>
      </c>
      <c r="FLZ2" t="str">
        <f>LEFT(Database!FMS2,3)</f>
        <v/>
      </c>
      <c r="FMA2" t="str">
        <f>LEFT(Database!FMT2,3)</f>
        <v/>
      </c>
      <c r="FMB2" t="str">
        <f>LEFT(Database!FMU2,3)</f>
        <v/>
      </c>
      <c r="FMC2" t="str">
        <f>LEFT(Database!FMV2,3)</f>
        <v/>
      </c>
      <c r="FMD2" t="str">
        <f>LEFT(Database!FMW2,3)</f>
        <v/>
      </c>
      <c r="FME2" t="str">
        <f>LEFT(Database!FMX2,3)</f>
        <v/>
      </c>
      <c r="FMF2" t="str">
        <f>LEFT(Database!FMY2,3)</f>
        <v/>
      </c>
      <c r="FMG2" t="str">
        <f>LEFT(Database!FMZ2,3)</f>
        <v/>
      </c>
      <c r="FMH2" t="str">
        <f>LEFT(Database!FNA2,3)</f>
        <v/>
      </c>
      <c r="FMI2" t="str">
        <f>LEFT(Database!FNB2,3)</f>
        <v/>
      </c>
      <c r="FMJ2" t="str">
        <f>LEFT(Database!FNC2,3)</f>
        <v/>
      </c>
      <c r="FMK2" t="str">
        <f>LEFT(Database!FND2,3)</f>
        <v/>
      </c>
      <c r="FML2" t="str">
        <f>LEFT(Database!FNE2,3)</f>
        <v/>
      </c>
      <c r="FMM2" t="str">
        <f>LEFT(Database!FNF2,3)</f>
        <v/>
      </c>
      <c r="FMN2" t="str">
        <f>LEFT(Database!FNG2,3)</f>
        <v/>
      </c>
      <c r="FMO2" t="str">
        <f>LEFT(Database!FNH2,3)</f>
        <v/>
      </c>
      <c r="FMP2" t="str">
        <f>LEFT(Database!FNI2,3)</f>
        <v/>
      </c>
      <c r="FMQ2" t="str">
        <f>LEFT(Database!FNJ2,3)</f>
        <v/>
      </c>
      <c r="FMR2" t="str">
        <f>LEFT(Database!FNK2,3)</f>
        <v/>
      </c>
      <c r="FMS2" t="str">
        <f>LEFT(Database!FNL2,3)</f>
        <v/>
      </c>
      <c r="FMT2" t="str">
        <f>LEFT(Database!FNM2,3)</f>
        <v/>
      </c>
      <c r="FMU2" t="str">
        <f>LEFT(Database!FNN2,3)</f>
        <v/>
      </c>
      <c r="FMV2" t="str">
        <f>LEFT(Database!FNO2,3)</f>
        <v/>
      </c>
      <c r="FMW2" t="str">
        <f>LEFT(Database!FNP2,3)</f>
        <v/>
      </c>
      <c r="FMX2" t="str">
        <f>LEFT(Database!FNQ2,3)</f>
        <v/>
      </c>
      <c r="FMY2" t="str">
        <f>LEFT(Database!FNR2,3)</f>
        <v/>
      </c>
      <c r="FMZ2" t="str">
        <f>LEFT(Database!FNS2,3)</f>
        <v/>
      </c>
      <c r="FNA2" t="str">
        <f>LEFT(Database!FNT2,3)</f>
        <v/>
      </c>
      <c r="FNB2" t="str">
        <f>LEFT(Database!FNU2,3)</f>
        <v/>
      </c>
      <c r="FNC2" t="str">
        <f>LEFT(Database!FNV2,3)</f>
        <v/>
      </c>
      <c r="FND2" t="str">
        <f>LEFT(Database!FNW2,3)</f>
        <v/>
      </c>
      <c r="FNE2" t="str">
        <f>LEFT(Database!FNX2,3)</f>
        <v/>
      </c>
      <c r="FNF2" t="str">
        <f>LEFT(Database!FNY2,3)</f>
        <v/>
      </c>
      <c r="FNG2" t="str">
        <f>LEFT(Database!FNZ2,3)</f>
        <v/>
      </c>
      <c r="FNH2" t="str">
        <f>LEFT(Database!FOA2,3)</f>
        <v/>
      </c>
      <c r="FNI2" t="str">
        <f>LEFT(Database!FOB2,3)</f>
        <v/>
      </c>
      <c r="FNJ2" t="str">
        <f>LEFT(Database!FOC2,3)</f>
        <v/>
      </c>
      <c r="FNK2" t="str">
        <f>LEFT(Database!FOD2,3)</f>
        <v/>
      </c>
      <c r="FNL2" t="str">
        <f>LEFT(Database!FOE2,3)</f>
        <v/>
      </c>
      <c r="FNM2" t="str">
        <f>LEFT(Database!FOF2,3)</f>
        <v/>
      </c>
      <c r="FNN2" t="str">
        <f>LEFT(Database!FOG2,3)</f>
        <v/>
      </c>
      <c r="FNO2" t="str">
        <f>LEFT(Database!FOH2,3)</f>
        <v/>
      </c>
      <c r="FNP2" t="str">
        <f>LEFT(Database!FOI2,3)</f>
        <v/>
      </c>
      <c r="FNQ2" t="str">
        <f>LEFT(Database!FOJ2,3)</f>
        <v/>
      </c>
      <c r="FNR2" t="str">
        <f>LEFT(Database!FOK2,3)</f>
        <v/>
      </c>
      <c r="FNS2" t="str">
        <f>LEFT(Database!FOL2,3)</f>
        <v/>
      </c>
      <c r="FNT2" t="str">
        <f>LEFT(Database!FOM2,3)</f>
        <v/>
      </c>
      <c r="FNU2" t="str">
        <f>LEFT(Database!FON2,3)</f>
        <v/>
      </c>
      <c r="FNV2" t="str">
        <f>LEFT(Database!FOO2,3)</f>
        <v/>
      </c>
      <c r="FNW2" t="str">
        <f>LEFT(Database!FOP2,3)</f>
        <v/>
      </c>
      <c r="FNX2" t="str">
        <f>LEFT(Database!FOQ2,3)</f>
        <v/>
      </c>
      <c r="FNY2" t="str">
        <f>LEFT(Database!FOR2,3)</f>
        <v/>
      </c>
      <c r="FNZ2" t="str">
        <f>LEFT(Database!FOS2,3)</f>
        <v/>
      </c>
      <c r="FOA2" t="str">
        <f>LEFT(Database!FOT2,3)</f>
        <v/>
      </c>
      <c r="FOB2" t="str">
        <f>LEFT(Database!FOU2,3)</f>
        <v/>
      </c>
      <c r="FOC2" t="str">
        <f>LEFT(Database!FOV2,3)</f>
        <v/>
      </c>
      <c r="FOD2" t="str">
        <f>LEFT(Database!FOW2,3)</f>
        <v/>
      </c>
      <c r="FOE2" t="str">
        <f>LEFT(Database!FOX2,3)</f>
        <v/>
      </c>
      <c r="FOF2" t="str">
        <f>LEFT(Database!FOY2,3)</f>
        <v/>
      </c>
      <c r="FOG2" t="str">
        <f>LEFT(Database!FOZ2,3)</f>
        <v/>
      </c>
      <c r="FOH2" t="str">
        <f>LEFT(Database!FPA2,3)</f>
        <v/>
      </c>
      <c r="FOI2" t="str">
        <f>LEFT(Database!FPB2,3)</f>
        <v/>
      </c>
      <c r="FOJ2" t="str">
        <f>LEFT(Database!FPC2,3)</f>
        <v/>
      </c>
      <c r="FOK2" t="str">
        <f>LEFT(Database!FPD2,3)</f>
        <v/>
      </c>
      <c r="FOL2" t="str">
        <f>LEFT(Database!FPE2,3)</f>
        <v/>
      </c>
      <c r="FOM2" t="str">
        <f>LEFT(Database!FPF2,3)</f>
        <v/>
      </c>
      <c r="FON2" t="str">
        <f>LEFT(Database!FPG2,3)</f>
        <v/>
      </c>
      <c r="FOO2" t="str">
        <f>LEFT(Database!FPH2,3)</f>
        <v/>
      </c>
      <c r="FOP2" t="str">
        <f>LEFT(Database!FPI2,3)</f>
        <v/>
      </c>
      <c r="FOQ2" t="str">
        <f>LEFT(Database!FPJ2,3)</f>
        <v/>
      </c>
      <c r="FOR2" t="str">
        <f>LEFT(Database!FPK2,3)</f>
        <v/>
      </c>
      <c r="FOS2" t="str">
        <f>LEFT(Database!FPL2,3)</f>
        <v/>
      </c>
      <c r="FOT2" t="str">
        <f>LEFT(Database!FPM2,3)</f>
        <v/>
      </c>
      <c r="FOU2" t="str">
        <f>LEFT(Database!FPN2,3)</f>
        <v/>
      </c>
      <c r="FOV2" t="str">
        <f>LEFT(Database!FPO2,3)</f>
        <v/>
      </c>
      <c r="FOW2" t="str">
        <f>LEFT(Database!FPP2,3)</f>
        <v/>
      </c>
      <c r="FOX2" t="str">
        <f>LEFT(Database!FPQ2,3)</f>
        <v/>
      </c>
      <c r="FOY2" t="str">
        <f>LEFT(Database!FPR2,3)</f>
        <v/>
      </c>
      <c r="FOZ2" t="str">
        <f>LEFT(Database!FPS2,3)</f>
        <v/>
      </c>
      <c r="FPA2" t="str">
        <f>LEFT(Database!FPT2,3)</f>
        <v/>
      </c>
      <c r="FPB2" t="str">
        <f>LEFT(Database!FPU2,3)</f>
        <v/>
      </c>
      <c r="FPC2" t="str">
        <f>LEFT(Database!FPV2,3)</f>
        <v/>
      </c>
      <c r="FPD2" t="str">
        <f>LEFT(Database!FPW2,3)</f>
        <v/>
      </c>
      <c r="FPE2" t="str">
        <f>LEFT(Database!FPX2,3)</f>
        <v/>
      </c>
      <c r="FPF2" t="str">
        <f>LEFT(Database!FPY2,3)</f>
        <v/>
      </c>
      <c r="FPG2" t="str">
        <f>LEFT(Database!FPZ2,3)</f>
        <v/>
      </c>
      <c r="FPH2" t="str">
        <f>LEFT(Database!FQA2,3)</f>
        <v/>
      </c>
      <c r="FPI2" t="str">
        <f>LEFT(Database!FQB2,3)</f>
        <v/>
      </c>
      <c r="FPJ2" t="str">
        <f>LEFT(Database!FQC2,3)</f>
        <v/>
      </c>
      <c r="FPK2" t="str">
        <f>LEFT(Database!FQD2,3)</f>
        <v/>
      </c>
      <c r="FPL2" t="str">
        <f>LEFT(Database!FQE2,3)</f>
        <v/>
      </c>
      <c r="FPM2" t="str">
        <f>LEFT(Database!FQF2,3)</f>
        <v/>
      </c>
      <c r="FPN2" t="str">
        <f>LEFT(Database!FQG2,3)</f>
        <v/>
      </c>
      <c r="FPO2" t="str">
        <f>LEFT(Database!FQH2,3)</f>
        <v/>
      </c>
      <c r="FPP2" t="str">
        <f>LEFT(Database!FQI2,3)</f>
        <v/>
      </c>
      <c r="FPQ2" t="str">
        <f>LEFT(Database!FQJ2,3)</f>
        <v/>
      </c>
      <c r="FPR2" t="str">
        <f>LEFT(Database!FQK2,3)</f>
        <v/>
      </c>
      <c r="FPS2" t="str">
        <f>LEFT(Database!FQL2,3)</f>
        <v/>
      </c>
      <c r="FPT2" t="str">
        <f>LEFT(Database!FQM2,3)</f>
        <v/>
      </c>
      <c r="FPU2" t="str">
        <f>LEFT(Database!FQN2,3)</f>
        <v/>
      </c>
      <c r="FPV2" t="str">
        <f>LEFT(Database!FQO2,3)</f>
        <v/>
      </c>
      <c r="FPW2" t="str">
        <f>LEFT(Database!FQP2,3)</f>
        <v/>
      </c>
      <c r="FPX2" t="str">
        <f>LEFT(Database!FQQ2,3)</f>
        <v/>
      </c>
      <c r="FPY2" t="str">
        <f>LEFT(Database!FQR2,3)</f>
        <v/>
      </c>
      <c r="FPZ2" t="str">
        <f>LEFT(Database!FQS2,3)</f>
        <v/>
      </c>
      <c r="FQA2" t="str">
        <f>LEFT(Database!FQT2,3)</f>
        <v/>
      </c>
      <c r="FQB2" t="str">
        <f>LEFT(Database!FQU2,3)</f>
        <v/>
      </c>
      <c r="FQC2" t="str">
        <f>LEFT(Database!FQV2,3)</f>
        <v/>
      </c>
      <c r="FQD2" t="str">
        <f>LEFT(Database!FQW2,3)</f>
        <v/>
      </c>
      <c r="FQE2" t="str">
        <f>LEFT(Database!FQX2,3)</f>
        <v/>
      </c>
      <c r="FQF2" t="str">
        <f>LEFT(Database!FQY2,3)</f>
        <v/>
      </c>
      <c r="FQG2" t="str">
        <f>LEFT(Database!FQZ2,3)</f>
        <v/>
      </c>
      <c r="FQH2" t="str">
        <f>LEFT(Database!FRA2,3)</f>
        <v/>
      </c>
      <c r="FQI2" t="str">
        <f>LEFT(Database!FRB2,3)</f>
        <v/>
      </c>
      <c r="FQJ2" t="str">
        <f>LEFT(Database!FRC2,3)</f>
        <v/>
      </c>
      <c r="FQK2" t="str">
        <f>LEFT(Database!FRD2,3)</f>
        <v/>
      </c>
      <c r="FQL2" t="str">
        <f>LEFT(Database!FRE2,3)</f>
        <v/>
      </c>
      <c r="FQM2" t="str">
        <f>LEFT(Database!FRF2,3)</f>
        <v/>
      </c>
      <c r="FQN2" t="str">
        <f>LEFT(Database!FRG2,3)</f>
        <v/>
      </c>
      <c r="FQO2" t="str">
        <f>LEFT(Database!FRH2,3)</f>
        <v/>
      </c>
      <c r="FQP2" t="str">
        <f>LEFT(Database!FRI2,3)</f>
        <v/>
      </c>
      <c r="FQQ2" t="str">
        <f>LEFT(Database!FRJ2,3)</f>
        <v/>
      </c>
      <c r="FQR2" t="str">
        <f>LEFT(Database!FRK2,3)</f>
        <v/>
      </c>
      <c r="FQS2" t="str">
        <f>LEFT(Database!FRL2,3)</f>
        <v/>
      </c>
      <c r="FQT2" t="str">
        <f>LEFT(Database!FRM2,3)</f>
        <v/>
      </c>
      <c r="FQU2" t="str">
        <f>LEFT(Database!FRN2,3)</f>
        <v/>
      </c>
      <c r="FQV2" t="str">
        <f>LEFT(Database!FRO2,3)</f>
        <v/>
      </c>
      <c r="FQW2" t="str">
        <f>LEFT(Database!FRP2,3)</f>
        <v/>
      </c>
      <c r="FQX2" t="str">
        <f>LEFT(Database!FRQ2,3)</f>
        <v/>
      </c>
      <c r="FQY2" t="str">
        <f>LEFT(Database!FRR2,3)</f>
        <v/>
      </c>
      <c r="FQZ2" t="str">
        <f>LEFT(Database!FRS2,3)</f>
        <v/>
      </c>
      <c r="FRA2" t="str">
        <f>LEFT(Database!FRT2,3)</f>
        <v/>
      </c>
      <c r="FRB2" t="str">
        <f>LEFT(Database!FRU2,3)</f>
        <v/>
      </c>
      <c r="FRC2" t="str">
        <f>LEFT(Database!FRV2,3)</f>
        <v/>
      </c>
      <c r="FRD2" t="str">
        <f>LEFT(Database!FRW2,3)</f>
        <v/>
      </c>
      <c r="FRE2" t="str">
        <f>LEFT(Database!FRX2,3)</f>
        <v/>
      </c>
      <c r="FRF2" t="str">
        <f>LEFT(Database!FRY2,3)</f>
        <v/>
      </c>
      <c r="FRG2" t="str">
        <f>LEFT(Database!FRZ2,3)</f>
        <v/>
      </c>
      <c r="FRH2" t="str">
        <f>LEFT(Database!FSA2,3)</f>
        <v/>
      </c>
      <c r="FRI2" t="str">
        <f>LEFT(Database!FSB2,3)</f>
        <v/>
      </c>
      <c r="FRJ2" t="str">
        <f>LEFT(Database!FSC2,3)</f>
        <v/>
      </c>
      <c r="FRK2" t="str">
        <f>LEFT(Database!FSD2,3)</f>
        <v/>
      </c>
      <c r="FRL2" t="str">
        <f>LEFT(Database!FSE2,3)</f>
        <v/>
      </c>
      <c r="FRM2" t="str">
        <f>LEFT(Database!FSF2,3)</f>
        <v/>
      </c>
      <c r="FRN2" t="str">
        <f>LEFT(Database!FSG2,3)</f>
        <v/>
      </c>
      <c r="FRO2" t="str">
        <f>LEFT(Database!FSH2,3)</f>
        <v/>
      </c>
      <c r="FRP2" t="str">
        <f>LEFT(Database!FSI2,3)</f>
        <v/>
      </c>
      <c r="FRQ2" t="str">
        <f>LEFT(Database!FSJ2,3)</f>
        <v/>
      </c>
      <c r="FRR2" t="str">
        <f>LEFT(Database!FSK2,3)</f>
        <v/>
      </c>
      <c r="FRS2" t="str">
        <f>LEFT(Database!FSL2,3)</f>
        <v/>
      </c>
      <c r="FRT2" t="str">
        <f>LEFT(Database!FSM2,3)</f>
        <v/>
      </c>
      <c r="FRU2" t="str">
        <f>LEFT(Database!FSN2,3)</f>
        <v/>
      </c>
      <c r="FRV2" t="str">
        <f>LEFT(Database!FSO2,3)</f>
        <v/>
      </c>
      <c r="FRW2" t="str">
        <f>LEFT(Database!FSP2,3)</f>
        <v/>
      </c>
      <c r="FRX2" t="str">
        <f>LEFT(Database!FSQ2,3)</f>
        <v/>
      </c>
      <c r="FRY2" t="str">
        <f>LEFT(Database!FSR2,3)</f>
        <v/>
      </c>
      <c r="FRZ2" t="str">
        <f>LEFT(Database!FSS2,3)</f>
        <v/>
      </c>
      <c r="FSA2" t="str">
        <f>LEFT(Database!FST2,3)</f>
        <v/>
      </c>
      <c r="FSB2" t="str">
        <f>LEFT(Database!FSU2,3)</f>
        <v/>
      </c>
      <c r="FSC2" t="str">
        <f>LEFT(Database!FSV2,3)</f>
        <v/>
      </c>
      <c r="FSD2" t="str">
        <f>LEFT(Database!FSW2,3)</f>
        <v/>
      </c>
      <c r="FSE2" t="str">
        <f>LEFT(Database!FSX2,3)</f>
        <v/>
      </c>
      <c r="FSF2" t="str">
        <f>LEFT(Database!FSY2,3)</f>
        <v/>
      </c>
      <c r="FSG2" t="str">
        <f>LEFT(Database!FSZ2,3)</f>
        <v/>
      </c>
      <c r="FSH2" t="str">
        <f>LEFT(Database!FTA2,3)</f>
        <v/>
      </c>
      <c r="FSI2" t="str">
        <f>LEFT(Database!FTB2,3)</f>
        <v/>
      </c>
      <c r="FSJ2" t="str">
        <f>LEFT(Database!FTC2,3)</f>
        <v/>
      </c>
      <c r="FSK2" t="str">
        <f>LEFT(Database!FTD2,3)</f>
        <v/>
      </c>
      <c r="FSL2" t="str">
        <f>LEFT(Database!FTE2,3)</f>
        <v/>
      </c>
      <c r="FSM2" t="str">
        <f>LEFT(Database!FTF2,3)</f>
        <v/>
      </c>
      <c r="FSN2" t="str">
        <f>LEFT(Database!FTG2,3)</f>
        <v/>
      </c>
      <c r="FSO2" t="str">
        <f>LEFT(Database!FTH2,3)</f>
        <v/>
      </c>
      <c r="FSP2" t="str">
        <f>LEFT(Database!FTI2,3)</f>
        <v/>
      </c>
      <c r="FSQ2" t="str">
        <f>LEFT(Database!FTJ2,3)</f>
        <v/>
      </c>
      <c r="FSR2" t="str">
        <f>LEFT(Database!FTK2,3)</f>
        <v/>
      </c>
      <c r="FSS2" t="str">
        <f>LEFT(Database!FTL2,3)</f>
        <v/>
      </c>
      <c r="FST2" t="str">
        <f>LEFT(Database!FTM2,3)</f>
        <v/>
      </c>
      <c r="FSU2" t="str">
        <f>LEFT(Database!FTN2,3)</f>
        <v/>
      </c>
      <c r="FSV2" t="str">
        <f>LEFT(Database!FTO2,3)</f>
        <v/>
      </c>
      <c r="FSW2" t="str">
        <f>LEFT(Database!FTP2,3)</f>
        <v/>
      </c>
      <c r="FSX2" t="str">
        <f>LEFT(Database!FTQ2,3)</f>
        <v/>
      </c>
      <c r="FSY2" t="str">
        <f>LEFT(Database!FTR2,3)</f>
        <v/>
      </c>
      <c r="FSZ2" t="str">
        <f>LEFT(Database!FTS2,3)</f>
        <v/>
      </c>
      <c r="FTA2" t="str">
        <f>LEFT(Database!FTT2,3)</f>
        <v/>
      </c>
      <c r="FTB2" t="str">
        <f>LEFT(Database!FTU2,3)</f>
        <v/>
      </c>
      <c r="FTC2" t="str">
        <f>LEFT(Database!FTV2,3)</f>
        <v/>
      </c>
      <c r="FTD2" t="str">
        <f>LEFT(Database!FTW2,3)</f>
        <v/>
      </c>
      <c r="FTE2" t="str">
        <f>LEFT(Database!FTX2,3)</f>
        <v/>
      </c>
      <c r="FTF2" t="str">
        <f>LEFT(Database!FTY2,3)</f>
        <v/>
      </c>
      <c r="FTG2" t="str">
        <f>LEFT(Database!FTZ2,3)</f>
        <v/>
      </c>
      <c r="FTH2" t="str">
        <f>LEFT(Database!FUA2,3)</f>
        <v/>
      </c>
      <c r="FTI2" t="str">
        <f>LEFT(Database!FUB2,3)</f>
        <v/>
      </c>
      <c r="FTJ2" t="str">
        <f>LEFT(Database!FUC2,3)</f>
        <v/>
      </c>
      <c r="FTK2" t="str">
        <f>LEFT(Database!FUD2,3)</f>
        <v/>
      </c>
      <c r="FTL2" t="str">
        <f>LEFT(Database!FUE2,3)</f>
        <v/>
      </c>
      <c r="FTM2" t="str">
        <f>LEFT(Database!FUF2,3)</f>
        <v/>
      </c>
      <c r="FTN2" t="str">
        <f>LEFT(Database!FUG2,3)</f>
        <v/>
      </c>
      <c r="FTO2" t="str">
        <f>LEFT(Database!FUH2,3)</f>
        <v/>
      </c>
      <c r="FTP2" t="str">
        <f>LEFT(Database!FUI2,3)</f>
        <v/>
      </c>
      <c r="FTQ2" t="str">
        <f>LEFT(Database!FUJ2,3)</f>
        <v/>
      </c>
      <c r="FTR2" t="str">
        <f>LEFT(Database!FUK2,3)</f>
        <v/>
      </c>
      <c r="FTS2" t="str">
        <f>LEFT(Database!FUL2,3)</f>
        <v/>
      </c>
      <c r="FTT2" t="str">
        <f>LEFT(Database!FUM2,3)</f>
        <v/>
      </c>
      <c r="FTU2" t="str">
        <f>LEFT(Database!FUN2,3)</f>
        <v/>
      </c>
      <c r="FTV2" t="str">
        <f>LEFT(Database!FUO2,3)</f>
        <v/>
      </c>
      <c r="FTW2" t="str">
        <f>LEFT(Database!FUP2,3)</f>
        <v/>
      </c>
      <c r="FTX2" t="str">
        <f>LEFT(Database!FUQ2,3)</f>
        <v/>
      </c>
      <c r="FTY2" t="str">
        <f>LEFT(Database!FUR2,3)</f>
        <v/>
      </c>
      <c r="FTZ2" t="str">
        <f>LEFT(Database!FUS2,3)</f>
        <v/>
      </c>
      <c r="FUA2" t="str">
        <f>LEFT(Database!FUT2,3)</f>
        <v/>
      </c>
      <c r="FUB2" t="str">
        <f>LEFT(Database!FUU2,3)</f>
        <v/>
      </c>
      <c r="FUC2" t="str">
        <f>LEFT(Database!FUV2,3)</f>
        <v/>
      </c>
      <c r="FUD2" t="str">
        <f>LEFT(Database!FUW2,3)</f>
        <v/>
      </c>
      <c r="FUE2" t="str">
        <f>LEFT(Database!FUX2,3)</f>
        <v/>
      </c>
      <c r="FUF2" t="str">
        <f>LEFT(Database!FUY2,3)</f>
        <v/>
      </c>
      <c r="FUG2" t="str">
        <f>LEFT(Database!FUZ2,3)</f>
        <v/>
      </c>
      <c r="FUH2" t="str">
        <f>LEFT(Database!FVA2,3)</f>
        <v/>
      </c>
      <c r="FUI2" t="str">
        <f>LEFT(Database!FVB2,3)</f>
        <v/>
      </c>
      <c r="FUJ2" t="str">
        <f>LEFT(Database!FVC2,3)</f>
        <v/>
      </c>
      <c r="FUK2" t="str">
        <f>LEFT(Database!FVD2,3)</f>
        <v/>
      </c>
      <c r="FUL2" t="str">
        <f>LEFT(Database!FVE2,3)</f>
        <v/>
      </c>
      <c r="FUM2" t="str">
        <f>LEFT(Database!FVF2,3)</f>
        <v/>
      </c>
      <c r="FUN2" t="str">
        <f>LEFT(Database!FVG2,3)</f>
        <v/>
      </c>
      <c r="FUO2" t="str">
        <f>LEFT(Database!FVH2,3)</f>
        <v/>
      </c>
      <c r="FUP2" t="str">
        <f>LEFT(Database!FVI2,3)</f>
        <v/>
      </c>
      <c r="FUQ2" t="str">
        <f>LEFT(Database!FVJ2,3)</f>
        <v/>
      </c>
      <c r="FUR2" t="str">
        <f>LEFT(Database!FVK2,3)</f>
        <v/>
      </c>
      <c r="FUS2" t="str">
        <f>LEFT(Database!FVL2,3)</f>
        <v/>
      </c>
      <c r="FUT2" t="str">
        <f>LEFT(Database!FVM2,3)</f>
        <v/>
      </c>
      <c r="FUU2" t="str">
        <f>LEFT(Database!FVN2,3)</f>
        <v/>
      </c>
      <c r="FUV2" t="str">
        <f>LEFT(Database!FVO2,3)</f>
        <v/>
      </c>
      <c r="FUW2" t="str">
        <f>LEFT(Database!FVP2,3)</f>
        <v/>
      </c>
      <c r="FUX2" t="str">
        <f>LEFT(Database!FVQ2,3)</f>
        <v/>
      </c>
      <c r="FUY2" t="str">
        <f>LEFT(Database!FVR2,3)</f>
        <v/>
      </c>
      <c r="FUZ2" t="str">
        <f>LEFT(Database!FVS2,3)</f>
        <v/>
      </c>
      <c r="FVA2" t="str">
        <f>LEFT(Database!FVT2,3)</f>
        <v/>
      </c>
      <c r="FVB2" t="str">
        <f>LEFT(Database!FVU2,3)</f>
        <v/>
      </c>
      <c r="FVC2" t="str">
        <f>LEFT(Database!FVV2,3)</f>
        <v/>
      </c>
      <c r="FVD2" t="str">
        <f>LEFT(Database!FVW2,3)</f>
        <v/>
      </c>
      <c r="FVE2" t="str">
        <f>LEFT(Database!FVX2,3)</f>
        <v/>
      </c>
      <c r="FVF2" t="str">
        <f>LEFT(Database!FVY2,3)</f>
        <v/>
      </c>
      <c r="FVG2" t="str">
        <f>LEFT(Database!FVZ2,3)</f>
        <v/>
      </c>
      <c r="FVH2" t="str">
        <f>LEFT(Database!FWA2,3)</f>
        <v/>
      </c>
      <c r="FVI2" t="str">
        <f>LEFT(Database!FWB2,3)</f>
        <v/>
      </c>
      <c r="FVJ2" t="str">
        <f>LEFT(Database!FWC2,3)</f>
        <v/>
      </c>
      <c r="FVK2" t="str">
        <f>LEFT(Database!FWD2,3)</f>
        <v/>
      </c>
      <c r="FVL2" t="str">
        <f>LEFT(Database!FWE2,3)</f>
        <v/>
      </c>
      <c r="FVM2" t="str">
        <f>LEFT(Database!FWF2,3)</f>
        <v/>
      </c>
      <c r="FVN2" t="str">
        <f>LEFT(Database!FWG2,3)</f>
        <v/>
      </c>
      <c r="FVO2" t="str">
        <f>LEFT(Database!FWH2,3)</f>
        <v/>
      </c>
      <c r="FVP2" t="str">
        <f>LEFT(Database!FWI2,3)</f>
        <v/>
      </c>
      <c r="FVQ2" t="str">
        <f>LEFT(Database!FWJ2,3)</f>
        <v/>
      </c>
      <c r="FVR2" t="str">
        <f>LEFT(Database!FWK2,3)</f>
        <v/>
      </c>
      <c r="FVS2" t="str">
        <f>LEFT(Database!FWL2,3)</f>
        <v/>
      </c>
      <c r="FVT2" t="str">
        <f>LEFT(Database!FWM2,3)</f>
        <v/>
      </c>
      <c r="FVU2" t="str">
        <f>LEFT(Database!FWN2,3)</f>
        <v/>
      </c>
      <c r="FVV2" t="str">
        <f>LEFT(Database!FWO2,3)</f>
        <v/>
      </c>
      <c r="FVW2" t="str">
        <f>LEFT(Database!FWP2,3)</f>
        <v/>
      </c>
      <c r="FVX2" t="str">
        <f>LEFT(Database!FWQ2,3)</f>
        <v/>
      </c>
      <c r="FVY2" t="str">
        <f>LEFT(Database!FWR2,3)</f>
        <v/>
      </c>
      <c r="FVZ2" t="str">
        <f>LEFT(Database!FWS2,3)</f>
        <v/>
      </c>
      <c r="FWA2" t="str">
        <f>LEFT(Database!FWT2,3)</f>
        <v/>
      </c>
      <c r="FWB2" t="str">
        <f>LEFT(Database!FWU2,3)</f>
        <v/>
      </c>
      <c r="FWC2" t="str">
        <f>LEFT(Database!FWV2,3)</f>
        <v/>
      </c>
      <c r="FWD2" t="str">
        <f>LEFT(Database!FWW2,3)</f>
        <v/>
      </c>
      <c r="FWE2" t="str">
        <f>LEFT(Database!FWX2,3)</f>
        <v/>
      </c>
      <c r="FWF2" t="str">
        <f>LEFT(Database!FWY2,3)</f>
        <v/>
      </c>
      <c r="FWG2" t="str">
        <f>LEFT(Database!FWZ2,3)</f>
        <v/>
      </c>
      <c r="FWH2" t="str">
        <f>LEFT(Database!FXA2,3)</f>
        <v/>
      </c>
      <c r="FWI2" t="str">
        <f>LEFT(Database!FXB2,3)</f>
        <v/>
      </c>
      <c r="FWJ2" t="str">
        <f>LEFT(Database!FXC2,3)</f>
        <v/>
      </c>
      <c r="FWK2" t="str">
        <f>LEFT(Database!FXD2,3)</f>
        <v/>
      </c>
      <c r="FWL2" t="str">
        <f>LEFT(Database!FXE2,3)</f>
        <v/>
      </c>
      <c r="FWM2" t="str">
        <f>LEFT(Database!FXF2,3)</f>
        <v/>
      </c>
      <c r="FWN2" t="str">
        <f>LEFT(Database!FXG2,3)</f>
        <v/>
      </c>
      <c r="FWO2" t="str">
        <f>LEFT(Database!FXH2,3)</f>
        <v/>
      </c>
      <c r="FWP2" t="str">
        <f>LEFT(Database!FXI2,3)</f>
        <v/>
      </c>
      <c r="FWQ2" t="str">
        <f>LEFT(Database!FXJ2,3)</f>
        <v/>
      </c>
      <c r="FWR2" t="str">
        <f>LEFT(Database!FXK2,3)</f>
        <v/>
      </c>
      <c r="FWS2" t="str">
        <f>LEFT(Database!FXL2,3)</f>
        <v/>
      </c>
      <c r="FWT2" t="str">
        <f>LEFT(Database!FXM2,3)</f>
        <v/>
      </c>
      <c r="FWU2" t="str">
        <f>LEFT(Database!FXN2,3)</f>
        <v/>
      </c>
      <c r="FWV2" t="str">
        <f>LEFT(Database!FXO2,3)</f>
        <v/>
      </c>
      <c r="FWW2" t="str">
        <f>LEFT(Database!FXP2,3)</f>
        <v/>
      </c>
      <c r="FWX2" t="str">
        <f>LEFT(Database!FXQ2,3)</f>
        <v/>
      </c>
      <c r="FWY2" t="str">
        <f>LEFT(Database!FXR2,3)</f>
        <v/>
      </c>
      <c r="FWZ2" t="str">
        <f>LEFT(Database!FXS2,3)</f>
        <v/>
      </c>
      <c r="FXA2" t="str">
        <f>LEFT(Database!FXT2,3)</f>
        <v/>
      </c>
      <c r="FXB2" t="str">
        <f>LEFT(Database!FXU2,3)</f>
        <v/>
      </c>
      <c r="FXC2" t="str">
        <f>LEFT(Database!FXV2,3)</f>
        <v/>
      </c>
      <c r="FXD2" t="str">
        <f>LEFT(Database!FXW2,3)</f>
        <v/>
      </c>
      <c r="FXE2" t="str">
        <f>LEFT(Database!FXX2,3)</f>
        <v/>
      </c>
      <c r="FXF2" t="str">
        <f>LEFT(Database!FXY2,3)</f>
        <v/>
      </c>
      <c r="FXG2" t="str">
        <f>LEFT(Database!FXZ2,3)</f>
        <v/>
      </c>
      <c r="FXH2" t="str">
        <f>LEFT(Database!FYA2,3)</f>
        <v/>
      </c>
      <c r="FXI2" t="str">
        <f>LEFT(Database!FYB2,3)</f>
        <v/>
      </c>
      <c r="FXJ2" t="str">
        <f>LEFT(Database!FYC2,3)</f>
        <v/>
      </c>
      <c r="FXK2" t="str">
        <f>LEFT(Database!FYD2,3)</f>
        <v/>
      </c>
      <c r="FXL2" t="str">
        <f>LEFT(Database!FYE2,3)</f>
        <v/>
      </c>
      <c r="FXM2" t="str">
        <f>LEFT(Database!FYF2,3)</f>
        <v/>
      </c>
      <c r="FXN2" t="str">
        <f>LEFT(Database!FYG2,3)</f>
        <v/>
      </c>
      <c r="FXO2" t="str">
        <f>LEFT(Database!FYH2,3)</f>
        <v/>
      </c>
      <c r="FXP2" t="str">
        <f>LEFT(Database!FYI2,3)</f>
        <v/>
      </c>
      <c r="FXQ2" t="str">
        <f>LEFT(Database!FYJ2,3)</f>
        <v/>
      </c>
      <c r="FXR2" t="str">
        <f>LEFT(Database!FYK2,3)</f>
        <v/>
      </c>
      <c r="FXS2" t="str">
        <f>LEFT(Database!FYL2,3)</f>
        <v/>
      </c>
      <c r="FXT2" t="str">
        <f>LEFT(Database!FYM2,3)</f>
        <v/>
      </c>
      <c r="FXU2" t="str">
        <f>LEFT(Database!FYN2,3)</f>
        <v/>
      </c>
      <c r="FXV2" t="str">
        <f>LEFT(Database!FYO2,3)</f>
        <v/>
      </c>
      <c r="FXW2" t="str">
        <f>LEFT(Database!FYP2,3)</f>
        <v/>
      </c>
      <c r="FXX2" t="str">
        <f>LEFT(Database!FYQ2,3)</f>
        <v/>
      </c>
      <c r="FXY2" t="str">
        <f>LEFT(Database!FYR2,3)</f>
        <v/>
      </c>
      <c r="FXZ2" t="str">
        <f>LEFT(Database!FYS2,3)</f>
        <v/>
      </c>
      <c r="FYA2" t="str">
        <f>LEFT(Database!FYT2,3)</f>
        <v/>
      </c>
      <c r="FYB2" t="str">
        <f>LEFT(Database!FYU2,3)</f>
        <v/>
      </c>
      <c r="FYC2" t="str">
        <f>LEFT(Database!FYV2,3)</f>
        <v/>
      </c>
      <c r="FYD2" t="str">
        <f>LEFT(Database!FYW2,3)</f>
        <v/>
      </c>
      <c r="FYE2" t="str">
        <f>LEFT(Database!FYX2,3)</f>
        <v/>
      </c>
      <c r="FYF2" t="str">
        <f>LEFT(Database!FYY2,3)</f>
        <v/>
      </c>
      <c r="FYG2" t="str">
        <f>LEFT(Database!FYZ2,3)</f>
        <v/>
      </c>
      <c r="FYH2" t="str">
        <f>LEFT(Database!FZA2,3)</f>
        <v/>
      </c>
      <c r="FYI2" t="str">
        <f>LEFT(Database!FZB2,3)</f>
        <v/>
      </c>
      <c r="FYJ2" t="str">
        <f>LEFT(Database!FZC2,3)</f>
        <v/>
      </c>
      <c r="FYK2" t="str">
        <f>LEFT(Database!FZD2,3)</f>
        <v/>
      </c>
      <c r="FYL2" t="str">
        <f>LEFT(Database!FZE2,3)</f>
        <v/>
      </c>
      <c r="FYM2" t="str">
        <f>LEFT(Database!FZF2,3)</f>
        <v/>
      </c>
      <c r="FYN2" t="str">
        <f>LEFT(Database!FZG2,3)</f>
        <v/>
      </c>
      <c r="FYO2" t="str">
        <f>LEFT(Database!FZH2,3)</f>
        <v/>
      </c>
      <c r="FYP2" t="str">
        <f>LEFT(Database!FZI2,3)</f>
        <v/>
      </c>
      <c r="FYQ2" t="str">
        <f>LEFT(Database!FZJ2,3)</f>
        <v/>
      </c>
      <c r="FYR2" t="str">
        <f>LEFT(Database!FZK2,3)</f>
        <v/>
      </c>
      <c r="FYS2" t="str">
        <f>LEFT(Database!FZL2,3)</f>
        <v/>
      </c>
      <c r="FYT2" t="str">
        <f>LEFT(Database!FZM2,3)</f>
        <v/>
      </c>
      <c r="FYU2" t="str">
        <f>LEFT(Database!FZN2,3)</f>
        <v/>
      </c>
      <c r="FYV2" t="str">
        <f>LEFT(Database!FZO2,3)</f>
        <v/>
      </c>
      <c r="FYW2" t="str">
        <f>LEFT(Database!FZP2,3)</f>
        <v/>
      </c>
      <c r="FYX2" t="str">
        <f>LEFT(Database!FZQ2,3)</f>
        <v/>
      </c>
      <c r="FYY2" t="str">
        <f>LEFT(Database!FZR2,3)</f>
        <v/>
      </c>
      <c r="FYZ2" t="str">
        <f>LEFT(Database!FZS2,3)</f>
        <v/>
      </c>
      <c r="FZA2" t="str">
        <f>LEFT(Database!FZT2,3)</f>
        <v/>
      </c>
      <c r="FZB2" t="str">
        <f>LEFT(Database!FZU2,3)</f>
        <v/>
      </c>
      <c r="FZC2" t="str">
        <f>LEFT(Database!FZV2,3)</f>
        <v/>
      </c>
      <c r="FZD2" t="str">
        <f>LEFT(Database!FZW2,3)</f>
        <v/>
      </c>
      <c r="FZE2" t="str">
        <f>LEFT(Database!FZX2,3)</f>
        <v/>
      </c>
      <c r="FZF2" t="str">
        <f>LEFT(Database!FZY2,3)</f>
        <v/>
      </c>
      <c r="FZG2" t="str">
        <f>LEFT(Database!FZZ2,3)</f>
        <v/>
      </c>
      <c r="FZH2" t="str">
        <f>LEFT(Database!GAA2,3)</f>
        <v/>
      </c>
      <c r="FZI2" t="str">
        <f>LEFT(Database!GAB2,3)</f>
        <v/>
      </c>
      <c r="FZJ2" t="str">
        <f>LEFT(Database!GAC2,3)</f>
        <v/>
      </c>
      <c r="FZK2" t="str">
        <f>LEFT(Database!GAD2,3)</f>
        <v/>
      </c>
      <c r="FZL2" t="str">
        <f>LEFT(Database!GAE2,3)</f>
        <v/>
      </c>
      <c r="FZM2" t="str">
        <f>LEFT(Database!GAF2,3)</f>
        <v/>
      </c>
      <c r="FZN2" t="str">
        <f>LEFT(Database!GAG2,3)</f>
        <v/>
      </c>
      <c r="FZO2" t="str">
        <f>LEFT(Database!GAH2,3)</f>
        <v/>
      </c>
      <c r="FZP2" t="str">
        <f>LEFT(Database!GAI2,3)</f>
        <v/>
      </c>
      <c r="FZQ2" t="str">
        <f>LEFT(Database!GAJ2,3)</f>
        <v/>
      </c>
      <c r="FZR2" t="str">
        <f>LEFT(Database!GAK2,3)</f>
        <v/>
      </c>
      <c r="FZS2" t="str">
        <f>LEFT(Database!GAL2,3)</f>
        <v/>
      </c>
      <c r="FZT2" t="str">
        <f>LEFT(Database!GAM2,3)</f>
        <v/>
      </c>
      <c r="FZU2" t="str">
        <f>LEFT(Database!GAN2,3)</f>
        <v/>
      </c>
      <c r="FZV2" t="str">
        <f>LEFT(Database!GAO2,3)</f>
        <v/>
      </c>
      <c r="FZW2" t="str">
        <f>LEFT(Database!GAP2,3)</f>
        <v/>
      </c>
      <c r="FZX2" t="str">
        <f>LEFT(Database!GAQ2,3)</f>
        <v/>
      </c>
      <c r="FZY2" t="str">
        <f>LEFT(Database!GAR2,3)</f>
        <v/>
      </c>
      <c r="FZZ2" t="str">
        <f>LEFT(Database!GAS2,3)</f>
        <v/>
      </c>
      <c r="GAA2" t="str">
        <f>LEFT(Database!GAT2,3)</f>
        <v/>
      </c>
      <c r="GAB2" t="str">
        <f>LEFT(Database!GAU2,3)</f>
        <v/>
      </c>
      <c r="GAC2" t="str">
        <f>LEFT(Database!GAV2,3)</f>
        <v/>
      </c>
      <c r="GAD2" t="str">
        <f>LEFT(Database!GAW2,3)</f>
        <v/>
      </c>
      <c r="GAE2" t="str">
        <f>LEFT(Database!GAX2,3)</f>
        <v/>
      </c>
      <c r="GAF2" t="str">
        <f>LEFT(Database!GAY2,3)</f>
        <v/>
      </c>
      <c r="GAG2" t="str">
        <f>LEFT(Database!GAZ2,3)</f>
        <v/>
      </c>
      <c r="GAH2" t="str">
        <f>LEFT(Database!GBA2,3)</f>
        <v/>
      </c>
      <c r="GAI2" t="str">
        <f>LEFT(Database!GBB2,3)</f>
        <v/>
      </c>
      <c r="GAJ2" t="str">
        <f>LEFT(Database!GBC2,3)</f>
        <v/>
      </c>
      <c r="GAK2" t="str">
        <f>LEFT(Database!GBD2,3)</f>
        <v/>
      </c>
      <c r="GAL2" t="str">
        <f>LEFT(Database!GBE2,3)</f>
        <v/>
      </c>
      <c r="GAM2" t="str">
        <f>LEFT(Database!GBF2,3)</f>
        <v/>
      </c>
      <c r="GAN2" t="str">
        <f>LEFT(Database!GBG2,3)</f>
        <v/>
      </c>
      <c r="GAO2" t="str">
        <f>LEFT(Database!GBH2,3)</f>
        <v/>
      </c>
      <c r="GAP2" t="str">
        <f>LEFT(Database!GBI2,3)</f>
        <v/>
      </c>
      <c r="GAQ2" t="str">
        <f>LEFT(Database!GBJ2,3)</f>
        <v/>
      </c>
      <c r="GAR2" t="str">
        <f>LEFT(Database!GBK2,3)</f>
        <v/>
      </c>
      <c r="GAS2" t="str">
        <f>LEFT(Database!GBL2,3)</f>
        <v/>
      </c>
      <c r="GAT2" t="str">
        <f>LEFT(Database!GBM2,3)</f>
        <v/>
      </c>
      <c r="GAU2" t="str">
        <f>LEFT(Database!GBN2,3)</f>
        <v/>
      </c>
      <c r="GAV2" t="str">
        <f>LEFT(Database!GBO2,3)</f>
        <v/>
      </c>
      <c r="GAW2" t="str">
        <f>LEFT(Database!GBP2,3)</f>
        <v/>
      </c>
      <c r="GAX2" t="str">
        <f>LEFT(Database!GBQ2,3)</f>
        <v/>
      </c>
      <c r="GAY2" t="str">
        <f>LEFT(Database!GBR2,3)</f>
        <v/>
      </c>
      <c r="GAZ2" t="str">
        <f>LEFT(Database!GBS2,3)</f>
        <v/>
      </c>
      <c r="GBA2" t="str">
        <f>LEFT(Database!GBT2,3)</f>
        <v/>
      </c>
      <c r="GBB2" t="str">
        <f>LEFT(Database!GBU2,3)</f>
        <v/>
      </c>
      <c r="GBC2" t="str">
        <f>LEFT(Database!GBV2,3)</f>
        <v/>
      </c>
      <c r="GBD2" t="str">
        <f>LEFT(Database!GBW2,3)</f>
        <v/>
      </c>
      <c r="GBE2" t="str">
        <f>LEFT(Database!GBX2,3)</f>
        <v/>
      </c>
      <c r="GBF2" t="str">
        <f>LEFT(Database!GBY2,3)</f>
        <v/>
      </c>
      <c r="GBG2" t="str">
        <f>LEFT(Database!GBZ2,3)</f>
        <v/>
      </c>
      <c r="GBH2" t="str">
        <f>LEFT(Database!GCA2,3)</f>
        <v/>
      </c>
      <c r="GBI2" t="str">
        <f>LEFT(Database!GCB2,3)</f>
        <v/>
      </c>
      <c r="GBJ2" t="str">
        <f>LEFT(Database!GCC2,3)</f>
        <v/>
      </c>
      <c r="GBK2" t="str">
        <f>LEFT(Database!GCD2,3)</f>
        <v/>
      </c>
      <c r="GBL2" t="str">
        <f>LEFT(Database!GCE2,3)</f>
        <v/>
      </c>
      <c r="GBM2" t="str">
        <f>LEFT(Database!GCF2,3)</f>
        <v/>
      </c>
      <c r="GBN2" t="str">
        <f>LEFT(Database!GCG2,3)</f>
        <v/>
      </c>
      <c r="GBO2" t="str">
        <f>LEFT(Database!GCH2,3)</f>
        <v/>
      </c>
      <c r="GBP2" t="str">
        <f>LEFT(Database!GCI2,3)</f>
        <v/>
      </c>
      <c r="GBQ2" t="str">
        <f>LEFT(Database!GCJ2,3)</f>
        <v/>
      </c>
      <c r="GBR2" t="str">
        <f>LEFT(Database!GCK2,3)</f>
        <v/>
      </c>
      <c r="GBS2" t="str">
        <f>LEFT(Database!GCL2,3)</f>
        <v/>
      </c>
      <c r="GBT2" t="str">
        <f>LEFT(Database!GCM2,3)</f>
        <v/>
      </c>
      <c r="GBU2" t="str">
        <f>LEFT(Database!GCN2,3)</f>
        <v/>
      </c>
      <c r="GBV2" t="str">
        <f>LEFT(Database!GCO2,3)</f>
        <v/>
      </c>
      <c r="GBW2" t="str">
        <f>LEFT(Database!GCP2,3)</f>
        <v/>
      </c>
      <c r="GBX2" t="str">
        <f>LEFT(Database!GCQ2,3)</f>
        <v/>
      </c>
      <c r="GBY2" t="str">
        <f>LEFT(Database!GCR2,3)</f>
        <v/>
      </c>
      <c r="GBZ2" t="str">
        <f>LEFT(Database!GCS2,3)</f>
        <v/>
      </c>
      <c r="GCA2" t="str">
        <f>LEFT(Database!GCT2,3)</f>
        <v/>
      </c>
      <c r="GCB2" t="str">
        <f>LEFT(Database!GCU2,3)</f>
        <v/>
      </c>
      <c r="GCC2" t="str">
        <f>LEFT(Database!GCV2,3)</f>
        <v/>
      </c>
      <c r="GCD2" t="str">
        <f>LEFT(Database!GCW2,3)</f>
        <v/>
      </c>
      <c r="GCE2" t="str">
        <f>LEFT(Database!GCX2,3)</f>
        <v/>
      </c>
      <c r="GCF2" t="str">
        <f>LEFT(Database!GCY2,3)</f>
        <v/>
      </c>
      <c r="GCG2" t="str">
        <f>LEFT(Database!GCZ2,3)</f>
        <v/>
      </c>
      <c r="GCH2" t="str">
        <f>LEFT(Database!GDA2,3)</f>
        <v/>
      </c>
      <c r="GCI2" t="str">
        <f>LEFT(Database!GDB2,3)</f>
        <v/>
      </c>
      <c r="GCJ2" t="str">
        <f>LEFT(Database!GDC2,3)</f>
        <v/>
      </c>
      <c r="GCK2" t="str">
        <f>LEFT(Database!GDD2,3)</f>
        <v/>
      </c>
      <c r="GCL2" t="str">
        <f>LEFT(Database!GDE2,3)</f>
        <v/>
      </c>
      <c r="GCM2" t="str">
        <f>LEFT(Database!GDF2,3)</f>
        <v/>
      </c>
      <c r="GCN2" t="str">
        <f>LEFT(Database!GDG2,3)</f>
        <v/>
      </c>
      <c r="GCO2" t="str">
        <f>LEFT(Database!GDH2,3)</f>
        <v/>
      </c>
      <c r="GCP2" t="str">
        <f>LEFT(Database!GDI2,3)</f>
        <v/>
      </c>
      <c r="GCQ2" t="str">
        <f>LEFT(Database!GDJ2,3)</f>
        <v/>
      </c>
      <c r="GCR2" t="str">
        <f>LEFT(Database!GDK2,3)</f>
        <v/>
      </c>
      <c r="GCS2" t="str">
        <f>LEFT(Database!GDL2,3)</f>
        <v/>
      </c>
      <c r="GCT2" t="str">
        <f>LEFT(Database!GDM2,3)</f>
        <v/>
      </c>
      <c r="GCU2" t="str">
        <f>LEFT(Database!GDN2,3)</f>
        <v/>
      </c>
      <c r="GCV2" t="str">
        <f>LEFT(Database!GDO2,3)</f>
        <v/>
      </c>
      <c r="GCW2" t="str">
        <f>LEFT(Database!GDP2,3)</f>
        <v/>
      </c>
      <c r="GCX2" t="str">
        <f>LEFT(Database!GDQ2,3)</f>
        <v/>
      </c>
      <c r="GCY2" t="str">
        <f>LEFT(Database!GDR2,3)</f>
        <v/>
      </c>
      <c r="GCZ2" t="str">
        <f>LEFT(Database!GDS2,3)</f>
        <v/>
      </c>
      <c r="GDA2" t="str">
        <f>LEFT(Database!GDT2,3)</f>
        <v/>
      </c>
      <c r="GDB2" t="str">
        <f>LEFT(Database!GDU2,3)</f>
        <v/>
      </c>
      <c r="GDC2" t="str">
        <f>LEFT(Database!GDV2,3)</f>
        <v/>
      </c>
      <c r="GDD2" t="str">
        <f>LEFT(Database!GDW2,3)</f>
        <v/>
      </c>
      <c r="GDE2" t="str">
        <f>LEFT(Database!GDX2,3)</f>
        <v/>
      </c>
      <c r="GDF2" t="str">
        <f>LEFT(Database!GDY2,3)</f>
        <v/>
      </c>
      <c r="GDG2" t="str">
        <f>LEFT(Database!GDZ2,3)</f>
        <v/>
      </c>
      <c r="GDH2" t="str">
        <f>LEFT(Database!GEA2,3)</f>
        <v/>
      </c>
      <c r="GDI2" t="str">
        <f>LEFT(Database!GEB2,3)</f>
        <v/>
      </c>
      <c r="GDJ2" t="str">
        <f>LEFT(Database!GEC2,3)</f>
        <v/>
      </c>
      <c r="GDK2" t="str">
        <f>LEFT(Database!GED2,3)</f>
        <v/>
      </c>
      <c r="GDL2" t="str">
        <f>LEFT(Database!GEE2,3)</f>
        <v/>
      </c>
      <c r="GDM2" t="str">
        <f>LEFT(Database!GEF2,3)</f>
        <v/>
      </c>
      <c r="GDN2" t="str">
        <f>LEFT(Database!GEG2,3)</f>
        <v/>
      </c>
      <c r="GDO2" t="str">
        <f>LEFT(Database!GEH2,3)</f>
        <v/>
      </c>
      <c r="GDP2" t="str">
        <f>LEFT(Database!GEI2,3)</f>
        <v/>
      </c>
      <c r="GDQ2" t="str">
        <f>LEFT(Database!GEJ2,3)</f>
        <v/>
      </c>
      <c r="GDR2" t="str">
        <f>LEFT(Database!GEK2,3)</f>
        <v/>
      </c>
      <c r="GDS2" t="str">
        <f>LEFT(Database!GEL2,3)</f>
        <v/>
      </c>
      <c r="GDT2" t="str">
        <f>LEFT(Database!GEM2,3)</f>
        <v/>
      </c>
      <c r="GDU2" t="str">
        <f>LEFT(Database!GEN2,3)</f>
        <v/>
      </c>
      <c r="GDV2" t="str">
        <f>LEFT(Database!GEO2,3)</f>
        <v/>
      </c>
      <c r="GDW2" t="str">
        <f>LEFT(Database!GEP2,3)</f>
        <v/>
      </c>
      <c r="GDX2" t="str">
        <f>LEFT(Database!GEQ2,3)</f>
        <v/>
      </c>
      <c r="GDY2" t="str">
        <f>LEFT(Database!GER2,3)</f>
        <v/>
      </c>
      <c r="GDZ2" t="str">
        <f>LEFT(Database!GES2,3)</f>
        <v/>
      </c>
      <c r="GEA2" t="str">
        <f>LEFT(Database!GET2,3)</f>
        <v/>
      </c>
      <c r="GEB2" t="str">
        <f>LEFT(Database!GEU2,3)</f>
        <v/>
      </c>
      <c r="GEC2" t="str">
        <f>LEFT(Database!GEV2,3)</f>
        <v/>
      </c>
      <c r="GED2" t="str">
        <f>LEFT(Database!GEW2,3)</f>
        <v/>
      </c>
      <c r="GEE2" t="str">
        <f>LEFT(Database!GEX2,3)</f>
        <v/>
      </c>
      <c r="GEF2" t="str">
        <f>LEFT(Database!GEY2,3)</f>
        <v/>
      </c>
      <c r="GEG2" t="str">
        <f>LEFT(Database!GEZ2,3)</f>
        <v/>
      </c>
      <c r="GEH2" t="str">
        <f>LEFT(Database!GFA2,3)</f>
        <v/>
      </c>
      <c r="GEI2" t="str">
        <f>LEFT(Database!GFB2,3)</f>
        <v/>
      </c>
      <c r="GEJ2" t="str">
        <f>LEFT(Database!GFC2,3)</f>
        <v/>
      </c>
      <c r="GEK2" t="str">
        <f>LEFT(Database!GFD2,3)</f>
        <v/>
      </c>
      <c r="GEL2" t="str">
        <f>LEFT(Database!GFE2,3)</f>
        <v/>
      </c>
      <c r="GEM2" t="str">
        <f>LEFT(Database!GFF2,3)</f>
        <v/>
      </c>
      <c r="GEN2" t="str">
        <f>LEFT(Database!GFG2,3)</f>
        <v/>
      </c>
      <c r="GEO2" t="str">
        <f>LEFT(Database!GFH2,3)</f>
        <v/>
      </c>
      <c r="GEP2" t="str">
        <f>LEFT(Database!GFI2,3)</f>
        <v/>
      </c>
      <c r="GEQ2" t="str">
        <f>LEFT(Database!GFJ2,3)</f>
        <v/>
      </c>
      <c r="GER2" t="str">
        <f>LEFT(Database!GFK2,3)</f>
        <v/>
      </c>
      <c r="GES2" t="str">
        <f>LEFT(Database!GFL2,3)</f>
        <v/>
      </c>
      <c r="GET2" t="str">
        <f>LEFT(Database!GFM2,3)</f>
        <v/>
      </c>
      <c r="GEU2" t="str">
        <f>LEFT(Database!GFN2,3)</f>
        <v/>
      </c>
      <c r="GEV2" t="str">
        <f>LEFT(Database!GFO2,3)</f>
        <v/>
      </c>
      <c r="GEW2" t="str">
        <f>LEFT(Database!GFP2,3)</f>
        <v/>
      </c>
      <c r="GEX2" t="str">
        <f>LEFT(Database!GFQ2,3)</f>
        <v/>
      </c>
      <c r="GEY2" t="str">
        <f>LEFT(Database!GFR2,3)</f>
        <v/>
      </c>
      <c r="GEZ2" t="str">
        <f>LEFT(Database!GFS2,3)</f>
        <v/>
      </c>
      <c r="GFA2" t="str">
        <f>LEFT(Database!GFT2,3)</f>
        <v/>
      </c>
      <c r="GFB2" t="str">
        <f>LEFT(Database!GFU2,3)</f>
        <v/>
      </c>
      <c r="GFC2" t="str">
        <f>LEFT(Database!GFV2,3)</f>
        <v/>
      </c>
      <c r="GFD2" t="str">
        <f>LEFT(Database!GFW2,3)</f>
        <v/>
      </c>
      <c r="GFE2" t="str">
        <f>LEFT(Database!GFX2,3)</f>
        <v/>
      </c>
      <c r="GFF2" t="str">
        <f>LEFT(Database!GFY2,3)</f>
        <v/>
      </c>
      <c r="GFG2" t="str">
        <f>LEFT(Database!GFZ2,3)</f>
        <v/>
      </c>
      <c r="GFH2" t="str">
        <f>LEFT(Database!GGA2,3)</f>
        <v/>
      </c>
      <c r="GFI2" t="str">
        <f>LEFT(Database!GGB2,3)</f>
        <v/>
      </c>
      <c r="GFJ2" t="str">
        <f>LEFT(Database!GGC2,3)</f>
        <v/>
      </c>
      <c r="GFK2" t="str">
        <f>LEFT(Database!GGD2,3)</f>
        <v/>
      </c>
      <c r="GFL2" t="str">
        <f>LEFT(Database!GGE2,3)</f>
        <v/>
      </c>
      <c r="GFM2" t="str">
        <f>LEFT(Database!GGF2,3)</f>
        <v/>
      </c>
      <c r="GFN2" t="str">
        <f>LEFT(Database!GGG2,3)</f>
        <v/>
      </c>
      <c r="GFO2" t="str">
        <f>LEFT(Database!GGH2,3)</f>
        <v/>
      </c>
      <c r="GFP2" t="str">
        <f>LEFT(Database!GGI2,3)</f>
        <v/>
      </c>
      <c r="GFQ2" t="str">
        <f>LEFT(Database!GGJ2,3)</f>
        <v/>
      </c>
      <c r="GFR2" t="str">
        <f>LEFT(Database!GGK2,3)</f>
        <v/>
      </c>
      <c r="GFS2" t="str">
        <f>LEFT(Database!GGL2,3)</f>
        <v/>
      </c>
      <c r="GFT2" t="str">
        <f>LEFT(Database!GGM2,3)</f>
        <v/>
      </c>
      <c r="GFU2" t="str">
        <f>LEFT(Database!GGN2,3)</f>
        <v/>
      </c>
      <c r="GFV2" t="str">
        <f>LEFT(Database!GGO2,3)</f>
        <v/>
      </c>
      <c r="GFW2" t="str">
        <f>LEFT(Database!GGP2,3)</f>
        <v/>
      </c>
      <c r="GFX2" t="str">
        <f>LEFT(Database!GGQ2,3)</f>
        <v/>
      </c>
      <c r="GFY2" t="str">
        <f>LEFT(Database!GGR2,3)</f>
        <v/>
      </c>
      <c r="GFZ2" t="str">
        <f>LEFT(Database!GGS2,3)</f>
        <v/>
      </c>
      <c r="GGA2" t="str">
        <f>LEFT(Database!GGT2,3)</f>
        <v/>
      </c>
      <c r="GGB2" t="str">
        <f>LEFT(Database!GGU2,3)</f>
        <v/>
      </c>
      <c r="GGC2" t="str">
        <f>LEFT(Database!GGV2,3)</f>
        <v/>
      </c>
      <c r="GGD2" t="str">
        <f>LEFT(Database!GGW2,3)</f>
        <v/>
      </c>
      <c r="GGE2" t="str">
        <f>LEFT(Database!GGX2,3)</f>
        <v/>
      </c>
      <c r="GGF2" t="str">
        <f>LEFT(Database!GGY2,3)</f>
        <v/>
      </c>
      <c r="GGG2" t="str">
        <f>LEFT(Database!GGZ2,3)</f>
        <v/>
      </c>
      <c r="GGH2" t="str">
        <f>LEFT(Database!GHA2,3)</f>
        <v/>
      </c>
      <c r="GGI2" t="str">
        <f>LEFT(Database!GHB2,3)</f>
        <v/>
      </c>
      <c r="GGJ2" t="str">
        <f>LEFT(Database!GHC2,3)</f>
        <v/>
      </c>
      <c r="GGK2" t="str">
        <f>LEFT(Database!GHD2,3)</f>
        <v/>
      </c>
      <c r="GGL2" t="str">
        <f>LEFT(Database!GHE2,3)</f>
        <v/>
      </c>
      <c r="GGM2" t="str">
        <f>LEFT(Database!GHF2,3)</f>
        <v/>
      </c>
      <c r="GGN2" t="str">
        <f>LEFT(Database!GHG2,3)</f>
        <v/>
      </c>
      <c r="GGO2" t="str">
        <f>LEFT(Database!GHH2,3)</f>
        <v/>
      </c>
      <c r="GGP2" t="str">
        <f>LEFT(Database!GHI2,3)</f>
        <v/>
      </c>
      <c r="GGQ2" t="str">
        <f>LEFT(Database!GHJ2,3)</f>
        <v/>
      </c>
      <c r="GGR2" t="str">
        <f>LEFT(Database!GHK2,3)</f>
        <v/>
      </c>
      <c r="GGS2" t="str">
        <f>LEFT(Database!GHL2,3)</f>
        <v/>
      </c>
      <c r="GGT2" t="str">
        <f>LEFT(Database!GHM2,3)</f>
        <v/>
      </c>
      <c r="GGU2" t="str">
        <f>LEFT(Database!GHN2,3)</f>
        <v/>
      </c>
      <c r="GGV2" t="str">
        <f>LEFT(Database!GHO2,3)</f>
        <v/>
      </c>
      <c r="GGW2" t="str">
        <f>LEFT(Database!GHP2,3)</f>
        <v/>
      </c>
      <c r="GGX2" t="str">
        <f>LEFT(Database!GHQ2,3)</f>
        <v/>
      </c>
      <c r="GGY2" t="str">
        <f>LEFT(Database!GHR2,3)</f>
        <v/>
      </c>
      <c r="GGZ2" t="str">
        <f>LEFT(Database!GHS2,3)</f>
        <v/>
      </c>
      <c r="GHA2" t="str">
        <f>LEFT(Database!GHT2,3)</f>
        <v/>
      </c>
      <c r="GHB2" t="str">
        <f>LEFT(Database!GHU2,3)</f>
        <v/>
      </c>
      <c r="GHC2" t="str">
        <f>LEFT(Database!GHV2,3)</f>
        <v/>
      </c>
      <c r="GHD2" t="str">
        <f>LEFT(Database!GHW2,3)</f>
        <v/>
      </c>
      <c r="GHE2" t="str">
        <f>LEFT(Database!GHX2,3)</f>
        <v/>
      </c>
      <c r="GHF2" t="str">
        <f>LEFT(Database!GHY2,3)</f>
        <v/>
      </c>
      <c r="GHG2" t="str">
        <f>LEFT(Database!GHZ2,3)</f>
        <v/>
      </c>
      <c r="GHH2" t="str">
        <f>LEFT(Database!GIA2,3)</f>
        <v/>
      </c>
      <c r="GHI2" t="str">
        <f>LEFT(Database!GIB2,3)</f>
        <v/>
      </c>
      <c r="GHJ2" t="str">
        <f>LEFT(Database!GIC2,3)</f>
        <v/>
      </c>
      <c r="GHK2" t="str">
        <f>LEFT(Database!GID2,3)</f>
        <v/>
      </c>
      <c r="GHL2" t="str">
        <f>LEFT(Database!GIE2,3)</f>
        <v/>
      </c>
      <c r="GHM2" t="str">
        <f>LEFT(Database!GIF2,3)</f>
        <v/>
      </c>
      <c r="GHN2" t="str">
        <f>LEFT(Database!GIG2,3)</f>
        <v/>
      </c>
      <c r="GHO2" t="str">
        <f>LEFT(Database!GIH2,3)</f>
        <v/>
      </c>
      <c r="GHP2" t="str">
        <f>LEFT(Database!GII2,3)</f>
        <v/>
      </c>
      <c r="GHQ2" t="str">
        <f>LEFT(Database!GIJ2,3)</f>
        <v/>
      </c>
      <c r="GHR2" t="str">
        <f>LEFT(Database!GIK2,3)</f>
        <v/>
      </c>
      <c r="GHS2" t="str">
        <f>LEFT(Database!GIL2,3)</f>
        <v/>
      </c>
      <c r="GHT2" t="str">
        <f>LEFT(Database!GIM2,3)</f>
        <v/>
      </c>
      <c r="GHU2" t="str">
        <f>LEFT(Database!GIN2,3)</f>
        <v/>
      </c>
      <c r="GHV2" t="str">
        <f>LEFT(Database!GIO2,3)</f>
        <v/>
      </c>
      <c r="GHW2" t="str">
        <f>LEFT(Database!GIP2,3)</f>
        <v/>
      </c>
      <c r="GHX2" t="str">
        <f>LEFT(Database!GIQ2,3)</f>
        <v/>
      </c>
      <c r="GHY2" t="str">
        <f>LEFT(Database!GIR2,3)</f>
        <v/>
      </c>
      <c r="GHZ2" t="str">
        <f>LEFT(Database!GIS2,3)</f>
        <v/>
      </c>
      <c r="GIA2" t="str">
        <f>LEFT(Database!GIT2,3)</f>
        <v/>
      </c>
      <c r="GIB2" t="str">
        <f>LEFT(Database!GIU2,3)</f>
        <v/>
      </c>
      <c r="GIC2" t="str">
        <f>LEFT(Database!GIV2,3)</f>
        <v/>
      </c>
      <c r="GID2" t="str">
        <f>LEFT(Database!GIW2,3)</f>
        <v/>
      </c>
      <c r="GIE2" t="str">
        <f>LEFT(Database!GIX2,3)</f>
        <v/>
      </c>
      <c r="GIF2" t="str">
        <f>LEFT(Database!GIY2,3)</f>
        <v/>
      </c>
      <c r="GIG2" t="str">
        <f>LEFT(Database!GIZ2,3)</f>
        <v/>
      </c>
      <c r="GIH2" t="str">
        <f>LEFT(Database!GJA2,3)</f>
        <v/>
      </c>
      <c r="GII2" t="str">
        <f>LEFT(Database!GJB2,3)</f>
        <v/>
      </c>
      <c r="GIJ2" t="str">
        <f>LEFT(Database!GJC2,3)</f>
        <v/>
      </c>
      <c r="GIK2" t="str">
        <f>LEFT(Database!GJD2,3)</f>
        <v/>
      </c>
      <c r="GIL2" t="str">
        <f>LEFT(Database!GJE2,3)</f>
        <v/>
      </c>
      <c r="GIM2" t="str">
        <f>LEFT(Database!GJF2,3)</f>
        <v/>
      </c>
      <c r="GIN2" t="str">
        <f>LEFT(Database!GJG2,3)</f>
        <v/>
      </c>
      <c r="GIO2" t="str">
        <f>LEFT(Database!GJH2,3)</f>
        <v/>
      </c>
      <c r="GIP2" t="str">
        <f>LEFT(Database!GJI2,3)</f>
        <v/>
      </c>
      <c r="GIQ2" t="str">
        <f>LEFT(Database!GJJ2,3)</f>
        <v/>
      </c>
      <c r="GIR2" t="str">
        <f>LEFT(Database!GJK2,3)</f>
        <v/>
      </c>
      <c r="GIS2" t="str">
        <f>LEFT(Database!GJL2,3)</f>
        <v/>
      </c>
      <c r="GIT2" t="str">
        <f>LEFT(Database!GJM2,3)</f>
        <v/>
      </c>
      <c r="GIU2" t="str">
        <f>LEFT(Database!GJN2,3)</f>
        <v/>
      </c>
      <c r="GIV2" t="str">
        <f>LEFT(Database!GJO2,3)</f>
        <v/>
      </c>
      <c r="GIW2" t="str">
        <f>LEFT(Database!GJP2,3)</f>
        <v/>
      </c>
      <c r="GIX2" t="str">
        <f>LEFT(Database!GJQ2,3)</f>
        <v/>
      </c>
      <c r="GIY2" t="str">
        <f>LEFT(Database!GJR2,3)</f>
        <v/>
      </c>
      <c r="GIZ2" t="str">
        <f>LEFT(Database!GJS2,3)</f>
        <v/>
      </c>
      <c r="GJA2" t="str">
        <f>LEFT(Database!GJT2,3)</f>
        <v/>
      </c>
      <c r="GJB2" t="str">
        <f>LEFT(Database!GJU2,3)</f>
        <v/>
      </c>
      <c r="GJC2" t="str">
        <f>LEFT(Database!GJV2,3)</f>
        <v/>
      </c>
      <c r="GJD2" t="str">
        <f>LEFT(Database!GJW2,3)</f>
        <v/>
      </c>
      <c r="GJE2" t="str">
        <f>LEFT(Database!GJX2,3)</f>
        <v/>
      </c>
      <c r="GJF2" t="str">
        <f>LEFT(Database!GJY2,3)</f>
        <v/>
      </c>
      <c r="GJG2" t="str">
        <f>LEFT(Database!GJZ2,3)</f>
        <v/>
      </c>
      <c r="GJH2" t="str">
        <f>LEFT(Database!GKA2,3)</f>
        <v/>
      </c>
      <c r="GJI2" t="str">
        <f>LEFT(Database!GKB2,3)</f>
        <v/>
      </c>
      <c r="GJJ2" t="str">
        <f>LEFT(Database!GKC2,3)</f>
        <v/>
      </c>
      <c r="GJK2" t="str">
        <f>LEFT(Database!GKD2,3)</f>
        <v/>
      </c>
      <c r="GJL2" t="str">
        <f>LEFT(Database!GKE2,3)</f>
        <v/>
      </c>
      <c r="GJM2" t="str">
        <f>LEFT(Database!GKF2,3)</f>
        <v/>
      </c>
      <c r="GJN2" t="str">
        <f>LEFT(Database!GKG2,3)</f>
        <v/>
      </c>
      <c r="GJO2" t="str">
        <f>LEFT(Database!GKH2,3)</f>
        <v/>
      </c>
      <c r="GJP2" t="str">
        <f>LEFT(Database!GKI2,3)</f>
        <v/>
      </c>
      <c r="GJQ2" t="str">
        <f>LEFT(Database!GKJ2,3)</f>
        <v/>
      </c>
      <c r="GJR2" t="str">
        <f>LEFT(Database!GKK2,3)</f>
        <v/>
      </c>
      <c r="GJS2" t="str">
        <f>LEFT(Database!GKL2,3)</f>
        <v/>
      </c>
      <c r="GJT2" t="str">
        <f>LEFT(Database!GKM2,3)</f>
        <v/>
      </c>
      <c r="GJU2" t="str">
        <f>LEFT(Database!GKN2,3)</f>
        <v/>
      </c>
      <c r="GJV2" t="str">
        <f>LEFT(Database!GKO2,3)</f>
        <v/>
      </c>
      <c r="GJW2" t="str">
        <f>LEFT(Database!GKP2,3)</f>
        <v/>
      </c>
      <c r="GJX2" t="str">
        <f>LEFT(Database!GKQ2,3)</f>
        <v/>
      </c>
      <c r="GJY2" t="str">
        <f>LEFT(Database!GKR2,3)</f>
        <v/>
      </c>
      <c r="GJZ2" t="str">
        <f>LEFT(Database!GKS2,3)</f>
        <v/>
      </c>
      <c r="GKA2" t="str">
        <f>LEFT(Database!GKT2,3)</f>
        <v/>
      </c>
      <c r="GKB2" t="str">
        <f>LEFT(Database!GKU2,3)</f>
        <v/>
      </c>
      <c r="GKC2" t="str">
        <f>LEFT(Database!GKV2,3)</f>
        <v/>
      </c>
      <c r="GKD2" t="str">
        <f>LEFT(Database!GKW2,3)</f>
        <v/>
      </c>
      <c r="GKE2" t="str">
        <f>LEFT(Database!GKX2,3)</f>
        <v/>
      </c>
      <c r="GKF2" t="str">
        <f>LEFT(Database!GKY2,3)</f>
        <v/>
      </c>
      <c r="GKG2" t="str">
        <f>LEFT(Database!GKZ2,3)</f>
        <v/>
      </c>
      <c r="GKH2" t="str">
        <f>LEFT(Database!GLA2,3)</f>
        <v/>
      </c>
      <c r="GKI2" t="str">
        <f>LEFT(Database!GLB2,3)</f>
        <v/>
      </c>
      <c r="GKJ2" t="str">
        <f>LEFT(Database!GLC2,3)</f>
        <v/>
      </c>
      <c r="GKK2" t="str">
        <f>LEFT(Database!GLD2,3)</f>
        <v/>
      </c>
      <c r="GKL2" t="str">
        <f>LEFT(Database!GLE2,3)</f>
        <v/>
      </c>
      <c r="GKM2" t="str">
        <f>LEFT(Database!GLF2,3)</f>
        <v/>
      </c>
      <c r="GKN2" t="str">
        <f>LEFT(Database!GLG2,3)</f>
        <v/>
      </c>
      <c r="GKO2" t="str">
        <f>LEFT(Database!GLH2,3)</f>
        <v/>
      </c>
      <c r="GKP2" t="str">
        <f>LEFT(Database!GLI2,3)</f>
        <v/>
      </c>
      <c r="GKQ2" t="str">
        <f>LEFT(Database!GLJ2,3)</f>
        <v/>
      </c>
      <c r="GKR2" t="str">
        <f>LEFT(Database!GLK2,3)</f>
        <v/>
      </c>
      <c r="GKS2" t="str">
        <f>LEFT(Database!GLL2,3)</f>
        <v/>
      </c>
      <c r="GKT2" t="str">
        <f>LEFT(Database!GLM2,3)</f>
        <v/>
      </c>
      <c r="GKU2" t="str">
        <f>LEFT(Database!GLN2,3)</f>
        <v/>
      </c>
      <c r="GKV2" t="str">
        <f>LEFT(Database!GLO2,3)</f>
        <v/>
      </c>
      <c r="GKW2" t="str">
        <f>LEFT(Database!GLP2,3)</f>
        <v/>
      </c>
      <c r="GKX2" t="str">
        <f>LEFT(Database!GLQ2,3)</f>
        <v/>
      </c>
      <c r="GKY2" t="str">
        <f>LEFT(Database!GLR2,3)</f>
        <v/>
      </c>
      <c r="GKZ2" t="str">
        <f>LEFT(Database!GLS2,3)</f>
        <v/>
      </c>
      <c r="GLA2" t="str">
        <f>LEFT(Database!GLT2,3)</f>
        <v/>
      </c>
      <c r="GLB2" t="str">
        <f>LEFT(Database!GLU2,3)</f>
        <v/>
      </c>
      <c r="GLC2" t="str">
        <f>LEFT(Database!GLV2,3)</f>
        <v/>
      </c>
      <c r="GLD2" t="str">
        <f>LEFT(Database!GLW2,3)</f>
        <v/>
      </c>
      <c r="GLE2" t="str">
        <f>LEFT(Database!GLX2,3)</f>
        <v/>
      </c>
      <c r="GLF2" t="str">
        <f>LEFT(Database!GLY2,3)</f>
        <v/>
      </c>
      <c r="GLG2" t="str">
        <f>LEFT(Database!GLZ2,3)</f>
        <v/>
      </c>
      <c r="GLH2" t="str">
        <f>LEFT(Database!GMA2,3)</f>
        <v/>
      </c>
      <c r="GLI2" t="str">
        <f>LEFT(Database!GMB2,3)</f>
        <v/>
      </c>
      <c r="GLJ2" t="str">
        <f>LEFT(Database!GMC2,3)</f>
        <v/>
      </c>
      <c r="GLK2" t="str">
        <f>LEFT(Database!GMD2,3)</f>
        <v/>
      </c>
      <c r="GLL2" t="str">
        <f>LEFT(Database!GME2,3)</f>
        <v/>
      </c>
      <c r="GLM2" t="str">
        <f>LEFT(Database!GMF2,3)</f>
        <v/>
      </c>
      <c r="GLN2" t="str">
        <f>LEFT(Database!GMG2,3)</f>
        <v/>
      </c>
      <c r="GLO2" t="str">
        <f>LEFT(Database!GMH2,3)</f>
        <v/>
      </c>
      <c r="GLP2" t="str">
        <f>LEFT(Database!GMI2,3)</f>
        <v/>
      </c>
      <c r="GLQ2" t="str">
        <f>LEFT(Database!GMJ2,3)</f>
        <v/>
      </c>
      <c r="GLR2" t="str">
        <f>LEFT(Database!GMK2,3)</f>
        <v/>
      </c>
      <c r="GLS2" t="str">
        <f>LEFT(Database!GML2,3)</f>
        <v/>
      </c>
      <c r="GLT2" t="str">
        <f>LEFT(Database!GMM2,3)</f>
        <v/>
      </c>
      <c r="GLU2" t="str">
        <f>LEFT(Database!GMN2,3)</f>
        <v/>
      </c>
      <c r="GLV2" t="str">
        <f>LEFT(Database!GMO2,3)</f>
        <v/>
      </c>
      <c r="GLW2" t="str">
        <f>LEFT(Database!GMP2,3)</f>
        <v/>
      </c>
      <c r="GLX2" t="str">
        <f>LEFT(Database!GMQ2,3)</f>
        <v/>
      </c>
      <c r="GLY2" t="str">
        <f>LEFT(Database!GMR2,3)</f>
        <v/>
      </c>
      <c r="GLZ2" t="str">
        <f>LEFT(Database!GMS2,3)</f>
        <v/>
      </c>
      <c r="GMA2" t="str">
        <f>LEFT(Database!GMT2,3)</f>
        <v/>
      </c>
      <c r="GMB2" t="str">
        <f>LEFT(Database!GMU2,3)</f>
        <v/>
      </c>
      <c r="GMC2" t="str">
        <f>LEFT(Database!GMV2,3)</f>
        <v/>
      </c>
      <c r="GMD2" t="str">
        <f>LEFT(Database!GMW2,3)</f>
        <v/>
      </c>
      <c r="GME2" t="str">
        <f>LEFT(Database!GMX2,3)</f>
        <v/>
      </c>
      <c r="GMF2" t="str">
        <f>LEFT(Database!GMY2,3)</f>
        <v/>
      </c>
      <c r="GMG2" t="str">
        <f>LEFT(Database!GMZ2,3)</f>
        <v/>
      </c>
      <c r="GMH2" t="str">
        <f>LEFT(Database!GNA2,3)</f>
        <v/>
      </c>
      <c r="GMI2" t="str">
        <f>LEFT(Database!GNB2,3)</f>
        <v/>
      </c>
      <c r="GMJ2" t="str">
        <f>LEFT(Database!GNC2,3)</f>
        <v/>
      </c>
      <c r="GMK2" t="str">
        <f>LEFT(Database!GND2,3)</f>
        <v/>
      </c>
      <c r="GML2" t="str">
        <f>LEFT(Database!GNE2,3)</f>
        <v/>
      </c>
      <c r="GMM2" t="str">
        <f>LEFT(Database!GNF2,3)</f>
        <v/>
      </c>
      <c r="GMN2" t="str">
        <f>LEFT(Database!GNG2,3)</f>
        <v/>
      </c>
      <c r="GMO2" t="str">
        <f>LEFT(Database!GNH2,3)</f>
        <v/>
      </c>
      <c r="GMP2" t="str">
        <f>LEFT(Database!GNI2,3)</f>
        <v/>
      </c>
      <c r="GMQ2" t="str">
        <f>LEFT(Database!GNJ2,3)</f>
        <v/>
      </c>
      <c r="GMR2" t="str">
        <f>LEFT(Database!GNK2,3)</f>
        <v/>
      </c>
      <c r="GMS2" t="str">
        <f>LEFT(Database!GNL2,3)</f>
        <v/>
      </c>
      <c r="GMT2" t="str">
        <f>LEFT(Database!GNM2,3)</f>
        <v/>
      </c>
      <c r="GMU2" t="str">
        <f>LEFT(Database!GNN2,3)</f>
        <v/>
      </c>
      <c r="GMV2" t="str">
        <f>LEFT(Database!GNO2,3)</f>
        <v/>
      </c>
      <c r="GMW2" t="str">
        <f>LEFT(Database!GNP2,3)</f>
        <v/>
      </c>
      <c r="GMX2" t="str">
        <f>LEFT(Database!GNQ2,3)</f>
        <v/>
      </c>
      <c r="GMY2" t="str">
        <f>LEFT(Database!GNR2,3)</f>
        <v/>
      </c>
      <c r="GMZ2" t="str">
        <f>LEFT(Database!GNS2,3)</f>
        <v/>
      </c>
      <c r="GNA2" t="str">
        <f>LEFT(Database!GNT2,3)</f>
        <v/>
      </c>
      <c r="GNB2" t="str">
        <f>LEFT(Database!GNU2,3)</f>
        <v/>
      </c>
      <c r="GNC2" t="str">
        <f>LEFT(Database!GNV2,3)</f>
        <v/>
      </c>
      <c r="GND2" t="str">
        <f>LEFT(Database!GNW2,3)</f>
        <v/>
      </c>
      <c r="GNE2" t="str">
        <f>LEFT(Database!GNX2,3)</f>
        <v/>
      </c>
      <c r="GNF2" t="str">
        <f>LEFT(Database!GNY2,3)</f>
        <v/>
      </c>
      <c r="GNG2" t="str">
        <f>LEFT(Database!GNZ2,3)</f>
        <v/>
      </c>
      <c r="GNH2" t="str">
        <f>LEFT(Database!GOA2,3)</f>
        <v/>
      </c>
      <c r="GNI2" t="str">
        <f>LEFT(Database!GOB2,3)</f>
        <v/>
      </c>
      <c r="GNJ2" t="str">
        <f>LEFT(Database!GOC2,3)</f>
        <v/>
      </c>
      <c r="GNK2" t="str">
        <f>LEFT(Database!GOD2,3)</f>
        <v/>
      </c>
      <c r="GNL2" t="str">
        <f>LEFT(Database!GOE2,3)</f>
        <v/>
      </c>
      <c r="GNM2" t="str">
        <f>LEFT(Database!GOF2,3)</f>
        <v/>
      </c>
      <c r="GNN2" t="str">
        <f>LEFT(Database!GOG2,3)</f>
        <v/>
      </c>
      <c r="GNO2" t="str">
        <f>LEFT(Database!GOH2,3)</f>
        <v/>
      </c>
      <c r="GNP2" t="str">
        <f>LEFT(Database!GOI2,3)</f>
        <v/>
      </c>
      <c r="GNQ2" t="str">
        <f>LEFT(Database!GOJ2,3)</f>
        <v/>
      </c>
      <c r="GNR2" t="str">
        <f>LEFT(Database!GOK2,3)</f>
        <v/>
      </c>
      <c r="GNS2" t="str">
        <f>LEFT(Database!GOL2,3)</f>
        <v/>
      </c>
      <c r="GNT2" t="str">
        <f>LEFT(Database!GOM2,3)</f>
        <v/>
      </c>
      <c r="GNU2" t="str">
        <f>LEFT(Database!GON2,3)</f>
        <v/>
      </c>
      <c r="GNV2" t="str">
        <f>LEFT(Database!GOO2,3)</f>
        <v/>
      </c>
      <c r="GNW2" t="str">
        <f>LEFT(Database!GOP2,3)</f>
        <v/>
      </c>
      <c r="GNX2" t="str">
        <f>LEFT(Database!GOQ2,3)</f>
        <v/>
      </c>
      <c r="GNY2" t="str">
        <f>LEFT(Database!GOR2,3)</f>
        <v/>
      </c>
      <c r="GNZ2" t="str">
        <f>LEFT(Database!GOS2,3)</f>
        <v/>
      </c>
      <c r="GOA2" t="str">
        <f>LEFT(Database!GOT2,3)</f>
        <v/>
      </c>
      <c r="GOB2" t="str">
        <f>LEFT(Database!GOU2,3)</f>
        <v/>
      </c>
      <c r="GOC2" t="str">
        <f>LEFT(Database!GOV2,3)</f>
        <v/>
      </c>
      <c r="GOD2" t="str">
        <f>LEFT(Database!GOW2,3)</f>
        <v/>
      </c>
      <c r="GOE2" t="str">
        <f>LEFT(Database!GOX2,3)</f>
        <v/>
      </c>
      <c r="GOF2" t="str">
        <f>LEFT(Database!GOY2,3)</f>
        <v/>
      </c>
      <c r="GOG2" t="str">
        <f>LEFT(Database!GOZ2,3)</f>
        <v/>
      </c>
      <c r="GOH2" t="str">
        <f>LEFT(Database!GPA2,3)</f>
        <v/>
      </c>
      <c r="GOI2" t="str">
        <f>LEFT(Database!GPB2,3)</f>
        <v/>
      </c>
      <c r="GOJ2" t="str">
        <f>LEFT(Database!GPC2,3)</f>
        <v/>
      </c>
      <c r="GOK2" t="str">
        <f>LEFT(Database!GPD2,3)</f>
        <v/>
      </c>
      <c r="GOL2" t="str">
        <f>LEFT(Database!GPE2,3)</f>
        <v/>
      </c>
      <c r="GOM2" t="str">
        <f>LEFT(Database!GPF2,3)</f>
        <v/>
      </c>
      <c r="GON2" t="str">
        <f>LEFT(Database!GPG2,3)</f>
        <v/>
      </c>
      <c r="GOO2" t="str">
        <f>LEFT(Database!GPH2,3)</f>
        <v/>
      </c>
      <c r="GOP2" t="str">
        <f>LEFT(Database!GPI2,3)</f>
        <v/>
      </c>
      <c r="GOQ2" t="str">
        <f>LEFT(Database!GPJ2,3)</f>
        <v/>
      </c>
      <c r="GOR2" t="str">
        <f>LEFT(Database!GPK2,3)</f>
        <v/>
      </c>
      <c r="GOS2" t="str">
        <f>LEFT(Database!GPL2,3)</f>
        <v/>
      </c>
      <c r="GOT2" t="str">
        <f>LEFT(Database!GPM2,3)</f>
        <v/>
      </c>
      <c r="GOU2" t="str">
        <f>LEFT(Database!GPN2,3)</f>
        <v/>
      </c>
      <c r="GOV2" t="str">
        <f>LEFT(Database!GPO2,3)</f>
        <v/>
      </c>
      <c r="GOW2" t="str">
        <f>LEFT(Database!GPP2,3)</f>
        <v/>
      </c>
      <c r="GOX2" t="str">
        <f>LEFT(Database!GPQ2,3)</f>
        <v/>
      </c>
      <c r="GOY2" t="str">
        <f>LEFT(Database!GPR2,3)</f>
        <v/>
      </c>
      <c r="GOZ2" t="str">
        <f>LEFT(Database!GPS2,3)</f>
        <v/>
      </c>
      <c r="GPA2" t="str">
        <f>LEFT(Database!GPT2,3)</f>
        <v/>
      </c>
      <c r="GPB2" t="str">
        <f>LEFT(Database!GPU2,3)</f>
        <v/>
      </c>
      <c r="GPC2" t="str">
        <f>LEFT(Database!GPV2,3)</f>
        <v/>
      </c>
      <c r="GPD2" t="str">
        <f>LEFT(Database!GPW2,3)</f>
        <v/>
      </c>
      <c r="GPE2" t="str">
        <f>LEFT(Database!GPX2,3)</f>
        <v/>
      </c>
      <c r="GPF2" t="str">
        <f>LEFT(Database!GPY2,3)</f>
        <v/>
      </c>
      <c r="GPG2" t="str">
        <f>LEFT(Database!GPZ2,3)</f>
        <v/>
      </c>
      <c r="GPH2" t="str">
        <f>LEFT(Database!GQA2,3)</f>
        <v/>
      </c>
      <c r="GPI2" t="str">
        <f>LEFT(Database!GQB2,3)</f>
        <v/>
      </c>
      <c r="GPJ2" t="str">
        <f>LEFT(Database!GQC2,3)</f>
        <v/>
      </c>
      <c r="GPK2" t="str">
        <f>LEFT(Database!GQD2,3)</f>
        <v/>
      </c>
      <c r="GPL2" t="str">
        <f>LEFT(Database!GQE2,3)</f>
        <v/>
      </c>
      <c r="GPM2" t="str">
        <f>LEFT(Database!GQF2,3)</f>
        <v/>
      </c>
      <c r="GPN2" t="str">
        <f>LEFT(Database!GQG2,3)</f>
        <v/>
      </c>
      <c r="GPO2" t="str">
        <f>LEFT(Database!GQH2,3)</f>
        <v/>
      </c>
      <c r="GPP2" t="str">
        <f>LEFT(Database!GQI2,3)</f>
        <v/>
      </c>
      <c r="GPQ2" t="str">
        <f>LEFT(Database!GQJ2,3)</f>
        <v/>
      </c>
      <c r="GPR2" t="str">
        <f>LEFT(Database!GQK2,3)</f>
        <v/>
      </c>
      <c r="GPS2" t="str">
        <f>LEFT(Database!GQL2,3)</f>
        <v/>
      </c>
      <c r="GPT2" t="str">
        <f>LEFT(Database!GQM2,3)</f>
        <v/>
      </c>
      <c r="GPU2" t="str">
        <f>LEFT(Database!GQN2,3)</f>
        <v/>
      </c>
      <c r="GPV2" t="str">
        <f>LEFT(Database!GQO2,3)</f>
        <v/>
      </c>
      <c r="GPW2" t="str">
        <f>LEFT(Database!GQP2,3)</f>
        <v/>
      </c>
      <c r="GPX2" t="str">
        <f>LEFT(Database!GQQ2,3)</f>
        <v/>
      </c>
      <c r="GPY2" t="str">
        <f>LEFT(Database!GQR2,3)</f>
        <v/>
      </c>
      <c r="GPZ2" t="str">
        <f>LEFT(Database!GQS2,3)</f>
        <v/>
      </c>
      <c r="GQA2" t="str">
        <f>LEFT(Database!GQT2,3)</f>
        <v/>
      </c>
      <c r="GQB2" t="str">
        <f>LEFT(Database!GQU2,3)</f>
        <v/>
      </c>
      <c r="GQC2" t="str">
        <f>LEFT(Database!GQV2,3)</f>
        <v/>
      </c>
      <c r="GQD2" t="str">
        <f>LEFT(Database!GQW2,3)</f>
        <v/>
      </c>
      <c r="GQE2" t="str">
        <f>LEFT(Database!GQX2,3)</f>
        <v/>
      </c>
      <c r="GQF2" t="str">
        <f>LEFT(Database!GQY2,3)</f>
        <v/>
      </c>
      <c r="GQG2" t="str">
        <f>LEFT(Database!GQZ2,3)</f>
        <v/>
      </c>
      <c r="GQH2" t="str">
        <f>LEFT(Database!GRA2,3)</f>
        <v/>
      </c>
      <c r="GQI2" t="str">
        <f>LEFT(Database!GRB2,3)</f>
        <v/>
      </c>
      <c r="GQJ2" t="str">
        <f>LEFT(Database!GRC2,3)</f>
        <v/>
      </c>
      <c r="GQK2" t="str">
        <f>LEFT(Database!GRD2,3)</f>
        <v/>
      </c>
      <c r="GQL2" t="str">
        <f>LEFT(Database!GRE2,3)</f>
        <v/>
      </c>
      <c r="GQM2" t="str">
        <f>LEFT(Database!GRF2,3)</f>
        <v/>
      </c>
      <c r="GQN2" t="str">
        <f>LEFT(Database!GRG2,3)</f>
        <v/>
      </c>
      <c r="GQO2" t="str">
        <f>LEFT(Database!GRH2,3)</f>
        <v/>
      </c>
      <c r="GQP2" t="str">
        <f>LEFT(Database!GRI2,3)</f>
        <v/>
      </c>
      <c r="GQQ2" t="str">
        <f>LEFT(Database!GRJ2,3)</f>
        <v/>
      </c>
      <c r="GQR2" t="str">
        <f>LEFT(Database!GRK2,3)</f>
        <v/>
      </c>
      <c r="GQS2" t="str">
        <f>LEFT(Database!GRL2,3)</f>
        <v/>
      </c>
      <c r="GQT2" t="str">
        <f>LEFT(Database!GRM2,3)</f>
        <v/>
      </c>
      <c r="GQU2" t="str">
        <f>LEFT(Database!GRN2,3)</f>
        <v/>
      </c>
      <c r="GQV2" t="str">
        <f>LEFT(Database!GRO2,3)</f>
        <v/>
      </c>
      <c r="GQW2" t="str">
        <f>LEFT(Database!GRP2,3)</f>
        <v/>
      </c>
      <c r="GQX2" t="str">
        <f>LEFT(Database!GRQ2,3)</f>
        <v/>
      </c>
      <c r="GQY2" t="str">
        <f>LEFT(Database!GRR2,3)</f>
        <v/>
      </c>
      <c r="GQZ2" t="str">
        <f>LEFT(Database!GRS2,3)</f>
        <v/>
      </c>
      <c r="GRA2" t="str">
        <f>LEFT(Database!GRT2,3)</f>
        <v/>
      </c>
      <c r="GRB2" t="str">
        <f>LEFT(Database!GRU2,3)</f>
        <v/>
      </c>
      <c r="GRC2" t="str">
        <f>LEFT(Database!GRV2,3)</f>
        <v/>
      </c>
      <c r="GRD2" t="str">
        <f>LEFT(Database!GRW2,3)</f>
        <v/>
      </c>
      <c r="GRE2" t="str">
        <f>LEFT(Database!GRX2,3)</f>
        <v/>
      </c>
      <c r="GRF2" t="str">
        <f>LEFT(Database!GRY2,3)</f>
        <v/>
      </c>
      <c r="GRG2" t="str">
        <f>LEFT(Database!GRZ2,3)</f>
        <v/>
      </c>
      <c r="GRH2" t="str">
        <f>LEFT(Database!GSA2,3)</f>
        <v/>
      </c>
      <c r="GRI2" t="str">
        <f>LEFT(Database!GSB2,3)</f>
        <v/>
      </c>
      <c r="GRJ2" t="str">
        <f>LEFT(Database!GSC2,3)</f>
        <v/>
      </c>
      <c r="GRK2" t="str">
        <f>LEFT(Database!GSD2,3)</f>
        <v/>
      </c>
      <c r="GRL2" t="str">
        <f>LEFT(Database!GSE2,3)</f>
        <v/>
      </c>
      <c r="GRM2" t="str">
        <f>LEFT(Database!GSF2,3)</f>
        <v/>
      </c>
      <c r="GRN2" t="str">
        <f>LEFT(Database!GSG2,3)</f>
        <v/>
      </c>
      <c r="GRO2" t="str">
        <f>LEFT(Database!GSH2,3)</f>
        <v/>
      </c>
      <c r="GRP2" t="str">
        <f>LEFT(Database!GSI2,3)</f>
        <v/>
      </c>
      <c r="GRQ2" t="str">
        <f>LEFT(Database!GSJ2,3)</f>
        <v/>
      </c>
      <c r="GRR2" t="str">
        <f>LEFT(Database!GSK2,3)</f>
        <v/>
      </c>
      <c r="GRS2" t="str">
        <f>LEFT(Database!GSL2,3)</f>
        <v/>
      </c>
      <c r="GRT2" t="str">
        <f>LEFT(Database!GSM2,3)</f>
        <v/>
      </c>
      <c r="GRU2" t="str">
        <f>LEFT(Database!GSN2,3)</f>
        <v/>
      </c>
      <c r="GRV2" t="str">
        <f>LEFT(Database!GSO2,3)</f>
        <v/>
      </c>
      <c r="GRW2" t="str">
        <f>LEFT(Database!GSP2,3)</f>
        <v/>
      </c>
      <c r="GRX2" t="str">
        <f>LEFT(Database!GSQ2,3)</f>
        <v/>
      </c>
      <c r="GRY2" t="str">
        <f>LEFT(Database!GSR2,3)</f>
        <v/>
      </c>
      <c r="GRZ2" t="str">
        <f>LEFT(Database!GSS2,3)</f>
        <v/>
      </c>
      <c r="GSA2" t="str">
        <f>LEFT(Database!GST2,3)</f>
        <v/>
      </c>
      <c r="GSB2" t="str">
        <f>LEFT(Database!GSU2,3)</f>
        <v/>
      </c>
      <c r="GSC2" t="str">
        <f>LEFT(Database!GSV2,3)</f>
        <v/>
      </c>
      <c r="GSD2" t="str">
        <f>LEFT(Database!GSW2,3)</f>
        <v/>
      </c>
      <c r="GSE2" t="str">
        <f>LEFT(Database!GSX2,3)</f>
        <v/>
      </c>
      <c r="GSF2" t="str">
        <f>LEFT(Database!GSY2,3)</f>
        <v/>
      </c>
      <c r="GSG2" t="str">
        <f>LEFT(Database!GSZ2,3)</f>
        <v/>
      </c>
      <c r="GSH2" t="str">
        <f>LEFT(Database!GTA2,3)</f>
        <v/>
      </c>
      <c r="GSI2" t="str">
        <f>LEFT(Database!GTB2,3)</f>
        <v/>
      </c>
      <c r="GSJ2" t="str">
        <f>LEFT(Database!GTC2,3)</f>
        <v/>
      </c>
      <c r="GSK2" t="str">
        <f>LEFT(Database!GTD2,3)</f>
        <v/>
      </c>
      <c r="GSL2" t="str">
        <f>LEFT(Database!GTE2,3)</f>
        <v/>
      </c>
      <c r="GSM2" t="str">
        <f>LEFT(Database!GTF2,3)</f>
        <v/>
      </c>
      <c r="GSN2" t="str">
        <f>LEFT(Database!GTG2,3)</f>
        <v/>
      </c>
      <c r="GSO2" t="str">
        <f>LEFT(Database!GTH2,3)</f>
        <v/>
      </c>
      <c r="GSP2" t="str">
        <f>LEFT(Database!GTI2,3)</f>
        <v/>
      </c>
      <c r="GSQ2" t="str">
        <f>LEFT(Database!GTJ2,3)</f>
        <v/>
      </c>
      <c r="GSR2" t="str">
        <f>LEFT(Database!GTK2,3)</f>
        <v/>
      </c>
      <c r="GSS2" t="str">
        <f>LEFT(Database!GTL2,3)</f>
        <v/>
      </c>
      <c r="GST2" t="str">
        <f>LEFT(Database!GTM2,3)</f>
        <v/>
      </c>
      <c r="GSU2" t="str">
        <f>LEFT(Database!GTN2,3)</f>
        <v/>
      </c>
      <c r="GSV2" t="str">
        <f>LEFT(Database!GTO2,3)</f>
        <v/>
      </c>
      <c r="GSW2" t="str">
        <f>LEFT(Database!GTP2,3)</f>
        <v/>
      </c>
      <c r="GSX2" t="str">
        <f>LEFT(Database!GTQ2,3)</f>
        <v/>
      </c>
      <c r="GSY2" t="str">
        <f>LEFT(Database!GTR2,3)</f>
        <v/>
      </c>
      <c r="GSZ2" t="str">
        <f>LEFT(Database!GTS2,3)</f>
        <v/>
      </c>
      <c r="GTA2" t="str">
        <f>LEFT(Database!GTT2,3)</f>
        <v/>
      </c>
      <c r="GTB2" t="str">
        <f>LEFT(Database!GTU2,3)</f>
        <v/>
      </c>
      <c r="GTC2" t="str">
        <f>LEFT(Database!GTV2,3)</f>
        <v/>
      </c>
      <c r="GTD2" t="str">
        <f>LEFT(Database!GTW2,3)</f>
        <v/>
      </c>
      <c r="GTE2" t="str">
        <f>LEFT(Database!GTX2,3)</f>
        <v/>
      </c>
      <c r="GTF2" t="str">
        <f>LEFT(Database!GTY2,3)</f>
        <v/>
      </c>
      <c r="GTG2" t="str">
        <f>LEFT(Database!GTZ2,3)</f>
        <v/>
      </c>
      <c r="GTH2" t="str">
        <f>LEFT(Database!GUA2,3)</f>
        <v/>
      </c>
      <c r="GTI2" t="str">
        <f>LEFT(Database!GUB2,3)</f>
        <v/>
      </c>
      <c r="GTJ2" t="str">
        <f>LEFT(Database!GUC2,3)</f>
        <v/>
      </c>
      <c r="GTK2" t="str">
        <f>LEFT(Database!GUD2,3)</f>
        <v/>
      </c>
      <c r="GTL2" t="str">
        <f>LEFT(Database!GUE2,3)</f>
        <v/>
      </c>
      <c r="GTM2" t="str">
        <f>LEFT(Database!GUF2,3)</f>
        <v/>
      </c>
      <c r="GTN2" t="str">
        <f>LEFT(Database!GUG2,3)</f>
        <v/>
      </c>
      <c r="GTO2" t="str">
        <f>LEFT(Database!GUH2,3)</f>
        <v/>
      </c>
      <c r="GTP2" t="str">
        <f>LEFT(Database!GUI2,3)</f>
        <v/>
      </c>
      <c r="GTQ2" t="str">
        <f>LEFT(Database!GUJ2,3)</f>
        <v/>
      </c>
      <c r="GTR2" t="str">
        <f>LEFT(Database!GUK2,3)</f>
        <v/>
      </c>
      <c r="GTS2" t="str">
        <f>LEFT(Database!GUL2,3)</f>
        <v/>
      </c>
      <c r="GTT2" t="str">
        <f>LEFT(Database!GUM2,3)</f>
        <v/>
      </c>
      <c r="GTU2" t="str">
        <f>LEFT(Database!GUN2,3)</f>
        <v/>
      </c>
      <c r="GTV2" t="str">
        <f>LEFT(Database!GUO2,3)</f>
        <v/>
      </c>
      <c r="GTW2" t="str">
        <f>LEFT(Database!GUP2,3)</f>
        <v/>
      </c>
      <c r="GTX2" t="str">
        <f>LEFT(Database!GUQ2,3)</f>
        <v/>
      </c>
      <c r="GTY2" t="str">
        <f>LEFT(Database!GUR2,3)</f>
        <v/>
      </c>
      <c r="GTZ2" t="str">
        <f>LEFT(Database!GUS2,3)</f>
        <v/>
      </c>
      <c r="GUA2" t="str">
        <f>LEFT(Database!GUT2,3)</f>
        <v/>
      </c>
      <c r="GUB2" t="str">
        <f>LEFT(Database!GUU2,3)</f>
        <v/>
      </c>
      <c r="GUC2" t="str">
        <f>LEFT(Database!GUV2,3)</f>
        <v/>
      </c>
      <c r="GUD2" t="str">
        <f>LEFT(Database!GUW2,3)</f>
        <v/>
      </c>
      <c r="GUE2" t="str">
        <f>LEFT(Database!GUX2,3)</f>
        <v/>
      </c>
      <c r="GUF2" t="str">
        <f>LEFT(Database!GUY2,3)</f>
        <v/>
      </c>
      <c r="GUG2" t="str">
        <f>LEFT(Database!GUZ2,3)</f>
        <v/>
      </c>
      <c r="GUH2" t="str">
        <f>LEFT(Database!GVA2,3)</f>
        <v/>
      </c>
      <c r="GUI2" t="str">
        <f>LEFT(Database!GVB2,3)</f>
        <v/>
      </c>
      <c r="GUJ2" t="str">
        <f>LEFT(Database!GVC2,3)</f>
        <v/>
      </c>
      <c r="GUK2" t="str">
        <f>LEFT(Database!GVD2,3)</f>
        <v/>
      </c>
      <c r="GUL2" t="str">
        <f>LEFT(Database!GVE2,3)</f>
        <v/>
      </c>
      <c r="GUM2" t="str">
        <f>LEFT(Database!GVF2,3)</f>
        <v/>
      </c>
      <c r="GUN2" t="str">
        <f>LEFT(Database!GVG2,3)</f>
        <v/>
      </c>
      <c r="GUO2" t="str">
        <f>LEFT(Database!GVH2,3)</f>
        <v/>
      </c>
      <c r="GUP2" t="str">
        <f>LEFT(Database!GVI2,3)</f>
        <v/>
      </c>
      <c r="GUQ2" t="str">
        <f>LEFT(Database!GVJ2,3)</f>
        <v/>
      </c>
      <c r="GUR2" t="str">
        <f>LEFT(Database!GVK2,3)</f>
        <v/>
      </c>
      <c r="GUS2" t="str">
        <f>LEFT(Database!GVL2,3)</f>
        <v/>
      </c>
      <c r="GUT2" t="str">
        <f>LEFT(Database!GVM2,3)</f>
        <v/>
      </c>
      <c r="GUU2" t="str">
        <f>LEFT(Database!GVN2,3)</f>
        <v/>
      </c>
      <c r="GUV2" t="str">
        <f>LEFT(Database!GVO2,3)</f>
        <v/>
      </c>
      <c r="GUW2" t="str">
        <f>LEFT(Database!GVP2,3)</f>
        <v/>
      </c>
      <c r="GUX2" t="str">
        <f>LEFT(Database!GVQ2,3)</f>
        <v/>
      </c>
      <c r="GUY2" t="str">
        <f>LEFT(Database!GVR2,3)</f>
        <v/>
      </c>
      <c r="GUZ2" t="str">
        <f>LEFT(Database!GVS2,3)</f>
        <v/>
      </c>
      <c r="GVA2" t="str">
        <f>LEFT(Database!GVT2,3)</f>
        <v/>
      </c>
      <c r="GVB2" t="str">
        <f>LEFT(Database!GVU2,3)</f>
        <v/>
      </c>
      <c r="GVC2" t="str">
        <f>LEFT(Database!GVV2,3)</f>
        <v/>
      </c>
      <c r="GVD2" t="str">
        <f>LEFT(Database!GVW2,3)</f>
        <v/>
      </c>
      <c r="GVE2" t="str">
        <f>LEFT(Database!GVX2,3)</f>
        <v/>
      </c>
      <c r="GVF2" t="str">
        <f>LEFT(Database!GVY2,3)</f>
        <v/>
      </c>
      <c r="GVG2" t="str">
        <f>LEFT(Database!GVZ2,3)</f>
        <v/>
      </c>
      <c r="GVH2" t="str">
        <f>LEFT(Database!GWA2,3)</f>
        <v/>
      </c>
      <c r="GVI2" t="str">
        <f>LEFT(Database!GWB2,3)</f>
        <v/>
      </c>
      <c r="GVJ2" t="str">
        <f>LEFT(Database!GWC2,3)</f>
        <v/>
      </c>
      <c r="GVK2" t="str">
        <f>LEFT(Database!GWD2,3)</f>
        <v/>
      </c>
      <c r="GVL2" t="str">
        <f>LEFT(Database!GWE2,3)</f>
        <v/>
      </c>
      <c r="GVM2" t="str">
        <f>LEFT(Database!GWF2,3)</f>
        <v/>
      </c>
      <c r="GVN2" t="str">
        <f>LEFT(Database!GWG2,3)</f>
        <v/>
      </c>
      <c r="GVO2" t="str">
        <f>LEFT(Database!GWH2,3)</f>
        <v/>
      </c>
      <c r="GVP2" t="str">
        <f>LEFT(Database!GWI2,3)</f>
        <v/>
      </c>
      <c r="GVQ2" t="str">
        <f>LEFT(Database!GWJ2,3)</f>
        <v/>
      </c>
      <c r="GVR2" t="str">
        <f>LEFT(Database!GWK2,3)</f>
        <v/>
      </c>
      <c r="GVS2" t="str">
        <f>LEFT(Database!GWL2,3)</f>
        <v/>
      </c>
      <c r="GVT2" t="str">
        <f>LEFT(Database!GWM2,3)</f>
        <v/>
      </c>
      <c r="GVU2" t="str">
        <f>LEFT(Database!GWN2,3)</f>
        <v/>
      </c>
      <c r="GVV2" t="str">
        <f>LEFT(Database!GWO2,3)</f>
        <v/>
      </c>
      <c r="GVW2" t="str">
        <f>LEFT(Database!GWP2,3)</f>
        <v/>
      </c>
      <c r="GVX2" t="str">
        <f>LEFT(Database!GWQ2,3)</f>
        <v/>
      </c>
      <c r="GVY2" t="str">
        <f>LEFT(Database!GWR2,3)</f>
        <v/>
      </c>
      <c r="GVZ2" t="str">
        <f>LEFT(Database!GWS2,3)</f>
        <v/>
      </c>
      <c r="GWA2" t="str">
        <f>LEFT(Database!GWT2,3)</f>
        <v/>
      </c>
      <c r="GWB2" t="str">
        <f>LEFT(Database!GWU2,3)</f>
        <v/>
      </c>
      <c r="GWC2" t="str">
        <f>LEFT(Database!GWV2,3)</f>
        <v/>
      </c>
      <c r="GWD2" t="str">
        <f>LEFT(Database!GWW2,3)</f>
        <v/>
      </c>
      <c r="GWE2" t="str">
        <f>LEFT(Database!GWX2,3)</f>
        <v/>
      </c>
      <c r="GWF2" t="str">
        <f>LEFT(Database!GWY2,3)</f>
        <v/>
      </c>
      <c r="GWG2" t="str">
        <f>LEFT(Database!GWZ2,3)</f>
        <v/>
      </c>
      <c r="GWH2" t="str">
        <f>LEFT(Database!GXA2,3)</f>
        <v/>
      </c>
      <c r="GWI2" t="str">
        <f>LEFT(Database!GXB2,3)</f>
        <v/>
      </c>
      <c r="GWJ2" t="str">
        <f>LEFT(Database!GXC2,3)</f>
        <v/>
      </c>
      <c r="GWK2" t="str">
        <f>LEFT(Database!GXD2,3)</f>
        <v/>
      </c>
      <c r="GWL2" t="str">
        <f>LEFT(Database!GXE2,3)</f>
        <v/>
      </c>
      <c r="GWM2" t="str">
        <f>LEFT(Database!GXF2,3)</f>
        <v/>
      </c>
      <c r="GWN2" t="str">
        <f>LEFT(Database!GXG2,3)</f>
        <v/>
      </c>
      <c r="GWO2" t="str">
        <f>LEFT(Database!GXH2,3)</f>
        <v/>
      </c>
      <c r="GWP2" t="str">
        <f>LEFT(Database!GXI2,3)</f>
        <v/>
      </c>
      <c r="GWQ2" t="str">
        <f>LEFT(Database!GXJ2,3)</f>
        <v/>
      </c>
      <c r="GWR2" t="str">
        <f>LEFT(Database!GXK2,3)</f>
        <v/>
      </c>
      <c r="GWS2" t="str">
        <f>LEFT(Database!GXL2,3)</f>
        <v/>
      </c>
      <c r="GWT2" t="str">
        <f>LEFT(Database!GXM2,3)</f>
        <v/>
      </c>
      <c r="GWU2" t="str">
        <f>LEFT(Database!GXN2,3)</f>
        <v/>
      </c>
      <c r="GWV2" t="str">
        <f>LEFT(Database!GXO2,3)</f>
        <v/>
      </c>
      <c r="GWW2" t="str">
        <f>LEFT(Database!GXP2,3)</f>
        <v/>
      </c>
      <c r="GWX2" t="str">
        <f>LEFT(Database!GXQ2,3)</f>
        <v/>
      </c>
      <c r="GWY2" t="str">
        <f>LEFT(Database!GXR2,3)</f>
        <v/>
      </c>
      <c r="GWZ2" t="str">
        <f>LEFT(Database!GXS2,3)</f>
        <v/>
      </c>
      <c r="GXA2" t="str">
        <f>LEFT(Database!GXT2,3)</f>
        <v/>
      </c>
      <c r="GXB2" t="str">
        <f>LEFT(Database!GXU2,3)</f>
        <v/>
      </c>
      <c r="GXC2" t="str">
        <f>LEFT(Database!GXV2,3)</f>
        <v/>
      </c>
      <c r="GXD2" t="str">
        <f>LEFT(Database!GXW2,3)</f>
        <v/>
      </c>
      <c r="GXE2" t="str">
        <f>LEFT(Database!GXX2,3)</f>
        <v/>
      </c>
      <c r="GXF2" t="str">
        <f>LEFT(Database!GXY2,3)</f>
        <v/>
      </c>
      <c r="GXG2" t="str">
        <f>LEFT(Database!GXZ2,3)</f>
        <v/>
      </c>
      <c r="GXH2" t="str">
        <f>LEFT(Database!GYA2,3)</f>
        <v/>
      </c>
      <c r="GXI2" t="str">
        <f>LEFT(Database!GYB2,3)</f>
        <v/>
      </c>
      <c r="GXJ2" t="str">
        <f>LEFT(Database!GYC2,3)</f>
        <v/>
      </c>
      <c r="GXK2" t="str">
        <f>LEFT(Database!GYD2,3)</f>
        <v/>
      </c>
      <c r="GXL2" t="str">
        <f>LEFT(Database!GYE2,3)</f>
        <v/>
      </c>
      <c r="GXM2" t="str">
        <f>LEFT(Database!GYF2,3)</f>
        <v/>
      </c>
      <c r="GXN2" t="str">
        <f>LEFT(Database!GYG2,3)</f>
        <v/>
      </c>
      <c r="GXO2" t="str">
        <f>LEFT(Database!GYH2,3)</f>
        <v/>
      </c>
      <c r="GXP2" t="str">
        <f>LEFT(Database!GYI2,3)</f>
        <v/>
      </c>
      <c r="GXQ2" t="str">
        <f>LEFT(Database!GYJ2,3)</f>
        <v/>
      </c>
      <c r="GXR2" t="str">
        <f>LEFT(Database!GYK2,3)</f>
        <v/>
      </c>
      <c r="GXS2" t="str">
        <f>LEFT(Database!GYL2,3)</f>
        <v/>
      </c>
      <c r="GXT2" t="str">
        <f>LEFT(Database!GYM2,3)</f>
        <v/>
      </c>
      <c r="GXU2" t="str">
        <f>LEFT(Database!GYN2,3)</f>
        <v/>
      </c>
      <c r="GXV2" t="str">
        <f>LEFT(Database!GYO2,3)</f>
        <v/>
      </c>
      <c r="GXW2" t="str">
        <f>LEFT(Database!GYP2,3)</f>
        <v/>
      </c>
      <c r="GXX2" t="str">
        <f>LEFT(Database!GYQ2,3)</f>
        <v/>
      </c>
      <c r="GXY2" t="str">
        <f>LEFT(Database!GYR2,3)</f>
        <v/>
      </c>
      <c r="GXZ2" t="str">
        <f>LEFT(Database!GYS2,3)</f>
        <v/>
      </c>
      <c r="GYA2" t="str">
        <f>LEFT(Database!GYT2,3)</f>
        <v/>
      </c>
      <c r="GYB2" t="str">
        <f>LEFT(Database!GYU2,3)</f>
        <v/>
      </c>
      <c r="GYC2" t="str">
        <f>LEFT(Database!GYV2,3)</f>
        <v/>
      </c>
      <c r="GYD2" t="str">
        <f>LEFT(Database!GYW2,3)</f>
        <v/>
      </c>
      <c r="GYE2" t="str">
        <f>LEFT(Database!GYX2,3)</f>
        <v/>
      </c>
      <c r="GYF2" t="str">
        <f>LEFT(Database!GYY2,3)</f>
        <v/>
      </c>
      <c r="GYG2" t="str">
        <f>LEFT(Database!GYZ2,3)</f>
        <v/>
      </c>
      <c r="GYH2" t="str">
        <f>LEFT(Database!GZA2,3)</f>
        <v/>
      </c>
      <c r="GYI2" t="str">
        <f>LEFT(Database!GZB2,3)</f>
        <v/>
      </c>
      <c r="GYJ2" t="str">
        <f>LEFT(Database!GZC2,3)</f>
        <v/>
      </c>
      <c r="GYK2" t="str">
        <f>LEFT(Database!GZD2,3)</f>
        <v/>
      </c>
      <c r="GYL2" t="str">
        <f>LEFT(Database!GZE2,3)</f>
        <v/>
      </c>
      <c r="GYM2" t="str">
        <f>LEFT(Database!GZF2,3)</f>
        <v/>
      </c>
      <c r="GYN2" t="str">
        <f>LEFT(Database!GZG2,3)</f>
        <v/>
      </c>
      <c r="GYO2" t="str">
        <f>LEFT(Database!GZH2,3)</f>
        <v/>
      </c>
      <c r="GYP2" t="str">
        <f>LEFT(Database!GZI2,3)</f>
        <v/>
      </c>
      <c r="GYQ2" t="str">
        <f>LEFT(Database!GZJ2,3)</f>
        <v/>
      </c>
      <c r="GYR2" t="str">
        <f>LEFT(Database!GZK2,3)</f>
        <v/>
      </c>
      <c r="GYS2" t="str">
        <f>LEFT(Database!GZL2,3)</f>
        <v/>
      </c>
      <c r="GYT2" t="str">
        <f>LEFT(Database!GZM2,3)</f>
        <v/>
      </c>
      <c r="GYU2" t="str">
        <f>LEFT(Database!GZN2,3)</f>
        <v/>
      </c>
      <c r="GYV2" t="str">
        <f>LEFT(Database!GZO2,3)</f>
        <v/>
      </c>
      <c r="GYW2" t="str">
        <f>LEFT(Database!GZP2,3)</f>
        <v/>
      </c>
      <c r="GYX2" t="str">
        <f>LEFT(Database!GZQ2,3)</f>
        <v/>
      </c>
      <c r="GYY2" t="str">
        <f>LEFT(Database!GZR2,3)</f>
        <v/>
      </c>
      <c r="GYZ2" t="str">
        <f>LEFT(Database!GZS2,3)</f>
        <v/>
      </c>
      <c r="GZA2" t="str">
        <f>LEFT(Database!GZT2,3)</f>
        <v/>
      </c>
      <c r="GZB2" t="str">
        <f>LEFT(Database!GZU2,3)</f>
        <v/>
      </c>
      <c r="GZC2" t="str">
        <f>LEFT(Database!GZV2,3)</f>
        <v/>
      </c>
      <c r="GZD2" t="str">
        <f>LEFT(Database!GZW2,3)</f>
        <v/>
      </c>
      <c r="GZE2" t="str">
        <f>LEFT(Database!GZX2,3)</f>
        <v/>
      </c>
      <c r="GZF2" t="str">
        <f>LEFT(Database!GZY2,3)</f>
        <v/>
      </c>
      <c r="GZG2" t="str">
        <f>LEFT(Database!GZZ2,3)</f>
        <v/>
      </c>
      <c r="GZH2" t="str">
        <f>LEFT(Database!HAA2,3)</f>
        <v/>
      </c>
      <c r="GZI2" t="str">
        <f>LEFT(Database!HAB2,3)</f>
        <v/>
      </c>
      <c r="GZJ2" t="str">
        <f>LEFT(Database!HAC2,3)</f>
        <v/>
      </c>
      <c r="GZK2" t="str">
        <f>LEFT(Database!HAD2,3)</f>
        <v/>
      </c>
      <c r="GZL2" t="str">
        <f>LEFT(Database!HAE2,3)</f>
        <v/>
      </c>
      <c r="GZM2" t="str">
        <f>LEFT(Database!HAF2,3)</f>
        <v/>
      </c>
      <c r="GZN2" t="str">
        <f>LEFT(Database!HAG2,3)</f>
        <v/>
      </c>
      <c r="GZO2" t="str">
        <f>LEFT(Database!HAH2,3)</f>
        <v/>
      </c>
      <c r="GZP2" t="str">
        <f>LEFT(Database!HAI2,3)</f>
        <v/>
      </c>
      <c r="GZQ2" t="str">
        <f>LEFT(Database!HAJ2,3)</f>
        <v/>
      </c>
      <c r="GZR2" t="str">
        <f>LEFT(Database!HAK2,3)</f>
        <v/>
      </c>
      <c r="GZS2" t="str">
        <f>LEFT(Database!HAL2,3)</f>
        <v/>
      </c>
      <c r="GZT2" t="str">
        <f>LEFT(Database!HAM2,3)</f>
        <v/>
      </c>
      <c r="GZU2" t="str">
        <f>LEFT(Database!HAN2,3)</f>
        <v/>
      </c>
      <c r="GZV2" t="str">
        <f>LEFT(Database!HAO2,3)</f>
        <v/>
      </c>
      <c r="GZW2" t="str">
        <f>LEFT(Database!HAP2,3)</f>
        <v/>
      </c>
      <c r="GZX2" t="str">
        <f>LEFT(Database!HAQ2,3)</f>
        <v/>
      </c>
      <c r="GZY2" t="str">
        <f>LEFT(Database!HAR2,3)</f>
        <v/>
      </c>
      <c r="GZZ2" t="str">
        <f>LEFT(Database!HAS2,3)</f>
        <v/>
      </c>
      <c r="HAA2" t="str">
        <f>LEFT(Database!HAT2,3)</f>
        <v/>
      </c>
      <c r="HAB2" t="str">
        <f>LEFT(Database!HAU2,3)</f>
        <v/>
      </c>
      <c r="HAC2" t="str">
        <f>LEFT(Database!HAV2,3)</f>
        <v/>
      </c>
      <c r="HAD2" t="str">
        <f>LEFT(Database!HAW2,3)</f>
        <v/>
      </c>
      <c r="HAE2" t="str">
        <f>LEFT(Database!HAX2,3)</f>
        <v/>
      </c>
      <c r="HAF2" t="str">
        <f>LEFT(Database!HAY2,3)</f>
        <v/>
      </c>
      <c r="HAG2" t="str">
        <f>LEFT(Database!HAZ2,3)</f>
        <v/>
      </c>
      <c r="HAH2" t="str">
        <f>LEFT(Database!HBA2,3)</f>
        <v/>
      </c>
      <c r="HAI2" t="str">
        <f>LEFT(Database!HBB2,3)</f>
        <v/>
      </c>
      <c r="HAJ2" t="str">
        <f>LEFT(Database!HBC2,3)</f>
        <v/>
      </c>
      <c r="HAK2" t="str">
        <f>LEFT(Database!HBD2,3)</f>
        <v/>
      </c>
      <c r="HAL2" t="str">
        <f>LEFT(Database!HBE2,3)</f>
        <v/>
      </c>
      <c r="HAM2" t="str">
        <f>LEFT(Database!HBF2,3)</f>
        <v/>
      </c>
      <c r="HAN2" t="str">
        <f>LEFT(Database!HBG2,3)</f>
        <v/>
      </c>
      <c r="HAO2" t="str">
        <f>LEFT(Database!HBH2,3)</f>
        <v/>
      </c>
      <c r="HAP2" t="str">
        <f>LEFT(Database!HBI2,3)</f>
        <v/>
      </c>
      <c r="HAQ2" t="str">
        <f>LEFT(Database!HBJ2,3)</f>
        <v/>
      </c>
      <c r="HAR2" t="str">
        <f>LEFT(Database!HBK2,3)</f>
        <v/>
      </c>
      <c r="HAS2" t="str">
        <f>LEFT(Database!HBL2,3)</f>
        <v/>
      </c>
      <c r="HAT2" t="str">
        <f>LEFT(Database!HBM2,3)</f>
        <v/>
      </c>
      <c r="HAU2" t="str">
        <f>LEFT(Database!HBN2,3)</f>
        <v/>
      </c>
      <c r="HAV2" t="str">
        <f>LEFT(Database!HBO2,3)</f>
        <v/>
      </c>
      <c r="HAW2" t="str">
        <f>LEFT(Database!HBP2,3)</f>
        <v/>
      </c>
      <c r="HAX2" t="str">
        <f>LEFT(Database!HBQ2,3)</f>
        <v/>
      </c>
      <c r="HAY2" t="str">
        <f>LEFT(Database!HBR2,3)</f>
        <v/>
      </c>
      <c r="HAZ2" t="str">
        <f>LEFT(Database!HBS2,3)</f>
        <v/>
      </c>
      <c r="HBA2" t="str">
        <f>LEFT(Database!HBT2,3)</f>
        <v/>
      </c>
      <c r="HBB2" t="str">
        <f>LEFT(Database!HBU2,3)</f>
        <v/>
      </c>
      <c r="HBC2" t="str">
        <f>LEFT(Database!HBV2,3)</f>
        <v/>
      </c>
      <c r="HBD2" t="str">
        <f>LEFT(Database!HBW2,3)</f>
        <v/>
      </c>
      <c r="HBE2" t="str">
        <f>LEFT(Database!HBX2,3)</f>
        <v/>
      </c>
      <c r="HBF2" t="str">
        <f>LEFT(Database!HBY2,3)</f>
        <v/>
      </c>
      <c r="HBG2" t="str">
        <f>LEFT(Database!HBZ2,3)</f>
        <v/>
      </c>
      <c r="HBH2" t="str">
        <f>LEFT(Database!HCA2,3)</f>
        <v/>
      </c>
      <c r="HBI2" t="str">
        <f>LEFT(Database!HCB2,3)</f>
        <v/>
      </c>
      <c r="HBJ2" t="str">
        <f>LEFT(Database!HCC2,3)</f>
        <v/>
      </c>
      <c r="HBK2" t="str">
        <f>LEFT(Database!HCD2,3)</f>
        <v/>
      </c>
      <c r="HBL2" t="str">
        <f>LEFT(Database!HCE2,3)</f>
        <v/>
      </c>
      <c r="HBM2" t="str">
        <f>LEFT(Database!HCF2,3)</f>
        <v/>
      </c>
      <c r="HBN2" t="str">
        <f>LEFT(Database!HCG2,3)</f>
        <v/>
      </c>
      <c r="HBO2" t="str">
        <f>LEFT(Database!HCH2,3)</f>
        <v/>
      </c>
      <c r="HBP2" t="str">
        <f>LEFT(Database!HCI2,3)</f>
        <v/>
      </c>
      <c r="HBQ2" t="str">
        <f>LEFT(Database!HCJ2,3)</f>
        <v/>
      </c>
      <c r="HBR2" t="str">
        <f>LEFT(Database!HCK2,3)</f>
        <v/>
      </c>
      <c r="HBS2" t="str">
        <f>LEFT(Database!HCL2,3)</f>
        <v/>
      </c>
      <c r="HBT2" t="str">
        <f>LEFT(Database!HCM2,3)</f>
        <v/>
      </c>
      <c r="HBU2" t="str">
        <f>LEFT(Database!HCN2,3)</f>
        <v/>
      </c>
      <c r="HBV2" t="str">
        <f>LEFT(Database!HCO2,3)</f>
        <v/>
      </c>
      <c r="HBW2" t="str">
        <f>LEFT(Database!HCP2,3)</f>
        <v/>
      </c>
      <c r="HBX2" t="str">
        <f>LEFT(Database!HCQ2,3)</f>
        <v/>
      </c>
      <c r="HBY2" t="str">
        <f>LEFT(Database!HCR2,3)</f>
        <v/>
      </c>
      <c r="HBZ2" t="str">
        <f>LEFT(Database!HCS2,3)</f>
        <v/>
      </c>
      <c r="HCA2" t="str">
        <f>LEFT(Database!HCT2,3)</f>
        <v/>
      </c>
      <c r="HCB2" t="str">
        <f>LEFT(Database!HCU2,3)</f>
        <v/>
      </c>
      <c r="HCC2" t="str">
        <f>LEFT(Database!HCV2,3)</f>
        <v/>
      </c>
      <c r="HCD2" t="str">
        <f>LEFT(Database!HCW2,3)</f>
        <v/>
      </c>
      <c r="HCE2" t="str">
        <f>LEFT(Database!HCX2,3)</f>
        <v/>
      </c>
      <c r="HCF2" t="str">
        <f>LEFT(Database!HCY2,3)</f>
        <v/>
      </c>
      <c r="HCG2" t="str">
        <f>LEFT(Database!HCZ2,3)</f>
        <v/>
      </c>
      <c r="HCH2" t="str">
        <f>LEFT(Database!HDA2,3)</f>
        <v/>
      </c>
      <c r="HCI2" t="str">
        <f>LEFT(Database!HDB2,3)</f>
        <v/>
      </c>
      <c r="HCJ2" t="str">
        <f>LEFT(Database!HDC2,3)</f>
        <v/>
      </c>
      <c r="HCK2" t="str">
        <f>LEFT(Database!HDD2,3)</f>
        <v/>
      </c>
      <c r="HCL2" t="str">
        <f>LEFT(Database!HDE2,3)</f>
        <v/>
      </c>
      <c r="HCM2" t="str">
        <f>LEFT(Database!HDF2,3)</f>
        <v/>
      </c>
      <c r="HCN2" t="str">
        <f>LEFT(Database!HDG2,3)</f>
        <v/>
      </c>
      <c r="HCO2" t="str">
        <f>LEFT(Database!HDH2,3)</f>
        <v/>
      </c>
      <c r="HCP2" t="str">
        <f>LEFT(Database!HDI2,3)</f>
        <v/>
      </c>
      <c r="HCQ2" t="str">
        <f>LEFT(Database!HDJ2,3)</f>
        <v/>
      </c>
      <c r="HCR2" t="str">
        <f>LEFT(Database!HDK2,3)</f>
        <v/>
      </c>
      <c r="HCS2" t="str">
        <f>LEFT(Database!HDL2,3)</f>
        <v/>
      </c>
      <c r="HCT2" t="str">
        <f>LEFT(Database!HDM2,3)</f>
        <v/>
      </c>
      <c r="HCU2" t="str">
        <f>LEFT(Database!HDN2,3)</f>
        <v/>
      </c>
      <c r="HCV2" t="str">
        <f>LEFT(Database!HDO2,3)</f>
        <v/>
      </c>
      <c r="HCW2" t="str">
        <f>LEFT(Database!HDP2,3)</f>
        <v/>
      </c>
      <c r="HCX2" t="str">
        <f>LEFT(Database!HDQ2,3)</f>
        <v/>
      </c>
      <c r="HCY2" t="str">
        <f>LEFT(Database!HDR2,3)</f>
        <v/>
      </c>
      <c r="HCZ2" t="str">
        <f>LEFT(Database!HDS2,3)</f>
        <v/>
      </c>
      <c r="HDA2" t="str">
        <f>LEFT(Database!HDT2,3)</f>
        <v/>
      </c>
      <c r="HDB2" t="str">
        <f>LEFT(Database!HDU2,3)</f>
        <v/>
      </c>
      <c r="HDC2" t="str">
        <f>LEFT(Database!HDV2,3)</f>
        <v/>
      </c>
      <c r="HDD2" t="str">
        <f>LEFT(Database!HDW2,3)</f>
        <v/>
      </c>
      <c r="HDE2" t="str">
        <f>LEFT(Database!HDX2,3)</f>
        <v/>
      </c>
      <c r="HDF2" t="str">
        <f>LEFT(Database!HDY2,3)</f>
        <v/>
      </c>
      <c r="HDG2" t="str">
        <f>LEFT(Database!HDZ2,3)</f>
        <v/>
      </c>
      <c r="HDH2" t="str">
        <f>LEFT(Database!HEA2,3)</f>
        <v/>
      </c>
      <c r="HDI2" t="str">
        <f>LEFT(Database!HEB2,3)</f>
        <v/>
      </c>
      <c r="HDJ2" t="str">
        <f>LEFT(Database!HEC2,3)</f>
        <v/>
      </c>
      <c r="HDK2" t="str">
        <f>LEFT(Database!HED2,3)</f>
        <v/>
      </c>
      <c r="HDL2" t="str">
        <f>LEFT(Database!HEE2,3)</f>
        <v/>
      </c>
      <c r="HDM2" t="str">
        <f>LEFT(Database!HEF2,3)</f>
        <v/>
      </c>
      <c r="HDN2" t="str">
        <f>LEFT(Database!HEG2,3)</f>
        <v/>
      </c>
      <c r="HDO2" t="str">
        <f>LEFT(Database!HEH2,3)</f>
        <v/>
      </c>
      <c r="HDP2" t="str">
        <f>LEFT(Database!HEI2,3)</f>
        <v/>
      </c>
      <c r="HDQ2" t="str">
        <f>LEFT(Database!HEJ2,3)</f>
        <v/>
      </c>
      <c r="HDR2" t="str">
        <f>LEFT(Database!HEK2,3)</f>
        <v/>
      </c>
      <c r="HDS2" t="str">
        <f>LEFT(Database!HEL2,3)</f>
        <v/>
      </c>
      <c r="HDT2" t="str">
        <f>LEFT(Database!HEM2,3)</f>
        <v/>
      </c>
      <c r="HDU2" t="str">
        <f>LEFT(Database!HEN2,3)</f>
        <v/>
      </c>
      <c r="HDV2" t="str">
        <f>LEFT(Database!HEO2,3)</f>
        <v/>
      </c>
      <c r="HDW2" t="str">
        <f>LEFT(Database!HEP2,3)</f>
        <v/>
      </c>
      <c r="HDX2" t="str">
        <f>LEFT(Database!HEQ2,3)</f>
        <v/>
      </c>
      <c r="HDY2" t="str">
        <f>LEFT(Database!HER2,3)</f>
        <v/>
      </c>
      <c r="HDZ2" t="str">
        <f>LEFT(Database!HES2,3)</f>
        <v/>
      </c>
      <c r="HEA2" t="str">
        <f>LEFT(Database!HET2,3)</f>
        <v/>
      </c>
      <c r="HEB2" t="str">
        <f>LEFT(Database!HEU2,3)</f>
        <v/>
      </c>
      <c r="HEC2" t="str">
        <f>LEFT(Database!HEV2,3)</f>
        <v/>
      </c>
      <c r="HED2" t="str">
        <f>LEFT(Database!HEW2,3)</f>
        <v/>
      </c>
      <c r="HEE2" t="str">
        <f>LEFT(Database!HEX2,3)</f>
        <v/>
      </c>
      <c r="HEF2" t="str">
        <f>LEFT(Database!HEY2,3)</f>
        <v/>
      </c>
      <c r="HEG2" t="str">
        <f>LEFT(Database!HEZ2,3)</f>
        <v/>
      </c>
      <c r="HEH2" t="str">
        <f>LEFT(Database!HFA2,3)</f>
        <v/>
      </c>
      <c r="HEI2" t="str">
        <f>LEFT(Database!HFB2,3)</f>
        <v/>
      </c>
      <c r="HEJ2" t="str">
        <f>LEFT(Database!HFC2,3)</f>
        <v/>
      </c>
      <c r="HEK2" t="str">
        <f>LEFT(Database!HFD2,3)</f>
        <v/>
      </c>
      <c r="HEL2" t="str">
        <f>LEFT(Database!HFE2,3)</f>
        <v/>
      </c>
      <c r="HEM2" t="str">
        <f>LEFT(Database!HFF2,3)</f>
        <v/>
      </c>
      <c r="HEN2" t="str">
        <f>LEFT(Database!HFG2,3)</f>
        <v/>
      </c>
      <c r="HEO2" t="str">
        <f>LEFT(Database!HFH2,3)</f>
        <v/>
      </c>
      <c r="HEP2" t="str">
        <f>LEFT(Database!HFI2,3)</f>
        <v/>
      </c>
      <c r="HEQ2" t="str">
        <f>LEFT(Database!HFJ2,3)</f>
        <v/>
      </c>
      <c r="HER2" t="str">
        <f>LEFT(Database!HFK2,3)</f>
        <v/>
      </c>
      <c r="HES2" t="str">
        <f>LEFT(Database!HFL2,3)</f>
        <v/>
      </c>
      <c r="HET2" t="str">
        <f>LEFT(Database!HFM2,3)</f>
        <v/>
      </c>
      <c r="HEU2" t="str">
        <f>LEFT(Database!HFN2,3)</f>
        <v/>
      </c>
      <c r="HEV2" t="str">
        <f>LEFT(Database!HFO2,3)</f>
        <v/>
      </c>
      <c r="HEW2" t="str">
        <f>LEFT(Database!HFP2,3)</f>
        <v/>
      </c>
      <c r="HEX2" t="str">
        <f>LEFT(Database!HFQ2,3)</f>
        <v/>
      </c>
      <c r="HEY2" t="str">
        <f>LEFT(Database!HFR2,3)</f>
        <v/>
      </c>
      <c r="HEZ2" t="str">
        <f>LEFT(Database!HFS2,3)</f>
        <v/>
      </c>
      <c r="HFA2" t="str">
        <f>LEFT(Database!HFT2,3)</f>
        <v/>
      </c>
      <c r="HFB2" t="str">
        <f>LEFT(Database!HFU2,3)</f>
        <v/>
      </c>
      <c r="HFC2" t="str">
        <f>LEFT(Database!HFV2,3)</f>
        <v/>
      </c>
      <c r="HFD2" t="str">
        <f>LEFT(Database!HFW2,3)</f>
        <v/>
      </c>
      <c r="HFE2" t="str">
        <f>LEFT(Database!HFX2,3)</f>
        <v/>
      </c>
      <c r="HFF2" t="str">
        <f>LEFT(Database!HFY2,3)</f>
        <v/>
      </c>
      <c r="HFG2" t="str">
        <f>LEFT(Database!HFZ2,3)</f>
        <v/>
      </c>
      <c r="HFH2" t="str">
        <f>LEFT(Database!HGA2,3)</f>
        <v/>
      </c>
      <c r="HFI2" t="str">
        <f>LEFT(Database!HGB2,3)</f>
        <v/>
      </c>
      <c r="HFJ2" t="str">
        <f>LEFT(Database!HGC2,3)</f>
        <v/>
      </c>
      <c r="HFK2" t="str">
        <f>LEFT(Database!HGD2,3)</f>
        <v/>
      </c>
      <c r="HFL2" t="str">
        <f>LEFT(Database!HGE2,3)</f>
        <v/>
      </c>
      <c r="HFM2" t="str">
        <f>LEFT(Database!HGF2,3)</f>
        <v/>
      </c>
      <c r="HFN2" t="str">
        <f>LEFT(Database!HGG2,3)</f>
        <v/>
      </c>
      <c r="HFO2" t="str">
        <f>LEFT(Database!HGH2,3)</f>
        <v/>
      </c>
      <c r="HFP2" t="str">
        <f>LEFT(Database!HGI2,3)</f>
        <v/>
      </c>
      <c r="HFQ2" t="str">
        <f>LEFT(Database!HGJ2,3)</f>
        <v/>
      </c>
      <c r="HFR2" t="str">
        <f>LEFT(Database!HGK2,3)</f>
        <v/>
      </c>
      <c r="HFS2" t="str">
        <f>LEFT(Database!HGL2,3)</f>
        <v/>
      </c>
      <c r="HFT2" t="str">
        <f>LEFT(Database!HGM2,3)</f>
        <v/>
      </c>
      <c r="HFU2" t="str">
        <f>LEFT(Database!HGN2,3)</f>
        <v/>
      </c>
      <c r="HFV2" t="str">
        <f>LEFT(Database!HGO2,3)</f>
        <v/>
      </c>
      <c r="HFW2" t="str">
        <f>LEFT(Database!HGP2,3)</f>
        <v/>
      </c>
      <c r="HFX2" t="str">
        <f>LEFT(Database!HGQ2,3)</f>
        <v/>
      </c>
      <c r="HFY2" t="str">
        <f>LEFT(Database!HGR2,3)</f>
        <v/>
      </c>
      <c r="HFZ2" t="str">
        <f>LEFT(Database!HGS2,3)</f>
        <v/>
      </c>
      <c r="HGA2" t="str">
        <f>LEFT(Database!HGT2,3)</f>
        <v/>
      </c>
      <c r="HGB2" t="str">
        <f>LEFT(Database!HGU2,3)</f>
        <v/>
      </c>
      <c r="HGC2" t="str">
        <f>LEFT(Database!HGV2,3)</f>
        <v/>
      </c>
      <c r="HGD2" t="str">
        <f>LEFT(Database!HGW2,3)</f>
        <v/>
      </c>
      <c r="HGE2" t="str">
        <f>LEFT(Database!HGX2,3)</f>
        <v/>
      </c>
      <c r="HGF2" t="str">
        <f>LEFT(Database!HGY2,3)</f>
        <v/>
      </c>
      <c r="HGG2" t="str">
        <f>LEFT(Database!HGZ2,3)</f>
        <v/>
      </c>
      <c r="HGH2" t="str">
        <f>LEFT(Database!HHA2,3)</f>
        <v/>
      </c>
      <c r="HGI2" t="str">
        <f>LEFT(Database!HHB2,3)</f>
        <v/>
      </c>
      <c r="HGJ2" t="str">
        <f>LEFT(Database!HHC2,3)</f>
        <v/>
      </c>
      <c r="HGK2" t="str">
        <f>LEFT(Database!HHD2,3)</f>
        <v/>
      </c>
      <c r="HGL2" t="str">
        <f>LEFT(Database!HHE2,3)</f>
        <v/>
      </c>
      <c r="HGM2" t="str">
        <f>LEFT(Database!HHF2,3)</f>
        <v/>
      </c>
      <c r="HGN2" t="str">
        <f>LEFT(Database!HHG2,3)</f>
        <v/>
      </c>
      <c r="HGO2" t="str">
        <f>LEFT(Database!HHH2,3)</f>
        <v/>
      </c>
      <c r="HGP2" t="str">
        <f>LEFT(Database!HHI2,3)</f>
        <v/>
      </c>
      <c r="HGQ2" t="str">
        <f>LEFT(Database!HHJ2,3)</f>
        <v/>
      </c>
      <c r="HGR2" t="str">
        <f>LEFT(Database!HHK2,3)</f>
        <v/>
      </c>
      <c r="HGS2" t="str">
        <f>LEFT(Database!HHL2,3)</f>
        <v/>
      </c>
      <c r="HGT2" t="str">
        <f>LEFT(Database!HHM2,3)</f>
        <v/>
      </c>
      <c r="HGU2" t="str">
        <f>LEFT(Database!HHN2,3)</f>
        <v/>
      </c>
      <c r="HGV2" t="str">
        <f>LEFT(Database!HHO2,3)</f>
        <v/>
      </c>
      <c r="HGW2" t="str">
        <f>LEFT(Database!HHP2,3)</f>
        <v/>
      </c>
      <c r="HGX2" t="str">
        <f>LEFT(Database!HHQ2,3)</f>
        <v/>
      </c>
      <c r="HGY2" t="str">
        <f>LEFT(Database!HHR2,3)</f>
        <v/>
      </c>
      <c r="HGZ2" t="str">
        <f>LEFT(Database!HHS2,3)</f>
        <v/>
      </c>
      <c r="HHA2" t="str">
        <f>LEFT(Database!HHT2,3)</f>
        <v/>
      </c>
      <c r="HHB2" t="str">
        <f>LEFT(Database!HHU2,3)</f>
        <v/>
      </c>
      <c r="HHC2" t="str">
        <f>LEFT(Database!HHV2,3)</f>
        <v/>
      </c>
      <c r="HHD2" t="str">
        <f>LEFT(Database!HHW2,3)</f>
        <v/>
      </c>
      <c r="HHE2" t="str">
        <f>LEFT(Database!HHX2,3)</f>
        <v/>
      </c>
      <c r="HHF2" t="str">
        <f>LEFT(Database!HHY2,3)</f>
        <v/>
      </c>
      <c r="HHG2" t="str">
        <f>LEFT(Database!HHZ2,3)</f>
        <v/>
      </c>
      <c r="HHH2" t="str">
        <f>LEFT(Database!HIA2,3)</f>
        <v/>
      </c>
      <c r="HHI2" t="str">
        <f>LEFT(Database!HIB2,3)</f>
        <v/>
      </c>
      <c r="HHJ2" t="str">
        <f>LEFT(Database!HIC2,3)</f>
        <v/>
      </c>
      <c r="HHK2" t="str">
        <f>LEFT(Database!HID2,3)</f>
        <v/>
      </c>
      <c r="HHL2" t="str">
        <f>LEFT(Database!HIE2,3)</f>
        <v/>
      </c>
      <c r="HHM2" t="str">
        <f>LEFT(Database!HIF2,3)</f>
        <v/>
      </c>
      <c r="HHN2" t="str">
        <f>LEFT(Database!HIG2,3)</f>
        <v/>
      </c>
      <c r="HHO2" t="str">
        <f>LEFT(Database!HIH2,3)</f>
        <v/>
      </c>
      <c r="HHP2" t="str">
        <f>LEFT(Database!HII2,3)</f>
        <v/>
      </c>
      <c r="HHQ2" t="str">
        <f>LEFT(Database!HIJ2,3)</f>
        <v/>
      </c>
      <c r="HHR2" t="str">
        <f>LEFT(Database!HIK2,3)</f>
        <v/>
      </c>
      <c r="HHS2" t="str">
        <f>LEFT(Database!HIL2,3)</f>
        <v/>
      </c>
      <c r="HHT2" t="str">
        <f>LEFT(Database!HIM2,3)</f>
        <v/>
      </c>
      <c r="HHU2" t="str">
        <f>LEFT(Database!HIN2,3)</f>
        <v/>
      </c>
      <c r="HHV2" t="str">
        <f>LEFT(Database!HIO2,3)</f>
        <v/>
      </c>
      <c r="HHW2" t="str">
        <f>LEFT(Database!HIP2,3)</f>
        <v/>
      </c>
      <c r="HHX2" t="str">
        <f>LEFT(Database!HIQ2,3)</f>
        <v/>
      </c>
      <c r="HHY2" t="str">
        <f>LEFT(Database!HIR2,3)</f>
        <v/>
      </c>
      <c r="HHZ2" t="str">
        <f>LEFT(Database!HIS2,3)</f>
        <v/>
      </c>
      <c r="HIA2" t="str">
        <f>LEFT(Database!HIT2,3)</f>
        <v/>
      </c>
      <c r="HIB2" t="str">
        <f>LEFT(Database!HIU2,3)</f>
        <v/>
      </c>
      <c r="HIC2" t="str">
        <f>LEFT(Database!HIV2,3)</f>
        <v/>
      </c>
      <c r="HID2" t="str">
        <f>LEFT(Database!HIW2,3)</f>
        <v/>
      </c>
      <c r="HIE2" t="str">
        <f>LEFT(Database!HIX2,3)</f>
        <v/>
      </c>
      <c r="HIF2" t="str">
        <f>LEFT(Database!HIY2,3)</f>
        <v/>
      </c>
      <c r="HIG2" t="str">
        <f>LEFT(Database!HIZ2,3)</f>
        <v/>
      </c>
      <c r="HIH2" t="str">
        <f>LEFT(Database!HJA2,3)</f>
        <v/>
      </c>
      <c r="HII2" t="str">
        <f>LEFT(Database!HJB2,3)</f>
        <v/>
      </c>
      <c r="HIJ2" t="str">
        <f>LEFT(Database!HJC2,3)</f>
        <v/>
      </c>
      <c r="HIK2" t="str">
        <f>LEFT(Database!HJD2,3)</f>
        <v/>
      </c>
      <c r="HIL2" t="str">
        <f>LEFT(Database!HJE2,3)</f>
        <v/>
      </c>
      <c r="HIM2" t="str">
        <f>LEFT(Database!HJF2,3)</f>
        <v/>
      </c>
      <c r="HIN2" t="str">
        <f>LEFT(Database!HJG2,3)</f>
        <v/>
      </c>
      <c r="HIO2" t="str">
        <f>LEFT(Database!HJH2,3)</f>
        <v/>
      </c>
      <c r="HIP2" t="str">
        <f>LEFT(Database!HJI2,3)</f>
        <v/>
      </c>
      <c r="HIQ2" t="str">
        <f>LEFT(Database!HJJ2,3)</f>
        <v/>
      </c>
      <c r="HIR2" t="str">
        <f>LEFT(Database!HJK2,3)</f>
        <v/>
      </c>
      <c r="HIS2" t="str">
        <f>LEFT(Database!HJL2,3)</f>
        <v/>
      </c>
      <c r="HIT2" t="str">
        <f>LEFT(Database!HJM2,3)</f>
        <v/>
      </c>
      <c r="HIU2" t="str">
        <f>LEFT(Database!HJN2,3)</f>
        <v/>
      </c>
      <c r="HIV2" t="str">
        <f>LEFT(Database!HJO2,3)</f>
        <v/>
      </c>
      <c r="HIW2" t="str">
        <f>LEFT(Database!HJP2,3)</f>
        <v/>
      </c>
      <c r="HIX2" t="str">
        <f>LEFT(Database!HJQ2,3)</f>
        <v/>
      </c>
      <c r="HIY2" t="str">
        <f>LEFT(Database!HJR2,3)</f>
        <v/>
      </c>
      <c r="HIZ2" t="str">
        <f>LEFT(Database!HJS2,3)</f>
        <v/>
      </c>
      <c r="HJA2" t="str">
        <f>LEFT(Database!HJT2,3)</f>
        <v/>
      </c>
      <c r="HJB2" t="str">
        <f>LEFT(Database!HJU2,3)</f>
        <v/>
      </c>
      <c r="HJC2" t="str">
        <f>LEFT(Database!HJV2,3)</f>
        <v/>
      </c>
      <c r="HJD2" t="str">
        <f>LEFT(Database!HJW2,3)</f>
        <v/>
      </c>
      <c r="HJE2" t="str">
        <f>LEFT(Database!HJX2,3)</f>
        <v/>
      </c>
      <c r="HJF2" t="str">
        <f>LEFT(Database!HJY2,3)</f>
        <v/>
      </c>
      <c r="HJG2" t="str">
        <f>LEFT(Database!HJZ2,3)</f>
        <v/>
      </c>
      <c r="HJH2" t="str">
        <f>LEFT(Database!HKA2,3)</f>
        <v/>
      </c>
      <c r="HJI2" t="str">
        <f>LEFT(Database!HKB2,3)</f>
        <v/>
      </c>
      <c r="HJJ2" t="str">
        <f>LEFT(Database!HKC2,3)</f>
        <v/>
      </c>
      <c r="HJK2" t="str">
        <f>LEFT(Database!HKD2,3)</f>
        <v/>
      </c>
      <c r="HJL2" t="str">
        <f>LEFT(Database!HKE2,3)</f>
        <v/>
      </c>
      <c r="HJM2" t="str">
        <f>LEFT(Database!HKF2,3)</f>
        <v/>
      </c>
      <c r="HJN2" t="str">
        <f>LEFT(Database!HKG2,3)</f>
        <v/>
      </c>
      <c r="HJO2" t="str">
        <f>LEFT(Database!HKH2,3)</f>
        <v/>
      </c>
      <c r="HJP2" t="str">
        <f>LEFT(Database!HKI2,3)</f>
        <v/>
      </c>
      <c r="HJQ2" t="str">
        <f>LEFT(Database!HKJ2,3)</f>
        <v/>
      </c>
      <c r="HJR2" t="str">
        <f>LEFT(Database!HKK2,3)</f>
        <v/>
      </c>
      <c r="HJS2" t="str">
        <f>LEFT(Database!HKL2,3)</f>
        <v/>
      </c>
      <c r="HJT2" t="str">
        <f>LEFT(Database!HKM2,3)</f>
        <v/>
      </c>
      <c r="HJU2" t="str">
        <f>LEFT(Database!HKN2,3)</f>
        <v/>
      </c>
      <c r="HJV2" t="str">
        <f>LEFT(Database!HKO2,3)</f>
        <v/>
      </c>
      <c r="HJW2" t="str">
        <f>LEFT(Database!HKP2,3)</f>
        <v/>
      </c>
      <c r="HJX2" t="str">
        <f>LEFT(Database!HKQ2,3)</f>
        <v/>
      </c>
      <c r="HJY2" t="str">
        <f>LEFT(Database!HKR2,3)</f>
        <v/>
      </c>
      <c r="HJZ2" t="str">
        <f>LEFT(Database!HKS2,3)</f>
        <v/>
      </c>
      <c r="HKA2" t="str">
        <f>LEFT(Database!HKT2,3)</f>
        <v/>
      </c>
      <c r="HKB2" t="str">
        <f>LEFT(Database!HKU2,3)</f>
        <v/>
      </c>
      <c r="HKC2" t="str">
        <f>LEFT(Database!HKV2,3)</f>
        <v/>
      </c>
      <c r="HKD2" t="str">
        <f>LEFT(Database!HKW2,3)</f>
        <v/>
      </c>
      <c r="HKE2" t="str">
        <f>LEFT(Database!HKX2,3)</f>
        <v/>
      </c>
      <c r="HKF2" t="str">
        <f>LEFT(Database!HKY2,3)</f>
        <v/>
      </c>
      <c r="HKG2" t="str">
        <f>LEFT(Database!HKZ2,3)</f>
        <v/>
      </c>
      <c r="HKH2" t="str">
        <f>LEFT(Database!HLA2,3)</f>
        <v/>
      </c>
      <c r="HKI2" t="str">
        <f>LEFT(Database!HLB2,3)</f>
        <v/>
      </c>
      <c r="HKJ2" t="str">
        <f>LEFT(Database!HLC2,3)</f>
        <v/>
      </c>
      <c r="HKK2" t="str">
        <f>LEFT(Database!HLD2,3)</f>
        <v/>
      </c>
      <c r="HKL2" t="str">
        <f>LEFT(Database!HLE2,3)</f>
        <v/>
      </c>
      <c r="HKM2" t="str">
        <f>LEFT(Database!HLF2,3)</f>
        <v/>
      </c>
      <c r="HKN2" t="str">
        <f>LEFT(Database!HLG2,3)</f>
        <v/>
      </c>
      <c r="HKO2" t="str">
        <f>LEFT(Database!HLH2,3)</f>
        <v/>
      </c>
      <c r="HKP2" t="str">
        <f>LEFT(Database!HLI2,3)</f>
        <v/>
      </c>
      <c r="HKQ2" t="str">
        <f>LEFT(Database!HLJ2,3)</f>
        <v/>
      </c>
      <c r="HKR2" t="str">
        <f>LEFT(Database!HLK2,3)</f>
        <v/>
      </c>
      <c r="HKS2" t="str">
        <f>LEFT(Database!HLL2,3)</f>
        <v/>
      </c>
      <c r="HKT2" t="str">
        <f>LEFT(Database!HLM2,3)</f>
        <v/>
      </c>
      <c r="HKU2" t="str">
        <f>LEFT(Database!HLN2,3)</f>
        <v/>
      </c>
      <c r="HKV2" t="str">
        <f>LEFT(Database!HLO2,3)</f>
        <v/>
      </c>
      <c r="HKW2" t="str">
        <f>LEFT(Database!HLP2,3)</f>
        <v/>
      </c>
      <c r="HKX2" t="str">
        <f>LEFT(Database!HLQ2,3)</f>
        <v/>
      </c>
      <c r="HKY2" t="str">
        <f>LEFT(Database!HLR2,3)</f>
        <v/>
      </c>
      <c r="HKZ2" t="str">
        <f>LEFT(Database!HLS2,3)</f>
        <v/>
      </c>
      <c r="HLA2" t="str">
        <f>LEFT(Database!HLT2,3)</f>
        <v/>
      </c>
      <c r="HLB2" t="str">
        <f>LEFT(Database!HLU2,3)</f>
        <v/>
      </c>
      <c r="HLC2" t="str">
        <f>LEFT(Database!HLV2,3)</f>
        <v/>
      </c>
      <c r="HLD2" t="str">
        <f>LEFT(Database!HLW2,3)</f>
        <v/>
      </c>
      <c r="HLE2" t="str">
        <f>LEFT(Database!HLX2,3)</f>
        <v/>
      </c>
      <c r="HLF2" t="str">
        <f>LEFT(Database!HLY2,3)</f>
        <v/>
      </c>
      <c r="HLG2" t="str">
        <f>LEFT(Database!HLZ2,3)</f>
        <v/>
      </c>
      <c r="HLH2" t="str">
        <f>LEFT(Database!HMA2,3)</f>
        <v/>
      </c>
      <c r="HLI2" t="str">
        <f>LEFT(Database!HMB2,3)</f>
        <v/>
      </c>
      <c r="HLJ2" t="str">
        <f>LEFT(Database!HMC2,3)</f>
        <v/>
      </c>
      <c r="HLK2" t="str">
        <f>LEFT(Database!HMD2,3)</f>
        <v/>
      </c>
      <c r="HLL2" t="str">
        <f>LEFT(Database!HME2,3)</f>
        <v/>
      </c>
      <c r="HLM2" t="str">
        <f>LEFT(Database!HMF2,3)</f>
        <v/>
      </c>
      <c r="HLN2" t="str">
        <f>LEFT(Database!HMG2,3)</f>
        <v/>
      </c>
      <c r="HLO2" t="str">
        <f>LEFT(Database!HMH2,3)</f>
        <v/>
      </c>
      <c r="HLP2" t="str">
        <f>LEFT(Database!HMI2,3)</f>
        <v/>
      </c>
      <c r="HLQ2" t="str">
        <f>LEFT(Database!HMJ2,3)</f>
        <v/>
      </c>
      <c r="HLR2" t="str">
        <f>LEFT(Database!HMK2,3)</f>
        <v/>
      </c>
      <c r="HLS2" t="str">
        <f>LEFT(Database!HML2,3)</f>
        <v/>
      </c>
      <c r="HLT2" t="str">
        <f>LEFT(Database!HMM2,3)</f>
        <v/>
      </c>
      <c r="HLU2" t="str">
        <f>LEFT(Database!HMN2,3)</f>
        <v/>
      </c>
      <c r="HLV2" t="str">
        <f>LEFT(Database!HMO2,3)</f>
        <v/>
      </c>
      <c r="HLW2" t="str">
        <f>LEFT(Database!HMP2,3)</f>
        <v/>
      </c>
      <c r="HLX2" t="str">
        <f>LEFT(Database!HMQ2,3)</f>
        <v/>
      </c>
      <c r="HLY2" t="str">
        <f>LEFT(Database!HMR2,3)</f>
        <v/>
      </c>
      <c r="HLZ2" t="str">
        <f>LEFT(Database!HMS2,3)</f>
        <v/>
      </c>
      <c r="HMA2" t="str">
        <f>LEFT(Database!HMT2,3)</f>
        <v/>
      </c>
      <c r="HMB2" t="str">
        <f>LEFT(Database!HMU2,3)</f>
        <v/>
      </c>
      <c r="HMC2" t="str">
        <f>LEFT(Database!HMV2,3)</f>
        <v/>
      </c>
      <c r="HMD2" t="str">
        <f>LEFT(Database!HMW2,3)</f>
        <v/>
      </c>
      <c r="HME2" t="str">
        <f>LEFT(Database!HMX2,3)</f>
        <v/>
      </c>
      <c r="HMF2" t="str">
        <f>LEFT(Database!HMY2,3)</f>
        <v/>
      </c>
      <c r="HMG2" t="str">
        <f>LEFT(Database!HMZ2,3)</f>
        <v/>
      </c>
      <c r="HMH2" t="str">
        <f>LEFT(Database!HNA2,3)</f>
        <v/>
      </c>
      <c r="HMI2" t="str">
        <f>LEFT(Database!HNB2,3)</f>
        <v/>
      </c>
      <c r="HMJ2" t="str">
        <f>LEFT(Database!HNC2,3)</f>
        <v/>
      </c>
      <c r="HMK2" t="str">
        <f>LEFT(Database!HND2,3)</f>
        <v/>
      </c>
      <c r="HML2" t="str">
        <f>LEFT(Database!HNE2,3)</f>
        <v/>
      </c>
      <c r="HMM2" t="str">
        <f>LEFT(Database!HNF2,3)</f>
        <v/>
      </c>
      <c r="HMN2" t="str">
        <f>LEFT(Database!HNG2,3)</f>
        <v/>
      </c>
      <c r="HMO2" t="str">
        <f>LEFT(Database!HNH2,3)</f>
        <v/>
      </c>
      <c r="HMP2" t="str">
        <f>LEFT(Database!HNI2,3)</f>
        <v/>
      </c>
      <c r="HMQ2" t="str">
        <f>LEFT(Database!HNJ2,3)</f>
        <v/>
      </c>
      <c r="HMR2" t="str">
        <f>LEFT(Database!HNK2,3)</f>
        <v/>
      </c>
      <c r="HMS2" t="str">
        <f>LEFT(Database!HNL2,3)</f>
        <v/>
      </c>
      <c r="HMT2" t="str">
        <f>LEFT(Database!HNM2,3)</f>
        <v/>
      </c>
      <c r="HMU2" t="str">
        <f>LEFT(Database!HNN2,3)</f>
        <v/>
      </c>
      <c r="HMV2" t="str">
        <f>LEFT(Database!HNO2,3)</f>
        <v/>
      </c>
      <c r="HMW2" t="str">
        <f>LEFT(Database!HNP2,3)</f>
        <v/>
      </c>
      <c r="HMX2" t="str">
        <f>LEFT(Database!HNQ2,3)</f>
        <v/>
      </c>
      <c r="HMY2" t="str">
        <f>LEFT(Database!HNR2,3)</f>
        <v/>
      </c>
      <c r="HMZ2" t="str">
        <f>LEFT(Database!HNS2,3)</f>
        <v/>
      </c>
      <c r="HNA2" t="str">
        <f>LEFT(Database!HNT2,3)</f>
        <v/>
      </c>
      <c r="HNB2" t="str">
        <f>LEFT(Database!HNU2,3)</f>
        <v/>
      </c>
      <c r="HNC2" t="str">
        <f>LEFT(Database!HNV2,3)</f>
        <v/>
      </c>
      <c r="HND2" t="str">
        <f>LEFT(Database!HNW2,3)</f>
        <v/>
      </c>
      <c r="HNE2" t="str">
        <f>LEFT(Database!HNX2,3)</f>
        <v/>
      </c>
      <c r="HNF2" t="str">
        <f>LEFT(Database!HNY2,3)</f>
        <v/>
      </c>
      <c r="HNG2" t="str">
        <f>LEFT(Database!HNZ2,3)</f>
        <v/>
      </c>
      <c r="HNH2" t="str">
        <f>LEFT(Database!HOA2,3)</f>
        <v/>
      </c>
      <c r="HNI2" t="str">
        <f>LEFT(Database!HOB2,3)</f>
        <v/>
      </c>
      <c r="HNJ2" t="str">
        <f>LEFT(Database!HOC2,3)</f>
        <v/>
      </c>
      <c r="HNK2" t="str">
        <f>LEFT(Database!HOD2,3)</f>
        <v/>
      </c>
      <c r="HNL2" t="str">
        <f>LEFT(Database!HOE2,3)</f>
        <v/>
      </c>
      <c r="HNM2" t="str">
        <f>LEFT(Database!HOF2,3)</f>
        <v/>
      </c>
      <c r="HNN2" t="str">
        <f>LEFT(Database!HOG2,3)</f>
        <v/>
      </c>
      <c r="HNO2" t="str">
        <f>LEFT(Database!HOH2,3)</f>
        <v/>
      </c>
      <c r="HNP2" t="str">
        <f>LEFT(Database!HOI2,3)</f>
        <v/>
      </c>
      <c r="HNQ2" t="str">
        <f>LEFT(Database!HOJ2,3)</f>
        <v/>
      </c>
      <c r="HNR2" t="str">
        <f>LEFT(Database!HOK2,3)</f>
        <v/>
      </c>
      <c r="HNS2" t="str">
        <f>LEFT(Database!HOL2,3)</f>
        <v/>
      </c>
      <c r="HNT2" t="str">
        <f>LEFT(Database!HOM2,3)</f>
        <v/>
      </c>
      <c r="HNU2" t="str">
        <f>LEFT(Database!HON2,3)</f>
        <v/>
      </c>
      <c r="HNV2" t="str">
        <f>LEFT(Database!HOO2,3)</f>
        <v/>
      </c>
      <c r="HNW2" t="str">
        <f>LEFT(Database!HOP2,3)</f>
        <v/>
      </c>
      <c r="HNX2" t="str">
        <f>LEFT(Database!HOQ2,3)</f>
        <v/>
      </c>
      <c r="HNY2" t="str">
        <f>LEFT(Database!HOR2,3)</f>
        <v/>
      </c>
      <c r="HNZ2" t="str">
        <f>LEFT(Database!HOS2,3)</f>
        <v/>
      </c>
      <c r="HOA2" t="str">
        <f>LEFT(Database!HOT2,3)</f>
        <v/>
      </c>
      <c r="HOB2" t="str">
        <f>LEFT(Database!HOU2,3)</f>
        <v/>
      </c>
      <c r="HOC2" t="str">
        <f>LEFT(Database!HOV2,3)</f>
        <v/>
      </c>
      <c r="HOD2" t="str">
        <f>LEFT(Database!HOW2,3)</f>
        <v/>
      </c>
      <c r="HOE2" t="str">
        <f>LEFT(Database!HOX2,3)</f>
        <v/>
      </c>
      <c r="HOF2" t="str">
        <f>LEFT(Database!HOY2,3)</f>
        <v/>
      </c>
      <c r="HOG2" t="str">
        <f>LEFT(Database!HOZ2,3)</f>
        <v/>
      </c>
      <c r="HOH2" t="str">
        <f>LEFT(Database!HPA2,3)</f>
        <v/>
      </c>
      <c r="HOI2" t="str">
        <f>LEFT(Database!HPB2,3)</f>
        <v/>
      </c>
      <c r="HOJ2" t="str">
        <f>LEFT(Database!HPC2,3)</f>
        <v/>
      </c>
      <c r="HOK2" t="str">
        <f>LEFT(Database!HPD2,3)</f>
        <v/>
      </c>
      <c r="HOL2" t="str">
        <f>LEFT(Database!HPE2,3)</f>
        <v/>
      </c>
      <c r="HOM2" t="str">
        <f>LEFT(Database!HPF2,3)</f>
        <v/>
      </c>
      <c r="HON2" t="str">
        <f>LEFT(Database!HPG2,3)</f>
        <v/>
      </c>
      <c r="HOO2" t="str">
        <f>LEFT(Database!HPH2,3)</f>
        <v/>
      </c>
      <c r="HOP2" t="str">
        <f>LEFT(Database!HPI2,3)</f>
        <v/>
      </c>
      <c r="HOQ2" t="str">
        <f>LEFT(Database!HPJ2,3)</f>
        <v/>
      </c>
      <c r="HOR2" t="str">
        <f>LEFT(Database!HPK2,3)</f>
        <v/>
      </c>
      <c r="HOS2" t="str">
        <f>LEFT(Database!HPL2,3)</f>
        <v/>
      </c>
      <c r="HOT2" t="str">
        <f>LEFT(Database!HPM2,3)</f>
        <v/>
      </c>
      <c r="HOU2" t="str">
        <f>LEFT(Database!HPN2,3)</f>
        <v/>
      </c>
      <c r="HOV2" t="str">
        <f>LEFT(Database!HPO2,3)</f>
        <v/>
      </c>
      <c r="HOW2" t="str">
        <f>LEFT(Database!HPP2,3)</f>
        <v/>
      </c>
      <c r="HOX2" t="str">
        <f>LEFT(Database!HPQ2,3)</f>
        <v/>
      </c>
      <c r="HOY2" t="str">
        <f>LEFT(Database!HPR2,3)</f>
        <v/>
      </c>
      <c r="HOZ2" t="str">
        <f>LEFT(Database!HPS2,3)</f>
        <v/>
      </c>
      <c r="HPA2" t="str">
        <f>LEFT(Database!HPT2,3)</f>
        <v/>
      </c>
      <c r="HPB2" t="str">
        <f>LEFT(Database!HPU2,3)</f>
        <v/>
      </c>
      <c r="HPC2" t="str">
        <f>LEFT(Database!HPV2,3)</f>
        <v/>
      </c>
      <c r="HPD2" t="str">
        <f>LEFT(Database!HPW2,3)</f>
        <v/>
      </c>
      <c r="HPE2" t="str">
        <f>LEFT(Database!HPX2,3)</f>
        <v/>
      </c>
      <c r="HPF2" t="str">
        <f>LEFT(Database!HPY2,3)</f>
        <v/>
      </c>
      <c r="HPG2" t="str">
        <f>LEFT(Database!HPZ2,3)</f>
        <v/>
      </c>
      <c r="HPH2" t="str">
        <f>LEFT(Database!HQA2,3)</f>
        <v/>
      </c>
      <c r="HPI2" t="str">
        <f>LEFT(Database!HQB2,3)</f>
        <v/>
      </c>
      <c r="HPJ2" t="str">
        <f>LEFT(Database!HQC2,3)</f>
        <v/>
      </c>
      <c r="HPK2" t="str">
        <f>LEFT(Database!HQD2,3)</f>
        <v/>
      </c>
      <c r="HPL2" t="str">
        <f>LEFT(Database!HQE2,3)</f>
        <v/>
      </c>
      <c r="HPM2" t="str">
        <f>LEFT(Database!HQF2,3)</f>
        <v/>
      </c>
      <c r="HPN2" t="str">
        <f>LEFT(Database!HQG2,3)</f>
        <v/>
      </c>
      <c r="HPO2" t="str">
        <f>LEFT(Database!HQH2,3)</f>
        <v/>
      </c>
      <c r="HPP2" t="str">
        <f>LEFT(Database!HQI2,3)</f>
        <v/>
      </c>
      <c r="HPQ2" t="str">
        <f>LEFT(Database!HQJ2,3)</f>
        <v/>
      </c>
      <c r="HPR2" t="str">
        <f>LEFT(Database!HQK2,3)</f>
        <v/>
      </c>
      <c r="HPS2" t="str">
        <f>LEFT(Database!HQL2,3)</f>
        <v/>
      </c>
      <c r="HPT2" t="str">
        <f>LEFT(Database!HQM2,3)</f>
        <v/>
      </c>
      <c r="HPU2" t="str">
        <f>LEFT(Database!HQN2,3)</f>
        <v/>
      </c>
      <c r="HPV2" t="str">
        <f>LEFT(Database!HQO2,3)</f>
        <v/>
      </c>
      <c r="HPW2" t="str">
        <f>LEFT(Database!HQP2,3)</f>
        <v/>
      </c>
      <c r="HPX2" t="str">
        <f>LEFT(Database!HQQ2,3)</f>
        <v/>
      </c>
      <c r="HPY2" t="str">
        <f>LEFT(Database!HQR2,3)</f>
        <v/>
      </c>
      <c r="HPZ2" t="str">
        <f>LEFT(Database!HQS2,3)</f>
        <v/>
      </c>
      <c r="HQA2" t="str">
        <f>LEFT(Database!HQT2,3)</f>
        <v/>
      </c>
      <c r="HQB2" t="str">
        <f>LEFT(Database!HQU2,3)</f>
        <v/>
      </c>
      <c r="HQC2" t="str">
        <f>LEFT(Database!HQV2,3)</f>
        <v/>
      </c>
      <c r="HQD2" t="str">
        <f>LEFT(Database!HQW2,3)</f>
        <v/>
      </c>
      <c r="HQE2" t="str">
        <f>LEFT(Database!HQX2,3)</f>
        <v/>
      </c>
      <c r="HQF2" t="str">
        <f>LEFT(Database!HQY2,3)</f>
        <v/>
      </c>
      <c r="HQG2" t="str">
        <f>LEFT(Database!HQZ2,3)</f>
        <v/>
      </c>
      <c r="HQH2" t="str">
        <f>LEFT(Database!HRA2,3)</f>
        <v/>
      </c>
      <c r="HQI2" t="str">
        <f>LEFT(Database!HRB2,3)</f>
        <v/>
      </c>
      <c r="HQJ2" t="str">
        <f>LEFT(Database!HRC2,3)</f>
        <v/>
      </c>
      <c r="HQK2" t="str">
        <f>LEFT(Database!HRD2,3)</f>
        <v/>
      </c>
      <c r="HQL2" t="str">
        <f>LEFT(Database!HRE2,3)</f>
        <v/>
      </c>
      <c r="HQM2" t="str">
        <f>LEFT(Database!HRF2,3)</f>
        <v/>
      </c>
      <c r="HQN2" t="str">
        <f>LEFT(Database!HRG2,3)</f>
        <v/>
      </c>
      <c r="HQO2" t="str">
        <f>LEFT(Database!HRH2,3)</f>
        <v/>
      </c>
      <c r="HQP2" t="str">
        <f>LEFT(Database!HRI2,3)</f>
        <v/>
      </c>
      <c r="HQQ2" t="str">
        <f>LEFT(Database!HRJ2,3)</f>
        <v/>
      </c>
      <c r="HQR2" t="str">
        <f>LEFT(Database!HRK2,3)</f>
        <v/>
      </c>
      <c r="HQS2" t="str">
        <f>LEFT(Database!HRL2,3)</f>
        <v/>
      </c>
      <c r="HQT2" t="str">
        <f>LEFT(Database!HRM2,3)</f>
        <v/>
      </c>
      <c r="HQU2" t="str">
        <f>LEFT(Database!HRN2,3)</f>
        <v/>
      </c>
      <c r="HQV2" t="str">
        <f>LEFT(Database!HRO2,3)</f>
        <v/>
      </c>
      <c r="HQW2" t="str">
        <f>LEFT(Database!HRP2,3)</f>
        <v/>
      </c>
      <c r="HQX2" t="str">
        <f>LEFT(Database!HRQ2,3)</f>
        <v/>
      </c>
      <c r="HQY2" t="str">
        <f>LEFT(Database!HRR2,3)</f>
        <v/>
      </c>
      <c r="HQZ2" t="str">
        <f>LEFT(Database!HRS2,3)</f>
        <v/>
      </c>
      <c r="HRA2" t="str">
        <f>LEFT(Database!HRT2,3)</f>
        <v/>
      </c>
      <c r="HRB2" t="str">
        <f>LEFT(Database!HRU2,3)</f>
        <v/>
      </c>
      <c r="HRC2" t="str">
        <f>LEFT(Database!HRV2,3)</f>
        <v/>
      </c>
      <c r="HRD2" t="str">
        <f>LEFT(Database!HRW2,3)</f>
        <v/>
      </c>
      <c r="HRE2" t="str">
        <f>LEFT(Database!HRX2,3)</f>
        <v/>
      </c>
      <c r="HRF2" t="str">
        <f>LEFT(Database!HRY2,3)</f>
        <v/>
      </c>
      <c r="HRG2" t="str">
        <f>LEFT(Database!HRZ2,3)</f>
        <v/>
      </c>
      <c r="HRH2" t="str">
        <f>LEFT(Database!HSA2,3)</f>
        <v/>
      </c>
      <c r="HRI2" t="str">
        <f>LEFT(Database!HSB2,3)</f>
        <v/>
      </c>
      <c r="HRJ2" t="str">
        <f>LEFT(Database!HSC2,3)</f>
        <v/>
      </c>
      <c r="HRK2" t="str">
        <f>LEFT(Database!HSD2,3)</f>
        <v/>
      </c>
      <c r="HRL2" t="str">
        <f>LEFT(Database!HSE2,3)</f>
        <v/>
      </c>
      <c r="HRM2" t="str">
        <f>LEFT(Database!HSF2,3)</f>
        <v/>
      </c>
      <c r="HRN2" t="str">
        <f>LEFT(Database!HSG2,3)</f>
        <v/>
      </c>
      <c r="HRO2" t="str">
        <f>LEFT(Database!HSH2,3)</f>
        <v/>
      </c>
      <c r="HRP2" t="str">
        <f>LEFT(Database!HSI2,3)</f>
        <v/>
      </c>
      <c r="HRQ2" t="str">
        <f>LEFT(Database!HSJ2,3)</f>
        <v/>
      </c>
      <c r="HRR2" t="str">
        <f>LEFT(Database!HSK2,3)</f>
        <v/>
      </c>
      <c r="HRS2" t="str">
        <f>LEFT(Database!HSL2,3)</f>
        <v/>
      </c>
      <c r="HRT2" t="str">
        <f>LEFT(Database!HSM2,3)</f>
        <v/>
      </c>
      <c r="HRU2" t="str">
        <f>LEFT(Database!HSN2,3)</f>
        <v/>
      </c>
      <c r="HRV2" t="str">
        <f>LEFT(Database!HSO2,3)</f>
        <v/>
      </c>
      <c r="HRW2" t="str">
        <f>LEFT(Database!HSP2,3)</f>
        <v/>
      </c>
      <c r="HRX2" t="str">
        <f>LEFT(Database!HSQ2,3)</f>
        <v/>
      </c>
      <c r="HRY2" t="str">
        <f>LEFT(Database!HSR2,3)</f>
        <v/>
      </c>
      <c r="HRZ2" t="str">
        <f>LEFT(Database!HSS2,3)</f>
        <v/>
      </c>
      <c r="HSA2" t="str">
        <f>LEFT(Database!HST2,3)</f>
        <v/>
      </c>
      <c r="HSB2" t="str">
        <f>LEFT(Database!HSU2,3)</f>
        <v/>
      </c>
      <c r="HSC2" t="str">
        <f>LEFT(Database!HSV2,3)</f>
        <v/>
      </c>
      <c r="HSD2" t="str">
        <f>LEFT(Database!HSW2,3)</f>
        <v/>
      </c>
      <c r="HSE2" t="str">
        <f>LEFT(Database!HSX2,3)</f>
        <v/>
      </c>
      <c r="HSF2" t="str">
        <f>LEFT(Database!HSY2,3)</f>
        <v/>
      </c>
      <c r="HSG2" t="str">
        <f>LEFT(Database!HSZ2,3)</f>
        <v/>
      </c>
      <c r="HSH2" t="str">
        <f>LEFT(Database!HTA2,3)</f>
        <v/>
      </c>
      <c r="HSI2" t="str">
        <f>LEFT(Database!HTB2,3)</f>
        <v/>
      </c>
      <c r="HSJ2" t="str">
        <f>LEFT(Database!HTC2,3)</f>
        <v/>
      </c>
      <c r="HSK2" t="str">
        <f>LEFT(Database!HTD2,3)</f>
        <v/>
      </c>
      <c r="HSL2" t="str">
        <f>LEFT(Database!HTE2,3)</f>
        <v/>
      </c>
      <c r="HSM2" t="str">
        <f>LEFT(Database!HTF2,3)</f>
        <v/>
      </c>
      <c r="HSN2" t="str">
        <f>LEFT(Database!HTG2,3)</f>
        <v/>
      </c>
      <c r="HSO2" t="str">
        <f>LEFT(Database!HTH2,3)</f>
        <v/>
      </c>
      <c r="HSP2" t="str">
        <f>LEFT(Database!HTI2,3)</f>
        <v/>
      </c>
      <c r="HSQ2" t="str">
        <f>LEFT(Database!HTJ2,3)</f>
        <v/>
      </c>
      <c r="HSR2" t="str">
        <f>LEFT(Database!HTK2,3)</f>
        <v/>
      </c>
      <c r="HSS2" t="str">
        <f>LEFT(Database!HTL2,3)</f>
        <v/>
      </c>
      <c r="HST2" t="str">
        <f>LEFT(Database!HTM2,3)</f>
        <v/>
      </c>
      <c r="HSU2" t="str">
        <f>LEFT(Database!HTN2,3)</f>
        <v/>
      </c>
      <c r="HSV2" t="str">
        <f>LEFT(Database!HTO2,3)</f>
        <v/>
      </c>
      <c r="HSW2" t="str">
        <f>LEFT(Database!HTP2,3)</f>
        <v/>
      </c>
      <c r="HSX2" t="str">
        <f>LEFT(Database!HTQ2,3)</f>
        <v/>
      </c>
      <c r="HSY2" t="str">
        <f>LEFT(Database!HTR2,3)</f>
        <v/>
      </c>
      <c r="HSZ2" t="str">
        <f>LEFT(Database!HTS2,3)</f>
        <v/>
      </c>
      <c r="HTA2" t="str">
        <f>LEFT(Database!HTT2,3)</f>
        <v/>
      </c>
      <c r="HTB2" t="str">
        <f>LEFT(Database!HTU2,3)</f>
        <v/>
      </c>
      <c r="HTC2" t="str">
        <f>LEFT(Database!HTV2,3)</f>
        <v/>
      </c>
      <c r="HTD2" t="str">
        <f>LEFT(Database!HTW2,3)</f>
        <v/>
      </c>
      <c r="HTE2" t="str">
        <f>LEFT(Database!HTX2,3)</f>
        <v/>
      </c>
      <c r="HTF2" t="str">
        <f>LEFT(Database!HTY2,3)</f>
        <v/>
      </c>
      <c r="HTG2" t="str">
        <f>LEFT(Database!HTZ2,3)</f>
        <v/>
      </c>
      <c r="HTH2" t="str">
        <f>LEFT(Database!HUA2,3)</f>
        <v/>
      </c>
      <c r="HTI2" t="str">
        <f>LEFT(Database!HUB2,3)</f>
        <v/>
      </c>
      <c r="HTJ2" t="str">
        <f>LEFT(Database!HUC2,3)</f>
        <v/>
      </c>
      <c r="HTK2" t="str">
        <f>LEFT(Database!HUD2,3)</f>
        <v/>
      </c>
      <c r="HTL2" t="str">
        <f>LEFT(Database!HUE2,3)</f>
        <v/>
      </c>
      <c r="HTM2" t="str">
        <f>LEFT(Database!HUF2,3)</f>
        <v/>
      </c>
      <c r="HTN2" t="str">
        <f>LEFT(Database!HUG2,3)</f>
        <v/>
      </c>
      <c r="HTO2" t="str">
        <f>LEFT(Database!HUH2,3)</f>
        <v/>
      </c>
      <c r="HTP2" t="str">
        <f>LEFT(Database!HUI2,3)</f>
        <v/>
      </c>
      <c r="HTQ2" t="str">
        <f>LEFT(Database!HUJ2,3)</f>
        <v/>
      </c>
      <c r="HTR2" t="str">
        <f>LEFT(Database!HUK2,3)</f>
        <v/>
      </c>
      <c r="HTS2" t="str">
        <f>LEFT(Database!HUL2,3)</f>
        <v/>
      </c>
      <c r="HTT2" t="str">
        <f>LEFT(Database!HUM2,3)</f>
        <v/>
      </c>
      <c r="HTU2" t="str">
        <f>LEFT(Database!HUN2,3)</f>
        <v/>
      </c>
      <c r="HTV2" t="str">
        <f>LEFT(Database!HUO2,3)</f>
        <v/>
      </c>
      <c r="HTW2" t="str">
        <f>LEFT(Database!HUP2,3)</f>
        <v/>
      </c>
      <c r="HTX2" t="str">
        <f>LEFT(Database!HUQ2,3)</f>
        <v/>
      </c>
      <c r="HTY2" t="str">
        <f>LEFT(Database!HUR2,3)</f>
        <v/>
      </c>
      <c r="HTZ2" t="str">
        <f>LEFT(Database!HUS2,3)</f>
        <v/>
      </c>
      <c r="HUA2" t="str">
        <f>LEFT(Database!HUT2,3)</f>
        <v/>
      </c>
      <c r="HUB2" t="str">
        <f>LEFT(Database!HUU2,3)</f>
        <v/>
      </c>
      <c r="HUC2" t="str">
        <f>LEFT(Database!HUV2,3)</f>
        <v/>
      </c>
      <c r="HUD2" t="str">
        <f>LEFT(Database!HUW2,3)</f>
        <v/>
      </c>
      <c r="HUE2" t="str">
        <f>LEFT(Database!HUX2,3)</f>
        <v/>
      </c>
      <c r="HUF2" t="str">
        <f>LEFT(Database!HUY2,3)</f>
        <v/>
      </c>
      <c r="HUG2" t="str">
        <f>LEFT(Database!HUZ2,3)</f>
        <v/>
      </c>
      <c r="HUH2" t="str">
        <f>LEFT(Database!HVA2,3)</f>
        <v/>
      </c>
      <c r="HUI2" t="str">
        <f>LEFT(Database!HVB2,3)</f>
        <v/>
      </c>
      <c r="HUJ2" t="str">
        <f>LEFT(Database!HVC2,3)</f>
        <v/>
      </c>
      <c r="HUK2" t="str">
        <f>LEFT(Database!HVD2,3)</f>
        <v/>
      </c>
      <c r="HUL2" t="str">
        <f>LEFT(Database!HVE2,3)</f>
        <v/>
      </c>
      <c r="HUM2" t="str">
        <f>LEFT(Database!HVF2,3)</f>
        <v/>
      </c>
      <c r="HUN2" t="str">
        <f>LEFT(Database!HVG2,3)</f>
        <v/>
      </c>
      <c r="HUO2" t="str">
        <f>LEFT(Database!HVH2,3)</f>
        <v/>
      </c>
      <c r="HUP2" t="str">
        <f>LEFT(Database!HVI2,3)</f>
        <v/>
      </c>
      <c r="HUQ2" t="str">
        <f>LEFT(Database!HVJ2,3)</f>
        <v/>
      </c>
      <c r="HUR2" t="str">
        <f>LEFT(Database!HVK2,3)</f>
        <v/>
      </c>
      <c r="HUS2" t="str">
        <f>LEFT(Database!HVL2,3)</f>
        <v/>
      </c>
      <c r="HUT2" t="str">
        <f>LEFT(Database!HVM2,3)</f>
        <v/>
      </c>
      <c r="HUU2" t="str">
        <f>LEFT(Database!HVN2,3)</f>
        <v/>
      </c>
      <c r="HUV2" t="str">
        <f>LEFT(Database!HVO2,3)</f>
        <v/>
      </c>
      <c r="HUW2" t="str">
        <f>LEFT(Database!HVP2,3)</f>
        <v/>
      </c>
      <c r="HUX2" t="str">
        <f>LEFT(Database!HVQ2,3)</f>
        <v/>
      </c>
      <c r="HUY2" t="str">
        <f>LEFT(Database!HVR2,3)</f>
        <v/>
      </c>
      <c r="HUZ2" t="str">
        <f>LEFT(Database!HVS2,3)</f>
        <v/>
      </c>
      <c r="HVA2" t="str">
        <f>LEFT(Database!HVT2,3)</f>
        <v/>
      </c>
      <c r="HVB2" t="str">
        <f>LEFT(Database!HVU2,3)</f>
        <v/>
      </c>
      <c r="HVC2" t="str">
        <f>LEFT(Database!HVV2,3)</f>
        <v/>
      </c>
      <c r="HVD2" t="str">
        <f>LEFT(Database!HVW2,3)</f>
        <v/>
      </c>
      <c r="HVE2" t="str">
        <f>LEFT(Database!HVX2,3)</f>
        <v/>
      </c>
      <c r="HVF2" t="str">
        <f>LEFT(Database!HVY2,3)</f>
        <v/>
      </c>
      <c r="HVG2" t="str">
        <f>LEFT(Database!HVZ2,3)</f>
        <v/>
      </c>
      <c r="HVH2" t="str">
        <f>LEFT(Database!HWA2,3)</f>
        <v/>
      </c>
      <c r="HVI2" t="str">
        <f>LEFT(Database!HWB2,3)</f>
        <v/>
      </c>
      <c r="HVJ2" t="str">
        <f>LEFT(Database!HWC2,3)</f>
        <v/>
      </c>
      <c r="HVK2" t="str">
        <f>LEFT(Database!HWD2,3)</f>
        <v/>
      </c>
      <c r="HVL2" t="str">
        <f>LEFT(Database!HWE2,3)</f>
        <v/>
      </c>
      <c r="HVM2" t="str">
        <f>LEFT(Database!HWF2,3)</f>
        <v/>
      </c>
      <c r="HVN2" t="str">
        <f>LEFT(Database!HWG2,3)</f>
        <v/>
      </c>
      <c r="HVO2" t="str">
        <f>LEFT(Database!HWH2,3)</f>
        <v/>
      </c>
      <c r="HVP2" t="str">
        <f>LEFT(Database!HWI2,3)</f>
        <v/>
      </c>
      <c r="HVQ2" t="str">
        <f>LEFT(Database!HWJ2,3)</f>
        <v/>
      </c>
      <c r="HVR2" t="str">
        <f>LEFT(Database!HWK2,3)</f>
        <v/>
      </c>
      <c r="HVS2" t="str">
        <f>LEFT(Database!HWL2,3)</f>
        <v/>
      </c>
      <c r="HVT2" t="str">
        <f>LEFT(Database!HWM2,3)</f>
        <v/>
      </c>
      <c r="HVU2" t="str">
        <f>LEFT(Database!HWN2,3)</f>
        <v/>
      </c>
      <c r="HVV2" t="str">
        <f>LEFT(Database!HWO2,3)</f>
        <v/>
      </c>
      <c r="HVW2" t="str">
        <f>LEFT(Database!HWP2,3)</f>
        <v/>
      </c>
      <c r="HVX2" t="str">
        <f>LEFT(Database!HWQ2,3)</f>
        <v/>
      </c>
      <c r="HVY2" t="str">
        <f>LEFT(Database!HWR2,3)</f>
        <v/>
      </c>
      <c r="HVZ2" t="str">
        <f>LEFT(Database!HWS2,3)</f>
        <v/>
      </c>
      <c r="HWA2" t="str">
        <f>LEFT(Database!HWT2,3)</f>
        <v/>
      </c>
      <c r="HWB2" t="str">
        <f>LEFT(Database!HWU2,3)</f>
        <v/>
      </c>
      <c r="HWC2" t="str">
        <f>LEFT(Database!HWV2,3)</f>
        <v/>
      </c>
      <c r="HWD2" t="str">
        <f>LEFT(Database!HWW2,3)</f>
        <v/>
      </c>
      <c r="HWE2" t="str">
        <f>LEFT(Database!HWX2,3)</f>
        <v/>
      </c>
      <c r="HWF2" t="str">
        <f>LEFT(Database!HWY2,3)</f>
        <v/>
      </c>
      <c r="HWG2" t="str">
        <f>LEFT(Database!HWZ2,3)</f>
        <v/>
      </c>
      <c r="HWH2" t="str">
        <f>LEFT(Database!HXA2,3)</f>
        <v/>
      </c>
      <c r="HWI2" t="str">
        <f>LEFT(Database!HXB2,3)</f>
        <v/>
      </c>
      <c r="HWJ2" t="str">
        <f>LEFT(Database!HXC2,3)</f>
        <v/>
      </c>
      <c r="HWK2" t="str">
        <f>LEFT(Database!HXD2,3)</f>
        <v/>
      </c>
      <c r="HWL2" t="str">
        <f>LEFT(Database!HXE2,3)</f>
        <v/>
      </c>
      <c r="HWM2" t="str">
        <f>LEFT(Database!HXF2,3)</f>
        <v/>
      </c>
      <c r="HWN2" t="str">
        <f>LEFT(Database!HXG2,3)</f>
        <v/>
      </c>
      <c r="HWO2" t="str">
        <f>LEFT(Database!HXH2,3)</f>
        <v/>
      </c>
      <c r="HWP2" t="str">
        <f>LEFT(Database!HXI2,3)</f>
        <v/>
      </c>
      <c r="HWQ2" t="str">
        <f>LEFT(Database!HXJ2,3)</f>
        <v/>
      </c>
      <c r="HWR2" t="str">
        <f>LEFT(Database!HXK2,3)</f>
        <v/>
      </c>
      <c r="HWS2" t="str">
        <f>LEFT(Database!HXL2,3)</f>
        <v/>
      </c>
      <c r="HWT2" t="str">
        <f>LEFT(Database!HXM2,3)</f>
        <v/>
      </c>
      <c r="HWU2" t="str">
        <f>LEFT(Database!HXN2,3)</f>
        <v/>
      </c>
      <c r="HWV2" t="str">
        <f>LEFT(Database!HXO2,3)</f>
        <v/>
      </c>
      <c r="HWW2" t="str">
        <f>LEFT(Database!HXP2,3)</f>
        <v/>
      </c>
      <c r="HWX2" t="str">
        <f>LEFT(Database!HXQ2,3)</f>
        <v/>
      </c>
      <c r="HWY2" t="str">
        <f>LEFT(Database!HXR2,3)</f>
        <v/>
      </c>
      <c r="HWZ2" t="str">
        <f>LEFT(Database!HXS2,3)</f>
        <v/>
      </c>
      <c r="HXA2" t="str">
        <f>LEFT(Database!HXT2,3)</f>
        <v/>
      </c>
      <c r="HXB2" t="str">
        <f>LEFT(Database!HXU2,3)</f>
        <v/>
      </c>
      <c r="HXC2" t="str">
        <f>LEFT(Database!HXV2,3)</f>
        <v/>
      </c>
      <c r="HXD2" t="str">
        <f>LEFT(Database!HXW2,3)</f>
        <v/>
      </c>
      <c r="HXE2" t="str">
        <f>LEFT(Database!HXX2,3)</f>
        <v/>
      </c>
      <c r="HXF2" t="str">
        <f>LEFT(Database!HXY2,3)</f>
        <v/>
      </c>
      <c r="HXG2" t="str">
        <f>LEFT(Database!HXZ2,3)</f>
        <v/>
      </c>
      <c r="HXH2" t="str">
        <f>LEFT(Database!HYA2,3)</f>
        <v/>
      </c>
      <c r="HXI2" t="str">
        <f>LEFT(Database!HYB2,3)</f>
        <v/>
      </c>
      <c r="HXJ2" t="str">
        <f>LEFT(Database!HYC2,3)</f>
        <v/>
      </c>
      <c r="HXK2" t="str">
        <f>LEFT(Database!HYD2,3)</f>
        <v/>
      </c>
      <c r="HXL2" t="str">
        <f>LEFT(Database!HYE2,3)</f>
        <v/>
      </c>
      <c r="HXM2" t="str">
        <f>LEFT(Database!HYF2,3)</f>
        <v/>
      </c>
      <c r="HXN2" t="str">
        <f>LEFT(Database!HYG2,3)</f>
        <v/>
      </c>
      <c r="HXO2" t="str">
        <f>LEFT(Database!HYH2,3)</f>
        <v/>
      </c>
      <c r="HXP2" t="str">
        <f>LEFT(Database!HYI2,3)</f>
        <v/>
      </c>
      <c r="HXQ2" t="str">
        <f>LEFT(Database!HYJ2,3)</f>
        <v/>
      </c>
      <c r="HXR2" t="str">
        <f>LEFT(Database!HYK2,3)</f>
        <v/>
      </c>
      <c r="HXS2" t="str">
        <f>LEFT(Database!HYL2,3)</f>
        <v/>
      </c>
      <c r="HXT2" t="str">
        <f>LEFT(Database!HYM2,3)</f>
        <v/>
      </c>
      <c r="HXU2" t="str">
        <f>LEFT(Database!HYN2,3)</f>
        <v/>
      </c>
      <c r="HXV2" t="str">
        <f>LEFT(Database!HYO2,3)</f>
        <v/>
      </c>
      <c r="HXW2" t="str">
        <f>LEFT(Database!HYP2,3)</f>
        <v/>
      </c>
      <c r="HXX2" t="str">
        <f>LEFT(Database!HYQ2,3)</f>
        <v/>
      </c>
      <c r="HXY2" t="str">
        <f>LEFT(Database!HYR2,3)</f>
        <v/>
      </c>
      <c r="HXZ2" t="str">
        <f>LEFT(Database!HYS2,3)</f>
        <v/>
      </c>
      <c r="HYA2" t="str">
        <f>LEFT(Database!HYT2,3)</f>
        <v/>
      </c>
      <c r="HYB2" t="str">
        <f>LEFT(Database!HYU2,3)</f>
        <v/>
      </c>
      <c r="HYC2" t="str">
        <f>LEFT(Database!HYV2,3)</f>
        <v/>
      </c>
      <c r="HYD2" t="str">
        <f>LEFT(Database!HYW2,3)</f>
        <v/>
      </c>
      <c r="HYE2" t="str">
        <f>LEFT(Database!HYX2,3)</f>
        <v/>
      </c>
      <c r="HYF2" t="str">
        <f>LEFT(Database!HYY2,3)</f>
        <v/>
      </c>
      <c r="HYG2" t="str">
        <f>LEFT(Database!HYZ2,3)</f>
        <v/>
      </c>
      <c r="HYH2" t="str">
        <f>LEFT(Database!HZA2,3)</f>
        <v/>
      </c>
      <c r="HYI2" t="str">
        <f>LEFT(Database!HZB2,3)</f>
        <v/>
      </c>
      <c r="HYJ2" t="str">
        <f>LEFT(Database!HZC2,3)</f>
        <v/>
      </c>
      <c r="HYK2" t="str">
        <f>LEFT(Database!HZD2,3)</f>
        <v/>
      </c>
      <c r="HYL2" t="str">
        <f>LEFT(Database!HZE2,3)</f>
        <v/>
      </c>
      <c r="HYM2" t="str">
        <f>LEFT(Database!HZF2,3)</f>
        <v/>
      </c>
      <c r="HYN2" t="str">
        <f>LEFT(Database!HZG2,3)</f>
        <v/>
      </c>
      <c r="HYO2" t="str">
        <f>LEFT(Database!HZH2,3)</f>
        <v/>
      </c>
      <c r="HYP2" t="str">
        <f>LEFT(Database!HZI2,3)</f>
        <v/>
      </c>
      <c r="HYQ2" t="str">
        <f>LEFT(Database!HZJ2,3)</f>
        <v/>
      </c>
      <c r="HYR2" t="str">
        <f>LEFT(Database!HZK2,3)</f>
        <v/>
      </c>
      <c r="HYS2" t="str">
        <f>LEFT(Database!HZL2,3)</f>
        <v/>
      </c>
      <c r="HYT2" t="str">
        <f>LEFT(Database!HZM2,3)</f>
        <v/>
      </c>
      <c r="HYU2" t="str">
        <f>LEFT(Database!HZN2,3)</f>
        <v/>
      </c>
      <c r="HYV2" t="str">
        <f>LEFT(Database!HZO2,3)</f>
        <v/>
      </c>
      <c r="HYW2" t="str">
        <f>LEFT(Database!HZP2,3)</f>
        <v/>
      </c>
      <c r="HYX2" t="str">
        <f>LEFT(Database!HZQ2,3)</f>
        <v/>
      </c>
      <c r="HYY2" t="str">
        <f>LEFT(Database!HZR2,3)</f>
        <v/>
      </c>
      <c r="HYZ2" t="str">
        <f>LEFT(Database!HZS2,3)</f>
        <v/>
      </c>
      <c r="HZA2" t="str">
        <f>LEFT(Database!HZT2,3)</f>
        <v/>
      </c>
      <c r="HZB2" t="str">
        <f>LEFT(Database!HZU2,3)</f>
        <v/>
      </c>
      <c r="HZC2" t="str">
        <f>LEFT(Database!HZV2,3)</f>
        <v/>
      </c>
      <c r="HZD2" t="str">
        <f>LEFT(Database!HZW2,3)</f>
        <v/>
      </c>
      <c r="HZE2" t="str">
        <f>LEFT(Database!HZX2,3)</f>
        <v/>
      </c>
      <c r="HZF2" t="str">
        <f>LEFT(Database!HZY2,3)</f>
        <v/>
      </c>
      <c r="HZG2" t="str">
        <f>LEFT(Database!HZZ2,3)</f>
        <v/>
      </c>
      <c r="HZH2" t="str">
        <f>LEFT(Database!IAA2,3)</f>
        <v/>
      </c>
      <c r="HZI2" t="str">
        <f>LEFT(Database!IAB2,3)</f>
        <v/>
      </c>
      <c r="HZJ2" t="str">
        <f>LEFT(Database!IAC2,3)</f>
        <v/>
      </c>
      <c r="HZK2" t="str">
        <f>LEFT(Database!IAD2,3)</f>
        <v/>
      </c>
      <c r="HZL2" t="str">
        <f>LEFT(Database!IAE2,3)</f>
        <v/>
      </c>
      <c r="HZM2" t="str">
        <f>LEFT(Database!IAF2,3)</f>
        <v/>
      </c>
      <c r="HZN2" t="str">
        <f>LEFT(Database!IAG2,3)</f>
        <v/>
      </c>
      <c r="HZO2" t="str">
        <f>LEFT(Database!IAH2,3)</f>
        <v/>
      </c>
      <c r="HZP2" t="str">
        <f>LEFT(Database!IAI2,3)</f>
        <v/>
      </c>
      <c r="HZQ2" t="str">
        <f>LEFT(Database!IAJ2,3)</f>
        <v/>
      </c>
      <c r="HZR2" t="str">
        <f>LEFT(Database!IAK2,3)</f>
        <v/>
      </c>
      <c r="HZS2" t="str">
        <f>LEFT(Database!IAL2,3)</f>
        <v/>
      </c>
      <c r="HZT2" t="str">
        <f>LEFT(Database!IAM2,3)</f>
        <v/>
      </c>
      <c r="HZU2" t="str">
        <f>LEFT(Database!IAN2,3)</f>
        <v/>
      </c>
      <c r="HZV2" t="str">
        <f>LEFT(Database!IAO2,3)</f>
        <v/>
      </c>
      <c r="HZW2" t="str">
        <f>LEFT(Database!IAP2,3)</f>
        <v/>
      </c>
      <c r="HZX2" t="str">
        <f>LEFT(Database!IAQ2,3)</f>
        <v/>
      </c>
      <c r="HZY2" t="str">
        <f>LEFT(Database!IAR2,3)</f>
        <v/>
      </c>
      <c r="HZZ2" t="str">
        <f>LEFT(Database!IAS2,3)</f>
        <v/>
      </c>
      <c r="IAA2" t="str">
        <f>LEFT(Database!IAT2,3)</f>
        <v/>
      </c>
      <c r="IAB2" t="str">
        <f>LEFT(Database!IAU2,3)</f>
        <v/>
      </c>
      <c r="IAC2" t="str">
        <f>LEFT(Database!IAV2,3)</f>
        <v/>
      </c>
      <c r="IAD2" t="str">
        <f>LEFT(Database!IAW2,3)</f>
        <v/>
      </c>
      <c r="IAE2" t="str">
        <f>LEFT(Database!IAX2,3)</f>
        <v/>
      </c>
      <c r="IAF2" t="str">
        <f>LEFT(Database!IAY2,3)</f>
        <v/>
      </c>
      <c r="IAG2" t="str">
        <f>LEFT(Database!IAZ2,3)</f>
        <v/>
      </c>
      <c r="IAH2" t="str">
        <f>LEFT(Database!IBA2,3)</f>
        <v/>
      </c>
      <c r="IAI2" t="str">
        <f>LEFT(Database!IBB2,3)</f>
        <v/>
      </c>
      <c r="IAJ2" t="str">
        <f>LEFT(Database!IBC2,3)</f>
        <v/>
      </c>
      <c r="IAK2" t="str">
        <f>LEFT(Database!IBD2,3)</f>
        <v/>
      </c>
      <c r="IAL2" t="str">
        <f>LEFT(Database!IBE2,3)</f>
        <v/>
      </c>
      <c r="IAM2" t="str">
        <f>LEFT(Database!IBF2,3)</f>
        <v/>
      </c>
      <c r="IAN2" t="str">
        <f>LEFT(Database!IBG2,3)</f>
        <v/>
      </c>
      <c r="IAO2" t="str">
        <f>LEFT(Database!IBH2,3)</f>
        <v/>
      </c>
      <c r="IAP2" t="str">
        <f>LEFT(Database!IBI2,3)</f>
        <v/>
      </c>
      <c r="IAQ2" t="str">
        <f>LEFT(Database!IBJ2,3)</f>
        <v/>
      </c>
      <c r="IAR2" t="str">
        <f>LEFT(Database!IBK2,3)</f>
        <v/>
      </c>
      <c r="IAS2" t="str">
        <f>LEFT(Database!IBL2,3)</f>
        <v/>
      </c>
      <c r="IAT2" t="str">
        <f>LEFT(Database!IBM2,3)</f>
        <v/>
      </c>
      <c r="IAU2" t="str">
        <f>LEFT(Database!IBN2,3)</f>
        <v/>
      </c>
      <c r="IAV2" t="str">
        <f>LEFT(Database!IBO2,3)</f>
        <v/>
      </c>
      <c r="IAW2" t="str">
        <f>LEFT(Database!IBP2,3)</f>
        <v/>
      </c>
      <c r="IAX2" t="str">
        <f>LEFT(Database!IBQ2,3)</f>
        <v/>
      </c>
      <c r="IAY2" t="str">
        <f>LEFT(Database!IBR2,3)</f>
        <v/>
      </c>
      <c r="IAZ2" t="str">
        <f>LEFT(Database!IBS2,3)</f>
        <v/>
      </c>
      <c r="IBA2" t="str">
        <f>LEFT(Database!IBT2,3)</f>
        <v/>
      </c>
      <c r="IBB2" t="str">
        <f>LEFT(Database!IBU2,3)</f>
        <v/>
      </c>
      <c r="IBC2" t="str">
        <f>LEFT(Database!IBV2,3)</f>
        <v/>
      </c>
      <c r="IBD2" t="str">
        <f>LEFT(Database!IBW2,3)</f>
        <v/>
      </c>
      <c r="IBE2" t="str">
        <f>LEFT(Database!IBX2,3)</f>
        <v/>
      </c>
      <c r="IBF2" t="str">
        <f>LEFT(Database!IBY2,3)</f>
        <v/>
      </c>
      <c r="IBG2" t="str">
        <f>LEFT(Database!IBZ2,3)</f>
        <v/>
      </c>
      <c r="IBH2" t="str">
        <f>LEFT(Database!ICA2,3)</f>
        <v/>
      </c>
      <c r="IBI2" t="str">
        <f>LEFT(Database!ICB2,3)</f>
        <v/>
      </c>
      <c r="IBJ2" t="str">
        <f>LEFT(Database!ICC2,3)</f>
        <v/>
      </c>
      <c r="IBK2" t="str">
        <f>LEFT(Database!ICD2,3)</f>
        <v/>
      </c>
      <c r="IBL2" t="str">
        <f>LEFT(Database!ICE2,3)</f>
        <v/>
      </c>
      <c r="IBM2" t="str">
        <f>LEFT(Database!ICF2,3)</f>
        <v/>
      </c>
      <c r="IBN2" t="str">
        <f>LEFT(Database!ICG2,3)</f>
        <v/>
      </c>
      <c r="IBO2" t="str">
        <f>LEFT(Database!ICH2,3)</f>
        <v/>
      </c>
      <c r="IBP2" t="str">
        <f>LEFT(Database!ICI2,3)</f>
        <v/>
      </c>
      <c r="IBQ2" t="str">
        <f>LEFT(Database!ICJ2,3)</f>
        <v/>
      </c>
      <c r="IBR2" t="str">
        <f>LEFT(Database!ICK2,3)</f>
        <v/>
      </c>
      <c r="IBS2" t="str">
        <f>LEFT(Database!ICL2,3)</f>
        <v/>
      </c>
      <c r="IBT2" t="str">
        <f>LEFT(Database!ICM2,3)</f>
        <v/>
      </c>
      <c r="IBU2" t="str">
        <f>LEFT(Database!ICN2,3)</f>
        <v/>
      </c>
      <c r="IBV2" t="str">
        <f>LEFT(Database!ICO2,3)</f>
        <v/>
      </c>
      <c r="IBW2" t="str">
        <f>LEFT(Database!ICP2,3)</f>
        <v/>
      </c>
      <c r="IBX2" t="str">
        <f>LEFT(Database!ICQ2,3)</f>
        <v/>
      </c>
      <c r="IBY2" t="str">
        <f>LEFT(Database!ICR2,3)</f>
        <v/>
      </c>
      <c r="IBZ2" t="str">
        <f>LEFT(Database!ICS2,3)</f>
        <v/>
      </c>
      <c r="ICA2" t="str">
        <f>LEFT(Database!ICT2,3)</f>
        <v/>
      </c>
      <c r="ICB2" t="str">
        <f>LEFT(Database!ICU2,3)</f>
        <v/>
      </c>
      <c r="ICC2" t="str">
        <f>LEFT(Database!ICV2,3)</f>
        <v/>
      </c>
      <c r="ICD2" t="str">
        <f>LEFT(Database!ICW2,3)</f>
        <v/>
      </c>
      <c r="ICE2" t="str">
        <f>LEFT(Database!ICX2,3)</f>
        <v/>
      </c>
      <c r="ICF2" t="str">
        <f>LEFT(Database!ICY2,3)</f>
        <v/>
      </c>
      <c r="ICG2" t="str">
        <f>LEFT(Database!ICZ2,3)</f>
        <v/>
      </c>
      <c r="ICH2" t="str">
        <f>LEFT(Database!IDA2,3)</f>
        <v/>
      </c>
      <c r="ICI2" t="str">
        <f>LEFT(Database!IDB2,3)</f>
        <v/>
      </c>
      <c r="ICJ2" t="str">
        <f>LEFT(Database!IDC2,3)</f>
        <v/>
      </c>
      <c r="ICK2" t="str">
        <f>LEFT(Database!IDD2,3)</f>
        <v/>
      </c>
      <c r="ICL2" t="str">
        <f>LEFT(Database!IDE2,3)</f>
        <v/>
      </c>
      <c r="ICM2" t="str">
        <f>LEFT(Database!IDF2,3)</f>
        <v/>
      </c>
      <c r="ICN2" t="str">
        <f>LEFT(Database!IDG2,3)</f>
        <v/>
      </c>
      <c r="ICO2" t="str">
        <f>LEFT(Database!IDH2,3)</f>
        <v/>
      </c>
      <c r="ICP2" t="str">
        <f>LEFT(Database!IDI2,3)</f>
        <v/>
      </c>
      <c r="ICQ2" t="str">
        <f>LEFT(Database!IDJ2,3)</f>
        <v/>
      </c>
      <c r="ICR2" t="str">
        <f>LEFT(Database!IDK2,3)</f>
        <v/>
      </c>
      <c r="ICS2" t="str">
        <f>LEFT(Database!IDL2,3)</f>
        <v/>
      </c>
      <c r="ICT2" t="str">
        <f>LEFT(Database!IDM2,3)</f>
        <v/>
      </c>
      <c r="ICU2" t="str">
        <f>LEFT(Database!IDN2,3)</f>
        <v/>
      </c>
      <c r="ICV2" t="str">
        <f>LEFT(Database!IDO2,3)</f>
        <v/>
      </c>
      <c r="ICW2" t="str">
        <f>LEFT(Database!IDP2,3)</f>
        <v/>
      </c>
      <c r="ICX2" t="str">
        <f>LEFT(Database!IDQ2,3)</f>
        <v/>
      </c>
      <c r="ICY2" t="str">
        <f>LEFT(Database!IDR2,3)</f>
        <v/>
      </c>
      <c r="ICZ2" t="str">
        <f>LEFT(Database!IDS2,3)</f>
        <v/>
      </c>
      <c r="IDA2" t="str">
        <f>LEFT(Database!IDT2,3)</f>
        <v/>
      </c>
      <c r="IDB2" t="str">
        <f>LEFT(Database!IDU2,3)</f>
        <v/>
      </c>
      <c r="IDC2" t="str">
        <f>LEFT(Database!IDV2,3)</f>
        <v/>
      </c>
      <c r="IDD2" t="str">
        <f>LEFT(Database!IDW2,3)</f>
        <v/>
      </c>
      <c r="IDE2" t="str">
        <f>LEFT(Database!IDX2,3)</f>
        <v/>
      </c>
      <c r="IDF2" t="str">
        <f>LEFT(Database!IDY2,3)</f>
        <v/>
      </c>
      <c r="IDG2" t="str">
        <f>LEFT(Database!IDZ2,3)</f>
        <v/>
      </c>
      <c r="IDH2" t="str">
        <f>LEFT(Database!IEA2,3)</f>
        <v/>
      </c>
      <c r="IDI2" t="str">
        <f>LEFT(Database!IEB2,3)</f>
        <v/>
      </c>
      <c r="IDJ2" t="str">
        <f>LEFT(Database!IEC2,3)</f>
        <v/>
      </c>
      <c r="IDK2" t="str">
        <f>LEFT(Database!IED2,3)</f>
        <v/>
      </c>
      <c r="IDL2" t="str">
        <f>LEFT(Database!IEE2,3)</f>
        <v/>
      </c>
      <c r="IDM2" t="str">
        <f>LEFT(Database!IEF2,3)</f>
        <v/>
      </c>
      <c r="IDN2" t="str">
        <f>LEFT(Database!IEG2,3)</f>
        <v/>
      </c>
      <c r="IDO2" t="str">
        <f>LEFT(Database!IEH2,3)</f>
        <v/>
      </c>
      <c r="IDP2" t="str">
        <f>LEFT(Database!IEI2,3)</f>
        <v/>
      </c>
      <c r="IDQ2" t="str">
        <f>LEFT(Database!IEJ2,3)</f>
        <v/>
      </c>
      <c r="IDR2" t="str">
        <f>LEFT(Database!IEK2,3)</f>
        <v/>
      </c>
      <c r="IDS2" t="str">
        <f>LEFT(Database!IEL2,3)</f>
        <v/>
      </c>
      <c r="IDT2" t="str">
        <f>LEFT(Database!IEM2,3)</f>
        <v/>
      </c>
      <c r="IDU2" t="str">
        <f>LEFT(Database!IEN2,3)</f>
        <v/>
      </c>
      <c r="IDV2" t="str">
        <f>LEFT(Database!IEO2,3)</f>
        <v/>
      </c>
      <c r="IDW2" t="str">
        <f>LEFT(Database!IEP2,3)</f>
        <v/>
      </c>
      <c r="IDX2" t="str">
        <f>LEFT(Database!IEQ2,3)</f>
        <v/>
      </c>
      <c r="IDY2" t="str">
        <f>LEFT(Database!IER2,3)</f>
        <v/>
      </c>
      <c r="IDZ2" t="str">
        <f>LEFT(Database!IES2,3)</f>
        <v/>
      </c>
      <c r="IEA2" t="str">
        <f>LEFT(Database!IET2,3)</f>
        <v/>
      </c>
      <c r="IEB2" t="str">
        <f>LEFT(Database!IEU2,3)</f>
        <v/>
      </c>
      <c r="IEC2" t="str">
        <f>LEFT(Database!IEV2,3)</f>
        <v/>
      </c>
      <c r="IED2" t="str">
        <f>LEFT(Database!IEW2,3)</f>
        <v/>
      </c>
      <c r="IEE2" t="str">
        <f>LEFT(Database!IEX2,3)</f>
        <v/>
      </c>
      <c r="IEF2" t="str">
        <f>LEFT(Database!IEY2,3)</f>
        <v/>
      </c>
      <c r="IEG2" t="str">
        <f>LEFT(Database!IEZ2,3)</f>
        <v/>
      </c>
      <c r="IEH2" t="str">
        <f>LEFT(Database!IFA2,3)</f>
        <v/>
      </c>
      <c r="IEI2" t="str">
        <f>LEFT(Database!IFB2,3)</f>
        <v/>
      </c>
      <c r="IEJ2" t="str">
        <f>LEFT(Database!IFC2,3)</f>
        <v/>
      </c>
      <c r="IEK2" t="str">
        <f>LEFT(Database!IFD2,3)</f>
        <v/>
      </c>
      <c r="IEL2" t="str">
        <f>LEFT(Database!IFE2,3)</f>
        <v/>
      </c>
      <c r="IEM2" t="str">
        <f>LEFT(Database!IFF2,3)</f>
        <v/>
      </c>
      <c r="IEN2" t="str">
        <f>LEFT(Database!IFG2,3)</f>
        <v/>
      </c>
      <c r="IEO2" t="str">
        <f>LEFT(Database!IFH2,3)</f>
        <v/>
      </c>
      <c r="IEP2" t="str">
        <f>LEFT(Database!IFI2,3)</f>
        <v/>
      </c>
      <c r="IEQ2" t="str">
        <f>LEFT(Database!IFJ2,3)</f>
        <v/>
      </c>
      <c r="IER2" t="str">
        <f>LEFT(Database!IFK2,3)</f>
        <v/>
      </c>
      <c r="IES2" t="str">
        <f>LEFT(Database!IFL2,3)</f>
        <v/>
      </c>
      <c r="IET2" t="str">
        <f>LEFT(Database!IFM2,3)</f>
        <v/>
      </c>
      <c r="IEU2" t="str">
        <f>LEFT(Database!IFN2,3)</f>
        <v/>
      </c>
      <c r="IEV2" t="str">
        <f>LEFT(Database!IFO2,3)</f>
        <v/>
      </c>
      <c r="IEW2" t="str">
        <f>LEFT(Database!IFP2,3)</f>
        <v/>
      </c>
      <c r="IEX2" t="str">
        <f>LEFT(Database!IFQ2,3)</f>
        <v/>
      </c>
      <c r="IEY2" t="str">
        <f>LEFT(Database!IFR2,3)</f>
        <v/>
      </c>
      <c r="IEZ2" t="str">
        <f>LEFT(Database!IFS2,3)</f>
        <v/>
      </c>
      <c r="IFA2" t="str">
        <f>LEFT(Database!IFT2,3)</f>
        <v/>
      </c>
      <c r="IFB2" t="str">
        <f>LEFT(Database!IFU2,3)</f>
        <v/>
      </c>
      <c r="IFC2" t="str">
        <f>LEFT(Database!IFV2,3)</f>
        <v/>
      </c>
      <c r="IFD2" t="str">
        <f>LEFT(Database!IFW2,3)</f>
        <v/>
      </c>
      <c r="IFE2" t="str">
        <f>LEFT(Database!IFX2,3)</f>
        <v/>
      </c>
      <c r="IFF2" t="str">
        <f>LEFT(Database!IFY2,3)</f>
        <v/>
      </c>
      <c r="IFG2" t="str">
        <f>LEFT(Database!IFZ2,3)</f>
        <v/>
      </c>
      <c r="IFH2" t="str">
        <f>LEFT(Database!IGA2,3)</f>
        <v/>
      </c>
      <c r="IFI2" t="str">
        <f>LEFT(Database!IGB2,3)</f>
        <v/>
      </c>
      <c r="IFJ2" t="str">
        <f>LEFT(Database!IGC2,3)</f>
        <v/>
      </c>
      <c r="IFK2" t="str">
        <f>LEFT(Database!IGD2,3)</f>
        <v/>
      </c>
      <c r="IFL2" t="str">
        <f>LEFT(Database!IGE2,3)</f>
        <v/>
      </c>
      <c r="IFM2" t="str">
        <f>LEFT(Database!IGF2,3)</f>
        <v/>
      </c>
      <c r="IFN2" t="str">
        <f>LEFT(Database!IGG2,3)</f>
        <v/>
      </c>
      <c r="IFO2" t="str">
        <f>LEFT(Database!IGH2,3)</f>
        <v/>
      </c>
      <c r="IFP2" t="str">
        <f>LEFT(Database!IGI2,3)</f>
        <v/>
      </c>
      <c r="IFQ2" t="str">
        <f>LEFT(Database!IGJ2,3)</f>
        <v/>
      </c>
      <c r="IFR2" t="str">
        <f>LEFT(Database!IGK2,3)</f>
        <v/>
      </c>
      <c r="IFS2" t="str">
        <f>LEFT(Database!IGL2,3)</f>
        <v/>
      </c>
      <c r="IFT2" t="str">
        <f>LEFT(Database!IGM2,3)</f>
        <v/>
      </c>
      <c r="IFU2" t="str">
        <f>LEFT(Database!IGN2,3)</f>
        <v/>
      </c>
      <c r="IFV2" t="str">
        <f>LEFT(Database!IGO2,3)</f>
        <v/>
      </c>
      <c r="IFW2" t="str">
        <f>LEFT(Database!IGP2,3)</f>
        <v/>
      </c>
      <c r="IFX2" t="str">
        <f>LEFT(Database!IGQ2,3)</f>
        <v/>
      </c>
      <c r="IFY2" t="str">
        <f>LEFT(Database!IGR2,3)</f>
        <v/>
      </c>
      <c r="IFZ2" t="str">
        <f>LEFT(Database!IGS2,3)</f>
        <v/>
      </c>
      <c r="IGA2" t="str">
        <f>LEFT(Database!IGT2,3)</f>
        <v/>
      </c>
      <c r="IGB2" t="str">
        <f>LEFT(Database!IGU2,3)</f>
        <v/>
      </c>
      <c r="IGC2" t="str">
        <f>LEFT(Database!IGV2,3)</f>
        <v/>
      </c>
      <c r="IGD2" t="str">
        <f>LEFT(Database!IGW2,3)</f>
        <v/>
      </c>
      <c r="IGE2" t="str">
        <f>LEFT(Database!IGX2,3)</f>
        <v/>
      </c>
      <c r="IGF2" t="str">
        <f>LEFT(Database!IGY2,3)</f>
        <v/>
      </c>
      <c r="IGG2" t="str">
        <f>LEFT(Database!IGZ2,3)</f>
        <v/>
      </c>
      <c r="IGH2" t="str">
        <f>LEFT(Database!IHA2,3)</f>
        <v/>
      </c>
      <c r="IGI2" t="str">
        <f>LEFT(Database!IHB2,3)</f>
        <v/>
      </c>
      <c r="IGJ2" t="str">
        <f>LEFT(Database!IHC2,3)</f>
        <v/>
      </c>
      <c r="IGK2" t="str">
        <f>LEFT(Database!IHD2,3)</f>
        <v/>
      </c>
      <c r="IGL2" t="str">
        <f>LEFT(Database!IHE2,3)</f>
        <v/>
      </c>
      <c r="IGM2" t="str">
        <f>LEFT(Database!IHF2,3)</f>
        <v/>
      </c>
      <c r="IGN2" t="str">
        <f>LEFT(Database!IHG2,3)</f>
        <v/>
      </c>
      <c r="IGO2" t="str">
        <f>LEFT(Database!IHH2,3)</f>
        <v/>
      </c>
      <c r="IGP2" t="str">
        <f>LEFT(Database!IHI2,3)</f>
        <v/>
      </c>
      <c r="IGQ2" t="str">
        <f>LEFT(Database!IHJ2,3)</f>
        <v/>
      </c>
      <c r="IGR2" t="str">
        <f>LEFT(Database!IHK2,3)</f>
        <v/>
      </c>
      <c r="IGS2" t="str">
        <f>LEFT(Database!IHL2,3)</f>
        <v/>
      </c>
      <c r="IGT2" t="str">
        <f>LEFT(Database!IHM2,3)</f>
        <v/>
      </c>
      <c r="IGU2" t="str">
        <f>LEFT(Database!IHN2,3)</f>
        <v/>
      </c>
      <c r="IGV2" t="str">
        <f>LEFT(Database!IHO2,3)</f>
        <v/>
      </c>
      <c r="IGW2" t="str">
        <f>LEFT(Database!IHP2,3)</f>
        <v/>
      </c>
      <c r="IGX2" t="str">
        <f>LEFT(Database!IHQ2,3)</f>
        <v/>
      </c>
      <c r="IGY2" t="str">
        <f>LEFT(Database!IHR2,3)</f>
        <v/>
      </c>
      <c r="IGZ2" t="str">
        <f>LEFT(Database!IHS2,3)</f>
        <v/>
      </c>
      <c r="IHA2" t="str">
        <f>LEFT(Database!IHT2,3)</f>
        <v/>
      </c>
      <c r="IHB2" t="str">
        <f>LEFT(Database!IHU2,3)</f>
        <v/>
      </c>
      <c r="IHC2" t="str">
        <f>LEFT(Database!IHV2,3)</f>
        <v/>
      </c>
      <c r="IHD2" t="str">
        <f>LEFT(Database!IHW2,3)</f>
        <v/>
      </c>
      <c r="IHE2" t="str">
        <f>LEFT(Database!IHX2,3)</f>
        <v/>
      </c>
      <c r="IHF2" t="str">
        <f>LEFT(Database!IHY2,3)</f>
        <v/>
      </c>
      <c r="IHG2" t="str">
        <f>LEFT(Database!IHZ2,3)</f>
        <v/>
      </c>
      <c r="IHH2" t="str">
        <f>LEFT(Database!IIA2,3)</f>
        <v/>
      </c>
      <c r="IHI2" t="str">
        <f>LEFT(Database!IIB2,3)</f>
        <v/>
      </c>
      <c r="IHJ2" t="str">
        <f>LEFT(Database!IIC2,3)</f>
        <v/>
      </c>
      <c r="IHK2" t="str">
        <f>LEFT(Database!IID2,3)</f>
        <v/>
      </c>
      <c r="IHL2" t="str">
        <f>LEFT(Database!IIE2,3)</f>
        <v/>
      </c>
      <c r="IHM2" t="str">
        <f>LEFT(Database!IIF2,3)</f>
        <v/>
      </c>
      <c r="IHN2" t="str">
        <f>LEFT(Database!IIG2,3)</f>
        <v/>
      </c>
      <c r="IHO2" t="str">
        <f>LEFT(Database!IIH2,3)</f>
        <v/>
      </c>
      <c r="IHP2" t="str">
        <f>LEFT(Database!III2,3)</f>
        <v/>
      </c>
      <c r="IHQ2" t="str">
        <f>LEFT(Database!IIJ2,3)</f>
        <v/>
      </c>
      <c r="IHR2" t="str">
        <f>LEFT(Database!IIK2,3)</f>
        <v/>
      </c>
      <c r="IHS2" t="str">
        <f>LEFT(Database!IIL2,3)</f>
        <v/>
      </c>
      <c r="IHT2" t="str">
        <f>LEFT(Database!IIM2,3)</f>
        <v/>
      </c>
      <c r="IHU2" t="str">
        <f>LEFT(Database!IIN2,3)</f>
        <v/>
      </c>
      <c r="IHV2" t="str">
        <f>LEFT(Database!IIO2,3)</f>
        <v/>
      </c>
      <c r="IHW2" t="str">
        <f>LEFT(Database!IIP2,3)</f>
        <v/>
      </c>
      <c r="IHX2" t="str">
        <f>LEFT(Database!IIQ2,3)</f>
        <v/>
      </c>
      <c r="IHY2" t="str">
        <f>LEFT(Database!IIR2,3)</f>
        <v/>
      </c>
      <c r="IHZ2" t="str">
        <f>LEFT(Database!IIS2,3)</f>
        <v/>
      </c>
      <c r="IIA2" t="str">
        <f>LEFT(Database!IIT2,3)</f>
        <v/>
      </c>
      <c r="IIB2" t="str">
        <f>LEFT(Database!IIU2,3)</f>
        <v/>
      </c>
      <c r="IIC2" t="str">
        <f>LEFT(Database!IIV2,3)</f>
        <v/>
      </c>
      <c r="IID2" t="str">
        <f>LEFT(Database!IIW2,3)</f>
        <v/>
      </c>
      <c r="IIE2" t="str">
        <f>LEFT(Database!IIX2,3)</f>
        <v/>
      </c>
      <c r="IIF2" t="str">
        <f>LEFT(Database!IIY2,3)</f>
        <v/>
      </c>
      <c r="IIG2" t="str">
        <f>LEFT(Database!IIZ2,3)</f>
        <v/>
      </c>
      <c r="IIH2" t="str">
        <f>LEFT(Database!IJA2,3)</f>
        <v/>
      </c>
      <c r="III2" t="str">
        <f>LEFT(Database!IJB2,3)</f>
        <v/>
      </c>
      <c r="IIJ2" t="str">
        <f>LEFT(Database!IJC2,3)</f>
        <v/>
      </c>
      <c r="IIK2" t="str">
        <f>LEFT(Database!IJD2,3)</f>
        <v/>
      </c>
      <c r="IIL2" t="str">
        <f>LEFT(Database!IJE2,3)</f>
        <v/>
      </c>
      <c r="IIM2" t="str">
        <f>LEFT(Database!IJF2,3)</f>
        <v/>
      </c>
      <c r="IIN2" t="str">
        <f>LEFT(Database!IJG2,3)</f>
        <v/>
      </c>
      <c r="IIO2" t="str">
        <f>LEFT(Database!IJH2,3)</f>
        <v/>
      </c>
      <c r="IIP2" t="str">
        <f>LEFT(Database!IJI2,3)</f>
        <v/>
      </c>
      <c r="IIQ2" t="str">
        <f>LEFT(Database!IJJ2,3)</f>
        <v/>
      </c>
      <c r="IIR2" t="str">
        <f>LEFT(Database!IJK2,3)</f>
        <v/>
      </c>
      <c r="IIS2" t="str">
        <f>LEFT(Database!IJL2,3)</f>
        <v/>
      </c>
      <c r="IIT2" t="str">
        <f>LEFT(Database!IJM2,3)</f>
        <v/>
      </c>
      <c r="IIU2" t="str">
        <f>LEFT(Database!IJN2,3)</f>
        <v/>
      </c>
      <c r="IIV2" t="str">
        <f>LEFT(Database!IJO2,3)</f>
        <v/>
      </c>
      <c r="IIW2" t="str">
        <f>LEFT(Database!IJP2,3)</f>
        <v/>
      </c>
      <c r="IIX2" t="str">
        <f>LEFT(Database!IJQ2,3)</f>
        <v/>
      </c>
      <c r="IIY2" t="str">
        <f>LEFT(Database!IJR2,3)</f>
        <v/>
      </c>
      <c r="IIZ2" t="str">
        <f>LEFT(Database!IJS2,3)</f>
        <v/>
      </c>
      <c r="IJA2" t="str">
        <f>LEFT(Database!IJT2,3)</f>
        <v/>
      </c>
      <c r="IJB2" t="str">
        <f>LEFT(Database!IJU2,3)</f>
        <v/>
      </c>
      <c r="IJC2" t="str">
        <f>LEFT(Database!IJV2,3)</f>
        <v/>
      </c>
      <c r="IJD2" t="str">
        <f>LEFT(Database!IJW2,3)</f>
        <v/>
      </c>
      <c r="IJE2" t="str">
        <f>LEFT(Database!IJX2,3)</f>
        <v/>
      </c>
      <c r="IJF2" t="str">
        <f>LEFT(Database!IJY2,3)</f>
        <v/>
      </c>
      <c r="IJG2" t="str">
        <f>LEFT(Database!IJZ2,3)</f>
        <v/>
      </c>
      <c r="IJH2" t="str">
        <f>LEFT(Database!IKA2,3)</f>
        <v/>
      </c>
      <c r="IJI2" t="str">
        <f>LEFT(Database!IKB2,3)</f>
        <v/>
      </c>
      <c r="IJJ2" t="str">
        <f>LEFT(Database!IKC2,3)</f>
        <v/>
      </c>
      <c r="IJK2" t="str">
        <f>LEFT(Database!IKD2,3)</f>
        <v/>
      </c>
      <c r="IJL2" t="str">
        <f>LEFT(Database!IKE2,3)</f>
        <v/>
      </c>
      <c r="IJM2" t="str">
        <f>LEFT(Database!IKF2,3)</f>
        <v/>
      </c>
      <c r="IJN2" t="str">
        <f>LEFT(Database!IKG2,3)</f>
        <v/>
      </c>
      <c r="IJO2" t="str">
        <f>LEFT(Database!IKH2,3)</f>
        <v/>
      </c>
      <c r="IJP2" t="str">
        <f>LEFT(Database!IKI2,3)</f>
        <v/>
      </c>
      <c r="IJQ2" t="str">
        <f>LEFT(Database!IKJ2,3)</f>
        <v/>
      </c>
      <c r="IJR2" t="str">
        <f>LEFT(Database!IKK2,3)</f>
        <v/>
      </c>
      <c r="IJS2" t="str">
        <f>LEFT(Database!IKL2,3)</f>
        <v/>
      </c>
      <c r="IJT2" t="str">
        <f>LEFT(Database!IKM2,3)</f>
        <v/>
      </c>
      <c r="IJU2" t="str">
        <f>LEFT(Database!IKN2,3)</f>
        <v/>
      </c>
      <c r="IJV2" t="str">
        <f>LEFT(Database!IKO2,3)</f>
        <v/>
      </c>
      <c r="IJW2" t="str">
        <f>LEFT(Database!IKP2,3)</f>
        <v/>
      </c>
      <c r="IJX2" t="str">
        <f>LEFT(Database!IKQ2,3)</f>
        <v/>
      </c>
      <c r="IJY2" t="str">
        <f>LEFT(Database!IKR2,3)</f>
        <v/>
      </c>
      <c r="IJZ2" t="str">
        <f>LEFT(Database!IKS2,3)</f>
        <v/>
      </c>
      <c r="IKA2" t="str">
        <f>LEFT(Database!IKT2,3)</f>
        <v/>
      </c>
      <c r="IKB2" t="str">
        <f>LEFT(Database!IKU2,3)</f>
        <v/>
      </c>
      <c r="IKC2" t="str">
        <f>LEFT(Database!IKV2,3)</f>
        <v/>
      </c>
      <c r="IKD2" t="str">
        <f>LEFT(Database!IKW2,3)</f>
        <v/>
      </c>
      <c r="IKE2" t="str">
        <f>LEFT(Database!IKX2,3)</f>
        <v/>
      </c>
      <c r="IKF2" t="str">
        <f>LEFT(Database!IKY2,3)</f>
        <v/>
      </c>
      <c r="IKG2" t="str">
        <f>LEFT(Database!IKZ2,3)</f>
        <v/>
      </c>
      <c r="IKH2" t="str">
        <f>LEFT(Database!ILA2,3)</f>
        <v/>
      </c>
      <c r="IKI2" t="str">
        <f>LEFT(Database!ILB2,3)</f>
        <v/>
      </c>
      <c r="IKJ2" t="str">
        <f>LEFT(Database!ILC2,3)</f>
        <v/>
      </c>
      <c r="IKK2" t="str">
        <f>LEFT(Database!ILD2,3)</f>
        <v/>
      </c>
      <c r="IKL2" t="str">
        <f>LEFT(Database!ILE2,3)</f>
        <v/>
      </c>
      <c r="IKM2" t="str">
        <f>LEFT(Database!ILF2,3)</f>
        <v/>
      </c>
      <c r="IKN2" t="str">
        <f>LEFT(Database!ILG2,3)</f>
        <v/>
      </c>
      <c r="IKO2" t="str">
        <f>LEFT(Database!ILH2,3)</f>
        <v/>
      </c>
      <c r="IKP2" t="str">
        <f>LEFT(Database!ILI2,3)</f>
        <v/>
      </c>
      <c r="IKQ2" t="str">
        <f>LEFT(Database!ILJ2,3)</f>
        <v/>
      </c>
      <c r="IKR2" t="str">
        <f>LEFT(Database!ILK2,3)</f>
        <v/>
      </c>
      <c r="IKS2" t="str">
        <f>LEFT(Database!ILL2,3)</f>
        <v/>
      </c>
      <c r="IKT2" t="str">
        <f>LEFT(Database!ILM2,3)</f>
        <v/>
      </c>
      <c r="IKU2" t="str">
        <f>LEFT(Database!ILN2,3)</f>
        <v/>
      </c>
      <c r="IKV2" t="str">
        <f>LEFT(Database!ILO2,3)</f>
        <v/>
      </c>
      <c r="IKW2" t="str">
        <f>LEFT(Database!ILP2,3)</f>
        <v/>
      </c>
      <c r="IKX2" t="str">
        <f>LEFT(Database!ILQ2,3)</f>
        <v/>
      </c>
      <c r="IKY2" t="str">
        <f>LEFT(Database!ILR2,3)</f>
        <v/>
      </c>
      <c r="IKZ2" t="str">
        <f>LEFT(Database!ILS2,3)</f>
        <v/>
      </c>
      <c r="ILA2" t="str">
        <f>LEFT(Database!ILT2,3)</f>
        <v/>
      </c>
      <c r="ILB2" t="str">
        <f>LEFT(Database!ILU2,3)</f>
        <v/>
      </c>
      <c r="ILC2" t="str">
        <f>LEFT(Database!ILV2,3)</f>
        <v/>
      </c>
      <c r="ILD2" t="str">
        <f>LEFT(Database!ILW2,3)</f>
        <v/>
      </c>
      <c r="ILE2" t="str">
        <f>LEFT(Database!ILX2,3)</f>
        <v/>
      </c>
      <c r="ILF2" t="str">
        <f>LEFT(Database!ILY2,3)</f>
        <v/>
      </c>
      <c r="ILG2" t="str">
        <f>LEFT(Database!ILZ2,3)</f>
        <v/>
      </c>
      <c r="ILH2" t="str">
        <f>LEFT(Database!IMA2,3)</f>
        <v/>
      </c>
      <c r="ILI2" t="str">
        <f>LEFT(Database!IMB2,3)</f>
        <v/>
      </c>
      <c r="ILJ2" t="str">
        <f>LEFT(Database!IMC2,3)</f>
        <v/>
      </c>
      <c r="ILK2" t="str">
        <f>LEFT(Database!IMD2,3)</f>
        <v/>
      </c>
      <c r="ILL2" t="str">
        <f>LEFT(Database!IME2,3)</f>
        <v/>
      </c>
      <c r="ILM2" t="str">
        <f>LEFT(Database!IMF2,3)</f>
        <v/>
      </c>
      <c r="ILN2" t="str">
        <f>LEFT(Database!IMG2,3)</f>
        <v/>
      </c>
      <c r="ILO2" t="str">
        <f>LEFT(Database!IMH2,3)</f>
        <v/>
      </c>
      <c r="ILP2" t="str">
        <f>LEFT(Database!IMI2,3)</f>
        <v/>
      </c>
      <c r="ILQ2" t="str">
        <f>LEFT(Database!IMJ2,3)</f>
        <v/>
      </c>
      <c r="ILR2" t="str">
        <f>LEFT(Database!IMK2,3)</f>
        <v/>
      </c>
      <c r="ILS2" t="str">
        <f>LEFT(Database!IML2,3)</f>
        <v/>
      </c>
      <c r="ILT2" t="str">
        <f>LEFT(Database!IMM2,3)</f>
        <v/>
      </c>
      <c r="ILU2" t="str">
        <f>LEFT(Database!IMN2,3)</f>
        <v/>
      </c>
      <c r="ILV2" t="str">
        <f>LEFT(Database!IMO2,3)</f>
        <v/>
      </c>
      <c r="ILW2" t="str">
        <f>LEFT(Database!IMP2,3)</f>
        <v/>
      </c>
      <c r="ILX2" t="str">
        <f>LEFT(Database!IMQ2,3)</f>
        <v/>
      </c>
      <c r="ILY2" t="str">
        <f>LEFT(Database!IMR2,3)</f>
        <v/>
      </c>
      <c r="ILZ2" t="str">
        <f>LEFT(Database!IMS2,3)</f>
        <v/>
      </c>
      <c r="IMA2" t="str">
        <f>LEFT(Database!IMT2,3)</f>
        <v/>
      </c>
      <c r="IMB2" t="str">
        <f>LEFT(Database!IMU2,3)</f>
        <v/>
      </c>
      <c r="IMC2" t="str">
        <f>LEFT(Database!IMV2,3)</f>
        <v/>
      </c>
      <c r="IMD2" t="str">
        <f>LEFT(Database!IMW2,3)</f>
        <v/>
      </c>
      <c r="IME2" t="str">
        <f>LEFT(Database!IMX2,3)</f>
        <v/>
      </c>
      <c r="IMF2" t="str">
        <f>LEFT(Database!IMY2,3)</f>
        <v/>
      </c>
      <c r="IMG2" t="str">
        <f>LEFT(Database!IMZ2,3)</f>
        <v/>
      </c>
      <c r="IMH2" t="str">
        <f>LEFT(Database!INA2,3)</f>
        <v/>
      </c>
      <c r="IMI2" t="str">
        <f>LEFT(Database!INB2,3)</f>
        <v/>
      </c>
      <c r="IMJ2" t="str">
        <f>LEFT(Database!INC2,3)</f>
        <v/>
      </c>
      <c r="IMK2" t="str">
        <f>LEFT(Database!IND2,3)</f>
        <v/>
      </c>
      <c r="IML2" t="str">
        <f>LEFT(Database!INE2,3)</f>
        <v/>
      </c>
      <c r="IMM2" t="str">
        <f>LEFT(Database!INF2,3)</f>
        <v/>
      </c>
      <c r="IMN2" t="str">
        <f>LEFT(Database!ING2,3)</f>
        <v/>
      </c>
      <c r="IMO2" t="str">
        <f>LEFT(Database!INH2,3)</f>
        <v/>
      </c>
      <c r="IMP2" t="str">
        <f>LEFT(Database!INI2,3)</f>
        <v/>
      </c>
      <c r="IMQ2" t="str">
        <f>LEFT(Database!INJ2,3)</f>
        <v/>
      </c>
      <c r="IMR2" t="str">
        <f>LEFT(Database!INK2,3)</f>
        <v/>
      </c>
      <c r="IMS2" t="str">
        <f>LEFT(Database!INL2,3)</f>
        <v/>
      </c>
      <c r="IMT2" t="str">
        <f>LEFT(Database!INM2,3)</f>
        <v/>
      </c>
      <c r="IMU2" t="str">
        <f>LEFT(Database!INN2,3)</f>
        <v/>
      </c>
      <c r="IMV2" t="str">
        <f>LEFT(Database!INO2,3)</f>
        <v/>
      </c>
      <c r="IMW2" t="str">
        <f>LEFT(Database!INP2,3)</f>
        <v/>
      </c>
      <c r="IMX2" t="str">
        <f>LEFT(Database!INQ2,3)</f>
        <v/>
      </c>
      <c r="IMY2" t="str">
        <f>LEFT(Database!INR2,3)</f>
        <v/>
      </c>
      <c r="IMZ2" t="str">
        <f>LEFT(Database!INS2,3)</f>
        <v/>
      </c>
      <c r="INA2" t="str">
        <f>LEFT(Database!INT2,3)</f>
        <v/>
      </c>
      <c r="INB2" t="str">
        <f>LEFT(Database!INU2,3)</f>
        <v/>
      </c>
      <c r="INC2" t="str">
        <f>LEFT(Database!INV2,3)</f>
        <v/>
      </c>
      <c r="IND2" t="str">
        <f>LEFT(Database!INW2,3)</f>
        <v/>
      </c>
      <c r="INE2" t="str">
        <f>LEFT(Database!INX2,3)</f>
        <v/>
      </c>
      <c r="INF2" t="str">
        <f>LEFT(Database!INY2,3)</f>
        <v/>
      </c>
      <c r="ING2" t="str">
        <f>LEFT(Database!INZ2,3)</f>
        <v/>
      </c>
      <c r="INH2" t="str">
        <f>LEFT(Database!IOA2,3)</f>
        <v/>
      </c>
      <c r="INI2" t="str">
        <f>LEFT(Database!IOB2,3)</f>
        <v/>
      </c>
      <c r="INJ2" t="str">
        <f>LEFT(Database!IOC2,3)</f>
        <v/>
      </c>
      <c r="INK2" t="str">
        <f>LEFT(Database!IOD2,3)</f>
        <v/>
      </c>
      <c r="INL2" t="str">
        <f>LEFT(Database!IOE2,3)</f>
        <v/>
      </c>
      <c r="INM2" t="str">
        <f>LEFT(Database!IOF2,3)</f>
        <v/>
      </c>
      <c r="INN2" t="str">
        <f>LEFT(Database!IOG2,3)</f>
        <v/>
      </c>
      <c r="INO2" t="str">
        <f>LEFT(Database!IOH2,3)</f>
        <v/>
      </c>
      <c r="INP2" t="str">
        <f>LEFT(Database!IOI2,3)</f>
        <v/>
      </c>
      <c r="INQ2" t="str">
        <f>LEFT(Database!IOJ2,3)</f>
        <v/>
      </c>
      <c r="INR2" t="str">
        <f>LEFT(Database!IOK2,3)</f>
        <v/>
      </c>
      <c r="INS2" t="str">
        <f>LEFT(Database!IOL2,3)</f>
        <v/>
      </c>
      <c r="INT2" t="str">
        <f>LEFT(Database!IOM2,3)</f>
        <v/>
      </c>
      <c r="INU2" t="str">
        <f>LEFT(Database!ION2,3)</f>
        <v/>
      </c>
      <c r="INV2" t="str">
        <f>LEFT(Database!IOO2,3)</f>
        <v/>
      </c>
      <c r="INW2" t="str">
        <f>LEFT(Database!IOP2,3)</f>
        <v/>
      </c>
      <c r="INX2" t="str">
        <f>LEFT(Database!IOQ2,3)</f>
        <v/>
      </c>
      <c r="INY2" t="str">
        <f>LEFT(Database!IOR2,3)</f>
        <v/>
      </c>
      <c r="INZ2" t="str">
        <f>LEFT(Database!IOS2,3)</f>
        <v/>
      </c>
      <c r="IOA2" t="str">
        <f>LEFT(Database!IOT2,3)</f>
        <v/>
      </c>
      <c r="IOB2" t="str">
        <f>LEFT(Database!IOU2,3)</f>
        <v/>
      </c>
      <c r="IOC2" t="str">
        <f>LEFT(Database!IOV2,3)</f>
        <v/>
      </c>
      <c r="IOD2" t="str">
        <f>LEFT(Database!IOW2,3)</f>
        <v/>
      </c>
      <c r="IOE2" t="str">
        <f>LEFT(Database!IOX2,3)</f>
        <v/>
      </c>
      <c r="IOF2" t="str">
        <f>LEFT(Database!IOY2,3)</f>
        <v/>
      </c>
      <c r="IOG2" t="str">
        <f>LEFT(Database!IOZ2,3)</f>
        <v/>
      </c>
      <c r="IOH2" t="str">
        <f>LEFT(Database!IPA2,3)</f>
        <v/>
      </c>
      <c r="IOI2" t="str">
        <f>LEFT(Database!IPB2,3)</f>
        <v/>
      </c>
      <c r="IOJ2" t="str">
        <f>LEFT(Database!IPC2,3)</f>
        <v/>
      </c>
      <c r="IOK2" t="str">
        <f>LEFT(Database!IPD2,3)</f>
        <v/>
      </c>
      <c r="IOL2" t="str">
        <f>LEFT(Database!IPE2,3)</f>
        <v/>
      </c>
      <c r="IOM2" t="str">
        <f>LEFT(Database!IPF2,3)</f>
        <v/>
      </c>
      <c r="ION2" t="str">
        <f>LEFT(Database!IPG2,3)</f>
        <v/>
      </c>
      <c r="IOO2" t="str">
        <f>LEFT(Database!IPH2,3)</f>
        <v/>
      </c>
      <c r="IOP2" t="str">
        <f>LEFT(Database!IPI2,3)</f>
        <v/>
      </c>
      <c r="IOQ2" t="str">
        <f>LEFT(Database!IPJ2,3)</f>
        <v/>
      </c>
      <c r="IOR2" t="str">
        <f>LEFT(Database!IPK2,3)</f>
        <v/>
      </c>
      <c r="IOS2" t="str">
        <f>LEFT(Database!IPL2,3)</f>
        <v/>
      </c>
      <c r="IOT2" t="str">
        <f>LEFT(Database!IPM2,3)</f>
        <v/>
      </c>
      <c r="IOU2" t="str">
        <f>LEFT(Database!IPN2,3)</f>
        <v/>
      </c>
      <c r="IOV2" t="str">
        <f>LEFT(Database!IPO2,3)</f>
        <v/>
      </c>
      <c r="IOW2" t="str">
        <f>LEFT(Database!IPP2,3)</f>
        <v/>
      </c>
      <c r="IOX2" t="str">
        <f>LEFT(Database!IPQ2,3)</f>
        <v/>
      </c>
      <c r="IOY2" t="str">
        <f>LEFT(Database!IPR2,3)</f>
        <v/>
      </c>
      <c r="IOZ2" t="str">
        <f>LEFT(Database!IPS2,3)</f>
        <v/>
      </c>
      <c r="IPA2" t="str">
        <f>LEFT(Database!IPT2,3)</f>
        <v/>
      </c>
      <c r="IPB2" t="str">
        <f>LEFT(Database!IPU2,3)</f>
        <v/>
      </c>
      <c r="IPC2" t="str">
        <f>LEFT(Database!IPV2,3)</f>
        <v/>
      </c>
      <c r="IPD2" t="str">
        <f>LEFT(Database!IPW2,3)</f>
        <v/>
      </c>
      <c r="IPE2" t="str">
        <f>LEFT(Database!IPX2,3)</f>
        <v/>
      </c>
      <c r="IPF2" t="str">
        <f>LEFT(Database!IPY2,3)</f>
        <v/>
      </c>
      <c r="IPG2" t="str">
        <f>LEFT(Database!IPZ2,3)</f>
        <v/>
      </c>
      <c r="IPH2" t="str">
        <f>LEFT(Database!IQA2,3)</f>
        <v/>
      </c>
      <c r="IPI2" t="str">
        <f>LEFT(Database!IQB2,3)</f>
        <v/>
      </c>
      <c r="IPJ2" t="str">
        <f>LEFT(Database!IQC2,3)</f>
        <v/>
      </c>
      <c r="IPK2" t="str">
        <f>LEFT(Database!IQD2,3)</f>
        <v/>
      </c>
      <c r="IPL2" t="str">
        <f>LEFT(Database!IQE2,3)</f>
        <v/>
      </c>
      <c r="IPM2" t="str">
        <f>LEFT(Database!IQF2,3)</f>
        <v/>
      </c>
      <c r="IPN2" t="str">
        <f>LEFT(Database!IQG2,3)</f>
        <v/>
      </c>
      <c r="IPO2" t="str">
        <f>LEFT(Database!IQH2,3)</f>
        <v/>
      </c>
      <c r="IPP2" t="str">
        <f>LEFT(Database!IQI2,3)</f>
        <v/>
      </c>
      <c r="IPQ2" t="str">
        <f>LEFT(Database!IQJ2,3)</f>
        <v/>
      </c>
      <c r="IPR2" t="str">
        <f>LEFT(Database!IQK2,3)</f>
        <v/>
      </c>
      <c r="IPS2" t="str">
        <f>LEFT(Database!IQL2,3)</f>
        <v/>
      </c>
      <c r="IPT2" t="str">
        <f>LEFT(Database!IQM2,3)</f>
        <v/>
      </c>
      <c r="IPU2" t="str">
        <f>LEFT(Database!IQN2,3)</f>
        <v/>
      </c>
      <c r="IPV2" t="str">
        <f>LEFT(Database!IQO2,3)</f>
        <v/>
      </c>
      <c r="IPW2" t="str">
        <f>LEFT(Database!IQP2,3)</f>
        <v/>
      </c>
      <c r="IPX2" t="str">
        <f>LEFT(Database!IQQ2,3)</f>
        <v/>
      </c>
      <c r="IPY2" t="str">
        <f>LEFT(Database!IQR2,3)</f>
        <v/>
      </c>
      <c r="IPZ2" t="str">
        <f>LEFT(Database!IQS2,3)</f>
        <v/>
      </c>
      <c r="IQA2" t="str">
        <f>LEFT(Database!IQT2,3)</f>
        <v/>
      </c>
      <c r="IQB2" t="str">
        <f>LEFT(Database!IQU2,3)</f>
        <v/>
      </c>
      <c r="IQC2" t="str">
        <f>LEFT(Database!IQV2,3)</f>
        <v/>
      </c>
      <c r="IQD2" t="str">
        <f>LEFT(Database!IQW2,3)</f>
        <v/>
      </c>
      <c r="IQE2" t="str">
        <f>LEFT(Database!IQX2,3)</f>
        <v/>
      </c>
      <c r="IQF2" t="str">
        <f>LEFT(Database!IQY2,3)</f>
        <v/>
      </c>
      <c r="IQG2" t="str">
        <f>LEFT(Database!IQZ2,3)</f>
        <v/>
      </c>
      <c r="IQH2" t="str">
        <f>LEFT(Database!IRA2,3)</f>
        <v/>
      </c>
      <c r="IQI2" t="str">
        <f>LEFT(Database!IRB2,3)</f>
        <v/>
      </c>
      <c r="IQJ2" t="str">
        <f>LEFT(Database!IRC2,3)</f>
        <v/>
      </c>
      <c r="IQK2" t="str">
        <f>LEFT(Database!IRD2,3)</f>
        <v/>
      </c>
      <c r="IQL2" t="str">
        <f>LEFT(Database!IRE2,3)</f>
        <v/>
      </c>
      <c r="IQM2" t="str">
        <f>LEFT(Database!IRF2,3)</f>
        <v/>
      </c>
      <c r="IQN2" t="str">
        <f>LEFT(Database!IRG2,3)</f>
        <v/>
      </c>
      <c r="IQO2" t="str">
        <f>LEFT(Database!IRH2,3)</f>
        <v/>
      </c>
      <c r="IQP2" t="str">
        <f>LEFT(Database!IRI2,3)</f>
        <v/>
      </c>
      <c r="IQQ2" t="str">
        <f>LEFT(Database!IRJ2,3)</f>
        <v/>
      </c>
      <c r="IQR2" t="str">
        <f>LEFT(Database!IRK2,3)</f>
        <v/>
      </c>
      <c r="IQS2" t="str">
        <f>LEFT(Database!IRL2,3)</f>
        <v/>
      </c>
      <c r="IQT2" t="str">
        <f>LEFT(Database!IRM2,3)</f>
        <v/>
      </c>
      <c r="IQU2" t="str">
        <f>LEFT(Database!IRN2,3)</f>
        <v/>
      </c>
      <c r="IQV2" t="str">
        <f>LEFT(Database!IRO2,3)</f>
        <v/>
      </c>
      <c r="IQW2" t="str">
        <f>LEFT(Database!IRP2,3)</f>
        <v/>
      </c>
      <c r="IQX2" t="str">
        <f>LEFT(Database!IRQ2,3)</f>
        <v/>
      </c>
      <c r="IQY2" t="str">
        <f>LEFT(Database!IRR2,3)</f>
        <v/>
      </c>
      <c r="IQZ2" t="str">
        <f>LEFT(Database!IRS2,3)</f>
        <v/>
      </c>
      <c r="IRA2" t="str">
        <f>LEFT(Database!IRT2,3)</f>
        <v/>
      </c>
      <c r="IRB2" t="str">
        <f>LEFT(Database!IRU2,3)</f>
        <v/>
      </c>
      <c r="IRC2" t="str">
        <f>LEFT(Database!IRV2,3)</f>
        <v/>
      </c>
      <c r="IRD2" t="str">
        <f>LEFT(Database!IRW2,3)</f>
        <v/>
      </c>
      <c r="IRE2" t="str">
        <f>LEFT(Database!IRX2,3)</f>
        <v/>
      </c>
      <c r="IRF2" t="str">
        <f>LEFT(Database!IRY2,3)</f>
        <v/>
      </c>
      <c r="IRG2" t="str">
        <f>LEFT(Database!IRZ2,3)</f>
        <v/>
      </c>
      <c r="IRH2" t="str">
        <f>LEFT(Database!ISA2,3)</f>
        <v/>
      </c>
      <c r="IRI2" t="str">
        <f>LEFT(Database!ISB2,3)</f>
        <v/>
      </c>
      <c r="IRJ2" t="str">
        <f>LEFT(Database!ISC2,3)</f>
        <v/>
      </c>
      <c r="IRK2" t="str">
        <f>LEFT(Database!ISD2,3)</f>
        <v/>
      </c>
      <c r="IRL2" t="str">
        <f>LEFT(Database!ISE2,3)</f>
        <v/>
      </c>
      <c r="IRM2" t="str">
        <f>LEFT(Database!ISF2,3)</f>
        <v/>
      </c>
      <c r="IRN2" t="str">
        <f>LEFT(Database!ISG2,3)</f>
        <v/>
      </c>
      <c r="IRO2" t="str">
        <f>LEFT(Database!ISH2,3)</f>
        <v/>
      </c>
      <c r="IRP2" t="str">
        <f>LEFT(Database!ISI2,3)</f>
        <v/>
      </c>
      <c r="IRQ2" t="str">
        <f>LEFT(Database!ISJ2,3)</f>
        <v/>
      </c>
      <c r="IRR2" t="str">
        <f>LEFT(Database!ISK2,3)</f>
        <v/>
      </c>
      <c r="IRS2" t="str">
        <f>LEFT(Database!ISL2,3)</f>
        <v/>
      </c>
      <c r="IRT2" t="str">
        <f>LEFT(Database!ISM2,3)</f>
        <v/>
      </c>
      <c r="IRU2" t="str">
        <f>LEFT(Database!ISN2,3)</f>
        <v/>
      </c>
      <c r="IRV2" t="str">
        <f>LEFT(Database!ISO2,3)</f>
        <v/>
      </c>
      <c r="IRW2" t="str">
        <f>LEFT(Database!ISP2,3)</f>
        <v/>
      </c>
      <c r="IRX2" t="str">
        <f>LEFT(Database!ISQ2,3)</f>
        <v/>
      </c>
      <c r="IRY2" t="str">
        <f>LEFT(Database!ISR2,3)</f>
        <v/>
      </c>
      <c r="IRZ2" t="str">
        <f>LEFT(Database!ISS2,3)</f>
        <v/>
      </c>
      <c r="ISA2" t="str">
        <f>LEFT(Database!IST2,3)</f>
        <v/>
      </c>
      <c r="ISB2" t="str">
        <f>LEFT(Database!ISU2,3)</f>
        <v/>
      </c>
      <c r="ISC2" t="str">
        <f>LEFT(Database!ISV2,3)</f>
        <v/>
      </c>
      <c r="ISD2" t="str">
        <f>LEFT(Database!ISW2,3)</f>
        <v/>
      </c>
      <c r="ISE2" t="str">
        <f>LEFT(Database!ISX2,3)</f>
        <v/>
      </c>
      <c r="ISF2" t="str">
        <f>LEFT(Database!ISY2,3)</f>
        <v/>
      </c>
      <c r="ISG2" t="str">
        <f>LEFT(Database!ISZ2,3)</f>
        <v/>
      </c>
      <c r="ISH2" t="str">
        <f>LEFT(Database!ITA2,3)</f>
        <v/>
      </c>
      <c r="ISI2" t="str">
        <f>LEFT(Database!ITB2,3)</f>
        <v/>
      </c>
      <c r="ISJ2" t="str">
        <f>LEFT(Database!ITC2,3)</f>
        <v/>
      </c>
      <c r="ISK2" t="str">
        <f>LEFT(Database!ITD2,3)</f>
        <v/>
      </c>
      <c r="ISL2" t="str">
        <f>LEFT(Database!ITE2,3)</f>
        <v/>
      </c>
      <c r="ISM2" t="str">
        <f>LEFT(Database!ITF2,3)</f>
        <v/>
      </c>
      <c r="ISN2" t="str">
        <f>LEFT(Database!ITG2,3)</f>
        <v/>
      </c>
      <c r="ISO2" t="str">
        <f>LEFT(Database!ITH2,3)</f>
        <v/>
      </c>
      <c r="ISP2" t="str">
        <f>LEFT(Database!ITI2,3)</f>
        <v/>
      </c>
      <c r="ISQ2" t="str">
        <f>LEFT(Database!ITJ2,3)</f>
        <v/>
      </c>
      <c r="ISR2" t="str">
        <f>LEFT(Database!ITK2,3)</f>
        <v/>
      </c>
      <c r="ISS2" t="str">
        <f>LEFT(Database!ITL2,3)</f>
        <v/>
      </c>
      <c r="IST2" t="str">
        <f>LEFT(Database!ITM2,3)</f>
        <v/>
      </c>
      <c r="ISU2" t="str">
        <f>LEFT(Database!ITN2,3)</f>
        <v/>
      </c>
      <c r="ISV2" t="str">
        <f>LEFT(Database!ITO2,3)</f>
        <v/>
      </c>
      <c r="ISW2" t="str">
        <f>LEFT(Database!ITP2,3)</f>
        <v/>
      </c>
      <c r="ISX2" t="str">
        <f>LEFT(Database!ITQ2,3)</f>
        <v/>
      </c>
      <c r="ISY2" t="str">
        <f>LEFT(Database!ITR2,3)</f>
        <v/>
      </c>
      <c r="ISZ2" t="str">
        <f>LEFT(Database!ITS2,3)</f>
        <v/>
      </c>
      <c r="ITA2" t="str">
        <f>LEFT(Database!ITT2,3)</f>
        <v/>
      </c>
      <c r="ITB2" t="str">
        <f>LEFT(Database!ITU2,3)</f>
        <v/>
      </c>
      <c r="ITC2" t="str">
        <f>LEFT(Database!ITV2,3)</f>
        <v/>
      </c>
      <c r="ITD2" t="str">
        <f>LEFT(Database!ITW2,3)</f>
        <v/>
      </c>
      <c r="ITE2" t="str">
        <f>LEFT(Database!ITX2,3)</f>
        <v/>
      </c>
      <c r="ITF2" t="str">
        <f>LEFT(Database!ITY2,3)</f>
        <v/>
      </c>
      <c r="ITG2" t="str">
        <f>LEFT(Database!ITZ2,3)</f>
        <v/>
      </c>
      <c r="ITH2" t="str">
        <f>LEFT(Database!IUA2,3)</f>
        <v/>
      </c>
      <c r="ITI2" t="str">
        <f>LEFT(Database!IUB2,3)</f>
        <v/>
      </c>
      <c r="ITJ2" t="str">
        <f>LEFT(Database!IUC2,3)</f>
        <v/>
      </c>
      <c r="ITK2" t="str">
        <f>LEFT(Database!IUD2,3)</f>
        <v/>
      </c>
      <c r="ITL2" t="str">
        <f>LEFT(Database!IUE2,3)</f>
        <v/>
      </c>
      <c r="ITM2" t="str">
        <f>LEFT(Database!IUF2,3)</f>
        <v/>
      </c>
      <c r="ITN2" t="str">
        <f>LEFT(Database!IUG2,3)</f>
        <v/>
      </c>
      <c r="ITO2" t="str">
        <f>LEFT(Database!IUH2,3)</f>
        <v/>
      </c>
      <c r="ITP2" t="str">
        <f>LEFT(Database!IUI2,3)</f>
        <v/>
      </c>
      <c r="ITQ2" t="str">
        <f>LEFT(Database!IUJ2,3)</f>
        <v/>
      </c>
      <c r="ITR2" t="str">
        <f>LEFT(Database!IUK2,3)</f>
        <v/>
      </c>
      <c r="ITS2" t="str">
        <f>LEFT(Database!IUL2,3)</f>
        <v/>
      </c>
      <c r="ITT2" t="str">
        <f>LEFT(Database!IUM2,3)</f>
        <v/>
      </c>
      <c r="ITU2" t="str">
        <f>LEFT(Database!IUN2,3)</f>
        <v/>
      </c>
      <c r="ITV2" t="str">
        <f>LEFT(Database!IUO2,3)</f>
        <v/>
      </c>
      <c r="ITW2" t="str">
        <f>LEFT(Database!IUP2,3)</f>
        <v/>
      </c>
      <c r="ITX2" t="str">
        <f>LEFT(Database!IUQ2,3)</f>
        <v/>
      </c>
      <c r="ITY2" t="str">
        <f>LEFT(Database!IUR2,3)</f>
        <v/>
      </c>
      <c r="ITZ2" t="str">
        <f>LEFT(Database!IUS2,3)</f>
        <v/>
      </c>
      <c r="IUA2" t="str">
        <f>LEFT(Database!IUT2,3)</f>
        <v/>
      </c>
      <c r="IUB2" t="str">
        <f>LEFT(Database!IUU2,3)</f>
        <v/>
      </c>
      <c r="IUC2" t="str">
        <f>LEFT(Database!IUV2,3)</f>
        <v/>
      </c>
      <c r="IUD2" t="str">
        <f>LEFT(Database!IUW2,3)</f>
        <v/>
      </c>
      <c r="IUE2" t="str">
        <f>LEFT(Database!IUX2,3)</f>
        <v/>
      </c>
      <c r="IUF2" t="str">
        <f>LEFT(Database!IUY2,3)</f>
        <v/>
      </c>
      <c r="IUG2" t="str">
        <f>LEFT(Database!IUZ2,3)</f>
        <v/>
      </c>
      <c r="IUH2" t="str">
        <f>LEFT(Database!IVA2,3)</f>
        <v/>
      </c>
      <c r="IUI2" t="str">
        <f>LEFT(Database!IVB2,3)</f>
        <v/>
      </c>
      <c r="IUJ2" t="str">
        <f>LEFT(Database!IVC2,3)</f>
        <v/>
      </c>
      <c r="IUK2" t="str">
        <f>LEFT(Database!IVD2,3)</f>
        <v/>
      </c>
      <c r="IUL2" t="str">
        <f>LEFT(Database!IVE2,3)</f>
        <v/>
      </c>
      <c r="IUM2" t="str">
        <f>LEFT(Database!IVF2,3)</f>
        <v/>
      </c>
      <c r="IUN2" t="str">
        <f>LEFT(Database!IVG2,3)</f>
        <v/>
      </c>
      <c r="IUO2" t="str">
        <f>LEFT(Database!IVH2,3)</f>
        <v/>
      </c>
      <c r="IUP2" t="str">
        <f>LEFT(Database!IVI2,3)</f>
        <v/>
      </c>
      <c r="IUQ2" t="str">
        <f>LEFT(Database!IVJ2,3)</f>
        <v/>
      </c>
      <c r="IUR2" t="str">
        <f>LEFT(Database!IVK2,3)</f>
        <v/>
      </c>
      <c r="IUS2" t="str">
        <f>LEFT(Database!IVL2,3)</f>
        <v/>
      </c>
      <c r="IUT2" t="str">
        <f>LEFT(Database!IVM2,3)</f>
        <v/>
      </c>
      <c r="IUU2" t="str">
        <f>LEFT(Database!IVN2,3)</f>
        <v/>
      </c>
      <c r="IUV2" t="str">
        <f>LEFT(Database!IVO2,3)</f>
        <v/>
      </c>
      <c r="IUW2" t="str">
        <f>LEFT(Database!IVP2,3)</f>
        <v/>
      </c>
      <c r="IUX2" t="str">
        <f>LEFT(Database!IVQ2,3)</f>
        <v/>
      </c>
      <c r="IUY2" t="str">
        <f>LEFT(Database!IVR2,3)</f>
        <v/>
      </c>
      <c r="IUZ2" t="str">
        <f>LEFT(Database!IVS2,3)</f>
        <v/>
      </c>
      <c r="IVA2" t="str">
        <f>LEFT(Database!IVT2,3)</f>
        <v/>
      </c>
      <c r="IVB2" t="str">
        <f>LEFT(Database!IVU2,3)</f>
        <v/>
      </c>
      <c r="IVC2" t="str">
        <f>LEFT(Database!IVV2,3)</f>
        <v/>
      </c>
      <c r="IVD2" t="str">
        <f>LEFT(Database!IVW2,3)</f>
        <v/>
      </c>
      <c r="IVE2" t="str">
        <f>LEFT(Database!IVX2,3)</f>
        <v/>
      </c>
      <c r="IVF2" t="str">
        <f>LEFT(Database!IVY2,3)</f>
        <v/>
      </c>
      <c r="IVG2" t="str">
        <f>LEFT(Database!IVZ2,3)</f>
        <v/>
      </c>
      <c r="IVH2" t="str">
        <f>LEFT(Database!IWA2,3)</f>
        <v/>
      </c>
      <c r="IVI2" t="str">
        <f>LEFT(Database!IWB2,3)</f>
        <v/>
      </c>
      <c r="IVJ2" t="str">
        <f>LEFT(Database!IWC2,3)</f>
        <v/>
      </c>
      <c r="IVK2" t="str">
        <f>LEFT(Database!IWD2,3)</f>
        <v/>
      </c>
      <c r="IVL2" t="str">
        <f>LEFT(Database!IWE2,3)</f>
        <v/>
      </c>
      <c r="IVM2" t="str">
        <f>LEFT(Database!IWF2,3)</f>
        <v/>
      </c>
      <c r="IVN2" t="str">
        <f>LEFT(Database!IWG2,3)</f>
        <v/>
      </c>
      <c r="IVO2" t="str">
        <f>LEFT(Database!IWH2,3)</f>
        <v/>
      </c>
      <c r="IVP2" t="str">
        <f>LEFT(Database!IWI2,3)</f>
        <v/>
      </c>
      <c r="IVQ2" t="str">
        <f>LEFT(Database!IWJ2,3)</f>
        <v/>
      </c>
      <c r="IVR2" t="str">
        <f>LEFT(Database!IWK2,3)</f>
        <v/>
      </c>
      <c r="IVS2" t="str">
        <f>LEFT(Database!IWL2,3)</f>
        <v/>
      </c>
      <c r="IVT2" t="str">
        <f>LEFT(Database!IWM2,3)</f>
        <v/>
      </c>
      <c r="IVU2" t="str">
        <f>LEFT(Database!IWN2,3)</f>
        <v/>
      </c>
      <c r="IVV2" t="str">
        <f>LEFT(Database!IWO2,3)</f>
        <v/>
      </c>
      <c r="IVW2" t="str">
        <f>LEFT(Database!IWP2,3)</f>
        <v/>
      </c>
      <c r="IVX2" t="str">
        <f>LEFT(Database!IWQ2,3)</f>
        <v/>
      </c>
      <c r="IVY2" t="str">
        <f>LEFT(Database!IWR2,3)</f>
        <v/>
      </c>
      <c r="IVZ2" t="str">
        <f>LEFT(Database!IWS2,3)</f>
        <v/>
      </c>
      <c r="IWA2" t="str">
        <f>LEFT(Database!IWT2,3)</f>
        <v/>
      </c>
      <c r="IWB2" t="str">
        <f>LEFT(Database!IWU2,3)</f>
        <v/>
      </c>
      <c r="IWC2" t="str">
        <f>LEFT(Database!IWV2,3)</f>
        <v/>
      </c>
      <c r="IWD2" t="str">
        <f>LEFT(Database!IWW2,3)</f>
        <v/>
      </c>
      <c r="IWE2" t="str">
        <f>LEFT(Database!IWX2,3)</f>
        <v/>
      </c>
      <c r="IWF2" t="str">
        <f>LEFT(Database!IWY2,3)</f>
        <v/>
      </c>
      <c r="IWG2" t="str">
        <f>LEFT(Database!IWZ2,3)</f>
        <v/>
      </c>
      <c r="IWH2" t="str">
        <f>LEFT(Database!IXA2,3)</f>
        <v/>
      </c>
      <c r="IWI2" t="str">
        <f>LEFT(Database!IXB2,3)</f>
        <v/>
      </c>
      <c r="IWJ2" t="str">
        <f>LEFT(Database!IXC2,3)</f>
        <v/>
      </c>
      <c r="IWK2" t="str">
        <f>LEFT(Database!IXD2,3)</f>
        <v/>
      </c>
      <c r="IWL2" t="str">
        <f>LEFT(Database!IXE2,3)</f>
        <v/>
      </c>
      <c r="IWM2" t="str">
        <f>LEFT(Database!IXF2,3)</f>
        <v/>
      </c>
      <c r="IWN2" t="str">
        <f>LEFT(Database!IXG2,3)</f>
        <v/>
      </c>
      <c r="IWO2" t="str">
        <f>LEFT(Database!IXH2,3)</f>
        <v/>
      </c>
      <c r="IWP2" t="str">
        <f>LEFT(Database!IXI2,3)</f>
        <v/>
      </c>
      <c r="IWQ2" t="str">
        <f>LEFT(Database!IXJ2,3)</f>
        <v/>
      </c>
      <c r="IWR2" t="str">
        <f>LEFT(Database!IXK2,3)</f>
        <v/>
      </c>
      <c r="IWS2" t="str">
        <f>LEFT(Database!IXL2,3)</f>
        <v/>
      </c>
      <c r="IWT2" t="str">
        <f>LEFT(Database!IXM2,3)</f>
        <v/>
      </c>
      <c r="IWU2" t="str">
        <f>LEFT(Database!IXN2,3)</f>
        <v/>
      </c>
      <c r="IWV2" t="str">
        <f>LEFT(Database!IXO2,3)</f>
        <v/>
      </c>
      <c r="IWW2" t="str">
        <f>LEFT(Database!IXP2,3)</f>
        <v/>
      </c>
      <c r="IWX2" t="str">
        <f>LEFT(Database!IXQ2,3)</f>
        <v/>
      </c>
      <c r="IWY2" t="str">
        <f>LEFT(Database!IXR2,3)</f>
        <v/>
      </c>
      <c r="IWZ2" t="str">
        <f>LEFT(Database!IXS2,3)</f>
        <v/>
      </c>
      <c r="IXA2" t="str">
        <f>LEFT(Database!IXT2,3)</f>
        <v/>
      </c>
      <c r="IXB2" t="str">
        <f>LEFT(Database!IXU2,3)</f>
        <v/>
      </c>
      <c r="IXC2" t="str">
        <f>LEFT(Database!IXV2,3)</f>
        <v/>
      </c>
      <c r="IXD2" t="str">
        <f>LEFT(Database!IXW2,3)</f>
        <v/>
      </c>
      <c r="IXE2" t="str">
        <f>LEFT(Database!IXX2,3)</f>
        <v/>
      </c>
      <c r="IXF2" t="str">
        <f>LEFT(Database!IXY2,3)</f>
        <v/>
      </c>
      <c r="IXG2" t="str">
        <f>LEFT(Database!IXZ2,3)</f>
        <v/>
      </c>
      <c r="IXH2" t="str">
        <f>LEFT(Database!IYA2,3)</f>
        <v/>
      </c>
      <c r="IXI2" t="str">
        <f>LEFT(Database!IYB2,3)</f>
        <v/>
      </c>
      <c r="IXJ2" t="str">
        <f>LEFT(Database!IYC2,3)</f>
        <v/>
      </c>
      <c r="IXK2" t="str">
        <f>LEFT(Database!IYD2,3)</f>
        <v/>
      </c>
      <c r="IXL2" t="str">
        <f>LEFT(Database!IYE2,3)</f>
        <v/>
      </c>
      <c r="IXM2" t="str">
        <f>LEFT(Database!IYF2,3)</f>
        <v/>
      </c>
      <c r="IXN2" t="str">
        <f>LEFT(Database!IYG2,3)</f>
        <v/>
      </c>
      <c r="IXO2" t="str">
        <f>LEFT(Database!IYH2,3)</f>
        <v/>
      </c>
      <c r="IXP2" t="str">
        <f>LEFT(Database!IYI2,3)</f>
        <v/>
      </c>
      <c r="IXQ2" t="str">
        <f>LEFT(Database!IYJ2,3)</f>
        <v/>
      </c>
      <c r="IXR2" t="str">
        <f>LEFT(Database!IYK2,3)</f>
        <v/>
      </c>
      <c r="IXS2" t="str">
        <f>LEFT(Database!IYL2,3)</f>
        <v/>
      </c>
      <c r="IXT2" t="str">
        <f>LEFT(Database!IYM2,3)</f>
        <v/>
      </c>
      <c r="IXU2" t="str">
        <f>LEFT(Database!IYN2,3)</f>
        <v/>
      </c>
      <c r="IXV2" t="str">
        <f>LEFT(Database!IYO2,3)</f>
        <v/>
      </c>
      <c r="IXW2" t="str">
        <f>LEFT(Database!IYP2,3)</f>
        <v/>
      </c>
      <c r="IXX2" t="str">
        <f>LEFT(Database!IYQ2,3)</f>
        <v/>
      </c>
      <c r="IXY2" t="str">
        <f>LEFT(Database!IYR2,3)</f>
        <v/>
      </c>
      <c r="IXZ2" t="str">
        <f>LEFT(Database!IYS2,3)</f>
        <v/>
      </c>
      <c r="IYA2" t="str">
        <f>LEFT(Database!IYT2,3)</f>
        <v/>
      </c>
      <c r="IYB2" t="str">
        <f>LEFT(Database!IYU2,3)</f>
        <v/>
      </c>
      <c r="IYC2" t="str">
        <f>LEFT(Database!IYV2,3)</f>
        <v/>
      </c>
      <c r="IYD2" t="str">
        <f>LEFT(Database!IYW2,3)</f>
        <v/>
      </c>
      <c r="IYE2" t="str">
        <f>LEFT(Database!IYX2,3)</f>
        <v/>
      </c>
      <c r="IYF2" t="str">
        <f>LEFT(Database!IYY2,3)</f>
        <v/>
      </c>
      <c r="IYG2" t="str">
        <f>LEFT(Database!IYZ2,3)</f>
        <v/>
      </c>
      <c r="IYH2" t="str">
        <f>LEFT(Database!IZA2,3)</f>
        <v/>
      </c>
      <c r="IYI2" t="str">
        <f>LEFT(Database!IZB2,3)</f>
        <v/>
      </c>
      <c r="IYJ2" t="str">
        <f>LEFT(Database!IZC2,3)</f>
        <v/>
      </c>
      <c r="IYK2" t="str">
        <f>LEFT(Database!IZD2,3)</f>
        <v/>
      </c>
      <c r="IYL2" t="str">
        <f>LEFT(Database!IZE2,3)</f>
        <v/>
      </c>
      <c r="IYM2" t="str">
        <f>LEFT(Database!IZF2,3)</f>
        <v/>
      </c>
      <c r="IYN2" t="str">
        <f>LEFT(Database!IZG2,3)</f>
        <v/>
      </c>
      <c r="IYO2" t="str">
        <f>LEFT(Database!IZH2,3)</f>
        <v/>
      </c>
      <c r="IYP2" t="str">
        <f>LEFT(Database!IZI2,3)</f>
        <v/>
      </c>
      <c r="IYQ2" t="str">
        <f>LEFT(Database!IZJ2,3)</f>
        <v/>
      </c>
      <c r="IYR2" t="str">
        <f>LEFT(Database!IZK2,3)</f>
        <v/>
      </c>
      <c r="IYS2" t="str">
        <f>LEFT(Database!IZL2,3)</f>
        <v/>
      </c>
      <c r="IYT2" t="str">
        <f>LEFT(Database!IZM2,3)</f>
        <v/>
      </c>
      <c r="IYU2" t="str">
        <f>LEFT(Database!IZN2,3)</f>
        <v/>
      </c>
      <c r="IYV2" t="str">
        <f>LEFT(Database!IZO2,3)</f>
        <v/>
      </c>
      <c r="IYW2" t="str">
        <f>LEFT(Database!IZP2,3)</f>
        <v/>
      </c>
      <c r="IYX2" t="str">
        <f>LEFT(Database!IZQ2,3)</f>
        <v/>
      </c>
      <c r="IYY2" t="str">
        <f>LEFT(Database!IZR2,3)</f>
        <v/>
      </c>
      <c r="IYZ2" t="str">
        <f>LEFT(Database!IZS2,3)</f>
        <v/>
      </c>
      <c r="IZA2" t="str">
        <f>LEFT(Database!IZT2,3)</f>
        <v/>
      </c>
      <c r="IZB2" t="str">
        <f>LEFT(Database!IZU2,3)</f>
        <v/>
      </c>
      <c r="IZC2" t="str">
        <f>LEFT(Database!IZV2,3)</f>
        <v/>
      </c>
      <c r="IZD2" t="str">
        <f>LEFT(Database!IZW2,3)</f>
        <v/>
      </c>
      <c r="IZE2" t="str">
        <f>LEFT(Database!IZX2,3)</f>
        <v/>
      </c>
      <c r="IZF2" t="str">
        <f>LEFT(Database!IZY2,3)</f>
        <v/>
      </c>
      <c r="IZG2" t="str">
        <f>LEFT(Database!IZZ2,3)</f>
        <v/>
      </c>
      <c r="IZH2" t="str">
        <f>LEFT(Database!JAA2,3)</f>
        <v/>
      </c>
      <c r="IZI2" t="str">
        <f>LEFT(Database!JAB2,3)</f>
        <v/>
      </c>
      <c r="IZJ2" t="str">
        <f>LEFT(Database!JAC2,3)</f>
        <v/>
      </c>
      <c r="IZK2" t="str">
        <f>LEFT(Database!JAD2,3)</f>
        <v/>
      </c>
      <c r="IZL2" t="str">
        <f>LEFT(Database!JAE2,3)</f>
        <v/>
      </c>
      <c r="IZM2" t="str">
        <f>LEFT(Database!JAF2,3)</f>
        <v/>
      </c>
      <c r="IZN2" t="str">
        <f>LEFT(Database!JAG2,3)</f>
        <v/>
      </c>
      <c r="IZO2" t="str">
        <f>LEFT(Database!JAH2,3)</f>
        <v/>
      </c>
      <c r="IZP2" t="str">
        <f>LEFT(Database!JAI2,3)</f>
        <v/>
      </c>
      <c r="IZQ2" t="str">
        <f>LEFT(Database!JAJ2,3)</f>
        <v/>
      </c>
      <c r="IZR2" t="str">
        <f>LEFT(Database!JAK2,3)</f>
        <v/>
      </c>
      <c r="IZS2" t="str">
        <f>LEFT(Database!JAL2,3)</f>
        <v/>
      </c>
      <c r="IZT2" t="str">
        <f>LEFT(Database!JAM2,3)</f>
        <v/>
      </c>
      <c r="IZU2" t="str">
        <f>LEFT(Database!JAN2,3)</f>
        <v/>
      </c>
      <c r="IZV2" t="str">
        <f>LEFT(Database!JAO2,3)</f>
        <v/>
      </c>
      <c r="IZW2" t="str">
        <f>LEFT(Database!JAP2,3)</f>
        <v/>
      </c>
      <c r="IZX2" t="str">
        <f>LEFT(Database!JAQ2,3)</f>
        <v/>
      </c>
      <c r="IZY2" t="str">
        <f>LEFT(Database!JAR2,3)</f>
        <v/>
      </c>
      <c r="IZZ2" t="str">
        <f>LEFT(Database!JAS2,3)</f>
        <v/>
      </c>
      <c r="JAA2" t="str">
        <f>LEFT(Database!JAT2,3)</f>
        <v/>
      </c>
      <c r="JAB2" t="str">
        <f>LEFT(Database!JAU2,3)</f>
        <v/>
      </c>
      <c r="JAC2" t="str">
        <f>LEFT(Database!JAV2,3)</f>
        <v/>
      </c>
      <c r="JAD2" t="str">
        <f>LEFT(Database!JAW2,3)</f>
        <v/>
      </c>
      <c r="JAE2" t="str">
        <f>LEFT(Database!JAX2,3)</f>
        <v/>
      </c>
      <c r="JAF2" t="str">
        <f>LEFT(Database!JAY2,3)</f>
        <v/>
      </c>
      <c r="JAG2" t="str">
        <f>LEFT(Database!JAZ2,3)</f>
        <v/>
      </c>
      <c r="JAH2" t="str">
        <f>LEFT(Database!JBA2,3)</f>
        <v/>
      </c>
      <c r="JAI2" t="str">
        <f>LEFT(Database!JBB2,3)</f>
        <v/>
      </c>
      <c r="JAJ2" t="str">
        <f>LEFT(Database!JBC2,3)</f>
        <v/>
      </c>
      <c r="JAK2" t="str">
        <f>LEFT(Database!JBD2,3)</f>
        <v/>
      </c>
      <c r="JAL2" t="str">
        <f>LEFT(Database!JBE2,3)</f>
        <v/>
      </c>
      <c r="JAM2" t="str">
        <f>LEFT(Database!JBF2,3)</f>
        <v/>
      </c>
      <c r="JAN2" t="str">
        <f>LEFT(Database!JBG2,3)</f>
        <v/>
      </c>
      <c r="JAO2" t="str">
        <f>LEFT(Database!JBH2,3)</f>
        <v/>
      </c>
      <c r="JAP2" t="str">
        <f>LEFT(Database!JBI2,3)</f>
        <v/>
      </c>
      <c r="JAQ2" t="str">
        <f>LEFT(Database!JBJ2,3)</f>
        <v/>
      </c>
      <c r="JAR2" t="str">
        <f>LEFT(Database!JBK2,3)</f>
        <v/>
      </c>
      <c r="JAS2" t="str">
        <f>LEFT(Database!JBL2,3)</f>
        <v/>
      </c>
      <c r="JAT2" t="str">
        <f>LEFT(Database!JBM2,3)</f>
        <v/>
      </c>
      <c r="JAU2" t="str">
        <f>LEFT(Database!JBN2,3)</f>
        <v/>
      </c>
      <c r="JAV2" t="str">
        <f>LEFT(Database!JBO2,3)</f>
        <v/>
      </c>
      <c r="JAW2" t="str">
        <f>LEFT(Database!JBP2,3)</f>
        <v/>
      </c>
      <c r="JAX2" t="str">
        <f>LEFT(Database!JBQ2,3)</f>
        <v/>
      </c>
      <c r="JAY2" t="str">
        <f>LEFT(Database!JBR2,3)</f>
        <v/>
      </c>
      <c r="JAZ2" t="str">
        <f>LEFT(Database!JBS2,3)</f>
        <v/>
      </c>
      <c r="JBA2" t="str">
        <f>LEFT(Database!JBT2,3)</f>
        <v/>
      </c>
      <c r="JBB2" t="str">
        <f>LEFT(Database!JBU2,3)</f>
        <v/>
      </c>
      <c r="JBC2" t="str">
        <f>LEFT(Database!JBV2,3)</f>
        <v/>
      </c>
      <c r="JBD2" t="str">
        <f>LEFT(Database!JBW2,3)</f>
        <v/>
      </c>
      <c r="JBE2" t="str">
        <f>LEFT(Database!JBX2,3)</f>
        <v/>
      </c>
      <c r="JBF2" t="str">
        <f>LEFT(Database!JBY2,3)</f>
        <v/>
      </c>
      <c r="JBG2" t="str">
        <f>LEFT(Database!JBZ2,3)</f>
        <v/>
      </c>
      <c r="JBH2" t="str">
        <f>LEFT(Database!JCA2,3)</f>
        <v/>
      </c>
      <c r="JBI2" t="str">
        <f>LEFT(Database!JCB2,3)</f>
        <v/>
      </c>
      <c r="JBJ2" t="str">
        <f>LEFT(Database!JCC2,3)</f>
        <v/>
      </c>
      <c r="JBK2" t="str">
        <f>LEFT(Database!JCD2,3)</f>
        <v/>
      </c>
      <c r="JBL2" t="str">
        <f>LEFT(Database!JCE2,3)</f>
        <v/>
      </c>
      <c r="JBM2" t="str">
        <f>LEFT(Database!JCF2,3)</f>
        <v/>
      </c>
      <c r="JBN2" t="str">
        <f>LEFT(Database!JCG2,3)</f>
        <v/>
      </c>
      <c r="JBO2" t="str">
        <f>LEFT(Database!JCH2,3)</f>
        <v/>
      </c>
      <c r="JBP2" t="str">
        <f>LEFT(Database!JCI2,3)</f>
        <v/>
      </c>
      <c r="JBQ2" t="str">
        <f>LEFT(Database!JCJ2,3)</f>
        <v/>
      </c>
      <c r="JBR2" t="str">
        <f>LEFT(Database!JCK2,3)</f>
        <v/>
      </c>
      <c r="JBS2" t="str">
        <f>LEFT(Database!JCL2,3)</f>
        <v/>
      </c>
      <c r="JBT2" t="str">
        <f>LEFT(Database!JCM2,3)</f>
        <v/>
      </c>
      <c r="JBU2" t="str">
        <f>LEFT(Database!JCN2,3)</f>
        <v/>
      </c>
      <c r="JBV2" t="str">
        <f>LEFT(Database!JCO2,3)</f>
        <v/>
      </c>
      <c r="JBW2" t="str">
        <f>LEFT(Database!JCP2,3)</f>
        <v/>
      </c>
      <c r="JBX2" t="str">
        <f>LEFT(Database!JCQ2,3)</f>
        <v/>
      </c>
      <c r="JBY2" t="str">
        <f>LEFT(Database!JCR2,3)</f>
        <v/>
      </c>
      <c r="JBZ2" t="str">
        <f>LEFT(Database!JCS2,3)</f>
        <v/>
      </c>
      <c r="JCA2" t="str">
        <f>LEFT(Database!JCT2,3)</f>
        <v/>
      </c>
      <c r="JCB2" t="str">
        <f>LEFT(Database!JCU2,3)</f>
        <v/>
      </c>
      <c r="JCC2" t="str">
        <f>LEFT(Database!JCV2,3)</f>
        <v/>
      </c>
      <c r="JCD2" t="str">
        <f>LEFT(Database!JCW2,3)</f>
        <v/>
      </c>
      <c r="JCE2" t="str">
        <f>LEFT(Database!JCX2,3)</f>
        <v/>
      </c>
      <c r="JCF2" t="str">
        <f>LEFT(Database!JCY2,3)</f>
        <v/>
      </c>
      <c r="JCG2" t="str">
        <f>LEFT(Database!JCZ2,3)</f>
        <v/>
      </c>
      <c r="JCH2" t="str">
        <f>LEFT(Database!JDA2,3)</f>
        <v/>
      </c>
      <c r="JCI2" t="str">
        <f>LEFT(Database!JDB2,3)</f>
        <v/>
      </c>
      <c r="JCJ2" t="str">
        <f>LEFT(Database!JDC2,3)</f>
        <v/>
      </c>
      <c r="JCK2" t="str">
        <f>LEFT(Database!JDD2,3)</f>
        <v/>
      </c>
      <c r="JCL2" t="str">
        <f>LEFT(Database!JDE2,3)</f>
        <v/>
      </c>
      <c r="JCM2" t="str">
        <f>LEFT(Database!JDF2,3)</f>
        <v/>
      </c>
      <c r="JCN2" t="str">
        <f>LEFT(Database!JDG2,3)</f>
        <v/>
      </c>
      <c r="JCO2" t="str">
        <f>LEFT(Database!JDH2,3)</f>
        <v/>
      </c>
      <c r="JCP2" t="str">
        <f>LEFT(Database!JDI2,3)</f>
        <v/>
      </c>
      <c r="JCQ2" t="str">
        <f>LEFT(Database!JDJ2,3)</f>
        <v/>
      </c>
      <c r="JCR2" t="str">
        <f>LEFT(Database!JDK2,3)</f>
        <v/>
      </c>
      <c r="JCS2" t="str">
        <f>LEFT(Database!JDL2,3)</f>
        <v/>
      </c>
      <c r="JCT2" t="str">
        <f>LEFT(Database!JDM2,3)</f>
        <v/>
      </c>
      <c r="JCU2" t="str">
        <f>LEFT(Database!JDN2,3)</f>
        <v/>
      </c>
      <c r="JCV2" t="str">
        <f>LEFT(Database!JDO2,3)</f>
        <v/>
      </c>
      <c r="JCW2" t="str">
        <f>LEFT(Database!JDP2,3)</f>
        <v/>
      </c>
      <c r="JCX2" t="str">
        <f>LEFT(Database!JDQ2,3)</f>
        <v/>
      </c>
      <c r="JCY2" t="str">
        <f>LEFT(Database!JDR2,3)</f>
        <v/>
      </c>
      <c r="JCZ2" t="str">
        <f>LEFT(Database!JDS2,3)</f>
        <v/>
      </c>
      <c r="JDA2" t="str">
        <f>LEFT(Database!JDT2,3)</f>
        <v/>
      </c>
      <c r="JDB2" t="str">
        <f>LEFT(Database!JDU2,3)</f>
        <v/>
      </c>
      <c r="JDC2" t="str">
        <f>LEFT(Database!JDV2,3)</f>
        <v/>
      </c>
      <c r="JDD2" t="str">
        <f>LEFT(Database!JDW2,3)</f>
        <v/>
      </c>
      <c r="JDE2" t="str">
        <f>LEFT(Database!JDX2,3)</f>
        <v/>
      </c>
      <c r="JDF2" t="str">
        <f>LEFT(Database!JDY2,3)</f>
        <v/>
      </c>
      <c r="JDG2" t="str">
        <f>LEFT(Database!JDZ2,3)</f>
        <v/>
      </c>
      <c r="JDH2" t="str">
        <f>LEFT(Database!JEA2,3)</f>
        <v/>
      </c>
      <c r="JDI2" t="str">
        <f>LEFT(Database!JEB2,3)</f>
        <v/>
      </c>
      <c r="JDJ2" t="str">
        <f>LEFT(Database!JEC2,3)</f>
        <v/>
      </c>
      <c r="JDK2" t="str">
        <f>LEFT(Database!JED2,3)</f>
        <v/>
      </c>
      <c r="JDL2" t="str">
        <f>LEFT(Database!JEE2,3)</f>
        <v/>
      </c>
      <c r="JDM2" t="str">
        <f>LEFT(Database!JEF2,3)</f>
        <v/>
      </c>
      <c r="JDN2" t="str">
        <f>LEFT(Database!JEG2,3)</f>
        <v/>
      </c>
      <c r="JDO2" t="str">
        <f>LEFT(Database!JEH2,3)</f>
        <v/>
      </c>
      <c r="JDP2" t="str">
        <f>LEFT(Database!JEI2,3)</f>
        <v/>
      </c>
      <c r="JDQ2" t="str">
        <f>LEFT(Database!JEJ2,3)</f>
        <v/>
      </c>
      <c r="JDR2" t="str">
        <f>LEFT(Database!JEK2,3)</f>
        <v/>
      </c>
      <c r="JDS2" t="str">
        <f>LEFT(Database!JEL2,3)</f>
        <v/>
      </c>
      <c r="JDT2" t="str">
        <f>LEFT(Database!JEM2,3)</f>
        <v/>
      </c>
      <c r="JDU2" t="str">
        <f>LEFT(Database!JEN2,3)</f>
        <v/>
      </c>
      <c r="JDV2" t="str">
        <f>LEFT(Database!JEO2,3)</f>
        <v/>
      </c>
      <c r="JDW2" t="str">
        <f>LEFT(Database!JEP2,3)</f>
        <v/>
      </c>
      <c r="JDX2" t="str">
        <f>LEFT(Database!JEQ2,3)</f>
        <v/>
      </c>
      <c r="JDY2" t="str">
        <f>LEFT(Database!JER2,3)</f>
        <v/>
      </c>
      <c r="JDZ2" t="str">
        <f>LEFT(Database!JES2,3)</f>
        <v/>
      </c>
      <c r="JEA2" t="str">
        <f>LEFT(Database!JET2,3)</f>
        <v/>
      </c>
      <c r="JEB2" t="str">
        <f>LEFT(Database!JEU2,3)</f>
        <v/>
      </c>
      <c r="JEC2" t="str">
        <f>LEFT(Database!JEV2,3)</f>
        <v/>
      </c>
      <c r="JED2" t="str">
        <f>LEFT(Database!JEW2,3)</f>
        <v/>
      </c>
      <c r="JEE2" t="str">
        <f>LEFT(Database!JEX2,3)</f>
        <v/>
      </c>
      <c r="JEF2" t="str">
        <f>LEFT(Database!JEY2,3)</f>
        <v/>
      </c>
      <c r="JEG2" t="str">
        <f>LEFT(Database!JEZ2,3)</f>
        <v/>
      </c>
      <c r="JEH2" t="str">
        <f>LEFT(Database!JFA2,3)</f>
        <v/>
      </c>
      <c r="JEI2" t="str">
        <f>LEFT(Database!JFB2,3)</f>
        <v/>
      </c>
      <c r="JEJ2" t="str">
        <f>LEFT(Database!JFC2,3)</f>
        <v/>
      </c>
      <c r="JEK2" t="str">
        <f>LEFT(Database!JFD2,3)</f>
        <v/>
      </c>
      <c r="JEL2" t="str">
        <f>LEFT(Database!JFE2,3)</f>
        <v/>
      </c>
      <c r="JEM2" t="str">
        <f>LEFT(Database!JFF2,3)</f>
        <v/>
      </c>
      <c r="JEN2" t="str">
        <f>LEFT(Database!JFG2,3)</f>
        <v/>
      </c>
      <c r="JEO2" t="str">
        <f>LEFT(Database!JFH2,3)</f>
        <v/>
      </c>
      <c r="JEP2" t="str">
        <f>LEFT(Database!JFI2,3)</f>
        <v/>
      </c>
      <c r="JEQ2" t="str">
        <f>LEFT(Database!JFJ2,3)</f>
        <v/>
      </c>
      <c r="JER2" t="str">
        <f>LEFT(Database!JFK2,3)</f>
        <v/>
      </c>
      <c r="JES2" t="str">
        <f>LEFT(Database!JFL2,3)</f>
        <v/>
      </c>
      <c r="JET2" t="str">
        <f>LEFT(Database!JFM2,3)</f>
        <v/>
      </c>
      <c r="JEU2" t="str">
        <f>LEFT(Database!JFN2,3)</f>
        <v/>
      </c>
      <c r="JEV2" t="str">
        <f>LEFT(Database!JFO2,3)</f>
        <v/>
      </c>
      <c r="JEW2" t="str">
        <f>LEFT(Database!JFP2,3)</f>
        <v/>
      </c>
      <c r="JEX2" t="str">
        <f>LEFT(Database!JFQ2,3)</f>
        <v/>
      </c>
      <c r="JEY2" t="str">
        <f>LEFT(Database!JFR2,3)</f>
        <v/>
      </c>
      <c r="JEZ2" t="str">
        <f>LEFT(Database!JFS2,3)</f>
        <v/>
      </c>
      <c r="JFA2" t="str">
        <f>LEFT(Database!JFT2,3)</f>
        <v/>
      </c>
      <c r="JFB2" t="str">
        <f>LEFT(Database!JFU2,3)</f>
        <v/>
      </c>
      <c r="JFC2" t="str">
        <f>LEFT(Database!JFV2,3)</f>
        <v/>
      </c>
      <c r="JFD2" t="str">
        <f>LEFT(Database!JFW2,3)</f>
        <v/>
      </c>
      <c r="JFE2" t="str">
        <f>LEFT(Database!JFX2,3)</f>
        <v/>
      </c>
      <c r="JFF2" t="str">
        <f>LEFT(Database!JFY2,3)</f>
        <v/>
      </c>
      <c r="JFG2" t="str">
        <f>LEFT(Database!JFZ2,3)</f>
        <v/>
      </c>
      <c r="JFH2" t="str">
        <f>LEFT(Database!JGA2,3)</f>
        <v/>
      </c>
      <c r="JFI2" t="str">
        <f>LEFT(Database!JGB2,3)</f>
        <v/>
      </c>
      <c r="JFJ2" t="str">
        <f>LEFT(Database!JGC2,3)</f>
        <v/>
      </c>
      <c r="JFK2" t="str">
        <f>LEFT(Database!JGD2,3)</f>
        <v/>
      </c>
      <c r="JFL2" t="str">
        <f>LEFT(Database!JGE2,3)</f>
        <v/>
      </c>
      <c r="JFM2" t="str">
        <f>LEFT(Database!JGF2,3)</f>
        <v/>
      </c>
      <c r="JFN2" t="str">
        <f>LEFT(Database!JGG2,3)</f>
        <v/>
      </c>
      <c r="JFO2" t="str">
        <f>LEFT(Database!JGH2,3)</f>
        <v/>
      </c>
      <c r="JFP2" t="str">
        <f>LEFT(Database!JGI2,3)</f>
        <v/>
      </c>
      <c r="JFQ2" t="str">
        <f>LEFT(Database!JGJ2,3)</f>
        <v/>
      </c>
      <c r="JFR2" t="str">
        <f>LEFT(Database!JGK2,3)</f>
        <v/>
      </c>
      <c r="JFS2" t="str">
        <f>LEFT(Database!JGL2,3)</f>
        <v/>
      </c>
      <c r="JFT2" t="str">
        <f>LEFT(Database!JGM2,3)</f>
        <v/>
      </c>
      <c r="JFU2" t="str">
        <f>LEFT(Database!JGN2,3)</f>
        <v/>
      </c>
      <c r="JFV2" t="str">
        <f>LEFT(Database!JGO2,3)</f>
        <v/>
      </c>
      <c r="JFW2" t="str">
        <f>LEFT(Database!JGP2,3)</f>
        <v/>
      </c>
      <c r="JFX2" t="str">
        <f>LEFT(Database!JGQ2,3)</f>
        <v/>
      </c>
      <c r="JFY2" t="str">
        <f>LEFT(Database!JGR2,3)</f>
        <v/>
      </c>
      <c r="JFZ2" t="str">
        <f>LEFT(Database!JGS2,3)</f>
        <v/>
      </c>
      <c r="JGA2" t="str">
        <f>LEFT(Database!JGT2,3)</f>
        <v/>
      </c>
      <c r="JGB2" t="str">
        <f>LEFT(Database!JGU2,3)</f>
        <v/>
      </c>
      <c r="JGC2" t="str">
        <f>LEFT(Database!JGV2,3)</f>
        <v/>
      </c>
      <c r="JGD2" t="str">
        <f>LEFT(Database!JGW2,3)</f>
        <v/>
      </c>
      <c r="JGE2" t="str">
        <f>LEFT(Database!JGX2,3)</f>
        <v/>
      </c>
      <c r="JGF2" t="str">
        <f>LEFT(Database!JGY2,3)</f>
        <v/>
      </c>
      <c r="JGG2" t="str">
        <f>LEFT(Database!JGZ2,3)</f>
        <v/>
      </c>
      <c r="JGH2" t="str">
        <f>LEFT(Database!JHA2,3)</f>
        <v/>
      </c>
      <c r="JGI2" t="str">
        <f>LEFT(Database!JHB2,3)</f>
        <v/>
      </c>
      <c r="JGJ2" t="str">
        <f>LEFT(Database!JHC2,3)</f>
        <v/>
      </c>
      <c r="JGK2" t="str">
        <f>LEFT(Database!JHD2,3)</f>
        <v/>
      </c>
      <c r="JGL2" t="str">
        <f>LEFT(Database!JHE2,3)</f>
        <v/>
      </c>
      <c r="JGM2" t="str">
        <f>LEFT(Database!JHF2,3)</f>
        <v/>
      </c>
      <c r="JGN2" t="str">
        <f>LEFT(Database!JHG2,3)</f>
        <v/>
      </c>
      <c r="JGO2" t="str">
        <f>LEFT(Database!JHH2,3)</f>
        <v/>
      </c>
      <c r="JGP2" t="str">
        <f>LEFT(Database!JHI2,3)</f>
        <v/>
      </c>
      <c r="JGQ2" t="str">
        <f>LEFT(Database!JHJ2,3)</f>
        <v/>
      </c>
      <c r="JGR2" t="str">
        <f>LEFT(Database!JHK2,3)</f>
        <v/>
      </c>
      <c r="JGS2" t="str">
        <f>LEFT(Database!JHL2,3)</f>
        <v/>
      </c>
      <c r="JGT2" t="str">
        <f>LEFT(Database!JHM2,3)</f>
        <v/>
      </c>
      <c r="JGU2" t="str">
        <f>LEFT(Database!JHN2,3)</f>
        <v/>
      </c>
      <c r="JGV2" t="str">
        <f>LEFT(Database!JHO2,3)</f>
        <v/>
      </c>
      <c r="JGW2" t="str">
        <f>LEFT(Database!JHP2,3)</f>
        <v/>
      </c>
      <c r="JGX2" t="str">
        <f>LEFT(Database!JHQ2,3)</f>
        <v/>
      </c>
      <c r="JGY2" t="str">
        <f>LEFT(Database!JHR2,3)</f>
        <v/>
      </c>
      <c r="JGZ2" t="str">
        <f>LEFT(Database!JHS2,3)</f>
        <v/>
      </c>
      <c r="JHA2" t="str">
        <f>LEFT(Database!JHT2,3)</f>
        <v/>
      </c>
      <c r="JHB2" t="str">
        <f>LEFT(Database!JHU2,3)</f>
        <v/>
      </c>
      <c r="JHC2" t="str">
        <f>LEFT(Database!JHV2,3)</f>
        <v/>
      </c>
      <c r="JHD2" t="str">
        <f>LEFT(Database!JHW2,3)</f>
        <v/>
      </c>
      <c r="JHE2" t="str">
        <f>LEFT(Database!JHX2,3)</f>
        <v/>
      </c>
      <c r="JHF2" t="str">
        <f>LEFT(Database!JHY2,3)</f>
        <v/>
      </c>
      <c r="JHG2" t="str">
        <f>LEFT(Database!JHZ2,3)</f>
        <v/>
      </c>
      <c r="JHH2" t="str">
        <f>LEFT(Database!JIA2,3)</f>
        <v/>
      </c>
      <c r="JHI2" t="str">
        <f>LEFT(Database!JIB2,3)</f>
        <v/>
      </c>
      <c r="JHJ2" t="str">
        <f>LEFT(Database!JIC2,3)</f>
        <v/>
      </c>
      <c r="JHK2" t="str">
        <f>LEFT(Database!JID2,3)</f>
        <v/>
      </c>
      <c r="JHL2" t="str">
        <f>LEFT(Database!JIE2,3)</f>
        <v/>
      </c>
      <c r="JHM2" t="str">
        <f>LEFT(Database!JIF2,3)</f>
        <v/>
      </c>
      <c r="JHN2" t="str">
        <f>LEFT(Database!JIG2,3)</f>
        <v/>
      </c>
      <c r="JHO2" t="str">
        <f>LEFT(Database!JIH2,3)</f>
        <v/>
      </c>
      <c r="JHP2" t="str">
        <f>LEFT(Database!JII2,3)</f>
        <v/>
      </c>
      <c r="JHQ2" t="str">
        <f>LEFT(Database!JIJ2,3)</f>
        <v/>
      </c>
      <c r="JHR2" t="str">
        <f>LEFT(Database!JIK2,3)</f>
        <v/>
      </c>
      <c r="JHS2" t="str">
        <f>LEFT(Database!JIL2,3)</f>
        <v/>
      </c>
      <c r="JHT2" t="str">
        <f>LEFT(Database!JIM2,3)</f>
        <v/>
      </c>
      <c r="JHU2" t="str">
        <f>LEFT(Database!JIN2,3)</f>
        <v/>
      </c>
      <c r="JHV2" t="str">
        <f>LEFT(Database!JIO2,3)</f>
        <v/>
      </c>
      <c r="JHW2" t="str">
        <f>LEFT(Database!JIP2,3)</f>
        <v/>
      </c>
      <c r="JHX2" t="str">
        <f>LEFT(Database!JIQ2,3)</f>
        <v/>
      </c>
      <c r="JHY2" t="str">
        <f>LEFT(Database!JIR2,3)</f>
        <v/>
      </c>
      <c r="JHZ2" t="str">
        <f>LEFT(Database!JIS2,3)</f>
        <v/>
      </c>
      <c r="JIA2" t="str">
        <f>LEFT(Database!JIT2,3)</f>
        <v/>
      </c>
      <c r="JIB2" t="str">
        <f>LEFT(Database!JIU2,3)</f>
        <v/>
      </c>
      <c r="JIC2" t="str">
        <f>LEFT(Database!JIV2,3)</f>
        <v/>
      </c>
      <c r="JID2" t="str">
        <f>LEFT(Database!JIW2,3)</f>
        <v/>
      </c>
      <c r="JIE2" t="str">
        <f>LEFT(Database!JIX2,3)</f>
        <v/>
      </c>
      <c r="JIF2" t="str">
        <f>LEFT(Database!JIY2,3)</f>
        <v/>
      </c>
      <c r="JIG2" t="str">
        <f>LEFT(Database!JIZ2,3)</f>
        <v/>
      </c>
      <c r="JIH2" t="str">
        <f>LEFT(Database!JJA2,3)</f>
        <v/>
      </c>
      <c r="JII2" t="str">
        <f>LEFT(Database!JJB2,3)</f>
        <v/>
      </c>
      <c r="JIJ2" t="str">
        <f>LEFT(Database!JJC2,3)</f>
        <v/>
      </c>
      <c r="JIK2" t="str">
        <f>LEFT(Database!JJD2,3)</f>
        <v/>
      </c>
      <c r="JIL2" t="str">
        <f>LEFT(Database!JJE2,3)</f>
        <v/>
      </c>
      <c r="JIM2" t="str">
        <f>LEFT(Database!JJF2,3)</f>
        <v/>
      </c>
      <c r="JIN2" t="str">
        <f>LEFT(Database!JJG2,3)</f>
        <v/>
      </c>
      <c r="JIO2" t="str">
        <f>LEFT(Database!JJH2,3)</f>
        <v/>
      </c>
      <c r="JIP2" t="str">
        <f>LEFT(Database!JJI2,3)</f>
        <v/>
      </c>
      <c r="JIQ2" t="str">
        <f>LEFT(Database!JJJ2,3)</f>
        <v/>
      </c>
      <c r="JIR2" t="str">
        <f>LEFT(Database!JJK2,3)</f>
        <v/>
      </c>
      <c r="JIS2" t="str">
        <f>LEFT(Database!JJL2,3)</f>
        <v/>
      </c>
      <c r="JIT2" t="str">
        <f>LEFT(Database!JJM2,3)</f>
        <v/>
      </c>
      <c r="JIU2" t="str">
        <f>LEFT(Database!JJN2,3)</f>
        <v/>
      </c>
      <c r="JIV2" t="str">
        <f>LEFT(Database!JJO2,3)</f>
        <v/>
      </c>
      <c r="JIW2" t="str">
        <f>LEFT(Database!JJP2,3)</f>
        <v/>
      </c>
      <c r="JIX2" t="str">
        <f>LEFT(Database!JJQ2,3)</f>
        <v/>
      </c>
      <c r="JIY2" t="str">
        <f>LEFT(Database!JJR2,3)</f>
        <v/>
      </c>
      <c r="JIZ2" t="str">
        <f>LEFT(Database!JJS2,3)</f>
        <v/>
      </c>
      <c r="JJA2" t="str">
        <f>LEFT(Database!JJT2,3)</f>
        <v/>
      </c>
      <c r="JJB2" t="str">
        <f>LEFT(Database!JJU2,3)</f>
        <v/>
      </c>
      <c r="JJC2" t="str">
        <f>LEFT(Database!JJV2,3)</f>
        <v/>
      </c>
      <c r="JJD2" t="str">
        <f>LEFT(Database!JJW2,3)</f>
        <v/>
      </c>
      <c r="JJE2" t="str">
        <f>LEFT(Database!JJX2,3)</f>
        <v/>
      </c>
      <c r="JJF2" t="str">
        <f>LEFT(Database!JJY2,3)</f>
        <v/>
      </c>
      <c r="JJG2" t="str">
        <f>LEFT(Database!JJZ2,3)</f>
        <v/>
      </c>
      <c r="JJH2" t="str">
        <f>LEFT(Database!JKA2,3)</f>
        <v/>
      </c>
      <c r="JJI2" t="str">
        <f>LEFT(Database!JKB2,3)</f>
        <v/>
      </c>
      <c r="JJJ2" t="str">
        <f>LEFT(Database!JKC2,3)</f>
        <v/>
      </c>
      <c r="JJK2" t="str">
        <f>LEFT(Database!JKD2,3)</f>
        <v/>
      </c>
      <c r="JJL2" t="str">
        <f>LEFT(Database!JKE2,3)</f>
        <v/>
      </c>
      <c r="JJM2" t="str">
        <f>LEFT(Database!JKF2,3)</f>
        <v/>
      </c>
      <c r="JJN2" t="str">
        <f>LEFT(Database!JKG2,3)</f>
        <v/>
      </c>
      <c r="JJO2" t="str">
        <f>LEFT(Database!JKH2,3)</f>
        <v/>
      </c>
      <c r="JJP2" t="str">
        <f>LEFT(Database!JKI2,3)</f>
        <v/>
      </c>
      <c r="JJQ2" t="str">
        <f>LEFT(Database!JKJ2,3)</f>
        <v/>
      </c>
      <c r="JJR2" t="str">
        <f>LEFT(Database!JKK2,3)</f>
        <v/>
      </c>
      <c r="JJS2" t="str">
        <f>LEFT(Database!JKL2,3)</f>
        <v/>
      </c>
      <c r="JJT2" t="str">
        <f>LEFT(Database!JKM2,3)</f>
        <v/>
      </c>
      <c r="JJU2" t="str">
        <f>LEFT(Database!JKN2,3)</f>
        <v/>
      </c>
      <c r="JJV2" t="str">
        <f>LEFT(Database!JKO2,3)</f>
        <v/>
      </c>
      <c r="JJW2" t="str">
        <f>LEFT(Database!JKP2,3)</f>
        <v/>
      </c>
      <c r="JJX2" t="str">
        <f>LEFT(Database!JKQ2,3)</f>
        <v/>
      </c>
      <c r="JJY2" t="str">
        <f>LEFT(Database!JKR2,3)</f>
        <v/>
      </c>
      <c r="JJZ2" t="str">
        <f>LEFT(Database!JKS2,3)</f>
        <v/>
      </c>
      <c r="JKA2" t="str">
        <f>LEFT(Database!JKT2,3)</f>
        <v/>
      </c>
      <c r="JKB2" t="str">
        <f>LEFT(Database!JKU2,3)</f>
        <v/>
      </c>
      <c r="JKC2" t="str">
        <f>LEFT(Database!JKV2,3)</f>
        <v/>
      </c>
      <c r="JKD2" t="str">
        <f>LEFT(Database!JKW2,3)</f>
        <v/>
      </c>
      <c r="JKE2" t="str">
        <f>LEFT(Database!JKX2,3)</f>
        <v/>
      </c>
      <c r="JKF2" t="str">
        <f>LEFT(Database!JKY2,3)</f>
        <v/>
      </c>
      <c r="JKG2" t="str">
        <f>LEFT(Database!JKZ2,3)</f>
        <v/>
      </c>
      <c r="JKH2" t="str">
        <f>LEFT(Database!JLA2,3)</f>
        <v/>
      </c>
      <c r="JKI2" t="str">
        <f>LEFT(Database!JLB2,3)</f>
        <v/>
      </c>
      <c r="JKJ2" t="str">
        <f>LEFT(Database!JLC2,3)</f>
        <v/>
      </c>
      <c r="JKK2" t="str">
        <f>LEFT(Database!JLD2,3)</f>
        <v/>
      </c>
      <c r="JKL2" t="str">
        <f>LEFT(Database!JLE2,3)</f>
        <v/>
      </c>
      <c r="JKM2" t="str">
        <f>LEFT(Database!JLF2,3)</f>
        <v/>
      </c>
      <c r="JKN2" t="str">
        <f>LEFT(Database!JLG2,3)</f>
        <v/>
      </c>
      <c r="JKO2" t="str">
        <f>LEFT(Database!JLH2,3)</f>
        <v/>
      </c>
      <c r="JKP2" t="str">
        <f>LEFT(Database!JLI2,3)</f>
        <v/>
      </c>
      <c r="JKQ2" t="str">
        <f>LEFT(Database!JLJ2,3)</f>
        <v/>
      </c>
      <c r="JKR2" t="str">
        <f>LEFT(Database!JLK2,3)</f>
        <v/>
      </c>
      <c r="JKS2" t="str">
        <f>LEFT(Database!JLL2,3)</f>
        <v/>
      </c>
      <c r="JKT2" t="str">
        <f>LEFT(Database!JLM2,3)</f>
        <v/>
      </c>
      <c r="JKU2" t="str">
        <f>LEFT(Database!JLN2,3)</f>
        <v/>
      </c>
      <c r="JKV2" t="str">
        <f>LEFT(Database!JLO2,3)</f>
        <v/>
      </c>
      <c r="JKW2" t="str">
        <f>LEFT(Database!JLP2,3)</f>
        <v/>
      </c>
      <c r="JKX2" t="str">
        <f>LEFT(Database!JLQ2,3)</f>
        <v/>
      </c>
      <c r="JKY2" t="str">
        <f>LEFT(Database!JLR2,3)</f>
        <v/>
      </c>
      <c r="JKZ2" t="str">
        <f>LEFT(Database!JLS2,3)</f>
        <v/>
      </c>
      <c r="JLA2" t="str">
        <f>LEFT(Database!JLT2,3)</f>
        <v/>
      </c>
      <c r="JLB2" t="str">
        <f>LEFT(Database!JLU2,3)</f>
        <v/>
      </c>
      <c r="JLC2" t="str">
        <f>LEFT(Database!JLV2,3)</f>
        <v/>
      </c>
      <c r="JLD2" t="str">
        <f>LEFT(Database!JLW2,3)</f>
        <v/>
      </c>
      <c r="JLE2" t="str">
        <f>LEFT(Database!JLX2,3)</f>
        <v/>
      </c>
      <c r="JLF2" t="str">
        <f>LEFT(Database!JLY2,3)</f>
        <v/>
      </c>
      <c r="JLG2" t="str">
        <f>LEFT(Database!JLZ2,3)</f>
        <v/>
      </c>
      <c r="JLH2" t="str">
        <f>LEFT(Database!JMA2,3)</f>
        <v/>
      </c>
      <c r="JLI2" t="str">
        <f>LEFT(Database!JMB2,3)</f>
        <v/>
      </c>
      <c r="JLJ2" t="str">
        <f>LEFT(Database!JMC2,3)</f>
        <v/>
      </c>
      <c r="JLK2" t="str">
        <f>LEFT(Database!JMD2,3)</f>
        <v/>
      </c>
      <c r="JLL2" t="str">
        <f>LEFT(Database!JME2,3)</f>
        <v/>
      </c>
      <c r="JLM2" t="str">
        <f>LEFT(Database!JMF2,3)</f>
        <v/>
      </c>
      <c r="JLN2" t="str">
        <f>LEFT(Database!JMG2,3)</f>
        <v/>
      </c>
      <c r="JLO2" t="str">
        <f>LEFT(Database!JMH2,3)</f>
        <v/>
      </c>
      <c r="JLP2" t="str">
        <f>LEFT(Database!JMI2,3)</f>
        <v/>
      </c>
      <c r="JLQ2" t="str">
        <f>LEFT(Database!JMJ2,3)</f>
        <v/>
      </c>
      <c r="JLR2" t="str">
        <f>LEFT(Database!JMK2,3)</f>
        <v/>
      </c>
      <c r="JLS2" t="str">
        <f>LEFT(Database!JML2,3)</f>
        <v/>
      </c>
      <c r="JLT2" t="str">
        <f>LEFT(Database!JMM2,3)</f>
        <v/>
      </c>
      <c r="JLU2" t="str">
        <f>LEFT(Database!JMN2,3)</f>
        <v/>
      </c>
      <c r="JLV2" t="str">
        <f>LEFT(Database!JMO2,3)</f>
        <v/>
      </c>
      <c r="JLW2" t="str">
        <f>LEFT(Database!JMP2,3)</f>
        <v/>
      </c>
      <c r="JLX2" t="str">
        <f>LEFT(Database!JMQ2,3)</f>
        <v/>
      </c>
      <c r="JLY2" t="str">
        <f>LEFT(Database!JMR2,3)</f>
        <v/>
      </c>
      <c r="JLZ2" t="str">
        <f>LEFT(Database!JMS2,3)</f>
        <v/>
      </c>
      <c r="JMA2" t="str">
        <f>LEFT(Database!JMT2,3)</f>
        <v/>
      </c>
      <c r="JMB2" t="str">
        <f>LEFT(Database!JMU2,3)</f>
        <v/>
      </c>
      <c r="JMC2" t="str">
        <f>LEFT(Database!JMV2,3)</f>
        <v/>
      </c>
      <c r="JMD2" t="str">
        <f>LEFT(Database!JMW2,3)</f>
        <v/>
      </c>
      <c r="JME2" t="str">
        <f>LEFT(Database!JMX2,3)</f>
        <v/>
      </c>
      <c r="JMF2" t="str">
        <f>LEFT(Database!JMY2,3)</f>
        <v/>
      </c>
      <c r="JMG2" t="str">
        <f>LEFT(Database!JMZ2,3)</f>
        <v/>
      </c>
      <c r="JMH2" t="str">
        <f>LEFT(Database!JNA2,3)</f>
        <v/>
      </c>
      <c r="JMI2" t="str">
        <f>LEFT(Database!JNB2,3)</f>
        <v/>
      </c>
      <c r="JMJ2" t="str">
        <f>LEFT(Database!JNC2,3)</f>
        <v/>
      </c>
      <c r="JMK2" t="str">
        <f>LEFT(Database!JND2,3)</f>
        <v/>
      </c>
      <c r="JML2" t="str">
        <f>LEFT(Database!JNE2,3)</f>
        <v/>
      </c>
      <c r="JMM2" t="str">
        <f>LEFT(Database!JNF2,3)</f>
        <v/>
      </c>
      <c r="JMN2" t="str">
        <f>LEFT(Database!JNG2,3)</f>
        <v/>
      </c>
      <c r="JMO2" t="str">
        <f>LEFT(Database!JNH2,3)</f>
        <v/>
      </c>
      <c r="JMP2" t="str">
        <f>LEFT(Database!JNI2,3)</f>
        <v/>
      </c>
      <c r="JMQ2" t="str">
        <f>LEFT(Database!JNJ2,3)</f>
        <v/>
      </c>
      <c r="JMR2" t="str">
        <f>LEFT(Database!JNK2,3)</f>
        <v/>
      </c>
      <c r="JMS2" t="str">
        <f>LEFT(Database!JNL2,3)</f>
        <v/>
      </c>
      <c r="JMT2" t="str">
        <f>LEFT(Database!JNM2,3)</f>
        <v/>
      </c>
      <c r="JMU2" t="str">
        <f>LEFT(Database!JNN2,3)</f>
        <v/>
      </c>
      <c r="JMV2" t="str">
        <f>LEFT(Database!JNO2,3)</f>
        <v/>
      </c>
      <c r="JMW2" t="str">
        <f>LEFT(Database!JNP2,3)</f>
        <v/>
      </c>
      <c r="JMX2" t="str">
        <f>LEFT(Database!JNQ2,3)</f>
        <v/>
      </c>
      <c r="JMY2" t="str">
        <f>LEFT(Database!JNR2,3)</f>
        <v/>
      </c>
      <c r="JMZ2" t="str">
        <f>LEFT(Database!JNS2,3)</f>
        <v/>
      </c>
      <c r="JNA2" t="str">
        <f>LEFT(Database!JNT2,3)</f>
        <v/>
      </c>
      <c r="JNB2" t="str">
        <f>LEFT(Database!JNU2,3)</f>
        <v/>
      </c>
      <c r="JNC2" t="str">
        <f>LEFT(Database!JNV2,3)</f>
        <v/>
      </c>
      <c r="JND2" t="str">
        <f>LEFT(Database!JNW2,3)</f>
        <v/>
      </c>
      <c r="JNE2" t="str">
        <f>LEFT(Database!JNX2,3)</f>
        <v/>
      </c>
      <c r="JNF2" t="str">
        <f>LEFT(Database!JNY2,3)</f>
        <v/>
      </c>
      <c r="JNG2" t="str">
        <f>LEFT(Database!JNZ2,3)</f>
        <v/>
      </c>
      <c r="JNH2" t="str">
        <f>LEFT(Database!JOA2,3)</f>
        <v/>
      </c>
      <c r="JNI2" t="str">
        <f>LEFT(Database!JOB2,3)</f>
        <v/>
      </c>
      <c r="JNJ2" t="str">
        <f>LEFT(Database!JOC2,3)</f>
        <v/>
      </c>
      <c r="JNK2" t="str">
        <f>LEFT(Database!JOD2,3)</f>
        <v/>
      </c>
      <c r="JNL2" t="str">
        <f>LEFT(Database!JOE2,3)</f>
        <v/>
      </c>
      <c r="JNM2" t="str">
        <f>LEFT(Database!JOF2,3)</f>
        <v/>
      </c>
      <c r="JNN2" t="str">
        <f>LEFT(Database!JOG2,3)</f>
        <v/>
      </c>
      <c r="JNO2" t="str">
        <f>LEFT(Database!JOH2,3)</f>
        <v/>
      </c>
      <c r="JNP2" t="str">
        <f>LEFT(Database!JOI2,3)</f>
        <v/>
      </c>
      <c r="JNQ2" t="str">
        <f>LEFT(Database!JOJ2,3)</f>
        <v/>
      </c>
      <c r="JNR2" t="str">
        <f>LEFT(Database!JOK2,3)</f>
        <v/>
      </c>
      <c r="JNS2" t="str">
        <f>LEFT(Database!JOL2,3)</f>
        <v/>
      </c>
      <c r="JNT2" t="str">
        <f>LEFT(Database!JOM2,3)</f>
        <v/>
      </c>
      <c r="JNU2" t="str">
        <f>LEFT(Database!JON2,3)</f>
        <v/>
      </c>
      <c r="JNV2" t="str">
        <f>LEFT(Database!JOO2,3)</f>
        <v/>
      </c>
      <c r="JNW2" t="str">
        <f>LEFT(Database!JOP2,3)</f>
        <v/>
      </c>
      <c r="JNX2" t="str">
        <f>LEFT(Database!JOQ2,3)</f>
        <v/>
      </c>
      <c r="JNY2" t="str">
        <f>LEFT(Database!JOR2,3)</f>
        <v/>
      </c>
      <c r="JNZ2" t="str">
        <f>LEFT(Database!JOS2,3)</f>
        <v/>
      </c>
      <c r="JOA2" t="str">
        <f>LEFT(Database!JOT2,3)</f>
        <v/>
      </c>
      <c r="JOB2" t="str">
        <f>LEFT(Database!JOU2,3)</f>
        <v/>
      </c>
      <c r="JOC2" t="str">
        <f>LEFT(Database!JOV2,3)</f>
        <v/>
      </c>
      <c r="JOD2" t="str">
        <f>LEFT(Database!JOW2,3)</f>
        <v/>
      </c>
      <c r="JOE2" t="str">
        <f>LEFT(Database!JOX2,3)</f>
        <v/>
      </c>
      <c r="JOF2" t="str">
        <f>LEFT(Database!JOY2,3)</f>
        <v/>
      </c>
      <c r="JOG2" t="str">
        <f>LEFT(Database!JOZ2,3)</f>
        <v/>
      </c>
      <c r="JOH2" t="str">
        <f>LEFT(Database!JPA2,3)</f>
        <v/>
      </c>
      <c r="JOI2" t="str">
        <f>LEFT(Database!JPB2,3)</f>
        <v/>
      </c>
      <c r="JOJ2" t="str">
        <f>LEFT(Database!JPC2,3)</f>
        <v/>
      </c>
      <c r="JOK2" t="str">
        <f>LEFT(Database!JPD2,3)</f>
        <v/>
      </c>
      <c r="JOL2" t="str">
        <f>LEFT(Database!JPE2,3)</f>
        <v/>
      </c>
      <c r="JOM2" t="str">
        <f>LEFT(Database!JPF2,3)</f>
        <v/>
      </c>
      <c r="JON2" t="str">
        <f>LEFT(Database!JPG2,3)</f>
        <v/>
      </c>
      <c r="JOO2" t="str">
        <f>LEFT(Database!JPH2,3)</f>
        <v/>
      </c>
      <c r="JOP2" t="str">
        <f>LEFT(Database!JPI2,3)</f>
        <v/>
      </c>
      <c r="JOQ2" t="str">
        <f>LEFT(Database!JPJ2,3)</f>
        <v/>
      </c>
      <c r="JOR2" t="str">
        <f>LEFT(Database!JPK2,3)</f>
        <v/>
      </c>
      <c r="JOS2" t="str">
        <f>LEFT(Database!JPL2,3)</f>
        <v/>
      </c>
      <c r="JOT2" t="str">
        <f>LEFT(Database!JPM2,3)</f>
        <v/>
      </c>
      <c r="JOU2" t="str">
        <f>LEFT(Database!JPN2,3)</f>
        <v/>
      </c>
      <c r="JOV2" t="str">
        <f>LEFT(Database!JPO2,3)</f>
        <v/>
      </c>
      <c r="JOW2" t="str">
        <f>LEFT(Database!JPP2,3)</f>
        <v/>
      </c>
      <c r="JOX2" t="str">
        <f>LEFT(Database!JPQ2,3)</f>
        <v/>
      </c>
      <c r="JOY2" t="str">
        <f>LEFT(Database!JPR2,3)</f>
        <v/>
      </c>
      <c r="JOZ2" t="str">
        <f>LEFT(Database!JPS2,3)</f>
        <v/>
      </c>
      <c r="JPA2" t="str">
        <f>LEFT(Database!JPT2,3)</f>
        <v/>
      </c>
      <c r="JPB2" t="str">
        <f>LEFT(Database!JPU2,3)</f>
        <v/>
      </c>
      <c r="JPC2" t="str">
        <f>LEFT(Database!JPV2,3)</f>
        <v/>
      </c>
      <c r="JPD2" t="str">
        <f>LEFT(Database!JPW2,3)</f>
        <v/>
      </c>
      <c r="JPE2" t="str">
        <f>LEFT(Database!JPX2,3)</f>
        <v/>
      </c>
      <c r="JPF2" t="str">
        <f>LEFT(Database!JPY2,3)</f>
        <v/>
      </c>
      <c r="JPG2" t="str">
        <f>LEFT(Database!JPZ2,3)</f>
        <v/>
      </c>
      <c r="JPH2" t="str">
        <f>LEFT(Database!JQA2,3)</f>
        <v/>
      </c>
      <c r="JPI2" t="str">
        <f>LEFT(Database!JQB2,3)</f>
        <v/>
      </c>
      <c r="JPJ2" t="str">
        <f>LEFT(Database!JQC2,3)</f>
        <v/>
      </c>
      <c r="JPK2" t="str">
        <f>LEFT(Database!JQD2,3)</f>
        <v/>
      </c>
      <c r="JPL2" t="str">
        <f>LEFT(Database!JQE2,3)</f>
        <v/>
      </c>
      <c r="JPM2" t="str">
        <f>LEFT(Database!JQF2,3)</f>
        <v/>
      </c>
      <c r="JPN2" t="str">
        <f>LEFT(Database!JQG2,3)</f>
        <v/>
      </c>
      <c r="JPO2" t="str">
        <f>LEFT(Database!JQH2,3)</f>
        <v/>
      </c>
      <c r="JPP2" t="str">
        <f>LEFT(Database!JQI2,3)</f>
        <v/>
      </c>
      <c r="JPQ2" t="str">
        <f>LEFT(Database!JQJ2,3)</f>
        <v/>
      </c>
      <c r="JPR2" t="str">
        <f>LEFT(Database!JQK2,3)</f>
        <v/>
      </c>
      <c r="JPS2" t="str">
        <f>LEFT(Database!JQL2,3)</f>
        <v/>
      </c>
      <c r="JPT2" t="str">
        <f>LEFT(Database!JQM2,3)</f>
        <v/>
      </c>
      <c r="JPU2" t="str">
        <f>LEFT(Database!JQN2,3)</f>
        <v/>
      </c>
      <c r="JPV2" t="str">
        <f>LEFT(Database!JQO2,3)</f>
        <v/>
      </c>
      <c r="JPW2" t="str">
        <f>LEFT(Database!JQP2,3)</f>
        <v/>
      </c>
      <c r="JPX2" t="str">
        <f>LEFT(Database!JQQ2,3)</f>
        <v/>
      </c>
      <c r="JPY2" t="str">
        <f>LEFT(Database!JQR2,3)</f>
        <v/>
      </c>
      <c r="JPZ2" t="str">
        <f>LEFT(Database!JQS2,3)</f>
        <v/>
      </c>
      <c r="JQA2" t="str">
        <f>LEFT(Database!JQT2,3)</f>
        <v/>
      </c>
      <c r="JQB2" t="str">
        <f>LEFT(Database!JQU2,3)</f>
        <v/>
      </c>
      <c r="JQC2" t="str">
        <f>LEFT(Database!JQV2,3)</f>
        <v/>
      </c>
      <c r="JQD2" t="str">
        <f>LEFT(Database!JQW2,3)</f>
        <v/>
      </c>
      <c r="JQE2" t="str">
        <f>LEFT(Database!JQX2,3)</f>
        <v/>
      </c>
      <c r="JQF2" t="str">
        <f>LEFT(Database!JQY2,3)</f>
        <v/>
      </c>
      <c r="JQG2" t="str">
        <f>LEFT(Database!JQZ2,3)</f>
        <v/>
      </c>
      <c r="JQH2" t="str">
        <f>LEFT(Database!JRA2,3)</f>
        <v/>
      </c>
      <c r="JQI2" t="str">
        <f>LEFT(Database!JRB2,3)</f>
        <v/>
      </c>
      <c r="JQJ2" t="str">
        <f>LEFT(Database!JRC2,3)</f>
        <v/>
      </c>
      <c r="JQK2" t="str">
        <f>LEFT(Database!JRD2,3)</f>
        <v/>
      </c>
      <c r="JQL2" t="str">
        <f>LEFT(Database!JRE2,3)</f>
        <v/>
      </c>
      <c r="JQM2" t="str">
        <f>LEFT(Database!JRF2,3)</f>
        <v/>
      </c>
      <c r="JQN2" t="str">
        <f>LEFT(Database!JRG2,3)</f>
        <v/>
      </c>
      <c r="JQO2" t="str">
        <f>LEFT(Database!JRH2,3)</f>
        <v/>
      </c>
      <c r="JQP2" t="str">
        <f>LEFT(Database!JRI2,3)</f>
        <v/>
      </c>
      <c r="JQQ2" t="str">
        <f>LEFT(Database!JRJ2,3)</f>
        <v/>
      </c>
      <c r="JQR2" t="str">
        <f>LEFT(Database!JRK2,3)</f>
        <v/>
      </c>
      <c r="JQS2" t="str">
        <f>LEFT(Database!JRL2,3)</f>
        <v/>
      </c>
      <c r="JQT2" t="str">
        <f>LEFT(Database!JRM2,3)</f>
        <v/>
      </c>
      <c r="JQU2" t="str">
        <f>LEFT(Database!JRN2,3)</f>
        <v/>
      </c>
      <c r="JQV2" t="str">
        <f>LEFT(Database!JRO2,3)</f>
        <v/>
      </c>
      <c r="JQW2" t="str">
        <f>LEFT(Database!JRP2,3)</f>
        <v/>
      </c>
      <c r="JQX2" t="str">
        <f>LEFT(Database!JRQ2,3)</f>
        <v/>
      </c>
      <c r="JQY2" t="str">
        <f>LEFT(Database!JRR2,3)</f>
        <v/>
      </c>
      <c r="JQZ2" t="str">
        <f>LEFT(Database!JRS2,3)</f>
        <v/>
      </c>
      <c r="JRA2" t="str">
        <f>LEFT(Database!JRT2,3)</f>
        <v/>
      </c>
      <c r="JRB2" t="str">
        <f>LEFT(Database!JRU2,3)</f>
        <v/>
      </c>
      <c r="JRC2" t="str">
        <f>LEFT(Database!JRV2,3)</f>
        <v/>
      </c>
      <c r="JRD2" t="str">
        <f>LEFT(Database!JRW2,3)</f>
        <v/>
      </c>
      <c r="JRE2" t="str">
        <f>LEFT(Database!JRX2,3)</f>
        <v/>
      </c>
      <c r="JRF2" t="str">
        <f>LEFT(Database!JRY2,3)</f>
        <v/>
      </c>
      <c r="JRG2" t="str">
        <f>LEFT(Database!JRZ2,3)</f>
        <v/>
      </c>
      <c r="JRH2" t="str">
        <f>LEFT(Database!JSA2,3)</f>
        <v/>
      </c>
      <c r="JRI2" t="str">
        <f>LEFT(Database!JSB2,3)</f>
        <v/>
      </c>
      <c r="JRJ2" t="str">
        <f>LEFT(Database!JSC2,3)</f>
        <v/>
      </c>
      <c r="JRK2" t="str">
        <f>LEFT(Database!JSD2,3)</f>
        <v/>
      </c>
      <c r="JRL2" t="str">
        <f>LEFT(Database!JSE2,3)</f>
        <v/>
      </c>
      <c r="JRM2" t="str">
        <f>LEFT(Database!JSF2,3)</f>
        <v/>
      </c>
      <c r="JRN2" t="str">
        <f>LEFT(Database!JSG2,3)</f>
        <v/>
      </c>
      <c r="JRO2" t="str">
        <f>LEFT(Database!JSH2,3)</f>
        <v/>
      </c>
      <c r="JRP2" t="str">
        <f>LEFT(Database!JSI2,3)</f>
        <v/>
      </c>
      <c r="JRQ2" t="str">
        <f>LEFT(Database!JSJ2,3)</f>
        <v/>
      </c>
      <c r="JRR2" t="str">
        <f>LEFT(Database!JSK2,3)</f>
        <v/>
      </c>
      <c r="JRS2" t="str">
        <f>LEFT(Database!JSL2,3)</f>
        <v/>
      </c>
      <c r="JRT2" t="str">
        <f>LEFT(Database!JSM2,3)</f>
        <v/>
      </c>
      <c r="JRU2" t="str">
        <f>LEFT(Database!JSN2,3)</f>
        <v/>
      </c>
      <c r="JRV2" t="str">
        <f>LEFT(Database!JSO2,3)</f>
        <v/>
      </c>
      <c r="JRW2" t="str">
        <f>LEFT(Database!JSP2,3)</f>
        <v/>
      </c>
      <c r="JRX2" t="str">
        <f>LEFT(Database!JSQ2,3)</f>
        <v/>
      </c>
      <c r="JRY2" t="str">
        <f>LEFT(Database!JSR2,3)</f>
        <v/>
      </c>
      <c r="JRZ2" t="str">
        <f>LEFT(Database!JSS2,3)</f>
        <v/>
      </c>
      <c r="JSA2" t="str">
        <f>LEFT(Database!JST2,3)</f>
        <v/>
      </c>
      <c r="JSB2" t="str">
        <f>LEFT(Database!JSU2,3)</f>
        <v/>
      </c>
      <c r="JSC2" t="str">
        <f>LEFT(Database!JSV2,3)</f>
        <v/>
      </c>
      <c r="JSD2" t="str">
        <f>LEFT(Database!JSW2,3)</f>
        <v/>
      </c>
      <c r="JSE2" t="str">
        <f>LEFT(Database!JSX2,3)</f>
        <v/>
      </c>
      <c r="JSF2" t="str">
        <f>LEFT(Database!JSY2,3)</f>
        <v/>
      </c>
      <c r="JSG2" t="str">
        <f>LEFT(Database!JSZ2,3)</f>
        <v/>
      </c>
      <c r="JSH2" t="str">
        <f>LEFT(Database!JTA2,3)</f>
        <v/>
      </c>
      <c r="JSI2" t="str">
        <f>LEFT(Database!JTB2,3)</f>
        <v/>
      </c>
      <c r="JSJ2" t="str">
        <f>LEFT(Database!JTC2,3)</f>
        <v/>
      </c>
      <c r="JSK2" t="str">
        <f>LEFT(Database!JTD2,3)</f>
        <v/>
      </c>
      <c r="JSL2" t="str">
        <f>LEFT(Database!JTE2,3)</f>
        <v/>
      </c>
      <c r="JSM2" t="str">
        <f>LEFT(Database!JTF2,3)</f>
        <v/>
      </c>
      <c r="JSN2" t="str">
        <f>LEFT(Database!JTG2,3)</f>
        <v/>
      </c>
      <c r="JSO2" t="str">
        <f>LEFT(Database!JTH2,3)</f>
        <v/>
      </c>
      <c r="JSP2" t="str">
        <f>LEFT(Database!JTI2,3)</f>
        <v/>
      </c>
      <c r="JSQ2" t="str">
        <f>LEFT(Database!JTJ2,3)</f>
        <v/>
      </c>
      <c r="JSR2" t="str">
        <f>LEFT(Database!JTK2,3)</f>
        <v/>
      </c>
      <c r="JSS2" t="str">
        <f>LEFT(Database!JTL2,3)</f>
        <v/>
      </c>
      <c r="JST2" t="str">
        <f>LEFT(Database!JTM2,3)</f>
        <v/>
      </c>
      <c r="JSU2" t="str">
        <f>LEFT(Database!JTN2,3)</f>
        <v/>
      </c>
      <c r="JSV2" t="str">
        <f>LEFT(Database!JTO2,3)</f>
        <v/>
      </c>
      <c r="JSW2" t="str">
        <f>LEFT(Database!JTP2,3)</f>
        <v/>
      </c>
      <c r="JSX2" t="str">
        <f>LEFT(Database!JTQ2,3)</f>
        <v/>
      </c>
      <c r="JSY2" t="str">
        <f>LEFT(Database!JTR2,3)</f>
        <v/>
      </c>
      <c r="JSZ2" t="str">
        <f>LEFT(Database!JTS2,3)</f>
        <v/>
      </c>
      <c r="JTA2" t="str">
        <f>LEFT(Database!JTT2,3)</f>
        <v/>
      </c>
      <c r="JTB2" t="str">
        <f>LEFT(Database!JTU2,3)</f>
        <v/>
      </c>
      <c r="JTC2" t="str">
        <f>LEFT(Database!JTV2,3)</f>
        <v/>
      </c>
      <c r="JTD2" t="str">
        <f>LEFT(Database!JTW2,3)</f>
        <v/>
      </c>
      <c r="JTE2" t="str">
        <f>LEFT(Database!JTX2,3)</f>
        <v/>
      </c>
      <c r="JTF2" t="str">
        <f>LEFT(Database!JTY2,3)</f>
        <v/>
      </c>
      <c r="JTG2" t="str">
        <f>LEFT(Database!JTZ2,3)</f>
        <v/>
      </c>
      <c r="JTH2" t="str">
        <f>LEFT(Database!JUA2,3)</f>
        <v/>
      </c>
      <c r="JTI2" t="str">
        <f>LEFT(Database!JUB2,3)</f>
        <v/>
      </c>
      <c r="JTJ2" t="str">
        <f>LEFT(Database!JUC2,3)</f>
        <v/>
      </c>
      <c r="JTK2" t="str">
        <f>LEFT(Database!JUD2,3)</f>
        <v/>
      </c>
      <c r="JTL2" t="str">
        <f>LEFT(Database!JUE2,3)</f>
        <v/>
      </c>
      <c r="JTM2" t="str">
        <f>LEFT(Database!JUF2,3)</f>
        <v/>
      </c>
      <c r="JTN2" t="str">
        <f>LEFT(Database!JUG2,3)</f>
        <v/>
      </c>
      <c r="JTO2" t="str">
        <f>LEFT(Database!JUH2,3)</f>
        <v/>
      </c>
      <c r="JTP2" t="str">
        <f>LEFT(Database!JUI2,3)</f>
        <v/>
      </c>
      <c r="JTQ2" t="str">
        <f>LEFT(Database!JUJ2,3)</f>
        <v/>
      </c>
      <c r="JTR2" t="str">
        <f>LEFT(Database!JUK2,3)</f>
        <v/>
      </c>
      <c r="JTS2" t="str">
        <f>LEFT(Database!JUL2,3)</f>
        <v/>
      </c>
      <c r="JTT2" t="str">
        <f>LEFT(Database!JUM2,3)</f>
        <v/>
      </c>
      <c r="JTU2" t="str">
        <f>LEFT(Database!JUN2,3)</f>
        <v/>
      </c>
      <c r="JTV2" t="str">
        <f>LEFT(Database!JUO2,3)</f>
        <v/>
      </c>
      <c r="JTW2" t="str">
        <f>LEFT(Database!JUP2,3)</f>
        <v/>
      </c>
      <c r="JTX2" t="str">
        <f>LEFT(Database!JUQ2,3)</f>
        <v/>
      </c>
      <c r="JTY2" t="str">
        <f>LEFT(Database!JUR2,3)</f>
        <v/>
      </c>
      <c r="JTZ2" t="str">
        <f>LEFT(Database!JUS2,3)</f>
        <v/>
      </c>
      <c r="JUA2" t="str">
        <f>LEFT(Database!JUT2,3)</f>
        <v/>
      </c>
      <c r="JUB2" t="str">
        <f>LEFT(Database!JUU2,3)</f>
        <v/>
      </c>
      <c r="JUC2" t="str">
        <f>LEFT(Database!JUV2,3)</f>
        <v/>
      </c>
      <c r="JUD2" t="str">
        <f>LEFT(Database!JUW2,3)</f>
        <v/>
      </c>
      <c r="JUE2" t="str">
        <f>LEFT(Database!JUX2,3)</f>
        <v/>
      </c>
      <c r="JUF2" t="str">
        <f>LEFT(Database!JUY2,3)</f>
        <v/>
      </c>
      <c r="JUG2" t="str">
        <f>LEFT(Database!JUZ2,3)</f>
        <v/>
      </c>
      <c r="JUH2" t="str">
        <f>LEFT(Database!JVA2,3)</f>
        <v/>
      </c>
      <c r="JUI2" t="str">
        <f>LEFT(Database!JVB2,3)</f>
        <v/>
      </c>
      <c r="JUJ2" t="str">
        <f>LEFT(Database!JVC2,3)</f>
        <v/>
      </c>
      <c r="JUK2" t="str">
        <f>LEFT(Database!JVD2,3)</f>
        <v/>
      </c>
      <c r="JUL2" t="str">
        <f>LEFT(Database!JVE2,3)</f>
        <v/>
      </c>
      <c r="JUM2" t="str">
        <f>LEFT(Database!JVF2,3)</f>
        <v/>
      </c>
      <c r="JUN2" t="str">
        <f>LEFT(Database!JVG2,3)</f>
        <v/>
      </c>
      <c r="JUO2" t="str">
        <f>LEFT(Database!JVH2,3)</f>
        <v/>
      </c>
      <c r="JUP2" t="str">
        <f>LEFT(Database!JVI2,3)</f>
        <v/>
      </c>
      <c r="JUQ2" t="str">
        <f>LEFT(Database!JVJ2,3)</f>
        <v/>
      </c>
      <c r="JUR2" t="str">
        <f>LEFT(Database!JVK2,3)</f>
        <v/>
      </c>
      <c r="JUS2" t="str">
        <f>LEFT(Database!JVL2,3)</f>
        <v/>
      </c>
      <c r="JUT2" t="str">
        <f>LEFT(Database!JVM2,3)</f>
        <v/>
      </c>
      <c r="JUU2" t="str">
        <f>LEFT(Database!JVN2,3)</f>
        <v/>
      </c>
      <c r="JUV2" t="str">
        <f>LEFT(Database!JVO2,3)</f>
        <v/>
      </c>
      <c r="JUW2" t="str">
        <f>LEFT(Database!JVP2,3)</f>
        <v/>
      </c>
      <c r="JUX2" t="str">
        <f>LEFT(Database!JVQ2,3)</f>
        <v/>
      </c>
      <c r="JUY2" t="str">
        <f>LEFT(Database!JVR2,3)</f>
        <v/>
      </c>
      <c r="JUZ2" t="str">
        <f>LEFT(Database!JVS2,3)</f>
        <v/>
      </c>
      <c r="JVA2" t="str">
        <f>LEFT(Database!JVT2,3)</f>
        <v/>
      </c>
      <c r="JVB2" t="str">
        <f>LEFT(Database!JVU2,3)</f>
        <v/>
      </c>
      <c r="JVC2" t="str">
        <f>LEFT(Database!JVV2,3)</f>
        <v/>
      </c>
      <c r="JVD2" t="str">
        <f>LEFT(Database!JVW2,3)</f>
        <v/>
      </c>
      <c r="JVE2" t="str">
        <f>LEFT(Database!JVX2,3)</f>
        <v/>
      </c>
      <c r="JVF2" t="str">
        <f>LEFT(Database!JVY2,3)</f>
        <v/>
      </c>
      <c r="JVG2" t="str">
        <f>LEFT(Database!JVZ2,3)</f>
        <v/>
      </c>
      <c r="JVH2" t="str">
        <f>LEFT(Database!JWA2,3)</f>
        <v/>
      </c>
      <c r="JVI2" t="str">
        <f>LEFT(Database!JWB2,3)</f>
        <v/>
      </c>
      <c r="JVJ2" t="str">
        <f>LEFT(Database!JWC2,3)</f>
        <v/>
      </c>
      <c r="JVK2" t="str">
        <f>LEFT(Database!JWD2,3)</f>
        <v/>
      </c>
      <c r="JVL2" t="str">
        <f>LEFT(Database!JWE2,3)</f>
        <v/>
      </c>
      <c r="JVM2" t="str">
        <f>LEFT(Database!JWF2,3)</f>
        <v/>
      </c>
      <c r="JVN2" t="str">
        <f>LEFT(Database!JWG2,3)</f>
        <v/>
      </c>
      <c r="JVO2" t="str">
        <f>LEFT(Database!JWH2,3)</f>
        <v/>
      </c>
      <c r="JVP2" t="str">
        <f>LEFT(Database!JWI2,3)</f>
        <v/>
      </c>
      <c r="JVQ2" t="str">
        <f>LEFT(Database!JWJ2,3)</f>
        <v/>
      </c>
      <c r="JVR2" t="str">
        <f>LEFT(Database!JWK2,3)</f>
        <v/>
      </c>
      <c r="JVS2" t="str">
        <f>LEFT(Database!JWL2,3)</f>
        <v/>
      </c>
      <c r="JVT2" t="str">
        <f>LEFT(Database!JWM2,3)</f>
        <v/>
      </c>
      <c r="JVU2" t="str">
        <f>LEFT(Database!JWN2,3)</f>
        <v/>
      </c>
      <c r="JVV2" t="str">
        <f>LEFT(Database!JWO2,3)</f>
        <v/>
      </c>
      <c r="JVW2" t="str">
        <f>LEFT(Database!JWP2,3)</f>
        <v/>
      </c>
      <c r="JVX2" t="str">
        <f>LEFT(Database!JWQ2,3)</f>
        <v/>
      </c>
      <c r="JVY2" t="str">
        <f>LEFT(Database!JWR2,3)</f>
        <v/>
      </c>
      <c r="JVZ2" t="str">
        <f>LEFT(Database!JWS2,3)</f>
        <v/>
      </c>
      <c r="JWA2" t="str">
        <f>LEFT(Database!JWT2,3)</f>
        <v/>
      </c>
      <c r="JWB2" t="str">
        <f>LEFT(Database!JWU2,3)</f>
        <v/>
      </c>
      <c r="JWC2" t="str">
        <f>LEFT(Database!JWV2,3)</f>
        <v/>
      </c>
      <c r="JWD2" t="str">
        <f>LEFT(Database!JWW2,3)</f>
        <v/>
      </c>
      <c r="JWE2" t="str">
        <f>LEFT(Database!JWX2,3)</f>
        <v/>
      </c>
      <c r="JWF2" t="str">
        <f>LEFT(Database!JWY2,3)</f>
        <v/>
      </c>
      <c r="JWG2" t="str">
        <f>LEFT(Database!JWZ2,3)</f>
        <v/>
      </c>
      <c r="JWH2" t="str">
        <f>LEFT(Database!JXA2,3)</f>
        <v/>
      </c>
      <c r="JWI2" t="str">
        <f>LEFT(Database!JXB2,3)</f>
        <v/>
      </c>
      <c r="JWJ2" t="str">
        <f>LEFT(Database!JXC2,3)</f>
        <v/>
      </c>
      <c r="JWK2" t="str">
        <f>LEFT(Database!JXD2,3)</f>
        <v/>
      </c>
      <c r="JWL2" t="str">
        <f>LEFT(Database!JXE2,3)</f>
        <v/>
      </c>
      <c r="JWM2" t="str">
        <f>LEFT(Database!JXF2,3)</f>
        <v/>
      </c>
      <c r="JWN2" t="str">
        <f>LEFT(Database!JXG2,3)</f>
        <v/>
      </c>
      <c r="JWO2" t="str">
        <f>LEFT(Database!JXH2,3)</f>
        <v/>
      </c>
      <c r="JWP2" t="str">
        <f>LEFT(Database!JXI2,3)</f>
        <v/>
      </c>
      <c r="JWQ2" t="str">
        <f>LEFT(Database!JXJ2,3)</f>
        <v/>
      </c>
      <c r="JWR2" t="str">
        <f>LEFT(Database!JXK2,3)</f>
        <v/>
      </c>
      <c r="JWS2" t="str">
        <f>LEFT(Database!JXL2,3)</f>
        <v/>
      </c>
      <c r="JWT2" t="str">
        <f>LEFT(Database!JXM2,3)</f>
        <v/>
      </c>
      <c r="JWU2" t="str">
        <f>LEFT(Database!JXN2,3)</f>
        <v/>
      </c>
      <c r="JWV2" t="str">
        <f>LEFT(Database!JXO2,3)</f>
        <v/>
      </c>
      <c r="JWW2" t="str">
        <f>LEFT(Database!JXP2,3)</f>
        <v/>
      </c>
      <c r="JWX2" t="str">
        <f>LEFT(Database!JXQ2,3)</f>
        <v/>
      </c>
      <c r="JWY2" t="str">
        <f>LEFT(Database!JXR2,3)</f>
        <v/>
      </c>
      <c r="JWZ2" t="str">
        <f>LEFT(Database!JXS2,3)</f>
        <v/>
      </c>
      <c r="JXA2" t="str">
        <f>LEFT(Database!JXT2,3)</f>
        <v/>
      </c>
      <c r="JXB2" t="str">
        <f>LEFT(Database!JXU2,3)</f>
        <v/>
      </c>
      <c r="JXC2" t="str">
        <f>LEFT(Database!JXV2,3)</f>
        <v/>
      </c>
      <c r="JXD2" t="str">
        <f>LEFT(Database!JXW2,3)</f>
        <v/>
      </c>
      <c r="JXE2" t="str">
        <f>LEFT(Database!JXX2,3)</f>
        <v/>
      </c>
      <c r="JXF2" t="str">
        <f>LEFT(Database!JXY2,3)</f>
        <v/>
      </c>
      <c r="JXG2" t="str">
        <f>LEFT(Database!JXZ2,3)</f>
        <v/>
      </c>
      <c r="JXH2" t="str">
        <f>LEFT(Database!JYA2,3)</f>
        <v/>
      </c>
      <c r="JXI2" t="str">
        <f>LEFT(Database!JYB2,3)</f>
        <v/>
      </c>
      <c r="JXJ2" t="str">
        <f>LEFT(Database!JYC2,3)</f>
        <v/>
      </c>
      <c r="JXK2" t="str">
        <f>LEFT(Database!JYD2,3)</f>
        <v/>
      </c>
      <c r="JXL2" t="str">
        <f>LEFT(Database!JYE2,3)</f>
        <v/>
      </c>
      <c r="JXM2" t="str">
        <f>LEFT(Database!JYF2,3)</f>
        <v/>
      </c>
      <c r="JXN2" t="str">
        <f>LEFT(Database!JYG2,3)</f>
        <v/>
      </c>
      <c r="JXO2" t="str">
        <f>LEFT(Database!JYH2,3)</f>
        <v/>
      </c>
      <c r="JXP2" t="str">
        <f>LEFT(Database!JYI2,3)</f>
        <v/>
      </c>
      <c r="JXQ2" t="str">
        <f>LEFT(Database!JYJ2,3)</f>
        <v/>
      </c>
      <c r="JXR2" t="str">
        <f>LEFT(Database!JYK2,3)</f>
        <v/>
      </c>
      <c r="JXS2" t="str">
        <f>LEFT(Database!JYL2,3)</f>
        <v/>
      </c>
      <c r="JXT2" t="str">
        <f>LEFT(Database!JYM2,3)</f>
        <v/>
      </c>
      <c r="JXU2" t="str">
        <f>LEFT(Database!JYN2,3)</f>
        <v/>
      </c>
      <c r="JXV2" t="str">
        <f>LEFT(Database!JYO2,3)</f>
        <v/>
      </c>
      <c r="JXW2" t="str">
        <f>LEFT(Database!JYP2,3)</f>
        <v/>
      </c>
      <c r="JXX2" t="str">
        <f>LEFT(Database!JYQ2,3)</f>
        <v/>
      </c>
      <c r="JXY2" t="str">
        <f>LEFT(Database!JYR2,3)</f>
        <v/>
      </c>
      <c r="JXZ2" t="str">
        <f>LEFT(Database!JYS2,3)</f>
        <v/>
      </c>
      <c r="JYA2" t="str">
        <f>LEFT(Database!JYT2,3)</f>
        <v/>
      </c>
      <c r="JYB2" t="str">
        <f>LEFT(Database!JYU2,3)</f>
        <v/>
      </c>
      <c r="JYC2" t="str">
        <f>LEFT(Database!JYV2,3)</f>
        <v/>
      </c>
      <c r="JYD2" t="str">
        <f>LEFT(Database!JYW2,3)</f>
        <v/>
      </c>
      <c r="JYE2" t="str">
        <f>LEFT(Database!JYX2,3)</f>
        <v/>
      </c>
      <c r="JYF2" t="str">
        <f>LEFT(Database!JYY2,3)</f>
        <v/>
      </c>
      <c r="JYG2" t="str">
        <f>LEFT(Database!JYZ2,3)</f>
        <v/>
      </c>
      <c r="JYH2" t="str">
        <f>LEFT(Database!JZA2,3)</f>
        <v/>
      </c>
      <c r="JYI2" t="str">
        <f>LEFT(Database!JZB2,3)</f>
        <v/>
      </c>
      <c r="JYJ2" t="str">
        <f>LEFT(Database!JZC2,3)</f>
        <v/>
      </c>
      <c r="JYK2" t="str">
        <f>LEFT(Database!JZD2,3)</f>
        <v/>
      </c>
      <c r="JYL2" t="str">
        <f>LEFT(Database!JZE2,3)</f>
        <v/>
      </c>
      <c r="JYM2" t="str">
        <f>LEFT(Database!JZF2,3)</f>
        <v/>
      </c>
      <c r="JYN2" t="str">
        <f>LEFT(Database!JZG2,3)</f>
        <v/>
      </c>
      <c r="JYO2" t="str">
        <f>LEFT(Database!JZH2,3)</f>
        <v/>
      </c>
      <c r="JYP2" t="str">
        <f>LEFT(Database!JZI2,3)</f>
        <v/>
      </c>
      <c r="JYQ2" t="str">
        <f>LEFT(Database!JZJ2,3)</f>
        <v/>
      </c>
      <c r="JYR2" t="str">
        <f>LEFT(Database!JZK2,3)</f>
        <v/>
      </c>
      <c r="JYS2" t="str">
        <f>LEFT(Database!JZL2,3)</f>
        <v/>
      </c>
      <c r="JYT2" t="str">
        <f>LEFT(Database!JZM2,3)</f>
        <v/>
      </c>
      <c r="JYU2" t="str">
        <f>LEFT(Database!JZN2,3)</f>
        <v/>
      </c>
      <c r="JYV2" t="str">
        <f>LEFT(Database!JZO2,3)</f>
        <v/>
      </c>
      <c r="JYW2" t="str">
        <f>LEFT(Database!JZP2,3)</f>
        <v/>
      </c>
      <c r="JYX2" t="str">
        <f>LEFT(Database!JZQ2,3)</f>
        <v/>
      </c>
      <c r="JYY2" t="str">
        <f>LEFT(Database!JZR2,3)</f>
        <v/>
      </c>
      <c r="JYZ2" t="str">
        <f>LEFT(Database!JZS2,3)</f>
        <v/>
      </c>
      <c r="JZA2" t="str">
        <f>LEFT(Database!JZT2,3)</f>
        <v/>
      </c>
      <c r="JZB2" t="str">
        <f>LEFT(Database!JZU2,3)</f>
        <v/>
      </c>
      <c r="JZC2" t="str">
        <f>LEFT(Database!JZV2,3)</f>
        <v/>
      </c>
      <c r="JZD2" t="str">
        <f>LEFT(Database!JZW2,3)</f>
        <v/>
      </c>
      <c r="JZE2" t="str">
        <f>LEFT(Database!JZX2,3)</f>
        <v/>
      </c>
      <c r="JZF2" t="str">
        <f>LEFT(Database!JZY2,3)</f>
        <v/>
      </c>
      <c r="JZG2" t="str">
        <f>LEFT(Database!JZZ2,3)</f>
        <v/>
      </c>
      <c r="JZH2" t="str">
        <f>LEFT(Database!KAA2,3)</f>
        <v/>
      </c>
      <c r="JZI2" t="str">
        <f>LEFT(Database!KAB2,3)</f>
        <v/>
      </c>
      <c r="JZJ2" t="str">
        <f>LEFT(Database!KAC2,3)</f>
        <v/>
      </c>
      <c r="JZK2" t="str">
        <f>LEFT(Database!KAD2,3)</f>
        <v/>
      </c>
      <c r="JZL2" t="str">
        <f>LEFT(Database!KAE2,3)</f>
        <v/>
      </c>
      <c r="JZM2" t="str">
        <f>LEFT(Database!KAF2,3)</f>
        <v/>
      </c>
      <c r="JZN2" t="str">
        <f>LEFT(Database!KAG2,3)</f>
        <v/>
      </c>
      <c r="JZO2" t="str">
        <f>LEFT(Database!KAH2,3)</f>
        <v/>
      </c>
      <c r="JZP2" t="str">
        <f>LEFT(Database!KAI2,3)</f>
        <v/>
      </c>
      <c r="JZQ2" t="str">
        <f>LEFT(Database!KAJ2,3)</f>
        <v/>
      </c>
      <c r="JZR2" t="str">
        <f>LEFT(Database!KAK2,3)</f>
        <v/>
      </c>
      <c r="JZS2" t="str">
        <f>LEFT(Database!KAL2,3)</f>
        <v/>
      </c>
      <c r="JZT2" t="str">
        <f>LEFT(Database!KAM2,3)</f>
        <v/>
      </c>
      <c r="JZU2" t="str">
        <f>LEFT(Database!KAN2,3)</f>
        <v/>
      </c>
      <c r="JZV2" t="str">
        <f>LEFT(Database!KAO2,3)</f>
        <v/>
      </c>
      <c r="JZW2" t="str">
        <f>LEFT(Database!KAP2,3)</f>
        <v/>
      </c>
      <c r="JZX2" t="str">
        <f>LEFT(Database!KAQ2,3)</f>
        <v/>
      </c>
      <c r="JZY2" t="str">
        <f>LEFT(Database!KAR2,3)</f>
        <v/>
      </c>
      <c r="JZZ2" t="str">
        <f>LEFT(Database!KAS2,3)</f>
        <v/>
      </c>
      <c r="KAA2" t="str">
        <f>LEFT(Database!KAT2,3)</f>
        <v/>
      </c>
      <c r="KAB2" t="str">
        <f>LEFT(Database!KAU2,3)</f>
        <v/>
      </c>
      <c r="KAC2" t="str">
        <f>LEFT(Database!KAV2,3)</f>
        <v/>
      </c>
      <c r="KAD2" t="str">
        <f>LEFT(Database!KAW2,3)</f>
        <v/>
      </c>
      <c r="KAE2" t="str">
        <f>LEFT(Database!KAX2,3)</f>
        <v/>
      </c>
      <c r="KAF2" t="str">
        <f>LEFT(Database!KAY2,3)</f>
        <v/>
      </c>
      <c r="KAG2" t="str">
        <f>LEFT(Database!KAZ2,3)</f>
        <v/>
      </c>
      <c r="KAH2" t="str">
        <f>LEFT(Database!KBA2,3)</f>
        <v/>
      </c>
      <c r="KAI2" t="str">
        <f>LEFT(Database!KBB2,3)</f>
        <v/>
      </c>
      <c r="KAJ2" t="str">
        <f>LEFT(Database!KBC2,3)</f>
        <v/>
      </c>
      <c r="KAK2" t="str">
        <f>LEFT(Database!KBD2,3)</f>
        <v/>
      </c>
      <c r="KAL2" t="str">
        <f>LEFT(Database!KBE2,3)</f>
        <v/>
      </c>
      <c r="KAM2" t="str">
        <f>LEFT(Database!KBF2,3)</f>
        <v/>
      </c>
      <c r="KAN2" t="str">
        <f>LEFT(Database!KBG2,3)</f>
        <v/>
      </c>
      <c r="KAO2" t="str">
        <f>LEFT(Database!KBH2,3)</f>
        <v/>
      </c>
      <c r="KAP2" t="str">
        <f>LEFT(Database!KBI2,3)</f>
        <v/>
      </c>
      <c r="KAQ2" t="str">
        <f>LEFT(Database!KBJ2,3)</f>
        <v/>
      </c>
      <c r="KAR2" t="str">
        <f>LEFT(Database!KBK2,3)</f>
        <v/>
      </c>
      <c r="KAS2" t="str">
        <f>LEFT(Database!KBL2,3)</f>
        <v/>
      </c>
      <c r="KAT2" t="str">
        <f>LEFT(Database!KBM2,3)</f>
        <v/>
      </c>
      <c r="KAU2" t="str">
        <f>LEFT(Database!KBN2,3)</f>
        <v/>
      </c>
      <c r="KAV2" t="str">
        <f>LEFT(Database!KBO2,3)</f>
        <v/>
      </c>
      <c r="KAW2" t="str">
        <f>LEFT(Database!KBP2,3)</f>
        <v/>
      </c>
      <c r="KAX2" t="str">
        <f>LEFT(Database!KBQ2,3)</f>
        <v/>
      </c>
      <c r="KAY2" t="str">
        <f>LEFT(Database!KBR2,3)</f>
        <v/>
      </c>
      <c r="KAZ2" t="str">
        <f>LEFT(Database!KBS2,3)</f>
        <v/>
      </c>
      <c r="KBA2" t="str">
        <f>LEFT(Database!KBT2,3)</f>
        <v/>
      </c>
      <c r="KBB2" t="str">
        <f>LEFT(Database!KBU2,3)</f>
        <v/>
      </c>
      <c r="KBC2" t="str">
        <f>LEFT(Database!KBV2,3)</f>
        <v/>
      </c>
      <c r="KBD2" t="str">
        <f>LEFT(Database!KBW2,3)</f>
        <v/>
      </c>
      <c r="KBE2" t="str">
        <f>LEFT(Database!KBX2,3)</f>
        <v/>
      </c>
      <c r="KBF2" t="str">
        <f>LEFT(Database!KBY2,3)</f>
        <v/>
      </c>
      <c r="KBG2" t="str">
        <f>LEFT(Database!KBZ2,3)</f>
        <v/>
      </c>
      <c r="KBH2" t="str">
        <f>LEFT(Database!KCA2,3)</f>
        <v/>
      </c>
      <c r="KBI2" t="str">
        <f>LEFT(Database!KCB2,3)</f>
        <v/>
      </c>
      <c r="KBJ2" t="str">
        <f>LEFT(Database!KCC2,3)</f>
        <v/>
      </c>
      <c r="KBK2" t="str">
        <f>LEFT(Database!KCD2,3)</f>
        <v/>
      </c>
      <c r="KBL2" t="str">
        <f>LEFT(Database!KCE2,3)</f>
        <v/>
      </c>
      <c r="KBM2" t="str">
        <f>LEFT(Database!KCF2,3)</f>
        <v/>
      </c>
      <c r="KBN2" t="str">
        <f>LEFT(Database!KCG2,3)</f>
        <v/>
      </c>
      <c r="KBO2" t="str">
        <f>LEFT(Database!KCH2,3)</f>
        <v/>
      </c>
      <c r="KBP2" t="str">
        <f>LEFT(Database!KCI2,3)</f>
        <v/>
      </c>
      <c r="KBQ2" t="str">
        <f>LEFT(Database!KCJ2,3)</f>
        <v/>
      </c>
      <c r="KBR2" t="str">
        <f>LEFT(Database!KCK2,3)</f>
        <v/>
      </c>
      <c r="KBS2" t="str">
        <f>LEFT(Database!KCL2,3)</f>
        <v/>
      </c>
      <c r="KBT2" t="str">
        <f>LEFT(Database!KCM2,3)</f>
        <v/>
      </c>
      <c r="KBU2" t="str">
        <f>LEFT(Database!KCN2,3)</f>
        <v/>
      </c>
      <c r="KBV2" t="str">
        <f>LEFT(Database!KCO2,3)</f>
        <v/>
      </c>
      <c r="KBW2" t="str">
        <f>LEFT(Database!KCP2,3)</f>
        <v/>
      </c>
      <c r="KBX2" t="str">
        <f>LEFT(Database!KCQ2,3)</f>
        <v/>
      </c>
      <c r="KBY2" t="str">
        <f>LEFT(Database!KCR2,3)</f>
        <v/>
      </c>
      <c r="KBZ2" t="str">
        <f>LEFT(Database!KCS2,3)</f>
        <v/>
      </c>
      <c r="KCA2" t="str">
        <f>LEFT(Database!KCT2,3)</f>
        <v/>
      </c>
      <c r="KCB2" t="str">
        <f>LEFT(Database!KCU2,3)</f>
        <v/>
      </c>
      <c r="KCC2" t="str">
        <f>LEFT(Database!KCV2,3)</f>
        <v/>
      </c>
      <c r="KCD2" t="str">
        <f>LEFT(Database!KCW2,3)</f>
        <v/>
      </c>
      <c r="KCE2" t="str">
        <f>LEFT(Database!KCX2,3)</f>
        <v/>
      </c>
      <c r="KCF2" t="str">
        <f>LEFT(Database!KCY2,3)</f>
        <v/>
      </c>
      <c r="KCG2" t="str">
        <f>LEFT(Database!KCZ2,3)</f>
        <v/>
      </c>
      <c r="KCH2" t="str">
        <f>LEFT(Database!KDA2,3)</f>
        <v/>
      </c>
      <c r="KCI2" t="str">
        <f>LEFT(Database!KDB2,3)</f>
        <v/>
      </c>
      <c r="KCJ2" t="str">
        <f>LEFT(Database!KDC2,3)</f>
        <v/>
      </c>
      <c r="KCK2" t="str">
        <f>LEFT(Database!KDD2,3)</f>
        <v/>
      </c>
      <c r="KCL2" t="str">
        <f>LEFT(Database!KDE2,3)</f>
        <v/>
      </c>
      <c r="KCM2" t="str">
        <f>LEFT(Database!KDF2,3)</f>
        <v/>
      </c>
      <c r="KCN2" t="str">
        <f>LEFT(Database!KDG2,3)</f>
        <v/>
      </c>
      <c r="KCO2" t="str">
        <f>LEFT(Database!KDH2,3)</f>
        <v/>
      </c>
      <c r="KCP2" t="str">
        <f>LEFT(Database!KDI2,3)</f>
        <v/>
      </c>
      <c r="KCQ2" t="str">
        <f>LEFT(Database!KDJ2,3)</f>
        <v/>
      </c>
      <c r="KCR2" t="str">
        <f>LEFT(Database!KDK2,3)</f>
        <v/>
      </c>
      <c r="KCS2" t="str">
        <f>LEFT(Database!KDL2,3)</f>
        <v/>
      </c>
      <c r="KCT2" t="str">
        <f>LEFT(Database!KDM2,3)</f>
        <v/>
      </c>
      <c r="KCU2" t="str">
        <f>LEFT(Database!KDN2,3)</f>
        <v/>
      </c>
      <c r="KCV2" t="str">
        <f>LEFT(Database!KDO2,3)</f>
        <v/>
      </c>
      <c r="KCW2" t="str">
        <f>LEFT(Database!KDP2,3)</f>
        <v/>
      </c>
      <c r="KCX2" t="str">
        <f>LEFT(Database!KDQ2,3)</f>
        <v/>
      </c>
      <c r="KCY2" t="str">
        <f>LEFT(Database!KDR2,3)</f>
        <v/>
      </c>
      <c r="KCZ2" t="str">
        <f>LEFT(Database!KDS2,3)</f>
        <v/>
      </c>
      <c r="KDA2" t="str">
        <f>LEFT(Database!KDT2,3)</f>
        <v/>
      </c>
      <c r="KDB2" t="str">
        <f>LEFT(Database!KDU2,3)</f>
        <v/>
      </c>
      <c r="KDC2" t="str">
        <f>LEFT(Database!KDV2,3)</f>
        <v/>
      </c>
      <c r="KDD2" t="str">
        <f>LEFT(Database!KDW2,3)</f>
        <v/>
      </c>
      <c r="KDE2" t="str">
        <f>LEFT(Database!KDX2,3)</f>
        <v/>
      </c>
      <c r="KDF2" t="str">
        <f>LEFT(Database!KDY2,3)</f>
        <v/>
      </c>
      <c r="KDG2" t="str">
        <f>LEFT(Database!KDZ2,3)</f>
        <v/>
      </c>
      <c r="KDH2" t="str">
        <f>LEFT(Database!KEA2,3)</f>
        <v/>
      </c>
      <c r="KDI2" t="str">
        <f>LEFT(Database!KEB2,3)</f>
        <v/>
      </c>
      <c r="KDJ2" t="str">
        <f>LEFT(Database!KEC2,3)</f>
        <v/>
      </c>
      <c r="KDK2" t="str">
        <f>LEFT(Database!KED2,3)</f>
        <v/>
      </c>
      <c r="KDL2" t="str">
        <f>LEFT(Database!KEE2,3)</f>
        <v/>
      </c>
      <c r="KDM2" t="str">
        <f>LEFT(Database!KEF2,3)</f>
        <v/>
      </c>
      <c r="KDN2" t="str">
        <f>LEFT(Database!KEG2,3)</f>
        <v/>
      </c>
      <c r="KDO2" t="str">
        <f>LEFT(Database!KEH2,3)</f>
        <v/>
      </c>
      <c r="KDP2" t="str">
        <f>LEFT(Database!KEI2,3)</f>
        <v/>
      </c>
      <c r="KDQ2" t="str">
        <f>LEFT(Database!KEJ2,3)</f>
        <v/>
      </c>
      <c r="KDR2" t="str">
        <f>LEFT(Database!KEK2,3)</f>
        <v/>
      </c>
      <c r="KDS2" t="str">
        <f>LEFT(Database!KEL2,3)</f>
        <v/>
      </c>
      <c r="KDT2" t="str">
        <f>LEFT(Database!KEM2,3)</f>
        <v/>
      </c>
      <c r="KDU2" t="str">
        <f>LEFT(Database!KEN2,3)</f>
        <v/>
      </c>
      <c r="KDV2" t="str">
        <f>LEFT(Database!KEO2,3)</f>
        <v/>
      </c>
      <c r="KDW2" t="str">
        <f>LEFT(Database!KEP2,3)</f>
        <v/>
      </c>
      <c r="KDX2" t="str">
        <f>LEFT(Database!KEQ2,3)</f>
        <v/>
      </c>
      <c r="KDY2" t="str">
        <f>LEFT(Database!KER2,3)</f>
        <v/>
      </c>
      <c r="KDZ2" t="str">
        <f>LEFT(Database!KES2,3)</f>
        <v/>
      </c>
      <c r="KEA2" t="str">
        <f>LEFT(Database!KET2,3)</f>
        <v/>
      </c>
      <c r="KEB2" t="str">
        <f>LEFT(Database!KEU2,3)</f>
        <v/>
      </c>
      <c r="KEC2" t="str">
        <f>LEFT(Database!KEV2,3)</f>
        <v/>
      </c>
      <c r="KED2" t="str">
        <f>LEFT(Database!KEW2,3)</f>
        <v/>
      </c>
      <c r="KEE2" t="str">
        <f>LEFT(Database!KEX2,3)</f>
        <v/>
      </c>
      <c r="KEF2" t="str">
        <f>LEFT(Database!KEY2,3)</f>
        <v/>
      </c>
      <c r="KEG2" t="str">
        <f>LEFT(Database!KEZ2,3)</f>
        <v/>
      </c>
      <c r="KEH2" t="str">
        <f>LEFT(Database!KFA2,3)</f>
        <v/>
      </c>
      <c r="KEI2" t="str">
        <f>LEFT(Database!KFB2,3)</f>
        <v/>
      </c>
      <c r="KEJ2" t="str">
        <f>LEFT(Database!KFC2,3)</f>
        <v/>
      </c>
      <c r="KEK2" t="str">
        <f>LEFT(Database!KFD2,3)</f>
        <v/>
      </c>
      <c r="KEL2" t="str">
        <f>LEFT(Database!KFE2,3)</f>
        <v/>
      </c>
      <c r="KEM2" t="str">
        <f>LEFT(Database!KFF2,3)</f>
        <v/>
      </c>
      <c r="KEN2" t="str">
        <f>LEFT(Database!KFG2,3)</f>
        <v/>
      </c>
      <c r="KEO2" t="str">
        <f>LEFT(Database!KFH2,3)</f>
        <v/>
      </c>
      <c r="KEP2" t="str">
        <f>LEFT(Database!KFI2,3)</f>
        <v/>
      </c>
      <c r="KEQ2" t="str">
        <f>LEFT(Database!KFJ2,3)</f>
        <v/>
      </c>
      <c r="KER2" t="str">
        <f>LEFT(Database!KFK2,3)</f>
        <v/>
      </c>
      <c r="KES2" t="str">
        <f>LEFT(Database!KFL2,3)</f>
        <v/>
      </c>
      <c r="KET2" t="str">
        <f>LEFT(Database!KFM2,3)</f>
        <v/>
      </c>
      <c r="KEU2" t="str">
        <f>LEFT(Database!KFN2,3)</f>
        <v/>
      </c>
      <c r="KEV2" t="str">
        <f>LEFT(Database!KFO2,3)</f>
        <v/>
      </c>
      <c r="KEW2" t="str">
        <f>LEFT(Database!KFP2,3)</f>
        <v/>
      </c>
      <c r="KEX2" t="str">
        <f>LEFT(Database!KFQ2,3)</f>
        <v/>
      </c>
      <c r="KEY2" t="str">
        <f>LEFT(Database!KFR2,3)</f>
        <v/>
      </c>
      <c r="KEZ2" t="str">
        <f>LEFT(Database!KFS2,3)</f>
        <v/>
      </c>
      <c r="KFA2" t="str">
        <f>LEFT(Database!KFT2,3)</f>
        <v/>
      </c>
      <c r="KFB2" t="str">
        <f>LEFT(Database!KFU2,3)</f>
        <v/>
      </c>
      <c r="KFC2" t="str">
        <f>LEFT(Database!KFV2,3)</f>
        <v/>
      </c>
      <c r="KFD2" t="str">
        <f>LEFT(Database!KFW2,3)</f>
        <v/>
      </c>
      <c r="KFE2" t="str">
        <f>LEFT(Database!KFX2,3)</f>
        <v/>
      </c>
      <c r="KFF2" t="str">
        <f>LEFT(Database!KFY2,3)</f>
        <v/>
      </c>
      <c r="KFG2" t="str">
        <f>LEFT(Database!KFZ2,3)</f>
        <v/>
      </c>
      <c r="KFH2" t="str">
        <f>LEFT(Database!KGA2,3)</f>
        <v/>
      </c>
      <c r="KFI2" t="str">
        <f>LEFT(Database!KGB2,3)</f>
        <v/>
      </c>
      <c r="KFJ2" t="str">
        <f>LEFT(Database!KGC2,3)</f>
        <v/>
      </c>
      <c r="KFK2" t="str">
        <f>LEFT(Database!KGD2,3)</f>
        <v/>
      </c>
      <c r="KFL2" t="str">
        <f>LEFT(Database!KGE2,3)</f>
        <v/>
      </c>
      <c r="KFM2" t="str">
        <f>LEFT(Database!KGF2,3)</f>
        <v/>
      </c>
      <c r="KFN2" t="str">
        <f>LEFT(Database!KGG2,3)</f>
        <v/>
      </c>
      <c r="KFO2" t="str">
        <f>LEFT(Database!KGH2,3)</f>
        <v/>
      </c>
      <c r="KFP2" t="str">
        <f>LEFT(Database!KGI2,3)</f>
        <v/>
      </c>
      <c r="KFQ2" t="str">
        <f>LEFT(Database!KGJ2,3)</f>
        <v/>
      </c>
      <c r="KFR2" t="str">
        <f>LEFT(Database!KGK2,3)</f>
        <v/>
      </c>
      <c r="KFS2" t="str">
        <f>LEFT(Database!KGL2,3)</f>
        <v/>
      </c>
      <c r="KFT2" t="str">
        <f>LEFT(Database!KGM2,3)</f>
        <v/>
      </c>
      <c r="KFU2" t="str">
        <f>LEFT(Database!KGN2,3)</f>
        <v/>
      </c>
      <c r="KFV2" t="str">
        <f>LEFT(Database!KGO2,3)</f>
        <v/>
      </c>
      <c r="KFW2" t="str">
        <f>LEFT(Database!KGP2,3)</f>
        <v/>
      </c>
      <c r="KFX2" t="str">
        <f>LEFT(Database!KGQ2,3)</f>
        <v/>
      </c>
      <c r="KFY2" t="str">
        <f>LEFT(Database!KGR2,3)</f>
        <v/>
      </c>
      <c r="KFZ2" t="str">
        <f>LEFT(Database!KGS2,3)</f>
        <v/>
      </c>
      <c r="KGA2" t="str">
        <f>LEFT(Database!KGT2,3)</f>
        <v/>
      </c>
      <c r="KGB2" t="str">
        <f>LEFT(Database!KGU2,3)</f>
        <v/>
      </c>
      <c r="KGC2" t="str">
        <f>LEFT(Database!KGV2,3)</f>
        <v/>
      </c>
      <c r="KGD2" t="str">
        <f>LEFT(Database!KGW2,3)</f>
        <v/>
      </c>
      <c r="KGE2" t="str">
        <f>LEFT(Database!KGX2,3)</f>
        <v/>
      </c>
      <c r="KGF2" t="str">
        <f>LEFT(Database!KGY2,3)</f>
        <v/>
      </c>
      <c r="KGG2" t="str">
        <f>LEFT(Database!KGZ2,3)</f>
        <v/>
      </c>
      <c r="KGH2" t="str">
        <f>LEFT(Database!KHA2,3)</f>
        <v/>
      </c>
      <c r="KGI2" t="str">
        <f>LEFT(Database!KHB2,3)</f>
        <v/>
      </c>
      <c r="KGJ2" t="str">
        <f>LEFT(Database!KHC2,3)</f>
        <v/>
      </c>
      <c r="KGK2" t="str">
        <f>LEFT(Database!KHD2,3)</f>
        <v/>
      </c>
      <c r="KGL2" t="str">
        <f>LEFT(Database!KHE2,3)</f>
        <v/>
      </c>
      <c r="KGM2" t="str">
        <f>LEFT(Database!KHF2,3)</f>
        <v/>
      </c>
      <c r="KGN2" t="str">
        <f>LEFT(Database!KHG2,3)</f>
        <v/>
      </c>
      <c r="KGO2" t="str">
        <f>LEFT(Database!KHH2,3)</f>
        <v/>
      </c>
      <c r="KGP2" t="str">
        <f>LEFT(Database!KHI2,3)</f>
        <v/>
      </c>
      <c r="KGQ2" t="str">
        <f>LEFT(Database!KHJ2,3)</f>
        <v/>
      </c>
      <c r="KGR2" t="str">
        <f>LEFT(Database!KHK2,3)</f>
        <v/>
      </c>
      <c r="KGS2" t="str">
        <f>LEFT(Database!KHL2,3)</f>
        <v/>
      </c>
      <c r="KGT2" t="str">
        <f>LEFT(Database!KHM2,3)</f>
        <v/>
      </c>
      <c r="KGU2" t="str">
        <f>LEFT(Database!KHN2,3)</f>
        <v/>
      </c>
      <c r="KGV2" t="str">
        <f>LEFT(Database!KHO2,3)</f>
        <v/>
      </c>
      <c r="KGW2" t="str">
        <f>LEFT(Database!KHP2,3)</f>
        <v/>
      </c>
      <c r="KGX2" t="str">
        <f>LEFT(Database!KHQ2,3)</f>
        <v/>
      </c>
      <c r="KGY2" t="str">
        <f>LEFT(Database!KHR2,3)</f>
        <v/>
      </c>
      <c r="KGZ2" t="str">
        <f>LEFT(Database!KHS2,3)</f>
        <v/>
      </c>
      <c r="KHA2" t="str">
        <f>LEFT(Database!KHT2,3)</f>
        <v/>
      </c>
      <c r="KHB2" t="str">
        <f>LEFT(Database!KHU2,3)</f>
        <v/>
      </c>
      <c r="KHC2" t="str">
        <f>LEFT(Database!KHV2,3)</f>
        <v/>
      </c>
      <c r="KHD2" t="str">
        <f>LEFT(Database!KHW2,3)</f>
        <v/>
      </c>
      <c r="KHE2" t="str">
        <f>LEFT(Database!KHX2,3)</f>
        <v/>
      </c>
      <c r="KHF2" t="str">
        <f>LEFT(Database!KHY2,3)</f>
        <v/>
      </c>
      <c r="KHG2" t="str">
        <f>LEFT(Database!KHZ2,3)</f>
        <v/>
      </c>
      <c r="KHH2" t="str">
        <f>LEFT(Database!KIA2,3)</f>
        <v/>
      </c>
      <c r="KHI2" t="str">
        <f>LEFT(Database!KIB2,3)</f>
        <v/>
      </c>
      <c r="KHJ2" t="str">
        <f>LEFT(Database!KIC2,3)</f>
        <v/>
      </c>
      <c r="KHK2" t="str">
        <f>LEFT(Database!KID2,3)</f>
        <v/>
      </c>
      <c r="KHL2" t="str">
        <f>LEFT(Database!KIE2,3)</f>
        <v/>
      </c>
      <c r="KHM2" t="str">
        <f>LEFT(Database!KIF2,3)</f>
        <v/>
      </c>
      <c r="KHN2" t="str">
        <f>LEFT(Database!KIG2,3)</f>
        <v/>
      </c>
      <c r="KHO2" t="str">
        <f>LEFT(Database!KIH2,3)</f>
        <v/>
      </c>
      <c r="KHP2" t="str">
        <f>LEFT(Database!KII2,3)</f>
        <v/>
      </c>
      <c r="KHQ2" t="str">
        <f>LEFT(Database!KIJ2,3)</f>
        <v/>
      </c>
      <c r="KHR2" t="str">
        <f>LEFT(Database!KIK2,3)</f>
        <v/>
      </c>
      <c r="KHS2" t="str">
        <f>LEFT(Database!KIL2,3)</f>
        <v/>
      </c>
      <c r="KHT2" t="str">
        <f>LEFT(Database!KIM2,3)</f>
        <v/>
      </c>
      <c r="KHU2" t="str">
        <f>LEFT(Database!KIN2,3)</f>
        <v/>
      </c>
      <c r="KHV2" t="str">
        <f>LEFT(Database!KIO2,3)</f>
        <v/>
      </c>
      <c r="KHW2" t="str">
        <f>LEFT(Database!KIP2,3)</f>
        <v/>
      </c>
      <c r="KHX2" t="str">
        <f>LEFT(Database!KIQ2,3)</f>
        <v/>
      </c>
      <c r="KHY2" t="str">
        <f>LEFT(Database!KIR2,3)</f>
        <v/>
      </c>
      <c r="KHZ2" t="str">
        <f>LEFT(Database!KIS2,3)</f>
        <v/>
      </c>
      <c r="KIA2" t="str">
        <f>LEFT(Database!KIT2,3)</f>
        <v/>
      </c>
      <c r="KIB2" t="str">
        <f>LEFT(Database!KIU2,3)</f>
        <v/>
      </c>
      <c r="KIC2" t="str">
        <f>LEFT(Database!KIV2,3)</f>
        <v/>
      </c>
      <c r="KID2" t="str">
        <f>LEFT(Database!KIW2,3)</f>
        <v/>
      </c>
      <c r="KIE2" t="str">
        <f>LEFT(Database!KIX2,3)</f>
        <v/>
      </c>
      <c r="KIF2" t="str">
        <f>LEFT(Database!KIY2,3)</f>
        <v/>
      </c>
      <c r="KIG2" t="str">
        <f>LEFT(Database!KIZ2,3)</f>
        <v/>
      </c>
      <c r="KIH2" t="str">
        <f>LEFT(Database!KJA2,3)</f>
        <v/>
      </c>
      <c r="KII2" t="str">
        <f>LEFT(Database!KJB2,3)</f>
        <v/>
      </c>
      <c r="KIJ2" t="str">
        <f>LEFT(Database!KJC2,3)</f>
        <v/>
      </c>
      <c r="KIK2" t="str">
        <f>LEFT(Database!KJD2,3)</f>
        <v/>
      </c>
      <c r="KIL2" t="str">
        <f>LEFT(Database!KJE2,3)</f>
        <v/>
      </c>
      <c r="KIM2" t="str">
        <f>LEFT(Database!KJF2,3)</f>
        <v/>
      </c>
      <c r="KIN2" t="str">
        <f>LEFT(Database!KJG2,3)</f>
        <v/>
      </c>
      <c r="KIO2" t="str">
        <f>LEFT(Database!KJH2,3)</f>
        <v/>
      </c>
      <c r="KIP2" t="str">
        <f>LEFT(Database!KJI2,3)</f>
        <v/>
      </c>
      <c r="KIQ2" t="str">
        <f>LEFT(Database!KJJ2,3)</f>
        <v/>
      </c>
      <c r="KIR2" t="str">
        <f>LEFT(Database!KJK2,3)</f>
        <v/>
      </c>
      <c r="KIS2" t="str">
        <f>LEFT(Database!KJL2,3)</f>
        <v/>
      </c>
      <c r="KIT2" t="str">
        <f>LEFT(Database!KJM2,3)</f>
        <v/>
      </c>
      <c r="KIU2" t="str">
        <f>LEFT(Database!KJN2,3)</f>
        <v/>
      </c>
      <c r="KIV2" t="str">
        <f>LEFT(Database!KJO2,3)</f>
        <v/>
      </c>
      <c r="KIW2" t="str">
        <f>LEFT(Database!KJP2,3)</f>
        <v/>
      </c>
      <c r="KIX2" t="str">
        <f>LEFT(Database!KJQ2,3)</f>
        <v/>
      </c>
      <c r="KIY2" t="str">
        <f>LEFT(Database!KJR2,3)</f>
        <v/>
      </c>
      <c r="KIZ2" t="str">
        <f>LEFT(Database!KJS2,3)</f>
        <v/>
      </c>
      <c r="KJA2" t="str">
        <f>LEFT(Database!KJT2,3)</f>
        <v/>
      </c>
      <c r="KJB2" t="str">
        <f>LEFT(Database!KJU2,3)</f>
        <v/>
      </c>
      <c r="KJC2" t="str">
        <f>LEFT(Database!KJV2,3)</f>
        <v/>
      </c>
      <c r="KJD2" t="str">
        <f>LEFT(Database!KJW2,3)</f>
        <v/>
      </c>
      <c r="KJE2" t="str">
        <f>LEFT(Database!KJX2,3)</f>
        <v/>
      </c>
      <c r="KJF2" t="str">
        <f>LEFT(Database!KJY2,3)</f>
        <v/>
      </c>
      <c r="KJG2" t="str">
        <f>LEFT(Database!KJZ2,3)</f>
        <v/>
      </c>
      <c r="KJH2" t="str">
        <f>LEFT(Database!KKA2,3)</f>
        <v/>
      </c>
      <c r="KJI2" t="str">
        <f>LEFT(Database!KKB2,3)</f>
        <v/>
      </c>
      <c r="KJJ2" t="str">
        <f>LEFT(Database!KKC2,3)</f>
        <v/>
      </c>
      <c r="KJK2" t="str">
        <f>LEFT(Database!KKD2,3)</f>
        <v/>
      </c>
      <c r="KJL2" t="str">
        <f>LEFT(Database!KKE2,3)</f>
        <v/>
      </c>
      <c r="KJM2" t="str">
        <f>LEFT(Database!KKF2,3)</f>
        <v/>
      </c>
      <c r="KJN2" t="str">
        <f>LEFT(Database!KKG2,3)</f>
        <v/>
      </c>
      <c r="KJO2" t="str">
        <f>LEFT(Database!KKH2,3)</f>
        <v/>
      </c>
      <c r="KJP2" t="str">
        <f>LEFT(Database!KKI2,3)</f>
        <v/>
      </c>
      <c r="KJQ2" t="str">
        <f>LEFT(Database!KKJ2,3)</f>
        <v/>
      </c>
      <c r="KJR2" t="str">
        <f>LEFT(Database!KKK2,3)</f>
        <v/>
      </c>
      <c r="KJS2" t="str">
        <f>LEFT(Database!KKL2,3)</f>
        <v/>
      </c>
      <c r="KJT2" t="str">
        <f>LEFT(Database!KKM2,3)</f>
        <v/>
      </c>
      <c r="KJU2" t="str">
        <f>LEFT(Database!KKN2,3)</f>
        <v/>
      </c>
      <c r="KJV2" t="str">
        <f>LEFT(Database!KKO2,3)</f>
        <v/>
      </c>
      <c r="KJW2" t="str">
        <f>LEFT(Database!KKP2,3)</f>
        <v/>
      </c>
      <c r="KJX2" t="str">
        <f>LEFT(Database!KKQ2,3)</f>
        <v/>
      </c>
      <c r="KJY2" t="str">
        <f>LEFT(Database!KKR2,3)</f>
        <v/>
      </c>
      <c r="KJZ2" t="str">
        <f>LEFT(Database!KKS2,3)</f>
        <v/>
      </c>
      <c r="KKA2" t="str">
        <f>LEFT(Database!KKT2,3)</f>
        <v/>
      </c>
      <c r="KKB2" t="str">
        <f>LEFT(Database!KKU2,3)</f>
        <v/>
      </c>
      <c r="KKC2" t="str">
        <f>LEFT(Database!KKV2,3)</f>
        <v/>
      </c>
      <c r="KKD2" t="str">
        <f>LEFT(Database!KKW2,3)</f>
        <v/>
      </c>
      <c r="KKE2" t="str">
        <f>LEFT(Database!KKX2,3)</f>
        <v/>
      </c>
      <c r="KKF2" t="str">
        <f>LEFT(Database!KKY2,3)</f>
        <v/>
      </c>
      <c r="KKG2" t="str">
        <f>LEFT(Database!KKZ2,3)</f>
        <v/>
      </c>
      <c r="KKH2" t="str">
        <f>LEFT(Database!KLA2,3)</f>
        <v/>
      </c>
      <c r="KKI2" t="str">
        <f>LEFT(Database!KLB2,3)</f>
        <v/>
      </c>
      <c r="KKJ2" t="str">
        <f>LEFT(Database!KLC2,3)</f>
        <v/>
      </c>
      <c r="KKK2" t="str">
        <f>LEFT(Database!KLD2,3)</f>
        <v/>
      </c>
      <c r="KKL2" t="str">
        <f>LEFT(Database!KLE2,3)</f>
        <v/>
      </c>
      <c r="KKM2" t="str">
        <f>LEFT(Database!KLF2,3)</f>
        <v/>
      </c>
      <c r="KKN2" t="str">
        <f>LEFT(Database!KLG2,3)</f>
        <v/>
      </c>
      <c r="KKO2" t="str">
        <f>LEFT(Database!KLH2,3)</f>
        <v/>
      </c>
      <c r="KKP2" t="str">
        <f>LEFT(Database!KLI2,3)</f>
        <v/>
      </c>
      <c r="KKQ2" t="str">
        <f>LEFT(Database!KLJ2,3)</f>
        <v/>
      </c>
      <c r="KKR2" t="str">
        <f>LEFT(Database!KLK2,3)</f>
        <v/>
      </c>
      <c r="KKS2" t="str">
        <f>LEFT(Database!KLL2,3)</f>
        <v/>
      </c>
      <c r="KKT2" t="str">
        <f>LEFT(Database!KLM2,3)</f>
        <v/>
      </c>
      <c r="KKU2" t="str">
        <f>LEFT(Database!KLN2,3)</f>
        <v/>
      </c>
      <c r="KKV2" t="str">
        <f>LEFT(Database!KLO2,3)</f>
        <v/>
      </c>
      <c r="KKW2" t="str">
        <f>LEFT(Database!KLP2,3)</f>
        <v/>
      </c>
      <c r="KKX2" t="str">
        <f>LEFT(Database!KLQ2,3)</f>
        <v/>
      </c>
      <c r="KKY2" t="str">
        <f>LEFT(Database!KLR2,3)</f>
        <v/>
      </c>
      <c r="KKZ2" t="str">
        <f>LEFT(Database!KLS2,3)</f>
        <v/>
      </c>
      <c r="KLA2" t="str">
        <f>LEFT(Database!KLT2,3)</f>
        <v/>
      </c>
      <c r="KLB2" t="str">
        <f>LEFT(Database!KLU2,3)</f>
        <v/>
      </c>
      <c r="KLC2" t="str">
        <f>LEFT(Database!KLV2,3)</f>
        <v/>
      </c>
      <c r="KLD2" t="str">
        <f>LEFT(Database!KLW2,3)</f>
        <v/>
      </c>
      <c r="KLE2" t="str">
        <f>LEFT(Database!KLX2,3)</f>
        <v/>
      </c>
      <c r="KLF2" t="str">
        <f>LEFT(Database!KLY2,3)</f>
        <v/>
      </c>
      <c r="KLG2" t="str">
        <f>LEFT(Database!KLZ2,3)</f>
        <v/>
      </c>
      <c r="KLH2" t="str">
        <f>LEFT(Database!KMA2,3)</f>
        <v/>
      </c>
      <c r="KLI2" t="str">
        <f>LEFT(Database!KMB2,3)</f>
        <v/>
      </c>
      <c r="KLJ2" t="str">
        <f>LEFT(Database!KMC2,3)</f>
        <v/>
      </c>
      <c r="KLK2" t="str">
        <f>LEFT(Database!KMD2,3)</f>
        <v/>
      </c>
      <c r="KLL2" t="str">
        <f>LEFT(Database!KME2,3)</f>
        <v/>
      </c>
      <c r="KLM2" t="str">
        <f>LEFT(Database!KMF2,3)</f>
        <v/>
      </c>
      <c r="KLN2" t="str">
        <f>LEFT(Database!KMG2,3)</f>
        <v/>
      </c>
      <c r="KLO2" t="str">
        <f>LEFT(Database!KMH2,3)</f>
        <v/>
      </c>
      <c r="KLP2" t="str">
        <f>LEFT(Database!KMI2,3)</f>
        <v/>
      </c>
      <c r="KLQ2" t="str">
        <f>LEFT(Database!KMJ2,3)</f>
        <v/>
      </c>
      <c r="KLR2" t="str">
        <f>LEFT(Database!KMK2,3)</f>
        <v/>
      </c>
      <c r="KLS2" t="str">
        <f>LEFT(Database!KML2,3)</f>
        <v/>
      </c>
      <c r="KLT2" t="str">
        <f>LEFT(Database!KMM2,3)</f>
        <v/>
      </c>
      <c r="KLU2" t="str">
        <f>LEFT(Database!KMN2,3)</f>
        <v/>
      </c>
      <c r="KLV2" t="str">
        <f>LEFT(Database!KMO2,3)</f>
        <v/>
      </c>
      <c r="KLW2" t="str">
        <f>LEFT(Database!KMP2,3)</f>
        <v/>
      </c>
      <c r="KLX2" t="str">
        <f>LEFT(Database!KMQ2,3)</f>
        <v/>
      </c>
      <c r="KLY2" t="str">
        <f>LEFT(Database!KMR2,3)</f>
        <v/>
      </c>
      <c r="KLZ2" t="str">
        <f>LEFT(Database!KMS2,3)</f>
        <v/>
      </c>
      <c r="KMA2" t="str">
        <f>LEFT(Database!KMT2,3)</f>
        <v/>
      </c>
      <c r="KMB2" t="str">
        <f>LEFT(Database!KMU2,3)</f>
        <v/>
      </c>
      <c r="KMC2" t="str">
        <f>LEFT(Database!KMV2,3)</f>
        <v/>
      </c>
      <c r="KMD2" t="str">
        <f>LEFT(Database!KMW2,3)</f>
        <v/>
      </c>
      <c r="KME2" t="str">
        <f>LEFT(Database!KMX2,3)</f>
        <v/>
      </c>
      <c r="KMF2" t="str">
        <f>LEFT(Database!KMY2,3)</f>
        <v/>
      </c>
      <c r="KMG2" t="str">
        <f>LEFT(Database!KMZ2,3)</f>
        <v/>
      </c>
      <c r="KMH2" t="str">
        <f>LEFT(Database!KNA2,3)</f>
        <v/>
      </c>
      <c r="KMI2" t="str">
        <f>LEFT(Database!KNB2,3)</f>
        <v/>
      </c>
      <c r="KMJ2" t="str">
        <f>LEFT(Database!KNC2,3)</f>
        <v/>
      </c>
      <c r="KMK2" t="str">
        <f>LEFT(Database!KND2,3)</f>
        <v/>
      </c>
      <c r="KML2" t="str">
        <f>LEFT(Database!KNE2,3)</f>
        <v/>
      </c>
      <c r="KMM2" t="str">
        <f>LEFT(Database!KNF2,3)</f>
        <v/>
      </c>
      <c r="KMN2" t="str">
        <f>LEFT(Database!KNG2,3)</f>
        <v/>
      </c>
      <c r="KMO2" t="str">
        <f>LEFT(Database!KNH2,3)</f>
        <v/>
      </c>
      <c r="KMP2" t="str">
        <f>LEFT(Database!KNI2,3)</f>
        <v/>
      </c>
      <c r="KMQ2" t="str">
        <f>LEFT(Database!KNJ2,3)</f>
        <v/>
      </c>
      <c r="KMR2" t="str">
        <f>LEFT(Database!KNK2,3)</f>
        <v/>
      </c>
      <c r="KMS2" t="str">
        <f>LEFT(Database!KNL2,3)</f>
        <v/>
      </c>
      <c r="KMT2" t="str">
        <f>LEFT(Database!KNM2,3)</f>
        <v/>
      </c>
      <c r="KMU2" t="str">
        <f>LEFT(Database!KNN2,3)</f>
        <v/>
      </c>
      <c r="KMV2" t="str">
        <f>LEFT(Database!KNO2,3)</f>
        <v/>
      </c>
      <c r="KMW2" t="str">
        <f>LEFT(Database!KNP2,3)</f>
        <v/>
      </c>
      <c r="KMX2" t="str">
        <f>LEFT(Database!KNQ2,3)</f>
        <v/>
      </c>
      <c r="KMY2" t="str">
        <f>LEFT(Database!KNR2,3)</f>
        <v/>
      </c>
      <c r="KMZ2" t="str">
        <f>LEFT(Database!KNS2,3)</f>
        <v/>
      </c>
      <c r="KNA2" t="str">
        <f>LEFT(Database!KNT2,3)</f>
        <v/>
      </c>
      <c r="KNB2" t="str">
        <f>LEFT(Database!KNU2,3)</f>
        <v/>
      </c>
      <c r="KNC2" t="str">
        <f>LEFT(Database!KNV2,3)</f>
        <v/>
      </c>
      <c r="KND2" t="str">
        <f>LEFT(Database!KNW2,3)</f>
        <v/>
      </c>
      <c r="KNE2" t="str">
        <f>LEFT(Database!KNX2,3)</f>
        <v/>
      </c>
      <c r="KNF2" t="str">
        <f>LEFT(Database!KNY2,3)</f>
        <v/>
      </c>
      <c r="KNG2" t="str">
        <f>LEFT(Database!KNZ2,3)</f>
        <v/>
      </c>
      <c r="KNH2" t="str">
        <f>LEFT(Database!KOA2,3)</f>
        <v/>
      </c>
      <c r="KNI2" t="str">
        <f>LEFT(Database!KOB2,3)</f>
        <v/>
      </c>
      <c r="KNJ2" t="str">
        <f>LEFT(Database!KOC2,3)</f>
        <v/>
      </c>
      <c r="KNK2" t="str">
        <f>LEFT(Database!KOD2,3)</f>
        <v/>
      </c>
      <c r="KNL2" t="str">
        <f>LEFT(Database!KOE2,3)</f>
        <v/>
      </c>
      <c r="KNM2" t="str">
        <f>LEFT(Database!KOF2,3)</f>
        <v/>
      </c>
      <c r="KNN2" t="str">
        <f>LEFT(Database!KOG2,3)</f>
        <v/>
      </c>
      <c r="KNO2" t="str">
        <f>LEFT(Database!KOH2,3)</f>
        <v/>
      </c>
      <c r="KNP2" t="str">
        <f>LEFT(Database!KOI2,3)</f>
        <v/>
      </c>
      <c r="KNQ2" t="str">
        <f>LEFT(Database!KOJ2,3)</f>
        <v/>
      </c>
      <c r="KNR2" t="str">
        <f>LEFT(Database!KOK2,3)</f>
        <v/>
      </c>
      <c r="KNS2" t="str">
        <f>LEFT(Database!KOL2,3)</f>
        <v/>
      </c>
      <c r="KNT2" t="str">
        <f>LEFT(Database!KOM2,3)</f>
        <v/>
      </c>
      <c r="KNU2" t="str">
        <f>LEFT(Database!KON2,3)</f>
        <v/>
      </c>
      <c r="KNV2" t="str">
        <f>LEFT(Database!KOO2,3)</f>
        <v/>
      </c>
      <c r="KNW2" t="str">
        <f>LEFT(Database!KOP2,3)</f>
        <v/>
      </c>
      <c r="KNX2" t="str">
        <f>LEFT(Database!KOQ2,3)</f>
        <v/>
      </c>
      <c r="KNY2" t="str">
        <f>LEFT(Database!KOR2,3)</f>
        <v/>
      </c>
      <c r="KNZ2" t="str">
        <f>LEFT(Database!KOS2,3)</f>
        <v/>
      </c>
      <c r="KOA2" t="str">
        <f>LEFT(Database!KOT2,3)</f>
        <v/>
      </c>
      <c r="KOB2" t="str">
        <f>LEFT(Database!KOU2,3)</f>
        <v/>
      </c>
      <c r="KOC2" t="str">
        <f>LEFT(Database!KOV2,3)</f>
        <v/>
      </c>
      <c r="KOD2" t="str">
        <f>LEFT(Database!KOW2,3)</f>
        <v/>
      </c>
      <c r="KOE2" t="str">
        <f>LEFT(Database!KOX2,3)</f>
        <v/>
      </c>
      <c r="KOF2" t="str">
        <f>LEFT(Database!KOY2,3)</f>
        <v/>
      </c>
      <c r="KOG2" t="str">
        <f>LEFT(Database!KOZ2,3)</f>
        <v/>
      </c>
      <c r="KOH2" t="str">
        <f>LEFT(Database!KPA2,3)</f>
        <v/>
      </c>
      <c r="KOI2" t="str">
        <f>LEFT(Database!KPB2,3)</f>
        <v/>
      </c>
      <c r="KOJ2" t="str">
        <f>LEFT(Database!KPC2,3)</f>
        <v/>
      </c>
      <c r="KOK2" t="str">
        <f>LEFT(Database!KPD2,3)</f>
        <v/>
      </c>
      <c r="KOL2" t="str">
        <f>LEFT(Database!KPE2,3)</f>
        <v/>
      </c>
      <c r="KOM2" t="str">
        <f>LEFT(Database!KPF2,3)</f>
        <v/>
      </c>
      <c r="KON2" t="str">
        <f>LEFT(Database!KPG2,3)</f>
        <v/>
      </c>
      <c r="KOO2" t="str">
        <f>LEFT(Database!KPH2,3)</f>
        <v/>
      </c>
      <c r="KOP2" t="str">
        <f>LEFT(Database!KPI2,3)</f>
        <v/>
      </c>
      <c r="KOQ2" t="str">
        <f>LEFT(Database!KPJ2,3)</f>
        <v/>
      </c>
      <c r="KOR2" t="str">
        <f>LEFT(Database!KPK2,3)</f>
        <v/>
      </c>
      <c r="KOS2" t="str">
        <f>LEFT(Database!KPL2,3)</f>
        <v/>
      </c>
      <c r="KOT2" t="str">
        <f>LEFT(Database!KPM2,3)</f>
        <v/>
      </c>
      <c r="KOU2" t="str">
        <f>LEFT(Database!KPN2,3)</f>
        <v/>
      </c>
      <c r="KOV2" t="str">
        <f>LEFT(Database!KPO2,3)</f>
        <v/>
      </c>
      <c r="KOW2" t="str">
        <f>LEFT(Database!KPP2,3)</f>
        <v/>
      </c>
      <c r="KOX2" t="str">
        <f>LEFT(Database!KPQ2,3)</f>
        <v/>
      </c>
      <c r="KOY2" t="str">
        <f>LEFT(Database!KPR2,3)</f>
        <v/>
      </c>
      <c r="KOZ2" t="str">
        <f>LEFT(Database!KPS2,3)</f>
        <v/>
      </c>
      <c r="KPA2" t="str">
        <f>LEFT(Database!KPT2,3)</f>
        <v/>
      </c>
      <c r="KPB2" t="str">
        <f>LEFT(Database!KPU2,3)</f>
        <v/>
      </c>
      <c r="KPC2" t="str">
        <f>LEFT(Database!KPV2,3)</f>
        <v/>
      </c>
      <c r="KPD2" t="str">
        <f>LEFT(Database!KPW2,3)</f>
        <v/>
      </c>
      <c r="KPE2" t="str">
        <f>LEFT(Database!KPX2,3)</f>
        <v/>
      </c>
      <c r="KPF2" t="str">
        <f>LEFT(Database!KPY2,3)</f>
        <v/>
      </c>
      <c r="KPG2" t="str">
        <f>LEFT(Database!KPZ2,3)</f>
        <v/>
      </c>
      <c r="KPH2" t="str">
        <f>LEFT(Database!KQA2,3)</f>
        <v/>
      </c>
      <c r="KPI2" t="str">
        <f>LEFT(Database!KQB2,3)</f>
        <v/>
      </c>
      <c r="KPJ2" t="str">
        <f>LEFT(Database!KQC2,3)</f>
        <v/>
      </c>
      <c r="KPK2" t="str">
        <f>LEFT(Database!KQD2,3)</f>
        <v/>
      </c>
      <c r="KPL2" t="str">
        <f>LEFT(Database!KQE2,3)</f>
        <v/>
      </c>
      <c r="KPM2" t="str">
        <f>LEFT(Database!KQF2,3)</f>
        <v/>
      </c>
      <c r="KPN2" t="str">
        <f>LEFT(Database!KQG2,3)</f>
        <v/>
      </c>
      <c r="KPO2" t="str">
        <f>LEFT(Database!KQH2,3)</f>
        <v/>
      </c>
      <c r="KPP2" t="str">
        <f>LEFT(Database!KQI2,3)</f>
        <v/>
      </c>
      <c r="KPQ2" t="str">
        <f>LEFT(Database!KQJ2,3)</f>
        <v/>
      </c>
      <c r="KPR2" t="str">
        <f>LEFT(Database!KQK2,3)</f>
        <v/>
      </c>
      <c r="KPS2" t="str">
        <f>LEFT(Database!KQL2,3)</f>
        <v/>
      </c>
      <c r="KPT2" t="str">
        <f>LEFT(Database!KQM2,3)</f>
        <v/>
      </c>
      <c r="KPU2" t="str">
        <f>LEFT(Database!KQN2,3)</f>
        <v/>
      </c>
      <c r="KPV2" t="str">
        <f>LEFT(Database!KQO2,3)</f>
        <v/>
      </c>
      <c r="KPW2" t="str">
        <f>LEFT(Database!KQP2,3)</f>
        <v/>
      </c>
      <c r="KPX2" t="str">
        <f>LEFT(Database!KQQ2,3)</f>
        <v/>
      </c>
      <c r="KPY2" t="str">
        <f>LEFT(Database!KQR2,3)</f>
        <v/>
      </c>
      <c r="KPZ2" t="str">
        <f>LEFT(Database!KQS2,3)</f>
        <v/>
      </c>
      <c r="KQA2" t="str">
        <f>LEFT(Database!KQT2,3)</f>
        <v/>
      </c>
      <c r="KQB2" t="str">
        <f>LEFT(Database!KQU2,3)</f>
        <v/>
      </c>
      <c r="KQC2" t="str">
        <f>LEFT(Database!KQV2,3)</f>
        <v/>
      </c>
      <c r="KQD2" t="str">
        <f>LEFT(Database!KQW2,3)</f>
        <v/>
      </c>
      <c r="KQE2" t="str">
        <f>LEFT(Database!KQX2,3)</f>
        <v/>
      </c>
      <c r="KQF2" t="str">
        <f>LEFT(Database!KQY2,3)</f>
        <v/>
      </c>
      <c r="KQG2" t="str">
        <f>LEFT(Database!KQZ2,3)</f>
        <v/>
      </c>
      <c r="KQH2" t="str">
        <f>LEFT(Database!KRA2,3)</f>
        <v/>
      </c>
      <c r="KQI2" t="str">
        <f>LEFT(Database!KRB2,3)</f>
        <v/>
      </c>
      <c r="KQJ2" t="str">
        <f>LEFT(Database!KRC2,3)</f>
        <v/>
      </c>
      <c r="KQK2" t="str">
        <f>LEFT(Database!KRD2,3)</f>
        <v/>
      </c>
      <c r="KQL2" t="str">
        <f>LEFT(Database!KRE2,3)</f>
        <v/>
      </c>
      <c r="KQM2" t="str">
        <f>LEFT(Database!KRF2,3)</f>
        <v/>
      </c>
      <c r="KQN2" t="str">
        <f>LEFT(Database!KRG2,3)</f>
        <v/>
      </c>
      <c r="KQO2" t="str">
        <f>LEFT(Database!KRH2,3)</f>
        <v/>
      </c>
      <c r="KQP2" t="str">
        <f>LEFT(Database!KRI2,3)</f>
        <v/>
      </c>
      <c r="KQQ2" t="str">
        <f>LEFT(Database!KRJ2,3)</f>
        <v/>
      </c>
      <c r="KQR2" t="str">
        <f>LEFT(Database!KRK2,3)</f>
        <v/>
      </c>
      <c r="KQS2" t="str">
        <f>LEFT(Database!KRL2,3)</f>
        <v/>
      </c>
      <c r="KQT2" t="str">
        <f>LEFT(Database!KRM2,3)</f>
        <v/>
      </c>
      <c r="KQU2" t="str">
        <f>LEFT(Database!KRN2,3)</f>
        <v/>
      </c>
      <c r="KQV2" t="str">
        <f>LEFT(Database!KRO2,3)</f>
        <v/>
      </c>
      <c r="KQW2" t="str">
        <f>LEFT(Database!KRP2,3)</f>
        <v/>
      </c>
      <c r="KQX2" t="str">
        <f>LEFT(Database!KRQ2,3)</f>
        <v/>
      </c>
      <c r="KQY2" t="str">
        <f>LEFT(Database!KRR2,3)</f>
        <v/>
      </c>
      <c r="KQZ2" t="str">
        <f>LEFT(Database!KRS2,3)</f>
        <v/>
      </c>
      <c r="KRA2" t="str">
        <f>LEFT(Database!KRT2,3)</f>
        <v/>
      </c>
      <c r="KRB2" t="str">
        <f>LEFT(Database!KRU2,3)</f>
        <v/>
      </c>
      <c r="KRC2" t="str">
        <f>LEFT(Database!KRV2,3)</f>
        <v/>
      </c>
      <c r="KRD2" t="str">
        <f>LEFT(Database!KRW2,3)</f>
        <v/>
      </c>
      <c r="KRE2" t="str">
        <f>LEFT(Database!KRX2,3)</f>
        <v/>
      </c>
      <c r="KRF2" t="str">
        <f>LEFT(Database!KRY2,3)</f>
        <v/>
      </c>
      <c r="KRG2" t="str">
        <f>LEFT(Database!KRZ2,3)</f>
        <v/>
      </c>
      <c r="KRH2" t="str">
        <f>LEFT(Database!KSA2,3)</f>
        <v/>
      </c>
      <c r="KRI2" t="str">
        <f>LEFT(Database!KSB2,3)</f>
        <v/>
      </c>
      <c r="KRJ2" t="str">
        <f>LEFT(Database!KSC2,3)</f>
        <v/>
      </c>
      <c r="KRK2" t="str">
        <f>LEFT(Database!KSD2,3)</f>
        <v/>
      </c>
      <c r="KRL2" t="str">
        <f>LEFT(Database!KSE2,3)</f>
        <v/>
      </c>
      <c r="KRM2" t="str">
        <f>LEFT(Database!KSF2,3)</f>
        <v/>
      </c>
      <c r="KRN2" t="str">
        <f>LEFT(Database!KSG2,3)</f>
        <v/>
      </c>
      <c r="KRO2" t="str">
        <f>LEFT(Database!KSH2,3)</f>
        <v/>
      </c>
      <c r="KRP2" t="str">
        <f>LEFT(Database!KSI2,3)</f>
        <v/>
      </c>
      <c r="KRQ2" t="str">
        <f>LEFT(Database!KSJ2,3)</f>
        <v/>
      </c>
      <c r="KRR2" t="str">
        <f>LEFT(Database!KSK2,3)</f>
        <v/>
      </c>
      <c r="KRS2" t="str">
        <f>LEFT(Database!KSL2,3)</f>
        <v/>
      </c>
      <c r="KRT2" t="str">
        <f>LEFT(Database!KSM2,3)</f>
        <v/>
      </c>
      <c r="KRU2" t="str">
        <f>LEFT(Database!KSN2,3)</f>
        <v/>
      </c>
      <c r="KRV2" t="str">
        <f>LEFT(Database!KSO2,3)</f>
        <v/>
      </c>
      <c r="KRW2" t="str">
        <f>LEFT(Database!KSP2,3)</f>
        <v/>
      </c>
      <c r="KRX2" t="str">
        <f>LEFT(Database!KSQ2,3)</f>
        <v/>
      </c>
      <c r="KRY2" t="str">
        <f>LEFT(Database!KSR2,3)</f>
        <v/>
      </c>
      <c r="KRZ2" t="str">
        <f>LEFT(Database!KSS2,3)</f>
        <v/>
      </c>
      <c r="KSA2" t="str">
        <f>LEFT(Database!KST2,3)</f>
        <v/>
      </c>
      <c r="KSB2" t="str">
        <f>LEFT(Database!KSU2,3)</f>
        <v/>
      </c>
      <c r="KSC2" t="str">
        <f>LEFT(Database!KSV2,3)</f>
        <v/>
      </c>
      <c r="KSD2" t="str">
        <f>LEFT(Database!KSW2,3)</f>
        <v/>
      </c>
      <c r="KSE2" t="str">
        <f>LEFT(Database!KSX2,3)</f>
        <v/>
      </c>
      <c r="KSF2" t="str">
        <f>LEFT(Database!KSY2,3)</f>
        <v/>
      </c>
      <c r="KSG2" t="str">
        <f>LEFT(Database!KSZ2,3)</f>
        <v/>
      </c>
      <c r="KSH2" t="str">
        <f>LEFT(Database!KTA2,3)</f>
        <v/>
      </c>
      <c r="KSI2" t="str">
        <f>LEFT(Database!KTB2,3)</f>
        <v/>
      </c>
      <c r="KSJ2" t="str">
        <f>LEFT(Database!KTC2,3)</f>
        <v/>
      </c>
      <c r="KSK2" t="str">
        <f>LEFT(Database!KTD2,3)</f>
        <v/>
      </c>
      <c r="KSL2" t="str">
        <f>LEFT(Database!KTE2,3)</f>
        <v/>
      </c>
      <c r="KSM2" t="str">
        <f>LEFT(Database!KTF2,3)</f>
        <v/>
      </c>
      <c r="KSN2" t="str">
        <f>LEFT(Database!KTG2,3)</f>
        <v/>
      </c>
      <c r="KSO2" t="str">
        <f>LEFT(Database!KTH2,3)</f>
        <v/>
      </c>
      <c r="KSP2" t="str">
        <f>LEFT(Database!KTI2,3)</f>
        <v/>
      </c>
      <c r="KSQ2" t="str">
        <f>LEFT(Database!KTJ2,3)</f>
        <v/>
      </c>
      <c r="KSR2" t="str">
        <f>LEFT(Database!KTK2,3)</f>
        <v/>
      </c>
      <c r="KSS2" t="str">
        <f>LEFT(Database!KTL2,3)</f>
        <v/>
      </c>
      <c r="KST2" t="str">
        <f>LEFT(Database!KTM2,3)</f>
        <v/>
      </c>
      <c r="KSU2" t="str">
        <f>LEFT(Database!KTN2,3)</f>
        <v/>
      </c>
      <c r="KSV2" t="str">
        <f>LEFT(Database!KTO2,3)</f>
        <v/>
      </c>
      <c r="KSW2" t="str">
        <f>LEFT(Database!KTP2,3)</f>
        <v/>
      </c>
      <c r="KSX2" t="str">
        <f>LEFT(Database!KTQ2,3)</f>
        <v/>
      </c>
      <c r="KSY2" t="str">
        <f>LEFT(Database!KTR2,3)</f>
        <v/>
      </c>
      <c r="KSZ2" t="str">
        <f>LEFT(Database!KTS2,3)</f>
        <v/>
      </c>
      <c r="KTA2" t="str">
        <f>LEFT(Database!KTT2,3)</f>
        <v/>
      </c>
      <c r="KTB2" t="str">
        <f>LEFT(Database!KTU2,3)</f>
        <v/>
      </c>
      <c r="KTC2" t="str">
        <f>LEFT(Database!KTV2,3)</f>
        <v/>
      </c>
      <c r="KTD2" t="str">
        <f>LEFT(Database!KTW2,3)</f>
        <v/>
      </c>
      <c r="KTE2" t="str">
        <f>LEFT(Database!KTX2,3)</f>
        <v/>
      </c>
      <c r="KTF2" t="str">
        <f>LEFT(Database!KTY2,3)</f>
        <v/>
      </c>
      <c r="KTG2" t="str">
        <f>LEFT(Database!KTZ2,3)</f>
        <v/>
      </c>
      <c r="KTH2" t="str">
        <f>LEFT(Database!KUA2,3)</f>
        <v/>
      </c>
      <c r="KTI2" t="str">
        <f>LEFT(Database!KUB2,3)</f>
        <v/>
      </c>
      <c r="KTJ2" t="str">
        <f>LEFT(Database!KUC2,3)</f>
        <v/>
      </c>
      <c r="KTK2" t="str">
        <f>LEFT(Database!KUD2,3)</f>
        <v/>
      </c>
      <c r="KTL2" t="str">
        <f>LEFT(Database!KUE2,3)</f>
        <v/>
      </c>
      <c r="KTM2" t="str">
        <f>LEFT(Database!KUF2,3)</f>
        <v/>
      </c>
      <c r="KTN2" t="str">
        <f>LEFT(Database!KUG2,3)</f>
        <v/>
      </c>
      <c r="KTO2" t="str">
        <f>LEFT(Database!KUH2,3)</f>
        <v/>
      </c>
      <c r="KTP2" t="str">
        <f>LEFT(Database!KUI2,3)</f>
        <v/>
      </c>
      <c r="KTQ2" t="str">
        <f>LEFT(Database!KUJ2,3)</f>
        <v/>
      </c>
      <c r="KTR2" t="str">
        <f>LEFT(Database!KUK2,3)</f>
        <v/>
      </c>
      <c r="KTS2" t="str">
        <f>LEFT(Database!KUL2,3)</f>
        <v/>
      </c>
      <c r="KTT2" t="str">
        <f>LEFT(Database!KUM2,3)</f>
        <v/>
      </c>
      <c r="KTU2" t="str">
        <f>LEFT(Database!KUN2,3)</f>
        <v/>
      </c>
      <c r="KTV2" t="str">
        <f>LEFT(Database!KUO2,3)</f>
        <v/>
      </c>
      <c r="KTW2" t="str">
        <f>LEFT(Database!KUP2,3)</f>
        <v/>
      </c>
      <c r="KTX2" t="str">
        <f>LEFT(Database!KUQ2,3)</f>
        <v/>
      </c>
      <c r="KTY2" t="str">
        <f>LEFT(Database!KUR2,3)</f>
        <v/>
      </c>
      <c r="KTZ2" t="str">
        <f>LEFT(Database!KUS2,3)</f>
        <v/>
      </c>
      <c r="KUA2" t="str">
        <f>LEFT(Database!KUT2,3)</f>
        <v/>
      </c>
      <c r="KUB2" t="str">
        <f>LEFT(Database!KUU2,3)</f>
        <v/>
      </c>
      <c r="KUC2" t="str">
        <f>LEFT(Database!KUV2,3)</f>
        <v/>
      </c>
      <c r="KUD2" t="str">
        <f>LEFT(Database!KUW2,3)</f>
        <v/>
      </c>
      <c r="KUE2" t="str">
        <f>LEFT(Database!KUX2,3)</f>
        <v/>
      </c>
      <c r="KUF2" t="str">
        <f>LEFT(Database!KUY2,3)</f>
        <v/>
      </c>
      <c r="KUG2" t="str">
        <f>LEFT(Database!KUZ2,3)</f>
        <v/>
      </c>
      <c r="KUH2" t="str">
        <f>LEFT(Database!KVA2,3)</f>
        <v/>
      </c>
      <c r="KUI2" t="str">
        <f>LEFT(Database!KVB2,3)</f>
        <v/>
      </c>
      <c r="KUJ2" t="str">
        <f>LEFT(Database!KVC2,3)</f>
        <v/>
      </c>
      <c r="KUK2" t="str">
        <f>LEFT(Database!KVD2,3)</f>
        <v/>
      </c>
      <c r="KUL2" t="str">
        <f>LEFT(Database!KVE2,3)</f>
        <v/>
      </c>
      <c r="KUM2" t="str">
        <f>LEFT(Database!KVF2,3)</f>
        <v/>
      </c>
      <c r="KUN2" t="str">
        <f>LEFT(Database!KVG2,3)</f>
        <v/>
      </c>
      <c r="KUO2" t="str">
        <f>LEFT(Database!KVH2,3)</f>
        <v/>
      </c>
      <c r="KUP2" t="str">
        <f>LEFT(Database!KVI2,3)</f>
        <v/>
      </c>
      <c r="KUQ2" t="str">
        <f>LEFT(Database!KVJ2,3)</f>
        <v/>
      </c>
      <c r="KUR2" t="str">
        <f>LEFT(Database!KVK2,3)</f>
        <v/>
      </c>
      <c r="KUS2" t="str">
        <f>LEFT(Database!KVL2,3)</f>
        <v/>
      </c>
      <c r="KUT2" t="str">
        <f>LEFT(Database!KVM2,3)</f>
        <v/>
      </c>
      <c r="KUU2" t="str">
        <f>LEFT(Database!KVN2,3)</f>
        <v/>
      </c>
      <c r="KUV2" t="str">
        <f>LEFT(Database!KVO2,3)</f>
        <v/>
      </c>
      <c r="KUW2" t="str">
        <f>LEFT(Database!KVP2,3)</f>
        <v/>
      </c>
      <c r="KUX2" t="str">
        <f>LEFT(Database!KVQ2,3)</f>
        <v/>
      </c>
      <c r="KUY2" t="str">
        <f>LEFT(Database!KVR2,3)</f>
        <v/>
      </c>
      <c r="KUZ2" t="str">
        <f>LEFT(Database!KVS2,3)</f>
        <v/>
      </c>
      <c r="KVA2" t="str">
        <f>LEFT(Database!KVT2,3)</f>
        <v/>
      </c>
      <c r="KVB2" t="str">
        <f>LEFT(Database!KVU2,3)</f>
        <v/>
      </c>
      <c r="KVC2" t="str">
        <f>LEFT(Database!KVV2,3)</f>
        <v/>
      </c>
      <c r="KVD2" t="str">
        <f>LEFT(Database!KVW2,3)</f>
        <v/>
      </c>
      <c r="KVE2" t="str">
        <f>LEFT(Database!KVX2,3)</f>
        <v/>
      </c>
      <c r="KVF2" t="str">
        <f>LEFT(Database!KVY2,3)</f>
        <v/>
      </c>
      <c r="KVG2" t="str">
        <f>LEFT(Database!KVZ2,3)</f>
        <v/>
      </c>
      <c r="KVH2" t="str">
        <f>LEFT(Database!KWA2,3)</f>
        <v/>
      </c>
      <c r="KVI2" t="str">
        <f>LEFT(Database!KWB2,3)</f>
        <v/>
      </c>
      <c r="KVJ2" t="str">
        <f>LEFT(Database!KWC2,3)</f>
        <v/>
      </c>
      <c r="KVK2" t="str">
        <f>LEFT(Database!KWD2,3)</f>
        <v/>
      </c>
      <c r="KVL2" t="str">
        <f>LEFT(Database!KWE2,3)</f>
        <v/>
      </c>
      <c r="KVM2" t="str">
        <f>LEFT(Database!KWF2,3)</f>
        <v/>
      </c>
      <c r="KVN2" t="str">
        <f>LEFT(Database!KWG2,3)</f>
        <v/>
      </c>
      <c r="KVO2" t="str">
        <f>LEFT(Database!KWH2,3)</f>
        <v/>
      </c>
      <c r="KVP2" t="str">
        <f>LEFT(Database!KWI2,3)</f>
        <v/>
      </c>
      <c r="KVQ2" t="str">
        <f>LEFT(Database!KWJ2,3)</f>
        <v/>
      </c>
      <c r="KVR2" t="str">
        <f>LEFT(Database!KWK2,3)</f>
        <v/>
      </c>
      <c r="KVS2" t="str">
        <f>LEFT(Database!KWL2,3)</f>
        <v/>
      </c>
      <c r="KVT2" t="str">
        <f>LEFT(Database!KWM2,3)</f>
        <v/>
      </c>
      <c r="KVU2" t="str">
        <f>LEFT(Database!KWN2,3)</f>
        <v/>
      </c>
      <c r="KVV2" t="str">
        <f>LEFT(Database!KWO2,3)</f>
        <v/>
      </c>
      <c r="KVW2" t="str">
        <f>LEFT(Database!KWP2,3)</f>
        <v/>
      </c>
      <c r="KVX2" t="str">
        <f>LEFT(Database!KWQ2,3)</f>
        <v/>
      </c>
      <c r="KVY2" t="str">
        <f>LEFT(Database!KWR2,3)</f>
        <v/>
      </c>
      <c r="KVZ2" t="str">
        <f>LEFT(Database!KWS2,3)</f>
        <v/>
      </c>
      <c r="KWA2" t="str">
        <f>LEFT(Database!KWT2,3)</f>
        <v/>
      </c>
      <c r="KWB2" t="str">
        <f>LEFT(Database!KWU2,3)</f>
        <v/>
      </c>
      <c r="KWC2" t="str">
        <f>LEFT(Database!KWV2,3)</f>
        <v/>
      </c>
      <c r="KWD2" t="str">
        <f>LEFT(Database!KWW2,3)</f>
        <v/>
      </c>
      <c r="KWE2" t="str">
        <f>LEFT(Database!KWX2,3)</f>
        <v/>
      </c>
      <c r="KWF2" t="str">
        <f>LEFT(Database!KWY2,3)</f>
        <v/>
      </c>
      <c r="KWG2" t="str">
        <f>LEFT(Database!KWZ2,3)</f>
        <v/>
      </c>
      <c r="KWH2" t="str">
        <f>LEFT(Database!KXA2,3)</f>
        <v/>
      </c>
      <c r="KWI2" t="str">
        <f>LEFT(Database!KXB2,3)</f>
        <v/>
      </c>
      <c r="KWJ2" t="str">
        <f>LEFT(Database!KXC2,3)</f>
        <v/>
      </c>
      <c r="KWK2" t="str">
        <f>LEFT(Database!KXD2,3)</f>
        <v/>
      </c>
      <c r="KWL2" t="str">
        <f>LEFT(Database!KXE2,3)</f>
        <v/>
      </c>
      <c r="KWM2" t="str">
        <f>LEFT(Database!KXF2,3)</f>
        <v/>
      </c>
      <c r="KWN2" t="str">
        <f>LEFT(Database!KXG2,3)</f>
        <v/>
      </c>
      <c r="KWO2" t="str">
        <f>LEFT(Database!KXH2,3)</f>
        <v/>
      </c>
      <c r="KWP2" t="str">
        <f>LEFT(Database!KXI2,3)</f>
        <v/>
      </c>
      <c r="KWQ2" t="str">
        <f>LEFT(Database!KXJ2,3)</f>
        <v/>
      </c>
      <c r="KWR2" t="str">
        <f>LEFT(Database!KXK2,3)</f>
        <v/>
      </c>
      <c r="KWS2" t="str">
        <f>LEFT(Database!KXL2,3)</f>
        <v/>
      </c>
      <c r="KWT2" t="str">
        <f>LEFT(Database!KXM2,3)</f>
        <v/>
      </c>
      <c r="KWU2" t="str">
        <f>LEFT(Database!KXN2,3)</f>
        <v/>
      </c>
      <c r="KWV2" t="str">
        <f>LEFT(Database!KXO2,3)</f>
        <v/>
      </c>
      <c r="KWW2" t="str">
        <f>LEFT(Database!KXP2,3)</f>
        <v/>
      </c>
      <c r="KWX2" t="str">
        <f>LEFT(Database!KXQ2,3)</f>
        <v/>
      </c>
      <c r="KWY2" t="str">
        <f>LEFT(Database!KXR2,3)</f>
        <v/>
      </c>
      <c r="KWZ2" t="str">
        <f>LEFT(Database!KXS2,3)</f>
        <v/>
      </c>
      <c r="KXA2" t="str">
        <f>LEFT(Database!KXT2,3)</f>
        <v/>
      </c>
      <c r="KXB2" t="str">
        <f>LEFT(Database!KXU2,3)</f>
        <v/>
      </c>
      <c r="KXC2" t="str">
        <f>LEFT(Database!KXV2,3)</f>
        <v/>
      </c>
      <c r="KXD2" t="str">
        <f>LEFT(Database!KXW2,3)</f>
        <v/>
      </c>
      <c r="KXE2" t="str">
        <f>LEFT(Database!KXX2,3)</f>
        <v/>
      </c>
      <c r="KXF2" t="str">
        <f>LEFT(Database!KXY2,3)</f>
        <v/>
      </c>
      <c r="KXG2" t="str">
        <f>LEFT(Database!KXZ2,3)</f>
        <v/>
      </c>
      <c r="KXH2" t="str">
        <f>LEFT(Database!KYA2,3)</f>
        <v/>
      </c>
      <c r="KXI2" t="str">
        <f>LEFT(Database!KYB2,3)</f>
        <v/>
      </c>
      <c r="KXJ2" t="str">
        <f>LEFT(Database!KYC2,3)</f>
        <v/>
      </c>
      <c r="KXK2" t="str">
        <f>LEFT(Database!KYD2,3)</f>
        <v/>
      </c>
      <c r="KXL2" t="str">
        <f>LEFT(Database!KYE2,3)</f>
        <v/>
      </c>
      <c r="KXM2" t="str">
        <f>LEFT(Database!KYF2,3)</f>
        <v/>
      </c>
      <c r="KXN2" t="str">
        <f>LEFT(Database!KYG2,3)</f>
        <v/>
      </c>
      <c r="KXO2" t="str">
        <f>LEFT(Database!KYH2,3)</f>
        <v/>
      </c>
      <c r="KXP2" t="str">
        <f>LEFT(Database!KYI2,3)</f>
        <v/>
      </c>
      <c r="KXQ2" t="str">
        <f>LEFT(Database!KYJ2,3)</f>
        <v/>
      </c>
      <c r="KXR2" t="str">
        <f>LEFT(Database!KYK2,3)</f>
        <v/>
      </c>
      <c r="KXS2" t="str">
        <f>LEFT(Database!KYL2,3)</f>
        <v/>
      </c>
      <c r="KXT2" t="str">
        <f>LEFT(Database!KYM2,3)</f>
        <v/>
      </c>
      <c r="KXU2" t="str">
        <f>LEFT(Database!KYN2,3)</f>
        <v/>
      </c>
      <c r="KXV2" t="str">
        <f>LEFT(Database!KYO2,3)</f>
        <v/>
      </c>
      <c r="KXW2" t="str">
        <f>LEFT(Database!KYP2,3)</f>
        <v/>
      </c>
      <c r="KXX2" t="str">
        <f>LEFT(Database!KYQ2,3)</f>
        <v/>
      </c>
      <c r="KXY2" t="str">
        <f>LEFT(Database!KYR2,3)</f>
        <v/>
      </c>
      <c r="KXZ2" t="str">
        <f>LEFT(Database!KYS2,3)</f>
        <v/>
      </c>
      <c r="KYA2" t="str">
        <f>LEFT(Database!KYT2,3)</f>
        <v/>
      </c>
      <c r="KYB2" t="str">
        <f>LEFT(Database!KYU2,3)</f>
        <v/>
      </c>
      <c r="KYC2" t="str">
        <f>LEFT(Database!KYV2,3)</f>
        <v/>
      </c>
      <c r="KYD2" t="str">
        <f>LEFT(Database!KYW2,3)</f>
        <v/>
      </c>
      <c r="KYE2" t="str">
        <f>LEFT(Database!KYX2,3)</f>
        <v/>
      </c>
      <c r="KYF2" t="str">
        <f>LEFT(Database!KYY2,3)</f>
        <v/>
      </c>
      <c r="KYG2" t="str">
        <f>LEFT(Database!KYZ2,3)</f>
        <v/>
      </c>
      <c r="KYH2" t="str">
        <f>LEFT(Database!KZA2,3)</f>
        <v/>
      </c>
      <c r="KYI2" t="str">
        <f>LEFT(Database!KZB2,3)</f>
        <v/>
      </c>
      <c r="KYJ2" t="str">
        <f>LEFT(Database!KZC2,3)</f>
        <v/>
      </c>
      <c r="KYK2" t="str">
        <f>LEFT(Database!KZD2,3)</f>
        <v/>
      </c>
      <c r="KYL2" t="str">
        <f>LEFT(Database!KZE2,3)</f>
        <v/>
      </c>
      <c r="KYM2" t="str">
        <f>LEFT(Database!KZF2,3)</f>
        <v/>
      </c>
      <c r="KYN2" t="str">
        <f>LEFT(Database!KZG2,3)</f>
        <v/>
      </c>
      <c r="KYO2" t="str">
        <f>LEFT(Database!KZH2,3)</f>
        <v/>
      </c>
      <c r="KYP2" t="str">
        <f>LEFT(Database!KZI2,3)</f>
        <v/>
      </c>
      <c r="KYQ2" t="str">
        <f>LEFT(Database!KZJ2,3)</f>
        <v/>
      </c>
      <c r="KYR2" t="str">
        <f>LEFT(Database!KZK2,3)</f>
        <v/>
      </c>
      <c r="KYS2" t="str">
        <f>LEFT(Database!KZL2,3)</f>
        <v/>
      </c>
      <c r="KYT2" t="str">
        <f>LEFT(Database!KZM2,3)</f>
        <v/>
      </c>
      <c r="KYU2" t="str">
        <f>LEFT(Database!KZN2,3)</f>
        <v/>
      </c>
      <c r="KYV2" t="str">
        <f>LEFT(Database!KZO2,3)</f>
        <v/>
      </c>
      <c r="KYW2" t="str">
        <f>LEFT(Database!KZP2,3)</f>
        <v/>
      </c>
      <c r="KYX2" t="str">
        <f>LEFT(Database!KZQ2,3)</f>
        <v/>
      </c>
      <c r="KYY2" t="str">
        <f>LEFT(Database!KZR2,3)</f>
        <v/>
      </c>
      <c r="KYZ2" t="str">
        <f>LEFT(Database!KZS2,3)</f>
        <v/>
      </c>
      <c r="KZA2" t="str">
        <f>LEFT(Database!KZT2,3)</f>
        <v/>
      </c>
      <c r="KZB2" t="str">
        <f>LEFT(Database!KZU2,3)</f>
        <v/>
      </c>
      <c r="KZC2" t="str">
        <f>LEFT(Database!KZV2,3)</f>
        <v/>
      </c>
      <c r="KZD2" t="str">
        <f>LEFT(Database!KZW2,3)</f>
        <v/>
      </c>
      <c r="KZE2" t="str">
        <f>LEFT(Database!KZX2,3)</f>
        <v/>
      </c>
      <c r="KZF2" t="str">
        <f>LEFT(Database!KZY2,3)</f>
        <v/>
      </c>
      <c r="KZG2" t="str">
        <f>LEFT(Database!KZZ2,3)</f>
        <v/>
      </c>
      <c r="KZH2" t="str">
        <f>LEFT(Database!LAA2,3)</f>
        <v/>
      </c>
      <c r="KZI2" t="str">
        <f>LEFT(Database!LAB2,3)</f>
        <v/>
      </c>
      <c r="KZJ2" t="str">
        <f>LEFT(Database!LAC2,3)</f>
        <v/>
      </c>
      <c r="KZK2" t="str">
        <f>LEFT(Database!LAD2,3)</f>
        <v/>
      </c>
      <c r="KZL2" t="str">
        <f>LEFT(Database!LAE2,3)</f>
        <v/>
      </c>
      <c r="KZM2" t="str">
        <f>LEFT(Database!LAF2,3)</f>
        <v/>
      </c>
      <c r="KZN2" t="str">
        <f>LEFT(Database!LAG2,3)</f>
        <v/>
      </c>
      <c r="KZO2" t="str">
        <f>LEFT(Database!LAH2,3)</f>
        <v/>
      </c>
      <c r="KZP2" t="str">
        <f>LEFT(Database!LAI2,3)</f>
        <v/>
      </c>
      <c r="KZQ2" t="str">
        <f>LEFT(Database!LAJ2,3)</f>
        <v/>
      </c>
      <c r="KZR2" t="str">
        <f>LEFT(Database!LAK2,3)</f>
        <v/>
      </c>
      <c r="KZS2" t="str">
        <f>LEFT(Database!LAL2,3)</f>
        <v/>
      </c>
      <c r="KZT2" t="str">
        <f>LEFT(Database!LAM2,3)</f>
        <v/>
      </c>
      <c r="KZU2" t="str">
        <f>LEFT(Database!LAN2,3)</f>
        <v/>
      </c>
      <c r="KZV2" t="str">
        <f>LEFT(Database!LAO2,3)</f>
        <v/>
      </c>
      <c r="KZW2" t="str">
        <f>LEFT(Database!LAP2,3)</f>
        <v/>
      </c>
      <c r="KZX2" t="str">
        <f>LEFT(Database!LAQ2,3)</f>
        <v/>
      </c>
      <c r="KZY2" t="str">
        <f>LEFT(Database!LAR2,3)</f>
        <v/>
      </c>
      <c r="KZZ2" t="str">
        <f>LEFT(Database!LAS2,3)</f>
        <v/>
      </c>
      <c r="LAA2" t="str">
        <f>LEFT(Database!LAT2,3)</f>
        <v/>
      </c>
      <c r="LAB2" t="str">
        <f>LEFT(Database!LAU2,3)</f>
        <v/>
      </c>
      <c r="LAC2" t="str">
        <f>LEFT(Database!LAV2,3)</f>
        <v/>
      </c>
      <c r="LAD2" t="str">
        <f>LEFT(Database!LAW2,3)</f>
        <v/>
      </c>
      <c r="LAE2" t="str">
        <f>LEFT(Database!LAX2,3)</f>
        <v/>
      </c>
      <c r="LAF2" t="str">
        <f>LEFT(Database!LAY2,3)</f>
        <v/>
      </c>
      <c r="LAG2" t="str">
        <f>LEFT(Database!LAZ2,3)</f>
        <v/>
      </c>
      <c r="LAH2" t="str">
        <f>LEFT(Database!LBA2,3)</f>
        <v/>
      </c>
      <c r="LAI2" t="str">
        <f>LEFT(Database!LBB2,3)</f>
        <v/>
      </c>
      <c r="LAJ2" t="str">
        <f>LEFT(Database!LBC2,3)</f>
        <v/>
      </c>
      <c r="LAK2" t="str">
        <f>LEFT(Database!LBD2,3)</f>
        <v/>
      </c>
      <c r="LAL2" t="str">
        <f>LEFT(Database!LBE2,3)</f>
        <v/>
      </c>
      <c r="LAM2" t="str">
        <f>LEFT(Database!LBF2,3)</f>
        <v/>
      </c>
      <c r="LAN2" t="str">
        <f>LEFT(Database!LBG2,3)</f>
        <v/>
      </c>
      <c r="LAO2" t="str">
        <f>LEFT(Database!LBH2,3)</f>
        <v/>
      </c>
      <c r="LAP2" t="str">
        <f>LEFT(Database!LBI2,3)</f>
        <v/>
      </c>
      <c r="LAQ2" t="str">
        <f>LEFT(Database!LBJ2,3)</f>
        <v/>
      </c>
      <c r="LAR2" t="str">
        <f>LEFT(Database!LBK2,3)</f>
        <v/>
      </c>
      <c r="LAS2" t="str">
        <f>LEFT(Database!LBL2,3)</f>
        <v/>
      </c>
      <c r="LAT2" t="str">
        <f>LEFT(Database!LBM2,3)</f>
        <v/>
      </c>
      <c r="LAU2" t="str">
        <f>LEFT(Database!LBN2,3)</f>
        <v/>
      </c>
      <c r="LAV2" t="str">
        <f>LEFT(Database!LBO2,3)</f>
        <v/>
      </c>
      <c r="LAW2" t="str">
        <f>LEFT(Database!LBP2,3)</f>
        <v/>
      </c>
      <c r="LAX2" t="str">
        <f>LEFT(Database!LBQ2,3)</f>
        <v/>
      </c>
      <c r="LAY2" t="str">
        <f>LEFT(Database!LBR2,3)</f>
        <v/>
      </c>
      <c r="LAZ2" t="str">
        <f>LEFT(Database!LBS2,3)</f>
        <v/>
      </c>
      <c r="LBA2" t="str">
        <f>LEFT(Database!LBT2,3)</f>
        <v/>
      </c>
      <c r="LBB2" t="str">
        <f>LEFT(Database!LBU2,3)</f>
        <v/>
      </c>
      <c r="LBC2" t="str">
        <f>LEFT(Database!LBV2,3)</f>
        <v/>
      </c>
      <c r="LBD2" t="str">
        <f>LEFT(Database!LBW2,3)</f>
        <v/>
      </c>
      <c r="LBE2" t="str">
        <f>LEFT(Database!LBX2,3)</f>
        <v/>
      </c>
      <c r="LBF2" t="str">
        <f>LEFT(Database!LBY2,3)</f>
        <v/>
      </c>
      <c r="LBG2" t="str">
        <f>LEFT(Database!LBZ2,3)</f>
        <v/>
      </c>
      <c r="LBH2" t="str">
        <f>LEFT(Database!LCA2,3)</f>
        <v/>
      </c>
      <c r="LBI2" t="str">
        <f>LEFT(Database!LCB2,3)</f>
        <v/>
      </c>
      <c r="LBJ2" t="str">
        <f>LEFT(Database!LCC2,3)</f>
        <v/>
      </c>
      <c r="LBK2" t="str">
        <f>LEFT(Database!LCD2,3)</f>
        <v/>
      </c>
      <c r="LBL2" t="str">
        <f>LEFT(Database!LCE2,3)</f>
        <v/>
      </c>
      <c r="LBM2" t="str">
        <f>LEFT(Database!LCF2,3)</f>
        <v/>
      </c>
      <c r="LBN2" t="str">
        <f>LEFT(Database!LCG2,3)</f>
        <v/>
      </c>
      <c r="LBO2" t="str">
        <f>LEFT(Database!LCH2,3)</f>
        <v/>
      </c>
      <c r="LBP2" t="str">
        <f>LEFT(Database!LCI2,3)</f>
        <v/>
      </c>
      <c r="LBQ2" t="str">
        <f>LEFT(Database!LCJ2,3)</f>
        <v/>
      </c>
      <c r="LBR2" t="str">
        <f>LEFT(Database!LCK2,3)</f>
        <v/>
      </c>
      <c r="LBS2" t="str">
        <f>LEFT(Database!LCL2,3)</f>
        <v/>
      </c>
      <c r="LBT2" t="str">
        <f>LEFT(Database!LCM2,3)</f>
        <v/>
      </c>
      <c r="LBU2" t="str">
        <f>LEFT(Database!LCN2,3)</f>
        <v/>
      </c>
      <c r="LBV2" t="str">
        <f>LEFT(Database!LCO2,3)</f>
        <v/>
      </c>
      <c r="LBW2" t="str">
        <f>LEFT(Database!LCP2,3)</f>
        <v/>
      </c>
      <c r="LBX2" t="str">
        <f>LEFT(Database!LCQ2,3)</f>
        <v/>
      </c>
      <c r="LBY2" t="str">
        <f>LEFT(Database!LCR2,3)</f>
        <v/>
      </c>
      <c r="LBZ2" t="str">
        <f>LEFT(Database!LCS2,3)</f>
        <v/>
      </c>
      <c r="LCA2" t="str">
        <f>LEFT(Database!LCT2,3)</f>
        <v/>
      </c>
      <c r="LCB2" t="str">
        <f>LEFT(Database!LCU2,3)</f>
        <v/>
      </c>
      <c r="LCC2" t="str">
        <f>LEFT(Database!LCV2,3)</f>
        <v/>
      </c>
      <c r="LCD2" t="str">
        <f>LEFT(Database!LCW2,3)</f>
        <v/>
      </c>
      <c r="LCE2" t="str">
        <f>LEFT(Database!LCX2,3)</f>
        <v/>
      </c>
      <c r="LCF2" t="str">
        <f>LEFT(Database!LCY2,3)</f>
        <v/>
      </c>
      <c r="LCG2" t="str">
        <f>LEFT(Database!LCZ2,3)</f>
        <v/>
      </c>
      <c r="LCH2" t="str">
        <f>LEFT(Database!LDA2,3)</f>
        <v/>
      </c>
      <c r="LCI2" t="str">
        <f>LEFT(Database!LDB2,3)</f>
        <v/>
      </c>
      <c r="LCJ2" t="str">
        <f>LEFT(Database!LDC2,3)</f>
        <v/>
      </c>
      <c r="LCK2" t="str">
        <f>LEFT(Database!LDD2,3)</f>
        <v/>
      </c>
      <c r="LCL2" t="str">
        <f>LEFT(Database!LDE2,3)</f>
        <v/>
      </c>
      <c r="LCM2" t="str">
        <f>LEFT(Database!LDF2,3)</f>
        <v/>
      </c>
      <c r="LCN2" t="str">
        <f>LEFT(Database!LDG2,3)</f>
        <v/>
      </c>
      <c r="LCO2" t="str">
        <f>LEFT(Database!LDH2,3)</f>
        <v/>
      </c>
      <c r="LCP2" t="str">
        <f>LEFT(Database!LDI2,3)</f>
        <v/>
      </c>
      <c r="LCQ2" t="str">
        <f>LEFT(Database!LDJ2,3)</f>
        <v/>
      </c>
      <c r="LCR2" t="str">
        <f>LEFT(Database!LDK2,3)</f>
        <v/>
      </c>
      <c r="LCS2" t="str">
        <f>LEFT(Database!LDL2,3)</f>
        <v/>
      </c>
      <c r="LCT2" t="str">
        <f>LEFT(Database!LDM2,3)</f>
        <v/>
      </c>
      <c r="LCU2" t="str">
        <f>LEFT(Database!LDN2,3)</f>
        <v/>
      </c>
      <c r="LCV2" t="str">
        <f>LEFT(Database!LDO2,3)</f>
        <v/>
      </c>
      <c r="LCW2" t="str">
        <f>LEFT(Database!LDP2,3)</f>
        <v/>
      </c>
      <c r="LCX2" t="str">
        <f>LEFT(Database!LDQ2,3)</f>
        <v/>
      </c>
      <c r="LCY2" t="str">
        <f>LEFT(Database!LDR2,3)</f>
        <v/>
      </c>
      <c r="LCZ2" t="str">
        <f>LEFT(Database!LDS2,3)</f>
        <v/>
      </c>
      <c r="LDA2" t="str">
        <f>LEFT(Database!LDT2,3)</f>
        <v/>
      </c>
      <c r="LDB2" t="str">
        <f>LEFT(Database!LDU2,3)</f>
        <v/>
      </c>
      <c r="LDC2" t="str">
        <f>LEFT(Database!LDV2,3)</f>
        <v/>
      </c>
      <c r="LDD2" t="str">
        <f>LEFT(Database!LDW2,3)</f>
        <v/>
      </c>
      <c r="LDE2" t="str">
        <f>LEFT(Database!LDX2,3)</f>
        <v/>
      </c>
      <c r="LDF2" t="str">
        <f>LEFT(Database!LDY2,3)</f>
        <v/>
      </c>
      <c r="LDG2" t="str">
        <f>LEFT(Database!LDZ2,3)</f>
        <v/>
      </c>
      <c r="LDH2" t="str">
        <f>LEFT(Database!LEA2,3)</f>
        <v/>
      </c>
      <c r="LDI2" t="str">
        <f>LEFT(Database!LEB2,3)</f>
        <v/>
      </c>
      <c r="LDJ2" t="str">
        <f>LEFT(Database!LEC2,3)</f>
        <v/>
      </c>
      <c r="LDK2" t="str">
        <f>LEFT(Database!LED2,3)</f>
        <v/>
      </c>
      <c r="LDL2" t="str">
        <f>LEFT(Database!LEE2,3)</f>
        <v/>
      </c>
      <c r="LDM2" t="str">
        <f>LEFT(Database!LEF2,3)</f>
        <v/>
      </c>
      <c r="LDN2" t="str">
        <f>LEFT(Database!LEG2,3)</f>
        <v/>
      </c>
      <c r="LDO2" t="str">
        <f>LEFT(Database!LEH2,3)</f>
        <v/>
      </c>
      <c r="LDP2" t="str">
        <f>LEFT(Database!LEI2,3)</f>
        <v/>
      </c>
      <c r="LDQ2" t="str">
        <f>LEFT(Database!LEJ2,3)</f>
        <v/>
      </c>
      <c r="LDR2" t="str">
        <f>LEFT(Database!LEK2,3)</f>
        <v/>
      </c>
      <c r="LDS2" t="str">
        <f>LEFT(Database!LEL2,3)</f>
        <v/>
      </c>
      <c r="LDT2" t="str">
        <f>LEFT(Database!LEM2,3)</f>
        <v/>
      </c>
      <c r="LDU2" t="str">
        <f>LEFT(Database!LEN2,3)</f>
        <v/>
      </c>
      <c r="LDV2" t="str">
        <f>LEFT(Database!LEO2,3)</f>
        <v/>
      </c>
      <c r="LDW2" t="str">
        <f>LEFT(Database!LEP2,3)</f>
        <v/>
      </c>
      <c r="LDX2" t="str">
        <f>LEFT(Database!LEQ2,3)</f>
        <v/>
      </c>
      <c r="LDY2" t="str">
        <f>LEFT(Database!LER2,3)</f>
        <v/>
      </c>
      <c r="LDZ2" t="str">
        <f>LEFT(Database!LES2,3)</f>
        <v/>
      </c>
      <c r="LEA2" t="str">
        <f>LEFT(Database!LET2,3)</f>
        <v/>
      </c>
      <c r="LEB2" t="str">
        <f>LEFT(Database!LEU2,3)</f>
        <v/>
      </c>
      <c r="LEC2" t="str">
        <f>LEFT(Database!LEV2,3)</f>
        <v/>
      </c>
      <c r="LED2" t="str">
        <f>LEFT(Database!LEW2,3)</f>
        <v/>
      </c>
      <c r="LEE2" t="str">
        <f>LEFT(Database!LEX2,3)</f>
        <v/>
      </c>
      <c r="LEF2" t="str">
        <f>LEFT(Database!LEY2,3)</f>
        <v/>
      </c>
      <c r="LEG2" t="str">
        <f>LEFT(Database!LEZ2,3)</f>
        <v/>
      </c>
      <c r="LEH2" t="str">
        <f>LEFT(Database!LFA2,3)</f>
        <v/>
      </c>
      <c r="LEI2" t="str">
        <f>LEFT(Database!LFB2,3)</f>
        <v/>
      </c>
      <c r="LEJ2" t="str">
        <f>LEFT(Database!LFC2,3)</f>
        <v/>
      </c>
      <c r="LEK2" t="str">
        <f>LEFT(Database!LFD2,3)</f>
        <v/>
      </c>
      <c r="LEL2" t="str">
        <f>LEFT(Database!LFE2,3)</f>
        <v/>
      </c>
      <c r="LEM2" t="str">
        <f>LEFT(Database!LFF2,3)</f>
        <v/>
      </c>
      <c r="LEN2" t="str">
        <f>LEFT(Database!LFG2,3)</f>
        <v/>
      </c>
      <c r="LEO2" t="str">
        <f>LEFT(Database!LFH2,3)</f>
        <v/>
      </c>
      <c r="LEP2" t="str">
        <f>LEFT(Database!LFI2,3)</f>
        <v/>
      </c>
      <c r="LEQ2" t="str">
        <f>LEFT(Database!LFJ2,3)</f>
        <v/>
      </c>
      <c r="LER2" t="str">
        <f>LEFT(Database!LFK2,3)</f>
        <v/>
      </c>
      <c r="LES2" t="str">
        <f>LEFT(Database!LFL2,3)</f>
        <v/>
      </c>
      <c r="LET2" t="str">
        <f>LEFT(Database!LFM2,3)</f>
        <v/>
      </c>
      <c r="LEU2" t="str">
        <f>LEFT(Database!LFN2,3)</f>
        <v/>
      </c>
      <c r="LEV2" t="str">
        <f>LEFT(Database!LFO2,3)</f>
        <v/>
      </c>
      <c r="LEW2" t="str">
        <f>LEFT(Database!LFP2,3)</f>
        <v/>
      </c>
      <c r="LEX2" t="str">
        <f>LEFT(Database!LFQ2,3)</f>
        <v/>
      </c>
      <c r="LEY2" t="str">
        <f>LEFT(Database!LFR2,3)</f>
        <v/>
      </c>
      <c r="LEZ2" t="str">
        <f>LEFT(Database!LFS2,3)</f>
        <v/>
      </c>
      <c r="LFA2" t="str">
        <f>LEFT(Database!LFT2,3)</f>
        <v/>
      </c>
      <c r="LFB2" t="str">
        <f>LEFT(Database!LFU2,3)</f>
        <v/>
      </c>
      <c r="LFC2" t="str">
        <f>LEFT(Database!LFV2,3)</f>
        <v/>
      </c>
      <c r="LFD2" t="str">
        <f>LEFT(Database!LFW2,3)</f>
        <v/>
      </c>
      <c r="LFE2" t="str">
        <f>LEFT(Database!LFX2,3)</f>
        <v/>
      </c>
      <c r="LFF2" t="str">
        <f>LEFT(Database!LFY2,3)</f>
        <v/>
      </c>
      <c r="LFG2" t="str">
        <f>LEFT(Database!LFZ2,3)</f>
        <v/>
      </c>
      <c r="LFH2" t="str">
        <f>LEFT(Database!LGA2,3)</f>
        <v/>
      </c>
      <c r="LFI2" t="str">
        <f>LEFT(Database!LGB2,3)</f>
        <v/>
      </c>
      <c r="LFJ2" t="str">
        <f>LEFT(Database!LGC2,3)</f>
        <v/>
      </c>
      <c r="LFK2" t="str">
        <f>LEFT(Database!LGD2,3)</f>
        <v/>
      </c>
      <c r="LFL2" t="str">
        <f>LEFT(Database!LGE2,3)</f>
        <v/>
      </c>
      <c r="LFM2" t="str">
        <f>LEFT(Database!LGF2,3)</f>
        <v/>
      </c>
      <c r="LFN2" t="str">
        <f>LEFT(Database!LGG2,3)</f>
        <v/>
      </c>
      <c r="LFO2" t="str">
        <f>LEFT(Database!LGH2,3)</f>
        <v/>
      </c>
      <c r="LFP2" t="str">
        <f>LEFT(Database!LGI2,3)</f>
        <v/>
      </c>
      <c r="LFQ2" t="str">
        <f>LEFT(Database!LGJ2,3)</f>
        <v/>
      </c>
      <c r="LFR2" t="str">
        <f>LEFT(Database!LGK2,3)</f>
        <v/>
      </c>
      <c r="LFS2" t="str">
        <f>LEFT(Database!LGL2,3)</f>
        <v/>
      </c>
      <c r="LFT2" t="str">
        <f>LEFT(Database!LGM2,3)</f>
        <v/>
      </c>
      <c r="LFU2" t="str">
        <f>LEFT(Database!LGN2,3)</f>
        <v/>
      </c>
      <c r="LFV2" t="str">
        <f>LEFT(Database!LGO2,3)</f>
        <v/>
      </c>
      <c r="LFW2" t="str">
        <f>LEFT(Database!LGP2,3)</f>
        <v/>
      </c>
      <c r="LFX2" t="str">
        <f>LEFT(Database!LGQ2,3)</f>
        <v/>
      </c>
      <c r="LFY2" t="str">
        <f>LEFT(Database!LGR2,3)</f>
        <v/>
      </c>
      <c r="LFZ2" t="str">
        <f>LEFT(Database!LGS2,3)</f>
        <v/>
      </c>
      <c r="LGA2" t="str">
        <f>LEFT(Database!LGT2,3)</f>
        <v/>
      </c>
      <c r="LGB2" t="str">
        <f>LEFT(Database!LGU2,3)</f>
        <v/>
      </c>
      <c r="LGC2" t="str">
        <f>LEFT(Database!LGV2,3)</f>
        <v/>
      </c>
      <c r="LGD2" t="str">
        <f>LEFT(Database!LGW2,3)</f>
        <v/>
      </c>
      <c r="LGE2" t="str">
        <f>LEFT(Database!LGX2,3)</f>
        <v/>
      </c>
      <c r="LGF2" t="str">
        <f>LEFT(Database!LGY2,3)</f>
        <v/>
      </c>
      <c r="LGG2" t="str">
        <f>LEFT(Database!LGZ2,3)</f>
        <v/>
      </c>
      <c r="LGH2" t="str">
        <f>LEFT(Database!LHA2,3)</f>
        <v/>
      </c>
      <c r="LGI2" t="str">
        <f>LEFT(Database!LHB2,3)</f>
        <v/>
      </c>
      <c r="LGJ2" t="str">
        <f>LEFT(Database!LHC2,3)</f>
        <v/>
      </c>
      <c r="LGK2" t="str">
        <f>LEFT(Database!LHD2,3)</f>
        <v/>
      </c>
      <c r="LGL2" t="str">
        <f>LEFT(Database!LHE2,3)</f>
        <v/>
      </c>
      <c r="LGM2" t="str">
        <f>LEFT(Database!LHF2,3)</f>
        <v/>
      </c>
      <c r="LGN2" t="str">
        <f>LEFT(Database!LHG2,3)</f>
        <v/>
      </c>
      <c r="LGO2" t="str">
        <f>LEFT(Database!LHH2,3)</f>
        <v/>
      </c>
      <c r="LGP2" t="str">
        <f>LEFT(Database!LHI2,3)</f>
        <v/>
      </c>
      <c r="LGQ2" t="str">
        <f>LEFT(Database!LHJ2,3)</f>
        <v/>
      </c>
      <c r="LGR2" t="str">
        <f>LEFT(Database!LHK2,3)</f>
        <v/>
      </c>
      <c r="LGS2" t="str">
        <f>LEFT(Database!LHL2,3)</f>
        <v/>
      </c>
      <c r="LGT2" t="str">
        <f>LEFT(Database!LHM2,3)</f>
        <v/>
      </c>
      <c r="LGU2" t="str">
        <f>LEFT(Database!LHN2,3)</f>
        <v/>
      </c>
      <c r="LGV2" t="str">
        <f>LEFT(Database!LHO2,3)</f>
        <v/>
      </c>
      <c r="LGW2" t="str">
        <f>LEFT(Database!LHP2,3)</f>
        <v/>
      </c>
      <c r="LGX2" t="str">
        <f>LEFT(Database!LHQ2,3)</f>
        <v/>
      </c>
      <c r="LGY2" t="str">
        <f>LEFT(Database!LHR2,3)</f>
        <v/>
      </c>
      <c r="LGZ2" t="str">
        <f>LEFT(Database!LHS2,3)</f>
        <v/>
      </c>
      <c r="LHA2" t="str">
        <f>LEFT(Database!LHT2,3)</f>
        <v/>
      </c>
      <c r="LHB2" t="str">
        <f>LEFT(Database!LHU2,3)</f>
        <v/>
      </c>
      <c r="LHC2" t="str">
        <f>LEFT(Database!LHV2,3)</f>
        <v/>
      </c>
      <c r="LHD2" t="str">
        <f>LEFT(Database!LHW2,3)</f>
        <v/>
      </c>
      <c r="LHE2" t="str">
        <f>LEFT(Database!LHX2,3)</f>
        <v/>
      </c>
      <c r="LHF2" t="str">
        <f>LEFT(Database!LHY2,3)</f>
        <v/>
      </c>
      <c r="LHG2" t="str">
        <f>LEFT(Database!LHZ2,3)</f>
        <v/>
      </c>
      <c r="LHH2" t="str">
        <f>LEFT(Database!LIA2,3)</f>
        <v/>
      </c>
      <c r="LHI2" t="str">
        <f>LEFT(Database!LIB2,3)</f>
        <v/>
      </c>
      <c r="LHJ2" t="str">
        <f>LEFT(Database!LIC2,3)</f>
        <v/>
      </c>
      <c r="LHK2" t="str">
        <f>LEFT(Database!LID2,3)</f>
        <v/>
      </c>
      <c r="LHL2" t="str">
        <f>LEFT(Database!LIE2,3)</f>
        <v/>
      </c>
      <c r="LHM2" t="str">
        <f>LEFT(Database!LIF2,3)</f>
        <v/>
      </c>
      <c r="LHN2" t="str">
        <f>LEFT(Database!LIG2,3)</f>
        <v/>
      </c>
      <c r="LHO2" t="str">
        <f>LEFT(Database!LIH2,3)</f>
        <v/>
      </c>
      <c r="LHP2" t="str">
        <f>LEFT(Database!LII2,3)</f>
        <v/>
      </c>
      <c r="LHQ2" t="str">
        <f>LEFT(Database!LIJ2,3)</f>
        <v/>
      </c>
      <c r="LHR2" t="str">
        <f>LEFT(Database!LIK2,3)</f>
        <v/>
      </c>
      <c r="LHS2" t="str">
        <f>LEFT(Database!LIL2,3)</f>
        <v/>
      </c>
      <c r="LHT2" t="str">
        <f>LEFT(Database!LIM2,3)</f>
        <v/>
      </c>
      <c r="LHU2" t="str">
        <f>LEFT(Database!LIN2,3)</f>
        <v/>
      </c>
      <c r="LHV2" t="str">
        <f>LEFT(Database!LIO2,3)</f>
        <v/>
      </c>
      <c r="LHW2" t="str">
        <f>LEFT(Database!LIP2,3)</f>
        <v/>
      </c>
      <c r="LHX2" t="str">
        <f>LEFT(Database!LIQ2,3)</f>
        <v/>
      </c>
      <c r="LHY2" t="str">
        <f>LEFT(Database!LIR2,3)</f>
        <v/>
      </c>
      <c r="LHZ2" t="str">
        <f>LEFT(Database!LIS2,3)</f>
        <v/>
      </c>
      <c r="LIA2" t="str">
        <f>LEFT(Database!LIT2,3)</f>
        <v/>
      </c>
      <c r="LIB2" t="str">
        <f>LEFT(Database!LIU2,3)</f>
        <v/>
      </c>
      <c r="LIC2" t="str">
        <f>LEFT(Database!LIV2,3)</f>
        <v/>
      </c>
      <c r="LID2" t="str">
        <f>LEFT(Database!LIW2,3)</f>
        <v/>
      </c>
      <c r="LIE2" t="str">
        <f>LEFT(Database!LIX2,3)</f>
        <v/>
      </c>
      <c r="LIF2" t="str">
        <f>LEFT(Database!LIY2,3)</f>
        <v/>
      </c>
      <c r="LIG2" t="str">
        <f>LEFT(Database!LIZ2,3)</f>
        <v/>
      </c>
      <c r="LIH2" t="str">
        <f>LEFT(Database!LJA2,3)</f>
        <v/>
      </c>
      <c r="LII2" t="str">
        <f>LEFT(Database!LJB2,3)</f>
        <v/>
      </c>
      <c r="LIJ2" t="str">
        <f>LEFT(Database!LJC2,3)</f>
        <v/>
      </c>
      <c r="LIK2" t="str">
        <f>LEFT(Database!LJD2,3)</f>
        <v/>
      </c>
      <c r="LIL2" t="str">
        <f>LEFT(Database!LJE2,3)</f>
        <v/>
      </c>
      <c r="LIM2" t="str">
        <f>LEFT(Database!LJF2,3)</f>
        <v/>
      </c>
      <c r="LIN2" t="str">
        <f>LEFT(Database!LJG2,3)</f>
        <v/>
      </c>
      <c r="LIO2" t="str">
        <f>LEFT(Database!LJH2,3)</f>
        <v/>
      </c>
      <c r="LIP2" t="str">
        <f>LEFT(Database!LJI2,3)</f>
        <v/>
      </c>
      <c r="LIQ2" t="str">
        <f>LEFT(Database!LJJ2,3)</f>
        <v/>
      </c>
      <c r="LIR2" t="str">
        <f>LEFT(Database!LJK2,3)</f>
        <v/>
      </c>
      <c r="LIS2" t="str">
        <f>LEFT(Database!LJL2,3)</f>
        <v/>
      </c>
      <c r="LIT2" t="str">
        <f>LEFT(Database!LJM2,3)</f>
        <v/>
      </c>
      <c r="LIU2" t="str">
        <f>LEFT(Database!LJN2,3)</f>
        <v/>
      </c>
      <c r="LIV2" t="str">
        <f>LEFT(Database!LJO2,3)</f>
        <v/>
      </c>
      <c r="LIW2" t="str">
        <f>LEFT(Database!LJP2,3)</f>
        <v/>
      </c>
      <c r="LIX2" t="str">
        <f>LEFT(Database!LJQ2,3)</f>
        <v/>
      </c>
      <c r="LIY2" t="str">
        <f>LEFT(Database!LJR2,3)</f>
        <v/>
      </c>
      <c r="LIZ2" t="str">
        <f>LEFT(Database!LJS2,3)</f>
        <v/>
      </c>
      <c r="LJA2" t="str">
        <f>LEFT(Database!LJT2,3)</f>
        <v/>
      </c>
      <c r="LJB2" t="str">
        <f>LEFT(Database!LJU2,3)</f>
        <v/>
      </c>
      <c r="LJC2" t="str">
        <f>LEFT(Database!LJV2,3)</f>
        <v/>
      </c>
      <c r="LJD2" t="str">
        <f>LEFT(Database!LJW2,3)</f>
        <v/>
      </c>
      <c r="LJE2" t="str">
        <f>LEFT(Database!LJX2,3)</f>
        <v/>
      </c>
      <c r="LJF2" t="str">
        <f>LEFT(Database!LJY2,3)</f>
        <v/>
      </c>
      <c r="LJG2" t="str">
        <f>LEFT(Database!LJZ2,3)</f>
        <v/>
      </c>
      <c r="LJH2" t="str">
        <f>LEFT(Database!LKA2,3)</f>
        <v/>
      </c>
      <c r="LJI2" t="str">
        <f>LEFT(Database!LKB2,3)</f>
        <v/>
      </c>
      <c r="LJJ2" t="str">
        <f>LEFT(Database!LKC2,3)</f>
        <v/>
      </c>
      <c r="LJK2" t="str">
        <f>LEFT(Database!LKD2,3)</f>
        <v/>
      </c>
      <c r="LJL2" t="str">
        <f>LEFT(Database!LKE2,3)</f>
        <v/>
      </c>
      <c r="LJM2" t="str">
        <f>LEFT(Database!LKF2,3)</f>
        <v/>
      </c>
      <c r="LJN2" t="str">
        <f>LEFT(Database!LKG2,3)</f>
        <v/>
      </c>
      <c r="LJO2" t="str">
        <f>LEFT(Database!LKH2,3)</f>
        <v/>
      </c>
      <c r="LJP2" t="str">
        <f>LEFT(Database!LKI2,3)</f>
        <v/>
      </c>
      <c r="LJQ2" t="str">
        <f>LEFT(Database!LKJ2,3)</f>
        <v/>
      </c>
      <c r="LJR2" t="str">
        <f>LEFT(Database!LKK2,3)</f>
        <v/>
      </c>
      <c r="LJS2" t="str">
        <f>LEFT(Database!LKL2,3)</f>
        <v/>
      </c>
      <c r="LJT2" t="str">
        <f>LEFT(Database!LKM2,3)</f>
        <v/>
      </c>
      <c r="LJU2" t="str">
        <f>LEFT(Database!LKN2,3)</f>
        <v/>
      </c>
      <c r="LJV2" t="str">
        <f>LEFT(Database!LKO2,3)</f>
        <v/>
      </c>
      <c r="LJW2" t="str">
        <f>LEFT(Database!LKP2,3)</f>
        <v/>
      </c>
      <c r="LJX2" t="str">
        <f>LEFT(Database!LKQ2,3)</f>
        <v/>
      </c>
      <c r="LJY2" t="str">
        <f>LEFT(Database!LKR2,3)</f>
        <v/>
      </c>
      <c r="LJZ2" t="str">
        <f>LEFT(Database!LKS2,3)</f>
        <v/>
      </c>
      <c r="LKA2" t="str">
        <f>LEFT(Database!LKT2,3)</f>
        <v/>
      </c>
      <c r="LKB2" t="str">
        <f>LEFT(Database!LKU2,3)</f>
        <v/>
      </c>
      <c r="LKC2" t="str">
        <f>LEFT(Database!LKV2,3)</f>
        <v/>
      </c>
      <c r="LKD2" t="str">
        <f>LEFT(Database!LKW2,3)</f>
        <v/>
      </c>
      <c r="LKE2" t="str">
        <f>LEFT(Database!LKX2,3)</f>
        <v/>
      </c>
      <c r="LKF2" t="str">
        <f>LEFT(Database!LKY2,3)</f>
        <v/>
      </c>
      <c r="LKG2" t="str">
        <f>LEFT(Database!LKZ2,3)</f>
        <v/>
      </c>
      <c r="LKH2" t="str">
        <f>LEFT(Database!LLA2,3)</f>
        <v/>
      </c>
      <c r="LKI2" t="str">
        <f>LEFT(Database!LLB2,3)</f>
        <v/>
      </c>
      <c r="LKJ2" t="str">
        <f>LEFT(Database!LLC2,3)</f>
        <v/>
      </c>
      <c r="LKK2" t="str">
        <f>LEFT(Database!LLD2,3)</f>
        <v/>
      </c>
      <c r="LKL2" t="str">
        <f>LEFT(Database!LLE2,3)</f>
        <v/>
      </c>
      <c r="LKM2" t="str">
        <f>LEFT(Database!LLF2,3)</f>
        <v/>
      </c>
      <c r="LKN2" t="str">
        <f>LEFT(Database!LLG2,3)</f>
        <v/>
      </c>
      <c r="LKO2" t="str">
        <f>LEFT(Database!LLH2,3)</f>
        <v/>
      </c>
      <c r="LKP2" t="str">
        <f>LEFT(Database!LLI2,3)</f>
        <v/>
      </c>
      <c r="LKQ2" t="str">
        <f>LEFT(Database!LLJ2,3)</f>
        <v/>
      </c>
      <c r="LKR2" t="str">
        <f>LEFT(Database!LLK2,3)</f>
        <v/>
      </c>
      <c r="LKS2" t="str">
        <f>LEFT(Database!LLL2,3)</f>
        <v/>
      </c>
      <c r="LKT2" t="str">
        <f>LEFT(Database!LLM2,3)</f>
        <v/>
      </c>
      <c r="LKU2" t="str">
        <f>LEFT(Database!LLN2,3)</f>
        <v/>
      </c>
      <c r="LKV2" t="str">
        <f>LEFT(Database!LLO2,3)</f>
        <v/>
      </c>
      <c r="LKW2" t="str">
        <f>LEFT(Database!LLP2,3)</f>
        <v/>
      </c>
      <c r="LKX2" t="str">
        <f>LEFT(Database!LLQ2,3)</f>
        <v/>
      </c>
      <c r="LKY2" t="str">
        <f>LEFT(Database!LLR2,3)</f>
        <v/>
      </c>
      <c r="LKZ2" t="str">
        <f>LEFT(Database!LLS2,3)</f>
        <v/>
      </c>
      <c r="LLA2" t="str">
        <f>LEFT(Database!LLT2,3)</f>
        <v/>
      </c>
      <c r="LLB2" t="str">
        <f>LEFT(Database!LLU2,3)</f>
        <v/>
      </c>
      <c r="LLC2" t="str">
        <f>LEFT(Database!LLV2,3)</f>
        <v/>
      </c>
      <c r="LLD2" t="str">
        <f>LEFT(Database!LLW2,3)</f>
        <v/>
      </c>
      <c r="LLE2" t="str">
        <f>LEFT(Database!LLX2,3)</f>
        <v/>
      </c>
      <c r="LLF2" t="str">
        <f>LEFT(Database!LLY2,3)</f>
        <v/>
      </c>
      <c r="LLG2" t="str">
        <f>LEFT(Database!LLZ2,3)</f>
        <v/>
      </c>
      <c r="LLH2" t="str">
        <f>LEFT(Database!LMA2,3)</f>
        <v/>
      </c>
      <c r="LLI2" t="str">
        <f>LEFT(Database!LMB2,3)</f>
        <v/>
      </c>
      <c r="LLJ2" t="str">
        <f>LEFT(Database!LMC2,3)</f>
        <v/>
      </c>
      <c r="LLK2" t="str">
        <f>LEFT(Database!LMD2,3)</f>
        <v/>
      </c>
      <c r="LLL2" t="str">
        <f>LEFT(Database!LME2,3)</f>
        <v/>
      </c>
      <c r="LLM2" t="str">
        <f>LEFT(Database!LMF2,3)</f>
        <v/>
      </c>
      <c r="LLN2" t="str">
        <f>LEFT(Database!LMG2,3)</f>
        <v/>
      </c>
      <c r="LLO2" t="str">
        <f>LEFT(Database!LMH2,3)</f>
        <v/>
      </c>
      <c r="LLP2" t="str">
        <f>LEFT(Database!LMI2,3)</f>
        <v/>
      </c>
      <c r="LLQ2" t="str">
        <f>LEFT(Database!LMJ2,3)</f>
        <v/>
      </c>
      <c r="LLR2" t="str">
        <f>LEFT(Database!LMK2,3)</f>
        <v/>
      </c>
      <c r="LLS2" t="str">
        <f>LEFT(Database!LML2,3)</f>
        <v/>
      </c>
      <c r="LLT2" t="str">
        <f>LEFT(Database!LMM2,3)</f>
        <v/>
      </c>
      <c r="LLU2" t="str">
        <f>LEFT(Database!LMN2,3)</f>
        <v/>
      </c>
      <c r="LLV2" t="str">
        <f>LEFT(Database!LMO2,3)</f>
        <v/>
      </c>
      <c r="LLW2" t="str">
        <f>LEFT(Database!LMP2,3)</f>
        <v/>
      </c>
      <c r="LLX2" t="str">
        <f>LEFT(Database!LMQ2,3)</f>
        <v/>
      </c>
      <c r="LLY2" t="str">
        <f>LEFT(Database!LMR2,3)</f>
        <v/>
      </c>
      <c r="LLZ2" t="str">
        <f>LEFT(Database!LMS2,3)</f>
        <v/>
      </c>
      <c r="LMA2" t="str">
        <f>LEFT(Database!LMT2,3)</f>
        <v/>
      </c>
      <c r="LMB2" t="str">
        <f>LEFT(Database!LMU2,3)</f>
        <v/>
      </c>
      <c r="LMC2" t="str">
        <f>LEFT(Database!LMV2,3)</f>
        <v/>
      </c>
      <c r="LMD2" t="str">
        <f>LEFT(Database!LMW2,3)</f>
        <v/>
      </c>
      <c r="LME2" t="str">
        <f>LEFT(Database!LMX2,3)</f>
        <v/>
      </c>
      <c r="LMF2" t="str">
        <f>LEFT(Database!LMY2,3)</f>
        <v/>
      </c>
      <c r="LMG2" t="str">
        <f>LEFT(Database!LMZ2,3)</f>
        <v/>
      </c>
      <c r="LMH2" t="str">
        <f>LEFT(Database!LNA2,3)</f>
        <v/>
      </c>
      <c r="LMI2" t="str">
        <f>LEFT(Database!LNB2,3)</f>
        <v/>
      </c>
      <c r="LMJ2" t="str">
        <f>LEFT(Database!LNC2,3)</f>
        <v/>
      </c>
      <c r="LMK2" t="str">
        <f>LEFT(Database!LND2,3)</f>
        <v/>
      </c>
      <c r="LML2" t="str">
        <f>LEFT(Database!LNE2,3)</f>
        <v/>
      </c>
      <c r="LMM2" t="str">
        <f>LEFT(Database!LNF2,3)</f>
        <v/>
      </c>
      <c r="LMN2" t="str">
        <f>LEFT(Database!LNG2,3)</f>
        <v/>
      </c>
      <c r="LMO2" t="str">
        <f>LEFT(Database!LNH2,3)</f>
        <v/>
      </c>
      <c r="LMP2" t="str">
        <f>LEFT(Database!LNI2,3)</f>
        <v/>
      </c>
      <c r="LMQ2" t="str">
        <f>LEFT(Database!LNJ2,3)</f>
        <v/>
      </c>
      <c r="LMR2" t="str">
        <f>LEFT(Database!LNK2,3)</f>
        <v/>
      </c>
      <c r="LMS2" t="str">
        <f>LEFT(Database!LNL2,3)</f>
        <v/>
      </c>
      <c r="LMT2" t="str">
        <f>LEFT(Database!LNM2,3)</f>
        <v/>
      </c>
      <c r="LMU2" t="str">
        <f>LEFT(Database!LNN2,3)</f>
        <v/>
      </c>
      <c r="LMV2" t="str">
        <f>LEFT(Database!LNO2,3)</f>
        <v/>
      </c>
      <c r="LMW2" t="str">
        <f>LEFT(Database!LNP2,3)</f>
        <v/>
      </c>
      <c r="LMX2" t="str">
        <f>LEFT(Database!LNQ2,3)</f>
        <v/>
      </c>
      <c r="LMY2" t="str">
        <f>LEFT(Database!LNR2,3)</f>
        <v/>
      </c>
      <c r="LMZ2" t="str">
        <f>LEFT(Database!LNS2,3)</f>
        <v/>
      </c>
      <c r="LNA2" t="str">
        <f>LEFT(Database!LNT2,3)</f>
        <v/>
      </c>
      <c r="LNB2" t="str">
        <f>LEFT(Database!LNU2,3)</f>
        <v/>
      </c>
      <c r="LNC2" t="str">
        <f>LEFT(Database!LNV2,3)</f>
        <v/>
      </c>
      <c r="LND2" t="str">
        <f>LEFT(Database!LNW2,3)</f>
        <v/>
      </c>
      <c r="LNE2" t="str">
        <f>LEFT(Database!LNX2,3)</f>
        <v/>
      </c>
      <c r="LNF2" t="str">
        <f>LEFT(Database!LNY2,3)</f>
        <v/>
      </c>
      <c r="LNG2" t="str">
        <f>LEFT(Database!LNZ2,3)</f>
        <v/>
      </c>
      <c r="LNH2" t="str">
        <f>LEFT(Database!LOA2,3)</f>
        <v/>
      </c>
      <c r="LNI2" t="str">
        <f>LEFT(Database!LOB2,3)</f>
        <v/>
      </c>
      <c r="LNJ2" t="str">
        <f>LEFT(Database!LOC2,3)</f>
        <v/>
      </c>
      <c r="LNK2" t="str">
        <f>LEFT(Database!LOD2,3)</f>
        <v/>
      </c>
      <c r="LNL2" t="str">
        <f>LEFT(Database!LOE2,3)</f>
        <v/>
      </c>
      <c r="LNM2" t="str">
        <f>LEFT(Database!LOF2,3)</f>
        <v/>
      </c>
      <c r="LNN2" t="str">
        <f>LEFT(Database!LOG2,3)</f>
        <v/>
      </c>
      <c r="LNO2" t="str">
        <f>LEFT(Database!LOH2,3)</f>
        <v/>
      </c>
      <c r="LNP2" t="str">
        <f>LEFT(Database!LOI2,3)</f>
        <v/>
      </c>
      <c r="LNQ2" t="str">
        <f>LEFT(Database!LOJ2,3)</f>
        <v/>
      </c>
      <c r="LNR2" t="str">
        <f>LEFT(Database!LOK2,3)</f>
        <v/>
      </c>
      <c r="LNS2" t="str">
        <f>LEFT(Database!LOL2,3)</f>
        <v/>
      </c>
      <c r="LNT2" t="str">
        <f>LEFT(Database!LOM2,3)</f>
        <v/>
      </c>
      <c r="LNU2" t="str">
        <f>LEFT(Database!LON2,3)</f>
        <v/>
      </c>
      <c r="LNV2" t="str">
        <f>LEFT(Database!LOO2,3)</f>
        <v/>
      </c>
      <c r="LNW2" t="str">
        <f>LEFT(Database!LOP2,3)</f>
        <v/>
      </c>
      <c r="LNX2" t="str">
        <f>LEFT(Database!LOQ2,3)</f>
        <v/>
      </c>
      <c r="LNY2" t="str">
        <f>LEFT(Database!LOR2,3)</f>
        <v/>
      </c>
      <c r="LNZ2" t="str">
        <f>LEFT(Database!LOS2,3)</f>
        <v/>
      </c>
      <c r="LOA2" t="str">
        <f>LEFT(Database!LOT2,3)</f>
        <v/>
      </c>
      <c r="LOB2" t="str">
        <f>LEFT(Database!LOU2,3)</f>
        <v/>
      </c>
      <c r="LOC2" t="str">
        <f>LEFT(Database!LOV2,3)</f>
        <v/>
      </c>
      <c r="LOD2" t="str">
        <f>LEFT(Database!LOW2,3)</f>
        <v/>
      </c>
      <c r="LOE2" t="str">
        <f>LEFT(Database!LOX2,3)</f>
        <v/>
      </c>
      <c r="LOF2" t="str">
        <f>LEFT(Database!LOY2,3)</f>
        <v/>
      </c>
      <c r="LOG2" t="str">
        <f>LEFT(Database!LOZ2,3)</f>
        <v/>
      </c>
      <c r="LOH2" t="str">
        <f>LEFT(Database!LPA2,3)</f>
        <v/>
      </c>
      <c r="LOI2" t="str">
        <f>LEFT(Database!LPB2,3)</f>
        <v/>
      </c>
      <c r="LOJ2" t="str">
        <f>LEFT(Database!LPC2,3)</f>
        <v/>
      </c>
      <c r="LOK2" t="str">
        <f>LEFT(Database!LPD2,3)</f>
        <v/>
      </c>
      <c r="LOL2" t="str">
        <f>LEFT(Database!LPE2,3)</f>
        <v/>
      </c>
      <c r="LOM2" t="str">
        <f>LEFT(Database!LPF2,3)</f>
        <v/>
      </c>
      <c r="LON2" t="str">
        <f>LEFT(Database!LPG2,3)</f>
        <v/>
      </c>
      <c r="LOO2" t="str">
        <f>LEFT(Database!LPH2,3)</f>
        <v/>
      </c>
      <c r="LOP2" t="str">
        <f>LEFT(Database!LPI2,3)</f>
        <v/>
      </c>
      <c r="LOQ2" t="str">
        <f>LEFT(Database!LPJ2,3)</f>
        <v/>
      </c>
      <c r="LOR2" t="str">
        <f>LEFT(Database!LPK2,3)</f>
        <v/>
      </c>
      <c r="LOS2" t="str">
        <f>LEFT(Database!LPL2,3)</f>
        <v/>
      </c>
      <c r="LOT2" t="str">
        <f>LEFT(Database!LPM2,3)</f>
        <v/>
      </c>
      <c r="LOU2" t="str">
        <f>LEFT(Database!LPN2,3)</f>
        <v/>
      </c>
      <c r="LOV2" t="str">
        <f>LEFT(Database!LPO2,3)</f>
        <v/>
      </c>
      <c r="LOW2" t="str">
        <f>LEFT(Database!LPP2,3)</f>
        <v/>
      </c>
      <c r="LOX2" t="str">
        <f>LEFT(Database!LPQ2,3)</f>
        <v/>
      </c>
      <c r="LOY2" t="str">
        <f>LEFT(Database!LPR2,3)</f>
        <v/>
      </c>
      <c r="LOZ2" t="str">
        <f>LEFT(Database!LPS2,3)</f>
        <v/>
      </c>
      <c r="LPA2" t="str">
        <f>LEFT(Database!LPT2,3)</f>
        <v/>
      </c>
      <c r="LPB2" t="str">
        <f>LEFT(Database!LPU2,3)</f>
        <v/>
      </c>
      <c r="LPC2" t="str">
        <f>LEFT(Database!LPV2,3)</f>
        <v/>
      </c>
      <c r="LPD2" t="str">
        <f>LEFT(Database!LPW2,3)</f>
        <v/>
      </c>
      <c r="LPE2" t="str">
        <f>LEFT(Database!LPX2,3)</f>
        <v/>
      </c>
      <c r="LPF2" t="str">
        <f>LEFT(Database!LPY2,3)</f>
        <v/>
      </c>
      <c r="LPG2" t="str">
        <f>LEFT(Database!LPZ2,3)</f>
        <v/>
      </c>
      <c r="LPH2" t="str">
        <f>LEFT(Database!LQA2,3)</f>
        <v/>
      </c>
      <c r="LPI2" t="str">
        <f>LEFT(Database!LQB2,3)</f>
        <v/>
      </c>
      <c r="LPJ2" t="str">
        <f>LEFT(Database!LQC2,3)</f>
        <v/>
      </c>
      <c r="LPK2" t="str">
        <f>LEFT(Database!LQD2,3)</f>
        <v/>
      </c>
      <c r="LPL2" t="str">
        <f>LEFT(Database!LQE2,3)</f>
        <v/>
      </c>
      <c r="LPM2" t="str">
        <f>LEFT(Database!LQF2,3)</f>
        <v/>
      </c>
      <c r="LPN2" t="str">
        <f>LEFT(Database!LQG2,3)</f>
        <v/>
      </c>
      <c r="LPO2" t="str">
        <f>LEFT(Database!LQH2,3)</f>
        <v/>
      </c>
      <c r="LPP2" t="str">
        <f>LEFT(Database!LQI2,3)</f>
        <v/>
      </c>
      <c r="LPQ2" t="str">
        <f>LEFT(Database!LQJ2,3)</f>
        <v/>
      </c>
      <c r="LPR2" t="str">
        <f>LEFT(Database!LQK2,3)</f>
        <v/>
      </c>
      <c r="LPS2" t="str">
        <f>LEFT(Database!LQL2,3)</f>
        <v/>
      </c>
      <c r="LPT2" t="str">
        <f>LEFT(Database!LQM2,3)</f>
        <v/>
      </c>
      <c r="LPU2" t="str">
        <f>LEFT(Database!LQN2,3)</f>
        <v/>
      </c>
      <c r="LPV2" t="str">
        <f>LEFT(Database!LQO2,3)</f>
        <v/>
      </c>
      <c r="LPW2" t="str">
        <f>LEFT(Database!LQP2,3)</f>
        <v/>
      </c>
      <c r="LPX2" t="str">
        <f>LEFT(Database!LQQ2,3)</f>
        <v/>
      </c>
      <c r="LPY2" t="str">
        <f>LEFT(Database!LQR2,3)</f>
        <v/>
      </c>
      <c r="LPZ2" t="str">
        <f>LEFT(Database!LQS2,3)</f>
        <v/>
      </c>
      <c r="LQA2" t="str">
        <f>LEFT(Database!LQT2,3)</f>
        <v/>
      </c>
      <c r="LQB2" t="str">
        <f>LEFT(Database!LQU2,3)</f>
        <v/>
      </c>
      <c r="LQC2" t="str">
        <f>LEFT(Database!LQV2,3)</f>
        <v/>
      </c>
      <c r="LQD2" t="str">
        <f>LEFT(Database!LQW2,3)</f>
        <v/>
      </c>
      <c r="LQE2" t="str">
        <f>LEFT(Database!LQX2,3)</f>
        <v/>
      </c>
      <c r="LQF2" t="str">
        <f>LEFT(Database!LQY2,3)</f>
        <v/>
      </c>
      <c r="LQG2" t="str">
        <f>LEFT(Database!LQZ2,3)</f>
        <v/>
      </c>
      <c r="LQH2" t="str">
        <f>LEFT(Database!LRA2,3)</f>
        <v/>
      </c>
      <c r="LQI2" t="str">
        <f>LEFT(Database!LRB2,3)</f>
        <v/>
      </c>
      <c r="LQJ2" t="str">
        <f>LEFT(Database!LRC2,3)</f>
        <v/>
      </c>
      <c r="LQK2" t="str">
        <f>LEFT(Database!LRD2,3)</f>
        <v/>
      </c>
      <c r="LQL2" t="str">
        <f>LEFT(Database!LRE2,3)</f>
        <v/>
      </c>
      <c r="LQM2" t="str">
        <f>LEFT(Database!LRF2,3)</f>
        <v/>
      </c>
      <c r="LQN2" t="str">
        <f>LEFT(Database!LRG2,3)</f>
        <v/>
      </c>
      <c r="LQO2" t="str">
        <f>LEFT(Database!LRH2,3)</f>
        <v/>
      </c>
      <c r="LQP2" t="str">
        <f>LEFT(Database!LRI2,3)</f>
        <v/>
      </c>
      <c r="LQQ2" t="str">
        <f>LEFT(Database!LRJ2,3)</f>
        <v/>
      </c>
      <c r="LQR2" t="str">
        <f>LEFT(Database!LRK2,3)</f>
        <v/>
      </c>
      <c r="LQS2" t="str">
        <f>LEFT(Database!LRL2,3)</f>
        <v/>
      </c>
      <c r="LQT2" t="str">
        <f>LEFT(Database!LRM2,3)</f>
        <v/>
      </c>
      <c r="LQU2" t="str">
        <f>LEFT(Database!LRN2,3)</f>
        <v/>
      </c>
      <c r="LQV2" t="str">
        <f>LEFT(Database!LRO2,3)</f>
        <v/>
      </c>
      <c r="LQW2" t="str">
        <f>LEFT(Database!LRP2,3)</f>
        <v/>
      </c>
      <c r="LQX2" t="str">
        <f>LEFT(Database!LRQ2,3)</f>
        <v/>
      </c>
      <c r="LQY2" t="str">
        <f>LEFT(Database!LRR2,3)</f>
        <v/>
      </c>
      <c r="LQZ2" t="str">
        <f>LEFT(Database!LRS2,3)</f>
        <v/>
      </c>
      <c r="LRA2" t="str">
        <f>LEFT(Database!LRT2,3)</f>
        <v/>
      </c>
      <c r="LRB2" t="str">
        <f>LEFT(Database!LRU2,3)</f>
        <v/>
      </c>
      <c r="LRC2" t="str">
        <f>LEFT(Database!LRV2,3)</f>
        <v/>
      </c>
      <c r="LRD2" t="str">
        <f>LEFT(Database!LRW2,3)</f>
        <v/>
      </c>
      <c r="LRE2" t="str">
        <f>LEFT(Database!LRX2,3)</f>
        <v/>
      </c>
      <c r="LRF2" t="str">
        <f>LEFT(Database!LRY2,3)</f>
        <v/>
      </c>
      <c r="LRG2" t="str">
        <f>LEFT(Database!LRZ2,3)</f>
        <v/>
      </c>
      <c r="LRH2" t="str">
        <f>LEFT(Database!LSA2,3)</f>
        <v/>
      </c>
      <c r="LRI2" t="str">
        <f>LEFT(Database!LSB2,3)</f>
        <v/>
      </c>
      <c r="LRJ2" t="str">
        <f>LEFT(Database!LSC2,3)</f>
        <v/>
      </c>
      <c r="LRK2" t="str">
        <f>LEFT(Database!LSD2,3)</f>
        <v/>
      </c>
      <c r="LRL2" t="str">
        <f>LEFT(Database!LSE2,3)</f>
        <v/>
      </c>
      <c r="LRM2" t="str">
        <f>LEFT(Database!LSF2,3)</f>
        <v/>
      </c>
      <c r="LRN2" t="str">
        <f>LEFT(Database!LSG2,3)</f>
        <v/>
      </c>
      <c r="LRO2" t="str">
        <f>LEFT(Database!LSH2,3)</f>
        <v/>
      </c>
      <c r="LRP2" t="str">
        <f>LEFT(Database!LSI2,3)</f>
        <v/>
      </c>
      <c r="LRQ2" t="str">
        <f>LEFT(Database!LSJ2,3)</f>
        <v/>
      </c>
      <c r="LRR2" t="str">
        <f>LEFT(Database!LSK2,3)</f>
        <v/>
      </c>
      <c r="LRS2" t="str">
        <f>LEFT(Database!LSL2,3)</f>
        <v/>
      </c>
      <c r="LRT2" t="str">
        <f>LEFT(Database!LSM2,3)</f>
        <v/>
      </c>
      <c r="LRU2" t="str">
        <f>LEFT(Database!LSN2,3)</f>
        <v/>
      </c>
      <c r="LRV2" t="str">
        <f>LEFT(Database!LSO2,3)</f>
        <v/>
      </c>
      <c r="LRW2" t="str">
        <f>LEFT(Database!LSP2,3)</f>
        <v/>
      </c>
      <c r="LRX2" t="str">
        <f>LEFT(Database!LSQ2,3)</f>
        <v/>
      </c>
      <c r="LRY2" t="str">
        <f>LEFT(Database!LSR2,3)</f>
        <v/>
      </c>
      <c r="LRZ2" t="str">
        <f>LEFT(Database!LSS2,3)</f>
        <v/>
      </c>
      <c r="LSA2" t="str">
        <f>LEFT(Database!LST2,3)</f>
        <v/>
      </c>
      <c r="LSB2" t="str">
        <f>LEFT(Database!LSU2,3)</f>
        <v/>
      </c>
      <c r="LSC2" t="str">
        <f>LEFT(Database!LSV2,3)</f>
        <v/>
      </c>
      <c r="LSD2" t="str">
        <f>LEFT(Database!LSW2,3)</f>
        <v/>
      </c>
      <c r="LSE2" t="str">
        <f>LEFT(Database!LSX2,3)</f>
        <v/>
      </c>
      <c r="LSF2" t="str">
        <f>LEFT(Database!LSY2,3)</f>
        <v/>
      </c>
      <c r="LSG2" t="str">
        <f>LEFT(Database!LSZ2,3)</f>
        <v/>
      </c>
      <c r="LSH2" t="str">
        <f>LEFT(Database!LTA2,3)</f>
        <v/>
      </c>
      <c r="LSI2" t="str">
        <f>LEFT(Database!LTB2,3)</f>
        <v/>
      </c>
      <c r="LSJ2" t="str">
        <f>LEFT(Database!LTC2,3)</f>
        <v/>
      </c>
      <c r="LSK2" t="str">
        <f>LEFT(Database!LTD2,3)</f>
        <v/>
      </c>
      <c r="LSL2" t="str">
        <f>LEFT(Database!LTE2,3)</f>
        <v/>
      </c>
      <c r="LSM2" t="str">
        <f>LEFT(Database!LTF2,3)</f>
        <v/>
      </c>
      <c r="LSN2" t="str">
        <f>LEFT(Database!LTG2,3)</f>
        <v/>
      </c>
      <c r="LSO2" t="str">
        <f>LEFT(Database!LTH2,3)</f>
        <v/>
      </c>
      <c r="LSP2" t="str">
        <f>LEFT(Database!LTI2,3)</f>
        <v/>
      </c>
      <c r="LSQ2" t="str">
        <f>LEFT(Database!LTJ2,3)</f>
        <v/>
      </c>
      <c r="LSR2" t="str">
        <f>LEFT(Database!LTK2,3)</f>
        <v/>
      </c>
      <c r="LSS2" t="str">
        <f>LEFT(Database!LTL2,3)</f>
        <v/>
      </c>
      <c r="LST2" t="str">
        <f>LEFT(Database!LTM2,3)</f>
        <v/>
      </c>
      <c r="LSU2" t="str">
        <f>LEFT(Database!LTN2,3)</f>
        <v/>
      </c>
      <c r="LSV2" t="str">
        <f>LEFT(Database!LTO2,3)</f>
        <v/>
      </c>
      <c r="LSW2" t="str">
        <f>LEFT(Database!LTP2,3)</f>
        <v/>
      </c>
      <c r="LSX2" t="str">
        <f>LEFT(Database!LTQ2,3)</f>
        <v/>
      </c>
      <c r="LSY2" t="str">
        <f>LEFT(Database!LTR2,3)</f>
        <v/>
      </c>
      <c r="LSZ2" t="str">
        <f>LEFT(Database!LTS2,3)</f>
        <v/>
      </c>
      <c r="LTA2" t="str">
        <f>LEFT(Database!LTT2,3)</f>
        <v/>
      </c>
      <c r="LTB2" t="str">
        <f>LEFT(Database!LTU2,3)</f>
        <v/>
      </c>
      <c r="LTC2" t="str">
        <f>LEFT(Database!LTV2,3)</f>
        <v/>
      </c>
      <c r="LTD2" t="str">
        <f>LEFT(Database!LTW2,3)</f>
        <v/>
      </c>
      <c r="LTE2" t="str">
        <f>LEFT(Database!LTX2,3)</f>
        <v/>
      </c>
      <c r="LTF2" t="str">
        <f>LEFT(Database!LTY2,3)</f>
        <v/>
      </c>
      <c r="LTG2" t="str">
        <f>LEFT(Database!LTZ2,3)</f>
        <v/>
      </c>
      <c r="LTH2" t="str">
        <f>LEFT(Database!LUA2,3)</f>
        <v/>
      </c>
      <c r="LTI2" t="str">
        <f>LEFT(Database!LUB2,3)</f>
        <v/>
      </c>
      <c r="LTJ2" t="str">
        <f>LEFT(Database!LUC2,3)</f>
        <v/>
      </c>
      <c r="LTK2" t="str">
        <f>LEFT(Database!LUD2,3)</f>
        <v/>
      </c>
      <c r="LTL2" t="str">
        <f>LEFT(Database!LUE2,3)</f>
        <v/>
      </c>
      <c r="LTM2" t="str">
        <f>LEFT(Database!LUF2,3)</f>
        <v/>
      </c>
      <c r="LTN2" t="str">
        <f>LEFT(Database!LUG2,3)</f>
        <v/>
      </c>
      <c r="LTO2" t="str">
        <f>LEFT(Database!LUH2,3)</f>
        <v/>
      </c>
      <c r="LTP2" t="str">
        <f>LEFT(Database!LUI2,3)</f>
        <v/>
      </c>
      <c r="LTQ2" t="str">
        <f>LEFT(Database!LUJ2,3)</f>
        <v/>
      </c>
      <c r="LTR2" t="str">
        <f>LEFT(Database!LUK2,3)</f>
        <v/>
      </c>
      <c r="LTS2" t="str">
        <f>LEFT(Database!LUL2,3)</f>
        <v/>
      </c>
      <c r="LTT2" t="str">
        <f>LEFT(Database!LUM2,3)</f>
        <v/>
      </c>
      <c r="LTU2" t="str">
        <f>LEFT(Database!LUN2,3)</f>
        <v/>
      </c>
      <c r="LTV2" t="str">
        <f>LEFT(Database!LUO2,3)</f>
        <v/>
      </c>
      <c r="LTW2" t="str">
        <f>LEFT(Database!LUP2,3)</f>
        <v/>
      </c>
      <c r="LTX2" t="str">
        <f>LEFT(Database!LUQ2,3)</f>
        <v/>
      </c>
      <c r="LTY2" t="str">
        <f>LEFT(Database!LUR2,3)</f>
        <v/>
      </c>
      <c r="LTZ2" t="str">
        <f>LEFT(Database!LUS2,3)</f>
        <v/>
      </c>
      <c r="LUA2" t="str">
        <f>LEFT(Database!LUT2,3)</f>
        <v/>
      </c>
      <c r="LUB2" t="str">
        <f>LEFT(Database!LUU2,3)</f>
        <v/>
      </c>
      <c r="LUC2" t="str">
        <f>LEFT(Database!LUV2,3)</f>
        <v/>
      </c>
      <c r="LUD2" t="str">
        <f>LEFT(Database!LUW2,3)</f>
        <v/>
      </c>
      <c r="LUE2" t="str">
        <f>LEFT(Database!LUX2,3)</f>
        <v/>
      </c>
      <c r="LUF2" t="str">
        <f>LEFT(Database!LUY2,3)</f>
        <v/>
      </c>
      <c r="LUG2" t="str">
        <f>LEFT(Database!LUZ2,3)</f>
        <v/>
      </c>
      <c r="LUH2" t="str">
        <f>LEFT(Database!LVA2,3)</f>
        <v/>
      </c>
      <c r="LUI2" t="str">
        <f>LEFT(Database!LVB2,3)</f>
        <v/>
      </c>
      <c r="LUJ2" t="str">
        <f>LEFT(Database!LVC2,3)</f>
        <v/>
      </c>
      <c r="LUK2" t="str">
        <f>LEFT(Database!LVD2,3)</f>
        <v/>
      </c>
      <c r="LUL2" t="str">
        <f>LEFT(Database!LVE2,3)</f>
        <v/>
      </c>
      <c r="LUM2" t="str">
        <f>LEFT(Database!LVF2,3)</f>
        <v/>
      </c>
      <c r="LUN2" t="str">
        <f>LEFT(Database!LVG2,3)</f>
        <v/>
      </c>
      <c r="LUO2" t="str">
        <f>LEFT(Database!LVH2,3)</f>
        <v/>
      </c>
      <c r="LUP2" t="str">
        <f>LEFT(Database!LVI2,3)</f>
        <v/>
      </c>
      <c r="LUQ2" t="str">
        <f>LEFT(Database!LVJ2,3)</f>
        <v/>
      </c>
      <c r="LUR2" t="str">
        <f>LEFT(Database!LVK2,3)</f>
        <v/>
      </c>
      <c r="LUS2" t="str">
        <f>LEFT(Database!LVL2,3)</f>
        <v/>
      </c>
      <c r="LUT2" t="str">
        <f>LEFT(Database!LVM2,3)</f>
        <v/>
      </c>
      <c r="LUU2" t="str">
        <f>LEFT(Database!LVN2,3)</f>
        <v/>
      </c>
      <c r="LUV2" t="str">
        <f>LEFT(Database!LVO2,3)</f>
        <v/>
      </c>
      <c r="LUW2" t="str">
        <f>LEFT(Database!LVP2,3)</f>
        <v/>
      </c>
      <c r="LUX2" t="str">
        <f>LEFT(Database!LVQ2,3)</f>
        <v/>
      </c>
      <c r="LUY2" t="str">
        <f>LEFT(Database!LVR2,3)</f>
        <v/>
      </c>
      <c r="LUZ2" t="str">
        <f>LEFT(Database!LVS2,3)</f>
        <v/>
      </c>
      <c r="LVA2" t="str">
        <f>LEFT(Database!LVT2,3)</f>
        <v/>
      </c>
      <c r="LVB2" t="str">
        <f>LEFT(Database!LVU2,3)</f>
        <v/>
      </c>
      <c r="LVC2" t="str">
        <f>LEFT(Database!LVV2,3)</f>
        <v/>
      </c>
      <c r="LVD2" t="str">
        <f>LEFT(Database!LVW2,3)</f>
        <v/>
      </c>
      <c r="LVE2" t="str">
        <f>LEFT(Database!LVX2,3)</f>
        <v/>
      </c>
      <c r="LVF2" t="str">
        <f>LEFT(Database!LVY2,3)</f>
        <v/>
      </c>
      <c r="LVG2" t="str">
        <f>LEFT(Database!LVZ2,3)</f>
        <v/>
      </c>
      <c r="LVH2" t="str">
        <f>LEFT(Database!LWA2,3)</f>
        <v/>
      </c>
      <c r="LVI2" t="str">
        <f>LEFT(Database!LWB2,3)</f>
        <v/>
      </c>
      <c r="LVJ2" t="str">
        <f>LEFT(Database!LWC2,3)</f>
        <v/>
      </c>
      <c r="LVK2" t="str">
        <f>LEFT(Database!LWD2,3)</f>
        <v/>
      </c>
      <c r="LVL2" t="str">
        <f>LEFT(Database!LWE2,3)</f>
        <v/>
      </c>
      <c r="LVM2" t="str">
        <f>LEFT(Database!LWF2,3)</f>
        <v/>
      </c>
      <c r="LVN2" t="str">
        <f>LEFT(Database!LWG2,3)</f>
        <v/>
      </c>
      <c r="LVO2" t="str">
        <f>LEFT(Database!LWH2,3)</f>
        <v/>
      </c>
      <c r="LVP2" t="str">
        <f>LEFT(Database!LWI2,3)</f>
        <v/>
      </c>
      <c r="LVQ2" t="str">
        <f>LEFT(Database!LWJ2,3)</f>
        <v/>
      </c>
      <c r="LVR2" t="str">
        <f>LEFT(Database!LWK2,3)</f>
        <v/>
      </c>
      <c r="LVS2" t="str">
        <f>LEFT(Database!LWL2,3)</f>
        <v/>
      </c>
      <c r="LVT2" t="str">
        <f>LEFT(Database!LWM2,3)</f>
        <v/>
      </c>
      <c r="LVU2" t="str">
        <f>LEFT(Database!LWN2,3)</f>
        <v/>
      </c>
      <c r="LVV2" t="str">
        <f>LEFT(Database!LWO2,3)</f>
        <v/>
      </c>
      <c r="LVW2" t="str">
        <f>LEFT(Database!LWP2,3)</f>
        <v/>
      </c>
      <c r="LVX2" t="str">
        <f>LEFT(Database!LWQ2,3)</f>
        <v/>
      </c>
      <c r="LVY2" t="str">
        <f>LEFT(Database!LWR2,3)</f>
        <v/>
      </c>
      <c r="LVZ2" t="str">
        <f>LEFT(Database!LWS2,3)</f>
        <v/>
      </c>
      <c r="LWA2" t="str">
        <f>LEFT(Database!LWT2,3)</f>
        <v/>
      </c>
      <c r="LWB2" t="str">
        <f>LEFT(Database!LWU2,3)</f>
        <v/>
      </c>
      <c r="LWC2" t="str">
        <f>LEFT(Database!LWV2,3)</f>
        <v/>
      </c>
      <c r="LWD2" t="str">
        <f>LEFT(Database!LWW2,3)</f>
        <v/>
      </c>
      <c r="LWE2" t="str">
        <f>LEFT(Database!LWX2,3)</f>
        <v/>
      </c>
      <c r="LWF2" t="str">
        <f>LEFT(Database!LWY2,3)</f>
        <v/>
      </c>
      <c r="LWG2" t="str">
        <f>LEFT(Database!LWZ2,3)</f>
        <v/>
      </c>
      <c r="LWH2" t="str">
        <f>LEFT(Database!LXA2,3)</f>
        <v/>
      </c>
      <c r="LWI2" t="str">
        <f>LEFT(Database!LXB2,3)</f>
        <v/>
      </c>
      <c r="LWJ2" t="str">
        <f>LEFT(Database!LXC2,3)</f>
        <v/>
      </c>
      <c r="LWK2" t="str">
        <f>LEFT(Database!LXD2,3)</f>
        <v/>
      </c>
      <c r="LWL2" t="str">
        <f>LEFT(Database!LXE2,3)</f>
        <v/>
      </c>
      <c r="LWM2" t="str">
        <f>LEFT(Database!LXF2,3)</f>
        <v/>
      </c>
      <c r="LWN2" t="str">
        <f>LEFT(Database!LXG2,3)</f>
        <v/>
      </c>
      <c r="LWO2" t="str">
        <f>LEFT(Database!LXH2,3)</f>
        <v/>
      </c>
      <c r="LWP2" t="str">
        <f>LEFT(Database!LXI2,3)</f>
        <v/>
      </c>
      <c r="LWQ2" t="str">
        <f>LEFT(Database!LXJ2,3)</f>
        <v/>
      </c>
      <c r="LWR2" t="str">
        <f>LEFT(Database!LXK2,3)</f>
        <v/>
      </c>
      <c r="LWS2" t="str">
        <f>LEFT(Database!LXL2,3)</f>
        <v/>
      </c>
      <c r="LWT2" t="str">
        <f>LEFT(Database!LXM2,3)</f>
        <v/>
      </c>
      <c r="LWU2" t="str">
        <f>LEFT(Database!LXN2,3)</f>
        <v/>
      </c>
      <c r="LWV2" t="str">
        <f>LEFT(Database!LXO2,3)</f>
        <v/>
      </c>
      <c r="LWW2" t="str">
        <f>LEFT(Database!LXP2,3)</f>
        <v/>
      </c>
      <c r="LWX2" t="str">
        <f>LEFT(Database!LXQ2,3)</f>
        <v/>
      </c>
      <c r="LWY2" t="str">
        <f>LEFT(Database!LXR2,3)</f>
        <v/>
      </c>
      <c r="LWZ2" t="str">
        <f>LEFT(Database!LXS2,3)</f>
        <v/>
      </c>
      <c r="LXA2" t="str">
        <f>LEFT(Database!LXT2,3)</f>
        <v/>
      </c>
      <c r="LXB2" t="str">
        <f>LEFT(Database!LXU2,3)</f>
        <v/>
      </c>
      <c r="LXC2" t="str">
        <f>LEFT(Database!LXV2,3)</f>
        <v/>
      </c>
      <c r="LXD2" t="str">
        <f>LEFT(Database!LXW2,3)</f>
        <v/>
      </c>
      <c r="LXE2" t="str">
        <f>LEFT(Database!LXX2,3)</f>
        <v/>
      </c>
      <c r="LXF2" t="str">
        <f>LEFT(Database!LXY2,3)</f>
        <v/>
      </c>
      <c r="LXG2" t="str">
        <f>LEFT(Database!LXZ2,3)</f>
        <v/>
      </c>
      <c r="LXH2" t="str">
        <f>LEFT(Database!LYA2,3)</f>
        <v/>
      </c>
      <c r="LXI2" t="str">
        <f>LEFT(Database!LYB2,3)</f>
        <v/>
      </c>
      <c r="LXJ2" t="str">
        <f>LEFT(Database!LYC2,3)</f>
        <v/>
      </c>
      <c r="LXK2" t="str">
        <f>LEFT(Database!LYD2,3)</f>
        <v/>
      </c>
      <c r="LXL2" t="str">
        <f>LEFT(Database!LYE2,3)</f>
        <v/>
      </c>
      <c r="LXM2" t="str">
        <f>LEFT(Database!LYF2,3)</f>
        <v/>
      </c>
      <c r="LXN2" t="str">
        <f>LEFT(Database!LYG2,3)</f>
        <v/>
      </c>
      <c r="LXO2" t="str">
        <f>LEFT(Database!LYH2,3)</f>
        <v/>
      </c>
      <c r="LXP2" t="str">
        <f>LEFT(Database!LYI2,3)</f>
        <v/>
      </c>
      <c r="LXQ2" t="str">
        <f>LEFT(Database!LYJ2,3)</f>
        <v/>
      </c>
      <c r="LXR2" t="str">
        <f>LEFT(Database!LYK2,3)</f>
        <v/>
      </c>
      <c r="LXS2" t="str">
        <f>LEFT(Database!LYL2,3)</f>
        <v/>
      </c>
      <c r="LXT2" t="str">
        <f>LEFT(Database!LYM2,3)</f>
        <v/>
      </c>
      <c r="LXU2" t="str">
        <f>LEFT(Database!LYN2,3)</f>
        <v/>
      </c>
      <c r="LXV2" t="str">
        <f>LEFT(Database!LYO2,3)</f>
        <v/>
      </c>
      <c r="LXW2" t="str">
        <f>LEFT(Database!LYP2,3)</f>
        <v/>
      </c>
      <c r="LXX2" t="str">
        <f>LEFT(Database!LYQ2,3)</f>
        <v/>
      </c>
      <c r="LXY2" t="str">
        <f>LEFT(Database!LYR2,3)</f>
        <v/>
      </c>
      <c r="LXZ2" t="str">
        <f>LEFT(Database!LYS2,3)</f>
        <v/>
      </c>
      <c r="LYA2" t="str">
        <f>LEFT(Database!LYT2,3)</f>
        <v/>
      </c>
      <c r="LYB2" t="str">
        <f>LEFT(Database!LYU2,3)</f>
        <v/>
      </c>
      <c r="LYC2" t="str">
        <f>LEFT(Database!LYV2,3)</f>
        <v/>
      </c>
      <c r="LYD2" t="str">
        <f>LEFT(Database!LYW2,3)</f>
        <v/>
      </c>
      <c r="LYE2" t="str">
        <f>LEFT(Database!LYX2,3)</f>
        <v/>
      </c>
      <c r="LYF2" t="str">
        <f>LEFT(Database!LYY2,3)</f>
        <v/>
      </c>
      <c r="LYG2" t="str">
        <f>LEFT(Database!LYZ2,3)</f>
        <v/>
      </c>
      <c r="LYH2" t="str">
        <f>LEFT(Database!LZA2,3)</f>
        <v/>
      </c>
      <c r="LYI2" t="str">
        <f>LEFT(Database!LZB2,3)</f>
        <v/>
      </c>
      <c r="LYJ2" t="str">
        <f>LEFT(Database!LZC2,3)</f>
        <v/>
      </c>
      <c r="LYK2" t="str">
        <f>LEFT(Database!LZD2,3)</f>
        <v/>
      </c>
      <c r="LYL2" t="str">
        <f>LEFT(Database!LZE2,3)</f>
        <v/>
      </c>
      <c r="LYM2" t="str">
        <f>LEFT(Database!LZF2,3)</f>
        <v/>
      </c>
      <c r="LYN2" t="str">
        <f>LEFT(Database!LZG2,3)</f>
        <v/>
      </c>
      <c r="LYO2" t="str">
        <f>LEFT(Database!LZH2,3)</f>
        <v/>
      </c>
      <c r="LYP2" t="str">
        <f>LEFT(Database!LZI2,3)</f>
        <v/>
      </c>
      <c r="LYQ2" t="str">
        <f>LEFT(Database!LZJ2,3)</f>
        <v/>
      </c>
      <c r="LYR2" t="str">
        <f>LEFT(Database!LZK2,3)</f>
        <v/>
      </c>
      <c r="LYS2" t="str">
        <f>LEFT(Database!LZL2,3)</f>
        <v/>
      </c>
      <c r="LYT2" t="str">
        <f>LEFT(Database!LZM2,3)</f>
        <v/>
      </c>
      <c r="LYU2" t="str">
        <f>LEFT(Database!LZN2,3)</f>
        <v/>
      </c>
      <c r="LYV2" t="str">
        <f>LEFT(Database!LZO2,3)</f>
        <v/>
      </c>
      <c r="LYW2" t="str">
        <f>LEFT(Database!LZP2,3)</f>
        <v/>
      </c>
      <c r="LYX2" t="str">
        <f>LEFT(Database!LZQ2,3)</f>
        <v/>
      </c>
      <c r="LYY2" t="str">
        <f>LEFT(Database!LZR2,3)</f>
        <v/>
      </c>
      <c r="LYZ2" t="str">
        <f>LEFT(Database!LZS2,3)</f>
        <v/>
      </c>
      <c r="LZA2" t="str">
        <f>LEFT(Database!LZT2,3)</f>
        <v/>
      </c>
      <c r="LZB2" t="str">
        <f>LEFT(Database!LZU2,3)</f>
        <v/>
      </c>
      <c r="LZC2" t="str">
        <f>LEFT(Database!LZV2,3)</f>
        <v/>
      </c>
      <c r="LZD2" t="str">
        <f>LEFT(Database!LZW2,3)</f>
        <v/>
      </c>
      <c r="LZE2" t="str">
        <f>LEFT(Database!LZX2,3)</f>
        <v/>
      </c>
      <c r="LZF2" t="str">
        <f>LEFT(Database!LZY2,3)</f>
        <v/>
      </c>
      <c r="LZG2" t="str">
        <f>LEFT(Database!LZZ2,3)</f>
        <v/>
      </c>
      <c r="LZH2" t="str">
        <f>LEFT(Database!MAA2,3)</f>
        <v/>
      </c>
      <c r="LZI2" t="str">
        <f>LEFT(Database!MAB2,3)</f>
        <v/>
      </c>
      <c r="LZJ2" t="str">
        <f>LEFT(Database!MAC2,3)</f>
        <v/>
      </c>
      <c r="LZK2" t="str">
        <f>LEFT(Database!MAD2,3)</f>
        <v/>
      </c>
      <c r="LZL2" t="str">
        <f>LEFT(Database!MAE2,3)</f>
        <v/>
      </c>
      <c r="LZM2" t="str">
        <f>LEFT(Database!MAF2,3)</f>
        <v/>
      </c>
      <c r="LZN2" t="str">
        <f>LEFT(Database!MAG2,3)</f>
        <v/>
      </c>
      <c r="LZO2" t="str">
        <f>LEFT(Database!MAH2,3)</f>
        <v/>
      </c>
      <c r="LZP2" t="str">
        <f>LEFT(Database!MAI2,3)</f>
        <v/>
      </c>
      <c r="LZQ2" t="str">
        <f>LEFT(Database!MAJ2,3)</f>
        <v/>
      </c>
      <c r="LZR2" t="str">
        <f>LEFT(Database!MAK2,3)</f>
        <v/>
      </c>
      <c r="LZS2" t="str">
        <f>LEFT(Database!MAL2,3)</f>
        <v/>
      </c>
      <c r="LZT2" t="str">
        <f>LEFT(Database!MAM2,3)</f>
        <v/>
      </c>
      <c r="LZU2" t="str">
        <f>LEFT(Database!MAN2,3)</f>
        <v/>
      </c>
      <c r="LZV2" t="str">
        <f>LEFT(Database!MAO2,3)</f>
        <v/>
      </c>
      <c r="LZW2" t="str">
        <f>LEFT(Database!MAP2,3)</f>
        <v/>
      </c>
      <c r="LZX2" t="str">
        <f>LEFT(Database!MAQ2,3)</f>
        <v/>
      </c>
      <c r="LZY2" t="str">
        <f>LEFT(Database!MAR2,3)</f>
        <v/>
      </c>
      <c r="LZZ2" t="str">
        <f>LEFT(Database!MAS2,3)</f>
        <v/>
      </c>
      <c r="MAA2" t="str">
        <f>LEFT(Database!MAT2,3)</f>
        <v/>
      </c>
      <c r="MAB2" t="str">
        <f>LEFT(Database!MAU2,3)</f>
        <v/>
      </c>
      <c r="MAC2" t="str">
        <f>LEFT(Database!MAV2,3)</f>
        <v/>
      </c>
      <c r="MAD2" t="str">
        <f>LEFT(Database!MAW2,3)</f>
        <v/>
      </c>
      <c r="MAE2" t="str">
        <f>LEFT(Database!MAX2,3)</f>
        <v/>
      </c>
      <c r="MAF2" t="str">
        <f>LEFT(Database!MAY2,3)</f>
        <v/>
      </c>
      <c r="MAG2" t="str">
        <f>LEFT(Database!MAZ2,3)</f>
        <v/>
      </c>
      <c r="MAH2" t="str">
        <f>LEFT(Database!MBA2,3)</f>
        <v/>
      </c>
      <c r="MAI2" t="str">
        <f>LEFT(Database!MBB2,3)</f>
        <v/>
      </c>
      <c r="MAJ2" t="str">
        <f>LEFT(Database!MBC2,3)</f>
        <v/>
      </c>
      <c r="MAK2" t="str">
        <f>LEFT(Database!MBD2,3)</f>
        <v/>
      </c>
      <c r="MAL2" t="str">
        <f>LEFT(Database!MBE2,3)</f>
        <v/>
      </c>
      <c r="MAM2" t="str">
        <f>LEFT(Database!MBF2,3)</f>
        <v/>
      </c>
      <c r="MAN2" t="str">
        <f>LEFT(Database!MBG2,3)</f>
        <v/>
      </c>
      <c r="MAO2" t="str">
        <f>LEFT(Database!MBH2,3)</f>
        <v/>
      </c>
      <c r="MAP2" t="str">
        <f>LEFT(Database!MBI2,3)</f>
        <v/>
      </c>
      <c r="MAQ2" t="str">
        <f>LEFT(Database!MBJ2,3)</f>
        <v/>
      </c>
      <c r="MAR2" t="str">
        <f>LEFT(Database!MBK2,3)</f>
        <v/>
      </c>
      <c r="MAS2" t="str">
        <f>LEFT(Database!MBL2,3)</f>
        <v/>
      </c>
      <c r="MAT2" t="str">
        <f>LEFT(Database!MBM2,3)</f>
        <v/>
      </c>
      <c r="MAU2" t="str">
        <f>LEFT(Database!MBN2,3)</f>
        <v/>
      </c>
      <c r="MAV2" t="str">
        <f>LEFT(Database!MBO2,3)</f>
        <v/>
      </c>
      <c r="MAW2" t="str">
        <f>LEFT(Database!MBP2,3)</f>
        <v/>
      </c>
      <c r="MAX2" t="str">
        <f>LEFT(Database!MBQ2,3)</f>
        <v/>
      </c>
      <c r="MAY2" t="str">
        <f>LEFT(Database!MBR2,3)</f>
        <v/>
      </c>
      <c r="MAZ2" t="str">
        <f>LEFT(Database!MBS2,3)</f>
        <v/>
      </c>
      <c r="MBA2" t="str">
        <f>LEFT(Database!MBT2,3)</f>
        <v/>
      </c>
      <c r="MBB2" t="str">
        <f>LEFT(Database!MBU2,3)</f>
        <v/>
      </c>
      <c r="MBC2" t="str">
        <f>LEFT(Database!MBV2,3)</f>
        <v/>
      </c>
      <c r="MBD2" t="str">
        <f>LEFT(Database!MBW2,3)</f>
        <v/>
      </c>
      <c r="MBE2" t="str">
        <f>LEFT(Database!MBX2,3)</f>
        <v/>
      </c>
      <c r="MBF2" t="str">
        <f>LEFT(Database!MBY2,3)</f>
        <v/>
      </c>
      <c r="MBG2" t="str">
        <f>LEFT(Database!MBZ2,3)</f>
        <v/>
      </c>
      <c r="MBH2" t="str">
        <f>LEFT(Database!MCA2,3)</f>
        <v/>
      </c>
      <c r="MBI2" t="str">
        <f>LEFT(Database!MCB2,3)</f>
        <v/>
      </c>
      <c r="MBJ2" t="str">
        <f>LEFT(Database!MCC2,3)</f>
        <v/>
      </c>
      <c r="MBK2" t="str">
        <f>LEFT(Database!MCD2,3)</f>
        <v/>
      </c>
      <c r="MBL2" t="str">
        <f>LEFT(Database!MCE2,3)</f>
        <v/>
      </c>
      <c r="MBM2" t="str">
        <f>LEFT(Database!MCF2,3)</f>
        <v/>
      </c>
      <c r="MBN2" t="str">
        <f>LEFT(Database!MCG2,3)</f>
        <v/>
      </c>
      <c r="MBO2" t="str">
        <f>LEFT(Database!MCH2,3)</f>
        <v/>
      </c>
      <c r="MBP2" t="str">
        <f>LEFT(Database!MCI2,3)</f>
        <v/>
      </c>
      <c r="MBQ2" t="str">
        <f>LEFT(Database!MCJ2,3)</f>
        <v/>
      </c>
      <c r="MBR2" t="str">
        <f>LEFT(Database!MCK2,3)</f>
        <v/>
      </c>
      <c r="MBS2" t="str">
        <f>LEFT(Database!MCL2,3)</f>
        <v/>
      </c>
      <c r="MBT2" t="str">
        <f>LEFT(Database!MCM2,3)</f>
        <v/>
      </c>
      <c r="MBU2" t="str">
        <f>LEFT(Database!MCN2,3)</f>
        <v/>
      </c>
      <c r="MBV2" t="str">
        <f>LEFT(Database!MCO2,3)</f>
        <v/>
      </c>
      <c r="MBW2" t="str">
        <f>LEFT(Database!MCP2,3)</f>
        <v/>
      </c>
      <c r="MBX2" t="str">
        <f>LEFT(Database!MCQ2,3)</f>
        <v/>
      </c>
      <c r="MBY2" t="str">
        <f>LEFT(Database!MCR2,3)</f>
        <v/>
      </c>
      <c r="MBZ2" t="str">
        <f>LEFT(Database!MCS2,3)</f>
        <v/>
      </c>
      <c r="MCA2" t="str">
        <f>LEFT(Database!MCT2,3)</f>
        <v/>
      </c>
      <c r="MCB2" t="str">
        <f>LEFT(Database!MCU2,3)</f>
        <v/>
      </c>
      <c r="MCC2" t="str">
        <f>LEFT(Database!MCV2,3)</f>
        <v/>
      </c>
      <c r="MCD2" t="str">
        <f>LEFT(Database!MCW2,3)</f>
        <v/>
      </c>
      <c r="MCE2" t="str">
        <f>LEFT(Database!MCX2,3)</f>
        <v/>
      </c>
      <c r="MCF2" t="str">
        <f>LEFT(Database!MCY2,3)</f>
        <v/>
      </c>
      <c r="MCG2" t="str">
        <f>LEFT(Database!MCZ2,3)</f>
        <v/>
      </c>
      <c r="MCH2" t="str">
        <f>LEFT(Database!MDA2,3)</f>
        <v/>
      </c>
      <c r="MCI2" t="str">
        <f>LEFT(Database!MDB2,3)</f>
        <v/>
      </c>
      <c r="MCJ2" t="str">
        <f>LEFT(Database!MDC2,3)</f>
        <v/>
      </c>
      <c r="MCK2" t="str">
        <f>LEFT(Database!MDD2,3)</f>
        <v/>
      </c>
      <c r="MCL2" t="str">
        <f>LEFT(Database!MDE2,3)</f>
        <v/>
      </c>
      <c r="MCM2" t="str">
        <f>LEFT(Database!MDF2,3)</f>
        <v/>
      </c>
      <c r="MCN2" t="str">
        <f>LEFT(Database!MDG2,3)</f>
        <v/>
      </c>
      <c r="MCO2" t="str">
        <f>LEFT(Database!MDH2,3)</f>
        <v/>
      </c>
      <c r="MCP2" t="str">
        <f>LEFT(Database!MDI2,3)</f>
        <v/>
      </c>
      <c r="MCQ2" t="str">
        <f>LEFT(Database!MDJ2,3)</f>
        <v/>
      </c>
      <c r="MCR2" t="str">
        <f>LEFT(Database!MDK2,3)</f>
        <v/>
      </c>
      <c r="MCS2" t="str">
        <f>LEFT(Database!MDL2,3)</f>
        <v/>
      </c>
      <c r="MCT2" t="str">
        <f>LEFT(Database!MDM2,3)</f>
        <v/>
      </c>
      <c r="MCU2" t="str">
        <f>LEFT(Database!MDN2,3)</f>
        <v/>
      </c>
      <c r="MCV2" t="str">
        <f>LEFT(Database!MDO2,3)</f>
        <v/>
      </c>
      <c r="MCW2" t="str">
        <f>LEFT(Database!MDP2,3)</f>
        <v/>
      </c>
      <c r="MCX2" t="str">
        <f>LEFT(Database!MDQ2,3)</f>
        <v/>
      </c>
      <c r="MCY2" t="str">
        <f>LEFT(Database!MDR2,3)</f>
        <v/>
      </c>
      <c r="MCZ2" t="str">
        <f>LEFT(Database!MDS2,3)</f>
        <v/>
      </c>
      <c r="MDA2" t="str">
        <f>LEFT(Database!MDT2,3)</f>
        <v/>
      </c>
      <c r="MDB2" t="str">
        <f>LEFT(Database!MDU2,3)</f>
        <v/>
      </c>
      <c r="MDC2" t="str">
        <f>LEFT(Database!MDV2,3)</f>
        <v/>
      </c>
      <c r="MDD2" t="str">
        <f>LEFT(Database!MDW2,3)</f>
        <v/>
      </c>
      <c r="MDE2" t="str">
        <f>LEFT(Database!MDX2,3)</f>
        <v/>
      </c>
      <c r="MDF2" t="str">
        <f>LEFT(Database!MDY2,3)</f>
        <v/>
      </c>
      <c r="MDG2" t="str">
        <f>LEFT(Database!MDZ2,3)</f>
        <v/>
      </c>
      <c r="MDH2" t="str">
        <f>LEFT(Database!MEA2,3)</f>
        <v/>
      </c>
      <c r="MDI2" t="str">
        <f>LEFT(Database!MEB2,3)</f>
        <v/>
      </c>
      <c r="MDJ2" t="str">
        <f>LEFT(Database!MEC2,3)</f>
        <v/>
      </c>
      <c r="MDK2" t="str">
        <f>LEFT(Database!MED2,3)</f>
        <v/>
      </c>
      <c r="MDL2" t="str">
        <f>LEFT(Database!MEE2,3)</f>
        <v/>
      </c>
      <c r="MDM2" t="str">
        <f>LEFT(Database!MEF2,3)</f>
        <v/>
      </c>
      <c r="MDN2" t="str">
        <f>LEFT(Database!MEG2,3)</f>
        <v/>
      </c>
      <c r="MDO2" t="str">
        <f>LEFT(Database!MEH2,3)</f>
        <v/>
      </c>
      <c r="MDP2" t="str">
        <f>LEFT(Database!MEI2,3)</f>
        <v/>
      </c>
      <c r="MDQ2" t="str">
        <f>LEFT(Database!MEJ2,3)</f>
        <v/>
      </c>
      <c r="MDR2" t="str">
        <f>LEFT(Database!MEK2,3)</f>
        <v/>
      </c>
      <c r="MDS2" t="str">
        <f>LEFT(Database!MEL2,3)</f>
        <v/>
      </c>
      <c r="MDT2" t="str">
        <f>LEFT(Database!MEM2,3)</f>
        <v/>
      </c>
      <c r="MDU2" t="str">
        <f>LEFT(Database!MEN2,3)</f>
        <v/>
      </c>
      <c r="MDV2" t="str">
        <f>LEFT(Database!MEO2,3)</f>
        <v/>
      </c>
      <c r="MDW2" t="str">
        <f>LEFT(Database!MEP2,3)</f>
        <v/>
      </c>
      <c r="MDX2" t="str">
        <f>LEFT(Database!MEQ2,3)</f>
        <v/>
      </c>
      <c r="MDY2" t="str">
        <f>LEFT(Database!MER2,3)</f>
        <v/>
      </c>
      <c r="MDZ2" t="str">
        <f>LEFT(Database!MES2,3)</f>
        <v/>
      </c>
      <c r="MEA2" t="str">
        <f>LEFT(Database!MET2,3)</f>
        <v/>
      </c>
      <c r="MEB2" t="str">
        <f>LEFT(Database!MEU2,3)</f>
        <v/>
      </c>
      <c r="MEC2" t="str">
        <f>LEFT(Database!MEV2,3)</f>
        <v/>
      </c>
      <c r="MED2" t="str">
        <f>LEFT(Database!MEW2,3)</f>
        <v/>
      </c>
      <c r="MEE2" t="str">
        <f>LEFT(Database!MEX2,3)</f>
        <v/>
      </c>
      <c r="MEF2" t="str">
        <f>LEFT(Database!MEY2,3)</f>
        <v/>
      </c>
      <c r="MEG2" t="str">
        <f>LEFT(Database!MEZ2,3)</f>
        <v/>
      </c>
      <c r="MEH2" t="str">
        <f>LEFT(Database!MFA2,3)</f>
        <v/>
      </c>
      <c r="MEI2" t="str">
        <f>LEFT(Database!MFB2,3)</f>
        <v/>
      </c>
      <c r="MEJ2" t="str">
        <f>LEFT(Database!MFC2,3)</f>
        <v/>
      </c>
      <c r="MEK2" t="str">
        <f>LEFT(Database!MFD2,3)</f>
        <v/>
      </c>
      <c r="MEL2" t="str">
        <f>LEFT(Database!MFE2,3)</f>
        <v/>
      </c>
      <c r="MEM2" t="str">
        <f>LEFT(Database!MFF2,3)</f>
        <v/>
      </c>
      <c r="MEN2" t="str">
        <f>LEFT(Database!MFG2,3)</f>
        <v/>
      </c>
      <c r="MEO2" t="str">
        <f>LEFT(Database!MFH2,3)</f>
        <v/>
      </c>
      <c r="MEP2" t="str">
        <f>LEFT(Database!MFI2,3)</f>
        <v/>
      </c>
      <c r="MEQ2" t="str">
        <f>LEFT(Database!MFJ2,3)</f>
        <v/>
      </c>
      <c r="MER2" t="str">
        <f>LEFT(Database!MFK2,3)</f>
        <v/>
      </c>
      <c r="MES2" t="str">
        <f>LEFT(Database!MFL2,3)</f>
        <v/>
      </c>
      <c r="MET2" t="str">
        <f>LEFT(Database!MFM2,3)</f>
        <v/>
      </c>
      <c r="MEU2" t="str">
        <f>LEFT(Database!MFN2,3)</f>
        <v/>
      </c>
      <c r="MEV2" t="str">
        <f>LEFT(Database!MFO2,3)</f>
        <v/>
      </c>
      <c r="MEW2" t="str">
        <f>LEFT(Database!MFP2,3)</f>
        <v/>
      </c>
      <c r="MEX2" t="str">
        <f>LEFT(Database!MFQ2,3)</f>
        <v/>
      </c>
      <c r="MEY2" t="str">
        <f>LEFT(Database!MFR2,3)</f>
        <v/>
      </c>
      <c r="MEZ2" t="str">
        <f>LEFT(Database!MFS2,3)</f>
        <v/>
      </c>
      <c r="MFA2" t="str">
        <f>LEFT(Database!MFT2,3)</f>
        <v/>
      </c>
      <c r="MFB2" t="str">
        <f>LEFT(Database!MFU2,3)</f>
        <v/>
      </c>
      <c r="MFC2" t="str">
        <f>LEFT(Database!MFV2,3)</f>
        <v/>
      </c>
      <c r="MFD2" t="str">
        <f>LEFT(Database!MFW2,3)</f>
        <v/>
      </c>
      <c r="MFE2" t="str">
        <f>LEFT(Database!MFX2,3)</f>
        <v/>
      </c>
      <c r="MFF2" t="str">
        <f>LEFT(Database!MFY2,3)</f>
        <v/>
      </c>
      <c r="MFG2" t="str">
        <f>LEFT(Database!MFZ2,3)</f>
        <v/>
      </c>
      <c r="MFH2" t="str">
        <f>LEFT(Database!MGA2,3)</f>
        <v/>
      </c>
      <c r="MFI2" t="str">
        <f>LEFT(Database!MGB2,3)</f>
        <v/>
      </c>
      <c r="MFJ2" t="str">
        <f>LEFT(Database!MGC2,3)</f>
        <v/>
      </c>
      <c r="MFK2" t="str">
        <f>LEFT(Database!MGD2,3)</f>
        <v/>
      </c>
      <c r="MFL2" t="str">
        <f>LEFT(Database!MGE2,3)</f>
        <v/>
      </c>
      <c r="MFM2" t="str">
        <f>LEFT(Database!MGF2,3)</f>
        <v/>
      </c>
      <c r="MFN2" t="str">
        <f>LEFT(Database!MGG2,3)</f>
        <v/>
      </c>
      <c r="MFO2" t="str">
        <f>LEFT(Database!MGH2,3)</f>
        <v/>
      </c>
      <c r="MFP2" t="str">
        <f>LEFT(Database!MGI2,3)</f>
        <v/>
      </c>
      <c r="MFQ2" t="str">
        <f>LEFT(Database!MGJ2,3)</f>
        <v/>
      </c>
      <c r="MFR2" t="str">
        <f>LEFT(Database!MGK2,3)</f>
        <v/>
      </c>
      <c r="MFS2" t="str">
        <f>LEFT(Database!MGL2,3)</f>
        <v/>
      </c>
      <c r="MFT2" t="str">
        <f>LEFT(Database!MGM2,3)</f>
        <v/>
      </c>
      <c r="MFU2" t="str">
        <f>LEFT(Database!MGN2,3)</f>
        <v/>
      </c>
      <c r="MFV2" t="str">
        <f>LEFT(Database!MGO2,3)</f>
        <v/>
      </c>
      <c r="MFW2" t="str">
        <f>LEFT(Database!MGP2,3)</f>
        <v/>
      </c>
      <c r="MFX2" t="str">
        <f>LEFT(Database!MGQ2,3)</f>
        <v/>
      </c>
      <c r="MFY2" t="str">
        <f>LEFT(Database!MGR2,3)</f>
        <v/>
      </c>
      <c r="MFZ2" t="str">
        <f>LEFT(Database!MGS2,3)</f>
        <v/>
      </c>
      <c r="MGA2" t="str">
        <f>LEFT(Database!MGT2,3)</f>
        <v/>
      </c>
      <c r="MGB2" t="str">
        <f>LEFT(Database!MGU2,3)</f>
        <v/>
      </c>
      <c r="MGC2" t="str">
        <f>LEFT(Database!MGV2,3)</f>
        <v/>
      </c>
      <c r="MGD2" t="str">
        <f>LEFT(Database!MGW2,3)</f>
        <v/>
      </c>
      <c r="MGE2" t="str">
        <f>LEFT(Database!MGX2,3)</f>
        <v/>
      </c>
      <c r="MGF2" t="str">
        <f>LEFT(Database!MGY2,3)</f>
        <v/>
      </c>
      <c r="MGG2" t="str">
        <f>LEFT(Database!MGZ2,3)</f>
        <v/>
      </c>
      <c r="MGH2" t="str">
        <f>LEFT(Database!MHA2,3)</f>
        <v/>
      </c>
      <c r="MGI2" t="str">
        <f>LEFT(Database!MHB2,3)</f>
        <v/>
      </c>
      <c r="MGJ2" t="str">
        <f>LEFT(Database!MHC2,3)</f>
        <v/>
      </c>
      <c r="MGK2" t="str">
        <f>LEFT(Database!MHD2,3)</f>
        <v/>
      </c>
      <c r="MGL2" t="str">
        <f>LEFT(Database!MHE2,3)</f>
        <v/>
      </c>
      <c r="MGM2" t="str">
        <f>LEFT(Database!MHF2,3)</f>
        <v/>
      </c>
      <c r="MGN2" t="str">
        <f>LEFT(Database!MHG2,3)</f>
        <v/>
      </c>
      <c r="MGO2" t="str">
        <f>LEFT(Database!MHH2,3)</f>
        <v/>
      </c>
      <c r="MGP2" t="str">
        <f>LEFT(Database!MHI2,3)</f>
        <v/>
      </c>
      <c r="MGQ2" t="str">
        <f>LEFT(Database!MHJ2,3)</f>
        <v/>
      </c>
      <c r="MGR2" t="str">
        <f>LEFT(Database!MHK2,3)</f>
        <v/>
      </c>
      <c r="MGS2" t="str">
        <f>LEFT(Database!MHL2,3)</f>
        <v/>
      </c>
      <c r="MGT2" t="str">
        <f>LEFT(Database!MHM2,3)</f>
        <v/>
      </c>
      <c r="MGU2" t="str">
        <f>LEFT(Database!MHN2,3)</f>
        <v/>
      </c>
      <c r="MGV2" t="str">
        <f>LEFT(Database!MHO2,3)</f>
        <v/>
      </c>
      <c r="MGW2" t="str">
        <f>LEFT(Database!MHP2,3)</f>
        <v/>
      </c>
      <c r="MGX2" t="str">
        <f>LEFT(Database!MHQ2,3)</f>
        <v/>
      </c>
      <c r="MGY2" t="str">
        <f>LEFT(Database!MHR2,3)</f>
        <v/>
      </c>
      <c r="MGZ2" t="str">
        <f>LEFT(Database!MHS2,3)</f>
        <v/>
      </c>
      <c r="MHA2" t="str">
        <f>LEFT(Database!MHT2,3)</f>
        <v/>
      </c>
      <c r="MHB2" t="str">
        <f>LEFT(Database!MHU2,3)</f>
        <v/>
      </c>
      <c r="MHC2" t="str">
        <f>LEFT(Database!MHV2,3)</f>
        <v/>
      </c>
      <c r="MHD2" t="str">
        <f>LEFT(Database!MHW2,3)</f>
        <v/>
      </c>
      <c r="MHE2" t="str">
        <f>LEFT(Database!MHX2,3)</f>
        <v/>
      </c>
      <c r="MHF2" t="str">
        <f>LEFT(Database!MHY2,3)</f>
        <v/>
      </c>
      <c r="MHG2" t="str">
        <f>LEFT(Database!MHZ2,3)</f>
        <v/>
      </c>
      <c r="MHH2" t="str">
        <f>LEFT(Database!MIA2,3)</f>
        <v/>
      </c>
      <c r="MHI2" t="str">
        <f>LEFT(Database!MIB2,3)</f>
        <v/>
      </c>
      <c r="MHJ2" t="str">
        <f>LEFT(Database!MIC2,3)</f>
        <v/>
      </c>
      <c r="MHK2" t="str">
        <f>LEFT(Database!MID2,3)</f>
        <v/>
      </c>
      <c r="MHL2" t="str">
        <f>LEFT(Database!MIE2,3)</f>
        <v/>
      </c>
      <c r="MHM2" t="str">
        <f>LEFT(Database!MIF2,3)</f>
        <v/>
      </c>
      <c r="MHN2" t="str">
        <f>LEFT(Database!MIG2,3)</f>
        <v/>
      </c>
      <c r="MHO2" t="str">
        <f>LEFT(Database!MIH2,3)</f>
        <v/>
      </c>
      <c r="MHP2" t="str">
        <f>LEFT(Database!MII2,3)</f>
        <v/>
      </c>
      <c r="MHQ2" t="str">
        <f>LEFT(Database!MIJ2,3)</f>
        <v/>
      </c>
      <c r="MHR2" t="str">
        <f>LEFT(Database!MIK2,3)</f>
        <v/>
      </c>
      <c r="MHS2" t="str">
        <f>LEFT(Database!MIL2,3)</f>
        <v/>
      </c>
      <c r="MHT2" t="str">
        <f>LEFT(Database!MIM2,3)</f>
        <v/>
      </c>
      <c r="MHU2" t="str">
        <f>LEFT(Database!MIN2,3)</f>
        <v/>
      </c>
      <c r="MHV2" t="str">
        <f>LEFT(Database!MIO2,3)</f>
        <v/>
      </c>
      <c r="MHW2" t="str">
        <f>LEFT(Database!MIP2,3)</f>
        <v/>
      </c>
      <c r="MHX2" t="str">
        <f>LEFT(Database!MIQ2,3)</f>
        <v/>
      </c>
      <c r="MHY2" t="str">
        <f>LEFT(Database!MIR2,3)</f>
        <v/>
      </c>
      <c r="MHZ2" t="str">
        <f>LEFT(Database!MIS2,3)</f>
        <v/>
      </c>
      <c r="MIA2" t="str">
        <f>LEFT(Database!MIT2,3)</f>
        <v/>
      </c>
      <c r="MIB2" t="str">
        <f>LEFT(Database!MIU2,3)</f>
        <v/>
      </c>
      <c r="MIC2" t="str">
        <f>LEFT(Database!MIV2,3)</f>
        <v/>
      </c>
      <c r="MID2" t="str">
        <f>LEFT(Database!MIW2,3)</f>
        <v/>
      </c>
      <c r="MIE2" t="str">
        <f>LEFT(Database!MIX2,3)</f>
        <v/>
      </c>
      <c r="MIF2" t="str">
        <f>LEFT(Database!MIY2,3)</f>
        <v/>
      </c>
      <c r="MIG2" t="str">
        <f>LEFT(Database!MIZ2,3)</f>
        <v/>
      </c>
      <c r="MIH2" t="str">
        <f>LEFT(Database!MJA2,3)</f>
        <v/>
      </c>
      <c r="MII2" t="str">
        <f>LEFT(Database!MJB2,3)</f>
        <v/>
      </c>
      <c r="MIJ2" t="str">
        <f>LEFT(Database!MJC2,3)</f>
        <v/>
      </c>
      <c r="MIK2" t="str">
        <f>LEFT(Database!MJD2,3)</f>
        <v/>
      </c>
      <c r="MIL2" t="str">
        <f>LEFT(Database!MJE2,3)</f>
        <v/>
      </c>
      <c r="MIM2" t="str">
        <f>LEFT(Database!MJF2,3)</f>
        <v/>
      </c>
      <c r="MIN2" t="str">
        <f>LEFT(Database!MJG2,3)</f>
        <v/>
      </c>
      <c r="MIO2" t="str">
        <f>LEFT(Database!MJH2,3)</f>
        <v/>
      </c>
      <c r="MIP2" t="str">
        <f>LEFT(Database!MJI2,3)</f>
        <v/>
      </c>
      <c r="MIQ2" t="str">
        <f>LEFT(Database!MJJ2,3)</f>
        <v/>
      </c>
      <c r="MIR2" t="str">
        <f>LEFT(Database!MJK2,3)</f>
        <v/>
      </c>
      <c r="MIS2" t="str">
        <f>LEFT(Database!MJL2,3)</f>
        <v/>
      </c>
      <c r="MIT2" t="str">
        <f>LEFT(Database!MJM2,3)</f>
        <v/>
      </c>
      <c r="MIU2" t="str">
        <f>LEFT(Database!MJN2,3)</f>
        <v/>
      </c>
      <c r="MIV2" t="str">
        <f>LEFT(Database!MJO2,3)</f>
        <v/>
      </c>
      <c r="MIW2" t="str">
        <f>LEFT(Database!MJP2,3)</f>
        <v/>
      </c>
      <c r="MIX2" t="str">
        <f>LEFT(Database!MJQ2,3)</f>
        <v/>
      </c>
      <c r="MIY2" t="str">
        <f>LEFT(Database!MJR2,3)</f>
        <v/>
      </c>
      <c r="MIZ2" t="str">
        <f>LEFT(Database!MJS2,3)</f>
        <v/>
      </c>
      <c r="MJA2" t="str">
        <f>LEFT(Database!MJT2,3)</f>
        <v/>
      </c>
      <c r="MJB2" t="str">
        <f>LEFT(Database!MJU2,3)</f>
        <v/>
      </c>
      <c r="MJC2" t="str">
        <f>LEFT(Database!MJV2,3)</f>
        <v/>
      </c>
      <c r="MJD2" t="str">
        <f>LEFT(Database!MJW2,3)</f>
        <v/>
      </c>
      <c r="MJE2" t="str">
        <f>LEFT(Database!MJX2,3)</f>
        <v/>
      </c>
      <c r="MJF2" t="str">
        <f>LEFT(Database!MJY2,3)</f>
        <v/>
      </c>
      <c r="MJG2" t="str">
        <f>LEFT(Database!MJZ2,3)</f>
        <v/>
      </c>
      <c r="MJH2" t="str">
        <f>LEFT(Database!MKA2,3)</f>
        <v/>
      </c>
      <c r="MJI2" t="str">
        <f>LEFT(Database!MKB2,3)</f>
        <v/>
      </c>
      <c r="MJJ2" t="str">
        <f>LEFT(Database!MKC2,3)</f>
        <v/>
      </c>
      <c r="MJK2" t="str">
        <f>LEFT(Database!MKD2,3)</f>
        <v/>
      </c>
      <c r="MJL2" t="str">
        <f>LEFT(Database!MKE2,3)</f>
        <v/>
      </c>
      <c r="MJM2" t="str">
        <f>LEFT(Database!MKF2,3)</f>
        <v/>
      </c>
      <c r="MJN2" t="str">
        <f>LEFT(Database!MKG2,3)</f>
        <v/>
      </c>
      <c r="MJO2" t="str">
        <f>LEFT(Database!MKH2,3)</f>
        <v/>
      </c>
      <c r="MJP2" t="str">
        <f>LEFT(Database!MKI2,3)</f>
        <v/>
      </c>
      <c r="MJQ2" t="str">
        <f>LEFT(Database!MKJ2,3)</f>
        <v/>
      </c>
      <c r="MJR2" t="str">
        <f>LEFT(Database!MKK2,3)</f>
        <v/>
      </c>
      <c r="MJS2" t="str">
        <f>LEFT(Database!MKL2,3)</f>
        <v/>
      </c>
      <c r="MJT2" t="str">
        <f>LEFT(Database!MKM2,3)</f>
        <v/>
      </c>
      <c r="MJU2" t="str">
        <f>LEFT(Database!MKN2,3)</f>
        <v/>
      </c>
      <c r="MJV2" t="str">
        <f>LEFT(Database!MKO2,3)</f>
        <v/>
      </c>
      <c r="MJW2" t="str">
        <f>LEFT(Database!MKP2,3)</f>
        <v/>
      </c>
      <c r="MJX2" t="str">
        <f>LEFT(Database!MKQ2,3)</f>
        <v/>
      </c>
      <c r="MJY2" t="str">
        <f>LEFT(Database!MKR2,3)</f>
        <v/>
      </c>
      <c r="MJZ2" t="str">
        <f>LEFT(Database!MKS2,3)</f>
        <v/>
      </c>
      <c r="MKA2" t="str">
        <f>LEFT(Database!MKT2,3)</f>
        <v/>
      </c>
      <c r="MKB2" t="str">
        <f>LEFT(Database!MKU2,3)</f>
        <v/>
      </c>
      <c r="MKC2" t="str">
        <f>LEFT(Database!MKV2,3)</f>
        <v/>
      </c>
      <c r="MKD2" t="str">
        <f>LEFT(Database!MKW2,3)</f>
        <v/>
      </c>
      <c r="MKE2" t="str">
        <f>LEFT(Database!MKX2,3)</f>
        <v/>
      </c>
      <c r="MKF2" t="str">
        <f>LEFT(Database!MKY2,3)</f>
        <v/>
      </c>
      <c r="MKG2" t="str">
        <f>LEFT(Database!MKZ2,3)</f>
        <v/>
      </c>
      <c r="MKH2" t="str">
        <f>LEFT(Database!MLA2,3)</f>
        <v/>
      </c>
      <c r="MKI2" t="str">
        <f>LEFT(Database!MLB2,3)</f>
        <v/>
      </c>
      <c r="MKJ2" t="str">
        <f>LEFT(Database!MLC2,3)</f>
        <v/>
      </c>
      <c r="MKK2" t="str">
        <f>LEFT(Database!MLD2,3)</f>
        <v/>
      </c>
      <c r="MKL2" t="str">
        <f>LEFT(Database!MLE2,3)</f>
        <v/>
      </c>
      <c r="MKM2" t="str">
        <f>LEFT(Database!MLF2,3)</f>
        <v/>
      </c>
      <c r="MKN2" t="str">
        <f>LEFT(Database!MLG2,3)</f>
        <v/>
      </c>
      <c r="MKO2" t="str">
        <f>LEFT(Database!MLH2,3)</f>
        <v/>
      </c>
      <c r="MKP2" t="str">
        <f>LEFT(Database!MLI2,3)</f>
        <v/>
      </c>
      <c r="MKQ2" t="str">
        <f>LEFT(Database!MLJ2,3)</f>
        <v/>
      </c>
      <c r="MKR2" t="str">
        <f>LEFT(Database!MLK2,3)</f>
        <v/>
      </c>
      <c r="MKS2" t="str">
        <f>LEFT(Database!MLL2,3)</f>
        <v/>
      </c>
      <c r="MKT2" t="str">
        <f>LEFT(Database!MLM2,3)</f>
        <v/>
      </c>
      <c r="MKU2" t="str">
        <f>LEFT(Database!MLN2,3)</f>
        <v/>
      </c>
      <c r="MKV2" t="str">
        <f>LEFT(Database!MLO2,3)</f>
        <v/>
      </c>
      <c r="MKW2" t="str">
        <f>LEFT(Database!MLP2,3)</f>
        <v/>
      </c>
      <c r="MKX2" t="str">
        <f>LEFT(Database!MLQ2,3)</f>
        <v/>
      </c>
      <c r="MKY2" t="str">
        <f>LEFT(Database!MLR2,3)</f>
        <v/>
      </c>
      <c r="MKZ2" t="str">
        <f>LEFT(Database!MLS2,3)</f>
        <v/>
      </c>
      <c r="MLA2" t="str">
        <f>LEFT(Database!MLT2,3)</f>
        <v/>
      </c>
      <c r="MLB2" t="str">
        <f>LEFT(Database!MLU2,3)</f>
        <v/>
      </c>
      <c r="MLC2" t="str">
        <f>LEFT(Database!MLV2,3)</f>
        <v/>
      </c>
      <c r="MLD2" t="str">
        <f>LEFT(Database!MLW2,3)</f>
        <v/>
      </c>
      <c r="MLE2" t="str">
        <f>LEFT(Database!MLX2,3)</f>
        <v/>
      </c>
      <c r="MLF2" t="str">
        <f>LEFT(Database!MLY2,3)</f>
        <v/>
      </c>
      <c r="MLG2" t="str">
        <f>LEFT(Database!MLZ2,3)</f>
        <v/>
      </c>
      <c r="MLH2" t="str">
        <f>LEFT(Database!MMA2,3)</f>
        <v/>
      </c>
      <c r="MLI2" t="str">
        <f>LEFT(Database!MMB2,3)</f>
        <v/>
      </c>
      <c r="MLJ2" t="str">
        <f>LEFT(Database!MMC2,3)</f>
        <v/>
      </c>
      <c r="MLK2" t="str">
        <f>LEFT(Database!MMD2,3)</f>
        <v/>
      </c>
      <c r="MLL2" t="str">
        <f>LEFT(Database!MME2,3)</f>
        <v/>
      </c>
      <c r="MLM2" t="str">
        <f>LEFT(Database!MMF2,3)</f>
        <v/>
      </c>
      <c r="MLN2" t="str">
        <f>LEFT(Database!MMG2,3)</f>
        <v/>
      </c>
      <c r="MLO2" t="str">
        <f>LEFT(Database!MMH2,3)</f>
        <v/>
      </c>
      <c r="MLP2" t="str">
        <f>LEFT(Database!MMI2,3)</f>
        <v/>
      </c>
      <c r="MLQ2" t="str">
        <f>LEFT(Database!MMJ2,3)</f>
        <v/>
      </c>
      <c r="MLR2" t="str">
        <f>LEFT(Database!MMK2,3)</f>
        <v/>
      </c>
      <c r="MLS2" t="str">
        <f>LEFT(Database!MML2,3)</f>
        <v/>
      </c>
      <c r="MLT2" t="str">
        <f>LEFT(Database!MMM2,3)</f>
        <v/>
      </c>
      <c r="MLU2" t="str">
        <f>LEFT(Database!MMN2,3)</f>
        <v/>
      </c>
      <c r="MLV2" t="str">
        <f>LEFT(Database!MMO2,3)</f>
        <v/>
      </c>
      <c r="MLW2" t="str">
        <f>LEFT(Database!MMP2,3)</f>
        <v/>
      </c>
      <c r="MLX2" t="str">
        <f>LEFT(Database!MMQ2,3)</f>
        <v/>
      </c>
      <c r="MLY2" t="str">
        <f>LEFT(Database!MMR2,3)</f>
        <v/>
      </c>
      <c r="MLZ2" t="str">
        <f>LEFT(Database!MMS2,3)</f>
        <v/>
      </c>
      <c r="MMA2" t="str">
        <f>LEFT(Database!MMT2,3)</f>
        <v/>
      </c>
      <c r="MMB2" t="str">
        <f>LEFT(Database!MMU2,3)</f>
        <v/>
      </c>
      <c r="MMC2" t="str">
        <f>LEFT(Database!MMV2,3)</f>
        <v/>
      </c>
      <c r="MMD2" t="str">
        <f>LEFT(Database!MMW2,3)</f>
        <v/>
      </c>
      <c r="MME2" t="str">
        <f>LEFT(Database!MMX2,3)</f>
        <v/>
      </c>
      <c r="MMF2" t="str">
        <f>LEFT(Database!MMY2,3)</f>
        <v/>
      </c>
      <c r="MMG2" t="str">
        <f>LEFT(Database!MMZ2,3)</f>
        <v/>
      </c>
      <c r="MMH2" t="str">
        <f>LEFT(Database!MNA2,3)</f>
        <v/>
      </c>
      <c r="MMI2" t="str">
        <f>LEFT(Database!MNB2,3)</f>
        <v/>
      </c>
      <c r="MMJ2" t="str">
        <f>LEFT(Database!MNC2,3)</f>
        <v/>
      </c>
      <c r="MMK2" t="str">
        <f>LEFT(Database!MND2,3)</f>
        <v/>
      </c>
      <c r="MML2" t="str">
        <f>LEFT(Database!MNE2,3)</f>
        <v/>
      </c>
      <c r="MMM2" t="str">
        <f>LEFT(Database!MNF2,3)</f>
        <v/>
      </c>
      <c r="MMN2" t="str">
        <f>LEFT(Database!MNG2,3)</f>
        <v/>
      </c>
      <c r="MMO2" t="str">
        <f>LEFT(Database!MNH2,3)</f>
        <v/>
      </c>
      <c r="MMP2" t="str">
        <f>LEFT(Database!MNI2,3)</f>
        <v/>
      </c>
      <c r="MMQ2" t="str">
        <f>LEFT(Database!MNJ2,3)</f>
        <v/>
      </c>
      <c r="MMR2" t="str">
        <f>LEFT(Database!MNK2,3)</f>
        <v/>
      </c>
      <c r="MMS2" t="str">
        <f>LEFT(Database!MNL2,3)</f>
        <v/>
      </c>
      <c r="MMT2" t="str">
        <f>LEFT(Database!MNM2,3)</f>
        <v/>
      </c>
      <c r="MMU2" t="str">
        <f>LEFT(Database!MNN2,3)</f>
        <v/>
      </c>
      <c r="MMV2" t="str">
        <f>LEFT(Database!MNO2,3)</f>
        <v/>
      </c>
      <c r="MMW2" t="str">
        <f>LEFT(Database!MNP2,3)</f>
        <v/>
      </c>
      <c r="MMX2" t="str">
        <f>LEFT(Database!MNQ2,3)</f>
        <v/>
      </c>
      <c r="MMY2" t="str">
        <f>LEFT(Database!MNR2,3)</f>
        <v/>
      </c>
      <c r="MMZ2" t="str">
        <f>LEFT(Database!MNS2,3)</f>
        <v/>
      </c>
      <c r="MNA2" t="str">
        <f>LEFT(Database!MNT2,3)</f>
        <v/>
      </c>
      <c r="MNB2" t="str">
        <f>LEFT(Database!MNU2,3)</f>
        <v/>
      </c>
      <c r="MNC2" t="str">
        <f>LEFT(Database!MNV2,3)</f>
        <v/>
      </c>
      <c r="MND2" t="str">
        <f>LEFT(Database!MNW2,3)</f>
        <v/>
      </c>
      <c r="MNE2" t="str">
        <f>LEFT(Database!MNX2,3)</f>
        <v/>
      </c>
      <c r="MNF2" t="str">
        <f>LEFT(Database!MNY2,3)</f>
        <v/>
      </c>
      <c r="MNG2" t="str">
        <f>LEFT(Database!MNZ2,3)</f>
        <v/>
      </c>
      <c r="MNH2" t="str">
        <f>LEFT(Database!MOA2,3)</f>
        <v/>
      </c>
      <c r="MNI2" t="str">
        <f>LEFT(Database!MOB2,3)</f>
        <v/>
      </c>
      <c r="MNJ2" t="str">
        <f>LEFT(Database!MOC2,3)</f>
        <v/>
      </c>
      <c r="MNK2" t="str">
        <f>LEFT(Database!MOD2,3)</f>
        <v/>
      </c>
      <c r="MNL2" t="str">
        <f>LEFT(Database!MOE2,3)</f>
        <v/>
      </c>
      <c r="MNM2" t="str">
        <f>LEFT(Database!MOF2,3)</f>
        <v/>
      </c>
      <c r="MNN2" t="str">
        <f>LEFT(Database!MOG2,3)</f>
        <v/>
      </c>
      <c r="MNO2" t="str">
        <f>LEFT(Database!MOH2,3)</f>
        <v/>
      </c>
      <c r="MNP2" t="str">
        <f>LEFT(Database!MOI2,3)</f>
        <v/>
      </c>
      <c r="MNQ2" t="str">
        <f>LEFT(Database!MOJ2,3)</f>
        <v/>
      </c>
      <c r="MNR2" t="str">
        <f>LEFT(Database!MOK2,3)</f>
        <v/>
      </c>
      <c r="MNS2" t="str">
        <f>LEFT(Database!MOL2,3)</f>
        <v/>
      </c>
      <c r="MNT2" t="str">
        <f>LEFT(Database!MOM2,3)</f>
        <v/>
      </c>
      <c r="MNU2" t="str">
        <f>LEFT(Database!MON2,3)</f>
        <v/>
      </c>
      <c r="MNV2" t="str">
        <f>LEFT(Database!MOO2,3)</f>
        <v/>
      </c>
      <c r="MNW2" t="str">
        <f>LEFT(Database!MOP2,3)</f>
        <v/>
      </c>
      <c r="MNX2" t="str">
        <f>LEFT(Database!MOQ2,3)</f>
        <v/>
      </c>
      <c r="MNY2" t="str">
        <f>LEFT(Database!MOR2,3)</f>
        <v/>
      </c>
      <c r="MNZ2" t="str">
        <f>LEFT(Database!MOS2,3)</f>
        <v/>
      </c>
      <c r="MOA2" t="str">
        <f>LEFT(Database!MOT2,3)</f>
        <v/>
      </c>
      <c r="MOB2" t="str">
        <f>LEFT(Database!MOU2,3)</f>
        <v/>
      </c>
      <c r="MOC2" t="str">
        <f>LEFT(Database!MOV2,3)</f>
        <v/>
      </c>
      <c r="MOD2" t="str">
        <f>LEFT(Database!MOW2,3)</f>
        <v/>
      </c>
      <c r="MOE2" t="str">
        <f>LEFT(Database!MOX2,3)</f>
        <v/>
      </c>
      <c r="MOF2" t="str">
        <f>LEFT(Database!MOY2,3)</f>
        <v/>
      </c>
      <c r="MOG2" t="str">
        <f>LEFT(Database!MOZ2,3)</f>
        <v/>
      </c>
      <c r="MOH2" t="str">
        <f>LEFT(Database!MPA2,3)</f>
        <v/>
      </c>
      <c r="MOI2" t="str">
        <f>LEFT(Database!MPB2,3)</f>
        <v/>
      </c>
      <c r="MOJ2" t="str">
        <f>LEFT(Database!MPC2,3)</f>
        <v/>
      </c>
      <c r="MOK2" t="str">
        <f>LEFT(Database!MPD2,3)</f>
        <v/>
      </c>
      <c r="MOL2" t="str">
        <f>LEFT(Database!MPE2,3)</f>
        <v/>
      </c>
      <c r="MOM2" t="str">
        <f>LEFT(Database!MPF2,3)</f>
        <v/>
      </c>
      <c r="MON2" t="str">
        <f>LEFT(Database!MPG2,3)</f>
        <v/>
      </c>
      <c r="MOO2" t="str">
        <f>LEFT(Database!MPH2,3)</f>
        <v/>
      </c>
      <c r="MOP2" t="str">
        <f>LEFT(Database!MPI2,3)</f>
        <v/>
      </c>
      <c r="MOQ2" t="str">
        <f>LEFT(Database!MPJ2,3)</f>
        <v/>
      </c>
      <c r="MOR2" t="str">
        <f>LEFT(Database!MPK2,3)</f>
        <v/>
      </c>
      <c r="MOS2" t="str">
        <f>LEFT(Database!MPL2,3)</f>
        <v/>
      </c>
      <c r="MOT2" t="str">
        <f>LEFT(Database!MPM2,3)</f>
        <v/>
      </c>
      <c r="MOU2" t="str">
        <f>LEFT(Database!MPN2,3)</f>
        <v/>
      </c>
      <c r="MOV2" t="str">
        <f>LEFT(Database!MPO2,3)</f>
        <v/>
      </c>
      <c r="MOW2" t="str">
        <f>LEFT(Database!MPP2,3)</f>
        <v/>
      </c>
      <c r="MOX2" t="str">
        <f>LEFT(Database!MPQ2,3)</f>
        <v/>
      </c>
      <c r="MOY2" t="str">
        <f>LEFT(Database!MPR2,3)</f>
        <v/>
      </c>
      <c r="MOZ2" t="str">
        <f>LEFT(Database!MPS2,3)</f>
        <v/>
      </c>
      <c r="MPA2" t="str">
        <f>LEFT(Database!MPT2,3)</f>
        <v/>
      </c>
      <c r="MPB2" t="str">
        <f>LEFT(Database!MPU2,3)</f>
        <v/>
      </c>
      <c r="MPC2" t="str">
        <f>LEFT(Database!MPV2,3)</f>
        <v/>
      </c>
      <c r="MPD2" t="str">
        <f>LEFT(Database!MPW2,3)</f>
        <v/>
      </c>
      <c r="MPE2" t="str">
        <f>LEFT(Database!MPX2,3)</f>
        <v/>
      </c>
      <c r="MPF2" t="str">
        <f>LEFT(Database!MPY2,3)</f>
        <v/>
      </c>
      <c r="MPG2" t="str">
        <f>LEFT(Database!MPZ2,3)</f>
        <v/>
      </c>
      <c r="MPH2" t="str">
        <f>LEFT(Database!MQA2,3)</f>
        <v/>
      </c>
      <c r="MPI2" t="str">
        <f>LEFT(Database!MQB2,3)</f>
        <v/>
      </c>
      <c r="MPJ2" t="str">
        <f>LEFT(Database!MQC2,3)</f>
        <v/>
      </c>
      <c r="MPK2" t="str">
        <f>LEFT(Database!MQD2,3)</f>
        <v/>
      </c>
      <c r="MPL2" t="str">
        <f>LEFT(Database!MQE2,3)</f>
        <v/>
      </c>
      <c r="MPM2" t="str">
        <f>LEFT(Database!MQF2,3)</f>
        <v/>
      </c>
      <c r="MPN2" t="str">
        <f>LEFT(Database!MQG2,3)</f>
        <v/>
      </c>
      <c r="MPO2" t="str">
        <f>LEFT(Database!MQH2,3)</f>
        <v/>
      </c>
      <c r="MPP2" t="str">
        <f>LEFT(Database!MQI2,3)</f>
        <v/>
      </c>
      <c r="MPQ2" t="str">
        <f>LEFT(Database!MQJ2,3)</f>
        <v/>
      </c>
      <c r="MPR2" t="str">
        <f>LEFT(Database!MQK2,3)</f>
        <v/>
      </c>
      <c r="MPS2" t="str">
        <f>LEFT(Database!MQL2,3)</f>
        <v/>
      </c>
      <c r="MPT2" t="str">
        <f>LEFT(Database!MQM2,3)</f>
        <v/>
      </c>
      <c r="MPU2" t="str">
        <f>LEFT(Database!MQN2,3)</f>
        <v/>
      </c>
      <c r="MPV2" t="str">
        <f>LEFT(Database!MQO2,3)</f>
        <v/>
      </c>
      <c r="MPW2" t="str">
        <f>LEFT(Database!MQP2,3)</f>
        <v/>
      </c>
      <c r="MPX2" t="str">
        <f>LEFT(Database!MQQ2,3)</f>
        <v/>
      </c>
      <c r="MPY2" t="str">
        <f>LEFT(Database!MQR2,3)</f>
        <v/>
      </c>
      <c r="MPZ2" t="str">
        <f>LEFT(Database!MQS2,3)</f>
        <v/>
      </c>
      <c r="MQA2" t="str">
        <f>LEFT(Database!MQT2,3)</f>
        <v/>
      </c>
      <c r="MQB2" t="str">
        <f>LEFT(Database!MQU2,3)</f>
        <v/>
      </c>
      <c r="MQC2" t="str">
        <f>LEFT(Database!MQV2,3)</f>
        <v/>
      </c>
      <c r="MQD2" t="str">
        <f>LEFT(Database!MQW2,3)</f>
        <v/>
      </c>
      <c r="MQE2" t="str">
        <f>LEFT(Database!MQX2,3)</f>
        <v/>
      </c>
      <c r="MQF2" t="str">
        <f>LEFT(Database!MQY2,3)</f>
        <v/>
      </c>
      <c r="MQG2" t="str">
        <f>LEFT(Database!MQZ2,3)</f>
        <v/>
      </c>
      <c r="MQH2" t="str">
        <f>LEFT(Database!MRA2,3)</f>
        <v/>
      </c>
      <c r="MQI2" t="str">
        <f>LEFT(Database!MRB2,3)</f>
        <v/>
      </c>
      <c r="MQJ2" t="str">
        <f>LEFT(Database!MRC2,3)</f>
        <v/>
      </c>
      <c r="MQK2" t="str">
        <f>LEFT(Database!MRD2,3)</f>
        <v/>
      </c>
      <c r="MQL2" t="str">
        <f>LEFT(Database!MRE2,3)</f>
        <v/>
      </c>
      <c r="MQM2" t="str">
        <f>LEFT(Database!MRF2,3)</f>
        <v/>
      </c>
      <c r="MQN2" t="str">
        <f>LEFT(Database!MRG2,3)</f>
        <v/>
      </c>
      <c r="MQO2" t="str">
        <f>LEFT(Database!MRH2,3)</f>
        <v/>
      </c>
      <c r="MQP2" t="str">
        <f>LEFT(Database!MRI2,3)</f>
        <v/>
      </c>
      <c r="MQQ2" t="str">
        <f>LEFT(Database!MRJ2,3)</f>
        <v/>
      </c>
      <c r="MQR2" t="str">
        <f>LEFT(Database!MRK2,3)</f>
        <v/>
      </c>
      <c r="MQS2" t="str">
        <f>LEFT(Database!MRL2,3)</f>
        <v/>
      </c>
      <c r="MQT2" t="str">
        <f>LEFT(Database!MRM2,3)</f>
        <v/>
      </c>
      <c r="MQU2" t="str">
        <f>LEFT(Database!MRN2,3)</f>
        <v/>
      </c>
      <c r="MQV2" t="str">
        <f>LEFT(Database!MRO2,3)</f>
        <v/>
      </c>
      <c r="MQW2" t="str">
        <f>LEFT(Database!MRP2,3)</f>
        <v/>
      </c>
      <c r="MQX2" t="str">
        <f>LEFT(Database!MRQ2,3)</f>
        <v/>
      </c>
      <c r="MQY2" t="str">
        <f>LEFT(Database!MRR2,3)</f>
        <v/>
      </c>
      <c r="MQZ2" t="str">
        <f>LEFT(Database!MRS2,3)</f>
        <v/>
      </c>
      <c r="MRA2" t="str">
        <f>LEFT(Database!MRT2,3)</f>
        <v/>
      </c>
      <c r="MRB2" t="str">
        <f>LEFT(Database!MRU2,3)</f>
        <v/>
      </c>
      <c r="MRC2" t="str">
        <f>LEFT(Database!MRV2,3)</f>
        <v/>
      </c>
      <c r="MRD2" t="str">
        <f>LEFT(Database!MRW2,3)</f>
        <v/>
      </c>
      <c r="MRE2" t="str">
        <f>LEFT(Database!MRX2,3)</f>
        <v/>
      </c>
      <c r="MRF2" t="str">
        <f>LEFT(Database!MRY2,3)</f>
        <v/>
      </c>
      <c r="MRG2" t="str">
        <f>LEFT(Database!MRZ2,3)</f>
        <v/>
      </c>
      <c r="MRH2" t="str">
        <f>LEFT(Database!MSA2,3)</f>
        <v/>
      </c>
      <c r="MRI2" t="str">
        <f>LEFT(Database!MSB2,3)</f>
        <v/>
      </c>
      <c r="MRJ2" t="str">
        <f>LEFT(Database!MSC2,3)</f>
        <v/>
      </c>
      <c r="MRK2" t="str">
        <f>LEFT(Database!MSD2,3)</f>
        <v/>
      </c>
      <c r="MRL2" t="str">
        <f>LEFT(Database!MSE2,3)</f>
        <v/>
      </c>
      <c r="MRM2" t="str">
        <f>LEFT(Database!MSF2,3)</f>
        <v/>
      </c>
      <c r="MRN2" t="str">
        <f>LEFT(Database!MSG2,3)</f>
        <v/>
      </c>
      <c r="MRO2" t="str">
        <f>LEFT(Database!MSH2,3)</f>
        <v/>
      </c>
      <c r="MRP2" t="str">
        <f>LEFT(Database!MSI2,3)</f>
        <v/>
      </c>
      <c r="MRQ2" t="str">
        <f>LEFT(Database!MSJ2,3)</f>
        <v/>
      </c>
      <c r="MRR2" t="str">
        <f>LEFT(Database!MSK2,3)</f>
        <v/>
      </c>
      <c r="MRS2" t="str">
        <f>LEFT(Database!MSL2,3)</f>
        <v/>
      </c>
      <c r="MRT2" t="str">
        <f>LEFT(Database!MSM2,3)</f>
        <v/>
      </c>
      <c r="MRU2" t="str">
        <f>LEFT(Database!MSN2,3)</f>
        <v/>
      </c>
      <c r="MRV2" t="str">
        <f>LEFT(Database!MSO2,3)</f>
        <v/>
      </c>
      <c r="MRW2" t="str">
        <f>LEFT(Database!MSP2,3)</f>
        <v/>
      </c>
      <c r="MRX2" t="str">
        <f>LEFT(Database!MSQ2,3)</f>
        <v/>
      </c>
      <c r="MRY2" t="str">
        <f>LEFT(Database!MSR2,3)</f>
        <v/>
      </c>
      <c r="MRZ2" t="str">
        <f>LEFT(Database!MSS2,3)</f>
        <v/>
      </c>
      <c r="MSA2" t="str">
        <f>LEFT(Database!MST2,3)</f>
        <v/>
      </c>
      <c r="MSB2" t="str">
        <f>LEFT(Database!MSU2,3)</f>
        <v/>
      </c>
      <c r="MSC2" t="str">
        <f>LEFT(Database!MSV2,3)</f>
        <v/>
      </c>
      <c r="MSD2" t="str">
        <f>LEFT(Database!MSW2,3)</f>
        <v/>
      </c>
      <c r="MSE2" t="str">
        <f>LEFT(Database!MSX2,3)</f>
        <v/>
      </c>
      <c r="MSF2" t="str">
        <f>LEFT(Database!MSY2,3)</f>
        <v/>
      </c>
      <c r="MSG2" t="str">
        <f>LEFT(Database!MSZ2,3)</f>
        <v/>
      </c>
      <c r="MSH2" t="str">
        <f>LEFT(Database!MTA2,3)</f>
        <v/>
      </c>
      <c r="MSI2" t="str">
        <f>LEFT(Database!MTB2,3)</f>
        <v/>
      </c>
      <c r="MSJ2" t="str">
        <f>LEFT(Database!MTC2,3)</f>
        <v/>
      </c>
      <c r="MSK2" t="str">
        <f>LEFT(Database!MTD2,3)</f>
        <v/>
      </c>
      <c r="MSL2" t="str">
        <f>LEFT(Database!MTE2,3)</f>
        <v/>
      </c>
      <c r="MSM2" t="str">
        <f>LEFT(Database!MTF2,3)</f>
        <v/>
      </c>
      <c r="MSN2" t="str">
        <f>LEFT(Database!MTG2,3)</f>
        <v/>
      </c>
      <c r="MSO2" t="str">
        <f>LEFT(Database!MTH2,3)</f>
        <v/>
      </c>
      <c r="MSP2" t="str">
        <f>LEFT(Database!MTI2,3)</f>
        <v/>
      </c>
      <c r="MSQ2" t="str">
        <f>LEFT(Database!MTJ2,3)</f>
        <v/>
      </c>
      <c r="MSR2" t="str">
        <f>LEFT(Database!MTK2,3)</f>
        <v/>
      </c>
      <c r="MSS2" t="str">
        <f>LEFT(Database!MTL2,3)</f>
        <v/>
      </c>
      <c r="MST2" t="str">
        <f>LEFT(Database!MTM2,3)</f>
        <v/>
      </c>
      <c r="MSU2" t="str">
        <f>LEFT(Database!MTN2,3)</f>
        <v/>
      </c>
      <c r="MSV2" t="str">
        <f>LEFT(Database!MTO2,3)</f>
        <v/>
      </c>
      <c r="MSW2" t="str">
        <f>LEFT(Database!MTP2,3)</f>
        <v/>
      </c>
      <c r="MSX2" t="str">
        <f>LEFT(Database!MTQ2,3)</f>
        <v/>
      </c>
      <c r="MSY2" t="str">
        <f>LEFT(Database!MTR2,3)</f>
        <v/>
      </c>
      <c r="MSZ2" t="str">
        <f>LEFT(Database!MTS2,3)</f>
        <v/>
      </c>
      <c r="MTA2" t="str">
        <f>LEFT(Database!MTT2,3)</f>
        <v/>
      </c>
      <c r="MTB2" t="str">
        <f>LEFT(Database!MTU2,3)</f>
        <v/>
      </c>
      <c r="MTC2" t="str">
        <f>LEFT(Database!MTV2,3)</f>
        <v/>
      </c>
      <c r="MTD2" t="str">
        <f>LEFT(Database!MTW2,3)</f>
        <v/>
      </c>
      <c r="MTE2" t="str">
        <f>LEFT(Database!MTX2,3)</f>
        <v/>
      </c>
      <c r="MTF2" t="str">
        <f>LEFT(Database!MTY2,3)</f>
        <v/>
      </c>
      <c r="MTG2" t="str">
        <f>LEFT(Database!MTZ2,3)</f>
        <v/>
      </c>
      <c r="MTH2" t="str">
        <f>LEFT(Database!MUA2,3)</f>
        <v/>
      </c>
      <c r="MTI2" t="str">
        <f>LEFT(Database!MUB2,3)</f>
        <v/>
      </c>
      <c r="MTJ2" t="str">
        <f>LEFT(Database!MUC2,3)</f>
        <v/>
      </c>
      <c r="MTK2" t="str">
        <f>LEFT(Database!MUD2,3)</f>
        <v/>
      </c>
      <c r="MTL2" t="str">
        <f>LEFT(Database!MUE2,3)</f>
        <v/>
      </c>
      <c r="MTM2" t="str">
        <f>LEFT(Database!MUF2,3)</f>
        <v/>
      </c>
      <c r="MTN2" t="str">
        <f>LEFT(Database!MUG2,3)</f>
        <v/>
      </c>
      <c r="MTO2" t="str">
        <f>LEFT(Database!MUH2,3)</f>
        <v/>
      </c>
      <c r="MTP2" t="str">
        <f>LEFT(Database!MUI2,3)</f>
        <v/>
      </c>
      <c r="MTQ2" t="str">
        <f>LEFT(Database!MUJ2,3)</f>
        <v/>
      </c>
      <c r="MTR2" t="str">
        <f>LEFT(Database!MUK2,3)</f>
        <v/>
      </c>
      <c r="MTS2" t="str">
        <f>LEFT(Database!MUL2,3)</f>
        <v/>
      </c>
      <c r="MTT2" t="str">
        <f>LEFT(Database!MUM2,3)</f>
        <v/>
      </c>
      <c r="MTU2" t="str">
        <f>LEFT(Database!MUN2,3)</f>
        <v/>
      </c>
      <c r="MTV2" t="str">
        <f>LEFT(Database!MUO2,3)</f>
        <v/>
      </c>
      <c r="MTW2" t="str">
        <f>LEFT(Database!MUP2,3)</f>
        <v/>
      </c>
      <c r="MTX2" t="str">
        <f>LEFT(Database!MUQ2,3)</f>
        <v/>
      </c>
      <c r="MTY2" t="str">
        <f>LEFT(Database!MUR2,3)</f>
        <v/>
      </c>
      <c r="MTZ2" t="str">
        <f>LEFT(Database!MUS2,3)</f>
        <v/>
      </c>
      <c r="MUA2" t="str">
        <f>LEFT(Database!MUT2,3)</f>
        <v/>
      </c>
      <c r="MUB2" t="str">
        <f>LEFT(Database!MUU2,3)</f>
        <v/>
      </c>
      <c r="MUC2" t="str">
        <f>LEFT(Database!MUV2,3)</f>
        <v/>
      </c>
      <c r="MUD2" t="str">
        <f>LEFT(Database!MUW2,3)</f>
        <v/>
      </c>
      <c r="MUE2" t="str">
        <f>LEFT(Database!MUX2,3)</f>
        <v/>
      </c>
      <c r="MUF2" t="str">
        <f>LEFT(Database!MUY2,3)</f>
        <v/>
      </c>
      <c r="MUG2" t="str">
        <f>LEFT(Database!MUZ2,3)</f>
        <v/>
      </c>
      <c r="MUH2" t="str">
        <f>LEFT(Database!MVA2,3)</f>
        <v/>
      </c>
      <c r="MUI2" t="str">
        <f>LEFT(Database!MVB2,3)</f>
        <v/>
      </c>
      <c r="MUJ2" t="str">
        <f>LEFT(Database!MVC2,3)</f>
        <v/>
      </c>
      <c r="MUK2" t="str">
        <f>LEFT(Database!MVD2,3)</f>
        <v/>
      </c>
      <c r="MUL2" t="str">
        <f>LEFT(Database!MVE2,3)</f>
        <v/>
      </c>
      <c r="MUM2" t="str">
        <f>LEFT(Database!MVF2,3)</f>
        <v/>
      </c>
      <c r="MUN2" t="str">
        <f>LEFT(Database!MVG2,3)</f>
        <v/>
      </c>
      <c r="MUO2" t="str">
        <f>LEFT(Database!MVH2,3)</f>
        <v/>
      </c>
      <c r="MUP2" t="str">
        <f>LEFT(Database!MVI2,3)</f>
        <v/>
      </c>
      <c r="MUQ2" t="str">
        <f>LEFT(Database!MVJ2,3)</f>
        <v/>
      </c>
      <c r="MUR2" t="str">
        <f>LEFT(Database!MVK2,3)</f>
        <v/>
      </c>
      <c r="MUS2" t="str">
        <f>LEFT(Database!MVL2,3)</f>
        <v/>
      </c>
      <c r="MUT2" t="str">
        <f>LEFT(Database!MVM2,3)</f>
        <v/>
      </c>
      <c r="MUU2" t="str">
        <f>LEFT(Database!MVN2,3)</f>
        <v/>
      </c>
      <c r="MUV2" t="str">
        <f>LEFT(Database!MVO2,3)</f>
        <v/>
      </c>
      <c r="MUW2" t="str">
        <f>LEFT(Database!MVP2,3)</f>
        <v/>
      </c>
      <c r="MUX2" t="str">
        <f>LEFT(Database!MVQ2,3)</f>
        <v/>
      </c>
      <c r="MUY2" t="str">
        <f>LEFT(Database!MVR2,3)</f>
        <v/>
      </c>
      <c r="MUZ2" t="str">
        <f>LEFT(Database!MVS2,3)</f>
        <v/>
      </c>
      <c r="MVA2" t="str">
        <f>LEFT(Database!MVT2,3)</f>
        <v/>
      </c>
      <c r="MVB2" t="str">
        <f>LEFT(Database!MVU2,3)</f>
        <v/>
      </c>
      <c r="MVC2" t="str">
        <f>LEFT(Database!MVV2,3)</f>
        <v/>
      </c>
      <c r="MVD2" t="str">
        <f>LEFT(Database!MVW2,3)</f>
        <v/>
      </c>
      <c r="MVE2" t="str">
        <f>LEFT(Database!MVX2,3)</f>
        <v/>
      </c>
      <c r="MVF2" t="str">
        <f>LEFT(Database!MVY2,3)</f>
        <v/>
      </c>
      <c r="MVG2" t="str">
        <f>LEFT(Database!MVZ2,3)</f>
        <v/>
      </c>
      <c r="MVH2" t="str">
        <f>LEFT(Database!MWA2,3)</f>
        <v/>
      </c>
      <c r="MVI2" t="str">
        <f>LEFT(Database!MWB2,3)</f>
        <v/>
      </c>
      <c r="MVJ2" t="str">
        <f>LEFT(Database!MWC2,3)</f>
        <v/>
      </c>
      <c r="MVK2" t="str">
        <f>LEFT(Database!MWD2,3)</f>
        <v/>
      </c>
      <c r="MVL2" t="str">
        <f>LEFT(Database!MWE2,3)</f>
        <v/>
      </c>
      <c r="MVM2" t="str">
        <f>LEFT(Database!MWF2,3)</f>
        <v/>
      </c>
      <c r="MVN2" t="str">
        <f>LEFT(Database!MWG2,3)</f>
        <v/>
      </c>
      <c r="MVO2" t="str">
        <f>LEFT(Database!MWH2,3)</f>
        <v/>
      </c>
      <c r="MVP2" t="str">
        <f>LEFT(Database!MWI2,3)</f>
        <v/>
      </c>
      <c r="MVQ2" t="str">
        <f>LEFT(Database!MWJ2,3)</f>
        <v/>
      </c>
      <c r="MVR2" t="str">
        <f>LEFT(Database!MWK2,3)</f>
        <v/>
      </c>
      <c r="MVS2" t="str">
        <f>LEFT(Database!MWL2,3)</f>
        <v/>
      </c>
      <c r="MVT2" t="str">
        <f>LEFT(Database!MWM2,3)</f>
        <v/>
      </c>
      <c r="MVU2" t="str">
        <f>LEFT(Database!MWN2,3)</f>
        <v/>
      </c>
      <c r="MVV2" t="str">
        <f>LEFT(Database!MWO2,3)</f>
        <v/>
      </c>
      <c r="MVW2" t="str">
        <f>LEFT(Database!MWP2,3)</f>
        <v/>
      </c>
      <c r="MVX2" t="str">
        <f>LEFT(Database!MWQ2,3)</f>
        <v/>
      </c>
      <c r="MVY2" t="str">
        <f>LEFT(Database!MWR2,3)</f>
        <v/>
      </c>
      <c r="MVZ2" t="str">
        <f>LEFT(Database!MWS2,3)</f>
        <v/>
      </c>
      <c r="MWA2" t="str">
        <f>LEFT(Database!MWT2,3)</f>
        <v/>
      </c>
      <c r="MWB2" t="str">
        <f>LEFT(Database!MWU2,3)</f>
        <v/>
      </c>
      <c r="MWC2" t="str">
        <f>LEFT(Database!MWV2,3)</f>
        <v/>
      </c>
      <c r="MWD2" t="str">
        <f>LEFT(Database!MWW2,3)</f>
        <v/>
      </c>
      <c r="MWE2" t="str">
        <f>LEFT(Database!MWX2,3)</f>
        <v/>
      </c>
      <c r="MWF2" t="str">
        <f>LEFT(Database!MWY2,3)</f>
        <v/>
      </c>
      <c r="MWG2" t="str">
        <f>LEFT(Database!MWZ2,3)</f>
        <v/>
      </c>
      <c r="MWH2" t="str">
        <f>LEFT(Database!MXA2,3)</f>
        <v/>
      </c>
      <c r="MWI2" t="str">
        <f>LEFT(Database!MXB2,3)</f>
        <v/>
      </c>
      <c r="MWJ2" t="str">
        <f>LEFT(Database!MXC2,3)</f>
        <v/>
      </c>
      <c r="MWK2" t="str">
        <f>LEFT(Database!MXD2,3)</f>
        <v/>
      </c>
      <c r="MWL2" t="str">
        <f>LEFT(Database!MXE2,3)</f>
        <v/>
      </c>
      <c r="MWM2" t="str">
        <f>LEFT(Database!MXF2,3)</f>
        <v/>
      </c>
      <c r="MWN2" t="str">
        <f>LEFT(Database!MXG2,3)</f>
        <v/>
      </c>
      <c r="MWO2" t="str">
        <f>LEFT(Database!MXH2,3)</f>
        <v/>
      </c>
      <c r="MWP2" t="str">
        <f>LEFT(Database!MXI2,3)</f>
        <v/>
      </c>
      <c r="MWQ2" t="str">
        <f>LEFT(Database!MXJ2,3)</f>
        <v/>
      </c>
      <c r="MWR2" t="str">
        <f>LEFT(Database!MXK2,3)</f>
        <v/>
      </c>
      <c r="MWS2" t="str">
        <f>LEFT(Database!MXL2,3)</f>
        <v/>
      </c>
      <c r="MWT2" t="str">
        <f>LEFT(Database!MXM2,3)</f>
        <v/>
      </c>
      <c r="MWU2" t="str">
        <f>LEFT(Database!MXN2,3)</f>
        <v/>
      </c>
      <c r="MWV2" t="str">
        <f>LEFT(Database!MXO2,3)</f>
        <v/>
      </c>
      <c r="MWW2" t="str">
        <f>LEFT(Database!MXP2,3)</f>
        <v/>
      </c>
      <c r="MWX2" t="str">
        <f>LEFT(Database!MXQ2,3)</f>
        <v/>
      </c>
      <c r="MWY2" t="str">
        <f>LEFT(Database!MXR2,3)</f>
        <v/>
      </c>
      <c r="MWZ2" t="str">
        <f>LEFT(Database!MXS2,3)</f>
        <v/>
      </c>
      <c r="MXA2" t="str">
        <f>LEFT(Database!MXT2,3)</f>
        <v/>
      </c>
      <c r="MXB2" t="str">
        <f>LEFT(Database!MXU2,3)</f>
        <v/>
      </c>
      <c r="MXC2" t="str">
        <f>LEFT(Database!MXV2,3)</f>
        <v/>
      </c>
      <c r="MXD2" t="str">
        <f>LEFT(Database!MXW2,3)</f>
        <v/>
      </c>
      <c r="MXE2" t="str">
        <f>LEFT(Database!MXX2,3)</f>
        <v/>
      </c>
      <c r="MXF2" t="str">
        <f>LEFT(Database!MXY2,3)</f>
        <v/>
      </c>
      <c r="MXG2" t="str">
        <f>LEFT(Database!MXZ2,3)</f>
        <v/>
      </c>
      <c r="MXH2" t="str">
        <f>LEFT(Database!MYA2,3)</f>
        <v/>
      </c>
      <c r="MXI2" t="str">
        <f>LEFT(Database!MYB2,3)</f>
        <v/>
      </c>
      <c r="MXJ2" t="str">
        <f>LEFT(Database!MYC2,3)</f>
        <v/>
      </c>
      <c r="MXK2" t="str">
        <f>LEFT(Database!MYD2,3)</f>
        <v/>
      </c>
      <c r="MXL2" t="str">
        <f>LEFT(Database!MYE2,3)</f>
        <v/>
      </c>
      <c r="MXM2" t="str">
        <f>LEFT(Database!MYF2,3)</f>
        <v/>
      </c>
      <c r="MXN2" t="str">
        <f>LEFT(Database!MYG2,3)</f>
        <v/>
      </c>
      <c r="MXO2" t="str">
        <f>LEFT(Database!MYH2,3)</f>
        <v/>
      </c>
      <c r="MXP2" t="str">
        <f>LEFT(Database!MYI2,3)</f>
        <v/>
      </c>
      <c r="MXQ2" t="str">
        <f>LEFT(Database!MYJ2,3)</f>
        <v/>
      </c>
      <c r="MXR2" t="str">
        <f>LEFT(Database!MYK2,3)</f>
        <v/>
      </c>
      <c r="MXS2" t="str">
        <f>LEFT(Database!MYL2,3)</f>
        <v/>
      </c>
      <c r="MXT2" t="str">
        <f>LEFT(Database!MYM2,3)</f>
        <v/>
      </c>
      <c r="MXU2" t="str">
        <f>LEFT(Database!MYN2,3)</f>
        <v/>
      </c>
      <c r="MXV2" t="str">
        <f>LEFT(Database!MYO2,3)</f>
        <v/>
      </c>
      <c r="MXW2" t="str">
        <f>LEFT(Database!MYP2,3)</f>
        <v/>
      </c>
      <c r="MXX2" t="str">
        <f>LEFT(Database!MYQ2,3)</f>
        <v/>
      </c>
      <c r="MXY2" t="str">
        <f>LEFT(Database!MYR2,3)</f>
        <v/>
      </c>
      <c r="MXZ2" t="str">
        <f>LEFT(Database!MYS2,3)</f>
        <v/>
      </c>
      <c r="MYA2" t="str">
        <f>LEFT(Database!MYT2,3)</f>
        <v/>
      </c>
      <c r="MYB2" t="str">
        <f>LEFT(Database!MYU2,3)</f>
        <v/>
      </c>
      <c r="MYC2" t="str">
        <f>LEFT(Database!MYV2,3)</f>
        <v/>
      </c>
      <c r="MYD2" t="str">
        <f>LEFT(Database!MYW2,3)</f>
        <v/>
      </c>
      <c r="MYE2" t="str">
        <f>LEFT(Database!MYX2,3)</f>
        <v/>
      </c>
      <c r="MYF2" t="str">
        <f>LEFT(Database!MYY2,3)</f>
        <v/>
      </c>
      <c r="MYG2" t="str">
        <f>LEFT(Database!MYZ2,3)</f>
        <v/>
      </c>
      <c r="MYH2" t="str">
        <f>LEFT(Database!MZA2,3)</f>
        <v/>
      </c>
      <c r="MYI2" t="str">
        <f>LEFT(Database!MZB2,3)</f>
        <v/>
      </c>
      <c r="MYJ2" t="str">
        <f>LEFT(Database!MZC2,3)</f>
        <v/>
      </c>
      <c r="MYK2" t="str">
        <f>LEFT(Database!MZD2,3)</f>
        <v/>
      </c>
      <c r="MYL2" t="str">
        <f>LEFT(Database!MZE2,3)</f>
        <v/>
      </c>
      <c r="MYM2" t="str">
        <f>LEFT(Database!MZF2,3)</f>
        <v/>
      </c>
      <c r="MYN2" t="str">
        <f>LEFT(Database!MZG2,3)</f>
        <v/>
      </c>
      <c r="MYO2" t="str">
        <f>LEFT(Database!MZH2,3)</f>
        <v/>
      </c>
      <c r="MYP2" t="str">
        <f>LEFT(Database!MZI2,3)</f>
        <v/>
      </c>
      <c r="MYQ2" t="str">
        <f>LEFT(Database!MZJ2,3)</f>
        <v/>
      </c>
      <c r="MYR2" t="str">
        <f>LEFT(Database!MZK2,3)</f>
        <v/>
      </c>
      <c r="MYS2" t="str">
        <f>LEFT(Database!MZL2,3)</f>
        <v/>
      </c>
      <c r="MYT2" t="str">
        <f>LEFT(Database!MZM2,3)</f>
        <v/>
      </c>
      <c r="MYU2" t="str">
        <f>LEFT(Database!MZN2,3)</f>
        <v/>
      </c>
      <c r="MYV2" t="str">
        <f>LEFT(Database!MZO2,3)</f>
        <v/>
      </c>
      <c r="MYW2" t="str">
        <f>LEFT(Database!MZP2,3)</f>
        <v/>
      </c>
      <c r="MYX2" t="str">
        <f>LEFT(Database!MZQ2,3)</f>
        <v/>
      </c>
      <c r="MYY2" t="str">
        <f>LEFT(Database!MZR2,3)</f>
        <v/>
      </c>
      <c r="MYZ2" t="str">
        <f>LEFT(Database!MZS2,3)</f>
        <v/>
      </c>
      <c r="MZA2" t="str">
        <f>LEFT(Database!MZT2,3)</f>
        <v/>
      </c>
      <c r="MZB2" t="str">
        <f>LEFT(Database!MZU2,3)</f>
        <v/>
      </c>
      <c r="MZC2" t="str">
        <f>LEFT(Database!MZV2,3)</f>
        <v/>
      </c>
      <c r="MZD2" t="str">
        <f>LEFT(Database!MZW2,3)</f>
        <v/>
      </c>
      <c r="MZE2" t="str">
        <f>LEFT(Database!MZX2,3)</f>
        <v/>
      </c>
      <c r="MZF2" t="str">
        <f>LEFT(Database!MZY2,3)</f>
        <v/>
      </c>
      <c r="MZG2" t="str">
        <f>LEFT(Database!MZZ2,3)</f>
        <v/>
      </c>
      <c r="MZH2" t="str">
        <f>LEFT(Database!NAA2,3)</f>
        <v/>
      </c>
      <c r="MZI2" t="str">
        <f>LEFT(Database!NAB2,3)</f>
        <v/>
      </c>
      <c r="MZJ2" t="str">
        <f>LEFT(Database!NAC2,3)</f>
        <v/>
      </c>
      <c r="MZK2" t="str">
        <f>LEFT(Database!NAD2,3)</f>
        <v/>
      </c>
      <c r="MZL2" t="str">
        <f>LEFT(Database!NAE2,3)</f>
        <v/>
      </c>
      <c r="MZM2" t="str">
        <f>LEFT(Database!NAF2,3)</f>
        <v/>
      </c>
      <c r="MZN2" t="str">
        <f>LEFT(Database!NAG2,3)</f>
        <v/>
      </c>
      <c r="MZO2" t="str">
        <f>LEFT(Database!NAH2,3)</f>
        <v/>
      </c>
      <c r="MZP2" t="str">
        <f>LEFT(Database!NAI2,3)</f>
        <v/>
      </c>
      <c r="MZQ2" t="str">
        <f>LEFT(Database!NAJ2,3)</f>
        <v/>
      </c>
      <c r="MZR2" t="str">
        <f>LEFT(Database!NAK2,3)</f>
        <v/>
      </c>
      <c r="MZS2" t="str">
        <f>LEFT(Database!NAL2,3)</f>
        <v/>
      </c>
      <c r="MZT2" t="str">
        <f>LEFT(Database!NAM2,3)</f>
        <v/>
      </c>
      <c r="MZU2" t="str">
        <f>LEFT(Database!NAN2,3)</f>
        <v/>
      </c>
      <c r="MZV2" t="str">
        <f>LEFT(Database!NAO2,3)</f>
        <v/>
      </c>
      <c r="MZW2" t="str">
        <f>LEFT(Database!NAP2,3)</f>
        <v/>
      </c>
      <c r="MZX2" t="str">
        <f>LEFT(Database!NAQ2,3)</f>
        <v/>
      </c>
      <c r="MZY2" t="str">
        <f>LEFT(Database!NAR2,3)</f>
        <v/>
      </c>
      <c r="MZZ2" t="str">
        <f>LEFT(Database!NAS2,3)</f>
        <v/>
      </c>
      <c r="NAA2" t="str">
        <f>LEFT(Database!NAT2,3)</f>
        <v/>
      </c>
      <c r="NAB2" t="str">
        <f>LEFT(Database!NAU2,3)</f>
        <v/>
      </c>
      <c r="NAC2" t="str">
        <f>LEFT(Database!NAV2,3)</f>
        <v/>
      </c>
      <c r="NAD2" t="str">
        <f>LEFT(Database!NAW2,3)</f>
        <v/>
      </c>
      <c r="NAE2" t="str">
        <f>LEFT(Database!NAX2,3)</f>
        <v/>
      </c>
      <c r="NAF2" t="str">
        <f>LEFT(Database!NAY2,3)</f>
        <v/>
      </c>
      <c r="NAG2" t="str">
        <f>LEFT(Database!NAZ2,3)</f>
        <v/>
      </c>
      <c r="NAH2" t="str">
        <f>LEFT(Database!NBA2,3)</f>
        <v/>
      </c>
      <c r="NAI2" t="str">
        <f>LEFT(Database!NBB2,3)</f>
        <v/>
      </c>
      <c r="NAJ2" t="str">
        <f>LEFT(Database!NBC2,3)</f>
        <v/>
      </c>
      <c r="NAK2" t="str">
        <f>LEFT(Database!NBD2,3)</f>
        <v/>
      </c>
      <c r="NAL2" t="str">
        <f>LEFT(Database!NBE2,3)</f>
        <v/>
      </c>
      <c r="NAM2" t="str">
        <f>LEFT(Database!NBF2,3)</f>
        <v/>
      </c>
      <c r="NAN2" t="str">
        <f>LEFT(Database!NBG2,3)</f>
        <v/>
      </c>
      <c r="NAO2" t="str">
        <f>LEFT(Database!NBH2,3)</f>
        <v/>
      </c>
      <c r="NAP2" t="str">
        <f>LEFT(Database!NBI2,3)</f>
        <v/>
      </c>
      <c r="NAQ2" t="str">
        <f>LEFT(Database!NBJ2,3)</f>
        <v/>
      </c>
      <c r="NAR2" t="str">
        <f>LEFT(Database!NBK2,3)</f>
        <v/>
      </c>
      <c r="NAS2" t="str">
        <f>LEFT(Database!NBL2,3)</f>
        <v/>
      </c>
      <c r="NAT2" t="str">
        <f>LEFT(Database!NBM2,3)</f>
        <v/>
      </c>
      <c r="NAU2" t="str">
        <f>LEFT(Database!NBN2,3)</f>
        <v/>
      </c>
      <c r="NAV2" t="str">
        <f>LEFT(Database!NBO2,3)</f>
        <v/>
      </c>
      <c r="NAW2" t="str">
        <f>LEFT(Database!NBP2,3)</f>
        <v/>
      </c>
      <c r="NAX2" t="str">
        <f>LEFT(Database!NBQ2,3)</f>
        <v/>
      </c>
      <c r="NAY2" t="str">
        <f>LEFT(Database!NBR2,3)</f>
        <v/>
      </c>
      <c r="NAZ2" t="str">
        <f>LEFT(Database!NBS2,3)</f>
        <v/>
      </c>
      <c r="NBA2" t="str">
        <f>LEFT(Database!NBT2,3)</f>
        <v/>
      </c>
      <c r="NBB2" t="str">
        <f>LEFT(Database!NBU2,3)</f>
        <v/>
      </c>
      <c r="NBC2" t="str">
        <f>LEFT(Database!NBV2,3)</f>
        <v/>
      </c>
      <c r="NBD2" t="str">
        <f>LEFT(Database!NBW2,3)</f>
        <v/>
      </c>
      <c r="NBE2" t="str">
        <f>LEFT(Database!NBX2,3)</f>
        <v/>
      </c>
      <c r="NBF2" t="str">
        <f>LEFT(Database!NBY2,3)</f>
        <v/>
      </c>
      <c r="NBG2" t="str">
        <f>LEFT(Database!NBZ2,3)</f>
        <v/>
      </c>
      <c r="NBH2" t="str">
        <f>LEFT(Database!NCA2,3)</f>
        <v/>
      </c>
      <c r="NBI2" t="str">
        <f>LEFT(Database!NCB2,3)</f>
        <v/>
      </c>
      <c r="NBJ2" t="str">
        <f>LEFT(Database!NCC2,3)</f>
        <v/>
      </c>
      <c r="NBK2" t="str">
        <f>LEFT(Database!NCD2,3)</f>
        <v/>
      </c>
      <c r="NBL2" t="str">
        <f>LEFT(Database!NCE2,3)</f>
        <v/>
      </c>
      <c r="NBM2" t="str">
        <f>LEFT(Database!NCF2,3)</f>
        <v/>
      </c>
      <c r="NBN2" t="str">
        <f>LEFT(Database!NCG2,3)</f>
        <v/>
      </c>
      <c r="NBO2" t="str">
        <f>LEFT(Database!NCH2,3)</f>
        <v/>
      </c>
      <c r="NBP2" t="str">
        <f>LEFT(Database!NCI2,3)</f>
        <v/>
      </c>
      <c r="NBQ2" t="str">
        <f>LEFT(Database!NCJ2,3)</f>
        <v/>
      </c>
      <c r="NBR2" t="str">
        <f>LEFT(Database!NCK2,3)</f>
        <v/>
      </c>
      <c r="NBS2" t="str">
        <f>LEFT(Database!NCL2,3)</f>
        <v/>
      </c>
      <c r="NBT2" t="str">
        <f>LEFT(Database!NCM2,3)</f>
        <v/>
      </c>
      <c r="NBU2" t="str">
        <f>LEFT(Database!NCN2,3)</f>
        <v/>
      </c>
      <c r="NBV2" t="str">
        <f>LEFT(Database!NCO2,3)</f>
        <v/>
      </c>
      <c r="NBW2" t="str">
        <f>LEFT(Database!NCP2,3)</f>
        <v/>
      </c>
      <c r="NBX2" t="str">
        <f>LEFT(Database!NCQ2,3)</f>
        <v/>
      </c>
      <c r="NBY2" t="str">
        <f>LEFT(Database!NCR2,3)</f>
        <v/>
      </c>
      <c r="NBZ2" t="str">
        <f>LEFT(Database!NCS2,3)</f>
        <v/>
      </c>
      <c r="NCA2" t="str">
        <f>LEFT(Database!NCT2,3)</f>
        <v/>
      </c>
      <c r="NCB2" t="str">
        <f>LEFT(Database!NCU2,3)</f>
        <v/>
      </c>
      <c r="NCC2" t="str">
        <f>LEFT(Database!NCV2,3)</f>
        <v/>
      </c>
      <c r="NCD2" t="str">
        <f>LEFT(Database!NCW2,3)</f>
        <v/>
      </c>
      <c r="NCE2" t="str">
        <f>LEFT(Database!NCX2,3)</f>
        <v/>
      </c>
      <c r="NCF2" t="str">
        <f>LEFT(Database!NCY2,3)</f>
        <v/>
      </c>
      <c r="NCG2" t="str">
        <f>LEFT(Database!NCZ2,3)</f>
        <v/>
      </c>
      <c r="NCH2" t="str">
        <f>LEFT(Database!NDA2,3)</f>
        <v/>
      </c>
      <c r="NCI2" t="str">
        <f>LEFT(Database!NDB2,3)</f>
        <v/>
      </c>
      <c r="NCJ2" t="str">
        <f>LEFT(Database!NDC2,3)</f>
        <v/>
      </c>
      <c r="NCK2" t="str">
        <f>LEFT(Database!NDD2,3)</f>
        <v/>
      </c>
      <c r="NCL2" t="str">
        <f>LEFT(Database!NDE2,3)</f>
        <v/>
      </c>
      <c r="NCM2" t="str">
        <f>LEFT(Database!NDF2,3)</f>
        <v/>
      </c>
      <c r="NCN2" t="str">
        <f>LEFT(Database!NDG2,3)</f>
        <v/>
      </c>
      <c r="NCO2" t="str">
        <f>LEFT(Database!NDH2,3)</f>
        <v/>
      </c>
      <c r="NCP2" t="str">
        <f>LEFT(Database!NDI2,3)</f>
        <v/>
      </c>
      <c r="NCQ2" t="str">
        <f>LEFT(Database!NDJ2,3)</f>
        <v/>
      </c>
      <c r="NCR2" t="str">
        <f>LEFT(Database!NDK2,3)</f>
        <v/>
      </c>
      <c r="NCS2" t="str">
        <f>LEFT(Database!NDL2,3)</f>
        <v/>
      </c>
      <c r="NCT2" t="str">
        <f>LEFT(Database!NDM2,3)</f>
        <v/>
      </c>
      <c r="NCU2" t="str">
        <f>LEFT(Database!NDN2,3)</f>
        <v/>
      </c>
      <c r="NCV2" t="str">
        <f>LEFT(Database!NDO2,3)</f>
        <v/>
      </c>
      <c r="NCW2" t="str">
        <f>LEFT(Database!NDP2,3)</f>
        <v/>
      </c>
      <c r="NCX2" t="str">
        <f>LEFT(Database!NDQ2,3)</f>
        <v/>
      </c>
      <c r="NCY2" t="str">
        <f>LEFT(Database!NDR2,3)</f>
        <v/>
      </c>
      <c r="NCZ2" t="str">
        <f>LEFT(Database!NDS2,3)</f>
        <v/>
      </c>
      <c r="NDA2" t="str">
        <f>LEFT(Database!NDT2,3)</f>
        <v/>
      </c>
      <c r="NDB2" t="str">
        <f>LEFT(Database!NDU2,3)</f>
        <v/>
      </c>
      <c r="NDC2" t="str">
        <f>LEFT(Database!NDV2,3)</f>
        <v/>
      </c>
      <c r="NDD2" t="str">
        <f>LEFT(Database!NDW2,3)</f>
        <v/>
      </c>
      <c r="NDE2" t="str">
        <f>LEFT(Database!NDX2,3)</f>
        <v/>
      </c>
      <c r="NDF2" t="str">
        <f>LEFT(Database!NDY2,3)</f>
        <v/>
      </c>
      <c r="NDG2" t="str">
        <f>LEFT(Database!NDZ2,3)</f>
        <v/>
      </c>
      <c r="NDH2" t="str">
        <f>LEFT(Database!NEA2,3)</f>
        <v/>
      </c>
      <c r="NDI2" t="str">
        <f>LEFT(Database!NEB2,3)</f>
        <v/>
      </c>
      <c r="NDJ2" t="str">
        <f>LEFT(Database!NEC2,3)</f>
        <v/>
      </c>
      <c r="NDK2" t="str">
        <f>LEFT(Database!NED2,3)</f>
        <v/>
      </c>
      <c r="NDL2" t="str">
        <f>LEFT(Database!NEE2,3)</f>
        <v/>
      </c>
      <c r="NDM2" t="str">
        <f>LEFT(Database!NEF2,3)</f>
        <v/>
      </c>
      <c r="NDN2" t="str">
        <f>LEFT(Database!NEG2,3)</f>
        <v/>
      </c>
      <c r="NDO2" t="str">
        <f>LEFT(Database!NEH2,3)</f>
        <v/>
      </c>
      <c r="NDP2" t="str">
        <f>LEFT(Database!NEI2,3)</f>
        <v/>
      </c>
      <c r="NDQ2" t="str">
        <f>LEFT(Database!NEJ2,3)</f>
        <v/>
      </c>
      <c r="NDR2" t="str">
        <f>LEFT(Database!NEK2,3)</f>
        <v/>
      </c>
      <c r="NDS2" t="str">
        <f>LEFT(Database!NEL2,3)</f>
        <v/>
      </c>
      <c r="NDT2" t="str">
        <f>LEFT(Database!NEM2,3)</f>
        <v/>
      </c>
      <c r="NDU2" t="str">
        <f>LEFT(Database!NEN2,3)</f>
        <v/>
      </c>
      <c r="NDV2" t="str">
        <f>LEFT(Database!NEO2,3)</f>
        <v/>
      </c>
      <c r="NDW2" t="str">
        <f>LEFT(Database!NEP2,3)</f>
        <v/>
      </c>
      <c r="NDX2" t="str">
        <f>LEFT(Database!NEQ2,3)</f>
        <v/>
      </c>
      <c r="NDY2" t="str">
        <f>LEFT(Database!NER2,3)</f>
        <v/>
      </c>
      <c r="NDZ2" t="str">
        <f>LEFT(Database!NES2,3)</f>
        <v/>
      </c>
      <c r="NEA2" t="str">
        <f>LEFT(Database!NET2,3)</f>
        <v/>
      </c>
      <c r="NEB2" t="str">
        <f>LEFT(Database!NEU2,3)</f>
        <v/>
      </c>
      <c r="NEC2" t="str">
        <f>LEFT(Database!NEV2,3)</f>
        <v/>
      </c>
      <c r="NED2" t="str">
        <f>LEFT(Database!NEW2,3)</f>
        <v/>
      </c>
      <c r="NEE2" t="str">
        <f>LEFT(Database!NEX2,3)</f>
        <v/>
      </c>
      <c r="NEF2" t="str">
        <f>LEFT(Database!NEY2,3)</f>
        <v/>
      </c>
      <c r="NEG2" t="str">
        <f>LEFT(Database!NEZ2,3)</f>
        <v/>
      </c>
      <c r="NEH2" t="str">
        <f>LEFT(Database!NFA2,3)</f>
        <v/>
      </c>
      <c r="NEI2" t="str">
        <f>LEFT(Database!NFB2,3)</f>
        <v/>
      </c>
      <c r="NEJ2" t="str">
        <f>LEFT(Database!NFC2,3)</f>
        <v/>
      </c>
      <c r="NEK2" t="str">
        <f>LEFT(Database!NFD2,3)</f>
        <v/>
      </c>
      <c r="NEL2" t="str">
        <f>LEFT(Database!NFE2,3)</f>
        <v/>
      </c>
      <c r="NEM2" t="str">
        <f>LEFT(Database!NFF2,3)</f>
        <v/>
      </c>
      <c r="NEN2" t="str">
        <f>LEFT(Database!NFG2,3)</f>
        <v/>
      </c>
      <c r="NEO2" t="str">
        <f>LEFT(Database!NFH2,3)</f>
        <v/>
      </c>
      <c r="NEP2" t="str">
        <f>LEFT(Database!NFI2,3)</f>
        <v/>
      </c>
      <c r="NEQ2" t="str">
        <f>LEFT(Database!NFJ2,3)</f>
        <v/>
      </c>
      <c r="NER2" t="str">
        <f>LEFT(Database!NFK2,3)</f>
        <v/>
      </c>
      <c r="NES2" t="str">
        <f>LEFT(Database!NFL2,3)</f>
        <v/>
      </c>
      <c r="NET2" t="str">
        <f>LEFT(Database!NFM2,3)</f>
        <v/>
      </c>
      <c r="NEU2" t="str">
        <f>LEFT(Database!NFN2,3)</f>
        <v/>
      </c>
      <c r="NEV2" t="str">
        <f>LEFT(Database!NFO2,3)</f>
        <v/>
      </c>
      <c r="NEW2" t="str">
        <f>LEFT(Database!NFP2,3)</f>
        <v/>
      </c>
      <c r="NEX2" t="str">
        <f>LEFT(Database!NFQ2,3)</f>
        <v/>
      </c>
      <c r="NEY2" t="str">
        <f>LEFT(Database!NFR2,3)</f>
        <v/>
      </c>
      <c r="NEZ2" t="str">
        <f>LEFT(Database!NFS2,3)</f>
        <v/>
      </c>
      <c r="NFA2" t="str">
        <f>LEFT(Database!NFT2,3)</f>
        <v/>
      </c>
      <c r="NFB2" t="str">
        <f>LEFT(Database!NFU2,3)</f>
        <v/>
      </c>
      <c r="NFC2" t="str">
        <f>LEFT(Database!NFV2,3)</f>
        <v/>
      </c>
      <c r="NFD2" t="str">
        <f>LEFT(Database!NFW2,3)</f>
        <v/>
      </c>
      <c r="NFE2" t="str">
        <f>LEFT(Database!NFX2,3)</f>
        <v/>
      </c>
      <c r="NFF2" t="str">
        <f>LEFT(Database!NFY2,3)</f>
        <v/>
      </c>
      <c r="NFG2" t="str">
        <f>LEFT(Database!NFZ2,3)</f>
        <v/>
      </c>
      <c r="NFH2" t="str">
        <f>LEFT(Database!NGA2,3)</f>
        <v/>
      </c>
      <c r="NFI2" t="str">
        <f>LEFT(Database!NGB2,3)</f>
        <v/>
      </c>
      <c r="NFJ2" t="str">
        <f>LEFT(Database!NGC2,3)</f>
        <v/>
      </c>
      <c r="NFK2" t="str">
        <f>LEFT(Database!NGD2,3)</f>
        <v/>
      </c>
      <c r="NFL2" t="str">
        <f>LEFT(Database!NGE2,3)</f>
        <v/>
      </c>
      <c r="NFM2" t="str">
        <f>LEFT(Database!NGF2,3)</f>
        <v/>
      </c>
      <c r="NFN2" t="str">
        <f>LEFT(Database!NGG2,3)</f>
        <v/>
      </c>
      <c r="NFO2" t="str">
        <f>LEFT(Database!NGH2,3)</f>
        <v/>
      </c>
      <c r="NFP2" t="str">
        <f>LEFT(Database!NGI2,3)</f>
        <v/>
      </c>
      <c r="NFQ2" t="str">
        <f>LEFT(Database!NGJ2,3)</f>
        <v/>
      </c>
      <c r="NFR2" t="str">
        <f>LEFT(Database!NGK2,3)</f>
        <v/>
      </c>
      <c r="NFS2" t="str">
        <f>LEFT(Database!NGL2,3)</f>
        <v/>
      </c>
      <c r="NFT2" t="str">
        <f>LEFT(Database!NGM2,3)</f>
        <v/>
      </c>
      <c r="NFU2" t="str">
        <f>LEFT(Database!NGN2,3)</f>
        <v/>
      </c>
      <c r="NFV2" t="str">
        <f>LEFT(Database!NGO2,3)</f>
        <v/>
      </c>
      <c r="NFW2" t="str">
        <f>LEFT(Database!NGP2,3)</f>
        <v/>
      </c>
      <c r="NFX2" t="str">
        <f>LEFT(Database!NGQ2,3)</f>
        <v/>
      </c>
      <c r="NFY2" t="str">
        <f>LEFT(Database!NGR2,3)</f>
        <v/>
      </c>
      <c r="NFZ2" t="str">
        <f>LEFT(Database!NGS2,3)</f>
        <v/>
      </c>
      <c r="NGA2" t="str">
        <f>LEFT(Database!NGT2,3)</f>
        <v/>
      </c>
      <c r="NGB2" t="str">
        <f>LEFT(Database!NGU2,3)</f>
        <v/>
      </c>
      <c r="NGC2" t="str">
        <f>LEFT(Database!NGV2,3)</f>
        <v/>
      </c>
      <c r="NGD2" t="str">
        <f>LEFT(Database!NGW2,3)</f>
        <v/>
      </c>
      <c r="NGE2" t="str">
        <f>LEFT(Database!NGX2,3)</f>
        <v/>
      </c>
      <c r="NGF2" t="str">
        <f>LEFT(Database!NGY2,3)</f>
        <v/>
      </c>
      <c r="NGG2" t="str">
        <f>LEFT(Database!NGZ2,3)</f>
        <v/>
      </c>
      <c r="NGH2" t="str">
        <f>LEFT(Database!NHA2,3)</f>
        <v/>
      </c>
      <c r="NGI2" t="str">
        <f>LEFT(Database!NHB2,3)</f>
        <v/>
      </c>
      <c r="NGJ2" t="str">
        <f>LEFT(Database!NHC2,3)</f>
        <v/>
      </c>
      <c r="NGK2" t="str">
        <f>LEFT(Database!NHD2,3)</f>
        <v/>
      </c>
      <c r="NGL2" t="str">
        <f>LEFT(Database!NHE2,3)</f>
        <v/>
      </c>
      <c r="NGM2" t="str">
        <f>LEFT(Database!NHF2,3)</f>
        <v/>
      </c>
      <c r="NGN2" t="str">
        <f>LEFT(Database!NHG2,3)</f>
        <v/>
      </c>
      <c r="NGO2" t="str">
        <f>LEFT(Database!NHH2,3)</f>
        <v/>
      </c>
      <c r="NGP2" t="str">
        <f>LEFT(Database!NHI2,3)</f>
        <v/>
      </c>
      <c r="NGQ2" t="str">
        <f>LEFT(Database!NHJ2,3)</f>
        <v/>
      </c>
      <c r="NGR2" t="str">
        <f>LEFT(Database!NHK2,3)</f>
        <v/>
      </c>
      <c r="NGS2" t="str">
        <f>LEFT(Database!NHL2,3)</f>
        <v/>
      </c>
      <c r="NGT2" t="str">
        <f>LEFT(Database!NHM2,3)</f>
        <v/>
      </c>
      <c r="NGU2" t="str">
        <f>LEFT(Database!NHN2,3)</f>
        <v/>
      </c>
      <c r="NGV2" t="str">
        <f>LEFT(Database!NHO2,3)</f>
        <v/>
      </c>
      <c r="NGW2" t="str">
        <f>LEFT(Database!NHP2,3)</f>
        <v/>
      </c>
      <c r="NGX2" t="str">
        <f>LEFT(Database!NHQ2,3)</f>
        <v/>
      </c>
      <c r="NGY2" t="str">
        <f>LEFT(Database!NHR2,3)</f>
        <v/>
      </c>
      <c r="NGZ2" t="str">
        <f>LEFT(Database!NHS2,3)</f>
        <v/>
      </c>
      <c r="NHA2" t="str">
        <f>LEFT(Database!NHT2,3)</f>
        <v/>
      </c>
      <c r="NHB2" t="str">
        <f>LEFT(Database!NHU2,3)</f>
        <v/>
      </c>
      <c r="NHC2" t="str">
        <f>LEFT(Database!NHV2,3)</f>
        <v/>
      </c>
      <c r="NHD2" t="str">
        <f>LEFT(Database!NHW2,3)</f>
        <v/>
      </c>
      <c r="NHE2" t="str">
        <f>LEFT(Database!NHX2,3)</f>
        <v/>
      </c>
      <c r="NHF2" t="str">
        <f>LEFT(Database!NHY2,3)</f>
        <v/>
      </c>
      <c r="NHG2" t="str">
        <f>LEFT(Database!NHZ2,3)</f>
        <v/>
      </c>
      <c r="NHH2" t="str">
        <f>LEFT(Database!NIA2,3)</f>
        <v/>
      </c>
      <c r="NHI2" t="str">
        <f>LEFT(Database!NIB2,3)</f>
        <v/>
      </c>
      <c r="NHJ2" t="str">
        <f>LEFT(Database!NIC2,3)</f>
        <v/>
      </c>
      <c r="NHK2" t="str">
        <f>LEFT(Database!NID2,3)</f>
        <v/>
      </c>
      <c r="NHL2" t="str">
        <f>LEFT(Database!NIE2,3)</f>
        <v/>
      </c>
      <c r="NHM2" t="str">
        <f>LEFT(Database!NIF2,3)</f>
        <v/>
      </c>
      <c r="NHN2" t="str">
        <f>LEFT(Database!NIG2,3)</f>
        <v/>
      </c>
      <c r="NHO2" t="str">
        <f>LEFT(Database!NIH2,3)</f>
        <v/>
      </c>
      <c r="NHP2" t="str">
        <f>LEFT(Database!NII2,3)</f>
        <v/>
      </c>
      <c r="NHQ2" t="str">
        <f>LEFT(Database!NIJ2,3)</f>
        <v/>
      </c>
      <c r="NHR2" t="str">
        <f>LEFT(Database!NIK2,3)</f>
        <v/>
      </c>
      <c r="NHS2" t="str">
        <f>LEFT(Database!NIL2,3)</f>
        <v/>
      </c>
      <c r="NHT2" t="str">
        <f>LEFT(Database!NIM2,3)</f>
        <v/>
      </c>
      <c r="NHU2" t="str">
        <f>LEFT(Database!NIN2,3)</f>
        <v/>
      </c>
      <c r="NHV2" t="str">
        <f>LEFT(Database!NIO2,3)</f>
        <v/>
      </c>
      <c r="NHW2" t="str">
        <f>LEFT(Database!NIP2,3)</f>
        <v/>
      </c>
      <c r="NHX2" t="str">
        <f>LEFT(Database!NIQ2,3)</f>
        <v/>
      </c>
      <c r="NHY2" t="str">
        <f>LEFT(Database!NIR2,3)</f>
        <v/>
      </c>
      <c r="NHZ2" t="str">
        <f>LEFT(Database!NIS2,3)</f>
        <v/>
      </c>
      <c r="NIA2" t="str">
        <f>LEFT(Database!NIT2,3)</f>
        <v/>
      </c>
      <c r="NIB2" t="str">
        <f>LEFT(Database!NIU2,3)</f>
        <v/>
      </c>
      <c r="NIC2" t="str">
        <f>LEFT(Database!NIV2,3)</f>
        <v/>
      </c>
      <c r="NID2" t="str">
        <f>LEFT(Database!NIW2,3)</f>
        <v/>
      </c>
      <c r="NIE2" t="str">
        <f>LEFT(Database!NIX2,3)</f>
        <v/>
      </c>
      <c r="NIF2" t="str">
        <f>LEFT(Database!NIY2,3)</f>
        <v/>
      </c>
      <c r="NIG2" t="str">
        <f>LEFT(Database!NIZ2,3)</f>
        <v/>
      </c>
      <c r="NIH2" t="str">
        <f>LEFT(Database!NJA2,3)</f>
        <v/>
      </c>
      <c r="NII2" t="str">
        <f>LEFT(Database!NJB2,3)</f>
        <v/>
      </c>
      <c r="NIJ2" t="str">
        <f>LEFT(Database!NJC2,3)</f>
        <v/>
      </c>
      <c r="NIK2" t="str">
        <f>LEFT(Database!NJD2,3)</f>
        <v/>
      </c>
      <c r="NIL2" t="str">
        <f>LEFT(Database!NJE2,3)</f>
        <v/>
      </c>
      <c r="NIM2" t="str">
        <f>LEFT(Database!NJF2,3)</f>
        <v/>
      </c>
      <c r="NIN2" t="str">
        <f>LEFT(Database!NJG2,3)</f>
        <v/>
      </c>
      <c r="NIO2" t="str">
        <f>LEFT(Database!NJH2,3)</f>
        <v/>
      </c>
      <c r="NIP2" t="str">
        <f>LEFT(Database!NJI2,3)</f>
        <v/>
      </c>
      <c r="NIQ2" t="str">
        <f>LEFT(Database!NJJ2,3)</f>
        <v/>
      </c>
      <c r="NIR2" t="str">
        <f>LEFT(Database!NJK2,3)</f>
        <v/>
      </c>
      <c r="NIS2" t="str">
        <f>LEFT(Database!NJL2,3)</f>
        <v/>
      </c>
      <c r="NIT2" t="str">
        <f>LEFT(Database!NJM2,3)</f>
        <v/>
      </c>
      <c r="NIU2" t="str">
        <f>LEFT(Database!NJN2,3)</f>
        <v/>
      </c>
      <c r="NIV2" t="str">
        <f>LEFT(Database!NJO2,3)</f>
        <v/>
      </c>
      <c r="NIW2" t="str">
        <f>LEFT(Database!NJP2,3)</f>
        <v/>
      </c>
      <c r="NIX2" t="str">
        <f>LEFT(Database!NJQ2,3)</f>
        <v/>
      </c>
      <c r="NIY2" t="str">
        <f>LEFT(Database!NJR2,3)</f>
        <v/>
      </c>
      <c r="NIZ2" t="str">
        <f>LEFT(Database!NJS2,3)</f>
        <v/>
      </c>
      <c r="NJA2" t="str">
        <f>LEFT(Database!NJT2,3)</f>
        <v/>
      </c>
      <c r="NJB2" t="str">
        <f>LEFT(Database!NJU2,3)</f>
        <v/>
      </c>
      <c r="NJC2" t="str">
        <f>LEFT(Database!NJV2,3)</f>
        <v/>
      </c>
      <c r="NJD2" t="str">
        <f>LEFT(Database!NJW2,3)</f>
        <v/>
      </c>
      <c r="NJE2" t="str">
        <f>LEFT(Database!NJX2,3)</f>
        <v/>
      </c>
      <c r="NJF2" t="str">
        <f>LEFT(Database!NJY2,3)</f>
        <v/>
      </c>
      <c r="NJG2" t="str">
        <f>LEFT(Database!NJZ2,3)</f>
        <v/>
      </c>
      <c r="NJH2" t="str">
        <f>LEFT(Database!NKA2,3)</f>
        <v/>
      </c>
      <c r="NJI2" t="str">
        <f>LEFT(Database!NKB2,3)</f>
        <v/>
      </c>
      <c r="NJJ2" t="str">
        <f>LEFT(Database!NKC2,3)</f>
        <v/>
      </c>
      <c r="NJK2" t="str">
        <f>LEFT(Database!NKD2,3)</f>
        <v/>
      </c>
      <c r="NJL2" t="str">
        <f>LEFT(Database!NKE2,3)</f>
        <v/>
      </c>
      <c r="NJM2" t="str">
        <f>LEFT(Database!NKF2,3)</f>
        <v/>
      </c>
      <c r="NJN2" t="str">
        <f>LEFT(Database!NKG2,3)</f>
        <v/>
      </c>
      <c r="NJO2" t="str">
        <f>LEFT(Database!NKH2,3)</f>
        <v/>
      </c>
      <c r="NJP2" t="str">
        <f>LEFT(Database!NKI2,3)</f>
        <v/>
      </c>
      <c r="NJQ2" t="str">
        <f>LEFT(Database!NKJ2,3)</f>
        <v/>
      </c>
      <c r="NJR2" t="str">
        <f>LEFT(Database!NKK2,3)</f>
        <v/>
      </c>
      <c r="NJS2" t="str">
        <f>LEFT(Database!NKL2,3)</f>
        <v/>
      </c>
      <c r="NJT2" t="str">
        <f>LEFT(Database!NKM2,3)</f>
        <v/>
      </c>
      <c r="NJU2" t="str">
        <f>LEFT(Database!NKN2,3)</f>
        <v/>
      </c>
      <c r="NJV2" t="str">
        <f>LEFT(Database!NKO2,3)</f>
        <v/>
      </c>
      <c r="NJW2" t="str">
        <f>LEFT(Database!NKP2,3)</f>
        <v/>
      </c>
      <c r="NJX2" t="str">
        <f>LEFT(Database!NKQ2,3)</f>
        <v/>
      </c>
      <c r="NJY2" t="str">
        <f>LEFT(Database!NKR2,3)</f>
        <v/>
      </c>
      <c r="NJZ2" t="str">
        <f>LEFT(Database!NKS2,3)</f>
        <v/>
      </c>
      <c r="NKA2" t="str">
        <f>LEFT(Database!NKT2,3)</f>
        <v/>
      </c>
      <c r="NKB2" t="str">
        <f>LEFT(Database!NKU2,3)</f>
        <v/>
      </c>
      <c r="NKC2" t="str">
        <f>LEFT(Database!NKV2,3)</f>
        <v/>
      </c>
      <c r="NKD2" t="str">
        <f>LEFT(Database!NKW2,3)</f>
        <v/>
      </c>
      <c r="NKE2" t="str">
        <f>LEFT(Database!NKX2,3)</f>
        <v/>
      </c>
      <c r="NKF2" t="str">
        <f>LEFT(Database!NKY2,3)</f>
        <v/>
      </c>
      <c r="NKG2" t="str">
        <f>LEFT(Database!NKZ2,3)</f>
        <v/>
      </c>
      <c r="NKH2" t="str">
        <f>LEFT(Database!NLA2,3)</f>
        <v/>
      </c>
      <c r="NKI2" t="str">
        <f>LEFT(Database!NLB2,3)</f>
        <v/>
      </c>
      <c r="NKJ2" t="str">
        <f>LEFT(Database!NLC2,3)</f>
        <v/>
      </c>
      <c r="NKK2" t="str">
        <f>LEFT(Database!NLD2,3)</f>
        <v/>
      </c>
      <c r="NKL2" t="str">
        <f>LEFT(Database!NLE2,3)</f>
        <v/>
      </c>
      <c r="NKM2" t="str">
        <f>LEFT(Database!NLF2,3)</f>
        <v/>
      </c>
      <c r="NKN2" t="str">
        <f>LEFT(Database!NLG2,3)</f>
        <v/>
      </c>
      <c r="NKO2" t="str">
        <f>LEFT(Database!NLH2,3)</f>
        <v/>
      </c>
      <c r="NKP2" t="str">
        <f>LEFT(Database!NLI2,3)</f>
        <v/>
      </c>
      <c r="NKQ2" t="str">
        <f>LEFT(Database!NLJ2,3)</f>
        <v/>
      </c>
      <c r="NKR2" t="str">
        <f>LEFT(Database!NLK2,3)</f>
        <v/>
      </c>
      <c r="NKS2" t="str">
        <f>LEFT(Database!NLL2,3)</f>
        <v/>
      </c>
      <c r="NKT2" t="str">
        <f>LEFT(Database!NLM2,3)</f>
        <v/>
      </c>
      <c r="NKU2" t="str">
        <f>LEFT(Database!NLN2,3)</f>
        <v/>
      </c>
      <c r="NKV2" t="str">
        <f>LEFT(Database!NLO2,3)</f>
        <v/>
      </c>
      <c r="NKW2" t="str">
        <f>LEFT(Database!NLP2,3)</f>
        <v/>
      </c>
      <c r="NKX2" t="str">
        <f>LEFT(Database!NLQ2,3)</f>
        <v/>
      </c>
      <c r="NKY2" t="str">
        <f>LEFT(Database!NLR2,3)</f>
        <v/>
      </c>
      <c r="NKZ2" t="str">
        <f>LEFT(Database!NLS2,3)</f>
        <v/>
      </c>
      <c r="NLA2" t="str">
        <f>LEFT(Database!NLT2,3)</f>
        <v/>
      </c>
      <c r="NLB2" t="str">
        <f>LEFT(Database!NLU2,3)</f>
        <v/>
      </c>
      <c r="NLC2" t="str">
        <f>LEFT(Database!NLV2,3)</f>
        <v/>
      </c>
      <c r="NLD2" t="str">
        <f>LEFT(Database!NLW2,3)</f>
        <v/>
      </c>
      <c r="NLE2" t="str">
        <f>LEFT(Database!NLX2,3)</f>
        <v/>
      </c>
      <c r="NLF2" t="str">
        <f>LEFT(Database!NLY2,3)</f>
        <v/>
      </c>
      <c r="NLG2" t="str">
        <f>LEFT(Database!NLZ2,3)</f>
        <v/>
      </c>
      <c r="NLH2" t="str">
        <f>LEFT(Database!NMA2,3)</f>
        <v/>
      </c>
      <c r="NLI2" t="str">
        <f>LEFT(Database!NMB2,3)</f>
        <v/>
      </c>
      <c r="NLJ2" t="str">
        <f>LEFT(Database!NMC2,3)</f>
        <v/>
      </c>
      <c r="NLK2" t="str">
        <f>LEFT(Database!NMD2,3)</f>
        <v/>
      </c>
      <c r="NLL2" t="str">
        <f>LEFT(Database!NME2,3)</f>
        <v/>
      </c>
      <c r="NLM2" t="str">
        <f>LEFT(Database!NMF2,3)</f>
        <v/>
      </c>
      <c r="NLN2" t="str">
        <f>LEFT(Database!NMG2,3)</f>
        <v/>
      </c>
      <c r="NLO2" t="str">
        <f>LEFT(Database!NMH2,3)</f>
        <v/>
      </c>
      <c r="NLP2" t="str">
        <f>LEFT(Database!NMI2,3)</f>
        <v/>
      </c>
      <c r="NLQ2" t="str">
        <f>LEFT(Database!NMJ2,3)</f>
        <v/>
      </c>
      <c r="NLR2" t="str">
        <f>LEFT(Database!NMK2,3)</f>
        <v/>
      </c>
      <c r="NLS2" t="str">
        <f>LEFT(Database!NML2,3)</f>
        <v/>
      </c>
      <c r="NLT2" t="str">
        <f>LEFT(Database!NMM2,3)</f>
        <v/>
      </c>
      <c r="NLU2" t="str">
        <f>LEFT(Database!NMN2,3)</f>
        <v/>
      </c>
      <c r="NLV2" t="str">
        <f>LEFT(Database!NMO2,3)</f>
        <v/>
      </c>
      <c r="NLW2" t="str">
        <f>LEFT(Database!NMP2,3)</f>
        <v/>
      </c>
      <c r="NLX2" t="str">
        <f>LEFT(Database!NMQ2,3)</f>
        <v/>
      </c>
      <c r="NLY2" t="str">
        <f>LEFT(Database!NMR2,3)</f>
        <v/>
      </c>
      <c r="NLZ2" t="str">
        <f>LEFT(Database!NMS2,3)</f>
        <v/>
      </c>
      <c r="NMA2" t="str">
        <f>LEFT(Database!NMT2,3)</f>
        <v/>
      </c>
      <c r="NMB2" t="str">
        <f>LEFT(Database!NMU2,3)</f>
        <v/>
      </c>
      <c r="NMC2" t="str">
        <f>LEFT(Database!NMV2,3)</f>
        <v/>
      </c>
      <c r="NMD2" t="str">
        <f>LEFT(Database!NMW2,3)</f>
        <v/>
      </c>
      <c r="NME2" t="str">
        <f>LEFT(Database!NMX2,3)</f>
        <v/>
      </c>
      <c r="NMF2" t="str">
        <f>LEFT(Database!NMY2,3)</f>
        <v/>
      </c>
      <c r="NMG2" t="str">
        <f>LEFT(Database!NMZ2,3)</f>
        <v/>
      </c>
      <c r="NMH2" t="str">
        <f>LEFT(Database!NNA2,3)</f>
        <v/>
      </c>
      <c r="NMI2" t="str">
        <f>LEFT(Database!NNB2,3)</f>
        <v/>
      </c>
      <c r="NMJ2" t="str">
        <f>LEFT(Database!NNC2,3)</f>
        <v/>
      </c>
      <c r="NMK2" t="str">
        <f>LEFT(Database!NND2,3)</f>
        <v/>
      </c>
      <c r="NML2" t="str">
        <f>LEFT(Database!NNE2,3)</f>
        <v/>
      </c>
      <c r="NMM2" t="str">
        <f>LEFT(Database!NNF2,3)</f>
        <v/>
      </c>
      <c r="NMN2" t="str">
        <f>LEFT(Database!NNG2,3)</f>
        <v/>
      </c>
      <c r="NMO2" t="str">
        <f>LEFT(Database!NNH2,3)</f>
        <v/>
      </c>
      <c r="NMP2" t="str">
        <f>LEFT(Database!NNI2,3)</f>
        <v/>
      </c>
      <c r="NMQ2" t="str">
        <f>LEFT(Database!NNJ2,3)</f>
        <v/>
      </c>
      <c r="NMR2" t="str">
        <f>LEFT(Database!NNK2,3)</f>
        <v/>
      </c>
      <c r="NMS2" t="str">
        <f>LEFT(Database!NNL2,3)</f>
        <v/>
      </c>
      <c r="NMT2" t="str">
        <f>LEFT(Database!NNM2,3)</f>
        <v/>
      </c>
      <c r="NMU2" t="str">
        <f>LEFT(Database!NNN2,3)</f>
        <v/>
      </c>
      <c r="NMV2" t="str">
        <f>LEFT(Database!NNO2,3)</f>
        <v/>
      </c>
      <c r="NMW2" t="str">
        <f>LEFT(Database!NNP2,3)</f>
        <v/>
      </c>
      <c r="NMX2" t="str">
        <f>LEFT(Database!NNQ2,3)</f>
        <v/>
      </c>
      <c r="NMY2" t="str">
        <f>LEFT(Database!NNR2,3)</f>
        <v/>
      </c>
      <c r="NMZ2" t="str">
        <f>LEFT(Database!NNS2,3)</f>
        <v/>
      </c>
      <c r="NNA2" t="str">
        <f>LEFT(Database!NNT2,3)</f>
        <v/>
      </c>
      <c r="NNB2" t="str">
        <f>LEFT(Database!NNU2,3)</f>
        <v/>
      </c>
      <c r="NNC2" t="str">
        <f>LEFT(Database!NNV2,3)</f>
        <v/>
      </c>
      <c r="NND2" t="str">
        <f>LEFT(Database!NNW2,3)</f>
        <v/>
      </c>
      <c r="NNE2" t="str">
        <f>LEFT(Database!NNX2,3)</f>
        <v/>
      </c>
      <c r="NNF2" t="str">
        <f>LEFT(Database!NNY2,3)</f>
        <v/>
      </c>
      <c r="NNG2" t="str">
        <f>LEFT(Database!NNZ2,3)</f>
        <v/>
      </c>
      <c r="NNH2" t="str">
        <f>LEFT(Database!NOA2,3)</f>
        <v/>
      </c>
      <c r="NNI2" t="str">
        <f>LEFT(Database!NOB2,3)</f>
        <v/>
      </c>
      <c r="NNJ2" t="str">
        <f>LEFT(Database!NOC2,3)</f>
        <v/>
      </c>
      <c r="NNK2" t="str">
        <f>LEFT(Database!NOD2,3)</f>
        <v/>
      </c>
      <c r="NNL2" t="str">
        <f>LEFT(Database!NOE2,3)</f>
        <v/>
      </c>
      <c r="NNM2" t="str">
        <f>LEFT(Database!NOF2,3)</f>
        <v/>
      </c>
      <c r="NNN2" t="str">
        <f>LEFT(Database!NOG2,3)</f>
        <v/>
      </c>
      <c r="NNO2" t="str">
        <f>LEFT(Database!NOH2,3)</f>
        <v/>
      </c>
      <c r="NNP2" t="str">
        <f>LEFT(Database!NOI2,3)</f>
        <v/>
      </c>
      <c r="NNQ2" t="str">
        <f>LEFT(Database!NOJ2,3)</f>
        <v/>
      </c>
      <c r="NNR2" t="str">
        <f>LEFT(Database!NOK2,3)</f>
        <v/>
      </c>
      <c r="NNS2" t="str">
        <f>LEFT(Database!NOL2,3)</f>
        <v/>
      </c>
      <c r="NNT2" t="str">
        <f>LEFT(Database!NOM2,3)</f>
        <v/>
      </c>
      <c r="NNU2" t="str">
        <f>LEFT(Database!NON2,3)</f>
        <v/>
      </c>
      <c r="NNV2" t="str">
        <f>LEFT(Database!NOO2,3)</f>
        <v/>
      </c>
      <c r="NNW2" t="str">
        <f>LEFT(Database!NOP2,3)</f>
        <v/>
      </c>
      <c r="NNX2" t="str">
        <f>LEFT(Database!NOQ2,3)</f>
        <v/>
      </c>
      <c r="NNY2" t="str">
        <f>LEFT(Database!NOR2,3)</f>
        <v/>
      </c>
      <c r="NNZ2" t="str">
        <f>LEFT(Database!NOS2,3)</f>
        <v/>
      </c>
      <c r="NOA2" t="str">
        <f>LEFT(Database!NOT2,3)</f>
        <v/>
      </c>
      <c r="NOB2" t="str">
        <f>LEFT(Database!NOU2,3)</f>
        <v/>
      </c>
      <c r="NOC2" t="str">
        <f>LEFT(Database!NOV2,3)</f>
        <v/>
      </c>
      <c r="NOD2" t="str">
        <f>LEFT(Database!NOW2,3)</f>
        <v/>
      </c>
      <c r="NOE2" t="str">
        <f>LEFT(Database!NOX2,3)</f>
        <v/>
      </c>
      <c r="NOF2" t="str">
        <f>LEFT(Database!NOY2,3)</f>
        <v/>
      </c>
      <c r="NOG2" t="str">
        <f>LEFT(Database!NOZ2,3)</f>
        <v/>
      </c>
      <c r="NOH2" t="str">
        <f>LEFT(Database!NPA2,3)</f>
        <v/>
      </c>
      <c r="NOI2" t="str">
        <f>LEFT(Database!NPB2,3)</f>
        <v/>
      </c>
      <c r="NOJ2" t="str">
        <f>LEFT(Database!NPC2,3)</f>
        <v/>
      </c>
      <c r="NOK2" t="str">
        <f>LEFT(Database!NPD2,3)</f>
        <v/>
      </c>
      <c r="NOL2" t="str">
        <f>LEFT(Database!NPE2,3)</f>
        <v/>
      </c>
      <c r="NOM2" t="str">
        <f>LEFT(Database!NPF2,3)</f>
        <v/>
      </c>
      <c r="NON2" t="str">
        <f>LEFT(Database!NPG2,3)</f>
        <v/>
      </c>
      <c r="NOO2" t="str">
        <f>LEFT(Database!NPH2,3)</f>
        <v/>
      </c>
      <c r="NOP2" t="str">
        <f>LEFT(Database!NPI2,3)</f>
        <v/>
      </c>
      <c r="NOQ2" t="str">
        <f>LEFT(Database!NPJ2,3)</f>
        <v/>
      </c>
      <c r="NOR2" t="str">
        <f>LEFT(Database!NPK2,3)</f>
        <v/>
      </c>
      <c r="NOS2" t="str">
        <f>LEFT(Database!NPL2,3)</f>
        <v/>
      </c>
      <c r="NOT2" t="str">
        <f>LEFT(Database!NPM2,3)</f>
        <v/>
      </c>
      <c r="NOU2" t="str">
        <f>LEFT(Database!NPN2,3)</f>
        <v/>
      </c>
      <c r="NOV2" t="str">
        <f>LEFT(Database!NPO2,3)</f>
        <v/>
      </c>
      <c r="NOW2" t="str">
        <f>LEFT(Database!NPP2,3)</f>
        <v/>
      </c>
      <c r="NOX2" t="str">
        <f>LEFT(Database!NPQ2,3)</f>
        <v/>
      </c>
      <c r="NOY2" t="str">
        <f>LEFT(Database!NPR2,3)</f>
        <v/>
      </c>
      <c r="NOZ2" t="str">
        <f>LEFT(Database!NPS2,3)</f>
        <v/>
      </c>
      <c r="NPA2" t="str">
        <f>LEFT(Database!NPT2,3)</f>
        <v/>
      </c>
      <c r="NPB2" t="str">
        <f>LEFT(Database!NPU2,3)</f>
        <v/>
      </c>
      <c r="NPC2" t="str">
        <f>LEFT(Database!NPV2,3)</f>
        <v/>
      </c>
      <c r="NPD2" t="str">
        <f>LEFT(Database!NPW2,3)</f>
        <v/>
      </c>
      <c r="NPE2" t="str">
        <f>LEFT(Database!NPX2,3)</f>
        <v/>
      </c>
      <c r="NPF2" t="str">
        <f>LEFT(Database!NPY2,3)</f>
        <v/>
      </c>
      <c r="NPG2" t="str">
        <f>LEFT(Database!NPZ2,3)</f>
        <v/>
      </c>
      <c r="NPH2" t="str">
        <f>LEFT(Database!NQA2,3)</f>
        <v/>
      </c>
      <c r="NPI2" t="str">
        <f>LEFT(Database!NQB2,3)</f>
        <v/>
      </c>
      <c r="NPJ2" t="str">
        <f>LEFT(Database!NQC2,3)</f>
        <v/>
      </c>
      <c r="NPK2" t="str">
        <f>LEFT(Database!NQD2,3)</f>
        <v/>
      </c>
      <c r="NPL2" t="str">
        <f>LEFT(Database!NQE2,3)</f>
        <v/>
      </c>
      <c r="NPM2" t="str">
        <f>LEFT(Database!NQF2,3)</f>
        <v/>
      </c>
      <c r="NPN2" t="str">
        <f>LEFT(Database!NQG2,3)</f>
        <v/>
      </c>
      <c r="NPO2" t="str">
        <f>LEFT(Database!NQH2,3)</f>
        <v/>
      </c>
      <c r="NPP2" t="str">
        <f>LEFT(Database!NQI2,3)</f>
        <v/>
      </c>
      <c r="NPQ2" t="str">
        <f>LEFT(Database!NQJ2,3)</f>
        <v/>
      </c>
      <c r="NPR2" t="str">
        <f>LEFT(Database!NQK2,3)</f>
        <v/>
      </c>
      <c r="NPS2" t="str">
        <f>LEFT(Database!NQL2,3)</f>
        <v/>
      </c>
      <c r="NPT2" t="str">
        <f>LEFT(Database!NQM2,3)</f>
        <v/>
      </c>
      <c r="NPU2" t="str">
        <f>LEFT(Database!NQN2,3)</f>
        <v/>
      </c>
      <c r="NPV2" t="str">
        <f>LEFT(Database!NQO2,3)</f>
        <v/>
      </c>
      <c r="NPW2" t="str">
        <f>LEFT(Database!NQP2,3)</f>
        <v/>
      </c>
      <c r="NPX2" t="str">
        <f>LEFT(Database!NQQ2,3)</f>
        <v/>
      </c>
      <c r="NPY2" t="str">
        <f>LEFT(Database!NQR2,3)</f>
        <v/>
      </c>
      <c r="NPZ2" t="str">
        <f>LEFT(Database!NQS2,3)</f>
        <v/>
      </c>
      <c r="NQA2" t="str">
        <f>LEFT(Database!NQT2,3)</f>
        <v/>
      </c>
      <c r="NQB2" t="str">
        <f>LEFT(Database!NQU2,3)</f>
        <v/>
      </c>
      <c r="NQC2" t="str">
        <f>LEFT(Database!NQV2,3)</f>
        <v/>
      </c>
      <c r="NQD2" t="str">
        <f>LEFT(Database!NQW2,3)</f>
        <v/>
      </c>
      <c r="NQE2" t="str">
        <f>LEFT(Database!NQX2,3)</f>
        <v/>
      </c>
      <c r="NQF2" t="str">
        <f>LEFT(Database!NQY2,3)</f>
        <v/>
      </c>
      <c r="NQG2" t="str">
        <f>LEFT(Database!NQZ2,3)</f>
        <v/>
      </c>
      <c r="NQH2" t="str">
        <f>LEFT(Database!NRA2,3)</f>
        <v/>
      </c>
      <c r="NQI2" t="str">
        <f>LEFT(Database!NRB2,3)</f>
        <v/>
      </c>
      <c r="NQJ2" t="str">
        <f>LEFT(Database!NRC2,3)</f>
        <v/>
      </c>
      <c r="NQK2" t="str">
        <f>LEFT(Database!NRD2,3)</f>
        <v/>
      </c>
      <c r="NQL2" t="str">
        <f>LEFT(Database!NRE2,3)</f>
        <v/>
      </c>
      <c r="NQM2" t="str">
        <f>LEFT(Database!NRF2,3)</f>
        <v/>
      </c>
      <c r="NQN2" t="str">
        <f>LEFT(Database!NRG2,3)</f>
        <v/>
      </c>
      <c r="NQO2" t="str">
        <f>LEFT(Database!NRH2,3)</f>
        <v/>
      </c>
      <c r="NQP2" t="str">
        <f>LEFT(Database!NRI2,3)</f>
        <v/>
      </c>
      <c r="NQQ2" t="str">
        <f>LEFT(Database!NRJ2,3)</f>
        <v/>
      </c>
      <c r="NQR2" t="str">
        <f>LEFT(Database!NRK2,3)</f>
        <v/>
      </c>
      <c r="NQS2" t="str">
        <f>LEFT(Database!NRL2,3)</f>
        <v/>
      </c>
      <c r="NQT2" t="str">
        <f>LEFT(Database!NRM2,3)</f>
        <v/>
      </c>
      <c r="NQU2" t="str">
        <f>LEFT(Database!NRN2,3)</f>
        <v/>
      </c>
      <c r="NQV2" t="str">
        <f>LEFT(Database!NRO2,3)</f>
        <v/>
      </c>
      <c r="NQW2" t="str">
        <f>LEFT(Database!NRP2,3)</f>
        <v/>
      </c>
      <c r="NQX2" t="str">
        <f>LEFT(Database!NRQ2,3)</f>
        <v/>
      </c>
      <c r="NQY2" t="str">
        <f>LEFT(Database!NRR2,3)</f>
        <v/>
      </c>
      <c r="NQZ2" t="str">
        <f>LEFT(Database!NRS2,3)</f>
        <v/>
      </c>
      <c r="NRA2" t="str">
        <f>LEFT(Database!NRT2,3)</f>
        <v/>
      </c>
      <c r="NRB2" t="str">
        <f>LEFT(Database!NRU2,3)</f>
        <v/>
      </c>
      <c r="NRC2" t="str">
        <f>LEFT(Database!NRV2,3)</f>
        <v/>
      </c>
      <c r="NRD2" t="str">
        <f>LEFT(Database!NRW2,3)</f>
        <v/>
      </c>
      <c r="NRE2" t="str">
        <f>LEFT(Database!NRX2,3)</f>
        <v/>
      </c>
      <c r="NRF2" t="str">
        <f>LEFT(Database!NRY2,3)</f>
        <v/>
      </c>
      <c r="NRG2" t="str">
        <f>LEFT(Database!NRZ2,3)</f>
        <v/>
      </c>
      <c r="NRH2" t="str">
        <f>LEFT(Database!NSA2,3)</f>
        <v/>
      </c>
      <c r="NRI2" t="str">
        <f>LEFT(Database!NSB2,3)</f>
        <v/>
      </c>
      <c r="NRJ2" t="str">
        <f>LEFT(Database!NSC2,3)</f>
        <v/>
      </c>
      <c r="NRK2" t="str">
        <f>LEFT(Database!NSD2,3)</f>
        <v/>
      </c>
      <c r="NRL2" t="str">
        <f>LEFT(Database!NSE2,3)</f>
        <v/>
      </c>
      <c r="NRM2" t="str">
        <f>LEFT(Database!NSF2,3)</f>
        <v/>
      </c>
      <c r="NRN2" t="str">
        <f>LEFT(Database!NSG2,3)</f>
        <v/>
      </c>
      <c r="NRO2" t="str">
        <f>LEFT(Database!NSH2,3)</f>
        <v/>
      </c>
      <c r="NRP2" t="str">
        <f>LEFT(Database!NSI2,3)</f>
        <v/>
      </c>
      <c r="NRQ2" t="str">
        <f>LEFT(Database!NSJ2,3)</f>
        <v/>
      </c>
      <c r="NRR2" t="str">
        <f>LEFT(Database!NSK2,3)</f>
        <v/>
      </c>
      <c r="NRS2" t="str">
        <f>LEFT(Database!NSL2,3)</f>
        <v/>
      </c>
      <c r="NRT2" t="str">
        <f>LEFT(Database!NSM2,3)</f>
        <v/>
      </c>
      <c r="NRU2" t="str">
        <f>LEFT(Database!NSN2,3)</f>
        <v/>
      </c>
      <c r="NRV2" t="str">
        <f>LEFT(Database!NSO2,3)</f>
        <v/>
      </c>
      <c r="NRW2" t="str">
        <f>LEFT(Database!NSP2,3)</f>
        <v/>
      </c>
      <c r="NRX2" t="str">
        <f>LEFT(Database!NSQ2,3)</f>
        <v/>
      </c>
      <c r="NRY2" t="str">
        <f>LEFT(Database!NSR2,3)</f>
        <v/>
      </c>
      <c r="NRZ2" t="str">
        <f>LEFT(Database!NSS2,3)</f>
        <v/>
      </c>
      <c r="NSA2" t="str">
        <f>LEFT(Database!NST2,3)</f>
        <v/>
      </c>
      <c r="NSB2" t="str">
        <f>LEFT(Database!NSU2,3)</f>
        <v/>
      </c>
      <c r="NSC2" t="str">
        <f>LEFT(Database!NSV2,3)</f>
        <v/>
      </c>
      <c r="NSD2" t="str">
        <f>LEFT(Database!NSW2,3)</f>
        <v/>
      </c>
      <c r="NSE2" t="str">
        <f>LEFT(Database!NSX2,3)</f>
        <v/>
      </c>
      <c r="NSF2" t="str">
        <f>LEFT(Database!NSY2,3)</f>
        <v/>
      </c>
      <c r="NSG2" t="str">
        <f>LEFT(Database!NSZ2,3)</f>
        <v/>
      </c>
      <c r="NSH2" t="str">
        <f>LEFT(Database!NTA2,3)</f>
        <v/>
      </c>
      <c r="NSI2" t="str">
        <f>LEFT(Database!NTB2,3)</f>
        <v/>
      </c>
      <c r="NSJ2" t="str">
        <f>LEFT(Database!NTC2,3)</f>
        <v/>
      </c>
      <c r="NSK2" t="str">
        <f>LEFT(Database!NTD2,3)</f>
        <v/>
      </c>
      <c r="NSL2" t="str">
        <f>LEFT(Database!NTE2,3)</f>
        <v/>
      </c>
      <c r="NSM2" t="str">
        <f>LEFT(Database!NTF2,3)</f>
        <v/>
      </c>
      <c r="NSN2" t="str">
        <f>LEFT(Database!NTG2,3)</f>
        <v/>
      </c>
      <c r="NSO2" t="str">
        <f>LEFT(Database!NTH2,3)</f>
        <v/>
      </c>
      <c r="NSP2" t="str">
        <f>LEFT(Database!NTI2,3)</f>
        <v/>
      </c>
      <c r="NSQ2" t="str">
        <f>LEFT(Database!NTJ2,3)</f>
        <v/>
      </c>
      <c r="NSR2" t="str">
        <f>LEFT(Database!NTK2,3)</f>
        <v/>
      </c>
      <c r="NSS2" t="str">
        <f>LEFT(Database!NTL2,3)</f>
        <v/>
      </c>
      <c r="NST2" t="str">
        <f>LEFT(Database!NTM2,3)</f>
        <v/>
      </c>
      <c r="NSU2" t="str">
        <f>LEFT(Database!NTN2,3)</f>
        <v/>
      </c>
      <c r="NSV2" t="str">
        <f>LEFT(Database!NTO2,3)</f>
        <v/>
      </c>
      <c r="NSW2" t="str">
        <f>LEFT(Database!NTP2,3)</f>
        <v/>
      </c>
      <c r="NSX2" t="str">
        <f>LEFT(Database!NTQ2,3)</f>
        <v/>
      </c>
      <c r="NSY2" t="str">
        <f>LEFT(Database!NTR2,3)</f>
        <v/>
      </c>
      <c r="NSZ2" t="str">
        <f>LEFT(Database!NTS2,3)</f>
        <v/>
      </c>
      <c r="NTA2" t="str">
        <f>LEFT(Database!NTT2,3)</f>
        <v/>
      </c>
      <c r="NTB2" t="str">
        <f>LEFT(Database!NTU2,3)</f>
        <v/>
      </c>
      <c r="NTC2" t="str">
        <f>LEFT(Database!NTV2,3)</f>
        <v/>
      </c>
      <c r="NTD2" t="str">
        <f>LEFT(Database!NTW2,3)</f>
        <v/>
      </c>
      <c r="NTE2" t="str">
        <f>LEFT(Database!NTX2,3)</f>
        <v/>
      </c>
      <c r="NTF2" t="str">
        <f>LEFT(Database!NTY2,3)</f>
        <v/>
      </c>
      <c r="NTG2" t="str">
        <f>LEFT(Database!NTZ2,3)</f>
        <v/>
      </c>
      <c r="NTH2" t="str">
        <f>LEFT(Database!NUA2,3)</f>
        <v/>
      </c>
      <c r="NTI2" t="str">
        <f>LEFT(Database!NUB2,3)</f>
        <v/>
      </c>
      <c r="NTJ2" t="str">
        <f>LEFT(Database!NUC2,3)</f>
        <v/>
      </c>
      <c r="NTK2" t="str">
        <f>LEFT(Database!NUD2,3)</f>
        <v/>
      </c>
      <c r="NTL2" t="str">
        <f>LEFT(Database!NUE2,3)</f>
        <v/>
      </c>
      <c r="NTM2" t="str">
        <f>LEFT(Database!NUF2,3)</f>
        <v/>
      </c>
      <c r="NTN2" t="str">
        <f>LEFT(Database!NUG2,3)</f>
        <v/>
      </c>
      <c r="NTO2" t="str">
        <f>LEFT(Database!NUH2,3)</f>
        <v/>
      </c>
      <c r="NTP2" t="str">
        <f>LEFT(Database!NUI2,3)</f>
        <v/>
      </c>
      <c r="NTQ2" t="str">
        <f>LEFT(Database!NUJ2,3)</f>
        <v/>
      </c>
      <c r="NTR2" t="str">
        <f>LEFT(Database!NUK2,3)</f>
        <v/>
      </c>
      <c r="NTS2" t="str">
        <f>LEFT(Database!NUL2,3)</f>
        <v/>
      </c>
      <c r="NTT2" t="str">
        <f>LEFT(Database!NUM2,3)</f>
        <v/>
      </c>
      <c r="NTU2" t="str">
        <f>LEFT(Database!NUN2,3)</f>
        <v/>
      </c>
      <c r="NTV2" t="str">
        <f>LEFT(Database!NUO2,3)</f>
        <v/>
      </c>
      <c r="NTW2" t="str">
        <f>LEFT(Database!NUP2,3)</f>
        <v/>
      </c>
      <c r="NTX2" t="str">
        <f>LEFT(Database!NUQ2,3)</f>
        <v/>
      </c>
      <c r="NTY2" t="str">
        <f>LEFT(Database!NUR2,3)</f>
        <v/>
      </c>
      <c r="NTZ2" t="str">
        <f>LEFT(Database!NUS2,3)</f>
        <v/>
      </c>
      <c r="NUA2" t="str">
        <f>LEFT(Database!NUT2,3)</f>
        <v/>
      </c>
      <c r="NUB2" t="str">
        <f>LEFT(Database!NUU2,3)</f>
        <v/>
      </c>
      <c r="NUC2" t="str">
        <f>LEFT(Database!NUV2,3)</f>
        <v/>
      </c>
      <c r="NUD2" t="str">
        <f>LEFT(Database!NUW2,3)</f>
        <v/>
      </c>
      <c r="NUE2" t="str">
        <f>LEFT(Database!NUX2,3)</f>
        <v/>
      </c>
      <c r="NUF2" t="str">
        <f>LEFT(Database!NUY2,3)</f>
        <v/>
      </c>
      <c r="NUG2" t="str">
        <f>LEFT(Database!NUZ2,3)</f>
        <v/>
      </c>
      <c r="NUH2" t="str">
        <f>LEFT(Database!NVA2,3)</f>
        <v/>
      </c>
      <c r="NUI2" t="str">
        <f>LEFT(Database!NVB2,3)</f>
        <v/>
      </c>
      <c r="NUJ2" t="str">
        <f>LEFT(Database!NVC2,3)</f>
        <v/>
      </c>
      <c r="NUK2" t="str">
        <f>LEFT(Database!NVD2,3)</f>
        <v/>
      </c>
      <c r="NUL2" t="str">
        <f>LEFT(Database!NVE2,3)</f>
        <v/>
      </c>
      <c r="NUM2" t="str">
        <f>LEFT(Database!NVF2,3)</f>
        <v/>
      </c>
      <c r="NUN2" t="str">
        <f>LEFT(Database!NVG2,3)</f>
        <v/>
      </c>
      <c r="NUO2" t="str">
        <f>LEFT(Database!NVH2,3)</f>
        <v/>
      </c>
      <c r="NUP2" t="str">
        <f>LEFT(Database!NVI2,3)</f>
        <v/>
      </c>
      <c r="NUQ2" t="str">
        <f>LEFT(Database!NVJ2,3)</f>
        <v/>
      </c>
      <c r="NUR2" t="str">
        <f>LEFT(Database!NVK2,3)</f>
        <v/>
      </c>
      <c r="NUS2" t="str">
        <f>LEFT(Database!NVL2,3)</f>
        <v/>
      </c>
      <c r="NUT2" t="str">
        <f>LEFT(Database!NVM2,3)</f>
        <v/>
      </c>
      <c r="NUU2" t="str">
        <f>LEFT(Database!NVN2,3)</f>
        <v/>
      </c>
      <c r="NUV2" t="str">
        <f>LEFT(Database!NVO2,3)</f>
        <v/>
      </c>
      <c r="NUW2" t="str">
        <f>LEFT(Database!NVP2,3)</f>
        <v/>
      </c>
      <c r="NUX2" t="str">
        <f>LEFT(Database!NVQ2,3)</f>
        <v/>
      </c>
      <c r="NUY2" t="str">
        <f>LEFT(Database!NVR2,3)</f>
        <v/>
      </c>
      <c r="NUZ2" t="str">
        <f>LEFT(Database!NVS2,3)</f>
        <v/>
      </c>
      <c r="NVA2" t="str">
        <f>LEFT(Database!NVT2,3)</f>
        <v/>
      </c>
      <c r="NVB2" t="str">
        <f>LEFT(Database!NVU2,3)</f>
        <v/>
      </c>
      <c r="NVC2" t="str">
        <f>LEFT(Database!NVV2,3)</f>
        <v/>
      </c>
      <c r="NVD2" t="str">
        <f>LEFT(Database!NVW2,3)</f>
        <v/>
      </c>
      <c r="NVE2" t="str">
        <f>LEFT(Database!NVX2,3)</f>
        <v/>
      </c>
      <c r="NVF2" t="str">
        <f>LEFT(Database!NVY2,3)</f>
        <v/>
      </c>
      <c r="NVG2" t="str">
        <f>LEFT(Database!NVZ2,3)</f>
        <v/>
      </c>
      <c r="NVH2" t="str">
        <f>LEFT(Database!NWA2,3)</f>
        <v/>
      </c>
      <c r="NVI2" t="str">
        <f>LEFT(Database!NWB2,3)</f>
        <v/>
      </c>
      <c r="NVJ2" t="str">
        <f>LEFT(Database!NWC2,3)</f>
        <v/>
      </c>
      <c r="NVK2" t="str">
        <f>LEFT(Database!NWD2,3)</f>
        <v/>
      </c>
      <c r="NVL2" t="str">
        <f>LEFT(Database!NWE2,3)</f>
        <v/>
      </c>
      <c r="NVM2" t="str">
        <f>LEFT(Database!NWF2,3)</f>
        <v/>
      </c>
      <c r="NVN2" t="str">
        <f>LEFT(Database!NWG2,3)</f>
        <v/>
      </c>
      <c r="NVO2" t="str">
        <f>LEFT(Database!NWH2,3)</f>
        <v/>
      </c>
      <c r="NVP2" t="str">
        <f>LEFT(Database!NWI2,3)</f>
        <v/>
      </c>
      <c r="NVQ2" t="str">
        <f>LEFT(Database!NWJ2,3)</f>
        <v/>
      </c>
      <c r="NVR2" t="str">
        <f>LEFT(Database!NWK2,3)</f>
        <v/>
      </c>
      <c r="NVS2" t="str">
        <f>LEFT(Database!NWL2,3)</f>
        <v/>
      </c>
      <c r="NVT2" t="str">
        <f>LEFT(Database!NWM2,3)</f>
        <v/>
      </c>
      <c r="NVU2" t="str">
        <f>LEFT(Database!NWN2,3)</f>
        <v/>
      </c>
      <c r="NVV2" t="str">
        <f>LEFT(Database!NWO2,3)</f>
        <v/>
      </c>
      <c r="NVW2" t="str">
        <f>LEFT(Database!NWP2,3)</f>
        <v/>
      </c>
      <c r="NVX2" t="str">
        <f>LEFT(Database!NWQ2,3)</f>
        <v/>
      </c>
      <c r="NVY2" t="str">
        <f>LEFT(Database!NWR2,3)</f>
        <v/>
      </c>
      <c r="NVZ2" t="str">
        <f>LEFT(Database!NWS2,3)</f>
        <v/>
      </c>
      <c r="NWA2" t="str">
        <f>LEFT(Database!NWT2,3)</f>
        <v/>
      </c>
      <c r="NWB2" t="str">
        <f>LEFT(Database!NWU2,3)</f>
        <v/>
      </c>
      <c r="NWC2" t="str">
        <f>LEFT(Database!NWV2,3)</f>
        <v/>
      </c>
      <c r="NWD2" t="str">
        <f>LEFT(Database!NWW2,3)</f>
        <v/>
      </c>
      <c r="NWE2" t="str">
        <f>LEFT(Database!NWX2,3)</f>
        <v/>
      </c>
      <c r="NWF2" t="str">
        <f>LEFT(Database!NWY2,3)</f>
        <v/>
      </c>
      <c r="NWG2" t="str">
        <f>LEFT(Database!NWZ2,3)</f>
        <v/>
      </c>
      <c r="NWH2" t="str">
        <f>LEFT(Database!NXA2,3)</f>
        <v/>
      </c>
      <c r="NWI2" t="str">
        <f>LEFT(Database!NXB2,3)</f>
        <v/>
      </c>
      <c r="NWJ2" t="str">
        <f>LEFT(Database!NXC2,3)</f>
        <v/>
      </c>
      <c r="NWK2" t="str">
        <f>LEFT(Database!NXD2,3)</f>
        <v/>
      </c>
      <c r="NWL2" t="str">
        <f>LEFT(Database!NXE2,3)</f>
        <v/>
      </c>
      <c r="NWM2" t="str">
        <f>LEFT(Database!NXF2,3)</f>
        <v/>
      </c>
      <c r="NWN2" t="str">
        <f>LEFT(Database!NXG2,3)</f>
        <v/>
      </c>
      <c r="NWO2" t="str">
        <f>LEFT(Database!NXH2,3)</f>
        <v/>
      </c>
      <c r="NWP2" t="str">
        <f>LEFT(Database!NXI2,3)</f>
        <v/>
      </c>
      <c r="NWQ2" t="str">
        <f>LEFT(Database!NXJ2,3)</f>
        <v/>
      </c>
      <c r="NWR2" t="str">
        <f>LEFT(Database!NXK2,3)</f>
        <v/>
      </c>
      <c r="NWS2" t="str">
        <f>LEFT(Database!NXL2,3)</f>
        <v/>
      </c>
      <c r="NWT2" t="str">
        <f>LEFT(Database!NXM2,3)</f>
        <v/>
      </c>
      <c r="NWU2" t="str">
        <f>LEFT(Database!NXN2,3)</f>
        <v/>
      </c>
      <c r="NWV2" t="str">
        <f>LEFT(Database!NXO2,3)</f>
        <v/>
      </c>
      <c r="NWW2" t="str">
        <f>LEFT(Database!NXP2,3)</f>
        <v/>
      </c>
      <c r="NWX2" t="str">
        <f>LEFT(Database!NXQ2,3)</f>
        <v/>
      </c>
      <c r="NWY2" t="str">
        <f>LEFT(Database!NXR2,3)</f>
        <v/>
      </c>
      <c r="NWZ2" t="str">
        <f>LEFT(Database!NXS2,3)</f>
        <v/>
      </c>
      <c r="NXA2" t="str">
        <f>LEFT(Database!NXT2,3)</f>
        <v/>
      </c>
      <c r="NXB2" t="str">
        <f>LEFT(Database!NXU2,3)</f>
        <v/>
      </c>
      <c r="NXC2" t="str">
        <f>LEFT(Database!NXV2,3)</f>
        <v/>
      </c>
      <c r="NXD2" t="str">
        <f>LEFT(Database!NXW2,3)</f>
        <v/>
      </c>
      <c r="NXE2" t="str">
        <f>LEFT(Database!NXX2,3)</f>
        <v/>
      </c>
      <c r="NXF2" t="str">
        <f>LEFT(Database!NXY2,3)</f>
        <v/>
      </c>
      <c r="NXG2" t="str">
        <f>LEFT(Database!NXZ2,3)</f>
        <v/>
      </c>
      <c r="NXH2" t="str">
        <f>LEFT(Database!NYA2,3)</f>
        <v/>
      </c>
      <c r="NXI2" t="str">
        <f>LEFT(Database!NYB2,3)</f>
        <v/>
      </c>
      <c r="NXJ2" t="str">
        <f>LEFT(Database!NYC2,3)</f>
        <v/>
      </c>
      <c r="NXK2" t="str">
        <f>LEFT(Database!NYD2,3)</f>
        <v/>
      </c>
      <c r="NXL2" t="str">
        <f>LEFT(Database!NYE2,3)</f>
        <v/>
      </c>
      <c r="NXM2" t="str">
        <f>LEFT(Database!NYF2,3)</f>
        <v/>
      </c>
      <c r="NXN2" t="str">
        <f>LEFT(Database!NYG2,3)</f>
        <v/>
      </c>
      <c r="NXO2" t="str">
        <f>LEFT(Database!NYH2,3)</f>
        <v/>
      </c>
      <c r="NXP2" t="str">
        <f>LEFT(Database!NYI2,3)</f>
        <v/>
      </c>
      <c r="NXQ2" t="str">
        <f>LEFT(Database!NYJ2,3)</f>
        <v/>
      </c>
      <c r="NXR2" t="str">
        <f>LEFT(Database!NYK2,3)</f>
        <v/>
      </c>
      <c r="NXS2" t="str">
        <f>LEFT(Database!NYL2,3)</f>
        <v/>
      </c>
      <c r="NXT2" t="str">
        <f>LEFT(Database!NYM2,3)</f>
        <v/>
      </c>
      <c r="NXU2" t="str">
        <f>LEFT(Database!NYN2,3)</f>
        <v/>
      </c>
      <c r="NXV2" t="str">
        <f>LEFT(Database!NYO2,3)</f>
        <v/>
      </c>
      <c r="NXW2" t="str">
        <f>LEFT(Database!NYP2,3)</f>
        <v/>
      </c>
      <c r="NXX2" t="str">
        <f>LEFT(Database!NYQ2,3)</f>
        <v/>
      </c>
      <c r="NXY2" t="str">
        <f>LEFT(Database!NYR2,3)</f>
        <v/>
      </c>
      <c r="NXZ2" t="str">
        <f>LEFT(Database!NYS2,3)</f>
        <v/>
      </c>
      <c r="NYA2" t="str">
        <f>LEFT(Database!NYT2,3)</f>
        <v/>
      </c>
      <c r="NYB2" t="str">
        <f>LEFT(Database!NYU2,3)</f>
        <v/>
      </c>
      <c r="NYC2" t="str">
        <f>LEFT(Database!NYV2,3)</f>
        <v/>
      </c>
      <c r="NYD2" t="str">
        <f>LEFT(Database!NYW2,3)</f>
        <v/>
      </c>
      <c r="NYE2" t="str">
        <f>LEFT(Database!NYX2,3)</f>
        <v/>
      </c>
      <c r="NYF2" t="str">
        <f>LEFT(Database!NYY2,3)</f>
        <v/>
      </c>
      <c r="NYG2" t="str">
        <f>LEFT(Database!NYZ2,3)</f>
        <v/>
      </c>
      <c r="NYH2" t="str">
        <f>LEFT(Database!NZA2,3)</f>
        <v/>
      </c>
      <c r="NYI2" t="str">
        <f>LEFT(Database!NZB2,3)</f>
        <v/>
      </c>
      <c r="NYJ2" t="str">
        <f>LEFT(Database!NZC2,3)</f>
        <v/>
      </c>
      <c r="NYK2" t="str">
        <f>LEFT(Database!NZD2,3)</f>
        <v/>
      </c>
      <c r="NYL2" t="str">
        <f>LEFT(Database!NZE2,3)</f>
        <v/>
      </c>
      <c r="NYM2" t="str">
        <f>LEFT(Database!NZF2,3)</f>
        <v/>
      </c>
      <c r="NYN2" t="str">
        <f>LEFT(Database!NZG2,3)</f>
        <v/>
      </c>
      <c r="NYO2" t="str">
        <f>LEFT(Database!NZH2,3)</f>
        <v/>
      </c>
      <c r="NYP2" t="str">
        <f>LEFT(Database!NZI2,3)</f>
        <v/>
      </c>
      <c r="NYQ2" t="str">
        <f>LEFT(Database!NZJ2,3)</f>
        <v/>
      </c>
      <c r="NYR2" t="str">
        <f>LEFT(Database!NZK2,3)</f>
        <v/>
      </c>
      <c r="NYS2" t="str">
        <f>LEFT(Database!NZL2,3)</f>
        <v/>
      </c>
      <c r="NYT2" t="str">
        <f>LEFT(Database!NZM2,3)</f>
        <v/>
      </c>
      <c r="NYU2" t="str">
        <f>LEFT(Database!NZN2,3)</f>
        <v/>
      </c>
      <c r="NYV2" t="str">
        <f>LEFT(Database!NZO2,3)</f>
        <v/>
      </c>
      <c r="NYW2" t="str">
        <f>LEFT(Database!NZP2,3)</f>
        <v/>
      </c>
      <c r="NYX2" t="str">
        <f>LEFT(Database!NZQ2,3)</f>
        <v/>
      </c>
      <c r="NYY2" t="str">
        <f>LEFT(Database!NZR2,3)</f>
        <v/>
      </c>
      <c r="NYZ2" t="str">
        <f>LEFT(Database!NZS2,3)</f>
        <v/>
      </c>
      <c r="NZA2" t="str">
        <f>LEFT(Database!NZT2,3)</f>
        <v/>
      </c>
      <c r="NZB2" t="str">
        <f>LEFT(Database!NZU2,3)</f>
        <v/>
      </c>
      <c r="NZC2" t="str">
        <f>LEFT(Database!NZV2,3)</f>
        <v/>
      </c>
      <c r="NZD2" t="str">
        <f>LEFT(Database!NZW2,3)</f>
        <v/>
      </c>
      <c r="NZE2" t="str">
        <f>LEFT(Database!NZX2,3)</f>
        <v/>
      </c>
      <c r="NZF2" t="str">
        <f>LEFT(Database!NZY2,3)</f>
        <v/>
      </c>
      <c r="NZG2" t="str">
        <f>LEFT(Database!NZZ2,3)</f>
        <v/>
      </c>
      <c r="NZH2" t="str">
        <f>LEFT(Database!OAA2,3)</f>
        <v/>
      </c>
      <c r="NZI2" t="str">
        <f>LEFT(Database!OAB2,3)</f>
        <v/>
      </c>
      <c r="NZJ2" t="str">
        <f>LEFT(Database!OAC2,3)</f>
        <v/>
      </c>
      <c r="NZK2" t="str">
        <f>LEFT(Database!OAD2,3)</f>
        <v/>
      </c>
      <c r="NZL2" t="str">
        <f>LEFT(Database!OAE2,3)</f>
        <v/>
      </c>
      <c r="NZM2" t="str">
        <f>LEFT(Database!OAF2,3)</f>
        <v/>
      </c>
      <c r="NZN2" t="str">
        <f>LEFT(Database!OAG2,3)</f>
        <v/>
      </c>
      <c r="NZO2" t="str">
        <f>LEFT(Database!OAH2,3)</f>
        <v/>
      </c>
      <c r="NZP2" t="str">
        <f>LEFT(Database!OAI2,3)</f>
        <v/>
      </c>
      <c r="NZQ2" t="str">
        <f>LEFT(Database!OAJ2,3)</f>
        <v/>
      </c>
      <c r="NZR2" t="str">
        <f>LEFT(Database!OAK2,3)</f>
        <v/>
      </c>
      <c r="NZS2" t="str">
        <f>LEFT(Database!OAL2,3)</f>
        <v/>
      </c>
      <c r="NZT2" t="str">
        <f>LEFT(Database!OAM2,3)</f>
        <v/>
      </c>
      <c r="NZU2" t="str">
        <f>LEFT(Database!OAN2,3)</f>
        <v/>
      </c>
      <c r="NZV2" t="str">
        <f>LEFT(Database!OAO2,3)</f>
        <v/>
      </c>
      <c r="NZW2" t="str">
        <f>LEFT(Database!OAP2,3)</f>
        <v/>
      </c>
      <c r="NZX2" t="str">
        <f>LEFT(Database!OAQ2,3)</f>
        <v/>
      </c>
      <c r="NZY2" t="str">
        <f>LEFT(Database!OAR2,3)</f>
        <v/>
      </c>
      <c r="NZZ2" t="str">
        <f>LEFT(Database!OAS2,3)</f>
        <v/>
      </c>
      <c r="OAA2" t="str">
        <f>LEFT(Database!OAT2,3)</f>
        <v/>
      </c>
      <c r="OAB2" t="str">
        <f>LEFT(Database!OAU2,3)</f>
        <v/>
      </c>
      <c r="OAC2" t="str">
        <f>LEFT(Database!OAV2,3)</f>
        <v/>
      </c>
      <c r="OAD2" t="str">
        <f>LEFT(Database!OAW2,3)</f>
        <v/>
      </c>
      <c r="OAE2" t="str">
        <f>LEFT(Database!OAX2,3)</f>
        <v/>
      </c>
      <c r="OAF2" t="str">
        <f>LEFT(Database!OAY2,3)</f>
        <v/>
      </c>
      <c r="OAG2" t="str">
        <f>LEFT(Database!OAZ2,3)</f>
        <v/>
      </c>
      <c r="OAH2" t="str">
        <f>LEFT(Database!OBA2,3)</f>
        <v/>
      </c>
      <c r="OAI2" t="str">
        <f>LEFT(Database!OBB2,3)</f>
        <v/>
      </c>
      <c r="OAJ2" t="str">
        <f>LEFT(Database!OBC2,3)</f>
        <v/>
      </c>
      <c r="OAK2" t="str">
        <f>LEFT(Database!OBD2,3)</f>
        <v/>
      </c>
      <c r="OAL2" t="str">
        <f>LEFT(Database!OBE2,3)</f>
        <v/>
      </c>
      <c r="OAM2" t="str">
        <f>LEFT(Database!OBF2,3)</f>
        <v/>
      </c>
      <c r="OAN2" t="str">
        <f>LEFT(Database!OBG2,3)</f>
        <v/>
      </c>
      <c r="OAO2" t="str">
        <f>LEFT(Database!OBH2,3)</f>
        <v/>
      </c>
      <c r="OAP2" t="str">
        <f>LEFT(Database!OBI2,3)</f>
        <v/>
      </c>
      <c r="OAQ2" t="str">
        <f>LEFT(Database!OBJ2,3)</f>
        <v/>
      </c>
      <c r="OAR2" t="str">
        <f>LEFT(Database!OBK2,3)</f>
        <v/>
      </c>
      <c r="OAS2" t="str">
        <f>LEFT(Database!OBL2,3)</f>
        <v/>
      </c>
      <c r="OAT2" t="str">
        <f>LEFT(Database!OBM2,3)</f>
        <v/>
      </c>
      <c r="OAU2" t="str">
        <f>LEFT(Database!OBN2,3)</f>
        <v/>
      </c>
      <c r="OAV2" t="str">
        <f>LEFT(Database!OBO2,3)</f>
        <v/>
      </c>
      <c r="OAW2" t="str">
        <f>LEFT(Database!OBP2,3)</f>
        <v/>
      </c>
      <c r="OAX2" t="str">
        <f>LEFT(Database!OBQ2,3)</f>
        <v/>
      </c>
      <c r="OAY2" t="str">
        <f>LEFT(Database!OBR2,3)</f>
        <v/>
      </c>
      <c r="OAZ2" t="str">
        <f>LEFT(Database!OBS2,3)</f>
        <v/>
      </c>
      <c r="OBA2" t="str">
        <f>LEFT(Database!OBT2,3)</f>
        <v/>
      </c>
      <c r="OBB2" t="str">
        <f>LEFT(Database!OBU2,3)</f>
        <v/>
      </c>
      <c r="OBC2" t="str">
        <f>LEFT(Database!OBV2,3)</f>
        <v/>
      </c>
      <c r="OBD2" t="str">
        <f>LEFT(Database!OBW2,3)</f>
        <v/>
      </c>
      <c r="OBE2" t="str">
        <f>LEFT(Database!OBX2,3)</f>
        <v/>
      </c>
      <c r="OBF2" t="str">
        <f>LEFT(Database!OBY2,3)</f>
        <v/>
      </c>
      <c r="OBG2" t="str">
        <f>LEFT(Database!OBZ2,3)</f>
        <v/>
      </c>
      <c r="OBH2" t="str">
        <f>LEFT(Database!OCA2,3)</f>
        <v/>
      </c>
      <c r="OBI2" t="str">
        <f>LEFT(Database!OCB2,3)</f>
        <v/>
      </c>
      <c r="OBJ2" t="str">
        <f>LEFT(Database!OCC2,3)</f>
        <v/>
      </c>
      <c r="OBK2" t="str">
        <f>LEFT(Database!OCD2,3)</f>
        <v/>
      </c>
      <c r="OBL2" t="str">
        <f>LEFT(Database!OCE2,3)</f>
        <v/>
      </c>
      <c r="OBM2" t="str">
        <f>LEFT(Database!OCF2,3)</f>
        <v/>
      </c>
      <c r="OBN2" t="str">
        <f>LEFT(Database!OCG2,3)</f>
        <v/>
      </c>
      <c r="OBO2" t="str">
        <f>LEFT(Database!OCH2,3)</f>
        <v/>
      </c>
      <c r="OBP2" t="str">
        <f>LEFT(Database!OCI2,3)</f>
        <v/>
      </c>
      <c r="OBQ2" t="str">
        <f>LEFT(Database!OCJ2,3)</f>
        <v/>
      </c>
      <c r="OBR2" t="str">
        <f>LEFT(Database!OCK2,3)</f>
        <v/>
      </c>
      <c r="OBS2" t="str">
        <f>LEFT(Database!OCL2,3)</f>
        <v/>
      </c>
      <c r="OBT2" t="str">
        <f>LEFT(Database!OCM2,3)</f>
        <v/>
      </c>
      <c r="OBU2" t="str">
        <f>LEFT(Database!OCN2,3)</f>
        <v/>
      </c>
      <c r="OBV2" t="str">
        <f>LEFT(Database!OCO2,3)</f>
        <v/>
      </c>
      <c r="OBW2" t="str">
        <f>LEFT(Database!OCP2,3)</f>
        <v/>
      </c>
      <c r="OBX2" t="str">
        <f>LEFT(Database!OCQ2,3)</f>
        <v/>
      </c>
      <c r="OBY2" t="str">
        <f>LEFT(Database!OCR2,3)</f>
        <v/>
      </c>
      <c r="OBZ2" t="str">
        <f>LEFT(Database!OCS2,3)</f>
        <v/>
      </c>
      <c r="OCA2" t="str">
        <f>LEFT(Database!OCT2,3)</f>
        <v/>
      </c>
      <c r="OCB2" t="str">
        <f>LEFT(Database!OCU2,3)</f>
        <v/>
      </c>
      <c r="OCC2" t="str">
        <f>LEFT(Database!OCV2,3)</f>
        <v/>
      </c>
      <c r="OCD2" t="str">
        <f>LEFT(Database!OCW2,3)</f>
        <v/>
      </c>
      <c r="OCE2" t="str">
        <f>LEFT(Database!OCX2,3)</f>
        <v/>
      </c>
      <c r="OCF2" t="str">
        <f>LEFT(Database!OCY2,3)</f>
        <v/>
      </c>
      <c r="OCG2" t="str">
        <f>LEFT(Database!OCZ2,3)</f>
        <v/>
      </c>
      <c r="OCH2" t="str">
        <f>LEFT(Database!ODA2,3)</f>
        <v/>
      </c>
      <c r="OCI2" t="str">
        <f>LEFT(Database!ODB2,3)</f>
        <v/>
      </c>
      <c r="OCJ2" t="str">
        <f>LEFT(Database!ODC2,3)</f>
        <v/>
      </c>
      <c r="OCK2" t="str">
        <f>LEFT(Database!ODD2,3)</f>
        <v/>
      </c>
      <c r="OCL2" t="str">
        <f>LEFT(Database!ODE2,3)</f>
        <v/>
      </c>
      <c r="OCM2" t="str">
        <f>LEFT(Database!ODF2,3)</f>
        <v/>
      </c>
      <c r="OCN2" t="str">
        <f>LEFT(Database!ODG2,3)</f>
        <v/>
      </c>
      <c r="OCO2" t="str">
        <f>LEFT(Database!ODH2,3)</f>
        <v/>
      </c>
      <c r="OCP2" t="str">
        <f>LEFT(Database!ODI2,3)</f>
        <v/>
      </c>
      <c r="OCQ2" t="str">
        <f>LEFT(Database!ODJ2,3)</f>
        <v/>
      </c>
      <c r="OCR2" t="str">
        <f>LEFT(Database!ODK2,3)</f>
        <v/>
      </c>
      <c r="OCS2" t="str">
        <f>LEFT(Database!ODL2,3)</f>
        <v/>
      </c>
      <c r="OCT2" t="str">
        <f>LEFT(Database!ODM2,3)</f>
        <v/>
      </c>
      <c r="OCU2" t="str">
        <f>LEFT(Database!ODN2,3)</f>
        <v/>
      </c>
      <c r="OCV2" t="str">
        <f>LEFT(Database!ODO2,3)</f>
        <v/>
      </c>
      <c r="OCW2" t="str">
        <f>LEFT(Database!ODP2,3)</f>
        <v/>
      </c>
      <c r="OCX2" t="str">
        <f>LEFT(Database!ODQ2,3)</f>
        <v/>
      </c>
      <c r="OCY2" t="str">
        <f>LEFT(Database!ODR2,3)</f>
        <v/>
      </c>
      <c r="OCZ2" t="str">
        <f>LEFT(Database!ODS2,3)</f>
        <v/>
      </c>
      <c r="ODA2" t="str">
        <f>LEFT(Database!ODT2,3)</f>
        <v/>
      </c>
      <c r="ODB2" t="str">
        <f>LEFT(Database!ODU2,3)</f>
        <v/>
      </c>
      <c r="ODC2" t="str">
        <f>LEFT(Database!ODV2,3)</f>
        <v/>
      </c>
      <c r="ODD2" t="str">
        <f>LEFT(Database!ODW2,3)</f>
        <v/>
      </c>
      <c r="ODE2" t="str">
        <f>LEFT(Database!ODX2,3)</f>
        <v/>
      </c>
      <c r="ODF2" t="str">
        <f>LEFT(Database!ODY2,3)</f>
        <v/>
      </c>
      <c r="ODG2" t="str">
        <f>LEFT(Database!ODZ2,3)</f>
        <v/>
      </c>
      <c r="ODH2" t="str">
        <f>LEFT(Database!OEA2,3)</f>
        <v/>
      </c>
      <c r="ODI2" t="str">
        <f>LEFT(Database!OEB2,3)</f>
        <v/>
      </c>
      <c r="ODJ2" t="str">
        <f>LEFT(Database!OEC2,3)</f>
        <v/>
      </c>
      <c r="ODK2" t="str">
        <f>LEFT(Database!OED2,3)</f>
        <v/>
      </c>
      <c r="ODL2" t="str">
        <f>LEFT(Database!OEE2,3)</f>
        <v/>
      </c>
      <c r="ODM2" t="str">
        <f>LEFT(Database!OEF2,3)</f>
        <v/>
      </c>
      <c r="ODN2" t="str">
        <f>LEFT(Database!OEG2,3)</f>
        <v/>
      </c>
      <c r="ODO2" t="str">
        <f>LEFT(Database!OEH2,3)</f>
        <v/>
      </c>
      <c r="ODP2" t="str">
        <f>LEFT(Database!OEI2,3)</f>
        <v/>
      </c>
      <c r="ODQ2" t="str">
        <f>LEFT(Database!OEJ2,3)</f>
        <v/>
      </c>
      <c r="ODR2" t="str">
        <f>LEFT(Database!OEK2,3)</f>
        <v/>
      </c>
      <c r="ODS2" t="str">
        <f>LEFT(Database!OEL2,3)</f>
        <v/>
      </c>
      <c r="ODT2" t="str">
        <f>LEFT(Database!OEM2,3)</f>
        <v/>
      </c>
      <c r="ODU2" t="str">
        <f>LEFT(Database!OEN2,3)</f>
        <v/>
      </c>
      <c r="ODV2" t="str">
        <f>LEFT(Database!OEO2,3)</f>
        <v/>
      </c>
      <c r="ODW2" t="str">
        <f>LEFT(Database!OEP2,3)</f>
        <v/>
      </c>
      <c r="ODX2" t="str">
        <f>LEFT(Database!OEQ2,3)</f>
        <v/>
      </c>
      <c r="ODY2" t="str">
        <f>LEFT(Database!OER2,3)</f>
        <v/>
      </c>
      <c r="ODZ2" t="str">
        <f>LEFT(Database!OES2,3)</f>
        <v/>
      </c>
      <c r="OEA2" t="str">
        <f>LEFT(Database!OET2,3)</f>
        <v/>
      </c>
      <c r="OEB2" t="str">
        <f>LEFT(Database!OEU2,3)</f>
        <v/>
      </c>
      <c r="OEC2" t="str">
        <f>LEFT(Database!OEV2,3)</f>
        <v/>
      </c>
      <c r="OED2" t="str">
        <f>LEFT(Database!OEW2,3)</f>
        <v/>
      </c>
      <c r="OEE2" t="str">
        <f>LEFT(Database!OEX2,3)</f>
        <v/>
      </c>
      <c r="OEF2" t="str">
        <f>LEFT(Database!OEY2,3)</f>
        <v/>
      </c>
      <c r="OEG2" t="str">
        <f>LEFT(Database!OEZ2,3)</f>
        <v/>
      </c>
      <c r="OEH2" t="str">
        <f>LEFT(Database!OFA2,3)</f>
        <v/>
      </c>
      <c r="OEI2" t="str">
        <f>LEFT(Database!OFB2,3)</f>
        <v/>
      </c>
      <c r="OEJ2" t="str">
        <f>LEFT(Database!OFC2,3)</f>
        <v/>
      </c>
      <c r="OEK2" t="str">
        <f>LEFT(Database!OFD2,3)</f>
        <v/>
      </c>
      <c r="OEL2" t="str">
        <f>LEFT(Database!OFE2,3)</f>
        <v/>
      </c>
      <c r="OEM2" t="str">
        <f>LEFT(Database!OFF2,3)</f>
        <v/>
      </c>
      <c r="OEN2" t="str">
        <f>LEFT(Database!OFG2,3)</f>
        <v/>
      </c>
      <c r="OEO2" t="str">
        <f>LEFT(Database!OFH2,3)</f>
        <v/>
      </c>
      <c r="OEP2" t="str">
        <f>LEFT(Database!OFI2,3)</f>
        <v/>
      </c>
      <c r="OEQ2" t="str">
        <f>LEFT(Database!OFJ2,3)</f>
        <v/>
      </c>
      <c r="OER2" t="str">
        <f>LEFT(Database!OFK2,3)</f>
        <v/>
      </c>
      <c r="OES2" t="str">
        <f>LEFT(Database!OFL2,3)</f>
        <v/>
      </c>
      <c r="OET2" t="str">
        <f>LEFT(Database!OFM2,3)</f>
        <v/>
      </c>
      <c r="OEU2" t="str">
        <f>LEFT(Database!OFN2,3)</f>
        <v/>
      </c>
      <c r="OEV2" t="str">
        <f>LEFT(Database!OFO2,3)</f>
        <v/>
      </c>
      <c r="OEW2" t="str">
        <f>LEFT(Database!OFP2,3)</f>
        <v/>
      </c>
      <c r="OEX2" t="str">
        <f>LEFT(Database!OFQ2,3)</f>
        <v/>
      </c>
      <c r="OEY2" t="str">
        <f>LEFT(Database!OFR2,3)</f>
        <v/>
      </c>
      <c r="OEZ2" t="str">
        <f>LEFT(Database!OFS2,3)</f>
        <v/>
      </c>
      <c r="OFA2" t="str">
        <f>LEFT(Database!OFT2,3)</f>
        <v/>
      </c>
      <c r="OFB2" t="str">
        <f>LEFT(Database!OFU2,3)</f>
        <v/>
      </c>
      <c r="OFC2" t="str">
        <f>LEFT(Database!OFV2,3)</f>
        <v/>
      </c>
      <c r="OFD2" t="str">
        <f>LEFT(Database!OFW2,3)</f>
        <v/>
      </c>
      <c r="OFE2" t="str">
        <f>LEFT(Database!OFX2,3)</f>
        <v/>
      </c>
      <c r="OFF2" t="str">
        <f>LEFT(Database!OFY2,3)</f>
        <v/>
      </c>
      <c r="OFG2" t="str">
        <f>LEFT(Database!OFZ2,3)</f>
        <v/>
      </c>
      <c r="OFH2" t="str">
        <f>LEFT(Database!OGA2,3)</f>
        <v/>
      </c>
      <c r="OFI2" t="str">
        <f>LEFT(Database!OGB2,3)</f>
        <v/>
      </c>
      <c r="OFJ2" t="str">
        <f>LEFT(Database!OGC2,3)</f>
        <v/>
      </c>
      <c r="OFK2" t="str">
        <f>LEFT(Database!OGD2,3)</f>
        <v/>
      </c>
      <c r="OFL2" t="str">
        <f>LEFT(Database!OGE2,3)</f>
        <v/>
      </c>
      <c r="OFM2" t="str">
        <f>LEFT(Database!OGF2,3)</f>
        <v/>
      </c>
      <c r="OFN2" t="str">
        <f>LEFT(Database!OGG2,3)</f>
        <v/>
      </c>
      <c r="OFO2" t="str">
        <f>LEFT(Database!OGH2,3)</f>
        <v/>
      </c>
      <c r="OFP2" t="str">
        <f>LEFT(Database!OGI2,3)</f>
        <v/>
      </c>
      <c r="OFQ2" t="str">
        <f>LEFT(Database!OGJ2,3)</f>
        <v/>
      </c>
      <c r="OFR2" t="str">
        <f>LEFT(Database!OGK2,3)</f>
        <v/>
      </c>
      <c r="OFS2" t="str">
        <f>LEFT(Database!OGL2,3)</f>
        <v/>
      </c>
      <c r="OFT2" t="str">
        <f>LEFT(Database!OGM2,3)</f>
        <v/>
      </c>
      <c r="OFU2" t="str">
        <f>LEFT(Database!OGN2,3)</f>
        <v/>
      </c>
      <c r="OFV2" t="str">
        <f>LEFT(Database!OGO2,3)</f>
        <v/>
      </c>
      <c r="OFW2" t="str">
        <f>LEFT(Database!OGP2,3)</f>
        <v/>
      </c>
      <c r="OFX2" t="str">
        <f>LEFT(Database!OGQ2,3)</f>
        <v/>
      </c>
      <c r="OFY2" t="str">
        <f>LEFT(Database!OGR2,3)</f>
        <v/>
      </c>
      <c r="OFZ2" t="str">
        <f>LEFT(Database!OGS2,3)</f>
        <v/>
      </c>
      <c r="OGA2" t="str">
        <f>LEFT(Database!OGT2,3)</f>
        <v/>
      </c>
      <c r="OGB2" t="str">
        <f>LEFT(Database!OGU2,3)</f>
        <v/>
      </c>
      <c r="OGC2" t="str">
        <f>LEFT(Database!OGV2,3)</f>
        <v/>
      </c>
      <c r="OGD2" t="str">
        <f>LEFT(Database!OGW2,3)</f>
        <v/>
      </c>
      <c r="OGE2" t="str">
        <f>LEFT(Database!OGX2,3)</f>
        <v/>
      </c>
      <c r="OGF2" t="str">
        <f>LEFT(Database!OGY2,3)</f>
        <v/>
      </c>
      <c r="OGG2" t="str">
        <f>LEFT(Database!OGZ2,3)</f>
        <v/>
      </c>
      <c r="OGH2" t="str">
        <f>LEFT(Database!OHA2,3)</f>
        <v/>
      </c>
      <c r="OGI2" t="str">
        <f>LEFT(Database!OHB2,3)</f>
        <v/>
      </c>
      <c r="OGJ2" t="str">
        <f>LEFT(Database!OHC2,3)</f>
        <v/>
      </c>
      <c r="OGK2" t="str">
        <f>LEFT(Database!OHD2,3)</f>
        <v/>
      </c>
      <c r="OGL2" t="str">
        <f>LEFT(Database!OHE2,3)</f>
        <v/>
      </c>
      <c r="OGM2" t="str">
        <f>LEFT(Database!OHF2,3)</f>
        <v/>
      </c>
      <c r="OGN2" t="str">
        <f>LEFT(Database!OHG2,3)</f>
        <v/>
      </c>
      <c r="OGO2" t="str">
        <f>LEFT(Database!OHH2,3)</f>
        <v/>
      </c>
      <c r="OGP2" t="str">
        <f>LEFT(Database!OHI2,3)</f>
        <v/>
      </c>
      <c r="OGQ2" t="str">
        <f>LEFT(Database!OHJ2,3)</f>
        <v/>
      </c>
      <c r="OGR2" t="str">
        <f>LEFT(Database!OHK2,3)</f>
        <v/>
      </c>
      <c r="OGS2" t="str">
        <f>LEFT(Database!OHL2,3)</f>
        <v/>
      </c>
      <c r="OGT2" t="str">
        <f>LEFT(Database!OHM2,3)</f>
        <v/>
      </c>
      <c r="OGU2" t="str">
        <f>LEFT(Database!OHN2,3)</f>
        <v/>
      </c>
      <c r="OGV2" t="str">
        <f>LEFT(Database!OHO2,3)</f>
        <v/>
      </c>
      <c r="OGW2" t="str">
        <f>LEFT(Database!OHP2,3)</f>
        <v/>
      </c>
      <c r="OGX2" t="str">
        <f>LEFT(Database!OHQ2,3)</f>
        <v/>
      </c>
      <c r="OGY2" t="str">
        <f>LEFT(Database!OHR2,3)</f>
        <v/>
      </c>
      <c r="OGZ2" t="str">
        <f>LEFT(Database!OHS2,3)</f>
        <v/>
      </c>
      <c r="OHA2" t="str">
        <f>LEFT(Database!OHT2,3)</f>
        <v/>
      </c>
      <c r="OHB2" t="str">
        <f>LEFT(Database!OHU2,3)</f>
        <v/>
      </c>
      <c r="OHC2" t="str">
        <f>LEFT(Database!OHV2,3)</f>
        <v/>
      </c>
      <c r="OHD2" t="str">
        <f>LEFT(Database!OHW2,3)</f>
        <v/>
      </c>
      <c r="OHE2" t="str">
        <f>LEFT(Database!OHX2,3)</f>
        <v/>
      </c>
      <c r="OHF2" t="str">
        <f>LEFT(Database!OHY2,3)</f>
        <v/>
      </c>
      <c r="OHG2" t="str">
        <f>LEFT(Database!OHZ2,3)</f>
        <v/>
      </c>
      <c r="OHH2" t="str">
        <f>LEFT(Database!OIA2,3)</f>
        <v/>
      </c>
      <c r="OHI2" t="str">
        <f>LEFT(Database!OIB2,3)</f>
        <v/>
      </c>
      <c r="OHJ2" t="str">
        <f>LEFT(Database!OIC2,3)</f>
        <v/>
      </c>
      <c r="OHK2" t="str">
        <f>LEFT(Database!OID2,3)</f>
        <v/>
      </c>
      <c r="OHL2" t="str">
        <f>LEFT(Database!OIE2,3)</f>
        <v/>
      </c>
      <c r="OHM2" t="str">
        <f>LEFT(Database!OIF2,3)</f>
        <v/>
      </c>
      <c r="OHN2" t="str">
        <f>LEFT(Database!OIG2,3)</f>
        <v/>
      </c>
      <c r="OHO2" t="str">
        <f>LEFT(Database!OIH2,3)</f>
        <v/>
      </c>
      <c r="OHP2" t="str">
        <f>LEFT(Database!OII2,3)</f>
        <v/>
      </c>
      <c r="OHQ2" t="str">
        <f>LEFT(Database!OIJ2,3)</f>
        <v/>
      </c>
      <c r="OHR2" t="str">
        <f>LEFT(Database!OIK2,3)</f>
        <v/>
      </c>
      <c r="OHS2" t="str">
        <f>LEFT(Database!OIL2,3)</f>
        <v/>
      </c>
      <c r="OHT2" t="str">
        <f>LEFT(Database!OIM2,3)</f>
        <v/>
      </c>
      <c r="OHU2" t="str">
        <f>LEFT(Database!OIN2,3)</f>
        <v/>
      </c>
      <c r="OHV2" t="str">
        <f>LEFT(Database!OIO2,3)</f>
        <v/>
      </c>
      <c r="OHW2" t="str">
        <f>LEFT(Database!OIP2,3)</f>
        <v/>
      </c>
      <c r="OHX2" t="str">
        <f>LEFT(Database!OIQ2,3)</f>
        <v/>
      </c>
      <c r="OHY2" t="str">
        <f>LEFT(Database!OIR2,3)</f>
        <v/>
      </c>
      <c r="OHZ2" t="str">
        <f>LEFT(Database!OIS2,3)</f>
        <v/>
      </c>
      <c r="OIA2" t="str">
        <f>LEFT(Database!OIT2,3)</f>
        <v/>
      </c>
      <c r="OIB2" t="str">
        <f>LEFT(Database!OIU2,3)</f>
        <v/>
      </c>
      <c r="OIC2" t="str">
        <f>LEFT(Database!OIV2,3)</f>
        <v/>
      </c>
      <c r="OID2" t="str">
        <f>LEFT(Database!OIW2,3)</f>
        <v/>
      </c>
      <c r="OIE2" t="str">
        <f>LEFT(Database!OIX2,3)</f>
        <v/>
      </c>
      <c r="OIF2" t="str">
        <f>LEFT(Database!OIY2,3)</f>
        <v/>
      </c>
      <c r="OIG2" t="str">
        <f>LEFT(Database!OIZ2,3)</f>
        <v/>
      </c>
      <c r="OIH2" t="str">
        <f>LEFT(Database!OJA2,3)</f>
        <v/>
      </c>
      <c r="OII2" t="str">
        <f>LEFT(Database!OJB2,3)</f>
        <v/>
      </c>
      <c r="OIJ2" t="str">
        <f>LEFT(Database!OJC2,3)</f>
        <v/>
      </c>
      <c r="OIK2" t="str">
        <f>LEFT(Database!OJD2,3)</f>
        <v/>
      </c>
      <c r="OIL2" t="str">
        <f>LEFT(Database!OJE2,3)</f>
        <v/>
      </c>
      <c r="OIM2" t="str">
        <f>LEFT(Database!OJF2,3)</f>
        <v/>
      </c>
      <c r="OIN2" t="str">
        <f>LEFT(Database!OJG2,3)</f>
        <v/>
      </c>
      <c r="OIO2" t="str">
        <f>LEFT(Database!OJH2,3)</f>
        <v/>
      </c>
      <c r="OIP2" t="str">
        <f>LEFT(Database!OJI2,3)</f>
        <v/>
      </c>
      <c r="OIQ2" t="str">
        <f>LEFT(Database!OJJ2,3)</f>
        <v/>
      </c>
      <c r="OIR2" t="str">
        <f>LEFT(Database!OJK2,3)</f>
        <v/>
      </c>
      <c r="OIS2" t="str">
        <f>LEFT(Database!OJL2,3)</f>
        <v/>
      </c>
      <c r="OIT2" t="str">
        <f>LEFT(Database!OJM2,3)</f>
        <v/>
      </c>
      <c r="OIU2" t="str">
        <f>LEFT(Database!OJN2,3)</f>
        <v/>
      </c>
      <c r="OIV2" t="str">
        <f>LEFT(Database!OJO2,3)</f>
        <v/>
      </c>
      <c r="OIW2" t="str">
        <f>LEFT(Database!OJP2,3)</f>
        <v/>
      </c>
      <c r="OIX2" t="str">
        <f>LEFT(Database!OJQ2,3)</f>
        <v/>
      </c>
      <c r="OIY2" t="str">
        <f>LEFT(Database!OJR2,3)</f>
        <v/>
      </c>
      <c r="OIZ2" t="str">
        <f>LEFT(Database!OJS2,3)</f>
        <v/>
      </c>
      <c r="OJA2" t="str">
        <f>LEFT(Database!OJT2,3)</f>
        <v/>
      </c>
      <c r="OJB2" t="str">
        <f>LEFT(Database!OJU2,3)</f>
        <v/>
      </c>
      <c r="OJC2" t="str">
        <f>LEFT(Database!OJV2,3)</f>
        <v/>
      </c>
      <c r="OJD2" t="str">
        <f>LEFT(Database!OJW2,3)</f>
        <v/>
      </c>
      <c r="OJE2" t="str">
        <f>LEFT(Database!OJX2,3)</f>
        <v/>
      </c>
      <c r="OJF2" t="str">
        <f>LEFT(Database!OJY2,3)</f>
        <v/>
      </c>
      <c r="OJG2" t="str">
        <f>LEFT(Database!OJZ2,3)</f>
        <v/>
      </c>
      <c r="OJH2" t="str">
        <f>LEFT(Database!OKA2,3)</f>
        <v/>
      </c>
      <c r="OJI2" t="str">
        <f>LEFT(Database!OKB2,3)</f>
        <v/>
      </c>
      <c r="OJJ2" t="str">
        <f>LEFT(Database!OKC2,3)</f>
        <v/>
      </c>
      <c r="OJK2" t="str">
        <f>LEFT(Database!OKD2,3)</f>
        <v/>
      </c>
      <c r="OJL2" t="str">
        <f>LEFT(Database!OKE2,3)</f>
        <v/>
      </c>
      <c r="OJM2" t="str">
        <f>LEFT(Database!OKF2,3)</f>
        <v/>
      </c>
      <c r="OJN2" t="str">
        <f>LEFT(Database!OKG2,3)</f>
        <v/>
      </c>
      <c r="OJO2" t="str">
        <f>LEFT(Database!OKH2,3)</f>
        <v/>
      </c>
      <c r="OJP2" t="str">
        <f>LEFT(Database!OKI2,3)</f>
        <v/>
      </c>
      <c r="OJQ2" t="str">
        <f>LEFT(Database!OKJ2,3)</f>
        <v/>
      </c>
      <c r="OJR2" t="str">
        <f>LEFT(Database!OKK2,3)</f>
        <v/>
      </c>
      <c r="OJS2" t="str">
        <f>LEFT(Database!OKL2,3)</f>
        <v/>
      </c>
      <c r="OJT2" t="str">
        <f>LEFT(Database!OKM2,3)</f>
        <v/>
      </c>
      <c r="OJU2" t="str">
        <f>LEFT(Database!OKN2,3)</f>
        <v/>
      </c>
      <c r="OJV2" t="str">
        <f>LEFT(Database!OKO2,3)</f>
        <v/>
      </c>
      <c r="OJW2" t="str">
        <f>LEFT(Database!OKP2,3)</f>
        <v/>
      </c>
      <c r="OJX2" t="str">
        <f>LEFT(Database!OKQ2,3)</f>
        <v/>
      </c>
      <c r="OJY2" t="str">
        <f>LEFT(Database!OKR2,3)</f>
        <v/>
      </c>
      <c r="OJZ2" t="str">
        <f>LEFT(Database!OKS2,3)</f>
        <v/>
      </c>
      <c r="OKA2" t="str">
        <f>LEFT(Database!OKT2,3)</f>
        <v/>
      </c>
      <c r="OKB2" t="str">
        <f>LEFT(Database!OKU2,3)</f>
        <v/>
      </c>
      <c r="OKC2" t="str">
        <f>LEFT(Database!OKV2,3)</f>
        <v/>
      </c>
      <c r="OKD2" t="str">
        <f>LEFT(Database!OKW2,3)</f>
        <v/>
      </c>
      <c r="OKE2" t="str">
        <f>LEFT(Database!OKX2,3)</f>
        <v/>
      </c>
      <c r="OKF2" t="str">
        <f>LEFT(Database!OKY2,3)</f>
        <v/>
      </c>
      <c r="OKG2" t="str">
        <f>LEFT(Database!OKZ2,3)</f>
        <v/>
      </c>
      <c r="OKH2" t="str">
        <f>LEFT(Database!OLA2,3)</f>
        <v/>
      </c>
      <c r="OKI2" t="str">
        <f>LEFT(Database!OLB2,3)</f>
        <v/>
      </c>
      <c r="OKJ2" t="str">
        <f>LEFT(Database!OLC2,3)</f>
        <v/>
      </c>
      <c r="OKK2" t="str">
        <f>LEFT(Database!OLD2,3)</f>
        <v/>
      </c>
      <c r="OKL2" t="str">
        <f>LEFT(Database!OLE2,3)</f>
        <v/>
      </c>
      <c r="OKM2" t="str">
        <f>LEFT(Database!OLF2,3)</f>
        <v/>
      </c>
      <c r="OKN2" t="str">
        <f>LEFT(Database!OLG2,3)</f>
        <v/>
      </c>
      <c r="OKO2" t="str">
        <f>LEFT(Database!OLH2,3)</f>
        <v/>
      </c>
      <c r="OKP2" t="str">
        <f>LEFT(Database!OLI2,3)</f>
        <v/>
      </c>
      <c r="OKQ2" t="str">
        <f>LEFT(Database!OLJ2,3)</f>
        <v/>
      </c>
      <c r="OKR2" t="str">
        <f>LEFT(Database!OLK2,3)</f>
        <v/>
      </c>
      <c r="OKS2" t="str">
        <f>LEFT(Database!OLL2,3)</f>
        <v/>
      </c>
      <c r="OKT2" t="str">
        <f>LEFT(Database!OLM2,3)</f>
        <v/>
      </c>
      <c r="OKU2" t="str">
        <f>LEFT(Database!OLN2,3)</f>
        <v/>
      </c>
      <c r="OKV2" t="str">
        <f>LEFT(Database!OLO2,3)</f>
        <v/>
      </c>
      <c r="OKW2" t="str">
        <f>LEFT(Database!OLP2,3)</f>
        <v/>
      </c>
      <c r="OKX2" t="str">
        <f>LEFT(Database!OLQ2,3)</f>
        <v/>
      </c>
      <c r="OKY2" t="str">
        <f>LEFT(Database!OLR2,3)</f>
        <v/>
      </c>
      <c r="OKZ2" t="str">
        <f>LEFT(Database!OLS2,3)</f>
        <v/>
      </c>
      <c r="OLA2" t="str">
        <f>LEFT(Database!OLT2,3)</f>
        <v/>
      </c>
      <c r="OLB2" t="str">
        <f>LEFT(Database!OLU2,3)</f>
        <v/>
      </c>
      <c r="OLC2" t="str">
        <f>LEFT(Database!OLV2,3)</f>
        <v/>
      </c>
      <c r="OLD2" t="str">
        <f>LEFT(Database!OLW2,3)</f>
        <v/>
      </c>
      <c r="OLE2" t="str">
        <f>LEFT(Database!OLX2,3)</f>
        <v/>
      </c>
      <c r="OLF2" t="str">
        <f>LEFT(Database!OLY2,3)</f>
        <v/>
      </c>
      <c r="OLG2" t="str">
        <f>LEFT(Database!OLZ2,3)</f>
        <v/>
      </c>
      <c r="OLH2" t="str">
        <f>LEFT(Database!OMA2,3)</f>
        <v/>
      </c>
      <c r="OLI2" t="str">
        <f>LEFT(Database!OMB2,3)</f>
        <v/>
      </c>
      <c r="OLJ2" t="str">
        <f>LEFT(Database!OMC2,3)</f>
        <v/>
      </c>
      <c r="OLK2" t="str">
        <f>LEFT(Database!OMD2,3)</f>
        <v/>
      </c>
      <c r="OLL2" t="str">
        <f>LEFT(Database!OME2,3)</f>
        <v/>
      </c>
      <c r="OLM2" t="str">
        <f>LEFT(Database!OMF2,3)</f>
        <v/>
      </c>
      <c r="OLN2" t="str">
        <f>LEFT(Database!OMG2,3)</f>
        <v/>
      </c>
      <c r="OLO2" t="str">
        <f>LEFT(Database!OMH2,3)</f>
        <v/>
      </c>
      <c r="OLP2" t="str">
        <f>LEFT(Database!OMI2,3)</f>
        <v/>
      </c>
      <c r="OLQ2" t="str">
        <f>LEFT(Database!OMJ2,3)</f>
        <v/>
      </c>
      <c r="OLR2" t="str">
        <f>LEFT(Database!OMK2,3)</f>
        <v/>
      </c>
      <c r="OLS2" t="str">
        <f>LEFT(Database!OML2,3)</f>
        <v/>
      </c>
      <c r="OLT2" t="str">
        <f>LEFT(Database!OMM2,3)</f>
        <v/>
      </c>
      <c r="OLU2" t="str">
        <f>LEFT(Database!OMN2,3)</f>
        <v/>
      </c>
      <c r="OLV2" t="str">
        <f>LEFT(Database!OMO2,3)</f>
        <v/>
      </c>
      <c r="OLW2" t="str">
        <f>LEFT(Database!OMP2,3)</f>
        <v/>
      </c>
      <c r="OLX2" t="str">
        <f>LEFT(Database!OMQ2,3)</f>
        <v/>
      </c>
      <c r="OLY2" t="str">
        <f>LEFT(Database!OMR2,3)</f>
        <v/>
      </c>
      <c r="OLZ2" t="str">
        <f>LEFT(Database!OMS2,3)</f>
        <v/>
      </c>
      <c r="OMA2" t="str">
        <f>LEFT(Database!OMT2,3)</f>
        <v/>
      </c>
      <c r="OMB2" t="str">
        <f>LEFT(Database!OMU2,3)</f>
        <v/>
      </c>
      <c r="OMC2" t="str">
        <f>LEFT(Database!OMV2,3)</f>
        <v/>
      </c>
      <c r="OMD2" t="str">
        <f>LEFT(Database!OMW2,3)</f>
        <v/>
      </c>
      <c r="OME2" t="str">
        <f>LEFT(Database!OMX2,3)</f>
        <v/>
      </c>
      <c r="OMF2" t="str">
        <f>LEFT(Database!OMY2,3)</f>
        <v/>
      </c>
      <c r="OMG2" t="str">
        <f>LEFT(Database!OMZ2,3)</f>
        <v/>
      </c>
      <c r="OMH2" t="str">
        <f>LEFT(Database!ONA2,3)</f>
        <v/>
      </c>
      <c r="OMI2" t="str">
        <f>LEFT(Database!ONB2,3)</f>
        <v/>
      </c>
      <c r="OMJ2" t="str">
        <f>LEFT(Database!ONC2,3)</f>
        <v/>
      </c>
      <c r="OMK2" t="str">
        <f>LEFT(Database!OND2,3)</f>
        <v/>
      </c>
      <c r="OML2" t="str">
        <f>LEFT(Database!ONE2,3)</f>
        <v/>
      </c>
      <c r="OMM2" t="str">
        <f>LEFT(Database!ONF2,3)</f>
        <v/>
      </c>
      <c r="OMN2" t="str">
        <f>LEFT(Database!ONG2,3)</f>
        <v/>
      </c>
      <c r="OMO2" t="str">
        <f>LEFT(Database!ONH2,3)</f>
        <v/>
      </c>
      <c r="OMP2" t="str">
        <f>LEFT(Database!ONI2,3)</f>
        <v/>
      </c>
      <c r="OMQ2" t="str">
        <f>LEFT(Database!ONJ2,3)</f>
        <v/>
      </c>
      <c r="OMR2" t="str">
        <f>LEFT(Database!ONK2,3)</f>
        <v/>
      </c>
      <c r="OMS2" t="str">
        <f>LEFT(Database!ONL2,3)</f>
        <v/>
      </c>
      <c r="OMT2" t="str">
        <f>LEFT(Database!ONM2,3)</f>
        <v/>
      </c>
      <c r="OMU2" t="str">
        <f>LEFT(Database!ONN2,3)</f>
        <v/>
      </c>
      <c r="OMV2" t="str">
        <f>LEFT(Database!ONO2,3)</f>
        <v/>
      </c>
      <c r="OMW2" t="str">
        <f>LEFT(Database!ONP2,3)</f>
        <v/>
      </c>
      <c r="OMX2" t="str">
        <f>LEFT(Database!ONQ2,3)</f>
        <v/>
      </c>
      <c r="OMY2" t="str">
        <f>LEFT(Database!ONR2,3)</f>
        <v/>
      </c>
      <c r="OMZ2" t="str">
        <f>LEFT(Database!ONS2,3)</f>
        <v/>
      </c>
      <c r="ONA2" t="str">
        <f>LEFT(Database!ONT2,3)</f>
        <v/>
      </c>
      <c r="ONB2" t="str">
        <f>LEFT(Database!ONU2,3)</f>
        <v/>
      </c>
      <c r="ONC2" t="str">
        <f>LEFT(Database!ONV2,3)</f>
        <v/>
      </c>
      <c r="OND2" t="str">
        <f>LEFT(Database!ONW2,3)</f>
        <v/>
      </c>
      <c r="ONE2" t="str">
        <f>LEFT(Database!ONX2,3)</f>
        <v/>
      </c>
      <c r="ONF2" t="str">
        <f>LEFT(Database!ONY2,3)</f>
        <v/>
      </c>
      <c r="ONG2" t="str">
        <f>LEFT(Database!ONZ2,3)</f>
        <v/>
      </c>
      <c r="ONH2" t="str">
        <f>LEFT(Database!OOA2,3)</f>
        <v/>
      </c>
      <c r="ONI2" t="str">
        <f>LEFT(Database!OOB2,3)</f>
        <v/>
      </c>
      <c r="ONJ2" t="str">
        <f>LEFT(Database!OOC2,3)</f>
        <v/>
      </c>
      <c r="ONK2" t="str">
        <f>LEFT(Database!OOD2,3)</f>
        <v/>
      </c>
      <c r="ONL2" t="str">
        <f>LEFT(Database!OOE2,3)</f>
        <v/>
      </c>
      <c r="ONM2" t="str">
        <f>LEFT(Database!OOF2,3)</f>
        <v/>
      </c>
      <c r="ONN2" t="str">
        <f>LEFT(Database!OOG2,3)</f>
        <v/>
      </c>
      <c r="ONO2" t="str">
        <f>LEFT(Database!OOH2,3)</f>
        <v/>
      </c>
      <c r="ONP2" t="str">
        <f>LEFT(Database!OOI2,3)</f>
        <v/>
      </c>
      <c r="ONQ2" t="str">
        <f>LEFT(Database!OOJ2,3)</f>
        <v/>
      </c>
      <c r="ONR2" t="str">
        <f>LEFT(Database!OOK2,3)</f>
        <v/>
      </c>
      <c r="ONS2" t="str">
        <f>LEFT(Database!OOL2,3)</f>
        <v/>
      </c>
      <c r="ONT2" t="str">
        <f>LEFT(Database!OOM2,3)</f>
        <v/>
      </c>
      <c r="ONU2" t="str">
        <f>LEFT(Database!OON2,3)</f>
        <v/>
      </c>
      <c r="ONV2" t="str">
        <f>LEFT(Database!OOO2,3)</f>
        <v/>
      </c>
      <c r="ONW2" t="str">
        <f>LEFT(Database!OOP2,3)</f>
        <v/>
      </c>
      <c r="ONX2" t="str">
        <f>LEFT(Database!OOQ2,3)</f>
        <v/>
      </c>
      <c r="ONY2" t="str">
        <f>LEFT(Database!OOR2,3)</f>
        <v/>
      </c>
      <c r="ONZ2" t="str">
        <f>LEFT(Database!OOS2,3)</f>
        <v/>
      </c>
      <c r="OOA2" t="str">
        <f>LEFT(Database!OOT2,3)</f>
        <v/>
      </c>
      <c r="OOB2" t="str">
        <f>LEFT(Database!OOU2,3)</f>
        <v/>
      </c>
      <c r="OOC2" t="str">
        <f>LEFT(Database!OOV2,3)</f>
        <v/>
      </c>
      <c r="OOD2" t="str">
        <f>LEFT(Database!OOW2,3)</f>
        <v/>
      </c>
      <c r="OOE2" t="str">
        <f>LEFT(Database!OOX2,3)</f>
        <v/>
      </c>
      <c r="OOF2" t="str">
        <f>LEFT(Database!OOY2,3)</f>
        <v/>
      </c>
      <c r="OOG2" t="str">
        <f>LEFT(Database!OOZ2,3)</f>
        <v/>
      </c>
      <c r="OOH2" t="str">
        <f>LEFT(Database!OPA2,3)</f>
        <v/>
      </c>
      <c r="OOI2" t="str">
        <f>LEFT(Database!OPB2,3)</f>
        <v/>
      </c>
      <c r="OOJ2" t="str">
        <f>LEFT(Database!OPC2,3)</f>
        <v/>
      </c>
      <c r="OOK2" t="str">
        <f>LEFT(Database!OPD2,3)</f>
        <v/>
      </c>
      <c r="OOL2" t="str">
        <f>LEFT(Database!OPE2,3)</f>
        <v/>
      </c>
      <c r="OOM2" t="str">
        <f>LEFT(Database!OPF2,3)</f>
        <v/>
      </c>
      <c r="OON2" t="str">
        <f>LEFT(Database!OPG2,3)</f>
        <v/>
      </c>
      <c r="OOO2" t="str">
        <f>LEFT(Database!OPH2,3)</f>
        <v/>
      </c>
      <c r="OOP2" t="str">
        <f>LEFT(Database!OPI2,3)</f>
        <v/>
      </c>
      <c r="OOQ2" t="str">
        <f>LEFT(Database!OPJ2,3)</f>
        <v/>
      </c>
      <c r="OOR2" t="str">
        <f>LEFT(Database!OPK2,3)</f>
        <v/>
      </c>
      <c r="OOS2" t="str">
        <f>LEFT(Database!OPL2,3)</f>
        <v/>
      </c>
      <c r="OOT2" t="str">
        <f>LEFT(Database!OPM2,3)</f>
        <v/>
      </c>
      <c r="OOU2" t="str">
        <f>LEFT(Database!OPN2,3)</f>
        <v/>
      </c>
      <c r="OOV2" t="str">
        <f>LEFT(Database!OPO2,3)</f>
        <v/>
      </c>
      <c r="OOW2" t="str">
        <f>LEFT(Database!OPP2,3)</f>
        <v/>
      </c>
      <c r="OOX2" t="str">
        <f>LEFT(Database!OPQ2,3)</f>
        <v/>
      </c>
      <c r="OOY2" t="str">
        <f>LEFT(Database!OPR2,3)</f>
        <v/>
      </c>
      <c r="OOZ2" t="str">
        <f>LEFT(Database!OPS2,3)</f>
        <v/>
      </c>
      <c r="OPA2" t="str">
        <f>LEFT(Database!OPT2,3)</f>
        <v/>
      </c>
      <c r="OPB2" t="str">
        <f>LEFT(Database!OPU2,3)</f>
        <v/>
      </c>
      <c r="OPC2" t="str">
        <f>LEFT(Database!OPV2,3)</f>
        <v/>
      </c>
      <c r="OPD2" t="str">
        <f>LEFT(Database!OPW2,3)</f>
        <v/>
      </c>
      <c r="OPE2" t="str">
        <f>LEFT(Database!OPX2,3)</f>
        <v/>
      </c>
      <c r="OPF2" t="str">
        <f>LEFT(Database!OPY2,3)</f>
        <v/>
      </c>
      <c r="OPG2" t="str">
        <f>LEFT(Database!OPZ2,3)</f>
        <v/>
      </c>
      <c r="OPH2" t="str">
        <f>LEFT(Database!OQA2,3)</f>
        <v/>
      </c>
      <c r="OPI2" t="str">
        <f>LEFT(Database!OQB2,3)</f>
        <v/>
      </c>
      <c r="OPJ2" t="str">
        <f>LEFT(Database!OQC2,3)</f>
        <v/>
      </c>
      <c r="OPK2" t="str">
        <f>LEFT(Database!OQD2,3)</f>
        <v/>
      </c>
      <c r="OPL2" t="str">
        <f>LEFT(Database!OQE2,3)</f>
        <v/>
      </c>
      <c r="OPM2" t="str">
        <f>LEFT(Database!OQF2,3)</f>
        <v/>
      </c>
      <c r="OPN2" t="str">
        <f>LEFT(Database!OQG2,3)</f>
        <v/>
      </c>
      <c r="OPO2" t="str">
        <f>LEFT(Database!OQH2,3)</f>
        <v/>
      </c>
      <c r="OPP2" t="str">
        <f>LEFT(Database!OQI2,3)</f>
        <v/>
      </c>
      <c r="OPQ2" t="str">
        <f>LEFT(Database!OQJ2,3)</f>
        <v/>
      </c>
      <c r="OPR2" t="str">
        <f>LEFT(Database!OQK2,3)</f>
        <v/>
      </c>
      <c r="OPS2" t="str">
        <f>LEFT(Database!OQL2,3)</f>
        <v/>
      </c>
      <c r="OPT2" t="str">
        <f>LEFT(Database!OQM2,3)</f>
        <v/>
      </c>
      <c r="OPU2" t="str">
        <f>LEFT(Database!OQN2,3)</f>
        <v/>
      </c>
      <c r="OPV2" t="str">
        <f>LEFT(Database!OQO2,3)</f>
        <v/>
      </c>
      <c r="OPW2" t="str">
        <f>LEFT(Database!OQP2,3)</f>
        <v/>
      </c>
      <c r="OPX2" t="str">
        <f>LEFT(Database!OQQ2,3)</f>
        <v/>
      </c>
      <c r="OPY2" t="str">
        <f>LEFT(Database!OQR2,3)</f>
        <v/>
      </c>
      <c r="OPZ2" t="str">
        <f>LEFT(Database!OQS2,3)</f>
        <v/>
      </c>
      <c r="OQA2" t="str">
        <f>LEFT(Database!OQT2,3)</f>
        <v/>
      </c>
      <c r="OQB2" t="str">
        <f>LEFT(Database!OQU2,3)</f>
        <v/>
      </c>
      <c r="OQC2" t="str">
        <f>LEFT(Database!OQV2,3)</f>
        <v/>
      </c>
      <c r="OQD2" t="str">
        <f>LEFT(Database!OQW2,3)</f>
        <v/>
      </c>
      <c r="OQE2" t="str">
        <f>LEFT(Database!OQX2,3)</f>
        <v/>
      </c>
      <c r="OQF2" t="str">
        <f>LEFT(Database!OQY2,3)</f>
        <v/>
      </c>
      <c r="OQG2" t="str">
        <f>LEFT(Database!OQZ2,3)</f>
        <v/>
      </c>
      <c r="OQH2" t="str">
        <f>LEFT(Database!ORA2,3)</f>
        <v/>
      </c>
      <c r="OQI2" t="str">
        <f>LEFT(Database!ORB2,3)</f>
        <v/>
      </c>
      <c r="OQJ2" t="str">
        <f>LEFT(Database!ORC2,3)</f>
        <v/>
      </c>
      <c r="OQK2" t="str">
        <f>LEFT(Database!ORD2,3)</f>
        <v/>
      </c>
      <c r="OQL2" t="str">
        <f>LEFT(Database!ORE2,3)</f>
        <v/>
      </c>
      <c r="OQM2" t="str">
        <f>LEFT(Database!ORF2,3)</f>
        <v/>
      </c>
      <c r="OQN2" t="str">
        <f>LEFT(Database!ORG2,3)</f>
        <v/>
      </c>
      <c r="OQO2" t="str">
        <f>LEFT(Database!ORH2,3)</f>
        <v/>
      </c>
      <c r="OQP2" t="str">
        <f>LEFT(Database!ORI2,3)</f>
        <v/>
      </c>
      <c r="OQQ2" t="str">
        <f>LEFT(Database!ORJ2,3)</f>
        <v/>
      </c>
      <c r="OQR2" t="str">
        <f>LEFT(Database!ORK2,3)</f>
        <v/>
      </c>
      <c r="OQS2" t="str">
        <f>LEFT(Database!ORL2,3)</f>
        <v/>
      </c>
      <c r="OQT2" t="str">
        <f>LEFT(Database!ORM2,3)</f>
        <v/>
      </c>
      <c r="OQU2" t="str">
        <f>LEFT(Database!ORN2,3)</f>
        <v/>
      </c>
      <c r="OQV2" t="str">
        <f>LEFT(Database!ORO2,3)</f>
        <v/>
      </c>
      <c r="OQW2" t="str">
        <f>LEFT(Database!ORP2,3)</f>
        <v/>
      </c>
      <c r="OQX2" t="str">
        <f>LEFT(Database!ORQ2,3)</f>
        <v/>
      </c>
      <c r="OQY2" t="str">
        <f>LEFT(Database!ORR2,3)</f>
        <v/>
      </c>
      <c r="OQZ2" t="str">
        <f>LEFT(Database!ORS2,3)</f>
        <v/>
      </c>
      <c r="ORA2" t="str">
        <f>LEFT(Database!ORT2,3)</f>
        <v/>
      </c>
      <c r="ORB2" t="str">
        <f>LEFT(Database!ORU2,3)</f>
        <v/>
      </c>
      <c r="ORC2" t="str">
        <f>LEFT(Database!ORV2,3)</f>
        <v/>
      </c>
      <c r="ORD2" t="str">
        <f>LEFT(Database!ORW2,3)</f>
        <v/>
      </c>
      <c r="ORE2" t="str">
        <f>LEFT(Database!ORX2,3)</f>
        <v/>
      </c>
      <c r="ORF2" t="str">
        <f>LEFT(Database!ORY2,3)</f>
        <v/>
      </c>
      <c r="ORG2" t="str">
        <f>LEFT(Database!ORZ2,3)</f>
        <v/>
      </c>
      <c r="ORH2" t="str">
        <f>LEFT(Database!OSA2,3)</f>
        <v/>
      </c>
      <c r="ORI2" t="str">
        <f>LEFT(Database!OSB2,3)</f>
        <v/>
      </c>
      <c r="ORJ2" t="str">
        <f>LEFT(Database!OSC2,3)</f>
        <v/>
      </c>
      <c r="ORK2" t="str">
        <f>LEFT(Database!OSD2,3)</f>
        <v/>
      </c>
      <c r="ORL2" t="str">
        <f>LEFT(Database!OSE2,3)</f>
        <v/>
      </c>
      <c r="ORM2" t="str">
        <f>LEFT(Database!OSF2,3)</f>
        <v/>
      </c>
      <c r="ORN2" t="str">
        <f>LEFT(Database!OSG2,3)</f>
        <v/>
      </c>
      <c r="ORO2" t="str">
        <f>LEFT(Database!OSH2,3)</f>
        <v/>
      </c>
      <c r="ORP2" t="str">
        <f>LEFT(Database!OSI2,3)</f>
        <v/>
      </c>
      <c r="ORQ2" t="str">
        <f>LEFT(Database!OSJ2,3)</f>
        <v/>
      </c>
      <c r="ORR2" t="str">
        <f>LEFT(Database!OSK2,3)</f>
        <v/>
      </c>
      <c r="ORS2" t="str">
        <f>LEFT(Database!OSL2,3)</f>
        <v/>
      </c>
      <c r="ORT2" t="str">
        <f>LEFT(Database!OSM2,3)</f>
        <v/>
      </c>
      <c r="ORU2" t="str">
        <f>LEFT(Database!OSN2,3)</f>
        <v/>
      </c>
      <c r="ORV2" t="str">
        <f>LEFT(Database!OSO2,3)</f>
        <v/>
      </c>
      <c r="ORW2" t="str">
        <f>LEFT(Database!OSP2,3)</f>
        <v/>
      </c>
      <c r="ORX2" t="str">
        <f>LEFT(Database!OSQ2,3)</f>
        <v/>
      </c>
      <c r="ORY2" t="str">
        <f>LEFT(Database!OSR2,3)</f>
        <v/>
      </c>
      <c r="ORZ2" t="str">
        <f>LEFT(Database!OSS2,3)</f>
        <v/>
      </c>
      <c r="OSA2" t="str">
        <f>LEFT(Database!OST2,3)</f>
        <v/>
      </c>
      <c r="OSB2" t="str">
        <f>LEFT(Database!OSU2,3)</f>
        <v/>
      </c>
      <c r="OSC2" t="str">
        <f>LEFT(Database!OSV2,3)</f>
        <v/>
      </c>
      <c r="OSD2" t="str">
        <f>LEFT(Database!OSW2,3)</f>
        <v/>
      </c>
      <c r="OSE2" t="str">
        <f>LEFT(Database!OSX2,3)</f>
        <v/>
      </c>
      <c r="OSF2" t="str">
        <f>LEFT(Database!OSY2,3)</f>
        <v/>
      </c>
      <c r="OSG2" t="str">
        <f>LEFT(Database!OSZ2,3)</f>
        <v/>
      </c>
      <c r="OSH2" t="str">
        <f>LEFT(Database!OTA2,3)</f>
        <v/>
      </c>
      <c r="OSI2" t="str">
        <f>LEFT(Database!OTB2,3)</f>
        <v/>
      </c>
      <c r="OSJ2" t="str">
        <f>LEFT(Database!OTC2,3)</f>
        <v/>
      </c>
      <c r="OSK2" t="str">
        <f>LEFT(Database!OTD2,3)</f>
        <v/>
      </c>
      <c r="OSL2" t="str">
        <f>LEFT(Database!OTE2,3)</f>
        <v/>
      </c>
      <c r="OSM2" t="str">
        <f>LEFT(Database!OTF2,3)</f>
        <v/>
      </c>
      <c r="OSN2" t="str">
        <f>LEFT(Database!OTG2,3)</f>
        <v/>
      </c>
      <c r="OSO2" t="str">
        <f>LEFT(Database!OTH2,3)</f>
        <v/>
      </c>
      <c r="OSP2" t="str">
        <f>LEFT(Database!OTI2,3)</f>
        <v/>
      </c>
      <c r="OSQ2" t="str">
        <f>LEFT(Database!OTJ2,3)</f>
        <v/>
      </c>
      <c r="OSR2" t="str">
        <f>LEFT(Database!OTK2,3)</f>
        <v/>
      </c>
      <c r="OSS2" t="str">
        <f>LEFT(Database!OTL2,3)</f>
        <v/>
      </c>
      <c r="OST2" t="str">
        <f>LEFT(Database!OTM2,3)</f>
        <v/>
      </c>
      <c r="OSU2" t="str">
        <f>LEFT(Database!OTN2,3)</f>
        <v/>
      </c>
      <c r="OSV2" t="str">
        <f>LEFT(Database!OTO2,3)</f>
        <v/>
      </c>
      <c r="OSW2" t="str">
        <f>LEFT(Database!OTP2,3)</f>
        <v/>
      </c>
      <c r="OSX2" t="str">
        <f>LEFT(Database!OTQ2,3)</f>
        <v/>
      </c>
      <c r="OSY2" t="str">
        <f>LEFT(Database!OTR2,3)</f>
        <v/>
      </c>
      <c r="OSZ2" t="str">
        <f>LEFT(Database!OTS2,3)</f>
        <v/>
      </c>
      <c r="OTA2" t="str">
        <f>LEFT(Database!OTT2,3)</f>
        <v/>
      </c>
      <c r="OTB2" t="str">
        <f>LEFT(Database!OTU2,3)</f>
        <v/>
      </c>
      <c r="OTC2" t="str">
        <f>LEFT(Database!OTV2,3)</f>
        <v/>
      </c>
      <c r="OTD2" t="str">
        <f>LEFT(Database!OTW2,3)</f>
        <v/>
      </c>
      <c r="OTE2" t="str">
        <f>LEFT(Database!OTX2,3)</f>
        <v/>
      </c>
      <c r="OTF2" t="str">
        <f>LEFT(Database!OTY2,3)</f>
        <v/>
      </c>
      <c r="OTG2" t="str">
        <f>LEFT(Database!OTZ2,3)</f>
        <v/>
      </c>
      <c r="OTH2" t="str">
        <f>LEFT(Database!OUA2,3)</f>
        <v/>
      </c>
      <c r="OTI2" t="str">
        <f>LEFT(Database!OUB2,3)</f>
        <v/>
      </c>
      <c r="OTJ2" t="str">
        <f>LEFT(Database!OUC2,3)</f>
        <v/>
      </c>
      <c r="OTK2" t="str">
        <f>LEFT(Database!OUD2,3)</f>
        <v/>
      </c>
      <c r="OTL2" t="str">
        <f>LEFT(Database!OUE2,3)</f>
        <v/>
      </c>
      <c r="OTM2" t="str">
        <f>LEFT(Database!OUF2,3)</f>
        <v/>
      </c>
      <c r="OTN2" t="str">
        <f>LEFT(Database!OUG2,3)</f>
        <v/>
      </c>
      <c r="OTO2" t="str">
        <f>LEFT(Database!OUH2,3)</f>
        <v/>
      </c>
      <c r="OTP2" t="str">
        <f>LEFT(Database!OUI2,3)</f>
        <v/>
      </c>
      <c r="OTQ2" t="str">
        <f>LEFT(Database!OUJ2,3)</f>
        <v/>
      </c>
      <c r="OTR2" t="str">
        <f>LEFT(Database!OUK2,3)</f>
        <v/>
      </c>
      <c r="OTS2" t="str">
        <f>LEFT(Database!OUL2,3)</f>
        <v/>
      </c>
      <c r="OTT2" t="str">
        <f>LEFT(Database!OUM2,3)</f>
        <v/>
      </c>
      <c r="OTU2" t="str">
        <f>LEFT(Database!OUN2,3)</f>
        <v/>
      </c>
      <c r="OTV2" t="str">
        <f>LEFT(Database!OUO2,3)</f>
        <v/>
      </c>
      <c r="OTW2" t="str">
        <f>LEFT(Database!OUP2,3)</f>
        <v/>
      </c>
      <c r="OTX2" t="str">
        <f>LEFT(Database!OUQ2,3)</f>
        <v/>
      </c>
      <c r="OTY2" t="str">
        <f>LEFT(Database!OUR2,3)</f>
        <v/>
      </c>
      <c r="OTZ2" t="str">
        <f>LEFT(Database!OUS2,3)</f>
        <v/>
      </c>
      <c r="OUA2" t="str">
        <f>LEFT(Database!OUT2,3)</f>
        <v/>
      </c>
      <c r="OUB2" t="str">
        <f>LEFT(Database!OUU2,3)</f>
        <v/>
      </c>
      <c r="OUC2" t="str">
        <f>LEFT(Database!OUV2,3)</f>
        <v/>
      </c>
      <c r="OUD2" t="str">
        <f>LEFT(Database!OUW2,3)</f>
        <v/>
      </c>
      <c r="OUE2" t="str">
        <f>LEFT(Database!OUX2,3)</f>
        <v/>
      </c>
      <c r="OUF2" t="str">
        <f>LEFT(Database!OUY2,3)</f>
        <v/>
      </c>
      <c r="OUG2" t="str">
        <f>LEFT(Database!OUZ2,3)</f>
        <v/>
      </c>
      <c r="OUH2" t="str">
        <f>LEFT(Database!OVA2,3)</f>
        <v/>
      </c>
      <c r="OUI2" t="str">
        <f>LEFT(Database!OVB2,3)</f>
        <v/>
      </c>
      <c r="OUJ2" t="str">
        <f>LEFT(Database!OVC2,3)</f>
        <v/>
      </c>
      <c r="OUK2" t="str">
        <f>LEFT(Database!OVD2,3)</f>
        <v/>
      </c>
      <c r="OUL2" t="str">
        <f>LEFT(Database!OVE2,3)</f>
        <v/>
      </c>
      <c r="OUM2" t="str">
        <f>LEFT(Database!OVF2,3)</f>
        <v/>
      </c>
      <c r="OUN2" t="str">
        <f>LEFT(Database!OVG2,3)</f>
        <v/>
      </c>
      <c r="OUO2" t="str">
        <f>LEFT(Database!OVH2,3)</f>
        <v/>
      </c>
      <c r="OUP2" t="str">
        <f>LEFT(Database!OVI2,3)</f>
        <v/>
      </c>
      <c r="OUQ2" t="str">
        <f>LEFT(Database!OVJ2,3)</f>
        <v/>
      </c>
      <c r="OUR2" t="str">
        <f>LEFT(Database!OVK2,3)</f>
        <v/>
      </c>
      <c r="OUS2" t="str">
        <f>LEFT(Database!OVL2,3)</f>
        <v/>
      </c>
      <c r="OUT2" t="str">
        <f>LEFT(Database!OVM2,3)</f>
        <v/>
      </c>
      <c r="OUU2" t="str">
        <f>LEFT(Database!OVN2,3)</f>
        <v/>
      </c>
      <c r="OUV2" t="str">
        <f>LEFT(Database!OVO2,3)</f>
        <v/>
      </c>
      <c r="OUW2" t="str">
        <f>LEFT(Database!OVP2,3)</f>
        <v/>
      </c>
      <c r="OUX2" t="str">
        <f>LEFT(Database!OVQ2,3)</f>
        <v/>
      </c>
      <c r="OUY2" t="str">
        <f>LEFT(Database!OVR2,3)</f>
        <v/>
      </c>
      <c r="OUZ2" t="str">
        <f>LEFT(Database!OVS2,3)</f>
        <v/>
      </c>
      <c r="OVA2" t="str">
        <f>LEFT(Database!OVT2,3)</f>
        <v/>
      </c>
      <c r="OVB2" t="str">
        <f>LEFT(Database!OVU2,3)</f>
        <v/>
      </c>
      <c r="OVC2" t="str">
        <f>LEFT(Database!OVV2,3)</f>
        <v/>
      </c>
      <c r="OVD2" t="str">
        <f>LEFT(Database!OVW2,3)</f>
        <v/>
      </c>
      <c r="OVE2" t="str">
        <f>LEFT(Database!OVX2,3)</f>
        <v/>
      </c>
      <c r="OVF2" t="str">
        <f>LEFT(Database!OVY2,3)</f>
        <v/>
      </c>
      <c r="OVG2" t="str">
        <f>LEFT(Database!OVZ2,3)</f>
        <v/>
      </c>
      <c r="OVH2" t="str">
        <f>LEFT(Database!OWA2,3)</f>
        <v/>
      </c>
      <c r="OVI2" t="str">
        <f>LEFT(Database!OWB2,3)</f>
        <v/>
      </c>
      <c r="OVJ2" t="str">
        <f>LEFT(Database!OWC2,3)</f>
        <v/>
      </c>
      <c r="OVK2" t="str">
        <f>LEFT(Database!OWD2,3)</f>
        <v/>
      </c>
      <c r="OVL2" t="str">
        <f>LEFT(Database!OWE2,3)</f>
        <v/>
      </c>
      <c r="OVM2" t="str">
        <f>LEFT(Database!OWF2,3)</f>
        <v/>
      </c>
      <c r="OVN2" t="str">
        <f>LEFT(Database!OWG2,3)</f>
        <v/>
      </c>
      <c r="OVO2" t="str">
        <f>LEFT(Database!OWH2,3)</f>
        <v/>
      </c>
      <c r="OVP2" t="str">
        <f>LEFT(Database!OWI2,3)</f>
        <v/>
      </c>
      <c r="OVQ2" t="str">
        <f>LEFT(Database!OWJ2,3)</f>
        <v/>
      </c>
      <c r="OVR2" t="str">
        <f>LEFT(Database!OWK2,3)</f>
        <v/>
      </c>
      <c r="OVS2" t="str">
        <f>LEFT(Database!OWL2,3)</f>
        <v/>
      </c>
      <c r="OVT2" t="str">
        <f>LEFT(Database!OWM2,3)</f>
        <v/>
      </c>
      <c r="OVU2" t="str">
        <f>LEFT(Database!OWN2,3)</f>
        <v/>
      </c>
      <c r="OVV2" t="str">
        <f>LEFT(Database!OWO2,3)</f>
        <v/>
      </c>
      <c r="OVW2" t="str">
        <f>LEFT(Database!OWP2,3)</f>
        <v/>
      </c>
      <c r="OVX2" t="str">
        <f>LEFT(Database!OWQ2,3)</f>
        <v/>
      </c>
      <c r="OVY2" t="str">
        <f>LEFT(Database!OWR2,3)</f>
        <v/>
      </c>
      <c r="OVZ2" t="str">
        <f>LEFT(Database!OWS2,3)</f>
        <v/>
      </c>
      <c r="OWA2" t="str">
        <f>LEFT(Database!OWT2,3)</f>
        <v/>
      </c>
      <c r="OWB2" t="str">
        <f>LEFT(Database!OWU2,3)</f>
        <v/>
      </c>
      <c r="OWC2" t="str">
        <f>LEFT(Database!OWV2,3)</f>
        <v/>
      </c>
      <c r="OWD2" t="str">
        <f>LEFT(Database!OWW2,3)</f>
        <v/>
      </c>
      <c r="OWE2" t="str">
        <f>LEFT(Database!OWX2,3)</f>
        <v/>
      </c>
      <c r="OWF2" t="str">
        <f>LEFT(Database!OWY2,3)</f>
        <v/>
      </c>
      <c r="OWG2" t="str">
        <f>LEFT(Database!OWZ2,3)</f>
        <v/>
      </c>
      <c r="OWH2" t="str">
        <f>LEFT(Database!OXA2,3)</f>
        <v/>
      </c>
      <c r="OWI2" t="str">
        <f>LEFT(Database!OXB2,3)</f>
        <v/>
      </c>
      <c r="OWJ2" t="str">
        <f>LEFT(Database!OXC2,3)</f>
        <v/>
      </c>
      <c r="OWK2" t="str">
        <f>LEFT(Database!OXD2,3)</f>
        <v/>
      </c>
      <c r="OWL2" t="str">
        <f>LEFT(Database!OXE2,3)</f>
        <v/>
      </c>
      <c r="OWM2" t="str">
        <f>LEFT(Database!OXF2,3)</f>
        <v/>
      </c>
      <c r="OWN2" t="str">
        <f>LEFT(Database!OXG2,3)</f>
        <v/>
      </c>
      <c r="OWO2" t="str">
        <f>LEFT(Database!OXH2,3)</f>
        <v/>
      </c>
      <c r="OWP2" t="str">
        <f>LEFT(Database!OXI2,3)</f>
        <v/>
      </c>
      <c r="OWQ2" t="str">
        <f>LEFT(Database!OXJ2,3)</f>
        <v/>
      </c>
      <c r="OWR2" t="str">
        <f>LEFT(Database!OXK2,3)</f>
        <v/>
      </c>
      <c r="OWS2" t="str">
        <f>LEFT(Database!OXL2,3)</f>
        <v/>
      </c>
      <c r="OWT2" t="str">
        <f>LEFT(Database!OXM2,3)</f>
        <v/>
      </c>
      <c r="OWU2" t="str">
        <f>LEFT(Database!OXN2,3)</f>
        <v/>
      </c>
      <c r="OWV2" t="str">
        <f>LEFT(Database!OXO2,3)</f>
        <v/>
      </c>
      <c r="OWW2" t="str">
        <f>LEFT(Database!OXP2,3)</f>
        <v/>
      </c>
      <c r="OWX2" t="str">
        <f>LEFT(Database!OXQ2,3)</f>
        <v/>
      </c>
      <c r="OWY2" t="str">
        <f>LEFT(Database!OXR2,3)</f>
        <v/>
      </c>
      <c r="OWZ2" t="str">
        <f>LEFT(Database!OXS2,3)</f>
        <v/>
      </c>
      <c r="OXA2" t="str">
        <f>LEFT(Database!OXT2,3)</f>
        <v/>
      </c>
      <c r="OXB2" t="str">
        <f>LEFT(Database!OXU2,3)</f>
        <v/>
      </c>
      <c r="OXC2" t="str">
        <f>LEFT(Database!OXV2,3)</f>
        <v/>
      </c>
      <c r="OXD2" t="str">
        <f>LEFT(Database!OXW2,3)</f>
        <v/>
      </c>
      <c r="OXE2" t="str">
        <f>LEFT(Database!OXX2,3)</f>
        <v/>
      </c>
      <c r="OXF2" t="str">
        <f>LEFT(Database!OXY2,3)</f>
        <v/>
      </c>
      <c r="OXG2" t="str">
        <f>LEFT(Database!OXZ2,3)</f>
        <v/>
      </c>
      <c r="OXH2" t="str">
        <f>LEFT(Database!OYA2,3)</f>
        <v/>
      </c>
      <c r="OXI2" t="str">
        <f>LEFT(Database!OYB2,3)</f>
        <v/>
      </c>
      <c r="OXJ2" t="str">
        <f>LEFT(Database!OYC2,3)</f>
        <v/>
      </c>
      <c r="OXK2" t="str">
        <f>LEFT(Database!OYD2,3)</f>
        <v/>
      </c>
      <c r="OXL2" t="str">
        <f>LEFT(Database!OYE2,3)</f>
        <v/>
      </c>
      <c r="OXM2" t="str">
        <f>LEFT(Database!OYF2,3)</f>
        <v/>
      </c>
      <c r="OXN2" t="str">
        <f>LEFT(Database!OYG2,3)</f>
        <v/>
      </c>
      <c r="OXO2" t="str">
        <f>LEFT(Database!OYH2,3)</f>
        <v/>
      </c>
      <c r="OXP2" t="str">
        <f>LEFT(Database!OYI2,3)</f>
        <v/>
      </c>
      <c r="OXQ2" t="str">
        <f>LEFT(Database!OYJ2,3)</f>
        <v/>
      </c>
      <c r="OXR2" t="str">
        <f>LEFT(Database!OYK2,3)</f>
        <v/>
      </c>
      <c r="OXS2" t="str">
        <f>LEFT(Database!OYL2,3)</f>
        <v/>
      </c>
      <c r="OXT2" t="str">
        <f>LEFT(Database!OYM2,3)</f>
        <v/>
      </c>
      <c r="OXU2" t="str">
        <f>LEFT(Database!OYN2,3)</f>
        <v/>
      </c>
      <c r="OXV2" t="str">
        <f>LEFT(Database!OYO2,3)</f>
        <v/>
      </c>
      <c r="OXW2" t="str">
        <f>LEFT(Database!OYP2,3)</f>
        <v/>
      </c>
      <c r="OXX2" t="str">
        <f>LEFT(Database!OYQ2,3)</f>
        <v/>
      </c>
      <c r="OXY2" t="str">
        <f>LEFT(Database!OYR2,3)</f>
        <v/>
      </c>
      <c r="OXZ2" t="str">
        <f>LEFT(Database!OYS2,3)</f>
        <v/>
      </c>
      <c r="OYA2" t="str">
        <f>LEFT(Database!OYT2,3)</f>
        <v/>
      </c>
      <c r="OYB2" t="str">
        <f>LEFT(Database!OYU2,3)</f>
        <v/>
      </c>
      <c r="OYC2" t="str">
        <f>LEFT(Database!OYV2,3)</f>
        <v/>
      </c>
      <c r="OYD2" t="str">
        <f>LEFT(Database!OYW2,3)</f>
        <v/>
      </c>
      <c r="OYE2" t="str">
        <f>LEFT(Database!OYX2,3)</f>
        <v/>
      </c>
      <c r="OYF2" t="str">
        <f>LEFT(Database!OYY2,3)</f>
        <v/>
      </c>
      <c r="OYG2" t="str">
        <f>LEFT(Database!OYZ2,3)</f>
        <v/>
      </c>
      <c r="OYH2" t="str">
        <f>LEFT(Database!OZA2,3)</f>
        <v/>
      </c>
      <c r="OYI2" t="str">
        <f>LEFT(Database!OZB2,3)</f>
        <v/>
      </c>
      <c r="OYJ2" t="str">
        <f>LEFT(Database!OZC2,3)</f>
        <v/>
      </c>
      <c r="OYK2" t="str">
        <f>LEFT(Database!OZD2,3)</f>
        <v/>
      </c>
      <c r="OYL2" t="str">
        <f>LEFT(Database!OZE2,3)</f>
        <v/>
      </c>
      <c r="OYM2" t="str">
        <f>LEFT(Database!OZF2,3)</f>
        <v/>
      </c>
      <c r="OYN2" t="str">
        <f>LEFT(Database!OZG2,3)</f>
        <v/>
      </c>
      <c r="OYO2" t="str">
        <f>LEFT(Database!OZH2,3)</f>
        <v/>
      </c>
      <c r="OYP2" t="str">
        <f>LEFT(Database!OZI2,3)</f>
        <v/>
      </c>
      <c r="OYQ2" t="str">
        <f>LEFT(Database!OZJ2,3)</f>
        <v/>
      </c>
      <c r="OYR2" t="str">
        <f>LEFT(Database!OZK2,3)</f>
        <v/>
      </c>
      <c r="OYS2" t="str">
        <f>LEFT(Database!OZL2,3)</f>
        <v/>
      </c>
      <c r="OYT2" t="str">
        <f>LEFT(Database!OZM2,3)</f>
        <v/>
      </c>
      <c r="OYU2" t="str">
        <f>LEFT(Database!OZN2,3)</f>
        <v/>
      </c>
      <c r="OYV2" t="str">
        <f>LEFT(Database!OZO2,3)</f>
        <v/>
      </c>
      <c r="OYW2" t="str">
        <f>LEFT(Database!OZP2,3)</f>
        <v/>
      </c>
      <c r="OYX2" t="str">
        <f>LEFT(Database!OZQ2,3)</f>
        <v/>
      </c>
      <c r="OYY2" t="str">
        <f>LEFT(Database!OZR2,3)</f>
        <v/>
      </c>
      <c r="OYZ2" t="str">
        <f>LEFT(Database!OZS2,3)</f>
        <v/>
      </c>
      <c r="OZA2" t="str">
        <f>LEFT(Database!OZT2,3)</f>
        <v/>
      </c>
      <c r="OZB2" t="str">
        <f>LEFT(Database!OZU2,3)</f>
        <v/>
      </c>
      <c r="OZC2" t="str">
        <f>LEFT(Database!OZV2,3)</f>
        <v/>
      </c>
      <c r="OZD2" t="str">
        <f>LEFT(Database!OZW2,3)</f>
        <v/>
      </c>
      <c r="OZE2" t="str">
        <f>LEFT(Database!OZX2,3)</f>
        <v/>
      </c>
      <c r="OZF2" t="str">
        <f>LEFT(Database!OZY2,3)</f>
        <v/>
      </c>
      <c r="OZG2" t="str">
        <f>LEFT(Database!OZZ2,3)</f>
        <v/>
      </c>
      <c r="OZH2" t="str">
        <f>LEFT(Database!PAA2,3)</f>
        <v/>
      </c>
      <c r="OZI2" t="str">
        <f>LEFT(Database!PAB2,3)</f>
        <v/>
      </c>
      <c r="OZJ2" t="str">
        <f>LEFT(Database!PAC2,3)</f>
        <v/>
      </c>
      <c r="OZK2" t="str">
        <f>LEFT(Database!PAD2,3)</f>
        <v/>
      </c>
      <c r="OZL2" t="str">
        <f>LEFT(Database!PAE2,3)</f>
        <v/>
      </c>
      <c r="OZM2" t="str">
        <f>LEFT(Database!PAF2,3)</f>
        <v/>
      </c>
      <c r="OZN2" t="str">
        <f>LEFT(Database!PAG2,3)</f>
        <v/>
      </c>
      <c r="OZO2" t="str">
        <f>LEFT(Database!PAH2,3)</f>
        <v/>
      </c>
      <c r="OZP2" t="str">
        <f>LEFT(Database!PAI2,3)</f>
        <v/>
      </c>
      <c r="OZQ2" t="str">
        <f>LEFT(Database!PAJ2,3)</f>
        <v/>
      </c>
      <c r="OZR2" t="str">
        <f>LEFT(Database!PAK2,3)</f>
        <v/>
      </c>
      <c r="OZS2" t="str">
        <f>LEFT(Database!PAL2,3)</f>
        <v/>
      </c>
      <c r="OZT2" t="str">
        <f>LEFT(Database!PAM2,3)</f>
        <v/>
      </c>
      <c r="OZU2" t="str">
        <f>LEFT(Database!PAN2,3)</f>
        <v/>
      </c>
      <c r="OZV2" t="str">
        <f>LEFT(Database!PAO2,3)</f>
        <v/>
      </c>
      <c r="OZW2" t="str">
        <f>LEFT(Database!PAP2,3)</f>
        <v/>
      </c>
      <c r="OZX2" t="str">
        <f>LEFT(Database!PAQ2,3)</f>
        <v/>
      </c>
      <c r="OZY2" t="str">
        <f>LEFT(Database!PAR2,3)</f>
        <v/>
      </c>
      <c r="OZZ2" t="str">
        <f>LEFT(Database!PAS2,3)</f>
        <v/>
      </c>
      <c r="PAA2" t="str">
        <f>LEFT(Database!PAT2,3)</f>
        <v/>
      </c>
      <c r="PAB2" t="str">
        <f>LEFT(Database!PAU2,3)</f>
        <v/>
      </c>
      <c r="PAC2" t="str">
        <f>LEFT(Database!PAV2,3)</f>
        <v/>
      </c>
      <c r="PAD2" t="str">
        <f>LEFT(Database!PAW2,3)</f>
        <v/>
      </c>
      <c r="PAE2" t="str">
        <f>LEFT(Database!PAX2,3)</f>
        <v/>
      </c>
      <c r="PAF2" t="str">
        <f>LEFT(Database!PAY2,3)</f>
        <v/>
      </c>
      <c r="PAG2" t="str">
        <f>LEFT(Database!PAZ2,3)</f>
        <v/>
      </c>
      <c r="PAH2" t="str">
        <f>LEFT(Database!PBA2,3)</f>
        <v/>
      </c>
      <c r="PAI2" t="str">
        <f>LEFT(Database!PBB2,3)</f>
        <v/>
      </c>
      <c r="PAJ2" t="str">
        <f>LEFT(Database!PBC2,3)</f>
        <v/>
      </c>
      <c r="PAK2" t="str">
        <f>LEFT(Database!PBD2,3)</f>
        <v/>
      </c>
      <c r="PAL2" t="str">
        <f>LEFT(Database!PBE2,3)</f>
        <v/>
      </c>
      <c r="PAM2" t="str">
        <f>LEFT(Database!PBF2,3)</f>
        <v/>
      </c>
      <c r="PAN2" t="str">
        <f>LEFT(Database!PBG2,3)</f>
        <v/>
      </c>
      <c r="PAO2" t="str">
        <f>LEFT(Database!PBH2,3)</f>
        <v/>
      </c>
      <c r="PAP2" t="str">
        <f>LEFT(Database!PBI2,3)</f>
        <v/>
      </c>
      <c r="PAQ2" t="str">
        <f>LEFT(Database!PBJ2,3)</f>
        <v/>
      </c>
      <c r="PAR2" t="str">
        <f>LEFT(Database!PBK2,3)</f>
        <v/>
      </c>
      <c r="PAS2" t="str">
        <f>LEFT(Database!PBL2,3)</f>
        <v/>
      </c>
      <c r="PAT2" t="str">
        <f>LEFT(Database!PBM2,3)</f>
        <v/>
      </c>
      <c r="PAU2" t="str">
        <f>LEFT(Database!PBN2,3)</f>
        <v/>
      </c>
      <c r="PAV2" t="str">
        <f>LEFT(Database!PBO2,3)</f>
        <v/>
      </c>
      <c r="PAW2" t="str">
        <f>LEFT(Database!PBP2,3)</f>
        <v/>
      </c>
      <c r="PAX2" t="str">
        <f>LEFT(Database!PBQ2,3)</f>
        <v/>
      </c>
      <c r="PAY2" t="str">
        <f>LEFT(Database!PBR2,3)</f>
        <v/>
      </c>
      <c r="PAZ2" t="str">
        <f>LEFT(Database!PBS2,3)</f>
        <v/>
      </c>
      <c r="PBA2" t="str">
        <f>LEFT(Database!PBT2,3)</f>
        <v/>
      </c>
      <c r="PBB2" t="str">
        <f>LEFT(Database!PBU2,3)</f>
        <v/>
      </c>
      <c r="PBC2" t="str">
        <f>LEFT(Database!PBV2,3)</f>
        <v/>
      </c>
      <c r="PBD2" t="str">
        <f>LEFT(Database!PBW2,3)</f>
        <v/>
      </c>
      <c r="PBE2" t="str">
        <f>LEFT(Database!PBX2,3)</f>
        <v/>
      </c>
      <c r="PBF2" t="str">
        <f>LEFT(Database!PBY2,3)</f>
        <v/>
      </c>
      <c r="PBG2" t="str">
        <f>LEFT(Database!PBZ2,3)</f>
        <v/>
      </c>
      <c r="PBH2" t="str">
        <f>LEFT(Database!PCA2,3)</f>
        <v/>
      </c>
      <c r="PBI2" t="str">
        <f>LEFT(Database!PCB2,3)</f>
        <v/>
      </c>
      <c r="PBJ2" t="str">
        <f>LEFT(Database!PCC2,3)</f>
        <v/>
      </c>
      <c r="PBK2" t="str">
        <f>LEFT(Database!PCD2,3)</f>
        <v/>
      </c>
      <c r="PBL2" t="str">
        <f>LEFT(Database!PCE2,3)</f>
        <v/>
      </c>
      <c r="PBM2" t="str">
        <f>LEFT(Database!PCF2,3)</f>
        <v/>
      </c>
      <c r="PBN2" t="str">
        <f>LEFT(Database!PCG2,3)</f>
        <v/>
      </c>
      <c r="PBO2" t="str">
        <f>LEFT(Database!PCH2,3)</f>
        <v/>
      </c>
      <c r="PBP2" t="str">
        <f>LEFT(Database!PCI2,3)</f>
        <v/>
      </c>
      <c r="PBQ2" t="str">
        <f>LEFT(Database!PCJ2,3)</f>
        <v/>
      </c>
      <c r="PBR2" t="str">
        <f>LEFT(Database!PCK2,3)</f>
        <v/>
      </c>
      <c r="PBS2" t="str">
        <f>LEFT(Database!PCL2,3)</f>
        <v/>
      </c>
      <c r="PBT2" t="str">
        <f>LEFT(Database!PCM2,3)</f>
        <v/>
      </c>
      <c r="PBU2" t="str">
        <f>LEFT(Database!PCN2,3)</f>
        <v/>
      </c>
      <c r="PBV2" t="str">
        <f>LEFT(Database!PCO2,3)</f>
        <v/>
      </c>
      <c r="PBW2" t="str">
        <f>LEFT(Database!PCP2,3)</f>
        <v/>
      </c>
      <c r="PBX2" t="str">
        <f>LEFT(Database!PCQ2,3)</f>
        <v/>
      </c>
      <c r="PBY2" t="str">
        <f>LEFT(Database!PCR2,3)</f>
        <v/>
      </c>
      <c r="PBZ2" t="str">
        <f>LEFT(Database!PCS2,3)</f>
        <v/>
      </c>
      <c r="PCA2" t="str">
        <f>LEFT(Database!PCT2,3)</f>
        <v/>
      </c>
      <c r="PCB2" t="str">
        <f>LEFT(Database!PCU2,3)</f>
        <v/>
      </c>
      <c r="PCC2" t="str">
        <f>LEFT(Database!PCV2,3)</f>
        <v/>
      </c>
      <c r="PCD2" t="str">
        <f>LEFT(Database!PCW2,3)</f>
        <v/>
      </c>
      <c r="PCE2" t="str">
        <f>LEFT(Database!PCX2,3)</f>
        <v/>
      </c>
      <c r="PCF2" t="str">
        <f>LEFT(Database!PCY2,3)</f>
        <v/>
      </c>
      <c r="PCG2" t="str">
        <f>LEFT(Database!PCZ2,3)</f>
        <v/>
      </c>
      <c r="PCH2" t="str">
        <f>LEFT(Database!PDA2,3)</f>
        <v/>
      </c>
      <c r="PCI2" t="str">
        <f>LEFT(Database!PDB2,3)</f>
        <v/>
      </c>
      <c r="PCJ2" t="str">
        <f>LEFT(Database!PDC2,3)</f>
        <v/>
      </c>
      <c r="PCK2" t="str">
        <f>LEFT(Database!PDD2,3)</f>
        <v/>
      </c>
      <c r="PCL2" t="str">
        <f>LEFT(Database!PDE2,3)</f>
        <v/>
      </c>
      <c r="PCM2" t="str">
        <f>LEFT(Database!PDF2,3)</f>
        <v/>
      </c>
      <c r="PCN2" t="str">
        <f>LEFT(Database!PDG2,3)</f>
        <v/>
      </c>
      <c r="PCO2" t="str">
        <f>LEFT(Database!PDH2,3)</f>
        <v/>
      </c>
      <c r="PCP2" t="str">
        <f>LEFT(Database!PDI2,3)</f>
        <v/>
      </c>
      <c r="PCQ2" t="str">
        <f>LEFT(Database!PDJ2,3)</f>
        <v/>
      </c>
      <c r="PCR2" t="str">
        <f>LEFT(Database!PDK2,3)</f>
        <v/>
      </c>
      <c r="PCS2" t="str">
        <f>LEFT(Database!PDL2,3)</f>
        <v/>
      </c>
      <c r="PCT2" t="str">
        <f>LEFT(Database!PDM2,3)</f>
        <v/>
      </c>
      <c r="PCU2" t="str">
        <f>LEFT(Database!PDN2,3)</f>
        <v/>
      </c>
      <c r="PCV2" t="str">
        <f>LEFT(Database!PDO2,3)</f>
        <v/>
      </c>
      <c r="PCW2" t="str">
        <f>LEFT(Database!PDP2,3)</f>
        <v/>
      </c>
      <c r="PCX2" t="str">
        <f>LEFT(Database!PDQ2,3)</f>
        <v/>
      </c>
      <c r="PCY2" t="str">
        <f>LEFT(Database!PDR2,3)</f>
        <v/>
      </c>
      <c r="PCZ2" t="str">
        <f>LEFT(Database!PDS2,3)</f>
        <v/>
      </c>
      <c r="PDA2" t="str">
        <f>LEFT(Database!PDT2,3)</f>
        <v/>
      </c>
      <c r="PDB2" t="str">
        <f>LEFT(Database!PDU2,3)</f>
        <v/>
      </c>
      <c r="PDC2" t="str">
        <f>LEFT(Database!PDV2,3)</f>
        <v/>
      </c>
      <c r="PDD2" t="str">
        <f>LEFT(Database!PDW2,3)</f>
        <v/>
      </c>
      <c r="PDE2" t="str">
        <f>LEFT(Database!PDX2,3)</f>
        <v/>
      </c>
      <c r="PDF2" t="str">
        <f>LEFT(Database!PDY2,3)</f>
        <v/>
      </c>
      <c r="PDG2" t="str">
        <f>LEFT(Database!PDZ2,3)</f>
        <v/>
      </c>
      <c r="PDH2" t="str">
        <f>LEFT(Database!PEA2,3)</f>
        <v/>
      </c>
      <c r="PDI2" t="str">
        <f>LEFT(Database!PEB2,3)</f>
        <v/>
      </c>
      <c r="PDJ2" t="str">
        <f>LEFT(Database!PEC2,3)</f>
        <v/>
      </c>
      <c r="PDK2" t="str">
        <f>LEFT(Database!PED2,3)</f>
        <v/>
      </c>
      <c r="PDL2" t="str">
        <f>LEFT(Database!PEE2,3)</f>
        <v/>
      </c>
      <c r="PDM2" t="str">
        <f>LEFT(Database!PEF2,3)</f>
        <v/>
      </c>
      <c r="PDN2" t="str">
        <f>LEFT(Database!PEG2,3)</f>
        <v/>
      </c>
      <c r="PDO2" t="str">
        <f>LEFT(Database!PEH2,3)</f>
        <v/>
      </c>
      <c r="PDP2" t="str">
        <f>LEFT(Database!PEI2,3)</f>
        <v/>
      </c>
      <c r="PDQ2" t="str">
        <f>LEFT(Database!PEJ2,3)</f>
        <v/>
      </c>
      <c r="PDR2" t="str">
        <f>LEFT(Database!PEK2,3)</f>
        <v/>
      </c>
      <c r="PDS2" t="str">
        <f>LEFT(Database!PEL2,3)</f>
        <v/>
      </c>
      <c r="PDT2" t="str">
        <f>LEFT(Database!PEM2,3)</f>
        <v/>
      </c>
      <c r="PDU2" t="str">
        <f>LEFT(Database!PEN2,3)</f>
        <v/>
      </c>
      <c r="PDV2" t="str">
        <f>LEFT(Database!PEO2,3)</f>
        <v/>
      </c>
      <c r="PDW2" t="str">
        <f>LEFT(Database!PEP2,3)</f>
        <v/>
      </c>
      <c r="PDX2" t="str">
        <f>LEFT(Database!PEQ2,3)</f>
        <v/>
      </c>
      <c r="PDY2" t="str">
        <f>LEFT(Database!PER2,3)</f>
        <v/>
      </c>
      <c r="PDZ2" t="str">
        <f>LEFT(Database!PES2,3)</f>
        <v/>
      </c>
      <c r="PEA2" t="str">
        <f>LEFT(Database!PET2,3)</f>
        <v/>
      </c>
      <c r="PEB2" t="str">
        <f>LEFT(Database!PEU2,3)</f>
        <v/>
      </c>
      <c r="PEC2" t="str">
        <f>LEFT(Database!PEV2,3)</f>
        <v/>
      </c>
      <c r="PED2" t="str">
        <f>LEFT(Database!PEW2,3)</f>
        <v/>
      </c>
      <c r="PEE2" t="str">
        <f>LEFT(Database!PEX2,3)</f>
        <v/>
      </c>
      <c r="PEF2" t="str">
        <f>LEFT(Database!PEY2,3)</f>
        <v/>
      </c>
      <c r="PEG2" t="str">
        <f>LEFT(Database!PEZ2,3)</f>
        <v/>
      </c>
      <c r="PEH2" t="str">
        <f>LEFT(Database!PFA2,3)</f>
        <v/>
      </c>
      <c r="PEI2" t="str">
        <f>LEFT(Database!PFB2,3)</f>
        <v/>
      </c>
      <c r="PEJ2" t="str">
        <f>LEFT(Database!PFC2,3)</f>
        <v/>
      </c>
      <c r="PEK2" t="str">
        <f>LEFT(Database!PFD2,3)</f>
        <v/>
      </c>
      <c r="PEL2" t="str">
        <f>LEFT(Database!PFE2,3)</f>
        <v/>
      </c>
      <c r="PEM2" t="str">
        <f>LEFT(Database!PFF2,3)</f>
        <v/>
      </c>
      <c r="PEN2" t="str">
        <f>LEFT(Database!PFG2,3)</f>
        <v/>
      </c>
      <c r="PEO2" t="str">
        <f>LEFT(Database!PFH2,3)</f>
        <v/>
      </c>
      <c r="PEP2" t="str">
        <f>LEFT(Database!PFI2,3)</f>
        <v/>
      </c>
      <c r="PEQ2" t="str">
        <f>LEFT(Database!PFJ2,3)</f>
        <v/>
      </c>
      <c r="PER2" t="str">
        <f>LEFT(Database!PFK2,3)</f>
        <v/>
      </c>
      <c r="PES2" t="str">
        <f>LEFT(Database!PFL2,3)</f>
        <v/>
      </c>
      <c r="PET2" t="str">
        <f>LEFT(Database!PFM2,3)</f>
        <v/>
      </c>
      <c r="PEU2" t="str">
        <f>LEFT(Database!PFN2,3)</f>
        <v/>
      </c>
      <c r="PEV2" t="str">
        <f>LEFT(Database!PFO2,3)</f>
        <v/>
      </c>
      <c r="PEW2" t="str">
        <f>LEFT(Database!PFP2,3)</f>
        <v/>
      </c>
      <c r="PEX2" t="str">
        <f>LEFT(Database!PFQ2,3)</f>
        <v/>
      </c>
      <c r="PEY2" t="str">
        <f>LEFT(Database!PFR2,3)</f>
        <v/>
      </c>
      <c r="PEZ2" t="str">
        <f>LEFT(Database!PFS2,3)</f>
        <v/>
      </c>
      <c r="PFA2" t="str">
        <f>LEFT(Database!PFT2,3)</f>
        <v/>
      </c>
      <c r="PFB2" t="str">
        <f>LEFT(Database!PFU2,3)</f>
        <v/>
      </c>
      <c r="PFC2" t="str">
        <f>LEFT(Database!PFV2,3)</f>
        <v/>
      </c>
      <c r="PFD2" t="str">
        <f>LEFT(Database!PFW2,3)</f>
        <v/>
      </c>
      <c r="PFE2" t="str">
        <f>LEFT(Database!PFX2,3)</f>
        <v/>
      </c>
      <c r="PFF2" t="str">
        <f>LEFT(Database!PFY2,3)</f>
        <v/>
      </c>
      <c r="PFG2" t="str">
        <f>LEFT(Database!PFZ2,3)</f>
        <v/>
      </c>
      <c r="PFH2" t="str">
        <f>LEFT(Database!PGA2,3)</f>
        <v/>
      </c>
      <c r="PFI2" t="str">
        <f>LEFT(Database!PGB2,3)</f>
        <v/>
      </c>
      <c r="PFJ2" t="str">
        <f>LEFT(Database!PGC2,3)</f>
        <v/>
      </c>
      <c r="PFK2" t="str">
        <f>LEFT(Database!PGD2,3)</f>
        <v/>
      </c>
      <c r="PFL2" t="str">
        <f>LEFT(Database!PGE2,3)</f>
        <v/>
      </c>
      <c r="PFM2" t="str">
        <f>LEFT(Database!PGF2,3)</f>
        <v/>
      </c>
      <c r="PFN2" t="str">
        <f>LEFT(Database!PGG2,3)</f>
        <v/>
      </c>
      <c r="PFO2" t="str">
        <f>LEFT(Database!PGH2,3)</f>
        <v/>
      </c>
      <c r="PFP2" t="str">
        <f>LEFT(Database!PGI2,3)</f>
        <v/>
      </c>
      <c r="PFQ2" t="str">
        <f>LEFT(Database!PGJ2,3)</f>
        <v/>
      </c>
      <c r="PFR2" t="str">
        <f>LEFT(Database!PGK2,3)</f>
        <v/>
      </c>
      <c r="PFS2" t="str">
        <f>LEFT(Database!PGL2,3)</f>
        <v/>
      </c>
      <c r="PFT2" t="str">
        <f>LEFT(Database!PGM2,3)</f>
        <v/>
      </c>
      <c r="PFU2" t="str">
        <f>LEFT(Database!PGN2,3)</f>
        <v/>
      </c>
      <c r="PFV2" t="str">
        <f>LEFT(Database!PGO2,3)</f>
        <v/>
      </c>
      <c r="PFW2" t="str">
        <f>LEFT(Database!PGP2,3)</f>
        <v/>
      </c>
      <c r="PFX2" t="str">
        <f>LEFT(Database!PGQ2,3)</f>
        <v/>
      </c>
      <c r="PFY2" t="str">
        <f>LEFT(Database!PGR2,3)</f>
        <v/>
      </c>
      <c r="PFZ2" t="str">
        <f>LEFT(Database!PGS2,3)</f>
        <v/>
      </c>
      <c r="PGA2" t="str">
        <f>LEFT(Database!PGT2,3)</f>
        <v/>
      </c>
      <c r="PGB2" t="str">
        <f>LEFT(Database!PGU2,3)</f>
        <v/>
      </c>
      <c r="PGC2" t="str">
        <f>LEFT(Database!PGV2,3)</f>
        <v/>
      </c>
      <c r="PGD2" t="str">
        <f>LEFT(Database!PGW2,3)</f>
        <v/>
      </c>
      <c r="PGE2" t="str">
        <f>LEFT(Database!PGX2,3)</f>
        <v/>
      </c>
      <c r="PGF2" t="str">
        <f>LEFT(Database!PGY2,3)</f>
        <v/>
      </c>
      <c r="PGG2" t="str">
        <f>LEFT(Database!PGZ2,3)</f>
        <v/>
      </c>
      <c r="PGH2" t="str">
        <f>LEFT(Database!PHA2,3)</f>
        <v/>
      </c>
      <c r="PGI2" t="str">
        <f>LEFT(Database!PHB2,3)</f>
        <v/>
      </c>
      <c r="PGJ2" t="str">
        <f>LEFT(Database!PHC2,3)</f>
        <v/>
      </c>
      <c r="PGK2" t="str">
        <f>LEFT(Database!PHD2,3)</f>
        <v/>
      </c>
      <c r="PGL2" t="str">
        <f>LEFT(Database!PHE2,3)</f>
        <v/>
      </c>
      <c r="PGM2" t="str">
        <f>LEFT(Database!PHF2,3)</f>
        <v/>
      </c>
      <c r="PGN2" t="str">
        <f>LEFT(Database!PHG2,3)</f>
        <v/>
      </c>
      <c r="PGO2" t="str">
        <f>LEFT(Database!PHH2,3)</f>
        <v/>
      </c>
      <c r="PGP2" t="str">
        <f>LEFT(Database!PHI2,3)</f>
        <v/>
      </c>
      <c r="PGQ2" t="str">
        <f>LEFT(Database!PHJ2,3)</f>
        <v/>
      </c>
      <c r="PGR2" t="str">
        <f>LEFT(Database!PHK2,3)</f>
        <v/>
      </c>
      <c r="PGS2" t="str">
        <f>LEFT(Database!PHL2,3)</f>
        <v/>
      </c>
      <c r="PGT2" t="str">
        <f>LEFT(Database!PHM2,3)</f>
        <v/>
      </c>
      <c r="PGU2" t="str">
        <f>LEFT(Database!PHN2,3)</f>
        <v/>
      </c>
      <c r="PGV2" t="str">
        <f>LEFT(Database!PHO2,3)</f>
        <v/>
      </c>
      <c r="PGW2" t="str">
        <f>LEFT(Database!PHP2,3)</f>
        <v/>
      </c>
      <c r="PGX2" t="str">
        <f>LEFT(Database!PHQ2,3)</f>
        <v/>
      </c>
      <c r="PGY2" t="str">
        <f>LEFT(Database!PHR2,3)</f>
        <v/>
      </c>
      <c r="PGZ2" t="str">
        <f>LEFT(Database!PHS2,3)</f>
        <v/>
      </c>
      <c r="PHA2" t="str">
        <f>LEFT(Database!PHT2,3)</f>
        <v/>
      </c>
      <c r="PHB2" t="str">
        <f>LEFT(Database!PHU2,3)</f>
        <v/>
      </c>
      <c r="PHC2" t="str">
        <f>LEFT(Database!PHV2,3)</f>
        <v/>
      </c>
      <c r="PHD2" t="str">
        <f>LEFT(Database!PHW2,3)</f>
        <v/>
      </c>
      <c r="PHE2" t="str">
        <f>LEFT(Database!PHX2,3)</f>
        <v/>
      </c>
      <c r="PHF2" t="str">
        <f>LEFT(Database!PHY2,3)</f>
        <v/>
      </c>
      <c r="PHG2" t="str">
        <f>LEFT(Database!PHZ2,3)</f>
        <v/>
      </c>
      <c r="PHH2" t="str">
        <f>LEFT(Database!PIA2,3)</f>
        <v/>
      </c>
      <c r="PHI2" t="str">
        <f>LEFT(Database!PIB2,3)</f>
        <v/>
      </c>
      <c r="PHJ2" t="str">
        <f>LEFT(Database!PIC2,3)</f>
        <v/>
      </c>
      <c r="PHK2" t="str">
        <f>LEFT(Database!PID2,3)</f>
        <v/>
      </c>
      <c r="PHL2" t="str">
        <f>LEFT(Database!PIE2,3)</f>
        <v/>
      </c>
      <c r="PHM2" t="str">
        <f>LEFT(Database!PIF2,3)</f>
        <v/>
      </c>
      <c r="PHN2" t="str">
        <f>LEFT(Database!PIG2,3)</f>
        <v/>
      </c>
      <c r="PHO2" t="str">
        <f>LEFT(Database!PIH2,3)</f>
        <v/>
      </c>
      <c r="PHP2" t="str">
        <f>LEFT(Database!PII2,3)</f>
        <v/>
      </c>
      <c r="PHQ2" t="str">
        <f>LEFT(Database!PIJ2,3)</f>
        <v/>
      </c>
      <c r="PHR2" t="str">
        <f>LEFT(Database!PIK2,3)</f>
        <v/>
      </c>
      <c r="PHS2" t="str">
        <f>LEFT(Database!PIL2,3)</f>
        <v/>
      </c>
      <c r="PHT2" t="str">
        <f>LEFT(Database!PIM2,3)</f>
        <v/>
      </c>
      <c r="PHU2" t="str">
        <f>LEFT(Database!PIN2,3)</f>
        <v/>
      </c>
      <c r="PHV2" t="str">
        <f>LEFT(Database!PIO2,3)</f>
        <v/>
      </c>
      <c r="PHW2" t="str">
        <f>LEFT(Database!PIP2,3)</f>
        <v/>
      </c>
      <c r="PHX2" t="str">
        <f>LEFT(Database!PIQ2,3)</f>
        <v/>
      </c>
      <c r="PHY2" t="str">
        <f>LEFT(Database!PIR2,3)</f>
        <v/>
      </c>
      <c r="PHZ2" t="str">
        <f>LEFT(Database!PIS2,3)</f>
        <v/>
      </c>
      <c r="PIA2" t="str">
        <f>LEFT(Database!PIT2,3)</f>
        <v/>
      </c>
      <c r="PIB2" t="str">
        <f>LEFT(Database!PIU2,3)</f>
        <v/>
      </c>
      <c r="PIC2" t="str">
        <f>LEFT(Database!PIV2,3)</f>
        <v/>
      </c>
      <c r="PID2" t="str">
        <f>LEFT(Database!PIW2,3)</f>
        <v/>
      </c>
      <c r="PIE2" t="str">
        <f>LEFT(Database!PIX2,3)</f>
        <v/>
      </c>
      <c r="PIF2" t="str">
        <f>LEFT(Database!PIY2,3)</f>
        <v/>
      </c>
      <c r="PIG2" t="str">
        <f>LEFT(Database!PIZ2,3)</f>
        <v/>
      </c>
      <c r="PIH2" t="str">
        <f>LEFT(Database!PJA2,3)</f>
        <v/>
      </c>
      <c r="PII2" t="str">
        <f>LEFT(Database!PJB2,3)</f>
        <v/>
      </c>
      <c r="PIJ2" t="str">
        <f>LEFT(Database!PJC2,3)</f>
        <v/>
      </c>
      <c r="PIK2" t="str">
        <f>LEFT(Database!PJD2,3)</f>
        <v/>
      </c>
      <c r="PIL2" t="str">
        <f>LEFT(Database!PJE2,3)</f>
        <v/>
      </c>
      <c r="PIM2" t="str">
        <f>LEFT(Database!PJF2,3)</f>
        <v/>
      </c>
      <c r="PIN2" t="str">
        <f>LEFT(Database!PJG2,3)</f>
        <v/>
      </c>
      <c r="PIO2" t="str">
        <f>LEFT(Database!PJH2,3)</f>
        <v/>
      </c>
      <c r="PIP2" t="str">
        <f>LEFT(Database!PJI2,3)</f>
        <v/>
      </c>
      <c r="PIQ2" t="str">
        <f>LEFT(Database!PJJ2,3)</f>
        <v/>
      </c>
      <c r="PIR2" t="str">
        <f>LEFT(Database!PJK2,3)</f>
        <v/>
      </c>
      <c r="PIS2" t="str">
        <f>LEFT(Database!PJL2,3)</f>
        <v/>
      </c>
      <c r="PIT2" t="str">
        <f>LEFT(Database!PJM2,3)</f>
        <v/>
      </c>
      <c r="PIU2" t="str">
        <f>LEFT(Database!PJN2,3)</f>
        <v/>
      </c>
      <c r="PIV2" t="str">
        <f>LEFT(Database!PJO2,3)</f>
        <v/>
      </c>
      <c r="PIW2" t="str">
        <f>LEFT(Database!PJP2,3)</f>
        <v/>
      </c>
      <c r="PIX2" t="str">
        <f>LEFT(Database!PJQ2,3)</f>
        <v/>
      </c>
      <c r="PIY2" t="str">
        <f>LEFT(Database!PJR2,3)</f>
        <v/>
      </c>
      <c r="PIZ2" t="str">
        <f>LEFT(Database!PJS2,3)</f>
        <v/>
      </c>
      <c r="PJA2" t="str">
        <f>LEFT(Database!PJT2,3)</f>
        <v/>
      </c>
      <c r="PJB2" t="str">
        <f>LEFT(Database!PJU2,3)</f>
        <v/>
      </c>
      <c r="PJC2" t="str">
        <f>LEFT(Database!PJV2,3)</f>
        <v/>
      </c>
      <c r="PJD2" t="str">
        <f>LEFT(Database!PJW2,3)</f>
        <v/>
      </c>
      <c r="PJE2" t="str">
        <f>LEFT(Database!PJX2,3)</f>
        <v/>
      </c>
      <c r="PJF2" t="str">
        <f>LEFT(Database!PJY2,3)</f>
        <v/>
      </c>
      <c r="PJG2" t="str">
        <f>LEFT(Database!PJZ2,3)</f>
        <v/>
      </c>
      <c r="PJH2" t="str">
        <f>LEFT(Database!PKA2,3)</f>
        <v/>
      </c>
      <c r="PJI2" t="str">
        <f>LEFT(Database!PKB2,3)</f>
        <v/>
      </c>
      <c r="PJJ2" t="str">
        <f>LEFT(Database!PKC2,3)</f>
        <v/>
      </c>
      <c r="PJK2" t="str">
        <f>LEFT(Database!PKD2,3)</f>
        <v/>
      </c>
      <c r="PJL2" t="str">
        <f>LEFT(Database!PKE2,3)</f>
        <v/>
      </c>
      <c r="PJM2" t="str">
        <f>LEFT(Database!PKF2,3)</f>
        <v/>
      </c>
      <c r="PJN2" t="str">
        <f>LEFT(Database!PKG2,3)</f>
        <v/>
      </c>
      <c r="PJO2" t="str">
        <f>LEFT(Database!PKH2,3)</f>
        <v/>
      </c>
      <c r="PJP2" t="str">
        <f>LEFT(Database!PKI2,3)</f>
        <v/>
      </c>
      <c r="PJQ2" t="str">
        <f>LEFT(Database!PKJ2,3)</f>
        <v/>
      </c>
      <c r="PJR2" t="str">
        <f>LEFT(Database!PKK2,3)</f>
        <v/>
      </c>
      <c r="PJS2" t="str">
        <f>LEFT(Database!PKL2,3)</f>
        <v/>
      </c>
      <c r="PJT2" t="str">
        <f>LEFT(Database!PKM2,3)</f>
        <v/>
      </c>
      <c r="PJU2" t="str">
        <f>LEFT(Database!PKN2,3)</f>
        <v/>
      </c>
      <c r="PJV2" t="str">
        <f>LEFT(Database!PKO2,3)</f>
        <v/>
      </c>
      <c r="PJW2" t="str">
        <f>LEFT(Database!PKP2,3)</f>
        <v/>
      </c>
      <c r="PJX2" t="str">
        <f>LEFT(Database!PKQ2,3)</f>
        <v/>
      </c>
      <c r="PJY2" t="str">
        <f>LEFT(Database!PKR2,3)</f>
        <v/>
      </c>
      <c r="PJZ2" t="str">
        <f>LEFT(Database!PKS2,3)</f>
        <v/>
      </c>
      <c r="PKA2" t="str">
        <f>LEFT(Database!PKT2,3)</f>
        <v/>
      </c>
      <c r="PKB2" t="str">
        <f>LEFT(Database!PKU2,3)</f>
        <v/>
      </c>
      <c r="PKC2" t="str">
        <f>LEFT(Database!PKV2,3)</f>
        <v/>
      </c>
      <c r="PKD2" t="str">
        <f>LEFT(Database!PKW2,3)</f>
        <v/>
      </c>
      <c r="PKE2" t="str">
        <f>LEFT(Database!PKX2,3)</f>
        <v/>
      </c>
      <c r="PKF2" t="str">
        <f>LEFT(Database!PKY2,3)</f>
        <v/>
      </c>
      <c r="PKG2" t="str">
        <f>LEFT(Database!PKZ2,3)</f>
        <v/>
      </c>
      <c r="PKH2" t="str">
        <f>LEFT(Database!PLA2,3)</f>
        <v/>
      </c>
      <c r="PKI2" t="str">
        <f>LEFT(Database!PLB2,3)</f>
        <v/>
      </c>
      <c r="PKJ2" t="str">
        <f>LEFT(Database!PLC2,3)</f>
        <v/>
      </c>
      <c r="PKK2" t="str">
        <f>LEFT(Database!PLD2,3)</f>
        <v/>
      </c>
      <c r="PKL2" t="str">
        <f>LEFT(Database!PLE2,3)</f>
        <v/>
      </c>
      <c r="PKM2" t="str">
        <f>LEFT(Database!PLF2,3)</f>
        <v/>
      </c>
      <c r="PKN2" t="str">
        <f>LEFT(Database!PLG2,3)</f>
        <v/>
      </c>
      <c r="PKO2" t="str">
        <f>LEFT(Database!PLH2,3)</f>
        <v/>
      </c>
      <c r="PKP2" t="str">
        <f>LEFT(Database!PLI2,3)</f>
        <v/>
      </c>
      <c r="PKQ2" t="str">
        <f>LEFT(Database!PLJ2,3)</f>
        <v/>
      </c>
      <c r="PKR2" t="str">
        <f>LEFT(Database!PLK2,3)</f>
        <v/>
      </c>
      <c r="PKS2" t="str">
        <f>LEFT(Database!PLL2,3)</f>
        <v/>
      </c>
      <c r="PKT2" t="str">
        <f>LEFT(Database!PLM2,3)</f>
        <v/>
      </c>
      <c r="PKU2" t="str">
        <f>LEFT(Database!PLN2,3)</f>
        <v/>
      </c>
      <c r="PKV2" t="str">
        <f>LEFT(Database!PLO2,3)</f>
        <v/>
      </c>
      <c r="PKW2" t="str">
        <f>LEFT(Database!PLP2,3)</f>
        <v/>
      </c>
      <c r="PKX2" t="str">
        <f>LEFT(Database!PLQ2,3)</f>
        <v/>
      </c>
      <c r="PKY2" t="str">
        <f>LEFT(Database!PLR2,3)</f>
        <v/>
      </c>
      <c r="PKZ2" t="str">
        <f>LEFT(Database!PLS2,3)</f>
        <v/>
      </c>
      <c r="PLA2" t="str">
        <f>LEFT(Database!PLT2,3)</f>
        <v/>
      </c>
      <c r="PLB2" t="str">
        <f>LEFT(Database!PLU2,3)</f>
        <v/>
      </c>
      <c r="PLC2" t="str">
        <f>LEFT(Database!PLV2,3)</f>
        <v/>
      </c>
      <c r="PLD2" t="str">
        <f>LEFT(Database!PLW2,3)</f>
        <v/>
      </c>
      <c r="PLE2" t="str">
        <f>LEFT(Database!PLX2,3)</f>
        <v/>
      </c>
      <c r="PLF2" t="str">
        <f>LEFT(Database!PLY2,3)</f>
        <v/>
      </c>
      <c r="PLG2" t="str">
        <f>LEFT(Database!PLZ2,3)</f>
        <v/>
      </c>
      <c r="PLH2" t="str">
        <f>LEFT(Database!PMA2,3)</f>
        <v/>
      </c>
      <c r="PLI2" t="str">
        <f>LEFT(Database!PMB2,3)</f>
        <v/>
      </c>
      <c r="PLJ2" t="str">
        <f>LEFT(Database!PMC2,3)</f>
        <v/>
      </c>
      <c r="PLK2" t="str">
        <f>LEFT(Database!PMD2,3)</f>
        <v/>
      </c>
      <c r="PLL2" t="str">
        <f>LEFT(Database!PME2,3)</f>
        <v/>
      </c>
      <c r="PLM2" t="str">
        <f>LEFT(Database!PMF2,3)</f>
        <v/>
      </c>
      <c r="PLN2" t="str">
        <f>LEFT(Database!PMG2,3)</f>
        <v/>
      </c>
      <c r="PLO2" t="str">
        <f>LEFT(Database!PMH2,3)</f>
        <v/>
      </c>
      <c r="PLP2" t="str">
        <f>LEFT(Database!PMI2,3)</f>
        <v/>
      </c>
      <c r="PLQ2" t="str">
        <f>LEFT(Database!PMJ2,3)</f>
        <v/>
      </c>
      <c r="PLR2" t="str">
        <f>LEFT(Database!PMK2,3)</f>
        <v/>
      </c>
      <c r="PLS2" t="str">
        <f>LEFT(Database!PML2,3)</f>
        <v/>
      </c>
      <c r="PLT2" t="str">
        <f>LEFT(Database!PMM2,3)</f>
        <v/>
      </c>
      <c r="PLU2" t="str">
        <f>LEFT(Database!PMN2,3)</f>
        <v/>
      </c>
      <c r="PLV2" t="str">
        <f>LEFT(Database!PMO2,3)</f>
        <v/>
      </c>
      <c r="PLW2" t="str">
        <f>LEFT(Database!PMP2,3)</f>
        <v/>
      </c>
      <c r="PLX2" t="str">
        <f>LEFT(Database!PMQ2,3)</f>
        <v/>
      </c>
      <c r="PLY2" t="str">
        <f>LEFT(Database!PMR2,3)</f>
        <v/>
      </c>
      <c r="PLZ2" t="str">
        <f>LEFT(Database!PMS2,3)</f>
        <v/>
      </c>
      <c r="PMA2" t="str">
        <f>LEFT(Database!PMT2,3)</f>
        <v/>
      </c>
      <c r="PMB2" t="str">
        <f>LEFT(Database!PMU2,3)</f>
        <v/>
      </c>
      <c r="PMC2" t="str">
        <f>LEFT(Database!PMV2,3)</f>
        <v/>
      </c>
      <c r="PMD2" t="str">
        <f>LEFT(Database!PMW2,3)</f>
        <v/>
      </c>
      <c r="PME2" t="str">
        <f>LEFT(Database!PMX2,3)</f>
        <v/>
      </c>
      <c r="PMF2" t="str">
        <f>LEFT(Database!PMY2,3)</f>
        <v/>
      </c>
      <c r="PMG2" t="str">
        <f>LEFT(Database!PMZ2,3)</f>
        <v/>
      </c>
      <c r="PMH2" t="str">
        <f>LEFT(Database!PNA2,3)</f>
        <v/>
      </c>
      <c r="PMI2" t="str">
        <f>LEFT(Database!PNB2,3)</f>
        <v/>
      </c>
      <c r="PMJ2" t="str">
        <f>LEFT(Database!PNC2,3)</f>
        <v/>
      </c>
      <c r="PMK2" t="str">
        <f>LEFT(Database!PND2,3)</f>
        <v/>
      </c>
      <c r="PML2" t="str">
        <f>LEFT(Database!PNE2,3)</f>
        <v/>
      </c>
      <c r="PMM2" t="str">
        <f>LEFT(Database!PNF2,3)</f>
        <v/>
      </c>
      <c r="PMN2" t="str">
        <f>LEFT(Database!PNG2,3)</f>
        <v/>
      </c>
      <c r="PMO2" t="str">
        <f>LEFT(Database!PNH2,3)</f>
        <v/>
      </c>
      <c r="PMP2" t="str">
        <f>LEFT(Database!PNI2,3)</f>
        <v/>
      </c>
      <c r="PMQ2" t="str">
        <f>LEFT(Database!PNJ2,3)</f>
        <v/>
      </c>
      <c r="PMR2" t="str">
        <f>LEFT(Database!PNK2,3)</f>
        <v/>
      </c>
      <c r="PMS2" t="str">
        <f>LEFT(Database!PNL2,3)</f>
        <v/>
      </c>
      <c r="PMT2" t="str">
        <f>LEFT(Database!PNM2,3)</f>
        <v/>
      </c>
      <c r="PMU2" t="str">
        <f>LEFT(Database!PNN2,3)</f>
        <v/>
      </c>
      <c r="PMV2" t="str">
        <f>LEFT(Database!PNO2,3)</f>
        <v/>
      </c>
      <c r="PMW2" t="str">
        <f>LEFT(Database!PNP2,3)</f>
        <v/>
      </c>
      <c r="PMX2" t="str">
        <f>LEFT(Database!PNQ2,3)</f>
        <v/>
      </c>
      <c r="PMY2" t="str">
        <f>LEFT(Database!PNR2,3)</f>
        <v/>
      </c>
      <c r="PMZ2" t="str">
        <f>LEFT(Database!PNS2,3)</f>
        <v/>
      </c>
      <c r="PNA2" t="str">
        <f>LEFT(Database!PNT2,3)</f>
        <v/>
      </c>
      <c r="PNB2" t="str">
        <f>LEFT(Database!PNU2,3)</f>
        <v/>
      </c>
      <c r="PNC2" t="str">
        <f>LEFT(Database!PNV2,3)</f>
        <v/>
      </c>
      <c r="PND2" t="str">
        <f>LEFT(Database!PNW2,3)</f>
        <v/>
      </c>
      <c r="PNE2" t="str">
        <f>LEFT(Database!PNX2,3)</f>
        <v/>
      </c>
      <c r="PNF2" t="str">
        <f>LEFT(Database!PNY2,3)</f>
        <v/>
      </c>
      <c r="PNG2" t="str">
        <f>LEFT(Database!PNZ2,3)</f>
        <v/>
      </c>
      <c r="PNH2" t="str">
        <f>LEFT(Database!POA2,3)</f>
        <v/>
      </c>
      <c r="PNI2" t="str">
        <f>LEFT(Database!POB2,3)</f>
        <v/>
      </c>
      <c r="PNJ2" t="str">
        <f>LEFT(Database!POC2,3)</f>
        <v/>
      </c>
      <c r="PNK2" t="str">
        <f>LEFT(Database!POD2,3)</f>
        <v/>
      </c>
      <c r="PNL2" t="str">
        <f>LEFT(Database!POE2,3)</f>
        <v/>
      </c>
      <c r="PNM2" t="str">
        <f>LEFT(Database!POF2,3)</f>
        <v/>
      </c>
      <c r="PNN2" t="str">
        <f>LEFT(Database!POG2,3)</f>
        <v/>
      </c>
      <c r="PNO2" t="str">
        <f>LEFT(Database!POH2,3)</f>
        <v/>
      </c>
      <c r="PNP2" t="str">
        <f>LEFT(Database!POI2,3)</f>
        <v/>
      </c>
      <c r="PNQ2" t="str">
        <f>LEFT(Database!POJ2,3)</f>
        <v/>
      </c>
      <c r="PNR2" t="str">
        <f>LEFT(Database!POK2,3)</f>
        <v/>
      </c>
      <c r="PNS2" t="str">
        <f>LEFT(Database!POL2,3)</f>
        <v/>
      </c>
      <c r="PNT2" t="str">
        <f>LEFT(Database!POM2,3)</f>
        <v/>
      </c>
      <c r="PNU2" t="str">
        <f>LEFT(Database!PON2,3)</f>
        <v/>
      </c>
      <c r="PNV2" t="str">
        <f>LEFT(Database!POO2,3)</f>
        <v/>
      </c>
      <c r="PNW2" t="str">
        <f>LEFT(Database!POP2,3)</f>
        <v/>
      </c>
      <c r="PNX2" t="str">
        <f>LEFT(Database!POQ2,3)</f>
        <v/>
      </c>
      <c r="PNY2" t="str">
        <f>LEFT(Database!POR2,3)</f>
        <v/>
      </c>
      <c r="PNZ2" t="str">
        <f>LEFT(Database!POS2,3)</f>
        <v/>
      </c>
      <c r="POA2" t="str">
        <f>LEFT(Database!POT2,3)</f>
        <v/>
      </c>
      <c r="POB2" t="str">
        <f>LEFT(Database!POU2,3)</f>
        <v/>
      </c>
      <c r="POC2" t="str">
        <f>LEFT(Database!POV2,3)</f>
        <v/>
      </c>
      <c r="POD2" t="str">
        <f>LEFT(Database!POW2,3)</f>
        <v/>
      </c>
      <c r="POE2" t="str">
        <f>LEFT(Database!POX2,3)</f>
        <v/>
      </c>
      <c r="POF2" t="str">
        <f>LEFT(Database!POY2,3)</f>
        <v/>
      </c>
      <c r="POG2" t="str">
        <f>LEFT(Database!POZ2,3)</f>
        <v/>
      </c>
      <c r="POH2" t="str">
        <f>LEFT(Database!PPA2,3)</f>
        <v/>
      </c>
      <c r="POI2" t="str">
        <f>LEFT(Database!PPB2,3)</f>
        <v/>
      </c>
      <c r="POJ2" t="str">
        <f>LEFT(Database!PPC2,3)</f>
        <v/>
      </c>
      <c r="POK2" t="str">
        <f>LEFT(Database!PPD2,3)</f>
        <v/>
      </c>
      <c r="POL2" t="str">
        <f>LEFT(Database!PPE2,3)</f>
        <v/>
      </c>
      <c r="POM2" t="str">
        <f>LEFT(Database!PPF2,3)</f>
        <v/>
      </c>
      <c r="PON2" t="str">
        <f>LEFT(Database!PPG2,3)</f>
        <v/>
      </c>
      <c r="POO2" t="str">
        <f>LEFT(Database!PPH2,3)</f>
        <v/>
      </c>
      <c r="POP2" t="str">
        <f>LEFT(Database!PPI2,3)</f>
        <v/>
      </c>
      <c r="POQ2" t="str">
        <f>LEFT(Database!PPJ2,3)</f>
        <v/>
      </c>
      <c r="POR2" t="str">
        <f>LEFT(Database!PPK2,3)</f>
        <v/>
      </c>
      <c r="POS2" t="str">
        <f>LEFT(Database!PPL2,3)</f>
        <v/>
      </c>
      <c r="POT2" t="str">
        <f>LEFT(Database!PPM2,3)</f>
        <v/>
      </c>
      <c r="POU2" t="str">
        <f>LEFT(Database!PPN2,3)</f>
        <v/>
      </c>
      <c r="POV2" t="str">
        <f>LEFT(Database!PPO2,3)</f>
        <v/>
      </c>
      <c r="POW2" t="str">
        <f>LEFT(Database!PPP2,3)</f>
        <v/>
      </c>
      <c r="POX2" t="str">
        <f>LEFT(Database!PPQ2,3)</f>
        <v/>
      </c>
      <c r="POY2" t="str">
        <f>LEFT(Database!PPR2,3)</f>
        <v/>
      </c>
      <c r="POZ2" t="str">
        <f>LEFT(Database!PPS2,3)</f>
        <v/>
      </c>
      <c r="PPA2" t="str">
        <f>LEFT(Database!PPT2,3)</f>
        <v/>
      </c>
      <c r="PPB2" t="str">
        <f>LEFT(Database!PPU2,3)</f>
        <v/>
      </c>
      <c r="PPC2" t="str">
        <f>LEFT(Database!PPV2,3)</f>
        <v/>
      </c>
      <c r="PPD2" t="str">
        <f>LEFT(Database!PPW2,3)</f>
        <v/>
      </c>
      <c r="PPE2" t="str">
        <f>LEFT(Database!PPX2,3)</f>
        <v/>
      </c>
      <c r="PPF2" t="str">
        <f>LEFT(Database!PPY2,3)</f>
        <v/>
      </c>
      <c r="PPG2" t="str">
        <f>LEFT(Database!PPZ2,3)</f>
        <v/>
      </c>
      <c r="PPH2" t="str">
        <f>LEFT(Database!PQA2,3)</f>
        <v/>
      </c>
      <c r="PPI2" t="str">
        <f>LEFT(Database!PQB2,3)</f>
        <v/>
      </c>
      <c r="PPJ2" t="str">
        <f>LEFT(Database!PQC2,3)</f>
        <v/>
      </c>
      <c r="PPK2" t="str">
        <f>LEFT(Database!PQD2,3)</f>
        <v/>
      </c>
      <c r="PPL2" t="str">
        <f>LEFT(Database!PQE2,3)</f>
        <v/>
      </c>
      <c r="PPM2" t="str">
        <f>LEFT(Database!PQF2,3)</f>
        <v/>
      </c>
      <c r="PPN2" t="str">
        <f>LEFT(Database!PQG2,3)</f>
        <v/>
      </c>
      <c r="PPO2" t="str">
        <f>LEFT(Database!PQH2,3)</f>
        <v/>
      </c>
      <c r="PPP2" t="str">
        <f>LEFT(Database!PQI2,3)</f>
        <v/>
      </c>
      <c r="PPQ2" t="str">
        <f>LEFT(Database!PQJ2,3)</f>
        <v/>
      </c>
      <c r="PPR2" t="str">
        <f>LEFT(Database!PQK2,3)</f>
        <v/>
      </c>
      <c r="PPS2" t="str">
        <f>LEFT(Database!PQL2,3)</f>
        <v/>
      </c>
      <c r="PPT2" t="str">
        <f>LEFT(Database!PQM2,3)</f>
        <v/>
      </c>
      <c r="PPU2" t="str">
        <f>LEFT(Database!PQN2,3)</f>
        <v/>
      </c>
      <c r="PPV2" t="str">
        <f>LEFT(Database!PQO2,3)</f>
        <v/>
      </c>
      <c r="PPW2" t="str">
        <f>LEFT(Database!PQP2,3)</f>
        <v/>
      </c>
      <c r="PPX2" t="str">
        <f>LEFT(Database!PQQ2,3)</f>
        <v/>
      </c>
      <c r="PPY2" t="str">
        <f>LEFT(Database!PQR2,3)</f>
        <v/>
      </c>
      <c r="PPZ2" t="str">
        <f>LEFT(Database!PQS2,3)</f>
        <v/>
      </c>
      <c r="PQA2" t="str">
        <f>LEFT(Database!PQT2,3)</f>
        <v/>
      </c>
      <c r="PQB2" t="str">
        <f>LEFT(Database!PQU2,3)</f>
        <v/>
      </c>
      <c r="PQC2" t="str">
        <f>LEFT(Database!PQV2,3)</f>
        <v/>
      </c>
      <c r="PQD2" t="str">
        <f>LEFT(Database!PQW2,3)</f>
        <v/>
      </c>
      <c r="PQE2" t="str">
        <f>LEFT(Database!PQX2,3)</f>
        <v/>
      </c>
      <c r="PQF2" t="str">
        <f>LEFT(Database!PQY2,3)</f>
        <v/>
      </c>
      <c r="PQG2" t="str">
        <f>LEFT(Database!PQZ2,3)</f>
        <v/>
      </c>
      <c r="PQH2" t="str">
        <f>LEFT(Database!PRA2,3)</f>
        <v/>
      </c>
      <c r="PQI2" t="str">
        <f>LEFT(Database!PRB2,3)</f>
        <v/>
      </c>
      <c r="PQJ2" t="str">
        <f>LEFT(Database!PRC2,3)</f>
        <v/>
      </c>
      <c r="PQK2" t="str">
        <f>LEFT(Database!PRD2,3)</f>
        <v/>
      </c>
      <c r="PQL2" t="str">
        <f>LEFT(Database!PRE2,3)</f>
        <v/>
      </c>
      <c r="PQM2" t="str">
        <f>LEFT(Database!PRF2,3)</f>
        <v/>
      </c>
      <c r="PQN2" t="str">
        <f>LEFT(Database!PRG2,3)</f>
        <v/>
      </c>
      <c r="PQO2" t="str">
        <f>LEFT(Database!PRH2,3)</f>
        <v/>
      </c>
      <c r="PQP2" t="str">
        <f>LEFT(Database!PRI2,3)</f>
        <v/>
      </c>
      <c r="PQQ2" t="str">
        <f>LEFT(Database!PRJ2,3)</f>
        <v/>
      </c>
      <c r="PQR2" t="str">
        <f>LEFT(Database!PRK2,3)</f>
        <v/>
      </c>
      <c r="PQS2" t="str">
        <f>LEFT(Database!PRL2,3)</f>
        <v/>
      </c>
      <c r="PQT2" t="str">
        <f>LEFT(Database!PRM2,3)</f>
        <v/>
      </c>
      <c r="PQU2" t="str">
        <f>LEFT(Database!PRN2,3)</f>
        <v/>
      </c>
      <c r="PQV2" t="str">
        <f>LEFT(Database!PRO2,3)</f>
        <v/>
      </c>
      <c r="PQW2" t="str">
        <f>LEFT(Database!PRP2,3)</f>
        <v/>
      </c>
      <c r="PQX2" t="str">
        <f>LEFT(Database!PRQ2,3)</f>
        <v/>
      </c>
      <c r="PQY2" t="str">
        <f>LEFT(Database!PRR2,3)</f>
        <v/>
      </c>
      <c r="PQZ2" t="str">
        <f>LEFT(Database!PRS2,3)</f>
        <v/>
      </c>
      <c r="PRA2" t="str">
        <f>LEFT(Database!PRT2,3)</f>
        <v/>
      </c>
      <c r="PRB2" t="str">
        <f>LEFT(Database!PRU2,3)</f>
        <v/>
      </c>
      <c r="PRC2" t="str">
        <f>LEFT(Database!PRV2,3)</f>
        <v/>
      </c>
      <c r="PRD2" t="str">
        <f>LEFT(Database!PRW2,3)</f>
        <v/>
      </c>
      <c r="PRE2" t="str">
        <f>LEFT(Database!PRX2,3)</f>
        <v/>
      </c>
      <c r="PRF2" t="str">
        <f>LEFT(Database!PRY2,3)</f>
        <v/>
      </c>
      <c r="PRG2" t="str">
        <f>LEFT(Database!PRZ2,3)</f>
        <v/>
      </c>
      <c r="PRH2" t="str">
        <f>LEFT(Database!PSA2,3)</f>
        <v/>
      </c>
      <c r="PRI2" t="str">
        <f>LEFT(Database!PSB2,3)</f>
        <v/>
      </c>
      <c r="PRJ2" t="str">
        <f>LEFT(Database!PSC2,3)</f>
        <v/>
      </c>
      <c r="PRK2" t="str">
        <f>LEFT(Database!PSD2,3)</f>
        <v/>
      </c>
      <c r="PRL2" t="str">
        <f>LEFT(Database!PSE2,3)</f>
        <v/>
      </c>
      <c r="PRM2" t="str">
        <f>LEFT(Database!PSF2,3)</f>
        <v/>
      </c>
      <c r="PRN2" t="str">
        <f>LEFT(Database!PSG2,3)</f>
        <v/>
      </c>
      <c r="PRO2" t="str">
        <f>LEFT(Database!PSH2,3)</f>
        <v/>
      </c>
      <c r="PRP2" t="str">
        <f>LEFT(Database!PSI2,3)</f>
        <v/>
      </c>
      <c r="PRQ2" t="str">
        <f>LEFT(Database!PSJ2,3)</f>
        <v/>
      </c>
      <c r="PRR2" t="str">
        <f>LEFT(Database!PSK2,3)</f>
        <v/>
      </c>
      <c r="PRS2" t="str">
        <f>LEFT(Database!PSL2,3)</f>
        <v/>
      </c>
      <c r="PRT2" t="str">
        <f>LEFT(Database!PSM2,3)</f>
        <v/>
      </c>
      <c r="PRU2" t="str">
        <f>LEFT(Database!PSN2,3)</f>
        <v/>
      </c>
      <c r="PRV2" t="str">
        <f>LEFT(Database!PSO2,3)</f>
        <v/>
      </c>
      <c r="PRW2" t="str">
        <f>LEFT(Database!PSP2,3)</f>
        <v/>
      </c>
      <c r="PRX2" t="str">
        <f>LEFT(Database!PSQ2,3)</f>
        <v/>
      </c>
      <c r="PRY2" t="str">
        <f>LEFT(Database!PSR2,3)</f>
        <v/>
      </c>
      <c r="PRZ2" t="str">
        <f>LEFT(Database!PSS2,3)</f>
        <v/>
      </c>
      <c r="PSA2" t="str">
        <f>LEFT(Database!PST2,3)</f>
        <v/>
      </c>
      <c r="PSB2" t="str">
        <f>LEFT(Database!PSU2,3)</f>
        <v/>
      </c>
      <c r="PSC2" t="str">
        <f>LEFT(Database!PSV2,3)</f>
        <v/>
      </c>
      <c r="PSD2" t="str">
        <f>LEFT(Database!PSW2,3)</f>
        <v/>
      </c>
      <c r="PSE2" t="str">
        <f>LEFT(Database!PSX2,3)</f>
        <v/>
      </c>
      <c r="PSF2" t="str">
        <f>LEFT(Database!PSY2,3)</f>
        <v/>
      </c>
      <c r="PSG2" t="str">
        <f>LEFT(Database!PSZ2,3)</f>
        <v/>
      </c>
      <c r="PSH2" t="str">
        <f>LEFT(Database!PTA2,3)</f>
        <v/>
      </c>
      <c r="PSI2" t="str">
        <f>LEFT(Database!PTB2,3)</f>
        <v/>
      </c>
      <c r="PSJ2" t="str">
        <f>LEFT(Database!PTC2,3)</f>
        <v/>
      </c>
      <c r="PSK2" t="str">
        <f>LEFT(Database!PTD2,3)</f>
        <v/>
      </c>
      <c r="PSL2" t="str">
        <f>LEFT(Database!PTE2,3)</f>
        <v/>
      </c>
      <c r="PSM2" t="str">
        <f>LEFT(Database!PTF2,3)</f>
        <v/>
      </c>
      <c r="PSN2" t="str">
        <f>LEFT(Database!PTG2,3)</f>
        <v/>
      </c>
      <c r="PSO2" t="str">
        <f>LEFT(Database!PTH2,3)</f>
        <v/>
      </c>
      <c r="PSP2" t="str">
        <f>LEFT(Database!PTI2,3)</f>
        <v/>
      </c>
      <c r="PSQ2" t="str">
        <f>LEFT(Database!PTJ2,3)</f>
        <v/>
      </c>
      <c r="PSR2" t="str">
        <f>LEFT(Database!PTK2,3)</f>
        <v/>
      </c>
      <c r="PSS2" t="str">
        <f>LEFT(Database!PTL2,3)</f>
        <v/>
      </c>
      <c r="PST2" t="str">
        <f>LEFT(Database!PTM2,3)</f>
        <v/>
      </c>
      <c r="PSU2" t="str">
        <f>LEFT(Database!PTN2,3)</f>
        <v/>
      </c>
      <c r="PSV2" t="str">
        <f>LEFT(Database!PTO2,3)</f>
        <v/>
      </c>
      <c r="PSW2" t="str">
        <f>LEFT(Database!PTP2,3)</f>
        <v/>
      </c>
      <c r="PSX2" t="str">
        <f>LEFT(Database!PTQ2,3)</f>
        <v/>
      </c>
      <c r="PSY2" t="str">
        <f>LEFT(Database!PTR2,3)</f>
        <v/>
      </c>
      <c r="PSZ2" t="str">
        <f>LEFT(Database!PTS2,3)</f>
        <v/>
      </c>
      <c r="PTA2" t="str">
        <f>LEFT(Database!PTT2,3)</f>
        <v/>
      </c>
      <c r="PTB2" t="str">
        <f>LEFT(Database!PTU2,3)</f>
        <v/>
      </c>
      <c r="PTC2" t="str">
        <f>LEFT(Database!PTV2,3)</f>
        <v/>
      </c>
      <c r="PTD2" t="str">
        <f>LEFT(Database!PTW2,3)</f>
        <v/>
      </c>
      <c r="PTE2" t="str">
        <f>LEFT(Database!PTX2,3)</f>
        <v/>
      </c>
      <c r="PTF2" t="str">
        <f>LEFT(Database!PTY2,3)</f>
        <v/>
      </c>
      <c r="PTG2" t="str">
        <f>LEFT(Database!PTZ2,3)</f>
        <v/>
      </c>
      <c r="PTH2" t="str">
        <f>LEFT(Database!PUA2,3)</f>
        <v/>
      </c>
      <c r="PTI2" t="str">
        <f>LEFT(Database!PUB2,3)</f>
        <v/>
      </c>
      <c r="PTJ2" t="str">
        <f>LEFT(Database!PUC2,3)</f>
        <v/>
      </c>
      <c r="PTK2" t="str">
        <f>LEFT(Database!PUD2,3)</f>
        <v/>
      </c>
      <c r="PTL2" t="str">
        <f>LEFT(Database!PUE2,3)</f>
        <v/>
      </c>
      <c r="PTM2" t="str">
        <f>LEFT(Database!PUF2,3)</f>
        <v/>
      </c>
      <c r="PTN2" t="str">
        <f>LEFT(Database!PUG2,3)</f>
        <v/>
      </c>
      <c r="PTO2" t="str">
        <f>LEFT(Database!PUH2,3)</f>
        <v/>
      </c>
      <c r="PTP2" t="str">
        <f>LEFT(Database!PUI2,3)</f>
        <v/>
      </c>
      <c r="PTQ2" t="str">
        <f>LEFT(Database!PUJ2,3)</f>
        <v/>
      </c>
      <c r="PTR2" t="str">
        <f>LEFT(Database!PUK2,3)</f>
        <v/>
      </c>
      <c r="PTS2" t="str">
        <f>LEFT(Database!PUL2,3)</f>
        <v/>
      </c>
      <c r="PTT2" t="str">
        <f>LEFT(Database!PUM2,3)</f>
        <v/>
      </c>
      <c r="PTU2" t="str">
        <f>LEFT(Database!PUN2,3)</f>
        <v/>
      </c>
      <c r="PTV2" t="str">
        <f>LEFT(Database!PUO2,3)</f>
        <v/>
      </c>
      <c r="PTW2" t="str">
        <f>LEFT(Database!PUP2,3)</f>
        <v/>
      </c>
      <c r="PTX2" t="str">
        <f>LEFT(Database!PUQ2,3)</f>
        <v/>
      </c>
      <c r="PTY2" t="str">
        <f>LEFT(Database!PUR2,3)</f>
        <v/>
      </c>
      <c r="PTZ2" t="str">
        <f>LEFT(Database!PUS2,3)</f>
        <v/>
      </c>
      <c r="PUA2" t="str">
        <f>LEFT(Database!PUT2,3)</f>
        <v/>
      </c>
      <c r="PUB2" t="str">
        <f>LEFT(Database!PUU2,3)</f>
        <v/>
      </c>
      <c r="PUC2" t="str">
        <f>LEFT(Database!PUV2,3)</f>
        <v/>
      </c>
      <c r="PUD2" t="str">
        <f>LEFT(Database!PUW2,3)</f>
        <v/>
      </c>
      <c r="PUE2" t="str">
        <f>LEFT(Database!PUX2,3)</f>
        <v/>
      </c>
      <c r="PUF2" t="str">
        <f>LEFT(Database!PUY2,3)</f>
        <v/>
      </c>
      <c r="PUG2" t="str">
        <f>LEFT(Database!PUZ2,3)</f>
        <v/>
      </c>
      <c r="PUH2" t="str">
        <f>LEFT(Database!PVA2,3)</f>
        <v/>
      </c>
      <c r="PUI2" t="str">
        <f>LEFT(Database!PVB2,3)</f>
        <v/>
      </c>
      <c r="PUJ2" t="str">
        <f>LEFT(Database!PVC2,3)</f>
        <v/>
      </c>
      <c r="PUK2" t="str">
        <f>LEFT(Database!PVD2,3)</f>
        <v/>
      </c>
      <c r="PUL2" t="str">
        <f>LEFT(Database!PVE2,3)</f>
        <v/>
      </c>
      <c r="PUM2" t="str">
        <f>LEFT(Database!PVF2,3)</f>
        <v/>
      </c>
      <c r="PUN2" t="str">
        <f>LEFT(Database!PVG2,3)</f>
        <v/>
      </c>
      <c r="PUO2" t="str">
        <f>LEFT(Database!PVH2,3)</f>
        <v/>
      </c>
      <c r="PUP2" t="str">
        <f>LEFT(Database!PVI2,3)</f>
        <v/>
      </c>
      <c r="PUQ2" t="str">
        <f>LEFT(Database!PVJ2,3)</f>
        <v/>
      </c>
      <c r="PUR2" t="str">
        <f>LEFT(Database!PVK2,3)</f>
        <v/>
      </c>
      <c r="PUS2" t="str">
        <f>LEFT(Database!PVL2,3)</f>
        <v/>
      </c>
      <c r="PUT2" t="str">
        <f>LEFT(Database!PVM2,3)</f>
        <v/>
      </c>
      <c r="PUU2" t="str">
        <f>LEFT(Database!PVN2,3)</f>
        <v/>
      </c>
      <c r="PUV2" t="str">
        <f>LEFT(Database!PVO2,3)</f>
        <v/>
      </c>
      <c r="PUW2" t="str">
        <f>LEFT(Database!PVP2,3)</f>
        <v/>
      </c>
      <c r="PUX2" t="str">
        <f>LEFT(Database!PVQ2,3)</f>
        <v/>
      </c>
      <c r="PUY2" t="str">
        <f>LEFT(Database!PVR2,3)</f>
        <v/>
      </c>
      <c r="PUZ2" t="str">
        <f>LEFT(Database!PVS2,3)</f>
        <v/>
      </c>
      <c r="PVA2" t="str">
        <f>LEFT(Database!PVT2,3)</f>
        <v/>
      </c>
      <c r="PVB2" t="str">
        <f>LEFT(Database!PVU2,3)</f>
        <v/>
      </c>
      <c r="PVC2" t="str">
        <f>LEFT(Database!PVV2,3)</f>
        <v/>
      </c>
      <c r="PVD2" t="str">
        <f>LEFT(Database!PVW2,3)</f>
        <v/>
      </c>
      <c r="PVE2" t="str">
        <f>LEFT(Database!PVX2,3)</f>
        <v/>
      </c>
      <c r="PVF2" t="str">
        <f>LEFT(Database!PVY2,3)</f>
        <v/>
      </c>
      <c r="PVG2" t="str">
        <f>LEFT(Database!PVZ2,3)</f>
        <v/>
      </c>
      <c r="PVH2" t="str">
        <f>LEFT(Database!PWA2,3)</f>
        <v/>
      </c>
      <c r="PVI2" t="str">
        <f>LEFT(Database!PWB2,3)</f>
        <v/>
      </c>
      <c r="PVJ2" t="str">
        <f>LEFT(Database!PWC2,3)</f>
        <v/>
      </c>
      <c r="PVK2" t="str">
        <f>LEFT(Database!PWD2,3)</f>
        <v/>
      </c>
      <c r="PVL2" t="str">
        <f>LEFT(Database!PWE2,3)</f>
        <v/>
      </c>
      <c r="PVM2" t="str">
        <f>LEFT(Database!PWF2,3)</f>
        <v/>
      </c>
      <c r="PVN2" t="str">
        <f>LEFT(Database!PWG2,3)</f>
        <v/>
      </c>
      <c r="PVO2" t="str">
        <f>LEFT(Database!PWH2,3)</f>
        <v/>
      </c>
      <c r="PVP2" t="str">
        <f>LEFT(Database!PWI2,3)</f>
        <v/>
      </c>
      <c r="PVQ2" t="str">
        <f>LEFT(Database!PWJ2,3)</f>
        <v/>
      </c>
      <c r="PVR2" t="str">
        <f>LEFT(Database!PWK2,3)</f>
        <v/>
      </c>
      <c r="PVS2" t="str">
        <f>LEFT(Database!PWL2,3)</f>
        <v/>
      </c>
      <c r="PVT2" t="str">
        <f>LEFT(Database!PWM2,3)</f>
        <v/>
      </c>
      <c r="PVU2" t="str">
        <f>LEFT(Database!PWN2,3)</f>
        <v/>
      </c>
      <c r="PVV2" t="str">
        <f>LEFT(Database!PWO2,3)</f>
        <v/>
      </c>
      <c r="PVW2" t="str">
        <f>LEFT(Database!PWP2,3)</f>
        <v/>
      </c>
      <c r="PVX2" t="str">
        <f>LEFT(Database!PWQ2,3)</f>
        <v/>
      </c>
      <c r="PVY2" t="str">
        <f>LEFT(Database!PWR2,3)</f>
        <v/>
      </c>
      <c r="PVZ2" t="str">
        <f>LEFT(Database!PWS2,3)</f>
        <v/>
      </c>
      <c r="PWA2" t="str">
        <f>LEFT(Database!PWT2,3)</f>
        <v/>
      </c>
      <c r="PWB2" t="str">
        <f>LEFT(Database!PWU2,3)</f>
        <v/>
      </c>
      <c r="PWC2" t="str">
        <f>LEFT(Database!PWV2,3)</f>
        <v/>
      </c>
      <c r="PWD2" t="str">
        <f>LEFT(Database!PWW2,3)</f>
        <v/>
      </c>
      <c r="PWE2" t="str">
        <f>LEFT(Database!PWX2,3)</f>
        <v/>
      </c>
      <c r="PWF2" t="str">
        <f>LEFT(Database!PWY2,3)</f>
        <v/>
      </c>
      <c r="PWG2" t="str">
        <f>LEFT(Database!PWZ2,3)</f>
        <v/>
      </c>
      <c r="PWH2" t="str">
        <f>LEFT(Database!PXA2,3)</f>
        <v/>
      </c>
      <c r="PWI2" t="str">
        <f>LEFT(Database!PXB2,3)</f>
        <v/>
      </c>
      <c r="PWJ2" t="str">
        <f>LEFT(Database!PXC2,3)</f>
        <v/>
      </c>
      <c r="PWK2" t="str">
        <f>LEFT(Database!PXD2,3)</f>
        <v/>
      </c>
      <c r="PWL2" t="str">
        <f>LEFT(Database!PXE2,3)</f>
        <v/>
      </c>
      <c r="PWM2" t="str">
        <f>LEFT(Database!PXF2,3)</f>
        <v/>
      </c>
      <c r="PWN2" t="str">
        <f>LEFT(Database!PXG2,3)</f>
        <v/>
      </c>
      <c r="PWO2" t="str">
        <f>LEFT(Database!PXH2,3)</f>
        <v/>
      </c>
      <c r="PWP2" t="str">
        <f>LEFT(Database!PXI2,3)</f>
        <v/>
      </c>
      <c r="PWQ2" t="str">
        <f>LEFT(Database!PXJ2,3)</f>
        <v/>
      </c>
      <c r="PWR2" t="str">
        <f>LEFT(Database!PXK2,3)</f>
        <v/>
      </c>
      <c r="PWS2" t="str">
        <f>LEFT(Database!PXL2,3)</f>
        <v/>
      </c>
      <c r="PWT2" t="str">
        <f>LEFT(Database!PXM2,3)</f>
        <v/>
      </c>
      <c r="PWU2" t="str">
        <f>LEFT(Database!PXN2,3)</f>
        <v/>
      </c>
      <c r="PWV2" t="str">
        <f>LEFT(Database!PXO2,3)</f>
        <v/>
      </c>
      <c r="PWW2" t="str">
        <f>LEFT(Database!PXP2,3)</f>
        <v/>
      </c>
      <c r="PWX2" t="str">
        <f>LEFT(Database!PXQ2,3)</f>
        <v/>
      </c>
      <c r="PWY2" t="str">
        <f>LEFT(Database!PXR2,3)</f>
        <v/>
      </c>
      <c r="PWZ2" t="str">
        <f>LEFT(Database!PXS2,3)</f>
        <v/>
      </c>
      <c r="PXA2" t="str">
        <f>LEFT(Database!PXT2,3)</f>
        <v/>
      </c>
      <c r="PXB2" t="str">
        <f>LEFT(Database!PXU2,3)</f>
        <v/>
      </c>
      <c r="PXC2" t="str">
        <f>LEFT(Database!PXV2,3)</f>
        <v/>
      </c>
      <c r="PXD2" t="str">
        <f>LEFT(Database!PXW2,3)</f>
        <v/>
      </c>
      <c r="PXE2" t="str">
        <f>LEFT(Database!PXX2,3)</f>
        <v/>
      </c>
      <c r="PXF2" t="str">
        <f>LEFT(Database!PXY2,3)</f>
        <v/>
      </c>
      <c r="PXG2" t="str">
        <f>LEFT(Database!PXZ2,3)</f>
        <v/>
      </c>
      <c r="PXH2" t="str">
        <f>LEFT(Database!PYA2,3)</f>
        <v/>
      </c>
      <c r="PXI2" t="str">
        <f>LEFT(Database!PYB2,3)</f>
        <v/>
      </c>
      <c r="PXJ2" t="str">
        <f>LEFT(Database!PYC2,3)</f>
        <v/>
      </c>
      <c r="PXK2" t="str">
        <f>LEFT(Database!PYD2,3)</f>
        <v/>
      </c>
      <c r="PXL2" t="str">
        <f>LEFT(Database!PYE2,3)</f>
        <v/>
      </c>
      <c r="PXM2" t="str">
        <f>LEFT(Database!PYF2,3)</f>
        <v/>
      </c>
      <c r="PXN2" t="str">
        <f>LEFT(Database!PYG2,3)</f>
        <v/>
      </c>
      <c r="PXO2" t="str">
        <f>LEFT(Database!PYH2,3)</f>
        <v/>
      </c>
      <c r="PXP2" t="str">
        <f>LEFT(Database!PYI2,3)</f>
        <v/>
      </c>
      <c r="PXQ2" t="str">
        <f>LEFT(Database!PYJ2,3)</f>
        <v/>
      </c>
      <c r="PXR2" t="str">
        <f>LEFT(Database!PYK2,3)</f>
        <v/>
      </c>
      <c r="PXS2" t="str">
        <f>LEFT(Database!PYL2,3)</f>
        <v/>
      </c>
      <c r="PXT2" t="str">
        <f>LEFT(Database!PYM2,3)</f>
        <v/>
      </c>
      <c r="PXU2" t="str">
        <f>LEFT(Database!PYN2,3)</f>
        <v/>
      </c>
      <c r="PXV2" t="str">
        <f>LEFT(Database!PYO2,3)</f>
        <v/>
      </c>
      <c r="PXW2" t="str">
        <f>LEFT(Database!PYP2,3)</f>
        <v/>
      </c>
      <c r="PXX2" t="str">
        <f>LEFT(Database!PYQ2,3)</f>
        <v/>
      </c>
      <c r="PXY2" t="str">
        <f>LEFT(Database!PYR2,3)</f>
        <v/>
      </c>
      <c r="PXZ2" t="str">
        <f>LEFT(Database!PYS2,3)</f>
        <v/>
      </c>
      <c r="PYA2" t="str">
        <f>LEFT(Database!PYT2,3)</f>
        <v/>
      </c>
      <c r="PYB2" t="str">
        <f>LEFT(Database!PYU2,3)</f>
        <v/>
      </c>
      <c r="PYC2" t="str">
        <f>LEFT(Database!PYV2,3)</f>
        <v/>
      </c>
      <c r="PYD2" t="str">
        <f>LEFT(Database!PYW2,3)</f>
        <v/>
      </c>
      <c r="PYE2" t="str">
        <f>LEFT(Database!PYX2,3)</f>
        <v/>
      </c>
      <c r="PYF2" t="str">
        <f>LEFT(Database!PYY2,3)</f>
        <v/>
      </c>
      <c r="PYG2" t="str">
        <f>LEFT(Database!PYZ2,3)</f>
        <v/>
      </c>
      <c r="PYH2" t="str">
        <f>LEFT(Database!PZA2,3)</f>
        <v/>
      </c>
      <c r="PYI2" t="str">
        <f>LEFT(Database!PZB2,3)</f>
        <v/>
      </c>
      <c r="PYJ2" t="str">
        <f>LEFT(Database!PZC2,3)</f>
        <v/>
      </c>
      <c r="PYK2" t="str">
        <f>LEFT(Database!PZD2,3)</f>
        <v/>
      </c>
      <c r="PYL2" t="str">
        <f>LEFT(Database!PZE2,3)</f>
        <v/>
      </c>
      <c r="PYM2" t="str">
        <f>LEFT(Database!PZF2,3)</f>
        <v/>
      </c>
      <c r="PYN2" t="str">
        <f>LEFT(Database!PZG2,3)</f>
        <v/>
      </c>
      <c r="PYO2" t="str">
        <f>LEFT(Database!PZH2,3)</f>
        <v/>
      </c>
      <c r="PYP2" t="str">
        <f>LEFT(Database!PZI2,3)</f>
        <v/>
      </c>
      <c r="PYQ2" t="str">
        <f>LEFT(Database!PZJ2,3)</f>
        <v/>
      </c>
      <c r="PYR2" t="str">
        <f>LEFT(Database!PZK2,3)</f>
        <v/>
      </c>
      <c r="PYS2" t="str">
        <f>LEFT(Database!PZL2,3)</f>
        <v/>
      </c>
      <c r="PYT2" t="str">
        <f>LEFT(Database!PZM2,3)</f>
        <v/>
      </c>
      <c r="PYU2" t="str">
        <f>LEFT(Database!PZN2,3)</f>
        <v/>
      </c>
      <c r="PYV2" t="str">
        <f>LEFT(Database!PZO2,3)</f>
        <v/>
      </c>
      <c r="PYW2" t="str">
        <f>LEFT(Database!PZP2,3)</f>
        <v/>
      </c>
      <c r="PYX2" t="str">
        <f>LEFT(Database!PZQ2,3)</f>
        <v/>
      </c>
      <c r="PYY2" t="str">
        <f>LEFT(Database!PZR2,3)</f>
        <v/>
      </c>
      <c r="PYZ2" t="str">
        <f>LEFT(Database!PZS2,3)</f>
        <v/>
      </c>
      <c r="PZA2" t="str">
        <f>LEFT(Database!PZT2,3)</f>
        <v/>
      </c>
      <c r="PZB2" t="str">
        <f>LEFT(Database!PZU2,3)</f>
        <v/>
      </c>
      <c r="PZC2" t="str">
        <f>LEFT(Database!PZV2,3)</f>
        <v/>
      </c>
      <c r="PZD2" t="str">
        <f>LEFT(Database!PZW2,3)</f>
        <v/>
      </c>
      <c r="PZE2" t="str">
        <f>LEFT(Database!PZX2,3)</f>
        <v/>
      </c>
      <c r="PZF2" t="str">
        <f>LEFT(Database!PZY2,3)</f>
        <v/>
      </c>
      <c r="PZG2" t="str">
        <f>LEFT(Database!PZZ2,3)</f>
        <v/>
      </c>
      <c r="PZH2" t="str">
        <f>LEFT(Database!QAA2,3)</f>
        <v/>
      </c>
      <c r="PZI2" t="str">
        <f>LEFT(Database!QAB2,3)</f>
        <v/>
      </c>
      <c r="PZJ2" t="str">
        <f>LEFT(Database!QAC2,3)</f>
        <v/>
      </c>
      <c r="PZK2" t="str">
        <f>LEFT(Database!QAD2,3)</f>
        <v/>
      </c>
      <c r="PZL2" t="str">
        <f>LEFT(Database!QAE2,3)</f>
        <v/>
      </c>
      <c r="PZM2" t="str">
        <f>LEFT(Database!QAF2,3)</f>
        <v/>
      </c>
      <c r="PZN2" t="str">
        <f>LEFT(Database!QAG2,3)</f>
        <v/>
      </c>
      <c r="PZO2" t="str">
        <f>LEFT(Database!QAH2,3)</f>
        <v/>
      </c>
      <c r="PZP2" t="str">
        <f>LEFT(Database!QAI2,3)</f>
        <v/>
      </c>
      <c r="PZQ2" t="str">
        <f>LEFT(Database!QAJ2,3)</f>
        <v/>
      </c>
      <c r="PZR2" t="str">
        <f>LEFT(Database!QAK2,3)</f>
        <v/>
      </c>
      <c r="PZS2" t="str">
        <f>LEFT(Database!QAL2,3)</f>
        <v/>
      </c>
      <c r="PZT2" t="str">
        <f>LEFT(Database!QAM2,3)</f>
        <v/>
      </c>
      <c r="PZU2" t="str">
        <f>LEFT(Database!QAN2,3)</f>
        <v/>
      </c>
      <c r="PZV2" t="str">
        <f>LEFT(Database!QAO2,3)</f>
        <v/>
      </c>
      <c r="PZW2" t="str">
        <f>LEFT(Database!QAP2,3)</f>
        <v/>
      </c>
      <c r="PZX2" t="str">
        <f>LEFT(Database!QAQ2,3)</f>
        <v/>
      </c>
      <c r="PZY2" t="str">
        <f>LEFT(Database!QAR2,3)</f>
        <v/>
      </c>
      <c r="PZZ2" t="str">
        <f>LEFT(Database!QAS2,3)</f>
        <v/>
      </c>
      <c r="QAA2" t="str">
        <f>LEFT(Database!QAT2,3)</f>
        <v/>
      </c>
      <c r="QAB2" t="str">
        <f>LEFT(Database!QAU2,3)</f>
        <v/>
      </c>
      <c r="QAC2" t="str">
        <f>LEFT(Database!QAV2,3)</f>
        <v/>
      </c>
      <c r="QAD2" t="str">
        <f>LEFT(Database!QAW2,3)</f>
        <v/>
      </c>
      <c r="QAE2" t="str">
        <f>LEFT(Database!QAX2,3)</f>
        <v/>
      </c>
      <c r="QAF2" t="str">
        <f>LEFT(Database!QAY2,3)</f>
        <v/>
      </c>
      <c r="QAG2" t="str">
        <f>LEFT(Database!QAZ2,3)</f>
        <v/>
      </c>
      <c r="QAH2" t="str">
        <f>LEFT(Database!QBA2,3)</f>
        <v/>
      </c>
      <c r="QAI2" t="str">
        <f>LEFT(Database!QBB2,3)</f>
        <v/>
      </c>
      <c r="QAJ2" t="str">
        <f>LEFT(Database!QBC2,3)</f>
        <v/>
      </c>
      <c r="QAK2" t="str">
        <f>LEFT(Database!QBD2,3)</f>
        <v/>
      </c>
      <c r="QAL2" t="str">
        <f>LEFT(Database!QBE2,3)</f>
        <v/>
      </c>
      <c r="QAM2" t="str">
        <f>LEFT(Database!QBF2,3)</f>
        <v/>
      </c>
      <c r="QAN2" t="str">
        <f>LEFT(Database!QBG2,3)</f>
        <v/>
      </c>
      <c r="QAO2" t="str">
        <f>LEFT(Database!QBH2,3)</f>
        <v/>
      </c>
      <c r="QAP2" t="str">
        <f>LEFT(Database!QBI2,3)</f>
        <v/>
      </c>
      <c r="QAQ2" t="str">
        <f>LEFT(Database!QBJ2,3)</f>
        <v/>
      </c>
      <c r="QAR2" t="str">
        <f>LEFT(Database!QBK2,3)</f>
        <v/>
      </c>
      <c r="QAS2" t="str">
        <f>LEFT(Database!QBL2,3)</f>
        <v/>
      </c>
      <c r="QAT2" t="str">
        <f>LEFT(Database!QBM2,3)</f>
        <v/>
      </c>
      <c r="QAU2" t="str">
        <f>LEFT(Database!QBN2,3)</f>
        <v/>
      </c>
      <c r="QAV2" t="str">
        <f>LEFT(Database!QBO2,3)</f>
        <v/>
      </c>
      <c r="QAW2" t="str">
        <f>LEFT(Database!QBP2,3)</f>
        <v/>
      </c>
      <c r="QAX2" t="str">
        <f>LEFT(Database!QBQ2,3)</f>
        <v/>
      </c>
      <c r="QAY2" t="str">
        <f>LEFT(Database!QBR2,3)</f>
        <v/>
      </c>
      <c r="QAZ2" t="str">
        <f>LEFT(Database!QBS2,3)</f>
        <v/>
      </c>
      <c r="QBA2" t="str">
        <f>LEFT(Database!QBT2,3)</f>
        <v/>
      </c>
      <c r="QBB2" t="str">
        <f>LEFT(Database!QBU2,3)</f>
        <v/>
      </c>
      <c r="QBC2" t="str">
        <f>LEFT(Database!QBV2,3)</f>
        <v/>
      </c>
      <c r="QBD2" t="str">
        <f>LEFT(Database!QBW2,3)</f>
        <v/>
      </c>
      <c r="QBE2" t="str">
        <f>LEFT(Database!QBX2,3)</f>
        <v/>
      </c>
      <c r="QBF2" t="str">
        <f>LEFT(Database!QBY2,3)</f>
        <v/>
      </c>
      <c r="QBG2" t="str">
        <f>LEFT(Database!QBZ2,3)</f>
        <v/>
      </c>
      <c r="QBH2" t="str">
        <f>LEFT(Database!QCA2,3)</f>
        <v/>
      </c>
      <c r="QBI2" t="str">
        <f>LEFT(Database!QCB2,3)</f>
        <v/>
      </c>
      <c r="QBJ2" t="str">
        <f>LEFT(Database!QCC2,3)</f>
        <v/>
      </c>
      <c r="QBK2" t="str">
        <f>LEFT(Database!QCD2,3)</f>
        <v/>
      </c>
      <c r="QBL2" t="str">
        <f>LEFT(Database!QCE2,3)</f>
        <v/>
      </c>
      <c r="QBM2" t="str">
        <f>LEFT(Database!QCF2,3)</f>
        <v/>
      </c>
      <c r="QBN2" t="str">
        <f>LEFT(Database!QCG2,3)</f>
        <v/>
      </c>
      <c r="QBO2" t="str">
        <f>LEFT(Database!QCH2,3)</f>
        <v/>
      </c>
      <c r="QBP2" t="str">
        <f>LEFT(Database!QCI2,3)</f>
        <v/>
      </c>
      <c r="QBQ2" t="str">
        <f>LEFT(Database!QCJ2,3)</f>
        <v/>
      </c>
      <c r="QBR2" t="str">
        <f>LEFT(Database!QCK2,3)</f>
        <v/>
      </c>
      <c r="QBS2" t="str">
        <f>LEFT(Database!QCL2,3)</f>
        <v/>
      </c>
      <c r="QBT2" t="str">
        <f>LEFT(Database!QCM2,3)</f>
        <v/>
      </c>
      <c r="QBU2" t="str">
        <f>LEFT(Database!QCN2,3)</f>
        <v/>
      </c>
      <c r="QBV2" t="str">
        <f>LEFT(Database!QCO2,3)</f>
        <v/>
      </c>
      <c r="QBW2" t="str">
        <f>LEFT(Database!QCP2,3)</f>
        <v/>
      </c>
      <c r="QBX2" t="str">
        <f>LEFT(Database!QCQ2,3)</f>
        <v/>
      </c>
      <c r="QBY2" t="str">
        <f>LEFT(Database!QCR2,3)</f>
        <v/>
      </c>
      <c r="QBZ2" t="str">
        <f>LEFT(Database!QCS2,3)</f>
        <v/>
      </c>
      <c r="QCA2" t="str">
        <f>LEFT(Database!QCT2,3)</f>
        <v/>
      </c>
      <c r="QCB2" t="str">
        <f>LEFT(Database!QCU2,3)</f>
        <v/>
      </c>
      <c r="QCC2" t="str">
        <f>LEFT(Database!QCV2,3)</f>
        <v/>
      </c>
      <c r="QCD2" t="str">
        <f>LEFT(Database!QCW2,3)</f>
        <v/>
      </c>
      <c r="QCE2" t="str">
        <f>LEFT(Database!QCX2,3)</f>
        <v/>
      </c>
      <c r="QCF2" t="str">
        <f>LEFT(Database!QCY2,3)</f>
        <v/>
      </c>
      <c r="QCG2" t="str">
        <f>LEFT(Database!QCZ2,3)</f>
        <v/>
      </c>
      <c r="QCH2" t="str">
        <f>LEFT(Database!QDA2,3)</f>
        <v/>
      </c>
      <c r="QCI2" t="str">
        <f>LEFT(Database!QDB2,3)</f>
        <v/>
      </c>
      <c r="QCJ2" t="str">
        <f>LEFT(Database!QDC2,3)</f>
        <v/>
      </c>
      <c r="QCK2" t="str">
        <f>LEFT(Database!QDD2,3)</f>
        <v/>
      </c>
      <c r="QCL2" t="str">
        <f>LEFT(Database!QDE2,3)</f>
        <v/>
      </c>
      <c r="QCM2" t="str">
        <f>LEFT(Database!QDF2,3)</f>
        <v/>
      </c>
      <c r="QCN2" t="str">
        <f>LEFT(Database!QDG2,3)</f>
        <v/>
      </c>
      <c r="QCO2" t="str">
        <f>LEFT(Database!QDH2,3)</f>
        <v/>
      </c>
      <c r="QCP2" t="str">
        <f>LEFT(Database!QDI2,3)</f>
        <v/>
      </c>
      <c r="QCQ2" t="str">
        <f>LEFT(Database!QDJ2,3)</f>
        <v/>
      </c>
      <c r="QCR2" t="str">
        <f>LEFT(Database!QDK2,3)</f>
        <v/>
      </c>
      <c r="QCS2" t="str">
        <f>LEFT(Database!QDL2,3)</f>
        <v/>
      </c>
      <c r="QCT2" t="str">
        <f>LEFT(Database!QDM2,3)</f>
        <v/>
      </c>
      <c r="QCU2" t="str">
        <f>LEFT(Database!QDN2,3)</f>
        <v/>
      </c>
      <c r="QCV2" t="str">
        <f>LEFT(Database!QDO2,3)</f>
        <v/>
      </c>
      <c r="QCW2" t="str">
        <f>LEFT(Database!QDP2,3)</f>
        <v/>
      </c>
      <c r="QCX2" t="str">
        <f>LEFT(Database!QDQ2,3)</f>
        <v/>
      </c>
      <c r="QCY2" t="str">
        <f>LEFT(Database!QDR2,3)</f>
        <v/>
      </c>
      <c r="QCZ2" t="str">
        <f>LEFT(Database!QDS2,3)</f>
        <v/>
      </c>
      <c r="QDA2" t="str">
        <f>LEFT(Database!QDT2,3)</f>
        <v/>
      </c>
      <c r="QDB2" t="str">
        <f>LEFT(Database!QDU2,3)</f>
        <v/>
      </c>
      <c r="QDC2" t="str">
        <f>LEFT(Database!QDV2,3)</f>
        <v/>
      </c>
      <c r="QDD2" t="str">
        <f>LEFT(Database!QDW2,3)</f>
        <v/>
      </c>
      <c r="QDE2" t="str">
        <f>LEFT(Database!QDX2,3)</f>
        <v/>
      </c>
      <c r="QDF2" t="str">
        <f>LEFT(Database!QDY2,3)</f>
        <v/>
      </c>
      <c r="QDG2" t="str">
        <f>LEFT(Database!QDZ2,3)</f>
        <v/>
      </c>
      <c r="QDH2" t="str">
        <f>LEFT(Database!QEA2,3)</f>
        <v/>
      </c>
      <c r="QDI2" t="str">
        <f>LEFT(Database!QEB2,3)</f>
        <v/>
      </c>
      <c r="QDJ2" t="str">
        <f>LEFT(Database!QEC2,3)</f>
        <v/>
      </c>
      <c r="QDK2" t="str">
        <f>LEFT(Database!QED2,3)</f>
        <v/>
      </c>
      <c r="QDL2" t="str">
        <f>LEFT(Database!QEE2,3)</f>
        <v/>
      </c>
      <c r="QDM2" t="str">
        <f>LEFT(Database!QEF2,3)</f>
        <v/>
      </c>
      <c r="QDN2" t="str">
        <f>LEFT(Database!QEG2,3)</f>
        <v/>
      </c>
      <c r="QDO2" t="str">
        <f>LEFT(Database!QEH2,3)</f>
        <v/>
      </c>
      <c r="QDP2" t="str">
        <f>LEFT(Database!QEI2,3)</f>
        <v/>
      </c>
      <c r="QDQ2" t="str">
        <f>LEFT(Database!QEJ2,3)</f>
        <v/>
      </c>
      <c r="QDR2" t="str">
        <f>LEFT(Database!QEK2,3)</f>
        <v/>
      </c>
      <c r="QDS2" t="str">
        <f>LEFT(Database!QEL2,3)</f>
        <v/>
      </c>
      <c r="QDT2" t="str">
        <f>LEFT(Database!QEM2,3)</f>
        <v/>
      </c>
      <c r="QDU2" t="str">
        <f>LEFT(Database!QEN2,3)</f>
        <v/>
      </c>
      <c r="QDV2" t="str">
        <f>LEFT(Database!QEO2,3)</f>
        <v/>
      </c>
      <c r="QDW2" t="str">
        <f>LEFT(Database!QEP2,3)</f>
        <v/>
      </c>
      <c r="QDX2" t="str">
        <f>LEFT(Database!QEQ2,3)</f>
        <v/>
      </c>
      <c r="QDY2" t="str">
        <f>LEFT(Database!QER2,3)</f>
        <v/>
      </c>
      <c r="QDZ2" t="str">
        <f>LEFT(Database!QES2,3)</f>
        <v/>
      </c>
      <c r="QEA2" t="str">
        <f>LEFT(Database!QET2,3)</f>
        <v/>
      </c>
      <c r="QEB2" t="str">
        <f>LEFT(Database!QEU2,3)</f>
        <v/>
      </c>
      <c r="QEC2" t="str">
        <f>LEFT(Database!QEV2,3)</f>
        <v/>
      </c>
      <c r="QED2" t="str">
        <f>LEFT(Database!QEW2,3)</f>
        <v/>
      </c>
      <c r="QEE2" t="str">
        <f>LEFT(Database!QEX2,3)</f>
        <v/>
      </c>
      <c r="QEF2" t="str">
        <f>LEFT(Database!QEY2,3)</f>
        <v/>
      </c>
      <c r="QEG2" t="str">
        <f>LEFT(Database!QEZ2,3)</f>
        <v/>
      </c>
      <c r="QEH2" t="str">
        <f>LEFT(Database!QFA2,3)</f>
        <v/>
      </c>
      <c r="QEI2" t="str">
        <f>LEFT(Database!QFB2,3)</f>
        <v/>
      </c>
      <c r="QEJ2" t="str">
        <f>LEFT(Database!QFC2,3)</f>
        <v/>
      </c>
      <c r="QEK2" t="str">
        <f>LEFT(Database!QFD2,3)</f>
        <v/>
      </c>
      <c r="QEL2" t="str">
        <f>LEFT(Database!QFE2,3)</f>
        <v/>
      </c>
      <c r="QEM2" t="str">
        <f>LEFT(Database!QFF2,3)</f>
        <v/>
      </c>
      <c r="QEN2" t="str">
        <f>LEFT(Database!QFG2,3)</f>
        <v/>
      </c>
      <c r="QEO2" t="str">
        <f>LEFT(Database!QFH2,3)</f>
        <v/>
      </c>
      <c r="QEP2" t="str">
        <f>LEFT(Database!QFI2,3)</f>
        <v/>
      </c>
      <c r="QEQ2" t="str">
        <f>LEFT(Database!QFJ2,3)</f>
        <v/>
      </c>
      <c r="QER2" t="str">
        <f>LEFT(Database!QFK2,3)</f>
        <v/>
      </c>
      <c r="QES2" t="str">
        <f>LEFT(Database!QFL2,3)</f>
        <v/>
      </c>
      <c r="QET2" t="str">
        <f>LEFT(Database!QFM2,3)</f>
        <v/>
      </c>
      <c r="QEU2" t="str">
        <f>LEFT(Database!QFN2,3)</f>
        <v/>
      </c>
      <c r="QEV2" t="str">
        <f>LEFT(Database!QFO2,3)</f>
        <v/>
      </c>
      <c r="QEW2" t="str">
        <f>LEFT(Database!QFP2,3)</f>
        <v/>
      </c>
      <c r="QEX2" t="str">
        <f>LEFT(Database!QFQ2,3)</f>
        <v/>
      </c>
      <c r="QEY2" t="str">
        <f>LEFT(Database!QFR2,3)</f>
        <v/>
      </c>
      <c r="QEZ2" t="str">
        <f>LEFT(Database!QFS2,3)</f>
        <v/>
      </c>
      <c r="QFA2" t="str">
        <f>LEFT(Database!QFT2,3)</f>
        <v/>
      </c>
      <c r="QFB2" t="str">
        <f>LEFT(Database!QFU2,3)</f>
        <v/>
      </c>
      <c r="QFC2" t="str">
        <f>LEFT(Database!QFV2,3)</f>
        <v/>
      </c>
      <c r="QFD2" t="str">
        <f>LEFT(Database!QFW2,3)</f>
        <v/>
      </c>
      <c r="QFE2" t="str">
        <f>LEFT(Database!QFX2,3)</f>
        <v/>
      </c>
      <c r="QFF2" t="str">
        <f>LEFT(Database!QFY2,3)</f>
        <v/>
      </c>
      <c r="QFG2" t="str">
        <f>LEFT(Database!QFZ2,3)</f>
        <v/>
      </c>
      <c r="QFH2" t="str">
        <f>LEFT(Database!QGA2,3)</f>
        <v/>
      </c>
      <c r="QFI2" t="str">
        <f>LEFT(Database!QGB2,3)</f>
        <v/>
      </c>
      <c r="QFJ2" t="str">
        <f>LEFT(Database!QGC2,3)</f>
        <v/>
      </c>
      <c r="QFK2" t="str">
        <f>LEFT(Database!QGD2,3)</f>
        <v/>
      </c>
      <c r="QFL2" t="str">
        <f>LEFT(Database!QGE2,3)</f>
        <v/>
      </c>
      <c r="QFM2" t="str">
        <f>LEFT(Database!QGF2,3)</f>
        <v/>
      </c>
      <c r="QFN2" t="str">
        <f>LEFT(Database!QGG2,3)</f>
        <v/>
      </c>
      <c r="QFO2" t="str">
        <f>LEFT(Database!QGH2,3)</f>
        <v/>
      </c>
      <c r="QFP2" t="str">
        <f>LEFT(Database!QGI2,3)</f>
        <v/>
      </c>
      <c r="QFQ2" t="str">
        <f>LEFT(Database!QGJ2,3)</f>
        <v/>
      </c>
      <c r="QFR2" t="str">
        <f>LEFT(Database!QGK2,3)</f>
        <v/>
      </c>
      <c r="QFS2" t="str">
        <f>LEFT(Database!QGL2,3)</f>
        <v/>
      </c>
      <c r="QFT2" t="str">
        <f>LEFT(Database!QGM2,3)</f>
        <v/>
      </c>
      <c r="QFU2" t="str">
        <f>LEFT(Database!QGN2,3)</f>
        <v/>
      </c>
      <c r="QFV2" t="str">
        <f>LEFT(Database!QGO2,3)</f>
        <v/>
      </c>
      <c r="QFW2" t="str">
        <f>LEFT(Database!QGP2,3)</f>
        <v/>
      </c>
      <c r="QFX2" t="str">
        <f>LEFT(Database!QGQ2,3)</f>
        <v/>
      </c>
      <c r="QFY2" t="str">
        <f>LEFT(Database!QGR2,3)</f>
        <v/>
      </c>
      <c r="QFZ2" t="str">
        <f>LEFT(Database!QGS2,3)</f>
        <v/>
      </c>
      <c r="QGA2" t="str">
        <f>LEFT(Database!QGT2,3)</f>
        <v/>
      </c>
      <c r="QGB2" t="str">
        <f>LEFT(Database!QGU2,3)</f>
        <v/>
      </c>
      <c r="QGC2" t="str">
        <f>LEFT(Database!QGV2,3)</f>
        <v/>
      </c>
      <c r="QGD2" t="str">
        <f>LEFT(Database!QGW2,3)</f>
        <v/>
      </c>
      <c r="QGE2" t="str">
        <f>LEFT(Database!QGX2,3)</f>
        <v/>
      </c>
      <c r="QGF2" t="str">
        <f>LEFT(Database!QGY2,3)</f>
        <v/>
      </c>
      <c r="QGG2" t="str">
        <f>LEFT(Database!QGZ2,3)</f>
        <v/>
      </c>
      <c r="QGH2" t="str">
        <f>LEFT(Database!QHA2,3)</f>
        <v/>
      </c>
      <c r="QGI2" t="str">
        <f>LEFT(Database!QHB2,3)</f>
        <v/>
      </c>
      <c r="QGJ2" t="str">
        <f>LEFT(Database!QHC2,3)</f>
        <v/>
      </c>
      <c r="QGK2" t="str">
        <f>LEFT(Database!QHD2,3)</f>
        <v/>
      </c>
      <c r="QGL2" t="str">
        <f>LEFT(Database!QHE2,3)</f>
        <v/>
      </c>
      <c r="QGM2" t="str">
        <f>LEFT(Database!QHF2,3)</f>
        <v/>
      </c>
      <c r="QGN2" t="str">
        <f>LEFT(Database!QHG2,3)</f>
        <v/>
      </c>
      <c r="QGO2" t="str">
        <f>LEFT(Database!QHH2,3)</f>
        <v/>
      </c>
      <c r="QGP2" t="str">
        <f>LEFT(Database!QHI2,3)</f>
        <v/>
      </c>
      <c r="QGQ2" t="str">
        <f>LEFT(Database!QHJ2,3)</f>
        <v/>
      </c>
      <c r="QGR2" t="str">
        <f>LEFT(Database!QHK2,3)</f>
        <v/>
      </c>
      <c r="QGS2" t="str">
        <f>LEFT(Database!QHL2,3)</f>
        <v/>
      </c>
      <c r="QGT2" t="str">
        <f>LEFT(Database!QHM2,3)</f>
        <v/>
      </c>
      <c r="QGU2" t="str">
        <f>LEFT(Database!QHN2,3)</f>
        <v/>
      </c>
      <c r="QGV2" t="str">
        <f>LEFT(Database!QHO2,3)</f>
        <v/>
      </c>
      <c r="QGW2" t="str">
        <f>LEFT(Database!QHP2,3)</f>
        <v/>
      </c>
      <c r="QGX2" t="str">
        <f>LEFT(Database!QHQ2,3)</f>
        <v/>
      </c>
      <c r="QGY2" t="str">
        <f>LEFT(Database!QHR2,3)</f>
        <v/>
      </c>
      <c r="QGZ2" t="str">
        <f>LEFT(Database!QHS2,3)</f>
        <v/>
      </c>
      <c r="QHA2" t="str">
        <f>LEFT(Database!QHT2,3)</f>
        <v/>
      </c>
      <c r="QHB2" t="str">
        <f>LEFT(Database!QHU2,3)</f>
        <v/>
      </c>
      <c r="QHC2" t="str">
        <f>LEFT(Database!QHV2,3)</f>
        <v/>
      </c>
      <c r="QHD2" t="str">
        <f>LEFT(Database!QHW2,3)</f>
        <v/>
      </c>
      <c r="QHE2" t="str">
        <f>LEFT(Database!QHX2,3)</f>
        <v/>
      </c>
      <c r="QHF2" t="str">
        <f>LEFT(Database!QHY2,3)</f>
        <v/>
      </c>
      <c r="QHG2" t="str">
        <f>LEFT(Database!QHZ2,3)</f>
        <v/>
      </c>
      <c r="QHH2" t="str">
        <f>LEFT(Database!QIA2,3)</f>
        <v/>
      </c>
      <c r="QHI2" t="str">
        <f>LEFT(Database!QIB2,3)</f>
        <v/>
      </c>
      <c r="QHJ2" t="str">
        <f>LEFT(Database!QIC2,3)</f>
        <v/>
      </c>
      <c r="QHK2" t="str">
        <f>LEFT(Database!QID2,3)</f>
        <v/>
      </c>
      <c r="QHL2" t="str">
        <f>LEFT(Database!QIE2,3)</f>
        <v/>
      </c>
      <c r="QHM2" t="str">
        <f>LEFT(Database!QIF2,3)</f>
        <v/>
      </c>
      <c r="QHN2" t="str">
        <f>LEFT(Database!QIG2,3)</f>
        <v/>
      </c>
      <c r="QHO2" t="str">
        <f>LEFT(Database!QIH2,3)</f>
        <v/>
      </c>
      <c r="QHP2" t="str">
        <f>LEFT(Database!QII2,3)</f>
        <v/>
      </c>
      <c r="QHQ2" t="str">
        <f>LEFT(Database!QIJ2,3)</f>
        <v/>
      </c>
      <c r="QHR2" t="str">
        <f>LEFT(Database!QIK2,3)</f>
        <v/>
      </c>
      <c r="QHS2" t="str">
        <f>LEFT(Database!QIL2,3)</f>
        <v/>
      </c>
      <c r="QHT2" t="str">
        <f>LEFT(Database!QIM2,3)</f>
        <v/>
      </c>
      <c r="QHU2" t="str">
        <f>LEFT(Database!QIN2,3)</f>
        <v/>
      </c>
      <c r="QHV2" t="str">
        <f>LEFT(Database!QIO2,3)</f>
        <v/>
      </c>
      <c r="QHW2" t="str">
        <f>LEFT(Database!QIP2,3)</f>
        <v/>
      </c>
      <c r="QHX2" t="str">
        <f>LEFT(Database!QIQ2,3)</f>
        <v/>
      </c>
      <c r="QHY2" t="str">
        <f>LEFT(Database!QIR2,3)</f>
        <v/>
      </c>
      <c r="QHZ2" t="str">
        <f>LEFT(Database!QIS2,3)</f>
        <v/>
      </c>
      <c r="QIA2" t="str">
        <f>LEFT(Database!QIT2,3)</f>
        <v/>
      </c>
      <c r="QIB2" t="str">
        <f>LEFT(Database!QIU2,3)</f>
        <v/>
      </c>
      <c r="QIC2" t="str">
        <f>LEFT(Database!QIV2,3)</f>
        <v/>
      </c>
      <c r="QID2" t="str">
        <f>LEFT(Database!QIW2,3)</f>
        <v/>
      </c>
      <c r="QIE2" t="str">
        <f>LEFT(Database!QIX2,3)</f>
        <v/>
      </c>
      <c r="QIF2" t="str">
        <f>LEFT(Database!QIY2,3)</f>
        <v/>
      </c>
      <c r="QIG2" t="str">
        <f>LEFT(Database!QIZ2,3)</f>
        <v/>
      </c>
      <c r="QIH2" t="str">
        <f>LEFT(Database!QJA2,3)</f>
        <v/>
      </c>
      <c r="QII2" t="str">
        <f>LEFT(Database!QJB2,3)</f>
        <v/>
      </c>
      <c r="QIJ2" t="str">
        <f>LEFT(Database!QJC2,3)</f>
        <v/>
      </c>
      <c r="QIK2" t="str">
        <f>LEFT(Database!QJD2,3)</f>
        <v/>
      </c>
      <c r="QIL2" t="str">
        <f>LEFT(Database!QJE2,3)</f>
        <v/>
      </c>
      <c r="QIM2" t="str">
        <f>LEFT(Database!QJF2,3)</f>
        <v/>
      </c>
      <c r="QIN2" t="str">
        <f>LEFT(Database!QJG2,3)</f>
        <v/>
      </c>
      <c r="QIO2" t="str">
        <f>LEFT(Database!QJH2,3)</f>
        <v/>
      </c>
      <c r="QIP2" t="str">
        <f>LEFT(Database!QJI2,3)</f>
        <v/>
      </c>
      <c r="QIQ2" t="str">
        <f>LEFT(Database!QJJ2,3)</f>
        <v/>
      </c>
      <c r="QIR2" t="str">
        <f>LEFT(Database!QJK2,3)</f>
        <v/>
      </c>
      <c r="QIS2" t="str">
        <f>LEFT(Database!QJL2,3)</f>
        <v/>
      </c>
      <c r="QIT2" t="str">
        <f>LEFT(Database!QJM2,3)</f>
        <v/>
      </c>
      <c r="QIU2" t="str">
        <f>LEFT(Database!QJN2,3)</f>
        <v/>
      </c>
      <c r="QIV2" t="str">
        <f>LEFT(Database!QJO2,3)</f>
        <v/>
      </c>
      <c r="QIW2" t="str">
        <f>LEFT(Database!QJP2,3)</f>
        <v/>
      </c>
      <c r="QIX2" t="str">
        <f>LEFT(Database!QJQ2,3)</f>
        <v/>
      </c>
      <c r="QIY2" t="str">
        <f>LEFT(Database!QJR2,3)</f>
        <v/>
      </c>
      <c r="QIZ2" t="str">
        <f>LEFT(Database!QJS2,3)</f>
        <v/>
      </c>
      <c r="QJA2" t="str">
        <f>LEFT(Database!QJT2,3)</f>
        <v/>
      </c>
      <c r="QJB2" t="str">
        <f>LEFT(Database!QJU2,3)</f>
        <v/>
      </c>
      <c r="QJC2" t="str">
        <f>LEFT(Database!QJV2,3)</f>
        <v/>
      </c>
      <c r="QJD2" t="str">
        <f>LEFT(Database!QJW2,3)</f>
        <v/>
      </c>
      <c r="QJE2" t="str">
        <f>LEFT(Database!QJX2,3)</f>
        <v/>
      </c>
      <c r="QJF2" t="str">
        <f>LEFT(Database!QJY2,3)</f>
        <v/>
      </c>
      <c r="QJG2" t="str">
        <f>LEFT(Database!QJZ2,3)</f>
        <v/>
      </c>
      <c r="QJH2" t="str">
        <f>LEFT(Database!QKA2,3)</f>
        <v/>
      </c>
      <c r="QJI2" t="str">
        <f>LEFT(Database!QKB2,3)</f>
        <v/>
      </c>
      <c r="QJJ2" t="str">
        <f>LEFT(Database!QKC2,3)</f>
        <v/>
      </c>
      <c r="QJK2" t="str">
        <f>LEFT(Database!QKD2,3)</f>
        <v/>
      </c>
      <c r="QJL2" t="str">
        <f>LEFT(Database!QKE2,3)</f>
        <v/>
      </c>
      <c r="QJM2" t="str">
        <f>LEFT(Database!QKF2,3)</f>
        <v/>
      </c>
      <c r="QJN2" t="str">
        <f>LEFT(Database!QKG2,3)</f>
        <v/>
      </c>
      <c r="QJO2" t="str">
        <f>LEFT(Database!QKH2,3)</f>
        <v/>
      </c>
      <c r="QJP2" t="str">
        <f>LEFT(Database!QKI2,3)</f>
        <v/>
      </c>
      <c r="QJQ2" t="str">
        <f>LEFT(Database!QKJ2,3)</f>
        <v/>
      </c>
      <c r="QJR2" t="str">
        <f>LEFT(Database!QKK2,3)</f>
        <v/>
      </c>
      <c r="QJS2" t="str">
        <f>LEFT(Database!QKL2,3)</f>
        <v/>
      </c>
      <c r="QJT2" t="str">
        <f>LEFT(Database!QKM2,3)</f>
        <v/>
      </c>
      <c r="QJU2" t="str">
        <f>LEFT(Database!QKN2,3)</f>
        <v/>
      </c>
      <c r="QJV2" t="str">
        <f>LEFT(Database!QKO2,3)</f>
        <v/>
      </c>
      <c r="QJW2" t="str">
        <f>LEFT(Database!QKP2,3)</f>
        <v/>
      </c>
      <c r="QJX2" t="str">
        <f>LEFT(Database!QKQ2,3)</f>
        <v/>
      </c>
      <c r="QJY2" t="str">
        <f>LEFT(Database!QKR2,3)</f>
        <v/>
      </c>
      <c r="QJZ2" t="str">
        <f>LEFT(Database!QKS2,3)</f>
        <v/>
      </c>
      <c r="QKA2" t="str">
        <f>LEFT(Database!QKT2,3)</f>
        <v/>
      </c>
      <c r="QKB2" t="str">
        <f>LEFT(Database!QKU2,3)</f>
        <v/>
      </c>
      <c r="QKC2" t="str">
        <f>LEFT(Database!QKV2,3)</f>
        <v/>
      </c>
      <c r="QKD2" t="str">
        <f>LEFT(Database!QKW2,3)</f>
        <v/>
      </c>
      <c r="QKE2" t="str">
        <f>LEFT(Database!QKX2,3)</f>
        <v/>
      </c>
      <c r="QKF2" t="str">
        <f>LEFT(Database!QKY2,3)</f>
        <v/>
      </c>
      <c r="QKG2" t="str">
        <f>LEFT(Database!QKZ2,3)</f>
        <v/>
      </c>
      <c r="QKH2" t="str">
        <f>LEFT(Database!QLA2,3)</f>
        <v/>
      </c>
      <c r="QKI2" t="str">
        <f>LEFT(Database!QLB2,3)</f>
        <v/>
      </c>
      <c r="QKJ2" t="str">
        <f>LEFT(Database!QLC2,3)</f>
        <v/>
      </c>
      <c r="QKK2" t="str">
        <f>LEFT(Database!QLD2,3)</f>
        <v/>
      </c>
      <c r="QKL2" t="str">
        <f>LEFT(Database!QLE2,3)</f>
        <v/>
      </c>
      <c r="QKM2" t="str">
        <f>LEFT(Database!QLF2,3)</f>
        <v/>
      </c>
      <c r="QKN2" t="str">
        <f>LEFT(Database!QLG2,3)</f>
        <v/>
      </c>
      <c r="QKO2" t="str">
        <f>LEFT(Database!QLH2,3)</f>
        <v/>
      </c>
      <c r="QKP2" t="str">
        <f>LEFT(Database!QLI2,3)</f>
        <v/>
      </c>
      <c r="QKQ2" t="str">
        <f>LEFT(Database!QLJ2,3)</f>
        <v/>
      </c>
      <c r="QKR2" t="str">
        <f>LEFT(Database!QLK2,3)</f>
        <v/>
      </c>
      <c r="QKS2" t="str">
        <f>LEFT(Database!QLL2,3)</f>
        <v/>
      </c>
      <c r="QKT2" t="str">
        <f>LEFT(Database!QLM2,3)</f>
        <v/>
      </c>
      <c r="QKU2" t="str">
        <f>LEFT(Database!QLN2,3)</f>
        <v/>
      </c>
      <c r="QKV2" t="str">
        <f>LEFT(Database!QLO2,3)</f>
        <v/>
      </c>
      <c r="QKW2" t="str">
        <f>LEFT(Database!QLP2,3)</f>
        <v/>
      </c>
      <c r="QKX2" t="str">
        <f>LEFT(Database!QLQ2,3)</f>
        <v/>
      </c>
      <c r="QKY2" t="str">
        <f>LEFT(Database!QLR2,3)</f>
        <v/>
      </c>
      <c r="QKZ2" t="str">
        <f>LEFT(Database!QLS2,3)</f>
        <v/>
      </c>
      <c r="QLA2" t="str">
        <f>LEFT(Database!QLT2,3)</f>
        <v/>
      </c>
      <c r="QLB2" t="str">
        <f>LEFT(Database!QLU2,3)</f>
        <v/>
      </c>
      <c r="QLC2" t="str">
        <f>LEFT(Database!QLV2,3)</f>
        <v/>
      </c>
      <c r="QLD2" t="str">
        <f>LEFT(Database!QLW2,3)</f>
        <v/>
      </c>
      <c r="QLE2" t="str">
        <f>LEFT(Database!QLX2,3)</f>
        <v/>
      </c>
      <c r="QLF2" t="str">
        <f>LEFT(Database!QLY2,3)</f>
        <v/>
      </c>
      <c r="QLG2" t="str">
        <f>LEFT(Database!QLZ2,3)</f>
        <v/>
      </c>
      <c r="QLH2" t="str">
        <f>LEFT(Database!QMA2,3)</f>
        <v/>
      </c>
      <c r="QLI2" t="str">
        <f>LEFT(Database!QMB2,3)</f>
        <v/>
      </c>
      <c r="QLJ2" t="str">
        <f>LEFT(Database!QMC2,3)</f>
        <v/>
      </c>
      <c r="QLK2" t="str">
        <f>LEFT(Database!QMD2,3)</f>
        <v/>
      </c>
      <c r="QLL2" t="str">
        <f>LEFT(Database!QME2,3)</f>
        <v/>
      </c>
      <c r="QLM2" t="str">
        <f>LEFT(Database!QMF2,3)</f>
        <v/>
      </c>
      <c r="QLN2" t="str">
        <f>LEFT(Database!QMG2,3)</f>
        <v/>
      </c>
      <c r="QLO2" t="str">
        <f>LEFT(Database!QMH2,3)</f>
        <v/>
      </c>
      <c r="QLP2" t="str">
        <f>LEFT(Database!QMI2,3)</f>
        <v/>
      </c>
      <c r="QLQ2" t="str">
        <f>LEFT(Database!QMJ2,3)</f>
        <v/>
      </c>
      <c r="QLR2" t="str">
        <f>LEFT(Database!QMK2,3)</f>
        <v/>
      </c>
      <c r="QLS2" t="str">
        <f>LEFT(Database!QML2,3)</f>
        <v/>
      </c>
      <c r="QLT2" t="str">
        <f>LEFT(Database!QMM2,3)</f>
        <v/>
      </c>
      <c r="QLU2" t="str">
        <f>LEFT(Database!QMN2,3)</f>
        <v/>
      </c>
      <c r="QLV2" t="str">
        <f>LEFT(Database!QMO2,3)</f>
        <v/>
      </c>
      <c r="QLW2" t="str">
        <f>LEFT(Database!QMP2,3)</f>
        <v/>
      </c>
      <c r="QLX2" t="str">
        <f>LEFT(Database!QMQ2,3)</f>
        <v/>
      </c>
      <c r="QLY2" t="str">
        <f>LEFT(Database!QMR2,3)</f>
        <v/>
      </c>
      <c r="QLZ2" t="str">
        <f>LEFT(Database!QMS2,3)</f>
        <v/>
      </c>
      <c r="QMA2" t="str">
        <f>LEFT(Database!QMT2,3)</f>
        <v/>
      </c>
      <c r="QMB2" t="str">
        <f>LEFT(Database!QMU2,3)</f>
        <v/>
      </c>
      <c r="QMC2" t="str">
        <f>LEFT(Database!QMV2,3)</f>
        <v/>
      </c>
      <c r="QMD2" t="str">
        <f>LEFT(Database!QMW2,3)</f>
        <v/>
      </c>
      <c r="QME2" t="str">
        <f>LEFT(Database!QMX2,3)</f>
        <v/>
      </c>
      <c r="QMF2" t="str">
        <f>LEFT(Database!QMY2,3)</f>
        <v/>
      </c>
      <c r="QMG2" t="str">
        <f>LEFT(Database!QMZ2,3)</f>
        <v/>
      </c>
      <c r="QMH2" t="str">
        <f>LEFT(Database!QNA2,3)</f>
        <v/>
      </c>
      <c r="QMI2" t="str">
        <f>LEFT(Database!QNB2,3)</f>
        <v/>
      </c>
      <c r="QMJ2" t="str">
        <f>LEFT(Database!QNC2,3)</f>
        <v/>
      </c>
      <c r="QMK2" t="str">
        <f>LEFT(Database!QND2,3)</f>
        <v/>
      </c>
      <c r="QML2" t="str">
        <f>LEFT(Database!QNE2,3)</f>
        <v/>
      </c>
      <c r="QMM2" t="str">
        <f>LEFT(Database!QNF2,3)</f>
        <v/>
      </c>
      <c r="QMN2" t="str">
        <f>LEFT(Database!QNG2,3)</f>
        <v/>
      </c>
      <c r="QMO2" t="str">
        <f>LEFT(Database!QNH2,3)</f>
        <v/>
      </c>
      <c r="QMP2" t="str">
        <f>LEFT(Database!QNI2,3)</f>
        <v/>
      </c>
      <c r="QMQ2" t="str">
        <f>LEFT(Database!QNJ2,3)</f>
        <v/>
      </c>
      <c r="QMR2" t="str">
        <f>LEFT(Database!QNK2,3)</f>
        <v/>
      </c>
      <c r="QMS2" t="str">
        <f>LEFT(Database!QNL2,3)</f>
        <v/>
      </c>
      <c r="QMT2" t="str">
        <f>LEFT(Database!QNM2,3)</f>
        <v/>
      </c>
      <c r="QMU2" t="str">
        <f>LEFT(Database!QNN2,3)</f>
        <v/>
      </c>
      <c r="QMV2" t="str">
        <f>LEFT(Database!QNO2,3)</f>
        <v/>
      </c>
      <c r="QMW2" t="str">
        <f>LEFT(Database!QNP2,3)</f>
        <v/>
      </c>
      <c r="QMX2" t="str">
        <f>LEFT(Database!QNQ2,3)</f>
        <v/>
      </c>
      <c r="QMY2" t="str">
        <f>LEFT(Database!QNR2,3)</f>
        <v/>
      </c>
      <c r="QMZ2" t="str">
        <f>LEFT(Database!QNS2,3)</f>
        <v/>
      </c>
      <c r="QNA2" t="str">
        <f>LEFT(Database!QNT2,3)</f>
        <v/>
      </c>
      <c r="QNB2" t="str">
        <f>LEFT(Database!QNU2,3)</f>
        <v/>
      </c>
      <c r="QNC2" t="str">
        <f>LEFT(Database!QNV2,3)</f>
        <v/>
      </c>
      <c r="QND2" t="str">
        <f>LEFT(Database!QNW2,3)</f>
        <v/>
      </c>
      <c r="QNE2" t="str">
        <f>LEFT(Database!QNX2,3)</f>
        <v/>
      </c>
      <c r="QNF2" t="str">
        <f>LEFT(Database!QNY2,3)</f>
        <v/>
      </c>
      <c r="QNG2" t="str">
        <f>LEFT(Database!QNZ2,3)</f>
        <v/>
      </c>
      <c r="QNH2" t="str">
        <f>LEFT(Database!QOA2,3)</f>
        <v/>
      </c>
      <c r="QNI2" t="str">
        <f>LEFT(Database!QOB2,3)</f>
        <v/>
      </c>
      <c r="QNJ2" t="str">
        <f>LEFT(Database!QOC2,3)</f>
        <v/>
      </c>
      <c r="QNK2" t="str">
        <f>LEFT(Database!QOD2,3)</f>
        <v/>
      </c>
      <c r="QNL2" t="str">
        <f>LEFT(Database!QOE2,3)</f>
        <v/>
      </c>
      <c r="QNM2" t="str">
        <f>LEFT(Database!QOF2,3)</f>
        <v/>
      </c>
      <c r="QNN2" t="str">
        <f>LEFT(Database!QOG2,3)</f>
        <v/>
      </c>
      <c r="QNO2" t="str">
        <f>LEFT(Database!QOH2,3)</f>
        <v/>
      </c>
      <c r="QNP2" t="str">
        <f>LEFT(Database!QOI2,3)</f>
        <v/>
      </c>
      <c r="QNQ2" t="str">
        <f>LEFT(Database!QOJ2,3)</f>
        <v/>
      </c>
      <c r="QNR2" t="str">
        <f>LEFT(Database!QOK2,3)</f>
        <v/>
      </c>
      <c r="QNS2" t="str">
        <f>LEFT(Database!QOL2,3)</f>
        <v/>
      </c>
      <c r="QNT2" t="str">
        <f>LEFT(Database!QOM2,3)</f>
        <v/>
      </c>
      <c r="QNU2" t="str">
        <f>LEFT(Database!QON2,3)</f>
        <v/>
      </c>
      <c r="QNV2" t="str">
        <f>LEFT(Database!QOO2,3)</f>
        <v/>
      </c>
      <c r="QNW2" t="str">
        <f>LEFT(Database!QOP2,3)</f>
        <v/>
      </c>
      <c r="QNX2" t="str">
        <f>LEFT(Database!QOQ2,3)</f>
        <v/>
      </c>
      <c r="QNY2" t="str">
        <f>LEFT(Database!QOR2,3)</f>
        <v/>
      </c>
      <c r="QNZ2" t="str">
        <f>LEFT(Database!QOS2,3)</f>
        <v/>
      </c>
      <c r="QOA2" t="str">
        <f>LEFT(Database!QOT2,3)</f>
        <v/>
      </c>
      <c r="QOB2" t="str">
        <f>LEFT(Database!QOU2,3)</f>
        <v/>
      </c>
      <c r="QOC2" t="str">
        <f>LEFT(Database!QOV2,3)</f>
        <v/>
      </c>
      <c r="QOD2" t="str">
        <f>LEFT(Database!QOW2,3)</f>
        <v/>
      </c>
      <c r="QOE2" t="str">
        <f>LEFT(Database!QOX2,3)</f>
        <v/>
      </c>
      <c r="QOF2" t="str">
        <f>LEFT(Database!QOY2,3)</f>
        <v/>
      </c>
      <c r="QOG2" t="str">
        <f>LEFT(Database!QOZ2,3)</f>
        <v/>
      </c>
      <c r="QOH2" t="str">
        <f>LEFT(Database!QPA2,3)</f>
        <v/>
      </c>
      <c r="QOI2" t="str">
        <f>LEFT(Database!QPB2,3)</f>
        <v/>
      </c>
      <c r="QOJ2" t="str">
        <f>LEFT(Database!QPC2,3)</f>
        <v/>
      </c>
      <c r="QOK2" t="str">
        <f>LEFT(Database!QPD2,3)</f>
        <v/>
      </c>
      <c r="QOL2" t="str">
        <f>LEFT(Database!QPE2,3)</f>
        <v/>
      </c>
      <c r="QOM2" t="str">
        <f>LEFT(Database!QPF2,3)</f>
        <v/>
      </c>
      <c r="QON2" t="str">
        <f>LEFT(Database!QPG2,3)</f>
        <v/>
      </c>
      <c r="QOO2" t="str">
        <f>LEFT(Database!QPH2,3)</f>
        <v/>
      </c>
      <c r="QOP2" t="str">
        <f>LEFT(Database!QPI2,3)</f>
        <v/>
      </c>
      <c r="QOQ2" t="str">
        <f>LEFT(Database!QPJ2,3)</f>
        <v/>
      </c>
      <c r="QOR2" t="str">
        <f>LEFT(Database!QPK2,3)</f>
        <v/>
      </c>
      <c r="QOS2" t="str">
        <f>LEFT(Database!QPL2,3)</f>
        <v/>
      </c>
      <c r="QOT2" t="str">
        <f>LEFT(Database!QPM2,3)</f>
        <v/>
      </c>
      <c r="QOU2" t="str">
        <f>LEFT(Database!QPN2,3)</f>
        <v/>
      </c>
      <c r="QOV2" t="str">
        <f>LEFT(Database!QPO2,3)</f>
        <v/>
      </c>
      <c r="QOW2" t="str">
        <f>LEFT(Database!QPP2,3)</f>
        <v/>
      </c>
      <c r="QOX2" t="str">
        <f>LEFT(Database!QPQ2,3)</f>
        <v/>
      </c>
      <c r="QOY2" t="str">
        <f>LEFT(Database!QPR2,3)</f>
        <v/>
      </c>
      <c r="QOZ2" t="str">
        <f>LEFT(Database!QPS2,3)</f>
        <v/>
      </c>
      <c r="QPA2" t="str">
        <f>LEFT(Database!QPT2,3)</f>
        <v/>
      </c>
      <c r="QPB2" t="str">
        <f>LEFT(Database!QPU2,3)</f>
        <v/>
      </c>
      <c r="QPC2" t="str">
        <f>LEFT(Database!QPV2,3)</f>
        <v/>
      </c>
      <c r="QPD2" t="str">
        <f>LEFT(Database!QPW2,3)</f>
        <v/>
      </c>
      <c r="QPE2" t="str">
        <f>LEFT(Database!QPX2,3)</f>
        <v/>
      </c>
      <c r="QPF2" t="str">
        <f>LEFT(Database!QPY2,3)</f>
        <v/>
      </c>
      <c r="QPG2" t="str">
        <f>LEFT(Database!QPZ2,3)</f>
        <v/>
      </c>
      <c r="QPH2" t="str">
        <f>LEFT(Database!QQA2,3)</f>
        <v/>
      </c>
      <c r="QPI2" t="str">
        <f>LEFT(Database!QQB2,3)</f>
        <v/>
      </c>
      <c r="QPJ2" t="str">
        <f>LEFT(Database!QQC2,3)</f>
        <v/>
      </c>
      <c r="QPK2" t="str">
        <f>LEFT(Database!QQD2,3)</f>
        <v/>
      </c>
      <c r="QPL2" t="str">
        <f>LEFT(Database!QQE2,3)</f>
        <v/>
      </c>
      <c r="QPM2" t="str">
        <f>LEFT(Database!QQF2,3)</f>
        <v/>
      </c>
      <c r="QPN2" t="str">
        <f>LEFT(Database!QQG2,3)</f>
        <v/>
      </c>
      <c r="QPO2" t="str">
        <f>LEFT(Database!QQH2,3)</f>
        <v/>
      </c>
      <c r="QPP2" t="str">
        <f>LEFT(Database!QQI2,3)</f>
        <v/>
      </c>
      <c r="QPQ2" t="str">
        <f>LEFT(Database!QQJ2,3)</f>
        <v/>
      </c>
      <c r="QPR2" t="str">
        <f>LEFT(Database!QQK2,3)</f>
        <v/>
      </c>
      <c r="QPS2" t="str">
        <f>LEFT(Database!QQL2,3)</f>
        <v/>
      </c>
      <c r="QPT2" t="str">
        <f>LEFT(Database!QQM2,3)</f>
        <v/>
      </c>
      <c r="QPU2" t="str">
        <f>LEFT(Database!QQN2,3)</f>
        <v/>
      </c>
      <c r="QPV2" t="str">
        <f>LEFT(Database!QQO2,3)</f>
        <v/>
      </c>
      <c r="QPW2" t="str">
        <f>LEFT(Database!QQP2,3)</f>
        <v/>
      </c>
      <c r="QPX2" t="str">
        <f>LEFT(Database!QQQ2,3)</f>
        <v/>
      </c>
      <c r="QPY2" t="str">
        <f>LEFT(Database!QQR2,3)</f>
        <v/>
      </c>
      <c r="QPZ2" t="str">
        <f>LEFT(Database!QQS2,3)</f>
        <v/>
      </c>
      <c r="QQA2" t="str">
        <f>LEFT(Database!QQT2,3)</f>
        <v/>
      </c>
      <c r="QQB2" t="str">
        <f>LEFT(Database!QQU2,3)</f>
        <v/>
      </c>
      <c r="QQC2" t="str">
        <f>LEFT(Database!QQV2,3)</f>
        <v/>
      </c>
      <c r="QQD2" t="str">
        <f>LEFT(Database!QQW2,3)</f>
        <v/>
      </c>
      <c r="QQE2" t="str">
        <f>LEFT(Database!QQX2,3)</f>
        <v/>
      </c>
      <c r="QQF2" t="str">
        <f>LEFT(Database!QQY2,3)</f>
        <v/>
      </c>
      <c r="QQG2" t="str">
        <f>LEFT(Database!QQZ2,3)</f>
        <v/>
      </c>
      <c r="QQH2" t="str">
        <f>LEFT(Database!QRA2,3)</f>
        <v/>
      </c>
      <c r="QQI2" t="str">
        <f>LEFT(Database!QRB2,3)</f>
        <v/>
      </c>
      <c r="QQJ2" t="str">
        <f>LEFT(Database!QRC2,3)</f>
        <v/>
      </c>
      <c r="QQK2" t="str">
        <f>LEFT(Database!QRD2,3)</f>
        <v/>
      </c>
      <c r="QQL2" t="str">
        <f>LEFT(Database!QRE2,3)</f>
        <v/>
      </c>
      <c r="QQM2" t="str">
        <f>LEFT(Database!QRF2,3)</f>
        <v/>
      </c>
      <c r="QQN2" t="str">
        <f>LEFT(Database!QRG2,3)</f>
        <v/>
      </c>
      <c r="QQO2" t="str">
        <f>LEFT(Database!QRH2,3)</f>
        <v/>
      </c>
      <c r="QQP2" t="str">
        <f>LEFT(Database!QRI2,3)</f>
        <v/>
      </c>
      <c r="QQQ2" t="str">
        <f>LEFT(Database!QRJ2,3)</f>
        <v/>
      </c>
      <c r="QQR2" t="str">
        <f>LEFT(Database!QRK2,3)</f>
        <v/>
      </c>
      <c r="QQS2" t="str">
        <f>LEFT(Database!QRL2,3)</f>
        <v/>
      </c>
      <c r="QQT2" t="str">
        <f>LEFT(Database!QRM2,3)</f>
        <v/>
      </c>
      <c r="QQU2" t="str">
        <f>LEFT(Database!QRN2,3)</f>
        <v/>
      </c>
      <c r="QQV2" t="str">
        <f>LEFT(Database!QRO2,3)</f>
        <v/>
      </c>
      <c r="QQW2" t="str">
        <f>LEFT(Database!QRP2,3)</f>
        <v/>
      </c>
      <c r="QQX2" t="str">
        <f>LEFT(Database!QRQ2,3)</f>
        <v/>
      </c>
      <c r="QQY2" t="str">
        <f>LEFT(Database!QRR2,3)</f>
        <v/>
      </c>
      <c r="QQZ2" t="str">
        <f>LEFT(Database!QRS2,3)</f>
        <v/>
      </c>
      <c r="QRA2" t="str">
        <f>LEFT(Database!QRT2,3)</f>
        <v/>
      </c>
      <c r="QRB2" t="str">
        <f>LEFT(Database!QRU2,3)</f>
        <v/>
      </c>
      <c r="QRC2" t="str">
        <f>LEFT(Database!QRV2,3)</f>
        <v/>
      </c>
      <c r="QRD2" t="str">
        <f>LEFT(Database!QRW2,3)</f>
        <v/>
      </c>
      <c r="QRE2" t="str">
        <f>LEFT(Database!QRX2,3)</f>
        <v/>
      </c>
      <c r="QRF2" t="str">
        <f>LEFT(Database!QRY2,3)</f>
        <v/>
      </c>
      <c r="QRG2" t="str">
        <f>LEFT(Database!QRZ2,3)</f>
        <v/>
      </c>
      <c r="QRH2" t="str">
        <f>LEFT(Database!QSA2,3)</f>
        <v/>
      </c>
      <c r="QRI2" t="str">
        <f>LEFT(Database!QSB2,3)</f>
        <v/>
      </c>
      <c r="QRJ2" t="str">
        <f>LEFT(Database!QSC2,3)</f>
        <v/>
      </c>
      <c r="QRK2" t="str">
        <f>LEFT(Database!QSD2,3)</f>
        <v/>
      </c>
      <c r="QRL2" t="str">
        <f>LEFT(Database!QSE2,3)</f>
        <v/>
      </c>
      <c r="QRM2" t="str">
        <f>LEFT(Database!QSF2,3)</f>
        <v/>
      </c>
      <c r="QRN2" t="str">
        <f>LEFT(Database!QSG2,3)</f>
        <v/>
      </c>
      <c r="QRO2" t="str">
        <f>LEFT(Database!QSH2,3)</f>
        <v/>
      </c>
      <c r="QRP2" t="str">
        <f>LEFT(Database!QSI2,3)</f>
        <v/>
      </c>
      <c r="QRQ2" t="str">
        <f>LEFT(Database!QSJ2,3)</f>
        <v/>
      </c>
      <c r="QRR2" t="str">
        <f>LEFT(Database!QSK2,3)</f>
        <v/>
      </c>
      <c r="QRS2" t="str">
        <f>LEFT(Database!QSL2,3)</f>
        <v/>
      </c>
      <c r="QRT2" t="str">
        <f>LEFT(Database!QSM2,3)</f>
        <v/>
      </c>
      <c r="QRU2" t="str">
        <f>LEFT(Database!QSN2,3)</f>
        <v/>
      </c>
      <c r="QRV2" t="str">
        <f>LEFT(Database!QSO2,3)</f>
        <v/>
      </c>
      <c r="QRW2" t="str">
        <f>LEFT(Database!QSP2,3)</f>
        <v/>
      </c>
      <c r="QRX2" t="str">
        <f>LEFT(Database!QSQ2,3)</f>
        <v/>
      </c>
      <c r="QRY2" t="str">
        <f>LEFT(Database!QSR2,3)</f>
        <v/>
      </c>
      <c r="QRZ2" t="str">
        <f>LEFT(Database!QSS2,3)</f>
        <v/>
      </c>
      <c r="QSA2" t="str">
        <f>LEFT(Database!QST2,3)</f>
        <v/>
      </c>
      <c r="QSB2" t="str">
        <f>LEFT(Database!QSU2,3)</f>
        <v/>
      </c>
      <c r="QSC2" t="str">
        <f>LEFT(Database!QSV2,3)</f>
        <v/>
      </c>
      <c r="QSD2" t="str">
        <f>LEFT(Database!QSW2,3)</f>
        <v/>
      </c>
      <c r="QSE2" t="str">
        <f>LEFT(Database!QSX2,3)</f>
        <v/>
      </c>
      <c r="QSF2" t="str">
        <f>LEFT(Database!QSY2,3)</f>
        <v/>
      </c>
      <c r="QSG2" t="str">
        <f>LEFT(Database!QSZ2,3)</f>
        <v/>
      </c>
      <c r="QSH2" t="str">
        <f>LEFT(Database!QTA2,3)</f>
        <v/>
      </c>
      <c r="QSI2" t="str">
        <f>LEFT(Database!QTB2,3)</f>
        <v/>
      </c>
      <c r="QSJ2" t="str">
        <f>LEFT(Database!QTC2,3)</f>
        <v/>
      </c>
      <c r="QSK2" t="str">
        <f>LEFT(Database!QTD2,3)</f>
        <v/>
      </c>
      <c r="QSL2" t="str">
        <f>LEFT(Database!QTE2,3)</f>
        <v/>
      </c>
      <c r="QSM2" t="str">
        <f>LEFT(Database!QTF2,3)</f>
        <v/>
      </c>
      <c r="QSN2" t="str">
        <f>LEFT(Database!QTG2,3)</f>
        <v/>
      </c>
      <c r="QSO2" t="str">
        <f>LEFT(Database!QTH2,3)</f>
        <v/>
      </c>
      <c r="QSP2" t="str">
        <f>LEFT(Database!QTI2,3)</f>
        <v/>
      </c>
      <c r="QSQ2" t="str">
        <f>LEFT(Database!QTJ2,3)</f>
        <v/>
      </c>
      <c r="QSR2" t="str">
        <f>LEFT(Database!QTK2,3)</f>
        <v/>
      </c>
      <c r="QSS2" t="str">
        <f>LEFT(Database!QTL2,3)</f>
        <v/>
      </c>
      <c r="QST2" t="str">
        <f>LEFT(Database!QTM2,3)</f>
        <v/>
      </c>
      <c r="QSU2" t="str">
        <f>LEFT(Database!QTN2,3)</f>
        <v/>
      </c>
      <c r="QSV2" t="str">
        <f>LEFT(Database!QTO2,3)</f>
        <v/>
      </c>
      <c r="QSW2" t="str">
        <f>LEFT(Database!QTP2,3)</f>
        <v/>
      </c>
      <c r="QSX2" t="str">
        <f>LEFT(Database!QTQ2,3)</f>
        <v/>
      </c>
      <c r="QSY2" t="str">
        <f>LEFT(Database!QTR2,3)</f>
        <v/>
      </c>
      <c r="QSZ2" t="str">
        <f>LEFT(Database!QTS2,3)</f>
        <v/>
      </c>
      <c r="QTA2" t="str">
        <f>LEFT(Database!QTT2,3)</f>
        <v/>
      </c>
      <c r="QTB2" t="str">
        <f>LEFT(Database!QTU2,3)</f>
        <v/>
      </c>
      <c r="QTC2" t="str">
        <f>LEFT(Database!QTV2,3)</f>
        <v/>
      </c>
      <c r="QTD2" t="str">
        <f>LEFT(Database!QTW2,3)</f>
        <v/>
      </c>
      <c r="QTE2" t="str">
        <f>LEFT(Database!QTX2,3)</f>
        <v/>
      </c>
      <c r="QTF2" t="str">
        <f>LEFT(Database!QTY2,3)</f>
        <v/>
      </c>
      <c r="QTG2" t="str">
        <f>LEFT(Database!QTZ2,3)</f>
        <v/>
      </c>
      <c r="QTH2" t="str">
        <f>LEFT(Database!QUA2,3)</f>
        <v/>
      </c>
      <c r="QTI2" t="str">
        <f>LEFT(Database!QUB2,3)</f>
        <v/>
      </c>
      <c r="QTJ2" t="str">
        <f>LEFT(Database!QUC2,3)</f>
        <v/>
      </c>
      <c r="QTK2" t="str">
        <f>LEFT(Database!QUD2,3)</f>
        <v/>
      </c>
      <c r="QTL2" t="str">
        <f>LEFT(Database!QUE2,3)</f>
        <v/>
      </c>
      <c r="QTM2" t="str">
        <f>LEFT(Database!QUF2,3)</f>
        <v/>
      </c>
      <c r="QTN2" t="str">
        <f>LEFT(Database!QUG2,3)</f>
        <v/>
      </c>
      <c r="QTO2" t="str">
        <f>LEFT(Database!QUH2,3)</f>
        <v/>
      </c>
      <c r="QTP2" t="str">
        <f>LEFT(Database!QUI2,3)</f>
        <v/>
      </c>
      <c r="QTQ2" t="str">
        <f>LEFT(Database!QUJ2,3)</f>
        <v/>
      </c>
      <c r="QTR2" t="str">
        <f>LEFT(Database!QUK2,3)</f>
        <v/>
      </c>
      <c r="QTS2" t="str">
        <f>LEFT(Database!QUL2,3)</f>
        <v/>
      </c>
      <c r="QTT2" t="str">
        <f>LEFT(Database!QUM2,3)</f>
        <v/>
      </c>
      <c r="QTU2" t="str">
        <f>LEFT(Database!QUN2,3)</f>
        <v/>
      </c>
      <c r="QTV2" t="str">
        <f>LEFT(Database!QUO2,3)</f>
        <v/>
      </c>
      <c r="QTW2" t="str">
        <f>LEFT(Database!QUP2,3)</f>
        <v/>
      </c>
      <c r="QTX2" t="str">
        <f>LEFT(Database!QUQ2,3)</f>
        <v/>
      </c>
      <c r="QTY2" t="str">
        <f>LEFT(Database!QUR2,3)</f>
        <v/>
      </c>
      <c r="QTZ2" t="str">
        <f>LEFT(Database!QUS2,3)</f>
        <v/>
      </c>
      <c r="QUA2" t="str">
        <f>LEFT(Database!QUT2,3)</f>
        <v/>
      </c>
      <c r="QUB2" t="str">
        <f>LEFT(Database!QUU2,3)</f>
        <v/>
      </c>
      <c r="QUC2" t="str">
        <f>LEFT(Database!QUV2,3)</f>
        <v/>
      </c>
      <c r="QUD2" t="str">
        <f>LEFT(Database!QUW2,3)</f>
        <v/>
      </c>
      <c r="QUE2" t="str">
        <f>LEFT(Database!QUX2,3)</f>
        <v/>
      </c>
      <c r="QUF2" t="str">
        <f>LEFT(Database!QUY2,3)</f>
        <v/>
      </c>
      <c r="QUG2" t="str">
        <f>LEFT(Database!QUZ2,3)</f>
        <v/>
      </c>
      <c r="QUH2" t="str">
        <f>LEFT(Database!QVA2,3)</f>
        <v/>
      </c>
      <c r="QUI2" t="str">
        <f>LEFT(Database!QVB2,3)</f>
        <v/>
      </c>
      <c r="QUJ2" t="str">
        <f>LEFT(Database!QVC2,3)</f>
        <v/>
      </c>
      <c r="QUK2" t="str">
        <f>LEFT(Database!QVD2,3)</f>
        <v/>
      </c>
      <c r="QUL2" t="str">
        <f>LEFT(Database!QVE2,3)</f>
        <v/>
      </c>
      <c r="QUM2" t="str">
        <f>LEFT(Database!QVF2,3)</f>
        <v/>
      </c>
      <c r="QUN2" t="str">
        <f>LEFT(Database!QVG2,3)</f>
        <v/>
      </c>
      <c r="QUO2" t="str">
        <f>LEFT(Database!QVH2,3)</f>
        <v/>
      </c>
      <c r="QUP2" t="str">
        <f>LEFT(Database!QVI2,3)</f>
        <v/>
      </c>
      <c r="QUQ2" t="str">
        <f>LEFT(Database!QVJ2,3)</f>
        <v/>
      </c>
      <c r="QUR2" t="str">
        <f>LEFT(Database!QVK2,3)</f>
        <v/>
      </c>
      <c r="QUS2" t="str">
        <f>LEFT(Database!QVL2,3)</f>
        <v/>
      </c>
      <c r="QUT2" t="str">
        <f>LEFT(Database!QVM2,3)</f>
        <v/>
      </c>
      <c r="QUU2" t="str">
        <f>LEFT(Database!QVN2,3)</f>
        <v/>
      </c>
      <c r="QUV2" t="str">
        <f>LEFT(Database!QVO2,3)</f>
        <v/>
      </c>
      <c r="QUW2" t="str">
        <f>LEFT(Database!QVP2,3)</f>
        <v/>
      </c>
      <c r="QUX2" t="str">
        <f>LEFT(Database!QVQ2,3)</f>
        <v/>
      </c>
      <c r="QUY2" t="str">
        <f>LEFT(Database!QVR2,3)</f>
        <v/>
      </c>
      <c r="QUZ2" t="str">
        <f>LEFT(Database!QVS2,3)</f>
        <v/>
      </c>
      <c r="QVA2" t="str">
        <f>LEFT(Database!QVT2,3)</f>
        <v/>
      </c>
      <c r="QVB2" t="str">
        <f>LEFT(Database!QVU2,3)</f>
        <v/>
      </c>
      <c r="QVC2" t="str">
        <f>LEFT(Database!QVV2,3)</f>
        <v/>
      </c>
      <c r="QVD2" t="str">
        <f>LEFT(Database!QVW2,3)</f>
        <v/>
      </c>
      <c r="QVE2" t="str">
        <f>LEFT(Database!QVX2,3)</f>
        <v/>
      </c>
      <c r="QVF2" t="str">
        <f>LEFT(Database!QVY2,3)</f>
        <v/>
      </c>
      <c r="QVG2" t="str">
        <f>LEFT(Database!QVZ2,3)</f>
        <v/>
      </c>
      <c r="QVH2" t="str">
        <f>LEFT(Database!QWA2,3)</f>
        <v/>
      </c>
      <c r="QVI2" t="str">
        <f>LEFT(Database!QWB2,3)</f>
        <v/>
      </c>
      <c r="QVJ2" t="str">
        <f>LEFT(Database!QWC2,3)</f>
        <v/>
      </c>
      <c r="QVK2" t="str">
        <f>LEFT(Database!QWD2,3)</f>
        <v/>
      </c>
      <c r="QVL2" t="str">
        <f>LEFT(Database!QWE2,3)</f>
        <v/>
      </c>
      <c r="QVM2" t="str">
        <f>LEFT(Database!QWF2,3)</f>
        <v/>
      </c>
      <c r="QVN2" t="str">
        <f>LEFT(Database!QWG2,3)</f>
        <v/>
      </c>
      <c r="QVO2" t="str">
        <f>LEFT(Database!QWH2,3)</f>
        <v/>
      </c>
      <c r="QVP2" t="str">
        <f>LEFT(Database!QWI2,3)</f>
        <v/>
      </c>
      <c r="QVQ2" t="str">
        <f>LEFT(Database!QWJ2,3)</f>
        <v/>
      </c>
      <c r="QVR2" t="str">
        <f>LEFT(Database!QWK2,3)</f>
        <v/>
      </c>
      <c r="QVS2" t="str">
        <f>LEFT(Database!QWL2,3)</f>
        <v/>
      </c>
      <c r="QVT2" t="str">
        <f>LEFT(Database!QWM2,3)</f>
        <v/>
      </c>
      <c r="QVU2" t="str">
        <f>LEFT(Database!QWN2,3)</f>
        <v/>
      </c>
      <c r="QVV2" t="str">
        <f>LEFT(Database!QWO2,3)</f>
        <v/>
      </c>
      <c r="QVW2" t="str">
        <f>LEFT(Database!QWP2,3)</f>
        <v/>
      </c>
      <c r="QVX2" t="str">
        <f>LEFT(Database!QWQ2,3)</f>
        <v/>
      </c>
      <c r="QVY2" t="str">
        <f>LEFT(Database!QWR2,3)</f>
        <v/>
      </c>
      <c r="QVZ2" t="str">
        <f>LEFT(Database!QWS2,3)</f>
        <v/>
      </c>
      <c r="QWA2" t="str">
        <f>LEFT(Database!QWT2,3)</f>
        <v/>
      </c>
      <c r="QWB2" t="str">
        <f>LEFT(Database!QWU2,3)</f>
        <v/>
      </c>
      <c r="QWC2" t="str">
        <f>LEFT(Database!QWV2,3)</f>
        <v/>
      </c>
      <c r="QWD2" t="str">
        <f>LEFT(Database!QWW2,3)</f>
        <v/>
      </c>
      <c r="QWE2" t="str">
        <f>LEFT(Database!QWX2,3)</f>
        <v/>
      </c>
      <c r="QWF2" t="str">
        <f>LEFT(Database!QWY2,3)</f>
        <v/>
      </c>
      <c r="QWG2" t="str">
        <f>LEFT(Database!QWZ2,3)</f>
        <v/>
      </c>
      <c r="QWH2" t="str">
        <f>LEFT(Database!QXA2,3)</f>
        <v/>
      </c>
      <c r="QWI2" t="str">
        <f>LEFT(Database!QXB2,3)</f>
        <v/>
      </c>
      <c r="QWJ2" t="str">
        <f>LEFT(Database!QXC2,3)</f>
        <v/>
      </c>
      <c r="QWK2" t="str">
        <f>LEFT(Database!QXD2,3)</f>
        <v/>
      </c>
      <c r="QWL2" t="str">
        <f>LEFT(Database!QXE2,3)</f>
        <v/>
      </c>
      <c r="QWM2" t="str">
        <f>LEFT(Database!QXF2,3)</f>
        <v/>
      </c>
      <c r="QWN2" t="str">
        <f>LEFT(Database!QXG2,3)</f>
        <v/>
      </c>
      <c r="QWO2" t="str">
        <f>LEFT(Database!QXH2,3)</f>
        <v/>
      </c>
      <c r="QWP2" t="str">
        <f>LEFT(Database!QXI2,3)</f>
        <v/>
      </c>
      <c r="QWQ2" t="str">
        <f>LEFT(Database!QXJ2,3)</f>
        <v/>
      </c>
      <c r="QWR2" t="str">
        <f>LEFT(Database!QXK2,3)</f>
        <v/>
      </c>
      <c r="QWS2" t="str">
        <f>LEFT(Database!QXL2,3)</f>
        <v/>
      </c>
      <c r="QWT2" t="str">
        <f>LEFT(Database!QXM2,3)</f>
        <v/>
      </c>
      <c r="QWU2" t="str">
        <f>LEFT(Database!QXN2,3)</f>
        <v/>
      </c>
      <c r="QWV2" t="str">
        <f>LEFT(Database!QXO2,3)</f>
        <v/>
      </c>
      <c r="QWW2" t="str">
        <f>LEFT(Database!QXP2,3)</f>
        <v/>
      </c>
      <c r="QWX2" t="str">
        <f>LEFT(Database!QXQ2,3)</f>
        <v/>
      </c>
      <c r="QWY2" t="str">
        <f>LEFT(Database!QXR2,3)</f>
        <v/>
      </c>
      <c r="QWZ2" t="str">
        <f>LEFT(Database!QXS2,3)</f>
        <v/>
      </c>
      <c r="QXA2" t="str">
        <f>LEFT(Database!QXT2,3)</f>
        <v/>
      </c>
      <c r="QXB2" t="str">
        <f>LEFT(Database!QXU2,3)</f>
        <v/>
      </c>
      <c r="QXC2" t="str">
        <f>LEFT(Database!QXV2,3)</f>
        <v/>
      </c>
      <c r="QXD2" t="str">
        <f>LEFT(Database!QXW2,3)</f>
        <v/>
      </c>
      <c r="QXE2" t="str">
        <f>LEFT(Database!QXX2,3)</f>
        <v/>
      </c>
      <c r="QXF2" t="str">
        <f>LEFT(Database!QXY2,3)</f>
        <v/>
      </c>
      <c r="QXG2" t="str">
        <f>LEFT(Database!QXZ2,3)</f>
        <v/>
      </c>
      <c r="QXH2" t="str">
        <f>LEFT(Database!QYA2,3)</f>
        <v/>
      </c>
      <c r="QXI2" t="str">
        <f>LEFT(Database!QYB2,3)</f>
        <v/>
      </c>
      <c r="QXJ2" t="str">
        <f>LEFT(Database!QYC2,3)</f>
        <v/>
      </c>
      <c r="QXK2" t="str">
        <f>LEFT(Database!QYD2,3)</f>
        <v/>
      </c>
      <c r="QXL2" t="str">
        <f>LEFT(Database!QYE2,3)</f>
        <v/>
      </c>
      <c r="QXM2" t="str">
        <f>LEFT(Database!QYF2,3)</f>
        <v/>
      </c>
      <c r="QXN2" t="str">
        <f>LEFT(Database!QYG2,3)</f>
        <v/>
      </c>
      <c r="QXO2" t="str">
        <f>LEFT(Database!QYH2,3)</f>
        <v/>
      </c>
      <c r="QXP2" t="str">
        <f>LEFT(Database!QYI2,3)</f>
        <v/>
      </c>
      <c r="QXQ2" t="str">
        <f>LEFT(Database!QYJ2,3)</f>
        <v/>
      </c>
      <c r="QXR2" t="str">
        <f>LEFT(Database!QYK2,3)</f>
        <v/>
      </c>
      <c r="QXS2" t="str">
        <f>LEFT(Database!QYL2,3)</f>
        <v/>
      </c>
      <c r="QXT2" t="str">
        <f>LEFT(Database!QYM2,3)</f>
        <v/>
      </c>
      <c r="QXU2" t="str">
        <f>LEFT(Database!QYN2,3)</f>
        <v/>
      </c>
      <c r="QXV2" t="str">
        <f>LEFT(Database!QYO2,3)</f>
        <v/>
      </c>
      <c r="QXW2" t="str">
        <f>LEFT(Database!QYP2,3)</f>
        <v/>
      </c>
      <c r="QXX2" t="str">
        <f>LEFT(Database!QYQ2,3)</f>
        <v/>
      </c>
      <c r="QXY2" t="str">
        <f>LEFT(Database!QYR2,3)</f>
        <v/>
      </c>
      <c r="QXZ2" t="str">
        <f>LEFT(Database!QYS2,3)</f>
        <v/>
      </c>
      <c r="QYA2" t="str">
        <f>LEFT(Database!QYT2,3)</f>
        <v/>
      </c>
      <c r="QYB2" t="str">
        <f>LEFT(Database!QYU2,3)</f>
        <v/>
      </c>
      <c r="QYC2" t="str">
        <f>LEFT(Database!QYV2,3)</f>
        <v/>
      </c>
      <c r="QYD2" t="str">
        <f>LEFT(Database!QYW2,3)</f>
        <v/>
      </c>
      <c r="QYE2" t="str">
        <f>LEFT(Database!QYX2,3)</f>
        <v/>
      </c>
      <c r="QYF2" t="str">
        <f>LEFT(Database!QYY2,3)</f>
        <v/>
      </c>
      <c r="QYG2" t="str">
        <f>LEFT(Database!QYZ2,3)</f>
        <v/>
      </c>
      <c r="QYH2" t="str">
        <f>LEFT(Database!QZA2,3)</f>
        <v/>
      </c>
      <c r="QYI2" t="str">
        <f>LEFT(Database!QZB2,3)</f>
        <v/>
      </c>
      <c r="QYJ2" t="str">
        <f>LEFT(Database!QZC2,3)</f>
        <v/>
      </c>
      <c r="QYK2" t="str">
        <f>LEFT(Database!QZD2,3)</f>
        <v/>
      </c>
      <c r="QYL2" t="str">
        <f>LEFT(Database!QZE2,3)</f>
        <v/>
      </c>
      <c r="QYM2" t="str">
        <f>LEFT(Database!QZF2,3)</f>
        <v/>
      </c>
      <c r="QYN2" t="str">
        <f>LEFT(Database!QZG2,3)</f>
        <v/>
      </c>
      <c r="QYO2" t="str">
        <f>LEFT(Database!QZH2,3)</f>
        <v/>
      </c>
      <c r="QYP2" t="str">
        <f>LEFT(Database!QZI2,3)</f>
        <v/>
      </c>
      <c r="QYQ2" t="str">
        <f>LEFT(Database!QZJ2,3)</f>
        <v/>
      </c>
      <c r="QYR2" t="str">
        <f>LEFT(Database!QZK2,3)</f>
        <v/>
      </c>
      <c r="QYS2" t="str">
        <f>LEFT(Database!QZL2,3)</f>
        <v/>
      </c>
      <c r="QYT2" t="str">
        <f>LEFT(Database!QZM2,3)</f>
        <v/>
      </c>
      <c r="QYU2" t="str">
        <f>LEFT(Database!QZN2,3)</f>
        <v/>
      </c>
      <c r="QYV2" t="str">
        <f>LEFT(Database!QZO2,3)</f>
        <v/>
      </c>
      <c r="QYW2" t="str">
        <f>LEFT(Database!QZP2,3)</f>
        <v/>
      </c>
      <c r="QYX2" t="str">
        <f>LEFT(Database!QZQ2,3)</f>
        <v/>
      </c>
      <c r="QYY2" t="str">
        <f>LEFT(Database!QZR2,3)</f>
        <v/>
      </c>
      <c r="QYZ2" t="str">
        <f>LEFT(Database!QZS2,3)</f>
        <v/>
      </c>
      <c r="QZA2" t="str">
        <f>LEFT(Database!QZT2,3)</f>
        <v/>
      </c>
      <c r="QZB2" t="str">
        <f>LEFT(Database!QZU2,3)</f>
        <v/>
      </c>
      <c r="QZC2" t="str">
        <f>LEFT(Database!QZV2,3)</f>
        <v/>
      </c>
      <c r="QZD2" t="str">
        <f>LEFT(Database!QZW2,3)</f>
        <v/>
      </c>
      <c r="QZE2" t="str">
        <f>LEFT(Database!QZX2,3)</f>
        <v/>
      </c>
      <c r="QZF2" t="str">
        <f>LEFT(Database!QZY2,3)</f>
        <v/>
      </c>
      <c r="QZG2" t="str">
        <f>LEFT(Database!QZZ2,3)</f>
        <v/>
      </c>
      <c r="QZH2" t="str">
        <f>LEFT(Database!RAA2,3)</f>
        <v/>
      </c>
      <c r="QZI2" t="str">
        <f>LEFT(Database!RAB2,3)</f>
        <v/>
      </c>
      <c r="QZJ2" t="str">
        <f>LEFT(Database!RAC2,3)</f>
        <v/>
      </c>
      <c r="QZK2" t="str">
        <f>LEFT(Database!RAD2,3)</f>
        <v/>
      </c>
      <c r="QZL2" t="str">
        <f>LEFT(Database!RAE2,3)</f>
        <v/>
      </c>
      <c r="QZM2" t="str">
        <f>LEFT(Database!RAF2,3)</f>
        <v/>
      </c>
      <c r="QZN2" t="str">
        <f>LEFT(Database!RAG2,3)</f>
        <v/>
      </c>
      <c r="QZO2" t="str">
        <f>LEFT(Database!RAH2,3)</f>
        <v/>
      </c>
      <c r="QZP2" t="str">
        <f>LEFT(Database!RAI2,3)</f>
        <v/>
      </c>
      <c r="QZQ2" t="str">
        <f>LEFT(Database!RAJ2,3)</f>
        <v/>
      </c>
      <c r="QZR2" t="str">
        <f>LEFT(Database!RAK2,3)</f>
        <v/>
      </c>
      <c r="QZS2" t="str">
        <f>LEFT(Database!RAL2,3)</f>
        <v/>
      </c>
      <c r="QZT2" t="str">
        <f>LEFT(Database!RAM2,3)</f>
        <v/>
      </c>
      <c r="QZU2" t="str">
        <f>LEFT(Database!RAN2,3)</f>
        <v/>
      </c>
      <c r="QZV2" t="str">
        <f>LEFT(Database!RAO2,3)</f>
        <v/>
      </c>
      <c r="QZW2" t="str">
        <f>LEFT(Database!RAP2,3)</f>
        <v/>
      </c>
      <c r="QZX2" t="str">
        <f>LEFT(Database!RAQ2,3)</f>
        <v/>
      </c>
      <c r="QZY2" t="str">
        <f>LEFT(Database!RAR2,3)</f>
        <v/>
      </c>
      <c r="QZZ2" t="str">
        <f>LEFT(Database!RAS2,3)</f>
        <v/>
      </c>
      <c r="RAA2" t="str">
        <f>LEFT(Database!RAT2,3)</f>
        <v/>
      </c>
      <c r="RAB2" t="str">
        <f>LEFT(Database!RAU2,3)</f>
        <v/>
      </c>
      <c r="RAC2" t="str">
        <f>LEFT(Database!RAV2,3)</f>
        <v/>
      </c>
      <c r="RAD2" t="str">
        <f>LEFT(Database!RAW2,3)</f>
        <v/>
      </c>
      <c r="RAE2" t="str">
        <f>LEFT(Database!RAX2,3)</f>
        <v/>
      </c>
      <c r="RAF2" t="str">
        <f>LEFT(Database!RAY2,3)</f>
        <v/>
      </c>
      <c r="RAG2" t="str">
        <f>LEFT(Database!RAZ2,3)</f>
        <v/>
      </c>
      <c r="RAH2" t="str">
        <f>LEFT(Database!RBA2,3)</f>
        <v/>
      </c>
      <c r="RAI2" t="str">
        <f>LEFT(Database!RBB2,3)</f>
        <v/>
      </c>
      <c r="RAJ2" t="str">
        <f>LEFT(Database!RBC2,3)</f>
        <v/>
      </c>
      <c r="RAK2" t="str">
        <f>LEFT(Database!RBD2,3)</f>
        <v/>
      </c>
      <c r="RAL2" t="str">
        <f>LEFT(Database!RBE2,3)</f>
        <v/>
      </c>
      <c r="RAM2" t="str">
        <f>LEFT(Database!RBF2,3)</f>
        <v/>
      </c>
      <c r="RAN2" t="str">
        <f>LEFT(Database!RBG2,3)</f>
        <v/>
      </c>
      <c r="RAO2" t="str">
        <f>LEFT(Database!RBH2,3)</f>
        <v/>
      </c>
      <c r="RAP2" t="str">
        <f>LEFT(Database!RBI2,3)</f>
        <v/>
      </c>
      <c r="RAQ2" t="str">
        <f>LEFT(Database!RBJ2,3)</f>
        <v/>
      </c>
      <c r="RAR2" t="str">
        <f>LEFT(Database!RBK2,3)</f>
        <v/>
      </c>
      <c r="RAS2" t="str">
        <f>LEFT(Database!RBL2,3)</f>
        <v/>
      </c>
      <c r="RAT2" t="str">
        <f>LEFT(Database!RBM2,3)</f>
        <v/>
      </c>
      <c r="RAU2" t="str">
        <f>LEFT(Database!RBN2,3)</f>
        <v/>
      </c>
      <c r="RAV2" t="str">
        <f>LEFT(Database!RBO2,3)</f>
        <v/>
      </c>
      <c r="RAW2" t="str">
        <f>LEFT(Database!RBP2,3)</f>
        <v/>
      </c>
      <c r="RAX2" t="str">
        <f>LEFT(Database!RBQ2,3)</f>
        <v/>
      </c>
      <c r="RAY2" t="str">
        <f>LEFT(Database!RBR2,3)</f>
        <v/>
      </c>
      <c r="RAZ2" t="str">
        <f>LEFT(Database!RBS2,3)</f>
        <v/>
      </c>
      <c r="RBA2" t="str">
        <f>LEFT(Database!RBT2,3)</f>
        <v/>
      </c>
      <c r="RBB2" t="str">
        <f>LEFT(Database!RBU2,3)</f>
        <v/>
      </c>
      <c r="RBC2" t="str">
        <f>LEFT(Database!RBV2,3)</f>
        <v/>
      </c>
      <c r="RBD2" t="str">
        <f>LEFT(Database!RBW2,3)</f>
        <v/>
      </c>
      <c r="RBE2" t="str">
        <f>LEFT(Database!RBX2,3)</f>
        <v/>
      </c>
      <c r="RBF2" t="str">
        <f>LEFT(Database!RBY2,3)</f>
        <v/>
      </c>
      <c r="RBG2" t="str">
        <f>LEFT(Database!RBZ2,3)</f>
        <v/>
      </c>
      <c r="RBH2" t="str">
        <f>LEFT(Database!RCA2,3)</f>
        <v/>
      </c>
      <c r="RBI2" t="str">
        <f>LEFT(Database!RCB2,3)</f>
        <v/>
      </c>
      <c r="RBJ2" t="str">
        <f>LEFT(Database!RCC2,3)</f>
        <v/>
      </c>
      <c r="RBK2" t="str">
        <f>LEFT(Database!RCD2,3)</f>
        <v/>
      </c>
      <c r="RBL2" t="str">
        <f>LEFT(Database!RCE2,3)</f>
        <v/>
      </c>
      <c r="RBM2" t="str">
        <f>LEFT(Database!RCF2,3)</f>
        <v/>
      </c>
      <c r="RBN2" t="str">
        <f>LEFT(Database!RCG2,3)</f>
        <v/>
      </c>
      <c r="RBO2" t="str">
        <f>LEFT(Database!RCH2,3)</f>
        <v/>
      </c>
      <c r="RBP2" t="str">
        <f>LEFT(Database!RCI2,3)</f>
        <v/>
      </c>
      <c r="RBQ2" t="str">
        <f>LEFT(Database!RCJ2,3)</f>
        <v/>
      </c>
      <c r="RBR2" t="str">
        <f>LEFT(Database!RCK2,3)</f>
        <v/>
      </c>
      <c r="RBS2" t="str">
        <f>LEFT(Database!RCL2,3)</f>
        <v/>
      </c>
      <c r="RBT2" t="str">
        <f>LEFT(Database!RCM2,3)</f>
        <v/>
      </c>
      <c r="RBU2" t="str">
        <f>LEFT(Database!RCN2,3)</f>
        <v/>
      </c>
      <c r="RBV2" t="str">
        <f>LEFT(Database!RCO2,3)</f>
        <v/>
      </c>
      <c r="RBW2" t="str">
        <f>LEFT(Database!RCP2,3)</f>
        <v/>
      </c>
      <c r="RBX2" t="str">
        <f>LEFT(Database!RCQ2,3)</f>
        <v/>
      </c>
      <c r="RBY2" t="str">
        <f>LEFT(Database!RCR2,3)</f>
        <v/>
      </c>
      <c r="RBZ2" t="str">
        <f>LEFT(Database!RCS2,3)</f>
        <v/>
      </c>
      <c r="RCA2" t="str">
        <f>LEFT(Database!RCT2,3)</f>
        <v/>
      </c>
      <c r="RCB2" t="str">
        <f>LEFT(Database!RCU2,3)</f>
        <v/>
      </c>
      <c r="RCC2" t="str">
        <f>LEFT(Database!RCV2,3)</f>
        <v/>
      </c>
      <c r="RCD2" t="str">
        <f>LEFT(Database!RCW2,3)</f>
        <v/>
      </c>
      <c r="RCE2" t="str">
        <f>LEFT(Database!RCX2,3)</f>
        <v/>
      </c>
      <c r="RCF2" t="str">
        <f>LEFT(Database!RCY2,3)</f>
        <v/>
      </c>
      <c r="RCG2" t="str">
        <f>LEFT(Database!RCZ2,3)</f>
        <v/>
      </c>
      <c r="RCH2" t="str">
        <f>LEFT(Database!RDA2,3)</f>
        <v/>
      </c>
      <c r="RCI2" t="str">
        <f>LEFT(Database!RDB2,3)</f>
        <v/>
      </c>
      <c r="RCJ2" t="str">
        <f>LEFT(Database!RDC2,3)</f>
        <v/>
      </c>
      <c r="RCK2" t="str">
        <f>LEFT(Database!RDD2,3)</f>
        <v/>
      </c>
      <c r="RCL2" t="str">
        <f>LEFT(Database!RDE2,3)</f>
        <v/>
      </c>
      <c r="RCM2" t="str">
        <f>LEFT(Database!RDF2,3)</f>
        <v/>
      </c>
      <c r="RCN2" t="str">
        <f>LEFT(Database!RDG2,3)</f>
        <v/>
      </c>
      <c r="RCO2" t="str">
        <f>LEFT(Database!RDH2,3)</f>
        <v/>
      </c>
      <c r="RCP2" t="str">
        <f>LEFT(Database!RDI2,3)</f>
        <v/>
      </c>
      <c r="RCQ2" t="str">
        <f>LEFT(Database!RDJ2,3)</f>
        <v/>
      </c>
      <c r="RCR2" t="str">
        <f>LEFT(Database!RDK2,3)</f>
        <v/>
      </c>
      <c r="RCS2" t="str">
        <f>LEFT(Database!RDL2,3)</f>
        <v/>
      </c>
      <c r="RCT2" t="str">
        <f>LEFT(Database!RDM2,3)</f>
        <v/>
      </c>
      <c r="RCU2" t="str">
        <f>LEFT(Database!RDN2,3)</f>
        <v/>
      </c>
      <c r="RCV2" t="str">
        <f>LEFT(Database!RDO2,3)</f>
        <v/>
      </c>
      <c r="RCW2" t="str">
        <f>LEFT(Database!RDP2,3)</f>
        <v/>
      </c>
      <c r="RCX2" t="str">
        <f>LEFT(Database!RDQ2,3)</f>
        <v/>
      </c>
      <c r="RCY2" t="str">
        <f>LEFT(Database!RDR2,3)</f>
        <v/>
      </c>
      <c r="RCZ2" t="str">
        <f>LEFT(Database!RDS2,3)</f>
        <v/>
      </c>
      <c r="RDA2" t="str">
        <f>LEFT(Database!RDT2,3)</f>
        <v/>
      </c>
      <c r="RDB2" t="str">
        <f>LEFT(Database!RDU2,3)</f>
        <v/>
      </c>
      <c r="RDC2" t="str">
        <f>LEFT(Database!RDV2,3)</f>
        <v/>
      </c>
      <c r="RDD2" t="str">
        <f>LEFT(Database!RDW2,3)</f>
        <v/>
      </c>
      <c r="RDE2" t="str">
        <f>LEFT(Database!RDX2,3)</f>
        <v/>
      </c>
      <c r="RDF2" t="str">
        <f>LEFT(Database!RDY2,3)</f>
        <v/>
      </c>
      <c r="RDG2" t="str">
        <f>LEFT(Database!RDZ2,3)</f>
        <v/>
      </c>
      <c r="RDH2" t="str">
        <f>LEFT(Database!REA2,3)</f>
        <v/>
      </c>
      <c r="RDI2" t="str">
        <f>LEFT(Database!REB2,3)</f>
        <v/>
      </c>
      <c r="RDJ2" t="str">
        <f>LEFT(Database!REC2,3)</f>
        <v/>
      </c>
      <c r="RDK2" t="str">
        <f>LEFT(Database!RED2,3)</f>
        <v/>
      </c>
      <c r="RDL2" t="str">
        <f>LEFT(Database!REE2,3)</f>
        <v/>
      </c>
      <c r="RDM2" t="str">
        <f>LEFT(Database!REF2,3)</f>
        <v/>
      </c>
      <c r="RDN2" t="str">
        <f>LEFT(Database!REG2,3)</f>
        <v/>
      </c>
      <c r="RDO2" t="str">
        <f>LEFT(Database!REH2,3)</f>
        <v/>
      </c>
      <c r="RDP2" t="str">
        <f>LEFT(Database!REI2,3)</f>
        <v/>
      </c>
      <c r="RDQ2" t="str">
        <f>LEFT(Database!REJ2,3)</f>
        <v/>
      </c>
      <c r="RDR2" t="str">
        <f>LEFT(Database!REK2,3)</f>
        <v/>
      </c>
      <c r="RDS2" t="str">
        <f>LEFT(Database!REL2,3)</f>
        <v/>
      </c>
      <c r="RDT2" t="str">
        <f>LEFT(Database!REM2,3)</f>
        <v/>
      </c>
      <c r="RDU2" t="str">
        <f>LEFT(Database!REN2,3)</f>
        <v/>
      </c>
      <c r="RDV2" t="str">
        <f>LEFT(Database!REO2,3)</f>
        <v/>
      </c>
      <c r="RDW2" t="str">
        <f>LEFT(Database!REP2,3)</f>
        <v/>
      </c>
      <c r="RDX2" t="str">
        <f>LEFT(Database!REQ2,3)</f>
        <v/>
      </c>
      <c r="RDY2" t="str">
        <f>LEFT(Database!RER2,3)</f>
        <v/>
      </c>
      <c r="RDZ2" t="str">
        <f>LEFT(Database!RES2,3)</f>
        <v/>
      </c>
      <c r="REA2" t="str">
        <f>LEFT(Database!RET2,3)</f>
        <v/>
      </c>
      <c r="REB2" t="str">
        <f>LEFT(Database!REU2,3)</f>
        <v/>
      </c>
      <c r="REC2" t="str">
        <f>LEFT(Database!REV2,3)</f>
        <v/>
      </c>
      <c r="RED2" t="str">
        <f>LEFT(Database!REW2,3)</f>
        <v/>
      </c>
      <c r="REE2" t="str">
        <f>LEFT(Database!REX2,3)</f>
        <v/>
      </c>
      <c r="REF2" t="str">
        <f>LEFT(Database!REY2,3)</f>
        <v/>
      </c>
      <c r="REG2" t="str">
        <f>LEFT(Database!REZ2,3)</f>
        <v/>
      </c>
      <c r="REH2" t="str">
        <f>LEFT(Database!RFA2,3)</f>
        <v/>
      </c>
      <c r="REI2" t="str">
        <f>LEFT(Database!RFB2,3)</f>
        <v/>
      </c>
      <c r="REJ2" t="str">
        <f>LEFT(Database!RFC2,3)</f>
        <v/>
      </c>
      <c r="REK2" t="str">
        <f>LEFT(Database!RFD2,3)</f>
        <v/>
      </c>
      <c r="REL2" t="str">
        <f>LEFT(Database!RFE2,3)</f>
        <v/>
      </c>
      <c r="REM2" t="str">
        <f>LEFT(Database!RFF2,3)</f>
        <v/>
      </c>
      <c r="REN2" t="str">
        <f>LEFT(Database!RFG2,3)</f>
        <v/>
      </c>
      <c r="REO2" t="str">
        <f>LEFT(Database!RFH2,3)</f>
        <v/>
      </c>
      <c r="REP2" t="str">
        <f>LEFT(Database!RFI2,3)</f>
        <v/>
      </c>
      <c r="REQ2" t="str">
        <f>LEFT(Database!RFJ2,3)</f>
        <v/>
      </c>
      <c r="RER2" t="str">
        <f>LEFT(Database!RFK2,3)</f>
        <v/>
      </c>
      <c r="RES2" t="str">
        <f>LEFT(Database!RFL2,3)</f>
        <v/>
      </c>
      <c r="RET2" t="str">
        <f>LEFT(Database!RFM2,3)</f>
        <v/>
      </c>
      <c r="REU2" t="str">
        <f>LEFT(Database!RFN2,3)</f>
        <v/>
      </c>
      <c r="REV2" t="str">
        <f>LEFT(Database!RFO2,3)</f>
        <v/>
      </c>
      <c r="REW2" t="str">
        <f>LEFT(Database!RFP2,3)</f>
        <v/>
      </c>
      <c r="REX2" t="str">
        <f>LEFT(Database!RFQ2,3)</f>
        <v/>
      </c>
      <c r="REY2" t="str">
        <f>LEFT(Database!RFR2,3)</f>
        <v/>
      </c>
      <c r="REZ2" t="str">
        <f>LEFT(Database!RFS2,3)</f>
        <v/>
      </c>
      <c r="RFA2" t="str">
        <f>LEFT(Database!RFT2,3)</f>
        <v/>
      </c>
      <c r="RFB2" t="str">
        <f>LEFT(Database!RFU2,3)</f>
        <v/>
      </c>
      <c r="RFC2" t="str">
        <f>LEFT(Database!RFV2,3)</f>
        <v/>
      </c>
      <c r="RFD2" t="str">
        <f>LEFT(Database!RFW2,3)</f>
        <v/>
      </c>
      <c r="RFE2" t="str">
        <f>LEFT(Database!RFX2,3)</f>
        <v/>
      </c>
      <c r="RFF2" t="str">
        <f>LEFT(Database!RFY2,3)</f>
        <v/>
      </c>
      <c r="RFG2" t="str">
        <f>LEFT(Database!RFZ2,3)</f>
        <v/>
      </c>
      <c r="RFH2" t="str">
        <f>LEFT(Database!RGA2,3)</f>
        <v/>
      </c>
      <c r="RFI2" t="str">
        <f>LEFT(Database!RGB2,3)</f>
        <v/>
      </c>
      <c r="RFJ2" t="str">
        <f>LEFT(Database!RGC2,3)</f>
        <v/>
      </c>
      <c r="RFK2" t="str">
        <f>LEFT(Database!RGD2,3)</f>
        <v/>
      </c>
      <c r="RFL2" t="str">
        <f>LEFT(Database!RGE2,3)</f>
        <v/>
      </c>
      <c r="RFM2" t="str">
        <f>LEFT(Database!RGF2,3)</f>
        <v/>
      </c>
      <c r="RFN2" t="str">
        <f>LEFT(Database!RGG2,3)</f>
        <v/>
      </c>
      <c r="RFO2" t="str">
        <f>LEFT(Database!RGH2,3)</f>
        <v/>
      </c>
      <c r="RFP2" t="str">
        <f>LEFT(Database!RGI2,3)</f>
        <v/>
      </c>
      <c r="RFQ2" t="str">
        <f>LEFT(Database!RGJ2,3)</f>
        <v/>
      </c>
      <c r="RFR2" t="str">
        <f>LEFT(Database!RGK2,3)</f>
        <v/>
      </c>
      <c r="RFS2" t="str">
        <f>LEFT(Database!RGL2,3)</f>
        <v/>
      </c>
      <c r="RFT2" t="str">
        <f>LEFT(Database!RGM2,3)</f>
        <v/>
      </c>
      <c r="RFU2" t="str">
        <f>LEFT(Database!RGN2,3)</f>
        <v/>
      </c>
      <c r="RFV2" t="str">
        <f>LEFT(Database!RGO2,3)</f>
        <v/>
      </c>
      <c r="RFW2" t="str">
        <f>LEFT(Database!RGP2,3)</f>
        <v/>
      </c>
      <c r="RFX2" t="str">
        <f>LEFT(Database!RGQ2,3)</f>
        <v/>
      </c>
      <c r="RFY2" t="str">
        <f>LEFT(Database!RGR2,3)</f>
        <v/>
      </c>
      <c r="RFZ2" t="str">
        <f>LEFT(Database!RGS2,3)</f>
        <v/>
      </c>
      <c r="RGA2" t="str">
        <f>LEFT(Database!RGT2,3)</f>
        <v/>
      </c>
      <c r="RGB2" t="str">
        <f>LEFT(Database!RGU2,3)</f>
        <v/>
      </c>
      <c r="RGC2" t="str">
        <f>LEFT(Database!RGV2,3)</f>
        <v/>
      </c>
      <c r="RGD2" t="str">
        <f>LEFT(Database!RGW2,3)</f>
        <v/>
      </c>
      <c r="RGE2" t="str">
        <f>LEFT(Database!RGX2,3)</f>
        <v/>
      </c>
      <c r="RGF2" t="str">
        <f>LEFT(Database!RGY2,3)</f>
        <v/>
      </c>
      <c r="RGG2" t="str">
        <f>LEFT(Database!RGZ2,3)</f>
        <v/>
      </c>
      <c r="RGH2" t="str">
        <f>LEFT(Database!RHA2,3)</f>
        <v/>
      </c>
      <c r="RGI2" t="str">
        <f>LEFT(Database!RHB2,3)</f>
        <v/>
      </c>
      <c r="RGJ2" t="str">
        <f>LEFT(Database!RHC2,3)</f>
        <v/>
      </c>
      <c r="RGK2" t="str">
        <f>LEFT(Database!RHD2,3)</f>
        <v/>
      </c>
      <c r="RGL2" t="str">
        <f>LEFT(Database!RHE2,3)</f>
        <v/>
      </c>
      <c r="RGM2" t="str">
        <f>LEFT(Database!RHF2,3)</f>
        <v/>
      </c>
      <c r="RGN2" t="str">
        <f>LEFT(Database!RHG2,3)</f>
        <v/>
      </c>
      <c r="RGO2" t="str">
        <f>LEFT(Database!RHH2,3)</f>
        <v/>
      </c>
      <c r="RGP2" t="str">
        <f>LEFT(Database!RHI2,3)</f>
        <v/>
      </c>
      <c r="RGQ2" t="str">
        <f>LEFT(Database!RHJ2,3)</f>
        <v/>
      </c>
      <c r="RGR2" t="str">
        <f>LEFT(Database!RHK2,3)</f>
        <v/>
      </c>
      <c r="RGS2" t="str">
        <f>LEFT(Database!RHL2,3)</f>
        <v/>
      </c>
      <c r="RGT2" t="str">
        <f>LEFT(Database!RHM2,3)</f>
        <v/>
      </c>
      <c r="RGU2" t="str">
        <f>LEFT(Database!RHN2,3)</f>
        <v/>
      </c>
      <c r="RGV2" t="str">
        <f>LEFT(Database!RHO2,3)</f>
        <v/>
      </c>
      <c r="RGW2" t="str">
        <f>LEFT(Database!RHP2,3)</f>
        <v/>
      </c>
      <c r="RGX2" t="str">
        <f>LEFT(Database!RHQ2,3)</f>
        <v/>
      </c>
      <c r="RGY2" t="str">
        <f>LEFT(Database!RHR2,3)</f>
        <v/>
      </c>
      <c r="RGZ2" t="str">
        <f>LEFT(Database!RHS2,3)</f>
        <v/>
      </c>
      <c r="RHA2" t="str">
        <f>LEFT(Database!RHT2,3)</f>
        <v/>
      </c>
      <c r="RHB2" t="str">
        <f>LEFT(Database!RHU2,3)</f>
        <v/>
      </c>
      <c r="RHC2" t="str">
        <f>LEFT(Database!RHV2,3)</f>
        <v/>
      </c>
      <c r="RHD2" t="str">
        <f>LEFT(Database!RHW2,3)</f>
        <v/>
      </c>
      <c r="RHE2" t="str">
        <f>LEFT(Database!RHX2,3)</f>
        <v/>
      </c>
      <c r="RHF2" t="str">
        <f>LEFT(Database!RHY2,3)</f>
        <v/>
      </c>
      <c r="RHG2" t="str">
        <f>LEFT(Database!RHZ2,3)</f>
        <v/>
      </c>
      <c r="RHH2" t="str">
        <f>LEFT(Database!RIA2,3)</f>
        <v/>
      </c>
      <c r="RHI2" t="str">
        <f>LEFT(Database!RIB2,3)</f>
        <v/>
      </c>
      <c r="RHJ2" t="str">
        <f>LEFT(Database!RIC2,3)</f>
        <v/>
      </c>
      <c r="RHK2" t="str">
        <f>LEFT(Database!RID2,3)</f>
        <v/>
      </c>
      <c r="RHL2" t="str">
        <f>LEFT(Database!RIE2,3)</f>
        <v/>
      </c>
      <c r="RHM2" t="str">
        <f>LEFT(Database!RIF2,3)</f>
        <v/>
      </c>
      <c r="RHN2" t="str">
        <f>LEFT(Database!RIG2,3)</f>
        <v/>
      </c>
      <c r="RHO2" t="str">
        <f>LEFT(Database!RIH2,3)</f>
        <v/>
      </c>
      <c r="RHP2" t="str">
        <f>LEFT(Database!RII2,3)</f>
        <v/>
      </c>
      <c r="RHQ2" t="str">
        <f>LEFT(Database!RIJ2,3)</f>
        <v/>
      </c>
      <c r="RHR2" t="str">
        <f>LEFT(Database!RIK2,3)</f>
        <v/>
      </c>
      <c r="RHS2" t="str">
        <f>LEFT(Database!RIL2,3)</f>
        <v/>
      </c>
      <c r="RHT2" t="str">
        <f>LEFT(Database!RIM2,3)</f>
        <v/>
      </c>
      <c r="RHU2" t="str">
        <f>LEFT(Database!RIN2,3)</f>
        <v/>
      </c>
      <c r="RHV2" t="str">
        <f>LEFT(Database!RIO2,3)</f>
        <v/>
      </c>
      <c r="RHW2" t="str">
        <f>LEFT(Database!RIP2,3)</f>
        <v/>
      </c>
      <c r="RHX2" t="str">
        <f>LEFT(Database!RIQ2,3)</f>
        <v/>
      </c>
      <c r="RHY2" t="str">
        <f>LEFT(Database!RIR2,3)</f>
        <v/>
      </c>
      <c r="RHZ2" t="str">
        <f>LEFT(Database!RIS2,3)</f>
        <v/>
      </c>
      <c r="RIA2" t="str">
        <f>LEFT(Database!RIT2,3)</f>
        <v/>
      </c>
      <c r="RIB2" t="str">
        <f>LEFT(Database!RIU2,3)</f>
        <v/>
      </c>
      <c r="RIC2" t="str">
        <f>LEFT(Database!RIV2,3)</f>
        <v/>
      </c>
      <c r="RID2" t="str">
        <f>LEFT(Database!RIW2,3)</f>
        <v/>
      </c>
      <c r="RIE2" t="str">
        <f>LEFT(Database!RIX2,3)</f>
        <v/>
      </c>
      <c r="RIF2" t="str">
        <f>LEFT(Database!RIY2,3)</f>
        <v/>
      </c>
      <c r="RIG2" t="str">
        <f>LEFT(Database!RIZ2,3)</f>
        <v/>
      </c>
      <c r="RIH2" t="str">
        <f>LEFT(Database!RJA2,3)</f>
        <v/>
      </c>
      <c r="RII2" t="str">
        <f>LEFT(Database!RJB2,3)</f>
        <v/>
      </c>
      <c r="RIJ2" t="str">
        <f>LEFT(Database!RJC2,3)</f>
        <v/>
      </c>
      <c r="RIK2" t="str">
        <f>LEFT(Database!RJD2,3)</f>
        <v/>
      </c>
      <c r="RIL2" t="str">
        <f>LEFT(Database!RJE2,3)</f>
        <v/>
      </c>
      <c r="RIM2" t="str">
        <f>LEFT(Database!RJF2,3)</f>
        <v/>
      </c>
      <c r="RIN2" t="str">
        <f>LEFT(Database!RJG2,3)</f>
        <v/>
      </c>
      <c r="RIO2" t="str">
        <f>LEFT(Database!RJH2,3)</f>
        <v/>
      </c>
      <c r="RIP2" t="str">
        <f>LEFT(Database!RJI2,3)</f>
        <v/>
      </c>
      <c r="RIQ2" t="str">
        <f>LEFT(Database!RJJ2,3)</f>
        <v/>
      </c>
      <c r="RIR2" t="str">
        <f>LEFT(Database!RJK2,3)</f>
        <v/>
      </c>
      <c r="RIS2" t="str">
        <f>LEFT(Database!RJL2,3)</f>
        <v/>
      </c>
      <c r="RIT2" t="str">
        <f>LEFT(Database!RJM2,3)</f>
        <v/>
      </c>
      <c r="RIU2" t="str">
        <f>LEFT(Database!RJN2,3)</f>
        <v/>
      </c>
      <c r="RIV2" t="str">
        <f>LEFT(Database!RJO2,3)</f>
        <v/>
      </c>
      <c r="RIW2" t="str">
        <f>LEFT(Database!RJP2,3)</f>
        <v/>
      </c>
      <c r="RIX2" t="str">
        <f>LEFT(Database!RJQ2,3)</f>
        <v/>
      </c>
      <c r="RIY2" t="str">
        <f>LEFT(Database!RJR2,3)</f>
        <v/>
      </c>
      <c r="RIZ2" t="str">
        <f>LEFT(Database!RJS2,3)</f>
        <v/>
      </c>
      <c r="RJA2" t="str">
        <f>LEFT(Database!RJT2,3)</f>
        <v/>
      </c>
      <c r="RJB2" t="str">
        <f>LEFT(Database!RJU2,3)</f>
        <v/>
      </c>
      <c r="RJC2" t="str">
        <f>LEFT(Database!RJV2,3)</f>
        <v/>
      </c>
      <c r="RJD2" t="str">
        <f>LEFT(Database!RJW2,3)</f>
        <v/>
      </c>
      <c r="RJE2" t="str">
        <f>LEFT(Database!RJX2,3)</f>
        <v/>
      </c>
      <c r="RJF2" t="str">
        <f>LEFT(Database!RJY2,3)</f>
        <v/>
      </c>
      <c r="RJG2" t="str">
        <f>LEFT(Database!RJZ2,3)</f>
        <v/>
      </c>
      <c r="RJH2" t="str">
        <f>LEFT(Database!RKA2,3)</f>
        <v/>
      </c>
      <c r="RJI2" t="str">
        <f>LEFT(Database!RKB2,3)</f>
        <v/>
      </c>
      <c r="RJJ2" t="str">
        <f>LEFT(Database!RKC2,3)</f>
        <v/>
      </c>
      <c r="RJK2" t="str">
        <f>LEFT(Database!RKD2,3)</f>
        <v/>
      </c>
      <c r="RJL2" t="str">
        <f>LEFT(Database!RKE2,3)</f>
        <v/>
      </c>
      <c r="RJM2" t="str">
        <f>LEFT(Database!RKF2,3)</f>
        <v/>
      </c>
      <c r="RJN2" t="str">
        <f>LEFT(Database!RKG2,3)</f>
        <v/>
      </c>
      <c r="RJO2" t="str">
        <f>LEFT(Database!RKH2,3)</f>
        <v/>
      </c>
      <c r="RJP2" t="str">
        <f>LEFT(Database!RKI2,3)</f>
        <v/>
      </c>
      <c r="RJQ2" t="str">
        <f>LEFT(Database!RKJ2,3)</f>
        <v/>
      </c>
      <c r="RJR2" t="str">
        <f>LEFT(Database!RKK2,3)</f>
        <v/>
      </c>
      <c r="RJS2" t="str">
        <f>LEFT(Database!RKL2,3)</f>
        <v/>
      </c>
      <c r="RJT2" t="str">
        <f>LEFT(Database!RKM2,3)</f>
        <v/>
      </c>
      <c r="RJU2" t="str">
        <f>LEFT(Database!RKN2,3)</f>
        <v/>
      </c>
      <c r="RJV2" t="str">
        <f>LEFT(Database!RKO2,3)</f>
        <v/>
      </c>
      <c r="RJW2" t="str">
        <f>LEFT(Database!RKP2,3)</f>
        <v/>
      </c>
      <c r="RJX2" t="str">
        <f>LEFT(Database!RKQ2,3)</f>
        <v/>
      </c>
      <c r="RJY2" t="str">
        <f>LEFT(Database!RKR2,3)</f>
        <v/>
      </c>
      <c r="RJZ2" t="str">
        <f>LEFT(Database!RKS2,3)</f>
        <v/>
      </c>
      <c r="RKA2" t="str">
        <f>LEFT(Database!RKT2,3)</f>
        <v/>
      </c>
      <c r="RKB2" t="str">
        <f>LEFT(Database!RKU2,3)</f>
        <v/>
      </c>
      <c r="RKC2" t="str">
        <f>LEFT(Database!RKV2,3)</f>
        <v/>
      </c>
      <c r="RKD2" t="str">
        <f>LEFT(Database!RKW2,3)</f>
        <v/>
      </c>
      <c r="RKE2" t="str">
        <f>LEFT(Database!RKX2,3)</f>
        <v/>
      </c>
      <c r="RKF2" t="str">
        <f>LEFT(Database!RKY2,3)</f>
        <v/>
      </c>
      <c r="RKG2" t="str">
        <f>LEFT(Database!RKZ2,3)</f>
        <v/>
      </c>
      <c r="RKH2" t="str">
        <f>LEFT(Database!RLA2,3)</f>
        <v/>
      </c>
      <c r="RKI2" t="str">
        <f>LEFT(Database!RLB2,3)</f>
        <v/>
      </c>
      <c r="RKJ2" t="str">
        <f>LEFT(Database!RLC2,3)</f>
        <v/>
      </c>
      <c r="RKK2" t="str">
        <f>LEFT(Database!RLD2,3)</f>
        <v/>
      </c>
      <c r="RKL2" t="str">
        <f>LEFT(Database!RLE2,3)</f>
        <v/>
      </c>
      <c r="RKM2" t="str">
        <f>LEFT(Database!RLF2,3)</f>
        <v/>
      </c>
      <c r="RKN2" t="str">
        <f>LEFT(Database!RLG2,3)</f>
        <v/>
      </c>
      <c r="RKO2" t="str">
        <f>LEFT(Database!RLH2,3)</f>
        <v/>
      </c>
      <c r="RKP2" t="str">
        <f>LEFT(Database!RLI2,3)</f>
        <v/>
      </c>
      <c r="RKQ2" t="str">
        <f>LEFT(Database!RLJ2,3)</f>
        <v/>
      </c>
      <c r="RKR2" t="str">
        <f>LEFT(Database!RLK2,3)</f>
        <v/>
      </c>
      <c r="RKS2" t="str">
        <f>LEFT(Database!RLL2,3)</f>
        <v/>
      </c>
      <c r="RKT2" t="str">
        <f>LEFT(Database!RLM2,3)</f>
        <v/>
      </c>
      <c r="RKU2" t="str">
        <f>LEFT(Database!RLN2,3)</f>
        <v/>
      </c>
      <c r="RKV2" t="str">
        <f>LEFT(Database!RLO2,3)</f>
        <v/>
      </c>
      <c r="RKW2" t="str">
        <f>LEFT(Database!RLP2,3)</f>
        <v/>
      </c>
      <c r="RKX2" t="str">
        <f>LEFT(Database!RLQ2,3)</f>
        <v/>
      </c>
      <c r="RKY2" t="str">
        <f>LEFT(Database!RLR2,3)</f>
        <v/>
      </c>
      <c r="RKZ2" t="str">
        <f>LEFT(Database!RLS2,3)</f>
        <v/>
      </c>
      <c r="RLA2" t="str">
        <f>LEFT(Database!RLT2,3)</f>
        <v/>
      </c>
      <c r="RLB2" t="str">
        <f>LEFT(Database!RLU2,3)</f>
        <v/>
      </c>
      <c r="RLC2" t="str">
        <f>LEFT(Database!RLV2,3)</f>
        <v/>
      </c>
      <c r="RLD2" t="str">
        <f>LEFT(Database!RLW2,3)</f>
        <v/>
      </c>
      <c r="RLE2" t="str">
        <f>LEFT(Database!RLX2,3)</f>
        <v/>
      </c>
      <c r="RLF2" t="str">
        <f>LEFT(Database!RLY2,3)</f>
        <v/>
      </c>
      <c r="RLG2" t="str">
        <f>LEFT(Database!RLZ2,3)</f>
        <v/>
      </c>
      <c r="RLH2" t="str">
        <f>LEFT(Database!RMA2,3)</f>
        <v/>
      </c>
      <c r="RLI2" t="str">
        <f>LEFT(Database!RMB2,3)</f>
        <v/>
      </c>
      <c r="RLJ2" t="str">
        <f>LEFT(Database!RMC2,3)</f>
        <v/>
      </c>
      <c r="RLK2" t="str">
        <f>LEFT(Database!RMD2,3)</f>
        <v/>
      </c>
      <c r="RLL2" t="str">
        <f>LEFT(Database!RME2,3)</f>
        <v/>
      </c>
      <c r="RLM2" t="str">
        <f>LEFT(Database!RMF2,3)</f>
        <v/>
      </c>
      <c r="RLN2" t="str">
        <f>LEFT(Database!RMG2,3)</f>
        <v/>
      </c>
      <c r="RLO2" t="str">
        <f>LEFT(Database!RMH2,3)</f>
        <v/>
      </c>
      <c r="RLP2" t="str">
        <f>LEFT(Database!RMI2,3)</f>
        <v/>
      </c>
      <c r="RLQ2" t="str">
        <f>LEFT(Database!RMJ2,3)</f>
        <v/>
      </c>
      <c r="RLR2" t="str">
        <f>LEFT(Database!RMK2,3)</f>
        <v/>
      </c>
      <c r="RLS2" t="str">
        <f>LEFT(Database!RML2,3)</f>
        <v/>
      </c>
      <c r="RLT2" t="str">
        <f>LEFT(Database!RMM2,3)</f>
        <v/>
      </c>
      <c r="RLU2" t="str">
        <f>LEFT(Database!RMN2,3)</f>
        <v/>
      </c>
      <c r="RLV2" t="str">
        <f>LEFT(Database!RMO2,3)</f>
        <v/>
      </c>
      <c r="RLW2" t="str">
        <f>LEFT(Database!RMP2,3)</f>
        <v/>
      </c>
      <c r="RLX2" t="str">
        <f>LEFT(Database!RMQ2,3)</f>
        <v/>
      </c>
      <c r="RLY2" t="str">
        <f>LEFT(Database!RMR2,3)</f>
        <v/>
      </c>
      <c r="RLZ2" t="str">
        <f>LEFT(Database!RMS2,3)</f>
        <v/>
      </c>
      <c r="RMA2" t="str">
        <f>LEFT(Database!RMT2,3)</f>
        <v/>
      </c>
      <c r="RMB2" t="str">
        <f>LEFT(Database!RMU2,3)</f>
        <v/>
      </c>
      <c r="RMC2" t="str">
        <f>LEFT(Database!RMV2,3)</f>
        <v/>
      </c>
      <c r="RMD2" t="str">
        <f>LEFT(Database!RMW2,3)</f>
        <v/>
      </c>
      <c r="RME2" t="str">
        <f>LEFT(Database!RMX2,3)</f>
        <v/>
      </c>
      <c r="RMF2" t="str">
        <f>LEFT(Database!RMY2,3)</f>
        <v/>
      </c>
      <c r="RMG2" t="str">
        <f>LEFT(Database!RMZ2,3)</f>
        <v/>
      </c>
      <c r="RMH2" t="str">
        <f>LEFT(Database!RNA2,3)</f>
        <v/>
      </c>
      <c r="RMI2" t="str">
        <f>LEFT(Database!RNB2,3)</f>
        <v/>
      </c>
      <c r="RMJ2" t="str">
        <f>LEFT(Database!RNC2,3)</f>
        <v/>
      </c>
      <c r="RMK2" t="str">
        <f>LEFT(Database!RND2,3)</f>
        <v/>
      </c>
      <c r="RML2" t="str">
        <f>LEFT(Database!RNE2,3)</f>
        <v/>
      </c>
      <c r="RMM2" t="str">
        <f>LEFT(Database!RNF2,3)</f>
        <v/>
      </c>
      <c r="RMN2" t="str">
        <f>LEFT(Database!RNG2,3)</f>
        <v/>
      </c>
      <c r="RMO2" t="str">
        <f>LEFT(Database!RNH2,3)</f>
        <v/>
      </c>
      <c r="RMP2" t="str">
        <f>LEFT(Database!RNI2,3)</f>
        <v/>
      </c>
      <c r="RMQ2" t="str">
        <f>LEFT(Database!RNJ2,3)</f>
        <v/>
      </c>
      <c r="RMR2" t="str">
        <f>LEFT(Database!RNK2,3)</f>
        <v/>
      </c>
      <c r="RMS2" t="str">
        <f>LEFT(Database!RNL2,3)</f>
        <v/>
      </c>
      <c r="RMT2" t="str">
        <f>LEFT(Database!RNM2,3)</f>
        <v/>
      </c>
      <c r="RMU2" t="str">
        <f>LEFT(Database!RNN2,3)</f>
        <v/>
      </c>
      <c r="RMV2" t="str">
        <f>LEFT(Database!RNO2,3)</f>
        <v/>
      </c>
      <c r="RMW2" t="str">
        <f>LEFT(Database!RNP2,3)</f>
        <v/>
      </c>
      <c r="RMX2" t="str">
        <f>LEFT(Database!RNQ2,3)</f>
        <v/>
      </c>
      <c r="RMY2" t="str">
        <f>LEFT(Database!RNR2,3)</f>
        <v/>
      </c>
      <c r="RMZ2" t="str">
        <f>LEFT(Database!RNS2,3)</f>
        <v/>
      </c>
      <c r="RNA2" t="str">
        <f>LEFT(Database!RNT2,3)</f>
        <v/>
      </c>
      <c r="RNB2" t="str">
        <f>LEFT(Database!RNU2,3)</f>
        <v/>
      </c>
      <c r="RNC2" t="str">
        <f>LEFT(Database!RNV2,3)</f>
        <v/>
      </c>
      <c r="RND2" t="str">
        <f>LEFT(Database!RNW2,3)</f>
        <v/>
      </c>
      <c r="RNE2" t="str">
        <f>LEFT(Database!RNX2,3)</f>
        <v/>
      </c>
      <c r="RNF2" t="str">
        <f>LEFT(Database!RNY2,3)</f>
        <v/>
      </c>
      <c r="RNG2" t="str">
        <f>LEFT(Database!RNZ2,3)</f>
        <v/>
      </c>
      <c r="RNH2" t="str">
        <f>LEFT(Database!ROA2,3)</f>
        <v/>
      </c>
      <c r="RNI2" t="str">
        <f>LEFT(Database!ROB2,3)</f>
        <v/>
      </c>
      <c r="RNJ2" t="str">
        <f>LEFT(Database!ROC2,3)</f>
        <v/>
      </c>
      <c r="RNK2" t="str">
        <f>LEFT(Database!ROD2,3)</f>
        <v/>
      </c>
      <c r="RNL2" t="str">
        <f>LEFT(Database!ROE2,3)</f>
        <v/>
      </c>
      <c r="RNM2" t="str">
        <f>LEFT(Database!ROF2,3)</f>
        <v/>
      </c>
      <c r="RNN2" t="str">
        <f>LEFT(Database!ROG2,3)</f>
        <v/>
      </c>
      <c r="RNO2" t="str">
        <f>LEFT(Database!ROH2,3)</f>
        <v/>
      </c>
      <c r="RNP2" t="str">
        <f>LEFT(Database!ROI2,3)</f>
        <v/>
      </c>
      <c r="RNQ2" t="str">
        <f>LEFT(Database!ROJ2,3)</f>
        <v/>
      </c>
      <c r="RNR2" t="str">
        <f>LEFT(Database!ROK2,3)</f>
        <v/>
      </c>
      <c r="RNS2" t="str">
        <f>LEFT(Database!ROL2,3)</f>
        <v/>
      </c>
      <c r="RNT2" t="str">
        <f>LEFT(Database!ROM2,3)</f>
        <v/>
      </c>
      <c r="RNU2" t="str">
        <f>LEFT(Database!RON2,3)</f>
        <v/>
      </c>
      <c r="RNV2" t="str">
        <f>LEFT(Database!ROO2,3)</f>
        <v/>
      </c>
      <c r="RNW2" t="str">
        <f>LEFT(Database!ROP2,3)</f>
        <v/>
      </c>
      <c r="RNX2" t="str">
        <f>LEFT(Database!ROQ2,3)</f>
        <v/>
      </c>
      <c r="RNY2" t="str">
        <f>LEFT(Database!ROR2,3)</f>
        <v/>
      </c>
      <c r="RNZ2" t="str">
        <f>LEFT(Database!ROS2,3)</f>
        <v/>
      </c>
      <c r="ROA2" t="str">
        <f>LEFT(Database!ROT2,3)</f>
        <v/>
      </c>
      <c r="ROB2" t="str">
        <f>LEFT(Database!ROU2,3)</f>
        <v/>
      </c>
      <c r="ROC2" t="str">
        <f>LEFT(Database!ROV2,3)</f>
        <v/>
      </c>
      <c r="ROD2" t="str">
        <f>LEFT(Database!ROW2,3)</f>
        <v/>
      </c>
      <c r="ROE2" t="str">
        <f>LEFT(Database!ROX2,3)</f>
        <v/>
      </c>
      <c r="ROF2" t="str">
        <f>LEFT(Database!ROY2,3)</f>
        <v/>
      </c>
      <c r="ROG2" t="str">
        <f>LEFT(Database!ROZ2,3)</f>
        <v/>
      </c>
      <c r="ROH2" t="str">
        <f>LEFT(Database!RPA2,3)</f>
        <v/>
      </c>
      <c r="ROI2" t="str">
        <f>LEFT(Database!RPB2,3)</f>
        <v/>
      </c>
      <c r="ROJ2" t="str">
        <f>LEFT(Database!RPC2,3)</f>
        <v/>
      </c>
      <c r="ROK2" t="str">
        <f>LEFT(Database!RPD2,3)</f>
        <v/>
      </c>
      <c r="ROL2" t="str">
        <f>LEFT(Database!RPE2,3)</f>
        <v/>
      </c>
      <c r="ROM2" t="str">
        <f>LEFT(Database!RPF2,3)</f>
        <v/>
      </c>
      <c r="RON2" t="str">
        <f>LEFT(Database!RPG2,3)</f>
        <v/>
      </c>
      <c r="ROO2" t="str">
        <f>LEFT(Database!RPH2,3)</f>
        <v/>
      </c>
      <c r="ROP2" t="str">
        <f>LEFT(Database!RPI2,3)</f>
        <v/>
      </c>
      <c r="ROQ2" t="str">
        <f>LEFT(Database!RPJ2,3)</f>
        <v/>
      </c>
      <c r="ROR2" t="str">
        <f>LEFT(Database!RPK2,3)</f>
        <v/>
      </c>
      <c r="ROS2" t="str">
        <f>LEFT(Database!RPL2,3)</f>
        <v/>
      </c>
      <c r="ROT2" t="str">
        <f>LEFT(Database!RPM2,3)</f>
        <v/>
      </c>
      <c r="ROU2" t="str">
        <f>LEFT(Database!RPN2,3)</f>
        <v/>
      </c>
      <c r="ROV2" t="str">
        <f>LEFT(Database!RPO2,3)</f>
        <v/>
      </c>
      <c r="ROW2" t="str">
        <f>LEFT(Database!RPP2,3)</f>
        <v/>
      </c>
      <c r="ROX2" t="str">
        <f>LEFT(Database!RPQ2,3)</f>
        <v/>
      </c>
      <c r="ROY2" t="str">
        <f>LEFT(Database!RPR2,3)</f>
        <v/>
      </c>
      <c r="ROZ2" t="str">
        <f>LEFT(Database!RPS2,3)</f>
        <v/>
      </c>
      <c r="RPA2" t="str">
        <f>LEFT(Database!RPT2,3)</f>
        <v/>
      </c>
      <c r="RPB2" t="str">
        <f>LEFT(Database!RPU2,3)</f>
        <v/>
      </c>
      <c r="RPC2" t="str">
        <f>LEFT(Database!RPV2,3)</f>
        <v/>
      </c>
      <c r="RPD2" t="str">
        <f>LEFT(Database!RPW2,3)</f>
        <v/>
      </c>
      <c r="RPE2" t="str">
        <f>LEFT(Database!RPX2,3)</f>
        <v/>
      </c>
      <c r="RPF2" t="str">
        <f>LEFT(Database!RPY2,3)</f>
        <v/>
      </c>
      <c r="RPG2" t="str">
        <f>LEFT(Database!RPZ2,3)</f>
        <v/>
      </c>
      <c r="RPH2" t="str">
        <f>LEFT(Database!RQA2,3)</f>
        <v/>
      </c>
      <c r="RPI2" t="str">
        <f>LEFT(Database!RQB2,3)</f>
        <v/>
      </c>
      <c r="RPJ2" t="str">
        <f>LEFT(Database!RQC2,3)</f>
        <v/>
      </c>
      <c r="RPK2" t="str">
        <f>LEFT(Database!RQD2,3)</f>
        <v/>
      </c>
      <c r="RPL2" t="str">
        <f>LEFT(Database!RQE2,3)</f>
        <v/>
      </c>
      <c r="RPM2" t="str">
        <f>LEFT(Database!RQF2,3)</f>
        <v/>
      </c>
      <c r="RPN2" t="str">
        <f>LEFT(Database!RQG2,3)</f>
        <v/>
      </c>
      <c r="RPO2" t="str">
        <f>LEFT(Database!RQH2,3)</f>
        <v/>
      </c>
      <c r="RPP2" t="str">
        <f>LEFT(Database!RQI2,3)</f>
        <v/>
      </c>
      <c r="RPQ2" t="str">
        <f>LEFT(Database!RQJ2,3)</f>
        <v/>
      </c>
      <c r="RPR2" t="str">
        <f>LEFT(Database!RQK2,3)</f>
        <v/>
      </c>
      <c r="RPS2" t="str">
        <f>LEFT(Database!RQL2,3)</f>
        <v/>
      </c>
      <c r="RPT2" t="str">
        <f>LEFT(Database!RQM2,3)</f>
        <v/>
      </c>
      <c r="RPU2" t="str">
        <f>LEFT(Database!RQN2,3)</f>
        <v/>
      </c>
      <c r="RPV2" t="str">
        <f>LEFT(Database!RQO2,3)</f>
        <v/>
      </c>
      <c r="RPW2" t="str">
        <f>LEFT(Database!RQP2,3)</f>
        <v/>
      </c>
      <c r="RPX2" t="str">
        <f>LEFT(Database!RQQ2,3)</f>
        <v/>
      </c>
      <c r="RPY2" t="str">
        <f>LEFT(Database!RQR2,3)</f>
        <v/>
      </c>
      <c r="RPZ2" t="str">
        <f>LEFT(Database!RQS2,3)</f>
        <v/>
      </c>
      <c r="RQA2" t="str">
        <f>LEFT(Database!RQT2,3)</f>
        <v/>
      </c>
      <c r="RQB2" t="str">
        <f>LEFT(Database!RQU2,3)</f>
        <v/>
      </c>
      <c r="RQC2" t="str">
        <f>LEFT(Database!RQV2,3)</f>
        <v/>
      </c>
      <c r="RQD2" t="str">
        <f>LEFT(Database!RQW2,3)</f>
        <v/>
      </c>
      <c r="RQE2" t="str">
        <f>LEFT(Database!RQX2,3)</f>
        <v/>
      </c>
      <c r="RQF2" t="str">
        <f>LEFT(Database!RQY2,3)</f>
        <v/>
      </c>
      <c r="RQG2" t="str">
        <f>LEFT(Database!RQZ2,3)</f>
        <v/>
      </c>
      <c r="RQH2" t="str">
        <f>LEFT(Database!RRA2,3)</f>
        <v/>
      </c>
      <c r="RQI2" t="str">
        <f>LEFT(Database!RRB2,3)</f>
        <v/>
      </c>
      <c r="RQJ2" t="str">
        <f>LEFT(Database!RRC2,3)</f>
        <v/>
      </c>
      <c r="RQK2" t="str">
        <f>LEFT(Database!RRD2,3)</f>
        <v/>
      </c>
      <c r="RQL2" t="str">
        <f>LEFT(Database!RRE2,3)</f>
        <v/>
      </c>
      <c r="RQM2" t="str">
        <f>LEFT(Database!RRF2,3)</f>
        <v/>
      </c>
      <c r="RQN2" t="str">
        <f>LEFT(Database!RRG2,3)</f>
        <v/>
      </c>
      <c r="RQO2" t="str">
        <f>LEFT(Database!RRH2,3)</f>
        <v/>
      </c>
      <c r="RQP2" t="str">
        <f>LEFT(Database!RRI2,3)</f>
        <v/>
      </c>
      <c r="RQQ2" t="str">
        <f>LEFT(Database!RRJ2,3)</f>
        <v/>
      </c>
      <c r="RQR2" t="str">
        <f>LEFT(Database!RRK2,3)</f>
        <v/>
      </c>
      <c r="RQS2" t="str">
        <f>LEFT(Database!RRL2,3)</f>
        <v/>
      </c>
      <c r="RQT2" t="str">
        <f>LEFT(Database!RRM2,3)</f>
        <v/>
      </c>
      <c r="RQU2" t="str">
        <f>LEFT(Database!RRN2,3)</f>
        <v/>
      </c>
      <c r="RQV2" t="str">
        <f>LEFT(Database!RRO2,3)</f>
        <v/>
      </c>
      <c r="RQW2" t="str">
        <f>LEFT(Database!RRP2,3)</f>
        <v/>
      </c>
      <c r="RQX2" t="str">
        <f>LEFT(Database!RRQ2,3)</f>
        <v/>
      </c>
      <c r="RQY2" t="str">
        <f>LEFT(Database!RRR2,3)</f>
        <v/>
      </c>
      <c r="RQZ2" t="str">
        <f>LEFT(Database!RRS2,3)</f>
        <v/>
      </c>
      <c r="RRA2" t="str">
        <f>LEFT(Database!RRT2,3)</f>
        <v/>
      </c>
      <c r="RRB2" t="str">
        <f>LEFT(Database!RRU2,3)</f>
        <v/>
      </c>
      <c r="RRC2" t="str">
        <f>LEFT(Database!RRV2,3)</f>
        <v/>
      </c>
      <c r="RRD2" t="str">
        <f>LEFT(Database!RRW2,3)</f>
        <v/>
      </c>
      <c r="RRE2" t="str">
        <f>LEFT(Database!RRX2,3)</f>
        <v/>
      </c>
      <c r="RRF2" t="str">
        <f>LEFT(Database!RRY2,3)</f>
        <v/>
      </c>
      <c r="RRG2" t="str">
        <f>LEFT(Database!RRZ2,3)</f>
        <v/>
      </c>
      <c r="RRH2" t="str">
        <f>LEFT(Database!RSA2,3)</f>
        <v/>
      </c>
      <c r="RRI2" t="str">
        <f>LEFT(Database!RSB2,3)</f>
        <v/>
      </c>
      <c r="RRJ2" t="str">
        <f>LEFT(Database!RSC2,3)</f>
        <v/>
      </c>
      <c r="RRK2" t="str">
        <f>LEFT(Database!RSD2,3)</f>
        <v/>
      </c>
      <c r="RRL2" t="str">
        <f>LEFT(Database!RSE2,3)</f>
        <v/>
      </c>
      <c r="RRM2" t="str">
        <f>LEFT(Database!RSF2,3)</f>
        <v/>
      </c>
      <c r="RRN2" t="str">
        <f>LEFT(Database!RSG2,3)</f>
        <v/>
      </c>
      <c r="RRO2" t="str">
        <f>LEFT(Database!RSH2,3)</f>
        <v/>
      </c>
      <c r="RRP2" t="str">
        <f>LEFT(Database!RSI2,3)</f>
        <v/>
      </c>
      <c r="RRQ2" t="str">
        <f>LEFT(Database!RSJ2,3)</f>
        <v/>
      </c>
      <c r="RRR2" t="str">
        <f>LEFT(Database!RSK2,3)</f>
        <v/>
      </c>
      <c r="RRS2" t="str">
        <f>LEFT(Database!RSL2,3)</f>
        <v/>
      </c>
      <c r="RRT2" t="str">
        <f>LEFT(Database!RSM2,3)</f>
        <v/>
      </c>
      <c r="RRU2" t="str">
        <f>LEFT(Database!RSN2,3)</f>
        <v/>
      </c>
      <c r="RRV2" t="str">
        <f>LEFT(Database!RSO2,3)</f>
        <v/>
      </c>
      <c r="RRW2" t="str">
        <f>LEFT(Database!RSP2,3)</f>
        <v/>
      </c>
      <c r="RRX2" t="str">
        <f>LEFT(Database!RSQ2,3)</f>
        <v/>
      </c>
      <c r="RRY2" t="str">
        <f>LEFT(Database!RSR2,3)</f>
        <v/>
      </c>
      <c r="RRZ2" t="str">
        <f>LEFT(Database!RSS2,3)</f>
        <v/>
      </c>
      <c r="RSA2" t="str">
        <f>LEFT(Database!RST2,3)</f>
        <v/>
      </c>
      <c r="RSB2" t="str">
        <f>LEFT(Database!RSU2,3)</f>
        <v/>
      </c>
      <c r="RSC2" t="str">
        <f>LEFT(Database!RSV2,3)</f>
        <v/>
      </c>
      <c r="RSD2" t="str">
        <f>LEFT(Database!RSW2,3)</f>
        <v/>
      </c>
      <c r="RSE2" t="str">
        <f>LEFT(Database!RSX2,3)</f>
        <v/>
      </c>
      <c r="RSF2" t="str">
        <f>LEFT(Database!RSY2,3)</f>
        <v/>
      </c>
      <c r="RSG2" t="str">
        <f>LEFT(Database!RSZ2,3)</f>
        <v/>
      </c>
      <c r="RSH2" t="str">
        <f>LEFT(Database!RTA2,3)</f>
        <v/>
      </c>
      <c r="RSI2" t="str">
        <f>LEFT(Database!RTB2,3)</f>
        <v/>
      </c>
      <c r="RSJ2" t="str">
        <f>LEFT(Database!RTC2,3)</f>
        <v/>
      </c>
      <c r="RSK2" t="str">
        <f>LEFT(Database!RTD2,3)</f>
        <v/>
      </c>
      <c r="RSL2" t="str">
        <f>LEFT(Database!RTE2,3)</f>
        <v/>
      </c>
      <c r="RSM2" t="str">
        <f>LEFT(Database!RTF2,3)</f>
        <v/>
      </c>
      <c r="RSN2" t="str">
        <f>LEFT(Database!RTG2,3)</f>
        <v/>
      </c>
      <c r="RSO2" t="str">
        <f>LEFT(Database!RTH2,3)</f>
        <v/>
      </c>
      <c r="RSP2" t="str">
        <f>LEFT(Database!RTI2,3)</f>
        <v/>
      </c>
      <c r="RSQ2" t="str">
        <f>LEFT(Database!RTJ2,3)</f>
        <v/>
      </c>
      <c r="RSR2" t="str">
        <f>LEFT(Database!RTK2,3)</f>
        <v/>
      </c>
      <c r="RSS2" t="str">
        <f>LEFT(Database!RTL2,3)</f>
        <v/>
      </c>
      <c r="RST2" t="str">
        <f>LEFT(Database!RTM2,3)</f>
        <v/>
      </c>
      <c r="RSU2" t="str">
        <f>LEFT(Database!RTN2,3)</f>
        <v/>
      </c>
      <c r="RSV2" t="str">
        <f>LEFT(Database!RTO2,3)</f>
        <v/>
      </c>
      <c r="RSW2" t="str">
        <f>LEFT(Database!RTP2,3)</f>
        <v/>
      </c>
      <c r="RSX2" t="str">
        <f>LEFT(Database!RTQ2,3)</f>
        <v/>
      </c>
      <c r="RSY2" t="str">
        <f>LEFT(Database!RTR2,3)</f>
        <v/>
      </c>
      <c r="RSZ2" t="str">
        <f>LEFT(Database!RTS2,3)</f>
        <v/>
      </c>
      <c r="RTA2" t="str">
        <f>LEFT(Database!RTT2,3)</f>
        <v/>
      </c>
      <c r="RTB2" t="str">
        <f>LEFT(Database!RTU2,3)</f>
        <v/>
      </c>
      <c r="RTC2" t="str">
        <f>LEFT(Database!RTV2,3)</f>
        <v/>
      </c>
      <c r="RTD2" t="str">
        <f>LEFT(Database!RTW2,3)</f>
        <v/>
      </c>
      <c r="RTE2" t="str">
        <f>LEFT(Database!RTX2,3)</f>
        <v/>
      </c>
      <c r="RTF2" t="str">
        <f>LEFT(Database!RTY2,3)</f>
        <v/>
      </c>
      <c r="RTG2" t="str">
        <f>LEFT(Database!RTZ2,3)</f>
        <v/>
      </c>
      <c r="RTH2" t="str">
        <f>LEFT(Database!RUA2,3)</f>
        <v/>
      </c>
      <c r="RTI2" t="str">
        <f>LEFT(Database!RUB2,3)</f>
        <v/>
      </c>
      <c r="RTJ2" t="str">
        <f>LEFT(Database!RUC2,3)</f>
        <v/>
      </c>
      <c r="RTK2" t="str">
        <f>LEFT(Database!RUD2,3)</f>
        <v/>
      </c>
      <c r="RTL2" t="str">
        <f>LEFT(Database!RUE2,3)</f>
        <v/>
      </c>
      <c r="RTM2" t="str">
        <f>LEFT(Database!RUF2,3)</f>
        <v/>
      </c>
      <c r="RTN2" t="str">
        <f>LEFT(Database!RUG2,3)</f>
        <v/>
      </c>
      <c r="RTO2" t="str">
        <f>LEFT(Database!RUH2,3)</f>
        <v/>
      </c>
      <c r="RTP2" t="str">
        <f>LEFT(Database!RUI2,3)</f>
        <v/>
      </c>
      <c r="RTQ2" t="str">
        <f>LEFT(Database!RUJ2,3)</f>
        <v/>
      </c>
      <c r="RTR2" t="str">
        <f>LEFT(Database!RUK2,3)</f>
        <v/>
      </c>
      <c r="RTS2" t="str">
        <f>LEFT(Database!RUL2,3)</f>
        <v/>
      </c>
      <c r="RTT2" t="str">
        <f>LEFT(Database!RUM2,3)</f>
        <v/>
      </c>
      <c r="RTU2" t="str">
        <f>LEFT(Database!RUN2,3)</f>
        <v/>
      </c>
      <c r="RTV2" t="str">
        <f>LEFT(Database!RUO2,3)</f>
        <v/>
      </c>
      <c r="RTW2" t="str">
        <f>LEFT(Database!RUP2,3)</f>
        <v/>
      </c>
      <c r="RTX2" t="str">
        <f>LEFT(Database!RUQ2,3)</f>
        <v/>
      </c>
      <c r="RTY2" t="str">
        <f>LEFT(Database!RUR2,3)</f>
        <v/>
      </c>
      <c r="RTZ2" t="str">
        <f>LEFT(Database!RUS2,3)</f>
        <v/>
      </c>
      <c r="RUA2" t="str">
        <f>LEFT(Database!RUT2,3)</f>
        <v/>
      </c>
      <c r="RUB2" t="str">
        <f>LEFT(Database!RUU2,3)</f>
        <v/>
      </c>
      <c r="RUC2" t="str">
        <f>LEFT(Database!RUV2,3)</f>
        <v/>
      </c>
      <c r="RUD2" t="str">
        <f>LEFT(Database!RUW2,3)</f>
        <v/>
      </c>
      <c r="RUE2" t="str">
        <f>LEFT(Database!RUX2,3)</f>
        <v/>
      </c>
      <c r="RUF2" t="str">
        <f>LEFT(Database!RUY2,3)</f>
        <v/>
      </c>
      <c r="RUG2" t="str">
        <f>LEFT(Database!RUZ2,3)</f>
        <v/>
      </c>
      <c r="RUH2" t="str">
        <f>LEFT(Database!RVA2,3)</f>
        <v/>
      </c>
      <c r="RUI2" t="str">
        <f>LEFT(Database!RVB2,3)</f>
        <v/>
      </c>
      <c r="RUJ2" t="str">
        <f>LEFT(Database!RVC2,3)</f>
        <v/>
      </c>
      <c r="RUK2" t="str">
        <f>LEFT(Database!RVD2,3)</f>
        <v/>
      </c>
      <c r="RUL2" t="str">
        <f>LEFT(Database!RVE2,3)</f>
        <v/>
      </c>
      <c r="RUM2" t="str">
        <f>LEFT(Database!RVF2,3)</f>
        <v/>
      </c>
      <c r="RUN2" t="str">
        <f>LEFT(Database!RVG2,3)</f>
        <v/>
      </c>
      <c r="RUO2" t="str">
        <f>LEFT(Database!RVH2,3)</f>
        <v/>
      </c>
      <c r="RUP2" t="str">
        <f>LEFT(Database!RVI2,3)</f>
        <v/>
      </c>
      <c r="RUQ2" t="str">
        <f>LEFT(Database!RVJ2,3)</f>
        <v/>
      </c>
      <c r="RUR2" t="str">
        <f>LEFT(Database!RVK2,3)</f>
        <v/>
      </c>
      <c r="RUS2" t="str">
        <f>LEFT(Database!RVL2,3)</f>
        <v/>
      </c>
      <c r="RUT2" t="str">
        <f>LEFT(Database!RVM2,3)</f>
        <v/>
      </c>
      <c r="RUU2" t="str">
        <f>LEFT(Database!RVN2,3)</f>
        <v/>
      </c>
      <c r="RUV2" t="str">
        <f>LEFT(Database!RVO2,3)</f>
        <v/>
      </c>
      <c r="RUW2" t="str">
        <f>LEFT(Database!RVP2,3)</f>
        <v/>
      </c>
      <c r="RUX2" t="str">
        <f>LEFT(Database!RVQ2,3)</f>
        <v/>
      </c>
      <c r="RUY2" t="str">
        <f>LEFT(Database!RVR2,3)</f>
        <v/>
      </c>
      <c r="RUZ2" t="str">
        <f>LEFT(Database!RVS2,3)</f>
        <v/>
      </c>
      <c r="RVA2" t="str">
        <f>LEFT(Database!RVT2,3)</f>
        <v/>
      </c>
      <c r="RVB2" t="str">
        <f>LEFT(Database!RVU2,3)</f>
        <v/>
      </c>
      <c r="RVC2" t="str">
        <f>LEFT(Database!RVV2,3)</f>
        <v/>
      </c>
      <c r="RVD2" t="str">
        <f>LEFT(Database!RVW2,3)</f>
        <v/>
      </c>
      <c r="RVE2" t="str">
        <f>LEFT(Database!RVX2,3)</f>
        <v/>
      </c>
      <c r="RVF2" t="str">
        <f>LEFT(Database!RVY2,3)</f>
        <v/>
      </c>
      <c r="RVG2" t="str">
        <f>LEFT(Database!RVZ2,3)</f>
        <v/>
      </c>
      <c r="RVH2" t="str">
        <f>LEFT(Database!RWA2,3)</f>
        <v/>
      </c>
      <c r="RVI2" t="str">
        <f>LEFT(Database!RWB2,3)</f>
        <v/>
      </c>
      <c r="RVJ2" t="str">
        <f>LEFT(Database!RWC2,3)</f>
        <v/>
      </c>
      <c r="RVK2" t="str">
        <f>LEFT(Database!RWD2,3)</f>
        <v/>
      </c>
      <c r="RVL2" t="str">
        <f>LEFT(Database!RWE2,3)</f>
        <v/>
      </c>
      <c r="RVM2" t="str">
        <f>LEFT(Database!RWF2,3)</f>
        <v/>
      </c>
      <c r="RVN2" t="str">
        <f>LEFT(Database!RWG2,3)</f>
        <v/>
      </c>
      <c r="RVO2" t="str">
        <f>LEFT(Database!RWH2,3)</f>
        <v/>
      </c>
      <c r="RVP2" t="str">
        <f>LEFT(Database!RWI2,3)</f>
        <v/>
      </c>
      <c r="RVQ2" t="str">
        <f>LEFT(Database!RWJ2,3)</f>
        <v/>
      </c>
      <c r="RVR2" t="str">
        <f>LEFT(Database!RWK2,3)</f>
        <v/>
      </c>
      <c r="RVS2" t="str">
        <f>LEFT(Database!RWL2,3)</f>
        <v/>
      </c>
      <c r="RVT2" t="str">
        <f>LEFT(Database!RWM2,3)</f>
        <v/>
      </c>
      <c r="RVU2" t="str">
        <f>LEFT(Database!RWN2,3)</f>
        <v/>
      </c>
      <c r="RVV2" t="str">
        <f>LEFT(Database!RWO2,3)</f>
        <v/>
      </c>
      <c r="RVW2" t="str">
        <f>LEFT(Database!RWP2,3)</f>
        <v/>
      </c>
      <c r="RVX2" t="str">
        <f>LEFT(Database!RWQ2,3)</f>
        <v/>
      </c>
      <c r="RVY2" t="str">
        <f>LEFT(Database!RWR2,3)</f>
        <v/>
      </c>
      <c r="RVZ2" t="str">
        <f>LEFT(Database!RWS2,3)</f>
        <v/>
      </c>
      <c r="RWA2" t="str">
        <f>LEFT(Database!RWT2,3)</f>
        <v/>
      </c>
      <c r="RWB2" t="str">
        <f>LEFT(Database!RWU2,3)</f>
        <v/>
      </c>
      <c r="RWC2" t="str">
        <f>LEFT(Database!RWV2,3)</f>
        <v/>
      </c>
      <c r="RWD2" t="str">
        <f>LEFT(Database!RWW2,3)</f>
        <v/>
      </c>
      <c r="RWE2" t="str">
        <f>LEFT(Database!RWX2,3)</f>
        <v/>
      </c>
      <c r="RWF2" t="str">
        <f>LEFT(Database!RWY2,3)</f>
        <v/>
      </c>
      <c r="RWG2" t="str">
        <f>LEFT(Database!RWZ2,3)</f>
        <v/>
      </c>
      <c r="RWH2" t="str">
        <f>LEFT(Database!RXA2,3)</f>
        <v/>
      </c>
      <c r="RWI2" t="str">
        <f>LEFT(Database!RXB2,3)</f>
        <v/>
      </c>
      <c r="RWJ2" t="str">
        <f>LEFT(Database!RXC2,3)</f>
        <v/>
      </c>
      <c r="RWK2" t="str">
        <f>LEFT(Database!RXD2,3)</f>
        <v/>
      </c>
      <c r="RWL2" t="str">
        <f>LEFT(Database!RXE2,3)</f>
        <v/>
      </c>
      <c r="RWM2" t="str">
        <f>LEFT(Database!RXF2,3)</f>
        <v/>
      </c>
      <c r="RWN2" t="str">
        <f>LEFT(Database!RXG2,3)</f>
        <v/>
      </c>
      <c r="RWO2" t="str">
        <f>LEFT(Database!RXH2,3)</f>
        <v/>
      </c>
      <c r="RWP2" t="str">
        <f>LEFT(Database!RXI2,3)</f>
        <v/>
      </c>
      <c r="RWQ2" t="str">
        <f>LEFT(Database!RXJ2,3)</f>
        <v/>
      </c>
      <c r="RWR2" t="str">
        <f>LEFT(Database!RXK2,3)</f>
        <v/>
      </c>
      <c r="RWS2" t="str">
        <f>LEFT(Database!RXL2,3)</f>
        <v/>
      </c>
      <c r="RWT2" t="str">
        <f>LEFT(Database!RXM2,3)</f>
        <v/>
      </c>
      <c r="RWU2" t="str">
        <f>LEFT(Database!RXN2,3)</f>
        <v/>
      </c>
      <c r="RWV2" t="str">
        <f>LEFT(Database!RXO2,3)</f>
        <v/>
      </c>
      <c r="RWW2" t="str">
        <f>LEFT(Database!RXP2,3)</f>
        <v/>
      </c>
      <c r="RWX2" t="str">
        <f>LEFT(Database!RXQ2,3)</f>
        <v/>
      </c>
      <c r="RWY2" t="str">
        <f>LEFT(Database!RXR2,3)</f>
        <v/>
      </c>
      <c r="RWZ2" t="str">
        <f>LEFT(Database!RXS2,3)</f>
        <v/>
      </c>
      <c r="RXA2" t="str">
        <f>LEFT(Database!RXT2,3)</f>
        <v/>
      </c>
      <c r="RXB2" t="str">
        <f>LEFT(Database!RXU2,3)</f>
        <v/>
      </c>
      <c r="RXC2" t="str">
        <f>LEFT(Database!RXV2,3)</f>
        <v/>
      </c>
      <c r="RXD2" t="str">
        <f>LEFT(Database!RXW2,3)</f>
        <v/>
      </c>
      <c r="RXE2" t="str">
        <f>LEFT(Database!RXX2,3)</f>
        <v/>
      </c>
      <c r="RXF2" t="str">
        <f>LEFT(Database!RXY2,3)</f>
        <v/>
      </c>
      <c r="RXG2" t="str">
        <f>LEFT(Database!RXZ2,3)</f>
        <v/>
      </c>
      <c r="RXH2" t="str">
        <f>LEFT(Database!RYA2,3)</f>
        <v/>
      </c>
      <c r="RXI2" t="str">
        <f>LEFT(Database!RYB2,3)</f>
        <v/>
      </c>
      <c r="RXJ2" t="str">
        <f>LEFT(Database!RYC2,3)</f>
        <v/>
      </c>
      <c r="RXK2" t="str">
        <f>LEFT(Database!RYD2,3)</f>
        <v/>
      </c>
      <c r="RXL2" t="str">
        <f>LEFT(Database!RYE2,3)</f>
        <v/>
      </c>
      <c r="RXM2" t="str">
        <f>LEFT(Database!RYF2,3)</f>
        <v/>
      </c>
      <c r="RXN2" t="str">
        <f>LEFT(Database!RYG2,3)</f>
        <v/>
      </c>
      <c r="RXO2" t="str">
        <f>LEFT(Database!RYH2,3)</f>
        <v/>
      </c>
      <c r="RXP2" t="str">
        <f>LEFT(Database!RYI2,3)</f>
        <v/>
      </c>
      <c r="RXQ2" t="str">
        <f>LEFT(Database!RYJ2,3)</f>
        <v/>
      </c>
      <c r="RXR2" t="str">
        <f>LEFT(Database!RYK2,3)</f>
        <v/>
      </c>
      <c r="RXS2" t="str">
        <f>LEFT(Database!RYL2,3)</f>
        <v/>
      </c>
      <c r="RXT2" t="str">
        <f>LEFT(Database!RYM2,3)</f>
        <v/>
      </c>
      <c r="RXU2" t="str">
        <f>LEFT(Database!RYN2,3)</f>
        <v/>
      </c>
      <c r="RXV2" t="str">
        <f>LEFT(Database!RYO2,3)</f>
        <v/>
      </c>
      <c r="RXW2" t="str">
        <f>LEFT(Database!RYP2,3)</f>
        <v/>
      </c>
      <c r="RXX2" t="str">
        <f>LEFT(Database!RYQ2,3)</f>
        <v/>
      </c>
      <c r="RXY2" t="str">
        <f>LEFT(Database!RYR2,3)</f>
        <v/>
      </c>
      <c r="RXZ2" t="str">
        <f>LEFT(Database!RYS2,3)</f>
        <v/>
      </c>
      <c r="RYA2" t="str">
        <f>LEFT(Database!RYT2,3)</f>
        <v/>
      </c>
      <c r="RYB2" t="str">
        <f>LEFT(Database!RYU2,3)</f>
        <v/>
      </c>
      <c r="RYC2" t="str">
        <f>LEFT(Database!RYV2,3)</f>
        <v/>
      </c>
      <c r="RYD2" t="str">
        <f>LEFT(Database!RYW2,3)</f>
        <v/>
      </c>
      <c r="RYE2" t="str">
        <f>LEFT(Database!RYX2,3)</f>
        <v/>
      </c>
      <c r="RYF2" t="str">
        <f>LEFT(Database!RYY2,3)</f>
        <v/>
      </c>
      <c r="RYG2" t="str">
        <f>LEFT(Database!RYZ2,3)</f>
        <v/>
      </c>
      <c r="RYH2" t="str">
        <f>LEFT(Database!RZA2,3)</f>
        <v/>
      </c>
      <c r="RYI2" t="str">
        <f>LEFT(Database!RZB2,3)</f>
        <v/>
      </c>
      <c r="RYJ2" t="str">
        <f>LEFT(Database!RZC2,3)</f>
        <v/>
      </c>
      <c r="RYK2" t="str">
        <f>LEFT(Database!RZD2,3)</f>
        <v/>
      </c>
      <c r="RYL2" t="str">
        <f>LEFT(Database!RZE2,3)</f>
        <v/>
      </c>
      <c r="RYM2" t="str">
        <f>LEFT(Database!RZF2,3)</f>
        <v/>
      </c>
      <c r="RYN2" t="str">
        <f>LEFT(Database!RZG2,3)</f>
        <v/>
      </c>
      <c r="RYO2" t="str">
        <f>LEFT(Database!RZH2,3)</f>
        <v/>
      </c>
      <c r="RYP2" t="str">
        <f>LEFT(Database!RZI2,3)</f>
        <v/>
      </c>
      <c r="RYQ2" t="str">
        <f>LEFT(Database!RZJ2,3)</f>
        <v/>
      </c>
      <c r="RYR2" t="str">
        <f>LEFT(Database!RZK2,3)</f>
        <v/>
      </c>
      <c r="RYS2" t="str">
        <f>LEFT(Database!RZL2,3)</f>
        <v/>
      </c>
      <c r="RYT2" t="str">
        <f>LEFT(Database!RZM2,3)</f>
        <v/>
      </c>
      <c r="RYU2" t="str">
        <f>LEFT(Database!RZN2,3)</f>
        <v/>
      </c>
      <c r="RYV2" t="str">
        <f>LEFT(Database!RZO2,3)</f>
        <v/>
      </c>
      <c r="RYW2" t="str">
        <f>LEFT(Database!RZP2,3)</f>
        <v/>
      </c>
      <c r="RYX2" t="str">
        <f>LEFT(Database!RZQ2,3)</f>
        <v/>
      </c>
      <c r="RYY2" t="str">
        <f>LEFT(Database!RZR2,3)</f>
        <v/>
      </c>
      <c r="RYZ2" t="str">
        <f>LEFT(Database!RZS2,3)</f>
        <v/>
      </c>
      <c r="RZA2" t="str">
        <f>LEFT(Database!RZT2,3)</f>
        <v/>
      </c>
      <c r="RZB2" t="str">
        <f>LEFT(Database!RZU2,3)</f>
        <v/>
      </c>
      <c r="RZC2" t="str">
        <f>LEFT(Database!RZV2,3)</f>
        <v/>
      </c>
      <c r="RZD2" t="str">
        <f>LEFT(Database!RZW2,3)</f>
        <v/>
      </c>
      <c r="RZE2" t="str">
        <f>LEFT(Database!RZX2,3)</f>
        <v/>
      </c>
      <c r="RZF2" t="str">
        <f>LEFT(Database!RZY2,3)</f>
        <v/>
      </c>
      <c r="RZG2" t="str">
        <f>LEFT(Database!RZZ2,3)</f>
        <v/>
      </c>
      <c r="RZH2" t="str">
        <f>LEFT(Database!SAA2,3)</f>
        <v/>
      </c>
      <c r="RZI2" t="str">
        <f>LEFT(Database!SAB2,3)</f>
        <v/>
      </c>
      <c r="RZJ2" t="str">
        <f>LEFT(Database!SAC2,3)</f>
        <v/>
      </c>
      <c r="RZK2" t="str">
        <f>LEFT(Database!SAD2,3)</f>
        <v/>
      </c>
      <c r="RZL2" t="str">
        <f>LEFT(Database!SAE2,3)</f>
        <v/>
      </c>
      <c r="RZM2" t="str">
        <f>LEFT(Database!SAF2,3)</f>
        <v/>
      </c>
      <c r="RZN2" t="str">
        <f>LEFT(Database!SAG2,3)</f>
        <v/>
      </c>
      <c r="RZO2" t="str">
        <f>LEFT(Database!SAH2,3)</f>
        <v/>
      </c>
      <c r="RZP2" t="str">
        <f>LEFT(Database!SAI2,3)</f>
        <v/>
      </c>
      <c r="RZQ2" t="str">
        <f>LEFT(Database!SAJ2,3)</f>
        <v/>
      </c>
      <c r="RZR2" t="str">
        <f>LEFT(Database!SAK2,3)</f>
        <v/>
      </c>
      <c r="RZS2" t="str">
        <f>LEFT(Database!SAL2,3)</f>
        <v/>
      </c>
      <c r="RZT2" t="str">
        <f>LEFT(Database!SAM2,3)</f>
        <v/>
      </c>
      <c r="RZU2" t="str">
        <f>LEFT(Database!SAN2,3)</f>
        <v/>
      </c>
      <c r="RZV2" t="str">
        <f>LEFT(Database!SAO2,3)</f>
        <v/>
      </c>
      <c r="RZW2" t="str">
        <f>LEFT(Database!SAP2,3)</f>
        <v/>
      </c>
      <c r="RZX2" t="str">
        <f>LEFT(Database!SAQ2,3)</f>
        <v/>
      </c>
      <c r="RZY2" t="str">
        <f>LEFT(Database!SAR2,3)</f>
        <v/>
      </c>
      <c r="RZZ2" t="str">
        <f>LEFT(Database!SAS2,3)</f>
        <v/>
      </c>
      <c r="SAA2" t="str">
        <f>LEFT(Database!SAT2,3)</f>
        <v/>
      </c>
      <c r="SAB2" t="str">
        <f>LEFT(Database!SAU2,3)</f>
        <v/>
      </c>
      <c r="SAC2" t="str">
        <f>LEFT(Database!SAV2,3)</f>
        <v/>
      </c>
      <c r="SAD2" t="str">
        <f>LEFT(Database!SAW2,3)</f>
        <v/>
      </c>
      <c r="SAE2" t="str">
        <f>LEFT(Database!SAX2,3)</f>
        <v/>
      </c>
      <c r="SAF2" t="str">
        <f>LEFT(Database!SAY2,3)</f>
        <v/>
      </c>
      <c r="SAG2" t="str">
        <f>LEFT(Database!SAZ2,3)</f>
        <v/>
      </c>
      <c r="SAH2" t="str">
        <f>LEFT(Database!SBA2,3)</f>
        <v/>
      </c>
      <c r="SAI2" t="str">
        <f>LEFT(Database!SBB2,3)</f>
        <v/>
      </c>
      <c r="SAJ2" t="str">
        <f>LEFT(Database!SBC2,3)</f>
        <v/>
      </c>
      <c r="SAK2" t="str">
        <f>LEFT(Database!SBD2,3)</f>
        <v/>
      </c>
      <c r="SAL2" t="str">
        <f>LEFT(Database!SBE2,3)</f>
        <v/>
      </c>
      <c r="SAM2" t="str">
        <f>LEFT(Database!SBF2,3)</f>
        <v/>
      </c>
      <c r="SAN2" t="str">
        <f>LEFT(Database!SBG2,3)</f>
        <v/>
      </c>
      <c r="SAO2" t="str">
        <f>LEFT(Database!SBH2,3)</f>
        <v/>
      </c>
      <c r="SAP2" t="str">
        <f>LEFT(Database!SBI2,3)</f>
        <v/>
      </c>
      <c r="SAQ2" t="str">
        <f>LEFT(Database!SBJ2,3)</f>
        <v/>
      </c>
      <c r="SAR2" t="str">
        <f>LEFT(Database!SBK2,3)</f>
        <v/>
      </c>
      <c r="SAS2" t="str">
        <f>LEFT(Database!SBL2,3)</f>
        <v/>
      </c>
      <c r="SAT2" t="str">
        <f>LEFT(Database!SBM2,3)</f>
        <v/>
      </c>
      <c r="SAU2" t="str">
        <f>LEFT(Database!SBN2,3)</f>
        <v/>
      </c>
      <c r="SAV2" t="str">
        <f>LEFT(Database!SBO2,3)</f>
        <v/>
      </c>
      <c r="SAW2" t="str">
        <f>LEFT(Database!SBP2,3)</f>
        <v/>
      </c>
      <c r="SAX2" t="str">
        <f>LEFT(Database!SBQ2,3)</f>
        <v/>
      </c>
      <c r="SAY2" t="str">
        <f>LEFT(Database!SBR2,3)</f>
        <v/>
      </c>
      <c r="SAZ2" t="str">
        <f>LEFT(Database!SBS2,3)</f>
        <v/>
      </c>
      <c r="SBA2" t="str">
        <f>LEFT(Database!SBT2,3)</f>
        <v/>
      </c>
      <c r="SBB2" t="str">
        <f>LEFT(Database!SBU2,3)</f>
        <v/>
      </c>
      <c r="SBC2" t="str">
        <f>LEFT(Database!SBV2,3)</f>
        <v/>
      </c>
      <c r="SBD2" t="str">
        <f>LEFT(Database!SBW2,3)</f>
        <v/>
      </c>
      <c r="SBE2" t="str">
        <f>LEFT(Database!SBX2,3)</f>
        <v/>
      </c>
      <c r="SBF2" t="str">
        <f>LEFT(Database!SBY2,3)</f>
        <v/>
      </c>
      <c r="SBG2" t="str">
        <f>LEFT(Database!SBZ2,3)</f>
        <v/>
      </c>
      <c r="SBH2" t="str">
        <f>LEFT(Database!SCA2,3)</f>
        <v/>
      </c>
      <c r="SBI2" t="str">
        <f>LEFT(Database!SCB2,3)</f>
        <v/>
      </c>
      <c r="SBJ2" t="str">
        <f>LEFT(Database!SCC2,3)</f>
        <v/>
      </c>
      <c r="SBK2" t="str">
        <f>LEFT(Database!SCD2,3)</f>
        <v/>
      </c>
      <c r="SBL2" t="str">
        <f>LEFT(Database!SCE2,3)</f>
        <v/>
      </c>
      <c r="SBM2" t="str">
        <f>LEFT(Database!SCF2,3)</f>
        <v/>
      </c>
      <c r="SBN2" t="str">
        <f>LEFT(Database!SCG2,3)</f>
        <v/>
      </c>
      <c r="SBO2" t="str">
        <f>LEFT(Database!SCH2,3)</f>
        <v/>
      </c>
      <c r="SBP2" t="str">
        <f>LEFT(Database!SCI2,3)</f>
        <v/>
      </c>
      <c r="SBQ2" t="str">
        <f>LEFT(Database!SCJ2,3)</f>
        <v/>
      </c>
      <c r="SBR2" t="str">
        <f>LEFT(Database!SCK2,3)</f>
        <v/>
      </c>
      <c r="SBS2" t="str">
        <f>LEFT(Database!SCL2,3)</f>
        <v/>
      </c>
      <c r="SBT2" t="str">
        <f>LEFT(Database!SCM2,3)</f>
        <v/>
      </c>
      <c r="SBU2" t="str">
        <f>LEFT(Database!SCN2,3)</f>
        <v/>
      </c>
      <c r="SBV2" t="str">
        <f>LEFT(Database!SCO2,3)</f>
        <v/>
      </c>
      <c r="SBW2" t="str">
        <f>LEFT(Database!SCP2,3)</f>
        <v/>
      </c>
      <c r="SBX2" t="str">
        <f>LEFT(Database!SCQ2,3)</f>
        <v/>
      </c>
      <c r="SBY2" t="str">
        <f>LEFT(Database!SCR2,3)</f>
        <v/>
      </c>
      <c r="SBZ2" t="str">
        <f>LEFT(Database!SCS2,3)</f>
        <v/>
      </c>
      <c r="SCA2" t="str">
        <f>LEFT(Database!SCT2,3)</f>
        <v/>
      </c>
      <c r="SCB2" t="str">
        <f>LEFT(Database!SCU2,3)</f>
        <v/>
      </c>
      <c r="SCC2" t="str">
        <f>LEFT(Database!SCV2,3)</f>
        <v/>
      </c>
      <c r="SCD2" t="str">
        <f>LEFT(Database!SCW2,3)</f>
        <v/>
      </c>
      <c r="SCE2" t="str">
        <f>LEFT(Database!SCX2,3)</f>
        <v/>
      </c>
      <c r="SCF2" t="str">
        <f>LEFT(Database!SCY2,3)</f>
        <v/>
      </c>
      <c r="SCG2" t="str">
        <f>LEFT(Database!SCZ2,3)</f>
        <v/>
      </c>
      <c r="SCH2" t="str">
        <f>LEFT(Database!SDA2,3)</f>
        <v/>
      </c>
      <c r="SCI2" t="str">
        <f>LEFT(Database!SDB2,3)</f>
        <v/>
      </c>
      <c r="SCJ2" t="str">
        <f>LEFT(Database!SDC2,3)</f>
        <v/>
      </c>
      <c r="SCK2" t="str">
        <f>LEFT(Database!SDD2,3)</f>
        <v/>
      </c>
      <c r="SCL2" t="str">
        <f>LEFT(Database!SDE2,3)</f>
        <v/>
      </c>
      <c r="SCM2" t="str">
        <f>LEFT(Database!SDF2,3)</f>
        <v/>
      </c>
      <c r="SCN2" t="str">
        <f>LEFT(Database!SDG2,3)</f>
        <v/>
      </c>
      <c r="SCO2" t="str">
        <f>LEFT(Database!SDH2,3)</f>
        <v/>
      </c>
      <c r="SCP2" t="str">
        <f>LEFT(Database!SDI2,3)</f>
        <v/>
      </c>
      <c r="SCQ2" t="str">
        <f>LEFT(Database!SDJ2,3)</f>
        <v/>
      </c>
      <c r="SCR2" t="str">
        <f>LEFT(Database!SDK2,3)</f>
        <v/>
      </c>
      <c r="SCS2" t="str">
        <f>LEFT(Database!SDL2,3)</f>
        <v/>
      </c>
      <c r="SCT2" t="str">
        <f>LEFT(Database!SDM2,3)</f>
        <v/>
      </c>
      <c r="SCU2" t="str">
        <f>LEFT(Database!SDN2,3)</f>
        <v/>
      </c>
      <c r="SCV2" t="str">
        <f>LEFT(Database!SDO2,3)</f>
        <v/>
      </c>
      <c r="SCW2" t="str">
        <f>LEFT(Database!SDP2,3)</f>
        <v/>
      </c>
      <c r="SCX2" t="str">
        <f>LEFT(Database!SDQ2,3)</f>
        <v/>
      </c>
      <c r="SCY2" t="str">
        <f>LEFT(Database!SDR2,3)</f>
        <v/>
      </c>
      <c r="SCZ2" t="str">
        <f>LEFT(Database!SDS2,3)</f>
        <v/>
      </c>
      <c r="SDA2" t="str">
        <f>LEFT(Database!SDT2,3)</f>
        <v/>
      </c>
      <c r="SDB2" t="str">
        <f>LEFT(Database!SDU2,3)</f>
        <v/>
      </c>
      <c r="SDC2" t="str">
        <f>LEFT(Database!SDV2,3)</f>
        <v/>
      </c>
      <c r="SDD2" t="str">
        <f>LEFT(Database!SDW2,3)</f>
        <v/>
      </c>
      <c r="SDE2" t="str">
        <f>LEFT(Database!SDX2,3)</f>
        <v/>
      </c>
      <c r="SDF2" t="str">
        <f>LEFT(Database!SDY2,3)</f>
        <v/>
      </c>
      <c r="SDG2" t="str">
        <f>LEFT(Database!SDZ2,3)</f>
        <v/>
      </c>
      <c r="SDH2" t="str">
        <f>LEFT(Database!SEA2,3)</f>
        <v/>
      </c>
      <c r="SDI2" t="str">
        <f>LEFT(Database!SEB2,3)</f>
        <v/>
      </c>
      <c r="SDJ2" t="str">
        <f>LEFT(Database!SEC2,3)</f>
        <v/>
      </c>
      <c r="SDK2" t="str">
        <f>LEFT(Database!SED2,3)</f>
        <v/>
      </c>
      <c r="SDL2" t="str">
        <f>LEFT(Database!SEE2,3)</f>
        <v/>
      </c>
      <c r="SDM2" t="str">
        <f>LEFT(Database!SEF2,3)</f>
        <v/>
      </c>
      <c r="SDN2" t="str">
        <f>LEFT(Database!SEG2,3)</f>
        <v/>
      </c>
      <c r="SDO2" t="str">
        <f>LEFT(Database!SEH2,3)</f>
        <v/>
      </c>
      <c r="SDP2" t="str">
        <f>LEFT(Database!SEI2,3)</f>
        <v/>
      </c>
      <c r="SDQ2" t="str">
        <f>LEFT(Database!SEJ2,3)</f>
        <v/>
      </c>
      <c r="SDR2" t="str">
        <f>LEFT(Database!SEK2,3)</f>
        <v/>
      </c>
      <c r="SDS2" t="str">
        <f>LEFT(Database!SEL2,3)</f>
        <v/>
      </c>
      <c r="SDT2" t="str">
        <f>LEFT(Database!SEM2,3)</f>
        <v/>
      </c>
      <c r="SDU2" t="str">
        <f>LEFT(Database!SEN2,3)</f>
        <v/>
      </c>
      <c r="SDV2" t="str">
        <f>LEFT(Database!SEO2,3)</f>
        <v/>
      </c>
      <c r="SDW2" t="str">
        <f>LEFT(Database!SEP2,3)</f>
        <v/>
      </c>
      <c r="SDX2" t="str">
        <f>LEFT(Database!SEQ2,3)</f>
        <v/>
      </c>
      <c r="SDY2" t="str">
        <f>LEFT(Database!SER2,3)</f>
        <v/>
      </c>
      <c r="SDZ2" t="str">
        <f>LEFT(Database!SES2,3)</f>
        <v/>
      </c>
      <c r="SEA2" t="str">
        <f>LEFT(Database!SET2,3)</f>
        <v/>
      </c>
      <c r="SEB2" t="str">
        <f>LEFT(Database!SEU2,3)</f>
        <v/>
      </c>
      <c r="SEC2" t="str">
        <f>LEFT(Database!SEV2,3)</f>
        <v/>
      </c>
      <c r="SED2" t="str">
        <f>LEFT(Database!SEW2,3)</f>
        <v/>
      </c>
      <c r="SEE2" t="str">
        <f>LEFT(Database!SEX2,3)</f>
        <v/>
      </c>
      <c r="SEF2" t="str">
        <f>LEFT(Database!SEY2,3)</f>
        <v/>
      </c>
      <c r="SEG2" t="str">
        <f>LEFT(Database!SEZ2,3)</f>
        <v/>
      </c>
      <c r="SEH2" t="str">
        <f>LEFT(Database!SFA2,3)</f>
        <v/>
      </c>
      <c r="SEI2" t="str">
        <f>LEFT(Database!SFB2,3)</f>
        <v/>
      </c>
      <c r="SEJ2" t="str">
        <f>LEFT(Database!SFC2,3)</f>
        <v/>
      </c>
      <c r="SEK2" t="str">
        <f>LEFT(Database!SFD2,3)</f>
        <v/>
      </c>
      <c r="SEL2" t="str">
        <f>LEFT(Database!SFE2,3)</f>
        <v/>
      </c>
      <c r="SEM2" t="str">
        <f>LEFT(Database!SFF2,3)</f>
        <v/>
      </c>
      <c r="SEN2" t="str">
        <f>LEFT(Database!SFG2,3)</f>
        <v/>
      </c>
      <c r="SEO2" t="str">
        <f>LEFT(Database!SFH2,3)</f>
        <v/>
      </c>
      <c r="SEP2" t="str">
        <f>LEFT(Database!SFI2,3)</f>
        <v/>
      </c>
      <c r="SEQ2" t="str">
        <f>LEFT(Database!SFJ2,3)</f>
        <v/>
      </c>
      <c r="SER2" t="str">
        <f>LEFT(Database!SFK2,3)</f>
        <v/>
      </c>
      <c r="SES2" t="str">
        <f>LEFT(Database!SFL2,3)</f>
        <v/>
      </c>
      <c r="SET2" t="str">
        <f>LEFT(Database!SFM2,3)</f>
        <v/>
      </c>
      <c r="SEU2" t="str">
        <f>LEFT(Database!SFN2,3)</f>
        <v/>
      </c>
      <c r="SEV2" t="str">
        <f>LEFT(Database!SFO2,3)</f>
        <v/>
      </c>
      <c r="SEW2" t="str">
        <f>LEFT(Database!SFP2,3)</f>
        <v/>
      </c>
      <c r="SEX2" t="str">
        <f>LEFT(Database!SFQ2,3)</f>
        <v/>
      </c>
      <c r="SEY2" t="str">
        <f>LEFT(Database!SFR2,3)</f>
        <v/>
      </c>
      <c r="SEZ2" t="str">
        <f>LEFT(Database!SFS2,3)</f>
        <v/>
      </c>
      <c r="SFA2" t="str">
        <f>LEFT(Database!SFT2,3)</f>
        <v/>
      </c>
      <c r="SFB2" t="str">
        <f>LEFT(Database!SFU2,3)</f>
        <v/>
      </c>
      <c r="SFC2" t="str">
        <f>LEFT(Database!SFV2,3)</f>
        <v/>
      </c>
      <c r="SFD2" t="str">
        <f>LEFT(Database!SFW2,3)</f>
        <v/>
      </c>
      <c r="SFE2" t="str">
        <f>LEFT(Database!SFX2,3)</f>
        <v/>
      </c>
      <c r="SFF2" t="str">
        <f>LEFT(Database!SFY2,3)</f>
        <v/>
      </c>
      <c r="SFG2" t="str">
        <f>LEFT(Database!SFZ2,3)</f>
        <v/>
      </c>
      <c r="SFH2" t="str">
        <f>LEFT(Database!SGA2,3)</f>
        <v/>
      </c>
      <c r="SFI2" t="str">
        <f>LEFT(Database!SGB2,3)</f>
        <v/>
      </c>
      <c r="SFJ2" t="str">
        <f>LEFT(Database!SGC2,3)</f>
        <v/>
      </c>
      <c r="SFK2" t="str">
        <f>LEFT(Database!SGD2,3)</f>
        <v/>
      </c>
      <c r="SFL2" t="str">
        <f>LEFT(Database!SGE2,3)</f>
        <v/>
      </c>
      <c r="SFM2" t="str">
        <f>LEFT(Database!SGF2,3)</f>
        <v/>
      </c>
      <c r="SFN2" t="str">
        <f>LEFT(Database!SGG2,3)</f>
        <v/>
      </c>
      <c r="SFO2" t="str">
        <f>LEFT(Database!SGH2,3)</f>
        <v/>
      </c>
      <c r="SFP2" t="str">
        <f>LEFT(Database!SGI2,3)</f>
        <v/>
      </c>
      <c r="SFQ2" t="str">
        <f>LEFT(Database!SGJ2,3)</f>
        <v/>
      </c>
      <c r="SFR2" t="str">
        <f>LEFT(Database!SGK2,3)</f>
        <v/>
      </c>
      <c r="SFS2" t="str">
        <f>LEFT(Database!SGL2,3)</f>
        <v/>
      </c>
      <c r="SFT2" t="str">
        <f>LEFT(Database!SGM2,3)</f>
        <v/>
      </c>
      <c r="SFU2" t="str">
        <f>LEFT(Database!SGN2,3)</f>
        <v/>
      </c>
      <c r="SFV2" t="str">
        <f>LEFT(Database!SGO2,3)</f>
        <v/>
      </c>
      <c r="SFW2" t="str">
        <f>LEFT(Database!SGP2,3)</f>
        <v/>
      </c>
      <c r="SFX2" t="str">
        <f>LEFT(Database!SGQ2,3)</f>
        <v/>
      </c>
      <c r="SFY2" t="str">
        <f>LEFT(Database!SGR2,3)</f>
        <v/>
      </c>
      <c r="SFZ2" t="str">
        <f>LEFT(Database!SGS2,3)</f>
        <v/>
      </c>
      <c r="SGA2" t="str">
        <f>LEFT(Database!SGT2,3)</f>
        <v/>
      </c>
      <c r="SGB2" t="str">
        <f>LEFT(Database!SGU2,3)</f>
        <v/>
      </c>
      <c r="SGC2" t="str">
        <f>LEFT(Database!SGV2,3)</f>
        <v/>
      </c>
      <c r="SGD2" t="str">
        <f>LEFT(Database!SGW2,3)</f>
        <v/>
      </c>
      <c r="SGE2" t="str">
        <f>LEFT(Database!SGX2,3)</f>
        <v/>
      </c>
      <c r="SGF2" t="str">
        <f>LEFT(Database!SGY2,3)</f>
        <v/>
      </c>
      <c r="SGG2" t="str">
        <f>LEFT(Database!SGZ2,3)</f>
        <v/>
      </c>
      <c r="SGH2" t="str">
        <f>LEFT(Database!SHA2,3)</f>
        <v/>
      </c>
      <c r="SGI2" t="str">
        <f>LEFT(Database!SHB2,3)</f>
        <v/>
      </c>
      <c r="SGJ2" t="str">
        <f>LEFT(Database!SHC2,3)</f>
        <v/>
      </c>
      <c r="SGK2" t="str">
        <f>LEFT(Database!SHD2,3)</f>
        <v/>
      </c>
      <c r="SGL2" t="str">
        <f>LEFT(Database!SHE2,3)</f>
        <v/>
      </c>
      <c r="SGM2" t="str">
        <f>LEFT(Database!SHF2,3)</f>
        <v/>
      </c>
      <c r="SGN2" t="str">
        <f>LEFT(Database!SHG2,3)</f>
        <v/>
      </c>
      <c r="SGO2" t="str">
        <f>LEFT(Database!SHH2,3)</f>
        <v/>
      </c>
      <c r="SGP2" t="str">
        <f>LEFT(Database!SHI2,3)</f>
        <v/>
      </c>
      <c r="SGQ2" t="str">
        <f>LEFT(Database!SHJ2,3)</f>
        <v/>
      </c>
      <c r="SGR2" t="str">
        <f>LEFT(Database!SHK2,3)</f>
        <v/>
      </c>
      <c r="SGS2" t="str">
        <f>LEFT(Database!SHL2,3)</f>
        <v/>
      </c>
      <c r="SGT2" t="str">
        <f>LEFT(Database!SHM2,3)</f>
        <v/>
      </c>
      <c r="SGU2" t="str">
        <f>LEFT(Database!SHN2,3)</f>
        <v/>
      </c>
      <c r="SGV2" t="str">
        <f>LEFT(Database!SHO2,3)</f>
        <v/>
      </c>
      <c r="SGW2" t="str">
        <f>LEFT(Database!SHP2,3)</f>
        <v/>
      </c>
      <c r="SGX2" t="str">
        <f>LEFT(Database!SHQ2,3)</f>
        <v/>
      </c>
      <c r="SGY2" t="str">
        <f>LEFT(Database!SHR2,3)</f>
        <v/>
      </c>
      <c r="SGZ2" t="str">
        <f>LEFT(Database!SHS2,3)</f>
        <v/>
      </c>
      <c r="SHA2" t="str">
        <f>LEFT(Database!SHT2,3)</f>
        <v/>
      </c>
      <c r="SHB2" t="str">
        <f>LEFT(Database!SHU2,3)</f>
        <v/>
      </c>
      <c r="SHC2" t="str">
        <f>LEFT(Database!SHV2,3)</f>
        <v/>
      </c>
      <c r="SHD2" t="str">
        <f>LEFT(Database!SHW2,3)</f>
        <v/>
      </c>
      <c r="SHE2" t="str">
        <f>LEFT(Database!SHX2,3)</f>
        <v/>
      </c>
      <c r="SHF2" t="str">
        <f>LEFT(Database!SHY2,3)</f>
        <v/>
      </c>
      <c r="SHG2" t="str">
        <f>LEFT(Database!SHZ2,3)</f>
        <v/>
      </c>
      <c r="SHH2" t="str">
        <f>LEFT(Database!SIA2,3)</f>
        <v/>
      </c>
      <c r="SHI2" t="str">
        <f>LEFT(Database!SIB2,3)</f>
        <v/>
      </c>
      <c r="SHJ2" t="str">
        <f>LEFT(Database!SIC2,3)</f>
        <v/>
      </c>
      <c r="SHK2" t="str">
        <f>LEFT(Database!SID2,3)</f>
        <v/>
      </c>
      <c r="SHL2" t="str">
        <f>LEFT(Database!SIE2,3)</f>
        <v/>
      </c>
      <c r="SHM2" t="str">
        <f>LEFT(Database!SIF2,3)</f>
        <v/>
      </c>
      <c r="SHN2" t="str">
        <f>LEFT(Database!SIG2,3)</f>
        <v/>
      </c>
      <c r="SHO2" t="str">
        <f>LEFT(Database!SIH2,3)</f>
        <v/>
      </c>
      <c r="SHP2" t="str">
        <f>LEFT(Database!SII2,3)</f>
        <v/>
      </c>
      <c r="SHQ2" t="str">
        <f>LEFT(Database!SIJ2,3)</f>
        <v/>
      </c>
      <c r="SHR2" t="str">
        <f>LEFT(Database!SIK2,3)</f>
        <v/>
      </c>
      <c r="SHS2" t="str">
        <f>LEFT(Database!SIL2,3)</f>
        <v/>
      </c>
      <c r="SHT2" t="str">
        <f>LEFT(Database!SIM2,3)</f>
        <v/>
      </c>
      <c r="SHU2" t="str">
        <f>LEFT(Database!SIN2,3)</f>
        <v/>
      </c>
      <c r="SHV2" t="str">
        <f>LEFT(Database!SIO2,3)</f>
        <v/>
      </c>
      <c r="SHW2" t="str">
        <f>LEFT(Database!SIP2,3)</f>
        <v/>
      </c>
      <c r="SHX2" t="str">
        <f>LEFT(Database!SIQ2,3)</f>
        <v/>
      </c>
      <c r="SHY2" t="str">
        <f>LEFT(Database!SIR2,3)</f>
        <v/>
      </c>
      <c r="SHZ2" t="str">
        <f>LEFT(Database!SIS2,3)</f>
        <v/>
      </c>
      <c r="SIA2" t="str">
        <f>LEFT(Database!SIT2,3)</f>
        <v/>
      </c>
      <c r="SIB2" t="str">
        <f>LEFT(Database!SIU2,3)</f>
        <v/>
      </c>
      <c r="SIC2" t="str">
        <f>LEFT(Database!SIV2,3)</f>
        <v/>
      </c>
      <c r="SID2" t="str">
        <f>LEFT(Database!SIW2,3)</f>
        <v/>
      </c>
      <c r="SIE2" t="str">
        <f>LEFT(Database!SIX2,3)</f>
        <v/>
      </c>
      <c r="SIF2" t="str">
        <f>LEFT(Database!SIY2,3)</f>
        <v/>
      </c>
      <c r="SIG2" t="str">
        <f>LEFT(Database!SIZ2,3)</f>
        <v/>
      </c>
      <c r="SIH2" t="str">
        <f>LEFT(Database!SJA2,3)</f>
        <v/>
      </c>
      <c r="SII2" t="str">
        <f>LEFT(Database!SJB2,3)</f>
        <v/>
      </c>
      <c r="SIJ2" t="str">
        <f>LEFT(Database!SJC2,3)</f>
        <v/>
      </c>
      <c r="SIK2" t="str">
        <f>LEFT(Database!SJD2,3)</f>
        <v/>
      </c>
      <c r="SIL2" t="str">
        <f>LEFT(Database!SJE2,3)</f>
        <v/>
      </c>
      <c r="SIM2" t="str">
        <f>LEFT(Database!SJF2,3)</f>
        <v/>
      </c>
      <c r="SIN2" t="str">
        <f>LEFT(Database!SJG2,3)</f>
        <v/>
      </c>
      <c r="SIO2" t="str">
        <f>LEFT(Database!SJH2,3)</f>
        <v/>
      </c>
      <c r="SIP2" t="str">
        <f>LEFT(Database!SJI2,3)</f>
        <v/>
      </c>
      <c r="SIQ2" t="str">
        <f>LEFT(Database!SJJ2,3)</f>
        <v/>
      </c>
      <c r="SIR2" t="str">
        <f>LEFT(Database!SJK2,3)</f>
        <v/>
      </c>
      <c r="SIS2" t="str">
        <f>LEFT(Database!SJL2,3)</f>
        <v/>
      </c>
      <c r="SIT2" t="str">
        <f>LEFT(Database!SJM2,3)</f>
        <v/>
      </c>
      <c r="SIU2" t="str">
        <f>LEFT(Database!SJN2,3)</f>
        <v/>
      </c>
      <c r="SIV2" t="str">
        <f>LEFT(Database!SJO2,3)</f>
        <v/>
      </c>
      <c r="SIW2" t="str">
        <f>LEFT(Database!SJP2,3)</f>
        <v/>
      </c>
      <c r="SIX2" t="str">
        <f>LEFT(Database!SJQ2,3)</f>
        <v/>
      </c>
      <c r="SIY2" t="str">
        <f>LEFT(Database!SJR2,3)</f>
        <v/>
      </c>
      <c r="SIZ2" t="str">
        <f>LEFT(Database!SJS2,3)</f>
        <v/>
      </c>
      <c r="SJA2" t="str">
        <f>LEFT(Database!SJT2,3)</f>
        <v/>
      </c>
      <c r="SJB2" t="str">
        <f>LEFT(Database!SJU2,3)</f>
        <v/>
      </c>
      <c r="SJC2" t="str">
        <f>LEFT(Database!SJV2,3)</f>
        <v/>
      </c>
      <c r="SJD2" t="str">
        <f>LEFT(Database!SJW2,3)</f>
        <v/>
      </c>
      <c r="SJE2" t="str">
        <f>LEFT(Database!SJX2,3)</f>
        <v/>
      </c>
      <c r="SJF2" t="str">
        <f>LEFT(Database!SJY2,3)</f>
        <v/>
      </c>
      <c r="SJG2" t="str">
        <f>LEFT(Database!SJZ2,3)</f>
        <v/>
      </c>
      <c r="SJH2" t="str">
        <f>LEFT(Database!SKA2,3)</f>
        <v/>
      </c>
      <c r="SJI2" t="str">
        <f>LEFT(Database!SKB2,3)</f>
        <v/>
      </c>
      <c r="SJJ2" t="str">
        <f>LEFT(Database!SKC2,3)</f>
        <v/>
      </c>
      <c r="SJK2" t="str">
        <f>LEFT(Database!SKD2,3)</f>
        <v/>
      </c>
      <c r="SJL2" t="str">
        <f>LEFT(Database!SKE2,3)</f>
        <v/>
      </c>
      <c r="SJM2" t="str">
        <f>LEFT(Database!SKF2,3)</f>
        <v/>
      </c>
      <c r="SJN2" t="str">
        <f>LEFT(Database!SKG2,3)</f>
        <v/>
      </c>
      <c r="SJO2" t="str">
        <f>LEFT(Database!SKH2,3)</f>
        <v/>
      </c>
      <c r="SJP2" t="str">
        <f>LEFT(Database!SKI2,3)</f>
        <v/>
      </c>
      <c r="SJQ2" t="str">
        <f>LEFT(Database!SKJ2,3)</f>
        <v/>
      </c>
      <c r="SJR2" t="str">
        <f>LEFT(Database!SKK2,3)</f>
        <v/>
      </c>
      <c r="SJS2" t="str">
        <f>LEFT(Database!SKL2,3)</f>
        <v/>
      </c>
      <c r="SJT2" t="str">
        <f>LEFT(Database!SKM2,3)</f>
        <v/>
      </c>
      <c r="SJU2" t="str">
        <f>LEFT(Database!SKN2,3)</f>
        <v/>
      </c>
      <c r="SJV2" t="str">
        <f>LEFT(Database!SKO2,3)</f>
        <v/>
      </c>
      <c r="SJW2" t="str">
        <f>LEFT(Database!SKP2,3)</f>
        <v/>
      </c>
      <c r="SJX2" t="str">
        <f>LEFT(Database!SKQ2,3)</f>
        <v/>
      </c>
      <c r="SJY2" t="str">
        <f>LEFT(Database!SKR2,3)</f>
        <v/>
      </c>
      <c r="SJZ2" t="str">
        <f>LEFT(Database!SKS2,3)</f>
        <v/>
      </c>
      <c r="SKA2" t="str">
        <f>LEFT(Database!SKT2,3)</f>
        <v/>
      </c>
      <c r="SKB2" t="str">
        <f>LEFT(Database!SKU2,3)</f>
        <v/>
      </c>
      <c r="SKC2" t="str">
        <f>LEFT(Database!SKV2,3)</f>
        <v/>
      </c>
      <c r="SKD2" t="str">
        <f>LEFT(Database!SKW2,3)</f>
        <v/>
      </c>
      <c r="SKE2" t="str">
        <f>LEFT(Database!SKX2,3)</f>
        <v/>
      </c>
      <c r="SKF2" t="str">
        <f>LEFT(Database!SKY2,3)</f>
        <v/>
      </c>
      <c r="SKG2" t="str">
        <f>LEFT(Database!SKZ2,3)</f>
        <v/>
      </c>
      <c r="SKH2" t="str">
        <f>LEFT(Database!SLA2,3)</f>
        <v/>
      </c>
      <c r="SKI2" t="str">
        <f>LEFT(Database!SLB2,3)</f>
        <v/>
      </c>
      <c r="SKJ2" t="str">
        <f>LEFT(Database!SLC2,3)</f>
        <v/>
      </c>
      <c r="SKK2" t="str">
        <f>LEFT(Database!SLD2,3)</f>
        <v/>
      </c>
      <c r="SKL2" t="str">
        <f>LEFT(Database!SLE2,3)</f>
        <v/>
      </c>
      <c r="SKM2" t="str">
        <f>LEFT(Database!SLF2,3)</f>
        <v/>
      </c>
      <c r="SKN2" t="str">
        <f>LEFT(Database!SLG2,3)</f>
        <v/>
      </c>
      <c r="SKO2" t="str">
        <f>LEFT(Database!SLH2,3)</f>
        <v/>
      </c>
      <c r="SKP2" t="str">
        <f>LEFT(Database!SLI2,3)</f>
        <v/>
      </c>
      <c r="SKQ2" t="str">
        <f>LEFT(Database!SLJ2,3)</f>
        <v/>
      </c>
      <c r="SKR2" t="str">
        <f>LEFT(Database!SLK2,3)</f>
        <v/>
      </c>
      <c r="SKS2" t="str">
        <f>LEFT(Database!SLL2,3)</f>
        <v/>
      </c>
      <c r="SKT2" t="str">
        <f>LEFT(Database!SLM2,3)</f>
        <v/>
      </c>
      <c r="SKU2" t="str">
        <f>LEFT(Database!SLN2,3)</f>
        <v/>
      </c>
      <c r="SKV2" t="str">
        <f>LEFT(Database!SLO2,3)</f>
        <v/>
      </c>
      <c r="SKW2" t="str">
        <f>LEFT(Database!SLP2,3)</f>
        <v/>
      </c>
      <c r="SKX2" t="str">
        <f>LEFT(Database!SLQ2,3)</f>
        <v/>
      </c>
      <c r="SKY2" t="str">
        <f>LEFT(Database!SLR2,3)</f>
        <v/>
      </c>
      <c r="SKZ2" t="str">
        <f>LEFT(Database!SLS2,3)</f>
        <v/>
      </c>
      <c r="SLA2" t="str">
        <f>LEFT(Database!SLT2,3)</f>
        <v/>
      </c>
      <c r="SLB2" t="str">
        <f>LEFT(Database!SLU2,3)</f>
        <v/>
      </c>
      <c r="SLC2" t="str">
        <f>LEFT(Database!SLV2,3)</f>
        <v/>
      </c>
      <c r="SLD2" t="str">
        <f>LEFT(Database!SLW2,3)</f>
        <v/>
      </c>
      <c r="SLE2" t="str">
        <f>LEFT(Database!SLX2,3)</f>
        <v/>
      </c>
      <c r="SLF2" t="str">
        <f>LEFT(Database!SLY2,3)</f>
        <v/>
      </c>
      <c r="SLG2" t="str">
        <f>LEFT(Database!SLZ2,3)</f>
        <v/>
      </c>
      <c r="SLH2" t="str">
        <f>LEFT(Database!SMA2,3)</f>
        <v/>
      </c>
      <c r="SLI2" t="str">
        <f>LEFT(Database!SMB2,3)</f>
        <v/>
      </c>
      <c r="SLJ2" t="str">
        <f>LEFT(Database!SMC2,3)</f>
        <v/>
      </c>
      <c r="SLK2" t="str">
        <f>LEFT(Database!SMD2,3)</f>
        <v/>
      </c>
      <c r="SLL2" t="str">
        <f>LEFT(Database!SME2,3)</f>
        <v/>
      </c>
      <c r="SLM2" t="str">
        <f>LEFT(Database!SMF2,3)</f>
        <v/>
      </c>
      <c r="SLN2" t="str">
        <f>LEFT(Database!SMG2,3)</f>
        <v/>
      </c>
      <c r="SLO2" t="str">
        <f>LEFT(Database!SMH2,3)</f>
        <v/>
      </c>
      <c r="SLP2" t="str">
        <f>LEFT(Database!SMI2,3)</f>
        <v/>
      </c>
      <c r="SLQ2" t="str">
        <f>LEFT(Database!SMJ2,3)</f>
        <v/>
      </c>
      <c r="SLR2" t="str">
        <f>LEFT(Database!SMK2,3)</f>
        <v/>
      </c>
      <c r="SLS2" t="str">
        <f>LEFT(Database!SML2,3)</f>
        <v/>
      </c>
      <c r="SLT2" t="str">
        <f>LEFT(Database!SMM2,3)</f>
        <v/>
      </c>
      <c r="SLU2" t="str">
        <f>LEFT(Database!SMN2,3)</f>
        <v/>
      </c>
      <c r="SLV2" t="str">
        <f>LEFT(Database!SMO2,3)</f>
        <v/>
      </c>
      <c r="SLW2" t="str">
        <f>LEFT(Database!SMP2,3)</f>
        <v/>
      </c>
      <c r="SLX2" t="str">
        <f>LEFT(Database!SMQ2,3)</f>
        <v/>
      </c>
      <c r="SLY2" t="str">
        <f>LEFT(Database!SMR2,3)</f>
        <v/>
      </c>
      <c r="SLZ2" t="str">
        <f>LEFT(Database!SMS2,3)</f>
        <v/>
      </c>
      <c r="SMA2" t="str">
        <f>LEFT(Database!SMT2,3)</f>
        <v/>
      </c>
      <c r="SMB2" t="str">
        <f>LEFT(Database!SMU2,3)</f>
        <v/>
      </c>
      <c r="SMC2" t="str">
        <f>LEFT(Database!SMV2,3)</f>
        <v/>
      </c>
      <c r="SMD2" t="str">
        <f>LEFT(Database!SMW2,3)</f>
        <v/>
      </c>
      <c r="SME2" t="str">
        <f>LEFT(Database!SMX2,3)</f>
        <v/>
      </c>
      <c r="SMF2" t="str">
        <f>LEFT(Database!SMY2,3)</f>
        <v/>
      </c>
      <c r="SMG2" t="str">
        <f>LEFT(Database!SMZ2,3)</f>
        <v/>
      </c>
      <c r="SMH2" t="str">
        <f>LEFT(Database!SNA2,3)</f>
        <v/>
      </c>
      <c r="SMI2" t="str">
        <f>LEFT(Database!SNB2,3)</f>
        <v/>
      </c>
      <c r="SMJ2" t="str">
        <f>LEFT(Database!SNC2,3)</f>
        <v/>
      </c>
      <c r="SMK2" t="str">
        <f>LEFT(Database!SND2,3)</f>
        <v/>
      </c>
      <c r="SML2" t="str">
        <f>LEFT(Database!SNE2,3)</f>
        <v/>
      </c>
      <c r="SMM2" t="str">
        <f>LEFT(Database!SNF2,3)</f>
        <v/>
      </c>
      <c r="SMN2" t="str">
        <f>LEFT(Database!SNG2,3)</f>
        <v/>
      </c>
      <c r="SMO2" t="str">
        <f>LEFT(Database!SNH2,3)</f>
        <v/>
      </c>
      <c r="SMP2" t="str">
        <f>LEFT(Database!SNI2,3)</f>
        <v/>
      </c>
      <c r="SMQ2" t="str">
        <f>LEFT(Database!SNJ2,3)</f>
        <v/>
      </c>
      <c r="SMR2" t="str">
        <f>LEFT(Database!SNK2,3)</f>
        <v/>
      </c>
      <c r="SMS2" t="str">
        <f>LEFT(Database!SNL2,3)</f>
        <v/>
      </c>
      <c r="SMT2" t="str">
        <f>LEFT(Database!SNM2,3)</f>
        <v/>
      </c>
      <c r="SMU2" t="str">
        <f>LEFT(Database!SNN2,3)</f>
        <v/>
      </c>
      <c r="SMV2" t="str">
        <f>LEFT(Database!SNO2,3)</f>
        <v/>
      </c>
      <c r="SMW2" t="str">
        <f>LEFT(Database!SNP2,3)</f>
        <v/>
      </c>
      <c r="SMX2" t="str">
        <f>LEFT(Database!SNQ2,3)</f>
        <v/>
      </c>
      <c r="SMY2" t="str">
        <f>LEFT(Database!SNR2,3)</f>
        <v/>
      </c>
      <c r="SMZ2" t="str">
        <f>LEFT(Database!SNS2,3)</f>
        <v/>
      </c>
      <c r="SNA2" t="str">
        <f>LEFT(Database!SNT2,3)</f>
        <v/>
      </c>
      <c r="SNB2" t="str">
        <f>LEFT(Database!SNU2,3)</f>
        <v/>
      </c>
      <c r="SNC2" t="str">
        <f>LEFT(Database!SNV2,3)</f>
        <v/>
      </c>
      <c r="SND2" t="str">
        <f>LEFT(Database!SNW2,3)</f>
        <v/>
      </c>
      <c r="SNE2" t="str">
        <f>LEFT(Database!SNX2,3)</f>
        <v/>
      </c>
      <c r="SNF2" t="str">
        <f>LEFT(Database!SNY2,3)</f>
        <v/>
      </c>
      <c r="SNG2" t="str">
        <f>LEFT(Database!SNZ2,3)</f>
        <v/>
      </c>
      <c r="SNH2" t="str">
        <f>LEFT(Database!SOA2,3)</f>
        <v/>
      </c>
      <c r="SNI2" t="str">
        <f>LEFT(Database!SOB2,3)</f>
        <v/>
      </c>
      <c r="SNJ2" t="str">
        <f>LEFT(Database!SOC2,3)</f>
        <v/>
      </c>
      <c r="SNK2" t="str">
        <f>LEFT(Database!SOD2,3)</f>
        <v/>
      </c>
      <c r="SNL2" t="str">
        <f>LEFT(Database!SOE2,3)</f>
        <v/>
      </c>
      <c r="SNM2" t="str">
        <f>LEFT(Database!SOF2,3)</f>
        <v/>
      </c>
      <c r="SNN2" t="str">
        <f>LEFT(Database!SOG2,3)</f>
        <v/>
      </c>
      <c r="SNO2" t="str">
        <f>LEFT(Database!SOH2,3)</f>
        <v/>
      </c>
      <c r="SNP2" t="str">
        <f>LEFT(Database!SOI2,3)</f>
        <v/>
      </c>
      <c r="SNQ2" t="str">
        <f>LEFT(Database!SOJ2,3)</f>
        <v/>
      </c>
      <c r="SNR2" t="str">
        <f>LEFT(Database!SOK2,3)</f>
        <v/>
      </c>
      <c r="SNS2" t="str">
        <f>LEFT(Database!SOL2,3)</f>
        <v/>
      </c>
      <c r="SNT2" t="str">
        <f>LEFT(Database!SOM2,3)</f>
        <v/>
      </c>
      <c r="SNU2" t="str">
        <f>LEFT(Database!SON2,3)</f>
        <v/>
      </c>
      <c r="SNV2" t="str">
        <f>LEFT(Database!SOO2,3)</f>
        <v/>
      </c>
      <c r="SNW2" t="str">
        <f>LEFT(Database!SOP2,3)</f>
        <v/>
      </c>
      <c r="SNX2" t="str">
        <f>LEFT(Database!SOQ2,3)</f>
        <v/>
      </c>
      <c r="SNY2" t="str">
        <f>LEFT(Database!SOR2,3)</f>
        <v/>
      </c>
      <c r="SNZ2" t="str">
        <f>LEFT(Database!SOS2,3)</f>
        <v/>
      </c>
      <c r="SOA2" t="str">
        <f>LEFT(Database!SOT2,3)</f>
        <v/>
      </c>
      <c r="SOB2" t="str">
        <f>LEFT(Database!SOU2,3)</f>
        <v/>
      </c>
      <c r="SOC2" t="str">
        <f>LEFT(Database!SOV2,3)</f>
        <v/>
      </c>
      <c r="SOD2" t="str">
        <f>LEFT(Database!SOW2,3)</f>
        <v/>
      </c>
      <c r="SOE2" t="str">
        <f>LEFT(Database!SOX2,3)</f>
        <v/>
      </c>
      <c r="SOF2" t="str">
        <f>LEFT(Database!SOY2,3)</f>
        <v/>
      </c>
      <c r="SOG2" t="str">
        <f>LEFT(Database!SOZ2,3)</f>
        <v/>
      </c>
      <c r="SOH2" t="str">
        <f>LEFT(Database!SPA2,3)</f>
        <v/>
      </c>
      <c r="SOI2" t="str">
        <f>LEFT(Database!SPB2,3)</f>
        <v/>
      </c>
      <c r="SOJ2" t="str">
        <f>LEFT(Database!SPC2,3)</f>
        <v/>
      </c>
      <c r="SOK2" t="str">
        <f>LEFT(Database!SPD2,3)</f>
        <v/>
      </c>
      <c r="SOL2" t="str">
        <f>LEFT(Database!SPE2,3)</f>
        <v/>
      </c>
      <c r="SOM2" t="str">
        <f>LEFT(Database!SPF2,3)</f>
        <v/>
      </c>
      <c r="SON2" t="str">
        <f>LEFT(Database!SPG2,3)</f>
        <v/>
      </c>
      <c r="SOO2" t="str">
        <f>LEFT(Database!SPH2,3)</f>
        <v/>
      </c>
      <c r="SOP2" t="str">
        <f>LEFT(Database!SPI2,3)</f>
        <v/>
      </c>
      <c r="SOQ2" t="str">
        <f>LEFT(Database!SPJ2,3)</f>
        <v/>
      </c>
      <c r="SOR2" t="str">
        <f>LEFT(Database!SPK2,3)</f>
        <v/>
      </c>
      <c r="SOS2" t="str">
        <f>LEFT(Database!SPL2,3)</f>
        <v/>
      </c>
      <c r="SOT2" t="str">
        <f>LEFT(Database!SPM2,3)</f>
        <v/>
      </c>
      <c r="SOU2" t="str">
        <f>LEFT(Database!SPN2,3)</f>
        <v/>
      </c>
      <c r="SOV2" t="str">
        <f>LEFT(Database!SPO2,3)</f>
        <v/>
      </c>
      <c r="SOW2" t="str">
        <f>LEFT(Database!SPP2,3)</f>
        <v/>
      </c>
      <c r="SOX2" t="str">
        <f>LEFT(Database!SPQ2,3)</f>
        <v/>
      </c>
      <c r="SOY2" t="str">
        <f>LEFT(Database!SPR2,3)</f>
        <v/>
      </c>
      <c r="SOZ2" t="str">
        <f>LEFT(Database!SPS2,3)</f>
        <v/>
      </c>
      <c r="SPA2" t="str">
        <f>LEFT(Database!SPT2,3)</f>
        <v/>
      </c>
      <c r="SPB2" t="str">
        <f>LEFT(Database!SPU2,3)</f>
        <v/>
      </c>
      <c r="SPC2" t="str">
        <f>LEFT(Database!SPV2,3)</f>
        <v/>
      </c>
      <c r="SPD2" t="str">
        <f>LEFT(Database!SPW2,3)</f>
        <v/>
      </c>
      <c r="SPE2" t="str">
        <f>LEFT(Database!SPX2,3)</f>
        <v/>
      </c>
      <c r="SPF2" t="str">
        <f>LEFT(Database!SPY2,3)</f>
        <v/>
      </c>
      <c r="SPG2" t="str">
        <f>LEFT(Database!SPZ2,3)</f>
        <v/>
      </c>
      <c r="SPH2" t="str">
        <f>LEFT(Database!SQA2,3)</f>
        <v/>
      </c>
      <c r="SPI2" t="str">
        <f>LEFT(Database!SQB2,3)</f>
        <v/>
      </c>
      <c r="SPJ2" t="str">
        <f>LEFT(Database!SQC2,3)</f>
        <v/>
      </c>
      <c r="SPK2" t="str">
        <f>LEFT(Database!SQD2,3)</f>
        <v/>
      </c>
      <c r="SPL2" t="str">
        <f>LEFT(Database!SQE2,3)</f>
        <v/>
      </c>
      <c r="SPM2" t="str">
        <f>LEFT(Database!SQF2,3)</f>
        <v/>
      </c>
      <c r="SPN2" t="str">
        <f>LEFT(Database!SQG2,3)</f>
        <v/>
      </c>
      <c r="SPO2" t="str">
        <f>LEFT(Database!SQH2,3)</f>
        <v/>
      </c>
      <c r="SPP2" t="str">
        <f>LEFT(Database!SQI2,3)</f>
        <v/>
      </c>
      <c r="SPQ2" t="str">
        <f>LEFT(Database!SQJ2,3)</f>
        <v/>
      </c>
      <c r="SPR2" t="str">
        <f>LEFT(Database!SQK2,3)</f>
        <v/>
      </c>
      <c r="SPS2" t="str">
        <f>LEFT(Database!SQL2,3)</f>
        <v/>
      </c>
      <c r="SPT2" t="str">
        <f>LEFT(Database!SQM2,3)</f>
        <v/>
      </c>
      <c r="SPU2" t="str">
        <f>LEFT(Database!SQN2,3)</f>
        <v/>
      </c>
      <c r="SPV2" t="str">
        <f>LEFT(Database!SQO2,3)</f>
        <v/>
      </c>
      <c r="SPW2" t="str">
        <f>LEFT(Database!SQP2,3)</f>
        <v/>
      </c>
      <c r="SPX2" t="str">
        <f>LEFT(Database!SQQ2,3)</f>
        <v/>
      </c>
      <c r="SPY2" t="str">
        <f>LEFT(Database!SQR2,3)</f>
        <v/>
      </c>
      <c r="SPZ2" t="str">
        <f>LEFT(Database!SQS2,3)</f>
        <v/>
      </c>
      <c r="SQA2" t="str">
        <f>LEFT(Database!SQT2,3)</f>
        <v/>
      </c>
      <c r="SQB2" t="str">
        <f>LEFT(Database!SQU2,3)</f>
        <v/>
      </c>
      <c r="SQC2" t="str">
        <f>LEFT(Database!SQV2,3)</f>
        <v/>
      </c>
      <c r="SQD2" t="str">
        <f>LEFT(Database!SQW2,3)</f>
        <v/>
      </c>
      <c r="SQE2" t="str">
        <f>LEFT(Database!SQX2,3)</f>
        <v/>
      </c>
      <c r="SQF2" t="str">
        <f>LEFT(Database!SQY2,3)</f>
        <v/>
      </c>
      <c r="SQG2" t="str">
        <f>LEFT(Database!SQZ2,3)</f>
        <v/>
      </c>
      <c r="SQH2" t="str">
        <f>LEFT(Database!SRA2,3)</f>
        <v/>
      </c>
      <c r="SQI2" t="str">
        <f>LEFT(Database!SRB2,3)</f>
        <v/>
      </c>
      <c r="SQJ2" t="str">
        <f>LEFT(Database!SRC2,3)</f>
        <v/>
      </c>
      <c r="SQK2" t="str">
        <f>LEFT(Database!SRD2,3)</f>
        <v/>
      </c>
      <c r="SQL2" t="str">
        <f>LEFT(Database!SRE2,3)</f>
        <v/>
      </c>
      <c r="SQM2" t="str">
        <f>LEFT(Database!SRF2,3)</f>
        <v/>
      </c>
      <c r="SQN2" t="str">
        <f>LEFT(Database!SRG2,3)</f>
        <v/>
      </c>
      <c r="SQO2" t="str">
        <f>LEFT(Database!SRH2,3)</f>
        <v/>
      </c>
      <c r="SQP2" t="str">
        <f>LEFT(Database!SRI2,3)</f>
        <v/>
      </c>
      <c r="SQQ2" t="str">
        <f>LEFT(Database!SRJ2,3)</f>
        <v/>
      </c>
      <c r="SQR2" t="str">
        <f>LEFT(Database!SRK2,3)</f>
        <v/>
      </c>
      <c r="SQS2" t="str">
        <f>LEFT(Database!SRL2,3)</f>
        <v/>
      </c>
      <c r="SQT2" t="str">
        <f>LEFT(Database!SRM2,3)</f>
        <v/>
      </c>
      <c r="SQU2" t="str">
        <f>LEFT(Database!SRN2,3)</f>
        <v/>
      </c>
      <c r="SQV2" t="str">
        <f>LEFT(Database!SRO2,3)</f>
        <v/>
      </c>
      <c r="SQW2" t="str">
        <f>LEFT(Database!SRP2,3)</f>
        <v/>
      </c>
      <c r="SQX2" t="str">
        <f>LEFT(Database!SRQ2,3)</f>
        <v/>
      </c>
      <c r="SQY2" t="str">
        <f>LEFT(Database!SRR2,3)</f>
        <v/>
      </c>
      <c r="SQZ2" t="str">
        <f>LEFT(Database!SRS2,3)</f>
        <v/>
      </c>
      <c r="SRA2" t="str">
        <f>LEFT(Database!SRT2,3)</f>
        <v/>
      </c>
      <c r="SRB2" t="str">
        <f>LEFT(Database!SRU2,3)</f>
        <v/>
      </c>
      <c r="SRC2" t="str">
        <f>LEFT(Database!SRV2,3)</f>
        <v/>
      </c>
      <c r="SRD2" t="str">
        <f>LEFT(Database!SRW2,3)</f>
        <v/>
      </c>
      <c r="SRE2" t="str">
        <f>LEFT(Database!SRX2,3)</f>
        <v/>
      </c>
      <c r="SRF2" t="str">
        <f>LEFT(Database!SRY2,3)</f>
        <v/>
      </c>
      <c r="SRG2" t="str">
        <f>LEFT(Database!SRZ2,3)</f>
        <v/>
      </c>
      <c r="SRH2" t="str">
        <f>LEFT(Database!SSA2,3)</f>
        <v/>
      </c>
      <c r="SRI2" t="str">
        <f>LEFT(Database!SSB2,3)</f>
        <v/>
      </c>
      <c r="SRJ2" t="str">
        <f>LEFT(Database!SSC2,3)</f>
        <v/>
      </c>
      <c r="SRK2" t="str">
        <f>LEFT(Database!SSD2,3)</f>
        <v/>
      </c>
      <c r="SRL2" t="str">
        <f>LEFT(Database!SSE2,3)</f>
        <v/>
      </c>
      <c r="SRM2" t="str">
        <f>LEFT(Database!SSF2,3)</f>
        <v/>
      </c>
      <c r="SRN2" t="str">
        <f>LEFT(Database!SSG2,3)</f>
        <v/>
      </c>
      <c r="SRO2" t="str">
        <f>LEFT(Database!SSH2,3)</f>
        <v/>
      </c>
      <c r="SRP2" t="str">
        <f>LEFT(Database!SSI2,3)</f>
        <v/>
      </c>
      <c r="SRQ2" t="str">
        <f>LEFT(Database!SSJ2,3)</f>
        <v/>
      </c>
      <c r="SRR2" t="str">
        <f>LEFT(Database!SSK2,3)</f>
        <v/>
      </c>
      <c r="SRS2" t="str">
        <f>LEFT(Database!SSL2,3)</f>
        <v/>
      </c>
      <c r="SRT2" t="str">
        <f>LEFT(Database!SSM2,3)</f>
        <v/>
      </c>
      <c r="SRU2" t="str">
        <f>LEFT(Database!SSN2,3)</f>
        <v/>
      </c>
      <c r="SRV2" t="str">
        <f>LEFT(Database!SSO2,3)</f>
        <v/>
      </c>
      <c r="SRW2" t="str">
        <f>LEFT(Database!SSP2,3)</f>
        <v/>
      </c>
      <c r="SRX2" t="str">
        <f>LEFT(Database!SSQ2,3)</f>
        <v/>
      </c>
      <c r="SRY2" t="str">
        <f>LEFT(Database!SSR2,3)</f>
        <v/>
      </c>
      <c r="SRZ2" t="str">
        <f>LEFT(Database!SSS2,3)</f>
        <v/>
      </c>
      <c r="SSA2" t="str">
        <f>LEFT(Database!SST2,3)</f>
        <v/>
      </c>
      <c r="SSB2" t="str">
        <f>LEFT(Database!SSU2,3)</f>
        <v/>
      </c>
      <c r="SSC2" t="str">
        <f>LEFT(Database!SSV2,3)</f>
        <v/>
      </c>
      <c r="SSD2" t="str">
        <f>LEFT(Database!SSW2,3)</f>
        <v/>
      </c>
      <c r="SSE2" t="str">
        <f>LEFT(Database!SSX2,3)</f>
        <v/>
      </c>
      <c r="SSF2" t="str">
        <f>LEFT(Database!SSY2,3)</f>
        <v/>
      </c>
      <c r="SSG2" t="str">
        <f>LEFT(Database!SSZ2,3)</f>
        <v/>
      </c>
      <c r="SSH2" t="str">
        <f>LEFT(Database!STA2,3)</f>
        <v/>
      </c>
      <c r="SSI2" t="str">
        <f>LEFT(Database!STB2,3)</f>
        <v/>
      </c>
      <c r="SSJ2" t="str">
        <f>LEFT(Database!STC2,3)</f>
        <v/>
      </c>
      <c r="SSK2" t="str">
        <f>LEFT(Database!STD2,3)</f>
        <v/>
      </c>
      <c r="SSL2" t="str">
        <f>LEFT(Database!STE2,3)</f>
        <v/>
      </c>
      <c r="SSM2" t="str">
        <f>LEFT(Database!STF2,3)</f>
        <v/>
      </c>
      <c r="SSN2" t="str">
        <f>LEFT(Database!STG2,3)</f>
        <v/>
      </c>
      <c r="SSO2" t="str">
        <f>LEFT(Database!STH2,3)</f>
        <v/>
      </c>
      <c r="SSP2" t="str">
        <f>LEFT(Database!STI2,3)</f>
        <v/>
      </c>
      <c r="SSQ2" t="str">
        <f>LEFT(Database!STJ2,3)</f>
        <v/>
      </c>
      <c r="SSR2" t="str">
        <f>LEFT(Database!STK2,3)</f>
        <v/>
      </c>
      <c r="SSS2" t="str">
        <f>LEFT(Database!STL2,3)</f>
        <v/>
      </c>
      <c r="SST2" t="str">
        <f>LEFT(Database!STM2,3)</f>
        <v/>
      </c>
      <c r="SSU2" t="str">
        <f>LEFT(Database!STN2,3)</f>
        <v/>
      </c>
      <c r="SSV2" t="str">
        <f>LEFT(Database!STO2,3)</f>
        <v/>
      </c>
      <c r="SSW2" t="str">
        <f>LEFT(Database!STP2,3)</f>
        <v/>
      </c>
      <c r="SSX2" t="str">
        <f>LEFT(Database!STQ2,3)</f>
        <v/>
      </c>
      <c r="SSY2" t="str">
        <f>LEFT(Database!STR2,3)</f>
        <v/>
      </c>
      <c r="SSZ2" t="str">
        <f>LEFT(Database!STS2,3)</f>
        <v/>
      </c>
      <c r="STA2" t="str">
        <f>LEFT(Database!STT2,3)</f>
        <v/>
      </c>
      <c r="STB2" t="str">
        <f>LEFT(Database!STU2,3)</f>
        <v/>
      </c>
      <c r="STC2" t="str">
        <f>LEFT(Database!STV2,3)</f>
        <v/>
      </c>
      <c r="STD2" t="str">
        <f>LEFT(Database!STW2,3)</f>
        <v/>
      </c>
      <c r="STE2" t="str">
        <f>LEFT(Database!STX2,3)</f>
        <v/>
      </c>
      <c r="STF2" t="str">
        <f>LEFT(Database!STY2,3)</f>
        <v/>
      </c>
      <c r="STG2" t="str">
        <f>LEFT(Database!STZ2,3)</f>
        <v/>
      </c>
      <c r="STH2" t="str">
        <f>LEFT(Database!SUA2,3)</f>
        <v/>
      </c>
      <c r="STI2" t="str">
        <f>LEFT(Database!SUB2,3)</f>
        <v/>
      </c>
      <c r="STJ2" t="str">
        <f>LEFT(Database!SUC2,3)</f>
        <v/>
      </c>
      <c r="STK2" t="str">
        <f>LEFT(Database!SUD2,3)</f>
        <v/>
      </c>
      <c r="STL2" t="str">
        <f>LEFT(Database!SUE2,3)</f>
        <v/>
      </c>
      <c r="STM2" t="str">
        <f>LEFT(Database!SUF2,3)</f>
        <v/>
      </c>
      <c r="STN2" t="str">
        <f>LEFT(Database!SUG2,3)</f>
        <v/>
      </c>
      <c r="STO2" t="str">
        <f>LEFT(Database!SUH2,3)</f>
        <v/>
      </c>
      <c r="STP2" t="str">
        <f>LEFT(Database!SUI2,3)</f>
        <v/>
      </c>
      <c r="STQ2" t="str">
        <f>LEFT(Database!SUJ2,3)</f>
        <v/>
      </c>
      <c r="STR2" t="str">
        <f>LEFT(Database!SUK2,3)</f>
        <v/>
      </c>
      <c r="STS2" t="str">
        <f>LEFT(Database!SUL2,3)</f>
        <v/>
      </c>
      <c r="STT2" t="str">
        <f>LEFT(Database!SUM2,3)</f>
        <v/>
      </c>
      <c r="STU2" t="str">
        <f>LEFT(Database!SUN2,3)</f>
        <v/>
      </c>
      <c r="STV2" t="str">
        <f>LEFT(Database!SUO2,3)</f>
        <v/>
      </c>
      <c r="STW2" t="str">
        <f>LEFT(Database!SUP2,3)</f>
        <v/>
      </c>
      <c r="STX2" t="str">
        <f>LEFT(Database!SUQ2,3)</f>
        <v/>
      </c>
      <c r="STY2" t="str">
        <f>LEFT(Database!SUR2,3)</f>
        <v/>
      </c>
      <c r="STZ2" t="str">
        <f>LEFT(Database!SUS2,3)</f>
        <v/>
      </c>
      <c r="SUA2" t="str">
        <f>LEFT(Database!SUT2,3)</f>
        <v/>
      </c>
      <c r="SUB2" t="str">
        <f>LEFT(Database!SUU2,3)</f>
        <v/>
      </c>
      <c r="SUC2" t="str">
        <f>LEFT(Database!SUV2,3)</f>
        <v/>
      </c>
      <c r="SUD2" t="str">
        <f>LEFT(Database!SUW2,3)</f>
        <v/>
      </c>
      <c r="SUE2" t="str">
        <f>LEFT(Database!SUX2,3)</f>
        <v/>
      </c>
      <c r="SUF2" t="str">
        <f>LEFT(Database!SUY2,3)</f>
        <v/>
      </c>
      <c r="SUG2" t="str">
        <f>LEFT(Database!SUZ2,3)</f>
        <v/>
      </c>
      <c r="SUH2" t="str">
        <f>LEFT(Database!SVA2,3)</f>
        <v/>
      </c>
      <c r="SUI2" t="str">
        <f>LEFT(Database!SVB2,3)</f>
        <v/>
      </c>
      <c r="SUJ2" t="str">
        <f>LEFT(Database!SVC2,3)</f>
        <v/>
      </c>
      <c r="SUK2" t="str">
        <f>LEFT(Database!SVD2,3)</f>
        <v/>
      </c>
      <c r="SUL2" t="str">
        <f>LEFT(Database!SVE2,3)</f>
        <v/>
      </c>
      <c r="SUM2" t="str">
        <f>LEFT(Database!SVF2,3)</f>
        <v/>
      </c>
      <c r="SUN2" t="str">
        <f>LEFT(Database!SVG2,3)</f>
        <v/>
      </c>
      <c r="SUO2" t="str">
        <f>LEFT(Database!SVH2,3)</f>
        <v/>
      </c>
      <c r="SUP2" t="str">
        <f>LEFT(Database!SVI2,3)</f>
        <v/>
      </c>
      <c r="SUQ2" t="str">
        <f>LEFT(Database!SVJ2,3)</f>
        <v/>
      </c>
      <c r="SUR2" t="str">
        <f>LEFT(Database!SVK2,3)</f>
        <v/>
      </c>
      <c r="SUS2" t="str">
        <f>LEFT(Database!SVL2,3)</f>
        <v/>
      </c>
      <c r="SUT2" t="str">
        <f>LEFT(Database!SVM2,3)</f>
        <v/>
      </c>
      <c r="SUU2" t="str">
        <f>LEFT(Database!SVN2,3)</f>
        <v/>
      </c>
      <c r="SUV2" t="str">
        <f>LEFT(Database!SVO2,3)</f>
        <v/>
      </c>
      <c r="SUW2" t="str">
        <f>LEFT(Database!SVP2,3)</f>
        <v/>
      </c>
      <c r="SUX2" t="str">
        <f>LEFT(Database!SVQ2,3)</f>
        <v/>
      </c>
      <c r="SUY2" t="str">
        <f>LEFT(Database!SVR2,3)</f>
        <v/>
      </c>
      <c r="SUZ2" t="str">
        <f>LEFT(Database!SVS2,3)</f>
        <v/>
      </c>
      <c r="SVA2" t="str">
        <f>LEFT(Database!SVT2,3)</f>
        <v/>
      </c>
      <c r="SVB2" t="str">
        <f>LEFT(Database!SVU2,3)</f>
        <v/>
      </c>
      <c r="SVC2" t="str">
        <f>LEFT(Database!SVV2,3)</f>
        <v/>
      </c>
      <c r="SVD2" t="str">
        <f>LEFT(Database!SVW2,3)</f>
        <v/>
      </c>
      <c r="SVE2" t="str">
        <f>LEFT(Database!SVX2,3)</f>
        <v/>
      </c>
      <c r="SVF2" t="str">
        <f>LEFT(Database!SVY2,3)</f>
        <v/>
      </c>
      <c r="SVG2" t="str">
        <f>LEFT(Database!SVZ2,3)</f>
        <v/>
      </c>
      <c r="SVH2" t="str">
        <f>LEFT(Database!SWA2,3)</f>
        <v/>
      </c>
      <c r="SVI2" t="str">
        <f>LEFT(Database!SWB2,3)</f>
        <v/>
      </c>
      <c r="SVJ2" t="str">
        <f>LEFT(Database!SWC2,3)</f>
        <v/>
      </c>
      <c r="SVK2" t="str">
        <f>LEFT(Database!SWD2,3)</f>
        <v/>
      </c>
      <c r="SVL2" t="str">
        <f>LEFT(Database!SWE2,3)</f>
        <v/>
      </c>
      <c r="SVM2" t="str">
        <f>LEFT(Database!SWF2,3)</f>
        <v/>
      </c>
      <c r="SVN2" t="str">
        <f>LEFT(Database!SWG2,3)</f>
        <v/>
      </c>
      <c r="SVO2" t="str">
        <f>LEFT(Database!SWH2,3)</f>
        <v/>
      </c>
      <c r="SVP2" t="str">
        <f>LEFT(Database!SWI2,3)</f>
        <v/>
      </c>
      <c r="SVQ2" t="str">
        <f>LEFT(Database!SWJ2,3)</f>
        <v/>
      </c>
      <c r="SVR2" t="str">
        <f>LEFT(Database!SWK2,3)</f>
        <v/>
      </c>
      <c r="SVS2" t="str">
        <f>LEFT(Database!SWL2,3)</f>
        <v/>
      </c>
      <c r="SVT2" t="str">
        <f>LEFT(Database!SWM2,3)</f>
        <v/>
      </c>
      <c r="SVU2" t="str">
        <f>LEFT(Database!SWN2,3)</f>
        <v/>
      </c>
      <c r="SVV2" t="str">
        <f>LEFT(Database!SWO2,3)</f>
        <v/>
      </c>
      <c r="SVW2" t="str">
        <f>LEFT(Database!SWP2,3)</f>
        <v/>
      </c>
      <c r="SVX2" t="str">
        <f>LEFT(Database!SWQ2,3)</f>
        <v/>
      </c>
      <c r="SVY2" t="str">
        <f>LEFT(Database!SWR2,3)</f>
        <v/>
      </c>
      <c r="SVZ2" t="str">
        <f>LEFT(Database!SWS2,3)</f>
        <v/>
      </c>
      <c r="SWA2" t="str">
        <f>LEFT(Database!SWT2,3)</f>
        <v/>
      </c>
      <c r="SWB2" t="str">
        <f>LEFT(Database!SWU2,3)</f>
        <v/>
      </c>
      <c r="SWC2" t="str">
        <f>LEFT(Database!SWV2,3)</f>
        <v/>
      </c>
      <c r="SWD2" t="str">
        <f>LEFT(Database!SWW2,3)</f>
        <v/>
      </c>
      <c r="SWE2" t="str">
        <f>LEFT(Database!SWX2,3)</f>
        <v/>
      </c>
      <c r="SWF2" t="str">
        <f>LEFT(Database!SWY2,3)</f>
        <v/>
      </c>
      <c r="SWG2" t="str">
        <f>LEFT(Database!SWZ2,3)</f>
        <v/>
      </c>
      <c r="SWH2" t="str">
        <f>LEFT(Database!SXA2,3)</f>
        <v/>
      </c>
      <c r="SWI2" t="str">
        <f>LEFT(Database!SXB2,3)</f>
        <v/>
      </c>
      <c r="SWJ2" t="str">
        <f>LEFT(Database!SXC2,3)</f>
        <v/>
      </c>
      <c r="SWK2" t="str">
        <f>LEFT(Database!SXD2,3)</f>
        <v/>
      </c>
      <c r="SWL2" t="str">
        <f>LEFT(Database!SXE2,3)</f>
        <v/>
      </c>
      <c r="SWM2" t="str">
        <f>LEFT(Database!SXF2,3)</f>
        <v/>
      </c>
      <c r="SWN2" t="str">
        <f>LEFT(Database!SXG2,3)</f>
        <v/>
      </c>
      <c r="SWO2" t="str">
        <f>LEFT(Database!SXH2,3)</f>
        <v/>
      </c>
      <c r="SWP2" t="str">
        <f>LEFT(Database!SXI2,3)</f>
        <v/>
      </c>
      <c r="SWQ2" t="str">
        <f>LEFT(Database!SXJ2,3)</f>
        <v/>
      </c>
      <c r="SWR2" t="str">
        <f>LEFT(Database!SXK2,3)</f>
        <v/>
      </c>
      <c r="SWS2" t="str">
        <f>LEFT(Database!SXL2,3)</f>
        <v/>
      </c>
      <c r="SWT2" t="str">
        <f>LEFT(Database!SXM2,3)</f>
        <v/>
      </c>
      <c r="SWU2" t="str">
        <f>LEFT(Database!SXN2,3)</f>
        <v/>
      </c>
      <c r="SWV2" t="str">
        <f>LEFT(Database!SXO2,3)</f>
        <v/>
      </c>
      <c r="SWW2" t="str">
        <f>LEFT(Database!SXP2,3)</f>
        <v/>
      </c>
      <c r="SWX2" t="str">
        <f>LEFT(Database!SXQ2,3)</f>
        <v/>
      </c>
      <c r="SWY2" t="str">
        <f>LEFT(Database!SXR2,3)</f>
        <v/>
      </c>
      <c r="SWZ2" t="str">
        <f>LEFT(Database!SXS2,3)</f>
        <v/>
      </c>
      <c r="SXA2" t="str">
        <f>LEFT(Database!SXT2,3)</f>
        <v/>
      </c>
      <c r="SXB2" t="str">
        <f>LEFT(Database!SXU2,3)</f>
        <v/>
      </c>
      <c r="SXC2" t="str">
        <f>LEFT(Database!SXV2,3)</f>
        <v/>
      </c>
      <c r="SXD2" t="str">
        <f>LEFT(Database!SXW2,3)</f>
        <v/>
      </c>
      <c r="SXE2" t="str">
        <f>LEFT(Database!SXX2,3)</f>
        <v/>
      </c>
      <c r="SXF2" t="str">
        <f>LEFT(Database!SXY2,3)</f>
        <v/>
      </c>
      <c r="SXG2" t="str">
        <f>LEFT(Database!SXZ2,3)</f>
        <v/>
      </c>
      <c r="SXH2" t="str">
        <f>LEFT(Database!SYA2,3)</f>
        <v/>
      </c>
      <c r="SXI2" t="str">
        <f>LEFT(Database!SYB2,3)</f>
        <v/>
      </c>
      <c r="SXJ2" t="str">
        <f>LEFT(Database!SYC2,3)</f>
        <v/>
      </c>
      <c r="SXK2" t="str">
        <f>LEFT(Database!SYD2,3)</f>
        <v/>
      </c>
      <c r="SXL2" t="str">
        <f>LEFT(Database!SYE2,3)</f>
        <v/>
      </c>
      <c r="SXM2" t="str">
        <f>LEFT(Database!SYF2,3)</f>
        <v/>
      </c>
      <c r="SXN2" t="str">
        <f>LEFT(Database!SYG2,3)</f>
        <v/>
      </c>
      <c r="SXO2" t="str">
        <f>LEFT(Database!SYH2,3)</f>
        <v/>
      </c>
      <c r="SXP2" t="str">
        <f>LEFT(Database!SYI2,3)</f>
        <v/>
      </c>
      <c r="SXQ2" t="str">
        <f>LEFT(Database!SYJ2,3)</f>
        <v/>
      </c>
      <c r="SXR2" t="str">
        <f>LEFT(Database!SYK2,3)</f>
        <v/>
      </c>
      <c r="SXS2" t="str">
        <f>LEFT(Database!SYL2,3)</f>
        <v/>
      </c>
      <c r="SXT2" t="str">
        <f>LEFT(Database!SYM2,3)</f>
        <v/>
      </c>
      <c r="SXU2" t="str">
        <f>LEFT(Database!SYN2,3)</f>
        <v/>
      </c>
      <c r="SXV2" t="str">
        <f>LEFT(Database!SYO2,3)</f>
        <v/>
      </c>
      <c r="SXW2" t="str">
        <f>LEFT(Database!SYP2,3)</f>
        <v/>
      </c>
      <c r="SXX2" t="str">
        <f>LEFT(Database!SYQ2,3)</f>
        <v/>
      </c>
      <c r="SXY2" t="str">
        <f>LEFT(Database!SYR2,3)</f>
        <v/>
      </c>
      <c r="SXZ2" t="str">
        <f>LEFT(Database!SYS2,3)</f>
        <v/>
      </c>
      <c r="SYA2" t="str">
        <f>LEFT(Database!SYT2,3)</f>
        <v/>
      </c>
      <c r="SYB2" t="str">
        <f>LEFT(Database!SYU2,3)</f>
        <v/>
      </c>
      <c r="SYC2" t="str">
        <f>LEFT(Database!SYV2,3)</f>
        <v/>
      </c>
      <c r="SYD2" t="str">
        <f>LEFT(Database!SYW2,3)</f>
        <v/>
      </c>
      <c r="SYE2" t="str">
        <f>LEFT(Database!SYX2,3)</f>
        <v/>
      </c>
      <c r="SYF2" t="str">
        <f>LEFT(Database!SYY2,3)</f>
        <v/>
      </c>
      <c r="SYG2" t="str">
        <f>LEFT(Database!SYZ2,3)</f>
        <v/>
      </c>
      <c r="SYH2" t="str">
        <f>LEFT(Database!SZA2,3)</f>
        <v/>
      </c>
      <c r="SYI2" t="str">
        <f>LEFT(Database!SZB2,3)</f>
        <v/>
      </c>
      <c r="SYJ2" t="str">
        <f>LEFT(Database!SZC2,3)</f>
        <v/>
      </c>
      <c r="SYK2" t="str">
        <f>LEFT(Database!SZD2,3)</f>
        <v/>
      </c>
      <c r="SYL2" t="str">
        <f>LEFT(Database!SZE2,3)</f>
        <v/>
      </c>
      <c r="SYM2" t="str">
        <f>LEFT(Database!SZF2,3)</f>
        <v/>
      </c>
      <c r="SYN2" t="str">
        <f>LEFT(Database!SZG2,3)</f>
        <v/>
      </c>
      <c r="SYO2" t="str">
        <f>LEFT(Database!SZH2,3)</f>
        <v/>
      </c>
      <c r="SYP2" t="str">
        <f>LEFT(Database!SZI2,3)</f>
        <v/>
      </c>
      <c r="SYQ2" t="str">
        <f>LEFT(Database!SZJ2,3)</f>
        <v/>
      </c>
      <c r="SYR2" t="str">
        <f>LEFT(Database!SZK2,3)</f>
        <v/>
      </c>
      <c r="SYS2" t="str">
        <f>LEFT(Database!SZL2,3)</f>
        <v/>
      </c>
      <c r="SYT2" t="str">
        <f>LEFT(Database!SZM2,3)</f>
        <v/>
      </c>
      <c r="SYU2" t="str">
        <f>LEFT(Database!SZN2,3)</f>
        <v/>
      </c>
      <c r="SYV2" t="str">
        <f>LEFT(Database!SZO2,3)</f>
        <v/>
      </c>
      <c r="SYW2" t="str">
        <f>LEFT(Database!SZP2,3)</f>
        <v/>
      </c>
      <c r="SYX2" t="str">
        <f>LEFT(Database!SZQ2,3)</f>
        <v/>
      </c>
      <c r="SYY2" t="str">
        <f>LEFT(Database!SZR2,3)</f>
        <v/>
      </c>
      <c r="SYZ2" t="str">
        <f>LEFT(Database!SZS2,3)</f>
        <v/>
      </c>
      <c r="SZA2" t="str">
        <f>LEFT(Database!SZT2,3)</f>
        <v/>
      </c>
      <c r="SZB2" t="str">
        <f>LEFT(Database!SZU2,3)</f>
        <v/>
      </c>
      <c r="SZC2" t="str">
        <f>LEFT(Database!SZV2,3)</f>
        <v/>
      </c>
      <c r="SZD2" t="str">
        <f>LEFT(Database!SZW2,3)</f>
        <v/>
      </c>
      <c r="SZE2" t="str">
        <f>LEFT(Database!SZX2,3)</f>
        <v/>
      </c>
      <c r="SZF2" t="str">
        <f>LEFT(Database!SZY2,3)</f>
        <v/>
      </c>
      <c r="SZG2" t="str">
        <f>LEFT(Database!SZZ2,3)</f>
        <v/>
      </c>
      <c r="SZH2" t="str">
        <f>LEFT(Database!TAA2,3)</f>
        <v/>
      </c>
      <c r="SZI2" t="str">
        <f>LEFT(Database!TAB2,3)</f>
        <v/>
      </c>
      <c r="SZJ2" t="str">
        <f>LEFT(Database!TAC2,3)</f>
        <v/>
      </c>
      <c r="SZK2" t="str">
        <f>LEFT(Database!TAD2,3)</f>
        <v/>
      </c>
      <c r="SZL2" t="str">
        <f>LEFT(Database!TAE2,3)</f>
        <v/>
      </c>
      <c r="SZM2" t="str">
        <f>LEFT(Database!TAF2,3)</f>
        <v/>
      </c>
      <c r="SZN2" t="str">
        <f>LEFT(Database!TAG2,3)</f>
        <v/>
      </c>
      <c r="SZO2" t="str">
        <f>LEFT(Database!TAH2,3)</f>
        <v/>
      </c>
      <c r="SZP2" t="str">
        <f>LEFT(Database!TAI2,3)</f>
        <v/>
      </c>
      <c r="SZQ2" t="str">
        <f>LEFT(Database!TAJ2,3)</f>
        <v/>
      </c>
      <c r="SZR2" t="str">
        <f>LEFT(Database!TAK2,3)</f>
        <v/>
      </c>
      <c r="SZS2" t="str">
        <f>LEFT(Database!TAL2,3)</f>
        <v/>
      </c>
      <c r="SZT2" t="str">
        <f>LEFT(Database!TAM2,3)</f>
        <v/>
      </c>
      <c r="SZU2" t="str">
        <f>LEFT(Database!TAN2,3)</f>
        <v/>
      </c>
      <c r="SZV2" t="str">
        <f>LEFT(Database!TAO2,3)</f>
        <v/>
      </c>
      <c r="SZW2" t="str">
        <f>LEFT(Database!TAP2,3)</f>
        <v/>
      </c>
      <c r="SZX2" t="str">
        <f>LEFT(Database!TAQ2,3)</f>
        <v/>
      </c>
      <c r="SZY2" t="str">
        <f>LEFT(Database!TAR2,3)</f>
        <v/>
      </c>
      <c r="SZZ2" t="str">
        <f>LEFT(Database!TAS2,3)</f>
        <v/>
      </c>
      <c r="TAA2" t="str">
        <f>LEFT(Database!TAT2,3)</f>
        <v/>
      </c>
      <c r="TAB2" t="str">
        <f>LEFT(Database!TAU2,3)</f>
        <v/>
      </c>
      <c r="TAC2" t="str">
        <f>LEFT(Database!TAV2,3)</f>
        <v/>
      </c>
      <c r="TAD2" t="str">
        <f>LEFT(Database!TAW2,3)</f>
        <v/>
      </c>
      <c r="TAE2" t="str">
        <f>LEFT(Database!TAX2,3)</f>
        <v/>
      </c>
      <c r="TAF2" t="str">
        <f>LEFT(Database!TAY2,3)</f>
        <v/>
      </c>
      <c r="TAG2" t="str">
        <f>LEFT(Database!TAZ2,3)</f>
        <v/>
      </c>
      <c r="TAH2" t="str">
        <f>LEFT(Database!TBA2,3)</f>
        <v/>
      </c>
      <c r="TAI2" t="str">
        <f>LEFT(Database!TBB2,3)</f>
        <v/>
      </c>
      <c r="TAJ2" t="str">
        <f>LEFT(Database!TBC2,3)</f>
        <v/>
      </c>
      <c r="TAK2" t="str">
        <f>LEFT(Database!TBD2,3)</f>
        <v/>
      </c>
      <c r="TAL2" t="str">
        <f>LEFT(Database!TBE2,3)</f>
        <v/>
      </c>
      <c r="TAM2" t="str">
        <f>LEFT(Database!TBF2,3)</f>
        <v/>
      </c>
      <c r="TAN2" t="str">
        <f>LEFT(Database!TBG2,3)</f>
        <v/>
      </c>
      <c r="TAO2" t="str">
        <f>LEFT(Database!TBH2,3)</f>
        <v/>
      </c>
      <c r="TAP2" t="str">
        <f>LEFT(Database!TBI2,3)</f>
        <v/>
      </c>
      <c r="TAQ2" t="str">
        <f>LEFT(Database!TBJ2,3)</f>
        <v/>
      </c>
      <c r="TAR2" t="str">
        <f>LEFT(Database!TBK2,3)</f>
        <v/>
      </c>
      <c r="TAS2" t="str">
        <f>LEFT(Database!TBL2,3)</f>
        <v/>
      </c>
      <c r="TAT2" t="str">
        <f>LEFT(Database!TBM2,3)</f>
        <v/>
      </c>
      <c r="TAU2" t="str">
        <f>LEFT(Database!TBN2,3)</f>
        <v/>
      </c>
      <c r="TAV2" t="str">
        <f>LEFT(Database!TBO2,3)</f>
        <v/>
      </c>
      <c r="TAW2" t="str">
        <f>LEFT(Database!TBP2,3)</f>
        <v/>
      </c>
      <c r="TAX2" t="str">
        <f>LEFT(Database!TBQ2,3)</f>
        <v/>
      </c>
      <c r="TAY2" t="str">
        <f>LEFT(Database!TBR2,3)</f>
        <v/>
      </c>
      <c r="TAZ2" t="str">
        <f>LEFT(Database!TBS2,3)</f>
        <v/>
      </c>
      <c r="TBA2" t="str">
        <f>LEFT(Database!TBT2,3)</f>
        <v/>
      </c>
      <c r="TBB2" t="str">
        <f>LEFT(Database!TBU2,3)</f>
        <v/>
      </c>
      <c r="TBC2" t="str">
        <f>LEFT(Database!TBV2,3)</f>
        <v/>
      </c>
      <c r="TBD2" t="str">
        <f>LEFT(Database!TBW2,3)</f>
        <v/>
      </c>
      <c r="TBE2" t="str">
        <f>LEFT(Database!TBX2,3)</f>
        <v/>
      </c>
      <c r="TBF2" t="str">
        <f>LEFT(Database!TBY2,3)</f>
        <v/>
      </c>
      <c r="TBG2" t="str">
        <f>LEFT(Database!TBZ2,3)</f>
        <v/>
      </c>
      <c r="TBH2" t="str">
        <f>LEFT(Database!TCA2,3)</f>
        <v/>
      </c>
      <c r="TBI2" t="str">
        <f>LEFT(Database!TCB2,3)</f>
        <v/>
      </c>
      <c r="TBJ2" t="str">
        <f>LEFT(Database!TCC2,3)</f>
        <v/>
      </c>
      <c r="TBK2" t="str">
        <f>LEFT(Database!TCD2,3)</f>
        <v/>
      </c>
      <c r="TBL2" t="str">
        <f>LEFT(Database!TCE2,3)</f>
        <v/>
      </c>
      <c r="TBM2" t="str">
        <f>LEFT(Database!TCF2,3)</f>
        <v/>
      </c>
      <c r="TBN2" t="str">
        <f>LEFT(Database!TCG2,3)</f>
        <v/>
      </c>
      <c r="TBO2" t="str">
        <f>LEFT(Database!TCH2,3)</f>
        <v/>
      </c>
      <c r="TBP2" t="str">
        <f>LEFT(Database!TCI2,3)</f>
        <v/>
      </c>
      <c r="TBQ2" t="str">
        <f>LEFT(Database!TCJ2,3)</f>
        <v/>
      </c>
      <c r="TBR2" t="str">
        <f>LEFT(Database!TCK2,3)</f>
        <v/>
      </c>
      <c r="TBS2" t="str">
        <f>LEFT(Database!TCL2,3)</f>
        <v/>
      </c>
      <c r="TBT2" t="str">
        <f>LEFT(Database!TCM2,3)</f>
        <v/>
      </c>
      <c r="TBU2" t="str">
        <f>LEFT(Database!TCN2,3)</f>
        <v/>
      </c>
      <c r="TBV2" t="str">
        <f>LEFT(Database!TCO2,3)</f>
        <v/>
      </c>
      <c r="TBW2" t="str">
        <f>LEFT(Database!TCP2,3)</f>
        <v/>
      </c>
      <c r="TBX2" t="str">
        <f>LEFT(Database!TCQ2,3)</f>
        <v/>
      </c>
      <c r="TBY2" t="str">
        <f>LEFT(Database!TCR2,3)</f>
        <v/>
      </c>
      <c r="TBZ2" t="str">
        <f>LEFT(Database!TCS2,3)</f>
        <v/>
      </c>
      <c r="TCA2" t="str">
        <f>LEFT(Database!TCT2,3)</f>
        <v/>
      </c>
      <c r="TCB2" t="str">
        <f>LEFT(Database!TCU2,3)</f>
        <v/>
      </c>
      <c r="TCC2" t="str">
        <f>LEFT(Database!TCV2,3)</f>
        <v/>
      </c>
      <c r="TCD2" t="str">
        <f>LEFT(Database!TCW2,3)</f>
        <v/>
      </c>
      <c r="TCE2" t="str">
        <f>LEFT(Database!TCX2,3)</f>
        <v/>
      </c>
      <c r="TCF2" t="str">
        <f>LEFT(Database!TCY2,3)</f>
        <v/>
      </c>
      <c r="TCG2" t="str">
        <f>LEFT(Database!TCZ2,3)</f>
        <v/>
      </c>
      <c r="TCH2" t="str">
        <f>LEFT(Database!TDA2,3)</f>
        <v/>
      </c>
      <c r="TCI2" t="str">
        <f>LEFT(Database!TDB2,3)</f>
        <v/>
      </c>
      <c r="TCJ2" t="str">
        <f>LEFT(Database!TDC2,3)</f>
        <v/>
      </c>
      <c r="TCK2" t="str">
        <f>LEFT(Database!TDD2,3)</f>
        <v/>
      </c>
      <c r="TCL2" t="str">
        <f>LEFT(Database!TDE2,3)</f>
        <v/>
      </c>
      <c r="TCM2" t="str">
        <f>LEFT(Database!TDF2,3)</f>
        <v/>
      </c>
      <c r="TCN2" t="str">
        <f>LEFT(Database!TDG2,3)</f>
        <v/>
      </c>
      <c r="TCO2" t="str">
        <f>LEFT(Database!TDH2,3)</f>
        <v/>
      </c>
      <c r="TCP2" t="str">
        <f>LEFT(Database!TDI2,3)</f>
        <v/>
      </c>
      <c r="TCQ2" t="str">
        <f>LEFT(Database!TDJ2,3)</f>
        <v/>
      </c>
      <c r="TCR2" t="str">
        <f>LEFT(Database!TDK2,3)</f>
        <v/>
      </c>
      <c r="TCS2" t="str">
        <f>LEFT(Database!TDL2,3)</f>
        <v/>
      </c>
      <c r="TCT2" t="str">
        <f>LEFT(Database!TDM2,3)</f>
        <v/>
      </c>
      <c r="TCU2" t="str">
        <f>LEFT(Database!TDN2,3)</f>
        <v/>
      </c>
      <c r="TCV2" t="str">
        <f>LEFT(Database!TDO2,3)</f>
        <v/>
      </c>
      <c r="TCW2" t="str">
        <f>LEFT(Database!TDP2,3)</f>
        <v/>
      </c>
      <c r="TCX2" t="str">
        <f>LEFT(Database!TDQ2,3)</f>
        <v/>
      </c>
      <c r="TCY2" t="str">
        <f>LEFT(Database!TDR2,3)</f>
        <v/>
      </c>
      <c r="TCZ2" t="str">
        <f>LEFT(Database!TDS2,3)</f>
        <v/>
      </c>
      <c r="TDA2" t="str">
        <f>LEFT(Database!TDT2,3)</f>
        <v/>
      </c>
      <c r="TDB2" t="str">
        <f>LEFT(Database!TDU2,3)</f>
        <v/>
      </c>
      <c r="TDC2" t="str">
        <f>LEFT(Database!TDV2,3)</f>
        <v/>
      </c>
      <c r="TDD2" t="str">
        <f>LEFT(Database!TDW2,3)</f>
        <v/>
      </c>
      <c r="TDE2" t="str">
        <f>LEFT(Database!TDX2,3)</f>
        <v/>
      </c>
      <c r="TDF2" t="str">
        <f>LEFT(Database!TDY2,3)</f>
        <v/>
      </c>
      <c r="TDG2" t="str">
        <f>LEFT(Database!TDZ2,3)</f>
        <v/>
      </c>
      <c r="TDH2" t="str">
        <f>LEFT(Database!TEA2,3)</f>
        <v/>
      </c>
      <c r="TDI2" t="str">
        <f>LEFT(Database!TEB2,3)</f>
        <v/>
      </c>
      <c r="TDJ2" t="str">
        <f>LEFT(Database!TEC2,3)</f>
        <v/>
      </c>
      <c r="TDK2" t="str">
        <f>LEFT(Database!TED2,3)</f>
        <v/>
      </c>
      <c r="TDL2" t="str">
        <f>LEFT(Database!TEE2,3)</f>
        <v/>
      </c>
      <c r="TDM2" t="str">
        <f>LEFT(Database!TEF2,3)</f>
        <v/>
      </c>
      <c r="TDN2" t="str">
        <f>LEFT(Database!TEG2,3)</f>
        <v/>
      </c>
      <c r="TDO2" t="str">
        <f>LEFT(Database!TEH2,3)</f>
        <v/>
      </c>
      <c r="TDP2" t="str">
        <f>LEFT(Database!TEI2,3)</f>
        <v/>
      </c>
      <c r="TDQ2" t="str">
        <f>LEFT(Database!TEJ2,3)</f>
        <v/>
      </c>
      <c r="TDR2" t="str">
        <f>LEFT(Database!TEK2,3)</f>
        <v/>
      </c>
      <c r="TDS2" t="str">
        <f>LEFT(Database!TEL2,3)</f>
        <v/>
      </c>
      <c r="TDT2" t="str">
        <f>LEFT(Database!TEM2,3)</f>
        <v/>
      </c>
      <c r="TDU2" t="str">
        <f>LEFT(Database!TEN2,3)</f>
        <v/>
      </c>
      <c r="TDV2" t="str">
        <f>LEFT(Database!TEO2,3)</f>
        <v/>
      </c>
      <c r="TDW2" t="str">
        <f>LEFT(Database!TEP2,3)</f>
        <v/>
      </c>
      <c r="TDX2" t="str">
        <f>LEFT(Database!TEQ2,3)</f>
        <v/>
      </c>
      <c r="TDY2" t="str">
        <f>LEFT(Database!TER2,3)</f>
        <v/>
      </c>
      <c r="TDZ2" t="str">
        <f>LEFT(Database!TES2,3)</f>
        <v/>
      </c>
      <c r="TEA2" t="str">
        <f>LEFT(Database!TET2,3)</f>
        <v/>
      </c>
      <c r="TEB2" t="str">
        <f>LEFT(Database!TEU2,3)</f>
        <v/>
      </c>
      <c r="TEC2" t="str">
        <f>LEFT(Database!TEV2,3)</f>
        <v/>
      </c>
      <c r="TED2" t="str">
        <f>LEFT(Database!TEW2,3)</f>
        <v/>
      </c>
      <c r="TEE2" t="str">
        <f>LEFT(Database!TEX2,3)</f>
        <v/>
      </c>
      <c r="TEF2" t="str">
        <f>LEFT(Database!TEY2,3)</f>
        <v/>
      </c>
      <c r="TEG2" t="str">
        <f>LEFT(Database!TEZ2,3)</f>
        <v/>
      </c>
      <c r="TEH2" t="str">
        <f>LEFT(Database!TFA2,3)</f>
        <v/>
      </c>
      <c r="TEI2" t="str">
        <f>LEFT(Database!TFB2,3)</f>
        <v/>
      </c>
      <c r="TEJ2" t="str">
        <f>LEFT(Database!TFC2,3)</f>
        <v/>
      </c>
      <c r="TEK2" t="str">
        <f>LEFT(Database!TFD2,3)</f>
        <v/>
      </c>
      <c r="TEL2" t="str">
        <f>LEFT(Database!TFE2,3)</f>
        <v/>
      </c>
      <c r="TEM2" t="str">
        <f>LEFT(Database!TFF2,3)</f>
        <v/>
      </c>
      <c r="TEN2" t="str">
        <f>LEFT(Database!TFG2,3)</f>
        <v/>
      </c>
      <c r="TEO2" t="str">
        <f>LEFT(Database!TFH2,3)</f>
        <v/>
      </c>
      <c r="TEP2" t="str">
        <f>LEFT(Database!TFI2,3)</f>
        <v/>
      </c>
      <c r="TEQ2" t="str">
        <f>LEFT(Database!TFJ2,3)</f>
        <v/>
      </c>
      <c r="TER2" t="str">
        <f>LEFT(Database!TFK2,3)</f>
        <v/>
      </c>
      <c r="TES2" t="str">
        <f>LEFT(Database!TFL2,3)</f>
        <v/>
      </c>
      <c r="TET2" t="str">
        <f>LEFT(Database!TFM2,3)</f>
        <v/>
      </c>
      <c r="TEU2" t="str">
        <f>LEFT(Database!TFN2,3)</f>
        <v/>
      </c>
      <c r="TEV2" t="str">
        <f>LEFT(Database!TFO2,3)</f>
        <v/>
      </c>
      <c r="TEW2" t="str">
        <f>LEFT(Database!TFP2,3)</f>
        <v/>
      </c>
      <c r="TEX2" t="str">
        <f>LEFT(Database!TFQ2,3)</f>
        <v/>
      </c>
      <c r="TEY2" t="str">
        <f>LEFT(Database!TFR2,3)</f>
        <v/>
      </c>
      <c r="TEZ2" t="str">
        <f>LEFT(Database!TFS2,3)</f>
        <v/>
      </c>
      <c r="TFA2" t="str">
        <f>LEFT(Database!TFT2,3)</f>
        <v/>
      </c>
      <c r="TFB2" t="str">
        <f>LEFT(Database!TFU2,3)</f>
        <v/>
      </c>
      <c r="TFC2" t="str">
        <f>LEFT(Database!TFV2,3)</f>
        <v/>
      </c>
      <c r="TFD2" t="str">
        <f>LEFT(Database!TFW2,3)</f>
        <v/>
      </c>
      <c r="TFE2" t="str">
        <f>LEFT(Database!TFX2,3)</f>
        <v/>
      </c>
      <c r="TFF2" t="str">
        <f>LEFT(Database!TFY2,3)</f>
        <v/>
      </c>
      <c r="TFG2" t="str">
        <f>LEFT(Database!TFZ2,3)</f>
        <v/>
      </c>
      <c r="TFH2" t="str">
        <f>LEFT(Database!TGA2,3)</f>
        <v/>
      </c>
      <c r="TFI2" t="str">
        <f>LEFT(Database!TGB2,3)</f>
        <v/>
      </c>
      <c r="TFJ2" t="str">
        <f>LEFT(Database!TGC2,3)</f>
        <v/>
      </c>
      <c r="TFK2" t="str">
        <f>LEFT(Database!TGD2,3)</f>
        <v/>
      </c>
      <c r="TFL2" t="str">
        <f>LEFT(Database!TGE2,3)</f>
        <v/>
      </c>
      <c r="TFM2" t="str">
        <f>LEFT(Database!TGF2,3)</f>
        <v/>
      </c>
      <c r="TFN2" t="str">
        <f>LEFT(Database!TGG2,3)</f>
        <v/>
      </c>
      <c r="TFO2" t="str">
        <f>LEFT(Database!TGH2,3)</f>
        <v/>
      </c>
      <c r="TFP2" t="str">
        <f>LEFT(Database!TGI2,3)</f>
        <v/>
      </c>
      <c r="TFQ2" t="str">
        <f>LEFT(Database!TGJ2,3)</f>
        <v/>
      </c>
      <c r="TFR2" t="str">
        <f>LEFT(Database!TGK2,3)</f>
        <v/>
      </c>
      <c r="TFS2" t="str">
        <f>LEFT(Database!TGL2,3)</f>
        <v/>
      </c>
      <c r="TFT2" t="str">
        <f>LEFT(Database!TGM2,3)</f>
        <v/>
      </c>
      <c r="TFU2" t="str">
        <f>LEFT(Database!TGN2,3)</f>
        <v/>
      </c>
      <c r="TFV2" t="str">
        <f>LEFT(Database!TGO2,3)</f>
        <v/>
      </c>
      <c r="TFW2" t="str">
        <f>LEFT(Database!TGP2,3)</f>
        <v/>
      </c>
      <c r="TFX2" t="str">
        <f>LEFT(Database!TGQ2,3)</f>
        <v/>
      </c>
      <c r="TFY2" t="str">
        <f>LEFT(Database!TGR2,3)</f>
        <v/>
      </c>
      <c r="TFZ2" t="str">
        <f>LEFT(Database!TGS2,3)</f>
        <v/>
      </c>
      <c r="TGA2" t="str">
        <f>LEFT(Database!TGT2,3)</f>
        <v/>
      </c>
      <c r="TGB2" t="str">
        <f>LEFT(Database!TGU2,3)</f>
        <v/>
      </c>
      <c r="TGC2" t="str">
        <f>LEFT(Database!TGV2,3)</f>
        <v/>
      </c>
      <c r="TGD2" t="str">
        <f>LEFT(Database!TGW2,3)</f>
        <v/>
      </c>
      <c r="TGE2" t="str">
        <f>LEFT(Database!TGX2,3)</f>
        <v/>
      </c>
      <c r="TGF2" t="str">
        <f>LEFT(Database!TGY2,3)</f>
        <v/>
      </c>
      <c r="TGG2" t="str">
        <f>LEFT(Database!TGZ2,3)</f>
        <v/>
      </c>
      <c r="TGH2" t="str">
        <f>LEFT(Database!THA2,3)</f>
        <v/>
      </c>
      <c r="TGI2" t="str">
        <f>LEFT(Database!THB2,3)</f>
        <v/>
      </c>
      <c r="TGJ2" t="str">
        <f>LEFT(Database!THC2,3)</f>
        <v/>
      </c>
      <c r="TGK2" t="str">
        <f>LEFT(Database!THD2,3)</f>
        <v/>
      </c>
      <c r="TGL2" t="str">
        <f>LEFT(Database!THE2,3)</f>
        <v/>
      </c>
      <c r="TGM2" t="str">
        <f>LEFT(Database!THF2,3)</f>
        <v/>
      </c>
      <c r="TGN2" t="str">
        <f>LEFT(Database!THG2,3)</f>
        <v/>
      </c>
      <c r="TGO2" t="str">
        <f>LEFT(Database!THH2,3)</f>
        <v/>
      </c>
      <c r="TGP2" t="str">
        <f>LEFT(Database!THI2,3)</f>
        <v/>
      </c>
      <c r="TGQ2" t="str">
        <f>LEFT(Database!THJ2,3)</f>
        <v/>
      </c>
      <c r="TGR2" t="str">
        <f>LEFT(Database!THK2,3)</f>
        <v/>
      </c>
      <c r="TGS2" t="str">
        <f>LEFT(Database!THL2,3)</f>
        <v/>
      </c>
      <c r="TGT2" t="str">
        <f>LEFT(Database!THM2,3)</f>
        <v/>
      </c>
      <c r="TGU2" t="str">
        <f>LEFT(Database!THN2,3)</f>
        <v/>
      </c>
      <c r="TGV2" t="str">
        <f>LEFT(Database!THO2,3)</f>
        <v/>
      </c>
      <c r="TGW2" t="str">
        <f>LEFT(Database!THP2,3)</f>
        <v/>
      </c>
      <c r="TGX2" t="str">
        <f>LEFT(Database!THQ2,3)</f>
        <v/>
      </c>
      <c r="TGY2" t="str">
        <f>LEFT(Database!THR2,3)</f>
        <v/>
      </c>
      <c r="TGZ2" t="str">
        <f>LEFT(Database!THS2,3)</f>
        <v/>
      </c>
      <c r="THA2" t="str">
        <f>LEFT(Database!THT2,3)</f>
        <v/>
      </c>
      <c r="THB2" t="str">
        <f>LEFT(Database!THU2,3)</f>
        <v/>
      </c>
      <c r="THC2" t="str">
        <f>LEFT(Database!THV2,3)</f>
        <v/>
      </c>
      <c r="THD2" t="str">
        <f>LEFT(Database!THW2,3)</f>
        <v/>
      </c>
      <c r="THE2" t="str">
        <f>LEFT(Database!THX2,3)</f>
        <v/>
      </c>
      <c r="THF2" t="str">
        <f>LEFT(Database!THY2,3)</f>
        <v/>
      </c>
      <c r="THG2" t="str">
        <f>LEFT(Database!THZ2,3)</f>
        <v/>
      </c>
      <c r="THH2" t="str">
        <f>LEFT(Database!TIA2,3)</f>
        <v/>
      </c>
      <c r="THI2" t="str">
        <f>LEFT(Database!TIB2,3)</f>
        <v/>
      </c>
      <c r="THJ2" t="str">
        <f>LEFT(Database!TIC2,3)</f>
        <v/>
      </c>
      <c r="THK2" t="str">
        <f>LEFT(Database!TID2,3)</f>
        <v/>
      </c>
      <c r="THL2" t="str">
        <f>LEFT(Database!TIE2,3)</f>
        <v/>
      </c>
      <c r="THM2" t="str">
        <f>LEFT(Database!TIF2,3)</f>
        <v/>
      </c>
      <c r="THN2" t="str">
        <f>LEFT(Database!TIG2,3)</f>
        <v/>
      </c>
      <c r="THO2" t="str">
        <f>LEFT(Database!TIH2,3)</f>
        <v/>
      </c>
      <c r="THP2" t="str">
        <f>LEFT(Database!TII2,3)</f>
        <v/>
      </c>
      <c r="THQ2" t="str">
        <f>LEFT(Database!TIJ2,3)</f>
        <v/>
      </c>
      <c r="THR2" t="str">
        <f>LEFT(Database!TIK2,3)</f>
        <v/>
      </c>
      <c r="THS2" t="str">
        <f>LEFT(Database!TIL2,3)</f>
        <v/>
      </c>
      <c r="THT2" t="str">
        <f>LEFT(Database!TIM2,3)</f>
        <v/>
      </c>
      <c r="THU2" t="str">
        <f>LEFT(Database!TIN2,3)</f>
        <v/>
      </c>
      <c r="THV2" t="str">
        <f>LEFT(Database!TIO2,3)</f>
        <v/>
      </c>
      <c r="THW2" t="str">
        <f>LEFT(Database!TIP2,3)</f>
        <v/>
      </c>
      <c r="THX2" t="str">
        <f>LEFT(Database!TIQ2,3)</f>
        <v/>
      </c>
      <c r="THY2" t="str">
        <f>LEFT(Database!TIR2,3)</f>
        <v/>
      </c>
      <c r="THZ2" t="str">
        <f>LEFT(Database!TIS2,3)</f>
        <v/>
      </c>
      <c r="TIA2" t="str">
        <f>LEFT(Database!TIT2,3)</f>
        <v/>
      </c>
      <c r="TIB2" t="str">
        <f>LEFT(Database!TIU2,3)</f>
        <v/>
      </c>
      <c r="TIC2" t="str">
        <f>LEFT(Database!TIV2,3)</f>
        <v/>
      </c>
      <c r="TID2" t="str">
        <f>LEFT(Database!TIW2,3)</f>
        <v/>
      </c>
      <c r="TIE2" t="str">
        <f>LEFT(Database!TIX2,3)</f>
        <v/>
      </c>
      <c r="TIF2" t="str">
        <f>LEFT(Database!TIY2,3)</f>
        <v/>
      </c>
      <c r="TIG2" t="str">
        <f>LEFT(Database!TIZ2,3)</f>
        <v/>
      </c>
      <c r="TIH2" t="str">
        <f>LEFT(Database!TJA2,3)</f>
        <v/>
      </c>
      <c r="TII2" t="str">
        <f>LEFT(Database!TJB2,3)</f>
        <v/>
      </c>
      <c r="TIJ2" t="str">
        <f>LEFT(Database!TJC2,3)</f>
        <v/>
      </c>
      <c r="TIK2" t="str">
        <f>LEFT(Database!TJD2,3)</f>
        <v/>
      </c>
      <c r="TIL2" t="str">
        <f>LEFT(Database!TJE2,3)</f>
        <v/>
      </c>
      <c r="TIM2" t="str">
        <f>LEFT(Database!TJF2,3)</f>
        <v/>
      </c>
      <c r="TIN2" t="str">
        <f>LEFT(Database!TJG2,3)</f>
        <v/>
      </c>
      <c r="TIO2" t="str">
        <f>LEFT(Database!TJH2,3)</f>
        <v/>
      </c>
      <c r="TIP2" t="str">
        <f>LEFT(Database!TJI2,3)</f>
        <v/>
      </c>
      <c r="TIQ2" t="str">
        <f>LEFT(Database!TJJ2,3)</f>
        <v/>
      </c>
      <c r="TIR2" t="str">
        <f>LEFT(Database!TJK2,3)</f>
        <v/>
      </c>
      <c r="TIS2" t="str">
        <f>LEFT(Database!TJL2,3)</f>
        <v/>
      </c>
      <c r="TIT2" t="str">
        <f>LEFT(Database!TJM2,3)</f>
        <v/>
      </c>
      <c r="TIU2" t="str">
        <f>LEFT(Database!TJN2,3)</f>
        <v/>
      </c>
      <c r="TIV2" t="str">
        <f>LEFT(Database!TJO2,3)</f>
        <v/>
      </c>
      <c r="TIW2" t="str">
        <f>LEFT(Database!TJP2,3)</f>
        <v/>
      </c>
      <c r="TIX2" t="str">
        <f>LEFT(Database!TJQ2,3)</f>
        <v/>
      </c>
      <c r="TIY2" t="str">
        <f>LEFT(Database!TJR2,3)</f>
        <v/>
      </c>
      <c r="TIZ2" t="str">
        <f>LEFT(Database!TJS2,3)</f>
        <v/>
      </c>
      <c r="TJA2" t="str">
        <f>LEFT(Database!TJT2,3)</f>
        <v/>
      </c>
      <c r="TJB2" t="str">
        <f>LEFT(Database!TJU2,3)</f>
        <v/>
      </c>
      <c r="TJC2" t="str">
        <f>LEFT(Database!TJV2,3)</f>
        <v/>
      </c>
      <c r="TJD2" t="str">
        <f>LEFT(Database!TJW2,3)</f>
        <v/>
      </c>
      <c r="TJE2" t="str">
        <f>LEFT(Database!TJX2,3)</f>
        <v/>
      </c>
      <c r="TJF2" t="str">
        <f>LEFT(Database!TJY2,3)</f>
        <v/>
      </c>
      <c r="TJG2" t="str">
        <f>LEFT(Database!TJZ2,3)</f>
        <v/>
      </c>
      <c r="TJH2" t="str">
        <f>LEFT(Database!TKA2,3)</f>
        <v/>
      </c>
      <c r="TJI2" t="str">
        <f>LEFT(Database!TKB2,3)</f>
        <v/>
      </c>
      <c r="TJJ2" t="str">
        <f>LEFT(Database!TKC2,3)</f>
        <v/>
      </c>
      <c r="TJK2" t="str">
        <f>LEFT(Database!TKD2,3)</f>
        <v/>
      </c>
      <c r="TJL2" t="str">
        <f>LEFT(Database!TKE2,3)</f>
        <v/>
      </c>
      <c r="TJM2" t="str">
        <f>LEFT(Database!TKF2,3)</f>
        <v/>
      </c>
      <c r="TJN2" t="str">
        <f>LEFT(Database!TKG2,3)</f>
        <v/>
      </c>
      <c r="TJO2" t="str">
        <f>LEFT(Database!TKH2,3)</f>
        <v/>
      </c>
      <c r="TJP2" t="str">
        <f>LEFT(Database!TKI2,3)</f>
        <v/>
      </c>
      <c r="TJQ2" t="str">
        <f>LEFT(Database!TKJ2,3)</f>
        <v/>
      </c>
      <c r="TJR2" t="str">
        <f>LEFT(Database!TKK2,3)</f>
        <v/>
      </c>
      <c r="TJS2" t="str">
        <f>LEFT(Database!TKL2,3)</f>
        <v/>
      </c>
      <c r="TJT2" t="str">
        <f>LEFT(Database!TKM2,3)</f>
        <v/>
      </c>
      <c r="TJU2" t="str">
        <f>LEFT(Database!TKN2,3)</f>
        <v/>
      </c>
      <c r="TJV2" t="str">
        <f>LEFT(Database!TKO2,3)</f>
        <v/>
      </c>
      <c r="TJW2" t="str">
        <f>LEFT(Database!TKP2,3)</f>
        <v/>
      </c>
      <c r="TJX2" t="str">
        <f>LEFT(Database!TKQ2,3)</f>
        <v/>
      </c>
      <c r="TJY2" t="str">
        <f>LEFT(Database!TKR2,3)</f>
        <v/>
      </c>
      <c r="TJZ2" t="str">
        <f>LEFT(Database!TKS2,3)</f>
        <v/>
      </c>
      <c r="TKA2" t="str">
        <f>LEFT(Database!TKT2,3)</f>
        <v/>
      </c>
      <c r="TKB2" t="str">
        <f>LEFT(Database!TKU2,3)</f>
        <v/>
      </c>
      <c r="TKC2" t="str">
        <f>LEFT(Database!TKV2,3)</f>
        <v/>
      </c>
      <c r="TKD2" t="str">
        <f>LEFT(Database!TKW2,3)</f>
        <v/>
      </c>
      <c r="TKE2" t="str">
        <f>LEFT(Database!TKX2,3)</f>
        <v/>
      </c>
      <c r="TKF2" t="str">
        <f>LEFT(Database!TKY2,3)</f>
        <v/>
      </c>
      <c r="TKG2" t="str">
        <f>LEFT(Database!TKZ2,3)</f>
        <v/>
      </c>
      <c r="TKH2" t="str">
        <f>LEFT(Database!TLA2,3)</f>
        <v/>
      </c>
      <c r="TKI2" t="str">
        <f>LEFT(Database!TLB2,3)</f>
        <v/>
      </c>
      <c r="TKJ2" t="str">
        <f>LEFT(Database!TLC2,3)</f>
        <v/>
      </c>
      <c r="TKK2" t="str">
        <f>LEFT(Database!TLD2,3)</f>
        <v/>
      </c>
      <c r="TKL2" t="str">
        <f>LEFT(Database!TLE2,3)</f>
        <v/>
      </c>
      <c r="TKM2" t="str">
        <f>LEFT(Database!TLF2,3)</f>
        <v/>
      </c>
      <c r="TKN2" t="str">
        <f>LEFT(Database!TLG2,3)</f>
        <v/>
      </c>
      <c r="TKO2" t="str">
        <f>LEFT(Database!TLH2,3)</f>
        <v/>
      </c>
      <c r="TKP2" t="str">
        <f>LEFT(Database!TLI2,3)</f>
        <v/>
      </c>
      <c r="TKQ2" t="str">
        <f>LEFT(Database!TLJ2,3)</f>
        <v/>
      </c>
      <c r="TKR2" t="str">
        <f>LEFT(Database!TLK2,3)</f>
        <v/>
      </c>
      <c r="TKS2" t="str">
        <f>LEFT(Database!TLL2,3)</f>
        <v/>
      </c>
      <c r="TKT2" t="str">
        <f>LEFT(Database!TLM2,3)</f>
        <v/>
      </c>
      <c r="TKU2" t="str">
        <f>LEFT(Database!TLN2,3)</f>
        <v/>
      </c>
      <c r="TKV2" t="str">
        <f>LEFT(Database!TLO2,3)</f>
        <v/>
      </c>
      <c r="TKW2" t="str">
        <f>LEFT(Database!TLP2,3)</f>
        <v/>
      </c>
      <c r="TKX2" t="str">
        <f>LEFT(Database!TLQ2,3)</f>
        <v/>
      </c>
      <c r="TKY2" t="str">
        <f>LEFT(Database!TLR2,3)</f>
        <v/>
      </c>
      <c r="TKZ2" t="str">
        <f>LEFT(Database!TLS2,3)</f>
        <v/>
      </c>
      <c r="TLA2" t="str">
        <f>LEFT(Database!TLT2,3)</f>
        <v/>
      </c>
      <c r="TLB2" t="str">
        <f>LEFT(Database!TLU2,3)</f>
        <v/>
      </c>
      <c r="TLC2" t="str">
        <f>LEFT(Database!TLV2,3)</f>
        <v/>
      </c>
      <c r="TLD2" t="str">
        <f>LEFT(Database!TLW2,3)</f>
        <v/>
      </c>
      <c r="TLE2" t="str">
        <f>LEFT(Database!TLX2,3)</f>
        <v/>
      </c>
      <c r="TLF2" t="str">
        <f>LEFT(Database!TLY2,3)</f>
        <v/>
      </c>
      <c r="TLG2" t="str">
        <f>LEFT(Database!TLZ2,3)</f>
        <v/>
      </c>
      <c r="TLH2" t="str">
        <f>LEFT(Database!TMA2,3)</f>
        <v/>
      </c>
      <c r="TLI2" t="str">
        <f>LEFT(Database!TMB2,3)</f>
        <v/>
      </c>
      <c r="TLJ2" t="str">
        <f>LEFT(Database!TMC2,3)</f>
        <v/>
      </c>
      <c r="TLK2" t="str">
        <f>LEFT(Database!TMD2,3)</f>
        <v/>
      </c>
      <c r="TLL2" t="str">
        <f>LEFT(Database!TME2,3)</f>
        <v/>
      </c>
      <c r="TLM2" t="str">
        <f>LEFT(Database!TMF2,3)</f>
        <v/>
      </c>
      <c r="TLN2" t="str">
        <f>LEFT(Database!TMG2,3)</f>
        <v/>
      </c>
      <c r="TLO2" t="str">
        <f>LEFT(Database!TMH2,3)</f>
        <v/>
      </c>
      <c r="TLP2" t="str">
        <f>LEFT(Database!TMI2,3)</f>
        <v/>
      </c>
      <c r="TLQ2" t="str">
        <f>LEFT(Database!TMJ2,3)</f>
        <v/>
      </c>
      <c r="TLR2" t="str">
        <f>LEFT(Database!TMK2,3)</f>
        <v/>
      </c>
      <c r="TLS2" t="str">
        <f>LEFT(Database!TML2,3)</f>
        <v/>
      </c>
      <c r="TLT2" t="str">
        <f>LEFT(Database!TMM2,3)</f>
        <v/>
      </c>
      <c r="TLU2" t="str">
        <f>LEFT(Database!TMN2,3)</f>
        <v/>
      </c>
      <c r="TLV2" t="str">
        <f>LEFT(Database!TMO2,3)</f>
        <v/>
      </c>
      <c r="TLW2" t="str">
        <f>LEFT(Database!TMP2,3)</f>
        <v/>
      </c>
      <c r="TLX2" t="str">
        <f>LEFT(Database!TMQ2,3)</f>
        <v/>
      </c>
      <c r="TLY2" t="str">
        <f>LEFT(Database!TMR2,3)</f>
        <v/>
      </c>
      <c r="TLZ2" t="str">
        <f>LEFT(Database!TMS2,3)</f>
        <v/>
      </c>
      <c r="TMA2" t="str">
        <f>LEFT(Database!TMT2,3)</f>
        <v/>
      </c>
      <c r="TMB2" t="str">
        <f>LEFT(Database!TMU2,3)</f>
        <v/>
      </c>
      <c r="TMC2" t="str">
        <f>LEFT(Database!TMV2,3)</f>
        <v/>
      </c>
      <c r="TMD2" t="str">
        <f>LEFT(Database!TMW2,3)</f>
        <v/>
      </c>
      <c r="TME2" t="str">
        <f>LEFT(Database!TMX2,3)</f>
        <v/>
      </c>
      <c r="TMF2" t="str">
        <f>LEFT(Database!TMY2,3)</f>
        <v/>
      </c>
      <c r="TMG2" t="str">
        <f>LEFT(Database!TMZ2,3)</f>
        <v/>
      </c>
      <c r="TMH2" t="str">
        <f>LEFT(Database!TNA2,3)</f>
        <v/>
      </c>
      <c r="TMI2" t="str">
        <f>LEFT(Database!TNB2,3)</f>
        <v/>
      </c>
      <c r="TMJ2" t="str">
        <f>LEFT(Database!TNC2,3)</f>
        <v/>
      </c>
      <c r="TMK2" t="str">
        <f>LEFT(Database!TND2,3)</f>
        <v/>
      </c>
      <c r="TML2" t="str">
        <f>LEFT(Database!TNE2,3)</f>
        <v/>
      </c>
      <c r="TMM2" t="str">
        <f>LEFT(Database!TNF2,3)</f>
        <v/>
      </c>
      <c r="TMN2" t="str">
        <f>LEFT(Database!TNG2,3)</f>
        <v/>
      </c>
      <c r="TMO2" t="str">
        <f>LEFT(Database!TNH2,3)</f>
        <v/>
      </c>
      <c r="TMP2" t="str">
        <f>LEFT(Database!TNI2,3)</f>
        <v/>
      </c>
      <c r="TMQ2" t="str">
        <f>LEFT(Database!TNJ2,3)</f>
        <v/>
      </c>
      <c r="TMR2" t="str">
        <f>LEFT(Database!TNK2,3)</f>
        <v/>
      </c>
      <c r="TMS2" t="str">
        <f>LEFT(Database!TNL2,3)</f>
        <v/>
      </c>
      <c r="TMT2" t="str">
        <f>LEFT(Database!TNM2,3)</f>
        <v/>
      </c>
      <c r="TMU2" t="str">
        <f>LEFT(Database!TNN2,3)</f>
        <v/>
      </c>
      <c r="TMV2" t="str">
        <f>LEFT(Database!TNO2,3)</f>
        <v/>
      </c>
      <c r="TMW2" t="str">
        <f>LEFT(Database!TNP2,3)</f>
        <v/>
      </c>
      <c r="TMX2" t="str">
        <f>LEFT(Database!TNQ2,3)</f>
        <v/>
      </c>
      <c r="TMY2" t="str">
        <f>LEFT(Database!TNR2,3)</f>
        <v/>
      </c>
      <c r="TMZ2" t="str">
        <f>LEFT(Database!TNS2,3)</f>
        <v/>
      </c>
      <c r="TNA2" t="str">
        <f>LEFT(Database!TNT2,3)</f>
        <v/>
      </c>
      <c r="TNB2" t="str">
        <f>LEFT(Database!TNU2,3)</f>
        <v/>
      </c>
      <c r="TNC2" t="str">
        <f>LEFT(Database!TNV2,3)</f>
        <v/>
      </c>
      <c r="TND2" t="str">
        <f>LEFT(Database!TNW2,3)</f>
        <v/>
      </c>
      <c r="TNE2" t="str">
        <f>LEFT(Database!TNX2,3)</f>
        <v/>
      </c>
      <c r="TNF2" t="str">
        <f>LEFT(Database!TNY2,3)</f>
        <v/>
      </c>
      <c r="TNG2" t="str">
        <f>LEFT(Database!TNZ2,3)</f>
        <v/>
      </c>
      <c r="TNH2" t="str">
        <f>LEFT(Database!TOA2,3)</f>
        <v/>
      </c>
      <c r="TNI2" t="str">
        <f>LEFT(Database!TOB2,3)</f>
        <v/>
      </c>
      <c r="TNJ2" t="str">
        <f>LEFT(Database!TOC2,3)</f>
        <v/>
      </c>
      <c r="TNK2" t="str">
        <f>LEFT(Database!TOD2,3)</f>
        <v/>
      </c>
      <c r="TNL2" t="str">
        <f>LEFT(Database!TOE2,3)</f>
        <v/>
      </c>
      <c r="TNM2" t="str">
        <f>LEFT(Database!TOF2,3)</f>
        <v/>
      </c>
      <c r="TNN2" t="str">
        <f>LEFT(Database!TOG2,3)</f>
        <v/>
      </c>
      <c r="TNO2" t="str">
        <f>LEFT(Database!TOH2,3)</f>
        <v/>
      </c>
      <c r="TNP2" t="str">
        <f>LEFT(Database!TOI2,3)</f>
        <v/>
      </c>
      <c r="TNQ2" t="str">
        <f>LEFT(Database!TOJ2,3)</f>
        <v/>
      </c>
      <c r="TNR2" t="str">
        <f>LEFT(Database!TOK2,3)</f>
        <v/>
      </c>
      <c r="TNS2" t="str">
        <f>LEFT(Database!TOL2,3)</f>
        <v/>
      </c>
      <c r="TNT2" t="str">
        <f>LEFT(Database!TOM2,3)</f>
        <v/>
      </c>
      <c r="TNU2" t="str">
        <f>LEFT(Database!TON2,3)</f>
        <v/>
      </c>
      <c r="TNV2" t="str">
        <f>LEFT(Database!TOO2,3)</f>
        <v/>
      </c>
      <c r="TNW2" t="str">
        <f>LEFT(Database!TOP2,3)</f>
        <v/>
      </c>
      <c r="TNX2" t="str">
        <f>LEFT(Database!TOQ2,3)</f>
        <v/>
      </c>
      <c r="TNY2" t="str">
        <f>LEFT(Database!TOR2,3)</f>
        <v/>
      </c>
      <c r="TNZ2" t="str">
        <f>LEFT(Database!TOS2,3)</f>
        <v/>
      </c>
      <c r="TOA2" t="str">
        <f>LEFT(Database!TOT2,3)</f>
        <v/>
      </c>
      <c r="TOB2" t="str">
        <f>LEFT(Database!TOU2,3)</f>
        <v/>
      </c>
      <c r="TOC2" t="str">
        <f>LEFT(Database!TOV2,3)</f>
        <v/>
      </c>
      <c r="TOD2" t="str">
        <f>LEFT(Database!TOW2,3)</f>
        <v/>
      </c>
      <c r="TOE2" t="str">
        <f>LEFT(Database!TOX2,3)</f>
        <v/>
      </c>
      <c r="TOF2" t="str">
        <f>LEFT(Database!TOY2,3)</f>
        <v/>
      </c>
      <c r="TOG2" t="str">
        <f>LEFT(Database!TOZ2,3)</f>
        <v/>
      </c>
      <c r="TOH2" t="str">
        <f>LEFT(Database!TPA2,3)</f>
        <v/>
      </c>
      <c r="TOI2" t="str">
        <f>LEFT(Database!TPB2,3)</f>
        <v/>
      </c>
      <c r="TOJ2" t="str">
        <f>LEFT(Database!TPC2,3)</f>
        <v/>
      </c>
      <c r="TOK2" t="str">
        <f>LEFT(Database!TPD2,3)</f>
        <v/>
      </c>
      <c r="TOL2" t="str">
        <f>LEFT(Database!TPE2,3)</f>
        <v/>
      </c>
      <c r="TOM2" t="str">
        <f>LEFT(Database!TPF2,3)</f>
        <v/>
      </c>
      <c r="TON2" t="str">
        <f>LEFT(Database!TPG2,3)</f>
        <v/>
      </c>
      <c r="TOO2" t="str">
        <f>LEFT(Database!TPH2,3)</f>
        <v/>
      </c>
      <c r="TOP2" t="str">
        <f>LEFT(Database!TPI2,3)</f>
        <v/>
      </c>
      <c r="TOQ2" t="str">
        <f>LEFT(Database!TPJ2,3)</f>
        <v/>
      </c>
      <c r="TOR2" t="str">
        <f>LEFT(Database!TPK2,3)</f>
        <v/>
      </c>
      <c r="TOS2" t="str">
        <f>LEFT(Database!TPL2,3)</f>
        <v/>
      </c>
      <c r="TOT2" t="str">
        <f>LEFT(Database!TPM2,3)</f>
        <v/>
      </c>
      <c r="TOU2" t="str">
        <f>LEFT(Database!TPN2,3)</f>
        <v/>
      </c>
      <c r="TOV2" t="str">
        <f>LEFT(Database!TPO2,3)</f>
        <v/>
      </c>
      <c r="TOW2" t="str">
        <f>LEFT(Database!TPP2,3)</f>
        <v/>
      </c>
      <c r="TOX2" t="str">
        <f>LEFT(Database!TPQ2,3)</f>
        <v/>
      </c>
      <c r="TOY2" t="str">
        <f>LEFT(Database!TPR2,3)</f>
        <v/>
      </c>
      <c r="TOZ2" t="str">
        <f>LEFT(Database!TPS2,3)</f>
        <v/>
      </c>
      <c r="TPA2" t="str">
        <f>LEFT(Database!TPT2,3)</f>
        <v/>
      </c>
      <c r="TPB2" t="str">
        <f>LEFT(Database!TPU2,3)</f>
        <v/>
      </c>
      <c r="TPC2" t="str">
        <f>LEFT(Database!TPV2,3)</f>
        <v/>
      </c>
      <c r="TPD2" t="str">
        <f>LEFT(Database!TPW2,3)</f>
        <v/>
      </c>
      <c r="TPE2" t="str">
        <f>LEFT(Database!TPX2,3)</f>
        <v/>
      </c>
      <c r="TPF2" t="str">
        <f>LEFT(Database!TPY2,3)</f>
        <v/>
      </c>
      <c r="TPG2" t="str">
        <f>LEFT(Database!TPZ2,3)</f>
        <v/>
      </c>
      <c r="TPH2" t="str">
        <f>LEFT(Database!TQA2,3)</f>
        <v/>
      </c>
      <c r="TPI2" t="str">
        <f>LEFT(Database!TQB2,3)</f>
        <v/>
      </c>
      <c r="TPJ2" t="str">
        <f>LEFT(Database!TQC2,3)</f>
        <v/>
      </c>
      <c r="TPK2" t="str">
        <f>LEFT(Database!TQD2,3)</f>
        <v/>
      </c>
      <c r="TPL2" t="str">
        <f>LEFT(Database!TQE2,3)</f>
        <v/>
      </c>
      <c r="TPM2" t="str">
        <f>LEFT(Database!TQF2,3)</f>
        <v/>
      </c>
      <c r="TPN2" t="str">
        <f>LEFT(Database!TQG2,3)</f>
        <v/>
      </c>
      <c r="TPO2" t="str">
        <f>LEFT(Database!TQH2,3)</f>
        <v/>
      </c>
      <c r="TPP2" t="str">
        <f>LEFT(Database!TQI2,3)</f>
        <v/>
      </c>
      <c r="TPQ2" t="str">
        <f>LEFT(Database!TQJ2,3)</f>
        <v/>
      </c>
      <c r="TPR2" t="str">
        <f>LEFT(Database!TQK2,3)</f>
        <v/>
      </c>
      <c r="TPS2" t="str">
        <f>LEFT(Database!TQL2,3)</f>
        <v/>
      </c>
      <c r="TPT2" t="str">
        <f>LEFT(Database!TQM2,3)</f>
        <v/>
      </c>
      <c r="TPU2" t="str">
        <f>LEFT(Database!TQN2,3)</f>
        <v/>
      </c>
      <c r="TPV2" t="str">
        <f>LEFT(Database!TQO2,3)</f>
        <v/>
      </c>
      <c r="TPW2" t="str">
        <f>LEFT(Database!TQP2,3)</f>
        <v/>
      </c>
      <c r="TPX2" t="str">
        <f>LEFT(Database!TQQ2,3)</f>
        <v/>
      </c>
      <c r="TPY2" t="str">
        <f>LEFT(Database!TQR2,3)</f>
        <v/>
      </c>
      <c r="TPZ2" t="str">
        <f>LEFT(Database!TQS2,3)</f>
        <v/>
      </c>
      <c r="TQA2" t="str">
        <f>LEFT(Database!TQT2,3)</f>
        <v/>
      </c>
      <c r="TQB2" t="str">
        <f>LEFT(Database!TQU2,3)</f>
        <v/>
      </c>
      <c r="TQC2" t="str">
        <f>LEFT(Database!TQV2,3)</f>
        <v/>
      </c>
      <c r="TQD2" t="str">
        <f>LEFT(Database!TQW2,3)</f>
        <v/>
      </c>
      <c r="TQE2" t="str">
        <f>LEFT(Database!TQX2,3)</f>
        <v/>
      </c>
      <c r="TQF2" t="str">
        <f>LEFT(Database!TQY2,3)</f>
        <v/>
      </c>
      <c r="TQG2" t="str">
        <f>LEFT(Database!TQZ2,3)</f>
        <v/>
      </c>
      <c r="TQH2" t="str">
        <f>LEFT(Database!TRA2,3)</f>
        <v/>
      </c>
      <c r="TQI2" t="str">
        <f>LEFT(Database!TRB2,3)</f>
        <v/>
      </c>
      <c r="TQJ2" t="str">
        <f>LEFT(Database!TRC2,3)</f>
        <v/>
      </c>
      <c r="TQK2" t="str">
        <f>LEFT(Database!TRD2,3)</f>
        <v/>
      </c>
      <c r="TQL2" t="str">
        <f>LEFT(Database!TRE2,3)</f>
        <v/>
      </c>
      <c r="TQM2" t="str">
        <f>LEFT(Database!TRF2,3)</f>
        <v/>
      </c>
      <c r="TQN2" t="str">
        <f>LEFT(Database!TRG2,3)</f>
        <v/>
      </c>
      <c r="TQO2" t="str">
        <f>LEFT(Database!TRH2,3)</f>
        <v/>
      </c>
      <c r="TQP2" t="str">
        <f>LEFT(Database!TRI2,3)</f>
        <v/>
      </c>
      <c r="TQQ2" t="str">
        <f>LEFT(Database!TRJ2,3)</f>
        <v/>
      </c>
      <c r="TQR2" t="str">
        <f>LEFT(Database!TRK2,3)</f>
        <v/>
      </c>
      <c r="TQS2" t="str">
        <f>LEFT(Database!TRL2,3)</f>
        <v/>
      </c>
      <c r="TQT2" t="str">
        <f>LEFT(Database!TRM2,3)</f>
        <v/>
      </c>
      <c r="TQU2" t="str">
        <f>LEFT(Database!TRN2,3)</f>
        <v/>
      </c>
      <c r="TQV2" t="str">
        <f>LEFT(Database!TRO2,3)</f>
        <v/>
      </c>
      <c r="TQW2" t="str">
        <f>LEFT(Database!TRP2,3)</f>
        <v/>
      </c>
      <c r="TQX2" t="str">
        <f>LEFT(Database!TRQ2,3)</f>
        <v/>
      </c>
      <c r="TQY2" t="str">
        <f>LEFT(Database!TRR2,3)</f>
        <v/>
      </c>
      <c r="TQZ2" t="str">
        <f>LEFT(Database!TRS2,3)</f>
        <v/>
      </c>
      <c r="TRA2" t="str">
        <f>LEFT(Database!TRT2,3)</f>
        <v/>
      </c>
      <c r="TRB2" t="str">
        <f>LEFT(Database!TRU2,3)</f>
        <v/>
      </c>
      <c r="TRC2" t="str">
        <f>LEFT(Database!TRV2,3)</f>
        <v/>
      </c>
      <c r="TRD2" t="str">
        <f>LEFT(Database!TRW2,3)</f>
        <v/>
      </c>
      <c r="TRE2" t="str">
        <f>LEFT(Database!TRX2,3)</f>
        <v/>
      </c>
      <c r="TRF2" t="str">
        <f>LEFT(Database!TRY2,3)</f>
        <v/>
      </c>
      <c r="TRG2" t="str">
        <f>LEFT(Database!TRZ2,3)</f>
        <v/>
      </c>
      <c r="TRH2" t="str">
        <f>LEFT(Database!TSA2,3)</f>
        <v/>
      </c>
      <c r="TRI2" t="str">
        <f>LEFT(Database!TSB2,3)</f>
        <v/>
      </c>
      <c r="TRJ2" t="str">
        <f>LEFT(Database!TSC2,3)</f>
        <v/>
      </c>
      <c r="TRK2" t="str">
        <f>LEFT(Database!TSD2,3)</f>
        <v/>
      </c>
      <c r="TRL2" t="str">
        <f>LEFT(Database!TSE2,3)</f>
        <v/>
      </c>
      <c r="TRM2" t="str">
        <f>LEFT(Database!TSF2,3)</f>
        <v/>
      </c>
      <c r="TRN2" t="str">
        <f>LEFT(Database!TSG2,3)</f>
        <v/>
      </c>
      <c r="TRO2" t="str">
        <f>LEFT(Database!TSH2,3)</f>
        <v/>
      </c>
      <c r="TRP2" t="str">
        <f>LEFT(Database!TSI2,3)</f>
        <v/>
      </c>
      <c r="TRQ2" t="str">
        <f>LEFT(Database!TSJ2,3)</f>
        <v/>
      </c>
      <c r="TRR2" t="str">
        <f>LEFT(Database!TSK2,3)</f>
        <v/>
      </c>
      <c r="TRS2" t="str">
        <f>LEFT(Database!TSL2,3)</f>
        <v/>
      </c>
      <c r="TRT2" t="str">
        <f>LEFT(Database!TSM2,3)</f>
        <v/>
      </c>
      <c r="TRU2" t="str">
        <f>LEFT(Database!TSN2,3)</f>
        <v/>
      </c>
      <c r="TRV2" t="str">
        <f>LEFT(Database!TSO2,3)</f>
        <v/>
      </c>
      <c r="TRW2" t="str">
        <f>LEFT(Database!TSP2,3)</f>
        <v/>
      </c>
      <c r="TRX2" t="str">
        <f>LEFT(Database!TSQ2,3)</f>
        <v/>
      </c>
      <c r="TRY2" t="str">
        <f>LEFT(Database!TSR2,3)</f>
        <v/>
      </c>
      <c r="TRZ2" t="str">
        <f>LEFT(Database!TSS2,3)</f>
        <v/>
      </c>
      <c r="TSA2" t="str">
        <f>LEFT(Database!TST2,3)</f>
        <v/>
      </c>
      <c r="TSB2" t="str">
        <f>LEFT(Database!TSU2,3)</f>
        <v/>
      </c>
      <c r="TSC2" t="str">
        <f>LEFT(Database!TSV2,3)</f>
        <v/>
      </c>
      <c r="TSD2" t="str">
        <f>LEFT(Database!TSW2,3)</f>
        <v/>
      </c>
      <c r="TSE2" t="str">
        <f>LEFT(Database!TSX2,3)</f>
        <v/>
      </c>
      <c r="TSF2" t="str">
        <f>LEFT(Database!TSY2,3)</f>
        <v/>
      </c>
      <c r="TSG2" t="str">
        <f>LEFT(Database!TSZ2,3)</f>
        <v/>
      </c>
      <c r="TSH2" t="str">
        <f>LEFT(Database!TTA2,3)</f>
        <v/>
      </c>
      <c r="TSI2" t="str">
        <f>LEFT(Database!TTB2,3)</f>
        <v/>
      </c>
      <c r="TSJ2" t="str">
        <f>LEFT(Database!TTC2,3)</f>
        <v/>
      </c>
      <c r="TSK2" t="str">
        <f>LEFT(Database!TTD2,3)</f>
        <v/>
      </c>
      <c r="TSL2" t="str">
        <f>LEFT(Database!TTE2,3)</f>
        <v/>
      </c>
      <c r="TSM2" t="str">
        <f>LEFT(Database!TTF2,3)</f>
        <v/>
      </c>
      <c r="TSN2" t="str">
        <f>LEFT(Database!TTG2,3)</f>
        <v/>
      </c>
      <c r="TSO2" t="str">
        <f>LEFT(Database!TTH2,3)</f>
        <v/>
      </c>
      <c r="TSP2" t="str">
        <f>LEFT(Database!TTI2,3)</f>
        <v/>
      </c>
      <c r="TSQ2" t="str">
        <f>LEFT(Database!TTJ2,3)</f>
        <v/>
      </c>
      <c r="TSR2" t="str">
        <f>LEFT(Database!TTK2,3)</f>
        <v/>
      </c>
      <c r="TSS2" t="str">
        <f>LEFT(Database!TTL2,3)</f>
        <v/>
      </c>
      <c r="TST2" t="str">
        <f>LEFT(Database!TTM2,3)</f>
        <v/>
      </c>
      <c r="TSU2" t="str">
        <f>LEFT(Database!TTN2,3)</f>
        <v/>
      </c>
      <c r="TSV2" t="str">
        <f>LEFT(Database!TTO2,3)</f>
        <v/>
      </c>
      <c r="TSW2" t="str">
        <f>LEFT(Database!TTP2,3)</f>
        <v/>
      </c>
      <c r="TSX2" t="str">
        <f>LEFT(Database!TTQ2,3)</f>
        <v/>
      </c>
      <c r="TSY2" t="str">
        <f>LEFT(Database!TTR2,3)</f>
        <v/>
      </c>
      <c r="TSZ2" t="str">
        <f>LEFT(Database!TTS2,3)</f>
        <v/>
      </c>
      <c r="TTA2" t="str">
        <f>LEFT(Database!TTT2,3)</f>
        <v/>
      </c>
      <c r="TTB2" t="str">
        <f>LEFT(Database!TTU2,3)</f>
        <v/>
      </c>
      <c r="TTC2" t="str">
        <f>LEFT(Database!TTV2,3)</f>
        <v/>
      </c>
      <c r="TTD2" t="str">
        <f>LEFT(Database!TTW2,3)</f>
        <v/>
      </c>
      <c r="TTE2" t="str">
        <f>LEFT(Database!TTX2,3)</f>
        <v/>
      </c>
      <c r="TTF2" t="str">
        <f>LEFT(Database!TTY2,3)</f>
        <v/>
      </c>
      <c r="TTG2" t="str">
        <f>LEFT(Database!TTZ2,3)</f>
        <v/>
      </c>
      <c r="TTH2" t="str">
        <f>LEFT(Database!TUA2,3)</f>
        <v/>
      </c>
      <c r="TTI2" t="str">
        <f>LEFT(Database!TUB2,3)</f>
        <v/>
      </c>
      <c r="TTJ2" t="str">
        <f>LEFT(Database!TUC2,3)</f>
        <v/>
      </c>
      <c r="TTK2" t="str">
        <f>LEFT(Database!TUD2,3)</f>
        <v/>
      </c>
      <c r="TTL2" t="str">
        <f>LEFT(Database!TUE2,3)</f>
        <v/>
      </c>
      <c r="TTM2" t="str">
        <f>LEFT(Database!TUF2,3)</f>
        <v/>
      </c>
      <c r="TTN2" t="str">
        <f>LEFT(Database!TUG2,3)</f>
        <v/>
      </c>
      <c r="TTO2" t="str">
        <f>LEFT(Database!TUH2,3)</f>
        <v/>
      </c>
      <c r="TTP2" t="str">
        <f>LEFT(Database!TUI2,3)</f>
        <v/>
      </c>
      <c r="TTQ2" t="str">
        <f>LEFT(Database!TUJ2,3)</f>
        <v/>
      </c>
      <c r="TTR2" t="str">
        <f>LEFT(Database!TUK2,3)</f>
        <v/>
      </c>
      <c r="TTS2" t="str">
        <f>LEFT(Database!TUL2,3)</f>
        <v/>
      </c>
      <c r="TTT2" t="str">
        <f>LEFT(Database!TUM2,3)</f>
        <v/>
      </c>
      <c r="TTU2" t="str">
        <f>LEFT(Database!TUN2,3)</f>
        <v/>
      </c>
      <c r="TTV2" t="str">
        <f>LEFT(Database!TUO2,3)</f>
        <v/>
      </c>
      <c r="TTW2" t="str">
        <f>LEFT(Database!TUP2,3)</f>
        <v/>
      </c>
      <c r="TTX2" t="str">
        <f>LEFT(Database!TUQ2,3)</f>
        <v/>
      </c>
      <c r="TTY2" t="str">
        <f>LEFT(Database!TUR2,3)</f>
        <v/>
      </c>
      <c r="TTZ2" t="str">
        <f>LEFT(Database!TUS2,3)</f>
        <v/>
      </c>
      <c r="TUA2" t="str">
        <f>LEFT(Database!TUT2,3)</f>
        <v/>
      </c>
      <c r="TUB2" t="str">
        <f>LEFT(Database!TUU2,3)</f>
        <v/>
      </c>
      <c r="TUC2" t="str">
        <f>LEFT(Database!TUV2,3)</f>
        <v/>
      </c>
      <c r="TUD2" t="str">
        <f>LEFT(Database!TUW2,3)</f>
        <v/>
      </c>
      <c r="TUE2" t="str">
        <f>LEFT(Database!TUX2,3)</f>
        <v/>
      </c>
      <c r="TUF2" t="str">
        <f>LEFT(Database!TUY2,3)</f>
        <v/>
      </c>
      <c r="TUG2" t="str">
        <f>LEFT(Database!TUZ2,3)</f>
        <v/>
      </c>
      <c r="TUH2" t="str">
        <f>LEFT(Database!TVA2,3)</f>
        <v/>
      </c>
      <c r="TUI2" t="str">
        <f>LEFT(Database!TVB2,3)</f>
        <v/>
      </c>
      <c r="TUJ2" t="str">
        <f>LEFT(Database!TVC2,3)</f>
        <v/>
      </c>
      <c r="TUK2" t="str">
        <f>LEFT(Database!TVD2,3)</f>
        <v/>
      </c>
      <c r="TUL2" t="str">
        <f>LEFT(Database!TVE2,3)</f>
        <v/>
      </c>
      <c r="TUM2" t="str">
        <f>LEFT(Database!TVF2,3)</f>
        <v/>
      </c>
      <c r="TUN2" t="str">
        <f>LEFT(Database!TVG2,3)</f>
        <v/>
      </c>
      <c r="TUO2" t="str">
        <f>LEFT(Database!TVH2,3)</f>
        <v/>
      </c>
      <c r="TUP2" t="str">
        <f>LEFT(Database!TVI2,3)</f>
        <v/>
      </c>
      <c r="TUQ2" t="str">
        <f>LEFT(Database!TVJ2,3)</f>
        <v/>
      </c>
      <c r="TUR2" t="str">
        <f>LEFT(Database!TVK2,3)</f>
        <v/>
      </c>
      <c r="TUS2" t="str">
        <f>LEFT(Database!TVL2,3)</f>
        <v/>
      </c>
      <c r="TUT2" t="str">
        <f>LEFT(Database!TVM2,3)</f>
        <v/>
      </c>
      <c r="TUU2" t="str">
        <f>LEFT(Database!TVN2,3)</f>
        <v/>
      </c>
      <c r="TUV2" t="str">
        <f>LEFT(Database!TVO2,3)</f>
        <v/>
      </c>
      <c r="TUW2" t="str">
        <f>LEFT(Database!TVP2,3)</f>
        <v/>
      </c>
      <c r="TUX2" t="str">
        <f>LEFT(Database!TVQ2,3)</f>
        <v/>
      </c>
      <c r="TUY2" t="str">
        <f>LEFT(Database!TVR2,3)</f>
        <v/>
      </c>
      <c r="TUZ2" t="str">
        <f>LEFT(Database!TVS2,3)</f>
        <v/>
      </c>
      <c r="TVA2" t="str">
        <f>LEFT(Database!TVT2,3)</f>
        <v/>
      </c>
      <c r="TVB2" t="str">
        <f>LEFT(Database!TVU2,3)</f>
        <v/>
      </c>
      <c r="TVC2" t="str">
        <f>LEFT(Database!TVV2,3)</f>
        <v/>
      </c>
      <c r="TVD2" t="str">
        <f>LEFT(Database!TVW2,3)</f>
        <v/>
      </c>
      <c r="TVE2" t="str">
        <f>LEFT(Database!TVX2,3)</f>
        <v/>
      </c>
      <c r="TVF2" t="str">
        <f>LEFT(Database!TVY2,3)</f>
        <v/>
      </c>
      <c r="TVG2" t="str">
        <f>LEFT(Database!TVZ2,3)</f>
        <v/>
      </c>
      <c r="TVH2" t="str">
        <f>LEFT(Database!TWA2,3)</f>
        <v/>
      </c>
      <c r="TVI2" t="str">
        <f>LEFT(Database!TWB2,3)</f>
        <v/>
      </c>
      <c r="TVJ2" t="str">
        <f>LEFT(Database!TWC2,3)</f>
        <v/>
      </c>
      <c r="TVK2" t="str">
        <f>LEFT(Database!TWD2,3)</f>
        <v/>
      </c>
      <c r="TVL2" t="str">
        <f>LEFT(Database!TWE2,3)</f>
        <v/>
      </c>
      <c r="TVM2" t="str">
        <f>LEFT(Database!TWF2,3)</f>
        <v/>
      </c>
      <c r="TVN2" t="str">
        <f>LEFT(Database!TWG2,3)</f>
        <v/>
      </c>
      <c r="TVO2" t="str">
        <f>LEFT(Database!TWH2,3)</f>
        <v/>
      </c>
      <c r="TVP2" t="str">
        <f>LEFT(Database!TWI2,3)</f>
        <v/>
      </c>
      <c r="TVQ2" t="str">
        <f>LEFT(Database!TWJ2,3)</f>
        <v/>
      </c>
      <c r="TVR2" t="str">
        <f>LEFT(Database!TWK2,3)</f>
        <v/>
      </c>
      <c r="TVS2" t="str">
        <f>LEFT(Database!TWL2,3)</f>
        <v/>
      </c>
      <c r="TVT2" t="str">
        <f>LEFT(Database!TWM2,3)</f>
        <v/>
      </c>
      <c r="TVU2" t="str">
        <f>LEFT(Database!TWN2,3)</f>
        <v/>
      </c>
      <c r="TVV2" t="str">
        <f>LEFT(Database!TWO2,3)</f>
        <v/>
      </c>
      <c r="TVW2" t="str">
        <f>LEFT(Database!TWP2,3)</f>
        <v/>
      </c>
      <c r="TVX2" t="str">
        <f>LEFT(Database!TWQ2,3)</f>
        <v/>
      </c>
      <c r="TVY2" t="str">
        <f>LEFT(Database!TWR2,3)</f>
        <v/>
      </c>
      <c r="TVZ2" t="str">
        <f>LEFT(Database!TWS2,3)</f>
        <v/>
      </c>
      <c r="TWA2" t="str">
        <f>LEFT(Database!TWT2,3)</f>
        <v/>
      </c>
      <c r="TWB2" t="str">
        <f>LEFT(Database!TWU2,3)</f>
        <v/>
      </c>
      <c r="TWC2" t="str">
        <f>LEFT(Database!TWV2,3)</f>
        <v/>
      </c>
      <c r="TWD2" t="str">
        <f>LEFT(Database!TWW2,3)</f>
        <v/>
      </c>
      <c r="TWE2" t="str">
        <f>LEFT(Database!TWX2,3)</f>
        <v/>
      </c>
      <c r="TWF2" t="str">
        <f>LEFT(Database!TWY2,3)</f>
        <v/>
      </c>
      <c r="TWG2" t="str">
        <f>LEFT(Database!TWZ2,3)</f>
        <v/>
      </c>
      <c r="TWH2" t="str">
        <f>LEFT(Database!TXA2,3)</f>
        <v/>
      </c>
      <c r="TWI2" t="str">
        <f>LEFT(Database!TXB2,3)</f>
        <v/>
      </c>
      <c r="TWJ2" t="str">
        <f>LEFT(Database!TXC2,3)</f>
        <v/>
      </c>
      <c r="TWK2" t="str">
        <f>LEFT(Database!TXD2,3)</f>
        <v/>
      </c>
      <c r="TWL2" t="str">
        <f>LEFT(Database!TXE2,3)</f>
        <v/>
      </c>
      <c r="TWM2" t="str">
        <f>LEFT(Database!TXF2,3)</f>
        <v/>
      </c>
      <c r="TWN2" t="str">
        <f>LEFT(Database!TXG2,3)</f>
        <v/>
      </c>
      <c r="TWO2" t="str">
        <f>LEFT(Database!TXH2,3)</f>
        <v/>
      </c>
      <c r="TWP2" t="str">
        <f>LEFT(Database!TXI2,3)</f>
        <v/>
      </c>
      <c r="TWQ2" t="str">
        <f>LEFT(Database!TXJ2,3)</f>
        <v/>
      </c>
      <c r="TWR2" t="str">
        <f>LEFT(Database!TXK2,3)</f>
        <v/>
      </c>
      <c r="TWS2" t="str">
        <f>LEFT(Database!TXL2,3)</f>
        <v/>
      </c>
      <c r="TWT2" t="str">
        <f>LEFT(Database!TXM2,3)</f>
        <v/>
      </c>
      <c r="TWU2" t="str">
        <f>LEFT(Database!TXN2,3)</f>
        <v/>
      </c>
      <c r="TWV2" t="str">
        <f>LEFT(Database!TXO2,3)</f>
        <v/>
      </c>
      <c r="TWW2" t="str">
        <f>LEFT(Database!TXP2,3)</f>
        <v/>
      </c>
      <c r="TWX2" t="str">
        <f>LEFT(Database!TXQ2,3)</f>
        <v/>
      </c>
      <c r="TWY2" t="str">
        <f>LEFT(Database!TXR2,3)</f>
        <v/>
      </c>
      <c r="TWZ2" t="str">
        <f>LEFT(Database!TXS2,3)</f>
        <v/>
      </c>
      <c r="TXA2" t="str">
        <f>LEFT(Database!TXT2,3)</f>
        <v/>
      </c>
      <c r="TXB2" t="str">
        <f>LEFT(Database!TXU2,3)</f>
        <v/>
      </c>
      <c r="TXC2" t="str">
        <f>LEFT(Database!TXV2,3)</f>
        <v/>
      </c>
      <c r="TXD2" t="str">
        <f>LEFT(Database!TXW2,3)</f>
        <v/>
      </c>
      <c r="TXE2" t="str">
        <f>LEFT(Database!TXX2,3)</f>
        <v/>
      </c>
      <c r="TXF2" t="str">
        <f>LEFT(Database!TXY2,3)</f>
        <v/>
      </c>
      <c r="TXG2" t="str">
        <f>LEFT(Database!TXZ2,3)</f>
        <v/>
      </c>
      <c r="TXH2" t="str">
        <f>LEFT(Database!TYA2,3)</f>
        <v/>
      </c>
      <c r="TXI2" t="str">
        <f>LEFT(Database!TYB2,3)</f>
        <v/>
      </c>
      <c r="TXJ2" t="str">
        <f>LEFT(Database!TYC2,3)</f>
        <v/>
      </c>
      <c r="TXK2" t="str">
        <f>LEFT(Database!TYD2,3)</f>
        <v/>
      </c>
      <c r="TXL2" t="str">
        <f>LEFT(Database!TYE2,3)</f>
        <v/>
      </c>
      <c r="TXM2" t="str">
        <f>LEFT(Database!TYF2,3)</f>
        <v/>
      </c>
      <c r="TXN2" t="str">
        <f>LEFT(Database!TYG2,3)</f>
        <v/>
      </c>
      <c r="TXO2" t="str">
        <f>LEFT(Database!TYH2,3)</f>
        <v/>
      </c>
      <c r="TXP2" t="str">
        <f>LEFT(Database!TYI2,3)</f>
        <v/>
      </c>
      <c r="TXQ2" t="str">
        <f>LEFT(Database!TYJ2,3)</f>
        <v/>
      </c>
      <c r="TXR2" t="str">
        <f>LEFT(Database!TYK2,3)</f>
        <v/>
      </c>
      <c r="TXS2" t="str">
        <f>LEFT(Database!TYL2,3)</f>
        <v/>
      </c>
      <c r="TXT2" t="str">
        <f>LEFT(Database!TYM2,3)</f>
        <v/>
      </c>
      <c r="TXU2" t="str">
        <f>LEFT(Database!TYN2,3)</f>
        <v/>
      </c>
      <c r="TXV2" t="str">
        <f>LEFT(Database!TYO2,3)</f>
        <v/>
      </c>
      <c r="TXW2" t="str">
        <f>LEFT(Database!TYP2,3)</f>
        <v/>
      </c>
      <c r="TXX2" t="str">
        <f>LEFT(Database!TYQ2,3)</f>
        <v/>
      </c>
      <c r="TXY2" t="str">
        <f>LEFT(Database!TYR2,3)</f>
        <v/>
      </c>
      <c r="TXZ2" t="str">
        <f>LEFT(Database!TYS2,3)</f>
        <v/>
      </c>
      <c r="TYA2" t="str">
        <f>LEFT(Database!TYT2,3)</f>
        <v/>
      </c>
      <c r="TYB2" t="str">
        <f>LEFT(Database!TYU2,3)</f>
        <v/>
      </c>
      <c r="TYC2" t="str">
        <f>LEFT(Database!TYV2,3)</f>
        <v/>
      </c>
      <c r="TYD2" t="str">
        <f>LEFT(Database!TYW2,3)</f>
        <v/>
      </c>
      <c r="TYE2" t="str">
        <f>LEFT(Database!TYX2,3)</f>
        <v/>
      </c>
      <c r="TYF2" t="str">
        <f>LEFT(Database!TYY2,3)</f>
        <v/>
      </c>
      <c r="TYG2" t="str">
        <f>LEFT(Database!TYZ2,3)</f>
        <v/>
      </c>
      <c r="TYH2" t="str">
        <f>LEFT(Database!TZA2,3)</f>
        <v/>
      </c>
      <c r="TYI2" t="str">
        <f>LEFT(Database!TZB2,3)</f>
        <v/>
      </c>
      <c r="TYJ2" t="str">
        <f>LEFT(Database!TZC2,3)</f>
        <v/>
      </c>
      <c r="TYK2" t="str">
        <f>LEFT(Database!TZD2,3)</f>
        <v/>
      </c>
      <c r="TYL2" t="str">
        <f>LEFT(Database!TZE2,3)</f>
        <v/>
      </c>
      <c r="TYM2" t="str">
        <f>LEFT(Database!TZF2,3)</f>
        <v/>
      </c>
      <c r="TYN2" t="str">
        <f>LEFT(Database!TZG2,3)</f>
        <v/>
      </c>
      <c r="TYO2" t="str">
        <f>LEFT(Database!TZH2,3)</f>
        <v/>
      </c>
      <c r="TYP2" t="str">
        <f>LEFT(Database!TZI2,3)</f>
        <v/>
      </c>
      <c r="TYQ2" t="str">
        <f>LEFT(Database!TZJ2,3)</f>
        <v/>
      </c>
      <c r="TYR2" t="str">
        <f>LEFT(Database!TZK2,3)</f>
        <v/>
      </c>
      <c r="TYS2" t="str">
        <f>LEFT(Database!TZL2,3)</f>
        <v/>
      </c>
      <c r="TYT2" t="str">
        <f>LEFT(Database!TZM2,3)</f>
        <v/>
      </c>
      <c r="TYU2" t="str">
        <f>LEFT(Database!TZN2,3)</f>
        <v/>
      </c>
      <c r="TYV2" t="str">
        <f>LEFT(Database!TZO2,3)</f>
        <v/>
      </c>
      <c r="TYW2" t="str">
        <f>LEFT(Database!TZP2,3)</f>
        <v/>
      </c>
      <c r="TYX2" t="str">
        <f>LEFT(Database!TZQ2,3)</f>
        <v/>
      </c>
      <c r="TYY2" t="str">
        <f>LEFT(Database!TZR2,3)</f>
        <v/>
      </c>
      <c r="TYZ2" t="str">
        <f>LEFT(Database!TZS2,3)</f>
        <v/>
      </c>
      <c r="TZA2" t="str">
        <f>LEFT(Database!TZT2,3)</f>
        <v/>
      </c>
      <c r="TZB2" t="str">
        <f>LEFT(Database!TZU2,3)</f>
        <v/>
      </c>
      <c r="TZC2" t="str">
        <f>LEFT(Database!TZV2,3)</f>
        <v/>
      </c>
      <c r="TZD2" t="str">
        <f>LEFT(Database!TZW2,3)</f>
        <v/>
      </c>
      <c r="TZE2" t="str">
        <f>LEFT(Database!TZX2,3)</f>
        <v/>
      </c>
      <c r="TZF2" t="str">
        <f>LEFT(Database!TZY2,3)</f>
        <v/>
      </c>
      <c r="TZG2" t="str">
        <f>LEFT(Database!TZZ2,3)</f>
        <v/>
      </c>
      <c r="TZH2" t="str">
        <f>LEFT(Database!UAA2,3)</f>
        <v/>
      </c>
      <c r="TZI2" t="str">
        <f>LEFT(Database!UAB2,3)</f>
        <v/>
      </c>
      <c r="TZJ2" t="str">
        <f>LEFT(Database!UAC2,3)</f>
        <v/>
      </c>
      <c r="TZK2" t="str">
        <f>LEFT(Database!UAD2,3)</f>
        <v/>
      </c>
      <c r="TZL2" t="str">
        <f>LEFT(Database!UAE2,3)</f>
        <v/>
      </c>
      <c r="TZM2" t="str">
        <f>LEFT(Database!UAF2,3)</f>
        <v/>
      </c>
      <c r="TZN2" t="str">
        <f>LEFT(Database!UAG2,3)</f>
        <v/>
      </c>
      <c r="TZO2" t="str">
        <f>LEFT(Database!UAH2,3)</f>
        <v/>
      </c>
      <c r="TZP2" t="str">
        <f>LEFT(Database!UAI2,3)</f>
        <v/>
      </c>
      <c r="TZQ2" t="str">
        <f>LEFT(Database!UAJ2,3)</f>
        <v/>
      </c>
      <c r="TZR2" t="str">
        <f>LEFT(Database!UAK2,3)</f>
        <v/>
      </c>
      <c r="TZS2" t="str">
        <f>LEFT(Database!UAL2,3)</f>
        <v/>
      </c>
      <c r="TZT2" t="str">
        <f>LEFT(Database!UAM2,3)</f>
        <v/>
      </c>
      <c r="TZU2" t="str">
        <f>LEFT(Database!UAN2,3)</f>
        <v/>
      </c>
      <c r="TZV2" t="str">
        <f>LEFT(Database!UAO2,3)</f>
        <v/>
      </c>
      <c r="TZW2" t="str">
        <f>LEFT(Database!UAP2,3)</f>
        <v/>
      </c>
      <c r="TZX2" t="str">
        <f>LEFT(Database!UAQ2,3)</f>
        <v/>
      </c>
      <c r="TZY2" t="str">
        <f>LEFT(Database!UAR2,3)</f>
        <v/>
      </c>
      <c r="TZZ2" t="str">
        <f>LEFT(Database!UAS2,3)</f>
        <v/>
      </c>
      <c r="UAA2" t="str">
        <f>LEFT(Database!UAT2,3)</f>
        <v/>
      </c>
      <c r="UAB2" t="str">
        <f>LEFT(Database!UAU2,3)</f>
        <v/>
      </c>
      <c r="UAC2" t="str">
        <f>LEFT(Database!UAV2,3)</f>
        <v/>
      </c>
      <c r="UAD2" t="str">
        <f>LEFT(Database!UAW2,3)</f>
        <v/>
      </c>
      <c r="UAE2" t="str">
        <f>LEFT(Database!UAX2,3)</f>
        <v/>
      </c>
      <c r="UAF2" t="str">
        <f>LEFT(Database!UAY2,3)</f>
        <v/>
      </c>
      <c r="UAG2" t="str">
        <f>LEFT(Database!UAZ2,3)</f>
        <v/>
      </c>
      <c r="UAH2" t="str">
        <f>LEFT(Database!UBA2,3)</f>
        <v/>
      </c>
      <c r="UAI2" t="str">
        <f>LEFT(Database!UBB2,3)</f>
        <v/>
      </c>
      <c r="UAJ2" t="str">
        <f>LEFT(Database!UBC2,3)</f>
        <v/>
      </c>
      <c r="UAK2" t="str">
        <f>LEFT(Database!UBD2,3)</f>
        <v/>
      </c>
      <c r="UAL2" t="str">
        <f>LEFT(Database!UBE2,3)</f>
        <v/>
      </c>
      <c r="UAM2" t="str">
        <f>LEFT(Database!UBF2,3)</f>
        <v/>
      </c>
      <c r="UAN2" t="str">
        <f>LEFT(Database!UBG2,3)</f>
        <v/>
      </c>
      <c r="UAO2" t="str">
        <f>LEFT(Database!UBH2,3)</f>
        <v/>
      </c>
      <c r="UAP2" t="str">
        <f>LEFT(Database!UBI2,3)</f>
        <v/>
      </c>
      <c r="UAQ2" t="str">
        <f>LEFT(Database!UBJ2,3)</f>
        <v/>
      </c>
      <c r="UAR2" t="str">
        <f>LEFT(Database!UBK2,3)</f>
        <v/>
      </c>
      <c r="UAS2" t="str">
        <f>LEFT(Database!UBL2,3)</f>
        <v/>
      </c>
      <c r="UAT2" t="str">
        <f>LEFT(Database!UBM2,3)</f>
        <v/>
      </c>
      <c r="UAU2" t="str">
        <f>LEFT(Database!UBN2,3)</f>
        <v/>
      </c>
      <c r="UAV2" t="str">
        <f>LEFT(Database!UBO2,3)</f>
        <v/>
      </c>
      <c r="UAW2" t="str">
        <f>LEFT(Database!UBP2,3)</f>
        <v/>
      </c>
      <c r="UAX2" t="str">
        <f>LEFT(Database!UBQ2,3)</f>
        <v/>
      </c>
      <c r="UAY2" t="str">
        <f>LEFT(Database!UBR2,3)</f>
        <v/>
      </c>
      <c r="UAZ2" t="str">
        <f>LEFT(Database!UBS2,3)</f>
        <v/>
      </c>
      <c r="UBA2" t="str">
        <f>LEFT(Database!UBT2,3)</f>
        <v/>
      </c>
      <c r="UBB2" t="str">
        <f>LEFT(Database!UBU2,3)</f>
        <v/>
      </c>
      <c r="UBC2" t="str">
        <f>LEFT(Database!UBV2,3)</f>
        <v/>
      </c>
      <c r="UBD2" t="str">
        <f>LEFT(Database!UBW2,3)</f>
        <v/>
      </c>
      <c r="UBE2" t="str">
        <f>LEFT(Database!UBX2,3)</f>
        <v/>
      </c>
      <c r="UBF2" t="str">
        <f>LEFT(Database!UBY2,3)</f>
        <v/>
      </c>
      <c r="UBG2" t="str">
        <f>LEFT(Database!UBZ2,3)</f>
        <v/>
      </c>
      <c r="UBH2" t="str">
        <f>LEFT(Database!UCA2,3)</f>
        <v/>
      </c>
      <c r="UBI2" t="str">
        <f>LEFT(Database!UCB2,3)</f>
        <v/>
      </c>
      <c r="UBJ2" t="str">
        <f>LEFT(Database!UCC2,3)</f>
        <v/>
      </c>
      <c r="UBK2" t="str">
        <f>LEFT(Database!UCD2,3)</f>
        <v/>
      </c>
      <c r="UBL2" t="str">
        <f>LEFT(Database!UCE2,3)</f>
        <v/>
      </c>
      <c r="UBM2" t="str">
        <f>LEFT(Database!UCF2,3)</f>
        <v/>
      </c>
      <c r="UBN2" t="str">
        <f>LEFT(Database!UCG2,3)</f>
        <v/>
      </c>
      <c r="UBO2" t="str">
        <f>LEFT(Database!UCH2,3)</f>
        <v/>
      </c>
      <c r="UBP2" t="str">
        <f>LEFT(Database!UCI2,3)</f>
        <v/>
      </c>
      <c r="UBQ2" t="str">
        <f>LEFT(Database!UCJ2,3)</f>
        <v/>
      </c>
      <c r="UBR2" t="str">
        <f>LEFT(Database!UCK2,3)</f>
        <v/>
      </c>
      <c r="UBS2" t="str">
        <f>LEFT(Database!UCL2,3)</f>
        <v/>
      </c>
      <c r="UBT2" t="str">
        <f>LEFT(Database!UCM2,3)</f>
        <v/>
      </c>
      <c r="UBU2" t="str">
        <f>LEFT(Database!UCN2,3)</f>
        <v/>
      </c>
      <c r="UBV2" t="str">
        <f>LEFT(Database!UCO2,3)</f>
        <v/>
      </c>
      <c r="UBW2" t="str">
        <f>LEFT(Database!UCP2,3)</f>
        <v/>
      </c>
      <c r="UBX2" t="str">
        <f>LEFT(Database!UCQ2,3)</f>
        <v/>
      </c>
      <c r="UBY2" t="str">
        <f>LEFT(Database!UCR2,3)</f>
        <v/>
      </c>
      <c r="UBZ2" t="str">
        <f>LEFT(Database!UCS2,3)</f>
        <v/>
      </c>
      <c r="UCA2" t="str">
        <f>LEFT(Database!UCT2,3)</f>
        <v/>
      </c>
      <c r="UCB2" t="str">
        <f>LEFT(Database!UCU2,3)</f>
        <v/>
      </c>
      <c r="UCC2" t="str">
        <f>LEFT(Database!UCV2,3)</f>
        <v/>
      </c>
      <c r="UCD2" t="str">
        <f>LEFT(Database!UCW2,3)</f>
        <v/>
      </c>
      <c r="UCE2" t="str">
        <f>LEFT(Database!UCX2,3)</f>
        <v/>
      </c>
      <c r="UCF2" t="str">
        <f>LEFT(Database!UCY2,3)</f>
        <v/>
      </c>
      <c r="UCG2" t="str">
        <f>LEFT(Database!UCZ2,3)</f>
        <v/>
      </c>
      <c r="UCH2" t="str">
        <f>LEFT(Database!UDA2,3)</f>
        <v/>
      </c>
      <c r="UCI2" t="str">
        <f>LEFT(Database!UDB2,3)</f>
        <v/>
      </c>
      <c r="UCJ2" t="str">
        <f>LEFT(Database!UDC2,3)</f>
        <v/>
      </c>
      <c r="UCK2" t="str">
        <f>LEFT(Database!UDD2,3)</f>
        <v/>
      </c>
      <c r="UCL2" t="str">
        <f>LEFT(Database!UDE2,3)</f>
        <v/>
      </c>
      <c r="UCM2" t="str">
        <f>LEFT(Database!UDF2,3)</f>
        <v/>
      </c>
      <c r="UCN2" t="str">
        <f>LEFT(Database!UDG2,3)</f>
        <v/>
      </c>
      <c r="UCO2" t="str">
        <f>LEFT(Database!UDH2,3)</f>
        <v/>
      </c>
      <c r="UCP2" t="str">
        <f>LEFT(Database!UDI2,3)</f>
        <v/>
      </c>
      <c r="UCQ2" t="str">
        <f>LEFT(Database!UDJ2,3)</f>
        <v/>
      </c>
      <c r="UCR2" t="str">
        <f>LEFT(Database!UDK2,3)</f>
        <v/>
      </c>
      <c r="UCS2" t="str">
        <f>LEFT(Database!UDL2,3)</f>
        <v/>
      </c>
      <c r="UCT2" t="str">
        <f>LEFT(Database!UDM2,3)</f>
        <v/>
      </c>
      <c r="UCU2" t="str">
        <f>LEFT(Database!UDN2,3)</f>
        <v/>
      </c>
      <c r="UCV2" t="str">
        <f>LEFT(Database!UDO2,3)</f>
        <v/>
      </c>
      <c r="UCW2" t="str">
        <f>LEFT(Database!UDP2,3)</f>
        <v/>
      </c>
      <c r="UCX2" t="str">
        <f>LEFT(Database!UDQ2,3)</f>
        <v/>
      </c>
      <c r="UCY2" t="str">
        <f>LEFT(Database!UDR2,3)</f>
        <v/>
      </c>
      <c r="UCZ2" t="str">
        <f>LEFT(Database!UDS2,3)</f>
        <v/>
      </c>
      <c r="UDA2" t="str">
        <f>LEFT(Database!UDT2,3)</f>
        <v/>
      </c>
      <c r="UDB2" t="str">
        <f>LEFT(Database!UDU2,3)</f>
        <v/>
      </c>
      <c r="UDC2" t="str">
        <f>LEFT(Database!UDV2,3)</f>
        <v/>
      </c>
      <c r="UDD2" t="str">
        <f>LEFT(Database!UDW2,3)</f>
        <v/>
      </c>
      <c r="UDE2" t="str">
        <f>LEFT(Database!UDX2,3)</f>
        <v/>
      </c>
      <c r="UDF2" t="str">
        <f>LEFT(Database!UDY2,3)</f>
        <v/>
      </c>
      <c r="UDG2" t="str">
        <f>LEFT(Database!UDZ2,3)</f>
        <v/>
      </c>
      <c r="UDH2" t="str">
        <f>LEFT(Database!UEA2,3)</f>
        <v/>
      </c>
      <c r="UDI2" t="str">
        <f>LEFT(Database!UEB2,3)</f>
        <v/>
      </c>
      <c r="UDJ2" t="str">
        <f>LEFT(Database!UEC2,3)</f>
        <v/>
      </c>
      <c r="UDK2" t="str">
        <f>LEFT(Database!UED2,3)</f>
        <v/>
      </c>
      <c r="UDL2" t="str">
        <f>LEFT(Database!UEE2,3)</f>
        <v/>
      </c>
      <c r="UDM2" t="str">
        <f>LEFT(Database!UEF2,3)</f>
        <v/>
      </c>
      <c r="UDN2" t="str">
        <f>LEFT(Database!UEG2,3)</f>
        <v/>
      </c>
      <c r="UDO2" t="str">
        <f>LEFT(Database!UEH2,3)</f>
        <v/>
      </c>
      <c r="UDP2" t="str">
        <f>LEFT(Database!UEI2,3)</f>
        <v/>
      </c>
      <c r="UDQ2" t="str">
        <f>LEFT(Database!UEJ2,3)</f>
        <v/>
      </c>
      <c r="UDR2" t="str">
        <f>LEFT(Database!UEK2,3)</f>
        <v/>
      </c>
      <c r="UDS2" t="str">
        <f>LEFT(Database!UEL2,3)</f>
        <v/>
      </c>
      <c r="UDT2" t="str">
        <f>LEFT(Database!UEM2,3)</f>
        <v/>
      </c>
      <c r="UDU2" t="str">
        <f>LEFT(Database!UEN2,3)</f>
        <v/>
      </c>
      <c r="UDV2" t="str">
        <f>LEFT(Database!UEO2,3)</f>
        <v/>
      </c>
      <c r="UDW2" t="str">
        <f>LEFT(Database!UEP2,3)</f>
        <v/>
      </c>
      <c r="UDX2" t="str">
        <f>LEFT(Database!UEQ2,3)</f>
        <v/>
      </c>
      <c r="UDY2" t="str">
        <f>LEFT(Database!UER2,3)</f>
        <v/>
      </c>
      <c r="UDZ2" t="str">
        <f>LEFT(Database!UES2,3)</f>
        <v/>
      </c>
      <c r="UEA2" t="str">
        <f>LEFT(Database!UET2,3)</f>
        <v/>
      </c>
      <c r="UEB2" t="str">
        <f>LEFT(Database!UEU2,3)</f>
        <v/>
      </c>
      <c r="UEC2" t="str">
        <f>LEFT(Database!UEV2,3)</f>
        <v/>
      </c>
      <c r="UED2" t="str">
        <f>LEFT(Database!UEW2,3)</f>
        <v/>
      </c>
      <c r="UEE2" t="str">
        <f>LEFT(Database!UEX2,3)</f>
        <v/>
      </c>
      <c r="UEF2" t="str">
        <f>LEFT(Database!UEY2,3)</f>
        <v/>
      </c>
      <c r="UEG2" t="str">
        <f>LEFT(Database!UEZ2,3)</f>
        <v/>
      </c>
      <c r="UEH2" t="str">
        <f>LEFT(Database!UFA2,3)</f>
        <v/>
      </c>
      <c r="UEI2" t="str">
        <f>LEFT(Database!UFB2,3)</f>
        <v/>
      </c>
      <c r="UEJ2" t="str">
        <f>LEFT(Database!UFC2,3)</f>
        <v/>
      </c>
      <c r="UEK2" t="str">
        <f>LEFT(Database!UFD2,3)</f>
        <v/>
      </c>
      <c r="UEL2" t="str">
        <f>LEFT(Database!UFE2,3)</f>
        <v/>
      </c>
      <c r="UEM2" t="str">
        <f>LEFT(Database!UFF2,3)</f>
        <v/>
      </c>
      <c r="UEN2" t="str">
        <f>LEFT(Database!UFG2,3)</f>
        <v/>
      </c>
      <c r="UEO2" t="str">
        <f>LEFT(Database!UFH2,3)</f>
        <v/>
      </c>
      <c r="UEP2" t="str">
        <f>LEFT(Database!UFI2,3)</f>
        <v/>
      </c>
      <c r="UEQ2" t="str">
        <f>LEFT(Database!UFJ2,3)</f>
        <v/>
      </c>
      <c r="UER2" t="str">
        <f>LEFT(Database!UFK2,3)</f>
        <v/>
      </c>
      <c r="UES2" t="str">
        <f>LEFT(Database!UFL2,3)</f>
        <v/>
      </c>
      <c r="UET2" t="str">
        <f>LEFT(Database!UFM2,3)</f>
        <v/>
      </c>
      <c r="UEU2" t="str">
        <f>LEFT(Database!UFN2,3)</f>
        <v/>
      </c>
      <c r="UEV2" t="str">
        <f>LEFT(Database!UFO2,3)</f>
        <v/>
      </c>
      <c r="UEW2" t="str">
        <f>LEFT(Database!UFP2,3)</f>
        <v/>
      </c>
      <c r="UEX2" t="str">
        <f>LEFT(Database!UFQ2,3)</f>
        <v/>
      </c>
      <c r="UEY2" t="str">
        <f>LEFT(Database!UFR2,3)</f>
        <v/>
      </c>
      <c r="UEZ2" t="str">
        <f>LEFT(Database!UFS2,3)</f>
        <v/>
      </c>
      <c r="UFA2" t="str">
        <f>LEFT(Database!UFT2,3)</f>
        <v/>
      </c>
      <c r="UFB2" t="str">
        <f>LEFT(Database!UFU2,3)</f>
        <v/>
      </c>
      <c r="UFC2" t="str">
        <f>LEFT(Database!UFV2,3)</f>
        <v/>
      </c>
      <c r="UFD2" t="str">
        <f>LEFT(Database!UFW2,3)</f>
        <v/>
      </c>
      <c r="UFE2" t="str">
        <f>LEFT(Database!UFX2,3)</f>
        <v/>
      </c>
      <c r="UFF2" t="str">
        <f>LEFT(Database!UFY2,3)</f>
        <v/>
      </c>
      <c r="UFG2" t="str">
        <f>LEFT(Database!UFZ2,3)</f>
        <v/>
      </c>
      <c r="UFH2" t="str">
        <f>LEFT(Database!UGA2,3)</f>
        <v/>
      </c>
      <c r="UFI2" t="str">
        <f>LEFT(Database!UGB2,3)</f>
        <v/>
      </c>
      <c r="UFJ2" t="str">
        <f>LEFT(Database!UGC2,3)</f>
        <v/>
      </c>
      <c r="UFK2" t="str">
        <f>LEFT(Database!UGD2,3)</f>
        <v/>
      </c>
      <c r="UFL2" t="str">
        <f>LEFT(Database!UGE2,3)</f>
        <v/>
      </c>
      <c r="UFM2" t="str">
        <f>LEFT(Database!UGF2,3)</f>
        <v/>
      </c>
      <c r="UFN2" t="str">
        <f>LEFT(Database!UGG2,3)</f>
        <v/>
      </c>
      <c r="UFO2" t="str">
        <f>LEFT(Database!UGH2,3)</f>
        <v/>
      </c>
      <c r="UFP2" t="str">
        <f>LEFT(Database!UGI2,3)</f>
        <v/>
      </c>
      <c r="UFQ2" t="str">
        <f>LEFT(Database!UGJ2,3)</f>
        <v/>
      </c>
      <c r="UFR2" t="str">
        <f>LEFT(Database!UGK2,3)</f>
        <v/>
      </c>
      <c r="UFS2" t="str">
        <f>LEFT(Database!UGL2,3)</f>
        <v/>
      </c>
      <c r="UFT2" t="str">
        <f>LEFT(Database!UGM2,3)</f>
        <v/>
      </c>
      <c r="UFU2" t="str">
        <f>LEFT(Database!UGN2,3)</f>
        <v/>
      </c>
      <c r="UFV2" t="str">
        <f>LEFT(Database!UGO2,3)</f>
        <v/>
      </c>
      <c r="UFW2" t="str">
        <f>LEFT(Database!UGP2,3)</f>
        <v/>
      </c>
      <c r="UFX2" t="str">
        <f>LEFT(Database!UGQ2,3)</f>
        <v/>
      </c>
      <c r="UFY2" t="str">
        <f>LEFT(Database!UGR2,3)</f>
        <v/>
      </c>
      <c r="UFZ2" t="str">
        <f>LEFT(Database!UGS2,3)</f>
        <v/>
      </c>
      <c r="UGA2" t="str">
        <f>LEFT(Database!UGT2,3)</f>
        <v/>
      </c>
      <c r="UGB2" t="str">
        <f>LEFT(Database!UGU2,3)</f>
        <v/>
      </c>
      <c r="UGC2" t="str">
        <f>LEFT(Database!UGV2,3)</f>
        <v/>
      </c>
      <c r="UGD2" t="str">
        <f>LEFT(Database!UGW2,3)</f>
        <v/>
      </c>
      <c r="UGE2" t="str">
        <f>LEFT(Database!UGX2,3)</f>
        <v/>
      </c>
      <c r="UGF2" t="str">
        <f>LEFT(Database!UGY2,3)</f>
        <v/>
      </c>
      <c r="UGG2" t="str">
        <f>LEFT(Database!UGZ2,3)</f>
        <v/>
      </c>
      <c r="UGH2" t="str">
        <f>LEFT(Database!UHA2,3)</f>
        <v/>
      </c>
      <c r="UGI2" t="str">
        <f>LEFT(Database!UHB2,3)</f>
        <v/>
      </c>
      <c r="UGJ2" t="str">
        <f>LEFT(Database!UHC2,3)</f>
        <v/>
      </c>
      <c r="UGK2" t="str">
        <f>LEFT(Database!UHD2,3)</f>
        <v/>
      </c>
      <c r="UGL2" t="str">
        <f>LEFT(Database!UHE2,3)</f>
        <v/>
      </c>
      <c r="UGM2" t="str">
        <f>LEFT(Database!UHF2,3)</f>
        <v/>
      </c>
      <c r="UGN2" t="str">
        <f>LEFT(Database!UHG2,3)</f>
        <v/>
      </c>
      <c r="UGO2" t="str">
        <f>LEFT(Database!UHH2,3)</f>
        <v/>
      </c>
      <c r="UGP2" t="str">
        <f>LEFT(Database!UHI2,3)</f>
        <v/>
      </c>
      <c r="UGQ2" t="str">
        <f>LEFT(Database!UHJ2,3)</f>
        <v/>
      </c>
      <c r="UGR2" t="str">
        <f>LEFT(Database!UHK2,3)</f>
        <v/>
      </c>
      <c r="UGS2" t="str">
        <f>LEFT(Database!UHL2,3)</f>
        <v/>
      </c>
      <c r="UGT2" t="str">
        <f>LEFT(Database!UHM2,3)</f>
        <v/>
      </c>
      <c r="UGU2" t="str">
        <f>LEFT(Database!UHN2,3)</f>
        <v/>
      </c>
      <c r="UGV2" t="str">
        <f>LEFT(Database!UHO2,3)</f>
        <v/>
      </c>
      <c r="UGW2" t="str">
        <f>LEFT(Database!UHP2,3)</f>
        <v/>
      </c>
      <c r="UGX2" t="str">
        <f>LEFT(Database!UHQ2,3)</f>
        <v/>
      </c>
      <c r="UGY2" t="str">
        <f>LEFT(Database!UHR2,3)</f>
        <v/>
      </c>
      <c r="UGZ2" t="str">
        <f>LEFT(Database!UHS2,3)</f>
        <v/>
      </c>
      <c r="UHA2" t="str">
        <f>LEFT(Database!UHT2,3)</f>
        <v/>
      </c>
      <c r="UHB2" t="str">
        <f>LEFT(Database!UHU2,3)</f>
        <v/>
      </c>
      <c r="UHC2" t="str">
        <f>LEFT(Database!UHV2,3)</f>
        <v/>
      </c>
      <c r="UHD2" t="str">
        <f>LEFT(Database!UHW2,3)</f>
        <v/>
      </c>
      <c r="UHE2" t="str">
        <f>LEFT(Database!UHX2,3)</f>
        <v/>
      </c>
      <c r="UHF2" t="str">
        <f>LEFT(Database!UHY2,3)</f>
        <v/>
      </c>
      <c r="UHG2" t="str">
        <f>LEFT(Database!UHZ2,3)</f>
        <v/>
      </c>
      <c r="UHH2" t="str">
        <f>LEFT(Database!UIA2,3)</f>
        <v/>
      </c>
      <c r="UHI2" t="str">
        <f>LEFT(Database!UIB2,3)</f>
        <v/>
      </c>
      <c r="UHJ2" t="str">
        <f>LEFT(Database!UIC2,3)</f>
        <v/>
      </c>
      <c r="UHK2" t="str">
        <f>LEFT(Database!UID2,3)</f>
        <v/>
      </c>
      <c r="UHL2" t="str">
        <f>LEFT(Database!UIE2,3)</f>
        <v/>
      </c>
      <c r="UHM2" t="str">
        <f>LEFT(Database!UIF2,3)</f>
        <v/>
      </c>
      <c r="UHN2" t="str">
        <f>LEFT(Database!UIG2,3)</f>
        <v/>
      </c>
      <c r="UHO2" t="str">
        <f>LEFT(Database!UIH2,3)</f>
        <v/>
      </c>
      <c r="UHP2" t="str">
        <f>LEFT(Database!UII2,3)</f>
        <v/>
      </c>
      <c r="UHQ2" t="str">
        <f>LEFT(Database!UIJ2,3)</f>
        <v/>
      </c>
      <c r="UHR2" t="str">
        <f>LEFT(Database!UIK2,3)</f>
        <v/>
      </c>
      <c r="UHS2" t="str">
        <f>LEFT(Database!UIL2,3)</f>
        <v/>
      </c>
      <c r="UHT2" t="str">
        <f>LEFT(Database!UIM2,3)</f>
        <v/>
      </c>
      <c r="UHU2" t="str">
        <f>LEFT(Database!UIN2,3)</f>
        <v/>
      </c>
      <c r="UHV2" t="str">
        <f>LEFT(Database!UIO2,3)</f>
        <v/>
      </c>
      <c r="UHW2" t="str">
        <f>LEFT(Database!UIP2,3)</f>
        <v/>
      </c>
      <c r="UHX2" t="str">
        <f>LEFT(Database!UIQ2,3)</f>
        <v/>
      </c>
      <c r="UHY2" t="str">
        <f>LEFT(Database!UIR2,3)</f>
        <v/>
      </c>
      <c r="UHZ2" t="str">
        <f>LEFT(Database!UIS2,3)</f>
        <v/>
      </c>
      <c r="UIA2" t="str">
        <f>LEFT(Database!UIT2,3)</f>
        <v/>
      </c>
      <c r="UIB2" t="str">
        <f>LEFT(Database!UIU2,3)</f>
        <v/>
      </c>
      <c r="UIC2" t="str">
        <f>LEFT(Database!UIV2,3)</f>
        <v/>
      </c>
      <c r="UID2" t="str">
        <f>LEFT(Database!UIW2,3)</f>
        <v/>
      </c>
      <c r="UIE2" t="str">
        <f>LEFT(Database!UIX2,3)</f>
        <v/>
      </c>
      <c r="UIF2" t="str">
        <f>LEFT(Database!UIY2,3)</f>
        <v/>
      </c>
      <c r="UIG2" t="str">
        <f>LEFT(Database!UIZ2,3)</f>
        <v/>
      </c>
      <c r="UIH2" t="str">
        <f>LEFT(Database!UJA2,3)</f>
        <v/>
      </c>
      <c r="UII2" t="str">
        <f>LEFT(Database!UJB2,3)</f>
        <v/>
      </c>
      <c r="UIJ2" t="str">
        <f>LEFT(Database!UJC2,3)</f>
        <v/>
      </c>
      <c r="UIK2" t="str">
        <f>LEFT(Database!UJD2,3)</f>
        <v/>
      </c>
      <c r="UIL2" t="str">
        <f>LEFT(Database!UJE2,3)</f>
        <v/>
      </c>
      <c r="UIM2" t="str">
        <f>LEFT(Database!UJF2,3)</f>
        <v/>
      </c>
      <c r="UIN2" t="str">
        <f>LEFT(Database!UJG2,3)</f>
        <v/>
      </c>
      <c r="UIO2" t="str">
        <f>LEFT(Database!UJH2,3)</f>
        <v/>
      </c>
      <c r="UIP2" t="str">
        <f>LEFT(Database!UJI2,3)</f>
        <v/>
      </c>
      <c r="UIQ2" t="str">
        <f>LEFT(Database!UJJ2,3)</f>
        <v/>
      </c>
      <c r="UIR2" t="str">
        <f>LEFT(Database!UJK2,3)</f>
        <v/>
      </c>
      <c r="UIS2" t="str">
        <f>LEFT(Database!UJL2,3)</f>
        <v/>
      </c>
      <c r="UIT2" t="str">
        <f>LEFT(Database!UJM2,3)</f>
        <v/>
      </c>
      <c r="UIU2" t="str">
        <f>LEFT(Database!UJN2,3)</f>
        <v/>
      </c>
      <c r="UIV2" t="str">
        <f>LEFT(Database!UJO2,3)</f>
        <v/>
      </c>
      <c r="UIW2" t="str">
        <f>LEFT(Database!UJP2,3)</f>
        <v/>
      </c>
      <c r="UIX2" t="str">
        <f>LEFT(Database!UJQ2,3)</f>
        <v/>
      </c>
      <c r="UIY2" t="str">
        <f>LEFT(Database!UJR2,3)</f>
        <v/>
      </c>
      <c r="UIZ2" t="str">
        <f>LEFT(Database!UJS2,3)</f>
        <v/>
      </c>
      <c r="UJA2" t="str">
        <f>LEFT(Database!UJT2,3)</f>
        <v/>
      </c>
      <c r="UJB2" t="str">
        <f>LEFT(Database!UJU2,3)</f>
        <v/>
      </c>
      <c r="UJC2" t="str">
        <f>LEFT(Database!UJV2,3)</f>
        <v/>
      </c>
      <c r="UJD2" t="str">
        <f>LEFT(Database!UJW2,3)</f>
        <v/>
      </c>
      <c r="UJE2" t="str">
        <f>LEFT(Database!UJX2,3)</f>
        <v/>
      </c>
      <c r="UJF2" t="str">
        <f>LEFT(Database!UJY2,3)</f>
        <v/>
      </c>
      <c r="UJG2" t="str">
        <f>LEFT(Database!UJZ2,3)</f>
        <v/>
      </c>
      <c r="UJH2" t="str">
        <f>LEFT(Database!UKA2,3)</f>
        <v/>
      </c>
      <c r="UJI2" t="str">
        <f>LEFT(Database!UKB2,3)</f>
        <v/>
      </c>
      <c r="UJJ2" t="str">
        <f>LEFT(Database!UKC2,3)</f>
        <v/>
      </c>
      <c r="UJK2" t="str">
        <f>LEFT(Database!UKD2,3)</f>
        <v/>
      </c>
      <c r="UJL2" t="str">
        <f>LEFT(Database!UKE2,3)</f>
        <v/>
      </c>
      <c r="UJM2" t="str">
        <f>LEFT(Database!UKF2,3)</f>
        <v/>
      </c>
      <c r="UJN2" t="str">
        <f>LEFT(Database!UKG2,3)</f>
        <v/>
      </c>
      <c r="UJO2" t="str">
        <f>LEFT(Database!UKH2,3)</f>
        <v/>
      </c>
      <c r="UJP2" t="str">
        <f>LEFT(Database!UKI2,3)</f>
        <v/>
      </c>
      <c r="UJQ2" t="str">
        <f>LEFT(Database!UKJ2,3)</f>
        <v/>
      </c>
      <c r="UJR2" t="str">
        <f>LEFT(Database!UKK2,3)</f>
        <v/>
      </c>
      <c r="UJS2" t="str">
        <f>LEFT(Database!UKL2,3)</f>
        <v/>
      </c>
      <c r="UJT2" t="str">
        <f>LEFT(Database!UKM2,3)</f>
        <v/>
      </c>
      <c r="UJU2" t="str">
        <f>LEFT(Database!UKN2,3)</f>
        <v/>
      </c>
      <c r="UJV2" t="str">
        <f>LEFT(Database!UKO2,3)</f>
        <v/>
      </c>
      <c r="UJW2" t="str">
        <f>LEFT(Database!UKP2,3)</f>
        <v/>
      </c>
      <c r="UJX2" t="str">
        <f>LEFT(Database!UKQ2,3)</f>
        <v/>
      </c>
      <c r="UJY2" t="str">
        <f>LEFT(Database!UKR2,3)</f>
        <v/>
      </c>
      <c r="UJZ2" t="str">
        <f>LEFT(Database!UKS2,3)</f>
        <v/>
      </c>
      <c r="UKA2" t="str">
        <f>LEFT(Database!UKT2,3)</f>
        <v/>
      </c>
      <c r="UKB2" t="str">
        <f>LEFT(Database!UKU2,3)</f>
        <v/>
      </c>
      <c r="UKC2" t="str">
        <f>LEFT(Database!UKV2,3)</f>
        <v/>
      </c>
      <c r="UKD2" t="str">
        <f>LEFT(Database!UKW2,3)</f>
        <v/>
      </c>
      <c r="UKE2" t="str">
        <f>LEFT(Database!UKX2,3)</f>
        <v/>
      </c>
      <c r="UKF2" t="str">
        <f>LEFT(Database!UKY2,3)</f>
        <v/>
      </c>
      <c r="UKG2" t="str">
        <f>LEFT(Database!UKZ2,3)</f>
        <v/>
      </c>
      <c r="UKH2" t="str">
        <f>LEFT(Database!ULA2,3)</f>
        <v/>
      </c>
      <c r="UKI2" t="str">
        <f>LEFT(Database!ULB2,3)</f>
        <v/>
      </c>
      <c r="UKJ2" t="str">
        <f>LEFT(Database!ULC2,3)</f>
        <v/>
      </c>
      <c r="UKK2" t="str">
        <f>LEFT(Database!ULD2,3)</f>
        <v/>
      </c>
      <c r="UKL2" t="str">
        <f>LEFT(Database!ULE2,3)</f>
        <v/>
      </c>
      <c r="UKM2" t="str">
        <f>LEFT(Database!ULF2,3)</f>
        <v/>
      </c>
      <c r="UKN2" t="str">
        <f>LEFT(Database!ULG2,3)</f>
        <v/>
      </c>
      <c r="UKO2" t="str">
        <f>LEFT(Database!ULH2,3)</f>
        <v/>
      </c>
      <c r="UKP2" t="str">
        <f>LEFT(Database!ULI2,3)</f>
        <v/>
      </c>
      <c r="UKQ2" t="str">
        <f>LEFT(Database!ULJ2,3)</f>
        <v/>
      </c>
      <c r="UKR2" t="str">
        <f>LEFT(Database!ULK2,3)</f>
        <v/>
      </c>
      <c r="UKS2" t="str">
        <f>LEFT(Database!ULL2,3)</f>
        <v/>
      </c>
      <c r="UKT2" t="str">
        <f>LEFT(Database!ULM2,3)</f>
        <v/>
      </c>
      <c r="UKU2" t="str">
        <f>LEFT(Database!ULN2,3)</f>
        <v/>
      </c>
      <c r="UKV2" t="str">
        <f>LEFT(Database!ULO2,3)</f>
        <v/>
      </c>
      <c r="UKW2" t="str">
        <f>LEFT(Database!ULP2,3)</f>
        <v/>
      </c>
      <c r="UKX2" t="str">
        <f>LEFT(Database!ULQ2,3)</f>
        <v/>
      </c>
      <c r="UKY2" t="str">
        <f>LEFT(Database!ULR2,3)</f>
        <v/>
      </c>
      <c r="UKZ2" t="str">
        <f>LEFT(Database!ULS2,3)</f>
        <v/>
      </c>
      <c r="ULA2" t="str">
        <f>LEFT(Database!ULT2,3)</f>
        <v/>
      </c>
      <c r="ULB2" t="str">
        <f>LEFT(Database!ULU2,3)</f>
        <v/>
      </c>
      <c r="ULC2" t="str">
        <f>LEFT(Database!ULV2,3)</f>
        <v/>
      </c>
      <c r="ULD2" t="str">
        <f>LEFT(Database!ULW2,3)</f>
        <v/>
      </c>
      <c r="ULE2" t="str">
        <f>LEFT(Database!ULX2,3)</f>
        <v/>
      </c>
      <c r="ULF2" t="str">
        <f>LEFT(Database!ULY2,3)</f>
        <v/>
      </c>
      <c r="ULG2" t="str">
        <f>LEFT(Database!ULZ2,3)</f>
        <v/>
      </c>
      <c r="ULH2" t="str">
        <f>LEFT(Database!UMA2,3)</f>
        <v/>
      </c>
      <c r="ULI2" t="str">
        <f>LEFT(Database!UMB2,3)</f>
        <v/>
      </c>
      <c r="ULJ2" t="str">
        <f>LEFT(Database!UMC2,3)</f>
        <v/>
      </c>
      <c r="ULK2" t="str">
        <f>LEFT(Database!UMD2,3)</f>
        <v/>
      </c>
      <c r="ULL2" t="str">
        <f>LEFT(Database!UME2,3)</f>
        <v/>
      </c>
      <c r="ULM2" t="str">
        <f>LEFT(Database!UMF2,3)</f>
        <v/>
      </c>
      <c r="ULN2" t="str">
        <f>LEFT(Database!UMG2,3)</f>
        <v/>
      </c>
      <c r="ULO2" t="str">
        <f>LEFT(Database!UMH2,3)</f>
        <v/>
      </c>
      <c r="ULP2" t="str">
        <f>LEFT(Database!UMI2,3)</f>
        <v/>
      </c>
      <c r="ULQ2" t="str">
        <f>LEFT(Database!UMJ2,3)</f>
        <v/>
      </c>
      <c r="ULR2" t="str">
        <f>LEFT(Database!UMK2,3)</f>
        <v/>
      </c>
      <c r="ULS2" t="str">
        <f>LEFT(Database!UML2,3)</f>
        <v/>
      </c>
      <c r="ULT2" t="str">
        <f>LEFT(Database!UMM2,3)</f>
        <v/>
      </c>
      <c r="ULU2" t="str">
        <f>LEFT(Database!UMN2,3)</f>
        <v/>
      </c>
      <c r="ULV2" t="str">
        <f>LEFT(Database!UMO2,3)</f>
        <v/>
      </c>
      <c r="ULW2" t="str">
        <f>LEFT(Database!UMP2,3)</f>
        <v/>
      </c>
      <c r="ULX2" t="str">
        <f>LEFT(Database!UMQ2,3)</f>
        <v/>
      </c>
      <c r="ULY2" t="str">
        <f>LEFT(Database!UMR2,3)</f>
        <v/>
      </c>
      <c r="ULZ2" t="str">
        <f>LEFT(Database!UMS2,3)</f>
        <v/>
      </c>
      <c r="UMA2" t="str">
        <f>LEFT(Database!UMT2,3)</f>
        <v/>
      </c>
      <c r="UMB2" t="str">
        <f>LEFT(Database!UMU2,3)</f>
        <v/>
      </c>
      <c r="UMC2" t="str">
        <f>LEFT(Database!UMV2,3)</f>
        <v/>
      </c>
      <c r="UMD2" t="str">
        <f>LEFT(Database!UMW2,3)</f>
        <v/>
      </c>
      <c r="UME2" t="str">
        <f>LEFT(Database!UMX2,3)</f>
        <v/>
      </c>
      <c r="UMF2" t="str">
        <f>LEFT(Database!UMY2,3)</f>
        <v/>
      </c>
      <c r="UMG2" t="str">
        <f>LEFT(Database!UMZ2,3)</f>
        <v/>
      </c>
      <c r="UMH2" t="str">
        <f>LEFT(Database!UNA2,3)</f>
        <v/>
      </c>
      <c r="UMI2" t="str">
        <f>LEFT(Database!UNB2,3)</f>
        <v/>
      </c>
      <c r="UMJ2" t="str">
        <f>LEFT(Database!UNC2,3)</f>
        <v/>
      </c>
      <c r="UMK2" t="str">
        <f>LEFT(Database!UND2,3)</f>
        <v/>
      </c>
      <c r="UML2" t="str">
        <f>LEFT(Database!UNE2,3)</f>
        <v/>
      </c>
      <c r="UMM2" t="str">
        <f>LEFT(Database!UNF2,3)</f>
        <v/>
      </c>
      <c r="UMN2" t="str">
        <f>LEFT(Database!UNG2,3)</f>
        <v/>
      </c>
      <c r="UMO2" t="str">
        <f>LEFT(Database!UNH2,3)</f>
        <v/>
      </c>
      <c r="UMP2" t="str">
        <f>LEFT(Database!UNI2,3)</f>
        <v/>
      </c>
      <c r="UMQ2" t="str">
        <f>LEFT(Database!UNJ2,3)</f>
        <v/>
      </c>
      <c r="UMR2" t="str">
        <f>LEFT(Database!UNK2,3)</f>
        <v/>
      </c>
      <c r="UMS2" t="str">
        <f>LEFT(Database!UNL2,3)</f>
        <v/>
      </c>
      <c r="UMT2" t="str">
        <f>LEFT(Database!UNM2,3)</f>
        <v/>
      </c>
      <c r="UMU2" t="str">
        <f>LEFT(Database!UNN2,3)</f>
        <v/>
      </c>
      <c r="UMV2" t="str">
        <f>LEFT(Database!UNO2,3)</f>
        <v/>
      </c>
      <c r="UMW2" t="str">
        <f>LEFT(Database!UNP2,3)</f>
        <v/>
      </c>
      <c r="UMX2" t="str">
        <f>LEFT(Database!UNQ2,3)</f>
        <v/>
      </c>
      <c r="UMY2" t="str">
        <f>LEFT(Database!UNR2,3)</f>
        <v/>
      </c>
      <c r="UMZ2" t="str">
        <f>LEFT(Database!UNS2,3)</f>
        <v/>
      </c>
      <c r="UNA2" t="str">
        <f>LEFT(Database!UNT2,3)</f>
        <v/>
      </c>
      <c r="UNB2" t="str">
        <f>LEFT(Database!UNU2,3)</f>
        <v/>
      </c>
      <c r="UNC2" t="str">
        <f>LEFT(Database!UNV2,3)</f>
        <v/>
      </c>
      <c r="UND2" t="str">
        <f>LEFT(Database!UNW2,3)</f>
        <v/>
      </c>
      <c r="UNE2" t="str">
        <f>LEFT(Database!UNX2,3)</f>
        <v/>
      </c>
      <c r="UNF2" t="str">
        <f>LEFT(Database!UNY2,3)</f>
        <v/>
      </c>
      <c r="UNG2" t="str">
        <f>LEFT(Database!UNZ2,3)</f>
        <v/>
      </c>
      <c r="UNH2" t="str">
        <f>LEFT(Database!UOA2,3)</f>
        <v/>
      </c>
      <c r="UNI2" t="str">
        <f>LEFT(Database!UOB2,3)</f>
        <v/>
      </c>
      <c r="UNJ2" t="str">
        <f>LEFT(Database!UOC2,3)</f>
        <v/>
      </c>
      <c r="UNK2" t="str">
        <f>LEFT(Database!UOD2,3)</f>
        <v/>
      </c>
      <c r="UNL2" t="str">
        <f>LEFT(Database!UOE2,3)</f>
        <v/>
      </c>
      <c r="UNM2" t="str">
        <f>LEFT(Database!UOF2,3)</f>
        <v/>
      </c>
      <c r="UNN2" t="str">
        <f>LEFT(Database!UOG2,3)</f>
        <v/>
      </c>
      <c r="UNO2" t="str">
        <f>LEFT(Database!UOH2,3)</f>
        <v/>
      </c>
      <c r="UNP2" t="str">
        <f>LEFT(Database!UOI2,3)</f>
        <v/>
      </c>
      <c r="UNQ2" t="str">
        <f>LEFT(Database!UOJ2,3)</f>
        <v/>
      </c>
      <c r="UNR2" t="str">
        <f>LEFT(Database!UOK2,3)</f>
        <v/>
      </c>
      <c r="UNS2" t="str">
        <f>LEFT(Database!UOL2,3)</f>
        <v/>
      </c>
      <c r="UNT2" t="str">
        <f>LEFT(Database!UOM2,3)</f>
        <v/>
      </c>
      <c r="UNU2" t="str">
        <f>LEFT(Database!UON2,3)</f>
        <v/>
      </c>
      <c r="UNV2" t="str">
        <f>LEFT(Database!UOO2,3)</f>
        <v/>
      </c>
      <c r="UNW2" t="str">
        <f>LEFT(Database!UOP2,3)</f>
        <v/>
      </c>
      <c r="UNX2" t="str">
        <f>LEFT(Database!UOQ2,3)</f>
        <v/>
      </c>
      <c r="UNY2" t="str">
        <f>LEFT(Database!UOR2,3)</f>
        <v/>
      </c>
      <c r="UNZ2" t="str">
        <f>LEFT(Database!UOS2,3)</f>
        <v/>
      </c>
      <c r="UOA2" t="str">
        <f>LEFT(Database!UOT2,3)</f>
        <v/>
      </c>
      <c r="UOB2" t="str">
        <f>LEFT(Database!UOU2,3)</f>
        <v/>
      </c>
      <c r="UOC2" t="str">
        <f>LEFT(Database!UOV2,3)</f>
        <v/>
      </c>
      <c r="UOD2" t="str">
        <f>LEFT(Database!UOW2,3)</f>
        <v/>
      </c>
      <c r="UOE2" t="str">
        <f>LEFT(Database!UOX2,3)</f>
        <v/>
      </c>
      <c r="UOF2" t="str">
        <f>LEFT(Database!UOY2,3)</f>
        <v/>
      </c>
      <c r="UOG2" t="str">
        <f>LEFT(Database!UOZ2,3)</f>
        <v/>
      </c>
      <c r="UOH2" t="str">
        <f>LEFT(Database!UPA2,3)</f>
        <v/>
      </c>
      <c r="UOI2" t="str">
        <f>LEFT(Database!UPB2,3)</f>
        <v/>
      </c>
      <c r="UOJ2" t="str">
        <f>LEFT(Database!UPC2,3)</f>
        <v/>
      </c>
      <c r="UOK2" t="str">
        <f>LEFT(Database!UPD2,3)</f>
        <v/>
      </c>
      <c r="UOL2" t="str">
        <f>LEFT(Database!UPE2,3)</f>
        <v/>
      </c>
      <c r="UOM2" t="str">
        <f>LEFT(Database!UPF2,3)</f>
        <v/>
      </c>
      <c r="UON2" t="str">
        <f>LEFT(Database!UPG2,3)</f>
        <v/>
      </c>
      <c r="UOO2" t="str">
        <f>LEFT(Database!UPH2,3)</f>
        <v/>
      </c>
      <c r="UOP2" t="str">
        <f>LEFT(Database!UPI2,3)</f>
        <v/>
      </c>
      <c r="UOQ2" t="str">
        <f>LEFT(Database!UPJ2,3)</f>
        <v/>
      </c>
      <c r="UOR2" t="str">
        <f>LEFT(Database!UPK2,3)</f>
        <v/>
      </c>
      <c r="UOS2" t="str">
        <f>LEFT(Database!UPL2,3)</f>
        <v/>
      </c>
      <c r="UOT2" t="str">
        <f>LEFT(Database!UPM2,3)</f>
        <v/>
      </c>
      <c r="UOU2" t="str">
        <f>LEFT(Database!UPN2,3)</f>
        <v/>
      </c>
      <c r="UOV2" t="str">
        <f>LEFT(Database!UPO2,3)</f>
        <v/>
      </c>
      <c r="UOW2" t="str">
        <f>LEFT(Database!UPP2,3)</f>
        <v/>
      </c>
      <c r="UOX2" t="str">
        <f>LEFT(Database!UPQ2,3)</f>
        <v/>
      </c>
      <c r="UOY2" t="str">
        <f>LEFT(Database!UPR2,3)</f>
        <v/>
      </c>
      <c r="UOZ2" t="str">
        <f>LEFT(Database!UPS2,3)</f>
        <v/>
      </c>
      <c r="UPA2" t="str">
        <f>LEFT(Database!UPT2,3)</f>
        <v/>
      </c>
      <c r="UPB2" t="str">
        <f>LEFT(Database!UPU2,3)</f>
        <v/>
      </c>
      <c r="UPC2" t="str">
        <f>LEFT(Database!UPV2,3)</f>
        <v/>
      </c>
      <c r="UPD2" t="str">
        <f>LEFT(Database!UPW2,3)</f>
        <v/>
      </c>
      <c r="UPE2" t="str">
        <f>LEFT(Database!UPX2,3)</f>
        <v/>
      </c>
      <c r="UPF2" t="str">
        <f>LEFT(Database!UPY2,3)</f>
        <v/>
      </c>
      <c r="UPG2" t="str">
        <f>LEFT(Database!UPZ2,3)</f>
        <v/>
      </c>
      <c r="UPH2" t="str">
        <f>LEFT(Database!UQA2,3)</f>
        <v/>
      </c>
      <c r="UPI2" t="str">
        <f>LEFT(Database!UQB2,3)</f>
        <v/>
      </c>
      <c r="UPJ2" t="str">
        <f>LEFT(Database!UQC2,3)</f>
        <v/>
      </c>
      <c r="UPK2" t="str">
        <f>LEFT(Database!UQD2,3)</f>
        <v/>
      </c>
      <c r="UPL2" t="str">
        <f>LEFT(Database!UQE2,3)</f>
        <v/>
      </c>
      <c r="UPM2" t="str">
        <f>LEFT(Database!UQF2,3)</f>
        <v/>
      </c>
      <c r="UPN2" t="str">
        <f>LEFT(Database!UQG2,3)</f>
        <v/>
      </c>
      <c r="UPO2" t="str">
        <f>LEFT(Database!UQH2,3)</f>
        <v/>
      </c>
      <c r="UPP2" t="str">
        <f>LEFT(Database!UQI2,3)</f>
        <v/>
      </c>
      <c r="UPQ2" t="str">
        <f>LEFT(Database!UQJ2,3)</f>
        <v/>
      </c>
      <c r="UPR2" t="str">
        <f>LEFT(Database!UQK2,3)</f>
        <v/>
      </c>
      <c r="UPS2" t="str">
        <f>LEFT(Database!UQL2,3)</f>
        <v/>
      </c>
      <c r="UPT2" t="str">
        <f>LEFT(Database!UQM2,3)</f>
        <v/>
      </c>
      <c r="UPU2" t="str">
        <f>LEFT(Database!UQN2,3)</f>
        <v/>
      </c>
      <c r="UPV2" t="str">
        <f>LEFT(Database!UQO2,3)</f>
        <v/>
      </c>
      <c r="UPW2" t="str">
        <f>LEFT(Database!UQP2,3)</f>
        <v/>
      </c>
      <c r="UPX2" t="str">
        <f>LEFT(Database!UQQ2,3)</f>
        <v/>
      </c>
      <c r="UPY2" t="str">
        <f>LEFT(Database!UQR2,3)</f>
        <v/>
      </c>
      <c r="UPZ2" t="str">
        <f>LEFT(Database!UQS2,3)</f>
        <v/>
      </c>
      <c r="UQA2" t="str">
        <f>LEFT(Database!UQT2,3)</f>
        <v/>
      </c>
      <c r="UQB2" t="str">
        <f>LEFT(Database!UQU2,3)</f>
        <v/>
      </c>
      <c r="UQC2" t="str">
        <f>LEFT(Database!UQV2,3)</f>
        <v/>
      </c>
      <c r="UQD2" t="str">
        <f>LEFT(Database!UQW2,3)</f>
        <v/>
      </c>
      <c r="UQE2" t="str">
        <f>LEFT(Database!UQX2,3)</f>
        <v/>
      </c>
      <c r="UQF2" t="str">
        <f>LEFT(Database!UQY2,3)</f>
        <v/>
      </c>
      <c r="UQG2" t="str">
        <f>LEFT(Database!UQZ2,3)</f>
        <v/>
      </c>
      <c r="UQH2" t="str">
        <f>LEFT(Database!URA2,3)</f>
        <v/>
      </c>
      <c r="UQI2" t="str">
        <f>LEFT(Database!URB2,3)</f>
        <v/>
      </c>
      <c r="UQJ2" t="str">
        <f>LEFT(Database!URC2,3)</f>
        <v/>
      </c>
      <c r="UQK2" t="str">
        <f>LEFT(Database!URD2,3)</f>
        <v/>
      </c>
      <c r="UQL2" t="str">
        <f>LEFT(Database!URE2,3)</f>
        <v/>
      </c>
      <c r="UQM2" t="str">
        <f>LEFT(Database!URF2,3)</f>
        <v/>
      </c>
      <c r="UQN2" t="str">
        <f>LEFT(Database!URG2,3)</f>
        <v/>
      </c>
      <c r="UQO2" t="str">
        <f>LEFT(Database!URH2,3)</f>
        <v/>
      </c>
      <c r="UQP2" t="str">
        <f>LEFT(Database!URI2,3)</f>
        <v/>
      </c>
      <c r="UQQ2" t="str">
        <f>LEFT(Database!URJ2,3)</f>
        <v/>
      </c>
      <c r="UQR2" t="str">
        <f>LEFT(Database!URK2,3)</f>
        <v/>
      </c>
      <c r="UQS2" t="str">
        <f>LEFT(Database!URL2,3)</f>
        <v/>
      </c>
      <c r="UQT2" t="str">
        <f>LEFT(Database!URM2,3)</f>
        <v/>
      </c>
      <c r="UQU2" t="str">
        <f>LEFT(Database!URN2,3)</f>
        <v/>
      </c>
      <c r="UQV2" t="str">
        <f>LEFT(Database!URO2,3)</f>
        <v/>
      </c>
      <c r="UQW2" t="str">
        <f>LEFT(Database!URP2,3)</f>
        <v/>
      </c>
      <c r="UQX2" t="str">
        <f>LEFT(Database!URQ2,3)</f>
        <v/>
      </c>
      <c r="UQY2" t="str">
        <f>LEFT(Database!URR2,3)</f>
        <v/>
      </c>
      <c r="UQZ2" t="str">
        <f>LEFT(Database!URS2,3)</f>
        <v/>
      </c>
      <c r="URA2" t="str">
        <f>LEFT(Database!URT2,3)</f>
        <v/>
      </c>
      <c r="URB2" t="str">
        <f>LEFT(Database!URU2,3)</f>
        <v/>
      </c>
      <c r="URC2" t="str">
        <f>LEFT(Database!URV2,3)</f>
        <v/>
      </c>
      <c r="URD2" t="str">
        <f>LEFT(Database!URW2,3)</f>
        <v/>
      </c>
      <c r="URE2" t="str">
        <f>LEFT(Database!URX2,3)</f>
        <v/>
      </c>
      <c r="URF2" t="str">
        <f>LEFT(Database!URY2,3)</f>
        <v/>
      </c>
      <c r="URG2" t="str">
        <f>LEFT(Database!URZ2,3)</f>
        <v/>
      </c>
      <c r="URH2" t="str">
        <f>LEFT(Database!USA2,3)</f>
        <v/>
      </c>
      <c r="URI2" t="str">
        <f>LEFT(Database!USB2,3)</f>
        <v/>
      </c>
      <c r="URJ2" t="str">
        <f>LEFT(Database!USC2,3)</f>
        <v/>
      </c>
      <c r="URK2" t="str">
        <f>LEFT(Database!USD2,3)</f>
        <v/>
      </c>
      <c r="URL2" t="str">
        <f>LEFT(Database!USE2,3)</f>
        <v/>
      </c>
      <c r="URM2" t="str">
        <f>LEFT(Database!USF2,3)</f>
        <v/>
      </c>
      <c r="URN2" t="str">
        <f>LEFT(Database!USG2,3)</f>
        <v/>
      </c>
      <c r="URO2" t="str">
        <f>LEFT(Database!USH2,3)</f>
        <v/>
      </c>
      <c r="URP2" t="str">
        <f>LEFT(Database!USI2,3)</f>
        <v/>
      </c>
      <c r="URQ2" t="str">
        <f>LEFT(Database!USJ2,3)</f>
        <v/>
      </c>
      <c r="URR2" t="str">
        <f>LEFT(Database!USK2,3)</f>
        <v/>
      </c>
      <c r="URS2" t="str">
        <f>LEFT(Database!USL2,3)</f>
        <v/>
      </c>
      <c r="URT2" t="str">
        <f>LEFT(Database!USM2,3)</f>
        <v/>
      </c>
      <c r="URU2" t="str">
        <f>LEFT(Database!USN2,3)</f>
        <v/>
      </c>
      <c r="URV2" t="str">
        <f>LEFT(Database!USO2,3)</f>
        <v/>
      </c>
      <c r="URW2" t="str">
        <f>LEFT(Database!USP2,3)</f>
        <v/>
      </c>
      <c r="URX2" t="str">
        <f>LEFT(Database!USQ2,3)</f>
        <v/>
      </c>
      <c r="URY2" t="str">
        <f>LEFT(Database!USR2,3)</f>
        <v/>
      </c>
      <c r="URZ2" t="str">
        <f>LEFT(Database!USS2,3)</f>
        <v/>
      </c>
      <c r="USA2" t="str">
        <f>LEFT(Database!UST2,3)</f>
        <v/>
      </c>
      <c r="USB2" t="str">
        <f>LEFT(Database!USU2,3)</f>
        <v/>
      </c>
      <c r="USC2" t="str">
        <f>LEFT(Database!USV2,3)</f>
        <v/>
      </c>
      <c r="USD2" t="str">
        <f>LEFT(Database!USW2,3)</f>
        <v/>
      </c>
      <c r="USE2" t="str">
        <f>LEFT(Database!USX2,3)</f>
        <v/>
      </c>
      <c r="USF2" t="str">
        <f>LEFT(Database!USY2,3)</f>
        <v/>
      </c>
      <c r="USG2" t="str">
        <f>LEFT(Database!USZ2,3)</f>
        <v/>
      </c>
      <c r="USH2" t="str">
        <f>LEFT(Database!UTA2,3)</f>
        <v/>
      </c>
      <c r="USI2" t="str">
        <f>LEFT(Database!UTB2,3)</f>
        <v/>
      </c>
      <c r="USJ2" t="str">
        <f>LEFT(Database!UTC2,3)</f>
        <v/>
      </c>
      <c r="USK2" t="str">
        <f>LEFT(Database!UTD2,3)</f>
        <v/>
      </c>
      <c r="USL2" t="str">
        <f>LEFT(Database!UTE2,3)</f>
        <v/>
      </c>
      <c r="USM2" t="str">
        <f>LEFT(Database!UTF2,3)</f>
        <v/>
      </c>
      <c r="USN2" t="str">
        <f>LEFT(Database!UTG2,3)</f>
        <v/>
      </c>
      <c r="USO2" t="str">
        <f>LEFT(Database!UTH2,3)</f>
        <v/>
      </c>
      <c r="USP2" t="str">
        <f>LEFT(Database!UTI2,3)</f>
        <v/>
      </c>
      <c r="USQ2" t="str">
        <f>LEFT(Database!UTJ2,3)</f>
        <v/>
      </c>
      <c r="USR2" t="str">
        <f>LEFT(Database!UTK2,3)</f>
        <v/>
      </c>
      <c r="USS2" t="str">
        <f>LEFT(Database!UTL2,3)</f>
        <v/>
      </c>
      <c r="UST2" t="str">
        <f>LEFT(Database!UTM2,3)</f>
        <v/>
      </c>
      <c r="USU2" t="str">
        <f>LEFT(Database!UTN2,3)</f>
        <v/>
      </c>
      <c r="USV2" t="str">
        <f>LEFT(Database!UTO2,3)</f>
        <v/>
      </c>
      <c r="USW2" t="str">
        <f>LEFT(Database!UTP2,3)</f>
        <v/>
      </c>
      <c r="USX2" t="str">
        <f>LEFT(Database!UTQ2,3)</f>
        <v/>
      </c>
      <c r="USY2" t="str">
        <f>LEFT(Database!UTR2,3)</f>
        <v/>
      </c>
      <c r="USZ2" t="str">
        <f>LEFT(Database!UTS2,3)</f>
        <v/>
      </c>
      <c r="UTA2" t="str">
        <f>LEFT(Database!UTT2,3)</f>
        <v/>
      </c>
      <c r="UTB2" t="str">
        <f>LEFT(Database!UTU2,3)</f>
        <v/>
      </c>
      <c r="UTC2" t="str">
        <f>LEFT(Database!UTV2,3)</f>
        <v/>
      </c>
      <c r="UTD2" t="str">
        <f>LEFT(Database!UTW2,3)</f>
        <v/>
      </c>
      <c r="UTE2" t="str">
        <f>LEFT(Database!UTX2,3)</f>
        <v/>
      </c>
      <c r="UTF2" t="str">
        <f>LEFT(Database!UTY2,3)</f>
        <v/>
      </c>
      <c r="UTG2" t="str">
        <f>LEFT(Database!UTZ2,3)</f>
        <v/>
      </c>
      <c r="UTH2" t="str">
        <f>LEFT(Database!UUA2,3)</f>
        <v/>
      </c>
      <c r="UTI2" t="str">
        <f>LEFT(Database!UUB2,3)</f>
        <v/>
      </c>
      <c r="UTJ2" t="str">
        <f>LEFT(Database!UUC2,3)</f>
        <v/>
      </c>
      <c r="UTK2" t="str">
        <f>LEFT(Database!UUD2,3)</f>
        <v/>
      </c>
      <c r="UTL2" t="str">
        <f>LEFT(Database!UUE2,3)</f>
        <v/>
      </c>
      <c r="UTM2" t="str">
        <f>LEFT(Database!UUF2,3)</f>
        <v/>
      </c>
      <c r="UTN2" t="str">
        <f>LEFT(Database!UUG2,3)</f>
        <v/>
      </c>
      <c r="UTO2" t="str">
        <f>LEFT(Database!UUH2,3)</f>
        <v/>
      </c>
      <c r="UTP2" t="str">
        <f>LEFT(Database!UUI2,3)</f>
        <v/>
      </c>
      <c r="UTQ2" t="str">
        <f>LEFT(Database!UUJ2,3)</f>
        <v/>
      </c>
      <c r="UTR2" t="str">
        <f>LEFT(Database!UUK2,3)</f>
        <v/>
      </c>
      <c r="UTS2" t="str">
        <f>LEFT(Database!UUL2,3)</f>
        <v/>
      </c>
      <c r="UTT2" t="str">
        <f>LEFT(Database!UUM2,3)</f>
        <v/>
      </c>
      <c r="UTU2" t="str">
        <f>LEFT(Database!UUN2,3)</f>
        <v/>
      </c>
      <c r="UTV2" t="str">
        <f>LEFT(Database!UUO2,3)</f>
        <v/>
      </c>
      <c r="UTW2" t="str">
        <f>LEFT(Database!UUP2,3)</f>
        <v/>
      </c>
      <c r="UTX2" t="str">
        <f>LEFT(Database!UUQ2,3)</f>
        <v/>
      </c>
      <c r="UTY2" t="str">
        <f>LEFT(Database!UUR2,3)</f>
        <v/>
      </c>
      <c r="UTZ2" t="str">
        <f>LEFT(Database!UUS2,3)</f>
        <v/>
      </c>
      <c r="UUA2" t="str">
        <f>LEFT(Database!UUT2,3)</f>
        <v/>
      </c>
      <c r="UUB2" t="str">
        <f>LEFT(Database!UUU2,3)</f>
        <v/>
      </c>
      <c r="UUC2" t="str">
        <f>LEFT(Database!UUV2,3)</f>
        <v/>
      </c>
      <c r="UUD2" t="str">
        <f>LEFT(Database!UUW2,3)</f>
        <v/>
      </c>
      <c r="UUE2" t="str">
        <f>LEFT(Database!UUX2,3)</f>
        <v/>
      </c>
      <c r="UUF2" t="str">
        <f>LEFT(Database!UUY2,3)</f>
        <v/>
      </c>
      <c r="UUG2" t="str">
        <f>LEFT(Database!UUZ2,3)</f>
        <v/>
      </c>
      <c r="UUH2" t="str">
        <f>LEFT(Database!UVA2,3)</f>
        <v/>
      </c>
      <c r="UUI2" t="str">
        <f>LEFT(Database!UVB2,3)</f>
        <v/>
      </c>
      <c r="UUJ2" t="str">
        <f>LEFT(Database!UVC2,3)</f>
        <v/>
      </c>
      <c r="UUK2" t="str">
        <f>LEFT(Database!UVD2,3)</f>
        <v/>
      </c>
      <c r="UUL2" t="str">
        <f>LEFT(Database!UVE2,3)</f>
        <v/>
      </c>
      <c r="UUM2" t="str">
        <f>LEFT(Database!UVF2,3)</f>
        <v/>
      </c>
      <c r="UUN2" t="str">
        <f>LEFT(Database!UVG2,3)</f>
        <v/>
      </c>
      <c r="UUO2" t="str">
        <f>LEFT(Database!UVH2,3)</f>
        <v/>
      </c>
      <c r="UUP2" t="str">
        <f>LEFT(Database!UVI2,3)</f>
        <v/>
      </c>
      <c r="UUQ2" t="str">
        <f>LEFT(Database!UVJ2,3)</f>
        <v/>
      </c>
      <c r="UUR2" t="str">
        <f>LEFT(Database!UVK2,3)</f>
        <v/>
      </c>
      <c r="UUS2" t="str">
        <f>LEFT(Database!UVL2,3)</f>
        <v/>
      </c>
      <c r="UUT2" t="str">
        <f>LEFT(Database!UVM2,3)</f>
        <v/>
      </c>
      <c r="UUU2" t="str">
        <f>LEFT(Database!UVN2,3)</f>
        <v/>
      </c>
      <c r="UUV2" t="str">
        <f>LEFT(Database!UVO2,3)</f>
        <v/>
      </c>
      <c r="UUW2" t="str">
        <f>LEFT(Database!UVP2,3)</f>
        <v/>
      </c>
      <c r="UUX2" t="str">
        <f>LEFT(Database!UVQ2,3)</f>
        <v/>
      </c>
      <c r="UUY2" t="str">
        <f>LEFT(Database!UVR2,3)</f>
        <v/>
      </c>
      <c r="UUZ2" t="str">
        <f>LEFT(Database!UVS2,3)</f>
        <v/>
      </c>
      <c r="UVA2" t="str">
        <f>LEFT(Database!UVT2,3)</f>
        <v/>
      </c>
      <c r="UVB2" t="str">
        <f>LEFT(Database!UVU2,3)</f>
        <v/>
      </c>
      <c r="UVC2" t="str">
        <f>LEFT(Database!UVV2,3)</f>
        <v/>
      </c>
      <c r="UVD2" t="str">
        <f>LEFT(Database!UVW2,3)</f>
        <v/>
      </c>
      <c r="UVE2" t="str">
        <f>LEFT(Database!UVX2,3)</f>
        <v/>
      </c>
      <c r="UVF2" t="str">
        <f>LEFT(Database!UVY2,3)</f>
        <v/>
      </c>
      <c r="UVG2" t="str">
        <f>LEFT(Database!UVZ2,3)</f>
        <v/>
      </c>
      <c r="UVH2" t="str">
        <f>LEFT(Database!UWA2,3)</f>
        <v/>
      </c>
      <c r="UVI2" t="str">
        <f>LEFT(Database!UWB2,3)</f>
        <v/>
      </c>
      <c r="UVJ2" t="str">
        <f>LEFT(Database!UWC2,3)</f>
        <v/>
      </c>
      <c r="UVK2" t="str">
        <f>LEFT(Database!UWD2,3)</f>
        <v/>
      </c>
      <c r="UVL2" t="str">
        <f>LEFT(Database!UWE2,3)</f>
        <v/>
      </c>
      <c r="UVM2" t="str">
        <f>LEFT(Database!UWF2,3)</f>
        <v/>
      </c>
      <c r="UVN2" t="str">
        <f>LEFT(Database!UWG2,3)</f>
        <v/>
      </c>
      <c r="UVO2" t="str">
        <f>LEFT(Database!UWH2,3)</f>
        <v/>
      </c>
      <c r="UVP2" t="str">
        <f>LEFT(Database!UWI2,3)</f>
        <v/>
      </c>
      <c r="UVQ2" t="str">
        <f>LEFT(Database!UWJ2,3)</f>
        <v/>
      </c>
      <c r="UVR2" t="str">
        <f>LEFT(Database!UWK2,3)</f>
        <v/>
      </c>
      <c r="UVS2" t="str">
        <f>LEFT(Database!UWL2,3)</f>
        <v/>
      </c>
      <c r="UVT2" t="str">
        <f>LEFT(Database!UWM2,3)</f>
        <v/>
      </c>
      <c r="UVU2" t="str">
        <f>LEFT(Database!UWN2,3)</f>
        <v/>
      </c>
      <c r="UVV2" t="str">
        <f>LEFT(Database!UWO2,3)</f>
        <v/>
      </c>
      <c r="UVW2" t="str">
        <f>LEFT(Database!UWP2,3)</f>
        <v/>
      </c>
      <c r="UVX2" t="str">
        <f>LEFT(Database!UWQ2,3)</f>
        <v/>
      </c>
      <c r="UVY2" t="str">
        <f>LEFT(Database!UWR2,3)</f>
        <v/>
      </c>
      <c r="UVZ2" t="str">
        <f>LEFT(Database!UWS2,3)</f>
        <v/>
      </c>
      <c r="UWA2" t="str">
        <f>LEFT(Database!UWT2,3)</f>
        <v/>
      </c>
      <c r="UWB2" t="str">
        <f>LEFT(Database!UWU2,3)</f>
        <v/>
      </c>
      <c r="UWC2" t="str">
        <f>LEFT(Database!UWV2,3)</f>
        <v/>
      </c>
      <c r="UWD2" t="str">
        <f>LEFT(Database!UWW2,3)</f>
        <v/>
      </c>
      <c r="UWE2" t="str">
        <f>LEFT(Database!UWX2,3)</f>
        <v/>
      </c>
      <c r="UWF2" t="str">
        <f>LEFT(Database!UWY2,3)</f>
        <v/>
      </c>
      <c r="UWG2" t="str">
        <f>LEFT(Database!UWZ2,3)</f>
        <v/>
      </c>
      <c r="UWH2" t="str">
        <f>LEFT(Database!UXA2,3)</f>
        <v/>
      </c>
      <c r="UWI2" t="str">
        <f>LEFT(Database!UXB2,3)</f>
        <v/>
      </c>
      <c r="UWJ2" t="str">
        <f>LEFT(Database!UXC2,3)</f>
        <v/>
      </c>
      <c r="UWK2" t="str">
        <f>LEFT(Database!UXD2,3)</f>
        <v/>
      </c>
      <c r="UWL2" t="str">
        <f>LEFT(Database!UXE2,3)</f>
        <v/>
      </c>
      <c r="UWM2" t="str">
        <f>LEFT(Database!UXF2,3)</f>
        <v/>
      </c>
      <c r="UWN2" t="str">
        <f>LEFT(Database!UXG2,3)</f>
        <v/>
      </c>
      <c r="UWO2" t="str">
        <f>LEFT(Database!UXH2,3)</f>
        <v/>
      </c>
      <c r="UWP2" t="str">
        <f>LEFT(Database!UXI2,3)</f>
        <v/>
      </c>
      <c r="UWQ2" t="str">
        <f>LEFT(Database!UXJ2,3)</f>
        <v/>
      </c>
      <c r="UWR2" t="str">
        <f>LEFT(Database!UXK2,3)</f>
        <v/>
      </c>
      <c r="UWS2" t="str">
        <f>LEFT(Database!UXL2,3)</f>
        <v/>
      </c>
      <c r="UWT2" t="str">
        <f>LEFT(Database!UXM2,3)</f>
        <v/>
      </c>
      <c r="UWU2" t="str">
        <f>LEFT(Database!UXN2,3)</f>
        <v/>
      </c>
      <c r="UWV2" t="str">
        <f>LEFT(Database!UXO2,3)</f>
        <v/>
      </c>
      <c r="UWW2" t="str">
        <f>LEFT(Database!UXP2,3)</f>
        <v/>
      </c>
      <c r="UWX2" t="str">
        <f>LEFT(Database!UXQ2,3)</f>
        <v/>
      </c>
      <c r="UWY2" t="str">
        <f>LEFT(Database!UXR2,3)</f>
        <v/>
      </c>
      <c r="UWZ2" t="str">
        <f>LEFT(Database!UXS2,3)</f>
        <v/>
      </c>
      <c r="UXA2" t="str">
        <f>LEFT(Database!UXT2,3)</f>
        <v/>
      </c>
      <c r="UXB2" t="str">
        <f>LEFT(Database!UXU2,3)</f>
        <v/>
      </c>
      <c r="UXC2" t="str">
        <f>LEFT(Database!UXV2,3)</f>
        <v/>
      </c>
      <c r="UXD2" t="str">
        <f>LEFT(Database!UXW2,3)</f>
        <v/>
      </c>
      <c r="UXE2" t="str">
        <f>LEFT(Database!UXX2,3)</f>
        <v/>
      </c>
      <c r="UXF2" t="str">
        <f>LEFT(Database!UXY2,3)</f>
        <v/>
      </c>
      <c r="UXG2" t="str">
        <f>LEFT(Database!UXZ2,3)</f>
        <v/>
      </c>
      <c r="UXH2" t="str">
        <f>LEFT(Database!UYA2,3)</f>
        <v/>
      </c>
      <c r="UXI2" t="str">
        <f>LEFT(Database!UYB2,3)</f>
        <v/>
      </c>
      <c r="UXJ2" t="str">
        <f>LEFT(Database!UYC2,3)</f>
        <v/>
      </c>
      <c r="UXK2" t="str">
        <f>LEFT(Database!UYD2,3)</f>
        <v/>
      </c>
      <c r="UXL2" t="str">
        <f>LEFT(Database!UYE2,3)</f>
        <v/>
      </c>
      <c r="UXM2" t="str">
        <f>LEFT(Database!UYF2,3)</f>
        <v/>
      </c>
      <c r="UXN2" t="str">
        <f>LEFT(Database!UYG2,3)</f>
        <v/>
      </c>
      <c r="UXO2" t="str">
        <f>LEFT(Database!UYH2,3)</f>
        <v/>
      </c>
      <c r="UXP2" t="str">
        <f>LEFT(Database!UYI2,3)</f>
        <v/>
      </c>
      <c r="UXQ2" t="str">
        <f>LEFT(Database!UYJ2,3)</f>
        <v/>
      </c>
      <c r="UXR2" t="str">
        <f>LEFT(Database!UYK2,3)</f>
        <v/>
      </c>
      <c r="UXS2" t="str">
        <f>LEFT(Database!UYL2,3)</f>
        <v/>
      </c>
      <c r="UXT2" t="str">
        <f>LEFT(Database!UYM2,3)</f>
        <v/>
      </c>
      <c r="UXU2" t="str">
        <f>LEFT(Database!UYN2,3)</f>
        <v/>
      </c>
      <c r="UXV2" t="str">
        <f>LEFT(Database!UYO2,3)</f>
        <v/>
      </c>
      <c r="UXW2" t="str">
        <f>LEFT(Database!UYP2,3)</f>
        <v/>
      </c>
      <c r="UXX2" t="str">
        <f>LEFT(Database!UYQ2,3)</f>
        <v/>
      </c>
      <c r="UXY2" t="str">
        <f>LEFT(Database!UYR2,3)</f>
        <v/>
      </c>
      <c r="UXZ2" t="str">
        <f>LEFT(Database!UYS2,3)</f>
        <v/>
      </c>
      <c r="UYA2" t="str">
        <f>LEFT(Database!UYT2,3)</f>
        <v/>
      </c>
      <c r="UYB2" t="str">
        <f>LEFT(Database!UYU2,3)</f>
        <v/>
      </c>
      <c r="UYC2" t="str">
        <f>LEFT(Database!UYV2,3)</f>
        <v/>
      </c>
      <c r="UYD2" t="str">
        <f>LEFT(Database!UYW2,3)</f>
        <v/>
      </c>
      <c r="UYE2" t="str">
        <f>LEFT(Database!UYX2,3)</f>
        <v/>
      </c>
      <c r="UYF2" t="str">
        <f>LEFT(Database!UYY2,3)</f>
        <v/>
      </c>
      <c r="UYG2" t="str">
        <f>LEFT(Database!UYZ2,3)</f>
        <v/>
      </c>
      <c r="UYH2" t="str">
        <f>LEFT(Database!UZA2,3)</f>
        <v/>
      </c>
      <c r="UYI2" t="str">
        <f>LEFT(Database!UZB2,3)</f>
        <v/>
      </c>
      <c r="UYJ2" t="str">
        <f>LEFT(Database!UZC2,3)</f>
        <v/>
      </c>
      <c r="UYK2" t="str">
        <f>LEFT(Database!UZD2,3)</f>
        <v/>
      </c>
      <c r="UYL2" t="str">
        <f>LEFT(Database!UZE2,3)</f>
        <v/>
      </c>
      <c r="UYM2" t="str">
        <f>LEFT(Database!UZF2,3)</f>
        <v/>
      </c>
      <c r="UYN2" t="str">
        <f>LEFT(Database!UZG2,3)</f>
        <v/>
      </c>
      <c r="UYO2" t="str">
        <f>LEFT(Database!UZH2,3)</f>
        <v/>
      </c>
      <c r="UYP2" t="str">
        <f>LEFT(Database!UZI2,3)</f>
        <v/>
      </c>
      <c r="UYQ2" t="str">
        <f>LEFT(Database!UZJ2,3)</f>
        <v/>
      </c>
      <c r="UYR2" t="str">
        <f>LEFT(Database!UZK2,3)</f>
        <v/>
      </c>
      <c r="UYS2" t="str">
        <f>LEFT(Database!UZL2,3)</f>
        <v/>
      </c>
      <c r="UYT2" t="str">
        <f>LEFT(Database!UZM2,3)</f>
        <v/>
      </c>
      <c r="UYU2" t="str">
        <f>LEFT(Database!UZN2,3)</f>
        <v/>
      </c>
      <c r="UYV2" t="str">
        <f>LEFT(Database!UZO2,3)</f>
        <v/>
      </c>
      <c r="UYW2" t="str">
        <f>LEFT(Database!UZP2,3)</f>
        <v/>
      </c>
      <c r="UYX2" t="str">
        <f>LEFT(Database!UZQ2,3)</f>
        <v/>
      </c>
      <c r="UYY2" t="str">
        <f>LEFT(Database!UZR2,3)</f>
        <v/>
      </c>
      <c r="UYZ2" t="str">
        <f>LEFT(Database!UZS2,3)</f>
        <v/>
      </c>
      <c r="UZA2" t="str">
        <f>LEFT(Database!UZT2,3)</f>
        <v/>
      </c>
      <c r="UZB2" t="str">
        <f>LEFT(Database!UZU2,3)</f>
        <v/>
      </c>
      <c r="UZC2" t="str">
        <f>LEFT(Database!UZV2,3)</f>
        <v/>
      </c>
      <c r="UZD2" t="str">
        <f>LEFT(Database!UZW2,3)</f>
        <v/>
      </c>
      <c r="UZE2" t="str">
        <f>LEFT(Database!UZX2,3)</f>
        <v/>
      </c>
      <c r="UZF2" t="str">
        <f>LEFT(Database!UZY2,3)</f>
        <v/>
      </c>
      <c r="UZG2" t="str">
        <f>LEFT(Database!UZZ2,3)</f>
        <v/>
      </c>
      <c r="UZH2" t="str">
        <f>LEFT(Database!VAA2,3)</f>
        <v/>
      </c>
      <c r="UZI2" t="str">
        <f>LEFT(Database!VAB2,3)</f>
        <v/>
      </c>
      <c r="UZJ2" t="str">
        <f>LEFT(Database!VAC2,3)</f>
        <v/>
      </c>
      <c r="UZK2" t="str">
        <f>LEFT(Database!VAD2,3)</f>
        <v/>
      </c>
      <c r="UZL2" t="str">
        <f>LEFT(Database!VAE2,3)</f>
        <v/>
      </c>
      <c r="UZM2" t="str">
        <f>LEFT(Database!VAF2,3)</f>
        <v/>
      </c>
      <c r="UZN2" t="str">
        <f>LEFT(Database!VAG2,3)</f>
        <v/>
      </c>
      <c r="UZO2" t="str">
        <f>LEFT(Database!VAH2,3)</f>
        <v/>
      </c>
      <c r="UZP2" t="str">
        <f>LEFT(Database!VAI2,3)</f>
        <v/>
      </c>
      <c r="UZQ2" t="str">
        <f>LEFT(Database!VAJ2,3)</f>
        <v/>
      </c>
      <c r="UZR2" t="str">
        <f>LEFT(Database!VAK2,3)</f>
        <v/>
      </c>
      <c r="UZS2" t="str">
        <f>LEFT(Database!VAL2,3)</f>
        <v/>
      </c>
      <c r="UZT2" t="str">
        <f>LEFT(Database!VAM2,3)</f>
        <v/>
      </c>
      <c r="UZU2" t="str">
        <f>LEFT(Database!VAN2,3)</f>
        <v/>
      </c>
      <c r="UZV2" t="str">
        <f>LEFT(Database!VAO2,3)</f>
        <v/>
      </c>
      <c r="UZW2" t="str">
        <f>LEFT(Database!VAP2,3)</f>
        <v/>
      </c>
      <c r="UZX2" t="str">
        <f>LEFT(Database!VAQ2,3)</f>
        <v/>
      </c>
      <c r="UZY2" t="str">
        <f>LEFT(Database!VAR2,3)</f>
        <v/>
      </c>
      <c r="UZZ2" t="str">
        <f>LEFT(Database!VAS2,3)</f>
        <v/>
      </c>
      <c r="VAA2" t="str">
        <f>LEFT(Database!VAT2,3)</f>
        <v/>
      </c>
      <c r="VAB2" t="str">
        <f>LEFT(Database!VAU2,3)</f>
        <v/>
      </c>
      <c r="VAC2" t="str">
        <f>LEFT(Database!VAV2,3)</f>
        <v/>
      </c>
      <c r="VAD2" t="str">
        <f>LEFT(Database!VAW2,3)</f>
        <v/>
      </c>
      <c r="VAE2" t="str">
        <f>LEFT(Database!VAX2,3)</f>
        <v/>
      </c>
      <c r="VAF2" t="str">
        <f>LEFT(Database!VAY2,3)</f>
        <v/>
      </c>
      <c r="VAG2" t="str">
        <f>LEFT(Database!VAZ2,3)</f>
        <v/>
      </c>
      <c r="VAH2" t="str">
        <f>LEFT(Database!VBA2,3)</f>
        <v/>
      </c>
      <c r="VAI2" t="str">
        <f>LEFT(Database!VBB2,3)</f>
        <v/>
      </c>
      <c r="VAJ2" t="str">
        <f>LEFT(Database!VBC2,3)</f>
        <v/>
      </c>
      <c r="VAK2" t="str">
        <f>LEFT(Database!VBD2,3)</f>
        <v/>
      </c>
      <c r="VAL2" t="str">
        <f>LEFT(Database!VBE2,3)</f>
        <v/>
      </c>
      <c r="VAM2" t="str">
        <f>LEFT(Database!VBF2,3)</f>
        <v/>
      </c>
      <c r="VAN2" t="str">
        <f>LEFT(Database!VBG2,3)</f>
        <v/>
      </c>
      <c r="VAO2" t="str">
        <f>LEFT(Database!VBH2,3)</f>
        <v/>
      </c>
      <c r="VAP2" t="str">
        <f>LEFT(Database!VBI2,3)</f>
        <v/>
      </c>
      <c r="VAQ2" t="str">
        <f>LEFT(Database!VBJ2,3)</f>
        <v/>
      </c>
      <c r="VAR2" t="str">
        <f>LEFT(Database!VBK2,3)</f>
        <v/>
      </c>
      <c r="VAS2" t="str">
        <f>LEFT(Database!VBL2,3)</f>
        <v/>
      </c>
      <c r="VAT2" t="str">
        <f>LEFT(Database!VBM2,3)</f>
        <v/>
      </c>
      <c r="VAU2" t="str">
        <f>LEFT(Database!VBN2,3)</f>
        <v/>
      </c>
      <c r="VAV2" t="str">
        <f>LEFT(Database!VBO2,3)</f>
        <v/>
      </c>
      <c r="VAW2" t="str">
        <f>LEFT(Database!VBP2,3)</f>
        <v/>
      </c>
      <c r="VAX2" t="str">
        <f>LEFT(Database!VBQ2,3)</f>
        <v/>
      </c>
      <c r="VAY2" t="str">
        <f>LEFT(Database!VBR2,3)</f>
        <v/>
      </c>
      <c r="VAZ2" t="str">
        <f>LEFT(Database!VBS2,3)</f>
        <v/>
      </c>
      <c r="VBA2" t="str">
        <f>LEFT(Database!VBT2,3)</f>
        <v/>
      </c>
      <c r="VBB2" t="str">
        <f>LEFT(Database!VBU2,3)</f>
        <v/>
      </c>
      <c r="VBC2" t="str">
        <f>LEFT(Database!VBV2,3)</f>
        <v/>
      </c>
      <c r="VBD2" t="str">
        <f>LEFT(Database!VBW2,3)</f>
        <v/>
      </c>
      <c r="VBE2" t="str">
        <f>LEFT(Database!VBX2,3)</f>
        <v/>
      </c>
      <c r="VBF2" t="str">
        <f>LEFT(Database!VBY2,3)</f>
        <v/>
      </c>
      <c r="VBG2" t="str">
        <f>LEFT(Database!VBZ2,3)</f>
        <v/>
      </c>
      <c r="VBH2" t="str">
        <f>LEFT(Database!VCA2,3)</f>
        <v/>
      </c>
      <c r="VBI2" t="str">
        <f>LEFT(Database!VCB2,3)</f>
        <v/>
      </c>
      <c r="VBJ2" t="str">
        <f>LEFT(Database!VCC2,3)</f>
        <v/>
      </c>
      <c r="VBK2" t="str">
        <f>LEFT(Database!VCD2,3)</f>
        <v/>
      </c>
      <c r="VBL2" t="str">
        <f>LEFT(Database!VCE2,3)</f>
        <v/>
      </c>
      <c r="VBM2" t="str">
        <f>LEFT(Database!VCF2,3)</f>
        <v/>
      </c>
      <c r="VBN2" t="str">
        <f>LEFT(Database!VCG2,3)</f>
        <v/>
      </c>
      <c r="VBO2" t="str">
        <f>LEFT(Database!VCH2,3)</f>
        <v/>
      </c>
      <c r="VBP2" t="str">
        <f>LEFT(Database!VCI2,3)</f>
        <v/>
      </c>
      <c r="VBQ2" t="str">
        <f>LEFT(Database!VCJ2,3)</f>
        <v/>
      </c>
      <c r="VBR2" t="str">
        <f>LEFT(Database!VCK2,3)</f>
        <v/>
      </c>
      <c r="VBS2" t="str">
        <f>LEFT(Database!VCL2,3)</f>
        <v/>
      </c>
      <c r="VBT2" t="str">
        <f>LEFT(Database!VCM2,3)</f>
        <v/>
      </c>
      <c r="VBU2" t="str">
        <f>LEFT(Database!VCN2,3)</f>
        <v/>
      </c>
      <c r="VBV2" t="str">
        <f>LEFT(Database!VCO2,3)</f>
        <v/>
      </c>
      <c r="VBW2" t="str">
        <f>LEFT(Database!VCP2,3)</f>
        <v/>
      </c>
      <c r="VBX2" t="str">
        <f>LEFT(Database!VCQ2,3)</f>
        <v/>
      </c>
      <c r="VBY2" t="str">
        <f>LEFT(Database!VCR2,3)</f>
        <v/>
      </c>
      <c r="VBZ2" t="str">
        <f>LEFT(Database!VCS2,3)</f>
        <v/>
      </c>
      <c r="VCA2" t="str">
        <f>LEFT(Database!VCT2,3)</f>
        <v/>
      </c>
      <c r="VCB2" t="str">
        <f>LEFT(Database!VCU2,3)</f>
        <v/>
      </c>
      <c r="VCC2" t="str">
        <f>LEFT(Database!VCV2,3)</f>
        <v/>
      </c>
      <c r="VCD2" t="str">
        <f>LEFT(Database!VCW2,3)</f>
        <v/>
      </c>
      <c r="VCE2" t="str">
        <f>LEFT(Database!VCX2,3)</f>
        <v/>
      </c>
      <c r="VCF2" t="str">
        <f>LEFT(Database!VCY2,3)</f>
        <v/>
      </c>
      <c r="VCG2" t="str">
        <f>LEFT(Database!VCZ2,3)</f>
        <v/>
      </c>
      <c r="VCH2" t="str">
        <f>LEFT(Database!VDA2,3)</f>
        <v/>
      </c>
      <c r="VCI2" t="str">
        <f>LEFT(Database!VDB2,3)</f>
        <v/>
      </c>
      <c r="VCJ2" t="str">
        <f>LEFT(Database!VDC2,3)</f>
        <v/>
      </c>
      <c r="VCK2" t="str">
        <f>LEFT(Database!VDD2,3)</f>
        <v/>
      </c>
      <c r="VCL2" t="str">
        <f>LEFT(Database!VDE2,3)</f>
        <v/>
      </c>
      <c r="VCM2" t="str">
        <f>LEFT(Database!VDF2,3)</f>
        <v/>
      </c>
      <c r="VCN2" t="str">
        <f>LEFT(Database!VDG2,3)</f>
        <v/>
      </c>
      <c r="VCO2" t="str">
        <f>LEFT(Database!VDH2,3)</f>
        <v/>
      </c>
      <c r="VCP2" t="str">
        <f>LEFT(Database!VDI2,3)</f>
        <v/>
      </c>
      <c r="VCQ2" t="str">
        <f>LEFT(Database!VDJ2,3)</f>
        <v/>
      </c>
      <c r="VCR2" t="str">
        <f>LEFT(Database!VDK2,3)</f>
        <v/>
      </c>
      <c r="VCS2" t="str">
        <f>LEFT(Database!VDL2,3)</f>
        <v/>
      </c>
      <c r="VCT2" t="str">
        <f>LEFT(Database!VDM2,3)</f>
        <v/>
      </c>
      <c r="VCU2" t="str">
        <f>LEFT(Database!VDN2,3)</f>
        <v/>
      </c>
      <c r="VCV2" t="str">
        <f>LEFT(Database!VDO2,3)</f>
        <v/>
      </c>
      <c r="VCW2" t="str">
        <f>LEFT(Database!VDP2,3)</f>
        <v/>
      </c>
      <c r="VCX2" t="str">
        <f>LEFT(Database!VDQ2,3)</f>
        <v/>
      </c>
      <c r="VCY2" t="str">
        <f>LEFT(Database!VDR2,3)</f>
        <v/>
      </c>
      <c r="VCZ2" t="str">
        <f>LEFT(Database!VDS2,3)</f>
        <v/>
      </c>
      <c r="VDA2" t="str">
        <f>LEFT(Database!VDT2,3)</f>
        <v/>
      </c>
      <c r="VDB2" t="str">
        <f>LEFT(Database!VDU2,3)</f>
        <v/>
      </c>
      <c r="VDC2" t="str">
        <f>LEFT(Database!VDV2,3)</f>
        <v/>
      </c>
      <c r="VDD2" t="str">
        <f>LEFT(Database!VDW2,3)</f>
        <v/>
      </c>
      <c r="VDE2" t="str">
        <f>LEFT(Database!VDX2,3)</f>
        <v/>
      </c>
      <c r="VDF2" t="str">
        <f>LEFT(Database!VDY2,3)</f>
        <v/>
      </c>
      <c r="VDG2" t="str">
        <f>LEFT(Database!VDZ2,3)</f>
        <v/>
      </c>
      <c r="VDH2" t="str">
        <f>LEFT(Database!VEA2,3)</f>
        <v/>
      </c>
      <c r="VDI2" t="str">
        <f>LEFT(Database!VEB2,3)</f>
        <v/>
      </c>
      <c r="VDJ2" t="str">
        <f>LEFT(Database!VEC2,3)</f>
        <v/>
      </c>
      <c r="VDK2" t="str">
        <f>LEFT(Database!VED2,3)</f>
        <v/>
      </c>
      <c r="VDL2" t="str">
        <f>LEFT(Database!VEE2,3)</f>
        <v/>
      </c>
      <c r="VDM2" t="str">
        <f>LEFT(Database!VEF2,3)</f>
        <v/>
      </c>
      <c r="VDN2" t="str">
        <f>LEFT(Database!VEG2,3)</f>
        <v/>
      </c>
      <c r="VDO2" t="str">
        <f>LEFT(Database!VEH2,3)</f>
        <v/>
      </c>
      <c r="VDP2" t="str">
        <f>LEFT(Database!VEI2,3)</f>
        <v/>
      </c>
      <c r="VDQ2" t="str">
        <f>LEFT(Database!VEJ2,3)</f>
        <v/>
      </c>
      <c r="VDR2" t="str">
        <f>LEFT(Database!VEK2,3)</f>
        <v/>
      </c>
      <c r="VDS2" t="str">
        <f>LEFT(Database!VEL2,3)</f>
        <v/>
      </c>
      <c r="VDT2" t="str">
        <f>LEFT(Database!VEM2,3)</f>
        <v/>
      </c>
      <c r="VDU2" t="str">
        <f>LEFT(Database!VEN2,3)</f>
        <v/>
      </c>
      <c r="VDV2" t="str">
        <f>LEFT(Database!VEO2,3)</f>
        <v/>
      </c>
      <c r="VDW2" t="str">
        <f>LEFT(Database!VEP2,3)</f>
        <v/>
      </c>
      <c r="VDX2" t="str">
        <f>LEFT(Database!VEQ2,3)</f>
        <v/>
      </c>
      <c r="VDY2" t="str">
        <f>LEFT(Database!VER2,3)</f>
        <v/>
      </c>
      <c r="VDZ2" t="str">
        <f>LEFT(Database!VES2,3)</f>
        <v/>
      </c>
      <c r="VEA2" t="str">
        <f>LEFT(Database!VET2,3)</f>
        <v/>
      </c>
      <c r="VEB2" t="str">
        <f>LEFT(Database!VEU2,3)</f>
        <v/>
      </c>
      <c r="VEC2" t="str">
        <f>LEFT(Database!VEV2,3)</f>
        <v/>
      </c>
      <c r="VED2" t="str">
        <f>LEFT(Database!VEW2,3)</f>
        <v/>
      </c>
      <c r="VEE2" t="str">
        <f>LEFT(Database!VEX2,3)</f>
        <v/>
      </c>
      <c r="VEF2" t="str">
        <f>LEFT(Database!VEY2,3)</f>
        <v/>
      </c>
      <c r="VEG2" t="str">
        <f>LEFT(Database!VEZ2,3)</f>
        <v/>
      </c>
      <c r="VEH2" t="str">
        <f>LEFT(Database!VFA2,3)</f>
        <v/>
      </c>
      <c r="VEI2" t="str">
        <f>LEFT(Database!VFB2,3)</f>
        <v/>
      </c>
      <c r="VEJ2" t="str">
        <f>LEFT(Database!VFC2,3)</f>
        <v/>
      </c>
      <c r="VEK2" t="str">
        <f>LEFT(Database!VFD2,3)</f>
        <v/>
      </c>
      <c r="VEL2" t="str">
        <f>LEFT(Database!VFE2,3)</f>
        <v/>
      </c>
      <c r="VEM2" t="str">
        <f>LEFT(Database!VFF2,3)</f>
        <v/>
      </c>
      <c r="VEN2" t="str">
        <f>LEFT(Database!VFG2,3)</f>
        <v/>
      </c>
      <c r="VEO2" t="str">
        <f>LEFT(Database!VFH2,3)</f>
        <v/>
      </c>
      <c r="VEP2" t="str">
        <f>LEFT(Database!VFI2,3)</f>
        <v/>
      </c>
      <c r="VEQ2" t="str">
        <f>LEFT(Database!VFJ2,3)</f>
        <v/>
      </c>
      <c r="VER2" t="str">
        <f>LEFT(Database!VFK2,3)</f>
        <v/>
      </c>
      <c r="VES2" t="str">
        <f>LEFT(Database!VFL2,3)</f>
        <v/>
      </c>
      <c r="VET2" t="str">
        <f>LEFT(Database!VFM2,3)</f>
        <v/>
      </c>
      <c r="VEU2" t="str">
        <f>LEFT(Database!VFN2,3)</f>
        <v/>
      </c>
      <c r="VEV2" t="str">
        <f>LEFT(Database!VFO2,3)</f>
        <v/>
      </c>
      <c r="VEW2" t="str">
        <f>LEFT(Database!VFP2,3)</f>
        <v/>
      </c>
      <c r="VEX2" t="str">
        <f>LEFT(Database!VFQ2,3)</f>
        <v/>
      </c>
      <c r="VEY2" t="str">
        <f>LEFT(Database!VFR2,3)</f>
        <v/>
      </c>
      <c r="VEZ2" t="str">
        <f>LEFT(Database!VFS2,3)</f>
        <v/>
      </c>
      <c r="VFA2" t="str">
        <f>LEFT(Database!VFT2,3)</f>
        <v/>
      </c>
      <c r="VFB2" t="str">
        <f>LEFT(Database!VFU2,3)</f>
        <v/>
      </c>
      <c r="VFC2" t="str">
        <f>LEFT(Database!VFV2,3)</f>
        <v/>
      </c>
      <c r="VFD2" t="str">
        <f>LEFT(Database!VFW2,3)</f>
        <v/>
      </c>
      <c r="VFE2" t="str">
        <f>LEFT(Database!VFX2,3)</f>
        <v/>
      </c>
      <c r="VFF2" t="str">
        <f>LEFT(Database!VFY2,3)</f>
        <v/>
      </c>
      <c r="VFG2" t="str">
        <f>LEFT(Database!VFZ2,3)</f>
        <v/>
      </c>
      <c r="VFH2" t="str">
        <f>LEFT(Database!VGA2,3)</f>
        <v/>
      </c>
      <c r="VFI2" t="str">
        <f>LEFT(Database!VGB2,3)</f>
        <v/>
      </c>
      <c r="VFJ2" t="str">
        <f>LEFT(Database!VGC2,3)</f>
        <v/>
      </c>
      <c r="VFK2" t="str">
        <f>LEFT(Database!VGD2,3)</f>
        <v/>
      </c>
      <c r="VFL2" t="str">
        <f>LEFT(Database!VGE2,3)</f>
        <v/>
      </c>
      <c r="VFM2" t="str">
        <f>LEFT(Database!VGF2,3)</f>
        <v/>
      </c>
      <c r="VFN2" t="str">
        <f>LEFT(Database!VGG2,3)</f>
        <v/>
      </c>
      <c r="VFO2" t="str">
        <f>LEFT(Database!VGH2,3)</f>
        <v/>
      </c>
      <c r="VFP2" t="str">
        <f>LEFT(Database!VGI2,3)</f>
        <v/>
      </c>
      <c r="VFQ2" t="str">
        <f>LEFT(Database!VGJ2,3)</f>
        <v/>
      </c>
      <c r="VFR2" t="str">
        <f>LEFT(Database!VGK2,3)</f>
        <v/>
      </c>
      <c r="VFS2" t="str">
        <f>LEFT(Database!VGL2,3)</f>
        <v/>
      </c>
      <c r="VFT2" t="str">
        <f>LEFT(Database!VGM2,3)</f>
        <v/>
      </c>
      <c r="VFU2" t="str">
        <f>LEFT(Database!VGN2,3)</f>
        <v/>
      </c>
      <c r="VFV2" t="str">
        <f>LEFT(Database!VGO2,3)</f>
        <v/>
      </c>
      <c r="VFW2" t="str">
        <f>LEFT(Database!VGP2,3)</f>
        <v/>
      </c>
      <c r="VFX2" t="str">
        <f>LEFT(Database!VGQ2,3)</f>
        <v/>
      </c>
      <c r="VFY2" t="str">
        <f>LEFT(Database!VGR2,3)</f>
        <v/>
      </c>
      <c r="VFZ2" t="str">
        <f>LEFT(Database!VGS2,3)</f>
        <v/>
      </c>
      <c r="VGA2" t="str">
        <f>LEFT(Database!VGT2,3)</f>
        <v/>
      </c>
      <c r="VGB2" t="str">
        <f>LEFT(Database!VGU2,3)</f>
        <v/>
      </c>
      <c r="VGC2" t="str">
        <f>LEFT(Database!VGV2,3)</f>
        <v/>
      </c>
      <c r="VGD2" t="str">
        <f>LEFT(Database!VGW2,3)</f>
        <v/>
      </c>
      <c r="VGE2" t="str">
        <f>LEFT(Database!VGX2,3)</f>
        <v/>
      </c>
      <c r="VGF2" t="str">
        <f>LEFT(Database!VGY2,3)</f>
        <v/>
      </c>
      <c r="VGG2" t="str">
        <f>LEFT(Database!VGZ2,3)</f>
        <v/>
      </c>
      <c r="VGH2" t="str">
        <f>LEFT(Database!VHA2,3)</f>
        <v/>
      </c>
      <c r="VGI2" t="str">
        <f>LEFT(Database!VHB2,3)</f>
        <v/>
      </c>
      <c r="VGJ2" t="str">
        <f>LEFT(Database!VHC2,3)</f>
        <v/>
      </c>
      <c r="VGK2" t="str">
        <f>LEFT(Database!VHD2,3)</f>
        <v/>
      </c>
      <c r="VGL2" t="str">
        <f>LEFT(Database!VHE2,3)</f>
        <v/>
      </c>
      <c r="VGM2" t="str">
        <f>LEFT(Database!VHF2,3)</f>
        <v/>
      </c>
      <c r="VGN2" t="str">
        <f>LEFT(Database!VHG2,3)</f>
        <v/>
      </c>
      <c r="VGO2" t="str">
        <f>LEFT(Database!VHH2,3)</f>
        <v/>
      </c>
      <c r="VGP2" t="str">
        <f>LEFT(Database!VHI2,3)</f>
        <v/>
      </c>
      <c r="VGQ2" t="str">
        <f>LEFT(Database!VHJ2,3)</f>
        <v/>
      </c>
      <c r="VGR2" t="str">
        <f>LEFT(Database!VHK2,3)</f>
        <v/>
      </c>
      <c r="VGS2" t="str">
        <f>LEFT(Database!VHL2,3)</f>
        <v/>
      </c>
      <c r="VGT2" t="str">
        <f>LEFT(Database!VHM2,3)</f>
        <v/>
      </c>
      <c r="VGU2" t="str">
        <f>LEFT(Database!VHN2,3)</f>
        <v/>
      </c>
      <c r="VGV2" t="str">
        <f>LEFT(Database!VHO2,3)</f>
        <v/>
      </c>
      <c r="VGW2" t="str">
        <f>LEFT(Database!VHP2,3)</f>
        <v/>
      </c>
      <c r="VGX2" t="str">
        <f>LEFT(Database!VHQ2,3)</f>
        <v/>
      </c>
      <c r="VGY2" t="str">
        <f>LEFT(Database!VHR2,3)</f>
        <v/>
      </c>
      <c r="VGZ2" t="str">
        <f>LEFT(Database!VHS2,3)</f>
        <v/>
      </c>
      <c r="VHA2" t="str">
        <f>LEFT(Database!VHT2,3)</f>
        <v/>
      </c>
      <c r="VHB2" t="str">
        <f>LEFT(Database!VHU2,3)</f>
        <v/>
      </c>
      <c r="VHC2" t="str">
        <f>LEFT(Database!VHV2,3)</f>
        <v/>
      </c>
      <c r="VHD2" t="str">
        <f>LEFT(Database!VHW2,3)</f>
        <v/>
      </c>
      <c r="VHE2" t="str">
        <f>LEFT(Database!VHX2,3)</f>
        <v/>
      </c>
      <c r="VHF2" t="str">
        <f>LEFT(Database!VHY2,3)</f>
        <v/>
      </c>
      <c r="VHG2" t="str">
        <f>LEFT(Database!VHZ2,3)</f>
        <v/>
      </c>
      <c r="VHH2" t="str">
        <f>LEFT(Database!VIA2,3)</f>
        <v/>
      </c>
      <c r="VHI2" t="str">
        <f>LEFT(Database!VIB2,3)</f>
        <v/>
      </c>
      <c r="VHJ2" t="str">
        <f>LEFT(Database!VIC2,3)</f>
        <v/>
      </c>
      <c r="VHK2" t="str">
        <f>LEFT(Database!VID2,3)</f>
        <v/>
      </c>
      <c r="VHL2" t="str">
        <f>LEFT(Database!VIE2,3)</f>
        <v/>
      </c>
      <c r="VHM2" t="str">
        <f>LEFT(Database!VIF2,3)</f>
        <v/>
      </c>
      <c r="VHN2" t="str">
        <f>LEFT(Database!VIG2,3)</f>
        <v/>
      </c>
      <c r="VHO2" t="str">
        <f>LEFT(Database!VIH2,3)</f>
        <v/>
      </c>
      <c r="VHP2" t="str">
        <f>LEFT(Database!VII2,3)</f>
        <v/>
      </c>
      <c r="VHQ2" t="str">
        <f>LEFT(Database!VIJ2,3)</f>
        <v/>
      </c>
      <c r="VHR2" t="str">
        <f>LEFT(Database!VIK2,3)</f>
        <v/>
      </c>
      <c r="VHS2" t="str">
        <f>LEFT(Database!VIL2,3)</f>
        <v/>
      </c>
      <c r="VHT2" t="str">
        <f>LEFT(Database!VIM2,3)</f>
        <v/>
      </c>
      <c r="VHU2" t="str">
        <f>LEFT(Database!VIN2,3)</f>
        <v/>
      </c>
      <c r="VHV2" t="str">
        <f>LEFT(Database!VIO2,3)</f>
        <v/>
      </c>
      <c r="VHW2" t="str">
        <f>LEFT(Database!VIP2,3)</f>
        <v/>
      </c>
      <c r="VHX2" t="str">
        <f>LEFT(Database!VIQ2,3)</f>
        <v/>
      </c>
      <c r="VHY2" t="str">
        <f>LEFT(Database!VIR2,3)</f>
        <v/>
      </c>
      <c r="VHZ2" t="str">
        <f>LEFT(Database!VIS2,3)</f>
        <v/>
      </c>
      <c r="VIA2" t="str">
        <f>LEFT(Database!VIT2,3)</f>
        <v/>
      </c>
      <c r="VIB2" t="str">
        <f>LEFT(Database!VIU2,3)</f>
        <v/>
      </c>
      <c r="VIC2" t="str">
        <f>LEFT(Database!VIV2,3)</f>
        <v/>
      </c>
      <c r="VID2" t="str">
        <f>LEFT(Database!VIW2,3)</f>
        <v/>
      </c>
      <c r="VIE2" t="str">
        <f>LEFT(Database!VIX2,3)</f>
        <v/>
      </c>
      <c r="VIF2" t="str">
        <f>LEFT(Database!VIY2,3)</f>
        <v/>
      </c>
      <c r="VIG2" t="str">
        <f>LEFT(Database!VIZ2,3)</f>
        <v/>
      </c>
      <c r="VIH2" t="str">
        <f>LEFT(Database!VJA2,3)</f>
        <v/>
      </c>
      <c r="VII2" t="str">
        <f>LEFT(Database!VJB2,3)</f>
        <v/>
      </c>
      <c r="VIJ2" t="str">
        <f>LEFT(Database!VJC2,3)</f>
        <v/>
      </c>
      <c r="VIK2" t="str">
        <f>LEFT(Database!VJD2,3)</f>
        <v/>
      </c>
      <c r="VIL2" t="str">
        <f>LEFT(Database!VJE2,3)</f>
        <v/>
      </c>
      <c r="VIM2" t="str">
        <f>LEFT(Database!VJF2,3)</f>
        <v/>
      </c>
      <c r="VIN2" t="str">
        <f>LEFT(Database!VJG2,3)</f>
        <v/>
      </c>
      <c r="VIO2" t="str">
        <f>LEFT(Database!VJH2,3)</f>
        <v/>
      </c>
      <c r="VIP2" t="str">
        <f>LEFT(Database!VJI2,3)</f>
        <v/>
      </c>
      <c r="VIQ2" t="str">
        <f>LEFT(Database!VJJ2,3)</f>
        <v/>
      </c>
      <c r="VIR2" t="str">
        <f>LEFT(Database!VJK2,3)</f>
        <v/>
      </c>
      <c r="VIS2" t="str">
        <f>LEFT(Database!VJL2,3)</f>
        <v/>
      </c>
      <c r="VIT2" t="str">
        <f>LEFT(Database!VJM2,3)</f>
        <v/>
      </c>
      <c r="VIU2" t="str">
        <f>LEFT(Database!VJN2,3)</f>
        <v/>
      </c>
      <c r="VIV2" t="str">
        <f>LEFT(Database!VJO2,3)</f>
        <v/>
      </c>
      <c r="VIW2" t="str">
        <f>LEFT(Database!VJP2,3)</f>
        <v/>
      </c>
      <c r="VIX2" t="str">
        <f>LEFT(Database!VJQ2,3)</f>
        <v/>
      </c>
      <c r="VIY2" t="str">
        <f>LEFT(Database!VJR2,3)</f>
        <v/>
      </c>
      <c r="VIZ2" t="str">
        <f>LEFT(Database!VJS2,3)</f>
        <v/>
      </c>
      <c r="VJA2" t="str">
        <f>LEFT(Database!VJT2,3)</f>
        <v/>
      </c>
      <c r="VJB2" t="str">
        <f>LEFT(Database!VJU2,3)</f>
        <v/>
      </c>
      <c r="VJC2" t="str">
        <f>LEFT(Database!VJV2,3)</f>
        <v/>
      </c>
      <c r="VJD2" t="str">
        <f>LEFT(Database!VJW2,3)</f>
        <v/>
      </c>
      <c r="VJE2" t="str">
        <f>LEFT(Database!VJX2,3)</f>
        <v/>
      </c>
      <c r="VJF2" t="str">
        <f>LEFT(Database!VJY2,3)</f>
        <v/>
      </c>
      <c r="VJG2" t="str">
        <f>LEFT(Database!VJZ2,3)</f>
        <v/>
      </c>
      <c r="VJH2" t="str">
        <f>LEFT(Database!VKA2,3)</f>
        <v/>
      </c>
      <c r="VJI2" t="str">
        <f>LEFT(Database!VKB2,3)</f>
        <v/>
      </c>
      <c r="VJJ2" t="str">
        <f>LEFT(Database!VKC2,3)</f>
        <v/>
      </c>
      <c r="VJK2" t="str">
        <f>LEFT(Database!VKD2,3)</f>
        <v/>
      </c>
      <c r="VJL2" t="str">
        <f>LEFT(Database!VKE2,3)</f>
        <v/>
      </c>
      <c r="VJM2" t="str">
        <f>LEFT(Database!VKF2,3)</f>
        <v/>
      </c>
      <c r="VJN2" t="str">
        <f>LEFT(Database!VKG2,3)</f>
        <v/>
      </c>
      <c r="VJO2" t="str">
        <f>LEFT(Database!VKH2,3)</f>
        <v/>
      </c>
      <c r="VJP2" t="str">
        <f>LEFT(Database!VKI2,3)</f>
        <v/>
      </c>
      <c r="VJQ2" t="str">
        <f>LEFT(Database!VKJ2,3)</f>
        <v/>
      </c>
      <c r="VJR2" t="str">
        <f>LEFT(Database!VKK2,3)</f>
        <v/>
      </c>
      <c r="VJS2" t="str">
        <f>LEFT(Database!VKL2,3)</f>
        <v/>
      </c>
      <c r="VJT2" t="str">
        <f>LEFT(Database!VKM2,3)</f>
        <v/>
      </c>
      <c r="VJU2" t="str">
        <f>LEFT(Database!VKN2,3)</f>
        <v/>
      </c>
      <c r="VJV2" t="str">
        <f>LEFT(Database!VKO2,3)</f>
        <v/>
      </c>
      <c r="VJW2" t="str">
        <f>LEFT(Database!VKP2,3)</f>
        <v/>
      </c>
      <c r="VJX2" t="str">
        <f>LEFT(Database!VKQ2,3)</f>
        <v/>
      </c>
      <c r="VJY2" t="str">
        <f>LEFT(Database!VKR2,3)</f>
        <v/>
      </c>
      <c r="VJZ2" t="str">
        <f>LEFT(Database!VKS2,3)</f>
        <v/>
      </c>
      <c r="VKA2" t="str">
        <f>LEFT(Database!VKT2,3)</f>
        <v/>
      </c>
      <c r="VKB2" t="str">
        <f>LEFT(Database!VKU2,3)</f>
        <v/>
      </c>
      <c r="VKC2" t="str">
        <f>LEFT(Database!VKV2,3)</f>
        <v/>
      </c>
      <c r="VKD2" t="str">
        <f>LEFT(Database!VKW2,3)</f>
        <v/>
      </c>
      <c r="VKE2" t="str">
        <f>LEFT(Database!VKX2,3)</f>
        <v/>
      </c>
      <c r="VKF2" t="str">
        <f>LEFT(Database!VKY2,3)</f>
        <v/>
      </c>
      <c r="VKG2" t="str">
        <f>LEFT(Database!VKZ2,3)</f>
        <v/>
      </c>
      <c r="VKH2" t="str">
        <f>LEFT(Database!VLA2,3)</f>
        <v/>
      </c>
      <c r="VKI2" t="str">
        <f>LEFT(Database!VLB2,3)</f>
        <v/>
      </c>
      <c r="VKJ2" t="str">
        <f>LEFT(Database!VLC2,3)</f>
        <v/>
      </c>
      <c r="VKK2" t="str">
        <f>LEFT(Database!VLD2,3)</f>
        <v/>
      </c>
      <c r="VKL2" t="str">
        <f>LEFT(Database!VLE2,3)</f>
        <v/>
      </c>
      <c r="VKM2" t="str">
        <f>LEFT(Database!VLF2,3)</f>
        <v/>
      </c>
      <c r="VKN2" t="str">
        <f>LEFT(Database!VLG2,3)</f>
        <v/>
      </c>
      <c r="VKO2" t="str">
        <f>LEFT(Database!VLH2,3)</f>
        <v/>
      </c>
      <c r="VKP2" t="str">
        <f>LEFT(Database!VLI2,3)</f>
        <v/>
      </c>
      <c r="VKQ2" t="str">
        <f>LEFT(Database!VLJ2,3)</f>
        <v/>
      </c>
      <c r="VKR2" t="str">
        <f>LEFT(Database!VLK2,3)</f>
        <v/>
      </c>
      <c r="VKS2" t="str">
        <f>LEFT(Database!VLL2,3)</f>
        <v/>
      </c>
      <c r="VKT2" t="str">
        <f>LEFT(Database!VLM2,3)</f>
        <v/>
      </c>
      <c r="VKU2" t="str">
        <f>LEFT(Database!VLN2,3)</f>
        <v/>
      </c>
      <c r="VKV2" t="str">
        <f>LEFT(Database!VLO2,3)</f>
        <v/>
      </c>
      <c r="VKW2" t="str">
        <f>LEFT(Database!VLP2,3)</f>
        <v/>
      </c>
      <c r="VKX2" t="str">
        <f>LEFT(Database!VLQ2,3)</f>
        <v/>
      </c>
      <c r="VKY2" t="str">
        <f>LEFT(Database!VLR2,3)</f>
        <v/>
      </c>
      <c r="VKZ2" t="str">
        <f>LEFT(Database!VLS2,3)</f>
        <v/>
      </c>
      <c r="VLA2" t="str">
        <f>LEFT(Database!VLT2,3)</f>
        <v/>
      </c>
      <c r="VLB2" t="str">
        <f>LEFT(Database!VLU2,3)</f>
        <v/>
      </c>
      <c r="VLC2" t="str">
        <f>LEFT(Database!VLV2,3)</f>
        <v/>
      </c>
      <c r="VLD2" t="str">
        <f>LEFT(Database!VLW2,3)</f>
        <v/>
      </c>
      <c r="VLE2" t="str">
        <f>LEFT(Database!VLX2,3)</f>
        <v/>
      </c>
      <c r="VLF2" t="str">
        <f>LEFT(Database!VLY2,3)</f>
        <v/>
      </c>
      <c r="VLG2" t="str">
        <f>LEFT(Database!VLZ2,3)</f>
        <v/>
      </c>
      <c r="VLH2" t="str">
        <f>LEFT(Database!VMA2,3)</f>
        <v/>
      </c>
      <c r="VLI2" t="str">
        <f>LEFT(Database!VMB2,3)</f>
        <v/>
      </c>
      <c r="VLJ2" t="str">
        <f>LEFT(Database!VMC2,3)</f>
        <v/>
      </c>
      <c r="VLK2" t="str">
        <f>LEFT(Database!VMD2,3)</f>
        <v/>
      </c>
      <c r="VLL2" t="str">
        <f>LEFT(Database!VME2,3)</f>
        <v/>
      </c>
      <c r="VLM2" t="str">
        <f>LEFT(Database!VMF2,3)</f>
        <v/>
      </c>
      <c r="VLN2" t="str">
        <f>LEFT(Database!VMG2,3)</f>
        <v/>
      </c>
      <c r="VLO2" t="str">
        <f>LEFT(Database!VMH2,3)</f>
        <v/>
      </c>
      <c r="VLP2" t="str">
        <f>LEFT(Database!VMI2,3)</f>
        <v/>
      </c>
      <c r="VLQ2" t="str">
        <f>LEFT(Database!VMJ2,3)</f>
        <v/>
      </c>
      <c r="VLR2" t="str">
        <f>LEFT(Database!VMK2,3)</f>
        <v/>
      </c>
      <c r="VLS2" t="str">
        <f>LEFT(Database!VML2,3)</f>
        <v/>
      </c>
      <c r="VLT2" t="str">
        <f>LEFT(Database!VMM2,3)</f>
        <v/>
      </c>
      <c r="VLU2" t="str">
        <f>LEFT(Database!VMN2,3)</f>
        <v/>
      </c>
      <c r="VLV2" t="str">
        <f>LEFT(Database!VMO2,3)</f>
        <v/>
      </c>
      <c r="VLW2" t="str">
        <f>LEFT(Database!VMP2,3)</f>
        <v/>
      </c>
      <c r="VLX2" t="str">
        <f>LEFT(Database!VMQ2,3)</f>
        <v/>
      </c>
      <c r="VLY2" t="str">
        <f>LEFT(Database!VMR2,3)</f>
        <v/>
      </c>
      <c r="VLZ2" t="str">
        <f>LEFT(Database!VMS2,3)</f>
        <v/>
      </c>
      <c r="VMA2" t="str">
        <f>LEFT(Database!VMT2,3)</f>
        <v/>
      </c>
      <c r="VMB2" t="str">
        <f>LEFT(Database!VMU2,3)</f>
        <v/>
      </c>
      <c r="VMC2" t="str">
        <f>LEFT(Database!VMV2,3)</f>
        <v/>
      </c>
      <c r="VMD2" t="str">
        <f>LEFT(Database!VMW2,3)</f>
        <v/>
      </c>
      <c r="VME2" t="str">
        <f>LEFT(Database!VMX2,3)</f>
        <v/>
      </c>
      <c r="VMF2" t="str">
        <f>LEFT(Database!VMY2,3)</f>
        <v/>
      </c>
      <c r="VMG2" t="str">
        <f>LEFT(Database!VMZ2,3)</f>
        <v/>
      </c>
      <c r="VMH2" t="str">
        <f>LEFT(Database!VNA2,3)</f>
        <v/>
      </c>
      <c r="VMI2" t="str">
        <f>LEFT(Database!VNB2,3)</f>
        <v/>
      </c>
      <c r="VMJ2" t="str">
        <f>LEFT(Database!VNC2,3)</f>
        <v/>
      </c>
      <c r="VMK2" t="str">
        <f>LEFT(Database!VND2,3)</f>
        <v/>
      </c>
      <c r="VML2" t="str">
        <f>LEFT(Database!VNE2,3)</f>
        <v/>
      </c>
      <c r="VMM2" t="str">
        <f>LEFT(Database!VNF2,3)</f>
        <v/>
      </c>
      <c r="VMN2" t="str">
        <f>LEFT(Database!VNG2,3)</f>
        <v/>
      </c>
      <c r="VMO2" t="str">
        <f>LEFT(Database!VNH2,3)</f>
        <v/>
      </c>
      <c r="VMP2" t="str">
        <f>LEFT(Database!VNI2,3)</f>
        <v/>
      </c>
      <c r="VMQ2" t="str">
        <f>LEFT(Database!VNJ2,3)</f>
        <v/>
      </c>
      <c r="VMR2" t="str">
        <f>LEFT(Database!VNK2,3)</f>
        <v/>
      </c>
      <c r="VMS2" t="str">
        <f>LEFT(Database!VNL2,3)</f>
        <v/>
      </c>
      <c r="VMT2" t="str">
        <f>LEFT(Database!VNM2,3)</f>
        <v/>
      </c>
      <c r="VMU2" t="str">
        <f>LEFT(Database!VNN2,3)</f>
        <v/>
      </c>
      <c r="VMV2" t="str">
        <f>LEFT(Database!VNO2,3)</f>
        <v/>
      </c>
      <c r="VMW2" t="str">
        <f>LEFT(Database!VNP2,3)</f>
        <v/>
      </c>
      <c r="VMX2" t="str">
        <f>LEFT(Database!VNQ2,3)</f>
        <v/>
      </c>
      <c r="VMY2" t="str">
        <f>LEFT(Database!VNR2,3)</f>
        <v/>
      </c>
      <c r="VMZ2" t="str">
        <f>LEFT(Database!VNS2,3)</f>
        <v/>
      </c>
      <c r="VNA2" t="str">
        <f>LEFT(Database!VNT2,3)</f>
        <v/>
      </c>
      <c r="VNB2" t="str">
        <f>LEFT(Database!VNU2,3)</f>
        <v/>
      </c>
      <c r="VNC2" t="str">
        <f>LEFT(Database!VNV2,3)</f>
        <v/>
      </c>
      <c r="VND2" t="str">
        <f>LEFT(Database!VNW2,3)</f>
        <v/>
      </c>
      <c r="VNE2" t="str">
        <f>LEFT(Database!VNX2,3)</f>
        <v/>
      </c>
      <c r="VNF2" t="str">
        <f>LEFT(Database!VNY2,3)</f>
        <v/>
      </c>
      <c r="VNG2" t="str">
        <f>LEFT(Database!VNZ2,3)</f>
        <v/>
      </c>
      <c r="VNH2" t="str">
        <f>LEFT(Database!VOA2,3)</f>
        <v/>
      </c>
      <c r="VNI2" t="str">
        <f>LEFT(Database!VOB2,3)</f>
        <v/>
      </c>
      <c r="VNJ2" t="str">
        <f>LEFT(Database!VOC2,3)</f>
        <v/>
      </c>
      <c r="VNK2" t="str">
        <f>LEFT(Database!VOD2,3)</f>
        <v/>
      </c>
      <c r="VNL2" t="str">
        <f>LEFT(Database!VOE2,3)</f>
        <v/>
      </c>
      <c r="VNM2" t="str">
        <f>LEFT(Database!VOF2,3)</f>
        <v/>
      </c>
      <c r="VNN2" t="str">
        <f>LEFT(Database!VOG2,3)</f>
        <v/>
      </c>
      <c r="VNO2" t="str">
        <f>LEFT(Database!VOH2,3)</f>
        <v/>
      </c>
      <c r="VNP2" t="str">
        <f>LEFT(Database!VOI2,3)</f>
        <v/>
      </c>
      <c r="VNQ2" t="str">
        <f>LEFT(Database!VOJ2,3)</f>
        <v/>
      </c>
      <c r="VNR2" t="str">
        <f>LEFT(Database!VOK2,3)</f>
        <v/>
      </c>
      <c r="VNS2" t="str">
        <f>LEFT(Database!VOL2,3)</f>
        <v/>
      </c>
      <c r="VNT2" t="str">
        <f>LEFT(Database!VOM2,3)</f>
        <v/>
      </c>
      <c r="VNU2" t="str">
        <f>LEFT(Database!VON2,3)</f>
        <v/>
      </c>
      <c r="VNV2" t="str">
        <f>LEFT(Database!VOO2,3)</f>
        <v/>
      </c>
      <c r="VNW2" t="str">
        <f>LEFT(Database!VOP2,3)</f>
        <v/>
      </c>
      <c r="VNX2" t="str">
        <f>LEFT(Database!VOQ2,3)</f>
        <v/>
      </c>
      <c r="VNY2" t="str">
        <f>LEFT(Database!VOR2,3)</f>
        <v/>
      </c>
      <c r="VNZ2" t="str">
        <f>LEFT(Database!VOS2,3)</f>
        <v/>
      </c>
      <c r="VOA2" t="str">
        <f>LEFT(Database!VOT2,3)</f>
        <v/>
      </c>
      <c r="VOB2" t="str">
        <f>LEFT(Database!VOU2,3)</f>
        <v/>
      </c>
      <c r="VOC2" t="str">
        <f>LEFT(Database!VOV2,3)</f>
        <v/>
      </c>
      <c r="VOD2" t="str">
        <f>LEFT(Database!VOW2,3)</f>
        <v/>
      </c>
      <c r="VOE2" t="str">
        <f>LEFT(Database!VOX2,3)</f>
        <v/>
      </c>
      <c r="VOF2" t="str">
        <f>LEFT(Database!VOY2,3)</f>
        <v/>
      </c>
      <c r="VOG2" t="str">
        <f>LEFT(Database!VOZ2,3)</f>
        <v/>
      </c>
      <c r="VOH2" t="str">
        <f>LEFT(Database!VPA2,3)</f>
        <v/>
      </c>
      <c r="VOI2" t="str">
        <f>LEFT(Database!VPB2,3)</f>
        <v/>
      </c>
      <c r="VOJ2" t="str">
        <f>LEFT(Database!VPC2,3)</f>
        <v/>
      </c>
      <c r="VOK2" t="str">
        <f>LEFT(Database!VPD2,3)</f>
        <v/>
      </c>
      <c r="VOL2" t="str">
        <f>LEFT(Database!VPE2,3)</f>
        <v/>
      </c>
      <c r="VOM2" t="str">
        <f>LEFT(Database!VPF2,3)</f>
        <v/>
      </c>
      <c r="VON2" t="str">
        <f>LEFT(Database!VPG2,3)</f>
        <v/>
      </c>
      <c r="VOO2" t="str">
        <f>LEFT(Database!VPH2,3)</f>
        <v/>
      </c>
      <c r="VOP2" t="str">
        <f>LEFT(Database!VPI2,3)</f>
        <v/>
      </c>
      <c r="VOQ2" t="str">
        <f>LEFT(Database!VPJ2,3)</f>
        <v/>
      </c>
      <c r="VOR2" t="str">
        <f>LEFT(Database!VPK2,3)</f>
        <v/>
      </c>
      <c r="VOS2" t="str">
        <f>LEFT(Database!VPL2,3)</f>
        <v/>
      </c>
      <c r="VOT2" t="str">
        <f>LEFT(Database!VPM2,3)</f>
        <v/>
      </c>
      <c r="VOU2" t="str">
        <f>LEFT(Database!VPN2,3)</f>
        <v/>
      </c>
      <c r="VOV2" t="str">
        <f>LEFT(Database!VPO2,3)</f>
        <v/>
      </c>
      <c r="VOW2" t="str">
        <f>LEFT(Database!VPP2,3)</f>
        <v/>
      </c>
      <c r="VOX2" t="str">
        <f>LEFT(Database!VPQ2,3)</f>
        <v/>
      </c>
      <c r="VOY2" t="str">
        <f>LEFT(Database!VPR2,3)</f>
        <v/>
      </c>
      <c r="VOZ2" t="str">
        <f>LEFT(Database!VPS2,3)</f>
        <v/>
      </c>
      <c r="VPA2" t="str">
        <f>LEFT(Database!VPT2,3)</f>
        <v/>
      </c>
      <c r="VPB2" t="str">
        <f>LEFT(Database!VPU2,3)</f>
        <v/>
      </c>
      <c r="VPC2" t="str">
        <f>LEFT(Database!VPV2,3)</f>
        <v/>
      </c>
      <c r="VPD2" t="str">
        <f>LEFT(Database!VPW2,3)</f>
        <v/>
      </c>
      <c r="VPE2" t="str">
        <f>LEFT(Database!VPX2,3)</f>
        <v/>
      </c>
      <c r="VPF2" t="str">
        <f>LEFT(Database!VPY2,3)</f>
        <v/>
      </c>
      <c r="VPG2" t="str">
        <f>LEFT(Database!VPZ2,3)</f>
        <v/>
      </c>
      <c r="VPH2" t="str">
        <f>LEFT(Database!VQA2,3)</f>
        <v/>
      </c>
      <c r="VPI2" t="str">
        <f>LEFT(Database!VQB2,3)</f>
        <v/>
      </c>
      <c r="VPJ2" t="str">
        <f>LEFT(Database!VQC2,3)</f>
        <v/>
      </c>
      <c r="VPK2" t="str">
        <f>LEFT(Database!VQD2,3)</f>
        <v/>
      </c>
      <c r="VPL2" t="str">
        <f>LEFT(Database!VQE2,3)</f>
        <v/>
      </c>
      <c r="VPM2" t="str">
        <f>LEFT(Database!VQF2,3)</f>
        <v/>
      </c>
      <c r="VPN2" t="str">
        <f>LEFT(Database!VQG2,3)</f>
        <v/>
      </c>
      <c r="VPO2" t="str">
        <f>LEFT(Database!VQH2,3)</f>
        <v/>
      </c>
      <c r="VPP2" t="str">
        <f>LEFT(Database!VQI2,3)</f>
        <v/>
      </c>
      <c r="VPQ2" t="str">
        <f>LEFT(Database!VQJ2,3)</f>
        <v/>
      </c>
      <c r="VPR2" t="str">
        <f>LEFT(Database!VQK2,3)</f>
        <v/>
      </c>
      <c r="VPS2" t="str">
        <f>LEFT(Database!VQL2,3)</f>
        <v/>
      </c>
      <c r="VPT2" t="str">
        <f>LEFT(Database!VQM2,3)</f>
        <v/>
      </c>
      <c r="VPU2" t="str">
        <f>LEFT(Database!VQN2,3)</f>
        <v/>
      </c>
      <c r="VPV2" t="str">
        <f>LEFT(Database!VQO2,3)</f>
        <v/>
      </c>
      <c r="VPW2" t="str">
        <f>LEFT(Database!VQP2,3)</f>
        <v/>
      </c>
      <c r="VPX2" t="str">
        <f>LEFT(Database!VQQ2,3)</f>
        <v/>
      </c>
      <c r="VPY2" t="str">
        <f>LEFT(Database!VQR2,3)</f>
        <v/>
      </c>
      <c r="VPZ2" t="str">
        <f>LEFT(Database!VQS2,3)</f>
        <v/>
      </c>
      <c r="VQA2" t="str">
        <f>LEFT(Database!VQT2,3)</f>
        <v/>
      </c>
      <c r="VQB2" t="str">
        <f>LEFT(Database!VQU2,3)</f>
        <v/>
      </c>
      <c r="VQC2" t="str">
        <f>LEFT(Database!VQV2,3)</f>
        <v/>
      </c>
      <c r="VQD2" t="str">
        <f>LEFT(Database!VQW2,3)</f>
        <v/>
      </c>
      <c r="VQE2" t="str">
        <f>LEFT(Database!VQX2,3)</f>
        <v/>
      </c>
      <c r="VQF2" t="str">
        <f>LEFT(Database!VQY2,3)</f>
        <v/>
      </c>
      <c r="VQG2" t="str">
        <f>LEFT(Database!VQZ2,3)</f>
        <v/>
      </c>
      <c r="VQH2" t="str">
        <f>LEFT(Database!VRA2,3)</f>
        <v/>
      </c>
      <c r="VQI2" t="str">
        <f>LEFT(Database!VRB2,3)</f>
        <v/>
      </c>
      <c r="VQJ2" t="str">
        <f>LEFT(Database!VRC2,3)</f>
        <v/>
      </c>
      <c r="VQK2" t="str">
        <f>LEFT(Database!VRD2,3)</f>
        <v/>
      </c>
      <c r="VQL2" t="str">
        <f>LEFT(Database!VRE2,3)</f>
        <v/>
      </c>
      <c r="VQM2" t="str">
        <f>LEFT(Database!VRF2,3)</f>
        <v/>
      </c>
      <c r="VQN2" t="str">
        <f>LEFT(Database!VRG2,3)</f>
        <v/>
      </c>
      <c r="VQO2" t="str">
        <f>LEFT(Database!VRH2,3)</f>
        <v/>
      </c>
      <c r="VQP2" t="str">
        <f>LEFT(Database!VRI2,3)</f>
        <v/>
      </c>
      <c r="VQQ2" t="str">
        <f>LEFT(Database!VRJ2,3)</f>
        <v/>
      </c>
      <c r="VQR2" t="str">
        <f>LEFT(Database!VRK2,3)</f>
        <v/>
      </c>
      <c r="VQS2" t="str">
        <f>LEFT(Database!VRL2,3)</f>
        <v/>
      </c>
      <c r="VQT2" t="str">
        <f>LEFT(Database!VRM2,3)</f>
        <v/>
      </c>
      <c r="VQU2" t="str">
        <f>LEFT(Database!VRN2,3)</f>
        <v/>
      </c>
      <c r="VQV2" t="str">
        <f>LEFT(Database!VRO2,3)</f>
        <v/>
      </c>
      <c r="VQW2" t="str">
        <f>LEFT(Database!VRP2,3)</f>
        <v/>
      </c>
      <c r="VQX2" t="str">
        <f>LEFT(Database!VRQ2,3)</f>
        <v/>
      </c>
      <c r="VQY2" t="str">
        <f>LEFT(Database!VRR2,3)</f>
        <v/>
      </c>
      <c r="VQZ2" t="str">
        <f>LEFT(Database!VRS2,3)</f>
        <v/>
      </c>
      <c r="VRA2" t="str">
        <f>LEFT(Database!VRT2,3)</f>
        <v/>
      </c>
      <c r="VRB2" t="str">
        <f>LEFT(Database!VRU2,3)</f>
        <v/>
      </c>
      <c r="VRC2" t="str">
        <f>LEFT(Database!VRV2,3)</f>
        <v/>
      </c>
      <c r="VRD2" t="str">
        <f>LEFT(Database!VRW2,3)</f>
        <v/>
      </c>
      <c r="VRE2" t="str">
        <f>LEFT(Database!VRX2,3)</f>
        <v/>
      </c>
      <c r="VRF2" t="str">
        <f>LEFT(Database!VRY2,3)</f>
        <v/>
      </c>
      <c r="VRG2" t="str">
        <f>LEFT(Database!VRZ2,3)</f>
        <v/>
      </c>
      <c r="VRH2" t="str">
        <f>LEFT(Database!VSA2,3)</f>
        <v/>
      </c>
      <c r="VRI2" t="str">
        <f>LEFT(Database!VSB2,3)</f>
        <v/>
      </c>
      <c r="VRJ2" t="str">
        <f>LEFT(Database!VSC2,3)</f>
        <v/>
      </c>
      <c r="VRK2" t="str">
        <f>LEFT(Database!VSD2,3)</f>
        <v/>
      </c>
      <c r="VRL2" t="str">
        <f>LEFT(Database!VSE2,3)</f>
        <v/>
      </c>
      <c r="VRM2" t="str">
        <f>LEFT(Database!VSF2,3)</f>
        <v/>
      </c>
      <c r="VRN2" t="str">
        <f>LEFT(Database!VSG2,3)</f>
        <v/>
      </c>
      <c r="VRO2" t="str">
        <f>LEFT(Database!VSH2,3)</f>
        <v/>
      </c>
      <c r="VRP2" t="str">
        <f>LEFT(Database!VSI2,3)</f>
        <v/>
      </c>
      <c r="VRQ2" t="str">
        <f>LEFT(Database!VSJ2,3)</f>
        <v/>
      </c>
      <c r="VRR2" t="str">
        <f>LEFT(Database!VSK2,3)</f>
        <v/>
      </c>
      <c r="VRS2" t="str">
        <f>LEFT(Database!VSL2,3)</f>
        <v/>
      </c>
      <c r="VRT2" t="str">
        <f>LEFT(Database!VSM2,3)</f>
        <v/>
      </c>
      <c r="VRU2" t="str">
        <f>LEFT(Database!VSN2,3)</f>
        <v/>
      </c>
      <c r="VRV2" t="str">
        <f>LEFT(Database!VSO2,3)</f>
        <v/>
      </c>
      <c r="VRW2" t="str">
        <f>LEFT(Database!VSP2,3)</f>
        <v/>
      </c>
      <c r="VRX2" t="str">
        <f>LEFT(Database!VSQ2,3)</f>
        <v/>
      </c>
      <c r="VRY2" t="str">
        <f>LEFT(Database!VSR2,3)</f>
        <v/>
      </c>
      <c r="VRZ2" t="str">
        <f>LEFT(Database!VSS2,3)</f>
        <v/>
      </c>
      <c r="VSA2" t="str">
        <f>LEFT(Database!VST2,3)</f>
        <v/>
      </c>
      <c r="VSB2" t="str">
        <f>LEFT(Database!VSU2,3)</f>
        <v/>
      </c>
      <c r="VSC2" t="str">
        <f>LEFT(Database!VSV2,3)</f>
        <v/>
      </c>
      <c r="VSD2" t="str">
        <f>LEFT(Database!VSW2,3)</f>
        <v/>
      </c>
      <c r="VSE2" t="str">
        <f>LEFT(Database!VSX2,3)</f>
        <v/>
      </c>
      <c r="VSF2" t="str">
        <f>LEFT(Database!VSY2,3)</f>
        <v/>
      </c>
      <c r="VSG2" t="str">
        <f>LEFT(Database!VSZ2,3)</f>
        <v/>
      </c>
      <c r="VSH2" t="str">
        <f>LEFT(Database!VTA2,3)</f>
        <v/>
      </c>
      <c r="VSI2" t="str">
        <f>LEFT(Database!VTB2,3)</f>
        <v/>
      </c>
      <c r="VSJ2" t="str">
        <f>LEFT(Database!VTC2,3)</f>
        <v/>
      </c>
      <c r="VSK2" t="str">
        <f>LEFT(Database!VTD2,3)</f>
        <v/>
      </c>
      <c r="VSL2" t="str">
        <f>LEFT(Database!VTE2,3)</f>
        <v/>
      </c>
      <c r="VSM2" t="str">
        <f>LEFT(Database!VTF2,3)</f>
        <v/>
      </c>
      <c r="VSN2" t="str">
        <f>LEFT(Database!VTG2,3)</f>
        <v/>
      </c>
      <c r="VSO2" t="str">
        <f>LEFT(Database!VTH2,3)</f>
        <v/>
      </c>
      <c r="VSP2" t="str">
        <f>LEFT(Database!VTI2,3)</f>
        <v/>
      </c>
      <c r="VSQ2" t="str">
        <f>LEFT(Database!VTJ2,3)</f>
        <v/>
      </c>
      <c r="VSR2" t="str">
        <f>LEFT(Database!VTK2,3)</f>
        <v/>
      </c>
      <c r="VSS2" t="str">
        <f>LEFT(Database!VTL2,3)</f>
        <v/>
      </c>
      <c r="VST2" t="str">
        <f>LEFT(Database!VTM2,3)</f>
        <v/>
      </c>
      <c r="VSU2" t="str">
        <f>LEFT(Database!VTN2,3)</f>
        <v/>
      </c>
      <c r="VSV2" t="str">
        <f>LEFT(Database!VTO2,3)</f>
        <v/>
      </c>
      <c r="VSW2" t="str">
        <f>LEFT(Database!VTP2,3)</f>
        <v/>
      </c>
      <c r="VSX2" t="str">
        <f>LEFT(Database!VTQ2,3)</f>
        <v/>
      </c>
      <c r="VSY2" t="str">
        <f>LEFT(Database!VTR2,3)</f>
        <v/>
      </c>
      <c r="VSZ2" t="str">
        <f>LEFT(Database!VTS2,3)</f>
        <v/>
      </c>
      <c r="VTA2" t="str">
        <f>LEFT(Database!VTT2,3)</f>
        <v/>
      </c>
      <c r="VTB2" t="str">
        <f>LEFT(Database!VTU2,3)</f>
        <v/>
      </c>
      <c r="VTC2" t="str">
        <f>LEFT(Database!VTV2,3)</f>
        <v/>
      </c>
      <c r="VTD2" t="str">
        <f>LEFT(Database!VTW2,3)</f>
        <v/>
      </c>
      <c r="VTE2" t="str">
        <f>LEFT(Database!VTX2,3)</f>
        <v/>
      </c>
      <c r="VTF2" t="str">
        <f>LEFT(Database!VTY2,3)</f>
        <v/>
      </c>
      <c r="VTG2" t="str">
        <f>LEFT(Database!VTZ2,3)</f>
        <v/>
      </c>
      <c r="VTH2" t="str">
        <f>LEFT(Database!VUA2,3)</f>
        <v/>
      </c>
      <c r="VTI2" t="str">
        <f>LEFT(Database!VUB2,3)</f>
        <v/>
      </c>
      <c r="VTJ2" t="str">
        <f>LEFT(Database!VUC2,3)</f>
        <v/>
      </c>
      <c r="VTK2" t="str">
        <f>LEFT(Database!VUD2,3)</f>
        <v/>
      </c>
      <c r="VTL2" t="str">
        <f>LEFT(Database!VUE2,3)</f>
        <v/>
      </c>
      <c r="VTM2" t="str">
        <f>LEFT(Database!VUF2,3)</f>
        <v/>
      </c>
      <c r="VTN2" t="str">
        <f>LEFT(Database!VUG2,3)</f>
        <v/>
      </c>
      <c r="VTO2" t="str">
        <f>LEFT(Database!VUH2,3)</f>
        <v/>
      </c>
      <c r="VTP2" t="str">
        <f>LEFT(Database!VUI2,3)</f>
        <v/>
      </c>
      <c r="VTQ2" t="str">
        <f>LEFT(Database!VUJ2,3)</f>
        <v/>
      </c>
      <c r="VTR2" t="str">
        <f>LEFT(Database!VUK2,3)</f>
        <v/>
      </c>
      <c r="VTS2" t="str">
        <f>LEFT(Database!VUL2,3)</f>
        <v/>
      </c>
      <c r="VTT2" t="str">
        <f>LEFT(Database!VUM2,3)</f>
        <v/>
      </c>
      <c r="VTU2" t="str">
        <f>LEFT(Database!VUN2,3)</f>
        <v/>
      </c>
      <c r="VTV2" t="str">
        <f>LEFT(Database!VUO2,3)</f>
        <v/>
      </c>
      <c r="VTW2" t="str">
        <f>LEFT(Database!VUP2,3)</f>
        <v/>
      </c>
      <c r="VTX2" t="str">
        <f>LEFT(Database!VUQ2,3)</f>
        <v/>
      </c>
      <c r="VTY2" t="str">
        <f>LEFT(Database!VUR2,3)</f>
        <v/>
      </c>
      <c r="VTZ2" t="str">
        <f>LEFT(Database!VUS2,3)</f>
        <v/>
      </c>
      <c r="VUA2" t="str">
        <f>LEFT(Database!VUT2,3)</f>
        <v/>
      </c>
      <c r="VUB2" t="str">
        <f>LEFT(Database!VUU2,3)</f>
        <v/>
      </c>
      <c r="VUC2" t="str">
        <f>LEFT(Database!VUV2,3)</f>
        <v/>
      </c>
      <c r="VUD2" t="str">
        <f>LEFT(Database!VUW2,3)</f>
        <v/>
      </c>
      <c r="VUE2" t="str">
        <f>LEFT(Database!VUX2,3)</f>
        <v/>
      </c>
      <c r="VUF2" t="str">
        <f>LEFT(Database!VUY2,3)</f>
        <v/>
      </c>
      <c r="VUG2" t="str">
        <f>LEFT(Database!VUZ2,3)</f>
        <v/>
      </c>
      <c r="VUH2" t="str">
        <f>LEFT(Database!VVA2,3)</f>
        <v/>
      </c>
      <c r="VUI2" t="str">
        <f>LEFT(Database!VVB2,3)</f>
        <v/>
      </c>
      <c r="VUJ2" t="str">
        <f>LEFT(Database!VVC2,3)</f>
        <v/>
      </c>
      <c r="VUK2" t="str">
        <f>LEFT(Database!VVD2,3)</f>
        <v/>
      </c>
      <c r="VUL2" t="str">
        <f>LEFT(Database!VVE2,3)</f>
        <v/>
      </c>
      <c r="VUM2" t="str">
        <f>LEFT(Database!VVF2,3)</f>
        <v/>
      </c>
      <c r="VUN2" t="str">
        <f>LEFT(Database!VVG2,3)</f>
        <v/>
      </c>
      <c r="VUO2" t="str">
        <f>LEFT(Database!VVH2,3)</f>
        <v/>
      </c>
      <c r="VUP2" t="str">
        <f>LEFT(Database!VVI2,3)</f>
        <v/>
      </c>
      <c r="VUQ2" t="str">
        <f>LEFT(Database!VVJ2,3)</f>
        <v/>
      </c>
      <c r="VUR2" t="str">
        <f>LEFT(Database!VVK2,3)</f>
        <v/>
      </c>
      <c r="VUS2" t="str">
        <f>LEFT(Database!VVL2,3)</f>
        <v/>
      </c>
      <c r="VUT2" t="str">
        <f>LEFT(Database!VVM2,3)</f>
        <v/>
      </c>
      <c r="VUU2" t="str">
        <f>LEFT(Database!VVN2,3)</f>
        <v/>
      </c>
      <c r="VUV2" t="str">
        <f>LEFT(Database!VVO2,3)</f>
        <v/>
      </c>
      <c r="VUW2" t="str">
        <f>LEFT(Database!VVP2,3)</f>
        <v/>
      </c>
      <c r="VUX2" t="str">
        <f>LEFT(Database!VVQ2,3)</f>
        <v/>
      </c>
      <c r="VUY2" t="str">
        <f>LEFT(Database!VVR2,3)</f>
        <v/>
      </c>
      <c r="VUZ2" t="str">
        <f>LEFT(Database!VVS2,3)</f>
        <v/>
      </c>
      <c r="VVA2" t="str">
        <f>LEFT(Database!VVT2,3)</f>
        <v/>
      </c>
      <c r="VVB2" t="str">
        <f>LEFT(Database!VVU2,3)</f>
        <v/>
      </c>
      <c r="VVC2" t="str">
        <f>LEFT(Database!VVV2,3)</f>
        <v/>
      </c>
      <c r="VVD2" t="str">
        <f>LEFT(Database!VVW2,3)</f>
        <v/>
      </c>
      <c r="VVE2" t="str">
        <f>LEFT(Database!VVX2,3)</f>
        <v/>
      </c>
      <c r="VVF2" t="str">
        <f>LEFT(Database!VVY2,3)</f>
        <v/>
      </c>
      <c r="VVG2" t="str">
        <f>LEFT(Database!VVZ2,3)</f>
        <v/>
      </c>
      <c r="VVH2" t="str">
        <f>LEFT(Database!VWA2,3)</f>
        <v/>
      </c>
      <c r="VVI2" t="str">
        <f>LEFT(Database!VWB2,3)</f>
        <v/>
      </c>
      <c r="VVJ2" t="str">
        <f>LEFT(Database!VWC2,3)</f>
        <v/>
      </c>
      <c r="VVK2" t="str">
        <f>LEFT(Database!VWD2,3)</f>
        <v/>
      </c>
      <c r="VVL2" t="str">
        <f>LEFT(Database!VWE2,3)</f>
        <v/>
      </c>
      <c r="VVM2" t="str">
        <f>LEFT(Database!VWF2,3)</f>
        <v/>
      </c>
      <c r="VVN2" t="str">
        <f>LEFT(Database!VWG2,3)</f>
        <v/>
      </c>
      <c r="VVO2" t="str">
        <f>LEFT(Database!VWH2,3)</f>
        <v/>
      </c>
      <c r="VVP2" t="str">
        <f>LEFT(Database!VWI2,3)</f>
        <v/>
      </c>
      <c r="VVQ2" t="str">
        <f>LEFT(Database!VWJ2,3)</f>
        <v/>
      </c>
      <c r="VVR2" t="str">
        <f>LEFT(Database!VWK2,3)</f>
        <v/>
      </c>
      <c r="VVS2" t="str">
        <f>LEFT(Database!VWL2,3)</f>
        <v/>
      </c>
      <c r="VVT2" t="str">
        <f>LEFT(Database!VWM2,3)</f>
        <v/>
      </c>
      <c r="VVU2" t="str">
        <f>LEFT(Database!VWN2,3)</f>
        <v/>
      </c>
      <c r="VVV2" t="str">
        <f>LEFT(Database!VWO2,3)</f>
        <v/>
      </c>
      <c r="VVW2" t="str">
        <f>LEFT(Database!VWP2,3)</f>
        <v/>
      </c>
      <c r="VVX2" t="str">
        <f>LEFT(Database!VWQ2,3)</f>
        <v/>
      </c>
      <c r="VVY2" t="str">
        <f>LEFT(Database!VWR2,3)</f>
        <v/>
      </c>
      <c r="VVZ2" t="str">
        <f>LEFT(Database!VWS2,3)</f>
        <v/>
      </c>
      <c r="VWA2" t="str">
        <f>LEFT(Database!VWT2,3)</f>
        <v/>
      </c>
      <c r="VWB2" t="str">
        <f>LEFT(Database!VWU2,3)</f>
        <v/>
      </c>
      <c r="VWC2" t="str">
        <f>LEFT(Database!VWV2,3)</f>
        <v/>
      </c>
      <c r="VWD2" t="str">
        <f>LEFT(Database!VWW2,3)</f>
        <v/>
      </c>
      <c r="VWE2" t="str">
        <f>LEFT(Database!VWX2,3)</f>
        <v/>
      </c>
      <c r="VWF2" t="str">
        <f>LEFT(Database!VWY2,3)</f>
        <v/>
      </c>
      <c r="VWG2" t="str">
        <f>LEFT(Database!VWZ2,3)</f>
        <v/>
      </c>
      <c r="VWH2" t="str">
        <f>LEFT(Database!VXA2,3)</f>
        <v/>
      </c>
      <c r="VWI2" t="str">
        <f>LEFT(Database!VXB2,3)</f>
        <v/>
      </c>
      <c r="VWJ2" t="str">
        <f>LEFT(Database!VXC2,3)</f>
        <v/>
      </c>
      <c r="VWK2" t="str">
        <f>LEFT(Database!VXD2,3)</f>
        <v/>
      </c>
      <c r="VWL2" t="str">
        <f>LEFT(Database!VXE2,3)</f>
        <v/>
      </c>
      <c r="VWM2" t="str">
        <f>LEFT(Database!VXF2,3)</f>
        <v/>
      </c>
      <c r="VWN2" t="str">
        <f>LEFT(Database!VXG2,3)</f>
        <v/>
      </c>
      <c r="VWO2" t="str">
        <f>LEFT(Database!VXH2,3)</f>
        <v/>
      </c>
      <c r="VWP2" t="str">
        <f>LEFT(Database!VXI2,3)</f>
        <v/>
      </c>
      <c r="VWQ2" t="str">
        <f>LEFT(Database!VXJ2,3)</f>
        <v/>
      </c>
      <c r="VWR2" t="str">
        <f>LEFT(Database!VXK2,3)</f>
        <v/>
      </c>
      <c r="VWS2" t="str">
        <f>LEFT(Database!VXL2,3)</f>
        <v/>
      </c>
      <c r="VWT2" t="str">
        <f>LEFT(Database!VXM2,3)</f>
        <v/>
      </c>
      <c r="VWU2" t="str">
        <f>LEFT(Database!VXN2,3)</f>
        <v/>
      </c>
      <c r="VWV2" t="str">
        <f>LEFT(Database!VXO2,3)</f>
        <v/>
      </c>
      <c r="VWW2" t="str">
        <f>LEFT(Database!VXP2,3)</f>
        <v/>
      </c>
      <c r="VWX2" t="str">
        <f>LEFT(Database!VXQ2,3)</f>
        <v/>
      </c>
      <c r="VWY2" t="str">
        <f>LEFT(Database!VXR2,3)</f>
        <v/>
      </c>
      <c r="VWZ2" t="str">
        <f>LEFT(Database!VXS2,3)</f>
        <v/>
      </c>
      <c r="VXA2" t="str">
        <f>LEFT(Database!VXT2,3)</f>
        <v/>
      </c>
      <c r="VXB2" t="str">
        <f>LEFT(Database!VXU2,3)</f>
        <v/>
      </c>
      <c r="VXC2" t="str">
        <f>LEFT(Database!VXV2,3)</f>
        <v/>
      </c>
      <c r="VXD2" t="str">
        <f>LEFT(Database!VXW2,3)</f>
        <v/>
      </c>
      <c r="VXE2" t="str">
        <f>LEFT(Database!VXX2,3)</f>
        <v/>
      </c>
      <c r="VXF2" t="str">
        <f>LEFT(Database!VXY2,3)</f>
        <v/>
      </c>
      <c r="VXG2" t="str">
        <f>LEFT(Database!VXZ2,3)</f>
        <v/>
      </c>
      <c r="VXH2" t="str">
        <f>LEFT(Database!VYA2,3)</f>
        <v/>
      </c>
      <c r="VXI2" t="str">
        <f>LEFT(Database!VYB2,3)</f>
        <v/>
      </c>
      <c r="VXJ2" t="str">
        <f>LEFT(Database!VYC2,3)</f>
        <v/>
      </c>
      <c r="VXK2" t="str">
        <f>LEFT(Database!VYD2,3)</f>
        <v/>
      </c>
      <c r="VXL2" t="str">
        <f>LEFT(Database!VYE2,3)</f>
        <v/>
      </c>
      <c r="VXM2" t="str">
        <f>LEFT(Database!VYF2,3)</f>
        <v/>
      </c>
      <c r="VXN2" t="str">
        <f>LEFT(Database!VYG2,3)</f>
        <v/>
      </c>
      <c r="VXO2" t="str">
        <f>LEFT(Database!VYH2,3)</f>
        <v/>
      </c>
      <c r="VXP2" t="str">
        <f>LEFT(Database!VYI2,3)</f>
        <v/>
      </c>
      <c r="VXQ2" t="str">
        <f>LEFT(Database!VYJ2,3)</f>
        <v/>
      </c>
      <c r="VXR2" t="str">
        <f>LEFT(Database!VYK2,3)</f>
        <v/>
      </c>
      <c r="VXS2" t="str">
        <f>LEFT(Database!VYL2,3)</f>
        <v/>
      </c>
      <c r="VXT2" t="str">
        <f>LEFT(Database!VYM2,3)</f>
        <v/>
      </c>
      <c r="VXU2" t="str">
        <f>LEFT(Database!VYN2,3)</f>
        <v/>
      </c>
      <c r="VXV2" t="str">
        <f>LEFT(Database!VYO2,3)</f>
        <v/>
      </c>
      <c r="VXW2" t="str">
        <f>LEFT(Database!VYP2,3)</f>
        <v/>
      </c>
      <c r="VXX2" t="str">
        <f>LEFT(Database!VYQ2,3)</f>
        <v/>
      </c>
      <c r="VXY2" t="str">
        <f>LEFT(Database!VYR2,3)</f>
        <v/>
      </c>
      <c r="VXZ2" t="str">
        <f>LEFT(Database!VYS2,3)</f>
        <v/>
      </c>
      <c r="VYA2" t="str">
        <f>LEFT(Database!VYT2,3)</f>
        <v/>
      </c>
      <c r="VYB2" t="str">
        <f>LEFT(Database!VYU2,3)</f>
        <v/>
      </c>
      <c r="VYC2" t="str">
        <f>LEFT(Database!VYV2,3)</f>
        <v/>
      </c>
      <c r="VYD2" t="str">
        <f>LEFT(Database!VYW2,3)</f>
        <v/>
      </c>
      <c r="VYE2" t="str">
        <f>LEFT(Database!VYX2,3)</f>
        <v/>
      </c>
      <c r="VYF2" t="str">
        <f>LEFT(Database!VYY2,3)</f>
        <v/>
      </c>
      <c r="VYG2" t="str">
        <f>LEFT(Database!VYZ2,3)</f>
        <v/>
      </c>
      <c r="VYH2" t="str">
        <f>LEFT(Database!VZA2,3)</f>
        <v/>
      </c>
      <c r="VYI2" t="str">
        <f>LEFT(Database!VZB2,3)</f>
        <v/>
      </c>
      <c r="VYJ2" t="str">
        <f>LEFT(Database!VZC2,3)</f>
        <v/>
      </c>
      <c r="VYK2" t="str">
        <f>LEFT(Database!VZD2,3)</f>
        <v/>
      </c>
      <c r="VYL2" t="str">
        <f>LEFT(Database!VZE2,3)</f>
        <v/>
      </c>
      <c r="VYM2" t="str">
        <f>LEFT(Database!VZF2,3)</f>
        <v/>
      </c>
      <c r="VYN2" t="str">
        <f>LEFT(Database!VZG2,3)</f>
        <v/>
      </c>
      <c r="VYO2" t="str">
        <f>LEFT(Database!VZH2,3)</f>
        <v/>
      </c>
      <c r="VYP2" t="str">
        <f>LEFT(Database!VZI2,3)</f>
        <v/>
      </c>
      <c r="VYQ2" t="str">
        <f>LEFT(Database!VZJ2,3)</f>
        <v/>
      </c>
      <c r="VYR2" t="str">
        <f>LEFT(Database!VZK2,3)</f>
        <v/>
      </c>
      <c r="VYS2" t="str">
        <f>LEFT(Database!VZL2,3)</f>
        <v/>
      </c>
      <c r="VYT2" t="str">
        <f>LEFT(Database!VZM2,3)</f>
        <v/>
      </c>
      <c r="VYU2" t="str">
        <f>LEFT(Database!VZN2,3)</f>
        <v/>
      </c>
      <c r="VYV2" t="str">
        <f>LEFT(Database!VZO2,3)</f>
        <v/>
      </c>
      <c r="VYW2" t="str">
        <f>LEFT(Database!VZP2,3)</f>
        <v/>
      </c>
      <c r="VYX2" t="str">
        <f>LEFT(Database!VZQ2,3)</f>
        <v/>
      </c>
      <c r="VYY2" t="str">
        <f>LEFT(Database!VZR2,3)</f>
        <v/>
      </c>
      <c r="VYZ2" t="str">
        <f>LEFT(Database!VZS2,3)</f>
        <v/>
      </c>
      <c r="VZA2" t="str">
        <f>LEFT(Database!VZT2,3)</f>
        <v/>
      </c>
      <c r="VZB2" t="str">
        <f>LEFT(Database!VZU2,3)</f>
        <v/>
      </c>
      <c r="VZC2" t="str">
        <f>LEFT(Database!VZV2,3)</f>
        <v/>
      </c>
      <c r="VZD2" t="str">
        <f>LEFT(Database!VZW2,3)</f>
        <v/>
      </c>
      <c r="VZE2" t="str">
        <f>LEFT(Database!VZX2,3)</f>
        <v/>
      </c>
      <c r="VZF2" t="str">
        <f>LEFT(Database!VZY2,3)</f>
        <v/>
      </c>
      <c r="VZG2" t="str">
        <f>LEFT(Database!VZZ2,3)</f>
        <v/>
      </c>
      <c r="VZH2" t="str">
        <f>LEFT(Database!WAA2,3)</f>
        <v/>
      </c>
      <c r="VZI2" t="str">
        <f>LEFT(Database!WAB2,3)</f>
        <v/>
      </c>
      <c r="VZJ2" t="str">
        <f>LEFT(Database!WAC2,3)</f>
        <v/>
      </c>
      <c r="VZK2" t="str">
        <f>LEFT(Database!WAD2,3)</f>
        <v/>
      </c>
      <c r="VZL2" t="str">
        <f>LEFT(Database!WAE2,3)</f>
        <v/>
      </c>
      <c r="VZM2" t="str">
        <f>LEFT(Database!WAF2,3)</f>
        <v/>
      </c>
      <c r="VZN2" t="str">
        <f>LEFT(Database!WAG2,3)</f>
        <v/>
      </c>
      <c r="VZO2" t="str">
        <f>LEFT(Database!WAH2,3)</f>
        <v/>
      </c>
      <c r="VZP2" t="str">
        <f>LEFT(Database!WAI2,3)</f>
        <v/>
      </c>
      <c r="VZQ2" t="str">
        <f>LEFT(Database!WAJ2,3)</f>
        <v/>
      </c>
      <c r="VZR2" t="str">
        <f>LEFT(Database!WAK2,3)</f>
        <v/>
      </c>
      <c r="VZS2" t="str">
        <f>LEFT(Database!WAL2,3)</f>
        <v/>
      </c>
      <c r="VZT2" t="str">
        <f>LEFT(Database!WAM2,3)</f>
        <v/>
      </c>
      <c r="VZU2" t="str">
        <f>LEFT(Database!WAN2,3)</f>
        <v/>
      </c>
      <c r="VZV2" t="str">
        <f>LEFT(Database!WAO2,3)</f>
        <v/>
      </c>
      <c r="VZW2" t="str">
        <f>LEFT(Database!WAP2,3)</f>
        <v/>
      </c>
      <c r="VZX2" t="str">
        <f>LEFT(Database!WAQ2,3)</f>
        <v/>
      </c>
      <c r="VZY2" t="str">
        <f>LEFT(Database!WAR2,3)</f>
        <v/>
      </c>
      <c r="VZZ2" t="str">
        <f>LEFT(Database!WAS2,3)</f>
        <v/>
      </c>
      <c r="WAA2" t="str">
        <f>LEFT(Database!WAT2,3)</f>
        <v/>
      </c>
      <c r="WAB2" t="str">
        <f>LEFT(Database!WAU2,3)</f>
        <v/>
      </c>
      <c r="WAC2" t="str">
        <f>LEFT(Database!WAV2,3)</f>
        <v/>
      </c>
      <c r="WAD2" t="str">
        <f>LEFT(Database!WAW2,3)</f>
        <v/>
      </c>
      <c r="WAE2" t="str">
        <f>LEFT(Database!WAX2,3)</f>
        <v/>
      </c>
      <c r="WAF2" t="str">
        <f>LEFT(Database!WAY2,3)</f>
        <v/>
      </c>
      <c r="WAG2" t="str">
        <f>LEFT(Database!WAZ2,3)</f>
        <v/>
      </c>
      <c r="WAH2" t="str">
        <f>LEFT(Database!WBA2,3)</f>
        <v/>
      </c>
      <c r="WAI2" t="str">
        <f>LEFT(Database!WBB2,3)</f>
        <v/>
      </c>
      <c r="WAJ2" t="str">
        <f>LEFT(Database!WBC2,3)</f>
        <v/>
      </c>
      <c r="WAK2" t="str">
        <f>LEFT(Database!WBD2,3)</f>
        <v/>
      </c>
      <c r="WAL2" t="str">
        <f>LEFT(Database!WBE2,3)</f>
        <v/>
      </c>
      <c r="WAM2" t="str">
        <f>LEFT(Database!WBF2,3)</f>
        <v/>
      </c>
      <c r="WAN2" t="str">
        <f>LEFT(Database!WBG2,3)</f>
        <v/>
      </c>
      <c r="WAO2" t="str">
        <f>LEFT(Database!WBH2,3)</f>
        <v/>
      </c>
      <c r="WAP2" t="str">
        <f>LEFT(Database!WBI2,3)</f>
        <v/>
      </c>
      <c r="WAQ2" t="str">
        <f>LEFT(Database!WBJ2,3)</f>
        <v/>
      </c>
      <c r="WAR2" t="str">
        <f>LEFT(Database!WBK2,3)</f>
        <v/>
      </c>
      <c r="WAS2" t="str">
        <f>LEFT(Database!WBL2,3)</f>
        <v/>
      </c>
      <c r="WAT2" t="str">
        <f>LEFT(Database!WBM2,3)</f>
        <v/>
      </c>
      <c r="WAU2" t="str">
        <f>LEFT(Database!WBN2,3)</f>
        <v/>
      </c>
      <c r="WAV2" t="str">
        <f>LEFT(Database!WBO2,3)</f>
        <v/>
      </c>
      <c r="WAW2" t="str">
        <f>LEFT(Database!WBP2,3)</f>
        <v/>
      </c>
      <c r="WAX2" t="str">
        <f>LEFT(Database!WBQ2,3)</f>
        <v/>
      </c>
      <c r="WAY2" t="str">
        <f>LEFT(Database!WBR2,3)</f>
        <v/>
      </c>
      <c r="WAZ2" t="str">
        <f>LEFT(Database!WBS2,3)</f>
        <v/>
      </c>
      <c r="WBA2" t="str">
        <f>LEFT(Database!WBT2,3)</f>
        <v/>
      </c>
      <c r="WBB2" t="str">
        <f>LEFT(Database!WBU2,3)</f>
        <v/>
      </c>
      <c r="WBC2" t="str">
        <f>LEFT(Database!WBV2,3)</f>
        <v/>
      </c>
      <c r="WBD2" t="str">
        <f>LEFT(Database!WBW2,3)</f>
        <v/>
      </c>
      <c r="WBE2" t="str">
        <f>LEFT(Database!WBX2,3)</f>
        <v/>
      </c>
      <c r="WBF2" t="str">
        <f>LEFT(Database!WBY2,3)</f>
        <v/>
      </c>
      <c r="WBG2" t="str">
        <f>LEFT(Database!WBZ2,3)</f>
        <v/>
      </c>
      <c r="WBH2" t="str">
        <f>LEFT(Database!WCA2,3)</f>
        <v/>
      </c>
      <c r="WBI2" t="str">
        <f>LEFT(Database!WCB2,3)</f>
        <v/>
      </c>
      <c r="WBJ2" t="str">
        <f>LEFT(Database!WCC2,3)</f>
        <v/>
      </c>
      <c r="WBK2" t="str">
        <f>LEFT(Database!WCD2,3)</f>
        <v/>
      </c>
      <c r="WBL2" t="str">
        <f>LEFT(Database!WCE2,3)</f>
        <v/>
      </c>
      <c r="WBM2" t="str">
        <f>LEFT(Database!WCF2,3)</f>
        <v/>
      </c>
      <c r="WBN2" t="str">
        <f>LEFT(Database!WCG2,3)</f>
        <v/>
      </c>
      <c r="WBO2" t="str">
        <f>LEFT(Database!WCH2,3)</f>
        <v/>
      </c>
      <c r="WBP2" t="str">
        <f>LEFT(Database!WCI2,3)</f>
        <v/>
      </c>
      <c r="WBQ2" t="str">
        <f>LEFT(Database!WCJ2,3)</f>
        <v/>
      </c>
      <c r="WBR2" t="str">
        <f>LEFT(Database!WCK2,3)</f>
        <v/>
      </c>
      <c r="WBS2" t="str">
        <f>LEFT(Database!WCL2,3)</f>
        <v/>
      </c>
      <c r="WBT2" t="str">
        <f>LEFT(Database!WCM2,3)</f>
        <v/>
      </c>
      <c r="WBU2" t="str">
        <f>LEFT(Database!WCN2,3)</f>
        <v/>
      </c>
      <c r="WBV2" t="str">
        <f>LEFT(Database!WCO2,3)</f>
        <v/>
      </c>
      <c r="WBW2" t="str">
        <f>LEFT(Database!WCP2,3)</f>
        <v/>
      </c>
      <c r="WBX2" t="str">
        <f>LEFT(Database!WCQ2,3)</f>
        <v/>
      </c>
      <c r="WBY2" t="str">
        <f>LEFT(Database!WCR2,3)</f>
        <v/>
      </c>
      <c r="WBZ2" t="str">
        <f>LEFT(Database!WCS2,3)</f>
        <v/>
      </c>
      <c r="WCA2" t="str">
        <f>LEFT(Database!WCT2,3)</f>
        <v/>
      </c>
      <c r="WCB2" t="str">
        <f>LEFT(Database!WCU2,3)</f>
        <v/>
      </c>
      <c r="WCC2" t="str">
        <f>LEFT(Database!WCV2,3)</f>
        <v/>
      </c>
      <c r="WCD2" t="str">
        <f>LEFT(Database!WCW2,3)</f>
        <v/>
      </c>
      <c r="WCE2" t="str">
        <f>LEFT(Database!WCX2,3)</f>
        <v/>
      </c>
      <c r="WCF2" t="str">
        <f>LEFT(Database!WCY2,3)</f>
        <v/>
      </c>
      <c r="WCG2" t="str">
        <f>LEFT(Database!WCZ2,3)</f>
        <v/>
      </c>
      <c r="WCH2" t="str">
        <f>LEFT(Database!WDA2,3)</f>
        <v/>
      </c>
      <c r="WCI2" t="str">
        <f>LEFT(Database!WDB2,3)</f>
        <v/>
      </c>
      <c r="WCJ2" t="str">
        <f>LEFT(Database!WDC2,3)</f>
        <v/>
      </c>
      <c r="WCK2" t="str">
        <f>LEFT(Database!WDD2,3)</f>
        <v/>
      </c>
      <c r="WCL2" t="str">
        <f>LEFT(Database!WDE2,3)</f>
        <v/>
      </c>
      <c r="WCM2" t="str">
        <f>LEFT(Database!WDF2,3)</f>
        <v/>
      </c>
      <c r="WCN2" t="str">
        <f>LEFT(Database!WDG2,3)</f>
        <v/>
      </c>
      <c r="WCO2" t="str">
        <f>LEFT(Database!WDH2,3)</f>
        <v/>
      </c>
      <c r="WCP2" t="str">
        <f>LEFT(Database!WDI2,3)</f>
        <v/>
      </c>
      <c r="WCQ2" t="str">
        <f>LEFT(Database!WDJ2,3)</f>
        <v/>
      </c>
      <c r="WCR2" t="str">
        <f>LEFT(Database!WDK2,3)</f>
        <v/>
      </c>
      <c r="WCS2" t="str">
        <f>LEFT(Database!WDL2,3)</f>
        <v/>
      </c>
      <c r="WCT2" t="str">
        <f>LEFT(Database!WDM2,3)</f>
        <v/>
      </c>
      <c r="WCU2" t="str">
        <f>LEFT(Database!WDN2,3)</f>
        <v/>
      </c>
      <c r="WCV2" t="str">
        <f>LEFT(Database!WDO2,3)</f>
        <v/>
      </c>
      <c r="WCW2" t="str">
        <f>LEFT(Database!WDP2,3)</f>
        <v/>
      </c>
      <c r="WCX2" t="str">
        <f>LEFT(Database!WDQ2,3)</f>
        <v/>
      </c>
      <c r="WCY2" t="str">
        <f>LEFT(Database!WDR2,3)</f>
        <v/>
      </c>
      <c r="WCZ2" t="str">
        <f>LEFT(Database!WDS2,3)</f>
        <v/>
      </c>
      <c r="WDA2" t="str">
        <f>LEFT(Database!WDT2,3)</f>
        <v/>
      </c>
      <c r="WDB2" t="str">
        <f>LEFT(Database!WDU2,3)</f>
        <v/>
      </c>
      <c r="WDC2" t="str">
        <f>LEFT(Database!WDV2,3)</f>
        <v/>
      </c>
      <c r="WDD2" t="str">
        <f>LEFT(Database!WDW2,3)</f>
        <v/>
      </c>
      <c r="WDE2" t="str">
        <f>LEFT(Database!WDX2,3)</f>
        <v/>
      </c>
      <c r="WDF2" t="str">
        <f>LEFT(Database!WDY2,3)</f>
        <v/>
      </c>
      <c r="WDG2" t="str">
        <f>LEFT(Database!WDZ2,3)</f>
        <v/>
      </c>
      <c r="WDH2" t="str">
        <f>LEFT(Database!WEA2,3)</f>
        <v/>
      </c>
      <c r="WDI2" t="str">
        <f>LEFT(Database!WEB2,3)</f>
        <v/>
      </c>
      <c r="WDJ2" t="str">
        <f>LEFT(Database!WEC2,3)</f>
        <v/>
      </c>
      <c r="WDK2" t="str">
        <f>LEFT(Database!WED2,3)</f>
        <v/>
      </c>
      <c r="WDL2" t="str">
        <f>LEFT(Database!WEE2,3)</f>
        <v/>
      </c>
      <c r="WDM2" t="str">
        <f>LEFT(Database!WEF2,3)</f>
        <v/>
      </c>
      <c r="WDN2" t="str">
        <f>LEFT(Database!WEG2,3)</f>
        <v/>
      </c>
      <c r="WDO2" t="str">
        <f>LEFT(Database!WEH2,3)</f>
        <v/>
      </c>
      <c r="WDP2" t="str">
        <f>LEFT(Database!WEI2,3)</f>
        <v/>
      </c>
      <c r="WDQ2" t="str">
        <f>LEFT(Database!WEJ2,3)</f>
        <v/>
      </c>
      <c r="WDR2" t="str">
        <f>LEFT(Database!WEK2,3)</f>
        <v/>
      </c>
      <c r="WDS2" t="str">
        <f>LEFT(Database!WEL2,3)</f>
        <v/>
      </c>
      <c r="WDT2" t="str">
        <f>LEFT(Database!WEM2,3)</f>
        <v/>
      </c>
      <c r="WDU2" t="str">
        <f>LEFT(Database!WEN2,3)</f>
        <v/>
      </c>
      <c r="WDV2" t="str">
        <f>LEFT(Database!WEO2,3)</f>
        <v/>
      </c>
      <c r="WDW2" t="str">
        <f>LEFT(Database!WEP2,3)</f>
        <v/>
      </c>
      <c r="WDX2" t="str">
        <f>LEFT(Database!WEQ2,3)</f>
        <v/>
      </c>
      <c r="WDY2" t="str">
        <f>LEFT(Database!WER2,3)</f>
        <v/>
      </c>
      <c r="WDZ2" t="str">
        <f>LEFT(Database!WES2,3)</f>
        <v/>
      </c>
      <c r="WEA2" t="str">
        <f>LEFT(Database!WET2,3)</f>
        <v/>
      </c>
      <c r="WEB2" t="str">
        <f>LEFT(Database!WEU2,3)</f>
        <v/>
      </c>
      <c r="WEC2" t="str">
        <f>LEFT(Database!WEV2,3)</f>
        <v/>
      </c>
      <c r="WED2" t="str">
        <f>LEFT(Database!WEW2,3)</f>
        <v/>
      </c>
      <c r="WEE2" t="str">
        <f>LEFT(Database!WEX2,3)</f>
        <v/>
      </c>
      <c r="WEF2" t="str">
        <f>LEFT(Database!WEY2,3)</f>
        <v/>
      </c>
      <c r="WEG2" t="str">
        <f>LEFT(Database!WEZ2,3)</f>
        <v/>
      </c>
      <c r="WEH2" t="str">
        <f>LEFT(Database!WFA2,3)</f>
        <v/>
      </c>
      <c r="WEI2" t="str">
        <f>LEFT(Database!WFB2,3)</f>
        <v/>
      </c>
      <c r="WEJ2" t="str">
        <f>LEFT(Database!WFC2,3)</f>
        <v/>
      </c>
      <c r="WEK2" t="str">
        <f>LEFT(Database!WFD2,3)</f>
        <v/>
      </c>
      <c r="WEL2" t="str">
        <f>LEFT(Database!WFE2,3)</f>
        <v/>
      </c>
      <c r="WEM2" t="str">
        <f>LEFT(Database!WFF2,3)</f>
        <v/>
      </c>
      <c r="WEN2" t="str">
        <f>LEFT(Database!WFG2,3)</f>
        <v/>
      </c>
      <c r="WEO2" t="str">
        <f>LEFT(Database!WFH2,3)</f>
        <v/>
      </c>
      <c r="WEP2" t="str">
        <f>LEFT(Database!WFI2,3)</f>
        <v/>
      </c>
      <c r="WEQ2" t="str">
        <f>LEFT(Database!WFJ2,3)</f>
        <v/>
      </c>
      <c r="WER2" t="str">
        <f>LEFT(Database!WFK2,3)</f>
        <v/>
      </c>
      <c r="WES2" t="str">
        <f>LEFT(Database!WFL2,3)</f>
        <v/>
      </c>
      <c r="WET2" t="str">
        <f>LEFT(Database!WFM2,3)</f>
        <v/>
      </c>
      <c r="WEU2" t="str">
        <f>LEFT(Database!WFN2,3)</f>
        <v/>
      </c>
      <c r="WEV2" t="str">
        <f>LEFT(Database!WFO2,3)</f>
        <v/>
      </c>
      <c r="WEW2" t="str">
        <f>LEFT(Database!WFP2,3)</f>
        <v/>
      </c>
      <c r="WEX2" t="str">
        <f>LEFT(Database!WFQ2,3)</f>
        <v/>
      </c>
      <c r="WEY2" t="str">
        <f>LEFT(Database!WFR2,3)</f>
        <v/>
      </c>
      <c r="WEZ2" t="str">
        <f>LEFT(Database!WFS2,3)</f>
        <v/>
      </c>
      <c r="WFA2" t="str">
        <f>LEFT(Database!WFT2,3)</f>
        <v/>
      </c>
      <c r="WFB2" t="str">
        <f>LEFT(Database!WFU2,3)</f>
        <v/>
      </c>
      <c r="WFC2" t="str">
        <f>LEFT(Database!WFV2,3)</f>
        <v/>
      </c>
      <c r="WFD2" t="str">
        <f>LEFT(Database!WFW2,3)</f>
        <v/>
      </c>
      <c r="WFE2" t="str">
        <f>LEFT(Database!WFX2,3)</f>
        <v/>
      </c>
      <c r="WFF2" t="str">
        <f>LEFT(Database!WFY2,3)</f>
        <v/>
      </c>
      <c r="WFG2" t="str">
        <f>LEFT(Database!WFZ2,3)</f>
        <v/>
      </c>
      <c r="WFH2" t="str">
        <f>LEFT(Database!WGA2,3)</f>
        <v/>
      </c>
      <c r="WFI2" t="str">
        <f>LEFT(Database!WGB2,3)</f>
        <v/>
      </c>
      <c r="WFJ2" t="str">
        <f>LEFT(Database!WGC2,3)</f>
        <v/>
      </c>
      <c r="WFK2" t="str">
        <f>LEFT(Database!WGD2,3)</f>
        <v/>
      </c>
      <c r="WFL2" t="str">
        <f>LEFT(Database!WGE2,3)</f>
        <v/>
      </c>
      <c r="WFM2" t="str">
        <f>LEFT(Database!WGF2,3)</f>
        <v/>
      </c>
      <c r="WFN2" t="str">
        <f>LEFT(Database!WGG2,3)</f>
        <v/>
      </c>
      <c r="WFO2" t="str">
        <f>LEFT(Database!WGH2,3)</f>
        <v/>
      </c>
      <c r="WFP2" t="str">
        <f>LEFT(Database!WGI2,3)</f>
        <v/>
      </c>
      <c r="WFQ2" t="str">
        <f>LEFT(Database!WGJ2,3)</f>
        <v/>
      </c>
      <c r="WFR2" t="str">
        <f>LEFT(Database!WGK2,3)</f>
        <v/>
      </c>
      <c r="WFS2" t="str">
        <f>LEFT(Database!WGL2,3)</f>
        <v/>
      </c>
      <c r="WFT2" t="str">
        <f>LEFT(Database!WGM2,3)</f>
        <v/>
      </c>
      <c r="WFU2" t="str">
        <f>LEFT(Database!WGN2,3)</f>
        <v/>
      </c>
      <c r="WFV2" t="str">
        <f>LEFT(Database!WGO2,3)</f>
        <v/>
      </c>
      <c r="WFW2" t="str">
        <f>LEFT(Database!WGP2,3)</f>
        <v/>
      </c>
      <c r="WFX2" t="str">
        <f>LEFT(Database!WGQ2,3)</f>
        <v/>
      </c>
      <c r="WFY2" t="str">
        <f>LEFT(Database!WGR2,3)</f>
        <v/>
      </c>
      <c r="WFZ2" t="str">
        <f>LEFT(Database!WGS2,3)</f>
        <v/>
      </c>
      <c r="WGA2" t="str">
        <f>LEFT(Database!WGT2,3)</f>
        <v/>
      </c>
      <c r="WGB2" t="str">
        <f>LEFT(Database!WGU2,3)</f>
        <v/>
      </c>
      <c r="WGC2" t="str">
        <f>LEFT(Database!WGV2,3)</f>
        <v/>
      </c>
      <c r="WGD2" t="str">
        <f>LEFT(Database!WGW2,3)</f>
        <v/>
      </c>
      <c r="WGE2" t="str">
        <f>LEFT(Database!WGX2,3)</f>
        <v/>
      </c>
      <c r="WGF2" t="str">
        <f>LEFT(Database!WGY2,3)</f>
        <v/>
      </c>
      <c r="WGG2" t="str">
        <f>LEFT(Database!WGZ2,3)</f>
        <v/>
      </c>
      <c r="WGH2" t="str">
        <f>LEFT(Database!WHA2,3)</f>
        <v/>
      </c>
      <c r="WGI2" t="str">
        <f>LEFT(Database!WHB2,3)</f>
        <v/>
      </c>
      <c r="WGJ2" t="str">
        <f>LEFT(Database!WHC2,3)</f>
        <v/>
      </c>
      <c r="WGK2" t="str">
        <f>LEFT(Database!WHD2,3)</f>
        <v/>
      </c>
      <c r="WGL2" t="str">
        <f>LEFT(Database!WHE2,3)</f>
        <v/>
      </c>
      <c r="WGM2" t="str">
        <f>LEFT(Database!WHF2,3)</f>
        <v/>
      </c>
      <c r="WGN2" t="str">
        <f>LEFT(Database!WHG2,3)</f>
        <v/>
      </c>
      <c r="WGO2" t="str">
        <f>LEFT(Database!WHH2,3)</f>
        <v/>
      </c>
      <c r="WGP2" t="str">
        <f>LEFT(Database!WHI2,3)</f>
        <v/>
      </c>
      <c r="WGQ2" t="str">
        <f>LEFT(Database!WHJ2,3)</f>
        <v/>
      </c>
      <c r="WGR2" t="str">
        <f>LEFT(Database!WHK2,3)</f>
        <v/>
      </c>
      <c r="WGS2" t="str">
        <f>LEFT(Database!WHL2,3)</f>
        <v/>
      </c>
      <c r="WGT2" t="str">
        <f>LEFT(Database!WHM2,3)</f>
        <v/>
      </c>
      <c r="WGU2" t="str">
        <f>LEFT(Database!WHN2,3)</f>
        <v/>
      </c>
      <c r="WGV2" t="str">
        <f>LEFT(Database!WHO2,3)</f>
        <v/>
      </c>
      <c r="WGW2" t="str">
        <f>LEFT(Database!WHP2,3)</f>
        <v/>
      </c>
      <c r="WGX2" t="str">
        <f>LEFT(Database!WHQ2,3)</f>
        <v/>
      </c>
      <c r="WGY2" t="str">
        <f>LEFT(Database!WHR2,3)</f>
        <v/>
      </c>
      <c r="WGZ2" t="str">
        <f>LEFT(Database!WHS2,3)</f>
        <v/>
      </c>
      <c r="WHA2" t="str">
        <f>LEFT(Database!WHT2,3)</f>
        <v/>
      </c>
      <c r="WHB2" t="str">
        <f>LEFT(Database!WHU2,3)</f>
        <v/>
      </c>
      <c r="WHC2" t="str">
        <f>LEFT(Database!WHV2,3)</f>
        <v/>
      </c>
      <c r="WHD2" t="str">
        <f>LEFT(Database!WHW2,3)</f>
        <v/>
      </c>
      <c r="WHE2" t="str">
        <f>LEFT(Database!WHX2,3)</f>
        <v/>
      </c>
      <c r="WHF2" t="str">
        <f>LEFT(Database!WHY2,3)</f>
        <v/>
      </c>
      <c r="WHG2" t="str">
        <f>LEFT(Database!WHZ2,3)</f>
        <v/>
      </c>
      <c r="WHH2" t="str">
        <f>LEFT(Database!WIA2,3)</f>
        <v/>
      </c>
      <c r="WHI2" t="str">
        <f>LEFT(Database!WIB2,3)</f>
        <v/>
      </c>
      <c r="WHJ2" t="str">
        <f>LEFT(Database!WIC2,3)</f>
        <v/>
      </c>
      <c r="WHK2" t="str">
        <f>LEFT(Database!WID2,3)</f>
        <v/>
      </c>
      <c r="WHL2" t="str">
        <f>LEFT(Database!WIE2,3)</f>
        <v/>
      </c>
      <c r="WHM2" t="str">
        <f>LEFT(Database!WIF2,3)</f>
        <v/>
      </c>
      <c r="WHN2" t="str">
        <f>LEFT(Database!WIG2,3)</f>
        <v/>
      </c>
      <c r="WHO2" t="str">
        <f>LEFT(Database!WIH2,3)</f>
        <v/>
      </c>
      <c r="WHP2" t="str">
        <f>LEFT(Database!WII2,3)</f>
        <v/>
      </c>
      <c r="WHQ2" t="str">
        <f>LEFT(Database!WIJ2,3)</f>
        <v/>
      </c>
      <c r="WHR2" t="str">
        <f>LEFT(Database!WIK2,3)</f>
        <v/>
      </c>
      <c r="WHS2" t="str">
        <f>LEFT(Database!WIL2,3)</f>
        <v/>
      </c>
      <c r="WHT2" t="str">
        <f>LEFT(Database!WIM2,3)</f>
        <v/>
      </c>
      <c r="WHU2" t="str">
        <f>LEFT(Database!WIN2,3)</f>
        <v/>
      </c>
      <c r="WHV2" t="str">
        <f>LEFT(Database!WIO2,3)</f>
        <v/>
      </c>
      <c r="WHW2" t="str">
        <f>LEFT(Database!WIP2,3)</f>
        <v/>
      </c>
      <c r="WHX2" t="str">
        <f>LEFT(Database!WIQ2,3)</f>
        <v/>
      </c>
      <c r="WHY2" t="str">
        <f>LEFT(Database!WIR2,3)</f>
        <v/>
      </c>
      <c r="WHZ2" t="str">
        <f>LEFT(Database!WIS2,3)</f>
        <v/>
      </c>
      <c r="WIA2" t="str">
        <f>LEFT(Database!WIT2,3)</f>
        <v/>
      </c>
      <c r="WIB2" t="str">
        <f>LEFT(Database!WIU2,3)</f>
        <v/>
      </c>
      <c r="WIC2" t="str">
        <f>LEFT(Database!WIV2,3)</f>
        <v/>
      </c>
      <c r="WID2" t="str">
        <f>LEFT(Database!WIW2,3)</f>
        <v/>
      </c>
      <c r="WIE2" t="str">
        <f>LEFT(Database!WIX2,3)</f>
        <v/>
      </c>
      <c r="WIF2" t="str">
        <f>LEFT(Database!WIY2,3)</f>
        <v/>
      </c>
      <c r="WIG2" t="str">
        <f>LEFT(Database!WIZ2,3)</f>
        <v/>
      </c>
      <c r="WIH2" t="str">
        <f>LEFT(Database!WJA2,3)</f>
        <v/>
      </c>
      <c r="WII2" t="str">
        <f>LEFT(Database!WJB2,3)</f>
        <v/>
      </c>
      <c r="WIJ2" t="str">
        <f>LEFT(Database!WJC2,3)</f>
        <v/>
      </c>
      <c r="WIK2" t="str">
        <f>LEFT(Database!WJD2,3)</f>
        <v/>
      </c>
      <c r="WIL2" t="str">
        <f>LEFT(Database!WJE2,3)</f>
        <v/>
      </c>
      <c r="WIM2" t="str">
        <f>LEFT(Database!WJF2,3)</f>
        <v/>
      </c>
      <c r="WIN2" t="str">
        <f>LEFT(Database!WJG2,3)</f>
        <v/>
      </c>
      <c r="WIO2" t="str">
        <f>LEFT(Database!WJH2,3)</f>
        <v/>
      </c>
      <c r="WIP2" t="str">
        <f>LEFT(Database!WJI2,3)</f>
        <v/>
      </c>
      <c r="WIQ2" t="str">
        <f>LEFT(Database!WJJ2,3)</f>
        <v/>
      </c>
      <c r="WIR2" t="str">
        <f>LEFT(Database!WJK2,3)</f>
        <v/>
      </c>
      <c r="WIS2" t="str">
        <f>LEFT(Database!WJL2,3)</f>
        <v/>
      </c>
      <c r="WIT2" t="str">
        <f>LEFT(Database!WJM2,3)</f>
        <v/>
      </c>
      <c r="WIU2" t="str">
        <f>LEFT(Database!WJN2,3)</f>
        <v/>
      </c>
      <c r="WIV2" t="str">
        <f>LEFT(Database!WJO2,3)</f>
        <v/>
      </c>
      <c r="WIW2" t="str">
        <f>LEFT(Database!WJP2,3)</f>
        <v/>
      </c>
      <c r="WIX2" t="str">
        <f>LEFT(Database!WJQ2,3)</f>
        <v/>
      </c>
      <c r="WIY2" t="str">
        <f>LEFT(Database!WJR2,3)</f>
        <v/>
      </c>
      <c r="WIZ2" t="str">
        <f>LEFT(Database!WJS2,3)</f>
        <v/>
      </c>
      <c r="WJA2" t="str">
        <f>LEFT(Database!WJT2,3)</f>
        <v/>
      </c>
      <c r="WJB2" t="str">
        <f>LEFT(Database!WJU2,3)</f>
        <v/>
      </c>
      <c r="WJC2" t="str">
        <f>LEFT(Database!WJV2,3)</f>
        <v/>
      </c>
      <c r="WJD2" t="str">
        <f>LEFT(Database!WJW2,3)</f>
        <v/>
      </c>
      <c r="WJE2" t="str">
        <f>LEFT(Database!WJX2,3)</f>
        <v/>
      </c>
      <c r="WJF2" t="str">
        <f>LEFT(Database!WJY2,3)</f>
        <v/>
      </c>
      <c r="WJG2" t="str">
        <f>LEFT(Database!WJZ2,3)</f>
        <v/>
      </c>
      <c r="WJH2" t="str">
        <f>LEFT(Database!WKA2,3)</f>
        <v/>
      </c>
      <c r="WJI2" t="str">
        <f>LEFT(Database!WKB2,3)</f>
        <v/>
      </c>
      <c r="WJJ2" t="str">
        <f>LEFT(Database!WKC2,3)</f>
        <v/>
      </c>
      <c r="WJK2" t="str">
        <f>LEFT(Database!WKD2,3)</f>
        <v/>
      </c>
      <c r="WJL2" t="str">
        <f>LEFT(Database!WKE2,3)</f>
        <v/>
      </c>
      <c r="WJM2" t="str">
        <f>LEFT(Database!WKF2,3)</f>
        <v/>
      </c>
      <c r="WJN2" t="str">
        <f>LEFT(Database!WKG2,3)</f>
        <v/>
      </c>
      <c r="WJO2" t="str">
        <f>LEFT(Database!WKH2,3)</f>
        <v/>
      </c>
      <c r="WJP2" t="str">
        <f>LEFT(Database!WKI2,3)</f>
        <v/>
      </c>
      <c r="WJQ2" t="str">
        <f>LEFT(Database!WKJ2,3)</f>
        <v/>
      </c>
      <c r="WJR2" t="str">
        <f>LEFT(Database!WKK2,3)</f>
        <v/>
      </c>
      <c r="WJS2" t="str">
        <f>LEFT(Database!WKL2,3)</f>
        <v/>
      </c>
      <c r="WJT2" t="str">
        <f>LEFT(Database!WKM2,3)</f>
        <v/>
      </c>
      <c r="WJU2" t="str">
        <f>LEFT(Database!WKN2,3)</f>
        <v/>
      </c>
      <c r="WJV2" t="str">
        <f>LEFT(Database!WKO2,3)</f>
        <v/>
      </c>
      <c r="WJW2" t="str">
        <f>LEFT(Database!WKP2,3)</f>
        <v/>
      </c>
      <c r="WJX2" t="str">
        <f>LEFT(Database!WKQ2,3)</f>
        <v/>
      </c>
      <c r="WJY2" t="str">
        <f>LEFT(Database!WKR2,3)</f>
        <v/>
      </c>
      <c r="WJZ2" t="str">
        <f>LEFT(Database!WKS2,3)</f>
        <v/>
      </c>
      <c r="WKA2" t="str">
        <f>LEFT(Database!WKT2,3)</f>
        <v/>
      </c>
      <c r="WKB2" t="str">
        <f>LEFT(Database!WKU2,3)</f>
        <v/>
      </c>
      <c r="WKC2" t="str">
        <f>LEFT(Database!WKV2,3)</f>
        <v/>
      </c>
      <c r="WKD2" t="str">
        <f>LEFT(Database!WKW2,3)</f>
        <v/>
      </c>
      <c r="WKE2" t="str">
        <f>LEFT(Database!WKX2,3)</f>
        <v/>
      </c>
      <c r="WKF2" t="str">
        <f>LEFT(Database!WKY2,3)</f>
        <v/>
      </c>
      <c r="WKG2" t="str">
        <f>LEFT(Database!WKZ2,3)</f>
        <v/>
      </c>
      <c r="WKH2" t="str">
        <f>LEFT(Database!WLA2,3)</f>
        <v/>
      </c>
      <c r="WKI2" t="str">
        <f>LEFT(Database!WLB2,3)</f>
        <v/>
      </c>
      <c r="WKJ2" t="str">
        <f>LEFT(Database!WLC2,3)</f>
        <v/>
      </c>
      <c r="WKK2" t="str">
        <f>LEFT(Database!WLD2,3)</f>
        <v/>
      </c>
      <c r="WKL2" t="str">
        <f>LEFT(Database!WLE2,3)</f>
        <v/>
      </c>
      <c r="WKM2" t="str">
        <f>LEFT(Database!WLF2,3)</f>
        <v/>
      </c>
      <c r="WKN2" t="str">
        <f>LEFT(Database!WLG2,3)</f>
        <v/>
      </c>
      <c r="WKO2" t="str">
        <f>LEFT(Database!WLH2,3)</f>
        <v/>
      </c>
      <c r="WKP2" t="str">
        <f>LEFT(Database!WLI2,3)</f>
        <v/>
      </c>
      <c r="WKQ2" t="str">
        <f>LEFT(Database!WLJ2,3)</f>
        <v/>
      </c>
      <c r="WKR2" t="str">
        <f>LEFT(Database!WLK2,3)</f>
        <v/>
      </c>
      <c r="WKS2" t="str">
        <f>LEFT(Database!WLL2,3)</f>
        <v/>
      </c>
      <c r="WKT2" t="str">
        <f>LEFT(Database!WLM2,3)</f>
        <v/>
      </c>
      <c r="WKU2" t="str">
        <f>LEFT(Database!WLN2,3)</f>
        <v/>
      </c>
      <c r="WKV2" t="str">
        <f>LEFT(Database!WLO2,3)</f>
        <v/>
      </c>
      <c r="WKW2" t="str">
        <f>LEFT(Database!WLP2,3)</f>
        <v/>
      </c>
      <c r="WKX2" t="str">
        <f>LEFT(Database!WLQ2,3)</f>
        <v/>
      </c>
      <c r="WKY2" t="str">
        <f>LEFT(Database!WLR2,3)</f>
        <v/>
      </c>
      <c r="WKZ2" t="str">
        <f>LEFT(Database!WLS2,3)</f>
        <v/>
      </c>
      <c r="WLA2" t="str">
        <f>LEFT(Database!WLT2,3)</f>
        <v/>
      </c>
      <c r="WLB2" t="str">
        <f>LEFT(Database!WLU2,3)</f>
        <v/>
      </c>
      <c r="WLC2" t="str">
        <f>LEFT(Database!WLV2,3)</f>
        <v/>
      </c>
      <c r="WLD2" t="str">
        <f>LEFT(Database!WLW2,3)</f>
        <v/>
      </c>
      <c r="WLE2" t="str">
        <f>LEFT(Database!WLX2,3)</f>
        <v/>
      </c>
      <c r="WLF2" t="str">
        <f>LEFT(Database!WLY2,3)</f>
        <v/>
      </c>
      <c r="WLG2" t="str">
        <f>LEFT(Database!WLZ2,3)</f>
        <v/>
      </c>
      <c r="WLH2" t="str">
        <f>LEFT(Database!WMA2,3)</f>
        <v/>
      </c>
      <c r="WLI2" t="str">
        <f>LEFT(Database!WMB2,3)</f>
        <v/>
      </c>
      <c r="WLJ2" t="str">
        <f>LEFT(Database!WMC2,3)</f>
        <v/>
      </c>
      <c r="WLK2" t="str">
        <f>LEFT(Database!WMD2,3)</f>
        <v/>
      </c>
      <c r="WLL2" t="str">
        <f>LEFT(Database!WME2,3)</f>
        <v/>
      </c>
      <c r="WLM2" t="str">
        <f>LEFT(Database!WMF2,3)</f>
        <v/>
      </c>
      <c r="WLN2" t="str">
        <f>LEFT(Database!WMG2,3)</f>
        <v/>
      </c>
      <c r="WLO2" t="str">
        <f>LEFT(Database!WMH2,3)</f>
        <v/>
      </c>
      <c r="WLP2" t="str">
        <f>LEFT(Database!WMI2,3)</f>
        <v/>
      </c>
      <c r="WLQ2" t="str">
        <f>LEFT(Database!WMJ2,3)</f>
        <v/>
      </c>
      <c r="WLR2" t="str">
        <f>LEFT(Database!WMK2,3)</f>
        <v/>
      </c>
      <c r="WLS2" t="str">
        <f>LEFT(Database!WML2,3)</f>
        <v/>
      </c>
      <c r="WLT2" t="str">
        <f>LEFT(Database!WMM2,3)</f>
        <v/>
      </c>
      <c r="WLU2" t="str">
        <f>LEFT(Database!WMN2,3)</f>
        <v/>
      </c>
      <c r="WLV2" t="str">
        <f>LEFT(Database!WMO2,3)</f>
        <v/>
      </c>
      <c r="WLW2" t="str">
        <f>LEFT(Database!WMP2,3)</f>
        <v/>
      </c>
      <c r="WLX2" t="str">
        <f>LEFT(Database!WMQ2,3)</f>
        <v/>
      </c>
      <c r="WLY2" t="str">
        <f>LEFT(Database!WMR2,3)</f>
        <v/>
      </c>
      <c r="WLZ2" t="str">
        <f>LEFT(Database!WMS2,3)</f>
        <v/>
      </c>
      <c r="WMA2" t="str">
        <f>LEFT(Database!WMT2,3)</f>
        <v/>
      </c>
      <c r="WMB2" t="str">
        <f>LEFT(Database!WMU2,3)</f>
        <v/>
      </c>
      <c r="WMC2" t="str">
        <f>LEFT(Database!WMV2,3)</f>
        <v/>
      </c>
      <c r="WMD2" t="str">
        <f>LEFT(Database!WMW2,3)</f>
        <v/>
      </c>
      <c r="WME2" t="str">
        <f>LEFT(Database!WMX2,3)</f>
        <v/>
      </c>
      <c r="WMF2" t="str">
        <f>LEFT(Database!WMY2,3)</f>
        <v/>
      </c>
      <c r="WMG2" t="str">
        <f>LEFT(Database!WMZ2,3)</f>
        <v/>
      </c>
      <c r="WMH2" t="str">
        <f>LEFT(Database!WNA2,3)</f>
        <v/>
      </c>
      <c r="WMI2" t="str">
        <f>LEFT(Database!WNB2,3)</f>
        <v/>
      </c>
      <c r="WMJ2" t="str">
        <f>LEFT(Database!WNC2,3)</f>
        <v/>
      </c>
      <c r="WMK2" t="str">
        <f>LEFT(Database!WND2,3)</f>
        <v/>
      </c>
      <c r="WML2" t="str">
        <f>LEFT(Database!WNE2,3)</f>
        <v/>
      </c>
      <c r="WMM2" t="str">
        <f>LEFT(Database!WNF2,3)</f>
        <v/>
      </c>
      <c r="WMN2" t="str">
        <f>LEFT(Database!WNG2,3)</f>
        <v/>
      </c>
      <c r="WMO2" t="str">
        <f>LEFT(Database!WNH2,3)</f>
        <v/>
      </c>
      <c r="WMP2" t="str">
        <f>LEFT(Database!WNI2,3)</f>
        <v/>
      </c>
      <c r="WMQ2" t="str">
        <f>LEFT(Database!WNJ2,3)</f>
        <v/>
      </c>
      <c r="WMR2" t="str">
        <f>LEFT(Database!WNK2,3)</f>
        <v/>
      </c>
      <c r="WMS2" t="str">
        <f>LEFT(Database!WNL2,3)</f>
        <v/>
      </c>
      <c r="WMT2" t="str">
        <f>LEFT(Database!WNM2,3)</f>
        <v/>
      </c>
      <c r="WMU2" t="str">
        <f>LEFT(Database!WNN2,3)</f>
        <v/>
      </c>
      <c r="WMV2" t="str">
        <f>LEFT(Database!WNO2,3)</f>
        <v/>
      </c>
      <c r="WMW2" t="str">
        <f>LEFT(Database!WNP2,3)</f>
        <v/>
      </c>
      <c r="WMX2" t="str">
        <f>LEFT(Database!WNQ2,3)</f>
        <v/>
      </c>
      <c r="WMY2" t="str">
        <f>LEFT(Database!WNR2,3)</f>
        <v/>
      </c>
      <c r="WMZ2" t="str">
        <f>LEFT(Database!WNS2,3)</f>
        <v/>
      </c>
      <c r="WNA2" t="str">
        <f>LEFT(Database!WNT2,3)</f>
        <v/>
      </c>
      <c r="WNB2" t="str">
        <f>LEFT(Database!WNU2,3)</f>
        <v/>
      </c>
      <c r="WNC2" t="str">
        <f>LEFT(Database!WNV2,3)</f>
        <v/>
      </c>
      <c r="WND2" t="str">
        <f>LEFT(Database!WNW2,3)</f>
        <v/>
      </c>
      <c r="WNE2" t="str">
        <f>LEFT(Database!WNX2,3)</f>
        <v/>
      </c>
      <c r="WNF2" t="str">
        <f>LEFT(Database!WNY2,3)</f>
        <v/>
      </c>
      <c r="WNG2" t="str">
        <f>LEFT(Database!WNZ2,3)</f>
        <v/>
      </c>
      <c r="WNH2" t="str">
        <f>LEFT(Database!WOA2,3)</f>
        <v/>
      </c>
      <c r="WNI2" t="str">
        <f>LEFT(Database!WOB2,3)</f>
        <v/>
      </c>
      <c r="WNJ2" t="str">
        <f>LEFT(Database!WOC2,3)</f>
        <v/>
      </c>
      <c r="WNK2" t="str">
        <f>LEFT(Database!WOD2,3)</f>
        <v/>
      </c>
      <c r="WNL2" t="str">
        <f>LEFT(Database!WOE2,3)</f>
        <v/>
      </c>
      <c r="WNM2" t="str">
        <f>LEFT(Database!WOF2,3)</f>
        <v/>
      </c>
      <c r="WNN2" t="str">
        <f>LEFT(Database!WOG2,3)</f>
        <v/>
      </c>
      <c r="WNO2" t="str">
        <f>LEFT(Database!WOH2,3)</f>
        <v/>
      </c>
      <c r="WNP2" t="str">
        <f>LEFT(Database!WOI2,3)</f>
        <v/>
      </c>
      <c r="WNQ2" t="str">
        <f>LEFT(Database!WOJ2,3)</f>
        <v/>
      </c>
      <c r="WNR2" t="str">
        <f>LEFT(Database!WOK2,3)</f>
        <v/>
      </c>
      <c r="WNS2" t="str">
        <f>LEFT(Database!WOL2,3)</f>
        <v/>
      </c>
      <c r="WNT2" t="str">
        <f>LEFT(Database!WOM2,3)</f>
        <v/>
      </c>
      <c r="WNU2" t="str">
        <f>LEFT(Database!WON2,3)</f>
        <v/>
      </c>
      <c r="WNV2" t="str">
        <f>LEFT(Database!WOO2,3)</f>
        <v/>
      </c>
      <c r="WNW2" t="str">
        <f>LEFT(Database!WOP2,3)</f>
        <v/>
      </c>
      <c r="WNX2" t="str">
        <f>LEFT(Database!WOQ2,3)</f>
        <v/>
      </c>
      <c r="WNY2" t="str">
        <f>LEFT(Database!WOR2,3)</f>
        <v/>
      </c>
      <c r="WNZ2" t="str">
        <f>LEFT(Database!WOS2,3)</f>
        <v/>
      </c>
      <c r="WOA2" t="str">
        <f>LEFT(Database!WOT2,3)</f>
        <v/>
      </c>
      <c r="WOB2" t="str">
        <f>LEFT(Database!WOU2,3)</f>
        <v/>
      </c>
      <c r="WOC2" t="str">
        <f>LEFT(Database!WOV2,3)</f>
        <v/>
      </c>
      <c r="WOD2" t="str">
        <f>LEFT(Database!WOW2,3)</f>
        <v/>
      </c>
      <c r="WOE2" t="str">
        <f>LEFT(Database!WOX2,3)</f>
        <v/>
      </c>
      <c r="WOF2" t="str">
        <f>LEFT(Database!WOY2,3)</f>
        <v/>
      </c>
      <c r="WOG2" t="str">
        <f>LEFT(Database!WOZ2,3)</f>
        <v/>
      </c>
      <c r="WOH2" t="str">
        <f>LEFT(Database!WPA2,3)</f>
        <v/>
      </c>
      <c r="WOI2" t="str">
        <f>LEFT(Database!WPB2,3)</f>
        <v/>
      </c>
      <c r="WOJ2" t="str">
        <f>LEFT(Database!WPC2,3)</f>
        <v/>
      </c>
      <c r="WOK2" t="str">
        <f>LEFT(Database!WPD2,3)</f>
        <v/>
      </c>
      <c r="WOL2" t="str">
        <f>LEFT(Database!WPE2,3)</f>
        <v/>
      </c>
      <c r="WOM2" t="str">
        <f>LEFT(Database!WPF2,3)</f>
        <v/>
      </c>
      <c r="WON2" t="str">
        <f>LEFT(Database!WPG2,3)</f>
        <v/>
      </c>
      <c r="WOO2" t="str">
        <f>LEFT(Database!WPH2,3)</f>
        <v/>
      </c>
      <c r="WOP2" t="str">
        <f>LEFT(Database!WPI2,3)</f>
        <v/>
      </c>
      <c r="WOQ2" t="str">
        <f>LEFT(Database!WPJ2,3)</f>
        <v/>
      </c>
      <c r="WOR2" t="str">
        <f>LEFT(Database!WPK2,3)</f>
        <v/>
      </c>
      <c r="WOS2" t="str">
        <f>LEFT(Database!WPL2,3)</f>
        <v/>
      </c>
      <c r="WOT2" t="str">
        <f>LEFT(Database!WPM2,3)</f>
        <v/>
      </c>
      <c r="WOU2" t="str">
        <f>LEFT(Database!WPN2,3)</f>
        <v/>
      </c>
      <c r="WOV2" t="str">
        <f>LEFT(Database!WPO2,3)</f>
        <v/>
      </c>
      <c r="WOW2" t="str">
        <f>LEFT(Database!WPP2,3)</f>
        <v/>
      </c>
      <c r="WOX2" t="str">
        <f>LEFT(Database!WPQ2,3)</f>
        <v/>
      </c>
      <c r="WOY2" t="str">
        <f>LEFT(Database!WPR2,3)</f>
        <v/>
      </c>
      <c r="WOZ2" t="str">
        <f>LEFT(Database!WPS2,3)</f>
        <v/>
      </c>
      <c r="WPA2" t="str">
        <f>LEFT(Database!WPT2,3)</f>
        <v/>
      </c>
      <c r="WPB2" t="str">
        <f>LEFT(Database!WPU2,3)</f>
        <v/>
      </c>
      <c r="WPC2" t="str">
        <f>LEFT(Database!WPV2,3)</f>
        <v/>
      </c>
      <c r="WPD2" t="str">
        <f>LEFT(Database!WPW2,3)</f>
        <v/>
      </c>
      <c r="WPE2" t="str">
        <f>LEFT(Database!WPX2,3)</f>
        <v/>
      </c>
      <c r="WPF2" t="str">
        <f>LEFT(Database!WPY2,3)</f>
        <v/>
      </c>
      <c r="WPG2" t="str">
        <f>LEFT(Database!WPZ2,3)</f>
        <v/>
      </c>
      <c r="WPH2" t="str">
        <f>LEFT(Database!WQA2,3)</f>
        <v/>
      </c>
      <c r="WPI2" t="str">
        <f>LEFT(Database!WQB2,3)</f>
        <v/>
      </c>
      <c r="WPJ2" t="str">
        <f>LEFT(Database!WQC2,3)</f>
        <v/>
      </c>
      <c r="WPK2" t="str">
        <f>LEFT(Database!WQD2,3)</f>
        <v/>
      </c>
      <c r="WPL2" t="str">
        <f>LEFT(Database!WQE2,3)</f>
        <v/>
      </c>
      <c r="WPM2" t="str">
        <f>LEFT(Database!WQF2,3)</f>
        <v/>
      </c>
      <c r="WPN2" t="str">
        <f>LEFT(Database!WQG2,3)</f>
        <v/>
      </c>
      <c r="WPO2" t="str">
        <f>LEFT(Database!WQH2,3)</f>
        <v/>
      </c>
      <c r="WPP2" t="str">
        <f>LEFT(Database!WQI2,3)</f>
        <v/>
      </c>
      <c r="WPQ2" t="str">
        <f>LEFT(Database!WQJ2,3)</f>
        <v/>
      </c>
      <c r="WPR2" t="str">
        <f>LEFT(Database!WQK2,3)</f>
        <v/>
      </c>
      <c r="WPS2" t="str">
        <f>LEFT(Database!WQL2,3)</f>
        <v/>
      </c>
      <c r="WPT2" t="str">
        <f>LEFT(Database!WQM2,3)</f>
        <v/>
      </c>
      <c r="WPU2" t="str">
        <f>LEFT(Database!WQN2,3)</f>
        <v/>
      </c>
      <c r="WPV2" t="str">
        <f>LEFT(Database!WQO2,3)</f>
        <v/>
      </c>
      <c r="WPW2" t="str">
        <f>LEFT(Database!WQP2,3)</f>
        <v/>
      </c>
      <c r="WPX2" t="str">
        <f>LEFT(Database!WQQ2,3)</f>
        <v/>
      </c>
      <c r="WPY2" t="str">
        <f>LEFT(Database!WQR2,3)</f>
        <v/>
      </c>
      <c r="WPZ2" t="str">
        <f>LEFT(Database!WQS2,3)</f>
        <v/>
      </c>
      <c r="WQA2" t="str">
        <f>LEFT(Database!WQT2,3)</f>
        <v/>
      </c>
      <c r="WQB2" t="str">
        <f>LEFT(Database!WQU2,3)</f>
        <v/>
      </c>
      <c r="WQC2" t="str">
        <f>LEFT(Database!WQV2,3)</f>
        <v/>
      </c>
      <c r="WQD2" t="str">
        <f>LEFT(Database!WQW2,3)</f>
        <v/>
      </c>
      <c r="WQE2" t="str">
        <f>LEFT(Database!WQX2,3)</f>
        <v/>
      </c>
      <c r="WQF2" t="str">
        <f>LEFT(Database!WQY2,3)</f>
        <v/>
      </c>
      <c r="WQG2" t="str">
        <f>LEFT(Database!WQZ2,3)</f>
        <v/>
      </c>
      <c r="WQH2" t="str">
        <f>LEFT(Database!WRA2,3)</f>
        <v/>
      </c>
      <c r="WQI2" t="str">
        <f>LEFT(Database!WRB2,3)</f>
        <v/>
      </c>
      <c r="WQJ2" t="str">
        <f>LEFT(Database!WRC2,3)</f>
        <v/>
      </c>
      <c r="WQK2" t="str">
        <f>LEFT(Database!WRD2,3)</f>
        <v/>
      </c>
      <c r="WQL2" t="str">
        <f>LEFT(Database!WRE2,3)</f>
        <v/>
      </c>
      <c r="WQM2" t="str">
        <f>LEFT(Database!WRF2,3)</f>
        <v/>
      </c>
      <c r="WQN2" t="str">
        <f>LEFT(Database!WRG2,3)</f>
        <v/>
      </c>
      <c r="WQO2" t="str">
        <f>LEFT(Database!WRH2,3)</f>
        <v/>
      </c>
      <c r="WQP2" t="str">
        <f>LEFT(Database!WRI2,3)</f>
        <v/>
      </c>
      <c r="WQQ2" t="str">
        <f>LEFT(Database!WRJ2,3)</f>
        <v/>
      </c>
      <c r="WQR2" t="str">
        <f>LEFT(Database!WRK2,3)</f>
        <v/>
      </c>
      <c r="WQS2" t="str">
        <f>LEFT(Database!WRL2,3)</f>
        <v/>
      </c>
      <c r="WQT2" t="str">
        <f>LEFT(Database!WRM2,3)</f>
        <v/>
      </c>
      <c r="WQU2" t="str">
        <f>LEFT(Database!WRN2,3)</f>
        <v/>
      </c>
      <c r="WQV2" t="str">
        <f>LEFT(Database!WRO2,3)</f>
        <v/>
      </c>
      <c r="WQW2" t="str">
        <f>LEFT(Database!WRP2,3)</f>
        <v/>
      </c>
      <c r="WQX2" t="str">
        <f>LEFT(Database!WRQ2,3)</f>
        <v/>
      </c>
      <c r="WQY2" t="str">
        <f>LEFT(Database!WRR2,3)</f>
        <v/>
      </c>
      <c r="WQZ2" t="str">
        <f>LEFT(Database!WRS2,3)</f>
        <v/>
      </c>
      <c r="WRA2" t="str">
        <f>LEFT(Database!WRT2,3)</f>
        <v/>
      </c>
      <c r="WRB2" t="str">
        <f>LEFT(Database!WRU2,3)</f>
        <v/>
      </c>
      <c r="WRC2" t="str">
        <f>LEFT(Database!WRV2,3)</f>
        <v/>
      </c>
      <c r="WRD2" t="str">
        <f>LEFT(Database!WRW2,3)</f>
        <v/>
      </c>
      <c r="WRE2" t="str">
        <f>LEFT(Database!WRX2,3)</f>
        <v/>
      </c>
      <c r="WRF2" t="str">
        <f>LEFT(Database!WRY2,3)</f>
        <v/>
      </c>
      <c r="WRG2" t="str">
        <f>LEFT(Database!WRZ2,3)</f>
        <v/>
      </c>
      <c r="WRH2" t="str">
        <f>LEFT(Database!WSA2,3)</f>
        <v/>
      </c>
      <c r="WRI2" t="str">
        <f>LEFT(Database!WSB2,3)</f>
        <v/>
      </c>
      <c r="WRJ2" t="str">
        <f>LEFT(Database!WSC2,3)</f>
        <v/>
      </c>
      <c r="WRK2" t="str">
        <f>LEFT(Database!WSD2,3)</f>
        <v/>
      </c>
      <c r="WRL2" t="str">
        <f>LEFT(Database!WSE2,3)</f>
        <v/>
      </c>
      <c r="WRM2" t="str">
        <f>LEFT(Database!WSF2,3)</f>
        <v/>
      </c>
      <c r="WRN2" t="str">
        <f>LEFT(Database!WSG2,3)</f>
        <v/>
      </c>
      <c r="WRO2" t="str">
        <f>LEFT(Database!WSH2,3)</f>
        <v/>
      </c>
      <c r="WRP2" t="str">
        <f>LEFT(Database!WSI2,3)</f>
        <v/>
      </c>
      <c r="WRQ2" t="str">
        <f>LEFT(Database!WSJ2,3)</f>
        <v/>
      </c>
      <c r="WRR2" t="str">
        <f>LEFT(Database!WSK2,3)</f>
        <v/>
      </c>
      <c r="WRS2" t="str">
        <f>LEFT(Database!WSL2,3)</f>
        <v/>
      </c>
      <c r="WRT2" t="str">
        <f>LEFT(Database!WSM2,3)</f>
        <v/>
      </c>
      <c r="WRU2" t="str">
        <f>LEFT(Database!WSN2,3)</f>
        <v/>
      </c>
      <c r="WRV2" t="str">
        <f>LEFT(Database!WSO2,3)</f>
        <v/>
      </c>
      <c r="WRW2" t="str">
        <f>LEFT(Database!WSP2,3)</f>
        <v/>
      </c>
      <c r="WRX2" t="str">
        <f>LEFT(Database!WSQ2,3)</f>
        <v/>
      </c>
      <c r="WRY2" t="str">
        <f>LEFT(Database!WSR2,3)</f>
        <v/>
      </c>
      <c r="WRZ2" t="str">
        <f>LEFT(Database!WSS2,3)</f>
        <v/>
      </c>
      <c r="WSA2" t="str">
        <f>LEFT(Database!WST2,3)</f>
        <v/>
      </c>
      <c r="WSB2" t="str">
        <f>LEFT(Database!WSU2,3)</f>
        <v/>
      </c>
      <c r="WSC2" t="str">
        <f>LEFT(Database!WSV2,3)</f>
        <v/>
      </c>
      <c r="WSD2" t="str">
        <f>LEFT(Database!WSW2,3)</f>
        <v/>
      </c>
      <c r="WSE2" t="str">
        <f>LEFT(Database!WSX2,3)</f>
        <v/>
      </c>
      <c r="WSF2" t="str">
        <f>LEFT(Database!WSY2,3)</f>
        <v/>
      </c>
      <c r="WSG2" t="str">
        <f>LEFT(Database!WSZ2,3)</f>
        <v/>
      </c>
      <c r="WSH2" t="str">
        <f>LEFT(Database!WTA2,3)</f>
        <v/>
      </c>
      <c r="WSI2" t="str">
        <f>LEFT(Database!WTB2,3)</f>
        <v/>
      </c>
      <c r="WSJ2" t="str">
        <f>LEFT(Database!WTC2,3)</f>
        <v/>
      </c>
      <c r="WSK2" t="str">
        <f>LEFT(Database!WTD2,3)</f>
        <v/>
      </c>
      <c r="WSL2" t="str">
        <f>LEFT(Database!WTE2,3)</f>
        <v/>
      </c>
      <c r="WSM2" t="str">
        <f>LEFT(Database!WTF2,3)</f>
        <v/>
      </c>
      <c r="WSN2" t="str">
        <f>LEFT(Database!WTG2,3)</f>
        <v/>
      </c>
      <c r="WSO2" t="str">
        <f>LEFT(Database!WTH2,3)</f>
        <v/>
      </c>
      <c r="WSP2" t="str">
        <f>LEFT(Database!WTI2,3)</f>
        <v/>
      </c>
      <c r="WSQ2" t="str">
        <f>LEFT(Database!WTJ2,3)</f>
        <v/>
      </c>
      <c r="WSR2" t="str">
        <f>LEFT(Database!WTK2,3)</f>
        <v/>
      </c>
      <c r="WSS2" t="str">
        <f>LEFT(Database!WTL2,3)</f>
        <v/>
      </c>
      <c r="WST2" t="str">
        <f>LEFT(Database!WTM2,3)</f>
        <v/>
      </c>
      <c r="WSU2" t="str">
        <f>LEFT(Database!WTN2,3)</f>
        <v/>
      </c>
      <c r="WSV2" t="str">
        <f>LEFT(Database!WTO2,3)</f>
        <v/>
      </c>
      <c r="WSW2" t="str">
        <f>LEFT(Database!WTP2,3)</f>
        <v/>
      </c>
      <c r="WSX2" t="str">
        <f>LEFT(Database!WTQ2,3)</f>
        <v/>
      </c>
      <c r="WSY2" t="str">
        <f>LEFT(Database!WTR2,3)</f>
        <v/>
      </c>
      <c r="WSZ2" t="str">
        <f>LEFT(Database!WTS2,3)</f>
        <v/>
      </c>
      <c r="WTA2" t="str">
        <f>LEFT(Database!WTT2,3)</f>
        <v/>
      </c>
      <c r="WTB2" t="str">
        <f>LEFT(Database!WTU2,3)</f>
        <v/>
      </c>
      <c r="WTC2" t="str">
        <f>LEFT(Database!WTV2,3)</f>
        <v/>
      </c>
      <c r="WTD2" t="str">
        <f>LEFT(Database!WTW2,3)</f>
        <v/>
      </c>
      <c r="WTE2" t="str">
        <f>LEFT(Database!WTX2,3)</f>
        <v/>
      </c>
      <c r="WTF2" t="str">
        <f>LEFT(Database!WTY2,3)</f>
        <v/>
      </c>
      <c r="WTG2" t="str">
        <f>LEFT(Database!WTZ2,3)</f>
        <v/>
      </c>
      <c r="WTH2" t="str">
        <f>LEFT(Database!WUA2,3)</f>
        <v/>
      </c>
      <c r="WTI2" t="str">
        <f>LEFT(Database!WUB2,3)</f>
        <v/>
      </c>
      <c r="WTJ2" t="str">
        <f>LEFT(Database!WUC2,3)</f>
        <v/>
      </c>
      <c r="WTK2" t="str">
        <f>LEFT(Database!WUD2,3)</f>
        <v/>
      </c>
      <c r="WTL2" t="str">
        <f>LEFT(Database!WUE2,3)</f>
        <v/>
      </c>
      <c r="WTM2" t="str">
        <f>LEFT(Database!WUF2,3)</f>
        <v/>
      </c>
      <c r="WTN2" t="str">
        <f>LEFT(Database!WUG2,3)</f>
        <v/>
      </c>
      <c r="WTO2" t="str">
        <f>LEFT(Database!WUH2,3)</f>
        <v/>
      </c>
      <c r="WTP2" t="str">
        <f>LEFT(Database!WUI2,3)</f>
        <v/>
      </c>
      <c r="WTQ2" t="str">
        <f>LEFT(Database!WUJ2,3)</f>
        <v/>
      </c>
      <c r="WTR2" t="str">
        <f>LEFT(Database!WUK2,3)</f>
        <v/>
      </c>
      <c r="WTS2" t="str">
        <f>LEFT(Database!WUL2,3)</f>
        <v/>
      </c>
      <c r="WTT2" t="str">
        <f>LEFT(Database!WUM2,3)</f>
        <v/>
      </c>
      <c r="WTU2" t="str">
        <f>LEFT(Database!WUN2,3)</f>
        <v/>
      </c>
      <c r="WTV2" t="str">
        <f>LEFT(Database!WUO2,3)</f>
        <v/>
      </c>
      <c r="WTW2" t="str">
        <f>LEFT(Database!WUP2,3)</f>
        <v/>
      </c>
      <c r="WTX2" t="str">
        <f>LEFT(Database!WUQ2,3)</f>
        <v/>
      </c>
      <c r="WTY2" t="str">
        <f>LEFT(Database!WUR2,3)</f>
        <v/>
      </c>
      <c r="WTZ2" t="str">
        <f>LEFT(Database!WUS2,3)</f>
        <v/>
      </c>
      <c r="WUA2" t="str">
        <f>LEFT(Database!WUT2,3)</f>
        <v/>
      </c>
      <c r="WUB2" t="str">
        <f>LEFT(Database!WUU2,3)</f>
        <v/>
      </c>
      <c r="WUC2" t="str">
        <f>LEFT(Database!WUV2,3)</f>
        <v/>
      </c>
      <c r="WUD2" t="str">
        <f>LEFT(Database!WUW2,3)</f>
        <v/>
      </c>
      <c r="WUE2" t="str">
        <f>LEFT(Database!WUX2,3)</f>
        <v/>
      </c>
      <c r="WUF2" t="str">
        <f>LEFT(Database!WUY2,3)</f>
        <v/>
      </c>
      <c r="WUG2" t="str">
        <f>LEFT(Database!WUZ2,3)</f>
        <v/>
      </c>
      <c r="WUH2" t="str">
        <f>LEFT(Database!WVA2,3)</f>
        <v/>
      </c>
      <c r="WUI2" t="str">
        <f>LEFT(Database!WVB2,3)</f>
        <v/>
      </c>
      <c r="WUJ2" t="str">
        <f>LEFT(Database!WVC2,3)</f>
        <v/>
      </c>
      <c r="WUK2" t="str">
        <f>LEFT(Database!WVD2,3)</f>
        <v/>
      </c>
      <c r="WUL2" t="str">
        <f>LEFT(Database!WVE2,3)</f>
        <v/>
      </c>
      <c r="WUM2" t="str">
        <f>LEFT(Database!WVF2,3)</f>
        <v/>
      </c>
      <c r="WUN2" t="str">
        <f>LEFT(Database!WVG2,3)</f>
        <v/>
      </c>
      <c r="WUO2" t="str">
        <f>LEFT(Database!WVH2,3)</f>
        <v/>
      </c>
      <c r="WUP2" t="str">
        <f>LEFT(Database!WVI2,3)</f>
        <v/>
      </c>
      <c r="WUQ2" t="str">
        <f>LEFT(Database!WVJ2,3)</f>
        <v/>
      </c>
      <c r="WUR2" t="str">
        <f>LEFT(Database!WVK2,3)</f>
        <v/>
      </c>
      <c r="WUS2" t="str">
        <f>LEFT(Database!WVL2,3)</f>
        <v/>
      </c>
      <c r="WUT2" t="str">
        <f>LEFT(Database!WVM2,3)</f>
        <v/>
      </c>
      <c r="WUU2" t="str">
        <f>LEFT(Database!WVN2,3)</f>
        <v/>
      </c>
      <c r="WUV2" t="str">
        <f>LEFT(Database!WVO2,3)</f>
        <v/>
      </c>
      <c r="WUW2" t="str">
        <f>LEFT(Database!WVP2,3)</f>
        <v/>
      </c>
      <c r="WUX2" t="str">
        <f>LEFT(Database!WVQ2,3)</f>
        <v/>
      </c>
      <c r="WUY2" t="str">
        <f>LEFT(Database!WVR2,3)</f>
        <v/>
      </c>
      <c r="WUZ2" t="str">
        <f>LEFT(Database!WVS2,3)</f>
        <v/>
      </c>
      <c r="WVA2" t="str">
        <f>LEFT(Database!WVT2,3)</f>
        <v/>
      </c>
      <c r="WVB2" t="str">
        <f>LEFT(Database!WVU2,3)</f>
        <v/>
      </c>
      <c r="WVC2" t="str">
        <f>LEFT(Database!WVV2,3)</f>
        <v/>
      </c>
      <c r="WVD2" t="str">
        <f>LEFT(Database!WVW2,3)</f>
        <v/>
      </c>
      <c r="WVE2" t="str">
        <f>LEFT(Database!WVX2,3)</f>
        <v/>
      </c>
      <c r="WVF2" t="str">
        <f>LEFT(Database!WVY2,3)</f>
        <v/>
      </c>
      <c r="WVG2" t="str">
        <f>LEFT(Database!WVZ2,3)</f>
        <v/>
      </c>
      <c r="WVH2" t="str">
        <f>LEFT(Database!WWA2,3)</f>
        <v/>
      </c>
      <c r="WVI2" t="str">
        <f>LEFT(Database!WWB2,3)</f>
        <v/>
      </c>
      <c r="WVJ2" t="str">
        <f>LEFT(Database!WWC2,3)</f>
        <v/>
      </c>
      <c r="WVK2" t="str">
        <f>LEFT(Database!WWD2,3)</f>
        <v/>
      </c>
      <c r="WVL2" t="str">
        <f>LEFT(Database!WWE2,3)</f>
        <v/>
      </c>
      <c r="WVM2" t="str">
        <f>LEFT(Database!WWF2,3)</f>
        <v/>
      </c>
      <c r="WVN2" t="str">
        <f>LEFT(Database!WWG2,3)</f>
        <v/>
      </c>
      <c r="WVO2" t="str">
        <f>LEFT(Database!WWH2,3)</f>
        <v/>
      </c>
      <c r="WVP2" t="str">
        <f>LEFT(Database!WWI2,3)</f>
        <v/>
      </c>
      <c r="WVQ2" t="str">
        <f>LEFT(Database!WWJ2,3)</f>
        <v/>
      </c>
      <c r="WVR2" t="str">
        <f>LEFT(Database!WWK2,3)</f>
        <v/>
      </c>
      <c r="WVS2" t="str">
        <f>LEFT(Database!WWL2,3)</f>
        <v/>
      </c>
      <c r="WVT2" t="str">
        <f>LEFT(Database!WWM2,3)</f>
        <v/>
      </c>
      <c r="WVU2" t="str">
        <f>LEFT(Database!WWN2,3)</f>
        <v/>
      </c>
      <c r="WVV2" t="str">
        <f>LEFT(Database!WWO2,3)</f>
        <v/>
      </c>
      <c r="WVW2" t="str">
        <f>LEFT(Database!WWP2,3)</f>
        <v/>
      </c>
      <c r="WVX2" t="str">
        <f>LEFT(Database!WWQ2,3)</f>
        <v/>
      </c>
      <c r="WVY2" t="str">
        <f>LEFT(Database!WWR2,3)</f>
        <v/>
      </c>
      <c r="WVZ2" t="str">
        <f>LEFT(Database!WWS2,3)</f>
        <v/>
      </c>
      <c r="WWA2" t="str">
        <f>LEFT(Database!WWT2,3)</f>
        <v/>
      </c>
      <c r="WWB2" t="str">
        <f>LEFT(Database!WWU2,3)</f>
        <v/>
      </c>
      <c r="WWC2" t="str">
        <f>LEFT(Database!WWV2,3)</f>
        <v/>
      </c>
      <c r="WWD2" t="str">
        <f>LEFT(Database!WWW2,3)</f>
        <v/>
      </c>
      <c r="WWE2" t="str">
        <f>LEFT(Database!WWX2,3)</f>
        <v/>
      </c>
      <c r="WWF2" t="str">
        <f>LEFT(Database!WWY2,3)</f>
        <v/>
      </c>
      <c r="WWG2" t="str">
        <f>LEFT(Database!WWZ2,3)</f>
        <v/>
      </c>
      <c r="WWH2" t="str">
        <f>LEFT(Database!WXA2,3)</f>
        <v/>
      </c>
      <c r="WWI2" t="str">
        <f>LEFT(Database!WXB2,3)</f>
        <v/>
      </c>
      <c r="WWJ2" t="str">
        <f>LEFT(Database!WXC2,3)</f>
        <v/>
      </c>
      <c r="WWK2" t="str">
        <f>LEFT(Database!WXD2,3)</f>
        <v/>
      </c>
      <c r="WWL2" t="str">
        <f>LEFT(Database!WXE2,3)</f>
        <v/>
      </c>
      <c r="WWM2" t="str">
        <f>LEFT(Database!WXF2,3)</f>
        <v/>
      </c>
      <c r="WWN2" t="str">
        <f>LEFT(Database!WXG2,3)</f>
        <v/>
      </c>
      <c r="WWO2" t="str">
        <f>LEFT(Database!WXH2,3)</f>
        <v/>
      </c>
      <c r="WWP2" t="str">
        <f>LEFT(Database!WXI2,3)</f>
        <v/>
      </c>
      <c r="WWQ2" t="str">
        <f>LEFT(Database!WXJ2,3)</f>
        <v/>
      </c>
      <c r="WWR2" t="str">
        <f>LEFT(Database!WXK2,3)</f>
        <v/>
      </c>
      <c r="WWS2" t="str">
        <f>LEFT(Database!WXL2,3)</f>
        <v/>
      </c>
      <c r="WWT2" t="str">
        <f>LEFT(Database!WXM2,3)</f>
        <v/>
      </c>
      <c r="WWU2" t="str">
        <f>LEFT(Database!WXN2,3)</f>
        <v/>
      </c>
      <c r="WWV2" t="str">
        <f>LEFT(Database!WXO2,3)</f>
        <v/>
      </c>
      <c r="WWW2" t="str">
        <f>LEFT(Database!WXP2,3)</f>
        <v/>
      </c>
      <c r="WWX2" t="str">
        <f>LEFT(Database!WXQ2,3)</f>
        <v/>
      </c>
      <c r="WWY2" t="str">
        <f>LEFT(Database!WXR2,3)</f>
        <v/>
      </c>
      <c r="WWZ2" t="str">
        <f>LEFT(Database!WXS2,3)</f>
        <v/>
      </c>
      <c r="WXA2" t="str">
        <f>LEFT(Database!WXT2,3)</f>
        <v/>
      </c>
      <c r="WXB2" t="str">
        <f>LEFT(Database!WXU2,3)</f>
        <v/>
      </c>
      <c r="WXC2" t="str">
        <f>LEFT(Database!WXV2,3)</f>
        <v/>
      </c>
      <c r="WXD2" t="str">
        <f>LEFT(Database!WXW2,3)</f>
        <v/>
      </c>
      <c r="WXE2" t="str">
        <f>LEFT(Database!WXX2,3)</f>
        <v/>
      </c>
      <c r="WXF2" t="str">
        <f>LEFT(Database!WXY2,3)</f>
        <v/>
      </c>
      <c r="WXG2" t="str">
        <f>LEFT(Database!WXZ2,3)</f>
        <v/>
      </c>
      <c r="WXH2" t="str">
        <f>LEFT(Database!WYA2,3)</f>
        <v/>
      </c>
      <c r="WXI2" t="str">
        <f>LEFT(Database!WYB2,3)</f>
        <v/>
      </c>
      <c r="WXJ2" t="str">
        <f>LEFT(Database!WYC2,3)</f>
        <v/>
      </c>
      <c r="WXK2" t="str">
        <f>LEFT(Database!WYD2,3)</f>
        <v/>
      </c>
      <c r="WXL2" t="str">
        <f>LEFT(Database!WYE2,3)</f>
        <v/>
      </c>
      <c r="WXM2" t="str">
        <f>LEFT(Database!WYF2,3)</f>
        <v/>
      </c>
      <c r="WXN2" t="str">
        <f>LEFT(Database!WYG2,3)</f>
        <v/>
      </c>
      <c r="WXO2" t="str">
        <f>LEFT(Database!WYH2,3)</f>
        <v/>
      </c>
      <c r="WXP2" t="str">
        <f>LEFT(Database!WYI2,3)</f>
        <v/>
      </c>
      <c r="WXQ2" t="str">
        <f>LEFT(Database!WYJ2,3)</f>
        <v/>
      </c>
      <c r="WXR2" t="str">
        <f>LEFT(Database!WYK2,3)</f>
        <v/>
      </c>
      <c r="WXS2" t="str">
        <f>LEFT(Database!WYL2,3)</f>
        <v/>
      </c>
      <c r="WXT2" t="str">
        <f>LEFT(Database!WYM2,3)</f>
        <v/>
      </c>
      <c r="WXU2" t="str">
        <f>LEFT(Database!WYN2,3)</f>
        <v/>
      </c>
      <c r="WXV2" t="str">
        <f>LEFT(Database!WYO2,3)</f>
        <v/>
      </c>
      <c r="WXW2" t="str">
        <f>LEFT(Database!WYP2,3)</f>
        <v/>
      </c>
      <c r="WXX2" t="str">
        <f>LEFT(Database!WYQ2,3)</f>
        <v/>
      </c>
      <c r="WXY2" t="str">
        <f>LEFT(Database!WYR2,3)</f>
        <v/>
      </c>
      <c r="WXZ2" t="str">
        <f>LEFT(Database!WYS2,3)</f>
        <v/>
      </c>
      <c r="WYA2" t="str">
        <f>LEFT(Database!WYT2,3)</f>
        <v/>
      </c>
      <c r="WYB2" t="str">
        <f>LEFT(Database!WYU2,3)</f>
        <v/>
      </c>
      <c r="WYC2" t="str">
        <f>LEFT(Database!WYV2,3)</f>
        <v/>
      </c>
      <c r="WYD2" t="str">
        <f>LEFT(Database!WYW2,3)</f>
        <v/>
      </c>
      <c r="WYE2" t="str">
        <f>LEFT(Database!WYX2,3)</f>
        <v/>
      </c>
      <c r="WYF2" t="str">
        <f>LEFT(Database!WYY2,3)</f>
        <v/>
      </c>
      <c r="WYG2" t="str">
        <f>LEFT(Database!WYZ2,3)</f>
        <v/>
      </c>
      <c r="WYH2" t="str">
        <f>LEFT(Database!WZA2,3)</f>
        <v/>
      </c>
      <c r="WYI2" t="str">
        <f>LEFT(Database!WZB2,3)</f>
        <v/>
      </c>
      <c r="WYJ2" t="str">
        <f>LEFT(Database!WZC2,3)</f>
        <v/>
      </c>
      <c r="WYK2" t="str">
        <f>LEFT(Database!WZD2,3)</f>
        <v/>
      </c>
      <c r="WYL2" t="str">
        <f>LEFT(Database!WZE2,3)</f>
        <v/>
      </c>
      <c r="WYM2" t="str">
        <f>LEFT(Database!WZF2,3)</f>
        <v/>
      </c>
      <c r="WYN2" t="str">
        <f>LEFT(Database!WZG2,3)</f>
        <v/>
      </c>
      <c r="WYO2" t="str">
        <f>LEFT(Database!WZH2,3)</f>
        <v/>
      </c>
      <c r="WYP2" t="str">
        <f>LEFT(Database!WZI2,3)</f>
        <v/>
      </c>
      <c r="WYQ2" t="str">
        <f>LEFT(Database!WZJ2,3)</f>
        <v/>
      </c>
      <c r="WYR2" t="str">
        <f>LEFT(Database!WZK2,3)</f>
        <v/>
      </c>
      <c r="WYS2" t="str">
        <f>LEFT(Database!WZL2,3)</f>
        <v/>
      </c>
      <c r="WYT2" t="str">
        <f>LEFT(Database!WZM2,3)</f>
        <v/>
      </c>
      <c r="WYU2" t="str">
        <f>LEFT(Database!WZN2,3)</f>
        <v/>
      </c>
      <c r="WYV2" t="str">
        <f>LEFT(Database!WZO2,3)</f>
        <v/>
      </c>
      <c r="WYW2" t="str">
        <f>LEFT(Database!WZP2,3)</f>
        <v/>
      </c>
      <c r="WYX2" t="str">
        <f>LEFT(Database!WZQ2,3)</f>
        <v/>
      </c>
      <c r="WYY2" t="str">
        <f>LEFT(Database!WZR2,3)</f>
        <v/>
      </c>
      <c r="WYZ2" t="str">
        <f>LEFT(Database!WZS2,3)</f>
        <v/>
      </c>
      <c r="WZA2" t="str">
        <f>LEFT(Database!WZT2,3)</f>
        <v/>
      </c>
      <c r="WZB2" t="str">
        <f>LEFT(Database!WZU2,3)</f>
        <v/>
      </c>
      <c r="WZC2" t="str">
        <f>LEFT(Database!WZV2,3)</f>
        <v/>
      </c>
      <c r="WZD2" t="str">
        <f>LEFT(Database!WZW2,3)</f>
        <v/>
      </c>
      <c r="WZE2" t="str">
        <f>LEFT(Database!WZX2,3)</f>
        <v/>
      </c>
      <c r="WZF2" t="str">
        <f>LEFT(Database!WZY2,3)</f>
        <v/>
      </c>
      <c r="WZG2" t="str">
        <f>LEFT(Database!WZZ2,3)</f>
        <v/>
      </c>
      <c r="WZH2" t="str">
        <f>LEFT(Database!XAA2,3)</f>
        <v/>
      </c>
      <c r="WZI2" t="str">
        <f>LEFT(Database!XAB2,3)</f>
        <v/>
      </c>
      <c r="WZJ2" t="str">
        <f>LEFT(Database!XAC2,3)</f>
        <v/>
      </c>
      <c r="WZK2" t="str">
        <f>LEFT(Database!XAD2,3)</f>
        <v/>
      </c>
      <c r="WZL2" t="str">
        <f>LEFT(Database!XAE2,3)</f>
        <v/>
      </c>
      <c r="WZM2" t="str">
        <f>LEFT(Database!XAF2,3)</f>
        <v/>
      </c>
      <c r="WZN2" t="str">
        <f>LEFT(Database!XAG2,3)</f>
        <v/>
      </c>
      <c r="WZO2" t="str">
        <f>LEFT(Database!XAH2,3)</f>
        <v/>
      </c>
      <c r="WZP2" t="str">
        <f>LEFT(Database!XAI2,3)</f>
        <v/>
      </c>
      <c r="WZQ2" t="str">
        <f>LEFT(Database!XAJ2,3)</f>
        <v/>
      </c>
      <c r="WZR2" t="str">
        <f>LEFT(Database!XAK2,3)</f>
        <v/>
      </c>
      <c r="WZS2" t="str">
        <f>LEFT(Database!XAL2,3)</f>
        <v/>
      </c>
      <c r="WZT2" t="str">
        <f>LEFT(Database!XAM2,3)</f>
        <v/>
      </c>
      <c r="WZU2" t="str">
        <f>LEFT(Database!XAN2,3)</f>
        <v/>
      </c>
      <c r="WZV2" t="str">
        <f>LEFT(Database!XAO2,3)</f>
        <v/>
      </c>
      <c r="WZW2" t="str">
        <f>LEFT(Database!XAP2,3)</f>
        <v/>
      </c>
      <c r="WZX2" t="str">
        <f>LEFT(Database!XAQ2,3)</f>
        <v/>
      </c>
      <c r="WZY2" t="str">
        <f>LEFT(Database!XAR2,3)</f>
        <v/>
      </c>
      <c r="WZZ2" t="str">
        <f>LEFT(Database!XAS2,3)</f>
        <v/>
      </c>
      <c r="XAA2" t="str">
        <f>LEFT(Database!XAT2,3)</f>
        <v/>
      </c>
      <c r="XAB2" t="str">
        <f>LEFT(Database!XAU2,3)</f>
        <v/>
      </c>
      <c r="XAC2" t="str">
        <f>LEFT(Database!XAV2,3)</f>
        <v/>
      </c>
      <c r="XAD2" t="str">
        <f>LEFT(Database!XAW2,3)</f>
        <v/>
      </c>
      <c r="XAE2" t="str">
        <f>LEFT(Database!XAX2,3)</f>
        <v/>
      </c>
      <c r="XAF2" t="str">
        <f>LEFT(Database!XAY2,3)</f>
        <v/>
      </c>
      <c r="XAG2" t="str">
        <f>LEFT(Database!XAZ2,3)</f>
        <v/>
      </c>
      <c r="XAH2" t="str">
        <f>LEFT(Database!XBA2,3)</f>
        <v/>
      </c>
      <c r="XAI2" t="str">
        <f>LEFT(Database!XBB2,3)</f>
        <v/>
      </c>
      <c r="XAJ2" t="str">
        <f>LEFT(Database!XBC2,3)</f>
        <v/>
      </c>
      <c r="XAK2" t="str">
        <f>LEFT(Database!XBD2,3)</f>
        <v/>
      </c>
      <c r="XAL2" t="str">
        <f>LEFT(Database!XBE2,3)</f>
        <v/>
      </c>
      <c r="XAM2" t="str">
        <f>LEFT(Database!XBF2,3)</f>
        <v/>
      </c>
      <c r="XAN2" t="str">
        <f>LEFT(Database!XBG2,3)</f>
        <v/>
      </c>
      <c r="XAO2" t="str">
        <f>LEFT(Database!XBH2,3)</f>
        <v/>
      </c>
      <c r="XAP2" t="str">
        <f>LEFT(Database!XBI2,3)</f>
        <v/>
      </c>
      <c r="XAQ2" t="str">
        <f>LEFT(Database!XBJ2,3)</f>
        <v/>
      </c>
      <c r="XAR2" t="str">
        <f>LEFT(Database!XBK2,3)</f>
        <v/>
      </c>
      <c r="XAS2" t="str">
        <f>LEFT(Database!XBL2,3)</f>
        <v/>
      </c>
      <c r="XAT2" t="str">
        <f>LEFT(Database!XBM2,3)</f>
        <v/>
      </c>
      <c r="XAU2" t="str">
        <f>LEFT(Database!XBN2,3)</f>
        <v/>
      </c>
      <c r="XAV2" t="str">
        <f>LEFT(Database!XBO2,3)</f>
        <v/>
      </c>
      <c r="XAW2" t="str">
        <f>LEFT(Database!XBP2,3)</f>
        <v/>
      </c>
      <c r="XAX2" t="str">
        <f>LEFT(Database!XBQ2,3)</f>
        <v/>
      </c>
      <c r="XAY2" t="str">
        <f>LEFT(Database!XBR2,3)</f>
        <v/>
      </c>
      <c r="XAZ2" t="str">
        <f>LEFT(Database!XBS2,3)</f>
        <v/>
      </c>
      <c r="XBA2" t="str">
        <f>LEFT(Database!XBT2,3)</f>
        <v/>
      </c>
      <c r="XBB2" t="str">
        <f>LEFT(Database!XBU2,3)</f>
        <v/>
      </c>
      <c r="XBC2" t="str">
        <f>LEFT(Database!XBV2,3)</f>
        <v/>
      </c>
      <c r="XBD2" t="str">
        <f>LEFT(Database!XBW2,3)</f>
        <v/>
      </c>
      <c r="XBE2" t="str">
        <f>LEFT(Database!XBX2,3)</f>
        <v/>
      </c>
      <c r="XBF2" t="str">
        <f>LEFT(Database!XBY2,3)</f>
        <v/>
      </c>
      <c r="XBG2" t="str">
        <f>LEFT(Database!XBZ2,3)</f>
        <v/>
      </c>
      <c r="XBH2" t="str">
        <f>LEFT(Database!XCA2,3)</f>
        <v/>
      </c>
      <c r="XBI2" t="str">
        <f>LEFT(Database!XCB2,3)</f>
        <v/>
      </c>
      <c r="XBJ2" t="str">
        <f>LEFT(Database!XCC2,3)</f>
        <v/>
      </c>
      <c r="XBK2" t="str">
        <f>LEFT(Database!XCD2,3)</f>
        <v/>
      </c>
      <c r="XBL2" t="str">
        <f>LEFT(Database!XCE2,3)</f>
        <v/>
      </c>
      <c r="XBM2" t="str">
        <f>LEFT(Database!XCF2,3)</f>
        <v/>
      </c>
      <c r="XBN2" t="str">
        <f>LEFT(Database!XCG2,3)</f>
        <v/>
      </c>
      <c r="XBO2" t="str">
        <f>LEFT(Database!XCH2,3)</f>
        <v/>
      </c>
      <c r="XBP2" t="str">
        <f>LEFT(Database!XCI2,3)</f>
        <v/>
      </c>
      <c r="XBQ2" t="str">
        <f>LEFT(Database!XCJ2,3)</f>
        <v/>
      </c>
      <c r="XBR2" t="str">
        <f>LEFT(Database!XCK2,3)</f>
        <v/>
      </c>
      <c r="XBS2" t="str">
        <f>LEFT(Database!XCL2,3)</f>
        <v/>
      </c>
      <c r="XBT2" t="str">
        <f>LEFT(Database!XCM2,3)</f>
        <v/>
      </c>
      <c r="XBU2" t="str">
        <f>LEFT(Database!XCN2,3)</f>
        <v/>
      </c>
      <c r="XBV2" t="str">
        <f>LEFT(Database!XCO2,3)</f>
        <v/>
      </c>
      <c r="XBW2" t="str">
        <f>LEFT(Database!XCP2,3)</f>
        <v/>
      </c>
      <c r="XBX2" t="str">
        <f>LEFT(Database!XCQ2,3)</f>
        <v/>
      </c>
      <c r="XBY2" t="str">
        <f>LEFT(Database!XCR2,3)</f>
        <v/>
      </c>
      <c r="XBZ2" t="str">
        <f>LEFT(Database!XCS2,3)</f>
        <v/>
      </c>
      <c r="XCA2" t="str">
        <f>LEFT(Database!XCT2,3)</f>
        <v/>
      </c>
      <c r="XCB2" t="str">
        <f>LEFT(Database!XCU2,3)</f>
        <v/>
      </c>
      <c r="XCC2" t="str">
        <f>LEFT(Database!XCV2,3)</f>
        <v/>
      </c>
      <c r="XCD2" t="str">
        <f>LEFT(Database!XCW2,3)</f>
        <v/>
      </c>
      <c r="XCE2" t="str">
        <f>LEFT(Database!XCX2,3)</f>
        <v/>
      </c>
      <c r="XCF2" t="str">
        <f>LEFT(Database!XCY2,3)</f>
        <v/>
      </c>
      <c r="XCG2" t="str">
        <f>LEFT(Database!XCZ2,3)</f>
        <v/>
      </c>
      <c r="XCH2" t="str">
        <f>LEFT(Database!XDA2,3)</f>
        <v/>
      </c>
      <c r="XCI2" t="str">
        <f>LEFT(Database!XDB2,3)</f>
        <v/>
      </c>
      <c r="XCJ2" t="str">
        <f>LEFT(Database!XDC2,3)</f>
        <v/>
      </c>
      <c r="XCK2" t="str">
        <f>LEFT(Database!XDD2,3)</f>
        <v/>
      </c>
      <c r="XCL2" t="str">
        <f>LEFT(Database!XDE2,3)</f>
        <v/>
      </c>
      <c r="XCM2" t="str">
        <f>LEFT(Database!XDF2,3)</f>
        <v/>
      </c>
      <c r="XCN2" t="str">
        <f>LEFT(Database!XDG2,3)</f>
        <v/>
      </c>
      <c r="XCO2" t="str">
        <f>LEFT(Database!XDH2,3)</f>
        <v/>
      </c>
      <c r="XCP2" t="str">
        <f>LEFT(Database!XDI2,3)</f>
        <v/>
      </c>
      <c r="XCQ2" t="str">
        <f>LEFT(Database!XDJ2,3)</f>
        <v/>
      </c>
      <c r="XCR2" t="str">
        <f>LEFT(Database!XDK2,3)</f>
        <v/>
      </c>
      <c r="XCS2" t="str">
        <f>LEFT(Database!XDL2,3)</f>
        <v/>
      </c>
      <c r="XCT2" t="str">
        <f>LEFT(Database!XDM2,3)</f>
        <v/>
      </c>
      <c r="XCU2" t="str">
        <f>LEFT(Database!XDN2,3)</f>
        <v/>
      </c>
      <c r="XCV2" t="str">
        <f>LEFT(Database!XDO2,3)</f>
        <v/>
      </c>
      <c r="XCW2" t="str">
        <f>LEFT(Database!XDP2,3)</f>
        <v/>
      </c>
      <c r="XCX2" t="str">
        <f>LEFT(Database!XDQ2,3)</f>
        <v/>
      </c>
      <c r="XCY2" t="str">
        <f>LEFT(Database!XDR2,3)</f>
        <v/>
      </c>
      <c r="XCZ2" t="str">
        <f>LEFT(Database!XDS2,3)</f>
        <v/>
      </c>
      <c r="XDA2" t="str">
        <f>LEFT(Database!XDT2,3)</f>
        <v/>
      </c>
      <c r="XDB2" t="str">
        <f>LEFT(Database!XDU2,3)</f>
        <v/>
      </c>
      <c r="XDC2" t="str">
        <f>LEFT(Database!XDV2,3)</f>
        <v/>
      </c>
      <c r="XDD2" t="str">
        <f>LEFT(Database!XDW2,3)</f>
        <v/>
      </c>
      <c r="XDE2" t="str">
        <f>LEFT(Database!XDX2,3)</f>
        <v/>
      </c>
      <c r="XDF2" t="str">
        <f>LEFT(Database!XDY2,3)</f>
        <v/>
      </c>
      <c r="XDG2" t="str">
        <f>LEFT(Database!XDZ2,3)</f>
        <v/>
      </c>
      <c r="XDH2" t="str">
        <f>LEFT(Database!XEA2,3)</f>
        <v/>
      </c>
      <c r="XDI2" t="str">
        <f>LEFT(Database!XEB2,3)</f>
        <v/>
      </c>
      <c r="XDJ2" t="str">
        <f>LEFT(Database!XEC2,3)</f>
        <v/>
      </c>
      <c r="XDK2" t="str">
        <f>LEFT(Database!XED2,3)</f>
        <v/>
      </c>
      <c r="XDL2" t="str">
        <f>LEFT(Database!XEE2,3)</f>
        <v/>
      </c>
      <c r="XDM2" t="str">
        <f>LEFT(Database!XEF2,3)</f>
        <v/>
      </c>
      <c r="XDN2" t="str">
        <f>LEFT(Database!XEG2,3)</f>
        <v/>
      </c>
      <c r="XDO2" t="str">
        <f>LEFT(Database!XEH2,3)</f>
        <v/>
      </c>
      <c r="XDP2" t="str">
        <f>LEFT(Database!XEI2,3)</f>
        <v/>
      </c>
      <c r="XDQ2" t="str">
        <f>LEFT(Database!XEJ2,3)</f>
        <v/>
      </c>
      <c r="XDR2" t="str">
        <f>LEFT(Database!XEK2,3)</f>
        <v/>
      </c>
      <c r="XDS2" t="str">
        <f>LEFT(Database!XEL2,3)</f>
        <v/>
      </c>
      <c r="XDT2" t="str">
        <f>LEFT(Database!XEM2,3)</f>
        <v/>
      </c>
      <c r="XDU2" t="str">
        <f>LEFT(Database!XEN2,3)</f>
        <v/>
      </c>
      <c r="XDV2" t="str">
        <f>LEFT(Database!XEO2,3)</f>
        <v/>
      </c>
      <c r="XDW2" t="str">
        <f>LEFT(Database!XEP2,3)</f>
        <v/>
      </c>
      <c r="XDX2" t="str">
        <f>LEFT(Database!XEQ2,3)</f>
        <v/>
      </c>
      <c r="XDY2" t="str">
        <f>LEFT(Database!XER2,3)</f>
        <v/>
      </c>
      <c r="XDZ2" t="str">
        <f>LEFT(Database!XES2,3)</f>
        <v/>
      </c>
      <c r="XEA2" t="str">
        <f>LEFT(Database!XET2,3)</f>
        <v/>
      </c>
      <c r="XEB2" t="str">
        <f>LEFT(Database!XEU2,3)</f>
        <v/>
      </c>
      <c r="XEC2" t="str">
        <f>LEFT(Database!XEV2,3)</f>
        <v/>
      </c>
      <c r="XED2" t="str">
        <f>LEFT(Database!XEW2,3)</f>
        <v/>
      </c>
      <c r="XEE2" t="str">
        <f>LEFT(Database!XEX2,3)</f>
        <v/>
      </c>
      <c r="XEF2" t="str">
        <f>LEFT(Database!XEY2,3)</f>
        <v/>
      </c>
      <c r="XEG2" t="str">
        <f>LEFT(Database!XEZ2,3)</f>
        <v/>
      </c>
      <c r="XEH2" t="str">
        <f>LEFT(Database!XFA2,3)</f>
        <v/>
      </c>
      <c r="XEI2" t="str">
        <f>LEFT(Database!XFB2,3)</f>
        <v/>
      </c>
      <c r="XEJ2" t="str">
        <f>LEFT(Database!XFC2,3)</f>
        <v/>
      </c>
      <c r="XEK2" t="str">
        <f>LEFT(Database!XFD2,3)</f>
        <v/>
      </c>
    </row>
    <row r="3" spans="1:16365" x14ac:dyDescent="0.25">
      <c r="B3">
        <v>2</v>
      </c>
      <c r="C3" t="s">
        <v>356</v>
      </c>
      <c r="D3">
        <f>Database!W5</f>
        <v>735</v>
      </c>
      <c r="E3">
        <f>Database!X5</f>
        <v>735</v>
      </c>
      <c r="F3">
        <f>Database!Y5</f>
        <v>800</v>
      </c>
      <c r="G3">
        <f>Database!Z5</f>
        <v>800</v>
      </c>
      <c r="H3">
        <f>Database!AA5</f>
        <v>800</v>
      </c>
      <c r="I3">
        <f>Database!AB5</f>
        <v>800</v>
      </c>
      <c r="J3">
        <f>Database!AC5</f>
        <v>885</v>
      </c>
      <c r="K3">
        <f>Database!AD5</f>
        <v>885</v>
      </c>
      <c r="L3">
        <f>Database!AE5</f>
        <v>885</v>
      </c>
      <c r="M3">
        <f>Database!AF5</f>
        <v>885</v>
      </c>
      <c r="N3">
        <f>Database!AG5</f>
        <v>970</v>
      </c>
      <c r="O3">
        <f>Database!AH5</f>
        <v>970</v>
      </c>
      <c r="P3">
        <f>Database!AI5</f>
        <v>970</v>
      </c>
      <c r="Q3">
        <f>Database!AJ5</f>
        <v>970</v>
      </c>
      <c r="R3">
        <f>Database!AK5</f>
        <v>1015</v>
      </c>
      <c r="S3">
        <f>Database!AL5</f>
        <v>1015</v>
      </c>
      <c r="T3">
        <f>Database!AM5</f>
        <v>1015</v>
      </c>
      <c r="U3">
        <f>Database!AN5</f>
        <v>1015</v>
      </c>
      <c r="V3">
        <f>Database!AO5</f>
        <v>1015</v>
      </c>
      <c r="W3">
        <f>Database!AP5</f>
        <v>1025</v>
      </c>
      <c r="X3">
        <f>Database!AQ5</f>
        <v>1025</v>
      </c>
      <c r="Y3">
        <f>Database!AR5</f>
        <v>1025</v>
      </c>
      <c r="Z3">
        <f>Database!AS5</f>
        <v>1025</v>
      </c>
      <c r="AA3">
        <f>Database!AT5</f>
        <v>1065</v>
      </c>
      <c r="AB3">
        <f>Database!AU5</f>
        <v>1065</v>
      </c>
      <c r="AC3">
        <f>Database!AV5</f>
        <v>1065</v>
      </c>
      <c r="AD3">
        <f>Database!AW5</f>
        <v>1065</v>
      </c>
      <c r="AE3">
        <f>Database!AX5</f>
        <v>1115</v>
      </c>
      <c r="AF3">
        <f>Database!AY5</f>
        <v>1115</v>
      </c>
      <c r="AG3">
        <f>Database!AZ5</f>
        <v>1115</v>
      </c>
      <c r="AH3">
        <f>Database!BA5</f>
        <v>1115</v>
      </c>
      <c r="AI3">
        <f>Database!BB5</f>
        <v>1115</v>
      </c>
      <c r="AJ3">
        <f>Database!BC5</f>
        <v>1173</v>
      </c>
      <c r="AK3">
        <f>Database!BD5</f>
        <v>1173</v>
      </c>
      <c r="AL3">
        <f>Database!BE5</f>
        <v>1173</v>
      </c>
      <c r="AM3">
        <f>Database!BF5</f>
        <v>1173</v>
      </c>
      <c r="AN3">
        <f>Database!BG5</f>
        <v>1168</v>
      </c>
      <c r="AO3">
        <f>Database!BH5</f>
        <v>1168</v>
      </c>
      <c r="AP3">
        <f>Database!BI5</f>
        <v>1168</v>
      </c>
      <c r="AQ3">
        <f>Database!BJ5</f>
        <v>1168</v>
      </c>
      <c r="AR3">
        <f>Database!BK5</f>
        <v>1193</v>
      </c>
      <c r="AS3">
        <f>Database!BL5</f>
        <v>1193</v>
      </c>
      <c r="AT3">
        <f>Database!BM5</f>
        <v>1193</v>
      </c>
      <c r="AU3">
        <f>Database!BN5</f>
        <v>1193</v>
      </c>
      <c r="AV3">
        <f>Database!BO5</f>
        <v>1193</v>
      </c>
      <c r="AW3">
        <f>Database!BP5</f>
        <v>1288</v>
      </c>
      <c r="AX3">
        <f>Database!BQ5</f>
        <v>1288</v>
      </c>
      <c r="AY3">
        <f>Database!BR5</f>
        <v>1288</v>
      </c>
      <c r="AZ3">
        <f>Database!BS5</f>
        <v>1288</v>
      </c>
      <c r="BA3">
        <f>Database!BT5</f>
        <v>1288</v>
      </c>
      <c r="BB3">
        <f>Database!BU5</f>
        <v>1288</v>
      </c>
      <c r="BC3">
        <f>Database!BV5</f>
        <v>1288</v>
      </c>
      <c r="BD3">
        <f>Database!BW5</f>
        <v>1288</v>
      </c>
      <c r="BE3">
        <f>Database!BX5</f>
        <v>1288</v>
      </c>
      <c r="BF3">
        <f>Database!BY5</f>
        <v>1288</v>
      </c>
      <c r="BG3">
        <f>Database!BZ5</f>
        <v>1288</v>
      </c>
      <c r="BH3">
        <f>Database!CA5</f>
        <v>1288</v>
      </c>
      <c r="BI3">
        <f>Database!CB5</f>
        <v>1355</v>
      </c>
      <c r="BJ3">
        <f>Database!CC5</f>
        <v>1355</v>
      </c>
      <c r="BK3">
        <f>Database!CD5</f>
        <v>1355</v>
      </c>
      <c r="BL3">
        <f>Database!CE5</f>
        <v>1355</v>
      </c>
      <c r="BM3">
        <f>Database!CF5</f>
        <v>1450</v>
      </c>
      <c r="BN3">
        <f>Database!CG5</f>
        <v>1450</v>
      </c>
      <c r="BO3">
        <f>Database!CH5</f>
        <v>1450</v>
      </c>
      <c r="BP3">
        <f>Database!CI5</f>
        <v>1450</v>
      </c>
      <c r="BQ3">
        <f>Database!CJ5</f>
        <v>1675</v>
      </c>
      <c r="BR3">
        <f>Database!CK5</f>
        <v>1675</v>
      </c>
      <c r="BS3">
        <f>Database!CL5</f>
        <v>1675</v>
      </c>
      <c r="BT3">
        <f>Database!CM5</f>
        <v>1675</v>
      </c>
      <c r="BU3">
        <f>Database!CN5</f>
        <v>1675</v>
      </c>
      <c r="BV3">
        <f>Database!CO5</f>
        <v>1610</v>
      </c>
      <c r="BW3">
        <f>Database!CP5</f>
        <v>1610</v>
      </c>
      <c r="BX3">
        <f>Database!CQ5</f>
        <v>1610</v>
      </c>
      <c r="BY3">
        <f>Database!CR5</f>
        <v>1610</v>
      </c>
      <c r="BZ3">
        <f>Database!CS5</f>
        <v>1600</v>
      </c>
      <c r="CA3">
        <f>Database!CT5</f>
        <v>1600</v>
      </c>
      <c r="CB3">
        <f>Database!CU5</f>
        <v>1600</v>
      </c>
      <c r="CC3">
        <f>Database!CV5</f>
        <v>1600</v>
      </c>
      <c r="CD3">
        <f>Database!CW5</f>
        <v>1480</v>
      </c>
      <c r="CE3">
        <f>Database!CX5</f>
        <v>1480</v>
      </c>
      <c r="CF3">
        <f>Database!CY5</f>
        <v>1480</v>
      </c>
      <c r="CG3">
        <f>Database!CZ5</f>
        <v>1480</v>
      </c>
      <c r="CH3">
        <f>Database!DA5</f>
        <v>1480</v>
      </c>
      <c r="CI3">
        <f>Database!DB5</f>
        <v>1395</v>
      </c>
      <c r="CJ3">
        <f>Database!DC5</f>
        <v>1395</v>
      </c>
      <c r="CK3">
        <f>Database!DD5</f>
        <v>1395</v>
      </c>
      <c r="CL3">
        <f>Database!DE5</f>
        <v>1395</v>
      </c>
      <c r="CM3">
        <f>Database!DF5</f>
        <v>1230</v>
      </c>
      <c r="CN3">
        <f>Database!DG5</f>
        <v>1230</v>
      </c>
      <c r="CO3">
        <f>Database!DH5</f>
        <v>1230</v>
      </c>
      <c r="CP3">
        <f>Database!DI5</f>
        <v>1230</v>
      </c>
      <c r="CQ3">
        <f>Database!DJ5</f>
        <v>1230</v>
      </c>
      <c r="CR3">
        <f>Database!DK5</f>
        <v>1180</v>
      </c>
      <c r="CS3">
        <f>Database!DL5</f>
        <v>1180</v>
      </c>
      <c r="CT3">
        <f>Database!DM5</f>
        <v>1180</v>
      </c>
      <c r="CU3">
        <f>Database!DN5</f>
        <v>1180</v>
      </c>
      <c r="CV3">
        <f>Database!DO5</f>
        <v>1200</v>
      </c>
      <c r="CW3">
        <f>Database!DP5</f>
        <v>1200</v>
      </c>
      <c r="CX3">
        <f>Database!DQ5</f>
        <v>1200</v>
      </c>
      <c r="CY3">
        <f>Database!DR5</f>
        <v>1200</v>
      </c>
      <c r="CZ3">
        <f>Database!DS5</f>
        <v>1170</v>
      </c>
      <c r="DA3">
        <f>Database!DT5</f>
        <v>1170</v>
      </c>
      <c r="DB3">
        <f>Database!DU5</f>
        <v>1170</v>
      </c>
      <c r="DC3">
        <f>Database!DV5</f>
        <v>1170</v>
      </c>
      <c r="DD3">
        <f>Database!DW5</f>
        <v>1075</v>
      </c>
      <c r="DE3">
        <f>Database!DX5</f>
        <v>1075</v>
      </c>
      <c r="DF3">
        <f>Database!DY5</f>
        <v>1075</v>
      </c>
      <c r="DG3">
        <f>Database!DZ5</f>
        <v>1075</v>
      </c>
      <c r="DH3">
        <f>Database!EA5</f>
        <v>1155</v>
      </c>
      <c r="DI3">
        <f>Database!EB5</f>
        <v>1155</v>
      </c>
      <c r="DJ3">
        <f>Database!EC5</f>
        <v>1155</v>
      </c>
      <c r="DK3">
        <f>Database!ED5</f>
        <v>1155</v>
      </c>
      <c r="DL3">
        <f>Database!EE5</f>
        <v>1185</v>
      </c>
      <c r="DM3">
        <f>Database!EF5</f>
        <v>1185</v>
      </c>
      <c r="DN3">
        <f>Database!EG5</f>
        <v>1185</v>
      </c>
      <c r="DO3">
        <f>Database!EH5</f>
        <v>1185</v>
      </c>
      <c r="DP3">
        <f>Database!EI5</f>
        <v>1185</v>
      </c>
      <c r="DQ3">
        <f>Database!EJ5</f>
        <v>1145</v>
      </c>
      <c r="DR3">
        <f>Database!EK5</f>
        <v>1145</v>
      </c>
      <c r="DS3">
        <f>Database!EL5</f>
        <v>1145</v>
      </c>
      <c r="DT3">
        <f>Database!EM5</f>
        <v>1145</v>
      </c>
      <c r="DU3">
        <f>Database!EN5</f>
        <v>1130</v>
      </c>
      <c r="DV3">
        <f>Database!EO5</f>
        <v>1130</v>
      </c>
      <c r="DW3">
        <f>Database!EP5</f>
        <v>1130</v>
      </c>
      <c r="DX3">
        <f>Database!EQ5</f>
        <v>1130</v>
      </c>
      <c r="DY3">
        <f>Database!ER5</f>
        <v>1050</v>
      </c>
      <c r="DZ3">
        <f>Database!ES5</f>
        <v>1050</v>
      </c>
      <c r="EA3">
        <f>Database!ET5</f>
        <v>1050</v>
      </c>
      <c r="EB3">
        <f>Database!EU5</f>
        <v>1050</v>
      </c>
      <c r="EC3">
        <f>Database!EV5</f>
        <v>1050</v>
      </c>
      <c r="ED3">
        <f>Database!EW5</f>
        <v>1000</v>
      </c>
      <c r="EE3">
        <f>Database!EX5</f>
        <v>1000</v>
      </c>
      <c r="EF3">
        <f>Database!EY5</f>
        <v>1000</v>
      </c>
      <c r="EG3">
        <f>Database!EZ5</f>
        <v>1000</v>
      </c>
      <c r="EH3">
        <f>Database!FA5</f>
        <v>1000</v>
      </c>
      <c r="EI3">
        <f>Database!FB5</f>
        <v>1000</v>
      </c>
      <c r="EJ3">
        <f>Database!FC5</f>
        <v>1000</v>
      </c>
      <c r="EK3">
        <f>Database!FD5</f>
        <v>1000</v>
      </c>
      <c r="EL3">
        <f>Database!FE5</f>
        <v>1000</v>
      </c>
      <c r="EM3">
        <f>Database!FF5</f>
        <v>1060</v>
      </c>
      <c r="EN3">
        <f>Database!FG5</f>
        <v>1060</v>
      </c>
      <c r="EO3">
        <f>Database!FH5</f>
        <v>1060</v>
      </c>
      <c r="EP3">
        <f>Database!FI5</f>
        <v>1060</v>
      </c>
      <c r="EQ3">
        <f>Database!FJ5</f>
        <v>1120</v>
      </c>
      <c r="ER3">
        <f>Database!FK5</f>
        <v>1120</v>
      </c>
      <c r="ES3">
        <f>Database!FL5</f>
        <v>1120</v>
      </c>
      <c r="ET3">
        <f>Database!FM5</f>
        <v>1120</v>
      </c>
      <c r="EU3">
        <f>Database!FN5</f>
        <v>1080</v>
      </c>
      <c r="EV3">
        <f>Database!FO5</f>
        <v>1080</v>
      </c>
      <c r="EW3">
        <f>Database!FP5</f>
        <v>1080</v>
      </c>
      <c r="EX3">
        <f>Database!FQ5</f>
        <v>1080</v>
      </c>
      <c r="EY3">
        <f>Database!FR5</f>
        <v>1080</v>
      </c>
      <c r="EZ3">
        <f>Database!FS5</f>
        <v>1050</v>
      </c>
      <c r="FA3">
        <f>Database!FT5</f>
        <v>1050</v>
      </c>
      <c r="FB3">
        <f>Database!FU5</f>
        <v>1050</v>
      </c>
      <c r="FC3">
        <f>Database!FV5</f>
        <v>1050</v>
      </c>
      <c r="FD3">
        <f>Database!FW5</f>
        <v>1050</v>
      </c>
      <c r="FE3">
        <f>Database!FX5</f>
        <v>1050</v>
      </c>
      <c r="FF3">
        <f>Database!FY5</f>
        <v>1050</v>
      </c>
      <c r="FG3">
        <f>Database!FZ5</f>
        <v>1065</v>
      </c>
      <c r="FH3">
        <f>Database!GA5</f>
        <v>1065</v>
      </c>
      <c r="FI3">
        <f>Database!GB5</f>
        <v>1065</v>
      </c>
      <c r="FJ3">
        <f>Database!GC5</f>
        <v>1065</v>
      </c>
      <c r="FK3">
        <f>Database!GD5</f>
        <v>1065</v>
      </c>
      <c r="FL3">
        <f>Database!GE5</f>
        <v>1100</v>
      </c>
      <c r="FM3">
        <f>Database!GF5</f>
        <v>1100</v>
      </c>
      <c r="FN3">
        <f>Database!GG5</f>
        <v>1100</v>
      </c>
      <c r="FO3">
        <f>Database!GH5</f>
        <v>1100</v>
      </c>
      <c r="FP3">
        <f>Database!GI5</f>
        <v>1145</v>
      </c>
      <c r="FQ3">
        <f>Database!GJ5</f>
        <v>1145</v>
      </c>
      <c r="FR3">
        <f>Database!GK5</f>
        <v>1145</v>
      </c>
      <c r="FS3">
        <f>Database!GL5</f>
        <v>1145</v>
      </c>
      <c r="FT3">
        <f>Database!GM5</f>
        <v>1135</v>
      </c>
      <c r="FU3">
        <f>Database!GN5</f>
        <v>1135</v>
      </c>
      <c r="FV3">
        <f>Database!GO5</f>
        <v>1135</v>
      </c>
      <c r="FW3">
        <f>Database!GP5</f>
        <v>1135</v>
      </c>
      <c r="FX3">
        <f>Database!GQ5</f>
        <v>1135</v>
      </c>
      <c r="FY3">
        <f>Database!GR5</f>
        <v>1105</v>
      </c>
      <c r="FZ3">
        <f>Database!GS5</f>
        <v>1105</v>
      </c>
      <c r="GA3">
        <f>Database!GT5</f>
        <v>1105</v>
      </c>
      <c r="GB3">
        <f>Database!GU5</f>
        <v>1105</v>
      </c>
      <c r="GC3">
        <f>Database!GV5</f>
        <v>1105</v>
      </c>
      <c r="GD3">
        <f>Database!GW5</f>
        <v>1105</v>
      </c>
      <c r="GE3">
        <f>Database!GX5</f>
        <v>1105</v>
      </c>
      <c r="GF3">
        <f>Database!GY5</f>
        <v>1105</v>
      </c>
      <c r="GG3">
        <f>Database!GZ5</f>
        <v>1125</v>
      </c>
      <c r="GH3">
        <f>Database!HA5</f>
        <v>1125</v>
      </c>
      <c r="GI3">
        <f>Database!HB5</f>
        <v>1125</v>
      </c>
      <c r="GJ3">
        <f>Database!HC5</f>
        <v>1125</v>
      </c>
      <c r="GK3">
        <f>Database!HD5</f>
        <v>1125</v>
      </c>
      <c r="GL3">
        <f>Database!HE5</f>
        <v>1095</v>
      </c>
      <c r="GM3">
        <f>Database!HF5</f>
        <v>1095</v>
      </c>
      <c r="GN3">
        <f>Database!HG5</f>
        <v>1095</v>
      </c>
      <c r="GO3">
        <f>Database!HH5</f>
        <v>1095</v>
      </c>
      <c r="GP3">
        <f>Database!HI5</f>
        <v>1060</v>
      </c>
      <c r="GQ3">
        <f>Database!HJ5</f>
        <v>1060</v>
      </c>
      <c r="GR3">
        <f>Database!HK5</f>
        <v>1060</v>
      </c>
      <c r="GS3">
        <f>Database!HL5</f>
        <v>1060</v>
      </c>
      <c r="GT3">
        <f>Database!HM5</f>
        <v>1060</v>
      </c>
      <c r="GU3">
        <f>Database!HN5</f>
        <v>1085</v>
      </c>
      <c r="GV3">
        <f>Database!HO5</f>
        <v>1085</v>
      </c>
      <c r="GW3">
        <f>Database!HP5</f>
        <v>1085</v>
      </c>
      <c r="GX3">
        <f>Database!HQ5</f>
        <v>1085</v>
      </c>
      <c r="GY3">
        <f>Database!HR5</f>
        <v>1075</v>
      </c>
      <c r="GZ3">
        <f>Database!HS5</f>
        <v>1075</v>
      </c>
      <c r="HA3">
        <f>Database!HT5</f>
        <v>1075</v>
      </c>
      <c r="HB3">
        <f>Database!HU5</f>
        <v>1075</v>
      </c>
      <c r="HC3">
        <f>Database!HV5</f>
        <v>1075</v>
      </c>
      <c r="HD3">
        <f>Database!HW5</f>
        <v>1075</v>
      </c>
      <c r="HE3">
        <f>Database!HX5</f>
        <v>1075</v>
      </c>
      <c r="HF3">
        <f>Database!HY5</f>
        <v>1127.5</v>
      </c>
      <c r="HG3">
        <f>Database!HZ5</f>
        <v>1127.5</v>
      </c>
      <c r="HH3">
        <f>Database!IA5</f>
        <v>1127.5</v>
      </c>
      <c r="HI3">
        <f>Database!IB5</f>
        <v>1127.5</v>
      </c>
      <c r="HJ3">
        <f>Database!IC5</f>
        <v>1135</v>
      </c>
      <c r="HK3">
        <f>Database!ID5</f>
        <v>1135</v>
      </c>
      <c r="HL3">
        <f>Database!IE5</f>
        <v>1135</v>
      </c>
      <c r="HM3">
        <f>Database!IF5</f>
        <v>1135</v>
      </c>
      <c r="HN3">
        <f>Database!IG5</f>
        <v>1080</v>
      </c>
      <c r="HO3">
        <f>Database!IH5</f>
        <v>1080</v>
      </c>
      <c r="HP3">
        <f>Database!II5</f>
        <v>1080</v>
      </c>
      <c r="HQ3">
        <f>Database!IJ5</f>
        <v>1080</v>
      </c>
      <c r="HR3">
        <f>Database!IK5</f>
        <v>1080</v>
      </c>
      <c r="HS3">
        <f>Database!IL5</f>
        <v>1015</v>
      </c>
      <c r="HT3">
        <f>Database!IM5</f>
        <v>1015</v>
      </c>
      <c r="HU3">
        <f>Database!IN5</f>
        <v>1015</v>
      </c>
      <c r="HV3">
        <f>Database!IO5</f>
        <v>1015</v>
      </c>
      <c r="HW3">
        <f>Database!IP5</f>
        <v>1015</v>
      </c>
      <c r="HX3">
        <f>Database!IQ5</f>
        <v>1015</v>
      </c>
      <c r="HY3">
        <f>Database!IR5</f>
        <v>1015</v>
      </c>
      <c r="HZ3">
        <f>Database!IS5</f>
        <v>1015</v>
      </c>
      <c r="IA3">
        <f>Database!IT5</f>
        <v>1015</v>
      </c>
      <c r="IB3">
        <f>Database!IU5</f>
        <v>1015</v>
      </c>
      <c r="IC3">
        <f>Database!IV5</f>
        <v>1015</v>
      </c>
      <c r="ID3">
        <f>Database!IW5</f>
        <v>1015</v>
      </c>
      <c r="IE3">
        <f>Database!IX5</f>
        <v>1015</v>
      </c>
      <c r="IF3">
        <f>Database!IY5</f>
        <v>1005</v>
      </c>
      <c r="IG3">
        <f>Database!IZ5</f>
        <v>1005</v>
      </c>
      <c r="IH3">
        <f>Database!JA5</f>
        <v>1005</v>
      </c>
      <c r="II3">
        <f>Database!JB5</f>
        <v>1005</v>
      </c>
      <c r="IJ3">
        <f>Database!JC5</f>
        <v>1005</v>
      </c>
      <c r="IK3">
        <f>Database!JD5</f>
        <v>1005</v>
      </c>
      <c r="IL3">
        <f>Database!JE5</f>
        <v>1005</v>
      </c>
      <c r="IM3">
        <f>Database!JF5</f>
        <v>1005</v>
      </c>
      <c r="IN3">
        <f>Database!JG5</f>
        <v>1005</v>
      </c>
      <c r="IO3">
        <f>Database!JH5</f>
        <v>1005</v>
      </c>
      <c r="IP3">
        <f>Database!JI5</f>
        <v>1005</v>
      </c>
      <c r="IQ3">
        <f>Database!JJ5</f>
        <v>1005</v>
      </c>
      <c r="IR3">
        <f>Database!JK5</f>
        <v>1005</v>
      </c>
      <c r="IS3">
        <f>Database!JL5</f>
        <v>980</v>
      </c>
      <c r="IT3">
        <f>Database!JM5</f>
        <v>980</v>
      </c>
      <c r="IU3">
        <f>Database!JN5</f>
        <v>980</v>
      </c>
      <c r="IV3">
        <f>Database!JO5</f>
        <v>980</v>
      </c>
      <c r="IW3">
        <f>Database!JP5</f>
        <v>980</v>
      </c>
      <c r="IX3">
        <f>Database!JQ5</f>
        <v>980</v>
      </c>
      <c r="IY3">
        <f>Database!JR5</f>
        <v>980</v>
      </c>
      <c r="IZ3">
        <f>Database!JS5</f>
        <v>980</v>
      </c>
      <c r="JA3">
        <f>Database!JT5</f>
        <v>950</v>
      </c>
      <c r="JB3">
        <f>Database!JU5</f>
        <v>950</v>
      </c>
      <c r="JC3">
        <f>Database!JV5</f>
        <v>950</v>
      </c>
      <c r="JD3">
        <f>Database!JW5</f>
        <v>950</v>
      </c>
      <c r="JE3">
        <f>Database!JX5</f>
        <v>965</v>
      </c>
      <c r="JF3">
        <f>Database!JY5</f>
        <v>965</v>
      </c>
      <c r="JG3">
        <f>Database!JZ5</f>
        <v>965</v>
      </c>
      <c r="JH3">
        <f>Database!KA5</f>
        <v>965</v>
      </c>
      <c r="JI3">
        <f>Database!KB5</f>
        <v>1000</v>
      </c>
      <c r="JJ3">
        <f>Database!KC5</f>
        <v>1000</v>
      </c>
      <c r="JK3">
        <f>Database!KD5</f>
        <v>1000</v>
      </c>
      <c r="JL3">
        <f>Database!KE5</f>
        <v>1000</v>
      </c>
      <c r="JM3">
        <f>Database!KF5</f>
        <v>1465</v>
      </c>
      <c r="JN3">
        <f>Database!KG5</f>
        <v>1465</v>
      </c>
      <c r="JO3">
        <f>Database!KH5</f>
        <v>1465</v>
      </c>
      <c r="JP3">
        <f>Database!KI5</f>
        <v>1465</v>
      </c>
      <c r="JQ3">
        <f>Database!KJ5</f>
        <v>1465</v>
      </c>
      <c r="JR3">
        <f>Database!KK5</f>
        <v>1585</v>
      </c>
      <c r="JS3">
        <f>Database!KL5</f>
        <v>1585</v>
      </c>
      <c r="JT3">
        <f>Database!KM5</f>
        <v>1585</v>
      </c>
      <c r="JU3">
        <f>Database!KN5</f>
        <v>1585</v>
      </c>
      <c r="JV3">
        <f>Database!KO5</f>
        <v>1555</v>
      </c>
      <c r="JW3">
        <f>Database!KP5</f>
        <v>1555</v>
      </c>
      <c r="JX3">
        <f>Database!KQ5</f>
        <v>1555</v>
      </c>
      <c r="JY3">
        <f>Database!KR5</f>
        <v>1555</v>
      </c>
      <c r="JZ3">
        <f>Database!KS5</f>
        <v>0</v>
      </c>
      <c r="KA3">
        <f>Database!KT5</f>
        <v>0</v>
      </c>
      <c r="KB3">
        <f>Database!KU5</f>
        <v>0</v>
      </c>
      <c r="KC3">
        <f>Database!KV5</f>
        <v>0</v>
      </c>
      <c r="KD3">
        <f>Database!KW5</f>
        <v>0</v>
      </c>
      <c r="KE3">
        <f>Database!KX5</f>
        <v>0</v>
      </c>
      <c r="KF3">
        <f>Database!KY5</f>
        <v>0</v>
      </c>
      <c r="KG3">
        <f>Database!KZ5</f>
        <v>0</v>
      </c>
      <c r="KH3">
        <f>Database!LA5</f>
        <v>0</v>
      </c>
      <c r="KI3">
        <f>Database!LB5</f>
        <v>0</v>
      </c>
      <c r="KJ3">
        <f>Database!LC5</f>
        <v>0</v>
      </c>
      <c r="KK3">
        <f>Database!LD5</f>
        <v>0</v>
      </c>
      <c r="KL3">
        <f>Database!LE5</f>
        <v>0</v>
      </c>
      <c r="KM3">
        <f>Database!LF5</f>
        <v>0</v>
      </c>
      <c r="KN3">
        <f>Database!LG5</f>
        <v>0</v>
      </c>
      <c r="KO3">
        <f>Database!LH5</f>
        <v>0</v>
      </c>
      <c r="KP3">
        <f>Database!LI5</f>
        <v>0</v>
      </c>
      <c r="KQ3">
        <f>Database!LJ5</f>
        <v>0</v>
      </c>
      <c r="KR3">
        <f>Database!LK5</f>
        <v>0</v>
      </c>
      <c r="KS3">
        <f>Database!LL5</f>
        <v>0</v>
      </c>
      <c r="KT3">
        <f>Database!LM5</f>
        <v>0</v>
      </c>
      <c r="KU3">
        <f>Database!LN5</f>
        <v>0</v>
      </c>
      <c r="KV3">
        <f>Database!LO5</f>
        <v>0</v>
      </c>
      <c r="KW3">
        <f>Database!LP5</f>
        <v>0</v>
      </c>
      <c r="KX3">
        <f>Database!LQ5</f>
        <v>0</v>
      </c>
      <c r="KY3">
        <f>Database!LR5</f>
        <v>0</v>
      </c>
      <c r="KZ3">
        <f>Database!LS5</f>
        <v>0</v>
      </c>
      <c r="LA3">
        <f>Database!LT5</f>
        <v>0</v>
      </c>
      <c r="LB3">
        <f>Database!LU5</f>
        <v>0</v>
      </c>
      <c r="LC3">
        <f>Database!LV5</f>
        <v>0</v>
      </c>
      <c r="LD3">
        <f>Database!LW5</f>
        <v>0</v>
      </c>
      <c r="LE3">
        <f>Database!LX5</f>
        <v>0</v>
      </c>
      <c r="LF3">
        <f>Database!LY5</f>
        <v>0</v>
      </c>
      <c r="LG3">
        <f>Database!LZ5</f>
        <v>0</v>
      </c>
      <c r="LH3">
        <f>Database!MA5</f>
        <v>0</v>
      </c>
      <c r="LI3">
        <f>Database!MB5</f>
        <v>0</v>
      </c>
      <c r="LJ3">
        <f>Database!MC5</f>
        <v>0</v>
      </c>
      <c r="LK3">
        <f>Database!MD5</f>
        <v>0</v>
      </c>
      <c r="LL3">
        <f>Database!ME5</f>
        <v>0</v>
      </c>
      <c r="LM3">
        <f>Database!MF5</f>
        <v>0</v>
      </c>
      <c r="LN3">
        <f>Database!MG5</f>
        <v>0</v>
      </c>
      <c r="LO3">
        <f>Database!MH5</f>
        <v>0</v>
      </c>
      <c r="LP3">
        <f>Database!MI5</f>
        <v>0</v>
      </c>
      <c r="LQ3">
        <f>Database!MJ5</f>
        <v>0</v>
      </c>
      <c r="LR3">
        <f>Database!MK5</f>
        <v>0</v>
      </c>
      <c r="LS3">
        <f>Database!ML5</f>
        <v>0</v>
      </c>
      <c r="LT3">
        <f>Database!MM5</f>
        <v>0</v>
      </c>
      <c r="LU3">
        <f>Database!MN5</f>
        <v>0</v>
      </c>
      <c r="LV3">
        <f>Database!MO5</f>
        <v>0</v>
      </c>
      <c r="LW3">
        <f>Database!MP5</f>
        <v>0</v>
      </c>
      <c r="LX3">
        <f>Database!MQ5</f>
        <v>0</v>
      </c>
      <c r="LY3">
        <f>Database!MR5</f>
        <v>0</v>
      </c>
      <c r="LZ3">
        <f>Database!MS5</f>
        <v>0</v>
      </c>
      <c r="MA3">
        <f>Database!MT5</f>
        <v>0</v>
      </c>
      <c r="MB3">
        <f>Database!MU5</f>
        <v>0</v>
      </c>
      <c r="MC3">
        <f>Database!MV5</f>
        <v>0</v>
      </c>
      <c r="MD3">
        <f>Database!MW5</f>
        <v>0</v>
      </c>
      <c r="ME3">
        <f>Database!MX5</f>
        <v>0</v>
      </c>
      <c r="MF3">
        <f>Database!MY5</f>
        <v>0</v>
      </c>
      <c r="MG3">
        <f>Database!MZ5</f>
        <v>0</v>
      </c>
      <c r="MH3">
        <f>Database!NA5</f>
        <v>0</v>
      </c>
      <c r="MI3">
        <f>Database!NB5</f>
        <v>0</v>
      </c>
      <c r="MJ3">
        <f>Database!NC5</f>
        <v>0</v>
      </c>
      <c r="MK3">
        <f>Database!ND5</f>
        <v>0</v>
      </c>
      <c r="ML3">
        <f>Database!NE5</f>
        <v>0</v>
      </c>
      <c r="MM3">
        <f>Database!NF5</f>
        <v>0</v>
      </c>
      <c r="MN3">
        <f>Database!NG5</f>
        <v>0</v>
      </c>
      <c r="MO3">
        <f>Database!NH5</f>
        <v>0</v>
      </c>
      <c r="MP3">
        <f>Database!NI5</f>
        <v>0</v>
      </c>
      <c r="MQ3">
        <f>Database!NJ5</f>
        <v>0</v>
      </c>
      <c r="MR3">
        <f>Database!NK5</f>
        <v>0</v>
      </c>
      <c r="MS3">
        <f>Database!NL5</f>
        <v>0</v>
      </c>
      <c r="MT3">
        <f>Database!NM5</f>
        <v>0</v>
      </c>
      <c r="MU3">
        <f>Database!NN5</f>
        <v>0</v>
      </c>
      <c r="MV3">
        <f>Database!NO5</f>
        <v>0</v>
      </c>
      <c r="MW3">
        <f>Database!NP5</f>
        <v>0</v>
      </c>
      <c r="MX3">
        <f>Database!NQ5</f>
        <v>0</v>
      </c>
      <c r="MY3">
        <f>Database!NR5</f>
        <v>0</v>
      </c>
      <c r="MZ3">
        <f>Database!NS5</f>
        <v>0</v>
      </c>
      <c r="NA3">
        <f>Database!NT5</f>
        <v>0</v>
      </c>
      <c r="NB3">
        <f>Database!NU5</f>
        <v>0</v>
      </c>
      <c r="NC3">
        <f>Database!NV5</f>
        <v>0</v>
      </c>
      <c r="ND3">
        <f>Database!NW5</f>
        <v>0</v>
      </c>
      <c r="NE3">
        <f>Database!NX5</f>
        <v>0</v>
      </c>
      <c r="NF3">
        <f>Database!NY5</f>
        <v>0</v>
      </c>
      <c r="NG3">
        <f>Database!NZ5</f>
        <v>0</v>
      </c>
      <c r="NH3">
        <f>Database!OA5</f>
        <v>0</v>
      </c>
      <c r="NI3">
        <f>Database!OB5</f>
        <v>0</v>
      </c>
      <c r="NJ3">
        <f>Database!OC5</f>
        <v>0</v>
      </c>
      <c r="NK3">
        <f>Database!OD5</f>
        <v>0</v>
      </c>
      <c r="NL3">
        <f>Database!OE5</f>
        <v>0</v>
      </c>
      <c r="NM3">
        <f>Database!OF5</f>
        <v>0</v>
      </c>
      <c r="NN3">
        <f>Database!OG5</f>
        <v>0</v>
      </c>
      <c r="NO3">
        <f>Database!OH5</f>
        <v>0</v>
      </c>
      <c r="NP3">
        <f>Database!OI5</f>
        <v>0</v>
      </c>
      <c r="NQ3">
        <f>Database!OJ5</f>
        <v>0</v>
      </c>
      <c r="NR3">
        <f>Database!OK5</f>
        <v>0</v>
      </c>
      <c r="NS3">
        <f>Database!OL5</f>
        <v>0</v>
      </c>
      <c r="NT3">
        <f>Database!OM5</f>
        <v>0</v>
      </c>
      <c r="NU3">
        <f>Database!ON5</f>
        <v>0</v>
      </c>
      <c r="NV3">
        <f>Database!OO5</f>
        <v>0</v>
      </c>
      <c r="NW3">
        <f>Database!OP5</f>
        <v>0</v>
      </c>
      <c r="NX3">
        <f>Database!OQ5</f>
        <v>0</v>
      </c>
      <c r="NY3">
        <f>Database!OR5</f>
        <v>0</v>
      </c>
      <c r="NZ3">
        <f>Database!OS5</f>
        <v>0</v>
      </c>
      <c r="OA3">
        <f>Database!OT5</f>
        <v>0</v>
      </c>
      <c r="OB3">
        <f>Database!OU5</f>
        <v>0</v>
      </c>
      <c r="OC3">
        <f>Database!OV5</f>
        <v>0</v>
      </c>
      <c r="OD3">
        <f>Database!OW5</f>
        <v>0</v>
      </c>
      <c r="OE3">
        <f>Database!OX5</f>
        <v>0</v>
      </c>
      <c r="OF3">
        <f>Database!OY5</f>
        <v>0</v>
      </c>
      <c r="OG3">
        <f>Database!OZ5</f>
        <v>0</v>
      </c>
      <c r="OH3">
        <f>Database!PA5</f>
        <v>0</v>
      </c>
      <c r="OI3">
        <f>Database!PB5</f>
        <v>0</v>
      </c>
      <c r="OJ3">
        <f>Database!PC5</f>
        <v>0</v>
      </c>
      <c r="OK3">
        <f>Database!PD5</f>
        <v>0</v>
      </c>
      <c r="OL3">
        <f>Database!PE5</f>
        <v>0</v>
      </c>
      <c r="OM3">
        <f>Database!PF5</f>
        <v>0</v>
      </c>
      <c r="ON3">
        <f>Database!PG5</f>
        <v>0</v>
      </c>
      <c r="OO3">
        <f>Database!PH5</f>
        <v>0</v>
      </c>
      <c r="OP3">
        <f>Database!PI5</f>
        <v>0</v>
      </c>
      <c r="OQ3">
        <f>Database!PJ5</f>
        <v>0</v>
      </c>
      <c r="OR3">
        <f>Database!PK5</f>
        <v>0</v>
      </c>
      <c r="OS3">
        <f>Database!PL5</f>
        <v>0</v>
      </c>
      <c r="OT3">
        <f>Database!PM5</f>
        <v>0</v>
      </c>
      <c r="OU3">
        <f>Database!PN5</f>
        <v>0</v>
      </c>
      <c r="OV3">
        <f>Database!PO5</f>
        <v>0</v>
      </c>
      <c r="OW3">
        <f>Database!PP5</f>
        <v>0</v>
      </c>
      <c r="OX3">
        <f>Database!PQ5</f>
        <v>0</v>
      </c>
      <c r="OY3">
        <f>Database!PR5</f>
        <v>0</v>
      </c>
      <c r="OZ3">
        <f>Database!PS5</f>
        <v>0</v>
      </c>
      <c r="PA3">
        <f>Database!PT5</f>
        <v>0</v>
      </c>
      <c r="PB3">
        <f>Database!PU5</f>
        <v>0</v>
      </c>
      <c r="PC3">
        <f>Database!PV5</f>
        <v>0</v>
      </c>
      <c r="PD3">
        <f>Database!PW5</f>
        <v>0</v>
      </c>
      <c r="PE3">
        <f>Database!PX5</f>
        <v>0</v>
      </c>
      <c r="PF3">
        <f>Database!PY5</f>
        <v>0</v>
      </c>
      <c r="PG3">
        <f>Database!PZ5</f>
        <v>0</v>
      </c>
      <c r="PH3">
        <f>Database!QA5</f>
        <v>0</v>
      </c>
      <c r="PI3">
        <f>Database!QB5</f>
        <v>0</v>
      </c>
      <c r="PJ3">
        <f>Database!QC5</f>
        <v>0</v>
      </c>
      <c r="PK3">
        <f>Database!QD5</f>
        <v>0</v>
      </c>
      <c r="PL3">
        <f>Database!QE5</f>
        <v>0</v>
      </c>
      <c r="PM3">
        <f>Database!QF5</f>
        <v>0</v>
      </c>
      <c r="PN3">
        <f>Database!QG5</f>
        <v>0</v>
      </c>
      <c r="PO3">
        <f>Database!QH5</f>
        <v>0</v>
      </c>
      <c r="PP3">
        <f>Database!QI5</f>
        <v>0</v>
      </c>
      <c r="PQ3">
        <f>Database!QJ5</f>
        <v>0</v>
      </c>
      <c r="PR3">
        <f>Database!QK5</f>
        <v>0</v>
      </c>
      <c r="PS3">
        <f>Database!QL5</f>
        <v>0</v>
      </c>
      <c r="PT3">
        <f>Database!QM5</f>
        <v>0</v>
      </c>
      <c r="PU3">
        <f>Database!QN5</f>
        <v>0</v>
      </c>
      <c r="PV3">
        <f>Database!QO5</f>
        <v>0</v>
      </c>
      <c r="PW3">
        <f>Database!QP5</f>
        <v>0</v>
      </c>
      <c r="PX3">
        <f>Database!QQ5</f>
        <v>0</v>
      </c>
      <c r="PY3">
        <f>Database!QR5</f>
        <v>0</v>
      </c>
      <c r="PZ3">
        <f>Database!QS5</f>
        <v>0</v>
      </c>
      <c r="QA3">
        <f>Database!QT5</f>
        <v>0</v>
      </c>
      <c r="QB3">
        <f>Database!QU5</f>
        <v>0</v>
      </c>
      <c r="QC3">
        <f>Database!QV5</f>
        <v>0</v>
      </c>
      <c r="QD3">
        <f>Database!QW5</f>
        <v>0</v>
      </c>
      <c r="QE3">
        <f>Database!QX5</f>
        <v>0</v>
      </c>
      <c r="QF3">
        <f>Database!QY5</f>
        <v>0</v>
      </c>
      <c r="QG3">
        <f>Database!QZ5</f>
        <v>0</v>
      </c>
      <c r="QH3">
        <f>Database!RA5</f>
        <v>0</v>
      </c>
      <c r="QI3">
        <f>Database!RB5</f>
        <v>0</v>
      </c>
      <c r="QJ3">
        <f>Database!RC5</f>
        <v>0</v>
      </c>
      <c r="QK3">
        <f>Database!RD5</f>
        <v>0</v>
      </c>
      <c r="QL3">
        <f>Database!RE5</f>
        <v>0</v>
      </c>
      <c r="QM3">
        <f>Database!RF5</f>
        <v>0</v>
      </c>
      <c r="QN3">
        <f>Database!RG5</f>
        <v>0</v>
      </c>
      <c r="QO3">
        <f>Database!RH5</f>
        <v>0</v>
      </c>
      <c r="QP3">
        <f>Database!RI5</f>
        <v>0</v>
      </c>
      <c r="QQ3">
        <f>Database!RJ5</f>
        <v>0</v>
      </c>
      <c r="QR3">
        <f>Database!RK5</f>
        <v>0</v>
      </c>
      <c r="QS3">
        <f>Database!RL5</f>
        <v>0</v>
      </c>
      <c r="QT3">
        <f>Database!RM5</f>
        <v>0</v>
      </c>
      <c r="QU3">
        <f>Database!RN5</f>
        <v>0</v>
      </c>
      <c r="QV3">
        <f>Database!RO5</f>
        <v>0</v>
      </c>
      <c r="QW3">
        <f>Database!RP5</f>
        <v>0</v>
      </c>
      <c r="QX3">
        <f>Database!RQ5</f>
        <v>0</v>
      </c>
      <c r="QY3">
        <f>Database!RR5</f>
        <v>0</v>
      </c>
      <c r="QZ3">
        <f>Database!RS5</f>
        <v>0</v>
      </c>
      <c r="RA3">
        <f>Database!RT5</f>
        <v>0</v>
      </c>
      <c r="RB3">
        <f>Database!RU5</f>
        <v>0</v>
      </c>
      <c r="RC3">
        <f>Database!RV5</f>
        <v>0</v>
      </c>
      <c r="RD3">
        <f>Database!RW5</f>
        <v>0</v>
      </c>
      <c r="RE3">
        <f>Database!RX5</f>
        <v>0</v>
      </c>
      <c r="RF3">
        <f>Database!RY5</f>
        <v>0</v>
      </c>
      <c r="RG3">
        <f>Database!RZ5</f>
        <v>0</v>
      </c>
      <c r="RH3">
        <f>Database!SA5</f>
        <v>0</v>
      </c>
      <c r="RI3">
        <f>Database!SB5</f>
        <v>0</v>
      </c>
      <c r="RJ3">
        <f>Database!SC5</f>
        <v>0</v>
      </c>
      <c r="RK3">
        <f>Database!SD5</f>
        <v>0</v>
      </c>
      <c r="RL3">
        <f>Database!SE5</f>
        <v>0</v>
      </c>
      <c r="RM3">
        <f>Database!SF5</f>
        <v>0</v>
      </c>
      <c r="RN3">
        <f>Database!SG5</f>
        <v>0</v>
      </c>
      <c r="RO3">
        <f>Database!SH5</f>
        <v>0</v>
      </c>
      <c r="RP3">
        <f>Database!SI5</f>
        <v>0</v>
      </c>
      <c r="RQ3">
        <f>Database!SJ5</f>
        <v>0</v>
      </c>
      <c r="RR3">
        <f>Database!SK5</f>
        <v>0</v>
      </c>
      <c r="RS3">
        <f>Database!SL5</f>
        <v>0</v>
      </c>
      <c r="RT3">
        <f>Database!SM5</f>
        <v>0</v>
      </c>
      <c r="RU3">
        <f>Database!SN5</f>
        <v>0</v>
      </c>
      <c r="RV3">
        <f>Database!SO5</f>
        <v>0</v>
      </c>
      <c r="RW3">
        <f>Database!SP5</f>
        <v>0</v>
      </c>
      <c r="RX3">
        <f>Database!SQ5</f>
        <v>0</v>
      </c>
      <c r="RY3">
        <f>Database!SR5</f>
        <v>0</v>
      </c>
      <c r="RZ3">
        <f>Database!SS5</f>
        <v>0</v>
      </c>
      <c r="SA3">
        <f>Database!ST5</f>
        <v>0</v>
      </c>
      <c r="SB3">
        <f>Database!SU5</f>
        <v>0</v>
      </c>
      <c r="SC3">
        <f>Database!SV5</f>
        <v>0</v>
      </c>
      <c r="SD3">
        <f>Database!SW5</f>
        <v>0</v>
      </c>
      <c r="SE3">
        <f>Database!SX5</f>
        <v>0</v>
      </c>
      <c r="SF3">
        <f>Database!SY5</f>
        <v>0</v>
      </c>
      <c r="SG3">
        <f>Database!SZ5</f>
        <v>0</v>
      </c>
      <c r="SH3">
        <f>Database!TA5</f>
        <v>0</v>
      </c>
      <c r="SI3">
        <f>Database!TB5</f>
        <v>0</v>
      </c>
      <c r="SJ3">
        <f>Database!TC5</f>
        <v>0</v>
      </c>
      <c r="SK3">
        <f>Database!TD5</f>
        <v>0</v>
      </c>
      <c r="SL3">
        <f>Database!TE5</f>
        <v>0</v>
      </c>
      <c r="SM3">
        <f>Database!TF5</f>
        <v>0</v>
      </c>
      <c r="SN3">
        <f>Database!TG5</f>
        <v>0</v>
      </c>
      <c r="SO3">
        <f>Database!TH5</f>
        <v>0</v>
      </c>
      <c r="SP3">
        <f>Database!TI5</f>
        <v>0</v>
      </c>
      <c r="SQ3">
        <f>Database!TJ5</f>
        <v>0</v>
      </c>
      <c r="SR3">
        <f>Database!TK5</f>
        <v>0</v>
      </c>
      <c r="SS3">
        <f>Database!TL5</f>
        <v>0</v>
      </c>
      <c r="ST3">
        <f>Database!TM5</f>
        <v>0</v>
      </c>
      <c r="SU3">
        <f>Database!TN5</f>
        <v>0</v>
      </c>
      <c r="SV3">
        <f>Database!TO5</f>
        <v>0</v>
      </c>
      <c r="SW3">
        <f>Database!TP5</f>
        <v>0</v>
      </c>
      <c r="SX3">
        <f>Database!TQ5</f>
        <v>0</v>
      </c>
      <c r="SY3">
        <f>Database!TR5</f>
        <v>0</v>
      </c>
      <c r="SZ3">
        <f>Database!TS5</f>
        <v>0</v>
      </c>
      <c r="TA3">
        <f>Database!TT5</f>
        <v>0</v>
      </c>
      <c r="TB3">
        <f>Database!TU5</f>
        <v>0</v>
      </c>
      <c r="TC3">
        <f>Database!TV5</f>
        <v>0</v>
      </c>
      <c r="TD3">
        <f>Database!TW5</f>
        <v>0</v>
      </c>
      <c r="TE3">
        <f>Database!TX5</f>
        <v>0</v>
      </c>
      <c r="TF3">
        <f>Database!TY5</f>
        <v>0</v>
      </c>
      <c r="TG3">
        <f>Database!TZ5</f>
        <v>0</v>
      </c>
      <c r="TH3">
        <f>Database!UA5</f>
        <v>0</v>
      </c>
      <c r="TI3">
        <f>Database!UB5</f>
        <v>0</v>
      </c>
      <c r="TJ3">
        <f>Database!UC5</f>
        <v>0</v>
      </c>
      <c r="TK3">
        <f>Database!UD5</f>
        <v>0</v>
      </c>
      <c r="TL3">
        <f>Database!UE5</f>
        <v>0</v>
      </c>
      <c r="TM3">
        <f>Database!UF5</f>
        <v>0</v>
      </c>
      <c r="TN3">
        <f>Database!UG5</f>
        <v>0</v>
      </c>
      <c r="TO3">
        <f>Database!UH5</f>
        <v>0</v>
      </c>
      <c r="TP3">
        <f>Database!UI5</f>
        <v>0</v>
      </c>
      <c r="TQ3">
        <f>Database!UJ5</f>
        <v>0</v>
      </c>
      <c r="TR3">
        <f>Database!UK5</f>
        <v>0</v>
      </c>
      <c r="TS3">
        <f>Database!UL5</f>
        <v>0</v>
      </c>
      <c r="TT3">
        <f>Database!UM5</f>
        <v>0</v>
      </c>
      <c r="TU3">
        <f>Database!UN5</f>
        <v>0</v>
      </c>
      <c r="TV3">
        <f>Database!UO5</f>
        <v>0</v>
      </c>
      <c r="TW3">
        <f>Database!UP5</f>
        <v>0</v>
      </c>
      <c r="TX3">
        <f>Database!UQ5</f>
        <v>0</v>
      </c>
      <c r="TY3">
        <f>Database!UR5</f>
        <v>0</v>
      </c>
      <c r="TZ3">
        <f>Database!US5</f>
        <v>0</v>
      </c>
      <c r="UA3">
        <f>Database!UT5</f>
        <v>0</v>
      </c>
      <c r="UB3">
        <f>Database!UU5</f>
        <v>0</v>
      </c>
      <c r="UC3">
        <f>Database!UV5</f>
        <v>0</v>
      </c>
      <c r="UD3">
        <f>Database!UW5</f>
        <v>0</v>
      </c>
      <c r="UE3">
        <f>Database!UX5</f>
        <v>0</v>
      </c>
      <c r="UF3">
        <f>Database!UY5</f>
        <v>0</v>
      </c>
      <c r="UG3">
        <f>Database!UZ5</f>
        <v>0</v>
      </c>
      <c r="UH3">
        <f>Database!VA5</f>
        <v>0</v>
      </c>
      <c r="UI3">
        <f>Database!VB5</f>
        <v>0</v>
      </c>
      <c r="UJ3">
        <f>Database!VC5</f>
        <v>0</v>
      </c>
      <c r="UK3">
        <f>Database!VD5</f>
        <v>0</v>
      </c>
      <c r="UL3">
        <f>Database!VE5</f>
        <v>0</v>
      </c>
      <c r="UM3">
        <f>Database!VF5</f>
        <v>0</v>
      </c>
      <c r="UN3">
        <f>Database!VG5</f>
        <v>0</v>
      </c>
      <c r="UO3">
        <f>Database!VH5</f>
        <v>0</v>
      </c>
      <c r="UP3">
        <f>Database!VI5</f>
        <v>0</v>
      </c>
      <c r="UQ3">
        <f>Database!VJ5</f>
        <v>0</v>
      </c>
      <c r="UR3">
        <f>Database!VK5</f>
        <v>0</v>
      </c>
      <c r="US3">
        <f>Database!VL5</f>
        <v>0</v>
      </c>
      <c r="UT3">
        <f>Database!VM5</f>
        <v>0</v>
      </c>
      <c r="UU3">
        <f>Database!VN5</f>
        <v>0</v>
      </c>
      <c r="UV3">
        <f>Database!VO5</f>
        <v>0</v>
      </c>
      <c r="UW3">
        <f>Database!VP5</f>
        <v>0</v>
      </c>
      <c r="UX3">
        <f>Database!VQ5</f>
        <v>0</v>
      </c>
      <c r="UY3">
        <f>Database!VR5</f>
        <v>0</v>
      </c>
      <c r="UZ3">
        <f>Database!VS5</f>
        <v>0</v>
      </c>
      <c r="VA3">
        <f>Database!VT5</f>
        <v>0</v>
      </c>
      <c r="VB3">
        <f>Database!VU5</f>
        <v>0</v>
      </c>
      <c r="VC3">
        <f>Database!VV5</f>
        <v>0</v>
      </c>
      <c r="VD3">
        <f>Database!VW5</f>
        <v>0</v>
      </c>
      <c r="VE3">
        <f>Database!VX5</f>
        <v>0</v>
      </c>
      <c r="VF3">
        <f>Database!VY5</f>
        <v>0</v>
      </c>
      <c r="VG3">
        <f>Database!VZ5</f>
        <v>0</v>
      </c>
      <c r="VH3">
        <f>Database!WA5</f>
        <v>0</v>
      </c>
      <c r="VI3">
        <f>Database!WB5</f>
        <v>0</v>
      </c>
      <c r="VJ3">
        <f>Database!WC5</f>
        <v>0</v>
      </c>
      <c r="VK3">
        <f>Database!WD5</f>
        <v>0</v>
      </c>
      <c r="VL3">
        <f>Database!WE5</f>
        <v>0</v>
      </c>
      <c r="VM3">
        <f>Database!WF5</f>
        <v>0</v>
      </c>
      <c r="VN3">
        <f>Database!WG5</f>
        <v>0</v>
      </c>
      <c r="VO3">
        <f>Database!WH5</f>
        <v>0</v>
      </c>
      <c r="VP3">
        <f>Database!WI5</f>
        <v>0</v>
      </c>
      <c r="VQ3">
        <f>Database!WJ5</f>
        <v>0</v>
      </c>
      <c r="VR3">
        <f>Database!WK5</f>
        <v>0</v>
      </c>
      <c r="VS3">
        <f>Database!WL5</f>
        <v>0</v>
      </c>
      <c r="VT3">
        <f>Database!WM5</f>
        <v>0</v>
      </c>
      <c r="VU3">
        <f>Database!WN5</f>
        <v>0</v>
      </c>
      <c r="VV3">
        <f>Database!WO5</f>
        <v>0</v>
      </c>
      <c r="VW3">
        <f>Database!WP5</f>
        <v>0</v>
      </c>
      <c r="VX3">
        <f>Database!WQ5</f>
        <v>0</v>
      </c>
      <c r="VY3">
        <f>Database!WR5</f>
        <v>0</v>
      </c>
      <c r="VZ3">
        <f>Database!WS5</f>
        <v>0</v>
      </c>
      <c r="WA3">
        <f>Database!WT5</f>
        <v>0</v>
      </c>
      <c r="WB3">
        <f>Database!WU5</f>
        <v>0</v>
      </c>
      <c r="WC3">
        <f>Database!WV5</f>
        <v>0</v>
      </c>
      <c r="WD3">
        <f>Database!WW5</f>
        <v>0</v>
      </c>
      <c r="WE3">
        <f>Database!WX5</f>
        <v>0</v>
      </c>
      <c r="WF3">
        <f>Database!WY5</f>
        <v>0</v>
      </c>
      <c r="WG3">
        <f>Database!WZ5</f>
        <v>0</v>
      </c>
      <c r="WH3">
        <f>Database!XA5</f>
        <v>0</v>
      </c>
      <c r="WI3">
        <f>Database!XB5</f>
        <v>0</v>
      </c>
      <c r="WJ3">
        <f>Database!XC5</f>
        <v>0</v>
      </c>
      <c r="WK3">
        <f>Database!XD5</f>
        <v>0</v>
      </c>
      <c r="WL3">
        <f>Database!XE5</f>
        <v>0</v>
      </c>
      <c r="WM3">
        <f>Database!XF5</f>
        <v>0</v>
      </c>
      <c r="WN3">
        <f>Database!XG5</f>
        <v>0</v>
      </c>
      <c r="WO3">
        <f>Database!XH5</f>
        <v>0</v>
      </c>
      <c r="WP3">
        <f>Database!XI5</f>
        <v>0</v>
      </c>
      <c r="WQ3">
        <f>Database!XJ5</f>
        <v>0</v>
      </c>
      <c r="WR3">
        <f>Database!XK5</f>
        <v>0</v>
      </c>
      <c r="WS3">
        <f>Database!XL5</f>
        <v>0</v>
      </c>
      <c r="WT3">
        <f>Database!XM5</f>
        <v>0</v>
      </c>
      <c r="WU3">
        <f>Database!XN5</f>
        <v>0</v>
      </c>
      <c r="WV3">
        <f>Database!XO5</f>
        <v>0</v>
      </c>
      <c r="WW3">
        <f>Database!XP5</f>
        <v>0</v>
      </c>
      <c r="WX3">
        <f>Database!XQ5</f>
        <v>0</v>
      </c>
      <c r="WY3">
        <f>Database!XR5</f>
        <v>0</v>
      </c>
      <c r="WZ3">
        <f>Database!XS5</f>
        <v>0</v>
      </c>
      <c r="XA3">
        <f>Database!XT5</f>
        <v>0</v>
      </c>
      <c r="XB3">
        <f>Database!XU5</f>
        <v>0</v>
      </c>
      <c r="XC3">
        <f>Database!XV5</f>
        <v>0</v>
      </c>
      <c r="XD3">
        <f>Database!XW5</f>
        <v>0</v>
      </c>
      <c r="XE3">
        <f>Database!XX5</f>
        <v>0</v>
      </c>
      <c r="XF3">
        <f>Database!XY5</f>
        <v>0</v>
      </c>
      <c r="XG3">
        <f>Database!XZ5</f>
        <v>0</v>
      </c>
      <c r="XH3">
        <f>Database!YA5</f>
        <v>0</v>
      </c>
      <c r="XI3">
        <f>Database!YB5</f>
        <v>0</v>
      </c>
      <c r="XJ3">
        <f>Database!YC5</f>
        <v>0</v>
      </c>
      <c r="XK3">
        <f>Database!YD5</f>
        <v>0</v>
      </c>
      <c r="XL3">
        <f>Database!YE5</f>
        <v>0</v>
      </c>
      <c r="XM3">
        <f>Database!YF5</f>
        <v>0</v>
      </c>
      <c r="XN3">
        <f>Database!YG5</f>
        <v>0</v>
      </c>
      <c r="XO3">
        <f>Database!YH5</f>
        <v>0</v>
      </c>
      <c r="XP3">
        <f>Database!YI5</f>
        <v>0</v>
      </c>
      <c r="XQ3">
        <f>Database!YJ5</f>
        <v>0</v>
      </c>
      <c r="XR3">
        <f>Database!YK5</f>
        <v>0</v>
      </c>
      <c r="XS3">
        <f>Database!YL5</f>
        <v>0</v>
      </c>
      <c r="XT3">
        <f>Database!YM5</f>
        <v>0</v>
      </c>
      <c r="XU3">
        <f>Database!YN5</f>
        <v>0</v>
      </c>
      <c r="XV3">
        <f>Database!YO5</f>
        <v>0</v>
      </c>
      <c r="XW3">
        <f>Database!YP5</f>
        <v>0</v>
      </c>
      <c r="XX3">
        <f>Database!YQ5</f>
        <v>0</v>
      </c>
      <c r="XY3">
        <f>Database!YR5</f>
        <v>0</v>
      </c>
      <c r="XZ3">
        <f>Database!YS5</f>
        <v>0</v>
      </c>
      <c r="YA3">
        <f>Database!YT5</f>
        <v>0</v>
      </c>
      <c r="YB3">
        <f>Database!YU5</f>
        <v>0</v>
      </c>
      <c r="YC3">
        <f>Database!YV5</f>
        <v>0</v>
      </c>
      <c r="YD3">
        <f>Database!YW5</f>
        <v>0</v>
      </c>
      <c r="YE3">
        <f>Database!YX5</f>
        <v>0</v>
      </c>
      <c r="YF3">
        <f>Database!YY5</f>
        <v>0</v>
      </c>
      <c r="YG3">
        <f>Database!YZ5</f>
        <v>0</v>
      </c>
      <c r="YH3">
        <f>Database!ZA5</f>
        <v>0</v>
      </c>
      <c r="YI3">
        <f>Database!ZB5</f>
        <v>0</v>
      </c>
      <c r="YJ3">
        <f>Database!ZC5</f>
        <v>0</v>
      </c>
      <c r="YK3">
        <f>Database!ZD5</f>
        <v>0</v>
      </c>
      <c r="YL3">
        <f>Database!ZE5</f>
        <v>0</v>
      </c>
      <c r="YM3">
        <f>Database!ZF5</f>
        <v>0</v>
      </c>
      <c r="YN3">
        <f>Database!ZG5</f>
        <v>0</v>
      </c>
      <c r="YO3">
        <f>Database!ZH5</f>
        <v>0</v>
      </c>
      <c r="YP3">
        <f>Database!ZI5</f>
        <v>0</v>
      </c>
      <c r="YQ3">
        <f>Database!ZJ5</f>
        <v>0</v>
      </c>
      <c r="YR3">
        <f>Database!ZK5</f>
        <v>0</v>
      </c>
      <c r="YS3">
        <f>Database!ZL5</f>
        <v>0</v>
      </c>
      <c r="YT3">
        <f>Database!ZM5</f>
        <v>0</v>
      </c>
      <c r="YU3">
        <f>Database!ZN5</f>
        <v>0</v>
      </c>
      <c r="YV3">
        <f>Database!ZO5</f>
        <v>0</v>
      </c>
      <c r="YW3">
        <f>Database!ZP5</f>
        <v>0</v>
      </c>
      <c r="YX3">
        <f>Database!ZQ5</f>
        <v>0</v>
      </c>
      <c r="YY3">
        <f>Database!ZR5</f>
        <v>0</v>
      </c>
      <c r="YZ3">
        <f>Database!ZS5</f>
        <v>0</v>
      </c>
      <c r="ZA3">
        <f>Database!ZT5</f>
        <v>0</v>
      </c>
      <c r="ZB3">
        <f>Database!ZU5</f>
        <v>0</v>
      </c>
      <c r="ZC3">
        <f>Database!ZV5</f>
        <v>0</v>
      </c>
      <c r="ZD3">
        <f>Database!ZW5</f>
        <v>0</v>
      </c>
      <c r="ZE3">
        <f>Database!ZX5</f>
        <v>0</v>
      </c>
      <c r="ZF3">
        <f>Database!ZY5</f>
        <v>0</v>
      </c>
      <c r="ZG3">
        <f>Database!ZZ5</f>
        <v>0</v>
      </c>
      <c r="ZH3">
        <f>Database!AAA5</f>
        <v>0</v>
      </c>
      <c r="ZI3">
        <f>Database!AAB5</f>
        <v>0</v>
      </c>
      <c r="ZJ3">
        <f>Database!AAC5</f>
        <v>0</v>
      </c>
      <c r="ZK3">
        <f>Database!AAD5</f>
        <v>0</v>
      </c>
      <c r="ZL3">
        <f>Database!AAE5</f>
        <v>0</v>
      </c>
      <c r="ZM3">
        <f>Database!AAF5</f>
        <v>0</v>
      </c>
      <c r="ZN3">
        <f>Database!AAG5</f>
        <v>0</v>
      </c>
      <c r="ZO3">
        <f>Database!AAH5</f>
        <v>0</v>
      </c>
      <c r="ZP3">
        <f>Database!AAI5</f>
        <v>0</v>
      </c>
      <c r="ZQ3">
        <f>Database!AAJ5</f>
        <v>0</v>
      </c>
      <c r="ZR3">
        <f>Database!AAK5</f>
        <v>0</v>
      </c>
      <c r="ZS3">
        <f>Database!AAL5</f>
        <v>0</v>
      </c>
      <c r="ZT3">
        <f>Database!AAM5</f>
        <v>0</v>
      </c>
      <c r="ZU3">
        <f>Database!AAN5</f>
        <v>0</v>
      </c>
      <c r="ZV3">
        <f>Database!AAO5</f>
        <v>0</v>
      </c>
      <c r="ZW3">
        <f>Database!AAP5</f>
        <v>0</v>
      </c>
      <c r="ZX3">
        <f>Database!AAQ5</f>
        <v>0</v>
      </c>
      <c r="ZY3">
        <f>Database!AAR5</f>
        <v>0</v>
      </c>
      <c r="ZZ3">
        <f>Database!AAS5</f>
        <v>0</v>
      </c>
      <c r="AAA3">
        <f>Database!AAT5</f>
        <v>0</v>
      </c>
      <c r="AAB3">
        <f>Database!AAU5</f>
        <v>0</v>
      </c>
      <c r="AAC3">
        <f>Database!AAV5</f>
        <v>0</v>
      </c>
      <c r="AAD3">
        <f>Database!AAW5</f>
        <v>0</v>
      </c>
      <c r="AAE3">
        <f>Database!AAX5</f>
        <v>0</v>
      </c>
      <c r="AAF3">
        <f>Database!AAY5</f>
        <v>0</v>
      </c>
      <c r="AAG3">
        <f>Database!AAZ5</f>
        <v>0</v>
      </c>
      <c r="AAH3">
        <f>Database!ABA5</f>
        <v>0</v>
      </c>
      <c r="AAI3">
        <f>Database!ABB5</f>
        <v>0</v>
      </c>
      <c r="AAJ3">
        <f>Database!ABC5</f>
        <v>0</v>
      </c>
      <c r="AAK3">
        <f>Database!ABD5</f>
        <v>0</v>
      </c>
      <c r="AAL3">
        <f>Database!ABE5</f>
        <v>0</v>
      </c>
      <c r="AAM3">
        <f>Database!ABF5</f>
        <v>0</v>
      </c>
      <c r="AAN3">
        <f>Database!ABG5</f>
        <v>0</v>
      </c>
      <c r="AAO3">
        <f>Database!ABH5</f>
        <v>0</v>
      </c>
      <c r="AAP3">
        <f>Database!ABI5</f>
        <v>0</v>
      </c>
      <c r="AAQ3">
        <f>Database!ABJ5</f>
        <v>0</v>
      </c>
      <c r="AAR3">
        <f>Database!ABK5</f>
        <v>0</v>
      </c>
      <c r="AAS3">
        <f>Database!ABL5</f>
        <v>0</v>
      </c>
      <c r="AAT3">
        <f>Database!ABM5</f>
        <v>0</v>
      </c>
      <c r="AAU3">
        <f>Database!ABN5</f>
        <v>0</v>
      </c>
      <c r="AAV3">
        <f>Database!ABO5</f>
        <v>0</v>
      </c>
      <c r="AAW3">
        <f>Database!ABP5</f>
        <v>0</v>
      </c>
      <c r="AAX3">
        <f>Database!ABQ5</f>
        <v>0</v>
      </c>
      <c r="AAY3">
        <f>Database!ABR5</f>
        <v>0</v>
      </c>
      <c r="AAZ3">
        <f>Database!ABS5</f>
        <v>0</v>
      </c>
      <c r="ABA3">
        <f>Database!ABT5</f>
        <v>0</v>
      </c>
      <c r="ABB3">
        <f>Database!ABU5</f>
        <v>0</v>
      </c>
      <c r="ABC3">
        <f>Database!ABV5</f>
        <v>0</v>
      </c>
      <c r="ABD3">
        <f>Database!ABW5</f>
        <v>0</v>
      </c>
      <c r="ABE3">
        <f>Database!ABX5</f>
        <v>0</v>
      </c>
      <c r="ABF3">
        <f>Database!ABY5</f>
        <v>0</v>
      </c>
      <c r="ABG3">
        <f>Database!ABZ5</f>
        <v>0</v>
      </c>
      <c r="ABH3">
        <f>Database!ACA5</f>
        <v>0</v>
      </c>
      <c r="ABI3">
        <f>Database!ACB5</f>
        <v>0</v>
      </c>
      <c r="ABJ3">
        <f>Database!ACC5</f>
        <v>0</v>
      </c>
      <c r="ABK3">
        <f>Database!ACD5</f>
        <v>0</v>
      </c>
      <c r="ABL3">
        <f>Database!ACE5</f>
        <v>0</v>
      </c>
      <c r="ABM3">
        <f>Database!ACF5</f>
        <v>0</v>
      </c>
      <c r="ABN3">
        <f>Database!ACG5</f>
        <v>0</v>
      </c>
      <c r="ABO3">
        <f>Database!ACH5</f>
        <v>0</v>
      </c>
      <c r="ABP3">
        <f>Database!ACI5</f>
        <v>0</v>
      </c>
      <c r="ABQ3">
        <f>Database!ACJ5</f>
        <v>0</v>
      </c>
      <c r="ABR3">
        <f>Database!ACK5</f>
        <v>0</v>
      </c>
      <c r="ABS3">
        <f>Database!ACL5</f>
        <v>0</v>
      </c>
      <c r="ABT3">
        <f>Database!ACM5</f>
        <v>0</v>
      </c>
      <c r="ABU3">
        <f>Database!ACN5</f>
        <v>0</v>
      </c>
      <c r="ABV3">
        <f>Database!ACO5</f>
        <v>0</v>
      </c>
      <c r="ABW3">
        <f>Database!ACP5</f>
        <v>0</v>
      </c>
      <c r="ABX3">
        <f>Database!ACQ5</f>
        <v>0</v>
      </c>
      <c r="ABY3">
        <f>Database!ACR5</f>
        <v>0</v>
      </c>
      <c r="ABZ3">
        <f>Database!ACS5</f>
        <v>0</v>
      </c>
      <c r="ACA3">
        <f>Database!ACT5</f>
        <v>0</v>
      </c>
      <c r="ACB3">
        <f>Database!ACU5</f>
        <v>0</v>
      </c>
      <c r="ACC3">
        <f>Database!ACV5</f>
        <v>0</v>
      </c>
      <c r="ACD3">
        <f>Database!ACW5</f>
        <v>0</v>
      </c>
      <c r="ACE3">
        <f>Database!ACX5</f>
        <v>0</v>
      </c>
      <c r="ACF3">
        <f>Database!ACY5</f>
        <v>0</v>
      </c>
      <c r="ACG3">
        <f>Database!ACZ5</f>
        <v>0</v>
      </c>
      <c r="ACH3">
        <f>Database!ADA5</f>
        <v>0</v>
      </c>
      <c r="ACI3">
        <f>Database!ADB5</f>
        <v>0</v>
      </c>
      <c r="ACJ3">
        <f>Database!ADC5</f>
        <v>0</v>
      </c>
      <c r="ACK3">
        <f>Database!ADD5</f>
        <v>0</v>
      </c>
      <c r="ACL3">
        <f>Database!ADE5</f>
        <v>0</v>
      </c>
      <c r="ACM3">
        <f>Database!ADF5</f>
        <v>0</v>
      </c>
      <c r="ACN3">
        <f>Database!ADG5</f>
        <v>0</v>
      </c>
      <c r="ACO3">
        <f>Database!ADH5</f>
        <v>0</v>
      </c>
      <c r="ACP3">
        <f>Database!ADI5</f>
        <v>0</v>
      </c>
      <c r="ACQ3">
        <f>Database!ADJ5</f>
        <v>0</v>
      </c>
      <c r="ACR3">
        <f>Database!ADK5</f>
        <v>0</v>
      </c>
      <c r="ACS3">
        <f>Database!ADL5</f>
        <v>0</v>
      </c>
      <c r="ACT3">
        <f>Database!ADM5</f>
        <v>0</v>
      </c>
      <c r="ACU3">
        <f>Database!ADN5</f>
        <v>0</v>
      </c>
      <c r="ACV3">
        <f>Database!ADO5</f>
        <v>0</v>
      </c>
      <c r="ACW3">
        <f>Database!ADP5</f>
        <v>0</v>
      </c>
      <c r="ACX3">
        <f>Database!ADQ5</f>
        <v>0</v>
      </c>
      <c r="ACY3">
        <f>Database!ADR5</f>
        <v>0</v>
      </c>
      <c r="ACZ3">
        <f>Database!ADS5</f>
        <v>0</v>
      </c>
      <c r="ADA3">
        <f>Database!ADT5</f>
        <v>0</v>
      </c>
      <c r="ADB3">
        <f>Database!ADU5</f>
        <v>0</v>
      </c>
      <c r="ADC3">
        <f>Database!ADV5</f>
        <v>0</v>
      </c>
      <c r="ADD3">
        <f>Database!ADW5</f>
        <v>0</v>
      </c>
      <c r="ADE3">
        <f>Database!ADX5</f>
        <v>0</v>
      </c>
      <c r="ADF3">
        <f>Database!ADY5</f>
        <v>0</v>
      </c>
      <c r="ADG3">
        <f>Database!ADZ5</f>
        <v>0</v>
      </c>
      <c r="ADH3">
        <f>Database!AEA5</f>
        <v>0</v>
      </c>
      <c r="ADI3">
        <f>Database!AEB5</f>
        <v>0</v>
      </c>
      <c r="ADJ3">
        <f>Database!AEC5</f>
        <v>0</v>
      </c>
      <c r="ADK3">
        <f>Database!AED5</f>
        <v>0</v>
      </c>
      <c r="ADL3">
        <f>Database!AEE5</f>
        <v>0</v>
      </c>
      <c r="ADM3">
        <f>Database!AEF5</f>
        <v>0</v>
      </c>
      <c r="ADN3">
        <f>Database!AEG5</f>
        <v>0</v>
      </c>
      <c r="ADO3">
        <f>Database!AEH5</f>
        <v>0</v>
      </c>
      <c r="ADP3">
        <f>Database!AEI5</f>
        <v>0</v>
      </c>
      <c r="ADQ3">
        <f>Database!AEJ5</f>
        <v>0</v>
      </c>
      <c r="ADR3">
        <f>Database!AEK5</f>
        <v>0</v>
      </c>
      <c r="ADS3">
        <f>Database!AEL5</f>
        <v>0</v>
      </c>
      <c r="ADT3">
        <f>Database!AEM5</f>
        <v>0</v>
      </c>
      <c r="ADU3">
        <f>Database!AEN5</f>
        <v>0</v>
      </c>
      <c r="ADV3">
        <f>Database!AEO5</f>
        <v>0</v>
      </c>
      <c r="ADW3">
        <f>Database!AEP5</f>
        <v>0</v>
      </c>
      <c r="ADX3">
        <f>Database!AEQ5</f>
        <v>0</v>
      </c>
      <c r="ADY3">
        <f>Database!AER5</f>
        <v>0</v>
      </c>
      <c r="ADZ3">
        <f>Database!AES5</f>
        <v>0</v>
      </c>
      <c r="AEA3">
        <f>Database!AET5</f>
        <v>0</v>
      </c>
      <c r="AEB3">
        <f>Database!AEU5</f>
        <v>0</v>
      </c>
      <c r="AEC3">
        <f>Database!AEV5</f>
        <v>0</v>
      </c>
      <c r="AED3">
        <f>Database!AEW5</f>
        <v>0</v>
      </c>
      <c r="AEE3">
        <f>Database!AEX5</f>
        <v>0</v>
      </c>
      <c r="AEF3">
        <f>Database!AEY5</f>
        <v>0</v>
      </c>
      <c r="AEG3">
        <f>Database!AEZ5</f>
        <v>0</v>
      </c>
      <c r="AEH3">
        <f>Database!AFA5</f>
        <v>0</v>
      </c>
      <c r="AEI3">
        <f>Database!AFB5</f>
        <v>0</v>
      </c>
      <c r="AEJ3">
        <f>Database!AFC5</f>
        <v>0</v>
      </c>
      <c r="AEK3">
        <f>Database!AFD5</f>
        <v>0</v>
      </c>
      <c r="AEL3">
        <f>Database!AFE5</f>
        <v>0</v>
      </c>
      <c r="AEM3">
        <f>Database!AFF5</f>
        <v>0</v>
      </c>
      <c r="AEN3">
        <f>Database!AFG5</f>
        <v>0</v>
      </c>
      <c r="AEO3">
        <f>Database!AFH5</f>
        <v>0</v>
      </c>
      <c r="AEP3">
        <f>Database!AFI5</f>
        <v>0</v>
      </c>
      <c r="AEQ3">
        <f>Database!AFJ5</f>
        <v>0</v>
      </c>
      <c r="AER3">
        <f>Database!AFK5</f>
        <v>0</v>
      </c>
      <c r="AES3">
        <f>Database!AFL5</f>
        <v>0</v>
      </c>
      <c r="AET3">
        <f>Database!AFM5</f>
        <v>0</v>
      </c>
      <c r="AEU3">
        <f>Database!AFN5</f>
        <v>0</v>
      </c>
      <c r="AEV3">
        <f>Database!AFO5</f>
        <v>0</v>
      </c>
      <c r="AEW3">
        <f>Database!AFP5</f>
        <v>0</v>
      </c>
      <c r="AEX3">
        <f>Database!AFQ5</f>
        <v>0</v>
      </c>
      <c r="AEY3">
        <f>Database!AFR5</f>
        <v>0</v>
      </c>
      <c r="AEZ3">
        <f>Database!AFS5</f>
        <v>0</v>
      </c>
      <c r="AFA3">
        <f>Database!AFT5</f>
        <v>0</v>
      </c>
      <c r="AFB3">
        <f>Database!AFU5</f>
        <v>0</v>
      </c>
      <c r="AFC3">
        <f>Database!AFV5</f>
        <v>0</v>
      </c>
      <c r="AFD3">
        <f>Database!AFW5</f>
        <v>0</v>
      </c>
      <c r="AFE3">
        <f>Database!AFX5</f>
        <v>0</v>
      </c>
      <c r="AFF3">
        <f>Database!AFY5</f>
        <v>0</v>
      </c>
      <c r="AFG3">
        <f>Database!AFZ5</f>
        <v>0</v>
      </c>
      <c r="AFH3">
        <f>Database!AGA5</f>
        <v>0</v>
      </c>
      <c r="AFI3">
        <f>Database!AGB5</f>
        <v>0</v>
      </c>
      <c r="AFJ3">
        <f>Database!AGC5</f>
        <v>0</v>
      </c>
      <c r="AFK3">
        <f>Database!AGD5</f>
        <v>0</v>
      </c>
      <c r="AFL3">
        <f>Database!AGE5</f>
        <v>0</v>
      </c>
      <c r="AFM3">
        <f>Database!AGF5</f>
        <v>0</v>
      </c>
      <c r="AFN3">
        <f>Database!AGG5</f>
        <v>0</v>
      </c>
      <c r="AFO3">
        <f>Database!AGH5</f>
        <v>0</v>
      </c>
      <c r="AFP3">
        <f>Database!AGI5</f>
        <v>0</v>
      </c>
      <c r="AFQ3">
        <f>Database!AGJ5</f>
        <v>0</v>
      </c>
      <c r="AFR3">
        <f>Database!AGK5</f>
        <v>0</v>
      </c>
      <c r="AFS3">
        <f>Database!AGL5</f>
        <v>0</v>
      </c>
      <c r="AFT3">
        <f>Database!AGM5</f>
        <v>0</v>
      </c>
      <c r="AFU3">
        <f>Database!AGN5</f>
        <v>0</v>
      </c>
      <c r="AFV3">
        <f>Database!AGO5</f>
        <v>0</v>
      </c>
      <c r="AFW3">
        <f>Database!AGP5</f>
        <v>0</v>
      </c>
      <c r="AFX3">
        <f>Database!AGQ5</f>
        <v>0</v>
      </c>
      <c r="AFY3">
        <f>Database!AGR5</f>
        <v>0</v>
      </c>
      <c r="AFZ3">
        <f>Database!AGS5</f>
        <v>0</v>
      </c>
      <c r="AGA3">
        <f>Database!AGT5</f>
        <v>0</v>
      </c>
      <c r="AGB3">
        <f>Database!AGU5</f>
        <v>0</v>
      </c>
      <c r="AGC3">
        <f>Database!AGV5</f>
        <v>0</v>
      </c>
      <c r="AGD3">
        <f>Database!AGW5</f>
        <v>0</v>
      </c>
      <c r="AGE3">
        <f>Database!AGX5</f>
        <v>0</v>
      </c>
      <c r="AGF3">
        <f>Database!AGY5</f>
        <v>0</v>
      </c>
      <c r="AGG3">
        <f>Database!AGZ5</f>
        <v>0</v>
      </c>
      <c r="AGH3">
        <f>Database!AHA5</f>
        <v>0</v>
      </c>
      <c r="AGI3">
        <f>Database!AHB5</f>
        <v>0</v>
      </c>
      <c r="AGJ3">
        <f>Database!AHC5</f>
        <v>0</v>
      </c>
      <c r="AGK3">
        <f>Database!AHD5</f>
        <v>0</v>
      </c>
      <c r="AGL3">
        <f>Database!AHE5</f>
        <v>0</v>
      </c>
      <c r="AGM3">
        <f>Database!AHF5</f>
        <v>0</v>
      </c>
      <c r="AGN3">
        <f>Database!AHG5</f>
        <v>0</v>
      </c>
      <c r="AGO3">
        <f>Database!AHH5</f>
        <v>0</v>
      </c>
      <c r="AGP3">
        <f>Database!AHI5</f>
        <v>0</v>
      </c>
      <c r="AGQ3">
        <f>Database!AHJ5</f>
        <v>0</v>
      </c>
      <c r="AGR3">
        <f>Database!AHK5</f>
        <v>0</v>
      </c>
      <c r="AGS3">
        <f>Database!AHL5</f>
        <v>0</v>
      </c>
      <c r="AGT3">
        <f>Database!AHM5</f>
        <v>0</v>
      </c>
      <c r="AGU3">
        <f>Database!AHN5</f>
        <v>0</v>
      </c>
      <c r="AGV3">
        <f>Database!AHO5</f>
        <v>0</v>
      </c>
      <c r="AGW3">
        <f>Database!AHP5</f>
        <v>0</v>
      </c>
      <c r="AGX3">
        <f>Database!AHQ5</f>
        <v>0</v>
      </c>
      <c r="AGY3">
        <f>Database!AHR5</f>
        <v>0</v>
      </c>
      <c r="AGZ3">
        <f>Database!AHS5</f>
        <v>0</v>
      </c>
      <c r="AHA3">
        <f>Database!AHT5</f>
        <v>0</v>
      </c>
      <c r="AHB3">
        <f>Database!AHU5</f>
        <v>0</v>
      </c>
      <c r="AHC3">
        <f>Database!AHV5</f>
        <v>0</v>
      </c>
      <c r="AHD3">
        <f>Database!AHW5</f>
        <v>0</v>
      </c>
      <c r="AHE3">
        <f>Database!AHX5</f>
        <v>0</v>
      </c>
      <c r="AHF3">
        <f>Database!AHY5</f>
        <v>0</v>
      </c>
      <c r="AHG3">
        <f>Database!AHZ5</f>
        <v>0</v>
      </c>
      <c r="AHH3">
        <f>Database!AIA5</f>
        <v>0</v>
      </c>
      <c r="AHI3">
        <f>Database!AIB5</f>
        <v>0</v>
      </c>
      <c r="AHJ3">
        <f>Database!AIC5</f>
        <v>0</v>
      </c>
      <c r="AHK3">
        <f>Database!AID5</f>
        <v>0</v>
      </c>
      <c r="AHL3">
        <f>Database!AIE5</f>
        <v>0</v>
      </c>
      <c r="AHM3">
        <f>Database!AIF5</f>
        <v>0</v>
      </c>
      <c r="AHN3">
        <f>Database!AIG5</f>
        <v>0</v>
      </c>
      <c r="AHO3">
        <f>Database!AIH5</f>
        <v>0</v>
      </c>
      <c r="AHP3">
        <f>Database!AII5</f>
        <v>0</v>
      </c>
      <c r="AHQ3">
        <f>Database!AIJ5</f>
        <v>0</v>
      </c>
      <c r="AHR3">
        <f>Database!AIK5</f>
        <v>0</v>
      </c>
      <c r="AHS3">
        <f>Database!AIL5</f>
        <v>0</v>
      </c>
      <c r="AHT3">
        <f>Database!AIM5</f>
        <v>0</v>
      </c>
      <c r="AHU3">
        <f>Database!AIN5</f>
        <v>0</v>
      </c>
      <c r="AHV3">
        <f>Database!AIO5</f>
        <v>0</v>
      </c>
      <c r="AHW3">
        <f>Database!AIP5</f>
        <v>0</v>
      </c>
      <c r="AHX3">
        <f>Database!AIQ5</f>
        <v>0</v>
      </c>
      <c r="AHY3">
        <f>Database!AIR5</f>
        <v>0</v>
      </c>
      <c r="AHZ3">
        <f>Database!AIS5</f>
        <v>0</v>
      </c>
      <c r="AIA3">
        <f>Database!AIT5</f>
        <v>0</v>
      </c>
      <c r="AIB3">
        <f>Database!AIU5</f>
        <v>0</v>
      </c>
      <c r="AIC3">
        <f>Database!AIV5</f>
        <v>0</v>
      </c>
      <c r="AID3">
        <f>Database!AIW5</f>
        <v>0</v>
      </c>
      <c r="AIE3">
        <f>Database!AIX5</f>
        <v>0</v>
      </c>
      <c r="AIF3">
        <f>Database!AIY5</f>
        <v>0</v>
      </c>
      <c r="AIG3">
        <f>Database!AIZ5</f>
        <v>0</v>
      </c>
      <c r="AIH3">
        <f>Database!AJA5</f>
        <v>0</v>
      </c>
      <c r="AII3">
        <f>Database!AJB5</f>
        <v>0</v>
      </c>
      <c r="AIJ3">
        <f>Database!AJC5</f>
        <v>0</v>
      </c>
      <c r="AIK3">
        <f>Database!AJD5</f>
        <v>0</v>
      </c>
      <c r="AIL3">
        <f>Database!AJE5</f>
        <v>0</v>
      </c>
      <c r="AIM3">
        <f>Database!AJF5</f>
        <v>0</v>
      </c>
      <c r="AIN3">
        <f>Database!AJG5</f>
        <v>0</v>
      </c>
      <c r="AIO3">
        <f>Database!AJH5</f>
        <v>0</v>
      </c>
      <c r="AIP3">
        <f>Database!AJI5</f>
        <v>0</v>
      </c>
      <c r="AIQ3">
        <f>Database!AJJ5</f>
        <v>0</v>
      </c>
      <c r="AIR3">
        <f>Database!AJK5</f>
        <v>0</v>
      </c>
      <c r="AIS3">
        <f>Database!AJL5</f>
        <v>0</v>
      </c>
      <c r="AIT3">
        <f>Database!AJM5</f>
        <v>0</v>
      </c>
      <c r="AIU3">
        <f>Database!AJN5</f>
        <v>0</v>
      </c>
      <c r="AIV3">
        <f>Database!AJO5</f>
        <v>0</v>
      </c>
      <c r="AIW3">
        <f>Database!AJP5</f>
        <v>0</v>
      </c>
      <c r="AIX3">
        <f>Database!AJQ5</f>
        <v>0</v>
      </c>
      <c r="AIY3">
        <f>Database!AJR5</f>
        <v>0</v>
      </c>
      <c r="AIZ3">
        <f>Database!AJS5</f>
        <v>0</v>
      </c>
      <c r="AJA3">
        <f>Database!AJT5</f>
        <v>0</v>
      </c>
      <c r="AJB3">
        <f>Database!AJU5</f>
        <v>0</v>
      </c>
      <c r="AJC3">
        <f>Database!AJV5</f>
        <v>0</v>
      </c>
      <c r="AJD3">
        <f>Database!AJW5</f>
        <v>0</v>
      </c>
      <c r="AJE3">
        <f>Database!AJX5</f>
        <v>0</v>
      </c>
      <c r="AJF3">
        <f>Database!AJY5</f>
        <v>0</v>
      </c>
      <c r="AJG3">
        <f>Database!AJZ5</f>
        <v>0</v>
      </c>
      <c r="AJH3">
        <f>Database!AKA5</f>
        <v>0</v>
      </c>
      <c r="AJI3">
        <f>Database!AKB5</f>
        <v>0</v>
      </c>
      <c r="AJJ3">
        <f>Database!AKC5</f>
        <v>0</v>
      </c>
      <c r="AJK3">
        <f>Database!AKD5</f>
        <v>0</v>
      </c>
      <c r="AJL3">
        <f>Database!AKE5</f>
        <v>0</v>
      </c>
      <c r="AJM3">
        <f>Database!AKF5</f>
        <v>0</v>
      </c>
      <c r="AJN3">
        <f>Database!AKG5</f>
        <v>0</v>
      </c>
      <c r="AJO3">
        <f>Database!AKH5</f>
        <v>0</v>
      </c>
      <c r="AJP3">
        <f>Database!AKI5</f>
        <v>0</v>
      </c>
      <c r="AJQ3">
        <f>Database!AKJ5</f>
        <v>0</v>
      </c>
      <c r="AJR3">
        <f>Database!AKK5</f>
        <v>0</v>
      </c>
      <c r="AJS3">
        <f>Database!AKL5</f>
        <v>0</v>
      </c>
      <c r="AJT3">
        <f>Database!AKM5</f>
        <v>0</v>
      </c>
      <c r="AJU3">
        <f>Database!AKN5</f>
        <v>0</v>
      </c>
      <c r="AJV3">
        <f>Database!AKO5</f>
        <v>0</v>
      </c>
      <c r="AJW3">
        <f>Database!AKP5</f>
        <v>0</v>
      </c>
      <c r="AJX3">
        <f>Database!AKQ5</f>
        <v>0</v>
      </c>
      <c r="AJY3">
        <f>Database!AKR5</f>
        <v>0</v>
      </c>
      <c r="AJZ3">
        <f>Database!AKS5</f>
        <v>0</v>
      </c>
      <c r="AKA3">
        <f>Database!AKT5</f>
        <v>0</v>
      </c>
      <c r="AKB3">
        <f>Database!AKU5</f>
        <v>0</v>
      </c>
      <c r="AKC3">
        <f>Database!AKV5</f>
        <v>0</v>
      </c>
      <c r="AKD3">
        <f>Database!AKW5</f>
        <v>0</v>
      </c>
      <c r="AKE3">
        <f>Database!AKX5</f>
        <v>0</v>
      </c>
      <c r="AKF3">
        <f>Database!AKY5</f>
        <v>0</v>
      </c>
      <c r="AKG3">
        <f>Database!AKZ5</f>
        <v>0</v>
      </c>
      <c r="AKH3">
        <f>Database!ALA5</f>
        <v>0</v>
      </c>
      <c r="AKI3">
        <f>Database!ALB5</f>
        <v>0</v>
      </c>
      <c r="AKJ3">
        <f>Database!ALC5</f>
        <v>0</v>
      </c>
      <c r="AKK3">
        <f>Database!ALD5</f>
        <v>0</v>
      </c>
      <c r="AKL3">
        <f>Database!ALE5</f>
        <v>0</v>
      </c>
      <c r="AKM3">
        <f>Database!ALF5</f>
        <v>0</v>
      </c>
      <c r="AKN3">
        <f>Database!ALG5</f>
        <v>0</v>
      </c>
      <c r="AKO3">
        <f>Database!ALH5</f>
        <v>0</v>
      </c>
      <c r="AKP3">
        <f>Database!ALI5</f>
        <v>0</v>
      </c>
      <c r="AKQ3">
        <f>Database!ALJ5</f>
        <v>0</v>
      </c>
      <c r="AKR3">
        <f>Database!ALK5</f>
        <v>0</v>
      </c>
      <c r="AKS3">
        <f>Database!ALL5</f>
        <v>0</v>
      </c>
      <c r="AKT3">
        <f>Database!ALM5</f>
        <v>0</v>
      </c>
      <c r="AKU3">
        <f>Database!ALN5</f>
        <v>0</v>
      </c>
      <c r="AKV3">
        <f>Database!ALO5</f>
        <v>0</v>
      </c>
      <c r="AKW3">
        <f>Database!ALP5</f>
        <v>0</v>
      </c>
      <c r="AKX3">
        <f>Database!ALQ5</f>
        <v>0</v>
      </c>
      <c r="AKY3">
        <f>Database!ALR5</f>
        <v>0</v>
      </c>
      <c r="AKZ3">
        <f>Database!ALS5</f>
        <v>0</v>
      </c>
      <c r="ALA3">
        <f>Database!ALT5</f>
        <v>0</v>
      </c>
      <c r="ALB3">
        <f>Database!ALU5</f>
        <v>0</v>
      </c>
      <c r="ALC3">
        <f>Database!ALV5</f>
        <v>0</v>
      </c>
      <c r="ALD3">
        <f>Database!ALW5</f>
        <v>0</v>
      </c>
      <c r="ALE3">
        <f>Database!ALX5</f>
        <v>0</v>
      </c>
      <c r="ALF3">
        <f>Database!ALY5</f>
        <v>0</v>
      </c>
      <c r="ALG3">
        <f>Database!ALZ5</f>
        <v>0</v>
      </c>
      <c r="ALH3">
        <f>Database!AMA5</f>
        <v>0</v>
      </c>
      <c r="ALI3">
        <f>Database!AMB5</f>
        <v>0</v>
      </c>
      <c r="ALJ3">
        <f>Database!AMC5</f>
        <v>0</v>
      </c>
      <c r="ALK3">
        <f>Database!AMD5</f>
        <v>0</v>
      </c>
      <c r="ALL3">
        <f>Database!AME5</f>
        <v>0</v>
      </c>
      <c r="ALM3">
        <f>Database!AMF5</f>
        <v>0</v>
      </c>
      <c r="ALN3">
        <f>Database!AMG5</f>
        <v>0</v>
      </c>
      <c r="ALO3">
        <f>Database!AMH5</f>
        <v>0</v>
      </c>
      <c r="ALP3">
        <f>Database!AMI5</f>
        <v>0</v>
      </c>
      <c r="ALQ3">
        <f>Database!AMJ5</f>
        <v>0</v>
      </c>
      <c r="ALR3">
        <f>Database!AMK5</f>
        <v>0</v>
      </c>
      <c r="ALS3">
        <f>Database!AML5</f>
        <v>0</v>
      </c>
      <c r="ALT3">
        <f>Database!AMM5</f>
        <v>0</v>
      </c>
      <c r="ALU3">
        <f>Database!AMN5</f>
        <v>0</v>
      </c>
      <c r="ALV3">
        <f>Database!AMO5</f>
        <v>0</v>
      </c>
      <c r="ALW3">
        <f>Database!AMP5</f>
        <v>0</v>
      </c>
      <c r="ALX3">
        <f>Database!AMQ5</f>
        <v>0</v>
      </c>
      <c r="ALY3">
        <f>Database!AMR5</f>
        <v>0</v>
      </c>
      <c r="ALZ3">
        <f>Database!AMS5</f>
        <v>0</v>
      </c>
      <c r="AMA3">
        <f>Database!AMT5</f>
        <v>0</v>
      </c>
      <c r="AMB3">
        <f>Database!AMU5</f>
        <v>0</v>
      </c>
      <c r="AMC3">
        <f>Database!AMV5</f>
        <v>0</v>
      </c>
      <c r="AMD3">
        <f>Database!AMW5</f>
        <v>0</v>
      </c>
      <c r="AME3">
        <f>Database!AMX5</f>
        <v>0</v>
      </c>
      <c r="AMF3">
        <f>Database!AMY5</f>
        <v>0</v>
      </c>
      <c r="AMG3">
        <f>Database!AMZ5</f>
        <v>0</v>
      </c>
      <c r="AMH3">
        <f>Database!ANA5</f>
        <v>0</v>
      </c>
      <c r="AMI3">
        <f>Database!ANB5</f>
        <v>0</v>
      </c>
      <c r="AMJ3">
        <f>Database!ANC5</f>
        <v>0</v>
      </c>
      <c r="AMK3">
        <f>Database!AND5</f>
        <v>0</v>
      </c>
      <c r="AML3">
        <f>Database!ANE5</f>
        <v>0</v>
      </c>
      <c r="AMM3">
        <f>Database!ANF5</f>
        <v>0</v>
      </c>
      <c r="AMN3">
        <f>Database!ANG5</f>
        <v>0</v>
      </c>
      <c r="AMO3">
        <f>Database!ANH5</f>
        <v>0</v>
      </c>
      <c r="AMP3">
        <f>Database!ANI5</f>
        <v>0</v>
      </c>
      <c r="AMQ3">
        <f>Database!ANJ5</f>
        <v>0</v>
      </c>
      <c r="AMR3">
        <f>Database!ANK5</f>
        <v>0</v>
      </c>
      <c r="AMS3">
        <f>Database!ANL5</f>
        <v>0</v>
      </c>
      <c r="AMT3">
        <f>Database!ANM5</f>
        <v>0</v>
      </c>
      <c r="AMU3">
        <f>Database!ANN5</f>
        <v>0</v>
      </c>
      <c r="AMV3">
        <f>Database!ANO5</f>
        <v>0</v>
      </c>
      <c r="AMW3">
        <f>Database!ANP5</f>
        <v>0</v>
      </c>
      <c r="AMX3">
        <f>Database!ANQ5</f>
        <v>0</v>
      </c>
      <c r="AMY3">
        <f>Database!ANR5</f>
        <v>0</v>
      </c>
      <c r="AMZ3">
        <f>Database!ANS5</f>
        <v>0</v>
      </c>
      <c r="ANA3">
        <f>Database!ANT5</f>
        <v>0</v>
      </c>
      <c r="ANB3">
        <f>Database!ANU5</f>
        <v>0</v>
      </c>
      <c r="ANC3">
        <f>Database!ANV5</f>
        <v>0</v>
      </c>
      <c r="AND3">
        <f>Database!ANW5</f>
        <v>0</v>
      </c>
      <c r="ANE3">
        <f>Database!ANX5</f>
        <v>0</v>
      </c>
      <c r="ANF3">
        <f>Database!ANY5</f>
        <v>0</v>
      </c>
      <c r="ANG3">
        <f>Database!ANZ5</f>
        <v>0</v>
      </c>
      <c r="ANH3">
        <f>Database!AOA5</f>
        <v>0</v>
      </c>
      <c r="ANI3">
        <f>Database!AOB5</f>
        <v>0</v>
      </c>
      <c r="ANJ3">
        <f>Database!AOC5</f>
        <v>0</v>
      </c>
      <c r="ANK3">
        <f>Database!AOD5</f>
        <v>0</v>
      </c>
      <c r="ANL3">
        <f>Database!AOE5</f>
        <v>0</v>
      </c>
      <c r="ANM3">
        <f>Database!AOF5</f>
        <v>0</v>
      </c>
      <c r="ANN3">
        <f>Database!AOG5</f>
        <v>0</v>
      </c>
      <c r="ANO3">
        <f>Database!AOH5</f>
        <v>0</v>
      </c>
      <c r="ANP3">
        <f>Database!AOI5</f>
        <v>0</v>
      </c>
      <c r="ANQ3">
        <f>Database!AOJ5</f>
        <v>0</v>
      </c>
      <c r="ANR3">
        <f>Database!AOK5</f>
        <v>0</v>
      </c>
      <c r="ANS3">
        <f>Database!AOL5</f>
        <v>0</v>
      </c>
      <c r="ANT3">
        <f>Database!AOM5</f>
        <v>0</v>
      </c>
      <c r="ANU3">
        <f>Database!AON5</f>
        <v>0</v>
      </c>
      <c r="ANV3">
        <f>Database!AOO5</f>
        <v>0</v>
      </c>
      <c r="ANW3">
        <f>Database!AOP5</f>
        <v>0</v>
      </c>
      <c r="ANX3">
        <f>Database!AOQ5</f>
        <v>0</v>
      </c>
      <c r="ANY3">
        <f>Database!AOR5</f>
        <v>0</v>
      </c>
      <c r="ANZ3">
        <f>Database!AOS5</f>
        <v>0</v>
      </c>
      <c r="AOA3">
        <f>Database!AOT5</f>
        <v>0</v>
      </c>
      <c r="AOB3">
        <f>Database!AOU5</f>
        <v>0</v>
      </c>
      <c r="AOC3">
        <f>Database!AOV5</f>
        <v>0</v>
      </c>
      <c r="AOD3">
        <f>Database!AOW5</f>
        <v>0</v>
      </c>
      <c r="AOE3">
        <f>Database!AOX5</f>
        <v>0</v>
      </c>
      <c r="AOF3">
        <f>Database!AOY5</f>
        <v>0</v>
      </c>
      <c r="AOG3">
        <f>Database!AOZ5</f>
        <v>0</v>
      </c>
      <c r="AOH3">
        <f>Database!APA5</f>
        <v>0</v>
      </c>
      <c r="AOI3">
        <f>Database!APB5</f>
        <v>0</v>
      </c>
      <c r="AOJ3">
        <f>Database!APC5</f>
        <v>0</v>
      </c>
      <c r="AOK3">
        <f>Database!APD5</f>
        <v>0</v>
      </c>
      <c r="AOL3">
        <f>Database!APE5</f>
        <v>0</v>
      </c>
      <c r="AOM3">
        <f>Database!APF5</f>
        <v>0</v>
      </c>
      <c r="AON3">
        <f>Database!APG5</f>
        <v>0</v>
      </c>
      <c r="AOO3">
        <f>Database!APH5</f>
        <v>0</v>
      </c>
      <c r="AOP3">
        <f>Database!API5</f>
        <v>0</v>
      </c>
      <c r="AOQ3">
        <f>Database!APJ5</f>
        <v>0</v>
      </c>
      <c r="AOR3">
        <f>Database!APK5</f>
        <v>0</v>
      </c>
      <c r="AOS3">
        <f>Database!APL5</f>
        <v>0</v>
      </c>
      <c r="AOT3">
        <f>Database!APM5</f>
        <v>0</v>
      </c>
      <c r="AOU3">
        <f>Database!APN5</f>
        <v>0</v>
      </c>
      <c r="AOV3">
        <f>Database!APO5</f>
        <v>0</v>
      </c>
      <c r="AOW3">
        <f>Database!APP5</f>
        <v>0</v>
      </c>
      <c r="AOX3">
        <f>Database!APQ5</f>
        <v>0</v>
      </c>
      <c r="AOY3">
        <f>Database!APR5</f>
        <v>0</v>
      </c>
      <c r="AOZ3">
        <f>Database!APS5</f>
        <v>0</v>
      </c>
      <c r="APA3">
        <f>Database!APT5</f>
        <v>0</v>
      </c>
      <c r="APB3">
        <f>Database!APU5</f>
        <v>0</v>
      </c>
      <c r="APC3">
        <f>Database!APV5</f>
        <v>0</v>
      </c>
      <c r="APD3">
        <f>Database!APW5</f>
        <v>0</v>
      </c>
      <c r="APE3">
        <f>Database!APX5</f>
        <v>0</v>
      </c>
      <c r="APF3">
        <f>Database!APY5</f>
        <v>0</v>
      </c>
      <c r="APG3">
        <f>Database!APZ5</f>
        <v>0</v>
      </c>
      <c r="APH3">
        <f>Database!AQA5</f>
        <v>0</v>
      </c>
      <c r="API3">
        <f>Database!AQB5</f>
        <v>0</v>
      </c>
      <c r="APJ3">
        <f>Database!AQC5</f>
        <v>0</v>
      </c>
      <c r="APK3">
        <f>Database!AQD5</f>
        <v>0</v>
      </c>
      <c r="APL3">
        <f>Database!AQE5</f>
        <v>0</v>
      </c>
      <c r="APM3">
        <f>Database!AQF5</f>
        <v>0</v>
      </c>
      <c r="APN3">
        <f>Database!AQG5</f>
        <v>0</v>
      </c>
      <c r="APO3">
        <f>Database!AQH5</f>
        <v>0</v>
      </c>
      <c r="APP3">
        <f>Database!AQI5</f>
        <v>0</v>
      </c>
      <c r="APQ3">
        <f>Database!AQJ5</f>
        <v>0</v>
      </c>
      <c r="APR3">
        <f>Database!AQK5</f>
        <v>0</v>
      </c>
      <c r="APS3">
        <f>Database!AQL5</f>
        <v>0</v>
      </c>
      <c r="APT3">
        <f>Database!AQM5</f>
        <v>0</v>
      </c>
      <c r="APU3">
        <f>Database!AQN5</f>
        <v>0</v>
      </c>
      <c r="APV3">
        <f>Database!AQO5</f>
        <v>0</v>
      </c>
      <c r="APW3">
        <f>Database!AQP5</f>
        <v>0</v>
      </c>
      <c r="APX3">
        <f>Database!AQQ5</f>
        <v>0</v>
      </c>
      <c r="APY3">
        <f>Database!AQR5</f>
        <v>0</v>
      </c>
      <c r="APZ3">
        <f>Database!AQS5</f>
        <v>0</v>
      </c>
      <c r="AQA3">
        <f>Database!AQT5</f>
        <v>0</v>
      </c>
      <c r="AQB3">
        <f>Database!AQU5</f>
        <v>0</v>
      </c>
      <c r="AQC3">
        <f>Database!AQV5</f>
        <v>0</v>
      </c>
      <c r="AQD3">
        <f>Database!AQW5</f>
        <v>0</v>
      </c>
      <c r="AQE3">
        <f>Database!AQX5</f>
        <v>0</v>
      </c>
      <c r="AQF3">
        <f>Database!AQY5</f>
        <v>0</v>
      </c>
      <c r="AQG3">
        <f>Database!AQZ5</f>
        <v>0</v>
      </c>
      <c r="AQH3">
        <f>Database!ARA5</f>
        <v>0</v>
      </c>
      <c r="AQI3">
        <f>Database!ARB5</f>
        <v>0</v>
      </c>
      <c r="AQJ3">
        <f>Database!ARC5</f>
        <v>0</v>
      </c>
      <c r="AQK3">
        <f>Database!ARD5</f>
        <v>0</v>
      </c>
      <c r="AQL3">
        <f>Database!ARE5</f>
        <v>0</v>
      </c>
      <c r="AQM3">
        <f>Database!ARF5</f>
        <v>0</v>
      </c>
      <c r="AQN3">
        <f>Database!ARG5</f>
        <v>0</v>
      </c>
      <c r="AQO3">
        <f>Database!ARH5</f>
        <v>0</v>
      </c>
      <c r="AQP3">
        <f>Database!ARI5</f>
        <v>0</v>
      </c>
      <c r="AQQ3">
        <f>Database!ARJ5</f>
        <v>0</v>
      </c>
      <c r="AQR3">
        <f>Database!ARK5</f>
        <v>0</v>
      </c>
      <c r="AQS3">
        <f>Database!ARL5</f>
        <v>0</v>
      </c>
      <c r="AQT3">
        <f>Database!ARM5</f>
        <v>0</v>
      </c>
      <c r="AQU3">
        <f>Database!ARN5</f>
        <v>0</v>
      </c>
      <c r="AQV3">
        <f>Database!ARO5</f>
        <v>0</v>
      </c>
      <c r="AQW3">
        <f>Database!ARP5</f>
        <v>0</v>
      </c>
      <c r="AQX3">
        <f>Database!ARQ5</f>
        <v>0</v>
      </c>
      <c r="AQY3">
        <f>Database!ARR5</f>
        <v>0</v>
      </c>
      <c r="AQZ3">
        <f>Database!ARS5</f>
        <v>0</v>
      </c>
      <c r="ARA3">
        <f>Database!ART5</f>
        <v>0</v>
      </c>
      <c r="ARB3">
        <f>Database!ARU5</f>
        <v>0</v>
      </c>
      <c r="ARC3">
        <f>Database!ARV5</f>
        <v>0</v>
      </c>
      <c r="ARD3">
        <f>Database!ARW5</f>
        <v>0</v>
      </c>
      <c r="ARE3">
        <f>Database!ARX5</f>
        <v>0</v>
      </c>
      <c r="ARF3">
        <f>Database!ARY5</f>
        <v>0</v>
      </c>
      <c r="ARG3">
        <f>Database!ARZ5</f>
        <v>0</v>
      </c>
      <c r="ARH3">
        <f>Database!ASA5</f>
        <v>0</v>
      </c>
      <c r="ARI3">
        <f>Database!ASB5</f>
        <v>0</v>
      </c>
      <c r="ARJ3">
        <f>Database!ASC5</f>
        <v>0</v>
      </c>
      <c r="ARK3">
        <f>Database!ASD5</f>
        <v>0</v>
      </c>
      <c r="ARL3">
        <f>Database!ASE5</f>
        <v>0</v>
      </c>
      <c r="ARM3">
        <f>Database!ASF5</f>
        <v>0</v>
      </c>
      <c r="ARN3">
        <f>Database!ASG5</f>
        <v>0</v>
      </c>
      <c r="ARO3">
        <f>Database!ASH5</f>
        <v>0</v>
      </c>
      <c r="ARP3">
        <f>Database!ASI5</f>
        <v>0</v>
      </c>
      <c r="ARQ3">
        <f>Database!ASJ5</f>
        <v>0</v>
      </c>
      <c r="ARR3">
        <f>Database!ASK5</f>
        <v>0</v>
      </c>
      <c r="ARS3">
        <f>Database!ASL5</f>
        <v>0</v>
      </c>
      <c r="ART3">
        <f>Database!ASM5</f>
        <v>0</v>
      </c>
      <c r="ARU3">
        <f>Database!ASN5</f>
        <v>0</v>
      </c>
      <c r="ARV3">
        <f>Database!ASO5</f>
        <v>0</v>
      </c>
      <c r="ARW3">
        <f>Database!ASP5</f>
        <v>0</v>
      </c>
      <c r="ARX3">
        <f>Database!ASQ5</f>
        <v>0</v>
      </c>
      <c r="ARY3">
        <f>Database!ASR5</f>
        <v>0</v>
      </c>
      <c r="ARZ3">
        <f>Database!ASS5</f>
        <v>0</v>
      </c>
      <c r="ASA3">
        <f>Database!AST5</f>
        <v>0</v>
      </c>
      <c r="ASB3">
        <f>Database!ASU5</f>
        <v>0</v>
      </c>
      <c r="ASC3">
        <f>Database!ASV5</f>
        <v>0</v>
      </c>
      <c r="ASD3">
        <f>Database!ASW5</f>
        <v>0</v>
      </c>
      <c r="ASE3">
        <f>Database!ASX5</f>
        <v>0</v>
      </c>
      <c r="ASF3">
        <f>Database!ASY5</f>
        <v>0</v>
      </c>
      <c r="ASG3">
        <f>Database!ASZ5</f>
        <v>0</v>
      </c>
      <c r="ASH3">
        <f>Database!ATA5</f>
        <v>0</v>
      </c>
      <c r="ASI3">
        <f>Database!ATB5</f>
        <v>0</v>
      </c>
      <c r="ASJ3">
        <f>Database!ATC5</f>
        <v>0</v>
      </c>
      <c r="ASK3">
        <f>Database!ATD5</f>
        <v>0</v>
      </c>
      <c r="ASL3">
        <f>Database!ATE5</f>
        <v>0</v>
      </c>
      <c r="ASM3">
        <f>Database!ATF5</f>
        <v>0</v>
      </c>
      <c r="ASN3">
        <f>Database!ATG5</f>
        <v>0</v>
      </c>
      <c r="ASO3">
        <f>Database!ATH5</f>
        <v>0</v>
      </c>
      <c r="ASP3">
        <f>Database!ATI5</f>
        <v>0</v>
      </c>
      <c r="ASQ3">
        <f>Database!ATJ5</f>
        <v>0</v>
      </c>
      <c r="ASR3">
        <f>Database!ATK5</f>
        <v>0</v>
      </c>
      <c r="ASS3">
        <f>Database!ATL5</f>
        <v>0</v>
      </c>
      <c r="AST3">
        <f>Database!ATM5</f>
        <v>0</v>
      </c>
      <c r="ASU3">
        <f>Database!ATN5</f>
        <v>0</v>
      </c>
      <c r="ASV3">
        <f>Database!ATO5</f>
        <v>0</v>
      </c>
      <c r="ASW3">
        <f>Database!ATP5</f>
        <v>0</v>
      </c>
      <c r="ASX3">
        <f>Database!ATQ5</f>
        <v>0</v>
      </c>
      <c r="ASY3">
        <f>Database!ATR5</f>
        <v>0</v>
      </c>
      <c r="ASZ3">
        <f>Database!ATS5</f>
        <v>0</v>
      </c>
      <c r="ATA3">
        <f>Database!ATT5</f>
        <v>0</v>
      </c>
      <c r="ATB3">
        <f>Database!ATU5</f>
        <v>0</v>
      </c>
      <c r="ATC3">
        <f>Database!ATV5</f>
        <v>0</v>
      </c>
      <c r="ATD3">
        <f>Database!ATW5</f>
        <v>0</v>
      </c>
      <c r="ATE3">
        <f>Database!ATX5</f>
        <v>0</v>
      </c>
      <c r="ATF3">
        <f>Database!ATY5</f>
        <v>0</v>
      </c>
      <c r="ATG3">
        <f>Database!ATZ5</f>
        <v>0</v>
      </c>
      <c r="ATH3">
        <f>Database!AUA5</f>
        <v>0</v>
      </c>
      <c r="ATI3">
        <f>Database!AUB5</f>
        <v>0</v>
      </c>
      <c r="ATJ3">
        <f>Database!AUC5</f>
        <v>0</v>
      </c>
      <c r="ATK3">
        <f>Database!AUD5</f>
        <v>0</v>
      </c>
      <c r="ATL3">
        <f>Database!AUE5</f>
        <v>0</v>
      </c>
      <c r="ATM3">
        <f>Database!AUF5</f>
        <v>0</v>
      </c>
      <c r="ATN3">
        <f>Database!AUG5</f>
        <v>0</v>
      </c>
      <c r="ATO3">
        <f>Database!AUH5</f>
        <v>0</v>
      </c>
      <c r="ATP3">
        <f>Database!AUI5</f>
        <v>0</v>
      </c>
      <c r="ATQ3">
        <f>Database!AUJ5</f>
        <v>0</v>
      </c>
      <c r="ATR3">
        <f>Database!AUK5</f>
        <v>0</v>
      </c>
      <c r="ATS3">
        <f>Database!AUL5</f>
        <v>0</v>
      </c>
      <c r="ATT3">
        <f>Database!AUM5</f>
        <v>0</v>
      </c>
      <c r="ATU3">
        <f>Database!AUN5</f>
        <v>0</v>
      </c>
      <c r="ATV3">
        <f>Database!AUO5</f>
        <v>0</v>
      </c>
      <c r="ATW3">
        <f>Database!AUP5</f>
        <v>0</v>
      </c>
      <c r="ATX3">
        <f>Database!AUQ5</f>
        <v>0</v>
      </c>
      <c r="ATY3">
        <f>Database!AUR5</f>
        <v>0</v>
      </c>
      <c r="ATZ3">
        <f>Database!AUS5</f>
        <v>0</v>
      </c>
      <c r="AUA3">
        <f>Database!AUT5</f>
        <v>0</v>
      </c>
      <c r="AUB3">
        <f>Database!AUU5</f>
        <v>0</v>
      </c>
      <c r="AUC3">
        <f>Database!AUV5</f>
        <v>0</v>
      </c>
      <c r="AUD3">
        <f>Database!AUW5</f>
        <v>0</v>
      </c>
      <c r="AUE3">
        <f>Database!AUX5</f>
        <v>0</v>
      </c>
      <c r="AUF3">
        <f>Database!AUY5</f>
        <v>0</v>
      </c>
      <c r="AUG3">
        <f>Database!AUZ5</f>
        <v>0</v>
      </c>
      <c r="AUH3">
        <f>Database!AVA5</f>
        <v>0</v>
      </c>
      <c r="AUI3">
        <f>Database!AVB5</f>
        <v>0</v>
      </c>
      <c r="AUJ3">
        <f>Database!AVC5</f>
        <v>0</v>
      </c>
      <c r="AUK3">
        <f>Database!AVD5</f>
        <v>0</v>
      </c>
      <c r="AUL3">
        <f>Database!AVE5</f>
        <v>0</v>
      </c>
      <c r="AUM3">
        <f>Database!AVF5</f>
        <v>0</v>
      </c>
      <c r="AUN3">
        <f>Database!AVG5</f>
        <v>0</v>
      </c>
      <c r="AUO3">
        <f>Database!AVH5</f>
        <v>0</v>
      </c>
      <c r="AUP3">
        <f>Database!AVI5</f>
        <v>0</v>
      </c>
      <c r="AUQ3">
        <f>Database!AVJ5</f>
        <v>0</v>
      </c>
      <c r="AUR3">
        <f>Database!AVK5</f>
        <v>0</v>
      </c>
      <c r="AUS3">
        <f>Database!AVL5</f>
        <v>0</v>
      </c>
      <c r="AUT3">
        <f>Database!AVM5</f>
        <v>0</v>
      </c>
      <c r="AUU3">
        <f>Database!AVN5</f>
        <v>0</v>
      </c>
      <c r="AUV3">
        <f>Database!AVO5</f>
        <v>0</v>
      </c>
      <c r="AUW3">
        <f>Database!AVP5</f>
        <v>0</v>
      </c>
      <c r="AUX3">
        <f>Database!AVQ5</f>
        <v>0</v>
      </c>
      <c r="AUY3">
        <f>Database!AVR5</f>
        <v>0</v>
      </c>
      <c r="AUZ3">
        <f>Database!AVS5</f>
        <v>0</v>
      </c>
      <c r="AVA3">
        <f>Database!AVT5</f>
        <v>0</v>
      </c>
      <c r="AVB3">
        <f>Database!AVU5</f>
        <v>0</v>
      </c>
      <c r="AVC3">
        <f>Database!AVV5</f>
        <v>0</v>
      </c>
      <c r="AVD3">
        <f>Database!AVW5</f>
        <v>0</v>
      </c>
      <c r="AVE3">
        <f>Database!AVX5</f>
        <v>0</v>
      </c>
      <c r="AVF3">
        <f>Database!AVY5</f>
        <v>0</v>
      </c>
      <c r="AVG3">
        <f>Database!AVZ5</f>
        <v>0</v>
      </c>
      <c r="AVH3">
        <f>Database!AWA5</f>
        <v>0</v>
      </c>
      <c r="AVI3">
        <f>Database!AWB5</f>
        <v>0</v>
      </c>
      <c r="AVJ3">
        <f>Database!AWC5</f>
        <v>0</v>
      </c>
      <c r="AVK3">
        <f>Database!AWD5</f>
        <v>0</v>
      </c>
      <c r="AVL3">
        <f>Database!AWE5</f>
        <v>0</v>
      </c>
      <c r="AVM3">
        <f>Database!AWF5</f>
        <v>0</v>
      </c>
      <c r="AVN3">
        <f>Database!AWG5</f>
        <v>0</v>
      </c>
      <c r="AVO3">
        <f>Database!AWH5</f>
        <v>0</v>
      </c>
      <c r="AVP3">
        <f>Database!AWI5</f>
        <v>0</v>
      </c>
      <c r="AVQ3">
        <f>Database!AWJ5</f>
        <v>0</v>
      </c>
      <c r="AVR3">
        <f>Database!AWK5</f>
        <v>0</v>
      </c>
      <c r="AVS3">
        <f>Database!AWL5</f>
        <v>0</v>
      </c>
      <c r="AVT3">
        <f>Database!AWM5</f>
        <v>0</v>
      </c>
      <c r="AVU3">
        <f>Database!AWN5</f>
        <v>0</v>
      </c>
      <c r="AVV3">
        <f>Database!AWO5</f>
        <v>0</v>
      </c>
      <c r="AVW3">
        <f>Database!AWP5</f>
        <v>0</v>
      </c>
      <c r="AVX3">
        <f>Database!AWQ5</f>
        <v>0</v>
      </c>
      <c r="AVY3">
        <f>Database!AWR5</f>
        <v>0</v>
      </c>
      <c r="AVZ3">
        <f>Database!AWS5</f>
        <v>0</v>
      </c>
      <c r="AWA3">
        <f>Database!AWT5</f>
        <v>0</v>
      </c>
      <c r="AWB3">
        <f>Database!AWU5</f>
        <v>0</v>
      </c>
      <c r="AWC3">
        <f>Database!AWV5</f>
        <v>0</v>
      </c>
      <c r="AWD3">
        <f>Database!AWW5</f>
        <v>0</v>
      </c>
      <c r="AWE3">
        <f>Database!AWX5</f>
        <v>0</v>
      </c>
      <c r="AWF3">
        <f>Database!AWY5</f>
        <v>0</v>
      </c>
      <c r="AWG3">
        <f>Database!AWZ5</f>
        <v>0</v>
      </c>
      <c r="AWH3">
        <f>Database!AXA5</f>
        <v>0</v>
      </c>
      <c r="AWI3">
        <f>Database!AXB5</f>
        <v>0</v>
      </c>
      <c r="AWJ3">
        <f>Database!AXC5</f>
        <v>0</v>
      </c>
      <c r="AWK3">
        <f>Database!AXD5</f>
        <v>0</v>
      </c>
      <c r="AWL3">
        <f>Database!AXE5</f>
        <v>0</v>
      </c>
      <c r="AWM3">
        <f>Database!AXF5</f>
        <v>0</v>
      </c>
      <c r="AWN3">
        <f>Database!AXG5</f>
        <v>0</v>
      </c>
      <c r="AWO3">
        <f>Database!AXH5</f>
        <v>0</v>
      </c>
      <c r="AWP3">
        <f>Database!AXI5</f>
        <v>0</v>
      </c>
      <c r="AWQ3">
        <f>Database!AXJ5</f>
        <v>0</v>
      </c>
      <c r="AWR3">
        <f>Database!AXK5</f>
        <v>0</v>
      </c>
      <c r="AWS3">
        <f>Database!AXL5</f>
        <v>0</v>
      </c>
      <c r="AWT3">
        <f>Database!AXM5</f>
        <v>0</v>
      </c>
      <c r="AWU3">
        <f>Database!AXN5</f>
        <v>0</v>
      </c>
      <c r="AWV3">
        <f>Database!AXO5</f>
        <v>0</v>
      </c>
      <c r="AWW3">
        <f>Database!AXP5</f>
        <v>0</v>
      </c>
      <c r="AWX3">
        <f>Database!AXQ5</f>
        <v>0</v>
      </c>
      <c r="AWY3">
        <f>Database!AXR5</f>
        <v>0</v>
      </c>
      <c r="AWZ3">
        <f>Database!AXS5</f>
        <v>0</v>
      </c>
      <c r="AXA3">
        <f>Database!AXT5</f>
        <v>0</v>
      </c>
      <c r="AXB3">
        <f>Database!AXU5</f>
        <v>0</v>
      </c>
      <c r="AXC3">
        <f>Database!AXV5</f>
        <v>0</v>
      </c>
      <c r="AXD3">
        <f>Database!AXW5</f>
        <v>0</v>
      </c>
      <c r="AXE3">
        <f>Database!AXX5</f>
        <v>0</v>
      </c>
      <c r="AXF3">
        <f>Database!AXY5</f>
        <v>0</v>
      </c>
      <c r="AXG3">
        <f>Database!AXZ5</f>
        <v>0</v>
      </c>
      <c r="AXH3">
        <f>Database!AYA5</f>
        <v>0</v>
      </c>
      <c r="AXI3">
        <f>Database!AYB5</f>
        <v>0</v>
      </c>
      <c r="AXJ3">
        <f>Database!AYC5</f>
        <v>0</v>
      </c>
      <c r="AXK3">
        <f>Database!AYD5</f>
        <v>0</v>
      </c>
      <c r="AXL3">
        <f>Database!AYE5</f>
        <v>0</v>
      </c>
      <c r="AXM3">
        <f>Database!AYF5</f>
        <v>0</v>
      </c>
      <c r="AXN3">
        <f>Database!AYG5</f>
        <v>0</v>
      </c>
      <c r="AXO3">
        <f>Database!AYH5</f>
        <v>0</v>
      </c>
      <c r="AXP3">
        <f>Database!AYI5</f>
        <v>0</v>
      </c>
      <c r="AXQ3">
        <f>Database!AYJ5</f>
        <v>0</v>
      </c>
      <c r="AXR3">
        <f>Database!AYK5</f>
        <v>0</v>
      </c>
      <c r="AXS3">
        <f>Database!AYL5</f>
        <v>0</v>
      </c>
      <c r="AXT3">
        <f>Database!AYM5</f>
        <v>0</v>
      </c>
      <c r="AXU3">
        <f>Database!AYN5</f>
        <v>0</v>
      </c>
      <c r="AXV3">
        <f>Database!AYO5</f>
        <v>0</v>
      </c>
      <c r="AXW3">
        <f>Database!AYP5</f>
        <v>0</v>
      </c>
      <c r="AXX3">
        <f>Database!AYQ5</f>
        <v>0</v>
      </c>
      <c r="AXY3">
        <f>Database!AYR5</f>
        <v>0</v>
      </c>
      <c r="AXZ3">
        <f>Database!AYS5</f>
        <v>0</v>
      </c>
      <c r="AYA3">
        <f>Database!AYT5</f>
        <v>0</v>
      </c>
      <c r="AYB3">
        <f>Database!AYU5</f>
        <v>0</v>
      </c>
      <c r="AYC3">
        <f>Database!AYV5</f>
        <v>0</v>
      </c>
      <c r="AYD3">
        <f>Database!AYW5</f>
        <v>0</v>
      </c>
      <c r="AYE3">
        <f>Database!AYX5</f>
        <v>0</v>
      </c>
      <c r="AYF3">
        <f>Database!AYY5</f>
        <v>0</v>
      </c>
      <c r="AYG3">
        <f>Database!AYZ5</f>
        <v>0</v>
      </c>
      <c r="AYH3">
        <f>Database!AZA5</f>
        <v>0</v>
      </c>
      <c r="AYI3">
        <f>Database!AZB5</f>
        <v>0</v>
      </c>
      <c r="AYJ3">
        <f>Database!AZC5</f>
        <v>0</v>
      </c>
      <c r="AYK3">
        <f>Database!AZD5</f>
        <v>0</v>
      </c>
      <c r="AYL3">
        <f>Database!AZE5</f>
        <v>0</v>
      </c>
      <c r="AYM3">
        <f>Database!AZF5</f>
        <v>0</v>
      </c>
      <c r="AYN3">
        <f>Database!AZG5</f>
        <v>0</v>
      </c>
      <c r="AYO3">
        <f>Database!AZH5</f>
        <v>0</v>
      </c>
      <c r="AYP3">
        <f>Database!AZI5</f>
        <v>0</v>
      </c>
      <c r="AYQ3">
        <f>Database!AZJ5</f>
        <v>0</v>
      </c>
      <c r="AYR3">
        <f>Database!AZK5</f>
        <v>0</v>
      </c>
      <c r="AYS3">
        <f>Database!AZL5</f>
        <v>0</v>
      </c>
      <c r="AYT3">
        <f>Database!AZM5</f>
        <v>0</v>
      </c>
      <c r="AYU3">
        <f>Database!AZN5</f>
        <v>0</v>
      </c>
      <c r="AYV3">
        <f>Database!AZO5</f>
        <v>0</v>
      </c>
      <c r="AYW3">
        <f>Database!AZP5</f>
        <v>0</v>
      </c>
      <c r="AYX3">
        <f>Database!AZQ5</f>
        <v>0</v>
      </c>
      <c r="AYY3">
        <f>Database!AZR5</f>
        <v>0</v>
      </c>
      <c r="AYZ3">
        <f>Database!AZS5</f>
        <v>0</v>
      </c>
      <c r="AZA3">
        <f>Database!AZT5</f>
        <v>0</v>
      </c>
      <c r="AZB3">
        <f>Database!AZU5</f>
        <v>0</v>
      </c>
      <c r="AZC3">
        <f>Database!AZV5</f>
        <v>0</v>
      </c>
      <c r="AZD3">
        <f>Database!AZW5</f>
        <v>0</v>
      </c>
      <c r="AZE3">
        <f>Database!AZX5</f>
        <v>0</v>
      </c>
      <c r="AZF3">
        <f>Database!AZY5</f>
        <v>0</v>
      </c>
      <c r="AZG3">
        <f>Database!AZZ5</f>
        <v>0</v>
      </c>
      <c r="AZH3">
        <f>Database!BAA5</f>
        <v>0</v>
      </c>
      <c r="AZI3">
        <f>Database!BAB5</f>
        <v>0</v>
      </c>
      <c r="AZJ3">
        <f>Database!BAC5</f>
        <v>0</v>
      </c>
      <c r="AZK3">
        <f>Database!BAD5</f>
        <v>0</v>
      </c>
      <c r="AZL3">
        <f>Database!BAE5</f>
        <v>0</v>
      </c>
      <c r="AZM3">
        <f>Database!BAF5</f>
        <v>0</v>
      </c>
      <c r="AZN3">
        <f>Database!BAG5</f>
        <v>0</v>
      </c>
      <c r="AZO3">
        <f>Database!BAH5</f>
        <v>0</v>
      </c>
      <c r="AZP3">
        <f>Database!BAI5</f>
        <v>0</v>
      </c>
      <c r="AZQ3">
        <f>Database!BAJ5</f>
        <v>0</v>
      </c>
      <c r="AZR3">
        <f>Database!BAK5</f>
        <v>0</v>
      </c>
      <c r="AZS3">
        <f>Database!BAL5</f>
        <v>0</v>
      </c>
      <c r="AZT3">
        <f>Database!BAM5</f>
        <v>0</v>
      </c>
      <c r="AZU3">
        <f>Database!BAN5</f>
        <v>0</v>
      </c>
      <c r="AZV3">
        <f>Database!BAO5</f>
        <v>0</v>
      </c>
      <c r="AZW3">
        <f>Database!BAP5</f>
        <v>0</v>
      </c>
      <c r="AZX3">
        <f>Database!BAQ5</f>
        <v>0</v>
      </c>
      <c r="AZY3">
        <f>Database!BAR5</f>
        <v>0</v>
      </c>
      <c r="AZZ3">
        <f>Database!BAS5</f>
        <v>0</v>
      </c>
      <c r="BAA3">
        <f>Database!BAT5</f>
        <v>0</v>
      </c>
      <c r="BAB3">
        <f>Database!BAU5</f>
        <v>0</v>
      </c>
      <c r="BAC3">
        <f>Database!BAV5</f>
        <v>0</v>
      </c>
      <c r="BAD3">
        <f>Database!BAW5</f>
        <v>0</v>
      </c>
      <c r="BAE3">
        <f>Database!BAX5</f>
        <v>0</v>
      </c>
      <c r="BAF3">
        <f>Database!BAY5</f>
        <v>0</v>
      </c>
      <c r="BAG3">
        <f>Database!BAZ5</f>
        <v>0</v>
      </c>
      <c r="BAH3">
        <f>Database!BBA5</f>
        <v>0</v>
      </c>
      <c r="BAI3">
        <f>Database!BBB5</f>
        <v>0</v>
      </c>
      <c r="BAJ3">
        <f>Database!BBC5</f>
        <v>0</v>
      </c>
      <c r="BAK3">
        <f>Database!BBD5</f>
        <v>0</v>
      </c>
      <c r="BAL3">
        <f>Database!BBE5</f>
        <v>0</v>
      </c>
      <c r="BAM3">
        <f>Database!BBF5</f>
        <v>0</v>
      </c>
      <c r="BAN3">
        <f>Database!BBG5</f>
        <v>0</v>
      </c>
      <c r="BAO3">
        <f>Database!BBH5</f>
        <v>0</v>
      </c>
      <c r="BAP3">
        <f>Database!BBI5</f>
        <v>0</v>
      </c>
      <c r="BAQ3">
        <f>Database!BBJ5</f>
        <v>0</v>
      </c>
      <c r="BAR3">
        <f>Database!BBK5</f>
        <v>0</v>
      </c>
      <c r="BAS3">
        <f>Database!BBL5</f>
        <v>0</v>
      </c>
      <c r="BAT3">
        <f>Database!BBM5</f>
        <v>0</v>
      </c>
      <c r="BAU3">
        <f>Database!BBN5</f>
        <v>0</v>
      </c>
      <c r="BAV3">
        <f>Database!BBO5</f>
        <v>0</v>
      </c>
      <c r="BAW3">
        <f>Database!BBP5</f>
        <v>0</v>
      </c>
      <c r="BAX3">
        <f>Database!BBQ5</f>
        <v>0</v>
      </c>
      <c r="BAY3">
        <f>Database!BBR5</f>
        <v>0</v>
      </c>
      <c r="BAZ3">
        <f>Database!BBS5</f>
        <v>0</v>
      </c>
      <c r="BBA3">
        <f>Database!BBT5</f>
        <v>0</v>
      </c>
      <c r="BBB3">
        <f>Database!BBU5</f>
        <v>0</v>
      </c>
      <c r="BBC3">
        <f>Database!BBV5</f>
        <v>0</v>
      </c>
      <c r="BBD3">
        <f>Database!BBW5</f>
        <v>0</v>
      </c>
      <c r="BBE3">
        <f>Database!BBX5</f>
        <v>0</v>
      </c>
      <c r="BBF3">
        <f>Database!BBY5</f>
        <v>0</v>
      </c>
      <c r="BBG3">
        <f>Database!BBZ5</f>
        <v>0</v>
      </c>
      <c r="BBH3">
        <f>Database!BCA5</f>
        <v>0</v>
      </c>
      <c r="BBI3">
        <f>Database!BCB5</f>
        <v>0</v>
      </c>
      <c r="BBJ3">
        <f>Database!BCC5</f>
        <v>0</v>
      </c>
      <c r="BBK3">
        <f>Database!BCD5</f>
        <v>0</v>
      </c>
      <c r="BBL3">
        <f>Database!BCE5</f>
        <v>0</v>
      </c>
      <c r="BBM3">
        <f>Database!BCF5</f>
        <v>0</v>
      </c>
      <c r="BBN3">
        <f>Database!BCG5</f>
        <v>0</v>
      </c>
      <c r="BBO3">
        <f>Database!BCH5</f>
        <v>0</v>
      </c>
      <c r="BBP3">
        <f>Database!BCI5</f>
        <v>0</v>
      </c>
      <c r="BBQ3">
        <f>Database!BCJ5</f>
        <v>0</v>
      </c>
      <c r="BBR3">
        <f>Database!BCK5</f>
        <v>0</v>
      </c>
      <c r="BBS3">
        <f>Database!BCL5</f>
        <v>0</v>
      </c>
      <c r="BBT3">
        <f>Database!BCM5</f>
        <v>0</v>
      </c>
      <c r="BBU3">
        <f>Database!BCN5</f>
        <v>0</v>
      </c>
      <c r="BBV3">
        <f>Database!BCO5</f>
        <v>0</v>
      </c>
      <c r="BBW3">
        <f>Database!BCP5</f>
        <v>0</v>
      </c>
      <c r="BBX3">
        <f>Database!BCQ5</f>
        <v>0</v>
      </c>
      <c r="BBY3">
        <f>Database!BCR5</f>
        <v>0</v>
      </c>
      <c r="BBZ3">
        <f>Database!BCS5</f>
        <v>0</v>
      </c>
      <c r="BCA3">
        <f>Database!BCT5</f>
        <v>0</v>
      </c>
      <c r="BCB3">
        <f>Database!BCU5</f>
        <v>0</v>
      </c>
      <c r="BCC3">
        <f>Database!BCV5</f>
        <v>0</v>
      </c>
      <c r="BCD3">
        <f>Database!BCW5</f>
        <v>0</v>
      </c>
      <c r="BCE3">
        <f>Database!BCX5</f>
        <v>0</v>
      </c>
      <c r="BCF3">
        <f>Database!BCY5</f>
        <v>0</v>
      </c>
      <c r="BCG3">
        <f>Database!BCZ5</f>
        <v>0</v>
      </c>
      <c r="BCH3">
        <f>Database!BDA5</f>
        <v>0</v>
      </c>
      <c r="BCI3">
        <f>Database!BDB5</f>
        <v>0</v>
      </c>
      <c r="BCJ3">
        <f>Database!BDC5</f>
        <v>0</v>
      </c>
      <c r="BCK3">
        <f>Database!BDD5</f>
        <v>0</v>
      </c>
      <c r="BCL3">
        <f>Database!BDE5</f>
        <v>0</v>
      </c>
      <c r="BCM3">
        <f>Database!BDF5</f>
        <v>0</v>
      </c>
      <c r="BCN3">
        <f>Database!BDG5</f>
        <v>0</v>
      </c>
      <c r="BCO3">
        <f>Database!BDH5</f>
        <v>0</v>
      </c>
      <c r="BCP3">
        <f>Database!BDI5</f>
        <v>0</v>
      </c>
      <c r="BCQ3">
        <f>Database!BDJ5</f>
        <v>0</v>
      </c>
      <c r="BCR3">
        <f>Database!BDK5</f>
        <v>0</v>
      </c>
      <c r="BCS3">
        <f>Database!BDL5</f>
        <v>0</v>
      </c>
      <c r="BCT3">
        <f>Database!BDM5</f>
        <v>0</v>
      </c>
      <c r="BCU3">
        <f>Database!BDN5</f>
        <v>0</v>
      </c>
      <c r="BCV3">
        <f>Database!BDO5</f>
        <v>0</v>
      </c>
      <c r="BCW3">
        <f>Database!BDP5</f>
        <v>0</v>
      </c>
      <c r="BCX3">
        <f>Database!BDQ5</f>
        <v>0</v>
      </c>
      <c r="BCY3">
        <f>Database!BDR5</f>
        <v>0</v>
      </c>
      <c r="BCZ3">
        <f>Database!BDS5</f>
        <v>0</v>
      </c>
      <c r="BDA3">
        <f>Database!BDT5</f>
        <v>0</v>
      </c>
      <c r="BDB3">
        <f>Database!BDU5</f>
        <v>0</v>
      </c>
      <c r="BDC3">
        <f>Database!BDV5</f>
        <v>0</v>
      </c>
      <c r="BDD3">
        <f>Database!BDW5</f>
        <v>0</v>
      </c>
      <c r="BDE3">
        <f>Database!BDX5</f>
        <v>0</v>
      </c>
      <c r="BDF3">
        <f>Database!BDY5</f>
        <v>0</v>
      </c>
      <c r="BDG3">
        <f>Database!BDZ5</f>
        <v>0</v>
      </c>
      <c r="BDH3">
        <f>Database!BEA5</f>
        <v>0</v>
      </c>
      <c r="BDI3">
        <f>Database!BEB5</f>
        <v>0</v>
      </c>
      <c r="BDJ3">
        <f>Database!BEC5</f>
        <v>0</v>
      </c>
      <c r="BDK3">
        <f>Database!BED5</f>
        <v>0</v>
      </c>
      <c r="BDL3">
        <f>Database!BEE5</f>
        <v>0</v>
      </c>
      <c r="BDM3">
        <f>Database!BEF5</f>
        <v>0</v>
      </c>
      <c r="BDN3">
        <f>Database!BEG5</f>
        <v>0</v>
      </c>
      <c r="BDO3">
        <f>Database!BEH5</f>
        <v>0</v>
      </c>
      <c r="BDP3">
        <f>Database!BEI5</f>
        <v>0</v>
      </c>
      <c r="BDQ3">
        <f>Database!BEJ5</f>
        <v>0</v>
      </c>
      <c r="BDR3">
        <f>Database!BEK5</f>
        <v>0</v>
      </c>
      <c r="BDS3">
        <f>Database!BEL5</f>
        <v>0</v>
      </c>
      <c r="BDT3">
        <f>Database!BEM5</f>
        <v>0</v>
      </c>
      <c r="BDU3">
        <f>Database!BEN5</f>
        <v>0</v>
      </c>
      <c r="BDV3">
        <f>Database!BEO5</f>
        <v>0</v>
      </c>
      <c r="BDW3">
        <f>Database!BEP5</f>
        <v>0</v>
      </c>
      <c r="BDX3">
        <f>Database!BEQ5</f>
        <v>0</v>
      </c>
      <c r="BDY3">
        <f>Database!BER5</f>
        <v>0</v>
      </c>
      <c r="BDZ3">
        <f>Database!BES5</f>
        <v>0</v>
      </c>
      <c r="BEA3">
        <f>Database!BET5</f>
        <v>0</v>
      </c>
      <c r="BEB3">
        <f>Database!BEU5</f>
        <v>0</v>
      </c>
      <c r="BEC3">
        <f>Database!BEV5</f>
        <v>0</v>
      </c>
      <c r="BED3">
        <f>Database!BEW5</f>
        <v>0</v>
      </c>
      <c r="BEE3">
        <f>Database!BEX5</f>
        <v>0</v>
      </c>
      <c r="BEF3">
        <f>Database!BEY5</f>
        <v>0</v>
      </c>
      <c r="BEG3">
        <f>Database!BEZ5</f>
        <v>0</v>
      </c>
      <c r="BEH3">
        <f>Database!BFA5</f>
        <v>0</v>
      </c>
      <c r="BEI3">
        <f>Database!BFB5</f>
        <v>0</v>
      </c>
      <c r="BEJ3">
        <f>Database!BFC5</f>
        <v>0</v>
      </c>
      <c r="BEK3">
        <f>Database!BFD5</f>
        <v>0</v>
      </c>
      <c r="BEL3">
        <f>Database!BFE5</f>
        <v>0</v>
      </c>
      <c r="BEM3">
        <f>Database!BFF5</f>
        <v>0</v>
      </c>
      <c r="BEN3">
        <f>Database!BFG5</f>
        <v>0</v>
      </c>
      <c r="BEO3">
        <f>Database!BFH5</f>
        <v>0</v>
      </c>
      <c r="BEP3">
        <f>Database!BFI5</f>
        <v>0</v>
      </c>
      <c r="BEQ3">
        <f>Database!BFJ5</f>
        <v>0</v>
      </c>
      <c r="BER3">
        <f>Database!BFK5</f>
        <v>0</v>
      </c>
      <c r="BES3">
        <f>Database!BFL5</f>
        <v>0</v>
      </c>
      <c r="BET3">
        <f>Database!BFM5</f>
        <v>0</v>
      </c>
      <c r="BEU3">
        <f>Database!BFN5</f>
        <v>0</v>
      </c>
      <c r="BEV3">
        <f>Database!BFO5</f>
        <v>0</v>
      </c>
      <c r="BEW3">
        <f>Database!BFP5</f>
        <v>0</v>
      </c>
      <c r="BEX3">
        <f>Database!BFQ5</f>
        <v>0</v>
      </c>
      <c r="BEY3">
        <f>Database!BFR5</f>
        <v>0</v>
      </c>
      <c r="BEZ3">
        <f>Database!BFS5</f>
        <v>0</v>
      </c>
      <c r="BFA3">
        <f>Database!BFT5</f>
        <v>0</v>
      </c>
      <c r="BFB3">
        <f>Database!BFU5</f>
        <v>0</v>
      </c>
      <c r="BFC3">
        <f>Database!BFV5</f>
        <v>0</v>
      </c>
      <c r="BFD3">
        <f>Database!BFW5</f>
        <v>0</v>
      </c>
      <c r="BFE3">
        <f>Database!BFX5</f>
        <v>0</v>
      </c>
      <c r="BFF3">
        <f>Database!BFY5</f>
        <v>0</v>
      </c>
      <c r="BFG3">
        <f>Database!BFZ5</f>
        <v>0</v>
      </c>
      <c r="BFH3">
        <f>Database!BGA5</f>
        <v>0</v>
      </c>
      <c r="BFI3">
        <f>Database!BGB5</f>
        <v>0</v>
      </c>
      <c r="BFJ3">
        <f>Database!BGC5</f>
        <v>0</v>
      </c>
      <c r="BFK3">
        <f>Database!BGD5</f>
        <v>0</v>
      </c>
      <c r="BFL3">
        <f>Database!BGE5</f>
        <v>0</v>
      </c>
      <c r="BFM3">
        <f>Database!BGF5</f>
        <v>0</v>
      </c>
      <c r="BFN3">
        <f>Database!BGG5</f>
        <v>0</v>
      </c>
      <c r="BFO3">
        <f>Database!BGH5</f>
        <v>0</v>
      </c>
      <c r="BFP3">
        <f>Database!BGI5</f>
        <v>0</v>
      </c>
      <c r="BFQ3">
        <f>Database!BGJ5</f>
        <v>0</v>
      </c>
      <c r="BFR3">
        <f>Database!BGK5</f>
        <v>0</v>
      </c>
      <c r="BFS3">
        <f>Database!BGL5</f>
        <v>0</v>
      </c>
      <c r="BFT3">
        <f>Database!BGM5</f>
        <v>0</v>
      </c>
      <c r="BFU3">
        <f>Database!BGN5</f>
        <v>0</v>
      </c>
      <c r="BFV3">
        <f>Database!BGO5</f>
        <v>0</v>
      </c>
      <c r="BFW3">
        <f>Database!BGP5</f>
        <v>0</v>
      </c>
      <c r="BFX3">
        <f>Database!BGQ5</f>
        <v>0</v>
      </c>
      <c r="BFY3">
        <f>Database!BGR5</f>
        <v>0</v>
      </c>
      <c r="BFZ3">
        <f>Database!BGS5</f>
        <v>0</v>
      </c>
      <c r="BGA3">
        <f>Database!BGT5</f>
        <v>0</v>
      </c>
      <c r="BGB3">
        <f>Database!BGU5</f>
        <v>0</v>
      </c>
      <c r="BGC3">
        <f>Database!BGV5</f>
        <v>0</v>
      </c>
      <c r="BGD3">
        <f>Database!BGW5</f>
        <v>0</v>
      </c>
      <c r="BGE3">
        <f>Database!BGX5</f>
        <v>0</v>
      </c>
      <c r="BGF3">
        <f>Database!BGY5</f>
        <v>0</v>
      </c>
      <c r="BGG3">
        <f>Database!BGZ5</f>
        <v>0</v>
      </c>
      <c r="BGH3">
        <f>Database!BHA5</f>
        <v>0</v>
      </c>
      <c r="BGI3">
        <f>Database!BHB5</f>
        <v>0</v>
      </c>
      <c r="BGJ3">
        <f>Database!BHC5</f>
        <v>0</v>
      </c>
      <c r="BGK3">
        <f>Database!BHD5</f>
        <v>0</v>
      </c>
      <c r="BGL3">
        <f>Database!BHE5</f>
        <v>0</v>
      </c>
      <c r="BGM3">
        <f>Database!BHF5</f>
        <v>0</v>
      </c>
      <c r="BGN3">
        <f>Database!BHG5</f>
        <v>0</v>
      </c>
      <c r="BGO3">
        <f>Database!BHH5</f>
        <v>0</v>
      </c>
      <c r="BGP3">
        <f>Database!BHI5</f>
        <v>0</v>
      </c>
      <c r="BGQ3">
        <f>Database!BHJ5</f>
        <v>0</v>
      </c>
      <c r="BGR3">
        <f>Database!BHK5</f>
        <v>0</v>
      </c>
      <c r="BGS3">
        <f>Database!BHL5</f>
        <v>0</v>
      </c>
      <c r="BGT3">
        <f>Database!BHM5</f>
        <v>0</v>
      </c>
      <c r="BGU3">
        <f>Database!BHN5</f>
        <v>0</v>
      </c>
      <c r="BGV3">
        <f>Database!BHO5</f>
        <v>0</v>
      </c>
      <c r="BGW3">
        <f>Database!BHP5</f>
        <v>0</v>
      </c>
      <c r="BGX3">
        <f>Database!BHQ5</f>
        <v>0</v>
      </c>
      <c r="BGY3">
        <f>Database!BHR5</f>
        <v>0</v>
      </c>
      <c r="BGZ3">
        <f>Database!BHS5</f>
        <v>0</v>
      </c>
      <c r="BHA3">
        <f>Database!BHT5</f>
        <v>0</v>
      </c>
      <c r="BHB3">
        <f>Database!BHU5</f>
        <v>0</v>
      </c>
      <c r="BHC3">
        <f>Database!BHV5</f>
        <v>0</v>
      </c>
      <c r="BHD3">
        <f>Database!BHW5</f>
        <v>0</v>
      </c>
      <c r="BHE3">
        <f>Database!BHX5</f>
        <v>0</v>
      </c>
      <c r="BHF3">
        <f>Database!BHY5</f>
        <v>0</v>
      </c>
      <c r="BHG3">
        <f>Database!BHZ5</f>
        <v>0</v>
      </c>
      <c r="BHH3">
        <f>Database!BIA5</f>
        <v>0</v>
      </c>
      <c r="BHI3">
        <f>Database!BIB5</f>
        <v>0</v>
      </c>
      <c r="BHJ3">
        <f>Database!BIC5</f>
        <v>0</v>
      </c>
      <c r="BHK3">
        <f>Database!BID5</f>
        <v>0</v>
      </c>
      <c r="BHL3">
        <f>Database!BIE5</f>
        <v>0</v>
      </c>
      <c r="BHM3">
        <f>Database!BIF5</f>
        <v>0</v>
      </c>
      <c r="BHN3">
        <f>Database!BIG5</f>
        <v>0</v>
      </c>
      <c r="BHO3">
        <f>Database!BIH5</f>
        <v>0</v>
      </c>
      <c r="BHP3">
        <f>Database!BII5</f>
        <v>0</v>
      </c>
      <c r="BHQ3">
        <f>Database!BIJ5</f>
        <v>0</v>
      </c>
      <c r="BHR3">
        <f>Database!BIK5</f>
        <v>0</v>
      </c>
      <c r="BHS3">
        <f>Database!BIL5</f>
        <v>0</v>
      </c>
      <c r="BHT3">
        <f>Database!BIM5</f>
        <v>0</v>
      </c>
      <c r="BHU3">
        <f>Database!BIN5</f>
        <v>0</v>
      </c>
      <c r="BHV3">
        <f>Database!BIO5</f>
        <v>0</v>
      </c>
      <c r="BHW3">
        <f>Database!BIP5</f>
        <v>0</v>
      </c>
      <c r="BHX3">
        <f>Database!BIQ5</f>
        <v>0</v>
      </c>
      <c r="BHY3">
        <f>Database!BIR5</f>
        <v>0</v>
      </c>
      <c r="BHZ3">
        <f>Database!BIS5</f>
        <v>0</v>
      </c>
      <c r="BIA3">
        <f>Database!BIT5</f>
        <v>0</v>
      </c>
      <c r="BIB3">
        <f>Database!BIU5</f>
        <v>0</v>
      </c>
      <c r="BIC3">
        <f>Database!BIV5</f>
        <v>0</v>
      </c>
      <c r="BID3">
        <f>Database!BIW5</f>
        <v>0</v>
      </c>
      <c r="BIE3">
        <f>Database!BIX5</f>
        <v>0</v>
      </c>
      <c r="BIF3">
        <f>Database!BIY5</f>
        <v>0</v>
      </c>
      <c r="BIG3">
        <f>Database!BIZ5</f>
        <v>0</v>
      </c>
      <c r="BIH3">
        <f>Database!BJA5</f>
        <v>0</v>
      </c>
      <c r="BII3">
        <f>Database!BJB5</f>
        <v>0</v>
      </c>
      <c r="BIJ3">
        <f>Database!BJC5</f>
        <v>0</v>
      </c>
      <c r="BIK3">
        <f>Database!BJD5</f>
        <v>0</v>
      </c>
      <c r="BIL3">
        <f>Database!BJE5</f>
        <v>0</v>
      </c>
      <c r="BIM3">
        <f>Database!BJF5</f>
        <v>0</v>
      </c>
      <c r="BIN3">
        <f>Database!BJG5</f>
        <v>0</v>
      </c>
      <c r="BIO3">
        <f>Database!BJH5</f>
        <v>0</v>
      </c>
      <c r="BIP3">
        <f>Database!BJI5</f>
        <v>0</v>
      </c>
      <c r="BIQ3">
        <f>Database!BJJ5</f>
        <v>0</v>
      </c>
      <c r="BIR3">
        <f>Database!BJK5</f>
        <v>0</v>
      </c>
      <c r="BIS3">
        <f>Database!BJL5</f>
        <v>0</v>
      </c>
      <c r="BIT3">
        <f>Database!BJM5</f>
        <v>0</v>
      </c>
      <c r="BIU3">
        <f>Database!BJN5</f>
        <v>0</v>
      </c>
      <c r="BIV3">
        <f>Database!BJO5</f>
        <v>0</v>
      </c>
      <c r="BIW3">
        <f>Database!BJP5</f>
        <v>0</v>
      </c>
      <c r="BIX3">
        <f>Database!BJQ5</f>
        <v>0</v>
      </c>
      <c r="BIY3">
        <f>Database!BJR5</f>
        <v>0</v>
      </c>
      <c r="BIZ3">
        <f>Database!BJS5</f>
        <v>0</v>
      </c>
      <c r="BJA3">
        <f>Database!BJT5</f>
        <v>0</v>
      </c>
      <c r="BJB3">
        <f>Database!BJU5</f>
        <v>0</v>
      </c>
      <c r="BJC3">
        <f>Database!BJV5</f>
        <v>0</v>
      </c>
      <c r="BJD3">
        <f>Database!BJW5</f>
        <v>0</v>
      </c>
      <c r="BJE3">
        <f>Database!BJX5</f>
        <v>0</v>
      </c>
      <c r="BJF3">
        <f>Database!BJY5</f>
        <v>0</v>
      </c>
      <c r="BJG3">
        <f>Database!BJZ5</f>
        <v>0</v>
      </c>
      <c r="BJH3">
        <f>Database!BKA5</f>
        <v>0</v>
      </c>
      <c r="BJI3">
        <f>Database!BKB5</f>
        <v>0</v>
      </c>
      <c r="BJJ3">
        <f>Database!BKC5</f>
        <v>0</v>
      </c>
      <c r="BJK3">
        <f>Database!BKD5</f>
        <v>0</v>
      </c>
      <c r="BJL3">
        <f>Database!BKE5</f>
        <v>0</v>
      </c>
      <c r="BJM3">
        <f>Database!BKF5</f>
        <v>0</v>
      </c>
      <c r="BJN3">
        <f>Database!BKG5</f>
        <v>0</v>
      </c>
      <c r="BJO3">
        <f>Database!BKH5</f>
        <v>0</v>
      </c>
      <c r="BJP3">
        <f>Database!BKI5</f>
        <v>0</v>
      </c>
      <c r="BJQ3">
        <f>Database!BKJ5</f>
        <v>0</v>
      </c>
      <c r="BJR3">
        <f>Database!BKK5</f>
        <v>0</v>
      </c>
      <c r="BJS3">
        <f>Database!BKL5</f>
        <v>0</v>
      </c>
      <c r="BJT3">
        <f>Database!BKM5</f>
        <v>0</v>
      </c>
      <c r="BJU3">
        <f>Database!BKN5</f>
        <v>0</v>
      </c>
      <c r="BJV3">
        <f>Database!BKO5</f>
        <v>0</v>
      </c>
      <c r="BJW3">
        <f>Database!BKP5</f>
        <v>0</v>
      </c>
      <c r="BJX3">
        <f>Database!BKQ5</f>
        <v>0</v>
      </c>
      <c r="BJY3">
        <f>Database!BKR5</f>
        <v>0</v>
      </c>
      <c r="BJZ3">
        <f>Database!BKS5</f>
        <v>0</v>
      </c>
      <c r="BKA3">
        <f>Database!BKT5</f>
        <v>0</v>
      </c>
      <c r="BKB3">
        <f>Database!BKU5</f>
        <v>0</v>
      </c>
      <c r="BKC3">
        <f>Database!BKV5</f>
        <v>0</v>
      </c>
      <c r="BKD3">
        <f>Database!BKW5</f>
        <v>0</v>
      </c>
      <c r="BKE3">
        <f>Database!BKX5</f>
        <v>0</v>
      </c>
      <c r="BKF3">
        <f>Database!BKY5</f>
        <v>0</v>
      </c>
      <c r="BKG3">
        <f>Database!BKZ5</f>
        <v>0</v>
      </c>
      <c r="BKH3">
        <f>Database!BLA5</f>
        <v>0</v>
      </c>
      <c r="BKI3">
        <f>Database!BLB5</f>
        <v>0</v>
      </c>
      <c r="BKJ3">
        <f>Database!BLC5</f>
        <v>0</v>
      </c>
      <c r="BKK3">
        <f>Database!BLD5</f>
        <v>0</v>
      </c>
      <c r="BKL3">
        <f>Database!BLE5</f>
        <v>0</v>
      </c>
      <c r="BKM3">
        <f>Database!BLF5</f>
        <v>0</v>
      </c>
      <c r="BKN3">
        <f>Database!BLG5</f>
        <v>0</v>
      </c>
      <c r="BKO3">
        <f>Database!BLH5</f>
        <v>0</v>
      </c>
      <c r="BKP3">
        <f>Database!BLI5</f>
        <v>0</v>
      </c>
      <c r="BKQ3">
        <f>Database!BLJ5</f>
        <v>0</v>
      </c>
      <c r="BKR3">
        <f>Database!BLK5</f>
        <v>0</v>
      </c>
      <c r="BKS3">
        <f>Database!BLL5</f>
        <v>0</v>
      </c>
      <c r="BKT3">
        <f>Database!BLM5</f>
        <v>0</v>
      </c>
      <c r="BKU3">
        <f>Database!BLN5</f>
        <v>0</v>
      </c>
      <c r="BKV3">
        <f>Database!BLO5</f>
        <v>0</v>
      </c>
      <c r="BKW3">
        <f>Database!BLP5</f>
        <v>0</v>
      </c>
      <c r="BKX3">
        <f>Database!BLQ5</f>
        <v>0</v>
      </c>
      <c r="BKY3">
        <f>Database!BLR5</f>
        <v>0</v>
      </c>
      <c r="BKZ3">
        <f>Database!BLS5</f>
        <v>0</v>
      </c>
      <c r="BLA3">
        <f>Database!BLT5</f>
        <v>0</v>
      </c>
      <c r="BLB3">
        <f>Database!BLU5</f>
        <v>0</v>
      </c>
      <c r="BLC3">
        <f>Database!BLV5</f>
        <v>0</v>
      </c>
      <c r="BLD3">
        <f>Database!BLW5</f>
        <v>0</v>
      </c>
      <c r="BLE3">
        <f>Database!BLX5</f>
        <v>0</v>
      </c>
      <c r="BLF3">
        <f>Database!BLY5</f>
        <v>0</v>
      </c>
      <c r="BLG3">
        <f>Database!BLZ5</f>
        <v>0</v>
      </c>
      <c r="BLH3">
        <f>Database!BMA5</f>
        <v>0</v>
      </c>
      <c r="BLI3">
        <f>Database!BMB5</f>
        <v>0</v>
      </c>
      <c r="BLJ3">
        <f>Database!BMC5</f>
        <v>0</v>
      </c>
      <c r="BLK3">
        <f>Database!BMD5</f>
        <v>0</v>
      </c>
      <c r="BLL3">
        <f>Database!BME5</f>
        <v>0</v>
      </c>
      <c r="BLM3">
        <f>Database!BMF5</f>
        <v>0</v>
      </c>
      <c r="BLN3">
        <f>Database!BMG5</f>
        <v>0</v>
      </c>
      <c r="BLO3">
        <f>Database!BMH5</f>
        <v>0</v>
      </c>
      <c r="BLP3">
        <f>Database!BMI5</f>
        <v>0</v>
      </c>
      <c r="BLQ3">
        <f>Database!BMJ5</f>
        <v>0</v>
      </c>
      <c r="BLR3">
        <f>Database!BMK5</f>
        <v>0</v>
      </c>
      <c r="BLS3">
        <f>Database!BML5</f>
        <v>0</v>
      </c>
      <c r="BLT3">
        <f>Database!BMM5</f>
        <v>0</v>
      </c>
      <c r="BLU3">
        <f>Database!BMN5</f>
        <v>0</v>
      </c>
      <c r="BLV3">
        <f>Database!BMO5</f>
        <v>0</v>
      </c>
      <c r="BLW3">
        <f>Database!BMP5</f>
        <v>0</v>
      </c>
      <c r="BLX3">
        <f>Database!BMQ5</f>
        <v>0</v>
      </c>
      <c r="BLY3">
        <f>Database!BMR5</f>
        <v>0</v>
      </c>
      <c r="BLZ3">
        <f>Database!BMS5</f>
        <v>0</v>
      </c>
      <c r="BMA3">
        <f>Database!BMT5</f>
        <v>0</v>
      </c>
      <c r="BMB3">
        <f>Database!BMU5</f>
        <v>0</v>
      </c>
      <c r="BMC3">
        <f>Database!BMV5</f>
        <v>0</v>
      </c>
      <c r="BMD3">
        <f>Database!BMW5</f>
        <v>0</v>
      </c>
      <c r="BME3">
        <f>Database!BMX5</f>
        <v>0</v>
      </c>
      <c r="BMF3">
        <f>Database!BMY5</f>
        <v>0</v>
      </c>
      <c r="BMG3">
        <f>Database!BMZ5</f>
        <v>0</v>
      </c>
      <c r="BMH3">
        <f>Database!BNA5</f>
        <v>0</v>
      </c>
      <c r="BMI3">
        <f>Database!BNB5</f>
        <v>0</v>
      </c>
      <c r="BMJ3">
        <f>Database!BNC5</f>
        <v>0</v>
      </c>
      <c r="BMK3">
        <f>Database!BND5</f>
        <v>0</v>
      </c>
      <c r="BML3">
        <f>Database!BNE5</f>
        <v>0</v>
      </c>
      <c r="BMM3">
        <f>Database!BNF5</f>
        <v>0</v>
      </c>
      <c r="BMN3">
        <f>Database!BNG5</f>
        <v>0</v>
      </c>
      <c r="BMO3">
        <f>Database!BNH5</f>
        <v>0</v>
      </c>
      <c r="BMP3">
        <f>Database!BNI5</f>
        <v>0</v>
      </c>
      <c r="BMQ3">
        <f>Database!BNJ5</f>
        <v>0</v>
      </c>
      <c r="BMR3">
        <f>Database!BNK5</f>
        <v>0</v>
      </c>
      <c r="BMS3">
        <f>Database!BNL5</f>
        <v>0</v>
      </c>
      <c r="BMT3">
        <f>Database!BNM5</f>
        <v>0</v>
      </c>
      <c r="BMU3">
        <f>Database!BNN5</f>
        <v>0</v>
      </c>
      <c r="BMV3">
        <f>Database!BNO5</f>
        <v>0</v>
      </c>
      <c r="BMW3">
        <f>Database!BNP5</f>
        <v>0</v>
      </c>
      <c r="BMX3">
        <f>Database!BNQ5</f>
        <v>0</v>
      </c>
      <c r="BMY3">
        <f>Database!BNR5</f>
        <v>0</v>
      </c>
      <c r="BMZ3">
        <f>Database!BNS5</f>
        <v>0</v>
      </c>
      <c r="BNA3">
        <f>Database!BNT5</f>
        <v>0</v>
      </c>
      <c r="BNB3">
        <f>Database!BNU5</f>
        <v>0</v>
      </c>
      <c r="BNC3">
        <f>Database!BNV5</f>
        <v>0</v>
      </c>
      <c r="BND3">
        <f>Database!BNW5</f>
        <v>0</v>
      </c>
      <c r="BNE3">
        <f>Database!BNX5</f>
        <v>0</v>
      </c>
      <c r="BNF3">
        <f>Database!BNY5</f>
        <v>0</v>
      </c>
      <c r="BNG3">
        <f>Database!BNZ5</f>
        <v>0</v>
      </c>
      <c r="BNH3">
        <f>Database!BOA5</f>
        <v>0</v>
      </c>
      <c r="BNI3">
        <f>Database!BOB5</f>
        <v>0</v>
      </c>
      <c r="BNJ3">
        <f>Database!BOC5</f>
        <v>0</v>
      </c>
      <c r="BNK3">
        <f>Database!BOD5</f>
        <v>0</v>
      </c>
      <c r="BNL3">
        <f>Database!BOE5</f>
        <v>0</v>
      </c>
      <c r="BNM3">
        <f>Database!BOF5</f>
        <v>0</v>
      </c>
      <c r="BNN3">
        <f>Database!BOG5</f>
        <v>0</v>
      </c>
      <c r="BNO3">
        <f>Database!BOH5</f>
        <v>0</v>
      </c>
      <c r="BNP3">
        <f>Database!BOI5</f>
        <v>0</v>
      </c>
      <c r="BNQ3">
        <f>Database!BOJ5</f>
        <v>0</v>
      </c>
      <c r="BNR3">
        <f>Database!BOK5</f>
        <v>0</v>
      </c>
      <c r="BNS3">
        <f>Database!BOL5</f>
        <v>0</v>
      </c>
      <c r="BNT3">
        <f>Database!BOM5</f>
        <v>0</v>
      </c>
      <c r="BNU3">
        <f>Database!BON5</f>
        <v>0</v>
      </c>
      <c r="BNV3">
        <f>Database!BOO5</f>
        <v>0</v>
      </c>
      <c r="BNW3">
        <f>Database!BOP5</f>
        <v>0</v>
      </c>
      <c r="BNX3">
        <f>Database!BOQ5</f>
        <v>0</v>
      </c>
      <c r="BNY3">
        <f>Database!BOR5</f>
        <v>0</v>
      </c>
      <c r="BNZ3">
        <f>Database!BOS5</f>
        <v>0</v>
      </c>
      <c r="BOA3">
        <f>Database!BOT5</f>
        <v>0</v>
      </c>
      <c r="BOB3">
        <f>Database!BOU5</f>
        <v>0</v>
      </c>
      <c r="BOC3">
        <f>Database!BOV5</f>
        <v>0</v>
      </c>
      <c r="BOD3">
        <f>Database!BOW5</f>
        <v>0</v>
      </c>
      <c r="BOE3">
        <f>Database!BOX5</f>
        <v>0</v>
      </c>
      <c r="BOF3">
        <f>Database!BOY5</f>
        <v>0</v>
      </c>
      <c r="BOG3">
        <f>Database!BOZ5</f>
        <v>0</v>
      </c>
      <c r="BOH3">
        <f>Database!BPA5</f>
        <v>0</v>
      </c>
      <c r="BOI3">
        <f>Database!BPB5</f>
        <v>0</v>
      </c>
      <c r="BOJ3">
        <f>Database!BPC5</f>
        <v>0</v>
      </c>
      <c r="BOK3">
        <f>Database!BPD5</f>
        <v>0</v>
      </c>
      <c r="BOL3">
        <f>Database!BPE5</f>
        <v>0</v>
      </c>
      <c r="BOM3">
        <f>Database!BPF5</f>
        <v>0</v>
      </c>
      <c r="BON3">
        <f>Database!BPG5</f>
        <v>0</v>
      </c>
      <c r="BOO3">
        <f>Database!BPH5</f>
        <v>0</v>
      </c>
      <c r="BOP3">
        <f>Database!BPI5</f>
        <v>0</v>
      </c>
      <c r="BOQ3">
        <f>Database!BPJ5</f>
        <v>0</v>
      </c>
      <c r="BOR3">
        <f>Database!BPK5</f>
        <v>0</v>
      </c>
      <c r="BOS3">
        <f>Database!BPL5</f>
        <v>0</v>
      </c>
      <c r="BOT3">
        <f>Database!BPM5</f>
        <v>0</v>
      </c>
      <c r="BOU3">
        <f>Database!BPN5</f>
        <v>0</v>
      </c>
      <c r="BOV3">
        <f>Database!BPO5</f>
        <v>0</v>
      </c>
      <c r="BOW3">
        <f>Database!BPP5</f>
        <v>0</v>
      </c>
      <c r="BOX3">
        <f>Database!BPQ5</f>
        <v>0</v>
      </c>
      <c r="BOY3">
        <f>Database!BPR5</f>
        <v>0</v>
      </c>
      <c r="BOZ3">
        <f>Database!BPS5</f>
        <v>0</v>
      </c>
      <c r="BPA3">
        <f>Database!BPT5</f>
        <v>0</v>
      </c>
      <c r="BPB3">
        <f>Database!BPU5</f>
        <v>0</v>
      </c>
      <c r="BPC3">
        <f>Database!BPV5</f>
        <v>0</v>
      </c>
      <c r="BPD3">
        <f>Database!BPW5</f>
        <v>0</v>
      </c>
      <c r="BPE3">
        <f>Database!BPX5</f>
        <v>0</v>
      </c>
      <c r="BPF3">
        <f>Database!BPY5</f>
        <v>0</v>
      </c>
      <c r="BPG3">
        <f>Database!BPZ5</f>
        <v>0</v>
      </c>
      <c r="BPH3">
        <f>Database!BQA5</f>
        <v>0</v>
      </c>
      <c r="BPI3">
        <f>Database!BQB5</f>
        <v>0</v>
      </c>
      <c r="BPJ3">
        <f>Database!BQC5</f>
        <v>0</v>
      </c>
      <c r="BPK3">
        <f>Database!BQD5</f>
        <v>0</v>
      </c>
      <c r="BPL3">
        <f>Database!BQE5</f>
        <v>0</v>
      </c>
      <c r="BPM3">
        <f>Database!BQF5</f>
        <v>0</v>
      </c>
      <c r="BPN3">
        <f>Database!BQG5</f>
        <v>0</v>
      </c>
      <c r="BPO3">
        <f>Database!BQH5</f>
        <v>0</v>
      </c>
      <c r="BPP3">
        <f>Database!BQI5</f>
        <v>0</v>
      </c>
      <c r="BPQ3">
        <f>Database!BQJ5</f>
        <v>0</v>
      </c>
      <c r="BPR3">
        <f>Database!BQK5</f>
        <v>0</v>
      </c>
      <c r="BPS3">
        <f>Database!BQL5</f>
        <v>0</v>
      </c>
      <c r="BPT3">
        <f>Database!BQM5</f>
        <v>0</v>
      </c>
      <c r="BPU3">
        <f>Database!BQN5</f>
        <v>0</v>
      </c>
      <c r="BPV3">
        <f>Database!BQO5</f>
        <v>0</v>
      </c>
      <c r="BPW3">
        <f>Database!BQP5</f>
        <v>0</v>
      </c>
      <c r="BPX3">
        <f>Database!BQQ5</f>
        <v>0</v>
      </c>
      <c r="BPY3">
        <f>Database!BQR5</f>
        <v>0</v>
      </c>
      <c r="BPZ3">
        <f>Database!BQS5</f>
        <v>0</v>
      </c>
      <c r="BQA3">
        <f>Database!BQT5</f>
        <v>0</v>
      </c>
      <c r="BQB3">
        <f>Database!BQU5</f>
        <v>0</v>
      </c>
      <c r="BQC3">
        <f>Database!BQV5</f>
        <v>0</v>
      </c>
      <c r="BQD3">
        <f>Database!BQW5</f>
        <v>0</v>
      </c>
      <c r="BQE3">
        <f>Database!BQX5</f>
        <v>0</v>
      </c>
      <c r="BQF3">
        <f>Database!BQY5</f>
        <v>0</v>
      </c>
      <c r="BQG3">
        <f>Database!BQZ5</f>
        <v>0</v>
      </c>
      <c r="BQH3">
        <f>Database!BRA5</f>
        <v>0</v>
      </c>
      <c r="BQI3">
        <f>Database!BRB5</f>
        <v>0</v>
      </c>
      <c r="BQJ3">
        <f>Database!BRC5</f>
        <v>0</v>
      </c>
      <c r="BQK3">
        <f>Database!BRD5</f>
        <v>0</v>
      </c>
      <c r="BQL3">
        <f>Database!BRE5</f>
        <v>0</v>
      </c>
      <c r="BQM3">
        <f>Database!BRF5</f>
        <v>0</v>
      </c>
      <c r="BQN3">
        <f>Database!BRG5</f>
        <v>0</v>
      </c>
      <c r="BQO3">
        <f>Database!BRH5</f>
        <v>0</v>
      </c>
      <c r="BQP3">
        <f>Database!BRI5</f>
        <v>0</v>
      </c>
      <c r="BQQ3">
        <f>Database!BRJ5</f>
        <v>0</v>
      </c>
      <c r="BQR3">
        <f>Database!BRK5</f>
        <v>0</v>
      </c>
      <c r="BQS3">
        <f>Database!BRL5</f>
        <v>0</v>
      </c>
      <c r="BQT3">
        <f>Database!BRM5</f>
        <v>0</v>
      </c>
      <c r="BQU3">
        <f>Database!BRN5</f>
        <v>0</v>
      </c>
      <c r="BQV3">
        <f>Database!BRO5</f>
        <v>0</v>
      </c>
      <c r="BQW3">
        <f>Database!BRP5</f>
        <v>0</v>
      </c>
      <c r="BQX3">
        <f>Database!BRQ5</f>
        <v>0</v>
      </c>
      <c r="BQY3">
        <f>Database!BRR5</f>
        <v>0</v>
      </c>
      <c r="BQZ3">
        <f>Database!BRS5</f>
        <v>0</v>
      </c>
      <c r="BRA3">
        <f>Database!BRT5</f>
        <v>0</v>
      </c>
      <c r="BRB3">
        <f>Database!BRU5</f>
        <v>0</v>
      </c>
      <c r="BRC3">
        <f>Database!BRV5</f>
        <v>0</v>
      </c>
      <c r="BRD3">
        <f>Database!BRW5</f>
        <v>0</v>
      </c>
      <c r="BRE3">
        <f>Database!BRX5</f>
        <v>0</v>
      </c>
      <c r="BRF3">
        <f>Database!BRY5</f>
        <v>0</v>
      </c>
      <c r="BRG3">
        <f>Database!BRZ5</f>
        <v>0</v>
      </c>
      <c r="BRH3">
        <f>Database!BSA5</f>
        <v>0</v>
      </c>
      <c r="BRI3">
        <f>Database!BSB5</f>
        <v>0</v>
      </c>
      <c r="BRJ3">
        <f>Database!BSC5</f>
        <v>0</v>
      </c>
      <c r="BRK3">
        <f>Database!BSD5</f>
        <v>0</v>
      </c>
      <c r="BRL3">
        <f>Database!BSE5</f>
        <v>0</v>
      </c>
      <c r="BRM3">
        <f>Database!BSF5</f>
        <v>0</v>
      </c>
      <c r="BRN3">
        <f>Database!BSG5</f>
        <v>0</v>
      </c>
      <c r="BRO3">
        <f>Database!BSH5</f>
        <v>0</v>
      </c>
      <c r="BRP3">
        <f>Database!BSI5</f>
        <v>0</v>
      </c>
      <c r="BRQ3">
        <f>Database!BSJ5</f>
        <v>0</v>
      </c>
      <c r="BRR3">
        <f>Database!BSK5</f>
        <v>0</v>
      </c>
      <c r="BRS3">
        <f>Database!BSL5</f>
        <v>0</v>
      </c>
      <c r="BRT3">
        <f>Database!BSM5</f>
        <v>0</v>
      </c>
      <c r="BRU3">
        <f>Database!BSN5</f>
        <v>0</v>
      </c>
      <c r="BRV3">
        <f>Database!BSO5</f>
        <v>0</v>
      </c>
      <c r="BRW3">
        <f>Database!BSP5</f>
        <v>0</v>
      </c>
      <c r="BRX3">
        <f>Database!BSQ5</f>
        <v>0</v>
      </c>
      <c r="BRY3">
        <f>Database!BSR5</f>
        <v>0</v>
      </c>
      <c r="BRZ3">
        <f>Database!BSS5</f>
        <v>0</v>
      </c>
      <c r="BSA3">
        <f>Database!BST5</f>
        <v>0</v>
      </c>
      <c r="BSB3">
        <f>Database!BSU5</f>
        <v>0</v>
      </c>
      <c r="BSC3">
        <f>Database!BSV5</f>
        <v>0</v>
      </c>
      <c r="BSD3">
        <f>Database!BSW5</f>
        <v>0</v>
      </c>
      <c r="BSE3">
        <f>Database!BSX5</f>
        <v>0</v>
      </c>
      <c r="BSF3">
        <f>Database!BSY5</f>
        <v>0</v>
      </c>
      <c r="BSG3">
        <f>Database!BSZ5</f>
        <v>0</v>
      </c>
      <c r="BSH3">
        <f>Database!BTA5</f>
        <v>0</v>
      </c>
      <c r="BSI3">
        <f>Database!BTB5</f>
        <v>0</v>
      </c>
      <c r="BSJ3">
        <f>Database!BTC5</f>
        <v>0</v>
      </c>
      <c r="BSK3">
        <f>Database!BTD5</f>
        <v>0</v>
      </c>
      <c r="BSL3">
        <f>Database!BTE5</f>
        <v>0</v>
      </c>
      <c r="BSM3">
        <f>Database!BTF5</f>
        <v>0</v>
      </c>
      <c r="BSN3">
        <f>Database!BTG5</f>
        <v>0</v>
      </c>
      <c r="BSO3">
        <f>Database!BTH5</f>
        <v>0</v>
      </c>
      <c r="BSP3">
        <f>Database!BTI5</f>
        <v>0</v>
      </c>
      <c r="BSQ3">
        <f>Database!BTJ5</f>
        <v>0</v>
      </c>
      <c r="BSR3">
        <f>Database!BTK5</f>
        <v>0</v>
      </c>
      <c r="BSS3">
        <f>Database!BTL5</f>
        <v>0</v>
      </c>
      <c r="BST3">
        <f>Database!BTM5</f>
        <v>0</v>
      </c>
      <c r="BSU3">
        <f>Database!BTN5</f>
        <v>0</v>
      </c>
      <c r="BSV3">
        <f>Database!BTO5</f>
        <v>0</v>
      </c>
      <c r="BSW3">
        <f>Database!BTP5</f>
        <v>0</v>
      </c>
      <c r="BSX3">
        <f>Database!BTQ5</f>
        <v>0</v>
      </c>
      <c r="BSY3">
        <f>Database!BTR5</f>
        <v>0</v>
      </c>
      <c r="BSZ3">
        <f>Database!BTS5</f>
        <v>0</v>
      </c>
      <c r="BTA3">
        <f>Database!BTT5</f>
        <v>0</v>
      </c>
      <c r="BTB3">
        <f>Database!BTU5</f>
        <v>0</v>
      </c>
      <c r="BTC3">
        <f>Database!BTV5</f>
        <v>0</v>
      </c>
      <c r="BTD3">
        <f>Database!BTW5</f>
        <v>0</v>
      </c>
      <c r="BTE3">
        <f>Database!BTX5</f>
        <v>0</v>
      </c>
      <c r="BTF3">
        <f>Database!BTY5</f>
        <v>0</v>
      </c>
      <c r="BTG3">
        <f>Database!BTZ5</f>
        <v>0</v>
      </c>
      <c r="BTH3">
        <f>Database!BUA5</f>
        <v>0</v>
      </c>
      <c r="BTI3">
        <f>Database!BUB5</f>
        <v>0</v>
      </c>
      <c r="BTJ3">
        <f>Database!BUC5</f>
        <v>0</v>
      </c>
      <c r="BTK3">
        <f>Database!BUD5</f>
        <v>0</v>
      </c>
      <c r="BTL3">
        <f>Database!BUE5</f>
        <v>0</v>
      </c>
      <c r="BTM3">
        <f>Database!BUF5</f>
        <v>0</v>
      </c>
      <c r="BTN3">
        <f>Database!BUG5</f>
        <v>0</v>
      </c>
      <c r="BTO3">
        <f>Database!BUH5</f>
        <v>0</v>
      </c>
      <c r="BTP3">
        <f>Database!BUI5</f>
        <v>0</v>
      </c>
      <c r="BTQ3">
        <f>Database!BUJ5</f>
        <v>0</v>
      </c>
      <c r="BTR3">
        <f>Database!BUK5</f>
        <v>0</v>
      </c>
      <c r="BTS3">
        <f>Database!BUL5</f>
        <v>0</v>
      </c>
      <c r="BTT3">
        <f>Database!BUM5</f>
        <v>0</v>
      </c>
      <c r="BTU3">
        <f>Database!BUN5</f>
        <v>0</v>
      </c>
      <c r="BTV3">
        <f>Database!BUO5</f>
        <v>0</v>
      </c>
      <c r="BTW3">
        <f>Database!BUP5</f>
        <v>0</v>
      </c>
      <c r="BTX3">
        <f>Database!BUQ5</f>
        <v>0</v>
      </c>
      <c r="BTY3">
        <f>Database!BUR5</f>
        <v>0</v>
      </c>
      <c r="BTZ3">
        <f>Database!BUS5</f>
        <v>0</v>
      </c>
      <c r="BUA3">
        <f>Database!BUT5</f>
        <v>0</v>
      </c>
      <c r="BUB3">
        <f>Database!BUU5</f>
        <v>0</v>
      </c>
      <c r="BUC3">
        <f>Database!BUV5</f>
        <v>0</v>
      </c>
      <c r="BUD3">
        <f>Database!BUW5</f>
        <v>0</v>
      </c>
      <c r="BUE3">
        <f>Database!BUX5</f>
        <v>0</v>
      </c>
      <c r="BUF3">
        <f>Database!BUY5</f>
        <v>0</v>
      </c>
      <c r="BUG3">
        <f>Database!BUZ5</f>
        <v>0</v>
      </c>
      <c r="BUH3">
        <f>Database!BVA5</f>
        <v>0</v>
      </c>
      <c r="BUI3">
        <f>Database!BVB5</f>
        <v>0</v>
      </c>
      <c r="BUJ3">
        <f>Database!BVC5</f>
        <v>0</v>
      </c>
      <c r="BUK3">
        <f>Database!BVD5</f>
        <v>0</v>
      </c>
      <c r="BUL3">
        <f>Database!BVE5</f>
        <v>0</v>
      </c>
      <c r="BUM3">
        <f>Database!BVF5</f>
        <v>0</v>
      </c>
      <c r="BUN3">
        <f>Database!BVG5</f>
        <v>0</v>
      </c>
      <c r="BUO3">
        <f>Database!BVH5</f>
        <v>0</v>
      </c>
      <c r="BUP3">
        <f>Database!BVI5</f>
        <v>0</v>
      </c>
      <c r="BUQ3">
        <f>Database!BVJ5</f>
        <v>0</v>
      </c>
      <c r="BUR3">
        <f>Database!BVK5</f>
        <v>0</v>
      </c>
      <c r="BUS3">
        <f>Database!BVL5</f>
        <v>0</v>
      </c>
      <c r="BUT3">
        <f>Database!BVM5</f>
        <v>0</v>
      </c>
      <c r="BUU3">
        <f>Database!BVN5</f>
        <v>0</v>
      </c>
      <c r="BUV3">
        <f>Database!BVO5</f>
        <v>0</v>
      </c>
      <c r="BUW3">
        <f>Database!BVP5</f>
        <v>0</v>
      </c>
      <c r="BUX3">
        <f>Database!BVQ5</f>
        <v>0</v>
      </c>
      <c r="BUY3">
        <f>Database!BVR5</f>
        <v>0</v>
      </c>
      <c r="BUZ3">
        <f>Database!BVS5</f>
        <v>0</v>
      </c>
      <c r="BVA3">
        <f>Database!BVT5</f>
        <v>0</v>
      </c>
      <c r="BVB3">
        <f>Database!BVU5</f>
        <v>0</v>
      </c>
      <c r="BVC3">
        <f>Database!BVV5</f>
        <v>0</v>
      </c>
      <c r="BVD3">
        <f>Database!BVW5</f>
        <v>0</v>
      </c>
      <c r="BVE3">
        <f>Database!BVX5</f>
        <v>0</v>
      </c>
      <c r="BVF3">
        <f>Database!BVY5</f>
        <v>0</v>
      </c>
      <c r="BVG3">
        <f>Database!BVZ5</f>
        <v>0</v>
      </c>
      <c r="BVH3">
        <f>Database!BWA5</f>
        <v>0</v>
      </c>
      <c r="BVI3">
        <f>Database!BWB5</f>
        <v>0</v>
      </c>
      <c r="BVJ3">
        <f>Database!BWC5</f>
        <v>0</v>
      </c>
      <c r="BVK3">
        <f>Database!BWD5</f>
        <v>0</v>
      </c>
      <c r="BVL3">
        <f>Database!BWE5</f>
        <v>0</v>
      </c>
      <c r="BVM3">
        <f>Database!BWF5</f>
        <v>0</v>
      </c>
      <c r="BVN3">
        <f>Database!BWG5</f>
        <v>0</v>
      </c>
      <c r="BVO3">
        <f>Database!BWH5</f>
        <v>0</v>
      </c>
      <c r="BVP3">
        <f>Database!BWI5</f>
        <v>0</v>
      </c>
      <c r="BVQ3">
        <f>Database!BWJ5</f>
        <v>0</v>
      </c>
      <c r="BVR3">
        <f>Database!BWK5</f>
        <v>0</v>
      </c>
      <c r="BVS3">
        <f>Database!BWL5</f>
        <v>0</v>
      </c>
      <c r="BVT3">
        <f>Database!BWM5</f>
        <v>0</v>
      </c>
      <c r="BVU3">
        <f>Database!BWN5</f>
        <v>0</v>
      </c>
      <c r="BVV3">
        <f>Database!BWO5</f>
        <v>0</v>
      </c>
      <c r="BVW3">
        <f>Database!BWP5</f>
        <v>0</v>
      </c>
      <c r="BVX3">
        <f>Database!BWQ5</f>
        <v>0</v>
      </c>
      <c r="BVY3">
        <f>Database!BWR5</f>
        <v>0</v>
      </c>
      <c r="BVZ3">
        <f>Database!BWS5</f>
        <v>0</v>
      </c>
      <c r="BWA3">
        <f>Database!BWT5</f>
        <v>0</v>
      </c>
      <c r="BWB3">
        <f>Database!BWU5</f>
        <v>0</v>
      </c>
      <c r="BWC3">
        <f>Database!BWV5</f>
        <v>0</v>
      </c>
      <c r="BWD3">
        <f>Database!BWW5</f>
        <v>0</v>
      </c>
      <c r="BWE3">
        <f>Database!BWX5</f>
        <v>0</v>
      </c>
      <c r="BWF3">
        <f>Database!BWY5</f>
        <v>0</v>
      </c>
      <c r="BWG3">
        <f>Database!BWZ5</f>
        <v>0</v>
      </c>
      <c r="BWH3">
        <f>Database!BXA5</f>
        <v>0</v>
      </c>
      <c r="BWI3">
        <f>Database!BXB5</f>
        <v>0</v>
      </c>
      <c r="BWJ3">
        <f>Database!BXC5</f>
        <v>0</v>
      </c>
      <c r="BWK3">
        <f>Database!BXD5</f>
        <v>0</v>
      </c>
      <c r="BWL3">
        <f>Database!BXE5</f>
        <v>0</v>
      </c>
      <c r="BWM3">
        <f>Database!BXF5</f>
        <v>0</v>
      </c>
      <c r="BWN3">
        <f>Database!BXG5</f>
        <v>0</v>
      </c>
      <c r="BWO3">
        <f>Database!BXH5</f>
        <v>0</v>
      </c>
      <c r="BWP3">
        <f>Database!BXI5</f>
        <v>0</v>
      </c>
      <c r="BWQ3">
        <f>Database!BXJ5</f>
        <v>0</v>
      </c>
      <c r="BWR3">
        <f>Database!BXK5</f>
        <v>0</v>
      </c>
      <c r="BWS3">
        <f>Database!BXL5</f>
        <v>0</v>
      </c>
      <c r="BWT3">
        <f>Database!BXM5</f>
        <v>0</v>
      </c>
      <c r="BWU3">
        <f>Database!BXN5</f>
        <v>0</v>
      </c>
      <c r="BWV3">
        <f>Database!BXO5</f>
        <v>0</v>
      </c>
      <c r="BWW3">
        <f>Database!BXP5</f>
        <v>0</v>
      </c>
      <c r="BWX3">
        <f>Database!BXQ5</f>
        <v>0</v>
      </c>
      <c r="BWY3">
        <f>Database!BXR5</f>
        <v>0</v>
      </c>
      <c r="BWZ3">
        <f>Database!BXS5</f>
        <v>0</v>
      </c>
      <c r="BXA3">
        <f>Database!BXT5</f>
        <v>0</v>
      </c>
      <c r="BXB3">
        <f>Database!BXU5</f>
        <v>0</v>
      </c>
      <c r="BXC3">
        <f>Database!BXV5</f>
        <v>0</v>
      </c>
      <c r="BXD3">
        <f>Database!BXW5</f>
        <v>0</v>
      </c>
      <c r="BXE3">
        <f>Database!BXX5</f>
        <v>0</v>
      </c>
      <c r="BXF3">
        <f>Database!BXY5</f>
        <v>0</v>
      </c>
      <c r="BXG3">
        <f>Database!BXZ5</f>
        <v>0</v>
      </c>
      <c r="BXH3">
        <f>Database!BYA5</f>
        <v>0</v>
      </c>
      <c r="BXI3">
        <f>Database!BYB5</f>
        <v>0</v>
      </c>
      <c r="BXJ3">
        <f>Database!BYC5</f>
        <v>0</v>
      </c>
      <c r="BXK3">
        <f>Database!BYD5</f>
        <v>0</v>
      </c>
      <c r="BXL3">
        <f>Database!BYE5</f>
        <v>0</v>
      </c>
      <c r="BXM3">
        <f>Database!BYF5</f>
        <v>0</v>
      </c>
      <c r="BXN3">
        <f>Database!BYG5</f>
        <v>0</v>
      </c>
      <c r="BXO3">
        <f>Database!BYH5</f>
        <v>0</v>
      </c>
      <c r="BXP3">
        <f>Database!BYI5</f>
        <v>0</v>
      </c>
      <c r="BXQ3">
        <f>Database!BYJ5</f>
        <v>0</v>
      </c>
      <c r="BXR3">
        <f>Database!BYK5</f>
        <v>0</v>
      </c>
      <c r="BXS3">
        <f>Database!BYL5</f>
        <v>0</v>
      </c>
      <c r="BXT3">
        <f>Database!BYM5</f>
        <v>0</v>
      </c>
      <c r="BXU3">
        <f>Database!BYN5</f>
        <v>0</v>
      </c>
      <c r="BXV3">
        <f>Database!BYO5</f>
        <v>0</v>
      </c>
      <c r="BXW3">
        <f>Database!BYP5</f>
        <v>0</v>
      </c>
      <c r="BXX3">
        <f>Database!BYQ5</f>
        <v>0</v>
      </c>
      <c r="BXY3">
        <f>Database!BYR5</f>
        <v>0</v>
      </c>
      <c r="BXZ3">
        <f>Database!BYS5</f>
        <v>0</v>
      </c>
      <c r="BYA3">
        <f>Database!BYT5</f>
        <v>0</v>
      </c>
      <c r="BYB3">
        <f>Database!BYU5</f>
        <v>0</v>
      </c>
      <c r="BYC3">
        <f>Database!BYV5</f>
        <v>0</v>
      </c>
      <c r="BYD3">
        <f>Database!BYW5</f>
        <v>0</v>
      </c>
      <c r="BYE3">
        <f>Database!BYX5</f>
        <v>0</v>
      </c>
      <c r="BYF3">
        <f>Database!BYY5</f>
        <v>0</v>
      </c>
      <c r="BYG3">
        <f>Database!BYZ5</f>
        <v>0</v>
      </c>
      <c r="BYH3">
        <f>Database!BZA5</f>
        <v>0</v>
      </c>
      <c r="BYI3">
        <f>Database!BZB5</f>
        <v>0</v>
      </c>
      <c r="BYJ3">
        <f>Database!BZC5</f>
        <v>0</v>
      </c>
      <c r="BYK3">
        <f>Database!BZD5</f>
        <v>0</v>
      </c>
      <c r="BYL3">
        <f>Database!BZE5</f>
        <v>0</v>
      </c>
      <c r="BYM3">
        <f>Database!BZF5</f>
        <v>0</v>
      </c>
      <c r="BYN3">
        <f>Database!BZG5</f>
        <v>0</v>
      </c>
      <c r="BYO3">
        <f>Database!BZH5</f>
        <v>0</v>
      </c>
      <c r="BYP3">
        <f>Database!BZI5</f>
        <v>0</v>
      </c>
      <c r="BYQ3">
        <f>Database!BZJ5</f>
        <v>0</v>
      </c>
      <c r="BYR3">
        <f>Database!BZK5</f>
        <v>0</v>
      </c>
      <c r="BYS3">
        <f>Database!BZL5</f>
        <v>0</v>
      </c>
      <c r="BYT3">
        <f>Database!BZM5</f>
        <v>0</v>
      </c>
      <c r="BYU3">
        <f>Database!BZN5</f>
        <v>0</v>
      </c>
      <c r="BYV3">
        <f>Database!BZO5</f>
        <v>0</v>
      </c>
      <c r="BYW3">
        <f>Database!BZP5</f>
        <v>0</v>
      </c>
      <c r="BYX3">
        <f>Database!BZQ5</f>
        <v>0</v>
      </c>
      <c r="BYY3">
        <f>Database!BZR5</f>
        <v>0</v>
      </c>
      <c r="BYZ3">
        <f>Database!BZS5</f>
        <v>0</v>
      </c>
      <c r="BZA3">
        <f>Database!BZT5</f>
        <v>0</v>
      </c>
      <c r="BZB3">
        <f>Database!BZU5</f>
        <v>0</v>
      </c>
      <c r="BZC3">
        <f>Database!BZV5</f>
        <v>0</v>
      </c>
      <c r="BZD3">
        <f>Database!BZW5</f>
        <v>0</v>
      </c>
      <c r="BZE3">
        <f>Database!BZX5</f>
        <v>0</v>
      </c>
      <c r="BZF3">
        <f>Database!BZY5</f>
        <v>0</v>
      </c>
      <c r="BZG3">
        <f>Database!BZZ5</f>
        <v>0</v>
      </c>
      <c r="BZH3">
        <f>Database!CAA5</f>
        <v>0</v>
      </c>
      <c r="BZI3">
        <f>Database!CAB5</f>
        <v>0</v>
      </c>
      <c r="BZJ3">
        <f>Database!CAC5</f>
        <v>0</v>
      </c>
      <c r="BZK3">
        <f>Database!CAD5</f>
        <v>0</v>
      </c>
      <c r="BZL3">
        <f>Database!CAE5</f>
        <v>0</v>
      </c>
      <c r="BZM3">
        <f>Database!CAF5</f>
        <v>0</v>
      </c>
      <c r="BZN3">
        <f>Database!CAG5</f>
        <v>0</v>
      </c>
      <c r="BZO3">
        <f>Database!CAH5</f>
        <v>0</v>
      </c>
      <c r="BZP3">
        <f>Database!CAI5</f>
        <v>0</v>
      </c>
      <c r="BZQ3">
        <f>Database!CAJ5</f>
        <v>0</v>
      </c>
      <c r="BZR3">
        <f>Database!CAK5</f>
        <v>0</v>
      </c>
      <c r="BZS3">
        <f>Database!CAL5</f>
        <v>0</v>
      </c>
      <c r="BZT3">
        <f>Database!CAM5</f>
        <v>0</v>
      </c>
      <c r="BZU3">
        <f>Database!CAN5</f>
        <v>0</v>
      </c>
      <c r="BZV3">
        <f>Database!CAO5</f>
        <v>0</v>
      </c>
      <c r="BZW3">
        <f>Database!CAP5</f>
        <v>0</v>
      </c>
      <c r="BZX3">
        <f>Database!CAQ5</f>
        <v>0</v>
      </c>
      <c r="BZY3">
        <f>Database!CAR5</f>
        <v>0</v>
      </c>
      <c r="BZZ3">
        <f>Database!CAS5</f>
        <v>0</v>
      </c>
      <c r="CAA3">
        <f>Database!CAT5</f>
        <v>0</v>
      </c>
      <c r="CAB3">
        <f>Database!CAU5</f>
        <v>0</v>
      </c>
      <c r="CAC3">
        <f>Database!CAV5</f>
        <v>0</v>
      </c>
      <c r="CAD3">
        <f>Database!CAW5</f>
        <v>0</v>
      </c>
      <c r="CAE3">
        <f>Database!CAX5</f>
        <v>0</v>
      </c>
      <c r="CAF3">
        <f>Database!CAY5</f>
        <v>0</v>
      </c>
      <c r="CAG3">
        <f>Database!CAZ5</f>
        <v>0</v>
      </c>
      <c r="CAH3">
        <f>Database!CBA5</f>
        <v>0</v>
      </c>
      <c r="CAI3">
        <f>Database!CBB5</f>
        <v>0</v>
      </c>
      <c r="CAJ3">
        <f>Database!CBC5</f>
        <v>0</v>
      </c>
      <c r="CAK3">
        <f>Database!CBD5</f>
        <v>0</v>
      </c>
      <c r="CAL3">
        <f>Database!CBE5</f>
        <v>0</v>
      </c>
      <c r="CAM3">
        <f>Database!CBF5</f>
        <v>0</v>
      </c>
      <c r="CAN3">
        <f>Database!CBG5</f>
        <v>0</v>
      </c>
      <c r="CAO3">
        <f>Database!CBH5</f>
        <v>0</v>
      </c>
      <c r="CAP3">
        <f>Database!CBI5</f>
        <v>0</v>
      </c>
      <c r="CAQ3">
        <f>Database!CBJ5</f>
        <v>0</v>
      </c>
      <c r="CAR3">
        <f>Database!CBK5</f>
        <v>0</v>
      </c>
      <c r="CAS3">
        <f>Database!CBL5</f>
        <v>0</v>
      </c>
      <c r="CAT3">
        <f>Database!CBM5</f>
        <v>0</v>
      </c>
      <c r="CAU3">
        <f>Database!CBN5</f>
        <v>0</v>
      </c>
      <c r="CAV3">
        <f>Database!CBO5</f>
        <v>0</v>
      </c>
      <c r="CAW3">
        <f>Database!CBP5</f>
        <v>0</v>
      </c>
      <c r="CAX3">
        <f>Database!CBQ5</f>
        <v>0</v>
      </c>
      <c r="CAY3">
        <f>Database!CBR5</f>
        <v>0</v>
      </c>
      <c r="CAZ3">
        <f>Database!CBS5</f>
        <v>0</v>
      </c>
      <c r="CBA3">
        <f>Database!CBT5</f>
        <v>0</v>
      </c>
      <c r="CBB3">
        <f>Database!CBU5</f>
        <v>0</v>
      </c>
      <c r="CBC3">
        <f>Database!CBV5</f>
        <v>0</v>
      </c>
      <c r="CBD3">
        <f>Database!CBW5</f>
        <v>0</v>
      </c>
      <c r="CBE3">
        <f>Database!CBX5</f>
        <v>0</v>
      </c>
      <c r="CBF3">
        <f>Database!CBY5</f>
        <v>0</v>
      </c>
      <c r="CBG3">
        <f>Database!CBZ5</f>
        <v>0</v>
      </c>
      <c r="CBH3">
        <f>Database!CCA5</f>
        <v>0</v>
      </c>
      <c r="CBI3">
        <f>Database!CCB5</f>
        <v>0</v>
      </c>
      <c r="CBJ3">
        <f>Database!CCC5</f>
        <v>0</v>
      </c>
      <c r="CBK3">
        <f>Database!CCD5</f>
        <v>0</v>
      </c>
      <c r="CBL3">
        <f>Database!CCE5</f>
        <v>0</v>
      </c>
      <c r="CBM3">
        <f>Database!CCF5</f>
        <v>0</v>
      </c>
      <c r="CBN3">
        <f>Database!CCG5</f>
        <v>0</v>
      </c>
      <c r="CBO3">
        <f>Database!CCH5</f>
        <v>0</v>
      </c>
      <c r="CBP3">
        <f>Database!CCI5</f>
        <v>0</v>
      </c>
      <c r="CBQ3">
        <f>Database!CCJ5</f>
        <v>0</v>
      </c>
      <c r="CBR3">
        <f>Database!CCK5</f>
        <v>0</v>
      </c>
      <c r="CBS3">
        <f>Database!CCL5</f>
        <v>0</v>
      </c>
      <c r="CBT3">
        <f>Database!CCM5</f>
        <v>0</v>
      </c>
      <c r="CBU3">
        <f>Database!CCN5</f>
        <v>0</v>
      </c>
      <c r="CBV3">
        <f>Database!CCO5</f>
        <v>0</v>
      </c>
      <c r="CBW3">
        <f>Database!CCP5</f>
        <v>0</v>
      </c>
      <c r="CBX3">
        <f>Database!CCQ5</f>
        <v>0</v>
      </c>
      <c r="CBY3">
        <f>Database!CCR5</f>
        <v>0</v>
      </c>
      <c r="CBZ3">
        <f>Database!CCS5</f>
        <v>0</v>
      </c>
      <c r="CCA3">
        <f>Database!CCT5</f>
        <v>0</v>
      </c>
      <c r="CCB3">
        <f>Database!CCU5</f>
        <v>0</v>
      </c>
      <c r="CCC3">
        <f>Database!CCV5</f>
        <v>0</v>
      </c>
      <c r="CCD3">
        <f>Database!CCW5</f>
        <v>0</v>
      </c>
      <c r="CCE3">
        <f>Database!CCX5</f>
        <v>0</v>
      </c>
      <c r="CCF3">
        <f>Database!CCY5</f>
        <v>0</v>
      </c>
      <c r="CCG3">
        <f>Database!CCZ5</f>
        <v>0</v>
      </c>
      <c r="CCH3">
        <f>Database!CDA5</f>
        <v>0</v>
      </c>
      <c r="CCI3">
        <f>Database!CDB5</f>
        <v>0</v>
      </c>
      <c r="CCJ3">
        <f>Database!CDC5</f>
        <v>0</v>
      </c>
      <c r="CCK3">
        <f>Database!CDD5</f>
        <v>0</v>
      </c>
      <c r="CCL3">
        <f>Database!CDE5</f>
        <v>0</v>
      </c>
      <c r="CCM3">
        <f>Database!CDF5</f>
        <v>0</v>
      </c>
      <c r="CCN3">
        <f>Database!CDG5</f>
        <v>0</v>
      </c>
      <c r="CCO3">
        <f>Database!CDH5</f>
        <v>0</v>
      </c>
      <c r="CCP3">
        <f>Database!CDI5</f>
        <v>0</v>
      </c>
      <c r="CCQ3">
        <f>Database!CDJ5</f>
        <v>0</v>
      </c>
      <c r="CCR3">
        <f>Database!CDK5</f>
        <v>0</v>
      </c>
      <c r="CCS3">
        <f>Database!CDL5</f>
        <v>0</v>
      </c>
      <c r="CCT3">
        <f>Database!CDM5</f>
        <v>0</v>
      </c>
      <c r="CCU3">
        <f>Database!CDN5</f>
        <v>0</v>
      </c>
      <c r="CCV3">
        <f>Database!CDO5</f>
        <v>0</v>
      </c>
      <c r="CCW3">
        <f>Database!CDP5</f>
        <v>0</v>
      </c>
      <c r="CCX3">
        <f>Database!CDQ5</f>
        <v>0</v>
      </c>
      <c r="CCY3">
        <f>Database!CDR5</f>
        <v>0</v>
      </c>
      <c r="CCZ3">
        <f>Database!CDS5</f>
        <v>0</v>
      </c>
      <c r="CDA3">
        <f>Database!CDT5</f>
        <v>0</v>
      </c>
      <c r="CDB3">
        <f>Database!CDU5</f>
        <v>0</v>
      </c>
      <c r="CDC3">
        <f>Database!CDV5</f>
        <v>0</v>
      </c>
      <c r="CDD3">
        <f>Database!CDW5</f>
        <v>0</v>
      </c>
      <c r="CDE3">
        <f>Database!CDX5</f>
        <v>0</v>
      </c>
      <c r="CDF3">
        <f>Database!CDY5</f>
        <v>0</v>
      </c>
      <c r="CDG3">
        <f>Database!CDZ5</f>
        <v>0</v>
      </c>
      <c r="CDH3">
        <f>Database!CEA5</f>
        <v>0</v>
      </c>
      <c r="CDI3">
        <f>Database!CEB5</f>
        <v>0</v>
      </c>
      <c r="CDJ3">
        <f>Database!CEC5</f>
        <v>0</v>
      </c>
      <c r="CDK3">
        <f>Database!CED5</f>
        <v>0</v>
      </c>
      <c r="CDL3">
        <f>Database!CEE5</f>
        <v>0</v>
      </c>
      <c r="CDM3">
        <f>Database!CEF5</f>
        <v>0</v>
      </c>
      <c r="CDN3">
        <f>Database!CEG5</f>
        <v>0</v>
      </c>
      <c r="CDO3">
        <f>Database!CEH5</f>
        <v>0</v>
      </c>
      <c r="CDP3">
        <f>Database!CEI5</f>
        <v>0</v>
      </c>
      <c r="CDQ3">
        <f>Database!CEJ5</f>
        <v>0</v>
      </c>
      <c r="CDR3">
        <f>Database!CEK5</f>
        <v>0</v>
      </c>
      <c r="CDS3">
        <f>Database!CEL5</f>
        <v>0</v>
      </c>
      <c r="CDT3">
        <f>Database!CEM5</f>
        <v>0</v>
      </c>
      <c r="CDU3">
        <f>Database!CEN5</f>
        <v>0</v>
      </c>
      <c r="CDV3">
        <f>Database!CEO5</f>
        <v>0</v>
      </c>
      <c r="CDW3">
        <f>Database!CEP5</f>
        <v>0</v>
      </c>
      <c r="CDX3">
        <f>Database!CEQ5</f>
        <v>0</v>
      </c>
      <c r="CDY3">
        <f>Database!CER5</f>
        <v>0</v>
      </c>
      <c r="CDZ3">
        <f>Database!CES5</f>
        <v>0</v>
      </c>
      <c r="CEA3">
        <f>Database!CET5</f>
        <v>0</v>
      </c>
      <c r="CEB3">
        <f>Database!CEU5</f>
        <v>0</v>
      </c>
      <c r="CEC3">
        <f>Database!CEV5</f>
        <v>0</v>
      </c>
      <c r="CED3">
        <f>Database!CEW5</f>
        <v>0</v>
      </c>
      <c r="CEE3">
        <f>Database!CEX5</f>
        <v>0</v>
      </c>
      <c r="CEF3">
        <f>Database!CEY5</f>
        <v>0</v>
      </c>
      <c r="CEG3">
        <f>Database!CEZ5</f>
        <v>0</v>
      </c>
      <c r="CEH3">
        <f>Database!CFA5</f>
        <v>0</v>
      </c>
      <c r="CEI3">
        <f>Database!CFB5</f>
        <v>0</v>
      </c>
      <c r="CEJ3">
        <f>Database!CFC5</f>
        <v>0</v>
      </c>
      <c r="CEK3">
        <f>Database!CFD5</f>
        <v>0</v>
      </c>
      <c r="CEL3">
        <f>Database!CFE5</f>
        <v>0</v>
      </c>
      <c r="CEM3">
        <f>Database!CFF5</f>
        <v>0</v>
      </c>
      <c r="CEN3">
        <f>Database!CFG5</f>
        <v>0</v>
      </c>
      <c r="CEO3">
        <f>Database!CFH5</f>
        <v>0</v>
      </c>
      <c r="CEP3">
        <f>Database!CFI5</f>
        <v>0</v>
      </c>
      <c r="CEQ3">
        <f>Database!CFJ5</f>
        <v>0</v>
      </c>
      <c r="CER3">
        <f>Database!CFK5</f>
        <v>0</v>
      </c>
      <c r="CES3">
        <f>Database!CFL5</f>
        <v>0</v>
      </c>
      <c r="CET3">
        <f>Database!CFM5</f>
        <v>0</v>
      </c>
      <c r="CEU3">
        <f>Database!CFN5</f>
        <v>0</v>
      </c>
      <c r="CEV3">
        <f>Database!CFO5</f>
        <v>0</v>
      </c>
      <c r="CEW3">
        <f>Database!CFP5</f>
        <v>0</v>
      </c>
      <c r="CEX3">
        <f>Database!CFQ5</f>
        <v>0</v>
      </c>
      <c r="CEY3">
        <f>Database!CFR5</f>
        <v>0</v>
      </c>
      <c r="CEZ3">
        <f>Database!CFS5</f>
        <v>0</v>
      </c>
      <c r="CFA3">
        <f>Database!CFT5</f>
        <v>0</v>
      </c>
      <c r="CFB3">
        <f>Database!CFU5</f>
        <v>0</v>
      </c>
      <c r="CFC3">
        <f>Database!CFV5</f>
        <v>0</v>
      </c>
      <c r="CFD3">
        <f>Database!CFW5</f>
        <v>0</v>
      </c>
      <c r="CFE3">
        <f>Database!CFX5</f>
        <v>0</v>
      </c>
      <c r="CFF3">
        <f>Database!CFY5</f>
        <v>0</v>
      </c>
      <c r="CFG3">
        <f>Database!CFZ5</f>
        <v>0</v>
      </c>
      <c r="CFH3">
        <f>Database!CGA5</f>
        <v>0</v>
      </c>
      <c r="CFI3">
        <f>Database!CGB5</f>
        <v>0</v>
      </c>
      <c r="CFJ3">
        <f>Database!CGC5</f>
        <v>0</v>
      </c>
      <c r="CFK3">
        <f>Database!CGD5</f>
        <v>0</v>
      </c>
      <c r="CFL3">
        <f>Database!CGE5</f>
        <v>0</v>
      </c>
      <c r="CFM3">
        <f>Database!CGF5</f>
        <v>0</v>
      </c>
      <c r="CFN3">
        <f>Database!CGG5</f>
        <v>0</v>
      </c>
      <c r="CFO3">
        <f>Database!CGH5</f>
        <v>0</v>
      </c>
      <c r="CFP3">
        <f>Database!CGI5</f>
        <v>0</v>
      </c>
      <c r="CFQ3">
        <f>Database!CGJ5</f>
        <v>0</v>
      </c>
      <c r="CFR3">
        <f>Database!CGK5</f>
        <v>0</v>
      </c>
      <c r="CFS3">
        <f>Database!CGL5</f>
        <v>0</v>
      </c>
      <c r="CFT3">
        <f>Database!CGM5</f>
        <v>0</v>
      </c>
      <c r="CFU3">
        <f>Database!CGN5</f>
        <v>0</v>
      </c>
      <c r="CFV3">
        <f>Database!CGO5</f>
        <v>0</v>
      </c>
      <c r="CFW3">
        <f>Database!CGP5</f>
        <v>0</v>
      </c>
      <c r="CFX3">
        <f>Database!CGQ5</f>
        <v>0</v>
      </c>
      <c r="CFY3">
        <f>Database!CGR5</f>
        <v>0</v>
      </c>
      <c r="CFZ3">
        <f>Database!CGS5</f>
        <v>0</v>
      </c>
      <c r="CGA3">
        <f>Database!CGT5</f>
        <v>0</v>
      </c>
      <c r="CGB3">
        <f>Database!CGU5</f>
        <v>0</v>
      </c>
      <c r="CGC3">
        <f>Database!CGV5</f>
        <v>0</v>
      </c>
      <c r="CGD3">
        <f>Database!CGW5</f>
        <v>0</v>
      </c>
      <c r="CGE3">
        <f>Database!CGX5</f>
        <v>0</v>
      </c>
      <c r="CGF3">
        <f>Database!CGY5</f>
        <v>0</v>
      </c>
      <c r="CGG3">
        <f>Database!CGZ5</f>
        <v>0</v>
      </c>
      <c r="CGH3">
        <f>Database!CHA5</f>
        <v>0</v>
      </c>
      <c r="CGI3">
        <f>Database!CHB5</f>
        <v>0</v>
      </c>
      <c r="CGJ3">
        <f>Database!CHC5</f>
        <v>0</v>
      </c>
      <c r="CGK3">
        <f>Database!CHD5</f>
        <v>0</v>
      </c>
      <c r="CGL3">
        <f>Database!CHE5</f>
        <v>0</v>
      </c>
      <c r="CGM3">
        <f>Database!CHF5</f>
        <v>0</v>
      </c>
      <c r="CGN3">
        <f>Database!CHG5</f>
        <v>0</v>
      </c>
      <c r="CGO3">
        <f>Database!CHH5</f>
        <v>0</v>
      </c>
      <c r="CGP3">
        <f>Database!CHI5</f>
        <v>0</v>
      </c>
      <c r="CGQ3">
        <f>Database!CHJ5</f>
        <v>0</v>
      </c>
      <c r="CGR3">
        <f>Database!CHK5</f>
        <v>0</v>
      </c>
      <c r="CGS3">
        <f>Database!CHL5</f>
        <v>0</v>
      </c>
      <c r="CGT3">
        <f>Database!CHM5</f>
        <v>0</v>
      </c>
      <c r="CGU3">
        <f>Database!CHN5</f>
        <v>0</v>
      </c>
      <c r="CGV3">
        <f>Database!CHO5</f>
        <v>0</v>
      </c>
      <c r="CGW3">
        <f>Database!CHP5</f>
        <v>0</v>
      </c>
      <c r="CGX3">
        <f>Database!CHQ5</f>
        <v>0</v>
      </c>
      <c r="CGY3">
        <f>Database!CHR5</f>
        <v>0</v>
      </c>
      <c r="CGZ3">
        <f>Database!CHS5</f>
        <v>0</v>
      </c>
      <c r="CHA3">
        <f>Database!CHT5</f>
        <v>0</v>
      </c>
      <c r="CHB3">
        <f>Database!CHU5</f>
        <v>0</v>
      </c>
      <c r="CHC3">
        <f>Database!CHV5</f>
        <v>0</v>
      </c>
      <c r="CHD3">
        <f>Database!CHW5</f>
        <v>0</v>
      </c>
      <c r="CHE3">
        <f>Database!CHX5</f>
        <v>0</v>
      </c>
      <c r="CHF3">
        <f>Database!CHY5</f>
        <v>0</v>
      </c>
      <c r="CHG3">
        <f>Database!CHZ5</f>
        <v>0</v>
      </c>
      <c r="CHH3">
        <f>Database!CIA5</f>
        <v>0</v>
      </c>
      <c r="CHI3">
        <f>Database!CIB5</f>
        <v>0</v>
      </c>
      <c r="CHJ3">
        <f>Database!CIC5</f>
        <v>0</v>
      </c>
      <c r="CHK3">
        <f>Database!CID5</f>
        <v>0</v>
      </c>
      <c r="CHL3">
        <f>Database!CIE5</f>
        <v>0</v>
      </c>
      <c r="CHM3">
        <f>Database!CIF5</f>
        <v>0</v>
      </c>
      <c r="CHN3">
        <f>Database!CIG5</f>
        <v>0</v>
      </c>
      <c r="CHO3">
        <f>Database!CIH5</f>
        <v>0</v>
      </c>
      <c r="CHP3">
        <f>Database!CII5</f>
        <v>0</v>
      </c>
      <c r="CHQ3">
        <f>Database!CIJ5</f>
        <v>0</v>
      </c>
      <c r="CHR3">
        <f>Database!CIK5</f>
        <v>0</v>
      </c>
      <c r="CHS3">
        <f>Database!CIL5</f>
        <v>0</v>
      </c>
      <c r="CHT3">
        <f>Database!CIM5</f>
        <v>0</v>
      </c>
      <c r="CHU3">
        <f>Database!CIN5</f>
        <v>0</v>
      </c>
      <c r="CHV3">
        <f>Database!CIO5</f>
        <v>0</v>
      </c>
      <c r="CHW3">
        <f>Database!CIP5</f>
        <v>0</v>
      </c>
      <c r="CHX3">
        <f>Database!CIQ5</f>
        <v>0</v>
      </c>
      <c r="CHY3">
        <f>Database!CIR5</f>
        <v>0</v>
      </c>
      <c r="CHZ3">
        <f>Database!CIS5</f>
        <v>0</v>
      </c>
      <c r="CIA3">
        <f>Database!CIT5</f>
        <v>0</v>
      </c>
      <c r="CIB3">
        <f>Database!CIU5</f>
        <v>0</v>
      </c>
      <c r="CIC3">
        <f>Database!CIV5</f>
        <v>0</v>
      </c>
      <c r="CID3">
        <f>Database!CIW5</f>
        <v>0</v>
      </c>
      <c r="CIE3">
        <f>Database!CIX5</f>
        <v>0</v>
      </c>
      <c r="CIF3">
        <f>Database!CIY5</f>
        <v>0</v>
      </c>
      <c r="CIG3">
        <f>Database!CIZ5</f>
        <v>0</v>
      </c>
      <c r="CIH3">
        <f>Database!CJA5</f>
        <v>0</v>
      </c>
      <c r="CII3">
        <f>Database!CJB5</f>
        <v>0</v>
      </c>
      <c r="CIJ3">
        <f>Database!CJC5</f>
        <v>0</v>
      </c>
      <c r="CIK3">
        <f>Database!CJD5</f>
        <v>0</v>
      </c>
      <c r="CIL3">
        <f>Database!CJE5</f>
        <v>0</v>
      </c>
      <c r="CIM3">
        <f>Database!CJF5</f>
        <v>0</v>
      </c>
      <c r="CIN3">
        <f>Database!CJG5</f>
        <v>0</v>
      </c>
      <c r="CIO3">
        <f>Database!CJH5</f>
        <v>0</v>
      </c>
      <c r="CIP3">
        <f>Database!CJI5</f>
        <v>0</v>
      </c>
      <c r="CIQ3">
        <f>Database!CJJ5</f>
        <v>0</v>
      </c>
      <c r="CIR3">
        <f>Database!CJK5</f>
        <v>0</v>
      </c>
      <c r="CIS3">
        <f>Database!CJL5</f>
        <v>0</v>
      </c>
      <c r="CIT3">
        <f>Database!CJM5</f>
        <v>0</v>
      </c>
      <c r="CIU3">
        <f>Database!CJN5</f>
        <v>0</v>
      </c>
      <c r="CIV3">
        <f>Database!CJO5</f>
        <v>0</v>
      </c>
      <c r="CIW3">
        <f>Database!CJP5</f>
        <v>0</v>
      </c>
      <c r="CIX3">
        <f>Database!CJQ5</f>
        <v>0</v>
      </c>
      <c r="CIY3">
        <f>Database!CJR5</f>
        <v>0</v>
      </c>
      <c r="CIZ3">
        <f>Database!CJS5</f>
        <v>0</v>
      </c>
      <c r="CJA3">
        <f>Database!CJT5</f>
        <v>0</v>
      </c>
      <c r="CJB3">
        <f>Database!CJU5</f>
        <v>0</v>
      </c>
      <c r="CJC3">
        <f>Database!CJV5</f>
        <v>0</v>
      </c>
      <c r="CJD3">
        <f>Database!CJW5</f>
        <v>0</v>
      </c>
      <c r="CJE3">
        <f>Database!CJX5</f>
        <v>0</v>
      </c>
      <c r="CJF3">
        <f>Database!CJY5</f>
        <v>0</v>
      </c>
      <c r="CJG3">
        <f>Database!CJZ5</f>
        <v>0</v>
      </c>
      <c r="CJH3">
        <f>Database!CKA5</f>
        <v>0</v>
      </c>
      <c r="CJI3">
        <f>Database!CKB5</f>
        <v>0</v>
      </c>
      <c r="CJJ3">
        <f>Database!CKC5</f>
        <v>0</v>
      </c>
      <c r="CJK3">
        <f>Database!CKD5</f>
        <v>0</v>
      </c>
      <c r="CJL3">
        <f>Database!CKE5</f>
        <v>0</v>
      </c>
      <c r="CJM3">
        <f>Database!CKF5</f>
        <v>0</v>
      </c>
      <c r="CJN3">
        <f>Database!CKG5</f>
        <v>0</v>
      </c>
      <c r="CJO3">
        <f>Database!CKH5</f>
        <v>0</v>
      </c>
      <c r="CJP3">
        <f>Database!CKI5</f>
        <v>0</v>
      </c>
      <c r="CJQ3">
        <f>Database!CKJ5</f>
        <v>0</v>
      </c>
      <c r="CJR3">
        <f>Database!CKK5</f>
        <v>0</v>
      </c>
      <c r="CJS3">
        <f>Database!CKL5</f>
        <v>0</v>
      </c>
      <c r="CJT3">
        <f>Database!CKM5</f>
        <v>0</v>
      </c>
      <c r="CJU3">
        <f>Database!CKN5</f>
        <v>0</v>
      </c>
      <c r="CJV3">
        <f>Database!CKO5</f>
        <v>0</v>
      </c>
      <c r="CJW3">
        <f>Database!CKP5</f>
        <v>0</v>
      </c>
      <c r="CJX3">
        <f>Database!CKQ5</f>
        <v>0</v>
      </c>
      <c r="CJY3">
        <f>Database!CKR5</f>
        <v>0</v>
      </c>
      <c r="CJZ3">
        <f>Database!CKS5</f>
        <v>0</v>
      </c>
      <c r="CKA3">
        <f>Database!CKT5</f>
        <v>0</v>
      </c>
      <c r="CKB3">
        <f>Database!CKU5</f>
        <v>0</v>
      </c>
      <c r="CKC3">
        <f>Database!CKV5</f>
        <v>0</v>
      </c>
      <c r="CKD3">
        <f>Database!CKW5</f>
        <v>0</v>
      </c>
      <c r="CKE3">
        <f>Database!CKX5</f>
        <v>0</v>
      </c>
      <c r="CKF3">
        <f>Database!CKY5</f>
        <v>0</v>
      </c>
      <c r="CKG3">
        <f>Database!CKZ5</f>
        <v>0</v>
      </c>
      <c r="CKH3">
        <f>Database!CLA5</f>
        <v>0</v>
      </c>
      <c r="CKI3">
        <f>Database!CLB5</f>
        <v>0</v>
      </c>
      <c r="CKJ3">
        <f>Database!CLC5</f>
        <v>0</v>
      </c>
      <c r="CKK3">
        <f>Database!CLD5</f>
        <v>0</v>
      </c>
      <c r="CKL3">
        <f>Database!CLE5</f>
        <v>0</v>
      </c>
      <c r="CKM3">
        <f>Database!CLF5</f>
        <v>0</v>
      </c>
      <c r="CKN3">
        <f>Database!CLG5</f>
        <v>0</v>
      </c>
      <c r="CKO3">
        <f>Database!CLH5</f>
        <v>0</v>
      </c>
      <c r="CKP3">
        <f>Database!CLI5</f>
        <v>0</v>
      </c>
      <c r="CKQ3">
        <f>Database!CLJ5</f>
        <v>0</v>
      </c>
      <c r="CKR3">
        <f>Database!CLK5</f>
        <v>0</v>
      </c>
      <c r="CKS3">
        <f>Database!CLL5</f>
        <v>0</v>
      </c>
      <c r="CKT3">
        <f>Database!CLM5</f>
        <v>0</v>
      </c>
      <c r="CKU3">
        <f>Database!CLN5</f>
        <v>0</v>
      </c>
      <c r="CKV3">
        <f>Database!CLO5</f>
        <v>0</v>
      </c>
      <c r="CKW3">
        <f>Database!CLP5</f>
        <v>0</v>
      </c>
      <c r="CKX3">
        <f>Database!CLQ5</f>
        <v>0</v>
      </c>
      <c r="CKY3">
        <f>Database!CLR5</f>
        <v>0</v>
      </c>
      <c r="CKZ3">
        <f>Database!CLS5</f>
        <v>0</v>
      </c>
      <c r="CLA3">
        <f>Database!CLT5</f>
        <v>0</v>
      </c>
      <c r="CLB3">
        <f>Database!CLU5</f>
        <v>0</v>
      </c>
      <c r="CLC3">
        <f>Database!CLV5</f>
        <v>0</v>
      </c>
      <c r="CLD3">
        <f>Database!CLW5</f>
        <v>0</v>
      </c>
      <c r="CLE3">
        <f>Database!CLX5</f>
        <v>0</v>
      </c>
      <c r="CLF3">
        <f>Database!CLY5</f>
        <v>0</v>
      </c>
      <c r="CLG3">
        <f>Database!CLZ5</f>
        <v>0</v>
      </c>
      <c r="CLH3">
        <f>Database!CMA5</f>
        <v>0</v>
      </c>
      <c r="CLI3">
        <f>Database!CMB5</f>
        <v>0</v>
      </c>
      <c r="CLJ3">
        <f>Database!CMC5</f>
        <v>0</v>
      </c>
      <c r="CLK3">
        <f>Database!CMD5</f>
        <v>0</v>
      </c>
      <c r="CLL3">
        <f>Database!CME5</f>
        <v>0</v>
      </c>
      <c r="CLM3">
        <f>Database!CMF5</f>
        <v>0</v>
      </c>
      <c r="CLN3">
        <f>Database!CMG5</f>
        <v>0</v>
      </c>
      <c r="CLO3">
        <f>Database!CMH5</f>
        <v>0</v>
      </c>
      <c r="CLP3">
        <f>Database!CMI5</f>
        <v>0</v>
      </c>
      <c r="CLQ3">
        <f>Database!CMJ5</f>
        <v>0</v>
      </c>
      <c r="CLR3">
        <f>Database!CMK5</f>
        <v>0</v>
      </c>
      <c r="CLS3">
        <f>Database!CML5</f>
        <v>0</v>
      </c>
      <c r="CLT3">
        <f>Database!CMM5</f>
        <v>0</v>
      </c>
      <c r="CLU3">
        <f>Database!CMN5</f>
        <v>0</v>
      </c>
      <c r="CLV3">
        <f>Database!CMO5</f>
        <v>0</v>
      </c>
      <c r="CLW3">
        <f>Database!CMP5</f>
        <v>0</v>
      </c>
      <c r="CLX3">
        <f>Database!CMQ5</f>
        <v>0</v>
      </c>
      <c r="CLY3">
        <f>Database!CMR5</f>
        <v>0</v>
      </c>
      <c r="CLZ3">
        <f>Database!CMS5</f>
        <v>0</v>
      </c>
      <c r="CMA3">
        <f>Database!CMT5</f>
        <v>0</v>
      </c>
      <c r="CMB3">
        <f>Database!CMU5</f>
        <v>0</v>
      </c>
      <c r="CMC3">
        <f>Database!CMV5</f>
        <v>0</v>
      </c>
      <c r="CMD3">
        <f>Database!CMW5</f>
        <v>0</v>
      </c>
      <c r="CME3">
        <f>Database!CMX5</f>
        <v>0</v>
      </c>
      <c r="CMF3">
        <f>Database!CMY5</f>
        <v>0</v>
      </c>
      <c r="CMG3">
        <f>Database!CMZ5</f>
        <v>0</v>
      </c>
      <c r="CMH3">
        <f>Database!CNA5</f>
        <v>0</v>
      </c>
      <c r="CMI3">
        <f>Database!CNB5</f>
        <v>0</v>
      </c>
      <c r="CMJ3">
        <f>Database!CNC5</f>
        <v>0</v>
      </c>
      <c r="CMK3">
        <f>Database!CND5</f>
        <v>0</v>
      </c>
      <c r="CML3">
        <f>Database!CNE5</f>
        <v>0</v>
      </c>
      <c r="CMM3">
        <f>Database!CNF5</f>
        <v>0</v>
      </c>
      <c r="CMN3">
        <f>Database!CNG5</f>
        <v>0</v>
      </c>
      <c r="CMO3">
        <f>Database!CNH5</f>
        <v>0</v>
      </c>
      <c r="CMP3">
        <f>Database!CNI5</f>
        <v>0</v>
      </c>
      <c r="CMQ3">
        <f>Database!CNJ5</f>
        <v>0</v>
      </c>
      <c r="CMR3">
        <f>Database!CNK5</f>
        <v>0</v>
      </c>
      <c r="CMS3">
        <f>Database!CNL5</f>
        <v>0</v>
      </c>
      <c r="CMT3">
        <f>Database!CNM5</f>
        <v>0</v>
      </c>
      <c r="CMU3">
        <f>Database!CNN5</f>
        <v>0</v>
      </c>
      <c r="CMV3">
        <f>Database!CNO5</f>
        <v>0</v>
      </c>
      <c r="CMW3">
        <f>Database!CNP5</f>
        <v>0</v>
      </c>
      <c r="CMX3">
        <f>Database!CNQ5</f>
        <v>0</v>
      </c>
      <c r="CMY3">
        <f>Database!CNR5</f>
        <v>0</v>
      </c>
      <c r="CMZ3">
        <f>Database!CNS5</f>
        <v>0</v>
      </c>
      <c r="CNA3">
        <f>Database!CNT5</f>
        <v>0</v>
      </c>
      <c r="CNB3">
        <f>Database!CNU5</f>
        <v>0</v>
      </c>
      <c r="CNC3">
        <f>Database!CNV5</f>
        <v>0</v>
      </c>
      <c r="CND3">
        <f>Database!CNW5</f>
        <v>0</v>
      </c>
      <c r="CNE3">
        <f>Database!CNX5</f>
        <v>0</v>
      </c>
      <c r="CNF3">
        <f>Database!CNY5</f>
        <v>0</v>
      </c>
      <c r="CNG3">
        <f>Database!CNZ5</f>
        <v>0</v>
      </c>
      <c r="CNH3">
        <f>Database!COA5</f>
        <v>0</v>
      </c>
      <c r="CNI3">
        <f>Database!COB5</f>
        <v>0</v>
      </c>
      <c r="CNJ3">
        <f>Database!COC5</f>
        <v>0</v>
      </c>
      <c r="CNK3">
        <f>Database!COD5</f>
        <v>0</v>
      </c>
      <c r="CNL3">
        <f>Database!COE5</f>
        <v>0</v>
      </c>
      <c r="CNM3">
        <f>Database!COF5</f>
        <v>0</v>
      </c>
      <c r="CNN3">
        <f>Database!COG5</f>
        <v>0</v>
      </c>
      <c r="CNO3">
        <f>Database!COH5</f>
        <v>0</v>
      </c>
      <c r="CNP3">
        <f>Database!COI5</f>
        <v>0</v>
      </c>
      <c r="CNQ3">
        <f>Database!COJ5</f>
        <v>0</v>
      </c>
      <c r="CNR3">
        <f>Database!COK5</f>
        <v>0</v>
      </c>
      <c r="CNS3">
        <f>Database!COL5</f>
        <v>0</v>
      </c>
      <c r="CNT3">
        <f>Database!COM5</f>
        <v>0</v>
      </c>
      <c r="CNU3">
        <f>Database!CON5</f>
        <v>0</v>
      </c>
      <c r="CNV3">
        <f>Database!COO5</f>
        <v>0</v>
      </c>
      <c r="CNW3">
        <f>Database!COP5</f>
        <v>0</v>
      </c>
      <c r="CNX3">
        <f>Database!COQ5</f>
        <v>0</v>
      </c>
      <c r="CNY3">
        <f>Database!COR5</f>
        <v>0</v>
      </c>
      <c r="CNZ3">
        <f>Database!COS5</f>
        <v>0</v>
      </c>
      <c r="COA3">
        <f>Database!COT5</f>
        <v>0</v>
      </c>
      <c r="COB3">
        <f>Database!COU5</f>
        <v>0</v>
      </c>
      <c r="COC3">
        <f>Database!COV5</f>
        <v>0</v>
      </c>
      <c r="COD3">
        <f>Database!COW5</f>
        <v>0</v>
      </c>
      <c r="COE3">
        <f>Database!COX5</f>
        <v>0</v>
      </c>
      <c r="COF3">
        <f>Database!COY5</f>
        <v>0</v>
      </c>
      <c r="COG3">
        <f>Database!COZ5</f>
        <v>0</v>
      </c>
      <c r="COH3">
        <f>Database!CPA5</f>
        <v>0</v>
      </c>
      <c r="COI3">
        <f>Database!CPB5</f>
        <v>0</v>
      </c>
      <c r="COJ3">
        <f>Database!CPC5</f>
        <v>0</v>
      </c>
      <c r="COK3">
        <f>Database!CPD5</f>
        <v>0</v>
      </c>
      <c r="COL3">
        <f>Database!CPE5</f>
        <v>0</v>
      </c>
      <c r="COM3">
        <f>Database!CPF5</f>
        <v>0</v>
      </c>
      <c r="CON3">
        <f>Database!CPG5</f>
        <v>0</v>
      </c>
      <c r="COO3">
        <f>Database!CPH5</f>
        <v>0</v>
      </c>
      <c r="COP3">
        <f>Database!CPI5</f>
        <v>0</v>
      </c>
      <c r="COQ3">
        <f>Database!CPJ5</f>
        <v>0</v>
      </c>
      <c r="COR3">
        <f>Database!CPK5</f>
        <v>0</v>
      </c>
      <c r="COS3">
        <f>Database!CPL5</f>
        <v>0</v>
      </c>
      <c r="COT3">
        <f>Database!CPM5</f>
        <v>0</v>
      </c>
      <c r="COU3">
        <f>Database!CPN5</f>
        <v>0</v>
      </c>
      <c r="COV3">
        <f>Database!CPO5</f>
        <v>0</v>
      </c>
      <c r="COW3">
        <f>Database!CPP5</f>
        <v>0</v>
      </c>
      <c r="COX3">
        <f>Database!CPQ5</f>
        <v>0</v>
      </c>
      <c r="COY3">
        <f>Database!CPR5</f>
        <v>0</v>
      </c>
      <c r="COZ3">
        <f>Database!CPS5</f>
        <v>0</v>
      </c>
      <c r="CPA3">
        <f>Database!CPT5</f>
        <v>0</v>
      </c>
      <c r="CPB3">
        <f>Database!CPU5</f>
        <v>0</v>
      </c>
      <c r="CPC3">
        <f>Database!CPV5</f>
        <v>0</v>
      </c>
      <c r="CPD3">
        <f>Database!CPW5</f>
        <v>0</v>
      </c>
      <c r="CPE3">
        <f>Database!CPX5</f>
        <v>0</v>
      </c>
      <c r="CPF3">
        <f>Database!CPY5</f>
        <v>0</v>
      </c>
      <c r="CPG3">
        <f>Database!CPZ5</f>
        <v>0</v>
      </c>
      <c r="CPH3">
        <f>Database!CQA5</f>
        <v>0</v>
      </c>
      <c r="CPI3">
        <f>Database!CQB5</f>
        <v>0</v>
      </c>
      <c r="CPJ3">
        <f>Database!CQC5</f>
        <v>0</v>
      </c>
      <c r="CPK3">
        <f>Database!CQD5</f>
        <v>0</v>
      </c>
      <c r="CPL3">
        <f>Database!CQE5</f>
        <v>0</v>
      </c>
      <c r="CPM3">
        <f>Database!CQF5</f>
        <v>0</v>
      </c>
      <c r="CPN3">
        <f>Database!CQG5</f>
        <v>0</v>
      </c>
      <c r="CPO3">
        <f>Database!CQH5</f>
        <v>0</v>
      </c>
      <c r="CPP3">
        <f>Database!CQI5</f>
        <v>0</v>
      </c>
      <c r="CPQ3">
        <f>Database!CQJ5</f>
        <v>0</v>
      </c>
      <c r="CPR3">
        <f>Database!CQK5</f>
        <v>0</v>
      </c>
      <c r="CPS3">
        <f>Database!CQL5</f>
        <v>0</v>
      </c>
      <c r="CPT3">
        <f>Database!CQM5</f>
        <v>0</v>
      </c>
      <c r="CPU3">
        <f>Database!CQN5</f>
        <v>0</v>
      </c>
      <c r="CPV3">
        <f>Database!CQO5</f>
        <v>0</v>
      </c>
      <c r="CPW3">
        <f>Database!CQP5</f>
        <v>0</v>
      </c>
      <c r="CPX3">
        <f>Database!CQQ5</f>
        <v>0</v>
      </c>
      <c r="CPY3">
        <f>Database!CQR5</f>
        <v>0</v>
      </c>
      <c r="CPZ3">
        <f>Database!CQS5</f>
        <v>0</v>
      </c>
      <c r="CQA3">
        <f>Database!CQT5</f>
        <v>0</v>
      </c>
      <c r="CQB3">
        <f>Database!CQU5</f>
        <v>0</v>
      </c>
      <c r="CQC3">
        <f>Database!CQV5</f>
        <v>0</v>
      </c>
      <c r="CQD3">
        <f>Database!CQW5</f>
        <v>0</v>
      </c>
      <c r="CQE3">
        <f>Database!CQX5</f>
        <v>0</v>
      </c>
      <c r="CQF3">
        <f>Database!CQY5</f>
        <v>0</v>
      </c>
      <c r="CQG3">
        <f>Database!CQZ5</f>
        <v>0</v>
      </c>
      <c r="CQH3">
        <f>Database!CRA5</f>
        <v>0</v>
      </c>
      <c r="CQI3">
        <f>Database!CRB5</f>
        <v>0</v>
      </c>
      <c r="CQJ3">
        <f>Database!CRC5</f>
        <v>0</v>
      </c>
      <c r="CQK3">
        <f>Database!CRD5</f>
        <v>0</v>
      </c>
      <c r="CQL3">
        <f>Database!CRE5</f>
        <v>0</v>
      </c>
      <c r="CQM3">
        <f>Database!CRF5</f>
        <v>0</v>
      </c>
      <c r="CQN3">
        <f>Database!CRG5</f>
        <v>0</v>
      </c>
      <c r="CQO3">
        <f>Database!CRH5</f>
        <v>0</v>
      </c>
      <c r="CQP3">
        <f>Database!CRI5</f>
        <v>0</v>
      </c>
      <c r="CQQ3">
        <f>Database!CRJ5</f>
        <v>0</v>
      </c>
      <c r="CQR3">
        <f>Database!CRK5</f>
        <v>0</v>
      </c>
      <c r="CQS3">
        <f>Database!CRL5</f>
        <v>0</v>
      </c>
      <c r="CQT3">
        <f>Database!CRM5</f>
        <v>0</v>
      </c>
      <c r="CQU3">
        <f>Database!CRN5</f>
        <v>0</v>
      </c>
      <c r="CQV3">
        <f>Database!CRO5</f>
        <v>0</v>
      </c>
      <c r="CQW3">
        <f>Database!CRP5</f>
        <v>0</v>
      </c>
      <c r="CQX3">
        <f>Database!CRQ5</f>
        <v>0</v>
      </c>
      <c r="CQY3">
        <f>Database!CRR5</f>
        <v>0</v>
      </c>
      <c r="CQZ3">
        <f>Database!CRS5</f>
        <v>0</v>
      </c>
      <c r="CRA3">
        <f>Database!CRT5</f>
        <v>0</v>
      </c>
      <c r="CRB3">
        <f>Database!CRU5</f>
        <v>0</v>
      </c>
      <c r="CRC3">
        <f>Database!CRV5</f>
        <v>0</v>
      </c>
      <c r="CRD3">
        <f>Database!CRW5</f>
        <v>0</v>
      </c>
      <c r="CRE3">
        <f>Database!CRX5</f>
        <v>0</v>
      </c>
      <c r="CRF3">
        <f>Database!CRY5</f>
        <v>0</v>
      </c>
      <c r="CRG3">
        <f>Database!CRZ5</f>
        <v>0</v>
      </c>
      <c r="CRH3">
        <f>Database!CSA5</f>
        <v>0</v>
      </c>
      <c r="CRI3">
        <f>Database!CSB5</f>
        <v>0</v>
      </c>
      <c r="CRJ3">
        <f>Database!CSC5</f>
        <v>0</v>
      </c>
      <c r="CRK3">
        <f>Database!CSD5</f>
        <v>0</v>
      </c>
      <c r="CRL3">
        <f>Database!CSE5</f>
        <v>0</v>
      </c>
      <c r="CRM3">
        <f>Database!CSF5</f>
        <v>0</v>
      </c>
      <c r="CRN3">
        <f>Database!CSG5</f>
        <v>0</v>
      </c>
      <c r="CRO3">
        <f>Database!CSH5</f>
        <v>0</v>
      </c>
      <c r="CRP3">
        <f>Database!CSI5</f>
        <v>0</v>
      </c>
      <c r="CRQ3">
        <f>Database!CSJ5</f>
        <v>0</v>
      </c>
      <c r="CRR3">
        <f>Database!CSK5</f>
        <v>0</v>
      </c>
      <c r="CRS3">
        <f>Database!CSL5</f>
        <v>0</v>
      </c>
      <c r="CRT3">
        <f>Database!CSM5</f>
        <v>0</v>
      </c>
      <c r="CRU3">
        <f>Database!CSN5</f>
        <v>0</v>
      </c>
      <c r="CRV3">
        <f>Database!CSO5</f>
        <v>0</v>
      </c>
      <c r="CRW3">
        <f>Database!CSP5</f>
        <v>0</v>
      </c>
      <c r="CRX3">
        <f>Database!CSQ5</f>
        <v>0</v>
      </c>
      <c r="CRY3">
        <f>Database!CSR5</f>
        <v>0</v>
      </c>
      <c r="CRZ3">
        <f>Database!CSS5</f>
        <v>0</v>
      </c>
      <c r="CSA3">
        <f>Database!CST5</f>
        <v>0</v>
      </c>
      <c r="CSB3">
        <f>Database!CSU5</f>
        <v>0</v>
      </c>
      <c r="CSC3">
        <f>Database!CSV5</f>
        <v>0</v>
      </c>
      <c r="CSD3">
        <f>Database!CSW5</f>
        <v>0</v>
      </c>
      <c r="CSE3">
        <f>Database!CSX5</f>
        <v>0</v>
      </c>
      <c r="CSF3">
        <f>Database!CSY5</f>
        <v>0</v>
      </c>
      <c r="CSG3">
        <f>Database!CSZ5</f>
        <v>0</v>
      </c>
      <c r="CSH3">
        <f>Database!CTA5</f>
        <v>0</v>
      </c>
      <c r="CSI3">
        <f>Database!CTB5</f>
        <v>0</v>
      </c>
      <c r="CSJ3">
        <f>Database!CTC5</f>
        <v>0</v>
      </c>
      <c r="CSK3">
        <f>Database!CTD5</f>
        <v>0</v>
      </c>
      <c r="CSL3">
        <f>Database!CTE5</f>
        <v>0</v>
      </c>
      <c r="CSM3">
        <f>Database!CTF5</f>
        <v>0</v>
      </c>
      <c r="CSN3">
        <f>Database!CTG5</f>
        <v>0</v>
      </c>
      <c r="CSO3">
        <f>Database!CTH5</f>
        <v>0</v>
      </c>
      <c r="CSP3">
        <f>Database!CTI5</f>
        <v>0</v>
      </c>
      <c r="CSQ3">
        <f>Database!CTJ5</f>
        <v>0</v>
      </c>
      <c r="CSR3">
        <f>Database!CTK5</f>
        <v>0</v>
      </c>
      <c r="CSS3">
        <f>Database!CTL5</f>
        <v>0</v>
      </c>
      <c r="CST3">
        <f>Database!CTM5</f>
        <v>0</v>
      </c>
      <c r="CSU3">
        <f>Database!CTN5</f>
        <v>0</v>
      </c>
      <c r="CSV3">
        <f>Database!CTO5</f>
        <v>0</v>
      </c>
      <c r="CSW3">
        <f>Database!CTP5</f>
        <v>0</v>
      </c>
      <c r="CSX3">
        <f>Database!CTQ5</f>
        <v>0</v>
      </c>
      <c r="CSY3">
        <f>Database!CTR5</f>
        <v>0</v>
      </c>
      <c r="CSZ3">
        <f>Database!CTS5</f>
        <v>0</v>
      </c>
      <c r="CTA3">
        <f>Database!CTT5</f>
        <v>0</v>
      </c>
      <c r="CTB3">
        <f>Database!CTU5</f>
        <v>0</v>
      </c>
      <c r="CTC3">
        <f>Database!CTV5</f>
        <v>0</v>
      </c>
      <c r="CTD3">
        <f>Database!CTW5</f>
        <v>0</v>
      </c>
      <c r="CTE3">
        <f>Database!CTX5</f>
        <v>0</v>
      </c>
      <c r="CTF3">
        <f>Database!CTY5</f>
        <v>0</v>
      </c>
      <c r="CTG3">
        <f>Database!CTZ5</f>
        <v>0</v>
      </c>
      <c r="CTH3">
        <f>Database!CUA5</f>
        <v>0</v>
      </c>
      <c r="CTI3">
        <f>Database!CUB5</f>
        <v>0</v>
      </c>
      <c r="CTJ3">
        <f>Database!CUC5</f>
        <v>0</v>
      </c>
      <c r="CTK3">
        <f>Database!CUD5</f>
        <v>0</v>
      </c>
      <c r="CTL3">
        <f>Database!CUE5</f>
        <v>0</v>
      </c>
      <c r="CTM3">
        <f>Database!CUF5</f>
        <v>0</v>
      </c>
      <c r="CTN3">
        <f>Database!CUG5</f>
        <v>0</v>
      </c>
      <c r="CTO3">
        <f>Database!CUH5</f>
        <v>0</v>
      </c>
      <c r="CTP3">
        <f>Database!CUI5</f>
        <v>0</v>
      </c>
      <c r="CTQ3">
        <f>Database!CUJ5</f>
        <v>0</v>
      </c>
      <c r="CTR3">
        <f>Database!CUK5</f>
        <v>0</v>
      </c>
      <c r="CTS3">
        <f>Database!CUL5</f>
        <v>0</v>
      </c>
      <c r="CTT3">
        <f>Database!CUM5</f>
        <v>0</v>
      </c>
      <c r="CTU3">
        <f>Database!CUN5</f>
        <v>0</v>
      </c>
      <c r="CTV3">
        <f>Database!CUO5</f>
        <v>0</v>
      </c>
      <c r="CTW3">
        <f>Database!CUP5</f>
        <v>0</v>
      </c>
      <c r="CTX3">
        <f>Database!CUQ5</f>
        <v>0</v>
      </c>
      <c r="CTY3">
        <f>Database!CUR5</f>
        <v>0</v>
      </c>
      <c r="CTZ3">
        <f>Database!CUS5</f>
        <v>0</v>
      </c>
      <c r="CUA3">
        <f>Database!CUT5</f>
        <v>0</v>
      </c>
      <c r="CUB3">
        <f>Database!CUU5</f>
        <v>0</v>
      </c>
      <c r="CUC3">
        <f>Database!CUV5</f>
        <v>0</v>
      </c>
      <c r="CUD3">
        <f>Database!CUW5</f>
        <v>0</v>
      </c>
      <c r="CUE3">
        <f>Database!CUX5</f>
        <v>0</v>
      </c>
      <c r="CUF3">
        <f>Database!CUY5</f>
        <v>0</v>
      </c>
      <c r="CUG3">
        <f>Database!CUZ5</f>
        <v>0</v>
      </c>
      <c r="CUH3">
        <f>Database!CVA5</f>
        <v>0</v>
      </c>
      <c r="CUI3">
        <f>Database!CVB5</f>
        <v>0</v>
      </c>
      <c r="CUJ3">
        <f>Database!CVC5</f>
        <v>0</v>
      </c>
      <c r="CUK3">
        <f>Database!CVD5</f>
        <v>0</v>
      </c>
      <c r="CUL3">
        <f>Database!CVE5</f>
        <v>0</v>
      </c>
      <c r="CUM3">
        <f>Database!CVF5</f>
        <v>0</v>
      </c>
      <c r="CUN3">
        <f>Database!CVG5</f>
        <v>0</v>
      </c>
      <c r="CUO3">
        <f>Database!CVH5</f>
        <v>0</v>
      </c>
      <c r="CUP3">
        <f>Database!CVI5</f>
        <v>0</v>
      </c>
      <c r="CUQ3">
        <f>Database!CVJ5</f>
        <v>0</v>
      </c>
      <c r="CUR3">
        <f>Database!CVK5</f>
        <v>0</v>
      </c>
      <c r="CUS3">
        <f>Database!CVL5</f>
        <v>0</v>
      </c>
      <c r="CUT3">
        <f>Database!CVM5</f>
        <v>0</v>
      </c>
      <c r="CUU3">
        <f>Database!CVN5</f>
        <v>0</v>
      </c>
      <c r="CUV3">
        <f>Database!CVO5</f>
        <v>0</v>
      </c>
      <c r="CUW3">
        <f>Database!CVP5</f>
        <v>0</v>
      </c>
      <c r="CUX3">
        <f>Database!CVQ5</f>
        <v>0</v>
      </c>
      <c r="CUY3">
        <f>Database!CVR5</f>
        <v>0</v>
      </c>
      <c r="CUZ3">
        <f>Database!CVS5</f>
        <v>0</v>
      </c>
      <c r="CVA3">
        <f>Database!CVT5</f>
        <v>0</v>
      </c>
      <c r="CVB3">
        <f>Database!CVU5</f>
        <v>0</v>
      </c>
      <c r="CVC3">
        <f>Database!CVV5</f>
        <v>0</v>
      </c>
      <c r="CVD3">
        <f>Database!CVW5</f>
        <v>0</v>
      </c>
      <c r="CVE3">
        <f>Database!CVX5</f>
        <v>0</v>
      </c>
      <c r="CVF3">
        <f>Database!CVY5</f>
        <v>0</v>
      </c>
      <c r="CVG3">
        <f>Database!CVZ5</f>
        <v>0</v>
      </c>
      <c r="CVH3">
        <f>Database!CWA5</f>
        <v>0</v>
      </c>
      <c r="CVI3">
        <f>Database!CWB5</f>
        <v>0</v>
      </c>
      <c r="CVJ3">
        <f>Database!CWC5</f>
        <v>0</v>
      </c>
      <c r="CVK3">
        <f>Database!CWD5</f>
        <v>0</v>
      </c>
      <c r="CVL3">
        <f>Database!CWE5</f>
        <v>0</v>
      </c>
      <c r="CVM3">
        <f>Database!CWF5</f>
        <v>0</v>
      </c>
      <c r="CVN3">
        <f>Database!CWG5</f>
        <v>0</v>
      </c>
      <c r="CVO3">
        <f>Database!CWH5</f>
        <v>0</v>
      </c>
      <c r="CVP3">
        <f>Database!CWI5</f>
        <v>0</v>
      </c>
      <c r="CVQ3">
        <f>Database!CWJ5</f>
        <v>0</v>
      </c>
      <c r="CVR3">
        <f>Database!CWK5</f>
        <v>0</v>
      </c>
      <c r="CVS3">
        <f>Database!CWL5</f>
        <v>0</v>
      </c>
      <c r="CVT3">
        <f>Database!CWM5</f>
        <v>0</v>
      </c>
      <c r="CVU3">
        <f>Database!CWN5</f>
        <v>0</v>
      </c>
      <c r="CVV3">
        <f>Database!CWO5</f>
        <v>0</v>
      </c>
      <c r="CVW3">
        <f>Database!CWP5</f>
        <v>0</v>
      </c>
      <c r="CVX3">
        <f>Database!CWQ5</f>
        <v>0</v>
      </c>
      <c r="CVY3">
        <f>Database!CWR5</f>
        <v>0</v>
      </c>
      <c r="CVZ3">
        <f>Database!CWS5</f>
        <v>0</v>
      </c>
      <c r="CWA3">
        <f>Database!CWT5</f>
        <v>0</v>
      </c>
      <c r="CWB3">
        <f>Database!CWU5</f>
        <v>0</v>
      </c>
      <c r="CWC3">
        <f>Database!CWV5</f>
        <v>0</v>
      </c>
      <c r="CWD3">
        <f>Database!CWW5</f>
        <v>0</v>
      </c>
      <c r="CWE3">
        <f>Database!CWX5</f>
        <v>0</v>
      </c>
      <c r="CWF3">
        <f>Database!CWY5</f>
        <v>0</v>
      </c>
      <c r="CWG3">
        <f>Database!CWZ5</f>
        <v>0</v>
      </c>
      <c r="CWH3">
        <f>Database!CXA5</f>
        <v>0</v>
      </c>
      <c r="CWI3">
        <f>Database!CXB5</f>
        <v>0</v>
      </c>
      <c r="CWJ3">
        <f>Database!CXC5</f>
        <v>0</v>
      </c>
      <c r="CWK3">
        <f>Database!CXD5</f>
        <v>0</v>
      </c>
      <c r="CWL3">
        <f>Database!CXE5</f>
        <v>0</v>
      </c>
      <c r="CWM3">
        <f>Database!CXF5</f>
        <v>0</v>
      </c>
      <c r="CWN3">
        <f>Database!CXG5</f>
        <v>0</v>
      </c>
      <c r="CWO3">
        <f>Database!CXH5</f>
        <v>0</v>
      </c>
      <c r="CWP3">
        <f>Database!CXI5</f>
        <v>0</v>
      </c>
      <c r="CWQ3">
        <f>Database!CXJ5</f>
        <v>0</v>
      </c>
      <c r="CWR3">
        <f>Database!CXK5</f>
        <v>0</v>
      </c>
      <c r="CWS3">
        <f>Database!CXL5</f>
        <v>0</v>
      </c>
      <c r="CWT3">
        <f>Database!CXM5</f>
        <v>0</v>
      </c>
      <c r="CWU3">
        <f>Database!CXN5</f>
        <v>0</v>
      </c>
      <c r="CWV3">
        <f>Database!CXO5</f>
        <v>0</v>
      </c>
      <c r="CWW3">
        <f>Database!CXP5</f>
        <v>0</v>
      </c>
      <c r="CWX3">
        <f>Database!CXQ5</f>
        <v>0</v>
      </c>
      <c r="CWY3">
        <f>Database!CXR5</f>
        <v>0</v>
      </c>
      <c r="CWZ3">
        <f>Database!CXS5</f>
        <v>0</v>
      </c>
      <c r="CXA3">
        <f>Database!CXT5</f>
        <v>0</v>
      </c>
      <c r="CXB3">
        <f>Database!CXU5</f>
        <v>0</v>
      </c>
      <c r="CXC3">
        <f>Database!CXV5</f>
        <v>0</v>
      </c>
      <c r="CXD3">
        <f>Database!CXW5</f>
        <v>0</v>
      </c>
      <c r="CXE3">
        <f>Database!CXX5</f>
        <v>0</v>
      </c>
      <c r="CXF3">
        <f>Database!CXY5</f>
        <v>0</v>
      </c>
      <c r="CXG3">
        <f>Database!CXZ5</f>
        <v>0</v>
      </c>
      <c r="CXH3">
        <f>Database!CYA5</f>
        <v>0</v>
      </c>
      <c r="CXI3">
        <f>Database!CYB5</f>
        <v>0</v>
      </c>
      <c r="CXJ3">
        <f>Database!CYC5</f>
        <v>0</v>
      </c>
      <c r="CXK3">
        <f>Database!CYD5</f>
        <v>0</v>
      </c>
      <c r="CXL3">
        <f>Database!CYE5</f>
        <v>0</v>
      </c>
      <c r="CXM3">
        <f>Database!CYF5</f>
        <v>0</v>
      </c>
      <c r="CXN3">
        <f>Database!CYG5</f>
        <v>0</v>
      </c>
      <c r="CXO3">
        <f>Database!CYH5</f>
        <v>0</v>
      </c>
      <c r="CXP3">
        <f>Database!CYI5</f>
        <v>0</v>
      </c>
      <c r="CXQ3">
        <f>Database!CYJ5</f>
        <v>0</v>
      </c>
      <c r="CXR3">
        <f>Database!CYK5</f>
        <v>0</v>
      </c>
      <c r="CXS3">
        <f>Database!CYL5</f>
        <v>0</v>
      </c>
      <c r="CXT3">
        <f>Database!CYM5</f>
        <v>0</v>
      </c>
      <c r="CXU3">
        <f>Database!CYN5</f>
        <v>0</v>
      </c>
      <c r="CXV3">
        <f>Database!CYO5</f>
        <v>0</v>
      </c>
      <c r="CXW3">
        <f>Database!CYP5</f>
        <v>0</v>
      </c>
      <c r="CXX3">
        <f>Database!CYQ5</f>
        <v>0</v>
      </c>
      <c r="CXY3">
        <f>Database!CYR5</f>
        <v>0</v>
      </c>
      <c r="CXZ3">
        <f>Database!CYS5</f>
        <v>0</v>
      </c>
      <c r="CYA3">
        <f>Database!CYT5</f>
        <v>0</v>
      </c>
      <c r="CYB3">
        <f>Database!CYU5</f>
        <v>0</v>
      </c>
      <c r="CYC3">
        <f>Database!CYV5</f>
        <v>0</v>
      </c>
      <c r="CYD3">
        <f>Database!CYW5</f>
        <v>0</v>
      </c>
      <c r="CYE3">
        <f>Database!CYX5</f>
        <v>0</v>
      </c>
      <c r="CYF3">
        <f>Database!CYY5</f>
        <v>0</v>
      </c>
      <c r="CYG3">
        <f>Database!CYZ5</f>
        <v>0</v>
      </c>
      <c r="CYH3">
        <f>Database!CZA5</f>
        <v>0</v>
      </c>
      <c r="CYI3">
        <f>Database!CZB5</f>
        <v>0</v>
      </c>
      <c r="CYJ3">
        <f>Database!CZC5</f>
        <v>0</v>
      </c>
      <c r="CYK3">
        <f>Database!CZD5</f>
        <v>0</v>
      </c>
      <c r="CYL3">
        <f>Database!CZE5</f>
        <v>0</v>
      </c>
      <c r="CYM3">
        <f>Database!CZF5</f>
        <v>0</v>
      </c>
      <c r="CYN3">
        <f>Database!CZG5</f>
        <v>0</v>
      </c>
      <c r="CYO3">
        <f>Database!CZH5</f>
        <v>0</v>
      </c>
      <c r="CYP3">
        <f>Database!CZI5</f>
        <v>0</v>
      </c>
      <c r="CYQ3">
        <f>Database!CZJ5</f>
        <v>0</v>
      </c>
      <c r="CYR3">
        <f>Database!CZK5</f>
        <v>0</v>
      </c>
      <c r="CYS3">
        <f>Database!CZL5</f>
        <v>0</v>
      </c>
      <c r="CYT3">
        <f>Database!CZM5</f>
        <v>0</v>
      </c>
      <c r="CYU3">
        <f>Database!CZN5</f>
        <v>0</v>
      </c>
      <c r="CYV3">
        <f>Database!CZO5</f>
        <v>0</v>
      </c>
      <c r="CYW3">
        <f>Database!CZP5</f>
        <v>0</v>
      </c>
      <c r="CYX3">
        <f>Database!CZQ5</f>
        <v>0</v>
      </c>
      <c r="CYY3">
        <f>Database!CZR5</f>
        <v>0</v>
      </c>
      <c r="CYZ3">
        <f>Database!CZS5</f>
        <v>0</v>
      </c>
      <c r="CZA3">
        <f>Database!CZT5</f>
        <v>0</v>
      </c>
      <c r="CZB3">
        <f>Database!CZU5</f>
        <v>0</v>
      </c>
      <c r="CZC3">
        <f>Database!CZV5</f>
        <v>0</v>
      </c>
      <c r="CZD3">
        <f>Database!CZW5</f>
        <v>0</v>
      </c>
      <c r="CZE3">
        <f>Database!CZX5</f>
        <v>0</v>
      </c>
      <c r="CZF3">
        <f>Database!CZY5</f>
        <v>0</v>
      </c>
      <c r="CZG3">
        <f>Database!CZZ5</f>
        <v>0</v>
      </c>
      <c r="CZH3">
        <f>Database!DAA5</f>
        <v>0</v>
      </c>
      <c r="CZI3">
        <f>Database!DAB5</f>
        <v>0</v>
      </c>
      <c r="CZJ3">
        <f>Database!DAC5</f>
        <v>0</v>
      </c>
      <c r="CZK3">
        <f>Database!DAD5</f>
        <v>0</v>
      </c>
      <c r="CZL3">
        <f>Database!DAE5</f>
        <v>0</v>
      </c>
      <c r="CZM3">
        <f>Database!DAF5</f>
        <v>0</v>
      </c>
      <c r="CZN3">
        <f>Database!DAG5</f>
        <v>0</v>
      </c>
      <c r="CZO3">
        <f>Database!DAH5</f>
        <v>0</v>
      </c>
      <c r="CZP3">
        <f>Database!DAI5</f>
        <v>0</v>
      </c>
      <c r="CZQ3">
        <f>Database!DAJ5</f>
        <v>0</v>
      </c>
      <c r="CZR3">
        <f>Database!DAK5</f>
        <v>0</v>
      </c>
      <c r="CZS3">
        <f>Database!DAL5</f>
        <v>0</v>
      </c>
      <c r="CZT3">
        <f>Database!DAM5</f>
        <v>0</v>
      </c>
      <c r="CZU3">
        <f>Database!DAN5</f>
        <v>0</v>
      </c>
      <c r="CZV3">
        <f>Database!DAO5</f>
        <v>0</v>
      </c>
      <c r="CZW3">
        <f>Database!DAP5</f>
        <v>0</v>
      </c>
      <c r="CZX3">
        <f>Database!DAQ5</f>
        <v>0</v>
      </c>
      <c r="CZY3">
        <f>Database!DAR5</f>
        <v>0</v>
      </c>
      <c r="CZZ3">
        <f>Database!DAS5</f>
        <v>0</v>
      </c>
      <c r="DAA3">
        <f>Database!DAT5</f>
        <v>0</v>
      </c>
      <c r="DAB3">
        <f>Database!DAU5</f>
        <v>0</v>
      </c>
      <c r="DAC3">
        <f>Database!DAV5</f>
        <v>0</v>
      </c>
      <c r="DAD3">
        <f>Database!DAW5</f>
        <v>0</v>
      </c>
      <c r="DAE3">
        <f>Database!DAX5</f>
        <v>0</v>
      </c>
      <c r="DAF3">
        <f>Database!DAY5</f>
        <v>0</v>
      </c>
      <c r="DAG3">
        <f>Database!DAZ5</f>
        <v>0</v>
      </c>
      <c r="DAH3">
        <f>Database!DBA5</f>
        <v>0</v>
      </c>
      <c r="DAI3">
        <f>Database!DBB5</f>
        <v>0</v>
      </c>
      <c r="DAJ3">
        <f>Database!DBC5</f>
        <v>0</v>
      </c>
      <c r="DAK3">
        <f>Database!DBD5</f>
        <v>0</v>
      </c>
      <c r="DAL3">
        <f>Database!DBE5</f>
        <v>0</v>
      </c>
      <c r="DAM3">
        <f>Database!DBF5</f>
        <v>0</v>
      </c>
      <c r="DAN3">
        <f>Database!DBG5</f>
        <v>0</v>
      </c>
      <c r="DAO3">
        <f>Database!DBH5</f>
        <v>0</v>
      </c>
      <c r="DAP3">
        <f>Database!DBI5</f>
        <v>0</v>
      </c>
      <c r="DAQ3">
        <f>Database!DBJ5</f>
        <v>0</v>
      </c>
      <c r="DAR3">
        <f>Database!DBK5</f>
        <v>0</v>
      </c>
      <c r="DAS3">
        <f>Database!DBL5</f>
        <v>0</v>
      </c>
      <c r="DAT3">
        <f>Database!DBM5</f>
        <v>0</v>
      </c>
      <c r="DAU3">
        <f>Database!DBN5</f>
        <v>0</v>
      </c>
      <c r="DAV3">
        <f>Database!DBO5</f>
        <v>0</v>
      </c>
      <c r="DAW3">
        <f>Database!DBP5</f>
        <v>0</v>
      </c>
      <c r="DAX3">
        <f>Database!DBQ5</f>
        <v>0</v>
      </c>
      <c r="DAY3">
        <f>Database!DBR5</f>
        <v>0</v>
      </c>
      <c r="DAZ3">
        <f>Database!DBS5</f>
        <v>0</v>
      </c>
      <c r="DBA3">
        <f>Database!DBT5</f>
        <v>0</v>
      </c>
      <c r="DBB3">
        <f>Database!DBU5</f>
        <v>0</v>
      </c>
      <c r="DBC3">
        <f>Database!DBV5</f>
        <v>0</v>
      </c>
      <c r="DBD3">
        <f>Database!DBW5</f>
        <v>0</v>
      </c>
      <c r="DBE3">
        <f>Database!DBX5</f>
        <v>0</v>
      </c>
      <c r="DBF3">
        <f>Database!DBY5</f>
        <v>0</v>
      </c>
      <c r="DBG3">
        <f>Database!DBZ5</f>
        <v>0</v>
      </c>
      <c r="DBH3">
        <f>Database!DCA5</f>
        <v>0</v>
      </c>
      <c r="DBI3">
        <f>Database!DCB5</f>
        <v>0</v>
      </c>
      <c r="DBJ3">
        <f>Database!DCC5</f>
        <v>0</v>
      </c>
      <c r="DBK3">
        <f>Database!DCD5</f>
        <v>0</v>
      </c>
      <c r="DBL3">
        <f>Database!DCE5</f>
        <v>0</v>
      </c>
      <c r="DBM3">
        <f>Database!DCF5</f>
        <v>0</v>
      </c>
      <c r="DBN3">
        <f>Database!DCG5</f>
        <v>0</v>
      </c>
      <c r="DBO3">
        <f>Database!DCH5</f>
        <v>0</v>
      </c>
      <c r="DBP3">
        <f>Database!DCI5</f>
        <v>0</v>
      </c>
      <c r="DBQ3">
        <f>Database!DCJ5</f>
        <v>0</v>
      </c>
      <c r="DBR3">
        <f>Database!DCK5</f>
        <v>0</v>
      </c>
      <c r="DBS3">
        <f>Database!DCL5</f>
        <v>0</v>
      </c>
      <c r="DBT3">
        <f>Database!DCM5</f>
        <v>0</v>
      </c>
      <c r="DBU3">
        <f>Database!DCN5</f>
        <v>0</v>
      </c>
      <c r="DBV3">
        <f>Database!DCO5</f>
        <v>0</v>
      </c>
      <c r="DBW3">
        <f>Database!DCP5</f>
        <v>0</v>
      </c>
      <c r="DBX3">
        <f>Database!DCQ5</f>
        <v>0</v>
      </c>
      <c r="DBY3">
        <f>Database!DCR5</f>
        <v>0</v>
      </c>
      <c r="DBZ3">
        <f>Database!DCS5</f>
        <v>0</v>
      </c>
      <c r="DCA3">
        <f>Database!DCT5</f>
        <v>0</v>
      </c>
      <c r="DCB3">
        <f>Database!DCU5</f>
        <v>0</v>
      </c>
      <c r="DCC3">
        <f>Database!DCV5</f>
        <v>0</v>
      </c>
      <c r="DCD3">
        <f>Database!DCW5</f>
        <v>0</v>
      </c>
      <c r="DCE3">
        <f>Database!DCX5</f>
        <v>0</v>
      </c>
      <c r="DCF3">
        <f>Database!DCY5</f>
        <v>0</v>
      </c>
      <c r="DCG3">
        <f>Database!DCZ5</f>
        <v>0</v>
      </c>
      <c r="DCH3">
        <f>Database!DDA5</f>
        <v>0</v>
      </c>
      <c r="DCI3">
        <f>Database!DDB5</f>
        <v>0</v>
      </c>
      <c r="DCJ3">
        <f>Database!DDC5</f>
        <v>0</v>
      </c>
      <c r="DCK3">
        <f>Database!DDD5</f>
        <v>0</v>
      </c>
      <c r="DCL3">
        <f>Database!DDE5</f>
        <v>0</v>
      </c>
      <c r="DCM3">
        <f>Database!DDF5</f>
        <v>0</v>
      </c>
      <c r="DCN3">
        <f>Database!DDG5</f>
        <v>0</v>
      </c>
      <c r="DCO3">
        <f>Database!DDH5</f>
        <v>0</v>
      </c>
      <c r="DCP3">
        <f>Database!DDI5</f>
        <v>0</v>
      </c>
      <c r="DCQ3">
        <f>Database!DDJ5</f>
        <v>0</v>
      </c>
      <c r="DCR3">
        <f>Database!DDK5</f>
        <v>0</v>
      </c>
      <c r="DCS3">
        <f>Database!DDL5</f>
        <v>0</v>
      </c>
      <c r="DCT3">
        <f>Database!DDM5</f>
        <v>0</v>
      </c>
      <c r="DCU3">
        <f>Database!DDN5</f>
        <v>0</v>
      </c>
      <c r="DCV3">
        <f>Database!DDO5</f>
        <v>0</v>
      </c>
      <c r="DCW3">
        <f>Database!DDP5</f>
        <v>0</v>
      </c>
      <c r="DCX3">
        <f>Database!DDQ5</f>
        <v>0</v>
      </c>
      <c r="DCY3">
        <f>Database!DDR5</f>
        <v>0</v>
      </c>
      <c r="DCZ3">
        <f>Database!DDS5</f>
        <v>0</v>
      </c>
      <c r="DDA3">
        <f>Database!DDT5</f>
        <v>0</v>
      </c>
      <c r="DDB3">
        <f>Database!DDU5</f>
        <v>0</v>
      </c>
      <c r="DDC3">
        <f>Database!DDV5</f>
        <v>0</v>
      </c>
      <c r="DDD3">
        <f>Database!DDW5</f>
        <v>0</v>
      </c>
      <c r="DDE3">
        <f>Database!DDX5</f>
        <v>0</v>
      </c>
      <c r="DDF3">
        <f>Database!DDY5</f>
        <v>0</v>
      </c>
      <c r="DDG3">
        <f>Database!DDZ5</f>
        <v>0</v>
      </c>
      <c r="DDH3">
        <f>Database!DEA5</f>
        <v>0</v>
      </c>
      <c r="DDI3">
        <f>Database!DEB5</f>
        <v>0</v>
      </c>
      <c r="DDJ3">
        <f>Database!DEC5</f>
        <v>0</v>
      </c>
      <c r="DDK3">
        <f>Database!DED5</f>
        <v>0</v>
      </c>
      <c r="DDL3">
        <f>Database!DEE5</f>
        <v>0</v>
      </c>
      <c r="DDM3">
        <f>Database!DEF5</f>
        <v>0</v>
      </c>
      <c r="DDN3">
        <f>Database!DEG5</f>
        <v>0</v>
      </c>
      <c r="DDO3">
        <f>Database!DEH5</f>
        <v>0</v>
      </c>
      <c r="DDP3">
        <f>Database!DEI5</f>
        <v>0</v>
      </c>
      <c r="DDQ3">
        <f>Database!DEJ5</f>
        <v>0</v>
      </c>
      <c r="DDR3">
        <f>Database!DEK5</f>
        <v>0</v>
      </c>
      <c r="DDS3">
        <f>Database!DEL5</f>
        <v>0</v>
      </c>
      <c r="DDT3">
        <f>Database!DEM5</f>
        <v>0</v>
      </c>
      <c r="DDU3">
        <f>Database!DEN5</f>
        <v>0</v>
      </c>
      <c r="DDV3">
        <f>Database!DEO5</f>
        <v>0</v>
      </c>
      <c r="DDW3">
        <f>Database!DEP5</f>
        <v>0</v>
      </c>
      <c r="DDX3">
        <f>Database!DEQ5</f>
        <v>0</v>
      </c>
      <c r="DDY3">
        <f>Database!DER5</f>
        <v>0</v>
      </c>
      <c r="DDZ3">
        <f>Database!DES5</f>
        <v>0</v>
      </c>
      <c r="DEA3">
        <f>Database!DET5</f>
        <v>0</v>
      </c>
      <c r="DEB3">
        <f>Database!DEU5</f>
        <v>0</v>
      </c>
      <c r="DEC3">
        <f>Database!DEV5</f>
        <v>0</v>
      </c>
      <c r="DED3">
        <f>Database!DEW5</f>
        <v>0</v>
      </c>
      <c r="DEE3">
        <f>Database!DEX5</f>
        <v>0</v>
      </c>
      <c r="DEF3">
        <f>Database!DEY5</f>
        <v>0</v>
      </c>
      <c r="DEG3">
        <f>Database!DEZ5</f>
        <v>0</v>
      </c>
      <c r="DEH3">
        <f>Database!DFA5</f>
        <v>0</v>
      </c>
      <c r="DEI3">
        <f>Database!DFB5</f>
        <v>0</v>
      </c>
      <c r="DEJ3">
        <f>Database!DFC5</f>
        <v>0</v>
      </c>
      <c r="DEK3">
        <f>Database!DFD5</f>
        <v>0</v>
      </c>
      <c r="DEL3">
        <f>Database!DFE5</f>
        <v>0</v>
      </c>
      <c r="DEM3">
        <f>Database!DFF5</f>
        <v>0</v>
      </c>
      <c r="DEN3">
        <f>Database!DFG5</f>
        <v>0</v>
      </c>
      <c r="DEO3">
        <f>Database!DFH5</f>
        <v>0</v>
      </c>
      <c r="DEP3">
        <f>Database!DFI5</f>
        <v>0</v>
      </c>
      <c r="DEQ3">
        <f>Database!DFJ5</f>
        <v>0</v>
      </c>
      <c r="DER3">
        <f>Database!DFK5</f>
        <v>0</v>
      </c>
      <c r="DES3">
        <f>Database!DFL5</f>
        <v>0</v>
      </c>
      <c r="DET3">
        <f>Database!DFM5</f>
        <v>0</v>
      </c>
      <c r="DEU3">
        <f>Database!DFN5</f>
        <v>0</v>
      </c>
      <c r="DEV3">
        <f>Database!DFO5</f>
        <v>0</v>
      </c>
      <c r="DEW3">
        <f>Database!DFP5</f>
        <v>0</v>
      </c>
      <c r="DEX3">
        <f>Database!DFQ5</f>
        <v>0</v>
      </c>
      <c r="DEY3">
        <f>Database!DFR5</f>
        <v>0</v>
      </c>
      <c r="DEZ3">
        <f>Database!DFS5</f>
        <v>0</v>
      </c>
      <c r="DFA3">
        <f>Database!DFT5</f>
        <v>0</v>
      </c>
      <c r="DFB3">
        <f>Database!DFU5</f>
        <v>0</v>
      </c>
      <c r="DFC3">
        <f>Database!DFV5</f>
        <v>0</v>
      </c>
      <c r="DFD3">
        <f>Database!DFW5</f>
        <v>0</v>
      </c>
      <c r="DFE3">
        <f>Database!DFX5</f>
        <v>0</v>
      </c>
      <c r="DFF3">
        <f>Database!DFY5</f>
        <v>0</v>
      </c>
      <c r="DFG3">
        <f>Database!DFZ5</f>
        <v>0</v>
      </c>
      <c r="DFH3">
        <f>Database!DGA5</f>
        <v>0</v>
      </c>
      <c r="DFI3">
        <f>Database!DGB5</f>
        <v>0</v>
      </c>
      <c r="DFJ3">
        <f>Database!DGC5</f>
        <v>0</v>
      </c>
      <c r="DFK3">
        <f>Database!DGD5</f>
        <v>0</v>
      </c>
      <c r="DFL3">
        <f>Database!DGE5</f>
        <v>0</v>
      </c>
      <c r="DFM3">
        <f>Database!DGF5</f>
        <v>0</v>
      </c>
      <c r="DFN3">
        <f>Database!DGG5</f>
        <v>0</v>
      </c>
      <c r="DFO3">
        <f>Database!DGH5</f>
        <v>0</v>
      </c>
      <c r="DFP3">
        <f>Database!DGI5</f>
        <v>0</v>
      </c>
      <c r="DFQ3">
        <f>Database!DGJ5</f>
        <v>0</v>
      </c>
      <c r="DFR3">
        <f>Database!DGK5</f>
        <v>0</v>
      </c>
      <c r="DFS3">
        <f>Database!DGL5</f>
        <v>0</v>
      </c>
      <c r="DFT3">
        <f>Database!DGM5</f>
        <v>0</v>
      </c>
      <c r="DFU3">
        <f>Database!DGN5</f>
        <v>0</v>
      </c>
      <c r="DFV3">
        <f>Database!DGO5</f>
        <v>0</v>
      </c>
      <c r="DFW3">
        <f>Database!DGP5</f>
        <v>0</v>
      </c>
      <c r="DFX3">
        <f>Database!DGQ5</f>
        <v>0</v>
      </c>
      <c r="DFY3">
        <f>Database!DGR5</f>
        <v>0</v>
      </c>
      <c r="DFZ3">
        <f>Database!DGS5</f>
        <v>0</v>
      </c>
      <c r="DGA3">
        <f>Database!DGT5</f>
        <v>0</v>
      </c>
      <c r="DGB3">
        <f>Database!DGU5</f>
        <v>0</v>
      </c>
      <c r="DGC3">
        <f>Database!DGV5</f>
        <v>0</v>
      </c>
      <c r="DGD3">
        <f>Database!DGW5</f>
        <v>0</v>
      </c>
      <c r="DGE3">
        <f>Database!DGX5</f>
        <v>0</v>
      </c>
      <c r="DGF3">
        <f>Database!DGY5</f>
        <v>0</v>
      </c>
      <c r="DGG3">
        <f>Database!DGZ5</f>
        <v>0</v>
      </c>
      <c r="DGH3">
        <f>Database!DHA5</f>
        <v>0</v>
      </c>
      <c r="DGI3">
        <f>Database!DHB5</f>
        <v>0</v>
      </c>
      <c r="DGJ3">
        <f>Database!DHC5</f>
        <v>0</v>
      </c>
      <c r="DGK3">
        <f>Database!DHD5</f>
        <v>0</v>
      </c>
      <c r="DGL3">
        <f>Database!DHE5</f>
        <v>0</v>
      </c>
      <c r="DGM3">
        <f>Database!DHF5</f>
        <v>0</v>
      </c>
      <c r="DGN3">
        <f>Database!DHG5</f>
        <v>0</v>
      </c>
      <c r="DGO3">
        <f>Database!DHH5</f>
        <v>0</v>
      </c>
      <c r="DGP3">
        <f>Database!DHI5</f>
        <v>0</v>
      </c>
      <c r="DGQ3">
        <f>Database!DHJ5</f>
        <v>0</v>
      </c>
      <c r="DGR3">
        <f>Database!DHK5</f>
        <v>0</v>
      </c>
      <c r="DGS3">
        <f>Database!DHL5</f>
        <v>0</v>
      </c>
      <c r="DGT3">
        <f>Database!DHM5</f>
        <v>0</v>
      </c>
      <c r="DGU3">
        <f>Database!DHN5</f>
        <v>0</v>
      </c>
      <c r="DGV3">
        <f>Database!DHO5</f>
        <v>0</v>
      </c>
      <c r="DGW3">
        <f>Database!DHP5</f>
        <v>0</v>
      </c>
      <c r="DGX3">
        <f>Database!DHQ5</f>
        <v>0</v>
      </c>
      <c r="DGY3">
        <f>Database!DHR5</f>
        <v>0</v>
      </c>
      <c r="DGZ3">
        <f>Database!DHS5</f>
        <v>0</v>
      </c>
      <c r="DHA3">
        <f>Database!DHT5</f>
        <v>0</v>
      </c>
      <c r="DHB3">
        <f>Database!DHU5</f>
        <v>0</v>
      </c>
      <c r="DHC3">
        <f>Database!DHV5</f>
        <v>0</v>
      </c>
      <c r="DHD3">
        <f>Database!DHW5</f>
        <v>0</v>
      </c>
      <c r="DHE3">
        <f>Database!DHX5</f>
        <v>0</v>
      </c>
      <c r="DHF3">
        <f>Database!DHY5</f>
        <v>0</v>
      </c>
      <c r="DHG3">
        <f>Database!DHZ5</f>
        <v>0</v>
      </c>
      <c r="DHH3">
        <f>Database!DIA5</f>
        <v>0</v>
      </c>
      <c r="DHI3">
        <f>Database!DIB5</f>
        <v>0</v>
      </c>
      <c r="DHJ3">
        <f>Database!DIC5</f>
        <v>0</v>
      </c>
      <c r="DHK3">
        <f>Database!DID5</f>
        <v>0</v>
      </c>
      <c r="DHL3">
        <f>Database!DIE5</f>
        <v>0</v>
      </c>
      <c r="DHM3">
        <f>Database!DIF5</f>
        <v>0</v>
      </c>
      <c r="DHN3">
        <f>Database!DIG5</f>
        <v>0</v>
      </c>
      <c r="DHO3">
        <f>Database!DIH5</f>
        <v>0</v>
      </c>
      <c r="DHP3">
        <f>Database!DII5</f>
        <v>0</v>
      </c>
      <c r="DHQ3">
        <f>Database!DIJ5</f>
        <v>0</v>
      </c>
      <c r="DHR3">
        <f>Database!DIK5</f>
        <v>0</v>
      </c>
      <c r="DHS3">
        <f>Database!DIL5</f>
        <v>0</v>
      </c>
      <c r="DHT3">
        <f>Database!DIM5</f>
        <v>0</v>
      </c>
      <c r="DHU3">
        <f>Database!DIN5</f>
        <v>0</v>
      </c>
      <c r="DHV3">
        <f>Database!DIO5</f>
        <v>0</v>
      </c>
      <c r="DHW3">
        <f>Database!DIP5</f>
        <v>0</v>
      </c>
      <c r="DHX3">
        <f>Database!DIQ5</f>
        <v>0</v>
      </c>
      <c r="DHY3">
        <f>Database!DIR5</f>
        <v>0</v>
      </c>
      <c r="DHZ3">
        <f>Database!DIS5</f>
        <v>0</v>
      </c>
      <c r="DIA3">
        <f>Database!DIT5</f>
        <v>0</v>
      </c>
      <c r="DIB3">
        <f>Database!DIU5</f>
        <v>0</v>
      </c>
      <c r="DIC3">
        <f>Database!DIV5</f>
        <v>0</v>
      </c>
      <c r="DID3">
        <f>Database!DIW5</f>
        <v>0</v>
      </c>
      <c r="DIE3">
        <f>Database!DIX5</f>
        <v>0</v>
      </c>
      <c r="DIF3">
        <f>Database!DIY5</f>
        <v>0</v>
      </c>
      <c r="DIG3">
        <f>Database!DIZ5</f>
        <v>0</v>
      </c>
      <c r="DIH3">
        <f>Database!DJA5</f>
        <v>0</v>
      </c>
      <c r="DII3">
        <f>Database!DJB5</f>
        <v>0</v>
      </c>
      <c r="DIJ3">
        <f>Database!DJC5</f>
        <v>0</v>
      </c>
      <c r="DIK3">
        <f>Database!DJD5</f>
        <v>0</v>
      </c>
      <c r="DIL3">
        <f>Database!DJE5</f>
        <v>0</v>
      </c>
      <c r="DIM3">
        <f>Database!DJF5</f>
        <v>0</v>
      </c>
      <c r="DIN3">
        <f>Database!DJG5</f>
        <v>0</v>
      </c>
      <c r="DIO3">
        <f>Database!DJH5</f>
        <v>0</v>
      </c>
      <c r="DIP3">
        <f>Database!DJI5</f>
        <v>0</v>
      </c>
      <c r="DIQ3">
        <f>Database!DJJ5</f>
        <v>0</v>
      </c>
      <c r="DIR3">
        <f>Database!DJK5</f>
        <v>0</v>
      </c>
      <c r="DIS3">
        <f>Database!DJL5</f>
        <v>0</v>
      </c>
      <c r="DIT3">
        <f>Database!DJM5</f>
        <v>0</v>
      </c>
      <c r="DIU3">
        <f>Database!DJN5</f>
        <v>0</v>
      </c>
      <c r="DIV3">
        <f>Database!DJO5</f>
        <v>0</v>
      </c>
      <c r="DIW3">
        <f>Database!DJP5</f>
        <v>0</v>
      </c>
      <c r="DIX3">
        <f>Database!DJQ5</f>
        <v>0</v>
      </c>
      <c r="DIY3">
        <f>Database!DJR5</f>
        <v>0</v>
      </c>
      <c r="DIZ3">
        <f>Database!DJS5</f>
        <v>0</v>
      </c>
      <c r="DJA3">
        <f>Database!DJT5</f>
        <v>0</v>
      </c>
      <c r="DJB3">
        <f>Database!DJU5</f>
        <v>0</v>
      </c>
      <c r="DJC3">
        <f>Database!DJV5</f>
        <v>0</v>
      </c>
      <c r="DJD3">
        <f>Database!DJW5</f>
        <v>0</v>
      </c>
      <c r="DJE3">
        <f>Database!DJX5</f>
        <v>0</v>
      </c>
      <c r="DJF3">
        <f>Database!DJY5</f>
        <v>0</v>
      </c>
      <c r="DJG3">
        <f>Database!DJZ5</f>
        <v>0</v>
      </c>
      <c r="DJH3">
        <f>Database!DKA5</f>
        <v>0</v>
      </c>
      <c r="DJI3">
        <f>Database!DKB5</f>
        <v>0</v>
      </c>
      <c r="DJJ3">
        <f>Database!DKC5</f>
        <v>0</v>
      </c>
      <c r="DJK3">
        <f>Database!DKD5</f>
        <v>0</v>
      </c>
      <c r="DJL3">
        <f>Database!DKE5</f>
        <v>0</v>
      </c>
      <c r="DJM3">
        <f>Database!DKF5</f>
        <v>0</v>
      </c>
      <c r="DJN3">
        <f>Database!DKG5</f>
        <v>0</v>
      </c>
      <c r="DJO3">
        <f>Database!DKH5</f>
        <v>0</v>
      </c>
      <c r="DJP3">
        <f>Database!DKI5</f>
        <v>0</v>
      </c>
      <c r="DJQ3">
        <f>Database!DKJ5</f>
        <v>0</v>
      </c>
      <c r="DJR3">
        <f>Database!DKK5</f>
        <v>0</v>
      </c>
      <c r="DJS3">
        <f>Database!DKL5</f>
        <v>0</v>
      </c>
      <c r="DJT3">
        <f>Database!DKM5</f>
        <v>0</v>
      </c>
      <c r="DJU3">
        <f>Database!DKN5</f>
        <v>0</v>
      </c>
      <c r="DJV3">
        <f>Database!DKO5</f>
        <v>0</v>
      </c>
      <c r="DJW3">
        <f>Database!DKP5</f>
        <v>0</v>
      </c>
      <c r="DJX3">
        <f>Database!DKQ5</f>
        <v>0</v>
      </c>
      <c r="DJY3">
        <f>Database!DKR5</f>
        <v>0</v>
      </c>
      <c r="DJZ3">
        <f>Database!DKS5</f>
        <v>0</v>
      </c>
      <c r="DKA3">
        <f>Database!DKT5</f>
        <v>0</v>
      </c>
      <c r="DKB3">
        <f>Database!DKU5</f>
        <v>0</v>
      </c>
      <c r="DKC3">
        <f>Database!DKV5</f>
        <v>0</v>
      </c>
      <c r="DKD3">
        <f>Database!DKW5</f>
        <v>0</v>
      </c>
      <c r="DKE3">
        <f>Database!DKX5</f>
        <v>0</v>
      </c>
      <c r="DKF3">
        <f>Database!DKY5</f>
        <v>0</v>
      </c>
      <c r="DKG3">
        <f>Database!DKZ5</f>
        <v>0</v>
      </c>
      <c r="DKH3">
        <f>Database!DLA5</f>
        <v>0</v>
      </c>
      <c r="DKI3">
        <f>Database!DLB5</f>
        <v>0</v>
      </c>
      <c r="DKJ3">
        <f>Database!DLC5</f>
        <v>0</v>
      </c>
      <c r="DKK3">
        <f>Database!DLD5</f>
        <v>0</v>
      </c>
      <c r="DKL3">
        <f>Database!DLE5</f>
        <v>0</v>
      </c>
      <c r="DKM3">
        <f>Database!DLF5</f>
        <v>0</v>
      </c>
      <c r="DKN3">
        <f>Database!DLG5</f>
        <v>0</v>
      </c>
      <c r="DKO3">
        <f>Database!DLH5</f>
        <v>0</v>
      </c>
      <c r="DKP3">
        <f>Database!DLI5</f>
        <v>0</v>
      </c>
      <c r="DKQ3">
        <f>Database!DLJ5</f>
        <v>0</v>
      </c>
      <c r="DKR3">
        <f>Database!DLK5</f>
        <v>0</v>
      </c>
      <c r="DKS3">
        <f>Database!DLL5</f>
        <v>0</v>
      </c>
      <c r="DKT3">
        <f>Database!DLM5</f>
        <v>0</v>
      </c>
      <c r="DKU3">
        <f>Database!DLN5</f>
        <v>0</v>
      </c>
      <c r="DKV3">
        <f>Database!DLO5</f>
        <v>0</v>
      </c>
      <c r="DKW3">
        <f>Database!DLP5</f>
        <v>0</v>
      </c>
      <c r="DKX3">
        <f>Database!DLQ5</f>
        <v>0</v>
      </c>
      <c r="DKY3">
        <f>Database!DLR5</f>
        <v>0</v>
      </c>
      <c r="DKZ3">
        <f>Database!DLS5</f>
        <v>0</v>
      </c>
      <c r="DLA3">
        <f>Database!DLT5</f>
        <v>0</v>
      </c>
      <c r="DLB3">
        <f>Database!DLU5</f>
        <v>0</v>
      </c>
      <c r="DLC3">
        <f>Database!DLV5</f>
        <v>0</v>
      </c>
      <c r="DLD3">
        <f>Database!DLW5</f>
        <v>0</v>
      </c>
      <c r="DLE3">
        <f>Database!DLX5</f>
        <v>0</v>
      </c>
      <c r="DLF3">
        <f>Database!DLY5</f>
        <v>0</v>
      </c>
      <c r="DLG3">
        <f>Database!DLZ5</f>
        <v>0</v>
      </c>
      <c r="DLH3">
        <f>Database!DMA5</f>
        <v>0</v>
      </c>
      <c r="DLI3">
        <f>Database!DMB5</f>
        <v>0</v>
      </c>
      <c r="DLJ3">
        <f>Database!DMC5</f>
        <v>0</v>
      </c>
      <c r="DLK3">
        <f>Database!DMD5</f>
        <v>0</v>
      </c>
      <c r="DLL3">
        <f>Database!DME5</f>
        <v>0</v>
      </c>
      <c r="DLM3">
        <f>Database!DMF5</f>
        <v>0</v>
      </c>
      <c r="DLN3">
        <f>Database!DMG5</f>
        <v>0</v>
      </c>
      <c r="DLO3">
        <f>Database!DMH5</f>
        <v>0</v>
      </c>
      <c r="DLP3">
        <f>Database!DMI5</f>
        <v>0</v>
      </c>
      <c r="DLQ3">
        <f>Database!DMJ5</f>
        <v>0</v>
      </c>
      <c r="DLR3">
        <f>Database!DMK5</f>
        <v>0</v>
      </c>
      <c r="DLS3">
        <f>Database!DML5</f>
        <v>0</v>
      </c>
      <c r="DLT3">
        <f>Database!DMM5</f>
        <v>0</v>
      </c>
      <c r="DLU3">
        <f>Database!DMN5</f>
        <v>0</v>
      </c>
      <c r="DLV3">
        <f>Database!DMO5</f>
        <v>0</v>
      </c>
      <c r="DLW3">
        <f>Database!DMP5</f>
        <v>0</v>
      </c>
      <c r="DLX3">
        <f>Database!DMQ5</f>
        <v>0</v>
      </c>
      <c r="DLY3">
        <f>Database!DMR5</f>
        <v>0</v>
      </c>
      <c r="DLZ3">
        <f>Database!DMS5</f>
        <v>0</v>
      </c>
      <c r="DMA3">
        <f>Database!DMT5</f>
        <v>0</v>
      </c>
      <c r="DMB3">
        <f>Database!DMU5</f>
        <v>0</v>
      </c>
      <c r="DMC3">
        <f>Database!DMV5</f>
        <v>0</v>
      </c>
      <c r="DMD3">
        <f>Database!DMW5</f>
        <v>0</v>
      </c>
      <c r="DME3">
        <f>Database!DMX5</f>
        <v>0</v>
      </c>
      <c r="DMF3">
        <f>Database!DMY5</f>
        <v>0</v>
      </c>
      <c r="DMG3">
        <f>Database!DMZ5</f>
        <v>0</v>
      </c>
      <c r="DMH3">
        <f>Database!DNA5</f>
        <v>0</v>
      </c>
      <c r="DMI3">
        <f>Database!DNB5</f>
        <v>0</v>
      </c>
      <c r="DMJ3">
        <f>Database!DNC5</f>
        <v>0</v>
      </c>
      <c r="DMK3">
        <f>Database!DND5</f>
        <v>0</v>
      </c>
      <c r="DML3">
        <f>Database!DNE5</f>
        <v>0</v>
      </c>
      <c r="DMM3">
        <f>Database!DNF5</f>
        <v>0</v>
      </c>
      <c r="DMN3">
        <f>Database!DNG5</f>
        <v>0</v>
      </c>
      <c r="DMO3">
        <f>Database!DNH5</f>
        <v>0</v>
      </c>
      <c r="DMP3">
        <f>Database!DNI5</f>
        <v>0</v>
      </c>
      <c r="DMQ3">
        <f>Database!DNJ5</f>
        <v>0</v>
      </c>
      <c r="DMR3">
        <f>Database!DNK5</f>
        <v>0</v>
      </c>
      <c r="DMS3">
        <f>Database!DNL5</f>
        <v>0</v>
      </c>
      <c r="DMT3">
        <f>Database!DNM5</f>
        <v>0</v>
      </c>
      <c r="DMU3">
        <f>Database!DNN5</f>
        <v>0</v>
      </c>
      <c r="DMV3">
        <f>Database!DNO5</f>
        <v>0</v>
      </c>
      <c r="DMW3">
        <f>Database!DNP5</f>
        <v>0</v>
      </c>
      <c r="DMX3">
        <f>Database!DNQ5</f>
        <v>0</v>
      </c>
      <c r="DMY3">
        <f>Database!DNR5</f>
        <v>0</v>
      </c>
      <c r="DMZ3">
        <f>Database!DNS5</f>
        <v>0</v>
      </c>
      <c r="DNA3">
        <f>Database!DNT5</f>
        <v>0</v>
      </c>
      <c r="DNB3">
        <f>Database!DNU5</f>
        <v>0</v>
      </c>
      <c r="DNC3">
        <f>Database!DNV5</f>
        <v>0</v>
      </c>
      <c r="DND3">
        <f>Database!DNW5</f>
        <v>0</v>
      </c>
      <c r="DNE3">
        <f>Database!DNX5</f>
        <v>0</v>
      </c>
      <c r="DNF3">
        <f>Database!DNY5</f>
        <v>0</v>
      </c>
      <c r="DNG3">
        <f>Database!DNZ5</f>
        <v>0</v>
      </c>
      <c r="DNH3">
        <f>Database!DOA5</f>
        <v>0</v>
      </c>
      <c r="DNI3">
        <f>Database!DOB5</f>
        <v>0</v>
      </c>
      <c r="DNJ3">
        <f>Database!DOC5</f>
        <v>0</v>
      </c>
      <c r="DNK3">
        <f>Database!DOD5</f>
        <v>0</v>
      </c>
      <c r="DNL3">
        <f>Database!DOE5</f>
        <v>0</v>
      </c>
      <c r="DNM3">
        <f>Database!DOF5</f>
        <v>0</v>
      </c>
      <c r="DNN3">
        <f>Database!DOG5</f>
        <v>0</v>
      </c>
      <c r="DNO3">
        <f>Database!DOH5</f>
        <v>0</v>
      </c>
      <c r="DNP3">
        <f>Database!DOI5</f>
        <v>0</v>
      </c>
      <c r="DNQ3">
        <f>Database!DOJ5</f>
        <v>0</v>
      </c>
      <c r="DNR3">
        <f>Database!DOK5</f>
        <v>0</v>
      </c>
      <c r="DNS3">
        <f>Database!DOL5</f>
        <v>0</v>
      </c>
      <c r="DNT3">
        <f>Database!DOM5</f>
        <v>0</v>
      </c>
      <c r="DNU3">
        <f>Database!DON5</f>
        <v>0</v>
      </c>
      <c r="DNV3">
        <f>Database!DOO5</f>
        <v>0</v>
      </c>
      <c r="DNW3">
        <f>Database!DOP5</f>
        <v>0</v>
      </c>
      <c r="DNX3">
        <f>Database!DOQ5</f>
        <v>0</v>
      </c>
      <c r="DNY3">
        <f>Database!DOR5</f>
        <v>0</v>
      </c>
      <c r="DNZ3">
        <f>Database!DOS5</f>
        <v>0</v>
      </c>
      <c r="DOA3">
        <f>Database!DOT5</f>
        <v>0</v>
      </c>
      <c r="DOB3">
        <f>Database!DOU5</f>
        <v>0</v>
      </c>
      <c r="DOC3">
        <f>Database!DOV5</f>
        <v>0</v>
      </c>
      <c r="DOD3">
        <f>Database!DOW5</f>
        <v>0</v>
      </c>
      <c r="DOE3">
        <f>Database!DOX5</f>
        <v>0</v>
      </c>
      <c r="DOF3">
        <f>Database!DOY5</f>
        <v>0</v>
      </c>
      <c r="DOG3">
        <f>Database!DOZ5</f>
        <v>0</v>
      </c>
      <c r="DOH3">
        <f>Database!DPA5</f>
        <v>0</v>
      </c>
      <c r="DOI3">
        <f>Database!DPB5</f>
        <v>0</v>
      </c>
      <c r="DOJ3">
        <f>Database!DPC5</f>
        <v>0</v>
      </c>
      <c r="DOK3">
        <f>Database!DPD5</f>
        <v>0</v>
      </c>
      <c r="DOL3">
        <f>Database!DPE5</f>
        <v>0</v>
      </c>
      <c r="DOM3">
        <f>Database!DPF5</f>
        <v>0</v>
      </c>
      <c r="DON3">
        <f>Database!DPG5</f>
        <v>0</v>
      </c>
      <c r="DOO3">
        <f>Database!DPH5</f>
        <v>0</v>
      </c>
      <c r="DOP3">
        <f>Database!DPI5</f>
        <v>0</v>
      </c>
      <c r="DOQ3">
        <f>Database!DPJ5</f>
        <v>0</v>
      </c>
      <c r="DOR3">
        <f>Database!DPK5</f>
        <v>0</v>
      </c>
      <c r="DOS3">
        <f>Database!DPL5</f>
        <v>0</v>
      </c>
      <c r="DOT3">
        <f>Database!DPM5</f>
        <v>0</v>
      </c>
      <c r="DOU3">
        <f>Database!DPN5</f>
        <v>0</v>
      </c>
      <c r="DOV3">
        <f>Database!DPO5</f>
        <v>0</v>
      </c>
      <c r="DOW3">
        <f>Database!DPP5</f>
        <v>0</v>
      </c>
      <c r="DOX3">
        <f>Database!DPQ5</f>
        <v>0</v>
      </c>
      <c r="DOY3">
        <f>Database!DPR5</f>
        <v>0</v>
      </c>
      <c r="DOZ3">
        <f>Database!DPS5</f>
        <v>0</v>
      </c>
      <c r="DPA3">
        <f>Database!DPT5</f>
        <v>0</v>
      </c>
      <c r="DPB3">
        <f>Database!DPU5</f>
        <v>0</v>
      </c>
      <c r="DPC3">
        <f>Database!DPV5</f>
        <v>0</v>
      </c>
      <c r="DPD3">
        <f>Database!DPW5</f>
        <v>0</v>
      </c>
      <c r="DPE3">
        <f>Database!DPX5</f>
        <v>0</v>
      </c>
      <c r="DPF3">
        <f>Database!DPY5</f>
        <v>0</v>
      </c>
      <c r="DPG3">
        <f>Database!DPZ5</f>
        <v>0</v>
      </c>
      <c r="DPH3">
        <f>Database!DQA5</f>
        <v>0</v>
      </c>
      <c r="DPI3">
        <f>Database!DQB5</f>
        <v>0</v>
      </c>
      <c r="DPJ3">
        <f>Database!DQC5</f>
        <v>0</v>
      </c>
      <c r="DPK3">
        <f>Database!DQD5</f>
        <v>0</v>
      </c>
      <c r="DPL3">
        <f>Database!DQE5</f>
        <v>0</v>
      </c>
      <c r="DPM3">
        <f>Database!DQF5</f>
        <v>0</v>
      </c>
      <c r="DPN3">
        <f>Database!DQG5</f>
        <v>0</v>
      </c>
      <c r="DPO3">
        <f>Database!DQH5</f>
        <v>0</v>
      </c>
      <c r="DPP3">
        <f>Database!DQI5</f>
        <v>0</v>
      </c>
      <c r="DPQ3">
        <f>Database!DQJ5</f>
        <v>0</v>
      </c>
      <c r="DPR3">
        <f>Database!DQK5</f>
        <v>0</v>
      </c>
      <c r="DPS3">
        <f>Database!DQL5</f>
        <v>0</v>
      </c>
      <c r="DPT3">
        <f>Database!DQM5</f>
        <v>0</v>
      </c>
      <c r="DPU3">
        <f>Database!DQN5</f>
        <v>0</v>
      </c>
      <c r="DPV3">
        <f>Database!DQO5</f>
        <v>0</v>
      </c>
      <c r="DPW3">
        <f>Database!DQP5</f>
        <v>0</v>
      </c>
      <c r="DPX3">
        <f>Database!DQQ5</f>
        <v>0</v>
      </c>
      <c r="DPY3">
        <f>Database!DQR5</f>
        <v>0</v>
      </c>
      <c r="DPZ3">
        <f>Database!DQS5</f>
        <v>0</v>
      </c>
      <c r="DQA3">
        <f>Database!DQT5</f>
        <v>0</v>
      </c>
      <c r="DQB3">
        <f>Database!DQU5</f>
        <v>0</v>
      </c>
      <c r="DQC3">
        <f>Database!DQV5</f>
        <v>0</v>
      </c>
      <c r="DQD3">
        <f>Database!DQW5</f>
        <v>0</v>
      </c>
      <c r="DQE3">
        <f>Database!DQX5</f>
        <v>0</v>
      </c>
      <c r="DQF3">
        <f>Database!DQY5</f>
        <v>0</v>
      </c>
      <c r="DQG3">
        <f>Database!DQZ5</f>
        <v>0</v>
      </c>
      <c r="DQH3">
        <f>Database!DRA5</f>
        <v>0</v>
      </c>
      <c r="DQI3">
        <f>Database!DRB5</f>
        <v>0</v>
      </c>
      <c r="DQJ3">
        <f>Database!DRC5</f>
        <v>0</v>
      </c>
      <c r="DQK3">
        <f>Database!DRD5</f>
        <v>0</v>
      </c>
      <c r="DQL3">
        <f>Database!DRE5</f>
        <v>0</v>
      </c>
      <c r="DQM3">
        <f>Database!DRF5</f>
        <v>0</v>
      </c>
      <c r="DQN3">
        <f>Database!DRG5</f>
        <v>0</v>
      </c>
      <c r="DQO3">
        <f>Database!DRH5</f>
        <v>0</v>
      </c>
      <c r="DQP3">
        <f>Database!DRI5</f>
        <v>0</v>
      </c>
      <c r="DQQ3">
        <f>Database!DRJ5</f>
        <v>0</v>
      </c>
      <c r="DQR3">
        <f>Database!DRK5</f>
        <v>0</v>
      </c>
      <c r="DQS3">
        <f>Database!DRL5</f>
        <v>0</v>
      </c>
      <c r="DQT3">
        <f>Database!DRM5</f>
        <v>0</v>
      </c>
      <c r="DQU3">
        <f>Database!DRN5</f>
        <v>0</v>
      </c>
      <c r="DQV3">
        <f>Database!DRO5</f>
        <v>0</v>
      </c>
      <c r="DQW3">
        <f>Database!DRP5</f>
        <v>0</v>
      </c>
      <c r="DQX3">
        <f>Database!DRQ5</f>
        <v>0</v>
      </c>
      <c r="DQY3">
        <f>Database!DRR5</f>
        <v>0</v>
      </c>
      <c r="DQZ3">
        <f>Database!DRS5</f>
        <v>0</v>
      </c>
      <c r="DRA3">
        <f>Database!DRT5</f>
        <v>0</v>
      </c>
      <c r="DRB3">
        <f>Database!DRU5</f>
        <v>0</v>
      </c>
      <c r="DRC3">
        <f>Database!DRV5</f>
        <v>0</v>
      </c>
      <c r="DRD3">
        <f>Database!DRW5</f>
        <v>0</v>
      </c>
      <c r="DRE3">
        <f>Database!DRX5</f>
        <v>0</v>
      </c>
      <c r="DRF3">
        <f>Database!DRY5</f>
        <v>0</v>
      </c>
      <c r="DRG3">
        <f>Database!DRZ5</f>
        <v>0</v>
      </c>
      <c r="DRH3">
        <f>Database!DSA5</f>
        <v>0</v>
      </c>
      <c r="DRI3">
        <f>Database!DSB5</f>
        <v>0</v>
      </c>
      <c r="DRJ3">
        <f>Database!DSC5</f>
        <v>0</v>
      </c>
      <c r="DRK3">
        <f>Database!DSD5</f>
        <v>0</v>
      </c>
      <c r="DRL3">
        <f>Database!DSE5</f>
        <v>0</v>
      </c>
      <c r="DRM3">
        <f>Database!DSF5</f>
        <v>0</v>
      </c>
      <c r="DRN3">
        <f>Database!DSG5</f>
        <v>0</v>
      </c>
      <c r="DRO3">
        <f>Database!DSH5</f>
        <v>0</v>
      </c>
      <c r="DRP3">
        <f>Database!DSI5</f>
        <v>0</v>
      </c>
      <c r="DRQ3">
        <f>Database!DSJ5</f>
        <v>0</v>
      </c>
      <c r="DRR3">
        <f>Database!DSK5</f>
        <v>0</v>
      </c>
      <c r="DRS3">
        <f>Database!DSL5</f>
        <v>0</v>
      </c>
      <c r="DRT3">
        <f>Database!DSM5</f>
        <v>0</v>
      </c>
      <c r="DRU3">
        <f>Database!DSN5</f>
        <v>0</v>
      </c>
      <c r="DRV3">
        <f>Database!DSO5</f>
        <v>0</v>
      </c>
      <c r="DRW3">
        <f>Database!DSP5</f>
        <v>0</v>
      </c>
      <c r="DRX3">
        <f>Database!DSQ5</f>
        <v>0</v>
      </c>
      <c r="DRY3">
        <f>Database!DSR5</f>
        <v>0</v>
      </c>
      <c r="DRZ3">
        <f>Database!DSS5</f>
        <v>0</v>
      </c>
      <c r="DSA3">
        <f>Database!DST5</f>
        <v>0</v>
      </c>
      <c r="DSB3">
        <f>Database!DSU5</f>
        <v>0</v>
      </c>
      <c r="DSC3">
        <f>Database!DSV5</f>
        <v>0</v>
      </c>
      <c r="DSD3">
        <f>Database!DSW5</f>
        <v>0</v>
      </c>
      <c r="DSE3">
        <f>Database!DSX5</f>
        <v>0</v>
      </c>
      <c r="DSF3">
        <f>Database!DSY5</f>
        <v>0</v>
      </c>
      <c r="DSG3">
        <f>Database!DSZ5</f>
        <v>0</v>
      </c>
      <c r="DSH3">
        <f>Database!DTA5</f>
        <v>0</v>
      </c>
      <c r="DSI3">
        <f>Database!DTB5</f>
        <v>0</v>
      </c>
      <c r="DSJ3">
        <f>Database!DTC5</f>
        <v>0</v>
      </c>
      <c r="DSK3">
        <f>Database!DTD5</f>
        <v>0</v>
      </c>
      <c r="DSL3">
        <f>Database!DTE5</f>
        <v>0</v>
      </c>
      <c r="DSM3">
        <f>Database!DTF5</f>
        <v>0</v>
      </c>
      <c r="DSN3">
        <f>Database!DTG5</f>
        <v>0</v>
      </c>
      <c r="DSO3">
        <f>Database!DTH5</f>
        <v>0</v>
      </c>
      <c r="DSP3">
        <f>Database!DTI5</f>
        <v>0</v>
      </c>
      <c r="DSQ3">
        <f>Database!DTJ5</f>
        <v>0</v>
      </c>
      <c r="DSR3">
        <f>Database!DTK5</f>
        <v>0</v>
      </c>
      <c r="DSS3">
        <f>Database!DTL5</f>
        <v>0</v>
      </c>
      <c r="DST3">
        <f>Database!DTM5</f>
        <v>0</v>
      </c>
      <c r="DSU3">
        <f>Database!DTN5</f>
        <v>0</v>
      </c>
      <c r="DSV3">
        <f>Database!DTO5</f>
        <v>0</v>
      </c>
      <c r="DSW3">
        <f>Database!DTP5</f>
        <v>0</v>
      </c>
      <c r="DSX3">
        <f>Database!DTQ5</f>
        <v>0</v>
      </c>
      <c r="DSY3">
        <f>Database!DTR5</f>
        <v>0</v>
      </c>
      <c r="DSZ3">
        <f>Database!DTS5</f>
        <v>0</v>
      </c>
      <c r="DTA3">
        <f>Database!DTT5</f>
        <v>0</v>
      </c>
      <c r="DTB3">
        <f>Database!DTU5</f>
        <v>0</v>
      </c>
      <c r="DTC3">
        <f>Database!DTV5</f>
        <v>0</v>
      </c>
      <c r="DTD3">
        <f>Database!DTW5</f>
        <v>0</v>
      </c>
      <c r="DTE3">
        <f>Database!DTX5</f>
        <v>0</v>
      </c>
      <c r="DTF3">
        <f>Database!DTY5</f>
        <v>0</v>
      </c>
      <c r="DTG3">
        <f>Database!DTZ5</f>
        <v>0</v>
      </c>
      <c r="DTH3">
        <f>Database!DUA5</f>
        <v>0</v>
      </c>
      <c r="DTI3">
        <f>Database!DUB5</f>
        <v>0</v>
      </c>
      <c r="DTJ3">
        <f>Database!DUC5</f>
        <v>0</v>
      </c>
      <c r="DTK3">
        <f>Database!DUD5</f>
        <v>0</v>
      </c>
      <c r="DTL3">
        <f>Database!DUE5</f>
        <v>0</v>
      </c>
      <c r="DTM3">
        <f>Database!DUF5</f>
        <v>0</v>
      </c>
      <c r="DTN3">
        <f>Database!DUG5</f>
        <v>0</v>
      </c>
      <c r="DTO3">
        <f>Database!DUH5</f>
        <v>0</v>
      </c>
      <c r="DTP3">
        <f>Database!DUI5</f>
        <v>0</v>
      </c>
      <c r="DTQ3">
        <f>Database!DUJ5</f>
        <v>0</v>
      </c>
      <c r="DTR3">
        <f>Database!DUK5</f>
        <v>0</v>
      </c>
      <c r="DTS3">
        <f>Database!DUL5</f>
        <v>0</v>
      </c>
      <c r="DTT3">
        <f>Database!DUM5</f>
        <v>0</v>
      </c>
      <c r="DTU3">
        <f>Database!DUN5</f>
        <v>0</v>
      </c>
      <c r="DTV3">
        <f>Database!DUO5</f>
        <v>0</v>
      </c>
      <c r="DTW3">
        <f>Database!DUP5</f>
        <v>0</v>
      </c>
      <c r="DTX3">
        <f>Database!DUQ5</f>
        <v>0</v>
      </c>
      <c r="DTY3">
        <f>Database!DUR5</f>
        <v>0</v>
      </c>
      <c r="DTZ3">
        <f>Database!DUS5</f>
        <v>0</v>
      </c>
      <c r="DUA3">
        <f>Database!DUT5</f>
        <v>0</v>
      </c>
      <c r="DUB3">
        <f>Database!DUU5</f>
        <v>0</v>
      </c>
      <c r="DUC3">
        <f>Database!DUV5</f>
        <v>0</v>
      </c>
      <c r="DUD3">
        <f>Database!DUW5</f>
        <v>0</v>
      </c>
      <c r="DUE3">
        <f>Database!DUX5</f>
        <v>0</v>
      </c>
      <c r="DUF3">
        <f>Database!DUY5</f>
        <v>0</v>
      </c>
      <c r="DUG3">
        <f>Database!DUZ5</f>
        <v>0</v>
      </c>
      <c r="DUH3">
        <f>Database!DVA5</f>
        <v>0</v>
      </c>
      <c r="DUI3">
        <f>Database!DVB5</f>
        <v>0</v>
      </c>
      <c r="DUJ3">
        <f>Database!DVC5</f>
        <v>0</v>
      </c>
      <c r="DUK3">
        <f>Database!DVD5</f>
        <v>0</v>
      </c>
      <c r="DUL3">
        <f>Database!DVE5</f>
        <v>0</v>
      </c>
      <c r="DUM3">
        <f>Database!DVF5</f>
        <v>0</v>
      </c>
      <c r="DUN3">
        <f>Database!DVG5</f>
        <v>0</v>
      </c>
      <c r="DUO3">
        <f>Database!DVH5</f>
        <v>0</v>
      </c>
      <c r="DUP3">
        <f>Database!DVI5</f>
        <v>0</v>
      </c>
      <c r="DUQ3">
        <f>Database!DVJ5</f>
        <v>0</v>
      </c>
      <c r="DUR3">
        <f>Database!DVK5</f>
        <v>0</v>
      </c>
      <c r="DUS3">
        <f>Database!DVL5</f>
        <v>0</v>
      </c>
      <c r="DUT3">
        <f>Database!DVM5</f>
        <v>0</v>
      </c>
      <c r="DUU3">
        <f>Database!DVN5</f>
        <v>0</v>
      </c>
      <c r="DUV3">
        <f>Database!DVO5</f>
        <v>0</v>
      </c>
      <c r="DUW3">
        <f>Database!DVP5</f>
        <v>0</v>
      </c>
      <c r="DUX3">
        <f>Database!DVQ5</f>
        <v>0</v>
      </c>
      <c r="DUY3">
        <f>Database!DVR5</f>
        <v>0</v>
      </c>
      <c r="DUZ3">
        <f>Database!DVS5</f>
        <v>0</v>
      </c>
      <c r="DVA3">
        <f>Database!DVT5</f>
        <v>0</v>
      </c>
      <c r="DVB3">
        <f>Database!DVU5</f>
        <v>0</v>
      </c>
      <c r="DVC3">
        <f>Database!DVV5</f>
        <v>0</v>
      </c>
      <c r="DVD3">
        <f>Database!DVW5</f>
        <v>0</v>
      </c>
      <c r="DVE3">
        <f>Database!DVX5</f>
        <v>0</v>
      </c>
      <c r="DVF3">
        <f>Database!DVY5</f>
        <v>0</v>
      </c>
      <c r="DVG3">
        <f>Database!DVZ5</f>
        <v>0</v>
      </c>
      <c r="DVH3">
        <f>Database!DWA5</f>
        <v>0</v>
      </c>
      <c r="DVI3">
        <f>Database!DWB5</f>
        <v>0</v>
      </c>
      <c r="DVJ3">
        <f>Database!DWC5</f>
        <v>0</v>
      </c>
      <c r="DVK3">
        <f>Database!DWD5</f>
        <v>0</v>
      </c>
      <c r="DVL3">
        <f>Database!DWE5</f>
        <v>0</v>
      </c>
      <c r="DVM3">
        <f>Database!DWF5</f>
        <v>0</v>
      </c>
      <c r="DVN3">
        <f>Database!DWG5</f>
        <v>0</v>
      </c>
      <c r="DVO3">
        <f>Database!DWH5</f>
        <v>0</v>
      </c>
      <c r="DVP3">
        <f>Database!DWI5</f>
        <v>0</v>
      </c>
      <c r="DVQ3">
        <f>Database!DWJ5</f>
        <v>0</v>
      </c>
      <c r="DVR3">
        <f>Database!DWK5</f>
        <v>0</v>
      </c>
      <c r="DVS3">
        <f>Database!DWL5</f>
        <v>0</v>
      </c>
      <c r="DVT3">
        <f>Database!DWM5</f>
        <v>0</v>
      </c>
      <c r="DVU3">
        <f>Database!DWN5</f>
        <v>0</v>
      </c>
      <c r="DVV3">
        <f>Database!DWO5</f>
        <v>0</v>
      </c>
      <c r="DVW3">
        <f>Database!DWP5</f>
        <v>0</v>
      </c>
      <c r="DVX3">
        <f>Database!DWQ5</f>
        <v>0</v>
      </c>
      <c r="DVY3">
        <f>Database!DWR5</f>
        <v>0</v>
      </c>
      <c r="DVZ3">
        <f>Database!DWS5</f>
        <v>0</v>
      </c>
      <c r="DWA3">
        <f>Database!DWT5</f>
        <v>0</v>
      </c>
      <c r="DWB3">
        <f>Database!DWU5</f>
        <v>0</v>
      </c>
      <c r="DWC3">
        <f>Database!DWV5</f>
        <v>0</v>
      </c>
      <c r="DWD3">
        <f>Database!DWW5</f>
        <v>0</v>
      </c>
      <c r="DWE3">
        <f>Database!DWX5</f>
        <v>0</v>
      </c>
      <c r="DWF3">
        <f>Database!DWY5</f>
        <v>0</v>
      </c>
      <c r="DWG3">
        <f>Database!DWZ5</f>
        <v>0</v>
      </c>
      <c r="DWH3">
        <f>Database!DXA5</f>
        <v>0</v>
      </c>
      <c r="DWI3">
        <f>Database!DXB5</f>
        <v>0</v>
      </c>
      <c r="DWJ3">
        <f>Database!DXC5</f>
        <v>0</v>
      </c>
      <c r="DWK3">
        <f>Database!DXD5</f>
        <v>0</v>
      </c>
      <c r="DWL3">
        <f>Database!DXE5</f>
        <v>0</v>
      </c>
      <c r="DWM3">
        <f>Database!DXF5</f>
        <v>0</v>
      </c>
      <c r="DWN3">
        <f>Database!DXG5</f>
        <v>0</v>
      </c>
      <c r="DWO3">
        <f>Database!DXH5</f>
        <v>0</v>
      </c>
      <c r="DWP3">
        <f>Database!DXI5</f>
        <v>0</v>
      </c>
      <c r="DWQ3">
        <f>Database!DXJ5</f>
        <v>0</v>
      </c>
      <c r="DWR3">
        <f>Database!DXK5</f>
        <v>0</v>
      </c>
      <c r="DWS3">
        <f>Database!DXL5</f>
        <v>0</v>
      </c>
      <c r="DWT3">
        <f>Database!DXM5</f>
        <v>0</v>
      </c>
      <c r="DWU3">
        <f>Database!DXN5</f>
        <v>0</v>
      </c>
      <c r="DWV3">
        <f>Database!DXO5</f>
        <v>0</v>
      </c>
      <c r="DWW3">
        <f>Database!DXP5</f>
        <v>0</v>
      </c>
      <c r="DWX3">
        <f>Database!DXQ5</f>
        <v>0</v>
      </c>
      <c r="DWY3">
        <f>Database!DXR5</f>
        <v>0</v>
      </c>
      <c r="DWZ3">
        <f>Database!DXS5</f>
        <v>0</v>
      </c>
      <c r="DXA3">
        <f>Database!DXT5</f>
        <v>0</v>
      </c>
      <c r="DXB3">
        <f>Database!DXU5</f>
        <v>0</v>
      </c>
      <c r="DXC3">
        <f>Database!DXV5</f>
        <v>0</v>
      </c>
      <c r="DXD3">
        <f>Database!DXW5</f>
        <v>0</v>
      </c>
      <c r="DXE3">
        <f>Database!DXX5</f>
        <v>0</v>
      </c>
      <c r="DXF3">
        <f>Database!DXY5</f>
        <v>0</v>
      </c>
      <c r="DXG3">
        <f>Database!DXZ5</f>
        <v>0</v>
      </c>
      <c r="DXH3">
        <f>Database!DYA5</f>
        <v>0</v>
      </c>
      <c r="DXI3">
        <f>Database!DYB5</f>
        <v>0</v>
      </c>
      <c r="DXJ3">
        <f>Database!DYC5</f>
        <v>0</v>
      </c>
      <c r="DXK3">
        <f>Database!DYD5</f>
        <v>0</v>
      </c>
      <c r="DXL3">
        <f>Database!DYE5</f>
        <v>0</v>
      </c>
      <c r="DXM3">
        <f>Database!DYF5</f>
        <v>0</v>
      </c>
      <c r="DXN3">
        <f>Database!DYG5</f>
        <v>0</v>
      </c>
      <c r="DXO3">
        <f>Database!DYH5</f>
        <v>0</v>
      </c>
      <c r="DXP3">
        <f>Database!DYI5</f>
        <v>0</v>
      </c>
      <c r="DXQ3">
        <f>Database!DYJ5</f>
        <v>0</v>
      </c>
      <c r="DXR3">
        <f>Database!DYK5</f>
        <v>0</v>
      </c>
      <c r="DXS3">
        <f>Database!DYL5</f>
        <v>0</v>
      </c>
      <c r="DXT3">
        <f>Database!DYM5</f>
        <v>0</v>
      </c>
      <c r="DXU3">
        <f>Database!DYN5</f>
        <v>0</v>
      </c>
      <c r="DXV3">
        <f>Database!DYO5</f>
        <v>0</v>
      </c>
      <c r="DXW3">
        <f>Database!DYP5</f>
        <v>0</v>
      </c>
      <c r="DXX3">
        <f>Database!DYQ5</f>
        <v>0</v>
      </c>
      <c r="DXY3">
        <f>Database!DYR5</f>
        <v>0</v>
      </c>
      <c r="DXZ3">
        <f>Database!DYS5</f>
        <v>0</v>
      </c>
      <c r="DYA3">
        <f>Database!DYT5</f>
        <v>0</v>
      </c>
      <c r="DYB3">
        <f>Database!DYU5</f>
        <v>0</v>
      </c>
      <c r="DYC3">
        <f>Database!DYV5</f>
        <v>0</v>
      </c>
      <c r="DYD3">
        <f>Database!DYW5</f>
        <v>0</v>
      </c>
      <c r="DYE3">
        <f>Database!DYX5</f>
        <v>0</v>
      </c>
      <c r="DYF3">
        <f>Database!DYY5</f>
        <v>0</v>
      </c>
      <c r="DYG3">
        <f>Database!DYZ5</f>
        <v>0</v>
      </c>
      <c r="DYH3">
        <f>Database!DZA5</f>
        <v>0</v>
      </c>
      <c r="DYI3">
        <f>Database!DZB5</f>
        <v>0</v>
      </c>
      <c r="DYJ3">
        <f>Database!DZC5</f>
        <v>0</v>
      </c>
      <c r="DYK3">
        <f>Database!DZD5</f>
        <v>0</v>
      </c>
      <c r="DYL3">
        <f>Database!DZE5</f>
        <v>0</v>
      </c>
      <c r="DYM3">
        <f>Database!DZF5</f>
        <v>0</v>
      </c>
      <c r="DYN3">
        <f>Database!DZG5</f>
        <v>0</v>
      </c>
      <c r="DYO3">
        <f>Database!DZH5</f>
        <v>0</v>
      </c>
      <c r="DYP3">
        <f>Database!DZI5</f>
        <v>0</v>
      </c>
      <c r="DYQ3">
        <f>Database!DZJ5</f>
        <v>0</v>
      </c>
      <c r="DYR3">
        <f>Database!DZK5</f>
        <v>0</v>
      </c>
      <c r="DYS3">
        <f>Database!DZL5</f>
        <v>0</v>
      </c>
      <c r="DYT3">
        <f>Database!DZM5</f>
        <v>0</v>
      </c>
      <c r="DYU3">
        <f>Database!DZN5</f>
        <v>0</v>
      </c>
      <c r="DYV3">
        <f>Database!DZO5</f>
        <v>0</v>
      </c>
      <c r="DYW3">
        <f>Database!DZP5</f>
        <v>0</v>
      </c>
      <c r="DYX3">
        <f>Database!DZQ5</f>
        <v>0</v>
      </c>
      <c r="DYY3">
        <f>Database!DZR5</f>
        <v>0</v>
      </c>
      <c r="DYZ3">
        <f>Database!DZS5</f>
        <v>0</v>
      </c>
      <c r="DZA3">
        <f>Database!DZT5</f>
        <v>0</v>
      </c>
      <c r="DZB3">
        <f>Database!DZU5</f>
        <v>0</v>
      </c>
      <c r="DZC3">
        <f>Database!DZV5</f>
        <v>0</v>
      </c>
      <c r="DZD3">
        <f>Database!DZW5</f>
        <v>0</v>
      </c>
      <c r="DZE3">
        <f>Database!DZX5</f>
        <v>0</v>
      </c>
      <c r="DZF3">
        <f>Database!DZY5</f>
        <v>0</v>
      </c>
      <c r="DZG3">
        <f>Database!DZZ5</f>
        <v>0</v>
      </c>
      <c r="DZH3">
        <f>Database!EAA5</f>
        <v>0</v>
      </c>
      <c r="DZI3">
        <f>Database!EAB5</f>
        <v>0</v>
      </c>
      <c r="DZJ3">
        <f>Database!EAC5</f>
        <v>0</v>
      </c>
      <c r="DZK3">
        <f>Database!EAD5</f>
        <v>0</v>
      </c>
      <c r="DZL3">
        <f>Database!EAE5</f>
        <v>0</v>
      </c>
      <c r="DZM3">
        <f>Database!EAF5</f>
        <v>0</v>
      </c>
      <c r="DZN3">
        <f>Database!EAG5</f>
        <v>0</v>
      </c>
      <c r="DZO3">
        <f>Database!EAH5</f>
        <v>0</v>
      </c>
      <c r="DZP3">
        <f>Database!EAI5</f>
        <v>0</v>
      </c>
      <c r="DZQ3">
        <f>Database!EAJ5</f>
        <v>0</v>
      </c>
      <c r="DZR3">
        <f>Database!EAK5</f>
        <v>0</v>
      </c>
      <c r="DZS3">
        <f>Database!EAL5</f>
        <v>0</v>
      </c>
      <c r="DZT3">
        <f>Database!EAM5</f>
        <v>0</v>
      </c>
      <c r="DZU3">
        <f>Database!EAN5</f>
        <v>0</v>
      </c>
      <c r="DZV3">
        <f>Database!EAO5</f>
        <v>0</v>
      </c>
      <c r="DZW3">
        <f>Database!EAP5</f>
        <v>0</v>
      </c>
      <c r="DZX3">
        <f>Database!EAQ5</f>
        <v>0</v>
      </c>
      <c r="DZY3">
        <f>Database!EAR5</f>
        <v>0</v>
      </c>
      <c r="DZZ3">
        <f>Database!EAS5</f>
        <v>0</v>
      </c>
      <c r="EAA3">
        <f>Database!EAT5</f>
        <v>0</v>
      </c>
      <c r="EAB3">
        <f>Database!EAU5</f>
        <v>0</v>
      </c>
      <c r="EAC3">
        <f>Database!EAV5</f>
        <v>0</v>
      </c>
      <c r="EAD3">
        <f>Database!EAW5</f>
        <v>0</v>
      </c>
      <c r="EAE3">
        <f>Database!EAX5</f>
        <v>0</v>
      </c>
      <c r="EAF3">
        <f>Database!EAY5</f>
        <v>0</v>
      </c>
      <c r="EAG3">
        <f>Database!EAZ5</f>
        <v>0</v>
      </c>
      <c r="EAH3">
        <f>Database!EBA5</f>
        <v>0</v>
      </c>
      <c r="EAI3">
        <f>Database!EBB5</f>
        <v>0</v>
      </c>
      <c r="EAJ3">
        <f>Database!EBC5</f>
        <v>0</v>
      </c>
      <c r="EAK3">
        <f>Database!EBD5</f>
        <v>0</v>
      </c>
      <c r="EAL3">
        <f>Database!EBE5</f>
        <v>0</v>
      </c>
      <c r="EAM3">
        <f>Database!EBF5</f>
        <v>0</v>
      </c>
      <c r="EAN3">
        <f>Database!EBG5</f>
        <v>0</v>
      </c>
      <c r="EAO3">
        <f>Database!EBH5</f>
        <v>0</v>
      </c>
      <c r="EAP3">
        <f>Database!EBI5</f>
        <v>0</v>
      </c>
      <c r="EAQ3">
        <f>Database!EBJ5</f>
        <v>0</v>
      </c>
      <c r="EAR3">
        <f>Database!EBK5</f>
        <v>0</v>
      </c>
      <c r="EAS3">
        <f>Database!EBL5</f>
        <v>0</v>
      </c>
      <c r="EAT3">
        <f>Database!EBM5</f>
        <v>0</v>
      </c>
      <c r="EAU3">
        <f>Database!EBN5</f>
        <v>0</v>
      </c>
      <c r="EAV3">
        <f>Database!EBO5</f>
        <v>0</v>
      </c>
      <c r="EAW3">
        <f>Database!EBP5</f>
        <v>0</v>
      </c>
      <c r="EAX3">
        <f>Database!EBQ5</f>
        <v>0</v>
      </c>
      <c r="EAY3">
        <f>Database!EBR5</f>
        <v>0</v>
      </c>
      <c r="EAZ3">
        <f>Database!EBS5</f>
        <v>0</v>
      </c>
      <c r="EBA3">
        <f>Database!EBT5</f>
        <v>0</v>
      </c>
      <c r="EBB3">
        <f>Database!EBU5</f>
        <v>0</v>
      </c>
      <c r="EBC3">
        <f>Database!EBV5</f>
        <v>0</v>
      </c>
      <c r="EBD3">
        <f>Database!EBW5</f>
        <v>0</v>
      </c>
      <c r="EBE3">
        <f>Database!EBX5</f>
        <v>0</v>
      </c>
      <c r="EBF3">
        <f>Database!EBY5</f>
        <v>0</v>
      </c>
      <c r="EBG3">
        <f>Database!EBZ5</f>
        <v>0</v>
      </c>
      <c r="EBH3">
        <f>Database!ECA5</f>
        <v>0</v>
      </c>
      <c r="EBI3">
        <f>Database!ECB5</f>
        <v>0</v>
      </c>
      <c r="EBJ3">
        <f>Database!ECC5</f>
        <v>0</v>
      </c>
      <c r="EBK3">
        <f>Database!ECD5</f>
        <v>0</v>
      </c>
      <c r="EBL3">
        <f>Database!ECE5</f>
        <v>0</v>
      </c>
      <c r="EBM3">
        <f>Database!ECF5</f>
        <v>0</v>
      </c>
      <c r="EBN3">
        <f>Database!ECG5</f>
        <v>0</v>
      </c>
      <c r="EBO3">
        <f>Database!ECH5</f>
        <v>0</v>
      </c>
      <c r="EBP3">
        <f>Database!ECI5</f>
        <v>0</v>
      </c>
      <c r="EBQ3">
        <f>Database!ECJ5</f>
        <v>0</v>
      </c>
      <c r="EBR3">
        <f>Database!ECK5</f>
        <v>0</v>
      </c>
      <c r="EBS3">
        <f>Database!ECL5</f>
        <v>0</v>
      </c>
      <c r="EBT3">
        <f>Database!ECM5</f>
        <v>0</v>
      </c>
      <c r="EBU3">
        <f>Database!ECN5</f>
        <v>0</v>
      </c>
      <c r="EBV3">
        <f>Database!ECO5</f>
        <v>0</v>
      </c>
      <c r="EBW3">
        <f>Database!ECP5</f>
        <v>0</v>
      </c>
      <c r="EBX3">
        <f>Database!ECQ5</f>
        <v>0</v>
      </c>
      <c r="EBY3">
        <f>Database!ECR5</f>
        <v>0</v>
      </c>
      <c r="EBZ3">
        <f>Database!ECS5</f>
        <v>0</v>
      </c>
      <c r="ECA3">
        <f>Database!ECT5</f>
        <v>0</v>
      </c>
      <c r="ECB3">
        <f>Database!ECU5</f>
        <v>0</v>
      </c>
      <c r="ECC3">
        <f>Database!ECV5</f>
        <v>0</v>
      </c>
      <c r="ECD3">
        <f>Database!ECW5</f>
        <v>0</v>
      </c>
      <c r="ECE3">
        <f>Database!ECX5</f>
        <v>0</v>
      </c>
      <c r="ECF3">
        <f>Database!ECY5</f>
        <v>0</v>
      </c>
      <c r="ECG3">
        <f>Database!ECZ5</f>
        <v>0</v>
      </c>
      <c r="ECH3">
        <f>Database!EDA5</f>
        <v>0</v>
      </c>
      <c r="ECI3">
        <f>Database!EDB5</f>
        <v>0</v>
      </c>
      <c r="ECJ3">
        <f>Database!EDC5</f>
        <v>0</v>
      </c>
      <c r="ECK3">
        <f>Database!EDD5</f>
        <v>0</v>
      </c>
      <c r="ECL3">
        <f>Database!EDE5</f>
        <v>0</v>
      </c>
      <c r="ECM3">
        <f>Database!EDF5</f>
        <v>0</v>
      </c>
      <c r="ECN3">
        <f>Database!EDG5</f>
        <v>0</v>
      </c>
      <c r="ECO3">
        <f>Database!EDH5</f>
        <v>0</v>
      </c>
      <c r="ECP3">
        <f>Database!EDI5</f>
        <v>0</v>
      </c>
      <c r="ECQ3">
        <f>Database!EDJ5</f>
        <v>0</v>
      </c>
      <c r="ECR3">
        <f>Database!EDK5</f>
        <v>0</v>
      </c>
      <c r="ECS3">
        <f>Database!EDL5</f>
        <v>0</v>
      </c>
      <c r="ECT3">
        <f>Database!EDM5</f>
        <v>0</v>
      </c>
      <c r="ECU3">
        <f>Database!EDN5</f>
        <v>0</v>
      </c>
      <c r="ECV3">
        <f>Database!EDO5</f>
        <v>0</v>
      </c>
      <c r="ECW3">
        <f>Database!EDP5</f>
        <v>0</v>
      </c>
      <c r="ECX3">
        <f>Database!EDQ5</f>
        <v>0</v>
      </c>
      <c r="ECY3">
        <f>Database!EDR5</f>
        <v>0</v>
      </c>
      <c r="ECZ3">
        <f>Database!EDS5</f>
        <v>0</v>
      </c>
      <c r="EDA3">
        <f>Database!EDT5</f>
        <v>0</v>
      </c>
      <c r="EDB3">
        <f>Database!EDU5</f>
        <v>0</v>
      </c>
      <c r="EDC3">
        <f>Database!EDV5</f>
        <v>0</v>
      </c>
      <c r="EDD3">
        <f>Database!EDW5</f>
        <v>0</v>
      </c>
      <c r="EDE3">
        <f>Database!EDX5</f>
        <v>0</v>
      </c>
      <c r="EDF3">
        <f>Database!EDY5</f>
        <v>0</v>
      </c>
      <c r="EDG3">
        <f>Database!EDZ5</f>
        <v>0</v>
      </c>
      <c r="EDH3">
        <f>Database!EEA5</f>
        <v>0</v>
      </c>
      <c r="EDI3">
        <f>Database!EEB5</f>
        <v>0</v>
      </c>
      <c r="EDJ3">
        <f>Database!EEC5</f>
        <v>0</v>
      </c>
      <c r="EDK3">
        <f>Database!EED5</f>
        <v>0</v>
      </c>
      <c r="EDL3">
        <f>Database!EEE5</f>
        <v>0</v>
      </c>
      <c r="EDM3">
        <f>Database!EEF5</f>
        <v>0</v>
      </c>
      <c r="EDN3">
        <f>Database!EEG5</f>
        <v>0</v>
      </c>
      <c r="EDO3">
        <f>Database!EEH5</f>
        <v>0</v>
      </c>
      <c r="EDP3">
        <f>Database!EEI5</f>
        <v>0</v>
      </c>
      <c r="EDQ3">
        <f>Database!EEJ5</f>
        <v>0</v>
      </c>
      <c r="EDR3">
        <f>Database!EEK5</f>
        <v>0</v>
      </c>
      <c r="EDS3">
        <f>Database!EEL5</f>
        <v>0</v>
      </c>
      <c r="EDT3">
        <f>Database!EEM5</f>
        <v>0</v>
      </c>
      <c r="EDU3">
        <f>Database!EEN5</f>
        <v>0</v>
      </c>
      <c r="EDV3">
        <f>Database!EEO5</f>
        <v>0</v>
      </c>
      <c r="EDW3">
        <f>Database!EEP5</f>
        <v>0</v>
      </c>
      <c r="EDX3">
        <f>Database!EEQ5</f>
        <v>0</v>
      </c>
      <c r="EDY3">
        <f>Database!EER5</f>
        <v>0</v>
      </c>
      <c r="EDZ3">
        <f>Database!EES5</f>
        <v>0</v>
      </c>
      <c r="EEA3">
        <f>Database!EET5</f>
        <v>0</v>
      </c>
      <c r="EEB3">
        <f>Database!EEU5</f>
        <v>0</v>
      </c>
      <c r="EEC3">
        <f>Database!EEV5</f>
        <v>0</v>
      </c>
      <c r="EED3">
        <f>Database!EEW5</f>
        <v>0</v>
      </c>
      <c r="EEE3">
        <f>Database!EEX5</f>
        <v>0</v>
      </c>
      <c r="EEF3">
        <f>Database!EEY5</f>
        <v>0</v>
      </c>
      <c r="EEG3">
        <f>Database!EEZ5</f>
        <v>0</v>
      </c>
      <c r="EEH3">
        <f>Database!EFA5</f>
        <v>0</v>
      </c>
      <c r="EEI3">
        <f>Database!EFB5</f>
        <v>0</v>
      </c>
      <c r="EEJ3">
        <f>Database!EFC5</f>
        <v>0</v>
      </c>
      <c r="EEK3">
        <f>Database!EFD5</f>
        <v>0</v>
      </c>
      <c r="EEL3">
        <f>Database!EFE5</f>
        <v>0</v>
      </c>
      <c r="EEM3">
        <f>Database!EFF5</f>
        <v>0</v>
      </c>
      <c r="EEN3">
        <f>Database!EFG5</f>
        <v>0</v>
      </c>
      <c r="EEO3">
        <f>Database!EFH5</f>
        <v>0</v>
      </c>
      <c r="EEP3">
        <f>Database!EFI5</f>
        <v>0</v>
      </c>
      <c r="EEQ3">
        <f>Database!EFJ5</f>
        <v>0</v>
      </c>
      <c r="EER3">
        <f>Database!EFK5</f>
        <v>0</v>
      </c>
      <c r="EES3">
        <f>Database!EFL5</f>
        <v>0</v>
      </c>
      <c r="EET3">
        <f>Database!EFM5</f>
        <v>0</v>
      </c>
      <c r="EEU3">
        <f>Database!EFN5</f>
        <v>0</v>
      </c>
      <c r="EEV3">
        <f>Database!EFO5</f>
        <v>0</v>
      </c>
      <c r="EEW3">
        <f>Database!EFP5</f>
        <v>0</v>
      </c>
      <c r="EEX3">
        <f>Database!EFQ5</f>
        <v>0</v>
      </c>
      <c r="EEY3">
        <f>Database!EFR5</f>
        <v>0</v>
      </c>
      <c r="EEZ3">
        <f>Database!EFS5</f>
        <v>0</v>
      </c>
      <c r="EFA3">
        <f>Database!EFT5</f>
        <v>0</v>
      </c>
      <c r="EFB3">
        <f>Database!EFU5</f>
        <v>0</v>
      </c>
      <c r="EFC3">
        <f>Database!EFV5</f>
        <v>0</v>
      </c>
      <c r="EFD3">
        <f>Database!EFW5</f>
        <v>0</v>
      </c>
      <c r="EFE3">
        <f>Database!EFX5</f>
        <v>0</v>
      </c>
      <c r="EFF3">
        <f>Database!EFY5</f>
        <v>0</v>
      </c>
      <c r="EFG3">
        <f>Database!EFZ5</f>
        <v>0</v>
      </c>
      <c r="EFH3">
        <f>Database!EGA5</f>
        <v>0</v>
      </c>
      <c r="EFI3">
        <f>Database!EGB5</f>
        <v>0</v>
      </c>
      <c r="EFJ3">
        <f>Database!EGC5</f>
        <v>0</v>
      </c>
      <c r="EFK3">
        <f>Database!EGD5</f>
        <v>0</v>
      </c>
      <c r="EFL3">
        <f>Database!EGE5</f>
        <v>0</v>
      </c>
      <c r="EFM3">
        <f>Database!EGF5</f>
        <v>0</v>
      </c>
      <c r="EFN3">
        <f>Database!EGG5</f>
        <v>0</v>
      </c>
      <c r="EFO3">
        <f>Database!EGH5</f>
        <v>0</v>
      </c>
      <c r="EFP3">
        <f>Database!EGI5</f>
        <v>0</v>
      </c>
      <c r="EFQ3">
        <f>Database!EGJ5</f>
        <v>0</v>
      </c>
      <c r="EFR3">
        <f>Database!EGK5</f>
        <v>0</v>
      </c>
      <c r="EFS3">
        <f>Database!EGL5</f>
        <v>0</v>
      </c>
      <c r="EFT3">
        <f>Database!EGM5</f>
        <v>0</v>
      </c>
      <c r="EFU3">
        <f>Database!EGN5</f>
        <v>0</v>
      </c>
      <c r="EFV3">
        <f>Database!EGO5</f>
        <v>0</v>
      </c>
      <c r="EFW3">
        <f>Database!EGP5</f>
        <v>0</v>
      </c>
      <c r="EFX3">
        <f>Database!EGQ5</f>
        <v>0</v>
      </c>
      <c r="EFY3">
        <f>Database!EGR5</f>
        <v>0</v>
      </c>
      <c r="EFZ3">
        <f>Database!EGS5</f>
        <v>0</v>
      </c>
      <c r="EGA3">
        <f>Database!EGT5</f>
        <v>0</v>
      </c>
      <c r="EGB3">
        <f>Database!EGU5</f>
        <v>0</v>
      </c>
      <c r="EGC3">
        <f>Database!EGV5</f>
        <v>0</v>
      </c>
      <c r="EGD3">
        <f>Database!EGW5</f>
        <v>0</v>
      </c>
      <c r="EGE3">
        <f>Database!EGX5</f>
        <v>0</v>
      </c>
      <c r="EGF3">
        <f>Database!EGY5</f>
        <v>0</v>
      </c>
      <c r="EGG3">
        <f>Database!EGZ5</f>
        <v>0</v>
      </c>
      <c r="EGH3">
        <f>Database!EHA5</f>
        <v>0</v>
      </c>
      <c r="EGI3">
        <f>Database!EHB5</f>
        <v>0</v>
      </c>
      <c r="EGJ3">
        <f>Database!EHC5</f>
        <v>0</v>
      </c>
      <c r="EGK3">
        <f>Database!EHD5</f>
        <v>0</v>
      </c>
      <c r="EGL3">
        <f>Database!EHE5</f>
        <v>0</v>
      </c>
      <c r="EGM3">
        <f>Database!EHF5</f>
        <v>0</v>
      </c>
      <c r="EGN3">
        <f>Database!EHG5</f>
        <v>0</v>
      </c>
      <c r="EGO3">
        <f>Database!EHH5</f>
        <v>0</v>
      </c>
      <c r="EGP3">
        <f>Database!EHI5</f>
        <v>0</v>
      </c>
      <c r="EGQ3">
        <f>Database!EHJ5</f>
        <v>0</v>
      </c>
      <c r="EGR3">
        <f>Database!EHK5</f>
        <v>0</v>
      </c>
      <c r="EGS3">
        <f>Database!EHL5</f>
        <v>0</v>
      </c>
      <c r="EGT3">
        <f>Database!EHM5</f>
        <v>0</v>
      </c>
      <c r="EGU3">
        <f>Database!EHN5</f>
        <v>0</v>
      </c>
      <c r="EGV3">
        <f>Database!EHO5</f>
        <v>0</v>
      </c>
      <c r="EGW3">
        <f>Database!EHP5</f>
        <v>0</v>
      </c>
      <c r="EGX3">
        <f>Database!EHQ5</f>
        <v>0</v>
      </c>
      <c r="EGY3">
        <f>Database!EHR5</f>
        <v>0</v>
      </c>
      <c r="EGZ3">
        <f>Database!EHS5</f>
        <v>0</v>
      </c>
      <c r="EHA3">
        <f>Database!EHT5</f>
        <v>0</v>
      </c>
      <c r="EHB3">
        <f>Database!EHU5</f>
        <v>0</v>
      </c>
      <c r="EHC3">
        <f>Database!EHV5</f>
        <v>0</v>
      </c>
      <c r="EHD3">
        <f>Database!EHW5</f>
        <v>0</v>
      </c>
      <c r="EHE3">
        <f>Database!EHX5</f>
        <v>0</v>
      </c>
      <c r="EHF3">
        <f>Database!EHY5</f>
        <v>0</v>
      </c>
      <c r="EHG3">
        <f>Database!EHZ5</f>
        <v>0</v>
      </c>
      <c r="EHH3">
        <f>Database!EIA5</f>
        <v>0</v>
      </c>
      <c r="EHI3">
        <f>Database!EIB5</f>
        <v>0</v>
      </c>
      <c r="EHJ3">
        <f>Database!EIC5</f>
        <v>0</v>
      </c>
      <c r="EHK3">
        <f>Database!EID5</f>
        <v>0</v>
      </c>
      <c r="EHL3">
        <f>Database!EIE5</f>
        <v>0</v>
      </c>
      <c r="EHM3">
        <f>Database!EIF5</f>
        <v>0</v>
      </c>
      <c r="EHN3">
        <f>Database!EIG5</f>
        <v>0</v>
      </c>
      <c r="EHO3">
        <f>Database!EIH5</f>
        <v>0</v>
      </c>
      <c r="EHP3">
        <f>Database!EII5</f>
        <v>0</v>
      </c>
      <c r="EHQ3">
        <f>Database!EIJ5</f>
        <v>0</v>
      </c>
      <c r="EHR3">
        <f>Database!EIK5</f>
        <v>0</v>
      </c>
      <c r="EHS3">
        <f>Database!EIL5</f>
        <v>0</v>
      </c>
      <c r="EHT3">
        <f>Database!EIM5</f>
        <v>0</v>
      </c>
      <c r="EHU3">
        <f>Database!EIN5</f>
        <v>0</v>
      </c>
      <c r="EHV3">
        <f>Database!EIO5</f>
        <v>0</v>
      </c>
      <c r="EHW3">
        <f>Database!EIP5</f>
        <v>0</v>
      </c>
      <c r="EHX3">
        <f>Database!EIQ5</f>
        <v>0</v>
      </c>
      <c r="EHY3">
        <f>Database!EIR5</f>
        <v>0</v>
      </c>
      <c r="EHZ3">
        <f>Database!EIS5</f>
        <v>0</v>
      </c>
      <c r="EIA3">
        <f>Database!EIT5</f>
        <v>0</v>
      </c>
      <c r="EIB3">
        <f>Database!EIU5</f>
        <v>0</v>
      </c>
      <c r="EIC3">
        <f>Database!EIV5</f>
        <v>0</v>
      </c>
      <c r="EID3">
        <f>Database!EIW5</f>
        <v>0</v>
      </c>
      <c r="EIE3">
        <f>Database!EIX5</f>
        <v>0</v>
      </c>
      <c r="EIF3">
        <f>Database!EIY5</f>
        <v>0</v>
      </c>
      <c r="EIG3">
        <f>Database!EIZ5</f>
        <v>0</v>
      </c>
      <c r="EIH3">
        <f>Database!EJA5</f>
        <v>0</v>
      </c>
      <c r="EII3">
        <f>Database!EJB5</f>
        <v>0</v>
      </c>
      <c r="EIJ3">
        <f>Database!EJC5</f>
        <v>0</v>
      </c>
      <c r="EIK3">
        <f>Database!EJD5</f>
        <v>0</v>
      </c>
      <c r="EIL3">
        <f>Database!EJE5</f>
        <v>0</v>
      </c>
      <c r="EIM3">
        <f>Database!EJF5</f>
        <v>0</v>
      </c>
      <c r="EIN3">
        <f>Database!EJG5</f>
        <v>0</v>
      </c>
      <c r="EIO3">
        <f>Database!EJH5</f>
        <v>0</v>
      </c>
      <c r="EIP3">
        <f>Database!EJI5</f>
        <v>0</v>
      </c>
      <c r="EIQ3">
        <f>Database!EJJ5</f>
        <v>0</v>
      </c>
      <c r="EIR3">
        <f>Database!EJK5</f>
        <v>0</v>
      </c>
      <c r="EIS3">
        <f>Database!EJL5</f>
        <v>0</v>
      </c>
      <c r="EIT3">
        <f>Database!EJM5</f>
        <v>0</v>
      </c>
      <c r="EIU3">
        <f>Database!EJN5</f>
        <v>0</v>
      </c>
      <c r="EIV3">
        <f>Database!EJO5</f>
        <v>0</v>
      </c>
      <c r="EIW3">
        <f>Database!EJP5</f>
        <v>0</v>
      </c>
      <c r="EIX3">
        <f>Database!EJQ5</f>
        <v>0</v>
      </c>
      <c r="EIY3">
        <f>Database!EJR5</f>
        <v>0</v>
      </c>
      <c r="EIZ3">
        <f>Database!EJS5</f>
        <v>0</v>
      </c>
      <c r="EJA3">
        <f>Database!EJT5</f>
        <v>0</v>
      </c>
      <c r="EJB3">
        <f>Database!EJU5</f>
        <v>0</v>
      </c>
      <c r="EJC3">
        <f>Database!EJV5</f>
        <v>0</v>
      </c>
      <c r="EJD3">
        <f>Database!EJW5</f>
        <v>0</v>
      </c>
      <c r="EJE3">
        <f>Database!EJX5</f>
        <v>0</v>
      </c>
      <c r="EJF3">
        <f>Database!EJY5</f>
        <v>0</v>
      </c>
      <c r="EJG3">
        <f>Database!EJZ5</f>
        <v>0</v>
      </c>
      <c r="EJH3">
        <f>Database!EKA5</f>
        <v>0</v>
      </c>
      <c r="EJI3">
        <f>Database!EKB5</f>
        <v>0</v>
      </c>
      <c r="EJJ3">
        <f>Database!EKC5</f>
        <v>0</v>
      </c>
      <c r="EJK3">
        <f>Database!EKD5</f>
        <v>0</v>
      </c>
      <c r="EJL3">
        <f>Database!EKE5</f>
        <v>0</v>
      </c>
      <c r="EJM3">
        <f>Database!EKF5</f>
        <v>0</v>
      </c>
      <c r="EJN3">
        <f>Database!EKG5</f>
        <v>0</v>
      </c>
      <c r="EJO3">
        <f>Database!EKH5</f>
        <v>0</v>
      </c>
      <c r="EJP3">
        <f>Database!EKI5</f>
        <v>0</v>
      </c>
      <c r="EJQ3">
        <f>Database!EKJ5</f>
        <v>0</v>
      </c>
      <c r="EJR3">
        <f>Database!EKK5</f>
        <v>0</v>
      </c>
      <c r="EJS3">
        <f>Database!EKL5</f>
        <v>0</v>
      </c>
      <c r="EJT3">
        <f>Database!EKM5</f>
        <v>0</v>
      </c>
      <c r="EJU3">
        <f>Database!EKN5</f>
        <v>0</v>
      </c>
      <c r="EJV3">
        <f>Database!EKO5</f>
        <v>0</v>
      </c>
      <c r="EJW3">
        <f>Database!EKP5</f>
        <v>0</v>
      </c>
      <c r="EJX3">
        <f>Database!EKQ5</f>
        <v>0</v>
      </c>
      <c r="EJY3">
        <f>Database!EKR5</f>
        <v>0</v>
      </c>
      <c r="EJZ3">
        <f>Database!EKS5</f>
        <v>0</v>
      </c>
      <c r="EKA3">
        <f>Database!EKT5</f>
        <v>0</v>
      </c>
      <c r="EKB3">
        <f>Database!EKU5</f>
        <v>0</v>
      </c>
      <c r="EKC3">
        <f>Database!EKV5</f>
        <v>0</v>
      </c>
      <c r="EKD3">
        <f>Database!EKW5</f>
        <v>0</v>
      </c>
      <c r="EKE3">
        <f>Database!EKX5</f>
        <v>0</v>
      </c>
      <c r="EKF3">
        <f>Database!EKY5</f>
        <v>0</v>
      </c>
      <c r="EKG3">
        <f>Database!EKZ5</f>
        <v>0</v>
      </c>
      <c r="EKH3">
        <f>Database!ELA5</f>
        <v>0</v>
      </c>
      <c r="EKI3">
        <f>Database!ELB5</f>
        <v>0</v>
      </c>
      <c r="EKJ3">
        <f>Database!ELC5</f>
        <v>0</v>
      </c>
      <c r="EKK3">
        <f>Database!ELD5</f>
        <v>0</v>
      </c>
      <c r="EKL3">
        <f>Database!ELE5</f>
        <v>0</v>
      </c>
      <c r="EKM3">
        <f>Database!ELF5</f>
        <v>0</v>
      </c>
      <c r="EKN3">
        <f>Database!ELG5</f>
        <v>0</v>
      </c>
      <c r="EKO3">
        <f>Database!ELH5</f>
        <v>0</v>
      </c>
      <c r="EKP3">
        <f>Database!ELI5</f>
        <v>0</v>
      </c>
      <c r="EKQ3">
        <f>Database!ELJ5</f>
        <v>0</v>
      </c>
      <c r="EKR3">
        <f>Database!ELK5</f>
        <v>0</v>
      </c>
      <c r="EKS3">
        <f>Database!ELL5</f>
        <v>0</v>
      </c>
      <c r="EKT3">
        <f>Database!ELM5</f>
        <v>0</v>
      </c>
      <c r="EKU3">
        <f>Database!ELN5</f>
        <v>0</v>
      </c>
      <c r="EKV3">
        <f>Database!ELO5</f>
        <v>0</v>
      </c>
      <c r="EKW3">
        <f>Database!ELP5</f>
        <v>0</v>
      </c>
      <c r="EKX3">
        <f>Database!ELQ5</f>
        <v>0</v>
      </c>
      <c r="EKY3">
        <f>Database!ELR5</f>
        <v>0</v>
      </c>
      <c r="EKZ3">
        <f>Database!ELS5</f>
        <v>0</v>
      </c>
      <c r="ELA3">
        <f>Database!ELT5</f>
        <v>0</v>
      </c>
      <c r="ELB3">
        <f>Database!ELU5</f>
        <v>0</v>
      </c>
      <c r="ELC3">
        <f>Database!ELV5</f>
        <v>0</v>
      </c>
      <c r="ELD3">
        <f>Database!ELW5</f>
        <v>0</v>
      </c>
      <c r="ELE3">
        <f>Database!ELX5</f>
        <v>0</v>
      </c>
      <c r="ELF3">
        <f>Database!ELY5</f>
        <v>0</v>
      </c>
      <c r="ELG3">
        <f>Database!ELZ5</f>
        <v>0</v>
      </c>
      <c r="ELH3">
        <f>Database!EMA5</f>
        <v>0</v>
      </c>
      <c r="ELI3">
        <f>Database!EMB5</f>
        <v>0</v>
      </c>
      <c r="ELJ3">
        <f>Database!EMC5</f>
        <v>0</v>
      </c>
      <c r="ELK3">
        <f>Database!EMD5</f>
        <v>0</v>
      </c>
      <c r="ELL3">
        <f>Database!EME5</f>
        <v>0</v>
      </c>
      <c r="ELM3">
        <f>Database!EMF5</f>
        <v>0</v>
      </c>
      <c r="ELN3">
        <f>Database!EMG5</f>
        <v>0</v>
      </c>
      <c r="ELO3">
        <f>Database!EMH5</f>
        <v>0</v>
      </c>
      <c r="ELP3">
        <f>Database!EMI5</f>
        <v>0</v>
      </c>
      <c r="ELQ3">
        <f>Database!EMJ5</f>
        <v>0</v>
      </c>
      <c r="ELR3">
        <f>Database!EMK5</f>
        <v>0</v>
      </c>
      <c r="ELS3">
        <f>Database!EML5</f>
        <v>0</v>
      </c>
      <c r="ELT3">
        <f>Database!EMM5</f>
        <v>0</v>
      </c>
      <c r="ELU3">
        <f>Database!EMN5</f>
        <v>0</v>
      </c>
      <c r="ELV3">
        <f>Database!EMO5</f>
        <v>0</v>
      </c>
      <c r="ELW3">
        <f>Database!EMP5</f>
        <v>0</v>
      </c>
      <c r="ELX3">
        <f>Database!EMQ5</f>
        <v>0</v>
      </c>
      <c r="ELY3">
        <f>Database!EMR5</f>
        <v>0</v>
      </c>
      <c r="ELZ3">
        <f>Database!EMS5</f>
        <v>0</v>
      </c>
      <c r="EMA3">
        <f>Database!EMT5</f>
        <v>0</v>
      </c>
      <c r="EMB3">
        <f>Database!EMU5</f>
        <v>0</v>
      </c>
      <c r="EMC3">
        <f>Database!EMV5</f>
        <v>0</v>
      </c>
      <c r="EMD3">
        <f>Database!EMW5</f>
        <v>0</v>
      </c>
      <c r="EME3">
        <f>Database!EMX5</f>
        <v>0</v>
      </c>
      <c r="EMF3">
        <f>Database!EMY5</f>
        <v>0</v>
      </c>
      <c r="EMG3">
        <f>Database!EMZ5</f>
        <v>0</v>
      </c>
      <c r="EMH3">
        <f>Database!ENA5</f>
        <v>0</v>
      </c>
      <c r="EMI3">
        <f>Database!ENB5</f>
        <v>0</v>
      </c>
      <c r="EMJ3">
        <f>Database!ENC5</f>
        <v>0</v>
      </c>
      <c r="EMK3">
        <f>Database!END5</f>
        <v>0</v>
      </c>
      <c r="EML3">
        <f>Database!ENE5</f>
        <v>0</v>
      </c>
      <c r="EMM3">
        <f>Database!ENF5</f>
        <v>0</v>
      </c>
      <c r="EMN3">
        <f>Database!ENG5</f>
        <v>0</v>
      </c>
      <c r="EMO3">
        <f>Database!ENH5</f>
        <v>0</v>
      </c>
      <c r="EMP3">
        <f>Database!ENI5</f>
        <v>0</v>
      </c>
      <c r="EMQ3">
        <f>Database!ENJ5</f>
        <v>0</v>
      </c>
      <c r="EMR3">
        <f>Database!ENK5</f>
        <v>0</v>
      </c>
      <c r="EMS3">
        <f>Database!ENL5</f>
        <v>0</v>
      </c>
      <c r="EMT3">
        <f>Database!ENM5</f>
        <v>0</v>
      </c>
      <c r="EMU3">
        <f>Database!ENN5</f>
        <v>0</v>
      </c>
      <c r="EMV3">
        <f>Database!ENO5</f>
        <v>0</v>
      </c>
      <c r="EMW3">
        <f>Database!ENP5</f>
        <v>0</v>
      </c>
      <c r="EMX3">
        <f>Database!ENQ5</f>
        <v>0</v>
      </c>
      <c r="EMY3">
        <f>Database!ENR5</f>
        <v>0</v>
      </c>
      <c r="EMZ3">
        <f>Database!ENS5</f>
        <v>0</v>
      </c>
      <c r="ENA3">
        <f>Database!ENT5</f>
        <v>0</v>
      </c>
      <c r="ENB3">
        <f>Database!ENU5</f>
        <v>0</v>
      </c>
      <c r="ENC3">
        <f>Database!ENV5</f>
        <v>0</v>
      </c>
      <c r="END3">
        <f>Database!ENW5</f>
        <v>0</v>
      </c>
      <c r="ENE3">
        <f>Database!ENX5</f>
        <v>0</v>
      </c>
      <c r="ENF3">
        <f>Database!ENY5</f>
        <v>0</v>
      </c>
      <c r="ENG3">
        <f>Database!ENZ5</f>
        <v>0</v>
      </c>
      <c r="ENH3">
        <f>Database!EOA5</f>
        <v>0</v>
      </c>
      <c r="ENI3">
        <f>Database!EOB5</f>
        <v>0</v>
      </c>
      <c r="ENJ3">
        <f>Database!EOC5</f>
        <v>0</v>
      </c>
      <c r="ENK3">
        <f>Database!EOD5</f>
        <v>0</v>
      </c>
      <c r="ENL3">
        <f>Database!EOE5</f>
        <v>0</v>
      </c>
      <c r="ENM3">
        <f>Database!EOF5</f>
        <v>0</v>
      </c>
      <c r="ENN3">
        <f>Database!EOG5</f>
        <v>0</v>
      </c>
      <c r="ENO3">
        <f>Database!EOH5</f>
        <v>0</v>
      </c>
      <c r="ENP3">
        <f>Database!EOI5</f>
        <v>0</v>
      </c>
      <c r="ENQ3">
        <f>Database!EOJ5</f>
        <v>0</v>
      </c>
      <c r="ENR3">
        <f>Database!EOK5</f>
        <v>0</v>
      </c>
      <c r="ENS3">
        <f>Database!EOL5</f>
        <v>0</v>
      </c>
      <c r="ENT3">
        <f>Database!EOM5</f>
        <v>0</v>
      </c>
      <c r="ENU3">
        <f>Database!EON5</f>
        <v>0</v>
      </c>
      <c r="ENV3">
        <f>Database!EOO5</f>
        <v>0</v>
      </c>
      <c r="ENW3">
        <f>Database!EOP5</f>
        <v>0</v>
      </c>
      <c r="ENX3">
        <f>Database!EOQ5</f>
        <v>0</v>
      </c>
      <c r="ENY3">
        <f>Database!EOR5</f>
        <v>0</v>
      </c>
      <c r="ENZ3">
        <f>Database!EOS5</f>
        <v>0</v>
      </c>
      <c r="EOA3">
        <f>Database!EOT5</f>
        <v>0</v>
      </c>
      <c r="EOB3">
        <f>Database!EOU5</f>
        <v>0</v>
      </c>
      <c r="EOC3">
        <f>Database!EOV5</f>
        <v>0</v>
      </c>
      <c r="EOD3">
        <f>Database!EOW5</f>
        <v>0</v>
      </c>
      <c r="EOE3">
        <f>Database!EOX5</f>
        <v>0</v>
      </c>
      <c r="EOF3">
        <f>Database!EOY5</f>
        <v>0</v>
      </c>
      <c r="EOG3">
        <f>Database!EOZ5</f>
        <v>0</v>
      </c>
      <c r="EOH3">
        <f>Database!EPA5</f>
        <v>0</v>
      </c>
      <c r="EOI3">
        <f>Database!EPB5</f>
        <v>0</v>
      </c>
      <c r="EOJ3">
        <f>Database!EPC5</f>
        <v>0</v>
      </c>
      <c r="EOK3">
        <f>Database!EPD5</f>
        <v>0</v>
      </c>
      <c r="EOL3">
        <f>Database!EPE5</f>
        <v>0</v>
      </c>
      <c r="EOM3">
        <f>Database!EPF5</f>
        <v>0</v>
      </c>
      <c r="EON3">
        <f>Database!EPG5</f>
        <v>0</v>
      </c>
      <c r="EOO3">
        <f>Database!EPH5</f>
        <v>0</v>
      </c>
      <c r="EOP3">
        <f>Database!EPI5</f>
        <v>0</v>
      </c>
      <c r="EOQ3">
        <f>Database!EPJ5</f>
        <v>0</v>
      </c>
      <c r="EOR3">
        <f>Database!EPK5</f>
        <v>0</v>
      </c>
      <c r="EOS3">
        <f>Database!EPL5</f>
        <v>0</v>
      </c>
      <c r="EOT3">
        <f>Database!EPM5</f>
        <v>0</v>
      </c>
      <c r="EOU3">
        <f>Database!EPN5</f>
        <v>0</v>
      </c>
      <c r="EOV3">
        <f>Database!EPO5</f>
        <v>0</v>
      </c>
      <c r="EOW3">
        <f>Database!EPP5</f>
        <v>0</v>
      </c>
      <c r="EOX3">
        <f>Database!EPQ5</f>
        <v>0</v>
      </c>
      <c r="EOY3">
        <f>Database!EPR5</f>
        <v>0</v>
      </c>
      <c r="EOZ3">
        <f>Database!EPS5</f>
        <v>0</v>
      </c>
      <c r="EPA3">
        <f>Database!EPT5</f>
        <v>0</v>
      </c>
      <c r="EPB3">
        <f>Database!EPU5</f>
        <v>0</v>
      </c>
      <c r="EPC3">
        <f>Database!EPV5</f>
        <v>0</v>
      </c>
      <c r="EPD3">
        <f>Database!EPW5</f>
        <v>0</v>
      </c>
      <c r="EPE3">
        <f>Database!EPX5</f>
        <v>0</v>
      </c>
      <c r="EPF3">
        <f>Database!EPY5</f>
        <v>0</v>
      </c>
      <c r="EPG3">
        <f>Database!EPZ5</f>
        <v>0</v>
      </c>
      <c r="EPH3">
        <f>Database!EQA5</f>
        <v>0</v>
      </c>
      <c r="EPI3">
        <f>Database!EQB5</f>
        <v>0</v>
      </c>
      <c r="EPJ3">
        <f>Database!EQC5</f>
        <v>0</v>
      </c>
      <c r="EPK3">
        <f>Database!EQD5</f>
        <v>0</v>
      </c>
      <c r="EPL3">
        <f>Database!EQE5</f>
        <v>0</v>
      </c>
      <c r="EPM3">
        <f>Database!EQF5</f>
        <v>0</v>
      </c>
      <c r="EPN3">
        <f>Database!EQG5</f>
        <v>0</v>
      </c>
      <c r="EPO3">
        <f>Database!EQH5</f>
        <v>0</v>
      </c>
      <c r="EPP3">
        <f>Database!EQI5</f>
        <v>0</v>
      </c>
      <c r="EPQ3">
        <f>Database!EQJ5</f>
        <v>0</v>
      </c>
      <c r="EPR3">
        <f>Database!EQK5</f>
        <v>0</v>
      </c>
      <c r="EPS3">
        <f>Database!EQL5</f>
        <v>0</v>
      </c>
      <c r="EPT3">
        <f>Database!EQM5</f>
        <v>0</v>
      </c>
      <c r="EPU3">
        <f>Database!EQN5</f>
        <v>0</v>
      </c>
      <c r="EPV3">
        <f>Database!EQO5</f>
        <v>0</v>
      </c>
      <c r="EPW3">
        <f>Database!EQP5</f>
        <v>0</v>
      </c>
      <c r="EPX3">
        <f>Database!EQQ5</f>
        <v>0</v>
      </c>
      <c r="EPY3">
        <f>Database!EQR5</f>
        <v>0</v>
      </c>
      <c r="EPZ3">
        <f>Database!EQS5</f>
        <v>0</v>
      </c>
      <c r="EQA3">
        <f>Database!EQT5</f>
        <v>0</v>
      </c>
      <c r="EQB3">
        <f>Database!EQU5</f>
        <v>0</v>
      </c>
      <c r="EQC3">
        <f>Database!EQV5</f>
        <v>0</v>
      </c>
      <c r="EQD3">
        <f>Database!EQW5</f>
        <v>0</v>
      </c>
      <c r="EQE3">
        <f>Database!EQX5</f>
        <v>0</v>
      </c>
      <c r="EQF3">
        <f>Database!EQY5</f>
        <v>0</v>
      </c>
      <c r="EQG3">
        <f>Database!EQZ5</f>
        <v>0</v>
      </c>
      <c r="EQH3">
        <f>Database!ERA5</f>
        <v>0</v>
      </c>
      <c r="EQI3">
        <f>Database!ERB5</f>
        <v>0</v>
      </c>
      <c r="EQJ3">
        <f>Database!ERC5</f>
        <v>0</v>
      </c>
      <c r="EQK3">
        <f>Database!ERD5</f>
        <v>0</v>
      </c>
      <c r="EQL3">
        <f>Database!ERE5</f>
        <v>0</v>
      </c>
      <c r="EQM3">
        <f>Database!ERF5</f>
        <v>0</v>
      </c>
      <c r="EQN3">
        <f>Database!ERG5</f>
        <v>0</v>
      </c>
      <c r="EQO3">
        <f>Database!ERH5</f>
        <v>0</v>
      </c>
      <c r="EQP3">
        <f>Database!ERI5</f>
        <v>0</v>
      </c>
      <c r="EQQ3">
        <f>Database!ERJ5</f>
        <v>0</v>
      </c>
      <c r="EQR3">
        <f>Database!ERK5</f>
        <v>0</v>
      </c>
      <c r="EQS3">
        <f>Database!ERL5</f>
        <v>0</v>
      </c>
      <c r="EQT3">
        <f>Database!ERM5</f>
        <v>0</v>
      </c>
      <c r="EQU3">
        <f>Database!ERN5</f>
        <v>0</v>
      </c>
      <c r="EQV3">
        <f>Database!ERO5</f>
        <v>0</v>
      </c>
      <c r="EQW3">
        <f>Database!ERP5</f>
        <v>0</v>
      </c>
      <c r="EQX3">
        <f>Database!ERQ5</f>
        <v>0</v>
      </c>
      <c r="EQY3">
        <f>Database!ERR5</f>
        <v>0</v>
      </c>
      <c r="EQZ3">
        <f>Database!ERS5</f>
        <v>0</v>
      </c>
      <c r="ERA3">
        <f>Database!ERT5</f>
        <v>0</v>
      </c>
      <c r="ERB3">
        <f>Database!ERU5</f>
        <v>0</v>
      </c>
      <c r="ERC3">
        <f>Database!ERV5</f>
        <v>0</v>
      </c>
      <c r="ERD3">
        <f>Database!ERW5</f>
        <v>0</v>
      </c>
      <c r="ERE3">
        <f>Database!ERX5</f>
        <v>0</v>
      </c>
      <c r="ERF3">
        <f>Database!ERY5</f>
        <v>0</v>
      </c>
      <c r="ERG3">
        <f>Database!ERZ5</f>
        <v>0</v>
      </c>
      <c r="ERH3">
        <f>Database!ESA5</f>
        <v>0</v>
      </c>
      <c r="ERI3">
        <f>Database!ESB5</f>
        <v>0</v>
      </c>
      <c r="ERJ3">
        <f>Database!ESC5</f>
        <v>0</v>
      </c>
      <c r="ERK3">
        <f>Database!ESD5</f>
        <v>0</v>
      </c>
      <c r="ERL3">
        <f>Database!ESE5</f>
        <v>0</v>
      </c>
      <c r="ERM3">
        <f>Database!ESF5</f>
        <v>0</v>
      </c>
      <c r="ERN3">
        <f>Database!ESG5</f>
        <v>0</v>
      </c>
      <c r="ERO3">
        <f>Database!ESH5</f>
        <v>0</v>
      </c>
      <c r="ERP3">
        <f>Database!ESI5</f>
        <v>0</v>
      </c>
      <c r="ERQ3">
        <f>Database!ESJ5</f>
        <v>0</v>
      </c>
      <c r="ERR3">
        <f>Database!ESK5</f>
        <v>0</v>
      </c>
      <c r="ERS3">
        <f>Database!ESL5</f>
        <v>0</v>
      </c>
      <c r="ERT3">
        <f>Database!ESM5</f>
        <v>0</v>
      </c>
      <c r="ERU3">
        <f>Database!ESN5</f>
        <v>0</v>
      </c>
      <c r="ERV3">
        <f>Database!ESO5</f>
        <v>0</v>
      </c>
      <c r="ERW3">
        <f>Database!ESP5</f>
        <v>0</v>
      </c>
      <c r="ERX3">
        <f>Database!ESQ5</f>
        <v>0</v>
      </c>
      <c r="ERY3">
        <f>Database!ESR5</f>
        <v>0</v>
      </c>
      <c r="ERZ3">
        <f>Database!ESS5</f>
        <v>0</v>
      </c>
      <c r="ESA3">
        <f>Database!EST5</f>
        <v>0</v>
      </c>
      <c r="ESB3">
        <f>Database!ESU5</f>
        <v>0</v>
      </c>
      <c r="ESC3">
        <f>Database!ESV5</f>
        <v>0</v>
      </c>
      <c r="ESD3">
        <f>Database!ESW5</f>
        <v>0</v>
      </c>
      <c r="ESE3">
        <f>Database!ESX5</f>
        <v>0</v>
      </c>
      <c r="ESF3">
        <f>Database!ESY5</f>
        <v>0</v>
      </c>
      <c r="ESG3">
        <f>Database!ESZ5</f>
        <v>0</v>
      </c>
      <c r="ESH3">
        <f>Database!ETA5</f>
        <v>0</v>
      </c>
      <c r="ESI3">
        <f>Database!ETB5</f>
        <v>0</v>
      </c>
      <c r="ESJ3">
        <f>Database!ETC5</f>
        <v>0</v>
      </c>
      <c r="ESK3">
        <f>Database!ETD5</f>
        <v>0</v>
      </c>
      <c r="ESL3">
        <f>Database!ETE5</f>
        <v>0</v>
      </c>
      <c r="ESM3">
        <f>Database!ETF5</f>
        <v>0</v>
      </c>
      <c r="ESN3">
        <f>Database!ETG5</f>
        <v>0</v>
      </c>
      <c r="ESO3">
        <f>Database!ETH5</f>
        <v>0</v>
      </c>
      <c r="ESP3">
        <f>Database!ETI5</f>
        <v>0</v>
      </c>
      <c r="ESQ3">
        <f>Database!ETJ5</f>
        <v>0</v>
      </c>
      <c r="ESR3">
        <f>Database!ETK5</f>
        <v>0</v>
      </c>
      <c r="ESS3">
        <f>Database!ETL5</f>
        <v>0</v>
      </c>
      <c r="EST3">
        <f>Database!ETM5</f>
        <v>0</v>
      </c>
      <c r="ESU3">
        <f>Database!ETN5</f>
        <v>0</v>
      </c>
      <c r="ESV3">
        <f>Database!ETO5</f>
        <v>0</v>
      </c>
      <c r="ESW3">
        <f>Database!ETP5</f>
        <v>0</v>
      </c>
      <c r="ESX3">
        <f>Database!ETQ5</f>
        <v>0</v>
      </c>
      <c r="ESY3">
        <f>Database!ETR5</f>
        <v>0</v>
      </c>
      <c r="ESZ3">
        <f>Database!ETS5</f>
        <v>0</v>
      </c>
      <c r="ETA3">
        <f>Database!ETT5</f>
        <v>0</v>
      </c>
      <c r="ETB3">
        <f>Database!ETU5</f>
        <v>0</v>
      </c>
      <c r="ETC3">
        <f>Database!ETV5</f>
        <v>0</v>
      </c>
      <c r="ETD3">
        <f>Database!ETW5</f>
        <v>0</v>
      </c>
      <c r="ETE3">
        <f>Database!ETX5</f>
        <v>0</v>
      </c>
      <c r="ETF3">
        <f>Database!ETY5</f>
        <v>0</v>
      </c>
      <c r="ETG3">
        <f>Database!ETZ5</f>
        <v>0</v>
      </c>
      <c r="ETH3">
        <f>Database!EUA5</f>
        <v>0</v>
      </c>
      <c r="ETI3">
        <f>Database!EUB5</f>
        <v>0</v>
      </c>
      <c r="ETJ3">
        <f>Database!EUC5</f>
        <v>0</v>
      </c>
      <c r="ETK3">
        <f>Database!EUD5</f>
        <v>0</v>
      </c>
      <c r="ETL3">
        <f>Database!EUE5</f>
        <v>0</v>
      </c>
      <c r="ETM3">
        <f>Database!EUF5</f>
        <v>0</v>
      </c>
      <c r="ETN3">
        <f>Database!EUG5</f>
        <v>0</v>
      </c>
      <c r="ETO3">
        <f>Database!EUH5</f>
        <v>0</v>
      </c>
      <c r="ETP3">
        <f>Database!EUI5</f>
        <v>0</v>
      </c>
      <c r="ETQ3">
        <f>Database!EUJ5</f>
        <v>0</v>
      </c>
      <c r="ETR3">
        <f>Database!EUK5</f>
        <v>0</v>
      </c>
      <c r="ETS3">
        <f>Database!EUL5</f>
        <v>0</v>
      </c>
      <c r="ETT3">
        <f>Database!EUM5</f>
        <v>0</v>
      </c>
      <c r="ETU3">
        <f>Database!EUN5</f>
        <v>0</v>
      </c>
      <c r="ETV3">
        <f>Database!EUO5</f>
        <v>0</v>
      </c>
      <c r="ETW3">
        <f>Database!EUP5</f>
        <v>0</v>
      </c>
      <c r="ETX3">
        <f>Database!EUQ5</f>
        <v>0</v>
      </c>
      <c r="ETY3">
        <f>Database!EUR5</f>
        <v>0</v>
      </c>
      <c r="ETZ3">
        <f>Database!EUS5</f>
        <v>0</v>
      </c>
      <c r="EUA3">
        <f>Database!EUT5</f>
        <v>0</v>
      </c>
      <c r="EUB3">
        <f>Database!EUU5</f>
        <v>0</v>
      </c>
      <c r="EUC3">
        <f>Database!EUV5</f>
        <v>0</v>
      </c>
      <c r="EUD3">
        <f>Database!EUW5</f>
        <v>0</v>
      </c>
      <c r="EUE3">
        <f>Database!EUX5</f>
        <v>0</v>
      </c>
      <c r="EUF3">
        <f>Database!EUY5</f>
        <v>0</v>
      </c>
      <c r="EUG3">
        <f>Database!EUZ5</f>
        <v>0</v>
      </c>
      <c r="EUH3">
        <f>Database!EVA5</f>
        <v>0</v>
      </c>
      <c r="EUI3">
        <f>Database!EVB5</f>
        <v>0</v>
      </c>
      <c r="EUJ3">
        <f>Database!EVC5</f>
        <v>0</v>
      </c>
      <c r="EUK3">
        <f>Database!EVD5</f>
        <v>0</v>
      </c>
      <c r="EUL3">
        <f>Database!EVE5</f>
        <v>0</v>
      </c>
      <c r="EUM3">
        <f>Database!EVF5</f>
        <v>0</v>
      </c>
      <c r="EUN3">
        <f>Database!EVG5</f>
        <v>0</v>
      </c>
      <c r="EUO3">
        <f>Database!EVH5</f>
        <v>0</v>
      </c>
      <c r="EUP3">
        <f>Database!EVI5</f>
        <v>0</v>
      </c>
      <c r="EUQ3">
        <f>Database!EVJ5</f>
        <v>0</v>
      </c>
      <c r="EUR3">
        <f>Database!EVK5</f>
        <v>0</v>
      </c>
      <c r="EUS3">
        <f>Database!EVL5</f>
        <v>0</v>
      </c>
      <c r="EUT3">
        <f>Database!EVM5</f>
        <v>0</v>
      </c>
      <c r="EUU3">
        <f>Database!EVN5</f>
        <v>0</v>
      </c>
      <c r="EUV3">
        <f>Database!EVO5</f>
        <v>0</v>
      </c>
      <c r="EUW3">
        <f>Database!EVP5</f>
        <v>0</v>
      </c>
      <c r="EUX3">
        <f>Database!EVQ5</f>
        <v>0</v>
      </c>
      <c r="EUY3">
        <f>Database!EVR5</f>
        <v>0</v>
      </c>
      <c r="EUZ3">
        <f>Database!EVS5</f>
        <v>0</v>
      </c>
      <c r="EVA3">
        <f>Database!EVT5</f>
        <v>0</v>
      </c>
      <c r="EVB3">
        <f>Database!EVU5</f>
        <v>0</v>
      </c>
      <c r="EVC3">
        <f>Database!EVV5</f>
        <v>0</v>
      </c>
      <c r="EVD3">
        <f>Database!EVW5</f>
        <v>0</v>
      </c>
      <c r="EVE3">
        <f>Database!EVX5</f>
        <v>0</v>
      </c>
      <c r="EVF3">
        <f>Database!EVY5</f>
        <v>0</v>
      </c>
      <c r="EVG3">
        <f>Database!EVZ5</f>
        <v>0</v>
      </c>
      <c r="EVH3">
        <f>Database!EWA5</f>
        <v>0</v>
      </c>
      <c r="EVI3">
        <f>Database!EWB5</f>
        <v>0</v>
      </c>
      <c r="EVJ3">
        <f>Database!EWC5</f>
        <v>0</v>
      </c>
      <c r="EVK3">
        <f>Database!EWD5</f>
        <v>0</v>
      </c>
      <c r="EVL3">
        <f>Database!EWE5</f>
        <v>0</v>
      </c>
      <c r="EVM3">
        <f>Database!EWF5</f>
        <v>0</v>
      </c>
      <c r="EVN3">
        <f>Database!EWG5</f>
        <v>0</v>
      </c>
      <c r="EVO3">
        <f>Database!EWH5</f>
        <v>0</v>
      </c>
      <c r="EVP3">
        <f>Database!EWI5</f>
        <v>0</v>
      </c>
      <c r="EVQ3">
        <f>Database!EWJ5</f>
        <v>0</v>
      </c>
      <c r="EVR3">
        <f>Database!EWK5</f>
        <v>0</v>
      </c>
      <c r="EVS3">
        <f>Database!EWL5</f>
        <v>0</v>
      </c>
      <c r="EVT3">
        <f>Database!EWM5</f>
        <v>0</v>
      </c>
      <c r="EVU3">
        <f>Database!EWN5</f>
        <v>0</v>
      </c>
      <c r="EVV3">
        <f>Database!EWO5</f>
        <v>0</v>
      </c>
      <c r="EVW3">
        <f>Database!EWP5</f>
        <v>0</v>
      </c>
      <c r="EVX3">
        <f>Database!EWQ5</f>
        <v>0</v>
      </c>
      <c r="EVY3">
        <f>Database!EWR5</f>
        <v>0</v>
      </c>
      <c r="EVZ3">
        <f>Database!EWS5</f>
        <v>0</v>
      </c>
      <c r="EWA3">
        <f>Database!EWT5</f>
        <v>0</v>
      </c>
      <c r="EWB3">
        <f>Database!EWU5</f>
        <v>0</v>
      </c>
      <c r="EWC3">
        <f>Database!EWV5</f>
        <v>0</v>
      </c>
      <c r="EWD3">
        <f>Database!EWW5</f>
        <v>0</v>
      </c>
      <c r="EWE3">
        <f>Database!EWX5</f>
        <v>0</v>
      </c>
      <c r="EWF3">
        <f>Database!EWY5</f>
        <v>0</v>
      </c>
      <c r="EWG3">
        <f>Database!EWZ5</f>
        <v>0</v>
      </c>
      <c r="EWH3">
        <f>Database!EXA5</f>
        <v>0</v>
      </c>
      <c r="EWI3">
        <f>Database!EXB5</f>
        <v>0</v>
      </c>
      <c r="EWJ3">
        <f>Database!EXC5</f>
        <v>0</v>
      </c>
      <c r="EWK3">
        <f>Database!EXD5</f>
        <v>0</v>
      </c>
      <c r="EWL3">
        <f>Database!EXE5</f>
        <v>0</v>
      </c>
      <c r="EWM3">
        <f>Database!EXF5</f>
        <v>0</v>
      </c>
      <c r="EWN3">
        <f>Database!EXG5</f>
        <v>0</v>
      </c>
      <c r="EWO3">
        <f>Database!EXH5</f>
        <v>0</v>
      </c>
      <c r="EWP3">
        <f>Database!EXI5</f>
        <v>0</v>
      </c>
      <c r="EWQ3">
        <f>Database!EXJ5</f>
        <v>0</v>
      </c>
      <c r="EWR3">
        <f>Database!EXK5</f>
        <v>0</v>
      </c>
      <c r="EWS3">
        <f>Database!EXL5</f>
        <v>0</v>
      </c>
      <c r="EWT3">
        <f>Database!EXM5</f>
        <v>0</v>
      </c>
      <c r="EWU3">
        <f>Database!EXN5</f>
        <v>0</v>
      </c>
      <c r="EWV3">
        <f>Database!EXO5</f>
        <v>0</v>
      </c>
      <c r="EWW3">
        <f>Database!EXP5</f>
        <v>0</v>
      </c>
      <c r="EWX3">
        <f>Database!EXQ5</f>
        <v>0</v>
      </c>
      <c r="EWY3">
        <f>Database!EXR5</f>
        <v>0</v>
      </c>
      <c r="EWZ3">
        <f>Database!EXS5</f>
        <v>0</v>
      </c>
      <c r="EXA3">
        <f>Database!EXT5</f>
        <v>0</v>
      </c>
      <c r="EXB3">
        <f>Database!EXU5</f>
        <v>0</v>
      </c>
      <c r="EXC3">
        <f>Database!EXV5</f>
        <v>0</v>
      </c>
      <c r="EXD3">
        <f>Database!EXW5</f>
        <v>0</v>
      </c>
      <c r="EXE3">
        <f>Database!EXX5</f>
        <v>0</v>
      </c>
      <c r="EXF3">
        <f>Database!EXY5</f>
        <v>0</v>
      </c>
      <c r="EXG3">
        <f>Database!EXZ5</f>
        <v>0</v>
      </c>
      <c r="EXH3">
        <f>Database!EYA5</f>
        <v>0</v>
      </c>
      <c r="EXI3">
        <f>Database!EYB5</f>
        <v>0</v>
      </c>
      <c r="EXJ3">
        <f>Database!EYC5</f>
        <v>0</v>
      </c>
      <c r="EXK3">
        <f>Database!EYD5</f>
        <v>0</v>
      </c>
      <c r="EXL3">
        <f>Database!EYE5</f>
        <v>0</v>
      </c>
      <c r="EXM3">
        <f>Database!EYF5</f>
        <v>0</v>
      </c>
      <c r="EXN3">
        <f>Database!EYG5</f>
        <v>0</v>
      </c>
      <c r="EXO3">
        <f>Database!EYH5</f>
        <v>0</v>
      </c>
      <c r="EXP3">
        <f>Database!EYI5</f>
        <v>0</v>
      </c>
      <c r="EXQ3">
        <f>Database!EYJ5</f>
        <v>0</v>
      </c>
      <c r="EXR3">
        <f>Database!EYK5</f>
        <v>0</v>
      </c>
      <c r="EXS3">
        <f>Database!EYL5</f>
        <v>0</v>
      </c>
      <c r="EXT3">
        <f>Database!EYM5</f>
        <v>0</v>
      </c>
      <c r="EXU3">
        <f>Database!EYN5</f>
        <v>0</v>
      </c>
      <c r="EXV3">
        <f>Database!EYO5</f>
        <v>0</v>
      </c>
      <c r="EXW3">
        <f>Database!EYP5</f>
        <v>0</v>
      </c>
      <c r="EXX3">
        <f>Database!EYQ5</f>
        <v>0</v>
      </c>
      <c r="EXY3">
        <f>Database!EYR5</f>
        <v>0</v>
      </c>
      <c r="EXZ3">
        <f>Database!EYS5</f>
        <v>0</v>
      </c>
      <c r="EYA3">
        <f>Database!EYT5</f>
        <v>0</v>
      </c>
      <c r="EYB3">
        <f>Database!EYU5</f>
        <v>0</v>
      </c>
      <c r="EYC3">
        <f>Database!EYV5</f>
        <v>0</v>
      </c>
      <c r="EYD3">
        <f>Database!EYW5</f>
        <v>0</v>
      </c>
      <c r="EYE3">
        <f>Database!EYX5</f>
        <v>0</v>
      </c>
      <c r="EYF3">
        <f>Database!EYY5</f>
        <v>0</v>
      </c>
      <c r="EYG3">
        <f>Database!EYZ5</f>
        <v>0</v>
      </c>
      <c r="EYH3">
        <f>Database!EZA5</f>
        <v>0</v>
      </c>
      <c r="EYI3">
        <f>Database!EZB5</f>
        <v>0</v>
      </c>
      <c r="EYJ3">
        <f>Database!EZC5</f>
        <v>0</v>
      </c>
      <c r="EYK3">
        <f>Database!EZD5</f>
        <v>0</v>
      </c>
      <c r="EYL3">
        <f>Database!EZE5</f>
        <v>0</v>
      </c>
      <c r="EYM3">
        <f>Database!EZF5</f>
        <v>0</v>
      </c>
      <c r="EYN3">
        <f>Database!EZG5</f>
        <v>0</v>
      </c>
      <c r="EYO3">
        <f>Database!EZH5</f>
        <v>0</v>
      </c>
      <c r="EYP3">
        <f>Database!EZI5</f>
        <v>0</v>
      </c>
      <c r="EYQ3">
        <f>Database!EZJ5</f>
        <v>0</v>
      </c>
      <c r="EYR3">
        <f>Database!EZK5</f>
        <v>0</v>
      </c>
      <c r="EYS3">
        <f>Database!EZL5</f>
        <v>0</v>
      </c>
      <c r="EYT3">
        <f>Database!EZM5</f>
        <v>0</v>
      </c>
      <c r="EYU3">
        <f>Database!EZN5</f>
        <v>0</v>
      </c>
      <c r="EYV3">
        <f>Database!EZO5</f>
        <v>0</v>
      </c>
      <c r="EYW3">
        <f>Database!EZP5</f>
        <v>0</v>
      </c>
      <c r="EYX3">
        <f>Database!EZQ5</f>
        <v>0</v>
      </c>
      <c r="EYY3">
        <f>Database!EZR5</f>
        <v>0</v>
      </c>
      <c r="EYZ3">
        <f>Database!EZS5</f>
        <v>0</v>
      </c>
      <c r="EZA3">
        <f>Database!EZT5</f>
        <v>0</v>
      </c>
      <c r="EZB3">
        <f>Database!EZU5</f>
        <v>0</v>
      </c>
      <c r="EZC3">
        <f>Database!EZV5</f>
        <v>0</v>
      </c>
      <c r="EZD3">
        <f>Database!EZW5</f>
        <v>0</v>
      </c>
      <c r="EZE3">
        <f>Database!EZX5</f>
        <v>0</v>
      </c>
      <c r="EZF3">
        <f>Database!EZY5</f>
        <v>0</v>
      </c>
      <c r="EZG3">
        <f>Database!EZZ5</f>
        <v>0</v>
      </c>
      <c r="EZH3">
        <f>Database!FAA5</f>
        <v>0</v>
      </c>
      <c r="EZI3">
        <f>Database!FAB5</f>
        <v>0</v>
      </c>
      <c r="EZJ3">
        <f>Database!FAC5</f>
        <v>0</v>
      </c>
      <c r="EZK3">
        <f>Database!FAD5</f>
        <v>0</v>
      </c>
      <c r="EZL3">
        <f>Database!FAE5</f>
        <v>0</v>
      </c>
      <c r="EZM3">
        <f>Database!FAF5</f>
        <v>0</v>
      </c>
      <c r="EZN3">
        <f>Database!FAG5</f>
        <v>0</v>
      </c>
      <c r="EZO3">
        <f>Database!FAH5</f>
        <v>0</v>
      </c>
      <c r="EZP3">
        <f>Database!FAI5</f>
        <v>0</v>
      </c>
      <c r="EZQ3">
        <f>Database!FAJ5</f>
        <v>0</v>
      </c>
      <c r="EZR3">
        <f>Database!FAK5</f>
        <v>0</v>
      </c>
      <c r="EZS3">
        <f>Database!FAL5</f>
        <v>0</v>
      </c>
      <c r="EZT3">
        <f>Database!FAM5</f>
        <v>0</v>
      </c>
      <c r="EZU3">
        <f>Database!FAN5</f>
        <v>0</v>
      </c>
      <c r="EZV3">
        <f>Database!FAO5</f>
        <v>0</v>
      </c>
      <c r="EZW3">
        <f>Database!FAP5</f>
        <v>0</v>
      </c>
      <c r="EZX3">
        <f>Database!FAQ5</f>
        <v>0</v>
      </c>
      <c r="EZY3">
        <f>Database!FAR5</f>
        <v>0</v>
      </c>
      <c r="EZZ3">
        <f>Database!FAS5</f>
        <v>0</v>
      </c>
      <c r="FAA3">
        <f>Database!FAT5</f>
        <v>0</v>
      </c>
      <c r="FAB3">
        <f>Database!FAU5</f>
        <v>0</v>
      </c>
      <c r="FAC3">
        <f>Database!FAV5</f>
        <v>0</v>
      </c>
      <c r="FAD3">
        <f>Database!FAW5</f>
        <v>0</v>
      </c>
      <c r="FAE3">
        <f>Database!FAX5</f>
        <v>0</v>
      </c>
      <c r="FAF3">
        <f>Database!FAY5</f>
        <v>0</v>
      </c>
      <c r="FAG3">
        <f>Database!FAZ5</f>
        <v>0</v>
      </c>
      <c r="FAH3">
        <f>Database!FBA5</f>
        <v>0</v>
      </c>
      <c r="FAI3">
        <f>Database!FBB5</f>
        <v>0</v>
      </c>
      <c r="FAJ3">
        <f>Database!FBC5</f>
        <v>0</v>
      </c>
      <c r="FAK3">
        <f>Database!FBD5</f>
        <v>0</v>
      </c>
      <c r="FAL3">
        <f>Database!FBE5</f>
        <v>0</v>
      </c>
      <c r="FAM3">
        <f>Database!FBF5</f>
        <v>0</v>
      </c>
      <c r="FAN3">
        <f>Database!FBG5</f>
        <v>0</v>
      </c>
      <c r="FAO3">
        <f>Database!FBH5</f>
        <v>0</v>
      </c>
      <c r="FAP3">
        <f>Database!FBI5</f>
        <v>0</v>
      </c>
      <c r="FAQ3">
        <f>Database!FBJ5</f>
        <v>0</v>
      </c>
      <c r="FAR3">
        <f>Database!FBK5</f>
        <v>0</v>
      </c>
      <c r="FAS3">
        <f>Database!FBL5</f>
        <v>0</v>
      </c>
      <c r="FAT3">
        <f>Database!FBM5</f>
        <v>0</v>
      </c>
      <c r="FAU3">
        <f>Database!FBN5</f>
        <v>0</v>
      </c>
      <c r="FAV3">
        <f>Database!FBO5</f>
        <v>0</v>
      </c>
      <c r="FAW3">
        <f>Database!FBP5</f>
        <v>0</v>
      </c>
      <c r="FAX3">
        <f>Database!FBQ5</f>
        <v>0</v>
      </c>
      <c r="FAY3">
        <f>Database!FBR5</f>
        <v>0</v>
      </c>
      <c r="FAZ3">
        <f>Database!FBS5</f>
        <v>0</v>
      </c>
      <c r="FBA3">
        <f>Database!FBT5</f>
        <v>0</v>
      </c>
      <c r="FBB3">
        <f>Database!FBU5</f>
        <v>0</v>
      </c>
      <c r="FBC3">
        <f>Database!FBV5</f>
        <v>0</v>
      </c>
      <c r="FBD3">
        <f>Database!FBW5</f>
        <v>0</v>
      </c>
      <c r="FBE3">
        <f>Database!FBX5</f>
        <v>0</v>
      </c>
      <c r="FBF3">
        <f>Database!FBY5</f>
        <v>0</v>
      </c>
      <c r="FBG3">
        <f>Database!FBZ5</f>
        <v>0</v>
      </c>
      <c r="FBH3">
        <f>Database!FCA5</f>
        <v>0</v>
      </c>
      <c r="FBI3">
        <f>Database!FCB5</f>
        <v>0</v>
      </c>
      <c r="FBJ3">
        <f>Database!FCC5</f>
        <v>0</v>
      </c>
      <c r="FBK3">
        <f>Database!FCD5</f>
        <v>0</v>
      </c>
      <c r="FBL3">
        <f>Database!FCE5</f>
        <v>0</v>
      </c>
      <c r="FBM3">
        <f>Database!FCF5</f>
        <v>0</v>
      </c>
      <c r="FBN3">
        <f>Database!FCG5</f>
        <v>0</v>
      </c>
      <c r="FBO3">
        <f>Database!FCH5</f>
        <v>0</v>
      </c>
      <c r="FBP3">
        <f>Database!FCI5</f>
        <v>0</v>
      </c>
      <c r="FBQ3">
        <f>Database!FCJ5</f>
        <v>0</v>
      </c>
      <c r="FBR3">
        <f>Database!FCK5</f>
        <v>0</v>
      </c>
      <c r="FBS3">
        <f>Database!FCL5</f>
        <v>0</v>
      </c>
      <c r="FBT3">
        <f>Database!FCM5</f>
        <v>0</v>
      </c>
      <c r="FBU3">
        <f>Database!FCN5</f>
        <v>0</v>
      </c>
      <c r="FBV3">
        <f>Database!FCO5</f>
        <v>0</v>
      </c>
      <c r="FBW3">
        <f>Database!FCP5</f>
        <v>0</v>
      </c>
      <c r="FBX3">
        <f>Database!FCQ5</f>
        <v>0</v>
      </c>
      <c r="FBY3">
        <f>Database!FCR5</f>
        <v>0</v>
      </c>
      <c r="FBZ3">
        <f>Database!FCS5</f>
        <v>0</v>
      </c>
      <c r="FCA3">
        <f>Database!FCT5</f>
        <v>0</v>
      </c>
      <c r="FCB3">
        <f>Database!FCU5</f>
        <v>0</v>
      </c>
      <c r="FCC3">
        <f>Database!FCV5</f>
        <v>0</v>
      </c>
      <c r="FCD3">
        <f>Database!FCW5</f>
        <v>0</v>
      </c>
      <c r="FCE3">
        <f>Database!FCX5</f>
        <v>0</v>
      </c>
      <c r="FCF3">
        <f>Database!FCY5</f>
        <v>0</v>
      </c>
      <c r="FCG3">
        <f>Database!FCZ5</f>
        <v>0</v>
      </c>
      <c r="FCH3">
        <f>Database!FDA5</f>
        <v>0</v>
      </c>
      <c r="FCI3">
        <f>Database!FDB5</f>
        <v>0</v>
      </c>
      <c r="FCJ3">
        <f>Database!FDC5</f>
        <v>0</v>
      </c>
      <c r="FCK3">
        <f>Database!FDD5</f>
        <v>0</v>
      </c>
      <c r="FCL3">
        <f>Database!FDE5</f>
        <v>0</v>
      </c>
      <c r="FCM3">
        <f>Database!FDF5</f>
        <v>0</v>
      </c>
      <c r="FCN3">
        <f>Database!FDG5</f>
        <v>0</v>
      </c>
      <c r="FCO3">
        <f>Database!FDH5</f>
        <v>0</v>
      </c>
      <c r="FCP3">
        <f>Database!FDI5</f>
        <v>0</v>
      </c>
      <c r="FCQ3">
        <f>Database!FDJ5</f>
        <v>0</v>
      </c>
      <c r="FCR3">
        <f>Database!FDK5</f>
        <v>0</v>
      </c>
      <c r="FCS3">
        <f>Database!FDL5</f>
        <v>0</v>
      </c>
      <c r="FCT3">
        <f>Database!FDM5</f>
        <v>0</v>
      </c>
      <c r="FCU3">
        <f>Database!FDN5</f>
        <v>0</v>
      </c>
      <c r="FCV3">
        <f>Database!FDO5</f>
        <v>0</v>
      </c>
      <c r="FCW3">
        <f>Database!FDP5</f>
        <v>0</v>
      </c>
      <c r="FCX3">
        <f>Database!FDQ5</f>
        <v>0</v>
      </c>
      <c r="FCY3">
        <f>Database!FDR5</f>
        <v>0</v>
      </c>
      <c r="FCZ3">
        <f>Database!FDS5</f>
        <v>0</v>
      </c>
      <c r="FDA3">
        <f>Database!FDT5</f>
        <v>0</v>
      </c>
      <c r="FDB3">
        <f>Database!FDU5</f>
        <v>0</v>
      </c>
      <c r="FDC3">
        <f>Database!FDV5</f>
        <v>0</v>
      </c>
      <c r="FDD3">
        <f>Database!FDW5</f>
        <v>0</v>
      </c>
      <c r="FDE3">
        <f>Database!FDX5</f>
        <v>0</v>
      </c>
      <c r="FDF3">
        <f>Database!FDY5</f>
        <v>0</v>
      </c>
      <c r="FDG3">
        <f>Database!FDZ5</f>
        <v>0</v>
      </c>
      <c r="FDH3">
        <f>Database!FEA5</f>
        <v>0</v>
      </c>
      <c r="FDI3">
        <f>Database!FEB5</f>
        <v>0</v>
      </c>
      <c r="FDJ3">
        <f>Database!FEC5</f>
        <v>0</v>
      </c>
      <c r="FDK3">
        <f>Database!FED5</f>
        <v>0</v>
      </c>
      <c r="FDL3">
        <f>Database!FEE5</f>
        <v>0</v>
      </c>
      <c r="FDM3">
        <f>Database!FEF5</f>
        <v>0</v>
      </c>
      <c r="FDN3">
        <f>Database!FEG5</f>
        <v>0</v>
      </c>
      <c r="FDO3">
        <f>Database!FEH5</f>
        <v>0</v>
      </c>
      <c r="FDP3">
        <f>Database!FEI5</f>
        <v>0</v>
      </c>
      <c r="FDQ3">
        <f>Database!FEJ5</f>
        <v>0</v>
      </c>
      <c r="FDR3">
        <f>Database!FEK5</f>
        <v>0</v>
      </c>
      <c r="FDS3">
        <f>Database!FEL5</f>
        <v>0</v>
      </c>
      <c r="FDT3">
        <f>Database!FEM5</f>
        <v>0</v>
      </c>
      <c r="FDU3">
        <f>Database!FEN5</f>
        <v>0</v>
      </c>
      <c r="FDV3">
        <f>Database!FEO5</f>
        <v>0</v>
      </c>
      <c r="FDW3">
        <f>Database!FEP5</f>
        <v>0</v>
      </c>
      <c r="FDX3">
        <f>Database!FEQ5</f>
        <v>0</v>
      </c>
      <c r="FDY3">
        <f>Database!FER5</f>
        <v>0</v>
      </c>
      <c r="FDZ3">
        <f>Database!FES5</f>
        <v>0</v>
      </c>
      <c r="FEA3">
        <f>Database!FET5</f>
        <v>0</v>
      </c>
      <c r="FEB3">
        <f>Database!FEU5</f>
        <v>0</v>
      </c>
      <c r="FEC3">
        <f>Database!FEV5</f>
        <v>0</v>
      </c>
      <c r="FED3">
        <f>Database!FEW5</f>
        <v>0</v>
      </c>
      <c r="FEE3">
        <f>Database!FEX5</f>
        <v>0</v>
      </c>
      <c r="FEF3">
        <f>Database!FEY5</f>
        <v>0</v>
      </c>
      <c r="FEG3">
        <f>Database!FEZ5</f>
        <v>0</v>
      </c>
      <c r="FEH3">
        <f>Database!FFA5</f>
        <v>0</v>
      </c>
      <c r="FEI3">
        <f>Database!FFB5</f>
        <v>0</v>
      </c>
      <c r="FEJ3">
        <f>Database!FFC5</f>
        <v>0</v>
      </c>
      <c r="FEK3">
        <f>Database!FFD5</f>
        <v>0</v>
      </c>
      <c r="FEL3">
        <f>Database!FFE5</f>
        <v>0</v>
      </c>
      <c r="FEM3">
        <f>Database!FFF5</f>
        <v>0</v>
      </c>
      <c r="FEN3">
        <f>Database!FFG5</f>
        <v>0</v>
      </c>
      <c r="FEO3">
        <f>Database!FFH5</f>
        <v>0</v>
      </c>
      <c r="FEP3">
        <f>Database!FFI5</f>
        <v>0</v>
      </c>
      <c r="FEQ3">
        <f>Database!FFJ5</f>
        <v>0</v>
      </c>
      <c r="FER3">
        <f>Database!FFK5</f>
        <v>0</v>
      </c>
      <c r="FES3">
        <f>Database!FFL5</f>
        <v>0</v>
      </c>
      <c r="FET3">
        <f>Database!FFM5</f>
        <v>0</v>
      </c>
      <c r="FEU3">
        <f>Database!FFN5</f>
        <v>0</v>
      </c>
      <c r="FEV3">
        <f>Database!FFO5</f>
        <v>0</v>
      </c>
      <c r="FEW3">
        <f>Database!FFP5</f>
        <v>0</v>
      </c>
      <c r="FEX3">
        <f>Database!FFQ5</f>
        <v>0</v>
      </c>
      <c r="FEY3">
        <f>Database!FFR5</f>
        <v>0</v>
      </c>
      <c r="FEZ3">
        <f>Database!FFS5</f>
        <v>0</v>
      </c>
      <c r="FFA3">
        <f>Database!FFT5</f>
        <v>0</v>
      </c>
      <c r="FFB3">
        <f>Database!FFU5</f>
        <v>0</v>
      </c>
      <c r="FFC3">
        <f>Database!FFV5</f>
        <v>0</v>
      </c>
      <c r="FFD3">
        <f>Database!FFW5</f>
        <v>0</v>
      </c>
      <c r="FFE3">
        <f>Database!FFX5</f>
        <v>0</v>
      </c>
      <c r="FFF3">
        <f>Database!FFY5</f>
        <v>0</v>
      </c>
      <c r="FFG3">
        <f>Database!FFZ5</f>
        <v>0</v>
      </c>
      <c r="FFH3">
        <f>Database!FGA5</f>
        <v>0</v>
      </c>
      <c r="FFI3">
        <f>Database!FGB5</f>
        <v>0</v>
      </c>
      <c r="FFJ3">
        <f>Database!FGC5</f>
        <v>0</v>
      </c>
      <c r="FFK3">
        <f>Database!FGD5</f>
        <v>0</v>
      </c>
      <c r="FFL3">
        <f>Database!FGE5</f>
        <v>0</v>
      </c>
      <c r="FFM3">
        <f>Database!FGF5</f>
        <v>0</v>
      </c>
      <c r="FFN3">
        <f>Database!FGG5</f>
        <v>0</v>
      </c>
      <c r="FFO3">
        <f>Database!FGH5</f>
        <v>0</v>
      </c>
      <c r="FFP3">
        <f>Database!FGI5</f>
        <v>0</v>
      </c>
      <c r="FFQ3">
        <f>Database!FGJ5</f>
        <v>0</v>
      </c>
      <c r="FFR3">
        <f>Database!FGK5</f>
        <v>0</v>
      </c>
      <c r="FFS3">
        <f>Database!FGL5</f>
        <v>0</v>
      </c>
      <c r="FFT3">
        <f>Database!FGM5</f>
        <v>0</v>
      </c>
      <c r="FFU3">
        <f>Database!FGN5</f>
        <v>0</v>
      </c>
      <c r="FFV3">
        <f>Database!FGO5</f>
        <v>0</v>
      </c>
      <c r="FFW3">
        <f>Database!FGP5</f>
        <v>0</v>
      </c>
      <c r="FFX3">
        <f>Database!FGQ5</f>
        <v>0</v>
      </c>
      <c r="FFY3">
        <f>Database!FGR5</f>
        <v>0</v>
      </c>
      <c r="FFZ3">
        <f>Database!FGS5</f>
        <v>0</v>
      </c>
      <c r="FGA3">
        <f>Database!FGT5</f>
        <v>0</v>
      </c>
      <c r="FGB3">
        <f>Database!FGU5</f>
        <v>0</v>
      </c>
      <c r="FGC3">
        <f>Database!FGV5</f>
        <v>0</v>
      </c>
      <c r="FGD3">
        <f>Database!FGW5</f>
        <v>0</v>
      </c>
      <c r="FGE3">
        <f>Database!FGX5</f>
        <v>0</v>
      </c>
      <c r="FGF3">
        <f>Database!FGY5</f>
        <v>0</v>
      </c>
      <c r="FGG3">
        <f>Database!FGZ5</f>
        <v>0</v>
      </c>
      <c r="FGH3">
        <f>Database!FHA5</f>
        <v>0</v>
      </c>
      <c r="FGI3">
        <f>Database!FHB5</f>
        <v>0</v>
      </c>
      <c r="FGJ3">
        <f>Database!FHC5</f>
        <v>0</v>
      </c>
      <c r="FGK3">
        <f>Database!FHD5</f>
        <v>0</v>
      </c>
      <c r="FGL3">
        <f>Database!FHE5</f>
        <v>0</v>
      </c>
      <c r="FGM3">
        <f>Database!FHF5</f>
        <v>0</v>
      </c>
      <c r="FGN3">
        <f>Database!FHG5</f>
        <v>0</v>
      </c>
      <c r="FGO3">
        <f>Database!FHH5</f>
        <v>0</v>
      </c>
      <c r="FGP3">
        <f>Database!FHI5</f>
        <v>0</v>
      </c>
      <c r="FGQ3">
        <f>Database!FHJ5</f>
        <v>0</v>
      </c>
      <c r="FGR3">
        <f>Database!FHK5</f>
        <v>0</v>
      </c>
      <c r="FGS3">
        <f>Database!FHL5</f>
        <v>0</v>
      </c>
      <c r="FGT3">
        <f>Database!FHM5</f>
        <v>0</v>
      </c>
      <c r="FGU3">
        <f>Database!FHN5</f>
        <v>0</v>
      </c>
      <c r="FGV3">
        <f>Database!FHO5</f>
        <v>0</v>
      </c>
      <c r="FGW3">
        <f>Database!FHP5</f>
        <v>0</v>
      </c>
      <c r="FGX3">
        <f>Database!FHQ5</f>
        <v>0</v>
      </c>
      <c r="FGY3">
        <f>Database!FHR5</f>
        <v>0</v>
      </c>
      <c r="FGZ3">
        <f>Database!FHS5</f>
        <v>0</v>
      </c>
      <c r="FHA3">
        <f>Database!FHT5</f>
        <v>0</v>
      </c>
      <c r="FHB3">
        <f>Database!FHU5</f>
        <v>0</v>
      </c>
      <c r="FHC3">
        <f>Database!FHV5</f>
        <v>0</v>
      </c>
      <c r="FHD3">
        <f>Database!FHW5</f>
        <v>0</v>
      </c>
      <c r="FHE3">
        <f>Database!FHX5</f>
        <v>0</v>
      </c>
      <c r="FHF3">
        <f>Database!FHY5</f>
        <v>0</v>
      </c>
      <c r="FHG3">
        <f>Database!FHZ5</f>
        <v>0</v>
      </c>
      <c r="FHH3">
        <f>Database!FIA5</f>
        <v>0</v>
      </c>
      <c r="FHI3">
        <f>Database!FIB5</f>
        <v>0</v>
      </c>
      <c r="FHJ3">
        <f>Database!FIC5</f>
        <v>0</v>
      </c>
      <c r="FHK3">
        <f>Database!FID5</f>
        <v>0</v>
      </c>
      <c r="FHL3">
        <f>Database!FIE5</f>
        <v>0</v>
      </c>
      <c r="FHM3">
        <f>Database!FIF5</f>
        <v>0</v>
      </c>
      <c r="FHN3">
        <f>Database!FIG5</f>
        <v>0</v>
      </c>
      <c r="FHO3">
        <f>Database!FIH5</f>
        <v>0</v>
      </c>
      <c r="FHP3">
        <f>Database!FII5</f>
        <v>0</v>
      </c>
      <c r="FHQ3">
        <f>Database!FIJ5</f>
        <v>0</v>
      </c>
      <c r="FHR3">
        <f>Database!FIK5</f>
        <v>0</v>
      </c>
      <c r="FHS3">
        <f>Database!FIL5</f>
        <v>0</v>
      </c>
      <c r="FHT3">
        <f>Database!FIM5</f>
        <v>0</v>
      </c>
      <c r="FHU3">
        <f>Database!FIN5</f>
        <v>0</v>
      </c>
      <c r="FHV3">
        <f>Database!FIO5</f>
        <v>0</v>
      </c>
      <c r="FHW3">
        <f>Database!FIP5</f>
        <v>0</v>
      </c>
      <c r="FHX3">
        <f>Database!FIQ5</f>
        <v>0</v>
      </c>
      <c r="FHY3">
        <f>Database!FIR5</f>
        <v>0</v>
      </c>
      <c r="FHZ3">
        <f>Database!FIS5</f>
        <v>0</v>
      </c>
      <c r="FIA3">
        <f>Database!FIT5</f>
        <v>0</v>
      </c>
      <c r="FIB3">
        <f>Database!FIU5</f>
        <v>0</v>
      </c>
      <c r="FIC3">
        <f>Database!FIV5</f>
        <v>0</v>
      </c>
      <c r="FID3">
        <f>Database!FIW5</f>
        <v>0</v>
      </c>
      <c r="FIE3">
        <f>Database!FIX5</f>
        <v>0</v>
      </c>
      <c r="FIF3">
        <f>Database!FIY5</f>
        <v>0</v>
      </c>
      <c r="FIG3">
        <f>Database!FIZ5</f>
        <v>0</v>
      </c>
      <c r="FIH3">
        <f>Database!FJA5</f>
        <v>0</v>
      </c>
      <c r="FII3">
        <f>Database!FJB5</f>
        <v>0</v>
      </c>
      <c r="FIJ3">
        <f>Database!FJC5</f>
        <v>0</v>
      </c>
      <c r="FIK3">
        <f>Database!FJD5</f>
        <v>0</v>
      </c>
      <c r="FIL3">
        <f>Database!FJE5</f>
        <v>0</v>
      </c>
      <c r="FIM3">
        <f>Database!FJF5</f>
        <v>0</v>
      </c>
      <c r="FIN3">
        <f>Database!FJG5</f>
        <v>0</v>
      </c>
      <c r="FIO3">
        <f>Database!FJH5</f>
        <v>0</v>
      </c>
      <c r="FIP3">
        <f>Database!FJI5</f>
        <v>0</v>
      </c>
      <c r="FIQ3">
        <f>Database!FJJ5</f>
        <v>0</v>
      </c>
      <c r="FIR3">
        <f>Database!FJK5</f>
        <v>0</v>
      </c>
      <c r="FIS3">
        <f>Database!FJL5</f>
        <v>0</v>
      </c>
      <c r="FIT3">
        <f>Database!FJM5</f>
        <v>0</v>
      </c>
      <c r="FIU3">
        <f>Database!FJN5</f>
        <v>0</v>
      </c>
      <c r="FIV3">
        <f>Database!FJO5</f>
        <v>0</v>
      </c>
      <c r="FIW3">
        <f>Database!FJP5</f>
        <v>0</v>
      </c>
      <c r="FIX3">
        <f>Database!FJQ5</f>
        <v>0</v>
      </c>
      <c r="FIY3">
        <f>Database!FJR5</f>
        <v>0</v>
      </c>
      <c r="FIZ3">
        <f>Database!FJS5</f>
        <v>0</v>
      </c>
      <c r="FJA3">
        <f>Database!FJT5</f>
        <v>0</v>
      </c>
      <c r="FJB3">
        <f>Database!FJU5</f>
        <v>0</v>
      </c>
      <c r="FJC3">
        <f>Database!FJV5</f>
        <v>0</v>
      </c>
      <c r="FJD3">
        <f>Database!FJW5</f>
        <v>0</v>
      </c>
      <c r="FJE3">
        <f>Database!FJX5</f>
        <v>0</v>
      </c>
      <c r="FJF3">
        <f>Database!FJY5</f>
        <v>0</v>
      </c>
      <c r="FJG3">
        <f>Database!FJZ5</f>
        <v>0</v>
      </c>
      <c r="FJH3">
        <f>Database!FKA5</f>
        <v>0</v>
      </c>
      <c r="FJI3">
        <f>Database!FKB5</f>
        <v>0</v>
      </c>
      <c r="FJJ3">
        <f>Database!FKC5</f>
        <v>0</v>
      </c>
      <c r="FJK3">
        <f>Database!FKD5</f>
        <v>0</v>
      </c>
      <c r="FJL3">
        <f>Database!FKE5</f>
        <v>0</v>
      </c>
      <c r="FJM3">
        <f>Database!FKF5</f>
        <v>0</v>
      </c>
      <c r="FJN3">
        <f>Database!FKG5</f>
        <v>0</v>
      </c>
      <c r="FJO3">
        <f>Database!FKH5</f>
        <v>0</v>
      </c>
      <c r="FJP3">
        <f>Database!FKI5</f>
        <v>0</v>
      </c>
      <c r="FJQ3">
        <f>Database!FKJ5</f>
        <v>0</v>
      </c>
      <c r="FJR3">
        <f>Database!FKK5</f>
        <v>0</v>
      </c>
      <c r="FJS3">
        <f>Database!FKL5</f>
        <v>0</v>
      </c>
      <c r="FJT3">
        <f>Database!FKM5</f>
        <v>0</v>
      </c>
      <c r="FJU3">
        <f>Database!FKN5</f>
        <v>0</v>
      </c>
      <c r="FJV3">
        <f>Database!FKO5</f>
        <v>0</v>
      </c>
      <c r="FJW3">
        <f>Database!FKP5</f>
        <v>0</v>
      </c>
      <c r="FJX3">
        <f>Database!FKQ5</f>
        <v>0</v>
      </c>
      <c r="FJY3">
        <f>Database!FKR5</f>
        <v>0</v>
      </c>
      <c r="FJZ3">
        <f>Database!FKS5</f>
        <v>0</v>
      </c>
      <c r="FKA3">
        <f>Database!FKT5</f>
        <v>0</v>
      </c>
      <c r="FKB3">
        <f>Database!FKU5</f>
        <v>0</v>
      </c>
      <c r="FKC3">
        <f>Database!FKV5</f>
        <v>0</v>
      </c>
      <c r="FKD3">
        <f>Database!FKW5</f>
        <v>0</v>
      </c>
      <c r="FKE3">
        <f>Database!FKX5</f>
        <v>0</v>
      </c>
      <c r="FKF3">
        <f>Database!FKY5</f>
        <v>0</v>
      </c>
      <c r="FKG3">
        <f>Database!FKZ5</f>
        <v>0</v>
      </c>
      <c r="FKH3">
        <f>Database!FLA5</f>
        <v>0</v>
      </c>
      <c r="FKI3">
        <f>Database!FLB5</f>
        <v>0</v>
      </c>
      <c r="FKJ3">
        <f>Database!FLC5</f>
        <v>0</v>
      </c>
      <c r="FKK3">
        <f>Database!FLD5</f>
        <v>0</v>
      </c>
      <c r="FKL3">
        <f>Database!FLE5</f>
        <v>0</v>
      </c>
      <c r="FKM3">
        <f>Database!FLF5</f>
        <v>0</v>
      </c>
      <c r="FKN3">
        <f>Database!FLG5</f>
        <v>0</v>
      </c>
      <c r="FKO3">
        <f>Database!FLH5</f>
        <v>0</v>
      </c>
      <c r="FKP3">
        <f>Database!FLI5</f>
        <v>0</v>
      </c>
      <c r="FKQ3">
        <f>Database!FLJ5</f>
        <v>0</v>
      </c>
      <c r="FKR3">
        <f>Database!FLK5</f>
        <v>0</v>
      </c>
      <c r="FKS3">
        <f>Database!FLL5</f>
        <v>0</v>
      </c>
      <c r="FKT3">
        <f>Database!FLM5</f>
        <v>0</v>
      </c>
      <c r="FKU3">
        <f>Database!FLN5</f>
        <v>0</v>
      </c>
      <c r="FKV3">
        <f>Database!FLO5</f>
        <v>0</v>
      </c>
      <c r="FKW3">
        <f>Database!FLP5</f>
        <v>0</v>
      </c>
      <c r="FKX3">
        <f>Database!FLQ5</f>
        <v>0</v>
      </c>
      <c r="FKY3">
        <f>Database!FLR5</f>
        <v>0</v>
      </c>
      <c r="FKZ3">
        <f>Database!FLS5</f>
        <v>0</v>
      </c>
      <c r="FLA3">
        <f>Database!FLT5</f>
        <v>0</v>
      </c>
      <c r="FLB3">
        <f>Database!FLU5</f>
        <v>0</v>
      </c>
      <c r="FLC3">
        <f>Database!FLV5</f>
        <v>0</v>
      </c>
      <c r="FLD3">
        <f>Database!FLW5</f>
        <v>0</v>
      </c>
      <c r="FLE3">
        <f>Database!FLX5</f>
        <v>0</v>
      </c>
      <c r="FLF3">
        <f>Database!FLY5</f>
        <v>0</v>
      </c>
      <c r="FLG3">
        <f>Database!FLZ5</f>
        <v>0</v>
      </c>
      <c r="FLH3">
        <f>Database!FMA5</f>
        <v>0</v>
      </c>
      <c r="FLI3">
        <f>Database!FMB5</f>
        <v>0</v>
      </c>
      <c r="FLJ3">
        <f>Database!FMC5</f>
        <v>0</v>
      </c>
      <c r="FLK3">
        <f>Database!FMD5</f>
        <v>0</v>
      </c>
      <c r="FLL3">
        <f>Database!FME5</f>
        <v>0</v>
      </c>
      <c r="FLM3">
        <f>Database!FMF5</f>
        <v>0</v>
      </c>
      <c r="FLN3">
        <f>Database!FMG5</f>
        <v>0</v>
      </c>
      <c r="FLO3">
        <f>Database!FMH5</f>
        <v>0</v>
      </c>
      <c r="FLP3">
        <f>Database!FMI5</f>
        <v>0</v>
      </c>
      <c r="FLQ3">
        <f>Database!FMJ5</f>
        <v>0</v>
      </c>
      <c r="FLR3">
        <f>Database!FMK5</f>
        <v>0</v>
      </c>
      <c r="FLS3">
        <f>Database!FML5</f>
        <v>0</v>
      </c>
      <c r="FLT3">
        <f>Database!FMM5</f>
        <v>0</v>
      </c>
      <c r="FLU3">
        <f>Database!FMN5</f>
        <v>0</v>
      </c>
      <c r="FLV3">
        <f>Database!FMO5</f>
        <v>0</v>
      </c>
      <c r="FLW3">
        <f>Database!FMP5</f>
        <v>0</v>
      </c>
      <c r="FLX3">
        <f>Database!FMQ5</f>
        <v>0</v>
      </c>
      <c r="FLY3">
        <f>Database!FMR5</f>
        <v>0</v>
      </c>
      <c r="FLZ3">
        <f>Database!FMS5</f>
        <v>0</v>
      </c>
      <c r="FMA3">
        <f>Database!FMT5</f>
        <v>0</v>
      </c>
      <c r="FMB3">
        <f>Database!FMU5</f>
        <v>0</v>
      </c>
      <c r="FMC3">
        <f>Database!FMV5</f>
        <v>0</v>
      </c>
      <c r="FMD3">
        <f>Database!FMW5</f>
        <v>0</v>
      </c>
      <c r="FME3">
        <f>Database!FMX5</f>
        <v>0</v>
      </c>
      <c r="FMF3">
        <f>Database!FMY5</f>
        <v>0</v>
      </c>
      <c r="FMG3">
        <f>Database!FMZ5</f>
        <v>0</v>
      </c>
      <c r="FMH3">
        <f>Database!FNA5</f>
        <v>0</v>
      </c>
      <c r="FMI3">
        <f>Database!FNB5</f>
        <v>0</v>
      </c>
      <c r="FMJ3">
        <f>Database!FNC5</f>
        <v>0</v>
      </c>
      <c r="FMK3">
        <f>Database!FND5</f>
        <v>0</v>
      </c>
      <c r="FML3">
        <f>Database!FNE5</f>
        <v>0</v>
      </c>
      <c r="FMM3">
        <f>Database!FNF5</f>
        <v>0</v>
      </c>
      <c r="FMN3">
        <f>Database!FNG5</f>
        <v>0</v>
      </c>
      <c r="FMO3">
        <f>Database!FNH5</f>
        <v>0</v>
      </c>
      <c r="FMP3">
        <f>Database!FNI5</f>
        <v>0</v>
      </c>
      <c r="FMQ3">
        <f>Database!FNJ5</f>
        <v>0</v>
      </c>
      <c r="FMR3">
        <f>Database!FNK5</f>
        <v>0</v>
      </c>
      <c r="FMS3">
        <f>Database!FNL5</f>
        <v>0</v>
      </c>
      <c r="FMT3">
        <f>Database!FNM5</f>
        <v>0</v>
      </c>
      <c r="FMU3">
        <f>Database!FNN5</f>
        <v>0</v>
      </c>
      <c r="FMV3">
        <f>Database!FNO5</f>
        <v>0</v>
      </c>
      <c r="FMW3">
        <f>Database!FNP5</f>
        <v>0</v>
      </c>
      <c r="FMX3">
        <f>Database!FNQ5</f>
        <v>0</v>
      </c>
      <c r="FMY3">
        <f>Database!FNR5</f>
        <v>0</v>
      </c>
      <c r="FMZ3">
        <f>Database!FNS5</f>
        <v>0</v>
      </c>
      <c r="FNA3">
        <f>Database!FNT5</f>
        <v>0</v>
      </c>
      <c r="FNB3">
        <f>Database!FNU5</f>
        <v>0</v>
      </c>
      <c r="FNC3">
        <f>Database!FNV5</f>
        <v>0</v>
      </c>
      <c r="FND3">
        <f>Database!FNW5</f>
        <v>0</v>
      </c>
      <c r="FNE3">
        <f>Database!FNX5</f>
        <v>0</v>
      </c>
      <c r="FNF3">
        <f>Database!FNY5</f>
        <v>0</v>
      </c>
      <c r="FNG3">
        <f>Database!FNZ5</f>
        <v>0</v>
      </c>
      <c r="FNH3">
        <f>Database!FOA5</f>
        <v>0</v>
      </c>
      <c r="FNI3">
        <f>Database!FOB5</f>
        <v>0</v>
      </c>
      <c r="FNJ3">
        <f>Database!FOC5</f>
        <v>0</v>
      </c>
      <c r="FNK3">
        <f>Database!FOD5</f>
        <v>0</v>
      </c>
      <c r="FNL3">
        <f>Database!FOE5</f>
        <v>0</v>
      </c>
      <c r="FNM3">
        <f>Database!FOF5</f>
        <v>0</v>
      </c>
      <c r="FNN3">
        <f>Database!FOG5</f>
        <v>0</v>
      </c>
      <c r="FNO3">
        <f>Database!FOH5</f>
        <v>0</v>
      </c>
      <c r="FNP3">
        <f>Database!FOI5</f>
        <v>0</v>
      </c>
      <c r="FNQ3">
        <f>Database!FOJ5</f>
        <v>0</v>
      </c>
      <c r="FNR3">
        <f>Database!FOK5</f>
        <v>0</v>
      </c>
      <c r="FNS3">
        <f>Database!FOL5</f>
        <v>0</v>
      </c>
      <c r="FNT3">
        <f>Database!FOM5</f>
        <v>0</v>
      </c>
      <c r="FNU3">
        <f>Database!FON5</f>
        <v>0</v>
      </c>
      <c r="FNV3">
        <f>Database!FOO5</f>
        <v>0</v>
      </c>
      <c r="FNW3">
        <f>Database!FOP5</f>
        <v>0</v>
      </c>
      <c r="FNX3">
        <f>Database!FOQ5</f>
        <v>0</v>
      </c>
      <c r="FNY3">
        <f>Database!FOR5</f>
        <v>0</v>
      </c>
      <c r="FNZ3">
        <f>Database!FOS5</f>
        <v>0</v>
      </c>
      <c r="FOA3">
        <f>Database!FOT5</f>
        <v>0</v>
      </c>
      <c r="FOB3">
        <f>Database!FOU5</f>
        <v>0</v>
      </c>
      <c r="FOC3">
        <f>Database!FOV5</f>
        <v>0</v>
      </c>
      <c r="FOD3">
        <f>Database!FOW5</f>
        <v>0</v>
      </c>
      <c r="FOE3">
        <f>Database!FOX5</f>
        <v>0</v>
      </c>
      <c r="FOF3">
        <f>Database!FOY5</f>
        <v>0</v>
      </c>
      <c r="FOG3">
        <f>Database!FOZ5</f>
        <v>0</v>
      </c>
      <c r="FOH3">
        <f>Database!FPA5</f>
        <v>0</v>
      </c>
      <c r="FOI3">
        <f>Database!FPB5</f>
        <v>0</v>
      </c>
      <c r="FOJ3">
        <f>Database!FPC5</f>
        <v>0</v>
      </c>
      <c r="FOK3">
        <f>Database!FPD5</f>
        <v>0</v>
      </c>
      <c r="FOL3">
        <f>Database!FPE5</f>
        <v>0</v>
      </c>
      <c r="FOM3">
        <f>Database!FPF5</f>
        <v>0</v>
      </c>
      <c r="FON3">
        <f>Database!FPG5</f>
        <v>0</v>
      </c>
      <c r="FOO3">
        <f>Database!FPH5</f>
        <v>0</v>
      </c>
      <c r="FOP3">
        <f>Database!FPI5</f>
        <v>0</v>
      </c>
      <c r="FOQ3">
        <f>Database!FPJ5</f>
        <v>0</v>
      </c>
      <c r="FOR3">
        <f>Database!FPK5</f>
        <v>0</v>
      </c>
      <c r="FOS3">
        <f>Database!FPL5</f>
        <v>0</v>
      </c>
      <c r="FOT3">
        <f>Database!FPM5</f>
        <v>0</v>
      </c>
      <c r="FOU3">
        <f>Database!FPN5</f>
        <v>0</v>
      </c>
      <c r="FOV3">
        <f>Database!FPO5</f>
        <v>0</v>
      </c>
      <c r="FOW3">
        <f>Database!FPP5</f>
        <v>0</v>
      </c>
      <c r="FOX3">
        <f>Database!FPQ5</f>
        <v>0</v>
      </c>
      <c r="FOY3">
        <f>Database!FPR5</f>
        <v>0</v>
      </c>
      <c r="FOZ3">
        <f>Database!FPS5</f>
        <v>0</v>
      </c>
      <c r="FPA3">
        <f>Database!FPT5</f>
        <v>0</v>
      </c>
      <c r="FPB3">
        <f>Database!FPU5</f>
        <v>0</v>
      </c>
      <c r="FPC3">
        <f>Database!FPV5</f>
        <v>0</v>
      </c>
      <c r="FPD3">
        <f>Database!FPW5</f>
        <v>0</v>
      </c>
      <c r="FPE3">
        <f>Database!FPX5</f>
        <v>0</v>
      </c>
      <c r="FPF3">
        <f>Database!FPY5</f>
        <v>0</v>
      </c>
      <c r="FPG3">
        <f>Database!FPZ5</f>
        <v>0</v>
      </c>
      <c r="FPH3">
        <f>Database!FQA5</f>
        <v>0</v>
      </c>
      <c r="FPI3">
        <f>Database!FQB5</f>
        <v>0</v>
      </c>
      <c r="FPJ3">
        <f>Database!FQC5</f>
        <v>0</v>
      </c>
      <c r="FPK3">
        <f>Database!FQD5</f>
        <v>0</v>
      </c>
      <c r="FPL3">
        <f>Database!FQE5</f>
        <v>0</v>
      </c>
      <c r="FPM3">
        <f>Database!FQF5</f>
        <v>0</v>
      </c>
      <c r="FPN3">
        <f>Database!FQG5</f>
        <v>0</v>
      </c>
      <c r="FPO3">
        <f>Database!FQH5</f>
        <v>0</v>
      </c>
      <c r="FPP3">
        <f>Database!FQI5</f>
        <v>0</v>
      </c>
      <c r="FPQ3">
        <f>Database!FQJ5</f>
        <v>0</v>
      </c>
      <c r="FPR3">
        <f>Database!FQK5</f>
        <v>0</v>
      </c>
      <c r="FPS3">
        <f>Database!FQL5</f>
        <v>0</v>
      </c>
      <c r="FPT3">
        <f>Database!FQM5</f>
        <v>0</v>
      </c>
      <c r="FPU3">
        <f>Database!FQN5</f>
        <v>0</v>
      </c>
      <c r="FPV3">
        <f>Database!FQO5</f>
        <v>0</v>
      </c>
      <c r="FPW3">
        <f>Database!FQP5</f>
        <v>0</v>
      </c>
      <c r="FPX3">
        <f>Database!FQQ5</f>
        <v>0</v>
      </c>
      <c r="FPY3">
        <f>Database!FQR5</f>
        <v>0</v>
      </c>
      <c r="FPZ3">
        <f>Database!FQS5</f>
        <v>0</v>
      </c>
      <c r="FQA3">
        <f>Database!FQT5</f>
        <v>0</v>
      </c>
      <c r="FQB3">
        <f>Database!FQU5</f>
        <v>0</v>
      </c>
      <c r="FQC3">
        <f>Database!FQV5</f>
        <v>0</v>
      </c>
      <c r="FQD3">
        <f>Database!FQW5</f>
        <v>0</v>
      </c>
      <c r="FQE3">
        <f>Database!FQX5</f>
        <v>0</v>
      </c>
      <c r="FQF3">
        <f>Database!FQY5</f>
        <v>0</v>
      </c>
      <c r="FQG3">
        <f>Database!FQZ5</f>
        <v>0</v>
      </c>
      <c r="FQH3">
        <f>Database!FRA5</f>
        <v>0</v>
      </c>
      <c r="FQI3">
        <f>Database!FRB5</f>
        <v>0</v>
      </c>
      <c r="FQJ3">
        <f>Database!FRC5</f>
        <v>0</v>
      </c>
      <c r="FQK3">
        <f>Database!FRD5</f>
        <v>0</v>
      </c>
      <c r="FQL3">
        <f>Database!FRE5</f>
        <v>0</v>
      </c>
      <c r="FQM3">
        <f>Database!FRF5</f>
        <v>0</v>
      </c>
      <c r="FQN3">
        <f>Database!FRG5</f>
        <v>0</v>
      </c>
      <c r="FQO3">
        <f>Database!FRH5</f>
        <v>0</v>
      </c>
      <c r="FQP3">
        <f>Database!FRI5</f>
        <v>0</v>
      </c>
      <c r="FQQ3">
        <f>Database!FRJ5</f>
        <v>0</v>
      </c>
      <c r="FQR3">
        <f>Database!FRK5</f>
        <v>0</v>
      </c>
      <c r="FQS3">
        <f>Database!FRL5</f>
        <v>0</v>
      </c>
      <c r="FQT3">
        <f>Database!FRM5</f>
        <v>0</v>
      </c>
      <c r="FQU3">
        <f>Database!FRN5</f>
        <v>0</v>
      </c>
      <c r="FQV3">
        <f>Database!FRO5</f>
        <v>0</v>
      </c>
      <c r="FQW3">
        <f>Database!FRP5</f>
        <v>0</v>
      </c>
      <c r="FQX3">
        <f>Database!FRQ5</f>
        <v>0</v>
      </c>
      <c r="FQY3">
        <f>Database!FRR5</f>
        <v>0</v>
      </c>
      <c r="FQZ3">
        <f>Database!FRS5</f>
        <v>0</v>
      </c>
      <c r="FRA3">
        <f>Database!FRT5</f>
        <v>0</v>
      </c>
      <c r="FRB3">
        <f>Database!FRU5</f>
        <v>0</v>
      </c>
      <c r="FRC3">
        <f>Database!FRV5</f>
        <v>0</v>
      </c>
      <c r="FRD3">
        <f>Database!FRW5</f>
        <v>0</v>
      </c>
      <c r="FRE3">
        <f>Database!FRX5</f>
        <v>0</v>
      </c>
      <c r="FRF3">
        <f>Database!FRY5</f>
        <v>0</v>
      </c>
      <c r="FRG3">
        <f>Database!FRZ5</f>
        <v>0</v>
      </c>
      <c r="FRH3">
        <f>Database!FSA5</f>
        <v>0</v>
      </c>
      <c r="FRI3">
        <f>Database!FSB5</f>
        <v>0</v>
      </c>
      <c r="FRJ3">
        <f>Database!FSC5</f>
        <v>0</v>
      </c>
      <c r="FRK3">
        <f>Database!FSD5</f>
        <v>0</v>
      </c>
      <c r="FRL3">
        <f>Database!FSE5</f>
        <v>0</v>
      </c>
      <c r="FRM3">
        <f>Database!FSF5</f>
        <v>0</v>
      </c>
      <c r="FRN3">
        <f>Database!FSG5</f>
        <v>0</v>
      </c>
      <c r="FRO3">
        <f>Database!FSH5</f>
        <v>0</v>
      </c>
      <c r="FRP3">
        <f>Database!FSI5</f>
        <v>0</v>
      </c>
      <c r="FRQ3">
        <f>Database!FSJ5</f>
        <v>0</v>
      </c>
      <c r="FRR3">
        <f>Database!FSK5</f>
        <v>0</v>
      </c>
      <c r="FRS3">
        <f>Database!FSL5</f>
        <v>0</v>
      </c>
      <c r="FRT3">
        <f>Database!FSM5</f>
        <v>0</v>
      </c>
      <c r="FRU3">
        <f>Database!FSN5</f>
        <v>0</v>
      </c>
      <c r="FRV3">
        <f>Database!FSO5</f>
        <v>0</v>
      </c>
      <c r="FRW3">
        <f>Database!FSP5</f>
        <v>0</v>
      </c>
      <c r="FRX3">
        <f>Database!FSQ5</f>
        <v>0</v>
      </c>
      <c r="FRY3">
        <f>Database!FSR5</f>
        <v>0</v>
      </c>
      <c r="FRZ3">
        <f>Database!FSS5</f>
        <v>0</v>
      </c>
      <c r="FSA3">
        <f>Database!FST5</f>
        <v>0</v>
      </c>
      <c r="FSB3">
        <f>Database!FSU5</f>
        <v>0</v>
      </c>
      <c r="FSC3">
        <f>Database!FSV5</f>
        <v>0</v>
      </c>
      <c r="FSD3">
        <f>Database!FSW5</f>
        <v>0</v>
      </c>
      <c r="FSE3">
        <f>Database!FSX5</f>
        <v>0</v>
      </c>
      <c r="FSF3">
        <f>Database!FSY5</f>
        <v>0</v>
      </c>
      <c r="FSG3">
        <f>Database!FSZ5</f>
        <v>0</v>
      </c>
      <c r="FSH3">
        <f>Database!FTA5</f>
        <v>0</v>
      </c>
      <c r="FSI3">
        <f>Database!FTB5</f>
        <v>0</v>
      </c>
      <c r="FSJ3">
        <f>Database!FTC5</f>
        <v>0</v>
      </c>
      <c r="FSK3">
        <f>Database!FTD5</f>
        <v>0</v>
      </c>
      <c r="FSL3">
        <f>Database!FTE5</f>
        <v>0</v>
      </c>
      <c r="FSM3">
        <f>Database!FTF5</f>
        <v>0</v>
      </c>
      <c r="FSN3">
        <f>Database!FTG5</f>
        <v>0</v>
      </c>
      <c r="FSO3">
        <f>Database!FTH5</f>
        <v>0</v>
      </c>
      <c r="FSP3">
        <f>Database!FTI5</f>
        <v>0</v>
      </c>
      <c r="FSQ3">
        <f>Database!FTJ5</f>
        <v>0</v>
      </c>
      <c r="FSR3">
        <f>Database!FTK5</f>
        <v>0</v>
      </c>
      <c r="FSS3">
        <f>Database!FTL5</f>
        <v>0</v>
      </c>
      <c r="FST3">
        <f>Database!FTM5</f>
        <v>0</v>
      </c>
      <c r="FSU3">
        <f>Database!FTN5</f>
        <v>0</v>
      </c>
      <c r="FSV3">
        <f>Database!FTO5</f>
        <v>0</v>
      </c>
      <c r="FSW3">
        <f>Database!FTP5</f>
        <v>0</v>
      </c>
      <c r="FSX3">
        <f>Database!FTQ5</f>
        <v>0</v>
      </c>
      <c r="FSY3">
        <f>Database!FTR5</f>
        <v>0</v>
      </c>
      <c r="FSZ3">
        <f>Database!FTS5</f>
        <v>0</v>
      </c>
      <c r="FTA3">
        <f>Database!FTT5</f>
        <v>0</v>
      </c>
      <c r="FTB3">
        <f>Database!FTU5</f>
        <v>0</v>
      </c>
      <c r="FTC3">
        <f>Database!FTV5</f>
        <v>0</v>
      </c>
      <c r="FTD3">
        <f>Database!FTW5</f>
        <v>0</v>
      </c>
      <c r="FTE3">
        <f>Database!FTX5</f>
        <v>0</v>
      </c>
      <c r="FTF3">
        <f>Database!FTY5</f>
        <v>0</v>
      </c>
      <c r="FTG3">
        <f>Database!FTZ5</f>
        <v>0</v>
      </c>
      <c r="FTH3">
        <f>Database!FUA5</f>
        <v>0</v>
      </c>
      <c r="FTI3">
        <f>Database!FUB5</f>
        <v>0</v>
      </c>
      <c r="FTJ3">
        <f>Database!FUC5</f>
        <v>0</v>
      </c>
      <c r="FTK3">
        <f>Database!FUD5</f>
        <v>0</v>
      </c>
      <c r="FTL3">
        <f>Database!FUE5</f>
        <v>0</v>
      </c>
      <c r="FTM3">
        <f>Database!FUF5</f>
        <v>0</v>
      </c>
      <c r="FTN3">
        <f>Database!FUG5</f>
        <v>0</v>
      </c>
      <c r="FTO3">
        <f>Database!FUH5</f>
        <v>0</v>
      </c>
      <c r="FTP3">
        <f>Database!FUI5</f>
        <v>0</v>
      </c>
      <c r="FTQ3">
        <f>Database!FUJ5</f>
        <v>0</v>
      </c>
      <c r="FTR3">
        <f>Database!FUK5</f>
        <v>0</v>
      </c>
      <c r="FTS3">
        <f>Database!FUL5</f>
        <v>0</v>
      </c>
      <c r="FTT3">
        <f>Database!FUM5</f>
        <v>0</v>
      </c>
      <c r="FTU3">
        <f>Database!FUN5</f>
        <v>0</v>
      </c>
      <c r="FTV3">
        <f>Database!FUO5</f>
        <v>0</v>
      </c>
      <c r="FTW3">
        <f>Database!FUP5</f>
        <v>0</v>
      </c>
      <c r="FTX3">
        <f>Database!FUQ5</f>
        <v>0</v>
      </c>
      <c r="FTY3">
        <f>Database!FUR5</f>
        <v>0</v>
      </c>
      <c r="FTZ3">
        <f>Database!FUS5</f>
        <v>0</v>
      </c>
      <c r="FUA3">
        <f>Database!FUT5</f>
        <v>0</v>
      </c>
      <c r="FUB3">
        <f>Database!FUU5</f>
        <v>0</v>
      </c>
      <c r="FUC3">
        <f>Database!FUV5</f>
        <v>0</v>
      </c>
      <c r="FUD3">
        <f>Database!FUW5</f>
        <v>0</v>
      </c>
      <c r="FUE3">
        <f>Database!FUX5</f>
        <v>0</v>
      </c>
      <c r="FUF3">
        <f>Database!FUY5</f>
        <v>0</v>
      </c>
      <c r="FUG3">
        <f>Database!FUZ5</f>
        <v>0</v>
      </c>
      <c r="FUH3">
        <f>Database!FVA5</f>
        <v>0</v>
      </c>
      <c r="FUI3">
        <f>Database!FVB5</f>
        <v>0</v>
      </c>
      <c r="FUJ3">
        <f>Database!FVC5</f>
        <v>0</v>
      </c>
      <c r="FUK3">
        <f>Database!FVD5</f>
        <v>0</v>
      </c>
      <c r="FUL3">
        <f>Database!FVE5</f>
        <v>0</v>
      </c>
      <c r="FUM3">
        <f>Database!FVF5</f>
        <v>0</v>
      </c>
      <c r="FUN3">
        <f>Database!FVG5</f>
        <v>0</v>
      </c>
      <c r="FUO3">
        <f>Database!FVH5</f>
        <v>0</v>
      </c>
      <c r="FUP3">
        <f>Database!FVI5</f>
        <v>0</v>
      </c>
      <c r="FUQ3">
        <f>Database!FVJ5</f>
        <v>0</v>
      </c>
      <c r="FUR3">
        <f>Database!FVK5</f>
        <v>0</v>
      </c>
      <c r="FUS3">
        <f>Database!FVL5</f>
        <v>0</v>
      </c>
      <c r="FUT3">
        <f>Database!FVM5</f>
        <v>0</v>
      </c>
      <c r="FUU3">
        <f>Database!FVN5</f>
        <v>0</v>
      </c>
      <c r="FUV3">
        <f>Database!FVO5</f>
        <v>0</v>
      </c>
      <c r="FUW3">
        <f>Database!FVP5</f>
        <v>0</v>
      </c>
      <c r="FUX3">
        <f>Database!FVQ5</f>
        <v>0</v>
      </c>
      <c r="FUY3">
        <f>Database!FVR5</f>
        <v>0</v>
      </c>
      <c r="FUZ3">
        <f>Database!FVS5</f>
        <v>0</v>
      </c>
      <c r="FVA3">
        <f>Database!FVT5</f>
        <v>0</v>
      </c>
      <c r="FVB3">
        <f>Database!FVU5</f>
        <v>0</v>
      </c>
      <c r="FVC3">
        <f>Database!FVV5</f>
        <v>0</v>
      </c>
      <c r="FVD3">
        <f>Database!FVW5</f>
        <v>0</v>
      </c>
      <c r="FVE3">
        <f>Database!FVX5</f>
        <v>0</v>
      </c>
      <c r="FVF3">
        <f>Database!FVY5</f>
        <v>0</v>
      </c>
      <c r="FVG3">
        <f>Database!FVZ5</f>
        <v>0</v>
      </c>
      <c r="FVH3">
        <f>Database!FWA5</f>
        <v>0</v>
      </c>
      <c r="FVI3">
        <f>Database!FWB5</f>
        <v>0</v>
      </c>
      <c r="FVJ3">
        <f>Database!FWC5</f>
        <v>0</v>
      </c>
      <c r="FVK3">
        <f>Database!FWD5</f>
        <v>0</v>
      </c>
      <c r="FVL3">
        <f>Database!FWE5</f>
        <v>0</v>
      </c>
      <c r="FVM3">
        <f>Database!FWF5</f>
        <v>0</v>
      </c>
      <c r="FVN3">
        <f>Database!FWG5</f>
        <v>0</v>
      </c>
      <c r="FVO3">
        <f>Database!FWH5</f>
        <v>0</v>
      </c>
      <c r="FVP3">
        <f>Database!FWI5</f>
        <v>0</v>
      </c>
      <c r="FVQ3">
        <f>Database!FWJ5</f>
        <v>0</v>
      </c>
      <c r="FVR3">
        <f>Database!FWK5</f>
        <v>0</v>
      </c>
      <c r="FVS3">
        <f>Database!FWL5</f>
        <v>0</v>
      </c>
      <c r="FVT3">
        <f>Database!FWM5</f>
        <v>0</v>
      </c>
      <c r="FVU3">
        <f>Database!FWN5</f>
        <v>0</v>
      </c>
      <c r="FVV3">
        <f>Database!FWO5</f>
        <v>0</v>
      </c>
      <c r="FVW3">
        <f>Database!FWP5</f>
        <v>0</v>
      </c>
      <c r="FVX3">
        <f>Database!FWQ5</f>
        <v>0</v>
      </c>
      <c r="FVY3">
        <f>Database!FWR5</f>
        <v>0</v>
      </c>
      <c r="FVZ3">
        <f>Database!FWS5</f>
        <v>0</v>
      </c>
      <c r="FWA3">
        <f>Database!FWT5</f>
        <v>0</v>
      </c>
      <c r="FWB3">
        <f>Database!FWU5</f>
        <v>0</v>
      </c>
      <c r="FWC3">
        <f>Database!FWV5</f>
        <v>0</v>
      </c>
      <c r="FWD3">
        <f>Database!FWW5</f>
        <v>0</v>
      </c>
      <c r="FWE3">
        <f>Database!FWX5</f>
        <v>0</v>
      </c>
      <c r="FWF3">
        <f>Database!FWY5</f>
        <v>0</v>
      </c>
      <c r="FWG3">
        <f>Database!FWZ5</f>
        <v>0</v>
      </c>
      <c r="FWH3">
        <f>Database!FXA5</f>
        <v>0</v>
      </c>
      <c r="FWI3">
        <f>Database!FXB5</f>
        <v>0</v>
      </c>
      <c r="FWJ3">
        <f>Database!FXC5</f>
        <v>0</v>
      </c>
      <c r="FWK3">
        <f>Database!FXD5</f>
        <v>0</v>
      </c>
      <c r="FWL3">
        <f>Database!FXE5</f>
        <v>0</v>
      </c>
      <c r="FWM3">
        <f>Database!FXF5</f>
        <v>0</v>
      </c>
      <c r="FWN3">
        <f>Database!FXG5</f>
        <v>0</v>
      </c>
      <c r="FWO3">
        <f>Database!FXH5</f>
        <v>0</v>
      </c>
      <c r="FWP3">
        <f>Database!FXI5</f>
        <v>0</v>
      </c>
      <c r="FWQ3">
        <f>Database!FXJ5</f>
        <v>0</v>
      </c>
      <c r="FWR3">
        <f>Database!FXK5</f>
        <v>0</v>
      </c>
      <c r="FWS3">
        <f>Database!FXL5</f>
        <v>0</v>
      </c>
      <c r="FWT3">
        <f>Database!FXM5</f>
        <v>0</v>
      </c>
      <c r="FWU3">
        <f>Database!FXN5</f>
        <v>0</v>
      </c>
      <c r="FWV3">
        <f>Database!FXO5</f>
        <v>0</v>
      </c>
      <c r="FWW3">
        <f>Database!FXP5</f>
        <v>0</v>
      </c>
      <c r="FWX3">
        <f>Database!FXQ5</f>
        <v>0</v>
      </c>
      <c r="FWY3">
        <f>Database!FXR5</f>
        <v>0</v>
      </c>
      <c r="FWZ3">
        <f>Database!FXS5</f>
        <v>0</v>
      </c>
      <c r="FXA3">
        <f>Database!FXT5</f>
        <v>0</v>
      </c>
      <c r="FXB3">
        <f>Database!FXU5</f>
        <v>0</v>
      </c>
      <c r="FXC3">
        <f>Database!FXV5</f>
        <v>0</v>
      </c>
      <c r="FXD3">
        <f>Database!FXW5</f>
        <v>0</v>
      </c>
      <c r="FXE3">
        <f>Database!FXX5</f>
        <v>0</v>
      </c>
      <c r="FXF3">
        <f>Database!FXY5</f>
        <v>0</v>
      </c>
      <c r="FXG3">
        <f>Database!FXZ5</f>
        <v>0</v>
      </c>
      <c r="FXH3">
        <f>Database!FYA5</f>
        <v>0</v>
      </c>
      <c r="FXI3">
        <f>Database!FYB5</f>
        <v>0</v>
      </c>
      <c r="FXJ3">
        <f>Database!FYC5</f>
        <v>0</v>
      </c>
      <c r="FXK3">
        <f>Database!FYD5</f>
        <v>0</v>
      </c>
      <c r="FXL3">
        <f>Database!FYE5</f>
        <v>0</v>
      </c>
      <c r="FXM3">
        <f>Database!FYF5</f>
        <v>0</v>
      </c>
      <c r="FXN3">
        <f>Database!FYG5</f>
        <v>0</v>
      </c>
      <c r="FXO3">
        <f>Database!FYH5</f>
        <v>0</v>
      </c>
      <c r="FXP3">
        <f>Database!FYI5</f>
        <v>0</v>
      </c>
      <c r="FXQ3">
        <f>Database!FYJ5</f>
        <v>0</v>
      </c>
      <c r="FXR3">
        <f>Database!FYK5</f>
        <v>0</v>
      </c>
      <c r="FXS3">
        <f>Database!FYL5</f>
        <v>0</v>
      </c>
      <c r="FXT3">
        <f>Database!FYM5</f>
        <v>0</v>
      </c>
      <c r="FXU3">
        <f>Database!FYN5</f>
        <v>0</v>
      </c>
      <c r="FXV3">
        <f>Database!FYO5</f>
        <v>0</v>
      </c>
      <c r="FXW3">
        <f>Database!FYP5</f>
        <v>0</v>
      </c>
      <c r="FXX3">
        <f>Database!FYQ5</f>
        <v>0</v>
      </c>
      <c r="FXY3">
        <f>Database!FYR5</f>
        <v>0</v>
      </c>
      <c r="FXZ3">
        <f>Database!FYS5</f>
        <v>0</v>
      </c>
      <c r="FYA3">
        <f>Database!FYT5</f>
        <v>0</v>
      </c>
      <c r="FYB3">
        <f>Database!FYU5</f>
        <v>0</v>
      </c>
      <c r="FYC3">
        <f>Database!FYV5</f>
        <v>0</v>
      </c>
      <c r="FYD3">
        <f>Database!FYW5</f>
        <v>0</v>
      </c>
      <c r="FYE3">
        <f>Database!FYX5</f>
        <v>0</v>
      </c>
      <c r="FYF3">
        <f>Database!FYY5</f>
        <v>0</v>
      </c>
      <c r="FYG3">
        <f>Database!FYZ5</f>
        <v>0</v>
      </c>
      <c r="FYH3">
        <f>Database!FZA5</f>
        <v>0</v>
      </c>
      <c r="FYI3">
        <f>Database!FZB5</f>
        <v>0</v>
      </c>
      <c r="FYJ3">
        <f>Database!FZC5</f>
        <v>0</v>
      </c>
      <c r="FYK3">
        <f>Database!FZD5</f>
        <v>0</v>
      </c>
      <c r="FYL3">
        <f>Database!FZE5</f>
        <v>0</v>
      </c>
      <c r="FYM3">
        <f>Database!FZF5</f>
        <v>0</v>
      </c>
      <c r="FYN3">
        <f>Database!FZG5</f>
        <v>0</v>
      </c>
      <c r="FYO3">
        <f>Database!FZH5</f>
        <v>0</v>
      </c>
      <c r="FYP3">
        <f>Database!FZI5</f>
        <v>0</v>
      </c>
      <c r="FYQ3">
        <f>Database!FZJ5</f>
        <v>0</v>
      </c>
      <c r="FYR3">
        <f>Database!FZK5</f>
        <v>0</v>
      </c>
      <c r="FYS3">
        <f>Database!FZL5</f>
        <v>0</v>
      </c>
      <c r="FYT3">
        <f>Database!FZM5</f>
        <v>0</v>
      </c>
      <c r="FYU3">
        <f>Database!FZN5</f>
        <v>0</v>
      </c>
      <c r="FYV3">
        <f>Database!FZO5</f>
        <v>0</v>
      </c>
      <c r="FYW3">
        <f>Database!FZP5</f>
        <v>0</v>
      </c>
      <c r="FYX3">
        <f>Database!FZQ5</f>
        <v>0</v>
      </c>
      <c r="FYY3">
        <f>Database!FZR5</f>
        <v>0</v>
      </c>
      <c r="FYZ3">
        <f>Database!FZS5</f>
        <v>0</v>
      </c>
      <c r="FZA3">
        <f>Database!FZT5</f>
        <v>0</v>
      </c>
      <c r="FZB3">
        <f>Database!FZU5</f>
        <v>0</v>
      </c>
      <c r="FZC3">
        <f>Database!FZV5</f>
        <v>0</v>
      </c>
      <c r="FZD3">
        <f>Database!FZW5</f>
        <v>0</v>
      </c>
      <c r="FZE3">
        <f>Database!FZX5</f>
        <v>0</v>
      </c>
      <c r="FZF3">
        <f>Database!FZY5</f>
        <v>0</v>
      </c>
      <c r="FZG3">
        <f>Database!FZZ5</f>
        <v>0</v>
      </c>
      <c r="FZH3">
        <f>Database!GAA5</f>
        <v>0</v>
      </c>
      <c r="FZI3">
        <f>Database!GAB5</f>
        <v>0</v>
      </c>
      <c r="FZJ3">
        <f>Database!GAC5</f>
        <v>0</v>
      </c>
      <c r="FZK3">
        <f>Database!GAD5</f>
        <v>0</v>
      </c>
      <c r="FZL3">
        <f>Database!GAE5</f>
        <v>0</v>
      </c>
      <c r="FZM3">
        <f>Database!GAF5</f>
        <v>0</v>
      </c>
      <c r="FZN3">
        <f>Database!GAG5</f>
        <v>0</v>
      </c>
      <c r="FZO3">
        <f>Database!GAH5</f>
        <v>0</v>
      </c>
      <c r="FZP3">
        <f>Database!GAI5</f>
        <v>0</v>
      </c>
      <c r="FZQ3">
        <f>Database!GAJ5</f>
        <v>0</v>
      </c>
      <c r="FZR3">
        <f>Database!GAK5</f>
        <v>0</v>
      </c>
      <c r="FZS3">
        <f>Database!GAL5</f>
        <v>0</v>
      </c>
      <c r="FZT3">
        <f>Database!GAM5</f>
        <v>0</v>
      </c>
      <c r="FZU3">
        <f>Database!GAN5</f>
        <v>0</v>
      </c>
      <c r="FZV3">
        <f>Database!GAO5</f>
        <v>0</v>
      </c>
      <c r="FZW3">
        <f>Database!GAP5</f>
        <v>0</v>
      </c>
      <c r="FZX3">
        <f>Database!GAQ5</f>
        <v>0</v>
      </c>
      <c r="FZY3">
        <f>Database!GAR5</f>
        <v>0</v>
      </c>
      <c r="FZZ3">
        <f>Database!GAS5</f>
        <v>0</v>
      </c>
      <c r="GAA3">
        <f>Database!GAT5</f>
        <v>0</v>
      </c>
      <c r="GAB3">
        <f>Database!GAU5</f>
        <v>0</v>
      </c>
      <c r="GAC3">
        <f>Database!GAV5</f>
        <v>0</v>
      </c>
      <c r="GAD3">
        <f>Database!GAW5</f>
        <v>0</v>
      </c>
      <c r="GAE3">
        <f>Database!GAX5</f>
        <v>0</v>
      </c>
      <c r="GAF3">
        <f>Database!GAY5</f>
        <v>0</v>
      </c>
      <c r="GAG3">
        <f>Database!GAZ5</f>
        <v>0</v>
      </c>
      <c r="GAH3">
        <f>Database!GBA5</f>
        <v>0</v>
      </c>
      <c r="GAI3">
        <f>Database!GBB5</f>
        <v>0</v>
      </c>
      <c r="GAJ3">
        <f>Database!GBC5</f>
        <v>0</v>
      </c>
      <c r="GAK3">
        <f>Database!GBD5</f>
        <v>0</v>
      </c>
      <c r="GAL3">
        <f>Database!GBE5</f>
        <v>0</v>
      </c>
      <c r="GAM3">
        <f>Database!GBF5</f>
        <v>0</v>
      </c>
      <c r="GAN3">
        <f>Database!GBG5</f>
        <v>0</v>
      </c>
      <c r="GAO3">
        <f>Database!GBH5</f>
        <v>0</v>
      </c>
      <c r="GAP3">
        <f>Database!GBI5</f>
        <v>0</v>
      </c>
      <c r="GAQ3">
        <f>Database!GBJ5</f>
        <v>0</v>
      </c>
      <c r="GAR3">
        <f>Database!GBK5</f>
        <v>0</v>
      </c>
      <c r="GAS3">
        <f>Database!GBL5</f>
        <v>0</v>
      </c>
      <c r="GAT3">
        <f>Database!GBM5</f>
        <v>0</v>
      </c>
      <c r="GAU3">
        <f>Database!GBN5</f>
        <v>0</v>
      </c>
      <c r="GAV3">
        <f>Database!GBO5</f>
        <v>0</v>
      </c>
      <c r="GAW3">
        <f>Database!GBP5</f>
        <v>0</v>
      </c>
      <c r="GAX3">
        <f>Database!GBQ5</f>
        <v>0</v>
      </c>
      <c r="GAY3">
        <f>Database!GBR5</f>
        <v>0</v>
      </c>
      <c r="GAZ3">
        <f>Database!GBS5</f>
        <v>0</v>
      </c>
      <c r="GBA3">
        <f>Database!GBT5</f>
        <v>0</v>
      </c>
      <c r="GBB3">
        <f>Database!GBU5</f>
        <v>0</v>
      </c>
      <c r="GBC3">
        <f>Database!GBV5</f>
        <v>0</v>
      </c>
      <c r="GBD3">
        <f>Database!GBW5</f>
        <v>0</v>
      </c>
      <c r="GBE3">
        <f>Database!GBX5</f>
        <v>0</v>
      </c>
      <c r="GBF3">
        <f>Database!GBY5</f>
        <v>0</v>
      </c>
      <c r="GBG3">
        <f>Database!GBZ5</f>
        <v>0</v>
      </c>
      <c r="GBH3">
        <f>Database!GCA5</f>
        <v>0</v>
      </c>
      <c r="GBI3">
        <f>Database!GCB5</f>
        <v>0</v>
      </c>
      <c r="GBJ3">
        <f>Database!GCC5</f>
        <v>0</v>
      </c>
      <c r="GBK3">
        <f>Database!GCD5</f>
        <v>0</v>
      </c>
      <c r="GBL3">
        <f>Database!GCE5</f>
        <v>0</v>
      </c>
      <c r="GBM3">
        <f>Database!GCF5</f>
        <v>0</v>
      </c>
      <c r="GBN3">
        <f>Database!GCG5</f>
        <v>0</v>
      </c>
      <c r="GBO3">
        <f>Database!GCH5</f>
        <v>0</v>
      </c>
      <c r="GBP3">
        <f>Database!GCI5</f>
        <v>0</v>
      </c>
      <c r="GBQ3">
        <f>Database!GCJ5</f>
        <v>0</v>
      </c>
      <c r="GBR3">
        <f>Database!GCK5</f>
        <v>0</v>
      </c>
      <c r="GBS3">
        <f>Database!GCL5</f>
        <v>0</v>
      </c>
      <c r="GBT3">
        <f>Database!GCM5</f>
        <v>0</v>
      </c>
      <c r="GBU3">
        <f>Database!GCN5</f>
        <v>0</v>
      </c>
      <c r="GBV3">
        <f>Database!GCO5</f>
        <v>0</v>
      </c>
      <c r="GBW3">
        <f>Database!GCP5</f>
        <v>0</v>
      </c>
      <c r="GBX3">
        <f>Database!GCQ5</f>
        <v>0</v>
      </c>
      <c r="GBY3">
        <f>Database!GCR5</f>
        <v>0</v>
      </c>
      <c r="GBZ3">
        <f>Database!GCS5</f>
        <v>0</v>
      </c>
      <c r="GCA3">
        <f>Database!GCT5</f>
        <v>0</v>
      </c>
      <c r="GCB3">
        <f>Database!GCU5</f>
        <v>0</v>
      </c>
      <c r="GCC3">
        <f>Database!GCV5</f>
        <v>0</v>
      </c>
      <c r="GCD3">
        <f>Database!GCW5</f>
        <v>0</v>
      </c>
      <c r="GCE3">
        <f>Database!GCX5</f>
        <v>0</v>
      </c>
      <c r="GCF3">
        <f>Database!GCY5</f>
        <v>0</v>
      </c>
      <c r="GCG3">
        <f>Database!GCZ5</f>
        <v>0</v>
      </c>
      <c r="GCH3">
        <f>Database!GDA5</f>
        <v>0</v>
      </c>
      <c r="GCI3">
        <f>Database!GDB5</f>
        <v>0</v>
      </c>
      <c r="GCJ3">
        <f>Database!GDC5</f>
        <v>0</v>
      </c>
      <c r="GCK3">
        <f>Database!GDD5</f>
        <v>0</v>
      </c>
      <c r="GCL3">
        <f>Database!GDE5</f>
        <v>0</v>
      </c>
      <c r="GCM3">
        <f>Database!GDF5</f>
        <v>0</v>
      </c>
      <c r="GCN3">
        <f>Database!GDG5</f>
        <v>0</v>
      </c>
      <c r="GCO3">
        <f>Database!GDH5</f>
        <v>0</v>
      </c>
      <c r="GCP3">
        <f>Database!GDI5</f>
        <v>0</v>
      </c>
      <c r="GCQ3">
        <f>Database!GDJ5</f>
        <v>0</v>
      </c>
      <c r="GCR3">
        <f>Database!GDK5</f>
        <v>0</v>
      </c>
      <c r="GCS3">
        <f>Database!GDL5</f>
        <v>0</v>
      </c>
      <c r="GCT3">
        <f>Database!GDM5</f>
        <v>0</v>
      </c>
      <c r="GCU3">
        <f>Database!GDN5</f>
        <v>0</v>
      </c>
      <c r="GCV3">
        <f>Database!GDO5</f>
        <v>0</v>
      </c>
      <c r="GCW3">
        <f>Database!GDP5</f>
        <v>0</v>
      </c>
      <c r="GCX3">
        <f>Database!GDQ5</f>
        <v>0</v>
      </c>
      <c r="GCY3">
        <f>Database!GDR5</f>
        <v>0</v>
      </c>
      <c r="GCZ3">
        <f>Database!GDS5</f>
        <v>0</v>
      </c>
      <c r="GDA3">
        <f>Database!GDT5</f>
        <v>0</v>
      </c>
      <c r="GDB3">
        <f>Database!GDU5</f>
        <v>0</v>
      </c>
      <c r="GDC3">
        <f>Database!GDV5</f>
        <v>0</v>
      </c>
      <c r="GDD3">
        <f>Database!GDW5</f>
        <v>0</v>
      </c>
      <c r="GDE3">
        <f>Database!GDX5</f>
        <v>0</v>
      </c>
      <c r="GDF3">
        <f>Database!GDY5</f>
        <v>0</v>
      </c>
      <c r="GDG3">
        <f>Database!GDZ5</f>
        <v>0</v>
      </c>
      <c r="GDH3">
        <f>Database!GEA5</f>
        <v>0</v>
      </c>
      <c r="GDI3">
        <f>Database!GEB5</f>
        <v>0</v>
      </c>
      <c r="GDJ3">
        <f>Database!GEC5</f>
        <v>0</v>
      </c>
      <c r="GDK3">
        <f>Database!GED5</f>
        <v>0</v>
      </c>
      <c r="GDL3">
        <f>Database!GEE5</f>
        <v>0</v>
      </c>
      <c r="GDM3">
        <f>Database!GEF5</f>
        <v>0</v>
      </c>
      <c r="GDN3">
        <f>Database!GEG5</f>
        <v>0</v>
      </c>
      <c r="GDO3">
        <f>Database!GEH5</f>
        <v>0</v>
      </c>
      <c r="GDP3">
        <f>Database!GEI5</f>
        <v>0</v>
      </c>
      <c r="GDQ3">
        <f>Database!GEJ5</f>
        <v>0</v>
      </c>
      <c r="GDR3">
        <f>Database!GEK5</f>
        <v>0</v>
      </c>
      <c r="GDS3">
        <f>Database!GEL5</f>
        <v>0</v>
      </c>
      <c r="GDT3">
        <f>Database!GEM5</f>
        <v>0</v>
      </c>
      <c r="GDU3">
        <f>Database!GEN5</f>
        <v>0</v>
      </c>
      <c r="GDV3">
        <f>Database!GEO5</f>
        <v>0</v>
      </c>
      <c r="GDW3">
        <f>Database!GEP5</f>
        <v>0</v>
      </c>
      <c r="GDX3">
        <f>Database!GEQ5</f>
        <v>0</v>
      </c>
      <c r="GDY3">
        <f>Database!GER5</f>
        <v>0</v>
      </c>
      <c r="GDZ3">
        <f>Database!GES5</f>
        <v>0</v>
      </c>
      <c r="GEA3">
        <f>Database!GET5</f>
        <v>0</v>
      </c>
      <c r="GEB3">
        <f>Database!GEU5</f>
        <v>0</v>
      </c>
      <c r="GEC3">
        <f>Database!GEV5</f>
        <v>0</v>
      </c>
      <c r="GED3">
        <f>Database!GEW5</f>
        <v>0</v>
      </c>
      <c r="GEE3">
        <f>Database!GEX5</f>
        <v>0</v>
      </c>
      <c r="GEF3">
        <f>Database!GEY5</f>
        <v>0</v>
      </c>
      <c r="GEG3">
        <f>Database!GEZ5</f>
        <v>0</v>
      </c>
      <c r="GEH3">
        <f>Database!GFA5</f>
        <v>0</v>
      </c>
      <c r="GEI3">
        <f>Database!GFB5</f>
        <v>0</v>
      </c>
      <c r="GEJ3">
        <f>Database!GFC5</f>
        <v>0</v>
      </c>
      <c r="GEK3">
        <f>Database!GFD5</f>
        <v>0</v>
      </c>
      <c r="GEL3">
        <f>Database!GFE5</f>
        <v>0</v>
      </c>
      <c r="GEM3">
        <f>Database!GFF5</f>
        <v>0</v>
      </c>
      <c r="GEN3">
        <f>Database!GFG5</f>
        <v>0</v>
      </c>
      <c r="GEO3">
        <f>Database!GFH5</f>
        <v>0</v>
      </c>
      <c r="GEP3">
        <f>Database!GFI5</f>
        <v>0</v>
      </c>
      <c r="GEQ3">
        <f>Database!GFJ5</f>
        <v>0</v>
      </c>
      <c r="GER3">
        <f>Database!GFK5</f>
        <v>0</v>
      </c>
      <c r="GES3">
        <f>Database!GFL5</f>
        <v>0</v>
      </c>
      <c r="GET3">
        <f>Database!GFM5</f>
        <v>0</v>
      </c>
      <c r="GEU3">
        <f>Database!GFN5</f>
        <v>0</v>
      </c>
      <c r="GEV3">
        <f>Database!GFO5</f>
        <v>0</v>
      </c>
      <c r="GEW3">
        <f>Database!GFP5</f>
        <v>0</v>
      </c>
      <c r="GEX3">
        <f>Database!GFQ5</f>
        <v>0</v>
      </c>
      <c r="GEY3">
        <f>Database!GFR5</f>
        <v>0</v>
      </c>
      <c r="GEZ3">
        <f>Database!GFS5</f>
        <v>0</v>
      </c>
      <c r="GFA3">
        <f>Database!GFT5</f>
        <v>0</v>
      </c>
      <c r="GFB3">
        <f>Database!GFU5</f>
        <v>0</v>
      </c>
      <c r="GFC3">
        <f>Database!GFV5</f>
        <v>0</v>
      </c>
      <c r="GFD3">
        <f>Database!GFW5</f>
        <v>0</v>
      </c>
      <c r="GFE3">
        <f>Database!GFX5</f>
        <v>0</v>
      </c>
      <c r="GFF3">
        <f>Database!GFY5</f>
        <v>0</v>
      </c>
      <c r="GFG3">
        <f>Database!GFZ5</f>
        <v>0</v>
      </c>
      <c r="GFH3">
        <f>Database!GGA5</f>
        <v>0</v>
      </c>
      <c r="GFI3">
        <f>Database!GGB5</f>
        <v>0</v>
      </c>
      <c r="GFJ3">
        <f>Database!GGC5</f>
        <v>0</v>
      </c>
      <c r="GFK3">
        <f>Database!GGD5</f>
        <v>0</v>
      </c>
      <c r="GFL3">
        <f>Database!GGE5</f>
        <v>0</v>
      </c>
      <c r="GFM3">
        <f>Database!GGF5</f>
        <v>0</v>
      </c>
      <c r="GFN3">
        <f>Database!GGG5</f>
        <v>0</v>
      </c>
      <c r="GFO3">
        <f>Database!GGH5</f>
        <v>0</v>
      </c>
      <c r="GFP3">
        <f>Database!GGI5</f>
        <v>0</v>
      </c>
      <c r="GFQ3">
        <f>Database!GGJ5</f>
        <v>0</v>
      </c>
      <c r="GFR3">
        <f>Database!GGK5</f>
        <v>0</v>
      </c>
      <c r="GFS3">
        <f>Database!GGL5</f>
        <v>0</v>
      </c>
      <c r="GFT3">
        <f>Database!GGM5</f>
        <v>0</v>
      </c>
      <c r="GFU3">
        <f>Database!GGN5</f>
        <v>0</v>
      </c>
      <c r="GFV3">
        <f>Database!GGO5</f>
        <v>0</v>
      </c>
      <c r="GFW3">
        <f>Database!GGP5</f>
        <v>0</v>
      </c>
      <c r="GFX3">
        <f>Database!GGQ5</f>
        <v>0</v>
      </c>
      <c r="GFY3">
        <f>Database!GGR5</f>
        <v>0</v>
      </c>
      <c r="GFZ3">
        <f>Database!GGS5</f>
        <v>0</v>
      </c>
      <c r="GGA3">
        <f>Database!GGT5</f>
        <v>0</v>
      </c>
      <c r="GGB3">
        <f>Database!GGU5</f>
        <v>0</v>
      </c>
      <c r="GGC3">
        <f>Database!GGV5</f>
        <v>0</v>
      </c>
      <c r="GGD3">
        <f>Database!GGW5</f>
        <v>0</v>
      </c>
      <c r="GGE3">
        <f>Database!GGX5</f>
        <v>0</v>
      </c>
      <c r="GGF3">
        <f>Database!GGY5</f>
        <v>0</v>
      </c>
      <c r="GGG3">
        <f>Database!GGZ5</f>
        <v>0</v>
      </c>
      <c r="GGH3">
        <f>Database!GHA5</f>
        <v>0</v>
      </c>
      <c r="GGI3">
        <f>Database!GHB5</f>
        <v>0</v>
      </c>
      <c r="GGJ3">
        <f>Database!GHC5</f>
        <v>0</v>
      </c>
      <c r="GGK3">
        <f>Database!GHD5</f>
        <v>0</v>
      </c>
      <c r="GGL3">
        <f>Database!GHE5</f>
        <v>0</v>
      </c>
      <c r="GGM3">
        <f>Database!GHF5</f>
        <v>0</v>
      </c>
      <c r="GGN3">
        <f>Database!GHG5</f>
        <v>0</v>
      </c>
      <c r="GGO3">
        <f>Database!GHH5</f>
        <v>0</v>
      </c>
      <c r="GGP3">
        <f>Database!GHI5</f>
        <v>0</v>
      </c>
      <c r="GGQ3">
        <f>Database!GHJ5</f>
        <v>0</v>
      </c>
      <c r="GGR3">
        <f>Database!GHK5</f>
        <v>0</v>
      </c>
      <c r="GGS3">
        <f>Database!GHL5</f>
        <v>0</v>
      </c>
      <c r="GGT3">
        <f>Database!GHM5</f>
        <v>0</v>
      </c>
      <c r="GGU3">
        <f>Database!GHN5</f>
        <v>0</v>
      </c>
      <c r="GGV3">
        <f>Database!GHO5</f>
        <v>0</v>
      </c>
      <c r="GGW3">
        <f>Database!GHP5</f>
        <v>0</v>
      </c>
      <c r="GGX3">
        <f>Database!GHQ5</f>
        <v>0</v>
      </c>
      <c r="GGY3">
        <f>Database!GHR5</f>
        <v>0</v>
      </c>
      <c r="GGZ3">
        <f>Database!GHS5</f>
        <v>0</v>
      </c>
      <c r="GHA3">
        <f>Database!GHT5</f>
        <v>0</v>
      </c>
      <c r="GHB3">
        <f>Database!GHU5</f>
        <v>0</v>
      </c>
      <c r="GHC3">
        <f>Database!GHV5</f>
        <v>0</v>
      </c>
      <c r="GHD3">
        <f>Database!GHW5</f>
        <v>0</v>
      </c>
      <c r="GHE3">
        <f>Database!GHX5</f>
        <v>0</v>
      </c>
      <c r="GHF3">
        <f>Database!GHY5</f>
        <v>0</v>
      </c>
      <c r="GHG3">
        <f>Database!GHZ5</f>
        <v>0</v>
      </c>
      <c r="GHH3">
        <f>Database!GIA5</f>
        <v>0</v>
      </c>
      <c r="GHI3">
        <f>Database!GIB5</f>
        <v>0</v>
      </c>
      <c r="GHJ3">
        <f>Database!GIC5</f>
        <v>0</v>
      </c>
      <c r="GHK3">
        <f>Database!GID5</f>
        <v>0</v>
      </c>
      <c r="GHL3">
        <f>Database!GIE5</f>
        <v>0</v>
      </c>
      <c r="GHM3">
        <f>Database!GIF5</f>
        <v>0</v>
      </c>
      <c r="GHN3">
        <f>Database!GIG5</f>
        <v>0</v>
      </c>
      <c r="GHO3">
        <f>Database!GIH5</f>
        <v>0</v>
      </c>
      <c r="GHP3">
        <f>Database!GII5</f>
        <v>0</v>
      </c>
      <c r="GHQ3">
        <f>Database!GIJ5</f>
        <v>0</v>
      </c>
      <c r="GHR3">
        <f>Database!GIK5</f>
        <v>0</v>
      </c>
      <c r="GHS3">
        <f>Database!GIL5</f>
        <v>0</v>
      </c>
      <c r="GHT3">
        <f>Database!GIM5</f>
        <v>0</v>
      </c>
      <c r="GHU3">
        <f>Database!GIN5</f>
        <v>0</v>
      </c>
      <c r="GHV3">
        <f>Database!GIO5</f>
        <v>0</v>
      </c>
      <c r="GHW3">
        <f>Database!GIP5</f>
        <v>0</v>
      </c>
      <c r="GHX3">
        <f>Database!GIQ5</f>
        <v>0</v>
      </c>
      <c r="GHY3">
        <f>Database!GIR5</f>
        <v>0</v>
      </c>
      <c r="GHZ3">
        <f>Database!GIS5</f>
        <v>0</v>
      </c>
      <c r="GIA3">
        <f>Database!GIT5</f>
        <v>0</v>
      </c>
      <c r="GIB3">
        <f>Database!GIU5</f>
        <v>0</v>
      </c>
      <c r="GIC3">
        <f>Database!GIV5</f>
        <v>0</v>
      </c>
      <c r="GID3">
        <f>Database!GIW5</f>
        <v>0</v>
      </c>
      <c r="GIE3">
        <f>Database!GIX5</f>
        <v>0</v>
      </c>
      <c r="GIF3">
        <f>Database!GIY5</f>
        <v>0</v>
      </c>
      <c r="GIG3">
        <f>Database!GIZ5</f>
        <v>0</v>
      </c>
      <c r="GIH3">
        <f>Database!GJA5</f>
        <v>0</v>
      </c>
      <c r="GII3">
        <f>Database!GJB5</f>
        <v>0</v>
      </c>
      <c r="GIJ3">
        <f>Database!GJC5</f>
        <v>0</v>
      </c>
      <c r="GIK3">
        <f>Database!GJD5</f>
        <v>0</v>
      </c>
      <c r="GIL3">
        <f>Database!GJE5</f>
        <v>0</v>
      </c>
      <c r="GIM3">
        <f>Database!GJF5</f>
        <v>0</v>
      </c>
      <c r="GIN3">
        <f>Database!GJG5</f>
        <v>0</v>
      </c>
      <c r="GIO3">
        <f>Database!GJH5</f>
        <v>0</v>
      </c>
      <c r="GIP3">
        <f>Database!GJI5</f>
        <v>0</v>
      </c>
      <c r="GIQ3">
        <f>Database!GJJ5</f>
        <v>0</v>
      </c>
      <c r="GIR3">
        <f>Database!GJK5</f>
        <v>0</v>
      </c>
      <c r="GIS3">
        <f>Database!GJL5</f>
        <v>0</v>
      </c>
      <c r="GIT3">
        <f>Database!GJM5</f>
        <v>0</v>
      </c>
      <c r="GIU3">
        <f>Database!GJN5</f>
        <v>0</v>
      </c>
      <c r="GIV3">
        <f>Database!GJO5</f>
        <v>0</v>
      </c>
      <c r="GIW3">
        <f>Database!GJP5</f>
        <v>0</v>
      </c>
      <c r="GIX3">
        <f>Database!GJQ5</f>
        <v>0</v>
      </c>
      <c r="GIY3">
        <f>Database!GJR5</f>
        <v>0</v>
      </c>
      <c r="GIZ3">
        <f>Database!GJS5</f>
        <v>0</v>
      </c>
      <c r="GJA3">
        <f>Database!GJT5</f>
        <v>0</v>
      </c>
      <c r="GJB3">
        <f>Database!GJU5</f>
        <v>0</v>
      </c>
      <c r="GJC3">
        <f>Database!GJV5</f>
        <v>0</v>
      </c>
      <c r="GJD3">
        <f>Database!GJW5</f>
        <v>0</v>
      </c>
      <c r="GJE3">
        <f>Database!GJX5</f>
        <v>0</v>
      </c>
      <c r="GJF3">
        <f>Database!GJY5</f>
        <v>0</v>
      </c>
      <c r="GJG3">
        <f>Database!GJZ5</f>
        <v>0</v>
      </c>
      <c r="GJH3">
        <f>Database!GKA5</f>
        <v>0</v>
      </c>
      <c r="GJI3">
        <f>Database!GKB5</f>
        <v>0</v>
      </c>
      <c r="GJJ3">
        <f>Database!GKC5</f>
        <v>0</v>
      </c>
      <c r="GJK3">
        <f>Database!GKD5</f>
        <v>0</v>
      </c>
      <c r="GJL3">
        <f>Database!GKE5</f>
        <v>0</v>
      </c>
      <c r="GJM3">
        <f>Database!GKF5</f>
        <v>0</v>
      </c>
      <c r="GJN3">
        <f>Database!GKG5</f>
        <v>0</v>
      </c>
      <c r="GJO3">
        <f>Database!GKH5</f>
        <v>0</v>
      </c>
      <c r="GJP3">
        <f>Database!GKI5</f>
        <v>0</v>
      </c>
      <c r="GJQ3">
        <f>Database!GKJ5</f>
        <v>0</v>
      </c>
      <c r="GJR3">
        <f>Database!GKK5</f>
        <v>0</v>
      </c>
      <c r="GJS3">
        <f>Database!GKL5</f>
        <v>0</v>
      </c>
      <c r="GJT3">
        <f>Database!GKM5</f>
        <v>0</v>
      </c>
      <c r="GJU3">
        <f>Database!GKN5</f>
        <v>0</v>
      </c>
      <c r="GJV3">
        <f>Database!GKO5</f>
        <v>0</v>
      </c>
      <c r="GJW3">
        <f>Database!GKP5</f>
        <v>0</v>
      </c>
      <c r="GJX3">
        <f>Database!GKQ5</f>
        <v>0</v>
      </c>
      <c r="GJY3">
        <f>Database!GKR5</f>
        <v>0</v>
      </c>
      <c r="GJZ3">
        <f>Database!GKS5</f>
        <v>0</v>
      </c>
      <c r="GKA3">
        <f>Database!GKT5</f>
        <v>0</v>
      </c>
      <c r="GKB3">
        <f>Database!GKU5</f>
        <v>0</v>
      </c>
      <c r="GKC3">
        <f>Database!GKV5</f>
        <v>0</v>
      </c>
      <c r="GKD3">
        <f>Database!GKW5</f>
        <v>0</v>
      </c>
      <c r="GKE3">
        <f>Database!GKX5</f>
        <v>0</v>
      </c>
      <c r="GKF3">
        <f>Database!GKY5</f>
        <v>0</v>
      </c>
      <c r="GKG3">
        <f>Database!GKZ5</f>
        <v>0</v>
      </c>
      <c r="GKH3">
        <f>Database!GLA5</f>
        <v>0</v>
      </c>
      <c r="GKI3">
        <f>Database!GLB5</f>
        <v>0</v>
      </c>
      <c r="GKJ3">
        <f>Database!GLC5</f>
        <v>0</v>
      </c>
      <c r="GKK3">
        <f>Database!GLD5</f>
        <v>0</v>
      </c>
      <c r="GKL3">
        <f>Database!GLE5</f>
        <v>0</v>
      </c>
      <c r="GKM3">
        <f>Database!GLF5</f>
        <v>0</v>
      </c>
      <c r="GKN3">
        <f>Database!GLG5</f>
        <v>0</v>
      </c>
      <c r="GKO3">
        <f>Database!GLH5</f>
        <v>0</v>
      </c>
      <c r="GKP3">
        <f>Database!GLI5</f>
        <v>0</v>
      </c>
      <c r="GKQ3">
        <f>Database!GLJ5</f>
        <v>0</v>
      </c>
      <c r="GKR3">
        <f>Database!GLK5</f>
        <v>0</v>
      </c>
      <c r="GKS3">
        <f>Database!GLL5</f>
        <v>0</v>
      </c>
      <c r="GKT3">
        <f>Database!GLM5</f>
        <v>0</v>
      </c>
      <c r="GKU3">
        <f>Database!GLN5</f>
        <v>0</v>
      </c>
      <c r="GKV3">
        <f>Database!GLO5</f>
        <v>0</v>
      </c>
      <c r="GKW3">
        <f>Database!GLP5</f>
        <v>0</v>
      </c>
      <c r="GKX3">
        <f>Database!GLQ5</f>
        <v>0</v>
      </c>
      <c r="GKY3">
        <f>Database!GLR5</f>
        <v>0</v>
      </c>
      <c r="GKZ3">
        <f>Database!GLS5</f>
        <v>0</v>
      </c>
      <c r="GLA3">
        <f>Database!GLT5</f>
        <v>0</v>
      </c>
      <c r="GLB3">
        <f>Database!GLU5</f>
        <v>0</v>
      </c>
      <c r="GLC3">
        <f>Database!GLV5</f>
        <v>0</v>
      </c>
      <c r="GLD3">
        <f>Database!GLW5</f>
        <v>0</v>
      </c>
      <c r="GLE3">
        <f>Database!GLX5</f>
        <v>0</v>
      </c>
      <c r="GLF3">
        <f>Database!GLY5</f>
        <v>0</v>
      </c>
      <c r="GLG3">
        <f>Database!GLZ5</f>
        <v>0</v>
      </c>
      <c r="GLH3">
        <f>Database!GMA5</f>
        <v>0</v>
      </c>
      <c r="GLI3">
        <f>Database!GMB5</f>
        <v>0</v>
      </c>
      <c r="GLJ3">
        <f>Database!GMC5</f>
        <v>0</v>
      </c>
      <c r="GLK3">
        <f>Database!GMD5</f>
        <v>0</v>
      </c>
      <c r="GLL3">
        <f>Database!GME5</f>
        <v>0</v>
      </c>
      <c r="GLM3">
        <f>Database!GMF5</f>
        <v>0</v>
      </c>
      <c r="GLN3">
        <f>Database!GMG5</f>
        <v>0</v>
      </c>
      <c r="GLO3">
        <f>Database!GMH5</f>
        <v>0</v>
      </c>
      <c r="GLP3">
        <f>Database!GMI5</f>
        <v>0</v>
      </c>
      <c r="GLQ3">
        <f>Database!GMJ5</f>
        <v>0</v>
      </c>
      <c r="GLR3">
        <f>Database!GMK5</f>
        <v>0</v>
      </c>
      <c r="GLS3">
        <f>Database!GML5</f>
        <v>0</v>
      </c>
      <c r="GLT3">
        <f>Database!GMM5</f>
        <v>0</v>
      </c>
      <c r="GLU3">
        <f>Database!GMN5</f>
        <v>0</v>
      </c>
      <c r="GLV3">
        <f>Database!GMO5</f>
        <v>0</v>
      </c>
      <c r="GLW3">
        <f>Database!GMP5</f>
        <v>0</v>
      </c>
      <c r="GLX3">
        <f>Database!GMQ5</f>
        <v>0</v>
      </c>
      <c r="GLY3">
        <f>Database!GMR5</f>
        <v>0</v>
      </c>
      <c r="GLZ3">
        <f>Database!GMS5</f>
        <v>0</v>
      </c>
      <c r="GMA3">
        <f>Database!GMT5</f>
        <v>0</v>
      </c>
      <c r="GMB3">
        <f>Database!GMU5</f>
        <v>0</v>
      </c>
      <c r="GMC3">
        <f>Database!GMV5</f>
        <v>0</v>
      </c>
      <c r="GMD3">
        <f>Database!GMW5</f>
        <v>0</v>
      </c>
      <c r="GME3">
        <f>Database!GMX5</f>
        <v>0</v>
      </c>
      <c r="GMF3">
        <f>Database!GMY5</f>
        <v>0</v>
      </c>
      <c r="GMG3">
        <f>Database!GMZ5</f>
        <v>0</v>
      </c>
      <c r="GMH3">
        <f>Database!GNA5</f>
        <v>0</v>
      </c>
      <c r="GMI3">
        <f>Database!GNB5</f>
        <v>0</v>
      </c>
      <c r="GMJ3">
        <f>Database!GNC5</f>
        <v>0</v>
      </c>
      <c r="GMK3">
        <f>Database!GND5</f>
        <v>0</v>
      </c>
      <c r="GML3">
        <f>Database!GNE5</f>
        <v>0</v>
      </c>
      <c r="GMM3">
        <f>Database!GNF5</f>
        <v>0</v>
      </c>
      <c r="GMN3">
        <f>Database!GNG5</f>
        <v>0</v>
      </c>
      <c r="GMO3">
        <f>Database!GNH5</f>
        <v>0</v>
      </c>
      <c r="GMP3">
        <f>Database!GNI5</f>
        <v>0</v>
      </c>
      <c r="GMQ3">
        <f>Database!GNJ5</f>
        <v>0</v>
      </c>
      <c r="GMR3">
        <f>Database!GNK5</f>
        <v>0</v>
      </c>
      <c r="GMS3">
        <f>Database!GNL5</f>
        <v>0</v>
      </c>
      <c r="GMT3">
        <f>Database!GNM5</f>
        <v>0</v>
      </c>
      <c r="GMU3">
        <f>Database!GNN5</f>
        <v>0</v>
      </c>
      <c r="GMV3">
        <f>Database!GNO5</f>
        <v>0</v>
      </c>
      <c r="GMW3">
        <f>Database!GNP5</f>
        <v>0</v>
      </c>
      <c r="GMX3">
        <f>Database!GNQ5</f>
        <v>0</v>
      </c>
      <c r="GMY3">
        <f>Database!GNR5</f>
        <v>0</v>
      </c>
      <c r="GMZ3">
        <f>Database!GNS5</f>
        <v>0</v>
      </c>
      <c r="GNA3">
        <f>Database!GNT5</f>
        <v>0</v>
      </c>
      <c r="GNB3">
        <f>Database!GNU5</f>
        <v>0</v>
      </c>
      <c r="GNC3">
        <f>Database!GNV5</f>
        <v>0</v>
      </c>
      <c r="GND3">
        <f>Database!GNW5</f>
        <v>0</v>
      </c>
      <c r="GNE3">
        <f>Database!GNX5</f>
        <v>0</v>
      </c>
      <c r="GNF3">
        <f>Database!GNY5</f>
        <v>0</v>
      </c>
      <c r="GNG3">
        <f>Database!GNZ5</f>
        <v>0</v>
      </c>
      <c r="GNH3">
        <f>Database!GOA5</f>
        <v>0</v>
      </c>
      <c r="GNI3">
        <f>Database!GOB5</f>
        <v>0</v>
      </c>
      <c r="GNJ3">
        <f>Database!GOC5</f>
        <v>0</v>
      </c>
      <c r="GNK3">
        <f>Database!GOD5</f>
        <v>0</v>
      </c>
      <c r="GNL3">
        <f>Database!GOE5</f>
        <v>0</v>
      </c>
      <c r="GNM3">
        <f>Database!GOF5</f>
        <v>0</v>
      </c>
      <c r="GNN3">
        <f>Database!GOG5</f>
        <v>0</v>
      </c>
      <c r="GNO3">
        <f>Database!GOH5</f>
        <v>0</v>
      </c>
      <c r="GNP3">
        <f>Database!GOI5</f>
        <v>0</v>
      </c>
      <c r="GNQ3">
        <f>Database!GOJ5</f>
        <v>0</v>
      </c>
      <c r="GNR3">
        <f>Database!GOK5</f>
        <v>0</v>
      </c>
      <c r="GNS3">
        <f>Database!GOL5</f>
        <v>0</v>
      </c>
      <c r="GNT3">
        <f>Database!GOM5</f>
        <v>0</v>
      </c>
      <c r="GNU3">
        <f>Database!GON5</f>
        <v>0</v>
      </c>
      <c r="GNV3">
        <f>Database!GOO5</f>
        <v>0</v>
      </c>
      <c r="GNW3">
        <f>Database!GOP5</f>
        <v>0</v>
      </c>
      <c r="GNX3">
        <f>Database!GOQ5</f>
        <v>0</v>
      </c>
      <c r="GNY3">
        <f>Database!GOR5</f>
        <v>0</v>
      </c>
      <c r="GNZ3">
        <f>Database!GOS5</f>
        <v>0</v>
      </c>
      <c r="GOA3">
        <f>Database!GOT5</f>
        <v>0</v>
      </c>
      <c r="GOB3">
        <f>Database!GOU5</f>
        <v>0</v>
      </c>
      <c r="GOC3">
        <f>Database!GOV5</f>
        <v>0</v>
      </c>
      <c r="GOD3">
        <f>Database!GOW5</f>
        <v>0</v>
      </c>
      <c r="GOE3">
        <f>Database!GOX5</f>
        <v>0</v>
      </c>
      <c r="GOF3">
        <f>Database!GOY5</f>
        <v>0</v>
      </c>
      <c r="GOG3">
        <f>Database!GOZ5</f>
        <v>0</v>
      </c>
      <c r="GOH3">
        <f>Database!GPA5</f>
        <v>0</v>
      </c>
      <c r="GOI3">
        <f>Database!GPB5</f>
        <v>0</v>
      </c>
      <c r="GOJ3">
        <f>Database!GPC5</f>
        <v>0</v>
      </c>
      <c r="GOK3">
        <f>Database!GPD5</f>
        <v>0</v>
      </c>
      <c r="GOL3">
        <f>Database!GPE5</f>
        <v>0</v>
      </c>
      <c r="GOM3">
        <f>Database!GPF5</f>
        <v>0</v>
      </c>
      <c r="GON3">
        <f>Database!GPG5</f>
        <v>0</v>
      </c>
      <c r="GOO3">
        <f>Database!GPH5</f>
        <v>0</v>
      </c>
      <c r="GOP3">
        <f>Database!GPI5</f>
        <v>0</v>
      </c>
      <c r="GOQ3">
        <f>Database!GPJ5</f>
        <v>0</v>
      </c>
      <c r="GOR3">
        <f>Database!GPK5</f>
        <v>0</v>
      </c>
      <c r="GOS3">
        <f>Database!GPL5</f>
        <v>0</v>
      </c>
      <c r="GOT3">
        <f>Database!GPM5</f>
        <v>0</v>
      </c>
      <c r="GOU3">
        <f>Database!GPN5</f>
        <v>0</v>
      </c>
      <c r="GOV3">
        <f>Database!GPO5</f>
        <v>0</v>
      </c>
      <c r="GOW3">
        <f>Database!GPP5</f>
        <v>0</v>
      </c>
      <c r="GOX3">
        <f>Database!GPQ5</f>
        <v>0</v>
      </c>
      <c r="GOY3">
        <f>Database!GPR5</f>
        <v>0</v>
      </c>
      <c r="GOZ3">
        <f>Database!GPS5</f>
        <v>0</v>
      </c>
      <c r="GPA3">
        <f>Database!GPT5</f>
        <v>0</v>
      </c>
      <c r="GPB3">
        <f>Database!GPU5</f>
        <v>0</v>
      </c>
      <c r="GPC3">
        <f>Database!GPV5</f>
        <v>0</v>
      </c>
      <c r="GPD3">
        <f>Database!GPW5</f>
        <v>0</v>
      </c>
      <c r="GPE3">
        <f>Database!GPX5</f>
        <v>0</v>
      </c>
      <c r="GPF3">
        <f>Database!GPY5</f>
        <v>0</v>
      </c>
      <c r="GPG3">
        <f>Database!GPZ5</f>
        <v>0</v>
      </c>
      <c r="GPH3">
        <f>Database!GQA5</f>
        <v>0</v>
      </c>
      <c r="GPI3">
        <f>Database!GQB5</f>
        <v>0</v>
      </c>
      <c r="GPJ3">
        <f>Database!GQC5</f>
        <v>0</v>
      </c>
      <c r="GPK3">
        <f>Database!GQD5</f>
        <v>0</v>
      </c>
      <c r="GPL3">
        <f>Database!GQE5</f>
        <v>0</v>
      </c>
      <c r="GPM3">
        <f>Database!GQF5</f>
        <v>0</v>
      </c>
      <c r="GPN3">
        <f>Database!GQG5</f>
        <v>0</v>
      </c>
      <c r="GPO3">
        <f>Database!GQH5</f>
        <v>0</v>
      </c>
      <c r="GPP3">
        <f>Database!GQI5</f>
        <v>0</v>
      </c>
      <c r="GPQ3">
        <f>Database!GQJ5</f>
        <v>0</v>
      </c>
      <c r="GPR3">
        <f>Database!GQK5</f>
        <v>0</v>
      </c>
      <c r="GPS3">
        <f>Database!GQL5</f>
        <v>0</v>
      </c>
      <c r="GPT3">
        <f>Database!GQM5</f>
        <v>0</v>
      </c>
      <c r="GPU3">
        <f>Database!GQN5</f>
        <v>0</v>
      </c>
      <c r="GPV3">
        <f>Database!GQO5</f>
        <v>0</v>
      </c>
      <c r="GPW3">
        <f>Database!GQP5</f>
        <v>0</v>
      </c>
      <c r="GPX3">
        <f>Database!GQQ5</f>
        <v>0</v>
      </c>
      <c r="GPY3">
        <f>Database!GQR5</f>
        <v>0</v>
      </c>
      <c r="GPZ3">
        <f>Database!GQS5</f>
        <v>0</v>
      </c>
      <c r="GQA3">
        <f>Database!GQT5</f>
        <v>0</v>
      </c>
      <c r="GQB3">
        <f>Database!GQU5</f>
        <v>0</v>
      </c>
      <c r="GQC3">
        <f>Database!GQV5</f>
        <v>0</v>
      </c>
      <c r="GQD3">
        <f>Database!GQW5</f>
        <v>0</v>
      </c>
      <c r="GQE3">
        <f>Database!GQX5</f>
        <v>0</v>
      </c>
      <c r="GQF3">
        <f>Database!GQY5</f>
        <v>0</v>
      </c>
      <c r="GQG3">
        <f>Database!GQZ5</f>
        <v>0</v>
      </c>
      <c r="GQH3">
        <f>Database!GRA5</f>
        <v>0</v>
      </c>
      <c r="GQI3">
        <f>Database!GRB5</f>
        <v>0</v>
      </c>
      <c r="GQJ3">
        <f>Database!GRC5</f>
        <v>0</v>
      </c>
      <c r="GQK3">
        <f>Database!GRD5</f>
        <v>0</v>
      </c>
      <c r="GQL3">
        <f>Database!GRE5</f>
        <v>0</v>
      </c>
      <c r="GQM3">
        <f>Database!GRF5</f>
        <v>0</v>
      </c>
      <c r="GQN3">
        <f>Database!GRG5</f>
        <v>0</v>
      </c>
      <c r="GQO3">
        <f>Database!GRH5</f>
        <v>0</v>
      </c>
      <c r="GQP3">
        <f>Database!GRI5</f>
        <v>0</v>
      </c>
      <c r="GQQ3">
        <f>Database!GRJ5</f>
        <v>0</v>
      </c>
      <c r="GQR3">
        <f>Database!GRK5</f>
        <v>0</v>
      </c>
      <c r="GQS3">
        <f>Database!GRL5</f>
        <v>0</v>
      </c>
      <c r="GQT3">
        <f>Database!GRM5</f>
        <v>0</v>
      </c>
      <c r="GQU3">
        <f>Database!GRN5</f>
        <v>0</v>
      </c>
      <c r="GQV3">
        <f>Database!GRO5</f>
        <v>0</v>
      </c>
      <c r="GQW3">
        <f>Database!GRP5</f>
        <v>0</v>
      </c>
      <c r="GQX3">
        <f>Database!GRQ5</f>
        <v>0</v>
      </c>
      <c r="GQY3">
        <f>Database!GRR5</f>
        <v>0</v>
      </c>
      <c r="GQZ3">
        <f>Database!GRS5</f>
        <v>0</v>
      </c>
      <c r="GRA3">
        <f>Database!GRT5</f>
        <v>0</v>
      </c>
      <c r="GRB3">
        <f>Database!GRU5</f>
        <v>0</v>
      </c>
      <c r="GRC3">
        <f>Database!GRV5</f>
        <v>0</v>
      </c>
      <c r="GRD3">
        <f>Database!GRW5</f>
        <v>0</v>
      </c>
      <c r="GRE3">
        <f>Database!GRX5</f>
        <v>0</v>
      </c>
      <c r="GRF3">
        <f>Database!GRY5</f>
        <v>0</v>
      </c>
      <c r="GRG3">
        <f>Database!GRZ5</f>
        <v>0</v>
      </c>
      <c r="GRH3">
        <f>Database!GSA5</f>
        <v>0</v>
      </c>
      <c r="GRI3">
        <f>Database!GSB5</f>
        <v>0</v>
      </c>
      <c r="GRJ3">
        <f>Database!GSC5</f>
        <v>0</v>
      </c>
      <c r="GRK3">
        <f>Database!GSD5</f>
        <v>0</v>
      </c>
      <c r="GRL3">
        <f>Database!GSE5</f>
        <v>0</v>
      </c>
      <c r="GRM3">
        <f>Database!GSF5</f>
        <v>0</v>
      </c>
      <c r="GRN3">
        <f>Database!GSG5</f>
        <v>0</v>
      </c>
      <c r="GRO3">
        <f>Database!GSH5</f>
        <v>0</v>
      </c>
      <c r="GRP3">
        <f>Database!GSI5</f>
        <v>0</v>
      </c>
      <c r="GRQ3">
        <f>Database!GSJ5</f>
        <v>0</v>
      </c>
      <c r="GRR3">
        <f>Database!GSK5</f>
        <v>0</v>
      </c>
      <c r="GRS3">
        <f>Database!GSL5</f>
        <v>0</v>
      </c>
      <c r="GRT3">
        <f>Database!GSM5</f>
        <v>0</v>
      </c>
      <c r="GRU3">
        <f>Database!GSN5</f>
        <v>0</v>
      </c>
      <c r="GRV3">
        <f>Database!GSO5</f>
        <v>0</v>
      </c>
      <c r="GRW3">
        <f>Database!GSP5</f>
        <v>0</v>
      </c>
      <c r="GRX3">
        <f>Database!GSQ5</f>
        <v>0</v>
      </c>
      <c r="GRY3">
        <f>Database!GSR5</f>
        <v>0</v>
      </c>
      <c r="GRZ3">
        <f>Database!GSS5</f>
        <v>0</v>
      </c>
      <c r="GSA3">
        <f>Database!GST5</f>
        <v>0</v>
      </c>
      <c r="GSB3">
        <f>Database!GSU5</f>
        <v>0</v>
      </c>
      <c r="GSC3">
        <f>Database!GSV5</f>
        <v>0</v>
      </c>
      <c r="GSD3">
        <f>Database!GSW5</f>
        <v>0</v>
      </c>
      <c r="GSE3">
        <f>Database!GSX5</f>
        <v>0</v>
      </c>
      <c r="GSF3">
        <f>Database!GSY5</f>
        <v>0</v>
      </c>
      <c r="GSG3">
        <f>Database!GSZ5</f>
        <v>0</v>
      </c>
      <c r="GSH3">
        <f>Database!GTA5</f>
        <v>0</v>
      </c>
      <c r="GSI3">
        <f>Database!GTB5</f>
        <v>0</v>
      </c>
      <c r="GSJ3">
        <f>Database!GTC5</f>
        <v>0</v>
      </c>
      <c r="GSK3">
        <f>Database!GTD5</f>
        <v>0</v>
      </c>
      <c r="GSL3">
        <f>Database!GTE5</f>
        <v>0</v>
      </c>
      <c r="GSM3">
        <f>Database!GTF5</f>
        <v>0</v>
      </c>
      <c r="GSN3">
        <f>Database!GTG5</f>
        <v>0</v>
      </c>
      <c r="GSO3">
        <f>Database!GTH5</f>
        <v>0</v>
      </c>
      <c r="GSP3">
        <f>Database!GTI5</f>
        <v>0</v>
      </c>
      <c r="GSQ3">
        <f>Database!GTJ5</f>
        <v>0</v>
      </c>
      <c r="GSR3">
        <f>Database!GTK5</f>
        <v>0</v>
      </c>
      <c r="GSS3">
        <f>Database!GTL5</f>
        <v>0</v>
      </c>
      <c r="GST3">
        <f>Database!GTM5</f>
        <v>0</v>
      </c>
      <c r="GSU3">
        <f>Database!GTN5</f>
        <v>0</v>
      </c>
      <c r="GSV3">
        <f>Database!GTO5</f>
        <v>0</v>
      </c>
      <c r="GSW3">
        <f>Database!GTP5</f>
        <v>0</v>
      </c>
      <c r="GSX3">
        <f>Database!GTQ5</f>
        <v>0</v>
      </c>
      <c r="GSY3">
        <f>Database!GTR5</f>
        <v>0</v>
      </c>
      <c r="GSZ3">
        <f>Database!GTS5</f>
        <v>0</v>
      </c>
      <c r="GTA3">
        <f>Database!GTT5</f>
        <v>0</v>
      </c>
      <c r="GTB3">
        <f>Database!GTU5</f>
        <v>0</v>
      </c>
      <c r="GTC3">
        <f>Database!GTV5</f>
        <v>0</v>
      </c>
      <c r="GTD3">
        <f>Database!GTW5</f>
        <v>0</v>
      </c>
      <c r="GTE3">
        <f>Database!GTX5</f>
        <v>0</v>
      </c>
      <c r="GTF3">
        <f>Database!GTY5</f>
        <v>0</v>
      </c>
      <c r="GTG3">
        <f>Database!GTZ5</f>
        <v>0</v>
      </c>
      <c r="GTH3">
        <f>Database!GUA5</f>
        <v>0</v>
      </c>
      <c r="GTI3">
        <f>Database!GUB5</f>
        <v>0</v>
      </c>
      <c r="GTJ3">
        <f>Database!GUC5</f>
        <v>0</v>
      </c>
      <c r="GTK3">
        <f>Database!GUD5</f>
        <v>0</v>
      </c>
      <c r="GTL3">
        <f>Database!GUE5</f>
        <v>0</v>
      </c>
      <c r="GTM3">
        <f>Database!GUF5</f>
        <v>0</v>
      </c>
      <c r="GTN3">
        <f>Database!GUG5</f>
        <v>0</v>
      </c>
      <c r="GTO3">
        <f>Database!GUH5</f>
        <v>0</v>
      </c>
      <c r="GTP3">
        <f>Database!GUI5</f>
        <v>0</v>
      </c>
      <c r="GTQ3">
        <f>Database!GUJ5</f>
        <v>0</v>
      </c>
      <c r="GTR3">
        <f>Database!GUK5</f>
        <v>0</v>
      </c>
      <c r="GTS3">
        <f>Database!GUL5</f>
        <v>0</v>
      </c>
      <c r="GTT3">
        <f>Database!GUM5</f>
        <v>0</v>
      </c>
      <c r="GTU3">
        <f>Database!GUN5</f>
        <v>0</v>
      </c>
      <c r="GTV3">
        <f>Database!GUO5</f>
        <v>0</v>
      </c>
      <c r="GTW3">
        <f>Database!GUP5</f>
        <v>0</v>
      </c>
      <c r="GTX3">
        <f>Database!GUQ5</f>
        <v>0</v>
      </c>
      <c r="GTY3">
        <f>Database!GUR5</f>
        <v>0</v>
      </c>
      <c r="GTZ3">
        <f>Database!GUS5</f>
        <v>0</v>
      </c>
      <c r="GUA3">
        <f>Database!GUT5</f>
        <v>0</v>
      </c>
      <c r="GUB3">
        <f>Database!GUU5</f>
        <v>0</v>
      </c>
      <c r="GUC3">
        <f>Database!GUV5</f>
        <v>0</v>
      </c>
      <c r="GUD3">
        <f>Database!GUW5</f>
        <v>0</v>
      </c>
      <c r="GUE3">
        <f>Database!GUX5</f>
        <v>0</v>
      </c>
      <c r="GUF3">
        <f>Database!GUY5</f>
        <v>0</v>
      </c>
      <c r="GUG3">
        <f>Database!GUZ5</f>
        <v>0</v>
      </c>
      <c r="GUH3">
        <f>Database!GVA5</f>
        <v>0</v>
      </c>
      <c r="GUI3">
        <f>Database!GVB5</f>
        <v>0</v>
      </c>
      <c r="GUJ3">
        <f>Database!GVC5</f>
        <v>0</v>
      </c>
      <c r="GUK3">
        <f>Database!GVD5</f>
        <v>0</v>
      </c>
      <c r="GUL3">
        <f>Database!GVE5</f>
        <v>0</v>
      </c>
      <c r="GUM3">
        <f>Database!GVF5</f>
        <v>0</v>
      </c>
      <c r="GUN3">
        <f>Database!GVG5</f>
        <v>0</v>
      </c>
      <c r="GUO3">
        <f>Database!GVH5</f>
        <v>0</v>
      </c>
      <c r="GUP3">
        <f>Database!GVI5</f>
        <v>0</v>
      </c>
      <c r="GUQ3">
        <f>Database!GVJ5</f>
        <v>0</v>
      </c>
      <c r="GUR3">
        <f>Database!GVK5</f>
        <v>0</v>
      </c>
      <c r="GUS3">
        <f>Database!GVL5</f>
        <v>0</v>
      </c>
      <c r="GUT3">
        <f>Database!GVM5</f>
        <v>0</v>
      </c>
      <c r="GUU3">
        <f>Database!GVN5</f>
        <v>0</v>
      </c>
      <c r="GUV3">
        <f>Database!GVO5</f>
        <v>0</v>
      </c>
      <c r="GUW3">
        <f>Database!GVP5</f>
        <v>0</v>
      </c>
      <c r="GUX3">
        <f>Database!GVQ5</f>
        <v>0</v>
      </c>
      <c r="GUY3">
        <f>Database!GVR5</f>
        <v>0</v>
      </c>
      <c r="GUZ3">
        <f>Database!GVS5</f>
        <v>0</v>
      </c>
      <c r="GVA3">
        <f>Database!GVT5</f>
        <v>0</v>
      </c>
      <c r="GVB3">
        <f>Database!GVU5</f>
        <v>0</v>
      </c>
      <c r="GVC3">
        <f>Database!GVV5</f>
        <v>0</v>
      </c>
      <c r="GVD3">
        <f>Database!GVW5</f>
        <v>0</v>
      </c>
      <c r="GVE3">
        <f>Database!GVX5</f>
        <v>0</v>
      </c>
      <c r="GVF3">
        <f>Database!GVY5</f>
        <v>0</v>
      </c>
      <c r="GVG3">
        <f>Database!GVZ5</f>
        <v>0</v>
      </c>
      <c r="GVH3">
        <f>Database!GWA5</f>
        <v>0</v>
      </c>
      <c r="GVI3">
        <f>Database!GWB5</f>
        <v>0</v>
      </c>
      <c r="GVJ3">
        <f>Database!GWC5</f>
        <v>0</v>
      </c>
      <c r="GVK3">
        <f>Database!GWD5</f>
        <v>0</v>
      </c>
      <c r="GVL3">
        <f>Database!GWE5</f>
        <v>0</v>
      </c>
      <c r="GVM3">
        <f>Database!GWF5</f>
        <v>0</v>
      </c>
      <c r="GVN3">
        <f>Database!GWG5</f>
        <v>0</v>
      </c>
      <c r="GVO3">
        <f>Database!GWH5</f>
        <v>0</v>
      </c>
      <c r="GVP3">
        <f>Database!GWI5</f>
        <v>0</v>
      </c>
      <c r="GVQ3">
        <f>Database!GWJ5</f>
        <v>0</v>
      </c>
      <c r="GVR3">
        <f>Database!GWK5</f>
        <v>0</v>
      </c>
      <c r="GVS3">
        <f>Database!GWL5</f>
        <v>0</v>
      </c>
      <c r="GVT3">
        <f>Database!GWM5</f>
        <v>0</v>
      </c>
      <c r="GVU3">
        <f>Database!GWN5</f>
        <v>0</v>
      </c>
      <c r="GVV3">
        <f>Database!GWO5</f>
        <v>0</v>
      </c>
      <c r="GVW3">
        <f>Database!GWP5</f>
        <v>0</v>
      </c>
      <c r="GVX3">
        <f>Database!GWQ5</f>
        <v>0</v>
      </c>
      <c r="GVY3">
        <f>Database!GWR5</f>
        <v>0</v>
      </c>
      <c r="GVZ3">
        <f>Database!GWS5</f>
        <v>0</v>
      </c>
      <c r="GWA3">
        <f>Database!GWT5</f>
        <v>0</v>
      </c>
      <c r="GWB3">
        <f>Database!GWU5</f>
        <v>0</v>
      </c>
      <c r="GWC3">
        <f>Database!GWV5</f>
        <v>0</v>
      </c>
      <c r="GWD3">
        <f>Database!GWW5</f>
        <v>0</v>
      </c>
      <c r="GWE3">
        <f>Database!GWX5</f>
        <v>0</v>
      </c>
      <c r="GWF3">
        <f>Database!GWY5</f>
        <v>0</v>
      </c>
      <c r="GWG3">
        <f>Database!GWZ5</f>
        <v>0</v>
      </c>
      <c r="GWH3">
        <f>Database!GXA5</f>
        <v>0</v>
      </c>
      <c r="GWI3">
        <f>Database!GXB5</f>
        <v>0</v>
      </c>
      <c r="GWJ3">
        <f>Database!GXC5</f>
        <v>0</v>
      </c>
      <c r="GWK3">
        <f>Database!GXD5</f>
        <v>0</v>
      </c>
      <c r="GWL3">
        <f>Database!GXE5</f>
        <v>0</v>
      </c>
      <c r="GWM3">
        <f>Database!GXF5</f>
        <v>0</v>
      </c>
      <c r="GWN3">
        <f>Database!GXG5</f>
        <v>0</v>
      </c>
      <c r="GWO3">
        <f>Database!GXH5</f>
        <v>0</v>
      </c>
      <c r="GWP3">
        <f>Database!GXI5</f>
        <v>0</v>
      </c>
      <c r="GWQ3">
        <f>Database!GXJ5</f>
        <v>0</v>
      </c>
      <c r="GWR3">
        <f>Database!GXK5</f>
        <v>0</v>
      </c>
      <c r="GWS3">
        <f>Database!GXL5</f>
        <v>0</v>
      </c>
      <c r="GWT3">
        <f>Database!GXM5</f>
        <v>0</v>
      </c>
      <c r="GWU3">
        <f>Database!GXN5</f>
        <v>0</v>
      </c>
      <c r="GWV3">
        <f>Database!GXO5</f>
        <v>0</v>
      </c>
      <c r="GWW3">
        <f>Database!GXP5</f>
        <v>0</v>
      </c>
      <c r="GWX3">
        <f>Database!GXQ5</f>
        <v>0</v>
      </c>
      <c r="GWY3">
        <f>Database!GXR5</f>
        <v>0</v>
      </c>
      <c r="GWZ3">
        <f>Database!GXS5</f>
        <v>0</v>
      </c>
      <c r="GXA3">
        <f>Database!GXT5</f>
        <v>0</v>
      </c>
      <c r="GXB3">
        <f>Database!GXU5</f>
        <v>0</v>
      </c>
      <c r="GXC3">
        <f>Database!GXV5</f>
        <v>0</v>
      </c>
      <c r="GXD3">
        <f>Database!GXW5</f>
        <v>0</v>
      </c>
      <c r="GXE3">
        <f>Database!GXX5</f>
        <v>0</v>
      </c>
      <c r="GXF3">
        <f>Database!GXY5</f>
        <v>0</v>
      </c>
      <c r="GXG3">
        <f>Database!GXZ5</f>
        <v>0</v>
      </c>
      <c r="GXH3">
        <f>Database!GYA5</f>
        <v>0</v>
      </c>
      <c r="GXI3">
        <f>Database!GYB5</f>
        <v>0</v>
      </c>
      <c r="GXJ3">
        <f>Database!GYC5</f>
        <v>0</v>
      </c>
      <c r="GXK3">
        <f>Database!GYD5</f>
        <v>0</v>
      </c>
      <c r="GXL3">
        <f>Database!GYE5</f>
        <v>0</v>
      </c>
      <c r="GXM3">
        <f>Database!GYF5</f>
        <v>0</v>
      </c>
      <c r="GXN3">
        <f>Database!GYG5</f>
        <v>0</v>
      </c>
      <c r="GXO3">
        <f>Database!GYH5</f>
        <v>0</v>
      </c>
      <c r="GXP3">
        <f>Database!GYI5</f>
        <v>0</v>
      </c>
      <c r="GXQ3">
        <f>Database!GYJ5</f>
        <v>0</v>
      </c>
      <c r="GXR3">
        <f>Database!GYK5</f>
        <v>0</v>
      </c>
      <c r="GXS3">
        <f>Database!GYL5</f>
        <v>0</v>
      </c>
      <c r="GXT3">
        <f>Database!GYM5</f>
        <v>0</v>
      </c>
      <c r="GXU3">
        <f>Database!GYN5</f>
        <v>0</v>
      </c>
      <c r="GXV3">
        <f>Database!GYO5</f>
        <v>0</v>
      </c>
      <c r="GXW3">
        <f>Database!GYP5</f>
        <v>0</v>
      </c>
      <c r="GXX3">
        <f>Database!GYQ5</f>
        <v>0</v>
      </c>
      <c r="GXY3">
        <f>Database!GYR5</f>
        <v>0</v>
      </c>
      <c r="GXZ3">
        <f>Database!GYS5</f>
        <v>0</v>
      </c>
      <c r="GYA3">
        <f>Database!GYT5</f>
        <v>0</v>
      </c>
      <c r="GYB3">
        <f>Database!GYU5</f>
        <v>0</v>
      </c>
      <c r="GYC3">
        <f>Database!GYV5</f>
        <v>0</v>
      </c>
      <c r="GYD3">
        <f>Database!GYW5</f>
        <v>0</v>
      </c>
      <c r="GYE3">
        <f>Database!GYX5</f>
        <v>0</v>
      </c>
      <c r="GYF3">
        <f>Database!GYY5</f>
        <v>0</v>
      </c>
      <c r="GYG3">
        <f>Database!GYZ5</f>
        <v>0</v>
      </c>
      <c r="GYH3">
        <f>Database!GZA5</f>
        <v>0</v>
      </c>
      <c r="GYI3">
        <f>Database!GZB5</f>
        <v>0</v>
      </c>
      <c r="GYJ3">
        <f>Database!GZC5</f>
        <v>0</v>
      </c>
      <c r="GYK3">
        <f>Database!GZD5</f>
        <v>0</v>
      </c>
      <c r="GYL3">
        <f>Database!GZE5</f>
        <v>0</v>
      </c>
      <c r="GYM3">
        <f>Database!GZF5</f>
        <v>0</v>
      </c>
      <c r="GYN3">
        <f>Database!GZG5</f>
        <v>0</v>
      </c>
      <c r="GYO3">
        <f>Database!GZH5</f>
        <v>0</v>
      </c>
      <c r="GYP3">
        <f>Database!GZI5</f>
        <v>0</v>
      </c>
      <c r="GYQ3">
        <f>Database!GZJ5</f>
        <v>0</v>
      </c>
      <c r="GYR3">
        <f>Database!GZK5</f>
        <v>0</v>
      </c>
      <c r="GYS3">
        <f>Database!GZL5</f>
        <v>0</v>
      </c>
      <c r="GYT3">
        <f>Database!GZM5</f>
        <v>0</v>
      </c>
      <c r="GYU3">
        <f>Database!GZN5</f>
        <v>0</v>
      </c>
      <c r="GYV3">
        <f>Database!GZO5</f>
        <v>0</v>
      </c>
      <c r="GYW3">
        <f>Database!GZP5</f>
        <v>0</v>
      </c>
      <c r="GYX3">
        <f>Database!GZQ5</f>
        <v>0</v>
      </c>
      <c r="GYY3">
        <f>Database!GZR5</f>
        <v>0</v>
      </c>
      <c r="GYZ3">
        <f>Database!GZS5</f>
        <v>0</v>
      </c>
      <c r="GZA3">
        <f>Database!GZT5</f>
        <v>0</v>
      </c>
      <c r="GZB3">
        <f>Database!GZU5</f>
        <v>0</v>
      </c>
      <c r="GZC3">
        <f>Database!GZV5</f>
        <v>0</v>
      </c>
      <c r="GZD3">
        <f>Database!GZW5</f>
        <v>0</v>
      </c>
      <c r="GZE3">
        <f>Database!GZX5</f>
        <v>0</v>
      </c>
      <c r="GZF3">
        <f>Database!GZY5</f>
        <v>0</v>
      </c>
      <c r="GZG3">
        <f>Database!GZZ5</f>
        <v>0</v>
      </c>
      <c r="GZH3">
        <f>Database!HAA5</f>
        <v>0</v>
      </c>
      <c r="GZI3">
        <f>Database!HAB5</f>
        <v>0</v>
      </c>
      <c r="GZJ3">
        <f>Database!HAC5</f>
        <v>0</v>
      </c>
      <c r="GZK3">
        <f>Database!HAD5</f>
        <v>0</v>
      </c>
      <c r="GZL3">
        <f>Database!HAE5</f>
        <v>0</v>
      </c>
      <c r="GZM3">
        <f>Database!HAF5</f>
        <v>0</v>
      </c>
      <c r="GZN3">
        <f>Database!HAG5</f>
        <v>0</v>
      </c>
      <c r="GZO3">
        <f>Database!HAH5</f>
        <v>0</v>
      </c>
      <c r="GZP3">
        <f>Database!HAI5</f>
        <v>0</v>
      </c>
      <c r="GZQ3">
        <f>Database!HAJ5</f>
        <v>0</v>
      </c>
      <c r="GZR3">
        <f>Database!HAK5</f>
        <v>0</v>
      </c>
      <c r="GZS3">
        <f>Database!HAL5</f>
        <v>0</v>
      </c>
      <c r="GZT3">
        <f>Database!HAM5</f>
        <v>0</v>
      </c>
      <c r="GZU3">
        <f>Database!HAN5</f>
        <v>0</v>
      </c>
      <c r="GZV3">
        <f>Database!HAO5</f>
        <v>0</v>
      </c>
      <c r="GZW3">
        <f>Database!HAP5</f>
        <v>0</v>
      </c>
      <c r="GZX3">
        <f>Database!HAQ5</f>
        <v>0</v>
      </c>
      <c r="GZY3">
        <f>Database!HAR5</f>
        <v>0</v>
      </c>
      <c r="GZZ3">
        <f>Database!HAS5</f>
        <v>0</v>
      </c>
      <c r="HAA3">
        <f>Database!HAT5</f>
        <v>0</v>
      </c>
      <c r="HAB3">
        <f>Database!HAU5</f>
        <v>0</v>
      </c>
      <c r="HAC3">
        <f>Database!HAV5</f>
        <v>0</v>
      </c>
      <c r="HAD3">
        <f>Database!HAW5</f>
        <v>0</v>
      </c>
      <c r="HAE3">
        <f>Database!HAX5</f>
        <v>0</v>
      </c>
      <c r="HAF3">
        <f>Database!HAY5</f>
        <v>0</v>
      </c>
      <c r="HAG3">
        <f>Database!HAZ5</f>
        <v>0</v>
      </c>
      <c r="HAH3">
        <f>Database!HBA5</f>
        <v>0</v>
      </c>
      <c r="HAI3">
        <f>Database!HBB5</f>
        <v>0</v>
      </c>
      <c r="HAJ3">
        <f>Database!HBC5</f>
        <v>0</v>
      </c>
      <c r="HAK3">
        <f>Database!HBD5</f>
        <v>0</v>
      </c>
      <c r="HAL3">
        <f>Database!HBE5</f>
        <v>0</v>
      </c>
      <c r="HAM3">
        <f>Database!HBF5</f>
        <v>0</v>
      </c>
      <c r="HAN3">
        <f>Database!HBG5</f>
        <v>0</v>
      </c>
      <c r="HAO3">
        <f>Database!HBH5</f>
        <v>0</v>
      </c>
      <c r="HAP3">
        <f>Database!HBI5</f>
        <v>0</v>
      </c>
      <c r="HAQ3">
        <f>Database!HBJ5</f>
        <v>0</v>
      </c>
      <c r="HAR3">
        <f>Database!HBK5</f>
        <v>0</v>
      </c>
      <c r="HAS3">
        <f>Database!HBL5</f>
        <v>0</v>
      </c>
      <c r="HAT3">
        <f>Database!HBM5</f>
        <v>0</v>
      </c>
      <c r="HAU3">
        <f>Database!HBN5</f>
        <v>0</v>
      </c>
      <c r="HAV3">
        <f>Database!HBO5</f>
        <v>0</v>
      </c>
      <c r="HAW3">
        <f>Database!HBP5</f>
        <v>0</v>
      </c>
      <c r="HAX3">
        <f>Database!HBQ5</f>
        <v>0</v>
      </c>
      <c r="HAY3">
        <f>Database!HBR5</f>
        <v>0</v>
      </c>
      <c r="HAZ3">
        <f>Database!HBS5</f>
        <v>0</v>
      </c>
      <c r="HBA3">
        <f>Database!HBT5</f>
        <v>0</v>
      </c>
      <c r="HBB3">
        <f>Database!HBU5</f>
        <v>0</v>
      </c>
      <c r="HBC3">
        <f>Database!HBV5</f>
        <v>0</v>
      </c>
      <c r="HBD3">
        <f>Database!HBW5</f>
        <v>0</v>
      </c>
      <c r="HBE3">
        <f>Database!HBX5</f>
        <v>0</v>
      </c>
      <c r="HBF3">
        <f>Database!HBY5</f>
        <v>0</v>
      </c>
      <c r="HBG3">
        <f>Database!HBZ5</f>
        <v>0</v>
      </c>
      <c r="HBH3">
        <f>Database!HCA5</f>
        <v>0</v>
      </c>
      <c r="HBI3">
        <f>Database!HCB5</f>
        <v>0</v>
      </c>
      <c r="HBJ3">
        <f>Database!HCC5</f>
        <v>0</v>
      </c>
      <c r="HBK3">
        <f>Database!HCD5</f>
        <v>0</v>
      </c>
      <c r="HBL3">
        <f>Database!HCE5</f>
        <v>0</v>
      </c>
      <c r="HBM3">
        <f>Database!HCF5</f>
        <v>0</v>
      </c>
      <c r="HBN3">
        <f>Database!HCG5</f>
        <v>0</v>
      </c>
      <c r="HBO3">
        <f>Database!HCH5</f>
        <v>0</v>
      </c>
      <c r="HBP3">
        <f>Database!HCI5</f>
        <v>0</v>
      </c>
      <c r="HBQ3">
        <f>Database!HCJ5</f>
        <v>0</v>
      </c>
      <c r="HBR3">
        <f>Database!HCK5</f>
        <v>0</v>
      </c>
      <c r="HBS3">
        <f>Database!HCL5</f>
        <v>0</v>
      </c>
      <c r="HBT3">
        <f>Database!HCM5</f>
        <v>0</v>
      </c>
      <c r="HBU3">
        <f>Database!HCN5</f>
        <v>0</v>
      </c>
      <c r="HBV3">
        <f>Database!HCO5</f>
        <v>0</v>
      </c>
      <c r="HBW3">
        <f>Database!HCP5</f>
        <v>0</v>
      </c>
      <c r="HBX3">
        <f>Database!HCQ5</f>
        <v>0</v>
      </c>
      <c r="HBY3">
        <f>Database!HCR5</f>
        <v>0</v>
      </c>
      <c r="HBZ3">
        <f>Database!HCS5</f>
        <v>0</v>
      </c>
      <c r="HCA3">
        <f>Database!HCT5</f>
        <v>0</v>
      </c>
      <c r="HCB3">
        <f>Database!HCU5</f>
        <v>0</v>
      </c>
      <c r="HCC3">
        <f>Database!HCV5</f>
        <v>0</v>
      </c>
      <c r="HCD3">
        <f>Database!HCW5</f>
        <v>0</v>
      </c>
      <c r="HCE3">
        <f>Database!HCX5</f>
        <v>0</v>
      </c>
      <c r="HCF3">
        <f>Database!HCY5</f>
        <v>0</v>
      </c>
      <c r="HCG3">
        <f>Database!HCZ5</f>
        <v>0</v>
      </c>
      <c r="HCH3">
        <f>Database!HDA5</f>
        <v>0</v>
      </c>
      <c r="HCI3">
        <f>Database!HDB5</f>
        <v>0</v>
      </c>
      <c r="HCJ3">
        <f>Database!HDC5</f>
        <v>0</v>
      </c>
      <c r="HCK3">
        <f>Database!HDD5</f>
        <v>0</v>
      </c>
      <c r="HCL3">
        <f>Database!HDE5</f>
        <v>0</v>
      </c>
      <c r="HCM3">
        <f>Database!HDF5</f>
        <v>0</v>
      </c>
      <c r="HCN3">
        <f>Database!HDG5</f>
        <v>0</v>
      </c>
      <c r="HCO3">
        <f>Database!HDH5</f>
        <v>0</v>
      </c>
      <c r="HCP3">
        <f>Database!HDI5</f>
        <v>0</v>
      </c>
      <c r="HCQ3">
        <f>Database!HDJ5</f>
        <v>0</v>
      </c>
      <c r="HCR3">
        <f>Database!HDK5</f>
        <v>0</v>
      </c>
      <c r="HCS3">
        <f>Database!HDL5</f>
        <v>0</v>
      </c>
      <c r="HCT3">
        <f>Database!HDM5</f>
        <v>0</v>
      </c>
      <c r="HCU3">
        <f>Database!HDN5</f>
        <v>0</v>
      </c>
      <c r="HCV3">
        <f>Database!HDO5</f>
        <v>0</v>
      </c>
      <c r="HCW3">
        <f>Database!HDP5</f>
        <v>0</v>
      </c>
      <c r="HCX3">
        <f>Database!HDQ5</f>
        <v>0</v>
      </c>
      <c r="HCY3">
        <f>Database!HDR5</f>
        <v>0</v>
      </c>
      <c r="HCZ3">
        <f>Database!HDS5</f>
        <v>0</v>
      </c>
      <c r="HDA3">
        <f>Database!HDT5</f>
        <v>0</v>
      </c>
      <c r="HDB3">
        <f>Database!HDU5</f>
        <v>0</v>
      </c>
      <c r="HDC3">
        <f>Database!HDV5</f>
        <v>0</v>
      </c>
      <c r="HDD3">
        <f>Database!HDW5</f>
        <v>0</v>
      </c>
      <c r="HDE3">
        <f>Database!HDX5</f>
        <v>0</v>
      </c>
      <c r="HDF3">
        <f>Database!HDY5</f>
        <v>0</v>
      </c>
      <c r="HDG3">
        <f>Database!HDZ5</f>
        <v>0</v>
      </c>
      <c r="HDH3">
        <f>Database!HEA5</f>
        <v>0</v>
      </c>
      <c r="HDI3">
        <f>Database!HEB5</f>
        <v>0</v>
      </c>
      <c r="HDJ3">
        <f>Database!HEC5</f>
        <v>0</v>
      </c>
      <c r="HDK3">
        <f>Database!HED5</f>
        <v>0</v>
      </c>
      <c r="HDL3">
        <f>Database!HEE5</f>
        <v>0</v>
      </c>
      <c r="HDM3">
        <f>Database!HEF5</f>
        <v>0</v>
      </c>
      <c r="HDN3">
        <f>Database!HEG5</f>
        <v>0</v>
      </c>
      <c r="HDO3">
        <f>Database!HEH5</f>
        <v>0</v>
      </c>
      <c r="HDP3">
        <f>Database!HEI5</f>
        <v>0</v>
      </c>
      <c r="HDQ3">
        <f>Database!HEJ5</f>
        <v>0</v>
      </c>
      <c r="HDR3">
        <f>Database!HEK5</f>
        <v>0</v>
      </c>
      <c r="HDS3">
        <f>Database!HEL5</f>
        <v>0</v>
      </c>
      <c r="HDT3">
        <f>Database!HEM5</f>
        <v>0</v>
      </c>
      <c r="HDU3">
        <f>Database!HEN5</f>
        <v>0</v>
      </c>
      <c r="HDV3">
        <f>Database!HEO5</f>
        <v>0</v>
      </c>
      <c r="HDW3">
        <f>Database!HEP5</f>
        <v>0</v>
      </c>
      <c r="HDX3">
        <f>Database!HEQ5</f>
        <v>0</v>
      </c>
      <c r="HDY3">
        <f>Database!HER5</f>
        <v>0</v>
      </c>
      <c r="HDZ3">
        <f>Database!HES5</f>
        <v>0</v>
      </c>
      <c r="HEA3">
        <f>Database!HET5</f>
        <v>0</v>
      </c>
      <c r="HEB3">
        <f>Database!HEU5</f>
        <v>0</v>
      </c>
      <c r="HEC3">
        <f>Database!HEV5</f>
        <v>0</v>
      </c>
      <c r="HED3">
        <f>Database!HEW5</f>
        <v>0</v>
      </c>
      <c r="HEE3">
        <f>Database!HEX5</f>
        <v>0</v>
      </c>
      <c r="HEF3">
        <f>Database!HEY5</f>
        <v>0</v>
      </c>
      <c r="HEG3">
        <f>Database!HEZ5</f>
        <v>0</v>
      </c>
      <c r="HEH3">
        <f>Database!HFA5</f>
        <v>0</v>
      </c>
      <c r="HEI3">
        <f>Database!HFB5</f>
        <v>0</v>
      </c>
      <c r="HEJ3">
        <f>Database!HFC5</f>
        <v>0</v>
      </c>
      <c r="HEK3">
        <f>Database!HFD5</f>
        <v>0</v>
      </c>
      <c r="HEL3">
        <f>Database!HFE5</f>
        <v>0</v>
      </c>
      <c r="HEM3">
        <f>Database!HFF5</f>
        <v>0</v>
      </c>
      <c r="HEN3">
        <f>Database!HFG5</f>
        <v>0</v>
      </c>
      <c r="HEO3">
        <f>Database!HFH5</f>
        <v>0</v>
      </c>
      <c r="HEP3">
        <f>Database!HFI5</f>
        <v>0</v>
      </c>
      <c r="HEQ3">
        <f>Database!HFJ5</f>
        <v>0</v>
      </c>
      <c r="HER3">
        <f>Database!HFK5</f>
        <v>0</v>
      </c>
      <c r="HES3">
        <f>Database!HFL5</f>
        <v>0</v>
      </c>
      <c r="HET3">
        <f>Database!HFM5</f>
        <v>0</v>
      </c>
      <c r="HEU3">
        <f>Database!HFN5</f>
        <v>0</v>
      </c>
      <c r="HEV3">
        <f>Database!HFO5</f>
        <v>0</v>
      </c>
      <c r="HEW3">
        <f>Database!HFP5</f>
        <v>0</v>
      </c>
      <c r="HEX3">
        <f>Database!HFQ5</f>
        <v>0</v>
      </c>
      <c r="HEY3">
        <f>Database!HFR5</f>
        <v>0</v>
      </c>
      <c r="HEZ3">
        <f>Database!HFS5</f>
        <v>0</v>
      </c>
      <c r="HFA3">
        <f>Database!HFT5</f>
        <v>0</v>
      </c>
      <c r="HFB3">
        <f>Database!HFU5</f>
        <v>0</v>
      </c>
      <c r="HFC3">
        <f>Database!HFV5</f>
        <v>0</v>
      </c>
      <c r="HFD3">
        <f>Database!HFW5</f>
        <v>0</v>
      </c>
      <c r="HFE3">
        <f>Database!HFX5</f>
        <v>0</v>
      </c>
      <c r="HFF3">
        <f>Database!HFY5</f>
        <v>0</v>
      </c>
      <c r="HFG3">
        <f>Database!HFZ5</f>
        <v>0</v>
      </c>
      <c r="HFH3">
        <f>Database!HGA5</f>
        <v>0</v>
      </c>
      <c r="HFI3">
        <f>Database!HGB5</f>
        <v>0</v>
      </c>
      <c r="HFJ3">
        <f>Database!HGC5</f>
        <v>0</v>
      </c>
      <c r="HFK3">
        <f>Database!HGD5</f>
        <v>0</v>
      </c>
      <c r="HFL3">
        <f>Database!HGE5</f>
        <v>0</v>
      </c>
      <c r="HFM3">
        <f>Database!HGF5</f>
        <v>0</v>
      </c>
      <c r="HFN3">
        <f>Database!HGG5</f>
        <v>0</v>
      </c>
      <c r="HFO3">
        <f>Database!HGH5</f>
        <v>0</v>
      </c>
      <c r="HFP3">
        <f>Database!HGI5</f>
        <v>0</v>
      </c>
      <c r="HFQ3">
        <f>Database!HGJ5</f>
        <v>0</v>
      </c>
      <c r="HFR3">
        <f>Database!HGK5</f>
        <v>0</v>
      </c>
      <c r="HFS3">
        <f>Database!HGL5</f>
        <v>0</v>
      </c>
      <c r="HFT3">
        <f>Database!HGM5</f>
        <v>0</v>
      </c>
      <c r="HFU3">
        <f>Database!HGN5</f>
        <v>0</v>
      </c>
      <c r="HFV3">
        <f>Database!HGO5</f>
        <v>0</v>
      </c>
      <c r="HFW3">
        <f>Database!HGP5</f>
        <v>0</v>
      </c>
      <c r="HFX3">
        <f>Database!HGQ5</f>
        <v>0</v>
      </c>
      <c r="HFY3">
        <f>Database!HGR5</f>
        <v>0</v>
      </c>
      <c r="HFZ3">
        <f>Database!HGS5</f>
        <v>0</v>
      </c>
      <c r="HGA3">
        <f>Database!HGT5</f>
        <v>0</v>
      </c>
      <c r="HGB3">
        <f>Database!HGU5</f>
        <v>0</v>
      </c>
      <c r="HGC3">
        <f>Database!HGV5</f>
        <v>0</v>
      </c>
      <c r="HGD3">
        <f>Database!HGW5</f>
        <v>0</v>
      </c>
      <c r="HGE3">
        <f>Database!HGX5</f>
        <v>0</v>
      </c>
      <c r="HGF3">
        <f>Database!HGY5</f>
        <v>0</v>
      </c>
      <c r="HGG3">
        <f>Database!HGZ5</f>
        <v>0</v>
      </c>
      <c r="HGH3">
        <f>Database!HHA5</f>
        <v>0</v>
      </c>
      <c r="HGI3">
        <f>Database!HHB5</f>
        <v>0</v>
      </c>
      <c r="HGJ3">
        <f>Database!HHC5</f>
        <v>0</v>
      </c>
      <c r="HGK3">
        <f>Database!HHD5</f>
        <v>0</v>
      </c>
      <c r="HGL3">
        <f>Database!HHE5</f>
        <v>0</v>
      </c>
      <c r="HGM3">
        <f>Database!HHF5</f>
        <v>0</v>
      </c>
      <c r="HGN3">
        <f>Database!HHG5</f>
        <v>0</v>
      </c>
      <c r="HGO3">
        <f>Database!HHH5</f>
        <v>0</v>
      </c>
      <c r="HGP3">
        <f>Database!HHI5</f>
        <v>0</v>
      </c>
      <c r="HGQ3">
        <f>Database!HHJ5</f>
        <v>0</v>
      </c>
      <c r="HGR3">
        <f>Database!HHK5</f>
        <v>0</v>
      </c>
      <c r="HGS3">
        <f>Database!HHL5</f>
        <v>0</v>
      </c>
      <c r="HGT3">
        <f>Database!HHM5</f>
        <v>0</v>
      </c>
      <c r="HGU3">
        <f>Database!HHN5</f>
        <v>0</v>
      </c>
      <c r="HGV3">
        <f>Database!HHO5</f>
        <v>0</v>
      </c>
      <c r="HGW3">
        <f>Database!HHP5</f>
        <v>0</v>
      </c>
      <c r="HGX3">
        <f>Database!HHQ5</f>
        <v>0</v>
      </c>
      <c r="HGY3">
        <f>Database!HHR5</f>
        <v>0</v>
      </c>
      <c r="HGZ3">
        <f>Database!HHS5</f>
        <v>0</v>
      </c>
      <c r="HHA3">
        <f>Database!HHT5</f>
        <v>0</v>
      </c>
      <c r="HHB3">
        <f>Database!HHU5</f>
        <v>0</v>
      </c>
      <c r="HHC3">
        <f>Database!HHV5</f>
        <v>0</v>
      </c>
      <c r="HHD3">
        <f>Database!HHW5</f>
        <v>0</v>
      </c>
      <c r="HHE3">
        <f>Database!HHX5</f>
        <v>0</v>
      </c>
      <c r="HHF3">
        <f>Database!HHY5</f>
        <v>0</v>
      </c>
      <c r="HHG3">
        <f>Database!HHZ5</f>
        <v>0</v>
      </c>
      <c r="HHH3">
        <f>Database!HIA5</f>
        <v>0</v>
      </c>
      <c r="HHI3">
        <f>Database!HIB5</f>
        <v>0</v>
      </c>
      <c r="HHJ3">
        <f>Database!HIC5</f>
        <v>0</v>
      </c>
      <c r="HHK3">
        <f>Database!HID5</f>
        <v>0</v>
      </c>
      <c r="HHL3">
        <f>Database!HIE5</f>
        <v>0</v>
      </c>
      <c r="HHM3">
        <f>Database!HIF5</f>
        <v>0</v>
      </c>
      <c r="HHN3">
        <f>Database!HIG5</f>
        <v>0</v>
      </c>
      <c r="HHO3">
        <f>Database!HIH5</f>
        <v>0</v>
      </c>
      <c r="HHP3">
        <f>Database!HII5</f>
        <v>0</v>
      </c>
      <c r="HHQ3">
        <f>Database!HIJ5</f>
        <v>0</v>
      </c>
      <c r="HHR3">
        <f>Database!HIK5</f>
        <v>0</v>
      </c>
      <c r="HHS3">
        <f>Database!HIL5</f>
        <v>0</v>
      </c>
      <c r="HHT3">
        <f>Database!HIM5</f>
        <v>0</v>
      </c>
      <c r="HHU3">
        <f>Database!HIN5</f>
        <v>0</v>
      </c>
      <c r="HHV3">
        <f>Database!HIO5</f>
        <v>0</v>
      </c>
      <c r="HHW3">
        <f>Database!HIP5</f>
        <v>0</v>
      </c>
      <c r="HHX3">
        <f>Database!HIQ5</f>
        <v>0</v>
      </c>
      <c r="HHY3">
        <f>Database!HIR5</f>
        <v>0</v>
      </c>
      <c r="HHZ3">
        <f>Database!HIS5</f>
        <v>0</v>
      </c>
      <c r="HIA3">
        <f>Database!HIT5</f>
        <v>0</v>
      </c>
      <c r="HIB3">
        <f>Database!HIU5</f>
        <v>0</v>
      </c>
      <c r="HIC3">
        <f>Database!HIV5</f>
        <v>0</v>
      </c>
      <c r="HID3">
        <f>Database!HIW5</f>
        <v>0</v>
      </c>
      <c r="HIE3">
        <f>Database!HIX5</f>
        <v>0</v>
      </c>
      <c r="HIF3">
        <f>Database!HIY5</f>
        <v>0</v>
      </c>
      <c r="HIG3">
        <f>Database!HIZ5</f>
        <v>0</v>
      </c>
      <c r="HIH3">
        <f>Database!HJA5</f>
        <v>0</v>
      </c>
      <c r="HII3">
        <f>Database!HJB5</f>
        <v>0</v>
      </c>
      <c r="HIJ3">
        <f>Database!HJC5</f>
        <v>0</v>
      </c>
      <c r="HIK3">
        <f>Database!HJD5</f>
        <v>0</v>
      </c>
      <c r="HIL3">
        <f>Database!HJE5</f>
        <v>0</v>
      </c>
      <c r="HIM3">
        <f>Database!HJF5</f>
        <v>0</v>
      </c>
      <c r="HIN3">
        <f>Database!HJG5</f>
        <v>0</v>
      </c>
      <c r="HIO3">
        <f>Database!HJH5</f>
        <v>0</v>
      </c>
      <c r="HIP3">
        <f>Database!HJI5</f>
        <v>0</v>
      </c>
      <c r="HIQ3">
        <f>Database!HJJ5</f>
        <v>0</v>
      </c>
      <c r="HIR3">
        <f>Database!HJK5</f>
        <v>0</v>
      </c>
      <c r="HIS3">
        <f>Database!HJL5</f>
        <v>0</v>
      </c>
      <c r="HIT3">
        <f>Database!HJM5</f>
        <v>0</v>
      </c>
      <c r="HIU3">
        <f>Database!HJN5</f>
        <v>0</v>
      </c>
      <c r="HIV3">
        <f>Database!HJO5</f>
        <v>0</v>
      </c>
      <c r="HIW3">
        <f>Database!HJP5</f>
        <v>0</v>
      </c>
      <c r="HIX3">
        <f>Database!HJQ5</f>
        <v>0</v>
      </c>
      <c r="HIY3">
        <f>Database!HJR5</f>
        <v>0</v>
      </c>
      <c r="HIZ3">
        <f>Database!HJS5</f>
        <v>0</v>
      </c>
      <c r="HJA3">
        <f>Database!HJT5</f>
        <v>0</v>
      </c>
      <c r="HJB3">
        <f>Database!HJU5</f>
        <v>0</v>
      </c>
      <c r="HJC3">
        <f>Database!HJV5</f>
        <v>0</v>
      </c>
      <c r="HJD3">
        <f>Database!HJW5</f>
        <v>0</v>
      </c>
      <c r="HJE3">
        <f>Database!HJX5</f>
        <v>0</v>
      </c>
      <c r="HJF3">
        <f>Database!HJY5</f>
        <v>0</v>
      </c>
      <c r="HJG3">
        <f>Database!HJZ5</f>
        <v>0</v>
      </c>
      <c r="HJH3">
        <f>Database!HKA5</f>
        <v>0</v>
      </c>
      <c r="HJI3">
        <f>Database!HKB5</f>
        <v>0</v>
      </c>
      <c r="HJJ3">
        <f>Database!HKC5</f>
        <v>0</v>
      </c>
      <c r="HJK3">
        <f>Database!HKD5</f>
        <v>0</v>
      </c>
      <c r="HJL3">
        <f>Database!HKE5</f>
        <v>0</v>
      </c>
      <c r="HJM3">
        <f>Database!HKF5</f>
        <v>0</v>
      </c>
      <c r="HJN3">
        <f>Database!HKG5</f>
        <v>0</v>
      </c>
      <c r="HJO3">
        <f>Database!HKH5</f>
        <v>0</v>
      </c>
      <c r="HJP3">
        <f>Database!HKI5</f>
        <v>0</v>
      </c>
      <c r="HJQ3">
        <f>Database!HKJ5</f>
        <v>0</v>
      </c>
      <c r="HJR3">
        <f>Database!HKK5</f>
        <v>0</v>
      </c>
      <c r="HJS3">
        <f>Database!HKL5</f>
        <v>0</v>
      </c>
      <c r="HJT3">
        <f>Database!HKM5</f>
        <v>0</v>
      </c>
      <c r="HJU3">
        <f>Database!HKN5</f>
        <v>0</v>
      </c>
      <c r="HJV3">
        <f>Database!HKO5</f>
        <v>0</v>
      </c>
      <c r="HJW3">
        <f>Database!HKP5</f>
        <v>0</v>
      </c>
      <c r="HJX3">
        <f>Database!HKQ5</f>
        <v>0</v>
      </c>
      <c r="HJY3">
        <f>Database!HKR5</f>
        <v>0</v>
      </c>
      <c r="HJZ3">
        <f>Database!HKS5</f>
        <v>0</v>
      </c>
      <c r="HKA3">
        <f>Database!HKT5</f>
        <v>0</v>
      </c>
      <c r="HKB3">
        <f>Database!HKU5</f>
        <v>0</v>
      </c>
      <c r="HKC3">
        <f>Database!HKV5</f>
        <v>0</v>
      </c>
      <c r="HKD3">
        <f>Database!HKW5</f>
        <v>0</v>
      </c>
      <c r="HKE3">
        <f>Database!HKX5</f>
        <v>0</v>
      </c>
      <c r="HKF3">
        <f>Database!HKY5</f>
        <v>0</v>
      </c>
      <c r="HKG3">
        <f>Database!HKZ5</f>
        <v>0</v>
      </c>
      <c r="HKH3">
        <f>Database!HLA5</f>
        <v>0</v>
      </c>
      <c r="HKI3">
        <f>Database!HLB5</f>
        <v>0</v>
      </c>
      <c r="HKJ3">
        <f>Database!HLC5</f>
        <v>0</v>
      </c>
      <c r="HKK3">
        <f>Database!HLD5</f>
        <v>0</v>
      </c>
      <c r="HKL3">
        <f>Database!HLE5</f>
        <v>0</v>
      </c>
      <c r="HKM3">
        <f>Database!HLF5</f>
        <v>0</v>
      </c>
      <c r="HKN3">
        <f>Database!HLG5</f>
        <v>0</v>
      </c>
      <c r="HKO3">
        <f>Database!HLH5</f>
        <v>0</v>
      </c>
      <c r="HKP3">
        <f>Database!HLI5</f>
        <v>0</v>
      </c>
      <c r="HKQ3">
        <f>Database!HLJ5</f>
        <v>0</v>
      </c>
      <c r="HKR3">
        <f>Database!HLK5</f>
        <v>0</v>
      </c>
      <c r="HKS3">
        <f>Database!HLL5</f>
        <v>0</v>
      </c>
      <c r="HKT3">
        <f>Database!HLM5</f>
        <v>0</v>
      </c>
      <c r="HKU3">
        <f>Database!HLN5</f>
        <v>0</v>
      </c>
      <c r="HKV3">
        <f>Database!HLO5</f>
        <v>0</v>
      </c>
      <c r="HKW3">
        <f>Database!HLP5</f>
        <v>0</v>
      </c>
      <c r="HKX3">
        <f>Database!HLQ5</f>
        <v>0</v>
      </c>
      <c r="HKY3">
        <f>Database!HLR5</f>
        <v>0</v>
      </c>
      <c r="HKZ3">
        <f>Database!HLS5</f>
        <v>0</v>
      </c>
      <c r="HLA3">
        <f>Database!HLT5</f>
        <v>0</v>
      </c>
      <c r="HLB3">
        <f>Database!HLU5</f>
        <v>0</v>
      </c>
      <c r="HLC3">
        <f>Database!HLV5</f>
        <v>0</v>
      </c>
      <c r="HLD3">
        <f>Database!HLW5</f>
        <v>0</v>
      </c>
      <c r="HLE3">
        <f>Database!HLX5</f>
        <v>0</v>
      </c>
      <c r="HLF3">
        <f>Database!HLY5</f>
        <v>0</v>
      </c>
      <c r="HLG3">
        <f>Database!HLZ5</f>
        <v>0</v>
      </c>
      <c r="HLH3">
        <f>Database!HMA5</f>
        <v>0</v>
      </c>
      <c r="HLI3">
        <f>Database!HMB5</f>
        <v>0</v>
      </c>
      <c r="HLJ3">
        <f>Database!HMC5</f>
        <v>0</v>
      </c>
      <c r="HLK3">
        <f>Database!HMD5</f>
        <v>0</v>
      </c>
      <c r="HLL3">
        <f>Database!HME5</f>
        <v>0</v>
      </c>
      <c r="HLM3">
        <f>Database!HMF5</f>
        <v>0</v>
      </c>
      <c r="HLN3">
        <f>Database!HMG5</f>
        <v>0</v>
      </c>
      <c r="HLO3">
        <f>Database!HMH5</f>
        <v>0</v>
      </c>
      <c r="HLP3">
        <f>Database!HMI5</f>
        <v>0</v>
      </c>
      <c r="HLQ3">
        <f>Database!HMJ5</f>
        <v>0</v>
      </c>
      <c r="HLR3">
        <f>Database!HMK5</f>
        <v>0</v>
      </c>
      <c r="HLS3">
        <f>Database!HML5</f>
        <v>0</v>
      </c>
      <c r="HLT3">
        <f>Database!HMM5</f>
        <v>0</v>
      </c>
      <c r="HLU3">
        <f>Database!HMN5</f>
        <v>0</v>
      </c>
      <c r="HLV3">
        <f>Database!HMO5</f>
        <v>0</v>
      </c>
      <c r="HLW3">
        <f>Database!HMP5</f>
        <v>0</v>
      </c>
      <c r="HLX3">
        <f>Database!HMQ5</f>
        <v>0</v>
      </c>
      <c r="HLY3">
        <f>Database!HMR5</f>
        <v>0</v>
      </c>
      <c r="HLZ3">
        <f>Database!HMS5</f>
        <v>0</v>
      </c>
      <c r="HMA3">
        <f>Database!HMT5</f>
        <v>0</v>
      </c>
      <c r="HMB3">
        <f>Database!HMU5</f>
        <v>0</v>
      </c>
      <c r="HMC3">
        <f>Database!HMV5</f>
        <v>0</v>
      </c>
      <c r="HMD3">
        <f>Database!HMW5</f>
        <v>0</v>
      </c>
      <c r="HME3">
        <f>Database!HMX5</f>
        <v>0</v>
      </c>
      <c r="HMF3">
        <f>Database!HMY5</f>
        <v>0</v>
      </c>
      <c r="HMG3">
        <f>Database!HMZ5</f>
        <v>0</v>
      </c>
      <c r="HMH3">
        <f>Database!HNA5</f>
        <v>0</v>
      </c>
      <c r="HMI3">
        <f>Database!HNB5</f>
        <v>0</v>
      </c>
      <c r="HMJ3">
        <f>Database!HNC5</f>
        <v>0</v>
      </c>
      <c r="HMK3">
        <f>Database!HND5</f>
        <v>0</v>
      </c>
      <c r="HML3">
        <f>Database!HNE5</f>
        <v>0</v>
      </c>
      <c r="HMM3">
        <f>Database!HNF5</f>
        <v>0</v>
      </c>
      <c r="HMN3">
        <f>Database!HNG5</f>
        <v>0</v>
      </c>
      <c r="HMO3">
        <f>Database!HNH5</f>
        <v>0</v>
      </c>
      <c r="HMP3">
        <f>Database!HNI5</f>
        <v>0</v>
      </c>
      <c r="HMQ3">
        <f>Database!HNJ5</f>
        <v>0</v>
      </c>
      <c r="HMR3">
        <f>Database!HNK5</f>
        <v>0</v>
      </c>
      <c r="HMS3">
        <f>Database!HNL5</f>
        <v>0</v>
      </c>
      <c r="HMT3">
        <f>Database!HNM5</f>
        <v>0</v>
      </c>
      <c r="HMU3">
        <f>Database!HNN5</f>
        <v>0</v>
      </c>
      <c r="HMV3">
        <f>Database!HNO5</f>
        <v>0</v>
      </c>
      <c r="HMW3">
        <f>Database!HNP5</f>
        <v>0</v>
      </c>
      <c r="HMX3">
        <f>Database!HNQ5</f>
        <v>0</v>
      </c>
      <c r="HMY3">
        <f>Database!HNR5</f>
        <v>0</v>
      </c>
      <c r="HMZ3">
        <f>Database!HNS5</f>
        <v>0</v>
      </c>
      <c r="HNA3">
        <f>Database!HNT5</f>
        <v>0</v>
      </c>
      <c r="HNB3">
        <f>Database!HNU5</f>
        <v>0</v>
      </c>
      <c r="HNC3">
        <f>Database!HNV5</f>
        <v>0</v>
      </c>
      <c r="HND3">
        <f>Database!HNW5</f>
        <v>0</v>
      </c>
      <c r="HNE3">
        <f>Database!HNX5</f>
        <v>0</v>
      </c>
      <c r="HNF3">
        <f>Database!HNY5</f>
        <v>0</v>
      </c>
      <c r="HNG3">
        <f>Database!HNZ5</f>
        <v>0</v>
      </c>
      <c r="HNH3">
        <f>Database!HOA5</f>
        <v>0</v>
      </c>
      <c r="HNI3">
        <f>Database!HOB5</f>
        <v>0</v>
      </c>
      <c r="HNJ3">
        <f>Database!HOC5</f>
        <v>0</v>
      </c>
      <c r="HNK3">
        <f>Database!HOD5</f>
        <v>0</v>
      </c>
      <c r="HNL3">
        <f>Database!HOE5</f>
        <v>0</v>
      </c>
      <c r="HNM3">
        <f>Database!HOF5</f>
        <v>0</v>
      </c>
      <c r="HNN3">
        <f>Database!HOG5</f>
        <v>0</v>
      </c>
      <c r="HNO3">
        <f>Database!HOH5</f>
        <v>0</v>
      </c>
      <c r="HNP3">
        <f>Database!HOI5</f>
        <v>0</v>
      </c>
      <c r="HNQ3">
        <f>Database!HOJ5</f>
        <v>0</v>
      </c>
      <c r="HNR3">
        <f>Database!HOK5</f>
        <v>0</v>
      </c>
      <c r="HNS3">
        <f>Database!HOL5</f>
        <v>0</v>
      </c>
      <c r="HNT3">
        <f>Database!HOM5</f>
        <v>0</v>
      </c>
      <c r="HNU3">
        <f>Database!HON5</f>
        <v>0</v>
      </c>
      <c r="HNV3">
        <f>Database!HOO5</f>
        <v>0</v>
      </c>
      <c r="HNW3">
        <f>Database!HOP5</f>
        <v>0</v>
      </c>
      <c r="HNX3">
        <f>Database!HOQ5</f>
        <v>0</v>
      </c>
      <c r="HNY3">
        <f>Database!HOR5</f>
        <v>0</v>
      </c>
      <c r="HNZ3">
        <f>Database!HOS5</f>
        <v>0</v>
      </c>
      <c r="HOA3">
        <f>Database!HOT5</f>
        <v>0</v>
      </c>
      <c r="HOB3">
        <f>Database!HOU5</f>
        <v>0</v>
      </c>
      <c r="HOC3">
        <f>Database!HOV5</f>
        <v>0</v>
      </c>
      <c r="HOD3">
        <f>Database!HOW5</f>
        <v>0</v>
      </c>
      <c r="HOE3">
        <f>Database!HOX5</f>
        <v>0</v>
      </c>
      <c r="HOF3">
        <f>Database!HOY5</f>
        <v>0</v>
      </c>
      <c r="HOG3">
        <f>Database!HOZ5</f>
        <v>0</v>
      </c>
      <c r="HOH3">
        <f>Database!HPA5</f>
        <v>0</v>
      </c>
      <c r="HOI3">
        <f>Database!HPB5</f>
        <v>0</v>
      </c>
      <c r="HOJ3">
        <f>Database!HPC5</f>
        <v>0</v>
      </c>
      <c r="HOK3">
        <f>Database!HPD5</f>
        <v>0</v>
      </c>
      <c r="HOL3">
        <f>Database!HPE5</f>
        <v>0</v>
      </c>
      <c r="HOM3">
        <f>Database!HPF5</f>
        <v>0</v>
      </c>
      <c r="HON3">
        <f>Database!HPG5</f>
        <v>0</v>
      </c>
      <c r="HOO3">
        <f>Database!HPH5</f>
        <v>0</v>
      </c>
      <c r="HOP3">
        <f>Database!HPI5</f>
        <v>0</v>
      </c>
      <c r="HOQ3">
        <f>Database!HPJ5</f>
        <v>0</v>
      </c>
      <c r="HOR3">
        <f>Database!HPK5</f>
        <v>0</v>
      </c>
      <c r="HOS3">
        <f>Database!HPL5</f>
        <v>0</v>
      </c>
      <c r="HOT3">
        <f>Database!HPM5</f>
        <v>0</v>
      </c>
      <c r="HOU3">
        <f>Database!HPN5</f>
        <v>0</v>
      </c>
      <c r="HOV3">
        <f>Database!HPO5</f>
        <v>0</v>
      </c>
      <c r="HOW3">
        <f>Database!HPP5</f>
        <v>0</v>
      </c>
      <c r="HOX3">
        <f>Database!HPQ5</f>
        <v>0</v>
      </c>
      <c r="HOY3">
        <f>Database!HPR5</f>
        <v>0</v>
      </c>
      <c r="HOZ3">
        <f>Database!HPS5</f>
        <v>0</v>
      </c>
      <c r="HPA3">
        <f>Database!HPT5</f>
        <v>0</v>
      </c>
      <c r="HPB3">
        <f>Database!HPU5</f>
        <v>0</v>
      </c>
      <c r="HPC3">
        <f>Database!HPV5</f>
        <v>0</v>
      </c>
      <c r="HPD3">
        <f>Database!HPW5</f>
        <v>0</v>
      </c>
      <c r="HPE3">
        <f>Database!HPX5</f>
        <v>0</v>
      </c>
      <c r="HPF3">
        <f>Database!HPY5</f>
        <v>0</v>
      </c>
      <c r="HPG3">
        <f>Database!HPZ5</f>
        <v>0</v>
      </c>
      <c r="HPH3">
        <f>Database!HQA5</f>
        <v>0</v>
      </c>
      <c r="HPI3">
        <f>Database!HQB5</f>
        <v>0</v>
      </c>
      <c r="HPJ3">
        <f>Database!HQC5</f>
        <v>0</v>
      </c>
      <c r="HPK3">
        <f>Database!HQD5</f>
        <v>0</v>
      </c>
      <c r="HPL3">
        <f>Database!HQE5</f>
        <v>0</v>
      </c>
      <c r="HPM3">
        <f>Database!HQF5</f>
        <v>0</v>
      </c>
      <c r="HPN3">
        <f>Database!HQG5</f>
        <v>0</v>
      </c>
      <c r="HPO3">
        <f>Database!HQH5</f>
        <v>0</v>
      </c>
      <c r="HPP3">
        <f>Database!HQI5</f>
        <v>0</v>
      </c>
      <c r="HPQ3">
        <f>Database!HQJ5</f>
        <v>0</v>
      </c>
      <c r="HPR3">
        <f>Database!HQK5</f>
        <v>0</v>
      </c>
      <c r="HPS3">
        <f>Database!HQL5</f>
        <v>0</v>
      </c>
      <c r="HPT3">
        <f>Database!HQM5</f>
        <v>0</v>
      </c>
      <c r="HPU3">
        <f>Database!HQN5</f>
        <v>0</v>
      </c>
      <c r="HPV3">
        <f>Database!HQO5</f>
        <v>0</v>
      </c>
      <c r="HPW3">
        <f>Database!HQP5</f>
        <v>0</v>
      </c>
      <c r="HPX3">
        <f>Database!HQQ5</f>
        <v>0</v>
      </c>
      <c r="HPY3">
        <f>Database!HQR5</f>
        <v>0</v>
      </c>
      <c r="HPZ3">
        <f>Database!HQS5</f>
        <v>0</v>
      </c>
      <c r="HQA3">
        <f>Database!HQT5</f>
        <v>0</v>
      </c>
      <c r="HQB3">
        <f>Database!HQU5</f>
        <v>0</v>
      </c>
      <c r="HQC3">
        <f>Database!HQV5</f>
        <v>0</v>
      </c>
      <c r="HQD3">
        <f>Database!HQW5</f>
        <v>0</v>
      </c>
      <c r="HQE3">
        <f>Database!HQX5</f>
        <v>0</v>
      </c>
      <c r="HQF3">
        <f>Database!HQY5</f>
        <v>0</v>
      </c>
      <c r="HQG3">
        <f>Database!HQZ5</f>
        <v>0</v>
      </c>
      <c r="HQH3">
        <f>Database!HRA5</f>
        <v>0</v>
      </c>
      <c r="HQI3">
        <f>Database!HRB5</f>
        <v>0</v>
      </c>
      <c r="HQJ3">
        <f>Database!HRC5</f>
        <v>0</v>
      </c>
      <c r="HQK3">
        <f>Database!HRD5</f>
        <v>0</v>
      </c>
      <c r="HQL3">
        <f>Database!HRE5</f>
        <v>0</v>
      </c>
      <c r="HQM3">
        <f>Database!HRF5</f>
        <v>0</v>
      </c>
      <c r="HQN3">
        <f>Database!HRG5</f>
        <v>0</v>
      </c>
      <c r="HQO3">
        <f>Database!HRH5</f>
        <v>0</v>
      </c>
      <c r="HQP3">
        <f>Database!HRI5</f>
        <v>0</v>
      </c>
      <c r="HQQ3">
        <f>Database!HRJ5</f>
        <v>0</v>
      </c>
      <c r="HQR3">
        <f>Database!HRK5</f>
        <v>0</v>
      </c>
      <c r="HQS3">
        <f>Database!HRL5</f>
        <v>0</v>
      </c>
      <c r="HQT3">
        <f>Database!HRM5</f>
        <v>0</v>
      </c>
      <c r="HQU3">
        <f>Database!HRN5</f>
        <v>0</v>
      </c>
      <c r="HQV3">
        <f>Database!HRO5</f>
        <v>0</v>
      </c>
      <c r="HQW3">
        <f>Database!HRP5</f>
        <v>0</v>
      </c>
      <c r="HQX3">
        <f>Database!HRQ5</f>
        <v>0</v>
      </c>
      <c r="HQY3">
        <f>Database!HRR5</f>
        <v>0</v>
      </c>
      <c r="HQZ3">
        <f>Database!HRS5</f>
        <v>0</v>
      </c>
      <c r="HRA3">
        <f>Database!HRT5</f>
        <v>0</v>
      </c>
      <c r="HRB3">
        <f>Database!HRU5</f>
        <v>0</v>
      </c>
      <c r="HRC3">
        <f>Database!HRV5</f>
        <v>0</v>
      </c>
      <c r="HRD3">
        <f>Database!HRW5</f>
        <v>0</v>
      </c>
      <c r="HRE3">
        <f>Database!HRX5</f>
        <v>0</v>
      </c>
      <c r="HRF3">
        <f>Database!HRY5</f>
        <v>0</v>
      </c>
      <c r="HRG3">
        <f>Database!HRZ5</f>
        <v>0</v>
      </c>
      <c r="HRH3">
        <f>Database!HSA5</f>
        <v>0</v>
      </c>
      <c r="HRI3">
        <f>Database!HSB5</f>
        <v>0</v>
      </c>
      <c r="HRJ3">
        <f>Database!HSC5</f>
        <v>0</v>
      </c>
      <c r="HRK3">
        <f>Database!HSD5</f>
        <v>0</v>
      </c>
      <c r="HRL3">
        <f>Database!HSE5</f>
        <v>0</v>
      </c>
      <c r="HRM3">
        <f>Database!HSF5</f>
        <v>0</v>
      </c>
      <c r="HRN3">
        <f>Database!HSG5</f>
        <v>0</v>
      </c>
      <c r="HRO3">
        <f>Database!HSH5</f>
        <v>0</v>
      </c>
      <c r="HRP3">
        <f>Database!HSI5</f>
        <v>0</v>
      </c>
      <c r="HRQ3">
        <f>Database!HSJ5</f>
        <v>0</v>
      </c>
      <c r="HRR3">
        <f>Database!HSK5</f>
        <v>0</v>
      </c>
      <c r="HRS3">
        <f>Database!HSL5</f>
        <v>0</v>
      </c>
      <c r="HRT3">
        <f>Database!HSM5</f>
        <v>0</v>
      </c>
      <c r="HRU3">
        <f>Database!HSN5</f>
        <v>0</v>
      </c>
      <c r="HRV3">
        <f>Database!HSO5</f>
        <v>0</v>
      </c>
      <c r="HRW3">
        <f>Database!HSP5</f>
        <v>0</v>
      </c>
      <c r="HRX3">
        <f>Database!HSQ5</f>
        <v>0</v>
      </c>
      <c r="HRY3">
        <f>Database!HSR5</f>
        <v>0</v>
      </c>
      <c r="HRZ3">
        <f>Database!HSS5</f>
        <v>0</v>
      </c>
      <c r="HSA3">
        <f>Database!HST5</f>
        <v>0</v>
      </c>
      <c r="HSB3">
        <f>Database!HSU5</f>
        <v>0</v>
      </c>
      <c r="HSC3">
        <f>Database!HSV5</f>
        <v>0</v>
      </c>
      <c r="HSD3">
        <f>Database!HSW5</f>
        <v>0</v>
      </c>
      <c r="HSE3">
        <f>Database!HSX5</f>
        <v>0</v>
      </c>
      <c r="HSF3">
        <f>Database!HSY5</f>
        <v>0</v>
      </c>
      <c r="HSG3">
        <f>Database!HSZ5</f>
        <v>0</v>
      </c>
      <c r="HSH3">
        <f>Database!HTA5</f>
        <v>0</v>
      </c>
      <c r="HSI3">
        <f>Database!HTB5</f>
        <v>0</v>
      </c>
      <c r="HSJ3">
        <f>Database!HTC5</f>
        <v>0</v>
      </c>
      <c r="HSK3">
        <f>Database!HTD5</f>
        <v>0</v>
      </c>
      <c r="HSL3">
        <f>Database!HTE5</f>
        <v>0</v>
      </c>
      <c r="HSM3">
        <f>Database!HTF5</f>
        <v>0</v>
      </c>
      <c r="HSN3">
        <f>Database!HTG5</f>
        <v>0</v>
      </c>
      <c r="HSO3">
        <f>Database!HTH5</f>
        <v>0</v>
      </c>
      <c r="HSP3">
        <f>Database!HTI5</f>
        <v>0</v>
      </c>
      <c r="HSQ3">
        <f>Database!HTJ5</f>
        <v>0</v>
      </c>
      <c r="HSR3">
        <f>Database!HTK5</f>
        <v>0</v>
      </c>
      <c r="HSS3">
        <f>Database!HTL5</f>
        <v>0</v>
      </c>
      <c r="HST3">
        <f>Database!HTM5</f>
        <v>0</v>
      </c>
      <c r="HSU3">
        <f>Database!HTN5</f>
        <v>0</v>
      </c>
      <c r="HSV3">
        <f>Database!HTO5</f>
        <v>0</v>
      </c>
      <c r="HSW3">
        <f>Database!HTP5</f>
        <v>0</v>
      </c>
      <c r="HSX3">
        <f>Database!HTQ5</f>
        <v>0</v>
      </c>
      <c r="HSY3">
        <f>Database!HTR5</f>
        <v>0</v>
      </c>
      <c r="HSZ3">
        <f>Database!HTS5</f>
        <v>0</v>
      </c>
      <c r="HTA3">
        <f>Database!HTT5</f>
        <v>0</v>
      </c>
      <c r="HTB3">
        <f>Database!HTU5</f>
        <v>0</v>
      </c>
      <c r="HTC3">
        <f>Database!HTV5</f>
        <v>0</v>
      </c>
      <c r="HTD3">
        <f>Database!HTW5</f>
        <v>0</v>
      </c>
      <c r="HTE3">
        <f>Database!HTX5</f>
        <v>0</v>
      </c>
      <c r="HTF3">
        <f>Database!HTY5</f>
        <v>0</v>
      </c>
      <c r="HTG3">
        <f>Database!HTZ5</f>
        <v>0</v>
      </c>
      <c r="HTH3">
        <f>Database!HUA5</f>
        <v>0</v>
      </c>
      <c r="HTI3">
        <f>Database!HUB5</f>
        <v>0</v>
      </c>
      <c r="HTJ3">
        <f>Database!HUC5</f>
        <v>0</v>
      </c>
      <c r="HTK3">
        <f>Database!HUD5</f>
        <v>0</v>
      </c>
      <c r="HTL3">
        <f>Database!HUE5</f>
        <v>0</v>
      </c>
      <c r="HTM3">
        <f>Database!HUF5</f>
        <v>0</v>
      </c>
      <c r="HTN3">
        <f>Database!HUG5</f>
        <v>0</v>
      </c>
      <c r="HTO3">
        <f>Database!HUH5</f>
        <v>0</v>
      </c>
      <c r="HTP3">
        <f>Database!HUI5</f>
        <v>0</v>
      </c>
      <c r="HTQ3">
        <f>Database!HUJ5</f>
        <v>0</v>
      </c>
      <c r="HTR3">
        <f>Database!HUK5</f>
        <v>0</v>
      </c>
      <c r="HTS3">
        <f>Database!HUL5</f>
        <v>0</v>
      </c>
      <c r="HTT3">
        <f>Database!HUM5</f>
        <v>0</v>
      </c>
      <c r="HTU3">
        <f>Database!HUN5</f>
        <v>0</v>
      </c>
      <c r="HTV3">
        <f>Database!HUO5</f>
        <v>0</v>
      </c>
      <c r="HTW3">
        <f>Database!HUP5</f>
        <v>0</v>
      </c>
      <c r="HTX3">
        <f>Database!HUQ5</f>
        <v>0</v>
      </c>
      <c r="HTY3">
        <f>Database!HUR5</f>
        <v>0</v>
      </c>
      <c r="HTZ3">
        <f>Database!HUS5</f>
        <v>0</v>
      </c>
      <c r="HUA3">
        <f>Database!HUT5</f>
        <v>0</v>
      </c>
      <c r="HUB3">
        <f>Database!HUU5</f>
        <v>0</v>
      </c>
      <c r="HUC3">
        <f>Database!HUV5</f>
        <v>0</v>
      </c>
      <c r="HUD3">
        <f>Database!HUW5</f>
        <v>0</v>
      </c>
      <c r="HUE3">
        <f>Database!HUX5</f>
        <v>0</v>
      </c>
      <c r="HUF3">
        <f>Database!HUY5</f>
        <v>0</v>
      </c>
      <c r="HUG3">
        <f>Database!HUZ5</f>
        <v>0</v>
      </c>
      <c r="HUH3">
        <f>Database!HVA5</f>
        <v>0</v>
      </c>
      <c r="HUI3">
        <f>Database!HVB5</f>
        <v>0</v>
      </c>
      <c r="HUJ3">
        <f>Database!HVC5</f>
        <v>0</v>
      </c>
      <c r="HUK3">
        <f>Database!HVD5</f>
        <v>0</v>
      </c>
      <c r="HUL3">
        <f>Database!HVE5</f>
        <v>0</v>
      </c>
      <c r="HUM3">
        <f>Database!HVF5</f>
        <v>0</v>
      </c>
      <c r="HUN3">
        <f>Database!HVG5</f>
        <v>0</v>
      </c>
      <c r="HUO3">
        <f>Database!HVH5</f>
        <v>0</v>
      </c>
      <c r="HUP3">
        <f>Database!HVI5</f>
        <v>0</v>
      </c>
      <c r="HUQ3">
        <f>Database!HVJ5</f>
        <v>0</v>
      </c>
      <c r="HUR3">
        <f>Database!HVK5</f>
        <v>0</v>
      </c>
      <c r="HUS3">
        <f>Database!HVL5</f>
        <v>0</v>
      </c>
      <c r="HUT3">
        <f>Database!HVM5</f>
        <v>0</v>
      </c>
      <c r="HUU3">
        <f>Database!HVN5</f>
        <v>0</v>
      </c>
      <c r="HUV3">
        <f>Database!HVO5</f>
        <v>0</v>
      </c>
      <c r="HUW3">
        <f>Database!HVP5</f>
        <v>0</v>
      </c>
      <c r="HUX3">
        <f>Database!HVQ5</f>
        <v>0</v>
      </c>
      <c r="HUY3">
        <f>Database!HVR5</f>
        <v>0</v>
      </c>
      <c r="HUZ3">
        <f>Database!HVS5</f>
        <v>0</v>
      </c>
      <c r="HVA3">
        <f>Database!HVT5</f>
        <v>0</v>
      </c>
      <c r="HVB3">
        <f>Database!HVU5</f>
        <v>0</v>
      </c>
      <c r="HVC3">
        <f>Database!HVV5</f>
        <v>0</v>
      </c>
      <c r="HVD3">
        <f>Database!HVW5</f>
        <v>0</v>
      </c>
      <c r="HVE3">
        <f>Database!HVX5</f>
        <v>0</v>
      </c>
      <c r="HVF3">
        <f>Database!HVY5</f>
        <v>0</v>
      </c>
      <c r="HVG3">
        <f>Database!HVZ5</f>
        <v>0</v>
      </c>
      <c r="HVH3">
        <f>Database!HWA5</f>
        <v>0</v>
      </c>
      <c r="HVI3">
        <f>Database!HWB5</f>
        <v>0</v>
      </c>
      <c r="HVJ3">
        <f>Database!HWC5</f>
        <v>0</v>
      </c>
      <c r="HVK3">
        <f>Database!HWD5</f>
        <v>0</v>
      </c>
      <c r="HVL3">
        <f>Database!HWE5</f>
        <v>0</v>
      </c>
      <c r="HVM3">
        <f>Database!HWF5</f>
        <v>0</v>
      </c>
      <c r="HVN3">
        <f>Database!HWG5</f>
        <v>0</v>
      </c>
      <c r="HVO3">
        <f>Database!HWH5</f>
        <v>0</v>
      </c>
      <c r="HVP3">
        <f>Database!HWI5</f>
        <v>0</v>
      </c>
      <c r="HVQ3">
        <f>Database!HWJ5</f>
        <v>0</v>
      </c>
      <c r="HVR3">
        <f>Database!HWK5</f>
        <v>0</v>
      </c>
      <c r="HVS3">
        <f>Database!HWL5</f>
        <v>0</v>
      </c>
      <c r="HVT3">
        <f>Database!HWM5</f>
        <v>0</v>
      </c>
      <c r="HVU3">
        <f>Database!HWN5</f>
        <v>0</v>
      </c>
      <c r="HVV3">
        <f>Database!HWO5</f>
        <v>0</v>
      </c>
      <c r="HVW3">
        <f>Database!HWP5</f>
        <v>0</v>
      </c>
      <c r="HVX3">
        <f>Database!HWQ5</f>
        <v>0</v>
      </c>
      <c r="HVY3">
        <f>Database!HWR5</f>
        <v>0</v>
      </c>
      <c r="HVZ3">
        <f>Database!HWS5</f>
        <v>0</v>
      </c>
      <c r="HWA3">
        <f>Database!HWT5</f>
        <v>0</v>
      </c>
      <c r="HWB3">
        <f>Database!HWU5</f>
        <v>0</v>
      </c>
      <c r="HWC3">
        <f>Database!HWV5</f>
        <v>0</v>
      </c>
      <c r="HWD3">
        <f>Database!HWW5</f>
        <v>0</v>
      </c>
      <c r="HWE3">
        <f>Database!HWX5</f>
        <v>0</v>
      </c>
      <c r="HWF3">
        <f>Database!HWY5</f>
        <v>0</v>
      </c>
      <c r="HWG3">
        <f>Database!HWZ5</f>
        <v>0</v>
      </c>
      <c r="HWH3">
        <f>Database!HXA5</f>
        <v>0</v>
      </c>
      <c r="HWI3">
        <f>Database!HXB5</f>
        <v>0</v>
      </c>
      <c r="HWJ3">
        <f>Database!HXC5</f>
        <v>0</v>
      </c>
      <c r="HWK3">
        <f>Database!HXD5</f>
        <v>0</v>
      </c>
      <c r="HWL3">
        <f>Database!HXE5</f>
        <v>0</v>
      </c>
      <c r="HWM3">
        <f>Database!HXF5</f>
        <v>0</v>
      </c>
      <c r="HWN3">
        <f>Database!HXG5</f>
        <v>0</v>
      </c>
      <c r="HWO3">
        <f>Database!HXH5</f>
        <v>0</v>
      </c>
      <c r="HWP3">
        <f>Database!HXI5</f>
        <v>0</v>
      </c>
      <c r="HWQ3">
        <f>Database!HXJ5</f>
        <v>0</v>
      </c>
      <c r="HWR3">
        <f>Database!HXK5</f>
        <v>0</v>
      </c>
      <c r="HWS3">
        <f>Database!HXL5</f>
        <v>0</v>
      </c>
      <c r="HWT3">
        <f>Database!HXM5</f>
        <v>0</v>
      </c>
      <c r="HWU3">
        <f>Database!HXN5</f>
        <v>0</v>
      </c>
      <c r="HWV3">
        <f>Database!HXO5</f>
        <v>0</v>
      </c>
      <c r="HWW3">
        <f>Database!HXP5</f>
        <v>0</v>
      </c>
      <c r="HWX3">
        <f>Database!HXQ5</f>
        <v>0</v>
      </c>
      <c r="HWY3">
        <f>Database!HXR5</f>
        <v>0</v>
      </c>
      <c r="HWZ3">
        <f>Database!HXS5</f>
        <v>0</v>
      </c>
      <c r="HXA3">
        <f>Database!HXT5</f>
        <v>0</v>
      </c>
      <c r="HXB3">
        <f>Database!HXU5</f>
        <v>0</v>
      </c>
      <c r="HXC3">
        <f>Database!HXV5</f>
        <v>0</v>
      </c>
      <c r="HXD3">
        <f>Database!HXW5</f>
        <v>0</v>
      </c>
      <c r="HXE3">
        <f>Database!HXX5</f>
        <v>0</v>
      </c>
      <c r="HXF3">
        <f>Database!HXY5</f>
        <v>0</v>
      </c>
      <c r="HXG3">
        <f>Database!HXZ5</f>
        <v>0</v>
      </c>
      <c r="HXH3">
        <f>Database!HYA5</f>
        <v>0</v>
      </c>
      <c r="HXI3">
        <f>Database!HYB5</f>
        <v>0</v>
      </c>
      <c r="HXJ3">
        <f>Database!HYC5</f>
        <v>0</v>
      </c>
      <c r="HXK3">
        <f>Database!HYD5</f>
        <v>0</v>
      </c>
      <c r="HXL3">
        <f>Database!HYE5</f>
        <v>0</v>
      </c>
      <c r="HXM3">
        <f>Database!HYF5</f>
        <v>0</v>
      </c>
      <c r="HXN3">
        <f>Database!HYG5</f>
        <v>0</v>
      </c>
      <c r="HXO3">
        <f>Database!HYH5</f>
        <v>0</v>
      </c>
      <c r="HXP3">
        <f>Database!HYI5</f>
        <v>0</v>
      </c>
      <c r="HXQ3">
        <f>Database!HYJ5</f>
        <v>0</v>
      </c>
      <c r="HXR3">
        <f>Database!HYK5</f>
        <v>0</v>
      </c>
      <c r="HXS3">
        <f>Database!HYL5</f>
        <v>0</v>
      </c>
      <c r="HXT3">
        <f>Database!HYM5</f>
        <v>0</v>
      </c>
      <c r="HXU3">
        <f>Database!HYN5</f>
        <v>0</v>
      </c>
      <c r="HXV3">
        <f>Database!HYO5</f>
        <v>0</v>
      </c>
      <c r="HXW3">
        <f>Database!HYP5</f>
        <v>0</v>
      </c>
      <c r="HXX3">
        <f>Database!HYQ5</f>
        <v>0</v>
      </c>
      <c r="HXY3">
        <f>Database!HYR5</f>
        <v>0</v>
      </c>
      <c r="HXZ3">
        <f>Database!HYS5</f>
        <v>0</v>
      </c>
      <c r="HYA3">
        <f>Database!HYT5</f>
        <v>0</v>
      </c>
      <c r="HYB3">
        <f>Database!HYU5</f>
        <v>0</v>
      </c>
      <c r="HYC3">
        <f>Database!HYV5</f>
        <v>0</v>
      </c>
      <c r="HYD3">
        <f>Database!HYW5</f>
        <v>0</v>
      </c>
      <c r="HYE3">
        <f>Database!HYX5</f>
        <v>0</v>
      </c>
      <c r="HYF3">
        <f>Database!HYY5</f>
        <v>0</v>
      </c>
      <c r="HYG3">
        <f>Database!HYZ5</f>
        <v>0</v>
      </c>
      <c r="HYH3">
        <f>Database!HZA5</f>
        <v>0</v>
      </c>
      <c r="HYI3">
        <f>Database!HZB5</f>
        <v>0</v>
      </c>
      <c r="HYJ3">
        <f>Database!HZC5</f>
        <v>0</v>
      </c>
      <c r="HYK3">
        <f>Database!HZD5</f>
        <v>0</v>
      </c>
      <c r="HYL3">
        <f>Database!HZE5</f>
        <v>0</v>
      </c>
      <c r="HYM3">
        <f>Database!HZF5</f>
        <v>0</v>
      </c>
      <c r="HYN3">
        <f>Database!HZG5</f>
        <v>0</v>
      </c>
      <c r="HYO3">
        <f>Database!HZH5</f>
        <v>0</v>
      </c>
      <c r="HYP3">
        <f>Database!HZI5</f>
        <v>0</v>
      </c>
      <c r="HYQ3">
        <f>Database!HZJ5</f>
        <v>0</v>
      </c>
      <c r="HYR3">
        <f>Database!HZK5</f>
        <v>0</v>
      </c>
      <c r="HYS3">
        <f>Database!HZL5</f>
        <v>0</v>
      </c>
      <c r="HYT3">
        <f>Database!HZM5</f>
        <v>0</v>
      </c>
      <c r="HYU3">
        <f>Database!HZN5</f>
        <v>0</v>
      </c>
      <c r="HYV3">
        <f>Database!HZO5</f>
        <v>0</v>
      </c>
      <c r="HYW3">
        <f>Database!HZP5</f>
        <v>0</v>
      </c>
      <c r="HYX3">
        <f>Database!HZQ5</f>
        <v>0</v>
      </c>
      <c r="HYY3">
        <f>Database!HZR5</f>
        <v>0</v>
      </c>
      <c r="HYZ3">
        <f>Database!HZS5</f>
        <v>0</v>
      </c>
      <c r="HZA3">
        <f>Database!HZT5</f>
        <v>0</v>
      </c>
      <c r="HZB3">
        <f>Database!HZU5</f>
        <v>0</v>
      </c>
      <c r="HZC3">
        <f>Database!HZV5</f>
        <v>0</v>
      </c>
      <c r="HZD3">
        <f>Database!HZW5</f>
        <v>0</v>
      </c>
      <c r="HZE3">
        <f>Database!HZX5</f>
        <v>0</v>
      </c>
      <c r="HZF3">
        <f>Database!HZY5</f>
        <v>0</v>
      </c>
      <c r="HZG3">
        <f>Database!HZZ5</f>
        <v>0</v>
      </c>
      <c r="HZH3">
        <f>Database!IAA5</f>
        <v>0</v>
      </c>
      <c r="HZI3">
        <f>Database!IAB5</f>
        <v>0</v>
      </c>
      <c r="HZJ3">
        <f>Database!IAC5</f>
        <v>0</v>
      </c>
      <c r="HZK3">
        <f>Database!IAD5</f>
        <v>0</v>
      </c>
      <c r="HZL3">
        <f>Database!IAE5</f>
        <v>0</v>
      </c>
      <c r="HZM3">
        <f>Database!IAF5</f>
        <v>0</v>
      </c>
      <c r="HZN3">
        <f>Database!IAG5</f>
        <v>0</v>
      </c>
      <c r="HZO3">
        <f>Database!IAH5</f>
        <v>0</v>
      </c>
      <c r="HZP3">
        <f>Database!IAI5</f>
        <v>0</v>
      </c>
      <c r="HZQ3">
        <f>Database!IAJ5</f>
        <v>0</v>
      </c>
      <c r="HZR3">
        <f>Database!IAK5</f>
        <v>0</v>
      </c>
      <c r="HZS3">
        <f>Database!IAL5</f>
        <v>0</v>
      </c>
      <c r="HZT3">
        <f>Database!IAM5</f>
        <v>0</v>
      </c>
      <c r="HZU3">
        <f>Database!IAN5</f>
        <v>0</v>
      </c>
      <c r="HZV3">
        <f>Database!IAO5</f>
        <v>0</v>
      </c>
      <c r="HZW3">
        <f>Database!IAP5</f>
        <v>0</v>
      </c>
      <c r="HZX3">
        <f>Database!IAQ5</f>
        <v>0</v>
      </c>
      <c r="HZY3">
        <f>Database!IAR5</f>
        <v>0</v>
      </c>
      <c r="HZZ3">
        <f>Database!IAS5</f>
        <v>0</v>
      </c>
      <c r="IAA3">
        <f>Database!IAT5</f>
        <v>0</v>
      </c>
      <c r="IAB3">
        <f>Database!IAU5</f>
        <v>0</v>
      </c>
      <c r="IAC3">
        <f>Database!IAV5</f>
        <v>0</v>
      </c>
      <c r="IAD3">
        <f>Database!IAW5</f>
        <v>0</v>
      </c>
      <c r="IAE3">
        <f>Database!IAX5</f>
        <v>0</v>
      </c>
      <c r="IAF3">
        <f>Database!IAY5</f>
        <v>0</v>
      </c>
      <c r="IAG3">
        <f>Database!IAZ5</f>
        <v>0</v>
      </c>
      <c r="IAH3">
        <f>Database!IBA5</f>
        <v>0</v>
      </c>
      <c r="IAI3">
        <f>Database!IBB5</f>
        <v>0</v>
      </c>
      <c r="IAJ3">
        <f>Database!IBC5</f>
        <v>0</v>
      </c>
      <c r="IAK3">
        <f>Database!IBD5</f>
        <v>0</v>
      </c>
      <c r="IAL3">
        <f>Database!IBE5</f>
        <v>0</v>
      </c>
      <c r="IAM3">
        <f>Database!IBF5</f>
        <v>0</v>
      </c>
      <c r="IAN3">
        <f>Database!IBG5</f>
        <v>0</v>
      </c>
      <c r="IAO3">
        <f>Database!IBH5</f>
        <v>0</v>
      </c>
      <c r="IAP3">
        <f>Database!IBI5</f>
        <v>0</v>
      </c>
      <c r="IAQ3">
        <f>Database!IBJ5</f>
        <v>0</v>
      </c>
      <c r="IAR3">
        <f>Database!IBK5</f>
        <v>0</v>
      </c>
      <c r="IAS3">
        <f>Database!IBL5</f>
        <v>0</v>
      </c>
      <c r="IAT3">
        <f>Database!IBM5</f>
        <v>0</v>
      </c>
      <c r="IAU3">
        <f>Database!IBN5</f>
        <v>0</v>
      </c>
      <c r="IAV3">
        <f>Database!IBO5</f>
        <v>0</v>
      </c>
      <c r="IAW3">
        <f>Database!IBP5</f>
        <v>0</v>
      </c>
      <c r="IAX3">
        <f>Database!IBQ5</f>
        <v>0</v>
      </c>
      <c r="IAY3">
        <f>Database!IBR5</f>
        <v>0</v>
      </c>
      <c r="IAZ3">
        <f>Database!IBS5</f>
        <v>0</v>
      </c>
      <c r="IBA3">
        <f>Database!IBT5</f>
        <v>0</v>
      </c>
      <c r="IBB3">
        <f>Database!IBU5</f>
        <v>0</v>
      </c>
      <c r="IBC3">
        <f>Database!IBV5</f>
        <v>0</v>
      </c>
      <c r="IBD3">
        <f>Database!IBW5</f>
        <v>0</v>
      </c>
      <c r="IBE3">
        <f>Database!IBX5</f>
        <v>0</v>
      </c>
      <c r="IBF3">
        <f>Database!IBY5</f>
        <v>0</v>
      </c>
      <c r="IBG3">
        <f>Database!IBZ5</f>
        <v>0</v>
      </c>
      <c r="IBH3">
        <f>Database!ICA5</f>
        <v>0</v>
      </c>
      <c r="IBI3">
        <f>Database!ICB5</f>
        <v>0</v>
      </c>
      <c r="IBJ3">
        <f>Database!ICC5</f>
        <v>0</v>
      </c>
      <c r="IBK3">
        <f>Database!ICD5</f>
        <v>0</v>
      </c>
      <c r="IBL3">
        <f>Database!ICE5</f>
        <v>0</v>
      </c>
      <c r="IBM3">
        <f>Database!ICF5</f>
        <v>0</v>
      </c>
      <c r="IBN3">
        <f>Database!ICG5</f>
        <v>0</v>
      </c>
      <c r="IBO3">
        <f>Database!ICH5</f>
        <v>0</v>
      </c>
      <c r="IBP3">
        <f>Database!ICI5</f>
        <v>0</v>
      </c>
      <c r="IBQ3">
        <f>Database!ICJ5</f>
        <v>0</v>
      </c>
      <c r="IBR3">
        <f>Database!ICK5</f>
        <v>0</v>
      </c>
      <c r="IBS3">
        <f>Database!ICL5</f>
        <v>0</v>
      </c>
      <c r="IBT3">
        <f>Database!ICM5</f>
        <v>0</v>
      </c>
      <c r="IBU3">
        <f>Database!ICN5</f>
        <v>0</v>
      </c>
      <c r="IBV3">
        <f>Database!ICO5</f>
        <v>0</v>
      </c>
      <c r="IBW3">
        <f>Database!ICP5</f>
        <v>0</v>
      </c>
      <c r="IBX3">
        <f>Database!ICQ5</f>
        <v>0</v>
      </c>
      <c r="IBY3">
        <f>Database!ICR5</f>
        <v>0</v>
      </c>
      <c r="IBZ3">
        <f>Database!ICS5</f>
        <v>0</v>
      </c>
      <c r="ICA3">
        <f>Database!ICT5</f>
        <v>0</v>
      </c>
      <c r="ICB3">
        <f>Database!ICU5</f>
        <v>0</v>
      </c>
      <c r="ICC3">
        <f>Database!ICV5</f>
        <v>0</v>
      </c>
      <c r="ICD3">
        <f>Database!ICW5</f>
        <v>0</v>
      </c>
      <c r="ICE3">
        <f>Database!ICX5</f>
        <v>0</v>
      </c>
      <c r="ICF3">
        <f>Database!ICY5</f>
        <v>0</v>
      </c>
      <c r="ICG3">
        <f>Database!ICZ5</f>
        <v>0</v>
      </c>
      <c r="ICH3">
        <f>Database!IDA5</f>
        <v>0</v>
      </c>
      <c r="ICI3">
        <f>Database!IDB5</f>
        <v>0</v>
      </c>
      <c r="ICJ3">
        <f>Database!IDC5</f>
        <v>0</v>
      </c>
      <c r="ICK3">
        <f>Database!IDD5</f>
        <v>0</v>
      </c>
      <c r="ICL3">
        <f>Database!IDE5</f>
        <v>0</v>
      </c>
      <c r="ICM3">
        <f>Database!IDF5</f>
        <v>0</v>
      </c>
      <c r="ICN3">
        <f>Database!IDG5</f>
        <v>0</v>
      </c>
      <c r="ICO3">
        <f>Database!IDH5</f>
        <v>0</v>
      </c>
      <c r="ICP3">
        <f>Database!IDI5</f>
        <v>0</v>
      </c>
      <c r="ICQ3">
        <f>Database!IDJ5</f>
        <v>0</v>
      </c>
      <c r="ICR3">
        <f>Database!IDK5</f>
        <v>0</v>
      </c>
      <c r="ICS3">
        <f>Database!IDL5</f>
        <v>0</v>
      </c>
      <c r="ICT3">
        <f>Database!IDM5</f>
        <v>0</v>
      </c>
      <c r="ICU3">
        <f>Database!IDN5</f>
        <v>0</v>
      </c>
      <c r="ICV3">
        <f>Database!IDO5</f>
        <v>0</v>
      </c>
      <c r="ICW3">
        <f>Database!IDP5</f>
        <v>0</v>
      </c>
      <c r="ICX3">
        <f>Database!IDQ5</f>
        <v>0</v>
      </c>
      <c r="ICY3">
        <f>Database!IDR5</f>
        <v>0</v>
      </c>
      <c r="ICZ3">
        <f>Database!IDS5</f>
        <v>0</v>
      </c>
      <c r="IDA3">
        <f>Database!IDT5</f>
        <v>0</v>
      </c>
      <c r="IDB3">
        <f>Database!IDU5</f>
        <v>0</v>
      </c>
      <c r="IDC3">
        <f>Database!IDV5</f>
        <v>0</v>
      </c>
      <c r="IDD3">
        <f>Database!IDW5</f>
        <v>0</v>
      </c>
      <c r="IDE3">
        <f>Database!IDX5</f>
        <v>0</v>
      </c>
      <c r="IDF3">
        <f>Database!IDY5</f>
        <v>0</v>
      </c>
      <c r="IDG3">
        <f>Database!IDZ5</f>
        <v>0</v>
      </c>
      <c r="IDH3">
        <f>Database!IEA5</f>
        <v>0</v>
      </c>
      <c r="IDI3">
        <f>Database!IEB5</f>
        <v>0</v>
      </c>
      <c r="IDJ3">
        <f>Database!IEC5</f>
        <v>0</v>
      </c>
      <c r="IDK3">
        <f>Database!IED5</f>
        <v>0</v>
      </c>
      <c r="IDL3">
        <f>Database!IEE5</f>
        <v>0</v>
      </c>
      <c r="IDM3">
        <f>Database!IEF5</f>
        <v>0</v>
      </c>
      <c r="IDN3">
        <f>Database!IEG5</f>
        <v>0</v>
      </c>
      <c r="IDO3">
        <f>Database!IEH5</f>
        <v>0</v>
      </c>
      <c r="IDP3">
        <f>Database!IEI5</f>
        <v>0</v>
      </c>
      <c r="IDQ3">
        <f>Database!IEJ5</f>
        <v>0</v>
      </c>
      <c r="IDR3">
        <f>Database!IEK5</f>
        <v>0</v>
      </c>
      <c r="IDS3">
        <f>Database!IEL5</f>
        <v>0</v>
      </c>
      <c r="IDT3">
        <f>Database!IEM5</f>
        <v>0</v>
      </c>
      <c r="IDU3">
        <f>Database!IEN5</f>
        <v>0</v>
      </c>
      <c r="IDV3">
        <f>Database!IEO5</f>
        <v>0</v>
      </c>
      <c r="IDW3">
        <f>Database!IEP5</f>
        <v>0</v>
      </c>
      <c r="IDX3">
        <f>Database!IEQ5</f>
        <v>0</v>
      </c>
      <c r="IDY3">
        <f>Database!IER5</f>
        <v>0</v>
      </c>
      <c r="IDZ3">
        <f>Database!IES5</f>
        <v>0</v>
      </c>
      <c r="IEA3">
        <f>Database!IET5</f>
        <v>0</v>
      </c>
      <c r="IEB3">
        <f>Database!IEU5</f>
        <v>0</v>
      </c>
      <c r="IEC3">
        <f>Database!IEV5</f>
        <v>0</v>
      </c>
      <c r="IED3">
        <f>Database!IEW5</f>
        <v>0</v>
      </c>
      <c r="IEE3">
        <f>Database!IEX5</f>
        <v>0</v>
      </c>
      <c r="IEF3">
        <f>Database!IEY5</f>
        <v>0</v>
      </c>
      <c r="IEG3">
        <f>Database!IEZ5</f>
        <v>0</v>
      </c>
      <c r="IEH3">
        <f>Database!IFA5</f>
        <v>0</v>
      </c>
      <c r="IEI3">
        <f>Database!IFB5</f>
        <v>0</v>
      </c>
      <c r="IEJ3">
        <f>Database!IFC5</f>
        <v>0</v>
      </c>
      <c r="IEK3">
        <f>Database!IFD5</f>
        <v>0</v>
      </c>
      <c r="IEL3">
        <f>Database!IFE5</f>
        <v>0</v>
      </c>
      <c r="IEM3">
        <f>Database!IFF5</f>
        <v>0</v>
      </c>
      <c r="IEN3">
        <f>Database!IFG5</f>
        <v>0</v>
      </c>
      <c r="IEO3">
        <f>Database!IFH5</f>
        <v>0</v>
      </c>
      <c r="IEP3">
        <f>Database!IFI5</f>
        <v>0</v>
      </c>
      <c r="IEQ3">
        <f>Database!IFJ5</f>
        <v>0</v>
      </c>
      <c r="IER3">
        <f>Database!IFK5</f>
        <v>0</v>
      </c>
      <c r="IES3">
        <f>Database!IFL5</f>
        <v>0</v>
      </c>
      <c r="IET3">
        <f>Database!IFM5</f>
        <v>0</v>
      </c>
      <c r="IEU3">
        <f>Database!IFN5</f>
        <v>0</v>
      </c>
      <c r="IEV3">
        <f>Database!IFO5</f>
        <v>0</v>
      </c>
      <c r="IEW3">
        <f>Database!IFP5</f>
        <v>0</v>
      </c>
      <c r="IEX3">
        <f>Database!IFQ5</f>
        <v>0</v>
      </c>
      <c r="IEY3">
        <f>Database!IFR5</f>
        <v>0</v>
      </c>
      <c r="IEZ3">
        <f>Database!IFS5</f>
        <v>0</v>
      </c>
      <c r="IFA3">
        <f>Database!IFT5</f>
        <v>0</v>
      </c>
      <c r="IFB3">
        <f>Database!IFU5</f>
        <v>0</v>
      </c>
      <c r="IFC3">
        <f>Database!IFV5</f>
        <v>0</v>
      </c>
      <c r="IFD3">
        <f>Database!IFW5</f>
        <v>0</v>
      </c>
      <c r="IFE3">
        <f>Database!IFX5</f>
        <v>0</v>
      </c>
      <c r="IFF3">
        <f>Database!IFY5</f>
        <v>0</v>
      </c>
      <c r="IFG3">
        <f>Database!IFZ5</f>
        <v>0</v>
      </c>
      <c r="IFH3">
        <f>Database!IGA5</f>
        <v>0</v>
      </c>
      <c r="IFI3">
        <f>Database!IGB5</f>
        <v>0</v>
      </c>
      <c r="IFJ3">
        <f>Database!IGC5</f>
        <v>0</v>
      </c>
      <c r="IFK3">
        <f>Database!IGD5</f>
        <v>0</v>
      </c>
      <c r="IFL3">
        <f>Database!IGE5</f>
        <v>0</v>
      </c>
      <c r="IFM3">
        <f>Database!IGF5</f>
        <v>0</v>
      </c>
      <c r="IFN3">
        <f>Database!IGG5</f>
        <v>0</v>
      </c>
      <c r="IFO3">
        <f>Database!IGH5</f>
        <v>0</v>
      </c>
      <c r="IFP3">
        <f>Database!IGI5</f>
        <v>0</v>
      </c>
      <c r="IFQ3">
        <f>Database!IGJ5</f>
        <v>0</v>
      </c>
      <c r="IFR3">
        <f>Database!IGK5</f>
        <v>0</v>
      </c>
      <c r="IFS3">
        <f>Database!IGL5</f>
        <v>0</v>
      </c>
      <c r="IFT3">
        <f>Database!IGM5</f>
        <v>0</v>
      </c>
      <c r="IFU3">
        <f>Database!IGN5</f>
        <v>0</v>
      </c>
      <c r="IFV3">
        <f>Database!IGO5</f>
        <v>0</v>
      </c>
      <c r="IFW3">
        <f>Database!IGP5</f>
        <v>0</v>
      </c>
      <c r="IFX3">
        <f>Database!IGQ5</f>
        <v>0</v>
      </c>
      <c r="IFY3">
        <f>Database!IGR5</f>
        <v>0</v>
      </c>
      <c r="IFZ3">
        <f>Database!IGS5</f>
        <v>0</v>
      </c>
      <c r="IGA3">
        <f>Database!IGT5</f>
        <v>0</v>
      </c>
      <c r="IGB3">
        <f>Database!IGU5</f>
        <v>0</v>
      </c>
      <c r="IGC3">
        <f>Database!IGV5</f>
        <v>0</v>
      </c>
      <c r="IGD3">
        <f>Database!IGW5</f>
        <v>0</v>
      </c>
      <c r="IGE3">
        <f>Database!IGX5</f>
        <v>0</v>
      </c>
      <c r="IGF3">
        <f>Database!IGY5</f>
        <v>0</v>
      </c>
      <c r="IGG3">
        <f>Database!IGZ5</f>
        <v>0</v>
      </c>
      <c r="IGH3">
        <f>Database!IHA5</f>
        <v>0</v>
      </c>
      <c r="IGI3">
        <f>Database!IHB5</f>
        <v>0</v>
      </c>
      <c r="IGJ3">
        <f>Database!IHC5</f>
        <v>0</v>
      </c>
      <c r="IGK3">
        <f>Database!IHD5</f>
        <v>0</v>
      </c>
      <c r="IGL3">
        <f>Database!IHE5</f>
        <v>0</v>
      </c>
      <c r="IGM3">
        <f>Database!IHF5</f>
        <v>0</v>
      </c>
      <c r="IGN3">
        <f>Database!IHG5</f>
        <v>0</v>
      </c>
      <c r="IGO3">
        <f>Database!IHH5</f>
        <v>0</v>
      </c>
      <c r="IGP3">
        <f>Database!IHI5</f>
        <v>0</v>
      </c>
      <c r="IGQ3">
        <f>Database!IHJ5</f>
        <v>0</v>
      </c>
      <c r="IGR3">
        <f>Database!IHK5</f>
        <v>0</v>
      </c>
      <c r="IGS3">
        <f>Database!IHL5</f>
        <v>0</v>
      </c>
      <c r="IGT3">
        <f>Database!IHM5</f>
        <v>0</v>
      </c>
      <c r="IGU3">
        <f>Database!IHN5</f>
        <v>0</v>
      </c>
      <c r="IGV3">
        <f>Database!IHO5</f>
        <v>0</v>
      </c>
      <c r="IGW3">
        <f>Database!IHP5</f>
        <v>0</v>
      </c>
      <c r="IGX3">
        <f>Database!IHQ5</f>
        <v>0</v>
      </c>
      <c r="IGY3">
        <f>Database!IHR5</f>
        <v>0</v>
      </c>
      <c r="IGZ3">
        <f>Database!IHS5</f>
        <v>0</v>
      </c>
      <c r="IHA3">
        <f>Database!IHT5</f>
        <v>0</v>
      </c>
      <c r="IHB3">
        <f>Database!IHU5</f>
        <v>0</v>
      </c>
      <c r="IHC3">
        <f>Database!IHV5</f>
        <v>0</v>
      </c>
      <c r="IHD3">
        <f>Database!IHW5</f>
        <v>0</v>
      </c>
      <c r="IHE3">
        <f>Database!IHX5</f>
        <v>0</v>
      </c>
      <c r="IHF3">
        <f>Database!IHY5</f>
        <v>0</v>
      </c>
      <c r="IHG3">
        <f>Database!IHZ5</f>
        <v>0</v>
      </c>
      <c r="IHH3">
        <f>Database!IIA5</f>
        <v>0</v>
      </c>
      <c r="IHI3">
        <f>Database!IIB5</f>
        <v>0</v>
      </c>
      <c r="IHJ3">
        <f>Database!IIC5</f>
        <v>0</v>
      </c>
      <c r="IHK3">
        <f>Database!IID5</f>
        <v>0</v>
      </c>
      <c r="IHL3">
        <f>Database!IIE5</f>
        <v>0</v>
      </c>
      <c r="IHM3">
        <f>Database!IIF5</f>
        <v>0</v>
      </c>
      <c r="IHN3">
        <f>Database!IIG5</f>
        <v>0</v>
      </c>
      <c r="IHO3">
        <f>Database!IIH5</f>
        <v>0</v>
      </c>
      <c r="IHP3">
        <f>Database!III5</f>
        <v>0</v>
      </c>
      <c r="IHQ3">
        <f>Database!IIJ5</f>
        <v>0</v>
      </c>
      <c r="IHR3">
        <f>Database!IIK5</f>
        <v>0</v>
      </c>
      <c r="IHS3">
        <f>Database!IIL5</f>
        <v>0</v>
      </c>
      <c r="IHT3">
        <f>Database!IIM5</f>
        <v>0</v>
      </c>
      <c r="IHU3">
        <f>Database!IIN5</f>
        <v>0</v>
      </c>
      <c r="IHV3">
        <f>Database!IIO5</f>
        <v>0</v>
      </c>
      <c r="IHW3">
        <f>Database!IIP5</f>
        <v>0</v>
      </c>
      <c r="IHX3">
        <f>Database!IIQ5</f>
        <v>0</v>
      </c>
      <c r="IHY3">
        <f>Database!IIR5</f>
        <v>0</v>
      </c>
      <c r="IHZ3">
        <f>Database!IIS5</f>
        <v>0</v>
      </c>
      <c r="IIA3">
        <f>Database!IIT5</f>
        <v>0</v>
      </c>
      <c r="IIB3">
        <f>Database!IIU5</f>
        <v>0</v>
      </c>
      <c r="IIC3">
        <f>Database!IIV5</f>
        <v>0</v>
      </c>
      <c r="IID3">
        <f>Database!IIW5</f>
        <v>0</v>
      </c>
      <c r="IIE3">
        <f>Database!IIX5</f>
        <v>0</v>
      </c>
      <c r="IIF3">
        <f>Database!IIY5</f>
        <v>0</v>
      </c>
      <c r="IIG3">
        <f>Database!IIZ5</f>
        <v>0</v>
      </c>
      <c r="IIH3">
        <f>Database!IJA5</f>
        <v>0</v>
      </c>
      <c r="III3">
        <f>Database!IJB5</f>
        <v>0</v>
      </c>
      <c r="IIJ3">
        <f>Database!IJC5</f>
        <v>0</v>
      </c>
      <c r="IIK3">
        <f>Database!IJD5</f>
        <v>0</v>
      </c>
      <c r="IIL3">
        <f>Database!IJE5</f>
        <v>0</v>
      </c>
      <c r="IIM3">
        <f>Database!IJF5</f>
        <v>0</v>
      </c>
      <c r="IIN3">
        <f>Database!IJG5</f>
        <v>0</v>
      </c>
      <c r="IIO3">
        <f>Database!IJH5</f>
        <v>0</v>
      </c>
      <c r="IIP3">
        <f>Database!IJI5</f>
        <v>0</v>
      </c>
      <c r="IIQ3">
        <f>Database!IJJ5</f>
        <v>0</v>
      </c>
      <c r="IIR3">
        <f>Database!IJK5</f>
        <v>0</v>
      </c>
      <c r="IIS3">
        <f>Database!IJL5</f>
        <v>0</v>
      </c>
      <c r="IIT3">
        <f>Database!IJM5</f>
        <v>0</v>
      </c>
      <c r="IIU3">
        <f>Database!IJN5</f>
        <v>0</v>
      </c>
      <c r="IIV3">
        <f>Database!IJO5</f>
        <v>0</v>
      </c>
      <c r="IIW3">
        <f>Database!IJP5</f>
        <v>0</v>
      </c>
      <c r="IIX3">
        <f>Database!IJQ5</f>
        <v>0</v>
      </c>
      <c r="IIY3">
        <f>Database!IJR5</f>
        <v>0</v>
      </c>
      <c r="IIZ3">
        <f>Database!IJS5</f>
        <v>0</v>
      </c>
      <c r="IJA3">
        <f>Database!IJT5</f>
        <v>0</v>
      </c>
      <c r="IJB3">
        <f>Database!IJU5</f>
        <v>0</v>
      </c>
      <c r="IJC3">
        <f>Database!IJV5</f>
        <v>0</v>
      </c>
      <c r="IJD3">
        <f>Database!IJW5</f>
        <v>0</v>
      </c>
      <c r="IJE3">
        <f>Database!IJX5</f>
        <v>0</v>
      </c>
      <c r="IJF3">
        <f>Database!IJY5</f>
        <v>0</v>
      </c>
      <c r="IJG3">
        <f>Database!IJZ5</f>
        <v>0</v>
      </c>
      <c r="IJH3">
        <f>Database!IKA5</f>
        <v>0</v>
      </c>
      <c r="IJI3">
        <f>Database!IKB5</f>
        <v>0</v>
      </c>
      <c r="IJJ3">
        <f>Database!IKC5</f>
        <v>0</v>
      </c>
      <c r="IJK3">
        <f>Database!IKD5</f>
        <v>0</v>
      </c>
      <c r="IJL3">
        <f>Database!IKE5</f>
        <v>0</v>
      </c>
      <c r="IJM3">
        <f>Database!IKF5</f>
        <v>0</v>
      </c>
      <c r="IJN3">
        <f>Database!IKG5</f>
        <v>0</v>
      </c>
      <c r="IJO3">
        <f>Database!IKH5</f>
        <v>0</v>
      </c>
      <c r="IJP3">
        <f>Database!IKI5</f>
        <v>0</v>
      </c>
      <c r="IJQ3">
        <f>Database!IKJ5</f>
        <v>0</v>
      </c>
      <c r="IJR3">
        <f>Database!IKK5</f>
        <v>0</v>
      </c>
      <c r="IJS3">
        <f>Database!IKL5</f>
        <v>0</v>
      </c>
      <c r="IJT3">
        <f>Database!IKM5</f>
        <v>0</v>
      </c>
      <c r="IJU3">
        <f>Database!IKN5</f>
        <v>0</v>
      </c>
      <c r="IJV3">
        <f>Database!IKO5</f>
        <v>0</v>
      </c>
      <c r="IJW3">
        <f>Database!IKP5</f>
        <v>0</v>
      </c>
      <c r="IJX3">
        <f>Database!IKQ5</f>
        <v>0</v>
      </c>
      <c r="IJY3">
        <f>Database!IKR5</f>
        <v>0</v>
      </c>
      <c r="IJZ3">
        <f>Database!IKS5</f>
        <v>0</v>
      </c>
      <c r="IKA3">
        <f>Database!IKT5</f>
        <v>0</v>
      </c>
      <c r="IKB3">
        <f>Database!IKU5</f>
        <v>0</v>
      </c>
      <c r="IKC3">
        <f>Database!IKV5</f>
        <v>0</v>
      </c>
      <c r="IKD3">
        <f>Database!IKW5</f>
        <v>0</v>
      </c>
      <c r="IKE3">
        <f>Database!IKX5</f>
        <v>0</v>
      </c>
      <c r="IKF3">
        <f>Database!IKY5</f>
        <v>0</v>
      </c>
      <c r="IKG3">
        <f>Database!IKZ5</f>
        <v>0</v>
      </c>
      <c r="IKH3">
        <f>Database!ILA5</f>
        <v>0</v>
      </c>
      <c r="IKI3">
        <f>Database!ILB5</f>
        <v>0</v>
      </c>
      <c r="IKJ3">
        <f>Database!ILC5</f>
        <v>0</v>
      </c>
      <c r="IKK3">
        <f>Database!ILD5</f>
        <v>0</v>
      </c>
      <c r="IKL3">
        <f>Database!ILE5</f>
        <v>0</v>
      </c>
      <c r="IKM3">
        <f>Database!ILF5</f>
        <v>0</v>
      </c>
      <c r="IKN3">
        <f>Database!ILG5</f>
        <v>0</v>
      </c>
      <c r="IKO3">
        <f>Database!ILH5</f>
        <v>0</v>
      </c>
      <c r="IKP3">
        <f>Database!ILI5</f>
        <v>0</v>
      </c>
      <c r="IKQ3">
        <f>Database!ILJ5</f>
        <v>0</v>
      </c>
      <c r="IKR3">
        <f>Database!ILK5</f>
        <v>0</v>
      </c>
      <c r="IKS3">
        <f>Database!ILL5</f>
        <v>0</v>
      </c>
      <c r="IKT3">
        <f>Database!ILM5</f>
        <v>0</v>
      </c>
      <c r="IKU3">
        <f>Database!ILN5</f>
        <v>0</v>
      </c>
      <c r="IKV3">
        <f>Database!ILO5</f>
        <v>0</v>
      </c>
      <c r="IKW3">
        <f>Database!ILP5</f>
        <v>0</v>
      </c>
      <c r="IKX3">
        <f>Database!ILQ5</f>
        <v>0</v>
      </c>
      <c r="IKY3">
        <f>Database!ILR5</f>
        <v>0</v>
      </c>
      <c r="IKZ3">
        <f>Database!ILS5</f>
        <v>0</v>
      </c>
      <c r="ILA3">
        <f>Database!ILT5</f>
        <v>0</v>
      </c>
      <c r="ILB3">
        <f>Database!ILU5</f>
        <v>0</v>
      </c>
      <c r="ILC3">
        <f>Database!ILV5</f>
        <v>0</v>
      </c>
      <c r="ILD3">
        <f>Database!ILW5</f>
        <v>0</v>
      </c>
      <c r="ILE3">
        <f>Database!ILX5</f>
        <v>0</v>
      </c>
      <c r="ILF3">
        <f>Database!ILY5</f>
        <v>0</v>
      </c>
      <c r="ILG3">
        <f>Database!ILZ5</f>
        <v>0</v>
      </c>
      <c r="ILH3">
        <f>Database!IMA5</f>
        <v>0</v>
      </c>
      <c r="ILI3">
        <f>Database!IMB5</f>
        <v>0</v>
      </c>
      <c r="ILJ3">
        <f>Database!IMC5</f>
        <v>0</v>
      </c>
      <c r="ILK3">
        <f>Database!IMD5</f>
        <v>0</v>
      </c>
      <c r="ILL3">
        <f>Database!IME5</f>
        <v>0</v>
      </c>
      <c r="ILM3">
        <f>Database!IMF5</f>
        <v>0</v>
      </c>
      <c r="ILN3">
        <f>Database!IMG5</f>
        <v>0</v>
      </c>
      <c r="ILO3">
        <f>Database!IMH5</f>
        <v>0</v>
      </c>
      <c r="ILP3">
        <f>Database!IMI5</f>
        <v>0</v>
      </c>
      <c r="ILQ3">
        <f>Database!IMJ5</f>
        <v>0</v>
      </c>
      <c r="ILR3">
        <f>Database!IMK5</f>
        <v>0</v>
      </c>
      <c r="ILS3">
        <f>Database!IML5</f>
        <v>0</v>
      </c>
      <c r="ILT3">
        <f>Database!IMM5</f>
        <v>0</v>
      </c>
      <c r="ILU3">
        <f>Database!IMN5</f>
        <v>0</v>
      </c>
      <c r="ILV3">
        <f>Database!IMO5</f>
        <v>0</v>
      </c>
      <c r="ILW3">
        <f>Database!IMP5</f>
        <v>0</v>
      </c>
      <c r="ILX3">
        <f>Database!IMQ5</f>
        <v>0</v>
      </c>
      <c r="ILY3">
        <f>Database!IMR5</f>
        <v>0</v>
      </c>
      <c r="ILZ3">
        <f>Database!IMS5</f>
        <v>0</v>
      </c>
      <c r="IMA3">
        <f>Database!IMT5</f>
        <v>0</v>
      </c>
      <c r="IMB3">
        <f>Database!IMU5</f>
        <v>0</v>
      </c>
      <c r="IMC3">
        <f>Database!IMV5</f>
        <v>0</v>
      </c>
      <c r="IMD3">
        <f>Database!IMW5</f>
        <v>0</v>
      </c>
      <c r="IME3">
        <f>Database!IMX5</f>
        <v>0</v>
      </c>
      <c r="IMF3">
        <f>Database!IMY5</f>
        <v>0</v>
      </c>
      <c r="IMG3">
        <f>Database!IMZ5</f>
        <v>0</v>
      </c>
      <c r="IMH3">
        <f>Database!INA5</f>
        <v>0</v>
      </c>
      <c r="IMI3">
        <f>Database!INB5</f>
        <v>0</v>
      </c>
      <c r="IMJ3">
        <f>Database!INC5</f>
        <v>0</v>
      </c>
      <c r="IMK3">
        <f>Database!IND5</f>
        <v>0</v>
      </c>
      <c r="IML3">
        <f>Database!INE5</f>
        <v>0</v>
      </c>
      <c r="IMM3">
        <f>Database!INF5</f>
        <v>0</v>
      </c>
      <c r="IMN3">
        <f>Database!ING5</f>
        <v>0</v>
      </c>
      <c r="IMO3">
        <f>Database!INH5</f>
        <v>0</v>
      </c>
      <c r="IMP3">
        <f>Database!INI5</f>
        <v>0</v>
      </c>
      <c r="IMQ3">
        <f>Database!INJ5</f>
        <v>0</v>
      </c>
      <c r="IMR3">
        <f>Database!INK5</f>
        <v>0</v>
      </c>
      <c r="IMS3">
        <f>Database!INL5</f>
        <v>0</v>
      </c>
      <c r="IMT3">
        <f>Database!INM5</f>
        <v>0</v>
      </c>
      <c r="IMU3">
        <f>Database!INN5</f>
        <v>0</v>
      </c>
      <c r="IMV3">
        <f>Database!INO5</f>
        <v>0</v>
      </c>
      <c r="IMW3">
        <f>Database!INP5</f>
        <v>0</v>
      </c>
      <c r="IMX3">
        <f>Database!INQ5</f>
        <v>0</v>
      </c>
      <c r="IMY3">
        <f>Database!INR5</f>
        <v>0</v>
      </c>
      <c r="IMZ3">
        <f>Database!INS5</f>
        <v>0</v>
      </c>
      <c r="INA3">
        <f>Database!INT5</f>
        <v>0</v>
      </c>
      <c r="INB3">
        <f>Database!INU5</f>
        <v>0</v>
      </c>
      <c r="INC3">
        <f>Database!INV5</f>
        <v>0</v>
      </c>
      <c r="IND3">
        <f>Database!INW5</f>
        <v>0</v>
      </c>
      <c r="INE3">
        <f>Database!INX5</f>
        <v>0</v>
      </c>
      <c r="INF3">
        <f>Database!INY5</f>
        <v>0</v>
      </c>
      <c r="ING3">
        <f>Database!INZ5</f>
        <v>0</v>
      </c>
      <c r="INH3">
        <f>Database!IOA5</f>
        <v>0</v>
      </c>
      <c r="INI3">
        <f>Database!IOB5</f>
        <v>0</v>
      </c>
      <c r="INJ3">
        <f>Database!IOC5</f>
        <v>0</v>
      </c>
      <c r="INK3">
        <f>Database!IOD5</f>
        <v>0</v>
      </c>
      <c r="INL3">
        <f>Database!IOE5</f>
        <v>0</v>
      </c>
      <c r="INM3">
        <f>Database!IOF5</f>
        <v>0</v>
      </c>
      <c r="INN3">
        <f>Database!IOG5</f>
        <v>0</v>
      </c>
      <c r="INO3">
        <f>Database!IOH5</f>
        <v>0</v>
      </c>
      <c r="INP3">
        <f>Database!IOI5</f>
        <v>0</v>
      </c>
      <c r="INQ3">
        <f>Database!IOJ5</f>
        <v>0</v>
      </c>
      <c r="INR3">
        <f>Database!IOK5</f>
        <v>0</v>
      </c>
      <c r="INS3">
        <f>Database!IOL5</f>
        <v>0</v>
      </c>
      <c r="INT3">
        <f>Database!IOM5</f>
        <v>0</v>
      </c>
      <c r="INU3">
        <f>Database!ION5</f>
        <v>0</v>
      </c>
      <c r="INV3">
        <f>Database!IOO5</f>
        <v>0</v>
      </c>
      <c r="INW3">
        <f>Database!IOP5</f>
        <v>0</v>
      </c>
      <c r="INX3">
        <f>Database!IOQ5</f>
        <v>0</v>
      </c>
      <c r="INY3">
        <f>Database!IOR5</f>
        <v>0</v>
      </c>
      <c r="INZ3">
        <f>Database!IOS5</f>
        <v>0</v>
      </c>
      <c r="IOA3">
        <f>Database!IOT5</f>
        <v>0</v>
      </c>
      <c r="IOB3">
        <f>Database!IOU5</f>
        <v>0</v>
      </c>
      <c r="IOC3">
        <f>Database!IOV5</f>
        <v>0</v>
      </c>
      <c r="IOD3">
        <f>Database!IOW5</f>
        <v>0</v>
      </c>
      <c r="IOE3">
        <f>Database!IOX5</f>
        <v>0</v>
      </c>
      <c r="IOF3">
        <f>Database!IOY5</f>
        <v>0</v>
      </c>
      <c r="IOG3">
        <f>Database!IOZ5</f>
        <v>0</v>
      </c>
      <c r="IOH3">
        <f>Database!IPA5</f>
        <v>0</v>
      </c>
      <c r="IOI3">
        <f>Database!IPB5</f>
        <v>0</v>
      </c>
      <c r="IOJ3">
        <f>Database!IPC5</f>
        <v>0</v>
      </c>
      <c r="IOK3">
        <f>Database!IPD5</f>
        <v>0</v>
      </c>
      <c r="IOL3">
        <f>Database!IPE5</f>
        <v>0</v>
      </c>
      <c r="IOM3">
        <f>Database!IPF5</f>
        <v>0</v>
      </c>
      <c r="ION3">
        <f>Database!IPG5</f>
        <v>0</v>
      </c>
      <c r="IOO3">
        <f>Database!IPH5</f>
        <v>0</v>
      </c>
      <c r="IOP3">
        <f>Database!IPI5</f>
        <v>0</v>
      </c>
      <c r="IOQ3">
        <f>Database!IPJ5</f>
        <v>0</v>
      </c>
      <c r="IOR3">
        <f>Database!IPK5</f>
        <v>0</v>
      </c>
      <c r="IOS3">
        <f>Database!IPL5</f>
        <v>0</v>
      </c>
      <c r="IOT3">
        <f>Database!IPM5</f>
        <v>0</v>
      </c>
      <c r="IOU3">
        <f>Database!IPN5</f>
        <v>0</v>
      </c>
      <c r="IOV3">
        <f>Database!IPO5</f>
        <v>0</v>
      </c>
      <c r="IOW3">
        <f>Database!IPP5</f>
        <v>0</v>
      </c>
      <c r="IOX3">
        <f>Database!IPQ5</f>
        <v>0</v>
      </c>
      <c r="IOY3">
        <f>Database!IPR5</f>
        <v>0</v>
      </c>
      <c r="IOZ3">
        <f>Database!IPS5</f>
        <v>0</v>
      </c>
      <c r="IPA3">
        <f>Database!IPT5</f>
        <v>0</v>
      </c>
      <c r="IPB3">
        <f>Database!IPU5</f>
        <v>0</v>
      </c>
      <c r="IPC3">
        <f>Database!IPV5</f>
        <v>0</v>
      </c>
      <c r="IPD3">
        <f>Database!IPW5</f>
        <v>0</v>
      </c>
      <c r="IPE3">
        <f>Database!IPX5</f>
        <v>0</v>
      </c>
      <c r="IPF3">
        <f>Database!IPY5</f>
        <v>0</v>
      </c>
      <c r="IPG3">
        <f>Database!IPZ5</f>
        <v>0</v>
      </c>
      <c r="IPH3">
        <f>Database!IQA5</f>
        <v>0</v>
      </c>
      <c r="IPI3">
        <f>Database!IQB5</f>
        <v>0</v>
      </c>
      <c r="IPJ3">
        <f>Database!IQC5</f>
        <v>0</v>
      </c>
      <c r="IPK3">
        <f>Database!IQD5</f>
        <v>0</v>
      </c>
      <c r="IPL3">
        <f>Database!IQE5</f>
        <v>0</v>
      </c>
      <c r="IPM3">
        <f>Database!IQF5</f>
        <v>0</v>
      </c>
      <c r="IPN3">
        <f>Database!IQG5</f>
        <v>0</v>
      </c>
      <c r="IPO3">
        <f>Database!IQH5</f>
        <v>0</v>
      </c>
      <c r="IPP3">
        <f>Database!IQI5</f>
        <v>0</v>
      </c>
      <c r="IPQ3">
        <f>Database!IQJ5</f>
        <v>0</v>
      </c>
      <c r="IPR3">
        <f>Database!IQK5</f>
        <v>0</v>
      </c>
      <c r="IPS3">
        <f>Database!IQL5</f>
        <v>0</v>
      </c>
      <c r="IPT3">
        <f>Database!IQM5</f>
        <v>0</v>
      </c>
      <c r="IPU3">
        <f>Database!IQN5</f>
        <v>0</v>
      </c>
      <c r="IPV3">
        <f>Database!IQO5</f>
        <v>0</v>
      </c>
      <c r="IPW3">
        <f>Database!IQP5</f>
        <v>0</v>
      </c>
      <c r="IPX3">
        <f>Database!IQQ5</f>
        <v>0</v>
      </c>
      <c r="IPY3">
        <f>Database!IQR5</f>
        <v>0</v>
      </c>
      <c r="IPZ3">
        <f>Database!IQS5</f>
        <v>0</v>
      </c>
      <c r="IQA3">
        <f>Database!IQT5</f>
        <v>0</v>
      </c>
      <c r="IQB3">
        <f>Database!IQU5</f>
        <v>0</v>
      </c>
      <c r="IQC3">
        <f>Database!IQV5</f>
        <v>0</v>
      </c>
      <c r="IQD3">
        <f>Database!IQW5</f>
        <v>0</v>
      </c>
      <c r="IQE3">
        <f>Database!IQX5</f>
        <v>0</v>
      </c>
      <c r="IQF3">
        <f>Database!IQY5</f>
        <v>0</v>
      </c>
      <c r="IQG3">
        <f>Database!IQZ5</f>
        <v>0</v>
      </c>
      <c r="IQH3">
        <f>Database!IRA5</f>
        <v>0</v>
      </c>
      <c r="IQI3">
        <f>Database!IRB5</f>
        <v>0</v>
      </c>
      <c r="IQJ3">
        <f>Database!IRC5</f>
        <v>0</v>
      </c>
      <c r="IQK3">
        <f>Database!IRD5</f>
        <v>0</v>
      </c>
      <c r="IQL3">
        <f>Database!IRE5</f>
        <v>0</v>
      </c>
      <c r="IQM3">
        <f>Database!IRF5</f>
        <v>0</v>
      </c>
      <c r="IQN3">
        <f>Database!IRG5</f>
        <v>0</v>
      </c>
      <c r="IQO3">
        <f>Database!IRH5</f>
        <v>0</v>
      </c>
      <c r="IQP3">
        <f>Database!IRI5</f>
        <v>0</v>
      </c>
      <c r="IQQ3">
        <f>Database!IRJ5</f>
        <v>0</v>
      </c>
      <c r="IQR3">
        <f>Database!IRK5</f>
        <v>0</v>
      </c>
      <c r="IQS3">
        <f>Database!IRL5</f>
        <v>0</v>
      </c>
      <c r="IQT3">
        <f>Database!IRM5</f>
        <v>0</v>
      </c>
      <c r="IQU3">
        <f>Database!IRN5</f>
        <v>0</v>
      </c>
      <c r="IQV3">
        <f>Database!IRO5</f>
        <v>0</v>
      </c>
      <c r="IQW3">
        <f>Database!IRP5</f>
        <v>0</v>
      </c>
      <c r="IQX3">
        <f>Database!IRQ5</f>
        <v>0</v>
      </c>
      <c r="IQY3">
        <f>Database!IRR5</f>
        <v>0</v>
      </c>
      <c r="IQZ3">
        <f>Database!IRS5</f>
        <v>0</v>
      </c>
      <c r="IRA3">
        <f>Database!IRT5</f>
        <v>0</v>
      </c>
      <c r="IRB3">
        <f>Database!IRU5</f>
        <v>0</v>
      </c>
      <c r="IRC3">
        <f>Database!IRV5</f>
        <v>0</v>
      </c>
      <c r="IRD3">
        <f>Database!IRW5</f>
        <v>0</v>
      </c>
      <c r="IRE3">
        <f>Database!IRX5</f>
        <v>0</v>
      </c>
      <c r="IRF3">
        <f>Database!IRY5</f>
        <v>0</v>
      </c>
      <c r="IRG3">
        <f>Database!IRZ5</f>
        <v>0</v>
      </c>
      <c r="IRH3">
        <f>Database!ISA5</f>
        <v>0</v>
      </c>
      <c r="IRI3">
        <f>Database!ISB5</f>
        <v>0</v>
      </c>
      <c r="IRJ3">
        <f>Database!ISC5</f>
        <v>0</v>
      </c>
      <c r="IRK3">
        <f>Database!ISD5</f>
        <v>0</v>
      </c>
      <c r="IRL3">
        <f>Database!ISE5</f>
        <v>0</v>
      </c>
      <c r="IRM3">
        <f>Database!ISF5</f>
        <v>0</v>
      </c>
      <c r="IRN3">
        <f>Database!ISG5</f>
        <v>0</v>
      </c>
      <c r="IRO3">
        <f>Database!ISH5</f>
        <v>0</v>
      </c>
      <c r="IRP3">
        <f>Database!ISI5</f>
        <v>0</v>
      </c>
      <c r="IRQ3">
        <f>Database!ISJ5</f>
        <v>0</v>
      </c>
      <c r="IRR3">
        <f>Database!ISK5</f>
        <v>0</v>
      </c>
      <c r="IRS3">
        <f>Database!ISL5</f>
        <v>0</v>
      </c>
      <c r="IRT3">
        <f>Database!ISM5</f>
        <v>0</v>
      </c>
      <c r="IRU3">
        <f>Database!ISN5</f>
        <v>0</v>
      </c>
      <c r="IRV3">
        <f>Database!ISO5</f>
        <v>0</v>
      </c>
      <c r="IRW3">
        <f>Database!ISP5</f>
        <v>0</v>
      </c>
      <c r="IRX3">
        <f>Database!ISQ5</f>
        <v>0</v>
      </c>
      <c r="IRY3">
        <f>Database!ISR5</f>
        <v>0</v>
      </c>
      <c r="IRZ3">
        <f>Database!ISS5</f>
        <v>0</v>
      </c>
      <c r="ISA3">
        <f>Database!IST5</f>
        <v>0</v>
      </c>
      <c r="ISB3">
        <f>Database!ISU5</f>
        <v>0</v>
      </c>
      <c r="ISC3">
        <f>Database!ISV5</f>
        <v>0</v>
      </c>
      <c r="ISD3">
        <f>Database!ISW5</f>
        <v>0</v>
      </c>
      <c r="ISE3">
        <f>Database!ISX5</f>
        <v>0</v>
      </c>
      <c r="ISF3">
        <f>Database!ISY5</f>
        <v>0</v>
      </c>
      <c r="ISG3">
        <f>Database!ISZ5</f>
        <v>0</v>
      </c>
      <c r="ISH3">
        <f>Database!ITA5</f>
        <v>0</v>
      </c>
      <c r="ISI3">
        <f>Database!ITB5</f>
        <v>0</v>
      </c>
      <c r="ISJ3">
        <f>Database!ITC5</f>
        <v>0</v>
      </c>
      <c r="ISK3">
        <f>Database!ITD5</f>
        <v>0</v>
      </c>
      <c r="ISL3">
        <f>Database!ITE5</f>
        <v>0</v>
      </c>
      <c r="ISM3">
        <f>Database!ITF5</f>
        <v>0</v>
      </c>
      <c r="ISN3">
        <f>Database!ITG5</f>
        <v>0</v>
      </c>
      <c r="ISO3">
        <f>Database!ITH5</f>
        <v>0</v>
      </c>
      <c r="ISP3">
        <f>Database!ITI5</f>
        <v>0</v>
      </c>
      <c r="ISQ3">
        <f>Database!ITJ5</f>
        <v>0</v>
      </c>
      <c r="ISR3">
        <f>Database!ITK5</f>
        <v>0</v>
      </c>
      <c r="ISS3">
        <f>Database!ITL5</f>
        <v>0</v>
      </c>
      <c r="IST3">
        <f>Database!ITM5</f>
        <v>0</v>
      </c>
      <c r="ISU3">
        <f>Database!ITN5</f>
        <v>0</v>
      </c>
      <c r="ISV3">
        <f>Database!ITO5</f>
        <v>0</v>
      </c>
      <c r="ISW3">
        <f>Database!ITP5</f>
        <v>0</v>
      </c>
      <c r="ISX3">
        <f>Database!ITQ5</f>
        <v>0</v>
      </c>
      <c r="ISY3">
        <f>Database!ITR5</f>
        <v>0</v>
      </c>
      <c r="ISZ3">
        <f>Database!ITS5</f>
        <v>0</v>
      </c>
      <c r="ITA3">
        <f>Database!ITT5</f>
        <v>0</v>
      </c>
      <c r="ITB3">
        <f>Database!ITU5</f>
        <v>0</v>
      </c>
      <c r="ITC3">
        <f>Database!ITV5</f>
        <v>0</v>
      </c>
      <c r="ITD3">
        <f>Database!ITW5</f>
        <v>0</v>
      </c>
      <c r="ITE3">
        <f>Database!ITX5</f>
        <v>0</v>
      </c>
      <c r="ITF3">
        <f>Database!ITY5</f>
        <v>0</v>
      </c>
      <c r="ITG3">
        <f>Database!ITZ5</f>
        <v>0</v>
      </c>
      <c r="ITH3">
        <f>Database!IUA5</f>
        <v>0</v>
      </c>
      <c r="ITI3">
        <f>Database!IUB5</f>
        <v>0</v>
      </c>
      <c r="ITJ3">
        <f>Database!IUC5</f>
        <v>0</v>
      </c>
      <c r="ITK3">
        <f>Database!IUD5</f>
        <v>0</v>
      </c>
      <c r="ITL3">
        <f>Database!IUE5</f>
        <v>0</v>
      </c>
      <c r="ITM3">
        <f>Database!IUF5</f>
        <v>0</v>
      </c>
      <c r="ITN3">
        <f>Database!IUG5</f>
        <v>0</v>
      </c>
      <c r="ITO3">
        <f>Database!IUH5</f>
        <v>0</v>
      </c>
      <c r="ITP3">
        <f>Database!IUI5</f>
        <v>0</v>
      </c>
      <c r="ITQ3">
        <f>Database!IUJ5</f>
        <v>0</v>
      </c>
      <c r="ITR3">
        <f>Database!IUK5</f>
        <v>0</v>
      </c>
      <c r="ITS3">
        <f>Database!IUL5</f>
        <v>0</v>
      </c>
      <c r="ITT3">
        <f>Database!IUM5</f>
        <v>0</v>
      </c>
      <c r="ITU3">
        <f>Database!IUN5</f>
        <v>0</v>
      </c>
      <c r="ITV3">
        <f>Database!IUO5</f>
        <v>0</v>
      </c>
      <c r="ITW3">
        <f>Database!IUP5</f>
        <v>0</v>
      </c>
      <c r="ITX3">
        <f>Database!IUQ5</f>
        <v>0</v>
      </c>
      <c r="ITY3">
        <f>Database!IUR5</f>
        <v>0</v>
      </c>
      <c r="ITZ3">
        <f>Database!IUS5</f>
        <v>0</v>
      </c>
      <c r="IUA3">
        <f>Database!IUT5</f>
        <v>0</v>
      </c>
      <c r="IUB3">
        <f>Database!IUU5</f>
        <v>0</v>
      </c>
      <c r="IUC3">
        <f>Database!IUV5</f>
        <v>0</v>
      </c>
      <c r="IUD3">
        <f>Database!IUW5</f>
        <v>0</v>
      </c>
      <c r="IUE3">
        <f>Database!IUX5</f>
        <v>0</v>
      </c>
      <c r="IUF3">
        <f>Database!IUY5</f>
        <v>0</v>
      </c>
      <c r="IUG3">
        <f>Database!IUZ5</f>
        <v>0</v>
      </c>
      <c r="IUH3">
        <f>Database!IVA5</f>
        <v>0</v>
      </c>
      <c r="IUI3">
        <f>Database!IVB5</f>
        <v>0</v>
      </c>
      <c r="IUJ3">
        <f>Database!IVC5</f>
        <v>0</v>
      </c>
      <c r="IUK3">
        <f>Database!IVD5</f>
        <v>0</v>
      </c>
      <c r="IUL3">
        <f>Database!IVE5</f>
        <v>0</v>
      </c>
      <c r="IUM3">
        <f>Database!IVF5</f>
        <v>0</v>
      </c>
      <c r="IUN3">
        <f>Database!IVG5</f>
        <v>0</v>
      </c>
      <c r="IUO3">
        <f>Database!IVH5</f>
        <v>0</v>
      </c>
      <c r="IUP3">
        <f>Database!IVI5</f>
        <v>0</v>
      </c>
      <c r="IUQ3">
        <f>Database!IVJ5</f>
        <v>0</v>
      </c>
      <c r="IUR3">
        <f>Database!IVK5</f>
        <v>0</v>
      </c>
      <c r="IUS3">
        <f>Database!IVL5</f>
        <v>0</v>
      </c>
      <c r="IUT3">
        <f>Database!IVM5</f>
        <v>0</v>
      </c>
      <c r="IUU3">
        <f>Database!IVN5</f>
        <v>0</v>
      </c>
      <c r="IUV3">
        <f>Database!IVO5</f>
        <v>0</v>
      </c>
      <c r="IUW3">
        <f>Database!IVP5</f>
        <v>0</v>
      </c>
      <c r="IUX3">
        <f>Database!IVQ5</f>
        <v>0</v>
      </c>
      <c r="IUY3">
        <f>Database!IVR5</f>
        <v>0</v>
      </c>
      <c r="IUZ3">
        <f>Database!IVS5</f>
        <v>0</v>
      </c>
      <c r="IVA3">
        <f>Database!IVT5</f>
        <v>0</v>
      </c>
      <c r="IVB3">
        <f>Database!IVU5</f>
        <v>0</v>
      </c>
      <c r="IVC3">
        <f>Database!IVV5</f>
        <v>0</v>
      </c>
      <c r="IVD3">
        <f>Database!IVW5</f>
        <v>0</v>
      </c>
      <c r="IVE3">
        <f>Database!IVX5</f>
        <v>0</v>
      </c>
      <c r="IVF3">
        <f>Database!IVY5</f>
        <v>0</v>
      </c>
      <c r="IVG3">
        <f>Database!IVZ5</f>
        <v>0</v>
      </c>
      <c r="IVH3">
        <f>Database!IWA5</f>
        <v>0</v>
      </c>
      <c r="IVI3">
        <f>Database!IWB5</f>
        <v>0</v>
      </c>
      <c r="IVJ3">
        <f>Database!IWC5</f>
        <v>0</v>
      </c>
      <c r="IVK3">
        <f>Database!IWD5</f>
        <v>0</v>
      </c>
      <c r="IVL3">
        <f>Database!IWE5</f>
        <v>0</v>
      </c>
      <c r="IVM3">
        <f>Database!IWF5</f>
        <v>0</v>
      </c>
      <c r="IVN3">
        <f>Database!IWG5</f>
        <v>0</v>
      </c>
      <c r="IVO3">
        <f>Database!IWH5</f>
        <v>0</v>
      </c>
      <c r="IVP3">
        <f>Database!IWI5</f>
        <v>0</v>
      </c>
      <c r="IVQ3">
        <f>Database!IWJ5</f>
        <v>0</v>
      </c>
      <c r="IVR3">
        <f>Database!IWK5</f>
        <v>0</v>
      </c>
      <c r="IVS3">
        <f>Database!IWL5</f>
        <v>0</v>
      </c>
      <c r="IVT3">
        <f>Database!IWM5</f>
        <v>0</v>
      </c>
      <c r="IVU3">
        <f>Database!IWN5</f>
        <v>0</v>
      </c>
      <c r="IVV3">
        <f>Database!IWO5</f>
        <v>0</v>
      </c>
      <c r="IVW3">
        <f>Database!IWP5</f>
        <v>0</v>
      </c>
      <c r="IVX3">
        <f>Database!IWQ5</f>
        <v>0</v>
      </c>
      <c r="IVY3">
        <f>Database!IWR5</f>
        <v>0</v>
      </c>
      <c r="IVZ3">
        <f>Database!IWS5</f>
        <v>0</v>
      </c>
      <c r="IWA3">
        <f>Database!IWT5</f>
        <v>0</v>
      </c>
      <c r="IWB3">
        <f>Database!IWU5</f>
        <v>0</v>
      </c>
      <c r="IWC3">
        <f>Database!IWV5</f>
        <v>0</v>
      </c>
      <c r="IWD3">
        <f>Database!IWW5</f>
        <v>0</v>
      </c>
      <c r="IWE3">
        <f>Database!IWX5</f>
        <v>0</v>
      </c>
      <c r="IWF3">
        <f>Database!IWY5</f>
        <v>0</v>
      </c>
      <c r="IWG3">
        <f>Database!IWZ5</f>
        <v>0</v>
      </c>
      <c r="IWH3">
        <f>Database!IXA5</f>
        <v>0</v>
      </c>
      <c r="IWI3">
        <f>Database!IXB5</f>
        <v>0</v>
      </c>
      <c r="IWJ3">
        <f>Database!IXC5</f>
        <v>0</v>
      </c>
      <c r="IWK3">
        <f>Database!IXD5</f>
        <v>0</v>
      </c>
      <c r="IWL3">
        <f>Database!IXE5</f>
        <v>0</v>
      </c>
      <c r="IWM3">
        <f>Database!IXF5</f>
        <v>0</v>
      </c>
      <c r="IWN3">
        <f>Database!IXG5</f>
        <v>0</v>
      </c>
      <c r="IWO3">
        <f>Database!IXH5</f>
        <v>0</v>
      </c>
      <c r="IWP3">
        <f>Database!IXI5</f>
        <v>0</v>
      </c>
      <c r="IWQ3">
        <f>Database!IXJ5</f>
        <v>0</v>
      </c>
      <c r="IWR3">
        <f>Database!IXK5</f>
        <v>0</v>
      </c>
      <c r="IWS3">
        <f>Database!IXL5</f>
        <v>0</v>
      </c>
      <c r="IWT3">
        <f>Database!IXM5</f>
        <v>0</v>
      </c>
      <c r="IWU3">
        <f>Database!IXN5</f>
        <v>0</v>
      </c>
      <c r="IWV3">
        <f>Database!IXO5</f>
        <v>0</v>
      </c>
      <c r="IWW3">
        <f>Database!IXP5</f>
        <v>0</v>
      </c>
      <c r="IWX3">
        <f>Database!IXQ5</f>
        <v>0</v>
      </c>
      <c r="IWY3">
        <f>Database!IXR5</f>
        <v>0</v>
      </c>
      <c r="IWZ3">
        <f>Database!IXS5</f>
        <v>0</v>
      </c>
      <c r="IXA3">
        <f>Database!IXT5</f>
        <v>0</v>
      </c>
      <c r="IXB3">
        <f>Database!IXU5</f>
        <v>0</v>
      </c>
      <c r="IXC3">
        <f>Database!IXV5</f>
        <v>0</v>
      </c>
      <c r="IXD3">
        <f>Database!IXW5</f>
        <v>0</v>
      </c>
      <c r="IXE3">
        <f>Database!IXX5</f>
        <v>0</v>
      </c>
      <c r="IXF3">
        <f>Database!IXY5</f>
        <v>0</v>
      </c>
      <c r="IXG3">
        <f>Database!IXZ5</f>
        <v>0</v>
      </c>
      <c r="IXH3">
        <f>Database!IYA5</f>
        <v>0</v>
      </c>
      <c r="IXI3">
        <f>Database!IYB5</f>
        <v>0</v>
      </c>
      <c r="IXJ3">
        <f>Database!IYC5</f>
        <v>0</v>
      </c>
      <c r="IXK3">
        <f>Database!IYD5</f>
        <v>0</v>
      </c>
      <c r="IXL3">
        <f>Database!IYE5</f>
        <v>0</v>
      </c>
      <c r="IXM3">
        <f>Database!IYF5</f>
        <v>0</v>
      </c>
      <c r="IXN3">
        <f>Database!IYG5</f>
        <v>0</v>
      </c>
      <c r="IXO3">
        <f>Database!IYH5</f>
        <v>0</v>
      </c>
      <c r="IXP3">
        <f>Database!IYI5</f>
        <v>0</v>
      </c>
      <c r="IXQ3">
        <f>Database!IYJ5</f>
        <v>0</v>
      </c>
      <c r="IXR3">
        <f>Database!IYK5</f>
        <v>0</v>
      </c>
      <c r="IXS3">
        <f>Database!IYL5</f>
        <v>0</v>
      </c>
      <c r="IXT3">
        <f>Database!IYM5</f>
        <v>0</v>
      </c>
      <c r="IXU3">
        <f>Database!IYN5</f>
        <v>0</v>
      </c>
      <c r="IXV3">
        <f>Database!IYO5</f>
        <v>0</v>
      </c>
      <c r="IXW3">
        <f>Database!IYP5</f>
        <v>0</v>
      </c>
      <c r="IXX3">
        <f>Database!IYQ5</f>
        <v>0</v>
      </c>
      <c r="IXY3">
        <f>Database!IYR5</f>
        <v>0</v>
      </c>
      <c r="IXZ3">
        <f>Database!IYS5</f>
        <v>0</v>
      </c>
      <c r="IYA3">
        <f>Database!IYT5</f>
        <v>0</v>
      </c>
      <c r="IYB3">
        <f>Database!IYU5</f>
        <v>0</v>
      </c>
      <c r="IYC3">
        <f>Database!IYV5</f>
        <v>0</v>
      </c>
      <c r="IYD3">
        <f>Database!IYW5</f>
        <v>0</v>
      </c>
      <c r="IYE3">
        <f>Database!IYX5</f>
        <v>0</v>
      </c>
      <c r="IYF3">
        <f>Database!IYY5</f>
        <v>0</v>
      </c>
      <c r="IYG3">
        <f>Database!IYZ5</f>
        <v>0</v>
      </c>
      <c r="IYH3">
        <f>Database!IZA5</f>
        <v>0</v>
      </c>
      <c r="IYI3">
        <f>Database!IZB5</f>
        <v>0</v>
      </c>
      <c r="IYJ3">
        <f>Database!IZC5</f>
        <v>0</v>
      </c>
      <c r="IYK3">
        <f>Database!IZD5</f>
        <v>0</v>
      </c>
      <c r="IYL3">
        <f>Database!IZE5</f>
        <v>0</v>
      </c>
      <c r="IYM3">
        <f>Database!IZF5</f>
        <v>0</v>
      </c>
      <c r="IYN3">
        <f>Database!IZG5</f>
        <v>0</v>
      </c>
      <c r="IYO3">
        <f>Database!IZH5</f>
        <v>0</v>
      </c>
      <c r="IYP3">
        <f>Database!IZI5</f>
        <v>0</v>
      </c>
      <c r="IYQ3">
        <f>Database!IZJ5</f>
        <v>0</v>
      </c>
      <c r="IYR3">
        <f>Database!IZK5</f>
        <v>0</v>
      </c>
      <c r="IYS3">
        <f>Database!IZL5</f>
        <v>0</v>
      </c>
      <c r="IYT3">
        <f>Database!IZM5</f>
        <v>0</v>
      </c>
      <c r="IYU3">
        <f>Database!IZN5</f>
        <v>0</v>
      </c>
      <c r="IYV3">
        <f>Database!IZO5</f>
        <v>0</v>
      </c>
      <c r="IYW3">
        <f>Database!IZP5</f>
        <v>0</v>
      </c>
      <c r="IYX3">
        <f>Database!IZQ5</f>
        <v>0</v>
      </c>
      <c r="IYY3">
        <f>Database!IZR5</f>
        <v>0</v>
      </c>
      <c r="IYZ3">
        <f>Database!IZS5</f>
        <v>0</v>
      </c>
      <c r="IZA3">
        <f>Database!IZT5</f>
        <v>0</v>
      </c>
      <c r="IZB3">
        <f>Database!IZU5</f>
        <v>0</v>
      </c>
      <c r="IZC3">
        <f>Database!IZV5</f>
        <v>0</v>
      </c>
      <c r="IZD3">
        <f>Database!IZW5</f>
        <v>0</v>
      </c>
      <c r="IZE3">
        <f>Database!IZX5</f>
        <v>0</v>
      </c>
      <c r="IZF3">
        <f>Database!IZY5</f>
        <v>0</v>
      </c>
      <c r="IZG3">
        <f>Database!IZZ5</f>
        <v>0</v>
      </c>
      <c r="IZH3">
        <f>Database!JAA5</f>
        <v>0</v>
      </c>
      <c r="IZI3">
        <f>Database!JAB5</f>
        <v>0</v>
      </c>
      <c r="IZJ3">
        <f>Database!JAC5</f>
        <v>0</v>
      </c>
      <c r="IZK3">
        <f>Database!JAD5</f>
        <v>0</v>
      </c>
      <c r="IZL3">
        <f>Database!JAE5</f>
        <v>0</v>
      </c>
      <c r="IZM3">
        <f>Database!JAF5</f>
        <v>0</v>
      </c>
      <c r="IZN3">
        <f>Database!JAG5</f>
        <v>0</v>
      </c>
      <c r="IZO3">
        <f>Database!JAH5</f>
        <v>0</v>
      </c>
      <c r="IZP3">
        <f>Database!JAI5</f>
        <v>0</v>
      </c>
      <c r="IZQ3">
        <f>Database!JAJ5</f>
        <v>0</v>
      </c>
      <c r="IZR3">
        <f>Database!JAK5</f>
        <v>0</v>
      </c>
      <c r="IZS3">
        <f>Database!JAL5</f>
        <v>0</v>
      </c>
      <c r="IZT3">
        <f>Database!JAM5</f>
        <v>0</v>
      </c>
      <c r="IZU3">
        <f>Database!JAN5</f>
        <v>0</v>
      </c>
      <c r="IZV3">
        <f>Database!JAO5</f>
        <v>0</v>
      </c>
      <c r="IZW3">
        <f>Database!JAP5</f>
        <v>0</v>
      </c>
      <c r="IZX3">
        <f>Database!JAQ5</f>
        <v>0</v>
      </c>
      <c r="IZY3">
        <f>Database!JAR5</f>
        <v>0</v>
      </c>
      <c r="IZZ3">
        <f>Database!JAS5</f>
        <v>0</v>
      </c>
      <c r="JAA3">
        <f>Database!JAT5</f>
        <v>0</v>
      </c>
      <c r="JAB3">
        <f>Database!JAU5</f>
        <v>0</v>
      </c>
      <c r="JAC3">
        <f>Database!JAV5</f>
        <v>0</v>
      </c>
      <c r="JAD3">
        <f>Database!JAW5</f>
        <v>0</v>
      </c>
      <c r="JAE3">
        <f>Database!JAX5</f>
        <v>0</v>
      </c>
      <c r="JAF3">
        <f>Database!JAY5</f>
        <v>0</v>
      </c>
      <c r="JAG3">
        <f>Database!JAZ5</f>
        <v>0</v>
      </c>
      <c r="JAH3">
        <f>Database!JBA5</f>
        <v>0</v>
      </c>
      <c r="JAI3">
        <f>Database!JBB5</f>
        <v>0</v>
      </c>
      <c r="JAJ3">
        <f>Database!JBC5</f>
        <v>0</v>
      </c>
      <c r="JAK3">
        <f>Database!JBD5</f>
        <v>0</v>
      </c>
      <c r="JAL3">
        <f>Database!JBE5</f>
        <v>0</v>
      </c>
      <c r="JAM3">
        <f>Database!JBF5</f>
        <v>0</v>
      </c>
      <c r="JAN3">
        <f>Database!JBG5</f>
        <v>0</v>
      </c>
      <c r="JAO3">
        <f>Database!JBH5</f>
        <v>0</v>
      </c>
      <c r="JAP3">
        <f>Database!JBI5</f>
        <v>0</v>
      </c>
      <c r="JAQ3">
        <f>Database!JBJ5</f>
        <v>0</v>
      </c>
      <c r="JAR3">
        <f>Database!JBK5</f>
        <v>0</v>
      </c>
      <c r="JAS3">
        <f>Database!JBL5</f>
        <v>0</v>
      </c>
      <c r="JAT3">
        <f>Database!JBM5</f>
        <v>0</v>
      </c>
      <c r="JAU3">
        <f>Database!JBN5</f>
        <v>0</v>
      </c>
      <c r="JAV3">
        <f>Database!JBO5</f>
        <v>0</v>
      </c>
      <c r="JAW3">
        <f>Database!JBP5</f>
        <v>0</v>
      </c>
      <c r="JAX3">
        <f>Database!JBQ5</f>
        <v>0</v>
      </c>
      <c r="JAY3">
        <f>Database!JBR5</f>
        <v>0</v>
      </c>
      <c r="JAZ3">
        <f>Database!JBS5</f>
        <v>0</v>
      </c>
      <c r="JBA3">
        <f>Database!JBT5</f>
        <v>0</v>
      </c>
      <c r="JBB3">
        <f>Database!JBU5</f>
        <v>0</v>
      </c>
      <c r="JBC3">
        <f>Database!JBV5</f>
        <v>0</v>
      </c>
      <c r="JBD3">
        <f>Database!JBW5</f>
        <v>0</v>
      </c>
      <c r="JBE3">
        <f>Database!JBX5</f>
        <v>0</v>
      </c>
      <c r="JBF3">
        <f>Database!JBY5</f>
        <v>0</v>
      </c>
      <c r="JBG3">
        <f>Database!JBZ5</f>
        <v>0</v>
      </c>
      <c r="JBH3">
        <f>Database!JCA5</f>
        <v>0</v>
      </c>
      <c r="JBI3">
        <f>Database!JCB5</f>
        <v>0</v>
      </c>
      <c r="JBJ3">
        <f>Database!JCC5</f>
        <v>0</v>
      </c>
      <c r="JBK3">
        <f>Database!JCD5</f>
        <v>0</v>
      </c>
      <c r="JBL3">
        <f>Database!JCE5</f>
        <v>0</v>
      </c>
      <c r="JBM3">
        <f>Database!JCF5</f>
        <v>0</v>
      </c>
      <c r="JBN3">
        <f>Database!JCG5</f>
        <v>0</v>
      </c>
      <c r="JBO3">
        <f>Database!JCH5</f>
        <v>0</v>
      </c>
      <c r="JBP3">
        <f>Database!JCI5</f>
        <v>0</v>
      </c>
      <c r="JBQ3">
        <f>Database!JCJ5</f>
        <v>0</v>
      </c>
      <c r="JBR3">
        <f>Database!JCK5</f>
        <v>0</v>
      </c>
      <c r="JBS3">
        <f>Database!JCL5</f>
        <v>0</v>
      </c>
      <c r="JBT3">
        <f>Database!JCM5</f>
        <v>0</v>
      </c>
      <c r="JBU3">
        <f>Database!JCN5</f>
        <v>0</v>
      </c>
      <c r="JBV3">
        <f>Database!JCO5</f>
        <v>0</v>
      </c>
      <c r="JBW3">
        <f>Database!JCP5</f>
        <v>0</v>
      </c>
      <c r="JBX3">
        <f>Database!JCQ5</f>
        <v>0</v>
      </c>
      <c r="JBY3">
        <f>Database!JCR5</f>
        <v>0</v>
      </c>
      <c r="JBZ3">
        <f>Database!JCS5</f>
        <v>0</v>
      </c>
      <c r="JCA3">
        <f>Database!JCT5</f>
        <v>0</v>
      </c>
      <c r="JCB3">
        <f>Database!JCU5</f>
        <v>0</v>
      </c>
      <c r="JCC3">
        <f>Database!JCV5</f>
        <v>0</v>
      </c>
      <c r="JCD3">
        <f>Database!JCW5</f>
        <v>0</v>
      </c>
      <c r="JCE3">
        <f>Database!JCX5</f>
        <v>0</v>
      </c>
      <c r="JCF3">
        <f>Database!JCY5</f>
        <v>0</v>
      </c>
      <c r="JCG3">
        <f>Database!JCZ5</f>
        <v>0</v>
      </c>
      <c r="JCH3">
        <f>Database!JDA5</f>
        <v>0</v>
      </c>
      <c r="JCI3">
        <f>Database!JDB5</f>
        <v>0</v>
      </c>
      <c r="JCJ3">
        <f>Database!JDC5</f>
        <v>0</v>
      </c>
      <c r="JCK3">
        <f>Database!JDD5</f>
        <v>0</v>
      </c>
      <c r="JCL3">
        <f>Database!JDE5</f>
        <v>0</v>
      </c>
      <c r="JCM3">
        <f>Database!JDF5</f>
        <v>0</v>
      </c>
      <c r="JCN3">
        <f>Database!JDG5</f>
        <v>0</v>
      </c>
      <c r="JCO3">
        <f>Database!JDH5</f>
        <v>0</v>
      </c>
      <c r="JCP3">
        <f>Database!JDI5</f>
        <v>0</v>
      </c>
      <c r="JCQ3">
        <f>Database!JDJ5</f>
        <v>0</v>
      </c>
      <c r="JCR3">
        <f>Database!JDK5</f>
        <v>0</v>
      </c>
      <c r="JCS3">
        <f>Database!JDL5</f>
        <v>0</v>
      </c>
      <c r="JCT3">
        <f>Database!JDM5</f>
        <v>0</v>
      </c>
      <c r="JCU3">
        <f>Database!JDN5</f>
        <v>0</v>
      </c>
      <c r="JCV3">
        <f>Database!JDO5</f>
        <v>0</v>
      </c>
      <c r="JCW3">
        <f>Database!JDP5</f>
        <v>0</v>
      </c>
      <c r="JCX3">
        <f>Database!JDQ5</f>
        <v>0</v>
      </c>
      <c r="JCY3">
        <f>Database!JDR5</f>
        <v>0</v>
      </c>
      <c r="JCZ3">
        <f>Database!JDS5</f>
        <v>0</v>
      </c>
      <c r="JDA3">
        <f>Database!JDT5</f>
        <v>0</v>
      </c>
      <c r="JDB3">
        <f>Database!JDU5</f>
        <v>0</v>
      </c>
      <c r="JDC3">
        <f>Database!JDV5</f>
        <v>0</v>
      </c>
      <c r="JDD3">
        <f>Database!JDW5</f>
        <v>0</v>
      </c>
      <c r="JDE3">
        <f>Database!JDX5</f>
        <v>0</v>
      </c>
      <c r="JDF3">
        <f>Database!JDY5</f>
        <v>0</v>
      </c>
      <c r="JDG3">
        <f>Database!JDZ5</f>
        <v>0</v>
      </c>
      <c r="JDH3">
        <f>Database!JEA5</f>
        <v>0</v>
      </c>
      <c r="JDI3">
        <f>Database!JEB5</f>
        <v>0</v>
      </c>
      <c r="JDJ3">
        <f>Database!JEC5</f>
        <v>0</v>
      </c>
      <c r="JDK3">
        <f>Database!JED5</f>
        <v>0</v>
      </c>
      <c r="JDL3">
        <f>Database!JEE5</f>
        <v>0</v>
      </c>
      <c r="JDM3">
        <f>Database!JEF5</f>
        <v>0</v>
      </c>
      <c r="JDN3">
        <f>Database!JEG5</f>
        <v>0</v>
      </c>
      <c r="JDO3">
        <f>Database!JEH5</f>
        <v>0</v>
      </c>
      <c r="JDP3">
        <f>Database!JEI5</f>
        <v>0</v>
      </c>
      <c r="JDQ3">
        <f>Database!JEJ5</f>
        <v>0</v>
      </c>
      <c r="JDR3">
        <f>Database!JEK5</f>
        <v>0</v>
      </c>
      <c r="JDS3">
        <f>Database!JEL5</f>
        <v>0</v>
      </c>
      <c r="JDT3">
        <f>Database!JEM5</f>
        <v>0</v>
      </c>
      <c r="JDU3">
        <f>Database!JEN5</f>
        <v>0</v>
      </c>
      <c r="JDV3">
        <f>Database!JEO5</f>
        <v>0</v>
      </c>
      <c r="JDW3">
        <f>Database!JEP5</f>
        <v>0</v>
      </c>
      <c r="JDX3">
        <f>Database!JEQ5</f>
        <v>0</v>
      </c>
      <c r="JDY3">
        <f>Database!JER5</f>
        <v>0</v>
      </c>
      <c r="JDZ3">
        <f>Database!JES5</f>
        <v>0</v>
      </c>
      <c r="JEA3">
        <f>Database!JET5</f>
        <v>0</v>
      </c>
      <c r="JEB3">
        <f>Database!JEU5</f>
        <v>0</v>
      </c>
      <c r="JEC3">
        <f>Database!JEV5</f>
        <v>0</v>
      </c>
      <c r="JED3">
        <f>Database!JEW5</f>
        <v>0</v>
      </c>
      <c r="JEE3">
        <f>Database!JEX5</f>
        <v>0</v>
      </c>
      <c r="JEF3">
        <f>Database!JEY5</f>
        <v>0</v>
      </c>
      <c r="JEG3">
        <f>Database!JEZ5</f>
        <v>0</v>
      </c>
      <c r="JEH3">
        <f>Database!JFA5</f>
        <v>0</v>
      </c>
      <c r="JEI3">
        <f>Database!JFB5</f>
        <v>0</v>
      </c>
      <c r="JEJ3">
        <f>Database!JFC5</f>
        <v>0</v>
      </c>
      <c r="JEK3">
        <f>Database!JFD5</f>
        <v>0</v>
      </c>
      <c r="JEL3">
        <f>Database!JFE5</f>
        <v>0</v>
      </c>
      <c r="JEM3">
        <f>Database!JFF5</f>
        <v>0</v>
      </c>
      <c r="JEN3">
        <f>Database!JFG5</f>
        <v>0</v>
      </c>
      <c r="JEO3">
        <f>Database!JFH5</f>
        <v>0</v>
      </c>
      <c r="JEP3">
        <f>Database!JFI5</f>
        <v>0</v>
      </c>
      <c r="JEQ3">
        <f>Database!JFJ5</f>
        <v>0</v>
      </c>
      <c r="JER3">
        <f>Database!JFK5</f>
        <v>0</v>
      </c>
      <c r="JES3">
        <f>Database!JFL5</f>
        <v>0</v>
      </c>
      <c r="JET3">
        <f>Database!JFM5</f>
        <v>0</v>
      </c>
      <c r="JEU3">
        <f>Database!JFN5</f>
        <v>0</v>
      </c>
      <c r="JEV3">
        <f>Database!JFO5</f>
        <v>0</v>
      </c>
      <c r="JEW3">
        <f>Database!JFP5</f>
        <v>0</v>
      </c>
      <c r="JEX3">
        <f>Database!JFQ5</f>
        <v>0</v>
      </c>
      <c r="JEY3">
        <f>Database!JFR5</f>
        <v>0</v>
      </c>
      <c r="JEZ3">
        <f>Database!JFS5</f>
        <v>0</v>
      </c>
      <c r="JFA3">
        <f>Database!JFT5</f>
        <v>0</v>
      </c>
      <c r="JFB3">
        <f>Database!JFU5</f>
        <v>0</v>
      </c>
      <c r="JFC3">
        <f>Database!JFV5</f>
        <v>0</v>
      </c>
      <c r="JFD3">
        <f>Database!JFW5</f>
        <v>0</v>
      </c>
      <c r="JFE3">
        <f>Database!JFX5</f>
        <v>0</v>
      </c>
      <c r="JFF3">
        <f>Database!JFY5</f>
        <v>0</v>
      </c>
      <c r="JFG3">
        <f>Database!JFZ5</f>
        <v>0</v>
      </c>
      <c r="JFH3">
        <f>Database!JGA5</f>
        <v>0</v>
      </c>
      <c r="JFI3">
        <f>Database!JGB5</f>
        <v>0</v>
      </c>
      <c r="JFJ3">
        <f>Database!JGC5</f>
        <v>0</v>
      </c>
      <c r="JFK3">
        <f>Database!JGD5</f>
        <v>0</v>
      </c>
      <c r="JFL3">
        <f>Database!JGE5</f>
        <v>0</v>
      </c>
      <c r="JFM3">
        <f>Database!JGF5</f>
        <v>0</v>
      </c>
      <c r="JFN3">
        <f>Database!JGG5</f>
        <v>0</v>
      </c>
      <c r="JFO3">
        <f>Database!JGH5</f>
        <v>0</v>
      </c>
      <c r="JFP3">
        <f>Database!JGI5</f>
        <v>0</v>
      </c>
      <c r="JFQ3">
        <f>Database!JGJ5</f>
        <v>0</v>
      </c>
      <c r="JFR3">
        <f>Database!JGK5</f>
        <v>0</v>
      </c>
      <c r="JFS3">
        <f>Database!JGL5</f>
        <v>0</v>
      </c>
      <c r="JFT3">
        <f>Database!JGM5</f>
        <v>0</v>
      </c>
      <c r="JFU3">
        <f>Database!JGN5</f>
        <v>0</v>
      </c>
      <c r="JFV3">
        <f>Database!JGO5</f>
        <v>0</v>
      </c>
      <c r="JFW3">
        <f>Database!JGP5</f>
        <v>0</v>
      </c>
      <c r="JFX3">
        <f>Database!JGQ5</f>
        <v>0</v>
      </c>
      <c r="JFY3">
        <f>Database!JGR5</f>
        <v>0</v>
      </c>
      <c r="JFZ3">
        <f>Database!JGS5</f>
        <v>0</v>
      </c>
      <c r="JGA3">
        <f>Database!JGT5</f>
        <v>0</v>
      </c>
      <c r="JGB3">
        <f>Database!JGU5</f>
        <v>0</v>
      </c>
      <c r="JGC3">
        <f>Database!JGV5</f>
        <v>0</v>
      </c>
      <c r="JGD3">
        <f>Database!JGW5</f>
        <v>0</v>
      </c>
      <c r="JGE3">
        <f>Database!JGX5</f>
        <v>0</v>
      </c>
      <c r="JGF3">
        <f>Database!JGY5</f>
        <v>0</v>
      </c>
      <c r="JGG3">
        <f>Database!JGZ5</f>
        <v>0</v>
      </c>
      <c r="JGH3">
        <f>Database!JHA5</f>
        <v>0</v>
      </c>
      <c r="JGI3">
        <f>Database!JHB5</f>
        <v>0</v>
      </c>
      <c r="JGJ3">
        <f>Database!JHC5</f>
        <v>0</v>
      </c>
      <c r="JGK3">
        <f>Database!JHD5</f>
        <v>0</v>
      </c>
      <c r="JGL3">
        <f>Database!JHE5</f>
        <v>0</v>
      </c>
      <c r="JGM3">
        <f>Database!JHF5</f>
        <v>0</v>
      </c>
      <c r="JGN3">
        <f>Database!JHG5</f>
        <v>0</v>
      </c>
      <c r="JGO3">
        <f>Database!JHH5</f>
        <v>0</v>
      </c>
      <c r="JGP3">
        <f>Database!JHI5</f>
        <v>0</v>
      </c>
      <c r="JGQ3">
        <f>Database!JHJ5</f>
        <v>0</v>
      </c>
      <c r="JGR3">
        <f>Database!JHK5</f>
        <v>0</v>
      </c>
      <c r="JGS3">
        <f>Database!JHL5</f>
        <v>0</v>
      </c>
      <c r="JGT3">
        <f>Database!JHM5</f>
        <v>0</v>
      </c>
      <c r="JGU3">
        <f>Database!JHN5</f>
        <v>0</v>
      </c>
      <c r="JGV3">
        <f>Database!JHO5</f>
        <v>0</v>
      </c>
      <c r="JGW3">
        <f>Database!JHP5</f>
        <v>0</v>
      </c>
      <c r="JGX3">
        <f>Database!JHQ5</f>
        <v>0</v>
      </c>
      <c r="JGY3">
        <f>Database!JHR5</f>
        <v>0</v>
      </c>
      <c r="JGZ3">
        <f>Database!JHS5</f>
        <v>0</v>
      </c>
      <c r="JHA3">
        <f>Database!JHT5</f>
        <v>0</v>
      </c>
      <c r="JHB3">
        <f>Database!JHU5</f>
        <v>0</v>
      </c>
      <c r="JHC3">
        <f>Database!JHV5</f>
        <v>0</v>
      </c>
      <c r="JHD3">
        <f>Database!JHW5</f>
        <v>0</v>
      </c>
      <c r="JHE3">
        <f>Database!JHX5</f>
        <v>0</v>
      </c>
      <c r="JHF3">
        <f>Database!JHY5</f>
        <v>0</v>
      </c>
      <c r="JHG3">
        <f>Database!JHZ5</f>
        <v>0</v>
      </c>
      <c r="JHH3">
        <f>Database!JIA5</f>
        <v>0</v>
      </c>
      <c r="JHI3">
        <f>Database!JIB5</f>
        <v>0</v>
      </c>
      <c r="JHJ3">
        <f>Database!JIC5</f>
        <v>0</v>
      </c>
      <c r="JHK3">
        <f>Database!JID5</f>
        <v>0</v>
      </c>
      <c r="JHL3">
        <f>Database!JIE5</f>
        <v>0</v>
      </c>
      <c r="JHM3">
        <f>Database!JIF5</f>
        <v>0</v>
      </c>
      <c r="JHN3">
        <f>Database!JIG5</f>
        <v>0</v>
      </c>
      <c r="JHO3">
        <f>Database!JIH5</f>
        <v>0</v>
      </c>
      <c r="JHP3">
        <f>Database!JII5</f>
        <v>0</v>
      </c>
      <c r="JHQ3">
        <f>Database!JIJ5</f>
        <v>0</v>
      </c>
      <c r="JHR3">
        <f>Database!JIK5</f>
        <v>0</v>
      </c>
      <c r="JHS3">
        <f>Database!JIL5</f>
        <v>0</v>
      </c>
      <c r="JHT3">
        <f>Database!JIM5</f>
        <v>0</v>
      </c>
      <c r="JHU3">
        <f>Database!JIN5</f>
        <v>0</v>
      </c>
      <c r="JHV3">
        <f>Database!JIO5</f>
        <v>0</v>
      </c>
      <c r="JHW3">
        <f>Database!JIP5</f>
        <v>0</v>
      </c>
      <c r="JHX3">
        <f>Database!JIQ5</f>
        <v>0</v>
      </c>
      <c r="JHY3">
        <f>Database!JIR5</f>
        <v>0</v>
      </c>
      <c r="JHZ3">
        <f>Database!JIS5</f>
        <v>0</v>
      </c>
      <c r="JIA3">
        <f>Database!JIT5</f>
        <v>0</v>
      </c>
      <c r="JIB3">
        <f>Database!JIU5</f>
        <v>0</v>
      </c>
      <c r="JIC3">
        <f>Database!JIV5</f>
        <v>0</v>
      </c>
      <c r="JID3">
        <f>Database!JIW5</f>
        <v>0</v>
      </c>
      <c r="JIE3">
        <f>Database!JIX5</f>
        <v>0</v>
      </c>
      <c r="JIF3">
        <f>Database!JIY5</f>
        <v>0</v>
      </c>
      <c r="JIG3">
        <f>Database!JIZ5</f>
        <v>0</v>
      </c>
      <c r="JIH3">
        <f>Database!JJA5</f>
        <v>0</v>
      </c>
      <c r="JII3">
        <f>Database!JJB5</f>
        <v>0</v>
      </c>
      <c r="JIJ3">
        <f>Database!JJC5</f>
        <v>0</v>
      </c>
      <c r="JIK3">
        <f>Database!JJD5</f>
        <v>0</v>
      </c>
      <c r="JIL3">
        <f>Database!JJE5</f>
        <v>0</v>
      </c>
      <c r="JIM3">
        <f>Database!JJF5</f>
        <v>0</v>
      </c>
      <c r="JIN3">
        <f>Database!JJG5</f>
        <v>0</v>
      </c>
      <c r="JIO3">
        <f>Database!JJH5</f>
        <v>0</v>
      </c>
      <c r="JIP3">
        <f>Database!JJI5</f>
        <v>0</v>
      </c>
      <c r="JIQ3">
        <f>Database!JJJ5</f>
        <v>0</v>
      </c>
      <c r="JIR3">
        <f>Database!JJK5</f>
        <v>0</v>
      </c>
      <c r="JIS3">
        <f>Database!JJL5</f>
        <v>0</v>
      </c>
      <c r="JIT3">
        <f>Database!JJM5</f>
        <v>0</v>
      </c>
      <c r="JIU3">
        <f>Database!JJN5</f>
        <v>0</v>
      </c>
      <c r="JIV3">
        <f>Database!JJO5</f>
        <v>0</v>
      </c>
      <c r="JIW3">
        <f>Database!JJP5</f>
        <v>0</v>
      </c>
      <c r="JIX3">
        <f>Database!JJQ5</f>
        <v>0</v>
      </c>
      <c r="JIY3">
        <f>Database!JJR5</f>
        <v>0</v>
      </c>
      <c r="JIZ3">
        <f>Database!JJS5</f>
        <v>0</v>
      </c>
      <c r="JJA3">
        <f>Database!JJT5</f>
        <v>0</v>
      </c>
      <c r="JJB3">
        <f>Database!JJU5</f>
        <v>0</v>
      </c>
      <c r="JJC3">
        <f>Database!JJV5</f>
        <v>0</v>
      </c>
      <c r="JJD3">
        <f>Database!JJW5</f>
        <v>0</v>
      </c>
      <c r="JJE3">
        <f>Database!JJX5</f>
        <v>0</v>
      </c>
      <c r="JJF3">
        <f>Database!JJY5</f>
        <v>0</v>
      </c>
      <c r="JJG3">
        <f>Database!JJZ5</f>
        <v>0</v>
      </c>
      <c r="JJH3">
        <f>Database!JKA5</f>
        <v>0</v>
      </c>
      <c r="JJI3">
        <f>Database!JKB5</f>
        <v>0</v>
      </c>
      <c r="JJJ3">
        <f>Database!JKC5</f>
        <v>0</v>
      </c>
      <c r="JJK3">
        <f>Database!JKD5</f>
        <v>0</v>
      </c>
      <c r="JJL3">
        <f>Database!JKE5</f>
        <v>0</v>
      </c>
      <c r="JJM3">
        <f>Database!JKF5</f>
        <v>0</v>
      </c>
      <c r="JJN3">
        <f>Database!JKG5</f>
        <v>0</v>
      </c>
      <c r="JJO3">
        <f>Database!JKH5</f>
        <v>0</v>
      </c>
      <c r="JJP3">
        <f>Database!JKI5</f>
        <v>0</v>
      </c>
      <c r="JJQ3">
        <f>Database!JKJ5</f>
        <v>0</v>
      </c>
      <c r="JJR3">
        <f>Database!JKK5</f>
        <v>0</v>
      </c>
      <c r="JJS3">
        <f>Database!JKL5</f>
        <v>0</v>
      </c>
      <c r="JJT3">
        <f>Database!JKM5</f>
        <v>0</v>
      </c>
      <c r="JJU3">
        <f>Database!JKN5</f>
        <v>0</v>
      </c>
      <c r="JJV3">
        <f>Database!JKO5</f>
        <v>0</v>
      </c>
      <c r="JJW3">
        <f>Database!JKP5</f>
        <v>0</v>
      </c>
      <c r="JJX3">
        <f>Database!JKQ5</f>
        <v>0</v>
      </c>
      <c r="JJY3">
        <f>Database!JKR5</f>
        <v>0</v>
      </c>
      <c r="JJZ3">
        <f>Database!JKS5</f>
        <v>0</v>
      </c>
      <c r="JKA3">
        <f>Database!JKT5</f>
        <v>0</v>
      </c>
      <c r="JKB3">
        <f>Database!JKU5</f>
        <v>0</v>
      </c>
      <c r="JKC3">
        <f>Database!JKV5</f>
        <v>0</v>
      </c>
      <c r="JKD3">
        <f>Database!JKW5</f>
        <v>0</v>
      </c>
      <c r="JKE3">
        <f>Database!JKX5</f>
        <v>0</v>
      </c>
      <c r="JKF3">
        <f>Database!JKY5</f>
        <v>0</v>
      </c>
      <c r="JKG3">
        <f>Database!JKZ5</f>
        <v>0</v>
      </c>
      <c r="JKH3">
        <f>Database!JLA5</f>
        <v>0</v>
      </c>
      <c r="JKI3">
        <f>Database!JLB5</f>
        <v>0</v>
      </c>
      <c r="JKJ3">
        <f>Database!JLC5</f>
        <v>0</v>
      </c>
      <c r="JKK3">
        <f>Database!JLD5</f>
        <v>0</v>
      </c>
      <c r="JKL3">
        <f>Database!JLE5</f>
        <v>0</v>
      </c>
      <c r="JKM3">
        <f>Database!JLF5</f>
        <v>0</v>
      </c>
      <c r="JKN3">
        <f>Database!JLG5</f>
        <v>0</v>
      </c>
      <c r="JKO3">
        <f>Database!JLH5</f>
        <v>0</v>
      </c>
      <c r="JKP3">
        <f>Database!JLI5</f>
        <v>0</v>
      </c>
      <c r="JKQ3">
        <f>Database!JLJ5</f>
        <v>0</v>
      </c>
      <c r="JKR3">
        <f>Database!JLK5</f>
        <v>0</v>
      </c>
      <c r="JKS3">
        <f>Database!JLL5</f>
        <v>0</v>
      </c>
      <c r="JKT3">
        <f>Database!JLM5</f>
        <v>0</v>
      </c>
      <c r="JKU3">
        <f>Database!JLN5</f>
        <v>0</v>
      </c>
      <c r="JKV3">
        <f>Database!JLO5</f>
        <v>0</v>
      </c>
      <c r="JKW3">
        <f>Database!JLP5</f>
        <v>0</v>
      </c>
      <c r="JKX3">
        <f>Database!JLQ5</f>
        <v>0</v>
      </c>
      <c r="JKY3">
        <f>Database!JLR5</f>
        <v>0</v>
      </c>
      <c r="JKZ3">
        <f>Database!JLS5</f>
        <v>0</v>
      </c>
      <c r="JLA3">
        <f>Database!JLT5</f>
        <v>0</v>
      </c>
      <c r="JLB3">
        <f>Database!JLU5</f>
        <v>0</v>
      </c>
      <c r="JLC3">
        <f>Database!JLV5</f>
        <v>0</v>
      </c>
      <c r="JLD3">
        <f>Database!JLW5</f>
        <v>0</v>
      </c>
      <c r="JLE3">
        <f>Database!JLX5</f>
        <v>0</v>
      </c>
      <c r="JLF3">
        <f>Database!JLY5</f>
        <v>0</v>
      </c>
      <c r="JLG3">
        <f>Database!JLZ5</f>
        <v>0</v>
      </c>
      <c r="JLH3">
        <f>Database!JMA5</f>
        <v>0</v>
      </c>
      <c r="JLI3">
        <f>Database!JMB5</f>
        <v>0</v>
      </c>
      <c r="JLJ3">
        <f>Database!JMC5</f>
        <v>0</v>
      </c>
      <c r="JLK3">
        <f>Database!JMD5</f>
        <v>0</v>
      </c>
      <c r="JLL3">
        <f>Database!JME5</f>
        <v>0</v>
      </c>
      <c r="JLM3">
        <f>Database!JMF5</f>
        <v>0</v>
      </c>
      <c r="JLN3">
        <f>Database!JMG5</f>
        <v>0</v>
      </c>
      <c r="JLO3">
        <f>Database!JMH5</f>
        <v>0</v>
      </c>
      <c r="JLP3">
        <f>Database!JMI5</f>
        <v>0</v>
      </c>
      <c r="JLQ3">
        <f>Database!JMJ5</f>
        <v>0</v>
      </c>
      <c r="JLR3">
        <f>Database!JMK5</f>
        <v>0</v>
      </c>
      <c r="JLS3">
        <f>Database!JML5</f>
        <v>0</v>
      </c>
      <c r="JLT3">
        <f>Database!JMM5</f>
        <v>0</v>
      </c>
      <c r="JLU3">
        <f>Database!JMN5</f>
        <v>0</v>
      </c>
      <c r="JLV3">
        <f>Database!JMO5</f>
        <v>0</v>
      </c>
      <c r="JLW3">
        <f>Database!JMP5</f>
        <v>0</v>
      </c>
      <c r="JLX3">
        <f>Database!JMQ5</f>
        <v>0</v>
      </c>
      <c r="JLY3">
        <f>Database!JMR5</f>
        <v>0</v>
      </c>
      <c r="JLZ3">
        <f>Database!JMS5</f>
        <v>0</v>
      </c>
      <c r="JMA3">
        <f>Database!JMT5</f>
        <v>0</v>
      </c>
      <c r="JMB3">
        <f>Database!JMU5</f>
        <v>0</v>
      </c>
      <c r="JMC3">
        <f>Database!JMV5</f>
        <v>0</v>
      </c>
      <c r="JMD3">
        <f>Database!JMW5</f>
        <v>0</v>
      </c>
      <c r="JME3">
        <f>Database!JMX5</f>
        <v>0</v>
      </c>
      <c r="JMF3">
        <f>Database!JMY5</f>
        <v>0</v>
      </c>
      <c r="JMG3">
        <f>Database!JMZ5</f>
        <v>0</v>
      </c>
      <c r="JMH3">
        <f>Database!JNA5</f>
        <v>0</v>
      </c>
      <c r="JMI3">
        <f>Database!JNB5</f>
        <v>0</v>
      </c>
      <c r="JMJ3">
        <f>Database!JNC5</f>
        <v>0</v>
      </c>
      <c r="JMK3">
        <f>Database!JND5</f>
        <v>0</v>
      </c>
      <c r="JML3">
        <f>Database!JNE5</f>
        <v>0</v>
      </c>
      <c r="JMM3">
        <f>Database!JNF5</f>
        <v>0</v>
      </c>
      <c r="JMN3">
        <f>Database!JNG5</f>
        <v>0</v>
      </c>
      <c r="JMO3">
        <f>Database!JNH5</f>
        <v>0</v>
      </c>
      <c r="JMP3">
        <f>Database!JNI5</f>
        <v>0</v>
      </c>
      <c r="JMQ3">
        <f>Database!JNJ5</f>
        <v>0</v>
      </c>
      <c r="JMR3">
        <f>Database!JNK5</f>
        <v>0</v>
      </c>
      <c r="JMS3">
        <f>Database!JNL5</f>
        <v>0</v>
      </c>
      <c r="JMT3">
        <f>Database!JNM5</f>
        <v>0</v>
      </c>
      <c r="JMU3">
        <f>Database!JNN5</f>
        <v>0</v>
      </c>
      <c r="JMV3">
        <f>Database!JNO5</f>
        <v>0</v>
      </c>
      <c r="JMW3">
        <f>Database!JNP5</f>
        <v>0</v>
      </c>
      <c r="JMX3">
        <f>Database!JNQ5</f>
        <v>0</v>
      </c>
      <c r="JMY3">
        <f>Database!JNR5</f>
        <v>0</v>
      </c>
      <c r="JMZ3">
        <f>Database!JNS5</f>
        <v>0</v>
      </c>
      <c r="JNA3">
        <f>Database!JNT5</f>
        <v>0</v>
      </c>
      <c r="JNB3">
        <f>Database!JNU5</f>
        <v>0</v>
      </c>
      <c r="JNC3">
        <f>Database!JNV5</f>
        <v>0</v>
      </c>
      <c r="JND3">
        <f>Database!JNW5</f>
        <v>0</v>
      </c>
      <c r="JNE3">
        <f>Database!JNX5</f>
        <v>0</v>
      </c>
      <c r="JNF3">
        <f>Database!JNY5</f>
        <v>0</v>
      </c>
      <c r="JNG3">
        <f>Database!JNZ5</f>
        <v>0</v>
      </c>
      <c r="JNH3">
        <f>Database!JOA5</f>
        <v>0</v>
      </c>
      <c r="JNI3">
        <f>Database!JOB5</f>
        <v>0</v>
      </c>
      <c r="JNJ3">
        <f>Database!JOC5</f>
        <v>0</v>
      </c>
      <c r="JNK3">
        <f>Database!JOD5</f>
        <v>0</v>
      </c>
      <c r="JNL3">
        <f>Database!JOE5</f>
        <v>0</v>
      </c>
      <c r="JNM3">
        <f>Database!JOF5</f>
        <v>0</v>
      </c>
      <c r="JNN3">
        <f>Database!JOG5</f>
        <v>0</v>
      </c>
      <c r="JNO3">
        <f>Database!JOH5</f>
        <v>0</v>
      </c>
      <c r="JNP3">
        <f>Database!JOI5</f>
        <v>0</v>
      </c>
      <c r="JNQ3">
        <f>Database!JOJ5</f>
        <v>0</v>
      </c>
      <c r="JNR3">
        <f>Database!JOK5</f>
        <v>0</v>
      </c>
      <c r="JNS3">
        <f>Database!JOL5</f>
        <v>0</v>
      </c>
      <c r="JNT3">
        <f>Database!JOM5</f>
        <v>0</v>
      </c>
      <c r="JNU3">
        <f>Database!JON5</f>
        <v>0</v>
      </c>
      <c r="JNV3">
        <f>Database!JOO5</f>
        <v>0</v>
      </c>
      <c r="JNW3">
        <f>Database!JOP5</f>
        <v>0</v>
      </c>
      <c r="JNX3">
        <f>Database!JOQ5</f>
        <v>0</v>
      </c>
      <c r="JNY3">
        <f>Database!JOR5</f>
        <v>0</v>
      </c>
      <c r="JNZ3">
        <f>Database!JOS5</f>
        <v>0</v>
      </c>
      <c r="JOA3">
        <f>Database!JOT5</f>
        <v>0</v>
      </c>
      <c r="JOB3">
        <f>Database!JOU5</f>
        <v>0</v>
      </c>
      <c r="JOC3">
        <f>Database!JOV5</f>
        <v>0</v>
      </c>
      <c r="JOD3">
        <f>Database!JOW5</f>
        <v>0</v>
      </c>
      <c r="JOE3">
        <f>Database!JOX5</f>
        <v>0</v>
      </c>
      <c r="JOF3">
        <f>Database!JOY5</f>
        <v>0</v>
      </c>
      <c r="JOG3">
        <f>Database!JOZ5</f>
        <v>0</v>
      </c>
      <c r="JOH3">
        <f>Database!JPA5</f>
        <v>0</v>
      </c>
      <c r="JOI3">
        <f>Database!JPB5</f>
        <v>0</v>
      </c>
      <c r="JOJ3">
        <f>Database!JPC5</f>
        <v>0</v>
      </c>
      <c r="JOK3">
        <f>Database!JPD5</f>
        <v>0</v>
      </c>
      <c r="JOL3">
        <f>Database!JPE5</f>
        <v>0</v>
      </c>
      <c r="JOM3">
        <f>Database!JPF5</f>
        <v>0</v>
      </c>
      <c r="JON3">
        <f>Database!JPG5</f>
        <v>0</v>
      </c>
      <c r="JOO3">
        <f>Database!JPH5</f>
        <v>0</v>
      </c>
      <c r="JOP3">
        <f>Database!JPI5</f>
        <v>0</v>
      </c>
      <c r="JOQ3">
        <f>Database!JPJ5</f>
        <v>0</v>
      </c>
      <c r="JOR3">
        <f>Database!JPK5</f>
        <v>0</v>
      </c>
      <c r="JOS3">
        <f>Database!JPL5</f>
        <v>0</v>
      </c>
      <c r="JOT3">
        <f>Database!JPM5</f>
        <v>0</v>
      </c>
      <c r="JOU3">
        <f>Database!JPN5</f>
        <v>0</v>
      </c>
      <c r="JOV3">
        <f>Database!JPO5</f>
        <v>0</v>
      </c>
      <c r="JOW3">
        <f>Database!JPP5</f>
        <v>0</v>
      </c>
      <c r="JOX3">
        <f>Database!JPQ5</f>
        <v>0</v>
      </c>
      <c r="JOY3">
        <f>Database!JPR5</f>
        <v>0</v>
      </c>
      <c r="JOZ3">
        <f>Database!JPS5</f>
        <v>0</v>
      </c>
      <c r="JPA3">
        <f>Database!JPT5</f>
        <v>0</v>
      </c>
      <c r="JPB3">
        <f>Database!JPU5</f>
        <v>0</v>
      </c>
      <c r="JPC3">
        <f>Database!JPV5</f>
        <v>0</v>
      </c>
      <c r="JPD3">
        <f>Database!JPW5</f>
        <v>0</v>
      </c>
      <c r="JPE3">
        <f>Database!JPX5</f>
        <v>0</v>
      </c>
      <c r="JPF3">
        <f>Database!JPY5</f>
        <v>0</v>
      </c>
      <c r="JPG3">
        <f>Database!JPZ5</f>
        <v>0</v>
      </c>
      <c r="JPH3">
        <f>Database!JQA5</f>
        <v>0</v>
      </c>
      <c r="JPI3">
        <f>Database!JQB5</f>
        <v>0</v>
      </c>
      <c r="JPJ3">
        <f>Database!JQC5</f>
        <v>0</v>
      </c>
      <c r="JPK3">
        <f>Database!JQD5</f>
        <v>0</v>
      </c>
      <c r="JPL3">
        <f>Database!JQE5</f>
        <v>0</v>
      </c>
      <c r="JPM3">
        <f>Database!JQF5</f>
        <v>0</v>
      </c>
      <c r="JPN3">
        <f>Database!JQG5</f>
        <v>0</v>
      </c>
      <c r="JPO3">
        <f>Database!JQH5</f>
        <v>0</v>
      </c>
      <c r="JPP3">
        <f>Database!JQI5</f>
        <v>0</v>
      </c>
      <c r="JPQ3">
        <f>Database!JQJ5</f>
        <v>0</v>
      </c>
      <c r="JPR3">
        <f>Database!JQK5</f>
        <v>0</v>
      </c>
      <c r="JPS3">
        <f>Database!JQL5</f>
        <v>0</v>
      </c>
      <c r="JPT3">
        <f>Database!JQM5</f>
        <v>0</v>
      </c>
      <c r="JPU3">
        <f>Database!JQN5</f>
        <v>0</v>
      </c>
      <c r="JPV3">
        <f>Database!JQO5</f>
        <v>0</v>
      </c>
      <c r="JPW3">
        <f>Database!JQP5</f>
        <v>0</v>
      </c>
      <c r="JPX3">
        <f>Database!JQQ5</f>
        <v>0</v>
      </c>
      <c r="JPY3">
        <f>Database!JQR5</f>
        <v>0</v>
      </c>
      <c r="JPZ3">
        <f>Database!JQS5</f>
        <v>0</v>
      </c>
      <c r="JQA3">
        <f>Database!JQT5</f>
        <v>0</v>
      </c>
      <c r="JQB3">
        <f>Database!JQU5</f>
        <v>0</v>
      </c>
      <c r="JQC3">
        <f>Database!JQV5</f>
        <v>0</v>
      </c>
      <c r="JQD3">
        <f>Database!JQW5</f>
        <v>0</v>
      </c>
      <c r="JQE3">
        <f>Database!JQX5</f>
        <v>0</v>
      </c>
      <c r="JQF3">
        <f>Database!JQY5</f>
        <v>0</v>
      </c>
      <c r="JQG3">
        <f>Database!JQZ5</f>
        <v>0</v>
      </c>
      <c r="JQH3">
        <f>Database!JRA5</f>
        <v>0</v>
      </c>
      <c r="JQI3">
        <f>Database!JRB5</f>
        <v>0</v>
      </c>
      <c r="JQJ3">
        <f>Database!JRC5</f>
        <v>0</v>
      </c>
      <c r="JQK3">
        <f>Database!JRD5</f>
        <v>0</v>
      </c>
      <c r="JQL3">
        <f>Database!JRE5</f>
        <v>0</v>
      </c>
      <c r="JQM3">
        <f>Database!JRF5</f>
        <v>0</v>
      </c>
      <c r="JQN3">
        <f>Database!JRG5</f>
        <v>0</v>
      </c>
      <c r="JQO3">
        <f>Database!JRH5</f>
        <v>0</v>
      </c>
      <c r="JQP3">
        <f>Database!JRI5</f>
        <v>0</v>
      </c>
      <c r="JQQ3">
        <f>Database!JRJ5</f>
        <v>0</v>
      </c>
      <c r="JQR3">
        <f>Database!JRK5</f>
        <v>0</v>
      </c>
      <c r="JQS3">
        <f>Database!JRL5</f>
        <v>0</v>
      </c>
      <c r="JQT3">
        <f>Database!JRM5</f>
        <v>0</v>
      </c>
      <c r="JQU3">
        <f>Database!JRN5</f>
        <v>0</v>
      </c>
      <c r="JQV3">
        <f>Database!JRO5</f>
        <v>0</v>
      </c>
      <c r="JQW3">
        <f>Database!JRP5</f>
        <v>0</v>
      </c>
      <c r="JQX3">
        <f>Database!JRQ5</f>
        <v>0</v>
      </c>
      <c r="JQY3">
        <f>Database!JRR5</f>
        <v>0</v>
      </c>
      <c r="JQZ3">
        <f>Database!JRS5</f>
        <v>0</v>
      </c>
      <c r="JRA3">
        <f>Database!JRT5</f>
        <v>0</v>
      </c>
      <c r="JRB3">
        <f>Database!JRU5</f>
        <v>0</v>
      </c>
      <c r="JRC3">
        <f>Database!JRV5</f>
        <v>0</v>
      </c>
      <c r="JRD3">
        <f>Database!JRW5</f>
        <v>0</v>
      </c>
      <c r="JRE3">
        <f>Database!JRX5</f>
        <v>0</v>
      </c>
      <c r="JRF3">
        <f>Database!JRY5</f>
        <v>0</v>
      </c>
      <c r="JRG3">
        <f>Database!JRZ5</f>
        <v>0</v>
      </c>
      <c r="JRH3">
        <f>Database!JSA5</f>
        <v>0</v>
      </c>
      <c r="JRI3">
        <f>Database!JSB5</f>
        <v>0</v>
      </c>
      <c r="JRJ3">
        <f>Database!JSC5</f>
        <v>0</v>
      </c>
      <c r="JRK3">
        <f>Database!JSD5</f>
        <v>0</v>
      </c>
      <c r="JRL3">
        <f>Database!JSE5</f>
        <v>0</v>
      </c>
      <c r="JRM3">
        <f>Database!JSF5</f>
        <v>0</v>
      </c>
      <c r="JRN3">
        <f>Database!JSG5</f>
        <v>0</v>
      </c>
      <c r="JRO3">
        <f>Database!JSH5</f>
        <v>0</v>
      </c>
      <c r="JRP3">
        <f>Database!JSI5</f>
        <v>0</v>
      </c>
      <c r="JRQ3">
        <f>Database!JSJ5</f>
        <v>0</v>
      </c>
      <c r="JRR3">
        <f>Database!JSK5</f>
        <v>0</v>
      </c>
      <c r="JRS3">
        <f>Database!JSL5</f>
        <v>0</v>
      </c>
      <c r="JRT3">
        <f>Database!JSM5</f>
        <v>0</v>
      </c>
      <c r="JRU3">
        <f>Database!JSN5</f>
        <v>0</v>
      </c>
      <c r="JRV3">
        <f>Database!JSO5</f>
        <v>0</v>
      </c>
      <c r="JRW3">
        <f>Database!JSP5</f>
        <v>0</v>
      </c>
      <c r="JRX3">
        <f>Database!JSQ5</f>
        <v>0</v>
      </c>
      <c r="JRY3">
        <f>Database!JSR5</f>
        <v>0</v>
      </c>
      <c r="JRZ3">
        <f>Database!JSS5</f>
        <v>0</v>
      </c>
      <c r="JSA3">
        <f>Database!JST5</f>
        <v>0</v>
      </c>
      <c r="JSB3">
        <f>Database!JSU5</f>
        <v>0</v>
      </c>
      <c r="JSC3">
        <f>Database!JSV5</f>
        <v>0</v>
      </c>
      <c r="JSD3">
        <f>Database!JSW5</f>
        <v>0</v>
      </c>
      <c r="JSE3">
        <f>Database!JSX5</f>
        <v>0</v>
      </c>
      <c r="JSF3">
        <f>Database!JSY5</f>
        <v>0</v>
      </c>
      <c r="JSG3">
        <f>Database!JSZ5</f>
        <v>0</v>
      </c>
      <c r="JSH3">
        <f>Database!JTA5</f>
        <v>0</v>
      </c>
      <c r="JSI3">
        <f>Database!JTB5</f>
        <v>0</v>
      </c>
      <c r="JSJ3">
        <f>Database!JTC5</f>
        <v>0</v>
      </c>
      <c r="JSK3">
        <f>Database!JTD5</f>
        <v>0</v>
      </c>
      <c r="JSL3">
        <f>Database!JTE5</f>
        <v>0</v>
      </c>
      <c r="JSM3">
        <f>Database!JTF5</f>
        <v>0</v>
      </c>
      <c r="JSN3">
        <f>Database!JTG5</f>
        <v>0</v>
      </c>
      <c r="JSO3">
        <f>Database!JTH5</f>
        <v>0</v>
      </c>
      <c r="JSP3">
        <f>Database!JTI5</f>
        <v>0</v>
      </c>
      <c r="JSQ3">
        <f>Database!JTJ5</f>
        <v>0</v>
      </c>
      <c r="JSR3">
        <f>Database!JTK5</f>
        <v>0</v>
      </c>
      <c r="JSS3">
        <f>Database!JTL5</f>
        <v>0</v>
      </c>
      <c r="JST3">
        <f>Database!JTM5</f>
        <v>0</v>
      </c>
      <c r="JSU3">
        <f>Database!JTN5</f>
        <v>0</v>
      </c>
      <c r="JSV3">
        <f>Database!JTO5</f>
        <v>0</v>
      </c>
      <c r="JSW3">
        <f>Database!JTP5</f>
        <v>0</v>
      </c>
      <c r="JSX3">
        <f>Database!JTQ5</f>
        <v>0</v>
      </c>
      <c r="JSY3">
        <f>Database!JTR5</f>
        <v>0</v>
      </c>
      <c r="JSZ3">
        <f>Database!JTS5</f>
        <v>0</v>
      </c>
      <c r="JTA3">
        <f>Database!JTT5</f>
        <v>0</v>
      </c>
      <c r="JTB3">
        <f>Database!JTU5</f>
        <v>0</v>
      </c>
      <c r="JTC3">
        <f>Database!JTV5</f>
        <v>0</v>
      </c>
      <c r="JTD3">
        <f>Database!JTW5</f>
        <v>0</v>
      </c>
      <c r="JTE3">
        <f>Database!JTX5</f>
        <v>0</v>
      </c>
      <c r="JTF3">
        <f>Database!JTY5</f>
        <v>0</v>
      </c>
      <c r="JTG3">
        <f>Database!JTZ5</f>
        <v>0</v>
      </c>
      <c r="JTH3">
        <f>Database!JUA5</f>
        <v>0</v>
      </c>
      <c r="JTI3">
        <f>Database!JUB5</f>
        <v>0</v>
      </c>
      <c r="JTJ3">
        <f>Database!JUC5</f>
        <v>0</v>
      </c>
      <c r="JTK3">
        <f>Database!JUD5</f>
        <v>0</v>
      </c>
      <c r="JTL3">
        <f>Database!JUE5</f>
        <v>0</v>
      </c>
      <c r="JTM3">
        <f>Database!JUF5</f>
        <v>0</v>
      </c>
      <c r="JTN3">
        <f>Database!JUG5</f>
        <v>0</v>
      </c>
      <c r="JTO3">
        <f>Database!JUH5</f>
        <v>0</v>
      </c>
      <c r="JTP3">
        <f>Database!JUI5</f>
        <v>0</v>
      </c>
      <c r="JTQ3">
        <f>Database!JUJ5</f>
        <v>0</v>
      </c>
      <c r="JTR3">
        <f>Database!JUK5</f>
        <v>0</v>
      </c>
      <c r="JTS3">
        <f>Database!JUL5</f>
        <v>0</v>
      </c>
      <c r="JTT3">
        <f>Database!JUM5</f>
        <v>0</v>
      </c>
      <c r="JTU3">
        <f>Database!JUN5</f>
        <v>0</v>
      </c>
      <c r="JTV3">
        <f>Database!JUO5</f>
        <v>0</v>
      </c>
      <c r="JTW3">
        <f>Database!JUP5</f>
        <v>0</v>
      </c>
      <c r="JTX3">
        <f>Database!JUQ5</f>
        <v>0</v>
      </c>
      <c r="JTY3">
        <f>Database!JUR5</f>
        <v>0</v>
      </c>
      <c r="JTZ3">
        <f>Database!JUS5</f>
        <v>0</v>
      </c>
      <c r="JUA3">
        <f>Database!JUT5</f>
        <v>0</v>
      </c>
      <c r="JUB3">
        <f>Database!JUU5</f>
        <v>0</v>
      </c>
      <c r="JUC3">
        <f>Database!JUV5</f>
        <v>0</v>
      </c>
      <c r="JUD3">
        <f>Database!JUW5</f>
        <v>0</v>
      </c>
      <c r="JUE3">
        <f>Database!JUX5</f>
        <v>0</v>
      </c>
      <c r="JUF3">
        <f>Database!JUY5</f>
        <v>0</v>
      </c>
      <c r="JUG3">
        <f>Database!JUZ5</f>
        <v>0</v>
      </c>
      <c r="JUH3">
        <f>Database!JVA5</f>
        <v>0</v>
      </c>
      <c r="JUI3">
        <f>Database!JVB5</f>
        <v>0</v>
      </c>
      <c r="JUJ3">
        <f>Database!JVC5</f>
        <v>0</v>
      </c>
      <c r="JUK3">
        <f>Database!JVD5</f>
        <v>0</v>
      </c>
      <c r="JUL3">
        <f>Database!JVE5</f>
        <v>0</v>
      </c>
      <c r="JUM3">
        <f>Database!JVF5</f>
        <v>0</v>
      </c>
      <c r="JUN3">
        <f>Database!JVG5</f>
        <v>0</v>
      </c>
      <c r="JUO3">
        <f>Database!JVH5</f>
        <v>0</v>
      </c>
      <c r="JUP3">
        <f>Database!JVI5</f>
        <v>0</v>
      </c>
      <c r="JUQ3">
        <f>Database!JVJ5</f>
        <v>0</v>
      </c>
      <c r="JUR3">
        <f>Database!JVK5</f>
        <v>0</v>
      </c>
      <c r="JUS3">
        <f>Database!JVL5</f>
        <v>0</v>
      </c>
      <c r="JUT3">
        <f>Database!JVM5</f>
        <v>0</v>
      </c>
      <c r="JUU3">
        <f>Database!JVN5</f>
        <v>0</v>
      </c>
      <c r="JUV3">
        <f>Database!JVO5</f>
        <v>0</v>
      </c>
      <c r="JUW3">
        <f>Database!JVP5</f>
        <v>0</v>
      </c>
      <c r="JUX3">
        <f>Database!JVQ5</f>
        <v>0</v>
      </c>
      <c r="JUY3">
        <f>Database!JVR5</f>
        <v>0</v>
      </c>
      <c r="JUZ3">
        <f>Database!JVS5</f>
        <v>0</v>
      </c>
      <c r="JVA3">
        <f>Database!JVT5</f>
        <v>0</v>
      </c>
      <c r="JVB3">
        <f>Database!JVU5</f>
        <v>0</v>
      </c>
      <c r="JVC3">
        <f>Database!JVV5</f>
        <v>0</v>
      </c>
      <c r="JVD3">
        <f>Database!JVW5</f>
        <v>0</v>
      </c>
      <c r="JVE3">
        <f>Database!JVX5</f>
        <v>0</v>
      </c>
      <c r="JVF3">
        <f>Database!JVY5</f>
        <v>0</v>
      </c>
      <c r="JVG3">
        <f>Database!JVZ5</f>
        <v>0</v>
      </c>
      <c r="JVH3">
        <f>Database!JWA5</f>
        <v>0</v>
      </c>
      <c r="JVI3">
        <f>Database!JWB5</f>
        <v>0</v>
      </c>
      <c r="JVJ3">
        <f>Database!JWC5</f>
        <v>0</v>
      </c>
      <c r="JVK3">
        <f>Database!JWD5</f>
        <v>0</v>
      </c>
      <c r="JVL3">
        <f>Database!JWE5</f>
        <v>0</v>
      </c>
      <c r="JVM3">
        <f>Database!JWF5</f>
        <v>0</v>
      </c>
      <c r="JVN3">
        <f>Database!JWG5</f>
        <v>0</v>
      </c>
      <c r="JVO3">
        <f>Database!JWH5</f>
        <v>0</v>
      </c>
      <c r="JVP3">
        <f>Database!JWI5</f>
        <v>0</v>
      </c>
      <c r="JVQ3">
        <f>Database!JWJ5</f>
        <v>0</v>
      </c>
      <c r="JVR3">
        <f>Database!JWK5</f>
        <v>0</v>
      </c>
      <c r="JVS3">
        <f>Database!JWL5</f>
        <v>0</v>
      </c>
      <c r="JVT3">
        <f>Database!JWM5</f>
        <v>0</v>
      </c>
      <c r="JVU3">
        <f>Database!JWN5</f>
        <v>0</v>
      </c>
      <c r="JVV3">
        <f>Database!JWO5</f>
        <v>0</v>
      </c>
      <c r="JVW3">
        <f>Database!JWP5</f>
        <v>0</v>
      </c>
      <c r="JVX3">
        <f>Database!JWQ5</f>
        <v>0</v>
      </c>
      <c r="JVY3">
        <f>Database!JWR5</f>
        <v>0</v>
      </c>
      <c r="JVZ3">
        <f>Database!JWS5</f>
        <v>0</v>
      </c>
      <c r="JWA3">
        <f>Database!JWT5</f>
        <v>0</v>
      </c>
      <c r="JWB3">
        <f>Database!JWU5</f>
        <v>0</v>
      </c>
      <c r="JWC3">
        <f>Database!JWV5</f>
        <v>0</v>
      </c>
      <c r="JWD3">
        <f>Database!JWW5</f>
        <v>0</v>
      </c>
      <c r="JWE3">
        <f>Database!JWX5</f>
        <v>0</v>
      </c>
      <c r="JWF3">
        <f>Database!JWY5</f>
        <v>0</v>
      </c>
      <c r="JWG3">
        <f>Database!JWZ5</f>
        <v>0</v>
      </c>
      <c r="JWH3">
        <f>Database!JXA5</f>
        <v>0</v>
      </c>
      <c r="JWI3">
        <f>Database!JXB5</f>
        <v>0</v>
      </c>
      <c r="JWJ3">
        <f>Database!JXC5</f>
        <v>0</v>
      </c>
      <c r="JWK3">
        <f>Database!JXD5</f>
        <v>0</v>
      </c>
      <c r="JWL3">
        <f>Database!JXE5</f>
        <v>0</v>
      </c>
      <c r="JWM3">
        <f>Database!JXF5</f>
        <v>0</v>
      </c>
      <c r="JWN3">
        <f>Database!JXG5</f>
        <v>0</v>
      </c>
      <c r="JWO3">
        <f>Database!JXH5</f>
        <v>0</v>
      </c>
      <c r="JWP3">
        <f>Database!JXI5</f>
        <v>0</v>
      </c>
      <c r="JWQ3">
        <f>Database!JXJ5</f>
        <v>0</v>
      </c>
      <c r="JWR3">
        <f>Database!JXK5</f>
        <v>0</v>
      </c>
      <c r="JWS3">
        <f>Database!JXL5</f>
        <v>0</v>
      </c>
      <c r="JWT3">
        <f>Database!JXM5</f>
        <v>0</v>
      </c>
      <c r="JWU3">
        <f>Database!JXN5</f>
        <v>0</v>
      </c>
      <c r="JWV3">
        <f>Database!JXO5</f>
        <v>0</v>
      </c>
      <c r="JWW3">
        <f>Database!JXP5</f>
        <v>0</v>
      </c>
      <c r="JWX3">
        <f>Database!JXQ5</f>
        <v>0</v>
      </c>
      <c r="JWY3">
        <f>Database!JXR5</f>
        <v>0</v>
      </c>
      <c r="JWZ3">
        <f>Database!JXS5</f>
        <v>0</v>
      </c>
      <c r="JXA3">
        <f>Database!JXT5</f>
        <v>0</v>
      </c>
      <c r="JXB3">
        <f>Database!JXU5</f>
        <v>0</v>
      </c>
      <c r="JXC3">
        <f>Database!JXV5</f>
        <v>0</v>
      </c>
      <c r="JXD3">
        <f>Database!JXW5</f>
        <v>0</v>
      </c>
      <c r="JXE3">
        <f>Database!JXX5</f>
        <v>0</v>
      </c>
      <c r="JXF3">
        <f>Database!JXY5</f>
        <v>0</v>
      </c>
      <c r="JXG3">
        <f>Database!JXZ5</f>
        <v>0</v>
      </c>
      <c r="JXH3">
        <f>Database!JYA5</f>
        <v>0</v>
      </c>
      <c r="JXI3">
        <f>Database!JYB5</f>
        <v>0</v>
      </c>
      <c r="JXJ3">
        <f>Database!JYC5</f>
        <v>0</v>
      </c>
      <c r="JXK3">
        <f>Database!JYD5</f>
        <v>0</v>
      </c>
      <c r="JXL3">
        <f>Database!JYE5</f>
        <v>0</v>
      </c>
      <c r="JXM3">
        <f>Database!JYF5</f>
        <v>0</v>
      </c>
      <c r="JXN3">
        <f>Database!JYG5</f>
        <v>0</v>
      </c>
      <c r="JXO3">
        <f>Database!JYH5</f>
        <v>0</v>
      </c>
      <c r="JXP3">
        <f>Database!JYI5</f>
        <v>0</v>
      </c>
      <c r="JXQ3">
        <f>Database!JYJ5</f>
        <v>0</v>
      </c>
      <c r="JXR3">
        <f>Database!JYK5</f>
        <v>0</v>
      </c>
      <c r="JXS3">
        <f>Database!JYL5</f>
        <v>0</v>
      </c>
      <c r="JXT3">
        <f>Database!JYM5</f>
        <v>0</v>
      </c>
      <c r="JXU3">
        <f>Database!JYN5</f>
        <v>0</v>
      </c>
      <c r="JXV3">
        <f>Database!JYO5</f>
        <v>0</v>
      </c>
      <c r="JXW3">
        <f>Database!JYP5</f>
        <v>0</v>
      </c>
      <c r="JXX3">
        <f>Database!JYQ5</f>
        <v>0</v>
      </c>
      <c r="JXY3">
        <f>Database!JYR5</f>
        <v>0</v>
      </c>
      <c r="JXZ3">
        <f>Database!JYS5</f>
        <v>0</v>
      </c>
      <c r="JYA3">
        <f>Database!JYT5</f>
        <v>0</v>
      </c>
      <c r="JYB3">
        <f>Database!JYU5</f>
        <v>0</v>
      </c>
      <c r="JYC3">
        <f>Database!JYV5</f>
        <v>0</v>
      </c>
      <c r="JYD3">
        <f>Database!JYW5</f>
        <v>0</v>
      </c>
      <c r="JYE3">
        <f>Database!JYX5</f>
        <v>0</v>
      </c>
      <c r="JYF3">
        <f>Database!JYY5</f>
        <v>0</v>
      </c>
      <c r="JYG3">
        <f>Database!JYZ5</f>
        <v>0</v>
      </c>
      <c r="JYH3">
        <f>Database!JZA5</f>
        <v>0</v>
      </c>
      <c r="JYI3">
        <f>Database!JZB5</f>
        <v>0</v>
      </c>
      <c r="JYJ3">
        <f>Database!JZC5</f>
        <v>0</v>
      </c>
      <c r="JYK3">
        <f>Database!JZD5</f>
        <v>0</v>
      </c>
      <c r="JYL3">
        <f>Database!JZE5</f>
        <v>0</v>
      </c>
      <c r="JYM3">
        <f>Database!JZF5</f>
        <v>0</v>
      </c>
      <c r="JYN3">
        <f>Database!JZG5</f>
        <v>0</v>
      </c>
      <c r="JYO3">
        <f>Database!JZH5</f>
        <v>0</v>
      </c>
      <c r="JYP3">
        <f>Database!JZI5</f>
        <v>0</v>
      </c>
      <c r="JYQ3">
        <f>Database!JZJ5</f>
        <v>0</v>
      </c>
      <c r="JYR3">
        <f>Database!JZK5</f>
        <v>0</v>
      </c>
      <c r="JYS3">
        <f>Database!JZL5</f>
        <v>0</v>
      </c>
      <c r="JYT3">
        <f>Database!JZM5</f>
        <v>0</v>
      </c>
      <c r="JYU3">
        <f>Database!JZN5</f>
        <v>0</v>
      </c>
      <c r="JYV3">
        <f>Database!JZO5</f>
        <v>0</v>
      </c>
      <c r="JYW3">
        <f>Database!JZP5</f>
        <v>0</v>
      </c>
      <c r="JYX3">
        <f>Database!JZQ5</f>
        <v>0</v>
      </c>
      <c r="JYY3">
        <f>Database!JZR5</f>
        <v>0</v>
      </c>
      <c r="JYZ3">
        <f>Database!JZS5</f>
        <v>0</v>
      </c>
      <c r="JZA3">
        <f>Database!JZT5</f>
        <v>0</v>
      </c>
      <c r="JZB3">
        <f>Database!JZU5</f>
        <v>0</v>
      </c>
      <c r="JZC3">
        <f>Database!JZV5</f>
        <v>0</v>
      </c>
      <c r="JZD3">
        <f>Database!JZW5</f>
        <v>0</v>
      </c>
      <c r="JZE3">
        <f>Database!JZX5</f>
        <v>0</v>
      </c>
      <c r="JZF3">
        <f>Database!JZY5</f>
        <v>0</v>
      </c>
      <c r="JZG3">
        <f>Database!JZZ5</f>
        <v>0</v>
      </c>
      <c r="JZH3">
        <f>Database!KAA5</f>
        <v>0</v>
      </c>
      <c r="JZI3">
        <f>Database!KAB5</f>
        <v>0</v>
      </c>
      <c r="JZJ3">
        <f>Database!KAC5</f>
        <v>0</v>
      </c>
      <c r="JZK3">
        <f>Database!KAD5</f>
        <v>0</v>
      </c>
      <c r="JZL3">
        <f>Database!KAE5</f>
        <v>0</v>
      </c>
      <c r="JZM3">
        <f>Database!KAF5</f>
        <v>0</v>
      </c>
      <c r="JZN3">
        <f>Database!KAG5</f>
        <v>0</v>
      </c>
      <c r="JZO3">
        <f>Database!KAH5</f>
        <v>0</v>
      </c>
      <c r="JZP3">
        <f>Database!KAI5</f>
        <v>0</v>
      </c>
      <c r="JZQ3">
        <f>Database!KAJ5</f>
        <v>0</v>
      </c>
      <c r="JZR3">
        <f>Database!KAK5</f>
        <v>0</v>
      </c>
      <c r="JZS3">
        <f>Database!KAL5</f>
        <v>0</v>
      </c>
      <c r="JZT3">
        <f>Database!KAM5</f>
        <v>0</v>
      </c>
      <c r="JZU3">
        <f>Database!KAN5</f>
        <v>0</v>
      </c>
      <c r="JZV3">
        <f>Database!KAO5</f>
        <v>0</v>
      </c>
      <c r="JZW3">
        <f>Database!KAP5</f>
        <v>0</v>
      </c>
      <c r="JZX3">
        <f>Database!KAQ5</f>
        <v>0</v>
      </c>
      <c r="JZY3">
        <f>Database!KAR5</f>
        <v>0</v>
      </c>
      <c r="JZZ3">
        <f>Database!KAS5</f>
        <v>0</v>
      </c>
      <c r="KAA3">
        <f>Database!KAT5</f>
        <v>0</v>
      </c>
      <c r="KAB3">
        <f>Database!KAU5</f>
        <v>0</v>
      </c>
      <c r="KAC3">
        <f>Database!KAV5</f>
        <v>0</v>
      </c>
      <c r="KAD3">
        <f>Database!KAW5</f>
        <v>0</v>
      </c>
      <c r="KAE3">
        <f>Database!KAX5</f>
        <v>0</v>
      </c>
      <c r="KAF3">
        <f>Database!KAY5</f>
        <v>0</v>
      </c>
      <c r="KAG3">
        <f>Database!KAZ5</f>
        <v>0</v>
      </c>
      <c r="KAH3">
        <f>Database!KBA5</f>
        <v>0</v>
      </c>
      <c r="KAI3">
        <f>Database!KBB5</f>
        <v>0</v>
      </c>
      <c r="KAJ3">
        <f>Database!KBC5</f>
        <v>0</v>
      </c>
      <c r="KAK3">
        <f>Database!KBD5</f>
        <v>0</v>
      </c>
      <c r="KAL3">
        <f>Database!KBE5</f>
        <v>0</v>
      </c>
      <c r="KAM3">
        <f>Database!KBF5</f>
        <v>0</v>
      </c>
      <c r="KAN3">
        <f>Database!KBG5</f>
        <v>0</v>
      </c>
      <c r="KAO3">
        <f>Database!KBH5</f>
        <v>0</v>
      </c>
      <c r="KAP3">
        <f>Database!KBI5</f>
        <v>0</v>
      </c>
      <c r="KAQ3">
        <f>Database!KBJ5</f>
        <v>0</v>
      </c>
      <c r="KAR3">
        <f>Database!KBK5</f>
        <v>0</v>
      </c>
      <c r="KAS3">
        <f>Database!KBL5</f>
        <v>0</v>
      </c>
      <c r="KAT3">
        <f>Database!KBM5</f>
        <v>0</v>
      </c>
      <c r="KAU3">
        <f>Database!KBN5</f>
        <v>0</v>
      </c>
      <c r="KAV3">
        <f>Database!KBO5</f>
        <v>0</v>
      </c>
      <c r="KAW3">
        <f>Database!KBP5</f>
        <v>0</v>
      </c>
      <c r="KAX3">
        <f>Database!KBQ5</f>
        <v>0</v>
      </c>
      <c r="KAY3">
        <f>Database!KBR5</f>
        <v>0</v>
      </c>
      <c r="KAZ3">
        <f>Database!KBS5</f>
        <v>0</v>
      </c>
      <c r="KBA3">
        <f>Database!KBT5</f>
        <v>0</v>
      </c>
      <c r="KBB3">
        <f>Database!KBU5</f>
        <v>0</v>
      </c>
      <c r="KBC3">
        <f>Database!KBV5</f>
        <v>0</v>
      </c>
      <c r="KBD3">
        <f>Database!KBW5</f>
        <v>0</v>
      </c>
      <c r="KBE3">
        <f>Database!KBX5</f>
        <v>0</v>
      </c>
      <c r="KBF3">
        <f>Database!KBY5</f>
        <v>0</v>
      </c>
      <c r="KBG3">
        <f>Database!KBZ5</f>
        <v>0</v>
      </c>
      <c r="KBH3">
        <f>Database!KCA5</f>
        <v>0</v>
      </c>
      <c r="KBI3">
        <f>Database!KCB5</f>
        <v>0</v>
      </c>
      <c r="KBJ3">
        <f>Database!KCC5</f>
        <v>0</v>
      </c>
      <c r="KBK3">
        <f>Database!KCD5</f>
        <v>0</v>
      </c>
      <c r="KBL3">
        <f>Database!KCE5</f>
        <v>0</v>
      </c>
      <c r="KBM3">
        <f>Database!KCF5</f>
        <v>0</v>
      </c>
      <c r="KBN3">
        <f>Database!KCG5</f>
        <v>0</v>
      </c>
      <c r="KBO3">
        <f>Database!KCH5</f>
        <v>0</v>
      </c>
      <c r="KBP3">
        <f>Database!KCI5</f>
        <v>0</v>
      </c>
      <c r="KBQ3">
        <f>Database!KCJ5</f>
        <v>0</v>
      </c>
      <c r="KBR3">
        <f>Database!KCK5</f>
        <v>0</v>
      </c>
      <c r="KBS3">
        <f>Database!KCL5</f>
        <v>0</v>
      </c>
      <c r="KBT3">
        <f>Database!KCM5</f>
        <v>0</v>
      </c>
      <c r="KBU3">
        <f>Database!KCN5</f>
        <v>0</v>
      </c>
      <c r="KBV3">
        <f>Database!KCO5</f>
        <v>0</v>
      </c>
      <c r="KBW3">
        <f>Database!KCP5</f>
        <v>0</v>
      </c>
      <c r="KBX3">
        <f>Database!KCQ5</f>
        <v>0</v>
      </c>
      <c r="KBY3">
        <f>Database!KCR5</f>
        <v>0</v>
      </c>
      <c r="KBZ3">
        <f>Database!KCS5</f>
        <v>0</v>
      </c>
      <c r="KCA3">
        <f>Database!KCT5</f>
        <v>0</v>
      </c>
      <c r="KCB3">
        <f>Database!KCU5</f>
        <v>0</v>
      </c>
      <c r="KCC3">
        <f>Database!KCV5</f>
        <v>0</v>
      </c>
      <c r="KCD3">
        <f>Database!KCW5</f>
        <v>0</v>
      </c>
      <c r="KCE3">
        <f>Database!KCX5</f>
        <v>0</v>
      </c>
      <c r="KCF3">
        <f>Database!KCY5</f>
        <v>0</v>
      </c>
      <c r="KCG3">
        <f>Database!KCZ5</f>
        <v>0</v>
      </c>
      <c r="KCH3">
        <f>Database!KDA5</f>
        <v>0</v>
      </c>
      <c r="KCI3">
        <f>Database!KDB5</f>
        <v>0</v>
      </c>
      <c r="KCJ3">
        <f>Database!KDC5</f>
        <v>0</v>
      </c>
      <c r="KCK3">
        <f>Database!KDD5</f>
        <v>0</v>
      </c>
      <c r="KCL3">
        <f>Database!KDE5</f>
        <v>0</v>
      </c>
      <c r="KCM3">
        <f>Database!KDF5</f>
        <v>0</v>
      </c>
      <c r="KCN3">
        <f>Database!KDG5</f>
        <v>0</v>
      </c>
      <c r="KCO3">
        <f>Database!KDH5</f>
        <v>0</v>
      </c>
      <c r="KCP3">
        <f>Database!KDI5</f>
        <v>0</v>
      </c>
      <c r="KCQ3">
        <f>Database!KDJ5</f>
        <v>0</v>
      </c>
      <c r="KCR3">
        <f>Database!KDK5</f>
        <v>0</v>
      </c>
      <c r="KCS3">
        <f>Database!KDL5</f>
        <v>0</v>
      </c>
      <c r="KCT3">
        <f>Database!KDM5</f>
        <v>0</v>
      </c>
      <c r="KCU3">
        <f>Database!KDN5</f>
        <v>0</v>
      </c>
      <c r="KCV3">
        <f>Database!KDO5</f>
        <v>0</v>
      </c>
      <c r="KCW3">
        <f>Database!KDP5</f>
        <v>0</v>
      </c>
      <c r="KCX3">
        <f>Database!KDQ5</f>
        <v>0</v>
      </c>
      <c r="KCY3">
        <f>Database!KDR5</f>
        <v>0</v>
      </c>
      <c r="KCZ3">
        <f>Database!KDS5</f>
        <v>0</v>
      </c>
      <c r="KDA3">
        <f>Database!KDT5</f>
        <v>0</v>
      </c>
      <c r="KDB3">
        <f>Database!KDU5</f>
        <v>0</v>
      </c>
      <c r="KDC3">
        <f>Database!KDV5</f>
        <v>0</v>
      </c>
      <c r="KDD3">
        <f>Database!KDW5</f>
        <v>0</v>
      </c>
      <c r="KDE3">
        <f>Database!KDX5</f>
        <v>0</v>
      </c>
      <c r="KDF3">
        <f>Database!KDY5</f>
        <v>0</v>
      </c>
      <c r="KDG3">
        <f>Database!KDZ5</f>
        <v>0</v>
      </c>
      <c r="KDH3">
        <f>Database!KEA5</f>
        <v>0</v>
      </c>
      <c r="KDI3">
        <f>Database!KEB5</f>
        <v>0</v>
      </c>
      <c r="KDJ3">
        <f>Database!KEC5</f>
        <v>0</v>
      </c>
      <c r="KDK3">
        <f>Database!KED5</f>
        <v>0</v>
      </c>
      <c r="KDL3">
        <f>Database!KEE5</f>
        <v>0</v>
      </c>
      <c r="KDM3">
        <f>Database!KEF5</f>
        <v>0</v>
      </c>
      <c r="KDN3">
        <f>Database!KEG5</f>
        <v>0</v>
      </c>
      <c r="KDO3">
        <f>Database!KEH5</f>
        <v>0</v>
      </c>
      <c r="KDP3">
        <f>Database!KEI5</f>
        <v>0</v>
      </c>
      <c r="KDQ3">
        <f>Database!KEJ5</f>
        <v>0</v>
      </c>
      <c r="KDR3">
        <f>Database!KEK5</f>
        <v>0</v>
      </c>
      <c r="KDS3">
        <f>Database!KEL5</f>
        <v>0</v>
      </c>
      <c r="KDT3">
        <f>Database!KEM5</f>
        <v>0</v>
      </c>
      <c r="KDU3">
        <f>Database!KEN5</f>
        <v>0</v>
      </c>
      <c r="KDV3">
        <f>Database!KEO5</f>
        <v>0</v>
      </c>
      <c r="KDW3">
        <f>Database!KEP5</f>
        <v>0</v>
      </c>
      <c r="KDX3">
        <f>Database!KEQ5</f>
        <v>0</v>
      </c>
      <c r="KDY3">
        <f>Database!KER5</f>
        <v>0</v>
      </c>
      <c r="KDZ3">
        <f>Database!KES5</f>
        <v>0</v>
      </c>
      <c r="KEA3">
        <f>Database!KET5</f>
        <v>0</v>
      </c>
      <c r="KEB3">
        <f>Database!KEU5</f>
        <v>0</v>
      </c>
      <c r="KEC3">
        <f>Database!KEV5</f>
        <v>0</v>
      </c>
      <c r="KED3">
        <f>Database!KEW5</f>
        <v>0</v>
      </c>
      <c r="KEE3">
        <f>Database!KEX5</f>
        <v>0</v>
      </c>
      <c r="KEF3">
        <f>Database!KEY5</f>
        <v>0</v>
      </c>
      <c r="KEG3">
        <f>Database!KEZ5</f>
        <v>0</v>
      </c>
      <c r="KEH3">
        <f>Database!KFA5</f>
        <v>0</v>
      </c>
      <c r="KEI3">
        <f>Database!KFB5</f>
        <v>0</v>
      </c>
      <c r="KEJ3">
        <f>Database!KFC5</f>
        <v>0</v>
      </c>
      <c r="KEK3">
        <f>Database!KFD5</f>
        <v>0</v>
      </c>
      <c r="KEL3">
        <f>Database!KFE5</f>
        <v>0</v>
      </c>
      <c r="KEM3">
        <f>Database!KFF5</f>
        <v>0</v>
      </c>
      <c r="KEN3">
        <f>Database!KFG5</f>
        <v>0</v>
      </c>
      <c r="KEO3">
        <f>Database!KFH5</f>
        <v>0</v>
      </c>
      <c r="KEP3">
        <f>Database!KFI5</f>
        <v>0</v>
      </c>
      <c r="KEQ3">
        <f>Database!KFJ5</f>
        <v>0</v>
      </c>
      <c r="KER3">
        <f>Database!KFK5</f>
        <v>0</v>
      </c>
      <c r="KES3">
        <f>Database!KFL5</f>
        <v>0</v>
      </c>
      <c r="KET3">
        <f>Database!KFM5</f>
        <v>0</v>
      </c>
      <c r="KEU3">
        <f>Database!KFN5</f>
        <v>0</v>
      </c>
      <c r="KEV3">
        <f>Database!KFO5</f>
        <v>0</v>
      </c>
      <c r="KEW3">
        <f>Database!KFP5</f>
        <v>0</v>
      </c>
      <c r="KEX3">
        <f>Database!KFQ5</f>
        <v>0</v>
      </c>
      <c r="KEY3">
        <f>Database!KFR5</f>
        <v>0</v>
      </c>
      <c r="KEZ3">
        <f>Database!KFS5</f>
        <v>0</v>
      </c>
      <c r="KFA3">
        <f>Database!KFT5</f>
        <v>0</v>
      </c>
      <c r="KFB3">
        <f>Database!KFU5</f>
        <v>0</v>
      </c>
      <c r="KFC3">
        <f>Database!KFV5</f>
        <v>0</v>
      </c>
      <c r="KFD3">
        <f>Database!KFW5</f>
        <v>0</v>
      </c>
      <c r="KFE3">
        <f>Database!KFX5</f>
        <v>0</v>
      </c>
      <c r="KFF3">
        <f>Database!KFY5</f>
        <v>0</v>
      </c>
      <c r="KFG3">
        <f>Database!KFZ5</f>
        <v>0</v>
      </c>
      <c r="KFH3">
        <f>Database!KGA5</f>
        <v>0</v>
      </c>
      <c r="KFI3">
        <f>Database!KGB5</f>
        <v>0</v>
      </c>
      <c r="KFJ3">
        <f>Database!KGC5</f>
        <v>0</v>
      </c>
      <c r="KFK3">
        <f>Database!KGD5</f>
        <v>0</v>
      </c>
      <c r="KFL3">
        <f>Database!KGE5</f>
        <v>0</v>
      </c>
      <c r="KFM3">
        <f>Database!KGF5</f>
        <v>0</v>
      </c>
      <c r="KFN3">
        <f>Database!KGG5</f>
        <v>0</v>
      </c>
      <c r="KFO3">
        <f>Database!KGH5</f>
        <v>0</v>
      </c>
      <c r="KFP3">
        <f>Database!KGI5</f>
        <v>0</v>
      </c>
      <c r="KFQ3">
        <f>Database!KGJ5</f>
        <v>0</v>
      </c>
      <c r="KFR3">
        <f>Database!KGK5</f>
        <v>0</v>
      </c>
      <c r="KFS3">
        <f>Database!KGL5</f>
        <v>0</v>
      </c>
      <c r="KFT3">
        <f>Database!KGM5</f>
        <v>0</v>
      </c>
      <c r="KFU3">
        <f>Database!KGN5</f>
        <v>0</v>
      </c>
      <c r="KFV3">
        <f>Database!KGO5</f>
        <v>0</v>
      </c>
      <c r="KFW3">
        <f>Database!KGP5</f>
        <v>0</v>
      </c>
      <c r="KFX3">
        <f>Database!KGQ5</f>
        <v>0</v>
      </c>
      <c r="KFY3">
        <f>Database!KGR5</f>
        <v>0</v>
      </c>
      <c r="KFZ3">
        <f>Database!KGS5</f>
        <v>0</v>
      </c>
      <c r="KGA3">
        <f>Database!KGT5</f>
        <v>0</v>
      </c>
      <c r="KGB3">
        <f>Database!KGU5</f>
        <v>0</v>
      </c>
      <c r="KGC3">
        <f>Database!KGV5</f>
        <v>0</v>
      </c>
      <c r="KGD3">
        <f>Database!KGW5</f>
        <v>0</v>
      </c>
      <c r="KGE3">
        <f>Database!KGX5</f>
        <v>0</v>
      </c>
      <c r="KGF3">
        <f>Database!KGY5</f>
        <v>0</v>
      </c>
      <c r="KGG3">
        <f>Database!KGZ5</f>
        <v>0</v>
      </c>
      <c r="KGH3">
        <f>Database!KHA5</f>
        <v>0</v>
      </c>
      <c r="KGI3">
        <f>Database!KHB5</f>
        <v>0</v>
      </c>
      <c r="KGJ3">
        <f>Database!KHC5</f>
        <v>0</v>
      </c>
      <c r="KGK3">
        <f>Database!KHD5</f>
        <v>0</v>
      </c>
      <c r="KGL3">
        <f>Database!KHE5</f>
        <v>0</v>
      </c>
      <c r="KGM3">
        <f>Database!KHF5</f>
        <v>0</v>
      </c>
      <c r="KGN3">
        <f>Database!KHG5</f>
        <v>0</v>
      </c>
      <c r="KGO3">
        <f>Database!KHH5</f>
        <v>0</v>
      </c>
      <c r="KGP3">
        <f>Database!KHI5</f>
        <v>0</v>
      </c>
      <c r="KGQ3">
        <f>Database!KHJ5</f>
        <v>0</v>
      </c>
      <c r="KGR3">
        <f>Database!KHK5</f>
        <v>0</v>
      </c>
      <c r="KGS3">
        <f>Database!KHL5</f>
        <v>0</v>
      </c>
      <c r="KGT3">
        <f>Database!KHM5</f>
        <v>0</v>
      </c>
      <c r="KGU3">
        <f>Database!KHN5</f>
        <v>0</v>
      </c>
      <c r="KGV3">
        <f>Database!KHO5</f>
        <v>0</v>
      </c>
      <c r="KGW3">
        <f>Database!KHP5</f>
        <v>0</v>
      </c>
      <c r="KGX3">
        <f>Database!KHQ5</f>
        <v>0</v>
      </c>
      <c r="KGY3">
        <f>Database!KHR5</f>
        <v>0</v>
      </c>
      <c r="KGZ3">
        <f>Database!KHS5</f>
        <v>0</v>
      </c>
      <c r="KHA3">
        <f>Database!KHT5</f>
        <v>0</v>
      </c>
      <c r="KHB3">
        <f>Database!KHU5</f>
        <v>0</v>
      </c>
      <c r="KHC3">
        <f>Database!KHV5</f>
        <v>0</v>
      </c>
      <c r="KHD3">
        <f>Database!KHW5</f>
        <v>0</v>
      </c>
      <c r="KHE3">
        <f>Database!KHX5</f>
        <v>0</v>
      </c>
      <c r="KHF3">
        <f>Database!KHY5</f>
        <v>0</v>
      </c>
      <c r="KHG3">
        <f>Database!KHZ5</f>
        <v>0</v>
      </c>
      <c r="KHH3">
        <f>Database!KIA5</f>
        <v>0</v>
      </c>
      <c r="KHI3">
        <f>Database!KIB5</f>
        <v>0</v>
      </c>
      <c r="KHJ3">
        <f>Database!KIC5</f>
        <v>0</v>
      </c>
      <c r="KHK3">
        <f>Database!KID5</f>
        <v>0</v>
      </c>
      <c r="KHL3">
        <f>Database!KIE5</f>
        <v>0</v>
      </c>
      <c r="KHM3">
        <f>Database!KIF5</f>
        <v>0</v>
      </c>
      <c r="KHN3">
        <f>Database!KIG5</f>
        <v>0</v>
      </c>
      <c r="KHO3">
        <f>Database!KIH5</f>
        <v>0</v>
      </c>
      <c r="KHP3">
        <f>Database!KII5</f>
        <v>0</v>
      </c>
      <c r="KHQ3">
        <f>Database!KIJ5</f>
        <v>0</v>
      </c>
      <c r="KHR3">
        <f>Database!KIK5</f>
        <v>0</v>
      </c>
      <c r="KHS3">
        <f>Database!KIL5</f>
        <v>0</v>
      </c>
      <c r="KHT3">
        <f>Database!KIM5</f>
        <v>0</v>
      </c>
      <c r="KHU3">
        <f>Database!KIN5</f>
        <v>0</v>
      </c>
      <c r="KHV3">
        <f>Database!KIO5</f>
        <v>0</v>
      </c>
      <c r="KHW3">
        <f>Database!KIP5</f>
        <v>0</v>
      </c>
      <c r="KHX3">
        <f>Database!KIQ5</f>
        <v>0</v>
      </c>
      <c r="KHY3">
        <f>Database!KIR5</f>
        <v>0</v>
      </c>
      <c r="KHZ3">
        <f>Database!KIS5</f>
        <v>0</v>
      </c>
      <c r="KIA3">
        <f>Database!KIT5</f>
        <v>0</v>
      </c>
      <c r="KIB3">
        <f>Database!KIU5</f>
        <v>0</v>
      </c>
      <c r="KIC3">
        <f>Database!KIV5</f>
        <v>0</v>
      </c>
      <c r="KID3">
        <f>Database!KIW5</f>
        <v>0</v>
      </c>
      <c r="KIE3">
        <f>Database!KIX5</f>
        <v>0</v>
      </c>
      <c r="KIF3">
        <f>Database!KIY5</f>
        <v>0</v>
      </c>
      <c r="KIG3">
        <f>Database!KIZ5</f>
        <v>0</v>
      </c>
      <c r="KIH3">
        <f>Database!KJA5</f>
        <v>0</v>
      </c>
      <c r="KII3">
        <f>Database!KJB5</f>
        <v>0</v>
      </c>
      <c r="KIJ3">
        <f>Database!KJC5</f>
        <v>0</v>
      </c>
      <c r="KIK3">
        <f>Database!KJD5</f>
        <v>0</v>
      </c>
      <c r="KIL3">
        <f>Database!KJE5</f>
        <v>0</v>
      </c>
      <c r="KIM3">
        <f>Database!KJF5</f>
        <v>0</v>
      </c>
      <c r="KIN3">
        <f>Database!KJG5</f>
        <v>0</v>
      </c>
      <c r="KIO3">
        <f>Database!KJH5</f>
        <v>0</v>
      </c>
      <c r="KIP3">
        <f>Database!KJI5</f>
        <v>0</v>
      </c>
      <c r="KIQ3">
        <f>Database!KJJ5</f>
        <v>0</v>
      </c>
      <c r="KIR3">
        <f>Database!KJK5</f>
        <v>0</v>
      </c>
      <c r="KIS3">
        <f>Database!KJL5</f>
        <v>0</v>
      </c>
      <c r="KIT3">
        <f>Database!KJM5</f>
        <v>0</v>
      </c>
      <c r="KIU3">
        <f>Database!KJN5</f>
        <v>0</v>
      </c>
      <c r="KIV3">
        <f>Database!KJO5</f>
        <v>0</v>
      </c>
      <c r="KIW3">
        <f>Database!KJP5</f>
        <v>0</v>
      </c>
      <c r="KIX3">
        <f>Database!KJQ5</f>
        <v>0</v>
      </c>
      <c r="KIY3">
        <f>Database!KJR5</f>
        <v>0</v>
      </c>
      <c r="KIZ3">
        <f>Database!KJS5</f>
        <v>0</v>
      </c>
      <c r="KJA3">
        <f>Database!KJT5</f>
        <v>0</v>
      </c>
      <c r="KJB3">
        <f>Database!KJU5</f>
        <v>0</v>
      </c>
      <c r="KJC3">
        <f>Database!KJV5</f>
        <v>0</v>
      </c>
      <c r="KJD3">
        <f>Database!KJW5</f>
        <v>0</v>
      </c>
      <c r="KJE3">
        <f>Database!KJX5</f>
        <v>0</v>
      </c>
      <c r="KJF3">
        <f>Database!KJY5</f>
        <v>0</v>
      </c>
      <c r="KJG3">
        <f>Database!KJZ5</f>
        <v>0</v>
      </c>
      <c r="KJH3">
        <f>Database!KKA5</f>
        <v>0</v>
      </c>
      <c r="KJI3">
        <f>Database!KKB5</f>
        <v>0</v>
      </c>
      <c r="KJJ3">
        <f>Database!KKC5</f>
        <v>0</v>
      </c>
      <c r="KJK3">
        <f>Database!KKD5</f>
        <v>0</v>
      </c>
      <c r="KJL3">
        <f>Database!KKE5</f>
        <v>0</v>
      </c>
      <c r="KJM3">
        <f>Database!KKF5</f>
        <v>0</v>
      </c>
      <c r="KJN3">
        <f>Database!KKG5</f>
        <v>0</v>
      </c>
      <c r="KJO3">
        <f>Database!KKH5</f>
        <v>0</v>
      </c>
      <c r="KJP3">
        <f>Database!KKI5</f>
        <v>0</v>
      </c>
      <c r="KJQ3">
        <f>Database!KKJ5</f>
        <v>0</v>
      </c>
      <c r="KJR3">
        <f>Database!KKK5</f>
        <v>0</v>
      </c>
      <c r="KJS3">
        <f>Database!KKL5</f>
        <v>0</v>
      </c>
      <c r="KJT3">
        <f>Database!KKM5</f>
        <v>0</v>
      </c>
      <c r="KJU3">
        <f>Database!KKN5</f>
        <v>0</v>
      </c>
      <c r="KJV3">
        <f>Database!KKO5</f>
        <v>0</v>
      </c>
      <c r="KJW3">
        <f>Database!KKP5</f>
        <v>0</v>
      </c>
      <c r="KJX3">
        <f>Database!KKQ5</f>
        <v>0</v>
      </c>
      <c r="KJY3">
        <f>Database!KKR5</f>
        <v>0</v>
      </c>
      <c r="KJZ3">
        <f>Database!KKS5</f>
        <v>0</v>
      </c>
      <c r="KKA3">
        <f>Database!KKT5</f>
        <v>0</v>
      </c>
      <c r="KKB3">
        <f>Database!KKU5</f>
        <v>0</v>
      </c>
      <c r="KKC3">
        <f>Database!KKV5</f>
        <v>0</v>
      </c>
      <c r="KKD3">
        <f>Database!KKW5</f>
        <v>0</v>
      </c>
      <c r="KKE3">
        <f>Database!KKX5</f>
        <v>0</v>
      </c>
      <c r="KKF3">
        <f>Database!KKY5</f>
        <v>0</v>
      </c>
      <c r="KKG3">
        <f>Database!KKZ5</f>
        <v>0</v>
      </c>
      <c r="KKH3">
        <f>Database!KLA5</f>
        <v>0</v>
      </c>
      <c r="KKI3">
        <f>Database!KLB5</f>
        <v>0</v>
      </c>
      <c r="KKJ3">
        <f>Database!KLC5</f>
        <v>0</v>
      </c>
      <c r="KKK3">
        <f>Database!KLD5</f>
        <v>0</v>
      </c>
      <c r="KKL3">
        <f>Database!KLE5</f>
        <v>0</v>
      </c>
      <c r="KKM3">
        <f>Database!KLF5</f>
        <v>0</v>
      </c>
      <c r="KKN3">
        <f>Database!KLG5</f>
        <v>0</v>
      </c>
      <c r="KKO3">
        <f>Database!KLH5</f>
        <v>0</v>
      </c>
      <c r="KKP3">
        <f>Database!KLI5</f>
        <v>0</v>
      </c>
      <c r="KKQ3">
        <f>Database!KLJ5</f>
        <v>0</v>
      </c>
      <c r="KKR3">
        <f>Database!KLK5</f>
        <v>0</v>
      </c>
      <c r="KKS3">
        <f>Database!KLL5</f>
        <v>0</v>
      </c>
      <c r="KKT3">
        <f>Database!KLM5</f>
        <v>0</v>
      </c>
      <c r="KKU3">
        <f>Database!KLN5</f>
        <v>0</v>
      </c>
      <c r="KKV3">
        <f>Database!KLO5</f>
        <v>0</v>
      </c>
      <c r="KKW3">
        <f>Database!KLP5</f>
        <v>0</v>
      </c>
      <c r="KKX3">
        <f>Database!KLQ5</f>
        <v>0</v>
      </c>
      <c r="KKY3">
        <f>Database!KLR5</f>
        <v>0</v>
      </c>
      <c r="KKZ3">
        <f>Database!KLS5</f>
        <v>0</v>
      </c>
      <c r="KLA3">
        <f>Database!KLT5</f>
        <v>0</v>
      </c>
      <c r="KLB3">
        <f>Database!KLU5</f>
        <v>0</v>
      </c>
      <c r="KLC3">
        <f>Database!KLV5</f>
        <v>0</v>
      </c>
      <c r="KLD3">
        <f>Database!KLW5</f>
        <v>0</v>
      </c>
      <c r="KLE3">
        <f>Database!KLX5</f>
        <v>0</v>
      </c>
      <c r="KLF3">
        <f>Database!KLY5</f>
        <v>0</v>
      </c>
      <c r="KLG3">
        <f>Database!KLZ5</f>
        <v>0</v>
      </c>
      <c r="KLH3">
        <f>Database!KMA5</f>
        <v>0</v>
      </c>
      <c r="KLI3">
        <f>Database!KMB5</f>
        <v>0</v>
      </c>
      <c r="KLJ3">
        <f>Database!KMC5</f>
        <v>0</v>
      </c>
      <c r="KLK3">
        <f>Database!KMD5</f>
        <v>0</v>
      </c>
      <c r="KLL3">
        <f>Database!KME5</f>
        <v>0</v>
      </c>
      <c r="KLM3">
        <f>Database!KMF5</f>
        <v>0</v>
      </c>
      <c r="KLN3">
        <f>Database!KMG5</f>
        <v>0</v>
      </c>
      <c r="KLO3">
        <f>Database!KMH5</f>
        <v>0</v>
      </c>
      <c r="KLP3">
        <f>Database!KMI5</f>
        <v>0</v>
      </c>
      <c r="KLQ3">
        <f>Database!KMJ5</f>
        <v>0</v>
      </c>
      <c r="KLR3">
        <f>Database!KMK5</f>
        <v>0</v>
      </c>
      <c r="KLS3">
        <f>Database!KML5</f>
        <v>0</v>
      </c>
      <c r="KLT3">
        <f>Database!KMM5</f>
        <v>0</v>
      </c>
      <c r="KLU3">
        <f>Database!KMN5</f>
        <v>0</v>
      </c>
      <c r="KLV3">
        <f>Database!KMO5</f>
        <v>0</v>
      </c>
      <c r="KLW3">
        <f>Database!KMP5</f>
        <v>0</v>
      </c>
      <c r="KLX3">
        <f>Database!KMQ5</f>
        <v>0</v>
      </c>
      <c r="KLY3">
        <f>Database!KMR5</f>
        <v>0</v>
      </c>
      <c r="KLZ3">
        <f>Database!KMS5</f>
        <v>0</v>
      </c>
      <c r="KMA3">
        <f>Database!KMT5</f>
        <v>0</v>
      </c>
      <c r="KMB3">
        <f>Database!KMU5</f>
        <v>0</v>
      </c>
      <c r="KMC3">
        <f>Database!KMV5</f>
        <v>0</v>
      </c>
      <c r="KMD3">
        <f>Database!KMW5</f>
        <v>0</v>
      </c>
      <c r="KME3">
        <f>Database!KMX5</f>
        <v>0</v>
      </c>
      <c r="KMF3">
        <f>Database!KMY5</f>
        <v>0</v>
      </c>
      <c r="KMG3">
        <f>Database!KMZ5</f>
        <v>0</v>
      </c>
      <c r="KMH3">
        <f>Database!KNA5</f>
        <v>0</v>
      </c>
      <c r="KMI3">
        <f>Database!KNB5</f>
        <v>0</v>
      </c>
      <c r="KMJ3">
        <f>Database!KNC5</f>
        <v>0</v>
      </c>
      <c r="KMK3">
        <f>Database!KND5</f>
        <v>0</v>
      </c>
      <c r="KML3">
        <f>Database!KNE5</f>
        <v>0</v>
      </c>
      <c r="KMM3">
        <f>Database!KNF5</f>
        <v>0</v>
      </c>
      <c r="KMN3">
        <f>Database!KNG5</f>
        <v>0</v>
      </c>
      <c r="KMO3">
        <f>Database!KNH5</f>
        <v>0</v>
      </c>
      <c r="KMP3">
        <f>Database!KNI5</f>
        <v>0</v>
      </c>
      <c r="KMQ3">
        <f>Database!KNJ5</f>
        <v>0</v>
      </c>
      <c r="KMR3">
        <f>Database!KNK5</f>
        <v>0</v>
      </c>
      <c r="KMS3">
        <f>Database!KNL5</f>
        <v>0</v>
      </c>
      <c r="KMT3">
        <f>Database!KNM5</f>
        <v>0</v>
      </c>
      <c r="KMU3">
        <f>Database!KNN5</f>
        <v>0</v>
      </c>
      <c r="KMV3">
        <f>Database!KNO5</f>
        <v>0</v>
      </c>
      <c r="KMW3">
        <f>Database!KNP5</f>
        <v>0</v>
      </c>
      <c r="KMX3">
        <f>Database!KNQ5</f>
        <v>0</v>
      </c>
      <c r="KMY3">
        <f>Database!KNR5</f>
        <v>0</v>
      </c>
      <c r="KMZ3">
        <f>Database!KNS5</f>
        <v>0</v>
      </c>
      <c r="KNA3">
        <f>Database!KNT5</f>
        <v>0</v>
      </c>
      <c r="KNB3">
        <f>Database!KNU5</f>
        <v>0</v>
      </c>
      <c r="KNC3">
        <f>Database!KNV5</f>
        <v>0</v>
      </c>
      <c r="KND3">
        <f>Database!KNW5</f>
        <v>0</v>
      </c>
      <c r="KNE3">
        <f>Database!KNX5</f>
        <v>0</v>
      </c>
      <c r="KNF3">
        <f>Database!KNY5</f>
        <v>0</v>
      </c>
      <c r="KNG3">
        <f>Database!KNZ5</f>
        <v>0</v>
      </c>
      <c r="KNH3">
        <f>Database!KOA5</f>
        <v>0</v>
      </c>
      <c r="KNI3">
        <f>Database!KOB5</f>
        <v>0</v>
      </c>
      <c r="KNJ3">
        <f>Database!KOC5</f>
        <v>0</v>
      </c>
      <c r="KNK3">
        <f>Database!KOD5</f>
        <v>0</v>
      </c>
      <c r="KNL3">
        <f>Database!KOE5</f>
        <v>0</v>
      </c>
      <c r="KNM3">
        <f>Database!KOF5</f>
        <v>0</v>
      </c>
      <c r="KNN3">
        <f>Database!KOG5</f>
        <v>0</v>
      </c>
      <c r="KNO3">
        <f>Database!KOH5</f>
        <v>0</v>
      </c>
      <c r="KNP3">
        <f>Database!KOI5</f>
        <v>0</v>
      </c>
      <c r="KNQ3">
        <f>Database!KOJ5</f>
        <v>0</v>
      </c>
      <c r="KNR3">
        <f>Database!KOK5</f>
        <v>0</v>
      </c>
      <c r="KNS3">
        <f>Database!KOL5</f>
        <v>0</v>
      </c>
      <c r="KNT3">
        <f>Database!KOM5</f>
        <v>0</v>
      </c>
      <c r="KNU3">
        <f>Database!KON5</f>
        <v>0</v>
      </c>
      <c r="KNV3">
        <f>Database!KOO5</f>
        <v>0</v>
      </c>
      <c r="KNW3">
        <f>Database!KOP5</f>
        <v>0</v>
      </c>
      <c r="KNX3">
        <f>Database!KOQ5</f>
        <v>0</v>
      </c>
      <c r="KNY3">
        <f>Database!KOR5</f>
        <v>0</v>
      </c>
      <c r="KNZ3">
        <f>Database!KOS5</f>
        <v>0</v>
      </c>
      <c r="KOA3">
        <f>Database!KOT5</f>
        <v>0</v>
      </c>
      <c r="KOB3">
        <f>Database!KOU5</f>
        <v>0</v>
      </c>
      <c r="KOC3">
        <f>Database!KOV5</f>
        <v>0</v>
      </c>
      <c r="KOD3">
        <f>Database!KOW5</f>
        <v>0</v>
      </c>
      <c r="KOE3">
        <f>Database!KOX5</f>
        <v>0</v>
      </c>
      <c r="KOF3">
        <f>Database!KOY5</f>
        <v>0</v>
      </c>
      <c r="KOG3">
        <f>Database!KOZ5</f>
        <v>0</v>
      </c>
      <c r="KOH3">
        <f>Database!KPA5</f>
        <v>0</v>
      </c>
      <c r="KOI3">
        <f>Database!KPB5</f>
        <v>0</v>
      </c>
      <c r="KOJ3">
        <f>Database!KPC5</f>
        <v>0</v>
      </c>
      <c r="KOK3">
        <f>Database!KPD5</f>
        <v>0</v>
      </c>
      <c r="KOL3">
        <f>Database!KPE5</f>
        <v>0</v>
      </c>
      <c r="KOM3">
        <f>Database!KPF5</f>
        <v>0</v>
      </c>
      <c r="KON3">
        <f>Database!KPG5</f>
        <v>0</v>
      </c>
      <c r="KOO3">
        <f>Database!KPH5</f>
        <v>0</v>
      </c>
      <c r="KOP3">
        <f>Database!KPI5</f>
        <v>0</v>
      </c>
      <c r="KOQ3">
        <f>Database!KPJ5</f>
        <v>0</v>
      </c>
      <c r="KOR3">
        <f>Database!KPK5</f>
        <v>0</v>
      </c>
      <c r="KOS3">
        <f>Database!KPL5</f>
        <v>0</v>
      </c>
      <c r="KOT3">
        <f>Database!KPM5</f>
        <v>0</v>
      </c>
      <c r="KOU3">
        <f>Database!KPN5</f>
        <v>0</v>
      </c>
      <c r="KOV3">
        <f>Database!KPO5</f>
        <v>0</v>
      </c>
      <c r="KOW3">
        <f>Database!KPP5</f>
        <v>0</v>
      </c>
      <c r="KOX3">
        <f>Database!KPQ5</f>
        <v>0</v>
      </c>
      <c r="KOY3">
        <f>Database!KPR5</f>
        <v>0</v>
      </c>
      <c r="KOZ3">
        <f>Database!KPS5</f>
        <v>0</v>
      </c>
      <c r="KPA3">
        <f>Database!KPT5</f>
        <v>0</v>
      </c>
      <c r="KPB3">
        <f>Database!KPU5</f>
        <v>0</v>
      </c>
      <c r="KPC3">
        <f>Database!KPV5</f>
        <v>0</v>
      </c>
      <c r="KPD3">
        <f>Database!KPW5</f>
        <v>0</v>
      </c>
      <c r="KPE3">
        <f>Database!KPX5</f>
        <v>0</v>
      </c>
      <c r="KPF3">
        <f>Database!KPY5</f>
        <v>0</v>
      </c>
      <c r="KPG3">
        <f>Database!KPZ5</f>
        <v>0</v>
      </c>
      <c r="KPH3">
        <f>Database!KQA5</f>
        <v>0</v>
      </c>
      <c r="KPI3">
        <f>Database!KQB5</f>
        <v>0</v>
      </c>
      <c r="KPJ3">
        <f>Database!KQC5</f>
        <v>0</v>
      </c>
      <c r="KPK3">
        <f>Database!KQD5</f>
        <v>0</v>
      </c>
      <c r="KPL3">
        <f>Database!KQE5</f>
        <v>0</v>
      </c>
      <c r="KPM3">
        <f>Database!KQF5</f>
        <v>0</v>
      </c>
      <c r="KPN3">
        <f>Database!KQG5</f>
        <v>0</v>
      </c>
      <c r="KPO3">
        <f>Database!KQH5</f>
        <v>0</v>
      </c>
      <c r="KPP3">
        <f>Database!KQI5</f>
        <v>0</v>
      </c>
      <c r="KPQ3">
        <f>Database!KQJ5</f>
        <v>0</v>
      </c>
      <c r="KPR3">
        <f>Database!KQK5</f>
        <v>0</v>
      </c>
      <c r="KPS3">
        <f>Database!KQL5</f>
        <v>0</v>
      </c>
      <c r="KPT3">
        <f>Database!KQM5</f>
        <v>0</v>
      </c>
      <c r="KPU3">
        <f>Database!KQN5</f>
        <v>0</v>
      </c>
      <c r="KPV3">
        <f>Database!KQO5</f>
        <v>0</v>
      </c>
      <c r="KPW3">
        <f>Database!KQP5</f>
        <v>0</v>
      </c>
      <c r="KPX3">
        <f>Database!KQQ5</f>
        <v>0</v>
      </c>
      <c r="KPY3">
        <f>Database!KQR5</f>
        <v>0</v>
      </c>
      <c r="KPZ3">
        <f>Database!KQS5</f>
        <v>0</v>
      </c>
      <c r="KQA3">
        <f>Database!KQT5</f>
        <v>0</v>
      </c>
      <c r="KQB3">
        <f>Database!KQU5</f>
        <v>0</v>
      </c>
      <c r="KQC3">
        <f>Database!KQV5</f>
        <v>0</v>
      </c>
      <c r="KQD3">
        <f>Database!KQW5</f>
        <v>0</v>
      </c>
      <c r="KQE3">
        <f>Database!KQX5</f>
        <v>0</v>
      </c>
      <c r="KQF3">
        <f>Database!KQY5</f>
        <v>0</v>
      </c>
      <c r="KQG3">
        <f>Database!KQZ5</f>
        <v>0</v>
      </c>
      <c r="KQH3">
        <f>Database!KRA5</f>
        <v>0</v>
      </c>
      <c r="KQI3">
        <f>Database!KRB5</f>
        <v>0</v>
      </c>
      <c r="KQJ3">
        <f>Database!KRC5</f>
        <v>0</v>
      </c>
      <c r="KQK3">
        <f>Database!KRD5</f>
        <v>0</v>
      </c>
      <c r="KQL3">
        <f>Database!KRE5</f>
        <v>0</v>
      </c>
      <c r="KQM3">
        <f>Database!KRF5</f>
        <v>0</v>
      </c>
      <c r="KQN3">
        <f>Database!KRG5</f>
        <v>0</v>
      </c>
      <c r="KQO3">
        <f>Database!KRH5</f>
        <v>0</v>
      </c>
      <c r="KQP3">
        <f>Database!KRI5</f>
        <v>0</v>
      </c>
      <c r="KQQ3">
        <f>Database!KRJ5</f>
        <v>0</v>
      </c>
      <c r="KQR3">
        <f>Database!KRK5</f>
        <v>0</v>
      </c>
      <c r="KQS3">
        <f>Database!KRL5</f>
        <v>0</v>
      </c>
      <c r="KQT3">
        <f>Database!KRM5</f>
        <v>0</v>
      </c>
      <c r="KQU3">
        <f>Database!KRN5</f>
        <v>0</v>
      </c>
      <c r="KQV3">
        <f>Database!KRO5</f>
        <v>0</v>
      </c>
      <c r="KQW3">
        <f>Database!KRP5</f>
        <v>0</v>
      </c>
      <c r="KQX3">
        <f>Database!KRQ5</f>
        <v>0</v>
      </c>
      <c r="KQY3">
        <f>Database!KRR5</f>
        <v>0</v>
      </c>
      <c r="KQZ3">
        <f>Database!KRS5</f>
        <v>0</v>
      </c>
      <c r="KRA3">
        <f>Database!KRT5</f>
        <v>0</v>
      </c>
      <c r="KRB3">
        <f>Database!KRU5</f>
        <v>0</v>
      </c>
      <c r="KRC3">
        <f>Database!KRV5</f>
        <v>0</v>
      </c>
      <c r="KRD3">
        <f>Database!KRW5</f>
        <v>0</v>
      </c>
      <c r="KRE3">
        <f>Database!KRX5</f>
        <v>0</v>
      </c>
      <c r="KRF3">
        <f>Database!KRY5</f>
        <v>0</v>
      </c>
      <c r="KRG3">
        <f>Database!KRZ5</f>
        <v>0</v>
      </c>
      <c r="KRH3">
        <f>Database!KSA5</f>
        <v>0</v>
      </c>
      <c r="KRI3">
        <f>Database!KSB5</f>
        <v>0</v>
      </c>
      <c r="KRJ3">
        <f>Database!KSC5</f>
        <v>0</v>
      </c>
      <c r="KRK3">
        <f>Database!KSD5</f>
        <v>0</v>
      </c>
      <c r="KRL3">
        <f>Database!KSE5</f>
        <v>0</v>
      </c>
      <c r="KRM3">
        <f>Database!KSF5</f>
        <v>0</v>
      </c>
      <c r="KRN3">
        <f>Database!KSG5</f>
        <v>0</v>
      </c>
      <c r="KRO3">
        <f>Database!KSH5</f>
        <v>0</v>
      </c>
      <c r="KRP3">
        <f>Database!KSI5</f>
        <v>0</v>
      </c>
      <c r="KRQ3">
        <f>Database!KSJ5</f>
        <v>0</v>
      </c>
      <c r="KRR3">
        <f>Database!KSK5</f>
        <v>0</v>
      </c>
      <c r="KRS3">
        <f>Database!KSL5</f>
        <v>0</v>
      </c>
      <c r="KRT3">
        <f>Database!KSM5</f>
        <v>0</v>
      </c>
      <c r="KRU3">
        <f>Database!KSN5</f>
        <v>0</v>
      </c>
      <c r="KRV3">
        <f>Database!KSO5</f>
        <v>0</v>
      </c>
      <c r="KRW3">
        <f>Database!KSP5</f>
        <v>0</v>
      </c>
      <c r="KRX3">
        <f>Database!KSQ5</f>
        <v>0</v>
      </c>
      <c r="KRY3">
        <f>Database!KSR5</f>
        <v>0</v>
      </c>
      <c r="KRZ3">
        <f>Database!KSS5</f>
        <v>0</v>
      </c>
      <c r="KSA3">
        <f>Database!KST5</f>
        <v>0</v>
      </c>
      <c r="KSB3">
        <f>Database!KSU5</f>
        <v>0</v>
      </c>
      <c r="KSC3">
        <f>Database!KSV5</f>
        <v>0</v>
      </c>
      <c r="KSD3">
        <f>Database!KSW5</f>
        <v>0</v>
      </c>
      <c r="KSE3">
        <f>Database!KSX5</f>
        <v>0</v>
      </c>
      <c r="KSF3">
        <f>Database!KSY5</f>
        <v>0</v>
      </c>
      <c r="KSG3">
        <f>Database!KSZ5</f>
        <v>0</v>
      </c>
      <c r="KSH3">
        <f>Database!KTA5</f>
        <v>0</v>
      </c>
      <c r="KSI3">
        <f>Database!KTB5</f>
        <v>0</v>
      </c>
      <c r="KSJ3">
        <f>Database!KTC5</f>
        <v>0</v>
      </c>
      <c r="KSK3">
        <f>Database!KTD5</f>
        <v>0</v>
      </c>
      <c r="KSL3">
        <f>Database!KTE5</f>
        <v>0</v>
      </c>
      <c r="KSM3">
        <f>Database!KTF5</f>
        <v>0</v>
      </c>
      <c r="KSN3">
        <f>Database!KTG5</f>
        <v>0</v>
      </c>
      <c r="KSO3">
        <f>Database!KTH5</f>
        <v>0</v>
      </c>
      <c r="KSP3">
        <f>Database!KTI5</f>
        <v>0</v>
      </c>
      <c r="KSQ3">
        <f>Database!KTJ5</f>
        <v>0</v>
      </c>
      <c r="KSR3">
        <f>Database!KTK5</f>
        <v>0</v>
      </c>
      <c r="KSS3">
        <f>Database!KTL5</f>
        <v>0</v>
      </c>
      <c r="KST3">
        <f>Database!KTM5</f>
        <v>0</v>
      </c>
      <c r="KSU3">
        <f>Database!KTN5</f>
        <v>0</v>
      </c>
      <c r="KSV3">
        <f>Database!KTO5</f>
        <v>0</v>
      </c>
      <c r="KSW3">
        <f>Database!KTP5</f>
        <v>0</v>
      </c>
      <c r="KSX3">
        <f>Database!KTQ5</f>
        <v>0</v>
      </c>
      <c r="KSY3">
        <f>Database!KTR5</f>
        <v>0</v>
      </c>
      <c r="KSZ3">
        <f>Database!KTS5</f>
        <v>0</v>
      </c>
      <c r="KTA3">
        <f>Database!KTT5</f>
        <v>0</v>
      </c>
      <c r="KTB3">
        <f>Database!KTU5</f>
        <v>0</v>
      </c>
      <c r="KTC3">
        <f>Database!KTV5</f>
        <v>0</v>
      </c>
      <c r="KTD3">
        <f>Database!KTW5</f>
        <v>0</v>
      </c>
      <c r="KTE3">
        <f>Database!KTX5</f>
        <v>0</v>
      </c>
      <c r="KTF3">
        <f>Database!KTY5</f>
        <v>0</v>
      </c>
      <c r="KTG3">
        <f>Database!KTZ5</f>
        <v>0</v>
      </c>
      <c r="KTH3">
        <f>Database!KUA5</f>
        <v>0</v>
      </c>
      <c r="KTI3">
        <f>Database!KUB5</f>
        <v>0</v>
      </c>
      <c r="KTJ3">
        <f>Database!KUC5</f>
        <v>0</v>
      </c>
      <c r="KTK3">
        <f>Database!KUD5</f>
        <v>0</v>
      </c>
      <c r="KTL3">
        <f>Database!KUE5</f>
        <v>0</v>
      </c>
      <c r="KTM3">
        <f>Database!KUF5</f>
        <v>0</v>
      </c>
      <c r="KTN3">
        <f>Database!KUG5</f>
        <v>0</v>
      </c>
      <c r="KTO3">
        <f>Database!KUH5</f>
        <v>0</v>
      </c>
      <c r="KTP3">
        <f>Database!KUI5</f>
        <v>0</v>
      </c>
      <c r="KTQ3">
        <f>Database!KUJ5</f>
        <v>0</v>
      </c>
      <c r="KTR3">
        <f>Database!KUK5</f>
        <v>0</v>
      </c>
      <c r="KTS3">
        <f>Database!KUL5</f>
        <v>0</v>
      </c>
      <c r="KTT3">
        <f>Database!KUM5</f>
        <v>0</v>
      </c>
      <c r="KTU3">
        <f>Database!KUN5</f>
        <v>0</v>
      </c>
      <c r="KTV3">
        <f>Database!KUO5</f>
        <v>0</v>
      </c>
      <c r="KTW3">
        <f>Database!KUP5</f>
        <v>0</v>
      </c>
      <c r="KTX3">
        <f>Database!KUQ5</f>
        <v>0</v>
      </c>
      <c r="KTY3">
        <f>Database!KUR5</f>
        <v>0</v>
      </c>
      <c r="KTZ3">
        <f>Database!KUS5</f>
        <v>0</v>
      </c>
      <c r="KUA3">
        <f>Database!KUT5</f>
        <v>0</v>
      </c>
      <c r="KUB3">
        <f>Database!KUU5</f>
        <v>0</v>
      </c>
      <c r="KUC3">
        <f>Database!KUV5</f>
        <v>0</v>
      </c>
      <c r="KUD3">
        <f>Database!KUW5</f>
        <v>0</v>
      </c>
      <c r="KUE3">
        <f>Database!KUX5</f>
        <v>0</v>
      </c>
      <c r="KUF3">
        <f>Database!KUY5</f>
        <v>0</v>
      </c>
      <c r="KUG3">
        <f>Database!KUZ5</f>
        <v>0</v>
      </c>
      <c r="KUH3">
        <f>Database!KVA5</f>
        <v>0</v>
      </c>
      <c r="KUI3">
        <f>Database!KVB5</f>
        <v>0</v>
      </c>
      <c r="KUJ3">
        <f>Database!KVC5</f>
        <v>0</v>
      </c>
      <c r="KUK3">
        <f>Database!KVD5</f>
        <v>0</v>
      </c>
      <c r="KUL3">
        <f>Database!KVE5</f>
        <v>0</v>
      </c>
      <c r="KUM3">
        <f>Database!KVF5</f>
        <v>0</v>
      </c>
      <c r="KUN3">
        <f>Database!KVG5</f>
        <v>0</v>
      </c>
      <c r="KUO3">
        <f>Database!KVH5</f>
        <v>0</v>
      </c>
      <c r="KUP3">
        <f>Database!KVI5</f>
        <v>0</v>
      </c>
      <c r="KUQ3">
        <f>Database!KVJ5</f>
        <v>0</v>
      </c>
      <c r="KUR3">
        <f>Database!KVK5</f>
        <v>0</v>
      </c>
      <c r="KUS3">
        <f>Database!KVL5</f>
        <v>0</v>
      </c>
      <c r="KUT3">
        <f>Database!KVM5</f>
        <v>0</v>
      </c>
      <c r="KUU3">
        <f>Database!KVN5</f>
        <v>0</v>
      </c>
      <c r="KUV3">
        <f>Database!KVO5</f>
        <v>0</v>
      </c>
      <c r="KUW3">
        <f>Database!KVP5</f>
        <v>0</v>
      </c>
      <c r="KUX3">
        <f>Database!KVQ5</f>
        <v>0</v>
      </c>
      <c r="KUY3">
        <f>Database!KVR5</f>
        <v>0</v>
      </c>
      <c r="KUZ3">
        <f>Database!KVS5</f>
        <v>0</v>
      </c>
      <c r="KVA3">
        <f>Database!KVT5</f>
        <v>0</v>
      </c>
      <c r="KVB3">
        <f>Database!KVU5</f>
        <v>0</v>
      </c>
      <c r="KVC3">
        <f>Database!KVV5</f>
        <v>0</v>
      </c>
      <c r="KVD3">
        <f>Database!KVW5</f>
        <v>0</v>
      </c>
      <c r="KVE3">
        <f>Database!KVX5</f>
        <v>0</v>
      </c>
      <c r="KVF3">
        <f>Database!KVY5</f>
        <v>0</v>
      </c>
      <c r="KVG3">
        <f>Database!KVZ5</f>
        <v>0</v>
      </c>
      <c r="KVH3">
        <f>Database!KWA5</f>
        <v>0</v>
      </c>
      <c r="KVI3">
        <f>Database!KWB5</f>
        <v>0</v>
      </c>
      <c r="KVJ3">
        <f>Database!KWC5</f>
        <v>0</v>
      </c>
      <c r="KVK3">
        <f>Database!KWD5</f>
        <v>0</v>
      </c>
      <c r="KVL3">
        <f>Database!KWE5</f>
        <v>0</v>
      </c>
      <c r="KVM3">
        <f>Database!KWF5</f>
        <v>0</v>
      </c>
      <c r="KVN3">
        <f>Database!KWG5</f>
        <v>0</v>
      </c>
      <c r="KVO3">
        <f>Database!KWH5</f>
        <v>0</v>
      </c>
      <c r="KVP3">
        <f>Database!KWI5</f>
        <v>0</v>
      </c>
      <c r="KVQ3">
        <f>Database!KWJ5</f>
        <v>0</v>
      </c>
      <c r="KVR3">
        <f>Database!KWK5</f>
        <v>0</v>
      </c>
      <c r="KVS3">
        <f>Database!KWL5</f>
        <v>0</v>
      </c>
      <c r="KVT3">
        <f>Database!KWM5</f>
        <v>0</v>
      </c>
      <c r="KVU3">
        <f>Database!KWN5</f>
        <v>0</v>
      </c>
      <c r="KVV3">
        <f>Database!KWO5</f>
        <v>0</v>
      </c>
      <c r="KVW3">
        <f>Database!KWP5</f>
        <v>0</v>
      </c>
      <c r="KVX3">
        <f>Database!KWQ5</f>
        <v>0</v>
      </c>
      <c r="KVY3">
        <f>Database!KWR5</f>
        <v>0</v>
      </c>
      <c r="KVZ3">
        <f>Database!KWS5</f>
        <v>0</v>
      </c>
      <c r="KWA3">
        <f>Database!KWT5</f>
        <v>0</v>
      </c>
      <c r="KWB3">
        <f>Database!KWU5</f>
        <v>0</v>
      </c>
      <c r="KWC3">
        <f>Database!KWV5</f>
        <v>0</v>
      </c>
      <c r="KWD3">
        <f>Database!KWW5</f>
        <v>0</v>
      </c>
      <c r="KWE3">
        <f>Database!KWX5</f>
        <v>0</v>
      </c>
      <c r="KWF3">
        <f>Database!KWY5</f>
        <v>0</v>
      </c>
      <c r="KWG3">
        <f>Database!KWZ5</f>
        <v>0</v>
      </c>
      <c r="KWH3">
        <f>Database!KXA5</f>
        <v>0</v>
      </c>
      <c r="KWI3">
        <f>Database!KXB5</f>
        <v>0</v>
      </c>
      <c r="KWJ3">
        <f>Database!KXC5</f>
        <v>0</v>
      </c>
      <c r="KWK3">
        <f>Database!KXD5</f>
        <v>0</v>
      </c>
      <c r="KWL3">
        <f>Database!KXE5</f>
        <v>0</v>
      </c>
      <c r="KWM3">
        <f>Database!KXF5</f>
        <v>0</v>
      </c>
      <c r="KWN3">
        <f>Database!KXG5</f>
        <v>0</v>
      </c>
      <c r="KWO3">
        <f>Database!KXH5</f>
        <v>0</v>
      </c>
      <c r="KWP3">
        <f>Database!KXI5</f>
        <v>0</v>
      </c>
      <c r="KWQ3">
        <f>Database!KXJ5</f>
        <v>0</v>
      </c>
      <c r="KWR3">
        <f>Database!KXK5</f>
        <v>0</v>
      </c>
      <c r="KWS3">
        <f>Database!KXL5</f>
        <v>0</v>
      </c>
      <c r="KWT3">
        <f>Database!KXM5</f>
        <v>0</v>
      </c>
      <c r="KWU3">
        <f>Database!KXN5</f>
        <v>0</v>
      </c>
      <c r="KWV3">
        <f>Database!KXO5</f>
        <v>0</v>
      </c>
      <c r="KWW3">
        <f>Database!KXP5</f>
        <v>0</v>
      </c>
      <c r="KWX3">
        <f>Database!KXQ5</f>
        <v>0</v>
      </c>
      <c r="KWY3">
        <f>Database!KXR5</f>
        <v>0</v>
      </c>
      <c r="KWZ3">
        <f>Database!KXS5</f>
        <v>0</v>
      </c>
      <c r="KXA3">
        <f>Database!KXT5</f>
        <v>0</v>
      </c>
      <c r="KXB3">
        <f>Database!KXU5</f>
        <v>0</v>
      </c>
      <c r="KXC3">
        <f>Database!KXV5</f>
        <v>0</v>
      </c>
      <c r="KXD3">
        <f>Database!KXW5</f>
        <v>0</v>
      </c>
      <c r="KXE3">
        <f>Database!KXX5</f>
        <v>0</v>
      </c>
      <c r="KXF3">
        <f>Database!KXY5</f>
        <v>0</v>
      </c>
      <c r="KXG3">
        <f>Database!KXZ5</f>
        <v>0</v>
      </c>
      <c r="KXH3">
        <f>Database!KYA5</f>
        <v>0</v>
      </c>
      <c r="KXI3">
        <f>Database!KYB5</f>
        <v>0</v>
      </c>
      <c r="KXJ3">
        <f>Database!KYC5</f>
        <v>0</v>
      </c>
      <c r="KXK3">
        <f>Database!KYD5</f>
        <v>0</v>
      </c>
      <c r="KXL3">
        <f>Database!KYE5</f>
        <v>0</v>
      </c>
      <c r="KXM3">
        <f>Database!KYF5</f>
        <v>0</v>
      </c>
      <c r="KXN3">
        <f>Database!KYG5</f>
        <v>0</v>
      </c>
      <c r="KXO3">
        <f>Database!KYH5</f>
        <v>0</v>
      </c>
      <c r="KXP3">
        <f>Database!KYI5</f>
        <v>0</v>
      </c>
      <c r="KXQ3">
        <f>Database!KYJ5</f>
        <v>0</v>
      </c>
      <c r="KXR3">
        <f>Database!KYK5</f>
        <v>0</v>
      </c>
      <c r="KXS3">
        <f>Database!KYL5</f>
        <v>0</v>
      </c>
      <c r="KXT3">
        <f>Database!KYM5</f>
        <v>0</v>
      </c>
      <c r="KXU3">
        <f>Database!KYN5</f>
        <v>0</v>
      </c>
      <c r="KXV3">
        <f>Database!KYO5</f>
        <v>0</v>
      </c>
      <c r="KXW3">
        <f>Database!KYP5</f>
        <v>0</v>
      </c>
      <c r="KXX3">
        <f>Database!KYQ5</f>
        <v>0</v>
      </c>
      <c r="KXY3">
        <f>Database!KYR5</f>
        <v>0</v>
      </c>
      <c r="KXZ3">
        <f>Database!KYS5</f>
        <v>0</v>
      </c>
      <c r="KYA3">
        <f>Database!KYT5</f>
        <v>0</v>
      </c>
      <c r="KYB3">
        <f>Database!KYU5</f>
        <v>0</v>
      </c>
      <c r="KYC3">
        <f>Database!KYV5</f>
        <v>0</v>
      </c>
      <c r="KYD3">
        <f>Database!KYW5</f>
        <v>0</v>
      </c>
      <c r="KYE3">
        <f>Database!KYX5</f>
        <v>0</v>
      </c>
      <c r="KYF3">
        <f>Database!KYY5</f>
        <v>0</v>
      </c>
      <c r="KYG3">
        <f>Database!KYZ5</f>
        <v>0</v>
      </c>
      <c r="KYH3">
        <f>Database!KZA5</f>
        <v>0</v>
      </c>
      <c r="KYI3">
        <f>Database!KZB5</f>
        <v>0</v>
      </c>
      <c r="KYJ3">
        <f>Database!KZC5</f>
        <v>0</v>
      </c>
      <c r="KYK3">
        <f>Database!KZD5</f>
        <v>0</v>
      </c>
      <c r="KYL3">
        <f>Database!KZE5</f>
        <v>0</v>
      </c>
      <c r="KYM3">
        <f>Database!KZF5</f>
        <v>0</v>
      </c>
      <c r="KYN3">
        <f>Database!KZG5</f>
        <v>0</v>
      </c>
      <c r="KYO3">
        <f>Database!KZH5</f>
        <v>0</v>
      </c>
      <c r="KYP3">
        <f>Database!KZI5</f>
        <v>0</v>
      </c>
      <c r="KYQ3">
        <f>Database!KZJ5</f>
        <v>0</v>
      </c>
      <c r="KYR3">
        <f>Database!KZK5</f>
        <v>0</v>
      </c>
      <c r="KYS3">
        <f>Database!KZL5</f>
        <v>0</v>
      </c>
      <c r="KYT3">
        <f>Database!KZM5</f>
        <v>0</v>
      </c>
      <c r="KYU3">
        <f>Database!KZN5</f>
        <v>0</v>
      </c>
      <c r="KYV3">
        <f>Database!KZO5</f>
        <v>0</v>
      </c>
      <c r="KYW3">
        <f>Database!KZP5</f>
        <v>0</v>
      </c>
      <c r="KYX3">
        <f>Database!KZQ5</f>
        <v>0</v>
      </c>
      <c r="KYY3">
        <f>Database!KZR5</f>
        <v>0</v>
      </c>
      <c r="KYZ3">
        <f>Database!KZS5</f>
        <v>0</v>
      </c>
      <c r="KZA3">
        <f>Database!KZT5</f>
        <v>0</v>
      </c>
      <c r="KZB3">
        <f>Database!KZU5</f>
        <v>0</v>
      </c>
      <c r="KZC3">
        <f>Database!KZV5</f>
        <v>0</v>
      </c>
      <c r="KZD3">
        <f>Database!KZW5</f>
        <v>0</v>
      </c>
      <c r="KZE3">
        <f>Database!KZX5</f>
        <v>0</v>
      </c>
      <c r="KZF3">
        <f>Database!KZY5</f>
        <v>0</v>
      </c>
      <c r="KZG3">
        <f>Database!KZZ5</f>
        <v>0</v>
      </c>
      <c r="KZH3">
        <f>Database!LAA5</f>
        <v>0</v>
      </c>
      <c r="KZI3">
        <f>Database!LAB5</f>
        <v>0</v>
      </c>
      <c r="KZJ3">
        <f>Database!LAC5</f>
        <v>0</v>
      </c>
      <c r="KZK3">
        <f>Database!LAD5</f>
        <v>0</v>
      </c>
      <c r="KZL3">
        <f>Database!LAE5</f>
        <v>0</v>
      </c>
      <c r="KZM3">
        <f>Database!LAF5</f>
        <v>0</v>
      </c>
      <c r="KZN3">
        <f>Database!LAG5</f>
        <v>0</v>
      </c>
      <c r="KZO3">
        <f>Database!LAH5</f>
        <v>0</v>
      </c>
      <c r="KZP3">
        <f>Database!LAI5</f>
        <v>0</v>
      </c>
      <c r="KZQ3">
        <f>Database!LAJ5</f>
        <v>0</v>
      </c>
      <c r="KZR3">
        <f>Database!LAK5</f>
        <v>0</v>
      </c>
      <c r="KZS3">
        <f>Database!LAL5</f>
        <v>0</v>
      </c>
      <c r="KZT3">
        <f>Database!LAM5</f>
        <v>0</v>
      </c>
      <c r="KZU3">
        <f>Database!LAN5</f>
        <v>0</v>
      </c>
      <c r="KZV3">
        <f>Database!LAO5</f>
        <v>0</v>
      </c>
      <c r="KZW3">
        <f>Database!LAP5</f>
        <v>0</v>
      </c>
      <c r="KZX3">
        <f>Database!LAQ5</f>
        <v>0</v>
      </c>
      <c r="KZY3">
        <f>Database!LAR5</f>
        <v>0</v>
      </c>
      <c r="KZZ3">
        <f>Database!LAS5</f>
        <v>0</v>
      </c>
      <c r="LAA3">
        <f>Database!LAT5</f>
        <v>0</v>
      </c>
      <c r="LAB3">
        <f>Database!LAU5</f>
        <v>0</v>
      </c>
      <c r="LAC3">
        <f>Database!LAV5</f>
        <v>0</v>
      </c>
      <c r="LAD3">
        <f>Database!LAW5</f>
        <v>0</v>
      </c>
      <c r="LAE3">
        <f>Database!LAX5</f>
        <v>0</v>
      </c>
      <c r="LAF3">
        <f>Database!LAY5</f>
        <v>0</v>
      </c>
      <c r="LAG3">
        <f>Database!LAZ5</f>
        <v>0</v>
      </c>
      <c r="LAH3">
        <f>Database!LBA5</f>
        <v>0</v>
      </c>
      <c r="LAI3">
        <f>Database!LBB5</f>
        <v>0</v>
      </c>
      <c r="LAJ3">
        <f>Database!LBC5</f>
        <v>0</v>
      </c>
      <c r="LAK3">
        <f>Database!LBD5</f>
        <v>0</v>
      </c>
      <c r="LAL3">
        <f>Database!LBE5</f>
        <v>0</v>
      </c>
      <c r="LAM3">
        <f>Database!LBF5</f>
        <v>0</v>
      </c>
      <c r="LAN3">
        <f>Database!LBG5</f>
        <v>0</v>
      </c>
      <c r="LAO3">
        <f>Database!LBH5</f>
        <v>0</v>
      </c>
      <c r="LAP3">
        <f>Database!LBI5</f>
        <v>0</v>
      </c>
      <c r="LAQ3">
        <f>Database!LBJ5</f>
        <v>0</v>
      </c>
      <c r="LAR3">
        <f>Database!LBK5</f>
        <v>0</v>
      </c>
      <c r="LAS3">
        <f>Database!LBL5</f>
        <v>0</v>
      </c>
      <c r="LAT3">
        <f>Database!LBM5</f>
        <v>0</v>
      </c>
      <c r="LAU3">
        <f>Database!LBN5</f>
        <v>0</v>
      </c>
      <c r="LAV3">
        <f>Database!LBO5</f>
        <v>0</v>
      </c>
      <c r="LAW3">
        <f>Database!LBP5</f>
        <v>0</v>
      </c>
      <c r="LAX3">
        <f>Database!LBQ5</f>
        <v>0</v>
      </c>
      <c r="LAY3">
        <f>Database!LBR5</f>
        <v>0</v>
      </c>
      <c r="LAZ3">
        <f>Database!LBS5</f>
        <v>0</v>
      </c>
      <c r="LBA3">
        <f>Database!LBT5</f>
        <v>0</v>
      </c>
      <c r="LBB3">
        <f>Database!LBU5</f>
        <v>0</v>
      </c>
      <c r="LBC3">
        <f>Database!LBV5</f>
        <v>0</v>
      </c>
      <c r="LBD3">
        <f>Database!LBW5</f>
        <v>0</v>
      </c>
      <c r="LBE3">
        <f>Database!LBX5</f>
        <v>0</v>
      </c>
      <c r="LBF3">
        <f>Database!LBY5</f>
        <v>0</v>
      </c>
      <c r="LBG3">
        <f>Database!LBZ5</f>
        <v>0</v>
      </c>
      <c r="LBH3">
        <f>Database!LCA5</f>
        <v>0</v>
      </c>
      <c r="LBI3">
        <f>Database!LCB5</f>
        <v>0</v>
      </c>
      <c r="LBJ3">
        <f>Database!LCC5</f>
        <v>0</v>
      </c>
      <c r="LBK3">
        <f>Database!LCD5</f>
        <v>0</v>
      </c>
      <c r="LBL3">
        <f>Database!LCE5</f>
        <v>0</v>
      </c>
      <c r="LBM3">
        <f>Database!LCF5</f>
        <v>0</v>
      </c>
      <c r="LBN3">
        <f>Database!LCG5</f>
        <v>0</v>
      </c>
      <c r="LBO3">
        <f>Database!LCH5</f>
        <v>0</v>
      </c>
      <c r="LBP3">
        <f>Database!LCI5</f>
        <v>0</v>
      </c>
      <c r="LBQ3">
        <f>Database!LCJ5</f>
        <v>0</v>
      </c>
      <c r="LBR3">
        <f>Database!LCK5</f>
        <v>0</v>
      </c>
      <c r="LBS3">
        <f>Database!LCL5</f>
        <v>0</v>
      </c>
      <c r="LBT3">
        <f>Database!LCM5</f>
        <v>0</v>
      </c>
      <c r="LBU3">
        <f>Database!LCN5</f>
        <v>0</v>
      </c>
      <c r="LBV3">
        <f>Database!LCO5</f>
        <v>0</v>
      </c>
      <c r="LBW3">
        <f>Database!LCP5</f>
        <v>0</v>
      </c>
      <c r="LBX3">
        <f>Database!LCQ5</f>
        <v>0</v>
      </c>
      <c r="LBY3">
        <f>Database!LCR5</f>
        <v>0</v>
      </c>
      <c r="LBZ3">
        <f>Database!LCS5</f>
        <v>0</v>
      </c>
      <c r="LCA3">
        <f>Database!LCT5</f>
        <v>0</v>
      </c>
      <c r="LCB3">
        <f>Database!LCU5</f>
        <v>0</v>
      </c>
      <c r="LCC3">
        <f>Database!LCV5</f>
        <v>0</v>
      </c>
      <c r="LCD3">
        <f>Database!LCW5</f>
        <v>0</v>
      </c>
      <c r="LCE3">
        <f>Database!LCX5</f>
        <v>0</v>
      </c>
      <c r="LCF3">
        <f>Database!LCY5</f>
        <v>0</v>
      </c>
      <c r="LCG3">
        <f>Database!LCZ5</f>
        <v>0</v>
      </c>
      <c r="LCH3">
        <f>Database!LDA5</f>
        <v>0</v>
      </c>
      <c r="LCI3">
        <f>Database!LDB5</f>
        <v>0</v>
      </c>
      <c r="LCJ3">
        <f>Database!LDC5</f>
        <v>0</v>
      </c>
      <c r="LCK3">
        <f>Database!LDD5</f>
        <v>0</v>
      </c>
      <c r="LCL3">
        <f>Database!LDE5</f>
        <v>0</v>
      </c>
      <c r="LCM3">
        <f>Database!LDF5</f>
        <v>0</v>
      </c>
      <c r="LCN3">
        <f>Database!LDG5</f>
        <v>0</v>
      </c>
      <c r="LCO3">
        <f>Database!LDH5</f>
        <v>0</v>
      </c>
      <c r="LCP3">
        <f>Database!LDI5</f>
        <v>0</v>
      </c>
      <c r="LCQ3">
        <f>Database!LDJ5</f>
        <v>0</v>
      </c>
      <c r="LCR3">
        <f>Database!LDK5</f>
        <v>0</v>
      </c>
      <c r="LCS3">
        <f>Database!LDL5</f>
        <v>0</v>
      </c>
      <c r="LCT3">
        <f>Database!LDM5</f>
        <v>0</v>
      </c>
      <c r="LCU3">
        <f>Database!LDN5</f>
        <v>0</v>
      </c>
      <c r="LCV3">
        <f>Database!LDO5</f>
        <v>0</v>
      </c>
      <c r="LCW3">
        <f>Database!LDP5</f>
        <v>0</v>
      </c>
      <c r="LCX3">
        <f>Database!LDQ5</f>
        <v>0</v>
      </c>
      <c r="LCY3">
        <f>Database!LDR5</f>
        <v>0</v>
      </c>
      <c r="LCZ3">
        <f>Database!LDS5</f>
        <v>0</v>
      </c>
      <c r="LDA3">
        <f>Database!LDT5</f>
        <v>0</v>
      </c>
      <c r="LDB3">
        <f>Database!LDU5</f>
        <v>0</v>
      </c>
      <c r="LDC3">
        <f>Database!LDV5</f>
        <v>0</v>
      </c>
      <c r="LDD3">
        <f>Database!LDW5</f>
        <v>0</v>
      </c>
      <c r="LDE3">
        <f>Database!LDX5</f>
        <v>0</v>
      </c>
      <c r="LDF3">
        <f>Database!LDY5</f>
        <v>0</v>
      </c>
      <c r="LDG3">
        <f>Database!LDZ5</f>
        <v>0</v>
      </c>
      <c r="LDH3">
        <f>Database!LEA5</f>
        <v>0</v>
      </c>
      <c r="LDI3">
        <f>Database!LEB5</f>
        <v>0</v>
      </c>
      <c r="LDJ3">
        <f>Database!LEC5</f>
        <v>0</v>
      </c>
      <c r="LDK3">
        <f>Database!LED5</f>
        <v>0</v>
      </c>
      <c r="LDL3">
        <f>Database!LEE5</f>
        <v>0</v>
      </c>
      <c r="LDM3">
        <f>Database!LEF5</f>
        <v>0</v>
      </c>
      <c r="LDN3">
        <f>Database!LEG5</f>
        <v>0</v>
      </c>
      <c r="LDO3">
        <f>Database!LEH5</f>
        <v>0</v>
      </c>
      <c r="LDP3">
        <f>Database!LEI5</f>
        <v>0</v>
      </c>
      <c r="LDQ3">
        <f>Database!LEJ5</f>
        <v>0</v>
      </c>
      <c r="LDR3">
        <f>Database!LEK5</f>
        <v>0</v>
      </c>
      <c r="LDS3">
        <f>Database!LEL5</f>
        <v>0</v>
      </c>
      <c r="LDT3">
        <f>Database!LEM5</f>
        <v>0</v>
      </c>
      <c r="LDU3">
        <f>Database!LEN5</f>
        <v>0</v>
      </c>
      <c r="LDV3">
        <f>Database!LEO5</f>
        <v>0</v>
      </c>
      <c r="LDW3">
        <f>Database!LEP5</f>
        <v>0</v>
      </c>
      <c r="LDX3">
        <f>Database!LEQ5</f>
        <v>0</v>
      </c>
      <c r="LDY3">
        <f>Database!LER5</f>
        <v>0</v>
      </c>
      <c r="LDZ3">
        <f>Database!LES5</f>
        <v>0</v>
      </c>
      <c r="LEA3">
        <f>Database!LET5</f>
        <v>0</v>
      </c>
      <c r="LEB3">
        <f>Database!LEU5</f>
        <v>0</v>
      </c>
      <c r="LEC3">
        <f>Database!LEV5</f>
        <v>0</v>
      </c>
      <c r="LED3">
        <f>Database!LEW5</f>
        <v>0</v>
      </c>
      <c r="LEE3">
        <f>Database!LEX5</f>
        <v>0</v>
      </c>
      <c r="LEF3">
        <f>Database!LEY5</f>
        <v>0</v>
      </c>
      <c r="LEG3">
        <f>Database!LEZ5</f>
        <v>0</v>
      </c>
      <c r="LEH3">
        <f>Database!LFA5</f>
        <v>0</v>
      </c>
      <c r="LEI3">
        <f>Database!LFB5</f>
        <v>0</v>
      </c>
      <c r="LEJ3">
        <f>Database!LFC5</f>
        <v>0</v>
      </c>
      <c r="LEK3">
        <f>Database!LFD5</f>
        <v>0</v>
      </c>
      <c r="LEL3">
        <f>Database!LFE5</f>
        <v>0</v>
      </c>
      <c r="LEM3">
        <f>Database!LFF5</f>
        <v>0</v>
      </c>
      <c r="LEN3">
        <f>Database!LFG5</f>
        <v>0</v>
      </c>
      <c r="LEO3">
        <f>Database!LFH5</f>
        <v>0</v>
      </c>
      <c r="LEP3">
        <f>Database!LFI5</f>
        <v>0</v>
      </c>
      <c r="LEQ3">
        <f>Database!LFJ5</f>
        <v>0</v>
      </c>
      <c r="LER3">
        <f>Database!LFK5</f>
        <v>0</v>
      </c>
      <c r="LES3">
        <f>Database!LFL5</f>
        <v>0</v>
      </c>
      <c r="LET3">
        <f>Database!LFM5</f>
        <v>0</v>
      </c>
      <c r="LEU3">
        <f>Database!LFN5</f>
        <v>0</v>
      </c>
      <c r="LEV3">
        <f>Database!LFO5</f>
        <v>0</v>
      </c>
      <c r="LEW3">
        <f>Database!LFP5</f>
        <v>0</v>
      </c>
      <c r="LEX3">
        <f>Database!LFQ5</f>
        <v>0</v>
      </c>
      <c r="LEY3">
        <f>Database!LFR5</f>
        <v>0</v>
      </c>
      <c r="LEZ3">
        <f>Database!LFS5</f>
        <v>0</v>
      </c>
      <c r="LFA3">
        <f>Database!LFT5</f>
        <v>0</v>
      </c>
      <c r="LFB3">
        <f>Database!LFU5</f>
        <v>0</v>
      </c>
      <c r="LFC3">
        <f>Database!LFV5</f>
        <v>0</v>
      </c>
      <c r="LFD3">
        <f>Database!LFW5</f>
        <v>0</v>
      </c>
      <c r="LFE3">
        <f>Database!LFX5</f>
        <v>0</v>
      </c>
      <c r="LFF3">
        <f>Database!LFY5</f>
        <v>0</v>
      </c>
      <c r="LFG3">
        <f>Database!LFZ5</f>
        <v>0</v>
      </c>
      <c r="LFH3">
        <f>Database!LGA5</f>
        <v>0</v>
      </c>
      <c r="LFI3">
        <f>Database!LGB5</f>
        <v>0</v>
      </c>
      <c r="LFJ3">
        <f>Database!LGC5</f>
        <v>0</v>
      </c>
      <c r="LFK3">
        <f>Database!LGD5</f>
        <v>0</v>
      </c>
      <c r="LFL3">
        <f>Database!LGE5</f>
        <v>0</v>
      </c>
      <c r="LFM3">
        <f>Database!LGF5</f>
        <v>0</v>
      </c>
      <c r="LFN3">
        <f>Database!LGG5</f>
        <v>0</v>
      </c>
      <c r="LFO3">
        <f>Database!LGH5</f>
        <v>0</v>
      </c>
      <c r="LFP3">
        <f>Database!LGI5</f>
        <v>0</v>
      </c>
      <c r="LFQ3">
        <f>Database!LGJ5</f>
        <v>0</v>
      </c>
      <c r="LFR3">
        <f>Database!LGK5</f>
        <v>0</v>
      </c>
      <c r="LFS3">
        <f>Database!LGL5</f>
        <v>0</v>
      </c>
      <c r="LFT3">
        <f>Database!LGM5</f>
        <v>0</v>
      </c>
      <c r="LFU3">
        <f>Database!LGN5</f>
        <v>0</v>
      </c>
      <c r="LFV3">
        <f>Database!LGO5</f>
        <v>0</v>
      </c>
      <c r="LFW3">
        <f>Database!LGP5</f>
        <v>0</v>
      </c>
      <c r="LFX3">
        <f>Database!LGQ5</f>
        <v>0</v>
      </c>
      <c r="LFY3">
        <f>Database!LGR5</f>
        <v>0</v>
      </c>
      <c r="LFZ3">
        <f>Database!LGS5</f>
        <v>0</v>
      </c>
      <c r="LGA3">
        <f>Database!LGT5</f>
        <v>0</v>
      </c>
      <c r="LGB3">
        <f>Database!LGU5</f>
        <v>0</v>
      </c>
      <c r="LGC3">
        <f>Database!LGV5</f>
        <v>0</v>
      </c>
      <c r="LGD3">
        <f>Database!LGW5</f>
        <v>0</v>
      </c>
      <c r="LGE3">
        <f>Database!LGX5</f>
        <v>0</v>
      </c>
      <c r="LGF3">
        <f>Database!LGY5</f>
        <v>0</v>
      </c>
      <c r="LGG3">
        <f>Database!LGZ5</f>
        <v>0</v>
      </c>
      <c r="LGH3">
        <f>Database!LHA5</f>
        <v>0</v>
      </c>
      <c r="LGI3">
        <f>Database!LHB5</f>
        <v>0</v>
      </c>
      <c r="LGJ3">
        <f>Database!LHC5</f>
        <v>0</v>
      </c>
      <c r="LGK3">
        <f>Database!LHD5</f>
        <v>0</v>
      </c>
      <c r="LGL3">
        <f>Database!LHE5</f>
        <v>0</v>
      </c>
      <c r="LGM3">
        <f>Database!LHF5</f>
        <v>0</v>
      </c>
      <c r="LGN3">
        <f>Database!LHG5</f>
        <v>0</v>
      </c>
      <c r="LGO3">
        <f>Database!LHH5</f>
        <v>0</v>
      </c>
      <c r="LGP3">
        <f>Database!LHI5</f>
        <v>0</v>
      </c>
      <c r="LGQ3">
        <f>Database!LHJ5</f>
        <v>0</v>
      </c>
      <c r="LGR3">
        <f>Database!LHK5</f>
        <v>0</v>
      </c>
      <c r="LGS3">
        <f>Database!LHL5</f>
        <v>0</v>
      </c>
      <c r="LGT3">
        <f>Database!LHM5</f>
        <v>0</v>
      </c>
      <c r="LGU3">
        <f>Database!LHN5</f>
        <v>0</v>
      </c>
      <c r="LGV3">
        <f>Database!LHO5</f>
        <v>0</v>
      </c>
      <c r="LGW3">
        <f>Database!LHP5</f>
        <v>0</v>
      </c>
      <c r="LGX3">
        <f>Database!LHQ5</f>
        <v>0</v>
      </c>
      <c r="LGY3">
        <f>Database!LHR5</f>
        <v>0</v>
      </c>
      <c r="LGZ3">
        <f>Database!LHS5</f>
        <v>0</v>
      </c>
      <c r="LHA3">
        <f>Database!LHT5</f>
        <v>0</v>
      </c>
      <c r="LHB3">
        <f>Database!LHU5</f>
        <v>0</v>
      </c>
      <c r="LHC3">
        <f>Database!LHV5</f>
        <v>0</v>
      </c>
      <c r="LHD3">
        <f>Database!LHW5</f>
        <v>0</v>
      </c>
      <c r="LHE3">
        <f>Database!LHX5</f>
        <v>0</v>
      </c>
      <c r="LHF3">
        <f>Database!LHY5</f>
        <v>0</v>
      </c>
      <c r="LHG3">
        <f>Database!LHZ5</f>
        <v>0</v>
      </c>
      <c r="LHH3">
        <f>Database!LIA5</f>
        <v>0</v>
      </c>
      <c r="LHI3">
        <f>Database!LIB5</f>
        <v>0</v>
      </c>
      <c r="LHJ3">
        <f>Database!LIC5</f>
        <v>0</v>
      </c>
      <c r="LHK3">
        <f>Database!LID5</f>
        <v>0</v>
      </c>
      <c r="LHL3">
        <f>Database!LIE5</f>
        <v>0</v>
      </c>
      <c r="LHM3">
        <f>Database!LIF5</f>
        <v>0</v>
      </c>
      <c r="LHN3">
        <f>Database!LIG5</f>
        <v>0</v>
      </c>
      <c r="LHO3">
        <f>Database!LIH5</f>
        <v>0</v>
      </c>
      <c r="LHP3">
        <f>Database!LII5</f>
        <v>0</v>
      </c>
      <c r="LHQ3">
        <f>Database!LIJ5</f>
        <v>0</v>
      </c>
      <c r="LHR3">
        <f>Database!LIK5</f>
        <v>0</v>
      </c>
      <c r="LHS3">
        <f>Database!LIL5</f>
        <v>0</v>
      </c>
      <c r="LHT3">
        <f>Database!LIM5</f>
        <v>0</v>
      </c>
      <c r="LHU3">
        <f>Database!LIN5</f>
        <v>0</v>
      </c>
      <c r="LHV3">
        <f>Database!LIO5</f>
        <v>0</v>
      </c>
      <c r="LHW3">
        <f>Database!LIP5</f>
        <v>0</v>
      </c>
      <c r="LHX3">
        <f>Database!LIQ5</f>
        <v>0</v>
      </c>
      <c r="LHY3">
        <f>Database!LIR5</f>
        <v>0</v>
      </c>
      <c r="LHZ3">
        <f>Database!LIS5</f>
        <v>0</v>
      </c>
      <c r="LIA3">
        <f>Database!LIT5</f>
        <v>0</v>
      </c>
      <c r="LIB3">
        <f>Database!LIU5</f>
        <v>0</v>
      </c>
      <c r="LIC3">
        <f>Database!LIV5</f>
        <v>0</v>
      </c>
      <c r="LID3">
        <f>Database!LIW5</f>
        <v>0</v>
      </c>
      <c r="LIE3">
        <f>Database!LIX5</f>
        <v>0</v>
      </c>
      <c r="LIF3">
        <f>Database!LIY5</f>
        <v>0</v>
      </c>
      <c r="LIG3">
        <f>Database!LIZ5</f>
        <v>0</v>
      </c>
      <c r="LIH3">
        <f>Database!LJA5</f>
        <v>0</v>
      </c>
      <c r="LII3">
        <f>Database!LJB5</f>
        <v>0</v>
      </c>
      <c r="LIJ3">
        <f>Database!LJC5</f>
        <v>0</v>
      </c>
      <c r="LIK3">
        <f>Database!LJD5</f>
        <v>0</v>
      </c>
      <c r="LIL3">
        <f>Database!LJE5</f>
        <v>0</v>
      </c>
      <c r="LIM3">
        <f>Database!LJF5</f>
        <v>0</v>
      </c>
      <c r="LIN3">
        <f>Database!LJG5</f>
        <v>0</v>
      </c>
      <c r="LIO3">
        <f>Database!LJH5</f>
        <v>0</v>
      </c>
      <c r="LIP3">
        <f>Database!LJI5</f>
        <v>0</v>
      </c>
      <c r="LIQ3">
        <f>Database!LJJ5</f>
        <v>0</v>
      </c>
      <c r="LIR3">
        <f>Database!LJK5</f>
        <v>0</v>
      </c>
      <c r="LIS3">
        <f>Database!LJL5</f>
        <v>0</v>
      </c>
      <c r="LIT3">
        <f>Database!LJM5</f>
        <v>0</v>
      </c>
      <c r="LIU3">
        <f>Database!LJN5</f>
        <v>0</v>
      </c>
      <c r="LIV3">
        <f>Database!LJO5</f>
        <v>0</v>
      </c>
      <c r="LIW3">
        <f>Database!LJP5</f>
        <v>0</v>
      </c>
      <c r="LIX3">
        <f>Database!LJQ5</f>
        <v>0</v>
      </c>
      <c r="LIY3">
        <f>Database!LJR5</f>
        <v>0</v>
      </c>
      <c r="LIZ3">
        <f>Database!LJS5</f>
        <v>0</v>
      </c>
      <c r="LJA3">
        <f>Database!LJT5</f>
        <v>0</v>
      </c>
      <c r="LJB3">
        <f>Database!LJU5</f>
        <v>0</v>
      </c>
      <c r="LJC3">
        <f>Database!LJV5</f>
        <v>0</v>
      </c>
      <c r="LJD3">
        <f>Database!LJW5</f>
        <v>0</v>
      </c>
      <c r="LJE3">
        <f>Database!LJX5</f>
        <v>0</v>
      </c>
      <c r="LJF3">
        <f>Database!LJY5</f>
        <v>0</v>
      </c>
      <c r="LJG3">
        <f>Database!LJZ5</f>
        <v>0</v>
      </c>
      <c r="LJH3">
        <f>Database!LKA5</f>
        <v>0</v>
      </c>
      <c r="LJI3">
        <f>Database!LKB5</f>
        <v>0</v>
      </c>
      <c r="LJJ3">
        <f>Database!LKC5</f>
        <v>0</v>
      </c>
      <c r="LJK3">
        <f>Database!LKD5</f>
        <v>0</v>
      </c>
      <c r="LJL3">
        <f>Database!LKE5</f>
        <v>0</v>
      </c>
      <c r="LJM3">
        <f>Database!LKF5</f>
        <v>0</v>
      </c>
      <c r="LJN3">
        <f>Database!LKG5</f>
        <v>0</v>
      </c>
      <c r="LJO3">
        <f>Database!LKH5</f>
        <v>0</v>
      </c>
      <c r="LJP3">
        <f>Database!LKI5</f>
        <v>0</v>
      </c>
      <c r="LJQ3">
        <f>Database!LKJ5</f>
        <v>0</v>
      </c>
      <c r="LJR3">
        <f>Database!LKK5</f>
        <v>0</v>
      </c>
      <c r="LJS3">
        <f>Database!LKL5</f>
        <v>0</v>
      </c>
      <c r="LJT3">
        <f>Database!LKM5</f>
        <v>0</v>
      </c>
      <c r="LJU3">
        <f>Database!LKN5</f>
        <v>0</v>
      </c>
      <c r="LJV3">
        <f>Database!LKO5</f>
        <v>0</v>
      </c>
      <c r="LJW3">
        <f>Database!LKP5</f>
        <v>0</v>
      </c>
      <c r="LJX3">
        <f>Database!LKQ5</f>
        <v>0</v>
      </c>
      <c r="LJY3">
        <f>Database!LKR5</f>
        <v>0</v>
      </c>
      <c r="LJZ3">
        <f>Database!LKS5</f>
        <v>0</v>
      </c>
      <c r="LKA3">
        <f>Database!LKT5</f>
        <v>0</v>
      </c>
      <c r="LKB3">
        <f>Database!LKU5</f>
        <v>0</v>
      </c>
      <c r="LKC3">
        <f>Database!LKV5</f>
        <v>0</v>
      </c>
      <c r="LKD3">
        <f>Database!LKW5</f>
        <v>0</v>
      </c>
      <c r="LKE3">
        <f>Database!LKX5</f>
        <v>0</v>
      </c>
      <c r="LKF3">
        <f>Database!LKY5</f>
        <v>0</v>
      </c>
      <c r="LKG3">
        <f>Database!LKZ5</f>
        <v>0</v>
      </c>
      <c r="LKH3">
        <f>Database!LLA5</f>
        <v>0</v>
      </c>
      <c r="LKI3">
        <f>Database!LLB5</f>
        <v>0</v>
      </c>
      <c r="LKJ3">
        <f>Database!LLC5</f>
        <v>0</v>
      </c>
      <c r="LKK3">
        <f>Database!LLD5</f>
        <v>0</v>
      </c>
      <c r="LKL3">
        <f>Database!LLE5</f>
        <v>0</v>
      </c>
      <c r="LKM3">
        <f>Database!LLF5</f>
        <v>0</v>
      </c>
      <c r="LKN3">
        <f>Database!LLG5</f>
        <v>0</v>
      </c>
      <c r="LKO3">
        <f>Database!LLH5</f>
        <v>0</v>
      </c>
      <c r="LKP3">
        <f>Database!LLI5</f>
        <v>0</v>
      </c>
      <c r="LKQ3">
        <f>Database!LLJ5</f>
        <v>0</v>
      </c>
      <c r="LKR3">
        <f>Database!LLK5</f>
        <v>0</v>
      </c>
      <c r="LKS3">
        <f>Database!LLL5</f>
        <v>0</v>
      </c>
      <c r="LKT3">
        <f>Database!LLM5</f>
        <v>0</v>
      </c>
      <c r="LKU3">
        <f>Database!LLN5</f>
        <v>0</v>
      </c>
      <c r="LKV3">
        <f>Database!LLO5</f>
        <v>0</v>
      </c>
      <c r="LKW3">
        <f>Database!LLP5</f>
        <v>0</v>
      </c>
      <c r="LKX3">
        <f>Database!LLQ5</f>
        <v>0</v>
      </c>
      <c r="LKY3">
        <f>Database!LLR5</f>
        <v>0</v>
      </c>
      <c r="LKZ3">
        <f>Database!LLS5</f>
        <v>0</v>
      </c>
      <c r="LLA3">
        <f>Database!LLT5</f>
        <v>0</v>
      </c>
      <c r="LLB3">
        <f>Database!LLU5</f>
        <v>0</v>
      </c>
      <c r="LLC3">
        <f>Database!LLV5</f>
        <v>0</v>
      </c>
      <c r="LLD3">
        <f>Database!LLW5</f>
        <v>0</v>
      </c>
      <c r="LLE3">
        <f>Database!LLX5</f>
        <v>0</v>
      </c>
      <c r="LLF3">
        <f>Database!LLY5</f>
        <v>0</v>
      </c>
      <c r="LLG3">
        <f>Database!LLZ5</f>
        <v>0</v>
      </c>
      <c r="LLH3">
        <f>Database!LMA5</f>
        <v>0</v>
      </c>
      <c r="LLI3">
        <f>Database!LMB5</f>
        <v>0</v>
      </c>
      <c r="LLJ3">
        <f>Database!LMC5</f>
        <v>0</v>
      </c>
      <c r="LLK3">
        <f>Database!LMD5</f>
        <v>0</v>
      </c>
      <c r="LLL3">
        <f>Database!LME5</f>
        <v>0</v>
      </c>
      <c r="LLM3">
        <f>Database!LMF5</f>
        <v>0</v>
      </c>
      <c r="LLN3">
        <f>Database!LMG5</f>
        <v>0</v>
      </c>
      <c r="LLO3">
        <f>Database!LMH5</f>
        <v>0</v>
      </c>
      <c r="LLP3">
        <f>Database!LMI5</f>
        <v>0</v>
      </c>
      <c r="LLQ3">
        <f>Database!LMJ5</f>
        <v>0</v>
      </c>
      <c r="LLR3">
        <f>Database!LMK5</f>
        <v>0</v>
      </c>
      <c r="LLS3">
        <f>Database!LML5</f>
        <v>0</v>
      </c>
      <c r="LLT3">
        <f>Database!LMM5</f>
        <v>0</v>
      </c>
      <c r="LLU3">
        <f>Database!LMN5</f>
        <v>0</v>
      </c>
      <c r="LLV3">
        <f>Database!LMO5</f>
        <v>0</v>
      </c>
      <c r="LLW3">
        <f>Database!LMP5</f>
        <v>0</v>
      </c>
      <c r="LLX3">
        <f>Database!LMQ5</f>
        <v>0</v>
      </c>
      <c r="LLY3">
        <f>Database!LMR5</f>
        <v>0</v>
      </c>
      <c r="LLZ3">
        <f>Database!LMS5</f>
        <v>0</v>
      </c>
      <c r="LMA3">
        <f>Database!LMT5</f>
        <v>0</v>
      </c>
      <c r="LMB3">
        <f>Database!LMU5</f>
        <v>0</v>
      </c>
      <c r="LMC3">
        <f>Database!LMV5</f>
        <v>0</v>
      </c>
      <c r="LMD3">
        <f>Database!LMW5</f>
        <v>0</v>
      </c>
      <c r="LME3">
        <f>Database!LMX5</f>
        <v>0</v>
      </c>
      <c r="LMF3">
        <f>Database!LMY5</f>
        <v>0</v>
      </c>
      <c r="LMG3">
        <f>Database!LMZ5</f>
        <v>0</v>
      </c>
      <c r="LMH3">
        <f>Database!LNA5</f>
        <v>0</v>
      </c>
      <c r="LMI3">
        <f>Database!LNB5</f>
        <v>0</v>
      </c>
      <c r="LMJ3">
        <f>Database!LNC5</f>
        <v>0</v>
      </c>
      <c r="LMK3">
        <f>Database!LND5</f>
        <v>0</v>
      </c>
      <c r="LML3">
        <f>Database!LNE5</f>
        <v>0</v>
      </c>
      <c r="LMM3">
        <f>Database!LNF5</f>
        <v>0</v>
      </c>
      <c r="LMN3">
        <f>Database!LNG5</f>
        <v>0</v>
      </c>
      <c r="LMO3">
        <f>Database!LNH5</f>
        <v>0</v>
      </c>
      <c r="LMP3">
        <f>Database!LNI5</f>
        <v>0</v>
      </c>
      <c r="LMQ3">
        <f>Database!LNJ5</f>
        <v>0</v>
      </c>
      <c r="LMR3">
        <f>Database!LNK5</f>
        <v>0</v>
      </c>
      <c r="LMS3">
        <f>Database!LNL5</f>
        <v>0</v>
      </c>
      <c r="LMT3">
        <f>Database!LNM5</f>
        <v>0</v>
      </c>
      <c r="LMU3">
        <f>Database!LNN5</f>
        <v>0</v>
      </c>
      <c r="LMV3">
        <f>Database!LNO5</f>
        <v>0</v>
      </c>
      <c r="LMW3">
        <f>Database!LNP5</f>
        <v>0</v>
      </c>
      <c r="LMX3">
        <f>Database!LNQ5</f>
        <v>0</v>
      </c>
      <c r="LMY3">
        <f>Database!LNR5</f>
        <v>0</v>
      </c>
      <c r="LMZ3">
        <f>Database!LNS5</f>
        <v>0</v>
      </c>
      <c r="LNA3">
        <f>Database!LNT5</f>
        <v>0</v>
      </c>
      <c r="LNB3">
        <f>Database!LNU5</f>
        <v>0</v>
      </c>
      <c r="LNC3">
        <f>Database!LNV5</f>
        <v>0</v>
      </c>
      <c r="LND3">
        <f>Database!LNW5</f>
        <v>0</v>
      </c>
      <c r="LNE3">
        <f>Database!LNX5</f>
        <v>0</v>
      </c>
      <c r="LNF3">
        <f>Database!LNY5</f>
        <v>0</v>
      </c>
      <c r="LNG3">
        <f>Database!LNZ5</f>
        <v>0</v>
      </c>
      <c r="LNH3">
        <f>Database!LOA5</f>
        <v>0</v>
      </c>
      <c r="LNI3">
        <f>Database!LOB5</f>
        <v>0</v>
      </c>
      <c r="LNJ3">
        <f>Database!LOC5</f>
        <v>0</v>
      </c>
      <c r="LNK3">
        <f>Database!LOD5</f>
        <v>0</v>
      </c>
      <c r="LNL3">
        <f>Database!LOE5</f>
        <v>0</v>
      </c>
      <c r="LNM3">
        <f>Database!LOF5</f>
        <v>0</v>
      </c>
      <c r="LNN3">
        <f>Database!LOG5</f>
        <v>0</v>
      </c>
      <c r="LNO3">
        <f>Database!LOH5</f>
        <v>0</v>
      </c>
      <c r="LNP3">
        <f>Database!LOI5</f>
        <v>0</v>
      </c>
      <c r="LNQ3">
        <f>Database!LOJ5</f>
        <v>0</v>
      </c>
      <c r="LNR3">
        <f>Database!LOK5</f>
        <v>0</v>
      </c>
      <c r="LNS3">
        <f>Database!LOL5</f>
        <v>0</v>
      </c>
      <c r="LNT3">
        <f>Database!LOM5</f>
        <v>0</v>
      </c>
      <c r="LNU3">
        <f>Database!LON5</f>
        <v>0</v>
      </c>
      <c r="LNV3">
        <f>Database!LOO5</f>
        <v>0</v>
      </c>
      <c r="LNW3">
        <f>Database!LOP5</f>
        <v>0</v>
      </c>
      <c r="LNX3">
        <f>Database!LOQ5</f>
        <v>0</v>
      </c>
      <c r="LNY3">
        <f>Database!LOR5</f>
        <v>0</v>
      </c>
      <c r="LNZ3">
        <f>Database!LOS5</f>
        <v>0</v>
      </c>
      <c r="LOA3">
        <f>Database!LOT5</f>
        <v>0</v>
      </c>
      <c r="LOB3">
        <f>Database!LOU5</f>
        <v>0</v>
      </c>
      <c r="LOC3">
        <f>Database!LOV5</f>
        <v>0</v>
      </c>
      <c r="LOD3">
        <f>Database!LOW5</f>
        <v>0</v>
      </c>
      <c r="LOE3">
        <f>Database!LOX5</f>
        <v>0</v>
      </c>
      <c r="LOF3">
        <f>Database!LOY5</f>
        <v>0</v>
      </c>
      <c r="LOG3">
        <f>Database!LOZ5</f>
        <v>0</v>
      </c>
      <c r="LOH3">
        <f>Database!LPA5</f>
        <v>0</v>
      </c>
      <c r="LOI3">
        <f>Database!LPB5</f>
        <v>0</v>
      </c>
      <c r="LOJ3">
        <f>Database!LPC5</f>
        <v>0</v>
      </c>
      <c r="LOK3">
        <f>Database!LPD5</f>
        <v>0</v>
      </c>
      <c r="LOL3">
        <f>Database!LPE5</f>
        <v>0</v>
      </c>
      <c r="LOM3">
        <f>Database!LPF5</f>
        <v>0</v>
      </c>
      <c r="LON3">
        <f>Database!LPG5</f>
        <v>0</v>
      </c>
      <c r="LOO3">
        <f>Database!LPH5</f>
        <v>0</v>
      </c>
      <c r="LOP3">
        <f>Database!LPI5</f>
        <v>0</v>
      </c>
      <c r="LOQ3">
        <f>Database!LPJ5</f>
        <v>0</v>
      </c>
      <c r="LOR3">
        <f>Database!LPK5</f>
        <v>0</v>
      </c>
      <c r="LOS3">
        <f>Database!LPL5</f>
        <v>0</v>
      </c>
      <c r="LOT3">
        <f>Database!LPM5</f>
        <v>0</v>
      </c>
      <c r="LOU3">
        <f>Database!LPN5</f>
        <v>0</v>
      </c>
      <c r="LOV3">
        <f>Database!LPO5</f>
        <v>0</v>
      </c>
      <c r="LOW3">
        <f>Database!LPP5</f>
        <v>0</v>
      </c>
      <c r="LOX3">
        <f>Database!LPQ5</f>
        <v>0</v>
      </c>
      <c r="LOY3">
        <f>Database!LPR5</f>
        <v>0</v>
      </c>
      <c r="LOZ3">
        <f>Database!LPS5</f>
        <v>0</v>
      </c>
      <c r="LPA3">
        <f>Database!LPT5</f>
        <v>0</v>
      </c>
      <c r="LPB3">
        <f>Database!LPU5</f>
        <v>0</v>
      </c>
      <c r="LPC3">
        <f>Database!LPV5</f>
        <v>0</v>
      </c>
      <c r="LPD3">
        <f>Database!LPW5</f>
        <v>0</v>
      </c>
      <c r="LPE3">
        <f>Database!LPX5</f>
        <v>0</v>
      </c>
      <c r="LPF3">
        <f>Database!LPY5</f>
        <v>0</v>
      </c>
      <c r="LPG3">
        <f>Database!LPZ5</f>
        <v>0</v>
      </c>
      <c r="LPH3">
        <f>Database!LQA5</f>
        <v>0</v>
      </c>
      <c r="LPI3">
        <f>Database!LQB5</f>
        <v>0</v>
      </c>
      <c r="LPJ3">
        <f>Database!LQC5</f>
        <v>0</v>
      </c>
      <c r="LPK3">
        <f>Database!LQD5</f>
        <v>0</v>
      </c>
      <c r="LPL3">
        <f>Database!LQE5</f>
        <v>0</v>
      </c>
      <c r="LPM3">
        <f>Database!LQF5</f>
        <v>0</v>
      </c>
      <c r="LPN3">
        <f>Database!LQG5</f>
        <v>0</v>
      </c>
      <c r="LPO3">
        <f>Database!LQH5</f>
        <v>0</v>
      </c>
      <c r="LPP3">
        <f>Database!LQI5</f>
        <v>0</v>
      </c>
      <c r="LPQ3">
        <f>Database!LQJ5</f>
        <v>0</v>
      </c>
      <c r="LPR3">
        <f>Database!LQK5</f>
        <v>0</v>
      </c>
      <c r="LPS3">
        <f>Database!LQL5</f>
        <v>0</v>
      </c>
      <c r="LPT3">
        <f>Database!LQM5</f>
        <v>0</v>
      </c>
      <c r="LPU3">
        <f>Database!LQN5</f>
        <v>0</v>
      </c>
      <c r="LPV3">
        <f>Database!LQO5</f>
        <v>0</v>
      </c>
      <c r="LPW3">
        <f>Database!LQP5</f>
        <v>0</v>
      </c>
      <c r="LPX3">
        <f>Database!LQQ5</f>
        <v>0</v>
      </c>
      <c r="LPY3">
        <f>Database!LQR5</f>
        <v>0</v>
      </c>
      <c r="LPZ3">
        <f>Database!LQS5</f>
        <v>0</v>
      </c>
      <c r="LQA3">
        <f>Database!LQT5</f>
        <v>0</v>
      </c>
      <c r="LQB3">
        <f>Database!LQU5</f>
        <v>0</v>
      </c>
      <c r="LQC3">
        <f>Database!LQV5</f>
        <v>0</v>
      </c>
      <c r="LQD3">
        <f>Database!LQW5</f>
        <v>0</v>
      </c>
      <c r="LQE3">
        <f>Database!LQX5</f>
        <v>0</v>
      </c>
      <c r="LQF3">
        <f>Database!LQY5</f>
        <v>0</v>
      </c>
      <c r="LQG3">
        <f>Database!LQZ5</f>
        <v>0</v>
      </c>
      <c r="LQH3">
        <f>Database!LRA5</f>
        <v>0</v>
      </c>
      <c r="LQI3">
        <f>Database!LRB5</f>
        <v>0</v>
      </c>
      <c r="LQJ3">
        <f>Database!LRC5</f>
        <v>0</v>
      </c>
      <c r="LQK3">
        <f>Database!LRD5</f>
        <v>0</v>
      </c>
      <c r="LQL3">
        <f>Database!LRE5</f>
        <v>0</v>
      </c>
      <c r="LQM3">
        <f>Database!LRF5</f>
        <v>0</v>
      </c>
      <c r="LQN3">
        <f>Database!LRG5</f>
        <v>0</v>
      </c>
      <c r="LQO3">
        <f>Database!LRH5</f>
        <v>0</v>
      </c>
      <c r="LQP3">
        <f>Database!LRI5</f>
        <v>0</v>
      </c>
      <c r="LQQ3">
        <f>Database!LRJ5</f>
        <v>0</v>
      </c>
      <c r="LQR3">
        <f>Database!LRK5</f>
        <v>0</v>
      </c>
      <c r="LQS3">
        <f>Database!LRL5</f>
        <v>0</v>
      </c>
      <c r="LQT3">
        <f>Database!LRM5</f>
        <v>0</v>
      </c>
      <c r="LQU3">
        <f>Database!LRN5</f>
        <v>0</v>
      </c>
      <c r="LQV3">
        <f>Database!LRO5</f>
        <v>0</v>
      </c>
      <c r="LQW3">
        <f>Database!LRP5</f>
        <v>0</v>
      </c>
      <c r="LQX3">
        <f>Database!LRQ5</f>
        <v>0</v>
      </c>
      <c r="LQY3">
        <f>Database!LRR5</f>
        <v>0</v>
      </c>
      <c r="LQZ3">
        <f>Database!LRS5</f>
        <v>0</v>
      </c>
      <c r="LRA3">
        <f>Database!LRT5</f>
        <v>0</v>
      </c>
      <c r="LRB3">
        <f>Database!LRU5</f>
        <v>0</v>
      </c>
      <c r="LRC3">
        <f>Database!LRV5</f>
        <v>0</v>
      </c>
      <c r="LRD3">
        <f>Database!LRW5</f>
        <v>0</v>
      </c>
      <c r="LRE3">
        <f>Database!LRX5</f>
        <v>0</v>
      </c>
      <c r="LRF3">
        <f>Database!LRY5</f>
        <v>0</v>
      </c>
      <c r="LRG3">
        <f>Database!LRZ5</f>
        <v>0</v>
      </c>
      <c r="LRH3">
        <f>Database!LSA5</f>
        <v>0</v>
      </c>
      <c r="LRI3">
        <f>Database!LSB5</f>
        <v>0</v>
      </c>
      <c r="LRJ3">
        <f>Database!LSC5</f>
        <v>0</v>
      </c>
      <c r="LRK3">
        <f>Database!LSD5</f>
        <v>0</v>
      </c>
      <c r="LRL3">
        <f>Database!LSE5</f>
        <v>0</v>
      </c>
      <c r="LRM3">
        <f>Database!LSF5</f>
        <v>0</v>
      </c>
      <c r="LRN3">
        <f>Database!LSG5</f>
        <v>0</v>
      </c>
      <c r="LRO3">
        <f>Database!LSH5</f>
        <v>0</v>
      </c>
      <c r="LRP3">
        <f>Database!LSI5</f>
        <v>0</v>
      </c>
      <c r="LRQ3">
        <f>Database!LSJ5</f>
        <v>0</v>
      </c>
      <c r="LRR3">
        <f>Database!LSK5</f>
        <v>0</v>
      </c>
      <c r="LRS3">
        <f>Database!LSL5</f>
        <v>0</v>
      </c>
      <c r="LRT3">
        <f>Database!LSM5</f>
        <v>0</v>
      </c>
      <c r="LRU3">
        <f>Database!LSN5</f>
        <v>0</v>
      </c>
      <c r="LRV3">
        <f>Database!LSO5</f>
        <v>0</v>
      </c>
      <c r="LRW3">
        <f>Database!LSP5</f>
        <v>0</v>
      </c>
      <c r="LRX3">
        <f>Database!LSQ5</f>
        <v>0</v>
      </c>
      <c r="LRY3">
        <f>Database!LSR5</f>
        <v>0</v>
      </c>
      <c r="LRZ3">
        <f>Database!LSS5</f>
        <v>0</v>
      </c>
      <c r="LSA3">
        <f>Database!LST5</f>
        <v>0</v>
      </c>
      <c r="LSB3">
        <f>Database!LSU5</f>
        <v>0</v>
      </c>
      <c r="LSC3">
        <f>Database!LSV5</f>
        <v>0</v>
      </c>
      <c r="LSD3">
        <f>Database!LSW5</f>
        <v>0</v>
      </c>
      <c r="LSE3">
        <f>Database!LSX5</f>
        <v>0</v>
      </c>
      <c r="LSF3">
        <f>Database!LSY5</f>
        <v>0</v>
      </c>
      <c r="LSG3">
        <f>Database!LSZ5</f>
        <v>0</v>
      </c>
      <c r="LSH3">
        <f>Database!LTA5</f>
        <v>0</v>
      </c>
      <c r="LSI3">
        <f>Database!LTB5</f>
        <v>0</v>
      </c>
      <c r="LSJ3">
        <f>Database!LTC5</f>
        <v>0</v>
      </c>
      <c r="LSK3">
        <f>Database!LTD5</f>
        <v>0</v>
      </c>
      <c r="LSL3">
        <f>Database!LTE5</f>
        <v>0</v>
      </c>
      <c r="LSM3">
        <f>Database!LTF5</f>
        <v>0</v>
      </c>
      <c r="LSN3">
        <f>Database!LTG5</f>
        <v>0</v>
      </c>
      <c r="LSO3">
        <f>Database!LTH5</f>
        <v>0</v>
      </c>
      <c r="LSP3">
        <f>Database!LTI5</f>
        <v>0</v>
      </c>
      <c r="LSQ3">
        <f>Database!LTJ5</f>
        <v>0</v>
      </c>
      <c r="LSR3">
        <f>Database!LTK5</f>
        <v>0</v>
      </c>
      <c r="LSS3">
        <f>Database!LTL5</f>
        <v>0</v>
      </c>
      <c r="LST3">
        <f>Database!LTM5</f>
        <v>0</v>
      </c>
      <c r="LSU3">
        <f>Database!LTN5</f>
        <v>0</v>
      </c>
      <c r="LSV3">
        <f>Database!LTO5</f>
        <v>0</v>
      </c>
      <c r="LSW3">
        <f>Database!LTP5</f>
        <v>0</v>
      </c>
      <c r="LSX3">
        <f>Database!LTQ5</f>
        <v>0</v>
      </c>
      <c r="LSY3">
        <f>Database!LTR5</f>
        <v>0</v>
      </c>
      <c r="LSZ3">
        <f>Database!LTS5</f>
        <v>0</v>
      </c>
      <c r="LTA3">
        <f>Database!LTT5</f>
        <v>0</v>
      </c>
      <c r="LTB3">
        <f>Database!LTU5</f>
        <v>0</v>
      </c>
      <c r="LTC3">
        <f>Database!LTV5</f>
        <v>0</v>
      </c>
      <c r="LTD3">
        <f>Database!LTW5</f>
        <v>0</v>
      </c>
      <c r="LTE3">
        <f>Database!LTX5</f>
        <v>0</v>
      </c>
      <c r="LTF3">
        <f>Database!LTY5</f>
        <v>0</v>
      </c>
      <c r="LTG3">
        <f>Database!LTZ5</f>
        <v>0</v>
      </c>
      <c r="LTH3">
        <f>Database!LUA5</f>
        <v>0</v>
      </c>
      <c r="LTI3">
        <f>Database!LUB5</f>
        <v>0</v>
      </c>
      <c r="LTJ3">
        <f>Database!LUC5</f>
        <v>0</v>
      </c>
      <c r="LTK3">
        <f>Database!LUD5</f>
        <v>0</v>
      </c>
      <c r="LTL3">
        <f>Database!LUE5</f>
        <v>0</v>
      </c>
      <c r="LTM3">
        <f>Database!LUF5</f>
        <v>0</v>
      </c>
      <c r="LTN3">
        <f>Database!LUG5</f>
        <v>0</v>
      </c>
      <c r="LTO3">
        <f>Database!LUH5</f>
        <v>0</v>
      </c>
      <c r="LTP3">
        <f>Database!LUI5</f>
        <v>0</v>
      </c>
      <c r="LTQ3">
        <f>Database!LUJ5</f>
        <v>0</v>
      </c>
      <c r="LTR3">
        <f>Database!LUK5</f>
        <v>0</v>
      </c>
      <c r="LTS3">
        <f>Database!LUL5</f>
        <v>0</v>
      </c>
      <c r="LTT3">
        <f>Database!LUM5</f>
        <v>0</v>
      </c>
      <c r="LTU3">
        <f>Database!LUN5</f>
        <v>0</v>
      </c>
      <c r="LTV3">
        <f>Database!LUO5</f>
        <v>0</v>
      </c>
      <c r="LTW3">
        <f>Database!LUP5</f>
        <v>0</v>
      </c>
      <c r="LTX3">
        <f>Database!LUQ5</f>
        <v>0</v>
      </c>
      <c r="LTY3">
        <f>Database!LUR5</f>
        <v>0</v>
      </c>
      <c r="LTZ3">
        <f>Database!LUS5</f>
        <v>0</v>
      </c>
      <c r="LUA3">
        <f>Database!LUT5</f>
        <v>0</v>
      </c>
      <c r="LUB3">
        <f>Database!LUU5</f>
        <v>0</v>
      </c>
      <c r="LUC3">
        <f>Database!LUV5</f>
        <v>0</v>
      </c>
      <c r="LUD3">
        <f>Database!LUW5</f>
        <v>0</v>
      </c>
      <c r="LUE3">
        <f>Database!LUX5</f>
        <v>0</v>
      </c>
      <c r="LUF3">
        <f>Database!LUY5</f>
        <v>0</v>
      </c>
      <c r="LUG3">
        <f>Database!LUZ5</f>
        <v>0</v>
      </c>
      <c r="LUH3">
        <f>Database!LVA5</f>
        <v>0</v>
      </c>
      <c r="LUI3">
        <f>Database!LVB5</f>
        <v>0</v>
      </c>
      <c r="LUJ3">
        <f>Database!LVC5</f>
        <v>0</v>
      </c>
      <c r="LUK3">
        <f>Database!LVD5</f>
        <v>0</v>
      </c>
      <c r="LUL3">
        <f>Database!LVE5</f>
        <v>0</v>
      </c>
      <c r="LUM3">
        <f>Database!LVF5</f>
        <v>0</v>
      </c>
      <c r="LUN3">
        <f>Database!LVG5</f>
        <v>0</v>
      </c>
      <c r="LUO3">
        <f>Database!LVH5</f>
        <v>0</v>
      </c>
      <c r="LUP3">
        <f>Database!LVI5</f>
        <v>0</v>
      </c>
      <c r="LUQ3">
        <f>Database!LVJ5</f>
        <v>0</v>
      </c>
      <c r="LUR3">
        <f>Database!LVK5</f>
        <v>0</v>
      </c>
      <c r="LUS3">
        <f>Database!LVL5</f>
        <v>0</v>
      </c>
      <c r="LUT3">
        <f>Database!LVM5</f>
        <v>0</v>
      </c>
      <c r="LUU3">
        <f>Database!LVN5</f>
        <v>0</v>
      </c>
      <c r="LUV3">
        <f>Database!LVO5</f>
        <v>0</v>
      </c>
      <c r="LUW3">
        <f>Database!LVP5</f>
        <v>0</v>
      </c>
      <c r="LUX3">
        <f>Database!LVQ5</f>
        <v>0</v>
      </c>
      <c r="LUY3">
        <f>Database!LVR5</f>
        <v>0</v>
      </c>
      <c r="LUZ3">
        <f>Database!LVS5</f>
        <v>0</v>
      </c>
      <c r="LVA3">
        <f>Database!LVT5</f>
        <v>0</v>
      </c>
      <c r="LVB3">
        <f>Database!LVU5</f>
        <v>0</v>
      </c>
      <c r="LVC3">
        <f>Database!LVV5</f>
        <v>0</v>
      </c>
      <c r="LVD3">
        <f>Database!LVW5</f>
        <v>0</v>
      </c>
      <c r="LVE3">
        <f>Database!LVX5</f>
        <v>0</v>
      </c>
      <c r="LVF3">
        <f>Database!LVY5</f>
        <v>0</v>
      </c>
      <c r="LVG3">
        <f>Database!LVZ5</f>
        <v>0</v>
      </c>
      <c r="LVH3">
        <f>Database!LWA5</f>
        <v>0</v>
      </c>
      <c r="LVI3">
        <f>Database!LWB5</f>
        <v>0</v>
      </c>
      <c r="LVJ3">
        <f>Database!LWC5</f>
        <v>0</v>
      </c>
      <c r="LVK3">
        <f>Database!LWD5</f>
        <v>0</v>
      </c>
      <c r="LVL3">
        <f>Database!LWE5</f>
        <v>0</v>
      </c>
      <c r="LVM3">
        <f>Database!LWF5</f>
        <v>0</v>
      </c>
      <c r="LVN3">
        <f>Database!LWG5</f>
        <v>0</v>
      </c>
      <c r="LVO3">
        <f>Database!LWH5</f>
        <v>0</v>
      </c>
      <c r="LVP3">
        <f>Database!LWI5</f>
        <v>0</v>
      </c>
      <c r="LVQ3">
        <f>Database!LWJ5</f>
        <v>0</v>
      </c>
      <c r="LVR3">
        <f>Database!LWK5</f>
        <v>0</v>
      </c>
      <c r="LVS3">
        <f>Database!LWL5</f>
        <v>0</v>
      </c>
      <c r="LVT3">
        <f>Database!LWM5</f>
        <v>0</v>
      </c>
      <c r="LVU3">
        <f>Database!LWN5</f>
        <v>0</v>
      </c>
      <c r="LVV3">
        <f>Database!LWO5</f>
        <v>0</v>
      </c>
      <c r="LVW3">
        <f>Database!LWP5</f>
        <v>0</v>
      </c>
      <c r="LVX3">
        <f>Database!LWQ5</f>
        <v>0</v>
      </c>
      <c r="LVY3">
        <f>Database!LWR5</f>
        <v>0</v>
      </c>
      <c r="LVZ3">
        <f>Database!LWS5</f>
        <v>0</v>
      </c>
      <c r="LWA3">
        <f>Database!LWT5</f>
        <v>0</v>
      </c>
      <c r="LWB3">
        <f>Database!LWU5</f>
        <v>0</v>
      </c>
      <c r="LWC3">
        <f>Database!LWV5</f>
        <v>0</v>
      </c>
      <c r="LWD3">
        <f>Database!LWW5</f>
        <v>0</v>
      </c>
      <c r="LWE3">
        <f>Database!LWX5</f>
        <v>0</v>
      </c>
      <c r="LWF3">
        <f>Database!LWY5</f>
        <v>0</v>
      </c>
      <c r="LWG3">
        <f>Database!LWZ5</f>
        <v>0</v>
      </c>
      <c r="LWH3">
        <f>Database!LXA5</f>
        <v>0</v>
      </c>
      <c r="LWI3">
        <f>Database!LXB5</f>
        <v>0</v>
      </c>
      <c r="LWJ3">
        <f>Database!LXC5</f>
        <v>0</v>
      </c>
      <c r="LWK3">
        <f>Database!LXD5</f>
        <v>0</v>
      </c>
      <c r="LWL3">
        <f>Database!LXE5</f>
        <v>0</v>
      </c>
      <c r="LWM3">
        <f>Database!LXF5</f>
        <v>0</v>
      </c>
      <c r="LWN3">
        <f>Database!LXG5</f>
        <v>0</v>
      </c>
      <c r="LWO3">
        <f>Database!LXH5</f>
        <v>0</v>
      </c>
      <c r="LWP3">
        <f>Database!LXI5</f>
        <v>0</v>
      </c>
      <c r="LWQ3">
        <f>Database!LXJ5</f>
        <v>0</v>
      </c>
      <c r="LWR3">
        <f>Database!LXK5</f>
        <v>0</v>
      </c>
      <c r="LWS3">
        <f>Database!LXL5</f>
        <v>0</v>
      </c>
      <c r="LWT3">
        <f>Database!LXM5</f>
        <v>0</v>
      </c>
      <c r="LWU3">
        <f>Database!LXN5</f>
        <v>0</v>
      </c>
      <c r="LWV3">
        <f>Database!LXO5</f>
        <v>0</v>
      </c>
      <c r="LWW3">
        <f>Database!LXP5</f>
        <v>0</v>
      </c>
      <c r="LWX3">
        <f>Database!LXQ5</f>
        <v>0</v>
      </c>
      <c r="LWY3">
        <f>Database!LXR5</f>
        <v>0</v>
      </c>
      <c r="LWZ3">
        <f>Database!LXS5</f>
        <v>0</v>
      </c>
      <c r="LXA3">
        <f>Database!LXT5</f>
        <v>0</v>
      </c>
      <c r="LXB3">
        <f>Database!LXU5</f>
        <v>0</v>
      </c>
      <c r="LXC3">
        <f>Database!LXV5</f>
        <v>0</v>
      </c>
      <c r="LXD3">
        <f>Database!LXW5</f>
        <v>0</v>
      </c>
      <c r="LXE3">
        <f>Database!LXX5</f>
        <v>0</v>
      </c>
      <c r="LXF3">
        <f>Database!LXY5</f>
        <v>0</v>
      </c>
      <c r="LXG3">
        <f>Database!LXZ5</f>
        <v>0</v>
      </c>
      <c r="LXH3">
        <f>Database!LYA5</f>
        <v>0</v>
      </c>
      <c r="LXI3">
        <f>Database!LYB5</f>
        <v>0</v>
      </c>
      <c r="LXJ3">
        <f>Database!LYC5</f>
        <v>0</v>
      </c>
      <c r="LXK3">
        <f>Database!LYD5</f>
        <v>0</v>
      </c>
      <c r="LXL3">
        <f>Database!LYE5</f>
        <v>0</v>
      </c>
      <c r="LXM3">
        <f>Database!LYF5</f>
        <v>0</v>
      </c>
      <c r="LXN3">
        <f>Database!LYG5</f>
        <v>0</v>
      </c>
      <c r="LXO3">
        <f>Database!LYH5</f>
        <v>0</v>
      </c>
      <c r="LXP3">
        <f>Database!LYI5</f>
        <v>0</v>
      </c>
      <c r="LXQ3">
        <f>Database!LYJ5</f>
        <v>0</v>
      </c>
      <c r="LXR3">
        <f>Database!LYK5</f>
        <v>0</v>
      </c>
      <c r="LXS3">
        <f>Database!LYL5</f>
        <v>0</v>
      </c>
      <c r="LXT3">
        <f>Database!LYM5</f>
        <v>0</v>
      </c>
      <c r="LXU3">
        <f>Database!LYN5</f>
        <v>0</v>
      </c>
      <c r="LXV3">
        <f>Database!LYO5</f>
        <v>0</v>
      </c>
      <c r="LXW3">
        <f>Database!LYP5</f>
        <v>0</v>
      </c>
      <c r="LXX3">
        <f>Database!LYQ5</f>
        <v>0</v>
      </c>
      <c r="LXY3">
        <f>Database!LYR5</f>
        <v>0</v>
      </c>
      <c r="LXZ3">
        <f>Database!LYS5</f>
        <v>0</v>
      </c>
      <c r="LYA3">
        <f>Database!LYT5</f>
        <v>0</v>
      </c>
      <c r="LYB3">
        <f>Database!LYU5</f>
        <v>0</v>
      </c>
      <c r="LYC3">
        <f>Database!LYV5</f>
        <v>0</v>
      </c>
      <c r="LYD3">
        <f>Database!LYW5</f>
        <v>0</v>
      </c>
      <c r="LYE3">
        <f>Database!LYX5</f>
        <v>0</v>
      </c>
      <c r="LYF3">
        <f>Database!LYY5</f>
        <v>0</v>
      </c>
      <c r="LYG3">
        <f>Database!LYZ5</f>
        <v>0</v>
      </c>
      <c r="LYH3">
        <f>Database!LZA5</f>
        <v>0</v>
      </c>
      <c r="LYI3">
        <f>Database!LZB5</f>
        <v>0</v>
      </c>
      <c r="LYJ3">
        <f>Database!LZC5</f>
        <v>0</v>
      </c>
      <c r="LYK3">
        <f>Database!LZD5</f>
        <v>0</v>
      </c>
      <c r="LYL3">
        <f>Database!LZE5</f>
        <v>0</v>
      </c>
      <c r="LYM3">
        <f>Database!LZF5</f>
        <v>0</v>
      </c>
      <c r="LYN3">
        <f>Database!LZG5</f>
        <v>0</v>
      </c>
      <c r="LYO3">
        <f>Database!LZH5</f>
        <v>0</v>
      </c>
      <c r="LYP3">
        <f>Database!LZI5</f>
        <v>0</v>
      </c>
      <c r="LYQ3">
        <f>Database!LZJ5</f>
        <v>0</v>
      </c>
      <c r="LYR3">
        <f>Database!LZK5</f>
        <v>0</v>
      </c>
      <c r="LYS3">
        <f>Database!LZL5</f>
        <v>0</v>
      </c>
      <c r="LYT3">
        <f>Database!LZM5</f>
        <v>0</v>
      </c>
      <c r="LYU3">
        <f>Database!LZN5</f>
        <v>0</v>
      </c>
      <c r="LYV3">
        <f>Database!LZO5</f>
        <v>0</v>
      </c>
      <c r="LYW3">
        <f>Database!LZP5</f>
        <v>0</v>
      </c>
      <c r="LYX3">
        <f>Database!LZQ5</f>
        <v>0</v>
      </c>
      <c r="LYY3">
        <f>Database!LZR5</f>
        <v>0</v>
      </c>
      <c r="LYZ3">
        <f>Database!LZS5</f>
        <v>0</v>
      </c>
      <c r="LZA3">
        <f>Database!LZT5</f>
        <v>0</v>
      </c>
      <c r="LZB3">
        <f>Database!LZU5</f>
        <v>0</v>
      </c>
      <c r="LZC3">
        <f>Database!LZV5</f>
        <v>0</v>
      </c>
      <c r="LZD3">
        <f>Database!LZW5</f>
        <v>0</v>
      </c>
      <c r="LZE3">
        <f>Database!LZX5</f>
        <v>0</v>
      </c>
      <c r="LZF3">
        <f>Database!LZY5</f>
        <v>0</v>
      </c>
      <c r="LZG3">
        <f>Database!LZZ5</f>
        <v>0</v>
      </c>
      <c r="LZH3">
        <f>Database!MAA5</f>
        <v>0</v>
      </c>
      <c r="LZI3">
        <f>Database!MAB5</f>
        <v>0</v>
      </c>
      <c r="LZJ3">
        <f>Database!MAC5</f>
        <v>0</v>
      </c>
      <c r="LZK3">
        <f>Database!MAD5</f>
        <v>0</v>
      </c>
      <c r="LZL3">
        <f>Database!MAE5</f>
        <v>0</v>
      </c>
      <c r="LZM3">
        <f>Database!MAF5</f>
        <v>0</v>
      </c>
      <c r="LZN3">
        <f>Database!MAG5</f>
        <v>0</v>
      </c>
      <c r="LZO3">
        <f>Database!MAH5</f>
        <v>0</v>
      </c>
      <c r="LZP3">
        <f>Database!MAI5</f>
        <v>0</v>
      </c>
      <c r="LZQ3">
        <f>Database!MAJ5</f>
        <v>0</v>
      </c>
      <c r="LZR3">
        <f>Database!MAK5</f>
        <v>0</v>
      </c>
      <c r="LZS3">
        <f>Database!MAL5</f>
        <v>0</v>
      </c>
      <c r="LZT3">
        <f>Database!MAM5</f>
        <v>0</v>
      </c>
      <c r="LZU3">
        <f>Database!MAN5</f>
        <v>0</v>
      </c>
      <c r="LZV3">
        <f>Database!MAO5</f>
        <v>0</v>
      </c>
      <c r="LZW3">
        <f>Database!MAP5</f>
        <v>0</v>
      </c>
      <c r="LZX3">
        <f>Database!MAQ5</f>
        <v>0</v>
      </c>
      <c r="LZY3">
        <f>Database!MAR5</f>
        <v>0</v>
      </c>
      <c r="LZZ3">
        <f>Database!MAS5</f>
        <v>0</v>
      </c>
      <c r="MAA3">
        <f>Database!MAT5</f>
        <v>0</v>
      </c>
      <c r="MAB3">
        <f>Database!MAU5</f>
        <v>0</v>
      </c>
      <c r="MAC3">
        <f>Database!MAV5</f>
        <v>0</v>
      </c>
      <c r="MAD3">
        <f>Database!MAW5</f>
        <v>0</v>
      </c>
      <c r="MAE3">
        <f>Database!MAX5</f>
        <v>0</v>
      </c>
      <c r="MAF3">
        <f>Database!MAY5</f>
        <v>0</v>
      </c>
      <c r="MAG3">
        <f>Database!MAZ5</f>
        <v>0</v>
      </c>
      <c r="MAH3">
        <f>Database!MBA5</f>
        <v>0</v>
      </c>
      <c r="MAI3">
        <f>Database!MBB5</f>
        <v>0</v>
      </c>
      <c r="MAJ3">
        <f>Database!MBC5</f>
        <v>0</v>
      </c>
      <c r="MAK3">
        <f>Database!MBD5</f>
        <v>0</v>
      </c>
      <c r="MAL3">
        <f>Database!MBE5</f>
        <v>0</v>
      </c>
      <c r="MAM3">
        <f>Database!MBF5</f>
        <v>0</v>
      </c>
      <c r="MAN3">
        <f>Database!MBG5</f>
        <v>0</v>
      </c>
      <c r="MAO3">
        <f>Database!MBH5</f>
        <v>0</v>
      </c>
      <c r="MAP3">
        <f>Database!MBI5</f>
        <v>0</v>
      </c>
      <c r="MAQ3">
        <f>Database!MBJ5</f>
        <v>0</v>
      </c>
      <c r="MAR3">
        <f>Database!MBK5</f>
        <v>0</v>
      </c>
      <c r="MAS3">
        <f>Database!MBL5</f>
        <v>0</v>
      </c>
      <c r="MAT3">
        <f>Database!MBM5</f>
        <v>0</v>
      </c>
      <c r="MAU3">
        <f>Database!MBN5</f>
        <v>0</v>
      </c>
      <c r="MAV3">
        <f>Database!MBO5</f>
        <v>0</v>
      </c>
      <c r="MAW3">
        <f>Database!MBP5</f>
        <v>0</v>
      </c>
      <c r="MAX3">
        <f>Database!MBQ5</f>
        <v>0</v>
      </c>
      <c r="MAY3">
        <f>Database!MBR5</f>
        <v>0</v>
      </c>
      <c r="MAZ3">
        <f>Database!MBS5</f>
        <v>0</v>
      </c>
      <c r="MBA3">
        <f>Database!MBT5</f>
        <v>0</v>
      </c>
      <c r="MBB3">
        <f>Database!MBU5</f>
        <v>0</v>
      </c>
      <c r="MBC3">
        <f>Database!MBV5</f>
        <v>0</v>
      </c>
      <c r="MBD3">
        <f>Database!MBW5</f>
        <v>0</v>
      </c>
      <c r="MBE3">
        <f>Database!MBX5</f>
        <v>0</v>
      </c>
      <c r="MBF3">
        <f>Database!MBY5</f>
        <v>0</v>
      </c>
      <c r="MBG3">
        <f>Database!MBZ5</f>
        <v>0</v>
      </c>
      <c r="MBH3">
        <f>Database!MCA5</f>
        <v>0</v>
      </c>
      <c r="MBI3">
        <f>Database!MCB5</f>
        <v>0</v>
      </c>
      <c r="MBJ3">
        <f>Database!MCC5</f>
        <v>0</v>
      </c>
      <c r="MBK3">
        <f>Database!MCD5</f>
        <v>0</v>
      </c>
      <c r="MBL3">
        <f>Database!MCE5</f>
        <v>0</v>
      </c>
      <c r="MBM3">
        <f>Database!MCF5</f>
        <v>0</v>
      </c>
      <c r="MBN3">
        <f>Database!MCG5</f>
        <v>0</v>
      </c>
      <c r="MBO3">
        <f>Database!MCH5</f>
        <v>0</v>
      </c>
      <c r="MBP3">
        <f>Database!MCI5</f>
        <v>0</v>
      </c>
      <c r="MBQ3">
        <f>Database!MCJ5</f>
        <v>0</v>
      </c>
      <c r="MBR3">
        <f>Database!MCK5</f>
        <v>0</v>
      </c>
      <c r="MBS3">
        <f>Database!MCL5</f>
        <v>0</v>
      </c>
      <c r="MBT3">
        <f>Database!MCM5</f>
        <v>0</v>
      </c>
      <c r="MBU3">
        <f>Database!MCN5</f>
        <v>0</v>
      </c>
      <c r="MBV3">
        <f>Database!MCO5</f>
        <v>0</v>
      </c>
      <c r="MBW3">
        <f>Database!MCP5</f>
        <v>0</v>
      </c>
      <c r="MBX3">
        <f>Database!MCQ5</f>
        <v>0</v>
      </c>
      <c r="MBY3">
        <f>Database!MCR5</f>
        <v>0</v>
      </c>
      <c r="MBZ3">
        <f>Database!MCS5</f>
        <v>0</v>
      </c>
      <c r="MCA3">
        <f>Database!MCT5</f>
        <v>0</v>
      </c>
      <c r="MCB3">
        <f>Database!MCU5</f>
        <v>0</v>
      </c>
      <c r="MCC3">
        <f>Database!MCV5</f>
        <v>0</v>
      </c>
      <c r="MCD3">
        <f>Database!MCW5</f>
        <v>0</v>
      </c>
      <c r="MCE3">
        <f>Database!MCX5</f>
        <v>0</v>
      </c>
      <c r="MCF3">
        <f>Database!MCY5</f>
        <v>0</v>
      </c>
      <c r="MCG3">
        <f>Database!MCZ5</f>
        <v>0</v>
      </c>
      <c r="MCH3">
        <f>Database!MDA5</f>
        <v>0</v>
      </c>
      <c r="MCI3">
        <f>Database!MDB5</f>
        <v>0</v>
      </c>
      <c r="MCJ3">
        <f>Database!MDC5</f>
        <v>0</v>
      </c>
      <c r="MCK3">
        <f>Database!MDD5</f>
        <v>0</v>
      </c>
      <c r="MCL3">
        <f>Database!MDE5</f>
        <v>0</v>
      </c>
      <c r="MCM3">
        <f>Database!MDF5</f>
        <v>0</v>
      </c>
      <c r="MCN3">
        <f>Database!MDG5</f>
        <v>0</v>
      </c>
      <c r="MCO3">
        <f>Database!MDH5</f>
        <v>0</v>
      </c>
      <c r="MCP3">
        <f>Database!MDI5</f>
        <v>0</v>
      </c>
      <c r="MCQ3">
        <f>Database!MDJ5</f>
        <v>0</v>
      </c>
      <c r="MCR3">
        <f>Database!MDK5</f>
        <v>0</v>
      </c>
      <c r="MCS3">
        <f>Database!MDL5</f>
        <v>0</v>
      </c>
      <c r="MCT3">
        <f>Database!MDM5</f>
        <v>0</v>
      </c>
      <c r="MCU3">
        <f>Database!MDN5</f>
        <v>0</v>
      </c>
      <c r="MCV3">
        <f>Database!MDO5</f>
        <v>0</v>
      </c>
      <c r="MCW3">
        <f>Database!MDP5</f>
        <v>0</v>
      </c>
      <c r="MCX3">
        <f>Database!MDQ5</f>
        <v>0</v>
      </c>
      <c r="MCY3">
        <f>Database!MDR5</f>
        <v>0</v>
      </c>
      <c r="MCZ3">
        <f>Database!MDS5</f>
        <v>0</v>
      </c>
      <c r="MDA3">
        <f>Database!MDT5</f>
        <v>0</v>
      </c>
      <c r="MDB3">
        <f>Database!MDU5</f>
        <v>0</v>
      </c>
      <c r="MDC3">
        <f>Database!MDV5</f>
        <v>0</v>
      </c>
      <c r="MDD3">
        <f>Database!MDW5</f>
        <v>0</v>
      </c>
      <c r="MDE3">
        <f>Database!MDX5</f>
        <v>0</v>
      </c>
      <c r="MDF3">
        <f>Database!MDY5</f>
        <v>0</v>
      </c>
      <c r="MDG3">
        <f>Database!MDZ5</f>
        <v>0</v>
      </c>
      <c r="MDH3">
        <f>Database!MEA5</f>
        <v>0</v>
      </c>
      <c r="MDI3">
        <f>Database!MEB5</f>
        <v>0</v>
      </c>
      <c r="MDJ3">
        <f>Database!MEC5</f>
        <v>0</v>
      </c>
      <c r="MDK3">
        <f>Database!MED5</f>
        <v>0</v>
      </c>
      <c r="MDL3">
        <f>Database!MEE5</f>
        <v>0</v>
      </c>
      <c r="MDM3">
        <f>Database!MEF5</f>
        <v>0</v>
      </c>
      <c r="MDN3">
        <f>Database!MEG5</f>
        <v>0</v>
      </c>
      <c r="MDO3">
        <f>Database!MEH5</f>
        <v>0</v>
      </c>
      <c r="MDP3">
        <f>Database!MEI5</f>
        <v>0</v>
      </c>
      <c r="MDQ3">
        <f>Database!MEJ5</f>
        <v>0</v>
      </c>
      <c r="MDR3">
        <f>Database!MEK5</f>
        <v>0</v>
      </c>
      <c r="MDS3">
        <f>Database!MEL5</f>
        <v>0</v>
      </c>
      <c r="MDT3">
        <f>Database!MEM5</f>
        <v>0</v>
      </c>
      <c r="MDU3">
        <f>Database!MEN5</f>
        <v>0</v>
      </c>
      <c r="MDV3">
        <f>Database!MEO5</f>
        <v>0</v>
      </c>
      <c r="MDW3">
        <f>Database!MEP5</f>
        <v>0</v>
      </c>
      <c r="MDX3">
        <f>Database!MEQ5</f>
        <v>0</v>
      </c>
      <c r="MDY3">
        <f>Database!MER5</f>
        <v>0</v>
      </c>
      <c r="MDZ3">
        <f>Database!MES5</f>
        <v>0</v>
      </c>
      <c r="MEA3">
        <f>Database!MET5</f>
        <v>0</v>
      </c>
      <c r="MEB3">
        <f>Database!MEU5</f>
        <v>0</v>
      </c>
      <c r="MEC3">
        <f>Database!MEV5</f>
        <v>0</v>
      </c>
      <c r="MED3">
        <f>Database!MEW5</f>
        <v>0</v>
      </c>
      <c r="MEE3">
        <f>Database!MEX5</f>
        <v>0</v>
      </c>
      <c r="MEF3">
        <f>Database!MEY5</f>
        <v>0</v>
      </c>
      <c r="MEG3">
        <f>Database!MEZ5</f>
        <v>0</v>
      </c>
      <c r="MEH3">
        <f>Database!MFA5</f>
        <v>0</v>
      </c>
      <c r="MEI3">
        <f>Database!MFB5</f>
        <v>0</v>
      </c>
      <c r="MEJ3">
        <f>Database!MFC5</f>
        <v>0</v>
      </c>
      <c r="MEK3">
        <f>Database!MFD5</f>
        <v>0</v>
      </c>
      <c r="MEL3">
        <f>Database!MFE5</f>
        <v>0</v>
      </c>
      <c r="MEM3">
        <f>Database!MFF5</f>
        <v>0</v>
      </c>
      <c r="MEN3">
        <f>Database!MFG5</f>
        <v>0</v>
      </c>
      <c r="MEO3">
        <f>Database!MFH5</f>
        <v>0</v>
      </c>
      <c r="MEP3">
        <f>Database!MFI5</f>
        <v>0</v>
      </c>
      <c r="MEQ3">
        <f>Database!MFJ5</f>
        <v>0</v>
      </c>
      <c r="MER3">
        <f>Database!MFK5</f>
        <v>0</v>
      </c>
      <c r="MES3">
        <f>Database!MFL5</f>
        <v>0</v>
      </c>
      <c r="MET3">
        <f>Database!MFM5</f>
        <v>0</v>
      </c>
      <c r="MEU3">
        <f>Database!MFN5</f>
        <v>0</v>
      </c>
      <c r="MEV3">
        <f>Database!MFO5</f>
        <v>0</v>
      </c>
      <c r="MEW3">
        <f>Database!MFP5</f>
        <v>0</v>
      </c>
      <c r="MEX3">
        <f>Database!MFQ5</f>
        <v>0</v>
      </c>
      <c r="MEY3">
        <f>Database!MFR5</f>
        <v>0</v>
      </c>
      <c r="MEZ3">
        <f>Database!MFS5</f>
        <v>0</v>
      </c>
      <c r="MFA3">
        <f>Database!MFT5</f>
        <v>0</v>
      </c>
      <c r="MFB3">
        <f>Database!MFU5</f>
        <v>0</v>
      </c>
      <c r="MFC3">
        <f>Database!MFV5</f>
        <v>0</v>
      </c>
      <c r="MFD3">
        <f>Database!MFW5</f>
        <v>0</v>
      </c>
      <c r="MFE3">
        <f>Database!MFX5</f>
        <v>0</v>
      </c>
      <c r="MFF3">
        <f>Database!MFY5</f>
        <v>0</v>
      </c>
      <c r="MFG3">
        <f>Database!MFZ5</f>
        <v>0</v>
      </c>
      <c r="MFH3">
        <f>Database!MGA5</f>
        <v>0</v>
      </c>
      <c r="MFI3">
        <f>Database!MGB5</f>
        <v>0</v>
      </c>
      <c r="MFJ3">
        <f>Database!MGC5</f>
        <v>0</v>
      </c>
      <c r="MFK3">
        <f>Database!MGD5</f>
        <v>0</v>
      </c>
      <c r="MFL3">
        <f>Database!MGE5</f>
        <v>0</v>
      </c>
      <c r="MFM3">
        <f>Database!MGF5</f>
        <v>0</v>
      </c>
      <c r="MFN3">
        <f>Database!MGG5</f>
        <v>0</v>
      </c>
      <c r="MFO3">
        <f>Database!MGH5</f>
        <v>0</v>
      </c>
      <c r="MFP3">
        <f>Database!MGI5</f>
        <v>0</v>
      </c>
      <c r="MFQ3">
        <f>Database!MGJ5</f>
        <v>0</v>
      </c>
      <c r="MFR3">
        <f>Database!MGK5</f>
        <v>0</v>
      </c>
      <c r="MFS3">
        <f>Database!MGL5</f>
        <v>0</v>
      </c>
      <c r="MFT3">
        <f>Database!MGM5</f>
        <v>0</v>
      </c>
      <c r="MFU3">
        <f>Database!MGN5</f>
        <v>0</v>
      </c>
      <c r="MFV3">
        <f>Database!MGO5</f>
        <v>0</v>
      </c>
      <c r="MFW3">
        <f>Database!MGP5</f>
        <v>0</v>
      </c>
      <c r="MFX3">
        <f>Database!MGQ5</f>
        <v>0</v>
      </c>
      <c r="MFY3">
        <f>Database!MGR5</f>
        <v>0</v>
      </c>
      <c r="MFZ3">
        <f>Database!MGS5</f>
        <v>0</v>
      </c>
      <c r="MGA3">
        <f>Database!MGT5</f>
        <v>0</v>
      </c>
      <c r="MGB3">
        <f>Database!MGU5</f>
        <v>0</v>
      </c>
      <c r="MGC3">
        <f>Database!MGV5</f>
        <v>0</v>
      </c>
      <c r="MGD3">
        <f>Database!MGW5</f>
        <v>0</v>
      </c>
      <c r="MGE3">
        <f>Database!MGX5</f>
        <v>0</v>
      </c>
      <c r="MGF3">
        <f>Database!MGY5</f>
        <v>0</v>
      </c>
      <c r="MGG3">
        <f>Database!MGZ5</f>
        <v>0</v>
      </c>
      <c r="MGH3">
        <f>Database!MHA5</f>
        <v>0</v>
      </c>
      <c r="MGI3">
        <f>Database!MHB5</f>
        <v>0</v>
      </c>
      <c r="MGJ3">
        <f>Database!MHC5</f>
        <v>0</v>
      </c>
      <c r="MGK3">
        <f>Database!MHD5</f>
        <v>0</v>
      </c>
      <c r="MGL3">
        <f>Database!MHE5</f>
        <v>0</v>
      </c>
      <c r="MGM3">
        <f>Database!MHF5</f>
        <v>0</v>
      </c>
      <c r="MGN3">
        <f>Database!MHG5</f>
        <v>0</v>
      </c>
      <c r="MGO3">
        <f>Database!MHH5</f>
        <v>0</v>
      </c>
      <c r="MGP3">
        <f>Database!MHI5</f>
        <v>0</v>
      </c>
      <c r="MGQ3">
        <f>Database!MHJ5</f>
        <v>0</v>
      </c>
      <c r="MGR3">
        <f>Database!MHK5</f>
        <v>0</v>
      </c>
      <c r="MGS3">
        <f>Database!MHL5</f>
        <v>0</v>
      </c>
      <c r="MGT3">
        <f>Database!MHM5</f>
        <v>0</v>
      </c>
      <c r="MGU3">
        <f>Database!MHN5</f>
        <v>0</v>
      </c>
      <c r="MGV3">
        <f>Database!MHO5</f>
        <v>0</v>
      </c>
      <c r="MGW3">
        <f>Database!MHP5</f>
        <v>0</v>
      </c>
      <c r="MGX3">
        <f>Database!MHQ5</f>
        <v>0</v>
      </c>
      <c r="MGY3">
        <f>Database!MHR5</f>
        <v>0</v>
      </c>
      <c r="MGZ3">
        <f>Database!MHS5</f>
        <v>0</v>
      </c>
      <c r="MHA3">
        <f>Database!MHT5</f>
        <v>0</v>
      </c>
      <c r="MHB3">
        <f>Database!MHU5</f>
        <v>0</v>
      </c>
      <c r="MHC3">
        <f>Database!MHV5</f>
        <v>0</v>
      </c>
      <c r="MHD3">
        <f>Database!MHW5</f>
        <v>0</v>
      </c>
      <c r="MHE3">
        <f>Database!MHX5</f>
        <v>0</v>
      </c>
      <c r="MHF3">
        <f>Database!MHY5</f>
        <v>0</v>
      </c>
      <c r="MHG3">
        <f>Database!MHZ5</f>
        <v>0</v>
      </c>
      <c r="MHH3">
        <f>Database!MIA5</f>
        <v>0</v>
      </c>
      <c r="MHI3">
        <f>Database!MIB5</f>
        <v>0</v>
      </c>
      <c r="MHJ3">
        <f>Database!MIC5</f>
        <v>0</v>
      </c>
      <c r="MHK3">
        <f>Database!MID5</f>
        <v>0</v>
      </c>
      <c r="MHL3">
        <f>Database!MIE5</f>
        <v>0</v>
      </c>
      <c r="MHM3">
        <f>Database!MIF5</f>
        <v>0</v>
      </c>
      <c r="MHN3">
        <f>Database!MIG5</f>
        <v>0</v>
      </c>
      <c r="MHO3">
        <f>Database!MIH5</f>
        <v>0</v>
      </c>
      <c r="MHP3">
        <f>Database!MII5</f>
        <v>0</v>
      </c>
      <c r="MHQ3">
        <f>Database!MIJ5</f>
        <v>0</v>
      </c>
      <c r="MHR3">
        <f>Database!MIK5</f>
        <v>0</v>
      </c>
      <c r="MHS3">
        <f>Database!MIL5</f>
        <v>0</v>
      </c>
      <c r="MHT3">
        <f>Database!MIM5</f>
        <v>0</v>
      </c>
      <c r="MHU3">
        <f>Database!MIN5</f>
        <v>0</v>
      </c>
      <c r="MHV3">
        <f>Database!MIO5</f>
        <v>0</v>
      </c>
      <c r="MHW3">
        <f>Database!MIP5</f>
        <v>0</v>
      </c>
      <c r="MHX3">
        <f>Database!MIQ5</f>
        <v>0</v>
      </c>
      <c r="MHY3">
        <f>Database!MIR5</f>
        <v>0</v>
      </c>
      <c r="MHZ3">
        <f>Database!MIS5</f>
        <v>0</v>
      </c>
      <c r="MIA3">
        <f>Database!MIT5</f>
        <v>0</v>
      </c>
      <c r="MIB3">
        <f>Database!MIU5</f>
        <v>0</v>
      </c>
      <c r="MIC3">
        <f>Database!MIV5</f>
        <v>0</v>
      </c>
      <c r="MID3">
        <f>Database!MIW5</f>
        <v>0</v>
      </c>
      <c r="MIE3">
        <f>Database!MIX5</f>
        <v>0</v>
      </c>
      <c r="MIF3">
        <f>Database!MIY5</f>
        <v>0</v>
      </c>
      <c r="MIG3">
        <f>Database!MIZ5</f>
        <v>0</v>
      </c>
      <c r="MIH3">
        <f>Database!MJA5</f>
        <v>0</v>
      </c>
      <c r="MII3">
        <f>Database!MJB5</f>
        <v>0</v>
      </c>
      <c r="MIJ3">
        <f>Database!MJC5</f>
        <v>0</v>
      </c>
      <c r="MIK3">
        <f>Database!MJD5</f>
        <v>0</v>
      </c>
      <c r="MIL3">
        <f>Database!MJE5</f>
        <v>0</v>
      </c>
      <c r="MIM3">
        <f>Database!MJF5</f>
        <v>0</v>
      </c>
      <c r="MIN3">
        <f>Database!MJG5</f>
        <v>0</v>
      </c>
      <c r="MIO3">
        <f>Database!MJH5</f>
        <v>0</v>
      </c>
      <c r="MIP3">
        <f>Database!MJI5</f>
        <v>0</v>
      </c>
      <c r="MIQ3">
        <f>Database!MJJ5</f>
        <v>0</v>
      </c>
      <c r="MIR3">
        <f>Database!MJK5</f>
        <v>0</v>
      </c>
      <c r="MIS3">
        <f>Database!MJL5</f>
        <v>0</v>
      </c>
      <c r="MIT3">
        <f>Database!MJM5</f>
        <v>0</v>
      </c>
      <c r="MIU3">
        <f>Database!MJN5</f>
        <v>0</v>
      </c>
      <c r="MIV3">
        <f>Database!MJO5</f>
        <v>0</v>
      </c>
      <c r="MIW3">
        <f>Database!MJP5</f>
        <v>0</v>
      </c>
      <c r="MIX3">
        <f>Database!MJQ5</f>
        <v>0</v>
      </c>
      <c r="MIY3">
        <f>Database!MJR5</f>
        <v>0</v>
      </c>
      <c r="MIZ3">
        <f>Database!MJS5</f>
        <v>0</v>
      </c>
      <c r="MJA3">
        <f>Database!MJT5</f>
        <v>0</v>
      </c>
      <c r="MJB3">
        <f>Database!MJU5</f>
        <v>0</v>
      </c>
      <c r="MJC3">
        <f>Database!MJV5</f>
        <v>0</v>
      </c>
      <c r="MJD3">
        <f>Database!MJW5</f>
        <v>0</v>
      </c>
      <c r="MJE3">
        <f>Database!MJX5</f>
        <v>0</v>
      </c>
      <c r="MJF3">
        <f>Database!MJY5</f>
        <v>0</v>
      </c>
      <c r="MJG3">
        <f>Database!MJZ5</f>
        <v>0</v>
      </c>
      <c r="MJH3">
        <f>Database!MKA5</f>
        <v>0</v>
      </c>
      <c r="MJI3">
        <f>Database!MKB5</f>
        <v>0</v>
      </c>
      <c r="MJJ3">
        <f>Database!MKC5</f>
        <v>0</v>
      </c>
      <c r="MJK3">
        <f>Database!MKD5</f>
        <v>0</v>
      </c>
      <c r="MJL3">
        <f>Database!MKE5</f>
        <v>0</v>
      </c>
      <c r="MJM3">
        <f>Database!MKF5</f>
        <v>0</v>
      </c>
      <c r="MJN3">
        <f>Database!MKG5</f>
        <v>0</v>
      </c>
      <c r="MJO3">
        <f>Database!MKH5</f>
        <v>0</v>
      </c>
      <c r="MJP3">
        <f>Database!MKI5</f>
        <v>0</v>
      </c>
      <c r="MJQ3">
        <f>Database!MKJ5</f>
        <v>0</v>
      </c>
      <c r="MJR3">
        <f>Database!MKK5</f>
        <v>0</v>
      </c>
      <c r="MJS3">
        <f>Database!MKL5</f>
        <v>0</v>
      </c>
      <c r="MJT3">
        <f>Database!MKM5</f>
        <v>0</v>
      </c>
      <c r="MJU3">
        <f>Database!MKN5</f>
        <v>0</v>
      </c>
      <c r="MJV3">
        <f>Database!MKO5</f>
        <v>0</v>
      </c>
      <c r="MJW3">
        <f>Database!MKP5</f>
        <v>0</v>
      </c>
      <c r="MJX3">
        <f>Database!MKQ5</f>
        <v>0</v>
      </c>
      <c r="MJY3">
        <f>Database!MKR5</f>
        <v>0</v>
      </c>
      <c r="MJZ3">
        <f>Database!MKS5</f>
        <v>0</v>
      </c>
      <c r="MKA3">
        <f>Database!MKT5</f>
        <v>0</v>
      </c>
      <c r="MKB3">
        <f>Database!MKU5</f>
        <v>0</v>
      </c>
      <c r="MKC3">
        <f>Database!MKV5</f>
        <v>0</v>
      </c>
      <c r="MKD3">
        <f>Database!MKW5</f>
        <v>0</v>
      </c>
      <c r="MKE3">
        <f>Database!MKX5</f>
        <v>0</v>
      </c>
      <c r="MKF3">
        <f>Database!MKY5</f>
        <v>0</v>
      </c>
      <c r="MKG3">
        <f>Database!MKZ5</f>
        <v>0</v>
      </c>
      <c r="MKH3">
        <f>Database!MLA5</f>
        <v>0</v>
      </c>
      <c r="MKI3">
        <f>Database!MLB5</f>
        <v>0</v>
      </c>
      <c r="MKJ3">
        <f>Database!MLC5</f>
        <v>0</v>
      </c>
      <c r="MKK3">
        <f>Database!MLD5</f>
        <v>0</v>
      </c>
      <c r="MKL3">
        <f>Database!MLE5</f>
        <v>0</v>
      </c>
      <c r="MKM3">
        <f>Database!MLF5</f>
        <v>0</v>
      </c>
      <c r="MKN3">
        <f>Database!MLG5</f>
        <v>0</v>
      </c>
      <c r="MKO3">
        <f>Database!MLH5</f>
        <v>0</v>
      </c>
      <c r="MKP3">
        <f>Database!MLI5</f>
        <v>0</v>
      </c>
      <c r="MKQ3">
        <f>Database!MLJ5</f>
        <v>0</v>
      </c>
      <c r="MKR3">
        <f>Database!MLK5</f>
        <v>0</v>
      </c>
      <c r="MKS3">
        <f>Database!MLL5</f>
        <v>0</v>
      </c>
      <c r="MKT3">
        <f>Database!MLM5</f>
        <v>0</v>
      </c>
      <c r="MKU3">
        <f>Database!MLN5</f>
        <v>0</v>
      </c>
      <c r="MKV3">
        <f>Database!MLO5</f>
        <v>0</v>
      </c>
      <c r="MKW3">
        <f>Database!MLP5</f>
        <v>0</v>
      </c>
      <c r="MKX3">
        <f>Database!MLQ5</f>
        <v>0</v>
      </c>
      <c r="MKY3">
        <f>Database!MLR5</f>
        <v>0</v>
      </c>
      <c r="MKZ3">
        <f>Database!MLS5</f>
        <v>0</v>
      </c>
      <c r="MLA3">
        <f>Database!MLT5</f>
        <v>0</v>
      </c>
      <c r="MLB3">
        <f>Database!MLU5</f>
        <v>0</v>
      </c>
      <c r="MLC3">
        <f>Database!MLV5</f>
        <v>0</v>
      </c>
      <c r="MLD3">
        <f>Database!MLW5</f>
        <v>0</v>
      </c>
      <c r="MLE3">
        <f>Database!MLX5</f>
        <v>0</v>
      </c>
      <c r="MLF3">
        <f>Database!MLY5</f>
        <v>0</v>
      </c>
      <c r="MLG3">
        <f>Database!MLZ5</f>
        <v>0</v>
      </c>
      <c r="MLH3">
        <f>Database!MMA5</f>
        <v>0</v>
      </c>
      <c r="MLI3">
        <f>Database!MMB5</f>
        <v>0</v>
      </c>
      <c r="MLJ3">
        <f>Database!MMC5</f>
        <v>0</v>
      </c>
      <c r="MLK3">
        <f>Database!MMD5</f>
        <v>0</v>
      </c>
      <c r="MLL3">
        <f>Database!MME5</f>
        <v>0</v>
      </c>
      <c r="MLM3">
        <f>Database!MMF5</f>
        <v>0</v>
      </c>
      <c r="MLN3">
        <f>Database!MMG5</f>
        <v>0</v>
      </c>
      <c r="MLO3">
        <f>Database!MMH5</f>
        <v>0</v>
      </c>
      <c r="MLP3">
        <f>Database!MMI5</f>
        <v>0</v>
      </c>
      <c r="MLQ3">
        <f>Database!MMJ5</f>
        <v>0</v>
      </c>
      <c r="MLR3">
        <f>Database!MMK5</f>
        <v>0</v>
      </c>
      <c r="MLS3">
        <f>Database!MML5</f>
        <v>0</v>
      </c>
      <c r="MLT3">
        <f>Database!MMM5</f>
        <v>0</v>
      </c>
      <c r="MLU3">
        <f>Database!MMN5</f>
        <v>0</v>
      </c>
      <c r="MLV3">
        <f>Database!MMO5</f>
        <v>0</v>
      </c>
      <c r="MLW3">
        <f>Database!MMP5</f>
        <v>0</v>
      </c>
      <c r="MLX3">
        <f>Database!MMQ5</f>
        <v>0</v>
      </c>
      <c r="MLY3">
        <f>Database!MMR5</f>
        <v>0</v>
      </c>
      <c r="MLZ3">
        <f>Database!MMS5</f>
        <v>0</v>
      </c>
      <c r="MMA3">
        <f>Database!MMT5</f>
        <v>0</v>
      </c>
      <c r="MMB3">
        <f>Database!MMU5</f>
        <v>0</v>
      </c>
      <c r="MMC3">
        <f>Database!MMV5</f>
        <v>0</v>
      </c>
      <c r="MMD3">
        <f>Database!MMW5</f>
        <v>0</v>
      </c>
      <c r="MME3">
        <f>Database!MMX5</f>
        <v>0</v>
      </c>
      <c r="MMF3">
        <f>Database!MMY5</f>
        <v>0</v>
      </c>
      <c r="MMG3">
        <f>Database!MMZ5</f>
        <v>0</v>
      </c>
      <c r="MMH3">
        <f>Database!MNA5</f>
        <v>0</v>
      </c>
      <c r="MMI3">
        <f>Database!MNB5</f>
        <v>0</v>
      </c>
      <c r="MMJ3">
        <f>Database!MNC5</f>
        <v>0</v>
      </c>
      <c r="MMK3">
        <f>Database!MND5</f>
        <v>0</v>
      </c>
      <c r="MML3">
        <f>Database!MNE5</f>
        <v>0</v>
      </c>
      <c r="MMM3">
        <f>Database!MNF5</f>
        <v>0</v>
      </c>
      <c r="MMN3">
        <f>Database!MNG5</f>
        <v>0</v>
      </c>
      <c r="MMO3">
        <f>Database!MNH5</f>
        <v>0</v>
      </c>
      <c r="MMP3">
        <f>Database!MNI5</f>
        <v>0</v>
      </c>
      <c r="MMQ3">
        <f>Database!MNJ5</f>
        <v>0</v>
      </c>
      <c r="MMR3">
        <f>Database!MNK5</f>
        <v>0</v>
      </c>
      <c r="MMS3">
        <f>Database!MNL5</f>
        <v>0</v>
      </c>
      <c r="MMT3">
        <f>Database!MNM5</f>
        <v>0</v>
      </c>
      <c r="MMU3">
        <f>Database!MNN5</f>
        <v>0</v>
      </c>
      <c r="MMV3">
        <f>Database!MNO5</f>
        <v>0</v>
      </c>
      <c r="MMW3">
        <f>Database!MNP5</f>
        <v>0</v>
      </c>
      <c r="MMX3">
        <f>Database!MNQ5</f>
        <v>0</v>
      </c>
      <c r="MMY3">
        <f>Database!MNR5</f>
        <v>0</v>
      </c>
      <c r="MMZ3">
        <f>Database!MNS5</f>
        <v>0</v>
      </c>
      <c r="MNA3">
        <f>Database!MNT5</f>
        <v>0</v>
      </c>
      <c r="MNB3">
        <f>Database!MNU5</f>
        <v>0</v>
      </c>
      <c r="MNC3">
        <f>Database!MNV5</f>
        <v>0</v>
      </c>
      <c r="MND3">
        <f>Database!MNW5</f>
        <v>0</v>
      </c>
      <c r="MNE3">
        <f>Database!MNX5</f>
        <v>0</v>
      </c>
      <c r="MNF3">
        <f>Database!MNY5</f>
        <v>0</v>
      </c>
      <c r="MNG3">
        <f>Database!MNZ5</f>
        <v>0</v>
      </c>
      <c r="MNH3">
        <f>Database!MOA5</f>
        <v>0</v>
      </c>
      <c r="MNI3">
        <f>Database!MOB5</f>
        <v>0</v>
      </c>
      <c r="MNJ3">
        <f>Database!MOC5</f>
        <v>0</v>
      </c>
      <c r="MNK3">
        <f>Database!MOD5</f>
        <v>0</v>
      </c>
      <c r="MNL3">
        <f>Database!MOE5</f>
        <v>0</v>
      </c>
      <c r="MNM3">
        <f>Database!MOF5</f>
        <v>0</v>
      </c>
      <c r="MNN3">
        <f>Database!MOG5</f>
        <v>0</v>
      </c>
      <c r="MNO3">
        <f>Database!MOH5</f>
        <v>0</v>
      </c>
      <c r="MNP3">
        <f>Database!MOI5</f>
        <v>0</v>
      </c>
      <c r="MNQ3">
        <f>Database!MOJ5</f>
        <v>0</v>
      </c>
      <c r="MNR3">
        <f>Database!MOK5</f>
        <v>0</v>
      </c>
      <c r="MNS3">
        <f>Database!MOL5</f>
        <v>0</v>
      </c>
      <c r="MNT3">
        <f>Database!MOM5</f>
        <v>0</v>
      </c>
      <c r="MNU3">
        <f>Database!MON5</f>
        <v>0</v>
      </c>
      <c r="MNV3">
        <f>Database!MOO5</f>
        <v>0</v>
      </c>
      <c r="MNW3">
        <f>Database!MOP5</f>
        <v>0</v>
      </c>
      <c r="MNX3">
        <f>Database!MOQ5</f>
        <v>0</v>
      </c>
      <c r="MNY3">
        <f>Database!MOR5</f>
        <v>0</v>
      </c>
      <c r="MNZ3">
        <f>Database!MOS5</f>
        <v>0</v>
      </c>
      <c r="MOA3">
        <f>Database!MOT5</f>
        <v>0</v>
      </c>
      <c r="MOB3">
        <f>Database!MOU5</f>
        <v>0</v>
      </c>
      <c r="MOC3">
        <f>Database!MOV5</f>
        <v>0</v>
      </c>
      <c r="MOD3">
        <f>Database!MOW5</f>
        <v>0</v>
      </c>
      <c r="MOE3">
        <f>Database!MOX5</f>
        <v>0</v>
      </c>
      <c r="MOF3">
        <f>Database!MOY5</f>
        <v>0</v>
      </c>
      <c r="MOG3">
        <f>Database!MOZ5</f>
        <v>0</v>
      </c>
      <c r="MOH3">
        <f>Database!MPA5</f>
        <v>0</v>
      </c>
      <c r="MOI3">
        <f>Database!MPB5</f>
        <v>0</v>
      </c>
      <c r="MOJ3">
        <f>Database!MPC5</f>
        <v>0</v>
      </c>
      <c r="MOK3">
        <f>Database!MPD5</f>
        <v>0</v>
      </c>
      <c r="MOL3">
        <f>Database!MPE5</f>
        <v>0</v>
      </c>
      <c r="MOM3">
        <f>Database!MPF5</f>
        <v>0</v>
      </c>
      <c r="MON3">
        <f>Database!MPG5</f>
        <v>0</v>
      </c>
      <c r="MOO3">
        <f>Database!MPH5</f>
        <v>0</v>
      </c>
      <c r="MOP3">
        <f>Database!MPI5</f>
        <v>0</v>
      </c>
      <c r="MOQ3">
        <f>Database!MPJ5</f>
        <v>0</v>
      </c>
      <c r="MOR3">
        <f>Database!MPK5</f>
        <v>0</v>
      </c>
      <c r="MOS3">
        <f>Database!MPL5</f>
        <v>0</v>
      </c>
      <c r="MOT3">
        <f>Database!MPM5</f>
        <v>0</v>
      </c>
      <c r="MOU3">
        <f>Database!MPN5</f>
        <v>0</v>
      </c>
      <c r="MOV3">
        <f>Database!MPO5</f>
        <v>0</v>
      </c>
      <c r="MOW3">
        <f>Database!MPP5</f>
        <v>0</v>
      </c>
      <c r="MOX3">
        <f>Database!MPQ5</f>
        <v>0</v>
      </c>
      <c r="MOY3">
        <f>Database!MPR5</f>
        <v>0</v>
      </c>
      <c r="MOZ3">
        <f>Database!MPS5</f>
        <v>0</v>
      </c>
      <c r="MPA3">
        <f>Database!MPT5</f>
        <v>0</v>
      </c>
      <c r="MPB3">
        <f>Database!MPU5</f>
        <v>0</v>
      </c>
      <c r="MPC3">
        <f>Database!MPV5</f>
        <v>0</v>
      </c>
      <c r="MPD3">
        <f>Database!MPW5</f>
        <v>0</v>
      </c>
      <c r="MPE3">
        <f>Database!MPX5</f>
        <v>0</v>
      </c>
      <c r="MPF3">
        <f>Database!MPY5</f>
        <v>0</v>
      </c>
      <c r="MPG3">
        <f>Database!MPZ5</f>
        <v>0</v>
      </c>
      <c r="MPH3">
        <f>Database!MQA5</f>
        <v>0</v>
      </c>
      <c r="MPI3">
        <f>Database!MQB5</f>
        <v>0</v>
      </c>
      <c r="MPJ3">
        <f>Database!MQC5</f>
        <v>0</v>
      </c>
      <c r="MPK3">
        <f>Database!MQD5</f>
        <v>0</v>
      </c>
      <c r="MPL3">
        <f>Database!MQE5</f>
        <v>0</v>
      </c>
      <c r="MPM3">
        <f>Database!MQF5</f>
        <v>0</v>
      </c>
      <c r="MPN3">
        <f>Database!MQG5</f>
        <v>0</v>
      </c>
      <c r="MPO3">
        <f>Database!MQH5</f>
        <v>0</v>
      </c>
      <c r="MPP3">
        <f>Database!MQI5</f>
        <v>0</v>
      </c>
      <c r="MPQ3">
        <f>Database!MQJ5</f>
        <v>0</v>
      </c>
      <c r="MPR3">
        <f>Database!MQK5</f>
        <v>0</v>
      </c>
      <c r="MPS3">
        <f>Database!MQL5</f>
        <v>0</v>
      </c>
      <c r="MPT3">
        <f>Database!MQM5</f>
        <v>0</v>
      </c>
      <c r="MPU3">
        <f>Database!MQN5</f>
        <v>0</v>
      </c>
      <c r="MPV3">
        <f>Database!MQO5</f>
        <v>0</v>
      </c>
      <c r="MPW3">
        <f>Database!MQP5</f>
        <v>0</v>
      </c>
      <c r="MPX3">
        <f>Database!MQQ5</f>
        <v>0</v>
      </c>
      <c r="MPY3">
        <f>Database!MQR5</f>
        <v>0</v>
      </c>
      <c r="MPZ3">
        <f>Database!MQS5</f>
        <v>0</v>
      </c>
      <c r="MQA3">
        <f>Database!MQT5</f>
        <v>0</v>
      </c>
      <c r="MQB3">
        <f>Database!MQU5</f>
        <v>0</v>
      </c>
      <c r="MQC3">
        <f>Database!MQV5</f>
        <v>0</v>
      </c>
      <c r="MQD3">
        <f>Database!MQW5</f>
        <v>0</v>
      </c>
      <c r="MQE3">
        <f>Database!MQX5</f>
        <v>0</v>
      </c>
      <c r="MQF3">
        <f>Database!MQY5</f>
        <v>0</v>
      </c>
      <c r="MQG3">
        <f>Database!MQZ5</f>
        <v>0</v>
      </c>
      <c r="MQH3">
        <f>Database!MRA5</f>
        <v>0</v>
      </c>
      <c r="MQI3">
        <f>Database!MRB5</f>
        <v>0</v>
      </c>
      <c r="MQJ3">
        <f>Database!MRC5</f>
        <v>0</v>
      </c>
      <c r="MQK3">
        <f>Database!MRD5</f>
        <v>0</v>
      </c>
      <c r="MQL3">
        <f>Database!MRE5</f>
        <v>0</v>
      </c>
      <c r="MQM3">
        <f>Database!MRF5</f>
        <v>0</v>
      </c>
      <c r="MQN3">
        <f>Database!MRG5</f>
        <v>0</v>
      </c>
      <c r="MQO3">
        <f>Database!MRH5</f>
        <v>0</v>
      </c>
      <c r="MQP3">
        <f>Database!MRI5</f>
        <v>0</v>
      </c>
      <c r="MQQ3">
        <f>Database!MRJ5</f>
        <v>0</v>
      </c>
      <c r="MQR3">
        <f>Database!MRK5</f>
        <v>0</v>
      </c>
      <c r="MQS3">
        <f>Database!MRL5</f>
        <v>0</v>
      </c>
      <c r="MQT3">
        <f>Database!MRM5</f>
        <v>0</v>
      </c>
      <c r="MQU3">
        <f>Database!MRN5</f>
        <v>0</v>
      </c>
      <c r="MQV3">
        <f>Database!MRO5</f>
        <v>0</v>
      </c>
      <c r="MQW3">
        <f>Database!MRP5</f>
        <v>0</v>
      </c>
      <c r="MQX3">
        <f>Database!MRQ5</f>
        <v>0</v>
      </c>
      <c r="MQY3">
        <f>Database!MRR5</f>
        <v>0</v>
      </c>
      <c r="MQZ3">
        <f>Database!MRS5</f>
        <v>0</v>
      </c>
      <c r="MRA3">
        <f>Database!MRT5</f>
        <v>0</v>
      </c>
      <c r="MRB3">
        <f>Database!MRU5</f>
        <v>0</v>
      </c>
      <c r="MRC3">
        <f>Database!MRV5</f>
        <v>0</v>
      </c>
      <c r="MRD3">
        <f>Database!MRW5</f>
        <v>0</v>
      </c>
      <c r="MRE3">
        <f>Database!MRX5</f>
        <v>0</v>
      </c>
      <c r="MRF3">
        <f>Database!MRY5</f>
        <v>0</v>
      </c>
      <c r="MRG3">
        <f>Database!MRZ5</f>
        <v>0</v>
      </c>
      <c r="MRH3">
        <f>Database!MSA5</f>
        <v>0</v>
      </c>
      <c r="MRI3">
        <f>Database!MSB5</f>
        <v>0</v>
      </c>
      <c r="MRJ3">
        <f>Database!MSC5</f>
        <v>0</v>
      </c>
      <c r="MRK3">
        <f>Database!MSD5</f>
        <v>0</v>
      </c>
      <c r="MRL3">
        <f>Database!MSE5</f>
        <v>0</v>
      </c>
      <c r="MRM3">
        <f>Database!MSF5</f>
        <v>0</v>
      </c>
      <c r="MRN3">
        <f>Database!MSG5</f>
        <v>0</v>
      </c>
      <c r="MRO3">
        <f>Database!MSH5</f>
        <v>0</v>
      </c>
      <c r="MRP3">
        <f>Database!MSI5</f>
        <v>0</v>
      </c>
      <c r="MRQ3">
        <f>Database!MSJ5</f>
        <v>0</v>
      </c>
      <c r="MRR3">
        <f>Database!MSK5</f>
        <v>0</v>
      </c>
      <c r="MRS3">
        <f>Database!MSL5</f>
        <v>0</v>
      </c>
      <c r="MRT3">
        <f>Database!MSM5</f>
        <v>0</v>
      </c>
      <c r="MRU3">
        <f>Database!MSN5</f>
        <v>0</v>
      </c>
      <c r="MRV3">
        <f>Database!MSO5</f>
        <v>0</v>
      </c>
      <c r="MRW3">
        <f>Database!MSP5</f>
        <v>0</v>
      </c>
      <c r="MRX3">
        <f>Database!MSQ5</f>
        <v>0</v>
      </c>
      <c r="MRY3">
        <f>Database!MSR5</f>
        <v>0</v>
      </c>
      <c r="MRZ3">
        <f>Database!MSS5</f>
        <v>0</v>
      </c>
      <c r="MSA3">
        <f>Database!MST5</f>
        <v>0</v>
      </c>
      <c r="MSB3">
        <f>Database!MSU5</f>
        <v>0</v>
      </c>
      <c r="MSC3">
        <f>Database!MSV5</f>
        <v>0</v>
      </c>
      <c r="MSD3">
        <f>Database!MSW5</f>
        <v>0</v>
      </c>
      <c r="MSE3">
        <f>Database!MSX5</f>
        <v>0</v>
      </c>
      <c r="MSF3">
        <f>Database!MSY5</f>
        <v>0</v>
      </c>
      <c r="MSG3">
        <f>Database!MSZ5</f>
        <v>0</v>
      </c>
      <c r="MSH3">
        <f>Database!MTA5</f>
        <v>0</v>
      </c>
      <c r="MSI3">
        <f>Database!MTB5</f>
        <v>0</v>
      </c>
      <c r="MSJ3">
        <f>Database!MTC5</f>
        <v>0</v>
      </c>
      <c r="MSK3">
        <f>Database!MTD5</f>
        <v>0</v>
      </c>
      <c r="MSL3">
        <f>Database!MTE5</f>
        <v>0</v>
      </c>
      <c r="MSM3">
        <f>Database!MTF5</f>
        <v>0</v>
      </c>
      <c r="MSN3">
        <f>Database!MTG5</f>
        <v>0</v>
      </c>
      <c r="MSO3">
        <f>Database!MTH5</f>
        <v>0</v>
      </c>
      <c r="MSP3">
        <f>Database!MTI5</f>
        <v>0</v>
      </c>
      <c r="MSQ3">
        <f>Database!MTJ5</f>
        <v>0</v>
      </c>
      <c r="MSR3">
        <f>Database!MTK5</f>
        <v>0</v>
      </c>
      <c r="MSS3">
        <f>Database!MTL5</f>
        <v>0</v>
      </c>
      <c r="MST3">
        <f>Database!MTM5</f>
        <v>0</v>
      </c>
      <c r="MSU3">
        <f>Database!MTN5</f>
        <v>0</v>
      </c>
      <c r="MSV3">
        <f>Database!MTO5</f>
        <v>0</v>
      </c>
      <c r="MSW3">
        <f>Database!MTP5</f>
        <v>0</v>
      </c>
      <c r="MSX3">
        <f>Database!MTQ5</f>
        <v>0</v>
      </c>
      <c r="MSY3">
        <f>Database!MTR5</f>
        <v>0</v>
      </c>
      <c r="MSZ3">
        <f>Database!MTS5</f>
        <v>0</v>
      </c>
      <c r="MTA3">
        <f>Database!MTT5</f>
        <v>0</v>
      </c>
      <c r="MTB3">
        <f>Database!MTU5</f>
        <v>0</v>
      </c>
      <c r="MTC3">
        <f>Database!MTV5</f>
        <v>0</v>
      </c>
      <c r="MTD3">
        <f>Database!MTW5</f>
        <v>0</v>
      </c>
      <c r="MTE3">
        <f>Database!MTX5</f>
        <v>0</v>
      </c>
      <c r="MTF3">
        <f>Database!MTY5</f>
        <v>0</v>
      </c>
      <c r="MTG3">
        <f>Database!MTZ5</f>
        <v>0</v>
      </c>
      <c r="MTH3">
        <f>Database!MUA5</f>
        <v>0</v>
      </c>
      <c r="MTI3">
        <f>Database!MUB5</f>
        <v>0</v>
      </c>
      <c r="MTJ3">
        <f>Database!MUC5</f>
        <v>0</v>
      </c>
      <c r="MTK3">
        <f>Database!MUD5</f>
        <v>0</v>
      </c>
      <c r="MTL3">
        <f>Database!MUE5</f>
        <v>0</v>
      </c>
      <c r="MTM3">
        <f>Database!MUF5</f>
        <v>0</v>
      </c>
      <c r="MTN3">
        <f>Database!MUG5</f>
        <v>0</v>
      </c>
      <c r="MTO3">
        <f>Database!MUH5</f>
        <v>0</v>
      </c>
      <c r="MTP3">
        <f>Database!MUI5</f>
        <v>0</v>
      </c>
      <c r="MTQ3">
        <f>Database!MUJ5</f>
        <v>0</v>
      </c>
      <c r="MTR3">
        <f>Database!MUK5</f>
        <v>0</v>
      </c>
      <c r="MTS3">
        <f>Database!MUL5</f>
        <v>0</v>
      </c>
      <c r="MTT3">
        <f>Database!MUM5</f>
        <v>0</v>
      </c>
      <c r="MTU3">
        <f>Database!MUN5</f>
        <v>0</v>
      </c>
      <c r="MTV3">
        <f>Database!MUO5</f>
        <v>0</v>
      </c>
      <c r="MTW3">
        <f>Database!MUP5</f>
        <v>0</v>
      </c>
      <c r="MTX3">
        <f>Database!MUQ5</f>
        <v>0</v>
      </c>
      <c r="MTY3">
        <f>Database!MUR5</f>
        <v>0</v>
      </c>
      <c r="MTZ3">
        <f>Database!MUS5</f>
        <v>0</v>
      </c>
      <c r="MUA3">
        <f>Database!MUT5</f>
        <v>0</v>
      </c>
      <c r="MUB3">
        <f>Database!MUU5</f>
        <v>0</v>
      </c>
      <c r="MUC3">
        <f>Database!MUV5</f>
        <v>0</v>
      </c>
      <c r="MUD3">
        <f>Database!MUW5</f>
        <v>0</v>
      </c>
      <c r="MUE3">
        <f>Database!MUX5</f>
        <v>0</v>
      </c>
      <c r="MUF3">
        <f>Database!MUY5</f>
        <v>0</v>
      </c>
      <c r="MUG3">
        <f>Database!MUZ5</f>
        <v>0</v>
      </c>
      <c r="MUH3">
        <f>Database!MVA5</f>
        <v>0</v>
      </c>
      <c r="MUI3">
        <f>Database!MVB5</f>
        <v>0</v>
      </c>
      <c r="MUJ3">
        <f>Database!MVC5</f>
        <v>0</v>
      </c>
      <c r="MUK3">
        <f>Database!MVD5</f>
        <v>0</v>
      </c>
      <c r="MUL3">
        <f>Database!MVE5</f>
        <v>0</v>
      </c>
      <c r="MUM3">
        <f>Database!MVF5</f>
        <v>0</v>
      </c>
      <c r="MUN3">
        <f>Database!MVG5</f>
        <v>0</v>
      </c>
      <c r="MUO3">
        <f>Database!MVH5</f>
        <v>0</v>
      </c>
      <c r="MUP3">
        <f>Database!MVI5</f>
        <v>0</v>
      </c>
      <c r="MUQ3">
        <f>Database!MVJ5</f>
        <v>0</v>
      </c>
      <c r="MUR3">
        <f>Database!MVK5</f>
        <v>0</v>
      </c>
      <c r="MUS3">
        <f>Database!MVL5</f>
        <v>0</v>
      </c>
      <c r="MUT3">
        <f>Database!MVM5</f>
        <v>0</v>
      </c>
      <c r="MUU3">
        <f>Database!MVN5</f>
        <v>0</v>
      </c>
      <c r="MUV3">
        <f>Database!MVO5</f>
        <v>0</v>
      </c>
      <c r="MUW3">
        <f>Database!MVP5</f>
        <v>0</v>
      </c>
      <c r="MUX3">
        <f>Database!MVQ5</f>
        <v>0</v>
      </c>
      <c r="MUY3">
        <f>Database!MVR5</f>
        <v>0</v>
      </c>
      <c r="MUZ3">
        <f>Database!MVS5</f>
        <v>0</v>
      </c>
      <c r="MVA3">
        <f>Database!MVT5</f>
        <v>0</v>
      </c>
      <c r="MVB3">
        <f>Database!MVU5</f>
        <v>0</v>
      </c>
      <c r="MVC3">
        <f>Database!MVV5</f>
        <v>0</v>
      </c>
      <c r="MVD3">
        <f>Database!MVW5</f>
        <v>0</v>
      </c>
      <c r="MVE3">
        <f>Database!MVX5</f>
        <v>0</v>
      </c>
      <c r="MVF3">
        <f>Database!MVY5</f>
        <v>0</v>
      </c>
      <c r="MVG3">
        <f>Database!MVZ5</f>
        <v>0</v>
      </c>
      <c r="MVH3">
        <f>Database!MWA5</f>
        <v>0</v>
      </c>
      <c r="MVI3">
        <f>Database!MWB5</f>
        <v>0</v>
      </c>
      <c r="MVJ3">
        <f>Database!MWC5</f>
        <v>0</v>
      </c>
      <c r="MVK3">
        <f>Database!MWD5</f>
        <v>0</v>
      </c>
      <c r="MVL3">
        <f>Database!MWE5</f>
        <v>0</v>
      </c>
      <c r="MVM3">
        <f>Database!MWF5</f>
        <v>0</v>
      </c>
      <c r="MVN3">
        <f>Database!MWG5</f>
        <v>0</v>
      </c>
      <c r="MVO3">
        <f>Database!MWH5</f>
        <v>0</v>
      </c>
      <c r="MVP3">
        <f>Database!MWI5</f>
        <v>0</v>
      </c>
      <c r="MVQ3">
        <f>Database!MWJ5</f>
        <v>0</v>
      </c>
      <c r="MVR3">
        <f>Database!MWK5</f>
        <v>0</v>
      </c>
      <c r="MVS3">
        <f>Database!MWL5</f>
        <v>0</v>
      </c>
      <c r="MVT3">
        <f>Database!MWM5</f>
        <v>0</v>
      </c>
      <c r="MVU3">
        <f>Database!MWN5</f>
        <v>0</v>
      </c>
      <c r="MVV3">
        <f>Database!MWO5</f>
        <v>0</v>
      </c>
      <c r="MVW3">
        <f>Database!MWP5</f>
        <v>0</v>
      </c>
      <c r="MVX3">
        <f>Database!MWQ5</f>
        <v>0</v>
      </c>
      <c r="MVY3">
        <f>Database!MWR5</f>
        <v>0</v>
      </c>
      <c r="MVZ3">
        <f>Database!MWS5</f>
        <v>0</v>
      </c>
      <c r="MWA3">
        <f>Database!MWT5</f>
        <v>0</v>
      </c>
      <c r="MWB3">
        <f>Database!MWU5</f>
        <v>0</v>
      </c>
      <c r="MWC3">
        <f>Database!MWV5</f>
        <v>0</v>
      </c>
      <c r="MWD3">
        <f>Database!MWW5</f>
        <v>0</v>
      </c>
      <c r="MWE3">
        <f>Database!MWX5</f>
        <v>0</v>
      </c>
      <c r="MWF3">
        <f>Database!MWY5</f>
        <v>0</v>
      </c>
      <c r="MWG3">
        <f>Database!MWZ5</f>
        <v>0</v>
      </c>
      <c r="MWH3">
        <f>Database!MXA5</f>
        <v>0</v>
      </c>
      <c r="MWI3">
        <f>Database!MXB5</f>
        <v>0</v>
      </c>
      <c r="MWJ3">
        <f>Database!MXC5</f>
        <v>0</v>
      </c>
      <c r="MWK3">
        <f>Database!MXD5</f>
        <v>0</v>
      </c>
      <c r="MWL3">
        <f>Database!MXE5</f>
        <v>0</v>
      </c>
      <c r="MWM3">
        <f>Database!MXF5</f>
        <v>0</v>
      </c>
      <c r="MWN3">
        <f>Database!MXG5</f>
        <v>0</v>
      </c>
      <c r="MWO3">
        <f>Database!MXH5</f>
        <v>0</v>
      </c>
      <c r="MWP3">
        <f>Database!MXI5</f>
        <v>0</v>
      </c>
      <c r="MWQ3">
        <f>Database!MXJ5</f>
        <v>0</v>
      </c>
      <c r="MWR3">
        <f>Database!MXK5</f>
        <v>0</v>
      </c>
      <c r="MWS3">
        <f>Database!MXL5</f>
        <v>0</v>
      </c>
      <c r="MWT3">
        <f>Database!MXM5</f>
        <v>0</v>
      </c>
      <c r="MWU3">
        <f>Database!MXN5</f>
        <v>0</v>
      </c>
      <c r="MWV3">
        <f>Database!MXO5</f>
        <v>0</v>
      </c>
      <c r="MWW3">
        <f>Database!MXP5</f>
        <v>0</v>
      </c>
      <c r="MWX3">
        <f>Database!MXQ5</f>
        <v>0</v>
      </c>
      <c r="MWY3">
        <f>Database!MXR5</f>
        <v>0</v>
      </c>
      <c r="MWZ3">
        <f>Database!MXS5</f>
        <v>0</v>
      </c>
      <c r="MXA3">
        <f>Database!MXT5</f>
        <v>0</v>
      </c>
      <c r="MXB3">
        <f>Database!MXU5</f>
        <v>0</v>
      </c>
      <c r="MXC3">
        <f>Database!MXV5</f>
        <v>0</v>
      </c>
      <c r="MXD3">
        <f>Database!MXW5</f>
        <v>0</v>
      </c>
      <c r="MXE3">
        <f>Database!MXX5</f>
        <v>0</v>
      </c>
      <c r="MXF3">
        <f>Database!MXY5</f>
        <v>0</v>
      </c>
      <c r="MXG3">
        <f>Database!MXZ5</f>
        <v>0</v>
      </c>
      <c r="MXH3">
        <f>Database!MYA5</f>
        <v>0</v>
      </c>
      <c r="MXI3">
        <f>Database!MYB5</f>
        <v>0</v>
      </c>
      <c r="MXJ3">
        <f>Database!MYC5</f>
        <v>0</v>
      </c>
      <c r="MXK3">
        <f>Database!MYD5</f>
        <v>0</v>
      </c>
      <c r="MXL3">
        <f>Database!MYE5</f>
        <v>0</v>
      </c>
      <c r="MXM3">
        <f>Database!MYF5</f>
        <v>0</v>
      </c>
      <c r="MXN3">
        <f>Database!MYG5</f>
        <v>0</v>
      </c>
      <c r="MXO3">
        <f>Database!MYH5</f>
        <v>0</v>
      </c>
      <c r="MXP3">
        <f>Database!MYI5</f>
        <v>0</v>
      </c>
      <c r="MXQ3">
        <f>Database!MYJ5</f>
        <v>0</v>
      </c>
      <c r="MXR3">
        <f>Database!MYK5</f>
        <v>0</v>
      </c>
      <c r="MXS3">
        <f>Database!MYL5</f>
        <v>0</v>
      </c>
      <c r="MXT3">
        <f>Database!MYM5</f>
        <v>0</v>
      </c>
      <c r="MXU3">
        <f>Database!MYN5</f>
        <v>0</v>
      </c>
      <c r="MXV3">
        <f>Database!MYO5</f>
        <v>0</v>
      </c>
      <c r="MXW3">
        <f>Database!MYP5</f>
        <v>0</v>
      </c>
      <c r="MXX3">
        <f>Database!MYQ5</f>
        <v>0</v>
      </c>
      <c r="MXY3">
        <f>Database!MYR5</f>
        <v>0</v>
      </c>
      <c r="MXZ3">
        <f>Database!MYS5</f>
        <v>0</v>
      </c>
      <c r="MYA3">
        <f>Database!MYT5</f>
        <v>0</v>
      </c>
      <c r="MYB3">
        <f>Database!MYU5</f>
        <v>0</v>
      </c>
      <c r="MYC3">
        <f>Database!MYV5</f>
        <v>0</v>
      </c>
      <c r="MYD3">
        <f>Database!MYW5</f>
        <v>0</v>
      </c>
      <c r="MYE3">
        <f>Database!MYX5</f>
        <v>0</v>
      </c>
      <c r="MYF3">
        <f>Database!MYY5</f>
        <v>0</v>
      </c>
      <c r="MYG3">
        <f>Database!MYZ5</f>
        <v>0</v>
      </c>
      <c r="MYH3">
        <f>Database!MZA5</f>
        <v>0</v>
      </c>
      <c r="MYI3">
        <f>Database!MZB5</f>
        <v>0</v>
      </c>
      <c r="MYJ3">
        <f>Database!MZC5</f>
        <v>0</v>
      </c>
      <c r="MYK3">
        <f>Database!MZD5</f>
        <v>0</v>
      </c>
      <c r="MYL3">
        <f>Database!MZE5</f>
        <v>0</v>
      </c>
      <c r="MYM3">
        <f>Database!MZF5</f>
        <v>0</v>
      </c>
      <c r="MYN3">
        <f>Database!MZG5</f>
        <v>0</v>
      </c>
      <c r="MYO3">
        <f>Database!MZH5</f>
        <v>0</v>
      </c>
      <c r="MYP3">
        <f>Database!MZI5</f>
        <v>0</v>
      </c>
      <c r="MYQ3">
        <f>Database!MZJ5</f>
        <v>0</v>
      </c>
      <c r="MYR3">
        <f>Database!MZK5</f>
        <v>0</v>
      </c>
      <c r="MYS3">
        <f>Database!MZL5</f>
        <v>0</v>
      </c>
      <c r="MYT3">
        <f>Database!MZM5</f>
        <v>0</v>
      </c>
      <c r="MYU3">
        <f>Database!MZN5</f>
        <v>0</v>
      </c>
      <c r="MYV3">
        <f>Database!MZO5</f>
        <v>0</v>
      </c>
      <c r="MYW3">
        <f>Database!MZP5</f>
        <v>0</v>
      </c>
      <c r="MYX3">
        <f>Database!MZQ5</f>
        <v>0</v>
      </c>
      <c r="MYY3">
        <f>Database!MZR5</f>
        <v>0</v>
      </c>
      <c r="MYZ3">
        <f>Database!MZS5</f>
        <v>0</v>
      </c>
      <c r="MZA3">
        <f>Database!MZT5</f>
        <v>0</v>
      </c>
      <c r="MZB3">
        <f>Database!MZU5</f>
        <v>0</v>
      </c>
      <c r="MZC3">
        <f>Database!MZV5</f>
        <v>0</v>
      </c>
      <c r="MZD3">
        <f>Database!MZW5</f>
        <v>0</v>
      </c>
      <c r="MZE3">
        <f>Database!MZX5</f>
        <v>0</v>
      </c>
      <c r="MZF3">
        <f>Database!MZY5</f>
        <v>0</v>
      </c>
      <c r="MZG3">
        <f>Database!MZZ5</f>
        <v>0</v>
      </c>
      <c r="MZH3">
        <f>Database!NAA5</f>
        <v>0</v>
      </c>
      <c r="MZI3">
        <f>Database!NAB5</f>
        <v>0</v>
      </c>
      <c r="MZJ3">
        <f>Database!NAC5</f>
        <v>0</v>
      </c>
      <c r="MZK3">
        <f>Database!NAD5</f>
        <v>0</v>
      </c>
      <c r="MZL3">
        <f>Database!NAE5</f>
        <v>0</v>
      </c>
      <c r="MZM3">
        <f>Database!NAF5</f>
        <v>0</v>
      </c>
      <c r="MZN3">
        <f>Database!NAG5</f>
        <v>0</v>
      </c>
      <c r="MZO3">
        <f>Database!NAH5</f>
        <v>0</v>
      </c>
      <c r="MZP3">
        <f>Database!NAI5</f>
        <v>0</v>
      </c>
      <c r="MZQ3">
        <f>Database!NAJ5</f>
        <v>0</v>
      </c>
      <c r="MZR3">
        <f>Database!NAK5</f>
        <v>0</v>
      </c>
      <c r="MZS3">
        <f>Database!NAL5</f>
        <v>0</v>
      </c>
      <c r="MZT3">
        <f>Database!NAM5</f>
        <v>0</v>
      </c>
      <c r="MZU3">
        <f>Database!NAN5</f>
        <v>0</v>
      </c>
      <c r="MZV3">
        <f>Database!NAO5</f>
        <v>0</v>
      </c>
      <c r="MZW3">
        <f>Database!NAP5</f>
        <v>0</v>
      </c>
      <c r="MZX3">
        <f>Database!NAQ5</f>
        <v>0</v>
      </c>
      <c r="MZY3">
        <f>Database!NAR5</f>
        <v>0</v>
      </c>
      <c r="MZZ3">
        <f>Database!NAS5</f>
        <v>0</v>
      </c>
      <c r="NAA3">
        <f>Database!NAT5</f>
        <v>0</v>
      </c>
      <c r="NAB3">
        <f>Database!NAU5</f>
        <v>0</v>
      </c>
      <c r="NAC3">
        <f>Database!NAV5</f>
        <v>0</v>
      </c>
      <c r="NAD3">
        <f>Database!NAW5</f>
        <v>0</v>
      </c>
      <c r="NAE3">
        <f>Database!NAX5</f>
        <v>0</v>
      </c>
      <c r="NAF3">
        <f>Database!NAY5</f>
        <v>0</v>
      </c>
      <c r="NAG3">
        <f>Database!NAZ5</f>
        <v>0</v>
      </c>
      <c r="NAH3">
        <f>Database!NBA5</f>
        <v>0</v>
      </c>
      <c r="NAI3">
        <f>Database!NBB5</f>
        <v>0</v>
      </c>
      <c r="NAJ3">
        <f>Database!NBC5</f>
        <v>0</v>
      </c>
      <c r="NAK3">
        <f>Database!NBD5</f>
        <v>0</v>
      </c>
      <c r="NAL3">
        <f>Database!NBE5</f>
        <v>0</v>
      </c>
      <c r="NAM3">
        <f>Database!NBF5</f>
        <v>0</v>
      </c>
      <c r="NAN3">
        <f>Database!NBG5</f>
        <v>0</v>
      </c>
      <c r="NAO3">
        <f>Database!NBH5</f>
        <v>0</v>
      </c>
      <c r="NAP3">
        <f>Database!NBI5</f>
        <v>0</v>
      </c>
      <c r="NAQ3">
        <f>Database!NBJ5</f>
        <v>0</v>
      </c>
      <c r="NAR3">
        <f>Database!NBK5</f>
        <v>0</v>
      </c>
      <c r="NAS3">
        <f>Database!NBL5</f>
        <v>0</v>
      </c>
      <c r="NAT3">
        <f>Database!NBM5</f>
        <v>0</v>
      </c>
      <c r="NAU3">
        <f>Database!NBN5</f>
        <v>0</v>
      </c>
      <c r="NAV3">
        <f>Database!NBO5</f>
        <v>0</v>
      </c>
      <c r="NAW3">
        <f>Database!NBP5</f>
        <v>0</v>
      </c>
      <c r="NAX3">
        <f>Database!NBQ5</f>
        <v>0</v>
      </c>
      <c r="NAY3">
        <f>Database!NBR5</f>
        <v>0</v>
      </c>
      <c r="NAZ3">
        <f>Database!NBS5</f>
        <v>0</v>
      </c>
      <c r="NBA3">
        <f>Database!NBT5</f>
        <v>0</v>
      </c>
      <c r="NBB3">
        <f>Database!NBU5</f>
        <v>0</v>
      </c>
      <c r="NBC3">
        <f>Database!NBV5</f>
        <v>0</v>
      </c>
      <c r="NBD3">
        <f>Database!NBW5</f>
        <v>0</v>
      </c>
      <c r="NBE3">
        <f>Database!NBX5</f>
        <v>0</v>
      </c>
      <c r="NBF3">
        <f>Database!NBY5</f>
        <v>0</v>
      </c>
      <c r="NBG3">
        <f>Database!NBZ5</f>
        <v>0</v>
      </c>
      <c r="NBH3">
        <f>Database!NCA5</f>
        <v>0</v>
      </c>
      <c r="NBI3">
        <f>Database!NCB5</f>
        <v>0</v>
      </c>
      <c r="NBJ3">
        <f>Database!NCC5</f>
        <v>0</v>
      </c>
      <c r="NBK3">
        <f>Database!NCD5</f>
        <v>0</v>
      </c>
      <c r="NBL3">
        <f>Database!NCE5</f>
        <v>0</v>
      </c>
      <c r="NBM3">
        <f>Database!NCF5</f>
        <v>0</v>
      </c>
      <c r="NBN3">
        <f>Database!NCG5</f>
        <v>0</v>
      </c>
      <c r="NBO3">
        <f>Database!NCH5</f>
        <v>0</v>
      </c>
      <c r="NBP3">
        <f>Database!NCI5</f>
        <v>0</v>
      </c>
      <c r="NBQ3">
        <f>Database!NCJ5</f>
        <v>0</v>
      </c>
      <c r="NBR3">
        <f>Database!NCK5</f>
        <v>0</v>
      </c>
      <c r="NBS3">
        <f>Database!NCL5</f>
        <v>0</v>
      </c>
      <c r="NBT3">
        <f>Database!NCM5</f>
        <v>0</v>
      </c>
      <c r="NBU3">
        <f>Database!NCN5</f>
        <v>0</v>
      </c>
      <c r="NBV3">
        <f>Database!NCO5</f>
        <v>0</v>
      </c>
      <c r="NBW3">
        <f>Database!NCP5</f>
        <v>0</v>
      </c>
      <c r="NBX3">
        <f>Database!NCQ5</f>
        <v>0</v>
      </c>
      <c r="NBY3">
        <f>Database!NCR5</f>
        <v>0</v>
      </c>
      <c r="NBZ3">
        <f>Database!NCS5</f>
        <v>0</v>
      </c>
      <c r="NCA3">
        <f>Database!NCT5</f>
        <v>0</v>
      </c>
      <c r="NCB3">
        <f>Database!NCU5</f>
        <v>0</v>
      </c>
      <c r="NCC3">
        <f>Database!NCV5</f>
        <v>0</v>
      </c>
      <c r="NCD3">
        <f>Database!NCW5</f>
        <v>0</v>
      </c>
      <c r="NCE3">
        <f>Database!NCX5</f>
        <v>0</v>
      </c>
      <c r="NCF3">
        <f>Database!NCY5</f>
        <v>0</v>
      </c>
      <c r="NCG3">
        <f>Database!NCZ5</f>
        <v>0</v>
      </c>
      <c r="NCH3">
        <f>Database!NDA5</f>
        <v>0</v>
      </c>
      <c r="NCI3">
        <f>Database!NDB5</f>
        <v>0</v>
      </c>
      <c r="NCJ3">
        <f>Database!NDC5</f>
        <v>0</v>
      </c>
      <c r="NCK3">
        <f>Database!NDD5</f>
        <v>0</v>
      </c>
      <c r="NCL3">
        <f>Database!NDE5</f>
        <v>0</v>
      </c>
      <c r="NCM3">
        <f>Database!NDF5</f>
        <v>0</v>
      </c>
      <c r="NCN3">
        <f>Database!NDG5</f>
        <v>0</v>
      </c>
      <c r="NCO3">
        <f>Database!NDH5</f>
        <v>0</v>
      </c>
      <c r="NCP3">
        <f>Database!NDI5</f>
        <v>0</v>
      </c>
      <c r="NCQ3">
        <f>Database!NDJ5</f>
        <v>0</v>
      </c>
      <c r="NCR3">
        <f>Database!NDK5</f>
        <v>0</v>
      </c>
      <c r="NCS3">
        <f>Database!NDL5</f>
        <v>0</v>
      </c>
      <c r="NCT3">
        <f>Database!NDM5</f>
        <v>0</v>
      </c>
      <c r="NCU3">
        <f>Database!NDN5</f>
        <v>0</v>
      </c>
      <c r="NCV3">
        <f>Database!NDO5</f>
        <v>0</v>
      </c>
      <c r="NCW3">
        <f>Database!NDP5</f>
        <v>0</v>
      </c>
      <c r="NCX3">
        <f>Database!NDQ5</f>
        <v>0</v>
      </c>
      <c r="NCY3">
        <f>Database!NDR5</f>
        <v>0</v>
      </c>
      <c r="NCZ3">
        <f>Database!NDS5</f>
        <v>0</v>
      </c>
      <c r="NDA3">
        <f>Database!NDT5</f>
        <v>0</v>
      </c>
      <c r="NDB3">
        <f>Database!NDU5</f>
        <v>0</v>
      </c>
      <c r="NDC3">
        <f>Database!NDV5</f>
        <v>0</v>
      </c>
      <c r="NDD3">
        <f>Database!NDW5</f>
        <v>0</v>
      </c>
      <c r="NDE3">
        <f>Database!NDX5</f>
        <v>0</v>
      </c>
      <c r="NDF3">
        <f>Database!NDY5</f>
        <v>0</v>
      </c>
      <c r="NDG3">
        <f>Database!NDZ5</f>
        <v>0</v>
      </c>
      <c r="NDH3">
        <f>Database!NEA5</f>
        <v>0</v>
      </c>
      <c r="NDI3">
        <f>Database!NEB5</f>
        <v>0</v>
      </c>
      <c r="NDJ3">
        <f>Database!NEC5</f>
        <v>0</v>
      </c>
      <c r="NDK3">
        <f>Database!NED5</f>
        <v>0</v>
      </c>
      <c r="NDL3">
        <f>Database!NEE5</f>
        <v>0</v>
      </c>
      <c r="NDM3">
        <f>Database!NEF5</f>
        <v>0</v>
      </c>
      <c r="NDN3">
        <f>Database!NEG5</f>
        <v>0</v>
      </c>
      <c r="NDO3">
        <f>Database!NEH5</f>
        <v>0</v>
      </c>
      <c r="NDP3">
        <f>Database!NEI5</f>
        <v>0</v>
      </c>
      <c r="NDQ3">
        <f>Database!NEJ5</f>
        <v>0</v>
      </c>
      <c r="NDR3">
        <f>Database!NEK5</f>
        <v>0</v>
      </c>
      <c r="NDS3">
        <f>Database!NEL5</f>
        <v>0</v>
      </c>
      <c r="NDT3">
        <f>Database!NEM5</f>
        <v>0</v>
      </c>
      <c r="NDU3">
        <f>Database!NEN5</f>
        <v>0</v>
      </c>
      <c r="NDV3">
        <f>Database!NEO5</f>
        <v>0</v>
      </c>
      <c r="NDW3">
        <f>Database!NEP5</f>
        <v>0</v>
      </c>
      <c r="NDX3">
        <f>Database!NEQ5</f>
        <v>0</v>
      </c>
      <c r="NDY3">
        <f>Database!NER5</f>
        <v>0</v>
      </c>
      <c r="NDZ3">
        <f>Database!NES5</f>
        <v>0</v>
      </c>
      <c r="NEA3">
        <f>Database!NET5</f>
        <v>0</v>
      </c>
      <c r="NEB3">
        <f>Database!NEU5</f>
        <v>0</v>
      </c>
      <c r="NEC3">
        <f>Database!NEV5</f>
        <v>0</v>
      </c>
      <c r="NED3">
        <f>Database!NEW5</f>
        <v>0</v>
      </c>
      <c r="NEE3">
        <f>Database!NEX5</f>
        <v>0</v>
      </c>
      <c r="NEF3">
        <f>Database!NEY5</f>
        <v>0</v>
      </c>
      <c r="NEG3">
        <f>Database!NEZ5</f>
        <v>0</v>
      </c>
      <c r="NEH3">
        <f>Database!NFA5</f>
        <v>0</v>
      </c>
      <c r="NEI3">
        <f>Database!NFB5</f>
        <v>0</v>
      </c>
      <c r="NEJ3">
        <f>Database!NFC5</f>
        <v>0</v>
      </c>
      <c r="NEK3">
        <f>Database!NFD5</f>
        <v>0</v>
      </c>
      <c r="NEL3">
        <f>Database!NFE5</f>
        <v>0</v>
      </c>
      <c r="NEM3">
        <f>Database!NFF5</f>
        <v>0</v>
      </c>
      <c r="NEN3">
        <f>Database!NFG5</f>
        <v>0</v>
      </c>
      <c r="NEO3">
        <f>Database!NFH5</f>
        <v>0</v>
      </c>
      <c r="NEP3">
        <f>Database!NFI5</f>
        <v>0</v>
      </c>
      <c r="NEQ3">
        <f>Database!NFJ5</f>
        <v>0</v>
      </c>
      <c r="NER3">
        <f>Database!NFK5</f>
        <v>0</v>
      </c>
      <c r="NES3">
        <f>Database!NFL5</f>
        <v>0</v>
      </c>
      <c r="NET3">
        <f>Database!NFM5</f>
        <v>0</v>
      </c>
      <c r="NEU3">
        <f>Database!NFN5</f>
        <v>0</v>
      </c>
      <c r="NEV3">
        <f>Database!NFO5</f>
        <v>0</v>
      </c>
      <c r="NEW3">
        <f>Database!NFP5</f>
        <v>0</v>
      </c>
      <c r="NEX3">
        <f>Database!NFQ5</f>
        <v>0</v>
      </c>
      <c r="NEY3">
        <f>Database!NFR5</f>
        <v>0</v>
      </c>
      <c r="NEZ3">
        <f>Database!NFS5</f>
        <v>0</v>
      </c>
      <c r="NFA3">
        <f>Database!NFT5</f>
        <v>0</v>
      </c>
      <c r="NFB3">
        <f>Database!NFU5</f>
        <v>0</v>
      </c>
      <c r="NFC3">
        <f>Database!NFV5</f>
        <v>0</v>
      </c>
      <c r="NFD3">
        <f>Database!NFW5</f>
        <v>0</v>
      </c>
      <c r="NFE3">
        <f>Database!NFX5</f>
        <v>0</v>
      </c>
      <c r="NFF3">
        <f>Database!NFY5</f>
        <v>0</v>
      </c>
      <c r="NFG3">
        <f>Database!NFZ5</f>
        <v>0</v>
      </c>
      <c r="NFH3">
        <f>Database!NGA5</f>
        <v>0</v>
      </c>
      <c r="NFI3">
        <f>Database!NGB5</f>
        <v>0</v>
      </c>
      <c r="NFJ3">
        <f>Database!NGC5</f>
        <v>0</v>
      </c>
      <c r="NFK3">
        <f>Database!NGD5</f>
        <v>0</v>
      </c>
      <c r="NFL3">
        <f>Database!NGE5</f>
        <v>0</v>
      </c>
      <c r="NFM3">
        <f>Database!NGF5</f>
        <v>0</v>
      </c>
      <c r="NFN3">
        <f>Database!NGG5</f>
        <v>0</v>
      </c>
      <c r="NFO3">
        <f>Database!NGH5</f>
        <v>0</v>
      </c>
      <c r="NFP3">
        <f>Database!NGI5</f>
        <v>0</v>
      </c>
      <c r="NFQ3">
        <f>Database!NGJ5</f>
        <v>0</v>
      </c>
      <c r="NFR3">
        <f>Database!NGK5</f>
        <v>0</v>
      </c>
      <c r="NFS3">
        <f>Database!NGL5</f>
        <v>0</v>
      </c>
      <c r="NFT3">
        <f>Database!NGM5</f>
        <v>0</v>
      </c>
      <c r="NFU3">
        <f>Database!NGN5</f>
        <v>0</v>
      </c>
      <c r="NFV3">
        <f>Database!NGO5</f>
        <v>0</v>
      </c>
      <c r="NFW3">
        <f>Database!NGP5</f>
        <v>0</v>
      </c>
      <c r="NFX3">
        <f>Database!NGQ5</f>
        <v>0</v>
      </c>
      <c r="NFY3">
        <f>Database!NGR5</f>
        <v>0</v>
      </c>
      <c r="NFZ3">
        <f>Database!NGS5</f>
        <v>0</v>
      </c>
      <c r="NGA3">
        <f>Database!NGT5</f>
        <v>0</v>
      </c>
      <c r="NGB3">
        <f>Database!NGU5</f>
        <v>0</v>
      </c>
      <c r="NGC3">
        <f>Database!NGV5</f>
        <v>0</v>
      </c>
      <c r="NGD3">
        <f>Database!NGW5</f>
        <v>0</v>
      </c>
      <c r="NGE3">
        <f>Database!NGX5</f>
        <v>0</v>
      </c>
      <c r="NGF3">
        <f>Database!NGY5</f>
        <v>0</v>
      </c>
      <c r="NGG3">
        <f>Database!NGZ5</f>
        <v>0</v>
      </c>
      <c r="NGH3">
        <f>Database!NHA5</f>
        <v>0</v>
      </c>
      <c r="NGI3">
        <f>Database!NHB5</f>
        <v>0</v>
      </c>
      <c r="NGJ3">
        <f>Database!NHC5</f>
        <v>0</v>
      </c>
      <c r="NGK3">
        <f>Database!NHD5</f>
        <v>0</v>
      </c>
      <c r="NGL3">
        <f>Database!NHE5</f>
        <v>0</v>
      </c>
      <c r="NGM3">
        <f>Database!NHF5</f>
        <v>0</v>
      </c>
      <c r="NGN3">
        <f>Database!NHG5</f>
        <v>0</v>
      </c>
      <c r="NGO3">
        <f>Database!NHH5</f>
        <v>0</v>
      </c>
      <c r="NGP3">
        <f>Database!NHI5</f>
        <v>0</v>
      </c>
      <c r="NGQ3">
        <f>Database!NHJ5</f>
        <v>0</v>
      </c>
      <c r="NGR3">
        <f>Database!NHK5</f>
        <v>0</v>
      </c>
      <c r="NGS3">
        <f>Database!NHL5</f>
        <v>0</v>
      </c>
      <c r="NGT3">
        <f>Database!NHM5</f>
        <v>0</v>
      </c>
      <c r="NGU3">
        <f>Database!NHN5</f>
        <v>0</v>
      </c>
      <c r="NGV3">
        <f>Database!NHO5</f>
        <v>0</v>
      </c>
      <c r="NGW3">
        <f>Database!NHP5</f>
        <v>0</v>
      </c>
      <c r="NGX3">
        <f>Database!NHQ5</f>
        <v>0</v>
      </c>
      <c r="NGY3">
        <f>Database!NHR5</f>
        <v>0</v>
      </c>
      <c r="NGZ3">
        <f>Database!NHS5</f>
        <v>0</v>
      </c>
      <c r="NHA3">
        <f>Database!NHT5</f>
        <v>0</v>
      </c>
      <c r="NHB3">
        <f>Database!NHU5</f>
        <v>0</v>
      </c>
      <c r="NHC3">
        <f>Database!NHV5</f>
        <v>0</v>
      </c>
      <c r="NHD3">
        <f>Database!NHW5</f>
        <v>0</v>
      </c>
      <c r="NHE3">
        <f>Database!NHX5</f>
        <v>0</v>
      </c>
      <c r="NHF3">
        <f>Database!NHY5</f>
        <v>0</v>
      </c>
      <c r="NHG3">
        <f>Database!NHZ5</f>
        <v>0</v>
      </c>
      <c r="NHH3">
        <f>Database!NIA5</f>
        <v>0</v>
      </c>
      <c r="NHI3">
        <f>Database!NIB5</f>
        <v>0</v>
      </c>
      <c r="NHJ3">
        <f>Database!NIC5</f>
        <v>0</v>
      </c>
      <c r="NHK3">
        <f>Database!NID5</f>
        <v>0</v>
      </c>
      <c r="NHL3">
        <f>Database!NIE5</f>
        <v>0</v>
      </c>
      <c r="NHM3">
        <f>Database!NIF5</f>
        <v>0</v>
      </c>
      <c r="NHN3">
        <f>Database!NIG5</f>
        <v>0</v>
      </c>
      <c r="NHO3">
        <f>Database!NIH5</f>
        <v>0</v>
      </c>
      <c r="NHP3">
        <f>Database!NII5</f>
        <v>0</v>
      </c>
      <c r="NHQ3">
        <f>Database!NIJ5</f>
        <v>0</v>
      </c>
      <c r="NHR3">
        <f>Database!NIK5</f>
        <v>0</v>
      </c>
      <c r="NHS3">
        <f>Database!NIL5</f>
        <v>0</v>
      </c>
      <c r="NHT3">
        <f>Database!NIM5</f>
        <v>0</v>
      </c>
      <c r="NHU3">
        <f>Database!NIN5</f>
        <v>0</v>
      </c>
      <c r="NHV3">
        <f>Database!NIO5</f>
        <v>0</v>
      </c>
      <c r="NHW3">
        <f>Database!NIP5</f>
        <v>0</v>
      </c>
      <c r="NHX3">
        <f>Database!NIQ5</f>
        <v>0</v>
      </c>
      <c r="NHY3">
        <f>Database!NIR5</f>
        <v>0</v>
      </c>
      <c r="NHZ3">
        <f>Database!NIS5</f>
        <v>0</v>
      </c>
      <c r="NIA3">
        <f>Database!NIT5</f>
        <v>0</v>
      </c>
      <c r="NIB3">
        <f>Database!NIU5</f>
        <v>0</v>
      </c>
      <c r="NIC3">
        <f>Database!NIV5</f>
        <v>0</v>
      </c>
      <c r="NID3">
        <f>Database!NIW5</f>
        <v>0</v>
      </c>
      <c r="NIE3">
        <f>Database!NIX5</f>
        <v>0</v>
      </c>
      <c r="NIF3">
        <f>Database!NIY5</f>
        <v>0</v>
      </c>
      <c r="NIG3">
        <f>Database!NIZ5</f>
        <v>0</v>
      </c>
      <c r="NIH3">
        <f>Database!NJA5</f>
        <v>0</v>
      </c>
      <c r="NII3">
        <f>Database!NJB5</f>
        <v>0</v>
      </c>
      <c r="NIJ3">
        <f>Database!NJC5</f>
        <v>0</v>
      </c>
      <c r="NIK3">
        <f>Database!NJD5</f>
        <v>0</v>
      </c>
      <c r="NIL3">
        <f>Database!NJE5</f>
        <v>0</v>
      </c>
      <c r="NIM3">
        <f>Database!NJF5</f>
        <v>0</v>
      </c>
      <c r="NIN3">
        <f>Database!NJG5</f>
        <v>0</v>
      </c>
      <c r="NIO3">
        <f>Database!NJH5</f>
        <v>0</v>
      </c>
      <c r="NIP3">
        <f>Database!NJI5</f>
        <v>0</v>
      </c>
      <c r="NIQ3">
        <f>Database!NJJ5</f>
        <v>0</v>
      </c>
      <c r="NIR3">
        <f>Database!NJK5</f>
        <v>0</v>
      </c>
      <c r="NIS3">
        <f>Database!NJL5</f>
        <v>0</v>
      </c>
      <c r="NIT3">
        <f>Database!NJM5</f>
        <v>0</v>
      </c>
      <c r="NIU3">
        <f>Database!NJN5</f>
        <v>0</v>
      </c>
      <c r="NIV3">
        <f>Database!NJO5</f>
        <v>0</v>
      </c>
      <c r="NIW3">
        <f>Database!NJP5</f>
        <v>0</v>
      </c>
      <c r="NIX3">
        <f>Database!NJQ5</f>
        <v>0</v>
      </c>
      <c r="NIY3">
        <f>Database!NJR5</f>
        <v>0</v>
      </c>
      <c r="NIZ3">
        <f>Database!NJS5</f>
        <v>0</v>
      </c>
      <c r="NJA3">
        <f>Database!NJT5</f>
        <v>0</v>
      </c>
      <c r="NJB3">
        <f>Database!NJU5</f>
        <v>0</v>
      </c>
      <c r="NJC3">
        <f>Database!NJV5</f>
        <v>0</v>
      </c>
      <c r="NJD3">
        <f>Database!NJW5</f>
        <v>0</v>
      </c>
      <c r="NJE3">
        <f>Database!NJX5</f>
        <v>0</v>
      </c>
      <c r="NJF3">
        <f>Database!NJY5</f>
        <v>0</v>
      </c>
      <c r="NJG3">
        <f>Database!NJZ5</f>
        <v>0</v>
      </c>
      <c r="NJH3">
        <f>Database!NKA5</f>
        <v>0</v>
      </c>
      <c r="NJI3">
        <f>Database!NKB5</f>
        <v>0</v>
      </c>
      <c r="NJJ3">
        <f>Database!NKC5</f>
        <v>0</v>
      </c>
      <c r="NJK3">
        <f>Database!NKD5</f>
        <v>0</v>
      </c>
      <c r="NJL3">
        <f>Database!NKE5</f>
        <v>0</v>
      </c>
      <c r="NJM3">
        <f>Database!NKF5</f>
        <v>0</v>
      </c>
      <c r="NJN3">
        <f>Database!NKG5</f>
        <v>0</v>
      </c>
      <c r="NJO3">
        <f>Database!NKH5</f>
        <v>0</v>
      </c>
      <c r="NJP3">
        <f>Database!NKI5</f>
        <v>0</v>
      </c>
      <c r="NJQ3">
        <f>Database!NKJ5</f>
        <v>0</v>
      </c>
      <c r="NJR3">
        <f>Database!NKK5</f>
        <v>0</v>
      </c>
      <c r="NJS3">
        <f>Database!NKL5</f>
        <v>0</v>
      </c>
      <c r="NJT3">
        <f>Database!NKM5</f>
        <v>0</v>
      </c>
      <c r="NJU3">
        <f>Database!NKN5</f>
        <v>0</v>
      </c>
      <c r="NJV3">
        <f>Database!NKO5</f>
        <v>0</v>
      </c>
      <c r="NJW3">
        <f>Database!NKP5</f>
        <v>0</v>
      </c>
      <c r="NJX3">
        <f>Database!NKQ5</f>
        <v>0</v>
      </c>
      <c r="NJY3">
        <f>Database!NKR5</f>
        <v>0</v>
      </c>
      <c r="NJZ3">
        <f>Database!NKS5</f>
        <v>0</v>
      </c>
      <c r="NKA3">
        <f>Database!NKT5</f>
        <v>0</v>
      </c>
      <c r="NKB3">
        <f>Database!NKU5</f>
        <v>0</v>
      </c>
      <c r="NKC3">
        <f>Database!NKV5</f>
        <v>0</v>
      </c>
      <c r="NKD3">
        <f>Database!NKW5</f>
        <v>0</v>
      </c>
      <c r="NKE3">
        <f>Database!NKX5</f>
        <v>0</v>
      </c>
      <c r="NKF3">
        <f>Database!NKY5</f>
        <v>0</v>
      </c>
      <c r="NKG3">
        <f>Database!NKZ5</f>
        <v>0</v>
      </c>
      <c r="NKH3">
        <f>Database!NLA5</f>
        <v>0</v>
      </c>
      <c r="NKI3">
        <f>Database!NLB5</f>
        <v>0</v>
      </c>
      <c r="NKJ3">
        <f>Database!NLC5</f>
        <v>0</v>
      </c>
      <c r="NKK3">
        <f>Database!NLD5</f>
        <v>0</v>
      </c>
      <c r="NKL3">
        <f>Database!NLE5</f>
        <v>0</v>
      </c>
      <c r="NKM3">
        <f>Database!NLF5</f>
        <v>0</v>
      </c>
      <c r="NKN3">
        <f>Database!NLG5</f>
        <v>0</v>
      </c>
      <c r="NKO3">
        <f>Database!NLH5</f>
        <v>0</v>
      </c>
      <c r="NKP3">
        <f>Database!NLI5</f>
        <v>0</v>
      </c>
      <c r="NKQ3">
        <f>Database!NLJ5</f>
        <v>0</v>
      </c>
      <c r="NKR3">
        <f>Database!NLK5</f>
        <v>0</v>
      </c>
      <c r="NKS3">
        <f>Database!NLL5</f>
        <v>0</v>
      </c>
      <c r="NKT3">
        <f>Database!NLM5</f>
        <v>0</v>
      </c>
      <c r="NKU3">
        <f>Database!NLN5</f>
        <v>0</v>
      </c>
      <c r="NKV3">
        <f>Database!NLO5</f>
        <v>0</v>
      </c>
      <c r="NKW3">
        <f>Database!NLP5</f>
        <v>0</v>
      </c>
      <c r="NKX3">
        <f>Database!NLQ5</f>
        <v>0</v>
      </c>
      <c r="NKY3">
        <f>Database!NLR5</f>
        <v>0</v>
      </c>
      <c r="NKZ3">
        <f>Database!NLS5</f>
        <v>0</v>
      </c>
      <c r="NLA3">
        <f>Database!NLT5</f>
        <v>0</v>
      </c>
      <c r="NLB3">
        <f>Database!NLU5</f>
        <v>0</v>
      </c>
      <c r="NLC3">
        <f>Database!NLV5</f>
        <v>0</v>
      </c>
      <c r="NLD3">
        <f>Database!NLW5</f>
        <v>0</v>
      </c>
      <c r="NLE3">
        <f>Database!NLX5</f>
        <v>0</v>
      </c>
      <c r="NLF3">
        <f>Database!NLY5</f>
        <v>0</v>
      </c>
      <c r="NLG3">
        <f>Database!NLZ5</f>
        <v>0</v>
      </c>
      <c r="NLH3">
        <f>Database!NMA5</f>
        <v>0</v>
      </c>
      <c r="NLI3">
        <f>Database!NMB5</f>
        <v>0</v>
      </c>
      <c r="NLJ3">
        <f>Database!NMC5</f>
        <v>0</v>
      </c>
      <c r="NLK3">
        <f>Database!NMD5</f>
        <v>0</v>
      </c>
      <c r="NLL3">
        <f>Database!NME5</f>
        <v>0</v>
      </c>
      <c r="NLM3">
        <f>Database!NMF5</f>
        <v>0</v>
      </c>
      <c r="NLN3">
        <f>Database!NMG5</f>
        <v>0</v>
      </c>
      <c r="NLO3">
        <f>Database!NMH5</f>
        <v>0</v>
      </c>
      <c r="NLP3">
        <f>Database!NMI5</f>
        <v>0</v>
      </c>
      <c r="NLQ3">
        <f>Database!NMJ5</f>
        <v>0</v>
      </c>
      <c r="NLR3">
        <f>Database!NMK5</f>
        <v>0</v>
      </c>
      <c r="NLS3">
        <f>Database!NML5</f>
        <v>0</v>
      </c>
      <c r="NLT3">
        <f>Database!NMM5</f>
        <v>0</v>
      </c>
      <c r="NLU3">
        <f>Database!NMN5</f>
        <v>0</v>
      </c>
      <c r="NLV3">
        <f>Database!NMO5</f>
        <v>0</v>
      </c>
      <c r="NLW3">
        <f>Database!NMP5</f>
        <v>0</v>
      </c>
      <c r="NLX3">
        <f>Database!NMQ5</f>
        <v>0</v>
      </c>
      <c r="NLY3">
        <f>Database!NMR5</f>
        <v>0</v>
      </c>
      <c r="NLZ3">
        <f>Database!NMS5</f>
        <v>0</v>
      </c>
      <c r="NMA3">
        <f>Database!NMT5</f>
        <v>0</v>
      </c>
      <c r="NMB3">
        <f>Database!NMU5</f>
        <v>0</v>
      </c>
      <c r="NMC3">
        <f>Database!NMV5</f>
        <v>0</v>
      </c>
      <c r="NMD3">
        <f>Database!NMW5</f>
        <v>0</v>
      </c>
      <c r="NME3">
        <f>Database!NMX5</f>
        <v>0</v>
      </c>
      <c r="NMF3">
        <f>Database!NMY5</f>
        <v>0</v>
      </c>
      <c r="NMG3">
        <f>Database!NMZ5</f>
        <v>0</v>
      </c>
      <c r="NMH3">
        <f>Database!NNA5</f>
        <v>0</v>
      </c>
      <c r="NMI3">
        <f>Database!NNB5</f>
        <v>0</v>
      </c>
      <c r="NMJ3">
        <f>Database!NNC5</f>
        <v>0</v>
      </c>
      <c r="NMK3">
        <f>Database!NND5</f>
        <v>0</v>
      </c>
      <c r="NML3">
        <f>Database!NNE5</f>
        <v>0</v>
      </c>
      <c r="NMM3">
        <f>Database!NNF5</f>
        <v>0</v>
      </c>
      <c r="NMN3">
        <f>Database!NNG5</f>
        <v>0</v>
      </c>
      <c r="NMO3">
        <f>Database!NNH5</f>
        <v>0</v>
      </c>
      <c r="NMP3">
        <f>Database!NNI5</f>
        <v>0</v>
      </c>
      <c r="NMQ3">
        <f>Database!NNJ5</f>
        <v>0</v>
      </c>
      <c r="NMR3">
        <f>Database!NNK5</f>
        <v>0</v>
      </c>
      <c r="NMS3">
        <f>Database!NNL5</f>
        <v>0</v>
      </c>
      <c r="NMT3">
        <f>Database!NNM5</f>
        <v>0</v>
      </c>
      <c r="NMU3">
        <f>Database!NNN5</f>
        <v>0</v>
      </c>
      <c r="NMV3">
        <f>Database!NNO5</f>
        <v>0</v>
      </c>
      <c r="NMW3">
        <f>Database!NNP5</f>
        <v>0</v>
      </c>
      <c r="NMX3">
        <f>Database!NNQ5</f>
        <v>0</v>
      </c>
      <c r="NMY3">
        <f>Database!NNR5</f>
        <v>0</v>
      </c>
      <c r="NMZ3">
        <f>Database!NNS5</f>
        <v>0</v>
      </c>
      <c r="NNA3">
        <f>Database!NNT5</f>
        <v>0</v>
      </c>
      <c r="NNB3">
        <f>Database!NNU5</f>
        <v>0</v>
      </c>
      <c r="NNC3">
        <f>Database!NNV5</f>
        <v>0</v>
      </c>
      <c r="NND3">
        <f>Database!NNW5</f>
        <v>0</v>
      </c>
      <c r="NNE3">
        <f>Database!NNX5</f>
        <v>0</v>
      </c>
      <c r="NNF3">
        <f>Database!NNY5</f>
        <v>0</v>
      </c>
      <c r="NNG3">
        <f>Database!NNZ5</f>
        <v>0</v>
      </c>
      <c r="NNH3">
        <f>Database!NOA5</f>
        <v>0</v>
      </c>
      <c r="NNI3">
        <f>Database!NOB5</f>
        <v>0</v>
      </c>
      <c r="NNJ3">
        <f>Database!NOC5</f>
        <v>0</v>
      </c>
      <c r="NNK3">
        <f>Database!NOD5</f>
        <v>0</v>
      </c>
      <c r="NNL3">
        <f>Database!NOE5</f>
        <v>0</v>
      </c>
      <c r="NNM3">
        <f>Database!NOF5</f>
        <v>0</v>
      </c>
      <c r="NNN3">
        <f>Database!NOG5</f>
        <v>0</v>
      </c>
      <c r="NNO3">
        <f>Database!NOH5</f>
        <v>0</v>
      </c>
      <c r="NNP3">
        <f>Database!NOI5</f>
        <v>0</v>
      </c>
      <c r="NNQ3">
        <f>Database!NOJ5</f>
        <v>0</v>
      </c>
      <c r="NNR3">
        <f>Database!NOK5</f>
        <v>0</v>
      </c>
      <c r="NNS3">
        <f>Database!NOL5</f>
        <v>0</v>
      </c>
      <c r="NNT3">
        <f>Database!NOM5</f>
        <v>0</v>
      </c>
      <c r="NNU3">
        <f>Database!NON5</f>
        <v>0</v>
      </c>
      <c r="NNV3">
        <f>Database!NOO5</f>
        <v>0</v>
      </c>
      <c r="NNW3">
        <f>Database!NOP5</f>
        <v>0</v>
      </c>
      <c r="NNX3">
        <f>Database!NOQ5</f>
        <v>0</v>
      </c>
      <c r="NNY3">
        <f>Database!NOR5</f>
        <v>0</v>
      </c>
      <c r="NNZ3">
        <f>Database!NOS5</f>
        <v>0</v>
      </c>
      <c r="NOA3">
        <f>Database!NOT5</f>
        <v>0</v>
      </c>
      <c r="NOB3">
        <f>Database!NOU5</f>
        <v>0</v>
      </c>
      <c r="NOC3">
        <f>Database!NOV5</f>
        <v>0</v>
      </c>
      <c r="NOD3">
        <f>Database!NOW5</f>
        <v>0</v>
      </c>
      <c r="NOE3">
        <f>Database!NOX5</f>
        <v>0</v>
      </c>
      <c r="NOF3">
        <f>Database!NOY5</f>
        <v>0</v>
      </c>
      <c r="NOG3">
        <f>Database!NOZ5</f>
        <v>0</v>
      </c>
      <c r="NOH3">
        <f>Database!NPA5</f>
        <v>0</v>
      </c>
      <c r="NOI3">
        <f>Database!NPB5</f>
        <v>0</v>
      </c>
      <c r="NOJ3">
        <f>Database!NPC5</f>
        <v>0</v>
      </c>
      <c r="NOK3">
        <f>Database!NPD5</f>
        <v>0</v>
      </c>
      <c r="NOL3">
        <f>Database!NPE5</f>
        <v>0</v>
      </c>
      <c r="NOM3">
        <f>Database!NPF5</f>
        <v>0</v>
      </c>
      <c r="NON3">
        <f>Database!NPG5</f>
        <v>0</v>
      </c>
      <c r="NOO3">
        <f>Database!NPH5</f>
        <v>0</v>
      </c>
      <c r="NOP3">
        <f>Database!NPI5</f>
        <v>0</v>
      </c>
      <c r="NOQ3">
        <f>Database!NPJ5</f>
        <v>0</v>
      </c>
      <c r="NOR3">
        <f>Database!NPK5</f>
        <v>0</v>
      </c>
      <c r="NOS3">
        <f>Database!NPL5</f>
        <v>0</v>
      </c>
      <c r="NOT3">
        <f>Database!NPM5</f>
        <v>0</v>
      </c>
      <c r="NOU3">
        <f>Database!NPN5</f>
        <v>0</v>
      </c>
      <c r="NOV3">
        <f>Database!NPO5</f>
        <v>0</v>
      </c>
      <c r="NOW3">
        <f>Database!NPP5</f>
        <v>0</v>
      </c>
      <c r="NOX3">
        <f>Database!NPQ5</f>
        <v>0</v>
      </c>
      <c r="NOY3">
        <f>Database!NPR5</f>
        <v>0</v>
      </c>
      <c r="NOZ3">
        <f>Database!NPS5</f>
        <v>0</v>
      </c>
      <c r="NPA3">
        <f>Database!NPT5</f>
        <v>0</v>
      </c>
      <c r="NPB3">
        <f>Database!NPU5</f>
        <v>0</v>
      </c>
      <c r="NPC3">
        <f>Database!NPV5</f>
        <v>0</v>
      </c>
      <c r="NPD3">
        <f>Database!NPW5</f>
        <v>0</v>
      </c>
      <c r="NPE3">
        <f>Database!NPX5</f>
        <v>0</v>
      </c>
      <c r="NPF3">
        <f>Database!NPY5</f>
        <v>0</v>
      </c>
      <c r="NPG3">
        <f>Database!NPZ5</f>
        <v>0</v>
      </c>
      <c r="NPH3">
        <f>Database!NQA5</f>
        <v>0</v>
      </c>
      <c r="NPI3">
        <f>Database!NQB5</f>
        <v>0</v>
      </c>
      <c r="NPJ3">
        <f>Database!NQC5</f>
        <v>0</v>
      </c>
      <c r="NPK3">
        <f>Database!NQD5</f>
        <v>0</v>
      </c>
      <c r="NPL3">
        <f>Database!NQE5</f>
        <v>0</v>
      </c>
      <c r="NPM3">
        <f>Database!NQF5</f>
        <v>0</v>
      </c>
      <c r="NPN3">
        <f>Database!NQG5</f>
        <v>0</v>
      </c>
      <c r="NPO3">
        <f>Database!NQH5</f>
        <v>0</v>
      </c>
      <c r="NPP3">
        <f>Database!NQI5</f>
        <v>0</v>
      </c>
      <c r="NPQ3">
        <f>Database!NQJ5</f>
        <v>0</v>
      </c>
      <c r="NPR3">
        <f>Database!NQK5</f>
        <v>0</v>
      </c>
      <c r="NPS3">
        <f>Database!NQL5</f>
        <v>0</v>
      </c>
      <c r="NPT3">
        <f>Database!NQM5</f>
        <v>0</v>
      </c>
      <c r="NPU3">
        <f>Database!NQN5</f>
        <v>0</v>
      </c>
      <c r="NPV3">
        <f>Database!NQO5</f>
        <v>0</v>
      </c>
      <c r="NPW3">
        <f>Database!NQP5</f>
        <v>0</v>
      </c>
      <c r="NPX3">
        <f>Database!NQQ5</f>
        <v>0</v>
      </c>
      <c r="NPY3">
        <f>Database!NQR5</f>
        <v>0</v>
      </c>
      <c r="NPZ3">
        <f>Database!NQS5</f>
        <v>0</v>
      </c>
      <c r="NQA3">
        <f>Database!NQT5</f>
        <v>0</v>
      </c>
      <c r="NQB3">
        <f>Database!NQU5</f>
        <v>0</v>
      </c>
      <c r="NQC3">
        <f>Database!NQV5</f>
        <v>0</v>
      </c>
      <c r="NQD3">
        <f>Database!NQW5</f>
        <v>0</v>
      </c>
      <c r="NQE3">
        <f>Database!NQX5</f>
        <v>0</v>
      </c>
      <c r="NQF3">
        <f>Database!NQY5</f>
        <v>0</v>
      </c>
      <c r="NQG3">
        <f>Database!NQZ5</f>
        <v>0</v>
      </c>
      <c r="NQH3">
        <f>Database!NRA5</f>
        <v>0</v>
      </c>
      <c r="NQI3">
        <f>Database!NRB5</f>
        <v>0</v>
      </c>
      <c r="NQJ3">
        <f>Database!NRC5</f>
        <v>0</v>
      </c>
      <c r="NQK3">
        <f>Database!NRD5</f>
        <v>0</v>
      </c>
      <c r="NQL3">
        <f>Database!NRE5</f>
        <v>0</v>
      </c>
      <c r="NQM3">
        <f>Database!NRF5</f>
        <v>0</v>
      </c>
      <c r="NQN3">
        <f>Database!NRG5</f>
        <v>0</v>
      </c>
      <c r="NQO3">
        <f>Database!NRH5</f>
        <v>0</v>
      </c>
      <c r="NQP3">
        <f>Database!NRI5</f>
        <v>0</v>
      </c>
      <c r="NQQ3">
        <f>Database!NRJ5</f>
        <v>0</v>
      </c>
      <c r="NQR3">
        <f>Database!NRK5</f>
        <v>0</v>
      </c>
      <c r="NQS3">
        <f>Database!NRL5</f>
        <v>0</v>
      </c>
      <c r="NQT3">
        <f>Database!NRM5</f>
        <v>0</v>
      </c>
      <c r="NQU3">
        <f>Database!NRN5</f>
        <v>0</v>
      </c>
      <c r="NQV3">
        <f>Database!NRO5</f>
        <v>0</v>
      </c>
      <c r="NQW3">
        <f>Database!NRP5</f>
        <v>0</v>
      </c>
      <c r="NQX3">
        <f>Database!NRQ5</f>
        <v>0</v>
      </c>
      <c r="NQY3">
        <f>Database!NRR5</f>
        <v>0</v>
      </c>
      <c r="NQZ3">
        <f>Database!NRS5</f>
        <v>0</v>
      </c>
      <c r="NRA3">
        <f>Database!NRT5</f>
        <v>0</v>
      </c>
      <c r="NRB3">
        <f>Database!NRU5</f>
        <v>0</v>
      </c>
      <c r="NRC3">
        <f>Database!NRV5</f>
        <v>0</v>
      </c>
      <c r="NRD3">
        <f>Database!NRW5</f>
        <v>0</v>
      </c>
      <c r="NRE3">
        <f>Database!NRX5</f>
        <v>0</v>
      </c>
      <c r="NRF3">
        <f>Database!NRY5</f>
        <v>0</v>
      </c>
      <c r="NRG3">
        <f>Database!NRZ5</f>
        <v>0</v>
      </c>
      <c r="NRH3">
        <f>Database!NSA5</f>
        <v>0</v>
      </c>
      <c r="NRI3">
        <f>Database!NSB5</f>
        <v>0</v>
      </c>
      <c r="NRJ3">
        <f>Database!NSC5</f>
        <v>0</v>
      </c>
      <c r="NRK3">
        <f>Database!NSD5</f>
        <v>0</v>
      </c>
      <c r="NRL3">
        <f>Database!NSE5</f>
        <v>0</v>
      </c>
      <c r="NRM3">
        <f>Database!NSF5</f>
        <v>0</v>
      </c>
      <c r="NRN3">
        <f>Database!NSG5</f>
        <v>0</v>
      </c>
      <c r="NRO3">
        <f>Database!NSH5</f>
        <v>0</v>
      </c>
      <c r="NRP3">
        <f>Database!NSI5</f>
        <v>0</v>
      </c>
      <c r="NRQ3">
        <f>Database!NSJ5</f>
        <v>0</v>
      </c>
      <c r="NRR3">
        <f>Database!NSK5</f>
        <v>0</v>
      </c>
      <c r="NRS3">
        <f>Database!NSL5</f>
        <v>0</v>
      </c>
      <c r="NRT3">
        <f>Database!NSM5</f>
        <v>0</v>
      </c>
      <c r="NRU3">
        <f>Database!NSN5</f>
        <v>0</v>
      </c>
      <c r="NRV3">
        <f>Database!NSO5</f>
        <v>0</v>
      </c>
      <c r="NRW3">
        <f>Database!NSP5</f>
        <v>0</v>
      </c>
      <c r="NRX3">
        <f>Database!NSQ5</f>
        <v>0</v>
      </c>
      <c r="NRY3">
        <f>Database!NSR5</f>
        <v>0</v>
      </c>
      <c r="NRZ3">
        <f>Database!NSS5</f>
        <v>0</v>
      </c>
      <c r="NSA3">
        <f>Database!NST5</f>
        <v>0</v>
      </c>
      <c r="NSB3">
        <f>Database!NSU5</f>
        <v>0</v>
      </c>
      <c r="NSC3">
        <f>Database!NSV5</f>
        <v>0</v>
      </c>
      <c r="NSD3">
        <f>Database!NSW5</f>
        <v>0</v>
      </c>
      <c r="NSE3">
        <f>Database!NSX5</f>
        <v>0</v>
      </c>
      <c r="NSF3">
        <f>Database!NSY5</f>
        <v>0</v>
      </c>
      <c r="NSG3">
        <f>Database!NSZ5</f>
        <v>0</v>
      </c>
      <c r="NSH3">
        <f>Database!NTA5</f>
        <v>0</v>
      </c>
      <c r="NSI3">
        <f>Database!NTB5</f>
        <v>0</v>
      </c>
      <c r="NSJ3">
        <f>Database!NTC5</f>
        <v>0</v>
      </c>
      <c r="NSK3">
        <f>Database!NTD5</f>
        <v>0</v>
      </c>
      <c r="NSL3">
        <f>Database!NTE5</f>
        <v>0</v>
      </c>
      <c r="NSM3">
        <f>Database!NTF5</f>
        <v>0</v>
      </c>
      <c r="NSN3">
        <f>Database!NTG5</f>
        <v>0</v>
      </c>
      <c r="NSO3">
        <f>Database!NTH5</f>
        <v>0</v>
      </c>
      <c r="NSP3">
        <f>Database!NTI5</f>
        <v>0</v>
      </c>
      <c r="NSQ3">
        <f>Database!NTJ5</f>
        <v>0</v>
      </c>
      <c r="NSR3">
        <f>Database!NTK5</f>
        <v>0</v>
      </c>
      <c r="NSS3">
        <f>Database!NTL5</f>
        <v>0</v>
      </c>
      <c r="NST3">
        <f>Database!NTM5</f>
        <v>0</v>
      </c>
      <c r="NSU3">
        <f>Database!NTN5</f>
        <v>0</v>
      </c>
      <c r="NSV3">
        <f>Database!NTO5</f>
        <v>0</v>
      </c>
      <c r="NSW3">
        <f>Database!NTP5</f>
        <v>0</v>
      </c>
      <c r="NSX3">
        <f>Database!NTQ5</f>
        <v>0</v>
      </c>
      <c r="NSY3">
        <f>Database!NTR5</f>
        <v>0</v>
      </c>
      <c r="NSZ3">
        <f>Database!NTS5</f>
        <v>0</v>
      </c>
      <c r="NTA3">
        <f>Database!NTT5</f>
        <v>0</v>
      </c>
      <c r="NTB3">
        <f>Database!NTU5</f>
        <v>0</v>
      </c>
      <c r="NTC3">
        <f>Database!NTV5</f>
        <v>0</v>
      </c>
      <c r="NTD3">
        <f>Database!NTW5</f>
        <v>0</v>
      </c>
      <c r="NTE3">
        <f>Database!NTX5</f>
        <v>0</v>
      </c>
      <c r="NTF3">
        <f>Database!NTY5</f>
        <v>0</v>
      </c>
      <c r="NTG3">
        <f>Database!NTZ5</f>
        <v>0</v>
      </c>
      <c r="NTH3">
        <f>Database!NUA5</f>
        <v>0</v>
      </c>
      <c r="NTI3">
        <f>Database!NUB5</f>
        <v>0</v>
      </c>
      <c r="NTJ3">
        <f>Database!NUC5</f>
        <v>0</v>
      </c>
      <c r="NTK3">
        <f>Database!NUD5</f>
        <v>0</v>
      </c>
      <c r="NTL3">
        <f>Database!NUE5</f>
        <v>0</v>
      </c>
      <c r="NTM3">
        <f>Database!NUF5</f>
        <v>0</v>
      </c>
      <c r="NTN3">
        <f>Database!NUG5</f>
        <v>0</v>
      </c>
      <c r="NTO3">
        <f>Database!NUH5</f>
        <v>0</v>
      </c>
      <c r="NTP3">
        <f>Database!NUI5</f>
        <v>0</v>
      </c>
      <c r="NTQ3">
        <f>Database!NUJ5</f>
        <v>0</v>
      </c>
      <c r="NTR3">
        <f>Database!NUK5</f>
        <v>0</v>
      </c>
      <c r="NTS3">
        <f>Database!NUL5</f>
        <v>0</v>
      </c>
      <c r="NTT3">
        <f>Database!NUM5</f>
        <v>0</v>
      </c>
      <c r="NTU3">
        <f>Database!NUN5</f>
        <v>0</v>
      </c>
      <c r="NTV3">
        <f>Database!NUO5</f>
        <v>0</v>
      </c>
      <c r="NTW3">
        <f>Database!NUP5</f>
        <v>0</v>
      </c>
      <c r="NTX3">
        <f>Database!NUQ5</f>
        <v>0</v>
      </c>
      <c r="NTY3">
        <f>Database!NUR5</f>
        <v>0</v>
      </c>
      <c r="NTZ3">
        <f>Database!NUS5</f>
        <v>0</v>
      </c>
      <c r="NUA3">
        <f>Database!NUT5</f>
        <v>0</v>
      </c>
      <c r="NUB3">
        <f>Database!NUU5</f>
        <v>0</v>
      </c>
      <c r="NUC3">
        <f>Database!NUV5</f>
        <v>0</v>
      </c>
      <c r="NUD3">
        <f>Database!NUW5</f>
        <v>0</v>
      </c>
      <c r="NUE3">
        <f>Database!NUX5</f>
        <v>0</v>
      </c>
      <c r="NUF3">
        <f>Database!NUY5</f>
        <v>0</v>
      </c>
      <c r="NUG3">
        <f>Database!NUZ5</f>
        <v>0</v>
      </c>
      <c r="NUH3">
        <f>Database!NVA5</f>
        <v>0</v>
      </c>
      <c r="NUI3">
        <f>Database!NVB5</f>
        <v>0</v>
      </c>
      <c r="NUJ3">
        <f>Database!NVC5</f>
        <v>0</v>
      </c>
      <c r="NUK3">
        <f>Database!NVD5</f>
        <v>0</v>
      </c>
      <c r="NUL3">
        <f>Database!NVE5</f>
        <v>0</v>
      </c>
      <c r="NUM3">
        <f>Database!NVF5</f>
        <v>0</v>
      </c>
      <c r="NUN3">
        <f>Database!NVG5</f>
        <v>0</v>
      </c>
      <c r="NUO3">
        <f>Database!NVH5</f>
        <v>0</v>
      </c>
      <c r="NUP3">
        <f>Database!NVI5</f>
        <v>0</v>
      </c>
      <c r="NUQ3">
        <f>Database!NVJ5</f>
        <v>0</v>
      </c>
      <c r="NUR3">
        <f>Database!NVK5</f>
        <v>0</v>
      </c>
      <c r="NUS3">
        <f>Database!NVL5</f>
        <v>0</v>
      </c>
      <c r="NUT3">
        <f>Database!NVM5</f>
        <v>0</v>
      </c>
      <c r="NUU3">
        <f>Database!NVN5</f>
        <v>0</v>
      </c>
      <c r="NUV3">
        <f>Database!NVO5</f>
        <v>0</v>
      </c>
      <c r="NUW3">
        <f>Database!NVP5</f>
        <v>0</v>
      </c>
      <c r="NUX3">
        <f>Database!NVQ5</f>
        <v>0</v>
      </c>
      <c r="NUY3">
        <f>Database!NVR5</f>
        <v>0</v>
      </c>
      <c r="NUZ3">
        <f>Database!NVS5</f>
        <v>0</v>
      </c>
      <c r="NVA3">
        <f>Database!NVT5</f>
        <v>0</v>
      </c>
      <c r="NVB3">
        <f>Database!NVU5</f>
        <v>0</v>
      </c>
      <c r="NVC3">
        <f>Database!NVV5</f>
        <v>0</v>
      </c>
      <c r="NVD3">
        <f>Database!NVW5</f>
        <v>0</v>
      </c>
      <c r="NVE3">
        <f>Database!NVX5</f>
        <v>0</v>
      </c>
      <c r="NVF3">
        <f>Database!NVY5</f>
        <v>0</v>
      </c>
      <c r="NVG3">
        <f>Database!NVZ5</f>
        <v>0</v>
      </c>
      <c r="NVH3">
        <f>Database!NWA5</f>
        <v>0</v>
      </c>
      <c r="NVI3">
        <f>Database!NWB5</f>
        <v>0</v>
      </c>
      <c r="NVJ3">
        <f>Database!NWC5</f>
        <v>0</v>
      </c>
      <c r="NVK3">
        <f>Database!NWD5</f>
        <v>0</v>
      </c>
      <c r="NVL3">
        <f>Database!NWE5</f>
        <v>0</v>
      </c>
      <c r="NVM3">
        <f>Database!NWF5</f>
        <v>0</v>
      </c>
      <c r="NVN3">
        <f>Database!NWG5</f>
        <v>0</v>
      </c>
      <c r="NVO3">
        <f>Database!NWH5</f>
        <v>0</v>
      </c>
      <c r="NVP3">
        <f>Database!NWI5</f>
        <v>0</v>
      </c>
      <c r="NVQ3">
        <f>Database!NWJ5</f>
        <v>0</v>
      </c>
      <c r="NVR3">
        <f>Database!NWK5</f>
        <v>0</v>
      </c>
      <c r="NVS3">
        <f>Database!NWL5</f>
        <v>0</v>
      </c>
      <c r="NVT3">
        <f>Database!NWM5</f>
        <v>0</v>
      </c>
      <c r="NVU3">
        <f>Database!NWN5</f>
        <v>0</v>
      </c>
      <c r="NVV3">
        <f>Database!NWO5</f>
        <v>0</v>
      </c>
      <c r="NVW3">
        <f>Database!NWP5</f>
        <v>0</v>
      </c>
      <c r="NVX3">
        <f>Database!NWQ5</f>
        <v>0</v>
      </c>
      <c r="NVY3">
        <f>Database!NWR5</f>
        <v>0</v>
      </c>
      <c r="NVZ3">
        <f>Database!NWS5</f>
        <v>0</v>
      </c>
      <c r="NWA3">
        <f>Database!NWT5</f>
        <v>0</v>
      </c>
      <c r="NWB3">
        <f>Database!NWU5</f>
        <v>0</v>
      </c>
      <c r="NWC3">
        <f>Database!NWV5</f>
        <v>0</v>
      </c>
      <c r="NWD3">
        <f>Database!NWW5</f>
        <v>0</v>
      </c>
      <c r="NWE3">
        <f>Database!NWX5</f>
        <v>0</v>
      </c>
      <c r="NWF3">
        <f>Database!NWY5</f>
        <v>0</v>
      </c>
      <c r="NWG3">
        <f>Database!NWZ5</f>
        <v>0</v>
      </c>
      <c r="NWH3">
        <f>Database!NXA5</f>
        <v>0</v>
      </c>
      <c r="NWI3">
        <f>Database!NXB5</f>
        <v>0</v>
      </c>
      <c r="NWJ3">
        <f>Database!NXC5</f>
        <v>0</v>
      </c>
      <c r="NWK3">
        <f>Database!NXD5</f>
        <v>0</v>
      </c>
      <c r="NWL3">
        <f>Database!NXE5</f>
        <v>0</v>
      </c>
      <c r="NWM3">
        <f>Database!NXF5</f>
        <v>0</v>
      </c>
      <c r="NWN3">
        <f>Database!NXG5</f>
        <v>0</v>
      </c>
      <c r="NWO3">
        <f>Database!NXH5</f>
        <v>0</v>
      </c>
      <c r="NWP3">
        <f>Database!NXI5</f>
        <v>0</v>
      </c>
      <c r="NWQ3">
        <f>Database!NXJ5</f>
        <v>0</v>
      </c>
      <c r="NWR3">
        <f>Database!NXK5</f>
        <v>0</v>
      </c>
      <c r="NWS3">
        <f>Database!NXL5</f>
        <v>0</v>
      </c>
      <c r="NWT3">
        <f>Database!NXM5</f>
        <v>0</v>
      </c>
      <c r="NWU3">
        <f>Database!NXN5</f>
        <v>0</v>
      </c>
      <c r="NWV3">
        <f>Database!NXO5</f>
        <v>0</v>
      </c>
      <c r="NWW3">
        <f>Database!NXP5</f>
        <v>0</v>
      </c>
      <c r="NWX3">
        <f>Database!NXQ5</f>
        <v>0</v>
      </c>
      <c r="NWY3">
        <f>Database!NXR5</f>
        <v>0</v>
      </c>
      <c r="NWZ3">
        <f>Database!NXS5</f>
        <v>0</v>
      </c>
      <c r="NXA3">
        <f>Database!NXT5</f>
        <v>0</v>
      </c>
      <c r="NXB3">
        <f>Database!NXU5</f>
        <v>0</v>
      </c>
      <c r="NXC3">
        <f>Database!NXV5</f>
        <v>0</v>
      </c>
      <c r="NXD3">
        <f>Database!NXW5</f>
        <v>0</v>
      </c>
      <c r="NXE3">
        <f>Database!NXX5</f>
        <v>0</v>
      </c>
      <c r="NXF3">
        <f>Database!NXY5</f>
        <v>0</v>
      </c>
      <c r="NXG3">
        <f>Database!NXZ5</f>
        <v>0</v>
      </c>
      <c r="NXH3">
        <f>Database!NYA5</f>
        <v>0</v>
      </c>
      <c r="NXI3">
        <f>Database!NYB5</f>
        <v>0</v>
      </c>
      <c r="NXJ3">
        <f>Database!NYC5</f>
        <v>0</v>
      </c>
      <c r="NXK3">
        <f>Database!NYD5</f>
        <v>0</v>
      </c>
      <c r="NXL3">
        <f>Database!NYE5</f>
        <v>0</v>
      </c>
      <c r="NXM3">
        <f>Database!NYF5</f>
        <v>0</v>
      </c>
      <c r="NXN3">
        <f>Database!NYG5</f>
        <v>0</v>
      </c>
      <c r="NXO3">
        <f>Database!NYH5</f>
        <v>0</v>
      </c>
      <c r="NXP3">
        <f>Database!NYI5</f>
        <v>0</v>
      </c>
      <c r="NXQ3">
        <f>Database!NYJ5</f>
        <v>0</v>
      </c>
      <c r="NXR3">
        <f>Database!NYK5</f>
        <v>0</v>
      </c>
      <c r="NXS3">
        <f>Database!NYL5</f>
        <v>0</v>
      </c>
      <c r="NXT3">
        <f>Database!NYM5</f>
        <v>0</v>
      </c>
      <c r="NXU3">
        <f>Database!NYN5</f>
        <v>0</v>
      </c>
      <c r="NXV3">
        <f>Database!NYO5</f>
        <v>0</v>
      </c>
      <c r="NXW3">
        <f>Database!NYP5</f>
        <v>0</v>
      </c>
      <c r="NXX3">
        <f>Database!NYQ5</f>
        <v>0</v>
      </c>
      <c r="NXY3">
        <f>Database!NYR5</f>
        <v>0</v>
      </c>
      <c r="NXZ3">
        <f>Database!NYS5</f>
        <v>0</v>
      </c>
      <c r="NYA3">
        <f>Database!NYT5</f>
        <v>0</v>
      </c>
      <c r="NYB3">
        <f>Database!NYU5</f>
        <v>0</v>
      </c>
      <c r="NYC3">
        <f>Database!NYV5</f>
        <v>0</v>
      </c>
      <c r="NYD3">
        <f>Database!NYW5</f>
        <v>0</v>
      </c>
      <c r="NYE3">
        <f>Database!NYX5</f>
        <v>0</v>
      </c>
      <c r="NYF3">
        <f>Database!NYY5</f>
        <v>0</v>
      </c>
      <c r="NYG3">
        <f>Database!NYZ5</f>
        <v>0</v>
      </c>
      <c r="NYH3">
        <f>Database!NZA5</f>
        <v>0</v>
      </c>
      <c r="NYI3">
        <f>Database!NZB5</f>
        <v>0</v>
      </c>
      <c r="NYJ3">
        <f>Database!NZC5</f>
        <v>0</v>
      </c>
      <c r="NYK3">
        <f>Database!NZD5</f>
        <v>0</v>
      </c>
      <c r="NYL3">
        <f>Database!NZE5</f>
        <v>0</v>
      </c>
      <c r="NYM3">
        <f>Database!NZF5</f>
        <v>0</v>
      </c>
      <c r="NYN3">
        <f>Database!NZG5</f>
        <v>0</v>
      </c>
      <c r="NYO3">
        <f>Database!NZH5</f>
        <v>0</v>
      </c>
      <c r="NYP3">
        <f>Database!NZI5</f>
        <v>0</v>
      </c>
      <c r="NYQ3">
        <f>Database!NZJ5</f>
        <v>0</v>
      </c>
      <c r="NYR3">
        <f>Database!NZK5</f>
        <v>0</v>
      </c>
      <c r="NYS3">
        <f>Database!NZL5</f>
        <v>0</v>
      </c>
      <c r="NYT3">
        <f>Database!NZM5</f>
        <v>0</v>
      </c>
      <c r="NYU3">
        <f>Database!NZN5</f>
        <v>0</v>
      </c>
      <c r="NYV3">
        <f>Database!NZO5</f>
        <v>0</v>
      </c>
      <c r="NYW3">
        <f>Database!NZP5</f>
        <v>0</v>
      </c>
      <c r="NYX3">
        <f>Database!NZQ5</f>
        <v>0</v>
      </c>
      <c r="NYY3">
        <f>Database!NZR5</f>
        <v>0</v>
      </c>
      <c r="NYZ3">
        <f>Database!NZS5</f>
        <v>0</v>
      </c>
      <c r="NZA3">
        <f>Database!NZT5</f>
        <v>0</v>
      </c>
      <c r="NZB3">
        <f>Database!NZU5</f>
        <v>0</v>
      </c>
      <c r="NZC3">
        <f>Database!NZV5</f>
        <v>0</v>
      </c>
      <c r="NZD3">
        <f>Database!NZW5</f>
        <v>0</v>
      </c>
      <c r="NZE3">
        <f>Database!NZX5</f>
        <v>0</v>
      </c>
      <c r="NZF3">
        <f>Database!NZY5</f>
        <v>0</v>
      </c>
      <c r="NZG3">
        <f>Database!NZZ5</f>
        <v>0</v>
      </c>
      <c r="NZH3">
        <f>Database!OAA5</f>
        <v>0</v>
      </c>
      <c r="NZI3">
        <f>Database!OAB5</f>
        <v>0</v>
      </c>
      <c r="NZJ3">
        <f>Database!OAC5</f>
        <v>0</v>
      </c>
      <c r="NZK3">
        <f>Database!OAD5</f>
        <v>0</v>
      </c>
      <c r="NZL3">
        <f>Database!OAE5</f>
        <v>0</v>
      </c>
      <c r="NZM3">
        <f>Database!OAF5</f>
        <v>0</v>
      </c>
      <c r="NZN3">
        <f>Database!OAG5</f>
        <v>0</v>
      </c>
      <c r="NZO3">
        <f>Database!OAH5</f>
        <v>0</v>
      </c>
      <c r="NZP3">
        <f>Database!OAI5</f>
        <v>0</v>
      </c>
      <c r="NZQ3">
        <f>Database!OAJ5</f>
        <v>0</v>
      </c>
      <c r="NZR3">
        <f>Database!OAK5</f>
        <v>0</v>
      </c>
      <c r="NZS3">
        <f>Database!OAL5</f>
        <v>0</v>
      </c>
      <c r="NZT3">
        <f>Database!OAM5</f>
        <v>0</v>
      </c>
      <c r="NZU3">
        <f>Database!OAN5</f>
        <v>0</v>
      </c>
      <c r="NZV3">
        <f>Database!OAO5</f>
        <v>0</v>
      </c>
      <c r="NZW3">
        <f>Database!OAP5</f>
        <v>0</v>
      </c>
      <c r="NZX3">
        <f>Database!OAQ5</f>
        <v>0</v>
      </c>
      <c r="NZY3">
        <f>Database!OAR5</f>
        <v>0</v>
      </c>
      <c r="NZZ3">
        <f>Database!OAS5</f>
        <v>0</v>
      </c>
      <c r="OAA3">
        <f>Database!OAT5</f>
        <v>0</v>
      </c>
      <c r="OAB3">
        <f>Database!OAU5</f>
        <v>0</v>
      </c>
      <c r="OAC3">
        <f>Database!OAV5</f>
        <v>0</v>
      </c>
      <c r="OAD3">
        <f>Database!OAW5</f>
        <v>0</v>
      </c>
      <c r="OAE3">
        <f>Database!OAX5</f>
        <v>0</v>
      </c>
      <c r="OAF3">
        <f>Database!OAY5</f>
        <v>0</v>
      </c>
      <c r="OAG3">
        <f>Database!OAZ5</f>
        <v>0</v>
      </c>
      <c r="OAH3">
        <f>Database!OBA5</f>
        <v>0</v>
      </c>
      <c r="OAI3">
        <f>Database!OBB5</f>
        <v>0</v>
      </c>
      <c r="OAJ3">
        <f>Database!OBC5</f>
        <v>0</v>
      </c>
      <c r="OAK3">
        <f>Database!OBD5</f>
        <v>0</v>
      </c>
      <c r="OAL3">
        <f>Database!OBE5</f>
        <v>0</v>
      </c>
      <c r="OAM3">
        <f>Database!OBF5</f>
        <v>0</v>
      </c>
      <c r="OAN3">
        <f>Database!OBG5</f>
        <v>0</v>
      </c>
      <c r="OAO3">
        <f>Database!OBH5</f>
        <v>0</v>
      </c>
      <c r="OAP3">
        <f>Database!OBI5</f>
        <v>0</v>
      </c>
      <c r="OAQ3">
        <f>Database!OBJ5</f>
        <v>0</v>
      </c>
      <c r="OAR3">
        <f>Database!OBK5</f>
        <v>0</v>
      </c>
      <c r="OAS3">
        <f>Database!OBL5</f>
        <v>0</v>
      </c>
      <c r="OAT3">
        <f>Database!OBM5</f>
        <v>0</v>
      </c>
      <c r="OAU3">
        <f>Database!OBN5</f>
        <v>0</v>
      </c>
      <c r="OAV3">
        <f>Database!OBO5</f>
        <v>0</v>
      </c>
      <c r="OAW3">
        <f>Database!OBP5</f>
        <v>0</v>
      </c>
      <c r="OAX3">
        <f>Database!OBQ5</f>
        <v>0</v>
      </c>
      <c r="OAY3">
        <f>Database!OBR5</f>
        <v>0</v>
      </c>
      <c r="OAZ3">
        <f>Database!OBS5</f>
        <v>0</v>
      </c>
      <c r="OBA3">
        <f>Database!OBT5</f>
        <v>0</v>
      </c>
      <c r="OBB3">
        <f>Database!OBU5</f>
        <v>0</v>
      </c>
      <c r="OBC3">
        <f>Database!OBV5</f>
        <v>0</v>
      </c>
      <c r="OBD3">
        <f>Database!OBW5</f>
        <v>0</v>
      </c>
      <c r="OBE3">
        <f>Database!OBX5</f>
        <v>0</v>
      </c>
      <c r="OBF3">
        <f>Database!OBY5</f>
        <v>0</v>
      </c>
      <c r="OBG3">
        <f>Database!OBZ5</f>
        <v>0</v>
      </c>
      <c r="OBH3">
        <f>Database!OCA5</f>
        <v>0</v>
      </c>
      <c r="OBI3">
        <f>Database!OCB5</f>
        <v>0</v>
      </c>
      <c r="OBJ3">
        <f>Database!OCC5</f>
        <v>0</v>
      </c>
      <c r="OBK3">
        <f>Database!OCD5</f>
        <v>0</v>
      </c>
      <c r="OBL3">
        <f>Database!OCE5</f>
        <v>0</v>
      </c>
      <c r="OBM3">
        <f>Database!OCF5</f>
        <v>0</v>
      </c>
      <c r="OBN3">
        <f>Database!OCG5</f>
        <v>0</v>
      </c>
      <c r="OBO3">
        <f>Database!OCH5</f>
        <v>0</v>
      </c>
      <c r="OBP3">
        <f>Database!OCI5</f>
        <v>0</v>
      </c>
      <c r="OBQ3">
        <f>Database!OCJ5</f>
        <v>0</v>
      </c>
      <c r="OBR3">
        <f>Database!OCK5</f>
        <v>0</v>
      </c>
      <c r="OBS3">
        <f>Database!OCL5</f>
        <v>0</v>
      </c>
      <c r="OBT3">
        <f>Database!OCM5</f>
        <v>0</v>
      </c>
      <c r="OBU3">
        <f>Database!OCN5</f>
        <v>0</v>
      </c>
      <c r="OBV3">
        <f>Database!OCO5</f>
        <v>0</v>
      </c>
      <c r="OBW3">
        <f>Database!OCP5</f>
        <v>0</v>
      </c>
      <c r="OBX3">
        <f>Database!OCQ5</f>
        <v>0</v>
      </c>
      <c r="OBY3">
        <f>Database!OCR5</f>
        <v>0</v>
      </c>
      <c r="OBZ3">
        <f>Database!OCS5</f>
        <v>0</v>
      </c>
      <c r="OCA3">
        <f>Database!OCT5</f>
        <v>0</v>
      </c>
      <c r="OCB3">
        <f>Database!OCU5</f>
        <v>0</v>
      </c>
      <c r="OCC3">
        <f>Database!OCV5</f>
        <v>0</v>
      </c>
      <c r="OCD3">
        <f>Database!OCW5</f>
        <v>0</v>
      </c>
      <c r="OCE3">
        <f>Database!OCX5</f>
        <v>0</v>
      </c>
      <c r="OCF3">
        <f>Database!OCY5</f>
        <v>0</v>
      </c>
      <c r="OCG3">
        <f>Database!OCZ5</f>
        <v>0</v>
      </c>
      <c r="OCH3">
        <f>Database!ODA5</f>
        <v>0</v>
      </c>
      <c r="OCI3">
        <f>Database!ODB5</f>
        <v>0</v>
      </c>
      <c r="OCJ3">
        <f>Database!ODC5</f>
        <v>0</v>
      </c>
      <c r="OCK3">
        <f>Database!ODD5</f>
        <v>0</v>
      </c>
      <c r="OCL3">
        <f>Database!ODE5</f>
        <v>0</v>
      </c>
      <c r="OCM3">
        <f>Database!ODF5</f>
        <v>0</v>
      </c>
      <c r="OCN3">
        <f>Database!ODG5</f>
        <v>0</v>
      </c>
      <c r="OCO3">
        <f>Database!ODH5</f>
        <v>0</v>
      </c>
      <c r="OCP3">
        <f>Database!ODI5</f>
        <v>0</v>
      </c>
      <c r="OCQ3">
        <f>Database!ODJ5</f>
        <v>0</v>
      </c>
      <c r="OCR3">
        <f>Database!ODK5</f>
        <v>0</v>
      </c>
      <c r="OCS3">
        <f>Database!ODL5</f>
        <v>0</v>
      </c>
      <c r="OCT3">
        <f>Database!ODM5</f>
        <v>0</v>
      </c>
      <c r="OCU3">
        <f>Database!ODN5</f>
        <v>0</v>
      </c>
      <c r="OCV3">
        <f>Database!ODO5</f>
        <v>0</v>
      </c>
      <c r="OCW3">
        <f>Database!ODP5</f>
        <v>0</v>
      </c>
      <c r="OCX3">
        <f>Database!ODQ5</f>
        <v>0</v>
      </c>
      <c r="OCY3">
        <f>Database!ODR5</f>
        <v>0</v>
      </c>
      <c r="OCZ3">
        <f>Database!ODS5</f>
        <v>0</v>
      </c>
      <c r="ODA3">
        <f>Database!ODT5</f>
        <v>0</v>
      </c>
      <c r="ODB3">
        <f>Database!ODU5</f>
        <v>0</v>
      </c>
      <c r="ODC3">
        <f>Database!ODV5</f>
        <v>0</v>
      </c>
      <c r="ODD3">
        <f>Database!ODW5</f>
        <v>0</v>
      </c>
      <c r="ODE3">
        <f>Database!ODX5</f>
        <v>0</v>
      </c>
      <c r="ODF3">
        <f>Database!ODY5</f>
        <v>0</v>
      </c>
      <c r="ODG3">
        <f>Database!ODZ5</f>
        <v>0</v>
      </c>
      <c r="ODH3">
        <f>Database!OEA5</f>
        <v>0</v>
      </c>
      <c r="ODI3">
        <f>Database!OEB5</f>
        <v>0</v>
      </c>
      <c r="ODJ3">
        <f>Database!OEC5</f>
        <v>0</v>
      </c>
      <c r="ODK3">
        <f>Database!OED5</f>
        <v>0</v>
      </c>
      <c r="ODL3">
        <f>Database!OEE5</f>
        <v>0</v>
      </c>
      <c r="ODM3">
        <f>Database!OEF5</f>
        <v>0</v>
      </c>
      <c r="ODN3">
        <f>Database!OEG5</f>
        <v>0</v>
      </c>
      <c r="ODO3">
        <f>Database!OEH5</f>
        <v>0</v>
      </c>
      <c r="ODP3">
        <f>Database!OEI5</f>
        <v>0</v>
      </c>
      <c r="ODQ3">
        <f>Database!OEJ5</f>
        <v>0</v>
      </c>
      <c r="ODR3">
        <f>Database!OEK5</f>
        <v>0</v>
      </c>
      <c r="ODS3">
        <f>Database!OEL5</f>
        <v>0</v>
      </c>
      <c r="ODT3">
        <f>Database!OEM5</f>
        <v>0</v>
      </c>
      <c r="ODU3">
        <f>Database!OEN5</f>
        <v>0</v>
      </c>
      <c r="ODV3">
        <f>Database!OEO5</f>
        <v>0</v>
      </c>
      <c r="ODW3">
        <f>Database!OEP5</f>
        <v>0</v>
      </c>
      <c r="ODX3">
        <f>Database!OEQ5</f>
        <v>0</v>
      </c>
      <c r="ODY3">
        <f>Database!OER5</f>
        <v>0</v>
      </c>
      <c r="ODZ3">
        <f>Database!OES5</f>
        <v>0</v>
      </c>
      <c r="OEA3">
        <f>Database!OET5</f>
        <v>0</v>
      </c>
      <c r="OEB3">
        <f>Database!OEU5</f>
        <v>0</v>
      </c>
      <c r="OEC3">
        <f>Database!OEV5</f>
        <v>0</v>
      </c>
      <c r="OED3">
        <f>Database!OEW5</f>
        <v>0</v>
      </c>
      <c r="OEE3">
        <f>Database!OEX5</f>
        <v>0</v>
      </c>
      <c r="OEF3">
        <f>Database!OEY5</f>
        <v>0</v>
      </c>
      <c r="OEG3">
        <f>Database!OEZ5</f>
        <v>0</v>
      </c>
      <c r="OEH3">
        <f>Database!OFA5</f>
        <v>0</v>
      </c>
      <c r="OEI3">
        <f>Database!OFB5</f>
        <v>0</v>
      </c>
      <c r="OEJ3">
        <f>Database!OFC5</f>
        <v>0</v>
      </c>
      <c r="OEK3">
        <f>Database!OFD5</f>
        <v>0</v>
      </c>
      <c r="OEL3">
        <f>Database!OFE5</f>
        <v>0</v>
      </c>
      <c r="OEM3">
        <f>Database!OFF5</f>
        <v>0</v>
      </c>
      <c r="OEN3">
        <f>Database!OFG5</f>
        <v>0</v>
      </c>
      <c r="OEO3">
        <f>Database!OFH5</f>
        <v>0</v>
      </c>
      <c r="OEP3">
        <f>Database!OFI5</f>
        <v>0</v>
      </c>
      <c r="OEQ3">
        <f>Database!OFJ5</f>
        <v>0</v>
      </c>
      <c r="OER3">
        <f>Database!OFK5</f>
        <v>0</v>
      </c>
      <c r="OES3">
        <f>Database!OFL5</f>
        <v>0</v>
      </c>
      <c r="OET3">
        <f>Database!OFM5</f>
        <v>0</v>
      </c>
      <c r="OEU3">
        <f>Database!OFN5</f>
        <v>0</v>
      </c>
      <c r="OEV3">
        <f>Database!OFO5</f>
        <v>0</v>
      </c>
      <c r="OEW3">
        <f>Database!OFP5</f>
        <v>0</v>
      </c>
      <c r="OEX3">
        <f>Database!OFQ5</f>
        <v>0</v>
      </c>
      <c r="OEY3">
        <f>Database!OFR5</f>
        <v>0</v>
      </c>
      <c r="OEZ3">
        <f>Database!OFS5</f>
        <v>0</v>
      </c>
      <c r="OFA3">
        <f>Database!OFT5</f>
        <v>0</v>
      </c>
      <c r="OFB3">
        <f>Database!OFU5</f>
        <v>0</v>
      </c>
      <c r="OFC3">
        <f>Database!OFV5</f>
        <v>0</v>
      </c>
      <c r="OFD3">
        <f>Database!OFW5</f>
        <v>0</v>
      </c>
      <c r="OFE3">
        <f>Database!OFX5</f>
        <v>0</v>
      </c>
      <c r="OFF3">
        <f>Database!OFY5</f>
        <v>0</v>
      </c>
      <c r="OFG3">
        <f>Database!OFZ5</f>
        <v>0</v>
      </c>
      <c r="OFH3">
        <f>Database!OGA5</f>
        <v>0</v>
      </c>
      <c r="OFI3">
        <f>Database!OGB5</f>
        <v>0</v>
      </c>
      <c r="OFJ3">
        <f>Database!OGC5</f>
        <v>0</v>
      </c>
      <c r="OFK3">
        <f>Database!OGD5</f>
        <v>0</v>
      </c>
      <c r="OFL3">
        <f>Database!OGE5</f>
        <v>0</v>
      </c>
      <c r="OFM3">
        <f>Database!OGF5</f>
        <v>0</v>
      </c>
      <c r="OFN3">
        <f>Database!OGG5</f>
        <v>0</v>
      </c>
      <c r="OFO3">
        <f>Database!OGH5</f>
        <v>0</v>
      </c>
      <c r="OFP3">
        <f>Database!OGI5</f>
        <v>0</v>
      </c>
      <c r="OFQ3">
        <f>Database!OGJ5</f>
        <v>0</v>
      </c>
      <c r="OFR3">
        <f>Database!OGK5</f>
        <v>0</v>
      </c>
      <c r="OFS3">
        <f>Database!OGL5</f>
        <v>0</v>
      </c>
      <c r="OFT3">
        <f>Database!OGM5</f>
        <v>0</v>
      </c>
      <c r="OFU3">
        <f>Database!OGN5</f>
        <v>0</v>
      </c>
      <c r="OFV3">
        <f>Database!OGO5</f>
        <v>0</v>
      </c>
      <c r="OFW3">
        <f>Database!OGP5</f>
        <v>0</v>
      </c>
      <c r="OFX3">
        <f>Database!OGQ5</f>
        <v>0</v>
      </c>
      <c r="OFY3">
        <f>Database!OGR5</f>
        <v>0</v>
      </c>
      <c r="OFZ3">
        <f>Database!OGS5</f>
        <v>0</v>
      </c>
      <c r="OGA3">
        <f>Database!OGT5</f>
        <v>0</v>
      </c>
      <c r="OGB3">
        <f>Database!OGU5</f>
        <v>0</v>
      </c>
      <c r="OGC3">
        <f>Database!OGV5</f>
        <v>0</v>
      </c>
      <c r="OGD3">
        <f>Database!OGW5</f>
        <v>0</v>
      </c>
      <c r="OGE3">
        <f>Database!OGX5</f>
        <v>0</v>
      </c>
      <c r="OGF3">
        <f>Database!OGY5</f>
        <v>0</v>
      </c>
      <c r="OGG3">
        <f>Database!OGZ5</f>
        <v>0</v>
      </c>
      <c r="OGH3">
        <f>Database!OHA5</f>
        <v>0</v>
      </c>
      <c r="OGI3">
        <f>Database!OHB5</f>
        <v>0</v>
      </c>
      <c r="OGJ3">
        <f>Database!OHC5</f>
        <v>0</v>
      </c>
      <c r="OGK3">
        <f>Database!OHD5</f>
        <v>0</v>
      </c>
      <c r="OGL3">
        <f>Database!OHE5</f>
        <v>0</v>
      </c>
      <c r="OGM3">
        <f>Database!OHF5</f>
        <v>0</v>
      </c>
      <c r="OGN3">
        <f>Database!OHG5</f>
        <v>0</v>
      </c>
      <c r="OGO3">
        <f>Database!OHH5</f>
        <v>0</v>
      </c>
      <c r="OGP3">
        <f>Database!OHI5</f>
        <v>0</v>
      </c>
      <c r="OGQ3">
        <f>Database!OHJ5</f>
        <v>0</v>
      </c>
      <c r="OGR3">
        <f>Database!OHK5</f>
        <v>0</v>
      </c>
      <c r="OGS3">
        <f>Database!OHL5</f>
        <v>0</v>
      </c>
      <c r="OGT3">
        <f>Database!OHM5</f>
        <v>0</v>
      </c>
      <c r="OGU3">
        <f>Database!OHN5</f>
        <v>0</v>
      </c>
      <c r="OGV3">
        <f>Database!OHO5</f>
        <v>0</v>
      </c>
      <c r="OGW3">
        <f>Database!OHP5</f>
        <v>0</v>
      </c>
      <c r="OGX3">
        <f>Database!OHQ5</f>
        <v>0</v>
      </c>
      <c r="OGY3">
        <f>Database!OHR5</f>
        <v>0</v>
      </c>
      <c r="OGZ3">
        <f>Database!OHS5</f>
        <v>0</v>
      </c>
      <c r="OHA3">
        <f>Database!OHT5</f>
        <v>0</v>
      </c>
      <c r="OHB3">
        <f>Database!OHU5</f>
        <v>0</v>
      </c>
      <c r="OHC3">
        <f>Database!OHV5</f>
        <v>0</v>
      </c>
      <c r="OHD3">
        <f>Database!OHW5</f>
        <v>0</v>
      </c>
      <c r="OHE3">
        <f>Database!OHX5</f>
        <v>0</v>
      </c>
      <c r="OHF3">
        <f>Database!OHY5</f>
        <v>0</v>
      </c>
      <c r="OHG3">
        <f>Database!OHZ5</f>
        <v>0</v>
      </c>
      <c r="OHH3">
        <f>Database!OIA5</f>
        <v>0</v>
      </c>
      <c r="OHI3">
        <f>Database!OIB5</f>
        <v>0</v>
      </c>
      <c r="OHJ3">
        <f>Database!OIC5</f>
        <v>0</v>
      </c>
      <c r="OHK3">
        <f>Database!OID5</f>
        <v>0</v>
      </c>
      <c r="OHL3">
        <f>Database!OIE5</f>
        <v>0</v>
      </c>
      <c r="OHM3">
        <f>Database!OIF5</f>
        <v>0</v>
      </c>
      <c r="OHN3">
        <f>Database!OIG5</f>
        <v>0</v>
      </c>
      <c r="OHO3">
        <f>Database!OIH5</f>
        <v>0</v>
      </c>
      <c r="OHP3">
        <f>Database!OII5</f>
        <v>0</v>
      </c>
      <c r="OHQ3">
        <f>Database!OIJ5</f>
        <v>0</v>
      </c>
      <c r="OHR3">
        <f>Database!OIK5</f>
        <v>0</v>
      </c>
      <c r="OHS3">
        <f>Database!OIL5</f>
        <v>0</v>
      </c>
      <c r="OHT3">
        <f>Database!OIM5</f>
        <v>0</v>
      </c>
      <c r="OHU3">
        <f>Database!OIN5</f>
        <v>0</v>
      </c>
      <c r="OHV3">
        <f>Database!OIO5</f>
        <v>0</v>
      </c>
      <c r="OHW3">
        <f>Database!OIP5</f>
        <v>0</v>
      </c>
      <c r="OHX3">
        <f>Database!OIQ5</f>
        <v>0</v>
      </c>
      <c r="OHY3">
        <f>Database!OIR5</f>
        <v>0</v>
      </c>
      <c r="OHZ3">
        <f>Database!OIS5</f>
        <v>0</v>
      </c>
      <c r="OIA3">
        <f>Database!OIT5</f>
        <v>0</v>
      </c>
      <c r="OIB3">
        <f>Database!OIU5</f>
        <v>0</v>
      </c>
      <c r="OIC3">
        <f>Database!OIV5</f>
        <v>0</v>
      </c>
      <c r="OID3">
        <f>Database!OIW5</f>
        <v>0</v>
      </c>
      <c r="OIE3">
        <f>Database!OIX5</f>
        <v>0</v>
      </c>
      <c r="OIF3">
        <f>Database!OIY5</f>
        <v>0</v>
      </c>
      <c r="OIG3">
        <f>Database!OIZ5</f>
        <v>0</v>
      </c>
      <c r="OIH3">
        <f>Database!OJA5</f>
        <v>0</v>
      </c>
      <c r="OII3">
        <f>Database!OJB5</f>
        <v>0</v>
      </c>
      <c r="OIJ3">
        <f>Database!OJC5</f>
        <v>0</v>
      </c>
      <c r="OIK3">
        <f>Database!OJD5</f>
        <v>0</v>
      </c>
      <c r="OIL3">
        <f>Database!OJE5</f>
        <v>0</v>
      </c>
      <c r="OIM3">
        <f>Database!OJF5</f>
        <v>0</v>
      </c>
      <c r="OIN3">
        <f>Database!OJG5</f>
        <v>0</v>
      </c>
      <c r="OIO3">
        <f>Database!OJH5</f>
        <v>0</v>
      </c>
      <c r="OIP3">
        <f>Database!OJI5</f>
        <v>0</v>
      </c>
      <c r="OIQ3">
        <f>Database!OJJ5</f>
        <v>0</v>
      </c>
      <c r="OIR3">
        <f>Database!OJK5</f>
        <v>0</v>
      </c>
      <c r="OIS3">
        <f>Database!OJL5</f>
        <v>0</v>
      </c>
      <c r="OIT3">
        <f>Database!OJM5</f>
        <v>0</v>
      </c>
      <c r="OIU3">
        <f>Database!OJN5</f>
        <v>0</v>
      </c>
      <c r="OIV3">
        <f>Database!OJO5</f>
        <v>0</v>
      </c>
      <c r="OIW3">
        <f>Database!OJP5</f>
        <v>0</v>
      </c>
      <c r="OIX3">
        <f>Database!OJQ5</f>
        <v>0</v>
      </c>
      <c r="OIY3">
        <f>Database!OJR5</f>
        <v>0</v>
      </c>
      <c r="OIZ3">
        <f>Database!OJS5</f>
        <v>0</v>
      </c>
      <c r="OJA3">
        <f>Database!OJT5</f>
        <v>0</v>
      </c>
      <c r="OJB3">
        <f>Database!OJU5</f>
        <v>0</v>
      </c>
      <c r="OJC3">
        <f>Database!OJV5</f>
        <v>0</v>
      </c>
      <c r="OJD3">
        <f>Database!OJW5</f>
        <v>0</v>
      </c>
      <c r="OJE3">
        <f>Database!OJX5</f>
        <v>0</v>
      </c>
      <c r="OJF3">
        <f>Database!OJY5</f>
        <v>0</v>
      </c>
      <c r="OJG3">
        <f>Database!OJZ5</f>
        <v>0</v>
      </c>
      <c r="OJH3">
        <f>Database!OKA5</f>
        <v>0</v>
      </c>
      <c r="OJI3">
        <f>Database!OKB5</f>
        <v>0</v>
      </c>
      <c r="OJJ3">
        <f>Database!OKC5</f>
        <v>0</v>
      </c>
      <c r="OJK3">
        <f>Database!OKD5</f>
        <v>0</v>
      </c>
      <c r="OJL3">
        <f>Database!OKE5</f>
        <v>0</v>
      </c>
      <c r="OJM3">
        <f>Database!OKF5</f>
        <v>0</v>
      </c>
      <c r="OJN3">
        <f>Database!OKG5</f>
        <v>0</v>
      </c>
      <c r="OJO3">
        <f>Database!OKH5</f>
        <v>0</v>
      </c>
      <c r="OJP3">
        <f>Database!OKI5</f>
        <v>0</v>
      </c>
      <c r="OJQ3">
        <f>Database!OKJ5</f>
        <v>0</v>
      </c>
      <c r="OJR3">
        <f>Database!OKK5</f>
        <v>0</v>
      </c>
      <c r="OJS3">
        <f>Database!OKL5</f>
        <v>0</v>
      </c>
      <c r="OJT3">
        <f>Database!OKM5</f>
        <v>0</v>
      </c>
      <c r="OJU3">
        <f>Database!OKN5</f>
        <v>0</v>
      </c>
      <c r="OJV3">
        <f>Database!OKO5</f>
        <v>0</v>
      </c>
      <c r="OJW3">
        <f>Database!OKP5</f>
        <v>0</v>
      </c>
      <c r="OJX3">
        <f>Database!OKQ5</f>
        <v>0</v>
      </c>
      <c r="OJY3">
        <f>Database!OKR5</f>
        <v>0</v>
      </c>
      <c r="OJZ3">
        <f>Database!OKS5</f>
        <v>0</v>
      </c>
      <c r="OKA3">
        <f>Database!OKT5</f>
        <v>0</v>
      </c>
      <c r="OKB3">
        <f>Database!OKU5</f>
        <v>0</v>
      </c>
      <c r="OKC3">
        <f>Database!OKV5</f>
        <v>0</v>
      </c>
      <c r="OKD3">
        <f>Database!OKW5</f>
        <v>0</v>
      </c>
      <c r="OKE3">
        <f>Database!OKX5</f>
        <v>0</v>
      </c>
      <c r="OKF3">
        <f>Database!OKY5</f>
        <v>0</v>
      </c>
      <c r="OKG3">
        <f>Database!OKZ5</f>
        <v>0</v>
      </c>
      <c r="OKH3">
        <f>Database!OLA5</f>
        <v>0</v>
      </c>
      <c r="OKI3">
        <f>Database!OLB5</f>
        <v>0</v>
      </c>
      <c r="OKJ3">
        <f>Database!OLC5</f>
        <v>0</v>
      </c>
      <c r="OKK3">
        <f>Database!OLD5</f>
        <v>0</v>
      </c>
      <c r="OKL3">
        <f>Database!OLE5</f>
        <v>0</v>
      </c>
      <c r="OKM3">
        <f>Database!OLF5</f>
        <v>0</v>
      </c>
      <c r="OKN3">
        <f>Database!OLG5</f>
        <v>0</v>
      </c>
      <c r="OKO3">
        <f>Database!OLH5</f>
        <v>0</v>
      </c>
      <c r="OKP3">
        <f>Database!OLI5</f>
        <v>0</v>
      </c>
      <c r="OKQ3">
        <f>Database!OLJ5</f>
        <v>0</v>
      </c>
      <c r="OKR3">
        <f>Database!OLK5</f>
        <v>0</v>
      </c>
      <c r="OKS3">
        <f>Database!OLL5</f>
        <v>0</v>
      </c>
      <c r="OKT3">
        <f>Database!OLM5</f>
        <v>0</v>
      </c>
      <c r="OKU3">
        <f>Database!OLN5</f>
        <v>0</v>
      </c>
      <c r="OKV3">
        <f>Database!OLO5</f>
        <v>0</v>
      </c>
      <c r="OKW3">
        <f>Database!OLP5</f>
        <v>0</v>
      </c>
      <c r="OKX3">
        <f>Database!OLQ5</f>
        <v>0</v>
      </c>
      <c r="OKY3">
        <f>Database!OLR5</f>
        <v>0</v>
      </c>
      <c r="OKZ3">
        <f>Database!OLS5</f>
        <v>0</v>
      </c>
      <c r="OLA3">
        <f>Database!OLT5</f>
        <v>0</v>
      </c>
      <c r="OLB3">
        <f>Database!OLU5</f>
        <v>0</v>
      </c>
      <c r="OLC3">
        <f>Database!OLV5</f>
        <v>0</v>
      </c>
      <c r="OLD3">
        <f>Database!OLW5</f>
        <v>0</v>
      </c>
      <c r="OLE3">
        <f>Database!OLX5</f>
        <v>0</v>
      </c>
      <c r="OLF3">
        <f>Database!OLY5</f>
        <v>0</v>
      </c>
      <c r="OLG3">
        <f>Database!OLZ5</f>
        <v>0</v>
      </c>
      <c r="OLH3">
        <f>Database!OMA5</f>
        <v>0</v>
      </c>
      <c r="OLI3">
        <f>Database!OMB5</f>
        <v>0</v>
      </c>
      <c r="OLJ3">
        <f>Database!OMC5</f>
        <v>0</v>
      </c>
      <c r="OLK3">
        <f>Database!OMD5</f>
        <v>0</v>
      </c>
      <c r="OLL3">
        <f>Database!OME5</f>
        <v>0</v>
      </c>
      <c r="OLM3">
        <f>Database!OMF5</f>
        <v>0</v>
      </c>
      <c r="OLN3">
        <f>Database!OMG5</f>
        <v>0</v>
      </c>
      <c r="OLO3">
        <f>Database!OMH5</f>
        <v>0</v>
      </c>
      <c r="OLP3">
        <f>Database!OMI5</f>
        <v>0</v>
      </c>
      <c r="OLQ3">
        <f>Database!OMJ5</f>
        <v>0</v>
      </c>
      <c r="OLR3">
        <f>Database!OMK5</f>
        <v>0</v>
      </c>
      <c r="OLS3">
        <f>Database!OML5</f>
        <v>0</v>
      </c>
      <c r="OLT3">
        <f>Database!OMM5</f>
        <v>0</v>
      </c>
      <c r="OLU3">
        <f>Database!OMN5</f>
        <v>0</v>
      </c>
      <c r="OLV3">
        <f>Database!OMO5</f>
        <v>0</v>
      </c>
      <c r="OLW3">
        <f>Database!OMP5</f>
        <v>0</v>
      </c>
      <c r="OLX3">
        <f>Database!OMQ5</f>
        <v>0</v>
      </c>
      <c r="OLY3">
        <f>Database!OMR5</f>
        <v>0</v>
      </c>
      <c r="OLZ3">
        <f>Database!OMS5</f>
        <v>0</v>
      </c>
      <c r="OMA3">
        <f>Database!OMT5</f>
        <v>0</v>
      </c>
      <c r="OMB3">
        <f>Database!OMU5</f>
        <v>0</v>
      </c>
      <c r="OMC3">
        <f>Database!OMV5</f>
        <v>0</v>
      </c>
      <c r="OMD3">
        <f>Database!OMW5</f>
        <v>0</v>
      </c>
      <c r="OME3">
        <f>Database!OMX5</f>
        <v>0</v>
      </c>
      <c r="OMF3">
        <f>Database!OMY5</f>
        <v>0</v>
      </c>
      <c r="OMG3">
        <f>Database!OMZ5</f>
        <v>0</v>
      </c>
      <c r="OMH3">
        <f>Database!ONA5</f>
        <v>0</v>
      </c>
      <c r="OMI3">
        <f>Database!ONB5</f>
        <v>0</v>
      </c>
      <c r="OMJ3">
        <f>Database!ONC5</f>
        <v>0</v>
      </c>
      <c r="OMK3">
        <f>Database!OND5</f>
        <v>0</v>
      </c>
      <c r="OML3">
        <f>Database!ONE5</f>
        <v>0</v>
      </c>
      <c r="OMM3">
        <f>Database!ONF5</f>
        <v>0</v>
      </c>
      <c r="OMN3">
        <f>Database!ONG5</f>
        <v>0</v>
      </c>
      <c r="OMO3">
        <f>Database!ONH5</f>
        <v>0</v>
      </c>
      <c r="OMP3">
        <f>Database!ONI5</f>
        <v>0</v>
      </c>
      <c r="OMQ3">
        <f>Database!ONJ5</f>
        <v>0</v>
      </c>
      <c r="OMR3">
        <f>Database!ONK5</f>
        <v>0</v>
      </c>
      <c r="OMS3">
        <f>Database!ONL5</f>
        <v>0</v>
      </c>
      <c r="OMT3">
        <f>Database!ONM5</f>
        <v>0</v>
      </c>
      <c r="OMU3">
        <f>Database!ONN5</f>
        <v>0</v>
      </c>
      <c r="OMV3">
        <f>Database!ONO5</f>
        <v>0</v>
      </c>
      <c r="OMW3">
        <f>Database!ONP5</f>
        <v>0</v>
      </c>
      <c r="OMX3">
        <f>Database!ONQ5</f>
        <v>0</v>
      </c>
      <c r="OMY3">
        <f>Database!ONR5</f>
        <v>0</v>
      </c>
      <c r="OMZ3">
        <f>Database!ONS5</f>
        <v>0</v>
      </c>
      <c r="ONA3">
        <f>Database!ONT5</f>
        <v>0</v>
      </c>
      <c r="ONB3">
        <f>Database!ONU5</f>
        <v>0</v>
      </c>
      <c r="ONC3">
        <f>Database!ONV5</f>
        <v>0</v>
      </c>
      <c r="OND3">
        <f>Database!ONW5</f>
        <v>0</v>
      </c>
      <c r="ONE3">
        <f>Database!ONX5</f>
        <v>0</v>
      </c>
      <c r="ONF3">
        <f>Database!ONY5</f>
        <v>0</v>
      </c>
      <c r="ONG3">
        <f>Database!ONZ5</f>
        <v>0</v>
      </c>
      <c r="ONH3">
        <f>Database!OOA5</f>
        <v>0</v>
      </c>
      <c r="ONI3">
        <f>Database!OOB5</f>
        <v>0</v>
      </c>
      <c r="ONJ3">
        <f>Database!OOC5</f>
        <v>0</v>
      </c>
      <c r="ONK3">
        <f>Database!OOD5</f>
        <v>0</v>
      </c>
      <c r="ONL3">
        <f>Database!OOE5</f>
        <v>0</v>
      </c>
      <c r="ONM3">
        <f>Database!OOF5</f>
        <v>0</v>
      </c>
      <c r="ONN3">
        <f>Database!OOG5</f>
        <v>0</v>
      </c>
      <c r="ONO3">
        <f>Database!OOH5</f>
        <v>0</v>
      </c>
      <c r="ONP3">
        <f>Database!OOI5</f>
        <v>0</v>
      </c>
      <c r="ONQ3">
        <f>Database!OOJ5</f>
        <v>0</v>
      </c>
      <c r="ONR3">
        <f>Database!OOK5</f>
        <v>0</v>
      </c>
      <c r="ONS3">
        <f>Database!OOL5</f>
        <v>0</v>
      </c>
      <c r="ONT3">
        <f>Database!OOM5</f>
        <v>0</v>
      </c>
      <c r="ONU3">
        <f>Database!OON5</f>
        <v>0</v>
      </c>
      <c r="ONV3">
        <f>Database!OOO5</f>
        <v>0</v>
      </c>
      <c r="ONW3">
        <f>Database!OOP5</f>
        <v>0</v>
      </c>
      <c r="ONX3">
        <f>Database!OOQ5</f>
        <v>0</v>
      </c>
      <c r="ONY3">
        <f>Database!OOR5</f>
        <v>0</v>
      </c>
      <c r="ONZ3">
        <f>Database!OOS5</f>
        <v>0</v>
      </c>
      <c r="OOA3">
        <f>Database!OOT5</f>
        <v>0</v>
      </c>
      <c r="OOB3">
        <f>Database!OOU5</f>
        <v>0</v>
      </c>
      <c r="OOC3">
        <f>Database!OOV5</f>
        <v>0</v>
      </c>
      <c r="OOD3">
        <f>Database!OOW5</f>
        <v>0</v>
      </c>
      <c r="OOE3">
        <f>Database!OOX5</f>
        <v>0</v>
      </c>
      <c r="OOF3">
        <f>Database!OOY5</f>
        <v>0</v>
      </c>
      <c r="OOG3">
        <f>Database!OOZ5</f>
        <v>0</v>
      </c>
      <c r="OOH3">
        <f>Database!OPA5</f>
        <v>0</v>
      </c>
      <c r="OOI3">
        <f>Database!OPB5</f>
        <v>0</v>
      </c>
      <c r="OOJ3">
        <f>Database!OPC5</f>
        <v>0</v>
      </c>
      <c r="OOK3">
        <f>Database!OPD5</f>
        <v>0</v>
      </c>
      <c r="OOL3">
        <f>Database!OPE5</f>
        <v>0</v>
      </c>
      <c r="OOM3">
        <f>Database!OPF5</f>
        <v>0</v>
      </c>
      <c r="OON3">
        <f>Database!OPG5</f>
        <v>0</v>
      </c>
      <c r="OOO3">
        <f>Database!OPH5</f>
        <v>0</v>
      </c>
      <c r="OOP3">
        <f>Database!OPI5</f>
        <v>0</v>
      </c>
      <c r="OOQ3">
        <f>Database!OPJ5</f>
        <v>0</v>
      </c>
      <c r="OOR3">
        <f>Database!OPK5</f>
        <v>0</v>
      </c>
      <c r="OOS3">
        <f>Database!OPL5</f>
        <v>0</v>
      </c>
      <c r="OOT3">
        <f>Database!OPM5</f>
        <v>0</v>
      </c>
      <c r="OOU3">
        <f>Database!OPN5</f>
        <v>0</v>
      </c>
      <c r="OOV3">
        <f>Database!OPO5</f>
        <v>0</v>
      </c>
      <c r="OOW3">
        <f>Database!OPP5</f>
        <v>0</v>
      </c>
      <c r="OOX3">
        <f>Database!OPQ5</f>
        <v>0</v>
      </c>
      <c r="OOY3">
        <f>Database!OPR5</f>
        <v>0</v>
      </c>
      <c r="OOZ3">
        <f>Database!OPS5</f>
        <v>0</v>
      </c>
      <c r="OPA3">
        <f>Database!OPT5</f>
        <v>0</v>
      </c>
      <c r="OPB3">
        <f>Database!OPU5</f>
        <v>0</v>
      </c>
      <c r="OPC3">
        <f>Database!OPV5</f>
        <v>0</v>
      </c>
      <c r="OPD3">
        <f>Database!OPW5</f>
        <v>0</v>
      </c>
      <c r="OPE3">
        <f>Database!OPX5</f>
        <v>0</v>
      </c>
      <c r="OPF3">
        <f>Database!OPY5</f>
        <v>0</v>
      </c>
      <c r="OPG3">
        <f>Database!OPZ5</f>
        <v>0</v>
      </c>
      <c r="OPH3">
        <f>Database!OQA5</f>
        <v>0</v>
      </c>
      <c r="OPI3">
        <f>Database!OQB5</f>
        <v>0</v>
      </c>
      <c r="OPJ3">
        <f>Database!OQC5</f>
        <v>0</v>
      </c>
      <c r="OPK3">
        <f>Database!OQD5</f>
        <v>0</v>
      </c>
      <c r="OPL3">
        <f>Database!OQE5</f>
        <v>0</v>
      </c>
      <c r="OPM3">
        <f>Database!OQF5</f>
        <v>0</v>
      </c>
      <c r="OPN3">
        <f>Database!OQG5</f>
        <v>0</v>
      </c>
      <c r="OPO3">
        <f>Database!OQH5</f>
        <v>0</v>
      </c>
      <c r="OPP3">
        <f>Database!OQI5</f>
        <v>0</v>
      </c>
      <c r="OPQ3">
        <f>Database!OQJ5</f>
        <v>0</v>
      </c>
      <c r="OPR3">
        <f>Database!OQK5</f>
        <v>0</v>
      </c>
      <c r="OPS3">
        <f>Database!OQL5</f>
        <v>0</v>
      </c>
      <c r="OPT3">
        <f>Database!OQM5</f>
        <v>0</v>
      </c>
      <c r="OPU3">
        <f>Database!OQN5</f>
        <v>0</v>
      </c>
      <c r="OPV3">
        <f>Database!OQO5</f>
        <v>0</v>
      </c>
      <c r="OPW3">
        <f>Database!OQP5</f>
        <v>0</v>
      </c>
      <c r="OPX3">
        <f>Database!OQQ5</f>
        <v>0</v>
      </c>
      <c r="OPY3">
        <f>Database!OQR5</f>
        <v>0</v>
      </c>
      <c r="OPZ3">
        <f>Database!OQS5</f>
        <v>0</v>
      </c>
      <c r="OQA3">
        <f>Database!OQT5</f>
        <v>0</v>
      </c>
      <c r="OQB3">
        <f>Database!OQU5</f>
        <v>0</v>
      </c>
      <c r="OQC3">
        <f>Database!OQV5</f>
        <v>0</v>
      </c>
      <c r="OQD3">
        <f>Database!OQW5</f>
        <v>0</v>
      </c>
      <c r="OQE3">
        <f>Database!OQX5</f>
        <v>0</v>
      </c>
      <c r="OQF3">
        <f>Database!OQY5</f>
        <v>0</v>
      </c>
      <c r="OQG3">
        <f>Database!OQZ5</f>
        <v>0</v>
      </c>
      <c r="OQH3">
        <f>Database!ORA5</f>
        <v>0</v>
      </c>
      <c r="OQI3">
        <f>Database!ORB5</f>
        <v>0</v>
      </c>
      <c r="OQJ3">
        <f>Database!ORC5</f>
        <v>0</v>
      </c>
      <c r="OQK3">
        <f>Database!ORD5</f>
        <v>0</v>
      </c>
      <c r="OQL3">
        <f>Database!ORE5</f>
        <v>0</v>
      </c>
      <c r="OQM3">
        <f>Database!ORF5</f>
        <v>0</v>
      </c>
      <c r="OQN3">
        <f>Database!ORG5</f>
        <v>0</v>
      </c>
      <c r="OQO3">
        <f>Database!ORH5</f>
        <v>0</v>
      </c>
      <c r="OQP3">
        <f>Database!ORI5</f>
        <v>0</v>
      </c>
      <c r="OQQ3">
        <f>Database!ORJ5</f>
        <v>0</v>
      </c>
      <c r="OQR3">
        <f>Database!ORK5</f>
        <v>0</v>
      </c>
      <c r="OQS3">
        <f>Database!ORL5</f>
        <v>0</v>
      </c>
      <c r="OQT3">
        <f>Database!ORM5</f>
        <v>0</v>
      </c>
      <c r="OQU3">
        <f>Database!ORN5</f>
        <v>0</v>
      </c>
      <c r="OQV3">
        <f>Database!ORO5</f>
        <v>0</v>
      </c>
      <c r="OQW3">
        <f>Database!ORP5</f>
        <v>0</v>
      </c>
      <c r="OQX3">
        <f>Database!ORQ5</f>
        <v>0</v>
      </c>
      <c r="OQY3">
        <f>Database!ORR5</f>
        <v>0</v>
      </c>
      <c r="OQZ3">
        <f>Database!ORS5</f>
        <v>0</v>
      </c>
      <c r="ORA3">
        <f>Database!ORT5</f>
        <v>0</v>
      </c>
      <c r="ORB3">
        <f>Database!ORU5</f>
        <v>0</v>
      </c>
      <c r="ORC3">
        <f>Database!ORV5</f>
        <v>0</v>
      </c>
      <c r="ORD3">
        <f>Database!ORW5</f>
        <v>0</v>
      </c>
      <c r="ORE3">
        <f>Database!ORX5</f>
        <v>0</v>
      </c>
      <c r="ORF3">
        <f>Database!ORY5</f>
        <v>0</v>
      </c>
      <c r="ORG3">
        <f>Database!ORZ5</f>
        <v>0</v>
      </c>
      <c r="ORH3">
        <f>Database!OSA5</f>
        <v>0</v>
      </c>
      <c r="ORI3">
        <f>Database!OSB5</f>
        <v>0</v>
      </c>
      <c r="ORJ3">
        <f>Database!OSC5</f>
        <v>0</v>
      </c>
      <c r="ORK3">
        <f>Database!OSD5</f>
        <v>0</v>
      </c>
      <c r="ORL3">
        <f>Database!OSE5</f>
        <v>0</v>
      </c>
      <c r="ORM3">
        <f>Database!OSF5</f>
        <v>0</v>
      </c>
      <c r="ORN3">
        <f>Database!OSG5</f>
        <v>0</v>
      </c>
      <c r="ORO3">
        <f>Database!OSH5</f>
        <v>0</v>
      </c>
      <c r="ORP3">
        <f>Database!OSI5</f>
        <v>0</v>
      </c>
      <c r="ORQ3">
        <f>Database!OSJ5</f>
        <v>0</v>
      </c>
      <c r="ORR3">
        <f>Database!OSK5</f>
        <v>0</v>
      </c>
      <c r="ORS3">
        <f>Database!OSL5</f>
        <v>0</v>
      </c>
      <c r="ORT3">
        <f>Database!OSM5</f>
        <v>0</v>
      </c>
      <c r="ORU3">
        <f>Database!OSN5</f>
        <v>0</v>
      </c>
      <c r="ORV3">
        <f>Database!OSO5</f>
        <v>0</v>
      </c>
      <c r="ORW3">
        <f>Database!OSP5</f>
        <v>0</v>
      </c>
      <c r="ORX3">
        <f>Database!OSQ5</f>
        <v>0</v>
      </c>
      <c r="ORY3">
        <f>Database!OSR5</f>
        <v>0</v>
      </c>
      <c r="ORZ3">
        <f>Database!OSS5</f>
        <v>0</v>
      </c>
      <c r="OSA3">
        <f>Database!OST5</f>
        <v>0</v>
      </c>
      <c r="OSB3">
        <f>Database!OSU5</f>
        <v>0</v>
      </c>
      <c r="OSC3">
        <f>Database!OSV5</f>
        <v>0</v>
      </c>
      <c r="OSD3">
        <f>Database!OSW5</f>
        <v>0</v>
      </c>
      <c r="OSE3">
        <f>Database!OSX5</f>
        <v>0</v>
      </c>
      <c r="OSF3">
        <f>Database!OSY5</f>
        <v>0</v>
      </c>
      <c r="OSG3">
        <f>Database!OSZ5</f>
        <v>0</v>
      </c>
      <c r="OSH3">
        <f>Database!OTA5</f>
        <v>0</v>
      </c>
      <c r="OSI3">
        <f>Database!OTB5</f>
        <v>0</v>
      </c>
      <c r="OSJ3">
        <f>Database!OTC5</f>
        <v>0</v>
      </c>
      <c r="OSK3">
        <f>Database!OTD5</f>
        <v>0</v>
      </c>
      <c r="OSL3">
        <f>Database!OTE5</f>
        <v>0</v>
      </c>
      <c r="OSM3">
        <f>Database!OTF5</f>
        <v>0</v>
      </c>
      <c r="OSN3">
        <f>Database!OTG5</f>
        <v>0</v>
      </c>
      <c r="OSO3">
        <f>Database!OTH5</f>
        <v>0</v>
      </c>
      <c r="OSP3">
        <f>Database!OTI5</f>
        <v>0</v>
      </c>
      <c r="OSQ3">
        <f>Database!OTJ5</f>
        <v>0</v>
      </c>
      <c r="OSR3">
        <f>Database!OTK5</f>
        <v>0</v>
      </c>
      <c r="OSS3">
        <f>Database!OTL5</f>
        <v>0</v>
      </c>
      <c r="OST3">
        <f>Database!OTM5</f>
        <v>0</v>
      </c>
      <c r="OSU3">
        <f>Database!OTN5</f>
        <v>0</v>
      </c>
      <c r="OSV3">
        <f>Database!OTO5</f>
        <v>0</v>
      </c>
      <c r="OSW3">
        <f>Database!OTP5</f>
        <v>0</v>
      </c>
      <c r="OSX3">
        <f>Database!OTQ5</f>
        <v>0</v>
      </c>
      <c r="OSY3">
        <f>Database!OTR5</f>
        <v>0</v>
      </c>
      <c r="OSZ3">
        <f>Database!OTS5</f>
        <v>0</v>
      </c>
      <c r="OTA3">
        <f>Database!OTT5</f>
        <v>0</v>
      </c>
      <c r="OTB3">
        <f>Database!OTU5</f>
        <v>0</v>
      </c>
      <c r="OTC3">
        <f>Database!OTV5</f>
        <v>0</v>
      </c>
      <c r="OTD3">
        <f>Database!OTW5</f>
        <v>0</v>
      </c>
      <c r="OTE3">
        <f>Database!OTX5</f>
        <v>0</v>
      </c>
      <c r="OTF3">
        <f>Database!OTY5</f>
        <v>0</v>
      </c>
      <c r="OTG3">
        <f>Database!OTZ5</f>
        <v>0</v>
      </c>
      <c r="OTH3">
        <f>Database!OUA5</f>
        <v>0</v>
      </c>
      <c r="OTI3">
        <f>Database!OUB5</f>
        <v>0</v>
      </c>
      <c r="OTJ3">
        <f>Database!OUC5</f>
        <v>0</v>
      </c>
      <c r="OTK3">
        <f>Database!OUD5</f>
        <v>0</v>
      </c>
      <c r="OTL3">
        <f>Database!OUE5</f>
        <v>0</v>
      </c>
      <c r="OTM3">
        <f>Database!OUF5</f>
        <v>0</v>
      </c>
      <c r="OTN3">
        <f>Database!OUG5</f>
        <v>0</v>
      </c>
      <c r="OTO3">
        <f>Database!OUH5</f>
        <v>0</v>
      </c>
      <c r="OTP3">
        <f>Database!OUI5</f>
        <v>0</v>
      </c>
      <c r="OTQ3">
        <f>Database!OUJ5</f>
        <v>0</v>
      </c>
      <c r="OTR3">
        <f>Database!OUK5</f>
        <v>0</v>
      </c>
      <c r="OTS3">
        <f>Database!OUL5</f>
        <v>0</v>
      </c>
      <c r="OTT3">
        <f>Database!OUM5</f>
        <v>0</v>
      </c>
      <c r="OTU3">
        <f>Database!OUN5</f>
        <v>0</v>
      </c>
      <c r="OTV3">
        <f>Database!OUO5</f>
        <v>0</v>
      </c>
      <c r="OTW3">
        <f>Database!OUP5</f>
        <v>0</v>
      </c>
      <c r="OTX3">
        <f>Database!OUQ5</f>
        <v>0</v>
      </c>
      <c r="OTY3">
        <f>Database!OUR5</f>
        <v>0</v>
      </c>
      <c r="OTZ3">
        <f>Database!OUS5</f>
        <v>0</v>
      </c>
      <c r="OUA3">
        <f>Database!OUT5</f>
        <v>0</v>
      </c>
      <c r="OUB3">
        <f>Database!OUU5</f>
        <v>0</v>
      </c>
      <c r="OUC3">
        <f>Database!OUV5</f>
        <v>0</v>
      </c>
      <c r="OUD3">
        <f>Database!OUW5</f>
        <v>0</v>
      </c>
      <c r="OUE3">
        <f>Database!OUX5</f>
        <v>0</v>
      </c>
      <c r="OUF3">
        <f>Database!OUY5</f>
        <v>0</v>
      </c>
      <c r="OUG3">
        <f>Database!OUZ5</f>
        <v>0</v>
      </c>
      <c r="OUH3">
        <f>Database!OVA5</f>
        <v>0</v>
      </c>
      <c r="OUI3">
        <f>Database!OVB5</f>
        <v>0</v>
      </c>
      <c r="OUJ3">
        <f>Database!OVC5</f>
        <v>0</v>
      </c>
      <c r="OUK3">
        <f>Database!OVD5</f>
        <v>0</v>
      </c>
      <c r="OUL3">
        <f>Database!OVE5</f>
        <v>0</v>
      </c>
      <c r="OUM3">
        <f>Database!OVF5</f>
        <v>0</v>
      </c>
      <c r="OUN3">
        <f>Database!OVG5</f>
        <v>0</v>
      </c>
      <c r="OUO3">
        <f>Database!OVH5</f>
        <v>0</v>
      </c>
      <c r="OUP3">
        <f>Database!OVI5</f>
        <v>0</v>
      </c>
      <c r="OUQ3">
        <f>Database!OVJ5</f>
        <v>0</v>
      </c>
      <c r="OUR3">
        <f>Database!OVK5</f>
        <v>0</v>
      </c>
      <c r="OUS3">
        <f>Database!OVL5</f>
        <v>0</v>
      </c>
      <c r="OUT3">
        <f>Database!OVM5</f>
        <v>0</v>
      </c>
      <c r="OUU3">
        <f>Database!OVN5</f>
        <v>0</v>
      </c>
      <c r="OUV3">
        <f>Database!OVO5</f>
        <v>0</v>
      </c>
      <c r="OUW3">
        <f>Database!OVP5</f>
        <v>0</v>
      </c>
      <c r="OUX3">
        <f>Database!OVQ5</f>
        <v>0</v>
      </c>
      <c r="OUY3">
        <f>Database!OVR5</f>
        <v>0</v>
      </c>
      <c r="OUZ3">
        <f>Database!OVS5</f>
        <v>0</v>
      </c>
      <c r="OVA3">
        <f>Database!OVT5</f>
        <v>0</v>
      </c>
      <c r="OVB3">
        <f>Database!OVU5</f>
        <v>0</v>
      </c>
      <c r="OVC3">
        <f>Database!OVV5</f>
        <v>0</v>
      </c>
      <c r="OVD3">
        <f>Database!OVW5</f>
        <v>0</v>
      </c>
      <c r="OVE3">
        <f>Database!OVX5</f>
        <v>0</v>
      </c>
      <c r="OVF3">
        <f>Database!OVY5</f>
        <v>0</v>
      </c>
      <c r="OVG3">
        <f>Database!OVZ5</f>
        <v>0</v>
      </c>
      <c r="OVH3">
        <f>Database!OWA5</f>
        <v>0</v>
      </c>
      <c r="OVI3">
        <f>Database!OWB5</f>
        <v>0</v>
      </c>
      <c r="OVJ3">
        <f>Database!OWC5</f>
        <v>0</v>
      </c>
      <c r="OVK3">
        <f>Database!OWD5</f>
        <v>0</v>
      </c>
      <c r="OVL3">
        <f>Database!OWE5</f>
        <v>0</v>
      </c>
      <c r="OVM3">
        <f>Database!OWF5</f>
        <v>0</v>
      </c>
      <c r="OVN3">
        <f>Database!OWG5</f>
        <v>0</v>
      </c>
      <c r="OVO3">
        <f>Database!OWH5</f>
        <v>0</v>
      </c>
      <c r="OVP3">
        <f>Database!OWI5</f>
        <v>0</v>
      </c>
      <c r="OVQ3">
        <f>Database!OWJ5</f>
        <v>0</v>
      </c>
      <c r="OVR3">
        <f>Database!OWK5</f>
        <v>0</v>
      </c>
      <c r="OVS3">
        <f>Database!OWL5</f>
        <v>0</v>
      </c>
      <c r="OVT3">
        <f>Database!OWM5</f>
        <v>0</v>
      </c>
      <c r="OVU3">
        <f>Database!OWN5</f>
        <v>0</v>
      </c>
      <c r="OVV3">
        <f>Database!OWO5</f>
        <v>0</v>
      </c>
      <c r="OVW3">
        <f>Database!OWP5</f>
        <v>0</v>
      </c>
      <c r="OVX3">
        <f>Database!OWQ5</f>
        <v>0</v>
      </c>
      <c r="OVY3">
        <f>Database!OWR5</f>
        <v>0</v>
      </c>
      <c r="OVZ3">
        <f>Database!OWS5</f>
        <v>0</v>
      </c>
      <c r="OWA3">
        <f>Database!OWT5</f>
        <v>0</v>
      </c>
      <c r="OWB3">
        <f>Database!OWU5</f>
        <v>0</v>
      </c>
      <c r="OWC3">
        <f>Database!OWV5</f>
        <v>0</v>
      </c>
      <c r="OWD3">
        <f>Database!OWW5</f>
        <v>0</v>
      </c>
      <c r="OWE3">
        <f>Database!OWX5</f>
        <v>0</v>
      </c>
      <c r="OWF3">
        <f>Database!OWY5</f>
        <v>0</v>
      </c>
      <c r="OWG3">
        <f>Database!OWZ5</f>
        <v>0</v>
      </c>
      <c r="OWH3">
        <f>Database!OXA5</f>
        <v>0</v>
      </c>
      <c r="OWI3">
        <f>Database!OXB5</f>
        <v>0</v>
      </c>
      <c r="OWJ3">
        <f>Database!OXC5</f>
        <v>0</v>
      </c>
      <c r="OWK3">
        <f>Database!OXD5</f>
        <v>0</v>
      </c>
      <c r="OWL3">
        <f>Database!OXE5</f>
        <v>0</v>
      </c>
      <c r="OWM3">
        <f>Database!OXF5</f>
        <v>0</v>
      </c>
      <c r="OWN3">
        <f>Database!OXG5</f>
        <v>0</v>
      </c>
      <c r="OWO3">
        <f>Database!OXH5</f>
        <v>0</v>
      </c>
      <c r="OWP3">
        <f>Database!OXI5</f>
        <v>0</v>
      </c>
      <c r="OWQ3">
        <f>Database!OXJ5</f>
        <v>0</v>
      </c>
      <c r="OWR3">
        <f>Database!OXK5</f>
        <v>0</v>
      </c>
      <c r="OWS3">
        <f>Database!OXL5</f>
        <v>0</v>
      </c>
      <c r="OWT3">
        <f>Database!OXM5</f>
        <v>0</v>
      </c>
      <c r="OWU3">
        <f>Database!OXN5</f>
        <v>0</v>
      </c>
      <c r="OWV3">
        <f>Database!OXO5</f>
        <v>0</v>
      </c>
      <c r="OWW3">
        <f>Database!OXP5</f>
        <v>0</v>
      </c>
      <c r="OWX3">
        <f>Database!OXQ5</f>
        <v>0</v>
      </c>
      <c r="OWY3">
        <f>Database!OXR5</f>
        <v>0</v>
      </c>
      <c r="OWZ3">
        <f>Database!OXS5</f>
        <v>0</v>
      </c>
      <c r="OXA3">
        <f>Database!OXT5</f>
        <v>0</v>
      </c>
      <c r="OXB3">
        <f>Database!OXU5</f>
        <v>0</v>
      </c>
      <c r="OXC3">
        <f>Database!OXV5</f>
        <v>0</v>
      </c>
      <c r="OXD3">
        <f>Database!OXW5</f>
        <v>0</v>
      </c>
      <c r="OXE3">
        <f>Database!OXX5</f>
        <v>0</v>
      </c>
      <c r="OXF3">
        <f>Database!OXY5</f>
        <v>0</v>
      </c>
      <c r="OXG3">
        <f>Database!OXZ5</f>
        <v>0</v>
      </c>
      <c r="OXH3">
        <f>Database!OYA5</f>
        <v>0</v>
      </c>
      <c r="OXI3">
        <f>Database!OYB5</f>
        <v>0</v>
      </c>
      <c r="OXJ3">
        <f>Database!OYC5</f>
        <v>0</v>
      </c>
      <c r="OXK3">
        <f>Database!OYD5</f>
        <v>0</v>
      </c>
      <c r="OXL3">
        <f>Database!OYE5</f>
        <v>0</v>
      </c>
      <c r="OXM3">
        <f>Database!OYF5</f>
        <v>0</v>
      </c>
      <c r="OXN3">
        <f>Database!OYG5</f>
        <v>0</v>
      </c>
      <c r="OXO3">
        <f>Database!OYH5</f>
        <v>0</v>
      </c>
      <c r="OXP3">
        <f>Database!OYI5</f>
        <v>0</v>
      </c>
      <c r="OXQ3">
        <f>Database!OYJ5</f>
        <v>0</v>
      </c>
      <c r="OXR3">
        <f>Database!OYK5</f>
        <v>0</v>
      </c>
      <c r="OXS3">
        <f>Database!OYL5</f>
        <v>0</v>
      </c>
      <c r="OXT3">
        <f>Database!OYM5</f>
        <v>0</v>
      </c>
      <c r="OXU3">
        <f>Database!OYN5</f>
        <v>0</v>
      </c>
      <c r="OXV3">
        <f>Database!OYO5</f>
        <v>0</v>
      </c>
      <c r="OXW3">
        <f>Database!OYP5</f>
        <v>0</v>
      </c>
      <c r="OXX3">
        <f>Database!OYQ5</f>
        <v>0</v>
      </c>
      <c r="OXY3">
        <f>Database!OYR5</f>
        <v>0</v>
      </c>
      <c r="OXZ3">
        <f>Database!OYS5</f>
        <v>0</v>
      </c>
      <c r="OYA3">
        <f>Database!OYT5</f>
        <v>0</v>
      </c>
      <c r="OYB3">
        <f>Database!OYU5</f>
        <v>0</v>
      </c>
      <c r="OYC3">
        <f>Database!OYV5</f>
        <v>0</v>
      </c>
      <c r="OYD3">
        <f>Database!OYW5</f>
        <v>0</v>
      </c>
      <c r="OYE3">
        <f>Database!OYX5</f>
        <v>0</v>
      </c>
      <c r="OYF3">
        <f>Database!OYY5</f>
        <v>0</v>
      </c>
      <c r="OYG3">
        <f>Database!OYZ5</f>
        <v>0</v>
      </c>
      <c r="OYH3">
        <f>Database!OZA5</f>
        <v>0</v>
      </c>
      <c r="OYI3">
        <f>Database!OZB5</f>
        <v>0</v>
      </c>
      <c r="OYJ3">
        <f>Database!OZC5</f>
        <v>0</v>
      </c>
      <c r="OYK3">
        <f>Database!OZD5</f>
        <v>0</v>
      </c>
      <c r="OYL3">
        <f>Database!OZE5</f>
        <v>0</v>
      </c>
      <c r="OYM3">
        <f>Database!OZF5</f>
        <v>0</v>
      </c>
      <c r="OYN3">
        <f>Database!OZG5</f>
        <v>0</v>
      </c>
      <c r="OYO3">
        <f>Database!OZH5</f>
        <v>0</v>
      </c>
      <c r="OYP3">
        <f>Database!OZI5</f>
        <v>0</v>
      </c>
      <c r="OYQ3">
        <f>Database!OZJ5</f>
        <v>0</v>
      </c>
      <c r="OYR3">
        <f>Database!OZK5</f>
        <v>0</v>
      </c>
      <c r="OYS3">
        <f>Database!OZL5</f>
        <v>0</v>
      </c>
      <c r="OYT3">
        <f>Database!OZM5</f>
        <v>0</v>
      </c>
      <c r="OYU3">
        <f>Database!OZN5</f>
        <v>0</v>
      </c>
      <c r="OYV3">
        <f>Database!OZO5</f>
        <v>0</v>
      </c>
      <c r="OYW3">
        <f>Database!OZP5</f>
        <v>0</v>
      </c>
      <c r="OYX3">
        <f>Database!OZQ5</f>
        <v>0</v>
      </c>
      <c r="OYY3">
        <f>Database!OZR5</f>
        <v>0</v>
      </c>
      <c r="OYZ3">
        <f>Database!OZS5</f>
        <v>0</v>
      </c>
      <c r="OZA3">
        <f>Database!OZT5</f>
        <v>0</v>
      </c>
      <c r="OZB3">
        <f>Database!OZU5</f>
        <v>0</v>
      </c>
      <c r="OZC3">
        <f>Database!OZV5</f>
        <v>0</v>
      </c>
      <c r="OZD3">
        <f>Database!OZW5</f>
        <v>0</v>
      </c>
      <c r="OZE3">
        <f>Database!OZX5</f>
        <v>0</v>
      </c>
      <c r="OZF3">
        <f>Database!OZY5</f>
        <v>0</v>
      </c>
      <c r="OZG3">
        <f>Database!OZZ5</f>
        <v>0</v>
      </c>
      <c r="OZH3">
        <f>Database!PAA5</f>
        <v>0</v>
      </c>
      <c r="OZI3">
        <f>Database!PAB5</f>
        <v>0</v>
      </c>
      <c r="OZJ3">
        <f>Database!PAC5</f>
        <v>0</v>
      </c>
      <c r="OZK3">
        <f>Database!PAD5</f>
        <v>0</v>
      </c>
      <c r="OZL3">
        <f>Database!PAE5</f>
        <v>0</v>
      </c>
      <c r="OZM3">
        <f>Database!PAF5</f>
        <v>0</v>
      </c>
      <c r="OZN3">
        <f>Database!PAG5</f>
        <v>0</v>
      </c>
      <c r="OZO3">
        <f>Database!PAH5</f>
        <v>0</v>
      </c>
      <c r="OZP3">
        <f>Database!PAI5</f>
        <v>0</v>
      </c>
      <c r="OZQ3">
        <f>Database!PAJ5</f>
        <v>0</v>
      </c>
      <c r="OZR3">
        <f>Database!PAK5</f>
        <v>0</v>
      </c>
      <c r="OZS3">
        <f>Database!PAL5</f>
        <v>0</v>
      </c>
      <c r="OZT3">
        <f>Database!PAM5</f>
        <v>0</v>
      </c>
      <c r="OZU3">
        <f>Database!PAN5</f>
        <v>0</v>
      </c>
      <c r="OZV3">
        <f>Database!PAO5</f>
        <v>0</v>
      </c>
      <c r="OZW3">
        <f>Database!PAP5</f>
        <v>0</v>
      </c>
      <c r="OZX3">
        <f>Database!PAQ5</f>
        <v>0</v>
      </c>
      <c r="OZY3">
        <f>Database!PAR5</f>
        <v>0</v>
      </c>
      <c r="OZZ3">
        <f>Database!PAS5</f>
        <v>0</v>
      </c>
      <c r="PAA3">
        <f>Database!PAT5</f>
        <v>0</v>
      </c>
      <c r="PAB3">
        <f>Database!PAU5</f>
        <v>0</v>
      </c>
      <c r="PAC3">
        <f>Database!PAV5</f>
        <v>0</v>
      </c>
      <c r="PAD3">
        <f>Database!PAW5</f>
        <v>0</v>
      </c>
      <c r="PAE3">
        <f>Database!PAX5</f>
        <v>0</v>
      </c>
      <c r="PAF3">
        <f>Database!PAY5</f>
        <v>0</v>
      </c>
      <c r="PAG3">
        <f>Database!PAZ5</f>
        <v>0</v>
      </c>
      <c r="PAH3">
        <f>Database!PBA5</f>
        <v>0</v>
      </c>
      <c r="PAI3">
        <f>Database!PBB5</f>
        <v>0</v>
      </c>
      <c r="PAJ3">
        <f>Database!PBC5</f>
        <v>0</v>
      </c>
      <c r="PAK3">
        <f>Database!PBD5</f>
        <v>0</v>
      </c>
      <c r="PAL3">
        <f>Database!PBE5</f>
        <v>0</v>
      </c>
      <c r="PAM3">
        <f>Database!PBF5</f>
        <v>0</v>
      </c>
      <c r="PAN3">
        <f>Database!PBG5</f>
        <v>0</v>
      </c>
      <c r="PAO3">
        <f>Database!PBH5</f>
        <v>0</v>
      </c>
      <c r="PAP3">
        <f>Database!PBI5</f>
        <v>0</v>
      </c>
      <c r="PAQ3">
        <f>Database!PBJ5</f>
        <v>0</v>
      </c>
      <c r="PAR3">
        <f>Database!PBK5</f>
        <v>0</v>
      </c>
      <c r="PAS3">
        <f>Database!PBL5</f>
        <v>0</v>
      </c>
      <c r="PAT3">
        <f>Database!PBM5</f>
        <v>0</v>
      </c>
      <c r="PAU3">
        <f>Database!PBN5</f>
        <v>0</v>
      </c>
      <c r="PAV3">
        <f>Database!PBO5</f>
        <v>0</v>
      </c>
      <c r="PAW3">
        <f>Database!PBP5</f>
        <v>0</v>
      </c>
      <c r="PAX3">
        <f>Database!PBQ5</f>
        <v>0</v>
      </c>
      <c r="PAY3">
        <f>Database!PBR5</f>
        <v>0</v>
      </c>
      <c r="PAZ3">
        <f>Database!PBS5</f>
        <v>0</v>
      </c>
      <c r="PBA3">
        <f>Database!PBT5</f>
        <v>0</v>
      </c>
      <c r="PBB3">
        <f>Database!PBU5</f>
        <v>0</v>
      </c>
      <c r="PBC3">
        <f>Database!PBV5</f>
        <v>0</v>
      </c>
      <c r="PBD3">
        <f>Database!PBW5</f>
        <v>0</v>
      </c>
      <c r="PBE3">
        <f>Database!PBX5</f>
        <v>0</v>
      </c>
      <c r="PBF3">
        <f>Database!PBY5</f>
        <v>0</v>
      </c>
      <c r="PBG3">
        <f>Database!PBZ5</f>
        <v>0</v>
      </c>
      <c r="PBH3">
        <f>Database!PCA5</f>
        <v>0</v>
      </c>
      <c r="PBI3">
        <f>Database!PCB5</f>
        <v>0</v>
      </c>
      <c r="PBJ3">
        <f>Database!PCC5</f>
        <v>0</v>
      </c>
      <c r="PBK3">
        <f>Database!PCD5</f>
        <v>0</v>
      </c>
      <c r="PBL3">
        <f>Database!PCE5</f>
        <v>0</v>
      </c>
      <c r="PBM3">
        <f>Database!PCF5</f>
        <v>0</v>
      </c>
      <c r="PBN3">
        <f>Database!PCG5</f>
        <v>0</v>
      </c>
      <c r="PBO3">
        <f>Database!PCH5</f>
        <v>0</v>
      </c>
      <c r="PBP3">
        <f>Database!PCI5</f>
        <v>0</v>
      </c>
      <c r="PBQ3">
        <f>Database!PCJ5</f>
        <v>0</v>
      </c>
      <c r="PBR3">
        <f>Database!PCK5</f>
        <v>0</v>
      </c>
      <c r="PBS3">
        <f>Database!PCL5</f>
        <v>0</v>
      </c>
      <c r="PBT3">
        <f>Database!PCM5</f>
        <v>0</v>
      </c>
      <c r="PBU3">
        <f>Database!PCN5</f>
        <v>0</v>
      </c>
      <c r="PBV3">
        <f>Database!PCO5</f>
        <v>0</v>
      </c>
      <c r="PBW3">
        <f>Database!PCP5</f>
        <v>0</v>
      </c>
      <c r="PBX3">
        <f>Database!PCQ5</f>
        <v>0</v>
      </c>
      <c r="PBY3">
        <f>Database!PCR5</f>
        <v>0</v>
      </c>
      <c r="PBZ3">
        <f>Database!PCS5</f>
        <v>0</v>
      </c>
      <c r="PCA3">
        <f>Database!PCT5</f>
        <v>0</v>
      </c>
      <c r="PCB3">
        <f>Database!PCU5</f>
        <v>0</v>
      </c>
      <c r="PCC3">
        <f>Database!PCV5</f>
        <v>0</v>
      </c>
      <c r="PCD3">
        <f>Database!PCW5</f>
        <v>0</v>
      </c>
      <c r="PCE3">
        <f>Database!PCX5</f>
        <v>0</v>
      </c>
      <c r="PCF3">
        <f>Database!PCY5</f>
        <v>0</v>
      </c>
      <c r="PCG3">
        <f>Database!PCZ5</f>
        <v>0</v>
      </c>
      <c r="PCH3">
        <f>Database!PDA5</f>
        <v>0</v>
      </c>
      <c r="PCI3">
        <f>Database!PDB5</f>
        <v>0</v>
      </c>
      <c r="PCJ3">
        <f>Database!PDC5</f>
        <v>0</v>
      </c>
      <c r="PCK3">
        <f>Database!PDD5</f>
        <v>0</v>
      </c>
      <c r="PCL3">
        <f>Database!PDE5</f>
        <v>0</v>
      </c>
      <c r="PCM3">
        <f>Database!PDF5</f>
        <v>0</v>
      </c>
      <c r="PCN3">
        <f>Database!PDG5</f>
        <v>0</v>
      </c>
      <c r="PCO3">
        <f>Database!PDH5</f>
        <v>0</v>
      </c>
      <c r="PCP3">
        <f>Database!PDI5</f>
        <v>0</v>
      </c>
      <c r="PCQ3">
        <f>Database!PDJ5</f>
        <v>0</v>
      </c>
      <c r="PCR3">
        <f>Database!PDK5</f>
        <v>0</v>
      </c>
      <c r="PCS3">
        <f>Database!PDL5</f>
        <v>0</v>
      </c>
      <c r="PCT3">
        <f>Database!PDM5</f>
        <v>0</v>
      </c>
      <c r="PCU3">
        <f>Database!PDN5</f>
        <v>0</v>
      </c>
      <c r="PCV3">
        <f>Database!PDO5</f>
        <v>0</v>
      </c>
      <c r="PCW3">
        <f>Database!PDP5</f>
        <v>0</v>
      </c>
      <c r="PCX3">
        <f>Database!PDQ5</f>
        <v>0</v>
      </c>
      <c r="PCY3">
        <f>Database!PDR5</f>
        <v>0</v>
      </c>
      <c r="PCZ3">
        <f>Database!PDS5</f>
        <v>0</v>
      </c>
      <c r="PDA3">
        <f>Database!PDT5</f>
        <v>0</v>
      </c>
      <c r="PDB3">
        <f>Database!PDU5</f>
        <v>0</v>
      </c>
      <c r="PDC3">
        <f>Database!PDV5</f>
        <v>0</v>
      </c>
      <c r="PDD3">
        <f>Database!PDW5</f>
        <v>0</v>
      </c>
      <c r="PDE3">
        <f>Database!PDX5</f>
        <v>0</v>
      </c>
      <c r="PDF3">
        <f>Database!PDY5</f>
        <v>0</v>
      </c>
      <c r="PDG3">
        <f>Database!PDZ5</f>
        <v>0</v>
      </c>
      <c r="PDH3">
        <f>Database!PEA5</f>
        <v>0</v>
      </c>
      <c r="PDI3">
        <f>Database!PEB5</f>
        <v>0</v>
      </c>
      <c r="PDJ3">
        <f>Database!PEC5</f>
        <v>0</v>
      </c>
      <c r="PDK3">
        <f>Database!PED5</f>
        <v>0</v>
      </c>
      <c r="PDL3">
        <f>Database!PEE5</f>
        <v>0</v>
      </c>
      <c r="PDM3">
        <f>Database!PEF5</f>
        <v>0</v>
      </c>
      <c r="PDN3">
        <f>Database!PEG5</f>
        <v>0</v>
      </c>
      <c r="PDO3">
        <f>Database!PEH5</f>
        <v>0</v>
      </c>
      <c r="PDP3">
        <f>Database!PEI5</f>
        <v>0</v>
      </c>
      <c r="PDQ3">
        <f>Database!PEJ5</f>
        <v>0</v>
      </c>
      <c r="PDR3">
        <f>Database!PEK5</f>
        <v>0</v>
      </c>
      <c r="PDS3">
        <f>Database!PEL5</f>
        <v>0</v>
      </c>
      <c r="PDT3">
        <f>Database!PEM5</f>
        <v>0</v>
      </c>
      <c r="PDU3">
        <f>Database!PEN5</f>
        <v>0</v>
      </c>
      <c r="PDV3">
        <f>Database!PEO5</f>
        <v>0</v>
      </c>
      <c r="PDW3">
        <f>Database!PEP5</f>
        <v>0</v>
      </c>
      <c r="PDX3">
        <f>Database!PEQ5</f>
        <v>0</v>
      </c>
      <c r="PDY3">
        <f>Database!PER5</f>
        <v>0</v>
      </c>
      <c r="PDZ3">
        <f>Database!PES5</f>
        <v>0</v>
      </c>
      <c r="PEA3">
        <f>Database!PET5</f>
        <v>0</v>
      </c>
      <c r="PEB3">
        <f>Database!PEU5</f>
        <v>0</v>
      </c>
      <c r="PEC3">
        <f>Database!PEV5</f>
        <v>0</v>
      </c>
      <c r="PED3">
        <f>Database!PEW5</f>
        <v>0</v>
      </c>
      <c r="PEE3">
        <f>Database!PEX5</f>
        <v>0</v>
      </c>
      <c r="PEF3">
        <f>Database!PEY5</f>
        <v>0</v>
      </c>
      <c r="PEG3">
        <f>Database!PEZ5</f>
        <v>0</v>
      </c>
      <c r="PEH3">
        <f>Database!PFA5</f>
        <v>0</v>
      </c>
      <c r="PEI3">
        <f>Database!PFB5</f>
        <v>0</v>
      </c>
      <c r="PEJ3">
        <f>Database!PFC5</f>
        <v>0</v>
      </c>
      <c r="PEK3">
        <f>Database!PFD5</f>
        <v>0</v>
      </c>
      <c r="PEL3">
        <f>Database!PFE5</f>
        <v>0</v>
      </c>
      <c r="PEM3">
        <f>Database!PFF5</f>
        <v>0</v>
      </c>
      <c r="PEN3">
        <f>Database!PFG5</f>
        <v>0</v>
      </c>
      <c r="PEO3">
        <f>Database!PFH5</f>
        <v>0</v>
      </c>
      <c r="PEP3">
        <f>Database!PFI5</f>
        <v>0</v>
      </c>
      <c r="PEQ3">
        <f>Database!PFJ5</f>
        <v>0</v>
      </c>
      <c r="PER3">
        <f>Database!PFK5</f>
        <v>0</v>
      </c>
      <c r="PES3">
        <f>Database!PFL5</f>
        <v>0</v>
      </c>
      <c r="PET3">
        <f>Database!PFM5</f>
        <v>0</v>
      </c>
      <c r="PEU3">
        <f>Database!PFN5</f>
        <v>0</v>
      </c>
      <c r="PEV3">
        <f>Database!PFO5</f>
        <v>0</v>
      </c>
      <c r="PEW3">
        <f>Database!PFP5</f>
        <v>0</v>
      </c>
      <c r="PEX3">
        <f>Database!PFQ5</f>
        <v>0</v>
      </c>
      <c r="PEY3">
        <f>Database!PFR5</f>
        <v>0</v>
      </c>
      <c r="PEZ3">
        <f>Database!PFS5</f>
        <v>0</v>
      </c>
      <c r="PFA3">
        <f>Database!PFT5</f>
        <v>0</v>
      </c>
      <c r="PFB3">
        <f>Database!PFU5</f>
        <v>0</v>
      </c>
      <c r="PFC3">
        <f>Database!PFV5</f>
        <v>0</v>
      </c>
      <c r="PFD3">
        <f>Database!PFW5</f>
        <v>0</v>
      </c>
      <c r="PFE3">
        <f>Database!PFX5</f>
        <v>0</v>
      </c>
      <c r="PFF3">
        <f>Database!PFY5</f>
        <v>0</v>
      </c>
      <c r="PFG3">
        <f>Database!PFZ5</f>
        <v>0</v>
      </c>
      <c r="PFH3">
        <f>Database!PGA5</f>
        <v>0</v>
      </c>
      <c r="PFI3">
        <f>Database!PGB5</f>
        <v>0</v>
      </c>
      <c r="PFJ3">
        <f>Database!PGC5</f>
        <v>0</v>
      </c>
      <c r="PFK3">
        <f>Database!PGD5</f>
        <v>0</v>
      </c>
      <c r="PFL3">
        <f>Database!PGE5</f>
        <v>0</v>
      </c>
      <c r="PFM3">
        <f>Database!PGF5</f>
        <v>0</v>
      </c>
      <c r="PFN3">
        <f>Database!PGG5</f>
        <v>0</v>
      </c>
      <c r="PFO3">
        <f>Database!PGH5</f>
        <v>0</v>
      </c>
      <c r="PFP3">
        <f>Database!PGI5</f>
        <v>0</v>
      </c>
      <c r="PFQ3">
        <f>Database!PGJ5</f>
        <v>0</v>
      </c>
      <c r="PFR3">
        <f>Database!PGK5</f>
        <v>0</v>
      </c>
      <c r="PFS3">
        <f>Database!PGL5</f>
        <v>0</v>
      </c>
      <c r="PFT3">
        <f>Database!PGM5</f>
        <v>0</v>
      </c>
      <c r="PFU3">
        <f>Database!PGN5</f>
        <v>0</v>
      </c>
      <c r="PFV3">
        <f>Database!PGO5</f>
        <v>0</v>
      </c>
      <c r="PFW3">
        <f>Database!PGP5</f>
        <v>0</v>
      </c>
      <c r="PFX3">
        <f>Database!PGQ5</f>
        <v>0</v>
      </c>
      <c r="PFY3">
        <f>Database!PGR5</f>
        <v>0</v>
      </c>
      <c r="PFZ3">
        <f>Database!PGS5</f>
        <v>0</v>
      </c>
      <c r="PGA3">
        <f>Database!PGT5</f>
        <v>0</v>
      </c>
      <c r="PGB3">
        <f>Database!PGU5</f>
        <v>0</v>
      </c>
      <c r="PGC3">
        <f>Database!PGV5</f>
        <v>0</v>
      </c>
      <c r="PGD3">
        <f>Database!PGW5</f>
        <v>0</v>
      </c>
      <c r="PGE3">
        <f>Database!PGX5</f>
        <v>0</v>
      </c>
      <c r="PGF3">
        <f>Database!PGY5</f>
        <v>0</v>
      </c>
      <c r="PGG3">
        <f>Database!PGZ5</f>
        <v>0</v>
      </c>
      <c r="PGH3">
        <f>Database!PHA5</f>
        <v>0</v>
      </c>
      <c r="PGI3">
        <f>Database!PHB5</f>
        <v>0</v>
      </c>
      <c r="PGJ3">
        <f>Database!PHC5</f>
        <v>0</v>
      </c>
      <c r="PGK3">
        <f>Database!PHD5</f>
        <v>0</v>
      </c>
      <c r="PGL3">
        <f>Database!PHE5</f>
        <v>0</v>
      </c>
      <c r="PGM3">
        <f>Database!PHF5</f>
        <v>0</v>
      </c>
      <c r="PGN3">
        <f>Database!PHG5</f>
        <v>0</v>
      </c>
      <c r="PGO3">
        <f>Database!PHH5</f>
        <v>0</v>
      </c>
      <c r="PGP3">
        <f>Database!PHI5</f>
        <v>0</v>
      </c>
      <c r="PGQ3">
        <f>Database!PHJ5</f>
        <v>0</v>
      </c>
      <c r="PGR3">
        <f>Database!PHK5</f>
        <v>0</v>
      </c>
      <c r="PGS3">
        <f>Database!PHL5</f>
        <v>0</v>
      </c>
      <c r="PGT3">
        <f>Database!PHM5</f>
        <v>0</v>
      </c>
      <c r="PGU3">
        <f>Database!PHN5</f>
        <v>0</v>
      </c>
      <c r="PGV3">
        <f>Database!PHO5</f>
        <v>0</v>
      </c>
      <c r="PGW3">
        <f>Database!PHP5</f>
        <v>0</v>
      </c>
      <c r="PGX3">
        <f>Database!PHQ5</f>
        <v>0</v>
      </c>
      <c r="PGY3">
        <f>Database!PHR5</f>
        <v>0</v>
      </c>
      <c r="PGZ3">
        <f>Database!PHS5</f>
        <v>0</v>
      </c>
      <c r="PHA3">
        <f>Database!PHT5</f>
        <v>0</v>
      </c>
      <c r="PHB3">
        <f>Database!PHU5</f>
        <v>0</v>
      </c>
      <c r="PHC3">
        <f>Database!PHV5</f>
        <v>0</v>
      </c>
      <c r="PHD3">
        <f>Database!PHW5</f>
        <v>0</v>
      </c>
      <c r="PHE3">
        <f>Database!PHX5</f>
        <v>0</v>
      </c>
      <c r="PHF3">
        <f>Database!PHY5</f>
        <v>0</v>
      </c>
      <c r="PHG3">
        <f>Database!PHZ5</f>
        <v>0</v>
      </c>
      <c r="PHH3">
        <f>Database!PIA5</f>
        <v>0</v>
      </c>
      <c r="PHI3">
        <f>Database!PIB5</f>
        <v>0</v>
      </c>
      <c r="PHJ3">
        <f>Database!PIC5</f>
        <v>0</v>
      </c>
      <c r="PHK3">
        <f>Database!PID5</f>
        <v>0</v>
      </c>
      <c r="PHL3">
        <f>Database!PIE5</f>
        <v>0</v>
      </c>
      <c r="PHM3">
        <f>Database!PIF5</f>
        <v>0</v>
      </c>
      <c r="PHN3">
        <f>Database!PIG5</f>
        <v>0</v>
      </c>
      <c r="PHO3">
        <f>Database!PIH5</f>
        <v>0</v>
      </c>
      <c r="PHP3">
        <f>Database!PII5</f>
        <v>0</v>
      </c>
      <c r="PHQ3">
        <f>Database!PIJ5</f>
        <v>0</v>
      </c>
      <c r="PHR3">
        <f>Database!PIK5</f>
        <v>0</v>
      </c>
      <c r="PHS3">
        <f>Database!PIL5</f>
        <v>0</v>
      </c>
      <c r="PHT3">
        <f>Database!PIM5</f>
        <v>0</v>
      </c>
      <c r="PHU3">
        <f>Database!PIN5</f>
        <v>0</v>
      </c>
      <c r="PHV3">
        <f>Database!PIO5</f>
        <v>0</v>
      </c>
      <c r="PHW3">
        <f>Database!PIP5</f>
        <v>0</v>
      </c>
      <c r="PHX3">
        <f>Database!PIQ5</f>
        <v>0</v>
      </c>
      <c r="PHY3">
        <f>Database!PIR5</f>
        <v>0</v>
      </c>
      <c r="PHZ3">
        <f>Database!PIS5</f>
        <v>0</v>
      </c>
      <c r="PIA3">
        <f>Database!PIT5</f>
        <v>0</v>
      </c>
      <c r="PIB3">
        <f>Database!PIU5</f>
        <v>0</v>
      </c>
      <c r="PIC3">
        <f>Database!PIV5</f>
        <v>0</v>
      </c>
      <c r="PID3">
        <f>Database!PIW5</f>
        <v>0</v>
      </c>
      <c r="PIE3">
        <f>Database!PIX5</f>
        <v>0</v>
      </c>
      <c r="PIF3">
        <f>Database!PIY5</f>
        <v>0</v>
      </c>
      <c r="PIG3">
        <f>Database!PIZ5</f>
        <v>0</v>
      </c>
      <c r="PIH3">
        <f>Database!PJA5</f>
        <v>0</v>
      </c>
      <c r="PII3">
        <f>Database!PJB5</f>
        <v>0</v>
      </c>
      <c r="PIJ3">
        <f>Database!PJC5</f>
        <v>0</v>
      </c>
      <c r="PIK3">
        <f>Database!PJD5</f>
        <v>0</v>
      </c>
      <c r="PIL3">
        <f>Database!PJE5</f>
        <v>0</v>
      </c>
      <c r="PIM3">
        <f>Database!PJF5</f>
        <v>0</v>
      </c>
      <c r="PIN3">
        <f>Database!PJG5</f>
        <v>0</v>
      </c>
      <c r="PIO3">
        <f>Database!PJH5</f>
        <v>0</v>
      </c>
      <c r="PIP3">
        <f>Database!PJI5</f>
        <v>0</v>
      </c>
      <c r="PIQ3">
        <f>Database!PJJ5</f>
        <v>0</v>
      </c>
      <c r="PIR3">
        <f>Database!PJK5</f>
        <v>0</v>
      </c>
      <c r="PIS3">
        <f>Database!PJL5</f>
        <v>0</v>
      </c>
      <c r="PIT3">
        <f>Database!PJM5</f>
        <v>0</v>
      </c>
      <c r="PIU3">
        <f>Database!PJN5</f>
        <v>0</v>
      </c>
      <c r="PIV3">
        <f>Database!PJO5</f>
        <v>0</v>
      </c>
      <c r="PIW3">
        <f>Database!PJP5</f>
        <v>0</v>
      </c>
      <c r="PIX3">
        <f>Database!PJQ5</f>
        <v>0</v>
      </c>
      <c r="PIY3">
        <f>Database!PJR5</f>
        <v>0</v>
      </c>
      <c r="PIZ3">
        <f>Database!PJS5</f>
        <v>0</v>
      </c>
      <c r="PJA3">
        <f>Database!PJT5</f>
        <v>0</v>
      </c>
      <c r="PJB3">
        <f>Database!PJU5</f>
        <v>0</v>
      </c>
      <c r="PJC3">
        <f>Database!PJV5</f>
        <v>0</v>
      </c>
      <c r="PJD3">
        <f>Database!PJW5</f>
        <v>0</v>
      </c>
      <c r="PJE3">
        <f>Database!PJX5</f>
        <v>0</v>
      </c>
      <c r="PJF3">
        <f>Database!PJY5</f>
        <v>0</v>
      </c>
      <c r="PJG3">
        <f>Database!PJZ5</f>
        <v>0</v>
      </c>
      <c r="PJH3">
        <f>Database!PKA5</f>
        <v>0</v>
      </c>
      <c r="PJI3">
        <f>Database!PKB5</f>
        <v>0</v>
      </c>
      <c r="PJJ3">
        <f>Database!PKC5</f>
        <v>0</v>
      </c>
      <c r="PJK3">
        <f>Database!PKD5</f>
        <v>0</v>
      </c>
      <c r="PJL3">
        <f>Database!PKE5</f>
        <v>0</v>
      </c>
      <c r="PJM3">
        <f>Database!PKF5</f>
        <v>0</v>
      </c>
      <c r="PJN3">
        <f>Database!PKG5</f>
        <v>0</v>
      </c>
      <c r="PJO3">
        <f>Database!PKH5</f>
        <v>0</v>
      </c>
      <c r="PJP3">
        <f>Database!PKI5</f>
        <v>0</v>
      </c>
      <c r="PJQ3">
        <f>Database!PKJ5</f>
        <v>0</v>
      </c>
      <c r="PJR3">
        <f>Database!PKK5</f>
        <v>0</v>
      </c>
      <c r="PJS3">
        <f>Database!PKL5</f>
        <v>0</v>
      </c>
      <c r="PJT3">
        <f>Database!PKM5</f>
        <v>0</v>
      </c>
      <c r="PJU3">
        <f>Database!PKN5</f>
        <v>0</v>
      </c>
      <c r="PJV3">
        <f>Database!PKO5</f>
        <v>0</v>
      </c>
      <c r="PJW3">
        <f>Database!PKP5</f>
        <v>0</v>
      </c>
      <c r="PJX3">
        <f>Database!PKQ5</f>
        <v>0</v>
      </c>
      <c r="PJY3">
        <f>Database!PKR5</f>
        <v>0</v>
      </c>
      <c r="PJZ3">
        <f>Database!PKS5</f>
        <v>0</v>
      </c>
      <c r="PKA3">
        <f>Database!PKT5</f>
        <v>0</v>
      </c>
      <c r="PKB3">
        <f>Database!PKU5</f>
        <v>0</v>
      </c>
      <c r="PKC3">
        <f>Database!PKV5</f>
        <v>0</v>
      </c>
      <c r="PKD3">
        <f>Database!PKW5</f>
        <v>0</v>
      </c>
      <c r="PKE3">
        <f>Database!PKX5</f>
        <v>0</v>
      </c>
      <c r="PKF3">
        <f>Database!PKY5</f>
        <v>0</v>
      </c>
      <c r="PKG3">
        <f>Database!PKZ5</f>
        <v>0</v>
      </c>
      <c r="PKH3">
        <f>Database!PLA5</f>
        <v>0</v>
      </c>
      <c r="PKI3">
        <f>Database!PLB5</f>
        <v>0</v>
      </c>
      <c r="PKJ3">
        <f>Database!PLC5</f>
        <v>0</v>
      </c>
      <c r="PKK3">
        <f>Database!PLD5</f>
        <v>0</v>
      </c>
      <c r="PKL3">
        <f>Database!PLE5</f>
        <v>0</v>
      </c>
      <c r="PKM3">
        <f>Database!PLF5</f>
        <v>0</v>
      </c>
      <c r="PKN3">
        <f>Database!PLG5</f>
        <v>0</v>
      </c>
      <c r="PKO3">
        <f>Database!PLH5</f>
        <v>0</v>
      </c>
      <c r="PKP3">
        <f>Database!PLI5</f>
        <v>0</v>
      </c>
      <c r="PKQ3">
        <f>Database!PLJ5</f>
        <v>0</v>
      </c>
      <c r="PKR3">
        <f>Database!PLK5</f>
        <v>0</v>
      </c>
      <c r="PKS3">
        <f>Database!PLL5</f>
        <v>0</v>
      </c>
      <c r="PKT3">
        <f>Database!PLM5</f>
        <v>0</v>
      </c>
      <c r="PKU3">
        <f>Database!PLN5</f>
        <v>0</v>
      </c>
      <c r="PKV3">
        <f>Database!PLO5</f>
        <v>0</v>
      </c>
      <c r="PKW3">
        <f>Database!PLP5</f>
        <v>0</v>
      </c>
      <c r="PKX3">
        <f>Database!PLQ5</f>
        <v>0</v>
      </c>
      <c r="PKY3">
        <f>Database!PLR5</f>
        <v>0</v>
      </c>
      <c r="PKZ3">
        <f>Database!PLS5</f>
        <v>0</v>
      </c>
      <c r="PLA3">
        <f>Database!PLT5</f>
        <v>0</v>
      </c>
      <c r="PLB3">
        <f>Database!PLU5</f>
        <v>0</v>
      </c>
      <c r="PLC3">
        <f>Database!PLV5</f>
        <v>0</v>
      </c>
      <c r="PLD3">
        <f>Database!PLW5</f>
        <v>0</v>
      </c>
      <c r="PLE3">
        <f>Database!PLX5</f>
        <v>0</v>
      </c>
      <c r="PLF3">
        <f>Database!PLY5</f>
        <v>0</v>
      </c>
      <c r="PLG3">
        <f>Database!PLZ5</f>
        <v>0</v>
      </c>
      <c r="PLH3">
        <f>Database!PMA5</f>
        <v>0</v>
      </c>
      <c r="PLI3">
        <f>Database!PMB5</f>
        <v>0</v>
      </c>
      <c r="PLJ3">
        <f>Database!PMC5</f>
        <v>0</v>
      </c>
      <c r="PLK3">
        <f>Database!PMD5</f>
        <v>0</v>
      </c>
      <c r="PLL3">
        <f>Database!PME5</f>
        <v>0</v>
      </c>
      <c r="PLM3">
        <f>Database!PMF5</f>
        <v>0</v>
      </c>
      <c r="PLN3">
        <f>Database!PMG5</f>
        <v>0</v>
      </c>
      <c r="PLO3">
        <f>Database!PMH5</f>
        <v>0</v>
      </c>
      <c r="PLP3">
        <f>Database!PMI5</f>
        <v>0</v>
      </c>
      <c r="PLQ3">
        <f>Database!PMJ5</f>
        <v>0</v>
      </c>
      <c r="PLR3">
        <f>Database!PMK5</f>
        <v>0</v>
      </c>
      <c r="PLS3">
        <f>Database!PML5</f>
        <v>0</v>
      </c>
      <c r="PLT3">
        <f>Database!PMM5</f>
        <v>0</v>
      </c>
      <c r="PLU3">
        <f>Database!PMN5</f>
        <v>0</v>
      </c>
      <c r="PLV3">
        <f>Database!PMO5</f>
        <v>0</v>
      </c>
      <c r="PLW3">
        <f>Database!PMP5</f>
        <v>0</v>
      </c>
      <c r="PLX3">
        <f>Database!PMQ5</f>
        <v>0</v>
      </c>
      <c r="PLY3">
        <f>Database!PMR5</f>
        <v>0</v>
      </c>
      <c r="PLZ3">
        <f>Database!PMS5</f>
        <v>0</v>
      </c>
      <c r="PMA3">
        <f>Database!PMT5</f>
        <v>0</v>
      </c>
      <c r="PMB3">
        <f>Database!PMU5</f>
        <v>0</v>
      </c>
      <c r="PMC3">
        <f>Database!PMV5</f>
        <v>0</v>
      </c>
      <c r="PMD3">
        <f>Database!PMW5</f>
        <v>0</v>
      </c>
      <c r="PME3">
        <f>Database!PMX5</f>
        <v>0</v>
      </c>
      <c r="PMF3">
        <f>Database!PMY5</f>
        <v>0</v>
      </c>
      <c r="PMG3">
        <f>Database!PMZ5</f>
        <v>0</v>
      </c>
      <c r="PMH3">
        <f>Database!PNA5</f>
        <v>0</v>
      </c>
      <c r="PMI3">
        <f>Database!PNB5</f>
        <v>0</v>
      </c>
      <c r="PMJ3">
        <f>Database!PNC5</f>
        <v>0</v>
      </c>
      <c r="PMK3">
        <f>Database!PND5</f>
        <v>0</v>
      </c>
      <c r="PML3">
        <f>Database!PNE5</f>
        <v>0</v>
      </c>
      <c r="PMM3">
        <f>Database!PNF5</f>
        <v>0</v>
      </c>
      <c r="PMN3">
        <f>Database!PNG5</f>
        <v>0</v>
      </c>
      <c r="PMO3">
        <f>Database!PNH5</f>
        <v>0</v>
      </c>
      <c r="PMP3">
        <f>Database!PNI5</f>
        <v>0</v>
      </c>
      <c r="PMQ3">
        <f>Database!PNJ5</f>
        <v>0</v>
      </c>
      <c r="PMR3">
        <f>Database!PNK5</f>
        <v>0</v>
      </c>
      <c r="PMS3">
        <f>Database!PNL5</f>
        <v>0</v>
      </c>
      <c r="PMT3">
        <f>Database!PNM5</f>
        <v>0</v>
      </c>
      <c r="PMU3">
        <f>Database!PNN5</f>
        <v>0</v>
      </c>
      <c r="PMV3">
        <f>Database!PNO5</f>
        <v>0</v>
      </c>
      <c r="PMW3">
        <f>Database!PNP5</f>
        <v>0</v>
      </c>
      <c r="PMX3">
        <f>Database!PNQ5</f>
        <v>0</v>
      </c>
      <c r="PMY3">
        <f>Database!PNR5</f>
        <v>0</v>
      </c>
      <c r="PMZ3">
        <f>Database!PNS5</f>
        <v>0</v>
      </c>
      <c r="PNA3">
        <f>Database!PNT5</f>
        <v>0</v>
      </c>
      <c r="PNB3">
        <f>Database!PNU5</f>
        <v>0</v>
      </c>
      <c r="PNC3">
        <f>Database!PNV5</f>
        <v>0</v>
      </c>
      <c r="PND3">
        <f>Database!PNW5</f>
        <v>0</v>
      </c>
      <c r="PNE3">
        <f>Database!PNX5</f>
        <v>0</v>
      </c>
      <c r="PNF3">
        <f>Database!PNY5</f>
        <v>0</v>
      </c>
      <c r="PNG3">
        <f>Database!PNZ5</f>
        <v>0</v>
      </c>
      <c r="PNH3">
        <f>Database!POA5</f>
        <v>0</v>
      </c>
      <c r="PNI3">
        <f>Database!POB5</f>
        <v>0</v>
      </c>
      <c r="PNJ3">
        <f>Database!POC5</f>
        <v>0</v>
      </c>
      <c r="PNK3">
        <f>Database!POD5</f>
        <v>0</v>
      </c>
      <c r="PNL3">
        <f>Database!POE5</f>
        <v>0</v>
      </c>
      <c r="PNM3">
        <f>Database!POF5</f>
        <v>0</v>
      </c>
      <c r="PNN3">
        <f>Database!POG5</f>
        <v>0</v>
      </c>
      <c r="PNO3">
        <f>Database!POH5</f>
        <v>0</v>
      </c>
      <c r="PNP3">
        <f>Database!POI5</f>
        <v>0</v>
      </c>
      <c r="PNQ3">
        <f>Database!POJ5</f>
        <v>0</v>
      </c>
      <c r="PNR3">
        <f>Database!POK5</f>
        <v>0</v>
      </c>
      <c r="PNS3">
        <f>Database!POL5</f>
        <v>0</v>
      </c>
      <c r="PNT3">
        <f>Database!POM5</f>
        <v>0</v>
      </c>
      <c r="PNU3">
        <f>Database!PON5</f>
        <v>0</v>
      </c>
      <c r="PNV3">
        <f>Database!POO5</f>
        <v>0</v>
      </c>
      <c r="PNW3">
        <f>Database!POP5</f>
        <v>0</v>
      </c>
      <c r="PNX3">
        <f>Database!POQ5</f>
        <v>0</v>
      </c>
      <c r="PNY3">
        <f>Database!POR5</f>
        <v>0</v>
      </c>
      <c r="PNZ3">
        <f>Database!POS5</f>
        <v>0</v>
      </c>
      <c r="POA3">
        <f>Database!POT5</f>
        <v>0</v>
      </c>
      <c r="POB3">
        <f>Database!POU5</f>
        <v>0</v>
      </c>
      <c r="POC3">
        <f>Database!POV5</f>
        <v>0</v>
      </c>
      <c r="POD3">
        <f>Database!POW5</f>
        <v>0</v>
      </c>
      <c r="POE3">
        <f>Database!POX5</f>
        <v>0</v>
      </c>
      <c r="POF3">
        <f>Database!POY5</f>
        <v>0</v>
      </c>
      <c r="POG3">
        <f>Database!POZ5</f>
        <v>0</v>
      </c>
      <c r="POH3">
        <f>Database!PPA5</f>
        <v>0</v>
      </c>
      <c r="POI3">
        <f>Database!PPB5</f>
        <v>0</v>
      </c>
      <c r="POJ3">
        <f>Database!PPC5</f>
        <v>0</v>
      </c>
      <c r="POK3">
        <f>Database!PPD5</f>
        <v>0</v>
      </c>
      <c r="POL3">
        <f>Database!PPE5</f>
        <v>0</v>
      </c>
      <c r="POM3">
        <f>Database!PPF5</f>
        <v>0</v>
      </c>
      <c r="PON3">
        <f>Database!PPG5</f>
        <v>0</v>
      </c>
      <c r="POO3">
        <f>Database!PPH5</f>
        <v>0</v>
      </c>
      <c r="POP3">
        <f>Database!PPI5</f>
        <v>0</v>
      </c>
      <c r="POQ3">
        <f>Database!PPJ5</f>
        <v>0</v>
      </c>
      <c r="POR3">
        <f>Database!PPK5</f>
        <v>0</v>
      </c>
      <c r="POS3">
        <f>Database!PPL5</f>
        <v>0</v>
      </c>
      <c r="POT3">
        <f>Database!PPM5</f>
        <v>0</v>
      </c>
      <c r="POU3">
        <f>Database!PPN5</f>
        <v>0</v>
      </c>
      <c r="POV3">
        <f>Database!PPO5</f>
        <v>0</v>
      </c>
      <c r="POW3">
        <f>Database!PPP5</f>
        <v>0</v>
      </c>
      <c r="POX3">
        <f>Database!PPQ5</f>
        <v>0</v>
      </c>
      <c r="POY3">
        <f>Database!PPR5</f>
        <v>0</v>
      </c>
      <c r="POZ3">
        <f>Database!PPS5</f>
        <v>0</v>
      </c>
      <c r="PPA3">
        <f>Database!PPT5</f>
        <v>0</v>
      </c>
      <c r="PPB3">
        <f>Database!PPU5</f>
        <v>0</v>
      </c>
      <c r="PPC3">
        <f>Database!PPV5</f>
        <v>0</v>
      </c>
      <c r="PPD3">
        <f>Database!PPW5</f>
        <v>0</v>
      </c>
      <c r="PPE3">
        <f>Database!PPX5</f>
        <v>0</v>
      </c>
      <c r="PPF3">
        <f>Database!PPY5</f>
        <v>0</v>
      </c>
      <c r="PPG3">
        <f>Database!PPZ5</f>
        <v>0</v>
      </c>
      <c r="PPH3">
        <f>Database!PQA5</f>
        <v>0</v>
      </c>
      <c r="PPI3">
        <f>Database!PQB5</f>
        <v>0</v>
      </c>
      <c r="PPJ3">
        <f>Database!PQC5</f>
        <v>0</v>
      </c>
      <c r="PPK3">
        <f>Database!PQD5</f>
        <v>0</v>
      </c>
      <c r="PPL3">
        <f>Database!PQE5</f>
        <v>0</v>
      </c>
      <c r="PPM3">
        <f>Database!PQF5</f>
        <v>0</v>
      </c>
      <c r="PPN3">
        <f>Database!PQG5</f>
        <v>0</v>
      </c>
      <c r="PPO3">
        <f>Database!PQH5</f>
        <v>0</v>
      </c>
      <c r="PPP3">
        <f>Database!PQI5</f>
        <v>0</v>
      </c>
      <c r="PPQ3">
        <f>Database!PQJ5</f>
        <v>0</v>
      </c>
      <c r="PPR3">
        <f>Database!PQK5</f>
        <v>0</v>
      </c>
      <c r="PPS3">
        <f>Database!PQL5</f>
        <v>0</v>
      </c>
      <c r="PPT3">
        <f>Database!PQM5</f>
        <v>0</v>
      </c>
      <c r="PPU3">
        <f>Database!PQN5</f>
        <v>0</v>
      </c>
      <c r="PPV3">
        <f>Database!PQO5</f>
        <v>0</v>
      </c>
      <c r="PPW3">
        <f>Database!PQP5</f>
        <v>0</v>
      </c>
      <c r="PPX3">
        <f>Database!PQQ5</f>
        <v>0</v>
      </c>
      <c r="PPY3">
        <f>Database!PQR5</f>
        <v>0</v>
      </c>
      <c r="PPZ3">
        <f>Database!PQS5</f>
        <v>0</v>
      </c>
      <c r="PQA3">
        <f>Database!PQT5</f>
        <v>0</v>
      </c>
      <c r="PQB3">
        <f>Database!PQU5</f>
        <v>0</v>
      </c>
      <c r="PQC3">
        <f>Database!PQV5</f>
        <v>0</v>
      </c>
      <c r="PQD3">
        <f>Database!PQW5</f>
        <v>0</v>
      </c>
      <c r="PQE3">
        <f>Database!PQX5</f>
        <v>0</v>
      </c>
      <c r="PQF3">
        <f>Database!PQY5</f>
        <v>0</v>
      </c>
      <c r="PQG3">
        <f>Database!PQZ5</f>
        <v>0</v>
      </c>
      <c r="PQH3">
        <f>Database!PRA5</f>
        <v>0</v>
      </c>
      <c r="PQI3">
        <f>Database!PRB5</f>
        <v>0</v>
      </c>
      <c r="PQJ3">
        <f>Database!PRC5</f>
        <v>0</v>
      </c>
      <c r="PQK3">
        <f>Database!PRD5</f>
        <v>0</v>
      </c>
      <c r="PQL3">
        <f>Database!PRE5</f>
        <v>0</v>
      </c>
      <c r="PQM3">
        <f>Database!PRF5</f>
        <v>0</v>
      </c>
      <c r="PQN3">
        <f>Database!PRG5</f>
        <v>0</v>
      </c>
      <c r="PQO3">
        <f>Database!PRH5</f>
        <v>0</v>
      </c>
      <c r="PQP3">
        <f>Database!PRI5</f>
        <v>0</v>
      </c>
      <c r="PQQ3">
        <f>Database!PRJ5</f>
        <v>0</v>
      </c>
      <c r="PQR3">
        <f>Database!PRK5</f>
        <v>0</v>
      </c>
      <c r="PQS3">
        <f>Database!PRL5</f>
        <v>0</v>
      </c>
      <c r="PQT3">
        <f>Database!PRM5</f>
        <v>0</v>
      </c>
      <c r="PQU3">
        <f>Database!PRN5</f>
        <v>0</v>
      </c>
      <c r="PQV3">
        <f>Database!PRO5</f>
        <v>0</v>
      </c>
      <c r="PQW3">
        <f>Database!PRP5</f>
        <v>0</v>
      </c>
      <c r="PQX3">
        <f>Database!PRQ5</f>
        <v>0</v>
      </c>
      <c r="PQY3">
        <f>Database!PRR5</f>
        <v>0</v>
      </c>
      <c r="PQZ3">
        <f>Database!PRS5</f>
        <v>0</v>
      </c>
      <c r="PRA3">
        <f>Database!PRT5</f>
        <v>0</v>
      </c>
      <c r="PRB3">
        <f>Database!PRU5</f>
        <v>0</v>
      </c>
      <c r="PRC3">
        <f>Database!PRV5</f>
        <v>0</v>
      </c>
      <c r="PRD3">
        <f>Database!PRW5</f>
        <v>0</v>
      </c>
      <c r="PRE3">
        <f>Database!PRX5</f>
        <v>0</v>
      </c>
      <c r="PRF3">
        <f>Database!PRY5</f>
        <v>0</v>
      </c>
      <c r="PRG3">
        <f>Database!PRZ5</f>
        <v>0</v>
      </c>
      <c r="PRH3">
        <f>Database!PSA5</f>
        <v>0</v>
      </c>
      <c r="PRI3">
        <f>Database!PSB5</f>
        <v>0</v>
      </c>
      <c r="PRJ3">
        <f>Database!PSC5</f>
        <v>0</v>
      </c>
      <c r="PRK3">
        <f>Database!PSD5</f>
        <v>0</v>
      </c>
      <c r="PRL3">
        <f>Database!PSE5</f>
        <v>0</v>
      </c>
      <c r="PRM3">
        <f>Database!PSF5</f>
        <v>0</v>
      </c>
      <c r="PRN3">
        <f>Database!PSG5</f>
        <v>0</v>
      </c>
      <c r="PRO3">
        <f>Database!PSH5</f>
        <v>0</v>
      </c>
      <c r="PRP3">
        <f>Database!PSI5</f>
        <v>0</v>
      </c>
      <c r="PRQ3">
        <f>Database!PSJ5</f>
        <v>0</v>
      </c>
      <c r="PRR3">
        <f>Database!PSK5</f>
        <v>0</v>
      </c>
      <c r="PRS3">
        <f>Database!PSL5</f>
        <v>0</v>
      </c>
      <c r="PRT3">
        <f>Database!PSM5</f>
        <v>0</v>
      </c>
      <c r="PRU3">
        <f>Database!PSN5</f>
        <v>0</v>
      </c>
      <c r="PRV3">
        <f>Database!PSO5</f>
        <v>0</v>
      </c>
      <c r="PRW3">
        <f>Database!PSP5</f>
        <v>0</v>
      </c>
      <c r="PRX3">
        <f>Database!PSQ5</f>
        <v>0</v>
      </c>
      <c r="PRY3">
        <f>Database!PSR5</f>
        <v>0</v>
      </c>
      <c r="PRZ3">
        <f>Database!PSS5</f>
        <v>0</v>
      </c>
      <c r="PSA3">
        <f>Database!PST5</f>
        <v>0</v>
      </c>
      <c r="PSB3">
        <f>Database!PSU5</f>
        <v>0</v>
      </c>
      <c r="PSC3">
        <f>Database!PSV5</f>
        <v>0</v>
      </c>
      <c r="PSD3">
        <f>Database!PSW5</f>
        <v>0</v>
      </c>
      <c r="PSE3">
        <f>Database!PSX5</f>
        <v>0</v>
      </c>
      <c r="PSF3">
        <f>Database!PSY5</f>
        <v>0</v>
      </c>
      <c r="PSG3">
        <f>Database!PSZ5</f>
        <v>0</v>
      </c>
      <c r="PSH3">
        <f>Database!PTA5</f>
        <v>0</v>
      </c>
      <c r="PSI3">
        <f>Database!PTB5</f>
        <v>0</v>
      </c>
      <c r="PSJ3">
        <f>Database!PTC5</f>
        <v>0</v>
      </c>
      <c r="PSK3">
        <f>Database!PTD5</f>
        <v>0</v>
      </c>
      <c r="PSL3">
        <f>Database!PTE5</f>
        <v>0</v>
      </c>
      <c r="PSM3">
        <f>Database!PTF5</f>
        <v>0</v>
      </c>
      <c r="PSN3">
        <f>Database!PTG5</f>
        <v>0</v>
      </c>
      <c r="PSO3">
        <f>Database!PTH5</f>
        <v>0</v>
      </c>
      <c r="PSP3">
        <f>Database!PTI5</f>
        <v>0</v>
      </c>
      <c r="PSQ3">
        <f>Database!PTJ5</f>
        <v>0</v>
      </c>
      <c r="PSR3">
        <f>Database!PTK5</f>
        <v>0</v>
      </c>
      <c r="PSS3">
        <f>Database!PTL5</f>
        <v>0</v>
      </c>
      <c r="PST3">
        <f>Database!PTM5</f>
        <v>0</v>
      </c>
      <c r="PSU3">
        <f>Database!PTN5</f>
        <v>0</v>
      </c>
      <c r="PSV3">
        <f>Database!PTO5</f>
        <v>0</v>
      </c>
      <c r="PSW3">
        <f>Database!PTP5</f>
        <v>0</v>
      </c>
      <c r="PSX3">
        <f>Database!PTQ5</f>
        <v>0</v>
      </c>
      <c r="PSY3">
        <f>Database!PTR5</f>
        <v>0</v>
      </c>
      <c r="PSZ3">
        <f>Database!PTS5</f>
        <v>0</v>
      </c>
      <c r="PTA3">
        <f>Database!PTT5</f>
        <v>0</v>
      </c>
      <c r="PTB3">
        <f>Database!PTU5</f>
        <v>0</v>
      </c>
      <c r="PTC3">
        <f>Database!PTV5</f>
        <v>0</v>
      </c>
      <c r="PTD3">
        <f>Database!PTW5</f>
        <v>0</v>
      </c>
      <c r="PTE3">
        <f>Database!PTX5</f>
        <v>0</v>
      </c>
      <c r="PTF3">
        <f>Database!PTY5</f>
        <v>0</v>
      </c>
      <c r="PTG3">
        <f>Database!PTZ5</f>
        <v>0</v>
      </c>
      <c r="PTH3">
        <f>Database!PUA5</f>
        <v>0</v>
      </c>
      <c r="PTI3">
        <f>Database!PUB5</f>
        <v>0</v>
      </c>
      <c r="PTJ3">
        <f>Database!PUC5</f>
        <v>0</v>
      </c>
      <c r="PTK3">
        <f>Database!PUD5</f>
        <v>0</v>
      </c>
      <c r="PTL3">
        <f>Database!PUE5</f>
        <v>0</v>
      </c>
      <c r="PTM3">
        <f>Database!PUF5</f>
        <v>0</v>
      </c>
      <c r="PTN3">
        <f>Database!PUG5</f>
        <v>0</v>
      </c>
      <c r="PTO3">
        <f>Database!PUH5</f>
        <v>0</v>
      </c>
      <c r="PTP3">
        <f>Database!PUI5</f>
        <v>0</v>
      </c>
      <c r="PTQ3">
        <f>Database!PUJ5</f>
        <v>0</v>
      </c>
      <c r="PTR3">
        <f>Database!PUK5</f>
        <v>0</v>
      </c>
      <c r="PTS3">
        <f>Database!PUL5</f>
        <v>0</v>
      </c>
      <c r="PTT3">
        <f>Database!PUM5</f>
        <v>0</v>
      </c>
      <c r="PTU3">
        <f>Database!PUN5</f>
        <v>0</v>
      </c>
      <c r="PTV3">
        <f>Database!PUO5</f>
        <v>0</v>
      </c>
      <c r="PTW3">
        <f>Database!PUP5</f>
        <v>0</v>
      </c>
      <c r="PTX3">
        <f>Database!PUQ5</f>
        <v>0</v>
      </c>
      <c r="PTY3">
        <f>Database!PUR5</f>
        <v>0</v>
      </c>
      <c r="PTZ3">
        <f>Database!PUS5</f>
        <v>0</v>
      </c>
      <c r="PUA3">
        <f>Database!PUT5</f>
        <v>0</v>
      </c>
      <c r="PUB3">
        <f>Database!PUU5</f>
        <v>0</v>
      </c>
      <c r="PUC3">
        <f>Database!PUV5</f>
        <v>0</v>
      </c>
      <c r="PUD3">
        <f>Database!PUW5</f>
        <v>0</v>
      </c>
      <c r="PUE3">
        <f>Database!PUX5</f>
        <v>0</v>
      </c>
      <c r="PUF3">
        <f>Database!PUY5</f>
        <v>0</v>
      </c>
      <c r="PUG3">
        <f>Database!PUZ5</f>
        <v>0</v>
      </c>
      <c r="PUH3">
        <f>Database!PVA5</f>
        <v>0</v>
      </c>
      <c r="PUI3">
        <f>Database!PVB5</f>
        <v>0</v>
      </c>
      <c r="PUJ3">
        <f>Database!PVC5</f>
        <v>0</v>
      </c>
      <c r="PUK3">
        <f>Database!PVD5</f>
        <v>0</v>
      </c>
      <c r="PUL3">
        <f>Database!PVE5</f>
        <v>0</v>
      </c>
      <c r="PUM3">
        <f>Database!PVF5</f>
        <v>0</v>
      </c>
      <c r="PUN3">
        <f>Database!PVG5</f>
        <v>0</v>
      </c>
      <c r="PUO3">
        <f>Database!PVH5</f>
        <v>0</v>
      </c>
      <c r="PUP3">
        <f>Database!PVI5</f>
        <v>0</v>
      </c>
      <c r="PUQ3">
        <f>Database!PVJ5</f>
        <v>0</v>
      </c>
      <c r="PUR3">
        <f>Database!PVK5</f>
        <v>0</v>
      </c>
      <c r="PUS3">
        <f>Database!PVL5</f>
        <v>0</v>
      </c>
      <c r="PUT3">
        <f>Database!PVM5</f>
        <v>0</v>
      </c>
      <c r="PUU3">
        <f>Database!PVN5</f>
        <v>0</v>
      </c>
      <c r="PUV3">
        <f>Database!PVO5</f>
        <v>0</v>
      </c>
      <c r="PUW3">
        <f>Database!PVP5</f>
        <v>0</v>
      </c>
      <c r="PUX3">
        <f>Database!PVQ5</f>
        <v>0</v>
      </c>
      <c r="PUY3">
        <f>Database!PVR5</f>
        <v>0</v>
      </c>
      <c r="PUZ3">
        <f>Database!PVS5</f>
        <v>0</v>
      </c>
      <c r="PVA3">
        <f>Database!PVT5</f>
        <v>0</v>
      </c>
      <c r="PVB3">
        <f>Database!PVU5</f>
        <v>0</v>
      </c>
      <c r="PVC3">
        <f>Database!PVV5</f>
        <v>0</v>
      </c>
      <c r="PVD3">
        <f>Database!PVW5</f>
        <v>0</v>
      </c>
      <c r="PVE3">
        <f>Database!PVX5</f>
        <v>0</v>
      </c>
      <c r="PVF3">
        <f>Database!PVY5</f>
        <v>0</v>
      </c>
      <c r="PVG3">
        <f>Database!PVZ5</f>
        <v>0</v>
      </c>
      <c r="PVH3">
        <f>Database!PWA5</f>
        <v>0</v>
      </c>
      <c r="PVI3">
        <f>Database!PWB5</f>
        <v>0</v>
      </c>
      <c r="PVJ3">
        <f>Database!PWC5</f>
        <v>0</v>
      </c>
      <c r="PVK3">
        <f>Database!PWD5</f>
        <v>0</v>
      </c>
      <c r="PVL3">
        <f>Database!PWE5</f>
        <v>0</v>
      </c>
      <c r="PVM3">
        <f>Database!PWF5</f>
        <v>0</v>
      </c>
      <c r="PVN3">
        <f>Database!PWG5</f>
        <v>0</v>
      </c>
      <c r="PVO3">
        <f>Database!PWH5</f>
        <v>0</v>
      </c>
      <c r="PVP3">
        <f>Database!PWI5</f>
        <v>0</v>
      </c>
      <c r="PVQ3">
        <f>Database!PWJ5</f>
        <v>0</v>
      </c>
      <c r="PVR3">
        <f>Database!PWK5</f>
        <v>0</v>
      </c>
      <c r="PVS3">
        <f>Database!PWL5</f>
        <v>0</v>
      </c>
      <c r="PVT3">
        <f>Database!PWM5</f>
        <v>0</v>
      </c>
      <c r="PVU3">
        <f>Database!PWN5</f>
        <v>0</v>
      </c>
      <c r="PVV3">
        <f>Database!PWO5</f>
        <v>0</v>
      </c>
      <c r="PVW3">
        <f>Database!PWP5</f>
        <v>0</v>
      </c>
      <c r="PVX3">
        <f>Database!PWQ5</f>
        <v>0</v>
      </c>
      <c r="PVY3">
        <f>Database!PWR5</f>
        <v>0</v>
      </c>
      <c r="PVZ3">
        <f>Database!PWS5</f>
        <v>0</v>
      </c>
      <c r="PWA3">
        <f>Database!PWT5</f>
        <v>0</v>
      </c>
      <c r="PWB3">
        <f>Database!PWU5</f>
        <v>0</v>
      </c>
      <c r="PWC3">
        <f>Database!PWV5</f>
        <v>0</v>
      </c>
      <c r="PWD3">
        <f>Database!PWW5</f>
        <v>0</v>
      </c>
      <c r="PWE3">
        <f>Database!PWX5</f>
        <v>0</v>
      </c>
      <c r="PWF3">
        <f>Database!PWY5</f>
        <v>0</v>
      </c>
      <c r="PWG3">
        <f>Database!PWZ5</f>
        <v>0</v>
      </c>
      <c r="PWH3">
        <f>Database!PXA5</f>
        <v>0</v>
      </c>
      <c r="PWI3">
        <f>Database!PXB5</f>
        <v>0</v>
      </c>
      <c r="PWJ3">
        <f>Database!PXC5</f>
        <v>0</v>
      </c>
      <c r="PWK3">
        <f>Database!PXD5</f>
        <v>0</v>
      </c>
      <c r="PWL3">
        <f>Database!PXE5</f>
        <v>0</v>
      </c>
      <c r="PWM3">
        <f>Database!PXF5</f>
        <v>0</v>
      </c>
      <c r="PWN3">
        <f>Database!PXG5</f>
        <v>0</v>
      </c>
      <c r="PWO3">
        <f>Database!PXH5</f>
        <v>0</v>
      </c>
      <c r="PWP3">
        <f>Database!PXI5</f>
        <v>0</v>
      </c>
      <c r="PWQ3">
        <f>Database!PXJ5</f>
        <v>0</v>
      </c>
      <c r="PWR3">
        <f>Database!PXK5</f>
        <v>0</v>
      </c>
      <c r="PWS3">
        <f>Database!PXL5</f>
        <v>0</v>
      </c>
      <c r="PWT3">
        <f>Database!PXM5</f>
        <v>0</v>
      </c>
      <c r="PWU3">
        <f>Database!PXN5</f>
        <v>0</v>
      </c>
      <c r="PWV3">
        <f>Database!PXO5</f>
        <v>0</v>
      </c>
      <c r="PWW3">
        <f>Database!PXP5</f>
        <v>0</v>
      </c>
      <c r="PWX3">
        <f>Database!PXQ5</f>
        <v>0</v>
      </c>
      <c r="PWY3">
        <f>Database!PXR5</f>
        <v>0</v>
      </c>
      <c r="PWZ3">
        <f>Database!PXS5</f>
        <v>0</v>
      </c>
      <c r="PXA3">
        <f>Database!PXT5</f>
        <v>0</v>
      </c>
      <c r="PXB3">
        <f>Database!PXU5</f>
        <v>0</v>
      </c>
      <c r="PXC3">
        <f>Database!PXV5</f>
        <v>0</v>
      </c>
      <c r="PXD3">
        <f>Database!PXW5</f>
        <v>0</v>
      </c>
      <c r="PXE3">
        <f>Database!PXX5</f>
        <v>0</v>
      </c>
      <c r="PXF3">
        <f>Database!PXY5</f>
        <v>0</v>
      </c>
      <c r="PXG3">
        <f>Database!PXZ5</f>
        <v>0</v>
      </c>
      <c r="PXH3">
        <f>Database!PYA5</f>
        <v>0</v>
      </c>
      <c r="PXI3">
        <f>Database!PYB5</f>
        <v>0</v>
      </c>
      <c r="PXJ3">
        <f>Database!PYC5</f>
        <v>0</v>
      </c>
      <c r="PXK3">
        <f>Database!PYD5</f>
        <v>0</v>
      </c>
      <c r="PXL3">
        <f>Database!PYE5</f>
        <v>0</v>
      </c>
      <c r="PXM3">
        <f>Database!PYF5</f>
        <v>0</v>
      </c>
      <c r="PXN3">
        <f>Database!PYG5</f>
        <v>0</v>
      </c>
      <c r="PXO3">
        <f>Database!PYH5</f>
        <v>0</v>
      </c>
      <c r="PXP3">
        <f>Database!PYI5</f>
        <v>0</v>
      </c>
      <c r="PXQ3">
        <f>Database!PYJ5</f>
        <v>0</v>
      </c>
      <c r="PXR3">
        <f>Database!PYK5</f>
        <v>0</v>
      </c>
      <c r="PXS3">
        <f>Database!PYL5</f>
        <v>0</v>
      </c>
      <c r="PXT3">
        <f>Database!PYM5</f>
        <v>0</v>
      </c>
      <c r="PXU3">
        <f>Database!PYN5</f>
        <v>0</v>
      </c>
      <c r="PXV3">
        <f>Database!PYO5</f>
        <v>0</v>
      </c>
      <c r="PXW3">
        <f>Database!PYP5</f>
        <v>0</v>
      </c>
      <c r="PXX3">
        <f>Database!PYQ5</f>
        <v>0</v>
      </c>
      <c r="PXY3">
        <f>Database!PYR5</f>
        <v>0</v>
      </c>
      <c r="PXZ3">
        <f>Database!PYS5</f>
        <v>0</v>
      </c>
      <c r="PYA3">
        <f>Database!PYT5</f>
        <v>0</v>
      </c>
      <c r="PYB3">
        <f>Database!PYU5</f>
        <v>0</v>
      </c>
      <c r="PYC3">
        <f>Database!PYV5</f>
        <v>0</v>
      </c>
      <c r="PYD3">
        <f>Database!PYW5</f>
        <v>0</v>
      </c>
      <c r="PYE3">
        <f>Database!PYX5</f>
        <v>0</v>
      </c>
      <c r="PYF3">
        <f>Database!PYY5</f>
        <v>0</v>
      </c>
      <c r="PYG3">
        <f>Database!PYZ5</f>
        <v>0</v>
      </c>
      <c r="PYH3">
        <f>Database!PZA5</f>
        <v>0</v>
      </c>
      <c r="PYI3">
        <f>Database!PZB5</f>
        <v>0</v>
      </c>
      <c r="PYJ3">
        <f>Database!PZC5</f>
        <v>0</v>
      </c>
      <c r="PYK3">
        <f>Database!PZD5</f>
        <v>0</v>
      </c>
      <c r="PYL3">
        <f>Database!PZE5</f>
        <v>0</v>
      </c>
      <c r="PYM3">
        <f>Database!PZF5</f>
        <v>0</v>
      </c>
      <c r="PYN3">
        <f>Database!PZG5</f>
        <v>0</v>
      </c>
      <c r="PYO3">
        <f>Database!PZH5</f>
        <v>0</v>
      </c>
      <c r="PYP3">
        <f>Database!PZI5</f>
        <v>0</v>
      </c>
      <c r="PYQ3">
        <f>Database!PZJ5</f>
        <v>0</v>
      </c>
      <c r="PYR3">
        <f>Database!PZK5</f>
        <v>0</v>
      </c>
      <c r="PYS3">
        <f>Database!PZL5</f>
        <v>0</v>
      </c>
      <c r="PYT3">
        <f>Database!PZM5</f>
        <v>0</v>
      </c>
      <c r="PYU3">
        <f>Database!PZN5</f>
        <v>0</v>
      </c>
      <c r="PYV3">
        <f>Database!PZO5</f>
        <v>0</v>
      </c>
      <c r="PYW3">
        <f>Database!PZP5</f>
        <v>0</v>
      </c>
      <c r="PYX3">
        <f>Database!PZQ5</f>
        <v>0</v>
      </c>
      <c r="PYY3">
        <f>Database!PZR5</f>
        <v>0</v>
      </c>
      <c r="PYZ3">
        <f>Database!PZS5</f>
        <v>0</v>
      </c>
      <c r="PZA3">
        <f>Database!PZT5</f>
        <v>0</v>
      </c>
      <c r="PZB3">
        <f>Database!PZU5</f>
        <v>0</v>
      </c>
      <c r="PZC3">
        <f>Database!PZV5</f>
        <v>0</v>
      </c>
      <c r="PZD3">
        <f>Database!PZW5</f>
        <v>0</v>
      </c>
      <c r="PZE3">
        <f>Database!PZX5</f>
        <v>0</v>
      </c>
      <c r="PZF3">
        <f>Database!PZY5</f>
        <v>0</v>
      </c>
      <c r="PZG3">
        <f>Database!PZZ5</f>
        <v>0</v>
      </c>
      <c r="PZH3">
        <f>Database!QAA5</f>
        <v>0</v>
      </c>
      <c r="PZI3">
        <f>Database!QAB5</f>
        <v>0</v>
      </c>
      <c r="PZJ3">
        <f>Database!QAC5</f>
        <v>0</v>
      </c>
      <c r="PZK3">
        <f>Database!QAD5</f>
        <v>0</v>
      </c>
      <c r="PZL3">
        <f>Database!QAE5</f>
        <v>0</v>
      </c>
      <c r="PZM3">
        <f>Database!QAF5</f>
        <v>0</v>
      </c>
      <c r="PZN3">
        <f>Database!QAG5</f>
        <v>0</v>
      </c>
      <c r="PZO3">
        <f>Database!QAH5</f>
        <v>0</v>
      </c>
      <c r="PZP3">
        <f>Database!QAI5</f>
        <v>0</v>
      </c>
      <c r="PZQ3">
        <f>Database!QAJ5</f>
        <v>0</v>
      </c>
      <c r="PZR3">
        <f>Database!QAK5</f>
        <v>0</v>
      </c>
      <c r="PZS3">
        <f>Database!QAL5</f>
        <v>0</v>
      </c>
      <c r="PZT3">
        <f>Database!QAM5</f>
        <v>0</v>
      </c>
      <c r="PZU3">
        <f>Database!QAN5</f>
        <v>0</v>
      </c>
      <c r="PZV3">
        <f>Database!QAO5</f>
        <v>0</v>
      </c>
      <c r="PZW3">
        <f>Database!QAP5</f>
        <v>0</v>
      </c>
      <c r="PZX3">
        <f>Database!QAQ5</f>
        <v>0</v>
      </c>
      <c r="PZY3">
        <f>Database!QAR5</f>
        <v>0</v>
      </c>
      <c r="PZZ3">
        <f>Database!QAS5</f>
        <v>0</v>
      </c>
      <c r="QAA3">
        <f>Database!QAT5</f>
        <v>0</v>
      </c>
      <c r="QAB3">
        <f>Database!QAU5</f>
        <v>0</v>
      </c>
      <c r="QAC3">
        <f>Database!QAV5</f>
        <v>0</v>
      </c>
      <c r="QAD3">
        <f>Database!QAW5</f>
        <v>0</v>
      </c>
      <c r="QAE3">
        <f>Database!QAX5</f>
        <v>0</v>
      </c>
      <c r="QAF3">
        <f>Database!QAY5</f>
        <v>0</v>
      </c>
      <c r="QAG3">
        <f>Database!QAZ5</f>
        <v>0</v>
      </c>
      <c r="QAH3">
        <f>Database!QBA5</f>
        <v>0</v>
      </c>
      <c r="QAI3">
        <f>Database!QBB5</f>
        <v>0</v>
      </c>
      <c r="QAJ3">
        <f>Database!QBC5</f>
        <v>0</v>
      </c>
      <c r="QAK3">
        <f>Database!QBD5</f>
        <v>0</v>
      </c>
      <c r="QAL3">
        <f>Database!QBE5</f>
        <v>0</v>
      </c>
      <c r="QAM3">
        <f>Database!QBF5</f>
        <v>0</v>
      </c>
      <c r="QAN3">
        <f>Database!QBG5</f>
        <v>0</v>
      </c>
      <c r="QAO3">
        <f>Database!QBH5</f>
        <v>0</v>
      </c>
      <c r="QAP3">
        <f>Database!QBI5</f>
        <v>0</v>
      </c>
      <c r="QAQ3">
        <f>Database!QBJ5</f>
        <v>0</v>
      </c>
      <c r="QAR3">
        <f>Database!QBK5</f>
        <v>0</v>
      </c>
      <c r="QAS3">
        <f>Database!QBL5</f>
        <v>0</v>
      </c>
      <c r="QAT3">
        <f>Database!QBM5</f>
        <v>0</v>
      </c>
      <c r="QAU3">
        <f>Database!QBN5</f>
        <v>0</v>
      </c>
      <c r="QAV3">
        <f>Database!QBO5</f>
        <v>0</v>
      </c>
      <c r="QAW3">
        <f>Database!QBP5</f>
        <v>0</v>
      </c>
      <c r="QAX3">
        <f>Database!QBQ5</f>
        <v>0</v>
      </c>
      <c r="QAY3">
        <f>Database!QBR5</f>
        <v>0</v>
      </c>
      <c r="QAZ3">
        <f>Database!QBS5</f>
        <v>0</v>
      </c>
      <c r="QBA3">
        <f>Database!QBT5</f>
        <v>0</v>
      </c>
      <c r="QBB3">
        <f>Database!QBU5</f>
        <v>0</v>
      </c>
      <c r="QBC3">
        <f>Database!QBV5</f>
        <v>0</v>
      </c>
      <c r="QBD3">
        <f>Database!QBW5</f>
        <v>0</v>
      </c>
      <c r="QBE3">
        <f>Database!QBX5</f>
        <v>0</v>
      </c>
      <c r="QBF3">
        <f>Database!QBY5</f>
        <v>0</v>
      </c>
      <c r="QBG3">
        <f>Database!QBZ5</f>
        <v>0</v>
      </c>
      <c r="QBH3">
        <f>Database!QCA5</f>
        <v>0</v>
      </c>
      <c r="QBI3">
        <f>Database!QCB5</f>
        <v>0</v>
      </c>
      <c r="QBJ3">
        <f>Database!QCC5</f>
        <v>0</v>
      </c>
      <c r="QBK3">
        <f>Database!QCD5</f>
        <v>0</v>
      </c>
      <c r="QBL3">
        <f>Database!QCE5</f>
        <v>0</v>
      </c>
      <c r="QBM3">
        <f>Database!QCF5</f>
        <v>0</v>
      </c>
      <c r="QBN3">
        <f>Database!QCG5</f>
        <v>0</v>
      </c>
      <c r="QBO3">
        <f>Database!QCH5</f>
        <v>0</v>
      </c>
      <c r="QBP3">
        <f>Database!QCI5</f>
        <v>0</v>
      </c>
      <c r="QBQ3">
        <f>Database!QCJ5</f>
        <v>0</v>
      </c>
      <c r="QBR3">
        <f>Database!QCK5</f>
        <v>0</v>
      </c>
      <c r="QBS3">
        <f>Database!QCL5</f>
        <v>0</v>
      </c>
      <c r="QBT3">
        <f>Database!QCM5</f>
        <v>0</v>
      </c>
      <c r="QBU3">
        <f>Database!QCN5</f>
        <v>0</v>
      </c>
      <c r="QBV3">
        <f>Database!QCO5</f>
        <v>0</v>
      </c>
      <c r="QBW3">
        <f>Database!QCP5</f>
        <v>0</v>
      </c>
      <c r="QBX3">
        <f>Database!QCQ5</f>
        <v>0</v>
      </c>
      <c r="QBY3">
        <f>Database!QCR5</f>
        <v>0</v>
      </c>
      <c r="QBZ3">
        <f>Database!QCS5</f>
        <v>0</v>
      </c>
      <c r="QCA3">
        <f>Database!QCT5</f>
        <v>0</v>
      </c>
      <c r="QCB3">
        <f>Database!QCU5</f>
        <v>0</v>
      </c>
      <c r="QCC3">
        <f>Database!QCV5</f>
        <v>0</v>
      </c>
      <c r="QCD3">
        <f>Database!QCW5</f>
        <v>0</v>
      </c>
      <c r="QCE3">
        <f>Database!QCX5</f>
        <v>0</v>
      </c>
      <c r="QCF3">
        <f>Database!QCY5</f>
        <v>0</v>
      </c>
      <c r="QCG3">
        <f>Database!QCZ5</f>
        <v>0</v>
      </c>
      <c r="QCH3">
        <f>Database!QDA5</f>
        <v>0</v>
      </c>
      <c r="QCI3">
        <f>Database!QDB5</f>
        <v>0</v>
      </c>
      <c r="QCJ3">
        <f>Database!QDC5</f>
        <v>0</v>
      </c>
      <c r="QCK3">
        <f>Database!QDD5</f>
        <v>0</v>
      </c>
      <c r="QCL3">
        <f>Database!QDE5</f>
        <v>0</v>
      </c>
      <c r="QCM3">
        <f>Database!QDF5</f>
        <v>0</v>
      </c>
      <c r="QCN3">
        <f>Database!QDG5</f>
        <v>0</v>
      </c>
      <c r="QCO3">
        <f>Database!QDH5</f>
        <v>0</v>
      </c>
      <c r="QCP3">
        <f>Database!QDI5</f>
        <v>0</v>
      </c>
      <c r="QCQ3">
        <f>Database!QDJ5</f>
        <v>0</v>
      </c>
      <c r="QCR3">
        <f>Database!QDK5</f>
        <v>0</v>
      </c>
      <c r="QCS3">
        <f>Database!QDL5</f>
        <v>0</v>
      </c>
      <c r="QCT3">
        <f>Database!QDM5</f>
        <v>0</v>
      </c>
      <c r="QCU3">
        <f>Database!QDN5</f>
        <v>0</v>
      </c>
      <c r="QCV3">
        <f>Database!QDO5</f>
        <v>0</v>
      </c>
      <c r="QCW3">
        <f>Database!QDP5</f>
        <v>0</v>
      </c>
      <c r="QCX3">
        <f>Database!QDQ5</f>
        <v>0</v>
      </c>
      <c r="QCY3">
        <f>Database!QDR5</f>
        <v>0</v>
      </c>
      <c r="QCZ3">
        <f>Database!QDS5</f>
        <v>0</v>
      </c>
      <c r="QDA3">
        <f>Database!QDT5</f>
        <v>0</v>
      </c>
      <c r="QDB3">
        <f>Database!QDU5</f>
        <v>0</v>
      </c>
      <c r="QDC3">
        <f>Database!QDV5</f>
        <v>0</v>
      </c>
      <c r="QDD3">
        <f>Database!QDW5</f>
        <v>0</v>
      </c>
      <c r="QDE3">
        <f>Database!QDX5</f>
        <v>0</v>
      </c>
      <c r="QDF3">
        <f>Database!QDY5</f>
        <v>0</v>
      </c>
      <c r="QDG3">
        <f>Database!QDZ5</f>
        <v>0</v>
      </c>
      <c r="QDH3">
        <f>Database!QEA5</f>
        <v>0</v>
      </c>
      <c r="QDI3">
        <f>Database!QEB5</f>
        <v>0</v>
      </c>
      <c r="QDJ3">
        <f>Database!QEC5</f>
        <v>0</v>
      </c>
      <c r="QDK3">
        <f>Database!QED5</f>
        <v>0</v>
      </c>
      <c r="QDL3">
        <f>Database!QEE5</f>
        <v>0</v>
      </c>
      <c r="QDM3">
        <f>Database!QEF5</f>
        <v>0</v>
      </c>
      <c r="QDN3">
        <f>Database!QEG5</f>
        <v>0</v>
      </c>
      <c r="QDO3">
        <f>Database!QEH5</f>
        <v>0</v>
      </c>
      <c r="QDP3">
        <f>Database!QEI5</f>
        <v>0</v>
      </c>
      <c r="QDQ3">
        <f>Database!QEJ5</f>
        <v>0</v>
      </c>
      <c r="QDR3">
        <f>Database!QEK5</f>
        <v>0</v>
      </c>
      <c r="QDS3">
        <f>Database!QEL5</f>
        <v>0</v>
      </c>
      <c r="QDT3">
        <f>Database!QEM5</f>
        <v>0</v>
      </c>
      <c r="QDU3">
        <f>Database!QEN5</f>
        <v>0</v>
      </c>
      <c r="QDV3">
        <f>Database!QEO5</f>
        <v>0</v>
      </c>
      <c r="QDW3">
        <f>Database!QEP5</f>
        <v>0</v>
      </c>
      <c r="QDX3">
        <f>Database!QEQ5</f>
        <v>0</v>
      </c>
      <c r="QDY3">
        <f>Database!QER5</f>
        <v>0</v>
      </c>
      <c r="QDZ3">
        <f>Database!QES5</f>
        <v>0</v>
      </c>
      <c r="QEA3">
        <f>Database!QET5</f>
        <v>0</v>
      </c>
      <c r="QEB3">
        <f>Database!QEU5</f>
        <v>0</v>
      </c>
      <c r="QEC3">
        <f>Database!QEV5</f>
        <v>0</v>
      </c>
      <c r="QED3">
        <f>Database!QEW5</f>
        <v>0</v>
      </c>
      <c r="QEE3">
        <f>Database!QEX5</f>
        <v>0</v>
      </c>
      <c r="QEF3">
        <f>Database!QEY5</f>
        <v>0</v>
      </c>
      <c r="QEG3">
        <f>Database!QEZ5</f>
        <v>0</v>
      </c>
      <c r="QEH3">
        <f>Database!QFA5</f>
        <v>0</v>
      </c>
      <c r="QEI3">
        <f>Database!QFB5</f>
        <v>0</v>
      </c>
      <c r="QEJ3">
        <f>Database!QFC5</f>
        <v>0</v>
      </c>
      <c r="QEK3">
        <f>Database!QFD5</f>
        <v>0</v>
      </c>
      <c r="QEL3">
        <f>Database!QFE5</f>
        <v>0</v>
      </c>
      <c r="QEM3">
        <f>Database!QFF5</f>
        <v>0</v>
      </c>
      <c r="QEN3">
        <f>Database!QFG5</f>
        <v>0</v>
      </c>
      <c r="QEO3">
        <f>Database!QFH5</f>
        <v>0</v>
      </c>
      <c r="QEP3">
        <f>Database!QFI5</f>
        <v>0</v>
      </c>
      <c r="QEQ3">
        <f>Database!QFJ5</f>
        <v>0</v>
      </c>
      <c r="QER3">
        <f>Database!QFK5</f>
        <v>0</v>
      </c>
      <c r="QES3">
        <f>Database!QFL5</f>
        <v>0</v>
      </c>
      <c r="QET3">
        <f>Database!QFM5</f>
        <v>0</v>
      </c>
      <c r="QEU3">
        <f>Database!QFN5</f>
        <v>0</v>
      </c>
      <c r="QEV3">
        <f>Database!QFO5</f>
        <v>0</v>
      </c>
      <c r="QEW3">
        <f>Database!QFP5</f>
        <v>0</v>
      </c>
      <c r="QEX3">
        <f>Database!QFQ5</f>
        <v>0</v>
      </c>
      <c r="QEY3">
        <f>Database!QFR5</f>
        <v>0</v>
      </c>
      <c r="QEZ3">
        <f>Database!QFS5</f>
        <v>0</v>
      </c>
      <c r="QFA3">
        <f>Database!QFT5</f>
        <v>0</v>
      </c>
      <c r="QFB3">
        <f>Database!QFU5</f>
        <v>0</v>
      </c>
      <c r="QFC3">
        <f>Database!QFV5</f>
        <v>0</v>
      </c>
      <c r="QFD3">
        <f>Database!QFW5</f>
        <v>0</v>
      </c>
      <c r="QFE3">
        <f>Database!QFX5</f>
        <v>0</v>
      </c>
      <c r="QFF3">
        <f>Database!QFY5</f>
        <v>0</v>
      </c>
      <c r="QFG3">
        <f>Database!QFZ5</f>
        <v>0</v>
      </c>
      <c r="QFH3">
        <f>Database!QGA5</f>
        <v>0</v>
      </c>
      <c r="QFI3">
        <f>Database!QGB5</f>
        <v>0</v>
      </c>
      <c r="QFJ3">
        <f>Database!QGC5</f>
        <v>0</v>
      </c>
      <c r="QFK3">
        <f>Database!QGD5</f>
        <v>0</v>
      </c>
      <c r="QFL3">
        <f>Database!QGE5</f>
        <v>0</v>
      </c>
      <c r="QFM3">
        <f>Database!QGF5</f>
        <v>0</v>
      </c>
      <c r="QFN3">
        <f>Database!QGG5</f>
        <v>0</v>
      </c>
      <c r="QFO3">
        <f>Database!QGH5</f>
        <v>0</v>
      </c>
      <c r="QFP3">
        <f>Database!QGI5</f>
        <v>0</v>
      </c>
      <c r="QFQ3">
        <f>Database!QGJ5</f>
        <v>0</v>
      </c>
      <c r="QFR3">
        <f>Database!QGK5</f>
        <v>0</v>
      </c>
      <c r="QFS3">
        <f>Database!QGL5</f>
        <v>0</v>
      </c>
      <c r="QFT3">
        <f>Database!QGM5</f>
        <v>0</v>
      </c>
      <c r="QFU3">
        <f>Database!QGN5</f>
        <v>0</v>
      </c>
      <c r="QFV3">
        <f>Database!QGO5</f>
        <v>0</v>
      </c>
      <c r="QFW3">
        <f>Database!QGP5</f>
        <v>0</v>
      </c>
      <c r="QFX3">
        <f>Database!QGQ5</f>
        <v>0</v>
      </c>
      <c r="QFY3">
        <f>Database!QGR5</f>
        <v>0</v>
      </c>
      <c r="QFZ3">
        <f>Database!QGS5</f>
        <v>0</v>
      </c>
      <c r="QGA3">
        <f>Database!QGT5</f>
        <v>0</v>
      </c>
      <c r="QGB3">
        <f>Database!QGU5</f>
        <v>0</v>
      </c>
      <c r="QGC3">
        <f>Database!QGV5</f>
        <v>0</v>
      </c>
      <c r="QGD3">
        <f>Database!QGW5</f>
        <v>0</v>
      </c>
      <c r="QGE3">
        <f>Database!QGX5</f>
        <v>0</v>
      </c>
      <c r="QGF3">
        <f>Database!QGY5</f>
        <v>0</v>
      </c>
      <c r="QGG3">
        <f>Database!QGZ5</f>
        <v>0</v>
      </c>
      <c r="QGH3">
        <f>Database!QHA5</f>
        <v>0</v>
      </c>
      <c r="QGI3">
        <f>Database!QHB5</f>
        <v>0</v>
      </c>
      <c r="QGJ3">
        <f>Database!QHC5</f>
        <v>0</v>
      </c>
      <c r="QGK3">
        <f>Database!QHD5</f>
        <v>0</v>
      </c>
      <c r="QGL3">
        <f>Database!QHE5</f>
        <v>0</v>
      </c>
      <c r="QGM3">
        <f>Database!QHF5</f>
        <v>0</v>
      </c>
      <c r="QGN3">
        <f>Database!QHG5</f>
        <v>0</v>
      </c>
      <c r="QGO3">
        <f>Database!QHH5</f>
        <v>0</v>
      </c>
      <c r="QGP3">
        <f>Database!QHI5</f>
        <v>0</v>
      </c>
      <c r="QGQ3">
        <f>Database!QHJ5</f>
        <v>0</v>
      </c>
      <c r="QGR3">
        <f>Database!QHK5</f>
        <v>0</v>
      </c>
      <c r="QGS3">
        <f>Database!QHL5</f>
        <v>0</v>
      </c>
      <c r="QGT3">
        <f>Database!QHM5</f>
        <v>0</v>
      </c>
      <c r="QGU3">
        <f>Database!QHN5</f>
        <v>0</v>
      </c>
      <c r="QGV3">
        <f>Database!QHO5</f>
        <v>0</v>
      </c>
      <c r="QGW3">
        <f>Database!QHP5</f>
        <v>0</v>
      </c>
      <c r="QGX3">
        <f>Database!QHQ5</f>
        <v>0</v>
      </c>
      <c r="QGY3">
        <f>Database!QHR5</f>
        <v>0</v>
      </c>
      <c r="QGZ3">
        <f>Database!QHS5</f>
        <v>0</v>
      </c>
      <c r="QHA3">
        <f>Database!QHT5</f>
        <v>0</v>
      </c>
      <c r="QHB3">
        <f>Database!QHU5</f>
        <v>0</v>
      </c>
      <c r="QHC3">
        <f>Database!QHV5</f>
        <v>0</v>
      </c>
      <c r="QHD3">
        <f>Database!QHW5</f>
        <v>0</v>
      </c>
      <c r="QHE3">
        <f>Database!QHX5</f>
        <v>0</v>
      </c>
      <c r="QHF3">
        <f>Database!QHY5</f>
        <v>0</v>
      </c>
      <c r="QHG3">
        <f>Database!QHZ5</f>
        <v>0</v>
      </c>
      <c r="QHH3">
        <f>Database!QIA5</f>
        <v>0</v>
      </c>
      <c r="QHI3">
        <f>Database!QIB5</f>
        <v>0</v>
      </c>
      <c r="QHJ3">
        <f>Database!QIC5</f>
        <v>0</v>
      </c>
      <c r="QHK3">
        <f>Database!QID5</f>
        <v>0</v>
      </c>
      <c r="QHL3">
        <f>Database!QIE5</f>
        <v>0</v>
      </c>
      <c r="QHM3">
        <f>Database!QIF5</f>
        <v>0</v>
      </c>
      <c r="QHN3">
        <f>Database!QIG5</f>
        <v>0</v>
      </c>
      <c r="QHO3">
        <f>Database!QIH5</f>
        <v>0</v>
      </c>
      <c r="QHP3">
        <f>Database!QII5</f>
        <v>0</v>
      </c>
      <c r="QHQ3">
        <f>Database!QIJ5</f>
        <v>0</v>
      </c>
      <c r="QHR3">
        <f>Database!QIK5</f>
        <v>0</v>
      </c>
      <c r="QHS3">
        <f>Database!QIL5</f>
        <v>0</v>
      </c>
      <c r="QHT3">
        <f>Database!QIM5</f>
        <v>0</v>
      </c>
      <c r="QHU3">
        <f>Database!QIN5</f>
        <v>0</v>
      </c>
      <c r="QHV3">
        <f>Database!QIO5</f>
        <v>0</v>
      </c>
      <c r="QHW3">
        <f>Database!QIP5</f>
        <v>0</v>
      </c>
      <c r="QHX3">
        <f>Database!QIQ5</f>
        <v>0</v>
      </c>
      <c r="QHY3">
        <f>Database!QIR5</f>
        <v>0</v>
      </c>
      <c r="QHZ3">
        <f>Database!QIS5</f>
        <v>0</v>
      </c>
      <c r="QIA3">
        <f>Database!QIT5</f>
        <v>0</v>
      </c>
      <c r="QIB3">
        <f>Database!QIU5</f>
        <v>0</v>
      </c>
      <c r="QIC3">
        <f>Database!QIV5</f>
        <v>0</v>
      </c>
      <c r="QID3">
        <f>Database!QIW5</f>
        <v>0</v>
      </c>
      <c r="QIE3">
        <f>Database!QIX5</f>
        <v>0</v>
      </c>
      <c r="QIF3">
        <f>Database!QIY5</f>
        <v>0</v>
      </c>
      <c r="QIG3">
        <f>Database!QIZ5</f>
        <v>0</v>
      </c>
      <c r="QIH3">
        <f>Database!QJA5</f>
        <v>0</v>
      </c>
      <c r="QII3">
        <f>Database!QJB5</f>
        <v>0</v>
      </c>
      <c r="QIJ3">
        <f>Database!QJC5</f>
        <v>0</v>
      </c>
      <c r="QIK3">
        <f>Database!QJD5</f>
        <v>0</v>
      </c>
      <c r="QIL3">
        <f>Database!QJE5</f>
        <v>0</v>
      </c>
      <c r="QIM3">
        <f>Database!QJF5</f>
        <v>0</v>
      </c>
      <c r="QIN3">
        <f>Database!QJG5</f>
        <v>0</v>
      </c>
      <c r="QIO3">
        <f>Database!QJH5</f>
        <v>0</v>
      </c>
      <c r="QIP3">
        <f>Database!QJI5</f>
        <v>0</v>
      </c>
      <c r="QIQ3">
        <f>Database!QJJ5</f>
        <v>0</v>
      </c>
      <c r="QIR3">
        <f>Database!QJK5</f>
        <v>0</v>
      </c>
      <c r="QIS3">
        <f>Database!QJL5</f>
        <v>0</v>
      </c>
      <c r="QIT3">
        <f>Database!QJM5</f>
        <v>0</v>
      </c>
      <c r="QIU3">
        <f>Database!QJN5</f>
        <v>0</v>
      </c>
      <c r="QIV3">
        <f>Database!QJO5</f>
        <v>0</v>
      </c>
      <c r="QIW3">
        <f>Database!QJP5</f>
        <v>0</v>
      </c>
      <c r="QIX3">
        <f>Database!QJQ5</f>
        <v>0</v>
      </c>
      <c r="QIY3">
        <f>Database!QJR5</f>
        <v>0</v>
      </c>
      <c r="QIZ3">
        <f>Database!QJS5</f>
        <v>0</v>
      </c>
      <c r="QJA3">
        <f>Database!QJT5</f>
        <v>0</v>
      </c>
      <c r="QJB3">
        <f>Database!QJU5</f>
        <v>0</v>
      </c>
      <c r="QJC3">
        <f>Database!QJV5</f>
        <v>0</v>
      </c>
      <c r="QJD3">
        <f>Database!QJW5</f>
        <v>0</v>
      </c>
      <c r="QJE3">
        <f>Database!QJX5</f>
        <v>0</v>
      </c>
      <c r="QJF3">
        <f>Database!QJY5</f>
        <v>0</v>
      </c>
      <c r="QJG3">
        <f>Database!QJZ5</f>
        <v>0</v>
      </c>
      <c r="QJH3">
        <f>Database!QKA5</f>
        <v>0</v>
      </c>
      <c r="QJI3">
        <f>Database!QKB5</f>
        <v>0</v>
      </c>
      <c r="QJJ3">
        <f>Database!QKC5</f>
        <v>0</v>
      </c>
      <c r="QJK3">
        <f>Database!QKD5</f>
        <v>0</v>
      </c>
      <c r="QJL3">
        <f>Database!QKE5</f>
        <v>0</v>
      </c>
      <c r="QJM3">
        <f>Database!QKF5</f>
        <v>0</v>
      </c>
      <c r="QJN3">
        <f>Database!QKG5</f>
        <v>0</v>
      </c>
      <c r="QJO3">
        <f>Database!QKH5</f>
        <v>0</v>
      </c>
      <c r="QJP3">
        <f>Database!QKI5</f>
        <v>0</v>
      </c>
      <c r="QJQ3">
        <f>Database!QKJ5</f>
        <v>0</v>
      </c>
      <c r="QJR3">
        <f>Database!QKK5</f>
        <v>0</v>
      </c>
      <c r="QJS3">
        <f>Database!QKL5</f>
        <v>0</v>
      </c>
      <c r="QJT3">
        <f>Database!QKM5</f>
        <v>0</v>
      </c>
      <c r="QJU3">
        <f>Database!QKN5</f>
        <v>0</v>
      </c>
      <c r="QJV3">
        <f>Database!QKO5</f>
        <v>0</v>
      </c>
      <c r="QJW3">
        <f>Database!QKP5</f>
        <v>0</v>
      </c>
      <c r="QJX3">
        <f>Database!QKQ5</f>
        <v>0</v>
      </c>
      <c r="QJY3">
        <f>Database!QKR5</f>
        <v>0</v>
      </c>
      <c r="QJZ3">
        <f>Database!QKS5</f>
        <v>0</v>
      </c>
      <c r="QKA3">
        <f>Database!QKT5</f>
        <v>0</v>
      </c>
      <c r="QKB3">
        <f>Database!QKU5</f>
        <v>0</v>
      </c>
      <c r="QKC3">
        <f>Database!QKV5</f>
        <v>0</v>
      </c>
      <c r="QKD3">
        <f>Database!QKW5</f>
        <v>0</v>
      </c>
      <c r="QKE3">
        <f>Database!QKX5</f>
        <v>0</v>
      </c>
      <c r="QKF3">
        <f>Database!QKY5</f>
        <v>0</v>
      </c>
      <c r="QKG3">
        <f>Database!QKZ5</f>
        <v>0</v>
      </c>
      <c r="QKH3">
        <f>Database!QLA5</f>
        <v>0</v>
      </c>
      <c r="QKI3">
        <f>Database!QLB5</f>
        <v>0</v>
      </c>
      <c r="QKJ3">
        <f>Database!QLC5</f>
        <v>0</v>
      </c>
      <c r="QKK3">
        <f>Database!QLD5</f>
        <v>0</v>
      </c>
      <c r="QKL3">
        <f>Database!QLE5</f>
        <v>0</v>
      </c>
      <c r="QKM3">
        <f>Database!QLF5</f>
        <v>0</v>
      </c>
      <c r="QKN3">
        <f>Database!QLG5</f>
        <v>0</v>
      </c>
      <c r="QKO3">
        <f>Database!QLH5</f>
        <v>0</v>
      </c>
      <c r="QKP3">
        <f>Database!QLI5</f>
        <v>0</v>
      </c>
      <c r="QKQ3">
        <f>Database!QLJ5</f>
        <v>0</v>
      </c>
      <c r="QKR3">
        <f>Database!QLK5</f>
        <v>0</v>
      </c>
      <c r="QKS3">
        <f>Database!QLL5</f>
        <v>0</v>
      </c>
      <c r="QKT3">
        <f>Database!QLM5</f>
        <v>0</v>
      </c>
      <c r="QKU3">
        <f>Database!QLN5</f>
        <v>0</v>
      </c>
      <c r="QKV3">
        <f>Database!QLO5</f>
        <v>0</v>
      </c>
      <c r="QKW3">
        <f>Database!QLP5</f>
        <v>0</v>
      </c>
      <c r="QKX3">
        <f>Database!QLQ5</f>
        <v>0</v>
      </c>
      <c r="QKY3">
        <f>Database!QLR5</f>
        <v>0</v>
      </c>
      <c r="QKZ3">
        <f>Database!QLS5</f>
        <v>0</v>
      </c>
      <c r="QLA3">
        <f>Database!QLT5</f>
        <v>0</v>
      </c>
      <c r="QLB3">
        <f>Database!QLU5</f>
        <v>0</v>
      </c>
      <c r="QLC3">
        <f>Database!QLV5</f>
        <v>0</v>
      </c>
      <c r="QLD3">
        <f>Database!QLW5</f>
        <v>0</v>
      </c>
      <c r="QLE3">
        <f>Database!QLX5</f>
        <v>0</v>
      </c>
      <c r="QLF3">
        <f>Database!QLY5</f>
        <v>0</v>
      </c>
      <c r="QLG3">
        <f>Database!QLZ5</f>
        <v>0</v>
      </c>
      <c r="QLH3">
        <f>Database!QMA5</f>
        <v>0</v>
      </c>
      <c r="QLI3">
        <f>Database!QMB5</f>
        <v>0</v>
      </c>
      <c r="QLJ3">
        <f>Database!QMC5</f>
        <v>0</v>
      </c>
      <c r="QLK3">
        <f>Database!QMD5</f>
        <v>0</v>
      </c>
      <c r="QLL3">
        <f>Database!QME5</f>
        <v>0</v>
      </c>
      <c r="QLM3">
        <f>Database!QMF5</f>
        <v>0</v>
      </c>
      <c r="QLN3">
        <f>Database!QMG5</f>
        <v>0</v>
      </c>
      <c r="QLO3">
        <f>Database!QMH5</f>
        <v>0</v>
      </c>
      <c r="QLP3">
        <f>Database!QMI5</f>
        <v>0</v>
      </c>
      <c r="QLQ3">
        <f>Database!QMJ5</f>
        <v>0</v>
      </c>
      <c r="QLR3">
        <f>Database!QMK5</f>
        <v>0</v>
      </c>
      <c r="QLS3">
        <f>Database!QML5</f>
        <v>0</v>
      </c>
      <c r="QLT3">
        <f>Database!QMM5</f>
        <v>0</v>
      </c>
      <c r="QLU3">
        <f>Database!QMN5</f>
        <v>0</v>
      </c>
      <c r="QLV3">
        <f>Database!QMO5</f>
        <v>0</v>
      </c>
      <c r="QLW3">
        <f>Database!QMP5</f>
        <v>0</v>
      </c>
      <c r="QLX3">
        <f>Database!QMQ5</f>
        <v>0</v>
      </c>
      <c r="QLY3">
        <f>Database!QMR5</f>
        <v>0</v>
      </c>
      <c r="QLZ3">
        <f>Database!QMS5</f>
        <v>0</v>
      </c>
      <c r="QMA3">
        <f>Database!QMT5</f>
        <v>0</v>
      </c>
      <c r="QMB3">
        <f>Database!QMU5</f>
        <v>0</v>
      </c>
      <c r="QMC3">
        <f>Database!QMV5</f>
        <v>0</v>
      </c>
      <c r="QMD3">
        <f>Database!QMW5</f>
        <v>0</v>
      </c>
      <c r="QME3">
        <f>Database!QMX5</f>
        <v>0</v>
      </c>
      <c r="QMF3">
        <f>Database!QMY5</f>
        <v>0</v>
      </c>
      <c r="QMG3">
        <f>Database!QMZ5</f>
        <v>0</v>
      </c>
      <c r="QMH3">
        <f>Database!QNA5</f>
        <v>0</v>
      </c>
      <c r="QMI3">
        <f>Database!QNB5</f>
        <v>0</v>
      </c>
      <c r="QMJ3">
        <f>Database!QNC5</f>
        <v>0</v>
      </c>
      <c r="QMK3">
        <f>Database!QND5</f>
        <v>0</v>
      </c>
      <c r="QML3">
        <f>Database!QNE5</f>
        <v>0</v>
      </c>
      <c r="QMM3">
        <f>Database!QNF5</f>
        <v>0</v>
      </c>
      <c r="QMN3">
        <f>Database!QNG5</f>
        <v>0</v>
      </c>
      <c r="QMO3">
        <f>Database!QNH5</f>
        <v>0</v>
      </c>
      <c r="QMP3">
        <f>Database!QNI5</f>
        <v>0</v>
      </c>
      <c r="QMQ3">
        <f>Database!QNJ5</f>
        <v>0</v>
      </c>
      <c r="QMR3">
        <f>Database!QNK5</f>
        <v>0</v>
      </c>
      <c r="QMS3">
        <f>Database!QNL5</f>
        <v>0</v>
      </c>
      <c r="QMT3">
        <f>Database!QNM5</f>
        <v>0</v>
      </c>
      <c r="QMU3">
        <f>Database!QNN5</f>
        <v>0</v>
      </c>
      <c r="QMV3">
        <f>Database!QNO5</f>
        <v>0</v>
      </c>
      <c r="QMW3">
        <f>Database!QNP5</f>
        <v>0</v>
      </c>
      <c r="QMX3">
        <f>Database!QNQ5</f>
        <v>0</v>
      </c>
      <c r="QMY3">
        <f>Database!QNR5</f>
        <v>0</v>
      </c>
      <c r="QMZ3">
        <f>Database!QNS5</f>
        <v>0</v>
      </c>
      <c r="QNA3">
        <f>Database!QNT5</f>
        <v>0</v>
      </c>
      <c r="QNB3">
        <f>Database!QNU5</f>
        <v>0</v>
      </c>
      <c r="QNC3">
        <f>Database!QNV5</f>
        <v>0</v>
      </c>
      <c r="QND3">
        <f>Database!QNW5</f>
        <v>0</v>
      </c>
      <c r="QNE3">
        <f>Database!QNX5</f>
        <v>0</v>
      </c>
      <c r="QNF3">
        <f>Database!QNY5</f>
        <v>0</v>
      </c>
      <c r="QNG3">
        <f>Database!QNZ5</f>
        <v>0</v>
      </c>
      <c r="QNH3">
        <f>Database!QOA5</f>
        <v>0</v>
      </c>
      <c r="QNI3">
        <f>Database!QOB5</f>
        <v>0</v>
      </c>
      <c r="QNJ3">
        <f>Database!QOC5</f>
        <v>0</v>
      </c>
      <c r="QNK3">
        <f>Database!QOD5</f>
        <v>0</v>
      </c>
      <c r="QNL3">
        <f>Database!QOE5</f>
        <v>0</v>
      </c>
      <c r="QNM3">
        <f>Database!QOF5</f>
        <v>0</v>
      </c>
      <c r="QNN3">
        <f>Database!QOG5</f>
        <v>0</v>
      </c>
      <c r="QNO3">
        <f>Database!QOH5</f>
        <v>0</v>
      </c>
      <c r="QNP3">
        <f>Database!QOI5</f>
        <v>0</v>
      </c>
      <c r="QNQ3">
        <f>Database!QOJ5</f>
        <v>0</v>
      </c>
      <c r="QNR3">
        <f>Database!QOK5</f>
        <v>0</v>
      </c>
      <c r="QNS3">
        <f>Database!QOL5</f>
        <v>0</v>
      </c>
      <c r="QNT3">
        <f>Database!QOM5</f>
        <v>0</v>
      </c>
      <c r="QNU3">
        <f>Database!QON5</f>
        <v>0</v>
      </c>
      <c r="QNV3">
        <f>Database!QOO5</f>
        <v>0</v>
      </c>
      <c r="QNW3">
        <f>Database!QOP5</f>
        <v>0</v>
      </c>
      <c r="QNX3">
        <f>Database!QOQ5</f>
        <v>0</v>
      </c>
      <c r="QNY3">
        <f>Database!QOR5</f>
        <v>0</v>
      </c>
      <c r="QNZ3">
        <f>Database!QOS5</f>
        <v>0</v>
      </c>
      <c r="QOA3">
        <f>Database!QOT5</f>
        <v>0</v>
      </c>
      <c r="QOB3">
        <f>Database!QOU5</f>
        <v>0</v>
      </c>
      <c r="QOC3">
        <f>Database!QOV5</f>
        <v>0</v>
      </c>
      <c r="QOD3">
        <f>Database!QOW5</f>
        <v>0</v>
      </c>
      <c r="QOE3">
        <f>Database!QOX5</f>
        <v>0</v>
      </c>
      <c r="QOF3">
        <f>Database!QOY5</f>
        <v>0</v>
      </c>
      <c r="QOG3">
        <f>Database!QOZ5</f>
        <v>0</v>
      </c>
      <c r="QOH3">
        <f>Database!QPA5</f>
        <v>0</v>
      </c>
      <c r="QOI3">
        <f>Database!QPB5</f>
        <v>0</v>
      </c>
      <c r="QOJ3">
        <f>Database!QPC5</f>
        <v>0</v>
      </c>
      <c r="QOK3">
        <f>Database!QPD5</f>
        <v>0</v>
      </c>
      <c r="QOL3">
        <f>Database!QPE5</f>
        <v>0</v>
      </c>
      <c r="QOM3">
        <f>Database!QPF5</f>
        <v>0</v>
      </c>
      <c r="QON3">
        <f>Database!QPG5</f>
        <v>0</v>
      </c>
      <c r="QOO3">
        <f>Database!QPH5</f>
        <v>0</v>
      </c>
      <c r="QOP3">
        <f>Database!QPI5</f>
        <v>0</v>
      </c>
      <c r="QOQ3">
        <f>Database!QPJ5</f>
        <v>0</v>
      </c>
      <c r="QOR3">
        <f>Database!QPK5</f>
        <v>0</v>
      </c>
      <c r="QOS3">
        <f>Database!QPL5</f>
        <v>0</v>
      </c>
      <c r="QOT3">
        <f>Database!QPM5</f>
        <v>0</v>
      </c>
      <c r="QOU3">
        <f>Database!QPN5</f>
        <v>0</v>
      </c>
      <c r="QOV3">
        <f>Database!QPO5</f>
        <v>0</v>
      </c>
      <c r="QOW3">
        <f>Database!QPP5</f>
        <v>0</v>
      </c>
      <c r="QOX3">
        <f>Database!QPQ5</f>
        <v>0</v>
      </c>
      <c r="QOY3">
        <f>Database!QPR5</f>
        <v>0</v>
      </c>
      <c r="QOZ3">
        <f>Database!QPS5</f>
        <v>0</v>
      </c>
      <c r="QPA3">
        <f>Database!QPT5</f>
        <v>0</v>
      </c>
      <c r="QPB3">
        <f>Database!QPU5</f>
        <v>0</v>
      </c>
      <c r="QPC3">
        <f>Database!QPV5</f>
        <v>0</v>
      </c>
      <c r="QPD3">
        <f>Database!QPW5</f>
        <v>0</v>
      </c>
      <c r="QPE3">
        <f>Database!QPX5</f>
        <v>0</v>
      </c>
      <c r="QPF3">
        <f>Database!QPY5</f>
        <v>0</v>
      </c>
      <c r="QPG3">
        <f>Database!QPZ5</f>
        <v>0</v>
      </c>
      <c r="QPH3">
        <f>Database!QQA5</f>
        <v>0</v>
      </c>
      <c r="QPI3">
        <f>Database!QQB5</f>
        <v>0</v>
      </c>
      <c r="QPJ3">
        <f>Database!QQC5</f>
        <v>0</v>
      </c>
      <c r="QPK3">
        <f>Database!QQD5</f>
        <v>0</v>
      </c>
      <c r="QPL3">
        <f>Database!QQE5</f>
        <v>0</v>
      </c>
      <c r="QPM3">
        <f>Database!QQF5</f>
        <v>0</v>
      </c>
      <c r="QPN3">
        <f>Database!QQG5</f>
        <v>0</v>
      </c>
      <c r="QPO3">
        <f>Database!QQH5</f>
        <v>0</v>
      </c>
      <c r="QPP3">
        <f>Database!QQI5</f>
        <v>0</v>
      </c>
      <c r="QPQ3">
        <f>Database!QQJ5</f>
        <v>0</v>
      </c>
      <c r="QPR3">
        <f>Database!QQK5</f>
        <v>0</v>
      </c>
      <c r="QPS3">
        <f>Database!QQL5</f>
        <v>0</v>
      </c>
      <c r="QPT3">
        <f>Database!QQM5</f>
        <v>0</v>
      </c>
      <c r="QPU3">
        <f>Database!QQN5</f>
        <v>0</v>
      </c>
      <c r="QPV3">
        <f>Database!QQO5</f>
        <v>0</v>
      </c>
      <c r="QPW3">
        <f>Database!QQP5</f>
        <v>0</v>
      </c>
      <c r="QPX3">
        <f>Database!QQQ5</f>
        <v>0</v>
      </c>
      <c r="QPY3">
        <f>Database!QQR5</f>
        <v>0</v>
      </c>
      <c r="QPZ3">
        <f>Database!QQS5</f>
        <v>0</v>
      </c>
      <c r="QQA3">
        <f>Database!QQT5</f>
        <v>0</v>
      </c>
      <c r="QQB3">
        <f>Database!QQU5</f>
        <v>0</v>
      </c>
      <c r="QQC3">
        <f>Database!QQV5</f>
        <v>0</v>
      </c>
      <c r="QQD3">
        <f>Database!QQW5</f>
        <v>0</v>
      </c>
      <c r="QQE3">
        <f>Database!QQX5</f>
        <v>0</v>
      </c>
      <c r="QQF3">
        <f>Database!QQY5</f>
        <v>0</v>
      </c>
      <c r="QQG3">
        <f>Database!QQZ5</f>
        <v>0</v>
      </c>
      <c r="QQH3">
        <f>Database!QRA5</f>
        <v>0</v>
      </c>
      <c r="QQI3">
        <f>Database!QRB5</f>
        <v>0</v>
      </c>
      <c r="QQJ3">
        <f>Database!QRC5</f>
        <v>0</v>
      </c>
      <c r="QQK3">
        <f>Database!QRD5</f>
        <v>0</v>
      </c>
      <c r="QQL3">
        <f>Database!QRE5</f>
        <v>0</v>
      </c>
      <c r="QQM3">
        <f>Database!QRF5</f>
        <v>0</v>
      </c>
      <c r="QQN3">
        <f>Database!QRG5</f>
        <v>0</v>
      </c>
      <c r="QQO3">
        <f>Database!QRH5</f>
        <v>0</v>
      </c>
      <c r="QQP3">
        <f>Database!QRI5</f>
        <v>0</v>
      </c>
      <c r="QQQ3">
        <f>Database!QRJ5</f>
        <v>0</v>
      </c>
      <c r="QQR3">
        <f>Database!QRK5</f>
        <v>0</v>
      </c>
      <c r="QQS3">
        <f>Database!QRL5</f>
        <v>0</v>
      </c>
      <c r="QQT3">
        <f>Database!QRM5</f>
        <v>0</v>
      </c>
      <c r="QQU3">
        <f>Database!QRN5</f>
        <v>0</v>
      </c>
      <c r="QQV3">
        <f>Database!QRO5</f>
        <v>0</v>
      </c>
      <c r="QQW3">
        <f>Database!QRP5</f>
        <v>0</v>
      </c>
      <c r="QQX3">
        <f>Database!QRQ5</f>
        <v>0</v>
      </c>
      <c r="QQY3">
        <f>Database!QRR5</f>
        <v>0</v>
      </c>
      <c r="QQZ3">
        <f>Database!QRS5</f>
        <v>0</v>
      </c>
      <c r="QRA3">
        <f>Database!QRT5</f>
        <v>0</v>
      </c>
      <c r="QRB3">
        <f>Database!QRU5</f>
        <v>0</v>
      </c>
      <c r="QRC3">
        <f>Database!QRV5</f>
        <v>0</v>
      </c>
      <c r="QRD3">
        <f>Database!QRW5</f>
        <v>0</v>
      </c>
      <c r="QRE3">
        <f>Database!QRX5</f>
        <v>0</v>
      </c>
      <c r="QRF3">
        <f>Database!QRY5</f>
        <v>0</v>
      </c>
      <c r="QRG3">
        <f>Database!QRZ5</f>
        <v>0</v>
      </c>
      <c r="QRH3">
        <f>Database!QSA5</f>
        <v>0</v>
      </c>
      <c r="QRI3">
        <f>Database!QSB5</f>
        <v>0</v>
      </c>
      <c r="QRJ3">
        <f>Database!QSC5</f>
        <v>0</v>
      </c>
      <c r="QRK3">
        <f>Database!QSD5</f>
        <v>0</v>
      </c>
      <c r="QRL3">
        <f>Database!QSE5</f>
        <v>0</v>
      </c>
      <c r="QRM3">
        <f>Database!QSF5</f>
        <v>0</v>
      </c>
      <c r="QRN3">
        <f>Database!QSG5</f>
        <v>0</v>
      </c>
      <c r="QRO3">
        <f>Database!QSH5</f>
        <v>0</v>
      </c>
      <c r="QRP3">
        <f>Database!QSI5</f>
        <v>0</v>
      </c>
      <c r="QRQ3">
        <f>Database!QSJ5</f>
        <v>0</v>
      </c>
      <c r="QRR3">
        <f>Database!QSK5</f>
        <v>0</v>
      </c>
      <c r="QRS3">
        <f>Database!QSL5</f>
        <v>0</v>
      </c>
      <c r="QRT3">
        <f>Database!QSM5</f>
        <v>0</v>
      </c>
      <c r="QRU3">
        <f>Database!QSN5</f>
        <v>0</v>
      </c>
      <c r="QRV3">
        <f>Database!QSO5</f>
        <v>0</v>
      </c>
      <c r="QRW3">
        <f>Database!QSP5</f>
        <v>0</v>
      </c>
      <c r="QRX3">
        <f>Database!QSQ5</f>
        <v>0</v>
      </c>
      <c r="QRY3">
        <f>Database!QSR5</f>
        <v>0</v>
      </c>
      <c r="QRZ3">
        <f>Database!QSS5</f>
        <v>0</v>
      </c>
      <c r="QSA3">
        <f>Database!QST5</f>
        <v>0</v>
      </c>
      <c r="QSB3">
        <f>Database!QSU5</f>
        <v>0</v>
      </c>
      <c r="QSC3">
        <f>Database!QSV5</f>
        <v>0</v>
      </c>
      <c r="QSD3">
        <f>Database!QSW5</f>
        <v>0</v>
      </c>
      <c r="QSE3">
        <f>Database!QSX5</f>
        <v>0</v>
      </c>
      <c r="QSF3">
        <f>Database!QSY5</f>
        <v>0</v>
      </c>
      <c r="QSG3">
        <f>Database!QSZ5</f>
        <v>0</v>
      </c>
      <c r="QSH3">
        <f>Database!QTA5</f>
        <v>0</v>
      </c>
      <c r="QSI3">
        <f>Database!QTB5</f>
        <v>0</v>
      </c>
      <c r="QSJ3">
        <f>Database!QTC5</f>
        <v>0</v>
      </c>
      <c r="QSK3">
        <f>Database!QTD5</f>
        <v>0</v>
      </c>
      <c r="QSL3">
        <f>Database!QTE5</f>
        <v>0</v>
      </c>
      <c r="QSM3">
        <f>Database!QTF5</f>
        <v>0</v>
      </c>
      <c r="QSN3">
        <f>Database!QTG5</f>
        <v>0</v>
      </c>
      <c r="QSO3">
        <f>Database!QTH5</f>
        <v>0</v>
      </c>
      <c r="QSP3">
        <f>Database!QTI5</f>
        <v>0</v>
      </c>
      <c r="QSQ3">
        <f>Database!QTJ5</f>
        <v>0</v>
      </c>
      <c r="QSR3">
        <f>Database!QTK5</f>
        <v>0</v>
      </c>
      <c r="QSS3">
        <f>Database!QTL5</f>
        <v>0</v>
      </c>
      <c r="QST3">
        <f>Database!QTM5</f>
        <v>0</v>
      </c>
      <c r="QSU3">
        <f>Database!QTN5</f>
        <v>0</v>
      </c>
      <c r="QSV3">
        <f>Database!QTO5</f>
        <v>0</v>
      </c>
      <c r="QSW3">
        <f>Database!QTP5</f>
        <v>0</v>
      </c>
      <c r="QSX3">
        <f>Database!QTQ5</f>
        <v>0</v>
      </c>
      <c r="QSY3">
        <f>Database!QTR5</f>
        <v>0</v>
      </c>
      <c r="QSZ3">
        <f>Database!QTS5</f>
        <v>0</v>
      </c>
      <c r="QTA3">
        <f>Database!QTT5</f>
        <v>0</v>
      </c>
      <c r="QTB3">
        <f>Database!QTU5</f>
        <v>0</v>
      </c>
      <c r="QTC3">
        <f>Database!QTV5</f>
        <v>0</v>
      </c>
      <c r="QTD3">
        <f>Database!QTW5</f>
        <v>0</v>
      </c>
      <c r="QTE3">
        <f>Database!QTX5</f>
        <v>0</v>
      </c>
      <c r="QTF3">
        <f>Database!QTY5</f>
        <v>0</v>
      </c>
      <c r="QTG3">
        <f>Database!QTZ5</f>
        <v>0</v>
      </c>
      <c r="QTH3">
        <f>Database!QUA5</f>
        <v>0</v>
      </c>
      <c r="QTI3">
        <f>Database!QUB5</f>
        <v>0</v>
      </c>
      <c r="QTJ3">
        <f>Database!QUC5</f>
        <v>0</v>
      </c>
      <c r="QTK3">
        <f>Database!QUD5</f>
        <v>0</v>
      </c>
      <c r="QTL3">
        <f>Database!QUE5</f>
        <v>0</v>
      </c>
      <c r="QTM3">
        <f>Database!QUF5</f>
        <v>0</v>
      </c>
      <c r="QTN3">
        <f>Database!QUG5</f>
        <v>0</v>
      </c>
      <c r="QTO3">
        <f>Database!QUH5</f>
        <v>0</v>
      </c>
      <c r="QTP3">
        <f>Database!QUI5</f>
        <v>0</v>
      </c>
      <c r="QTQ3">
        <f>Database!QUJ5</f>
        <v>0</v>
      </c>
      <c r="QTR3">
        <f>Database!QUK5</f>
        <v>0</v>
      </c>
      <c r="QTS3">
        <f>Database!QUL5</f>
        <v>0</v>
      </c>
      <c r="QTT3">
        <f>Database!QUM5</f>
        <v>0</v>
      </c>
      <c r="QTU3">
        <f>Database!QUN5</f>
        <v>0</v>
      </c>
      <c r="QTV3">
        <f>Database!QUO5</f>
        <v>0</v>
      </c>
      <c r="QTW3">
        <f>Database!QUP5</f>
        <v>0</v>
      </c>
      <c r="QTX3">
        <f>Database!QUQ5</f>
        <v>0</v>
      </c>
      <c r="QTY3">
        <f>Database!QUR5</f>
        <v>0</v>
      </c>
      <c r="QTZ3">
        <f>Database!QUS5</f>
        <v>0</v>
      </c>
      <c r="QUA3">
        <f>Database!QUT5</f>
        <v>0</v>
      </c>
      <c r="QUB3">
        <f>Database!QUU5</f>
        <v>0</v>
      </c>
      <c r="QUC3">
        <f>Database!QUV5</f>
        <v>0</v>
      </c>
      <c r="QUD3">
        <f>Database!QUW5</f>
        <v>0</v>
      </c>
      <c r="QUE3">
        <f>Database!QUX5</f>
        <v>0</v>
      </c>
      <c r="QUF3">
        <f>Database!QUY5</f>
        <v>0</v>
      </c>
      <c r="QUG3">
        <f>Database!QUZ5</f>
        <v>0</v>
      </c>
      <c r="QUH3">
        <f>Database!QVA5</f>
        <v>0</v>
      </c>
      <c r="QUI3">
        <f>Database!QVB5</f>
        <v>0</v>
      </c>
      <c r="QUJ3">
        <f>Database!QVC5</f>
        <v>0</v>
      </c>
      <c r="QUK3">
        <f>Database!QVD5</f>
        <v>0</v>
      </c>
      <c r="QUL3">
        <f>Database!QVE5</f>
        <v>0</v>
      </c>
      <c r="QUM3">
        <f>Database!QVF5</f>
        <v>0</v>
      </c>
      <c r="QUN3">
        <f>Database!QVG5</f>
        <v>0</v>
      </c>
      <c r="QUO3">
        <f>Database!QVH5</f>
        <v>0</v>
      </c>
      <c r="QUP3">
        <f>Database!QVI5</f>
        <v>0</v>
      </c>
      <c r="QUQ3">
        <f>Database!QVJ5</f>
        <v>0</v>
      </c>
      <c r="QUR3">
        <f>Database!QVK5</f>
        <v>0</v>
      </c>
      <c r="QUS3">
        <f>Database!QVL5</f>
        <v>0</v>
      </c>
      <c r="QUT3">
        <f>Database!QVM5</f>
        <v>0</v>
      </c>
      <c r="QUU3">
        <f>Database!QVN5</f>
        <v>0</v>
      </c>
      <c r="QUV3">
        <f>Database!QVO5</f>
        <v>0</v>
      </c>
      <c r="QUW3">
        <f>Database!QVP5</f>
        <v>0</v>
      </c>
      <c r="QUX3">
        <f>Database!QVQ5</f>
        <v>0</v>
      </c>
      <c r="QUY3">
        <f>Database!QVR5</f>
        <v>0</v>
      </c>
      <c r="QUZ3">
        <f>Database!QVS5</f>
        <v>0</v>
      </c>
      <c r="QVA3">
        <f>Database!QVT5</f>
        <v>0</v>
      </c>
      <c r="QVB3">
        <f>Database!QVU5</f>
        <v>0</v>
      </c>
      <c r="QVC3">
        <f>Database!QVV5</f>
        <v>0</v>
      </c>
      <c r="QVD3">
        <f>Database!QVW5</f>
        <v>0</v>
      </c>
      <c r="QVE3">
        <f>Database!QVX5</f>
        <v>0</v>
      </c>
      <c r="QVF3">
        <f>Database!QVY5</f>
        <v>0</v>
      </c>
      <c r="QVG3">
        <f>Database!QVZ5</f>
        <v>0</v>
      </c>
      <c r="QVH3">
        <f>Database!QWA5</f>
        <v>0</v>
      </c>
      <c r="QVI3">
        <f>Database!QWB5</f>
        <v>0</v>
      </c>
      <c r="QVJ3">
        <f>Database!QWC5</f>
        <v>0</v>
      </c>
      <c r="QVK3">
        <f>Database!QWD5</f>
        <v>0</v>
      </c>
      <c r="QVL3">
        <f>Database!QWE5</f>
        <v>0</v>
      </c>
      <c r="QVM3">
        <f>Database!QWF5</f>
        <v>0</v>
      </c>
      <c r="QVN3">
        <f>Database!QWG5</f>
        <v>0</v>
      </c>
      <c r="QVO3">
        <f>Database!QWH5</f>
        <v>0</v>
      </c>
      <c r="QVP3">
        <f>Database!QWI5</f>
        <v>0</v>
      </c>
      <c r="QVQ3">
        <f>Database!QWJ5</f>
        <v>0</v>
      </c>
      <c r="QVR3">
        <f>Database!QWK5</f>
        <v>0</v>
      </c>
      <c r="QVS3">
        <f>Database!QWL5</f>
        <v>0</v>
      </c>
      <c r="QVT3">
        <f>Database!QWM5</f>
        <v>0</v>
      </c>
      <c r="QVU3">
        <f>Database!QWN5</f>
        <v>0</v>
      </c>
      <c r="QVV3">
        <f>Database!QWO5</f>
        <v>0</v>
      </c>
      <c r="QVW3">
        <f>Database!QWP5</f>
        <v>0</v>
      </c>
      <c r="QVX3">
        <f>Database!QWQ5</f>
        <v>0</v>
      </c>
      <c r="QVY3">
        <f>Database!QWR5</f>
        <v>0</v>
      </c>
      <c r="QVZ3">
        <f>Database!QWS5</f>
        <v>0</v>
      </c>
      <c r="QWA3">
        <f>Database!QWT5</f>
        <v>0</v>
      </c>
      <c r="QWB3">
        <f>Database!QWU5</f>
        <v>0</v>
      </c>
      <c r="QWC3">
        <f>Database!QWV5</f>
        <v>0</v>
      </c>
      <c r="QWD3">
        <f>Database!QWW5</f>
        <v>0</v>
      </c>
      <c r="QWE3">
        <f>Database!QWX5</f>
        <v>0</v>
      </c>
      <c r="QWF3">
        <f>Database!QWY5</f>
        <v>0</v>
      </c>
      <c r="QWG3">
        <f>Database!QWZ5</f>
        <v>0</v>
      </c>
      <c r="QWH3">
        <f>Database!QXA5</f>
        <v>0</v>
      </c>
      <c r="QWI3">
        <f>Database!QXB5</f>
        <v>0</v>
      </c>
      <c r="QWJ3">
        <f>Database!QXC5</f>
        <v>0</v>
      </c>
      <c r="QWK3">
        <f>Database!QXD5</f>
        <v>0</v>
      </c>
      <c r="QWL3">
        <f>Database!QXE5</f>
        <v>0</v>
      </c>
      <c r="QWM3">
        <f>Database!QXF5</f>
        <v>0</v>
      </c>
      <c r="QWN3">
        <f>Database!QXG5</f>
        <v>0</v>
      </c>
      <c r="QWO3">
        <f>Database!QXH5</f>
        <v>0</v>
      </c>
      <c r="QWP3">
        <f>Database!QXI5</f>
        <v>0</v>
      </c>
      <c r="QWQ3">
        <f>Database!QXJ5</f>
        <v>0</v>
      </c>
      <c r="QWR3">
        <f>Database!QXK5</f>
        <v>0</v>
      </c>
      <c r="QWS3">
        <f>Database!QXL5</f>
        <v>0</v>
      </c>
      <c r="QWT3">
        <f>Database!QXM5</f>
        <v>0</v>
      </c>
      <c r="QWU3">
        <f>Database!QXN5</f>
        <v>0</v>
      </c>
      <c r="QWV3">
        <f>Database!QXO5</f>
        <v>0</v>
      </c>
      <c r="QWW3">
        <f>Database!QXP5</f>
        <v>0</v>
      </c>
      <c r="QWX3">
        <f>Database!QXQ5</f>
        <v>0</v>
      </c>
      <c r="QWY3">
        <f>Database!QXR5</f>
        <v>0</v>
      </c>
      <c r="QWZ3">
        <f>Database!QXS5</f>
        <v>0</v>
      </c>
      <c r="QXA3">
        <f>Database!QXT5</f>
        <v>0</v>
      </c>
      <c r="QXB3">
        <f>Database!QXU5</f>
        <v>0</v>
      </c>
      <c r="QXC3">
        <f>Database!QXV5</f>
        <v>0</v>
      </c>
      <c r="QXD3">
        <f>Database!QXW5</f>
        <v>0</v>
      </c>
      <c r="QXE3">
        <f>Database!QXX5</f>
        <v>0</v>
      </c>
      <c r="QXF3">
        <f>Database!QXY5</f>
        <v>0</v>
      </c>
      <c r="QXG3">
        <f>Database!QXZ5</f>
        <v>0</v>
      </c>
      <c r="QXH3">
        <f>Database!QYA5</f>
        <v>0</v>
      </c>
      <c r="QXI3">
        <f>Database!QYB5</f>
        <v>0</v>
      </c>
      <c r="QXJ3">
        <f>Database!QYC5</f>
        <v>0</v>
      </c>
      <c r="QXK3">
        <f>Database!QYD5</f>
        <v>0</v>
      </c>
      <c r="QXL3">
        <f>Database!QYE5</f>
        <v>0</v>
      </c>
      <c r="QXM3">
        <f>Database!QYF5</f>
        <v>0</v>
      </c>
      <c r="QXN3">
        <f>Database!QYG5</f>
        <v>0</v>
      </c>
      <c r="QXO3">
        <f>Database!QYH5</f>
        <v>0</v>
      </c>
      <c r="QXP3">
        <f>Database!QYI5</f>
        <v>0</v>
      </c>
      <c r="QXQ3">
        <f>Database!QYJ5</f>
        <v>0</v>
      </c>
      <c r="QXR3">
        <f>Database!QYK5</f>
        <v>0</v>
      </c>
      <c r="QXS3">
        <f>Database!QYL5</f>
        <v>0</v>
      </c>
      <c r="QXT3">
        <f>Database!QYM5</f>
        <v>0</v>
      </c>
      <c r="QXU3">
        <f>Database!QYN5</f>
        <v>0</v>
      </c>
      <c r="QXV3">
        <f>Database!QYO5</f>
        <v>0</v>
      </c>
      <c r="QXW3">
        <f>Database!QYP5</f>
        <v>0</v>
      </c>
      <c r="QXX3">
        <f>Database!QYQ5</f>
        <v>0</v>
      </c>
      <c r="QXY3">
        <f>Database!QYR5</f>
        <v>0</v>
      </c>
      <c r="QXZ3">
        <f>Database!QYS5</f>
        <v>0</v>
      </c>
      <c r="QYA3">
        <f>Database!QYT5</f>
        <v>0</v>
      </c>
      <c r="QYB3">
        <f>Database!QYU5</f>
        <v>0</v>
      </c>
      <c r="QYC3">
        <f>Database!QYV5</f>
        <v>0</v>
      </c>
      <c r="QYD3">
        <f>Database!QYW5</f>
        <v>0</v>
      </c>
      <c r="QYE3">
        <f>Database!QYX5</f>
        <v>0</v>
      </c>
      <c r="QYF3">
        <f>Database!QYY5</f>
        <v>0</v>
      </c>
      <c r="QYG3">
        <f>Database!QYZ5</f>
        <v>0</v>
      </c>
      <c r="QYH3">
        <f>Database!QZA5</f>
        <v>0</v>
      </c>
      <c r="QYI3">
        <f>Database!QZB5</f>
        <v>0</v>
      </c>
      <c r="QYJ3">
        <f>Database!QZC5</f>
        <v>0</v>
      </c>
      <c r="QYK3">
        <f>Database!QZD5</f>
        <v>0</v>
      </c>
      <c r="QYL3">
        <f>Database!QZE5</f>
        <v>0</v>
      </c>
      <c r="QYM3">
        <f>Database!QZF5</f>
        <v>0</v>
      </c>
      <c r="QYN3">
        <f>Database!QZG5</f>
        <v>0</v>
      </c>
      <c r="QYO3">
        <f>Database!QZH5</f>
        <v>0</v>
      </c>
      <c r="QYP3">
        <f>Database!QZI5</f>
        <v>0</v>
      </c>
      <c r="QYQ3">
        <f>Database!QZJ5</f>
        <v>0</v>
      </c>
      <c r="QYR3">
        <f>Database!QZK5</f>
        <v>0</v>
      </c>
      <c r="QYS3">
        <f>Database!QZL5</f>
        <v>0</v>
      </c>
      <c r="QYT3">
        <f>Database!QZM5</f>
        <v>0</v>
      </c>
      <c r="QYU3">
        <f>Database!QZN5</f>
        <v>0</v>
      </c>
      <c r="QYV3">
        <f>Database!QZO5</f>
        <v>0</v>
      </c>
      <c r="QYW3">
        <f>Database!QZP5</f>
        <v>0</v>
      </c>
      <c r="QYX3">
        <f>Database!QZQ5</f>
        <v>0</v>
      </c>
      <c r="QYY3">
        <f>Database!QZR5</f>
        <v>0</v>
      </c>
      <c r="QYZ3">
        <f>Database!QZS5</f>
        <v>0</v>
      </c>
      <c r="QZA3">
        <f>Database!QZT5</f>
        <v>0</v>
      </c>
      <c r="QZB3">
        <f>Database!QZU5</f>
        <v>0</v>
      </c>
      <c r="QZC3">
        <f>Database!QZV5</f>
        <v>0</v>
      </c>
      <c r="QZD3">
        <f>Database!QZW5</f>
        <v>0</v>
      </c>
      <c r="QZE3">
        <f>Database!QZX5</f>
        <v>0</v>
      </c>
      <c r="QZF3">
        <f>Database!QZY5</f>
        <v>0</v>
      </c>
      <c r="QZG3">
        <f>Database!QZZ5</f>
        <v>0</v>
      </c>
      <c r="QZH3">
        <f>Database!RAA5</f>
        <v>0</v>
      </c>
      <c r="QZI3">
        <f>Database!RAB5</f>
        <v>0</v>
      </c>
      <c r="QZJ3">
        <f>Database!RAC5</f>
        <v>0</v>
      </c>
      <c r="QZK3">
        <f>Database!RAD5</f>
        <v>0</v>
      </c>
      <c r="QZL3">
        <f>Database!RAE5</f>
        <v>0</v>
      </c>
      <c r="QZM3">
        <f>Database!RAF5</f>
        <v>0</v>
      </c>
      <c r="QZN3">
        <f>Database!RAG5</f>
        <v>0</v>
      </c>
      <c r="QZO3">
        <f>Database!RAH5</f>
        <v>0</v>
      </c>
      <c r="QZP3">
        <f>Database!RAI5</f>
        <v>0</v>
      </c>
      <c r="QZQ3">
        <f>Database!RAJ5</f>
        <v>0</v>
      </c>
      <c r="QZR3">
        <f>Database!RAK5</f>
        <v>0</v>
      </c>
      <c r="QZS3">
        <f>Database!RAL5</f>
        <v>0</v>
      </c>
      <c r="QZT3">
        <f>Database!RAM5</f>
        <v>0</v>
      </c>
      <c r="QZU3">
        <f>Database!RAN5</f>
        <v>0</v>
      </c>
      <c r="QZV3">
        <f>Database!RAO5</f>
        <v>0</v>
      </c>
      <c r="QZW3">
        <f>Database!RAP5</f>
        <v>0</v>
      </c>
      <c r="QZX3">
        <f>Database!RAQ5</f>
        <v>0</v>
      </c>
      <c r="QZY3">
        <f>Database!RAR5</f>
        <v>0</v>
      </c>
      <c r="QZZ3">
        <f>Database!RAS5</f>
        <v>0</v>
      </c>
      <c r="RAA3">
        <f>Database!RAT5</f>
        <v>0</v>
      </c>
      <c r="RAB3">
        <f>Database!RAU5</f>
        <v>0</v>
      </c>
      <c r="RAC3">
        <f>Database!RAV5</f>
        <v>0</v>
      </c>
      <c r="RAD3">
        <f>Database!RAW5</f>
        <v>0</v>
      </c>
      <c r="RAE3">
        <f>Database!RAX5</f>
        <v>0</v>
      </c>
      <c r="RAF3">
        <f>Database!RAY5</f>
        <v>0</v>
      </c>
      <c r="RAG3">
        <f>Database!RAZ5</f>
        <v>0</v>
      </c>
      <c r="RAH3">
        <f>Database!RBA5</f>
        <v>0</v>
      </c>
      <c r="RAI3">
        <f>Database!RBB5</f>
        <v>0</v>
      </c>
      <c r="RAJ3">
        <f>Database!RBC5</f>
        <v>0</v>
      </c>
      <c r="RAK3">
        <f>Database!RBD5</f>
        <v>0</v>
      </c>
      <c r="RAL3">
        <f>Database!RBE5</f>
        <v>0</v>
      </c>
      <c r="RAM3">
        <f>Database!RBF5</f>
        <v>0</v>
      </c>
      <c r="RAN3">
        <f>Database!RBG5</f>
        <v>0</v>
      </c>
      <c r="RAO3">
        <f>Database!RBH5</f>
        <v>0</v>
      </c>
      <c r="RAP3">
        <f>Database!RBI5</f>
        <v>0</v>
      </c>
      <c r="RAQ3">
        <f>Database!RBJ5</f>
        <v>0</v>
      </c>
      <c r="RAR3">
        <f>Database!RBK5</f>
        <v>0</v>
      </c>
      <c r="RAS3">
        <f>Database!RBL5</f>
        <v>0</v>
      </c>
      <c r="RAT3">
        <f>Database!RBM5</f>
        <v>0</v>
      </c>
      <c r="RAU3">
        <f>Database!RBN5</f>
        <v>0</v>
      </c>
      <c r="RAV3">
        <f>Database!RBO5</f>
        <v>0</v>
      </c>
      <c r="RAW3">
        <f>Database!RBP5</f>
        <v>0</v>
      </c>
      <c r="RAX3">
        <f>Database!RBQ5</f>
        <v>0</v>
      </c>
      <c r="RAY3">
        <f>Database!RBR5</f>
        <v>0</v>
      </c>
      <c r="RAZ3">
        <f>Database!RBS5</f>
        <v>0</v>
      </c>
      <c r="RBA3">
        <f>Database!RBT5</f>
        <v>0</v>
      </c>
      <c r="RBB3">
        <f>Database!RBU5</f>
        <v>0</v>
      </c>
      <c r="RBC3">
        <f>Database!RBV5</f>
        <v>0</v>
      </c>
      <c r="RBD3">
        <f>Database!RBW5</f>
        <v>0</v>
      </c>
      <c r="RBE3">
        <f>Database!RBX5</f>
        <v>0</v>
      </c>
      <c r="RBF3">
        <f>Database!RBY5</f>
        <v>0</v>
      </c>
      <c r="RBG3">
        <f>Database!RBZ5</f>
        <v>0</v>
      </c>
      <c r="RBH3">
        <f>Database!RCA5</f>
        <v>0</v>
      </c>
      <c r="RBI3">
        <f>Database!RCB5</f>
        <v>0</v>
      </c>
      <c r="RBJ3">
        <f>Database!RCC5</f>
        <v>0</v>
      </c>
      <c r="RBK3">
        <f>Database!RCD5</f>
        <v>0</v>
      </c>
      <c r="RBL3">
        <f>Database!RCE5</f>
        <v>0</v>
      </c>
      <c r="RBM3">
        <f>Database!RCF5</f>
        <v>0</v>
      </c>
      <c r="RBN3">
        <f>Database!RCG5</f>
        <v>0</v>
      </c>
      <c r="RBO3">
        <f>Database!RCH5</f>
        <v>0</v>
      </c>
      <c r="RBP3">
        <f>Database!RCI5</f>
        <v>0</v>
      </c>
      <c r="RBQ3">
        <f>Database!RCJ5</f>
        <v>0</v>
      </c>
      <c r="RBR3">
        <f>Database!RCK5</f>
        <v>0</v>
      </c>
      <c r="RBS3">
        <f>Database!RCL5</f>
        <v>0</v>
      </c>
      <c r="RBT3">
        <f>Database!RCM5</f>
        <v>0</v>
      </c>
      <c r="RBU3">
        <f>Database!RCN5</f>
        <v>0</v>
      </c>
      <c r="RBV3">
        <f>Database!RCO5</f>
        <v>0</v>
      </c>
      <c r="RBW3">
        <f>Database!RCP5</f>
        <v>0</v>
      </c>
      <c r="RBX3">
        <f>Database!RCQ5</f>
        <v>0</v>
      </c>
      <c r="RBY3">
        <f>Database!RCR5</f>
        <v>0</v>
      </c>
      <c r="RBZ3">
        <f>Database!RCS5</f>
        <v>0</v>
      </c>
      <c r="RCA3">
        <f>Database!RCT5</f>
        <v>0</v>
      </c>
      <c r="RCB3">
        <f>Database!RCU5</f>
        <v>0</v>
      </c>
      <c r="RCC3">
        <f>Database!RCV5</f>
        <v>0</v>
      </c>
      <c r="RCD3">
        <f>Database!RCW5</f>
        <v>0</v>
      </c>
      <c r="RCE3">
        <f>Database!RCX5</f>
        <v>0</v>
      </c>
      <c r="RCF3">
        <f>Database!RCY5</f>
        <v>0</v>
      </c>
      <c r="RCG3">
        <f>Database!RCZ5</f>
        <v>0</v>
      </c>
      <c r="RCH3">
        <f>Database!RDA5</f>
        <v>0</v>
      </c>
      <c r="RCI3">
        <f>Database!RDB5</f>
        <v>0</v>
      </c>
      <c r="RCJ3">
        <f>Database!RDC5</f>
        <v>0</v>
      </c>
      <c r="RCK3">
        <f>Database!RDD5</f>
        <v>0</v>
      </c>
      <c r="RCL3">
        <f>Database!RDE5</f>
        <v>0</v>
      </c>
      <c r="RCM3">
        <f>Database!RDF5</f>
        <v>0</v>
      </c>
      <c r="RCN3">
        <f>Database!RDG5</f>
        <v>0</v>
      </c>
      <c r="RCO3">
        <f>Database!RDH5</f>
        <v>0</v>
      </c>
      <c r="RCP3">
        <f>Database!RDI5</f>
        <v>0</v>
      </c>
      <c r="RCQ3">
        <f>Database!RDJ5</f>
        <v>0</v>
      </c>
      <c r="RCR3">
        <f>Database!RDK5</f>
        <v>0</v>
      </c>
      <c r="RCS3">
        <f>Database!RDL5</f>
        <v>0</v>
      </c>
      <c r="RCT3">
        <f>Database!RDM5</f>
        <v>0</v>
      </c>
      <c r="RCU3">
        <f>Database!RDN5</f>
        <v>0</v>
      </c>
      <c r="RCV3">
        <f>Database!RDO5</f>
        <v>0</v>
      </c>
      <c r="RCW3">
        <f>Database!RDP5</f>
        <v>0</v>
      </c>
      <c r="RCX3">
        <f>Database!RDQ5</f>
        <v>0</v>
      </c>
      <c r="RCY3">
        <f>Database!RDR5</f>
        <v>0</v>
      </c>
      <c r="RCZ3">
        <f>Database!RDS5</f>
        <v>0</v>
      </c>
      <c r="RDA3">
        <f>Database!RDT5</f>
        <v>0</v>
      </c>
      <c r="RDB3">
        <f>Database!RDU5</f>
        <v>0</v>
      </c>
      <c r="RDC3">
        <f>Database!RDV5</f>
        <v>0</v>
      </c>
      <c r="RDD3">
        <f>Database!RDW5</f>
        <v>0</v>
      </c>
      <c r="RDE3">
        <f>Database!RDX5</f>
        <v>0</v>
      </c>
      <c r="RDF3">
        <f>Database!RDY5</f>
        <v>0</v>
      </c>
      <c r="RDG3">
        <f>Database!RDZ5</f>
        <v>0</v>
      </c>
      <c r="RDH3">
        <f>Database!REA5</f>
        <v>0</v>
      </c>
      <c r="RDI3">
        <f>Database!REB5</f>
        <v>0</v>
      </c>
      <c r="RDJ3">
        <f>Database!REC5</f>
        <v>0</v>
      </c>
      <c r="RDK3">
        <f>Database!RED5</f>
        <v>0</v>
      </c>
      <c r="RDL3">
        <f>Database!REE5</f>
        <v>0</v>
      </c>
      <c r="RDM3">
        <f>Database!REF5</f>
        <v>0</v>
      </c>
      <c r="RDN3">
        <f>Database!REG5</f>
        <v>0</v>
      </c>
      <c r="RDO3">
        <f>Database!REH5</f>
        <v>0</v>
      </c>
      <c r="RDP3">
        <f>Database!REI5</f>
        <v>0</v>
      </c>
      <c r="RDQ3">
        <f>Database!REJ5</f>
        <v>0</v>
      </c>
      <c r="RDR3">
        <f>Database!REK5</f>
        <v>0</v>
      </c>
      <c r="RDS3">
        <f>Database!REL5</f>
        <v>0</v>
      </c>
      <c r="RDT3">
        <f>Database!REM5</f>
        <v>0</v>
      </c>
      <c r="RDU3">
        <f>Database!REN5</f>
        <v>0</v>
      </c>
      <c r="RDV3">
        <f>Database!REO5</f>
        <v>0</v>
      </c>
      <c r="RDW3">
        <f>Database!REP5</f>
        <v>0</v>
      </c>
      <c r="RDX3">
        <f>Database!REQ5</f>
        <v>0</v>
      </c>
      <c r="RDY3">
        <f>Database!RER5</f>
        <v>0</v>
      </c>
      <c r="RDZ3">
        <f>Database!RES5</f>
        <v>0</v>
      </c>
      <c r="REA3">
        <f>Database!RET5</f>
        <v>0</v>
      </c>
      <c r="REB3">
        <f>Database!REU5</f>
        <v>0</v>
      </c>
      <c r="REC3">
        <f>Database!REV5</f>
        <v>0</v>
      </c>
      <c r="RED3">
        <f>Database!REW5</f>
        <v>0</v>
      </c>
      <c r="REE3">
        <f>Database!REX5</f>
        <v>0</v>
      </c>
      <c r="REF3">
        <f>Database!REY5</f>
        <v>0</v>
      </c>
      <c r="REG3">
        <f>Database!REZ5</f>
        <v>0</v>
      </c>
      <c r="REH3">
        <f>Database!RFA5</f>
        <v>0</v>
      </c>
      <c r="REI3">
        <f>Database!RFB5</f>
        <v>0</v>
      </c>
      <c r="REJ3">
        <f>Database!RFC5</f>
        <v>0</v>
      </c>
      <c r="REK3">
        <f>Database!RFD5</f>
        <v>0</v>
      </c>
      <c r="REL3">
        <f>Database!RFE5</f>
        <v>0</v>
      </c>
      <c r="REM3">
        <f>Database!RFF5</f>
        <v>0</v>
      </c>
      <c r="REN3">
        <f>Database!RFG5</f>
        <v>0</v>
      </c>
      <c r="REO3">
        <f>Database!RFH5</f>
        <v>0</v>
      </c>
      <c r="REP3">
        <f>Database!RFI5</f>
        <v>0</v>
      </c>
      <c r="REQ3">
        <f>Database!RFJ5</f>
        <v>0</v>
      </c>
      <c r="RER3">
        <f>Database!RFK5</f>
        <v>0</v>
      </c>
      <c r="RES3">
        <f>Database!RFL5</f>
        <v>0</v>
      </c>
      <c r="RET3">
        <f>Database!RFM5</f>
        <v>0</v>
      </c>
      <c r="REU3">
        <f>Database!RFN5</f>
        <v>0</v>
      </c>
      <c r="REV3">
        <f>Database!RFO5</f>
        <v>0</v>
      </c>
      <c r="REW3">
        <f>Database!RFP5</f>
        <v>0</v>
      </c>
      <c r="REX3">
        <f>Database!RFQ5</f>
        <v>0</v>
      </c>
      <c r="REY3">
        <f>Database!RFR5</f>
        <v>0</v>
      </c>
      <c r="REZ3">
        <f>Database!RFS5</f>
        <v>0</v>
      </c>
      <c r="RFA3">
        <f>Database!RFT5</f>
        <v>0</v>
      </c>
      <c r="RFB3">
        <f>Database!RFU5</f>
        <v>0</v>
      </c>
      <c r="RFC3">
        <f>Database!RFV5</f>
        <v>0</v>
      </c>
      <c r="RFD3">
        <f>Database!RFW5</f>
        <v>0</v>
      </c>
      <c r="RFE3">
        <f>Database!RFX5</f>
        <v>0</v>
      </c>
      <c r="RFF3">
        <f>Database!RFY5</f>
        <v>0</v>
      </c>
      <c r="RFG3">
        <f>Database!RFZ5</f>
        <v>0</v>
      </c>
      <c r="RFH3">
        <f>Database!RGA5</f>
        <v>0</v>
      </c>
      <c r="RFI3">
        <f>Database!RGB5</f>
        <v>0</v>
      </c>
      <c r="RFJ3">
        <f>Database!RGC5</f>
        <v>0</v>
      </c>
      <c r="RFK3">
        <f>Database!RGD5</f>
        <v>0</v>
      </c>
      <c r="RFL3">
        <f>Database!RGE5</f>
        <v>0</v>
      </c>
      <c r="RFM3">
        <f>Database!RGF5</f>
        <v>0</v>
      </c>
      <c r="RFN3">
        <f>Database!RGG5</f>
        <v>0</v>
      </c>
      <c r="RFO3">
        <f>Database!RGH5</f>
        <v>0</v>
      </c>
      <c r="RFP3">
        <f>Database!RGI5</f>
        <v>0</v>
      </c>
      <c r="RFQ3">
        <f>Database!RGJ5</f>
        <v>0</v>
      </c>
      <c r="RFR3">
        <f>Database!RGK5</f>
        <v>0</v>
      </c>
      <c r="RFS3">
        <f>Database!RGL5</f>
        <v>0</v>
      </c>
      <c r="RFT3">
        <f>Database!RGM5</f>
        <v>0</v>
      </c>
      <c r="RFU3">
        <f>Database!RGN5</f>
        <v>0</v>
      </c>
      <c r="RFV3">
        <f>Database!RGO5</f>
        <v>0</v>
      </c>
      <c r="RFW3">
        <f>Database!RGP5</f>
        <v>0</v>
      </c>
      <c r="RFX3">
        <f>Database!RGQ5</f>
        <v>0</v>
      </c>
      <c r="RFY3">
        <f>Database!RGR5</f>
        <v>0</v>
      </c>
      <c r="RFZ3">
        <f>Database!RGS5</f>
        <v>0</v>
      </c>
      <c r="RGA3">
        <f>Database!RGT5</f>
        <v>0</v>
      </c>
      <c r="RGB3">
        <f>Database!RGU5</f>
        <v>0</v>
      </c>
      <c r="RGC3">
        <f>Database!RGV5</f>
        <v>0</v>
      </c>
      <c r="RGD3">
        <f>Database!RGW5</f>
        <v>0</v>
      </c>
      <c r="RGE3">
        <f>Database!RGX5</f>
        <v>0</v>
      </c>
      <c r="RGF3">
        <f>Database!RGY5</f>
        <v>0</v>
      </c>
      <c r="RGG3">
        <f>Database!RGZ5</f>
        <v>0</v>
      </c>
      <c r="RGH3">
        <f>Database!RHA5</f>
        <v>0</v>
      </c>
      <c r="RGI3">
        <f>Database!RHB5</f>
        <v>0</v>
      </c>
      <c r="RGJ3">
        <f>Database!RHC5</f>
        <v>0</v>
      </c>
      <c r="RGK3">
        <f>Database!RHD5</f>
        <v>0</v>
      </c>
      <c r="RGL3">
        <f>Database!RHE5</f>
        <v>0</v>
      </c>
      <c r="RGM3">
        <f>Database!RHF5</f>
        <v>0</v>
      </c>
      <c r="RGN3">
        <f>Database!RHG5</f>
        <v>0</v>
      </c>
      <c r="RGO3">
        <f>Database!RHH5</f>
        <v>0</v>
      </c>
      <c r="RGP3">
        <f>Database!RHI5</f>
        <v>0</v>
      </c>
      <c r="RGQ3">
        <f>Database!RHJ5</f>
        <v>0</v>
      </c>
      <c r="RGR3">
        <f>Database!RHK5</f>
        <v>0</v>
      </c>
      <c r="RGS3">
        <f>Database!RHL5</f>
        <v>0</v>
      </c>
      <c r="RGT3">
        <f>Database!RHM5</f>
        <v>0</v>
      </c>
      <c r="RGU3">
        <f>Database!RHN5</f>
        <v>0</v>
      </c>
      <c r="RGV3">
        <f>Database!RHO5</f>
        <v>0</v>
      </c>
      <c r="RGW3">
        <f>Database!RHP5</f>
        <v>0</v>
      </c>
      <c r="RGX3">
        <f>Database!RHQ5</f>
        <v>0</v>
      </c>
      <c r="RGY3">
        <f>Database!RHR5</f>
        <v>0</v>
      </c>
      <c r="RGZ3">
        <f>Database!RHS5</f>
        <v>0</v>
      </c>
      <c r="RHA3">
        <f>Database!RHT5</f>
        <v>0</v>
      </c>
      <c r="RHB3">
        <f>Database!RHU5</f>
        <v>0</v>
      </c>
      <c r="RHC3">
        <f>Database!RHV5</f>
        <v>0</v>
      </c>
      <c r="RHD3">
        <f>Database!RHW5</f>
        <v>0</v>
      </c>
      <c r="RHE3">
        <f>Database!RHX5</f>
        <v>0</v>
      </c>
      <c r="RHF3">
        <f>Database!RHY5</f>
        <v>0</v>
      </c>
      <c r="RHG3">
        <f>Database!RHZ5</f>
        <v>0</v>
      </c>
      <c r="RHH3">
        <f>Database!RIA5</f>
        <v>0</v>
      </c>
      <c r="RHI3">
        <f>Database!RIB5</f>
        <v>0</v>
      </c>
      <c r="RHJ3">
        <f>Database!RIC5</f>
        <v>0</v>
      </c>
      <c r="RHK3">
        <f>Database!RID5</f>
        <v>0</v>
      </c>
      <c r="RHL3">
        <f>Database!RIE5</f>
        <v>0</v>
      </c>
      <c r="RHM3">
        <f>Database!RIF5</f>
        <v>0</v>
      </c>
      <c r="RHN3">
        <f>Database!RIG5</f>
        <v>0</v>
      </c>
      <c r="RHO3">
        <f>Database!RIH5</f>
        <v>0</v>
      </c>
      <c r="RHP3">
        <f>Database!RII5</f>
        <v>0</v>
      </c>
      <c r="RHQ3">
        <f>Database!RIJ5</f>
        <v>0</v>
      </c>
      <c r="RHR3">
        <f>Database!RIK5</f>
        <v>0</v>
      </c>
      <c r="RHS3">
        <f>Database!RIL5</f>
        <v>0</v>
      </c>
      <c r="RHT3">
        <f>Database!RIM5</f>
        <v>0</v>
      </c>
      <c r="RHU3">
        <f>Database!RIN5</f>
        <v>0</v>
      </c>
      <c r="RHV3">
        <f>Database!RIO5</f>
        <v>0</v>
      </c>
      <c r="RHW3">
        <f>Database!RIP5</f>
        <v>0</v>
      </c>
      <c r="RHX3">
        <f>Database!RIQ5</f>
        <v>0</v>
      </c>
      <c r="RHY3">
        <f>Database!RIR5</f>
        <v>0</v>
      </c>
      <c r="RHZ3">
        <f>Database!RIS5</f>
        <v>0</v>
      </c>
      <c r="RIA3">
        <f>Database!RIT5</f>
        <v>0</v>
      </c>
      <c r="RIB3">
        <f>Database!RIU5</f>
        <v>0</v>
      </c>
      <c r="RIC3">
        <f>Database!RIV5</f>
        <v>0</v>
      </c>
      <c r="RID3">
        <f>Database!RIW5</f>
        <v>0</v>
      </c>
      <c r="RIE3">
        <f>Database!RIX5</f>
        <v>0</v>
      </c>
      <c r="RIF3">
        <f>Database!RIY5</f>
        <v>0</v>
      </c>
      <c r="RIG3">
        <f>Database!RIZ5</f>
        <v>0</v>
      </c>
      <c r="RIH3">
        <f>Database!RJA5</f>
        <v>0</v>
      </c>
      <c r="RII3">
        <f>Database!RJB5</f>
        <v>0</v>
      </c>
      <c r="RIJ3">
        <f>Database!RJC5</f>
        <v>0</v>
      </c>
      <c r="RIK3">
        <f>Database!RJD5</f>
        <v>0</v>
      </c>
      <c r="RIL3">
        <f>Database!RJE5</f>
        <v>0</v>
      </c>
      <c r="RIM3">
        <f>Database!RJF5</f>
        <v>0</v>
      </c>
      <c r="RIN3">
        <f>Database!RJG5</f>
        <v>0</v>
      </c>
      <c r="RIO3">
        <f>Database!RJH5</f>
        <v>0</v>
      </c>
      <c r="RIP3">
        <f>Database!RJI5</f>
        <v>0</v>
      </c>
      <c r="RIQ3">
        <f>Database!RJJ5</f>
        <v>0</v>
      </c>
      <c r="RIR3">
        <f>Database!RJK5</f>
        <v>0</v>
      </c>
      <c r="RIS3">
        <f>Database!RJL5</f>
        <v>0</v>
      </c>
      <c r="RIT3">
        <f>Database!RJM5</f>
        <v>0</v>
      </c>
      <c r="RIU3">
        <f>Database!RJN5</f>
        <v>0</v>
      </c>
      <c r="RIV3">
        <f>Database!RJO5</f>
        <v>0</v>
      </c>
      <c r="RIW3">
        <f>Database!RJP5</f>
        <v>0</v>
      </c>
      <c r="RIX3">
        <f>Database!RJQ5</f>
        <v>0</v>
      </c>
      <c r="RIY3">
        <f>Database!RJR5</f>
        <v>0</v>
      </c>
      <c r="RIZ3">
        <f>Database!RJS5</f>
        <v>0</v>
      </c>
      <c r="RJA3">
        <f>Database!RJT5</f>
        <v>0</v>
      </c>
      <c r="RJB3">
        <f>Database!RJU5</f>
        <v>0</v>
      </c>
      <c r="RJC3">
        <f>Database!RJV5</f>
        <v>0</v>
      </c>
      <c r="RJD3">
        <f>Database!RJW5</f>
        <v>0</v>
      </c>
      <c r="RJE3">
        <f>Database!RJX5</f>
        <v>0</v>
      </c>
      <c r="RJF3">
        <f>Database!RJY5</f>
        <v>0</v>
      </c>
      <c r="RJG3">
        <f>Database!RJZ5</f>
        <v>0</v>
      </c>
      <c r="RJH3">
        <f>Database!RKA5</f>
        <v>0</v>
      </c>
      <c r="RJI3">
        <f>Database!RKB5</f>
        <v>0</v>
      </c>
      <c r="RJJ3">
        <f>Database!RKC5</f>
        <v>0</v>
      </c>
      <c r="RJK3">
        <f>Database!RKD5</f>
        <v>0</v>
      </c>
      <c r="RJL3">
        <f>Database!RKE5</f>
        <v>0</v>
      </c>
      <c r="RJM3">
        <f>Database!RKF5</f>
        <v>0</v>
      </c>
      <c r="RJN3">
        <f>Database!RKG5</f>
        <v>0</v>
      </c>
      <c r="RJO3">
        <f>Database!RKH5</f>
        <v>0</v>
      </c>
      <c r="RJP3">
        <f>Database!RKI5</f>
        <v>0</v>
      </c>
      <c r="RJQ3">
        <f>Database!RKJ5</f>
        <v>0</v>
      </c>
      <c r="RJR3">
        <f>Database!RKK5</f>
        <v>0</v>
      </c>
      <c r="RJS3">
        <f>Database!RKL5</f>
        <v>0</v>
      </c>
      <c r="RJT3">
        <f>Database!RKM5</f>
        <v>0</v>
      </c>
      <c r="RJU3">
        <f>Database!RKN5</f>
        <v>0</v>
      </c>
      <c r="RJV3">
        <f>Database!RKO5</f>
        <v>0</v>
      </c>
      <c r="RJW3">
        <f>Database!RKP5</f>
        <v>0</v>
      </c>
      <c r="RJX3">
        <f>Database!RKQ5</f>
        <v>0</v>
      </c>
      <c r="RJY3">
        <f>Database!RKR5</f>
        <v>0</v>
      </c>
      <c r="RJZ3">
        <f>Database!RKS5</f>
        <v>0</v>
      </c>
      <c r="RKA3">
        <f>Database!RKT5</f>
        <v>0</v>
      </c>
      <c r="RKB3">
        <f>Database!RKU5</f>
        <v>0</v>
      </c>
      <c r="RKC3">
        <f>Database!RKV5</f>
        <v>0</v>
      </c>
      <c r="RKD3">
        <f>Database!RKW5</f>
        <v>0</v>
      </c>
      <c r="RKE3">
        <f>Database!RKX5</f>
        <v>0</v>
      </c>
      <c r="RKF3">
        <f>Database!RKY5</f>
        <v>0</v>
      </c>
      <c r="RKG3">
        <f>Database!RKZ5</f>
        <v>0</v>
      </c>
      <c r="RKH3">
        <f>Database!RLA5</f>
        <v>0</v>
      </c>
      <c r="RKI3">
        <f>Database!RLB5</f>
        <v>0</v>
      </c>
      <c r="RKJ3">
        <f>Database!RLC5</f>
        <v>0</v>
      </c>
      <c r="RKK3">
        <f>Database!RLD5</f>
        <v>0</v>
      </c>
      <c r="RKL3">
        <f>Database!RLE5</f>
        <v>0</v>
      </c>
      <c r="RKM3">
        <f>Database!RLF5</f>
        <v>0</v>
      </c>
      <c r="RKN3">
        <f>Database!RLG5</f>
        <v>0</v>
      </c>
      <c r="RKO3">
        <f>Database!RLH5</f>
        <v>0</v>
      </c>
      <c r="RKP3">
        <f>Database!RLI5</f>
        <v>0</v>
      </c>
      <c r="RKQ3">
        <f>Database!RLJ5</f>
        <v>0</v>
      </c>
      <c r="RKR3">
        <f>Database!RLK5</f>
        <v>0</v>
      </c>
      <c r="RKS3">
        <f>Database!RLL5</f>
        <v>0</v>
      </c>
      <c r="RKT3">
        <f>Database!RLM5</f>
        <v>0</v>
      </c>
      <c r="RKU3">
        <f>Database!RLN5</f>
        <v>0</v>
      </c>
      <c r="RKV3">
        <f>Database!RLO5</f>
        <v>0</v>
      </c>
      <c r="RKW3">
        <f>Database!RLP5</f>
        <v>0</v>
      </c>
      <c r="RKX3">
        <f>Database!RLQ5</f>
        <v>0</v>
      </c>
      <c r="RKY3">
        <f>Database!RLR5</f>
        <v>0</v>
      </c>
      <c r="RKZ3">
        <f>Database!RLS5</f>
        <v>0</v>
      </c>
      <c r="RLA3">
        <f>Database!RLT5</f>
        <v>0</v>
      </c>
      <c r="RLB3">
        <f>Database!RLU5</f>
        <v>0</v>
      </c>
      <c r="RLC3">
        <f>Database!RLV5</f>
        <v>0</v>
      </c>
      <c r="RLD3">
        <f>Database!RLW5</f>
        <v>0</v>
      </c>
      <c r="RLE3">
        <f>Database!RLX5</f>
        <v>0</v>
      </c>
      <c r="RLF3">
        <f>Database!RLY5</f>
        <v>0</v>
      </c>
      <c r="RLG3">
        <f>Database!RLZ5</f>
        <v>0</v>
      </c>
      <c r="RLH3">
        <f>Database!RMA5</f>
        <v>0</v>
      </c>
      <c r="RLI3">
        <f>Database!RMB5</f>
        <v>0</v>
      </c>
      <c r="RLJ3">
        <f>Database!RMC5</f>
        <v>0</v>
      </c>
      <c r="RLK3">
        <f>Database!RMD5</f>
        <v>0</v>
      </c>
      <c r="RLL3">
        <f>Database!RME5</f>
        <v>0</v>
      </c>
      <c r="RLM3">
        <f>Database!RMF5</f>
        <v>0</v>
      </c>
      <c r="RLN3">
        <f>Database!RMG5</f>
        <v>0</v>
      </c>
      <c r="RLO3">
        <f>Database!RMH5</f>
        <v>0</v>
      </c>
      <c r="RLP3">
        <f>Database!RMI5</f>
        <v>0</v>
      </c>
      <c r="RLQ3">
        <f>Database!RMJ5</f>
        <v>0</v>
      </c>
      <c r="RLR3">
        <f>Database!RMK5</f>
        <v>0</v>
      </c>
      <c r="RLS3">
        <f>Database!RML5</f>
        <v>0</v>
      </c>
      <c r="RLT3">
        <f>Database!RMM5</f>
        <v>0</v>
      </c>
      <c r="RLU3">
        <f>Database!RMN5</f>
        <v>0</v>
      </c>
      <c r="RLV3">
        <f>Database!RMO5</f>
        <v>0</v>
      </c>
      <c r="RLW3">
        <f>Database!RMP5</f>
        <v>0</v>
      </c>
      <c r="RLX3">
        <f>Database!RMQ5</f>
        <v>0</v>
      </c>
      <c r="RLY3">
        <f>Database!RMR5</f>
        <v>0</v>
      </c>
      <c r="RLZ3">
        <f>Database!RMS5</f>
        <v>0</v>
      </c>
      <c r="RMA3">
        <f>Database!RMT5</f>
        <v>0</v>
      </c>
      <c r="RMB3">
        <f>Database!RMU5</f>
        <v>0</v>
      </c>
      <c r="RMC3">
        <f>Database!RMV5</f>
        <v>0</v>
      </c>
      <c r="RMD3">
        <f>Database!RMW5</f>
        <v>0</v>
      </c>
      <c r="RME3">
        <f>Database!RMX5</f>
        <v>0</v>
      </c>
      <c r="RMF3">
        <f>Database!RMY5</f>
        <v>0</v>
      </c>
      <c r="RMG3">
        <f>Database!RMZ5</f>
        <v>0</v>
      </c>
      <c r="RMH3">
        <f>Database!RNA5</f>
        <v>0</v>
      </c>
      <c r="RMI3">
        <f>Database!RNB5</f>
        <v>0</v>
      </c>
      <c r="RMJ3">
        <f>Database!RNC5</f>
        <v>0</v>
      </c>
      <c r="RMK3">
        <f>Database!RND5</f>
        <v>0</v>
      </c>
      <c r="RML3">
        <f>Database!RNE5</f>
        <v>0</v>
      </c>
      <c r="RMM3">
        <f>Database!RNF5</f>
        <v>0</v>
      </c>
      <c r="RMN3">
        <f>Database!RNG5</f>
        <v>0</v>
      </c>
      <c r="RMO3">
        <f>Database!RNH5</f>
        <v>0</v>
      </c>
      <c r="RMP3">
        <f>Database!RNI5</f>
        <v>0</v>
      </c>
      <c r="RMQ3">
        <f>Database!RNJ5</f>
        <v>0</v>
      </c>
      <c r="RMR3">
        <f>Database!RNK5</f>
        <v>0</v>
      </c>
      <c r="RMS3">
        <f>Database!RNL5</f>
        <v>0</v>
      </c>
      <c r="RMT3">
        <f>Database!RNM5</f>
        <v>0</v>
      </c>
      <c r="RMU3">
        <f>Database!RNN5</f>
        <v>0</v>
      </c>
      <c r="RMV3">
        <f>Database!RNO5</f>
        <v>0</v>
      </c>
      <c r="RMW3">
        <f>Database!RNP5</f>
        <v>0</v>
      </c>
      <c r="RMX3">
        <f>Database!RNQ5</f>
        <v>0</v>
      </c>
      <c r="RMY3">
        <f>Database!RNR5</f>
        <v>0</v>
      </c>
      <c r="RMZ3">
        <f>Database!RNS5</f>
        <v>0</v>
      </c>
      <c r="RNA3">
        <f>Database!RNT5</f>
        <v>0</v>
      </c>
      <c r="RNB3">
        <f>Database!RNU5</f>
        <v>0</v>
      </c>
      <c r="RNC3">
        <f>Database!RNV5</f>
        <v>0</v>
      </c>
      <c r="RND3">
        <f>Database!RNW5</f>
        <v>0</v>
      </c>
      <c r="RNE3">
        <f>Database!RNX5</f>
        <v>0</v>
      </c>
      <c r="RNF3">
        <f>Database!RNY5</f>
        <v>0</v>
      </c>
      <c r="RNG3">
        <f>Database!RNZ5</f>
        <v>0</v>
      </c>
      <c r="RNH3">
        <f>Database!ROA5</f>
        <v>0</v>
      </c>
      <c r="RNI3">
        <f>Database!ROB5</f>
        <v>0</v>
      </c>
      <c r="RNJ3">
        <f>Database!ROC5</f>
        <v>0</v>
      </c>
      <c r="RNK3">
        <f>Database!ROD5</f>
        <v>0</v>
      </c>
      <c r="RNL3">
        <f>Database!ROE5</f>
        <v>0</v>
      </c>
      <c r="RNM3">
        <f>Database!ROF5</f>
        <v>0</v>
      </c>
      <c r="RNN3">
        <f>Database!ROG5</f>
        <v>0</v>
      </c>
      <c r="RNO3">
        <f>Database!ROH5</f>
        <v>0</v>
      </c>
      <c r="RNP3">
        <f>Database!ROI5</f>
        <v>0</v>
      </c>
      <c r="RNQ3">
        <f>Database!ROJ5</f>
        <v>0</v>
      </c>
      <c r="RNR3">
        <f>Database!ROK5</f>
        <v>0</v>
      </c>
      <c r="RNS3">
        <f>Database!ROL5</f>
        <v>0</v>
      </c>
      <c r="RNT3">
        <f>Database!ROM5</f>
        <v>0</v>
      </c>
      <c r="RNU3">
        <f>Database!RON5</f>
        <v>0</v>
      </c>
      <c r="RNV3">
        <f>Database!ROO5</f>
        <v>0</v>
      </c>
      <c r="RNW3">
        <f>Database!ROP5</f>
        <v>0</v>
      </c>
      <c r="RNX3">
        <f>Database!ROQ5</f>
        <v>0</v>
      </c>
      <c r="RNY3">
        <f>Database!ROR5</f>
        <v>0</v>
      </c>
      <c r="RNZ3">
        <f>Database!ROS5</f>
        <v>0</v>
      </c>
      <c r="ROA3">
        <f>Database!ROT5</f>
        <v>0</v>
      </c>
      <c r="ROB3">
        <f>Database!ROU5</f>
        <v>0</v>
      </c>
      <c r="ROC3">
        <f>Database!ROV5</f>
        <v>0</v>
      </c>
      <c r="ROD3">
        <f>Database!ROW5</f>
        <v>0</v>
      </c>
      <c r="ROE3">
        <f>Database!ROX5</f>
        <v>0</v>
      </c>
      <c r="ROF3">
        <f>Database!ROY5</f>
        <v>0</v>
      </c>
      <c r="ROG3">
        <f>Database!ROZ5</f>
        <v>0</v>
      </c>
      <c r="ROH3">
        <f>Database!RPA5</f>
        <v>0</v>
      </c>
      <c r="ROI3">
        <f>Database!RPB5</f>
        <v>0</v>
      </c>
      <c r="ROJ3">
        <f>Database!RPC5</f>
        <v>0</v>
      </c>
      <c r="ROK3">
        <f>Database!RPD5</f>
        <v>0</v>
      </c>
      <c r="ROL3">
        <f>Database!RPE5</f>
        <v>0</v>
      </c>
      <c r="ROM3">
        <f>Database!RPF5</f>
        <v>0</v>
      </c>
      <c r="RON3">
        <f>Database!RPG5</f>
        <v>0</v>
      </c>
      <c r="ROO3">
        <f>Database!RPH5</f>
        <v>0</v>
      </c>
      <c r="ROP3">
        <f>Database!RPI5</f>
        <v>0</v>
      </c>
      <c r="ROQ3">
        <f>Database!RPJ5</f>
        <v>0</v>
      </c>
      <c r="ROR3">
        <f>Database!RPK5</f>
        <v>0</v>
      </c>
      <c r="ROS3">
        <f>Database!RPL5</f>
        <v>0</v>
      </c>
      <c r="ROT3">
        <f>Database!RPM5</f>
        <v>0</v>
      </c>
      <c r="ROU3">
        <f>Database!RPN5</f>
        <v>0</v>
      </c>
      <c r="ROV3">
        <f>Database!RPO5</f>
        <v>0</v>
      </c>
      <c r="ROW3">
        <f>Database!RPP5</f>
        <v>0</v>
      </c>
      <c r="ROX3">
        <f>Database!RPQ5</f>
        <v>0</v>
      </c>
      <c r="ROY3">
        <f>Database!RPR5</f>
        <v>0</v>
      </c>
      <c r="ROZ3">
        <f>Database!RPS5</f>
        <v>0</v>
      </c>
      <c r="RPA3">
        <f>Database!RPT5</f>
        <v>0</v>
      </c>
      <c r="RPB3">
        <f>Database!RPU5</f>
        <v>0</v>
      </c>
      <c r="RPC3">
        <f>Database!RPV5</f>
        <v>0</v>
      </c>
      <c r="RPD3">
        <f>Database!RPW5</f>
        <v>0</v>
      </c>
      <c r="RPE3">
        <f>Database!RPX5</f>
        <v>0</v>
      </c>
      <c r="RPF3">
        <f>Database!RPY5</f>
        <v>0</v>
      </c>
      <c r="RPG3">
        <f>Database!RPZ5</f>
        <v>0</v>
      </c>
      <c r="RPH3">
        <f>Database!RQA5</f>
        <v>0</v>
      </c>
      <c r="RPI3">
        <f>Database!RQB5</f>
        <v>0</v>
      </c>
      <c r="RPJ3">
        <f>Database!RQC5</f>
        <v>0</v>
      </c>
      <c r="RPK3">
        <f>Database!RQD5</f>
        <v>0</v>
      </c>
      <c r="RPL3">
        <f>Database!RQE5</f>
        <v>0</v>
      </c>
      <c r="RPM3">
        <f>Database!RQF5</f>
        <v>0</v>
      </c>
      <c r="RPN3">
        <f>Database!RQG5</f>
        <v>0</v>
      </c>
      <c r="RPO3">
        <f>Database!RQH5</f>
        <v>0</v>
      </c>
      <c r="RPP3">
        <f>Database!RQI5</f>
        <v>0</v>
      </c>
      <c r="RPQ3">
        <f>Database!RQJ5</f>
        <v>0</v>
      </c>
      <c r="RPR3">
        <f>Database!RQK5</f>
        <v>0</v>
      </c>
      <c r="RPS3">
        <f>Database!RQL5</f>
        <v>0</v>
      </c>
      <c r="RPT3">
        <f>Database!RQM5</f>
        <v>0</v>
      </c>
      <c r="RPU3">
        <f>Database!RQN5</f>
        <v>0</v>
      </c>
      <c r="RPV3">
        <f>Database!RQO5</f>
        <v>0</v>
      </c>
      <c r="RPW3">
        <f>Database!RQP5</f>
        <v>0</v>
      </c>
      <c r="RPX3">
        <f>Database!RQQ5</f>
        <v>0</v>
      </c>
      <c r="RPY3">
        <f>Database!RQR5</f>
        <v>0</v>
      </c>
      <c r="RPZ3">
        <f>Database!RQS5</f>
        <v>0</v>
      </c>
      <c r="RQA3">
        <f>Database!RQT5</f>
        <v>0</v>
      </c>
      <c r="RQB3">
        <f>Database!RQU5</f>
        <v>0</v>
      </c>
      <c r="RQC3">
        <f>Database!RQV5</f>
        <v>0</v>
      </c>
      <c r="RQD3">
        <f>Database!RQW5</f>
        <v>0</v>
      </c>
      <c r="RQE3">
        <f>Database!RQX5</f>
        <v>0</v>
      </c>
      <c r="RQF3">
        <f>Database!RQY5</f>
        <v>0</v>
      </c>
      <c r="RQG3">
        <f>Database!RQZ5</f>
        <v>0</v>
      </c>
      <c r="RQH3">
        <f>Database!RRA5</f>
        <v>0</v>
      </c>
      <c r="RQI3">
        <f>Database!RRB5</f>
        <v>0</v>
      </c>
      <c r="RQJ3">
        <f>Database!RRC5</f>
        <v>0</v>
      </c>
      <c r="RQK3">
        <f>Database!RRD5</f>
        <v>0</v>
      </c>
      <c r="RQL3">
        <f>Database!RRE5</f>
        <v>0</v>
      </c>
      <c r="RQM3">
        <f>Database!RRF5</f>
        <v>0</v>
      </c>
      <c r="RQN3">
        <f>Database!RRG5</f>
        <v>0</v>
      </c>
      <c r="RQO3">
        <f>Database!RRH5</f>
        <v>0</v>
      </c>
      <c r="RQP3">
        <f>Database!RRI5</f>
        <v>0</v>
      </c>
      <c r="RQQ3">
        <f>Database!RRJ5</f>
        <v>0</v>
      </c>
      <c r="RQR3">
        <f>Database!RRK5</f>
        <v>0</v>
      </c>
      <c r="RQS3">
        <f>Database!RRL5</f>
        <v>0</v>
      </c>
      <c r="RQT3">
        <f>Database!RRM5</f>
        <v>0</v>
      </c>
      <c r="RQU3">
        <f>Database!RRN5</f>
        <v>0</v>
      </c>
      <c r="RQV3">
        <f>Database!RRO5</f>
        <v>0</v>
      </c>
      <c r="RQW3">
        <f>Database!RRP5</f>
        <v>0</v>
      </c>
      <c r="RQX3">
        <f>Database!RRQ5</f>
        <v>0</v>
      </c>
      <c r="RQY3">
        <f>Database!RRR5</f>
        <v>0</v>
      </c>
      <c r="RQZ3">
        <f>Database!RRS5</f>
        <v>0</v>
      </c>
      <c r="RRA3">
        <f>Database!RRT5</f>
        <v>0</v>
      </c>
      <c r="RRB3">
        <f>Database!RRU5</f>
        <v>0</v>
      </c>
      <c r="RRC3">
        <f>Database!RRV5</f>
        <v>0</v>
      </c>
      <c r="RRD3">
        <f>Database!RRW5</f>
        <v>0</v>
      </c>
      <c r="RRE3">
        <f>Database!RRX5</f>
        <v>0</v>
      </c>
      <c r="RRF3">
        <f>Database!RRY5</f>
        <v>0</v>
      </c>
      <c r="RRG3">
        <f>Database!RRZ5</f>
        <v>0</v>
      </c>
      <c r="RRH3">
        <f>Database!RSA5</f>
        <v>0</v>
      </c>
      <c r="RRI3">
        <f>Database!RSB5</f>
        <v>0</v>
      </c>
      <c r="RRJ3">
        <f>Database!RSC5</f>
        <v>0</v>
      </c>
      <c r="RRK3">
        <f>Database!RSD5</f>
        <v>0</v>
      </c>
      <c r="RRL3">
        <f>Database!RSE5</f>
        <v>0</v>
      </c>
      <c r="RRM3">
        <f>Database!RSF5</f>
        <v>0</v>
      </c>
      <c r="RRN3">
        <f>Database!RSG5</f>
        <v>0</v>
      </c>
      <c r="RRO3">
        <f>Database!RSH5</f>
        <v>0</v>
      </c>
      <c r="RRP3">
        <f>Database!RSI5</f>
        <v>0</v>
      </c>
      <c r="RRQ3">
        <f>Database!RSJ5</f>
        <v>0</v>
      </c>
      <c r="RRR3">
        <f>Database!RSK5</f>
        <v>0</v>
      </c>
      <c r="RRS3">
        <f>Database!RSL5</f>
        <v>0</v>
      </c>
      <c r="RRT3">
        <f>Database!RSM5</f>
        <v>0</v>
      </c>
      <c r="RRU3">
        <f>Database!RSN5</f>
        <v>0</v>
      </c>
      <c r="RRV3">
        <f>Database!RSO5</f>
        <v>0</v>
      </c>
      <c r="RRW3">
        <f>Database!RSP5</f>
        <v>0</v>
      </c>
      <c r="RRX3">
        <f>Database!RSQ5</f>
        <v>0</v>
      </c>
      <c r="RRY3">
        <f>Database!RSR5</f>
        <v>0</v>
      </c>
      <c r="RRZ3">
        <f>Database!RSS5</f>
        <v>0</v>
      </c>
      <c r="RSA3">
        <f>Database!RST5</f>
        <v>0</v>
      </c>
      <c r="RSB3">
        <f>Database!RSU5</f>
        <v>0</v>
      </c>
      <c r="RSC3">
        <f>Database!RSV5</f>
        <v>0</v>
      </c>
      <c r="RSD3">
        <f>Database!RSW5</f>
        <v>0</v>
      </c>
      <c r="RSE3">
        <f>Database!RSX5</f>
        <v>0</v>
      </c>
      <c r="RSF3">
        <f>Database!RSY5</f>
        <v>0</v>
      </c>
      <c r="RSG3">
        <f>Database!RSZ5</f>
        <v>0</v>
      </c>
      <c r="RSH3">
        <f>Database!RTA5</f>
        <v>0</v>
      </c>
      <c r="RSI3">
        <f>Database!RTB5</f>
        <v>0</v>
      </c>
      <c r="RSJ3">
        <f>Database!RTC5</f>
        <v>0</v>
      </c>
      <c r="RSK3">
        <f>Database!RTD5</f>
        <v>0</v>
      </c>
      <c r="RSL3">
        <f>Database!RTE5</f>
        <v>0</v>
      </c>
      <c r="RSM3">
        <f>Database!RTF5</f>
        <v>0</v>
      </c>
      <c r="RSN3">
        <f>Database!RTG5</f>
        <v>0</v>
      </c>
      <c r="RSO3">
        <f>Database!RTH5</f>
        <v>0</v>
      </c>
      <c r="RSP3">
        <f>Database!RTI5</f>
        <v>0</v>
      </c>
      <c r="RSQ3">
        <f>Database!RTJ5</f>
        <v>0</v>
      </c>
      <c r="RSR3">
        <f>Database!RTK5</f>
        <v>0</v>
      </c>
      <c r="RSS3">
        <f>Database!RTL5</f>
        <v>0</v>
      </c>
      <c r="RST3">
        <f>Database!RTM5</f>
        <v>0</v>
      </c>
      <c r="RSU3">
        <f>Database!RTN5</f>
        <v>0</v>
      </c>
      <c r="RSV3">
        <f>Database!RTO5</f>
        <v>0</v>
      </c>
      <c r="RSW3">
        <f>Database!RTP5</f>
        <v>0</v>
      </c>
      <c r="RSX3">
        <f>Database!RTQ5</f>
        <v>0</v>
      </c>
      <c r="RSY3">
        <f>Database!RTR5</f>
        <v>0</v>
      </c>
      <c r="RSZ3">
        <f>Database!RTS5</f>
        <v>0</v>
      </c>
      <c r="RTA3">
        <f>Database!RTT5</f>
        <v>0</v>
      </c>
      <c r="RTB3">
        <f>Database!RTU5</f>
        <v>0</v>
      </c>
      <c r="RTC3">
        <f>Database!RTV5</f>
        <v>0</v>
      </c>
      <c r="RTD3">
        <f>Database!RTW5</f>
        <v>0</v>
      </c>
      <c r="RTE3">
        <f>Database!RTX5</f>
        <v>0</v>
      </c>
      <c r="RTF3">
        <f>Database!RTY5</f>
        <v>0</v>
      </c>
      <c r="RTG3">
        <f>Database!RTZ5</f>
        <v>0</v>
      </c>
      <c r="RTH3">
        <f>Database!RUA5</f>
        <v>0</v>
      </c>
      <c r="RTI3">
        <f>Database!RUB5</f>
        <v>0</v>
      </c>
      <c r="RTJ3">
        <f>Database!RUC5</f>
        <v>0</v>
      </c>
      <c r="RTK3">
        <f>Database!RUD5</f>
        <v>0</v>
      </c>
      <c r="RTL3">
        <f>Database!RUE5</f>
        <v>0</v>
      </c>
      <c r="RTM3">
        <f>Database!RUF5</f>
        <v>0</v>
      </c>
      <c r="RTN3">
        <f>Database!RUG5</f>
        <v>0</v>
      </c>
      <c r="RTO3">
        <f>Database!RUH5</f>
        <v>0</v>
      </c>
      <c r="RTP3">
        <f>Database!RUI5</f>
        <v>0</v>
      </c>
      <c r="RTQ3">
        <f>Database!RUJ5</f>
        <v>0</v>
      </c>
      <c r="RTR3">
        <f>Database!RUK5</f>
        <v>0</v>
      </c>
      <c r="RTS3">
        <f>Database!RUL5</f>
        <v>0</v>
      </c>
      <c r="RTT3">
        <f>Database!RUM5</f>
        <v>0</v>
      </c>
      <c r="RTU3">
        <f>Database!RUN5</f>
        <v>0</v>
      </c>
      <c r="RTV3">
        <f>Database!RUO5</f>
        <v>0</v>
      </c>
      <c r="RTW3">
        <f>Database!RUP5</f>
        <v>0</v>
      </c>
      <c r="RTX3">
        <f>Database!RUQ5</f>
        <v>0</v>
      </c>
      <c r="RTY3">
        <f>Database!RUR5</f>
        <v>0</v>
      </c>
      <c r="RTZ3">
        <f>Database!RUS5</f>
        <v>0</v>
      </c>
      <c r="RUA3">
        <f>Database!RUT5</f>
        <v>0</v>
      </c>
      <c r="RUB3">
        <f>Database!RUU5</f>
        <v>0</v>
      </c>
      <c r="RUC3">
        <f>Database!RUV5</f>
        <v>0</v>
      </c>
      <c r="RUD3">
        <f>Database!RUW5</f>
        <v>0</v>
      </c>
      <c r="RUE3">
        <f>Database!RUX5</f>
        <v>0</v>
      </c>
      <c r="RUF3">
        <f>Database!RUY5</f>
        <v>0</v>
      </c>
      <c r="RUG3">
        <f>Database!RUZ5</f>
        <v>0</v>
      </c>
      <c r="RUH3">
        <f>Database!RVA5</f>
        <v>0</v>
      </c>
      <c r="RUI3">
        <f>Database!RVB5</f>
        <v>0</v>
      </c>
      <c r="RUJ3">
        <f>Database!RVC5</f>
        <v>0</v>
      </c>
      <c r="RUK3">
        <f>Database!RVD5</f>
        <v>0</v>
      </c>
      <c r="RUL3">
        <f>Database!RVE5</f>
        <v>0</v>
      </c>
      <c r="RUM3">
        <f>Database!RVF5</f>
        <v>0</v>
      </c>
      <c r="RUN3">
        <f>Database!RVG5</f>
        <v>0</v>
      </c>
      <c r="RUO3">
        <f>Database!RVH5</f>
        <v>0</v>
      </c>
      <c r="RUP3">
        <f>Database!RVI5</f>
        <v>0</v>
      </c>
      <c r="RUQ3">
        <f>Database!RVJ5</f>
        <v>0</v>
      </c>
      <c r="RUR3">
        <f>Database!RVK5</f>
        <v>0</v>
      </c>
      <c r="RUS3">
        <f>Database!RVL5</f>
        <v>0</v>
      </c>
      <c r="RUT3">
        <f>Database!RVM5</f>
        <v>0</v>
      </c>
      <c r="RUU3">
        <f>Database!RVN5</f>
        <v>0</v>
      </c>
      <c r="RUV3">
        <f>Database!RVO5</f>
        <v>0</v>
      </c>
      <c r="RUW3">
        <f>Database!RVP5</f>
        <v>0</v>
      </c>
      <c r="RUX3">
        <f>Database!RVQ5</f>
        <v>0</v>
      </c>
      <c r="RUY3">
        <f>Database!RVR5</f>
        <v>0</v>
      </c>
      <c r="RUZ3">
        <f>Database!RVS5</f>
        <v>0</v>
      </c>
      <c r="RVA3">
        <f>Database!RVT5</f>
        <v>0</v>
      </c>
      <c r="RVB3">
        <f>Database!RVU5</f>
        <v>0</v>
      </c>
      <c r="RVC3">
        <f>Database!RVV5</f>
        <v>0</v>
      </c>
      <c r="RVD3">
        <f>Database!RVW5</f>
        <v>0</v>
      </c>
      <c r="RVE3">
        <f>Database!RVX5</f>
        <v>0</v>
      </c>
      <c r="RVF3">
        <f>Database!RVY5</f>
        <v>0</v>
      </c>
      <c r="RVG3">
        <f>Database!RVZ5</f>
        <v>0</v>
      </c>
      <c r="RVH3">
        <f>Database!RWA5</f>
        <v>0</v>
      </c>
      <c r="RVI3">
        <f>Database!RWB5</f>
        <v>0</v>
      </c>
      <c r="RVJ3">
        <f>Database!RWC5</f>
        <v>0</v>
      </c>
      <c r="RVK3">
        <f>Database!RWD5</f>
        <v>0</v>
      </c>
      <c r="RVL3">
        <f>Database!RWE5</f>
        <v>0</v>
      </c>
      <c r="RVM3">
        <f>Database!RWF5</f>
        <v>0</v>
      </c>
      <c r="RVN3">
        <f>Database!RWG5</f>
        <v>0</v>
      </c>
      <c r="RVO3">
        <f>Database!RWH5</f>
        <v>0</v>
      </c>
      <c r="RVP3">
        <f>Database!RWI5</f>
        <v>0</v>
      </c>
      <c r="RVQ3">
        <f>Database!RWJ5</f>
        <v>0</v>
      </c>
      <c r="RVR3">
        <f>Database!RWK5</f>
        <v>0</v>
      </c>
      <c r="RVS3">
        <f>Database!RWL5</f>
        <v>0</v>
      </c>
      <c r="RVT3">
        <f>Database!RWM5</f>
        <v>0</v>
      </c>
      <c r="RVU3">
        <f>Database!RWN5</f>
        <v>0</v>
      </c>
      <c r="RVV3">
        <f>Database!RWO5</f>
        <v>0</v>
      </c>
      <c r="RVW3">
        <f>Database!RWP5</f>
        <v>0</v>
      </c>
      <c r="RVX3">
        <f>Database!RWQ5</f>
        <v>0</v>
      </c>
      <c r="RVY3">
        <f>Database!RWR5</f>
        <v>0</v>
      </c>
      <c r="RVZ3">
        <f>Database!RWS5</f>
        <v>0</v>
      </c>
      <c r="RWA3">
        <f>Database!RWT5</f>
        <v>0</v>
      </c>
      <c r="RWB3">
        <f>Database!RWU5</f>
        <v>0</v>
      </c>
      <c r="RWC3">
        <f>Database!RWV5</f>
        <v>0</v>
      </c>
      <c r="RWD3">
        <f>Database!RWW5</f>
        <v>0</v>
      </c>
      <c r="RWE3">
        <f>Database!RWX5</f>
        <v>0</v>
      </c>
      <c r="RWF3">
        <f>Database!RWY5</f>
        <v>0</v>
      </c>
      <c r="RWG3">
        <f>Database!RWZ5</f>
        <v>0</v>
      </c>
      <c r="RWH3">
        <f>Database!RXA5</f>
        <v>0</v>
      </c>
      <c r="RWI3">
        <f>Database!RXB5</f>
        <v>0</v>
      </c>
      <c r="RWJ3">
        <f>Database!RXC5</f>
        <v>0</v>
      </c>
      <c r="RWK3">
        <f>Database!RXD5</f>
        <v>0</v>
      </c>
      <c r="RWL3">
        <f>Database!RXE5</f>
        <v>0</v>
      </c>
      <c r="RWM3">
        <f>Database!RXF5</f>
        <v>0</v>
      </c>
      <c r="RWN3">
        <f>Database!RXG5</f>
        <v>0</v>
      </c>
      <c r="RWO3">
        <f>Database!RXH5</f>
        <v>0</v>
      </c>
      <c r="RWP3">
        <f>Database!RXI5</f>
        <v>0</v>
      </c>
      <c r="RWQ3">
        <f>Database!RXJ5</f>
        <v>0</v>
      </c>
      <c r="RWR3">
        <f>Database!RXK5</f>
        <v>0</v>
      </c>
      <c r="RWS3">
        <f>Database!RXL5</f>
        <v>0</v>
      </c>
      <c r="RWT3">
        <f>Database!RXM5</f>
        <v>0</v>
      </c>
      <c r="RWU3">
        <f>Database!RXN5</f>
        <v>0</v>
      </c>
      <c r="RWV3">
        <f>Database!RXO5</f>
        <v>0</v>
      </c>
      <c r="RWW3">
        <f>Database!RXP5</f>
        <v>0</v>
      </c>
      <c r="RWX3">
        <f>Database!RXQ5</f>
        <v>0</v>
      </c>
      <c r="RWY3">
        <f>Database!RXR5</f>
        <v>0</v>
      </c>
      <c r="RWZ3">
        <f>Database!RXS5</f>
        <v>0</v>
      </c>
      <c r="RXA3">
        <f>Database!RXT5</f>
        <v>0</v>
      </c>
      <c r="RXB3">
        <f>Database!RXU5</f>
        <v>0</v>
      </c>
      <c r="RXC3">
        <f>Database!RXV5</f>
        <v>0</v>
      </c>
      <c r="RXD3">
        <f>Database!RXW5</f>
        <v>0</v>
      </c>
      <c r="RXE3">
        <f>Database!RXX5</f>
        <v>0</v>
      </c>
      <c r="RXF3">
        <f>Database!RXY5</f>
        <v>0</v>
      </c>
      <c r="RXG3">
        <f>Database!RXZ5</f>
        <v>0</v>
      </c>
      <c r="RXH3">
        <f>Database!RYA5</f>
        <v>0</v>
      </c>
      <c r="RXI3">
        <f>Database!RYB5</f>
        <v>0</v>
      </c>
      <c r="RXJ3">
        <f>Database!RYC5</f>
        <v>0</v>
      </c>
      <c r="RXK3">
        <f>Database!RYD5</f>
        <v>0</v>
      </c>
      <c r="RXL3">
        <f>Database!RYE5</f>
        <v>0</v>
      </c>
      <c r="RXM3">
        <f>Database!RYF5</f>
        <v>0</v>
      </c>
      <c r="RXN3">
        <f>Database!RYG5</f>
        <v>0</v>
      </c>
      <c r="RXO3">
        <f>Database!RYH5</f>
        <v>0</v>
      </c>
      <c r="RXP3">
        <f>Database!RYI5</f>
        <v>0</v>
      </c>
      <c r="RXQ3">
        <f>Database!RYJ5</f>
        <v>0</v>
      </c>
      <c r="RXR3">
        <f>Database!RYK5</f>
        <v>0</v>
      </c>
      <c r="RXS3">
        <f>Database!RYL5</f>
        <v>0</v>
      </c>
      <c r="RXT3">
        <f>Database!RYM5</f>
        <v>0</v>
      </c>
      <c r="RXU3">
        <f>Database!RYN5</f>
        <v>0</v>
      </c>
      <c r="RXV3">
        <f>Database!RYO5</f>
        <v>0</v>
      </c>
      <c r="RXW3">
        <f>Database!RYP5</f>
        <v>0</v>
      </c>
      <c r="RXX3">
        <f>Database!RYQ5</f>
        <v>0</v>
      </c>
      <c r="RXY3">
        <f>Database!RYR5</f>
        <v>0</v>
      </c>
      <c r="RXZ3">
        <f>Database!RYS5</f>
        <v>0</v>
      </c>
      <c r="RYA3">
        <f>Database!RYT5</f>
        <v>0</v>
      </c>
      <c r="RYB3">
        <f>Database!RYU5</f>
        <v>0</v>
      </c>
      <c r="RYC3">
        <f>Database!RYV5</f>
        <v>0</v>
      </c>
      <c r="RYD3">
        <f>Database!RYW5</f>
        <v>0</v>
      </c>
      <c r="RYE3">
        <f>Database!RYX5</f>
        <v>0</v>
      </c>
      <c r="RYF3">
        <f>Database!RYY5</f>
        <v>0</v>
      </c>
      <c r="RYG3">
        <f>Database!RYZ5</f>
        <v>0</v>
      </c>
      <c r="RYH3">
        <f>Database!RZA5</f>
        <v>0</v>
      </c>
      <c r="RYI3">
        <f>Database!RZB5</f>
        <v>0</v>
      </c>
      <c r="RYJ3">
        <f>Database!RZC5</f>
        <v>0</v>
      </c>
      <c r="RYK3">
        <f>Database!RZD5</f>
        <v>0</v>
      </c>
      <c r="RYL3">
        <f>Database!RZE5</f>
        <v>0</v>
      </c>
      <c r="RYM3">
        <f>Database!RZF5</f>
        <v>0</v>
      </c>
      <c r="RYN3">
        <f>Database!RZG5</f>
        <v>0</v>
      </c>
      <c r="RYO3">
        <f>Database!RZH5</f>
        <v>0</v>
      </c>
      <c r="RYP3">
        <f>Database!RZI5</f>
        <v>0</v>
      </c>
      <c r="RYQ3">
        <f>Database!RZJ5</f>
        <v>0</v>
      </c>
      <c r="RYR3">
        <f>Database!RZK5</f>
        <v>0</v>
      </c>
      <c r="RYS3">
        <f>Database!RZL5</f>
        <v>0</v>
      </c>
      <c r="RYT3">
        <f>Database!RZM5</f>
        <v>0</v>
      </c>
      <c r="RYU3">
        <f>Database!RZN5</f>
        <v>0</v>
      </c>
      <c r="RYV3">
        <f>Database!RZO5</f>
        <v>0</v>
      </c>
      <c r="RYW3">
        <f>Database!RZP5</f>
        <v>0</v>
      </c>
      <c r="RYX3">
        <f>Database!RZQ5</f>
        <v>0</v>
      </c>
      <c r="RYY3">
        <f>Database!RZR5</f>
        <v>0</v>
      </c>
      <c r="RYZ3">
        <f>Database!RZS5</f>
        <v>0</v>
      </c>
      <c r="RZA3">
        <f>Database!RZT5</f>
        <v>0</v>
      </c>
      <c r="RZB3">
        <f>Database!RZU5</f>
        <v>0</v>
      </c>
      <c r="RZC3">
        <f>Database!RZV5</f>
        <v>0</v>
      </c>
      <c r="RZD3">
        <f>Database!RZW5</f>
        <v>0</v>
      </c>
      <c r="RZE3">
        <f>Database!RZX5</f>
        <v>0</v>
      </c>
      <c r="RZF3">
        <f>Database!RZY5</f>
        <v>0</v>
      </c>
      <c r="RZG3">
        <f>Database!RZZ5</f>
        <v>0</v>
      </c>
      <c r="RZH3">
        <f>Database!SAA5</f>
        <v>0</v>
      </c>
      <c r="RZI3">
        <f>Database!SAB5</f>
        <v>0</v>
      </c>
      <c r="RZJ3">
        <f>Database!SAC5</f>
        <v>0</v>
      </c>
      <c r="RZK3">
        <f>Database!SAD5</f>
        <v>0</v>
      </c>
      <c r="RZL3">
        <f>Database!SAE5</f>
        <v>0</v>
      </c>
      <c r="RZM3">
        <f>Database!SAF5</f>
        <v>0</v>
      </c>
      <c r="RZN3">
        <f>Database!SAG5</f>
        <v>0</v>
      </c>
      <c r="RZO3">
        <f>Database!SAH5</f>
        <v>0</v>
      </c>
      <c r="RZP3">
        <f>Database!SAI5</f>
        <v>0</v>
      </c>
      <c r="RZQ3">
        <f>Database!SAJ5</f>
        <v>0</v>
      </c>
      <c r="RZR3">
        <f>Database!SAK5</f>
        <v>0</v>
      </c>
      <c r="RZS3">
        <f>Database!SAL5</f>
        <v>0</v>
      </c>
      <c r="RZT3">
        <f>Database!SAM5</f>
        <v>0</v>
      </c>
      <c r="RZU3">
        <f>Database!SAN5</f>
        <v>0</v>
      </c>
      <c r="RZV3">
        <f>Database!SAO5</f>
        <v>0</v>
      </c>
      <c r="RZW3">
        <f>Database!SAP5</f>
        <v>0</v>
      </c>
      <c r="RZX3">
        <f>Database!SAQ5</f>
        <v>0</v>
      </c>
      <c r="RZY3">
        <f>Database!SAR5</f>
        <v>0</v>
      </c>
      <c r="RZZ3">
        <f>Database!SAS5</f>
        <v>0</v>
      </c>
      <c r="SAA3">
        <f>Database!SAT5</f>
        <v>0</v>
      </c>
      <c r="SAB3">
        <f>Database!SAU5</f>
        <v>0</v>
      </c>
      <c r="SAC3">
        <f>Database!SAV5</f>
        <v>0</v>
      </c>
      <c r="SAD3">
        <f>Database!SAW5</f>
        <v>0</v>
      </c>
      <c r="SAE3">
        <f>Database!SAX5</f>
        <v>0</v>
      </c>
      <c r="SAF3">
        <f>Database!SAY5</f>
        <v>0</v>
      </c>
      <c r="SAG3">
        <f>Database!SAZ5</f>
        <v>0</v>
      </c>
      <c r="SAH3">
        <f>Database!SBA5</f>
        <v>0</v>
      </c>
      <c r="SAI3">
        <f>Database!SBB5</f>
        <v>0</v>
      </c>
      <c r="SAJ3">
        <f>Database!SBC5</f>
        <v>0</v>
      </c>
      <c r="SAK3">
        <f>Database!SBD5</f>
        <v>0</v>
      </c>
      <c r="SAL3">
        <f>Database!SBE5</f>
        <v>0</v>
      </c>
      <c r="SAM3">
        <f>Database!SBF5</f>
        <v>0</v>
      </c>
      <c r="SAN3">
        <f>Database!SBG5</f>
        <v>0</v>
      </c>
      <c r="SAO3">
        <f>Database!SBH5</f>
        <v>0</v>
      </c>
      <c r="SAP3">
        <f>Database!SBI5</f>
        <v>0</v>
      </c>
      <c r="SAQ3">
        <f>Database!SBJ5</f>
        <v>0</v>
      </c>
      <c r="SAR3">
        <f>Database!SBK5</f>
        <v>0</v>
      </c>
      <c r="SAS3">
        <f>Database!SBL5</f>
        <v>0</v>
      </c>
      <c r="SAT3">
        <f>Database!SBM5</f>
        <v>0</v>
      </c>
      <c r="SAU3">
        <f>Database!SBN5</f>
        <v>0</v>
      </c>
      <c r="SAV3">
        <f>Database!SBO5</f>
        <v>0</v>
      </c>
      <c r="SAW3">
        <f>Database!SBP5</f>
        <v>0</v>
      </c>
      <c r="SAX3">
        <f>Database!SBQ5</f>
        <v>0</v>
      </c>
      <c r="SAY3">
        <f>Database!SBR5</f>
        <v>0</v>
      </c>
      <c r="SAZ3">
        <f>Database!SBS5</f>
        <v>0</v>
      </c>
      <c r="SBA3">
        <f>Database!SBT5</f>
        <v>0</v>
      </c>
      <c r="SBB3">
        <f>Database!SBU5</f>
        <v>0</v>
      </c>
      <c r="SBC3">
        <f>Database!SBV5</f>
        <v>0</v>
      </c>
      <c r="SBD3">
        <f>Database!SBW5</f>
        <v>0</v>
      </c>
      <c r="SBE3">
        <f>Database!SBX5</f>
        <v>0</v>
      </c>
      <c r="SBF3">
        <f>Database!SBY5</f>
        <v>0</v>
      </c>
      <c r="SBG3">
        <f>Database!SBZ5</f>
        <v>0</v>
      </c>
      <c r="SBH3">
        <f>Database!SCA5</f>
        <v>0</v>
      </c>
      <c r="SBI3">
        <f>Database!SCB5</f>
        <v>0</v>
      </c>
      <c r="SBJ3">
        <f>Database!SCC5</f>
        <v>0</v>
      </c>
      <c r="SBK3">
        <f>Database!SCD5</f>
        <v>0</v>
      </c>
      <c r="SBL3">
        <f>Database!SCE5</f>
        <v>0</v>
      </c>
      <c r="SBM3">
        <f>Database!SCF5</f>
        <v>0</v>
      </c>
      <c r="SBN3">
        <f>Database!SCG5</f>
        <v>0</v>
      </c>
      <c r="SBO3">
        <f>Database!SCH5</f>
        <v>0</v>
      </c>
      <c r="SBP3">
        <f>Database!SCI5</f>
        <v>0</v>
      </c>
      <c r="SBQ3">
        <f>Database!SCJ5</f>
        <v>0</v>
      </c>
      <c r="SBR3">
        <f>Database!SCK5</f>
        <v>0</v>
      </c>
      <c r="SBS3">
        <f>Database!SCL5</f>
        <v>0</v>
      </c>
      <c r="SBT3">
        <f>Database!SCM5</f>
        <v>0</v>
      </c>
      <c r="SBU3">
        <f>Database!SCN5</f>
        <v>0</v>
      </c>
      <c r="SBV3">
        <f>Database!SCO5</f>
        <v>0</v>
      </c>
      <c r="SBW3">
        <f>Database!SCP5</f>
        <v>0</v>
      </c>
      <c r="SBX3">
        <f>Database!SCQ5</f>
        <v>0</v>
      </c>
      <c r="SBY3">
        <f>Database!SCR5</f>
        <v>0</v>
      </c>
      <c r="SBZ3">
        <f>Database!SCS5</f>
        <v>0</v>
      </c>
      <c r="SCA3">
        <f>Database!SCT5</f>
        <v>0</v>
      </c>
      <c r="SCB3">
        <f>Database!SCU5</f>
        <v>0</v>
      </c>
      <c r="SCC3">
        <f>Database!SCV5</f>
        <v>0</v>
      </c>
      <c r="SCD3">
        <f>Database!SCW5</f>
        <v>0</v>
      </c>
      <c r="SCE3">
        <f>Database!SCX5</f>
        <v>0</v>
      </c>
      <c r="SCF3">
        <f>Database!SCY5</f>
        <v>0</v>
      </c>
      <c r="SCG3">
        <f>Database!SCZ5</f>
        <v>0</v>
      </c>
      <c r="SCH3">
        <f>Database!SDA5</f>
        <v>0</v>
      </c>
      <c r="SCI3">
        <f>Database!SDB5</f>
        <v>0</v>
      </c>
      <c r="SCJ3">
        <f>Database!SDC5</f>
        <v>0</v>
      </c>
      <c r="SCK3">
        <f>Database!SDD5</f>
        <v>0</v>
      </c>
      <c r="SCL3">
        <f>Database!SDE5</f>
        <v>0</v>
      </c>
      <c r="SCM3">
        <f>Database!SDF5</f>
        <v>0</v>
      </c>
      <c r="SCN3">
        <f>Database!SDG5</f>
        <v>0</v>
      </c>
      <c r="SCO3">
        <f>Database!SDH5</f>
        <v>0</v>
      </c>
      <c r="SCP3">
        <f>Database!SDI5</f>
        <v>0</v>
      </c>
      <c r="SCQ3">
        <f>Database!SDJ5</f>
        <v>0</v>
      </c>
      <c r="SCR3">
        <f>Database!SDK5</f>
        <v>0</v>
      </c>
      <c r="SCS3">
        <f>Database!SDL5</f>
        <v>0</v>
      </c>
      <c r="SCT3">
        <f>Database!SDM5</f>
        <v>0</v>
      </c>
      <c r="SCU3">
        <f>Database!SDN5</f>
        <v>0</v>
      </c>
      <c r="SCV3">
        <f>Database!SDO5</f>
        <v>0</v>
      </c>
      <c r="SCW3">
        <f>Database!SDP5</f>
        <v>0</v>
      </c>
      <c r="SCX3">
        <f>Database!SDQ5</f>
        <v>0</v>
      </c>
      <c r="SCY3">
        <f>Database!SDR5</f>
        <v>0</v>
      </c>
      <c r="SCZ3">
        <f>Database!SDS5</f>
        <v>0</v>
      </c>
      <c r="SDA3">
        <f>Database!SDT5</f>
        <v>0</v>
      </c>
      <c r="SDB3">
        <f>Database!SDU5</f>
        <v>0</v>
      </c>
      <c r="SDC3">
        <f>Database!SDV5</f>
        <v>0</v>
      </c>
      <c r="SDD3">
        <f>Database!SDW5</f>
        <v>0</v>
      </c>
      <c r="SDE3">
        <f>Database!SDX5</f>
        <v>0</v>
      </c>
      <c r="SDF3">
        <f>Database!SDY5</f>
        <v>0</v>
      </c>
      <c r="SDG3">
        <f>Database!SDZ5</f>
        <v>0</v>
      </c>
      <c r="SDH3">
        <f>Database!SEA5</f>
        <v>0</v>
      </c>
      <c r="SDI3">
        <f>Database!SEB5</f>
        <v>0</v>
      </c>
      <c r="SDJ3">
        <f>Database!SEC5</f>
        <v>0</v>
      </c>
      <c r="SDK3">
        <f>Database!SED5</f>
        <v>0</v>
      </c>
      <c r="SDL3">
        <f>Database!SEE5</f>
        <v>0</v>
      </c>
      <c r="SDM3">
        <f>Database!SEF5</f>
        <v>0</v>
      </c>
      <c r="SDN3">
        <f>Database!SEG5</f>
        <v>0</v>
      </c>
      <c r="SDO3">
        <f>Database!SEH5</f>
        <v>0</v>
      </c>
      <c r="SDP3">
        <f>Database!SEI5</f>
        <v>0</v>
      </c>
      <c r="SDQ3">
        <f>Database!SEJ5</f>
        <v>0</v>
      </c>
      <c r="SDR3">
        <f>Database!SEK5</f>
        <v>0</v>
      </c>
      <c r="SDS3">
        <f>Database!SEL5</f>
        <v>0</v>
      </c>
      <c r="SDT3">
        <f>Database!SEM5</f>
        <v>0</v>
      </c>
      <c r="SDU3">
        <f>Database!SEN5</f>
        <v>0</v>
      </c>
      <c r="SDV3">
        <f>Database!SEO5</f>
        <v>0</v>
      </c>
      <c r="SDW3">
        <f>Database!SEP5</f>
        <v>0</v>
      </c>
      <c r="SDX3">
        <f>Database!SEQ5</f>
        <v>0</v>
      </c>
      <c r="SDY3">
        <f>Database!SER5</f>
        <v>0</v>
      </c>
      <c r="SDZ3">
        <f>Database!SES5</f>
        <v>0</v>
      </c>
      <c r="SEA3">
        <f>Database!SET5</f>
        <v>0</v>
      </c>
      <c r="SEB3">
        <f>Database!SEU5</f>
        <v>0</v>
      </c>
      <c r="SEC3">
        <f>Database!SEV5</f>
        <v>0</v>
      </c>
      <c r="SED3">
        <f>Database!SEW5</f>
        <v>0</v>
      </c>
      <c r="SEE3">
        <f>Database!SEX5</f>
        <v>0</v>
      </c>
      <c r="SEF3">
        <f>Database!SEY5</f>
        <v>0</v>
      </c>
      <c r="SEG3">
        <f>Database!SEZ5</f>
        <v>0</v>
      </c>
      <c r="SEH3">
        <f>Database!SFA5</f>
        <v>0</v>
      </c>
      <c r="SEI3">
        <f>Database!SFB5</f>
        <v>0</v>
      </c>
      <c r="SEJ3">
        <f>Database!SFC5</f>
        <v>0</v>
      </c>
      <c r="SEK3">
        <f>Database!SFD5</f>
        <v>0</v>
      </c>
      <c r="SEL3">
        <f>Database!SFE5</f>
        <v>0</v>
      </c>
      <c r="SEM3">
        <f>Database!SFF5</f>
        <v>0</v>
      </c>
      <c r="SEN3">
        <f>Database!SFG5</f>
        <v>0</v>
      </c>
      <c r="SEO3">
        <f>Database!SFH5</f>
        <v>0</v>
      </c>
      <c r="SEP3">
        <f>Database!SFI5</f>
        <v>0</v>
      </c>
      <c r="SEQ3">
        <f>Database!SFJ5</f>
        <v>0</v>
      </c>
      <c r="SER3">
        <f>Database!SFK5</f>
        <v>0</v>
      </c>
      <c r="SES3">
        <f>Database!SFL5</f>
        <v>0</v>
      </c>
      <c r="SET3">
        <f>Database!SFM5</f>
        <v>0</v>
      </c>
      <c r="SEU3">
        <f>Database!SFN5</f>
        <v>0</v>
      </c>
      <c r="SEV3">
        <f>Database!SFO5</f>
        <v>0</v>
      </c>
      <c r="SEW3">
        <f>Database!SFP5</f>
        <v>0</v>
      </c>
      <c r="SEX3">
        <f>Database!SFQ5</f>
        <v>0</v>
      </c>
      <c r="SEY3">
        <f>Database!SFR5</f>
        <v>0</v>
      </c>
      <c r="SEZ3">
        <f>Database!SFS5</f>
        <v>0</v>
      </c>
      <c r="SFA3">
        <f>Database!SFT5</f>
        <v>0</v>
      </c>
      <c r="SFB3">
        <f>Database!SFU5</f>
        <v>0</v>
      </c>
      <c r="SFC3">
        <f>Database!SFV5</f>
        <v>0</v>
      </c>
      <c r="SFD3">
        <f>Database!SFW5</f>
        <v>0</v>
      </c>
      <c r="SFE3">
        <f>Database!SFX5</f>
        <v>0</v>
      </c>
      <c r="SFF3">
        <f>Database!SFY5</f>
        <v>0</v>
      </c>
      <c r="SFG3">
        <f>Database!SFZ5</f>
        <v>0</v>
      </c>
      <c r="SFH3">
        <f>Database!SGA5</f>
        <v>0</v>
      </c>
      <c r="SFI3">
        <f>Database!SGB5</f>
        <v>0</v>
      </c>
      <c r="SFJ3">
        <f>Database!SGC5</f>
        <v>0</v>
      </c>
      <c r="SFK3">
        <f>Database!SGD5</f>
        <v>0</v>
      </c>
      <c r="SFL3">
        <f>Database!SGE5</f>
        <v>0</v>
      </c>
      <c r="SFM3">
        <f>Database!SGF5</f>
        <v>0</v>
      </c>
      <c r="SFN3">
        <f>Database!SGG5</f>
        <v>0</v>
      </c>
      <c r="SFO3">
        <f>Database!SGH5</f>
        <v>0</v>
      </c>
      <c r="SFP3">
        <f>Database!SGI5</f>
        <v>0</v>
      </c>
      <c r="SFQ3">
        <f>Database!SGJ5</f>
        <v>0</v>
      </c>
      <c r="SFR3">
        <f>Database!SGK5</f>
        <v>0</v>
      </c>
      <c r="SFS3">
        <f>Database!SGL5</f>
        <v>0</v>
      </c>
      <c r="SFT3">
        <f>Database!SGM5</f>
        <v>0</v>
      </c>
      <c r="SFU3">
        <f>Database!SGN5</f>
        <v>0</v>
      </c>
      <c r="SFV3">
        <f>Database!SGO5</f>
        <v>0</v>
      </c>
      <c r="SFW3">
        <f>Database!SGP5</f>
        <v>0</v>
      </c>
      <c r="SFX3">
        <f>Database!SGQ5</f>
        <v>0</v>
      </c>
      <c r="SFY3">
        <f>Database!SGR5</f>
        <v>0</v>
      </c>
      <c r="SFZ3">
        <f>Database!SGS5</f>
        <v>0</v>
      </c>
      <c r="SGA3">
        <f>Database!SGT5</f>
        <v>0</v>
      </c>
      <c r="SGB3">
        <f>Database!SGU5</f>
        <v>0</v>
      </c>
      <c r="SGC3">
        <f>Database!SGV5</f>
        <v>0</v>
      </c>
      <c r="SGD3">
        <f>Database!SGW5</f>
        <v>0</v>
      </c>
      <c r="SGE3">
        <f>Database!SGX5</f>
        <v>0</v>
      </c>
      <c r="SGF3">
        <f>Database!SGY5</f>
        <v>0</v>
      </c>
      <c r="SGG3">
        <f>Database!SGZ5</f>
        <v>0</v>
      </c>
      <c r="SGH3">
        <f>Database!SHA5</f>
        <v>0</v>
      </c>
      <c r="SGI3">
        <f>Database!SHB5</f>
        <v>0</v>
      </c>
      <c r="SGJ3">
        <f>Database!SHC5</f>
        <v>0</v>
      </c>
      <c r="SGK3">
        <f>Database!SHD5</f>
        <v>0</v>
      </c>
      <c r="SGL3">
        <f>Database!SHE5</f>
        <v>0</v>
      </c>
      <c r="SGM3">
        <f>Database!SHF5</f>
        <v>0</v>
      </c>
      <c r="SGN3">
        <f>Database!SHG5</f>
        <v>0</v>
      </c>
      <c r="SGO3">
        <f>Database!SHH5</f>
        <v>0</v>
      </c>
      <c r="SGP3">
        <f>Database!SHI5</f>
        <v>0</v>
      </c>
      <c r="SGQ3">
        <f>Database!SHJ5</f>
        <v>0</v>
      </c>
      <c r="SGR3">
        <f>Database!SHK5</f>
        <v>0</v>
      </c>
      <c r="SGS3">
        <f>Database!SHL5</f>
        <v>0</v>
      </c>
      <c r="SGT3">
        <f>Database!SHM5</f>
        <v>0</v>
      </c>
      <c r="SGU3">
        <f>Database!SHN5</f>
        <v>0</v>
      </c>
      <c r="SGV3">
        <f>Database!SHO5</f>
        <v>0</v>
      </c>
      <c r="SGW3">
        <f>Database!SHP5</f>
        <v>0</v>
      </c>
      <c r="SGX3">
        <f>Database!SHQ5</f>
        <v>0</v>
      </c>
      <c r="SGY3">
        <f>Database!SHR5</f>
        <v>0</v>
      </c>
      <c r="SGZ3">
        <f>Database!SHS5</f>
        <v>0</v>
      </c>
      <c r="SHA3">
        <f>Database!SHT5</f>
        <v>0</v>
      </c>
      <c r="SHB3">
        <f>Database!SHU5</f>
        <v>0</v>
      </c>
      <c r="SHC3">
        <f>Database!SHV5</f>
        <v>0</v>
      </c>
      <c r="SHD3">
        <f>Database!SHW5</f>
        <v>0</v>
      </c>
      <c r="SHE3">
        <f>Database!SHX5</f>
        <v>0</v>
      </c>
      <c r="SHF3">
        <f>Database!SHY5</f>
        <v>0</v>
      </c>
      <c r="SHG3">
        <f>Database!SHZ5</f>
        <v>0</v>
      </c>
      <c r="SHH3">
        <f>Database!SIA5</f>
        <v>0</v>
      </c>
      <c r="SHI3">
        <f>Database!SIB5</f>
        <v>0</v>
      </c>
      <c r="SHJ3">
        <f>Database!SIC5</f>
        <v>0</v>
      </c>
      <c r="SHK3">
        <f>Database!SID5</f>
        <v>0</v>
      </c>
      <c r="SHL3">
        <f>Database!SIE5</f>
        <v>0</v>
      </c>
      <c r="SHM3">
        <f>Database!SIF5</f>
        <v>0</v>
      </c>
      <c r="SHN3">
        <f>Database!SIG5</f>
        <v>0</v>
      </c>
      <c r="SHO3">
        <f>Database!SIH5</f>
        <v>0</v>
      </c>
      <c r="SHP3">
        <f>Database!SII5</f>
        <v>0</v>
      </c>
      <c r="SHQ3">
        <f>Database!SIJ5</f>
        <v>0</v>
      </c>
      <c r="SHR3">
        <f>Database!SIK5</f>
        <v>0</v>
      </c>
      <c r="SHS3">
        <f>Database!SIL5</f>
        <v>0</v>
      </c>
      <c r="SHT3">
        <f>Database!SIM5</f>
        <v>0</v>
      </c>
      <c r="SHU3">
        <f>Database!SIN5</f>
        <v>0</v>
      </c>
      <c r="SHV3">
        <f>Database!SIO5</f>
        <v>0</v>
      </c>
      <c r="SHW3">
        <f>Database!SIP5</f>
        <v>0</v>
      </c>
      <c r="SHX3">
        <f>Database!SIQ5</f>
        <v>0</v>
      </c>
      <c r="SHY3">
        <f>Database!SIR5</f>
        <v>0</v>
      </c>
      <c r="SHZ3">
        <f>Database!SIS5</f>
        <v>0</v>
      </c>
      <c r="SIA3">
        <f>Database!SIT5</f>
        <v>0</v>
      </c>
      <c r="SIB3">
        <f>Database!SIU5</f>
        <v>0</v>
      </c>
      <c r="SIC3">
        <f>Database!SIV5</f>
        <v>0</v>
      </c>
      <c r="SID3">
        <f>Database!SIW5</f>
        <v>0</v>
      </c>
      <c r="SIE3">
        <f>Database!SIX5</f>
        <v>0</v>
      </c>
      <c r="SIF3">
        <f>Database!SIY5</f>
        <v>0</v>
      </c>
      <c r="SIG3">
        <f>Database!SIZ5</f>
        <v>0</v>
      </c>
      <c r="SIH3">
        <f>Database!SJA5</f>
        <v>0</v>
      </c>
      <c r="SII3">
        <f>Database!SJB5</f>
        <v>0</v>
      </c>
      <c r="SIJ3">
        <f>Database!SJC5</f>
        <v>0</v>
      </c>
      <c r="SIK3">
        <f>Database!SJD5</f>
        <v>0</v>
      </c>
      <c r="SIL3">
        <f>Database!SJE5</f>
        <v>0</v>
      </c>
      <c r="SIM3">
        <f>Database!SJF5</f>
        <v>0</v>
      </c>
      <c r="SIN3">
        <f>Database!SJG5</f>
        <v>0</v>
      </c>
      <c r="SIO3">
        <f>Database!SJH5</f>
        <v>0</v>
      </c>
      <c r="SIP3">
        <f>Database!SJI5</f>
        <v>0</v>
      </c>
      <c r="SIQ3">
        <f>Database!SJJ5</f>
        <v>0</v>
      </c>
      <c r="SIR3">
        <f>Database!SJK5</f>
        <v>0</v>
      </c>
      <c r="SIS3">
        <f>Database!SJL5</f>
        <v>0</v>
      </c>
      <c r="SIT3">
        <f>Database!SJM5</f>
        <v>0</v>
      </c>
      <c r="SIU3">
        <f>Database!SJN5</f>
        <v>0</v>
      </c>
      <c r="SIV3">
        <f>Database!SJO5</f>
        <v>0</v>
      </c>
      <c r="SIW3">
        <f>Database!SJP5</f>
        <v>0</v>
      </c>
      <c r="SIX3">
        <f>Database!SJQ5</f>
        <v>0</v>
      </c>
      <c r="SIY3">
        <f>Database!SJR5</f>
        <v>0</v>
      </c>
      <c r="SIZ3">
        <f>Database!SJS5</f>
        <v>0</v>
      </c>
      <c r="SJA3">
        <f>Database!SJT5</f>
        <v>0</v>
      </c>
      <c r="SJB3">
        <f>Database!SJU5</f>
        <v>0</v>
      </c>
      <c r="SJC3">
        <f>Database!SJV5</f>
        <v>0</v>
      </c>
      <c r="SJD3">
        <f>Database!SJW5</f>
        <v>0</v>
      </c>
      <c r="SJE3">
        <f>Database!SJX5</f>
        <v>0</v>
      </c>
      <c r="SJF3">
        <f>Database!SJY5</f>
        <v>0</v>
      </c>
      <c r="SJG3">
        <f>Database!SJZ5</f>
        <v>0</v>
      </c>
      <c r="SJH3">
        <f>Database!SKA5</f>
        <v>0</v>
      </c>
      <c r="SJI3">
        <f>Database!SKB5</f>
        <v>0</v>
      </c>
      <c r="SJJ3">
        <f>Database!SKC5</f>
        <v>0</v>
      </c>
      <c r="SJK3">
        <f>Database!SKD5</f>
        <v>0</v>
      </c>
      <c r="SJL3">
        <f>Database!SKE5</f>
        <v>0</v>
      </c>
      <c r="SJM3">
        <f>Database!SKF5</f>
        <v>0</v>
      </c>
      <c r="SJN3">
        <f>Database!SKG5</f>
        <v>0</v>
      </c>
      <c r="SJO3">
        <f>Database!SKH5</f>
        <v>0</v>
      </c>
      <c r="SJP3">
        <f>Database!SKI5</f>
        <v>0</v>
      </c>
      <c r="SJQ3">
        <f>Database!SKJ5</f>
        <v>0</v>
      </c>
      <c r="SJR3">
        <f>Database!SKK5</f>
        <v>0</v>
      </c>
      <c r="SJS3">
        <f>Database!SKL5</f>
        <v>0</v>
      </c>
      <c r="SJT3">
        <f>Database!SKM5</f>
        <v>0</v>
      </c>
      <c r="SJU3">
        <f>Database!SKN5</f>
        <v>0</v>
      </c>
      <c r="SJV3">
        <f>Database!SKO5</f>
        <v>0</v>
      </c>
      <c r="SJW3">
        <f>Database!SKP5</f>
        <v>0</v>
      </c>
      <c r="SJX3">
        <f>Database!SKQ5</f>
        <v>0</v>
      </c>
      <c r="SJY3">
        <f>Database!SKR5</f>
        <v>0</v>
      </c>
      <c r="SJZ3">
        <f>Database!SKS5</f>
        <v>0</v>
      </c>
      <c r="SKA3">
        <f>Database!SKT5</f>
        <v>0</v>
      </c>
      <c r="SKB3">
        <f>Database!SKU5</f>
        <v>0</v>
      </c>
      <c r="SKC3">
        <f>Database!SKV5</f>
        <v>0</v>
      </c>
      <c r="SKD3">
        <f>Database!SKW5</f>
        <v>0</v>
      </c>
      <c r="SKE3">
        <f>Database!SKX5</f>
        <v>0</v>
      </c>
      <c r="SKF3">
        <f>Database!SKY5</f>
        <v>0</v>
      </c>
      <c r="SKG3">
        <f>Database!SKZ5</f>
        <v>0</v>
      </c>
      <c r="SKH3">
        <f>Database!SLA5</f>
        <v>0</v>
      </c>
      <c r="SKI3">
        <f>Database!SLB5</f>
        <v>0</v>
      </c>
      <c r="SKJ3">
        <f>Database!SLC5</f>
        <v>0</v>
      </c>
      <c r="SKK3">
        <f>Database!SLD5</f>
        <v>0</v>
      </c>
      <c r="SKL3">
        <f>Database!SLE5</f>
        <v>0</v>
      </c>
      <c r="SKM3">
        <f>Database!SLF5</f>
        <v>0</v>
      </c>
      <c r="SKN3">
        <f>Database!SLG5</f>
        <v>0</v>
      </c>
      <c r="SKO3">
        <f>Database!SLH5</f>
        <v>0</v>
      </c>
      <c r="SKP3">
        <f>Database!SLI5</f>
        <v>0</v>
      </c>
      <c r="SKQ3">
        <f>Database!SLJ5</f>
        <v>0</v>
      </c>
      <c r="SKR3">
        <f>Database!SLK5</f>
        <v>0</v>
      </c>
      <c r="SKS3">
        <f>Database!SLL5</f>
        <v>0</v>
      </c>
      <c r="SKT3">
        <f>Database!SLM5</f>
        <v>0</v>
      </c>
      <c r="SKU3">
        <f>Database!SLN5</f>
        <v>0</v>
      </c>
      <c r="SKV3">
        <f>Database!SLO5</f>
        <v>0</v>
      </c>
      <c r="SKW3">
        <f>Database!SLP5</f>
        <v>0</v>
      </c>
      <c r="SKX3">
        <f>Database!SLQ5</f>
        <v>0</v>
      </c>
      <c r="SKY3">
        <f>Database!SLR5</f>
        <v>0</v>
      </c>
      <c r="SKZ3">
        <f>Database!SLS5</f>
        <v>0</v>
      </c>
      <c r="SLA3">
        <f>Database!SLT5</f>
        <v>0</v>
      </c>
      <c r="SLB3">
        <f>Database!SLU5</f>
        <v>0</v>
      </c>
      <c r="SLC3">
        <f>Database!SLV5</f>
        <v>0</v>
      </c>
      <c r="SLD3">
        <f>Database!SLW5</f>
        <v>0</v>
      </c>
      <c r="SLE3">
        <f>Database!SLX5</f>
        <v>0</v>
      </c>
      <c r="SLF3">
        <f>Database!SLY5</f>
        <v>0</v>
      </c>
      <c r="SLG3">
        <f>Database!SLZ5</f>
        <v>0</v>
      </c>
      <c r="SLH3">
        <f>Database!SMA5</f>
        <v>0</v>
      </c>
      <c r="SLI3">
        <f>Database!SMB5</f>
        <v>0</v>
      </c>
      <c r="SLJ3">
        <f>Database!SMC5</f>
        <v>0</v>
      </c>
      <c r="SLK3">
        <f>Database!SMD5</f>
        <v>0</v>
      </c>
      <c r="SLL3">
        <f>Database!SME5</f>
        <v>0</v>
      </c>
      <c r="SLM3">
        <f>Database!SMF5</f>
        <v>0</v>
      </c>
      <c r="SLN3">
        <f>Database!SMG5</f>
        <v>0</v>
      </c>
      <c r="SLO3">
        <f>Database!SMH5</f>
        <v>0</v>
      </c>
      <c r="SLP3">
        <f>Database!SMI5</f>
        <v>0</v>
      </c>
      <c r="SLQ3">
        <f>Database!SMJ5</f>
        <v>0</v>
      </c>
      <c r="SLR3">
        <f>Database!SMK5</f>
        <v>0</v>
      </c>
      <c r="SLS3">
        <f>Database!SML5</f>
        <v>0</v>
      </c>
      <c r="SLT3">
        <f>Database!SMM5</f>
        <v>0</v>
      </c>
      <c r="SLU3">
        <f>Database!SMN5</f>
        <v>0</v>
      </c>
      <c r="SLV3">
        <f>Database!SMO5</f>
        <v>0</v>
      </c>
      <c r="SLW3">
        <f>Database!SMP5</f>
        <v>0</v>
      </c>
      <c r="SLX3">
        <f>Database!SMQ5</f>
        <v>0</v>
      </c>
      <c r="SLY3">
        <f>Database!SMR5</f>
        <v>0</v>
      </c>
      <c r="SLZ3">
        <f>Database!SMS5</f>
        <v>0</v>
      </c>
      <c r="SMA3">
        <f>Database!SMT5</f>
        <v>0</v>
      </c>
      <c r="SMB3">
        <f>Database!SMU5</f>
        <v>0</v>
      </c>
      <c r="SMC3">
        <f>Database!SMV5</f>
        <v>0</v>
      </c>
      <c r="SMD3">
        <f>Database!SMW5</f>
        <v>0</v>
      </c>
      <c r="SME3">
        <f>Database!SMX5</f>
        <v>0</v>
      </c>
      <c r="SMF3">
        <f>Database!SMY5</f>
        <v>0</v>
      </c>
      <c r="SMG3">
        <f>Database!SMZ5</f>
        <v>0</v>
      </c>
      <c r="SMH3">
        <f>Database!SNA5</f>
        <v>0</v>
      </c>
      <c r="SMI3">
        <f>Database!SNB5</f>
        <v>0</v>
      </c>
      <c r="SMJ3">
        <f>Database!SNC5</f>
        <v>0</v>
      </c>
      <c r="SMK3">
        <f>Database!SND5</f>
        <v>0</v>
      </c>
      <c r="SML3">
        <f>Database!SNE5</f>
        <v>0</v>
      </c>
      <c r="SMM3">
        <f>Database!SNF5</f>
        <v>0</v>
      </c>
      <c r="SMN3">
        <f>Database!SNG5</f>
        <v>0</v>
      </c>
      <c r="SMO3">
        <f>Database!SNH5</f>
        <v>0</v>
      </c>
      <c r="SMP3">
        <f>Database!SNI5</f>
        <v>0</v>
      </c>
      <c r="SMQ3">
        <f>Database!SNJ5</f>
        <v>0</v>
      </c>
      <c r="SMR3">
        <f>Database!SNK5</f>
        <v>0</v>
      </c>
      <c r="SMS3">
        <f>Database!SNL5</f>
        <v>0</v>
      </c>
      <c r="SMT3">
        <f>Database!SNM5</f>
        <v>0</v>
      </c>
      <c r="SMU3">
        <f>Database!SNN5</f>
        <v>0</v>
      </c>
      <c r="SMV3">
        <f>Database!SNO5</f>
        <v>0</v>
      </c>
      <c r="SMW3">
        <f>Database!SNP5</f>
        <v>0</v>
      </c>
      <c r="SMX3">
        <f>Database!SNQ5</f>
        <v>0</v>
      </c>
      <c r="SMY3">
        <f>Database!SNR5</f>
        <v>0</v>
      </c>
      <c r="SMZ3">
        <f>Database!SNS5</f>
        <v>0</v>
      </c>
      <c r="SNA3">
        <f>Database!SNT5</f>
        <v>0</v>
      </c>
      <c r="SNB3">
        <f>Database!SNU5</f>
        <v>0</v>
      </c>
      <c r="SNC3">
        <f>Database!SNV5</f>
        <v>0</v>
      </c>
      <c r="SND3">
        <f>Database!SNW5</f>
        <v>0</v>
      </c>
      <c r="SNE3">
        <f>Database!SNX5</f>
        <v>0</v>
      </c>
      <c r="SNF3">
        <f>Database!SNY5</f>
        <v>0</v>
      </c>
      <c r="SNG3">
        <f>Database!SNZ5</f>
        <v>0</v>
      </c>
      <c r="SNH3">
        <f>Database!SOA5</f>
        <v>0</v>
      </c>
      <c r="SNI3">
        <f>Database!SOB5</f>
        <v>0</v>
      </c>
      <c r="SNJ3">
        <f>Database!SOC5</f>
        <v>0</v>
      </c>
      <c r="SNK3">
        <f>Database!SOD5</f>
        <v>0</v>
      </c>
      <c r="SNL3">
        <f>Database!SOE5</f>
        <v>0</v>
      </c>
      <c r="SNM3">
        <f>Database!SOF5</f>
        <v>0</v>
      </c>
      <c r="SNN3">
        <f>Database!SOG5</f>
        <v>0</v>
      </c>
      <c r="SNO3">
        <f>Database!SOH5</f>
        <v>0</v>
      </c>
      <c r="SNP3">
        <f>Database!SOI5</f>
        <v>0</v>
      </c>
      <c r="SNQ3">
        <f>Database!SOJ5</f>
        <v>0</v>
      </c>
      <c r="SNR3">
        <f>Database!SOK5</f>
        <v>0</v>
      </c>
      <c r="SNS3">
        <f>Database!SOL5</f>
        <v>0</v>
      </c>
      <c r="SNT3">
        <f>Database!SOM5</f>
        <v>0</v>
      </c>
      <c r="SNU3">
        <f>Database!SON5</f>
        <v>0</v>
      </c>
      <c r="SNV3">
        <f>Database!SOO5</f>
        <v>0</v>
      </c>
      <c r="SNW3">
        <f>Database!SOP5</f>
        <v>0</v>
      </c>
      <c r="SNX3">
        <f>Database!SOQ5</f>
        <v>0</v>
      </c>
      <c r="SNY3">
        <f>Database!SOR5</f>
        <v>0</v>
      </c>
      <c r="SNZ3">
        <f>Database!SOS5</f>
        <v>0</v>
      </c>
      <c r="SOA3">
        <f>Database!SOT5</f>
        <v>0</v>
      </c>
      <c r="SOB3">
        <f>Database!SOU5</f>
        <v>0</v>
      </c>
      <c r="SOC3">
        <f>Database!SOV5</f>
        <v>0</v>
      </c>
      <c r="SOD3">
        <f>Database!SOW5</f>
        <v>0</v>
      </c>
      <c r="SOE3">
        <f>Database!SOX5</f>
        <v>0</v>
      </c>
      <c r="SOF3">
        <f>Database!SOY5</f>
        <v>0</v>
      </c>
      <c r="SOG3">
        <f>Database!SOZ5</f>
        <v>0</v>
      </c>
      <c r="SOH3">
        <f>Database!SPA5</f>
        <v>0</v>
      </c>
      <c r="SOI3">
        <f>Database!SPB5</f>
        <v>0</v>
      </c>
      <c r="SOJ3">
        <f>Database!SPC5</f>
        <v>0</v>
      </c>
      <c r="SOK3">
        <f>Database!SPD5</f>
        <v>0</v>
      </c>
      <c r="SOL3">
        <f>Database!SPE5</f>
        <v>0</v>
      </c>
      <c r="SOM3">
        <f>Database!SPF5</f>
        <v>0</v>
      </c>
      <c r="SON3">
        <f>Database!SPG5</f>
        <v>0</v>
      </c>
      <c r="SOO3">
        <f>Database!SPH5</f>
        <v>0</v>
      </c>
      <c r="SOP3">
        <f>Database!SPI5</f>
        <v>0</v>
      </c>
      <c r="SOQ3">
        <f>Database!SPJ5</f>
        <v>0</v>
      </c>
      <c r="SOR3">
        <f>Database!SPK5</f>
        <v>0</v>
      </c>
      <c r="SOS3">
        <f>Database!SPL5</f>
        <v>0</v>
      </c>
      <c r="SOT3">
        <f>Database!SPM5</f>
        <v>0</v>
      </c>
      <c r="SOU3">
        <f>Database!SPN5</f>
        <v>0</v>
      </c>
      <c r="SOV3">
        <f>Database!SPO5</f>
        <v>0</v>
      </c>
      <c r="SOW3">
        <f>Database!SPP5</f>
        <v>0</v>
      </c>
      <c r="SOX3">
        <f>Database!SPQ5</f>
        <v>0</v>
      </c>
      <c r="SOY3">
        <f>Database!SPR5</f>
        <v>0</v>
      </c>
      <c r="SOZ3">
        <f>Database!SPS5</f>
        <v>0</v>
      </c>
      <c r="SPA3">
        <f>Database!SPT5</f>
        <v>0</v>
      </c>
      <c r="SPB3">
        <f>Database!SPU5</f>
        <v>0</v>
      </c>
      <c r="SPC3">
        <f>Database!SPV5</f>
        <v>0</v>
      </c>
      <c r="SPD3">
        <f>Database!SPW5</f>
        <v>0</v>
      </c>
      <c r="SPE3">
        <f>Database!SPX5</f>
        <v>0</v>
      </c>
      <c r="SPF3">
        <f>Database!SPY5</f>
        <v>0</v>
      </c>
      <c r="SPG3">
        <f>Database!SPZ5</f>
        <v>0</v>
      </c>
      <c r="SPH3">
        <f>Database!SQA5</f>
        <v>0</v>
      </c>
      <c r="SPI3">
        <f>Database!SQB5</f>
        <v>0</v>
      </c>
      <c r="SPJ3">
        <f>Database!SQC5</f>
        <v>0</v>
      </c>
      <c r="SPK3">
        <f>Database!SQD5</f>
        <v>0</v>
      </c>
      <c r="SPL3">
        <f>Database!SQE5</f>
        <v>0</v>
      </c>
      <c r="SPM3">
        <f>Database!SQF5</f>
        <v>0</v>
      </c>
      <c r="SPN3">
        <f>Database!SQG5</f>
        <v>0</v>
      </c>
      <c r="SPO3">
        <f>Database!SQH5</f>
        <v>0</v>
      </c>
      <c r="SPP3">
        <f>Database!SQI5</f>
        <v>0</v>
      </c>
      <c r="SPQ3">
        <f>Database!SQJ5</f>
        <v>0</v>
      </c>
      <c r="SPR3">
        <f>Database!SQK5</f>
        <v>0</v>
      </c>
      <c r="SPS3">
        <f>Database!SQL5</f>
        <v>0</v>
      </c>
      <c r="SPT3">
        <f>Database!SQM5</f>
        <v>0</v>
      </c>
      <c r="SPU3">
        <f>Database!SQN5</f>
        <v>0</v>
      </c>
      <c r="SPV3">
        <f>Database!SQO5</f>
        <v>0</v>
      </c>
      <c r="SPW3">
        <f>Database!SQP5</f>
        <v>0</v>
      </c>
      <c r="SPX3">
        <f>Database!SQQ5</f>
        <v>0</v>
      </c>
      <c r="SPY3">
        <f>Database!SQR5</f>
        <v>0</v>
      </c>
      <c r="SPZ3">
        <f>Database!SQS5</f>
        <v>0</v>
      </c>
      <c r="SQA3">
        <f>Database!SQT5</f>
        <v>0</v>
      </c>
      <c r="SQB3">
        <f>Database!SQU5</f>
        <v>0</v>
      </c>
      <c r="SQC3">
        <f>Database!SQV5</f>
        <v>0</v>
      </c>
      <c r="SQD3">
        <f>Database!SQW5</f>
        <v>0</v>
      </c>
      <c r="SQE3">
        <f>Database!SQX5</f>
        <v>0</v>
      </c>
      <c r="SQF3">
        <f>Database!SQY5</f>
        <v>0</v>
      </c>
      <c r="SQG3">
        <f>Database!SQZ5</f>
        <v>0</v>
      </c>
      <c r="SQH3">
        <f>Database!SRA5</f>
        <v>0</v>
      </c>
      <c r="SQI3">
        <f>Database!SRB5</f>
        <v>0</v>
      </c>
      <c r="SQJ3">
        <f>Database!SRC5</f>
        <v>0</v>
      </c>
      <c r="SQK3">
        <f>Database!SRD5</f>
        <v>0</v>
      </c>
      <c r="SQL3">
        <f>Database!SRE5</f>
        <v>0</v>
      </c>
      <c r="SQM3">
        <f>Database!SRF5</f>
        <v>0</v>
      </c>
      <c r="SQN3">
        <f>Database!SRG5</f>
        <v>0</v>
      </c>
      <c r="SQO3">
        <f>Database!SRH5</f>
        <v>0</v>
      </c>
      <c r="SQP3">
        <f>Database!SRI5</f>
        <v>0</v>
      </c>
      <c r="SQQ3">
        <f>Database!SRJ5</f>
        <v>0</v>
      </c>
      <c r="SQR3">
        <f>Database!SRK5</f>
        <v>0</v>
      </c>
      <c r="SQS3">
        <f>Database!SRL5</f>
        <v>0</v>
      </c>
      <c r="SQT3">
        <f>Database!SRM5</f>
        <v>0</v>
      </c>
      <c r="SQU3">
        <f>Database!SRN5</f>
        <v>0</v>
      </c>
      <c r="SQV3">
        <f>Database!SRO5</f>
        <v>0</v>
      </c>
      <c r="SQW3">
        <f>Database!SRP5</f>
        <v>0</v>
      </c>
      <c r="SQX3">
        <f>Database!SRQ5</f>
        <v>0</v>
      </c>
      <c r="SQY3">
        <f>Database!SRR5</f>
        <v>0</v>
      </c>
      <c r="SQZ3">
        <f>Database!SRS5</f>
        <v>0</v>
      </c>
      <c r="SRA3">
        <f>Database!SRT5</f>
        <v>0</v>
      </c>
      <c r="SRB3">
        <f>Database!SRU5</f>
        <v>0</v>
      </c>
      <c r="SRC3">
        <f>Database!SRV5</f>
        <v>0</v>
      </c>
      <c r="SRD3">
        <f>Database!SRW5</f>
        <v>0</v>
      </c>
      <c r="SRE3">
        <f>Database!SRX5</f>
        <v>0</v>
      </c>
      <c r="SRF3">
        <f>Database!SRY5</f>
        <v>0</v>
      </c>
      <c r="SRG3">
        <f>Database!SRZ5</f>
        <v>0</v>
      </c>
      <c r="SRH3">
        <f>Database!SSA5</f>
        <v>0</v>
      </c>
      <c r="SRI3">
        <f>Database!SSB5</f>
        <v>0</v>
      </c>
      <c r="SRJ3">
        <f>Database!SSC5</f>
        <v>0</v>
      </c>
      <c r="SRK3">
        <f>Database!SSD5</f>
        <v>0</v>
      </c>
      <c r="SRL3">
        <f>Database!SSE5</f>
        <v>0</v>
      </c>
      <c r="SRM3">
        <f>Database!SSF5</f>
        <v>0</v>
      </c>
      <c r="SRN3">
        <f>Database!SSG5</f>
        <v>0</v>
      </c>
      <c r="SRO3">
        <f>Database!SSH5</f>
        <v>0</v>
      </c>
      <c r="SRP3">
        <f>Database!SSI5</f>
        <v>0</v>
      </c>
      <c r="SRQ3">
        <f>Database!SSJ5</f>
        <v>0</v>
      </c>
      <c r="SRR3">
        <f>Database!SSK5</f>
        <v>0</v>
      </c>
      <c r="SRS3">
        <f>Database!SSL5</f>
        <v>0</v>
      </c>
      <c r="SRT3">
        <f>Database!SSM5</f>
        <v>0</v>
      </c>
      <c r="SRU3">
        <f>Database!SSN5</f>
        <v>0</v>
      </c>
      <c r="SRV3">
        <f>Database!SSO5</f>
        <v>0</v>
      </c>
      <c r="SRW3">
        <f>Database!SSP5</f>
        <v>0</v>
      </c>
      <c r="SRX3">
        <f>Database!SSQ5</f>
        <v>0</v>
      </c>
      <c r="SRY3">
        <f>Database!SSR5</f>
        <v>0</v>
      </c>
      <c r="SRZ3">
        <f>Database!SSS5</f>
        <v>0</v>
      </c>
      <c r="SSA3">
        <f>Database!SST5</f>
        <v>0</v>
      </c>
      <c r="SSB3">
        <f>Database!SSU5</f>
        <v>0</v>
      </c>
      <c r="SSC3">
        <f>Database!SSV5</f>
        <v>0</v>
      </c>
      <c r="SSD3">
        <f>Database!SSW5</f>
        <v>0</v>
      </c>
      <c r="SSE3">
        <f>Database!SSX5</f>
        <v>0</v>
      </c>
      <c r="SSF3">
        <f>Database!SSY5</f>
        <v>0</v>
      </c>
      <c r="SSG3">
        <f>Database!SSZ5</f>
        <v>0</v>
      </c>
      <c r="SSH3">
        <f>Database!STA5</f>
        <v>0</v>
      </c>
      <c r="SSI3">
        <f>Database!STB5</f>
        <v>0</v>
      </c>
      <c r="SSJ3">
        <f>Database!STC5</f>
        <v>0</v>
      </c>
      <c r="SSK3">
        <f>Database!STD5</f>
        <v>0</v>
      </c>
      <c r="SSL3">
        <f>Database!STE5</f>
        <v>0</v>
      </c>
      <c r="SSM3">
        <f>Database!STF5</f>
        <v>0</v>
      </c>
      <c r="SSN3">
        <f>Database!STG5</f>
        <v>0</v>
      </c>
      <c r="SSO3">
        <f>Database!STH5</f>
        <v>0</v>
      </c>
      <c r="SSP3">
        <f>Database!STI5</f>
        <v>0</v>
      </c>
      <c r="SSQ3">
        <f>Database!STJ5</f>
        <v>0</v>
      </c>
      <c r="SSR3">
        <f>Database!STK5</f>
        <v>0</v>
      </c>
      <c r="SSS3">
        <f>Database!STL5</f>
        <v>0</v>
      </c>
      <c r="SST3">
        <f>Database!STM5</f>
        <v>0</v>
      </c>
      <c r="SSU3">
        <f>Database!STN5</f>
        <v>0</v>
      </c>
      <c r="SSV3">
        <f>Database!STO5</f>
        <v>0</v>
      </c>
      <c r="SSW3">
        <f>Database!STP5</f>
        <v>0</v>
      </c>
      <c r="SSX3">
        <f>Database!STQ5</f>
        <v>0</v>
      </c>
      <c r="SSY3">
        <f>Database!STR5</f>
        <v>0</v>
      </c>
      <c r="SSZ3">
        <f>Database!STS5</f>
        <v>0</v>
      </c>
      <c r="STA3">
        <f>Database!STT5</f>
        <v>0</v>
      </c>
      <c r="STB3">
        <f>Database!STU5</f>
        <v>0</v>
      </c>
      <c r="STC3">
        <f>Database!STV5</f>
        <v>0</v>
      </c>
      <c r="STD3">
        <f>Database!STW5</f>
        <v>0</v>
      </c>
      <c r="STE3">
        <f>Database!STX5</f>
        <v>0</v>
      </c>
      <c r="STF3">
        <f>Database!STY5</f>
        <v>0</v>
      </c>
      <c r="STG3">
        <f>Database!STZ5</f>
        <v>0</v>
      </c>
      <c r="STH3">
        <f>Database!SUA5</f>
        <v>0</v>
      </c>
      <c r="STI3">
        <f>Database!SUB5</f>
        <v>0</v>
      </c>
      <c r="STJ3">
        <f>Database!SUC5</f>
        <v>0</v>
      </c>
      <c r="STK3">
        <f>Database!SUD5</f>
        <v>0</v>
      </c>
      <c r="STL3">
        <f>Database!SUE5</f>
        <v>0</v>
      </c>
      <c r="STM3">
        <f>Database!SUF5</f>
        <v>0</v>
      </c>
      <c r="STN3">
        <f>Database!SUG5</f>
        <v>0</v>
      </c>
      <c r="STO3">
        <f>Database!SUH5</f>
        <v>0</v>
      </c>
      <c r="STP3">
        <f>Database!SUI5</f>
        <v>0</v>
      </c>
      <c r="STQ3">
        <f>Database!SUJ5</f>
        <v>0</v>
      </c>
      <c r="STR3">
        <f>Database!SUK5</f>
        <v>0</v>
      </c>
      <c r="STS3">
        <f>Database!SUL5</f>
        <v>0</v>
      </c>
      <c r="STT3">
        <f>Database!SUM5</f>
        <v>0</v>
      </c>
      <c r="STU3">
        <f>Database!SUN5</f>
        <v>0</v>
      </c>
      <c r="STV3">
        <f>Database!SUO5</f>
        <v>0</v>
      </c>
      <c r="STW3">
        <f>Database!SUP5</f>
        <v>0</v>
      </c>
      <c r="STX3">
        <f>Database!SUQ5</f>
        <v>0</v>
      </c>
      <c r="STY3">
        <f>Database!SUR5</f>
        <v>0</v>
      </c>
      <c r="STZ3">
        <f>Database!SUS5</f>
        <v>0</v>
      </c>
      <c r="SUA3">
        <f>Database!SUT5</f>
        <v>0</v>
      </c>
      <c r="SUB3">
        <f>Database!SUU5</f>
        <v>0</v>
      </c>
      <c r="SUC3">
        <f>Database!SUV5</f>
        <v>0</v>
      </c>
      <c r="SUD3">
        <f>Database!SUW5</f>
        <v>0</v>
      </c>
      <c r="SUE3">
        <f>Database!SUX5</f>
        <v>0</v>
      </c>
      <c r="SUF3">
        <f>Database!SUY5</f>
        <v>0</v>
      </c>
      <c r="SUG3">
        <f>Database!SUZ5</f>
        <v>0</v>
      </c>
      <c r="SUH3">
        <f>Database!SVA5</f>
        <v>0</v>
      </c>
      <c r="SUI3">
        <f>Database!SVB5</f>
        <v>0</v>
      </c>
      <c r="SUJ3">
        <f>Database!SVC5</f>
        <v>0</v>
      </c>
      <c r="SUK3">
        <f>Database!SVD5</f>
        <v>0</v>
      </c>
      <c r="SUL3">
        <f>Database!SVE5</f>
        <v>0</v>
      </c>
      <c r="SUM3">
        <f>Database!SVF5</f>
        <v>0</v>
      </c>
      <c r="SUN3">
        <f>Database!SVG5</f>
        <v>0</v>
      </c>
      <c r="SUO3">
        <f>Database!SVH5</f>
        <v>0</v>
      </c>
      <c r="SUP3">
        <f>Database!SVI5</f>
        <v>0</v>
      </c>
      <c r="SUQ3">
        <f>Database!SVJ5</f>
        <v>0</v>
      </c>
      <c r="SUR3">
        <f>Database!SVK5</f>
        <v>0</v>
      </c>
      <c r="SUS3">
        <f>Database!SVL5</f>
        <v>0</v>
      </c>
      <c r="SUT3">
        <f>Database!SVM5</f>
        <v>0</v>
      </c>
      <c r="SUU3">
        <f>Database!SVN5</f>
        <v>0</v>
      </c>
      <c r="SUV3">
        <f>Database!SVO5</f>
        <v>0</v>
      </c>
      <c r="SUW3">
        <f>Database!SVP5</f>
        <v>0</v>
      </c>
      <c r="SUX3">
        <f>Database!SVQ5</f>
        <v>0</v>
      </c>
      <c r="SUY3">
        <f>Database!SVR5</f>
        <v>0</v>
      </c>
      <c r="SUZ3">
        <f>Database!SVS5</f>
        <v>0</v>
      </c>
      <c r="SVA3">
        <f>Database!SVT5</f>
        <v>0</v>
      </c>
      <c r="SVB3">
        <f>Database!SVU5</f>
        <v>0</v>
      </c>
      <c r="SVC3">
        <f>Database!SVV5</f>
        <v>0</v>
      </c>
      <c r="SVD3">
        <f>Database!SVW5</f>
        <v>0</v>
      </c>
      <c r="SVE3">
        <f>Database!SVX5</f>
        <v>0</v>
      </c>
      <c r="SVF3">
        <f>Database!SVY5</f>
        <v>0</v>
      </c>
      <c r="SVG3">
        <f>Database!SVZ5</f>
        <v>0</v>
      </c>
      <c r="SVH3">
        <f>Database!SWA5</f>
        <v>0</v>
      </c>
      <c r="SVI3">
        <f>Database!SWB5</f>
        <v>0</v>
      </c>
      <c r="SVJ3">
        <f>Database!SWC5</f>
        <v>0</v>
      </c>
      <c r="SVK3">
        <f>Database!SWD5</f>
        <v>0</v>
      </c>
      <c r="SVL3">
        <f>Database!SWE5</f>
        <v>0</v>
      </c>
      <c r="SVM3">
        <f>Database!SWF5</f>
        <v>0</v>
      </c>
      <c r="SVN3">
        <f>Database!SWG5</f>
        <v>0</v>
      </c>
      <c r="SVO3">
        <f>Database!SWH5</f>
        <v>0</v>
      </c>
      <c r="SVP3">
        <f>Database!SWI5</f>
        <v>0</v>
      </c>
      <c r="SVQ3">
        <f>Database!SWJ5</f>
        <v>0</v>
      </c>
      <c r="SVR3">
        <f>Database!SWK5</f>
        <v>0</v>
      </c>
      <c r="SVS3">
        <f>Database!SWL5</f>
        <v>0</v>
      </c>
      <c r="SVT3">
        <f>Database!SWM5</f>
        <v>0</v>
      </c>
      <c r="SVU3">
        <f>Database!SWN5</f>
        <v>0</v>
      </c>
      <c r="SVV3">
        <f>Database!SWO5</f>
        <v>0</v>
      </c>
      <c r="SVW3">
        <f>Database!SWP5</f>
        <v>0</v>
      </c>
      <c r="SVX3">
        <f>Database!SWQ5</f>
        <v>0</v>
      </c>
      <c r="SVY3">
        <f>Database!SWR5</f>
        <v>0</v>
      </c>
      <c r="SVZ3">
        <f>Database!SWS5</f>
        <v>0</v>
      </c>
      <c r="SWA3">
        <f>Database!SWT5</f>
        <v>0</v>
      </c>
      <c r="SWB3">
        <f>Database!SWU5</f>
        <v>0</v>
      </c>
      <c r="SWC3">
        <f>Database!SWV5</f>
        <v>0</v>
      </c>
      <c r="SWD3">
        <f>Database!SWW5</f>
        <v>0</v>
      </c>
      <c r="SWE3">
        <f>Database!SWX5</f>
        <v>0</v>
      </c>
      <c r="SWF3">
        <f>Database!SWY5</f>
        <v>0</v>
      </c>
      <c r="SWG3">
        <f>Database!SWZ5</f>
        <v>0</v>
      </c>
      <c r="SWH3">
        <f>Database!SXA5</f>
        <v>0</v>
      </c>
      <c r="SWI3">
        <f>Database!SXB5</f>
        <v>0</v>
      </c>
      <c r="SWJ3">
        <f>Database!SXC5</f>
        <v>0</v>
      </c>
      <c r="SWK3">
        <f>Database!SXD5</f>
        <v>0</v>
      </c>
      <c r="SWL3">
        <f>Database!SXE5</f>
        <v>0</v>
      </c>
      <c r="SWM3">
        <f>Database!SXF5</f>
        <v>0</v>
      </c>
      <c r="SWN3">
        <f>Database!SXG5</f>
        <v>0</v>
      </c>
      <c r="SWO3">
        <f>Database!SXH5</f>
        <v>0</v>
      </c>
      <c r="SWP3">
        <f>Database!SXI5</f>
        <v>0</v>
      </c>
      <c r="SWQ3">
        <f>Database!SXJ5</f>
        <v>0</v>
      </c>
      <c r="SWR3">
        <f>Database!SXK5</f>
        <v>0</v>
      </c>
      <c r="SWS3">
        <f>Database!SXL5</f>
        <v>0</v>
      </c>
      <c r="SWT3">
        <f>Database!SXM5</f>
        <v>0</v>
      </c>
      <c r="SWU3">
        <f>Database!SXN5</f>
        <v>0</v>
      </c>
      <c r="SWV3">
        <f>Database!SXO5</f>
        <v>0</v>
      </c>
      <c r="SWW3">
        <f>Database!SXP5</f>
        <v>0</v>
      </c>
      <c r="SWX3">
        <f>Database!SXQ5</f>
        <v>0</v>
      </c>
      <c r="SWY3">
        <f>Database!SXR5</f>
        <v>0</v>
      </c>
      <c r="SWZ3">
        <f>Database!SXS5</f>
        <v>0</v>
      </c>
      <c r="SXA3">
        <f>Database!SXT5</f>
        <v>0</v>
      </c>
      <c r="SXB3">
        <f>Database!SXU5</f>
        <v>0</v>
      </c>
      <c r="SXC3">
        <f>Database!SXV5</f>
        <v>0</v>
      </c>
      <c r="SXD3">
        <f>Database!SXW5</f>
        <v>0</v>
      </c>
      <c r="SXE3">
        <f>Database!SXX5</f>
        <v>0</v>
      </c>
      <c r="SXF3">
        <f>Database!SXY5</f>
        <v>0</v>
      </c>
      <c r="SXG3">
        <f>Database!SXZ5</f>
        <v>0</v>
      </c>
      <c r="SXH3">
        <f>Database!SYA5</f>
        <v>0</v>
      </c>
      <c r="SXI3">
        <f>Database!SYB5</f>
        <v>0</v>
      </c>
      <c r="SXJ3">
        <f>Database!SYC5</f>
        <v>0</v>
      </c>
      <c r="SXK3">
        <f>Database!SYD5</f>
        <v>0</v>
      </c>
      <c r="SXL3">
        <f>Database!SYE5</f>
        <v>0</v>
      </c>
      <c r="SXM3">
        <f>Database!SYF5</f>
        <v>0</v>
      </c>
      <c r="SXN3">
        <f>Database!SYG5</f>
        <v>0</v>
      </c>
      <c r="SXO3">
        <f>Database!SYH5</f>
        <v>0</v>
      </c>
      <c r="SXP3">
        <f>Database!SYI5</f>
        <v>0</v>
      </c>
      <c r="SXQ3">
        <f>Database!SYJ5</f>
        <v>0</v>
      </c>
      <c r="SXR3">
        <f>Database!SYK5</f>
        <v>0</v>
      </c>
      <c r="SXS3">
        <f>Database!SYL5</f>
        <v>0</v>
      </c>
      <c r="SXT3">
        <f>Database!SYM5</f>
        <v>0</v>
      </c>
      <c r="SXU3">
        <f>Database!SYN5</f>
        <v>0</v>
      </c>
      <c r="SXV3">
        <f>Database!SYO5</f>
        <v>0</v>
      </c>
      <c r="SXW3">
        <f>Database!SYP5</f>
        <v>0</v>
      </c>
      <c r="SXX3">
        <f>Database!SYQ5</f>
        <v>0</v>
      </c>
      <c r="SXY3">
        <f>Database!SYR5</f>
        <v>0</v>
      </c>
      <c r="SXZ3">
        <f>Database!SYS5</f>
        <v>0</v>
      </c>
      <c r="SYA3">
        <f>Database!SYT5</f>
        <v>0</v>
      </c>
      <c r="SYB3">
        <f>Database!SYU5</f>
        <v>0</v>
      </c>
      <c r="SYC3">
        <f>Database!SYV5</f>
        <v>0</v>
      </c>
      <c r="SYD3">
        <f>Database!SYW5</f>
        <v>0</v>
      </c>
      <c r="SYE3">
        <f>Database!SYX5</f>
        <v>0</v>
      </c>
      <c r="SYF3">
        <f>Database!SYY5</f>
        <v>0</v>
      </c>
      <c r="SYG3">
        <f>Database!SYZ5</f>
        <v>0</v>
      </c>
      <c r="SYH3">
        <f>Database!SZA5</f>
        <v>0</v>
      </c>
      <c r="SYI3">
        <f>Database!SZB5</f>
        <v>0</v>
      </c>
      <c r="SYJ3">
        <f>Database!SZC5</f>
        <v>0</v>
      </c>
      <c r="SYK3">
        <f>Database!SZD5</f>
        <v>0</v>
      </c>
      <c r="SYL3">
        <f>Database!SZE5</f>
        <v>0</v>
      </c>
      <c r="SYM3">
        <f>Database!SZF5</f>
        <v>0</v>
      </c>
      <c r="SYN3">
        <f>Database!SZG5</f>
        <v>0</v>
      </c>
      <c r="SYO3">
        <f>Database!SZH5</f>
        <v>0</v>
      </c>
      <c r="SYP3">
        <f>Database!SZI5</f>
        <v>0</v>
      </c>
      <c r="SYQ3">
        <f>Database!SZJ5</f>
        <v>0</v>
      </c>
      <c r="SYR3">
        <f>Database!SZK5</f>
        <v>0</v>
      </c>
      <c r="SYS3">
        <f>Database!SZL5</f>
        <v>0</v>
      </c>
      <c r="SYT3">
        <f>Database!SZM5</f>
        <v>0</v>
      </c>
      <c r="SYU3">
        <f>Database!SZN5</f>
        <v>0</v>
      </c>
      <c r="SYV3">
        <f>Database!SZO5</f>
        <v>0</v>
      </c>
      <c r="SYW3">
        <f>Database!SZP5</f>
        <v>0</v>
      </c>
      <c r="SYX3">
        <f>Database!SZQ5</f>
        <v>0</v>
      </c>
      <c r="SYY3">
        <f>Database!SZR5</f>
        <v>0</v>
      </c>
      <c r="SYZ3">
        <f>Database!SZS5</f>
        <v>0</v>
      </c>
      <c r="SZA3">
        <f>Database!SZT5</f>
        <v>0</v>
      </c>
      <c r="SZB3">
        <f>Database!SZU5</f>
        <v>0</v>
      </c>
      <c r="SZC3">
        <f>Database!SZV5</f>
        <v>0</v>
      </c>
      <c r="SZD3">
        <f>Database!SZW5</f>
        <v>0</v>
      </c>
      <c r="SZE3">
        <f>Database!SZX5</f>
        <v>0</v>
      </c>
      <c r="SZF3">
        <f>Database!SZY5</f>
        <v>0</v>
      </c>
      <c r="SZG3">
        <f>Database!SZZ5</f>
        <v>0</v>
      </c>
      <c r="SZH3">
        <f>Database!TAA5</f>
        <v>0</v>
      </c>
      <c r="SZI3">
        <f>Database!TAB5</f>
        <v>0</v>
      </c>
      <c r="SZJ3">
        <f>Database!TAC5</f>
        <v>0</v>
      </c>
      <c r="SZK3">
        <f>Database!TAD5</f>
        <v>0</v>
      </c>
      <c r="SZL3">
        <f>Database!TAE5</f>
        <v>0</v>
      </c>
      <c r="SZM3">
        <f>Database!TAF5</f>
        <v>0</v>
      </c>
      <c r="SZN3">
        <f>Database!TAG5</f>
        <v>0</v>
      </c>
      <c r="SZO3">
        <f>Database!TAH5</f>
        <v>0</v>
      </c>
      <c r="SZP3">
        <f>Database!TAI5</f>
        <v>0</v>
      </c>
      <c r="SZQ3">
        <f>Database!TAJ5</f>
        <v>0</v>
      </c>
      <c r="SZR3">
        <f>Database!TAK5</f>
        <v>0</v>
      </c>
      <c r="SZS3">
        <f>Database!TAL5</f>
        <v>0</v>
      </c>
      <c r="SZT3">
        <f>Database!TAM5</f>
        <v>0</v>
      </c>
      <c r="SZU3">
        <f>Database!TAN5</f>
        <v>0</v>
      </c>
      <c r="SZV3">
        <f>Database!TAO5</f>
        <v>0</v>
      </c>
      <c r="SZW3">
        <f>Database!TAP5</f>
        <v>0</v>
      </c>
      <c r="SZX3">
        <f>Database!TAQ5</f>
        <v>0</v>
      </c>
      <c r="SZY3">
        <f>Database!TAR5</f>
        <v>0</v>
      </c>
      <c r="SZZ3">
        <f>Database!TAS5</f>
        <v>0</v>
      </c>
      <c r="TAA3">
        <f>Database!TAT5</f>
        <v>0</v>
      </c>
      <c r="TAB3">
        <f>Database!TAU5</f>
        <v>0</v>
      </c>
      <c r="TAC3">
        <f>Database!TAV5</f>
        <v>0</v>
      </c>
      <c r="TAD3">
        <f>Database!TAW5</f>
        <v>0</v>
      </c>
      <c r="TAE3">
        <f>Database!TAX5</f>
        <v>0</v>
      </c>
      <c r="TAF3">
        <f>Database!TAY5</f>
        <v>0</v>
      </c>
      <c r="TAG3">
        <f>Database!TAZ5</f>
        <v>0</v>
      </c>
      <c r="TAH3">
        <f>Database!TBA5</f>
        <v>0</v>
      </c>
      <c r="TAI3">
        <f>Database!TBB5</f>
        <v>0</v>
      </c>
      <c r="TAJ3">
        <f>Database!TBC5</f>
        <v>0</v>
      </c>
      <c r="TAK3">
        <f>Database!TBD5</f>
        <v>0</v>
      </c>
      <c r="TAL3">
        <f>Database!TBE5</f>
        <v>0</v>
      </c>
      <c r="TAM3">
        <f>Database!TBF5</f>
        <v>0</v>
      </c>
      <c r="TAN3">
        <f>Database!TBG5</f>
        <v>0</v>
      </c>
      <c r="TAO3">
        <f>Database!TBH5</f>
        <v>0</v>
      </c>
      <c r="TAP3">
        <f>Database!TBI5</f>
        <v>0</v>
      </c>
      <c r="TAQ3">
        <f>Database!TBJ5</f>
        <v>0</v>
      </c>
      <c r="TAR3">
        <f>Database!TBK5</f>
        <v>0</v>
      </c>
      <c r="TAS3">
        <f>Database!TBL5</f>
        <v>0</v>
      </c>
      <c r="TAT3">
        <f>Database!TBM5</f>
        <v>0</v>
      </c>
      <c r="TAU3">
        <f>Database!TBN5</f>
        <v>0</v>
      </c>
      <c r="TAV3">
        <f>Database!TBO5</f>
        <v>0</v>
      </c>
      <c r="TAW3">
        <f>Database!TBP5</f>
        <v>0</v>
      </c>
      <c r="TAX3">
        <f>Database!TBQ5</f>
        <v>0</v>
      </c>
      <c r="TAY3">
        <f>Database!TBR5</f>
        <v>0</v>
      </c>
      <c r="TAZ3">
        <f>Database!TBS5</f>
        <v>0</v>
      </c>
      <c r="TBA3">
        <f>Database!TBT5</f>
        <v>0</v>
      </c>
      <c r="TBB3">
        <f>Database!TBU5</f>
        <v>0</v>
      </c>
      <c r="TBC3">
        <f>Database!TBV5</f>
        <v>0</v>
      </c>
      <c r="TBD3">
        <f>Database!TBW5</f>
        <v>0</v>
      </c>
      <c r="TBE3">
        <f>Database!TBX5</f>
        <v>0</v>
      </c>
      <c r="TBF3">
        <f>Database!TBY5</f>
        <v>0</v>
      </c>
      <c r="TBG3">
        <f>Database!TBZ5</f>
        <v>0</v>
      </c>
      <c r="TBH3">
        <f>Database!TCA5</f>
        <v>0</v>
      </c>
      <c r="TBI3">
        <f>Database!TCB5</f>
        <v>0</v>
      </c>
      <c r="TBJ3">
        <f>Database!TCC5</f>
        <v>0</v>
      </c>
      <c r="TBK3">
        <f>Database!TCD5</f>
        <v>0</v>
      </c>
      <c r="TBL3">
        <f>Database!TCE5</f>
        <v>0</v>
      </c>
      <c r="TBM3">
        <f>Database!TCF5</f>
        <v>0</v>
      </c>
      <c r="TBN3">
        <f>Database!TCG5</f>
        <v>0</v>
      </c>
      <c r="TBO3">
        <f>Database!TCH5</f>
        <v>0</v>
      </c>
      <c r="TBP3">
        <f>Database!TCI5</f>
        <v>0</v>
      </c>
      <c r="TBQ3">
        <f>Database!TCJ5</f>
        <v>0</v>
      </c>
      <c r="TBR3">
        <f>Database!TCK5</f>
        <v>0</v>
      </c>
      <c r="TBS3">
        <f>Database!TCL5</f>
        <v>0</v>
      </c>
      <c r="TBT3">
        <f>Database!TCM5</f>
        <v>0</v>
      </c>
      <c r="TBU3">
        <f>Database!TCN5</f>
        <v>0</v>
      </c>
      <c r="TBV3">
        <f>Database!TCO5</f>
        <v>0</v>
      </c>
      <c r="TBW3">
        <f>Database!TCP5</f>
        <v>0</v>
      </c>
      <c r="TBX3">
        <f>Database!TCQ5</f>
        <v>0</v>
      </c>
      <c r="TBY3">
        <f>Database!TCR5</f>
        <v>0</v>
      </c>
      <c r="TBZ3">
        <f>Database!TCS5</f>
        <v>0</v>
      </c>
      <c r="TCA3">
        <f>Database!TCT5</f>
        <v>0</v>
      </c>
      <c r="TCB3">
        <f>Database!TCU5</f>
        <v>0</v>
      </c>
      <c r="TCC3">
        <f>Database!TCV5</f>
        <v>0</v>
      </c>
      <c r="TCD3">
        <f>Database!TCW5</f>
        <v>0</v>
      </c>
      <c r="TCE3">
        <f>Database!TCX5</f>
        <v>0</v>
      </c>
      <c r="TCF3">
        <f>Database!TCY5</f>
        <v>0</v>
      </c>
      <c r="TCG3">
        <f>Database!TCZ5</f>
        <v>0</v>
      </c>
      <c r="TCH3">
        <f>Database!TDA5</f>
        <v>0</v>
      </c>
      <c r="TCI3">
        <f>Database!TDB5</f>
        <v>0</v>
      </c>
      <c r="TCJ3">
        <f>Database!TDC5</f>
        <v>0</v>
      </c>
      <c r="TCK3">
        <f>Database!TDD5</f>
        <v>0</v>
      </c>
      <c r="TCL3">
        <f>Database!TDE5</f>
        <v>0</v>
      </c>
      <c r="TCM3">
        <f>Database!TDF5</f>
        <v>0</v>
      </c>
      <c r="TCN3">
        <f>Database!TDG5</f>
        <v>0</v>
      </c>
      <c r="TCO3">
        <f>Database!TDH5</f>
        <v>0</v>
      </c>
      <c r="TCP3">
        <f>Database!TDI5</f>
        <v>0</v>
      </c>
      <c r="TCQ3">
        <f>Database!TDJ5</f>
        <v>0</v>
      </c>
      <c r="TCR3">
        <f>Database!TDK5</f>
        <v>0</v>
      </c>
      <c r="TCS3">
        <f>Database!TDL5</f>
        <v>0</v>
      </c>
      <c r="TCT3">
        <f>Database!TDM5</f>
        <v>0</v>
      </c>
      <c r="TCU3">
        <f>Database!TDN5</f>
        <v>0</v>
      </c>
      <c r="TCV3">
        <f>Database!TDO5</f>
        <v>0</v>
      </c>
      <c r="TCW3">
        <f>Database!TDP5</f>
        <v>0</v>
      </c>
      <c r="TCX3">
        <f>Database!TDQ5</f>
        <v>0</v>
      </c>
      <c r="TCY3">
        <f>Database!TDR5</f>
        <v>0</v>
      </c>
      <c r="TCZ3">
        <f>Database!TDS5</f>
        <v>0</v>
      </c>
      <c r="TDA3">
        <f>Database!TDT5</f>
        <v>0</v>
      </c>
      <c r="TDB3">
        <f>Database!TDU5</f>
        <v>0</v>
      </c>
      <c r="TDC3">
        <f>Database!TDV5</f>
        <v>0</v>
      </c>
      <c r="TDD3">
        <f>Database!TDW5</f>
        <v>0</v>
      </c>
      <c r="TDE3">
        <f>Database!TDX5</f>
        <v>0</v>
      </c>
      <c r="TDF3">
        <f>Database!TDY5</f>
        <v>0</v>
      </c>
      <c r="TDG3">
        <f>Database!TDZ5</f>
        <v>0</v>
      </c>
      <c r="TDH3">
        <f>Database!TEA5</f>
        <v>0</v>
      </c>
      <c r="TDI3">
        <f>Database!TEB5</f>
        <v>0</v>
      </c>
      <c r="TDJ3">
        <f>Database!TEC5</f>
        <v>0</v>
      </c>
      <c r="TDK3">
        <f>Database!TED5</f>
        <v>0</v>
      </c>
      <c r="TDL3">
        <f>Database!TEE5</f>
        <v>0</v>
      </c>
      <c r="TDM3">
        <f>Database!TEF5</f>
        <v>0</v>
      </c>
      <c r="TDN3">
        <f>Database!TEG5</f>
        <v>0</v>
      </c>
      <c r="TDO3">
        <f>Database!TEH5</f>
        <v>0</v>
      </c>
      <c r="TDP3">
        <f>Database!TEI5</f>
        <v>0</v>
      </c>
      <c r="TDQ3">
        <f>Database!TEJ5</f>
        <v>0</v>
      </c>
      <c r="TDR3">
        <f>Database!TEK5</f>
        <v>0</v>
      </c>
      <c r="TDS3">
        <f>Database!TEL5</f>
        <v>0</v>
      </c>
      <c r="TDT3">
        <f>Database!TEM5</f>
        <v>0</v>
      </c>
      <c r="TDU3">
        <f>Database!TEN5</f>
        <v>0</v>
      </c>
      <c r="TDV3">
        <f>Database!TEO5</f>
        <v>0</v>
      </c>
      <c r="TDW3">
        <f>Database!TEP5</f>
        <v>0</v>
      </c>
      <c r="TDX3">
        <f>Database!TEQ5</f>
        <v>0</v>
      </c>
      <c r="TDY3">
        <f>Database!TER5</f>
        <v>0</v>
      </c>
      <c r="TDZ3">
        <f>Database!TES5</f>
        <v>0</v>
      </c>
      <c r="TEA3">
        <f>Database!TET5</f>
        <v>0</v>
      </c>
      <c r="TEB3">
        <f>Database!TEU5</f>
        <v>0</v>
      </c>
      <c r="TEC3">
        <f>Database!TEV5</f>
        <v>0</v>
      </c>
      <c r="TED3">
        <f>Database!TEW5</f>
        <v>0</v>
      </c>
      <c r="TEE3">
        <f>Database!TEX5</f>
        <v>0</v>
      </c>
      <c r="TEF3">
        <f>Database!TEY5</f>
        <v>0</v>
      </c>
      <c r="TEG3">
        <f>Database!TEZ5</f>
        <v>0</v>
      </c>
      <c r="TEH3">
        <f>Database!TFA5</f>
        <v>0</v>
      </c>
      <c r="TEI3">
        <f>Database!TFB5</f>
        <v>0</v>
      </c>
      <c r="TEJ3">
        <f>Database!TFC5</f>
        <v>0</v>
      </c>
      <c r="TEK3">
        <f>Database!TFD5</f>
        <v>0</v>
      </c>
      <c r="TEL3">
        <f>Database!TFE5</f>
        <v>0</v>
      </c>
      <c r="TEM3">
        <f>Database!TFF5</f>
        <v>0</v>
      </c>
      <c r="TEN3">
        <f>Database!TFG5</f>
        <v>0</v>
      </c>
      <c r="TEO3">
        <f>Database!TFH5</f>
        <v>0</v>
      </c>
      <c r="TEP3">
        <f>Database!TFI5</f>
        <v>0</v>
      </c>
      <c r="TEQ3">
        <f>Database!TFJ5</f>
        <v>0</v>
      </c>
      <c r="TER3">
        <f>Database!TFK5</f>
        <v>0</v>
      </c>
      <c r="TES3">
        <f>Database!TFL5</f>
        <v>0</v>
      </c>
      <c r="TET3">
        <f>Database!TFM5</f>
        <v>0</v>
      </c>
      <c r="TEU3">
        <f>Database!TFN5</f>
        <v>0</v>
      </c>
      <c r="TEV3">
        <f>Database!TFO5</f>
        <v>0</v>
      </c>
      <c r="TEW3">
        <f>Database!TFP5</f>
        <v>0</v>
      </c>
      <c r="TEX3">
        <f>Database!TFQ5</f>
        <v>0</v>
      </c>
      <c r="TEY3">
        <f>Database!TFR5</f>
        <v>0</v>
      </c>
      <c r="TEZ3">
        <f>Database!TFS5</f>
        <v>0</v>
      </c>
      <c r="TFA3">
        <f>Database!TFT5</f>
        <v>0</v>
      </c>
      <c r="TFB3">
        <f>Database!TFU5</f>
        <v>0</v>
      </c>
      <c r="TFC3">
        <f>Database!TFV5</f>
        <v>0</v>
      </c>
      <c r="TFD3">
        <f>Database!TFW5</f>
        <v>0</v>
      </c>
      <c r="TFE3">
        <f>Database!TFX5</f>
        <v>0</v>
      </c>
      <c r="TFF3">
        <f>Database!TFY5</f>
        <v>0</v>
      </c>
      <c r="TFG3">
        <f>Database!TFZ5</f>
        <v>0</v>
      </c>
      <c r="TFH3">
        <f>Database!TGA5</f>
        <v>0</v>
      </c>
      <c r="TFI3">
        <f>Database!TGB5</f>
        <v>0</v>
      </c>
      <c r="TFJ3">
        <f>Database!TGC5</f>
        <v>0</v>
      </c>
      <c r="TFK3">
        <f>Database!TGD5</f>
        <v>0</v>
      </c>
      <c r="TFL3">
        <f>Database!TGE5</f>
        <v>0</v>
      </c>
      <c r="TFM3">
        <f>Database!TGF5</f>
        <v>0</v>
      </c>
      <c r="TFN3">
        <f>Database!TGG5</f>
        <v>0</v>
      </c>
      <c r="TFO3">
        <f>Database!TGH5</f>
        <v>0</v>
      </c>
      <c r="TFP3">
        <f>Database!TGI5</f>
        <v>0</v>
      </c>
      <c r="TFQ3">
        <f>Database!TGJ5</f>
        <v>0</v>
      </c>
      <c r="TFR3">
        <f>Database!TGK5</f>
        <v>0</v>
      </c>
      <c r="TFS3">
        <f>Database!TGL5</f>
        <v>0</v>
      </c>
      <c r="TFT3">
        <f>Database!TGM5</f>
        <v>0</v>
      </c>
      <c r="TFU3">
        <f>Database!TGN5</f>
        <v>0</v>
      </c>
      <c r="TFV3">
        <f>Database!TGO5</f>
        <v>0</v>
      </c>
      <c r="TFW3">
        <f>Database!TGP5</f>
        <v>0</v>
      </c>
      <c r="TFX3">
        <f>Database!TGQ5</f>
        <v>0</v>
      </c>
      <c r="TFY3">
        <f>Database!TGR5</f>
        <v>0</v>
      </c>
      <c r="TFZ3">
        <f>Database!TGS5</f>
        <v>0</v>
      </c>
      <c r="TGA3">
        <f>Database!TGT5</f>
        <v>0</v>
      </c>
      <c r="TGB3">
        <f>Database!TGU5</f>
        <v>0</v>
      </c>
      <c r="TGC3">
        <f>Database!TGV5</f>
        <v>0</v>
      </c>
      <c r="TGD3">
        <f>Database!TGW5</f>
        <v>0</v>
      </c>
      <c r="TGE3">
        <f>Database!TGX5</f>
        <v>0</v>
      </c>
      <c r="TGF3">
        <f>Database!TGY5</f>
        <v>0</v>
      </c>
      <c r="TGG3">
        <f>Database!TGZ5</f>
        <v>0</v>
      </c>
      <c r="TGH3">
        <f>Database!THA5</f>
        <v>0</v>
      </c>
      <c r="TGI3">
        <f>Database!THB5</f>
        <v>0</v>
      </c>
      <c r="TGJ3">
        <f>Database!THC5</f>
        <v>0</v>
      </c>
      <c r="TGK3">
        <f>Database!THD5</f>
        <v>0</v>
      </c>
      <c r="TGL3">
        <f>Database!THE5</f>
        <v>0</v>
      </c>
      <c r="TGM3">
        <f>Database!THF5</f>
        <v>0</v>
      </c>
      <c r="TGN3">
        <f>Database!THG5</f>
        <v>0</v>
      </c>
      <c r="TGO3">
        <f>Database!THH5</f>
        <v>0</v>
      </c>
      <c r="TGP3">
        <f>Database!THI5</f>
        <v>0</v>
      </c>
      <c r="TGQ3">
        <f>Database!THJ5</f>
        <v>0</v>
      </c>
      <c r="TGR3">
        <f>Database!THK5</f>
        <v>0</v>
      </c>
      <c r="TGS3">
        <f>Database!THL5</f>
        <v>0</v>
      </c>
      <c r="TGT3">
        <f>Database!THM5</f>
        <v>0</v>
      </c>
      <c r="TGU3">
        <f>Database!THN5</f>
        <v>0</v>
      </c>
      <c r="TGV3">
        <f>Database!THO5</f>
        <v>0</v>
      </c>
      <c r="TGW3">
        <f>Database!THP5</f>
        <v>0</v>
      </c>
      <c r="TGX3">
        <f>Database!THQ5</f>
        <v>0</v>
      </c>
      <c r="TGY3">
        <f>Database!THR5</f>
        <v>0</v>
      </c>
      <c r="TGZ3">
        <f>Database!THS5</f>
        <v>0</v>
      </c>
      <c r="THA3">
        <f>Database!THT5</f>
        <v>0</v>
      </c>
      <c r="THB3">
        <f>Database!THU5</f>
        <v>0</v>
      </c>
      <c r="THC3">
        <f>Database!THV5</f>
        <v>0</v>
      </c>
      <c r="THD3">
        <f>Database!THW5</f>
        <v>0</v>
      </c>
      <c r="THE3">
        <f>Database!THX5</f>
        <v>0</v>
      </c>
      <c r="THF3">
        <f>Database!THY5</f>
        <v>0</v>
      </c>
      <c r="THG3">
        <f>Database!THZ5</f>
        <v>0</v>
      </c>
      <c r="THH3">
        <f>Database!TIA5</f>
        <v>0</v>
      </c>
      <c r="THI3">
        <f>Database!TIB5</f>
        <v>0</v>
      </c>
      <c r="THJ3">
        <f>Database!TIC5</f>
        <v>0</v>
      </c>
      <c r="THK3">
        <f>Database!TID5</f>
        <v>0</v>
      </c>
      <c r="THL3">
        <f>Database!TIE5</f>
        <v>0</v>
      </c>
      <c r="THM3">
        <f>Database!TIF5</f>
        <v>0</v>
      </c>
      <c r="THN3">
        <f>Database!TIG5</f>
        <v>0</v>
      </c>
      <c r="THO3">
        <f>Database!TIH5</f>
        <v>0</v>
      </c>
      <c r="THP3">
        <f>Database!TII5</f>
        <v>0</v>
      </c>
      <c r="THQ3">
        <f>Database!TIJ5</f>
        <v>0</v>
      </c>
      <c r="THR3">
        <f>Database!TIK5</f>
        <v>0</v>
      </c>
      <c r="THS3">
        <f>Database!TIL5</f>
        <v>0</v>
      </c>
      <c r="THT3">
        <f>Database!TIM5</f>
        <v>0</v>
      </c>
      <c r="THU3">
        <f>Database!TIN5</f>
        <v>0</v>
      </c>
      <c r="THV3">
        <f>Database!TIO5</f>
        <v>0</v>
      </c>
      <c r="THW3">
        <f>Database!TIP5</f>
        <v>0</v>
      </c>
      <c r="THX3">
        <f>Database!TIQ5</f>
        <v>0</v>
      </c>
      <c r="THY3">
        <f>Database!TIR5</f>
        <v>0</v>
      </c>
      <c r="THZ3">
        <f>Database!TIS5</f>
        <v>0</v>
      </c>
      <c r="TIA3">
        <f>Database!TIT5</f>
        <v>0</v>
      </c>
      <c r="TIB3">
        <f>Database!TIU5</f>
        <v>0</v>
      </c>
      <c r="TIC3">
        <f>Database!TIV5</f>
        <v>0</v>
      </c>
      <c r="TID3">
        <f>Database!TIW5</f>
        <v>0</v>
      </c>
      <c r="TIE3">
        <f>Database!TIX5</f>
        <v>0</v>
      </c>
      <c r="TIF3">
        <f>Database!TIY5</f>
        <v>0</v>
      </c>
      <c r="TIG3">
        <f>Database!TIZ5</f>
        <v>0</v>
      </c>
      <c r="TIH3">
        <f>Database!TJA5</f>
        <v>0</v>
      </c>
      <c r="TII3">
        <f>Database!TJB5</f>
        <v>0</v>
      </c>
      <c r="TIJ3">
        <f>Database!TJC5</f>
        <v>0</v>
      </c>
      <c r="TIK3">
        <f>Database!TJD5</f>
        <v>0</v>
      </c>
      <c r="TIL3">
        <f>Database!TJE5</f>
        <v>0</v>
      </c>
      <c r="TIM3">
        <f>Database!TJF5</f>
        <v>0</v>
      </c>
      <c r="TIN3">
        <f>Database!TJG5</f>
        <v>0</v>
      </c>
      <c r="TIO3">
        <f>Database!TJH5</f>
        <v>0</v>
      </c>
      <c r="TIP3">
        <f>Database!TJI5</f>
        <v>0</v>
      </c>
      <c r="TIQ3">
        <f>Database!TJJ5</f>
        <v>0</v>
      </c>
      <c r="TIR3">
        <f>Database!TJK5</f>
        <v>0</v>
      </c>
      <c r="TIS3">
        <f>Database!TJL5</f>
        <v>0</v>
      </c>
      <c r="TIT3">
        <f>Database!TJM5</f>
        <v>0</v>
      </c>
      <c r="TIU3">
        <f>Database!TJN5</f>
        <v>0</v>
      </c>
      <c r="TIV3">
        <f>Database!TJO5</f>
        <v>0</v>
      </c>
      <c r="TIW3">
        <f>Database!TJP5</f>
        <v>0</v>
      </c>
      <c r="TIX3">
        <f>Database!TJQ5</f>
        <v>0</v>
      </c>
      <c r="TIY3">
        <f>Database!TJR5</f>
        <v>0</v>
      </c>
      <c r="TIZ3">
        <f>Database!TJS5</f>
        <v>0</v>
      </c>
      <c r="TJA3">
        <f>Database!TJT5</f>
        <v>0</v>
      </c>
      <c r="TJB3">
        <f>Database!TJU5</f>
        <v>0</v>
      </c>
      <c r="TJC3">
        <f>Database!TJV5</f>
        <v>0</v>
      </c>
      <c r="TJD3">
        <f>Database!TJW5</f>
        <v>0</v>
      </c>
      <c r="TJE3">
        <f>Database!TJX5</f>
        <v>0</v>
      </c>
      <c r="TJF3">
        <f>Database!TJY5</f>
        <v>0</v>
      </c>
      <c r="TJG3">
        <f>Database!TJZ5</f>
        <v>0</v>
      </c>
      <c r="TJH3">
        <f>Database!TKA5</f>
        <v>0</v>
      </c>
      <c r="TJI3">
        <f>Database!TKB5</f>
        <v>0</v>
      </c>
      <c r="TJJ3">
        <f>Database!TKC5</f>
        <v>0</v>
      </c>
      <c r="TJK3">
        <f>Database!TKD5</f>
        <v>0</v>
      </c>
      <c r="TJL3">
        <f>Database!TKE5</f>
        <v>0</v>
      </c>
      <c r="TJM3">
        <f>Database!TKF5</f>
        <v>0</v>
      </c>
      <c r="TJN3">
        <f>Database!TKG5</f>
        <v>0</v>
      </c>
      <c r="TJO3">
        <f>Database!TKH5</f>
        <v>0</v>
      </c>
      <c r="TJP3">
        <f>Database!TKI5</f>
        <v>0</v>
      </c>
      <c r="TJQ3">
        <f>Database!TKJ5</f>
        <v>0</v>
      </c>
      <c r="TJR3">
        <f>Database!TKK5</f>
        <v>0</v>
      </c>
      <c r="TJS3">
        <f>Database!TKL5</f>
        <v>0</v>
      </c>
      <c r="TJT3">
        <f>Database!TKM5</f>
        <v>0</v>
      </c>
      <c r="TJU3">
        <f>Database!TKN5</f>
        <v>0</v>
      </c>
      <c r="TJV3">
        <f>Database!TKO5</f>
        <v>0</v>
      </c>
      <c r="TJW3">
        <f>Database!TKP5</f>
        <v>0</v>
      </c>
      <c r="TJX3">
        <f>Database!TKQ5</f>
        <v>0</v>
      </c>
      <c r="TJY3">
        <f>Database!TKR5</f>
        <v>0</v>
      </c>
      <c r="TJZ3">
        <f>Database!TKS5</f>
        <v>0</v>
      </c>
      <c r="TKA3">
        <f>Database!TKT5</f>
        <v>0</v>
      </c>
      <c r="TKB3">
        <f>Database!TKU5</f>
        <v>0</v>
      </c>
      <c r="TKC3">
        <f>Database!TKV5</f>
        <v>0</v>
      </c>
      <c r="TKD3">
        <f>Database!TKW5</f>
        <v>0</v>
      </c>
      <c r="TKE3">
        <f>Database!TKX5</f>
        <v>0</v>
      </c>
      <c r="TKF3">
        <f>Database!TKY5</f>
        <v>0</v>
      </c>
      <c r="TKG3">
        <f>Database!TKZ5</f>
        <v>0</v>
      </c>
      <c r="TKH3">
        <f>Database!TLA5</f>
        <v>0</v>
      </c>
      <c r="TKI3">
        <f>Database!TLB5</f>
        <v>0</v>
      </c>
      <c r="TKJ3">
        <f>Database!TLC5</f>
        <v>0</v>
      </c>
      <c r="TKK3">
        <f>Database!TLD5</f>
        <v>0</v>
      </c>
      <c r="TKL3">
        <f>Database!TLE5</f>
        <v>0</v>
      </c>
      <c r="TKM3">
        <f>Database!TLF5</f>
        <v>0</v>
      </c>
      <c r="TKN3">
        <f>Database!TLG5</f>
        <v>0</v>
      </c>
      <c r="TKO3">
        <f>Database!TLH5</f>
        <v>0</v>
      </c>
      <c r="TKP3">
        <f>Database!TLI5</f>
        <v>0</v>
      </c>
      <c r="TKQ3">
        <f>Database!TLJ5</f>
        <v>0</v>
      </c>
      <c r="TKR3">
        <f>Database!TLK5</f>
        <v>0</v>
      </c>
      <c r="TKS3">
        <f>Database!TLL5</f>
        <v>0</v>
      </c>
      <c r="TKT3">
        <f>Database!TLM5</f>
        <v>0</v>
      </c>
      <c r="TKU3">
        <f>Database!TLN5</f>
        <v>0</v>
      </c>
      <c r="TKV3">
        <f>Database!TLO5</f>
        <v>0</v>
      </c>
      <c r="TKW3">
        <f>Database!TLP5</f>
        <v>0</v>
      </c>
      <c r="TKX3">
        <f>Database!TLQ5</f>
        <v>0</v>
      </c>
      <c r="TKY3">
        <f>Database!TLR5</f>
        <v>0</v>
      </c>
      <c r="TKZ3">
        <f>Database!TLS5</f>
        <v>0</v>
      </c>
      <c r="TLA3">
        <f>Database!TLT5</f>
        <v>0</v>
      </c>
      <c r="TLB3">
        <f>Database!TLU5</f>
        <v>0</v>
      </c>
      <c r="TLC3">
        <f>Database!TLV5</f>
        <v>0</v>
      </c>
      <c r="TLD3">
        <f>Database!TLW5</f>
        <v>0</v>
      </c>
      <c r="TLE3">
        <f>Database!TLX5</f>
        <v>0</v>
      </c>
      <c r="TLF3">
        <f>Database!TLY5</f>
        <v>0</v>
      </c>
      <c r="TLG3">
        <f>Database!TLZ5</f>
        <v>0</v>
      </c>
      <c r="TLH3">
        <f>Database!TMA5</f>
        <v>0</v>
      </c>
      <c r="TLI3">
        <f>Database!TMB5</f>
        <v>0</v>
      </c>
      <c r="TLJ3">
        <f>Database!TMC5</f>
        <v>0</v>
      </c>
      <c r="TLK3">
        <f>Database!TMD5</f>
        <v>0</v>
      </c>
      <c r="TLL3">
        <f>Database!TME5</f>
        <v>0</v>
      </c>
      <c r="TLM3">
        <f>Database!TMF5</f>
        <v>0</v>
      </c>
      <c r="TLN3">
        <f>Database!TMG5</f>
        <v>0</v>
      </c>
      <c r="TLO3">
        <f>Database!TMH5</f>
        <v>0</v>
      </c>
      <c r="TLP3">
        <f>Database!TMI5</f>
        <v>0</v>
      </c>
      <c r="TLQ3">
        <f>Database!TMJ5</f>
        <v>0</v>
      </c>
      <c r="TLR3">
        <f>Database!TMK5</f>
        <v>0</v>
      </c>
      <c r="TLS3">
        <f>Database!TML5</f>
        <v>0</v>
      </c>
      <c r="TLT3">
        <f>Database!TMM5</f>
        <v>0</v>
      </c>
      <c r="TLU3">
        <f>Database!TMN5</f>
        <v>0</v>
      </c>
      <c r="TLV3">
        <f>Database!TMO5</f>
        <v>0</v>
      </c>
      <c r="TLW3">
        <f>Database!TMP5</f>
        <v>0</v>
      </c>
      <c r="TLX3">
        <f>Database!TMQ5</f>
        <v>0</v>
      </c>
      <c r="TLY3">
        <f>Database!TMR5</f>
        <v>0</v>
      </c>
      <c r="TLZ3">
        <f>Database!TMS5</f>
        <v>0</v>
      </c>
      <c r="TMA3">
        <f>Database!TMT5</f>
        <v>0</v>
      </c>
      <c r="TMB3">
        <f>Database!TMU5</f>
        <v>0</v>
      </c>
      <c r="TMC3">
        <f>Database!TMV5</f>
        <v>0</v>
      </c>
      <c r="TMD3">
        <f>Database!TMW5</f>
        <v>0</v>
      </c>
      <c r="TME3">
        <f>Database!TMX5</f>
        <v>0</v>
      </c>
      <c r="TMF3">
        <f>Database!TMY5</f>
        <v>0</v>
      </c>
      <c r="TMG3">
        <f>Database!TMZ5</f>
        <v>0</v>
      </c>
      <c r="TMH3">
        <f>Database!TNA5</f>
        <v>0</v>
      </c>
      <c r="TMI3">
        <f>Database!TNB5</f>
        <v>0</v>
      </c>
      <c r="TMJ3">
        <f>Database!TNC5</f>
        <v>0</v>
      </c>
      <c r="TMK3">
        <f>Database!TND5</f>
        <v>0</v>
      </c>
      <c r="TML3">
        <f>Database!TNE5</f>
        <v>0</v>
      </c>
      <c r="TMM3">
        <f>Database!TNF5</f>
        <v>0</v>
      </c>
      <c r="TMN3">
        <f>Database!TNG5</f>
        <v>0</v>
      </c>
      <c r="TMO3">
        <f>Database!TNH5</f>
        <v>0</v>
      </c>
      <c r="TMP3">
        <f>Database!TNI5</f>
        <v>0</v>
      </c>
      <c r="TMQ3">
        <f>Database!TNJ5</f>
        <v>0</v>
      </c>
      <c r="TMR3">
        <f>Database!TNK5</f>
        <v>0</v>
      </c>
      <c r="TMS3">
        <f>Database!TNL5</f>
        <v>0</v>
      </c>
      <c r="TMT3">
        <f>Database!TNM5</f>
        <v>0</v>
      </c>
      <c r="TMU3">
        <f>Database!TNN5</f>
        <v>0</v>
      </c>
      <c r="TMV3">
        <f>Database!TNO5</f>
        <v>0</v>
      </c>
      <c r="TMW3">
        <f>Database!TNP5</f>
        <v>0</v>
      </c>
      <c r="TMX3">
        <f>Database!TNQ5</f>
        <v>0</v>
      </c>
      <c r="TMY3">
        <f>Database!TNR5</f>
        <v>0</v>
      </c>
      <c r="TMZ3">
        <f>Database!TNS5</f>
        <v>0</v>
      </c>
      <c r="TNA3">
        <f>Database!TNT5</f>
        <v>0</v>
      </c>
      <c r="TNB3">
        <f>Database!TNU5</f>
        <v>0</v>
      </c>
      <c r="TNC3">
        <f>Database!TNV5</f>
        <v>0</v>
      </c>
      <c r="TND3">
        <f>Database!TNW5</f>
        <v>0</v>
      </c>
      <c r="TNE3">
        <f>Database!TNX5</f>
        <v>0</v>
      </c>
      <c r="TNF3">
        <f>Database!TNY5</f>
        <v>0</v>
      </c>
      <c r="TNG3">
        <f>Database!TNZ5</f>
        <v>0</v>
      </c>
      <c r="TNH3">
        <f>Database!TOA5</f>
        <v>0</v>
      </c>
      <c r="TNI3">
        <f>Database!TOB5</f>
        <v>0</v>
      </c>
      <c r="TNJ3">
        <f>Database!TOC5</f>
        <v>0</v>
      </c>
      <c r="TNK3">
        <f>Database!TOD5</f>
        <v>0</v>
      </c>
      <c r="TNL3">
        <f>Database!TOE5</f>
        <v>0</v>
      </c>
      <c r="TNM3">
        <f>Database!TOF5</f>
        <v>0</v>
      </c>
      <c r="TNN3">
        <f>Database!TOG5</f>
        <v>0</v>
      </c>
      <c r="TNO3">
        <f>Database!TOH5</f>
        <v>0</v>
      </c>
      <c r="TNP3">
        <f>Database!TOI5</f>
        <v>0</v>
      </c>
      <c r="TNQ3">
        <f>Database!TOJ5</f>
        <v>0</v>
      </c>
      <c r="TNR3">
        <f>Database!TOK5</f>
        <v>0</v>
      </c>
      <c r="TNS3">
        <f>Database!TOL5</f>
        <v>0</v>
      </c>
      <c r="TNT3">
        <f>Database!TOM5</f>
        <v>0</v>
      </c>
      <c r="TNU3">
        <f>Database!TON5</f>
        <v>0</v>
      </c>
      <c r="TNV3">
        <f>Database!TOO5</f>
        <v>0</v>
      </c>
      <c r="TNW3">
        <f>Database!TOP5</f>
        <v>0</v>
      </c>
      <c r="TNX3">
        <f>Database!TOQ5</f>
        <v>0</v>
      </c>
      <c r="TNY3">
        <f>Database!TOR5</f>
        <v>0</v>
      </c>
      <c r="TNZ3">
        <f>Database!TOS5</f>
        <v>0</v>
      </c>
      <c r="TOA3">
        <f>Database!TOT5</f>
        <v>0</v>
      </c>
      <c r="TOB3">
        <f>Database!TOU5</f>
        <v>0</v>
      </c>
      <c r="TOC3">
        <f>Database!TOV5</f>
        <v>0</v>
      </c>
      <c r="TOD3">
        <f>Database!TOW5</f>
        <v>0</v>
      </c>
      <c r="TOE3">
        <f>Database!TOX5</f>
        <v>0</v>
      </c>
      <c r="TOF3">
        <f>Database!TOY5</f>
        <v>0</v>
      </c>
      <c r="TOG3">
        <f>Database!TOZ5</f>
        <v>0</v>
      </c>
      <c r="TOH3">
        <f>Database!TPA5</f>
        <v>0</v>
      </c>
      <c r="TOI3">
        <f>Database!TPB5</f>
        <v>0</v>
      </c>
      <c r="TOJ3">
        <f>Database!TPC5</f>
        <v>0</v>
      </c>
      <c r="TOK3">
        <f>Database!TPD5</f>
        <v>0</v>
      </c>
      <c r="TOL3">
        <f>Database!TPE5</f>
        <v>0</v>
      </c>
      <c r="TOM3">
        <f>Database!TPF5</f>
        <v>0</v>
      </c>
      <c r="TON3">
        <f>Database!TPG5</f>
        <v>0</v>
      </c>
      <c r="TOO3">
        <f>Database!TPH5</f>
        <v>0</v>
      </c>
      <c r="TOP3">
        <f>Database!TPI5</f>
        <v>0</v>
      </c>
      <c r="TOQ3">
        <f>Database!TPJ5</f>
        <v>0</v>
      </c>
      <c r="TOR3">
        <f>Database!TPK5</f>
        <v>0</v>
      </c>
      <c r="TOS3">
        <f>Database!TPL5</f>
        <v>0</v>
      </c>
      <c r="TOT3">
        <f>Database!TPM5</f>
        <v>0</v>
      </c>
      <c r="TOU3">
        <f>Database!TPN5</f>
        <v>0</v>
      </c>
      <c r="TOV3">
        <f>Database!TPO5</f>
        <v>0</v>
      </c>
      <c r="TOW3">
        <f>Database!TPP5</f>
        <v>0</v>
      </c>
      <c r="TOX3">
        <f>Database!TPQ5</f>
        <v>0</v>
      </c>
      <c r="TOY3">
        <f>Database!TPR5</f>
        <v>0</v>
      </c>
      <c r="TOZ3">
        <f>Database!TPS5</f>
        <v>0</v>
      </c>
      <c r="TPA3">
        <f>Database!TPT5</f>
        <v>0</v>
      </c>
      <c r="TPB3">
        <f>Database!TPU5</f>
        <v>0</v>
      </c>
      <c r="TPC3">
        <f>Database!TPV5</f>
        <v>0</v>
      </c>
      <c r="TPD3">
        <f>Database!TPW5</f>
        <v>0</v>
      </c>
      <c r="TPE3">
        <f>Database!TPX5</f>
        <v>0</v>
      </c>
      <c r="TPF3">
        <f>Database!TPY5</f>
        <v>0</v>
      </c>
      <c r="TPG3">
        <f>Database!TPZ5</f>
        <v>0</v>
      </c>
      <c r="TPH3">
        <f>Database!TQA5</f>
        <v>0</v>
      </c>
      <c r="TPI3">
        <f>Database!TQB5</f>
        <v>0</v>
      </c>
      <c r="TPJ3">
        <f>Database!TQC5</f>
        <v>0</v>
      </c>
      <c r="TPK3">
        <f>Database!TQD5</f>
        <v>0</v>
      </c>
      <c r="TPL3">
        <f>Database!TQE5</f>
        <v>0</v>
      </c>
      <c r="TPM3">
        <f>Database!TQF5</f>
        <v>0</v>
      </c>
      <c r="TPN3">
        <f>Database!TQG5</f>
        <v>0</v>
      </c>
      <c r="TPO3">
        <f>Database!TQH5</f>
        <v>0</v>
      </c>
      <c r="TPP3">
        <f>Database!TQI5</f>
        <v>0</v>
      </c>
      <c r="TPQ3">
        <f>Database!TQJ5</f>
        <v>0</v>
      </c>
      <c r="TPR3">
        <f>Database!TQK5</f>
        <v>0</v>
      </c>
      <c r="TPS3">
        <f>Database!TQL5</f>
        <v>0</v>
      </c>
      <c r="TPT3">
        <f>Database!TQM5</f>
        <v>0</v>
      </c>
      <c r="TPU3">
        <f>Database!TQN5</f>
        <v>0</v>
      </c>
      <c r="TPV3">
        <f>Database!TQO5</f>
        <v>0</v>
      </c>
      <c r="TPW3">
        <f>Database!TQP5</f>
        <v>0</v>
      </c>
      <c r="TPX3">
        <f>Database!TQQ5</f>
        <v>0</v>
      </c>
      <c r="TPY3">
        <f>Database!TQR5</f>
        <v>0</v>
      </c>
      <c r="TPZ3">
        <f>Database!TQS5</f>
        <v>0</v>
      </c>
      <c r="TQA3">
        <f>Database!TQT5</f>
        <v>0</v>
      </c>
      <c r="TQB3">
        <f>Database!TQU5</f>
        <v>0</v>
      </c>
      <c r="TQC3">
        <f>Database!TQV5</f>
        <v>0</v>
      </c>
      <c r="TQD3">
        <f>Database!TQW5</f>
        <v>0</v>
      </c>
      <c r="TQE3">
        <f>Database!TQX5</f>
        <v>0</v>
      </c>
      <c r="TQF3">
        <f>Database!TQY5</f>
        <v>0</v>
      </c>
      <c r="TQG3">
        <f>Database!TQZ5</f>
        <v>0</v>
      </c>
      <c r="TQH3">
        <f>Database!TRA5</f>
        <v>0</v>
      </c>
      <c r="TQI3">
        <f>Database!TRB5</f>
        <v>0</v>
      </c>
      <c r="TQJ3">
        <f>Database!TRC5</f>
        <v>0</v>
      </c>
      <c r="TQK3">
        <f>Database!TRD5</f>
        <v>0</v>
      </c>
      <c r="TQL3">
        <f>Database!TRE5</f>
        <v>0</v>
      </c>
      <c r="TQM3">
        <f>Database!TRF5</f>
        <v>0</v>
      </c>
      <c r="TQN3">
        <f>Database!TRG5</f>
        <v>0</v>
      </c>
      <c r="TQO3">
        <f>Database!TRH5</f>
        <v>0</v>
      </c>
      <c r="TQP3">
        <f>Database!TRI5</f>
        <v>0</v>
      </c>
      <c r="TQQ3">
        <f>Database!TRJ5</f>
        <v>0</v>
      </c>
      <c r="TQR3">
        <f>Database!TRK5</f>
        <v>0</v>
      </c>
      <c r="TQS3">
        <f>Database!TRL5</f>
        <v>0</v>
      </c>
      <c r="TQT3">
        <f>Database!TRM5</f>
        <v>0</v>
      </c>
      <c r="TQU3">
        <f>Database!TRN5</f>
        <v>0</v>
      </c>
      <c r="TQV3">
        <f>Database!TRO5</f>
        <v>0</v>
      </c>
      <c r="TQW3">
        <f>Database!TRP5</f>
        <v>0</v>
      </c>
      <c r="TQX3">
        <f>Database!TRQ5</f>
        <v>0</v>
      </c>
      <c r="TQY3">
        <f>Database!TRR5</f>
        <v>0</v>
      </c>
      <c r="TQZ3">
        <f>Database!TRS5</f>
        <v>0</v>
      </c>
      <c r="TRA3">
        <f>Database!TRT5</f>
        <v>0</v>
      </c>
      <c r="TRB3">
        <f>Database!TRU5</f>
        <v>0</v>
      </c>
      <c r="TRC3">
        <f>Database!TRV5</f>
        <v>0</v>
      </c>
      <c r="TRD3">
        <f>Database!TRW5</f>
        <v>0</v>
      </c>
      <c r="TRE3">
        <f>Database!TRX5</f>
        <v>0</v>
      </c>
      <c r="TRF3">
        <f>Database!TRY5</f>
        <v>0</v>
      </c>
      <c r="TRG3">
        <f>Database!TRZ5</f>
        <v>0</v>
      </c>
      <c r="TRH3">
        <f>Database!TSA5</f>
        <v>0</v>
      </c>
      <c r="TRI3">
        <f>Database!TSB5</f>
        <v>0</v>
      </c>
      <c r="TRJ3">
        <f>Database!TSC5</f>
        <v>0</v>
      </c>
      <c r="TRK3">
        <f>Database!TSD5</f>
        <v>0</v>
      </c>
      <c r="TRL3">
        <f>Database!TSE5</f>
        <v>0</v>
      </c>
      <c r="TRM3">
        <f>Database!TSF5</f>
        <v>0</v>
      </c>
      <c r="TRN3">
        <f>Database!TSG5</f>
        <v>0</v>
      </c>
      <c r="TRO3">
        <f>Database!TSH5</f>
        <v>0</v>
      </c>
      <c r="TRP3">
        <f>Database!TSI5</f>
        <v>0</v>
      </c>
      <c r="TRQ3">
        <f>Database!TSJ5</f>
        <v>0</v>
      </c>
      <c r="TRR3">
        <f>Database!TSK5</f>
        <v>0</v>
      </c>
      <c r="TRS3">
        <f>Database!TSL5</f>
        <v>0</v>
      </c>
      <c r="TRT3">
        <f>Database!TSM5</f>
        <v>0</v>
      </c>
      <c r="TRU3">
        <f>Database!TSN5</f>
        <v>0</v>
      </c>
      <c r="TRV3">
        <f>Database!TSO5</f>
        <v>0</v>
      </c>
      <c r="TRW3">
        <f>Database!TSP5</f>
        <v>0</v>
      </c>
      <c r="TRX3">
        <f>Database!TSQ5</f>
        <v>0</v>
      </c>
      <c r="TRY3">
        <f>Database!TSR5</f>
        <v>0</v>
      </c>
      <c r="TRZ3">
        <f>Database!TSS5</f>
        <v>0</v>
      </c>
      <c r="TSA3">
        <f>Database!TST5</f>
        <v>0</v>
      </c>
      <c r="TSB3">
        <f>Database!TSU5</f>
        <v>0</v>
      </c>
      <c r="TSC3">
        <f>Database!TSV5</f>
        <v>0</v>
      </c>
      <c r="TSD3">
        <f>Database!TSW5</f>
        <v>0</v>
      </c>
      <c r="TSE3">
        <f>Database!TSX5</f>
        <v>0</v>
      </c>
      <c r="TSF3">
        <f>Database!TSY5</f>
        <v>0</v>
      </c>
      <c r="TSG3">
        <f>Database!TSZ5</f>
        <v>0</v>
      </c>
      <c r="TSH3">
        <f>Database!TTA5</f>
        <v>0</v>
      </c>
      <c r="TSI3">
        <f>Database!TTB5</f>
        <v>0</v>
      </c>
      <c r="TSJ3">
        <f>Database!TTC5</f>
        <v>0</v>
      </c>
      <c r="TSK3">
        <f>Database!TTD5</f>
        <v>0</v>
      </c>
      <c r="TSL3">
        <f>Database!TTE5</f>
        <v>0</v>
      </c>
      <c r="TSM3">
        <f>Database!TTF5</f>
        <v>0</v>
      </c>
      <c r="TSN3">
        <f>Database!TTG5</f>
        <v>0</v>
      </c>
      <c r="TSO3">
        <f>Database!TTH5</f>
        <v>0</v>
      </c>
      <c r="TSP3">
        <f>Database!TTI5</f>
        <v>0</v>
      </c>
      <c r="TSQ3">
        <f>Database!TTJ5</f>
        <v>0</v>
      </c>
      <c r="TSR3">
        <f>Database!TTK5</f>
        <v>0</v>
      </c>
      <c r="TSS3">
        <f>Database!TTL5</f>
        <v>0</v>
      </c>
      <c r="TST3">
        <f>Database!TTM5</f>
        <v>0</v>
      </c>
      <c r="TSU3">
        <f>Database!TTN5</f>
        <v>0</v>
      </c>
      <c r="TSV3">
        <f>Database!TTO5</f>
        <v>0</v>
      </c>
      <c r="TSW3">
        <f>Database!TTP5</f>
        <v>0</v>
      </c>
      <c r="TSX3">
        <f>Database!TTQ5</f>
        <v>0</v>
      </c>
      <c r="TSY3">
        <f>Database!TTR5</f>
        <v>0</v>
      </c>
      <c r="TSZ3">
        <f>Database!TTS5</f>
        <v>0</v>
      </c>
      <c r="TTA3">
        <f>Database!TTT5</f>
        <v>0</v>
      </c>
      <c r="TTB3">
        <f>Database!TTU5</f>
        <v>0</v>
      </c>
      <c r="TTC3">
        <f>Database!TTV5</f>
        <v>0</v>
      </c>
      <c r="TTD3">
        <f>Database!TTW5</f>
        <v>0</v>
      </c>
      <c r="TTE3">
        <f>Database!TTX5</f>
        <v>0</v>
      </c>
      <c r="TTF3">
        <f>Database!TTY5</f>
        <v>0</v>
      </c>
      <c r="TTG3">
        <f>Database!TTZ5</f>
        <v>0</v>
      </c>
      <c r="TTH3">
        <f>Database!TUA5</f>
        <v>0</v>
      </c>
      <c r="TTI3">
        <f>Database!TUB5</f>
        <v>0</v>
      </c>
      <c r="TTJ3">
        <f>Database!TUC5</f>
        <v>0</v>
      </c>
      <c r="TTK3">
        <f>Database!TUD5</f>
        <v>0</v>
      </c>
      <c r="TTL3">
        <f>Database!TUE5</f>
        <v>0</v>
      </c>
      <c r="TTM3">
        <f>Database!TUF5</f>
        <v>0</v>
      </c>
      <c r="TTN3">
        <f>Database!TUG5</f>
        <v>0</v>
      </c>
      <c r="TTO3">
        <f>Database!TUH5</f>
        <v>0</v>
      </c>
      <c r="TTP3">
        <f>Database!TUI5</f>
        <v>0</v>
      </c>
      <c r="TTQ3">
        <f>Database!TUJ5</f>
        <v>0</v>
      </c>
      <c r="TTR3">
        <f>Database!TUK5</f>
        <v>0</v>
      </c>
      <c r="TTS3">
        <f>Database!TUL5</f>
        <v>0</v>
      </c>
      <c r="TTT3">
        <f>Database!TUM5</f>
        <v>0</v>
      </c>
      <c r="TTU3">
        <f>Database!TUN5</f>
        <v>0</v>
      </c>
      <c r="TTV3">
        <f>Database!TUO5</f>
        <v>0</v>
      </c>
      <c r="TTW3">
        <f>Database!TUP5</f>
        <v>0</v>
      </c>
      <c r="TTX3">
        <f>Database!TUQ5</f>
        <v>0</v>
      </c>
      <c r="TTY3">
        <f>Database!TUR5</f>
        <v>0</v>
      </c>
      <c r="TTZ3">
        <f>Database!TUS5</f>
        <v>0</v>
      </c>
      <c r="TUA3">
        <f>Database!TUT5</f>
        <v>0</v>
      </c>
      <c r="TUB3">
        <f>Database!TUU5</f>
        <v>0</v>
      </c>
      <c r="TUC3">
        <f>Database!TUV5</f>
        <v>0</v>
      </c>
      <c r="TUD3">
        <f>Database!TUW5</f>
        <v>0</v>
      </c>
      <c r="TUE3">
        <f>Database!TUX5</f>
        <v>0</v>
      </c>
      <c r="TUF3">
        <f>Database!TUY5</f>
        <v>0</v>
      </c>
      <c r="TUG3">
        <f>Database!TUZ5</f>
        <v>0</v>
      </c>
      <c r="TUH3">
        <f>Database!TVA5</f>
        <v>0</v>
      </c>
      <c r="TUI3">
        <f>Database!TVB5</f>
        <v>0</v>
      </c>
      <c r="TUJ3">
        <f>Database!TVC5</f>
        <v>0</v>
      </c>
      <c r="TUK3">
        <f>Database!TVD5</f>
        <v>0</v>
      </c>
      <c r="TUL3">
        <f>Database!TVE5</f>
        <v>0</v>
      </c>
      <c r="TUM3">
        <f>Database!TVF5</f>
        <v>0</v>
      </c>
      <c r="TUN3">
        <f>Database!TVG5</f>
        <v>0</v>
      </c>
      <c r="TUO3">
        <f>Database!TVH5</f>
        <v>0</v>
      </c>
      <c r="TUP3">
        <f>Database!TVI5</f>
        <v>0</v>
      </c>
      <c r="TUQ3">
        <f>Database!TVJ5</f>
        <v>0</v>
      </c>
      <c r="TUR3">
        <f>Database!TVK5</f>
        <v>0</v>
      </c>
      <c r="TUS3">
        <f>Database!TVL5</f>
        <v>0</v>
      </c>
      <c r="TUT3">
        <f>Database!TVM5</f>
        <v>0</v>
      </c>
      <c r="TUU3">
        <f>Database!TVN5</f>
        <v>0</v>
      </c>
      <c r="TUV3">
        <f>Database!TVO5</f>
        <v>0</v>
      </c>
      <c r="TUW3">
        <f>Database!TVP5</f>
        <v>0</v>
      </c>
      <c r="TUX3">
        <f>Database!TVQ5</f>
        <v>0</v>
      </c>
      <c r="TUY3">
        <f>Database!TVR5</f>
        <v>0</v>
      </c>
      <c r="TUZ3">
        <f>Database!TVS5</f>
        <v>0</v>
      </c>
      <c r="TVA3">
        <f>Database!TVT5</f>
        <v>0</v>
      </c>
      <c r="TVB3">
        <f>Database!TVU5</f>
        <v>0</v>
      </c>
      <c r="TVC3">
        <f>Database!TVV5</f>
        <v>0</v>
      </c>
      <c r="TVD3">
        <f>Database!TVW5</f>
        <v>0</v>
      </c>
      <c r="TVE3">
        <f>Database!TVX5</f>
        <v>0</v>
      </c>
      <c r="TVF3">
        <f>Database!TVY5</f>
        <v>0</v>
      </c>
      <c r="TVG3">
        <f>Database!TVZ5</f>
        <v>0</v>
      </c>
      <c r="TVH3">
        <f>Database!TWA5</f>
        <v>0</v>
      </c>
      <c r="TVI3">
        <f>Database!TWB5</f>
        <v>0</v>
      </c>
      <c r="TVJ3">
        <f>Database!TWC5</f>
        <v>0</v>
      </c>
      <c r="TVK3">
        <f>Database!TWD5</f>
        <v>0</v>
      </c>
      <c r="TVL3">
        <f>Database!TWE5</f>
        <v>0</v>
      </c>
      <c r="TVM3">
        <f>Database!TWF5</f>
        <v>0</v>
      </c>
      <c r="TVN3">
        <f>Database!TWG5</f>
        <v>0</v>
      </c>
      <c r="TVO3">
        <f>Database!TWH5</f>
        <v>0</v>
      </c>
      <c r="TVP3">
        <f>Database!TWI5</f>
        <v>0</v>
      </c>
      <c r="TVQ3">
        <f>Database!TWJ5</f>
        <v>0</v>
      </c>
      <c r="TVR3">
        <f>Database!TWK5</f>
        <v>0</v>
      </c>
      <c r="TVS3">
        <f>Database!TWL5</f>
        <v>0</v>
      </c>
      <c r="TVT3">
        <f>Database!TWM5</f>
        <v>0</v>
      </c>
      <c r="TVU3">
        <f>Database!TWN5</f>
        <v>0</v>
      </c>
      <c r="TVV3">
        <f>Database!TWO5</f>
        <v>0</v>
      </c>
      <c r="TVW3">
        <f>Database!TWP5</f>
        <v>0</v>
      </c>
      <c r="TVX3">
        <f>Database!TWQ5</f>
        <v>0</v>
      </c>
      <c r="TVY3">
        <f>Database!TWR5</f>
        <v>0</v>
      </c>
      <c r="TVZ3">
        <f>Database!TWS5</f>
        <v>0</v>
      </c>
      <c r="TWA3">
        <f>Database!TWT5</f>
        <v>0</v>
      </c>
      <c r="TWB3">
        <f>Database!TWU5</f>
        <v>0</v>
      </c>
      <c r="TWC3">
        <f>Database!TWV5</f>
        <v>0</v>
      </c>
      <c r="TWD3">
        <f>Database!TWW5</f>
        <v>0</v>
      </c>
      <c r="TWE3">
        <f>Database!TWX5</f>
        <v>0</v>
      </c>
      <c r="TWF3">
        <f>Database!TWY5</f>
        <v>0</v>
      </c>
      <c r="TWG3">
        <f>Database!TWZ5</f>
        <v>0</v>
      </c>
      <c r="TWH3">
        <f>Database!TXA5</f>
        <v>0</v>
      </c>
      <c r="TWI3">
        <f>Database!TXB5</f>
        <v>0</v>
      </c>
      <c r="TWJ3">
        <f>Database!TXC5</f>
        <v>0</v>
      </c>
      <c r="TWK3">
        <f>Database!TXD5</f>
        <v>0</v>
      </c>
      <c r="TWL3">
        <f>Database!TXE5</f>
        <v>0</v>
      </c>
      <c r="TWM3">
        <f>Database!TXF5</f>
        <v>0</v>
      </c>
      <c r="TWN3">
        <f>Database!TXG5</f>
        <v>0</v>
      </c>
      <c r="TWO3">
        <f>Database!TXH5</f>
        <v>0</v>
      </c>
      <c r="TWP3">
        <f>Database!TXI5</f>
        <v>0</v>
      </c>
      <c r="TWQ3">
        <f>Database!TXJ5</f>
        <v>0</v>
      </c>
      <c r="TWR3">
        <f>Database!TXK5</f>
        <v>0</v>
      </c>
      <c r="TWS3">
        <f>Database!TXL5</f>
        <v>0</v>
      </c>
      <c r="TWT3">
        <f>Database!TXM5</f>
        <v>0</v>
      </c>
      <c r="TWU3">
        <f>Database!TXN5</f>
        <v>0</v>
      </c>
      <c r="TWV3">
        <f>Database!TXO5</f>
        <v>0</v>
      </c>
      <c r="TWW3">
        <f>Database!TXP5</f>
        <v>0</v>
      </c>
      <c r="TWX3">
        <f>Database!TXQ5</f>
        <v>0</v>
      </c>
      <c r="TWY3">
        <f>Database!TXR5</f>
        <v>0</v>
      </c>
      <c r="TWZ3">
        <f>Database!TXS5</f>
        <v>0</v>
      </c>
      <c r="TXA3">
        <f>Database!TXT5</f>
        <v>0</v>
      </c>
      <c r="TXB3">
        <f>Database!TXU5</f>
        <v>0</v>
      </c>
      <c r="TXC3">
        <f>Database!TXV5</f>
        <v>0</v>
      </c>
      <c r="TXD3">
        <f>Database!TXW5</f>
        <v>0</v>
      </c>
      <c r="TXE3">
        <f>Database!TXX5</f>
        <v>0</v>
      </c>
      <c r="TXF3">
        <f>Database!TXY5</f>
        <v>0</v>
      </c>
      <c r="TXG3">
        <f>Database!TXZ5</f>
        <v>0</v>
      </c>
      <c r="TXH3">
        <f>Database!TYA5</f>
        <v>0</v>
      </c>
      <c r="TXI3">
        <f>Database!TYB5</f>
        <v>0</v>
      </c>
      <c r="TXJ3">
        <f>Database!TYC5</f>
        <v>0</v>
      </c>
      <c r="TXK3">
        <f>Database!TYD5</f>
        <v>0</v>
      </c>
      <c r="TXL3">
        <f>Database!TYE5</f>
        <v>0</v>
      </c>
      <c r="TXM3">
        <f>Database!TYF5</f>
        <v>0</v>
      </c>
      <c r="TXN3">
        <f>Database!TYG5</f>
        <v>0</v>
      </c>
      <c r="TXO3">
        <f>Database!TYH5</f>
        <v>0</v>
      </c>
      <c r="TXP3">
        <f>Database!TYI5</f>
        <v>0</v>
      </c>
      <c r="TXQ3">
        <f>Database!TYJ5</f>
        <v>0</v>
      </c>
      <c r="TXR3">
        <f>Database!TYK5</f>
        <v>0</v>
      </c>
      <c r="TXS3">
        <f>Database!TYL5</f>
        <v>0</v>
      </c>
      <c r="TXT3">
        <f>Database!TYM5</f>
        <v>0</v>
      </c>
      <c r="TXU3">
        <f>Database!TYN5</f>
        <v>0</v>
      </c>
      <c r="TXV3">
        <f>Database!TYO5</f>
        <v>0</v>
      </c>
      <c r="TXW3">
        <f>Database!TYP5</f>
        <v>0</v>
      </c>
      <c r="TXX3">
        <f>Database!TYQ5</f>
        <v>0</v>
      </c>
      <c r="TXY3">
        <f>Database!TYR5</f>
        <v>0</v>
      </c>
      <c r="TXZ3">
        <f>Database!TYS5</f>
        <v>0</v>
      </c>
      <c r="TYA3">
        <f>Database!TYT5</f>
        <v>0</v>
      </c>
      <c r="TYB3">
        <f>Database!TYU5</f>
        <v>0</v>
      </c>
      <c r="TYC3">
        <f>Database!TYV5</f>
        <v>0</v>
      </c>
      <c r="TYD3">
        <f>Database!TYW5</f>
        <v>0</v>
      </c>
      <c r="TYE3">
        <f>Database!TYX5</f>
        <v>0</v>
      </c>
      <c r="TYF3">
        <f>Database!TYY5</f>
        <v>0</v>
      </c>
      <c r="TYG3">
        <f>Database!TYZ5</f>
        <v>0</v>
      </c>
      <c r="TYH3">
        <f>Database!TZA5</f>
        <v>0</v>
      </c>
      <c r="TYI3">
        <f>Database!TZB5</f>
        <v>0</v>
      </c>
      <c r="TYJ3">
        <f>Database!TZC5</f>
        <v>0</v>
      </c>
      <c r="TYK3">
        <f>Database!TZD5</f>
        <v>0</v>
      </c>
      <c r="TYL3">
        <f>Database!TZE5</f>
        <v>0</v>
      </c>
      <c r="TYM3">
        <f>Database!TZF5</f>
        <v>0</v>
      </c>
      <c r="TYN3">
        <f>Database!TZG5</f>
        <v>0</v>
      </c>
      <c r="TYO3">
        <f>Database!TZH5</f>
        <v>0</v>
      </c>
      <c r="TYP3">
        <f>Database!TZI5</f>
        <v>0</v>
      </c>
      <c r="TYQ3">
        <f>Database!TZJ5</f>
        <v>0</v>
      </c>
      <c r="TYR3">
        <f>Database!TZK5</f>
        <v>0</v>
      </c>
      <c r="TYS3">
        <f>Database!TZL5</f>
        <v>0</v>
      </c>
      <c r="TYT3">
        <f>Database!TZM5</f>
        <v>0</v>
      </c>
      <c r="TYU3">
        <f>Database!TZN5</f>
        <v>0</v>
      </c>
      <c r="TYV3">
        <f>Database!TZO5</f>
        <v>0</v>
      </c>
      <c r="TYW3">
        <f>Database!TZP5</f>
        <v>0</v>
      </c>
      <c r="TYX3">
        <f>Database!TZQ5</f>
        <v>0</v>
      </c>
      <c r="TYY3">
        <f>Database!TZR5</f>
        <v>0</v>
      </c>
      <c r="TYZ3">
        <f>Database!TZS5</f>
        <v>0</v>
      </c>
      <c r="TZA3">
        <f>Database!TZT5</f>
        <v>0</v>
      </c>
      <c r="TZB3">
        <f>Database!TZU5</f>
        <v>0</v>
      </c>
      <c r="TZC3">
        <f>Database!TZV5</f>
        <v>0</v>
      </c>
      <c r="TZD3">
        <f>Database!TZW5</f>
        <v>0</v>
      </c>
      <c r="TZE3">
        <f>Database!TZX5</f>
        <v>0</v>
      </c>
      <c r="TZF3">
        <f>Database!TZY5</f>
        <v>0</v>
      </c>
      <c r="TZG3">
        <f>Database!TZZ5</f>
        <v>0</v>
      </c>
      <c r="TZH3">
        <f>Database!UAA5</f>
        <v>0</v>
      </c>
      <c r="TZI3">
        <f>Database!UAB5</f>
        <v>0</v>
      </c>
      <c r="TZJ3">
        <f>Database!UAC5</f>
        <v>0</v>
      </c>
      <c r="TZK3">
        <f>Database!UAD5</f>
        <v>0</v>
      </c>
      <c r="TZL3">
        <f>Database!UAE5</f>
        <v>0</v>
      </c>
      <c r="TZM3">
        <f>Database!UAF5</f>
        <v>0</v>
      </c>
      <c r="TZN3">
        <f>Database!UAG5</f>
        <v>0</v>
      </c>
      <c r="TZO3">
        <f>Database!UAH5</f>
        <v>0</v>
      </c>
      <c r="TZP3">
        <f>Database!UAI5</f>
        <v>0</v>
      </c>
      <c r="TZQ3">
        <f>Database!UAJ5</f>
        <v>0</v>
      </c>
      <c r="TZR3">
        <f>Database!UAK5</f>
        <v>0</v>
      </c>
      <c r="TZS3">
        <f>Database!UAL5</f>
        <v>0</v>
      </c>
      <c r="TZT3">
        <f>Database!UAM5</f>
        <v>0</v>
      </c>
      <c r="TZU3">
        <f>Database!UAN5</f>
        <v>0</v>
      </c>
      <c r="TZV3">
        <f>Database!UAO5</f>
        <v>0</v>
      </c>
      <c r="TZW3">
        <f>Database!UAP5</f>
        <v>0</v>
      </c>
      <c r="TZX3">
        <f>Database!UAQ5</f>
        <v>0</v>
      </c>
      <c r="TZY3">
        <f>Database!UAR5</f>
        <v>0</v>
      </c>
      <c r="TZZ3">
        <f>Database!UAS5</f>
        <v>0</v>
      </c>
      <c r="UAA3">
        <f>Database!UAT5</f>
        <v>0</v>
      </c>
      <c r="UAB3">
        <f>Database!UAU5</f>
        <v>0</v>
      </c>
      <c r="UAC3">
        <f>Database!UAV5</f>
        <v>0</v>
      </c>
      <c r="UAD3">
        <f>Database!UAW5</f>
        <v>0</v>
      </c>
      <c r="UAE3">
        <f>Database!UAX5</f>
        <v>0</v>
      </c>
      <c r="UAF3">
        <f>Database!UAY5</f>
        <v>0</v>
      </c>
      <c r="UAG3">
        <f>Database!UAZ5</f>
        <v>0</v>
      </c>
      <c r="UAH3">
        <f>Database!UBA5</f>
        <v>0</v>
      </c>
      <c r="UAI3">
        <f>Database!UBB5</f>
        <v>0</v>
      </c>
      <c r="UAJ3">
        <f>Database!UBC5</f>
        <v>0</v>
      </c>
      <c r="UAK3">
        <f>Database!UBD5</f>
        <v>0</v>
      </c>
      <c r="UAL3">
        <f>Database!UBE5</f>
        <v>0</v>
      </c>
      <c r="UAM3">
        <f>Database!UBF5</f>
        <v>0</v>
      </c>
      <c r="UAN3">
        <f>Database!UBG5</f>
        <v>0</v>
      </c>
      <c r="UAO3">
        <f>Database!UBH5</f>
        <v>0</v>
      </c>
      <c r="UAP3">
        <f>Database!UBI5</f>
        <v>0</v>
      </c>
      <c r="UAQ3">
        <f>Database!UBJ5</f>
        <v>0</v>
      </c>
      <c r="UAR3">
        <f>Database!UBK5</f>
        <v>0</v>
      </c>
      <c r="UAS3">
        <f>Database!UBL5</f>
        <v>0</v>
      </c>
      <c r="UAT3">
        <f>Database!UBM5</f>
        <v>0</v>
      </c>
      <c r="UAU3">
        <f>Database!UBN5</f>
        <v>0</v>
      </c>
      <c r="UAV3">
        <f>Database!UBO5</f>
        <v>0</v>
      </c>
      <c r="UAW3">
        <f>Database!UBP5</f>
        <v>0</v>
      </c>
      <c r="UAX3">
        <f>Database!UBQ5</f>
        <v>0</v>
      </c>
      <c r="UAY3">
        <f>Database!UBR5</f>
        <v>0</v>
      </c>
      <c r="UAZ3">
        <f>Database!UBS5</f>
        <v>0</v>
      </c>
      <c r="UBA3">
        <f>Database!UBT5</f>
        <v>0</v>
      </c>
      <c r="UBB3">
        <f>Database!UBU5</f>
        <v>0</v>
      </c>
      <c r="UBC3">
        <f>Database!UBV5</f>
        <v>0</v>
      </c>
      <c r="UBD3">
        <f>Database!UBW5</f>
        <v>0</v>
      </c>
      <c r="UBE3">
        <f>Database!UBX5</f>
        <v>0</v>
      </c>
      <c r="UBF3">
        <f>Database!UBY5</f>
        <v>0</v>
      </c>
      <c r="UBG3">
        <f>Database!UBZ5</f>
        <v>0</v>
      </c>
      <c r="UBH3">
        <f>Database!UCA5</f>
        <v>0</v>
      </c>
      <c r="UBI3">
        <f>Database!UCB5</f>
        <v>0</v>
      </c>
      <c r="UBJ3">
        <f>Database!UCC5</f>
        <v>0</v>
      </c>
      <c r="UBK3">
        <f>Database!UCD5</f>
        <v>0</v>
      </c>
      <c r="UBL3">
        <f>Database!UCE5</f>
        <v>0</v>
      </c>
      <c r="UBM3">
        <f>Database!UCF5</f>
        <v>0</v>
      </c>
      <c r="UBN3">
        <f>Database!UCG5</f>
        <v>0</v>
      </c>
      <c r="UBO3">
        <f>Database!UCH5</f>
        <v>0</v>
      </c>
      <c r="UBP3">
        <f>Database!UCI5</f>
        <v>0</v>
      </c>
      <c r="UBQ3">
        <f>Database!UCJ5</f>
        <v>0</v>
      </c>
      <c r="UBR3">
        <f>Database!UCK5</f>
        <v>0</v>
      </c>
      <c r="UBS3">
        <f>Database!UCL5</f>
        <v>0</v>
      </c>
      <c r="UBT3">
        <f>Database!UCM5</f>
        <v>0</v>
      </c>
      <c r="UBU3">
        <f>Database!UCN5</f>
        <v>0</v>
      </c>
      <c r="UBV3">
        <f>Database!UCO5</f>
        <v>0</v>
      </c>
      <c r="UBW3">
        <f>Database!UCP5</f>
        <v>0</v>
      </c>
      <c r="UBX3">
        <f>Database!UCQ5</f>
        <v>0</v>
      </c>
      <c r="UBY3">
        <f>Database!UCR5</f>
        <v>0</v>
      </c>
      <c r="UBZ3">
        <f>Database!UCS5</f>
        <v>0</v>
      </c>
      <c r="UCA3">
        <f>Database!UCT5</f>
        <v>0</v>
      </c>
      <c r="UCB3">
        <f>Database!UCU5</f>
        <v>0</v>
      </c>
      <c r="UCC3">
        <f>Database!UCV5</f>
        <v>0</v>
      </c>
      <c r="UCD3">
        <f>Database!UCW5</f>
        <v>0</v>
      </c>
      <c r="UCE3">
        <f>Database!UCX5</f>
        <v>0</v>
      </c>
      <c r="UCF3">
        <f>Database!UCY5</f>
        <v>0</v>
      </c>
      <c r="UCG3">
        <f>Database!UCZ5</f>
        <v>0</v>
      </c>
      <c r="UCH3">
        <f>Database!UDA5</f>
        <v>0</v>
      </c>
      <c r="UCI3">
        <f>Database!UDB5</f>
        <v>0</v>
      </c>
      <c r="UCJ3">
        <f>Database!UDC5</f>
        <v>0</v>
      </c>
      <c r="UCK3">
        <f>Database!UDD5</f>
        <v>0</v>
      </c>
      <c r="UCL3">
        <f>Database!UDE5</f>
        <v>0</v>
      </c>
      <c r="UCM3">
        <f>Database!UDF5</f>
        <v>0</v>
      </c>
      <c r="UCN3">
        <f>Database!UDG5</f>
        <v>0</v>
      </c>
      <c r="UCO3">
        <f>Database!UDH5</f>
        <v>0</v>
      </c>
      <c r="UCP3">
        <f>Database!UDI5</f>
        <v>0</v>
      </c>
      <c r="UCQ3">
        <f>Database!UDJ5</f>
        <v>0</v>
      </c>
      <c r="UCR3">
        <f>Database!UDK5</f>
        <v>0</v>
      </c>
      <c r="UCS3">
        <f>Database!UDL5</f>
        <v>0</v>
      </c>
      <c r="UCT3">
        <f>Database!UDM5</f>
        <v>0</v>
      </c>
      <c r="UCU3">
        <f>Database!UDN5</f>
        <v>0</v>
      </c>
      <c r="UCV3">
        <f>Database!UDO5</f>
        <v>0</v>
      </c>
      <c r="UCW3">
        <f>Database!UDP5</f>
        <v>0</v>
      </c>
      <c r="UCX3">
        <f>Database!UDQ5</f>
        <v>0</v>
      </c>
      <c r="UCY3">
        <f>Database!UDR5</f>
        <v>0</v>
      </c>
      <c r="UCZ3">
        <f>Database!UDS5</f>
        <v>0</v>
      </c>
      <c r="UDA3">
        <f>Database!UDT5</f>
        <v>0</v>
      </c>
      <c r="UDB3">
        <f>Database!UDU5</f>
        <v>0</v>
      </c>
      <c r="UDC3">
        <f>Database!UDV5</f>
        <v>0</v>
      </c>
      <c r="UDD3">
        <f>Database!UDW5</f>
        <v>0</v>
      </c>
      <c r="UDE3">
        <f>Database!UDX5</f>
        <v>0</v>
      </c>
      <c r="UDF3">
        <f>Database!UDY5</f>
        <v>0</v>
      </c>
      <c r="UDG3">
        <f>Database!UDZ5</f>
        <v>0</v>
      </c>
      <c r="UDH3">
        <f>Database!UEA5</f>
        <v>0</v>
      </c>
      <c r="UDI3">
        <f>Database!UEB5</f>
        <v>0</v>
      </c>
      <c r="UDJ3">
        <f>Database!UEC5</f>
        <v>0</v>
      </c>
      <c r="UDK3">
        <f>Database!UED5</f>
        <v>0</v>
      </c>
      <c r="UDL3">
        <f>Database!UEE5</f>
        <v>0</v>
      </c>
      <c r="UDM3">
        <f>Database!UEF5</f>
        <v>0</v>
      </c>
      <c r="UDN3">
        <f>Database!UEG5</f>
        <v>0</v>
      </c>
      <c r="UDO3">
        <f>Database!UEH5</f>
        <v>0</v>
      </c>
      <c r="UDP3">
        <f>Database!UEI5</f>
        <v>0</v>
      </c>
      <c r="UDQ3">
        <f>Database!UEJ5</f>
        <v>0</v>
      </c>
      <c r="UDR3">
        <f>Database!UEK5</f>
        <v>0</v>
      </c>
      <c r="UDS3">
        <f>Database!UEL5</f>
        <v>0</v>
      </c>
      <c r="UDT3">
        <f>Database!UEM5</f>
        <v>0</v>
      </c>
      <c r="UDU3">
        <f>Database!UEN5</f>
        <v>0</v>
      </c>
      <c r="UDV3">
        <f>Database!UEO5</f>
        <v>0</v>
      </c>
      <c r="UDW3">
        <f>Database!UEP5</f>
        <v>0</v>
      </c>
      <c r="UDX3">
        <f>Database!UEQ5</f>
        <v>0</v>
      </c>
      <c r="UDY3">
        <f>Database!UER5</f>
        <v>0</v>
      </c>
      <c r="UDZ3">
        <f>Database!UES5</f>
        <v>0</v>
      </c>
      <c r="UEA3">
        <f>Database!UET5</f>
        <v>0</v>
      </c>
      <c r="UEB3">
        <f>Database!UEU5</f>
        <v>0</v>
      </c>
      <c r="UEC3">
        <f>Database!UEV5</f>
        <v>0</v>
      </c>
      <c r="UED3">
        <f>Database!UEW5</f>
        <v>0</v>
      </c>
      <c r="UEE3">
        <f>Database!UEX5</f>
        <v>0</v>
      </c>
      <c r="UEF3">
        <f>Database!UEY5</f>
        <v>0</v>
      </c>
      <c r="UEG3">
        <f>Database!UEZ5</f>
        <v>0</v>
      </c>
      <c r="UEH3">
        <f>Database!UFA5</f>
        <v>0</v>
      </c>
      <c r="UEI3">
        <f>Database!UFB5</f>
        <v>0</v>
      </c>
      <c r="UEJ3">
        <f>Database!UFC5</f>
        <v>0</v>
      </c>
      <c r="UEK3">
        <f>Database!UFD5</f>
        <v>0</v>
      </c>
      <c r="UEL3">
        <f>Database!UFE5</f>
        <v>0</v>
      </c>
      <c r="UEM3">
        <f>Database!UFF5</f>
        <v>0</v>
      </c>
      <c r="UEN3">
        <f>Database!UFG5</f>
        <v>0</v>
      </c>
      <c r="UEO3">
        <f>Database!UFH5</f>
        <v>0</v>
      </c>
      <c r="UEP3">
        <f>Database!UFI5</f>
        <v>0</v>
      </c>
      <c r="UEQ3">
        <f>Database!UFJ5</f>
        <v>0</v>
      </c>
      <c r="UER3">
        <f>Database!UFK5</f>
        <v>0</v>
      </c>
      <c r="UES3">
        <f>Database!UFL5</f>
        <v>0</v>
      </c>
      <c r="UET3">
        <f>Database!UFM5</f>
        <v>0</v>
      </c>
      <c r="UEU3">
        <f>Database!UFN5</f>
        <v>0</v>
      </c>
      <c r="UEV3">
        <f>Database!UFO5</f>
        <v>0</v>
      </c>
      <c r="UEW3">
        <f>Database!UFP5</f>
        <v>0</v>
      </c>
      <c r="UEX3">
        <f>Database!UFQ5</f>
        <v>0</v>
      </c>
      <c r="UEY3">
        <f>Database!UFR5</f>
        <v>0</v>
      </c>
      <c r="UEZ3">
        <f>Database!UFS5</f>
        <v>0</v>
      </c>
      <c r="UFA3">
        <f>Database!UFT5</f>
        <v>0</v>
      </c>
      <c r="UFB3">
        <f>Database!UFU5</f>
        <v>0</v>
      </c>
      <c r="UFC3">
        <f>Database!UFV5</f>
        <v>0</v>
      </c>
      <c r="UFD3">
        <f>Database!UFW5</f>
        <v>0</v>
      </c>
      <c r="UFE3">
        <f>Database!UFX5</f>
        <v>0</v>
      </c>
      <c r="UFF3">
        <f>Database!UFY5</f>
        <v>0</v>
      </c>
      <c r="UFG3">
        <f>Database!UFZ5</f>
        <v>0</v>
      </c>
      <c r="UFH3">
        <f>Database!UGA5</f>
        <v>0</v>
      </c>
      <c r="UFI3">
        <f>Database!UGB5</f>
        <v>0</v>
      </c>
      <c r="UFJ3">
        <f>Database!UGC5</f>
        <v>0</v>
      </c>
      <c r="UFK3">
        <f>Database!UGD5</f>
        <v>0</v>
      </c>
      <c r="UFL3">
        <f>Database!UGE5</f>
        <v>0</v>
      </c>
      <c r="UFM3">
        <f>Database!UGF5</f>
        <v>0</v>
      </c>
      <c r="UFN3">
        <f>Database!UGG5</f>
        <v>0</v>
      </c>
      <c r="UFO3">
        <f>Database!UGH5</f>
        <v>0</v>
      </c>
      <c r="UFP3">
        <f>Database!UGI5</f>
        <v>0</v>
      </c>
      <c r="UFQ3">
        <f>Database!UGJ5</f>
        <v>0</v>
      </c>
      <c r="UFR3">
        <f>Database!UGK5</f>
        <v>0</v>
      </c>
      <c r="UFS3">
        <f>Database!UGL5</f>
        <v>0</v>
      </c>
      <c r="UFT3">
        <f>Database!UGM5</f>
        <v>0</v>
      </c>
      <c r="UFU3">
        <f>Database!UGN5</f>
        <v>0</v>
      </c>
      <c r="UFV3">
        <f>Database!UGO5</f>
        <v>0</v>
      </c>
      <c r="UFW3">
        <f>Database!UGP5</f>
        <v>0</v>
      </c>
      <c r="UFX3">
        <f>Database!UGQ5</f>
        <v>0</v>
      </c>
      <c r="UFY3">
        <f>Database!UGR5</f>
        <v>0</v>
      </c>
      <c r="UFZ3">
        <f>Database!UGS5</f>
        <v>0</v>
      </c>
      <c r="UGA3">
        <f>Database!UGT5</f>
        <v>0</v>
      </c>
      <c r="UGB3">
        <f>Database!UGU5</f>
        <v>0</v>
      </c>
      <c r="UGC3">
        <f>Database!UGV5</f>
        <v>0</v>
      </c>
      <c r="UGD3">
        <f>Database!UGW5</f>
        <v>0</v>
      </c>
      <c r="UGE3">
        <f>Database!UGX5</f>
        <v>0</v>
      </c>
      <c r="UGF3">
        <f>Database!UGY5</f>
        <v>0</v>
      </c>
      <c r="UGG3">
        <f>Database!UGZ5</f>
        <v>0</v>
      </c>
      <c r="UGH3">
        <f>Database!UHA5</f>
        <v>0</v>
      </c>
      <c r="UGI3">
        <f>Database!UHB5</f>
        <v>0</v>
      </c>
      <c r="UGJ3">
        <f>Database!UHC5</f>
        <v>0</v>
      </c>
      <c r="UGK3">
        <f>Database!UHD5</f>
        <v>0</v>
      </c>
      <c r="UGL3">
        <f>Database!UHE5</f>
        <v>0</v>
      </c>
      <c r="UGM3">
        <f>Database!UHF5</f>
        <v>0</v>
      </c>
      <c r="UGN3">
        <f>Database!UHG5</f>
        <v>0</v>
      </c>
      <c r="UGO3">
        <f>Database!UHH5</f>
        <v>0</v>
      </c>
      <c r="UGP3">
        <f>Database!UHI5</f>
        <v>0</v>
      </c>
      <c r="UGQ3">
        <f>Database!UHJ5</f>
        <v>0</v>
      </c>
      <c r="UGR3">
        <f>Database!UHK5</f>
        <v>0</v>
      </c>
      <c r="UGS3">
        <f>Database!UHL5</f>
        <v>0</v>
      </c>
      <c r="UGT3">
        <f>Database!UHM5</f>
        <v>0</v>
      </c>
      <c r="UGU3">
        <f>Database!UHN5</f>
        <v>0</v>
      </c>
      <c r="UGV3">
        <f>Database!UHO5</f>
        <v>0</v>
      </c>
      <c r="UGW3">
        <f>Database!UHP5</f>
        <v>0</v>
      </c>
      <c r="UGX3">
        <f>Database!UHQ5</f>
        <v>0</v>
      </c>
      <c r="UGY3">
        <f>Database!UHR5</f>
        <v>0</v>
      </c>
      <c r="UGZ3">
        <f>Database!UHS5</f>
        <v>0</v>
      </c>
      <c r="UHA3">
        <f>Database!UHT5</f>
        <v>0</v>
      </c>
      <c r="UHB3">
        <f>Database!UHU5</f>
        <v>0</v>
      </c>
      <c r="UHC3">
        <f>Database!UHV5</f>
        <v>0</v>
      </c>
      <c r="UHD3">
        <f>Database!UHW5</f>
        <v>0</v>
      </c>
      <c r="UHE3">
        <f>Database!UHX5</f>
        <v>0</v>
      </c>
      <c r="UHF3">
        <f>Database!UHY5</f>
        <v>0</v>
      </c>
      <c r="UHG3">
        <f>Database!UHZ5</f>
        <v>0</v>
      </c>
      <c r="UHH3">
        <f>Database!UIA5</f>
        <v>0</v>
      </c>
      <c r="UHI3">
        <f>Database!UIB5</f>
        <v>0</v>
      </c>
      <c r="UHJ3">
        <f>Database!UIC5</f>
        <v>0</v>
      </c>
      <c r="UHK3">
        <f>Database!UID5</f>
        <v>0</v>
      </c>
      <c r="UHL3">
        <f>Database!UIE5</f>
        <v>0</v>
      </c>
      <c r="UHM3">
        <f>Database!UIF5</f>
        <v>0</v>
      </c>
      <c r="UHN3">
        <f>Database!UIG5</f>
        <v>0</v>
      </c>
      <c r="UHO3">
        <f>Database!UIH5</f>
        <v>0</v>
      </c>
      <c r="UHP3">
        <f>Database!UII5</f>
        <v>0</v>
      </c>
      <c r="UHQ3">
        <f>Database!UIJ5</f>
        <v>0</v>
      </c>
      <c r="UHR3">
        <f>Database!UIK5</f>
        <v>0</v>
      </c>
      <c r="UHS3">
        <f>Database!UIL5</f>
        <v>0</v>
      </c>
      <c r="UHT3">
        <f>Database!UIM5</f>
        <v>0</v>
      </c>
      <c r="UHU3">
        <f>Database!UIN5</f>
        <v>0</v>
      </c>
      <c r="UHV3">
        <f>Database!UIO5</f>
        <v>0</v>
      </c>
      <c r="UHW3">
        <f>Database!UIP5</f>
        <v>0</v>
      </c>
      <c r="UHX3">
        <f>Database!UIQ5</f>
        <v>0</v>
      </c>
      <c r="UHY3">
        <f>Database!UIR5</f>
        <v>0</v>
      </c>
      <c r="UHZ3">
        <f>Database!UIS5</f>
        <v>0</v>
      </c>
      <c r="UIA3">
        <f>Database!UIT5</f>
        <v>0</v>
      </c>
      <c r="UIB3">
        <f>Database!UIU5</f>
        <v>0</v>
      </c>
      <c r="UIC3">
        <f>Database!UIV5</f>
        <v>0</v>
      </c>
      <c r="UID3">
        <f>Database!UIW5</f>
        <v>0</v>
      </c>
      <c r="UIE3">
        <f>Database!UIX5</f>
        <v>0</v>
      </c>
      <c r="UIF3">
        <f>Database!UIY5</f>
        <v>0</v>
      </c>
      <c r="UIG3">
        <f>Database!UIZ5</f>
        <v>0</v>
      </c>
      <c r="UIH3">
        <f>Database!UJA5</f>
        <v>0</v>
      </c>
      <c r="UII3">
        <f>Database!UJB5</f>
        <v>0</v>
      </c>
      <c r="UIJ3">
        <f>Database!UJC5</f>
        <v>0</v>
      </c>
      <c r="UIK3">
        <f>Database!UJD5</f>
        <v>0</v>
      </c>
      <c r="UIL3">
        <f>Database!UJE5</f>
        <v>0</v>
      </c>
      <c r="UIM3">
        <f>Database!UJF5</f>
        <v>0</v>
      </c>
      <c r="UIN3">
        <f>Database!UJG5</f>
        <v>0</v>
      </c>
      <c r="UIO3">
        <f>Database!UJH5</f>
        <v>0</v>
      </c>
      <c r="UIP3">
        <f>Database!UJI5</f>
        <v>0</v>
      </c>
      <c r="UIQ3">
        <f>Database!UJJ5</f>
        <v>0</v>
      </c>
      <c r="UIR3">
        <f>Database!UJK5</f>
        <v>0</v>
      </c>
      <c r="UIS3">
        <f>Database!UJL5</f>
        <v>0</v>
      </c>
      <c r="UIT3">
        <f>Database!UJM5</f>
        <v>0</v>
      </c>
      <c r="UIU3">
        <f>Database!UJN5</f>
        <v>0</v>
      </c>
      <c r="UIV3">
        <f>Database!UJO5</f>
        <v>0</v>
      </c>
      <c r="UIW3">
        <f>Database!UJP5</f>
        <v>0</v>
      </c>
      <c r="UIX3">
        <f>Database!UJQ5</f>
        <v>0</v>
      </c>
      <c r="UIY3">
        <f>Database!UJR5</f>
        <v>0</v>
      </c>
      <c r="UIZ3">
        <f>Database!UJS5</f>
        <v>0</v>
      </c>
      <c r="UJA3">
        <f>Database!UJT5</f>
        <v>0</v>
      </c>
      <c r="UJB3">
        <f>Database!UJU5</f>
        <v>0</v>
      </c>
      <c r="UJC3">
        <f>Database!UJV5</f>
        <v>0</v>
      </c>
      <c r="UJD3">
        <f>Database!UJW5</f>
        <v>0</v>
      </c>
      <c r="UJE3">
        <f>Database!UJX5</f>
        <v>0</v>
      </c>
      <c r="UJF3">
        <f>Database!UJY5</f>
        <v>0</v>
      </c>
      <c r="UJG3">
        <f>Database!UJZ5</f>
        <v>0</v>
      </c>
      <c r="UJH3">
        <f>Database!UKA5</f>
        <v>0</v>
      </c>
      <c r="UJI3">
        <f>Database!UKB5</f>
        <v>0</v>
      </c>
      <c r="UJJ3">
        <f>Database!UKC5</f>
        <v>0</v>
      </c>
      <c r="UJK3">
        <f>Database!UKD5</f>
        <v>0</v>
      </c>
      <c r="UJL3">
        <f>Database!UKE5</f>
        <v>0</v>
      </c>
      <c r="UJM3">
        <f>Database!UKF5</f>
        <v>0</v>
      </c>
      <c r="UJN3">
        <f>Database!UKG5</f>
        <v>0</v>
      </c>
      <c r="UJO3">
        <f>Database!UKH5</f>
        <v>0</v>
      </c>
      <c r="UJP3">
        <f>Database!UKI5</f>
        <v>0</v>
      </c>
      <c r="UJQ3">
        <f>Database!UKJ5</f>
        <v>0</v>
      </c>
      <c r="UJR3">
        <f>Database!UKK5</f>
        <v>0</v>
      </c>
      <c r="UJS3">
        <f>Database!UKL5</f>
        <v>0</v>
      </c>
      <c r="UJT3">
        <f>Database!UKM5</f>
        <v>0</v>
      </c>
      <c r="UJU3">
        <f>Database!UKN5</f>
        <v>0</v>
      </c>
      <c r="UJV3">
        <f>Database!UKO5</f>
        <v>0</v>
      </c>
      <c r="UJW3">
        <f>Database!UKP5</f>
        <v>0</v>
      </c>
      <c r="UJX3">
        <f>Database!UKQ5</f>
        <v>0</v>
      </c>
      <c r="UJY3">
        <f>Database!UKR5</f>
        <v>0</v>
      </c>
      <c r="UJZ3">
        <f>Database!UKS5</f>
        <v>0</v>
      </c>
      <c r="UKA3">
        <f>Database!UKT5</f>
        <v>0</v>
      </c>
      <c r="UKB3">
        <f>Database!UKU5</f>
        <v>0</v>
      </c>
      <c r="UKC3">
        <f>Database!UKV5</f>
        <v>0</v>
      </c>
      <c r="UKD3">
        <f>Database!UKW5</f>
        <v>0</v>
      </c>
      <c r="UKE3">
        <f>Database!UKX5</f>
        <v>0</v>
      </c>
      <c r="UKF3">
        <f>Database!UKY5</f>
        <v>0</v>
      </c>
      <c r="UKG3">
        <f>Database!UKZ5</f>
        <v>0</v>
      </c>
      <c r="UKH3">
        <f>Database!ULA5</f>
        <v>0</v>
      </c>
      <c r="UKI3">
        <f>Database!ULB5</f>
        <v>0</v>
      </c>
      <c r="UKJ3">
        <f>Database!ULC5</f>
        <v>0</v>
      </c>
      <c r="UKK3">
        <f>Database!ULD5</f>
        <v>0</v>
      </c>
      <c r="UKL3">
        <f>Database!ULE5</f>
        <v>0</v>
      </c>
      <c r="UKM3">
        <f>Database!ULF5</f>
        <v>0</v>
      </c>
      <c r="UKN3">
        <f>Database!ULG5</f>
        <v>0</v>
      </c>
      <c r="UKO3">
        <f>Database!ULH5</f>
        <v>0</v>
      </c>
      <c r="UKP3">
        <f>Database!ULI5</f>
        <v>0</v>
      </c>
      <c r="UKQ3">
        <f>Database!ULJ5</f>
        <v>0</v>
      </c>
      <c r="UKR3">
        <f>Database!ULK5</f>
        <v>0</v>
      </c>
      <c r="UKS3">
        <f>Database!ULL5</f>
        <v>0</v>
      </c>
      <c r="UKT3">
        <f>Database!ULM5</f>
        <v>0</v>
      </c>
      <c r="UKU3">
        <f>Database!ULN5</f>
        <v>0</v>
      </c>
      <c r="UKV3">
        <f>Database!ULO5</f>
        <v>0</v>
      </c>
      <c r="UKW3">
        <f>Database!ULP5</f>
        <v>0</v>
      </c>
      <c r="UKX3">
        <f>Database!ULQ5</f>
        <v>0</v>
      </c>
      <c r="UKY3">
        <f>Database!ULR5</f>
        <v>0</v>
      </c>
      <c r="UKZ3">
        <f>Database!ULS5</f>
        <v>0</v>
      </c>
      <c r="ULA3">
        <f>Database!ULT5</f>
        <v>0</v>
      </c>
      <c r="ULB3">
        <f>Database!ULU5</f>
        <v>0</v>
      </c>
      <c r="ULC3">
        <f>Database!ULV5</f>
        <v>0</v>
      </c>
      <c r="ULD3">
        <f>Database!ULW5</f>
        <v>0</v>
      </c>
      <c r="ULE3">
        <f>Database!ULX5</f>
        <v>0</v>
      </c>
      <c r="ULF3">
        <f>Database!ULY5</f>
        <v>0</v>
      </c>
      <c r="ULG3">
        <f>Database!ULZ5</f>
        <v>0</v>
      </c>
      <c r="ULH3">
        <f>Database!UMA5</f>
        <v>0</v>
      </c>
      <c r="ULI3">
        <f>Database!UMB5</f>
        <v>0</v>
      </c>
      <c r="ULJ3">
        <f>Database!UMC5</f>
        <v>0</v>
      </c>
      <c r="ULK3">
        <f>Database!UMD5</f>
        <v>0</v>
      </c>
      <c r="ULL3">
        <f>Database!UME5</f>
        <v>0</v>
      </c>
      <c r="ULM3">
        <f>Database!UMF5</f>
        <v>0</v>
      </c>
      <c r="ULN3">
        <f>Database!UMG5</f>
        <v>0</v>
      </c>
      <c r="ULO3">
        <f>Database!UMH5</f>
        <v>0</v>
      </c>
      <c r="ULP3">
        <f>Database!UMI5</f>
        <v>0</v>
      </c>
      <c r="ULQ3">
        <f>Database!UMJ5</f>
        <v>0</v>
      </c>
      <c r="ULR3">
        <f>Database!UMK5</f>
        <v>0</v>
      </c>
      <c r="ULS3">
        <f>Database!UML5</f>
        <v>0</v>
      </c>
      <c r="ULT3">
        <f>Database!UMM5</f>
        <v>0</v>
      </c>
      <c r="ULU3">
        <f>Database!UMN5</f>
        <v>0</v>
      </c>
      <c r="ULV3">
        <f>Database!UMO5</f>
        <v>0</v>
      </c>
      <c r="ULW3">
        <f>Database!UMP5</f>
        <v>0</v>
      </c>
      <c r="ULX3">
        <f>Database!UMQ5</f>
        <v>0</v>
      </c>
      <c r="ULY3">
        <f>Database!UMR5</f>
        <v>0</v>
      </c>
      <c r="ULZ3">
        <f>Database!UMS5</f>
        <v>0</v>
      </c>
      <c r="UMA3">
        <f>Database!UMT5</f>
        <v>0</v>
      </c>
      <c r="UMB3">
        <f>Database!UMU5</f>
        <v>0</v>
      </c>
      <c r="UMC3">
        <f>Database!UMV5</f>
        <v>0</v>
      </c>
      <c r="UMD3">
        <f>Database!UMW5</f>
        <v>0</v>
      </c>
      <c r="UME3">
        <f>Database!UMX5</f>
        <v>0</v>
      </c>
      <c r="UMF3">
        <f>Database!UMY5</f>
        <v>0</v>
      </c>
      <c r="UMG3">
        <f>Database!UMZ5</f>
        <v>0</v>
      </c>
      <c r="UMH3">
        <f>Database!UNA5</f>
        <v>0</v>
      </c>
      <c r="UMI3">
        <f>Database!UNB5</f>
        <v>0</v>
      </c>
      <c r="UMJ3">
        <f>Database!UNC5</f>
        <v>0</v>
      </c>
      <c r="UMK3">
        <f>Database!UND5</f>
        <v>0</v>
      </c>
      <c r="UML3">
        <f>Database!UNE5</f>
        <v>0</v>
      </c>
      <c r="UMM3">
        <f>Database!UNF5</f>
        <v>0</v>
      </c>
      <c r="UMN3">
        <f>Database!UNG5</f>
        <v>0</v>
      </c>
      <c r="UMO3">
        <f>Database!UNH5</f>
        <v>0</v>
      </c>
      <c r="UMP3">
        <f>Database!UNI5</f>
        <v>0</v>
      </c>
      <c r="UMQ3">
        <f>Database!UNJ5</f>
        <v>0</v>
      </c>
      <c r="UMR3">
        <f>Database!UNK5</f>
        <v>0</v>
      </c>
      <c r="UMS3">
        <f>Database!UNL5</f>
        <v>0</v>
      </c>
      <c r="UMT3">
        <f>Database!UNM5</f>
        <v>0</v>
      </c>
      <c r="UMU3">
        <f>Database!UNN5</f>
        <v>0</v>
      </c>
      <c r="UMV3">
        <f>Database!UNO5</f>
        <v>0</v>
      </c>
      <c r="UMW3">
        <f>Database!UNP5</f>
        <v>0</v>
      </c>
      <c r="UMX3">
        <f>Database!UNQ5</f>
        <v>0</v>
      </c>
      <c r="UMY3">
        <f>Database!UNR5</f>
        <v>0</v>
      </c>
      <c r="UMZ3">
        <f>Database!UNS5</f>
        <v>0</v>
      </c>
      <c r="UNA3">
        <f>Database!UNT5</f>
        <v>0</v>
      </c>
      <c r="UNB3">
        <f>Database!UNU5</f>
        <v>0</v>
      </c>
      <c r="UNC3">
        <f>Database!UNV5</f>
        <v>0</v>
      </c>
      <c r="UND3">
        <f>Database!UNW5</f>
        <v>0</v>
      </c>
      <c r="UNE3">
        <f>Database!UNX5</f>
        <v>0</v>
      </c>
      <c r="UNF3">
        <f>Database!UNY5</f>
        <v>0</v>
      </c>
      <c r="UNG3">
        <f>Database!UNZ5</f>
        <v>0</v>
      </c>
      <c r="UNH3">
        <f>Database!UOA5</f>
        <v>0</v>
      </c>
      <c r="UNI3">
        <f>Database!UOB5</f>
        <v>0</v>
      </c>
      <c r="UNJ3">
        <f>Database!UOC5</f>
        <v>0</v>
      </c>
      <c r="UNK3">
        <f>Database!UOD5</f>
        <v>0</v>
      </c>
      <c r="UNL3">
        <f>Database!UOE5</f>
        <v>0</v>
      </c>
      <c r="UNM3">
        <f>Database!UOF5</f>
        <v>0</v>
      </c>
      <c r="UNN3">
        <f>Database!UOG5</f>
        <v>0</v>
      </c>
      <c r="UNO3">
        <f>Database!UOH5</f>
        <v>0</v>
      </c>
      <c r="UNP3">
        <f>Database!UOI5</f>
        <v>0</v>
      </c>
      <c r="UNQ3">
        <f>Database!UOJ5</f>
        <v>0</v>
      </c>
      <c r="UNR3">
        <f>Database!UOK5</f>
        <v>0</v>
      </c>
      <c r="UNS3">
        <f>Database!UOL5</f>
        <v>0</v>
      </c>
      <c r="UNT3">
        <f>Database!UOM5</f>
        <v>0</v>
      </c>
      <c r="UNU3">
        <f>Database!UON5</f>
        <v>0</v>
      </c>
      <c r="UNV3">
        <f>Database!UOO5</f>
        <v>0</v>
      </c>
      <c r="UNW3">
        <f>Database!UOP5</f>
        <v>0</v>
      </c>
      <c r="UNX3">
        <f>Database!UOQ5</f>
        <v>0</v>
      </c>
      <c r="UNY3">
        <f>Database!UOR5</f>
        <v>0</v>
      </c>
      <c r="UNZ3">
        <f>Database!UOS5</f>
        <v>0</v>
      </c>
      <c r="UOA3">
        <f>Database!UOT5</f>
        <v>0</v>
      </c>
      <c r="UOB3">
        <f>Database!UOU5</f>
        <v>0</v>
      </c>
      <c r="UOC3">
        <f>Database!UOV5</f>
        <v>0</v>
      </c>
      <c r="UOD3">
        <f>Database!UOW5</f>
        <v>0</v>
      </c>
      <c r="UOE3">
        <f>Database!UOX5</f>
        <v>0</v>
      </c>
      <c r="UOF3">
        <f>Database!UOY5</f>
        <v>0</v>
      </c>
      <c r="UOG3">
        <f>Database!UOZ5</f>
        <v>0</v>
      </c>
      <c r="UOH3">
        <f>Database!UPA5</f>
        <v>0</v>
      </c>
      <c r="UOI3">
        <f>Database!UPB5</f>
        <v>0</v>
      </c>
      <c r="UOJ3">
        <f>Database!UPC5</f>
        <v>0</v>
      </c>
      <c r="UOK3">
        <f>Database!UPD5</f>
        <v>0</v>
      </c>
      <c r="UOL3">
        <f>Database!UPE5</f>
        <v>0</v>
      </c>
      <c r="UOM3">
        <f>Database!UPF5</f>
        <v>0</v>
      </c>
      <c r="UON3">
        <f>Database!UPG5</f>
        <v>0</v>
      </c>
      <c r="UOO3">
        <f>Database!UPH5</f>
        <v>0</v>
      </c>
      <c r="UOP3">
        <f>Database!UPI5</f>
        <v>0</v>
      </c>
      <c r="UOQ3">
        <f>Database!UPJ5</f>
        <v>0</v>
      </c>
      <c r="UOR3">
        <f>Database!UPK5</f>
        <v>0</v>
      </c>
      <c r="UOS3">
        <f>Database!UPL5</f>
        <v>0</v>
      </c>
      <c r="UOT3">
        <f>Database!UPM5</f>
        <v>0</v>
      </c>
      <c r="UOU3">
        <f>Database!UPN5</f>
        <v>0</v>
      </c>
      <c r="UOV3">
        <f>Database!UPO5</f>
        <v>0</v>
      </c>
      <c r="UOW3">
        <f>Database!UPP5</f>
        <v>0</v>
      </c>
      <c r="UOX3">
        <f>Database!UPQ5</f>
        <v>0</v>
      </c>
      <c r="UOY3">
        <f>Database!UPR5</f>
        <v>0</v>
      </c>
      <c r="UOZ3">
        <f>Database!UPS5</f>
        <v>0</v>
      </c>
      <c r="UPA3">
        <f>Database!UPT5</f>
        <v>0</v>
      </c>
      <c r="UPB3">
        <f>Database!UPU5</f>
        <v>0</v>
      </c>
      <c r="UPC3">
        <f>Database!UPV5</f>
        <v>0</v>
      </c>
      <c r="UPD3">
        <f>Database!UPW5</f>
        <v>0</v>
      </c>
      <c r="UPE3">
        <f>Database!UPX5</f>
        <v>0</v>
      </c>
      <c r="UPF3">
        <f>Database!UPY5</f>
        <v>0</v>
      </c>
      <c r="UPG3">
        <f>Database!UPZ5</f>
        <v>0</v>
      </c>
      <c r="UPH3">
        <f>Database!UQA5</f>
        <v>0</v>
      </c>
      <c r="UPI3">
        <f>Database!UQB5</f>
        <v>0</v>
      </c>
      <c r="UPJ3">
        <f>Database!UQC5</f>
        <v>0</v>
      </c>
      <c r="UPK3">
        <f>Database!UQD5</f>
        <v>0</v>
      </c>
      <c r="UPL3">
        <f>Database!UQE5</f>
        <v>0</v>
      </c>
      <c r="UPM3">
        <f>Database!UQF5</f>
        <v>0</v>
      </c>
      <c r="UPN3">
        <f>Database!UQG5</f>
        <v>0</v>
      </c>
      <c r="UPO3">
        <f>Database!UQH5</f>
        <v>0</v>
      </c>
      <c r="UPP3">
        <f>Database!UQI5</f>
        <v>0</v>
      </c>
      <c r="UPQ3">
        <f>Database!UQJ5</f>
        <v>0</v>
      </c>
      <c r="UPR3">
        <f>Database!UQK5</f>
        <v>0</v>
      </c>
      <c r="UPS3">
        <f>Database!UQL5</f>
        <v>0</v>
      </c>
      <c r="UPT3">
        <f>Database!UQM5</f>
        <v>0</v>
      </c>
      <c r="UPU3">
        <f>Database!UQN5</f>
        <v>0</v>
      </c>
      <c r="UPV3">
        <f>Database!UQO5</f>
        <v>0</v>
      </c>
      <c r="UPW3">
        <f>Database!UQP5</f>
        <v>0</v>
      </c>
      <c r="UPX3">
        <f>Database!UQQ5</f>
        <v>0</v>
      </c>
      <c r="UPY3">
        <f>Database!UQR5</f>
        <v>0</v>
      </c>
      <c r="UPZ3">
        <f>Database!UQS5</f>
        <v>0</v>
      </c>
      <c r="UQA3">
        <f>Database!UQT5</f>
        <v>0</v>
      </c>
      <c r="UQB3">
        <f>Database!UQU5</f>
        <v>0</v>
      </c>
      <c r="UQC3">
        <f>Database!UQV5</f>
        <v>0</v>
      </c>
      <c r="UQD3">
        <f>Database!UQW5</f>
        <v>0</v>
      </c>
      <c r="UQE3">
        <f>Database!UQX5</f>
        <v>0</v>
      </c>
      <c r="UQF3">
        <f>Database!UQY5</f>
        <v>0</v>
      </c>
      <c r="UQG3">
        <f>Database!UQZ5</f>
        <v>0</v>
      </c>
      <c r="UQH3">
        <f>Database!URA5</f>
        <v>0</v>
      </c>
      <c r="UQI3">
        <f>Database!URB5</f>
        <v>0</v>
      </c>
      <c r="UQJ3">
        <f>Database!URC5</f>
        <v>0</v>
      </c>
      <c r="UQK3">
        <f>Database!URD5</f>
        <v>0</v>
      </c>
      <c r="UQL3">
        <f>Database!URE5</f>
        <v>0</v>
      </c>
      <c r="UQM3">
        <f>Database!URF5</f>
        <v>0</v>
      </c>
      <c r="UQN3">
        <f>Database!URG5</f>
        <v>0</v>
      </c>
      <c r="UQO3">
        <f>Database!URH5</f>
        <v>0</v>
      </c>
      <c r="UQP3">
        <f>Database!URI5</f>
        <v>0</v>
      </c>
      <c r="UQQ3">
        <f>Database!URJ5</f>
        <v>0</v>
      </c>
      <c r="UQR3">
        <f>Database!URK5</f>
        <v>0</v>
      </c>
      <c r="UQS3">
        <f>Database!URL5</f>
        <v>0</v>
      </c>
      <c r="UQT3">
        <f>Database!URM5</f>
        <v>0</v>
      </c>
      <c r="UQU3">
        <f>Database!URN5</f>
        <v>0</v>
      </c>
      <c r="UQV3">
        <f>Database!URO5</f>
        <v>0</v>
      </c>
      <c r="UQW3">
        <f>Database!URP5</f>
        <v>0</v>
      </c>
      <c r="UQX3">
        <f>Database!URQ5</f>
        <v>0</v>
      </c>
      <c r="UQY3">
        <f>Database!URR5</f>
        <v>0</v>
      </c>
      <c r="UQZ3">
        <f>Database!URS5</f>
        <v>0</v>
      </c>
      <c r="URA3">
        <f>Database!URT5</f>
        <v>0</v>
      </c>
      <c r="URB3">
        <f>Database!URU5</f>
        <v>0</v>
      </c>
      <c r="URC3">
        <f>Database!URV5</f>
        <v>0</v>
      </c>
      <c r="URD3">
        <f>Database!URW5</f>
        <v>0</v>
      </c>
      <c r="URE3">
        <f>Database!URX5</f>
        <v>0</v>
      </c>
      <c r="URF3">
        <f>Database!URY5</f>
        <v>0</v>
      </c>
      <c r="URG3">
        <f>Database!URZ5</f>
        <v>0</v>
      </c>
      <c r="URH3">
        <f>Database!USA5</f>
        <v>0</v>
      </c>
      <c r="URI3">
        <f>Database!USB5</f>
        <v>0</v>
      </c>
      <c r="URJ3">
        <f>Database!USC5</f>
        <v>0</v>
      </c>
      <c r="URK3">
        <f>Database!USD5</f>
        <v>0</v>
      </c>
      <c r="URL3">
        <f>Database!USE5</f>
        <v>0</v>
      </c>
      <c r="URM3">
        <f>Database!USF5</f>
        <v>0</v>
      </c>
      <c r="URN3">
        <f>Database!USG5</f>
        <v>0</v>
      </c>
      <c r="URO3">
        <f>Database!USH5</f>
        <v>0</v>
      </c>
      <c r="URP3">
        <f>Database!USI5</f>
        <v>0</v>
      </c>
      <c r="URQ3">
        <f>Database!USJ5</f>
        <v>0</v>
      </c>
      <c r="URR3">
        <f>Database!USK5</f>
        <v>0</v>
      </c>
      <c r="URS3">
        <f>Database!USL5</f>
        <v>0</v>
      </c>
      <c r="URT3">
        <f>Database!USM5</f>
        <v>0</v>
      </c>
      <c r="URU3">
        <f>Database!USN5</f>
        <v>0</v>
      </c>
      <c r="URV3">
        <f>Database!USO5</f>
        <v>0</v>
      </c>
      <c r="URW3">
        <f>Database!USP5</f>
        <v>0</v>
      </c>
      <c r="URX3">
        <f>Database!USQ5</f>
        <v>0</v>
      </c>
      <c r="URY3">
        <f>Database!USR5</f>
        <v>0</v>
      </c>
      <c r="URZ3">
        <f>Database!USS5</f>
        <v>0</v>
      </c>
      <c r="USA3">
        <f>Database!UST5</f>
        <v>0</v>
      </c>
      <c r="USB3">
        <f>Database!USU5</f>
        <v>0</v>
      </c>
      <c r="USC3">
        <f>Database!USV5</f>
        <v>0</v>
      </c>
      <c r="USD3">
        <f>Database!USW5</f>
        <v>0</v>
      </c>
      <c r="USE3">
        <f>Database!USX5</f>
        <v>0</v>
      </c>
      <c r="USF3">
        <f>Database!USY5</f>
        <v>0</v>
      </c>
      <c r="USG3">
        <f>Database!USZ5</f>
        <v>0</v>
      </c>
      <c r="USH3">
        <f>Database!UTA5</f>
        <v>0</v>
      </c>
      <c r="USI3">
        <f>Database!UTB5</f>
        <v>0</v>
      </c>
      <c r="USJ3">
        <f>Database!UTC5</f>
        <v>0</v>
      </c>
      <c r="USK3">
        <f>Database!UTD5</f>
        <v>0</v>
      </c>
      <c r="USL3">
        <f>Database!UTE5</f>
        <v>0</v>
      </c>
      <c r="USM3">
        <f>Database!UTF5</f>
        <v>0</v>
      </c>
      <c r="USN3">
        <f>Database!UTG5</f>
        <v>0</v>
      </c>
      <c r="USO3">
        <f>Database!UTH5</f>
        <v>0</v>
      </c>
      <c r="USP3">
        <f>Database!UTI5</f>
        <v>0</v>
      </c>
      <c r="USQ3">
        <f>Database!UTJ5</f>
        <v>0</v>
      </c>
      <c r="USR3">
        <f>Database!UTK5</f>
        <v>0</v>
      </c>
      <c r="USS3">
        <f>Database!UTL5</f>
        <v>0</v>
      </c>
      <c r="UST3">
        <f>Database!UTM5</f>
        <v>0</v>
      </c>
      <c r="USU3">
        <f>Database!UTN5</f>
        <v>0</v>
      </c>
      <c r="USV3">
        <f>Database!UTO5</f>
        <v>0</v>
      </c>
      <c r="USW3">
        <f>Database!UTP5</f>
        <v>0</v>
      </c>
      <c r="USX3">
        <f>Database!UTQ5</f>
        <v>0</v>
      </c>
      <c r="USY3">
        <f>Database!UTR5</f>
        <v>0</v>
      </c>
      <c r="USZ3">
        <f>Database!UTS5</f>
        <v>0</v>
      </c>
      <c r="UTA3">
        <f>Database!UTT5</f>
        <v>0</v>
      </c>
      <c r="UTB3">
        <f>Database!UTU5</f>
        <v>0</v>
      </c>
      <c r="UTC3">
        <f>Database!UTV5</f>
        <v>0</v>
      </c>
      <c r="UTD3">
        <f>Database!UTW5</f>
        <v>0</v>
      </c>
      <c r="UTE3">
        <f>Database!UTX5</f>
        <v>0</v>
      </c>
      <c r="UTF3">
        <f>Database!UTY5</f>
        <v>0</v>
      </c>
      <c r="UTG3">
        <f>Database!UTZ5</f>
        <v>0</v>
      </c>
      <c r="UTH3">
        <f>Database!UUA5</f>
        <v>0</v>
      </c>
      <c r="UTI3">
        <f>Database!UUB5</f>
        <v>0</v>
      </c>
      <c r="UTJ3">
        <f>Database!UUC5</f>
        <v>0</v>
      </c>
      <c r="UTK3">
        <f>Database!UUD5</f>
        <v>0</v>
      </c>
      <c r="UTL3">
        <f>Database!UUE5</f>
        <v>0</v>
      </c>
      <c r="UTM3">
        <f>Database!UUF5</f>
        <v>0</v>
      </c>
      <c r="UTN3">
        <f>Database!UUG5</f>
        <v>0</v>
      </c>
      <c r="UTO3">
        <f>Database!UUH5</f>
        <v>0</v>
      </c>
      <c r="UTP3">
        <f>Database!UUI5</f>
        <v>0</v>
      </c>
      <c r="UTQ3">
        <f>Database!UUJ5</f>
        <v>0</v>
      </c>
      <c r="UTR3">
        <f>Database!UUK5</f>
        <v>0</v>
      </c>
      <c r="UTS3">
        <f>Database!UUL5</f>
        <v>0</v>
      </c>
      <c r="UTT3">
        <f>Database!UUM5</f>
        <v>0</v>
      </c>
      <c r="UTU3">
        <f>Database!UUN5</f>
        <v>0</v>
      </c>
      <c r="UTV3">
        <f>Database!UUO5</f>
        <v>0</v>
      </c>
      <c r="UTW3">
        <f>Database!UUP5</f>
        <v>0</v>
      </c>
      <c r="UTX3">
        <f>Database!UUQ5</f>
        <v>0</v>
      </c>
      <c r="UTY3">
        <f>Database!UUR5</f>
        <v>0</v>
      </c>
      <c r="UTZ3">
        <f>Database!UUS5</f>
        <v>0</v>
      </c>
      <c r="UUA3">
        <f>Database!UUT5</f>
        <v>0</v>
      </c>
      <c r="UUB3">
        <f>Database!UUU5</f>
        <v>0</v>
      </c>
      <c r="UUC3">
        <f>Database!UUV5</f>
        <v>0</v>
      </c>
      <c r="UUD3">
        <f>Database!UUW5</f>
        <v>0</v>
      </c>
      <c r="UUE3">
        <f>Database!UUX5</f>
        <v>0</v>
      </c>
      <c r="UUF3">
        <f>Database!UUY5</f>
        <v>0</v>
      </c>
      <c r="UUG3">
        <f>Database!UUZ5</f>
        <v>0</v>
      </c>
      <c r="UUH3">
        <f>Database!UVA5</f>
        <v>0</v>
      </c>
      <c r="UUI3">
        <f>Database!UVB5</f>
        <v>0</v>
      </c>
      <c r="UUJ3">
        <f>Database!UVC5</f>
        <v>0</v>
      </c>
      <c r="UUK3">
        <f>Database!UVD5</f>
        <v>0</v>
      </c>
      <c r="UUL3">
        <f>Database!UVE5</f>
        <v>0</v>
      </c>
      <c r="UUM3">
        <f>Database!UVF5</f>
        <v>0</v>
      </c>
      <c r="UUN3">
        <f>Database!UVG5</f>
        <v>0</v>
      </c>
      <c r="UUO3">
        <f>Database!UVH5</f>
        <v>0</v>
      </c>
      <c r="UUP3">
        <f>Database!UVI5</f>
        <v>0</v>
      </c>
      <c r="UUQ3">
        <f>Database!UVJ5</f>
        <v>0</v>
      </c>
      <c r="UUR3">
        <f>Database!UVK5</f>
        <v>0</v>
      </c>
      <c r="UUS3">
        <f>Database!UVL5</f>
        <v>0</v>
      </c>
      <c r="UUT3">
        <f>Database!UVM5</f>
        <v>0</v>
      </c>
      <c r="UUU3">
        <f>Database!UVN5</f>
        <v>0</v>
      </c>
      <c r="UUV3">
        <f>Database!UVO5</f>
        <v>0</v>
      </c>
      <c r="UUW3">
        <f>Database!UVP5</f>
        <v>0</v>
      </c>
      <c r="UUX3">
        <f>Database!UVQ5</f>
        <v>0</v>
      </c>
      <c r="UUY3">
        <f>Database!UVR5</f>
        <v>0</v>
      </c>
      <c r="UUZ3">
        <f>Database!UVS5</f>
        <v>0</v>
      </c>
      <c r="UVA3">
        <f>Database!UVT5</f>
        <v>0</v>
      </c>
      <c r="UVB3">
        <f>Database!UVU5</f>
        <v>0</v>
      </c>
      <c r="UVC3">
        <f>Database!UVV5</f>
        <v>0</v>
      </c>
      <c r="UVD3">
        <f>Database!UVW5</f>
        <v>0</v>
      </c>
      <c r="UVE3">
        <f>Database!UVX5</f>
        <v>0</v>
      </c>
      <c r="UVF3">
        <f>Database!UVY5</f>
        <v>0</v>
      </c>
      <c r="UVG3">
        <f>Database!UVZ5</f>
        <v>0</v>
      </c>
      <c r="UVH3">
        <f>Database!UWA5</f>
        <v>0</v>
      </c>
      <c r="UVI3">
        <f>Database!UWB5</f>
        <v>0</v>
      </c>
      <c r="UVJ3">
        <f>Database!UWC5</f>
        <v>0</v>
      </c>
      <c r="UVK3">
        <f>Database!UWD5</f>
        <v>0</v>
      </c>
      <c r="UVL3">
        <f>Database!UWE5</f>
        <v>0</v>
      </c>
      <c r="UVM3">
        <f>Database!UWF5</f>
        <v>0</v>
      </c>
      <c r="UVN3">
        <f>Database!UWG5</f>
        <v>0</v>
      </c>
      <c r="UVO3">
        <f>Database!UWH5</f>
        <v>0</v>
      </c>
      <c r="UVP3">
        <f>Database!UWI5</f>
        <v>0</v>
      </c>
      <c r="UVQ3">
        <f>Database!UWJ5</f>
        <v>0</v>
      </c>
      <c r="UVR3">
        <f>Database!UWK5</f>
        <v>0</v>
      </c>
      <c r="UVS3">
        <f>Database!UWL5</f>
        <v>0</v>
      </c>
      <c r="UVT3">
        <f>Database!UWM5</f>
        <v>0</v>
      </c>
      <c r="UVU3">
        <f>Database!UWN5</f>
        <v>0</v>
      </c>
      <c r="UVV3">
        <f>Database!UWO5</f>
        <v>0</v>
      </c>
      <c r="UVW3">
        <f>Database!UWP5</f>
        <v>0</v>
      </c>
      <c r="UVX3">
        <f>Database!UWQ5</f>
        <v>0</v>
      </c>
      <c r="UVY3">
        <f>Database!UWR5</f>
        <v>0</v>
      </c>
      <c r="UVZ3">
        <f>Database!UWS5</f>
        <v>0</v>
      </c>
      <c r="UWA3">
        <f>Database!UWT5</f>
        <v>0</v>
      </c>
      <c r="UWB3">
        <f>Database!UWU5</f>
        <v>0</v>
      </c>
      <c r="UWC3">
        <f>Database!UWV5</f>
        <v>0</v>
      </c>
      <c r="UWD3">
        <f>Database!UWW5</f>
        <v>0</v>
      </c>
      <c r="UWE3">
        <f>Database!UWX5</f>
        <v>0</v>
      </c>
      <c r="UWF3">
        <f>Database!UWY5</f>
        <v>0</v>
      </c>
      <c r="UWG3">
        <f>Database!UWZ5</f>
        <v>0</v>
      </c>
      <c r="UWH3">
        <f>Database!UXA5</f>
        <v>0</v>
      </c>
      <c r="UWI3">
        <f>Database!UXB5</f>
        <v>0</v>
      </c>
      <c r="UWJ3">
        <f>Database!UXC5</f>
        <v>0</v>
      </c>
      <c r="UWK3">
        <f>Database!UXD5</f>
        <v>0</v>
      </c>
      <c r="UWL3">
        <f>Database!UXE5</f>
        <v>0</v>
      </c>
      <c r="UWM3">
        <f>Database!UXF5</f>
        <v>0</v>
      </c>
      <c r="UWN3">
        <f>Database!UXG5</f>
        <v>0</v>
      </c>
      <c r="UWO3">
        <f>Database!UXH5</f>
        <v>0</v>
      </c>
      <c r="UWP3">
        <f>Database!UXI5</f>
        <v>0</v>
      </c>
      <c r="UWQ3">
        <f>Database!UXJ5</f>
        <v>0</v>
      </c>
      <c r="UWR3">
        <f>Database!UXK5</f>
        <v>0</v>
      </c>
      <c r="UWS3">
        <f>Database!UXL5</f>
        <v>0</v>
      </c>
      <c r="UWT3">
        <f>Database!UXM5</f>
        <v>0</v>
      </c>
      <c r="UWU3">
        <f>Database!UXN5</f>
        <v>0</v>
      </c>
      <c r="UWV3">
        <f>Database!UXO5</f>
        <v>0</v>
      </c>
      <c r="UWW3">
        <f>Database!UXP5</f>
        <v>0</v>
      </c>
      <c r="UWX3">
        <f>Database!UXQ5</f>
        <v>0</v>
      </c>
      <c r="UWY3">
        <f>Database!UXR5</f>
        <v>0</v>
      </c>
      <c r="UWZ3">
        <f>Database!UXS5</f>
        <v>0</v>
      </c>
      <c r="UXA3">
        <f>Database!UXT5</f>
        <v>0</v>
      </c>
      <c r="UXB3">
        <f>Database!UXU5</f>
        <v>0</v>
      </c>
      <c r="UXC3">
        <f>Database!UXV5</f>
        <v>0</v>
      </c>
      <c r="UXD3">
        <f>Database!UXW5</f>
        <v>0</v>
      </c>
      <c r="UXE3">
        <f>Database!UXX5</f>
        <v>0</v>
      </c>
      <c r="UXF3">
        <f>Database!UXY5</f>
        <v>0</v>
      </c>
      <c r="UXG3">
        <f>Database!UXZ5</f>
        <v>0</v>
      </c>
      <c r="UXH3">
        <f>Database!UYA5</f>
        <v>0</v>
      </c>
      <c r="UXI3">
        <f>Database!UYB5</f>
        <v>0</v>
      </c>
      <c r="UXJ3">
        <f>Database!UYC5</f>
        <v>0</v>
      </c>
      <c r="UXK3">
        <f>Database!UYD5</f>
        <v>0</v>
      </c>
      <c r="UXL3">
        <f>Database!UYE5</f>
        <v>0</v>
      </c>
      <c r="UXM3">
        <f>Database!UYF5</f>
        <v>0</v>
      </c>
      <c r="UXN3">
        <f>Database!UYG5</f>
        <v>0</v>
      </c>
      <c r="UXO3">
        <f>Database!UYH5</f>
        <v>0</v>
      </c>
      <c r="UXP3">
        <f>Database!UYI5</f>
        <v>0</v>
      </c>
      <c r="UXQ3">
        <f>Database!UYJ5</f>
        <v>0</v>
      </c>
      <c r="UXR3">
        <f>Database!UYK5</f>
        <v>0</v>
      </c>
      <c r="UXS3">
        <f>Database!UYL5</f>
        <v>0</v>
      </c>
      <c r="UXT3">
        <f>Database!UYM5</f>
        <v>0</v>
      </c>
      <c r="UXU3">
        <f>Database!UYN5</f>
        <v>0</v>
      </c>
      <c r="UXV3">
        <f>Database!UYO5</f>
        <v>0</v>
      </c>
      <c r="UXW3">
        <f>Database!UYP5</f>
        <v>0</v>
      </c>
      <c r="UXX3">
        <f>Database!UYQ5</f>
        <v>0</v>
      </c>
      <c r="UXY3">
        <f>Database!UYR5</f>
        <v>0</v>
      </c>
      <c r="UXZ3">
        <f>Database!UYS5</f>
        <v>0</v>
      </c>
      <c r="UYA3">
        <f>Database!UYT5</f>
        <v>0</v>
      </c>
      <c r="UYB3">
        <f>Database!UYU5</f>
        <v>0</v>
      </c>
      <c r="UYC3">
        <f>Database!UYV5</f>
        <v>0</v>
      </c>
      <c r="UYD3">
        <f>Database!UYW5</f>
        <v>0</v>
      </c>
      <c r="UYE3">
        <f>Database!UYX5</f>
        <v>0</v>
      </c>
      <c r="UYF3">
        <f>Database!UYY5</f>
        <v>0</v>
      </c>
      <c r="UYG3">
        <f>Database!UYZ5</f>
        <v>0</v>
      </c>
      <c r="UYH3">
        <f>Database!UZA5</f>
        <v>0</v>
      </c>
      <c r="UYI3">
        <f>Database!UZB5</f>
        <v>0</v>
      </c>
      <c r="UYJ3">
        <f>Database!UZC5</f>
        <v>0</v>
      </c>
      <c r="UYK3">
        <f>Database!UZD5</f>
        <v>0</v>
      </c>
      <c r="UYL3">
        <f>Database!UZE5</f>
        <v>0</v>
      </c>
      <c r="UYM3">
        <f>Database!UZF5</f>
        <v>0</v>
      </c>
      <c r="UYN3">
        <f>Database!UZG5</f>
        <v>0</v>
      </c>
      <c r="UYO3">
        <f>Database!UZH5</f>
        <v>0</v>
      </c>
      <c r="UYP3">
        <f>Database!UZI5</f>
        <v>0</v>
      </c>
      <c r="UYQ3">
        <f>Database!UZJ5</f>
        <v>0</v>
      </c>
      <c r="UYR3">
        <f>Database!UZK5</f>
        <v>0</v>
      </c>
      <c r="UYS3">
        <f>Database!UZL5</f>
        <v>0</v>
      </c>
      <c r="UYT3">
        <f>Database!UZM5</f>
        <v>0</v>
      </c>
      <c r="UYU3">
        <f>Database!UZN5</f>
        <v>0</v>
      </c>
      <c r="UYV3">
        <f>Database!UZO5</f>
        <v>0</v>
      </c>
      <c r="UYW3">
        <f>Database!UZP5</f>
        <v>0</v>
      </c>
      <c r="UYX3">
        <f>Database!UZQ5</f>
        <v>0</v>
      </c>
      <c r="UYY3">
        <f>Database!UZR5</f>
        <v>0</v>
      </c>
      <c r="UYZ3">
        <f>Database!UZS5</f>
        <v>0</v>
      </c>
      <c r="UZA3">
        <f>Database!UZT5</f>
        <v>0</v>
      </c>
      <c r="UZB3">
        <f>Database!UZU5</f>
        <v>0</v>
      </c>
      <c r="UZC3">
        <f>Database!UZV5</f>
        <v>0</v>
      </c>
      <c r="UZD3">
        <f>Database!UZW5</f>
        <v>0</v>
      </c>
      <c r="UZE3">
        <f>Database!UZX5</f>
        <v>0</v>
      </c>
      <c r="UZF3">
        <f>Database!UZY5</f>
        <v>0</v>
      </c>
      <c r="UZG3">
        <f>Database!UZZ5</f>
        <v>0</v>
      </c>
      <c r="UZH3">
        <f>Database!VAA5</f>
        <v>0</v>
      </c>
      <c r="UZI3">
        <f>Database!VAB5</f>
        <v>0</v>
      </c>
      <c r="UZJ3">
        <f>Database!VAC5</f>
        <v>0</v>
      </c>
      <c r="UZK3">
        <f>Database!VAD5</f>
        <v>0</v>
      </c>
      <c r="UZL3">
        <f>Database!VAE5</f>
        <v>0</v>
      </c>
      <c r="UZM3">
        <f>Database!VAF5</f>
        <v>0</v>
      </c>
      <c r="UZN3">
        <f>Database!VAG5</f>
        <v>0</v>
      </c>
      <c r="UZO3">
        <f>Database!VAH5</f>
        <v>0</v>
      </c>
      <c r="UZP3">
        <f>Database!VAI5</f>
        <v>0</v>
      </c>
      <c r="UZQ3">
        <f>Database!VAJ5</f>
        <v>0</v>
      </c>
      <c r="UZR3">
        <f>Database!VAK5</f>
        <v>0</v>
      </c>
      <c r="UZS3">
        <f>Database!VAL5</f>
        <v>0</v>
      </c>
      <c r="UZT3">
        <f>Database!VAM5</f>
        <v>0</v>
      </c>
      <c r="UZU3">
        <f>Database!VAN5</f>
        <v>0</v>
      </c>
      <c r="UZV3">
        <f>Database!VAO5</f>
        <v>0</v>
      </c>
      <c r="UZW3">
        <f>Database!VAP5</f>
        <v>0</v>
      </c>
      <c r="UZX3">
        <f>Database!VAQ5</f>
        <v>0</v>
      </c>
      <c r="UZY3">
        <f>Database!VAR5</f>
        <v>0</v>
      </c>
      <c r="UZZ3">
        <f>Database!VAS5</f>
        <v>0</v>
      </c>
      <c r="VAA3">
        <f>Database!VAT5</f>
        <v>0</v>
      </c>
      <c r="VAB3">
        <f>Database!VAU5</f>
        <v>0</v>
      </c>
      <c r="VAC3">
        <f>Database!VAV5</f>
        <v>0</v>
      </c>
      <c r="VAD3">
        <f>Database!VAW5</f>
        <v>0</v>
      </c>
      <c r="VAE3">
        <f>Database!VAX5</f>
        <v>0</v>
      </c>
      <c r="VAF3">
        <f>Database!VAY5</f>
        <v>0</v>
      </c>
      <c r="VAG3">
        <f>Database!VAZ5</f>
        <v>0</v>
      </c>
      <c r="VAH3">
        <f>Database!VBA5</f>
        <v>0</v>
      </c>
      <c r="VAI3">
        <f>Database!VBB5</f>
        <v>0</v>
      </c>
      <c r="VAJ3">
        <f>Database!VBC5</f>
        <v>0</v>
      </c>
      <c r="VAK3">
        <f>Database!VBD5</f>
        <v>0</v>
      </c>
      <c r="VAL3">
        <f>Database!VBE5</f>
        <v>0</v>
      </c>
      <c r="VAM3">
        <f>Database!VBF5</f>
        <v>0</v>
      </c>
      <c r="VAN3">
        <f>Database!VBG5</f>
        <v>0</v>
      </c>
      <c r="VAO3">
        <f>Database!VBH5</f>
        <v>0</v>
      </c>
      <c r="VAP3">
        <f>Database!VBI5</f>
        <v>0</v>
      </c>
      <c r="VAQ3">
        <f>Database!VBJ5</f>
        <v>0</v>
      </c>
      <c r="VAR3">
        <f>Database!VBK5</f>
        <v>0</v>
      </c>
      <c r="VAS3">
        <f>Database!VBL5</f>
        <v>0</v>
      </c>
      <c r="VAT3">
        <f>Database!VBM5</f>
        <v>0</v>
      </c>
      <c r="VAU3">
        <f>Database!VBN5</f>
        <v>0</v>
      </c>
      <c r="VAV3">
        <f>Database!VBO5</f>
        <v>0</v>
      </c>
      <c r="VAW3">
        <f>Database!VBP5</f>
        <v>0</v>
      </c>
      <c r="VAX3">
        <f>Database!VBQ5</f>
        <v>0</v>
      </c>
      <c r="VAY3">
        <f>Database!VBR5</f>
        <v>0</v>
      </c>
      <c r="VAZ3">
        <f>Database!VBS5</f>
        <v>0</v>
      </c>
      <c r="VBA3">
        <f>Database!VBT5</f>
        <v>0</v>
      </c>
      <c r="VBB3">
        <f>Database!VBU5</f>
        <v>0</v>
      </c>
      <c r="VBC3">
        <f>Database!VBV5</f>
        <v>0</v>
      </c>
      <c r="VBD3">
        <f>Database!VBW5</f>
        <v>0</v>
      </c>
      <c r="VBE3">
        <f>Database!VBX5</f>
        <v>0</v>
      </c>
      <c r="VBF3">
        <f>Database!VBY5</f>
        <v>0</v>
      </c>
      <c r="VBG3">
        <f>Database!VBZ5</f>
        <v>0</v>
      </c>
      <c r="VBH3">
        <f>Database!VCA5</f>
        <v>0</v>
      </c>
      <c r="VBI3">
        <f>Database!VCB5</f>
        <v>0</v>
      </c>
      <c r="VBJ3">
        <f>Database!VCC5</f>
        <v>0</v>
      </c>
      <c r="VBK3">
        <f>Database!VCD5</f>
        <v>0</v>
      </c>
      <c r="VBL3">
        <f>Database!VCE5</f>
        <v>0</v>
      </c>
      <c r="VBM3">
        <f>Database!VCF5</f>
        <v>0</v>
      </c>
      <c r="VBN3">
        <f>Database!VCG5</f>
        <v>0</v>
      </c>
      <c r="VBO3">
        <f>Database!VCH5</f>
        <v>0</v>
      </c>
      <c r="VBP3">
        <f>Database!VCI5</f>
        <v>0</v>
      </c>
      <c r="VBQ3">
        <f>Database!VCJ5</f>
        <v>0</v>
      </c>
      <c r="VBR3">
        <f>Database!VCK5</f>
        <v>0</v>
      </c>
      <c r="VBS3">
        <f>Database!VCL5</f>
        <v>0</v>
      </c>
      <c r="VBT3">
        <f>Database!VCM5</f>
        <v>0</v>
      </c>
      <c r="VBU3">
        <f>Database!VCN5</f>
        <v>0</v>
      </c>
      <c r="VBV3">
        <f>Database!VCO5</f>
        <v>0</v>
      </c>
      <c r="VBW3">
        <f>Database!VCP5</f>
        <v>0</v>
      </c>
      <c r="VBX3">
        <f>Database!VCQ5</f>
        <v>0</v>
      </c>
      <c r="VBY3">
        <f>Database!VCR5</f>
        <v>0</v>
      </c>
      <c r="VBZ3">
        <f>Database!VCS5</f>
        <v>0</v>
      </c>
      <c r="VCA3">
        <f>Database!VCT5</f>
        <v>0</v>
      </c>
      <c r="VCB3">
        <f>Database!VCU5</f>
        <v>0</v>
      </c>
      <c r="VCC3">
        <f>Database!VCV5</f>
        <v>0</v>
      </c>
      <c r="VCD3">
        <f>Database!VCW5</f>
        <v>0</v>
      </c>
      <c r="VCE3">
        <f>Database!VCX5</f>
        <v>0</v>
      </c>
      <c r="VCF3">
        <f>Database!VCY5</f>
        <v>0</v>
      </c>
      <c r="VCG3">
        <f>Database!VCZ5</f>
        <v>0</v>
      </c>
      <c r="VCH3">
        <f>Database!VDA5</f>
        <v>0</v>
      </c>
      <c r="VCI3">
        <f>Database!VDB5</f>
        <v>0</v>
      </c>
      <c r="VCJ3">
        <f>Database!VDC5</f>
        <v>0</v>
      </c>
      <c r="VCK3">
        <f>Database!VDD5</f>
        <v>0</v>
      </c>
      <c r="VCL3">
        <f>Database!VDE5</f>
        <v>0</v>
      </c>
      <c r="VCM3">
        <f>Database!VDF5</f>
        <v>0</v>
      </c>
      <c r="VCN3">
        <f>Database!VDG5</f>
        <v>0</v>
      </c>
      <c r="VCO3">
        <f>Database!VDH5</f>
        <v>0</v>
      </c>
      <c r="VCP3">
        <f>Database!VDI5</f>
        <v>0</v>
      </c>
      <c r="VCQ3">
        <f>Database!VDJ5</f>
        <v>0</v>
      </c>
      <c r="VCR3">
        <f>Database!VDK5</f>
        <v>0</v>
      </c>
      <c r="VCS3">
        <f>Database!VDL5</f>
        <v>0</v>
      </c>
      <c r="VCT3">
        <f>Database!VDM5</f>
        <v>0</v>
      </c>
      <c r="VCU3">
        <f>Database!VDN5</f>
        <v>0</v>
      </c>
      <c r="VCV3">
        <f>Database!VDO5</f>
        <v>0</v>
      </c>
      <c r="VCW3">
        <f>Database!VDP5</f>
        <v>0</v>
      </c>
      <c r="VCX3">
        <f>Database!VDQ5</f>
        <v>0</v>
      </c>
      <c r="VCY3">
        <f>Database!VDR5</f>
        <v>0</v>
      </c>
      <c r="VCZ3">
        <f>Database!VDS5</f>
        <v>0</v>
      </c>
      <c r="VDA3">
        <f>Database!VDT5</f>
        <v>0</v>
      </c>
      <c r="VDB3">
        <f>Database!VDU5</f>
        <v>0</v>
      </c>
      <c r="VDC3">
        <f>Database!VDV5</f>
        <v>0</v>
      </c>
      <c r="VDD3">
        <f>Database!VDW5</f>
        <v>0</v>
      </c>
      <c r="VDE3">
        <f>Database!VDX5</f>
        <v>0</v>
      </c>
      <c r="VDF3">
        <f>Database!VDY5</f>
        <v>0</v>
      </c>
      <c r="VDG3">
        <f>Database!VDZ5</f>
        <v>0</v>
      </c>
      <c r="VDH3">
        <f>Database!VEA5</f>
        <v>0</v>
      </c>
      <c r="VDI3">
        <f>Database!VEB5</f>
        <v>0</v>
      </c>
      <c r="VDJ3">
        <f>Database!VEC5</f>
        <v>0</v>
      </c>
      <c r="VDK3">
        <f>Database!VED5</f>
        <v>0</v>
      </c>
      <c r="VDL3">
        <f>Database!VEE5</f>
        <v>0</v>
      </c>
      <c r="VDM3">
        <f>Database!VEF5</f>
        <v>0</v>
      </c>
      <c r="VDN3">
        <f>Database!VEG5</f>
        <v>0</v>
      </c>
      <c r="VDO3">
        <f>Database!VEH5</f>
        <v>0</v>
      </c>
      <c r="VDP3">
        <f>Database!VEI5</f>
        <v>0</v>
      </c>
      <c r="VDQ3">
        <f>Database!VEJ5</f>
        <v>0</v>
      </c>
      <c r="VDR3">
        <f>Database!VEK5</f>
        <v>0</v>
      </c>
      <c r="VDS3">
        <f>Database!VEL5</f>
        <v>0</v>
      </c>
      <c r="VDT3">
        <f>Database!VEM5</f>
        <v>0</v>
      </c>
      <c r="VDU3">
        <f>Database!VEN5</f>
        <v>0</v>
      </c>
      <c r="VDV3">
        <f>Database!VEO5</f>
        <v>0</v>
      </c>
      <c r="VDW3">
        <f>Database!VEP5</f>
        <v>0</v>
      </c>
      <c r="VDX3">
        <f>Database!VEQ5</f>
        <v>0</v>
      </c>
      <c r="VDY3">
        <f>Database!VER5</f>
        <v>0</v>
      </c>
      <c r="VDZ3">
        <f>Database!VES5</f>
        <v>0</v>
      </c>
      <c r="VEA3">
        <f>Database!VET5</f>
        <v>0</v>
      </c>
      <c r="VEB3">
        <f>Database!VEU5</f>
        <v>0</v>
      </c>
      <c r="VEC3">
        <f>Database!VEV5</f>
        <v>0</v>
      </c>
      <c r="VED3">
        <f>Database!VEW5</f>
        <v>0</v>
      </c>
      <c r="VEE3">
        <f>Database!VEX5</f>
        <v>0</v>
      </c>
      <c r="VEF3">
        <f>Database!VEY5</f>
        <v>0</v>
      </c>
      <c r="VEG3">
        <f>Database!VEZ5</f>
        <v>0</v>
      </c>
      <c r="VEH3">
        <f>Database!VFA5</f>
        <v>0</v>
      </c>
      <c r="VEI3">
        <f>Database!VFB5</f>
        <v>0</v>
      </c>
      <c r="VEJ3">
        <f>Database!VFC5</f>
        <v>0</v>
      </c>
      <c r="VEK3">
        <f>Database!VFD5</f>
        <v>0</v>
      </c>
      <c r="VEL3">
        <f>Database!VFE5</f>
        <v>0</v>
      </c>
      <c r="VEM3">
        <f>Database!VFF5</f>
        <v>0</v>
      </c>
      <c r="VEN3">
        <f>Database!VFG5</f>
        <v>0</v>
      </c>
      <c r="VEO3">
        <f>Database!VFH5</f>
        <v>0</v>
      </c>
      <c r="VEP3">
        <f>Database!VFI5</f>
        <v>0</v>
      </c>
      <c r="VEQ3">
        <f>Database!VFJ5</f>
        <v>0</v>
      </c>
      <c r="VER3">
        <f>Database!VFK5</f>
        <v>0</v>
      </c>
      <c r="VES3">
        <f>Database!VFL5</f>
        <v>0</v>
      </c>
      <c r="VET3">
        <f>Database!VFM5</f>
        <v>0</v>
      </c>
      <c r="VEU3">
        <f>Database!VFN5</f>
        <v>0</v>
      </c>
      <c r="VEV3">
        <f>Database!VFO5</f>
        <v>0</v>
      </c>
      <c r="VEW3">
        <f>Database!VFP5</f>
        <v>0</v>
      </c>
      <c r="VEX3">
        <f>Database!VFQ5</f>
        <v>0</v>
      </c>
      <c r="VEY3">
        <f>Database!VFR5</f>
        <v>0</v>
      </c>
      <c r="VEZ3">
        <f>Database!VFS5</f>
        <v>0</v>
      </c>
      <c r="VFA3">
        <f>Database!VFT5</f>
        <v>0</v>
      </c>
      <c r="VFB3">
        <f>Database!VFU5</f>
        <v>0</v>
      </c>
      <c r="VFC3">
        <f>Database!VFV5</f>
        <v>0</v>
      </c>
      <c r="VFD3">
        <f>Database!VFW5</f>
        <v>0</v>
      </c>
      <c r="VFE3">
        <f>Database!VFX5</f>
        <v>0</v>
      </c>
      <c r="VFF3">
        <f>Database!VFY5</f>
        <v>0</v>
      </c>
      <c r="VFG3">
        <f>Database!VFZ5</f>
        <v>0</v>
      </c>
      <c r="VFH3">
        <f>Database!VGA5</f>
        <v>0</v>
      </c>
      <c r="VFI3">
        <f>Database!VGB5</f>
        <v>0</v>
      </c>
      <c r="VFJ3">
        <f>Database!VGC5</f>
        <v>0</v>
      </c>
      <c r="VFK3">
        <f>Database!VGD5</f>
        <v>0</v>
      </c>
      <c r="VFL3">
        <f>Database!VGE5</f>
        <v>0</v>
      </c>
      <c r="VFM3">
        <f>Database!VGF5</f>
        <v>0</v>
      </c>
      <c r="VFN3">
        <f>Database!VGG5</f>
        <v>0</v>
      </c>
      <c r="VFO3">
        <f>Database!VGH5</f>
        <v>0</v>
      </c>
      <c r="VFP3">
        <f>Database!VGI5</f>
        <v>0</v>
      </c>
      <c r="VFQ3">
        <f>Database!VGJ5</f>
        <v>0</v>
      </c>
      <c r="VFR3">
        <f>Database!VGK5</f>
        <v>0</v>
      </c>
      <c r="VFS3">
        <f>Database!VGL5</f>
        <v>0</v>
      </c>
      <c r="VFT3">
        <f>Database!VGM5</f>
        <v>0</v>
      </c>
      <c r="VFU3">
        <f>Database!VGN5</f>
        <v>0</v>
      </c>
      <c r="VFV3">
        <f>Database!VGO5</f>
        <v>0</v>
      </c>
      <c r="VFW3">
        <f>Database!VGP5</f>
        <v>0</v>
      </c>
      <c r="VFX3">
        <f>Database!VGQ5</f>
        <v>0</v>
      </c>
      <c r="VFY3">
        <f>Database!VGR5</f>
        <v>0</v>
      </c>
      <c r="VFZ3">
        <f>Database!VGS5</f>
        <v>0</v>
      </c>
      <c r="VGA3">
        <f>Database!VGT5</f>
        <v>0</v>
      </c>
      <c r="VGB3">
        <f>Database!VGU5</f>
        <v>0</v>
      </c>
      <c r="VGC3">
        <f>Database!VGV5</f>
        <v>0</v>
      </c>
      <c r="VGD3">
        <f>Database!VGW5</f>
        <v>0</v>
      </c>
      <c r="VGE3">
        <f>Database!VGX5</f>
        <v>0</v>
      </c>
      <c r="VGF3">
        <f>Database!VGY5</f>
        <v>0</v>
      </c>
      <c r="VGG3">
        <f>Database!VGZ5</f>
        <v>0</v>
      </c>
      <c r="VGH3">
        <f>Database!VHA5</f>
        <v>0</v>
      </c>
      <c r="VGI3">
        <f>Database!VHB5</f>
        <v>0</v>
      </c>
      <c r="VGJ3">
        <f>Database!VHC5</f>
        <v>0</v>
      </c>
      <c r="VGK3">
        <f>Database!VHD5</f>
        <v>0</v>
      </c>
      <c r="VGL3">
        <f>Database!VHE5</f>
        <v>0</v>
      </c>
      <c r="VGM3">
        <f>Database!VHF5</f>
        <v>0</v>
      </c>
      <c r="VGN3">
        <f>Database!VHG5</f>
        <v>0</v>
      </c>
      <c r="VGO3">
        <f>Database!VHH5</f>
        <v>0</v>
      </c>
      <c r="VGP3">
        <f>Database!VHI5</f>
        <v>0</v>
      </c>
      <c r="VGQ3">
        <f>Database!VHJ5</f>
        <v>0</v>
      </c>
      <c r="VGR3">
        <f>Database!VHK5</f>
        <v>0</v>
      </c>
      <c r="VGS3">
        <f>Database!VHL5</f>
        <v>0</v>
      </c>
      <c r="VGT3">
        <f>Database!VHM5</f>
        <v>0</v>
      </c>
      <c r="VGU3">
        <f>Database!VHN5</f>
        <v>0</v>
      </c>
      <c r="VGV3">
        <f>Database!VHO5</f>
        <v>0</v>
      </c>
      <c r="VGW3">
        <f>Database!VHP5</f>
        <v>0</v>
      </c>
      <c r="VGX3">
        <f>Database!VHQ5</f>
        <v>0</v>
      </c>
      <c r="VGY3">
        <f>Database!VHR5</f>
        <v>0</v>
      </c>
      <c r="VGZ3">
        <f>Database!VHS5</f>
        <v>0</v>
      </c>
      <c r="VHA3">
        <f>Database!VHT5</f>
        <v>0</v>
      </c>
      <c r="VHB3">
        <f>Database!VHU5</f>
        <v>0</v>
      </c>
      <c r="VHC3">
        <f>Database!VHV5</f>
        <v>0</v>
      </c>
      <c r="VHD3">
        <f>Database!VHW5</f>
        <v>0</v>
      </c>
      <c r="VHE3">
        <f>Database!VHX5</f>
        <v>0</v>
      </c>
      <c r="VHF3">
        <f>Database!VHY5</f>
        <v>0</v>
      </c>
      <c r="VHG3">
        <f>Database!VHZ5</f>
        <v>0</v>
      </c>
      <c r="VHH3">
        <f>Database!VIA5</f>
        <v>0</v>
      </c>
      <c r="VHI3">
        <f>Database!VIB5</f>
        <v>0</v>
      </c>
      <c r="VHJ3">
        <f>Database!VIC5</f>
        <v>0</v>
      </c>
      <c r="VHK3">
        <f>Database!VID5</f>
        <v>0</v>
      </c>
      <c r="VHL3">
        <f>Database!VIE5</f>
        <v>0</v>
      </c>
      <c r="VHM3">
        <f>Database!VIF5</f>
        <v>0</v>
      </c>
      <c r="VHN3">
        <f>Database!VIG5</f>
        <v>0</v>
      </c>
      <c r="VHO3">
        <f>Database!VIH5</f>
        <v>0</v>
      </c>
      <c r="VHP3">
        <f>Database!VII5</f>
        <v>0</v>
      </c>
      <c r="VHQ3">
        <f>Database!VIJ5</f>
        <v>0</v>
      </c>
      <c r="VHR3">
        <f>Database!VIK5</f>
        <v>0</v>
      </c>
      <c r="VHS3">
        <f>Database!VIL5</f>
        <v>0</v>
      </c>
      <c r="VHT3">
        <f>Database!VIM5</f>
        <v>0</v>
      </c>
      <c r="VHU3">
        <f>Database!VIN5</f>
        <v>0</v>
      </c>
      <c r="VHV3">
        <f>Database!VIO5</f>
        <v>0</v>
      </c>
      <c r="VHW3">
        <f>Database!VIP5</f>
        <v>0</v>
      </c>
      <c r="VHX3">
        <f>Database!VIQ5</f>
        <v>0</v>
      </c>
      <c r="VHY3">
        <f>Database!VIR5</f>
        <v>0</v>
      </c>
      <c r="VHZ3">
        <f>Database!VIS5</f>
        <v>0</v>
      </c>
      <c r="VIA3">
        <f>Database!VIT5</f>
        <v>0</v>
      </c>
      <c r="VIB3">
        <f>Database!VIU5</f>
        <v>0</v>
      </c>
      <c r="VIC3">
        <f>Database!VIV5</f>
        <v>0</v>
      </c>
      <c r="VID3">
        <f>Database!VIW5</f>
        <v>0</v>
      </c>
      <c r="VIE3">
        <f>Database!VIX5</f>
        <v>0</v>
      </c>
      <c r="VIF3">
        <f>Database!VIY5</f>
        <v>0</v>
      </c>
      <c r="VIG3">
        <f>Database!VIZ5</f>
        <v>0</v>
      </c>
      <c r="VIH3">
        <f>Database!VJA5</f>
        <v>0</v>
      </c>
      <c r="VII3">
        <f>Database!VJB5</f>
        <v>0</v>
      </c>
      <c r="VIJ3">
        <f>Database!VJC5</f>
        <v>0</v>
      </c>
      <c r="VIK3">
        <f>Database!VJD5</f>
        <v>0</v>
      </c>
      <c r="VIL3">
        <f>Database!VJE5</f>
        <v>0</v>
      </c>
      <c r="VIM3">
        <f>Database!VJF5</f>
        <v>0</v>
      </c>
      <c r="VIN3">
        <f>Database!VJG5</f>
        <v>0</v>
      </c>
      <c r="VIO3">
        <f>Database!VJH5</f>
        <v>0</v>
      </c>
      <c r="VIP3">
        <f>Database!VJI5</f>
        <v>0</v>
      </c>
      <c r="VIQ3">
        <f>Database!VJJ5</f>
        <v>0</v>
      </c>
      <c r="VIR3">
        <f>Database!VJK5</f>
        <v>0</v>
      </c>
      <c r="VIS3">
        <f>Database!VJL5</f>
        <v>0</v>
      </c>
      <c r="VIT3">
        <f>Database!VJM5</f>
        <v>0</v>
      </c>
      <c r="VIU3">
        <f>Database!VJN5</f>
        <v>0</v>
      </c>
      <c r="VIV3">
        <f>Database!VJO5</f>
        <v>0</v>
      </c>
      <c r="VIW3">
        <f>Database!VJP5</f>
        <v>0</v>
      </c>
      <c r="VIX3">
        <f>Database!VJQ5</f>
        <v>0</v>
      </c>
      <c r="VIY3">
        <f>Database!VJR5</f>
        <v>0</v>
      </c>
      <c r="VIZ3">
        <f>Database!VJS5</f>
        <v>0</v>
      </c>
      <c r="VJA3">
        <f>Database!VJT5</f>
        <v>0</v>
      </c>
      <c r="VJB3">
        <f>Database!VJU5</f>
        <v>0</v>
      </c>
      <c r="VJC3">
        <f>Database!VJV5</f>
        <v>0</v>
      </c>
      <c r="VJD3">
        <f>Database!VJW5</f>
        <v>0</v>
      </c>
      <c r="VJE3">
        <f>Database!VJX5</f>
        <v>0</v>
      </c>
      <c r="VJF3">
        <f>Database!VJY5</f>
        <v>0</v>
      </c>
      <c r="VJG3">
        <f>Database!VJZ5</f>
        <v>0</v>
      </c>
      <c r="VJH3">
        <f>Database!VKA5</f>
        <v>0</v>
      </c>
      <c r="VJI3">
        <f>Database!VKB5</f>
        <v>0</v>
      </c>
      <c r="VJJ3">
        <f>Database!VKC5</f>
        <v>0</v>
      </c>
      <c r="VJK3">
        <f>Database!VKD5</f>
        <v>0</v>
      </c>
      <c r="VJL3">
        <f>Database!VKE5</f>
        <v>0</v>
      </c>
      <c r="VJM3">
        <f>Database!VKF5</f>
        <v>0</v>
      </c>
      <c r="VJN3">
        <f>Database!VKG5</f>
        <v>0</v>
      </c>
      <c r="VJO3">
        <f>Database!VKH5</f>
        <v>0</v>
      </c>
      <c r="VJP3">
        <f>Database!VKI5</f>
        <v>0</v>
      </c>
      <c r="VJQ3">
        <f>Database!VKJ5</f>
        <v>0</v>
      </c>
      <c r="VJR3">
        <f>Database!VKK5</f>
        <v>0</v>
      </c>
      <c r="VJS3">
        <f>Database!VKL5</f>
        <v>0</v>
      </c>
      <c r="VJT3">
        <f>Database!VKM5</f>
        <v>0</v>
      </c>
      <c r="VJU3">
        <f>Database!VKN5</f>
        <v>0</v>
      </c>
      <c r="VJV3">
        <f>Database!VKO5</f>
        <v>0</v>
      </c>
      <c r="VJW3">
        <f>Database!VKP5</f>
        <v>0</v>
      </c>
      <c r="VJX3">
        <f>Database!VKQ5</f>
        <v>0</v>
      </c>
      <c r="VJY3">
        <f>Database!VKR5</f>
        <v>0</v>
      </c>
      <c r="VJZ3">
        <f>Database!VKS5</f>
        <v>0</v>
      </c>
      <c r="VKA3">
        <f>Database!VKT5</f>
        <v>0</v>
      </c>
      <c r="VKB3">
        <f>Database!VKU5</f>
        <v>0</v>
      </c>
      <c r="VKC3">
        <f>Database!VKV5</f>
        <v>0</v>
      </c>
      <c r="VKD3">
        <f>Database!VKW5</f>
        <v>0</v>
      </c>
      <c r="VKE3">
        <f>Database!VKX5</f>
        <v>0</v>
      </c>
      <c r="VKF3">
        <f>Database!VKY5</f>
        <v>0</v>
      </c>
      <c r="VKG3">
        <f>Database!VKZ5</f>
        <v>0</v>
      </c>
      <c r="VKH3">
        <f>Database!VLA5</f>
        <v>0</v>
      </c>
      <c r="VKI3">
        <f>Database!VLB5</f>
        <v>0</v>
      </c>
      <c r="VKJ3">
        <f>Database!VLC5</f>
        <v>0</v>
      </c>
      <c r="VKK3">
        <f>Database!VLD5</f>
        <v>0</v>
      </c>
      <c r="VKL3">
        <f>Database!VLE5</f>
        <v>0</v>
      </c>
      <c r="VKM3">
        <f>Database!VLF5</f>
        <v>0</v>
      </c>
      <c r="VKN3">
        <f>Database!VLG5</f>
        <v>0</v>
      </c>
      <c r="VKO3">
        <f>Database!VLH5</f>
        <v>0</v>
      </c>
      <c r="VKP3">
        <f>Database!VLI5</f>
        <v>0</v>
      </c>
      <c r="VKQ3">
        <f>Database!VLJ5</f>
        <v>0</v>
      </c>
      <c r="VKR3">
        <f>Database!VLK5</f>
        <v>0</v>
      </c>
      <c r="VKS3">
        <f>Database!VLL5</f>
        <v>0</v>
      </c>
      <c r="VKT3">
        <f>Database!VLM5</f>
        <v>0</v>
      </c>
      <c r="VKU3">
        <f>Database!VLN5</f>
        <v>0</v>
      </c>
      <c r="VKV3">
        <f>Database!VLO5</f>
        <v>0</v>
      </c>
      <c r="VKW3">
        <f>Database!VLP5</f>
        <v>0</v>
      </c>
      <c r="VKX3">
        <f>Database!VLQ5</f>
        <v>0</v>
      </c>
      <c r="VKY3">
        <f>Database!VLR5</f>
        <v>0</v>
      </c>
      <c r="VKZ3">
        <f>Database!VLS5</f>
        <v>0</v>
      </c>
      <c r="VLA3">
        <f>Database!VLT5</f>
        <v>0</v>
      </c>
      <c r="VLB3">
        <f>Database!VLU5</f>
        <v>0</v>
      </c>
      <c r="VLC3">
        <f>Database!VLV5</f>
        <v>0</v>
      </c>
      <c r="VLD3">
        <f>Database!VLW5</f>
        <v>0</v>
      </c>
      <c r="VLE3">
        <f>Database!VLX5</f>
        <v>0</v>
      </c>
      <c r="VLF3">
        <f>Database!VLY5</f>
        <v>0</v>
      </c>
      <c r="VLG3">
        <f>Database!VLZ5</f>
        <v>0</v>
      </c>
      <c r="VLH3">
        <f>Database!VMA5</f>
        <v>0</v>
      </c>
      <c r="VLI3">
        <f>Database!VMB5</f>
        <v>0</v>
      </c>
      <c r="VLJ3">
        <f>Database!VMC5</f>
        <v>0</v>
      </c>
      <c r="VLK3">
        <f>Database!VMD5</f>
        <v>0</v>
      </c>
      <c r="VLL3">
        <f>Database!VME5</f>
        <v>0</v>
      </c>
      <c r="VLM3">
        <f>Database!VMF5</f>
        <v>0</v>
      </c>
      <c r="VLN3">
        <f>Database!VMG5</f>
        <v>0</v>
      </c>
      <c r="VLO3">
        <f>Database!VMH5</f>
        <v>0</v>
      </c>
      <c r="VLP3">
        <f>Database!VMI5</f>
        <v>0</v>
      </c>
      <c r="VLQ3">
        <f>Database!VMJ5</f>
        <v>0</v>
      </c>
      <c r="VLR3">
        <f>Database!VMK5</f>
        <v>0</v>
      </c>
      <c r="VLS3">
        <f>Database!VML5</f>
        <v>0</v>
      </c>
      <c r="VLT3">
        <f>Database!VMM5</f>
        <v>0</v>
      </c>
      <c r="VLU3">
        <f>Database!VMN5</f>
        <v>0</v>
      </c>
      <c r="VLV3">
        <f>Database!VMO5</f>
        <v>0</v>
      </c>
      <c r="VLW3">
        <f>Database!VMP5</f>
        <v>0</v>
      </c>
      <c r="VLX3">
        <f>Database!VMQ5</f>
        <v>0</v>
      </c>
      <c r="VLY3">
        <f>Database!VMR5</f>
        <v>0</v>
      </c>
      <c r="VLZ3">
        <f>Database!VMS5</f>
        <v>0</v>
      </c>
      <c r="VMA3">
        <f>Database!VMT5</f>
        <v>0</v>
      </c>
      <c r="VMB3">
        <f>Database!VMU5</f>
        <v>0</v>
      </c>
      <c r="VMC3">
        <f>Database!VMV5</f>
        <v>0</v>
      </c>
      <c r="VMD3">
        <f>Database!VMW5</f>
        <v>0</v>
      </c>
      <c r="VME3">
        <f>Database!VMX5</f>
        <v>0</v>
      </c>
      <c r="VMF3">
        <f>Database!VMY5</f>
        <v>0</v>
      </c>
      <c r="VMG3">
        <f>Database!VMZ5</f>
        <v>0</v>
      </c>
      <c r="VMH3">
        <f>Database!VNA5</f>
        <v>0</v>
      </c>
      <c r="VMI3">
        <f>Database!VNB5</f>
        <v>0</v>
      </c>
      <c r="VMJ3">
        <f>Database!VNC5</f>
        <v>0</v>
      </c>
      <c r="VMK3">
        <f>Database!VND5</f>
        <v>0</v>
      </c>
      <c r="VML3">
        <f>Database!VNE5</f>
        <v>0</v>
      </c>
      <c r="VMM3">
        <f>Database!VNF5</f>
        <v>0</v>
      </c>
      <c r="VMN3">
        <f>Database!VNG5</f>
        <v>0</v>
      </c>
      <c r="VMO3">
        <f>Database!VNH5</f>
        <v>0</v>
      </c>
      <c r="VMP3">
        <f>Database!VNI5</f>
        <v>0</v>
      </c>
      <c r="VMQ3">
        <f>Database!VNJ5</f>
        <v>0</v>
      </c>
      <c r="VMR3">
        <f>Database!VNK5</f>
        <v>0</v>
      </c>
      <c r="VMS3">
        <f>Database!VNL5</f>
        <v>0</v>
      </c>
      <c r="VMT3">
        <f>Database!VNM5</f>
        <v>0</v>
      </c>
      <c r="VMU3">
        <f>Database!VNN5</f>
        <v>0</v>
      </c>
      <c r="VMV3">
        <f>Database!VNO5</f>
        <v>0</v>
      </c>
      <c r="VMW3">
        <f>Database!VNP5</f>
        <v>0</v>
      </c>
      <c r="VMX3">
        <f>Database!VNQ5</f>
        <v>0</v>
      </c>
      <c r="VMY3">
        <f>Database!VNR5</f>
        <v>0</v>
      </c>
      <c r="VMZ3">
        <f>Database!VNS5</f>
        <v>0</v>
      </c>
      <c r="VNA3">
        <f>Database!VNT5</f>
        <v>0</v>
      </c>
      <c r="VNB3">
        <f>Database!VNU5</f>
        <v>0</v>
      </c>
      <c r="VNC3">
        <f>Database!VNV5</f>
        <v>0</v>
      </c>
      <c r="VND3">
        <f>Database!VNW5</f>
        <v>0</v>
      </c>
      <c r="VNE3">
        <f>Database!VNX5</f>
        <v>0</v>
      </c>
      <c r="VNF3">
        <f>Database!VNY5</f>
        <v>0</v>
      </c>
      <c r="VNG3">
        <f>Database!VNZ5</f>
        <v>0</v>
      </c>
      <c r="VNH3">
        <f>Database!VOA5</f>
        <v>0</v>
      </c>
      <c r="VNI3">
        <f>Database!VOB5</f>
        <v>0</v>
      </c>
      <c r="VNJ3">
        <f>Database!VOC5</f>
        <v>0</v>
      </c>
      <c r="VNK3">
        <f>Database!VOD5</f>
        <v>0</v>
      </c>
      <c r="VNL3">
        <f>Database!VOE5</f>
        <v>0</v>
      </c>
      <c r="VNM3">
        <f>Database!VOF5</f>
        <v>0</v>
      </c>
      <c r="VNN3">
        <f>Database!VOG5</f>
        <v>0</v>
      </c>
      <c r="VNO3">
        <f>Database!VOH5</f>
        <v>0</v>
      </c>
      <c r="VNP3">
        <f>Database!VOI5</f>
        <v>0</v>
      </c>
      <c r="VNQ3">
        <f>Database!VOJ5</f>
        <v>0</v>
      </c>
      <c r="VNR3">
        <f>Database!VOK5</f>
        <v>0</v>
      </c>
      <c r="VNS3">
        <f>Database!VOL5</f>
        <v>0</v>
      </c>
      <c r="VNT3">
        <f>Database!VOM5</f>
        <v>0</v>
      </c>
      <c r="VNU3">
        <f>Database!VON5</f>
        <v>0</v>
      </c>
      <c r="VNV3">
        <f>Database!VOO5</f>
        <v>0</v>
      </c>
      <c r="VNW3">
        <f>Database!VOP5</f>
        <v>0</v>
      </c>
      <c r="VNX3">
        <f>Database!VOQ5</f>
        <v>0</v>
      </c>
      <c r="VNY3">
        <f>Database!VOR5</f>
        <v>0</v>
      </c>
      <c r="VNZ3">
        <f>Database!VOS5</f>
        <v>0</v>
      </c>
      <c r="VOA3">
        <f>Database!VOT5</f>
        <v>0</v>
      </c>
      <c r="VOB3">
        <f>Database!VOU5</f>
        <v>0</v>
      </c>
      <c r="VOC3">
        <f>Database!VOV5</f>
        <v>0</v>
      </c>
      <c r="VOD3">
        <f>Database!VOW5</f>
        <v>0</v>
      </c>
      <c r="VOE3">
        <f>Database!VOX5</f>
        <v>0</v>
      </c>
      <c r="VOF3">
        <f>Database!VOY5</f>
        <v>0</v>
      </c>
      <c r="VOG3">
        <f>Database!VOZ5</f>
        <v>0</v>
      </c>
      <c r="VOH3">
        <f>Database!VPA5</f>
        <v>0</v>
      </c>
      <c r="VOI3">
        <f>Database!VPB5</f>
        <v>0</v>
      </c>
      <c r="VOJ3">
        <f>Database!VPC5</f>
        <v>0</v>
      </c>
      <c r="VOK3">
        <f>Database!VPD5</f>
        <v>0</v>
      </c>
      <c r="VOL3">
        <f>Database!VPE5</f>
        <v>0</v>
      </c>
      <c r="VOM3">
        <f>Database!VPF5</f>
        <v>0</v>
      </c>
      <c r="VON3">
        <f>Database!VPG5</f>
        <v>0</v>
      </c>
      <c r="VOO3">
        <f>Database!VPH5</f>
        <v>0</v>
      </c>
      <c r="VOP3">
        <f>Database!VPI5</f>
        <v>0</v>
      </c>
      <c r="VOQ3">
        <f>Database!VPJ5</f>
        <v>0</v>
      </c>
      <c r="VOR3">
        <f>Database!VPK5</f>
        <v>0</v>
      </c>
      <c r="VOS3">
        <f>Database!VPL5</f>
        <v>0</v>
      </c>
      <c r="VOT3">
        <f>Database!VPM5</f>
        <v>0</v>
      </c>
      <c r="VOU3">
        <f>Database!VPN5</f>
        <v>0</v>
      </c>
      <c r="VOV3">
        <f>Database!VPO5</f>
        <v>0</v>
      </c>
      <c r="VOW3">
        <f>Database!VPP5</f>
        <v>0</v>
      </c>
      <c r="VOX3">
        <f>Database!VPQ5</f>
        <v>0</v>
      </c>
      <c r="VOY3">
        <f>Database!VPR5</f>
        <v>0</v>
      </c>
      <c r="VOZ3">
        <f>Database!VPS5</f>
        <v>0</v>
      </c>
      <c r="VPA3">
        <f>Database!VPT5</f>
        <v>0</v>
      </c>
      <c r="VPB3">
        <f>Database!VPU5</f>
        <v>0</v>
      </c>
      <c r="VPC3">
        <f>Database!VPV5</f>
        <v>0</v>
      </c>
      <c r="VPD3">
        <f>Database!VPW5</f>
        <v>0</v>
      </c>
      <c r="VPE3">
        <f>Database!VPX5</f>
        <v>0</v>
      </c>
      <c r="VPF3">
        <f>Database!VPY5</f>
        <v>0</v>
      </c>
      <c r="VPG3">
        <f>Database!VPZ5</f>
        <v>0</v>
      </c>
      <c r="VPH3">
        <f>Database!VQA5</f>
        <v>0</v>
      </c>
      <c r="VPI3">
        <f>Database!VQB5</f>
        <v>0</v>
      </c>
      <c r="VPJ3">
        <f>Database!VQC5</f>
        <v>0</v>
      </c>
      <c r="VPK3">
        <f>Database!VQD5</f>
        <v>0</v>
      </c>
      <c r="VPL3">
        <f>Database!VQE5</f>
        <v>0</v>
      </c>
      <c r="VPM3">
        <f>Database!VQF5</f>
        <v>0</v>
      </c>
      <c r="VPN3">
        <f>Database!VQG5</f>
        <v>0</v>
      </c>
      <c r="VPO3">
        <f>Database!VQH5</f>
        <v>0</v>
      </c>
      <c r="VPP3">
        <f>Database!VQI5</f>
        <v>0</v>
      </c>
      <c r="VPQ3">
        <f>Database!VQJ5</f>
        <v>0</v>
      </c>
      <c r="VPR3">
        <f>Database!VQK5</f>
        <v>0</v>
      </c>
      <c r="VPS3">
        <f>Database!VQL5</f>
        <v>0</v>
      </c>
      <c r="VPT3">
        <f>Database!VQM5</f>
        <v>0</v>
      </c>
      <c r="VPU3">
        <f>Database!VQN5</f>
        <v>0</v>
      </c>
      <c r="VPV3">
        <f>Database!VQO5</f>
        <v>0</v>
      </c>
      <c r="VPW3">
        <f>Database!VQP5</f>
        <v>0</v>
      </c>
      <c r="VPX3">
        <f>Database!VQQ5</f>
        <v>0</v>
      </c>
      <c r="VPY3">
        <f>Database!VQR5</f>
        <v>0</v>
      </c>
      <c r="VPZ3">
        <f>Database!VQS5</f>
        <v>0</v>
      </c>
      <c r="VQA3">
        <f>Database!VQT5</f>
        <v>0</v>
      </c>
      <c r="VQB3">
        <f>Database!VQU5</f>
        <v>0</v>
      </c>
      <c r="VQC3">
        <f>Database!VQV5</f>
        <v>0</v>
      </c>
      <c r="VQD3">
        <f>Database!VQW5</f>
        <v>0</v>
      </c>
      <c r="VQE3">
        <f>Database!VQX5</f>
        <v>0</v>
      </c>
      <c r="VQF3">
        <f>Database!VQY5</f>
        <v>0</v>
      </c>
      <c r="VQG3">
        <f>Database!VQZ5</f>
        <v>0</v>
      </c>
      <c r="VQH3">
        <f>Database!VRA5</f>
        <v>0</v>
      </c>
      <c r="VQI3">
        <f>Database!VRB5</f>
        <v>0</v>
      </c>
      <c r="VQJ3">
        <f>Database!VRC5</f>
        <v>0</v>
      </c>
      <c r="VQK3">
        <f>Database!VRD5</f>
        <v>0</v>
      </c>
      <c r="VQL3">
        <f>Database!VRE5</f>
        <v>0</v>
      </c>
      <c r="VQM3">
        <f>Database!VRF5</f>
        <v>0</v>
      </c>
      <c r="VQN3">
        <f>Database!VRG5</f>
        <v>0</v>
      </c>
      <c r="VQO3">
        <f>Database!VRH5</f>
        <v>0</v>
      </c>
      <c r="VQP3">
        <f>Database!VRI5</f>
        <v>0</v>
      </c>
      <c r="VQQ3">
        <f>Database!VRJ5</f>
        <v>0</v>
      </c>
      <c r="VQR3">
        <f>Database!VRK5</f>
        <v>0</v>
      </c>
      <c r="VQS3">
        <f>Database!VRL5</f>
        <v>0</v>
      </c>
      <c r="VQT3">
        <f>Database!VRM5</f>
        <v>0</v>
      </c>
      <c r="VQU3">
        <f>Database!VRN5</f>
        <v>0</v>
      </c>
      <c r="VQV3">
        <f>Database!VRO5</f>
        <v>0</v>
      </c>
      <c r="VQW3">
        <f>Database!VRP5</f>
        <v>0</v>
      </c>
      <c r="VQX3">
        <f>Database!VRQ5</f>
        <v>0</v>
      </c>
      <c r="VQY3">
        <f>Database!VRR5</f>
        <v>0</v>
      </c>
      <c r="VQZ3">
        <f>Database!VRS5</f>
        <v>0</v>
      </c>
      <c r="VRA3">
        <f>Database!VRT5</f>
        <v>0</v>
      </c>
      <c r="VRB3">
        <f>Database!VRU5</f>
        <v>0</v>
      </c>
      <c r="VRC3">
        <f>Database!VRV5</f>
        <v>0</v>
      </c>
      <c r="VRD3">
        <f>Database!VRW5</f>
        <v>0</v>
      </c>
      <c r="VRE3">
        <f>Database!VRX5</f>
        <v>0</v>
      </c>
      <c r="VRF3">
        <f>Database!VRY5</f>
        <v>0</v>
      </c>
      <c r="VRG3">
        <f>Database!VRZ5</f>
        <v>0</v>
      </c>
      <c r="VRH3">
        <f>Database!VSA5</f>
        <v>0</v>
      </c>
      <c r="VRI3">
        <f>Database!VSB5</f>
        <v>0</v>
      </c>
      <c r="VRJ3">
        <f>Database!VSC5</f>
        <v>0</v>
      </c>
      <c r="VRK3">
        <f>Database!VSD5</f>
        <v>0</v>
      </c>
      <c r="VRL3">
        <f>Database!VSE5</f>
        <v>0</v>
      </c>
      <c r="VRM3">
        <f>Database!VSF5</f>
        <v>0</v>
      </c>
      <c r="VRN3">
        <f>Database!VSG5</f>
        <v>0</v>
      </c>
      <c r="VRO3">
        <f>Database!VSH5</f>
        <v>0</v>
      </c>
      <c r="VRP3">
        <f>Database!VSI5</f>
        <v>0</v>
      </c>
      <c r="VRQ3">
        <f>Database!VSJ5</f>
        <v>0</v>
      </c>
      <c r="VRR3">
        <f>Database!VSK5</f>
        <v>0</v>
      </c>
      <c r="VRS3">
        <f>Database!VSL5</f>
        <v>0</v>
      </c>
      <c r="VRT3">
        <f>Database!VSM5</f>
        <v>0</v>
      </c>
      <c r="VRU3">
        <f>Database!VSN5</f>
        <v>0</v>
      </c>
      <c r="VRV3">
        <f>Database!VSO5</f>
        <v>0</v>
      </c>
      <c r="VRW3">
        <f>Database!VSP5</f>
        <v>0</v>
      </c>
      <c r="VRX3">
        <f>Database!VSQ5</f>
        <v>0</v>
      </c>
      <c r="VRY3">
        <f>Database!VSR5</f>
        <v>0</v>
      </c>
      <c r="VRZ3">
        <f>Database!VSS5</f>
        <v>0</v>
      </c>
      <c r="VSA3">
        <f>Database!VST5</f>
        <v>0</v>
      </c>
      <c r="VSB3">
        <f>Database!VSU5</f>
        <v>0</v>
      </c>
      <c r="VSC3">
        <f>Database!VSV5</f>
        <v>0</v>
      </c>
      <c r="VSD3">
        <f>Database!VSW5</f>
        <v>0</v>
      </c>
      <c r="VSE3">
        <f>Database!VSX5</f>
        <v>0</v>
      </c>
      <c r="VSF3">
        <f>Database!VSY5</f>
        <v>0</v>
      </c>
      <c r="VSG3">
        <f>Database!VSZ5</f>
        <v>0</v>
      </c>
      <c r="VSH3">
        <f>Database!VTA5</f>
        <v>0</v>
      </c>
      <c r="VSI3">
        <f>Database!VTB5</f>
        <v>0</v>
      </c>
      <c r="VSJ3">
        <f>Database!VTC5</f>
        <v>0</v>
      </c>
      <c r="VSK3">
        <f>Database!VTD5</f>
        <v>0</v>
      </c>
      <c r="VSL3">
        <f>Database!VTE5</f>
        <v>0</v>
      </c>
      <c r="VSM3">
        <f>Database!VTF5</f>
        <v>0</v>
      </c>
      <c r="VSN3">
        <f>Database!VTG5</f>
        <v>0</v>
      </c>
      <c r="VSO3">
        <f>Database!VTH5</f>
        <v>0</v>
      </c>
      <c r="VSP3">
        <f>Database!VTI5</f>
        <v>0</v>
      </c>
      <c r="VSQ3">
        <f>Database!VTJ5</f>
        <v>0</v>
      </c>
      <c r="VSR3">
        <f>Database!VTK5</f>
        <v>0</v>
      </c>
      <c r="VSS3">
        <f>Database!VTL5</f>
        <v>0</v>
      </c>
      <c r="VST3">
        <f>Database!VTM5</f>
        <v>0</v>
      </c>
      <c r="VSU3">
        <f>Database!VTN5</f>
        <v>0</v>
      </c>
      <c r="VSV3">
        <f>Database!VTO5</f>
        <v>0</v>
      </c>
      <c r="VSW3">
        <f>Database!VTP5</f>
        <v>0</v>
      </c>
      <c r="VSX3">
        <f>Database!VTQ5</f>
        <v>0</v>
      </c>
      <c r="VSY3">
        <f>Database!VTR5</f>
        <v>0</v>
      </c>
      <c r="VSZ3">
        <f>Database!VTS5</f>
        <v>0</v>
      </c>
      <c r="VTA3">
        <f>Database!VTT5</f>
        <v>0</v>
      </c>
      <c r="VTB3">
        <f>Database!VTU5</f>
        <v>0</v>
      </c>
      <c r="VTC3">
        <f>Database!VTV5</f>
        <v>0</v>
      </c>
      <c r="VTD3">
        <f>Database!VTW5</f>
        <v>0</v>
      </c>
      <c r="VTE3">
        <f>Database!VTX5</f>
        <v>0</v>
      </c>
      <c r="VTF3">
        <f>Database!VTY5</f>
        <v>0</v>
      </c>
      <c r="VTG3">
        <f>Database!VTZ5</f>
        <v>0</v>
      </c>
      <c r="VTH3">
        <f>Database!VUA5</f>
        <v>0</v>
      </c>
      <c r="VTI3">
        <f>Database!VUB5</f>
        <v>0</v>
      </c>
      <c r="VTJ3">
        <f>Database!VUC5</f>
        <v>0</v>
      </c>
      <c r="VTK3">
        <f>Database!VUD5</f>
        <v>0</v>
      </c>
      <c r="VTL3">
        <f>Database!VUE5</f>
        <v>0</v>
      </c>
      <c r="VTM3">
        <f>Database!VUF5</f>
        <v>0</v>
      </c>
      <c r="VTN3">
        <f>Database!VUG5</f>
        <v>0</v>
      </c>
      <c r="VTO3">
        <f>Database!VUH5</f>
        <v>0</v>
      </c>
      <c r="VTP3">
        <f>Database!VUI5</f>
        <v>0</v>
      </c>
      <c r="VTQ3">
        <f>Database!VUJ5</f>
        <v>0</v>
      </c>
      <c r="VTR3">
        <f>Database!VUK5</f>
        <v>0</v>
      </c>
      <c r="VTS3">
        <f>Database!VUL5</f>
        <v>0</v>
      </c>
      <c r="VTT3">
        <f>Database!VUM5</f>
        <v>0</v>
      </c>
      <c r="VTU3">
        <f>Database!VUN5</f>
        <v>0</v>
      </c>
      <c r="VTV3">
        <f>Database!VUO5</f>
        <v>0</v>
      </c>
      <c r="VTW3">
        <f>Database!VUP5</f>
        <v>0</v>
      </c>
      <c r="VTX3">
        <f>Database!VUQ5</f>
        <v>0</v>
      </c>
      <c r="VTY3">
        <f>Database!VUR5</f>
        <v>0</v>
      </c>
      <c r="VTZ3">
        <f>Database!VUS5</f>
        <v>0</v>
      </c>
      <c r="VUA3">
        <f>Database!VUT5</f>
        <v>0</v>
      </c>
      <c r="VUB3">
        <f>Database!VUU5</f>
        <v>0</v>
      </c>
      <c r="VUC3">
        <f>Database!VUV5</f>
        <v>0</v>
      </c>
      <c r="VUD3">
        <f>Database!VUW5</f>
        <v>0</v>
      </c>
      <c r="VUE3">
        <f>Database!VUX5</f>
        <v>0</v>
      </c>
      <c r="VUF3">
        <f>Database!VUY5</f>
        <v>0</v>
      </c>
      <c r="VUG3">
        <f>Database!VUZ5</f>
        <v>0</v>
      </c>
      <c r="VUH3">
        <f>Database!VVA5</f>
        <v>0</v>
      </c>
      <c r="VUI3">
        <f>Database!VVB5</f>
        <v>0</v>
      </c>
      <c r="VUJ3">
        <f>Database!VVC5</f>
        <v>0</v>
      </c>
      <c r="VUK3">
        <f>Database!VVD5</f>
        <v>0</v>
      </c>
      <c r="VUL3">
        <f>Database!VVE5</f>
        <v>0</v>
      </c>
      <c r="VUM3">
        <f>Database!VVF5</f>
        <v>0</v>
      </c>
      <c r="VUN3">
        <f>Database!VVG5</f>
        <v>0</v>
      </c>
      <c r="VUO3">
        <f>Database!VVH5</f>
        <v>0</v>
      </c>
      <c r="VUP3">
        <f>Database!VVI5</f>
        <v>0</v>
      </c>
      <c r="VUQ3">
        <f>Database!VVJ5</f>
        <v>0</v>
      </c>
      <c r="VUR3">
        <f>Database!VVK5</f>
        <v>0</v>
      </c>
      <c r="VUS3">
        <f>Database!VVL5</f>
        <v>0</v>
      </c>
      <c r="VUT3">
        <f>Database!VVM5</f>
        <v>0</v>
      </c>
      <c r="VUU3">
        <f>Database!VVN5</f>
        <v>0</v>
      </c>
      <c r="VUV3">
        <f>Database!VVO5</f>
        <v>0</v>
      </c>
      <c r="VUW3">
        <f>Database!VVP5</f>
        <v>0</v>
      </c>
      <c r="VUX3">
        <f>Database!VVQ5</f>
        <v>0</v>
      </c>
      <c r="VUY3">
        <f>Database!VVR5</f>
        <v>0</v>
      </c>
      <c r="VUZ3">
        <f>Database!VVS5</f>
        <v>0</v>
      </c>
      <c r="VVA3">
        <f>Database!VVT5</f>
        <v>0</v>
      </c>
      <c r="VVB3">
        <f>Database!VVU5</f>
        <v>0</v>
      </c>
      <c r="VVC3">
        <f>Database!VVV5</f>
        <v>0</v>
      </c>
      <c r="VVD3">
        <f>Database!VVW5</f>
        <v>0</v>
      </c>
      <c r="VVE3">
        <f>Database!VVX5</f>
        <v>0</v>
      </c>
      <c r="VVF3">
        <f>Database!VVY5</f>
        <v>0</v>
      </c>
      <c r="VVG3">
        <f>Database!VVZ5</f>
        <v>0</v>
      </c>
      <c r="VVH3">
        <f>Database!VWA5</f>
        <v>0</v>
      </c>
      <c r="VVI3">
        <f>Database!VWB5</f>
        <v>0</v>
      </c>
      <c r="VVJ3">
        <f>Database!VWC5</f>
        <v>0</v>
      </c>
      <c r="VVK3">
        <f>Database!VWD5</f>
        <v>0</v>
      </c>
      <c r="VVL3">
        <f>Database!VWE5</f>
        <v>0</v>
      </c>
      <c r="VVM3">
        <f>Database!VWF5</f>
        <v>0</v>
      </c>
      <c r="VVN3">
        <f>Database!VWG5</f>
        <v>0</v>
      </c>
      <c r="VVO3">
        <f>Database!VWH5</f>
        <v>0</v>
      </c>
      <c r="VVP3">
        <f>Database!VWI5</f>
        <v>0</v>
      </c>
      <c r="VVQ3">
        <f>Database!VWJ5</f>
        <v>0</v>
      </c>
      <c r="VVR3">
        <f>Database!VWK5</f>
        <v>0</v>
      </c>
      <c r="VVS3">
        <f>Database!VWL5</f>
        <v>0</v>
      </c>
      <c r="VVT3">
        <f>Database!VWM5</f>
        <v>0</v>
      </c>
      <c r="VVU3">
        <f>Database!VWN5</f>
        <v>0</v>
      </c>
      <c r="VVV3">
        <f>Database!VWO5</f>
        <v>0</v>
      </c>
      <c r="VVW3">
        <f>Database!VWP5</f>
        <v>0</v>
      </c>
      <c r="VVX3">
        <f>Database!VWQ5</f>
        <v>0</v>
      </c>
      <c r="VVY3">
        <f>Database!VWR5</f>
        <v>0</v>
      </c>
      <c r="VVZ3">
        <f>Database!VWS5</f>
        <v>0</v>
      </c>
      <c r="VWA3">
        <f>Database!VWT5</f>
        <v>0</v>
      </c>
      <c r="VWB3">
        <f>Database!VWU5</f>
        <v>0</v>
      </c>
      <c r="VWC3">
        <f>Database!VWV5</f>
        <v>0</v>
      </c>
      <c r="VWD3">
        <f>Database!VWW5</f>
        <v>0</v>
      </c>
      <c r="VWE3">
        <f>Database!VWX5</f>
        <v>0</v>
      </c>
      <c r="VWF3">
        <f>Database!VWY5</f>
        <v>0</v>
      </c>
      <c r="VWG3">
        <f>Database!VWZ5</f>
        <v>0</v>
      </c>
      <c r="VWH3">
        <f>Database!VXA5</f>
        <v>0</v>
      </c>
      <c r="VWI3">
        <f>Database!VXB5</f>
        <v>0</v>
      </c>
      <c r="VWJ3">
        <f>Database!VXC5</f>
        <v>0</v>
      </c>
      <c r="VWK3">
        <f>Database!VXD5</f>
        <v>0</v>
      </c>
      <c r="VWL3">
        <f>Database!VXE5</f>
        <v>0</v>
      </c>
      <c r="VWM3">
        <f>Database!VXF5</f>
        <v>0</v>
      </c>
      <c r="VWN3">
        <f>Database!VXG5</f>
        <v>0</v>
      </c>
      <c r="VWO3">
        <f>Database!VXH5</f>
        <v>0</v>
      </c>
      <c r="VWP3">
        <f>Database!VXI5</f>
        <v>0</v>
      </c>
      <c r="VWQ3">
        <f>Database!VXJ5</f>
        <v>0</v>
      </c>
      <c r="VWR3">
        <f>Database!VXK5</f>
        <v>0</v>
      </c>
      <c r="VWS3">
        <f>Database!VXL5</f>
        <v>0</v>
      </c>
      <c r="VWT3">
        <f>Database!VXM5</f>
        <v>0</v>
      </c>
      <c r="VWU3">
        <f>Database!VXN5</f>
        <v>0</v>
      </c>
      <c r="VWV3">
        <f>Database!VXO5</f>
        <v>0</v>
      </c>
      <c r="VWW3">
        <f>Database!VXP5</f>
        <v>0</v>
      </c>
      <c r="VWX3">
        <f>Database!VXQ5</f>
        <v>0</v>
      </c>
      <c r="VWY3">
        <f>Database!VXR5</f>
        <v>0</v>
      </c>
      <c r="VWZ3">
        <f>Database!VXS5</f>
        <v>0</v>
      </c>
      <c r="VXA3">
        <f>Database!VXT5</f>
        <v>0</v>
      </c>
      <c r="VXB3">
        <f>Database!VXU5</f>
        <v>0</v>
      </c>
      <c r="VXC3">
        <f>Database!VXV5</f>
        <v>0</v>
      </c>
      <c r="VXD3">
        <f>Database!VXW5</f>
        <v>0</v>
      </c>
      <c r="VXE3">
        <f>Database!VXX5</f>
        <v>0</v>
      </c>
      <c r="VXF3">
        <f>Database!VXY5</f>
        <v>0</v>
      </c>
      <c r="VXG3">
        <f>Database!VXZ5</f>
        <v>0</v>
      </c>
      <c r="VXH3">
        <f>Database!VYA5</f>
        <v>0</v>
      </c>
      <c r="VXI3">
        <f>Database!VYB5</f>
        <v>0</v>
      </c>
      <c r="VXJ3">
        <f>Database!VYC5</f>
        <v>0</v>
      </c>
      <c r="VXK3">
        <f>Database!VYD5</f>
        <v>0</v>
      </c>
      <c r="VXL3">
        <f>Database!VYE5</f>
        <v>0</v>
      </c>
      <c r="VXM3">
        <f>Database!VYF5</f>
        <v>0</v>
      </c>
      <c r="VXN3">
        <f>Database!VYG5</f>
        <v>0</v>
      </c>
      <c r="VXO3">
        <f>Database!VYH5</f>
        <v>0</v>
      </c>
      <c r="VXP3">
        <f>Database!VYI5</f>
        <v>0</v>
      </c>
      <c r="VXQ3">
        <f>Database!VYJ5</f>
        <v>0</v>
      </c>
      <c r="VXR3">
        <f>Database!VYK5</f>
        <v>0</v>
      </c>
      <c r="VXS3">
        <f>Database!VYL5</f>
        <v>0</v>
      </c>
      <c r="VXT3">
        <f>Database!VYM5</f>
        <v>0</v>
      </c>
      <c r="VXU3">
        <f>Database!VYN5</f>
        <v>0</v>
      </c>
      <c r="VXV3">
        <f>Database!VYO5</f>
        <v>0</v>
      </c>
      <c r="VXW3">
        <f>Database!VYP5</f>
        <v>0</v>
      </c>
      <c r="VXX3">
        <f>Database!VYQ5</f>
        <v>0</v>
      </c>
      <c r="VXY3">
        <f>Database!VYR5</f>
        <v>0</v>
      </c>
      <c r="VXZ3">
        <f>Database!VYS5</f>
        <v>0</v>
      </c>
      <c r="VYA3">
        <f>Database!VYT5</f>
        <v>0</v>
      </c>
      <c r="VYB3">
        <f>Database!VYU5</f>
        <v>0</v>
      </c>
      <c r="VYC3">
        <f>Database!VYV5</f>
        <v>0</v>
      </c>
      <c r="VYD3">
        <f>Database!VYW5</f>
        <v>0</v>
      </c>
      <c r="VYE3">
        <f>Database!VYX5</f>
        <v>0</v>
      </c>
      <c r="VYF3">
        <f>Database!VYY5</f>
        <v>0</v>
      </c>
      <c r="VYG3">
        <f>Database!VYZ5</f>
        <v>0</v>
      </c>
      <c r="VYH3">
        <f>Database!VZA5</f>
        <v>0</v>
      </c>
      <c r="VYI3">
        <f>Database!VZB5</f>
        <v>0</v>
      </c>
      <c r="VYJ3">
        <f>Database!VZC5</f>
        <v>0</v>
      </c>
      <c r="VYK3">
        <f>Database!VZD5</f>
        <v>0</v>
      </c>
      <c r="VYL3">
        <f>Database!VZE5</f>
        <v>0</v>
      </c>
      <c r="VYM3">
        <f>Database!VZF5</f>
        <v>0</v>
      </c>
      <c r="VYN3">
        <f>Database!VZG5</f>
        <v>0</v>
      </c>
      <c r="VYO3">
        <f>Database!VZH5</f>
        <v>0</v>
      </c>
      <c r="VYP3">
        <f>Database!VZI5</f>
        <v>0</v>
      </c>
      <c r="VYQ3">
        <f>Database!VZJ5</f>
        <v>0</v>
      </c>
      <c r="VYR3">
        <f>Database!VZK5</f>
        <v>0</v>
      </c>
      <c r="VYS3">
        <f>Database!VZL5</f>
        <v>0</v>
      </c>
      <c r="VYT3">
        <f>Database!VZM5</f>
        <v>0</v>
      </c>
      <c r="VYU3">
        <f>Database!VZN5</f>
        <v>0</v>
      </c>
      <c r="VYV3">
        <f>Database!VZO5</f>
        <v>0</v>
      </c>
      <c r="VYW3">
        <f>Database!VZP5</f>
        <v>0</v>
      </c>
      <c r="VYX3">
        <f>Database!VZQ5</f>
        <v>0</v>
      </c>
      <c r="VYY3">
        <f>Database!VZR5</f>
        <v>0</v>
      </c>
      <c r="VYZ3">
        <f>Database!VZS5</f>
        <v>0</v>
      </c>
      <c r="VZA3">
        <f>Database!VZT5</f>
        <v>0</v>
      </c>
      <c r="VZB3">
        <f>Database!VZU5</f>
        <v>0</v>
      </c>
      <c r="VZC3">
        <f>Database!VZV5</f>
        <v>0</v>
      </c>
      <c r="VZD3">
        <f>Database!VZW5</f>
        <v>0</v>
      </c>
      <c r="VZE3">
        <f>Database!VZX5</f>
        <v>0</v>
      </c>
      <c r="VZF3">
        <f>Database!VZY5</f>
        <v>0</v>
      </c>
      <c r="VZG3">
        <f>Database!VZZ5</f>
        <v>0</v>
      </c>
      <c r="VZH3">
        <f>Database!WAA5</f>
        <v>0</v>
      </c>
      <c r="VZI3">
        <f>Database!WAB5</f>
        <v>0</v>
      </c>
      <c r="VZJ3">
        <f>Database!WAC5</f>
        <v>0</v>
      </c>
      <c r="VZK3">
        <f>Database!WAD5</f>
        <v>0</v>
      </c>
      <c r="VZL3">
        <f>Database!WAE5</f>
        <v>0</v>
      </c>
      <c r="VZM3">
        <f>Database!WAF5</f>
        <v>0</v>
      </c>
      <c r="VZN3">
        <f>Database!WAG5</f>
        <v>0</v>
      </c>
      <c r="VZO3">
        <f>Database!WAH5</f>
        <v>0</v>
      </c>
      <c r="VZP3">
        <f>Database!WAI5</f>
        <v>0</v>
      </c>
      <c r="VZQ3">
        <f>Database!WAJ5</f>
        <v>0</v>
      </c>
      <c r="VZR3">
        <f>Database!WAK5</f>
        <v>0</v>
      </c>
      <c r="VZS3">
        <f>Database!WAL5</f>
        <v>0</v>
      </c>
      <c r="VZT3">
        <f>Database!WAM5</f>
        <v>0</v>
      </c>
      <c r="VZU3">
        <f>Database!WAN5</f>
        <v>0</v>
      </c>
      <c r="VZV3">
        <f>Database!WAO5</f>
        <v>0</v>
      </c>
      <c r="VZW3">
        <f>Database!WAP5</f>
        <v>0</v>
      </c>
      <c r="VZX3">
        <f>Database!WAQ5</f>
        <v>0</v>
      </c>
      <c r="VZY3">
        <f>Database!WAR5</f>
        <v>0</v>
      </c>
      <c r="VZZ3">
        <f>Database!WAS5</f>
        <v>0</v>
      </c>
      <c r="WAA3">
        <f>Database!WAT5</f>
        <v>0</v>
      </c>
      <c r="WAB3">
        <f>Database!WAU5</f>
        <v>0</v>
      </c>
      <c r="WAC3">
        <f>Database!WAV5</f>
        <v>0</v>
      </c>
      <c r="WAD3">
        <f>Database!WAW5</f>
        <v>0</v>
      </c>
      <c r="WAE3">
        <f>Database!WAX5</f>
        <v>0</v>
      </c>
      <c r="WAF3">
        <f>Database!WAY5</f>
        <v>0</v>
      </c>
      <c r="WAG3">
        <f>Database!WAZ5</f>
        <v>0</v>
      </c>
      <c r="WAH3">
        <f>Database!WBA5</f>
        <v>0</v>
      </c>
      <c r="WAI3">
        <f>Database!WBB5</f>
        <v>0</v>
      </c>
      <c r="WAJ3">
        <f>Database!WBC5</f>
        <v>0</v>
      </c>
      <c r="WAK3">
        <f>Database!WBD5</f>
        <v>0</v>
      </c>
      <c r="WAL3">
        <f>Database!WBE5</f>
        <v>0</v>
      </c>
      <c r="WAM3">
        <f>Database!WBF5</f>
        <v>0</v>
      </c>
      <c r="WAN3">
        <f>Database!WBG5</f>
        <v>0</v>
      </c>
      <c r="WAO3">
        <f>Database!WBH5</f>
        <v>0</v>
      </c>
      <c r="WAP3">
        <f>Database!WBI5</f>
        <v>0</v>
      </c>
      <c r="WAQ3">
        <f>Database!WBJ5</f>
        <v>0</v>
      </c>
      <c r="WAR3">
        <f>Database!WBK5</f>
        <v>0</v>
      </c>
      <c r="WAS3">
        <f>Database!WBL5</f>
        <v>0</v>
      </c>
      <c r="WAT3">
        <f>Database!WBM5</f>
        <v>0</v>
      </c>
      <c r="WAU3">
        <f>Database!WBN5</f>
        <v>0</v>
      </c>
      <c r="WAV3">
        <f>Database!WBO5</f>
        <v>0</v>
      </c>
      <c r="WAW3">
        <f>Database!WBP5</f>
        <v>0</v>
      </c>
      <c r="WAX3">
        <f>Database!WBQ5</f>
        <v>0</v>
      </c>
      <c r="WAY3">
        <f>Database!WBR5</f>
        <v>0</v>
      </c>
      <c r="WAZ3">
        <f>Database!WBS5</f>
        <v>0</v>
      </c>
      <c r="WBA3">
        <f>Database!WBT5</f>
        <v>0</v>
      </c>
      <c r="WBB3">
        <f>Database!WBU5</f>
        <v>0</v>
      </c>
      <c r="WBC3">
        <f>Database!WBV5</f>
        <v>0</v>
      </c>
      <c r="WBD3">
        <f>Database!WBW5</f>
        <v>0</v>
      </c>
      <c r="WBE3">
        <f>Database!WBX5</f>
        <v>0</v>
      </c>
      <c r="WBF3">
        <f>Database!WBY5</f>
        <v>0</v>
      </c>
      <c r="WBG3">
        <f>Database!WBZ5</f>
        <v>0</v>
      </c>
      <c r="WBH3">
        <f>Database!WCA5</f>
        <v>0</v>
      </c>
      <c r="WBI3">
        <f>Database!WCB5</f>
        <v>0</v>
      </c>
      <c r="WBJ3">
        <f>Database!WCC5</f>
        <v>0</v>
      </c>
      <c r="WBK3">
        <f>Database!WCD5</f>
        <v>0</v>
      </c>
      <c r="WBL3">
        <f>Database!WCE5</f>
        <v>0</v>
      </c>
      <c r="WBM3">
        <f>Database!WCF5</f>
        <v>0</v>
      </c>
      <c r="WBN3">
        <f>Database!WCG5</f>
        <v>0</v>
      </c>
      <c r="WBO3">
        <f>Database!WCH5</f>
        <v>0</v>
      </c>
      <c r="WBP3">
        <f>Database!WCI5</f>
        <v>0</v>
      </c>
      <c r="WBQ3">
        <f>Database!WCJ5</f>
        <v>0</v>
      </c>
      <c r="WBR3">
        <f>Database!WCK5</f>
        <v>0</v>
      </c>
      <c r="WBS3">
        <f>Database!WCL5</f>
        <v>0</v>
      </c>
      <c r="WBT3">
        <f>Database!WCM5</f>
        <v>0</v>
      </c>
      <c r="WBU3">
        <f>Database!WCN5</f>
        <v>0</v>
      </c>
      <c r="WBV3">
        <f>Database!WCO5</f>
        <v>0</v>
      </c>
      <c r="WBW3">
        <f>Database!WCP5</f>
        <v>0</v>
      </c>
      <c r="WBX3">
        <f>Database!WCQ5</f>
        <v>0</v>
      </c>
      <c r="WBY3">
        <f>Database!WCR5</f>
        <v>0</v>
      </c>
      <c r="WBZ3">
        <f>Database!WCS5</f>
        <v>0</v>
      </c>
      <c r="WCA3">
        <f>Database!WCT5</f>
        <v>0</v>
      </c>
      <c r="WCB3">
        <f>Database!WCU5</f>
        <v>0</v>
      </c>
      <c r="WCC3">
        <f>Database!WCV5</f>
        <v>0</v>
      </c>
      <c r="WCD3">
        <f>Database!WCW5</f>
        <v>0</v>
      </c>
      <c r="WCE3">
        <f>Database!WCX5</f>
        <v>0</v>
      </c>
      <c r="WCF3">
        <f>Database!WCY5</f>
        <v>0</v>
      </c>
      <c r="WCG3">
        <f>Database!WCZ5</f>
        <v>0</v>
      </c>
      <c r="WCH3">
        <f>Database!WDA5</f>
        <v>0</v>
      </c>
      <c r="WCI3">
        <f>Database!WDB5</f>
        <v>0</v>
      </c>
      <c r="WCJ3">
        <f>Database!WDC5</f>
        <v>0</v>
      </c>
      <c r="WCK3">
        <f>Database!WDD5</f>
        <v>0</v>
      </c>
      <c r="WCL3">
        <f>Database!WDE5</f>
        <v>0</v>
      </c>
      <c r="WCM3">
        <f>Database!WDF5</f>
        <v>0</v>
      </c>
      <c r="WCN3">
        <f>Database!WDG5</f>
        <v>0</v>
      </c>
      <c r="WCO3">
        <f>Database!WDH5</f>
        <v>0</v>
      </c>
      <c r="WCP3">
        <f>Database!WDI5</f>
        <v>0</v>
      </c>
      <c r="WCQ3">
        <f>Database!WDJ5</f>
        <v>0</v>
      </c>
      <c r="WCR3">
        <f>Database!WDK5</f>
        <v>0</v>
      </c>
      <c r="WCS3">
        <f>Database!WDL5</f>
        <v>0</v>
      </c>
      <c r="WCT3">
        <f>Database!WDM5</f>
        <v>0</v>
      </c>
      <c r="WCU3">
        <f>Database!WDN5</f>
        <v>0</v>
      </c>
      <c r="WCV3">
        <f>Database!WDO5</f>
        <v>0</v>
      </c>
      <c r="WCW3">
        <f>Database!WDP5</f>
        <v>0</v>
      </c>
      <c r="WCX3">
        <f>Database!WDQ5</f>
        <v>0</v>
      </c>
      <c r="WCY3">
        <f>Database!WDR5</f>
        <v>0</v>
      </c>
      <c r="WCZ3">
        <f>Database!WDS5</f>
        <v>0</v>
      </c>
      <c r="WDA3">
        <f>Database!WDT5</f>
        <v>0</v>
      </c>
      <c r="WDB3">
        <f>Database!WDU5</f>
        <v>0</v>
      </c>
      <c r="WDC3">
        <f>Database!WDV5</f>
        <v>0</v>
      </c>
      <c r="WDD3">
        <f>Database!WDW5</f>
        <v>0</v>
      </c>
      <c r="WDE3">
        <f>Database!WDX5</f>
        <v>0</v>
      </c>
      <c r="WDF3">
        <f>Database!WDY5</f>
        <v>0</v>
      </c>
      <c r="WDG3">
        <f>Database!WDZ5</f>
        <v>0</v>
      </c>
      <c r="WDH3">
        <f>Database!WEA5</f>
        <v>0</v>
      </c>
      <c r="WDI3">
        <f>Database!WEB5</f>
        <v>0</v>
      </c>
      <c r="WDJ3">
        <f>Database!WEC5</f>
        <v>0</v>
      </c>
      <c r="WDK3">
        <f>Database!WED5</f>
        <v>0</v>
      </c>
      <c r="WDL3">
        <f>Database!WEE5</f>
        <v>0</v>
      </c>
      <c r="WDM3">
        <f>Database!WEF5</f>
        <v>0</v>
      </c>
      <c r="WDN3">
        <f>Database!WEG5</f>
        <v>0</v>
      </c>
      <c r="WDO3">
        <f>Database!WEH5</f>
        <v>0</v>
      </c>
      <c r="WDP3">
        <f>Database!WEI5</f>
        <v>0</v>
      </c>
      <c r="WDQ3">
        <f>Database!WEJ5</f>
        <v>0</v>
      </c>
      <c r="WDR3">
        <f>Database!WEK5</f>
        <v>0</v>
      </c>
      <c r="WDS3">
        <f>Database!WEL5</f>
        <v>0</v>
      </c>
      <c r="WDT3">
        <f>Database!WEM5</f>
        <v>0</v>
      </c>
      <c r="WDU3">
        <f>Database!WEN5</f>
        <v>0</v>
      </c>
      <c r="WDV3">
        <f>Database!WEO5</f>
        <v>0</v>
      </c>
      <c r="WDW3">
        <f>Database!WEP5</f>
        <v>0</v>
      </c>
      <c r="WDX3">
        <f>Database!WEQ5</f>
        <v>0</v>
      </c>
      <c r="WDY3">
        <f>Database!WER5</f>
        <v>0</v>
      </c>
      <c r="WDZ3">
        <f>Database!WES5</f>
        <v>0</v>
      </c>
      <c r="WEA3">
        <f>Database!WET5</f>
        <v>0</v>
      </c>
      <c r="WEB3">
        <f>Database!WEU5</f>
        <v>0</v>
      </c>
      <c r="WEC3">
        <f>Database!WEV5</f>
        <v>0</v>
      </c>
      <c r="WED3">
        <f>Database!WEW5</f>
        <v>0</v>
      </c>
      <c r="WEE3">
        <f>Database!WEX5</f>
        <v>0</v>
      </c>
      <c r="WEF3">
        <f>Database!WEY5</f>
        <v>0</v>
      </c>
      <c r="WEG3">
        <f>Database!WEZ5</f>
        <v>0</v>
      </c>
      <c r="WEH3">
        <f>Database!WFA5</f>
        <v>0</v>
      </c>
      <c r="WEI3">
        <f>Database!WFB5</f>
        <v>0</v>
      </c>
      <c r="WEJ3">
        <f>Database!WFC5</f>
        <v>0</v>
      </c>
      <c r="WEK3">
        <f>Database!WFD5</f>
        <v>0</v>
      </c>
      <c r="WEL3">
        <f>Database!WFE5</f>
        <v>0</v>
      </c>
      <c r="WEM3">
        <f>Database!WFF5</f>
        <v>0</v>
      </c>
      <c r="WEN3">
        <f>Database!WFG5</f>
        <v>0</v>
      </c>
      <c r="WEO3">
        <f>Database!WFH5</f>
        <v>0</v>
      </c>
      <c r="WEP3">
        <f>Database!WFI5</f>
        <v>0</v>
      </c>
      <c r="WEQ3">
        <f>Database!WFJ5</f>
        <v>0</v>
      </c>
      <c r="WER3">
        <f>Database!WFK5</f>
        <v>0</v>
      </c>
      <c r="WES3">
        <f>Database!WFL5</f>
        <v>0</v>
      </c>
      <c r="WET3">
        <f>Database!WFM5</f>
        <v>0</v>
      </c>
      <c r="WEU3">
        <f>Database!WFN5</f>
        <v>0</v>
      </c>
      <c r="WEV3">
        <f>Database!WFO5</f>
        <v>0</v>
      </c>
      <c r="WEW3">
        <f>Database!WFP5</f>
        <v>0</v>
      </c>
      <c r="WEX3">
        <f>Database!WFQ5</f>
        <v>0</v>
      </c>
      <c r="WEY3">
        <f>Database!WFR5</f>
        <v>0</v>
      </c>
      <c r="WEZ3">
        <f>Database!WFS5</f>
        <v>0</v>
      </c>
      <c r="WFA3">
        <f>Database!WFT5</f>
        <v>0</v>
      </c>
      <c r="WFB3">
        <f>Database!WFU5</f>
        <v>0</v>
      </c>
      <c r="WFC3">
        <f>Database!WFV5</f>
        <v>0</v>
      </c>
      <c r="WFD3">
        <f>Database!WFW5</f>
        <v>0</v>
      </c>
      <c r="WFE3">
        <f>Database!WFX5</f>
        <v>0</v>
      </c>
      <c r="WFF3">
        <f>Database!WFY5</f>
        <v>0</v>
      </c>
      <c r="WFG3">
        <f>Database!WFZ5</f>
        <v>0</v>
      </c>
      <c r="WFH3">
        <f>Database!WGA5</f>
        <v>0</v>
      </c>
      <c r="WFI3">
        <f>Database!WGB5</f>
        <v>0</v>
      </c>
      <c r="WFJ3">
        <f>Database!WGC5</f>
        <v>0</v>
      </c>
      <c r="WFK3">
        <f>Database!WGD5</f>
        <v>0</v>
      </c>
      <c r="WFL3">
        <f>Database!WGE5</f>
        <v>0</v>
      </c>
      <c r="WFM3">
        <f>Database!WGF5</f>
        <v>0</v>
      </c>
      <c r="WFN3">
        <f>Database!WGG5</f>
        <v>0</v>
      </c>
      <c r="WFO3">
        <f>Database!WGH5</f>
        <v>0</v>
      </c>
      <c r="WFP3">
        <f>Database!WGI5</f>
        <v>0</v>
      </c>
      <c r="WFQ3">
        <f>Database!WGJ5</f>
        <v>0</v>
      </c>
      <c r="WFR3">
        <f>Database!WGK5</f>
        <v>0</v>
      </c>
      <c r="WFS3">
        <f>Database!WGL5</f>
        <v>0</v>
      </c>
      <c r="WFT3">
        <f>Database!WGM5</f>
        <v>0</v>
      </c>
      <c r="WFU3">
        <f>Database!WGN5</f>
        <v>0</v>
      </c>
      <c r="WFV3">
        <f>Database!WGO5</f>
        <v>0</v>
      </c>
      <c r="WFW3">
        <f>Database!WGP5</f>
        <v>0</v>
      </c>
      <c r="WFX3">
        <f>Database!WGQ5</f>
        <v>0</v>
      </c>
      <c r="WFY3">
        <f>Database!WGR5</f>
        <v>0</v>
      </c>
      <c r="WFZ3">
        <f>Database!WGS5</f>
        <v>0</v>
      </c>
      <c r="WGA3">
        <f>Database!WGT5</f>
        <v>0</v>
      </c>
      <c r="WGB3">
        <f>Database!WGU5</f>
        <v>0</v>
      </c>
      <c r="WGC3">
        <f>Database!WGV5</f>
        <v>0</v>
      </c>
      <c r="WGD3">
        <f>Database!WGW5</f>
        <v>0</v>
      </c>
      <c r="WGE3">
        <f>Database!WGX5</f>
        <v>0</v>
      </c>
      <c r="WGF3">
        <f>Database!WGY5</f>
        <v>0</v>
      </c>
      <c r="WGG3">
        <f>Database!WGZ5</f>
        <v>0</v>
      </c>
      <c r="WGH3">
        <f>Database!WHA5</f>
        <v>0</v>
      </c>
      <c r="WGI3">
        <f>Database!WHB5</f>
        <v>0</v>
      </c>
      <c r="WGJ3">
        <f>Database!WHC5</f>
        <v>0</v>
      </c>
      <c r="WGK3">
        <f>Database!WHD5</f>
        <v>0</v>
      </c>
      <c r="WGL3">
        <f>Database!WHE5</f>
        <v>0</v>
      </c>
      <c r="WGM3">
        <f>Database!WHF5</f>
        <v>0</v>
      </c>
      <c r="WGN3">
        <f>Database!WHG5</f>
        <v>0</v>
      </c>
      <c r="WGO3">
        <f>Database!WHH5</f>
        <v>0</v>
      </c>
      <c r="WGP3">
        <f>Database!WHI5</f>
        <v>0</v>
      </c>
      <c r="WGQ3">
        <f>Database!WHJ5</f>
        <v>0</v>
      </c>
      <c r="WGR3">
        <f>Database!WHK5</f>
        <v>0</v>
      </c>
      <c r="WGS3">
        <f>Database!WHL5</f>
        <v>0</v>
      </c>
      <c r="WGT3">
        <f>Database!WHM5</f>
        <v>0</v>
      </c>
      <c r="WGU3">
        <f>Database!WHN5</f>
        <v>0</v>
      </c>
      <c r="WGV3">
        <f>Database!WHO5</f>
        <v>0</v>
      </c>
      <c r="WGW3">
        <f>Database!WHP5</f>
        <v>0</v>
      </c>
      <c r="WGX3">
        <f>Database!WHQ5</f>
        <v>0</v>
      </c>
      <c r="WGY3">
        <f>Database!WHR5</f>
        <v>0</v>
      </c>
      <c r="WGZ3">
        <f>Database!WHS5</f>
        <v>0</v>
      </c>
      <c r="WHA3">
        <f>Database!WHT5</f>
        <v>0</v>
      </c>
      <c r="WHB3">
        <f>Database!WHU5</f>
        <v>0</v>
      </c>
      <c r="WHC3">
        <f>Database!WHV5</f>
        <v>0</v>
      </c>
      <c r="WHD3">
        <f>Database!WHW5</f>
        <v>0</v>
      </c>
      <c r="WHE3">
        <f>Database!WHX5</f>
        <v>0</v>
      </c>
      <c r="WHF3">
        <f>Database!WHY5</f>
        <v>0</v>
      </c>
      <c r="WHG3">
        <f>Database!WHZ5</f>
        <v>0</v>
      </c>
      <c r="WHH3">
        <f>Database!WIA5</f>
        <v>0</v>
      </c>
      <c r="WHI3">
        <f>Database!WIB5</f>
        <v>0</v>
      </c>
      <c r="WHJ3">
        <f>Database!WIC5</f>
        <v>0</v>
      </c>
      <c r="WHK3">
        <f>Database!WID5</f>
        <v>0</v>
      </c>
      <c r="WHL3">
        <f>Database!WIE5</f>
        <v>0</v>
      </c>
      <c r="WHM3">
        <f>Database!WIF5</f>
        <v>0</v>
      </c>
      <c r="WHN3">
        <f>Database!WIG5</f>
        <v>0</v>
      </c>
      <c r="WHO3">
        <f>Database!WIH5</f>
        <v>0</v>
      </c>
      <c r="WHP3">
        <f>Database!WII5</f>
        <v>0</v>
      </c>
      <c r="WHQ3">
        <f>Database!WIJ5</f>
        <v>0</v>
      </c>
      <c r="WHR3">
        <f>Database!WIK5</f>
        <v>0</v>
      </c>
      <c r="WHS3">
        <f>Database!WIL5</f>
        <v>0</v>
      </c>
      <c r="WHT3">
        <f>Database!WIM5</f>
        <v>0</v>
      </c>
      <c r="WHU3">
        <f>Database!WIN5</f>
        <v>0</v>
      </c>
      <c r="WHV3">
        <f>Database!WIO5</f>
        <v>0</v>
      </c>
      <c r="WHW3">
        <f>Database!WIP5</f>
        <v>0</v>
      </c>
      <c r="WHX3">
        <f>Database!WIQ5</f>
        <v>0</v>
      </c>
      <c r="WHY3">
        <f>Database!WIR5</f>
        <v>0</v>
      </c>
      <c r="WHZ3">
        <f>Database!WIS5</f>
        <v>0</v>
      </c>
      <c r="WIA3">
        <f>Database!WIT5</f>
        <v>0</v>
      </c>
      <c r="WIB3">
        <f>Database!WIU5</f>
        <v>0</v>
      </c>
      <c r="WIC3">
        <f>Database!WIV5</f>
        <v>0</v>
      </c>
      <c r="WID3">
        <f>Database!WIW5</f>
        <v>0</v>
      </c>
      <c r="WIE3">
        <f>Database!WIX5</f>
        <v>0</v>
      </c>
      <c r="WIF3">
        <f>Database!WIY5</f>
        <v>0</v>
      </c>
      <c r="WIG3">
        <f>Database!WIZ5</f>
        <v>0</v>
      </c>
      <c r="WIH3">
        <f>Database!WJA5</f>
        <v>0</v>
      </c>
      <c r="WII3">
        <f>Database!WJB5</f>
        <v>0</v>
      </c>
      <c r="WIJ3">
        <f>Database!WJC5</f>
        <v>0</v>
      </c>
      <c r="WIK3">
        <f>Database!WJD5</f>
        <v>0</v>
      </c>
      <c r="WIL3">
        <f>Database!WJE5</f>
        <v>0</v>
      </c>
      <c r="WIM3">
        <f>Database!WJF5</f>
        <v>0</v>
      </c>
      <c r="WIN3">
        <f>Database!WJG5</f>
        <v>0</v>
      </c>
      <c r="WIO3">
        <f>Database!WJH5</f>
        <v>0</v>
      </c>
      <c r="WIP3">
        <f>Database!WJI5</f>
        <v>0</v>
      </c>
      <c r="WIQ3">
        <f>Database!WJJ5</f>
        <v>0</v>
      </c>
      <c r="WIR3">
        <f>Database!WJK5</f>
        <v>0</v>
      </c>
      <c r="WIS3">
        <f>Database!WJL5</f>
        <v>0</v>
      </c>
      <c r="WIT3">
        <f>Database!WJM5</f>
        <v>0</v>
      </c>
      <c r="WIU3">
        <f>Database!WJN5</f>
        <v>0</v>
      </c>
      <c r="WIV3">
        <f>Database!WJO5</f>
        <v>0</v>
      </c>
      <c r="WIW3">
        <f>Database!WJP5</f>
        <v>0</v>
      </c>
      <c r="WIX3">
        <f>Database!WJQ5</f>
        <v>0</v>
      </c>
      <c r="WIY3">
        <f>Database!WJR5</f>
        <v>0</v>
      </c>
      <c r="WIZ3">
        <f>Database!WJS5</f>
        <v>0</v>
      </c>
      <c r="WJA3">
        <f>Database!WJT5</f>
        <v>0</v>
      </c>
      <c r="WJB3">
        <f>Database!WJU5</f>
        <v>0</v>
      </c>
      <c r="WJC3">
        <f>Database!WJV5</f>
        <v>0</v>
      </c>
      <c r="WJD3">
        <f>Database!WJW5</f>
        <v>0</v>
      </c>
      <c r="WJE3">
        <f>Database!WJX5</f>
        <v>0</v>
      </c>
      <c r="WJF3">
        <f>Database!WJY5</f>
        <v>0</v>
      </c>
      <c r="WJG3">
        <f>Database!WJZ5</f>
        <v>0</v>
      </c>
      <c r="WJH3">
        <f>Database!WKA5</f>
        <v>0</v>
      </c>
      <c r="WJI3">
        <f>Database!WKB5</f>
        <v>0</v>
      </c>
      <c r="WJJ3">
        <f>Database!WKC5</f>
        <v>0</v>
      </c>
      <c r="WJK3">
        <f>Database!WKD5</f>
        <v>0</v>
      </c>
      <c r="WJL3">
        <f>Database!WKE5</f>
        <v>0</v>
      </c>
      <c r="WJM3">
        <f>Database!WKF5</f>
        <v>0</v>
      </c>
      <c r="WJN3">
        <f>Database!WKG5</f>
        <v>0</v>
      </c>
      <c r="WJO3">
        <f>Database!WKH5</f>
        <v>0</v>
      </c>
      <c r="WJP3">
        <f>Database!WKI5</f>
        <v>0</v>
      </c>
      <c r="WJQ3">
        <f>Database!WKJ5</f>
        <v>0</v>
      </c>
      <c r="WJR3">
        <f>Database!WKK5</f>
        <v>0</v>
      </c>
      <c r="WJS3">
        <f>Database!WKL5</f>
        <v>0</v>
      </c>
      <c r="WJT3">
        <f>Database!WKM5</f>
        <v>0</v>
      </c>
      <c r="WJU3">
        <f>Database!WKN5</f>
        <v>0</v>
      </c>
      <c r="WJV3">
        <f>Database!WKO5</f>
        <v>0</v>
      </c>
      <c r="WJW3">
        <f>Database!WKP5</f>
        <v>0</v>
      </c>
      <c r="WJX3">
        <f>Database!WKQ5</f>
        <v>0</v>
      </c>
      <c r="WJY3">
        <f>Database!WKR5</f>
        <v>0</v>
      </c>
      <c r="WJZ3">
        <f>Database!WKS5</f>
        <v>0</v>
      </c>
      <c r="WKA3">
        <f>Database!WKT5</f>
        <v>0</v>
      </c>
      <c r="WKB3">
        <f>Database!WKU5</f>
        <v>0</v>
      </c>
      <c r="WKC3">
        <f>Database!WKV5</f>
        <v>0</v>
      </c>
      <c r="WKD3">
        <f>Database!WKW5</f>
        <v>0</v>
      </c>
      <c r="WKE3">
        <f>Database!WKX5</f>
        <v>0</v>
      </c>
      <c r="WKF3">
        <f>Database!WKY5</f>
        <v>0</v>
      </c>
      <c r="WKG3">
        <f>Database!WKZ5</f>
        <v>0</v>
      </c>
      <c r="WKH3">
        <f>Database!WLA5</f>
        <v>0</v>
      </c>
      <c r="WKI3">
        <f>Database!WLB5</f>
        <v>0</v>
      </c>
      <c r="WKJ3">
        <f>Database!WLC5</f>
        <v>0</v>
      </c>
      <c r="WKK3">
        <f>Database!WLD5</f>
        <v>0</v>
      </c>
      <c r="WKL3">
        <f>Database!WLE5</f>
        <v>0</v>
      </c>
      <c r="WKM3">
        <f>Database!WLF5</f>
        <v>0</v>
      </c>
      <c r="WKN3">
        <f>Database!WLG5</f>
        <v>0</v>
      </c>
      <c r="WKO3">
        <f>Database!WLH5</f>
        <v>0</v>
      </c>
      <c r="WKP3">
        <f>Database!WLI5</f>
        <v>0</v>
      </c>
      <c r="WKQ3">
        <f>Database!WLJ5</f>
        <v>0</v>
      </c>
      <c r="WKR3">
        <f>Database!WLK5</f>
        <v>0</v>
      </c>
      <c r="WKS3">
        <f>Database!WLL5</f>
        <v>0</v>
      </c>
      <c r="WKT3">
        <f>Database!WLM5</f>
        <v>0</v>
      </c>
      <c r="WKU3">
        <f>Database!WLN5</f>
        <v>0</v>
      </c>
      <c r="WKV3">
        <f>Database!WLO5</f>
        <v>0</v>
      </c>
      <c r="WKW3">
        <f>Database!WLP5</f>
        <v>0</v>
      </c>
      <c r="WKX3">
        <f>Database!WLQ5</f>
        <v>0</v>
      </c>
      <c r="WKY3">
        <f>Database!WLR5</f>
        <v>0</v>
      </c>
      <c r="WKZ3">
        <f>Database!WLS5</f>
        <v>0</v>
      </c>
      <c r="WLA3">
        <f>Database!WLT5</f>
        <v>0</v>
      </c>
      <c r="WLB3">
        <f>Database!WLU5</f>
        <v>0</v>
      </c>
      <c r="WLC3">
        <f>Database!WLV5</f>
        <v>0</v>
      </c>
      <c r="WLD3">
        <f>Database!WLW5</f>
        <v>0</v>
      </c>
      <c r="WLE3">
        <f>Database!WLX5</f>
        <v>0</v>
      </c>
      <c r="WLF3">
        <f>Database!WLY5</f>
        <v>0</v>
      </c>
      <c r="WLG3">
        <f>Database!WLZ5</f>
        <v>0</v>
      </c>
      <c r="WLH3">
        <f>Database!WMA5</f>
        <v>0</v>
      </c>
      <c r="WLI3">
        <f>Database!WMB5</f>
        <v>0</v>
      </c>
      <c r="WLJ3">
        <f>Database!WMC5</f>
        <v>0</v>
      </c>
      <c r="WLK3">
        <f>Database!WMD5</f>
        <v>0</v>
      </c>
      <c r="WLL3">
        <f>Database!WME5</f>
        <v>0</v>
      </c>
      <c r="WLM3">
        <f>Database!WMF5</f>
        <v>0</v>
      </c>
      <c r="WLN3">
        <f>Database!WMG5</f>
        <v>0</v>
      </c>
      <c r="WLO3">
        <f>Database!WMH5</f>
        <v>0</v>
      </c>
      <c r="WLP3">
        <f>Database!WMI5</f>
        <v>0</v>
      </c>
      <c r="WLQ3">
        <f>Database!WMJ5</f>
        <v>0</v>
      </c>
      <c r="WLR3">
        <f>Database!WMK5</f>
        <v>0</v>
      </c>
      <c r="WLS3">
        <f>Database!WML5</f>
        <v>0</v>
      </c>
      <c r="WLT3">
        <f>Database!WMM5</f>
        <v>0</v>
      </c>
      <c r="WLU3">
        <f>Database!WMN5</f>
        <v>0</v>
      </c>
      <c r="WLV3">
        <f>Database!WMO5</f>
        <v>0</v>
      </c>
      <c r="WLW3">
        <f>Database!WMP5</f>
        <v>0</v>
      </c>
      <c r="WLX3">
        <f>Database!WMQ5</f>
        <v>0</v>
      </c>
      <c r="WLY3">
        <f>Database!WMR5</f>
        <v>0</v>
      </c>
      <c r="WLZ3">
        <f>Database!WMS5</f>
        <v>0</v>
      </c>
      <c r="WMA3">
        <f>Database!WMT5</f>
        <v>0</v>
      </c>
      <c r="WMB3">
        <f>Database!WMU5</f>
        <v>0</v>
      </c>
      <c r="WMC3">
        <f>Database!WMV5</f>
        <v>0</v>
      </c>
      <c r="WMD3">
        <f>Database!WMW5</f>
        <v>0</v>
      </c>
      <c r="WME3">
        <f>Database!WMX5</f>
        <v>0</v>
      </c>
      <c r="WMF3">
        <f>Database!WMY5</f>
        <v>0</v>
      </c>
      <c r="WMG3">
        <f>Database!WMZ5</f>
        <v>0</v>
      </c>
      <c r="WMH3">
        <f>Database!WNA5</f>
        <v>0</v>
      </c>
      <c r="WMI3">
        <f>Database!WNB5</f>
        <v>0</v>
      </c>
      <c r="WMJ3">
        <f>Database!WNC5</f>
        <v>0</v>
      </c>
      <c r="WMK3">
        <f>Database!WND5</f>
        <v>0</v>
      </c>
      <c r="WML3">
        <f>Database!WNE5</f>
        <v>0</v>
      </c>
      <c r="WMM3">
        <f>Database!WNF5</f>
        <v>0</v>
      </c>
      <c r="WMN3">
        <f>Database!WNG5</f>
        <v>0</v>
      </c>
      <c r="WMO3">
        <f>Database!WNH5</f>
        <v>0</v>
      </c>
      <c r="WMP3">
        <f>Database!WNI5</f>
        <v>0</v>
      </c>
      <c r="WMQ3">
        <f>Database!WNJ5</f>
        <v>0</v>
      </c>
      <c r="WMR3">
        <f>Database!WNK5</f>
        <v>0</v>
      </c>
      <c r="WMS3">
        <f>Database!WNL5</f>
        <v>0</v>
      </c>
      <c r="WMT3">
        <f>Database!WNM5</f>
        <v>0</v>
      </c>
      <c r="WMU3">
        <f>Database!WNN5</f>
        <v>0</v>
      </c>
      <c r="WMV3">
        <f>Database!WNO5</f>
        <v>0</v>
      </c>
      <c r="WMW3">
        <f>Database!WNP5</f>
        <v>0</v>
      </c>
      <c r="WMX3">
        <f>Database!WNQ5</f>
        <v>0</v>
      </c>
      <c r="WMY3">
        <f>Database!WNR5</f>
        <v>0</v>
      </c>
      <c r="WMZ3">
        <f>Database!WNS5</f>
        <v>0</v>
      </c>
      <c r="WNA3">
        <f>Database!WNT5</f>
        <v>0</v>
      </c>
      <c r="WNB3">
        <f>Database!WNU5</f>
        <v>0</v>
      </c>
      <c r="WNC3">
        <f>Database!WNV5</f>
        <v>0</v>
      </c>
      <c r="WND3">
        <f>Database!WNW5</f>
        <v>0</v>
      </c>
      <c r="WNE3">
        <f>Database!WNX5</f>
        <v>0</v>
      </c>
      <c r="WNF3">
        <f>Database!WNY5</f>
        <v>0</v>
      </c>
      <c r="WNG3">
        <f>Database!WNZ5</f>
        <v>0</v>
      </c>
      <c r="WNH3">
        <f>Database!WOA5</f>
        <v>0</v>
      </c>
      <c r="WNI3">
        <f>Database!WOB5</f>
        <v>0</v>
      </c>
      <c r="WNJ3">
        <f>Database!WOC5</f>
        <v>0</v>
      </c>
      <c r="WNK3">
        <f>Database!WOD5</f>
        <v>0</v>
      </c>
      <c r="WNL3">
        <f>Database!WOE5</f>
        <v>0</v>
      </c>
      <c r="WNM3">
        <f>Database!WOF5</f>
        <v>0</v>
      </c>
      <c r="WNN3">
        <f>Database!WOG5</f>
        <v>0</v>
      </c>
      <c r="WNO3">
        <f>Database!WOH5</f>
        <v>0</v>
      </c>
      <c r="WNP3">
        <f>Database!WOI5</f>
        <v>0</v>
      </c>
      <c r="WNQ3">
        <f>Database!WOJ5</f>
        <v>0</v>
      </c>
      <c r="WNR3">
        <f>Database!WOK5</f>
        <v>0</v>
      </c>
      <c r="WNS3">
        <f>Database!WOL5</f>
        <v>0</v>
      </c>
      <c r="WNT3">
        <f>Database!WOM5</f>
        <v>0</v>
      </c>
      <c r="WNU3">
        <f>Database!WON5</f>
        <v>0</v>
      </c>
      <c r="WNV3">
        <f>Database!WOO5</f>
        <v>0</v>
      </c>
      <c r="WNW3">
        <f>Database!WOP5</f>
        <v>0</v>
      </c>
      <c r="WNX3">
        <f>Database!WOQ5</f>
        <v>0</v>
      </c>
      <c r="WNY3">
        <f>Database!WOR5</f>
        <v>0</v>
      </c>
      <c r="WNZ3">
        <f>Database!WOS5</f>
        <v>0</v>
      </c>
      <c r="WOA3">
        <f>Database!WOT5</f>
        <v>0</v>
      </c>
      <c r="WOB3">
        <f>Database!WOU5</f>
        <v>0</v>
      </c>
      <c r="WOC3">
        <f>Database!WOV5</f>
        <v>0</v>
      </c>
      <c r="WOD3">
        <f>Database!WOW5</f>
        <v>0</v>
      </c>
      <c r="WOE3">
        <f>Database!WOX5</f>
        <v>0</v>
      </c>
      <c r="WOF3">
        <f>Database!WOY5</f>
        <v>0</v>
      </c>
      <c r="WOG3">
        <f>Database!WOZ5</f>
        <v>0</v>
      </c>
      <c r="WOH3">
        <f>Database!WPA5</f>
        <v>0</v>
      </c>
      <c r="WOI3">
        <f>Database!WPB5</f>
        <v>0</v>
      </c>
      <c r="WOJ3">
        <f>Database!WPC5</f>
        <v>0</v>
      </c>
      <c r="WOK3">
        <f>Database!WPD5</f>
        <v>0</v>
      </c>
      <c r="WOL3">
        <f>Database!WPE5</f>
        <v>0</v>
      </c>
      <c r="WOM3">
        <f>Database!WPF5</f>
        <v>0</v>
      </c>
      <c r="WON3">
        <f>Database!WPG5</f>
        <v>0</v>
      </c>
      <c r="WOO3">
        <f>Database!WPH5</f>
        <v>0</v>
      </c>
      <c r="WOP3">
        <f>Database!WPI5</f>
        <v>0</v>
      </c>
      <c r="WOQ3">
        <f>Database!WPJ5</f>
        <v>0</v>
      </c>
      <c r="WOR3">
        <f>Database!WPK5</f>
        <v>0</v>
      </c>
      <c r="WOS3">
        <f>Database!WPL5</f>
        <v>0</v>
      </c>
      <c r="WOT3">
        <f>Database!WPM5</f>
        <v>0</v>
      </c>
      <c r="WOU3">
        <f>Database!WPN5</f>
        <v>0</v>
      </c>
      <c r="WOV3">
        <f>Database!WPO5</f>
        <v>0</v>
      </c>
      <c r="WOW3">
        <f>Database!WPP5</f>
        <v>0</v>
      </c>
      <c r="WOX3">
        <f>Database!WPQ5</f>
        <v>0</v>
      </c>
      <c r="WOY3">
        <f>Database!WPR5</f>
        <v>0</v>
      </c>
      <c r="WOZ3">
        <f>Database!WPS5</f>
        <v>0</v>
      </c>
      <c r="WPA3">
        <f>Database!WPT5</f>
        <v>0</v>
      </c>
      <c r="WPB3">
        <f>Database!WPU5</f>
        <v>0</v>
      </c>
      <c r="WPC3">
        <f>Database!WPV5</f>
        <v>0</v>
      </c>
      <c r="WPD3">
        <f>Database!WPW5</f>
        <v>0</v>
      </c>
      <c r="WPE3">
        <f>Database!WPX5</f>
        <v>0</v>
      </c>
      <c r="WPF3">
        <f>Database!WPY5</f>
        <v>0</v>
      </c>
      <c r="WPG3">
        <f>Database!WPZ5</f>
        <v>0</v>
      </c>
      <c r="WPH3">
        <f>Database!WQA5</f>
        <v>0</v>
      </c>
      <c r="WPI3">
        <f>Database!WQB5</f>
        <v>0</v>
      </c>
      <c r="WPJ3">
        <f>Database!WQC5</f>
        <v>0</v>
      </c>
      <c r="WPK3">
        <f>Database!WQD5</f>
        <v>0</v>
      </c>
      <c r="WPL3">
        <f>Database!WQE5</f>
        <v>0</v>
      </c>
      <c r="WPM3">
        <f>Database!WQF5</f>
        <v>0</v>
      </c>
      <c r="WPN3">
        <f>Database!WQG5</f>
        <v>0</v>
      </c>
      <c r="WPO3">
        <f>Database!WQH5</f>
        <v>0</v>
      </c>
      <c r="WPP3">
        <f>Database!WQI5</f>
        <v>0</v>
      </c>
      <c r="WPQ3">
        <f>Database!WQJ5</f>
        <v>0</v>
      </c>
      <c r="WPR3">
        <f>Database!WQK5</f>
        <v>0</v>
      </c>
      <c r="WPS3">
        <f>Database!WQL5</f>
        <v>0</v>
      </c>
      <c r="WPT3">
        <f>Database!WQM5</f>
        <v>0</v>
      </c>
      <c r="WPU3">
        <f>Database!WQN5</f>
        <v>0</v>
      </c>
      <c r="WPV3">
        <f>Database!WQO5</f>
        <v>0</v>
      </c>
      <c r="WPW3">
        <f>Database!WQP5</f>
        <v>0</v>
      </c>
      <c r="WPX3">
        <f>Database!WQQ5</f>
        <v>0</v>
      </c>
      <c r="WPY3">
        <f>Database!WQR5</f>
        <v>0</v>
      </c>
      <c r="WPZ3">
        <f>Database!WQS5</f>
        <v>0</v>
      </c>
      <c r="WQA3">
        <f>Database!WQT5</f>
        <v>0</v>
      </c>
      <c r="WQB3">
        <f>Database!WQU5</f>
        <v>0</v>
      </c>
      <c r="WQC3">
        <f>Database!WQV5</f>
        <v>0</v>
      </c>
      <c r="WQD3">
        <f>Database!WQW5</f>
        <v>0</v>
      </c>
      <c r="WQE3">
        <f>Database!WQX5</f>
        <v>0</v>
      </c>
      <c r="WQF3">
        <f>Database!WQY5</f>
        <v>0</v>
      </c>
      <c r="WQG3">
        <f>Database!WQZ5</f>
        <v>0</v>
      </c>
      <c r="WQH3">
        <f>Database!WRA5</f>
        <v>0</v>
      </c>
      <c r="WQI3">
        <f>Database!WRB5</f>
        <v>0</v>
      </c>
      <c r="WQJ3">
        <f>Database!WRC5</f>
        <v>0</v>
      </c>
      <c r="WQK3">
        <f>Database!WRD5</f>
        <v>0</v>
      </c>
      <c r="WQL3">
        <f>Database!WRE5</f>
        <v>0</v>
      </c>
      <c r="WQM3">
        <f>Database!WRF5</f>
        <v>0</v>
      </c>
      <c r="WQN3">
        <f>Database!WRG5</f>
        <v>0</v>
      </c>
      <c r="WQO3">
        <f>Database!WRH5</f>
        <v>0</v>
      </c>
      <c r="WQP3">
        <f>Database!WRI5</f>
        <v>0</v>
      </c>
      <c r="WQQ3">
        <f>Database!WRJ5</f>
        <v>0</v>
      </c>
      <c r="WQR3">
        <f>Database!WRK5</f>
        <v>0</v>
      </c>
      <c r="WQS3">
        <f>Database!WRL5</f>
        <v>0</v>
      </c>
      <c r="WQT3">
        <f>Database!WRM5</f>
        <v>0</v>
      </c>
      <c r="WQU3">
        <f>Database!WRN5</f>
        <v>0</v>
      </c>
      <c r="WQV3">
        <f>Database!WRO5</f>
        <v>0</v>
      </c>
      <c r="WQW3">
        <f>Database!WRP5</f>
        <v>0</v>
      </c>
      <c r="WQX3">
        <f>Database!WRQ5</f>
        <v>0</v>
      </c>
      <c r="WQY3">
        <f>Database!WRR5</f>
        <v>0</v>
      </c>
      <c r="WQZ3">
        <f>Database!WRS5</f>
        <v>0</v>
      </c>
      <c r="WRA3">
        <f>Database!WRT5</f>
        <v>0</v>
      </c>
      <c r="WRB3">
        <f>Database!WRU5</f>
        <v>0</v>
      </c>
      <c r="WRC3">
        <f>Database!WRV5</f>
        <v>0</v>
      </c>
      <c r="WRD3">
        <f>Database!WRW5</f>
        <v>0</v>
      </c>
      <c r="WRE3">
        <f>Database!WRX5</f>
        <v>0</v>
      </c>
      <c r="WRF3">
        <f>Database!WRY5</f>
        <v>0</v>
      </c>
      <c r="WRG3">
        <f>Database!WRZ5</f>
        <v>0</v>
      </c>
      <c r="WRH3">
        <f>Database!WSA5</f>
        <v>0</v>
      </c>
      <c r="WRI3">
        <f>Database!WSB5</f>
        <v>0</v>
      </c>
      <c r="WRJ3">
        <f>Database!WSC5</f>
        <v>0</v>
      </c>
      <c r="WRK3">
        <f>Database!WSD5</f>
        <v>0</v>
      </c>
      <c r="WRL3">
        <f>Database!WSE5</f>
        <v>0</v>
      </c>
      <c r="WRM3">
        <f>Database!WSF5</f>
        <v>0</v>
      </c>
      <c r="WRN3">
        <f>Database!WSG5</f>
        <v>0</v>
      </c>
      <c r="WRO3">
        <f>Database!WSH5</f>
        <v>0</v>
      </c>
      <c r="WRP3">
        <f>Database!WSI5</f>
        <v>0</v>
      </c>
      <c r="WRQ3">
        <f>Database!WSJ5</f>
        <v>0</v>
      </c>
      <c r="WRR3">
        <f>Database!WSK5</f>
        <v>0</v>
      </c>
      <c r="WRS3">
        <f>Database!WSL5</f>
        <v>0</v>
      </c>
      <c r="WRT3">
        <f>Database!WSM5</f>
        <v>0</v>
      </c>
      <c r="WRU3">
        <f>Database!WSN5</f>
        <v>0</v>
      </c>
      <c r="WRV3">
        <f>Database!WSO5</f>
        <v>0</v>
      </c>
      <c r="WRW3">
        <f>Database!WSP5</f>
        <v>0</v>
      </c>
      <c r="WRX3">
        <f>Database!WSQ5</f>
        <v>0</v>
      </c>
      <c r="WRY3">
        <f>Database!WSR5</f>
        <v>0</v>
      </c>
      <c r="WRZ3">
        <f>Database!WSS5</f>
        <v>0</v>
      </c>
      <c r="WSA3">
        <f>Database!WST5</f>
        <v>0</v>
      </c>
      <c r="WSB3">
        <f>Database!WSU5</f>
        <v>0</v>
      </c>
      <c r="WSC3">
        <f>Database!WSV5</f>
        <v>0</v>
      </c>
      <c r="WSD3">
        <f>Database!WSW5</f>
        <v>0</v>
      </c>
      <c r="WSE3">
        <f>Database!WSX5</f>
        <v>0</v>
      </c>
      <c r="WSF3">
        <f>Database!WSY5</f>
        <v>0</v>
      </c>
      <c r="WSG3">
        <f>Database!WSZ5</f>
        <v>0</v>
      </c>
      <c r="WSH3">
        <f>Database!WTA5</f>
        <v>0</v>
      </c>
      <c r="WSI3">
        <f>Database!WTB5</f>
        <v>0</v>
      </c>
      <c r="WSJ3">
        <f>Database!WTC5</f>
        <v>0</v>
      </c>
      <c r="WSK3">
        <f>Database!WTD5</f>
        <v>0</v>
      </c>
      <c r="WSL3">
        <f>Database!WTE5</f>
        <v>0</v>
      </c>
      <c r="WSM3">
        <f>Database!WTF5</f>
        <v>0</v>
      </c>
      <c r="WSN3">
        <f>Database!WTG5</f>
        <v>0</v>
      </c>
      <c r="WSO3">
        <f>Database!WTH5</f>
        <v>0</v>
      </c>
      <c r="WSP3">
        <f>Database!WTI5</f>
        <v>0</v>
      </c>
      <c r="WSQ3">
        <f>Database!WTJ5</f>
        <v>0</v>
      </c>
      <c r="WSR3">
        <f>Database!WTK5</f>
        <v>0</v>
      </c>
      <c r="WSS3">
        <f>Database!WTL5</f>
        <v>0</v>
      </c>
      <c r="WST3">
        <f>Database!WTM5</f>
        <v>0</v>
      </c>
      <c r="WSU3">
        <f>Database!WTN5</f>
        <v>0</v>
      </c>
      <c r="WSV3">
        <f>Database!WTO5</f>
        <v>0</v>
      </c>
      <c r="WSW3">
        <f>Database!WTP5</f>
        <v>0</v>
      </c>
      <c r="WSX3">
        <f>Database!WTQ5</f>
        <v>0</v>
      </c>
      <c r="WSY3">
        <f>Database!WTR5</f>
        <v>0</v>
      </c>
      <c r="WSZ3">
        <f>Database!WTS5</f>
        <v>0</v>
      </c>
      <c r="WTA3">
        <f>Database!WTT5</f>
        <v>0</v>
      </c>
      <c r="WTB3">
        <f>Database!WTU5</f>
        <v>0</v>
      </c>
      <c r="WTC3">
        <f>Database!WTV5</f>
        <v>0</v>
      </c>
      <c r="WTD3">
        <f>Database!WTW5</f>
        <v>0</v>
      </c>
      <c r="WTE3">
        <f>Database!WTX5</f>
        <v>0</v>
      </c>
      <c r="WTF3">
        <f>Database!WTY5</f>
        <v>0</v>
      </c>
      <c r="WTG3">
        <f>Database!WTZ5</f>
        <v>0</v>
      </c>
      <c r="WTH3">
        <f>Database!WUA5</f>
        <v>0</v>
      </c>
      <c r="WTI3">
        <f>Database!WUB5</f>
        <v>0</v>
      </c>
      <c r="WTJ3">
        <f>Database!WUC5</f>
        <v>0</v>
      </c>
      <c r="WTK3">
        <f>Database!WUD5</f>
        <v>0</v>
      </c>
      <c r="WTL3">
        <f>Database!WUE5</f>
        <v>0</v>
      </c>
      <c r="WTM3">
        <f>Database!WUF5</f>
        <v>0</v>
      </c>
      <c r="WTN3">
        <f>Database!WUG5</f>
        <v>0</v>
      </c>
      <c r="WTO3">
        <f>Database!WUH5</f>
        <v>0</v>
      </c>
      <c r="WTP3">
        <f>Database!WUI5</f>
        <v>0</v>
      </c>
      <c r="WTQ3">
        <f>Database!WUJ5</f>
        <v>0</v>
      </c>
      <c r="WTR3">
        <f>Database!WUK5</f>
        <v>0</v>
      </c>
      <c r="WTS3">
        <f>Database!WUL5</f>
        <v>0</v>
      </c>
      <c r="WTT3">
        <f>Database!WUM5</f>
        <v>0</v>
      </c>
      <c r="WTU3">
        <f>Database!WUN5</f>
        <v>0</v>
      </c>
      <c r="WTV3">
        <f>Database!WUO5</f>
        <v>0</v>
      </c>
      <c r="WTW3">
        <f>Database!WUP5</f>
        <v>0</v>
      </c>
      <c r="WTX3">
        <f>Database!WUQ5</f>
        <v>0</v>
      </c>
      <c r="WTY3">
        <f>Database!WUR5</f>
        <v>0</v>
      </c>
      <c r="WTZ3">
        <f>Database!WUS5</f>
        <v>0</v>
      </c>
      <c r="WUA3">
        <f>Database!WUT5</f>
        <v>0</v>
      </c>
      <c r="WUB3">
        <f>Database!WUU5</f>
        <v>0</v>
      </c>
      <c r="WUC3">
        <f>Database!WUV5</f>
        <v>0</v>
      </c>
      <c r="WUD3">
        <f>Database!WUW5</f>
        <v>0</v>
      </c>
      <c r="WUE3">
        <f>Database!WUX5</f>
        <v>0</v>
      </c>
      <c r="WUF3">
        <f>Database!WUY5</f>
        <v>0</v>
      </c>
      <c r="WUG3">
        <f>Database!WUZ5</f>
        <v>0</v>
      </c>
      <c r="WUH3">
        <f>Database!WVA5</f>
        <v>0</v>
      </c>
      <c r="WUI3">
        <f>Database!WVB5</f>
        <v>0</v>
      </c>
      <c r="WUJ3">
        <f>Database!WVC5</f>
        <v>0</v>
      </c>
      <c r="WUK3">
        <f>Database!WVD5</f>
        <v>0</v>
      </c>
      <c r="WUL3">
        <f>Database!WVE5</f>
        <v>0</v>
      </c>
      <c r="WUM3">
        <f>Database!WVF5</f>
        <v>0</v>
      </c>
      <c r="WUN3">
        <f>Database!WVG5</f>
        <v>0</v>
      </c>
      <c r="WUO3">
        <f>Database!WVH5</f>
        <v>0</v>
      </c>
      <c r="WUP3">
        <f>Database!WVI5</f>
        <v>0</v>
      </c>
      <c r="WUQ3">
        <f>Database!WVJ5</f>
        <v>0</v>
      </c>
      <c r="WUR3">
        <f>Database!WVK5</f>
        <v>0</v>
      </c>
      <c r="WUS3">
        <f>Database!WVL5</f>
        <v>0</v>
      </c>
      <c r="WUT3">
        <f>Database!WVM5</f>
        <v>0</v>
      </c>
      <c r="WUU3">
        <f>Database!WVN5</f>
        <v>0</v>
      </c>
      <c r="WUV3">
        <f>Database!WVO5</f>
        <v>0</v>
      </c>
      <c r="WUW3">
        <f>Database!WVP5</f>
        <v>0</v>
      </c>
      <c r="WUX3">
        <f>Database!WVQ5</f>
        <v>0</v>
      </c>
      <c r="WUY3">
        <f>Database!WVR5</f>
        <v>0</v>
      </c>
      <c r="WUZ3">
        <f>Database!WVS5</f>
        <v>0</v>
      </c>
      <c r="WVA3">
        <f>Database!WVT5</f>
        <v>0</v>
      </c>
      <c r="WVB3">
        <f>Database!WVU5</f>
        <v>0</v>
      </c>
      <c r="WVC3">
        <f>Database!WVV5</f>
        <v>0</v>
      </c>
      <c r="WVD3">
        <f>Database!WVW5</f>
        <v>0</v>
      </c>
      <c r="WVE3">
        <f>Database!WVX5</f>
        <v>0</v>
      </c>
      <c r="WVF3">
        <f>Database!WVY5</f>
        <v>0</v>
      </c>
      <c r="WVG3">
        <f>Database!WVZ5</f>
        <v>0</v>
      </c>
      <c r="WVH3">
        <f>Database!WWA5</f>
        <v>0</v>
      </c>
      <c r="WVI3">
        <f>Database!WWB5</f>
        <v>0</v>
      </c>
      <c r="WVJ3">
        <f>Database!WWC5</f>
        <v>0</v>
      </c>
      <c r="WVK3">
        <f>Database!WWD5</f>
        <v>0</v>
      </c>
      <c r="WVL3">
        <f>Database!WWE5</f>
        <v>0</v>
      </c>
      <c r="WVM3">
        <f>Database!WWF5</f>
        <v>0</v>
      </c>
      <c r="WVN3">
        <f>Database!WWG5</f>
        <v>0</v>
      </c>
      <c r="WVO3">
        <f>Database!WWH5</f>
        <v>0</v>
      </c>
      <c r="WVP3">
        <f>Database!WWI5</f>
        <v>0</v>
      </c>
      <c r="WVQ3">
        <f>Database!WWJ5</f>
        <v>0</v>
      </c>
      <c r="WVR3">
        <f>Database!WWK5</f>
        <v>0</v>
      </c>
      <c r="WVS3">
        <f>Database!WWL5</f>
        <v>0</v>
      </c>
      <c r="WVT3">
        <f>Database!WWM5</f>
        <v>0</v>
      </c>
      <c r="WVU3">
        <f>Database!WWN5</f>
        <v>0</v>
      </c>
      <c r="WVV3">
        <f>Database!WWO5</f>
        <v>0</v>
      </c>
      <c r="WVW3">
        <f>Database!WWP5</f>
        <v>0</v>
      </c>
      <c r="WVX3">
        <f>Database!WWQ5</f>
        <v>0</v>
      </c>
      <c r="WVY3">
        <f>Database!WWR5</f>
        <v>0</v>
      </c>
      <c r="WVZ3">
        <f>Database!WWS5</f>
        <v>0</v>
      </c>
      <c r="WWA3">
        <f>Database!WWT5</f>
        <v>0</v>
      </c>
      <c r="WWB3">
        <f>Database!WWU5</f>
        <v>0</v>
      </c>
      <c r="WWC3">
        <f>Database!WWV5</f>
        <v>0</v>
      </c>
      <c r="WWD3">
        <f>Database!WWW5</f>
        <v>0</v>
      </c>
      <c r="WWE3">
        <f>Database!WWX5</f>
        <v>0</v>
      </c>
      <c r="WWF3">
        <f>Database!WWY5</f>
        <v>0</v>
      </c>
      <c r="WWG3">
        <f>Database!WWZ5</f>
        <v>0</v>
      </c>
      <c r="WWH3">
        <f>Database!WXA5</f>
        <v>0</v>
      </c>
      <c r="WWI3">
        <f>Database!WXB5</f>
        <v>0</v>
      </c>
      <c r="WWJ3">
        <f>Database!WXC5</f>
        <v>0</v>
      </c>
      <c r="WWK3">
        <f>Database!WXD5</f>
        <v>0</v>
      </c>
      <c r="WWL3">
        <f>Database!WXE5</f>
        <v>0</v>
      </c>
      <c r="WWM3">
        <f>Database!WXF5</f>
        <v>0</v>
      </c>
      <c r="WWN3">
        <f>Database!WXG5</f>
        <v>0</v>
      </c>
      <c r="WWO3">
        <f>Database!WXH5</f>
        <v>0</v>
      </c>
      <c r="WWP3">
        <f>Database!WXI5</f>
        <v>0</v>
      </c>
      <c r="WWQ3">
        <f>Database!WXJ5</f>
        <v>0</v>
      </c>
      <c r="WWR3">
        <f>Database!WXK5</f>
        <v>0</v>
      </c>
      <c r="WWS3">
        <f>Database!WXL5</f>
        <v>0</v>
      </c>
      <c r="WWT3">
        <f>Database!WXM5</f>
        <v>0</v>
      </c>
      <c r="WWU3">
        <f>Database!WXN5</f>
        <v>0</v>
      </c>
      <c r="WWV3">
        <f>Database!WXO5</f>
        <v>0</v>
      </c>
      <c r="WWW3">
        <f>Database!WXP5</f>
        <v>0</v>
      </c>
      <c r="WWX3">
        <f>Database!WXQ5</f>
        <v>0</v>
      </c>
      <c r="WWY3">
        <f>Database!WXR5</f>
        <v>0</v>
      </c>
      <c r="WWZ3">
        <f>Database!WXS5</f>
        <v>0</v>
      </c>
      <c r="WXA3">
        <f>Database!WXT5</f>
        <v>0</v>
      </c>
      <c r="WXB3">
        <f>Database!WXU5</f>
        <v>0</v>
      </c>
      <c r="WXC3">
        <f>Database!WXV5</f>
        <v>0</v>
      </c>
      <c r="WXD3">
        <f>Database!WXW5</f>
        <v>0</v>
      </c>
      <c r="WXE3">
        <f>Database!WXX5</f>
        <v>0</v>
      </c>
      <c r="WXF3">
        <f>Database!WXY5</f>
        <v>0</v>
      </c>
      <c r="WXG3">
        <f>Database!WXZ5</f>
        <v>0</v>
      </c>
      <c r="WXH3">
        <f>Database!WYA5</f>
        <v>0</v>
      </c>
      <c r="WXI3">
        <f>Database!WYB5</f>
        <v>0</v>
      </c>
      <c r="WXJ3">
        <f>Database!WYC5</f>
        <v>0</v>
      </c>
      <c r="WXK3">
        <f>Database!WYD5</f>
        <v>0</v>
      </c>
      <c r="WXL3">
        <f>Database!WYE5</f>
        <v>0</v>
      </c>
      <c r="WXM3">
        <f>Database!WYF5</f>
        <v>0</v>
      </c>
      <c r="WXN3">
        <f>Database!WYG5</f>
        <v>0</v>
      </c>
      <c r="WXO3">
        <f>Database!WYH5</f>
        <v>0</v>
      </c>
      <c r="WXP3">
        <f>Database!WYI5</f>
        <v>0</v>
      </c>
      <c r="WXQ3">
        <f>Database!WYJ5</f>
        <v>0</v>
      </c>
      <c r="WXR3">
        <f>Database!WYK5</f>
        <v>0</v>
      </c>
      <c r="WXS3">
        <f>Database!WYL5</f>
        <v>0</v>
      </c>
      <c r="WXT3">
        <f>Database!WYM5</f>
        <v>0</v>
      </c>
      <c r="WXU3">
        <f>Database!WYN5</f>
        <v>0</v>
      </c>
      <c r="WXV3">
        <f>Database!WYO5</f>
        <v>0</v>
      </c>
      <c r="WXW3">
        <f>Database!WYP5</f>
        <v>0</v>
      </c>
      <c r="WXX3">
        <f>Database!WYQ5</f>
        <v>0</v>
      </c>
      <c r="WXY3">
        <f>Database!WYR5</f>
        <v>0</v>
      </c>
      <c r="WXZ3">
        <f>Database!WYS5</f>
        <v>0</v>
      </c>
      <c r="WYA3">
        <f>Database!WYT5</f>
        <v>0</v>
      </c>
      <c r="WYB3">
        <f>Database!WYU5</f>
        <v>0</v>
      </c>
      <c r="WYC3">
        <f>Database!WYV5</f>
        <v>0</v>
      </c>
      <c r="WYD3">
        <f>Database!WYW5</f>
        <v>0</v>
      </c>
      <c r="WYE3">
        <f>Database!WYX5</f>
        <v>0</v>
      </c>
      <c r="WYF3">
        <f>Database!WYY5</f>
        <v>0</v>
      </c>
      <c r="WYG3">
        <f>Database!WYZ5</f>
        <v>0</v>
      </c>
      <c r="WYH3">
        <f>Database!WZA5</f>
        <v>0</v>
      </c>
      <c r="WYI3">
        <f>Database!WZB5</f>
        <v>0</v>
      </c>
      <c r="WYJ3">
        <f>Database!WZC5</f>
        <v>0</v>
      </c>
      <c r="WYK3">
        <f>Database!WZD5</f>
        <v>0</v>
      </c>
      <c r="WYL3">
        <f>Database!WZE5</f>
        <v>0</v>
      </c>
      <c r="WYM3">
        <f>Database!WZF5</f>
        <v>0</v>
      </c>
      <c r="WYN3">
        <f>Database!WZG5</f>
        <v>0</v>
      </c>
      <c r="WYO3">
        <f>Database!WZH5</f>
        <v>0</v>
      </c>
      <c r="WYP3">
        <f>Database!WZI5</f>
        <v>0</v>
      </c>
      <c r="WYQ3">
        <f>Database!WZJ5</f>
        <v>0</v>
      </c>
      <c r="WYR3">
        <f>Database!WZK5</f>
        <v>0</v>
      </c>
      <c r="WYS3">
        <f>Database!WZL5</f>
        <v>0</v>
      </c>
      <c r="WYT3">
        <f>Database!WZM5</f>
        <v>0</v>
      </c>
      <c r="WYU3">
        <f>Database!WZN5</f>
        <v>0</v>
      </c>
      <c r="WYV3">
        <f>Database!WZO5</f>
        <v>0</v>
      </c>
      <c r="WYW3">
        <f>Database!WZP5</f>
        <v>0</v>
      </c>
      <c r="WYX3">
        <f>Database!WZQ5</f>
        <v>0</v>
      </c>
      <c r="WYY3">
        <f>Database!WZR5</f>
        <v>0</v>
      </c>
      <c r="WYZ3">
        <f>Database!WZS5</f>
        <v>0</v>
      </c>
      <c r="WZA3">
        <f>Database!WZT5</f>
        <v>0</v>
      </c>
      <c r="WZB3">
        <f>Database!WZU5</f>
        <v>0</v>
      </c>
      <c r="WZC3">
        <f>Database!WZV5</f>
        <v>0</v>
      </c>
      <c r="WZD3">
        <f>Database!WZW5</f>
        <v>0</v>
      </c>
      <c r="WZE3">
        <f>Database!WZX5</f>
        <v>0</v>
      </c>
      <c r="WZF3">
        <f>Database!WZY5</f>
        <v>0</v>
      </c>
      <c r="WZG3">
        <f>Database!WZZ5</f>
        <v>0</v>
      </c>
      <c r="WZH3">
        <f>Database!XAA5</f>
        <v>0</v>
      </c>
      <c r="WZI3">
        <f>Database!XAB5</f>
        <v>0</v>
      </c>
      <c r="WZJ3">
        <f>Database!XAC5</f>
        <v>0</v>
      </c>
      <c r="WZK3">
        <f>Database!XAD5</f>
        <v>0</v>
      </c>
      <c r="WZL3">
        <f>Database!XAE5</f>
        <v>0</v>
      </c>
      <c r="WZM3">
        <f>Database!XAF5</f>
        <v>0</v>
      </c>
      <c r="WZN3">
        <f>Database!XAG5</f>
        <v>0</v>
      </c>
      <c r="WZO3">
        <f>Database!XAH5</f>
        <v>0</v>
      </c>
      <c r="WZP3">
        <f>Database!XAI5</f>
        <v>0</v>
      </c>
      <c r="WZQ3">
        <f>Database!XAJ5</f>
        <v>0</v>
      </c>
      <c r="WZR3">
        <f>Database!XAK5</f>
        <v>0</v>
      </c>
      <c r="WZS3">
        <f>Database!XAL5</f>
        <v>0</v>
      </c>
      <c r="WZT3">
        <f>Database!XAM5</f>
        <v>0</v>
      </c>
      <c r="WZU3">
        <f>Database!XAN5</f>
        <v>0</v>
      </c>
      <c r="WZV3">
        <f>Database!XAO5</f>
        <v>0</v>
      </c>
      <c r="WZW3">
        <f>Database!XAP5</f>
        <v>0</v>
      </c>
      <c r="WZX3">
        <f>Database!XAQ5</f>
        <v>0</v>
      </c>
      <c r="WZY3">
        <f>Database!XAR5</f>
        <v>0</v>
      </c>
      <c r="WZZ3">
        <f>Database!XAS5</f>
        <v>0</v>
      </c>
      <c r="XAA3">
        <f>Database!XAT5</f>
        <v>0</v>
      </c>
      <c r="XAB3">
        <f>Database!XAU5</f>
        <v>0</v>
      </c>
      <c r="XAC3">
        <f>Database!XAV5</f>
        <v>0</v>
      </c>
      <c r="XAD3">
        <f>Database!XAW5</f>
        <v>0</v>
      </c>
      <c r="XAE3">
        <f>Database!XAX5</f>
        <v>0</v>
      </c>
      <c r="XAF3">
        <f>Database!XAY5</f>
        <v>0</v>
      </c>
      <c r="XAG3">
        <f>Database!XAZ5</f>
        <v>0</v>
      </c>
      <c r="XAH3">
        <f>Database!XBA5</f>
        <v>0</v>
      </c>
      <c r="XAI3">
        <f>Database!XBB5</f>
        <v>0</v>
      </c>
      <c r="XAJ3">
        <f>Database!XBC5</f>
        <v>0</v>
      </c>
      <c r="XAK3">
        <f>Database!XBD5</f>
        <v>0</v>
      </c>
      <c r="XAL3">
        <f>Database!XBE5</f>
        <v>0</v>
      </c>
      <c r="XAM3">
        <f>Database!XBF5</f>
        <v>0</v>
      </c>
      <c r="XAN3">
        <f>Database!XBG5</f>
        <v>0</v>
      </c>
      <c r="XAO3">
        <f>Database!XBH5</f>
        <v>0</v>
      </c>
      <c r="XAP3">
        <f>Database!XBI5</f>
        <v>0</v>
      </c>
      <c r="XAQ3">
        <f>Database!XBJ5</f>
        <v>0</v>
      </c>
      <c r="XAR3">
        <f>Database!XBK5</f>
        <v>0</v>
      </c>
      <c r="XAS3">
        <f>Database!XBL5</f>
        <v>0</v>
      </c>
      <c r="XAT3">
        <f>Database!XBM5</f>
        <v>0</v>
      </c>
      <c r="XAU3">
        <f>Database!XBN5</f>
        <v>0</v>
      </c>
      <c r="XAV3">
        <f>Database!XBO5</f>
        <v>0</v>
      </c>
      <c r="XAW3">
        <f>Database!XBP5</f>
        <v>0</v>
      </c>
      <c r="XAX3">
        <f>Database!XBQ5</f>
        <v>0</v>
      </c>
      <c r="XAY3">
        <f>Database!XBR5</f>
        <v>0</v>
      </c>
      <c r="XAZ3">
        <f>Database!XBS5</f>
        <v>0</v>
      </c>
      <c r="XBA3">
        <f>Database!XBT5</f>
        <v>0</v>
      </c>
      <c r="XBB3">
        <f>Database!XBU5</f>
        <v>0</v>
      </c>
      <c r="XBC3">
        <f>Database!XBV5</f>
        <v>0</v>
      </c>
      <c r="XBD3">
        <f>Database!XBW5</f>
        <v>0</v>
      </c>
      <c r="XBE3">
        <f>Database!XBX5</f>
        <v>0</v>
      </c>
      <c r="XBF3">
        <f>Database!XBY5</f>
        <v>0</v>
      </c>
      <c r="XBG3">
        <f>Database!XBZ5</f>
        <v>0</v>
      </c>
      <c r="XBH3">
        <f>Database!XCA5</f>
        <v>0</v>
      </c>
      <c r="XBI3">
        <f>Database!XCB5</f>
        <v>0</v>
      </c>
      <c r="XBJ3">
        <f>Database!XCC5</f>
        <v>0</v>
      </c>
      <c r="XBK3">
        <f>Database!XCD5</f>
        <v>0</v>
      </c>
      <c r="XBL3">
        <f>Database!XCE5</f>
        <v>0</v>
      </c>
      <c r="XBM3">
        <f>Database!XCF5</f>
        <v>0</v>
      </c>
      <c r="XBN3">
        <f>Database!XCG5</f>
        <v>0</v>
      </c>
      <c r="XBO3">
        <f>Database!XCH5</f>
        <v>0</v>
      </c>
      <c r="XBP3">
        <f>Database!XCI5</f>
        <v>0</v>
      </c>
      <c r="XBQ3">
        <f>Database!XCJ5</f>
        <v>0</v>
      </c>
      <c r="XBR3">
        <f>Database!XCK5</f>
        <v>0</v>
      </c>
      <c r="XBS3">
        <f>Database!XCL5</f>
        <v>0</v>
      </c>
      <c r="XBT3">
        <f>Database!XCM5</f>
        <v>0</v>
      </c>
      <c r="XBU3">
        <f>Database!XCN5</f>
        <v>0</v>
      </c>
      <c r="XBV3">
        <f>Database!XCO5</f>
        <v>0</v>
      </c>
      <c r="XBW3">
        <f>Database!XCP5</f>
        <v>0</v>
      </c>
      <c r="XBX3">
        <f>Database!XCQ5</f>
        <v>0</v>
      </c>
      <c r="XBY3">
        <f>Database!XCR5</f>
        <v>0</v>
      </c>
      <c r="XBZ3">
        <f>Database!XCS5</f>
        <v>0</v>
      </c>
      <c r="XCA3">
        <f>Database!XCT5</f>
        <v>0</v>
      </c>
      <c r="XCB3">
        <f>Database!XCU5</f>
        <v>0</v>
      </c>
      <c r="XCC3">
        <f>Database!XCV5</f>
        <v>0</v>
      </c>
      <c r="XCD3">
        <f>Database!XCW5</f>
        <v>0</v>
      </c>
      <c r="XCE3">
        <f>Database!XCX5</f>
        <v>0</v>
      </c>
      <c r="XCF3">
        <f>Database!XCY5</f>
        <v>0</v>
      </c>
      <c r="XCG3">
        <f>Database!XCZ5</f>
        <v>0</v>
      </c>
      <c r="XCH3">
        <f>Database!XDA5</f>
        <v>0</v>
      </c>
      <c r="XCI3">
        <f>Database!XDB5</f>
        <v>0</v>
      </c>
      <c r="XCJ3">
        <f>Database!XDC5</f>
        <v>0</v>
      </c>
      <c r="XCK3">
        <f>Database!XDD5</f>
        <v>0</v>
      </c>
      <c r="XCL3">
        <f>Database!XDE5</f>
        <v>0</v>
      </c>
      <c r="XCM3">
        <f>Database!XDF5</f>
        <v>0</v>
      </c>
      <c r="XCN3">
        <f>Database!XDG5</f>
        <v>0</v>
      </c>
      <c r="XCO3">
        <f>Database!XDH5</f>
        <v>0</v>
      </c>
      <c r="XCP3">
        <f>Database!XDI5</f>
        <v>0</v>
      </c>
      <c r="XCQ3">
        <f>Database!XDJ5</f>
        <v>0</v>
      </c>
      <c r="XCR3">
        <f>Database!XDK5</f>
        <v>0</v>
      </c>
      <c r="XCS3">
        <f>Database!XDL5</f>
        <v>0</v>
      </c>
      <c r="XCT3">
        <f>Database!XDM5</f>
        <v>0</v>
      </c>
      <c r="XCU3">
        <f>Database!XDN5</f>
        <v>0</v>
      </c>
      <c r="XCV3">
        <f>Database!XDO5</f>
        <v>0</v>
      </c>
      <c r="XCW3">
        <f>Database!XDP5</f>
        <v>0</v>
      </c>
      <c r="XCX3">
        <f>Database!XDQ5</f>
        <v>0</v>
      </c>
      <c r="XCY3">
        <f>Database!XDR5</f>
        <v>0</v>
      </c>
      <c r="XCZ3">
        <f>Database!XDS5</f>
        <v>0</v>
      </c>
      <c r="XDA3">
        <f>Database!XDT5</f>
        <v>0</v>
      </c>
      <c r="XDB3">
        <f>Database!XDU5</f>
        <v>0</v>
      </c>
      <c r="XDC3">
        <f>Database!XDV5</f>
        <v>0</v>
      </c>
      <c r="XDD3">
        <f>Database!XDW5</f>
        <v>0</v>
      </c>
      <c r="XDE3">
        <f>Database!XDX5</f>
        <v>0</v>
      </c>
      <c r="XDF3">
        <f>Database!XDY5</f>
        <v>0</v>
      </c>
      <c r="XDG3">
        <f>Database!XDZ5</f>
        <v>0</v>
      </c>
      <c r="XDH3">
        <f>Database!XEA5</f>
        <v>0</v>
      </c>
      <c r="XDI3">
        <f>Database!XEB5</f>
        <v>0</v>
      </c>
      <c r="XDJ3">
        <f>Database!XEC5</f>
        <v>0</v>
      </c>
      <c r="XDK3">
        <f>Database!XED5</f>
        <v>0</v>
      </c>
      <c r="XDL3">
        <f>Database!XEE5</f>
        <v>0</v>
      </c>
      <c r="XDM3">
        <f>Database!XEF5</f>
        <v>0</v>
      </c>
      <c r="XDN3">
        <f>Database!XEG5</f>
        <v>0</v>
      </c>
      <c r="XDO3">
        <f>Database!XEH5</f>
        <v>0</v>
      </c>
      <c r="XDP3">
        <f>Database!XEI5</f>
        <v>0</v>
      </c>
      <c r="XDQ3">
        <f>Database!XEJ5</f>
        <v>0</v>
      </c>
      <c r="XDR3">
        <f>Database!XEK5</f>
        <v>0</v>
      </c>
      <c r="XDS3">
        <f>Database!XEL5</f>
        <v>0</v>
      </c>
      <c r="XDT3">
        <f>Database!XEM5</f>
        <v>0</v>
      </c>
      <c r="XDU3">
        <f>Database!XEN5</f>
        <v>0</v>
      </c>
      <c r="XDV3">
        <f>Database!XEO5</f>
        <v>0</v>
      </c>
      <c r="XDW3">
        <f>Database!XEP5</f>
        <v>0</v>
      </c>
      <c r="XDX3">
        <f>Database!XEQ5</f>
        <v>0</v>
      </c>
      <c r="XDY3">
        <f>Database!XER5</f>
        <v>0</v>
      </c>
      <c r="XDZ3">
        <f>Database!XES5</f>
        <v>0</v>
      </c>
      <c r="XEA3">
        <f>Database!XET5</f>
        <v>0</v>
      </c>
      <c r="XEB3">
        <f>Database!XEU5</f>
        <v>0</v>
      </c>
      <c r="XEC3">
        <f>Database!XEV5</f>
        <v>0</v>
      </c>
      <c r="XED3">
        <f>Database!XEW5</f>
        <v>0</v>
      </c>
      <c r="XEE3">
        <f>Database!XEX5</f>
        <v>0</v>
      </c>
      <c r="XEF3">
        <f>Database!XEY5</f>
        <v>0</v>
      </c>
      <c r="XEG3">
        <f>Database!XEZ5</f>
        <v>0</v>
      </c>
      <c r="XEH3">
        <f>Database!XFA5</f>
        <v>0</v>
      </c>
      <c r="XEI3">
        <f>Database!XFB5</f>
        <v>0</v>
      </c>
      <c r="XEJ3">
        <f>Database!XFC5</f>
        <v>0</v>
      </c>
      <c r="XEK3">
        <f>Database!XFD5</f>
        <v>0</v>
      </c>
    </row>
    <row r="4" spans="1:16365" x14ac:dyDescent="0.25">
      <c r="B4">
        <v>3</v>
      </c>
      <c r="C4" s="35" t="s">
        <v>259</v>
      </c>
      <c r="D4">
        <f>Database!W28</f>
        <v>0</v>
      </c>
      <c r="E4">
        <f>Database!X28</f>
        <v>0</v>
      </c>
      <c r="F4">
        <f>Database!Y28</f>
        <v>48.75</v>
      </c>
      <c r="G4">
        <f>Database!Z28</f>
        <v>48.75</v>
      </c>
      <c r="H4">
        <f>Database!AA28</f>
        <v>48.75</v>
      </c>
      <c r="I4">
        <f>Database!AB28</f>
        <v>48.75</v>
      </c>
      <c r="J4">
        <f>Database!AC28</f>
        <v>41.5</v>
      </c>
      <c r="K4">
        <f>Database!AD28</f>
        <v>41.5</v>
      </c>
      <c r="L4">
        <f>Database!AE28</f>
        <v>41.5</v>
      </c>
      <c r="M4">
        <f>Database!AF28</f>
        <v>41.5</v>
      </c>
      <c r="N4">
        <f>Database!AG28</f>
        <v>41.5</v>
      </c>
      <c r="O4">
        <f>Database!AH28</f>
        <v>41.5</v>
      </c>
      <c r="P4">
        <f>Database!AI28</f>
        <v>41.5</v>
      </c>
      <c r="Q4">
        <f>Database!AJ28</f>
        <v>41.5</v>
      </c>
      <c r="R4">
        <f>Database!AK28</f>
        <v>50.75</v>
      </c>
      <c r="S4">
        <f>Database!AL28</f>
        <v>50.75</v>
      </c>
      <c r="T4">
        <f>Database!AM28</f>
        <v>50.75</v>
      </c>
      <c r="U4">
        <f>Database!AN28</f>
        <v>50.75</v>
      </c>
      <c r="V4">
        <f>Database!AO28</f>
        <v>50.75</v>
      </c>
      <c r="W4">
        <f>Database!AP28</f>
        <v>55.25</v>
      </c>
      <c r="X4">
        <f>Database!AQ28</f>
        <v>55.25</v>
      </c>
      <c r="Y4">
        <f>Database!AR28</f>
        <v>55.25</v>
      </c>
      <c r="Z4">
        <f>Database!AS28</f>
        <v>55.25</v>
      </c>
      <c r="AA4">
        <f>Database!AT28</f>
        <v>62</v>
      </c>
      <c r="AB4">
        <f>Database!AU28</f>
        <v>62</v>
      </c>
      <c r="AC4">
        <f>Database!AV28</f>
        <v>62</v>
      </c>
      <c r="AD4">
        <f>Database!AW28</f>
        <v>62</v>
      </c>
      <c r="AE4">
        <f>Database!AX28</f>
        <v>72</v>
      </c>
      <c r="AF4">
        <f>Database!AY28</f>
        <v>72</v>
      </c>
      <c r="AG4">
        <f>Database!AZ28</f>
        <v>72</v>
      </c>
      <c r="AH4">
        <f>Database!BA28</f>
        <v>72</v>
      </c>
      <c r="AI4">
        <f>Database!BB28</f>
        <v>72</v>
      </c>
      <c r="AJ4">
        <f>Database!BC28</f>
        <v>90</v>
      </c>
      <c r="AK4">
        <f>Database!BD28</f>
        <v>90</v>
      </c>
      <c r="AL4">
        <f>Database!BE28</f>
        <v>90</v>
      </c>
      <c r="AM4">
        <f>Database!BF28</f>
        <v>90</v>
      </c>
      <c r="AN4">
        <f>Database!BG28</f>
        <v>97</v>
      </c>
      <c r="AO4">
        <f>Database!BH28</f>
        <v>97</v>
      </c>
      <c r="AP4">
        <f>Database!BI28</f>
        <v>97</v>
      </c>
      <c r="AQ4">
        <f>Database!BJ28</f>
        <v>97</v>
      </c>
      <c r="AR4">
        <f>Database!BK28</f>
        <v>90</v>
      </c>
      <c r="AS4">
        <f>Database!BL28</f>
        <v>90</v>
      </c>
      <c r="AT4">
        <f>Database!BM28</f>
        <v>90</v>
      </c>
      <c r="AU4">
        <f>Database!BN28</f>
        <v>90</v>
      </c>
      <c r="AV4">
        <f>Database!BO28</f>
        <v>90</v>
      </c>
      <c r="AW4">
        <f>Database!BP28</f>
        <v>80</v>
      </c>
      <c r="AX4">
        <f>Database!BQ28</f>
        <v>80</v>
      </c>
      <c r="AY4">
        <f>Database!BR28</f>
        <v>80</v>
      </c>
      <c r="AZ4">
        <f>Database!BS28</f>
        <v>80</v>
      </c>
      <c r="BA4">
        <f>Database!BT28</f>
        <v>65</v>
      </c>
      <c r="BB4">
        <f>Database!BU28</f>
        <v>65</v>
      </c>
      <c r="BC4">
        <f>Database!BV28</f>
        <v>65</v>
      </c>
      <c r="BD4">
        <f>Database!BW28</f>
        <v>65</v>
      </c>
      <c r="BE4">
        <f>Database!BX28</f>
        <v>62</v>
      </c>
      <c r="BF4">
        <f>Database!BY28</f>
        <v>62</v>
      </c>
      <c r="BG4">
        <f>Database!BZ28</f>
        <v>62</v>
      </c>
      <c r="BH4">
        <f>Database!CA28</f>
        <v>62</v>
      </c>
      <c r="BI4">
        <f>Database!CB28</f>
        <v>65</v>
      </c>
      <c r="BJ4">
        <f>Database!CC28</f>
        <v>65</v>
      </c>
      <c r="BK4">
        <f>Database!CD28</f>
        <v>65</v>
      </c>
      <c r="BL4">
        <f>Database!CE28</f>
        <v>65</v>
      </c>
      <c r="BM4">
        <f>Database!CF28</f>
        <v>68</v>
      </c>
      <c r="BN4">
        <f>Database!CG28</f>
        <v>68</v>
      </c>
      <c r="BO4">
        <f>Database!CH28</f>
        <v>68</v>
      </c>
      <c r="BP4">
        <f>Database!CI28</f>
        <v>68</v>
      </c>
      <c r="BQ4">
        <f>Database!CJ28</f>
        <v>79</v>
      </c>
      <c r="BR4">
        <f>Database!CK28</f>
        <v>79</v>
      </c>
      <c r="BS4">
        <f>Database!CL28</f>
        <v>79</v>
      </c>
      <c r="BT4">
        <f>Database!CM28</f>
        <v>79</v>
      </c>
      <c r="BU4">
        <f>Database!CN28</f>
        <v>79</v>
      </c>
      <c r="BV4">
        <f>Database!CO28</f>
        <v>79</v>
      </c>
      <c r="BW4">
        <f>Database!CP28</f>
        <v>79</v>
      </c>
      <c r="BX4">
        <f>Database!CQ28</f>
        <v>79</v>
      </c>
      <c r="BY4">
        <f>Database!CR28</f>
        <v>79</v>
      </c>
      <c r="BZ4">
        <f>Database!CS28</f>
        <v>81</v>
      </c>
      <c r="CA4">
        <f>Database!CT28</f>
        <v>81</v>
      </c>
      <c r="CB4">
        <f>Database!CU28</f>
        <v>81</v>
      </c>
      <c r="CC4">
        <f>Database!CV28</f>
        <v>81</v>
      </c>
      <c r="CD4">
        <f>Database!CW28</f>
        <v>87.25</v>
      </c>
      <c r="CE4">
        <f>Database!CX28</f>
        <v>87.25</v>
      </c>
      <c r="CF4">
        <f>Database!CY28</f>
        <v>87.25</v>
      </c>
      <c r="CG4">
        <f>Database!CZ28</f>
        <v>87.25</v>
      </c>
      <c r="CH4">
        <f>Database!DA28</f>
        <v>87.25</v>
      </c>
      <c r="CI4">
        <f>Database!DB28</f>
        <v>87</v>
      </c>
      <c r="CJ4">
        <f>Database!DC28</f>
        <v>87</v>
      </c>
      <c r="CK4">
        <f>Database!DD28</f>
        <v>87</v>
      </c>
      <c r="CL4">
        <f>Database!DE28</f>
        <v>87</v>
      </c>
      <c r="CM4">
        <f>Database!DF28</f>
        <v>0</v>
      </c>
      <c r="CN4">
        <f>Database!DG28</f>
        <v>0</v>
      </c>
      <c r="CO4">
        <f>Database!DH28</f>
        <v>0</v>
      </c>
      <c r="CP4">
        <f>Database!DI28</f>
        <v>0</v>
      </c>
      <c r="CQ4">
        <f>Database!DJ28</f>
        <v>0</v>
      </c>
      <c r="CR4">
        <f>Database!DK28</f>
        <v>0</v>
      </c>
      <c r="CS4">
        <f>Database!DL28</f>
        <v>0</v>
      </c>
      <c r="CT4">
        <f>Database!DM28</f>
        <v>0</v>
      </c>
      <c r="CU4">
        <f>Database!DN28</f>
        <v>0</v>
      </c>
      <c r="CV4">
        <f>Database!DO28</f>
        <v>0</v>
      </c>
      <c r="CW4">
        <f>Database!DP28</f>
        <v>0</v>
      </c>
      <c r="CX4">
        <f>Database!DQ28</f>
        <v>0</v>
      </c>
      <c r="CY4">
        <f>Database!DR28</f>
        <v>0</v>
      </c>
      <c r="CZ4">
        <f>Database!DS28</f>
        <v>0</v>
      </c>
      <c r="DA4">
        <f>Database!DT28</f>
        <v>0</v>
      </c>
      <c r="DB4">
        <f>Database!DU28</f>
        <v>0</v>
      </c>
      <c r="DC4">
        <f>Database!DV28</f>
        <v>0</v>
      </c>
      <c r="DD4">
        <f>Database!DW28</f>
        <v>0</v>
      </c>
      <c r="DE4">
        <f>Database!DX28</f>
        <v>0</v>
      </c>
      <c r="DF4">
        <f>Database!DY28</f>
        <v>0</v>
      </c>
      <c r="DG4">
        <f>Database!DZ28</f>
        <v>0</v>
      </c>
      <c r="DH4">
        <f>Database!EA28</f>
        <v>0</v>
      </c>
      <c r="DI4">
        <f>Database!EB28</f>
        <v>0</v>
      </c>
      <c r="DJ4">
        <f>Database!EC28</f>
        <v>0</v>
      </c>
      <c r="DK4">
        <f>Database!ED28</f>
        <v>0</v>
      </c>
      <c r="DL4">
        <f>Database!EE28</f>
        <v>0</v>
      </c>
      <c r="DM4">
        <f>Database!EF28</f>
        <v>0</v>
      </c>
      <c r="DN4">
        <f>Database!EG28</f>
        <v>0</v>
      </c>
      <c r="DO4">
        <f>Database!EH28</f>
        <v>0</v>
      </c>
      <c r="DP4">
        <f>Database!EI28</f>
        <v>0</v>
      </c>
      <c r="DQ4">
        <f>Database!EJ28</f>
        <v>0</v>
      </c>
      <c r="DR4">
        <f>Database!EK28</f>
        <v>0</v>
      </c>
      <c r="DS4">
        <f>Database!EL28</f>
        <v>0</v>
      </c>
      <c r="DT4">
        <f>Database!EM28</f>
        <v>0</v>
      </c>
      <c r="DU4">
        <f>Database!EN28</f>
        <v>0</v>
      </c>
      <c r="DV4">
        <f>Database!EO28</f>
        <v>0</v>
      </c>
      <c r="DW4">
        <f>Database!EP28</f>
        <v>0</v>
      </c>
      <c r="DX4">
        <f>Database!EQ28</f>
        <v>0</v>
      </c>
      <c r="DY4">
        <f>Database!ER28</f>
        <v>0</v>
      </c>
      <c r="DZ4">
        <f>Database!ES28</f>
        <v>0</v>
      </c>
      <c r="EA4">
        <f>Database!ET28</f>
        <v>0</v>
      </c>
      <c r="EB4">
        <f>Database!EU28</f>
        <v>0</v>
      </c>
      <c r="EC4">
        <f>Database!EV28</f>
        <v>0</v>
      </c>
      <c r="ED4">
        <f>Database!EW28</f>
        <v>0</v>
      </c>
      <c r="EE4">
        <f>Database!EX28</f>
        <v>0</v>
      </c>
      <c r="EF4">
        <f>Database!EY28</f>
        <v>0</v>
      </c>
      <c r="EG4">
        <f>Database!EZ28</f>
        <v>0</v>
      </c>
      <c r="EH4">
        <f>Database!FA28</f>
        <v>0</v>
      </c>
      <c r="EI4">
        <f>Database!FB28</f>
        <v>0</v>
      </c>
      <c r="EJ4">
        <f>Database!FC28</f>
        <v>0</v>
      </c>
      <c r="EK4">
        <f>Database!FD28</f>
        <v>0</v>
      </c>
      <c r="EL4">
        <f>Database!FE28</f>
        <v>0</v>
      </c>
      <c r="EM4">
        <f>Database!FF28</f>
        <v>0</v>
      </c>
      <c r="EN4">
        <f>Database!FG28</f>
        <v>0</v>
      </c>
      <c r="EO4">
        <f>Database!FH28</f>
        <v>0</v>
      </c>
      <c r="EP4">
        <f>Database!FI28</f>
        <v>0</v>
      </c>
      <c r="EQ4">
        <f>Database!FJ28</f>
        <v>0</v>
      </c>
      <c r="ER4">
        <f>Database!FK28</f>
        <v>0</v>
      </c>
      <c r="ES4">
        <f>Database!FL28</f>
        <v>0</v>
      </c>
      <c r="ET4">
        <f>Database!FM28</f>
        <v>0</v>
      </c>
      <c r="EU4">
        <f>Database!FN28</f>
        <v>0</v>
      </c>
      <c r="EV4">
        <f>Database!FO28</f>
        <v>0</v>
      </c>
      <c r="EW4">
        <f>Database!FP28</f>
        <v>0</v>
      </c>
      <c r="EX4">
        <f>Database!FQ28</f>
        <v>0</v>
      </c>
      <c r="EY4">
        <f>Database!FR28</f>
        <v>0</v>
      </c>
      <c r="EZ4">
        <f>Database!FS28</f>
        <v>0</v>
      </c>
      <c r="FA4">
        <f>Database!FT28</f>
        <v>0</v>
      </c>
      <c r="FB4">
        <f>Database!FU28</f>
        <v>0</v>
      </c>
      <c r="FC4">
        <f>Database!FV28</f>
        <v>0</v>
      </c>
      <c r="FD4">
        <f>Database!FW28</f>
        <v>0</v>
      </c>
      <c r="FE4">
        <f>Database!FX28</f>
        <v>0</v>
      </c>
      <c r="FF4">
        <f>Database!FY28</f>
        <v>0</v>
      </c>
      <c r="FG4">
        <f>Database!FZ28</f>
        <v>0</v>
      </c>
      <c r="FH4">
        <f>Database!GA28</f>
        <v>0</v>
      </c>
      <c r="FI4">
        <f>Database!GB28</f>
        <v>0</v>
      </c>
      <c r="FJ4">
        <f>Database!GC28</f>
        <v>0</v>
      </c>
      <c r="FK4">
        <f>Database!GD28</f>
        <v>0</v>
      </c>
      <c r="FL4">
        <f>Database!GE28</f>
        <v>0</v>
      </c>
      <c r="FM4">
        <f>Database!GF28</f>
        <v>0</v>
      </c>
      <c r="FN4">
        <f>Database!GG28</f>
        <v>0</v>
      </c>
      <c r="FO4">
        <f>Database!GH28</f>
        <v>0</v>
      </c>
      <c r="FP4">
        <f>Database!GI28</f>
        <v>0</v>
      </c>
      <c r="FQ4">
        <f>Database!GJ28</f>
        <v>0</v>
      </c>
      <c r="FR4">
        <f>Database!GK28</f>
        <v>0</v>
      </c>
      <c r="FS4">
        <f>Database!GL28</f>
        <v>0</v>
      </c>
      <c r="FT4">
        <f>Database!GM28</f>
        <v>0</v>
      </c>
      <c r="FU4">
        <f>Database!GN28</f>
        <v>0</v>
      </c>
      <c r="FV4">
        <f>Database!GO28</f>
        <v>0</v>
      </c>
      <c r="FW4">
        <f>Database!GP28</f>
        <v>0</v>
      </c>
      <c r="FX4">
        <f>Database!GQ28</f>
        <v>0</v>
      </c>
      <c r="FY4">
        <f>Database!GR28</f>
        <v>0</v>
      </c>
      <c r="FZ4">
        <f>Database!GS28</f>
        <v>0</v>
      </c>
      <c r="GA4">
        <f>Database!GT28</f>
        <v>0</v>
      </c>
      <c r="GB4">
        <f>Database!GU28</f>
        <v>0</v>
      </c>
      <c r="GC4">
        <f>Database!GV28</f>
        <v>0</v>
      </c>
      <c r="GD4">
        <f>Database!GW28</f>
        <v>0</v>
      </c>
      <c r="GE4">
        <f>Database!GX28</f>
        <v>0</v>
      </c>
      <c r="GF4">
        <f>Database!GY28</f>
        <v>0</v>
      </c>
      <c r="GG4">
        <f>Database!GZ28</f>
        <v>0</v>
      </c>
      <c r="GH4">
        <f>Database!HA28</f>
        <v>0</v>
      </c>
      <c r="GI4">
        <f>Database!HB28</f>
        <v>0</v>
      </c>
      <c r="GJ4">
        <f>Database!HC28</f>
        <v>0</v>
      </c>
      <c r="GK4">
        <f>Database!HD28</f>
        <v>0</v>
      </c>
      <c r="GL4">
        <f>Database!HE28</f>
        <v>0</v>
      </c>
      <c r="GM4">
        <f>Database!HF28</f>
        <v>0</v>
      </c>
      <c r="GN4">
        <f>Database!HG28</f>
        <v>0</v>
      </c>
      <c r="GO4">
        <f>Database!HH28</f>
        <v>0</v>
      </c>
      <c r="GP4">
        <f>Database!HI28</f>
        <v>0</v>
      </c>
      <c r="GQ4">
        <f>Database!HJ28</f>
        <v>0</v>
      </c>
      <c r="GR4">
        <f>Database!HK28</f>
        <v>0</v>
      </c>
      <c r="GS4">
        <f>Database!HL28</f>
        <v>0</v>
      </c>
      <c r="GT4">
        <f>Database!HM28</f>
        <v>0</v>
      </c>
      <c r="GU4">
        <f>Database!HN28</f>
        <v>0</v>
      </c>
      <c r="GV4">
        <f>Database!HO28</f>
        <v>0</v>
      </c>
      <c r="GW4">
        <f>Database!HP28</f>
        <v>0</v>
      </c>
      <c r="GX4">
        <f>Database!HQ28</f>
        <v>0</v>
      </c>
      <c r="GY4">
        <f>Database!HR28</f>
        <v>0</v>
      </c>
      <c r="GZ4">
        <f>Database!HS28</f>
        <v>0</v>
      </c>
      <c r="HA4">
        <f>Database!HT28</f>
        <v>0</v>
      </c>
      <c r="HB4">
        <f>Database!HU28</f>
        <v>0</v>
      </c>
      <c r="HC4">
        <f>Database!HV28</f>
        <v>0</v>
      </c>
      <c r="HD4">
        <f>Database!HW28</f>
        <v>0</v>
      </c>
      <c r="HE4">
        <f>Database!HX28</f>
        <v>0</v>
      </c>
      <c r="HF4">
        <f>Database!HY28</f>
        <v>0</v>
      </c>
      <c r="HG4">
        <f>Database!HZ28</f>
        <v>0</v>
      </c>
      <c r="HH4">
        <f>Database!IA28</f>
        <v>0</v>
      </c>
      <c r="HI4">
        <f>Database!IB28</f>
        <v>0</v>
      </c>
      <c r="HJ4">
        <f>Database!IC28</f>
        <v>0</v>
      </c>
      <c r="HK4">
        <f>Database!ID28</f>
        <v>0</v>
      </c>
      <c r="HL4">
        <f>Database!IE28</f>
        <v>0</v>
      </c>
      <c r="HM4">
        <f>Database!IF28</f>
        <v>0</v>
      </c>
      <c r="HN4">
        <f>Database!IG28</f>
        <v>0</v>
      </c>
      <c r="HO4">
        <f>Database!IH28</f>
        <v>0</v>
      </c>
      <c r="HP4">
        <f>Database!II28</f>
        <v>0</v>
      </c>
      <c r="HQ4">
        <f>Database!IJ28</f>
        <v>0</v>
      </c>
      <c r="HR4">
        <f>Database!IK28</f>
        <v>0</v>
      </c>
      <c r="HS4">
        <f>Database!IL28</f>
        <v>0</v>
      </c>
      <c r="HT4">
        <f>Database!IM28</f>
        <v>0</v>
      </c>
      <c r="HU4">
        <f>Database!IN28</f>
        <v>0</v>
      </c>
      <c r="HV4">
        <f>Database!IO28</f>
        <v>0</v>
      </c>
      <c r="HW4">
        <f>Database!IP28</f>
        <v>0</v>
      </c>
      <c r="HX4">
        <f>Database!IQ28</f>
        <v>0</v>
      </c>
      <c r="HY4">
        <f>Database!IR28</f>
        <v>0</v>
      </c>
      <c r="HZ4">
        <f>Database!IS28</f>
        <v>0</v>
      </c>
      <c r="IA4">
        <f>Database!IT28</f>
        <v>0</v>
      </c>
      <c r="IB4">
        <f>Database!IU28</f>
        <v>0</v>
      </c>
      <c r="IC4">
        <f>Database!IV28</f>
        <v>0</v>
      </c>
      <c r="ID4">
        <f>Database!IW28</f>
        <v>0</v>
      </c>
      <c r="IE4">
        <f>Database!IX28</f>
        <v>0</v>
      </c>
      <c r="IF4">
        <f>Database!IY28</f>
        <v>0</v>
      </c>
      <c r="IG4">
        <f>Database!IZ28</f>
        <v>0</v>
      </c>
      <c r="IH4">
        <f>Database!JA28</f>
        <v>0</v>
      </c>
      <c r="II4">
        <f>Database!JB28</f>
        <v>0</v>
      </c>
      <c r="IJ4">
        <f>Database!JC28</f>
        <v>0</v>
      </c>
      <c r="IK4">
        <f>Database!JD28</f>
        <v>0</v>
      </c>
      <c r="IL4">
        <f>Database!JE28</f>
        <v>0</v>
      </c>
      <c r="IM4">
        <f>Database!JF28</f>
        <v>0</v>
      </c>
      <c r="IN4">
        <f>Database!JG28</f>
        <v>0</v>
      </c>
      <c r="IO4">
        <f>Database!JH28</f>
        <v>0</v>
      </c>
      <c r="IP4">
        <f>Database!JI28</f>
        <v>0</v>
      </c>
      <c r="IQ4">
        <f>Database!JJ28</f>
        <v>0</v>
      </c>
      <c r="IR4">
        <f>Database!JK28</f>
        <v>0</v>
      </c>
      <c r="IS4">
        <f>Database!JL28</f>
        <v>0</v>
      </c>
      <c r="IT4">
        <f>Database!JM28</f>
        <v>0</v>
      </c>
      <c r="IU4">
        <f>Database!JN28</f>
        <v>0</v>
      </c>
      <c r="IV4">
        <f>Database!JO28</f>
        <v>0</v>
      </c>
      <c r="IW4">
        <f>Database!JP28</f>
        <v>0</v>
      </c>
      <c r="IX4">
        <f>Database!JQ28</f>
        <v>0</v>
      </c>
      <c r="IY4">
        <f>Database!JR28</f>
        <v>0</v>
      </c>
      <c r="IZ4">
        <f>Database!JS28</f>
        <v>0</v>
      </c>
      <c r="JA4">
        <f>Database!JT28</f>
        <v>0</v>
      </c>
      <c r="JB4">
        <f>Database!JU28</f>
        <v>0</v>
      </c>
      <c r="JC4">
        <f>Database!JV28</f>
        <v>0</v>
      </c>
      <c r="JD4">
        <f>Database!JW28</f>
        <v>0</v>
      </c>
      <c r="JE4">
        <f>Database!JX28</f>
        <v>0</v>
      </c>
      <c r="JF4">
        <f>Database!JY28</f>
        <v>0</v>
      </c>
      <c r="JG4">
        <f>Database!JZ28</f>
        <v>0</v>
      </c>
      <c r="JH4">
        <f>Database!KA28</f>
        <v>0</v>
      </c>
      <c r="JI4">
        <f>Database!KB28</f>
        <v>0</v>
      </c>
      <c r="JJ4">
        <f>Database!KC28</f>
        <v>0</v>
      </c>
      <c r="JK4">
        <f>Database!KD28</f>
        <v>0</v>
      </c>
      <c r="JL4">
        <f>Database!KE28</f>
        <v>0</v>
      </c>
      <c r="JM4">
        <f>Database!KF28</f>
        <v>0</v>
      </c>
      <c r="JN4">
        <f>Database!KG28</f>
        <v>0</v>
      </c>
      <c r="JO4">
        <f>Database!KH28</f>
        <v>0</v>
      </c>
      <c r="JP4">
        <f>Database!KI28</f>
        <v>0</v>
      </c>
      <c r="JQ4">
        <f>Database!KJ28</f>
        <v>0</v>
      </c>
      <c r="JR4">
        <f>Database!KK28</f>
        <v>0</v>
      </c>
      <c r="JS4">
        <f>Database!KL28</f>
        <v>0</v>
      </c>
      <c r="JT4">
        <f>Database!KM28</f>
        <v>0</v>
      </c>
      <c r="JU4">
        <f>Database!KN28</f>
        <v>0</v>
      </c>
      <c r="JV4">
        <f>Database!KO28</f>
        <v>0</v>
      </c>
      <c r="JW4">
        <f>Database!KP28</f>
        <v>0</v>
      </c>
      <c r="JX4">
        <f>Database!KQ28</f>
        <v>0</v>
      </c>
      <c r="JY4">
        <f>Database!KR28</f>
        <v>0</v>
      </c>
      <c r="JZ4">
        <f>Database!KS28</f>
        <v>0</v>
      </c>
      <c r="KA4">
        <f>Database!KT28</f>
        <v>0</v>
      </c>
      <c r="KB4">
        <f>Database!KU28</f>
        <v>0</v>
      </c>
      <c r="KC4">
        <f>Database!KV28</f>
        <v>0</v>
      </c>
      <c r="KD4">
        <f>Database!KW28</f>
        <v>0</v>
      </c>
      <c r="KE4">
        <f>Database!KX28</f>
        <v>0</v>
      </c>
      <c r="KF4">
        <f>Database!KY28</f>
        <v>0</v>
      </c>
      <c r="KG4">
        <f>Database!KZ28</f>
        <v>0</v>
      </c>
      <c r="KH4">
        <f>Database!LA28</f>
        <v>0</v>
      </c>
      <c r="KI4">
        <f>Database!LB28</f>
        <v>0</v>
      </c>
      <c r="KJ4">
        <f>Database!LC28</f>
        <v>0</v>
      </c>
      <c r="KK4">
        <f>Database!LD28</f>
        <v>0</v>
      </c>
      <c r="KL4">
        <f>Database!LE28</f>
        <v>0</v>
      </c>
      <c r="KM4">
        <f>Database!LF28</f>
        <v>0</v>
      </c>
      <c r="KN4">
        <f>Database!LG28</f>
        <v>0</v>
      </c>
      <c r="KO4">
        <f>Database!LH28</f>
        <v>0</v>
      </c>
      <c r="KP4">
        <f>Database!LI28</f>
        <v>0</v>
      </c>
      <c r="KQ4">
        <f>Database!LJ28</f>
        <v>0</v>
      </c>
      <c r="KR4">
        <f>Database!LK28</f>
        <v>0</v>
      </c>
      <c r="KS4">
        <f>Database!LL28</f>
        <v>0</v>
      </c>
      <c r="KT4">
        <f>Database!LM28</f>
        <v>0</v>
      </c>
      <c r="KU4">
        <f>Database!LN28</f>
        <v>0</v>
      </c>
      <c r="KV4">
        <f>Database!LO28</f>
        <v>0</v>
      </c>
      <c r="KW4">
        <f>Database!LP28</f>
        <v>0</v>
      </c>
      <c r="KX4">
        <f>Database!LQ28</f>
        <v>0</v>
      </c>
      <c r="KY4">
        <f>Database!LR28</f>
        <v>0</v>
      </c>
      <c r="KZ4">
        <f>Database!LS28</f>
        <v>0</v>
      </c>
      <c r="LA4">
        <f>Database!LT28</f>
        <v>0</v>
      </c>
      <c r="LB4">
        <f>Database!LU28</f>
        <v>0</v>
      </c>
      <c r="LC4">
        <f>Database!LV28</f>
        <v>0</v>
      </c>
      <c r="LD4">
        <f>Database!LW28</f>
        <v>0</v>
      </c>
      <c r="LE4">
        <f>Database!LX28</f>
        <v>0</v>
      </c>
      <c r="LF4">
        <f>Database!LY28</f>
        <v>0</v>
      </c>
      <c r="LG4">
        <f>Database!LZ28</f>
        <v>0</v>
      </c>
      <c r="LH4">
        <f>Database!MA28</f>
        <v>0</v>
      </c>
      <c r="LI4">
        <f>Database!MB28</f>
        <v>0</v>
      </c>
      <c r="LJ4">
        <f>Database!MC28</f>
        <v>0</v>
      </c>
      <c r="LK4">
        <f>Database!MD28</f>
        <v>0</v>
      </c>
      <c r="LL4">
        <f>Database!ME28</f>
        <v>0</v>
      </c>
      <c r="LM4">
        <f>Database!MF28</f>
        <v>0</v>
      </c>
      <c r="LN4">
        <f>Database!MG28</f>
        <v>0</v>
      </c>
      <c r="LO4">
        <f>Database!MH28</f>
        <v>0</v>
      </c>
      <c r="LP4">
        <f>Database!MI28</f>
        <v>0</v>
      </c>
      <c r="LQ4">
        <f>Database!MJ28</f>
        <v>0</v>
      </c>
      <c r="LR4">
        <f>Database!MK28</f>
        <v>0</v>
      </c>
      <c r="LS4">
        <f>Database!ML28</f>
        <v>0</v>
      </c>
      <c r="LT4">
        <f>Database!MM28</f>
        <v>0</v>
      </c>
      <c r="LU4">
        <f>Database!MN28</f>
        <v>0</v>
      </c>
      <c r="LV4">
        <f>Database!MO28</f>
        <v>0</v>
      </c>
      <c r="LW4">
        <f>Database!MP28</f>
        <v>0</v>
      </c>
      <c r="LX4">
        <f>Database!MQ28</f>
        <v>0</v>
      </c>
      <c r="LY4">
        <f>Database!MR28</f>
        <v>0</v>
      </c>
      <c r="LZ4">
        <f>Database!MS28</f>
        <v>0</v>
      </c>
      <c r="MA4">
        <f>Database!MT28</f>
        <v>0</v>
      </c>
      <c r="MB4">
        <f>Database!MU28</f>
        <v>0</v>
      </c>
      <c r="MC4">
        <f>Database!MV28</f>
        <v>0</v>
      </c>
      <c r="MD4">
        <f>Database!MW28</f>
        <v>0</v>
      </c>
      <c r="ME4">
        <f>Database!MX28</f>
        <v>0</v>
      </c>
      <c r="MF4">
        <f>Database!MY28</f>
        <v>0</v>
      </c>
      <c r="MG4">
        <f>Database!MZ28</f>
        <v>0</v>
      </c>
      <c r="MH4">
        <f>Database!NA28</f>
        <v>0</v>
      </c>
      <c r="MI4">
        <f>Database!NB28</f>
        <v>0</v>
      </c>
      <c r="MJ4">
        <f>Database!NC28</f>
        <v>0</v>
      </c>
      <c r="MK4">
        <f>Database!ND28</f>
        <v>0</v>
      </c>
      <c r="ML4">
        <f>Database!NE28</f>
        <v>0</v>
      </c>
      <c r="MM4">
        <f>Database!NF28</f>
        <v>0</v>
      </c>
      <c r="MN4">
        <f>Database!NG28</f>
        <v>0</v>
      </c>
      <c r="MO4">
        <f>Database!NH28</f>
        <v>0</v>
      </c>
      <c r="MP4">
        <f>Database!NI28</f>
        <v>0</v>
      </c>
      <c r="MQ4">
        <f>Database!NJ28</f>
        <v>0</v>
      </c>
      <c r="MR4">
        <f>Database!NK28</f>
        <v>0</v>
      </c>
      <c r="MS4">
        <f>Database!NL28</f>
        <v>0</v>
      </c>
      <c r="MT4">
        <f>Database!NM28</f>
        <v>0</v>
      </c>
      <c r="MU4">
        <f>Database!NN28</f>
        <v>0</v>
      </c>
      <c r="MV4">
        <f>Database!NO28</f>
        <v>0</v>
      </c>
      <c r="MW4">
        <f>Database!NP28</f>
        <v>0</v>
      </c>
      <c r="MX4">
        <f>Database!NQ28</f>
        <v>0</v>
      </c>
      <c r="MY4">
        <f>Database!NR28</f>
        <v>0</v>
      </c>
      <c r="MZ4">
        <f>Database!NS28</f>
        <v>0</v>
      </c>
      <c r="NA4">
        <f>Database!NT28</f>
        <v>0</v>
      </c>
      <c r="NB4">
        <f>Database!NU28</f>
        <v>0</v>
      </c>
      <c r="NC4">
        <f>Database!NV28</f>
        <v>0</v>
      </c>
      <c r="ND4">
        <f>Database!NW28</f>
        <v>0</v>
      </c>
      <c r="NE4">
        <f>Database!NX28</f>
        <v>0</v>
      </c>
      <c r="NF4">
        <f>Database!NY28</f>
        <v>0</v>
      </c>
      <c r="NG4">
        <f>Database!NZ28</f>
        <v>0</v>
      </c>
      <c r="NH4">
        <f>Database!OA28</f>
        <v>0</v>
      </c>
      <c r="NI4">
        <f>Database!OB28</f>
        <v>0</v>
      </c>
      <c r="NJ4">
        <f>Database!OC28</f>
        <v>0</v>
      </c>
      <c r="NK4">
        <f>Database!OD28</f>
        <v>0</v>
      </c>
      <c r="NL4">
        <f>Database!OE28</f>
        <v>0</v>
      </c>
      <c r="NM4">
        <f>Database!OF28</f>
        <v>0</v>
      </c>
      <c r="NN4">
        <f>Database!OG28</f>
        <v>0</v>
      </c>
      <c r="NO4">
        <f>Database!OH28</f>
        <v>0</v>
      </c>
      <c r="NP4">
        <f>Database!OI28</f>
        <v>0</v>
      </c>
      <c r="NQ4">
        <f>Database!OJ28</f>
        <v>0</v>
      </c>
      <c r="NR4">
        <f>Database!OK28</f>
        <v>0</v>
      </c>
      <c r="NS4">
        <f>Database!OL28</f>
        <v>0</v>
      </c>
      <c r="NT4">
        <f>Database!OM28</f>
        <v>0</v>
      </c>
      <c r="NU4">
        <f>Database!ON28</f>
        <v>0</v>
      </c>
      <c r="NV4">
        <f>Database!OO28</f>
        <v>0</v>
      </c>
      <c r="NW4">
        <f>Database!OP28</f>
        <v>0</v>
      </c>
      <c r="NX4">
        <f>Database!OQ28</f>
        <v>0</v>
      </c>
      <c r="NY4">
        <f>Database!OR28</f>
        <v>0</v>
      </c>
      <c r="NZ4">
        <f>Database!OS28</f>
        <v>0</v>
      </c>
      <c r="OA4">
        <f>Database!OT28</f>
        <v>0</v>
      </c>
      <c r="OB4">
        <f>Database!OU28</f>
        <v>0</v>
      </c>
      <c r="OC4">
        <f>Database!OV28</f>
        <v>0</v>
      </c>
      <c r="OD4">
        <f>Database!OW28</f>
        <v>0</v>
      </c>
      <c r="OE4">
        <f>Database!OX28</f>
        <v>0</v>
      </c>
      <c r="OF4">
        <f>Database!OY28</f>
        <v>0</v>
      </c>
      <c r="OG4">
        <f>Database!OZ28</f>
        <v>0</v>
      </c>
      <c r="OH4">
        <f>Database!PA28</f>
        <v>0</v>
      </c>
      <c r="OI4">
        <f>Database!PB28</f>
        <v>0</v>
      </c>
      <c r="OJ4">
        <f>Database!PC28</f>
        <v>0</v>
      </c>
      <c r="OK4">
        <f>Database!PD28</f>
        <v>0</v>
      </c>
      <c r="OL4">
        <f>Database!PE28</f>
        <v>0</v>
      </c>
      <c r="OM4">
        <f>Database!PF28</f>
        <v>0</v>
      </c>
      <c r="ON4">
        <f>Database!PG28</f>
        <v>0</v>
      </c>
      <c r="OO4">
        <f>Database!PH28</f>
        <v>0</v>
      </c>
      <c r="OP4">
        <f>Database!PI28</f>
        <v>0</v>
      </c>
      <c r="OQ4">
        <f>Database!PJ28</f>
        <v>0</v>
      </c>
      <c r="OR4">
        <f>Database!PK28</f>
        <v>0</v>
      </c>
      <c r="OS4">
        <f>Database!PL28</f>
        <v>0</v>
      </c>
      <c r="OT4">
        <f>Database!PM28</f>
        <v>0</v>
      </c>
      <c r="OU4">
        <f>Database!PN28</f>
        <v>0</v>
      </c>
      <c r="OV4">
        <f>Database!PO28</f>
        <v>0</v>
      </c>
      <c r="OW4">
        <f>Database!PP28</f>
        <v>0</v>
      </c>
      <c r="OX4">
        <f>Database!PQ28</f>
        <v>0</v>
      </c>
      <c r="OY4">
        <f>Database!PR28</f>
        <v>0</v>
      </c>
      <c r="OZ4">
        <f>Database!PS28</f>
        <v>0</v>
      </c>
      <c r="PA4">
        <f>Database!PT28</f>
        <v>0</v>
      </c>
      <c r="PB4">
        <f>Database!PU28</f>
        <v>0</v>
      </c>
      <c r="PC4">
        <f>Database!PV28</f>
        <v>0</v>
      </c>
      <c r="PD4">
        <f>Database!PW28</f>
        <v>0</v>
      </c>
      <c r="PE4">
        <f>Database!PX28</f>
        <v>0</v>
      </c>
      <c r="PF4">
        <f>Database!PY28</f>
        <v>0</v>
      </c>
      <c r="PG4">
        <f>Database!PZ28</f>
        <v>0</v>
      </c>
      <c r="PH4">
        <f>Database!QA28</f>
        <v>0</v>
      </c>
      <c r="PI4">
        <f>Database!QB28</f>
        <v>0</v>
      </c>
      <c r="PJ4">
        <f>Database!QC28</f>
        <v>0</v>
      </c>
      <c r="PK4">
        <f>Database!QD28</f>
        <v>0</v>
      </c>
      <c r="PL4">
        <f>Database!QE28</f>
        <v>0</v>
      </c>
      <c r="PM4">
        <f>Database!QF28</f>
        <v>0</v>
      </c>
      <c r="PN4">
        <f>Database!QG28</f>
        <v>0</v>
      </c>
      <c r="PO4">
        <f>Database!QH28</f>
        <v>0</v>
      </c>
      <c r="PP4">
        <f>Database!QI28</f>
        <v>0</v>
      </c>
      <c r="PQ4">
        <f>Database!QJ28</f>
        <v>0</v>
      </c>
      <c r="PR4">
        <f>Database!QK28</f>
        <v>0</v>
      </c>
      <c r="PS4">
        <f>Database!QL28</f>
        <v>0</v>
      </c>
      <c r="PT4">
        <f>Database!QM28</f>
        <v>0</v>
      </c>
      <c r="PU4">
        <f>Database!QN28</f>
        <v>0</v>
      </c>
      <c r="PV4">
        <f>Database!QO28</f>
        <v>0</v>
      </c>
      <c r="PW4">
        <f>Database!QP28</f>
        <v>0</v>
      </c>
      <c r="PX4">
        <f>Database!QQ28</f>
        <v>0</v>
      </c>
      <c r="PY4">
        <f>Database!QR28</f>
        <v>0</v>
      </c>
      <c r="PZ4">
        <f>Database!QS28</f>
        <v>0</v>
      </c>
      <c r="QA4">
        <f>Database!QT28</f>
        <v>0</v>
      </c>
      <c r="QB4">
        <f>Database!QU28</f>
        <v>0</v>
      </c>
      <c r="QC4">
        <f>Database!QV28</f>
        <v>0</v>
      </c>
      <c r="QD4">
        <f>Database!QW28</f>
        <v>0</v>
      </c>
      <c r="QE4">
        <f>Database!QX28</f>
        <v>0</v>
      </c>
      <c r="QF4">
        <f>Database!QY28</f>
        <v>0</v>
      </c>
      <c r="QG4">
        <f>Database!QZ28</f>
        <v>0</v>
      </c>
      <c r="QH4">
        <f>Database!RA28</f>
        <v>0</v>
      </c>
      <c r="QI4">
        <f>Database!RB28</f>
        <v>0</v>
      </c>
      <c r="QJ4">
        <f>Database!RC28</f>
        <v>0</v>
      </c>
      <c r="QK4">
        <f>Database!RD28</f>
        <v>0</v>
      </c>
      <c r="QL4">
        <f>Database!RE28</f>
        <v>0</v>
      </c>
      <c r="QM4">
        <f>Database!RF28</f>
        <v>0</v>
      </c>
      <c r="QN4">
        <f>Database!RG28</f>
        <v>0</v>
      </c>
      <c r="QO4">
        <f>Database!RH28</f>
        <v>0</v>
      </c>
      <c r="QP4">
        <f>Database!RI28</f>
        <v>0</v>
      </c>
      <c r="QQ4">
        <f>Database!RJ28</f>
        <v>0</v>
      </c>
      <c r="QR4">
        <f>Database!RK28</f>
        <v>0</v>
      </c>
      <c r="QS4">
        <f>Database!RL28</f>
        <v>0</v>
      </c>
      <c r="QT4">
        <f>Database!RM28</f>
        <v>0</v>
      </c>
      <c r="QU4">
        <f>Database!RN28</f>
        <v>0</v>
      </c>
      <c r="QV4">
        <f>Database!RO28</f>
        <v>0</v>
      </c>
      <c r="QW4">
        <f>Database!RP28</f>
        <v>0</v>
      </c>
      <c r="QX4">
        <f>Database!RQ28</f>
        <v>0</v>
      </c>
      <c r="QY4">
        <f>Database!RR28</f>
        <v>0</v>
      </c>
      <c r="QZ4">
        <f>Database!RS28</f>
        <v>0</v>
      </c>
      <c r="RA4">
        <f>Database!RT28</f>
        <v>0</v>
      </c>
      <c r="RB4">
        <f>Database!RU28</f>
        <v>0</v>
      </c>
      <c r="RC4">
        <f>Database!RV28</f>
        <v>0</v>
      </c>
      <c r="RD4">
        <f>Database!RW28</f>
        <v>0</v>
      </c>
      <c r="RE4">
        <f>Database!RX28</f>
        <v>0</v>
      </c>
      <c r="RF4">
        <f>Database!RY28</f>
        <v>0</v>
      </c>
      <c r="RG4">
        <f>Database!RZ28</f>
        <v>0</v>
      </c>
      <c r="RH4">
        <f>Database!SA28</f>
        <v>0</v>
      </c>
      <c r="RI4">
        <f>Database!SB28</f>
        <v>0</v>
      </c>
      <c r="RJ4">
        <f>Database!SC28</f>
        <v>0</v>
      </c>
      <c r="RK4">
        <f>Database!SD28</f>
        <v>0</v>
      </c>
      <c r="RL4">
        <f>Database!SE28</f>
        <v>0</v>
      </c>
      <c r="RM4">
        <f>Database!SF28</f>
        <v>0</v>
      </c>
      <c r="RN4">
        <f>Database!SG28</f>
        <v>0</v>
      </c>
      <c r="RO4">
        <f>Database!SH28</f>
        <v>0</v>
      </c>
      <c r="RP4">
        <f>Database!SI28</f>
        <v>0</v>
      </c>
      <c r="RQ4">
        <f>Database!SJ28</f>
        <v>0</v>
      </c>
      <c r="RR4">
        <f>Database!SK28</f>
        <v>0</v>
      </c>
      <c r="RS4">
        <f>Database!SL28</f>
        <v>0</v>
      </c>
      <c r="RT4">
        <f>Database!SM28</f>
        <v>0</v>
      </c>
      <c r="RU4">
        <f>Database!SN28</f>
        <v>0</v>
      </c>
      <c r="RV4">
        <f>Database!SO28</f>
        <v>0</v>
      </c>
      <c r="RW4">
        <f>Database!SP28</f>
        <v>0</v>
      </c>
      <c r="RX4">
        <f>Database!SQ28</f>
        <v>0</v>
      </c>
      <c r="RY4">
        <f>Database!SR28</f>
        <v>0</v>
      </c>
      <c r="RZ4">
        <f>Database!SS28</f>
        <v>0</v>
      </c>
      <c r="SA4">
        <f>Database!ST28</f>
        <v>0</v>
      </c>
      <c r="SB4">
        <f>Database!SU28</f>
        <v>0</v>
      </c>
      <c r="SC4">
        <f>Database!SV28</f>
        <v>0</v>
      </c>
      <c r="SD4">
        <f>Database!SW28</f>
        <v>0</v>
      </c>
      <c r="SE4">
        <f>Database!SX28</f>
        <v>0</v>
      </c>
      <c r="SF4">
        <f>Database!SY28</f>
        <v>0</v>
      </c>
      <c r="SG4">
        <f>Database!SZ28</f>
        <v>0</v>
      </c>
      <c r="SH4">
        <f>Database!TA28</f>
        <v>0</v>
      </c>
      <c r="SI4">
        <f>Database!TB28</f>
        <v>0</v>
      </c>
      <c r="SJ4">
        <f>Database!TC28</f>
        <v>0</v>
      </c>
      <c r="SK4">
        <f>Database!TD28</f>
        <v>0</v>
      </c>
      <c r="SL4">
        <f>Database!TE28</f>
        <v>0</v>
      </c>
      <c r="SM4">
        <f>Database!TF28</f>
        <v>0</v>
      </c>
      <c r="SN4">
        <f>Database!TG28</f>
        <v>0</v>
      </c>
      <c r="SO4">
        <f>Database!TH28</f>
        <v>0</v>
      </c>
      <c r="SP4">
        <f>Database!TI28</f>
        <v>0</v>
      </c>
      <c r="SQ4">
        <f>Database!TJ28</f>
        <v>0</v>
      </c>
      <c r="SR4">
        <f>Database!TK28</f>
        <v>0</v>
      </c>
      <c r="SS4">
        <f>Database!TL28</f>
        <v>0</v>
      </c>
      <c r="ST4">
        <f>Database!TM28</f>
        <v>0</v>
      </c>
      <c r="SU4">
        <f>Database!TN28</f>
        <v>0</v>
      </c>
      <c r="SV4">
        <f>Database!TO28</f>
        <v>0</v>
      </c>
      <c r="SW4">
        <f>Database!TP28</f>
        <v>0</v>
      </c>
      <c r="SX4">
        <f>Database!TQ28</f>
        <v>0</v>
      </c>
      <c r="SY4">
        <f>Database!TR28</f>
        <v>0</v>
      </c>
      <c r="SZ4">
        <f>Database!TS28</f>
        <v>0</v>
      </c>
      <c r="TA4">
        <f>Database!TT28</f>
        <v>0</v>
      </c>
      <c r="TB4">
        <f>Database!TU28</f>
        <v>0</v>
      </c>
      <c r="TC4">
        <f>Database!TV28</f>
        <v>0</v>
      </c>
      <c r="TD4">
        <f>Database!TW28</f>
        <v>0</v>
      </c>
      <c r="TE4">
        <f>Database!TX28</f>
        <v>0</v>
      </c>
      <c r="TF4">
        <f>Database!TY28</f>
        <v>0</v>
      </c>
      <c r="TG4">
        <f>Database!TZ28</f>
        <v>0</v>
      </c>
      <c r="TH4">
        <f>Database!UA28</f>
        <v>0</v>
      </c>
      <c r="TI4">
        <f>Database!UB28</f>
        <v>0</v>
      </c>
      <c r="TJ4">
        <f>Database!UC28</f>
        <v>0</v>
      </c>
      <c r="TK4">
        <f>Database!UD28</f>
        <v>0</v>
      </c>
      <c r="TL4">
        <f>Database!UE28</f>
        <v>0</v>
      </c>
      <c r="TM4">
        <f>Database!UF28</f>
        <v>0</v>
      </c>
      <c r="TN4">
        <f>Database!UG28</f>
        <v>0</v>
      </c>
      <c r="TO4">
        <f>Database!UH28</f>
        <v>0</v>
      </c>
      <c r="TP4">
        <f>Database!UI28</f>
        <v>0</v>
      </c>
      <c r="TQ4">
        <f>Database!UJ28</f>
        <v>0</v>
      </c>
      <c r="TR4">
        <f>Database!UK28</f>
        <v>0</v>
      </c>
      <c r="TS4">
        <f>Database!UL28</f>
        <v>0</v>
      </c>
      <c r="TT4">
        <f>Database!UM28</f>
        <v>0</v>
      </c>
      <c r="TU4">
        <f>Database!UN28</f>
        <v>0</v>
      </c>
      <c r="TV4">
        <f>Database!UO28</f>
        <v>0</v>
      </c>
      <c r="TW4">
        <f>Database!UP28</f>
        <v>0</v>
      </c>
      <c r="TX4">
        <f>Database!UQ28</f>
        <v>0</v>
      </c>
      <c r="TY4">
        <f>Database!UR28</f>
        <v>0</v>
      </c>
      <c r="TZ4">
        <f>Database!US28</f>
        <v>0</v>
      </c>
      <c r="UA4">
        <f>Database!UT28</f>
        <v>0</v>
      </c>
      <c r="UB4">
        <f>Database!UU28</f>
        <v>0</v>
      </c>
      <c r="UC4">
        <f>Database!UV28</f>
        <v>0</v>
      </c>
      <c r="UD4">
        <f>Database!UW28</f>
        <v>0</v>
      </c>
      <c r="UE4">
        <f>Database!UX28</f>
        <v>0</v>
      </c>
      <c r="UF4">
        <f>Database!UY28</f>
        <v>0</v>
      </c>
      <c r="UG4">
        <f>Database!UZ28</f>
        <v>0</v>
      </c>
      <c r="UH4">
        <f>Database!VA28</f>
        <v>0</v>
      </c>
      <c r="UI4">
        <f>Database!VB28</f>
        <v>0</v>
      </c>
      <c r="UJ4">
        <f>Database!VC28</f>
        <v>0</v>
      </c>
      <c r="UK4">
        <f>Database!VD28</f>
        <v>0</v>
      </c>
      <c r="UL4">
        <f>Database!VE28</f>
        <v>0</v>
      </c>
      <c r="UM4">
        <f>Database!VF28</f>
        <v>0</v>
      </c>
      <c r="UN4">
        <f>Database!VG28</f>
        <v>0</v>
      </c>
      <c r="UO4">
        <f>Database!VH28</f>
        <v>0</v>
      </c>
      <c r="UP4">
        <f>Database!VI28</f>
        <v>0</v>
      </c>
      <c r="UQ4">
        <f>Database!VJ28</f>
        <v>0</v>
      </c>
      <c r="UR4">
        <f>Database!VK28</f>
        <v>0</v>
      </c>
      <c r="US4">
        <f>Database!VL28</f>
        <v>0</v>
      </c>
      <c r="UT4">
        <f>Database!VM28</f>
        <v>0</v>
      </c>
      <c r="UU4">
        <f>Database!VN28</f>
        <v>0</v>
      </c>
      <c r="UV4">
        <f>Database!VO28</f>
        <v>0</v>
      </c>
      <c r="UW4">
        <f>Database!VP28</f>
        <v>0</v>
      </c>
      <c r="UX4">
        <f>Database!VQ28</f>
        <v>0</v>
      </c>
      <c r="UY4">
        <f>Database!VR28</f>
        <v>0</v>
      </c>
      <c r="UZ4">
        <f>Database!VS28</f>
        <v>0</v>
      </c>
      <c r="VA4">
        <f>Database!VT28</f>
        <v>0</v>
      </c>
      <c r="VB4">
        <f>Database!VU28</f>
        <v>0</v>
      </c>
      <c r="VC4">
        <f>Database!VV28</f>
        <v>0</v>
      </c>
      <c r="VD4">
        <f>Database!VW28</f>
        <v>0</v>
      </c>
      <c r="VE4">
        <f>Database!VX28</f>
        <v>0</v>
      </c>
      <c r="VF4">
        <f>Database!VY28</f>
        <v>0</v>
      </c>
      <c r="VG4">
        <f>Database!VZ28</f>
        <v>0</v>
      </c>
      <c r="VH4">
        <f>Database!WA28</f>
        <v>0</v>
      </c>
      <c r="VI4">
        <f>Database!WB28</f>
        <v>0</v>
      </c>
      <c r="VJ4">
        <f>Database!WC28</f>
        <v>0</v>
      </c>
      <c r="VK4">
        <f>Database!WD28</f>
        <v>0</v>
      </c>
      <c r="VL4">
        <f>Database!WE28</f>
        <v>0</v>
      </c>
      <c r="VM4">
        <f>Database!WF28</f>
        <v>0</v>
      </c>
      <c r="VN4">
        <f>Database!WG28</f>
        <v>0</v>
      </c>
      <c r="VO4">
        <f>Database!WH28</f>
        <v>0</v>
      </c>
      <c r="VP4">
        <f>Database!WI28</f>
        <v>0</v>
      </c>
      <c r="VQ4">
        <f>Database!WJ28</f>
        <v>0</v>
      </c>
      <c r="VR4">
        <f>Database!WK28</f>
        <v>0</v>
      </c>
      <c r="VS4">
        <f>Database!WL28</f>
        <v>0</v>
      </c>
      <c r="VT4">
        <f>Database!WM28</f>
        <v>0</v>
      </c>
      <c r="VU4">
        <f>Database!WN28</f>
        <v>0</v>
      </c>
      <c r="VV4">
        <f>Database!WO28</f>
        <v>0</v>
      </c>
      <c r="VW4">
        <f>Database!WP28</f>
        <v>0</v>
      </c>
      <c r="VX4">
        <f>Database!WQ28</f>
        <v>0</v>
      </c>
      <c r="VY4">
        <f>Database!WR28</f>
        <v>0</v>
      </c>
      <c r="VZ4">
        <f>Database!WS28</f>
        <v>0</v>
      </c>
      <c r="WA4">
        <f>Database!WT28</f>
        <v>0</v>
      </c>
      <c r="WB4">
        <f>Database!WU28</f>
        <v>0</v>
      </c>
      <c r="WC4">
        <f>Database!WV28</f>
        <v>0</v>
      </c>
      <c r="WD4">
        <f>Database!WW28</f>
        <v>0</v>
      </c>
      <c r="WE4">
        <f>Database!WX28</f>
        <v>0</v>
      </c>
      <c r="WF4">
        <f>Database!WY28</f>
        <v>0</v>
      </c>
      <c r="WG4">
        <f>Database!WZ28</f>
        <v>0</v>
      </c>
      <c r="WH4">
        <f>Database!XA28</f>
        <v>0</v>
      </c>
      <c r="WI4">
        <f>Database!XB28</f>
        <v>0</v>
      </c>
      <c r="WJ4">
        <f>Database!XC28</f>
        <v>0</v>
      </c>
      <c r="WK4">
        <f>Database!XD28</f>
        <v>0</v>
      </c>
      <c r="WL4">
        <f>Database!XE28</f>
        <v>0</v>
      </c>
      <c r="WM4">
        <f>Database!XF28</f>
        <v>0</v>
      </c>
      <c r="WN4">
        <f>Database!XG28</f>
        <v>0</v>
      </c>
      <c r="WO4">
        <f>Database!XH28</f>
        <v>0</v>
      </c>
      <c r="WP4">
        <f>Database!XI28</f>
        <v>0</v>
      </c>
      <c r="WQ4">
        <f>Database!XJ28</f>
        <v>0</v>
      </c>
      <c r="WR4">
        <f>Database!XK28</f>
        <v>0</v>
      </c>
      <c r="WS4">
        <f>Database!XL28</f>
        <v>0</v>
      </c>
      <c r="WT4">
        <f>Database!XM28</f>
        <v>0</v>
      </c>
      <c r="WU4">
        <f>Database!XN28</f>
        <v>0</v>
      </c>
      <c r="WV4">
        <f>Database!XO28</f>
        <v>0</v>
      </c>
      <c r="WW4">
        <f>Database!XP28</f>
        <v>0</v>
      </c>
      <c r="WX4">
        <f>Database!XQ28</f>
        <v>0</v>
      </c>
      <c r="WY4">
        <f>Database!XR28</f>
        <v>0</v>
      </c>
      <c r="WZ4">
        <f>Database!XS28</f>
        <v>0</v>
      </c>
      <c r="XA4">
        <f>Database!XT28</f>
        <v>0</v>
      </c>
      <c r="XB4">
        <f>Database!XU28</f>
        <v>0</v>
      </c>
      <c r="XC4">
        <f>Database!XV28</f>
        <v>0</v>
      </c>
      <c r="XD4">
        <f>Database!XW28</f>
        <v>0</v>
      </c>
      <c r="XE4">
        <f>Database!XX28</f>
        <v>0</v>
      </c>
      <c r="XF4">
        <f>Database!XY28</f>
        <v>0</v>
      </c>
      <c r="XG4">
        <f>Database!XZ28</f>
        <v>0</v>
      </c>
      <c r="XH4">
        <f>Database!YA28</f>
        <v>0</v>
      </c>
      <c r="XI4">
        <f>Database!YB28</f>
        <v>0</v>
      </c>
      <c r="XJ4">
        <f>Database!YC28</f>
        <v>0</v>
      </c>
      <c r="XK4">
        <f>Database!YD28</f>
        <v>0</v>
      </c>
      <c r="XL4">
        <f>Database!YE28</f>
        <v>0</v>
      </c>
      <c r="XM4">
        <f>Database!YF28</f>
        <v>0</v>
      </c>
      <c r="XN4">
        <f>Database!YG28</f>
        <v>0</v>
      </c>
      <c r="XO4">
        <f>Database!YH28</f>
        <v>0</v>
      </c>
      <c r="XP4">
        <f>Database!YI28</f>
        <v>0</v>
      </c>
      <c r="XQ4">
        <f>Database!YJ28</f>
        <v>0</v>
      </c>
      <c r="XR4">
        <f>Database!YK28</f>
        <v>0</v>
      </c>
      <c r="XS4">
        <f>Database!YL28</f>
        <v>0</v>
      </c>
      <c r="XT4">
        <f>Database!YM28</f>
        <v>0</v>
      </c>
      <c r="XU4">
        <f>Database!YN28</f>
        <v>0</v>
      </c>
      <c r="XV4">
        <f>Database!YO28</f>
        <v>0</v>
      </c>
      <c r="XW4">
        <f>Database!YP28</f>
        <v>0</v>
      </c>
      <c r="XX4">
        <f>Database!YQ28</f>
        <v>0</v>
      </c>
      <c r="XY4">
        <f>Database!YR28</f>
        <v>0</v>
      </c>
      <c r="XZ4">
        <f>Database!YS28</f>
        <v>0</v>
      </c>
      <c r="YA4">
        <f>Database!YT28</f>
        <v>0</v>
      </c>
      <c r="YB4">
        <f>Database!YU28</f>
        <v>0</v>
      </c>
      <c r="YC4">
        <f>Database!YV28</f>
        <v>0</v>
      </c>
      <c r="YD4">
        <f>Database!YW28</f>
        <v>0</v>
      </c>
      <c r="YE4">
        <f>Database!YX28</f>
        <v>0</v>
      </c>
      <c r="YF4">
        <f>Database!YY28</f>
        <v>0</v>
      </c>
      <c r="YG4">
        <f>Database!YZ28</f>
        <v>0</v>
      </c>
      <c r="YH4">
        <f>Database!ZA28</f>
        <v>0</v>
      </c>
      <c r="YI4">
        <f>Database!ZB28</f>
        <v>0</v>
      </c>
      <c r="YJ4">
        <f>Database!ZC28</f>
        <v>0</v>
      </c>
      <c r="YK4">
        <f>Database!ZD28</f>
        <v>0</v>
      </c>
      <c r="YL4">
        <f>Database!ZE28</f>
        <v>0</v>
      </c>
      <c r="YM4">
        <f>Database!ZF28</f>
        <v>0</v>
      </c>
      <c r="YN4">
        <f>Database!ZG28</f>
        <v>0</v>
      </c>
      <c r="YO4">
        <f>Database!ZH28</f>
        <v>0</v>
      </c>
      <c r="YP4">
        <f>Database!ZI28</f>
        <v>0</v>
      </c>
      <c r="YQ4">
        <f>Database!ZJ28</f>
        <v>0</v>
      </c>
      <c r="YR4">
        <f>Database!ZK28</f>
        <v>0</v>
      </c>
      <c r="YS4">
        <f>Database!ZL28</f>
        <v>0</v>
      </c>
      <c r="YT4">
        <f>Database!ZM28</f>
        <v>0</v>
      </c>
      <c r="YU4">
        <f>Database!ZN28</f>
        <v>0</v>
      </c>
      <c r="YV4">
        <f>Database!ZO28</f>
        <v>0</v>
      </c>
      <c r="YW4">
        <f>Database!ZP28</f>
        <v>0</v>
      </c>
      <c r="YX4">
        <f>Database!ZQ28</f>
        <v>0</v>
      </c>
      <c r="YY4">
        <f>Database!ZR28</f>
        <v>0</v>
      </c>
      <c r="YZ4">
        <f>Database!ZS28</f>
        <v>0</v>
      </c>
      <c r="ZA4">
        <f>Database!ZT28</f>
        <v>0</v>
      </c>
      <c r="ZB4">
        <f>Database!ZU28</f>
        <v>0</v>
      </c>
      <c r="ZC4">
        <f>Database!ZV28</f>
        <v>0</v>
      </c>
      <c r="ZD4">
        <f>Database!ZW28</f>
        <v>0</v>
      </c>
      <c r="ZE4">
        <f>Database!ZX28</f>
        <v>0</v>
      </c>
      <c r="ZF4">
        <f>Database!ZY28</f>
        <v>0</v>
      </c>
      <c r="ZG4">
        <f>Database!ZZ28</f>
        <v>0</v>
      </c>
      <c r="ZH4">
        <f>Database!AAA28</f>
        <v>0</v>
      </c>
      <c r="ZI4">
        <f>Database!AAB28</f>
        <v>0</v>
      </c>
      <c r="ZJ4">
        <f>Database!AAC28</f>
        <v>0</v>
      </c>
      <c r="ZK4">
        <f>Database!AAD28</f>
        <v>0</v>
      </c>
      <c r="ZL4">
        <f>Database!AAE28</f>
        <v>0</v>
      </c>
      <c r="ZM4">
        <f>Database!AAF28</f>
        <v>0</v>
      </c>
      <c r="ZN4">
        <f>Database!AAG28</f>
        <v>0</v>
      </c>
      <c r="ZO4">
        <f>Database!AAH28</f>
        <v>0</v>
      </c>
      <c r="ZP4">
        <f>Database!AAI28</f>
        <v>0</v>
      </c>
      <c r="ZQ4">
        <f>Database!AAJ28</f>
        <v>0</v>
      </c>
      <c r="ZR4">
        <f>Database!AAK28</f>
        <v>0</v>
      </c>
      <c r="ZS4">
        <f>Database!AAL28</f>
        <v>0</v>
      </c>
      <c r="ZT4">
        <f>Database!AAM28</f>
        <v>0</v>
      </c>
      <c r="ZU4">
        <f>Database!AAN28</f>
        <v>0</v>
      </c>
      <c r="ZV4">
        <f>Database!AAO28</f>
        <v>0</v>
      </c>
      <c r="ZW4">
        <f>Database!AAP28</f>
        <v>0</v>
      </c>
      <c r="ZX4">
        <f>Database!AAQ28</f>
        <v>0</v>
      </c>
      <c r="ZY4">
        <f>Database!AAR28</f>
        <v>0</v>
      </c>
      <c r="ZZ4">
        <f>Database!AAS28</f>
        <v>0</v>
      </c>
      <c r="AAA4">
        <f>Database!AAT28</f>
        <v>0</v>
      </c>
      <c r="AAB4">
        <f>Database!AAU28</f>
        <v>0</v>
      </c>
      <c r="AAC4">
        <f>Database!AAV28</f>
        <v>0</v>
      </c>
      <c r="AAD4">
        <f>Database!AAW28</f>
        <v>0</v>
      </c>
      <c r="AAE4">
        <f>Database!AAX28</f>
        <v>0</v>
      </c>
      <c r="AAF4">
        <f>Database!AAY28</f>
        <v>0</v>
      </c>
      <c r="AAG4">
        <f>Database!AAZ28</f>
        <v>0</v>
      </c>
      <c r="AAH4">
        <f>Database!ABA28</f>
        <v>0</v>
      </c>
      <c r="AAI4">
        <f>Database!ABB28</f>
        <v>0</v>
      </c>
      <c r="AAJ4">
        <f>Database!ABC28</f>
        <v>0</v>
      </c>
      <c r="AAK4">
        <f>Database!ABD28</f>
        <v>0</v>
      </c>
      <c r="AAL4">
        <f>Database!ABE28</f>
        <v>0</v>
      </c>
      <c r="AAM4">
        <f>Database!ABF28</f>
        <v>0</v>
      </c>
      <c r="AAN4">
        <f>Database!ABG28</f>
        <v>0</v>
      </c>
      <c r="AAO4">
        <f>Database!ABH28</f>
        <v>0</v>
      </c>
      <c r="AAP4">
        <f>Database!ABI28</f>
        <v>0</v>
      </c>
      <c r="AAQ4">
        <f>Database!ABJ28</f>
        <v>0</v>
      </c>
      <c r="AAR4">
        <f>Database!ABK28</f>
        <v>0</v>
      </c>
      <c r="AAS4">
        <f>Database!ABL28</f>
        <v>0</v>
      </c>
      <c r="AAT4">
        <f>Database!ABM28</f>
        <v>0</v>
      </c>
      <c r="AAU4">
        <f>Database!ABN28</f>
        <v>0</v>
      </c>
      <c r="AAV4">
        <f>Database!ABO28</f>
        <v>0</v>
      </c>
      <c r="AAW4">
        <f>Database!ABP28</f>
        <v>0</v>
      </c>
      <c r="AAX4">
        <f>Database!ABQ28</f>
        <v>0</v>
      </c>
      <c r="AAY4">
        <f>Database!ABR28</f>
        <v>0</v>
      </c>
      <c r="AAZ4">
        <f>Database!ABS28</f>
        <v>0</v>
      </c>
      <c r="ABA4">
        <f>Database!ABT28</f>
        <v>0</v>
      </c>
      <c r="ABB4">
        <f>Database!ABU28</f>
        <v>0</v>
      </c>
      <c r="ABC4">
        <f>Database!ABV28</f>
        <v>0</v>
      </c>
      <c r="ABD4">
        <f>Database!ABW28</f>
        <v>0</v>
      </c>
      <c r="ABE4">
        <f>Database!ABX28</f>
        <v>0</v>
      </c>
      <c r="ABF4">
        <f>Database!ABY28</f>
        <v>0</v>
      </c>
      <c r="ABG4">
        <f>Database!ABZ28</f>
        <v>0</v>
      </c>
      <c r="ABH4">
        <f>Database!ACA28</f>
        <v>0</v>
      </c>
      <c r="ABI4">
        <f>Database!ACB28</f>
        <v>0</v>
      </c>
      <c r="ABJ4">
        <f>Database!ACC28</f>
        <v>0</v>
      </c>
      <c r="ABK4">
        <f>Database!ACD28</f>
        <v>0</v>
      </c>
      <c r="ABL4">
        <f>Database!ACE28</f>
        <v>0</v>
      </c>
      <c r="ABM4">
        <f>Database!ACF28</f>
        <v>0</v>
      </c>
      <c r="ABN4">
        <f>Database!ACG28</f>
        <v>0</v>
      </c>
      <c r="ABO4">
        <f>Database!ACH28</f>
        <v>0</v>
      </c>
      <c r="ABP4">
        <f>Database!ACI28</f>
        <v>0</v>
      </c>
      <c r="ABQ4">
        <f>Database!ACJ28</f>
        <v>0</v>
      </c>
      <c r="ABR4">
        <f>Database!ACK28</f>
        <v>0</v>
      </c>
      <c r="ABS4">
        <f>Database!ACL28</f>
        <v>0</v>
      </c>
      <c r="ABT4">
        <f>Database!ACM28</f>
        <v>0</v>
      </c>
      <c r="ABU4">
        <f>Database!ACN28</f>
        <v>0</v>
      </c>
      <c r="ABV4">
        <f>Database!ACO28</f>
        <v>0</v>
      </c>
      <c r="ABW4">
        <f>Database!ACP28</f>
        <v>0</v>
      </c>
      <c r="ABX4">
        <f>Database!ACQ28</f>
        <v>0</v>
      </c>
      <c r="ABY4">
        <f>Database!ACR28</f>
        <v>0</v>
      </c>
      <c r="ABZ4">
        <f>Database!ACS28</f>
        <v>0</v>
      </c>
      <c r="ACA4">
        <f>Database!ACT28</f>
        <v>0</v>
      </c>
      <c r="ACB4">
        <f>Database!ACU28</f>
        <v>0</v>
      </c>
      <c r="ACC4">
        <f>Database!ACV28</f>
        <v>0</v>
      </c>
      <c r="ACD4">
        <f>Database!ACW28</f>
        <v>0</v>
      </c>
      <c r="ACE4">
        <f>Database!ACX28</f>
        <v>0</v>
      </c>
      <c r="ACF4">
        <f>Database!ACY28</f>
        <v>0</v>
      </c>
      <c r="ACG4">
        <f>Database!ACZ28</f>
        <v>0</v>
      </c>
      <c r="ACH4">
        <f>Database!ADA28</f>
        <v>0</v>
      </c>
      <c r="ACI4">
        <f>Database!ADB28</f>
        <v>0</v>
      </c>
      <c r="ACJ4">
        <f>Database!ADC28</f>
        <v>0</v>
      </c>
      <c r="ACK4">
        <f>Database!ADD28</f>
        <v>0</v>
      </c>
      <c r="ACL4">
        <f>Database!ADE28</f>
        <v>0</v>
      </c>
      <c r="ACM4">
        <f>Database!ADF28</f>
        <v>0</v>
      </c>
      <c r="ACN4">
        <f>Database!ADG28</f>
        <v>0</v>
      </c>
      <c r="ACO4">
        <f>Database!ADH28</f>
        <v>0</v>
      </c>
      <c r="ACP4">
        <f>Database!ADI28</f>
        <v>0</v>
      </c>
      <c r="ACQ4">
        <f>Database!ADJ28</f>
        <v>0</v>
      </c>
      <c r="ACR4">
        <f>Database!ADK28</f>
        <v>0</v>
      </c>
      <c r="ACS4">
        <f>Database!ADL28</f>
        <v>0</v>
      </c>
      <c r="ACT4">
        <f>Database!ADM28</f>
        <v>0</v>
      </c>
      <c r="ACU4">
        <f>Database!ADN28</f>
        <v>0</v>
      </c>
      <c r="ACV4">
        <f>Database!ADO28</f>
        <v>0</v>
      </c>
      <c r="ACW4">
        <f>Database!ADP28</f>
        <v>0</v>
      </c>
      <c r="ACX4">
        <f>Database!ADQ28</f>
        <v>0</v>
      </c>
      <c r="ACY4">
        <f>Database!ADR28</f>
        <v>0</v>
      </c>
      <c r="ACZ4">
        <f>Database!ADS28</f>
        <v>0</v>
      </c>
      <c r="ADA4">
        <f>Database!ADT28</f>
        <v>0</v>
      </c>
      <c r="ADB4">
        <f>Database!ADU28</f>
        <v>0</v>
      </c>
      <c r="ADC4">
        <f>Database!ADV28</f>
        <v>0</v>
      </c>
      <c r="ADD4">
        <f>Database!ADW28</f>
        <v>0</v>
      </c>
      <c r="ADE4">
        <f>Database!ADX28</f>
        <v>0</v>
      </c>
      <c r="ADF4">
        <f>Database!ADY28</f>
        <v>0</v>
      </c>
      <c r="ADG4">
        <f>Database!ADZ28</f>
        <v>0</v>
      </c>
      <c r="ADH4">
        <f>Database!AEA28</f>
        <v>0</v>
      </c>
      <c r="ADI4">
        <f>Database!AEB28</f>
        <v>0</v>
      </c>
      <c r="ADJ4">
        <f>Database!AEC28</f>
        <v>0</v>
      </c>
      <c r="ADK4">
        <f>Database!AED28</f>
        <v>0</v>
      </c>
      <c r="ADL4">
        <f>Database!AEE28</f>
        <v>0</v>
      </c>
      <c r="ADM4">
        <f>Database!AEF28</f>
        <v>0</v>
      </c>
      <c r="ADN4">
        <f>Database!AEG28</f>
        <v>0</v>
      </c>
      <c r="ADO4">
        <f>Database!AEH28</f>
        <v>0</v>
      </c>
      <c r="ADP4">
        <f>Database!AEI28</f>
        <v>0</v>
      </c>
      <c r="ADQ4">
        <f>Database!AEJ28</f>
        <v>0</v>
      </c>
      <c r="ADR4">
        <f>Database!AEK28</f>
        <v>0</v>
      </c>
      <c r="ADS4">
        <f>Database!AEL28</f>
        <v>0</v>
      </c>
      <c r="ADT4">
        <f>Database!AEM28</f>
        <v>0</v>
      </c>
      <c r="ADU4">
        <f>Database!AEN28</f>
        <v>0</v>
      </c>
      <c r="ADV4">
        <f>Database!AEO28</f>
        <v>0</v>
      </c>
      <c r="ADW4">
        <f>Database!AEP28</f>
        <v>0</v>
      </c>
      <c r="ADX4">
        <f>Database!AEQ28</f>
        <v>0</v>
      </c>
      <c r="ADY4">
        <f>Database!AER28</f>
        <v>0</v>
      </c>
      <c r="ADZ4">
        <f>Database!AES28</f>
        <v>0</v>
      </c>
      <c r="AEA4">
        <f>Database!AET28</f>
        <v>0</v>
      </c>
      <c r="AEB4">
        <f>Database!AEU28</f>
        <v>0</v>
      </c>
      <c r="AEC4">
        <f>Database!AEV28</f>
        <v>0</v>
      </c>
      <c r="AED4">
        <f>Database!AEW28</f>
        <v>0</v>
      </c>
      <c r="AEE4">
        <f>Database!AEX28</f>
        <v>0</v>
      </c>
      <c r="AEF4">
        <f>Database!AEY28</f>
        <v>0</v>
      </c>
      <c r="AEG4">
        <f>Database!AEZ28</f>
        <v>0</v>
      </c>
      <c r="AEH4">
        <f>Database!AFA28</f>
        <v>0</v>
      </c>
      <c r="AEI4">
        <f>Database!AFB28</f>
        <v>0</v>
      </c>
      <c r="AEJ4">
        <f>Database!AFC28</f>
        <v>0</v>
      </c>
      <c r="AEK4">
        <f>Database!AFD28</f>
        <v>0</v>
      </c>
      <c r="AEL4">
        <f>Database!AFE28</f>
        <v>0</v>
      </c>
      <c r="AEM4">
        <f>Database!AFF28</f>
        <v>0</v>
      </c>
      <c r="AEN4">
        <f>Database!AFG28</f>
        <v>0</v>
      </c>
      <c r="AEO4">
        <f>Database!AFH28</f>
        <v>0</v>
      </c>
      <c r="AEP4">
        <f>Database!AFI28</f>
        <v>0</v>
      </c>
      <c r="AEQ4">
        <f>Database!AFJ28</f>
        <v>0</v>
      </c>
      <c r="AER4">
        <f>Database!AFK28</f>
        <v>0</v>
      </c>
      <c r="AES4">
        <f>Database!AFL28</f>
        <v>0</v>
      </c>
      <c r="AET4">
        <f>Database!AFM28</f>
        <v>0</v>
      </c>
      <c r="AEU4">
        <f>Database!AFN28</f>
        <v>0</v>
      </c>
      <c r="AEV4">
        <f>Database!AFO28</f>
        <v>0</v>
      </c>
      <c r="AEW4">
        <f>Database!AFP28</f>
        <v>0</v>
      </c>
      <c r="AEX4">
        <f>Database!AFQ28</f>
        <v>0</v>
      </c>
      <c r="AEY4">
        <f>Database!AFR28</f>
        <v>0</v>
      </c>
      <c r="AEZ4">
        <f>Database!AFS28</f>
        <v>0</v>
      </c>
      <c r="AFA4">
        <f>Database!AFT28</f>
        <v>0</v>
      </c>
      <c r="AFB4">
        <f>Database!AFU28</f>
        <v>0</v>
      </c>
      <c r="AFC4">
        <f>Database!AFV28</f>
        <v>0</v>
      </c>
      <c r="AFD4">
        <f>Database!AFW28</f>
        <v>0</v>
      </c>
      <c r="AFE4">
        <f>Database!AFX28</f>
        <v>0</v>
      </c>
      <c r="AFF4">
        <f>Database!AFY28</f>
        <v>0</v>
      </c>
      <c r="AFG4">
        <f>Database!AFZ28</f>
        <v>0</v>
      </c>
      <c r="AFH4">
        <f>Database!AGA28</f>
        <v>0</v>
      </c>
      <c r="AFI4">
        <f>Database!AGB28</f>
        <v>0</v>
      </c>
      <c r="AFJ4">
        <f>Database!AGC28</f>
        <v>0</v>
      </c>
      <c r="AFK4">
        <f>Database!AGD28</f>
        <v>0</v>
      </c>
      <c r="AFL4">
        <f>Database!AGE28</f>
        <v>0</v>
      </c>
      <c r="AFM4">
        <f>Database!AGF28</f>
        <v>0</v>
      </c>
      <c r="AFN4">
        <f>Database!AGG28</f>
        <v>0</v>
      </c>
      <c r="AFO4">
        <f>Database!AGH28</f>
        <v>0</v>
      </c>
      <c r="AFP4">
        <f>Database!AGI28</f>
        <v>0</v>
      </c>
      <c r="AFQ4">
        <f>Database!AGJ28</f>
        <v>0</v>
      </c>
      <c r="AFR4">
        <f>Database!AGK28</f>
        <v>0</v>
      </c>
      <c r="AFS4">
        <f>Database!AGL28</f>
        <v>0</v>
      </c>
      <c r="AFT4">
        <f>Database!AGM28</f>
        <v>0</v>
      </c>
      <c r="AFU4">
        <f>Database!AGN28</f>
        <v>0</v>
      </c>
      <c r="AFV4">
        <f>Database!AGO28</f>
        <v>0</v>
      </c>
      <c r="AFW4">
        <f>Database!AGP28</f>
        <v>0</v>
      </c>
      <c r="AFX4">
        <f>Database!AGQ28</f>
        <v>0</v>
      </c>
      <c r="AFY4">
        <f>Database!AGR28</f>
        <v>0</v>
      </c>
      <c r="AFZ4">
        <f>Database!AGS28</f>
        <v>0</v>
      </c>
      <c r="AGA4">
        <f>Database!AGT28</f>
        <v>0</v>
      </c>
      <c r="AGB4">
        <f>Database!AGU28</f>
        <v>0</v>
      </c>
      <c r="AGC4">
        <f>Database!AGV28</f>
        <v>0</v>
      </c>
      <c r="AGD4">
        <f>Database!AGW28</f>
        <v>0</v>
      </c>
      <c r="AGE4">
        <f>Database!AGX28</f>
        <v>0</v>
      </c>
      <c r="AGF4">
        <f>Database!AGY28</f>
        <v>0</v>
      </c>
      <c r="AGG4">
        <f>Database!AGZ28</f>
        <v>0</v>
      </c>
      <c r="AGH4">
        <f>Database!AHA28</f>
        <v>0</v>
      </c>
      <c r="AGI4">
        <f>Database!AHB28</f>
        <v>0</v>
      </c>
      <c r="AGJ4">
        <f>Database!AHC28</f>
        <v>0</v>
      </c>
      <c r="AGK4">
        <f>Database!AHD28</f>
        <v>0</v>
      </c>
      <c r="AGL4">
        <f>Database!AHE28</f>
        <v>0</v>
      </c>
      <c r="AGM4">
        <f>Database!AHF28</f>
        <v>0</v>
      </c>
      <c r="AGN4">
        <f>Database!AHG28</f>
        <v>0</v>
      </c>
      <c r="AGO4">
        <f>Database!AHH28</f>
        <v>0</v>
      </c>
      <c r="AGP4">
        <f>Database!AHI28</f>
        <v>0</v>
      </c>
      <c r="AGQ4">
        <f>Database!AHJ28</f>
        <v>0</v>
      </c>
      <c r="AGR4">
        <f>Database!AHK28</f>
        <v>0</v>
      </c>
      <c r="AGS4">
        <f>Database!AHL28</f>
        <v>0</v>
      </c>
      <c r="AGT4">
        <f>Database!AHM28</f>
        <v>0</v>
      </c>
      <c r="AGU4">
        <f>Database!AHN28</f>
        <v>0</v>
      </c>
      <c r="AGV4">
        <f>Database!AHO28</f>
        <v>0</v>
      </c>
      <c r="AGW4">
        <f>Database!AHP28</f>
        <v>0</v>
      </c>
      <c r="AGX4">
        <f>Database!AHQ28</f>
        <v>0</v>
      </c>
      <c r="AGY4">
        <f>Database!AHR28</f>
        <v>0</v>
      </c>
      <c r="AGZ4">
        <f>Database!AHS28</f>
        <v>0</v>
      </c>
      <c r="AHA4">
        <f>Database!AHT28</f>
        <v>0</v>
      </c>
      <c r="AHB4">
        <f>Database!AHU28</f>
        <v>0</v>
      </c>
      <c r="AHC4">
        <f>Database!AHV28</f>
        <v>0</v>
      </c>
      <c r="AHD4">
        <f>Database!AHW28</f>
        <v>0</v>
      </c>
      <c r="AHE4">
        <f>Database!AHX28</f>
        <v>0</v>
      </c>
      <c r="AHF4">
        <f>Database!AHY28</f>
        <v>0</v>
      </c>
      <c r="AHG4">
        <f>Database!AHZ28</f>
        <v>0</v>
      </c>
      <c r="AHH4">
        <f>Database!AIA28</f>
        <v>0</v>
      </c>
      <c r="AHI4">
        <f>Database!AIB28</f>
        <v>0</v>
      </c>
      <c r="AHJ4">
        <f>Database!AIC28</f>
        <v>0</v>
      </c>
      <c r="AHK4">
        <f>Database!AID28</f>
        <v>0</v>
      </c>
      <c r="AHL4">
        <f>Database!AIE28</f>
        <v>0</v>
      </c>
      <c r="AHM4">
        <f>Database!AIF28</f>
        <v>0</v>
      </c>
      <c r="AHN4">
        <f>Database!AIG28</f>
        <v>0</v>
      </c>
      <c r="AHO4">
        <f>Database!AIH28</f>
        <v>0</v>
      </c>
      <c r="AHP4">
        <f>Database!AII28</f>
        <v>0</v>
      </c>
      <c r="AHQ4">
        <f>Database!AIJ28</f>
        <v>0</v>
      </c>
      <c r="AHR4">
        <f>Database!AIK28</f>
        <v>0</v>
      </c>
      <c r="AHS4">
        <f>Database!AIL28</f>
        <v>0</v>
      </c>
      <c r="AHT4">
        <f>Database!AIM28</f>
        <v>0</v>
      </c>
      <c r="AHU4">
        <f>Database!AIN28</f>
        <v>0</v>
      </c>
      <c r="AHV4">
        <f>Database!AIO28</f>
        <v>0</v>
      </c>
      <c r="AHW4">
        <f>Database!AIP28</f>
        <v>0</v>
      </c>
      <c r="AHX4">
        <f>Database!AIQ28</f>
        <v>0</v>
      </c>
      <c r="AHY4">
        <f>Database!AIR28</f>
        <v>0</v>
      </c>
      <c r="AHZ4">
        <f>Database!AIS28</f>
        <v>0</v>
      </c>
      <c r="AIA4">
        <f>Database!AIT28</f>
        <v>0</v>
      </c>
      <c r="AIB4">
        <f>Database!AIU28</f>
        <v>0</v>
      </c>
      <c r="AIC4">
        <f>Database!AIV28</f>
        <v>0</v>
      </c>
      <c r="AID4">
        <f>Database!AIW28</f>
        <v>0</v>
      </c>
      <c r="AIE4">
        <f>Database!AIX28</f>
        <v>0</v>
      </c>
      <c r="AIF4">
        <f>Database!AIY28</f>
        <v>0</v>
      </c>
      <c r="AIG4">
        <f>Database!AIZ28</f>
        <v>0</v>
      </c>
      <c r="AIH4">
        <f>Database!AJA28</f>
        <v>0</v>
      </c>
      <c r="AII4">
        <f>Database!AJB28</f>
        <v>0</v>
      </c>
      <c r="AIJ4">
        <f>Database!AJC28</f>
        <v>0</v>
      </c>
      <c r="AIK4">
        <f>Database!AJD28</f>
        <v>0</v>
      </c>
      <c r="AIL4">
        <f>Database!AJE28</f>
        <v>0</v>
      </c>
      <c r="AIM4">
        <f>Database!AJF28</f>
        <v>0</v>
      </c>
      <c r="AIN4">
        <f>Database!AJG28</f>
        <v>0</v>
      </c>
      <c r="AIO4">
        <f>Database!AJH28</f>
        <v>0</v>
      </c>
      <c r="AIP4">
        <f>Database!AJI28</f>
        <v>0</v>
      </c>
      <c r="AIQ4">
        <f>Database!AJJ28</f>
        <v>0</v>
      </c>
      <c r="AIR4">
        <f>Database!AJK28</f>
        <v>0</v>
      </c>
      <c r="AIS4">
        <f>Database!AJL28</f>
        <v>0</v>
      </c>
      <c r="AIT4">
        <f>Database!AJM28</f>
        <v>0</v>
      </c>
      <c r="AIU4">
        <f>Database!AJN28</f>
        <v>0</v>
      </c>
      <c r="AIV4">
        <f>Database!AJO28</f>
        <v>0</v>
      </c>
      <c r="AIW4">
        <f>Database!AJP28</f>
        <v>0</v>
      </c>
      <c r="AIX4">
        <f>Database!AJQ28</f>
        <v>0</v>
      </c>
      <c r="AIY4">
        <f>Database!AJR28</f>
        <v>0</v>
      </c>
      <c r="AIZ4">
        <f>Database!AJS28</f>
        <v>0</v>
      </c>
      <c r="AJA4">
        <f>Database!AJT28</f>
        <v>0</v>
      </c>
      <c r="AJB4">
        <f>Database!AJU28</f>
        <v>0</v>
      </c>
      <c r="AJC4">
        <f>Database!AJV28</f>
        <v>0</v>
      </c>
      <c r="AJD4">
        <f>Database!AJW28</f>
        <v>0</v>
      </c>
      <c r="AJE4">
        <f>Database!AJX28</f>
        <v>0</v>
      </c>
      <c r="AJF4">
        <f>Database!AJY28</f>
        <v>0</v>
      </c>
      <c r="AJG4">
        <f>Database!AJZ28</f>
        <v>0</v>
      </c>
      <c r="AJH4">
        <f>Database!AKA28</f>
        <v>0</v>
      </c>
      <c r="AJI4">
        <f>Database!AKB28</f>
        <v>0</v>
      </c>
      <c r="AJJ4">
        <f>Database!AKC28</f>
        <v>0</v>
      </c>
      <c r="AJK4">
        <f>Database!AKD28</f>
        <v>0</v>
      </c>
      <c r="AJL4">
        <f>Database!AKE28</f>
        <v>0</v>
      </c>
      <c r="AJM4">
        <f>Database!AKF28</f>
        <v>0</v>
      </c>
      <c r="AJN4">
        <f>Database!AKG28</f>
        <v>0</v>
      </c>
      <c r="AJO4">
        <f>Database!AKH28</f>
        <v>0</v>
      </c>
      <c r="AJP4">
        <f>Database!AKI28</f>
        <v>0</v>
      </c>
      <c r="AJQ4">
        <f>Database!AKJ28</f>
        <v>0</v>
      </c>
      <c r="AJR4">
        <f>Database!AKK28</f>
        <v>0</v>
      </c>
      <c r="AJS4">
        <f>Database!AKL28</f>
        <v>0</v>
      </c>
      <c r="AJT4">
        <f>Database!AKM28</f>
        <v>0</v>
      </c>
      <c r="AJU4">
        <f>Database!AKN28</f>
        <v>0</v>
      </c>
      <c r="AJV4">
        <f>Database!AKO28</f>
        <v>0</v>
      </c>
      <c r="AJW4">
        <f>Database!AKP28</f>
        <v>0</v>
      </c>
      <c r="AJX4">
        <f>Database!AKQ28</f>
        <v>0</v>
      </c>
      <c r="AJY4">
        <f>Database!AKR28</f>
        <v>0</v>
      </c>
      <c r="AJZ4">
        <f>Database!AKS28</f>
        <v>0</v>
      </c>
      <c r="AKA4">
        <f>Database!AKT28</f>
        <v>0</v>
      </c>
      <c r="AKB4">
        <f>Database!AKU28</f>
        <v>0</v>
      </c>
      <c r="AKC4">
        <f>Database!AKV28</f>
        <v>0</v>
      </c>
      <c r="AKD4">
        <f>Database!AKW28</f>
        <v>0</v>
      </c>
      <c r="AKE4">
        <f>Database!AKX28</f>
        <v>0</v>
      </c>
      <c r="AKF4">
        <f>Database!AKY28</f>
        <v>0</v>
      </c>
      <c r="AKG4">
        <f>Database!AKZ28</f>
        <v>0</v>
      </c>
      <c r="AKH4">
        <f>Database!ALA28</f>
        <v>0</v>
      </c>
      <c r="AKI4">
        <f>Database!ALB28</f>
        <v>0</v>
      </c>
      <c r="AKJ4">
        <f>Database!ALC28</f>
        <v>0</v>
      </c>
      <c r="AKK4">
        <f>Database!ALD28</f>
        <v>0</v>
      </c>
      <c r="AKL4">
        <f>Database!ALE28</f>
        <v>0</v>
      </c>
      <c r="AKM4">
        <f>Database!ALF28</f>
        <v>0</v>
      </c>
      <c r="AKN4">
        <f>Database!ALG28</f>
        <v>0</v>
      </c>
      <c r="AKO4">
        <f>Database!ALH28</f>
        <v>0</v>
      </c>
      <c r="AKP4">
        <f>Database!ALI28</f>
        <v>0</v>
      </c>
      <c r="AKQ4">
        <f>Database!ALJ28</f>
        <v>0</v>
      </c>
      <c r="AKR4">
        <f>Database!ALK28</f>
        <v>0</v>
      </c>
      <c r="AKS4">
        <f>Database!ALL28</f>
        <v>0</v>
      </c>
      <c r="AKT4">
        <f>Database!ALM28</f>
        <v>0</v>
      </c>
      <c r="AKU4">
        <f>Database!ALN28</f>
        <v>0</v>
      </c>
      <c r="AKV4">
        <f>Database!ALO28</f>
        <v>0</v>
      </c>
      <c r="AKW4">
        <f>Database!ALP28</f>
        <v>0</v>
      </c>
      <c r="AKX4">
        <f>Database!ALQ28</f>
        <v>0</v>
      </c>
      <c r="AKY4">
        <f>Database!ALR28</f>
        <v>0</v>
      </c>
      <c r="AKZ4">
        <f>Database!ALS28</f>
        <v>0</v>
      </c>
      <c r="ALA4">
        <f>Database!ALT28</f>
        <v>0</v>
      </c>
      <c r="ALB4">
        <f>Database!ALU28</f>
        <v>0</v>
      </c>
      <c r="ALC4">
        <f>Database!ALV28</f>
        <v>0</v>
      </c>
      <c r="ALD4">
        <f>Database!ALW28</f>
        <v>0</v>
      </c>
      <c r="ALE4">
        <f>Database!ALX28</f>
        <v>0</v>
      </c>
      <c r="ALF4">
        <f>Database!ALY28</f>
        <v>0</v>
      </c>
      <c r="ALG4">
        <f>Database!ALZ28</f>
        <v>0</v>
      </c>
      <c r="ALH4">
        <f>Database!AMA28</f>
        <v>0</v>
      </c>
      <c r="ALI4">
        <f>Database!AMB28</f>
        <v>0</v>
      </c>
      <c r="ALJ4">
        <f>Database!AMC28</f>
        <v>0</v>
      </c>
      <c r="ALK4">
        <f>Database!AMD28</f>
        <v>0</v>
      </c>
      <c r="ALL4">
        <f>Database!AME28</f>
        <v>0</v>
      </c>
      <c r="ALM4">
        <f>Database!AMF28</f>
        <v>0</v>
      </c>
      <c r="ALN4">
        <f>Database!AMG28</f>
        <v>0</v>
      </c>
      <c r="ALO4">
        <f>Database!AMH28</f>
        <v>0</v>
      </c>
      <c r="ALP4">
        <f>Database!AMI28</f>
        <v>0</v>
      </c>
      <c r="ALQ4">
        <f>Database!AMJ28</f>
        <v>0</v>
      </c>
      <c r="ALR4">
        <f>Database!AMK28</f>
        <v>0</v>
      </c>
      <c r="ALS4">
        <f>Database!AML28</f>
        <v>0</v>
      </c>
      <c r="ALT4">
        <f>Database!AMM28</f>
        <v>0</v>
      </c>
      <c r="ALU4">
        <f>Database!AMN28</f>
        <v>0</v>
      </c>
      <c r="ALV4">
        <f>Database!AMO28</f>
        <v>0</v>
      </c>
      <c r="ALW4">
        <f>Database!AMP28</f>
        <v>0</v>
      </c>
      <c r="ALX4">
        <f>Database!AMQ28</f>
        <v>0</v>
      </c>
      <c r="ALY4">
        <f>Database!AMR28</f>
        <v>0</v>
      </c>
      <c r="ALZ4">
        <f>Database!AMS28</f>
        <v>0</v>
      </c>
      <c r="AMA4">
        <f>Database!AMT28</f>
        <v>0</v>
      </c>
      <c r="AMB4">
        <f>Database!AMU28</f>
        <v>0</v>
      </c>
      <c r="AMC4">
        <f>Database!AMV28</f>
        <v>0</v>
      </c>
      <c r="AMD4">
        <f>Database!AMW28</f>
        <v>0</v>
      </c>
      <c r="AME4">
        <f>Database!AMX28</f>
        <v>0</v>
      </c>
      <c r="AMF4">
        <f>Database!AMY28</f>
        <v>0</v>
      </c>
      <c r="AMG4">
        <f>Database!AMZ28</f>
        <v>0</v>
      </c>
      <c r="AMH4">
        <f>Database!ANA28</f>
        <v>0</v>
      </c>
      <c r="AMI4">
        <f>Database!ANB28</f>
        <v>0</v>
      </c>
      <c r="AMJ4">
        <f>Database!ANC28</f>
        <v>0</v>
      </c>
      <c r="AMK4">
        <f>Database!AND28</f>
        <v>0</v>
      </c>
      <c r="AML4">
        <f>Database!ANE28</f>
        <v>0</v>
      </c>
      <c r="AMM4">
        <f>Database!ANF28</f>
        <v>0</v>
      </c>
      <c r="AMN4">
        <f>Database!ANG28</f>
        <v>0</v>
      </c>
      <c r="AMO4">
        <f>Database!ANH28</f>
        <v>0</v>
      </c>
      <c r="AMP4">
        <f>Database!ANI28</f>
        <v>0</v>
      </c>
      <c r="AMQ4">
        <f>Database!ANJ28</f>
        <v>0</v>
      </c>
      <c r="AMR4">
        <f>Database!ANK28</f>
        <v>0</v>
      </c>
      <c r="AMS4">
        <f>Database!ANL28</f>
        <v>0</v>
      </c>
      <c r="AMT4">
        <f>Database!ANM28</f>
        <v>0</v>
      </c>
      <c r="AMU4">
        <f>Database!ANN28</f>
        <v>0</v>
      </c>
      <c r="AMV4">
        <f>Database!ANO28</f>
        <v>0</v>
      </c>
      <c r="AMW4">
        <f>Database!ANP28</f>
        <v>0</v>
      </c>
      <c r="AMX4">
        <f>Database!ANQ28</f>
        <v>0</v>
      </c>
      <c r="AMY4">
        <f>Database!ANR28</f>
        <v>0</v>
      </c>
      <c r="AMZ4">
        <f>Database!ANS28</f>
        <v>0</v>
      </c>
      <c r="ANA4">
        <f>Database!ANT28</f>
        <v>0</v>
      </c>
      <c r="ANB4">
        <f>Database!ANU28</f>
        <v>0</v>
      </c>
      <c r="ANC4">
        <f>Database!ANV28</f>
        <v>0</v>
      </c>
      <c r="AND4">
        <f>Database!ANW28</f>
        <v>0</v>
      </c>
      <c r="ANE4">
        <f>Database!ANX28</f>
        <v>0</v>
      </c>
      <c r="ANF4">
        <f>Database!ANY28</f>
        <v>0</v>
      </c>
      <c r="ANG4">
        <f>Database!ANZ28</f>
        <v>0</v>
      </c>
      <c r="ANH4">
        <f>Database!AOA28</f>
        <v>0</v>
      </c>
      <c r="ANI4">
        <f>Database!AOB28</f>
        <v>0</v>
      </c>
      <c r="ANJ4">
        <f>Database!AOC28</f>
        <v>0</v>
      </c>
      <c r="ANK4">
        <f>Database!AOD28</f>
        <v>0</v>
      </c>
      <c r="ANL4">
        <f>Database!AOE28</f>
        <v>0</v>
      </c>
      <c r="ANM4">
        <f>Database!AOF28</f>
        <v>0</v>
      </c>
      <c r="ANN4">
        <f>Database!AOG28</f>
        <v>0</v>
      </c>
      <c r="ANO4">
        <f>Database!AOH28</f>
        <v>0</v>
      </c>
      <c r="ANP4">
        <f>Database!AOI28</f>
        <v>0</v>
      </c>
      <c r="ANQ4">
        <f>Database!AOJ28</f>
        <v>0</v>
      </c>
      <c r="ANR4">
        <f>Database!AOK28</f>
        <v>0</v>
      </c>
      <c r="ANS4">
        <f>Database!AOL28</f>
        <v>0</v>
      </c>
      <c r="ANT4">
        <f>Database!AOM28</f>
        <v>0</v>
      </c>
      <c r="ANU4">
        <f>Database!AON28</f>
        <v>0</v>
      </c>
      <c r="ANV4">
        <f>Database!AOO28</f>
        <v>0</v>
      </c>
      <c r="ANW4">
        <f>Database!AOP28</f>
        <v>0</v>
      </c>
      <c r="ANX4">
        <f>Database!AOQ28</f>
        <v>0</v>
      </c>
      <c r="ANY4">
        <f>Database!AOR28</f>
        <v>0</v>
      </c>
      <c r="ANZ4">
        <f>Database!AOS28</f>
        <v>0</v>
      </c>
      <c r="AOA4">
        <f>Database!AOT28</f>
        <v>0</v>
      </c>
      <c r="AOB4">
        <f>Database!AOU28</f>
        <v>0</v>
      </c>
      <c r="AOC4">
        <f>Database!AOV28</f>
        <v>0</v>
      </c>
      <c r="AOD4">
        <f>Database!AOW28</f>
        <v>0</v>
      </c>
      <c r="AOE4">
        <f>Database!AOX28</f>
        <v>0</v>
      </c>
      <c r="AOF4">
        <f>Database!AOY28</f>
        <v>0</v>
      </c>
      <c r="AOG4">
        <f>Database!AOZ28</f>
        <v>0</v>
      </c>
      <c r="AOH4">
        <f>Database!APA28</f>
        <v>0</v>
      </c>
      <c r="AOI4">
        <f>Database!APB28</f>
        <v>0</v>
      </c>
      <c r="AOJ4">
        <f>Database!APC28</f>
        <v>0</v>
      </c>
      <c r="AOK4">
        <f>Database!APD28</f>
        <v>0</v>
      </c>
      <c r="AOL4">
        <f>Database!APE28</f>
        <v>0</v>
      </c>
      <c r="AOM4">
        <f>Database!APF28</f>
        <v>0</v>
      </c>
      <c r="AON4">
        <f>Database!APG28</f>
        <v>0</v>
      </c>
      <c r="AOO4">
        <f>Database!APH28</f>
        <v>0</v>
      </c>
      <c r="AOP4">
        <f>Database!API28</f>
        <v>0</v>
      </c>
      <c r="AOQ4">
        <f>Database!APJ28</f>
        <v>0</v>
      </c>
      <c r="AOR4">
        <f>Database!APK28</f>
        <v>0</v>
      </c>
      <c r="AOS4">
        <f>Database!APL28</f>
        <v>0</v>
      </c>
      <c r="AOT4">
        <f>Database!APM28</f>
        <v>0</v>
      </c>
      <c r="AOU4">
        <f>Database!APN28</f>
        <v>0</v>
      </c>
      <c r="AOV4">
        <f>Database!APO28</f>
        <v>0</v>
      </c>
      <c r="AOW4">
        <f>Database!APP28</f>
        <v>0</v>
      </c>
      <c r="AOX4">
        <f>Database!APQ28</f>
        <v>0</v>
      </c>
      <c r="AOY4">
        <f>Database!APR28</f>
        <v>0</v>
      </c>
      <c r="AOZ4">
        <f>Database!APS28</f>
        <v>0</v>
      </c>
      <c r="APA4">
        <f>Database!APT28</f>
        <v>0</v>
      </c>
      <c r="APB4">
        <f>Database!APU28</f>
        <v>0</v>
      </c>
      <c r="APC4">
        <f>Database!APV28</f>
        <v>0</v>
      </c>
      <c r="APD4">
        <f>Database!APW28</f>
        <v>0</v>
      </c>
      <c r="APE4">
        <f>Database!APX28</f>
        <v>0</v>
      </c>
      <c r="APF4">
        <f>Database!APY28</f>
        <v>0</v>
      </c>
      <c r="APG4">
        <f>Database!APZ28</f>
        <v>0</v>
      </c>
      <c r="APH4">
        <f>Database!AQA28</f>
        <v>0</v>
      </c>
      <c r="API4">
        <f>Database!AQB28</f>
        <v>0</v>
      </c>
      <c r="APJ4">
        <f>Database!AQC28</f>
        <v>0</v>
      </c>
      <c r="APK4">
        <f>Database!AQD28</f>
        <v>0</v>
      </c>
      <c r="APL4">
        <f>Database!AQE28</f>
        <v>0</v>
      </c>
      <c r="APM4">
        <f>Database!AQF28</f>
        <v>0</v>
      </c>
      <c r="APN4">
        <f>Database!AQG28</f>
        <v>0</v>
      </c>
      <c r="APO4">
        <f>Database!AQH28</f>
        <v>0</v>
      </c>
      <c r="APP4">
        <f>Database!AQI28</f>
        <v>0</v>
      </c>
      <c r="APQ4">
        <f>Database!AQJ28</f>
        <v>0</v>
      </c>
      <c r="APR4">
        <f>Database!AQK28</f>
        <v>0</v>
      </c>
      <c r="APS4">
        <f>Database!AQL28</f>
        <v>0</v>
      </c>
      <c r="APT4">
        <f>Database!AQM28</f>
        <v>0</v>
      </c>
      <c r="APU4">
        <f>Database!AQN28</f>
        <v>0</v>
      </c>
      <c r="APV4">
        <f>Database!AQO28</f>
        <v>0</v>
      </c>
      <c r="APW4">
        <f>Database!AQP28</f>
        <v>0</v>
      </c>
      <c r="APX4">
        <f>Database!AQQ28</f>
        <v>0</v>
      </c>
      <c r="APY4">
        <f>Database!AQR28</f>
        <v>0</v>
      </c>
      <c r="APZ4">
        <f>Database!AQS28</f>
        <v>0</v>
      </c>
      <c r="AQA4">
        <f>Database!AQT28</f>
        <v>0</v>
      </c>
      <c r="AQB4">
        <f>Database!AQU28</f>
        <v>0</v>
      </c>
      <c r="AQC4">
        <f>Database!AQV28</f>
        <v>0</v>
      </c>
      <c r="AQD4">
        <f>Database!AQW28</f>
        <v>0</v>
      </c>
      <c r="AQE4">
        <f>Database!AQX28</f>
        <v>0</v>
      </c>
      <c r="AQF4">
        <f>Database!AQY28</f>
        <v>0</v>
      </c>
      <c r="AQG4">
        <f>Database!AQZ28</f>
        <v>0</v>
      </c>
      <c r="AQH4">
        <f>Database!ARA28</f>
        <v>0</v>
      </c>
      <c r="AQI4">
        <f>Database!ARB28</f>
        <v>0</v>
      </c>
      <c r="AQJ4">
        <f>Database!ARC28</f>
        <v>0</v>
      </c>
      <c r="AQK4">
        <f>Database!ARD28</f>
        <v>0</v>
      </c>
      <c r="AQL4">
        <f>Database!ARE28</f>
        <v>0</v>
      </c>
      <c r="AQM4">
        <f>Database!ARF28</f>
        <v>0</v>
      </c>
      <c r="AQN4">
        <f>Database!ARG28</f>
        <v>0</v>
      </c>
      <c r="AQO4">
        <f>Database!ARH28</f>
        <v>0</v>
      </c>
      <c r="AQP4">
        <f>Database!ARI28</f>
        <v>0</v>
      </c>
      <c r="AQQ4">
        <f>Database!ARJ28</f>
        <v>0</v>
      </c>
      <c r="AQR4">
        <f>Database!ARK28</f>
        <v>0</v>
      </c>
      <c r="AQS4">
        <f>Database!ARL28</f>
        <v>0</v>
      </c>
      <c r="AQT4">
        <f>Database!ARM28</f>
        <v>0</v>
      </c>
      <c r="AQU4">
        <f>Database!ARN28</f>
        <v>0</v>
      </c>
      <c r="AQV4">
        <f>Database!ARO28</f>
        <v>0</v>
      </c>
      <c r="AQW4">
        <f>Database!ARP28</f>
        <v>0</v>
      </c>
      <c r="AQX4">
        <f>Database!ARQ28</f>
        <v>0</v>
      </c>
      <c r="AQY4">
        <f>Database!ARR28</f>
        <v>0</v>
      </c>
      <c r="AQZ4">
        <f>Database!ARS28</f>
        <v>0</v>
      </c>
      <c r="ARA4">
        <f>Database!ART28</f>
        <v>0</v>
      </c>
      <c r="ARB4">
        <f>Database!ARU28</f>
        <v>0</v>
      </c>
      <c r="ARC4">
        <f>Database!ARV28</f>
        <v>0</v>
      </c>
      <c r="ARD4">
        <f>Database!ARW28</f>
        <v>0</v>
      </c>
      <c r="ARE4">
        <f>Database!ARX28</f>
        <v>0</v>
      </c>
      <c r="ARF4">
        <f>Database!ARY28</f>
        <v>0</v>
      </c>
      <c r="ARG4">
        <f>Database!ARZ28</f>
        <v>0</v>
      </c>
      <c r="ARH4">
        <f>Database!ASA28</f>
        <v>0</v>
      </c>
      <c r="ARI4">
        <f>Database!ASB28</f>
        <v>0</v>
      </c>
      <c r="ARJ4">
        <f>Database!ASC28</f>
        <v>0</v>
      </c>
      <c r="ARK4">
        <f>Database!ASD28</f>
        <v>0</v>
      </c>
      <c r="ARL4">
        <f>Database!ASE28</f>
        <v>0</v>
      </c>
      <c r="ARM4">
        <f>Database!ASF28</f>
        <v>0</v>
      </c>
      <c r="ARN4">
        <f>Database!ASG28</f>
        <v>0</v>
      </c>
      <c r="ARO4">
        <f>Database!ASH28</f>
        <v>0</v>
      </c>
      <c r="ARP4">
        <f>Database!ASI28</f>
        <v>0</v>
      </c>
      <c r="ARQ4">
        <f>Database!ASJ28</f>
        <v>0</v>
      </c>
      <c r="ARR4">
        <f>Database!ASK28</f>
        <v>0</v>
      </c>
      <c r="ARS4">
        <f>Database!ASL28</f>
        <v>0</v>
      </c>
      <c r="ART4">
        <f>Database!ASM28</f>
        <v>0</v>
      </c>
      <c r="ARU4">
        <f>Database!ASN28</f>
        <v>0</v>
      </c>
      <c r="ARV4">
        <f>Database!ASO28</f>
        <v>0</v>
      </c>
      <c r="ARW4">
        <f>Database!ASP28</f>
        <v>0</v>
      </c>
      <c r="ARX4">
        <f>Database!ASQ28</f>
        <v>0</v>
      </c>
      <c r="ARY4">
        <f>Database!ASR28</f>
        <v>0</v>
      </c>
      <c r="ARZ4">
        <f>Database!ASS28</f>
        <v>0</v>
      </c>
      <c r="ASA4">
        <f>Database!AST28</f>
        <v>0</v>
      </c>
      <c r="ASB4">
        <f>Database!ASU28</f>
        <v>0</v>
      </c>
      <c r="ASC4">
        <f>Database!ASV28</f>
        <v>0</v>
      </c>
      <c r="ASD4">
        <f>Database!ASW28</f>
        <v>0</v>
      </c>
      <c r="ASE4">
        <f>Database!ASX28</f>
        <v>0</v>
      </c>
      <c r="ASF4">
        <f>Database!ASY28</f>
        <v>0</v>
      </c>
      <c r="ASG4">
        <f>Database!ASZ28</f>
        <v>0</v>
      </c>
      <c r="ASH4">
        <f>Database!ATA28</f>
        <v>0</v>
      </c>
      <c r="ASI4">
        <f>Database!ATB28</f>
        <v>0</v>
      </c>
      <c r="ASJ4">
        <f>Database!ATC28</f>
        <v>0</v>
      </c>
      <c r="ASK4">
        <f>Database!ATD28</f>
        <v>0</v>
      </c>
      <c r="ASL4">
        <f>Database!ATE28</f>
        <v>0</v>
      </c>
      <c r="ASM4">
        <f>Database!ATF28</f>
        <v>0</v>
      </c>
      <c r="ASN4">
        <f>Database!ATG28</f>
        <v>0</v>
      </c>
      <c r="ASO4">
        <f>Database!ATH28</f>
        <v>0</v>
      </c>
      <c r="ASP4">
        <f>Database!ATI28</f>
        <v>0</v>
      </c>
      <c r="ASQ4">
        <f>Database!ATJ28</f>
        <v>0</v>
      </c>
      <c r="ASR4">
        <f>Database!ATK28</f>
        <v>0</v>
      </c>
      <c r="ASS4">
        <f>Database!ATL28</f>
        <v>0</v>
      </c>
      <c r="AST4">
        <f>Database!ATM28</f>
        <v>0</v>
      </c>
      <c r="ASU4">
        <f>Database!ATN28</f>
        <v>0</v>
      </c>
      <c r="ASV4">
        <f>Database!ATO28</f>
        <v>0</v>
      </c>
      <c r="ASW4">
        <f>Database!ATP28</f>
        <v>0</v>
      </c>
      <c r="ASX4">
        <f>Database!ATQ28</f>
        <v>0</v>
      </c>
      <c r="ASY4">
        <f>Database!ATR28</f>
        <v>0</v>
      </c>
      <c r="ASZ4">
        <f>Database!ATS28</f>
        <v>0</v>
      </c>
      <c r="ATA4">
        <f>Database!ATT28</f>
        <v>0</v>
      </c>
      <c r="ATB4">
        <f>Database!ATU28</f>
        <v>0</v>
      </c>
      <c r="ATC4">
        <f>Database!ATV28</f>
        <v>0</v>
      </c>
      <c r="ATD4">
        <f>Database!ATW28</f>
        <v>0</v>
      </c>
      <c r="ATE4">
        <f>Database!ATX28</f>
        <v>0</v>
      </c>
      <c r="ATF4">
        <f>Database!ATY28</f>
        <v>0</v>
      </c>
      <c r="ATG4">
        <f>Database!ATZ28</f>
        <v>0</v>
      </c>
      <c r="ATH4">
        <f>Database!AUA28</f>
        <v>0</v>
      </c>
      <c r="ATI4">
        <f>Database!AUB28</f>
        <v>0</v>
      </c>
      <c r="ATJ4">
        <f>Database!AUC28</f>
        <v>0</v>
      </c>
      <c r="ATK4">
        <f>Database!AUD28</f>
        <v>0</v>
      </c>
      <c r="ATL4">
        <f>Database!AUE28</f>
        <v>0</v>
      </c>
      <c r="ATM4">
        <f>Database!AUF28</f>
        <v>0</v>
      </c>
      <c r="ATN4">
        <f>Database!AUG28</f>
        <v>0</v>
      </c>
      <c r="ATO4">
        <f>Database!AUH28</f>
        <v>0</v>
      </c>
      <c r="ATP4">
        <f>Database!AUI28</f>
        <v>0</v>
      </c>
      <c r="ATQ4">
        <f>Database!AUJ28</f>
        <v>0</v>
      </c>
      <c r="ATR4">
        <f>Database!AUK28</f>
        <v>0</v>
      </c>
      <c r="ATS4">
        <f>Database!AUL28</f>
        <v>0</v>
      </c>
      <c r="ATT4">
        <f>Database!AUM28</f>
        <v>0</v>
      </c>
      <c r="ATU4">
        <f>Database!AUN28</f>
        <v>0</v>
      </c>
      <c r="ATV4">
        <f>Database!AUO28</f>
        <v>0</v>
      </c>
      <c r="ATW4">
        <f>Database!AUP28</f>
        <v>0</v>
      </c>
      <c r="ATX4">
        <f>Database!AUQ28</f>
        <v>0</v>
      </c>
      <c r="ATY4">
        <f>Database!AUR28</f>
        <v>0</v>
      </c>
      <c r="ATZ4">
        <f>Database!AUS28</f>
        <v>0</v>
      </c>
      <c r="AUA4">
        <f>Database!AUT28</f>
        <v>0</v>
      </c>
      <c r="AUB4">
        <f>Database!AUU28</f>
        <v>0</v>
      </c>
      <c r="AUC4">
        <f>Database!AUV28</f>
        <v>0</v>
      </c>
      <c r="AUD4">
        <f>Database!AUW28</f>
        <v>0</v>
      </c>
      <c r="AUE4">
        <f>Database!AUX28</f>
        <v>0</v>
      </c>
      <c r="AUF4">
        <f>Database!AUY28</f>
        <v>0</v>
      </c>
      <c r="AUG4">
        <f>Database!AUZ28</f>
        <v>0</v>
      </c>
      <c r="AUH4">
        <f>Database!AVA28</f>
        <v>0</v>
      </c>
      <c r="AUI4">
        <f>Database!AVB28</f>
        <v>0</v>
      </c>
      <c r="AUJ4">
        <f>Database!AVC28</f>
        <v>0</v>
      </c>
      <c r="AUK4">
        <f>Database!AVD28</f>
        <v>0</v>
      </c>
      <c r="AUL4">
        <f>Database!AVE28</f>
        <v>0</v>
      </c>
      <c r="AUM4">
        <f>Database!AVF28</f>
        <v>0</v>
      </c>
      <c r="AUN4">
        <f>Database!AVG28</f>
        <v>0</v>
      </c>
      <c r="AUO4">
        <f>Database!AVH28</f>
        <v>0</v>
      </c>
      <c r="AUP4">
        <f>Database!AVI28</f>
        <v>0</v>
      </c>
      <c r="AUQ4">
        <f>Database!AVJ28</f>
        <v>0</v>
      </c>
      <c r="AUR4">
        <f>Database!AVK28</f>
        <v>0</v>
      </c>
      <c r="AUS4">
        <f>Database!AVL28</f>
        <v>0</v>
      </c>
      <c r="AUT4">
        <f>Database!AVM28</f>
        <v>0</v>
      </c>
      <c r="AUU4">
        <f>Database!AVN28</f>
        <v>0</v>
      </c>
      <c r="AUV4">
        <f>Database!AVO28</f>
        <v>0</v>
      </c>
      <c r="AUW4">
        <f>Database!AVP28</f>
        <v>0</v>
      </c>
      <c r="AUX4">
        <f>Database!AVQ28</f>
        <v>0</v>
      </c>
      <c r="AUY4">
        <f>Database!AVR28</f>
        <v>0</v>
      </c>
      <c r="AUZ4">
        <f>Database!AVS28</f>
        <v>0</v>
      </c>
      <c r="AVA4">
        <f>Database!AVT28</f>
        <v>0</v>
      </c>
      <c r="AVB4">
        <f>Database!AVU28</f>
        <v>0</v>
      </c>
      <c r="AVC4">
        <f>Database!AVV28</f>
        <v>0</v>
      </c>
      <c r="AVD4">
        <f>Database!AVW28</f>
        <v>0</v>
      </c>
      <c r="AVE4">
        <f>Database!AVX28</f>
        <v>0</v>
      </c>
      <c r="AVF4">
        <f>Database!AVY28</f>
        <v>0</v>
      </c>
      <c r="AVG4">
        <f>Database!AVZ28</f>
        <v>0</v>
      </c>
      <c r="AVH4">
        <f>Database!AWA28</f>
        <v>0</v>
      </c>
      <c r="AVI4">
        <f>Database!AWB28</f>
        <v>0</v>
      </c>
      <c r="AVJ4">
        <f>Database!AWC28</f>
        <v>0</v>
      </c>
      <c r="AVK4">
        <f>Database!AWD28</f>
        <v>0</v>
      </c>
      <c r="AVL4">
        <f>Database!AWE28</f>
        <v>0</v>
      </c>
      <c r="AVM4">
        <f>Database!AWF28</f>
        <v>0</v>
      </c>
      <c r="AVN4">
        <f>Database!AWG28</f>
        <v>0</v>
      </c>
      <c r="AVO4">
        <f>Database!AWH28</f>
        <v>0</v>
      </c>
      <c r="AVP4">
        <f>Database!AWI28</f>
        <v>0</v>
      </c>
      <c r="AVQ4">
        <f>Database!AWJ28</f>
        <v>0</v>
      </c>
      <c r="AVR4">
        <f>Database!AWK28</f>
        <v>0</v>
      </c>
      <c r="AVS4">
        <f>Database!AWL28</f>
        <v>0</v>
      </c>
      <c r="AVT4">
        <f>Database!AWM28</f>
        <v>0</v>
      </c>
      <c r="AVU4">
        <f>Database!AWN28</f>
        <v>0</v>
      </c>
      <c r="AVV4">
        <f>Database!AWO28</f>
        <v>0</v>
      </c>
      <c r="AVW4">
        <f>Database!AWP28</f>
        <v>0</v>
      </c>
      <c r="AVX4">
        <f>Database!AWQ28</f>
        <v>0</v>
      </c>
      <c r="AVY4">
        <f>Database!AWR28</f>
        <v>0</v>
      </c>
      <c r="AVZ4">
        <f>Database!AWS28</f>
        <v>0</v>
      </c>
      <c r="AWA4">
        <f>Database!AWT28</f>
        <v>0</v>
      </c>
      <c r="AWB4">
        <f>Database!AWU28</f>
        <v>0</v>
      </c>
      <c r="AWC4">
        <f>Database!AWV28</f>
        <v>0</v>
      </c>
      <c r="AWD4">
        <f>Database!AWW28</f>
        <v>0</v>
      </c>
      <c r="AWE4">
        <f>Database!AWX28</f>
        <v>0</v>
      </c>
      <c r="AWF4">
        <f>Database!AWY28</f>
        <v>0</v>
      </c>
      <c r="AWG4">
        <f>Database!AWZ28</f>
        <v>0</v>
      </c>
      <c r="AWH4">
        <f>Database!AXA28</f>
        <v>0</v>
      </c>
      <c r="AWI4">
        <f>Database!AXB28</f>
        <v>0</v>
      </c>
      <c r="AWJ4">
        <f>Database!AXC28</f>
        <v>0</v>
      </c>
      <c r="AWK4">
        <f>Database!AXD28</f>
        <v>0</v>
      </c>
      <c r="AWL4">
        <f>Database!AXE28</f>
        <v>0</v>
      </c>
      <c r="AWM4">
        <f>Database!AXF28</f>
        <v>0</v>
      </c>
      <c r="AWN4">
        <f>Database!AXG28</f>
        <v>0</v>
      </c>
      <c r="AWO4">
        <f>Database!AXH28</f>
        <v>0</v>
      </c>
      <c r="AWP4">
        <f>Database!AXI28</f>
        <v>0</v>
      </c>
      <c r="AWQ4">
        <f>Database!AXJ28</f>
        <v>0</v>
      </c>
      <c r="AWR4">
        <f>Database!AXK28</f>
        <v>0</v>
      </c>
      <c r="AWS4">
        <f>Database!AXL28</f>
        <v>0</v>
      </c>
      <c r="AWT4">
        <f>Database!AXM28</f>
        <v>0</v>
      </c>
      <c r="AWU4">
        <f>Database!AXN28</f>
        <v>0</v>
      </c>
      <c r="AWV4">
        <f>Database!AXO28</f>
        <v>0</v>
      </c>
      <c r="AWW4">
        <f>Database!AXP28</f>
        <v>0</v>
      </c>
      <c r="AWX4">
        <f>Database!AXQ28</f>
        <v>0</v>
      </c>
      <c r="AWY4">
        <f>Database!AXR28</f>
        <v>0</v>
      </c>
      <c r="AWZ4">
        <f>Database!AXS28</f>
        <v>0</v>
      </c>
      <c r="AXA4">
        <f>Database!AXT28</f>
        <v>0</v>
      </c>
      <c r="AXB4">
        <f>Database!AXU28</f>
        <v>0</v>
      </c>
      <c r="AXC4">
        <f>Database!AXV28</f>
        <v>0</v>
      </c>
      <c r="AXD4">
        <f>Database!AXW28</f>
        <v>0</v>
      </c>
      <c r="AXE4">
        <f>Database!AXX28</f>
        <v>0</v>
      </c>
      <c r="AXF4">
        <f>Database!AXY28</f>
        <v>0</v>
      </c>
      <c r="AXG4">
        <f>Database!AXZ28</f>
        <v>0</v>
      </c>
      <c r="AXH4">
        <f>Database!AYA28</f>
        <v>0</v>
      </c>
      <c r="AXI4">
        <f>Database!AYB28</f>
        <v>0</v>
      </c>
      <c r="AXJ4">
        <f>Database!AYC28</f>
        <v>0</v>
      </c>
      <c r="AXK4">
        <f>Database!AYD28</f>
        <v>0</v>
      </c>
      <c r="AXL4">
        <f>Database!AYE28</f>
        <v>0</v>
      </c>
      <c r="AXM4">
        <f>Database!AYF28</f>
        <v>0</v>
      </c>
      <c r="AXN4">
        <f>Database!AYG28</f>
        <v>0</v>
      </c>
      <c r="AXO4">
        <f>Database!AYH28</f>
        <v>0</v>
      </c>
      <c r="AXP4">
        <f>Database!AYI28</f>
        <v>0</v>
      </c>
      <c r="AXQ4">
        <f>Database!AYJ28</f>
        <v>0</v>
      </c>
      <c r="AXR4">
        <f>Database!AYK28</f>
        <v>0</v>
      </c>
      <c r="AXS4">
        <f>Database!AYL28</f>
        <v>0</v>
      </c>
      <c r="AXT4">
        <f>Database!AYM28</f>
        <v>0</v>
      </c>
      <c r="AXU4">
        <f>Database!AYN28</f>
        <v>0</v>
      </c>
      <c r="AXV4">
        <f>Database!AYO28</f>
        <v>0</v>
      </c>
      <c r="AXW4">
        <f>Database!AYP28</f>
        <v>0</v>
      </c>
      <c r="AXX4">
        <f>Database!AYQ28</f>
        <v>0</v>
      </c>
      <c r="AXY4">
        <f>Database!AYR28</f>
        <v>0</v>
      </c>
      <c r="AXZ4">
        <f>Database!AYS28</f>
        <v>0</v>
      </c>
      <c r="AYA4">
        <f>Database!AYT28</f>
        <v>0</v>
      </c>
      <c r="AYB4">
        <f>Database!AYU28</f>
        <v>0</v>
      </c>
      <c r="AYC4">
        <f>Database!AYV28</f>
        <v>0</v>
      </c>
      <c r="AYD4">
        <f>Database!AYW28</f>
        <v>0</v>
      </c>
      <c r="AYE4">
        <f>Database!AYX28</f>
        <v>0</v>
      </c>
      <c r="AYF4">
        <f>Database!AYY28</f>
        <v>0</v>
      </c>
      <c r="AYG4">
        <f>Database!AYZ28</f>
        <v>0</v>
      </c>
      <c r="AYH4">
        <f>Database!AZA28</f>
        <v>0</v>
      </c>
      <c r="AYI4">
        <f>Database!AZB28</f>
        <v>0</v>
      </c>
      <c r="AYJ4">
        <f>Database!AZC28</f>
        <v>0</v>
      </c>
      <c r="AYK4">
        <f>Database!AZD28</f>
        <v>0</v>
      </c>
      <c r="AYL4">
        <f>Database!AZE28</f>
        <v>0</v>
      </c>
      <c r="AYM4">
        <f>Database!AZF28</f>
        <v>0</v>
      </c>
      <c r="AYN4">
        <f>Database!AZG28</f>
        <v>0</v>
      </c>
      <c r="AYO4">
        <f>Database!AZH28</f>
        <v>0</v>
      </c>
      <c r="AYP4">
        <f>Database!AZI28</f>
        <v>0</v>
      </c>
      <c r="AYQ4">
        <f>Database!AZJ28</f>
        <v>0</v>
      </c>
      <c r="AYR4">
        <f>Database!AZK28</f>
        <v>0</v>
      </c>
      <c r="AYS4">
        <f>Database!AZL28</f>
        <v>0</v>
      </c>
      <c r="AYT4">
        <f>Database!AZM28</f>
        <v>0</v>
      </c>
      <c r="AYU4">
        <f>Database!AZN28</f>
        <v>0</v>
      </c>
      <c r="AYV4">
        <f>Database!AZO28</f>
        <v>0</v>
      </c>
      <c r="AYW4">
        <f>Database!AZP28</f>
        <v>0</v>
      </c>
      <c r="AYX4">
        <f>Database!AZQ28</f>
        <v>0</v>
      </c>
      <c r="AYY4">
        <f>Database!AZR28</f>
        <v>0</v>
      </c>
      <c r="AYZ4">
        <f>Database!AZS28</f>
        <v>0</v>
      </c>
      <c r="AZA4">
        <f>Database!AZT28</f>
        <v>0</v>
      </c>
      <c r="AZB4">
        <f>Database!AZU28</f>
        <v>0</v>
      </c>
      <c r="AZC4">
        <f>Database!AZV28</f>
        <v>0</v>
      </c>
      <c r="AZD4">
        <f>Database!AZW28</f>
        <v>0</v>
      </c>
      <c r="AZE4">
        <f>Database!AZX28</f>
        <v>0</v>
      </c>
      <c r="AZF4">
        <f>Database!AZY28</f>
        <v>0</v>
      </c>
      <c r="AZG4">
        <f>Database!AZZ28</f>
        <v>0</v>
      </c>
      <c r="AZH4">
        <f>Database!BAA28</f>
        <v>0</v>
      </c>
      <c r="AZI4">
        <f>Database!BAB28</f>
        <v>0</v>
      </c>
      <c r="AZJ4">
        <f>Database!BAC28</f>
        <v>0</v>
      </c>
      <c r="AZK4">
        <f>Database!BAD28</f>
        <v>0</v>
      </c>
      <c r="AZL4">
        <f>Database!BAE28</f>
        <v>0</v>
      </c>
      <c r="AZM4">
        <f>Database!BAF28</f>
        <v>0</v>
      </c>
      <c r="AZN4">
        <f>Database!BAG28</f>
        <v>0</v>
      </c>
      <c r="AZO4">
        <f>Database!BAH28</f>
        <v>0</v>
      </c>
      <c r="AZP4">
        <f>Database!BAI28</f>
        <v>0</v>
      </c>
      <c r="AZQ4">
        <f>Database!BAJ28</f>
        <v>0</v>
      </c>
      <c r="AZR4">
        <f>Database!BAK28</f>
        <v>0</v>
      </c>
      <c r="AZS4">
        <f>Database!BAL28</f>
        <v>0</v>
      </c>
      <c r="AZT4">
        <f>Database!BAM28</f>
        <v>0</v>
      </c>
      <c r="AZU4">
        <f>Database!BAN28</f>
        <v>0</v>
      </c>
      <c r="AZV4">
        <f>Database!BAO28</f>
        <v>0</v>
      </c>
      <c r="AZW4">
        <f>Database!BAP28</f>
        <v>0</v>
      </c>
      <c r="AZX4">
        <f>Database!BAQ28</f>
        <v>0</v>
      </c>
      <c r="AZY4">
        <f>Database!BAR28</f>
        <v>0</v>
      </c>
      <c r="AZZ4">
        <f>Database!BAS28</f>
        <v>0</v>
      </c>
      <c r="BAA4">
        <f>Database!BAT28</f>
        <v>0</v>
      </c>
      <c r="BAB4">
        <f>Database!BAU28</f>
        <v>0</v>
      </c>
      <c r="BAC4">
        <f>Database!BAV28</f>
        <v>0</v>
      </c>
      <c r="BAD4">
        <f>Database!BAW28</f>
        <v>0</v>
      </c>
      <c r="BAE4">
        <f>Database!BAX28</f>
        <v>0</v>
      </c>
      <c r="BAF4">
        <f>Database!BAY28</f>
        <v>0</v>
      </c>
      <c r="BAG4">
        <f>Database!BAZ28</f>
        <v>0</v>
      </c>
      <c r="BAH4">
        <f>Database!BBA28</f>
        <v>0</v>
      </c>
      <c r="BAI4">
        <f>Database!BBB28</f>
        <v>0</v>
      </c>
      <c r="BAJ4">
        <f>Database!BBC28</f>
        <v>0</v>
      </c>
      <c r="BAK4">
        <f>Database!BBD28</f>
        <v>0</v>
      </c>
      <c r="BAL4">
        <f>Database!BBE28</f>
        <v>0</v>
      </c>
      <c r="BAM4">
        <f>Database!BBF28</f>
        <v>0</v>
      </c>
      <c r="BAN4">
        <f>Database!BBG28</f>
        <v>0</v>
      </c>
      <c r="BAO4">
        <f>Database!BBH28</f>
        <v>0</v>
      </c>
      <c r="BAP4">
        <f>Database!BBI28</f>
        <v>0</v>
      </c>
      <c r="BAQ4">
        <f>Database!BBJ28</f>
        <v>0</v>
      </c>
      <c r="BAR4">
        <f>Database!BBK28</f>
        <v>0</v>
      </c>
      <c r="BAS4">
        <f>Database!BBL28</f>
        <v>0</v>
      </c>
      <c r="BAT4">
        <f>Database!BBM28</f>
        <v>0</v>
      </c>
      <c r="BAU4">
        <f>Database!BBN28</f>
        <v>0</v>
      </c>
      <c r="BAV4">
        <f>Database!BBO28</f>
        <v>0</v>
      </c>
      <c r="BAW4">
        <f>Database!BBP28</f>
        <v>0</v>
      </c>
      <c r="BAX4">
        <f>Database!BBQ28</f>
        <v>0</v>
      </c>
      <c r="BAY4">
        <f>Database!BBR28</f>
        <v>0</v>
      </c>
      <c r="BAZ4">
        <f>Database!BBS28</f>
        <v>0</v>
      </c>
      <c r="BBA4">
        <f>Database!BBT28</f>
        <v>0</v>
      </c>
      <c r="BBB4">
        <f>Database!BBU28</f>
        <v>0</v>
      </c>
      <c r="BBC4">
        <f>Database!BBV28</f>
        <v>0</v>
      </c>
      <c r="BBD4">
        <f>Database!BBW28</f>
        <v>0</v>
      </c>
      <c r="BBE4">
        <f>Database!BBX28</f>
        <v>0</v>
      </c>
      <c r="BBF4">
        <f>Database!BBY28</f>
        <v>0</v>
      </c>
      <c r="BBG4">
        <f>Database!BBZ28</f>
        <v>0</v>
      </c>
      <c r="BBH4">
        <f>Database!BCA28</f>
        <v>0</v>
      </c>
      <c r="BBI4">
        <f>Database!BCB28</f>
        <v>0</v>
      </c>
      <c r="BBJ4">
        <f>Database!BCC28</f>
        <v>0</v>
      </c>
      <c r="BBK4">
        <f>Database!BCD28</f>
        <v>0</v>
      </c>
      <c r="BBL4">
        <f>Database!BCE28</f>
        <v>0</v>
      </c>
      <c r="BBM4">
        <f>Database!BCF28</f>
        <v>0</v>
      </c>
      <c r="BBN4">
        <f>Database!BCG28</f>
        <v>0</v>
      </c>
      <c r="BBO4">
        <f>Database!BCH28</f>
        <v>0</v>
      </c>
      <c r="BBP4">
        <f>Database!BCI28</f>
        <v>0</v>
      </c>
      <c r="BBQ4">
        <f>Database!BCJ28</f>
        <v>0</v>
      </c>
      <c r="BBR4">
        <f>Database!BCK28</f>
        <v>0</v>
      </c>
      <c r="BBS4">
        <f>Database!BCL28</f>
        <v>0</v>
      </c>
      <c r="BBT4">
        <f>Database!BCM28</f>
        <v>0</v>
      </c>
      <c r="BBU4">
        <f>Database!BCN28</f>
        <v>0</v>
      </c>
      <c r="BBV4">
        <f>Database!BCO28</f>
        <v>0</v>
      </c>
      <c r="BBW4">
        <f>Database!BCP28</f>
        <v>0</v>
      </c>
      <c r="BBX4">
        <f>Database!BCQ28</f>
        <v>0</v>
      </c>
      <c r="BBY4">
        <f>Database!BCR28</f>
        <v>0</v>
      </c>
      <c r="BBZ4">
        <f>Database!BCS28</f>
        <v>0</v>
      </c>
      <c r="BCA4">
        <f>Database!BCT28</f>
        <v>0</v>
      </c>
      <c r="BCB4">
        <f>Database!BCU28</f>
        <v>0</v>
      </c>
      <c r="BCC4">
        <f>Database!BCV28</f>
        <v>0</v>
      </c>
      <c r="BCD4">
        <f>Database!BCW28</f>
        <v>0</v>
      </c>
      <c r="BCE4">
        <f>Database!BCX28</f>
        <v>0</v>
      </c>
      <c r="BCF4">
        <f>Database!BCY28</f>
        <v>0</v>
      </c>
      <c r="BCG4">
        <f>Database!BCZ28</f>
        <v>0</v>
      </c>
      <c r="BCH4">
        <f>Database!BDA28</f>
        <v>0</v>
      </c>
      <c r="BCI4">
        <f>Database!BDB28</f>
        <v>0</v>
      </c>
      <c r="BCJ4">
        <f>Database!BDC28</f>
        <v>0</v>
      </c>
      <c r="BCK4">
        <f>Database!BDD28</f>
        <v>0</v>
      </c>
      <c r="BCL4">
        <f>Database!BDE28</f>
        <v>0</v>
      </c>
      <c r="BCM4">
        <f>Database!BDF28</f>
        <v>0</v>
      </c>
      <c r="BCN4">
        <f>Database!BDG28</f>
        <v>0</v>
      </c>
      <c r="BCO4">
        <f>Database!BDH28</f>
        <v>0</v>
      </c>
      <c r="BCP4">
        <f>Database!BDI28</f>
        <v>0</v>
      </c>
      <c r="BCQ4">
        <f>Database!BDJ28</f>
        <v>0</v>
      </c>
      <c r="BCR4">
        <f>Database!BDK28</f>
        <v>0</v>
      </c>
      <c r="BCS4">
        <f>Database!BDL28</f>
        <v>0</v>
      </c>
      <c r="BCT4">
        <f>Database!BDM28</f>
        <v>0</v>
      </c>
      <c r="BCU4">
        <f>Database!BDN28</f>
        <v>0</v>
      </c>
      <c r="BCV4">
        <f>Database!BDO28</f>
        <v>0</v>
      </c>
      <c r="BCW4">
        <f>Database!BDP28</f>
        <v>0</v>
      </c>
      <c r="BCX4">
        <f>Database!BDQ28</f>
        <v>0</v>
      </c>
      <c r="BCY4">
        <f>Database!BDR28</f>
        <v>0</v>
      </c>
      <c r="BCZ4">
        <f>Database!BDS28</f>
        <v>0</v>
      </c>
      <c r="BDA4">
        <f>Database!BDT28</f>
        <v>0</v>
      </c>
      <c r="BDB4">
        <f>Database!BDU28</f>
        <v>0</v>
      </c>
      <c r="BDC4">
        <f>Database!BDV28</f>
        <v>0</v>
      </c>
      <c r="BDD4">
        <f>Database!BDW28</f>
        <v>0</v>
      </c>
      <c r="BDE4">
        <f>Database!BDX28</f>
        <v>0</v>
      </c>
      <c r="BDF4">
        <f>Database!BDY28</f>
        <v>0</v>
      </c>
      <c r="BDG4">
        <f>Database!BDZ28</f>
        <v>0</v>
      </c>
      <c r="BDH4">
        <f>Database!BEA28</f>
        <v>0</v>
      </c>
      <c r="BDI4">
        <f>Database!BEB28</f>
        <v>0</v>
      </c>
      <c r="BDJ4">
        <f>Database!BEC28</f>
        <v>0</v>
      </c>
      <c r="BDK4">
        <f>Database!BED28</f>
        <v>0</v>
      </c>
      <c r="BDL4">
        <f>Database!BEE28</f>
        <v>0</v>
      </c>
      <c r="BDM4">
        <f>Database!BEF28</f>
        <v>0</v>
      </c>
      <c r="BDN4">
        <f>Database!BEG28</f>
        <v>0</v>
      </c>
      <c r="BDO4">
        <f>Database!BEH28</f>
        <v>0</v>
      </c>
      <c r="BDP4">
        <f>Database!BEI28</f>
        <v>0</v>
      </c>
      <c r="BDQ4">
        <f>Database!BEJ28</f>
        <v>0</v>
      </c>
      <c r="BDR4">
        <f>Database!BEK28</f>
        <v>0</v>
      </c>
      <c r="BDS4">
        <f>Database!BEL28</f>
        <v>0</v>
      </c>
      <c r="BDT4">
        <f>Database!BEM28</f>
        <v>0</v>
      </c>
      <c r="BDU4">
        <f>Database!BEN28</f>
        <v>0</v>
      </c>
      <c r="BDV4">
        <f>Database!BEO28</f>
        <v>0</v>
      </c>
      <c r="BDW4">
        <f>Database!BEP28</f>
        <v>0</v>
      </c>
      <c r="BDX4">
        <f>Database!BEQ28</f>
        <v>0</v>
      </c>
      <c r="BDY4">
        <f>Database!BER28</f>
        <v>0</v>
      </c>
      <c r="BDZ4">
        <f>Database!BES28</f>
        <v>0</v>
      </c>
      <c r="BEA4">
        <f>Database!BET28</f>
        <v>0</v>
      </c>
      <c r="BEB4">
        <f>Database!BEU28</f>
        <v>0</v>
      </c>
      <c r="BEC4">
        <f>Database!BEV28</f>
        <v>0</v>
      </c>
      <c r="BED4">
        <f>Database!BEW28</f>
        <v>0</v>
      </c>
      <c r="BEE4">
        <f>Database!BEX28</f>
        <v>0</v>
      </c>
      <c r="BEF4">
        <f>Database!BEY28</f>
        <v>0</v>
      </c>
      <c r="BEG4">
        <f>Database!BEZ28</f>
        <v>0</v>
      </c>
      <c r="BEH4">
        <f>Database!BFA28</f>
        <v>0</v>
      </c>
      <c r="BEI4">
        <f>Database!BFB28</f>
        <v>0</v>
      </c>
      <c r="BEJ4">
        <f>Database!BFC28</f>
        <v>0</v>
      </c>
      <c r="BEK4">
        <f>Database!BFD28</f>
        <v>0</v>
      </c>
      <c r="BEL4">
        <f>Database!BFE28</f>
        <v>0</v>
      </c>
      <c r="BEM4">
        <f>Database!BFF28</f>
        <v>0</v>
      </c>
      <c r="BEN4">
        <f>Database!BFG28</f>
        <v>0</v>
      </c>
      <c r="BEO4">
        <f>Database!BFH28</f>
        <v>0</v>
      </c>
      <c r="BEP4">
        <f>Database!BFI28</f>
        <v>0</v>
      </c>
      <c r="BEQ4">
        <f>Database!BFJ28</f>
        <v>0</v>
      </c>
      <c r="BER4">
        <f>Database!BFK28</f>
        <v>0</v>
      </c>
      <c r="BES4">
        <f>Database!BFL28</f>
        <v>0</v>
      </c>
      <c r="BET4">
        <f>Database!BFM28</f>
        <v>0</v>
      </c>
      <c r="BEU4">
        <f>Database!BFN28</f>
        <v>0</v>
      </c>
      <c r="BEV4">
        <f>Database!BFO28</f>
        <v>0</v>
      </c>
      <c r="BEW4">
        <f>Database!BFP28</f>
        <v>0</v>
      </c>
      <c r="BEX4">
        <f>Database!BFQ28</f>
        <v>0</v>
      </c>
      <c r="BEY4">
        <f>Database!BFR28</f>
        <v>0</v>
      </c>
      <c r="BEZ4">
        <f>Database!BFS28</f>
        <v>0</v>
      </c>
      <c r="BFA4">
        <f>Database!BFT28</f>
        <v>0</v>
      </c>
      <c r="BFB4">
        <f>Database!BFU28</f>
        <v>0</v>
      </c>
      <c r="BFC4">
        <f>Database!BFV28</f>
        <v>0</v>
      </c>
      <c r="BFD4">
        <f>Database!BFW28</f>
        <v>0</v>
      </c>
      <c r="BFE4">
        <f>Database!BFX28</f>
        <v>0</v>
      </c>
      <c r="BFF4">
        <f>Database!BFY28</f>
        <v>0</v>
      </c>
      <c r="BFG4">
        <f>Database!BFZ28</f>
        <v>0</v>
      </c>
      <c r="BFH4">
        <f>Database!BGA28</f>
        <v>0</v>
      </c>
      <c r="BFI4">
        <f>Database!BGB28</f>
        <v>0</v>
      </c>
      <c r="BFJ4">
        <f>Database!BGC28</f>
        <v>0</v>
      </c>
      <c r="BFK4">
        <f>Database!BGD28</f>
        <v>0</v>
      </c>
      <c r="BFL4">
        <f>Database!BGE28</f>
        <v>0</v>
      </c>
      <c r="BFM4">
        <f>Database!BGF28</f>
        <v>0</v>
      </c>
      <c r="BFN4">
        <f>Database!BGG28</f>
        <v>0</v>
      </c>
      <c r="BFO4">
        <f>Database!BGH28</f>
        <v>0</v>
      </c>
      <c r="BFP4">
        <f>Database!BGI28</f>
        <v>0</v>
      </c>
      <c r="BFQ4">
        <f>Database!BGJ28</f>
        <v>0</v>
      </c>
      <c r="BFR4">
        <f>Database!BGK28</f>
        <v>0</v>
      </c>
      <c r="BFS4">
        <f>Database!BGL28</f>
        <v>0</v>
      </c>
      <c r="BFT4">
        <f>Database!BGM28</f>
        <v>0</v>
      </c>
      <c r="BFU4">
        <f>Database!BGN28</f>
        <v>0</v>
      </c>
      <c r="BFV4">
        <f>Database!BGO28</f>
        <v>0</v>
      </c>
      <c r="BFW4">
        <f>Database!BGP28</f>
        <v>0</v>
      </c>
      <c r="BFX4">
        <f>Database!BGQ28</f>
        <v>0</v>
      </c>
      <c r="BFY4">
        <f>Database!BGR28</f>
        <v>0</v>
      </c>
      <c r="BFZ4">
        <f>Database!BGS28</f>
        <v>0</v>
      </c>
      <c r="BGA4">
        <f>Database!BGT28</f>
        <v>0</v>
      </c>
      <c r="BGB4">
        <f>Database!BGU28</f>
        <v>0</v>
      </c>
      <c r="BGC4">
        <f>Database!BGV28</f>
        <v>0</v>
      </c>
      <c r="BGD4">
        <f>Database!BGW28</f>
        <v>0</v>
      </c>
      <c r="BGE4">
        <f>Database!BGX28</f>
        <v>0</v>
      </c>
      <c r="BGF4">
        <f>Database!BGY28</f>
        <v>0</v>
      </c>
      <c r="BGG4">
        <f>Database!BGZ28</f>
        <v>0</v>
      </c>
      <c r="BGH4">
        <f>Database!BHA28</f>
        <v>0</v>
      </c>
      <c r="BGI4">
        <f>Database!BHB28</f>
        <v>0</v>
      </c>
      <c r="BGJ4">
        <f>Database!BHC28</f>
        <v>0</v>
      </c>
      <c r="BGK4">
        <f>Database!BHD28</f>
        <v>0</v>
      </c>
      <c r="BGL4">
        <f>Database!BHE28</f>
        <v>0</v>
      </c>
      <c r="BGM4">
        <f>Database!BHF28</f>
        <v>0</v>
      </c>
      <c r="BGN4">
        <f>Database!BHG28</f>
        <v>0</v>
      </c>
      <c r="BGO4">
        <f>Database!BHH28</f>
        <v>0</v>
      </c>
      <c r="BGP4">
        <f>Database!BHI28</f>
        <v>0</v>
      </c>
      <c r="BGQ4">
        <f>Database!BHJ28</f>
        <v>0</v>
      </c>
      <c r="BGR4">
        <f>Database!BHK28</f>
        <v>0</v>
      </c>
      <c r="BGS4">
        <f>Database!BHL28</f>
        <v>0</v>
      </c>
      <c r="BGT4">
        <f>Database!BHM28</f>
        <v>0</v>
      </c>
      <c r="BGU4">
        <f>Database!BHN28</f>
        <v>0</v>
      </c>
      <c r="BGV4">
        <f>Database!BHO28</f>
        <v>0</v>
      </c>
      <c r="BGW4">
        <f>Database!BHP28</f>
        <v>0</v>
      </c>
      <c r="BGX4">
        <f>Database!BHQ28</f>
        <v>0</v>
      </c>
      <c r="BGY4">
        <f>Database!BHR28</f>
        <v>0</v>
      </c>
      <c r="BGZ4">
        <f>Database!BHS28</f>
        <v>0</v>
      </c>
      <c r="BHA4">
        <f>Database!BHT28</f>
        <v>0</v>
      </c>
      <c r="BHB4">
        <f>Database!BHU28</f>
        <v>0</v>
      </c>
      <c r="BHC4">
        <f>Database!BHV28</f>
        <v>0</v>
      </c>
      <c r="BHD4">
        <f>Database!BHW28</f>
        <v>0</v>
      </c>
      <c r="BHE4">
        <f>Database!BHX28</f>
        <v>0</v>
      </c>
      <c r="BHF4">
        <f>Database!BHY28</f>
        <v>0</v>
      </c>
      <c r="BHG4">
        <f>Database!BHZ28</f>
        <v>0</v>
      </c>
      <c r="BHH4">
        <f>Database!BIA28</f>
        <v>0</v>
      </c>
      <c r="BHI4">
        <f>Database!BIB28</f>
        <v>0</v>
      </c>
      <c r="BHJ4">
        <f>Database!BIC28</f>
        <v>0</v>
      </c>
      <c r="BHK4">
        <f>Database!BID28</f>
        <v>0</v>
      </c>
      <c r="BHL4">
        <f>Database!BIE28</f>
        <v>0</v>
      </c>
      <c r="BHM4">
        <f>Database!BIF28</f>
        <v>0</v>
      </c>
      <c r="BHN4">
        <f>Database!BIG28</f>
        <v>0</v>
      </c>
      <c r="BHO4">
        <f>Database!BIH28</f>
        <v>0</v>
      </c>
      <c r="BHP4">
        <f>Database!BII28</f>
        <v>0</v>
      </c>
      <c r="BHQ4">
        <f>Database!BIJ28</f>
        <v>0</v>
      </c>
      <c r="BHR4">
        <f>Database!BIK28</f>
        <v>0</v>
      </c>
      <c r="BHS4">
        <f>Database!BIL28</f>
        <v>0</v>
      </c>
      <c r="BHT4">
        <f>Database!BIM28</f>
        <v>0</v>
      </c>
      <c r="BHU4">
        <f>Database!BIN28</f>
        <v>0</v>
      </c>
      <c r="BHV4">
        <f>Database!BIO28</f>
        <v>0</v>
      </c>
      <c r="BHW4">
        <f>Database!BIP28</f>
        <v>0</v>
      </c>
      <c r="BHX4">
        <f>Database!BIQ28</f>
        <v>0</v>
      </c>
      <c r="BHY4">
        <f>Database!BIR28</f>
        <v>0</v>
      </c>
      <c r="BHZ4">
        <f>Database!BIS28</f>
        <v>0</v>
      </c>
      <c r="BIA4">
        <f>Database!BIT28</f>
        <v>0</v>
      </c>
      <c r="BIB4">
        <f>Database!BIU28</f>
        <v>0</v>
      </c>
      <c r="BIC4">
        <f>Database!BIV28</f>
        <v>0</v>
      </c>
      <c r="BID4">
        <f>Database!BIW28</f>
        <v>0</v>
      </c>
      <c r="BIE4">
        <f>Database!BIX28</f>
        <v>0</v>
      </c>
      <c r="BIF4">
        <f>Database!BIY28</f>
        <v>0</v>
      </c>
      <c r="BIG4">
        <f>Database!BIZ28</f>
        <v>0</v>
      </c>
      <c r="BIH4">
        <f>Database!BJA28</f>
        <v>0</v>
      </c>
      <c r="BII4">
        <f>Database!BJB28</f>
        <v>0</v>
      </c>
      <c r="BIJ4">
        <f>Database!BJC28</f>
        <v>0</v>
      </c>
      <c r="BIK4">
        <f>Database!BJD28</f>
        <v>0</v>
      </c>
      <c r="BIL4">
        <f>Database!BJE28</f>
        <v>0</v>
      </c>
      <c r="BIM4">
        <f>Database!BJF28</f>
        <v>0</v>
      </c>
      <c r="BIN4">
        <f>Database!BJG28</f>
        <v>0</v>
      </c>
      <c r="BIO4">
        <f>Database!BJH28</f>
        <v>0</v>
      </c>
      <c r="BIP4">
        <f>Database!BJI28</f>
        <v>0</v>
      </c>
      <c r="BIQ4">
        <f>Database!BJJ28</f>
        <v>0</v>
      </c>
      <c r="BIR4">
        <f>Database!BJK28</f>
        <v>0</v>
      </c>
      <c r="BIS4">
        <f>Database!BJL28</f>
        <v>0</v>
      </c>
      <c r="BIT4">
        <f>Database!BJM28</f>
        <v>0</v>
      </c>
      <c r="BIU4">
        <f>Database!BJN28</f>
        <v>0</v>
      </c>
      <c r="BIV4">
        <f>Database!BJO28</f>
        <v>0</v>
      </c>
      <c r="BIW4">
        <f>Database!BJP28</f>
        <v>0</v>
      </c>
      <c r="BIX4">
        <f>Database!BJQ28</f>
        <v>0</v>
      </c>
      <c r="BIY4">
        <f>Database!BJR28</f>
        <v>0</v>
      </c>
      <c r="BIZ4">
        <f>Database!BJS28</f>
        <v>0</v>
      </c>
      <c r="BJA4">
        <f>Database!BJT28</f>
        <v>0</v>
      </c>
      <c r="BJB4">
        <f>Database!BJU28</f>
        <v>0</v>
      </c>
      <c r="BJC4">
        <f>Database!BJV28</f>
        <v>0</v>
      </c>
      <c r="BJD4">
        <f>Database!BJW28</f>
        <v>0</v>
      </c>
      <c r="BJE4">
        <f>Database!BJX28</f>
        <v>0</v>
      </c>
      <c r="BJF4">
        <f>Database!BJY28</f>
        <v>0</v>
      </c>
      <c r="BJG4">
        <f>Database!BJZ28</f>
        <v>0</v>
      </c>
      <c r="BJH4">
        <f>Database!BKA28</f>
        <v>0</v>
      </c>
      <c r="BJI4">
        <f>Database!BKB28</f>
        <v>0</v>
      </c>
      <c r="BJJ4">
        <f>Database!BKC28</f>
        <v>0</v>
      </c>
      <c r="BJK4">
        <f>Database!BKD28</f>
        <v>0</v>
      </c>
      <c r="BJL4">
        <f>Database!BKE28</f>
        <v>0</v>
      </c>
      <c r="BJM4">
        <f>Database!BKF28</f>
        <v>0</v>
      </c>
      <c r="BJN4">
        <f>Database!BKG28</f>
        <v>0</v>
      </c>
      <c r="BJO4">
        <f>Database!BKH28</f>
        <v>0</v>
      </c>
      <c r="BJP4">
        <f>Database!BKI28</f>
        <v>0</v>
      </c>
      <c r="BJQ4">
        <f>Database!BKJ28</f>
        <v>0</v>
      </c>
      <c r="BJR4">
        <f>Database!BKK28</f>
        <v>0</v>
      </c>
      <c r="BJS4">
        <f>Database!BKL28</f>
        <v>0</v>
      </c>
      <c r="BJT4">
        <f>Database!BKM28</f>
        <v>0</v>
      </c>
      <c r="BJU4">
        <f>Database!BKN28</f>
        <v>0</v>
      </c>
      <c r="BJV4">
        <f>Database!BKO28</f>
        <v>0</v>
      </c>
      <c r="BJW4">
        <f>Database!BKP28</f>
        <v>0</v>
      </c>
      <c r="BJX4">
        <f>Database!BKQ28</f>
        <v>0</v>
      </c>
      <c r="BJY4">
        <f>Database!BKR28</f>
        <v>0</v>
      </c>
      <c r="BJZ4">
        <f>Database!BKS28</f>
        <v>0</v>
      </c>
      <c r="BKA4">
        <f>Database!BKT28</f>
        <v>0</v>
      </c>
      <c r="BKB4">
        <f>Database!BKU28</f>
        <v>0</v>
      </c>
      <c r="BKC4">
        <f>Database!BKV28</f>
        <v>0</v>
      </c>
      <c r="BKD4">
        <f>Database!BKW28</f>
        <v>0</v>
      </c>
      <c r="BKE4">
        <f>Database!BKX28</f>
        <v>0</v>
      </c>
      <c r="BKF4">
        <f>Database!BKY28</f>
        <v>0</v>
      </c>
      <c r="BKG4">
        <f>Database!BKZ28</f>
        <v>0</v>
      </c>
      <c r="BKH4">
        <f>Database!BLA28</f>
        <v>0</v>
      </c>
      <c r="BKI4">
        <f>Database!BLB28</f>
        <v>0</v>
      </c>
      <c r="BKJ4">
        <f>Database!BLC28</f>
        <v>0</v>
      </c>
      <c r="BKK4">
        <f>Database!BLD28</f>
        <v>0</v>
      </c>
      <c r="BKL4">
        <f>Database!BLE28</f>
        <v>0</v>
      </c>
      <c r="BKM4">
        <f>Database!BLF28</f>
        <v>0</v>
      </c>
      <c r="BKN4">
        <f>Database!BLG28</f>
        <v>0</v>
      </c>
      <c r="BKO4">
        <f>Database!BLH28</f>
        <v>0</v>
      </c>
      <c r="BKP4">
        <f>Database!BLI28</f>
        <v>0</v>
      </c>
      <c r="BKQ4">
        <f>Database!BLJ28</f>
        <v>0</v>
      </c>
      <c r="BKR4">
        <f>Database!BLK28</f>
        <v>0</v>
      </c>
      <c r="BKS4">
        <f>Database!BLL28</f>
        <v>0</v>
      </c>
      <c r="BKT4">
        <f>Database!BLM28</f>
        <v>0</v>
      </c>
      <c r="BKU4">
        <f>Database!BLN28</f>
        <v>0</v>
      </c>
      <c r="BKV4">
        <f>Database!BLO28</f>
        <v>0</v>
      </c>
      <c r="BKW4">
        <f>Database!BLP28</f>
        <v>0</v>
      </c>
      <c r="BKX4">
        <f>Database!BLQ28</f>
        <v>0</v>
      </c>
      <c r="BKY4">
        <f>Database!BLR28</f>
        <v>0</v>
      </c>
      <c r="BKZ4">
        <f>Database!BLS28</f>
        <v>0</v>
      </c>
      <c r="BLA4">
        <f>Database!BLT28</f>
        <v>0</v>
      </c>
      <c r="BLB4">
        <f>Database!BLU28</f>
        <v>0</v>
      </c>
      <c r="BLC4">
        <f>Database!BLV28</f>
        <v>0</v>
      </c>
      <c r="BLD4">
        <f>Database!BLW28</f>
        <v>0</v>
      </c>
      <c r="BLE4">
        <f>Database!BLX28</f>
        <v>0</v>
      </c>
      <c r="BLF4">
        <f>Database!BLY28</f>
        <v>0</v>
      </c>
      <c r="BLG4">
        <f>Database!BLZ28</f>
        <v>0</v>
      </c>
      <c r="BLH4">
        <f>Database!BMA28</f>
        <v>0</v>
      </c>
      <c r="BLI4">
        <f>Database!BMB28</f>
        <v>0</v>
      </c>
      <c r="BLJ4">
        <f>Database!BMC28</f>
        <v>0</v>
      </c>
      <c r="BLK4">
        <f>Database!BMD28</f>
        <v>0</v>
      </c>
      <c r="BLL4">
        <f>Database!BME28</f>
        <v>0</v>
      </c>
      <c r="BLM4">
        <f>Database!BMF28</f>
        <v>0</v>
      </c>
      <c r="BLN4">
        <f>Database!BMG28</f>
        <v>0</v>
      </c>
      <c r="BLO4">
        <f>Database!BMH28</f>
        <v>0</v>
      </c>
      <c r="BLP4">
        <f>Database!BMI28</f>
        <v>0</v>
      </c>
      <c r="BLQ4">
        <f>Database!BMJ28</f>
        <v>0</v>
      </c>
      <c r="BLR4">
        <f>Database!BMK28</f>
        <v>0</v>
      </c>
      <c r="BLS4">
        <f>Database!BML28</f>
        <v>0</v>
      </c>
      <c r="BLT4">
        <f>Database!BMM28</f>
        <v>0</v>
      </c>
      <c r="BLU4">
        <f>Database!BMN28</f>
        <v>0</v>
      </c>
      <c r="BLV4">
        <f>Database!BMO28</f>
        <v>0</v>
      </c>
      <c r="BLW4">
        <f>Database!BMP28</f>
        <v>0</v>
      </c>
      <c r="BLX4">
        <f>Database!BMQ28</f>
        <v>0</v>
      </c>
      <c r="BLY4">
        <f>Database!BMR28</f>
        <v>0</v>
      </c>
      <c r="BLZ4">
        <f>Database!BMS28</f>
        <v>0</v>
      </c>
      <c r="BMA4">
        <f>Database!BMT28</f>
        <v>0</v>
      </c>
      <c r="BMB4">
        <f>Database!BMU28</f>
        <v>0</v>
      </c>
      <c r="BMC4">
        <f>Database!BMV28</f>
        <v>0</v>
      </c>
      <c r="BMD4">
        <f>Database!BMW28</f>
        <v>0</v>
      </c>
      <c r="BME4">
        <f>Database!BMX28</f>
        <v>0</v>
      </c>
      <c r="BMF4">
        <f>Database!BMY28</f>
        <v>0</v>
      </c>
      <c r="BMG4">
        <f>Database!BMZ28</f>
        <v>0</v>
      </c>
      <c r="BMH4">
        <f>Database!BNA28</f>
        <v>0</v>
      </c>
      <c r="BMI4">
        <f>Database!BNB28</f>
        <v>0</v>
      </c>
      <c r="BMJ4">
        <f>Database!BNC28</f>
        <v>0</v>
      </c>
      <c r="BMK4">
        <f>Database!BND28</f>
        <v>0</v>
      </c>
      <c r="BML4">
        <f>Database!BNE28</f>
        <v>0</v>
      </c>
      <c r="BMM4">
        <f>Database!BNF28</f>
        <v>0</v>
      </c>
      <c r="BMN4">
        <f>Database!BNG28</f>
        <v>0</v>
      </c>
      <c r="BMO4">
        <f>Database!BNH28</f>
        <v>0</v>
      </c>
      <c r="BMP4">
        <f>Database!BNI28</f>
        <v>0</v>
      </c>
      <c r="BMQ4">
        <f>Database!BNJ28</f>
        <v>0</v>
      </c>
      <c r="BMR4">
        <f>Database!BNK28</f>
        <v>0</v>
      </c>
      <c r="BMS4">
        <f>Database!BNL28</f>
        <v>0</v>
      </c>
      <c r="BMT4">
        <f>Database!BNM28</f>
        <v>0</v>
      </c>
      <c r="BMU4">
        <f>Database!BNN28</f>
        <v>0</v>
      </c>
      <c r="BMV4">
        <f>Database!BNO28</f>
        <v>0</v>
      </c>
      <c r="BMW4">
        <f>Database!BNP28</f>
        <v>0</v>
      </c>
      <c r="BMX4">
        <f>Database!BNQ28</f>
        <v>0</v>
      </c>
      <c r="BMY4">
        <f>Database!BNR28</f>
        <v>0</v>
      </c>
      <c r="BMZ4">
        <f>Database!BNS28</f>
        <v>0</v>
      </c>
      <c r="BNA4">
        <f>Database!BNT28</f>
        <v>0</v>
      </c>
      <c r="BNB4">
        <f>Database!BNU28</f>
        <v>0</v>
      </c>
      <c r="BNC4">
        <f>Database!BNV28</f>
        <v>0</v>
      </c>
      <c r="BND4">
        <f>Database!BNW28</f>
        <v>0</v>
      </c>
      <c r="BNE4">
        <f>Database!BNX28</f>
        <v>0</v>
      </c>
      <c r="BNF4">
        <f>Database!BNY28</f>
        <v>0</v>
      </c>
      <c r="BNG4">
        <f>Database!BNZ28</f>
        <v>0</v>
      </c>
      <c r="BNH4">
        <f>Database!BOA28</f>
        <v>0</v>
      </c>
      <c r="BNI4">
        <f>Database!BOB28</f>
        <v>0</v>
      </c>
      <c r="BNJ4">
        <f>Database!BOC28</f>
        <v>0</v>
      </c>
      <c r="BNK4">
        <f>Database!BOD28</f>
        <v>0</v>
      </c>
      <c r="BNL4">
        <f>Database!BOE28</f>
        <v>0</v>
      </c>
      <c r="BNM4">
        <f>Database!BOF28</f>
        <v>0</v>
      </c>
      <c r="BNN4">
        <f>Database!BOG28</f>
        <v>0</v>
      </c>
      <c r="BNO4">
        <f>Database!BOH28</f>
        <v>0</v>
      </c>
      <c r="BNP4">
        <f>Database!BOI28</f>
        <v>0</v>
      </c>
      <c r="BNQ4">
        <f>Database!BOJ28</f>
        <v>0</v>
      </c>
      <c r="BNR4">
        <f>Database!BOK28</f>
        <v>0</v>
      </c>
      <c r="BNS4">
        <f>Database!BOL28</f>
        <v>0</v>
      </c>
      <c r="BNT4">
        <f>Database!BOM28</f>
        <v>0</v>
      </c>
      <c r="BNU4">
        <f>Database!BON28</f>
        <v>0</v>
      </c>
      <c r="BNV4">
        <f>Database!BOO28</f>
        <v>0</v>
      </c>
      <c r="BNW4">
        <f>Database!BOP28</f>
        <v>0</v>
      </c>
      <c r="BNX4">
        <f>Database!BOQ28</f>
        <v>0</v>
      </c>
      <c r="BNY4">
        <f>Database!BOR28</f>
        <v>0</v>
      </c>
      <c r="BNZ4">
        <f>Database!BOS28</f>
        <v>0</v>
      </c>
      <c r="BOA4">
        <f>Database!BOT28</f>
        <v>0</v>
      </c>
      <c r="BOB4">
        <f>Database!BOU28</f>
        <v>0</v>
      </c>
      <c r="BOC4">
        <f>Database!BOV28</f>
        <v>0</v>
      </c>
      <c r="BOD4">
        <f>Database!BOW28</f>
        <v>0</v>
      </c>
      <c r="BOE4">
        <f>Database!BOX28</f>
        <v>0</v>
      </c>
      <c r="BOF4">
        <f>Database!BOY28</f>
        <v>0</v>
      </c>
      <c r="BOG4">
        <f>Database!BOZ28</f>
        <v>0</v>
      </c>
      <c r="BOH4">
        <f>Database!BPA28</f>
        <v>0</v>
      </c>
      <c r="BOI4">
        <f>Database!BPB28</f>
        <v>0</v>
      </c>
      <c r="BOJ4">
        <f>Database!BPC28</f>
        <v>0</v>
      </c>
      <c r="BOK4">
        <f>Database!BPD28</f>
        <v>0</v>
      </c>
      <c r="BOL4">
        <f>Database!BPE28</f>
        <v>0</v>
      </c>
      <c r="BOM4">
        <f>Database!BPF28</f>
        <v>0</v>
      </c>
      <c r="BON4">
        <f>Database!BPG28</f>
        <v>0</v>
      </c>
      <c r="BOO4">
        <f>Database!BPH28</f>
        <v>0</v>
      </c>
      <c r="BOP4">
        <f>Database!BPI28</f>
        <v>0</v>
      </c>
      <c r="BOQ4">
        <f>Database!BPJ28</f>
        <v>0</v>
      </c>
      <c r="BOR4">
        <f>Database!BPK28</f>
        <v>0</v>
      </c>
      <c r="BOS4">
        <f>Database!BPL28</f>
        <v>0</v>
      </c>
      <c r="BOT4">
        <f>Database!BPM28</f>
        <v>0</v>
      </c>
      <c r="BOU4">
        <f>Database!BPN28</f>
        <v>0</v>
      </c>
      <c r="BOV4">
        <f>Database!BPO28</f>
        <v>0</v>
      </c>
      <c r="BOW4">
        <f>Database!BPP28</f>
        <v>0</v>
      </c>
      <c r="BOX4">
        <f>Database!BPQ28</f>
        <v>0</v>
      </c>
      <c r="BOY4">
        <f>Database!BPR28</f>
        <v>0</v>
      </c>
      <c r="BOZ4">
        <f>Database!BPS28</f>
        <v>0</v>
      </c>
      <c r="BPA4">
        <f>Database!BPT28</f>
        <v>0</v>
      </c>
      <c r="BPB4">
        <f>Database!BPU28</f>
        <v>0</v>
      </c>
      <c r="BPC4">
        <f>Database!BPV28</f>
        <v>0</v>
      </c>
      <c r="BPD4">
        <f>Database!BPW28</f>
        <v>0</v>
      </c>
      <c r="BPE4">
        <f>Database!BPX28</f>
        <v>0</v>
      </c>
      <c r="BPF4">
        <f>Database!BPY28</f>
        <v>0</v>
      </c>
      <c r="BPG4">
        <f>Database!BPZ28</f>
        <v>0</v>
      </c>
      <c r="BPH4">
        <f>Database!BQA28</f>
        <v>0</v>
      </c>
      <c r="BPI4">
        <f>Database!BQB28</f>
        <v>0</v>
      </c>
      <c r="BPJ4">
        <f>Database!BQC28</f>
        <v>0</v>
      </c>
      <c r="BPK4">
        <f>Database!BQD28</f>
        <v>0</v>
      </c>
      <c r="BPL4">
        <f>Database!BQE28</f>
        <v>0</v>
      </c>
      <c r="BPM4">
        <f>Database!BQF28</f>
        <v>0</v>
      </c>
      <c r="BPN4">
        <f>Database!BQG28</f>
        <v>0</v>
      </c>
      <c r="BPO4">
        <f>Database!BQH28</f>
        <v>0</v>
      </c>
      <c r="BPP4">
        <f>Database!BQI28</f>
        <v>0</v>
      </c>
      <c r="BPQ4">
        <f>Database!BQJ28</f>
        <v>0</v>
      </c>
      <c r="BPR4">
        <f>Database!BQK28</f>
        <v>0</v>
      </c>
      <c r="BPS4">
        <f>Database!BQL28</f>
        <v>0</v>
      </c>
      <c r="BPT4">
        <f>Database!BQM28</f>
        <v>0</v>
      </c>
      <c r="BPU4">
        <f>Database!BQN28</f>
        <v>0</v>
      </c>
      <c r="BPV4">
        <f>Database!BQO28</f>
        <v>0</v>
      </c>
      <c r="BPW4">
        <f>Database!BQP28</f>
        <v>0</v>
      </c>
      <c r="BPX4">
        <f>Database!BQQ28</f>
        <v>0</v>
      </c>
      <c r="BPY4">
        <f>Database!BQR28</f>
        <v>0</v>
      </c>
      <c r="BPZ4">
        <f>Database!BQS28</f>
        <v>0</v>
      </c>
      <c r="BQA4">
        <f>Database!BQT28</f>
        <v>0</v>
      </c>
      <c r="BQB4">
        <f>Database!BQU28</f>
        <v>0</v>
      </c>
      <c r="BQC4">
        <f>Database!BQV28</f>
        <v>0</v>
      </c>
      <c r="BQD4">
        <f>Database!BQW28</f>
        <v>0</v>
      </c>
      <c r="BQE4">
        <f>Database!BQX28</f>
        <v>0</v>
      </c>
      <c r="BQF4">
        <f>Database!BQY28</f>
        <v>0</v>
      </c>
      <c r="BQG4">
        <f>Database!BQZ28</f>
        <v>0</v>
      </c>
      <c r="BQH4">
        <f>Database!BRA28</f>
        <v>0</v>
      </c>
      <c r="BQI4">
        <f>Database!BRB28</f>
        <v>0</v>
      </c>
      <c r="BQJ4">
        <f>Database!BRC28</f>
        <v>0</v>
      </c>
      <c r="BQK4">
        <f>Database!BRD28</f>
        <v>0</v>
      </c>
      <c r="BQL4">
        <f>Database!BRE28</f>
        <v>0</v>
      </c>
      <c r="BQM4">
        <f>Database!BRF28</f>
        <v>0</v>
      </c>
      <c r="BQN4">
        <f>Database!BRG28</f>
        <v>0</v>
      </c>
      <c r="BQO4">
        <f>Database!BRH28</f>
        <v>0</v>
      </c>
      <c r="BQP4">
        <f>Database!BRI28</f>
        <v>0</v>
      </c>
      <c r="BQQ4">
        <f>Database!BRJ28</f>
        <v>0</v>
      </c>
      <c r="BQR4">
        <f>Database!BRK28</f>
        <v>0</v>
      </c>
      <c r="BQS4">
        <f>Database!BRL28</f>
        <v>0</v>
      </c>
      <c r="BQT4">
        <f>Database!BRM28</f>
        <v>0</v>
      </c>
      <c r="BQU4">
        <f>Database!BRN28</f>
        <v>0</v>
      </c>
      <c r="BQV4">
        <f>Database!BRO28</f>
        <v>0</v>
      </c>
      <c r="BQW4">
        <f>Database!BRP28</f>
        <v>0</v>
      </c>
      <c r="BQX4">
        <f>Database!BRQ28</f>
        <v>0</v>
      </c>
      <c r="BQY4">
        <f>Database!BRR28</f>
        <v>0</v>
      </c>
      <c r="BQZ4">
        <f>Database!BRS28</f>
        <v>0</v>
      </c>
      <c r="BRA4">
        <f>Database!BRT28</f>
        <v>0</v>
      </c>
      <c r="BRB4">
        <f>Database!BRU28</f>
        <v>0</v>
      </c>
      <c r="BRC4">
        <f>Database!BRV28</f>
        <v>0</v>
      </c>
      <c r="BRD4">
        <f>Database!BRW28</f>
        <v>0</v>
      </c>
      <c r="BRE4">
        <f>Database!BRX28</f>
        <v>0</v>
      </c>
      <c r="BRF4">
        <f>Database!BRY28</f>
        <v>0</v>
      </c>
      <c r="BRG4">
        <f>Database!BRZ28</f>
        <v>0</v>
      </c>
      <c r="BRH4">
        <f>Database!BSA28</f>
        <v>0</v>
      </c>
      <c r="BRI4">
        <f>Database!BSB28</f>
        <v>0</v>
      </c>
      <c r="BRJ4">
        <f>Database!BSC28</f>
        <v>0</v>
      </c>
      <c r="BRK4">
        <f>Database!BSD28</f>
        <v>0</v>
      </c>
      <c r="BRL4">
        <f>Database!BSE28</f>
        <v>0</v>
      </c>
      <c r="BRM4">
        <f>Database!BSF28</f>
        <v>0</v>
      </c>
      <c r="BRN4">
        <f>Database!BSG28</f>
        <v>0</v>
      </c>
      <c r="BRO4">
        <f>Database!BSH28</f>
        <v>0</v>
      </c>
      <c r="BRP4">
        <f>Database!BSI28</f>
        <v>0</v>
      </c>
      <c r="BRQ4">
        <f>Database!BSJ28</f>
        <v>0</v>
      </c>
      <c r="BRR4">
        <f>Database!BSK28</f>
        <v>0</v>
      </c>
      <c r="BRS4">
        <f>Database!BSL28</f>
        <v>0</v>
      </c>
      <c r="BRT4">
        <f>Database!BSM28</f>
        <v>0</v>
      </c>
      <c r="BRU4">
        <f>Database!BSN28</f>
        <v>0</v>
      </c>
      <c r="BRV4">
        <f>Database!BSO28</f>
        <v>0</v>
      </c>
      <c r="BRW4">
        <f>Database!BSP28</f>
        <v>0</v>
      </c>
      <c r="BRX4">
        <f>Database!BSQ28</f>
        <v>0</v>
      </c>
      <c r="BRY4">
        <f>Database!BSR28</f>
        <v>0</v>
      </c>
      <c r="BRZ4">
        <f>Database!BSS28</f>
        <v>0</v>
      </c>
      <c r="BSA4">
        <f>Database!BST28</f>
        <v>0</v>
      </c>
      <c r="BSB4">
        <f>Database!BSU28</f>
        <v>0</v>
      </c>
      <c r="BSC4">
        <f>Database!BSV28</f>
        <v>0</v>
      </c>
      <c r="BSD4">
        <f>Database!BSW28</f>
        <v>0</v>
      </c>
      <c r="BSE4">
        <f>Database!BSX28</f>
        <v>0</v>
      </c>
      <c r="BSF4">
        <f>Database!BSY28</f>
        <v>0</v>
      </c>
      <c r="BSG4">
        <f>Database!BSZ28</f>
        <v>0</v>
      </c>
      <c r="BSH4">
        <f>Database!BTA28</f>
        <v>0</v>
      </c>
      <c r="BSI4">
        <f>Database!BTB28</f>
        <v>0</v>
      </c>
      <c r="BSJ4">
        <f>Database!BTC28</f>
        <v>0</v>
      </c>
      <c r="BSK4">
        <f>Database!BTD28</f>
        <v>0</v>
      </c>
      <c r="BSL4">
        <f>Database!BTE28</f>
        <v>0</v>
      </c>
      <c r="BSM4">
        <f>Database!BTF28</f>
        <v>0</v>
      </c>
      <c r="BSN4">
        <f>Database!BTG28</f>
        <v>0</v>
      </c>
      <c r="BSO4">
        <f>Database!BTH28</f>
        <v>0</v>
      </c>
      <c r="BSP4">
        <f>Database!BTI28</f>
        <v>0</v>
      </c>
      <c r="BSQ4">
        <f>Database!BTJ28</f>
        <v>0</v>
      </c>
      <c r="BSR4">
        <f>Database!BTK28</f>
        <v>0</v>
      </c>
      <c r="BSS4">
        <f>Database!BTL28</f>
        <v>0</v>
      </c>
      <c r="BST4">
        <f>Database!BTM28</f>
        <v>0</v>
      </c>
      <c r="BSU4">
        <f>Database!BTN28</f>
        <v>0</v>
      </c>
      <c r="BSV4">
        <f>Database!BTO28</f>
        <v>0</v>
      </c>
      <c r="BSW4">
        <f>Database!BTP28</f>
        <v>0</v>
      </c>
      <c r="BSX4">
        <f>Database!BTQ28</f>
        <v>0</v>
      </c>
      <c r="BSY4">
        <f>Database!BTR28</f>
        <v>0</v>
      </c>
      <c r="BSZ4">
        <f>Database!BTS28</f>
        <v>0</v>
      </c>
      <c r="BTA4">
        <f>Database!BTT28</f>
        <v>0</v>
      </c>
      <c r="BTB4">
        <f>Database!BTU28</f>
        <v>0</v>
      </c>
      <c r="BTC4">
        <f>Database!BTV28</f>
        <v>0</v>
      </c>
      <c r="BTD4">
        <f>Database!BTW28</f>
        <v>0</v>
      </c>
      <c r="BTE4">
        <f>Database!BTX28</f>
        <v>0</v>
      </c>
      <c r="BTF4">
        <f>Database!BTY28</f>
        <v>0</v>
      </c>
      <c r="BTG4">
        <f>Database!BTZ28</f>
        <v>0</v>
      </c>
      <c r="BTH4">
        <f>Database!BUA28</f>
        <v>0</v>
      </c>
      <c r="BTI4">
        <f>Database!BUB28</f>
        <v>0</v>
      </c>
      <c r="BTJ4">
        <f>Database!BUC28</f>
        <v>0</v>
      </c>
      <c r="BTK4">
        <f>Database!BUD28</f>
        <v>0</v>
      </c>
      <c r="BTL4">
        <f>Database!BUE28</f>
        <v>0</v>
      </c>
      <c r="BTM4">
        <f>Database!BUF28</f>
        <v>0</v>
      </c>
      <c r="BTN4">
        <f>Database!BUG28</f>
        <v>0</v>
      </c>
      <c r="BTO4">
        <f>Database!BUH28</f>
        <v>0</v>
      </c>
      <c r="BTP4">
        <f>Database!BUI28</f>
        <v>0</v>
      </c>
      <c r="BTQ4">
        <f>Database!BUJ28</f>
        <v>0</v>
      </c>
      <c r="BTR4">
        <f>Database!BUK28</f>
        <v>0</v>
      </c>
      <c r="BTS4">
        <f>Database!BUL28</f>
        <v>0</v>
      </c>
      <c r="BTT4">
        <f>Database!BUM28</f>
        <v>0</v>
      </c>
      <c r="BTU4">
        <f>Database!BUN28</f>
        <v>0</v>
      </c>
      <c r="BTV4">
        <f>Database!BUO28</f>
        <v>0</v>
      </c>
      <c r="BTW4">
        <f>Database!BUP28</f>
        <v>0</v>
      </c>
      <c r="BTX4">
        <f>Database!BUQ28</f>
        <v>0</v>
      </c>
      <c r="BTY4">
        <f>Database!BUR28</f>
        <v>0</v>
      </c>
      <c r="BTZ4">
        <f>Database!BUS28</f>
        <v>0</v>
      </c>
      <c r="BUA4">
        <f>Database!BUT28</f>
        <v>0</v>
      </c>
      <c r="BUB4">
        <f>Database!BUU28</f>
        <v>0</v>
      </c>
      <c r="BUC4">
        <f>Database!BUV28</f>
        <v>0</v>
      </c>
      <c r="BUD4">
        <f>Database!BUW28</f>
        <v>0</v>
      </c>
      <c r="BUE4">
        <f>Database!BUX28</f>
        <v>0</v>
      </c>
      <c r="BUF4">
        <f>Database!BUY28</f>
        <v>0</v>
      </c>
      <c r="BUG4">
        <f>Database!BUZ28</f>
        <v>0</v>
      </c>
      <c r="BUH4">
        <f>Database!BVA28</f>
        <v>0</v>
      </c>
      <c r="BUI4">
        <f>Database!BVB28</f>
        <v>0</v>
      </c>
      <c r="BUJ4">
        <f>Database!BVC28</f>
        <v>0</v>
      </c>
      <c r="BUK4">
        <f>Database!BVD28</f>
        <v>0</v>
      </c>
      <c r="BUL4">
        <f>Database!BVE28</f>
        <v>0</v>
      </c>
      <c r="BUM4">
        <f>Database!BVF28</f>
        <v>0</v>
      </c>
      <c r="BUN4">
        <f>Database!BVG28</f>
        <v>0</v>
      </c>
      <c r="BUO4">
        <f>Database!BVH28</f>
        <v>0</v>
      </c>
      <c r="BUP4">
        <f>Database!BVI28</f>
        <v>0</v>
      </c>
      <c r="BUQ4">
        <f>Database!BVJ28</f>
        <v>0</v>
      </c>
      <c r="BUR4">
        <f>Database!BVK28</f>
        <v>0</v>
      </c>
      <c r="BUS4">
        <f>Database!BVL28</f>
        <v>0</v>
      </c>
      <c r="BUT4">
        <f>Database!BVM28</f>
        <v>0</v>
      </c>
      <c r="BUU4">
        <f>Database!BVN28</f>
        <v>0</v>
      </c>
      <c r="BUV4">
        <f>Database!BVO28</f>
        <v>0</v>
      </c>
      <c r="BUW4">
        <f>Database!BVP28</f>
        <v>0</v>
      </c>
      <c r="BUX4">
        <f>Database!BVQ28</f>
        <v>0</v>
      </c>
      <c r="BUY4">
        <f>Database!BVR28</f>
        <v>0</v>
      </c>
      <c r="BUZ4">
        <f>Database!BVS28</f>
        <v>0</v>
      </c>
      <c r="BVA4">
        <f>Database!BVT28</f>
        <v>0</v>
      </c>
      <c r="BVB4">
        <f>Database!BVU28</f>
        <v>0</v>
      </c>
      <c r="BVC4">
        <f>Database!BVV28</f>
        <v>0</v>
      </c>
      <c r="BVD4">
        <f>Database!BVW28</f>
        <v>0</v>
      </c>
      <c r="BVE4">
        <f>Database!BVX28</f>
        <v>0</v>
      </c>
      <c r="BVF4">
        <f>Database!BVY28</f>
        <v>0</v>
      </c>
      <c r="BVG4">
        <f>Database!BVZ28</f>
        <v>0</v>
      </c>
      <c r="BVH4">
        <f>Database!BWA28</f>
        <v>0</v>
      </c>
      <c r="BVI4">
        <f>Database!BWB28</f>
        <v>0</v>
      </c>
      <c r="BVJ4">
        <f>Database!BWC28</f>
        <v>0</v>
      </c>
      <c r="BVK4">
        <f>Database!BWD28</f>
        <v>0</v>
      </c>
      <c r="BVL4">
        <f>Database!BWE28</f>
        <v>0</v>
      </c>
      <c r="BVM4">
        <f>Database!BWF28</f>
        <v>0</v>
      </c>
      <c r="BVN4">
        <f>Database!BWG28</f>
        <v>0</v>
      </c>
      <c r="BVO4">
        <f>Database!BWH28</f>
        <v>0</v>
      </c>
      <c r="BVP4">
        <f>Database!BWI28</f>
        <v>0</v>
      </c>
      <c r="BVQ4">
        <f>Database!BWJ28</f>
        <v>0</v>
      </c>
      <c r="BVR4">
        <f>Database!BWK28</f>
        <v>0</v>
      </c>
      <c r="BVS4">
        <f>Database!BWL28</f>
        <v>0</v>
      </c>
      <c r="BVT4">
        <f>Database!BWM28</f>
        <v>0</v>
      </c>
      <c r="BVU4">
        <f>Database!BWN28</f>
        <v>0</v>
      </c>
      <c r="BVV4">
        <f>Database!BWO28</f>
        <v>0</v>
      </c>
      <c r="BVW4">
        <f>Database!BWP28</f>
        <v>0</v>
      </c>
      <c r="BVX4">
        <f>Database!BWQ28</f>
        <v>0</v>
      </c>
      <c r="BVY4">
        <f>Database!BWR28</f>
        <v>0</v>
      </c>
      <c r="BVZ4">
        <f>Database!BWS28</f>
        <v>0</v>
      </c>
      <c r="BWA4">
        <f>Database!BWT28</f>
        <v>0</v>
      </c>
      <c r="BWB4">
        <f>Database!BWU28</f>
        <v>0</v>
      </c>
      <c r="BWC4">
        <f>Database!BWV28</f>
        <v>0</v>
      </c>
      <c r="BWD4">
        <f>Database!BWW28</f>
        <v>0</v>
      </c>
      <c r="BWE4">
        <f>Database!BWX28</f>
        <v>0</v>
      </c>
      <c r="BWF4">
        <f>Database!BWY28</f>
        <v>0</v>
      </c>
      <c r="BWG4">
        <f>Database!BWZ28</f>
        <v>0</v>
      </c>
      <c r="BWH4">
        <f>Database!BXA28</f>
        <v>0</v>
      </c>
      <c r="BWI4">
        <f>Database!BXB28</f>
        <v>0</v>
      </c>
      <c r="BWJ4">
        <f>Database!BXC28</f>
        <v>0</v>
      </c>
      <c r="BWK4">
        <f>Database!BXD28</f>
        <v>0</v>
      </c>
      <c r="BWL4">
        <f>Database!BXE28</f>
        <v>0</v>
      </c>
      <c r="BWM4">
        <f>Database!BXF28</f>
        <v>0</v>
      </c>
      <c r="BWN4">
        <f>Database!BXG28</f>
        <v>0</v>
      </c>
      <c r="BWO4">
        <f>Database!BXH28</f>
        <v>0</v>
      </c>
      <c r="BWP4">
        <f>Database!BXI28</f>
        <v>0</v>
      </c>
      <c r="BWQ4">
        <f>Database!BXJ28</f>
        <v>0</v>
      </c>
      <c r="BWR4">
        <f>Database!BXK28</f>
        <v>0</v>
      </c>
      <c r="BWS4">
        <f>Database!BXL28</f>
        <v>0</v>
      </c>
      <c r="BWT4">
        <f>Database!BXM28</f>
        <v>0</v>
      </c>
      <c r="BWU4">
        <f>Database!BXN28</f>
        <v>0</v>
      </c>
      <c r="BWV4">
        <f>Database!BXO28</f>
        <v>0</v>
      </c>
      <c r="BWW4">
        <f>Database!BXP28</f>
        <v>0</v>
      </c>
      <c r="BWX4">
        <f>Database!BXQ28</f>
        <v>0</v>
      </c>
      <c r="BWY4">
        <f>Database!BXR28</f>
        <v>0</v>
      </c>
      <c r="BWZ4">
        <f>Database!BXS28</f>
        <v>0</v>
      </c>
      <c r="BXA4">
        <f>Database!BXT28</f>
        <v>0</v>
      </c>
      <c r="BXB4">
        <f>Database!BXU28</f>
        <v>0</v>
      </c>
      <c r="BXC4">
        <f>Database!BXV28</f>
        <v>0</v>
      </c>
      <c r="BXD4">
        <f>Database!BXW28</f>
        <v>0</v>
      </c>
      <c r="BXE4">
        <f>Database!BXX28</f>
        <v>0</v>
      </c>
      <c r="BXF4">
        <f>Database!BXY28</f>
        <v>0</v>
      </c>
      <c r="BXG4">
        <f>Database!BXZ28</f>
        <v>0</v>
      </c>
      <c r="BXH4">
        <f>Database!BYA28</f>
        <v>0</v>
      </c>
      <c r="BXI4">
        <f>Database!BYB28</f>
        <v>0</v>
      </c>
      <c r="BXJ4">
        <f>Database!BYC28</f>
        <v>0</v>
      </c>
      <c r="BXK4">
        <f>Database!BYD28</f>
        <v>0</v>
      </c>
      <c r="BXL4">
        <f>Database!BYE28</f>
        <v>0</v>
      </c>
      <c r="BXM4">
        <f>Database!BYF28</f>
        <v>0</v>
      </c>
      <c r="BXN4">
        <f>Database!BYG28</f>
        <v>0</v>
      </c>
      <c r="BXO4">
        <f>Database!BYH28</f>
        <v>0</v>
      </c>
      <c r="BXP4">
        <f>Database!BYI28</f>
        <v>0</v>
      </c>
      <c r="BXQ4">
        <f>Database!BYJ28</f>
        <v>0</v>
      </c>
      <c r="BXR4">
        <f>Database!BYK28</f>
        <v>0</v>
      </c>
      <c r="BXS4">
        <f>Database!BYL28</f>
        <v>0</v>
      </c>
      <c r="BXT4">
        <f>Database!BYM28</f>
        <v>0</v>
      </c>
      <c r="BXU4">
        <f>Database!BYN28</f>
        <v>0</v>
      </c>
      <c r="BXV4">
        <f>Database!BYO28</f>
        <v>0</v>
      </c>
      <c r="BXW4">
        <f>Database!BYP28</f>
        <v>0</v>
      </c>
      <c r="BXX4">
        <f>Database!BYQ28</f>
        <v>0</v>
      </c>
      <c r="BXY4">
        <f>Database!BYR28</f>
        <v>0</v>
      </c>
      <c r="BXZ4">
        <f>Database!BYS28</f>
        <v>0</v>
      </c>
      <c r="BYA4">
        <f>Database!BYT28</f>
        <v>0</v>
      </c>
      <c r="BYB4">
        <f>Database!BYU28</f>
        <v>0</v>
      </c>
      <c r="BYC4">
        <f>Database!BYV28</f>
        <v>0</v>
      </c>
      <c r="BYD4">
        <f>Database!BYW28</f>
        <v>0</v>
      </c>
      <c r="BYE4">
        <f>Database!BYX28</f>
        <v>0</v>
      </c>
      <c r="BYF4">
        <f>Database!BYY28</f>
        <v>0</v>
      </c>
      <c r="BYG4">
        <f>Database!BYZ28</f>
        <v>0</v>
      </c>
      <c r="BYH4">
        <f>Database!BZA28</f>
        <v>0</v>
      </c>
      <c r="BYI4">
        <f>Database!BZB28</f>
        <v>0</v>
      </c>
      <c r="BYJ4">
        <f>Database!BZC28</f>
        <v>0</v>
      </c>
      <c r="BYK4">
        <f>Database!BZD28</f>
        <v>0</v>
      </c>
      <c r="BYL4">
        <f>Database!BZE28</f>
        <v>0</v>
      </c>
      <c r="BYM4">
        <f>Database!BZF28</f>
        <v>0</v>
      </c>
      <c r="BYN4">
        <f>Database!BZG28</f>
        <v>0</v>
      </c>
      <c r="BYO4">
        <f>Database!BZH28</f>
        <v>0</v>
      </c>
      <c r="BYP4">
        <f>Database!BZI28</f>
        <v>0</v>
      </c>
      <c r="BYQ4">
        <f>Database!BZJ28</f>
        <v>0</v>
      </c>
      <c r="BYR4">
        <f>Database!BZK28</f>
        <v>0</v>
      </c>
      <c r="BYS4">
        <f>Database!BZL28</f>
        <v>0</v>
      </c>
      <c r="BYT4">
        <f>Database!BZM28</f>
        <v>0</v>
      </c>
      <c r="BYU4">
        <f>Database!BZN28</f>
        <v>0</v>
      </c>
      <c r="BYV4">
        <f>Database!BZO28</f>
        <v>0</v>
      </c>
      <c r="BYW4">
        <f>Database!BZP28</f>
        <v>0</v>
      </c>
      <c r="BYX4">
        <f>Database!BZQ28</f>
        <v>0</v>
      </c>
      <c r="BYY4">
        <f>Database!BZR28</f>
        <v>0</v>
      </c>
      <c r="BYZ4">
        <f>Database!BZS28</f>
        <v>0</v>
      </c>
      <c r="BZA4">
        <f>Database!BZT28</f>
        <v>0</v>
      </c>
      <c r="BZB4">
        <f>Database!BZU28</f>
        <v>0</v>
      </c>
      <c r="BZC4">
        <f>Database!BZV28</f>
        <v>0</v>
      </c>
      <c r="BZD4">
        <f>Database!BZW28</f>
        <v>0</v>
      </c>
      <c r="BZE4">
        <f>Database!BZX28</f>
        <v>0</v>
      </c>
      <c r="BZF4">
        <f>Database!BZY28</f>
        <v>0</v>
      </c>
      <c r="BZG4">
        <f>Database!BZZ28</f>
        <v>0</v>
      </c>
      <c r="BZH4">
        <f>Database!CAA28</f>
        <v>0</v>
      </c>
      <c r="BZI4">
        <f>Database!CAB28</f>
        <v>0</v>
      </c>
      <c r="BZJ4">
        <f>Database!CAC28</f>
        <v>0</v>
      </c>
      <c r="BZK4">
        <f>Database!CAD28</f>
        <v>0</v>
      </c>
      <c r="BZL4">
        <f>Database!CAE28</f>
        <v>0</v>
      </c>
      <c r="BZM4">
        <f>Database!CAF28</f>
        <v>0</v>
      </c>
      <c r="BZN4">
        <f>Database!CAG28</f>
        <v>0</v>
      </c>
      <c r="BZO4">
        <f>Database!CAH28</f>
        <v>0</v>
      </c>
      <c r="BZP4">
        <f>Database!CAI28</f>
        <v>0</v>
      </c>
      <c r="BZQ4">
        <f>Database!CAJ28</f>
        <v>0</v>
      </c>
      <c r="BZR4">
        <f>Database!CAK28</f>
        <v>0</v>
      </c>
      <c r="BZS4">
        <f>Database!CAL28</f>
        <v>0</v>
      </c>
      <c r="BZT4">
        <f>Database!CAM28</f>
        <v>0</v>
      </c>
      <c r="BZU4">
        <f>Database!CAN28</f>
        <v>0</v>
      </c>
      <c r="BZV4">
        <f>Database!CAO28</f>
        <v>0</v>
      </c>
      <c r="BZW4">
        <f>Database!CAP28</f>
        <v>0</v>
      </c>
      <c r="BZX4">
        <f>Database!CAQ28</f>
        <v>0</v>
      </c>
      <c r="BZY4">
        <f>Database!CAR28</f>
        <v>0</v>
      </c>
      <c r="BZZ4">
        <f>Database!CAS28</f>
        <v>0</v>
      </c>
      <c r="CAA4">
        <f>Database!CAT28</f>
        <v>0</v>
      </c>
      <c r="CAB4">
        <f>Database!CAU28</f>
        <v>0</v>
      </c>
      <c r="CAC4">
        <f>Database!CAV28</f>
        <v>0</v>
      </c>
      <c r="CAD4">
        <f>Database!CAW28</f>
        <v>0</v>
      </c>
      <c r="CAE4">
        <f>Database!CAX28</f>
        <v>0</v>
      </c>
      <c r="CAF4">
        <f>Database!CAY28</f>
        <v>0</v>
      </c>
      <c r="CAG4">
        <f>Database!CAZ28</f>
        <v>0</v>
      </c>
      <c r="CAH4">
        <f>Database!CBA28</f>
        <v>0</v>
      </c>
      <c r="CAI4">
        <f>Database!CBB28</f>
        <v>0</v>
      </c>
      <c r="CAJ4">
        <f>Database!CBC28</f>
        <v>0</v>
      </c>
      <c r="CAK4">
        <f>Database!CBD28</f>
        <v>0</v>
      </c>
      <c r="CAL4">
        <f>Database!CBE28</f>
        <v>0</v>
      </c>
      <c r="CAM4">
        <f>Database!CBF28</f>
        <v>0</v>
      </c>
      <c r="CAN4">
        <f>Database!CBG28</f>
        <v>0</v>
      </c>
      <c r="CAO4">
        <f>Database!CBH28</f>
        <v>0</v>
      </c>
      <c r="CAP4">
        <f>Database!CBI28</f>
        <v>0</v>
      </c>
      <c r="CAQ4">
        <f>Database!CBJ28</f>
        <v>0</v>
      </c>
      <c r="CAR4">
        <f>Database!CBK28</f>
        <v>0</v>
      </c>
      <c r="CAS4">
        <f>Database!CBL28</f>
        <v>0</v>
      </c>
      <c r="CAT4">
        <f>Database!CBM28</f>
        <v>0</v>
      </c>
      <c r="CAU4">
        <f>Database!CBN28</f>
        <v>0</v>
      </c>
      <c r="CAV4">
        <f>Database!CBO28</f>
        <v>0</v>
      </c>
      <c r="CAW4">
        <f>Database!CBP28</f>
        <v>0</v>
      </c>
      <c r="CAX4">
        <f>Database!CBQ28</f>
        <v>0</v>
      </c>
      <c r="CAY4">
        <f>Database!CBR28</f>
        <v>0</v>
      </c>
      <c r="CAZ4">
        <f>Database!CBS28</f>
        <v>0</v>
      </c>
      <c r="CBA4">
        <f>Database!CBT28</f>
        <v>0</v>
      </c>
      <c r="CBB4">
        <f>Database!CBU28</f>
        <v>0</v>
      </c>
      <c r="CBC4">
        <f>Database!CBV28</f>
        <v>0</v>
      </c>
      <c r="CBD4">
        <f>Database!CBW28</f>
        <v>0</v>
      </c>
      <c r="CBE4">
        <f>Database!CBX28</f>
        <v>0</v>
      </c>
      <c r="CBF4">
        <f>Database!CBY28</f>
        <v>0</v>
      </c>
      <c r="CBG4">
        <f>Database!CBZ28</f>
        <v>0</v>
      </c>
      <c r="CBH4">
        <f>Database!CCA28</f>
        <v>0</v>
      </c>
      <c r="CBI4">
        <f>Database!CCB28</f>
        <v>0</v>
      </c>
      <c r="CBJ4">
        <f>Database!CCC28</f>
        <v>0</v>
      </c>
      <c r="CBK4">
        <f>Database!CCD28</f>
        <v>0</v>
      </c>
      <c r="CBL4">
        <f>Database!CCE28</f>
        <v>0</v>
      </c>
      <c r="CBM4">
        <f>Database!CCF28</f>
        <v>0</v>
      </c>
      <c r="CBN4">
        <f>Database!CCG28</f>
        <v>0</v>
      </c>
      <c r="CBO4">
        <f>Database!CCH28</f>
        <v>0</v>
      </c>
      <c r="CBP4">
        <f>Database!CCI28</f>
        <v>0</v>
      </c>
      <c r="CBQ4">
        <f>Database!CCJ28</f>
        <v>0</v>
      </c>
      <c r="CBR4">
        <f>Database!CCK28</f>
        <v>0</v>
      </c>
      <c r="CBS4">
        <f>Database!CCL28</f>
        <v>0</v>
      </c>
      <c r="CBT4">
        <f>Database!CCM28</f>
        <v>0</v>
      </c>
      <c r="CBU4">
        <f>Database!CCN28</f>
        <v>0</v>
      </c>
      <c r="CBV4">
        <f>Database!CCO28</f>
        <v>0</v>
      </c>
      <c r="CBW4">
        <f>Database!CCP28</f>
        <v>0</v>
      </c>
      <c r="CBX4">
        <f>Database!CCQ28</f>
        <v>0</v>
      </c>
      <c r="CBY4">
        <f>Database!CCR28</f>
        <v>0</v>
      </c>
      <c r="CBZ4">
        <f>Database!CCS28</f>
        <v>0</v>
      </c>
      <c r="CCA4">
        <f>Database!CCT28</f>
        <v>0</v>
      </c>
      <c r="CCB4">
        <f>Database!CCU28</f>
        <v>0</v>
      </c>
      <c r="CCC4">
        <f>Database!CCV28</f>
        <v>0</v>
      </c>
      <c r="CCD4">
        <f>Database!CCW28</f>
        <v>0</v>
      </c>
      <c r="CCE4">
        <f>Database!CCX28</f>
        <v>0</v>
      </c>
      <c r="CCF4">
        <f>Database!CCY28</f>
        <v>0</v>
      </c>
      <c r="CCG4">
        <f>Database!CCZ28</f>
        <v>0</v>
      </c>
      <c r="CCH4">
        <f>Database!CDA28</f>
        <v>0</v>
      </c>
      <c r="CCI4">
        <f>Database!CDB28</f>
        <v>0</v>
      </c>
      <c r="CCJ4">
        <f>Database!CDC28</f>
        <v>0</v>
      </c>
      <c r="CCK4">
        <f>Database!CDD28</f>
        <v>0</v>
      </c>
      <c r="CCL4">
        <f>Database!CDE28</f>
        <v>0</v>
      </c>
      <c r="CCM4">
        <f>Database!CDF28</f>
        <v>0</v>
      </c>
      <c r="CCN4">
        <f>Database!CDG28</f>
        <v>0</v>
      </c>
      <c r="CCO4">
        <f>Database!CDH28</f>
        <v>0</v>
      </c>
      <c r="CCP4">
        <f>Database!CDI28</f>
        <v>0</v>
      </c>
      <c r="CCQ4">
        <f>Database!CDJ28</f>
        <v>0</v>
      </c>
      <c r="CCR4">
        <f>Database!CDK28</f>
        <v>0</v>
      </c>
      <c r="CCS4">
        <f>Database!CDL28</f>
        <v>0</v>
      </c>
      <c r="CCT4">
        <f>Database!CDM28</f>
        <v>0</v>
      </c>
      <c r="CCU4">
        <f>Database!CDN28</f>
        <v>0</v>
      </c>
      <c r="CCV4">
        <f>Database!CDO28</f>
        <v>0</v>
      </c>
      <c r="CCW4">
        <f>Database!CDP28</f>
        <v>0</v>
      </c>
      <c r="CCX4">
        <f>Database!CDQ28</f>
        <v>0</v>
      </c>
      <c r="CCY4">
        <f>Database!CDR28</f>
        <v>0</v>
      </c>
      <c r="CCZ4">
        <f>Database!CDS28</f>
        <v>0</v>
      </c>
      <c r="CDA4">
        <f>Database!CDT28</f>
        <v>0</v>
      </c>
      <c r="CDB4">
        <f>Database!CDU28</f>
        <v>0</v>
      </c>
      <c r="CDC4">
        <f>Database!CDV28</f>
        <v>0</v>
      </c>
      <c r="CDD4">
        <f>Database!CDW28</f>
        <v>0</v>
      </c>
      <c r="CDE4">
        <f>Database!CDX28</f>
        <v>0</v>
      </c>
      <c r="CDF4">
        <f>Database!CDY28</f>
        <v>0</v>
      </c>
      <c r="CDG4">
        <f>Database!CDZ28</f>
        <v>0</v>
      </c>
      <c r="CDH4">
        <f>Database!CEA28</f>
        <v>0</v>
      </c>
      <c r="CDI4">
        <f>Database!CEB28</f>
        <v>0</v>
      </c>
      <c r="CDJ4">
        <f>Database!CEC28</f>
        <v>0</v>
      </c>
      <c r="CDK4">
        <f>Database!CED28</f>
        <v>0</v>
      </c>
      <c r="CDL4">
        <f>Database!CEE28</f>
        <v>0</v>
      </c>
      <c r="CDM4">
        <f>Database!CEF28</f>
        <v>0</v>
      </c>
      <c r="CDN4">
        <f>Database!CEG28</f>
        <v>0</v>
      </c>
      <c r="CDO4">
        <f>Database!CEH28</f>
        <v>0</v>
      </c>
      <c r="CDP4">
        <f>Database!CEI28</f>
        <v>0</v>
      </c>
      <c r="CDQ4">
        <f>Database!CEJ28</f>
        <v>0</v>
      </c>
      <c r="CDR4">
        <f>Database!CEK28</f>
        <v>0</v>
      </c>
      <c r="CDS4">
        <f>Database!CEL28</f>
        <v>0</v>
      </c>
      <c r="CDT4">
        <f>Database!CEM28</f>
        <v>0</v>
      </c>
      <c r="CDU4">
        <f>Database!CEN28</f>
        <v>0</v>
      </c>
      <c r="CDV4">
        <f>Database!CEO28</f>
        <v>0</v>
      </c>
      <c r="CDW4">
        <f>Database!CEP28</f>
        <v>0</v>
      </c>
      <c r="CDX4">
        <f>Database!CEQ28</f>
        <v>0</v>
      </c>
      <c r="CDY4">
        <f>Database!CER28</f>
        <v>0</v>
      </c>
      <c r="CDZ4">
        <f>Database!CES28</f>
        <v>0</v>
      </c>
      <c r="CEA4">
        <f>Database!CET28</f>
        <v>0</v>
      </c>
      <c r="CEB4">
        <f>Database!CEU28</f>
        <v>0</v>
      </c>
      <c r="CEC4">
        <f>Database!CEV28</f>
        <v>0</v>
      </c>
      <c r="CED4">
        <f>Database!CEW28</f>
        <v>0</v>
      </c>
      <c r="CEE4">
        <f>Database!CEX28</f>
        <v>0</v>
      </c>
      <c r="CEF4">
        <f>Database!CEY28</f>
        <v>0</v>
      </c>
      <c r="CEG4">
        <f>Database!CEZ28</f>
        <v>0</v>
      </c>
      <c r="CEH4">
        <f>Database!CFA28</f>
        <v>0</v>
      </c>
      <c r="CEI4">
        <f>Database!CFB28</f>
        <v>0</v>
      </c>
      <c r="CEJ4">
        <f>Database!CFC28</f>
        <v>0</v>
      </c>
      <c r="CEK4">
        <f>Database!CFD28</f>
        <v>0</v>
      </c>
      <c r="CEL4">
        <f>Database!CFE28</f>
        <v>0</v>
      </c>
      <c r="CEM4">
        <f>Database!CFF28</f>
        <v>0</v>
      </c>
      <c r="CEN4">
        <f>Database!CFG28</f>
        <v>0</v>
      </c>
      <c r="CEO4">
        <f>Database!CFH28</f>
        <v>0</v>
      </c>
      <c r="CEP4">
        <f>Database!CFI28</f>
        <v>0</v>
      </c>
      <c r="CEQ4">
        <f>Database!CFJ28</f>
        <v>0</v>
      </c>
      <c r="CER4">
        <f>Database!CFK28</f>
        <v>0</v>
      </c>
      <c r="CES4">
        <f>Database!CFL28</f>
        <v>0</v>
      </c>
      <c r="CET4">
        <f>Database!CFM28</f>
        <v>0</v>
      </c>
      <c r="CEU4">
        <f>Database!CFN28</f>
        <v>0</v>
      </c>
      <c r="CEV4">
        <f>Database!CFO28</f>
        <v>0</v>
      </c>
      <c r="CEW4">
        <f>Database!CFP28</f>
        <v>0</v>
      </c>
      <c r="CEX4">
        <f>Database!CFQ28</f>
        <v>0</v>
      </c>
      <c r="CEY4">
        <f>Database!CFR28</f>
        <v>0</v>
      </c>
      <c r="CEZ4">
        <f>Database!CFS28</f>
        <v>0</v>
      </c>
      <c r="CFA4">
        <f>Database!CFT28</f>
        <v>0</v>
      </c>
      <c r="CFB4">
        <f>Database!CFU28</f>
        <v>0</v>
      </c>
      <c r="CFC4">
        <f>Database!CFV28</f>
        <v>0</v>
      </c>
      <c r="CFD4">
        <f>Database!CFW28</f>
        <v>0</v>
      </c>
      <c r="CFE4">
        <f>Database!CFX28</f>
        <v>0</v>
      </c>
      <c r="CFF4">
        <f>Database!CFY28</f>
        <v>0</v>
      </c>
      <c r="CFG4">
        <f>Database!CFZ28</f>
        <v>0</v>
      </c>
      <c r="CFH4">
        <f>Database!CGA28</f>
        <v>0</v>
      </c>
      <c r="CFI4">
        <f>Database!CGB28</f>
        <v>0</v>
      </c>
      <c r="CFJ4">
        <f>Database!CGC28</f>
        <v>0</v>
      </c>
      <c r="CFK4">
        <f>Database!CGD28</f>
        <v>0</v>
      </c>
      <c r="CFL4">
        <f>Database!CGE28</f>
        <v>0</v>
      </c>
      <c r="CFM4">
        <f>Database!CGF28</f>
        <v>0</v>
      </c>
      <c r="CFN4">
        <f>Database!CGG28</f>
        <v>0</v>
      </c>
      <c r="CFO4">
        <f>Database!CGH28</f>
        <v>0</v>
      </c>
      <c r="CFP4">
        <f>Database!CGI28</f>
        <v>0</v>
      </c>
      <c r="CFQ4">
        <f>Database!CGJ28</f>
        <v>0</v>
      </c>
      <c r="CFR4">
        <f>Database!CGK28</f>
        <v>0</v>
      </c>
      <c r="CFS4">
        <f>Database!CGL28</f>
        <v>0</v>
      </c>
      <c r="CFT4">
        <f>Database!CGM28</f>
        <v>0</v>
      </c>
      <c r="CFU4">
        <f>Database!CGN28</f>
        <v>0</v>
      </c>
      <c r="CFV4">
        <f>Database!CGO28</f>
        <v>0</v>
      </c>
      <c r="CFW4">
        <f>Database!CGP28</f>
        <v>0</v>
      </c>
      <c r="CFX4">
        <f>Database!CGQ28</f>
        <v>0</v>
      </c>
      <c r="CFY4">
        <f>Database!CGR28</f>
        <v>0</v>
      </c>
      <c r="CFZ4">
        <f>Database!CGS28</f>
        <v>0</v>
      </c>
      <c r="CGA4">
        <f>Database!CGT28</f>
        <v>0</v>
      </c>
      <c r="CGB4">
        <f>Database!CGU28</f>
        <v>0</v>
      </c>
      <c r="CGC4">
        <f>Database!CGV28</f>
        <v>0</v>
      </c>
      <c r="CGD4">
        <f>Database!CGW28</f>
        <v>0</v>
      </c>
      <c r="CGE4">
        <f>Database!CGX28</f>
        <v>0</v>
      </c>
      <c r="CGF4">
        <f>Database!CGY28</f>
        <v>0</v>
      </c>
      <c r="CGG4">
        <f>Database!CGZ28</f>
        <v>0</v>
      </c>
      <c r="CGH4">
        <f>Database!CHA28</f>
        <v>0</v>
      </c>
      <c r="CGI4">
        <f>Database!CHB28</f>
        <v>0</v>
      </c>
      <c r="CGJ4">
        <f>Database!CHC28</f>
        <v>0</v>
      </c>
      <c r="CGK4">
        <f>Database!CHD28</f>
        <v>0</v>
      </c>
      <c r="CGL4">
        <f>Database!CHE28</f>
        <v>0</v>
      </c>
      <c r="CGM4">
        <f>Database!CHF28</f>
        <v>0</v>
      </c>
      <c r="CGN4">
        <f>Database!CHG28</f>
        <v>0</v>
      </c>
      <c r="CGO4">
        <f>Database!CHH28</f>
        <v>0</v>
      </c>
      <c r="CGP4">
        <f>Database!CHI28</f>
        <v>0</v>
      </c>
      <c r="CGQ4">
        <f>Database!CHJ28</f>
        <v>0</v>
      </c>
      <c r="CGR4">
        <f>Database!CHK28</f>
        <v>0</v>
      </c>
      <c r="CGS4">
        <f>Database!CHL28</f>
        <v>0</v>
      </c>
      <c r="CGT4">
        <f>Database!CHM28</f>
        <v>0</v>
      </c>
      <c r="CGU4">
        <f>Database!CHN28</f>
        <v>0</v>
      </c>
      <c r="CGV4">
        <f>Database!CHO28</f>
        <v>0</v>
      </c>
      <c r="CGW4">
        <f>Database!CHP28</f>
        <v>0</v>
      </c>
      <c r="CGX4">
        <f>Database!CHQ28</f>
        <v>0</v>
      </c>
      <c r="CGY4">
        <f>Database!CHR28</f>
        <v>0</v>
      </c>
      <c r="CGZ4">
        <f>Database!CHS28</f>
        <v>0</v>
      </c>
      <c r="CHA4">
        <f>Database!CHT28</f>
        <v>0</v>
      </c>
      <c r="CHB4">
        <f>Database!CHU28</f>
        <v>0</v>
      </c>
      <c r="CHC4">
        <f>Database!CHV28</f>
        <v>0</v>
      </c>
      <c r="CHD4">
        <f>Database!CHW28</f>
        <v>0</v>
      </c>
      <c r="CHE4">
        <f>Database!CHX28</f>
        <v>0</v>
      </c>
      <c r="CHF4">
        <f>Database!CHY28</f>
        <v>0</v>
      </c>
      <c r="CHG4">
        <f>Database!CHZ28</f>
        <v>0</v>
      </c>
      <c r="CHH4">
        <f>Database!CIA28</f>
        <v>0</v>
      </c>
      <c r="CHI4">
        <f>Database!CIB28</f>
        <v>0</v>
      </c>
      <c r="CHJ4">
        <f>Database!CIC28</f>
        <v>0</v>
      </c>
      <c r="CHK4">
        <f>Database!CID28</f>
        <v>0</v>
      </c>
      <c r="CHL4">
        <f>Database!CIE28</f>
        <v>0</v>
      </c>
      <c r="CHM4">
        <f>Database!CIF28</f>
        <v>0</v>
      </c>
      <c r="CHN4">
        <f>Database!CIG28</f>
        <v>0</v>
      </c>
      <c r="CHO4">
        <f>Database!CIH28</f>
        <v>0</v>
      </c>
      <c r="CHP4">
        <f>Database!CII28</f>
        <v>0</v>
      </c>
      <c r="CHQ4">
        <f>Database!CIJ28</f>
        <v>0</v>
      </c>
      <c r="CHR4">
        <f>Database!CIK28</f>
        <v>0</v>
      </c>
      <c r="CHS4">
        <f>Database!CIL28</f>
        <v>0</v>
      </c>
      <c r="CHT4">
        <f>Database!CIM28</f>
        <v>0</v>
      </c>
      <c r="CHU4">
        <f>Database!CIN28</f>
        <v>0</v>
      </c>
      <c r="CHV4">
        <f>Database!CIO28</f>
        <v>0</v>
      </c>
      <c r="CHW4">
        <f>Database!CIP28</f>
        <v>0</v>
      </c>
      <c r="CHX4">
        <f>Database!CIQ28</f>
        <v>0</v>
      </c>
      <c r="CHY4">
        <f>Database!CIR28</f>
        <v>0</v>
      </c>
      <c r="CHZ4">
        <f>Database!CIS28</f>
        <v>0</v>
      </c>
      <c r="CIA4">
        <f>Database!CIT28</f>
        <v>0</v>
      </c>
      <c r="CIB4">
        <f>Database!CIU28</f>
        <v>0</v>
      </c>
      <c r="CIC4">
        <f>Database!CIV28</f>
        <v>0</v>
      </c>
      <c r="CID4">
        <f>Database!CIW28</f>
        <v>0</v>
      </c>
      <c r="CIE4">
        <f>Database!CIX28</f>
        <v>0</v>
      </c>
      <c r="CIF4">
        <f>Database!CIY28</f>
        <v>0</v>
      </c>
      <c r="CIG4">
        <f>Database!CIZ28</f>
        <v>0</v>
      </c>
      <c r="CIH4">
        <f>Database!CJA28</f>
        <v>0</v>
      </c>
      <c r="CII4">
        <f>Database!CJB28</f>
        <v>0</v>
      </c>
      <c r="CIJ4">
        <f>Database!CJC28</f>
        <v>0</v>
      </c>
      <c r="CIK4">
        <f>Database!CJD28</f>
        <v>0</v>
      </c>
      <c r="CIL4">
        <f>Database!CJE28</f>
        <v>0</v>
      </c>
      <c r="CIM4">
        <f>Database!CJF28</f>
        <v>0</v>
      </c>
      <c r="CIN4">
        <f>Database!CJG28</f>
        <v>0</v>
      </c>
      <c r="CIO4">
        <f>Database!CJH28</f>
        <v>0</v>
      </c>
      <c r="CIP4">
        <f>Database!CJI28</f>
        <v>0</v>
      </c>
      <c r="CIQ4">
        <f>Database!CJJ28</f>
        <v>0</v>
      </c>
      <c r="CIR4">
        <f>Database!CJK28</f>
        <v>0</v>
      </c>
      <c r="CIS4">
        <f>Database!CJL28</f>
        <v>0</v>
      </c>
      <c r="CIT4">
        <f>Database!CJM28</f>
        <v>0</v>
      </c>
      <c r="CIU4">
        <f>Database!CJN28</f>
        <v>0</v>
      </c>
      <c r="CIV4">
        <f>Database!CJO28</f>
        <v>0</v>
      </c>
      <c r="CIW4">
        <f>Database!CJP28</f>
        <v>0</v>
      </c>
      <c r="CIX4">
        <f>Database!CJQ28</f>
        <v>0</v>
      </c>
      <c r="CIY4">
        <f>Database!CJR28</f>
        <v>0</v>
      </c>
      <c r="CIZ4">
        <f>Database!CJS28</f>
        <v>0</v>
      </c>
      <c r="CJA4">
        <f>Database!CJT28</f>
        <v>0</v>
      </c>
      <c r="CJB4">
        <f>Database!CJU28</f>
        <v>0</v>
      </c>
      <c r="CJC4">
        <f>Database!CJV28</f>
        <v>0</v>
      </c>
      <c r="CJD4">
        <f>Database!CJW28</f>
        <v>0</v>
      </c>
      <c r="CJE4">
        <f>Database!CJX28</f>
        <v>0</v>
      </c>
      <c r="CJF4">
        <f>Database!CJY28</f>
        <v>0</v>
      </c>
      <c r="CJG4">
        <f>Database!CJZ28</f>
        <v>0</v>
      </c>
      <c r="CJH4">
        <f>Database!CKA28</f>
        <v>0</v>
      </c>
      <c r="CJI4">
        <f>Database!CKB28</f>
        <v>0</v>
      </c>
      <c r="CJJ4">
        <f>Database!CKC28</f>
        <v>0</v>
      </c>
      <c r="CJK4">
        <f>Database!CKD28</f>
        <v>0</v>
      </c>
      <c r="CJL4">
        <f>Database!CKE28</f>
        <v>0</v>
      </c>
      <c r="CJM4">
        <f>Database!CKF28</f>
        <v>0</v>
      </c>
      <c r="CJN4">
        <f>Database!CKG28</f>
        <v>0</v>
      </c>
      <c r="CJO4">
        <f>Database!CKH28</f>
        <v>0</v>
      </c>
      <c r="CJP4">
        <f>Database!CKI28</f>
        <v>0</v>
      </c>
      <c r="CJQ4">
        <f>Database!CKJ28</f>
        <v>0</v>
      </c>
      <c r="CJR4">
        <f>Database!CKK28</f>
        <v>0</v>
      </c>
      <c r="CJS4">
        <f>Database!CKL28</f>
        <v>0</v>
      </c>
      <c r="CJT4">
        <f>Database!CKM28</f>
        <v>0</v>
      </c>
      <c r="CJU4">
        <f>Database!CKN28</f>
        <v>0</v>
      </c>
      <c r="CJV4">
        <f>Database!CKO28</f>
        <v>0</v>
      </c>
      <c r="CJW4">
        <f>Database!CKP28</f>
        <v>0</v>
      </c>
      <c r="CJX4">
        <f>Database!CKQ28</f>
        <v>0</v>
      </c>
      <c r="CJY4">
        <f>Database!CKR28</f>
        <v>0</v>
      </c>
      <c r="CJZ4">
        <f>Database!CKS28</f>
        <v>0</v>
      </c>
      <c r="CKA4">
        <f>Database!CKT28</f>
        <v>0</v>
      </c>
      <c r="CKB4">
        <f>Database!CKU28</f>
        <v>0</v>
      </c>
      <c r="CKC4">
        <f>Database!CKV28</f>
        <v>0</v>
      </c>
      <c r="CKD4">
        <f>Database!CKW28</f>
        <v>0</v>
      </c>
      <c r="CKE4">
        <f>Database!CKX28</f>
        <v>0</v>
      </c>
      <c r="CKF4">
        <f>Database!CKY28</f>
        <v>0</v>
      </c>
      <c r="CKG4">
        <f>Database!CKZ28</f>
        <v>0</v>
      </c>
      <c r="CKH4">
        <f>Database!CLA28</f>
        <v>0</v>
      </c>
      <c r="CKI4">
        <f>Database!CLB28</f>
        <v>0</v>
      </c>
      <c r="CKJ4">
        <f>Database!CLC28</f>
        <v>0</v>
      </c>
      <c r="CKK4">
        <f>Database!CLD28</f>
        <v>0</v>
      </c>
      <c r="CKL4">
        <f>Database!CLE28</f>
        <v>0</v>
      </c>
      <c r="CKM4">
        <f>Database!CLF28</f>
        <v>0</v>
      </c>
      <c r="CKN4">
        <f>Database!CLG28</f>
        <v>0</v>
      </c>
      <c r="CKO4">
        <f>Database!CLH28</f>
        <v>0</v>
      </c>
      <c r="CKP4">
        <f>Database!CLI28</f>
        <v>0</v>
      </c>
      <c r="CKQ4">
        <f>Database!CLJ28</f>
        <v>0</v>
      </c>
      <c r="CKR4">
        <f>Database!CLK28</f>
        <v>0</v>
      </c>
      <c r="CKS4">
        <f>Database!CLL28</f>
        <v>0</v>
      </c>
      <c r="CKT4">
        <f>Database!CLM28</f>
        <v>0</v>
      </c>
      <c r="CKU4">
        <f>Database!CLN28</f>
        <v>0</v>
      </c>
      <c r="CKV4">
        <f>Database!CLO28</f>
        <v>0</v>
      </c>
      <c r="CKW4">
        <f>Database!CLP28</f>
        <v>0</v>
      </c>
      <c r="CKX4">
        <f>Database!CLQ28</f>
        <v>0</v>
      </c>
      <c r="CKY4">
        <f>Database!CLR28</f>
        <v>0</v>
      </c>
      <c r="CKZ4">
        <f>Database!CLS28</f>
        <v>0</v>
      </c>
      <c r="CLA4">
        <f>Database!CLT28</f>
        <v>0</v>
      </c>
      <c r="CLB4">
        <f>Database!CLU28</f>
        <v>0</v>
      </c>
      <c r="CLC4">
        <f>Database!CLV28</f>
        <v>0</v>
      </c>
      <c r="CLD4">
        <f>Database!CLW28</f>
        <v>0</v>
      </c>
      <c r="CLE4">
        <f>Database!CLX28</f>
        <v>0</v>
      </c>
      <c r="CLF4">
        <f>Database!CLY28</f>
        <v>0</v>
      </c>
      <c r="CLG4">
        <f>Database!CLZ28</f>
        <v>0</v>
      </c>
      <c r="CLH4">
        <f>Database!CMA28</f>
        <v>0</v>
      </c>
      <c r="CLI4">
        <f>Database!CMB28</f>
        <v>0</v>
      </c>
      <c r="CLJ4">
        <f>Database!CMC28</f>
        <v>0</v>
      </c>
      <c r="CLK4">
        <f>Database!CMD28</f>
        <v>0</v>
      </c>
      <c r="CLL4">
        <f>Database!CME28</f>
        <v>0</v>
      </c>
      <c r="CLM4">
        <f>Database!CMF28</f>
        <v>0</v>
      </c>
      <c r="CLN4">
        <f>Database!CMG28</f>
        <v>0</v>
      </c>
      <c r="CLO4">
        <f>Database!CMH28</f>
        <v>0</v>
      </c>
      <c r="CLP4">
        <f>Database!CMI28</f>
        <v>0</v>
      </c>
      <c r="CLQ4">
        <f>Database!CMJ28</f>
        <v>0</v>
      </c>
      <c r="CLR4">
        <f>Database!CMK28</f>
        <v>0</v>
      </c>
      <c r="CLS4">
        <f>Database!CML28</f>
        <v>0</v>
      </c>
      <c r="CLT4">
        <f>Database!CMM28</f>
        <v>0</v>
      </c>
      <c r="CLU4">
        <f>Database!CMN28</f>
        <v>0</v>
      </c>
      <c r="CLV4">
        <f>Database!CMO28</f>
        <v>0</v>
      </c>
      <c r="CLW4">
        <f>Database!CMP28</f>
        <v>0</v>
      </c>
      <c r="CLX4">
        <f>Database!CMQ28</f>
        <v>0</v>
      </c>
      <c r="CLY4">
        <f>Database!CMR28</f>
        <v>0</v>
      </c>
      <c r="CLZ4">
        <f>Database!CMS28</f>
        <v>0</v>
      </c>
      <c r="CMA4">
        <f>Database!CMT28</f>
        <v>0</v>
      </c>
      <c r="CMB4">
        <f>Database!CMU28</f>
        <v>0</v>
      </c>
      <c r="CMC4">
        <f>Database!CMV28</f>
        <v>0</v>
      </c>
      <c r="CMD4">
        <f>Database!CMW28</f>
        <v>0</v>
      </c>
      <c r="CME4">
        <f>Database!CMX28</f>
        <v>0</v>
      </c>
      <c r="CMF4">
        <f>Database!CMY28</f>
        <v>0</v>
      </c>
      <c r="CMG4">
        <f>Database!CMZ28</f>
        <v>0</v>
      </c>
      <c r="CMH4">
        <f>Database!CNA28</f>
        <v>0</v>
      </c>
      <c r="CMI4">
        <f>Database!CNB28</f>
        <v>0</v>
      </c>
      <c r="CMJ4">
        <f>Database!CNC28</f>
        <v>0</v>
      </c>
      <c r="CMK4">
        <f>Database!CND28</f>
        <v>0</v>
      </c>
      <c r="CML4">
        <f>Database!CNE28</f>
        <v>0</v>
      </c>
      <c r="CMM4">
        <f>Database!CNF28</f>
        <v>0</v>
      </c>
      <c r="CMN4">
        <f>Database!CNG28</f>
        <v>0</v>
      </c>
      <c r="CMO4">
        <f>Database!CNH28</f>
        <v>0</v>
      </c>
      <c r="CMP4">
        <f>Database!CNI28</f>
        <v>0</v>
      </c>
      <c r="CMQ4">
        <f>Database!CNJ28</f>
        <v>0</v>
      </c>
      <c r="CMR4">
        <f>Database!CNK28</f>
        <v>0</v>
      </c>
      <c r="CMS4">
        <f>Database!CNL28</f>
        <v>0</v>
      </c>
      <c r="CMT4">
        <f>Database!CNM28</f>
        <v>0</v>
      </c>
      <c r="CMU4">
        <f>Database!CNN28</f>
        <v>0</v>
      </c>
      <c r="CMV4">
        <f>Database!CNO28</f>
        <v>0</v>
      </c>
      <c r="CMW4">
        <f>Database!CNP28</f>
        <v>0</v>
      </c>
      <c r="CMX4">
        <f>Database!CNQ28</f>
        <v>0</v>
      </c>
      <c r="CMY4">
        <f>Database!CNR28</f>
        <v>0</v>
      </c>
      <c r="CMZ4">
        <f>Database!CNS28</f>
        <v>0</v>
      </c>
      <c r="CNA4">
        <f>Database!CNT28</f>
        <v>0</v>
      </c>
      <c r="CNB4">
        <f>Database!CNU28</f>
        <v>0</v>
      </c>
      <c r="CNC4">
        <f>Database!CNV28</f>
        <v>0</v>
      </c>
      <c r="CND4">
        <f>Database!CNW28</f>
        <v>0</v>
      </c>
      <c r="CNE4">
        <f>Database!CNX28</f>
        <v>0</v>
      </c>
      <c r="CNF4">
        <f>Database!CNY28</f>
        <v>0</v>
      </c>
      <c r="CNG4">
        <f>Database!CNZ28</f>
        <v>0</v>
      </c>
      <c r="CNH4">
        <f>Database!COA28</f>
        <v>0</v>
      </c>
      <c r="CNI4">
        <f>Database!COB28</f>
        <v>0</v>
      </c>
      <c r="CNJ4">
        <f>Database!COC28</f>
        <v>0</v>
      </c>
      <c r="CNK4">
        <f>Database!COD28</f>
        <v>0</v>
      </c>
      <c r="CNL4">
        <f>Database!COE28</f>
        <v>0</v>
      </c>
      <c r="CNM4">
        <f>Database!COF28</f>
        <v>0</v>
      </c>
      <c r="CNN4">
        <f>Database!COG28</f>
        <v>0</v>
      </c>
      <c r="CNO4">
        <f>Database!COH28</f>
        <v>0</v>
      </c>
      <c r="CNP4">
        <f>Database!COI28</f>
        <v>0</v>
      </c>
      <c r="CNQ4">
        <f>Database!COJ28</f>
        <v>0</v>
      </c>
      <c r="CNR4">
        <f>Database!COK28</f>
        <v>0</v>
      </c>
      <c r="CNS4">
        <f>Database!COL28</f>
        <v>0</v>
      </c>
      <c r="CNT4">
        <f>Database!COM28</f>
        <v>0</v>
      </c>
      <c r="CNU4">
        <f>Database!CON28</f>
        <v>0</v>
      </c>
      <c r="CNV4">
        <f>Database!COO28</f>
        <v>0</v>
      </c>
      <c r="CNW4">
        <f>Database!COP28</f>
        <v>0</v>
      </c>
      <c r="CNX4">
        <f>Database!COQ28</f>
        <v>0</v>
      </c>
      <c r="CNY4">
        <f>Database!COR28</f>
        <v>0</v>
      </c>
      <c r="CNZ4">
        <f>Database!COS28</f>
        <v>0</v>
      </c>
      <c r="COA4">
        <f>Database!COT28</f>
        <v>0</v>
      </c>
      <c r="COB4">
        <f>Database!COU28</f>
        <v>0</v>
      </c>
      <c r="COC4">
        <f>Database!COV28</f>
        <v>0</v>
      </c>
      <c r="COD4">
        <f>Database!COW28</f>
        <v>0</v>
      </c>
      <c r="COE4">
        <f>Database!COX28</f>
        <v>0</v>
      </c>
      <c r="COF4">
        <f>Database!COY28</f>
        <v>0</v>
      </c>
      <c r="COG4">
        <f>Database!COZ28</f>
        <v>0</v>
      </c>
      <c r="COH4">
        <f>Database!CPA28</f>
        <v>0</v>
      </c>
      <c r="COI4">
        <f>Database!CPB28</f>
        <v>0</v>
      </c>
      <c r="COJ4">
        <f>Database!CPC28</f>
        <v>0</v>
      </c>
      <c r="COK4">
        <f>Database!CPD28</f>
        <v>0</v>
      </c>
      <c r="COL4">
        <f>Database!CPE28</f>
        <v>0</v>
      </c>
      <c r="COM4">
        <f>Database!CPF28</f>
        <v>0</v>
      </c>
      <c r="CON4">
        <f>Database!CPG28</f>
        <v>0</v>
      </c>
      <c r="COO4">
        <f>Database!CPH28</f>
        <v>0</v>
      </c>
      <c r="COP4">
        <f>Database!CPI28</f>
        <v>0</v>
      </c>
      <c r="COQ4">
        <f>Database!CPJ28</f>
        <v>0</v>
      </c>
      <c r="COR4">
        <f>Database!CPK28</f>
        <v>0</v>
      </c>
      <c r="COS4">
        <f>Database!CPL28</f>
        <v>0</v>
      </c>
      <c r="COT4">
        <f>Database!CPM28</f>
        <v>0</v>
      </c>
      <c r="COU4">
        <f>Database!CPN28</f>
        <v>0</v>
      </c>
      <c r="COV4">
        <f>Database!CPO28</f>
        <v>0</v>
      </c>
      <c r="COW4">
        <f>Database!CPP28</f>
        <v>0</v>
      </c>
      <c r="COX4">
        <f>Database!CPQ28</f>
        <v>0</v>
      </c>
      <c r="COY4">
        <f>Database!CPR28</f>
        <v>0</v>
      </c>
      <c r="COZ4">
        <f>Database!CPS28</f>
        <v>0</v>
      </c>
      <c r="CPA4">
        <f>Database!CPT28</f>
        <v>0</v>
      </c>
      <c r="CPB4">
        <f>Database!CPU28</f>
        <v>0</v>
      </c>
      <c r="CPC4">
        <f>Database!CPV28</f>
        <v>0</v>
      </c>
      <c r="CPD4">
        <f>Database!CPW28</f>
        <v>0</v>
      </c>
      <c r="CPE4">
        <f>Database!CPX28</f>
        <v>0</v>
      </c>
      <c r="CPF4">
        <f>Database!CPY28</f>
        <v>0</v>
      </c>
      <c r="CPG4">
        <f>Database!CPZ28</f>
        <v>0</v>
      </c>
      <c r="CPH4">
        <f>Database!CQA28</f>
        <v>0</v>
      </c>
      <c r="CPI4">
        <f>Database!CQB28</f>
        <v>0</v>
      </c>
      <c r="CPJ4">
        <f>Database!CQC28</f>
        <v>0</v>
      </c>
      <c r="CPK4">
        <f>Database!CQD28</f>
        <v>0</v>
      </c>
      <c r="CPL4">
        <f>Database!CQE28</f>
        <v>0</v>
      </c>
      <c r="CPM4">
        <f>Database!CQF28</f>
        <v>0</v>
      </c>
      <c r="CPN4">
        <f>Database!CQG28</f>
        <v>0</v>
      </c>
      <c r="CPO4">
        <f>Database!CQH28</f>
        <v>0</v>
      </c>
      <c r="CPP4">
        <f>Database!CQI28</f>
        <v>0</v>
      </c>
      <c r="CPQ4">
        <f>Database!CQJ28</f>
        <v>0</v>
      </c>
      <c r="CPR4">
        <f>Database!CQK28</f>
        <v>0</v>
      </c>
      <c r="CPS4">
        <f>Database!CQL28</f>
        <v>0</v>
      </c>
      <c r="CPT4">
        <f>Database!CQM28</f>
        <v>0</v>
      </c>
      <c r="CPU4">
        <f>Database!CQN28</f>
        <v>0</v>
      </c>
      <c r="CPV4">
        <f>Database!CQO28</f>
        <v>0</v>
      </c>
      <c r="CPW4">
        <f>Database!CQP28</f>
        <v>0</v>
      </c>
      <c r="CPX4">
        <f>Database!CQQ28</f>
        <v>0</v>
      </c>
      <c r="CPY4">
        <f>Database!CQR28</f>
        <v>0</v>
      </c>
      <c r="CPZ4">
        <f>Database!CQS28</f>
        <v>0</v>
      </c>
      <c r="CQA4">
        <f>Database!CQT28</f>
        <v>0</v>
      </c>
      <c r="CQB4">
        <f>Database!CQU28</f>
        <v>0</v>
      </c>
      <c r="CQC4">
        <f>Database!CQV28</f>
        <v>0</v>
      </c>
      <c r="CQD4">
        <f>Database!CQW28</f>
        <v>0</v>
      </c>
      <c r="CQE4">
        <f>Database!CQX28</f>
        <v>0</v>
      </c>
      <c r="CQF4">
        <f>Database!CQY28</f>
        <v>0</v>
      </c>
      <c r="CQG4">
        <f>Database!CQZ28</f>
        <v>0</v>
      </c>
      <c r="CQH4">
        <f>Database!CRA28</f>
        <v>0</v>
      </c>
      <c r="CQI4">
        <f>Database!CRB28</f>
        <v>0</v>
      </c>
      <c r="CQJ4">
        <f>Database!CRC28</f>
        <v>0</v>
      </c>
      <c r="CQK4">
        <f>Database!CRD28</f>
        <v>0</v>
      </c>
      <c r="CQL4">
        <f>Database!CRE28</f>
        <v>0</v>
      </c>
      <c r="CQM4">
        <f>Database!CRF28</f>
        <v>0</v>
      </c>
      <c r="CQN4">
        <f>Database!CRG28</f>
        <v>0</v>
      </c>
      <c r="CQO4">
        <f>Database!CRH28</f>
        <v>0</v>
      </c>
      <c r="CQP4">
        <f>Database!CRI28</f>
        <v>0</v>
      </c>
      <c r="CQQ4">
        <f>Database!CRJ28</f>
        <v>0</v>
      </c>
      <c r="CQR4">
        <f>Database!CRK28</f>
        <v>0</v>
      </c>
      <c r="CQS4">
        <f>Database!CRL28</f>
        <v>0</v>
      </c>
      <c r="CQT4">
        <f>Database!CRM28</f>
        <v>0</v>
      </c>
      <c r="CQU4">
        <f>Database!CRN28</f>
        <v>0</v>
      </c>
      <c r="CQV4">
        <f>Database!CRO28</f>
        <v>0</v>
      </c>
      <c r="CQW4">
        <f>Database!CRP28</f>
        <v>0</v>
      </c>
      <c r="CQX4">
        <f>Database!CRQ28</f>
        <v>0</v>
      </c>
      <c r="CQY4">
        <f>Database!CRR28</f>
        <v>0</v>
      </c>
      <c r="CQZ4">
        <f>Database!CRS28</f>
        <v>0</v>
      </c>
      <c r="CRA4">
        <f>Database!CRT28</f>
        <v>0</v>
      </c>
      <c r="CRB4">
        <f>Database!CRU28</f>
        <v>0</v>
      </c>
      <c r="CRC4">
        <f>Database!CRV28</f>
        <v>0</v>
      </c>
      <c r="CRD4">
        <f>Database!CRW28</f>
        <v>0</v>
      </c>
      <c r="CRE4">
        <f>Database!CRX28</f>
        <v>0</v>
      </c>
      <c r="CRF4">
        <f>Database!CRY28</f>
        <v>0</v>
      </c>
      <c r="CRG4">
        <f>Database!CRZ28</f>
        <v>0</v>
      </c>
      <c r="CRH4">
        <f>Database!CSA28</f>
        <v>0</v>
      </c>
      <c r="CRI4">
        <f>Database!CSB28</f>
        <v>0</v>
      </c>
      <c r="CRJ4">
        <f>Database!CSC28</f>
        <v>0</v>
      </c>
      <c r="CRK4">
        <f>Database!CSD28</f>
        <v>0</v>
      </c>
      <c r="CRL4">
        <f>Database!CSE28</f>
        <v>0</v>
      </c>
      <c r="CRM4">
        <f>Database!CSF28</f>
        <v>0</v>
      </c>
      <c r="CRN4">
        <f>Database!CSG28</f>
        <v>0</v>
      </c>
      <c r="CRO4">
        <f>Database!CSH28</f>
        <v>0</v>
      </c>
      <c r="CRP4">
        <f>Database!CSI28</f>
        <v>0</v>
      </c>
      <c r="CRQ4">
        <f>Database!CSJ28</f>
        <v>0</v>
      </c>
      <c r="CRR4">
        <f>Database!CSK28</f>
        <v>0</v>
      </c>
      <c r="CRS4">
        <f>Database!CSL28</f>
        <v>0</v>
      </c>
      <c r="CRT4">
        <f>Database!CSM28</f>
        <v>0</v>
      </c>
      <c r="CRU4">
        <f>Database!CSN28</f>
        <v>0</v>
      </c>
      <c r="CRV4">
        <f>Database!CSO28</f>
        <v>0</v>
      </c>
      <c r="CRW4">
        <f>Database!CSP28</f>
        <v>0</v>
      </c>
      <c r="CRX4">
        <f>Database!CSQ28</f>
        <v>0</v>
      </c>
      <c r="CRY4">
        <f>Database!CSR28</f>
        <v>0</v>
      </c>
      <c r="CRZ4">
        <f>Database!CSS28</f>
        <v>0</v>
      </c>
      <c r="CSA4">
        <f>Database!CST28</f>
        <v>0</v>
      </c>
      <c r="CSB4">
        <f>Database!CSU28</f>
        <v>0</v>
      </c>
      <c r="CSC4">
        <f>Database!CSV28</f>
        <v>0</v>
      </c>
      <c r="CSD4">
        <f>Database!CSW28</f>
        <v>0</v>
      </c>
      <c r="CSE4">
        <f>Database!CSX28</f>
        <v>0</v>
      </c>
      <c r="CSF4">
        <f>Database!CSY28</f>
        <v>0</v>
      </c>
      <c r="CSG4">
        <f>Database!CSZ28</f>
        <v>0</v>
      </c>
      <c r="CSH4">
        <f>Database!CTA28</f>
        <v>0</v>
      </c>
      <c r="CSI4">
        <f>Database!CTB28</f>
        <v>0</v>
      </c>
      <c r="CSJ4">
        <f>Database!CTC28</f>
        <v>0</v>
      </c>
      <c r="CSK4">
        <f>Database!CTD28</f>
        <v>0</v>
      </c>
      <c r="CSL4">
        <f>Database!CTE28</f>
        <v>0</v>
      </c>
      <c r="CSM4">
        <f>Database!CTF28</f>
        <v>0</v>
      </c>
      <c r="CSN4">
        <f>Database!CTG28</f>
        <v>0</v>
      </c>
      <c r="CSO4">
        <f>Database!CTH28</f>
        <v>0</v>
      </c>
      <c r="CSP4">
        <f>Database!CTI28</f>
        <v>0</v>
      </c>
      <c r="CSQ4">
        <f>Database!CTJ28</f>
        <v>0</v>
      </c>
      <c r="CSR4">
        <f>Database!CTK28</f>
        <v>0</v>
      </c>
      <c r="CSS4">
        <f>Database!CTL28</f>
        <v>0</v>
      </c>
      <c r="CST4">
        <f>Database!CTM28</f>
        <v>0</v>
      </c>
      <c r="CSU4">
        <f>Database!CTN28</f>
        <v>0</v>
      </c>
      <c r="CSV4">
        <f>Database!CTO28</f>
        <v>0</v>
      </c>
      <c r="CSW4">
        <f>Database!CTP28</f>
        <v>0</v>
      </c>
      <c r="CSX4">
        <f>Database!CTQ28</f>
        <v>0</v>
      </c>
      <c r="CSY4">
        <f>Database!CTR28</f>
        <v>0</v>
      </c>
      <c r="CSZ4">
        <f>Database!CTS28</f>
        <v>0</v>
      </c>
      <c r="CTA4">
        <f>Database!CTT28</f>
        <v>0</v>
      </c>
      <c r="CTB4">
        <f>Database!CTU28</f>
        <v>0</v>
      </c>
      <c r="CTC4">
        <f>Database!CTV28</f>
        <v>0</v>
      </c>
      <c r="CTD4">
        <f>Database!CTW28</f>
        <v>0</v>
      </c>
      <c r="CTE4">
        <f>Database!CTX28</f>
        <v>0</v>
      </c>
      <c r="CTF4">
        <f>Database!CTY28</f>
        <v>0</v>
      </c>
      <c r="CTG4">
        <f>Database!CTZ28</f>
        <v>0</v>
      </c>
      <c r="CTH4">
        <f>Database!CUA28</f>
        <v>0</v>
      </c>
      <c r="CTI4">
        <f>Database!CUB28</f>
        <v>0</v>
      </c>
      <c r="CTJ4">
        <f>Database!CUC28</f>
        <v>0</v>
      </c>
      <c r="CTK4">
        <f>Database!CUD28</f>
        <v>0</v>
      </c>
      <c r="CTL4">
        <f>Database!CUE28</f>
        <v>0</v>
      </c>
      <c r="CTM4">
        <f>Database!CUF28</f>
        <v>0</v>
      </c>
      <c r="CTN4">
        <f>Database!CUG28</f>
        <v>0</v>
      </c>
      <c r="CTO4">
        <f>Database!CUH28</f>
        <v>0</v>
      </c>
      <c r="CTP4">
        <f>Database!CUI28</f>
        <v>0</v>
      </c>
      <c r="CTQ4">
        <f>Database!CUJ28</f>
        <v>0</v>
      </c>
      <c r="CTR4">
        <f>Database!CUK28</f>
        <v>0</v>
      </c>
      <c r="CTS4">
        <f>Database!CUL28</f>
        <v>0</v>
      </c>
      <c r="CTT4">
        <f>Database!CUM28</f>
        <v>0</v>
      </c>
      <c r="CTU4">
        <f>Database!CUN28</f>
        <v>0</v>
      </c>
      <c r="CTV4">
        <f>Database!CUO28</f>
        <v>0</v>
      </c>
      <c r="CTW4">
        <f>Database!CUP28</f>
        <v>0</v>
      </c>
      <c r="CTX4">
        <f>Database!CUQ28</f>
        <v>0</v>
      </c>
      <c r="CTY4">
        <f>Database!CUR28</f>
        <v>0</v>
      </c>
      <c r="CTZ4">
        <f>Database!CUS28</f>
        <v>0</v>
      </c>
      <c r="CUA4">
        <f>Database!CUT28</f>
        <v>0</v>
      </c>
      <c r="CUB4">
        <f>Database!CUU28</f>
        <v>0</v>
      </c>
      <c r="CUC4">
        <f>Database!CUV28</f>
        <v>0</v>
      </c>
      <c r="CUD4">
        <f>Database!CUW28</f>
        <v>0</v>
      </c>
      <c r="CUE4">
        <f>Database!CUX28</f>
        <v>0</v>
      </c>
      <c r="CUF4">
        <f>Database!CUY28</f>
        <v>0</v>
      </c>
      <c r="CUG4">
        <f>Database!CUZ28</f>
        <v>0</v>
      </c>
      <c r="CUH4">
        <f>Database!CVA28</f>
        <v>0</v>
      </c>
      <c r="CUI4">
        <f>Database!CVB28</f>
        <v>0</v>
      </c>
      <c r="CUJ4">
        <f>Database!CVC28</f>
        <v>0</v>
      </c>
      <c r="CUK4">
        <f>Database!CVD28</f>
        <v>0</v>
      </c>
      <c r="CUL4">
        <f>Database!CVE28</f>
        <v>0</v>
      </c>
      <c r="CUM4">
        <f>Database!CVF28</f>
        <v>0</v>
      </c>
      <c r="CUN4">
        <f>Database!CVG28</f>
        <v>0</v>
      </c>
      <c r="CUO4">
        <f>Database!CVH28</f>
        <v>0</v>
      </c>
      <c r="CUP4">
        <f>Database!CVI28</f>
        <v>0</v>
      </c>
      <c r="CUQ4">
        <f>Database!CVJ28</f>
        <v>0</v>
      </c>
      <c r="CUR4">
        <f>Database!CVK28</f>
        <v>0</v>
      </c>
      <c r="CUS4">
        <f>Database!CVL28</f>
        <v>0</v>
      </c>
      <c r="CUT4">
        <f>Database!CVM28</f>
        <v>0</v>
      </c>
      <c r="CUU4">
        <f>Database!CVN28</f>
        <v>0</v>
      </c>
      <c r="CUV4">
        <f>Database!CVO28</f>
        <v>0</v>
      </c>
      <c r="CUW4">
        <f>Database!CVP28</f>
        <v>0</v>
      </c>
      <c r="CUX4">
        <f>Database!CVQ28</f>
        <v>0</v>
      </c>
      <c r="CUY4">
        <f>Database!CVR28</f>
        <v>0</v>
      </c>
      <c r="CUZ4">
        <f>Database!CVS28</f>
        <v>0</v>
      </c>
      <c r="CVA4">
        <f>Database!CVT28</f>
        <v>0</v>
      </c>
      <c r="CVB4">
        <f>Database!CVU28</f>
        <v>0</v>
      </c>
      <c r="CVC4">
        <f>Database!CVV28</f>
        <v>0</v>
      </c>
      <c r="CVD4">
        <f>Database!CVW28</f>
        <v>0</v>
      </c>
      <c r="CVE4">
        <f>Database!CVX28</f>
        <v>0</v>
      </c>
      <c r="CVF4">
        <f>Database!CVY28</f>
        <v>0</v>
      </c>
      <c r="CVG4">
        <f>Database!CVZ28</f>
        <v>0</v>
      </c>
      <c r="CVH4">
        <f>Database!CWA28</f>
        <v>0</v>
      </c>
      <c r="CVI4">
        <f>Database!CWB28</f>
        <v>0</v>
      </c>
      <c r="CVJ4">
        <f>Database!CWC28</f>
        <v>0</v>
      </c>
      <c r="CVK4">
        <f>Database!CWD28</f>
        <v>0</v>
      </c>
      <c r="CVL4">
        <f>Database!CWE28</f>
        <v>0</v>
      </c>
      <c r="CVM4">
        <f>Database!CWF28</f>
        <v>0</v>
      </c>
      <c r="CVN4">
        <f>Database!CWG28</f>
        <v>0</v>
      </c>
      <c r="CVO4">
        <f>Database!CWH28</f>
        <v>0</v>
      </c>
      <c r="CVP4">
        <f>Database!CWI28</f>
        <v>0</v>
      </c>
      <c r="CVQ4">
        <f>Database!CWJ28</f>
        <v>0</v>
      </c>
      <c r="CVR4">
        <f>Database!CWK28</f>
        <v>0</v>
      </c>
      <c r="CVS4">
        <f>Database!CWL28</f>
        <v>0</v>
      </c>
      <c r="CVT4">
        <f>Database!CWM28</f>
        <v>0</v>
      </c>
      <c r="CVU4">
        <f>Database!CWN28</f>
        <v>0</v>
      </c>
      <c r="CVV4">
        <f>Database!CWO28</f>
        <v>0</v>
      </c>
      <c r="CVW4">
        <f>Database!CWP28</f>
        <v>0</v>
      </c>
      <c r="CVX4">
        <f>Database!CWQ28</f>
        <v>0</v>
      </c>
      <c r="CVY4">
        <f>Database!CWR28</f>
        <v>0</v>
      </c>
      <c r="CVZ4">
        <f>Database!CWS28</f>
        <v>0</v>
      </c>
      <c r="CWA4">
        <f>Database!CWT28</f>
        <v>0</v>
      </c>
      <c r="CWB4">
        <f>Database!CWU28</f>
        <v>0</v>
      </c>
      <c r="CWC4">
        <f>Database!CWV28</f>
        <v>0</v>
      </c>
      <c r="CWD4">
        <f>Database!CWW28</f>
        <v>0</v>
      </c>
      <c r="CWE4">
        <f>Database!CWX28</f>
        <v>0</v>
      </c>
      <c r="CWF4">
        <f>Database!CWY28</f>
        <v>0</v>
      </c>
      <c r="CWG4">
        <f>Database!CWZ28</f>
        <v>0</v>
      </c>
      <c r="CWH4">
        <f>Database!CXA28</f>
        <v>0</v>
      </c>
      <c r="CWI4">
        <f>Database!CXB28</f>
        <v>0</v>
      </c>
      <c r="CWJ4">
        <f>Database!CXC28</f>
        <v>0</v>
      </c>
      <c r="CWK4">
        <f>Database!CXD28</f>
        <v>0</v>
      </c>
      <c r="CWL4">
        <f>Database!CXE28</f>
        <v>0</v>
      </c>
      <c r="CWM4">
        <f>Database!CXF28</f>
        <v>0</v>
      </c>
      <c r="CWN4">
        <f>Database!CXG28</f>
        <v>0</v>
      </c>
      <c r="CWO4">
        <f>Database!CXH28</f>
        <v>0</v>
      </c>
      <c r="CWP4">
        <f>Database!CXI28</f>
        <v>0</v>
      </c>
      <c r="CWQ4">
        <f>Database!CXJ28</f>
        <v>0</v>
      </c>
      <c r="CWR4">
        <f>Database!CXK28</f>
        <v>0</v>
      </c>
      <c r="CWS4">
        <f>Database!CXL28</f>
        <v>0</v>
      </c>
      <c r="CWT4">
        <f>Database!CXM28</f>
        <v>0</v>
      </c>
      <c r="CWU4">
        <f>Database!CXN28</f>
        <v>0</v>
      </c>
      <c r="CWV4">
        <f>Database!CXO28</f>
        <v>0</v>
      </c>
      <c r="CWW4">
        <f>Database!CXP28</f>
        <v>0</v>
      </c>
      <c r="CWX4">
        <f>Database!CXQ28</f>
        <v>0</v>
      </c>
      <c r="CWY4">
        <f>Database!CXR28</f>
        <v>0</v>
      </c>
      <c r="CWZ4">
        <f>Database!CXS28</f>
        <v>0</v>
      </c>
      <c r="CXA4">
        <f>Database!CXT28</f>
        <v>0</v>
      </c>
      <c r="CXB4">
        <f>Database!CXU28</f>
        <v>0</v>
      </c>
      <c r="CXC4">
        <f>Database!CXV28</f>
        <v>0</v>
      </c>
      <c r="CXD4">
        <f>Database!CXW28</f>
        <v>0</v>
      </c>
      <c r="CXE4">
        <f>Database!CXX28</f>
        <v>0</v>
      </c>
      <c r="CXF4">
        <f>Database!CXY28</f>
        <v>0</v>
      </c>
      <c r="CXG4">
        <f>Database!CXZ28</f>
        <v>0</v>
      </c>
      <c r="CXH4">
        <f>Database!CYA28</f>
        <v>0</v>
      </c>
      <c r="CXI4">
        <f>Database!CYB28</f>
        <v>0</v>
      </c>
      <c r="CXJ4">
        <f>Database!CYC28</f>
        <v>0</v>
      </c>
      <c r="CXK4">
        <f>Database!CYD28</f>
        <v>0</v>
      </c>
      <c r="CXL4">
        <f>Database!CYE28</f>
        <v>0</v>
      </c>
      <c r="CXM4">
        <f>Database!CYF28</f>
        <v>0</v>
      </c>
      <c r="CXN4">
        <f>Database!CYG28</f>
        <v>0</v>
      </c>
      <c r="CXO4">
        <f>Database!CYH28</f>
        <v>0</v>
      </c>
      <c r="CXP4">
        <f>Database!CYI28</f>
        <v>0</v>
      </c>
      <c r="CXQ4">
        <f>Database!CYJ28</f>
        <v>0</v>
      </c>
      <c r="CXR4">
        <f>Database!CYK28</f>
        <v>0</v>
      </c>
      <c r="CXS4">
        <f>Database!CYL28</f>
        <v>0</v>
      </c>
      <c r="CXT4">
        <f>Database!CYM28</f>
        <v>0</v>
      </c>
      <c r="CXU4">
        <f>Database!CYN28</f>
        <v>0</v>
      </c>
      <c r="CXV4">
        <f>Database!CYO28</f>
        <v>0</v>
      </c>
      <c r="CXW4">
        <f>Database!CYP28</f>
        <v>0</v>
      </c>
      <c r="CXX4">
        <f>Database!CYQ28</f>
        <v>0</v>
      </c>
      <c r="CXY4">
        <f>Database!CYR28</f>
        <v>0</v>
      </c>
      <c r="CXZ4">
        <f>Database!CYS28</f>
        <v>0</v>
      </c>
      <c r="CYA4">
        <f>Database!CYT28</f>
        <v>0</v>
      </c>
      <c r="CYB4">
        <f>Database!CYU28</f>
        <v>0</v>
      </c>
      <c r="CYC4">
        <f>Database!CYV28</f>
        <v>0</v>
      </c>
      <c r="CYD4">
        <f>Database!CYW28</f>
        <v>0</v>
      </c>
      <c r="CYE4">
        <f>Database!CYX28</f>
        <v>0</v>
      </c>
      <c r="CYF4">
        <f>Database!CYY28</f>
        <v>0</v>
      </c>
      <c r="CYG4">
        <f>Database!CYZ28</f>
        <v>0</v>
      </c>
      <c r="CYH4">
        <f>Database!CZA28</f>
        <v>0</v>
      </c>
      <c r="CYI4">
        <f>Database!CZB28</f>
        <v>0</v>
      </c>
      <c r="CYJ4">
        <f>Database!CZC28</f>
        <v>0</v>
      </c>
      <c r="CYK4">
        <f>Database!CZD28</f>
        <v>0</v>
      </c>
      <c r="CYL4">
        <f>Database!CZE28</f>
        <v>0</v>
      </c>
      <c r="CYM4">
        <f>Database!CZF28</f>
        <v>0</v>
      </c>
      <c r="CYN4">
        <f>Database!CZG28</f>
        <v>0</v>
      </c>
      <c r="CYO4">
        <f>Database!CZH28</f>
        <v>0</v>
      </c>
      <c r="CYP4">
        <f>Database!CZI28</f>
        <v>0</v>
      </c>
      <c r="CYQ4">
        <f>Database!CZJ28</f>
        <v>0</v>
      </c>
      <c r="CYR4">
        <f>Database!CZK28</f>
        <v>0</v>
      </c>
      <c r="CYS4">
        <f>Database!CZL28</f>
        <v>0</v>
      </c>
      <c r="CYT4">
        <f>Database!CZM28</f>
        <v>0</v>
      </c>
      <c r="CYU4">
        <f>Database!CZN28</f>
        <v>0</v>
      </c>
      <c r="CYV4">
        <f>Database!CZO28</f>
        <v>0</v>
      </c>
      <c r="CYW4">
        <f>Database!CZP28</f>
        <v>0</v>
      </c>
      <c r="CYX4">
        <f>Database!CZQ28</f>
        <v>0</v>
      </c>
      <c r="CYY4">
        <f>Database!CZR28</f>
        <v>0</v>
      </c>
      <c r="CYZ4">
        <f>Database!CZS28</f>
        <v>0</v>
      </c>
      <c r="CZA4">
        <f>Database!CZT28</f>
        <v>0</v>
      </c>
      <c r="CZB4">
        <f>Database!CZU28</f>
        <v>0</v>
      </c>
      <c r="CZC4">
        <f>Database!CZV28</f>
        <v>0</v>
      </c>
      <c r="CZD4">
        <f>Database!CZW28</f>
        <v>0</v>
      </c>
      <c r="CZE4">
        <f>Database!CZX28</f>
        <v>0</v>
      </c>
      <c r="CZF4">
        <f>Database!CZY28</f>
        <v>0</v>
      </c>
      <c r="CZG4">
        <f>Database!CZZ28</f>
        <v>0</v>
      </c>
      <c r="CZH4">
        <f>Database!DAA28</f>
        <v>0</v>
      </c>
      <c r="CZI4">
        <f>Database!DAB28</f>
        <v>0</v>
      </c>
      <c r="CZJ4">
        <f>Database!DAC28</f>
        <v>0</v>
      </c>
      <c r="CZK4">
        <f>Database!DAD28</f>
        <v>0</v>
      </c>
      <c r="CZL4">
        <f>Database!DAE28</f>
        <v>0</v>
      </c>
      <c r="CZM4">
        <f>Database!DAF28</f>
        <v>0</v>
      </c>
      <c r="CZN4">
        <f>Database!DAG28</f>
        <v>0</v>
      </c>
      <c r="CZO4">
        <f>Database!DAH28</f>
        <v>0</v>
      </c>
      <c r="CZP4">
        <f>Database!DAI28</f>
        <v>0</v>
      </c>
      <c r="CZQ4">
        <f>Database!DAJ28</f>
        <v>0</v>
      </c>
      <c r="CZR4">
        <f>Database!DAK28</f>
        <v>0</v>
      </c>
      <c r="CZS4">
        <f>Database!DAL28</f>
        <v>0</v>
      </c>
      <c r="CZT4">
        <f>Database!DAM28</f>
        <v>0</v>
      </c>
      <c r="CZU4">
        <f>Database!DAN28</f>
        <v>0</v>
      </c>
      <c r="CZV4">
        <f>Database!DAO28</f>
        <v>0</v>
      </c>
      <c r="CZW4">
        <f>Database!DAP28</f>
        <v>0</v>
      </c>
      <c r="CZX4">
        <f>Database!DAQ28</f>
        <v>0</v>
      </c>
      <c r="CZY4">
        <f>Database!DAR28</f>
        <v>0</v>
      </c>
      <c r="CZZ4">
        <f>Database!DAS28</f>
        <v>0</v>
      </c>
      <c r="DAA4">
        <f>Database!DAT28</f>
        <v>0</v>
      </c>
      <c r="DAB4">
        <f>Database!DAU28</f>
        <v>0</v>
      </c>
      <c r="DAC4">
        <f>Database!DAV28</f>
        <v>0</v>
      </c>
      <c r="DAD4">
        <f>Database!DAW28</f>
        <v>0</v>
      </c>
      <c r="DAE4">
        <f>Database!DAX28</f>
        <v>0</v>
      </c>
      <c r="DAF4">
        <f>Database!DAY28</f>
        <v>0</v>
      </c>
      <c r="DAG4">
        <f>Database!DAZ28</f>
        <v>0</v>
      </c>
      <c r="DAH4">
        <f>Database!DBA28</f>
        <v>0</v>
      </c>
      <c r="DAI4">
        <f>Database!DBB28</f>
        <v>0</v>
      </c>
      <c r="DAJ4">
        <f>Database!DBC28</f>
        <v>0</v>
      </c>
      <c r="DAK4">
        <f>Database!DBD28</f>
        <v>0</v>
      </c>
      <c r="DAL4">
        <f>Database!DBE28</f>
        <v>0</v>
      </c>
      <c r="DAM4">
        <f>Database!DBF28</f>
        <v>0</v>
      </c>
      <c r="DAN4">
        <f>Database!DBG28</f>
        <v>0</v>
      </c>
      <c r="DAO4">
        <f>Database!DBH28</f>
        <v>0</v>
      </c>
      <c r="DAP4">
        <f>Database!DBI28</f>
        <v>0</v>
      </c>
      <c r="DAQ4">
        <f>Database!DBJ28</f>
        <v>0</v>
      </c>
      <c r="DAR4">
        <f>Database!DBK28</f>
        <v>0</v>
      </c>
      <c r="DAS4">
        <f>Database!DBL28</f>
        <v>0</v>
      </c>
      <c r="DAT4">
        <f>Database!DBM28</f>
        <v>0</v>
      </c>
      <c r="DAU4">
        <f>Database!DBN28</f>
        <v>0</v>
      </c>
      <c r="DAV4">
        <f>Database!DBO28</f>
        <v>0</v>
      </c>
      <c r="DAW4">
        <f>Database!DBP28</f>
        <v>0</v>
      </c>
      <c r="DAX4">
        <f>Database!DBQ28</f>
        <v>0</v>
      </c>
      <c r="DAY4">
        <f>Database!DBR28</f>
        <v>0</v>
      </c>
      <c r="DAZ4">
        <f>Database!DBS28</f>
        <v>0</v>
      </c>
      <c r="DBA4">
        <f>Database!DBT28</f>
        <v>0</v>
      </c>
      <c r="DBB4">
        <f>Database!DBU28</f>
        <v>0</v>
      </c>
      <c r="DBC4">
        <f>Database!DBV28</f>
        <v>0</v>
      </c>
      <c r="DBD4">
        <f>Database!DBW28</f>
        <v>0</v>
      </c>
      <c r="DBE4">
        <f>Database!DBX28</f>
        <v>0</v>
      </c>
      <c r="DBF4">
        <f>Database!DBY28</f>
        <v>0</v>
      </c>
      <c r="DBG4">
        <f>Database!DBZ28</f>
        <v>0</v>
      </c>
      <c r="DBH4">
        <f>Database!DCA28</f>
        <v>0</v>
      </c>
      <c r="DBI4">
        <f>Database!DCB28</f>
        <v>0</v>
      </c>
      <c r="DBJ4">
        <f>Database!DCC28</f>
        <v>0</v>
      </c>
      <c r="DBK4">
        <f>Database!DCD28</f>
        <v>0</v>
      </c>
      <c r="DBL4">
        <f>Database!DCE28</f>
        <v>0</v>
      </c>
      <c r="DBM4">
        <f>Database!DCF28</f>
        <v>0</v>
      </c>
      <c r="DBN4">
        <f>Database!DCG28</f>
        <v>0</v>
      </c>
      <c r="DBO4">
        <f>Database!DCH28</f>
        <v>0</v>
      </c>
      <c r="DBP4">
        <f>Database!DCI28</f>
        <v>0</v>
      </c>
      <c r="DBQ4">
        <f>Database!DCJ28</f>
        <v>0</v>
      </c>
      <c r="DBR4">
        <f>Database!DCK28</f>
        <v>0</v>
      </c>
      <c r="DBS4">
        <f>Database!DCL28</f>
        <v>0</v>
      </c>
      <c r="DBT4">
        <f>Database!DCM28</f>
        <v>0</v>
      </c>
      <c r="DBU4">
        <f>Database!DCN28</f>
        <v>0</v>
      </c>
      <c r="DBV4">
        <f>Database!DCO28</f>
        <v>0</v>
      </c>
      <c r="DBW4">
        <f>Database!DCP28</f>
        <v>0</v>
      </c>
      <c r="DBX4">
        <f>Database!DCQ28</f>
        <v>0</v>
      </c>
      <c r="DBY4">
        <f>Database!DCR28</f>
        <v>0</v>
      </c>
      <c r="DBZ4">
        <f>Database!DCS28</f>
        <v>0</v>
      </c>
      <c r="DCA4">
        <f>Database!DCT28</f>
        <v>0</v>
      </c>
      <c r="DCB4">
        <f>Database!DCU28</f>
        <v>0</v>
      </c>
      <c r="DCC4">
        <f>Database!DCV28</f>
        <v>0</v>
      </c>
      <c r="DCD4">
        <f>Database!DCW28</f>
        <v>0</v>
      </c>
      <c r="DCE4">
        <f>Database!DCX28</f>
        <v>0</v>
      </c>
      <c r="DCF4">
        <f>Database!DCY28</f>
        <v>0</v>
      </c>
      <c r="DCG4">
        <f>Database!DCZ28</f>
        <v>0</v>
      </c>
      <c r="DCH4">
        <f>Database!DDA28</f>
        <v>0</v>
      </c>
      <c r="DCI4">
        <f>Database!DDB28</f>
        <v>0</v>
      </c>
      <c r="DCJ4">
        <f>Database!DDC28</f>
        <v>0</v>
      </c>
      <c r="DCK4">
        <f>Database!DDD28</f>
        <v>0</v>
      </c>
      <c r="DCL4">
        <f>Database!DDE28</f>
        <v>0</v>
      </c>
      <c r="DCM4">
        <f>Database!DDF28</f>
        <v>0</v>
      </c>
      <c r="DCN4">
        <f>Database!DDG28</f>
        <v>0</v>
      </c>
      <c r="DCO4">
        <f>Database!DDH28</f>
        <v>0</v>
      </c>
      <c r="DCP4">
        <f>Database!DDI28</f>
        <v>0</v>
      </c>
      <c r="DCQ4">
        <f>Database!DDJ28</f>
        <v>0</v>
      </c>
      <c r="DCR4">
        <f>Database!DDK28</f>
        <v>0</v>
      </c>
      <c r="DCS4">
        <f>Database!DDL28</f>
        <v>0</v>
      </c>
      <c r="DCT4">
        <f>Database!DDM28</f>
        <v>0</v>
      </c>
      <c r="DCU4">
        <f>Database!DDN28</f>
        <v>0</v>
      </c>
      <c r="DCV4">
        <f>Database!DDO28</f>
        <v>0</v>
      </c>
      <c r="DCW4">
        <f>Database!DDP28</f>
        <v>0</v>
      </c>
      <c r="DCX4">
        <f>Database!DDQ28</f>
        <v>0</v>
      </c>
      <c r="DCY4">
        <f>Database!DDR28</f>
        <v>0</v>
      </c>
      <c r="DCZ4">
        <f>Database!DDS28</f>
        <v>0</v>
      </c>
      <c r="DDA4">
        <f>Database!DDT28</f>
        <v>0</v>
      </c>
      <c r="DDB4">
        <f>Database!DDU28</f>
        <v>0</v>
      </c>
      <c r="DDC4">
        <f>Database!DDV28</f>
        <v>0</v>
      </c>
      <c r="DDD4">
        <f>Database!DDW28</f>
        <v>0</v>
      </c>
      <c r="DDE4">
        <f>Database!DDX28</f>
        <v>0</v>
      </c>
      <c r="DDF4">
        <f>Database!DDY28</f>
        <v>0</v>
      </c>
      <c r="DDG4">
        <f>Database!DDZ28</f>
        <v>0</v>
      </c>
      <c r="DDH4">
        <f>Database!DEA28</f>
        <v>0</v>
      </c>
      <c r="DDI4">
        <f>Database!DEB28</f>
        <v>0</v>
      </c>
      <c r="DDJ4">
        <f>Database!DEC28</f>
        <v>0</v>
      </c>
      <c r="DDK4">
        <f>Database!DED28</f>
        <v>0</v>
      </c>
      <c r="DDL4">
        <f>Database!DEE28</f>
        <v>0</v>
      </c>
      <c r="DDM4">
        <f>Database!DEF28</f>
        <v>0</v>
      </c>
      <c r="DDN4">
        <f>Database!DEG28</f>
        <v>0</v>
      </c>
      <c r="DDO4">
        <f>Database!DEH28</f>
        <v>0</v>
      </c>
      <c r="DDP4">
        <f>Database!DEI28</f>
        <v>0</v>
      </c>
      <c r="DDQ4">
        <f>Database!DEJ28</f>
        <v>0</v>
      </c>
      <c r="DDR4">
        <f>Database!DEK28</f>
        <v>0</v>
      </c>
      <c r="DDS4">
        <f>Database!DEL28</f>
        <v>0</v>
      </c>
      <c r="DDT4">
        <f>Database!DEM28</f>
        <v>0</v>
      </c>
      <c r="DDU4">
        <f>Database!DEN28</f>
        <v>0</v>
      </c>
      <c r="DDV4">
        <f>Database!DEO28</f>
        <v>0</v>
      </c>
      <c r="DDW4">
        <f>Database!DEP28</f>
        <v>0</v>
      </c>
      <c r="DDX4">
        <f>Database!DEQ28</f>
        <v>0</v>
      </c>
      <c r="DDY4">
        <f>Database!DER28</f>
        <v>0</v>
      </c>
      <c r="DDZ4">
        <f>Database!DES28</f>
        <v>0</v>
      </c>
      <c r="DEA4">
        <f>Database!DET28</f>
        <v>0</v>
      </c>
      <c r="DEB4">
        <f>Database!DEU28</f>
        <v>0</v>
      </c>
      <c r="DEC4">
        <f>Database!DEV28</f>
        <v>0</v>
      </c>
      <c r="DED4">
        <f>Database!DEW28</f>
        <v>0</v>
      </c>
      <c r="DEE4">
        <f>Database!DEX28</f>
        <v>0</v>
      </c>
      <c r="DEF4">
        <f>Database!DEY28</f>
        <v>0</v>
      </c>
      <c r="DEG4">
        <f>Database!DEZ28</f>
        <v>0</v>
      </c>
      <c r="DEH4">
        <f>Database!DFA28</f>
        <v>0</v>
      </c>
      <c r="DEI4">
        <f>Database!DFB28</f>
        <v>0</v>
      </c>
      <c r="DEJ4">
        <f>Database!DFC28</f>
        <v>0</v>
      </c>
      <c r="DEK4">
        <f>Database!DFD28</f>
        <v>0</v>
      </c>
      <c r="DEL4">
        <f>Database!DFE28</f>
        <v>0</v>
      </c>
      <c r="DEM4">
        <f>Database!DFF28</f>
        <v>0</v>
      </c>
      <c r="DEN4">
        <f>Database!DFG28</f>
        <v>0</v>
      </c>
      <c r="DEO4">
        <f>Database!DFH28</f>
        <v>0</v>
      </c>
      <c r="DEP4">
        <f>Database!DFI28</f>
        <v>0</v>
      </c>
      <c r="DEQ4">
        <f>Database!DFJ28</f>
        <v>0</v>
      </c>
      <c r="DER4">
        <f>Database!DFK28</f>
        <v>0</v>
      </c>
      <c r="DES4">
        <f>Database!DFL28</f>
        <v>0</v>
      </c>
      <c r="DET4">
        <f>Database!DFM28</f>
        <v>0</v>
      </c>
      <c r="DEU4">
        <f>Database!DFN28</f>
        <v>0</v>
      </c>
      <c r="DEV4">
        <f>Database!DFO28</f>
        <v>0</v>
      </c>
      <c r="DEW4">
        <f>Database!DFP28</f>
        <v>0</v>
      </c>
      <c r="DEX4">
        <f>Database!DFQ28</f>
        <v>0</v>
      </c>
      <c r="DEY4">
        <f>Database!DFR28</f>
        <v>0</v>
      </c>
      <c r="DEZ4">
        <f>Database!DFS28</f>
        <v>0</v>
      </c>
      <c r="DFA4">
        <f>Database!DFT28</f>
        <v>0</v>
      </c>
      <c r="DFB4">
        <f>Database!DFU28</f>
        <v>0</v>
      </c>
      <c r="DFC4">
        <f>Database!DFV28</f>
        <v>0</v>
      </c>
      <c r="DFD4">
        <f>Database!DFW28</f>
        <v>0</v>
      </c>
      <c r="DFE4">
        <f>Database!DFX28</f>
        <v>0</v>
      </c>
      <c r="DFF4">
        <f>Database!DFY28</f>
        <v>0</v>
      </c>
      <c r="DFG4">
        <f>Database!DFZ28</f>
        <v>0</v>
      </c>
      <c r="DFH4">
        <f>Database!DGA28</f>
        <v>0</v>
      </c>
      <c r="DFI4">
        <f>Database!DGB28</f>
        <v>0</v>
      </c>
      <c r="DFJ4">
        <f>Database!DGC28</f>
        <v>0</v>
      </c>
      <c r="DFK4">
        <f>Database!DGD28</f>
        <v>0</v>
      </c>
      <c r="DFL4">
        <f>Database!DGE28</f>
        <v>0</v>
      </c>
      <c r="DFM4">
        <f>Database!DGF28</f>
        <v>0</v>
      </c>
      <c r="DFN4">
        <f>Database!DGG28</f>
        <v>0</v>
      </c>
      <c r="DFO4">
        <f>Database!DGH28</f>
        <v>0</v>
      </c>
      <c r="DFP4">
        <f>Database!DGI28</f>
        <v>0</v>
      </c>
      <c r="DFQ4">
        <f>Database!DGJ28</f>
        <v>0</v>
      </c>
      <c r="DFR4">
        <f>Database!DGK28</f>
        <v>0</v>
      </c>
      <c r="DFS4">
        <f>Database!DGL28</f>
        <v>0</v>
      </c>
      <c r="DFT4">
        <f>Database!DGM28</f>
        <v>0</v>
      </c>
      <c r="DFU4">
        <f>Database!DGN28</f>
        <v>0</v>
      </c>
      <c r="DFV4">
        <f>Database!DGO28</f>
        <v>0</v>
      </c>
      <c r="DFW4">
        <f>Database!DGP28</f>
        <v>0</v>
      </c>
      <c r="DFX4">
        <f>Database!DGQ28</f>
        <v>0</v>
      </c>
      <c r="DFY4">
        <f>Database!DGR28</f>
        <v>0</v>
      </c>
      <c r="DFZ4">
        <f>Database!DGS28</f>
        <v>0</v>
      </c>
      <c r="DGA4">
        <f>Database!DGT28</f>
        <v>0</v>
      </c>
      <c r="DGB4">
        <f>Database!DGU28</f>
        <v>0</v>
      </c>
      <c r="DGC4">
        <f>Database!DGV28</f>
        <v>0</v>
      </c>
      <c r="DGD4">
        <f>Database!DGW28</f>
        <v>0</v>
      </c>
      <c r="DGE4">
        <f>Database!DGX28</f>
        <v>0</v>
      </c>
      <c r="DGF4">
        <f>Database!DGY28</f>
        <v>0</v>
      </c>
      <c r="DGG4">
        <f>Database!DGZ28</f>
        <v>0</v>
      </c>
      <c r="DGH4">
        <f>Database!DHA28</f>
        <v>0</v>
      </c>
      <c r="DGI4">
        <f>Database!DHB28</f>
        <v>0</v>
      </c>
      <c r="DGJ4">
        <f>Database!DHC28</f>
        <v>0</v>
      </c>
      <c r="DGK4">
        <f>Database!DHD28</f>
        <v>0</v>
      </c>
      <c r="DGL4">
        <f>Database!DHE28</f>
        <v>0</v>
      </c>
      <c r="DGM4">
        <f>Database!DHF28</f>
        <v>0</v>
      </c>
      <c r="DGN4">
        <f>Database!DHG28</f>
        <v>0</v>
      </c>
      <c r="DGO4">
        <f>Database!DHH28</f>
        <v>0</v>
      </c>
      <c r="DGP4">
        <f>Database!DHI28</f>
        <v>0</v>
      </c>
      <c r="DGQ4">
        <f>Database!DHJ28</f>
        <v>0</v>
      </c>
      <c r="DGR4">
        <f>Database!DHK28</f>
        <v>0</v>
      </c>
      <c r="DGS4">
        <f>Database!DHL28</f>
        <v>0</v>
      </c>
      <c r="DGT4">
        <f>Database!DHM28</f>
        <v>0</v>
      </c>
      <c r="DGU4">
        <f>Database!DHN28</f>
        <v>0</v>
      </c>
      <c r="DGV4">
        <f>Database!DHO28</f>
        <v>0</v>
      </c>
      <c r="DGW4">
        <f>Database!DHP28</f>
        <v>0</v>
      </c>
      <c r="DGX4">
        <f>Database!DHQ28</f>
        <v>0</v>
      </c>
      <c r="DGY4">
        <f>Database!DHR28</f>
        <v>0</v>
      </c>
      <c r="DGZ4">
        <f>Database!DHS28</f>
        <v>0</v>
      </c>
      <c r="DHA4">
        <f>Database!DHT28</f>
        <v>0</v>
      </c>
      <c r="DHB4">
        <f>Database!DHU28</f>
        <v>0</v>
      </c>
      <c r="DHC4">
        <f>Database!DHV28</f>
        <v>0</v>
      </c>
      <c r="DHD4">
        <f>Database!DHW28</f>
        <v>0</v>
      </c>
      <c r="DHE4">
        <f>Database!DHX28</f>
        <v>0</v>
      </c>
      <c r="DHF4">
        <f>Database!DHY28</f>
        <v>0</v>
      </c>
      <c r="DHG4">
        <f>Database!DHZ28</f>
        <v>0</v>
      </c>
      <c r="DHH4">
        <f>Database!DIA28</f>
        <v>0</v>
      </c>
      <c r="DHI4">
        <f>Database!DIB28</f>
        <v>0</v>
      </c>
      <c r="DHJ4">
        <f>Database!DIC28</f>
        <v>0</v>
      </c>
      <c r="DHK4">
        <f>Database!DID28</f>
        <v>0</v>
      </c>
      <c r="DHL4">
        <f>Database!DIE28</f>
        <v>0</v>
      </c>
      <c r="DHM4">
        <f>Database!DIF28</f>
        <v>0</v>
      </c>
      <c r="DHN4">
        <f>Database!DIG28</f>
        <v>0</v>
      </c>
      <c r="DHO4">
        <f>Database!DIH28</f>
        <v>0</v>
      </c>
      <c r="DHP4">
        <f>Database!DII28</f>
        <v>0</v>
      </c>
      <c r="DHQ4">
        <f>Database!DIJ28</f>
        <v>0</v>
      </c>
      <c r="DHR4">
        <f>Database!DIK28</f>
        <v>0</v>
      </c>
      <c r="DHS4">
        <f>Database!DIL28</f>
        <v>0</v>
      </c>
      <c r="DHT4">
        <f>Database!DIM28</f>
        <v>0</v>
      </c>
      <c r="DHU4">
        <f>Database!DIN28</f>
        <v>0</v>
      </c>
      <c r="DHV4">
        <f>Database!DIO28</f>
        <v>0</v>
      </c>
      <c r="DHW4">
        <f>Database!DIP28</f>
        <v>0</v>
      </c>
      <c r="DHX4">
        <f>Database!DIQ28</f>
        <v>0</v>
      </c>
      <c r="DHY4">
        <f>Database!DIR28</f>
        <v>0</v>
      </c>
      <c r="DHZ4">
        <f>Database!DIS28</f>
        <v>0</v>
      </c>
      <c r="DIA4">
        <f>Database!DIT28</f>
        <v>0</v>
      </c>
      <c r="DIB4">
        <f>Database!DIU28</f>
        <v>0</v>
      </c>
      <c r="DIC4">
        <f>Database!DIV28</f>
        <v>0</v>
      </c>
      <c r="DID4">
        <f>Database!DIW28</f>
        <v>0</v>
      </c>
      <c r="DIE4">
        <f>Database!DIX28</f>
        <v>0</v>
      </c>
      <c r="DIF4">
        <f>Database!DIY28</f>
        <v>0</v>
      </c>
      <c r="DIG4">
        <f>Database!DIZ28</f>
        <v>0</v>
      </c>
      <c r="DIH4">
        <f>Database!DJA28</f>
        <v>0</v>
      </c>
      <c r="DII4">
        <f>Database!DJB28</f>
        <v>0</v>
      </c>
      <c r="DIJ4">
        <f>Database!DJC28</f>
        <v>0</v>
      </c>
      <c r="DIK4">
        <f>Database!DJD28</f>
        <v>0</v>
      </c>
      <c r="DIL4">
        <f>Database!DJE28</f>
        <v>0</v>
      </c>
      <c r="DIM4">
        <f>Database!DJF28</f>
        <v>0</v>
      </c>
      <c r="DIN4">
        <f>Database!DJG28</f>
        <v>0</v>
      </c>
      <c r="DIO4">
        <f>Database!DJH28</f>
        <v>0</v>
      </c>
      <c r="DIP4">
        <f>Database!DJI28</f>
        <v>0</v>
      </c>
      <c r="DIQ4">
        <f>Database!DJJ28</f>
        <v>0</v>
      </c>
      <c r="DIR4">
        <f>Database!DJK28</f>
        <v>0</v>
      </c>
      <c r="DIS4">
        <f>Database!DJL28</f>
        <v>0</v>
      </c>
      <c r="DIT4">
        <f>Database!DJM28</f>
        <v>0</v>
      </c>
      <c r="DIU4">
        <f>Database!DJN28</f>
        <v>0</v>
      </c>
      <c r="DIV4">
        <f>Database!DJO28</f>
        <v>0</v>
      </c>
      <c r="DIW4">
        <f>Database!DJP28</f>
        <v>0</v>
      </c>
      <c r="DIX4">
        <f>Database!DJQ28</f>
        <v>0</v>
      </c>
      <c r="DIY4">
        <f>Database!DJR28</f>
        <v>0</v>
      </c>
      <c r="DIZ4">
        <f>Database!DJS28</f>
        <v>0</v>
      </c>
      <c r="DJA4">
        <f>Database!DJT28</f>
        <v>0</v>
      </c>
      <c r="DJB4">
        <f>Database!DJU28</f>
        <v>0</v>
      </c>
      <c r="DJC4">
        <f>Database!DJV28</f>
        <v>0</v>
      </c>
      <c r="DJD4">
        <f>Database!DJW28</f>
        <v>0</v>
      </c>
      <c r="DJE4">
        <f>Database!DJX28</f>
        <v>0</v>
      </c>
      <c r="DJF4">
        <f>Database!DJY28</f>
        <v>0</v>
      </c>
      <c r="DJG4">
        <f>Database!DJZ28</f>
        <v>0</v>
      </c>
      <c r="DJH4">
        <f>Database!DKA28</f>
        <v>0</v>
      </c>
      <c r="DJI4">
        <f>Database!DKB28</f>
        <v>0</v>
      </c>
      <c r="DJJ4">
        <f>Database!DKC28</f>
        <v>0</v>
      </c>
      <c r="DJK4">
        <f>Database!DKD28</f>
        <v>0</v>
      </c>
      <c r="DJL4">
        <f>Database!DKE28</f>
        <v>0</v>
      </c>
      <c r="DJM4">
        <f>Database!DKF28</f>
        <v>0</v>
      </c>
      <c r="DJN4">
        <f>Database!DKG28</f>
        <v>0</v>
      </c>
      <c r="DJO4">
        <f>Database!DKH28</f>
        <v>0</v>
      </c>
      <c r="DJP4">
        <f>Database!DKI28</f>
        <v>0</v>
      </c>
      <c r="DJQ4">
        <f>Database!DKJ28</f>
        <v>0</v>
      </c>
      <c r="DJR4">
        <f>Database!DKK28</f>
        <v>0</v>
      </c>
      <c r="DJS4">
        <f>Database!DKL28</f>
        <v>0</v>
      </c>
      <c r="DJT4">
        <f>Database!DKM28</f>
        <v>0</v>
      </c>
      <c r="DJU4">
        <f>Database!DKN28</f>
        <v>0</v>
      </c>
      <c r="DJV4">
        <f>Database!DKO28</f>
        <v>0</v>
      </c>
      <c r="DJW4">
        <f>Database!DKP28</f>
        <v>0</v>
      </c>
      <c r="DJX4">
        <f>Database!DKQ28</f>
        <v>0</v>
      </c>
      <c r="DJY4">
        <f>Database!DKR28</f>
        <v>0</v>
      </c>
      <c r="DJZ4">
        <f>Database!DKS28</f>
        <v>0</v>
      </c>
      <c r="DKA4">
        <f>Database!DKT28</f>
        <v>0</v>
      </c>
      <c r="DKB4">
        <f>Database!DKU28</f>
        <v>0</v>
      </c>
      <c r="DKC4">
        <f>Database!DKV28</f>
        <v>0</v>
      </c>
      <c r="DKD4">
        <f>Database!DKW28</f>
        <v>0</v>
      </c>
      <c r="DKE4">
        <f>Database!DKX28</f>
        <v>0</v>
      </c>
      <c r="DKF4">
        <f>Database!DKY28</f>
        <v>0</v>
      </c>
      <c r="DKG4">
        <f>Database!DKZ28</f>
        <v>0</v>
      </c>
      <c r="DKH4">
        <f>Database!DLA28</f>
        <v>0</v>
      </c>
      <c r="DKI4">
        <f>Database!DLB28</f>
        <v>0</v>
      </c>
      <c r="DKJ4">
        <f>Database!DLC28</f>
        <v>0</v>
      </c>
      <c r="DKK4">
        <f>Database!DLD28</f>
        <v>0</v>
      </c>
      <c r="DKL4">
        <f>Database!DLE28</f>
        <v>0</v>
      </c>
      <c r="DKM4">
        <f>Database!DLF28</f>
        <v>0</v>
      </c>
      <c r="DKN4">
        <f>Database!DLG28</f>
        <v>0</v>
      </c>
      <c r="DKO4">
        <f>Database!DLH28</f>
        <v>0</v>
      </c>
      <c r="DKP4">
        <f>Database!DLI28</f>
        <v>0</v>
      </c>
      <c r="DKQ4">
        <f>Database!DLJ28</f>
        <v>0</v>
      </c>
      <c r="DKR4">
        <f>Database!DLK28</f>
        <v>0</v>
      </c>
      <c r="DKS4">
        <f>Database!DLL28</f>
        <v>0</v>
      </c>
      <c r="DKT4">
        <f>Database!DLM28</f>
        <v>0</v>
      </c>
      <c r="DKU4">
        <f>Database!DLN28</f>
        <v>0</v>
      </c>
      <c r="DKV4">
        <f>Database!DLO28</f>
        <v>0</v>
      </c>
      <c r="DKW4">
        <f>Database!DLP28</f>
        <v>0</v>
      </c>
      <c r="DKX4">
        <f>Database!DLQ28</f>
        <v>0</v>
      </c>
      <c r="DKY4">
        <f>Database!DLR28</f>
        <v>0</v>
      </c>
      <c r="DKZ4">
        <f>Database!DLS28</f>
        <v>0</v>
      </c>
      <c r="DLA4">
        <f>Database!DLT28</f>
        <v>0</v>
      </c>
      <c r="DLB4">
        <f>Database!DLU28</f>
        <v>0</v>
      </c>
      <c r="DLC4">
        <f>Database!DLV28</f>
        <v>0</v>
      </c>
      <c r="DLD4">
        <f>Database!DLW28</f>
        <v>0</v>
      </c>
      <c r="DLE4">
        <f>Database!DLX28</f>
        <v>0</v>
      </c>
      <c r="DLF4">
        <f>Database!DLY28</f>
        <v>0</v>
      </c>
      <c r="DLG4">
        <f>Database!DLZ28</f>
        <v>0</v>
      </c>
      <c r="DLH4">
        <f>Database!DMA28</f>
        <v>0</v>
      </c>
      <c r="DLI4">
        <f>Database!DMB28</f>
        <v>0</v>
      </c>
      <c r="DLJ4">
        <f>Database!DMC28</f>
        <v>0</v>
      </c>
      <c r="DLK4">
        <f>Database!DMD28</f>
        <v>0</v>
      </c>
      <c r="DLL4">
        <f>Database!DME28</f>
        <v>0</v>
      </c>
      <c r="DLM4">
        <f>Database!DMF28</f>
        <v>0</v>
      </c>
      <c r="DLN4">
        <f>Database!DMG28</f>
        <v>0</v>
      </c>
      <c r="DLO4">
        <f>Database!DMH28</f>
        <v>0</v>
      </c>
      <c r="DLP4">
        <f>Database!DMI28</f>
        <v>0</v>
      </c>
      <c r="DLQ4">
        <f>Database!DMJ28</f>
        <v>0</v>
      </c>
      <c r="DLR4">
        <f>Database!DMK28</f>
        <v>0</v>
      </c>
      <c r="DLS4">
        <f>Database!DML28</f>
        <v>0</v>
      </c>
      <c r="DLT4">
        <f>Database!DMM28</f>
        <v>0</v>
      </c>
      <c r="DLU4">
        <f>Database!DMN28</f>
        <v>0</v>
      </c>
      <c r="DLV4">
        <f>Database!DMO28</f>
        <v>0</v>
      </c>
      <c r="DLW4">
        <f>Database!DMP28</f>
        <v>0</v>
      </c>
      <c r="DLX4">
        <f>Database!DMQ28</f>
        <v>0</v>
      </c>
      <c r="DLY4">
        <f>Database!DMR28</f>
        <v>0</v>
      </c>
      <c r="DLZ4">
        <f>Database!DMS28</f>
        <v>0</v>
      </c>
      <c r="DMA4">
        <f>Database!DMT28</f>
        <v>0</v>
      </c>
      <c r="DMB4">
        <f>Database!DMU28</f>
        <v>0</v>
      </c>
      <c r="DMC4">
        <f>Database!DMV28</f>
        <v>0</v>
      </c>
      <c r="DMD4">
        <f>Database!DMW28</f>
        <v>0</v>
      </c>
      <c r="DME4">
        <f>Database!DMX28</f>
        <v>0</v>
      </c>
      <c r="DMF4">
        <f>Database!DMY28</f>
        <v>0</v>
      </c>
      <c r="DMG4">
        <f>Database!DMZ28</f>
        <v>0</v>
      </c>
      <c r="DMH4">
        <f>Database!DNA28</f>
        <v>0</v>
      </c>
      <c r="DMI4">
        <f>Database!DNB28</f>
        <v>0</v>
      </c>
      <c r="DMJ4">
        <f>Database!DNC28</f>
        <v>0</v>
      </c>
      <c r="DMK4">
        <f>Database!DND28</f>
        <v>0</v>
      </c>
      <c r="DML4">
        <f>Database!DNE28</f>
        <v>0</v>
      </c>
      <c r="DMM4">
        <f>Database!DNF28</f>
        <v>0</v>
      </c>
      <c r="DMN4">
        <f>Database!DNG28</f>
        <v>0</v>
      </c>
      <c r="DMO4">
        <f>Database!DNH28</f>
        <v>0</v>
      </c>
      <c r="DMP4">
        <f>Database!DNI28</f>
        <v>0</v>
      </c>
      <c r="DMQ4">
        <f>Database!DNJ28</f>
        <v>0</v>
      </c>
      <c r="DMR4">
        <f>Database!DNK28</f>
        <v>0</v>
      </c>
      <c r="DMS4">
        <f>Database!DNL28</f>
        <v>0</v>
      </c>
      <c r="DMT4">
        <f>Database!DNM28</f>
        <v>0</v>
      </c>
      <c r="DMU4">
        <f>Database!DNN28</f>
        <v>0</v>
      </c>
      <c r="DMV4">
        <f>Database!DNO28</f>
        <v>0</v>
      </c>
      <c r="DMW4">
        <f>Database!DNP28</f>
        <v>0</v>
      </c>
      <c r="DMX4">
        <f>Database!DNQ28</f>
        <v>0</v>
      </c>
      <c r="DMY4">
        <f>Database!DNR28</f>
        <v>0</v>
      </c>
      <c r="DMZ4">
        <f>Database!DNS28</f>
        <v>0</v>
      </c>
      <c r="DNA4">
        <f>Database!DNT28</f>
        <v>0</v>
      </c>
      <c r="DNB4">
        <f>Database!DNU28</f>
        <v>0</v>
      </c>
      <c r="DNC4">
        <f>Database!DNV28</f>
        <v>0</v>
      </c>
      <c r="DND4">
        <f>Database!DNW28</f>
        <v>0</v>
      </c>
      <c r="DNE4">
        <f>Database!DNX28</f>
        <v>0</v>
      </c>
      <c r="DNF4">
        <f>Database!DNY28</f>
        <v>0</v>
      </c>
      <c r="DNG4">
        <f>Database!DNZ28</f>
        <v>0</v>
      </c>
      <c r="DNH4">
        <f>Database!DOA28</f>
        <v>0</v>
      </c>
      <c r="DNI4">
        <f>Database!DOB28</f>
        <v>0</v>
      </c>
      <c r="DNJ4">
        <f>Database!DOC28</f>
        <v>0</v>
      </c>
      <c r="DNK4">
        <f>Database!DOD28</f>
        <v>0</v>
      </c>
      <c r="DNL4">
        <f>Database!DOE28</f>
        <v>0</v>
      </c>
      <c r="DNM4">
        <f>Database!DOF28</f>
        <v>0</v>
      </c>
      <c r="DNN4">
        <f>Database!DOG28</f>
        <v>0</v>
      </c>
      <c r="DNO4">
        <f>Database!DOH28</f>
        <v>0</v>
      </c>
      <c r="DNP4">
        <f>Database!DOI28</f>
        <v>0</v>
      </c>
      <c r="DNQ4">
        <f>Database!DOJ28</f>
        <v>0</v>
      </c>
      <c r="DNR4">
        <f>Database!DOK28</f>
        <v>0</v>
      </c>
      <c r="DNS4">
        <f>Database!DOL28</f>
        <v>0</v>
      </c>
      <c r="DNT4">
        <f>Database!DOM28</f>
        <v>0</v>
      </c>
      <c r="DNU4">
        <f>Database!DON28</f>
        <v>0</v>
      </c>
      <c r="DNV4">
        <f>Database!DOO28</f>
        <v>0</v>
      </c>
      <c r="DNW4">
        <f>Database!DOP28</f>
        <v>0</v>
      </c>
      <c r="DNX4">
        <f>Database!DOQ28</f>
        <v>0</v>
      </c>
      <c r="DNY4">
        <f>Database!DOR28</f>
        <v>0</v>
      </c>
      <c r="DNZ4">
        <f>Database!DOS28</f>
        <v>0</v>
      </c>
      <c r="DOA4">
        <f>Database!DOT28</f>
        <v>0</v>
      </c>
      <c r="DOB4">
        <f>Database!DOU28</f>
        <v>0</v>
      </c>
      <c r="DOC4">
        <f>Database!DOV28</f>
        <v>0</v>
      </c>
      <c r="DOD4">
        <f>Database!DOW28</f>
        <v>0</v>
      </c>
      <c r="DOE4">
        <f>Database!DOX28</f>
        <v>0</v>
      </c>
      <c r="DOF4">
        <f>Database!DOY28</f>
        <v>0</v>
      </c>
      <c r="DOG4">
        <f>Database!DOZ28</f>
        <v>0</v>
      </c>
      <c r="DOH4">
        <f>Database!DPA28</f>
        <v>0</v>
      </c>
      <c r="DOI4">
        <f>Database!DPB28</f>
        <v>0</v>
      </c>
      <c r="DOJ4">
        <f>Database!DPC28</f>
        <v>0</v>
      </c>
      <c r="DOK4">
        <f>Database!DPD28</f>
        <v>0</v>
      </c>
      <c r="DOL4">
        <f>Database!DPE28</f>
        <v>0</v>
      </c>
      <c r="DOM4">
        <f>Database!DPF28</f>
        <v>0</v>
      </c>
      <c r="DON4">
        <f>Database!DPG28</f>
        <v>0</v>
      </c>
      <c r="DOO4">
        <f>Database!DPH28</f>
        <v>0</v>
      </c>
      <c r="DOP4">
        <f>Database!DPI28</f>
        <v>0</v>
      </c>
      <c r="DOQ4">
        <f>Database!DPJ28</f>
        <v>0</v>
      </c>
      <c r="DOR4">
        <f>Database!DPK28</f>
        <v>0</v>
      </c>
      <c r="DOS4">
        <f>Database!DPL28</f>
        <v>0</v>
      </c>
      <c r="DOT4">
        <f>Database!DPM28</f>
        <v>0</v>
      </c>
      <c r="DOU4">
        <f>Database!DPN28</f>
        <v>0</v>
      </c>
      <c r="DOV4">
        <f>Database!DPO28</f>
        <v>0</v>
      </c>
      <c r="DOW4">
        <f>Database!DPP28</f>
        <v>0</v>
      </c>
      <c r="DOX4">
        <f>Database!DPQ28</f>
        <v>0</v>
      </c>
      <c r="DOY4">
        <f>Database!DPR28</f>
        <v>0</v>
      </c>
      <c r="DOZ4">
        <f>Database!DPS28</f>
        <v>0</v>
      </c>
      <c r="DPA4">
        <f>Database!DPT28</f>
        <v>0</v>
      </c>
      <c r="DPB4">
        <f>Database!DPU28</f>
        <v>0</v>
      </c>
      <c r="DPC4">
        <f>Database!DPV28</f>
        <v>0</v>
      </c>
      <c r="DPD4">
        <f>Database!DPW28</f>
        <v>0</v>
      </c>
      <c r="DPE4">
        <f>Database!DPX28</f>
        <v>0</v>
      </c>
      <c r="DPF4">
        <f>Database!DPY28</f>
        <v>0</v>
      </c>
      <c r="DPG4">
        <f>Database!DPZ28</f>
        <v>0</v>
      </c>
      <c r="DPH4">
        <f>Database!DQA28</f>
        <v>0</v>
      </c>
      <c r="DPI4">
        <f>Database!DQB28</f>
        <v>0</v>
      </c>
      <c r="DPJ4">
        <f>Database!DQC28</f>
        <v>0</v>
      </c>
      <c r="DPK4">
        <f>Database!DQD28</f>
        <v>0</v>
      </c>
      <c r="DPL4">
        <f>Database!DQE28</f>
        <v>0</v>
      </c>
      <c r="DPM4">
        <f>Database!DQF28</f>
        <v>0</v>
      </c>
      <c r="DPN4">
        <f>Database!DQG28</f>
        <v>0</v>
      </c>
      <c r="DPO4">
        <f>Database!DQH28</f>
        <v>0</v>
      </c>
      <c r="DPP4">
        <f>Database!DQI28</f>
        <v>0</v>
      </c>
      <c r="DPQ4">
        <f>Database!DQJ28</f>
        <v>0</v>
      </c>
      <c r="DPR4">
        <f>Database!DQK28</f>
        <v>0</v>
      </c>
      <c r="DPS4">
        <f>Database!DQL28</f>
        <v>0</v>
      </c>
      <c r="DPT4">
        <f>Database!DQM28</f>
        <v>0</v>
      </c>
      <c r="DPU4">
        <f>Database!DQN28</f>
        <v>0</v>
      </c>
      <c r="DPV4">
        <f>Database!DQO28</f>
        <v>0</v>
      </c>
      <c r="DPW4">
        <f>Database!DQP28</f>
        <v>0</v>
      </c>
      <c r="DPX4">
        <f>Database!DQQ28</f>
        <v>0</v>
      </c>
      <c r="DPY4">
        <f>Database!DQR28</f>
        <v>0</v>
      </c>
      <c r="DPZ4">
        <f>Database!DQS28</f>
        <v>0</v>
      </c>
      <c r="DQA4">
        <f>Database!DQT28</f>
        <v>0</v>
      </c>
      <c r="DQB4">
        <f>Database!DQU28</f>
        <v>0</v>
      </c>
      <c r="DQC4">
        <f>Database!DQV28</f>
        <v>0</v>
      </c>
      <c r="DQD4">
        <f>Database!DQW28</f>
        <v>0</v>
      </c>
      <c r="DQE4">
        <f>Database!DQX28</f>
        <v>0</v>
      </c>
      <c r="DQF4">
        <f>Database!DQY28</f>
        <v>0</v>
      </c>
      <c r="DQG4">
        <f>Database!DQZ28</f>
        <v>0</v>
      </c>
      <c r="DQH4">
        <f>Database!DRA28</f>
        <v>0</v>
      </c>
      <c r="DQI4">
        <f>Database!DRB28</f>
        <v>0</v>
      </c>
      <c r="DQJ4">
        <f>Database!DRC28</f>
        <v>0</v>
      </c>
      <c r="DQK4">
        <f>Database!DRD28</f>
        <v>0</v>
      </c>
      <c r="DQL4">
        <f>Database!DRE28</f>
        <v>0</v>
      </c>
      <c r="DQM4">
        <f>Database!DRF28</f>
        <v>0</v>
      </c>
      <c r="DQN4">
        <f>Database!DRG28</f>
        <v>0</v>
      </c>
      <c r="DQO4">
        <f>Database!DRH28</f>
        <v>0</v>
      </c>
      <c r="DQP4">
        <f>Database!DRI28</f>
        <v>0</v>
      </c>
      <c r="DQQ4">
        <f>Database!DRJ28</f>
        <v>0</v>
      </c>
      <c r="DQR4">
        <f>Database!DRK28</f>
        <v>0</v>
      </c>
      <c r="DQS4">
        <f>Database!DRL28</f>
        <v>0</v>
      </c>
      <c r="DQT4">
        <f>Database!DRM28</f>
        <v>0</v>
      </c>
      <c r="DQU4">
        <f>Database!DRN28</f>
        <v>0</v>
      </c>
      <c r="DQV4">
        <f>Database!DRO28</f>
        <v>0</v>
      </c>
      <c r="DQW4">
        <f>Database!DRP28</f>
        <v>0</v>
      </c>
      <c r="DQX4">
        <f>Database!DRQ28</f>
        <v>0</v>
      </c>
      <c r="DQY4">
        <f>Database!DRR28</f>
        <v>0</v>
      </c>
      <c r="DQZ4">
        <f>Database!DRS28</f>
        <v>0</v>
      </c>
      <c r="DRA4">
        <f>Database!DRT28</f>
        <v>0</v>
      </c>
      <c r="DRB4">
        <f>Database!DRU28</f>
        <v>0</v>
      </c>
      <c r="DRC4">
        <f>Database!DRV28</f>
        <v>0</v>
      </c>
      <c r="DRD4">
        <f>Database!DRW28</f>
        <v>0</v>
      </c>
      <c r="DRE4">
        <f>Database!DRX28</f>
        <v>0</v>
      </c>
      <c r="DRF4">
        <f>Database!DRY28</f>
        <v>0</v>
      </c>
      <c r="DRG4">
        <f>Database!DRZ28</f>
        <v>0</v>
      </c>
      <c r="DRH4">
        <f>Database!DSA28</f>
        <v>0</v>
      </c>
      <c r="DRI4">
        <f>Database!DSB28</f>
        <v>0</v>
      </c>
      <c r="DRJ4">
        <f>Database!DSC28</f>
        <v>0</v>
      </c>
      <c r="DRK4">
        <f>Database!DSD28</f>
        <v>0</v>
      </c>
      <c r="DRL4">
        <f>Database!DSE28</f>
        <v>0</v>
      </c>
      <c r="DRM4">
        <f>Database!DSF28</f>
        <v>0</v>
      </c>
      <c r="DRN4">
        <f>Database!DSG28</f>
        <v>0</v>
      </c>
      <c r="DRO4">
        <f>Database!DSH28</f>
        <v>0</v>
      </c>
      <c r="DRP4">
        <f>Database!DSI28</f>
        <v>0</v>
      </c>
      <c r="DRQ4">
        <f>Database!DSJ28</f>
        <v>0</v>
      </c>
      <c r="DRR4">
        <f>Database!DSK28</f>
        <v>0</v>
      </c>
      <c r="DRS4">
        <f>Database!DSL28</f>
        <v>0</v>
      </c>
      <c r="DRT4">
        <f>Database!DSM28</f>
        <v>0</v>
      </c>
      <c r="DRU4">
        <f>Database!DSN28</f>
        <v>0</v>
      </c>
      <c r="DRV4">
        <f>Database!DSO28</f>
        <v>0</v>
      </c>
      <c r="DRW4">
        <f>Database!DSP28</f>
        <v>0</v>
      </c>
      <c r="DRX4">
        <f>Database!DSQ28</f>
        <v>0</v>
      </c>
      <c r="DRY4">
        <f>Database!DSR28</f>
        <v>0</v>
      </c>
      <c r="DRZ4">
        <f>Database!DSS28</f>
        <v>0</v>
      </c>
      <c r="DSA4">
        <f>Database!DST28</f>
        <v>0</v>
      </c>
      <c r="DSB4">
        <f>Database!DSU28</f>
        <v>0</v>
      </c>
      <c r="DSC4">
        <f>Database!DSV28</f>
        <v>0</v>
      </c>
      <c r="DSD4">
        <f>Database!DSW28</f>
        <v>0</v>
      </c>
      <c r="DSE4">
        <f>Database!DSX28</f>
        <v>0</v>
      </c>
      <c r="DSF4">
        <f>Database!DSY28</f>
        <v>0</v>
      </c>
      <c r="DSG4">
        <f>Database!DSZ28</f>
        <v>0</v>
      </c>
      <c r="DSH4">
        <f>Database!DTA28</f>
        <v>0</v>
      </c>
      <c r="DSI4">
        <f>Database!DTB28</f>
        <v>0</v>
      </c>
      <c r="DSJ4">
        <f>Database!DTC28</f>
        <v>0</v>
      </c>
      <c r="DSK4">
        <f>Database!DTD28</f>
        <v>0</v>
      </c>
      <c r="DSL4">
        <f>Database!DTE28</f>
        <v>0</v>
      </c>
      <c r="DSM4">
        <f>Database!DTF28</f>
        <v>0</v>
      </c>
      <c r="DSN4">
        <f>Database!DTG28</f>
        <v>0</v>
      </c>
      <c r="DSO4">
        <f>Database!DTH28</f>
        <v>0</v>
      </c>
      <c r="DSP4">
        <f>Database!DTI28</f>
        <v>0</v>
      </c>
      <c r="DSQ4">
        <f>Database!DTJ28</f>
        <v>0</v>
      </c>
      <c r="DSR4">
        <f>Database!DTK28</f>
        <v>0</v>
      </c>
      <c r="DSS4">
        <f>Database!DTL28</f>
        <v>0</v>
      </c>
      <c r="DST4">
        <f>Database!DTM28</f>
        <v>0</v>
      </c>
      <c r="DSU4">
        <f>Database!DTN28</f>
        <v>0</v>
      </c>
      <c r="DSV4">
        <f>Database!DTO28</f>
        <v>0</v>
      </c>
      <c r="DSW4">
        <f>Database!DTP28</f>
        <v>0</v>
      </c>
      <c r="DSX4">
        <f>Database!DTQ28</f>
        <v>0</v>
      </c>
      <c r="DSY4">
        <f>Database!DTR28</f>
        <v>0</v>
      </c>
      <c r="DSZ4">
        <f>Database!DTS28</f>
        <v>0</v>
      </c>
      <c r="DTA4">
        <f>Database!DTT28</f>
        <v>0</v>
      </c>
      <c r="DTB4">
        <f>Database!DTU28</f>
        <v>0</v>
      </c>
      <c r="DTC4">
        <f>Database!DTV28</f>
        <v>0</v>
      </c>
      <c r="DTD4">
        <f>Database!DTW28</f>
        <v>0</v>
      </c>
      <c r="DTE4">
        <f>Database!DTX28</f>
        <v>0</v>
      </c>
      <c r="DTF4">
        <f>Database!DTY28</f>
        <v>0</v>
      </c>
      <c r="DTG4">
        <f>Database!DTZ28</f>
        <v>0</v>
      </c>
      <c r="DTH4">
        <f>Database!DUA28</f>
        <v>0</v>
      </c>
      <c r="DTI4">
        <f>Database!DUB28</f>
        <v>0</v>
      </c>
      <c r="DTJ4">
        <f>Database!DUC28</f>
        <v>0</v>
      </c>
      <c r="DTK4">
        <f>Database!DUD28</f>
        <v>0</v>
      </c>
      <c r="DTL4">
        <f>Database!DUE28</f>
        <v>0</v>
      </c>
      <c r="DTM4">
        <f>Database!DUF28</f>
        <v>0</v>
      </c>
      <c r="DTN4">
        <f>Database!DUG28</f>
        <v>0</v>
      </c>
      <c r="DTO4">
        <f>Database!DUH28</f>
        <v>0</v>
      </c>
      <c r="DTP4">
        <f>Database!DUI28</f>
        <v>0</v>
      </c>
      <c r="DTQ4">
        <f>Database!DUJ28</f>
        <v>0</v>
      </c>
      <c r="DTR4">
        <f>Database!DUK28</f>
        <v>0</v>
      </c>
      <c r="DTS4">
        <f>Database!DUL28</f>
        <v>0</v>
      </c>
      <c r="DTT4">
        <f>Database!DUM28</f>
        <v>0</v>
      </c>
      <c r="DTU4">
        <f>Database!DUN28</f>
        <v>0</v>
      </c>
      <c r="DTV4">
        <f>Database!DUO28</f>
        <v>0</v>
      </c>
      <c r="DTW4">
        <f>Database!DUP28</f>
        <v>0</v>
      </c>
      <c r="DTX4">
        <f>Database!DUQ28</f>
        <v>0</v>
      </c>
      <c r="DTY4">
        <f>Database!DUR28</f>
        <v>0</v>
      </c>
      <c r="DTZ4">
        <f>Database!DUS28</f>
        <v>0</v>
      </c>
      <c r="DUA4">
        <f>Database!DUT28</f>
        <v>0</v>
      </c>
      <c r="DUB4">
        <f>Database!DUU28</f>
        <v>0</v>
      </c>
      <c r="DUC4">
        <f>Database!DUV28</f>
        <v>0</v>
      </c>
      <c r="DUD4">
        <f>Database!DUW28</f>
        <v>0</v>
      </c>
      <c r="DUE4">
        <f>Database!DUX28</f>
        <v>0</v>
      </c>
      <c r="DUF4">
        <f>Database!DUY28</f>
        <v>0</v>
      </c>
      <c r="DUG4">
        <f>Database!DUZ28</f>
        <v>0</v>
      </c>
      <c r="DUH4">
        <f>Database!DVA28</f>
        <v>0</v>
      </c>
      <c r="DUI4">
        <f>Database!DVB28</f>
        <v>0</v>
      </c>
      <c r="DUJ4">
        <f>Database!DVC28</f>
        <v>0</v>
      </c>
      <c r="DUK4">
        <f>Database!DVD28</f>
        <v>0</v>
      </c>
      <c r="DUL4">
        <f>Database!DVE28</f>
        <v>0</v>
      </c>
      <c r="DUM4">
        <f>Database!DVF28</f>
        <v>0</v>
      </c>
      <c r="DUN4">
        <f>Database!DVG28</f>
        <v>0</v>
      </c>
      <c r="DUO4">
        <f>Database!DVH28</f>
        <v>0</v>
      </c>
      <c r="DUP4">
        <f>Database!DVI28</f>
        <v>0</v>
      </c>
      <c r="DUQ4">
        <f>Database!DVJ28</f>
        <v>0</v>
      </c>
      <c r="DUR4">
        <f>Database!DVK28</f>
        <v>0</v>
      </c>
      <c r="DUS4">
        <f>Database!DVL28</f>
        <v>0</v>
      </c>
      <c r="DUT4">
        <f>Database!DVM28</f>
        <v>0</v>
      </c>
      <c r="DUU4">
        <f>Database!DVN28</f>
        <v>0</v>
      </c>
      <c r="DUV4">
        <f>Database!DVO28</f>
        <v>0</v>
      </c>
      <c r="DUW4">
        <f>Database!DVP28</f>
        <v>0</v>
      </c>
      <c r="DUX4">
        <f>Database!DVQ28</f>
        <v>0</v>
      </c>
      <c r="DUY4">
        <f>Database!DVR28</f>
        <v>0</v>
      </c>
      <c r="DUZ4">
        <f>Database!DVS28</f>
        <v>0</v>
      </c>
      <c r="DVA4">
        <f>Database!DVT28</f>
        <v>0</v>
      </c>
      <c r="DVB4">
        <f>Database!DVU28</f>
        <v>0</v>
      </c>
      <c r="DVC4">
        <f>Database!DVV28</f>
        <v>0</v>
      </c>
      <c r="DVD4">
        <f>Database!DVW28</f>
        <v>0</v>
      </c>
      <c r="DVE4">
        <f>Database!DVX28</f>
        <v>0</v>
      </c>
      <c r="DVF4">
        <f>Database!DVY28</f>
        <v>0</v>
      </c>
      <c r="DVG4">
        <f>Database!DVZ28</f>
        <v>0</v>
      </c>
      <c r="DVH4">
        <f>Database!DWA28</f>
        <v>0</v>
      </c>
      <c r="DVI4">
        <f>Database!DWB28</f>
        <v>0</v>
      </c>
      <c r="DVJ4">
        <f>Database!DWC28</f>
        <v>0</v>
      </c>
      <c r="DVK4">
        <f>Database!DWD28</f>
        <v>0</v>
      </c>
      <c r="DVL4">
        <f>Database!DWE28</f>
        <v>0</v>
      </c>
      <c r="DVM4">
        <f>Database!DWF28</f>
        <v>0</v>
      </c>
      <c r="DVN4">
        <f>Database!DWG28</f>
        <v>0</v>
      </c>
      <c r="DVO4">
        <f>Database!DWH28</f>
        <v>0</v>
      </c>
      <c r="DVP4">
        <f>Database!DWI28</f>
        <v>0</v>
      </c>
      <c r="DVQ4">
        <f>Database!DWJ28</f>
        <v>0</v>
      </c>
      <c r="DVR4">
        <f>Database!DWK28</f>
        <v>0</v>
      </c>
      <c r="DVS4">
        <f>Database!DWL28</f>
        <v>0</v>
      </c>
      <c r="DVT4">
        <f>Database!DWM28</f>
        <v>0</v>
      </c>
      <c r="DVU4">
        <f>Database!DWN28</f>
        <v>0</v>
      </c>
      <c r="DVV4">
        <f>Database!DWO28</f>
        <v>0</v>
      </c>
      <c r="DVW4">
        <f>Database!DWP28</f>
        <v>0</v>
      </c>
      <c r="DVX4">
        <f>Database!DWQ28</f>
        <v>0</v>
      </c>
      <c r="DVY4">
        <f>Database!DWR28</f>
        <v>0</v>
      </c>
      <c r="DVZ4">
        <f>Database!DWS28</f>
        <v>0</v>
      </c>
      <c r="DWA4">
        <f>Database!DWT28</f>
        <v>0</v>
      </c>
      <c r="DWB4">
        <f>Database!DWU28</f>
        <v>0</v>
      </c>
      <c r="DWC4">
        <f>Database!DWV28</f>
        <v>0</v>
      </c>
      <c r="DWD4">
        <f>Database!DWW28</f>
        <v>0</v>
      </c>
      <c r="DWE4">
        <f>Database!DWX28</f>
        <v>0</v>
      </c>
      <c r="DWF4">
        <f>Database!DWY28</f>
        <v>0</v>
      </c>
      <c r="DWG4">
        <f>Database!DWZ28</f>
        <v>0</v>
      </c>
      <c r="DWH4">
        <f>Database!DXA28</f>
        <v>0</v>
      </c>
      <c r="DWI4">
        <f>Database!DXB28</f>
        <v>0</v>
      </c>
      <c r="DWJ4">
        <f>Database!DXC28</f>
        <v>0</v>
      </c>
      <c r="DWK4">
        <f>Database!DXD28</f>
        <v>0</v>
      </c>
      <c r="DWL4">
        <f>Database!DXE28</f>
        <v>0</v>
      </c>
      <c r="DWM4">
        <f>Database!DXF28</f>
        <v>0</v>
      </c>
      <c r="DWN4">
        <f>Database!DXG28</f>
        <v>0</v>
      </c>
      <c r="DWO4">
        <f>Database!DXH28</f>
        <v>0</v>
      </c>
      <c r="DWP4">
        <f>Database!DXI28</f>
        <v>0</v>
      </c>
      <c r="DWQ4">
        <f>Database!DXJ28</f>
        <v>0</v>
      </c>
      <c r="DWR4">
        <f>Database!DXK28</f>
        <v>0</v>
      </c>
      <c r="DWS4">
        <f>Database!DXL28</f>
        <v>0</v>
      </c>
      <c r="DWT4">
        <f>Database!DXM28</f>
        <v>0</v>
      </c>
      <c r="DWU4">
        <f>Database!DXN28</f>
        <v>0</v>
      </c>
      <c r="DWV4">
        <f>Database!DXO28</f>
        <v>0</v>
      </c>
      <c r="DWW4">
        <f>Database!DXP28</f>
        <v>0</v>
      </c>
      <c r="DWX4">
        <f>Database!DXQ28</f>
        <v>0</v>
      </c>
      <c r="DWY4">
        <f>Database!DXR28</f>
        <v>0</v>
      </c>
      <c r="DWZ4">
        <f>Database!DXS28</f>
        <v>0</v>
      </c>
      <c r="DXA4">
        <f>Database!DXT28</f>
        <v>0</v>
      </c>
      <c r="DXB4">
        <f>Database!DXU28</f>
        <v>0</v>
      </c>
      <c r="DXC4">
        <f>Database!DXV28</f>
        <v>0</v>
      </c>
      <c r="DXD4">
        <f>Database!DXW28</f>
        <v>0</v>
      </c>
      <c r="DXE4">
        <f>Database!DXX28</f>
        <v>0</v>
      </c>
      <c r="DXF4">
        <f>Database!DXY28</f>
        <v>0</v>
      </c>
      <c r="DXG4">
        <f>Database!DXZ28</f>
        <v>0</v>
      </c>
      <c r="DXH4">
        <f>Database!DYA28</f>
        <v>0</v>
      </c>
      <c r="DXI4">
        <f>Database!DYB28</f>
        <v>0</v>
      </c>
      <c r="DXJ4">
        <f>Database!DYC28</f>
        <v>0</v>
      </c>
      <c r="DXK4">
        <f>Database!DYD28</f>
        <v>0</v>
      </c>
      <c r="DXL4">
        <f>Database!DYE28</f>
        <v>0</v>
      </c>
      <c r="DXM4">
        <f>Database!DYF28</f>
        <v>0</v>
      </c>
      <c r="DXN4">
        <f>Database!DYG28</f>
        <v>0</v>
      </c>
      <c r="DXO4">
        <f>Database!DYH28</f>
        <v>0</v>
      </c>
      <c r="DXP4">
        <f>Database!DYI28</f>
        <v>0</v>
      </c>
      <c r="DXQ4">
        <f>Database!DYJ28</f>
        <v>0</v>
      </c>
      <c r="DXR4">
        <f>Database!DYK28</f>
        <v>0</v>
      </c>
      <c r="DXS4">
        <f>Database!DYL28</f>
        <v>0</v>
      </c>
      <c r="DXT4">
        <f>Database!DYM28</f>
        <v>0</v>
      </c>
      <c r="DXU4">
        <f>Database!DYN28</f>
        <v>0</v>
      </c>
      <c r="DXV4">
        <f>Database!DYO28</f>
        <v>0</v>
      </c>
      <c r="DXW4">
        <f>Database!DYP28</f>
        <v>0</v>
      </c>
      <c r="DXX4">
        <f>Database!DYQ28</f>
        <v>0</v>
      </c>
      <c r="DXY4">
        <f>Database!DYR28</f>
        <v>0</v>
      </c>
      <c r="DXZ4">
        <f>Database!DYS28</f>
        <v>0</v>
      </c>
      <c r="DYA4">
        <f>Database!DYT28</f>
        <v>0</v>
      </c>
      <c r="DYB4">
        <f>Database!DYU28</f>
        <v>0</v>
      </c>
      <c r="DYC4">
        <f>Database!DYV28</f>
        <v>0</v>
      </c>
      <c r="DYD4">
        <f>Database!DYW28</f>
        <v>0</v>
      </c>
      <c r="DYE4">
        <f>Database!DYX28</f>
        <v>0</v>
      </c>
      <c r="DYF4">
        <f>Database!DYY28</f>
        <v>0</v>
      </c>
      <c r="DYG4">
        <f>Database!DYZ28</f>
        <v>0</v>
      </c>
      <c r="DYH4">
        <f>Database!DZA28</f>
        <v>0</v>
      </c>
      <c r="DYI4">
        <f>Database!DZB28</f>
        <v>0</v>
      </c>
      <c r="DYJ4">
        <f>Database!DZC28</f>
        <v>0</v>
      </c>
      <c r="DYK4">
        <f>Database!DZD28</f>
        <v>0</v>
      </c>
      <c r="DYL4">
        <f>Database!DZE28</f>
        <v>0</v>
      </c>
      <c r="DYM4">
        <f>Database!DZF28</f>
        <v>0</v>
      </c>
      <c r="DYN4">
        <f>Database!DZG28</f>
        <v>0</v>
      </c>
      <c r="DYO4">
        <f>Database!DZH28</f>
        <v>0</v>
      </c>
      <c r="DYP4">
        <f>Database!DZI28</f>
        <v>0</v>
      </c>
      <c r="DYQ4">
        <f>Database!DZJ28</f>
        <v>0</v>
      </c>
      <c r="DYR4">
        <f>Database!DZK28</f>
        <v>0</v>
      </c>
      <c r="DYS4">
        <f>Database!DZL28</f>
        <v>0</v>
      </c>
      <c r="DYT4">
        <f>Database!DZM28</f>
        <v>0</v>
      </c>
      <c r="DYU4">
        <f>Database!DZN28</f>
        <v>0</v>
      </c>
      <c r="DYV4">
        <f>Database!DZO28</f>
        <v>0</v>
      </c>
      <c r="DYW4">
        <f>Database!DZP28</f>
        <v>0</v>
      </c>
      <c r="DYX4">
        <f>Database!DZQ28</f>
        <v>0</v>
      </c>
      <c r="DYY4">
        <f>Database!DZR28</f>
        <v>0</v>
      </c>
      <c r="DYZ4">
        <f>Database!DZS28</f>
        <v>0</v>
      </c>
      <c r="DZA4">
        <f>Database!DZT28</f>
        <v>0</v>
      </c>
      <c r="DZB4">
        <f>Database!DZU28</f>
        <v>0</v>
      </c>
      <c r="DZC4">
        <f>Database!DZV28</f>
        <v>0</v>
      </c>
      <c r="DZD4">
        <f>Database!DZW28</f>
        <v>0</v>
      </c>
      <c r="DZE4">
        <f>Database!DZX28</f>
        <v>0</v>
      </c>
      <c r="DZF4">
        <f>Database!DZY28</f>
        <v>0</v>
      </c>
      <c r="DZG4">
        <f>Database!DZZ28</f>
        <v>0</v>
      </c>
      <c r="DZH4">
        <f>Database!EAA28</f>
        <v>0</v>
      </c>
      <c r="DZI4">
        <f>Database!EAB28</f>
        <v>0</v>
      </c>
      <c r="DZJ4">
        <f>Database!EAC28</f>
        <v>0</v>
      </c>
      <c r="DZK4">
        <f>Database!EAD28</f>
        <v>0</v>
      </c>
      <c r="DZL4">
        <f>Database!EAE28</f>
        <v>0</v>
      </c>
      <c r="DZM4">
        <f>Database!EAF28</f>
        <v>0</v>
      </c>
      <c r="DZN4">
        <f>Database!EAG28</f>
        <v>0</v>
      </c>
      <c r="DZO4">
        <f>Database!EAH28</f>
        <v>0</v>
      </c>
      <c r="DZP4">
        <f>Database!EAI28</f>
        <v>0</v>
      </c>
      <c r="DZQ4">
        <f>Database!EAJ28</f>
        <v>0</v>
      </c>
      <c r="DZR4">
        <f>Database!EAK28</f>
        <v>0</v>
      </c>
      <c r="DZS4">
        <f>Database!EAL28</f>
        <v>0</v>
      </c>
      <c r="DZT4">
        <f>Database!EAM28</f>
        <v>0</v>
      </c>
      <c r="DZU4">
        <f>Database!EAN28</f>
        <v>0</v>
      </c>
      <c r="DZV4">
        <f>Database!EAO28</f>
        <v>0</v>
      </c>
      <c r="DZW4">
        <f>Database!EAP28</f>
        <v>0</v>
      </c>
      <c r="DZX4">
        <f>Database!EAQ28</f>
        <v>0</v>
      </c>
      <c r="DZY4">
        <f>Database!EAR28</f>
        <v>0</v>
      </c>
      <c r="DZZ4">
        <f>Database!EAS28</f>
        <v>0</v>
      </c>
      <c r="EAA4">
        <f>Database!EAT28</f>
        <v>0</v>
      </c>
      <c r="EAB4">
        <f>Database!EAU28</f>
        <v>0</v>
      </c>
      <c r="EAC4">
        <f>Database!EAV28</f>
        <v>0</v>
      </c>
      <c r="EAD4">
        <f>Database!EAW28</f>
        <v>0</v>
      </c>
      <c r="EAE4">
        <f>Database!EAX28</f>
        <v>0</v>
      </c>
      <c r="EAF4">
        <f>Database!EAY28</f>
        <v>0</v>
      </c>
      <c r="EAG4">
        <f>Database!EAZ28</f>
        <v>0</v>
      </c>
      <c r="EAH4">
        <f>Database!EBA28</f>
        <v>0</v>
      </c>
      <c r="EAI4">
        <f>Database!EBB28</f>
        <v>0</v>
      </c>
      <c r="EAJ4">
        <f>Database!EBC28</f>
        <v>0</v>
      </c>
      <c r="EAK4">
        <f>Database!EBD28</f>
        <v>0</v>
      </c>
      <c r="EAL4">
        <f>Database!EBE28</f>
        <v>0</v>
      </c>
      <c r="EAM4">
        <f>Database!EBF28</f>
        <v>0</v>
      </c>
      <c r="EAN4">
        <f>Database!EBG28</f>
        <v>0</v>
      </c>
      <c r="EAO4">
        <f>Database!EBH28</f>
        <v>0</v>
      </c>
      <c r="EAP4">
        <f>Database!EBI28</f>
        <v>0</v>
      </c>
      <c r="EAQ4">
        <f>Database!EBJ28</f>
        <v>0</v>
      </c>
      <c r="EAR4">
        <f>Database!EBK28</f>
        <v>0</v>
      </c>
      <c r="EAS4">
        <f>Database!EBL28</f>
        <v>0</v>
      </c>
      <c r="EAT4">
        <f>Database!EBM28</f>
        <v>0</v>
      </c>
      <c r="EAU4">
        <f>Database!EBN28</f>
        <v>0</v>
      </c>
      <c r="EAV4">
        <f>Database!EBO28</f>
        <v>0</v>
      </c>
      <c r="EAW4">
        <f>Database!EBP28</f>
        <v>0</v>
      </c>
      <c r="EAX4">
        <f>Database!EBQ28</f>
        <v>0</v>
      </c>
      <c r="EAY4">
        <f>Database!EBR28</f>
        <v>0</v>
      </c>
      <c r="EAZ4">
        <f>Database!EBS28</f>
        <v>0</v>
      </c>
      <c r="EBA4">
        <f>Database!EBT28</f>
        <v>0</v>
      </c>
      <c r="EBB4">
        <f>Database!EBU28</f>
        <v>0</v>
      </c>
      <c r="EBC4">
        <f>Database!EBV28</f>
        <v>0</v>
      </c>
      <c r="EBD4">
        <f>Database!EBW28</f>
        <v>0</v>
      </c>
      <c r="EBE4">
        <f>Database!EBX28</f>
        <v>0</v>
      </c>
      <c r="EBF4">
        <f>Database!EBY28</f>
        <v>0</v>
      </c>
      <c r="EBG4">
        <f>Database!EBZ28</f>
        <v>0</v>
      </c>
      <c r="EBH4">
        <f>Database!ECA28</f>
        <v>0</v>
      </c>
      <c r="EBI4">
        <f>Database!ECB28</f>
        <v>0</v>
      </c>
      <c r="EBJ4">
        <f>Database!ECC28</f>
        <v>0</v>
      </c>
      <c r="EBK4">
        <f>Database!ECD28</f>
        <v>0</v>
      </c>
      <c r="EBL4">
        <f>Database!ECE28</f>
        <v>0</v>
      </c>
      <c r="EBM4">
        <f>Database!ECF28</f>
        <v>0</v>
      </c>
      <c r="EBN4">
        <f>Database!ECG28</f>
        <v>0</v>
      </c>
      <c r="EBO4">
        <f>Database!ECH28</f>
        <v>0</v>
      </c>
      <c r="EBP4">
        <f>Database!ECI28</f>
        <v>0</v>
      </c>
      <c r="EBQ4">
        <f>Database!ECJ28</f>
        <v>0</v>
      </c>
      <c r="EBR4">
        <f>Database!ECK28</f>
        <v>0</v>
      </c>
      <c r="EBS4">
        <f>Database!ECL28</f>
        <v>0</v>
      </c>
      <c r="EBT4">
        <f>Database!ECM28</f>
        <v>0</v>
      </c>
      <c r="EBU4">
        <f>Database!ECN28</f>
        <v>0</v>
      </c>
      <c r="EBV4">
        <f>Database!ECO28</f>
        <v>0</v>
      </c>
      <c r="EBW4">
        <f>Database!ECP28</f>
        <v>0</v>
      </c>
      <c r="EBX4">
        <f>Database!ECQ28</f>
        <v>0</v>
      </c>
      <c r="EBY4">
        <f>Database!ECR28</f>
        <v>0</v>
      </c>
      <c r="EBZ4">
        <f>Database!ECS28</f>
        <v>0</v>
      </c>
      <c r="ECA4">
        <f>Database!ECT28</f>
        <v>0</v>
      </c>
      <c r="ECB4">
        <f>Database!ECU28</f>
        <v>0</v>
      </c>
      <c r="ECC4">
        <f>Database!ECV28</f>
        <v>0</v>
      </c>
      <c r="ECD4">
        <f>Database!ECW28</f>
        <v>0</v>
      </c>
      <c r="ECE4">
        <f>Database!ECX28</f>
        <v>0</v>
      </c>
      <c r="ECF4">
        <f>Database!ECY28</f>
        <v>0</v>
      </c>
      <c r="ECG4">
        <f>Database!ECZ28</f>
        <v>0</v>
      </c>
      <c r="ECH4">
        <f>Database!EDA28</f>
        <v>0</v>
      </c>
      <c r="ECI4">
        <f>Database!EDB28</f>
        <v>0</v>
      </c>
      <c r="ECJ4">
        <f>Database!EDC28</f>
        <v>0</v>
      </c>
      <c r="ECK4">
        <f>Database!EDD28</f>
        <v>0</v>
      </c>
      <c r="ECL4">
        <f>Database!EDE28</f>
        <v>0</v>
      </c>
      <c r="ECM4">
        <f>Database!EDF28</f>
        <v>0</v>
      </c>
      <c r="ECN4">
        <f>Database!EDG28</f>
        <v>0</v>
      </c>
      <c r="ECO4">
        <f>Database!EDH28</f>
        <v>0</v>
      </c>
      <c r="ECP4">
        <f>Database!EDI28</f>
        <v>0</v>
      </c>
      <c r="ECQ4">
        <f>Database!EDJ28</f>
        <v>0</v>
      </c>
      <c r="ECR4">
        <f>Database!EDK28</f>
        <v>0</v>
      </c>
      <c r="ECS4">
        <f>Database!EDL28</f>
        <v>0</v>
      </c>
      <c r="ECT4">
        <f>Database!EDM28</f>
        <v>0</v>
      </c>
      <c r="ECU4">
        <f>Database!EDN28</f>
        <v>0</v>
      </c>
      <c r="ECV4">
        <f>Database!EDO28</f>
        <v>0</v>
      </c>
      <c r="ECW4">
        <f>Database!EDP28</f>
        <v>0</v>
      </c>
      <c r="ECX4">
        <f>Database!EDQ28</f>
        <v>0</v>
      </c>
      <c r="ECY4">
        <f>Database!EDR28</f>
        <v>0</v>
      </c>
      <c r="ECZ4">
        <f>Database!EDS28</f>
        <v>0</v>
      </c>
      <c r="EDA4">
        <f>Database!EDT28</f>
        <v>0</v>
      </c>
      <c r="EDB4">
        <f>Database!EDU28</f>
        <v>0</v>
      </c>
      <c r="EDC4">
        <f>Database!EDV28</f>
        <v>0</v>
      </c>
      <c r="EDD4">
        <f>Database!EDW28</f>
        <v>0</v>
      </c>
      <c r="EDE4">
        <f>Database!EDX28</f>
        <v>0</v>
      </c>
      <c r="EDF4">
        <f>Database!EDY28</f>
        <v>0</v>
      </c>
      <c r="EDG4">
        <f>Database!EDZ28</f>
        <v>0</v>
      </c>
      <c r="EDH4">
        <f>Database!EEA28</f>
        <v>0</v>
      </c>
      <c r="EDI4">
        <f>Database!EEB28</f>
        <v>0</v>
      </c>
      <c r="EDJ4">
        <f>Database!EEC28</f>
        <v>0</v>
      </c>
      <c r="EDK4">
        <f>Database!EED28</f>
        <v>0</v>
      </c>
      <c r="EDL4">
        <f>Database!EEE28</f>
        <v>0</v>
      </c>
      <c r="EDM4">
        <f>Database!EEF28</f>
        <v>0</v>
      </c>
      <c r="EDN4">
        <f>Database!EEG28</f>
        <v>0</v>
      </c>
      <c r="EDO4">
        <f>Database!EEH28</f>
        <v>0</v>
      </c>
      <c r="EDP4">
        <f>Database!EEI28</f>
        <v>0</v>
      </c>
      <c r="EDQ4">
        <f>Database!EEJ28</f>
        <v>0</v>
      </c>
      <c r="EDR4">
        <f>Database!EEK28</f>
        <v>0</v>
      </c>
      <c r="EDS4">
        <f>Database!EEL28</f>
        <v>0</v>
      </c>
      <c r="EDT4">
        <f>Database!EEM28</f>
        <v>0</v>
      </c>
      <c r="EDU4">
        <f>Database!EEN28</f>
        <v>0</v>
      </c>
      <c r="EDV4">
        <f>Database!EEO28</f>
        <v>0</v>
      </c>
      <c r="EDW4">
        <f>Database!EEP28</f>
        <v>0</v>
      </c>
      <c r="EDX4">
        <f>Database!EEQ28</f>
        <v>0</v>
      </c>
      <c r="EDY4">
        <f>Database!EER28</f>
        <v>0</v>
      </c>
      <c r="EDZ4">
        <f>Database!EES28</f>
        <v>0</v>
      </c>
      <c r="EEA4">
        <f>Database!EET28</f>
        <v>0</v>
      </c>
      <c r="EEB4">
        <f>Database!EEU28</f>
        <v>0</v>
      </c>
      <c r="EEC4">
        <f>Database!EEV28</f>
        <v>0</v>
      </c>
      <c r="EED4">
        <f>Database!EEW28</f>
        <v>0</v>
      </c>
      <c r="EEE4">
        <f>Database!EEX28</f>
        <v>0</v>
      </c>
      <c r="EEF4">
        <f>Database!EEY28</f>
        <v>0</v>
      </c>
      <c r="EEG4">
        <f>Database!EEZ28</f>
        <v>0</v>
      </c>
      <c r="EEH4">
        <f>Database!EFA28</f>
        <v>0</v>
      </c>
      <c r="EEI4">
        <f>Database!EFB28</f>
        <v>0</v>
      </c>
      <c r="EEJ4">
        <f>Database!EFC28</f>
        <v>0</v>
      </c>
      <c r="EEK4">
        <f>Database!EFD28</f>
        <v>0</v>
      </c>
      <c r="EEL4">
        <f>Database!EFE28</f>
        <v>0</v>
      </c>
      <c r="EEM4">
        <f>Database!EFF28</f>
        <v>0</v>
      </c>
      <c r="EEN4">
        <f>Database!EFG28</f>
        <v>0</v>
      </c>
      <c r="EEO4">
        <f>Database!EFH28</f>
        <v>0</v>
      </c>
      <c r="EEP4">
        <f>Database!EFI28</f>
        <v>0</v>
      </c>
      <c r="EEQ4">
        <f>Database!EFJ28</f>
        <v>0</v>
      </c>
      <c r="EER4">
        <f>Database!EFK28</f>
        <v>0</v>
      </c>
      <c r="EES4">
        <f>Database!EFL28</f>
        <v>0</v>
      </c>
      <c r="EET4">
        <f>Database!EFM28</f>
        <v>0</v>
      </c>
      <c r="EEU4">
        <f>Database!EFN28</f>
        <v>0</v>
      </c>
      <c r="EEV4">
        <f>Database!EFO28</f>
        <v>0</v>
      </c>
      <c r="EEW4">
        <f>Database!EFP28</f>
        <v>0</v>
      </c>
      <c r="EEX4">
        <f>Database!EFQ28</f>
        <v>0</v>
      </c>
      <c r="EEY4">
        <f>Database!EFR28</f>
        <v>0</v>
      </c>
      <c r="EEZ4">
        <f>Database!EFS28</f>
        <v>0</v>
      </c>
      <c r="EFA4">
        <f>Database!EFT28</f>
        <v>0</v>
      </c>
      <c r="EFB4">
        <f>Database!EFU28</f>
        <v>0</v>
      </c>
      <c r="EFC4">
        <f>Database!EFV28</f>
        <v>0</v>
      </c>
      <c r="EFD4">
        <f>Database!EFW28</f>
        <v>0</v>
      </c>
      <c r="EFE4">
        <f>Database!EFX28</f>
        <v>0</v>
      </c>
      <c r="EFF4">
        <f>Database!EFY28</f>
        <v>0</v>
      </c>
      <c r="EFG4">
        <f>Database!EFZ28</f>
        <v>0</v>
      </c>
      <c r="EFH4">
        <f>Database!EGA28</f>
        <v>0</v>
      </c>
      <c r="EFI4">
        <f>Database!EGB28</f>
        <v>0</v>
      </c>
      <c r="EFJ4">
        <f>Database!EGC28</f>
        <v>0</v>
      </c>
      <c r="EFK4">
        <f>Database!EGD28</f>
        <v>0</v>
      </c>
      <c r="EFL4">
        <f>Database!EGE28</f>
        <v>0</v>
      </c>
      <c r="EFM4">
        <f>Database!EGF28</f>
        <v>0</v>
      </c>
      <c r="EFN4">
        <f>Database!EGG28</f>
        <v>0</v>
      </c>
      <c r="EFO4">
        <f>Database!EGH28</f>
        <v>0</v>
      </c>
      <c r="EFP4">
        <f>Database!EGI28</f>
        <v>0</v>
      </c>
      <c r="EFQ4">
        <f>Database!EGJ28</f>
        <v>0</v>
      </c>
      <c r="EFR4">
        <f>Database!EGK28</f>
        <v>0</v>
      </c>
      <c r="EFS4">
        <f>Database!EGL28</f>
        <v>0</v>
      </c>
      <c r="EFT4">
        <f>Database!EGM28</f>
        <v>0</v>
      </c>
      <c r="EFU4">
        <f>Database!EGN28</f>
        <v>0</v>
      </c>
      <c r="EFV4">
        <f>Database!EGO28</f>
        <v>0</v>
      </c>
      <c r="EFW4">
        <f>Database!EGP28</f>
        <v>0</v>
      </c>
      <c r="EFX4">
        <f>Database!EGQ28</f>
        <v>0</v>
      </c>
      <c r="EFY4">
        <f>Database!EGR28</f>
        <v>0</v>
      </c>
      <c r="EFZ4">
        <f>Database!EGS28</f>
        <v>0</v>
      </c>
      <c r="EGA4">
        <f>Database!EGT28</f>
        <v>0</v>
      </c>
      <c r="EGB4">
        <f>Database!EGU28</f>
        <v>0</v>
      </c>
      <c r="EGC4">
        <f>Database!EGV28</f>
        <v>0</v>
      </c>
      <c r="EGD4">
        <f>Database!EGW28</f>
        <v>0</v>
      </c>
      <c r="EGE4">
        <f>Database!EGX28</f>
        <v>0</v>
      </c>
      <c r="EGF4">
        <f>Database!EGY28</f>
        <v>0</v>
      </c>
      <c r="EGG4">
        <f>Database!EGZ28</f>
        <v>0</v>
      </c>
      <c r="EGH4">
        <f>Database!EHA28</f>
        <v>0</v>
      </c>
      <c r="EGI4">
        <f>Database!EHB28</f>
        <v>0</v>
      </c>
      <c r="EGJ4">
        <f>Database!EHC28</f>
        <v>0</v>
      </c>
      <c r="EGK4">
        <f>Database!EHD28</f>
        <v>0</v>
      </c>
      <c r="EGL4">
        <f>Database!EHE28</f>
        <v>0</v>
      </c>
      <c r="EGM4">
        <f>Database!EHF28</f>
        <v>0</v>
      </c>
      <c r="EGN4">
        <f>Database!EHG28</f>
        <v>0</v>
      </c>
      <c r="EGO4">
        <f>Database!EHH28</f>
        <v>0</v>
      </c>
      <c r="EGP4">
        <f>Database!EHI28</f>
        <v>0</v>
      </c>
      <c r="EGQ4">
        <f>Database!EHJ28</f>
        <v>0</v>
      </c>
      <c r="EGR4">
        <f>Database!EHK28</f>
        <v>0</v>
      </c>
      <c r="EGS4">
        <f>Database!EHL28</f>
        <v>0</v>
      </c>
      <c r="EGT4">
        <f>Database!EHM28</f>
        <v>0</v>
      </c>
      <c r="EGU4">
        <f>Database!EHN28</f>
        <v>0</v>
      </c>
      <c r="EGV4">
        <f>Database!EHO28</f>
        <v>0</v>
      </c>
      <c r="EGW4">
        <f>Database!EHP28</f>
        <v>0</v>
      </c>
      <c r="EGX4">
        <f>Database!EHQ28</f>
        <v>0</v>
      </c>
      <c r="EGY4">
        <f>Database!EHR28</f>
        <v>0</v>
      </c>
      <c r="EGZ4">
        <f>Database!EHS28</f>
        <v>0</v>
      </c>
      <c r="EHA4">
        <f>Database!EHT28</f>
        <v>0</v>
      </c>
      <c r="EHB4">
        <f>Database!EHU28</f>
        <v>0</v>
      </c>
      <c r="EHC4">
        <f>Database!EHV28</f>
        <v>0</v>
      </c>
      <c r="EHD4">
        <f>Database!EHW28</f>
        <v>0</v>
      </c>
      <c r="EHE4">
        <f>Database!EHX28</f>
        <v>0</v>
      </c>
      <c r="EHF4">
        <f>Database!EHY28</f>
        <v>0</v>
      </c>
      <c r="EHG4">
        <f>Database!EHZ28</f>
        <v>0</v>
      </c>
      <c r="EHH4">
        <f>Database!EIA28</f>
        <v>0</v>
      </c>
      <c r="EHI4">
        <f>Database!EIB28</f>
        <v>0</v>
      </c>
      <c r="EHJ4">
        <f>Database!EIC28</f>
        <v>0</v>
      </c>
      <c r="EHK4">
        <f>Database!EID28</f>
        <v>0</v>
      </c>
      <c r="EHL4">
        <f>Database!EIE28</f>
        <v>0</v>
      </c>
      <c r="EHM4">
        <f>Database!EIF28</f>
        <v>0</v>
      </c>
      <c r="EHN4">
        <f>Database!EIG28</f>
        <v>0</v>
      </c>
      <c r="EHO4">
        <f>Database!EIH28</f>
        <v>0</v>
      </c>
      <c r="EHP4">
        <f>Database!EII28</f>
        <v>0</v>
      </c>
      <c r="EHQ4">
        <f>Database!EIJ28</f>
        <v>0</v>
      </c>
      <c r="EHR4">
        <f>Database!EIK28</f>
        <v>0</v>
      </c>
      <c r="EHS4">
        <f>Database!EIL28</f>
        <v>0</v>
      </c>
      <c r="EHT4">
        <f>Database!EIM28</f>
        <v>0</v>
      </c>
      <c r="EHU4">
        <f>Database!EIN28</f>
        <v>0</v>
      </c>
      <c r="EHV4">
        <f>Database!EIO28</f>
        <v>0</v>
      </c>
      <c r="EHW4">
        <f>Database!EIP28</f>
        <v>0</v>
      </c>
      <c r="EHX4">
        <f>Database!EIQ28</f>
        <v>0</v>
      </c>
      <c r="EHY4">
        <f>Database!EIR28</f>
        <v>0</v>
      </c>
      <c r="EHZ4">
        <f>Database!EIS28</f>
        <v>0</v>
      </c>
      <c r="EIA4">
        <f>Database!EIT28</f>
        <v>0</v>
      </c>
      <c r="EIB4">
        <f>Database!EIU28</f>
        <v>0</v>
      </c>
      <c r="EIC4">
        <f>Database!EIV28</f>
        <v>0</v>
      </c>
      <c r="EID4">
        <f>Database!EIW28</f>
        <v>0</v>
      </c>
      <c r="EIE4">
        <f>Database!EIX28</f>
        <v>0</v>
      </c>
      <c r="EIF4">
        <f>Database!EIY28</f>
        <v>0</v>
      </c>
      <c r="EIG4">
        <f>Database!EIZ28</f>
        <v>0</v>
      </c>
      <c r="EIH4">
        <f>Database!EJA28</f>
        <v>0</v>
      </c>
      <c r="EII4">
        <f>Database!EJB28</f>
        <v>0</v>
      </c>
      <c r="EIJ4">
        <f>Database!EJC28</f>
        <v>0</v>
      </c>
      <c r="EIK4">
        <f>Database!EJD28</f>
        <v>0</v>
      </c>
      <c r="EIL4">
        <f>Database!EJE28</f>
        <v>0</v>
      </c>
      <c r="EIM4">
        <f>Database!EJF28</f>
        <v>0</v>
      </c>
      <c r="EIN4">
        <f>Database!EJG28</f>
        <v>0</v>
      </c>
      <c r="EIO4">
        <f>Database!EJH28</f>
        <v>0</v>
      </c>
      <c r="EIP4">
        <f>Database!EJI28</f>
        <v>0</v>
      </c>
      <c r="EIQ4">
        <f>Database!EJJ28</f>
        <v>0</v>
      </c>
      <c r="EIR4">
        <f>Database!EJK28</f>
        <v>0</v>
      </c>
      <c r="EIS4">
        <f>Database!EJL28</f>
        <v>0</v>
      </c>
      <c r="EIT4">
        <f>Database!EJM28</f>
        <v>0</v>
      </c>
      <c r="EIU4">
        <f>Database!EJN28</f>
        <v>0</v>
      </c>
      <c r="EIV4">
        <f>Database!EJO28</f>
        <v>0</v>
      </c>
      <c r="EIW4">
        <f>Database!EJP28</f>
        <v>0</v>
      </c>
      <c r="EIX4">
        <f>Database!EJQ28</f>
        <v>0</v>
      </c>
      <c r="EIY4">
        <f>Database!EJR28</f>
        <v>0</v>
      </c>
      <c r="EIZ4">
        <f>Database!EJS28</f>
        <v>0</v>
      </c>
      <c r="EJA4">
        <f>Database!EJT28</f>
        <v>0</v>
      </c>
      <c r="EJB4">
        <f>Database!EJU28</f>
        <v>0</v>
      </c>
      <c r="EJC4">
        <f>Database!EJV28</f>
        <v>0</v>
      </c>
      <c r="EJD4">
        <f>Database!EJW28</f>
        <v>0</v>
      </c>
      <c r="EJE4">
        <f>Database!EJX28</f>
        <v>0</v>
      </c>
      <c r="EJF4">
        <f>Database!EJY28</f>
        <v>0</v>
      </c>
      <c r="EJG4">
        <f>Database!EJZ28</f>
        <v>0</v>
      </c>
      <c r="EJH4">
        <f>Database!EKA28</f>
        <v>0</v>
      </c>
      <c r="EJI4">
        <f>Database!EKB28</f>
        <v>0</v>
      </c>
      <c r="EJJ4">
        <f>Database!EKC28</f>
        <v>0</v>
      </c>
      <c r="EJK4">
        <f>Database!EKD28</f>
        <v>0</v>
      </c>
      <c r="EJL4">
        <f>Database!EKE28</f>
        <v>0</v>
      </c>
      <c r="EJM4">
        <f>Database!EKF28</f>
        <v>0</v>
      </c>
      <c r="EJN4">
        <f>Database!EKG28</f>
        <v>0</v>
      </c>
      <c r="EJO4">
        <f>Database!EKH28</f>
        <v>0</v>
      </c>
      <c r="EJP4">
        <f>Database!EKI28</f>
        <v>0</v>
      </c>
      <c r="EJQ4">
        <f>Database!EKJ28</f>
        <v>0</v>
      </c>
      <c r="EJR4">
        <f>Database!EKK28</f>
        <v>0</v>
      </c>
      <c r="EJS4">
        <f>Database!EKL28</f>
        <v>0</v>
      </c>
      <c r="EJT4">
        <f>Database!EKM28</f>
        <v>0</v>
      </c>
      <c r="EJU4">
        <f>Database!EKN28</f>
        <v>0</v>
      </c>
      <c r="EJV4">
        <f>Database!EKO28</f>
        <v>0</v>
      </c>
      <c r="EJW4">
        <f>Database!EKP28</f>
        <v>0</v>
      </c>
      <c r="EJX4">
        <f>Database!EKQ28</f>
        <v>0</v>
      </c>
      <c r="EJY4">
        <f>Database!EKR28</f>
        <v>0</v>
      </c>
      <c r="EJZ4">
        <f>Database!EKS28</f>
        <v>0</v>
      </c>
      <c r="EKA4">
        <f>Database!EKT28</f>
        <v>0</v>
      </c>
      <c r="EKB4">
        <f>Database!EKU28</f>
        <v>0</v>
      </c>
      <c r="EKC4">
        <f>Database!EKV28</f>
        <v>0</v>
      </c>
      <c r="EKD4">
        <f>Database!EKW28</f>
        <v>0</v>
      </c>
      <c r="EKE4">
        <f>Database!EKX28</f>
        <v>0</v>
      </c>
      <c r="EKF4">
        <f>Database!EKY28</f>
        <v>0</v>
      </c>
      <c r="EKG4">
        <f>Database!EKZ28</f>
        <v>0</v>
      </c>
      <c r="EKH4">
        <f>Database!ELA28</f>
        <v>0</v>
      </c>
      <c r="EKI4">
        <f>Database!ELB28</f>
        <v>0</v>
      </c>
      <c r="EKJ4">
        <f>Database!ELC28</f>
        <v>0</v>
      </c>
      <c r="EKK4">
        <f>Database!ELD28</f>
        <v>0</v>
      </c>
      <c r="EKL4">
        <f>Database!ELE28</f>
        <v>0</v>
      </c>
      <c r="EKM4">
        <f>Database!ELF28</f>
        <v>0</v>
      </c>
      <c r="EKN4">
        <f>Database!ELG28</f>
        <v>0</v>
      </c>
      <c r="EKO4">
        <f>Database!ELH28</f>
        <v>0</v>
      </c>
      <c r="EKP4">
        <f>Database!ELI28</f>
        <v>0</v>
      </c>
      <c r="EKQ4">
        <f>Database!ELJ28</f>
        <v>0</v>
      </c>
      <c r="EKR4">
        <f>Database!ELK28</f>
        <v>0</v>
      </c>
      <c r="EKS4">
        <f>Database!ELL28</f>
        <v>0</v>
      </c>
      <c r="EKT4">
        <f>Database!ELM28</f>
        <v>0</v>
      </c>
      <c r="EKU4">
        <f>Database!ELN28</f>
        <v>0</v>
      </c>
      <c r="EKV4">
        <f>Database!ELO28</f>
        <v>0</v>
      </c>
      <c r="EKW4">
        <f>Database!ELP28</f>
        <v>0</v>
      </c>
      <c r="EKX4">
        <f>Database!ELQ28</f>
        <v>0</v>
      </c>
      <c r="EKY4">
        <f>Database!ELR28</f>
        <v>0</v>
      </c>
      <c r="EKZ4">
        <f>Database!ELS28</f>
        <v>0</v>
      </c>
      <c r="ELA4">
        <f>Database!ELT28</f>
        <v>0</v>
      </c>
      <c r="ELB4">
        <f>Database!ELU28</f>
        <v>0</v>
      </c>
      <c r="ELC4">
        <f>Database!ELV28</f>
        <v>0</v>
      </c>
      <c r="ELD4">
        <f>Database!ELW28</f>
        <v>0</v>
      </c>
      <c r="ELE4">
        <f>Database!ELX28</f>
        <v>0</v>
      </c>
      <c r="ELF4">
        <f>Database!ELY28</f>
        <v>0</v>
      </c>
      <c r="ELG4">
        <f>Database!ELZ28</f>
        <v>0</v>
      </c>
      <c r="ELH4">
        <f>Database!EMA28</f>
        <v>0</v>
      </c>
      <c r="ELI4">
        <f>Database!EMB28</f>
        <v>0</v>
      </c>
      <c r="ELJ4">
        <f>Database!EMC28</f>
        <v>0</v>
      </c>
      <c r="ELK4">
        <f>Database!EMD28</f>
        <v>0</v>
      </c>
      <c r="ELL4">
        <f>Database!EME28</f>
        <v>0</v>
      </c>
      <c r="ELM4">
        <f>Database!EMF28</f>
        <v>0</v>
      </c>
      <c r="ELN4">
        <f>Database!EMG28</f>
        <v>0</v>
      </c>
      <c r="ELO4">
        <f>Database!EMH28</f>
        <v>0</v>
      </c>
      <c r="ELP4">
        <f>Database!EMI28</f>
        <v>0</v>
      </c>
      <c r="ELQ4">
        <f>Database!EMJ28</f>
        <v>0</v>
      </c>
      <c r="ELR4">
        <f>Database!EMK28</f>
        <v>0</v>
      </c>
      <c r="ELS4">
        <f>Database!EML28</f>
        <v>0</v>
      </c>
      <c r="ELT4">
        <f>Database!EMM28</f>
        <v>0</v>
      </c>
      <c r="ELU4">
        <f>Database!EMN28</f>
        <v>0</v>
      </c>
      <c r="ELV4">
        <f>Database!EMO28</f>
        <v>0</v>
      </c>
      <c r="ELW4">
        <f>Database!EMP28</f>
        <v>0</v>
      </c>
      <c r="ELX4">
        <f>Database!EMQ28</f>
        <v>0</v>
      </c>
      <c r="ELY4">
        <f>Database!EMR28</f>
        <v>0</v>
      </c>
      <c r="ELZ4">
        <f>Database!EMS28</f>
        <v>0</v>
      </c>
      <c r="EMA4">
        <f>Database!EMT28</f>
        <v>0</v>
      </c>
      <c r="EMB4">
        <f>Database!EMU28</f>
        <v>0</v>
      </c>
      <c r="EMC4">
        <f>Database!EMV28</f>
        <v>0</v>
      </c>
      <c r="EMD4">
        <f>Database!EMW28</f>
        <v>0</v>
      </c>
      <c r="EME4">
        <f>Database!EMX28</f>
        <v>0</v>
      </c>
      <c r="EMF4">
        <f>Database!EMY28</f>
        <v>0</v>
      </c>
      <c r="EMG4">
        <f>Database!EMZ28</f>
        <v>0</v>
      </c>
      <c r="EMH4">
        <f>Database!ENA28</f>
        <v>0</v>
      </c>
      <c r="EMI4">
        <f>Database!ENB28</f>
        <v>0</v>
      </c>
      <c r="EMJ4">
        <f>Database!ENC28</f>
        <v>0</v>
      </c>
      <c r="EMK4">
        <f>Database!END28</f>
        <v>0</v>
      </c>
      <c r="EML4">
        <f>Database!ENE28</f>
        <v>0</v>
      </c>
      <c r="EMM4">
        <f>Database!ENF28</f>
        <v>0</v>
      </c>
      <c r="EMN4">
        <f>Database!ENG28</f>
        <v>0</v>
      </c>
      <c r="EMO4">
        <f>Database!ENH28</f>
        <v>0</v>
      </c>
      <c r="EMP4">
        <f>Database!ENI28</f>
        <v>0</v>
      </c>
      <c r="EMQ4">
        <f>Database!ENJ28</f>
        <v>0</v>
      </c>
      <c r="EMR4">
        <f>Database!ENK28</f>
        <v>0</v>
      </c>
      <c r="EMS4">
        <f>Database!ENL28</f>
        <v>0</v>
      </c>
      <c r="EMT4">
        <f>Database!ENM28</f>
        <v>0</v>
      </c>
      <c r="EMU4">
        <f>Database!ENN28</f>
        <v>0</v>
      </c>
      <c r="EMV4">
        <f>Database!ENO28</f>
        <v>0</v>
      </c>
      <c r="EMW4">
        <f>Database!ENP28</f>
        <v>0</v>
      </c>
      <c r="EMX4">
        <f>Database!ENQ28</f>
        <v>0</v>
      </c>
      <c r="EMY4">
        <f>Database!ENR28</f>
        <v>0</v>
      </c>
      <c r="EMZ4">
        <f>Database!ENS28</f>
        <v>0</v>
      </c>
      <c r="ENA4">
        <f>Database!ENT28</f>
        <v>0</v>
      </c>
      <c r="ENB4">
        <f>Database!ENU28</f>
        <v>0</v>
      </c>
      <c r="ENC4">
        <f>Database!ENV28</f>
        <v>0</v>
      </c>
      <c r="END4">
        <f>Database!ENW28</f>
        <v>0</v>
      </c>
      <c r="ENE4">
        <f>Database!ENX28</f>
        <v>0</v>
      </c>
      <c r="ENF4">
        <f>Database!ENY28</f>
        <v>0</v>
      </c>
      <c r="ENG4">
        <f>Database!ENZ28</f>
        <v>0</v>
      </c>
      <c r="ENH4">
        <f>Database!EOA28</f>
        <v>0</v>
      </c>
      <c r="ENI4">
        <f>Database!EOB28</f>
        <v>0</v>
      </c>
      <c r="ENJ4">
        <f>Database!EOC28</f>
        <v>0</v>
      </c>
      <c r="ENK4">
        <f>Database!EOD28</f>
        <v>0</v>
      </c>
      <c r="ENL4">
        <f>Database!EOE28</f>
        <v>0</v>
      </c>
      <c r="ENM4">
        <f>Database!EOF28</f>
        <v>0</v>
      </c>
      <c r="ENN4">
        <f>Database!EOG28</f>
        <v>0</v>
      </c>
      <c r="ENO4">
        <f>Database!EOH28</f>
        <v>0</v>
      </c>
      <c r="ENP4">
        <f>Database!EOI28</f>
        <v>0</v>
      </c>
      <c r="ENQ4">
        <f>Database!EOJ28</f>
        <v>0</v>
      </c>
      <c r="ENR4">
        <f>Database!EOK28</f>
        <v>0</v>
      </c>
      <c r="ENS4">
        <f>Database!EOL28</f>
        <v>0</v>
      </c>
      <c r="ENT4">
        <f>Database!EOM28</f>
        <v>0</v>
      </c>
      <c r="ENU4">
        <f>Database!EON28</f>
        <v>0</v>
      </c>
      <c r="ENV4">
        <f>Database!EOO28</f>
        <v>0</v>
      </c>
      <c r="ENW4">
        <f>Database!EOP28</f>
        <v>0</v>
      </c>
      <c r="ENX4">
        <f>Database!EOQ28</f>
        <v>0</v>
      </c>
      <c r="ENY4">
        <f>Database!EOR28</f>
        <v>0</v>
      </c>
      <c r="ENZ4">
        <f>Database!EOS28</f>
        <v>0</v>
      </c>
      <c r="EOA4">
        <f>Database!EOT28</f>
        <v>0</v>
      </c>
      <c r="EOB4">
        <f>Database!EOU28</f>
        <v>0</v>
      </c>
      <c r="EOC4">
        <f>Database!EOV28</f>
        <v>0</v>
      </c>
      <c r="EOD4">
        <f>Database!EOW28</f>
        <v>0</v>
      </c>
      <c r="EOE4">
        <f>Database!EOX28</f>
        <v>0</v>
      </c>
      <c r="EOF4">
        <f>Database!EOY28</f>
        <v>0</v>
      </c>
      <c r="EOG4">
        <f>Database!EOZ28</f>
        <v>0</v>
      </c>
      <c r="EOH4">
        <f>Database!EPA28</f>
        <v>0</v>
      </c>
      <c r="EOI4">
        <f>Database!EPB28</f>
        <v>0</v>
      </c>
      <c r="EOJ4">
        <f>Database!EPC28</f>
        <v>0</v>
      </c>
      <c r="EOK4">
        <f>Database!EPD28</f>
        <v>0</v>
      </c>
      <c r="EOL4">
        <f>Database!EPE28</f>
        <v>0</v>
      </c>
      <c r="EOM4">
        <f>Database!EPF28</f>
        <v>0</v>
      </c>
      <c r="EON4">
        <f>Database!EPG28</f>
        <v>0</v>
      </c>
      <c r="EOO4">
        <f>Database!EPH28</f>
        <v>0</v>
      </c>
      <c r="EOP4">
        <f>Database!EPI28</f>
        <v>0</v>
      </c>
      <c r="EOQ4">
        <f>Database!EPJ28</f>
        <v>0</v>
      </c>
      <c r="EOR4">
        <f>Database!EPK28</f>
        <v>0</v>
      </c>
      <c r="EOS4">
        <f>Database!EPL28</f>
        <v>0</v>
      </c>
      <c r="EOT4">
        <f>Database!EPM28</f>
        <v>0</v>
      </c>
      <c r="EOU4">
        <f>Database!EPN28</f>
        <v>0</v>
      </c>
      <c r="EOV4">
        <f>Database!EPO28</f>
        <v>0</v>
      </c>
      <c r="EOW4">
        <f>Database!EPP28</f>
        <v>0</v>
      </c>
      <c r="EOX4">
        <f>Database!EPQ28</f>
        <v>0</v>
      </c>
      <c r="EOY4">
        <f>Database!EPR28</f>
        <v>0</v>
      </c>
      <c r="EOZ4">
        <f>Database!EPS28</f>
        <v>0</v>
      </c>
      <c r="EPA4">
        <f>Database!EPT28</f>
        <v>0</v>
      </c>
      <c r="EPB4">
        <f>Database!EPU28</f>
        <v>0</v>
      </c>
      <c r="EPC4">
        <f>Database!EPV28</f>
        <v>0</v>
      </c>
      <c r="EPD4">
        <f>Database!EPW28</f>
        <v>0</v>
      </c>
      <c r="EPE4">
        <f>Database!EPX28</f>
        <v>0</v>
      </c>
      <c r="EPF4">
        <f>Database!EPY28</f>
        <v>0</v>
      </c>
      <c r="EPG4">
        <f>Database!EPZ28</f>
        <v>0</v>
      </c>
      <c r="EPH4">
        <f>Database!EQA28</f>
        <v>0</v>
      </c>
      <c r="EPI4">
        <f>Database!EQB28</f>
        <v>0</v>
      </c>
      <c r="EPJ4">
        <f>Database!EQC28</f>
        <v>0</v>
      </c>
      <c r="EPK4">
        <f>Database!EQD28</f>
        <v>0</v>
      </c>
      <c r="EPL4">
        <f>Database!EQE28</f>
        <v>0</v>
      </c>
      <c r="EPM4">
        <f>Database!EQF28</f>
        <v>0</v>
      </c>
      <c r="EPN4">
        <f>Database!EQG28</f>
        <v>0</v>
      </c>
      <c r="EPO4">
        <f>Database!EQH28</f>
        <v>0</v>
      </c>
      <c r="EPP4">
        <f>Database!EQI28</f>
        <v>0</v>
      </c>
      <c r="EPQ4">
        <f>Database!EQJ28</f>
        <v>0</v>
      </c>
      <c r="EPR4">
        <f>Database!EQK28</f>
        <v>0</v>
      </c>
      <c r="EPS4">
        <f>Database!EQL28</f>
        <v>0</v>
      </c>
      <c r="EPT4">
        <f>Database!EQM28</f>
        <v>0</v>
      </c>
      <c r="EPU4">
        <f>Database!EQN28</f>
        <v>0</v>
      </c>
      <c r="EPV4">
        <f>Database!EQO28</f>
        <v>0</v>
      </c>
      <c r="EPW4">
        <f>Database!EQP28</f>
        <v>0</v>
      </c>
      <c r="EPX4">
        <f>Database!EQQ28</f>
        <v>0</v>
      </c>
      <c r="EPY4">
        <f>Database!EQR28</f>
        <v>0</v>
      </c>
      <c r="EPZ4">
        <f>Database!EQS28</f>
        <v>0</v>
      </c>
      <c r="EQA4">
        <f>Database!EQT28</f>
        <v>0</v>
      </c>
      <c r="EQB4">
        <f>Database!EQU28</f>
        <v>0</v>
      </c>
      <c r="EQC4">
        <f>Database!EQV28</f>
        <v>0</v>
      </c>
      <c r="EQD4">
        <f>Database!EQW28</f>
        <v>0</v>
      </c>
      <c r="EQE4">
        <f>Database!EQX28</f>
        <v>0</v>
      </c>
      <c r="EQF4">
        <f>Database!EQY28</f>
        <v>0</v>
      </c>
      <c r="EQG4">
        <f>Database!EQZ28</f>
        <v>0</v>
      </c>
      <c r="EQH4">
        <f>Database!ERA28</f>
        <v>0</v>
      </c>
      <c r="EQI4">
        <f>Database!ERB28</f>
        <v>0</v>
      </c>
      <c r="EQJ4">
        <f>Database!ERC28</f>
        <v>0</v>
      </c>
      <c r="EQK4">
        <f>Database!ERD28</f>
        <v>0</v>
      </c>
      <c r="EQL4">
        <f>Database!ERE28</f>
        <v>0</v>
      </c>
      <c r="EQM4">
        <f>Database!ERF28</f>
        <v>0</v>
      </c>
      <c r="EQN4">
        <f>Database!ERG28</f>
        <v>0</v>
      </c>
      <c r="EQO4">
        <f>Database!ERH28</f>
        <v>0</v>
      </c>
      <c r="EQP4">
        <f>Database!ERI28</f>
        <v>0</v>
      </c>
      <c r="EQQ4">
        <f>Database!ERJ28</f>
        <v>0</v>
      </c>
      <c r="EQR4">
        <f>Database!ERK28</f>
        <v>0</v>
      </c>
      <c r="EQS4">
        <f>Database!ERL28</f>
        <v>0</v>
      </c>
      <c r="EQT4">
        <f>Database!ERM28</f>
        <v>0</v>
      </c>
      <c r="EQU4">
        <f>Database!ERN28</f>
        <v>0</v>
      </c>
      <c r="EQV4">
        <f>Database!ERO28</f>
        <v>0</v>
      </c>
      <c r="EQW4">
        <f>Database!ERP28</f>
        <v>0</v>
      </c>
      <c r="EQX4">
        <f>Database!ERQ28</f>
        <v>0</v>
      </c>
      <c r="EQY4">
        <f>Database!ERR28</f>
        <v>0</v>
      </c>
      <c r="EQZ4">
        <f>Database!ERS28</f>
        <v>0</v>
      </c>
      <c r="ERA4">
        <f>Database!ERT28</f>
        <v>0</v>
      </c>
      <c r="ERB4">
        <f>Database!ERU28</f>
        <v>0</v>
      </c>
      <c r="ERC4">
        <f>Database!ERV28</f>
        <v>0</v>
      </c>
      <c r="ERD4">
        <f>Database!ERW28</f>
        <v>0</v>
      </c>
      <c r="ERE4">
        <f>Database!ERX28</f>
        <v>0</v>
      </c>
      <c r="ERF4">
        <f>Database!ERY28</f>
        <v>0</v>
      </c>
      <c r="ERG4">
        <f>Database!ERZ28</f>
        <v>0</v>
      </c>
      <c r="ERH4">
        <f>Database!ESA28</f>
        <v>0</v>
      </c>
      <c r="ERI4">
        <f>Database!ESB28</f>
        <v>0</v>
      </c>
      <c r="ERJ4">
        <f>Database!ESC28</f>
        <v>0</v>
      </c>
      <c r="ERK4">
        <f>Database!ESD28</f>
        <v>0</v>
      </c>
      <c r="ERL4">
        <f>Database!ESE28</f>
        <v>0</v>
      </c>
      <c r="ERM4">
        <f>Database!ESF28</f>
        <v>0</v>
      </c>
      <c r="ERN4">
        <f>Database!ESG28</f>
        <v>0</v>
      </c>
      <c r="ERO4">
        <f>Database!ESH28</f>
        <v>0</v>
      </c>
      <c r="ERP4">
        <f>Database!ESI28</f>
        <v>0</v>
      </c>
      <c r="ERQ4">
        <f>Database!ESJ28</f>
        <v>0</v>
      </c>
      <c r="ERR4">
        <f>Database!ESK28</f>
        <v>0</v>
      </c>
      <c r="ERS4">
        <f>Database!ESL28</f>
        <v>0</v>
      </c>
      <c r="ERT4">
        <f>Database!ESM28</f>
        <v>0</v>
      </c>
      <c r="ERU4">
        <f>Database!ESN28</f>
        <v>0</v>
      </c>
      <c r="ERV4">
        <f>Database!ESO28</f>
        <v>0</v>
      </c>
      <c r="ERW4">
        <f>Database!ESP28</f>
        <v>0</v>
      </c>
      <c r="ERX4">
        <f>Database!ESQ28</f>
        <v>0</v>
      </c>
      <c r="ERY4">
        <f>Database!ESR28</f>
        <v>0</v>
      </c>
      <c r="ERZ4">
        <f>Database!ESS28</f>
        <v>0</v>
      </c>
      <c r="ESA4">
        <f>Database!EST28</f>
        <v>0</v>
      </c>
      <c r="ESB4">
        <f>Database!ESU28</f>
        <v>0</v>
      </c>
      <c r="ESC4">
        <f>Database!ESV28</f>
        <v>0</v>
      </c>
      <c r="ESD4">
        <f>Database!ESW28</f>
        <v>0</v>
      </c>
      <c r="ESE4">
        <f>Database!ESX28</f>
        <v>0</v>
      </c>
      <c r="ESF4">
        <f>Database!ESY28</f>
        <v>0</v>
      </c>
      <c r="ESG4">
        <f>Database!ESZ28</f>
        <v>0</v>
      </c>
      <c r="ESH4">
        <f>Database!ETA28</f>
        <v>0</v>
      </c>
      <c r="ESI4">
        <f>Database!ETB28</f>
        <v>0</v>
      </c>
      <c r="ESJ4">
        <f>Database!ETC28</f>
        <v>0</v>
      </c>
      <c r="ESK4">
        <f>Database!ETD28</f>
        <v>0</v>
      </c>
      <c r="ESL4">
        <f>Database!ETE28</f>
        <v>0</v>
      </c>
      <c r="ESM4">
        <f>Database!ETF28</f>
        <v>0</v>
      </c>
      <c r="ESN4">
        <f>Database!ETG28</f>
        <v>0</v>
      </c>
      <c r="ESO4">
        <f>Database!ETH28</f>
        <v>0</v>
      </c>
      <c r="ESP4">
        <f>Database!ETI28</f>
        <v>0</v>
      </c>
      <c r="ESQ4">
        <f>Database!ETJ28</f>
        <v>0</v>
      </c>
      <c r="ESR4">
        <f>Database!ETK28</f>
        <v>0</v>
      </c>
      <c r="ESS4">
        <f>Database!ETL28</f>
        <v>0</v>
      </c>
      <c r="EST4">
        <f>Database!ETM28</f>
        <v>0</v>
      </c>
      <c r="ESU4">
        <f>Database!ETN28</f>
        <v>0</v>
      </c>
      <c r="ESV4">
        <f>Database!ETO28</f>
        <v>0</v>
      </c>
      <c r="ESW4">
        <f>Database!ETP28</f>
        <v>0</v>
      </c>
      <c r="ESX4">
        <f>Database!ETQ28</f>
        <v>0</v>
      </c>
      <c r="ESY4">
        <f>Database!ETR28</f>
        <v>0</v>
      </c>
      <c r="ESZ4">
        <f>Database!ETS28</f>
        <v>0</v>
      </c>
      <c r="ETA4">
        <f>Database!ETT28</f>
        <v>0</v>
      </c>
      <c r="ETB4">
        <f>Database!ETU28</f>
        <v>0</v>
      </c>
      <c r="ETC4">
        <f>Database!ETV28</f>
        <v>0</v>
      </c>
      <c r="ETD4">
        <f>Database!ETW28</f>
        <v>0</v>
      </c>
      <c r="ETE4">
        <f>Database!ETX28</f>
        <v>0</v>
      </c>
      <c r="ETF4">
        <f>Database!ETY28</f>
        <v>0</v>
      </c>
      <c r="ETG4">
        <f>Database!ETZ28</f>
        <v>0</v>
      </c>
      <c r="ETH4">
        <f>Database!EUA28</f>
        <v>0</v>
      </c>
      <c r="ETI4">
        <f>Database!EUB28</f>
        <v>0</v>
      </c>
      <c r="ETJ4">
        <f>Database!EUC28</f>
        <v>0</v>
      </c>
      <c r="ETK4">
        <f>Database!EUD28</f>
        <v>0</v>
      </c>
      <c r="ETL4">
        <f>Database!EUE28</f>
        <v>0</v>
      </c>
      <c r="ETM4">
        <f>Database!EUF28</f>
        <v>0</v>
      </c>
      <c r="ETN4">
        <f>Database!EUG28</f>
        <v>0</v>
      </c>
      <c r="ETO4">
        <f>Database!EUH28</f>
        <v>0</v>
      </c>
      <c r="ETP4">
        <f>Database!EUI28</f>
        <v>0</v>
      </c>
      <c r="ETQ4">
        <f>Database!EUJ28</f>
        <v>0</v>
      </c>
      <c r="ETR4">
        <f>Database!EUK28</f>
        <v>0</v>
      </c>
      <c r="ETS4">
        <f>Database!EUL28</f>
        <v>0</v>
      </c>
      <c r="ETT4">
        <f>Database!EUM28</f>
        <v>0</v>
      </c>
      <c r="ETU4">
        <f>Database!EUN28</f>
        <v>0</v>
      </c>
      <c r="ETV4">
        <f>Database!EUO28</f>
        <v>0</v>
      </c>
      <c r="ETW4">
        <f>Database!EUP28</f>
        <v>0</v>
      </c>
      <c r="ETX4">
        <f>Database!EUQ28</f>
        <v>0</v>
      </c>
      <c r="ETY4">
        <f>Database!EUR28</f>
        <v>0</v>
      </c>
      <c r="ETZ4">
        <f>Database!EUS28</f>
        <v>0</v>
      </c>
      <c r="EUA4">
        <f>Database!EUT28</f>
        <v>0</v>
      </c>
      <c r="EUB4">
        <f>Database!EUU28</f>
        <v>0</v>
      </c>
      <c r="EUC4">
        <f>Database!EUV28</f>
        <v>0</v>
      </c>
      <c r="EUD4">
        <f>Database!EUW28</f>
        <v>0</v>
      </c>
      <c r="EUE4">
        <f>Database!EUX28</f>
        <v>0</v>
      </c>
      <c r="EUF4">
        <f>Database!EUY28</f>
        <v>0</v>
      </c>
      <c r="EUG4">
        <f>Database!EUZ28</f>
        <v>0</v>
      </c>
      <c r="EUH4">
        <f>Database!EVA28</f>
        <v>0</v>
      </c>
      <c r="EUI4">
        <f>Database!EVB28</f>
        <v>0</v>
      </c>
      <c r="EUJ4">
        <f>Database!EVC28</f>
        <v>0</v>
      </c>
      <c r="EUK4">
        <f>Database!EVD28</f>
        <v>0</v>
      </c>
      <c r="EUL4">
        <f>Database!EVE28</f>
        <v>0</v>
      </c>
      <c r="EUM4">
        <f>Database!EVF28</f>
        <v>0</v>
      </c>
      <c r="EUN4">
        <f>Database!EVG28</f>
        <v>0</v>
      </c>
      <c r="EUO4">
        <f>Database!EVH28</f>
        <v>0</v>
      </c>
      <c r="EUP4">
        <f>Database!EVI28</f>
        <v>0</v>
      </c>
      <c r="EUQ4">
        <f>Database!EVJ28</f>
        <v>0</v>
      </c>
      <c r="EUR4">
        <f>Database!EVK28</f>
        <v>0</v>
      </c>
      <c r="EUS4">
        <f>Database!EVL28</f>
        <v>0</v>
      </c>
      <c r="EUT4">
        <f>Database!EVM28</f>
        <v>0</v>
      </c>
      <c r="EUU4">
        <f>Database!EVN28</f>
        <v>0</v>
      </c>
      <c r="EUV4">
        <f>Database!EVO28</f>
        <v>0</v>
      </c>
      <c r="EUW4">
        <f>Database!EVP28</f>
        <v>0</v>
      </c>
      <c r="EUX4">
        <f>Database!EVQ28</f>
        <v>0</v>
      </c>
      <c r="EUY4">
        <f>Database!EVR28</f>
        <v>0</v>
      </c>
      <c r="EUZ4">
        <f>Database!EVS28</f>
        <v>0</v>
      </c>
      <c r="EVA4">
        <f>Database!EVT28</f>
        <v>0</v>
      </c>
      <c r="EVB4">
        <f>Database!EVU28</f>
        <v>0</v>
      </c>
      <c r="EVC4">
        <f>Database!EVV28</f>
        <v>0</v>
      </c>
      <c r="EVD4">
        <f>Database!EVW28</f>
        <v>0</v>
      </c>
      <c r="EVE4">
        <f>Database!EVX28</f>
        <v>0</v>
      </c>
      <c r="EVF4">
        <f>Database!EVY28</f>
        <v>0</v>
      </c>
      <c r="EVG4">
        <f>Database!EVZ28</f>
        <v>0</v>
      </c>
      <c r="EVH4">
        <f>Database!EWA28</f>
        <v>0</v>
      </c>
      <c r="EVI4">
        <f>Database!EWB28</f>
        <v>0</v>
      </c>
      <c r="EVJ4">
        <f>Database!EWC28</f>
        <v>0</v>
      </c>
      <c r="EVK4">
        <f>Database!EWD28</f>
        <v>0</v>
      </c>
      <c r="EVL4">
        <f>Database!EWE28</f>
        <v>0</v>
      </c>
      <c r="EVM4">
        <f>Database!EWF28</f>
        <v>0</v>
      </c>
      <c r="EVN4">
        <f>Database!EWG28</f>
        <v>0</v>
      </c>
      <c r="EVO4">
        <f>Database!EWH28</f>
        <v>0</v>
      </c>
      <c r="EVP4">
        <f>Database!EWI28</f>
        <v>0</v>
      </c>
      <c r="EVQ4">
        <f>Database!EWJ28</f>
        <v>0</v>
      </c>
      <c r="EVR4">
        <f>Database!EWK28</f>
        <v>0</v>
      </c>
      <c r="EVS4">
        <f>Database!EWL28</f>
        <v>0</v>
      </c>
      <c r="EVT4">
        <f>Database!EWM28</f>
        <v>0</v>
      </c>
      <c r="EVU4">
        <f>Database!EWN28</f>
        <v>0</v>
      </c>
      <c r="EVV4">
        <f>Database!EWO28</f>
        <v>0</v>
      </c>
      <c r="EVW4">
        <f>Database!EWP28</f>
        <v>0</v>
      </c>
      <c r="EVX4">
        <f>Database!EWQ28</f>
        <v>0</v>
      </c>
      <c r="EVY4">
        <f>Database!EWR28</f>
        <v>0</v>
      </c>
      <c r="EVZ4">
        <f>Database!EWS28</f>
        <v>0</v>
      </c>
      <c r="EWA4">
        <f>Database!EWT28</f>
        <v>0</v>
      </c>
      <c r="EWB4">
        <f>Database!EWU28</f>
        <v>0</v>
      </c>
      <c r="EWC4">
        <f>Database!EWV28</f>
        <v>0</v>
      </c>
      <c r="EWD4">
        <f>Database!EWW28</f>
        <v>0</v>
      </c>
      <c r="EWE4">
        <f>Database!EWX28</f>
        <v>0</v>
      </c>
      <c r="EWF4">
        <f>Database!EWY28</f>
        <v>0</v>
      </c>
      <c r="EWG4">
        <f>Database!EWZ28</f>
        <v>0</v>
      </c>
      <c r="EWH4">
        <f>Database!EXA28</f>
        <v>0</v>
      </c>
      <c r="EWI4">
        <f>Database!EXB28</f>
        <v>0</v>
      </c>
      <c r="EWJ4">
        <f>Database!EXC28</f>
        <v>0</v>
      </c>
      <c r="EWK4">
        <f>Database!EXD28</f>
        <v>0</v>
      </c>
      <c r="EWL4">
        <f>Database!EXE28</f>
        <v>0</v>
      </c>
      <c r="EWM4">
        <f>Database!EXF28</f>
        <v>0</v>
      </c>
      <c r="EWN4">
        <f>Database!EXG28</f>
        <v>0</v>
      </c>
      <c r="EWO4">
        <f>Database!EXH28</f>
        <v>0</v>
      </c>
      <c r="EWP4">
        <f>Database!EXI28</f>
        <v>0</v>
      </c>
      <c r="EWQ4">
        <f>Database!EXJ28</f>
        <v>0</v>
      </c>
      <c r="EWR4">
        <f>Database!EXK28</f>
        <v>0</v>
      </c>
      <c r="EWS4">
        <f>Database!EXL28</f>
        <v>0</v>
      </c>
      <c r="EWT4">
        <f>Database!EXM28</f>
        <v>0</v>
      </c>
      <c r="EWU4">
        <f>Database!EXN28</f>
        <v>0</v>
      </c>
      <c r="EWV4">
        <f>Database!EXO28</f>
        <v>0</v>
      </c>
      <c r="EWW4">
        <f>Database!EXP28</f>
        <v>0</v>
      </c>
      <c r="EWX4">
        <f>Database!EXQ28</f>
        <v>0</v>
      </c>
      <c r="EWY4">
        <f>Database!EXR28</f>
        <v>0</v>
      </c>
      <c r="EWZ4">
        <f>Database!EXS28</f>
        <v>0</v>
      </c>
      <c r="EXA4">
        <f>Database!EXT28</f>
        <v>0</v>
      </c>
      <c r="EXB4">
        <f>Database!EXU28</f>
        <v>0</v>
      </c>
      <c r="EXC4">
        <f>Database!EXV28</f>
        <v>0</v>
      </c>
      <c r="EXD4">
        <f>Database!EXW28</f>
        <v>0</v>
      </c>
      <c r="EXE4">
        <f>Database!EXX28</f>
        <v>0</v>
      </c>
      <c r="EXF4">
        <f>Database!EXY28</f>
        <v>0</v>
      </c>
      <c r="EXG4">
        <f>Database!EXZ28</f>
        <v>0</v>
      </c>
      <c r="EXH4">
        <f>Database!EYA28</f>
        <v>0</v>
      </c>
      <c r="EXI4">
        <f>Database!EYB28</f>
        <v>0</v>
      </c>
      <c r="EXJ4">
        <f>Database!EYC28</f>
        <v>0</v>
      </c>
      <c r="EXK4">
        <f>Database!EYD28</f>
        <v>0</v>
      </c>
      <c r="EXL4">
        <f>Database!EYE28</f>
        <v>0</v>
      </c>
      <c r="EXM4">
        <f>Database!EYF28</f>
        <v>0</v>
      </c>
      <c r="EXN4">
        <f>Database!EYG28</f>
        <v>0</v>
      </c>
      <c r="EXO4">
        <f>Database!EYH28</f>
        <v>0</v>
      </c>
      <c r="EXP4">
        <f>Database!EYI28</f>
        <v>0</v>
      </c>
      <c r="EXQ4">
        <f>Database!EYJ28</f>
        <v>0</v>
      </c>
      <c r="EXR4">
        <f>Database!EYK28</f>
        <v>0</v>
      </c>
      <c r="EXS4">
        <f>Database!EYL28</f>
        <v>0</v>
      </c>
      <c r="EXT4">
        <f>Database!EYM28</f>
        <v>0</v>
      </c>
      <c r="EXU4">
        <f>Database!EYN28</f>
        <v>0</v>
      </c>
      <c r="EXV4">
        <f>Database!EYO28</f>
        <v>0</v>
      </c>
      <c r="EXW4">
        <f>Database!EYP28</f>
        <v>0</v>
      </c>
      <c r="EXX4">
        <f>Database!EYQ28</f>
        <v>0</v>
      </c>
      <c r="EXY4">
        <f>Database!EYR28</f>
        <v>0</v>
      </c>
      <c r="EXZ4">
        <f>Database!EYS28</f>
        <v>0</v>
      </c>
      <c r="EYA4">
        <f>Database!EYT28</f>
        <v>0</v>
      </c>
      <c r="EYB4">
        <f>Database!EYU28</f>
        <v>0</v>
      </c>
      <c r="EYC4">
        <f>Database!EYV28</f>
        <v>0</v>
      </c>
      <c r="EYD4">
        <f>Database!EYW28</f>
        <v>0</v>
      </c>
      <c r="EYE4">
        <f>Database!EYX28</f>
        <v>0</v>
      </c>
      <c r="EYF4">
        <f>Database!EYY28</f>
        <v>0</v>
      </c>
      <c r="EYG4">
        <f>Database!EYZ28</f>
        <v>0</v>
      </c>
      <c r="EYH4">
        <f>Database!EZA28</f>
        <v>0</v>
      </c>
      <c r="EYI4">
        <f>Database!EZB28</f>
        <v>0</v>
      </c>
      <c r="EYJ4">
        <f>Database!EZC28</f>
        <v>0</v>
      </c>
      <c r="EYK4">
        <f>Database!EZD28</f>
        <v>0</v>
      </c>
      <c r="EYL4">
        <f>Database!EZE28</f>
        <v>0</v>
      </c>
      <c r="EYM4">
        <f>Database!EZF28</f>
        <v>0</v>
      </c>
      <c r="EYN4">
        <f>Database!EZG28</f>
        <v>0</v>
      </c>
      <c r="EYO4">
        <f>Database!EZH28</f>
        <v>0</v>
      </c>
      <c r="EYP4">
        <f>Database!EZI28</f>
        <v>0</v>
      </c>
      <c r="EYQ4">
        <f>Database!EZJ28</f>
        <v>0</v>
      </c>
      <c r="EYR4">
        <f>Database!EZK28</f>
        <v>0</v>
      </c>
      <c r="EYS4">
        <f>Database!EZL28</f>
        <v>0</v>
      </c>
      <c r="EYT4">
        <f>Database!EZM28</f>
        <v>0</v>
      </c>
      <c r="EYU4">
        <f>Database!EZN28</f>
        <v>0</v>
      </c>
      <c r="EYV4">
        <f>Database!EZO28</f>
        <v>0</v>
      </c>
      <c r="EYW4">
        <f>Database!EZP28</f>
        <v>0</v>
      </c>
      <c r="EYX4">
        <f>Database!EZQ28</f>
        <v>0</v>
      </c>
      <c r="EYY4">
        <f>Database!EZR28</f>
        <v>0</v>
      </c>
      <c r="EYZ4">
        <f>Database!EZS28</f>
        <v>0</v>
      </c>
      <c r="EZA4">
        <f>Database!EZT28</f>
        <v>0</v>
      </c>
      <c r="EZB4">
        <f>Database!EZU28</f>
        <v>0</v>
      </c>
      <c r="EZC4">
        <f>Database!EZV28</f>
        <v>0</v>
      </c>
      <c r="EZD4">
        <f>Database!EZW28</f>
        <v>0</v>
      </c>
      <c r="EZE4">
        <f>Database!EZX28</f>
        <v>0</v>
      </c>
      <c r="EZF4">
        <f>Database!EZY28</f>
        <v>0</v>
      </c>
      <c r="EZG4">
        <f>Database!EZZ28</f>
        <v>0</v>
      </c>
      <c r="EZH4">
        <f>Database!FAA28</f>
        <v>0</v>
      </c>
      <c r="EZI4">
        <f>Database!FAB28</f>
        <v>0</v>
      </c>
      <c r="EZJ4">
        <f>Database!FAC28</f>
        <v>0</v>
      </c>
      <c r="EZK4">
        <f>Database!FAD28</f>
        <v>0</v>
      </c>
      <c r="EZL4">
        <f>Database!FAE28</f>
        <v>0</v>
      </c>
      <c r="EZM4">
        <f>Database!FAF28</f>
        <v>0</v>
      </c>
      <c r="EZN4">
        <f>Database!FAG28</f>
        <v>0</v>
      </c>
      <c r="EZO4">
        <f>Database!FAH28</f>
        <v>0</v>
      </c>
      <c r="EZP4">
        <f>Database!FAI28</f>
        <v>0</v>
      </c>
      <c r="EZQ4">
        <f>Database!FAJ28</f>
        <v>0</v>
      </c>
      <c r="EZR4">
        <f>Database!FAK28</f>
        <v>0</v>
      </c>
      <c r="EZS4">
        <f>Database!FAL28</f>
        <v>0</v>
      </c>
      <c r="EZT4">
        <f>Database!FAM28</f>
        <v>0</v>
      </c>
      <c r="EZU4">
        <f>Database!FAN28</f>
        <v>0</v>
      </c>
      <c r="EZV4">
        <f>Database!FAO28</f>
        <v>0</v>
      </c>
      <c r="EZW4">
        <f>Database!FAP28</f>
        <v>0</v>
      </c>
      <c r="EZX4">
        <f>Database!FAQ28</f>
        <v>0</v>
      </c>
      <c r="EZY4">
        <f>Database!FAR28</f>
        <v>0</v>
      </c>
      <c r="EZZ4">
        <f>Database!FAS28</f>
        <v>0</v>
      </c>
      <c r="FAA4">
        <f>Database!FAT28</f>
        <v>0</v>
      </c>
      <c r="FAB4">
        <f>Database!FAU28</f>
        <v>0</v>
      </c>
      <c r="FAC4">
        <f>Database!FAV28</f>
        <v>0</v>
      </c>
      <c r="FAD4">
        <f>Database!FAW28</f>
        <v>0</v>
      </c>
      <c r="FAE4">
        <f>Database!FAX28</f>
        <v>0</v>
      </c>
      <c r="FAF4">
        <f>Database!FAY28</f>
        <v>0</v>
      </c>
      <c r="FAG4">
        <f>Database!FAZ28</f>
        <v>0</v>
      </c>
      <c r="FAH4">
        <f>Database!FBA28</f>
        <v>0</v>
      </c>
      <c r="FAI4">
        <f>Database!FBB28</f>
        <v>0</v>
      </c>
      <c r="FAJ4">
        <f>Database!FBC28</f>
        <v>0</v>
      </c>
      <c r="FAK4">
        <f>Database!FBD28</f>
        <v>0</v>
      </c>
      <c r="FAL4">
        <f>Database!FBE28</f>
        <v>0</v>
      </c>
      <c r="FAM4">
        <f>Database!FBF28</f>
        <v>0</v>
      </c>
      <c r="FAN4">
        <f>Database!FBG28</f>
        <v>0</v>
      </c>
      <c r="FAO4">
        <f>Database!FBH28</f>
        <v>0</v>
      </c>
      <c r="FAP4">
        <f>Database!FBI28</f>
        <v>0</v>
      </c>
      <c r="FAQ4">
        <f>Database!FBJ28</f>
        <v>0</v>
      </c>
      <c r="FAR4">
        <f>Database!FBK28</f>
        <v>0</v>
      </c>
      <c r="FAS4">
        <f>Database!FBL28</f>
        <v>0</v>
      </c>
      <c r="FAT4">
        <f>Database!FBM28</f>
        <v>0</v>
      </c>
      <c r="FAU4">
        <f>Database!FBN28</f>
        <v>0</v>
      </c>
      <c r="FAV4">
        <f>Database!FBO28</f>
        <v>0</v>
      </c>
      <c r="FAW4">
        <f>Database!FBP28</f>
        <v>0</v>
      </c>
      <c r="FAX4">
        <f>Database!FBQ28</f>
        <v>0</v>
      </c>
      <c r="FAY4">
        <f>Database!FBR28</f>
        <v>0</v>
      </c>
      <c r="FAZ4">
        <f>Database!FBS28</f>
        <v>0</v>
      </c>
      <c r="FBA4">
        <f>Database!FBT28</f>
        <v>0</v>
      </c>
      <c r="FBB4">
        <f>Database!FBU28</f>
        <v>0</v>
      </c>
      <c r="FBC4">
        <f>Database!FBV28</f>
        <v>0</v>
      </c>
      <c r="FBD4">
        <f>Database!FBW28</f>
        <v>0</v>
      </c>
      <c r="FBE4">
        <f>Database!FBX28</f>
        <v>0</v>
      </c>
      <c r="FBF4">
        <f>Database!FBY28</f>
        <v>0</v>
      </c>
      <c r="FBG4">
        <f>Database!FBZ28</f>
        <v>0</v>
      </c>
      <c r="FBH4">
        <f>Database!FCA28</f>
        <v>0</v>
      </c>
      <c r="FBI4">
        <f>Database!FCB28</f>
        <v>0</v>
      </c>
      <c r="FBJ4">
        <f>Database!FCC28</f>
        <v>0</v>
      </c>
      <c r="FBK4">
        <f>Database!FCD28</f>
        <v>0</v>
      </c>
      <c r="FBL4">
        <f>Database!FCE28</f>
        <v>0</v>
      </c>
      <c r="FBM4">
        <f>Database!FCF28</f>
        <v>0</v>
      </c>
      <c r="FBN4">
        <f>Database!FCG28</f>
        <v>0</v>
      </c>
      <c r="FBO4">
        <f>Database!FCH28</f>
        <v>0</v>
      </c>
      <c r="FBP4">
        <f>Database!FCI28</f>
        <v>0</v>
      </c>
      <c r="FBQ4">
        <f>Database!FCJ28</f>
        <v>0</v>
      </c>
      <c r="FBR4">
        <f>Database!FCK28</f>
        <v>0</v>
      </c>
      <c r="FBS4">
        <f>Database!FCL28</f>
        <v>0</v>
      </c>
      <c r="FBT4">
        <f>Database!FCM28</f>
        <v>0</v>
      </c>
      <c r="FBU4">
        <f>Database!FCN28</f>
        <v>0</v>
      </c>
      <c r="FBV4">
        <f>Database!FCO28</f>
        <v>0</v>
      </c>
      <c r="FBW4">
        <f>Database!FCP28</f>
        <v>0</v>
      </c>
      <c r="FBX4">
        <f>Database!FCQ28</f>
        <v>0</v>
      </c>
      <c r="FBY4">
        <f>Database!FCR28</f>
        <v>0</v>
      </c>
      <c r="FBZ4">
        <f>Database!FCS28</f>
        <v>0</v>
      </c>
      <c r="FCA4">
        <f>Database!FCT28</f>
        <v>0</v>
      </c>
      <c r="FCB4">
        <f>Database!FCU28</f>
        <v>0</v>
      </c>
      <c r="FCC4">
        <f>Database!FCV28</f>
        <v>0</v>
      </c>
      <c r="FCD4">
        <f>Database!FCW28</f>
        <v>0</v>
      </c>
      <c r="FCE4">
        <f>Database!FCX28</f>
        <v>0</v>
      </c>
      <c r="FCF4">
        <f>Database!FCY28</f>
        <v>0</v>
      </c>
      <c r="FCG4">
        <f>Database!FCZ28</f>
        <v>0</v>
      </c>
      <c r="FCH4">
        <f>Database!FDA28</f>
        <v>0</v>
      </c>
      <c r="FCI4">
        <f>Database!FDB28</f>
        <v>0</v>
      </c>
      <c r="FCJ4">
        <f>Database!FDC28</f>
        <v>0</v>
      </c>
      <c r="FCK4">
        <f>Database!FDD28</f>
        <v>0</v>
      </c>
      <c r="FCL4">
        <f>Database!FDE28</f>
        <v>0</v>
      </c>
      <c r="FCM4">
        <f>Database!FDF28</f>
        <v>0</v>
      </c>
      <c r="FCN4">
        <f>Database!FDG28</f>
        <v>0</v>
      </c>
      <c r="FCO4">
        <f>Database!FDH28</f>
        <v>0</v>
      </c>
      <c r="FCP4">
        <f>Database!FDI28</f>
        <v>0</v>
      </c>
      <c r="FCQ4">
        <f>Database!FDJ28</f>
        <v>0</v>
      </c>
      <c r="FCR4">
        <f>Database!FDK28</f>
        <v>0</v>
      </c>
      <c r="FCS4">
        <f>Database!FDL28</f>
        <v>0</v>
      </c>
      <c r="FCT4">
        <f>Database!FDM28</f>
        <v>0</v>
      </c>
      <c r="FCU4">
        <f>Database!FDN28</f>
        <v>0</v>
      </c>
      <c r="FCV4">
        <f>Database!FDO28</f>
        <v>0</v>
      </c>
      <c r="FCW4">
        <f>Database!FDP28</f>
        <v>0</v>
      </c>
      <c r="FCX4">
        <f>Database!FDQ28</f>
        <v>0</v>
      </c>
      <c r="FCY4">
        <f>Database!FDR28</f>
        <v>0</v>
      </c>
      <c r="FCZ4">
        <f>Database!FDS28</f>
        <v>0</v>
      </c>
      <c r="FDA4">
        <f>Database!FDT28</f>
        <v>0</v>
      </c>
      <c r="FDB4">
        <f>Database!FDU28</f>
        <v>0</v>
      </c>
      <c r="FDC4">
        <f>Database!FDV28</f>
        <v>0</v>
      </c>
      <c r="FDD4">
        <f>Database!FDW28</f>
        <v>0</v>
      </c>
      <c r="FDE4">
        <f>Database!FDX28</f>
        <v>0</v>
      </c>
      <c r="FDF4">
        <f>Database!FDY28</f>
        <v>0</v>
      </c>
      <c r="FDG4">
        <f>Database!FDZ28</f>
        <v>0</v>
      </c>
      <c r="FDH4">
        <f>Database!FEA28</f>
        <v>0</v>
      </c>
      <c r="FDI4">
        <f>Database!FEB28</f>
        <v>0</v>
      </c>
      <c r="FDJ4">
        <f>Database!FEC28</f>
        <v>0</v>
      </c>
      <c r="FDK4">
        <f>Database!FED28</f>
        <v>0</v>
      </c>
      <c r="FDL4">
        <f>Database!FEE28</f>
        <v>0</v>
      </c>
      <c r="FDM4">
        <f>Database!FEF28</f>
        <v>0</v>
      </c>
      <c r="FDN4">
        <f>Database!FEG28</f>
        <v>0</v>
      </c>
      <c r="FDO4">
        <f>Database!FEH28</f>
        <v>0</v>
      </c>
      <c r="FDP4">
        <f>Database!FEI28</f>
        <v>0</v>
      </c>
      <c r="FDQ4">
        <f>Database!FEJ28</f>
        <v>0</v>
      </c>
      <c r="FDR4">
        <f>Database!FEK28</f>
        <v>0</v>
      </c>
      <c r="FDS4">
        <f>Database!FEL28</f>
        <v>0</v>
      </c>
      <c r="FDT4">
        <f>Database!FEM28</f>
        <v>0</v>
      </c>
      <c r="FDU4">
        <f>Database!FEN28</f>
        <v>0</v>
      </c>
      <c r="FDV4">
        <f>Database!FEO28</f>
        <v>0</v>
      </c>
      <c r="FDW4">
        <f>Database!FEP28</f>
        <v>0</v>
      </c>
      <c r="FDX4">
        <f>Database!FEQ28</f>
        <v>0</v>
      </c>
      <c r="FDY4">
        <f>Database!FER28</f>
        <v>0</v>
      </c>
      <c r="FDZ4">
        <f>Database!FES28</f>
        <v>0</v>
      </c>
      <c r="FEA4">
        <f>Database!FET28</f>
        <v>0</v>
      </c>
      <c r="FEB4">
        <f>Database!FEU28</f>
        <v>0</v>
      </c>
      <c r="FEC4">
        <f>Database!FEV28</f>
        <v>0</v>
      </c>
      <c r="FED4">
        <f>Database!FEW28</f>
        <v>0</v>
      </c>
      <c r="FEE4">
        <f>Database!FEX28</f>
        <v>0</v>
      </c>
      <c r="FEF4">
        <f>Database!FEY28</f>
        <v>0</v>
      </c>
      <c r="FEG4">
        <f>Database!FEZ28</f>
        <v>0</v>
      </c>
      <c r="FEH4">
        <f>Database!FFA28</f>
        <v>0</v>
      </c>
      <c r="FEI4">
        <f>Database!FFB28</f>
        <v>0</v>
      </c>
      <c r="FEJ4">
        <f>Database!FFC28</f>
        <v>0</v>
      </c>
      <c r="FEK4">
        <f>Database!FFD28</f>
        <v>0</v>
      </c>
      <c r="FEL4">
        <f>Database!FFE28</f>
        <v>0</v>
      </c>
      <c r="FEM4">
        <f>Database!FFF28</f>
        <v>0</v>
      </c>
      <c r="FEN4">
        <f>Database!FFG28</f>
        <v>0</v>
      </c>
      <c r="FEO4">
        <f>Database!FFH28</f>
        <v>0</v>
      </c>
      <c r="FEP4">
        <f>Database!FFI28</f>
        <v>0</v>
      </c>
      <c r="FEQ4">
        <f>Database!FFJ28</f>
        <v>0</v>
      </c>
      <c r="FER4">
        <f>Database!FFK28</f>
        <v>0</v>
      </c>
      <c r="FES4">
        <f>Database!FFL28</f>
        <v>0</v>
      </c>
      <c r="FET4">
        <f>Database!FFM28</f>
        <v>0</v>
      </c>
      <c r="FEU4">
        <f>Database!FFN28</f>
        <v>0</v>
      </c>
      <c r="FEV4">
        <f>Database!FFO28</f>
        <v>0</v>
      </c>
      <c r="FEW4">
        <f>Database!FFP28</f>
        <v>0</v>
      </c>
      <c r="FEX4">
        <f>Database!FFQ28</f>
        <v>0</v>
      </c>
      <c r="FEY4">
        <f>Database!FFR28</f>
        <v>0</v>
      </c>
      <c r="FEZ4">
        <f>Database!FFS28</f>
        <v>0</v>
      </c>
      <c r="FFA4">
        <f>Database!FFT28</f>
        <v>0</v>
      </c>
      <c r="FFB4">
        <f>Database!FFU28</f>
        <v>0</v>
      </c>
      <c r="FFC4">
        <f>Database!FFV28</f>
        <v>0</v>
      </c>
      <c r="FFD4">
        <f>Database!FFW28</f>
        <v>0</v>
      </c>
      <c r="FFE4">
        <f>Database!FFX28</f>
        <v>0</v>
      </c>
      <c r="FFF4">
        <f>Database!FFY28</f>
        <v>0</v>
      </c>
      <c r="FFG4">
        <f>Database!FFZ28</f>
        <v>0</v>
      </c>
      <c r="FFH4">
        <f>Database!FGA28</f>
        <v>0</v>
      </c>
      <c r="FFI4">
        <f>Database!FGB28</f>
        <v>0</v>
      </c>
      <c r="FFJ4">
        <f>Database!FGC28</f>
        <v>0</v>
      </c>
      <c r="FFK4">
        <f>Database!FGD28</f>
        <v>0</v>
      </c>
      <c r="FFL4">
        <f>Database!FGE28</f>
        <v>0</v>
      </c>
      <c r="FFM4">
        <f>Database!FGF28</f>
        <v>0</v>
      </c>
      <c r="FFN4">
        <f>Database!FGG28</f>
        <v>0</v>
      </c>
      <c r="FFO4">
        <f>Database!FGH28</f>
        <v>0</v>
      </c>
      <c r="FFP4">
        <f>Database!FGI28</f>
        <v>0</v>
      </c>
      <c r="FFQ4">
        <f>Database!FGJ28</f>
        <v>0</v>
      </c>
      <c r="FFR4">
        <f>Database!FGK28</f>
        <v>0</v>
      </c>
      <c r="FFS4">
        <f>Database!FGL28</f>
        <v>0</v>
      </c>
      <c r="FFT4">
        <f>Database!FGM28</f>
        <v>0</v>
      </c>
      <c r="FFU4">
        <f>Database!FGN28</f>
        <v>0</v>
      </c>
      <c r="FFV4">
        <f>Database!FGO28</f>
        <v>0</v>
      </c>
      <c r="FFW4">
        <f>Database!FGP28</f>
        <v>0</v>
      </c>
      <c r="FFX4">
        <f>Database!FGQ28</f>
        <v>0</v>
      </c>
      <c r="FFY4">
        <f>Database!FGR28</f>
        <v>0</v>
      </c>
      <c r="FFZ4">
        <f>Database!FGS28</f>
        <v>0</v>
      </c>
      <c r="FGA4">
        <f>Database!FGT28</f>
        <v>0</v>
      </c>
      <c r="FGB4">
        <f>Database!FGU28</f>
        <v>0</v>
      </c>
      <c r="FGC4">
        <f>Database!FGV28</f>
        <v>0</v>
      </c>
      <c r="FGD4">
        <f>Database!FGW28</f>
        <v>0</v>
      </c>
      <c r="FGE4">
        <f>Database!FGX28</f>
        <v>0</v>
      </c>
      <c r="FGF4">
        <f>Database!FGY28</f>
        <v>0</v>
      </c>
      <c r="FGG4">
        <f>Database!FGZ28</f>
        <v>0</v>
      </c>
      <c r="FGH4">
        <f>Database!FHA28</f>
        <v>0</v>
      </c>
      <c r="FGI4">
        <f>Database!FHB28</f>
        <v>0</v>
      </c>
      <c r="FGJ4">
        <f>Database!FHC28</f>
        <v>0</v>
      </c>
      <c r="FGK4">
        <f>Database!FHD28</f>
        <v>0</v>
      </c>
      <c r="FGL4">
        <f>Database!FHE28</f>
        <v>0</v>
      </c>
      <c r="FGM4">
        <f>Database!FHF28</f>
        <v>0</v>
      </c>
      <c r="FGN4">
        <f>Database!FHG28</f>
        <v>0</v>
      </c>
      <c r="FGO4">
        <f>Database!FHH28</f>
        <v>0</v>
      </c>
      <c r="FGP4">
        <f>Database!FHI28</f>
        <v>0</v>
      </c>
      <c r="FGQ4">
        <f>Database!FHJ28</f>
        <v>0</v>
      </c>
      <c r="FGR4">
        <f>Database!FHK28</f>
        <v>0</v>
      </c>
      <c r="FGS4">
        <f>Database!FHL28</f>
        <v>0</v>
      </c>
      <c r="FGT4">
        <f>Database!FHM28</f>
        <v>0</v>
      </c>
      <c r="FGU4">
        <f>Database!FHN28</f>
        <v>0</v>
      </c>
      <c r="FGV4">
        <f>Database!FHO28</f>
        <v>0</v>
      </c>
      <c r="FGW4">
        <f>Database!FHP28</f>
        <v>0</v>
      </c>
      <c r="FGX4">
        <f>Database!FHQ28</f>
        <v>0</v>
      </c>
      <c r="FGY4">
        <f>Database!FHR28</f>
        <v>0</v>
      </c>
      <c r="FGZ4">
        <f>Database!FHS28</f>
        <v>0</v>
      </c>
      <c r="FHA4">
        <f>Database!FHT28</f>
        <v>0</v>
      </c>
      <c r="FHB4">
        <f>Database!FHU28</f>
        <v>0</v>
      </c>
      <c r="FHC4">
        <f>Database!FHV28</f>
        <v>0</v>
      </c>
      <c r="FHD4">
        <f>Database!FHW28</f>
        <v>0</v>
      </c>
      <c r="FHE4">
        <f>Database!FHX28</f>
        <v>0</v>
      </c>
      <c r="FHF4">
        <f>Database!FHY28</f>
        <v>0</v>
      </c>
      <c r="FHG4">
        <f>Database!FHZ28</f>
        <v>0</v>
      </c>
      <c r="FHH4">
        <f>Database!FIA28</f>
        <v>0</v>
      </c>
      <c r="FHI4">
        <f>Database!FIB28</f>
        <v>0</v>
      </c>
      <c r="FHJ4">
        <f>Database!FIC28</f>
        <v>0</v>
      </c>
      <c r="FHK4">
        <f>Database!FID28</f>
        <v>0</v>
      </c>
      <c r="FHL4">
        <f>Database!FIE28</f>
        <v>0</v>
      </c>
      <c r="FHM4">
        <f>Database!FIF28</f>
        <v>0</v>
      </c>
      <c r="FHN4">
        <f>Database!FIG28</f>
        <v>0</v>
      </c>
      <c r="FHO4">
        <f>Database!FIH28</f>
        <v>0</v>
      </c>
      <c r="FHP4">
        <f>Database!FII28</f>
        <v>0</v>
      </c>
      <c r="FHQ4">
        <f>Database!FIJ28</f>
        <v>0</v>
      </c>
      <c r="FHR4">
        <f>Database!FIK28</f>
        <v>0</v>
      </c>
      <c r="FHS4">
        <f>Database!FIL28</f>
        <v>0</v>
      </c>
      <c r="FHT4">
        <f>Database!FIM28</f>
        <v>0</v>
      </c>
      <c r="FHU4">
        <f>Database!FIN28</f>
        <v>0</v>
      </c>
      <c r="FHV4">
        <f>Database!FIO28</f>
        <v>0</v>
      </c>
      <c r="FHW4">
        <f>Database!FIP28</f>
        <v>0</v>
      </c>
      <c r="FHX4">
        <f>Database!FIQ28</f>
        <v>0</v>
      </c>
      <c r="FHY4">
        <f>Database!FIR28</f>
        <v>0</v>
      </c>
      <c r="FHZ4">
        <f>Database!FIS28</f>
        <v>0</v>
      </c>
      <c r="FIA4">
        <f>Database!FIT28</f>
        <v>0</v>
      </c>
      <c r="FIB4">
        <f>Database!FIU28</f>
        <v>0</v>
      </c>
      <c r="FIC4">
        <f>Database!FIV28</f>
        <v>0</v>
      </c>
      <c r="FID4">
        <f>Database!FIW28</f>
        <v>0</v>
      </c>
      <c r="FIE4">
        <f>Database!FIX28</f>
        <v>0</v>
      </c>
      <c r="FIF4">
        <f>Database!FIY28</f>
        <v>0</v>
      </c>
      <c r="FIG4">
        <f>Database!FIZ28</f>
        <v>0</v>
      </c>
      <c r="FIH4">
        <f>Database!FJA28</f>
        <v>0</v>
      </c>
      <c r="FII4">
        <f>Database!FJB28</f>
        <v>0</v>
      </c>
      <c r="FIJ4">
        <f>Database!FJC28</f>
        <v>0</v>
      </c>
      <c r="FIK4">
        <f>Database!FJD28</f>
        <v>0</v>
      </c>
      <c r="FIL4">
        <f>Database!FJE28</f>
        <v>0</v>
      </c>
      <c r="FIM4">
        <f>Database!FJF28</f>
        <v>0</v>
      </c>
      <c r="FIN4">
        <f>Database!FJG28</f>
        <v>0</v>
      </c>
      <c r="FIO4">
        <f>Database!FJH28</f>
        <v>0</v>
      </c>
      <c r="FIP4">
        <f>Database!FJI28</f>
        <v>0</v>
      </c>
      <c r="FIQ4">
        <f>Database!FJJ28</f>
        <v>0</v>
      </c>
      <c r="FIR4">
        <f>Database!FJK28</f>
        <v>0</v>
      </c>
      <c r="FIS4">
        <f>Database!FJL28</f>
        <v>0</v>
      </c>
      <c r="FIT4">
        <f>Database!FJM28</f>
        <v>0</v>
      </c>
      <c r="FIU4">
        <f>Database!FJN28</f>
        <v>0</v>
      </c>
      <c r="FIV4">
        <f>Database!FJO28</f>
        <v>0</v>
      </c>
      <c r="FIW4">
        <f>Database!FJP28</f>
        <v>0</v>
      </c>
      <c r="FIX4">
        <f>Database!FJQ28</f>
        <v>0</v>
      </c>
      <c r="FIY4">
        <f>Database!FJR28</f>
        <v>0</v>
      </c>
      <c r="FIZ4">
        <f>Database!FJS28</f>
        <v>0</v>
      </c>
      <c r="FJA4">
        <f>Database!FJT28</f>
        <v>0</v>
      </c>
      <c r="FJB4">
        <f>Database!FJU28</f>
        <v>0</v>
      </c>
      <c r="FJC4">
        <f>Database!FJV28</f>
        <v>0</v>
      </c>
      <c r="FJD4">
        <f>Database!FJW28</f>
        <v>0</v>
      </c>
      <c r="FJE4">
        <f>Database!FJX28</f>
        <v>0</v>
      </c>
      <c r="FJF4">
        <f>Database!FJY28</f>
        <v>0</v>
      </c>
      <c r="FJG4">
        <f>Database!FJZ28</f>
        <v>0</v>
      </c>
      <c r="FJH4">
        <f>Database!FKA28</f>
        <v>0</v>
      </c>
      <c r="FJI4">
        <f>Database!FKB28</f>
        <v>0</v>
      </c>
      <c r="FJJ4">
        <f>Database!FKC28</f>
        <v>0</v>
      </c>
      <c r="FJK4">
        <f>Database!FKD28</f>
        <v>0</v>
      </c>
      <c r="FJL4">
        <f>Database!FKE28</f>
        <v>0</v>
      </c>
      <c r="FJM4">
        <f>Database!FKF28</f>
        <v>0</v>
      </c>
      <c r="FJN4">
        <f>Database!FKG28</f>
        <v>0</v>
      </c>
      <c r="FJO4">
        <f>Database!FKH28</f>
        <v>0</v>
      </c>
      <c r="FJP4">
        <f>Database!FKI28</f>
        <v>0</v>
      </c>
      <c r="FJQ4">
        <f>Database!FKJ28</f>
        <v>0</v>
      </c>
      <c r="FJR4">
        <f>Database!FKK28</f>
        <v>0</v>
      </c>
      <c r="FJS4">
        <f>Database!FKL28</f>
        <v>0</v>
      </c>
      <c r="FJT4">
        <f>Database!FKM28</f>
        <v>0</v>
      </c>
      <c r="FJU4">
        <f>Database!FKN28</f>
        <v>0</v>
      </c>
      <c r="FJV4">
        <f>Database!FKO28</f>
        <v>0</v>
      </c>
      <c r="FJW4">
        <f>Database!FKP28</f>
        <v>0</v>
      </c>
      <c r="FJX4">
        <f>Database!FKQ28</f>
        <v>0</v>
      </c>
      <c r="FJY4">
        <f>Database!FKR28</f>
        <v>0</v>
      </c>
      <c r="FJZ4">
        <f>Database!FKS28</f>
        <v>0</v>
      </c>
      <c r="FKA4">
        <f>Database!FKT28</f>
        <v>0</v>
      </c>
      <c r="FKB4">
        <f>Database!FKU28</f>
        <v>0</v>
      </c>
      <c r="FKC4">
        <f>Database!FKV28</f>
        <v>0</v>
      </c>
      <c r="FKD4">
        <f>Database!FKW28</f>
        <v>0</v>
      </c>
      <c r="FKE4">
        <f>Database!FKX28</f>
        <v>0</v>
      </c>
      <c r="FKF4">
        <f>Database!FKY28</f>
        <v>0</v>
      </c>
      <c r="FKG4">
        <f>Database!FKZ28</f>
        <v>0</v>
      </c>
      <c r="FKH4">
        <f>Database!FLA28</f>
        <v>0</v>
      </c>
      <c r="FKI4">
        <f>Database!FLB28</f>
        <v>0</v>
      </c>
      <c r="FKJ4">
        <f>Database!FLC28</f>
        <v>0</v>
      </c>
      <c r="FKK4">
        <f>Database!FLD28</f>
        <v>0</v>
      </c>
      <c r="FKL4">
        <f>Database!FLE28</f>
        <v>0</v>
      </c>
      <c r="FKM4">
        <f>Database!FLF28</f>
        <v>0</v>
      </c>
      <c r="FKN4">
        <f>Database!FLG28</f>
        <v>0</v>
      </c>
      <c r="FKO4">
        <f>Database!FLH28</f>
        <v>0</v>
      </c>
      <c r="FKP4">
        <f>Database!FLI28</f>
        <v>0</v>
      </c>
      <c r="FKQ4">
        <f>Database!FLJ28</f>
        <v>0</v>
      </c>
      <c r="FKR4">
        <f>Database!FLK28</f>
        <v>0</v>
      </c>
      <c r="FKS4">
        <f>Database!FLL28</f>
        <v>0</v>
      </c>
      <c r="FKT4">
        <f>Database!FLM28</f>
        <v>0</v>
      </c>
      <c r="FKU4">
        <f>Database!FLN28</f>
        <v>0</v>
      </c>
      <c r="FKV4">
        <f>Database!FLO28</f>
        <v>0</v>
      </c>
      <c r="FKW4">
        <f>Database!FLP28</f>
        <v>0</v>
      </c>
      <c r="FKX4">
        <f>Database!FLQ28</f>
        <v>0</v>
      </c>
      <c r="FKY4">
        <f>Database!FLR28</f>
        <v>0</v>
      </c>
      <c r="FKZ4">
        <f>Database!FLS28</f>
        <v>0</v>
      </c>
      <c r="FLA4">
        <f>Database!FLT28</f>
        <v>0</v>
      </c>
      <c r="FLB4">
        <f>Database!FLU28</f>
        <v>0</v>
      </c>
      <c r="FLC4">
        <f>Database!FLV28</f>
        <v>0</v>
      </c>
      <c r="FLD4">
        <f>Database!FLW28</f>
        <v>0</v>
      </c>
      <c r="FLE4">
        <f>Database!FLX28</f>
        <v>0</v>
      </c>
      <c r="FLF4">
        <f>Database!FLY28</f>
        <v>0</v>
      </c>
      <c r="FLG4">
        <f>Database!FLZ28</f>
        <v>0</v>
      </c>
      <c r="FLH4">
        <f>Database!FMA28</f>
        <v>0</v>
      </c>
      <c r="FLI4">
        <f>Database!FMB28</f>
        <v>0</v>
      </c>
      <c r="FLJ4">
        <f>Database!FMC28</f>
        <v>0</v>
      </c>
      <c r="FLK4">
        <f>Database!FMD28</f>
        <v>0</v>
      </c>
      <c r="FLL4">
        <f>Database!FME28</f>
        <v>0</v>
      </c>
      <c r="FLM4">
        <f>Database!FMF28</f>
        <v>0</v>
      </c>
      <c r="FLN4">
        <f>Database!FMG28</f>
        <v>0</v>
      </c>
      <c r="FLO4">
        <f>Database!FMH28</f>
        <v>0</v>
      </c>
      <c r="FLP4">
        <f>Database!FMI28</f>
        <v>0</v>
      </c>
      <c r="FLQ4">
        <f>Database!FMJ28</f>
        <v>0</v>
      </c>
      <c r="FLR4">
        <f>Database!FMK28</f>
        <v>0</v>
      </c>
      <c r="FLS4">
        <f>Database!FML28</f>
        <v>0</v>
      </c>
      <c r="FLT4">
        <f>Database!FMM28</f>
        <v>0</v>
      </c>
      <c r="FLU4">
        <f>Database!FMN28</f>
        <v>0</v>
      </c>
      <c r="FLV4">
        <f>Database!FMO28</f>
        <v>0</v>
      </c>
      <c r="FLW4">
        <f>Database!FMP28</f>
        <v>0</v>
      </c>
      <c r="FLX4">
        <f>Database!FMQ28</f>
        <v>0</v>
      </c>
      <c r="FLY4">
        <f>Database!FMR28</f>
        <v>0</v>
      </c>
      <c r="FLZ4">
        <f>Database!FMS28</f>
        <v>0</v>
      </c>
      <c r="FMA4">
        <f>Database!FMT28</f>
        <v>0</v>
      </c>
      <c r="FMB4">
        <f>Database!FMU28</f>
        <v>0</v>
      </c>
      <c r="FMC4">
        <f>Database!FMV28</f>
        <v>0</v>
      </c>
      <c r="FMD4">
        <f>Database!FMW28</f>
        <v>0</v>
      </c>
      <c r="FME4">
        <f>Database!FMX28</f>
        <v>0</v>
      </c>
      <c r="FMF4">
        <f>Database!FMY28</f>
        <v>0</v>
      </c>
      <c r="FMG4">
        <f>Database!FMZ28</f>
        <v>0</v>
      </c>
      <c r="FMH4">
        <f>Database!FNA28</f>
        <v>0</v>
      </c>
      <c r="FMI4">
        <f>Database!FNB28</f>
        <v>0</v>
      </c>
      <c r="FMJ4">
        <f>Database!FNC28</f>
        <v>0</v>
      </c>
      <c r="FMK4">
        <f>Database!FND28</f>
        <v>0</v>
      </c>
      <c r="FML4">
        <f>Database!FNE28</f>
        <v>0</v>
      </c>
      <c r="FMM4">
        <f>Database!FNF28</f>
        <v>0</v>
      </c>
      <c r="FMN4">
        <f>Database!FNG28</f>
        <v>0</v>
      </c>
      <c r="FMO4">
        <f>Database!FNH28</f>
        <v>0</v>
      </c>
      <c r="FMP4">
        <f>Database!FNI28</f>
        <v>0</v>
      </c>
      <c r="FMQ4">
        <f>Database!FNJ28</f>
        <v>0</v>
      </c>
      <c r="FMR4">
        <f>Database!FNK28</f>
        <v>0</v>
      </c>
      <c r="FMS4">
        <f>Database!FNL28</f>
        <v>0</v>
      </c>
      <c r="FMT4">
        <f>Database!FNM28</f>
        <v>0</v>
      </c>
      <c r="FMU4">
        <f>Database!FNN28</f>
        <v>0</v>
      </c>
      <c r="FMV4">
        <f>Database!FNO28</f>
        <v>0</v>
      </c>
      <c r="FMW4">
        <f>Database!FNP28</f>
        <v>0</v>
      </c>
      <c r="FMX4">
        <f>Database!FNQ28</f>
        <v>0</v>
      </c>
      <c r="FMY4">
        <f>Database!FNR28</f>
        <v>0</v>
      </c>
      <c r="FMZ4">
        <f>Database!FNS28</f>
        <v>0</v>
      </c>
      <c r="FNA4">
        <f>Database!FNT28</f>
        <v>0</v>
      </c>
      <c r="FNB4">
        <f>Database!FNU28</f>
        <v>0</v>
      </c>
      <c r="FNC4">
        <f>Database!FNV28</f>
        <v>0</v>
      </c>
      <c r="FND4">
        <f>Database!FNW28</f>
        <v>0</v>
      </c>
      <c r="FNE4">
        <f>Database!FNX28</f>
        <v>0</v>
      </c>
      <c r="FNF4">
        <f>Database!FNY28</f>
        <v>0</v>
      </c>
      <c r="FNG4">
        <f>Database!FNZ28</f>
        <v>0</v>
      </c>
      <c r="FNH4">
        <f>Database!FOA28</f>
        <v>0</v>
      </c>
      <c r="FNI4">
        <f>Database!FOB28</f>
        <v>0</v>
      </c>
      <c r="FNJ4">
        <f>Database!FOC28</f>
        <v>0</v>
      </c>
      <c r="FNK4">
        <f>Database!FOD28</f>
        <v>0</v>
      </c>
      <c r="FNL4">
        <f>Database!FOE28</f>
        <v>0</v>
      </c>
      <c r="FNM4">
        <f>Database!FOF28</f>
        <v>0</v>
      </c>
      <c r="FNN4">
        <f>Database!FOG28</f>
        <v>0</v>
      </c>
      <c r="FNO4">
        <f>Database!FOH28</f>
        <v>0</v>
      </c>
      <c r="FNP4">
        <f>Database!FOI28</f>
        <v>0</v>
      </c>
      <c r="FNQ4">
        <f>Database!FOJ28</f>
        <v>0</v>
      </c>
      <c r="FNR4">
        <f>Database!FOK28</f>
        <v>0</v>
      </c>
      <c r="FNS4">
        <f>Database!FOL28</f>
        <v>0</v>
      </c>
      <c r="FNT4">
        <f>Database!FOM28</f>
        <v>0</v>
      </c>
      <c r="FNU4">
        <f>Database!FON28</f>
        <v>0</v>
      </c>
      <c r="FNV4">
        <f>Database!FOO28</f>
        <v>0</v>
      </c>
      <c r="FNW4">
        <f>Database!FOP28</f>
        <v>0</v>
      </c>
      <c r="FNX4">
        <f>Database!FOQ28</f>
        <v>0</v>
      </c>
      <c r="FNY4">
        <f>Database!FOR28</f>
        <v>0</v>
      </c>
      <c r="FNZ4">
        <f>Database!FOS28</f>
        <v>0</v>
      </c>
      <c r="FOA4">
        <f>Database!FOT28</f>
        <v>0</v>
      </c>
      <c r="FOB4">
        <f>Database!FOU28</f>
        <v>0</v>
      </c>
      <c r="FOC4">
        <f>Database!FOV28</f>
        <v>0</v>
      </c>
      <c r="FOD4">
        <f>Database!FOW28</f>
        <v>0</v>
      </c>
      <c r="FOE4">
        <f>Database!FOX28</f>
        <v>0</v>
      </c>
      <c r="FOF4">
        <f>Database!FOY28</f>
        <v>0</v>
      </c>
      <c r="FOG4">
        <f>Database!FOZ28</f>
        <v>0</v>
      </c>
      <c r="FOH4">
        <f>Database!FPA28</f>
        <v>0</v>
      </c>
      <c r="FOI4">
        <f>Database!FPB28</f>
        <v>0</v>
      </c>
      <c r="FOJ4">
        <f>Database!FPC28</f>
        <v>0</v>
      </c>
      <c r="FOK4">
        <f>Database!FPD28</f>
        <v>0</v>
      </c>
      <c r="FOL4">
        <f>Database!FPE28</f>
        <v>0</v>
      </c>
      <c r="FOM4">
        <f>Database!FPF28</f>
        <v>0</v>
      </c>
      <c r="FON4">
        <f>Database!FPG28</f>
        <v>0</v>
      </c>
      <c r="FOO4">
        <f>Database!FPH28</f>
        <v>0</v>
      </c>
      <c r="FOP4">
        <f>Database!FPI28</f>
        <v>0</v>
      </c>
      <c r="FOQ4">
        <f>Database!FPJ28</f>
        <v>0</v>
      </c>
      <c r="FOR4">
        <f>Database!FPK28</f>
        <v>0</v>
      </c>
      <c r="FOS4">
        <f>Database!FPL28</f>
        <v>0</v>
      </c>
      <c r="FOT4">
        <f>Database!FPM28</f>
        <v>0</v>
      </c>
      <c r="FOU4">
        <f>Database!FPN28</f>
        <v>0</v>
      </c>
      <c r="FOV4">
        <f>Database!FPO28</f>
        <v>0</v>
      </c>
      <c r="FOW4">
        <f>Database!FPP28</f>
        <v>0</v>
      </c>
      <c r="FOX4">
        <f>Database!FPQ28</f>
        <v>0</v>
      </c>
      <c r="FOY4">
        <f>Database!FPR28</f>
        <v>0</v>
      </c>
      <c r="FOZ4">
        <f>Database!FPS28</f>
        <v>0</v>
      </c>
      <c r="FPA4">
        <f>Database!FPT28</f>
        <v>0</v>
      </c>
      <c r="FPB4">
        <f>Database!FPU28</f>
        <v>0</v>
      </c>
      <c r="FPC4">
        <f>Database!FPV28</f>
        <v>0</v>
      </c>
      <c r="FPD4">
        <f>Database!FPW28</f>
        <v>0</v>
      </c>
      <c r="FPE4">
        <f>Database!FPX28</f>
        <v>0</v>
      </c>
      <c r="FPF4">
        <f>Database!FPY28</f>
        <v>0</v>
      </c>
      <c r="FPG4">
        <f>Database!FPZ28</f>
        <v>0</v>
      </c>
      <c r="FPH4">
        <f>Database!FQA28</f>
        <v>0</v>
      </c>
      <c r="FPI4">
        <f>Database!FQB28</f>
        <v>0</v>
      </c>
      <c r="FPJ4">
        <f>Database!FQC28</f>
        <v>0</v>
      </c>
      <c r="FPK4">
        <f>Database!FQD28</f>
        <v>0</v>
      </c>
      <c r="FPL4">
        <f>Database!FQE28</f>
        <v>0</v>
      </c>
      <c r="FPM4">
        <f>Database!FQF28</f>
        <v>0</v>
      </c>
      <c r="FPN4">
        <f>Database!FQG28</f>
        <v>0</v>
      </c>
      <c r="FPO4">
        <f>Database!FQH28</f>
        <v>0</v>
      </c>
      <c r="FPP4">
        <f>Database!FQI28</f>
        <v>0</v>
      </c>
      <c r="FPQ4">
        <f>Database!FQJ28</f>
        <v>0</v>
      </c>
      <c r="FPR4">
        <f>Database!FQK28</f>
        <v>0</v>
      </c>
      <c r="FPS4">
        <f>Database!FQL28</f>
        <v>0</v>
      </c>
      <c r="FPT4">
        <f>Database!FQM28</f>
        <v>0</v>
      </c>
      <c r="FPU4">
        <f>Database!FQN28</f>
        <v>0</v>
      </c>
      <c r="FPV4">
        <f>Database!FQO28</f>
        <v>0</v>
      </c>
      <c r="FPW4">
        <f>Database!FQP28</f>
        <v>0</v>
      </c>
      <c r="FPX4">
        <f>Database!FQQ28</f>
        <v>0</v>
      </c>
      <c r="FPY4">
        <f>Database!FQR28</f>
        <v>0</v>
      </c>
      <c r="FPZ4">
        <f>Database!FQS28</f>
        <v>0</v>
      </c>
      <c r="FQA4">
        <f>Database!FQT28</f>
        <v>0</v>
      </c>
      <c r="FQB4">
        <f>Database!FQU28</f>
        <v>0</v>
      </c>
      <c r="FQC4">
        <f>Database!FQV28</f>
        <v>0</v>
      </c>
      <c r="FQD4">
        <f>Database!FQW28</f>
        <v>0</v>
      </c>
      <c r="FQE4">
        <f>Database!FQX28</f>
        <v>0</v>
      </c>
      <c r="FQF4">
        <f>Database!FQY28</f>
        <v>0</v>
      </c>
      <c r="FQG4">
        <f>Database!FQZ28</f>
        <v>0</v>
      </c>
      <c r="FQH4">
        <f>Database!FRA28</f>
        <v>0</v>
      </c>
      <c r="FQI4">
        <f>Database!FRB28</f>
        <v>0</v>
      </c>
      <c r="FQJ4">
        <f>Database!FRC28</f>
        <v>0</v>
      </c>
      <c r="FQK4">
        <f>Database!FRD28</f>
        <v>0</v>
      </c>
      <c r="FQL4">
        <f>Database!FRE28</f>
        <v>0</v>
      </c>
      <c r="FQM4">
        <f>Database!FRF28</f>
        <v>0</v>
      </c>
      <c r="FQN4">
        <f>Database!FRG28</f>
        <v>0</v>
      </c>
      <c r="FQO4">
        <f>Database!FRH28</f>
        <v>0</v>
      </c>
      <c r="FQP4">
        <f>Database!FRI28</f>
        <v>0</v>
      </c>
      <c r="FQQ4">
        <f>Database!FRJ28</f>
        <v>0</v>
      </c>
      <c r="FQR4">
        <f>Database!FRK28</f>
        <v>0</v>
      </c>
      <c r="FQS4">
        <f>Database!FRL28</f>
        <v>0</v>
      </c>
      <c r="FQT4">
        <f>Database!FRM28</f>
        <v>0</v>
      </c>
      <c r="FQU4">
        <f>Database!FRN28</f>
        <v>0</v>
      </c>
      <c r="FQV4">
        <f>Database!FRO28</f>
        <v>0</v>
      </c>
      <c r="FQW4">
        <f>Database!FRP28</f>
        <v>0</v>
      </c>
      <c r="FQX4">
        <f>Database!FRQ28</f>
        <v>0</v>
      </c>
      <c r="FQY4">
        <f>Database!FRR28</f>
        <v>0</v>
      </c>
      <c r="FQZ4">
        <f>Database!FRS28</f>
        <v>0</v>
      </c>
      <c r="FRA4">
        <f>Database!FRT28</f>
        <v>0</v>
      </c>
      <c r="FRB4">
        <f>Database!FRU28</f>
        <v>0</v>
      </c>
      <c r="FRC4">
        <f>Database!FRV28</f>
        <v>0</v>
      </c>
      <c r="FRD4">
        <f>Database!FRW28</f>
        <v>0</v>
      </c>
      <c r="FRE4">
        <f>Database!FRX28</f>
        <v>0</v>
      </c>
      <c r="FRF4">
        <f>Database!FRY28</f>
        <v>0</v>
      </c>
      <c r="FRG4">
        <f>Database!FRZ28</f>
        <v>0</v>
      </c>
      <c r="FRH4">
        <f>Database!FSA28</f>
        <v>0</v>
      </c>
      <c r="FRI4">
        <f>Database!FSB28</f>
        <v>0</v>
      </c>
      <c r="FRJ4">
        <f>Database!FSC28</f>
        <v>0</v>
      </c>
      <c r="FRK4">
        <f>Database!FSD28</f>
        <v>0</v>
      </c>
      <c r="FRL4">
        <f>Database!FSE28</f>
        <v>0</v>
      </c>
      <c r="FRM4">
        <f>Database!FSF28</f>
        <v>0</v>
      </c>
      <c r="FRN4">
        <f>Database!FSG28</f>
        <v>0</v>
      </c>
      <c r="FRO4">
        <f>Database!FSH28</f>
        <v>0</v>
      </c>
      <c r="FRP4">
        <f>Database!FSI28</f>
        <v>0</v>
      </c>
      <c r="FRQ4">
        <f>Database!FSJ28</f>
        <v>0</v>
      </c>
      <c r="FRR4">
        <f>Database!FSK28</f>
        <v>0</v>
      </c>
      <c r="FRS4">
        <f>Database!FSL28</f>
        <v>0</v>
      </c>
      <c r="FRT4">
        <f>Database!FSM28</f>
        <v>0</v>
      </c>
      <c r="FRU4">
        <f>Database!FSN28</f>
        <v>0</v>
      </c>
      <c r="FRV4">
        <f>Database!FSO28</f>
        <v>0</v>
      </c>
      <c r="FRW4">
        <f>Database!FSP28</f>
        <v>0</v>
      </c>
      <c r="FRX4">
        <f>Database!FSQ28</f>
        <v>0</v>
      </c>
      <c r="FRY4">
        <f>Database!FSR28</f>
        <v>0</v>
      </c>
      <c r="FRZ4">
        <f>Database!FSS28</f>
        <v>0</v>
      </c>
      <c r="FSA4">
        <f>Database!FST28</f>
        <v>0</v>
      </c>
      <c r="FSB4">
        <f>Database!FSU28</f>
        <v>0</v>
      </c>
      <c r="FSC4">
        <f>Database!FSV28</f>
        <v>0</v>
      </c>
      <c r="FSD4">
        <f>Database!FSW28</f>
        <v>0</v>
      </c>
      <c r="FSE4">
        <f>Database!FSX28</f>
        <v>0</v>
      </c>
      <c r="FSF4">
        <f>Database!FSY28</f>
        <v>0</v>
      </c>
      <c r="FSG4">
        <f>Database!FSZ28</f>
        <v>0</v>
      </c>
      <c r="FSH4">
        <f>Database!FTA28</f>
        <v>0</v>
      </c>
      <c r="FSI4">
        <f>Database!FTB28</f>
        <v>0</v>
      </c>
      <c r="FSJ4">
        <f>Database!FTC28</f>
        <v>0</v>
      </c>
      <c r="FSK4">
        <f>Database!FTD28</f>
        <v>0</v>
      </c>
      <c r="FSL4">
        <f>Database!FTE28</f>
        <v>0</v>
      </c>
      <c r="FSM4">
        <f>Database!FTF28</f>
        <v>0</v>
      </c>
      <c r="FSN4">
        <f>Database!FTG28</f>
        <v>0</v>
      </c>
      <c r="FSO4">
        <f>Database!FTH28</f>
        <v>0</v>
      </c>
      <c r="FSP4">
        <f>Database!FTI28</f>
        <v>0</v>
      </c>
      <c r="FSQ4">
        <f>Database!FTJ28</f>
        <v>0</v>
      </c>
      <c r="FSR4">
        <f>Database!FTK28</f>
        <v>0</v>
      </c>
      <c r="FSS4">
        <f>Database!FTL28</f>
        <v>0</v>
      </c>
      <c r="FST4">
        <f>Database!FTM28</f>
        <v>0</v>
      </c>
      <c r="FSU4">
        <f>Database!FTN28</f>
        <v>0</v>
      </c>
      <c r="FSV4">
        <f>Database!FTO28</f>
        <v>0</v>
      </c>
      <c r="FSW4">
        <f>Database!FTP28</f>
        <v>0</v>
      </c>
      <c r="FSX4">
        <f>Database!FTQ28</f>
        <v>0</v>
      </c>
      <c r="FSY4">
        <f>Database!FTR28</f>
        <v>0</v>
      </c>
      <c r="FSZ4">
        <f>Database!FTS28</f>
        <v>0</v>
      </c>
      <c r="FTA4">
        <f>Database!FTT28</f>
        <v>0</v>
      </c>
      <c r="FTB4">
        <f>Database!FTU28</f>
        <v>0</v>
      </c>
      <c r="FTC4">
        <f>Database!FTV28</f>
        <v>0</v>
      </c>
      <c r="FTD4">
        <f>Database!FTW28</f>
        <v>0</v>
      </c>
      <c r="FTE4">
        <f>Database!FTX28</f>
        <v>0</v>
      </c>
      <c r="FTF4">
        <f>Database!FTY28</f>
        <v>0</v>
      </c>
      <c r="FTG4">
        <f>Database!FTZ28</f>
        <v>0</v>
      </c>
      <c r="FTH4">
        <f>Database!FUA28</f>
        <v>0</v>
      </c>
      <c r="FTI4">
        <f>Database!FUB28</f>
        <v>0</v>
      </c>
      <c r="FTJ4">
        <f>Database!FUC28</f>
        <v>0</v>
      </c>
      <c r="FTK4">
        <f>Database!FUD28</f>
        <v>0</v>
      </c>
      <c r="FTL4">
        <f>Database!FUE28</f>
        <v>0</v>
      </c>
      <c r="FTM4">
        <f>Database!FUF28</f>
        <v>0</v>
      </c>
      <c r="FTN4">
        <f>Database!FUG28</f>
        <v>0</v>
      </c>
      <c r="FTO4">
        <f>Database!FUH28</f>
        <v>0</v>
      </c>
      <c r="FTP4">
        <f>Database!FUI28</f>
        <v>0</v>
      </c>
      <c r="FTQ4">
        <f>Database!FUJ28</f>
        <v>0</v>
      </c>
      <c r="FTR4">
        <f>Database!FUK28</f>
        <v>0</v>
      </c>
      <c r="FTS4">
        <f>Database!FUL28</f>
        <v>0</v>
      </c>
      <c r="FTT4">
        <f>Database!FUM28</f>
        <v>0</v>
      </c>
      <c r="FTU4">
        <f>Database!FUN28</f>
        <v>0</v>
      </c>
      <c r="FTV4">
        <f>Database!FUO28</f>
        <v>0</v>
      </c>
      <c r="FTW4">
        <f>Database!FUP28</f>
        <v>0</v>
      </c>
      <c r="FTX4">
        <f>Database!FUQ28</f>
        <v>0</v>
      </c>
      <c r="FTY4">
        <f>Database!FUR28</f>
        <v>0</v>
      </c>
      <c r="FTZ4">
        <f>Database!FUS28</f>
        <v>0</v>
      </c>
      <c r="FUA4">
        <f>Database!FUT28</f>
        <v>0</v>
      </c>
      <c r="FUB4">
        <f>Database!FUU28</f>
        <v>0</v>
      </c>
      <c r="FUC4">
        <f>Database!FUV28</f>
        <v>0</v>
      </c>
      <c r="FUD4">
        <f>Database!FUW28</f>
        <v>0</v>
      </c>
      <c r="FUE4">
        <f>Database!FUX28</f>
        <v>0</v>
      </c>
      <c r="FUF4">
        <f>Database!FUY28</f>
        <v>0</v>
      </c>
      <c r="FUG4">
        <f>Database!FUZ28</f>
        <v>0</v>
      </c>
      <c r="FUH4">
        <f>Database!FVA28</f>
        <v>0</v>
      </c>
      <c r="FUI4">
        <f>Database!FVB28</f>
        <v>0</v>
      </c>
      <c r="FUJ4">
        <f>Database!FVC28</f>
        <v>0</v>
      </c>
      <c r="FUK4">
        <f>Database!FVD28</f>
        <v>0</v>
      </c>
      <c r="FUL4">
        <f>Database!FVE28</f>
        <v>0</v>
      </c>
      <c r="FUM4">
        <f>Database!FVF28</f>
        <v>0</v>
      </c>
      <c r="FUN4">
        <f>Database!FVG28</f>
        <v>0</v>
      </c>
      <c r="FUO4">
        <f>Database!FVH28</f>
        <v>0</v>
      </c>
      <c r="FUP4">
        <f>Database!FVI28</f>
        <v>0</v>
      </c>
      <c r="FUQ4">
        <f>Database!FVJ28</f>
        <v>0</v>
      </c>
      <c r="FUR4">
        <f>Database!FVK28</f>
        <v>0</v>
      </c>
      <c r="FUS4">
        <f>Database!FVL28</f>
        <v>0</v>
      </c>
      <c r="FUT4">
        <f>Database!FVM28</f>
        <v>0</v>
      </c>
      <c r="FUU4">
        <f>Database!FVN28</f>
        <v>0</v>
      </c>
      <c r="FUV4">
        <f>Database!FVO28</f>
        <v>0</v>
      </c>
      <c r="FUW4">
        <f>Database!FVP28</f>
        <v>0</v>
      </c>
      <c r="FUX4">
        <f>Database!FVQ28</f>
        <v>0</v>
      </c>
      <c r="FUY4">
        <f>Database!FVR28</f>
        <v>0</v>
      </c>
      <c r="FUZ4">
        <f>Database!FVS28</f>
        <v>0</v>
      </c>
      <c r="FVA4">
        <f>Database!FVT28</f>
        <v>0</v>
      </c>
      <c r="FVB4">
        <f>Database!FVU28</f>
        <v>0</v>
      </c>
      <c r="FVC4">
        <f>Database!FVV28</f>
        <v>0</v>
      </c>
      <c r="FVD4">
        <f>Database!FVW28</f>
        <v>0</v>
      </c>
      <c r="FVE4">
        <f>Database!FVX28</f>
        <v>0</v>
      </c>
      <c r="FVF4">
        <f>Database!FVY28</f>
        <v>0</v>
      </c>
      <c r="FVG4">
        <f>Database!FVZ28</f>
        <v>0</v>
      </c>
      <c r="FVH4">
        <f>Database!FWA28</f>
        <v>0</v>
      </c>
      <c r="FVI4">
        <f>Database!FWB28</f>
        <v>0</v>
      </c>
      <c r="FVJ4">
        <f>Database!FWC28</f>
        <v>0</v>
      </c>
      <c r="FVK4">
        <f>Database!FWD28</f>
        <v>0</v>
      </c>
      <c r="FVL4">
        <f>Database!FWE28</f>
        <v>0</v>
      </c>
      <c r="FVM4">
        <f>Database!FWF28</f>
        <v>0</v>
      </c>
      <c r="FVN4">
        <f>Database!FWG28</f>
        <v>0</v>
      </c>
      <c r="FVO4">
        <f>Database!FWH28</f>
        <v>0</v>
      </c>
      <c r="FVP4">
        <f>Database!FWI28</f>
        <v>0</v>
      </c>
      <c r="FVQ4">
        <f>Database!FWJ28</f>
        <v>0</v>
      </c>
      <c r="FVR4">
        <f>Database!FWK28</f>
        <v>0</v>
      </c>
      <c r="FVS4">
        <f>Database!FWL28</f>
        <v>0</v>
      </c>
      <c r="FVT4">
        <f>Database!FWM28</f>
        <v>0</v>
      </c>
      <c r="FVU4">
        <f>Database!FWN28</f>
        <v>0</v>
      </c>
      <c r="FVV4">
        <f>Database!FWO28</f>
        <v>0</v>
      </c>
      <c r="FVW4">
        <f>Database!FWP28</f>
        <v>0</v>
      </c>
      <c r="FVX4">
        <f>Database!FWQ28</f>
        <v>0</v>
      </c>
      <c r="FVY4">
        <f>Database!FWR28</f>
        <v>0</v>
      </c>
      <c r="FVZ4">
        <f>Database!FWS28</f>
        <v>0</v>
      </c>
      <c r="FWA4">
        <f>Database!FWT28</f>
        <v>0</v>
      </c>
      <c r="FWB4">
        <f>Database!FWU28</f>
        <v>0</v>
      </c>
      <c r="FWC4">
        <f>Database!FWV28</f>
        <v>0</v>
      </c>
      <c r="FWD4">
        <f>Database!FWW28</f>
        <v>0</v>
      </c>
      <c r="FWE4">
        <f>Database!FWX28</f>
        <v>0</v>
      </c>
      <c r="FWF4">
        <f>Database!FWY28</f>
        <v>0</v>
      </c>
      <c r="FWG4">
        <f>Database!FWZ28</f>
        <v>0</v>
      </c>
      <c r="FWH4">
        <f>Database!FXA28</f>
        <v>0</v>
      </c>
      <c r="FWI4">
        <f>Database!FXB28</f>
        <v>0</v>
      </c>
      <c r="FWJ4">
        <f>Database!FXC28</f>
        <v>0</v>
      </c>
      <c r="FWK4">
        <f>Database!FXD28</f>
        <v>0</v>
      </c>
      <c r="FWL4">
        <f>Database!FXE28</f>
        <v>0</v>
      </c>
      <c r="FWM4">
        <f>Database!FXF28</f>
        <v>0</v>
      </c>
      <c r="FWN4">
        <f>Database!FXG28</f>
        <v>0</v>
      </c>
      <c r="FWO4">
        <f>Database!FXH28</f>
        <v>0</v>
      </c>
      <c r="FWP4">
        <f>Database!FXI28</f>
        <v>0</v>
      </c>
      <c r="FWQ4">
        <f>Database!FXJ28</f>
        <v>0</v>
      </c>
      <c r="FWR4">
        <f>Database!FXK28</f>
        <v>0</v>
      </c>
      <c r="FWS4">
        <f>Database!FXL28</f>
        <v>0</v>
      </c>
      <c r="FWT4">
        <f>Database!FXM28</f>
        <v>0</v>
      </c>
      <c r="FWU4">
        <f>Database!FXN28</f>
        <v>0</v>
      </c>
      <c r="FWV4">
        <f>Database!FXO28</f>
        <v>0</v>
      </c>
      <c r="FWW4">
        <f>Database!FXP28</f>
        <v>0</v>
      </c>
      <c r="FWX4">
        <f>Database!FXQ28</f>
        <v>0</v>
      </c>
      <c r="FWY4">
        <f>Database!FXR28</f>
        <v>0</v>
      </c>
      <c r="FWZ4">
        <f>Database!FXS28</f>
        <v>0</v>
      </c>
      <c r="FXA4">
        <f>Database!FXT28</f>
        <v>0</v>
      </c>
      <c r="FXB4">
        <f>Database!FXU28</f>
        <v>0</v>
      </c>
      <c r="FXC4">
        <f>Database!FXV28</f>
        <v>0</v>
      </c>
      <c r="FXD4">
        <f>Database!FXW28</f>
        <v>0</v>
      </c>
      <c r="FXE4">
        <f>Database!FXX28</f>
        <v>0</v>
      </c>
      <c r="FXF4">
        <f>Database!FXY28</f>
        <v>0</v>
      </c>
      <c r="FXG4">
        <f>Database!FXZ28</f>
        <v>0</v>
      </c>
      <c r="FXH4">
        <f>Database!FYA28</f>
        <v>0</v>
      </c>
      <c r="FXI4">
        <f>Database!FYB28</f>
        <v>0</v>
      </c>
      <c r="FXJ4">
        <f>Database!FYC28</f>
        <v>0</v>
      </c>
      <c r="FXK4">
        <f>Database!FYD28</f>
        <v>0</v>
      </c>
      <c r="FXL4">
        <f>Database!FYE28</f>
        <v>0</v>
      </c>
      <c r="FXM4">
        <f>Database!FYF28</f>
        <v>0</v>
      </c>
      <c r="FXN4">
        <f>Database!FYG28</f>
        <v>0</v>
      </c>
      <c r="FXO4">
        <f>Database!FYH28</f>
        <v>0</v>
      </c>
      <c r="FXP4">
        <f>Database!FYI28</f>
        <v>0</v>
      </c>
      <c r="FXQ4">
        <f>Database!FYJ28</f>
        <v>0</v>
      </c>
      <c r="FXR4">
        <f>Database!FYK28</f>
        <v>0</v>
      </c>
      <c r="FXS4">
        <f>Database!FYL28</f>
        <v>0</v>
      </c>
      <c r="FXT4">
        <f>Database!FYM28</f>
        <v>0</v>
      </c>
      <c r="FXU4">
        <f>Database!FYN28</f>
        <v>0</v>
      </c>
      <c r="FXV4">
        <f>Database!FYO28</f>
        <v>0</v>
      </c>
      <c r="FXW4">
        <f>Database!FYP28</f>
        <v>0</v>
      </c>
      <c r="FXX4">
        <f>Database!FYQ28</f>
        <v>0</v>
      </c>
      <c r="FXY4">
        <f>Database!FYR28</f>
        <v>0</v>
      </c>
      <c r="FXZ4">
        <f>Database!FYS28</f>
        <v>0</v>
      </c>
      <c r="FYA4">
        <f>Database!FYT28</f>
        <v>0</v>
      </c>
      <c r="FYB4">
        <f>Database!FYU28</f>
        <v>0</v>
      </c>
      <c r="FYC4">
        <f>Database!FYV28</f>
        <v>0</v>
      </c>
      <c r="FYD4">
        <f>Database!FYW28</f>
        <v>0</v>
      </c>
      <c r="FYE4">
        <f>Database!FYX28</f>
        <v>0</v>
      </c>
      <c r="FYF4">
        <f>Database!FYY28</f>
        <v>0</v>
      </c>
      <c r="FYG4">
        <f>Database!FYZ28</f>
        <v>0</v>
      </c>
      <c r="FYH4">
        <f>Database!FZA28</f>
        <v>0</v>
      </c>
      <c r="FYI4">
        <f>Database!FZB28</f>
        <v>0</v>
      </c>
      <c r="FYJ4">
        <f>Database!FZC28</f>
        <v>0</v>
      </c>
      <c r="FYK4">
        <f>Database!FZD28</f>
        <v>0</v>
      </c>
      <c r="FYL4">
        <f>Database!FZE28</f>
        <v>0</v>
      </c>
      <c r="FYM4">
        <f>Database!FZF28</f>
        <v>0</v>
      </c>
      <c r="FYN4">
        <f>Database!FZG28</f>
        <v>0</v>
      </c>
      <c r="FYO4">
        <f>Database!FZH28</f>
        <v>0</v>
      </c>
      <c r="FYP4">
        <f>Database!FZI28</f>
        <v>0</v>
      </c>
      <c r="FYQ4">
        <f>Database!FZJ28</f>
        <v>0</v>
      </c>
      <c r="FYR4">
        <f>Database!FZK28</f>
        <v>0</v>
      </c>
      <c r="FYS4">
        <f>Database!FZL28</f>
        <v>0</v>
      </c>
      <c r="FYT4">
        <f>Database!FZM28</f>
        <v>0</v>
      </c>
      <c r="FYU4">
        <f>Database!FZN28</f>
        <v>0</v>
      </c>
      <c r="FYV4">
        <f>Database!FZO28</f>
        <v>0</v>
      </c>
      <c r="FYW4">
        <f>Database!FZP28</f>
        <v>0</v>
      </c>
      <c r="FYX4">
        <f>Database!FZQ28</f>
        <v>0</v>
      </c>
      <c r="FYY4">
        <f>Database!FZR28</f>
        <v>0</v>
      </c>
      <c r="FYZ4">
        <f>Database!FZS28</f>
        <v>0</v>
      </c>
      <c r="FZA4">
        <f>Database!FZT28</f>
        <v>0</v>
      </c>
      <c r="FZB4">
        <f>Database!FZU28</f>
        <v>0</v>
      </c>
      <c r="FZC4">
        <f>Database!FZV28</f>
        <v>0</v>
      </c>
      <c r="FZD4">
        <f>Database!FZW28</f>
        <v>0</v>
      </c>
      <c r="FZE4">
        <f>Database!FZX28</f>
        <v>0</v>
      </c>
      <c r="FZF4">
        <f>Database!FZY28</f>
        <v>0</v>
      </c>
      <c r="FZG4">
        <f>Database!FZZ28</f>
        <v>0</v>
      </c>
      <c r="FZH4">
        <f>Database!GAA28</f>
        <v>0</v>
      </c>
      <c r="FZI4">
        <f>Database!GAB28</f>
        <v>0</v>
      </c>
      <c r="FZJ4">
        <f>Database!GAC28</f>
        <v>0</v>
      </c>
      <c r="FZK4">
        <f>Database!GAD28</f>
        <v>0</v>
      </c>
      <c r="FZL4">
        <f>Database!GAE28</f>
        <v>0</v>
      </c>
      <c r="FZM4">
        <f>Database!GAF28</f>
        <v>0</v>
      </c>
      <c r="FZN4">
        <f>Database!GAG28</f>
        <v>0</v>
      </c>
      <c r="FZO4">
        <f>Database!GAH28</f>
        <v>0</v>
      </c>
      <c r="FZP4">
        <f>Database!GAI28</f>
        <v>0</v>
      </c>
      <c r="FZQ4">
        <f>Database!GAJ28</f>
        <v>0</v>
      </c>
      <c r="FZR4">
        <f>Database!GAK28</f>
        <v>0</v>
      </c>
      <c r="FZS4">
        <f>Database!GAL28</f>
        <v>0</v>
      </c>
      <c r="FZT4">
        <f>Database!GAM28</f>
        <v>0</v>
      </c>
      <c r="FZU4">
        <f>Database!GAN28</f>
        <v>0</v>
      </c>
      <c r="FZV4">
        <f>Database!GAO28</f>
        <v>0</v>
      </c>
      <c r="FZW4">
        <f>Database!GAP28</f>
        <v>0</v>
      </c>
      <c r="FZX4">
        <f>Database!GAQ28</f>
        <v>0</v>
      </c>
      <c r="FZY4">
        <f>Database!GAR28</f>
        <v>0</v>
      </c>
      <c r="FZZ4">
        <f>Database!GAS28</f>
        <v>0</v>
      </c>
      <c r="GAA4">
        <f>Database!GAT28</f>
        <v>0</v>
      </c>
      <c r="GAB4">
        <f>Database!GAU28</f>
        <v>0</v>
      </c>
      <c r="GAC4">
        <f>Database!GAV28</f>
        <v>0</v>
      </c>
      <c r="GAD4">
        <f>Database!GAW28</f>
        <v>0</v>
      </c>
      <c r="GAE4">
        <f>Database!GAX28</f>
        <v>0</v>
      </c>
      <c r="GAF4">
        <f>Database!GAY28</f>
        <v>0</v>
      </c>
      <c r="GAG4">
        <f>Database!GAZ28</f>
        <v>0</v>
      </c>
      <c r="GAH4">
        <f>Database!GBA28</f>
        <v>0</v>
      </c>
      <c r="GAI4">
        <f>Database!GBB28</f>
        <v>0</v>
      </c>
      <c r="GAJ4">
        <f>Database!GBC28</f>
        <v>0</v>
      </c>
      <c r="GAK4">
        <f>Database!GBD28</f>
        <v>0</v>
      </c>
      <c r="GAL4">
        <f>Database!GBE28</f>
        <v>0</v>
      </c>
      <c r="GAM4">
        <f>Database!GBF28</f>
        <v>0</v>
      </c>
      <c r="GAN4">
        <f>Database!GBG28</f>
        <v>0</v>
      </c>
      <c r="GAO4">
        <f>Database!GBH28</f>
        <v>0</v>
      </c>
      <c r="GAP4">
        <f>Database!GBI28</f>
        <v>0</v>
      </c>
      <c r="GAQ4">
        <f>Database!GBJ28</f>
        <v>0</v>
      </c>
      <c r="GAR4">
        <f>Database!GBK28</f>
        <v>0</v>
      </c>
      <c r="GAS4">
        <f>Database!GBL28</f>
        <v>0</v>
      </c>
      <c r="GAT4">
        <f>Database!GBM28</f>
        <v>0</v>
      </c>
      <c r="GAU4">
        <f>Database!GBN28</f>
        <v>0</v>
      </c>
      <c r="GAV4">
        <f>Database!GBO28</f>
        <v>0</v>
      </c>
      <c r="GAW4">
        <f>Database!GBP28</f>
        <v>0</v>
      </c>
      <c r="GAX4">
        <f>Database!GBQ28</f>
        <v>0</v>
      </c>
      <c r="GAY4">
        <f>Database!GBR28</f>
        <v>0</v>
      </c>
      <c r="GAZ4">
        <f>Database!GBS28</f>
        <v>0</v>
      </c>
      <c r="GBA4">
        <f>Database!GBT28</f>
        <v>0</v>
      </c>
      <c r="GBB4">
        <f>Database!GBU28</f>
        <v>0</v>
      </c>
      <c r="GBC4">
        <f>Database!GBV28</f>
        <v>0</v>
      </c>
      <c r="GBD4">
        <f>Database!GBW28</f>
        <v>0</v>
      </c>
      <c r="GBE4">
        <f>Database!GBX28</f>
        <v>0</v>
      </c>
      <c r="GBF4">
        <f>Database!GBY28</f>
        <v>0</v>
      </c>
      <c r="GBG4">
        <f>Database!GBZ28</f>
        <v>0</v>
      </c>
      <c r="GBH4">
        <f>Database!GCA28</f>
        <v>0</v>
      </c>
      <c r="GBI4">
        <f>Database!GCB28</f>
        <v>0</v>
      </c>
      <c r="GBJ4">
        <f>Database!GCC28</f>
        <v>0</v>
      </c>
      <c r="GBK4">
        <f>Database!GCD28</f>
        <v>0</v>
      </c>
      <c r="GBL4">
        <f>Database!GCE28</f>
        <v>0</v>
      </c>
      <c r="GBM4">
        <f>Database!GCF28</f>
        <v>0</v>
      </c>
      <c r="GBN4">
        <f>Database!GCG28</f>
        <v>0</v>
      </c>
      <c r="GBO4">
        <f>Database!GCH28</f>
        <v>0</v>
      </c>
      <c r="GBP4">
        <f>Database!GCI28</f>
        <v>0</v>
      </c>
      <c r="GBQ4">
        <f>Database!GCJ28</f>
        <v>0</v>
      </c>
      <c r="GBR4">
        <f>Database!GCK28</f>
        <v>0</v>
      </c>
      <c r="GBS4">
        <f>Database!GCL28</f>
        <v>0</v>
      </c>
      <c r="GBT4">
        <f>Database!GCM28</f>
        <v>0</v>
      </c>
      <c r="GBU4">
        <f>Database!GCN28</f>
        <v>0</v>
      </c>
      <c r="GBV4">
        <f>Database!GCO28</f>
        <v>0</v>
      </c>
      <c r="GBW4">
        <f>Database!GCP28</f>
        <v>0</v>
      </c>
      <c r="GBX4">
        <f>Database!GCQ28</f>
        <v>0</v>
      </c>
      <c r="GBY4">
        <f>Database!GCR28</f>
        <v>0</v>
      </c>
      <c r="GBZ4">
        <f>Database!GCS28</f>
        <v>0</v>
      </c>
      <c r="GCA4">
        <f>Database!GCT28</f>
        <v>0</v>
      </c>
      <c r="GCB4">
        <f>Database!GCU28</f>
        <v>0</v>
      </c>
      <c r="GCC4">
        <f>Database!GCV28</f>
        <v>0</v>
      </c>
      <c r="GCD4">
        <f>Database!GCW28</f>
        <v>0</v>
      </c>
      <c r="GCE4">
        <f>Database!GCX28</f>
        <v>0</v>
      </c>
      <c r="GCF4">
        <f>Database!GCY28</f>
        <v>0</v>
      </c>
      <c r="GCG4">
        <f>Database!GCZ28</f>
        <v>0</v>
      </c>
      <c r="GCH4">
        <f>Database!GDA28</f>
        <v>0</v>
      </c>
      <c r="GCI4">
        <f>Database!GDB28</f>
        <v>0</v>
      </c>
      <c r="GCJ4">
        <f>Database!GDC28</f>
        <v>0</v>
      </c>
      <c r="GCK4">
        <f>Database!GDD28</f>
        <v>0</v>
      </c>
      <c r="GCL4">
        <f>Database!GDE28</f>
        <v>0</v>
      </c>
      <c r="GCM4">
        <f>Database!GDF28</f>
        <v>0</v>
      </c>
      <c r="GCN4">
        <f>Database!GDG28</f>
        <v>0</v>
      </c>
      <c r="GCO4">
        <f>Database!GDH28</f>
        <v>0</v>
      </c>
      <c r="GCP4">
        <f>Database!GDI28</f>
        <v>0</v>
      </c>
      <c r="GCQ4">
        <f>Database!GDJ28</f>
        <v>0</v>
      </c>
      <c r="GCR4">
        <f>Database!GDK28</f>
        <v>0</v>
      </c>
      <c r="GCS4">
        <f>Database!GDL28</f>
        <v>0</v>
      </c>
      <c r="GCT4">
        <f>Database!GDM28</f>
        <v>0</v>
      </c>
      <c r="GCU4">
        <f>Database!GDN28</f>
        <v>0</v>
      </c>
      <c r="GCV4">
        <f>Database!GDO28</f>
        <v>0</v>
      </c>
      <c r="GCW4">
        <f>Database!GDP28</f>
        <v>0</v>
      </c>
      <c r="GCX4">
        <f>Database!GDQ28</f>
        <v>0</v>
      </c>
      <c r="GCY4">
        <f>Database!GDR28</f>
        <v>0</v>
      </c>
      <c r="GCZ4">
        <f>Database!GDS28</f>
        <v>0</v>
      </c>
      <c r="GDA4">
        <f>Database!GDT28</f>
        <v>0</v>
      </c>
      <c r="GDB4">
        <f>Database!GDU28</f>
        <v>0</v>
      </c>
      <c r="GDC4">
        <f>Database!GDV28</f>
        <v>0</v>
      </c>
      <c r="GDD4">
        <f>Database!GDW28</f>
        <v>0</v>
      </c>
      <c r="GDE4">
        <f>Database!GDX28</f>
        <v>0</v>
      </c>
      <c r="GDF4">
        <f>Database!GDY28</f>
        <v>0</v>
      </c>
      <c r="GDG4">
        <f>Database!GDZ28</f>
        <v>0</v>
      </c>
      <c r="GDH4">
        <f>Database!GEA28</f>
        <v>0</v>
      </c>
      <c r="GDI4">
        <f>Database!GEB28</f>
        <v>0</v>
      </c>
      <c r="GDJ4">
        <f>Database!GEC28</f>
        <v>0</v>
      </c>
      <c r="GDK4">
        <f>Database!GED28</f>
        <v>0</v>
      </c>
      <c r="GDL4">
        <f>Database!GEE28</f>
        <v>0</v>
      </c>
      <c r="GDM4">
        <f>Database!GEF28</f>
        <v>0</v>
      </c>
      <c r="GDN4">
        <f>Database!GEG28</f>
        <v>0</v>
      </c>
      <c r="GDO4">
        <f>Database!GEH28</f>
        <v>0</v>
      </c>
      <c r="GDP4">
        <f>Database!GEI28</f>
        <v>0</v>
      </c>
      <c r="GDQ4">
        <f>Database!GEJ28</f>
        <v>0</v>
      </c>
      <c r="GDR4">
        <f>Database!GEK28</f>
        <v>0</v>
      </c>
      <c r="GDS4">
        <f>Database!GEL28</f>
        <v>0</v>
      </c>
      <c r="GDT4">
        <f>Database!GEM28</f>
        <v>0</v>
      </c>
      <c r="GDU4">
        <f>Database!GEN28</f>
        <v>0</v>
      </c>
      <c r="GDV4">
        <f>Database!GEO28</f>
        <v>0</v>
      </c>
      <c r="GDW4">
        <f>Database!GEP28</f>
        <v>0</v>
      </c>
      <c r="GDX4">
        <f>Database!GEQ28</f>
        <v>0</v>
      </c>
      <c r="GDY4">
        <f>Database!GER28</f>
        <v>0</v>
      </c>
      <c r="GDZ4">
        <f>Database!GES28</f>
        <v>0</v>
      </c>
      <c r="GEA4">
        <f>Database!GET28</f>
        <v>0</v>
      </c>
      <c r="GEB4">
        <f>Database!GEU28</f>
        <v>0</v>
      </c>
      <c r="GEC4">
        <f>Database!GEV28</f>
        <v>0</v>
      </c>
      <c r="GED4">
        <f>Database!GEW28</f>
        <v>0</v>
      </c>
      <c r="GEE4">
        <f>Database!GEX28</f>
        <v>0</v>
      </c>
      <c r="GEF4">
        <f>Database!GEY28</f>
        <v>0</v>
      </c>
      <c r="GEG4">
        <f>Database!GEZ28</f>
        <v>0</v>
      </c>
      <c r="GEH4">
        <f>Database!GFA28</f>
        <v>0</v>
      </c>
      <c r="GEI4">
        <f>Database!GFB28</f>
        <v>0</v>
      </c>
      <c r="GEJ4">
        <f>Database!GFC28</f>
        <v>0</v>
      </c>
      <c r="GEK4">
        <f>Database!GFD28</f>
        <v>0</v>
      </c>
      <c r="GEL4">
        <f>Database!GFE28</f>
        <v>0</v>
      </c>
      <c r="GEM4">
        <f>Database!GFF28</f>
        <v>0</v>
      </c>
      <c r="GEN4">
        <f>Database!GFG28</f>
        <v>0</v>
      </c>
      <c r="GEO4">
        <f>Database!GFH28</f>
        <v>0</v>
      </c>
      <c r="GEP4">
        <f>Database!GFI28</f>
        <v>0</v>
      </c>
      <c r="GEQ4">
        <f>Database!GFJ28</f>
        <v>0</v>
      </c>
      <c r="GER4">
        <f>Database!GFK28</f>
        <v>0</v>
      </c>
      <c r="GES4">
        <f>Database!GFL28</f>
        <v>0</v>
      </c>
      <c r="GET4">
        <f>Database!GFM28</f>
        <v>0</v>
      </c>
      <c r="GEU4">
        <f>Database!GFN28</f>
        <v>0</v>
      </c>
      <c r="GEV4">
        <f>Database!GFO28</f>
        <v>0</v>
      </c>
      <c r="GEW4">
        <f>Database!GFP28</f>
        <v>0</v>
      </c>
      <c r="GEX4">
        <f>Database!GFQ28</f>
        <v>0</v>
      </c>
      <c r="GEY4">
        <f>Database!GFR28</f>
        <v>0</v>
      </c>
      <c r="GEZ4">
        <f>Database!GFS28</f>
        <v>0</v>
      </c>
      <c r="GFA4">
        <f>Database!GFT28</f>
        <v>0</v>
      </c>
      <c r="GFB4">
        <f>Database!GFU28</f>
        <v>0</v>
      </c>
      <c r="GFC4">
        <f>Database!GFV28</f>
        <v>0</v>
      </c>
      <c r="GFD4">
        <f>Database!GFW28</f>
        <v>0</v>
      </c>
      <c r="GFE4">
        <f>Database!GFX28</f>
        <v>0</v>
      </c>
      <c r="GFF4">
        <f>Database!GFY28</f>
        <v>0</v>
      </c>
      <c r="GFG4">
        <f>Database!GFZ28</f>
        <v>0</v>
      </c>
      <c r="GFH4">
        <f>Database!GGA28</f>
        <v>0</v>
      </c>
      <c r="GFI4">
        <f>Database!GGB28</f>
        <v>0</v>
      </c>
      <c r="GFJ4">
        <f>Database!GGC28</f>
        <v>0</v>
      </c>
      <c r="GFK4">
        <f>Database!GGD28</f>
        <v>0</v>
      </c>
      <c r="GFL4">
        <f>Database!GGE28</f>
        <v>0</v>
      </c>
      <c r="GFM4">
        <f>Database!GGF28</f>
        <v>0</v>
      </c>
      <c r="GFN4">
        <f>Database!GGG28</f>
        <v>0</v>
      </c>
      <c r="GFO4">
        <f>Database!GGH28</f>
        <v>0</v>
      </c>
      <c r="GFP4">
        <f>Database!GGI28</f>
        <v>0</v>
      </c>
      <c r="GFQ4">
        <f>Database!GGJ28</f>
        <v>0</v>
      </c>
      <c r="GFR4">
        <f>Database!GGK28</f>
        <v>0</v>
      </c>
      <c r="GFS4">
        <f>Database!GGL28</f>
        <v>0</v>
      </c>
      <c r="GFT4">
        <f>Database!GGM28</f>
        <v>0</v>
      </c>
      <c r="GFU4">
        <f>Database!GGN28</f>
        <v>0</v>
      </c>
      <c r="GFV4">
        <f>Database!GGO28</f>
        <v>0</v>
      </c>
      <c r="GFW4">
        <f>Database!GGP28</f>
        <v>0</v>
      </c>
      <c r="GFX4">
        <f>Database!GGQ28</f>
        <v>0</v>
      </c>
      <c r="GFY4">
        <f>Database!GGR28</f>
        <v>0</v>
      </c>
      <c r="GFZ4">
        <f>Database!GGS28</f>
        <v>0</v>
      </c>
      <c r="GGA4">
        <f>Database!GGT28</f>
        <v>0</v>
      </c>
      <c r="GGB4">
        <f>Database!GGU28</f>
        <v>0</v>
      </c>
      <c r="GGC4">
        <f>Database!GGV28</f>
        <v>0</v>
      </c>
      <c r="GGD4">
        <f>Database!GGW28</f>
        <v>0</v>
      </c>
      <c r="GGE4">
        <f>Database!GGX28</f>
        <v>0</v>
      </c>
      <c r="GGF4">
        <f>Database!GGY28</f>
        <v>0</v>
      </c>
      <c r="GGG4">
        <f>Database!GGZ28</f>
        <v>0</v>
      </c>
      <c r="GGH4">
        <f>Database!GHA28</f>
        <v>0</v>
      </c>
      <c r="GGI4">
        <f>Database!GHB28</f>
        <v>0</v>
      </c>
      <c r="GGJ4">
        <f>Database!GHC28</f>
        <v>0</v>
      </c>
      <c r="GGK4">
        <f>Database!GHD28</f>
        <v>0</v>
      </c>
      <c r="GGL4">
        <f>Database!GHE28</f>
        <v>0</v>
      </c>
      <c r="GGM4">
        <f>Database!GHF28</f>
        <v>0</v>
      </c>
      <c r="GGN4">
        <f>Database!GHG28</f>
        <v>0</v>
      </c>
      <c r="GGO4">
        <f>Database!GHH28</f>
        <v>0</v>
      </c>
      <c r="GGP4">
        <f>Database!GHI28</f>
        <v>0</v>
      </c>
      <c r="GGQ4">
        <f>Database!GHJ28</f>
        <v>0</v>
      </c>
      <c r="GGR4">
        <f>Database!GHK28</f>
        <v>0</v>
      </c>
      <c r="GGS4">
        <f>Database!GHL28</f>
        <v>0</v>
      </c>
      <c r="GGT4">
        <f>Database!GHM28</f>
        <v>0</v>
      </c>
      <c r="GGU4">
        <f>Database!GHN28</f>
        <v>0</v>
      </c>
      <c r="GGV4">
        <f>Database!GHO28</f>
        <v>0</v>
      </c>
      <c r="GGW4">
        <f>Database!GHP28</f>
        <v>0</v>
      </c>
      <c r="GGX4">
        <f>Database!GHQ28</f>
        <v>0</v>
      </c>
      <c r="GGY4">
        <f>Database!GHR28</f>
        <v>0</v>
      </c>
      <c r="GGZ4">
        <f>Database!GHS28</f>
        <v>0</v>
      </c>
      <c r="GHA4">
        <f>Database!GHT28</f>
        <v>0</v>
      </c>
      <c r="GHB4">
        <f>Database!GHU28</f>
        <v>0</v>
      </c>
      <c r="GHC4">
        <f>Database!GHV28</f>
        <v>0</v>
      </c>
      <c r="GHD4">
        <f>Database!GHW28</f>
        <v>0</v>
      </c>
      <c r="GHE4">
        <f>Database!GHX28</f>
        <v>0</v>
      </c>
      <c r="GHF4">
        <f>Database!GHY28</f>
        <v>0</v>
      </c>
      <c r="GHG4">
        <f>Database!GHZ28</f>
        <v>0</v>
      </c>
      <c r="GHH4">
        <f>Database!GIA28</f>
        <v>0</v>
      </c>
      <c r="GHI4">
        <f>Database!GIB28</f>
        <v>0</v>
      </c>
      <c r="GHJ4">
        <f>Database!GIC28</f>
        <v>0</v>
      </c>
      <c r="GHK4">
        <f>Database!GID28</f>
        <v>0</v>
      </c>
      <c r="GHL4">
        <f>Database!GIE28</f>
        <v>0</v>
      </c>
      <c r="GHM4">
        <f>Database!GIF28</f>
        <v>0</v>
      </c>
      <c r="GHN4">
        <f>Database!GIG28</f>
        <v>0</v>
      </c>
      <c r="GHO4">
        <f>Database!GIH28</f>
        <v>0</v>
      </c>
      <c r="GHP4">
        <f>Database!GII28</f>
        <v>0</v>
      </c>
      <c r="GHQ4">
        <f>Database!GIJ28</f>
        <v>0</v>
      </c>
      <c r="GHR4">
        <f>Database!GIK28</f>
        <v>0</v>
      </c>
      <c r="GHS4">
        <f>Database!GIL28</f>
        <v>0</v>
      </c>
      <c r="GHT4">
        <f>Database!GIM28</f>
        <v>0</v>
      </c>
      <c r="GHU4">
        <f>Database!GIN28</f>
        <v>0</v>
      </c>
      <c r="GHV4">
        <f>Database!GIO28</f>
        <v>0</v>
      </c>
      <c r="GHW4">
        <f>Database!GIP28</f>
        <v>0</v>
      </c>
      <c r="GHX4">
        <f>Database!GIQ28</f>
        <v>0</v>
      </c>
      <c r="GHY4">
        <f>Database!GIR28</f>
        <v>0</v>
      </c>
      <c r="GHZ4">
        <f>Database!GIS28</f>
        <v>0</v>
      </c>
      <c r="GIA4">
        <f>Database!GIT28</f>
        <v>0</v>
      </c>
      <c r="GIB4">
        <f>Database!GIU28</f>
        <v>0</v>
      </c>
      <c r="GIC4">
        <f>Database!GIV28</f>
        <v>0</v>
      </c>
      <c r="GID4">
        <f>Database!GIW28</f>
        <v>0</v>
      </c>
      <c r="GIE4">
        <f>Database!GIX28</f>
        <v>0</v>
      </c>
      <c r="GIF4">
        <f>Database!GIY28</f>
        <v>0</v>
      </c>
      <c r="GIG4">
        <f>Database!GIZ28</f>
        <v>0</v>
      </c>
      <c r="GIH4">
        <f>Database!GJA28</f>
        <v>0</v>
      </c>
      <c r="GII4">
        <f>Database!GJB28</f>
        <v>0</v>
      </c>
      <c r="GIJ4">
        <f>Database!GJC28</f>
        <v>0</v>
      </c>
      <c r="GIK4">
        <f>Database!GJD28</f>
        <v>0</v>
      </c>
      <c r="GIL4">
        <f>Database!GJE28</f>
        <v>0</v>
      </c>
      <c r="GIM4">
        <f>Database!GJF28</f>
        <v>0</v>
      </c>
      <c r="GIN4">
        <f>Database!GJG28</f>
        <v>0</v>
      </c>
      <c r="GIO4">
        <f>Database!GJH28</f>
        <v>0</v>
      </c>
      <c r="GIP4">
        <f>Database!GJI28</f>
        <v>0</v>
      </c>
      <c r="GIQ4">
        <f>Database!GJJ28</f>
        <v>0</v>
      </c>
      <c r="GIR4">
        <f>Database!GJK28</f>
        <v>0</v>
      </c>
      <c r="GIS4">
        <f>Database!GJL28</f>
        <v>0</v>
      </c>
      <c r="GIT4">
        <f>Database!GJM28</f>
        <v>0</v>
      </c>
      <c r="GIU4">
        <f>Database!GJN28</f>
        <v>0</v>
      </c>
      <c r="GIV4">
        <f>Database!GJO28</f>
        <v>0</v>
      </c>
      <c r="GIW4">
        <f>Database!GJP28</f>
        <v>0</v>
      </c>
      <c r="GIX4">
        <f>Database!GJQ28</f>
        <v>0</v>
      </c>
      <c r="GIY4">
        <f>Database!GJR28</f>
        <v>0</v>
      </c>
      <c r="GIZ4">
        <f>Database!GJS28</f>
        <v>0</v>
      </c>
      <c r="GJA4">
        <f>Database!GJT28</f>
        <v>0</v>
      </c>
      <c r="GJB4">
        <f>Database!GJU28</f>
        <v>0</v>
      </c>
      <c r="GJC4">
        <f>Database!GJV28</f>
        <v>0</v>
      </c>
      <c r="GJD4">
        <f>Database!GJW28</f>
        <v>0</v>
      </c>
      <c r="GJE4">
        <f>Database!GJX28</f>
        <v>0</v>
      </c>
      <c r="GJF4">
        <f>Database!GJY28</f>
        <v>0</v>
      </c>
      <c r="GJG4">
        <f>Database!GJZ28</f>
        <v>0</v>
      </c>
      <c r="GJH4">
        <f>Database!GKA28</f>
        <v>0</v>
      </c>
      <c r="GJI4">
        <f>Database!GKB28</f>
        <v>0</v>
      </c>
      <c r="GJJ4">
        <f>Database!GKC28</f>
        <v>0</v>
      </c>
      <c r="GJK4">
        <f>Database!GKD28</f>
        <v>0</v>
      </c>
      <c r="GJL4">
        <f>Database!GKE28</f>
        <v>0</v>
      </c>
      <c r="GJM4">
        <f>Database!GKF28</f>
        <v>0</v>
      </c>
      <c r="GJN4">
        <f>Database!GKG28</f>
        <v>0</v>
      </c>
      <c r="GJO4">
        <f>Database!GKH28</f>
        <v>0</v>
      </c>
      <c r="GJP4">
        <f>Database!GKI28</f>
        <v>0</v>
      </c>
      <c r="GJQ4">
        <f>Database!GKJ28</f>
        <v>0</v>
      </c>
      <c r="GJR4">
        <f>Database!GKK28</f>
        <v>0</v>
      </c>
      <c r="GJS4">
        <f>Database!GKL28</f>
        <v>0</v>
      </c>
      <c r="GJT4">
        <f>Database!GKM28</f>
        <v>0</v>
      </c>
      <c r="GJU4">
        <f>Database!GKN28</f>
        <v>0</v>
      </c>
      <c r="GJV4">
        <f>Database!GKO28</f>
        <v>0</v>
      </c>
      <c r="GJW4">
        <f>Database!GKP28</f>
        <v>0</v>
      </c>
      <c r="GJX4">
        <f>Database!GKQ28</f>
        <v>0</v>
      </c>
      <c r="GJY4">
        <f>Database!GKR28</f>
        <v>0</v>
      </c>
      <c r="GJZ4">
        <f>Database!GKS28</f>
        <v>0</v>
      </c>
      <c r="GKA4">
        <f>Database!GKT28</f>
        <v>0</v>
      </c>
      <c r="GKB4">
        <f>Database!GKU28</f>
        <v>0</v>
      </c>
      <c r="GKC4">
        <f>Database!GKV28</f>
        <v>0</v>
      </c>
      <c r="GKD4">
        <f>Database!GKW28</f>
        <v>0</v>
      </c>
      <c r="GKE4">
        <f>Database!GKX28</f>
        <v>0</v>
      </c>
      <c r="GKF4">
        <f>Database!GKY28</f>
        <v>0</v>
      </c>
      <c r="GKG4">
        <f>Database!GKZ28</f>
        <v>0</v>
      </c>
      <c r="GKH4">
        <f>Database!GLA28</f>
        <v>0</v>
      </c>
      <c r="GKI4">
        <f>Database!GLB28</f>
        <v>0</v>
      </c>
      <c r="GKJ4">
        <f>Database!GLC28</f>
        <v>0</v>
      </c>
      <c r="GKK4">
        <f>Database!GLD28</f>
        <v>0</v>
      </c>
      <c r="GKL4">
        <f>Database!GLE28</f>
        <v>0</v>
      </c>
      <c r="GKM4">
        <f>Database!GLF28</f>
        <v>0</v>
      </c>
      <c r="GKN4">
        <f>Database!GLG28</f>
        <v>0</v>
      </c>
      <c r="GKO4">
        <f>Database!GLH28</f>
        <v>0</v>
      </c>
      <c r="GKP4">
        <f>Database!GLI28</f>
        <v>0</v>
      </c>
      <c r="GKQ4">
        <f>Database!GLJ28</f>
        <v>0</v>
      </c>
      <c r="GKR4">
        <f>Database!GLK28</f>
        <v>0</v>
      </c>
      <c r="GKS4">
        <f>Database!GLL28</f>
        <v>0</v>
      </c>
      <c r="GKT4">
        <f>Database!GLM28</f>
        <v>0</v>
      </c>
      <c r="GKU4">
        <f>Database!GLN28</f>
        <v>0</v>
      </c>
      <c r="GKV4">
        <f>Database!GLO28</f>
        <v>0</v>
      </c>
      <c r="GKW4">
        <f>Database!GLP28</f>
        <v>0</v>
      </c>
      <c r="GKX4">
        <f>Database!GLQ28</f>
        <v>0</v>
      </c>
      <c r="GKY4">
        <f>Database!GLR28</f>
        <v>0</v>
      </c>
      <c r="GKZ4">
        <f>Database!GLS28</f>
        <v>0</v>
      </c>
      <c r="GLA4">
        <f>Database!GLT28</f>
        <v>0</v>
      </c>
      <c r="GLB4">
        <f>Database!GLU28</f>
        <v>0</v>
      </c>
      <c r="GLC4">
        <f>Database!GLV28</f>
        <v>0</v>
      </c>
      <c r="GLD4">
        <f>Database!GLW28</f>
        <v>0</v>
      </c>
      <c r="GLE4">
        <f>Database!GLX28</f>
        <v>0</v>
      </c>
      <c r="GLF4">
        <f>Database!GLY28</f>
        <v>0</v>
      </c>
      <c r="GLG4">
        <f>Database!GLZ28</f>
        <v>0</v>
      </c>
      <c r="GLH4">
        <f>Database!GMA28</f>
        <v>0</v>
      </c>
      <c r="GLI4">
        <f>Database!GMB28</f>
        <v>0</v>
      </c>
      <c r="GLJ4">
        <f>Database!GMC28</f>
        <v>0</v>
      </c>
      <c r="GLK4">
        <f>Database!GMD28</f>
        <v>0</v>
      </c>
      <c r="GLL4">
        <f>Database!GME28</f>
        <v>0</v>
      </c>
      <c r="GLM4">
        <f>Database!GMF28</f>
        <v>0</v>
      </c>
      <c r="GLN4">
        <f>Database!GMG28</f>
        <v>0</v>
      </c>
      <c r="GLO4">
        <f>Database!GMH28</f>
        <v>0</v>
      </c>
      <c r="GLP4">
        <f>Database!GMI28</f>
        <v>0</v>
      </c>
      <c r="GLQ4">
        <f>Database!GMJ28</f>
        <v>0</v>
      </c>
      <c r="GLR4">
        <f>Database!GMK28</f>
        <v>0</v>
      </c>
      <c r="GLS4">
        <f>Database!GML28</f>
        <v>0</v>
      </c>
      <c r="GLT4">
        <f>Database!GMM28</f>
        <v>0</v>
      </c>
      <c r="GLU4">
        <f>Database!GMN28</f>
        <v>0</v>
      </c>
      <c r="GLV4">
        <f>Database!GMO28</f>
        <v>0</v>
      </c>
      <c r="GLW4">
        <f>Database!GMP28</f>
        <v>0</v>
      </c>
      <c r="GLX4">
        <f>Database!GMQ28</f>
        <v>0</v>
      </c>
      <c r="GLY4">
        <f>Database!GMR28</f>
        <v>0</v>
      </c>
      <c r="GLZ4">
        <f>Database!GMS28</f>
        <v>0</v>
      </c>
      <c r="GMA4">
        <f>Database!GMT28</f>
        <v>0</v>
      </c>
      <c r="GMB4">
        <f>Database!GMU28</f>
        <v>0</v>
      </c>
      <c r="GMC4">
        <f>Database!GMV28</f>
        <v>0</v>
      </c>
      <c r="GMD4">
        <f>Database!GMW28</f>
        <v>0</v>
      </c>
      <c r="GME4">
        <f>Database!GMX28</f>
        <v>0</v>
      </c>
      <c r="GMF4">
        <f>Database!GMY28</f>
        <v>0</v>
      </c>
      <c r="GMG4">
        <f>Database!GMZ28</f>
        <v>0</v>
      </c>
      <c r="GMH4">
        <f>Database!GNA28</f>
        <v>0</v>
      </c>
      <c r="GMI4">
        <f>Database!GNB28</f>
        <v>0</v>
      </c>
      <c r="GMJ4">
        <f>Database!GNC28</f>
        <v>0</v>
      </c>
      <c r="GMK4">
        <f>Database!GND28</f>
        <v>0</v>
      </c>
      <c r="GML4">
        <f>Database!GNE28</f>
        <v>0</v>
      </c>
      <c r="GMM4">
        <f>Database!GNF28</f>
        <v>0</v>
      </c>
      <c r="GMN4">
        <f>Database!GNG28</f>
        <v>0</v>
      </c>
      <c r="GMO4">
        <f>Database!GNH28</f>
        <v>0</v>
      </c>
      <c r="GMP4">
        <f>Database!GNI28</f>
        <v>0</v>
      </c>
      <c r="GMQ4">
        <f>Database!GNJ28</f>
        <v>0</v>
      </c>
      <c r="GMR4">
        <f>Database!GNK28</f>
        <v>0</v>
      </c>
      <c r="GMS4">
        <f>Database!GNL28</f>
        <v>0</v>
      </c>
      <c r="GMT4">
        <f>Database!GNM28</f>
        <v>0</v>
      </c>
      <c r="GMU4">
        <f>Database!GNN28</f>
        <v>0</v>
      </c>
      <c r="GMV4">
        <f>Database!GNO28</f>
        <v>0</v>
      </c>
      <c r="GMW4">
        <f>Database!GNP28</f>
        <v>0</v>
      </c>
      <c r="GMX4">
        <f>Database!GNQ28</f>
        <v>0</v>
      </c>
      <c r="GMY4">
        <f>Database!GNR28</f>
        <v>0</v>
      </c>
      <c r="GMZ4">
        <f>Database!GNS28</f>
        <v>0</v>
      </c>
      <c r="GNA4">
        <f>Database!GNT28</f>
        <v>0</v>
      </c>
      <c r="GNB4">
        <f>Database!GNU28</f>
        <v>0</v>
      </c>
      <c r="GNC4">
        <f>Database!GNV28</f>
        <v>0</v>
      </c>
      <c r="GND4">
        <f>Database!GNW28</f>
        <v>0</v>
      </c>
      <c r="GNE4">
        <f>Database!GNX28</f>
        <v>0</v>
      </c>
      <c r="GNF4">
        <f>Database!GNY28</f>
        <v>0</v>
      </c>
      <c r="GNG4">
        <f>Database!GNZ28</f>
        <v>0</v>
      </c>
      <c r="GNH4">
        <f>Database!GOA28</f>
        <v>0</v>
      </c>
      <c r="GNI4">
        <f>Database!GOB28</f>
        <v>0</v>
      </c>
      <c r="GNJ4">
        <f>Database!GOC28</f>
        <v>0</v>
      </c>
      <c r="GNK4">
        <f>Database!GOD28</f>
        <v>0</v>
      </c>
      <c r="GNL4">
        <f>Database!GOE28</f>
        <v>0</v>
      </c>
      <c r="GNM4">
        <f>Database!GOF28</f>
        <v>0</v>
      </c>
      <c r="GNN4">
        <f>Database!GOG28</f>
        <v>0</v>
      </c>
      <c r="GNO4">
        <f>Database!GOH28</f>
        <v>0</v>
      </c>
      <c r="GNP4">
        <f>Database!GOI28</f>
        <v>0</v>
      </c>
      <c r="GNQ4">
        <f>Database!GOJ28</f>
        <v>0</v>
      </c>
      <c r="GNR4">
        <f>Database!GOK28</f>
        <v>0</v>
      </c>
      <c r="GNS4">
        <f>Database!GOL28</f>
        <v>0</v>
      </c>
      <c r="GNT4">
        <f>Database!GOM28</f>
        <v>0</v>
      </c>
      <c r="GNU4">
        <f>Database!GON28</f>
        <v>0</v>
      </c>
      <c r="GNV4">
        <f>Database!GOO28</f>
        <v>0</v>
      </c>
      <c r="GNW4">
        <f>Database!GOP28</f>
        <v>0</v>
      </c>
      <c r="GNX4">
        <f>Database!GOQ28</f>
        <v>0</v>
      </c>
      <c r="GNY4">
        <f>Database!GOR28</f>
        <v>0</v>
      </c>
      <c r="GNZ4">
        <f>Database!GOS28</f>
        <v>0</v>
      </c>
      <c r="GOA4">
        <f>Database!GOT28</f>
        <v>0</v>
      </c>
      <c r="GOB4">
        <f>Database!GOU28</f>
        <v>0</v>
      </c>
      <c r="GOC4">
        <f>Database!GOV28</f>
        <v>0</v>
      </c>
      <c r="GOD4">
        <f>Database!GOW28</f>
        <v>0</v>
      </c>
      <c r="GOE4">
        <f>Database!GOX28</f>
        <v>0</v>
      </c>
      <c r="GOF4">
        <f>Database!GOY28</f>
        <v>0</v>
      </c>
      <c r="GOG4">
        <f>Database!GOZ28</f>
        <v>0</v>
      </c>
      <c r="GOH4">
        <f>Database!GPA28</f>
        <v>0</v>
      </c>
      <c r="GOI4">
        <f>Database!GPB28</f>
        <v>0</v>
      </c>
      <c r="GOJ4">
        <f>Database!GPC28</f>
        <v>0</v>
      </c>
      <c r="GOK4">
        <f>Database!GPD28</f>
        <v>0</v>
      </c>
      <c r="GOL4">
        <f>Database!GPE28</f>
        <v>0</v>
      </c>
      <c r="GOM4">
        <f>Database!GPF28</f>
        <v>0</v>
      </c>
      <c r="GON4">
        <f>Database!GPG28</f>
        <v>0</v>
      </c>
      <c r="GOO4">
        <f>Database!GPH28</f>
        <v>0</v>
      </c>
      <c r="GOP4">
        <f>Database!GPI28</f>
        <v>0</v>
      </c>
      <c r="GOQ4">
        <f>Database!GPJ28</f>
        <v>0</v>
      </c>
      <c r="GOR4">
        <f>Database!GPK28</f>
        <v>0</v>
      </c>
      <c r="GOS4">
        <f>Database!GPL28</f>
        <v>0</v>
      </c>
      <c r="GOT4">
        <f>Database!GPM28</f>
        <v>0</v>
      </c>
      <c r="GOU4">
        <f>Database!GPN28</f>
        <v>0</v>
      </c>
      <c r="GOV4">
        <f>Database!GPO28</f>
        <v>0</v>
      </c>
      <c r="GOW4">
        <f>Database!GPP28</f>
        <v>0</v>
      </c>
      <c r="GOX4">
        <f>Database!GPQ28</f>
        <v>0</v>
      </c>
      <c r="GOY4">
        <f>Database!GPR28</f>
        <v>0</v>
      </c>
      <c r="GOZ4">
        <f>Database!GPS28</f>
        <v>0</v>
      </c>
      <c r="GPA4">
        <f>Database!GPT28</f>
        <v>0</v>
      </c>
      <c r="GPB4">
        <f>Database!GPU28</f>
        <v>0</v>
      </c>
      <c r="GPC4">
        <f>Database!GPV28</f>
        <v>0</v>
      </c>
      <c r="GPD4">
        <f>Database!GPW28</f>
        <v>0</v>
      </c>
      <c r="GPE4">
        <f>Database!GPX28</f>
        <v>0</v>
      </c>
      <c r="GPF4">
        <f>Database!GPY28</f>
        <v>0</v>
      </c>
      <c r="GPG4">
        <f>Database!GPZ28</f>
        <v>0</v>
      </c>
      <c r="GPH4">
        <f>Database!GQA28</f>
        <v>0</v>
      </c>
      <c r="GPI4">
        <f>Database!GQB28</f>
        <v>0</v>
      </c>
      <c r="GPJ4">
        <f>Database!GQC28</f>
        <v>0</v>
      </c>
      <c r="GPK4">
        <f>Database!GQD28</f>
        <v>0</v>
      </c>
      <c r="GPL4">
        <f>Database!GQE28</f>
        <v>0</v>
      </c>
      <c r="GPM4">
        <f>Database!GQF28</f>
        <v>0</v>
      </c>
      <c r="GPN4">
        <f>Database!GQG28</f>
        <v>0</v>
      </c>
      <c r="GPO4">
        <f>Database!GQH28</f>
        <v>0</v>
      </c>
      <c r="GPP4">
        <f>Database!GQI28</f>
        <v>0</v>
      </c>
      <c r="GPQ4">
        <f>Database!GQJ28</f>
        <v>0</v>
      </c>
      <c r="GPR4">
        <f>Database!GQK28</f>
        <v>0</v>
      </c>
      <c r="GPS4">
        <f>Database!GQL28</f>
        <v>0</v>
      </c>
      <c r="GPT4">
        <f>Database!GQM28</f>
        <v>0</v>
      </c>
      <c r="GPU4">
        <f>Database!GQN28</f>
        <v>0</v>
      </c>
      <c r="GPV4">
        <f>Database!GQO28</f>
        <v>0</v>
      </c>
      <c r="GPW4">
        <f>Database!GQP28</f>
        <v>0</v>
      </c>
      <c r="GPX4">
        <f>Database!GQQ28</f>
        <v>0</v>
      </c>
      <c r="GPY4">
        <f>Database!GQR28</f>
        <v>0</v>
      </c>
      <c r="GPZ4">
        <f>Database!GQS28</f>
        <v>0</v>
      </c>
      <c r="GQA4">
        <f>Database!GQT28</f>
        <v>0</v>
      </c>
      <c r="GQB4">
        <f>Database!GQU28</f>
        <v>0</v>
      </c>
      <c r="GQC4">
        <f>Database!GQV28</f>
        <v>0</v>
      </c>
      <c r="GQD4">
        <f>Database!GQW28</f>
        <v>0</v>
      </c>
      <c r="GQE4">
        <f>Database!GQX28</f>
        <v>0</v>
      </c>
      <c r="GQF4">
        <f>Database!GQY28</f>
        <v>0</v>
      </c>
      <c r="GQG4">
        <f>Database!GQZ28</f>
        <v>0</v>
      </c>
      <c r="GQH4">
        <f>Database!GRA28</f>
        <v>0</v>
      </c>
      <c r="GQI4">
        <f>Database!GRB28</f>
        <v>0</v>
      </c>
      <c r="GQJ4">
        <f>Database!GRC28</f>
        <v>0</v>
      </c>
      <c r="GQK4">
        <f>Database!GRD28</f>
        <v>0</v>
      </c>
      <c r="GQL4">
        <f>Database!GRE28</f>
        <v>0</v>
      </c>
      <c r="GQM4">
        <f>Database!GRF28</f>
        <v>0</v>
      </c>
      <c r="GQN4">
        <f>Database!GRG28</f>
        <v>0</v>
      </c>
      <c r="GQO4">
        <f>Database!GRH28</f>
        <v>0</v>
      </c>
      <c r="GQP4">
        <f>Database!GRI28</f>
        <v>0</v>
      </c>
      <c r="GQQ4">
        <f>Database!GRJ28</f>
        <v>0</v>
      </c>
      <c r="GQR4">
        <f>Database!GRK28</f>
        <v>0</v>
      </c>
      <c r="GQS4">
        <f>Database!GRL28</f>
        <v>0</v>
      </c>
      <c r="GQT4">
        <f>Database!GRM28</f>
        <v>0</v>
      </c>
      <c r="GQU4">
        <f>Database!GRN28</f>
        <v>0</v>
      </c>
      <c r="GQV4">
        <f>Database!GRO28</f>
        <v>0</v>
      </c>
      <c r="GQW4">
        <f>Database!GRP28</f>
        <v>0</v>
      </c>
      <c r="GQX4">
        <f>Database!GRQ28</f>
        <v>0</v>
      </c>
      <c r="GQY4">
        <f>Database!GRR28</f>
        <v>0</v>
      </c>
      <c r="GQZ4">
        <f>Database!GRS28</f>
        <v>0</v>
      </c>
      <c r="GRA4">
        <f>Database!GRT28</f>
        <v>0</v>
      </c>
      <c r="GRB4">
        <f>Database!GRU28</f>
        <v>0</v>
      </c>
      <c r="GRC4">
        <f>Database!GRV28</f>
        <v>0</v>
      </c>
      <c r="GRD4">
        <f>Database!GRW28</f>
        <v>0</v>
      </c>
      <c r="GRE4">
        <f>Database!GRX28</f>
        <v>0</v>
      </c>
      <c r="GRF4">
        <f>Database!GRY28</f>
        <v>0</v>
      </c>
      <c r="GRG4">
        <f>Database!GRZ28</f>
        <v>0</v>
      </c>
      <c r="GRH4">
        <f>Database!GSA28</f>
        <v>0</v>
      </c>
      <c r="GRI4">
        <f>Database!GSB28</f>
        <v>0</v>
      </c>
      <c r="GRJ4">
        <f>Database!GSC28</f>
        <v>0</v>
      </c>
      <c r="GRK4">
        <f>Database!GSD28</f>
        <v>0</v>
      </c>
      <c r="GRL4">
        <f>Database!GSE28</f>
        <v>0</v>
      </c>
      <c r="GRM4">
        <f>Database!GSF28</f>
        <v>0</v>
      </c>
      <c r="GRN4">
        <f>Database!GSG28</f>
        <v>0</v>
      </c>
      <c r="GRO4">
        <f>Database!GSH28</f>
        <v>0</v>
      </c>
      <c r="GRP4">
        <f>Database!GSI28</f>
        <v>0</v>
      </c>
      <c r="GRQ4">
        <f>Database!GSJ28</f>
        <v>0</v>
      </c>
      <c r="GRR4">
        <f>Database!GSK28</f>
        <v>0</v>
      </c>
      <c r="GRS4">
        <f>Database!GSL28</f>
        <v>0</v>
      </c>
      <c r="GRT4">
        <f>Database!GSM28</f>
        <v>0</v>
      </c>
      <c r="GRU4">
        <f>Database!GSN28</f>
        <v>0</v>
      </c>
      <c r="GRV4">
        <f>Database!GSO28</f>
        <v>0</v>
      </c>
      <c r="GRW4">
        <f>Database!GSP28</f>
        <v>0</v>
      </c>
      <c r="GRX4">
        <f>Database!GSQ28</f>
        <v>0</v>
      </c>
      <c r="GRY4">
        <f>Database!GSR28</f>
        <v>0</v>
      </c>
      <c r="GRZ4">
        <f>Database!GSS28</f>
        <v>0</v>
      </c>
      <c r="GSA4">
        <f>Database!GST28</f>
        <v>0</v>
      </c>
      <c r="GSB4">
        <f>Database!GSU28</f>
        <v>0</v>
      </c>
      <c r="GSC4">
        <f>Database!GSV28</f>
        <v>0</v>
      </c>
      <c r="GSD4">
        <f>Database!GSW28</f>
        <v>0</v>
      </c>
      <c r="GSE4">
        <f>Database!GSX28</f>
        <v>0</v>
      </c>
      <c r="GSF4">
        <f>Database!GSY28</f>
        <v>0</v>
      </c>
      <c r="GSG4">
        <f>Database!GSZ28</f>
        <v>0</v>
      </c>
      <c r="GSH4">
        <f>Database!GTA28</f>
        <v>0</v>
      </c>
      <c r="GSI4">
        <f>Database!GTB28</f>
        <v>0</v>
      </c>
      <c r="GSJ4">
        <f>Database!GTC28</f>
        <v>0</v>
      </c>
      <c r="GSK4">
        <f>Database!GTD28</f>
        <v>0</v>
      </c>
      <c r="GSL4">
        <f>Database!GTE28</f>
        <v>0</v>
      </c>
      <c r="GSM4">
        <f>Database!GTF28</f>
        <v>0</v>
      </c>
      <c r="GSN4">
        <f>Database!GTG28</f>
        <v>0</v>
      </c>
      <c r="GSO4">
        <f>Database!GTH28</f>
        <v>0</v>
      </c>
      <c r="GSP4">
        <f>Database!GTI28</f>
        <v>0</v>
      </c>
      <c r="GSQ4">
        <f>Database!GTJ28</f>
        <v>0</v>
      </c>
      <c r="GSR4">
        <f>Database!GTK28</f>
        <v>0</v>
      </c>
      <c r="GSS4">
        <f>Database!GTL28</f>
        <v>0</v>
      </c>
      <c r="GST4">
        <f>Database!GTM28</f>
        <v>0</v>
      </c>
      <c r="GSU4">
        <f>Database!GTN28</f>
        <v>0</v>
      </c>
      <c r="GSV4">
        <f>Database!GTO28</f>
        <v>0</v>
      </c>
      <c r="GSW4">
        <f>Database!GTP28</f>
        <v>0</v>
      </c>
      <c r="GSX4">
        <f>Database!GTQ28</f>
        <v>0</v>
      </c>
      <c r="GSY4">
        <f>Database!GTR28</f>
        <v>0</v>
      </c>
      <c r="GSZ4">
        <f>Database!GTS28</f>
        <v>0</v>
      </c>
      <c r="GTA4">
        <f>Database!GTT28</f>
        <v>0</v>
      </c>
      <c r="GTB4">
        <f>Database!GTU28</f>
        <v>0</v>
      </c>
      <c r="GTC4">
        <f>Database!GTV28</f>
        <v>0</v>
      </c>
      <c r="GTD4">
        <f>Database!GTW28</f>
        <v>0</v>
      </c>
      <c r="GTE4">
        <f>Database!GTX28</f>
        <v>0</v>
      </c>
      <c r="GTF4">
        <f>Database!GTY28</f>
        <v>0</v>
      </c>
      <c r="GTG4">
        <f>Database!GTZ28</f>
        <v>0</v>
      </c>
      <c r="GTH4">
        <f>Database!GUA28</f>
        <v>0</v>
      </c>
      <c r="GTI4">
        <f>Database!GUB28</f>
        <v>0</v>
      </c>
      <c r="GTJ4">
        <f>Database!GUC28</f>
        <v>0</v>
      </c>
      <c r="GTK4">
        <f>Database!GUD28</f>
        <v>0</v>
      </c>
      <c r="GTL4">
        <f>Database!GUE28</f>
        <v>0</v>
      </c>
      <c r="GTM4">
        <f>Database!GUF28</f>
        <v>0</v>
      </c>
      <c r="GTN4">
        <f>Database!GUG28</f>
        <v>0</v>
      </c>
      <c r="GTO4">
        <f>Database!GUH28</f>
        <v>0</v>
      </c>
      <c r="GTP4">
        <f>Database!GUI28</f>
        <v>0</v>
      </c>
      <c r="GTQ4">
        <f>Database!GUJ28</f>
        <v>0</v>
      </c>
      <c r="GTR4">
        <f>Database!GUK28</f>
        <v>0</v>
      </c>
      <c r="GTS4">
        <f>Database!GUL28</f>
        <v>0</v>
      </c>
      <c r="GTT4">
        <f>Database!GUM28</f>
        <v>0</v>
      </c>
      <c r="GTU4">
        <f>Database!GUN28</f>
        <v>0</v>
      </c>
      <c r="GTV4">
        <f>Database!GUO28</f>
        <v>0</v>
      </c>
      <c r="GTW4">
        <f>Database!GUP28</f>
        <v>0</v>
      </c>
      <c r="GTX4">
        <f>Database!GUQ28</f>
        <v>0</v>
      </c>
      <c r="GTY4">
        <f>Database!GUR28</f>
        <v>0</v>
      </c>
      <c r="GTZ4">
        <f>Database!GUS28</f>
        <v>0</v>
      </c>
      <c r="GUA4">
        <f>Database!GUT28</f>
        <v>0</v>
      </c>
      <c r="GUB4">
        <f>Database!GUU28</f>
        <v>0</v>
      </c>
      <c r="GUC4">
        <f>Database!GUV28</f>
        <v>0</v>
      </c>
      <c r="GUD4">
        <f>Database!GUW28</f>
        <v>0</v>
      </c>
      <c r="GUE4">
        <f>Database!GUX28</f>
        <v>0</v>
      </c>
      <c r="GUF4">
        <f>Database!GUY28</f>
        <v>0</v>
      </c>
      <c r="GUG4">
        <f>Database!GUZ28</f>
        <v>0</v>
      </c>
      <c r="GUH4">
        <f>Database!GVA28</f>
        <v>0</v>
      </c>
      <c r="GUI4">
        <f>Database!GVB28</f>
        <v>0</v>
      </c>
      <c r="GUJ4">
        <f>Database!GVC28</f>
        <v>0</v>
      </c>
      <c r="GUK4">
        <f>Database!GVD28</f>
        <v>0</v>
      </c>
      <c r="GUL4">
        <f>Database!GVE28</f>
        <v>0</v>
      </c>
      <c r="GUM4">
        <f>Database!GVF28</f>
        <v>0</v>
      </c>
      <c r="GUN4">
        <f>Database!GVG28</f>
        <v>0</v>
      </c>
      <c r="GUO4">
        <f>Database!GVH28</f>
        <v>0</v>
      </c>
      <c r="GUP4">
        <f>Database!GVI28</f>
        <v>0</v>
      </c>
      <c r="GUQ4">
        <f>Database!GVJ28</f>
        <v>0</v>
      </c>
      <c r="GUR4">
        <f>Database!GVK28</f>
        <v>0</v>
      </c>
      <c r="GUS4">
        <f>Database!GVL28</f>
        <v>0</v>
      </c>
      <c r="GUT4">
        <f>Database!GVM28</f>
        <v>0</v>
      </c>
      <c r="GUU4">
        <f>Database!GVN28</f>
        <v>0</v>
      </c>
      <c r="GUV4">
        <f>Database!GVO28</f>
        <v>0</v>
      </c>
      <c r="GUW4">
        <f>Database!GVP28</f>
        <v>0</v>
      </c>
      <c r="GUX4">
        <f>Database!GVQ28</f>
        <v>0</v>
      </c>
      <c r="GUY4">
        <f>Database!GVR28</f>
        <v>0</v>
      </c>
      <c r="GUZ4">
        <f>Database!GVS28</f>
        <v>0</v>
      </c>
      <c r="GVA4">
        <f>Database!GVT28</f>
        <v>0</v>
      </c>
      <c r="GVB4">
        <f>Database!GVU28</f>
        <v>0</v>
      </c>
      <c r="GVC4">
        <f>Database!GVV28</f>
        <v>0</v>
      </c>
      <c r="GVD4">
        <f>Database!GVW28</f>
        <v>0</v>
      </c>
      <c r="GVE4">
        <f>Database!GVX28</f>
        <v>0</v>
      </c>
      <c r="GVF4">
        <f>Database!GVY28</f>
        <v>0</v>
      </c>
      <c r="GVG4">
        <f>Database!GVZ28</f>
        <v>0</v>
      </c>
      <c r="GVH4">
        <f>Database!GWA28</f>
        <v>0</v>
      </c>
      <c r="GVI4">
        <f>Database!GWB28</f>
        <v>0</v>
      </c>
      <c r="GVJ4">
        <f>Database!GWC28</f>
        <v>0</v>
      </c>
      <c r="GVK4">
        <f>Database!GWD28</f>
        <v>0</v>
      </c>
      <c r="GVL4">
        <f>Database!GWE28</f>
        <v>0</v>
      </c>
      <c r="GVM4">
        <f>Database!GWF28</f>
        <v>0</v>
      </c>
      <c r="GVN4">
        <f>Database!GWG28</f>
        <v>0</v>
      </c>
      <c r="GVO4">
        <f>Database!GWH28</f>
        <v>0</v>
      </c>
      <c r="GVP4">
        <f>Database!GWI28</f>
        <v>0</v>
      </c>
      <c r="GVQ4">
        <f>Database!GWJ28</f>
        <v>0</v>
      </c>
      <c r="GVR4">
        <f>Database!GWK28</f>
        <v>0</v>
      </c>
      <c r="GVS4">
        <f>Database!GWL28</f>
        <v>0</v>
      </c>
      <c r="GVT4">
        <f>Database!GWM28</f>
        <v>0</v>
      </c>
      <c r="GVU4">
        <f>Database!GWN28</f>
        <v>0</v>
      </c>
      <c r="GVV4">
        <f>Database!GWO28</f>
        <v>0</v>
      </c>
      <c r="GVW4">
        <f>Database!GWP28</f>
        <v>0</v>
      </c>
      <c r="GVX4">
        <f>Database!GWQ28</f>
        <v>0</v>
      </c>
      <c r="GVY4">
        <f>Database!GWR28</f>
        <v>0</v>
      </c>
      <c r="GVZ4">
        <f>Database!GWS28</f>
        <v>0</v>
      </c>
      <c r="GWA4">
        <f>Database!GWT28</f>
        <v>0</v>
      </c>
      <c r="GWB4">
        <f>Database!GWU28</f>
        <v>0</v>
      </c>
      <c r="GWC4">
        <f>Database!GWV28</f>
        <v>0</v>
      </c>
      <c r="GWD4">
        <f>Database!GWW28</f>
        <v>0</v>
      </c>
      <c r="GWE4">
        <f>Database!GWX28</f>
        <v>0</v>
      </c>
      <c r="GWF4">
        <f>Database!GWY28</f>
        <v>0</v>
      </c>
      <c r="GWG4">
        <f>Database!GWZ28</f>
        <v>0</v>
      </c>
      <c r="GWH4">
        <f>Database!GXA28</f>
        <v>0</v>
      </c>
      <c r="GWI4">
        <f>Database!GXB28</f>
        <v>0</v>
      </c>
      <c r="GWJ4">
        <f>Database!GXC28</f>
        <v>0</v>
      </c>
      <c r="GWK4">
        <f>Database!GXD28</f>
        <v>0</v>
      </c>
      <c r="GWL4">
        <f>Database!GXE28</f>
        <v>0</v>
      </c>
      <c r="GWM4">
        <f>Database!GXF28</f>
        <v>0</v>
      </c>
      <c r="GWN4">
        <f>Database!GXG28</f>
        <v>0</v>
      </c>
      <c r="GWO4">
        <f>Database!GXH28</f>
        <v>0</v>
      </c>
      <c r="GWP4">
        <f>Database!GXI28</f>
        <v>0</v>
      </c>
      <c r="GWQ4">
        <f>Database!GXJ28</f>
        <v>0</v>
      </c>
      <c r="GWR4">
        <f>Database!GXK28</f>
        <v>0</v>
      </c>
      <c r="GWS4">
        <f>Database!GXL28</f>
        <v>0</v>
      </c>
      <c r="GWT4">
        <f>Database!GXM28</f>
        <v>0</v>
      </c>
      <c r="GWU4">
        <f>Database!GXN28</f>
        <v>0</v>
      </c>
      <c r="GWV4">
        <f>Database!GXO28</f>
        <v>0</v>
      </c>
      <c r="GWW4">
        <f>Database!GXP28</f>
        <v>0</v>
      </c>
      <c r="GWX4">
        <f>Database!GXQ28</f>
        <v>0</v>
      </c>
      <c r="GWY4">
        <f>Database!GXR28</f>
        <v>0</v>
      </c>
      <c r="GWZ4">
        <f>Database!GXS28</f>
        <v>0</v>
      </c>
      <c r="GXA4">
        <f>Database!GXT28</f>
        <v>0</v>
      </c>
      <c r="GXB4">
        <f>Database!GXU28</f>
        <v>0</v>
      </c>
      <c r="GXC4">
        <f>Database!GXV28</f>
        <v>0</v>
      </c>
      <c r="GXD4">
        <f>Database!GXW28</f>
        <v>0</v>
      </c>
      <c r="GXE4">
        <f>Database!GXX28</f>
        <v>0</v>
      </c>
      <c r="GXF4">
        <f>Database!GXY28</f>
        <v>0</v>
      </c>
      <c r="GXG4">
        <f>Database!GXZ28</f>
        <v>0</v>
      </c>
      <c r="GXH4">
        <f>Database!GYA28</f>
        <v>0</v>
      </c>
      <c r="GXI4">
        <f>Database!GYB28</f>
        <v>0</v>
      </c>
      <c r="GXJ4">
        <f>Database!GYC28</f>
        <v>0</v>
      </c>
      <c r="GXK4">
        <f>Database!GYD28</f>
        <v>0</v>
      </c>
      <c r="GXL4">
        <f>Database!GYE28</f>
        <v>0</v>
      </c>
      <c r="GXM4">
        <f>Database!GYF28</f>
        <v>0</v>
      </c>
      <c r="GXN4">
        <f>Database!GYG28</f>
        <v>0</v>
      </c>
      <c r="GXO4">
        <f>Database!GYH28</f>
        <v>0</v>
      </c>
      <c r="GXP4">
        <f>Database!GYI28</f>
        <v>0</v>
      </c>
      <c r="GXQ4">
        <f>Database!GYJ28</f>
        <v>0</v>
      </c>
      <c r="GXR4">
        <f>Database!GYK28</f>
        <v>0</v>
      </c>
      <c r="GXS4">
        <f>Database!GYL28</f>
        <v>0</v>
      </c>
      <c r="GXT4">
        <f>Database!GYM28</f>
        <v>0</v>
      </c>
      <c r="GXU4">
        <f>Database!GYN28</f>
        <v>0</v>
      </c>
      <c r="GXV4">
        <f>Database!GYO28</f>
        <v>0</v>
      </c>
      <c r="GXW4">
        <f>Database!GYP28</f>
        <v>0</v>
      </c>
      <c r="GXX4">
        <f>Database!GYQ28</f>
        <v>0</v>
      </c>
      <c r="GXY4">
        <f>Database!GYR28</f>
        <v>0</v>
      </c>
      <c r="GXZ4">
        <f>Database!GYS28</f>
        <v>0</v>
      </c>
      <c r="GYA4">
        <f>Database!GYT28</f>
        <v>0</v>
      </c>
      <c r="GYB4">
        <f>Database!GYU28</f>
        <v>0</v>
      </c>
      <c r="GYC4">
        <f>Database!GYV28</f>
        <v>0</v>
      </c>
      <c r="GYD4">
        <f>Database!GYW28</f>
        <v>0</v>
      </c>
      <c r="GYE4">
        <f>Database!GYX28</f>
        <v>0</v>
      </c>
      <c r="GYF4">
        <f>Database!GYY28</f>
        <v>0</v>
      </c>
      <c r="GYG4">
        <f>Database!GYZ28</f>
        <v>0</v>
      </c>
      <c r="GYH4">
        <f>Database!GZA28</f>
        <v>0</v>
      </c>
      <c r="GYI4">
        <f>Database!GZB28</f>
        <v>0</v>
      </c>
      <c r="GYJ4">
        <f>Database!GZC28</f>
        <v>0</v>
      </c>
      <c r="GYK4">
        <f>Database!GZD28</f>
        <v>0</v>
      </c>
      <c r="GYL4">
        <f>Database!GZE28</f>
        <v>0</v>
      </c>
      <c r="GYM4">
        <f>Database!GZF28</f>
        <v>0</v>
      </c>
      <c r="GYN4">
        <f>Database!GZG28</f>
        <v>0</v>
      </c>
      <c r="GYO4">
        <f>Database!GZH28</f>
        <v>0</v>
      </c>
      <c r="GYP4">
        <f>Database!GZI28</f>
        <v>0</v>
      </c>
      <c r="GYQ4">
        <f>Database!GZJ28</f>
        <v>0</v>
      </c>
      <c r="GYR4">
        <f>Database!GZK28</f>
        <v>0</v>
      </c>
      <c r="GYS4">
        <f>Database!GZL28</f>
        <v>0</v>
      </c>
      <c r="GYT4">
        <f>Database!GZM28</f>
        <v>0</v>
      </c>
      <c r="GYU4">
        <f>Database!GZN28</f>
        <v>0</v>
      </c>
      <c r="GYV4">
        <f>Database!GZO28</f>
        <v>0</v>
      </c>
      <c r="GYW4">
        <f>Database!GZP28</f>
        <v>0</v>
      </c>
      <c r="GYX4">
        <f>Database!GZQ28</f>
        <v>0</v>
      </c>
      <c r="GYY4">
        <f>Database!GZR28</f>
        <v>0</v>
      </c>
      <c r="GYZ4">
        <f>Database!GZS28</f>
        <v>0</v>
      </c>
      <c r="GZA4">
        <f>Database!GZT28</f>
        <v>0</v>
      </c>
      <c r="GZB4">
        <f>Database!GZU28</f>
        <v>0</v>
      </c>
      <c r="GZC4">
        <f>Database!GZV28</f>
        <v>0</v>
      </c>
      <c r="GZD4">
        <f>Database!GZW28</f>
        <v>0</v>
      </c>
      <c r="GZE4">
        <f>Database!GZX28</f>
        <v>0</v>
      </c>
      <c r="GZF4">
        <f>Database!GZY28</f>
        <v>0</v>
      </c>
      <c r="GZG4">
        <f>Database!GZZ28</f>
        <v>0</v>
      </c>
      <c r="GZH4">
        <f>Database!HAA28</f>
        <v>0</v>
      </c>
      <c r="GZI4">
        <f>Database!HAB28</f>
        <v>0</v>
      </c>
      <c r="GZJ4">
        <f>Database!HAC28</f>
        <v>0</v>
      </c>
      <c r="GZK4">
        <f>Database!HAD28</f>
        <v>0</v>
      </c>
      <c r="GZL4">
        <f>Database!HAE28</f>
        <v>0</v>
      </c>
      <c r="GZM4">
        <f>Database!HAF28</f>
        <v>0</v>
      </c>
      <c r="GZN4">
        <f>Database!HAG28</f>
        <v>0</v>
      </c>
      <c r="GZO4">
        <f>Database!HAH28</f>
        <v>0</v>
      </c>
      <c r="GZP4">
        <f>Database!HAI28</f>
        <v>0</v>
      </c>
      <c r="GZQ4">
        <f>Database!HAJ28</f>
        <v>0</v>
      </c>
      <c r="GZR4">
        <f>Database!HAK28</f>
        <v>0</v>
      </c>
      <c r="GZS4">
        <f>Database!HAL28</f>
        <v>0</v>
      </c>
      <c r="GZT4">
        <f>Database!HAM28</f>
        <v>0</v>
      </c>
      <c r="GZU4">
        <f>Database!HAN28</f>
        <v>0</v>
      </c>
      <c r="GZV4">
        <f>Database!HAO28</f>
        <v>0</v>
      </c>
      <c r="GZW4">
        <f>Database!HAP28</f>
        <v>0</v>
      </c>
      <c r="GZX4">
        <f>Database!HAQ28</f>
        <v>0</v>
      </c>
      <c r="GZY4">
        <f>Database!HAR28</f>
        <v>0</v>
      </c>
      <c r="GZZ4">
        <f>Database!HAS28</f>
        <v>0</v>
      </c>
      <c r="HAA4">
        <f>Database!HAT28</f>
        <v>0</v>
      </c>
      <c r="HAB4">
        <f>Database!HAU28</f>
        <v>0</v>
      </c>
      <c r="HAC4">
        <f>Database!HAV28</f>
        <v>0</v>
      </c>
      <c r="HAD4">
        <f>Database!HAW28</f>
        <v>0</v>
      </c>
      <c r="HAE4">
        <f>Database!HAX28</f>
        <v>0</v>
      </c>
      <c r="HAF4">
        <f>Database!HAY28</f>
        <v>0</v>
      </c>
      <c r="HAG4">
        <f>Database!HAZ28</f>
        <v>0</v>
      </c>
      <c r="HAH4">
        <f>Database!HBA28</f>
        <v>0</v>
      </c>
      <c r="HAI4">
        <f>Database!HBB28</f>
        <v>0</v>
      </c>
      <c r="HAJ4">
        <f>Database!HBC28</f>
        <v>0</v>
      </c>
      <c r="HAK4">
        <f>Database!HBD28</f>
        <v>0</v>
      </c>
      <c r="HAL4">
        <f>Database!HBE28</f>
        <v>0</v>
      </c>
      <c r="HAM4">
        <f>Database!HBF28</f>
        <v>0</v>
      </c>
      <c r="HAN4">
        <f>Database!HBG28</f>
        <v>0</v>
      </c>
      <c r="HAO4">
        <f>Database!HBH28</f>
        <v>0</v>
      </c>
      <c r="HAP4">
        <f>Database!HBI28</f>
        <v>0</v>
      </c>
      <c r="HAQ4">
        <f>Database!HBJ28</f>
        <v>0</v>
      </c>
      <c r="HAR4">
        <f>Database!HBK28</f>
        <v>0</v>
      </c>
      <c r="HAS4">
        <f>Database!HBL28</f>
        <v>0</v>
      </c>
      <c r="HAT4">
        <f>Database!HBM28</f>
        <v>0</v>
      </c>
      <c r="HAU4">
        <f>Database!HBN28</f>
        <v>0</v>
      </c>
      <c r="HAV4">
        <f>Database!HBO28</f>
        <v>0</v>
      </c>
      <c r="HAW4">
        <f>Database!HBP28</f>
        <v>0</v>
      </c>
      <c r="HAX4">
        <f>Database!HBQ28</f>
        <v>0</v>
      </c>
      <c r="HAY4">
        <f>Database!HBR28</f>
        <v>0</v>
      </c>
      <c r="HAZ4">
        <f>Database!HBS28</f>
        <v>0</v>
      </c>
      <c r="HBA4">
        <f>Database!HBT28</f>
        <v>0</v>
      </c>
      <c r="HBB4">
        <f>Database!HBU28</f>
        <v>0</v>
      </c>
      <c r="HBC4">
        <f>Database!HBV28</f>
        <v>0</v>
      </c>
      <c r="HBD4">
        <f>Database!HBW28</f>
        <v>0</v>
      </c>
      <c r="HBE4">
        <f>Database!HBX28</f>
        <v>0</v>
      </c>
      <c r="HBF4">
        <f>Database!HBY28</f>
        <v>0</v>
      </c>
      <c r="HBG4">
        <f>Database!HBZ28</f>
        <v>0</v>
      </c>
      <c r="HBH4">
        <f>Database!HCA28</f>
        <v>0</v>
      </c>
      <c r="HBI4">
        <f>Database!HCB28</f>
        <v>0</v>
      </c>
      <c r="HBJ4">
        <f>Database!HCC28</f>
        <v>0</v>
      </c>
      <c r="HBK4">
        <f>Database!HCD28</f>
        <v>0</v>
      </c>
      <c r="HBL4">
        <f>Database!HCE28</f>
        <v>0</v>
      </c>
      <c r="HBM4">
        <f>Database!HCF28</f>
        <v>0</v>
      </c>
      <c r="HBN4">
        <f>Database!HCG28</f>
        <v>0</v>
      </c>
      <c r="HBO4">
        <f>Database!HCH28</f>
        <v>0</v>
      </c>
      <c r="HBP4">
        <f>Database!HCI28</f>
        <v>0</v>
      </c>
      <c r="HBQ4">
        <f>Database!HCJ28</f>
        <v>0</v>
      </c>
      <c r="HBR4">
        <f>Database!HCK28</f>
        <v>0</v>
      </c>
      <c r="HBS4">
        <f>Database!HCL28</f>
        <v>0</v>
      </c>
      <c r="HBT4">
        <f>Database!HCM28</f>
        <v>0</v>
      </c>
      <c r="HBU4">
        <f>Database!HCN28</f>
        <v>0</v>
      </c>
      <c r="HBV4">
        <f>Database!HCO28</f>
        <v>0</v>
      </c>
      <c r="HBW4">
        <f>Database!HCP28</f>
        <v>0</v>
      </c>
      <c r="HBX4">
        <f>Database!HCQ28</f>
        <v>0</v>
      </c>
      <c r="HBY4">
        <f>Database!HCR28</f>
        <v>0</v>
      </c>
      <c r="HBZ4">
        <f>Database!HCS28</f>
        <v>0</v>
      </c>
      <c r="HCA4">
        <f>Database!HCT28</f>
        <v>0</v>
      </c>
      <c r="HCB4">
        <f>Database!HCU28</f>
        <v>0</v>
      </c>
      <c r="HCC4">
        <f>Database!HCV28</f>
        <v>0</v>
      </c>
      <c r="HCD4">
        <f>Database!HCW28</f>
        <v>0</v>
      </c>
      <c r="HCE4">
        <f>Database!HCX28</f>
        <v>0</v>
      </c>
      <c r="HCF4">
        <f>Database!HCY28</f>
        <v>0</v>
      </c>
      <c r="HCG4">
        <f>Database!HCZ28</f>
        <v>0</v>
      </c>
      <c r="HCH4">
        <f>Database!HDA28</f>
        <v>0</v>
      </c>
      <c r="HCI4">
        <f>Database!HDB28</f>
        <v>0</v>
      </c>
      <c r="HCJ4">
        <f>Database!HDC28</f>
        <v>0</v>
      </c>
      <c r="HCK4">
        <f>Database!HDD28</f>
        <v>0</v>
      </c>
      <c r="HCL4">
        <f>Database!HDE28</f>
        <v>0</v>
      </c>
      <c r="HCM4">
        <f>Database!HDF28</f>
        <v>0</v>
      </c>
      <c r="HCN4">
        <f>Database!HDG28</f>
        <v>0</v>
      </c>
      <c r="HCO4">
        <f>Database!HDH28</f>
        <v>0</v>
      </c>
      <c r="HCP4">
        <f>Database!HDI28</f>
        <v>0</v>
      </c>
      <c r="HCQ4">
        <f>Database!HDJ28</f>
        <v>0</v>
      </c>
      <c r="HCR4">
        <f>Database!HDK28</f>
        <v>0</v>
      </c>
      <c r="HCS4">
        <f>Database!HDL28</f>
        <v>0</v>
      </c>
      <c r="HCT4">
        <f>Database!HDM28</f>
        <v>0</v>
      </c>
      <c r="HCU4">
        <f>Database!HDN28</f>
        <v>0</v>
      </c>
      <c r="HCV4">
        <f>Database!HDO28</f>
        <v>0</v>
      </c>
      <c r="HCW4">
        <f>Database!HDP28</f>
        <v>0</v>
      </c>
      <c r="HCX4">
        <f>Database!HDQ28</f>
        <v>0</v>
      </c>
      <c r="HCY4">
        <f>Database!HDR28</f>
        <v>0</v>
      </c>
      <c r="HCZ4">
        <f>Database!HDS28</f>
        <v>0</v>
      </c>
      <c r="HDA4">
        <f>Database!HDT28</f>
        <v>0</v>
      </c>
      <c r="HDB4">
        <f>Database!HDU28</f>
        <v>0</v>
      </c>
      <c r="HDC4">
        <f>Database!HDV28</f>
        <v>0</v>
      </c>
      <c r="HDD4">
        <f>Database!HDW28</f>
        <v>0</v>
      </c>
      <c r="HDE4">
        <f>Database!HDX28</f>
        <v>0</v>
      </c>
      <c r="HDF4">
        <f>Database!HDY28</f>
        <v>0</v>
      </c>
      <c r="HDG4">
        <f>Database!HDZ28</f>
        <v>0</v>
      </c>
      <c r="HDH4">
        <f>Database!HEA28</f>
        <v>0</v>
      </c>
      <c r="HDI4">
        <f>Database!HEB28</f>
        <v>0</v>
      </c>
      <c r="HDJ4">
        <f>Database!HEC28</f>
        <v>0</v>
      </c>
      <c r="HDK4">
        <f>Database!HED28</f>
        <v>0</v>
      </c>
      <c r="HDL4">
        <f>Database!HEE28</f>
        <v>0</v>
      </c>
      <c r="HDM4">
        <f>Database!HEF28</f>
        <v>0</v>
      </c>
      <c r="HDN4">
        <f>Database!HEG28</f>
        <v>0</v>
      </c>
      <c r="HDO4">
        <f>Database!HEH28</f>
        <v>0</v>
      </c>
      <c r="HDP4">
        <f>Database!HEI28</f>
        <v>0</v>
      </c>
      <c r="HDQ4">
        <f>Database!HEJ28</f>
        <v>0</v>
      </c>
      <c r="HDR4">
        <f>Database!HEK28</f>
        <v>0</v>
      </c>
      <c r="HDS4">
        <f>Database!HEL28</f>
        <v>0</v>
      </c>
      <c r="HDT4">
        <f>Database!HEM28</f>
        <v>0</v>
      </c>
      <c r="HDU4">
        <f>Database!HEN28</f>
        <v>0</v>
      </c>
      <c r="HDV4">
        <f>Database!HEO28</f>
        <v>0</v>
      </c>
      <c r="HDW4">
        <f>Database!HEP28</f>
        <v>0</v>
      </c>
      <c r="HDX4">
        <f>Database!HEQ28</f>
        <v>0</v>
      </c>
      <c r="HDY4">
        <f>Database!HER28</f>
        <v>0</v>
      </c>
      <c r="HDZ4">
        <f>Database!HES28</f>
        <v>0</v>
      </c>
      <c r="HEA4">
        <f>Database!HET28</f>
        <v>0</v>
      </c>
      <c r="HEB4">
        <f>Database!HEU28</f>
        <v>0</v>
      </c>
      <c r="HEC4">
        <f>Database!HEV28</f>
        <v>0</v>
      </c>
      <c r="HED4">
        <f>Database!HEW28</f>
        <v>0</v>
      </c>
      <c r="HEE4">
        <f>Database!HEX28</f>
        <v>0</v>
      </c>
      <c r="HEF4">
        <f>Database!HEY28</f>
        <v>0</v>
      </c>
      <c r="HEG4">
        <f>Database!HEZ28</f>
        <v>0</v>
      </c>
      <c r="HEH4">
        <f>Database!HFA28</f>
        <v>0</v>
      </c>
      <c r="HEI4">
        <f>Database!HFB28</f>
        <v>0</v>
      </c>
      <c r="HEJ4">
        <f>Database!HFC28</f>
        <v>0</v>
      </c>
      <c r="HEK4">
        <f>Database!HFD28</f>
        <v>0</v>
      </c>
      <c r="HEL4">
        <f>Database!HFE28</f>
        <v>0</v>
      </c>
      <c r="HEM4">
        <f>Database!HFF28</f>
        <v>0</v>
      </c>
      <c r="HEN4">
        <f>Database!HFG28</f>
        <v>0</v>
      </c>
      <c r="HEO4">
        <f>Database!HFH28</f>
        <v>0</v>
      </c>
      <c r="HEP4">
        <f>Database!HFI28</f>
        <v>0</v>
      </c>
      <c r="HEQ4">
        <f>Database!HFJ28</f>
        <v>0</v>
      </c>
      <c r="HER4">
        <f>Database!HFK28</f>
        <v>0</v>
      </c>
      <c r="HES4">
        <f>Database!HFL28</f>
        <v>0</v>
      </c>
      <c r="HET4">
        <f>Database!HFM28</f>
        <v>0</v>
      </c>
      <c r="HEU4">
        <f>Database!HFN28</f>
        <v>0</v>
      </c>
      <c r="HEV4">
        <f>Database!HFO28</f>
        <v>0</v>
      </c>
      <c r="HEW4">
        <f>Database!HFP28</f>
        <v>0</v>
      </c>
      <c r="HEX4">
        <f>Database!HFQ28</f>
        <v>0</v>
      </c>
      <c r="HEY4">
        <f>Database!HFR28</f>
        <v>0</v>
      </c>
      <c r="HEZ4">
        <f>Database!HFS28</f>
        <v>0</v>
      </c>
      <c r="HFA4">
        <f>Database!HFT28</f>
        <v>0</v>
      </c>
      <c r="HFB4">
        <f>Database!HFU28</f>
        <v>0</v>
      </c>
      <c r="HFC4">
        <f>Database!HFV28</f>
        <v>0</v>
      </c>
      <c r="HFD4">
        <f>Database!HFW28</f>
        <v>0</v>
      </c>
      <c r="HFE4">
        <f>Database!HFX28</f>
        <v>0</v>
      </c>
      <c r="HFF4">
        <f>Database!HFY28</f>
        <v>0</v>
      </c>
      <c r="HFG4">
        <f>Database!HFZ28</f>
        <v>0</v>
      </c>
      <c r="HFH4">
        <f>Database!HGA28</f>
        <v>0</v>
      </c>
      <c r="HFI4">
        <f>Database!HGB28</f>
        <v>0</v>
      </c>
      <c r="HFJ4">
        <f>Database!HGC28</f>
        <v>0</v>
      </c>
      <c r="HFK4">
        <f>Database!HGD28</f>
        <v>0</v>
      </c>
      <c r="HFL4">
        <f>Database!HGE28</f>
        <v>0</v>
      </c>
      <c r="HFM4">
        <f>Database!HGF28</f>
        <v>0</v>
      </c>
      <c r="HFN4">
        <f>Database!HGG28</f>
        <v>0</v>
      </c>
      <c r="HFO4">
        <f>Database!HGH28</f>
        <v>0</v>
      </c>
      <c r="HFP4">
        <f>Database!HGI28</f>
        <v>0</v>
      </c>
      <c r="HFQ4">
        <f>Database!HGJ28</f>
        <v>0</v>
      </c>
      <c r="HFR4">
        <f>Database!HGK28</f>
        <v>0</v>
      </c>
      <c r="HFS4">
        <f>Database!HGL28</f>
        <v>0</v>
      </c>
      <c r="HFT4">
        <f>Database!HGM28</f>
        <v>0</v>
      </c>
      <c r="HFU4">
        <f>Database!HGN28</f>
        <v>0</v>
      </c>
      <c r="HFV4">
        <f>Database!HGO28</f>
        <v>0</v>
      </c>
      <c r="HFW4">
        <f>Database!HGP28</f>
        <v>0</v>
      </c>
      <c r="HFX4">
        <f>Database!HGQ28</f>
        <v>0</v>
      </c>
      <c r="HFY4">
        <f>Database!HGR28</f>
        <v>0</v>
      </c>
      <c r="HFZ4">
        <f>Database!HGS28</f>
        <v>0</v>
      </c>
      <c r="HGA4">
        <f>Database!HGT28</f>
        <v>0</v>
      </c>
      <c r="HGB4">
        <f>Database!HGU28</f>
        <v>0</v>
      </c>
      <c r="HGC4">
        <f>Database!HGV28</f>
        <v>0</v>
      </c>
      <c r="HGD4">
        <f>Database!HGW28</f>
        <v>0</v>
      </c>
      <c r="HGE4">
        <f>Database!HGX28</f>
        <v>0</v>
      </c>
      <c r="HGF4">
        <f>Database!HGY28</f>
        <v>0</v>
      </c>
      <c r="HGG4">
        <f>Database!HGZ28</f>
        <v>0</v>
      </c>
      <c r="HGH4">
        <f>Database!HHA28</f>
        <v>0</v>
      </c>
      <c r="HGI4">
        <f>Database!HHB28</f>
        <v>0</v>
      </c>
      <c r="HGJ4">
        <f>Database!HHC28</f>
        <v>0</v>
      </c>
      <c r="HGK4">
        <f>Database!HHD28</f>
        <v>0</v>
      </c>
      <c r="HGL4">
        <f>Database!HHE28</f>
        <v>0</v>
      </c>
      <c r="HGM4">
        <f>Database!HHF28</f>
        <v>0</v>
      </c>
      <c r="HGN4">
        <f>Database!HHG28</f>
        <v>0</v>
      </c>
      <c r="HGO4">
        <f>Database!HHH28</f>
        <v>0</v>
      </c>
      <c r="HGP4">
        <f>Database!HHI28</f>
        <v>0</v>
      </c>
      <c r="HGQ4">
        <f>Database!HHJ28</f>
        <v>0</v>
      </c>
      <c r="HGR4">
        <f>Database!HHK28</f>
        <v>0</v>
      </c>
      <c r="HGS4">
        <f>Database!HHL28</f>
        <v>0</v>
      </c>
      <c r="HGT4">
        <f>Database!HHM28</f>
        <v>0</v>
      </c>
      <c r="HGU4">
        <f>Database!HHN28</f>
        <v>0</v>
      </c>
      <c r="HGV4">
        <f>Database!HHO28</f>
        <v>0</v>
      </c>
      <c r="HGW4">
        <f>Database!HHP28</f>
        <v>0</v>
      </c>
      <c r="HGX4">
        <f>Database!HHQ28</f>
        <v>0</v>
      </c>
      <c r="HGY4">
        <f>Database!HHR28</f>
        <v>0</v>
      </c>
      <c r="HGZ4">
        <f>Database!HHS28</f>
        <v>0</v>
      </c>
      <c r="HHA4">
        <f>Database!HHT28</f>
        <v>0</v>
      </c>
      <c r="HHB4">
        <f>Database!HHU28</f>
        <v>0</v>
      </c>
      <c r="HHC4">
        <f>Database!HHV28</f>
        <v>0</v>
      </c>
      <c r="HHD4">
        <f>Database!HHW28</f>
        <v>0</v>
      </c>
      <c r="HHE4">
        <f>Database!HHX28</f>
        <v>0</v>
      </c>
      <c r="HHF4">
        <f>Database!HHY28</f>
        <v>0</v>
      </c>
      <c r="HHG4">
        <f>Database!HHZ28</f>
        <v>0</v>
      </c>
      <c r="HHH4">
        <f>Database!HIA28</f>
        <v>0</v>
      </c>
      <c r="HHI4">
        <f>Database!HIB28</f>
        <v>0</v>
      </c>
      <c r="HHJ4">
        <f>Database!HIC28</f>
        <v>0</v>
      </c>
      <c r="HHK4">
        <f>Database!HID28</f>
        <v>0</v>
      </c>
      <c r="HHL4">
        <f>Database!HIE28</f>
        <v>0</v>
      </c>
      <c r="HHM4">
        <f>Database!HIF28</f>
        <v>0</v>
      </c>
      <c r="HHN4">
        <f>Database!HIG28</f>
        <v>0</v>
      </c>
      <c r="HHO4">
        <f>Database!HIH28</f>
        <v>0</v>
      </c>
      <c r="HHP4">
        <f>Database!HII28</f>
        <v>0</v>
      </c>
      <c r="HHQ4">
        <f>Database!HIJ28</f>
        <v>0</v>
      </c>
      <c r="HHR4">
        <f>Database!HIK28</f>
        <v>0</v>
      </c>
      <c r="HHS4">
        <f>Database!HIL28</f>
        <v>0</v>
      </c>
      <c r="HHT4">
        <f>Database!HIM28</f>
        <v>0</v>
      </c>
      <c r="HHU4">
        <f>Database!HIN28</f>
        <v>0</v>
      </c>
      <c r="HHV4">
        <f>Database!HIO28</f>
        <v>0</v>
      </c>
      <c r="HHW4">
        <f>Database!HIP28</f>
        <v>0</v>
      </c>
      <c r="HHX4">
        <f>Database!HIQ28</f>
        <v>0</v>
      </c>
      <c r="HHY4">
        <f>Database!HIR28</f>
        <v>0</v>
      </c>
      <c r="HHZ4">
        <f>Database!HIS28</f>
        <v>0</v>
      </c>
      <c r="HIA4">
        <f>Database!HIT28</f>
        <v>0</v>
      </c>
      <c r="HIB4">
        <f>Database!HIU28</f>
        <v>0</v>
      </c>
      <c r="HIC4">
        <f>Database!HIV28</f>
        <v>0</v>
      </c>
      <c r="HID4">
        <f>Database!HIW28</f>
        <v>0</v>
      </c>
      <c r="HIE4">
        <f>Database!HIX28</f>
        <v>0</v>
      </c>
      <c r="HIF4">
        <f>Database!HIY28</f>
        <v>0</v>
      </c>
      <c r="HIG4">
        <f>Database!HIZ28</f>
        <v>0</v>
      </c>
      <c r="HIH4">
        <f>Database!HJA28</f>
        <v>0</v>
      </c>
      <c r="HII4">
        <f>Database!HJB28</f>
        <v>0</v>
      </c>
      <c r="HIJ4">
        <f>Database!HJC28</f>
        <v>0</v>
      </c>
      <c r="HIK4">
        <f>Database!HJD28</f>
        <v>0</v>
      </c>
      <c r="HIL4">
        <f>Database!HJE28</f>
        <v>0</v>
      </c>
      <c r="HIM4">
        <f>Database!HJF28</f>
        <v>0</v>
      </c>
      <c r="HIN4">
        <f>Database!HJG28</f>
        <v>0</v>
      </c>
      <c r="HIO4">
        <f>Database!HJH28</f>
        <v>0</v>
      </c>
      <c r="HIP4">
        <f>Database!HJI28</f>
        <v>0</v>
      </c>
      <c r="HIQ4">
        <f>Database!HJJ28</f>
        <v>0</v>
      </c>
      <c r="HIR4">
        <f>Database!HJK28</f>
        <v>0</v>
      </c>
      <c r="HIS4">
        <f>Database!HJL28</f>
        <v>0</v>
      </c>
      <c r="HIT4">
        <f>Database!HJM28</f>
        <v>0</v>
      </c>
      <c r="HIU4">
        <f>Database!HJN28</f>
        <v>0</v>
      </c>
      <c r="HIV4">
        <f>Database!HJO28</f>
        <v>0</v>
      </c>
      <c r="HIW4">
        <f>Database!HJP28</f>
        <v>0</v>
      </c>
      <c r="HIX4">
        <f>Database!HJQ28</f>
        <v>0</v>
      </c>
      <c r="HIY4">
        <f>Database!HJR28</f>
        <v>0</v>
      </c>
      <c r="HIZ4">
        <f>Database!HJS28</f>
        <v>0</v>
      </c>
      <c r="HJA4">
        <f>Database!HJT28</f>
        <v>0</v>
      </c>
      <c r="HJB4">
        <f>Database!HJU28</f>
        <v>0</v>
      </c>
      <c r="HJC4">
        <f>Database!HJV28</f>
        <v>0</v>
      </c>
      <c r="HJD4">
        <f>Database!HJW28</f>
        <v>0</v>
      </c>
      <c r="HJE4">
        <f>Database!HJX28</f>
        <v>0</v>
      </c>
      <c r="HJF4">
        <f>Database!HJY28</f>
        <v>0</v>
      </c>
      <c r="HJG4">
        <f>Database!HJZ28</f>
        <v>0</v>
      </c>
      <c r="HJH4">
        <f>Database!HKA28</f>
        <v>0</v>
      </c>
      <c r="HJI4">
        <f>Database!HKB28</f>
        <v>0</v>
      </c>
      <c r="HJJ4">
        <f>Database!HKC28</f>
        <v>0</v>
      </c>
      <c r="HJK4">
        <f>Database!HKD28</f>
        <v>0</v>
      </c>
      <c r="HJL4">
        <f>Database!HKE28</f>
        <v>0</v>
      </c>
      <c r="HJM4">
        <f>Database!HKF28</f>
        <v>0</v>
      </c>
      <c r="HJN4">
        <f>Database!HKG28</f>
        <v>0</v>
      </c>
      <c r="HJO4">
        <f>Database!HKH28</f>
        <v>0</v>
      </c>
      <c r="HJP4">
        <f>Database!HKI28</f>
        <v>0</v>
      </c>
      <c r="HJQ4">
        <f>Database!HKJ28</f>
        <v>0</v>
      </c>
      <c r="HJR4">
        <f>Database!HKK28</f>
        <v>0</v>
      </c>
      <c r="HJS4">
        <f>Database!HKL28</f>
        <v>0</v>
      </c>
      <c r="HJT4">
        <f>Database!HKM28</f>
        <v>0</v>
      </c>
      <c r="HJU4">
        <f>Database!HKN28</f>
        <v>0</v>
      </c>
      <c r="HJV4">
        <f>Database!HKO28</f>
        <v>0</v>
      </c>
      <c r="HJW4">
        <f>Database!HKP28</f>
        <v>0</v>
      </c>
      <c r="HJX4">
        <f>Database!HKQ28</f>
        <v>0</v>
      </c>
      <c r="HJY4">
        <f>Database!HKR28</f>
        <v>0</v>
      </c>
      <c r="HJZ4">
        <f>Database!HKS28</f>
        <v>0</v>
      </c>
      <c r="HKA4">
        <f>Database!HKT28</f>
        <v>0</v>
      </c>
      <c r="HKB4">
        <f>Database!HKU28</f>
        <v>0</v>
      </c>
      <c r="HKC4">
        <f>Database!HKV28</f>
        <v>0</v>
      </c>
      <c r="HKD4">
        <f>Database!HKW28</f>
        <v>0</v>
      </c>
      <c r="HKE4">
        <f>Database!HKX28</f>
        <v>0</v>
      </c>
      <c r="HKF4">
        <f>Database!HKY28</f>
        <v>0</v>
      </c>
      <c r="HKG4">
        <f>Database!HKZ28</f>
        <v>0</v>
      </c>
      <c r="HKH4">
        <f>Database!HLA28</f>
        <v>0</v>
      </c>
      <c r="HKI4">
        <f>Database!HLB28</f>
        <v>0</v>
      </c>
      <c r="HKJ4">
        <f>Database!HLC28</f>
        <v>0</v>
      </c>
      <c r="HKK4">
        <f>Database!HLD28</f>
        <v>0</v>
      </c>
      <c r="HKL4">
        <f>Database!HLE28</f>
        <v>0</v>
      </c>
      <c r="HKM4">
        <f>Database!HLF28</f>
        <v>0</v>
      </c>
      <c r="HKN4">
        <f>Database!HLG28</f>
        <v>0</v>
      </c>
      <c r="HKO4">
        <f>Database!HLH28</f>
        <v>0</v>
      </c>
      <c r="HKP4">
        <f>Database!HLI28</f>
        <v>0</v>
      </c>
      <c r="HKQ4">
        <f>Database!HLJ28</f>
        <v>0</v>
      </c>
      <c r="HKR4">
        <f>Database!HLK28</f>
        <v>0</v>
      </c>
      <c r="HKS4">
        <f>Database!HLL28</f>
        <v>0</v>
      </c>
      <c r="HKT4">
        <f>Database!HLM28</f>
        <v>0</v>
      </c>
      <c r="HKU4">
        <f>Database!HLN28</f>
        <v>0</v>
      </c>
      <c r="HKV4">
        <f>Database!HLO28</f>
        <v>0</v>
      </c>
      <c r="HKW4">
        <f>Database!HLP28</f>
        <v>0</v>
      </c>
      <c r="HKX4">
        <f>Database!HLQ28</f>
        <v>0</v>
      </c>
      <c r="HKY4">
        <f>Database!HLR28</f>
        <v>0</v>
      </c>
      <c r="HKZ4">
        <f>Database!HLS28</f>
        <v>0</v>
      </c>
      <c r="HLA4">
        <f>Database!HLT28</f>
        <v>0</v>
      </c>
      <c r="HLB4">
        <f>Database!HLU28</f>
        <v>0</v>
      </c>
      <c r="HLC4">
        <f>Database!HLV28</f>
        <v>0</v>
      </c>
      <c r="HLD4">
        <f>Database!HLW28</f>
        <v>0</v>
      </c>
      <c r="HLE4">
        <f>Database!HLX28</f>
        <v>0</v>
      </c>
      <c r="HLF4">
        <f>Database!HLY28</f>
        <v>0</v>
      </c>
      <c r="HLG4">
        <f>Database!HLZ28</f>
        <v>0</v>
      </c>
      <c r="HLH4">
        <f>Database!HMA28</f>
        <v>0</v>
      </c>
      <c r="HLI4">
        <f>Database!HMB28</f>
        <v>0</v>
      </c>
      <c r="HLJ4">
        <f>Database!HMC28</f>
        <v>0</v>
      </c>
      <c r="HLK4">
        <f>Database!HMD28</f>
        <v>0</v>
      </c>
      <c r="HLL4">
        <f>Database!HME28</f>
        <v>0</v>
      </c>
      <c r="HLM4">
        <f>Database!HMF28</f>
        <v>0</v>
      </c>
      <c r="HLN4">
        <f>Database!HMG28</f>
        <v>0</v>
      </c>
      <c r="HLO4">
        <f>Database!HMH28</f>
        <v>0</v>
      </c>
      <c r="HLP4">
        <f>Database!HMI28</f>
        <v>0</v>
      </c>
      <c r="HLQ4">
        <f>Database!HMJ28</f>
        <v>0</v>
      </c>
      <c r="HLR4">
        <f>Database!HMK28</f>
        <v>0</v>
      </c>
      <c r="HLS4">
        <f>Database!HML28</f>
        <v>0</v>
      </c>
      <c r="HLT4">
        <f>Database!HMM28</f>
        <v>0</v>
      </c>
      <c r="HLU4">
        <f>Database!HMN28</f>
        <v>0</v>
      </c>
      <c r="HLV4">
        <f>Database!HMO28</f>
        <v>0</v>
      </c>
      <c r="HLW4">
        <f>Database!HMP28</f>
        <v>0</v>
      </c>
      <c r="HLX4">
        <f>Database!HMQ28</f>
        <v>0</v>
      </c>
      <c r="HLY4">
        <f>Database!HMR28</f>
        <v>0</v>
      </c>
      <c r="HLZ4">
        <f>Database!HMS28</f>
        <v>0</v>
      </c>
      <c r="HMA4">
        <f>Database!HMT28</f>
        <v>0</v>
      </c>
      <c r="HMB4">
        <f>Database!HMU28</f>
        <v>0</v>
      </c>
      <c r="HMC4">
        <f>Database!HMV28</f>
        <v>0</v>
      </c>
      <c r="HMD4">
        <f>Database!HMW28</f>
        <v>0</v>
      </c>
      <c r="HME4">
        <f>Database!HMX28</f>
        <v>0</v>
      </c>
      <c r="HMF4">
        <f>Database!HMY28</f>
        <v>0</v>
      </c>
      <c r="HMG4">
        <f>Database!HMZ28</f>
        <v>0</v>
      </c>
      <c r="HMH4">
        <f>Database!HNA28</f>
        <v>0</v>
      </c>
      <c r="HMI4">
        <f>Database!HNB28</f>
        <v>0</v>
      </c>
      <c r="HMJ4">
        <f>Database!HNC28</f>
        <v>0</v>
      </c>
      <c r="HMK4">
        <f>Database!HND28</f>
        <v>0</v>
      </c>
      <c r="HML4">
        <f>Database!HNE28</f>
        <v>0</v>
      </c>
      <c r="HMM4">
        <f>Database!HNF28</f>
        <v>0</v>
      </c>
      <c r="HMN4">
        <f>Database!HNG28</f>
        <v>0</v>
      </c>
      <c r="HMO4">
        <f>Database!HNH28</f>
        <v>0</v>
      </c>
      <c r="HMP4">
        <f>Database!HNI28</f>
        <v>0</v>
      </c>
      <c r="HMQ4">
        <f>Database!HNJ28</f>
        <v>0</v>
      </c>
      <c r="HMR4">
        <f>Database!HNK28</f>
        <v>0</v>
      </c>
      <c r="HMS4">
        <f>Database!HNL28</f>
        <v>0</v>
      </c>
      <c r="HMT4">
        <f>Database!HNM28</f>
        <v>0</v>
      </c>
      <c r="HMU4">
        <f>Database!HNN28</f>
        <v>0</v>
      </c>
      <c r="HMV4">
        <f>Database!HNO28</f>
        <v>0</v>
      </c>
      <c r="HMW4">
        <f>Database!HNP28</f>
        <v>0</v>
      </c>
      <c r="HMX4">
        <f>Database!HNQ28</f>
        <v>0</v>
      </c>
      <c r="HMY4">
        <f>Database!HNR28</f>
        <v>0</v>
      </c>
      <c r="HMZ4">
        <f>Database!HNS28</f>
        <v>0</v>
      </c>
      <c r="HNA4">
        <f>Database!HNT28</f>
        <v>0</v>
      </c>
      <c r="HNB4">
        <f>Database!HNU28</f>
        <v>0</v>
      </c>
      <c r="HNC4">
        <f>Database!HNV28</f>
        <v>0</v>
      </c>
      <c r="HND4">
        <f>Database!HNW28</f>
        <v>0</v>
      </c>
      <c r="HNE4">
        <f>Database!HNX28</f>
        <v>0</v>
      </c>
      <c r="HNF4">
        <f>Database!HNY28</f>
        <v>0</v>
      </c>
      <c r="HNG4">
        <f>Database!HNZ28</f>
        <v>0</v>
      </c>
      <c r="HNH4">
        <f>Database!HOA28</f>
        <v>0</v>
      </c>
      <c r="HNI4">
        <f>Database!HOB28</f>
        <v>0</v>
      </c>
      <c r="HNJ4">
        <f>Database!HOC28</f>
        <v>0</v>
      </c>
      <c r="HNK4">
        <f>Database!HOD28</f>
        <v>0</v>
      </c>
      <c r="HNL4">
        <f>Database!HOE28</f>
        <v>0</v>
      </c>
      <c r="HNM4">
        <f>Database!HOF28</f>
        <v>0</v>
      </c>
      <c r="HNN4">
        <f>Database!HOG28</f>
        <v>0</v>
      </c>
      <c r="HNO4">
        <f>Database!HOH28</f>
        <v>0</v>
      </c>
      <c r="HNP4">
        <f>Database!HOI28</f>
        <v>0</v>
      </c>
      <c r="HNQ4">
        <f>Database!HOJ28</f>
        <v>0</v>
      </c>
      <c r="HNR4">
        <f>Database!HOK28</f>
        <v>0</v>
      </c>
      <c r="HNS4">
        <f>Database!HOL28</f>
        <v>0</v>
      </c>
      <c r="HNT4">
        <f>Database!HOM28</f>
        <v>0</v>
      </c>
      <c r="HNU4">
        <f>Database!HON28</f>
        <v>0</v>
      </c>
      <c r="HNV4">
        <f>Database!HOO28</f>
        <v>0</v>
      </c>
      <c r="HNW4">
        <f>Database!HOP28</f>
        <v>0</v>
      </c>
      <c r="HNX4">
        <f>Database!HOQ28</f>
        <v>0</v>
      </c>
      <c r="HNY4">
        <f>Database!HOR28</f>
        <v>0</v>
      </c>
      <c r="HNZ4">
        <f>Database!HOS28</f>
        <v>0</v>
      </c>
      <c r="HOA4">
        <f>Database!HOT28</f>
        <v>0</v>
      </c>
      <c r="HOB4">
        <f>Database!HOU28</f>
        <v>0</v>
      </c>
      <c r="HOC4">
        <f>Database!HOV28</f>
        <v>0</v>
      </c>
      <c r="HOD4">
        <f>Database!HOW28</f>
        <v>0</v>
      </c>
      <c r="HOE4">
        <f>Database!HOX28</f>
        <v>0</v>
      </c>
      <c r="HOF4">
        <f>Database!HOY28</f>
        <v>0</v>
      </c>
      <c r="HOG4">
        <f>Database!HOZ28</f>
        <v>0</v>
      </c>
      <c r="HOH4">
        <f>Database!HPA28</f>
        <v>0</v>
      </c>
      <c r="HOI4">
        <f>Database!HPB28</f>
        <v>0</v>
      </c>
      <c r="HOJ4">
        <f>Database!HPC28</f>
        <v>0</v>
      </c>
      <c r="HOK4">
        <f>Database!HPD28</f>
        <v>0</v>
      </c>
      <c r="HOL4">
        <f>Database!HPE28</f>
        <v>0</v>
      </c>
      <c r="HOM4">
        <f>Database!HPF28</f>
        <v>0</v>
      </c>
      <c r="HON4">
        <f>Database!HPG28</f>
        <v>0</v>
      </c>
      <c r="HOO4">
        <f>Database!HPH28</f>
        <v>0</v>
      </c>
      <c r="HOP4">
        <f>Database!HPI28</f>
        <v>0</v>
      </c>
      <c r="HOQ4">
        <f>Database!HPJ28</f>
        <v>0</v>
      </c>
      <c r="HOR4">
        <f>Database!HPK28</f>
        <v>0</v>
      </c>
      <c r="HOS4">
        <f>Database!HPL28</f>
        <v>0</v>
      </c>
      <c r="HOT4">
        <f>Database!HPM28</f>
        <v>0</v>
      </c>
      <c r="HOU4">
        <f>Database!HPN28</f>
        <v>0</v>
      </c>
      <c r="HOV4">
        <f>Database!HPO28</f>
        <v>0</v>
      </c>
      <c r="HOW4">
        <f>Database!HPP28</f>
        <v>0</v>
      </c>
      <c r="HOX4">
        <f>Database!HPQ28</f>
        <v>0</v>
      </c>
      <c r="HOY4">
        <f>Database!HPR28</f>
        <v>0</v>
      </c>
      <c r="HOZ4">
        <f>Database!HPS28</f>
        <v>0</v>
      </c>
      <c r="HPA4">
        <f>Database!HPT28</f>
        <v>0</v>
      </c>
      <c r="HPB4">
        <f>Database!HPU28</f>
        <v>0</v>
      </c>
      <c r="HPC4">
        <f>Database!HPV28</f>
        <v>0</v>
      </c>
      <c r="HPD4">
        <f>Database!HPW28</f>
        <v>0</v>
      </c>
      <c r="HPE4">
        <f>Database!HPX28</f>
        <v>0</v>
      </c>
      <c r="HPF4">
        <f>Database!HPY28</f>
        <v>0</v>
      </c>
      <c r="HPG4">
        <f>Database!HPZ28</f>
        <v>0</v>
      </c>
      <c r="HPH4">
        <f>Database!HQA28</f>
        <v>0</v>
      </c>
      <c r="HPI4">
        <f>Database!HQB28</f>
        <v>0</v>
      </c>
      <c r="HPJ4">
        <f>Database!HQC28</f>
        <v>0</v>
      </c>
      <c r="HPK4">
        <f>Database!HQD28</f>
        <v>0</v>
      </c>
      <c r="HPL4">
        <f>Database!HQE28</f>
        <v>0</v>
      </c>
      <c r="HPM4">
        <f>Database!HQF28</f>
        <v>0</v>
      </c>
      <c r="HPN4">
        <f>Database!HQG28</f>
        <v>0</v>
      </c>
      <c r="HPO4">
        <f>Database!HQH28</f>
        <v>0</v>
      </c>
      <c r="HPP4">
        <f>Database!HQI28</f>
        <v>0</v>
      </c>
      <c r="HPQ4">
        <f>Database!HQJ28</f>
        <v>0</v>
      </c>
      <c r="HPR4">
        <f>Database!HQK28</f>
        <v>0</v>
      </c>
      <c r="HPS4">
        <f>Database!HQL28</f>
        <v>0</v>
      </c>
      <c r="HPT4">
        <f>Database!HQM28</f>
        <v>0</v>
      </c>
      <c r="HPU4">
        <f>Database!HQN28</f>
        <v>0</v>
      </c>
      <c r="HPV4">
        <f>Database!HQO28</f>
        <v>0</v>
      </c>
      <c r="HPW4">
        <f>Database!HQP28</f>
        <v>0</v>
      </c>
      <c r="HPX4">
        <f>Database!HQQ28</f>
        <v>0</v>
      </c>
      <c r="HPY4">
        <f>Database!HQR28</f>
        <v>0</v>
      </c>
      <c r="HPZ4">
        <f>Database!HQS28</f>
        <v>0</v>
      </c>
      <c r="HQA4">
        <f>Database!HQT28</f>
        <v>0</v>
      </c>
      <c r="HQB4">
        <f>Database!HQU28</f>
        <v>0</v>
      </c>
      <c r="HQC4">
        <f>Database!HQV28</f>
        <v>0</v>
      </c>
      <c r="HQD4">
        <f>Database!HQW28</f>
        <v>0</v>
      </c>
      <c r="HQE4">
        <f>Database!HQX28</f>
        <v>0</v>
      </c>
      <c r="HQF4">
        <f>Database!HQY28</f>
        <v>0</v>
      </c>
      <c r="HQG4">
        <f>Database!HQZ28</f>
        <v>0</v>
      </c>
      <c r="HQH4">
        <f>Database!HRA28</f>
        <v>0</v>
      </c>
      <c r="HQI4">
        <f>Database!HRB28</f>
        <v>0</v>
      </c>
      <c r="HQJ4">
        <f>Database!HRC28</f>
        <v>0</v>
      </c>
      <c r="HQK4">
        <f>Database!HRD28</f>
        <v>0</v>
      </c>
      <c r="HQL4">
        <f>Database!HRE28</f>
        <v>0</v>
      </c>
      <c r="HQM4">
        <f>Database!HRF28</f>
        <v>0</v>
      </c>
      <c r="HQN4">
        <f>Database!HRG28</f>
        <v>0</v>
      </c>
      <c r="HQO4">
        <f>Database!HRH28</f>
        <v>0</v>
      </c>
      <c r="HQP4">
        <f>Database!HRI28</f>
        <v>0</v>
      </c>
      <c r="HQQ4">
        <f>Database!HRJ28</f>
        <v>0</v>
      </c>
      <c r="HQR4">
        <f>Database!HRK28</f>
        <v>0</v>
      </c>
      <c r="HQS4">
        <f>Database!HRL28</f>
        <v>0</v>
      </c>
      <c r="HQT4">
        <f>Database!HRM28</f>
        <v>0</v>
      </c>
      <c r="HQU4">
        <f>Database!HRN28</f>
        <v>0</v>
      </c>
      <c r="HQV4">
        <f>Database!HRO28</f>
        <v>0</v>
      </c>
      <c r="HQW4">
        <f>Database!HRP28</f>
        <v>0</v>
      </c>
      <c r="HQX4">
        <f>Database!HRQ28</f>
        <v>0</v>
      </c>
      <c r="HQY4">
        <f>Database!HRR28</f>
        <v>0</v>
      </c>
      <c r="HQZ4">
        <f>Database!HRS28</f>
        <v>0</v>
      </c>
      <c r="HRA4">
        <f>Database!HRT28</f>
        <v>0</v>
      </c>
      <c r="HRB4">
        <f>Database!HRU28</f>
        <v>0</v>
      </c>
      <c r="HRC4">
        <f>Database!HRV28</f>
        <v>0</v>
      </c>
      <c r="HRD4">
        <f>Database!HRW28</f>
        <v>0</v>
      </c>
      <c r="HRE4">
        <f>Database!HRX28</f>
        <v>0</v>
      </c>
      <c r="HRF4">
        <f>Database!HRY28</f>
        <v>0</v>
      </c>
      <c r="HRG4">
        <f>Database!HRZ28</f>
        <v>0</v>
      </c>
      <c r="HRH4">
        <f>Database!HSA28</f>
        <v>0</v>
      </c>
      <c r="HRI4">
        <f>Database!HSB28</f>
        <v>0</v>
      </c>
      <c r="HRJ4">
        <f>Database!HSC28</f>
        <v>0</v>
      </c>
      <c r="HRK4">
        <f>Database!HSD28</f>
        <v>0</v>
      </c>
      <c r="HRL4">
        <f>Database!HSE28</f>
        <v>0</v>
      </c>
      <c r="HRM4">
        <f>Database!HSF28</f>
        <v>0</v>
      </c>
      <c r="HRN4">
        <f>Database!HSG28</f>
        <v>0</v>
      </c>
      <c r="HRO4">
        <f>Database!HSH28</f>
        <v>0</v>
      </c>
      <c r="HRP4">
        <f>Database!HSI28</f>
        <v>0</v>
      </c>
      <c r="HRQ4">
        <f>Database!HSJ28</f>
        <v>0</v>
      </c>
      <c r="HRR4">
        <f>Database!HSK28</f>
        <v>0</v>
      </c>
      <c r="HRS4">
        <f>Database!HSL28</f>
        <v>0</v>
      </c>
      <c r="HRT4">
        <f>Database!HSM28</f>
        <v>0</v>
      </c>
      <c r="HRU4">
        <f>Database!HSN28</f>
        <v>0</v>
      </c>
      <c r="HRV4">
        <f>Database!HSO28</f>
        <v>0</v>
      </c>
      <c r="HRW4">
        <f>Database!HSP28</f>
        <v>0</v>
      </c>
      <c r="HRX4">
        <f>Database!HSQ28</f>
        <v>0</v>
      </c>
      <c r="HRY4">
        <f>Database!HSR28</f>
        <v>0</v>
      </c>
      <c r="HRZ4">
        <f>Database!HSS28</f>
        <v>0</v>
      </c>
      <c r="HSA4">
        <f>Database!HST28</f>
        <v>0</v>
      </c>
      <c r="HSB4">
        <f>Database!HSU28</f>
        <v>0</v>
      </c>
      <c r="HSC4">
        <f>Database!HSV28</f>
        <v>0</v>
      </c>
      <c r="HSD4">
        <f>Database!HSW28</f>
        <v>0</v>
      </c>
      <c r="HSE4">
        <f>Database!HSX28</f>
        <v>0</v>
      </c>
      <c r="HSF4">
        <f>Database!HSY28</f>
        <v>0</v>
      </c>
      <c r="HSG4">
        <f>Database!HSZ28</f>
        <v>0</v>
      </c>
      <c r="HSH4">
        <f>Database!HTA28</f>
        <v>0</v>
      </c>
      <c r="HSI4">
        <f>Database!HTB28</f>
        <v>0</v>
      </c>
      <c r="HSJ4">
        <f>Database!HTC28</f>
        <v>0</v>
      </c>
      <c r="HSK4">
        <f>Database!HTD28</f>
        <v>0</v>
      </c>
      <c r="HSL4">
        <f>Database!HTE28</f>
        <v>0</v>
      </c>
      <c r="HSM4">
        <f>Database!HTF28</f>
        <v>0</v>
      </c>
      <c r="HSN4">
        <f>Database!HTG28</f>
        <v>0</v>
      </c>
      <c r="HSO4">
        <f>Database!HTH28</f>
        <v>0</v>
      </c>
      <c r="HSP4">
        <f>Database!HTI28</f>
        <v>0</v>
      </c>
      <c r="HSQ4">
        <f>Database!HTJ28</f>
        <v>0</v>
      </c>
      <c r="HSR4">
        <f>Database!HTK28</f>
        <v>0</v>
      </c>
      <c r="HSS4">
        <f>Database!HTL28</f>
        <v>0</v>
      </c>
      <c r="HST4">
        <f>Database!HTM28</f>
        <v>0</v>
      </c>
      <c r="HSU4">
        <f>Database!HTN28</f>
        <v>0</v>
      </c>
      <c r="HSV4">
        <f>Database!HTO28</f>
        <v>0</v>
      </c>
      <c r="HSW4">
        <f>Database!HTP28</f>
        <v>0</v>
      </c>
      <c r="HSX4">
        <f>Database!HTQ28</f>
        <v>0</v>
      </c>
      <c r="HSY4">
        <f>Database!HTR28</f>
        <v>0</v>
      </c>
      <c r="HSZ4">
        <f>Database!HTS28</f>
        <v>0</v>
      </c>
      <c r="HTA4">
        <f>Database!HTT28</f>
        <v>0</v>
      </c>
      <c r="HTB4">
        <f>Database!HTU28</f>
        <v>0</v>
      </c>
      <c r="HTC4">
        <f>Database!HTV28</f>
        <v>0</v>
      </c>
      <c r="HTD4">
        <f>Database!HTW28</f>
        <v>0</v>
      </c>
      <c r="HTE4">
        <f>Database!HTX28</f>
        <v>0</v>
      </c>
      <c r="HTF4">
        <f>Database!HTY28</f>
        <v>0</v>
      </c>
      <c r="HTG4">
        <f>Database!HTZ28</f>
        <v>0</v>
      </c>
      <c r="HTH4">
        <f>Database!HUA28</f>
        <v>0</v>
      </c>
      <c r="HTI4">
        <f>Database!HUB28</f>
        <v>0</v>
      </c>
      <c r="HTJ4">
        <f>Database!HUC28</f>
        <v>0</v>
      </c>
      <c r="HTK4">
        <f>Database!HUD28</f>
        <v>0</v>
      </c>
      <c r="HTL4">
        <f>Database!HUE28</f>
        <v>0</v>
      </c>
      <c r="HTM4">
        <f>Database!HUF28</f>
        <v>0</v>
      </c>
      <c r="HTN4">
        <f>Database!HUG28</f>
        <v>0</v>
      </c>
      <c r="HTO4">
        <f>Database!HUH28</f>
        <v>0</v>
      </c>
      <c r="HTP4">
        <f>Database!HUI28</f>
        <v>0</v>
      </c>
      <c r="HTQ4">
        <f>Database!HUJ28</f>
        <v>0</v>
      </c>
      <c r="HTR4">
        <f>Database!HUK28</f>
        <v>0</v>
      </c>
      <c r="HTS4">
        <f>Database!HUL28</f>
        <v>0</v>
      </c>
      <c r="HTT4">
        <f>Database!HUM28</f>
        <v>0</v>
      </c>
      <c r="HTU4">
        <f>Database!HUN28</f>
        <v>0</v>
      </c>
      <c r="HTV4">
        <f>Database!HUO28</f>
        <v>0</v>
      </c>
      <c r="HTW4">
        <f>Database!HUP28</f>
        <v>0</v>
      </c>
      <c r="HTX4">
        <f>Database!HUQ28</f>
        <v>0</v>
      </c>
      <c r="HTY4">
        <f>Database!HUR28</f>
        <v>0</v>
      </c>
      <c r="HTZ4">
        <f>Database!HUS28</f>
        <v>0</v>
      </c>
      <c r="HUA4">
        <f>Database!HUT28</f>
        <v>0</v>
      </c>
      <c r="HUB4">
        <f>Database!HUU28</f>
        <v>0</v>
      </c>
      <c r="HUC4">
        <f>Database!HUV28</f>
        <v>0</v>
      </c>
      <c r="HUD4">
        <f>Database!HUW28</f>
        <v>0</v>
      </c>
      <c r="HUE4">
        <f>Database!HUX28</f>
        <v>0</v>
      </c>
      <c r="HUF4">
        <f>Database!HUY28</f>
        <v>0</v>
      </c>
      <c r="HUG4">
        <f>Database!HUZ28</f>
        <v>0</v>
      </c>
      <c r="HUH4">
        <f>Database!HVA28</f>
        <v>0</v>
      </c>
      <c r="HUI4">
        <f>Database!HVB28</f>
        <v>0</v>
      </c>
      <c r="HUJ4">
        <f>Database!HVC28</f>
        <v>0</v>
      </c>
      <c r="HUK4">
        <f>Database!HVD28</f>
        <v>0</v>
      </c>
      <c r="HUL4">
        <f>Database!HVE28</f>
        <v>0</v>
      </c>
      <c r="HUM4">
        <f>Database!HVF28</f>
        <v>0</v>
      </c>
      <c r="HUN4">
        <f>Database!HVG28</f>
        <v>0</v>
      </c>
      <c r="HUO4">
        <f>Database!HVH28</f>
        <v>0</v>
      </c>
      <c r="HUP4">
        <f>Database!HVI28</f>
        <v>0</v>
      </c>
      <c r="HUQ4">
        <f>Database!HVJ28</f>
        <v>0</v>
      </c>
      <c r="HUR4">
        <f>Database!HVK28</f>
        <v>0</v>
      </c>
      <c r="HUS4">
        <f>Database!HVL28</f>
        <v>0</v>
      </c>
      <c r="HUT4">
        <f>Database!HVM28</f>
        <v>0</v>
      </c>
      <c r="HUU4">
        <f>Database!HVN28</f>
        <v>0</v>
      </c>
      <c r="HUV4">
        <f>Database!HVO28</f>
        <v>0</v>
      </c>
      <c r="HUW4">
        <f>Database!HVP28</f>
        <v>0</v>
      </c>
      <c r="HUX4">
        <f>Database!HVQ28</f>
        <v>0</v>
      </c>
      <c r="HUY4">
        <f>Database!HVR28</f>
        <v>0</v>
      </c>
      <c r="HUZ4">
        <f>Database!HVS28</f>
        <v>0</v>
      </c>
      <c r="HVA4">
        <f>Database!HVT28</f>
        <v>0</v>
      </c>
      <c r="HVB4">
        <f>Database!HVU28</f>
        <v>0</v>
      </c>
      <c r="HVC4">
        <f>Database!HVV28</f>
        <v>0</v>
      </c>
      <c r="HVD4">
        <f>Database!HVW28</f>
        <v>0</v>
      </c>
      <c r="HVE4">
        <f>Database!HVX28</f>
        <v>0</v>
      </c>
      <c r="HVF4">
        <f>Database!HVY28</f>
        <v>0</v>
      </c>
      <c r="HVG4">
        <f>Database!HVZ28</f>
        <v>0</v>
      </c>
      <c r="HVH4">
        <f>Database!HWA28</f>
        <v>0</v>
      </c>
      <c r="HVI4">
        <f>Database!HWB28</f>
        <v>0</v>
      </c>
      <c r="HVJ4">
        <f>Database!HWC28</f>
        <v>0</v>
      </c>
      <c r="HVK4">
        <f>Database!HWD28</f>
        <v>0</v>
      </c>
      <c r="HVL4">
        <f>Database!HWE28</f>
        <v>0</v>
      </c>
      <c r="HVM4">
        <f>Database!HWF28</f>
        <v>0</v>
      </c>
      <c r="HVN4">
        <f>Database!HWG28</f>
        <v>0</v>
      </c>
      <c r="HVO4">
        <f>Database!HWH28</f>
        <v>0</v>
      </c>
      <c r="HVP4">
        <f>Database!HWI28</f>
        <v>0</v>
      </c>
      <c r="HVQ4">
        <f>Database!HWJ28</f>
        <v>0</v>
      </c>
      <c r="HVR4">
        <f>Database!HWK28</f>
        <v>0</v>
      </c>
      <c r="HVS4">
        <f>Database!HWL28</f>
        <v>0</v>
      </c>
      <c r="HVT4">
        <f>Database!HWM28</f>
        <v>0</v>
      </c>
      <c r="HVU4">
        <f>Database!HWN28</f>
        <v>0</v>
      </c>
      <c r="HVV4">
        <f>Database!HWO28</f>
        <v>0</v>
      </c>
      <c r="HVW4">
        <f>Database!HWP28</f>
        <v>0</v>
      </c>
      <c r="HVX4">
        <f>Database!HWQ28</f>
        <v>0</v>
      </c>
      <c r="HVY4">
        <f>Database!HWR28</f>
        <v>0</v>
      </c>
      <c r="HVZ4">
        <f>Database!HWS28</f>
        <v>0</v>
      </c>
      <c r="HWA4">
        <f>Database!HWT28</f>
        <v>0</v>
      </c>
      <c r="HWB4">
        <f>Database!HWU28</f>
        <v>0</v>
      </c>
      <c r="HWC4">
        <f>Database!HWV28</f>
        <v>0</v>
      </c>
      <c r="HWD4">
        <f>Database!HWW28</f>
        <v>0</v>
      </c>
      <c r="HWE4">
        <f>Database!HWX28</f>
        <v>0</v>
      </c>
      <c r="HWF4">
        <f>Database!HWY28</f>
        <v>0</v>
      </c>
      <c r="HWG4">
        <f>Database!HWZ28</f>
        <v>0</v>
      </c>
      <c r="HWH4">
        <f>Database!HXA28</f>
        <v>0</v>
      </c>
      <c r="HWI4">
        <f>Database!HXB28</f>
        <v>0</v>
      </c>
      <c r="HWJ4">
        <f>Database!HXC28</f>
        <v>0</v>
      </c>
      <c r="HWK4">
        <f>Database!HXD28</f>
        <v>0</v>
      </c>
      <c r="HWL4">
        <f>Database!HXE28</f>
        <v>0</v>
      </c>
      <c r="HWM4">
        <f>Database!HXF28</f>
        <v>0</v>
      </c>
      <c r="HWN4">
        <f>Database!HXG28</f>
        <v>0</v>
      </c>
      <c r="HWO4">
        <f>Database!HXH28</f>
        <v>0</v>
      </c>
      <c r="HWP4">
        <f>Database!HXI28</f>
        <v>0</v>
      </c>
      <c r="HWQ4">
        <f>Database!HXJ28</f>
        <v>0</v>
      </c>
      <c r="HWR4">
        <f>Database!HXK28</f>
        <v>0</v>
      </c>
      <c r="HWS4">
        <f>Database!HXL28</f>
        <v>0</v>
      </c>
      <c r="HWT4">
        <f>Database!HXM28</f>
        <v>0</v>
      </c>
      <c r="HWU4">
        <f>Database!HXN28</f>
        <v>0</v>
      </c>
      <c r="HWV4">
        <f>Database!HXO28</f>
        <v>0</v>
      </c>
      <c r="HWW4">
        <f>Database!HXP28</f>
        <v>0</v>
      </c>
      <c r="HWX4">
        <f>Database!HXQ28</f>
        <v>0</v>
      </c>
      <c r="HWY4">
        <f>Database!HXR28</f>
        <v>0</v>
      </c>
      <c r="HWZ4">
        <f>Database!HXS28</f>
        <v>0</v>
      </c>
      <c r="HXA4">
        <f>Database!HXT28</f>
        <v>0</v>
      </c>
      <c r="HXB4">
        <f>Database!HXU28</f>
        <v>0</v>
      </c>
      <c r="HXC4">
        <f>Database!HXV28</f>
        <v>0</v>
      </c>
      <c r="HXD4">
        <f>Database!HXW28</f>
        <v>0</v>
      </c>
      <c r="HXE4">
        <f>Database!HXX28</f>
        <v>0</v>
      </c>
      <c r="HXF4">
        <f>Database!HXY28</f>
        <v>0</v>
      </c>
      <c r="HXG4">
        <f>Database!HXZ28</f>
        <v>0</v>
      </c>
      <c r="HXH4">
        <f>Database!HYA28</f>
        <v>0</v>
      </c>
      <c r="HXI4">
        <f>Database!HYB28</f>
        <v>0</v>
      </c>
      <c r="HXJ4">
        <f>Database!HYC28</f>
        <v>0</v>
      </c>
      <c r="HXK4">
        <f>Database!HYD28</f>
        <v>0</v>
      </c>
      <c r="HXL4">
        <f>Database!HYE28</f>
        <v>0</v>
      </c>
      <c r="HXM4">
        <f>Database!HYF28</f>
        <v>0</v>
      </c>
      <c r="HXN4">
        <f>Database!HYG28</f>
        <v>0</v>
      </c>
      <c r="HXO4">
        <f>Database!HYH28</f>
        <v>0</v>
      </c>
      <c r="HXP4">
        <f>Database!HYI28</f>
        <v>0</v>
      </c>
      <c r="HXQ4">
        <f>Database!HYJ28</f>
        <v>0</v>
      </c>
      <c r="HXR4">
        <f>Database!HYK28</f>
        <v>0</v>
      </c>
      <c r="HXS4">
        <f>Database!HYL28</f>
        <v>0</v>
      </c>
      <c r="HXT4">
        <f>Database!HYM28</f>
        <v>0</v>
      </c>
      <c r="HXU4">
        <f>Database!HYN28</f>
        <v>0</v>
      </c>
      <c r="HXV4">
        <f>Database!HYO28</f>
        <v>0</v>
      </c>
      <c r="HXW4">
        <f>Database!HYP28</f>
        <v>0</v>
      </c>
      <c r="HXX4">
        <f>Database!HYQ28</f>
        <v>0</v>
      </c>
      <c r="HXY4">
        <f>Database!HYR28</f>
        <v>0</v>
      </c>
      <c r="HXZ4">
        <f>Database!HYS28</f>
        <v>0</v>
      </c>
      <c r="HYA4">
        <f>Database!HYT28</f>
        <v>0</v>
      </c>
      <c r="HYB4">
        <f>Database!HYU28</f>
        <v>0</v>
      </c>
      <c r="HYC4">
        <f>Database!HYV28</f>
        <v>0</v>
      </c>
      <c r="HYD4">
        <f>Database!HYW28</f>
        <v>0</v>
      </c>
      <c r="HYE4">
        <f>Database!HYX28</f>
        <v>0</v>
      </c>
      <c r="HYF4">
        <f>Database!HYY28</f>
        <v>0</v>
      </c>
      <c r="HYG4">
        <f>Database!HYZ28</f>
        <v>0</v>
      </c>
      <c r="HYH4">
        <f>Database!HZA28</f>
        <v>0</v>
      </c>
      <c r="HYI4">
        <f>Database!HZB28</f>
        <v>0</v>
      </c>
      <c r="HYJ4">
        <f>Database!HZC28</f>
        <v>0</v>
      </c>
      <c r="HYK4">
        <f>Database!HZD28</f>
        <v>0</v>
      </c>
      <c r="HYL4">
        <f>Database!HZE28</f>
        <v>0</v>
      </c>
      <c r="HYM4">
        <f>Database!HZF28</f>
        <v>0</v>
      </c>
      <c r="HYN4">
        <f>Database!HZG28</f>
        <v>0</v>
      </c>
      <c r="HYO4">
        <f>Database!HZH28</f>
        <v>0</v>
      </c>
      <c r="HYP4">
        <f>Database!HZI28</f>
        <v>0</v>
      </c>
      <c r="HYQ4">
        <f>Database!HZJ28</f>
        <v>0</v>
      </c>
      <c r="HYR4">
        <f>Database!HZK28</f>
        <v>0</v>
      </c>
      <c r="HYS4">
        <f>Database!HZL28</f>
        <v>0</v>
      </c>
      <c r="HYT4">
        <f>Database!HZM28</f>
        <v>0</v>
      </c>
      <c r="HYU4">
        <f>Database!HZN28</f>
        <v>0</v>
      </c>
      <c r="HYV4">
        <f>Database!HZO28</f>
        <v>0</v>
      </c>
      <c r="HYW4">
        <f>Database!HZP28</f>
        <v>0</v>
      </c>
      <c r="HYX4">
        <f>Database!HZQ28</f>
        <v>0</v>
      </c>
      <c r="HYY4">
        <f>Database!HZR28</f>
        <v>0</v>
      </c>
      <c r="HYZ4">
        <f>Database!HZS28</f>
        <v>0</v>
      </c>
      <c r="HZA4">
        <f>Database!HZT28</f>
        <v>0</v>
      </c>
      <c r="HZB4">
        <f>Database!HZU28</f>
        <v>0</v>
      </c>
      <c r="HZC4">
        <f>Database!HZV28</f>
        <v>0</v>
      </c>
      <c r="HZD4">
        <f>Database!HZW28</f>
        <v>0</v>
      </c>
      <c r="HZE4">
        <f>Database!HZX28</f>
        <v>0</v>
      </c>
      <c r="HZF4">
        <f>Database!HZY28</f>
        <v>0</v>
      </c>
      <c r="HZG4">
        <f>Database!HZZ28</f>
        <v>0</v>
      </c>
      <c r="HZH4">
        <f>Database!IAA28</f>
        <v>0</v>
      </c>
      <c r="HZI4">
        <f>Database!IAB28</f>
        <v>0</v>
      </c>
      <c r="HZJ4">
        <f>Database!IAC28</f>
        <v>0</v>
      </c>
      <c r="HZK4">
        <f>Database!IAD28</f>
        <v>0</v>
      </c>
      <c r="HZL4">
        <f>Database!IAE28</f>
        <v>0</v>
      </c>
      <c r="HZM4">
        <f>Database!IAF28</f>
        <v>0</v>
      </c>
      <c r="HZN4">
        <f>Database!IAG28</f>
        <v>0</v>
      </c>
      <c r="HZO4">
        <f>Database!IAH28</f>
        <v>0</v>
      </c>
      <c r="HZP4">
        <f>Database!IAI28</f>
        <v>0</v>
      </c>
      <c r="HZQ4">
        <f>Database!IAJ28</f>
        <v>0</v>
      </c>
      <c r="HZR4">
        <f>Database!IAK28</f>
        <v>0</v>
      </c>
      <c r="HZS4">
        <f>Database!IAL28</f>
        <v>0</v>
      </c>
      <c r="HZT4">
        <f>Database!IAM28</f>
        <v>0</v>
      </c>
      <c r="HZU4">
        <f>Database!IAN28</f>
        <v>0</v>
      </c>
      <c r="HZV4">
        <f>Database!IAO28</f>
        <v>0</v>
      </c>
      <c r="HZW4">
        <f>Database!IAP28</f>
        <v>0</v>
      </c>
      <c r="HZX4">
        <f>Database!IAQ28</f>
        <v>0</v>
      </c>
      <c r="HZY4">
        <f>Database!IAR28</f>
        <v>0</v>
      </c>
      <c r="HZZ4">
        <f>Database!IAS28</f>
        <v>0</v>
      </c>
      <c r="IAA4">
        <f>Database!IAT28</f>
        <v>0</v>
      </c>
      <c r="IAB4">
        <f>Database!IAU28</f>
        <v>0</v>
      </c>
      <c r="IAC4">
        <f>Database!IAV28</f>
        <v>0</v>
      </c>
      <c r="IAD4">
        <f>Database!IAW28</f>
        <v>0</v>
      </c>
      <c r="IAE4">
        <f>Database!IAX28</f>
        <v>0</v>
      </c>
      <c r="IAF4">
        <f>Database!IAY28</f>
        <v>0</v>
      </c>
      <c r="IAG4">
        <f>Database!IAZ28</f>
        <v>0</v>
      </c>
      <c r="IAH4">
        <f>Database!IBA28</f>
        <v>0</v>
      </c>
      <c r="IAI4">
        <f>Database!IBB28</f>
        <v>0</v>
      </c>
      <c r="IAJ4">
        <f>Database!IBC28</f>
        <v>0</v>
      </c>
      <c r="IAK4">
        <f>Database!IBD28</f>
        <v>0</v>
      </c>
      <c r="IAL4">
        <f>Database!IBE28</f>
        <v>0</v>
      </c>
      <c r="IAM4">
        <f>Database!IBF28</f>
        <v>0</v>
      </c>
      <c r="IAN4">
        <f>Database!IBG28</f>
        <v>0</v>
      </c>
      <c r="IAO4">
        <f>Database!IBH28</f>
        <v>0</v>
      </c>
      <c r="IAP4">
        <f>Database!IBI28</f>
        <v>0</v>
      </c>
      <c r="IAQ4">
        <f>Database!IBJ28</f>
        <v>0</v>
      </c>
      <c r="IAR4">
        <f>Database!IBK28</f>
        <v>0</v>
      </c>
      <c r="IAS4">
        <f>Database!IBL28</f>
        <v>0</v>
      </c>
      <c r="IAT4">
        <f>Database!IBM28</f>
        <v>0</v>
      </c>
      <c r="IAU4">
        <f>Database!IBN28</f>
        <v>0</v>
      </c>
      <c r="IAV4">
        <f>Database!IBO28</f>
        <v>0</v>
      </c>
      <c r="IAW4">
        <f>Database!IBP28</f>
        <v>0</v>
      </c>
      <c r="IAX4">
        <f>Database!IBQ28</f>
        <v>0</v>
      </c>
      <c r="IAY4">
        <f>Database!IBR28</f>
        <v>0</v>
      </c>
      <c r="IAZ4">
        <f>Database!IBS28</f>
        <v>0</v>
      </c>
      <c r="IBA4">
        <f>Database!IBT28</f>
        <v>0</v>
      </c>
      <c r="IBB4">
        <f>Database!IBU28</f>
        <v>0</v>
      </c>
      <c r="IBC4">
        <f>Database!IBV28</f>
        <v>0</v>
      </c>
      <c r="IBD4">
        <f>Database!IBW28</f>
        <v>0</v>
      </c>
      <c r="IBE4">
        <f>Database!IBX28</f>
        <v>0</v>
      </c>
      <c r="IBF4">
        <f>Database!IBY28</f>
        <v>0</v>
      </c>
      <c r="IBG4">
        <f>Database!IBZ28</f>
        <v>0</v>
      </c>
      <c r="IBH4">
        <f>Database!ICA28</f>
        <v>0</v>
      </c>
      <c r="IBI4">
        <f>Database!ICB28</f>
        <v>0</v>
      </c>
      <c r="IBJ4">
        <f>Database!ICC28</f>
        <v>0</v>
      </c>
      <c r="IBK4">
        <f>Database!ICD28</f>
        <v>0</v>
      </c>
      <c r="IBL4">
        <f>Database!ICE28</f>
        <v>0</v>
      </c>
      <c r="IBM4">
        <f>Database!ICF28</f>
        <v>0</v>
      </c>
      <c r="IBN4">
        <f>Database!ICG28</f>
        <v>0</v>
      </c>
      <c r="IBO4">
        <f>Database!ICH28</f>
        <v>0</v>
      </c>
      <c r="IBP4">
        <f>Database!ICI28</f>
        <v>0</v>
      </c>
      <c r="IBQ4">
        <f>Database!ICJ28</f>
        <v>0</v>
      </c>
      <c r="IBR4">
        <f>Database!ICK28</f>
        <v>0</v>
      </c>
      <c r="IBS4">
        <f>Database!ICL28</f>
        <v>0</v>
      </c>
      <c r="IBT4">
        <f>Database!ICM28</f>
        <v>0</v>
      </c>
      <c r="IBU4">
        <f>Database!ICN28</f>
        <v>0</v>
      </c>
      <c r="IBV4">
        <f>Database!ICO28</f>
        <v>0</v>
      </c>
      <c r="IBW4">
        <f>Database!ICP28</f>
        <v>0</v>
      </c>
      <c r="IBX4">
        <f>Database!ICQ28</f>
        <v>0</v>
      </c>
      <c r="IBY4">
        <f>Database!ICR28</f>
        <v>0</v>
      </c>
      <c r="IBZ4">
        <f>Database!ICS28</f>
        <v>0</v>
      </c>
      <c r="ICA4">
        <f>Database!ICT28</f>
        <v>0</v>
      </c>
      <c r="ICB4">
        <f>Database!ICU28</f>
        <v>0</v>
      </c>
      <c r="ICC4">
        <f>Database!ICV28</f>
        <v>0</v>
      </c>
      <c r="ICD4">
        <f>Database!ICW28</f>
        <v>0</v>
      </c>
      <c r="ICE4">
        <f>Database!ICX28</f>
        <v>0</v>
      </c>
      <c r="ICF4">
        <f>Database!ICY28</f>
        <v>0</v>
      </c>
      <c r="ICG4">
        <f>Database!ICZ28</f>
        <v>0</v>
      </c>
      <c r="ICH4">
        <f>Database!IDA28</f>
        <v>0</v>
      </c>
      <c r="ICI4">
        <f>Database!IDB28</f>
        <v>0</v>
      </c>
      <c r="ICJ4">
        <f>Database!IDC28</f>
        <v>0</v>
      </c>
      <c r="ICK4">
        <f>Database!IDD28</f>
        <v>0</v>
      </c>
      <c r="ICL4">
        <f>Database!IDE28</f>
        <v>0</v>
      </c>
      <c r="ICM4">
        <f>Database!IDF28</f>
        <v>0</v>
      </c>
      <c r="ICN4">
        <f>Database!IDG28</f>
        <v>0</v>
      </c>
      <c r="ICO4">
        <f>Database!IDH28</f>
        <v>0</v>
      </c>
      <c r="ICP4">
        <f>Database!IDI28</f>
        <v>0</v>
      </c>
      <c r="ICQ4">
        <f>Database!IDJ28</f>
        <v>0</v>
      </c>
      <c r="ICR4">
        <f>Database!IDK28</f>
        <v>0</v>
      </c>
      <c r="ICS4">
        <f>Database!IDL28</f>
        <v>0</v>
      </c>
      <c r="ICT4">
        <f>Database!IDM28</f>
        <v>0</v>
      </c>
      <c r="ICU4">
        <f>Database!IDN28</f>
        <v>0</v>
      </c>
      <c r="ICV4">
        <f>Database!IDO28</f>
        <v>0</v>
      </c>
      <c r="ICW4">
        <f>Database!IDP28</f>
        <v>0</v>
      </c>
      <c r="ICX4">
        <f>Database!IDQ28</f>
        <v>0</v>
      </c>
      <c r="ICY4">
        <f>Database!IDR28</f>
        <v>0</v>
      </c>
      <c r="ICZ4">
        <f>Database!IDS28</f>
        <v>0</v>
      </c>
      <c r="IDA4">
        <f>Database!IDT28</f>
        <v>0</v>
      </c>
      <c r="IDB4">
        <f>Database!IDU28</f>
        <v>0</v>
      </c>
      <c r="IDC4">
        <f>Database!IDV28</f>
        <v>0</v>
      </c>
      <c r="IDD4">
        <f>Database!IDW28</f>
        <v>0</v>
      </c>
      <c r="IDE4">
        <f>Database!IDX28</f>
        <v>0</v>
      </c>
      <c r="IDF4">
        <f>Database!IDY28</f>
        <v>0</v>
      </c>
      <c r="IDG4">
        <f>Database!IDZ28</f>
        <v>0</v>
      </c>
      <c r="IDH4">
        <f>Database!IEA28</f>
        <v>0</v>
      </c>
      <c r="IDI4">
        <f>Database!IEB28</f>
        <v>0</v>
      </c>
      <c r="IDJ4">
        <f>Database!IEC28</f>
        <v>0</v>
      </c>
      <c r="IDK4">
        <f>Database!IED28</f>
        <v>0</v>
      </c>
      <c r="IDL4">
        <f>Database!IEE28</f>
        <v>0</v>
      </c>
      <c r="IDM4">
        <f>Database!IEF28</f>
        <v>0</v>
      </c>
      <c r="IDN4">
        <f>Database!IEG28</f>
        <v>0</v>
      </c>
      <c r="IDO4">
        <f>Database!IEH28</f>
        <v>0</v>
      </c>
      <c r="IDP4">
        <f>Database!IEI28</f>
        <v>0</v>
      </c>
      <c r="IDQ4">
        <f>Database!IEJ28</f>
        <v>0</v>
      </c>
      <c r="IDR4">
        <f>Database!IEK28</f>
        <v>0</v>
      </c>
      <c r="IDS4">
        <f>Database!IEL28</f>
        <v>0</v>
      </c>
      <c r="IDT4">
        <f>Database!IEM28</f>
        <v>0</v>
      </c>
      <c r="IDU4">
        <f>Database!IEN28</f>
        <v>0</v>
      </c>
      <c r="IDV4">
        <f>Database!IEO28</f>
        <v>0</v>
      </c>
      <c r="IDW4">
        <f>Database!IEP28</f>
        <v>0</v>
      </c>
      <c r="IDX4">
        <f>Database!IEQ28</f>
        <v>0</v>
      </c>
      <c r="IDY4">
        <f>Database!IER28</f>
        <v>0</v>
      </c>
      <c r="IDZ4">
        <f>Database!IES28</f>
        <v>0</v>
      </c>
      <c r="IEA4">
        <f>Database!IET28</f>
        <v>0</v>
      </c>
      <c r="IEB4">
        <f>Database!IEU28</f>
        <v>0</v>
      </c>
      <c r="IEC4">
        <f>Database!IEV28</f>
        <v>0</v>
      </c>
      <c r="IED4">
        <f>Database!IEW28</f>
        <v>0</v>
      </c>
      <c r="IEE4">
        <f>Database!IEX28</f>
        <v>0</v>
      </c>
      <c r="IEF4">
        <f>Database!IEY28</f>
        <v>0</v>
      </c>
      <c r="IEG4">
        <f>Database!IEZ28</f>
        <v>0</v>
      </c>
      <c r="IEH4">
        <f>Database!IFA28</f>
        <v>0</v>
      </c>
      <c r="IEI4">
        <f>Database!IFB28</f>
        <v>0</v>
      </c>
      <c r="IEJ4">
        <f>Database!IFC28</f>
        <v>0</v>
      </c>
      <c r="IEK4">
        <f>Database!IFD28</f>
        <v>0</v>
      </c>
      <c r="IEL4">
        <f>Database!IFE28</f>
        <v>0</v>
      </c>
      <c r="IEM4">
        <f>Database!IFF28</f>
        <v>0</v>
      </c>
      <c r="IEN4">
        <f>Database!IFG28</f>
        <v>0</v>
      </c>
      <c r="IEO4">
        <f>Database!IFH28</f>
        <v>0</v>
      </c>
      <c r="IEP4">
        <f>Database!IFI28</f>
        <v>0</v>
      </c>
      <c r="IEQ4">
        <f>Database!IFJ28</f>
        <v>0</v>
      </c>
      <c r="IER4">
        <f>Database!IFK28</f>
        <v>0</v>
      </c>
      <c r="IES4">
        <f>Database!IFL28</f>
        <v>0</v>
      </c>
      <c r="IET4">
        <f>Database!IFM28</f>
        <v>0</v>
      </c>
      <c r="IEU4">
        <f>Database!IFN28</f>
        <v>0</v>
      </c>
      <c r="IEV4">
        <f>Database!IFO28</f>
        <v>0</v>
      </c>
      <c r="IEW4">
        <f>Database!IFP28</f>
        <v>0</v>
      </c>
      <c r="IEX4">
        <f>Database!IFQ28</f>
        <v>0</v>
      </c>
      <c r="IEY4">
        <f>Database!IFR28</f>
        <v>0</v>
      </c>
      <c r="IEZ4">
        <f>Database!IFS28</f>
        <v>0</v>
      </c>
      <c r="IFA4">
        <f>Database!IFT28</f>
        <v>0</v>
      </c>
      <c r="IFB4">
        <f>Database!IFU28</f>
        <v>0</v>
      </c>
      <c r="IFC4">
        <f>Database!IFV28</f>
        <v>0</v>
      </c>
      <c r="IFD4">
        <f>Database!IFW28</f>
        <v>0</v>
      </c>
      <c r="IFE4">
        <f>Database!IFX28</f>
        <v>0</v>
      </c>
      <c r="IFF4">
        <f>Database!IFY28</f>
        <v>0</v>
      </c>
      <c r="IFG4">
        <f>Database!IFZ28</f>
        <v>0</v>
      </c>
      <c r="IFH4">
        <f>Database!IGA28</f>
        <v>0</v>
      </c>
      <c r="IFI4">
        <f>Database!IGB28</f>
        <v>0</v>
      </c>
      <c r="IFJ4">
        <f>Database!IGC28</f>
        <v>0</v>
      </c>
      <c r="IFK4">
        <f>Database!IGD28</f>
        <v>0</v>
      </c>
      <c r="IFL4">
        <f>Database!IGE28</f>
        <v>0</v>
      </c>
      <c r="IFM4">
        <f>Database!IGF28</f>
        <v>0</v>
      </c>
      <c r="IFN4">
        <f>Database!IGG28</f>
        <v>0</v>
      </c>
      <c r="IFO4">
        <f>Database!IGH28</f>
        <v>0</v>
      </c>
      <c r="IFP4">
        <f>Database!IGI28</f>
        <v>0</v>
      </c>
      <c r="IFQ4">
        <f>Database!IGJ28</f>
        <v>0</v>
      </c>
      <c r="IFR4">
        <f>Database!IGK28</f>
        <v>0</v>
      </c>
      <c r="IFS4">
        <f>Database!IGL28</f>
        <v>0</v>
      </c>
      <c r="IFT4">
        <f>Database!IGM28</f>
        <v>0</v>
      </c>
      <c r="IFU4">
        <f>Database!IGN28</f>
        <v>0</v>
      </c>
      <c r="IFV4">
        <f>Database!IGO28</f>
        <v>0</v>
      </c>
      <c r="IFW4">
        <f>Database!IGP28</f>
        <v>0</v>
      </c>
      <c r="IFX4">
        <f>Database!IGQ28</f>
        <v>0</v>
      </c>
      <c r="IFY4">
        <f>Database!IGR28</f>
        <v>0</v>
      </c>
      <c r="IFZ4">
        <f>Database!IGS28</f>
        <v>0</v>
      </c>
      <c r="IGA4">
        <f>Database!IGT28</f>
        <v>0</v>
      </c>
      <c r="IGB4">
        <f>Database!IGU28</f>
        <v>0</v>
      </c>
      <c r="IGC4">
        <f>Database!IGV28</f>
        <v>0</v>
      </c>
      <c r="IGD4">
        <f>Database!IGW28</f>
        <v>0</v>
      </c>
      <c r="IGE4">
        <f>Database!IGX28</f>
        <v>0</v>
      </c>
      <c r="IGF4">
        <f>Database!IGY28</f>
        <v>0</v>
      </c>
      <c r="IGG4">
        <f>Database!IGZ28</f>
        <v>0</v>
      </c>
      <c r="IGH4">
        <f>Database!IHA28</f>
        <v>0</v>
      </c>
      <c r="IGI4">
        <f>Database!IHB28</f>
        <v>0</v>
      </c>
      <c r="IGJ4">
        <f>Database!IHC28</f>
        <v>0</v>
      </c>
      <c r="IGK4">
        <f>Database!IHD28</f>
        <v>0</v>
      </c>
      <c r="IGL4">
        <f>Database!IHE28</f>
        <v>0</v>
      </c>
      <c r="IGM4">
        <f>Database!IHF28</f>
        <v>0</v>
      </c>
      <c r="IGN4">
        <f>Database!IHG28</f>
        <v>0</v>
      </c>
      <c r="IGO4">
        <f>Database!IHH28</f>
        <v>0</v>
      </c>
      <c r="IGP4">
        <f>Database!IHI28</f>
        <v>0</v>
      </c>
      <c r="IGQ4">
        <f>Database!IHJ28</f>
        <v>0</v>
      </c>
      <c r="IGR4">
        <f>Database!IHK28</f>
        <v>0</v>
      </c>
      <c r="IGS4">
        <f>Database!IHL28</f>
        <v>0</v>
      </c>
      <c r="IGT4">
        <f>Database!IHM28</f>
        <v>0</v>
      </c>
      <c r="IGU4">
        <f>Database!IHN28</f>
        <v>0</v>
      </c>
      <c r="IGV4">
        <f>Database!IHO28</f>
        <v>0</v>
      </c>
      <c r="IGW4">
        <f>Database!IHP28</f>
        <v>0</v>
      </c>
      <c r="IGX4">
        <f>Database!IHQ28</f>
        <v>0</v>
      </c>
      <c r="IGY4">
        <f>Database!IHR28</f>
        <v>0</v>
      </c>
      <c r="IGZ4">
        <f>Database!IHS28</f>
        <v>0</v>
      </c>
      <c r="IHA4">
        <f>Database!IHT28</f>
        <v>0</v>
      </c>
      <c r="IHB4">
        <f>Database!IHU28</f>
        <v>0</v>
      </c>
      <c r="IHC4">
        <f>Database!IHV28</f>
        <v>0</v>
      </c>
      <c r="IHD4">
        <f>Database!IHW28</f>
        <v>0</v>
      </c>
      <c r="IHE4">
        <f>Database!IHX28</f>
        <v>0</v>
      </c>
      <c r="IHF4">
        <f>Database!IHY28</f>
        <v>0</v>
      </c>
      <c r="IHG4">
        <f>Database!IHZ28</f>
        <v>0</v>
      </c>
      <c r="IHH4">
        <f>Database!IIA28</f>
        <v>0</v>
      </c>
      <c r="IHI4">
        <f>Database!IIB28</f>
        <v>0</v>
      </c>
      <c r="IHJ4">
        <f>Database!IIC28</f>
        <v>0</v>
      </c>
      <c r="IHK4">
        <f>Database!IID28</f>
        <v>0</v>
      </c>
      <c r="IHL4">
        <f>Database!IIE28</f>
        <v>0</v>
      </c>
      <c r="IHM4">
        <f>Database!IIF28</f>
        <v>0</v>
      </c>
      <c r="IHN4">
        <f>Database!IIG28</f>
        <v>0</v>
      </c>
      <c r="IHO4">
        <f>Database!IIH28</f>
        <v>0</v>
      </c>
      <c r="IHP4">
        <f>Database!III28</f>
        <v>0</v>
      </c>
      <c r="IHQ4">
        <f>Database!IIJ28</f>
        <v>0</v>
      </c>
      <c r="IHR4">
        <f>Database!IIK28</f>
        <v>0</v>
      </c>
      <c r="IHS4">
        <f>Database!IIL28</f>
        <v>0</v>
      </c>
      <c r="IHT4">
        <f>Database!IIM28</f>
        <v>0</v>
      </c>
      <c r="IHU4">
        <f>Database!IIN28</f>
        <v>0</v>
      </c>
      <c r="IHV4">
        <f>Database!IIO28</f>
        <v>0</v>
      </c>
      <c r="IHW4">
        <f>Database!IIP28</f>
        <v>0</v>
      </c>
      <c r="IHX4">
        <f>Database!IIQ28</f>
        <v>0</v>
      </c>
      <c r="IHY4">
        <f>Database!IIR28</f>
        <v>0</v>
      </c>
      <c r="IHZ4">
        <f>Database!IIS28</f>
        <v>0</v>
      </c>
      <c r="IIA4">
        <f>Database!IIT28</f>
        <v>0</v>
      </c>
      <c r="IIB4">
        <f>Database!IIU28</f>
        <v>0</v>
      </c>
      <c r="IIC4">
        <f>Database!IIV28</f>
        <v>0</v>
      </c>
      <c r="IID4">
        <f>Database!IIW28</f>
        <v>0</v>
      </c>
      <c r="IIE4">
        <f>Database!IIX28</f>
        <v>0</v>
      </c>
      <c r="IIF4">
        <f>Database!IIY28</f>
        <v>0</v>
      </c>
      <c r="IIG4">
        <f>Database!IIZ28</f>
        <v>0</v>
      </c>
      <c r="IIH4">
        <f>Database!IJA28</f>
        <v>0</v>
      </c>
      <c r="III4">
        <f>Database!IJB28</f>
        <v>0</v>
      </c>
      <c r="IIJ4">
        <f>Database!IJC28</f>
        <v>0</v>
      </c>
      <c r="IIK4">
        <f>Database!IJD28</f>
        <v>0</v>
      </c>
      <c r="IIL4">
        <f>Database!IJE28</f>
        <v>0</v>
      </c>
      <c r="IIM4">
        <f>Database!IJF28</f>
        <v>0</v>
      </c>
      <c r="IIN4">
        <f>Database!IJG28</f>
        <v>0</v>
      </c>
      <c r="IIO4">
        <f>Database!IJH28</f>
        <v>0</v>
      </c>
      <c r="IIP4">
        <f>Database!IJI28</f>
        <v>0</v>
      </c>
      <c r="IIQ4">
        <f>Database!IJJ28</f>
        <v>0</v>
      </c>
      <c r="IIR4">
        <f>Database!IJK28</f>
        <v>0</v>
      </c>
      <c r="IIS4">
        <f>Database!IJL28</f>
        <v>0</v>
      </c>
      <c r="IIT4">
        <f>Database!IJM28</f>
        <v>0</v>
      </c>
      <c r="IIU4">
        <f>Database!IJN28</f>
        <v>0</v>
      </c>
      <c r="IIV4">
        <f>Database!IJO28</f>
        <v>0</v>
      </c>
      <c r="IIW4">
        <f>Database!IJP28</f>
        <v>0</v>
      </c>
      <c r="IIX4">
        <f>Database!IJQ28</f>
        <v>0</v>
      </c>
      <c r="IIY4">
        <f>Database!IJR28</f>
        <v>0</v>
      </c>
      <c r="IIZ4">
        <f>Database!IJS28</f>
        <v>0</v>
      </c>
      <c r="IJA4">
        <f>Database!IJT28</f>
        <v>0</v>
      </c>
      <c r="IJB4">
        <f>Database!IJU28</f>
        <v>0</v>
      </c>
      <c r="IJC4">
        <f>Database!IJV28</f>
        <v>0</v>
      </c>
      <c r="IJD4">
        <f>Database!IJW28</f>
        <v>0</v>
      </c>
      <c r="IJE4">
        <f>Database!IJX28</f>
        <v>0</v>
      </c>
      <c r="IJF4">
        <f>Database!IJY28</f>
        <v>0</v>
      </c>
      <c r="IJG4">
        <f>Database!IJZ28</f>
        <v>0</v>
      </c>
      <c r="IJH4">
        <f>Database!IKA28</f>
        <v>0</v>
      </c>
      <c r="IJI4">
        <f>Database!IKB28</f>
        <v>0</v>
      </c>
      <c r="IJJ4">
        <f>Database!IKC28</f>
        <v>0</v>
      </c>
      <c r="IJK4">
        <f>Database!IKD28</f>
        <v>0</v>
      </c>
      <c r="IJL4">
        <f>Database!IKE28</f>
        <v>0</v>
      </c>
      <c r="IJM4">
        <f>Database!IKF28</f>
        <v>0</v>
      </c>
      <c r="IJN4">
        <f>Database!IKG28</f>
        <v>0</v>
      </c>
      <c r="IJO4">
        <f>Database!IKH28</f>
        <v>0</v>
      </c>
      <c r="IJP4">
        <f>Database!IKI28</f>
        <v>0</v>
      </c>
      <c r="IJQ4">
        <f>Database!IKJ28</f>
        <v>0</v>
      </c>
      <c r="IJR4">
        <f>Database!IKK28</f>
        <v>0</v>
      </c>
      <c r="IJS4">
        <f>Database!IKL28</f>
        <v>0</v>
      </c>
      <c r="IJT4">
        <f>Database!IKM28</f>
        <v>0</v>
      </c>
      <c r="IJU4">
        <f>Database!IKN28</f>
        <v>0</v>
      </c>
      <c r="IJV4">
        <f>Database!IKO28</f>
        <v>0</v>
      </c>
      <c r="IJW4">
        <f>Database!IKP28</f>
        <v>0</v>
      </c>
      <c r="IJX4">
        <f>Database!IKQ28</f>
        <v>0</v>
      </c>
      <c r="IJY4">
        <f>Database!IKR28</f>
        <v>0</v>
      </c>
      <c r="IJZ4">
        <f>Database!IKS28</f>
        <v>0</v>
      </c>
      <c r="IKA4">
        <f>Database!IKT28</f>
        <v>0</v>
      </c>
      <c r="IKB4">
        <f>Database!IKU28</f>
        <v>0</v>
      </c>
      <c r="IKC4">
        <f>Database!IKV28</f>
        <v>0</v>
      </c>
      <c r="IKD4">
        <f>Database!IKW28</f>
        <v>0</v>
      </c>
      <c r="IKE4">
        <f>Database!IKX28</f>
        <v>0</v>
      </c>
      <c r="IKF4">
        <f>Database!IKY28</f>
        <v>0</v>
      </c>
      <c r="IKG4">
        <f>Database!IKZ28</f>
        <v>0</v>
      </c>
      <c r="IKH4">
        <f>Database!ILA28</f>
        <v>0</v>
      </c>
      <c r="IKI4">
        <f>Database!ILB28</f>
        <v>0</v>
      </c>
      <c r="IKJ4">
        <f>Database!ILC28</f>
        <v>0</v>
      </c>
      <c r="IKK4">
        <f>Database!ILD28</f>
        <v>0</v>
      </c>
      <c r="IKL4">
        <f>Database!ILE28</f>
        <v>0</v>
      </c>
      <c r="IKM4">
        <f>Database!ILF28</f>
        <v>0</v>
      </c>
      <c r="IKN4">
        <f>Database!ILG28</f>
        <v>0</v>
      </c>
      <c r="IKO4">
        <f>Database!ILH28</f>
        <v>0</v>
      </c>
      <c r="IKP4">
        <f>Database!ILI28</f>
        <v>0</v>
      </c>
      <c r="IKQ4">
        <f>Database!ILJ28</f>
        <v>0</v>
      </c>
      <c r="IKR4">
        <f>Database!ILK28</f>
        <v>0</v>
      </c>
      <c r="IKS4">
        <f>Database!ILL28</f>
        <v>0</v>
      </c>
      <c r="IKT4">
        <f>Database!ILM28</f>
        <v>0</v>
      </c>
      <c r="IKU4">
        <f>Database!ILN28</f>
        <v>0</v>
      </c>
      <c r="IKV4">
        <f>Database!ILO28</f>
        <v>0</v>
      </c>
      <c r="IKW4">
        <f>Database!ILP28</f>
        <v>0</v>
      </c>
      <c r="IKX4">
        <f>Database!ILQ28</f>
        <v>0</v>
      </c>
      <c r="IKY4">
        <f>Database!ILR28</f>
        <v>0</v>
      </c>
      <c r="IKZ4">
        <f>Database!ILS28</f>
        <v>0</v>
      </c>
      <c r="ILA4">
        <f>Database!ILT28</f>
        <v>0</v>
      </c>
      <c r="ILB4">
        <f>Database!ILU28</f>
        <v>0</v>
      </c>
      <c r="ILC4">
        <f>Database!ILV28</f>
        <v>0</v>
      </c>
      <c r="ILD4">
        <f>Database!ILW28</f>
        <v>0</v>
      </c>
      <c r="ILE4">
        <f>Database!ILX28</f>
        <v>0</v>
      </c>
      <c r="ILF4">
        <f>Database!ILY28</f>
        <v>0</v>
      </c>
      <c r="ILG4">
        <f>Database!ILZ28</f>
        <v>0</v>
      </c>
      <c r="ILH4">
        <f>Database!IMA28</f>
        <v>0</v>
      </c>
      <c r="ILI4">
        <f>Database!IMB28</f>
        <v>0</v>
      </c>
      <c r="ILJ4">
        <f>Database!IMC28</f>
        <v>0</v>
      </c>
      <c r="ILK4">
        <f>Database!IMD28</f>
        <v>0</v>
      </c>
      <c r="ILL4">
        <f>Database!IME28</f>
        <v>0</v>
      </c>
      <c r="ILM4">
        <f>Database!IMF28</f>
        <v>0</v>
      </c>
      <c r="ILN4">
        <f>Database!IMG28</f>
        <v>0</v>
      </c>
      <c r="ILO4">
        <f>Database!IMH28</f>
        <v>0</v>
      </c>
      <c r="ILP4">
        <f>Database!IMI28</f>
        <v>0</v>
      </c>
      <c r="ILQ4">
        <f>Database!IMJ28</f>
        <v>0</v>
      </c>
      <c r="ILR4">
        <f>Database!IMK28</f>
        <v>0</v>
      </c>
      <c r="ILS4">
        <f>Database!IML28</f>
        <v>0</v>
      </c>
      <c r="ILT4">
        <f>Database!IMM28</f>
        <v>0</v>
      </c>
      <c r="ILU4">
        <f>Database!IMN28</f>
        <v>0</v>
      </c>
      <c r="ILV4">
        <f>Database!IMO28</f>
        <v>0</v>
      </c>
      <c r="ILW4">
        <f>Database!IMP28</f>
        <v>0</v>
      </c>
      <c r="ILX4">
        <f>Database!IMQ28</f>
        <v>0</v>
      </c>
      <c r="ILY4">
        <f>Database!IMR28</f>
        <v>0</v>
      </c>
      <c r="ILZ4">
        <f>Database!IMS28</f>
        <v>0</v>
      </c>
      <c r="IMA4">
        <f>Database!IMT28</f>
        <v>0</v>
      </c>
      <c r="IMB4">
        <f>Database!IMU28</f>
        <v>0</v>
      </c>
      <c r="IMC4">
        <f>Database!IMV28</f>
        <v>0</v>
      </c>
      <c r="IMD4">
        <f>Database!IMW28</f>
        <v>0</v>
      </c>
      <c r="IME4">
        <f>Database!IMX28</f>
        <v>0</v>
      </c>
      <c r="IMF4">
        <f>Database!IMY28</f>
        <v>0</v>
      </c>
      <c r="IMG4">
        <f>Database!IMZ28</f>
        <v>0</v>
      </c>
      <c r="IMH4">
        <f>Database!INA28</f>
        <v>0</v>
      </c>
      <c r="IMI4">
        <f>Database!INB28</f>
        <v>0</v>
      </c>
      <c r="IMJ4">
        <f>Database!INC28</f>
        <v>0</v>
      </c>
      <c r="IMK4">
        <f>Database!IND28</f>
        <v>0</v>
      </c>
      <c r="IML4">
        <f>Database!INE28</f>
        <v>0</v>
      </c>
      <c r="IMM4">
        <f>Database!INF28</f>
        <v>0</v>
      </c>
      <c r="IMN4">
        <f>Database!ING28</f>
        <v>0</v>
      </c>
      <c r="IMO4">
        <f>Database!INH28</f>
        <v>0</v>
      </c>
      <c r="IMP4">
        <f>Database!INI28</f>
        <v>0</v>
      </c>
      <c r="IMQ4">
        <f>Database!INJ28</f>
        <v>0</v>
      </c>
      <c r="IMR4">
        <f>Database!INK28</f>
        <v>0</v>
      </c>
      <c r="IMS4">
        <f>Database!INL28</f>
        <v>0</v>
      </c>
      <c r="IMT4">
        <f>Database!INM28</f>
        <v>0</v>
      </c>
      <c r="IMU4">
        <f>Database!INN28</f>
        <v>0</v>
      </c>
      <c r="IMV4">
        <f>Database!INO28</f>
        <v>0</v>
      </c>
      <c r="IMW4">
        <f>Database!INP28</f>
        <v>0</v>
      </c>
      <c r="IMX4">
        <f>Database!INQ28</f>
        <v>0</v>
      </c>
      <c r="IMY4">
        <f>Database!INR28</f>
        <v>0</v>
      </c>
      <c r="IMZ4">
        <f>Database!INS28</f>
        <v>0</v>
      </c>
      <c r="INA4">
        <f>Database!INT28</f>
        <v>0</v>
      </c>
      <c r="INB4">
        <f>Database!INU28</f>
        <v>0</v>
      </c>
      <c r="INC4">
        <f>Database!INV28</f>
        <v>0</v>
      </c>
      <c r="IND4">
        <f>Database!INW28</f>
        <v>0</v>
      </c>
      <c r="INE4">
        <f>Database!INX28</f>
        <v>0</v>
      </c>
      <c r="INF4">
        <f>Database!INY28</f>
        <v>0</v>
      </c>
      <c r="ING4">
        <f>Database!INZ28</f>
        <v>0</v>
      </c>
      <c r="INH4">
        <f>Database!IOA28</f>
        <v>0</v>
      </c>
      <c r="INI4">
        <f>Database!IOB28</f>
        <v>0</v>
      </c>
      <c r="INJ4">
        <f>Database!IOC28</f>
        <v>0</v>
      </c>
      <c r="INK4">
        <f>Database!IOD28</f>
        <v>0</v>
      </c>
      <c r="INL4">
        <f>Database!IOE28</f>
        <v>0</v>
      </c>
      <c r="INM4">
        <f>Database!IOF28</f>
        <v>0</v>
      </c>
      <c r="INN4">
        <f>Database!IOG28</f>
        <v>0</v>
      </c>
      <c r="INO4">
        <f>Database!IOH28</f>
        <v>0</v>
      </c>
      <c r="INP4">
        <f>Database!IOI28</f>
        <v>0</v>
      </c>
      <c r="INQ4">
        <f>Database!IOJ28</f>
        <v>0</v>
      </c>
      <c r="INR4">
        <f>Database!IOK28</f>
        <v>0</v>
      </c>
      <c r="INS4">
        <f>Database!IOL28</f>
        <v>0</v>
      </c>
      <c r="INT4">
        <f>Database!IOM28</f>
        <v>0</v>
      </c>
      <c r="INU4">
        <f>Database!ION28</f>
        <v>0</v>
      </c>
      <c r="INV4">
        <f>Database!IOO28</f>
        <v>0</v>
      </c>
      <c r="INW4">
        <f>Database!IOP28</f>
        <v>0</v>
      </c>
      <c r="INX4">
        <f>Database!IOQ28</f>
        <v>0</v>
      </c>
      <c r="INY4">
        <f>Database!IOR28</f>
        <v>0</v>
      </c>
      <c r="INZ4">
        <f>Database!IOS28</f>
        <v>0</v>
      </c>
      <c r="IOA4">
        <f>Database!IOT28</f>
        <v>0</v>
      </c>
      <c r="IOB4">
        <f>Database!IOU28</f>
        <v>0</v>
      </c>
      <c r="IOC4">
        <f>Database!IOV28</f>
        <v>0</v>
      </c>
      <c r="IOD4">
        <f>Database!IOW28</f>
        <v>0</v>
      </c>
      <c r="IOE4">
        <f>Database!IOX28</f>
        <v>0</v>
      </c>
      <c r="IOF4">
        <f>Database!IOY28</f>
        <v>0</v>
      </c>
      <c r="IOG4">
        <f>Database!IOZ28</f>
        <v>0</v>
      </c>
      <c r="IOH4">
        <f>Database!IPA28</f>
        <v>0</v>
      </c>
      <c r="IOI4">
        <f>Database!IPB28</f>
        <v>0</v>
      </c>
      <c r="IOJ4">
        <f>Database!IPC28</f>
        <v>0</v>
      </c>
      <c r="IOK4">
        <f>Database!IPD28</f>
        <v>0</v>
      </c>
      <c r="IOL4">
        <f>Database!IPE28</f>
        <v>0</v>
      </c>
      <c r="IOM4">
        <f>Database!IPF28</f>
        <v>0</v>
      </c>
      <c r="ION4">
        <f>Database!IPG28</f>
        <v>0</v>
      </c>
      <c r="IOO4">
        <f>Database!IPH28</f>
        <v>0</v>
      </c>
      <c r="IOP4">
        <f>Database!IPI28</f>
        <v>0</v>
      </c>
      <c r="IOQ4">
        <f>Database!IPJ28</f>
        <v>0</v>
      </c>
      <c r="IOR4">
        <f>Database!IPK28</f>
        <v>0</v>
      </c>
      <c r="IOS4">
        <f>Database!IPL28</f>
        <v>0</v>
      </c>
      <c r="IOT4">
        <f>Database!IPM28</f>
        <v>0</v>
      </c>
      <c r="IOU4">
        <f>Database!IPN28</f>
        <v>0</v>
      </c>
      <c r="IOV4">
        <f>Database!IPO28</f>
        <v>0</v>
      </c>
      <c r="IOW4">
        <f>Database!IPP28</f>
        <v>0</v>
      </c>
      <c r="IOX4">
        <f>Database!IPQ28</f>
        <v>0</v>
      </c>
      <c r="IOY4">
        <f>Database!IPR28</f>
        <v>0</v>
      </c>
      <c r="IOZ4">
        <f>Database!IPS28</f>
        <v>0</v>
      </c>
      <c r="IPA4">
        <f>Database!IPT28</f>
        <v>0</v>
      </c>
      <c r="IPB4">
        <f>Database!IPU28</f>
        <v>0</v>
      </c>
      <c r="IPC4">
        <f>Database!IPV28</f>
        <v>0</v>
      </c>
      <c r="IPD4">
        <f>Database!IPW28</f>
        <v>0</v>
      </c>
      <c r="IPE4">
        <f>Database!IPX28</f>
        <v>0</v>
      </c>
      <c r="IPF4">
        <f>Database!IPY28</f>
        <v>0</v>
      </c>
      <c r="IPG4">
        <f>Database!IPZ28</f>
        <v>0</v>
      </c>
      <c r="IPH4">
        <f>Database!IQA28</f>
        <v>0</v>
      </c>
      <c r="IPI4">
        <f>Database!IQB28</f>
        <v>0</v>
      </c>
      <c r="IPJ4">
        <f>Database!IQC28</f>
        <v>0</v>
      </c>
      <c r="IPK4">
        <f>Database!IQD28</f>
        <v>0</v>
      </c>
      <c r="IPL4">
        <f>Database!IQE28</f>
        <v>0</v>
      </c>
      <c r="IPM4">
        <f>Database!IQF28</f>
        <v>0</v>
      </c>
      <c r="IPN4">
        <f>Database!IQG28</f>
        <v>0</v>
      </c>
      <c r="IPO4">
        <f>Database!IQH28</f>
        <v>0</v>
      </c>
      <c r="IPP4">
        <f>Database!IQI28</f>
        <v>0</v>
      </c>
      <c r="IPQ4">
        <f>Database!IQJ28</f>
        <v>0</v>
      </c>
      <c r="IPR4">
        <f>Database!IQK28</f>
        <v>0</v>
      </c>
      <c r="IPS4">
        <f>Database!IQL28</f>
        <v>0</v>
      </c>
      <c r="IPT4">
        <f>Database!IQM28</f>
        <v>0</v>
      </c>
      <c r="IPU4">
        <f>Database!IQN28</f>
        <v>0</v>
      </c>
      <c r="IPV4">
        <f>Database!IQO28</f>
        <v>0</v>
      </c>
      <c r="IPW4">
        <f>Database!IQP28</f>
        <v>0</v>
      </c>
      <c r="IPX4">
        <f>Database!IQQ28</f>
        <v>0</v>
      </c>
      <c r="IPY4">
        <f>Database!IQR28</f>
        <v>0</v>
      </c>
      <c r="IPZ4">
        <f>Database!IQS28</f>
        <v>0</v>
      </c>
      <c r="IQA4">
        <f>Database!IQT28</f>
        <v>0</v>
      </c>
      <c r="IQB4">
        <f>Database!IQU28</f>
        <v>0</v>
      </c>
      <c r="IQC4">
        <f>Database!IQV28</f>
        <v>0</v>
      </c>
      <c r="IQD4">
        <f>Database!IQW28</f>
        <v>0</v>
      </c>
      <c r="IQE4">
        <f>Database!IQX28</f>
        <v>0</v>
      </c>
      <c r="IQF4">
        <f>Database!IQY28</f>
        <v>0</v>
      </c>
      <c r="IQG4">
        <f>Database!IQZ28</f>
        <v>0</v>
      </c>
      <c r="IQH4">
        <f>Database!IRA28</f>
        <v>0</v>
      </c>
      <c r="IQI4">
        <f>Database!IRB28</f>
        <v>0</v>
      </c>
      <c r="IQJ4">
        <f>Database!IRC28</f>
        <v>0</v>
      </c>
      <c r="IQK4">
        <f>Database!IRD28</f>
        <v>0</v>
      </c>
      <c r="IQL4">
        <f>Database!IRE28</f>
        <v>0</v>
      </c>
      <c r="IQM4">
        <f>Database!IRF28</f>
        <v>0</v>
      </c>
      <c r="IQN4">
        <f>Database!IRG28</f>
        <v>0</v>
      </c>
      <c r="IQO4">
        <f>Database!IRH28</f>
        <v>0</v>
      </c>
      <c r="IQP4">
        <f>Database!IRI28</f>
        <v>0</v>
      </c>
      <c r="IQQ4">
        <f>Database!IRJ28</f>
        <v>0</v>
      </c>
      <c r="IQR4">
        <f>Database!IRK28</f>
        <v>0</v>
      </c>
      <c r="IQS4">
        <f>Database!IRL28</f>
        <v>0</v>
      </c>
      <c r="IQT4">
        <f>Database!IRM28</f>
        <v>0</v>
      </c>
      <c r="IQU4">
        <f>Database!IRN28</f>
        <v>0</v>
      </c>
      <c r="IQV4">
        <f>Database!IRO28</f>
        <v>0</v>
      </c>
      <c r="IQW4">
        <f>Database!IRP28</f>
        <v>0</v>
      </c>
      <c r="IQX4">
        <f>Database!IRQ28</f>
        <v>0</v>
      </c>
      <c r="IQY4">
        <f>Database!IRR28</f>
        <v>0</v>
      </c>
      <c r="IQZ4">
        <f>Database!IRS28</f>
        <v>0</v>
      </c>
      <c r="IRA4">
        <f>Database!IRT28</f>
        <v>0</v>
      </c>
      <c r="IRB4">
        <f>Database!IRU28</f>
        <v>0</v>
      </c>
      <c r="IRC4">
        <f>Database!IRV28</f>
        <v>0</v>
      </c>
      <c r="IRD4">
        <f>Database!IRW28</f>
        <v>0</v>
      </c>
      <c r="IRE4">
        <f>Database!IRX28</f>
        <v>0</v>
      </c>
      <c r="IRF4">
        <f>Database!IRY28</f>
        <v>0</v>
      </c>
      <c r="IRG4">
        <f>Database!IRZ28</f>
        <v>0</v>
      </c>
      <c r="IRH4">
        <f>Database!ISA28</f>
        <v>0</v>
      </c>
      <c r="IRI4">
        <f>Database!ISB28</f>
        <v>0</v>
      </c>
      <c r="IRJ4">
        <f>Database!ISC28</f>
        <v>0</v>
      </c>
      <c r="IRK4">
        <f>Database!ISD28</f>
        <v>0</v>
      </c>
      <c r="IRL4">
        <f>Database!ISE28</f>
        <v>0</v>
      </c>
      <c r="IRM4">
        <f>Database!ISF28</f>
        <v>0</v>
      </c>
      <c r="IRN4">
        <f>Database!ISG28</f>
        <v>0</v>
      </c>
      <c r="IRO4">
        <f>Database!ISH28</f>
        <v>0</v>
      </c>
      <c r="IRP4">
        <f>Database!ISI28</f>
        <v>0</v>
      </c>
      <c r="IRQ4">
        <f>Database!ISJ28</f>
        <v>0</v>
      </c>
      <c r="IRR4">
        <f>Database!ISK28</f>
        <v>0</v>
      </c>
      <c r="IRS4">
        <f>Database!ISL28</f>
        <v>0</v>
      </c>
      <c r="IRT4">
        <f>Database!ISM28</f>
        <v>0</v>
      </c>
      <c r="IRU4">
        <f>Database!ISN28</f>
        <v>0</v>
      </c>
      <c r="IRV4">
        <f>Database!ISO28</f>
        <v>0</v>
      </c>
      <c r="IRW4">
        <f>Database!ISP28</f>
        <v>0</v>
      </c>
      <c r="IRX4">
        <f>Database!ISQ28</f>
        <v>0</v>
      </c>
      <c r="IRY4">
        <f>Database!ISR28</f>
        <v>0</v>
      </c>
      <c r="IRZ4">
        <f>Database!ISS28</f>
        <v>0</v>
      </c>
      <c r="ISA4">
        <f>Database!IST28</f>
        <v>0</v>
      </c>
      <c r="ISB4">
        <f>Database!ISU28</f>
        <v>0</v>
      </c>
      <c r="ISC4">
        <f>Database!ISV28</f>
        <v>0</v>
      </c>
      <c r="ISD4">
        <f>Database!ISW28</f>
        <v>0</v>
      </c>
      <c r="ISE4">
        <f>Database!ISX28</f>
        <v>0</v>
      </c>
      <c r="ISF4">
        <f>Database!ISY28</f>
        <v>0</v>
      </c>
      <c r="ISG4">
        <f>Database!ISZ28</f>
        <v>0</v>
      </c>
      <c r="ISH4">
        <f>Database!ITA28</f>
        <v>0</v>
      </c>
      <c r="ISI4">
        <f>Database!ITB28</f>
        <v>0</v>
      </c>
      <c r="ISJ4">
        <f>Database!ITC28</f>
        <v>0</v>
      </c>
      <c r="ISK4">
        <f>Database!ITD28</f>
        <v>0</v>
      </c>
      <c r="ISL4">
        <f>Database!ITE28</f>
        <v>0</v>
      </c>
      <c r="ISM4">
        <f>Database!ITF28</f>
        <v>0</v>
      </c>
      <c r="ISN4">
        <f>Database!ITG28</f>
        <v>0</v>
      </c>
      <c r="ISO4">
        <f>Database!ITH28</f>
        <v>0</v>
      </c>
      <c r="ISP4">
        <f>Database!ITI28</f>
        <v>0</v>
      </c>
      <c r="ISQ4">
        <f>Database!ITJ28</f>
        <v>0</v>
      </c>
      <c r="ISR4">
        <f>Database!ITK28</f>
        <v>0</v>
      </c>
      <c r="ISS4">
        <f>Database!ITL28</f>
        <v>0</v>
      </c>
      <c r="IST4">
        <f>Database!ITM28</f>
        <v>0</v>
      </c>
      <c r="ISU4">
        <f>Database!ITN28</f>
        <v>0</v>
      </c>
      <c r="ISV4">
        <f>Database!ITO28</f>
        <v>0</v>
      </c>
      <c r="ISW4">
        <f>Database!ITP28</f>
        <v>0</v>
      </c>
      <c r="ISX4">
        <f>Database!ITQ28</f>
        <v>0</v>
      </c>
      <c r="ISY4">
        <f>Database!ITR28</f>
        <v>0</v>
      </c>
      <c r="ISZ4">
        <f>Database!ITS28</f>
        <v>0</v>
      </c>
      <c r="ITA4">
        <f>Database!ITT28</f>
        <v>0</v>
      </c>
      <c r="ITB4">
        <f>Database!ITU28</f>
        <v>0</v>
      </c>
      <c r="ITC4">
        <f>Database!ITV28</f>
        <v>0</v>
      </c>
      <c r="ITD4">
        <f>Database!ITW28</f>
        <v>0</v>
      </c>
      <c r="ITE4">
        <f>Database!ITX28</f>
        <v>0</v>
      </c>
      <c r="ITF4">
        <f>Database!ITY28</f>
        <v>0</v>
      </c>
      <c r="ITG4">
        <f>Database!ITZ28</f>
        <v>0</v>
      </c>
      <c r="ITH4">
        <f>Database!IUA28</f>
        <v>0</v>
      </c>
      <c r="ITI4">
        <f>Database!IUB28</f>
        <v>0</v>
      </c>
      <c r="ITJ4">
        <f>Database!IUC28</f>
        <v>0</v>
      </c>
      <c r="ITK4">
        <f>Database!IUD28</f>
        <v>0</v>
      </c>
      <c r="ITL4">
        <f>Database!IUE28</f>
        <v>0</v>
      </c>
      <c r="ITM4">
        <f>Database!IUF28</f>
        <v>0</v>
      </c>
      <c r="ITN4">
        <f>Database!IUG28</f>
        <v>0</v>
      </c>
      <c r="ITO4">
        <f>Database!IUH28</f>
        <v>0</v>
      </c>
      <c r="ITP4">
        <f>Database!IUI28</f>
        <v>0</v>
      </c>
      <c r="ITQ4">
        <f>Database!IUJ28</f>
        <v>0</v>
      </c>
      <c r="ITR4">
        <f>Database!IUK28</f>
        <v>0</v>
      </c>
      <c r="ITS4">
        <f>Database!IUL28</f>
        <v>0</v>
      </c>
      <c r="ITT4">
        <f>Database!IUM28</f>
        <v>0</v>
      </c>
      <c r="ITU4">
        <f>Database!IUN28</f>
        <v>0</v>
      </c>
      <c r="ITV4">
        <f>Database!IUO28</f>
        <v>0</v>
      </c>
      <c r="ITW4">
        <f>Database!IUP28</f>
        <v>0</v>
      </c>
      <c r="ITX4">
        <f>Database!IUQ28</f>
        <v>0</v>
      </c>
      <c r="ITY4">
        <f>Database!IUR28</f>
        <v>0</v>
      </c>
      <c r="ITZ4">
        <f>Database!IUS28</f>
        <v>0</v>
      </c>
      <c r="IUA4">
        <f>Database!IUT28</f>
        <v>0</v>
      </c>
      <c r="IUB4">
        <f>Database!IUU28</f>
        <v>0</v>
      </c>
      <c r="IUC4">
        <f>Database!IUV28</f>
        <v>0</v>
      </c>
      <c r="IUD4">
        <f>Database!IUW28</f>
        <v>0</v>
      </c>
      <c r="IUE4">
        <f>Database!IUX28</f>
        <v>0</v>
      </c>
      <c r="IUF4">
        <f>Database!IUY28</f>
        <v>0</v>
      </c>
      <c r="IUG4">
        <f>Database!IUZ28</f>
        <v>0</v>
      </c>
      <c r="IUH4">
        <f>Database!IVA28</f>
        <v>0</v>
      </c>
      <c r="IUI4">
        <f>Database!IVB28</f>
        <v>0</v>
      </c>
      <c r="IUJ4">
        <f>Database!IVC28</f>
        <v>0</v>
      </c>
      <c r="IUK4">
        <f>Database!IVD28</f>
        <v>0</v>
      </c>
      <c r="IUL4">
        <f>Database!IVE28</f>
        <v>0</v>
      </c>
      <c r="IUM4">
        <f>Database!IVF28</f>
        <v>0</v>
      </c>
      <c r="IUN4">
        <f>Database!IVG28</f>
        <v>0</v>
      </c>
      <c r="IUO4">
        <f>Database!IVH28</f>
        <v>0</v>
      </c>
      <c r="IUP4">
        <f>Database!IVI28</f>
        <v>0</v>
      </c>
      <c r="IUQ4">
        <f>Database!IVJ28</f>
        <v>0</v>
      </c>
      <c r="IUR4">
        <f>Database!IVK28</f>
        <v>0</v>
      </c>
      <c r="IUS4">
        <f>Database!IVL28</f>
        <v>0</v>
      </c>
      <c r="IUT4">
        <f>Database!IVM28</f>
        <v>0</v>
      </c>
      <c r="IUU4">
        <f>Database!IVN28</f>
        <v>0</v>
      </c>
      <c r="IUV4">
        <f>Database!IVO28</f>
        <v>0</v>
      </c>
      <c r="IUW4">
        <f>Database!IVP28</f>
        <v>0</v>
      </c>
      <c r="IUX4">
        <f>Database!IVQ28</f>
        <v>0</v>
      </c>
      <c r="IUY4">
        <f>Database!IVR28</f>
        <v>0</v>
      </c>
      <c r="IUZ4">
        <f>Database!IVS28</f>
        <v>0</v>
      </c>
      <c r="IVA4">
        <f>Database!IVT28</f>
        <v>0</v>
      </c>
      <c r="IVB4">
        <f>Database!IVU28</f>
        <v>0</v>
      </c>
      <c r="IVC4">
        <f>Database!IVV28</f>
        <v>0</v>
      </c>
      <c r="IVD4">
        <f>Database!IVW28</f>
        <v>0</v>
      </c>
      <c r="IVE4">
        <f>Database!IVX28</f>
        <v>0</v>
      </c>
      <c r="IVF4">
        <f>Database!IVY28</f>
        <v>0</v>
      </c>
      <c r="IVG4">
        <f>Database!IVZ28</f>
        <v>0</v>
      </c>
      <c r="IVH4">
        <f>Database!IWA28</f>
        <v>0</v>
      </c>
      <c r="IVI4">
        <f>Database!IWB28</f>
        <v>0</v>
      </c>
      <c r="IVJ4">
        <f>Database!IWC28</f>
        <v>0</v>
      </c>
      <c r="IVK4">
        <f>Database!IWD28</f>
        <v>0</v>
      </c>
      <c r="IVL4">
        <f>Database!IWE28</f>
        <v>0</v>
      </c>
      <c r="IVM4">
        <f>Database!IWF28</f>
        <v>0</v>
      </c>
      <c r="IVN4">
        <f>Database!IWG28</f>
        <v>0</v>
      </c>
      <c r="IVO4">
        <f>Database!IWH28</f>
        <v>0</v>
      </c>
      <c r="IVP4">
        <f>Database!IWI28</f>
        <v>0</v>
      </c>
      <c r="IVQ4">
        <f>Database!IWJ28</f>
        <v>0</v>
      </c>
      <c r="IVR4">
        <f>Database!IWK28</f>
        <v>0</v>
      </c>
      <c r="IVS4">
        <f>Database!IWL28</f>
        <v>0</v>
      </c>
      <c r="IVT4">
        <f>Database!IWM28</f>
        <v>0</v>
      </c>
      <c r="IVU4">
        <f>Database!IWN28</f>
        <v>0</v>
      </c>
      <c r="IVV4">
        <f>Database!IWO28</f>
        <v>0</v>
      </c>
      <c r="IVW4">
        <f>Database!IWP28</f>
        <v>0</v>
      </c>
      <c r="IVX4">
        <f>Database!IWQ28</f>
        <v>0</v>
      </c>
      <c r="IVY4">
        <f>Database!IWR28</f>
        <v>0</v>
      </c>
      <c r="IVZ4">
        <f>Database!IWS28</f>
        <v>0</v>
      </c>
      <c r="IWA4">
        <f>Database!IWT28</f>
        <v>0</v>
      </c>
      <c r="IWB4">
        <f>Database!IWU28</f>
        <v>0</v>
      </c>
      <c r="IWC4">
        <f>Database!IWV28</f>
        <v>0</v>
      </c>
      <c r="IWD4">
        <f>Database!IWW28</f>
        <v>0</v>
      </c>
      <c r="IWE4">
        <f>Database!IWX28</f>
        <v>0</v>
      </c>
      <c r="IWF4">
        <f>Database!IWY28</f>
        <v>0</v>
      </c>
      <c r="IWG4">
        <f>Database!IWZ28</f>
        <v>0</v>
      </c>
      <c r="IWH4">
        <f>Database!IXA28</f>
        <v>0</v>
      </c>
      <c r="IWI4">
        <f>Database!IXB28</f>
        <v>0</v>
      </c>
      <c r="IWJ4">
        <f>Database!IXC28</f>
        <v>0</v>
      </c>
      <c r="IWK4">
        <f>Database!IXD28</f>
        <v>0</v>
      </c>
      <c r="IWL4">
        <f>Database!IXE28</f>
        <v>0</v>
      </c>
      <c r="IWM4">
        <f>Database!IXF28</f>
        <v>0</v>
      </c>
      <c r="IWN4">
        <f>Database!IXG28</f>
        <v>0</v>
      </c>
      <c r="IWO4">
        <f>Database!IXH28</f>
        <v>0</v>
      </c>
      <c r="IWP4">
        <f>Database!IXI28</f>
        <v>0</v>
      </c>
      <c r="IWQ4">
        <f>Database!IXJ28</f>
        <v>0</v>
      </c>
      <c r="IWR4">
        <f>Database!IXK28</f>
        <v>0</v>
      </c>
      <c r="IWS4">
        <f>Database!IXL28</f>
        <v>0</v>
      </c>
      <c r="IWT4">
        <f>Database!IXM28</f>
        <v>0</v>
      </c>
      <c r="IWU4">
        <f>Database!IXN28</f>
        <v>0</v>
      </c>
      <c r="IWV4">
        <f>Database!IXO28</f>
        <v>0</v>
      </c>
      <c r="IWW4">
        <f>Database!IXP28</f>
        <v>0</v>
      </c>
      <c r="IWX4">
        <f>Database!IXQ28</f>
        <v>0</v>
      </c>
      <c r="IWY4">
        <f>Database!IXR28</f>
        <v>0</v>
      </c>
      <c r="IWZ4">
        <f>Database!IXS28</f>
        <v>0</v>
      </c>
      <c r="IXA4">
        <f>Database!IXT28</f>
        <v>0</v>
      </c>
      <c r="IXB4">
        <f>Database!IXU28</f>
        <v>0</v>
      </c>
      <c r="IXC4">
        <f>Database!IXV28</f>
        <v>0</v>
      </c>
      <c r="IXD4">
        <f>Database!IXW28</f>
        <v>0</v>
      </c>
      <c r="IXE4">
        <f>Database!IXX28</f>
        <v>0</v>
      </c>
      <c r="IXF4">
        <f>Database!IXY28</f>
        <v>0</v>
      </c>
      <c r="IXG4">
        <f>Database!IXZ28</f>
        <v>0</v>
      </c>
      <c r="IXH4">
        <f>Database!IYA28</f>
        <v>0</v>
      </c>
      <c r="IXI4">
        <f>Database!IYB28</f>
        <v>0</v>
      </c>
      <c r="IXJ4">
        <f>Database!IYC28</f>
        <v>0</v>
      </c>
      <c r="IXK4">
        <f>Database!IYD28</f>
        <v>0</v>
      </c>
      <c r="IXL4">
        <f>Database!IYE28</f>
        <v>0</v>
      </c>
      <c r="IXM4">
        <f>Database!IYF28</f>
        <v>0</v>
      </c>
      <c r="IXN4">
        <f>Database!IYG28</f>
        <v>0</v>
      </c>
      <c r="IXO4">
        <f>Database!IYH28</f>
        <v>0</v>
      </c>
      <c r="IXP4">
        <f>Database!IYI28</f>
        <v>0</v>
      </c>
      <c r="IXQ4">
        <f>Database!IYJ28</f>
        <v>0</v>
      </c>
      <c r="IXR4">
        <f>Database!IYK28</f>
        <v>0</v>
      </c>
      <c r="IXS4">
        <f>Database!IYL28</f>
        <v>0</v>
      </c>
      <c r="IXT4">
        <f>Database!IYM28</f>
        <v>0</v>
      </c>
      <c r="IXU4">
        <f>Database!IYN28</f>
        <v>0</v>
      </c>
      <c r="IXV4">
        <f>Database!IYO28</f>
        <v>0</v>
      </c>
      <c r="IXW4">
        <f>Database!IYP28</f>
        <v>0</v>
      </c>
      <c r="IXX4">
        <f>Database!IYQ28</f>
        <v>0</v>
      </c>
      <c r="IXY4">
        <f>Database!IYR28</f>
        <v>0</v>
      </c>
      <c r="IXZ4">
        <f>Database!IYS28</f>
        <v>0</v>
      </c>
      <c r="IYA4">
        <f>Database!IYT28</f>
        <v>0</v>
      </c>
      <c r="IYB4">
        <f>Database!IYU28</f>
        <v>0</v>
      </c>
      <c r="IYC4">
        <f>Database!IYV28</f>
        <v>0</v>
      </c>
      <c r="IYD4">
        <f>Database!IYW28</f>
        <v>0</v>
      </c>
      <c r="IYE4">
        <f>Database!IYX28</f>
        <v>0</v>
      </c>
      <c r="IYF4">
        <f>Database!IYY28</f>
        <v>0</v>
      </c>
      <c r="IYG4">
        <f>Database!IYZ28</f>
        <v>0</v>
      </c>
      <c r="IYH4">
        <f>Database!IZA28</f>
        <v>0</v>
      </c>
      <c r="IYI4">
        <f>Database!IZB28</f>
        <v>0</v>
      </c>
      <c r="IYJ4">
        <f>Database!IZC28</f>
        <v>0</v>
      </c>
      <c r="IYK4">
        <f>Database!IZD28</f>
        <v>0</v>
      </c>
      <c r="IYL4">
        <f>Database!IZE28</f>
        <v>0</v>
      </c>
      <c r="IYM4">
        <f>Database!IZF28</f>
        <v>0</v>
      </c>
      <c r="IYN4">
        <f>Database!IZG28</f>
        <v>0</v>
      </c>
      <c r="IYO4">
        <f>Database!IZH28</f>
        <v>0</v>
      </c>
      <c r="IYP4">
        <f>Database!IZI28</f>
        <v>0</v>
      </c>
      <c r="IYQ4">
        <f>Database!IZJ28</f>
        <v>0</v>
      </c>
      <c r="IYR4">
        <f>Database!IZK28</f>
        <v>0</v>
      </c>
      <c r="IYS4">
        <f>Database!IZL28</f>
        <v>0</v>
      </c>
      <c r="IYT4">
        <f>Database!IZM28</f>
        <v>0</v>
      </c>
      <c r="IYU4">
        <f>Database!IZN28</f>
        <v>0</v>
      </c>
      <c r="IYV4">
        <f>Database!IZO28</f>
        <v>0</v>
      </c>
      <c r="IYW4">
        <f>Database!IZP28</f>
        <v>0</v>
      </c>
      <c r="IYX4">
        <f>Database!IZQ28</f>
        <v>0</v>
      </c>
      <c r="IYY4">
        <f>Database!IZR28</f>
        <v>0</v>
      </c>
      <c r="IYZ4">
        <f>Database!IZS28</f>
        <v>0</v>
      </c>
      <c r="IZA4">
        <f>Database!IZT28</f>
        <v>0</v>
      </c>
      <c r="IZB4">
        <f>Database!IZU28</f>
        <v>0</v>
      </c>
      <c r="IZC4">
        <f>Database!IZV28</f>
        <v>0</v>
      </c>
      <c r="IZD4">
        <f>Database!IZW28</f>
        <v>0</v>
      </c>
      <c r="IZE4">
        <f>Database!IZX28</f>
        <v>0</v>
      </c>
      <c r="IZF4">
        <f>Database!IZY28</f>
        <v>0</v>
      </c>
      <c r="IZG4">
        <f>Database!IZZ28</f>
        <v>0</v>
      </c>
      <c r="IZH4">
        <f>Database!JAA28</f>
        <v>0</v>
      </c>
      <c r="IZI4">
        <f>Database!JAB28</f>
        <v>0</v>
      </c>
      <c r="IZJ4">
        <f>Database!JAC28</f>
        <v>0</v>
      </c>
      <c r="IZK4">
        <f>Database!JAD28</f>
        <v>0</v>
      </c>
      <c r="IZL4">
        <f>Database!JAE28</f>
        <v>0</v>
      </c>
      <c r="IZM4">
        <f>Database!JAF28</f>
        <v>0</v>
      </c>
      <c r="IZN4">
        <f>Database!JAG28</f>
        <v>0</v>
      </c>
      <c r="IZO4">
        <f>Database!JAH28</f>
        <v>0</v>
      </c>
      <c r="IZP4">
        <f>Database!JAI28</f>
        <v>0</v>
      </c>
      <c r="IZQ4">
        <f>Database!JAJ28</f>
        <v>0</v>
      </c>
      <c r="IZR4">
        <f>Database!JAK28</f>
        <v>0</v>
      </c>
      <c r="IZS4">
        <f>Database!JAL28</f>
        <v>0</v>
      </c>
      <c r="IZT4">
        <f>Database!JAM28</f>
        <v>0</v>
      </c>
      <c r="IZU4">
        <f>Database!JAN28</f>
        <v>0</v>
      </c>
      <c r="IZV4">
        <f>Database!JAO28</f>
        <v>0</v>
      </c>
      <c r="IZW4">
        <f>Database!JAP28</f>
        <v>0</v>
      </c>
      <c r="IZX4">
        <f>Database!JAQ28</f>
        <v>0</v>
      </c>
      <c r="IZY4">
        <f>Database!JAR28</f>
        <v>0</v>
      </c>
      <c r="IZZ4">
        <f>Database!JAS28</f>
        <v>0</v>
      </c>
      <c r="JAA4">
        <f>Database!JAT28</f>
        <v>0</v>
      </c>
      <c r="JAB4">
        <f>Database!JAU28</f>
        <v>0</v>
      </c>
      <c r="JAC4">
        <f>Database!JAV28</f>
        <v>0</v>
      </c>
      <c r="JAD4">
        <f>Database!JAW28</f>
        <v>0</v>
      </c>
      <c r="JAE4">
        <f>Database!JAX28</f>
        <v>0</v>
      </c>
      <c r="JAF4">
        <f>Database!JAY28</f>
        <v>0</v>
      </c>
      <c r="JAG4">
        <f>Database!JAZ28</f>
        <v>0</v>
      </c>
      <c r="JAH4">
        <f>Database!JBA28</f>
        <v>0</v>
      </c>
      <c r="JAI4">
        <f>Database!JBB28</f>
        <v>0</v>
      </c>
      <c r="JAJ4">
        <f>Database!JBC28</f>
        <v>0</v>
      </c>
      <c r="JAK4">
        <f>Database!JBD28</f>
        <v>0</v>
      </c>
      <c r="JAL4">
        <f>Database!JBE28</f>
        <v>0</v>
      </c>
      <c r="JAM4">
        <f>Database!JBF28</f>
        <v>0</v>
      </c>
      <c r="JAN4">
        <f>Database!JBG28</f>
        <v>0</v>
      </c>
      <c r="JAO4">
        <f>Database!JBH28</f>
        <v>0</v>
      </c>
      <c r="JAP4">
        <f>Database!JBI28</f>
        <v>0</v>
      </c>
      <c r="JAQ4">
        <f>Database!JBJ28</f>
        <v>0</v>
      </c>
      <c r="JAR4">
        <f>Database!JBK28</f>
        <v>0</v>
      </c>
      <c r="JAS4">
        <f>Database!JBL28</f>
        <v>0</v>
      </c>
      <c r="JAT4">
        <f>Database!JBM28</f>
        <v>0</v>
      </c>
      <c r="JAU4">
        <f>Database!JBN28</f>
        <v>0</v>
      </c>
      <c r="JAV4">
        <f>Database!JBO28</f>
        <v>0</v>
      </c>
      <c r="JAW4">
        <f>Database!JBP28</f>
        <v>0</v>
      </c>
      <c r="JAX4">
        <f>Database!JBQ28</f>
        <v>0</v>
      </c>
      <c r="JAY4">
        <f>Database!JBR28</f>
        <v>0</v>
      </c>
      <c r="JAZ4">
        <f>Database!JBS28</f>
        <v>0</v>
      </c>
      <c r="JBA4">
        <f>Database!JBT28</f>
        <v>0</v>
      </c>
      <c r="JBB4">
        <f>Database!JBU28</f>
        <v>0</v>
      </c>
      <c r="JBC4">
        <f>Database!JBV28</f>
        <v>0</v>
      </c>
      <c r="JBD4">
        <f>Database!JBW28</f>
        <v>0</v>
      </c>
      <c r="JBE4">
        <f>Database!JBX28</f>
        <v>0</v>
      </c>
      <c r="JBF4">
        <f>Database!JBY28</f>
        <v>0</v>
      </c>
      <c r="JBG4">
        <f>Database!JBZ28</f>
        <v>0</v>
      </c>
      <c r="JBH4">
        <f>Database!JCA28</f>
        <v>0</v>
      </c>
      <c r="JBI4">
        <f>Database!JCB28</f>
        <v>0</v>
      </c>
      <c r="JBJ4">
        <f>Database!JCC28</f>
        <v>0</v>
      </c>
      <c r="JBK4">
        <f>Database!JCD28</f>
        <v>0</v>
      </c>
      <c r="JBL4">
        <f>Database!JCE28</f>
        <v>0</v>
      </c>
      <c r="JBM4">
        <f>Database!JCF28</f>
        <v>0</v>
      </c>
      <c r="JBN4">
        <f>Database!JCG28</f>
        <v>0</v>
      </c>
      <c r="JBO4">
        <f>Database!JCH28</f>
        <v>0</v>
      </c>
      <c r="JBP4">
        <f>Database!JCI28</f>
        <v>0</v>
      </c>
      <c r="JBQ4">
        <f>Database!JCJ28</f>
        <v>0</v>
      </c>
      <c r="JBR4">
        <f>Database!JCK28</f>
        <v>0</v>
      </c>
      <c r="JBS4">
        <f>Database!JCL28</f>
        <v>0</v>
      </c>
      <c r="JBT4">
        <f>Database!JCM28</f>
        <v>0</v>
      </c>
      <c r="JBU4">
        <f>Database!JCN28</f>
        <v>0</v>
      </c>
      <c r="JBV4">
        <f>Database!JCO28</f>
        <v>0</v>
      </c>
      <c r="JBW4">
        <f>Database!JCP28</f>
        <v>0</v>
      </c>
      <c r="JBX4">
        <f>Database!JCQ28</f>
        <v>0</v>
      </c>
      <c r="JBY4">
        <f>Database!JCR28</f>
        <v>0</v>
      </c>
      <c r="JBZ4">
        <f>Database!JCS28</f>
        <v>0</v>
      </c>
      <c r="JCA4">
        <f>Database!JCT28</f>
        <v>0</v>
      </c>
      <c r="JCB4">
        <f>Database!JCU28</f>
        <v>0</v>
      </c>
      <c r="JCC4">
        <f>Database!JCV28</f>
        <v>0</v>
      </c>
      <c r="JCD4">
        <f>Database!JCW28</f>
        <v>0</v>
      </c>
      <c r="JCE4">
        <f>Database!JCX28</f>
        <v>0</v>
      </c>
      <c r="JCF4">
        <f>Database!JCY28</f>
        <v>0</v>
      </c>
      <c r="JCG4">
        <f>Database!JCZ28</f>
        <v>0</v>
      </c>
      <c r="JCH4">
        <f>Database!JDA28</f>
        <v>0</v>
      </c>
      <c r="JCI4">
        <f>Database!JDB28</f>
        <v>0</v>
      </c>
      <c r="JCJ4">
        <f>Database!JDC28</f>
        <v>0</v>
      </c>
      <c r="JCK4">
        <f>Database!JDD28</f>
        <v>0</v>
      </c>
      <c r="JCL4">
        <f>Database!JDE28</f>
        <v>0</v>
      </c>
      <c r="JCM4">
        <f>Database!JDF28</f>
        <v>0</v>
      </c>
      <c r="JCN4">
        <f>Database!JDG28</f>
        <v>0</v>
      </c>
      <c r="JCO4">
        <f>Database!JDH28</f>
        <v>0</v>
      </c>
      <c r="JCP4">
        <f>Database!JDI28</f>
        <v>0</v>
      </c>
      <c r="JCQ4">
        <f>Database!JDJ28</f>
        <v>0</v>
      </c>
      <c r="JCR4">
        <f>Database!JDK28</f>
        <v>0</v>
      </c>
      <c r="JCS4">
        <f>Database!JDL28</f>
        <v>0</v>
      </c>
      <c r="JCT4">
        <f>Database!JDM28</f>
        <v>0</v>
      </c>
      <c r="JCU4">
        <f>Database!JDN28</f>
        <v>0</v>
      </c>
      <c r="JCV4">
        <f>Database!JDO28</f>
        <v>0</v>
      </c>
      <c r="JCW4">
        <f>Database!JDP28</f>
        <v>0</v>
      </c>
      <c r="JCX4">
        <f>Database!JDQ28</f>
        <v>0</v>
      </c>
      <c r="JCY4">
        <f>Database!JDR28</f>
        <v>0</v>
      </c>
      <c r="JCZ4">
        <f>Database!JDS28</f>
        <v>0</v>
      </c>
      <c r="JDA4">
        <f>Database!JDT28</f>
        <v>0</v>
      </c>
      <c r="JDB4">
        <f>Database!JDU28</f>
        <v>0</v>
      </c>
      <c r="JDC4">
        <f>Database!JDV28</f>
        <v>0</v>
      </c>
      <c r="JDD4">
        <f>Database!JDW28</f>
        <v>0</v>
      </c>
      <c r="JDE4">
        <f>Database!JDX28</f>
        <v>0</v>
      </c>
      <c r="JDF4">
        <f>Database!JDY28</f>
        <v>0</v>
      </c>
      <c r="JDG4">
        <f>Database!JDZ28</f>
        <v>0</v>
      </c>
      <c r="JDH4">
        <f>Database!JEA28</f>
        <v>0</v>
      </c>
      <c r="JDI4">
        <f>Database!JEB28</f>
        <v>0</v>
      </c>
      <c r="JDJ4">
        <f>Database!JEC28</f>
        <v>0</v>
      </c>
      <c r="JDK4">
        <f>Database!JED28</f>
        <v>0</v>
      </c>
      <c r="JDL4">
        <f>Database!JEE28</f>
        <v>0</v>
      </c>
      <c r="JDM4">
        <f>Database!JEF28</f>
        <v>0</v>
      </c>
      <c r="JDN4">
        <f>Database!JEG28</f>
        <v>0</v>
      </c>
      <c r="JDO4">
        <f>Database!JEH28</f>
        <v>0</v>
      </c>
      <c r="JDP4">
        <f>Database!JEI28</f>
        <v>0</v>
      </c>
      <c r="JDQ4">
        <f>Database!JEJ28</f>
        <v>0</v>
      </c>
      <c r="JDR4">
        <f>Database!JEK28</f>
        <v>0</v>
      </c>
      <c r="JDS4">
        <f>Database!JEL28</f>
        <v>0</v>
      </c>
      <c r="JDT4">
        <f>Database!JEM28</f>
        <v>0</v>
      </c>
      <c r="JDU4">
        <f>Database!JEN28</f>
        <v>0</v>
      </c>
      <c r="JDV4">
        <f>Database!JEO28</f>
        <v>0</v>
      </c>
      <c r="JDW4">
        <f>Database!JEP28</f>
        <v>0</v>
      </c>
      <c r="JDX4">
        <f>Database!JEQ28</f>
        <v>0</v>
      </c>
      <c r="JDY4">
        <f>Database!JER28</f>
        <v>0</v>
      </c>
      <c r="JDZ4">
        <f>Database!JES28</f>
        <v>0</v>
      </c>
      <c r="JEA4">
        <f>Database!JET28</f>
        <v>0</v>
      </c>
      <c r="JEB4">
        <f>Database!JEU28</f>
        <v>0</v>
      </c>
      <c r="JEC4">
        <f>Database!JEV28</f>
        <v>0</v>
      </c>
      <c r="JED4">
        <f>Database!JEW28</f>
        <v>0</v>
      </c>
      <c r="JEE4">
        <f>Database!JEX28</f>
        <v>0</v>
      </c>
      <c r="JEF4">
        <f>Database!JEY28</f>
        <v>0</v>
      </c>
      <c r="JEG4">
        <f>Database!JEZ28</f>
        <v>0</v>
      </c>
      <c r="JEH4">
        <f>Database!JFA28</f>
        <v>0</v>
      </c>
      <c r="JEI4">
        <f>Database!JFB28</f>
        <v>0</v>
      </c>
      <c r="JEJ4">
        <f>Database!JFC28</f>
        <v>0</v>
      </c>
      <c r="JEK4">
        <f>Database!JFD28</f>
        <v>0</v>
      </c>
      <c r="JEL4">
        <f>Database!JFE28</f>
        <v>0</v>
      </c>
      <c r="JEM4">
        <f>Database!JFF28</f>
        <v>0</v>
      </c>
      <c r="JEN4">
        <f>Database!JFG28</f>
        <v>0</v>
      </c>
      <c r="JEO4">
        <f>Database!JFH28</f>
        <v>0</v>
      </c>
      <c r="JEP4">
        <f>Database!JFI28</f>
        <v>0</v>
      </c>
      <c r="JEQ4">
        <f>Database!JFJ28</f>
        <v>0</v>
      </c>
      <c r="JER4">
        <f>Database!JFK28</f>
        <v>0</v>
      </c>
      <c r="JES4">
        <f>Database!JFL28</f>
        <v>0</v>
      </c>
      <c r="JET4">
        <f>Database!JFM28</f>
        <v>0</v>
      </c>
      <c r="JEU4">
        <f>Database!JFN28</f>
        <v>0</v>
      </c>
      <c r="JEV4">
        <f>Database!JFO28</f>
        <v>0</v>
      </c>
      <c r="JEW4">
        <f>Database!JFP28</f>
        <v>0</v>
      </c>
      <c r="JEX4">
        <f>Database!JFQ28</f>
        <v>0</v>
      </c>
      <c r="JEY4">
        <f>Database!JFR28</f>
        <v>0</v>
      </c>
      <c r="JEZ4">
        <f>Database!JFS28</f>
        <v>0</v>
      </c>
      <c r="JFA4">
        <f>Database!JFT28</f>
        <v>0</v>
      </c>
      <c r="JFB4">
        <f>Database!JFU28</f>
        <v>0</v>
      </c>
      <c r="JFC4">
        <f>Database!JFV28</f>
        <v>0</v>
      </c>
      <c r="JFD4">
        <f>Database!JFW28</f>
        <v>0</v>
      </c>
      <c r="JFE4">
        <f>Database!JFX28</f>
        <v>0</v>
      </c>
      <c r="JFF4">
        <f>Database!JFY28</f>
        <v>0</v>
      </c>
      <c r="JFG4">
        <f>Database!JFZ28</f>
        <v>0</v>
      </c>
      <c r="JFH4">
        <f>Database!JGA28</f>
        <v>0</v>
      </c>
      <c r="JFI4">
        <f>Database!JGB28</f>
        <v>0</v>
      </c>
      <c r="JFJ4">
        <f>Database!JGC28</f>
        <v>0</v>
      </c>
      <c r="JFK4">
        <f>Database!JGD28</f>
        <v>0</v>
      </c>
      <c r="JFL4">
        <f>Database!JGE28</f>
        <v>0</v>
      </c>
      <c r="JFM4">
        <f>Database!JGF28</f>
        <v>0</v>
      </c>
      <c r="JFN4">
        <f>Database!JGG28</f>
        <v>0</v>
      </c>
      <c r="JFO4">
        <f>Database!JGH28</f>
        <v>0</v>
      </c>
      <c r="JFP4">
        <f>Database!JGI28</f>
        <v>0</v>
      </c>
      <c r="JFQ4">
        <f>Database!JGJ28</f>
        <v>0</v>
      </c>
      <c r="JFR4">
        <f>Database!JGK28</f>
        <v>0</v>
      </c>
      <c r="JFS4">
        <f>Database!JGL28</f>
        <v>0</v>
      </c>
      <c r="JFT4">
        <f>Database!JGM28</f>
        <v>0</v>
      </c>
      <c r="JFU4">
        <f>Database!JGN28</f>
        <v>0</v>
      </c>
      <c r="JFV4">
        <f>Database!JGO28</f>
        <v>0</v>
      </c>
      <c r="JFW4">
        <f>Database!JGP28</f>
        <v>0</v>
      </c>
      <c r="JFX4">
        <f>Database!JGQ28</f>
        <v>0</v>
      </c>
      <c r="JFY4">
        <f>Database!JGR28</f>
        <v>0</v>
      </c>
      <c r="JFZ4">
        <f>Database!JGS28</f>
        <v>0</v>
      </c>
      <c r="JGA4">
        <f>Database!JGT28</f>
        <v>0</v>
      </c>
      <c r="JGB4">
        <f>Database!JGU28</f>
        <v>0</v>
      </c>
      <c r="JGC4">
        <f>Database!JGV28</f>
        <v>0</v>
      </c>
      <c r="JGD4">
        <f>Database!JGW28</f>
        <v>0</v>
      </c>
      <c r="JGE4">
        <f>Database!JGX28</f>
        <v>0</v>
      </c>
      <c r="JGF4">
        <f>Database!JGY28</f>
        <v>0</v>
      </c>
      <c r="JGG4">
        <f>Database!JGZ28</f>
        <v>0</v>
      </c>
      <c r="JGH4">
        <f>Database!JHA28</f>
        <v>0</v>
      </c>
      <c r="JGI4">
        <f>Database!JHB28</f>
        <v>0</v>
      </c>
      <c r="JGJ4">
        <f>Database!JHC28</f>
        <v>0</v>
      </c>
      <c r="JGK4">
        <f>Database!JHD28</f>
        <v>0</v>
      </c>
      <c r="JGL4">
        <f>Database!JHE28</f>
        <v>0</v>
      </c>
      <c r="JGM4">
        <f>Database!JHF28</f>
        <v>0</v>
      </c>
      <c r="JGN4">
        <f>Database!JHG28</f>
        <v>0</v>
      </c>
      <c r="JGO4">
        <f>Database!JHH28</f>
        <v>0</v>
      </c>
      <c r="JGP4">
        <f>Database!JHI28</f>
        <v>0</v>
      </c>
      <c r="JGQ4">
        <f>Database!JHJ28</f>
        <v>0</v>
      </c>
      <c r="JGR4">
        <f>Database!JHK28</f>
        <v>0</v>
      </c>
      <c r="JGS4">
        <f>Database!JHL28</f>
        <v>0</v>
      </c>
      <c r="JGT4">
        <f>Database!JHM28</f>
        <v>0</v>
      </c>
      <c r="JGU4">
        <f>Database!JHN28</f>
        <v>0</v>
      </c>
      <c r="JGV4">
        <f>Database!JHO28</f>
        <v>0</v>
      </c>
      <c r="JGW4">
        <f>Database!JHP28</f>
        <v>0</v>
      </c>
      <c r="JGX4">
        <f>Database!JHQ28</f>
        <v>0</v>
      </c>
      <c r="JGY4">
        <f>Database!JHR28</f>
        <v>0</v>
      </c>
      <c r="JGZ4">
        <f>Database!JHS28</f>
        <v>0</v>
      </c>
      <c r="JHA4">
        <f>Database!JHT28</f>
        <v>0</v>
      </c>
      <c r="JHB4">
        <f>Database!JHU28</f>
        <v>0</v>
      </c>
      <c r="JHC4">
        <f>Database!JHV28</f>
        <v>0</v>
      </c>
      <c r="JHD4">
        <f>Database!JHW28</f>
        <v>0</v>
      </c>
      <c r="JHE4">
        <f>Database!JHX28</f>
        <v>0</v>
      </c>
      <c r="JHF4">
        <f>Database!JHY28</f>
        <v>0</v>
      </c>
      <c r="JHG4">
        <f>Database!JHZ28</f>
        <v>0</v>
      </c>
      <c r="JHH4">
        <f>Database!JIA28</f>
        <v>0</v>
      </c>
      <c r="JHI4">
        <f>Database!JIB28</f>
        <v>0</v>
      </c>
      <c r="JHJ4">
        <f>Database!JIC28</f>
        <v>0</v>
      </c>
      <c r="JHK4">
        <f>Database!JID28</f>
        <v>0</v>
      </c>
      <c r="JHL4">
        <f>Database!JIE28</f>
        <v>0</v>
      </c>
      <c r="JHM4">
        <f>Database!JIF28</f>
        <v>0</v>
      </c>
      <c r="JHN4">
        <f>Database!JIG28</f>
        <v>0</v>
      </c>
      <c r="JHO4">
        <f>Database!JIH28</f>
        <v>0</v>
      </c>
      <c r="JHP4">
        <f>Database!JII28</f>
        <v>0</v>
      </c>
      <c r="JHQ4">
        <f>Database!JIJ28</f>
        <v>0</v>
      </c>
      <c r="JHR4">
        <f>Database!JIK28</f>
        <v>0</v>
      </c>
      <c r="JHS4">
        <f>Database!JIL28</f>
        <v>0</v>
      </c>
      <c r="JHT4">
        <f>Database!JIM28</f>
        <v>0</v>
      </c>
      <c r="JHU4">
        <f>Database!JIN28</f>
        <v>0</v>
      </c>
      <c r="JHV4">
        <f>Database!JIO28</f>
        <v>0</v>
      </c>
      <c r="JHW4">
        <f>Database!JIP28</f>
        <v>0</v>
      </c>
      <c r="JHX4">
        <f>Database!JIQ28</f>
        <v>0</v>
      </c>
      <c r="JHY4">
        <f>Database!JIR28</f>
        <v>0</v>
      </c>
      <c r="JHZ4">
        <f>Database!JIS28</f>
        <v>0</v>
      </c>
      <c r="JIA4">
        <f>Database!JIT28</f>
        <v>0</v>
      </c>
      <c r="JIB4">
        <f>Database!JIU28</f>
        <v>0</v>
      </c>
      <c r="JIC4">
        <f>Database!JIV28</f>
        <v>0</v>
      </c>
      <c r="JID4">
        <f>Database!JIW28</f>
        <v>0</v>
      </c>
      <c r="JIE4">
        <f>Database!JIX28</f>
        <v>0</v>
      </c>
      <c r="JIF4">
        <f>Database!JIY28</f>
        <v>0</v>
      </c>
      <c r="JIG4">
        <f>Database!JIZ28</f>
        <v>0</v>
      </c>
      <c r="JIH4">
        <f>Database!JJA28</f>
        <v>0</v>
      </c>
      <c r="JII4">
        <f>Database!JJB28</f>
        <v>0</v>
      </c>
      <c r="JIJ4">
        <f>Database!JJC28</f>
        <v>0</v>
      </c>
      <c r="JIK4">
        <f>Database!JJD28</f>
        <v>0</v>
      </c>
      <c r="JIL4">
        <f>Database!JJE28</f>
        <v>0</v>
      </c>
      <c r="JIM4">
        <f>Database!JJF28</f>
        <v>0</v>
      </c>
      <c r="JIN4">
        <f>Database!JJG28</f>
        <v>0</v>
      </c>
      <c r="JIO4">
        <f>Database!JJH28</f>
        <v>0</v>
      </c>
      <c r="JIP4">
        <f>Database!JJI28</f>
        <v>0</v>
      </c>
      <c r="JIQ4">
        <f>Database!JJJ28</f>
        <v>0</v>
      </c>
      <c r="JIR4">
        <f>Database!JJK28</f>
        <v>0</v>
      </c>
      <c r="JIS4">
        <f>Database!JJL28</f>
        <v>0</v>
      </c>
      <c r="JIT4">
        <f>Database!JJM28</f>
        <v>0</v>
      </c>
      <c r="JIU4">
        <f>Database!JJN28</f>
        <v>0</v>
      </c>
      <c r="JIV4">
        <f>Database!JJO28</f>
        <v>0</v>
      </c>
      <c r="JIW4">
        <f>Database!JJP28</f>
        <v>0</v>
      </c>
      <c r="JIX4">
        <f>Database!JJQ28</f>
        <v>0</v>
      </c>
      <c r="JIY4">
        <f>Database!JJR28</f>
        <v>0</v>
      </c>
      <c r="JIZ4">
        <f>Database!JJS28</f>
        <v>0</v>
      </c>
      <c r="JJA4">
        <f>Database!JJT28</f>
        <v>0</v>
      </c>
      <c r="JJB4">
        <f>Database!JJU28</f>
        <v>0</v>
      </c>
      <c r="JJC4">
        <f>Database!JJV28</f>
        <v>0</v>
      </c>
      <c r="JJD4">
        <f>Database!JJW28</f>
        <v>0</v>
      </c>
      <c r="JJE4">
        <f>Database!JJX28</f>
        <v>0</v>
      </c>
      <c r="JJF4">
        <f>Database!JJY28</f>
        <v>0</v>
      </c>
      <c r="JJG4">
        <f>Database!JJZ28</f>
        <v>0</v>
      </c>
      <c r="JJH4">
        <f>Database!JKA28</f>
        <v>0</v>
      </c>
      <c r="JJI4">
        <f>Database!JKB28</f>
        <v>0</v>
      </c>
      <c r="JJJ4">
        <f>Database!JKC28</f>
        <v>0</v>
      </c>
      <c r="JJK4">
        <f>Database!JKD28</f>
        <v>0</v>
      </c>
      <c r="JJL4">
        <f>Database!JKE28</f>
        <v>0</v>
      </c>
      <c r="JJM4">
        <f>Database!JKF28</f>
        <v>0</v>
      </c>
      <c r="JJN4">
        <f>Database!JKG28</f>
        <v>0</v>
      </c>
      <c r="JJO4">
        <f>Database!JKH28</f>
        <v>0</v>
      </c>
      <c r="JJP4">
        <f>Database!JKI28</f>
        <v>0</v>
      </c>
      <c r="JJQ4">
        <f>Database!JKJ28</f>
        <v>0</v>
      </c>
      <c r="JJR4">
        <f>Database!JKK28</f>
        <v>0</v>
      </c>
      <c r="JJS4">
        <f>Database!JKL28</f>
        <v>0</v>
      </c>
      <c r="JJT4">
        <f>Database!JKM28</f>
        <v>0</v>
      </c>
      <c r="JJU4">
        <f>Database!JKN28</f>
        <v>0</v>
      </c>
      <c r="JJV4">
        <f>Database!JKO28</f>
        <v>0</v>
      </c>
      <c r="JJW4">
        <f>Database!JKP28</f>
        <v>0</v>
      </c>
      <c r="JJX4">
        <f>Database!JKQ28</f>
        <v>0</v>
      </c>
      <c r="JJY4">
        <f>Database!JKR28</f>
        <v>0</v>
      </c>
      <c r="JJZ4">
        <f>Database!JKS28</f>
        <v>0</v>
      </c>
      <c r="JKA4">
        <f>Database!JKT28</f>
        <v>0</v>
      </c>
      <c r="JKB4">
        <f>Database!JKU28</f>
        <v>0</v>
      </c>
      <c r="JKC4">
        <f>Database!JKV28</f>
        <v>0</v>
      </c>
      <c r="JKD4">
        <f>Database!JKW28</f>
        <v>0</v>
      </c>
      <c r="JKE4">
        <f>Database!JKX28</f>
        <v>0</v>
      </c>
      <c r="JKF4">
        <f>Database!JKY28</f>
        <v>0</v>
      </c>
      <c r="JKG4">
        <f>Database!JKZ28</f>
        <v>0</v>
      </c>
      <c r="JKH4">
        <f>Database!JLA28</f>
        <v>0</v>
      </c>
      <c r="JKI4">
        <f>Database!JLB28</f>
        <v>0</v>
      </c>
      <c r="JKJ4">
        <f>Database!JLC28</f>
        <v>0</v>
      </c>
      <c r="JKK4">
        <f>Database!JLD28</f>
        <v>0</v>
      </c>
      <c r="JKL4">
        <f>Database!JLE28</f>
        <v>0</v>
      </c>
      <c r="JKM4">
        <f>Database!JLF28</f>
        <v>0</v>
      </c>
      <c r="JKN4">
        <f>Database!JLG28</f>
        <v>0</v>
      </c>
      <c r="JKO4">
        <f>Database!JLH28</f>
        <v>0</v>
      </c>
      <c r="JKP4">
        <f>Database!JLI28</f>
        <v>0</v>
      </c>
      <c r="JKQ4">
        <f>Database!JLJ28</f>
        <v>0</v>
      </c>
      <c r="JKR4">
        <f>Database!JLK28</f>
        <v>0</v>
      </c>
      <c r="JKS4">
        <f>Database!JLL28</f>
        <v>0</v>
      </c>
      <c r="JKT4">
        <f>Database!JLM28</f>
        <v>0</v>
      </c>
      <c r="JKU4">
        <f>Database!JLN28</f>
        <v>0</v>
      </c>
      <c r="JKV4">
        <f>Database!JLO28</f>
        <v>0</v>
      </c>
      <c r="JKW4">
        <f>Database!JLP28</f>
        <v>0</v>
      </c>
      <c r="JKX4">
        <f>Database!JLQ28</f>
        <v>0</v>
      </c>
      <c r="JKY4">
        <f>Database!JLR28</f>
        <v>0</v>
      </c>
      <c r="JKZ4">
        <f>Database!JLS28</f>
        <v>0</v>
      </c>
      <c r="JLA4">
        <f>Database!JLT28</f>
        <v>0</v>
      </c>
      <c r="JLB4">
        <f>Database!JLU28</f>
        <v>0</v>
      </c>
      <c r="JLC4">
        <f>Database!JLV28</f>
        <v>0</v>
      </c>
      <c r="JLD4">
        <f>Database!JLW28</f>
        <v>0</v>
      </c>
      <c r="JLE4">
        <f>Database!JLX28</f>
        <v>0</v>
      </c>
      <c r="JLF4">
        <f>Database!JLY28</f>
        <v>0</v>
      </c>
      <c r="JLG4">
        <f>Database!JLZ28</f>
        <v>0</v>
      </c>
      <c r="JLH4">
        <f>Database!JMA28</f>
        <v>0</v>
      </c>
      <c r="JLI4">
        <f>Database!JMB28</f>
        <v>0</v>
      </c>
      <c r="JLJ4">
        <f>Database!JMC28</f>
        <v>0</v>
      </c>
      <c r="JLK4">
        <f>Database!JMD28</f>
        <v>0</v>
      </c>
      <c r="JLL4">
        <f>Database!JME28</f>
        <v>0</v>
      </c>
      <c r="JLM4">
        <f>Database!JMF28</f>
        <v>0</v>
      </c>
      <c r="JLN4">
        <f>Database!JMG28</f>
        <v>0</v>
      </c>
      <c r="JLO4">
        <f>Database!JMH28</f>
        <v>0</v>
      </c>
      <c r="JLP4">
        <f>Database!JMI28</f>
        <v>0</v>
      </c>
      <c r="JLQ4">
        <f>Database!JMJ28</f>
        <v>0</v>
      </c>
      <c r="JLR4">
        <f>Database!JMK28</f>
        <v>0</v>
      </c>
      <c r="JLS4">
        <f>Database!JML28</f>
        <v>0</v>
      </c>
      <c r="JLT4">
        <f>Database!JMM28</f>
        <v>0</v>
      </c>
      <c r="JLU4">
        <f>Database!JMN28</f>
        <v>0</v>
      </c>
      <c r="JLV4">
        <f>Database!JMO28</f>
        <v>0</v>
      </c>
      <c r="JLW4">
        <f>Database!JMP28</f>
        <v>0</v>
      </c>
      <c r="JLX4">
        <f>Database!JMQ28</f>
        <v>0</v>
      </c>
      <c r="JLY4">
        <f>Database!JMR28</f>
        <v>0</v>
      </c>
      <c r="JLZ4">
        <f>Database!JMS28</f>
        <v>0</v>
      </c>
      <c r="JMA4">
        <f>Database!JMT28</f>
        <v>0</v>
      </c>
      <c r="JMB4">
        <f>Database!JMU28</f>
        <v>0</v>
      </c>
      <c r="JMC4">
        <f>Database!JMV28</f>
        <v>0</v>
      </c>
      <c r="JMD4">
        <f>Database!JMW28</f>
        <v>0</v>
      </c>
      <c r="JME4">
        <f>Database!JMX28</f>
        <v>0</v>
      </c>
      <c r="JMF4">
        <f>Database!JMY28</f>
        <v>0</v>
      </c>
      <c r="JMG4">
        <f>Database!JMZ28</f>
        <v>0</v>
      </c>
      <c r="JMH4">
        <f>Database!JNA28</f>
        <v>0</v>
      </c>
      <c r="JMI4">
        <f>Database!JNB28</f>
        <v>0</v>
      </c>
      <c r="JMJ4">
        <f>Database!JNC28</f>
        <v>0</v>
      </c>
      <c r="JMK4">
        <f>Database!JND28</f>
        <v>0</v>
      </c>
      <c r="JML4">
        <f>Database!JNE28</f>
        <v>0</v>
      </c>
      <c r="JMM4">
        <f>Database!JNF28</f>
        <v>0</v>
      </c>
      <c r="JMN4">
        <f>Database!JNG28</f>
        <v>0</v>
      </c>
      <c r="JMO4">
        <f>Database!JNH28</f>
        <v>0</v>
      </c>
      <c r="JMP4">
        <f>Database!JNI28</f>
        <v>0</v>
      </c>
      <c r="JMQ4">
        <f>Database!JNJ28</f>
        <v>0</v>
      </c>
      <c r="JMR4">
        <f>Database!JNK28</f>
        <v>0</v>
      </c>
      <c r="JMS4">
        <f>Database!JNL28</f>
        <v>0</v>
      </c>
      <c r="JMT4">
        <f>Database!JNM28</f>
        <v>0</v>
      </c>
      <c r="JMU4">
        <f>Database!JNN28</f>
        <v>0</v>
      </c>
      <c r="JMV4">
        <f>Database!JNO28</f>
        <v>0</v>
      </c>
      <c r="JMW4">
        <f>Database!JNP28</f>
        <v>0</v>
      </c>
      <c r="JMX4">
        <f>Database!JNQ28</f>
        <v>0</v>
      </c>
      <c r="JMY4">
        <f>Database!JNR28</f>
        <v>0</v>
      </c>
      <c r="JMZ4">
        <f>Database!JNS28</f>
        <v>0</v>
      </c>
      <c r="JNA4">
        <f>Database!JNT28</f>
        <v>0</v>
      </c>
      <c r="JNB4">
        <f>Database!JNU28</f>
        <v>0</v>
      </c>
      <c r="JNC4">
        <f>Database!JNV28</f>
        <v>0</v>
      </c>
      <c r="JND4">
        <f>Database!JNW28</f>
        <v>0</v>
      </c>
      <c r="JNE4">
        <f>Database!JNX28</f>
        <v>0</v>
      </c>
      <c r="JNF4">
        <f>Database!JNY28</f>
        <v>0</v>
      </c>
      <c r="JNG4">
        <f>Database!JNZ28</f>
        <v>0</v>
      </c>
      <c r="JNH4">
        <f>Database!JOA28</f>
        <v>0</v>
      </c>
      <c r="JNI4">
        <f>Database!JOB28</f>
        <v>0</v>
      </c>
      <c r="JNJ4">
        <f>Database!JOC28</f>
        <v>0</v>
      </c>
      <c r="JNK4">
        <f>Database!JOD28</f>
        <v>0</v>
      </c>
      <c r="JNL4">
        <f>Database!JOE28</f>
        <v>0</v>
      </c>
      <c r="JNM4">
        <f>Database!JOF28</f>
        <v>0</v>
      </c>
      <c r="JNN4">
        <f>Database!JOG28</f>
        <v>0</v>
      </c>
      <c r="JNO4">
        <f>Database!JOH28</f>
        <v>0</v>
      </c>
      <c r="JNP4">
        <f>Database!JOI28</f>
        <v>0</v>
      </c>
      <c r="JNQ4">
        <f>Database!JOJ28</f>
        <v>0</v>
      </c>
      <c r="JNR4">
        <f>Database!JOK28</f>
        <v>0</v>
      </c>
      <c r="JNS4">
        <f>Database!JOL28</f>
        <v>0</v>
      </c>
      <c r="JNT4">
        <f>Database!JOM28</f>
        <v>0</v>
      </c>
      <c r="JNU4">
        <f>Database!JON28</f>
        <v>0</v>
      </c>
      <c r="JNV4">
        <f>Database!JOO28</f>
        <v>0</v>
      </c>
      <c r="JNW4">
        <f>Database!JOP28</f>
        <v>0</v>
      </c>
      <c r="JNX4">
        <f>Database!JOQ28</f>
        <v>0</v>
      </c>
      <c r="JNY4">
        <f>Database!JOR28</f>
        <v>0</v>
      </c>
      <c r="JNZ4">
        <f>Database!JOS28</f>
        <v>0</v>
      </c>
      <c r="JOA4">
        <f>Database!JOT28</f>
        <v>0</v>
      </c>
      <c r="JOB4">
        <f>Database!JOU28</f>
        <v>0</v>
      </c>
      <c r="JOC4">
        <f>Database!JOV28</f>
        <v>0</v>
      </c>
      <c r="JOD4">
        <f>Database!JOW28</f>
        <v>0</v>
      </c>
      <c r="JOE4">
        <f>Database!JOX28</f>
        <v>0</v>
      </c>
      <c r="JOF4">
        <f>Database!JOY28</f>
        <v>0</v>
      </c>
      <c r="JOG4">
        <f>Database!JOZ28</f>
        <v>0</v>
      </c>
      <c r="JOH4">
        <f>Database!JPA28</f>
        <v>0</v>
      </c>
      <c r="JOI4">
        <f>Database!JPB28</f>
        <v>0</v>
      </c>
      <c r="JOJ4">
        <f>Database!JPC28</f>
        <v>0</v>
      </c>
      <c r="JOK4">
        <f>Database!JPD28</f>
        <v>0</v>
      </c>
      <c r="JOL4">
        <f>Database!JPE28</f>
        <v>0</v>
      </c>
      <c r="JOM4">
        <f>Database!JPF28</f>
        <v>0</v>
      </c>
      <c r="JON4">
        <f>Database!JPG28</f>
        <v>0</v>
      </c>
      <c r="JOO4">
        <f>Database!JPH28</f>
        <v>0</v>
      </c>
      <c r="JOP4">
        <f>Database!JPI28</f>
        <v>0</v>
      </c>
      <c r="JOQ4">
        <f>Database!JPJ28</f>
        <v>0</v>
      </c>
      <c r="JOR4">
        <f>Database!JPK28</f>
        <v>0</v>
      </c>
      <c r="JOS4">
        <f>Database!JPL28</f>
        <v>0</v>
      </c>
      <c r="JOT4">
        <f>Database!JPM28</f>
        <v>0</v>
      </c>
      <c r="JOU4">
        <f>Database!JPN28</f>
        <v>0</v>
      </c>
      <c r="JOV4">
        <f>Database!JPO28</f>
        <v>0</v>
      </c>
      <c r="JOW4">
        <f>Database!JPP28</f>
        <v>0</v>
      </c>
      <c r="JOX4">
        <f>Database!JPQ28</f>
        <v>0</v>
      </c>
      <c r="JOY4">
        <f>Database!JPR28</f>
        <v>0</v>
      </c>
      <c r="JOZ4">
        <f>Database!JPS28</f>
        <v>0</v>
      </c>
      <c r="JPA4">
        <f>Database!JPT28</f>
        <v>0</v>
      </c>
      <c r="JPB4">
        <f>Database!JPU28</f>
        <v>0</v>
      </c>
      <c r="JPC4">
        <f>Database!JPV28</f>
        <v>0</v>
      </c>
      <c r="JPD4">
        <f>Database!JPW28</f>
        <v>0</v>
      </c>
      <c r="JPE4">
        <f>Database!JPX28</f>
        <v>0</v>
      </c>
      <c r="JPF4">
        <f>Database!JPY28</f>
        <v>0</v>
      </c>
      <c r="JPG4">
        <f>Database!JPZ28</f>
        <v>0</v>
      </c>
      <c r="JPH4">
        <f>Database!JQA28</f>
        <v>0</v>
      </c>
      <c r="JPI4">
        <f>Database!JQB28</f>
        <v>0</v>
      </c>
      <c r="JPJ4">
        <f>Database!JQC28</f>
        <v>0</v>
      </c>
      <c r="JPK4">
        <f>Database!JQD28</f>
        <v>0</v>
      </c>
      <c r="JPL4">
        <f>Database!JQE28</f>
        <v>0</v>
      </c>
      <c r="JPM4">
        <f>Database!JQF28</f>
        <v>0</v>
      </c>
      <c r="JPN4">
        <f>Database!JQG28</f>
        <v>0</v>
      </c>
      <c r="JPO4">
        <f>Database!JQH28</f>
        <v>0</v>
      </c>
      <c r="JPP4">
        <f>Database!JQI28</f>
        <v>0</v>
      </c>
      <c r="JPQ4">
        <f>Database!JQJ28</f>
        <v>0</v>
      </c>
      <c r="JPR4">
        <f>Database!JQK28</f>
        <v>0</v>
      </c>
      <c r="JPS4">
        <f>Database!JQL28</f>
        <v>0</v>
      </c>
      <c r="JPT4">
        <f>Database!JQM28</f>
        <v>0</v>
      </c>
      <c r="JPU4">
        <f>Database!JQN28</f>
        <v>0</v>
      </c>
      <c r="JPV4">
        <f>Database!JQO28</f>
        <v>0</v>
      </c>
      <c r="JPW4">
        <f>Database!JQP28</f>
        <v>0</v>
      </c>
      <c r="JPX4">
        <f>Database!JQQ28</f>
        <v>0</v>
      </c>
      <c r="JPY4">
        <f>Database!JQR28</f>
        <v>0</v>
      </c>
      <c r="JPZ4">
        <f>Database!JQS28</f>
        <v>0</v>
      </c>
      <c r="JQA4">
        <f>Database!JQT28</f>
        <v>0</v>
      </c>
      <c r="JQB4">
        <f>Database!JQU28</f>
        <v>0</v>
      </c>
      <c r="JQC4">
        <f>Database!JQV28</f>
        <v>0</v>
      </c>
      <c r="JQD4">
        <f>Database!JQW28</f>
        <v>0</v>
      </c>
      <c r="JQE4">
        <f>Database!JQX28</f>
        <v>0</v>
      </c>
      <c r="JQF4">
        <f>Database!JQY28</f>
        <v>0</v>
      </c>
      <c r="JQG4">
        <f>Database!JQZ28</f>
        <v>0</v>
      </c>
      <c r="JQH4">
        <f>Database!JRA28</f>
        <v>0</v>
      </c>
      <c r="JQI4">
        <f>Database!JRB28</f>
        <v>0</v>
      </c>
      <c r="JQJ4">
        <f>Database!JRC28</f>
        <v>0</v>
      </c>
      <c r="JQK4">
        <f>Database!JRD28</f>
        <v>0</v>
      </c>
      <c r="JQL4">
        <f>Database!JRE28</f>
        <v>0</v>
      </c>
      <c r="JQM4">
        <f>Database!JRF28</f>
        <v>0</v>
      </c>
      <c r="JQN4">
        <f>Database!JRG28</f>
        <v>0</v>
      </c>
      <c r="JQO4">
        <f>Database!JRH28</f>
        <v>0</v>
      </c>
      <c r="JQP4">
        <f>Database!JRI28</f>
        <v>0</v>
      </c>
      <c r="JQQ4">
        <f>Database!JRJ28</f>
        <v>0</v>
      </c>
      <c r="JQR4">
        <f>Database!JRK28</f>
        <v>0</v>
      </c>
      <c r="JQS4">
        <f>Database!JRL28</f>
        <v>0</v>
      </c>
      <c r="JQT4">
        <f>Database!JRM28</f>
        <v>0</v>
      </c>
      <c r="JQU4">
        <f>Database!JRN28</f>
        <v>0</v>
      </c>
      <c r="JQV4">
        <f>Database!JRO28</f>
        <v>0</v>
      </c>
      <c r="JQW4">
        <f>Database!JRP28</f>
        <v>0</v>
      </c>
      <c r="JQX4">
        <f>Database!JRQ28</f>
        <v>0</v>
      </c>
      <c r="JQY4">
        <f>Database!JRR28</f>
        <v>0</v>
      </c>
      <c r="JQZ4">
        <f>Database!JRS28</f>
        <v>0</v>
      </c>
      <c r="JRA4">
        <f>Database!JRT28</f>
        <v>0</v>
      </c>
      <c r="JRB4">
        <f>Database!JRU28</f>
        <v>0</v>
      </c>
      <c r="JRC4">
        <f>Database!JRV28</f>
        <v>0</v>
      </c>
      <c r="JRD4">
        <f>Database!JRW28</f>
        <v>0</v>
      </c>
      <c r="JRE4">
        <f>Database!JRX28</f>
        <v>0</v>
      </c>
      <c r="JRF4">
        <f>Database!JRY28</f>
        <v>0</v>
      </c>
      <c r="JRG4">
        <f>Database!JRZ28</f>
        <v>0</v>
      </c>
      <c r="JRH4">
        <f>Database!JSA28</f>
        <v>0</v>
      </c>
      <c r="JRI4">
        <f>Database!JSB28</f>
        <v>0</v>
      </c>
      <c r="JRJ4">
        <f>Database!JSC28</f>
        <v>0</v>
      </c>
      <c r="JRK4">
        <f>Database!JSD28</f>
        <v>0</v>
      </c>
      <c r="JRL4">
        <f>Database!JSE28</f>
        <v>0</v>
      </c>
      <c r="JRM4">
        <f>Database!JSF28</f>
        <v>0</v>
      </c>
      <c r="JRN4">
        <f>Database!JSG28</f>
        <v>0</v>
      </c>
      <c r="JRO4">
        <f>Database!JSH28</f>
        <v>0</v>
      </c>
      <c r="JRP4">
        <f>Database!JSI28</f>
        <v>0</v>
      </c>
      <c r="JRQ4">
        <f>Database!JSJ28</f>
        <v>0</v>
      </c>
      <c r="JRR4">
        <f>Database!JSK28</f>
        <v>0</v>
      </c>
      <c r="JRS4">
        <f>Database!JSL28</f>
        <v>0</v>
      </c>
      <c r="JRT4">
        <f>Database!JSM28</f>
        <v>0</v>
      </c>
      <c r="JRU4">
        <f>Database!JSN28</f>
        <v>0</v>
      </c>
      <c r="JRV4">
        <f>Database!JSO28</f>
        <v>0</v>
      </c>
      <c r="JRW4">
        <f>Database!JSP28</f>
        <v>0</v>
      </c>
      <c r="JRX4">
        <f>Database!JSQ28</f>
        <v>0</v>
      </c>
      <c r="JRY4">
        <f>Database!JSR28</f>
        <v>0</v>
      </c>
      <c r="JRZ4">
        <f>Database!JSS28</f>
        <v>0</v>
      </c>
      <c r="JSA4">
        <f>Database!JST28</f>
        <v>0</v>
      </c>
      <c r="JSB4">
        <f>Database!JSU28</f>
        <v>0</v>
      </c>
      <c r="JSC4">
        <f>Database!JSV28</f>
        <v>0</v>
      </c>
      <c r="JSD4">
        <f>Database!JSW28</f>
        <v>0</v>
      </c>
      <c r="JSE4">
        <f>Database!JSX28</f>
        <v>0</v>
      </c>
      <c r="JSF4">
        <f>Database!JSY28</f>
        <v>0</v>
      </c>
      <c r="JSG4">
        <f>Database!JSZ28</f>
        <v>0</v>
      </c>
      <c r="JSH4">
        <f>Database!JTA28</f>
        <v>0</v>
      </c>
      <c r="JSI4">
        <f>Database!JTB28</f>
        <v>0</v>
      </c>
      <c r="JSJ4">
        <f>Database!JTC28</f>
        <v>0</v>
      </c>
      <c r="JSK4">
        <f>Database!JTD28</f>
        <v>0</v>
      </c>
      <c r="JSL4">
        <f>Database!JTE28</f>
        <v>0</v>
      </c>
      <c r="JSM4">
        <f>Database!JTF28</f>
        <v>0</v>
      </c>
      <c r="JSN4">
        <f>Database!JTG28</f>
        <v>0</v>
      </c>
      <c r="JSO4">
        <f>Database!JTH28</f>
        <v>0</v>
      </c>
      <c r="JSP4">
        <f>Database!JTI28</f>
        <v>0</v>
      </c>
      <c r="JSQ4">
        <f>Database!JTJ28</f>
        <v>0</v>
      </c>
      <c r="JSR4">
        <f>Database!JTK28</f>
        <v>0</v>
      </c>
      <c r="JSS4">
        <f>Database!JTL28</f>
        <v>0</v>
      </c>
      <c r="JST4">
        <f>Database!JTM28</f>
        <v>0</v>
      </c>
      <c r="JSU4">
        <f>Database!JTN28</f>
        <v>0</v>
      </c>
      <c r="JSV4">
        <f>Database!JTO28</f>
        <v>0</v>
      </c>
      <c r="JSW4">
        <f>Database!JTP28</f>
        <v>0</v>
      </c>
      <c r="JSX4">
        <f>Database!JTQ28</f>
        <v>0</v>
      </c>
      <c r="JSY4">
        <f>Database!JTR28</f>
        <v>0</v>
      </c>
      <c r="JSZ4">
        <f>Database!JTS28</f>
        <v>0</v>
      </c>
      <c r="JTA4">
        <f>Database!JTT28</f>
        <v>0</v>
      </c>
      <c r="JTB4">
        <f>Database!JTU28</f>
        <v>0</v>
      </c>
      <c r="JTC4">
        <f>Database!JTV28</f>
        <v>0</v>
      </c>
      <c r="JTD4">
        <f>Database!JTW28</f>
        <v>0</v>
      </c>
      <c r="JTE4">
        <f>Database!JTX28</f>
        <v>0</v>
      </c>
      <c r="JTF4">
        <f>Database!JTY28</f>
        <v>0</v>
      </c>
      <c r="JTG4">
        <f>Database!JTZ28</f>
        <v>0</v>
      </c>
      <c r="JTH4">
        <f>Database!JUA28</f>
        <v>0</v>
      </c>
      <c r="JTI4">
        <f>Database!JUB28</f>
        <v>0</v>
      </c>
      <c r="JTJ4">
        <f>Database!JUC28</f>
        <v>0</v>
      </c>
      <c r="JTK4">
        <f>Database!JUD28</f>
        <v>0</v>
      </c>
      <c r="JTL4">
        <f>Database!JUE28</f>
        <v>0</v>
      </c>
      <c r="JTM4">
        <f>Database!JUF28</f>
        <v>0</v>
      </c>
      <c r="JTN4">
        <f>Database!JUG28</f>
        <v>0</v>
      </c>
      <c r="JTO4">
        <f>Database!JUH28</f>
        <v>0</v>
      </c>
      <c r="JTP4">
        <f>Database!JUI28</f>
        <v>0</v>
      </c>
      <c r="JTQ4">
        <f>Database!JUJ28</f>
        <v>0</v>
      </c>
      <c r="JTR4">
        <f>Database!JUK28</f>
        <v>0</v>
      </c>
      <c r="JTS4">
        <f>Database!JUL28</f>
        <v>0</v>
      </c>
      <c r="JTT4">
        <f>Database!JUM28</f>
        <v>0</v>
      </c>
      <c r="JTU4">
        <f>Database!JUN28</f>
        <v>0</v>
      </c>
      <c r="JTV4">
        <f>Database!JUO28</f>
        <v>0</v>
      </c>
      <c r="JTW4">
        <f>Database!JUP28</f>
        <v>0</v>
      </c>
      <c r="JTX4">
        <f>Database!JUQ28</f>
        <v>0</v>
      </c>
      <c r="JTY4">
        <f>Database!JUR28</f>
        <v>0</v>
      </c>
      <c r="JTZ4">
        <f>Database!JUS28</f>
        <v>0</v>
      </c>
      <c r="JUA4">
        <f>Database!JUT28</f>
        <v>0</v>
      </c>
      <c r="JUB4">
        <f>Database!JUU28</f>
        <v>0</v>
      </c>
      <c r="JUC4">
        <f>Database!JUV28</f>
        <v>0</v>
      </c>
      <c r="JUD4">
        <f>Database!JUW28</f>
        <v>0</v>
      </c>
      <c r="JUE4">
        <f>Database!JUX28</f>
        <v>0</v>
      </c>
      <c r="JUF4">
        <f>Database!JUY28</f>
        <v>0</v>
      </c>
      <c r="JUG4">
        <f>Database!JUZ28</f>
        <v>0</v>
      </c>
      <c r="JUH4">
        <f>Database!JVA28</f>
        <v>0</v>
      </c>
      <c r="JUI4">
        <f>Database!JVB28</f>
        <v>0</v>
      </c>
      <c r="JUJ4">
        <f>Database!JVC28</f>
        <v>0</v>
      </c>
      <c r="JUK4">
        <f>Database!JVD28</f>
        <v>0</v>
      </c>
      <c r="JUL4">
        <f>Database!JVE28</f>
        <v>0</v>
      </c>
      <c r="JUM4">
        <f>Database!JVF28</f>
        <v>0</v>
      </c>
      <c r="JUN4">
        <f>Database!JVG28</f>
        <v>0</v>
      </c>
      <c r="JUO4">
        <f>Database!JVH28</f>
        <v>0</v>
      </c>
      <c r="JUP4">
        <f>Database!JVI28</f>
        <v>0</v>
      </c>
      <c r="JUQ4">
        <f>Database!JVJ28</f>
        <v>0</v>
      </c>
      <c r="JUR4">
        <f>Database!JVK28</f>
        <v>0</v>
      </c>
      <c r="JUS4">
        <f>Database!JVL28</f>
        <v>0</v>
      </c>
      <c r="JUT4">
        <f>Database!JVM28</f>
        <v>0</v>
      </c>
      <c r="JUU4">
        <f>Database!JVN28</f>
        <v>0</v>
      </c>
      <c r="JUV4">
        <f>Database!JVO28</f>
        <v>0</v>
      </c>
      <c r="JUW4">
        <f>Database!JVP28</f>
        <v>0</v>
      </c>
      <c r="JUX4">
        <f>Database!JVQ28</f>
        <v>0</v>
      </c>
      <c r="JUY4">
        <f>Database!JVR28</f>
        <v>0</v>
      </c>
      <c r="JUZ4">
        <f>Database!JVS28</f>
        <v>0</v>
      </c>
      <c r="JVA4">
        <f>Database!JVT28</f>
        <v>0</v>
      </c>
      <c r="JVB4">
        <f>Database!JVU28</f>
        <v>0</v>
      </c>
      <c r="JVC4">
        <f>Database!JVV28</f>
        <v>0</v>
      </c>
      <c r="JVD4">
        <f>Database!JVW28</f>
        <v>0</v>
      </c>
      <c r="JVE4">
        <f>Database!JVX28</f>
        <v>0</v>
      </c>
      <c r="JVF4">
        <f>Database!JVY28</f>
        <v>0</v>
      </c>
      <c r="JVG4">
        <f>Database!JVZ28</f>
        <v>0</v>
      </c>
      <c r="JVH4">
        <f>Database!JWA28</f>
        <v>0</v>
      </c>
      <c r="JVI4">
        <f>Database!JWB28</f>
        <v>0</v>
      </c>
      <c r="JVJ4">
        <f>Database!JWC28</f>
        <v>0</v>
      </c>
      <c r="JVK4">
        <f>Database!JWD28</f>
        <v>0</v>
      </c>
      <c r="JVL4">
        <f>Database!JWE28</f>
        <v>0</v>
      </c>
      <c r="JVM4">
        <f>Database!JWF28</f>
        <v>0</v>
      </c>
      <c r="JVN4">
        <f>Database!JWG28</f>
        <v>0</v>
      </c>
      <c r="JVO4">
        <f>Database!JWH28</f>
        <v>0</v>
      </c>
      <c r="JVP4">
        <f>Database!JWI28</f>
        <v>0</v>
      </c>
      <c r="JVQ4">
        <f>Database!JWJ28</f>
        <v>0</v>
      </c>
      <c r="JVR4">
        <f>Database!JWK28</f>
        <v>0</v>
      </c>
      <c r="JVS4">
        <f>Database!JWL28</f>
        <v>0</v>
      </c>
      <c r="JVT4">
        <f>Database!JWM28</f>
        <v>0</v>
      </c>
      <c r="JVU4">
        <f>Database!JWN28</f>
        <v>0</v>
      </c>
      <c r="JVV4">
        <f>Database!JWO28</f>
        <v>0</v>
      </c>
      <c r="JVW4">
        <f>Database!JWP28</f>
        <v>0</v>
      </c>
      <c r="JVX4">
        <f>Database!JWQ28</f>
        <v>0</v>
      </c>
      <c r="JVY4">
        <f>Database!JWR28</f>
        <v>0</v>
      </c>
      <c r="JVZ4">
        <f>Database!JWS28</f>
        <v>0</v>
      </c>
      <c r="JWA4">
        <f>Database!JWT28</f>
        <v>0</v>
      </c>
      <c r="JWB4">
        <f>Database!JWU28</f>
        <v>0</v>
      </c>
      <c r="JWC4">
        <f>Database!JWV28</f>
        <v>0</v>
      </c>
      <c r="JWD4">
        <f>Database!JWW28</f>
        <v>0</v>
      </c>
      <c r="JWE4">
        <f>Database!JWX28</f>
        <v>0</v>
      </c>
      <c r="JWF4">
        <f>Database!JWY28</f>
        <v>0</v>
      </c>
      <c r="JWG4">
        <f>Database!JWZ28</f>
        <v>0</v>
      </c>
      <c r="JWH4">
        <f>Database!JXA28</f>
        <v>0</v>
      </c>
      <c r="JWI4">
        <f>Database!JXB28</f>
        <v>0</v>
      </c>
      <c r="JWJ4">
        <f>Database!JXC28</f>
        <v>0</v>
      </c>
      <c r="JWK4">
        <f>Database!JXD28</f>
        <v>0</v>
      </c>
      <c r="JWL4">
        <f>Database!JXE28</f>
        <v>0</v>
      </c>
      <c r="JWM4">
        <f>Database!JXF28</f>
        <v>0</v>
      </c>
      <c r="JWN4">
        <f>Database!JXG28</f>
        <v>0</v>
      </c>
      <c r="JWO4">
        <f>Database!JXH28</f>
        <v>0</v>
      </c>
      <c r="JWP4">
        <f>Database!JXI28</f>
        <v>0</v>
      </c>
      <c r="JWQ4">
        <f>Database!JXJ28</f>
        <v>0</v>
      </c>
      <c r="JWR4">
        <f>Database!JXK28</f>
        <v>0</v>
      </c>
      <c r="JWS4">
        <f>Database!JXL28</f>
        <v>0</v>
      </c>
      <c r="JWT4">
        <f>Database!JXM28</f>
        <v>0</v>
      </c>
      <c r="JWU4">
        <f>Database!JXN28</f>
        <v>0</v>
      </c>
      <c r="JWV4">
        <f>Database!JXO28</f>
        <v>0</v>
      </c>
      <c r="JWW4">
        <f>Database!JXP28</f>
        <v>0</v>
      </c>
      <c r="JWX4">
        <f>Database!JXQ28</f>
        <v>0</v>
      </c>
      <c r="JWY4">
        <f>Database!JXR28</f>
        <v>0</v>
      </c>
      <c r="JWZ4">
        <f>Database!JXS28</f>
        <v>0</v>
      </c>
      <c r="JXA4">
        <f>Database!JXT28</f>
        <v>0</v>
      </c>
      <c r="JXB4">
        <f>Database!JXU28</f>
        <v>0</v>
      </c>
      <c r="JXC4">
        <f>Database!JXV28</f>
        <v>0</v>
      </c>
      <c r="JXD4">
        <f>Database!JXW28</f>
        <v>0</v>
      </c>
      <c r="JXE4">
        <f>Database!JXX28</f>
        <v>0</v>
      </c>
      <c r="JXF4">
        <f>Database!JXY28</f>
        <v>0</v>
      </c>
      <c r="JXG4">
        <f>Database!JXZ28</f>
        <v>0</v>
      </c>
      <c r="JXH4">
        <f>Database!JYA28</f>
        <v>0</v>
      </c>
      <c r="JXI4">
        <f>Database!JYB28</f>
        <v>0</v>
      </c>
      <c r="JXJ4">
        <f>Database!JYC28</f>
        <v>0</v>
      </c>
      <c r="JXK4">
        <f>Database!JYD28</f>
        <v>0</v>
      </c>
      <c r="JXL4">
        <f>Database!JYE28</f>
        <v>0</v>
      </c>
      <c r="JXM4">
        <f>Database!JYF28</f>
        <v>0</v>
      </c>
      <c r="JXN4">
        <f>Database!JYG28</f>
        <v>0</v>
      </c>
      <c r="JXO4">
        <f>Database!JYH28</f>
        <v>0</v>
      </c>
      <c r="JXP4">
        <f>Database!JYI28</f>
        <v>0</v>
      </c>
      <c r="JXQ4">
        <f>Database!JYJ28</f>
        <v>0</v>
      </c>
      <c r="JXR4">
        <f>Database!JYK28</f>
        <v>0</v>
      </c>
      <c r="JXS4">
        <f>Database!JYL28</f>
        <v>0</v>
      </c>
      <c r="JXT4">
        <f>Database!JYM28</f>
        <v>0</v>
      </c>
      <c r="JXU4">
        <f>Database!JYN28</f>
        <v>0</v>
      </c>
      <c r="JXV4">
        <f>Database!JYO28</f>
        <v>0</v>
      </c>
      <c r="JXW4">
        <f>Database!JYP28</f>
        <v>0</v>
      </c>
      <c r="JXX4">
        <f>Database!JYQ28</f>
        <v>0</v>
      </c>
      <c r="JXY4">
        <f>Database!JYR28</f>
        <v>0</v>
      </c>
      <c r="JXZ4">
        <f>Database!JYS28</f>
        <v>0</v>
      </c>
      <c r="JYA4">
        <f>Database!JYT28</f>
        <v>0</v>
      </c>
      <c r="JYB4">
        <f>Database!JYU28</f>
        <v>0</v>
      </c>
      <c r="JYC4">
        <f>Database!JYV28</f>
        <v>0</v>
      </c>
      <c r="JYD4">
        <f>Database!JYW28</f>
        <v>0</v>
      </c>
      <c r="JYE4">
        <f>Database!JYX28</f>
        <v>0</v>
      </c>
      <c r="JYF4">
        <f>Database!JYY28</f>
        <v>0</v>
      </c>
      <c r="JYG4">
        <f>Database!JYZ28</f>
        <v>0</v>
      </c>
      <c r="JYH4">
        <f>Database!JZA28</f>
        <v>0</v>
      </c>
      <c r="JYI4">
        <f>Database!JZB28</f>
        <v>0</v>
      </c>
      <c r="JYJ4">
        <f>Database!JZC28</f>
        <v>0</v>
      </c>
      <c r="JYK4">
        <f>Database!JZD28</f>
        <v>0</v>
      </c>
      <c r="JYL4">
        <f>Database!JZE28</f>
        <v>0</v>
      </c>
      <c r="JYM4">
        <f>Database!JZF28</f>
        <v>0</v>
      </c>
      <c r="JYN4">
        <f>Database!JZG28</f>
        <v>0</v>
      </c>
      <c r="JYO4">
        <f>Database!JZH28</f>
        <v>0</v>
      </c>
      <c r="JYP4">
        <f>Database!JZI28</f>
        <v>0</v>
      </c>
      <c r="JYQ4">
        <f>Database!JZJ28</f>
        <v>0</v>
      </c>
      <c r="JYR4">
        <f>Database!JZK28</f>
        <v>0</v>
      </c>
      <c r="JYS4">
        <f>Database!JZL28</f>
        <v>0</v>
      </c>
      <c r="JYT4">
        <f>Database!JZM28</f>
        <v>0</v>
      </c>
      <c r="JYU4">
        <f>Database!JZN28</f>
        <v>0</v>
      </c>
      <c r="JYV4">
        <f>Database!JZO28</f>
        <v>0</v>
      </c>
      <c r="JYW4">
        <f>Database!JZP28</f>
        <v>0</v>
      </c>
      <c r="JYX4">
        <f>Database!JZQ28</f>
        <v>0</v>
      </c>
      <c r="JYY4">
        <f>Database!JZR28</f>
        <v>0</v>
      </c>
      <c r="JYZ4">
        <f>Database!JZS28</f>
        <v>0</v>
      </c>
      <c r="JZA4">
        <f>Database!JZT28</f>
        <v>0</v>
      </c>
      <c r="JZB4">
        <f>Database!JZU28</f>
        <v>0</v>
      </c>
      <c r="JZC4">
        <f>Database!JZV28</f>
        <v>0</v>
      </c>
      <c r="JZD4">
        <f>Database!JZW28</f>
        <v>0</v>
      </c>
      <c r="JZE4">
        <f>Database!JZX28</f>
        <v>0</v>
      </c>
      <c r="JZF4">
        <f>Database!JZY28</f>
        <v>0</v>
      </c>
      <c r="JZG4">
        <f>Database!JZZ28</f>
        <v>0</v>
      </c>
      <c r="JZH4">
        <f>Database!KAA28</f>
        <v>0</v>
      </c>
      <c r="JZI4">
        <f>Database!KAB28</f>
        <v>0</v>
      </c>
      <c r="JZJ4">
        <f>Database!KAC28</f>
        <v>0</v>
      </c>
      <c r="JZK4">
        <f>Database!KAD28</f>
        <v>0</v>
      </c>
      <c r="JZL4">
        <f>Database!KAE28</f>
        <v>0</v>
      </c>
      <c r="JZM4">
        <f>Database!KAF28</f>
        <v>0</v>
      </c>
      <c r="JZN4">
        <f>Database!KAG28</f>
        <v>0</v>
      </c>
      <c r="JZO4">
        <f>Database!KAH28</f>
        <v>0</v>
      </c>
      <c r="JZP4">
        <f>Database!KAI28</f>
        <v>0</v>
      </c>
      <c r="JZQ4">
        <f>Database!KAJ28</f>
        <v>0</v>
      </c>
      <c r="JZR4">
        <f>Database!KAK28</f>
        <v>0</v>
      </c>
      <c r="JZS4">
        <f>Database!KAL28</f>
        <v>0</v>
      </c>
      <c r="JZT4">
        <f>Database!KAM28</f>
        <v>0</v>
      </c>
      <c r="JZU4">
        <f>Database!KAN28</f>
        <v>0</v>
      </c>
      <c r="JZV4">
        <f>Database!KAO28</f>
        <v>0</v>
      </c>
      <c r="JZW4">
        <f>Database!KAP28</f>
        <v>0</v>
      </c>
      <c r="JZX4">
        <f>Database!KAQ28</f>
        <v>0</v>
      </c>
      <c r="JZY4">
        <f>Database!KAR28</f>
        <v>0</v>
      </c>
      <c r="JZZ4">
        <f>Database!KAS28</f>
        <v>0</v>
      </c>
      <c r="KAA4">
        <f>Database!KAT28</f>
        <v>0</v>
      </c>
      <c r="KAB4">
        <f>Database!KAU28</f>
        <v>0</v>
      </c>
      <c r="KAC4">
        <f>Database!KAV28</f>
        <v>0</v>
      </c>
      <c r="KAD4">
        <f>Database!KAW28</f>
        <v>0</v>
      </c>
      <c r="KAE4">
        <f>Database!KAX28</f>
        <v>0</v>
      </c>
      <c r="KAF4">
        <f>Database!KAY28</f>
        <v>0</v>
      </c>
      <c r="KAG4">
        <f>Database!KAZ28</f>
        <v>0</v>
      </c>
      <c r="KAH4">
        <f>Database!KBA28</f>
        <v>0</v>
      </c>
      <c r="KAI4">
        <f>Database!KBB28</f>
        <v>0</v>
      </c>
      <c r="KAJ4">
        <f>Database!KBC28</f>
        <v>0</v>
      </c>
      <c r="KAK4">
        <f>Database!KBD28</f>
        <v>0</v>
      </c>
      <c r="KAL4">
        <f>Database!KBE28</f>
        <v>0</v>
      </c>
      <c r="KAM4">
        <f>Database!KBF28</f>
        <v>0</v>
      </c>
      <c r="KAN4">
        <f>Database!KBG28</f>
        <v>0</v>
      </c>
      <c r="KAO4">
        <f>Database!KBH28</f>
        <v>0</v>
      </c>
      <c r="KAP4">
        <f>Database!KBI28</f>
        <v>0</v>
      </c>
      <c r="KAQ4">
        <f>Database!KBJ28</f>
        <v>0</v>
      </c>
      <c r="KAR4">
        <f>Database!KBK28</f>
        <v>0</v>
      </c>
      <c r="KAS4">
        <f>Database!KBL28</f>
        <v>0</v>
      </c>
      <c r="KAT4">
        <f>Database!KBM28</f>
        <v>0</v>
      </c>
      <c r="KAU4">
        <f>Database!KBN28</f>
        <v>0</v>
      </c>
      <c r="KAV4">
        <f>Database!KBO28</f>
        <v>0</v>
      </c>
      <c r="KAW4">
        <f>Database!KBP28</f>
        <v>0</v>
      </c>
      <c r="KAX4">
        <f>Database!KBQ28</f>
        <v>0</v>
      </c>
      <c r="KAY4">
        <f>Database!KBR28</f>
        <v>0</v>
      </c>
      <c r="KAZ4">
        <f>Database!KBS28</f>
        <v>0</v>
      </c>
      <c r="KBA4">
        <f>Database!KBT28</f>
        <v>0</v>
      </c>
      <c r="KBB4">
        <f>Database!KBU28</f>
        <v>0</v>
      </c>
      <c r="KBC4">
        <f>Database!KBV28</f>
        <v>0</v>
      </c>
      <c r="KBD4">
        <f>Database!KBW28</f>
        <v>0</v>
      </c>
      <c r="KBE4">
        <f>Database!KBX28</f>
        <v>0</v>
      </c>
      <c r="KBF4">
        <f>Database!KBY28</f>
        <v>0</v>
      </c>
      <c r="KBG4">
        <f>Database!KBZ28</f>
        <v>0</v>
      </c>
      <c r="KBH4">
        <f>Database!KCA28</f>
        <v>0</v>
      </c>
      <c r="KBI4">
        <f>Database!KCB28</f>
        <v>0</v>
      </c>
      <c r="KBJ4">
        <f>Database!KCC28</f>
        <v>0</v>
      </c>
      <c r="KBK4">
        <f>Database!KCD28</f>
        <v>0</v>
      </c>
      <c r="KBL4">
        <f>Database!KCE28</f>
        <v>0</v>
      </c>
      <c r="KBM4">
        <f>Database!KCF28</f>
        <v>0</v>
      </c>
      <c r="KBN4">
        <f>Database!KCG28</f>
        <v>0</v>
      </c>
      <c r="KBO4">
        <f>Database!KCH28</f>
        <v>0</v>
      </c>
      <c r="KBP4">
        <f>Database!KCI28</f>
        <v>0</v>
      </c>
      <c r="KBQ4">
        <f>Database!KCJ28</f>
        <v>0</v>
      </c>
      <c r="KBR4">
        <f>Database!KCK28</f>
        <v>0</v>
      </c>
      <c r="KBS4">
        <f>Database!KCL28</f>
        <v>0</v>
      </c>
      <c r="KBT4">
        <f>Database!KCM28</f>
        <v>0</v>
      </c>
      <c r="KBU4">
        <f>Database!KCN28</f>
        <v>0</v>
      </c>
      <c r="KBV4">
        <f>Database!KCO28</f>
        <v>0</v>
      </c>
      <c r="KBW4">
        <f>Database!KCP28</f>
        <v>0</v>
      </c>
      <c r="KBX4">
        <f>Database!KCQ28</f>
        <v>0</v>
      </c>
      <c r="KBY4">
        <f>Database!KCR28</f>
        <v>0</v>
      </c>
      <c r="KBZ4">
        <f>Database!KCS28</f>
        <v>0</v>
      </c>
      <c r="KCA4">
        <f>Database!KCT28</f>
        <v>0</v>
      </c>
      <c r="KCB4">
        <f>Database!KCU28</f>
        <v>0</v>
      </c>
      <c r="KCC4">
        <f>Database!KCV28</f>
        <v>0</v>
      </c>
      <c r="KCD4">
        <f>Database!KCW28</f>
        <v>0</v>
      </c>
      <c r="KCE4">
        <f>Database!KCX28</f>
        <v>0</v>
      </c>
      <c r="KCF4">
        <f>Database!KCY28</f>
        <v>0</v>
      </c>
      <c r="KCG4">
        <f>Database!KCZ28</f>
        <v>0</v>
      </c>
      <c r="KCH4">
        <f>Database!KDA28</f>
        <v>0</v>
      </c>
      <c r="KCI4">
        <f>Database!KDB28</f>
        <v>0</v>
      </c>
      <c r="KCJ4">
        <f>Database!KDC28</f>
        <v>0</v>
      </c>
      <c r="KCK4">
        <f>Database!KDD28</f>
        <v>0</v>
      </c>
      <c r="KCL4">
        <f>Database!KDE28</f>
        <v>0</v>
      </c>
      <c r="KCM4">
        <f>Database!KDF28</f>
        <v>0</v>
      </c>
      <c r="KCN4">
        <f>Database!KDG28</f>
        <v>0</v>
      </c>
      <c r="KCO4">
        <f>Database!KDH28</f>
        <v>0</v>
      </c>
      <c r="KCP4">
        <f>Database!KDI28</f>
        <v>0</v>
      </c>
      <c r="KCQ4">
        <f>Database!KDJ28</f>
        <v>0</v>
      </c>
      <c r="KCR4">
        <f>Database!KDK28</f>
        <v>0</v>
      </c>
      <c r="KCS4">
        <f>Database!KDL28</f>
        <v>0</v>
      </c>
      <c r="KCT4">
        <f>Database!KDM28</f>
        <v>0</v>
      </c>
      <c r="KCU4">
        <f>Database!KDN28</f>
        <v>0</v>
      </c>
      <c r="KCV4">
        <f>Database!KDO28</f>
        <v>0</v>
      </c>
      <c r="KCW4">
        <f>Database!KDP28</f>
        <v>0</v>
      </c>
      <c r="KCX4">
        <f>Database!KDQ28</f>
        <v>0</v>
      </c>
      <c r="KCY4">
        <f>Database!KDR28</f>
        <v>0</v>
      </c>
      <c r="KCZ4">
        <f>Database!KDS28</f>
        <v>0</v>
      </c>
      <c r="KDA4">
        <f>Database!KDT28</f>
        <v>0</v>
      </c>
      <c r="KDB4">
        <f>Database!KDU28</f>
        <v>0</v>
      </c>
      <c r="KDC4">
        <f>Database!KDV28</f>
        <v>0</v>
      </c>
      <c r="KDD4">
        <f>Database!KDW28</f>
        <v>0</v>
      </c>
      <c r="KDE4">
        <f>Database!KDX28</f>
        <v>0</v>
      </c>
      <c r="KDF4">
        <f>Database!KDY28</f>
        <v>0</v>
      </c>
      <c r="KDG4">
        <f>Database!KDZ28</f>
        <v>0</v>
      </c>
      <c r="KDH4">
        <f>Database!KEA28</f>
        <v>0</v>
      </c>
      <c r="KDI4">
        <f>Database!KEB28</f>
        <v>0</v>
      </c>
      <c r="KDJ4">
        <f>Database!KEC28</f>
        <v>0</v>
      </c>
      <c r="KDK4">
        <f>Database!KED28</f>
        <v>0</v>
      </c>
      <c r="KDL4">
        <f>Database!KEE28</f>
        <v>0</v>
      </c>
      <c r="KDM4">
        <f>Database!KEF28</f>
        <v>0</v>
      </c>
      <c r="KDN4">
        <f>Database!KEG28</f>
        <v>0</v>
      </c>
      <c r="KDO4">
        <f>Database!KEH28</f>
        <v>0</v>
      </c>
      <c r="KDP4">
        <f>Database!KEI28</f>
        <v>0</v>
      </c>
      <c r="KDQ4">
        <f>Database!KEJ28</f>
        <v>0</v>
      </c>
      <c r="KDR4">
        <f>Database!KEK28</f>
        <v>0</v>
      </c>
      <c r="KDS4">
        <f>Database!KEL28</f>
        <v>0</v>
      </c>
      <c r="KDT4">
        <f>Database!KEM28</f>
        <v>0</v>
      </c>
      <c r="KDU4">
        <f>Database!KEN28</f>
        <v>0</v>
      </c>
      <c r="KDV4">
        <f>Database!KEO28</f>
        <v>0</v>
      </c>
      <c r="KDW4">
        <f>Database!KEP28</f>
        <v>0</v>
      </c>
      <c r="KDX4">
        <f>Database!KEQ28</f>
        <v>0</v>
      </c>
      <c r="KDY4">
        <f>Database!KER28</f>
        <v>0</v>
      </c>
      <c r="KDZ4">
        <f>Database!KES28</f>
        <v>0</v>
      </c>
      <c r="KEA4">
        <f>Database!KET28</f>
        <v>0</v>
      </c>
      <c r="KEB4">
        <f>Database!KEU28</f>
        <v>0</v>
      </c>
      <c r="KEC4">
        <f>Database!KEV28</f>
        <v>0</v>
      </c>
      <c r="KED4">
        <f>Database!KEW28</f>
        <v>0</v>
      </c>
      <c r="KEE4">
        <f>Database!KEX28</f>
        <v>0</v>
      </c>
      <c r="KEF4">
        <f>Database!KEY28</f>
        <v>0</v>
      </c>
      <c r="KEG4">
        <f>Database!KEZ28</f>
        <v>0</v>
      </c>
      <c r="KEH4">
        <f>Database!KFA28</f>
        <v>0</v>
      </c>
      <c r="KEI4">
        <f>Database!KFB28</f>
        <v>0</v>
      </c>
      <c r="KEJ4">
        <f>Database!KFC28</f>
        <v>0</v>
      </c>
      <c r="KEK4">
        <f>Database!KFD28</f>
        <v>0</v>
      </c>
      <c r="KEL4">
        <f>Database!KFE28</f>
        <v>0</v>
      </c>
      <c r="KEM4">
        <f>Database!KFF28</f>
        <v>0</v>
      </c>
      <c r="KEN4">
        <f>Database!KFG28</f>
        <v>0</v>
      </c>
      <c r="KEO4">
        <f>Database!KFH28</f>
        <v>0</v>
      </c>
      <c r="KEP4">
        <f>Database!KFI28</f>
        <v>0</v>
      </c>
      <c r="KEQ4">
        <f>Database!KFJ28</f>
        <v>0</v>
      </c>
      <c r="KER4">
        <f>Database!KFK28</f>
        <v>0</v>
      </c>
      <c r="KES4">
        <f>Database!KFL28</f>
        <v>0</v>
      </c>
      <c r="KET4">
        <f>Database!KFM28</f>
        <v>0</v>
      </c>
      <c r="KEU4">
        <f>Database!KFN28</f>
        <v>0</v>
      </c>
      <c r="KEV4">
        <f>Database!KFO28</f>
        <v>0</v>
      </c>
      <c r="KEW4">
        <f>Database!KFP28</f>
        <v>0</v>
      </c>
      <c r="KEX4">
        <f>Database!KFQ28</f>
        <v>0</v>
      </c>
      <c r="KEY4">
        <f>Database!KFR28</f>
        <v>0</v>
      </c>
      <c r="KEZ4">
        <f>Database!KFS28</f>
        <v>0</v>
      </c>
      <c r="KFA4">
        <f>Database!KFT28</f>
        <v>0</v>
      </c>
      <c r="KFB4">
        <f>Database!KFU28</f>
        <v>0</v>
      </c>
      <c r="KFC4">
        <f>Database!KFV28</f>
        <v>0</v>
      </c>
      <c r="KFD4">
        <f>Database!KFW28</f>
        <v>0</v>
      </c>
      <c r="KFE4">
        <f>Database!KFX28</f>
        <v>0</v>
      </c>
      <c r="KFF4">
        <f>Database!KFY28</f>
        <v>0</v>
      </c>
      <c r="KFG4">
        <f>Database!KFZ28</f>
        <v>0</v>
      </c>
      <c r="KFH4">
        <f>Database!KGA28</f>
        <v>0</v>
      </c>
      <c r="KFI4">
        <f>Database!KGB28</f>
        <v>0</v>
      </c>
      <c r="KFJ4">
        <f>Database!KGC28</f>
        <v>0</v>
      </c>
      <c r="KFK4">
        <f>Database!KGD28</f>
        <v>0</v>
      </c>
      <c r="KFL4">
        <f>Database!KGE28</f>
        <v>0</v>
      </c>
      <c r="KFM4">
        <f>Database!KGF28</f>
        <v>0</v>
      </c>
      <c r="KFN4">
        <f>Database!KGG28</f>
        <v>0</v>
      </c>
      <c r="KFO4">
        <f>Database!KGH28</f>
        <v>0</v>
      </c>
      <c r="KFP4">
        <f>Database!KGI28</f>
        <v>0</v>
      </c>
      <c r="KFQ4">
        <f>Database!KGJ28</f>
        <v>0</v>
      </c>
      <c r="KFR4">
        <f>Database!KGK28</f>
        <v>0</v>
      </c>
      <c r="KFS4">
        <f>Database!KGL28</f>
        <v>0</v>
      </c>
      <c r="KFT4">
        <f>Database!KGM28</f>
        <v>0</v>
      </c>
      <c r="KFU4">
        <f>Database!KGN28</f>
        <v>0</v>
      </c>
      <c r="KFV4">
        <f>Database!KGO28</f>
        <v>0</v>
      </c>
      <c r="KFW4">
        <f>Database!KGP28</f>
        <v>0</v>
      </c>
      <c r="KFX4">
        <f>Database!KGQ28</f>
        <v>0</v>
      </c>
      <c r="KFY4">
        <f>Database!KGR28</f>
        <v>0</v>
      </c>
      <c r="KFZ4">
        <f>Database!KGS28</f>
        <v>0</v>
      </c>
      <c r="KGA4">
        <f>Database!KGT28</f>
        <v>0</v>
      </c>
      <c r="KGB4">
        <f>Database!KGU28</f>
        <v>0</v>
      </c>
      <c r="KGC4">
        <f>Database!KGV28</f>
        <v>0</v>
      </c>
      <c r="KGD4">
        <f>Database!KGW28</f>
        <v>0</v>
      </c>
      <c r="KGE4">
        <f>Database!KGX28</f>
        <v>0</v>
      </c>
      <c r="KGF4">
        <f>Database!KGY28</f>
        <v>0</v>
      </c>
      <c r="KGG4">
        <f>Database!KGZ28</f>
        <v>0</v>
      </c>
      <c r="KGH4">
        <f>Database!KHA28</f>
        <v>0</v>
      </c>
      <c r="KGI4">
        <f>Database!KHB28</f>
        <v>0</v>
      </c>
      <c r="KGJ4">
        <f>Database!KHC28</f>
        <v>0</v>
      </c>
      <c r="KGK4">
        <f>Database!KHD28</f>
        <v>0</v>
      </c>
      <c r="KGL4">
        <f>Database!KHE28</f>
        <v>0</v>
      </c>
      <c r="KGM4">
        <f>Database!KHF28</f>
        <v>0</v>
      </c>
      <c r="KGN4">
        <f>Database!KHG28</f>
        <v>0</v>
      </c>
      <c r="KGO4">
        <f>Database!KHH28</f>
        <v>0</v>
      </c>
      <c r="KGP4">
        <f>Database!KHI28</f>
        <v>0</v>
      </c>
      <c r="KGQ4">
        <f>Database!KHJ28</f>
        <v>0</v>
      </c>
      <c r="KGR4">
        <f>Database!KHK28</f>
        <v>0</v>
      </c>
      <c r="KGS4">
        <f>Database!KHL28</f>
        <v>0</v>
      </c>
      <c r="KGT4">
        <f>Database!KHM28</f>
        <v>0</v>
      </c>
      <c r="KGU4">
        <f>Database!KHN28</f>
        <v>0</v>
      </c>
      <c r="KGV4">
        <f>Database!KHO28</f>
        <v>0</v>
      </c>
      <c r="KGW4">
        <f>Database!KHP28</f>
        <v>0</v>
      </c>
      <c r="KGX4">
        <f>Database!KHQ28</f>
        <v>0</v>
      </c>
      <c r="KGY4">
        <f>Database!KHR28</f>
        <v>0</v>
      </c>
      <c r="KGZ4">
        <f>Database!KHS28</f>
        <v>0</v>
      </c>
      <c r="KHA4">
        <f>Database!KHT28</f>
        <v>0</v>
      </c>
      <c r="KHB4">
        <f>Database!KHU28</f>
        <v>0</v>
      </c>
      <c r="KHC4">
        <f>Database!KHV28</f>
        <v>0</v>
      </c>
      <c r="KHD4">
        <f>Database!KHW28</f>
        <v>0</v>
      </c>
      <c r="KHE4">
        <f>Database!KHX28</f>
        <v>0</v>
      </c>
      <c r="KHF4">
        <f>Database!KHY28</f>
        <v>0</v>
      </c>
      <c r="KHG4">
        <f>Database!KHZ28</f>
        <v>0</v>
      </c>
      <c r="KHH4">
        <f>Database!KIA28</f>
        <v>0</v>
      </c>
      <c r="KHI4">
        <f>Database!KIB28</f>
        <v>0</v>
      </c>
      <c r="KHJ4">
        <f>Database!KIC28</f>
        <v>0</v>
      </c>
      <c r="KHK4">
        <f>Database!KID28</f>
        <v>0</v>
      </c>
      <c r="KHL4">
        <f>Database!KIE28</f>
        <v>0</v>
      </c>
      <c r="KHM4">
        <f>Database!KIF28</f>
        <v>0</v>
      </c>
      <c r="KHN4">
        <f>Database!KIG28</f>
        <v>0</v>
      </c>
      <c r="KHO4">
        <f>Database!KIH28</f>
        <v>0</v>
      </c>
      <c r="KHP4">
        <f>Database!KII28</f>
        <v>0</v>
      </c>
      <c r="KHQ4">
        <f>Database!KIJ28</f>
        <v>0</v>
      </c>
      <c r="KHR4">
        <f>Database!KIK28</f>
        <v>0</v>
      </c>
      <c r="KHS4">
        <f>Database!KIL28</f>
        <v>0</v>
      </c>
      <c r="KHT4">
        <f>Database!KIM28</f>
        <v>0</v>
      </c>
      <c r="KHU4">
        <f>Database!KIN28</f>
        <v>0</v>
      </c>
      <c r="KHV4">
        <f>Database!KIO28</f>
        <v>0</v>
      </c>
      <c r="KHW4">
        <f>Database!KIP28</f>
        <v>0</v>
      </c>
      <c r="KHX4">
        <f>Database!KIQ28</f>
        <v>0</v>
      </c>
      <c r="KHY4">
        <f>Database!KIR28</f>
        <v>0</v>
      </c>
      <c r="KHZ4">
        <f>Database!KIS28</f>
        <v>0</v>
      </c>
      <c r="KIA4">
        <f>Database!KIT28</f>
        <v>0</v>
      </c>
      <c r="KIB4">
        <f>Database!KIU28</f>
        <v>0</v>
      </c>
      <c r="KIC4">
        <f>Database!KIV28</f>
        <v>0</v>
      </c>
      <c r="KID4">
        <f>Database!KIW28</f>
        <v>0</v>
      </c>
      <c r="KIE4">
        <f>Database!KIX28</f>
        <v>0</v>
      </c>
      <c r="KIF4">
        <f>Database!KIY28</f>
        <v>0</v>
      </c>
      <c r="KIG4">
        <f>Database!KIZ28</f>
        <v>0</v>
      </c>
      <c r="KIH4">
        <f>Database!KJA28</f>
        <v>0</v>
      </c>
      <c r="KII4">
        <f>Database!KJB28</f>
        <v>0</v>
      </c>
      <c r="KIJ4">
        <f>Database!KJC28</f>
        <v>0</v>
      </c>
      <c r="KIK4">
        <f>Database!KJD28</f>
        <v>0</v>
      </c>
      <c r="KIL4">
        <f>Database!KJE28</f>
        <v>0</v>
      </c>
      <c r="KIM4">
        <f>Database!KJF28</f>
        <v>0</v>
      </c>
      <c r="KIN4">
        <f>Database!KJG28</f>
        <v>0</v>
      </c>
      <c r="KIO4">
        <f>Database!KJH28</f>
        <v>0</v>
      </c>
      <c r="KIP4">
        <f>Database!KJI28</f>
        <v>0</v>
      </c>
      <c r="KIQ4">
        <f>Database!KJJ28</f>
        <v>0</v>
      </c>
      <c r="KIR4">
        <f>Database!KJK28</f>
        <v>0</v>
      </c>
      <c r="KIS4">
        <f>Database!KJL28</f>
        <v>0</v>
      </c>
      <c r="KIT4">
        <f>Database!KJM28</f>
        <v>0</v>
      </c>
      <c r="KIU4">
        <f>Database!KJN28</f>
        <v>0</v>
      </c>
      <c r="KIV4">
        <f>Database!KJO28</f>
        <v>0</v>
      </c>
      <c r="KIW4">
        <f>Database!KJP28</f>
        <v>0</v>
      </c>
      <c r="KIX4">
        <f>Database!KJQ28</f>
        <v>0</v>
      </c>
      <c r="KIY4">
        <f>Database!KJR28</f>
        <v>0</v>
      </c>
      <c r="KIZ4">
        <f>Database!KJS28</f>
        <v>0</v>
      </c>
      <c r="KJA4">
        <f>Database!KJT28</f>
        <v>0</v>
      </c>
      <c r="KJB4">
        <f>Database!KJU28</f>
        <v>0</v>
      </c>
      <c r="KJC4">
        <f>Database!KJV28</f>
        <v>0</v>
      </c>
      <c r="KJD4">
        <f>Database!KJW28</f>
        <v>0</v>
      </c>
      <c r="KJE4">
        <f>Database!KJX28</f>
        <v>0</v>
      </c>
      <c r="KJF4">
        <f>Database!KJY28</f>
        <v>0</v>
      </c>
      <c r="KJG4">
        <f>Database!KJZ28</f>
        <v>0</v>
      </c>
      <c r="KJH4">
        <f>Database!KKA28</f>
        <v>0</v>
      </c>
      <c r="KJI4">
        <f>Database!KKB28</f>
        <v>0</v>
      </c>
      <c r="KJJ4">
        <f>Database!KKC28</f>
        <v>0</v>
      </c>
      <c r="KJK4">
        <f>Database!KKD28</f>
        <v>0</v>
      </c>
      <c r="KJL4">
        <f>Database!KKE28</f>
        <v>0</v>
      </c>
      <c r="KJM4">
        <f>Database!KKF28</f>
        <v>0</v>
      </c>
      <c r="KJN4">
        <f>Database!KKG28</f>
        <v>0</v>
      </c>
      <c r="KJO4">
        <f>Database!KKH28</f>
        <v>0</v>
      </c>
      <c r="KJP4">
        <f>Database!KKI28</f>
        <v>0</v>
      </c>
      <c r="KJQ4">
        <f>Database!KKJ28</f>
        <v>0</v>
      </c>
      <c r="KJR4">
        <f>Database!KKK28</f>
        <v>0</v>
      </c>
      <c r="KJS4">
        <f>Database!KKL28</f>
        <v>0</v>
      </c>
      <c r="KJT4">
        <f>Database!KKM28</f>
        <v>0</v>
      </c>
      <c r="KJU4">
        <f>Database!KKN28</f>
        <v>0</v>
      </c>
      <c r="KJV4">
        <f>Database!KKO28</f>
        <v>0</v>
      </c>
      <c r="KJW4">
        <f>Database!KKP28</f>
        <v>0</v>
      </c>
      <c r="KJX4">
        <f>Database!KKQ28</f>
        <v>0</v>
      </c>
      <c r="KJY4">
        <f>Database!KKR28</f>
        <v>0</v>
      </c>
      <c r="KJZ4">
        <f>Database!KKS28</f>
        <v>0</v>
      </c>
      <c r="KKA4">
        <f>Database!KKT28</f>
        <v>0</v>
      </c>
      <c r="KKB4">
        <f>Database!KKU28</f>
        <v>0</v>
      </c>
      <c r="KKC4">
        <f>Database!KKV28</f>
        <v>0</v>
      </c>
      <c r="KKD4">
        <f>Database!KKW28</f>
        <v>0</v>
      </c>
      <c r="KKE4">
        <f>Database!KKX28</f>
        <v>0</v>
      </c>
      <c r="KKF4">
        <f>Database!KKY28</f>
        <v>0</v>
      </c>
      <c r="KKG4">
        <f>Database!KKZ28</f>
        <v>0</v>
      </c>
      <c r="KKH4">
        <f>Database!KLA28</f>
        <v>0</v>
      </c>
      <c r="KKI4">
        <f>Database!KLB28</f>
        <v>0</v>
      </c>
      <c r="KKJ4">
        <f>Database!KLC28</f>
        <v>0</v>
      </c>
      <c r="KKK4">
        <f>Database!KLD28</f>
        <v>0</v>
      </c>
      <c r="KKL4">
        <f>Database!KLE28</f>
        <v>0</v>
      </c>
      <c r="KKM4">
        <f>Database!KLF28</f>
        <v>0</v>
      </c>
      <c r="KKN4">
        <f>Database!KLG28</f>
        <v>0</v>
      </c>
      <c r="KKO4">
        <f>Database!KLH28</f>
        <v>0</v>
      </c>
      <c r="KKP4">
        <f>Database!KLI28</f>
        <v>0</v>
      </c>
      <c r="KKQ4">
        <f>Database!KLJ28</f>
        <v>0</v>
      </c>
      <c r="KKR4">
        <f>Database!KLK28</f>
        <v>0</v>
      </c>
      <c r="KKS4">
        <f>Database!KLL28</f>
        <v>0</v>
      </c>
      <c r="KKT4">
        <f>Database!KLM28</f>
        <v>0</v>
      </c>
      <c r="KKU4">
        <f>Database!KLN28</f>
        <v>0</v>
      </c>
      <c r="KKV4">
        <f>Database!KLO28</f>
        <v>0</v>
      </c>
      <c r="KKW4">
        <f>Database!KLP28</f>
        <v>0</v>
      </c>
      <c r="KKX4">
        <f>Database!KLQ28</f>
        <v>0</v>
      </c>
      <c r="KKY4">
        <f>Database!KLR28</f>
        <v>0</v>
      </c>
      <c r="KKZ4">
        <f>Database!KLS28</f>
        <v>0</v>
      </c>
      <c r="KLA4">
        <f>Database!KLT28</f>
        <v>0</v>
      </c>
      <c r="KLB4">
        <f>Database!KLU28</f>
        <v>0</v>
      </c>
      <c r="KLC4">
        <f>Database!KLV28</f>
        <v>0</v>
      </c>
      <c r="KLD4">
        <f>Database!KLW28</f>
        <v>0</v>
      </c>
      <c r="KLE4">
        <f>Database!KLX28</f>
        <v>0</v>
      </c>
      <c r="KLF4">
        <f>Database!KLY28</f>
        <v>0</v>
      </c>
      <c r="KLG4">
        <f>Database!KLZ28</f>
        <v>0</v>
      </c>
      <c r="KLH4">
        <f>Database!KMA28</f>
        <v>0</v>
      </c>
      <c r="KLI4">
        <f>Database!KMB28</f>
        <v>0</v>
      </c>
      <c r="KLJ4">
        <f>Database!KMC28</f>
        <v>0</v>
      </c>
      <c r="KLK4">
        <f>Database!KMD28</f>
        <v>0</v>
      </c>
      <c r="KLL4">
        <f>Database!KME28</f>
        <v>0</v>
      </c>
      <c r="KLM4">
        <f>Database!KMF28</f>
        <v>0</v>
      </c>
      <c r="KLN4">
        <f>Database!KMG28</f>
        <v>0</v>
      </c>
      <c r="KLO4">
        <f>Database!KMH28</f>
        <v>0</v>
      </c>
      <c r="KLP4">
        <f>Database!KMI28</f>
        <v>0</v>
      </c>
      <c r="KLQ4">
        <f>Database!KMJ28</f>
        <v>0</v>
      </c>
      <c r="KLR4">
        <f>Database!KMK28</f>
        <v>0</v>
      </c>
      <c r="KLS4">
        <f>Database!KML28</f>
        <v>0</v>
      </c>
      <c r="KLT4">
        <f>Database!KMM28</f>
        <v>0</v>
      </c>
      <c r="KLU4">
        <f>Database!KMN28</f>
        <v>0</v>
      </c>
      <c r="KLV4">
        <f>Database!KMO28</f>
        <v>0</v>
      </c>
      <c r="KLW4">
        <f>Database!KMP28</f>
        <v>0</v>
      </c>
      <c r="KLX4">
        <f>Database!KMQ28</f>
        <v>0</v>
      </c>
      <c r="KLY4">
        <f>Database!KMR28</f>
        <v>0</v>
      </c>
      <c r="KLZ4">
        <f>Database!KMS28</f>
        <v>0</v>
      </c>
      <c r="KMA4">
        <f>Database!KMT28</f>
        <v>0</v>
      </c>
      <c r="KMB4">
        <f>Database!KMU28</f>
        <v>0</v>
      </c>
      <c r="KMC4">
        <f>Database!KMV28</f>
        <v>0</v>
      </c>
      <c r="KMD4">
        <f>Database!KMW28</f>
        <v>0</v>
      </c>
      <c r="KME4">
        <f>Database!KMX28</f>
        <v>0</v>
      </c>
      <c r="KMF4">
        <f>Database!KMY28</f>
        <v>0</v>
      </c>
      <c r="KMG4">
        <f>Database!KMZ28</f>
        <v>0</v>
      </c>
      <c r="KMH4">
        <f>Database!KNA28</f>
        <v>0</v>
      </c>
      <c r="KMI4">
        <f>Database!KNB28</f>
        <v>0</v>
      </c>
      <c r="KMJ4">
        <f>Database!KNC28</f>
        <v>0</v>
      </c>
      <c r="KMK4">
        <f>Database!KND28</f>
        <v>0</v>
      </c>
      <c r="KML4">
        <f>Database!KNE28</f>
        <v>0</v>
      </c>
      <c r="KMM4">
        <f>Database!KNF28</f>
        <v>0</v>
      </c>
      <c r="KMN4">
        <f>Database!KNG28</f>
        <v>0</v>
      </c>
      <c r="KMO4">
        <f>Database!KNH28</f>
        <v>0</v>
      </c>
      <c r="KMP4">
        <f>Database!KNI28</f>
        <v>0</v>
      </c>
      <c r="KMQ4">
        <f>Database!KNJ28</f>
        <v>0</v>
      </c>
      <c r="KMR4">
        <f>Database!KNK28</f>
        <v>0</v>
      </c>
      <c r="KMS4">
        <f>Database!KNL28</f>
        <v>0</v>
      </c>
      <c r="KMT4">
        <f>Database!KNM28</f>
        <v>0</v>
      </c>
      <c r="KMU4">
        <f>Database!KNN28</f>
        <v>0</v>
      </c>
      <c r="KMV4">
        <f>Database!KNO28</f>
        <v>0</v>
      </c>
      <c r="KMW4">
        <f>Database!KNP28</f>
        <v>0</v>
      </c>
      <c r="KMX4">
        <f>Database!KNQ28</f>
        <v>0</v>
      </c>
      <c r="KMY4">
        <f>Database!KNR28</f>
        <v>0</v>
      </c>
      <c r="KMZ4">
        <f>Database!KNS28</f>
        <v>0</v>
      </c>
      <c r="KNA4">
        <f>Database!KNT28</f>
        <v>0</v>
      </c>
      <c r="KNB4">
        <f>Database!KNU28</f>
        <v>0</v>
      </c>
      <c r="KNC4">
        <f>Database!KNV28</f>
        <v>0</v>
      </c>
      <c r="KND4">
        <f>Database!KNW28</f>
        <v>0</v>
      </c>
      <c r="KNE4">
        <f>Database!KNX28</f>
        <v>0</v>
      </c>
      <c r="KNF4">
        <f>Database!KNY28</f>
        <v>0</v>
      </c>
      <c r="KNG4">
        <f>Database!KNZ28</f>
        <v>0</v>
      </c>
      <c r="KNH4">
        <f>Database!KOA28</f>
        <v>0</v>
      </c>
      <c r="KNI4">
        <f>Database!KOB28</f>
        <v>0</v>
      </c>
      <c r="KNJ4">
        <f>Database!KOC28</f>
        <v>0</v>
      </c>
      <c r="KNK4">
        <f>Database!KOD28</f>
        <v>0</v>
      </c>
      <c r="KNL4">
        <f>Database!KOE28</f>
        <v>0</v>
      </c>
      <c r="KNM4">
        <f>Database!KOF28</f>
        <v>0</v>
      </c>
      <c r="KNN4">
        <f>Database!KOG28</f>
        <v>0</v>
      </c>
      <c r="KNO4">
        <f>Database!KOH28</f>
        <v>0</v>
      </c>
      <c r="KNP4">
        <f>Database!KOI28</f>
        <v>0</v>
      </c>
      <c r="KNQ4">
        <f>Database!KOJ28</f>
        <v>0</v>
      </c>
      <c r="KNR4">
        <f>Database!KOK28</f>
        <v>0</v>
      </c>
      <c r="KNS4">
        <f>Database!KOL28</f>
        <v>0</v>
      </c>
      <c r="KNT4">
        <f>Database!KOM28</f>
        <v>0</v>
      </c>
      <c r="KNU4">
        <f>Database!KON28</f>
        <v>0</v>
      </c>
      <c r="KNV4">
        <f>Database!KOO28</f>
        <v>0</v>
      </c>
      <c r="KNW4">
        <f>Database!KOP28</f>
        <v>0</v>
      </c>
      <c r="KNX4">
        <f>Database!KOQ28</f>
        <v>0</v>
      </c>
      <c r="KNY4">
        <f>Database!KOR28</f>
        <v>0</v>
      </c>
      <c r="KNZ4">
        <f>Database!KOS28</f>
        <v>0</v>
      </c>
      <c r="KOA4">
        <f>Database!KOT28</f>
        <v>0</v>
      </c>
      <c r="KOB4">
        <f>Database!KOU28</f>
        <v>0</v>
      </c>
      <c r="KOC4">
        <f>Database!KOV28</f>
        <v>0</v>
      </c>
      <c r="KOD4">
        <f>Database!KOW28</f>
        <v>0</v>
      </c>
      <c r="KOE4">
        <f>Database!KOX28</f>
        <v>0</v>
      </c>
      <c r="KOF4">
        <f>Database!KOY28</f>
        <v>0</v>
      </c>
      <c r="KOG4">
        <f>Database!KOZ28</f>
        <v>0</v>
      </c>
      <c r="KOH4">
        <f>Database!KPA28</f>
        <v>0</v>
      </c>
      <c r="KOI4">
        <f>Database!KPB28</f>
        <v>0</v>
      </c>
      <c r="KOJ4">
        <f>Database!KPC28</f>
        <v>0</v>
      </c>
      <c r="KOK4">
        <f>Database!KPD28</f>
        <v>0</v>
      </c>
      <c r="KOL4">
        <f>Database!KPE28</f>
        <v>0</v>
      </c>
      <c r="KOM4">
        <f>Database!KPF28</f>
        <v>0</v>
      </c>
      <c r="KON4">
        <f>Database!KPG28</f>
        <v>0</v>
      </c>
      <c r="KOO4">
        <f>Database!KPH28</f>
        <v>0</v>
      </c>
      <c r="KOP4">
        <f>Database!KPI28</f>
        <v>0</v>
      </c>
      <c r="KOQ4">
        <f>Database!KPJ28</f>
        <v>0</v>
      </c>
      <c r="KOR4">
        <f>Database!KPK28</f>
        <v>0</v>
      </c>
      <c r="KOS4">
        <f>Database!KPL28</f>
        <v>0</v>
      </c>
      <c r="KOT4">
        <f>Database!KPM28</f>
        <v>0</v>
      </c>
      <c r="KOU4">
        <f>Database!KPN28</f>
        <v>0</v>
      </c>
      <c r="KOV4">
        <f>Database!KPO28</f>
        <v>0</v>
      </c>
      <c r="KOW4">
        <f>Database!KPP28</f>
        <v>0</v>
      </c>
      <c r="KOX4">
        <f>Database!KPQ28</f>
        <v>0</v>
      </c>
      <c r="KOY4">
        <f>Database!KPR28</f>
        <v>0</v>
      </c>
      <c r="KOZ4">
        <f>Database!KPS28</f>
        <v>0</v>
      </c>
      <c r="KPA4">
        <f>Database!KPT28</f>
        <v>0</v>
      </c>
      <c r="KPB4">
        <f>Database!KPU28</f>
        <v>0</v>
      </c>
      <c r="KPC4">
        <f>Database!KPV28</f>
        <v>0</v>
      </c>
      <c r="KPD4">
        <f>Database!KPW28</f>
        <v>0</v>
      </c>
      <c r="KPE4">
        <f>Database!KPX28</f>
        <v>0</v>
      </c>
      <c r="KPF4">
        <f>Database!KPY28</f>
        <v>0</v>
      </c>
      <c r="KPG4">
        <f>Database!KPZ28</f>
        <v>0</v>
      </c>
      <c r="KPH4">
        <f>Database!KQA28</f>
        <v>0</v>
      </c>
      <c r="KPI4">
        <f>Database!KQB28</f>
        <v>0</v>
      </c>
      <c r="KPJ4">
        <f>Database!KQC28</f>
        <v>0</v>
      </c>
      <c r="KPK4">
        <f>Database!KQD28</f>
        <v>0</v>
      </c>
      <c r="KPL4">
        <f>Database!KQE28</f>
        <v>0</v>
      </c>
      <c r="KPM4">
        <f>Database!KQF28</f>
        <v>0</v>
      </c>
      <c r="KPN4">
        <f>Database!KQG28</f>
        <v>0</v>
      </c>
      <c r="KPO4">
        <f>Database!KQH28</f>
        <v>0</v>
      </c>
      <c r="KPP4">
        <f>Database!KQI28</f>
        <v>0</v>
      </c>
      <c r="KPQ4">
        <f>Database!KQJ28</f>
        <v>0</v>
      </c>
      <c r="KPR4">
        <f>Database!KQK28</f>
        <v>0</v>
      </c>
      <c r="KPS4">
        <f>Database!KQL28</f>
        <v>0</v>
      </c>
      <c r="KPT4">
        <f>Database!KQM28</f>
        <v>0</v>
      </c>
      <c r="KPU4">
        <f>Database!KQN28</f>
        <v>0</v>
      </c>
      <c r="KPV4">
        <f>Database!KQO28</f>
        <v>0</v>
      </c>
      <c r="KPW4">
        <f>Database!KQP28</f>
        <v>0</v>
      </c>
      <c r="KPX4">
        <f>Database!KQQ28</f>
        <v>0</v>
      </c>
      <c r="KPY4">
        <f>Database!KQR28</f>
        <v>0</v>
      </c>
      <c r="KPZ4">
        <f>Database!KQS28</f>
        <v>0</v>
      </c>
      <c r="KQA4">
        <f>Database!KQT28</f>
        <v>0</v>
      </c>
      <c r="KQB4">
        <f>Database!KQU28</f>
        <v>0</v>
      </c>
      <c r="KQC4">
        <f>Database!KQV28</f>
        <v>0</v>
      </c>
      <c r="KQD4">
        <f>Database!KQW28</f>
        <v>0</v>
      </c>
      <c r="KQE4">
        <f>Database!KQX28</f>
        <v>0</v>
      </c>
      <c r="KQF4">
        <f>Database!KQY28</f>
        <v>0</v>
      </c>
      <c r="KQG4">
        <f>Database!KQZ28</f>
        <v>0</v>
      </c>
      <c r="KQH4">
        <f>Database!KRA28</f>
        <v>0</v>
      </c>
      <c r="KQI4">
        <f>Database!KRB28</f>
        <v>0</v>
      </c>
      <c r="KQJ4">
        <f>Database!KRC28</f>
        <v>0</v>
      </c>
      <c r="KQK4">
        <f>Database!KRD28</f>
        <v>0</v>
      </c>
      <c r="KQL4">
        <f>Database!KRE28</f>
        <v>0</v>
      </c>
      <c r="KQM4">
        <f>Database!KRF28</f>
        <v>0</v>
      </c>
      <c r="KQN4">
        <f>Database!KRG28</f>
        <v>0</v>
      </c>
      <c r="KQO4">
        <f>Database!KRH28</f>
        <v>0</v>
      </c>
      <c r="KQP4">
        <f>Database!KRI28</f>
        <v>0</v>
      </c>
      <c r="KQQ4">
        <f>Database!KRJ28</f>
        <v>0</v>
      </c>
      <c r="KQR4">
        <f>Database!KRK28</f>
        <v>0</v>
      </c>
      <c r="KQS4">
        <f>Database!KRL28</f>
        <v>0</v>
      </c>
      <c r="KQT4">
        <f>Database!KRM28</f>
        <v>0</v>
      </c>
      <c r="KQU4">
        <f>Database!KRN28</f>
        <v>0</v>
      </c>
      <c r="KQV4">
        <f>Database!KRO28</f>
        <v>0</v>
      </c>
      <c r="KQW4">
        <f>Database!KRP28</f>
        <v>0</v>
      </c>
      <c r="KQX4">
        <f>Database!KRQ28</f>
        <v>0</v>
      </c>
      <c r="KQY4">
        <f>Database!KRR28</f>
        <v>0</v>
      </c>
      <c r="KQZ4">
        <f>Database!KRS28</f>
        <v>0</v>
      </c>
      <c r="KRA4">
        <f>Database!KRT28</f>
        <v>0</v>
      </c>
      <c r="KRB4">
        <f>Database!KRU28</f>
        <v>0</v>
      </c>
      <c r="KRC4">
        <f>Database!KRV28</f>
        <v>0</v>
      </c>
      <c r="KRD4">
        <f>Database!KRW28</f>
        <v>0</v>
      </c>
      <c r="KRE4">
        <f>Database!KRX28</f>
        <v>0</v>
      </c>
      <c r="KRF4">
        <f>Database!KRY28</f>
        <v>0</v>
      </c>
      <c r="KRG4">
        <f>Database!KRZ28</f>
        <v>0</v>
      </c>
      <c r="KRH4">
        <f>Database!KSA28</f>
        <v>0</v>
      </c>
      <c r="KRI4">
        <f>Database!KSB28</f>
        <v>0</v>
      </c>
      <c r="KRJ4">
        <f>Database!KSC28</f>
        <v>0</v>
      </c>
      <c r="KRK4">
        <f>Database!KSD28</f>
        <v>0</v>
      </c>
      <c r="KRL4">
        <f>Database!KSE28</f>
        <v>0</v>
      </c>
      <c r="KRM4">
        <f>Database!KSF28</f>
        <v>0</v>
      </c>
      <c r="KRN4">
        <f>Database!KSG28</f>
        <v>0</v>
      </c>
      <c r="KRO4">
        <f>Database!KSH28</f>
        <v>0</v>
      </c>
      <c r="KRP4">
        <f>Database!KSI28</f>
        <v>0</v>
      </c>
      <c r="KRQ4">
        <f>Database!KSJ28</f>
        <v>0</v>
      </c>
      <c r="KRR4">
        <f>Database!KSK28</f>
        <v>0</v>
      </c>
      <c r="KRS4">
        <f>Database!KSL28</f>
        <v>0</v>
      </c>
      <c r="KRT4">
        <f>Database!KSM28</f>
        <v>0</v>
      </c>
      <c r="KRU4">
        <f>Database!KSN28</f>
        <v>0</v>
      </c>
      <c r="KRV4">
        <f>Database!KSO28</f>
        <v>0</v>
      </c>
      <c r="KRW4">
        <f>Database!KSP28</f>
        <v>0</v>
      </c>
      <c r="KRX4">
        <f>Database!KSQ28</f>
        <v>0</v>
      </c>
      <c r="KRY4">
        <f>Database!KSR28</f>
        <v>0</v>
      </c>
      <c r="KRZ4">
        <f>Database!KSS28</f>
        <v>0</v>
      </c>
      <c r="KSA4">
        <f>Database!KST28</f>
        <v>0</v>
      </c>
      <c r="KSB4">
        <f>Database!KSU28</f>
        <v>0</v>
      </c>
      <c r="KSC4">
        <f>Database!KSV28</f>
        <v>0</v>
      </c>
      <c r="KSD4">
        <f>Database!KSW28</f>
        <v>0</v>
      </c>
      <c r="KSE4">
        <f>Database!KSX28</f>
        <v>0</v>
      </c>
      <c r="KSF4">
        <f>Database!KSY28</f>
        <v>0</v>
      </c>
      <c r="KSG4">
        <f>Database!KSZ28</f>
        <v>0</v>
      </c>
      <c r="KSH4">
        <f>Database!KTA28</f>
        <v>0</v>
      </c>
      <c r="KSI4">
        <f>Database!KTB28</f>
        <v>0</v>
      </c>
      <c r="KSJ4">
        <f>Database!KTC28</f>
        <v>0</v>
      </c>
      <c r="KSK4">
        <f>Database!KTD28</f>
        <v>0</v>
      </c>
      <c r="KSL4">
        <f>Database!KTE28</f>
        <v>0</v>
      </c>
      <c r="KSM4">
        <f>Database!KTF28</f>
        <v>0</v>
      </c>
      <c r="KSN4">
        <f>Database!KTG28</f>
        <v>0</v>
      </c>
      <c r="KSO4">
        <f>Database!KTH28</f>
        <v>0</v>
      </c>
      <c r="KSP4">
        <f>Database!KTI28</f>
        <v>0</v>
      </c>
      <c r="KSQ4">
        <f>Database!KTJ28</f>
        <v>0</v>
      </c>
      <c r="KSR4">
        <f>Database!KTK28</f>
        <v>0</v>
      </c>
      <c r="KSS4">
        <f>Database!KTL28</f>
        <v>0</v>
      </c>
      <c r="KST4">
        <f>Database!KTM28</f>
        <v>0</v>
      </c>
      <c r="KSU4">
        <f>Database!KTN28</f>
        <v>0</v>
      </c>
      <c r="KSV4">
        <f>Database!KTO28</f>
        <v>0</v>
      </c>
      <c r="KSW4">
        <f>Database!KTP28</f>
        <v>0</v>
      </c>
      <c r="KSX4">
        <f>Database!KTQ28</f>
        <v>0</v>
      </c>
      <c r="KSY4">
        <f>Database!KTR28</f>
        <v>0</v>
      </c>
      <c r="KSZ4">
        <f>Database!KTS28</f>
        <v>0</v>
      </c>
      <c r="KTA4">
        <f>Database!KTT28</f>
        <v>0</v>
      </c>
      <c r="KTB4">
        <f>Database!KTU28</f>
        <v>0</v>
      </c>
      <c r="KTC4">
        <f>Database!KTV28</f>
        <v>0</v>
      </c>
      <c r="KTD4">
        <f>Database!KTW28</f>
        <v>0</v>
      </c>
      <c r="KTE4">
        <f>Database!KTX28</f>
        <v>0</v>
      </c>
      <c r="KTF4">
        <f>Database!KTY28</f>
        <v>0</v>
      </c>
      <c r="KTG4">
        <f>Database!KTZ28</f>
        <v>0</v>
      </c>
      <c r="KTH4">
        <f>Database!KUA28</f>
        <v>0</v>
      </c>
      <c r="KTI4">
        <f>Database!KUB28</f>
        <v>0</v>
      </c>
      <c r="KTJ4">
        <f>Database!KUC28</f>
        <v>0</v>
      </c>
      <c r="KTK4">
        <f>Database!KUD28</f>
        <v>0</v>
      </c>
      <c r="KTL4">
        <f>Database!KUE28</f>
        <v>0</v>
      </c>
      <c r="KTM4">
        <f>Database!KUF28</f>
        <v>0</v>
      </c>
      <c r="KTN4">
        <f>Database!KUG28</f>
        <v>0</v>
      </c>
      <c r="KTO4">
        <f>Database!KUH28</f>
        <v>0</v>
      </c>
      <c r="KTP4">
        <f>Database!KUI28</f>
        <v>0</v>
      </c>
      <c r="KTQ4">
        <f>Database!KUJ28</f>
        <v>0</v>
      </c>
      <c r="KTR4">
        <f>Database!KUK28</f>
        <v>0</v>
      </c>
      <c r="KTS4">
        <f>Database!KUL28</f>
        <v>0</v>
      </c>
      <c r="KTT4">
        <f>Database!KUM28</f>
        <v>0</v>
      </c>
      <c r="KTU4">
        <f>Database!KUN28</f>
        <v>0</v>
      </c>
      <c r="KTV4">
        <f>Database!KUO28</f>
        <v>0</v>
      </c>
      <c r="KTW4">
        <f>Database!KUP28</f>
        <v>0</v>
      </c>
      <c r="KTX4">
        <f>Database!KUQ28</f>
        <v>0</v>
      </c>
      <c r="KTY4">
        <f>Database!KUR28</f>
        <v>0</v>
      </c>
      <c r="KTZ4">
        <f>Database!KUS28</f>
        <v>0</v>
      </c>
      <c r="KUA4">
        <f>Database!KUT28</f>
        <v>0</v>
      </c>
      <c r="KUB4">
        <f>Database!KUU28</f>
        <v>0</v>
      </c>
      <c r="KUC4">
        <f>Database!KUV28</f>
        <v>0</v>
      </c>
      <c r="KUD4">
        <f>Database!KUW28</f>
        <v>0</v>
      </c>
      <c r="KUE4">
        <f>Database!KUX28</f>
        <v>0</v>
      </c>
      <c r="KUF4">
        <f>Database!KUY28</f>
        <v>0</v>
      </c>
      <c r="KUG4">
        <f>Database!KUZ28</f>
        <v>0</v>
      </c>
      <c r="KUH4">
        <f>Database!KVA28</f>
        <v>0</v>
      </c>
      <c r="KUI4">
        <f>Database!KVB28</f>
        <v>0</v>
      </c>
      <c r="KUJ4">
        <f>Database!KVC28</f>
        <v>0</v>
      </c>
      <c r="KUK4">
        <f>Database!KVD28</f>
        <v>0</v>
      </c>
      <c r="KUL4">
        <f>Database!KVE28</f>
        <v>0</v>
      </c>
      <c r="KUM4">
        <f>Database!KVF28</f>
        <v>0</v>
      </c>
      <c r="KUN4">
        <f>Database!KVG28</f>
        <v>0</v>
      </c>
      <c r="KUO4">
        <f>Database!KVH28</f>
        <v>0</v>
      </c>
      <c r="KUP4">
        <f>Database!KVI28</f>
        <v>0</v>
      </c>
      <c r="KUQ4">
        <f>Database!KVJ28</f>
        <v>0</v>
      </c>
      <c r="KUR4">
        <f>Database!KVK28</f>
        <v>0</v>
      </c>
      <c r="KUS4">
        <f>Database!KVL28</f>
        <v>0</v>
      </c>
      <c r="KUT4">
        <f>Database!KVM28</f>
        <v>0</v>
      </c>
      <c r="KUU4">
        <f>Database!KVN28</f>
        <v>0</v>
      </c>
      <c r="KUV4">
        <f>Database!KVO28</f>
        <v>0</v>
      </c>
      <c r="KUW4">
        <f>Database!KVP28</f>
        <v>0</v>
      </c>
      <c r="KUX4">
        <f>Database!KVQ28</f>
        <v>0</v>
      </c>
      <c r="KUY4">
        <f>Database!KVR28</f>
        <v>0</v>
      </c>
      <c r="KUZ4">
        <f>Database!KVS28</f>
        <v>0</v>
      </c>
      <c r="KVA4">
        <f>Database!KVT28</f>
        <v>0</v>
      </c>
      <c r="KVB4">
        <f>Database!KVU28</f>
        <v>0</v>
      </c>
      <c r="KVC4">
        <f>Database!KVV28</f>
        <v>0</v>
      </c>
      <c r="KVD4">
        <f>Database!KVW28</f>
        <v>0</v>
      </c>
      <c r="KVE4">
        <f>Database!KVX28</f>
        <v>0</v>
      </c>
      <c r="KVF4">
        <f>Database!KVY28</f>
        <v>0</v>
      </c>
      <c r="KVG4">
        <f>Database!KVZ28</f>
        <v>0</v>
      </c>
      <c r="KVH4">
        <f>Database!KWA28</f>
        <v>0</v>
      </c>
      <c r="KVI4">
        <f>Database!KWB28</f>
        <v>0</v>
      </c>
      <c r="KVJ4">
        <f>Database!KWC28</f>
        <v>0</v>
      </c>
      <c r="KVK4">
        <f>Database!KWD28</f>
        <v>0</v>
      </c>
      <c r="KVL4">
        <f>Database!KWE28</f>
        <v>0</v>
      </c>
      <c r="KVM4">
        <f>Database!KWF28</f>
        <v>0</v>
      </c>
      <c r="KVN4">
        <f>Database!KWG28</f>
        <v>0</v>
      </c>
      <c r="KVO4">
        <f>Database!KWH28</f>
        <v>0</v>
      </c>
      <c r="KVP4">
        <f>Database!KWI28</f>
        <v>0</v>
      </c>
      <c r="KVQ4">
        <f>Database!KWJ28</f>
        <v>0</v>
      </c>
      <c r="KVR4">
        <f>Database!KWK28</f>
        <v>0</v>
      </c>
      <c r="KVS4">
        <f>Database!KWL28</f>
        <v>0</v>
      </c>
      <c r="KVT4">
        <f>Database!KWM28</f>
        <v>0</v>
      </c>
      <c r="KVU4">
        <f>Database!KWN28</f>
        <v>0</v>
      </c>
      <c r="KVV4">
        <f>Database!KWO28</f>
        <v>0</v>
      </c>
      <c r="KVW4">
        <f>Database!KWP28</f>
        <v>0</v>
      </c>
      <c r="KVX4">
        <f>Database!KWQ28</f>
        <v>0</v>
      </c>
      <c r="KVY4">
        <f>Database!KWR28</f>
        <v>0</v>
      </c>
      <c r="KVZ4">
        <f>Database!KWS28</f>
        <v>0</v>
      </c>
      <c r="KWA4">
        <f>Database!KWT28</f>
        <v>0</v>
      </c>
      <c r="KWB4">
        <f>Database!KWU28</f>
        <v>0</v>
      </c>
      <c r="KWC4">
        <f>Database!KWV28</f>
        <v>0</v>
      </c>
      <c r="KWD4">
        <f>Database!KWW28</f>
        <v>0</v>
      </c>
      <c r="KWE4">
        <f>Database!KWX28</f>
        <v>0</v>
      </c>
      <c r="KWF4">
        <f>Database!KWY28</f>
        <v>0</v>
      </c>
      <c r="KWG4">
        <f>Database!KWZ28</f>
        <v>0</v>
      </c>
      <c r="KWH4">
        <f>Database!KXA28</f>
        <v>0</v>
      </c>
      <c r="KWI4">
        <f>Database!KXB28</f>
        <v>0</v>
      </c>
      <c r="KWJ4">
        <f>Database!KXC28</f>
        <v>0</v>
      </c>
      <c r="KWK4">
        <f>Database!KXD28</f>
        <v>0</v>
      </c>
      <c r="KWL4">
        <f>Database!KXE28</f>
        <v>0</v>
      </c>
      <c r="KWM4">
        <f>Database!KXF28</f>
        <v>0</v>
      </c>
      <c r="KWN4">
        <f>Database!KXG28</f>
        <v>0</v>
      </c>
      <c r="KWO4">
        <f>Database!KXH28</f>
        <v>0</v>
      </c>
      <c r="KWP4">
        <f>Database!KXI28</f>
        <v>0</v>
      </c>
      <c r="KWQ4">
        <f>Database!KXJ28</f>
        <v>0</v>
      </c>
      <c r="KWR4">
        <f>Database!KXK28</f>
        <v>0</v>
      </c>
      <c r="KWS4">
        <f>Database!KXL28</f>
        <v>0</v>
      </c>
      <c r="KWT4">
        <f>Database!KXM28</f>
        <v>0</v>
      </c>
      <c r="KWU4">
        <f>Database!KXN28</f>
        <v>0</v>
      </c>
      <c r="KWV4">
        <f>Database!KXO28</f>
        <v>0</v>
      </c>
      <c r="KWW4">
        <f>Database!KXP28</f>
        <v>0</v>
      </c>
      <c r="KWX4">
        <f>Database!KXQ28</f>
        <v>0</v>
      </c>
      <c r="KWY4">
        <f>Database!KXR28</f>
        <v>0</v>
      </c>
      <c r="KWZ4">
        <f>Database!KXS28</f>
        <v>0</v>
      </c>
      <c r="KXA4">
        <f>Database!KXT28</f>
        <v>0</v>
      </c>
      <c r="KXB4">
        <f>Database!KXU28</f>
        <v>0</v>
      </c>
      <c r="KXC4">
        <f>Database!KXV28</f>
        <v>0</v>
      </c>
      <c r="KXD4">
        <f>Database!KXW28</f>
        <v>0</v>
      </c>
      <c r="KXE4">
        <f>Database!KXX28</f>
        <v>0</v>
      </c>
      <c r="KXF4">
        <f>Database!KXY28</f>
        <v>0</v>
      </c>
      <c r="KXG4">
        <f>Database!KXZ28</f>
        <v>0</v>
      </c>
      <c r="KXH4">
        <f>Database!KYA28</f>
        <v>0</v>
      </c>
      <c r="KXI4">
        <f>Database!KYB28</f>
        <v>0</v>
      </c>
      <c r="KXJ4">
        <f>Database!KYC28</f>
        <v>0</v>
      </c>
      <c r="KXK4">
        <f>Database!KYD28</f>
        <v>0</v>
      </c>
      <c r="KXL4">
        <f>Database!KYE28</f>
        <v>0</v>
      </c>
      <c r="KXM4">
        <f>Database!KYF28</f>
        <v>0</v>
      </c>
      <c r="KXN4">
        <f>Database!KYG28</f>
        <v>0</v>
      </c>
      <c r="KXO4">
        <f>Database!KYH28</f>
        <v>0</v>
      </c>
      <c r="KXP4">
        <f>Database!KYI28</f>
        <v>0</v>
      </c>
      <c r="KXQ4">
        <f>Database!KYJ28</f>
        <v>0</v>
      </c>
      <c r="KXR4">
        <f>Database!KYK28</f>
        <v>0</v>
      </c>
      <c r="KXS4">
        <f>Database!KYL28</f>
        <v>0</v>
      </c>
      <c r="KXT4">
        <f>Database!KYM28</f>
        <v>0</v>
      </c>
      <c r="KXU4">
        <f>Database!KYN28</f>
        <v>0</v>
      </c>
      <c r="KXV4">
        <f>Database!KYO28</f>
        <v>0</v>
      </c>
      <c r="KXW4">
        <f>Database!KYP28</f>
        <v>0</v>
      </c>
      <c r="KXX4">
        <f>Database!KYQ28</f>
        <v>0</v>
      </c>
      <c r="KXY4">
        <f>Database!KYR28</f>
        <v>0</v>
      </c>
      <c r="KXZ4">
        <f>Database!KYS28</f>
        <v>0</v>
      </c>
      <c r="KYA4">
        <f>Database!KYT28</f>
        <v>0</v>
      </c>
      <c r="KYB4">
        <f>Database!KYU28</f>
        <v>0</v>
      </c>
      <c r="KYC4">
        <f>Database!KYV28</f>
        <v>0</v>
      </c>
      <c r="KYD4">
        <f>Database!KYW28</f>
        <v>0</v>
      </c>
      <c r="KYE4">
        <f>Database!KYX28</f>
        <v>0</v>
      </c>
      <c r="KYF4">
        <f>Database!KYY28</f>
        <v>0</v>
      </c>
      <c r="KYG4">
        <f>Database!KYZ28</f>
        <v>0</v>
      </c>
      <c r="KYH4">
        <f>Database!KZA28</f>
        <v>0</v>
      </c>
      <c r="KYI4">
        <f>Database!KZB28</f>
        <v>0</v>
      </c>
      <c r="KYJ4">
        <f>Database!KZC28</f>
        <v>0</v>
      </c>
      <c r="KYK4">
        <f>Database!KZD28</f>
        <v>0</v>
      </c>
      <c r="KYL4">
        <f>Database!KZE28</f>
        <v>0</v>
      </c>
      <c r="KYM4">
        <f>Database!KZF28</f>
        <v>0</v>
      </c>
      <c r="KYN4">
        <f>Database!KZG28</f>
        <v>0</v>
      </c>
      <c r="KYO4">
        <f>Database!KZH28</f>
        <v>0</v>
      </c>
      <c r="KYP4">
        <f>Database!KZI28</f>
        <v>0</v>
      </c>
      <c r="KYQ4">
        <f>Database!KZJ28</f>
        <v>0</v>
      </c>
      <c r="KYR4">
        <f>Database!KZK28</f>
        <v>0</v>
      </c>
      <c r="KYS4">
        <f>Database!KZL28</f>
        <v>0</v>
      </c>
      <c r="KYT4">
        <f>Database!KZM28</f>
        <v>0</v>
      </c>
      <c r="KYU4">
        <f>Database!KZN28</f>
        <v>0</v>
      </c>
      <c r="KYV4">
        <f>Database!KZO28</f>
        <v>0</v>
      </c>
      <c r="KYW4">
        <f>Database!KZP28</f>
        <v>0</v>
      </c>
      <c r="KYX4">
        <f>Database!KZQ28</f>
        <v>0</v>
      </c>
      <c r="KYY4">
        <f>Database!KZR28</f>
        <v>0</v>
      </c>
      <c r="KYZ4">
        <f>Database!KZS28</f>
        <v>0</v>
      </c>
      <c r="KZA4">
        <f>Database!KZT28</f>
        <v>0</v>
      </c>
      <c r="KZB4">
        <f>Database!KZU28</f>
        <v>0</v>
      </c>
      <c r="KZC4">
        <f>Database!KZV28</f>
        <v>0</v>
      </c>
      <c r="KZD4">
        <f>Database!KZW28</f>
        <v>0</v>
      </c>
      <c r="KZE4">
        <f>Database!KZX28</f>
        <v>0</v>
      </c>
      <c r="KZF4">
        <f>Database!KZY28</f>
        <v>0</v>
      </c>
      <c r="KZG4">
        <f>Database!KZZ28</f>
        <v>0</v>
      </c>
      <c r="KZH4">
        <f>Database!LAA28</f>
        <v>0</v>
      </c>
      <c r="KZI4">
        <f>Database!LAB28</f>
        <v>0</v>
      </c>
      <c r="KZJ4">
        <f>Database!LAC28</f>
        <v>0</v>
      </c>
      <c r="KZK4">
        <f>Database!LAD28</f>
        <v>0</v>
      </c>
      <c r="KZL4">
        <f>Database!LAE28</f>
        <v>0</v>
      </c>
      <c r="KZM4">
        <f>Database!LAF28</f>
        <v>0</v>
      </c>
      <c r="KZN4">
        <f>Database!LAG28</f>
        <v>0</v>
      </c>
      <c r="KZO4">
        <f>Database!LAH28</f>
        <v>0</v>
      </c>
      <c r="KZP4">
        <f>Database!LAI28</f>
        <v>0</v>
      </c>
      <c r="KZQ4">
        <f>Database!LAJ28</f>
        <v>0</v>
      </c>
      <c r="KZR4">
        <f>Database!LAK28</f>
        <v>0</v>
      </c>
      <c r="KZS4">
        <f>Database!LAL28</f>
        <v>0</v>
      </c>
      <c r="KZT4">
        <f>Database!LAM28</f>
        <v>0</v>
      </c>
      <c r="KZU4">
        <f>Database!LAN28</f>
        <v>0</v>
      </c>
      <c r="KZV4">
        <f>Database!LAO28</f>
        <v>0</v>
      </c>
      <c r="KZW4">
        <f>Database!LAP28</f>
        <v>0</v>
      </c>
      <c r="KZX4">
        <f>Database!LAQ28</f>
        <v>0</v>
      </c>
      <c r="KZY4">
        <f>Database!LAR28</f>
        <v>0</v>
      </c>
      <c r="KZZ4">
        <f>Database!LAS28</f>
        <v>0</v>
      </c>
      <c r="LAA4">
        <f>Database!LAT28</f>
        <v>0</v>
      </c>
      <c r="LAB4">
        <f>Database!LAU28</f>
        <v>0</v>
      </c>
      <c r="LAC4">
        <f>Database!LAV28</f>
        <v>0</v>
      </c>
      <c r="LAD4">
        <f>Database!LAW28</f>
        <v>0</v>
      </c>
      <c r="LAE4">
        <f>Database!LAX28</f>
        <v>0</v>
      </c>
      <c r="LAF4">
        <f>Database!LAY28</f>
        <v>0</v>
      </c>
      <c r="LAG4">
        <f>Database!LAZ28</f>
        <v>0</v>
      </c>
      <c r="LAH4">
        <f>Database!LBA28</f>
        <v>0</v>
      </c>
      <c r="LAI4">
        <f>Database!LBB28</f>
        <v>0</v>
      </c>
      <c r="LAJ4">
        <f>Database!LBC28</f>
        <v>0</v>
      </c>
      <c r="LAK4">
        <f>Database!LBD28</f>
        <v>0</v>
      </c>
      <c r="LAL4">
        <f>Database!LBE28</f>
        <v>0</v>
      </c>
      <c r="LAM4">
        <f>Database!LBF28</f>
        <v>0</v>
      </c>
      <c r="LAN4">
        <f>Database!LBG28</f>
        <v>0</v>
      </c>
      <c r="LAO4">
        <f>Database!LBH28</f>
        <v>0</v>
      </c>
      <c r="LAP4">
        <f>Database!LBI28</f>
        <v>0</v>
      </c>
      <c r="LAQ4">
        <f>Database!LBJ28</f>
        <v>0</v>
      </c>
      <c r="LAR4">
        <f>Database!LBK28</f>
        <v>0</v>
      </c>
      <c r="LAS4">
        <f>Database!LBL28</f>
        <v>0</v>
      </c>
      <c r="LAT4">
        <f>Database!LBM28</f>
        <v>0</v>
      </c>
      <c r="LAU4">
        <f>Database!LBN28</f>
        <v>0</v>
      </c>
      <c r="LAV4">
        <f>Database!LBO28</f>
        <v>0</v>
      </c>
      <c r="LAW4">
        <f>Database!LBP28</f>
        <v>0</v>
      </c>
      <c r="LAX4">
        <f>Database!LBQ28</f>
        <v>0</v>
      </c>
      <c r="LAY4">
        <f>Database!LBR28</f>
        <v>0</v>
      </c>
      <c r="LAZ4">
        <f>Database!LBS28</f>
        <v>0</v>
      </c>
      <c r="LBA4">
        <f>Database!LBT28</f>
        <v>0</v>
      </c>
      <c r="LBB4">
        <f>Database!LBU28</f>
        <v>0</v>
      </c>
      <c r="LBC4">
        <f>Database!LBV28</f>
        <v>0</v>
      </c>
      <c r="LBD4">
        <f>Database!LBW28</f>
        <v>0</v>
      </c>
      <c r="LBE4">
        <f>Database!LBX28</f>
        <v>0</v>
      </c>
      <c r="LBF4">
        <f>Database!LBY28</f>
        <v>0</v>
      </c>
      <c r="LBG4">
        <f>Database!LBZ28</f>
        <v>0</v>
      </c>
      <c r="LBH4">
        <f>Database!LCA28</f>
        <v>0</v>
      </c>
      <c r="LBI4">
        <f>Database!LCB28</f>
        <v>0</v>
      </c>
      <c r="LBJ4">
        <f>Database!LCC28</f>
        <v>0</v>
      </c>
      <c r="LBK4">
        <f>Database!LCD28</f>
        <v>0</v>
      </c>
      <c r="LBL4">
        <f>Database!LCE28</f>
        <v>0</v>
      </c>
      <c r="LBM4">
        <f>Database!LCF28</f>
        <v>0</v>
      </c>
      <c r="LBN4">
        <f>Database!LCG28</f>
        <v>0</v>
      </c>
      <c r="LBO4">
        <f>Database!LCH28</f>
        <v>0</v>
      </c>
      <c r="LBP4">
        <f>Database!LCI28</f>
        <v>0</v>
      </c>
      <c r="LBQ4">
        <f>Database!LCJ28</f>
        <v>0</v>
      </c>
      <c r="LBR4">
        <f>Database!LCK28</f>
        <v>0</v>
      </c>
      <c r="LBS4">
        <f>Database!LCL28</f>
        <v>0</v>
      </c>
      <c r="LBT4">
        <f>Database!LCM28</f>
        <v>0</v>
      </c>
      <c r="LBU4">
        <f>Database!LCN28</f>
        <v>0</v>
      </c>
      <c r="LBV4">
        <f>Database!LCO28</f>
        <v>0</v>
      </c>
      <c r="LBW4">
        <f>Database!LCP28</f>
        <v>0</v>
      </c>
      <c r="LBX4">
        <f>Database!LCQ28</f>
        <v>0</v>
      </c>
      <c r="LBY4">
        <f>Database!LCR28</f>
        <v>0</v>
      </c>
      <c r="LBZ4">
        <f>Database!LCS28</f>
        <v>0</v>
      </c>
      <c r="LCA4">
        <f>Database!LCT28</f>
        <v>0</v>
      </c>
      <c r="LCB4">
        <f>Database!LCU28</f>
        <v>0</v>
      </c>
      <c r="LCC4">
        <f>Database!LCV28</f>
        <v>0</v>
      </c>
      <c r="LCD4">
        <f>Database!LCW28</f>
        <v>0</v>
      </c>
      <c r="LCE4">
        <f>Database!LCX28</f>
        <v>0</v>
      </c>
      <c r="LCF4">
        <f>Database!LCY28</f>
        <v>0</v>
      </c>
      <c r="LCG4">
        <f>Database!LCZ28</f>
        <v>0</v>
      </c>
      <c r="LCH4">
        <f>Database!LDA28</f>
        <v>0</v>
      </c>
      <c r="LCI4">
        <f>Database!LDB28</f>
        <v>0</v>
      </c>
      <c r="LCJ4">
        <f>Database!LDC28</f>
        <v>0</v>
      </c>
      <c r="LCK4">
        <f>Database!LDD28</f>
        <v>0</v>
      </c>
      <c r="LCL4">
        <f>Database!LDE28</f>
        <v>0</v>
      </c>
      <c r="LCM4">
        <f>Database!LDF28</f>
        <v>0</v>
      </c>
      <c r="LCN4">
        <f>Database!LDG28</f>
        <v>0</v>
      </c>
      <c r="LCO4">
        <f>Database!LDH28</f>
        <v>0</v>
      </c>
      <c r="LCP4">
        <f>Database!LDI28</f>
        <v>0</v>
      </c>
      <c r="LCQ4">
        <f>Database!LDJ28</f>
        <v>0</v>
      </c>
      <c r="LCR4">
        <f>Database!LDK28</f>
        <v>0</v>
      </c>
      <c r="LCS4">
        <f>Database!LDL28</f>
        <v>0</v>
      </c>
      <c r="LCT4">
        <f>Database!LDM28</f>
        <v>0</v>
      </c>
      <c r="LCU4">
        <f>Database!LDN28</f>
        <v>0</v>
      </c>
      <c r="LCV4">
        <f>Database!LDO28</f>
        <v>0</v>
      </c>
      <c r="LCW4">
        <f>Database!LDP28</f>
        <v>0</v>
      </c>
      <c r="LCX4">
        <f>Database!LDQ28</f>
        <v>0</v>
      </c>
      <c r="LCY4">
        <f>Database!LDR28</f>
        <v>0</v>
      </c>
      <c r="LCZ4">
        <f>Database!LDS28</f>
        <v>0</v>
      </c>
      <c r="LDA4">
        <f>Database!LDT28</f>
        <v>0</v>
      </c>
      <c r="LDB4">
        <f>Database!LDU28</f>
        <v>0</v>
      </c>
      <c r="LDC4">
        <f>Database!LDV28</f>
        <v>0</v>
      </c>
      <c r="LDD4">
        <f>Database!LDW28</f>
        <v>0</v>
      </c>
      <c r="LDE4">
        <f>Database!LDX28</f>
        <v>0</v>
      </c>
      <c r="LDF4">
        <f>Database!LDY28</f>
        <v>0</v>
      </c>
      <c r="LDG4">
        <f>Database!LDZ28</f>
        <v>0</v>
      </c>
      <c r="LDH4">
        <f>Database!LEA28</f>
        <v>0</v>
      </c>
      <c r="LDI4">
        <f>Database!LEB28</f>
        <v>0</v>
      </c>
      <c r="LDJ4">
        <f>Database!LEC28</f>
        <v>0</v>
      </c>
      <c r="LDK4">
        <f>Database!LED28</f>
        <v>0</v>
      </c>
      <c r="LDL4">
        <f>Database!LEE28</f>
        <v>0</v>
      </c>
      <c r="LDM4">
        <f>Database!LEF28</f>
        <v>0</v>
      </c>
      <c r="LDN4">
        <f>Database!LEG28</f>
        <v>0</v>
      </c>
      <c r="LDO4">
        <f>Database!LEH28</f>
        <v>0</v>
      </c>
      <c r="LDP4">
        <f>Database!LEI28</f>
        <v>0</v>
      </c>
      <c r="LDQ4">
        <f>Database!LEJ28</f>
        <v>0</v>
      </c>
      <c r="LDR4">
        <f>Database!LEK28</f>
        <v>0</v>
      </c>
      <c r="LDS4">
        <f>Database!LEL28</f>
        <v>0</v>
      </c>
      <c r="LDT4">
        <f>Database!LEM28</f>
        <v>0</v>
      </c>
      <c r="LDU4">
        <f>Database!LEN28</f>
        <v>0</v>
      </c>
      <c r="LDV4">
        <f>Database!LEO28</f>
        <v>0</v>
      </c>
      <c r="LDW4">
        <f>Database!LEP28</f>
        <v>0</v>
      </c>
      <c r="LDX4">
        <f>Database!LEQ28</f>
        <v>0</v>
      </c>
      <c r="LDY4">
        <f>Database!LER28</f>
        <v>0</v>
      </c>
      <c r="LDZ4">
        <f>Database!LES28</f>
        <v>0</v>
      </c>
      <c r="LEA4">
        <f>Database!LET28</f>
        <v>0</v>
      </c>
      <c r="LEB4">
        <f>Database!LEU28</f>
        <v>0</v>
      </c>
      <c r="LEC4">
        <f>Database!LEV28</f>
        <v>0</v>
      </c>
      <c r="LED4">
        <f>Database!LEW28</f>
        <v>0</v>
      </c>
      <c r="LEE4">
        <f>Database!LEX28</f>
        <v>0</v>
      </c>
      <c r="LEF4">
        <f>Database!LEY28</f>
        <v>0</v>
      </c>
      <c r="LEG4">
        <f>Database!LEZ28</f>
        <v>0</v>
      </c>
      <c r="LEH4">
        <f>Database!LFA28</f>
        <v>0</v>
      </c>
      <c r="LEI4">
        <f>Database!LFB28</f>
        <v>0</v>
      </c>
      <c r="LEJ4">
        <f>Database!LFC28</f>
        <v>0</v>
      </c>
      <c r="LEK4">
        <f>Database!LFD28</f>
        <v>0</v>
      </c>
      <c r="LEL4">
        <f>Database!LFE28</f>
        <v>0</v>
      </c>
      <c r="LEM4">
        <f>Database!LFF28</f>
        <v>0</v>
      </c>
      <c r="LEN4">
        <f>Database!LFG28</f>
        <v>0</v>
      </c>
      <c r="LEO4">
        <f>Database!LFH28</f>
        <v>0</v>
      </c>
      <c r="LEP4">
        <f>Database!LFI28</f>
        <v>0</v>
      </c>
      <c r="LEQ4">
        <f>Database!LFJ28</f>
        <v>0</v>
      </c>
      <c r="LER4">
        <f>Database!LFK28</f>
        <v>0</v>
      </c>
      <c r="LES4">
        <f>Database!LFL28</f>
        <v>0</v>
      </c>
      <c r="LET4">
        <f>Database!LFM28</f>
        <v>0</v>
      </c>
      <c r="LEU4">
        <f>Database!LFN28</f>
        <v>0</v>
      </c>
      <c r="LEV4">
        <f>Database!LFO28</f>
        <v>0</v>
      </c>
      <c r="LEW4">
        <f>Database!LFP28</f>
        <v>0</v>
      </c>
      <c r="LEX4">
        <f>Database!LFQ28</f>
        <v>0</v>
      </c>
      <c r="LEY4">
        <f>Database!LFR28</f>
        <v>0</v>
      </c>
      <c r="LEZ4">
        <f>Database!LFS28</f>
        <v>0</v>
      </c>
      <c r="LFA4">
        <f>Database!LFT28</f>
        <v>0</v>
      </c>
      <c r="LFB4">
        <f>Database!LFU28</f>
        <v>0</v>
      </c>
      <c r="LFC4">
        <f>Database!LFV28</f>
        <v>0</v>
      </c>
      <c r="LFD4">
        <f>Database!LFW28</f>
        <v>0</v>
      </c>
      <c r="LFE4">
        <f>Database!LFX28</f>
        <v>0</v>
      </c>
      <c r="LFF4">
        <f>Database!LFY28</f>
        <v>0</v>
      </c>
      <c r="LFG4">
        <f>Database!LFZ28</f>
        <v>0</v>
      </c>
      <c r="LFH4">
        <f>Database!LGA28</f>
        <v>0</v>
      </c>
      <c r="LFI4">
        <f>Database!LGB28</f>
        <v>0</v>
      </c>
      <c r="LFJ4">
        <f>Database!LGC28</f>
        <v>0</v>
      </c>
      <c r="LFK4">
        <f>Database!LGD28</f>
        <v>0</v>
      </c>
      <c r="LFL4">
        <f>Database!LGE28</f>
        <v>0</v>
      </c>
      <c r="LFM4">
        <f>Database!LGF28</f>
        <v>0</v>
      </c>
      <c r="LFN4">
        <f>Database!LGG28</f>
        <v>0</v>
      </c>
      <c r="LFO4">
        <f>Database!LGH28</f>
        <v>0</v>
      </c>
      <c r="LFP4">
        <f>Database!LGI28</f>
        <v>0</v>
      </c>
      <c r="LFQ4">
        <f>Database!LGJ28</f>
        <v>0</v>
      </c>
      <c r="LFR4">
        <f>Database!LGK28</f>
        <v>0</v>
      </c>
      <c r="LFS4">
        <f>Database!LGL28</f>
        <v>0</v>
      </c>
      <c r="LFT4">
        <f>Database!LGM28</f>
        <v>0</v>
      </c>
      <c r="LFU4">
        <f>Database!LGN28</f>
        <v>0</v>
      </c>
      <c r="LFV4">
        <f>Database!LGO28</f>
        <v>0</v>
      </c>
      <c r="LFW4">
        <f>Database!LGP28</f>
        <v>0</v>
      </c>
      <c r="LFX4">
        <f>Database!LGQ28</f>
        <v>0</v>
      </c>
      <c r="LFY4">
        <f>Database!LGR28</f>
        <v>0</v>
      </c>
      <c r="LFZ4">
        <f>Database!LGS28</f>
        <v>0</v>
      </c>
      <c r="LGA4">
        <f>Database!LGT28</f>
        <v>0</v>
      </c>
      <c r="LGB4">
        <f>Database!LGU28</f>
        <v>0</v>
      </c>
      <c r="LGC4">
        <f>Database!LGV28</f>
        <v>0</v>
      </c>
      <c r="LGD4">
        <f>Database!LGW28</f>
        <v>0</v>
      </c>
      <c r="LGE4">
        <f>Database!LGX28</f>
        <v>0</v>
      </c>
      <c r="LGF4">
        <f>Database!LGY28</f>
        <v>0</v>
      </c>
      <c r="LGG4">
        <f>Database!LGZ28</f>
        <v>0</v>
      </c>
      <c r="LGH4">
        <f>Database!LHA28</f>
        <v>0</v>
      </c>
      <c r="LGI4">
        <f>Database!LHB28</f>
        <v>0</v>
      </c>
      <c r="LGJ4">
        <f>Database!LHC28</f>
        <v>0</v>
      </c>
      <c r="LGK4">
        <f>Database!LHD28</f>
        <v>0</v>
      </c>
      <c r="LGL4">
        <f>Database!LHE28</f>
        <v>0</v>
      </c>
      <c r="LGM4">
        <f>Database!LHF28</f>
        <v>0</v>
      </c>
      <c r="LGN4">
        <f>Database!LHG28</f>
        <v>0</v>
      </c>
      <c r="LGO4">
        <f>Database!LHH28</f>
        <v>0</v>
      </c>
      <c r="LGP4">
        <f>Database!LHI28</f>
        <v>0</v>
      </c>
      <c r="LGQ4">
        <f>Database!LHJ28</f>
        <v>0</v>
      </c>
      <c r="LGR4">
        <f>Database!LHK28</f>
        <v>0</v>
      </c>
      <c r="LGS4">
        <f>Database!LHL28</f>
        <v>0</v>
      </c>
      <c r="LGT4">
        <f>Database!LHM28</f>
        <v>0</v>
      </c>
      <c r="LGU4">
        <f>Database!LHN28</f>
        <v>0</v>
      </c>
      <c r="LGV4">
        <f>Database!LHO28</f>
        <v>0</v>
      </c>
      <c r="LGW4">
        <f>Database!LHP28</f>
        <v>0</v>
      </c>
      <c r="LGX4">
        <f>Database!LHQ28</f>
        <v>0</v>
      </c>
      <c r="LGY4">
        <f>Database!LHR28</f>
        <v>0</v>
      </c>
      <c r="LGZ4">
        <f>Database!LHS28</f>
        <v>0</v>
      </c>
      <c r="LHA4">
        <f>Database!LHT28</f>
        <v>0</v>
      </c>
      <c r="LHB4">
        <f>Database!LHU28</f>
        <v>0</v>
      </c>
      <c r="LHC4">
        <f>Database!LHV28</f>
        <v>0</v>
      </c>
      <c r="LHD4">
        <f>Database!LHW28</f>
        <v>0</v>
      </c>
      <c r="LHE4">
        <f>Database!LHX28</f>
        <v>0</v>
      </c>
      <c r="LHF4">
        <f>Database!LHY28</f>
        <v>0</v>
      </c>
      <c r="LHG4">
        <f>Database!LHZ28</f>
        <v>0</v>
      </c>
      <c r="LHH4">
        <f>Database!LIA28</f>
        <v>0</v>
      </c>
      <c r="LHI4">
        <f>Database!LIB28</f>
        <v>0</v>
      </c>
      <c r="LHJ4">
        <f>Database!LIC28</f>
        <v>0</v>
      </c>
      <c r="LHK4">
        <f>Database!LID28</f>
        <v>0</v>
      </c>
      <c r="LHL4">
        <f>Database!LIE28</f>
        <v>0</v>
      </c>
      <c r="LHM4">
        <f>Database!LIF28</f>
        <v>0</v>
      </c>
      <c r="LHN4">
        <f>Database!LIG28</f>
        <v>0</v>
      </c>
      <c r="LHO4">
        <f>Database!LIH28</f>
        <v>0</v>
      </c>
      <c r="LHP4">
        <f>Database!LII28</f>
        <v>0</v>
      </c>
      <c r="LHQ4">
        <f>Database!LIJ28</f>
        <v>0</v>
      </c>
      <c r="LHR4">
        <f>Database!LIK28</f>
        <v>0</v>
      </c>
      <c r="LHS4">
        <f>Database!LIL28</f>
        <v>0</v>
      </c>
      <c r="LHT4">
        <f>Database!LIM28</f>
        <v>0</v>
      </c>
      <c r="LHU4">
        <f>Database!LIN28</f>
        <v>0</v>
      </c>
      <c r="LHV4">
        <f>Database!LIO28</f>
        <v>0</v>
      </c>
      <c r="LHW4">
        <f>Database!LIP28</f>
        <v>0</v>
      </c>
      <c r="LHX4">
        <f>Database!LIQ28</f>
        <v>0</v>
      </c>
      <c r="LHY4">
        <f>Database!LIR28</f>
        <v>0</v>
      </c>
      <c r="LHZ4">
        <f>Database!LIS28</f>
        <v>0</v>
      </c>
      <c r="LIA4">
        <f>Database!LIT28</f>
        <v>0</v>
      </c>
      <c r="LIB4">
        <f>Database!LIU28</f>
        <v>0</v>
      </c>
      <c r="LIC4">
        <f>Database!LIV28</f>
        <v>0</v>
      </c>
      <c r="LID4">
        <f>Database!LIW28</f>
        <v>0</v>
      </c>
      <c r="LIE4">
        <f>Database!LIX28</f>
        <v>0</v>
      </c>
      <c r="LIF4">
        <f>Database!LIY28</f>
        <v>0</v>
      </c>
      <c r="LIG4">
        <f>Database!LIZ28</f>
        <v>0</v>
      </c>
      <c r="LIH4">
        <f>Database!LJA28</f>
        <v>0</v>
      </c>
      <c r="LII4">
        <f>Database!LJB28</f>
        <v>0</v>
      </c>
      <c r="LIJ4">
        <f>Database!LJC28</f>
        <v>0</v>
      </c>
      <c r="LIK4">
        <f>Database!LJD28</f>
        <v>0</v>
      </c>
      <c r="LIL4">
        <f>Database!LJE28</f>
        <v>0</v>
      </c>
      <c r="LIM4">
        <f>Database!LJF28</f>
        <v>0</v>
      </c>
      <c r="LIN4">
        <f>Database!LJG28</f>
        <v>0</v>
      </c>
      <c r="LIO4">
        <f>Database!LJH28</f>
        <v>0</v>
      </c>
      <c r="LIP4">
        <f>Database!LJI28</f>
        <v>0</v>
      </c>
      <c r="LIQ4">
        <f>Database!LJJ28</f>
        <v>0</v>
      </c>
      <c r="LIR4">
        <f>Database!LJK28</f>
        <v>0</v>
      </c>
      <c r="LIS4">
        <f>Database!LJL28</f>
        <v>0</v>
      </c>
      <c r="LIT4">
        <f>Database!LJM28</f>
        <v>0</v>
      </c>
      <c r="LIU4">
        <f>Database!LJN28</f>
        <v>0</v>
      </c>
      <c r="LIV4">
        <f>Database!LJO28</f>
        <v>0</v>
      </c>
      <c r="LIW4">
        <f>Database!LJP28</f>
        <v>0</v>
      </c>
      <c r="LIX4">
        <f>Database!LJQ28</f>
        <v>0</v>
      </c>
      <c r="LIY4">
        <f>Database!LJR28</f>
        <v>0</v>
      </c>
      <c r="LIZ4">
        <f>Database!LJS28</f>
        <v>0</v>
      </c>
      <c r="LJA4">
        <f>Database!LJT28</f>
        <v>0</v>
      </c>
      <c r="LJB4">
        <f>Database!LJU28</f>
        <v>0</v>
      </c>
      <c r="LJC4">
        <f>Database!LJV28</f>
        <v>0</v>
      </c>
      <c r="LJD4">
        <f>Database!LJW28</f>
        <v>0</v>
      </c>
      <c r="LJE4">
        <f>Database!LJX28</f>
        <v>0</v>
      </c>
      <c r="LJF4">
        <f>Database!LJY28</f>
        <v>0</v>
      </c>
      <c r="LJG4">
        <f>Database!LJZ28</f>
        <v>0</v>
      </c>
      <c r="LJH4">
        <f>Database!LKA28</f>
        <v>0</v>
      </c>
      <c r="LJI4">
        <f>Database!LKB28</f>
        <v>0</v>
      </c>
      <c r="LJJ4">
        <f>Database!LKC28</f>
        <v>0</v>
      </c>
      <c r="LJK4">
        <f>Database!LKD28</f>
        <v>0</v>
      </c>
      <c r="LJL4">
        <f>Database!LKE28</f>
        <v>0</v>
      </c>
      <c r="LJM4">
        <f>Database!LKF28</f>
        <v>0</v>
      </c>
      <c r="LJN4">
        <f>Database!LKG28</f>
        <v>0</v>
      </c>
      <c r="LJO4">
        <f>Database!LKH28</f>
        <v>0</v>
      </c>
      <c r="LJP4">
        <f>Database!LKI28</f>
        <v>0</v>
      </c>
      <c r="LJQ4">
        <f>Database!LKJ28</f>
        <v>0</v>
      </c>
      <c r="LJR4">
        <f>Database!LKK28</f>
        <v>0</v>
      </c>
      <c r="LJS4">
        <f>Database!LKL28</f>
        <v>0</v>
      </c>
      <c r="LJT4">
        <f>Database!LKM28</f>
        <v>0</v>
      </c>
      <c r="LJU4">
        <f>Database!LKN28</f>
        <v>0</v>
      </c>
      <c r="LJV4">
        <f>Database!LKO28</f>
        <v>0</v>
      </c>
      <c r="LJW4">
        <f>Database!LKP28</f>
        <v>0</v>
      </c>
      <c r="LJX4">
        <f>Database!LKQ28</f>
        <v>0</v>
      </c>
      <c r="LJY4">
        <f>Database!LKR28</f>
        <v>0</v>
      </c>
      <c r="LJZ4">
        <f>Database!LKS28</f>
        <v>0</v>
      </c>
      <c r="LKA4">
        <f>Database!LKT28</f>
        <v>0</v>
      </c>
      <c r="LKB4">
        <f>Database!LKU28</f>
        <v>0</v>
      </c>
      <c r="LKC4">
        <f>Database!LKV28</f>
        <v>0</v>
      </c>
      <c r="LKD4">
        <f>Database!LKW28</f>
        <v>0</v>
      </c>
      <c r="LKE4">
        <f>Database!LKX28</f>
        <v>0</v>
      </c>
      <c r="LKF4">
        <f>Database!LKY28</f>
        <v>0</v>
      </c>
      <c r="LKG4">
        <f>Database!LKZ28</f>
        <v>0</v>
      </c>
      <c r="LKH4">
        <f>Database!LLA28</f>
        <v>0</v>
      </c>
      <c r="LKI4">
        <f>Database!LLB28</f>
        <v>0</v>
      </c>
      <c r="LKJ4">
        <f>Database!LLC28</f>
        <v>0</v>
      </c>
      <c r="LKK4">
        <f>Database!LLD28</f>
        <v>0</v>
      </c>
      <c r="LKL4">
        <f>Database!LLE28</f>
        <v>0</v>
      </c>
      <c r="LKM4">
        <f>Database!LLF28</f>
        <v>0</v>
      </c>
      <c r="LKN4">
        <f>Database!LLG28</f>
        <v>0</v>
      </c>
      <c r="LKO4">
        <f>Database!LLH28</f>
        <v>0</v>
      </c>
      <c r="LKP4">
        <f>Database!LLI28</f>
        <v>0</v>
      </c>
      <c r="LKQ4">
        <f>Database!LLJ28</f>
        <v>0</v>
      </c>
      <c r="LKR4">
        <f>Database!LLK28</f>
        <v>0</v>
      </c>
      <c r="LKS4">
        <f>Database!LLL28</f>
        <v>0</v>
      </c>
      <c r="LKT4">
        <f>Database!LLM28</f>
        <v>0</v>
      </c>
      <c r="LKU4">
        <f>Database!LLN28</f>
        <v>0</v>
      </c>
      <c r="LKV4">
        <f>Database!LLO28</f>
        <v>0</v>
      </c>
      <c r="LKW4">
        <f>Database!LLP28</f>
        <v>0</v>
      </c>
      <c r="LKX4">
        <f>Database!LLQ28</f>
        <v>0</v>
      </c>
      <c r="LKY4">
        <f>Database!LLR28</f>
        <v>0</v>
      </c>
      <c r="LKZ4">
        <f>Database!LLS28</f>
        <v>0</v>
      </c>
      <c r="LLA4">
        <f>Database!LLT28</f>
        <v>0</v>
      </c>
      <c r="LLB4">
        <f>Database!LLU28</f>
        <v>0</v>
      </c>
      <c r="LLC4">
        <f>Database!LLV28</f>
        <v>0</v>
      </c>
      <c r="LLD4">
        <f>Database!LLW28</f>
        <v>0</v>
      </c>
      <c r="LLE4">
        <f>Database!LLX28</f>
        <v>0</v>
      </c>
      <c r="LLF4">
        <f>Database!LLY28</f>
        <v>0</v>
      </c>
      <c r="LLG4">
        <f>Database!LLZ28</f>
        <v>0</v>
      </c>
      <c r="LLH4">
        <f>Database!LMA28</f>
        <v>0</v>
      </c>
      <c r="LLI4">
        <f>Database!LMB28</f>
        <v>0</v>
      </c>
      <c r="LLJ4">
        <f>Database!LMC28</f>
        <v>0</v>
      </c>
      <c r="LLK4">
        <f>Database!LMD28</f>
        <v>0</v>
      </c>
      <c r="LLL4">
        <f>Database!LME28</f>
        <v>0</v>
      </c>
      <c r="LLM4">
        <f>Database!LMF28</f>
        <v>0</v>
      </c>
      <c r="LLN4">
        <f>Database!LMG28</f>
        <v>0</v>
      </c>
      <c r="LLO4">
        <f>Database!LMH28</f>
        <v>0</v>
      </c>
      <c r="LLP4">
        <f>Database!LMI28</f>
        <v>0</v>
      </c>
      <c r="LLQ4">
        <f>Database!LMJ28</f>
        <v>0</v>
      </c>
      <c r="LLR4">
        <f>Database!LMK28</f>
        <v>0</v>
      </c>
      <c r="LLS4">
        <f>Database!LML28</f>
        <v>0</v>
      </c>
      <c r="LLT4">
        <f>Database!LMM28</f>
        <v>0</v>
      </c>
      <c r="LLU4">
        <f>Database!LMN28</f>
        <v>0</v>
      </c>
      <c r="LLV4">
        <f>Database!LMO28</f>
        <v>0</v>
      </c>
      <c r="LLW4">
        <f>Database!LMP28</f>
        <v>0</v>
      </c>
      <c r="LLX4">
        <f>Database!LMQ28</f>
        <v>0</v>
      </c>
      <c r="LLY4">
        <f>Database!LMR28</f>
        <v>0</v>
      </c>
      <c r="LLZ4">
        <f>Database!LMS28</f>
        <v>0</v>
      </c>
      <c r="LMA4">
        <f>Database!LMT28</f>
        <v>0</v>
      </c>
      <c r="LMB4">
        <f>Database!LMU28</f>
        <v>0</v>
      </c>
      <c r="LMC4">
        <f>Database!LMV28</f>
        <v>0</v>
      </c>
      <c r="LMD4">
        <f>Database!LMW28</f>
        <v>0</v>
      </c>
      <c r="LME4">
        <f>Database!LMX28</f>
        <v>0</v>
      </c>
      <c r="LMF4">
        <f>Database!LMY28</f>
        <v>0</v>
      </c>
      <c r="LMG4">
        <f>Database!LMZ28</f>
        <v>0</v>
      </c>
      <c r="LMH4">
        <f>Database!LNA28</f>
        <v>0</v>
      </c>
      <c r="LMI4">
        <f>Database!LNB28</f>
        <v>0</v>
      </c>
      <c r="LMJ4">
        <f>Database!LNC28</f>
        <v>0</v>
      </c>
      <c r="LMK4">
        <f>Database!LND28</f>
        <v>0</v>
      </c>
      <c r="LML4">
        <f>Database!LNE28</f>
        <v>0</v>
      </c>
      <c r="LMM4">
        <f>Database!LNF28</f>
        <v>0</v>
      </c>
      <c r="LMN4">
        <f>Database!LNG28</f>
        <v>0</v>
      </c>
      <c r="LMO4">
        <f>Database!LNH28</f>
        <v>0</v>
      </c>
      <c r="LMP4">
        <f>Database!LNI28</f>
        <v>0</v>
      </c>
      <c r="LMQ4">
        <f>Database!LNJ28</f>
        <v>0</v>
      </c>
      <c r="LMR4">
        <f>Database!LNK28</f>
        <v>0</v>
      </c>
      <c r="LMS4">
        <f>Database!LNL28</f>
        <v>0</v>
      </c>
      <c r="LMT4">
        <f>Database!LNM28</f>
        <v>0</v>
      </c>
      <c r="LMU4">
        <f>Database!LNN28</f>
        <v>0</v>
      </c>
      <c r="LMV4">
        <f>Database!LNO28</f>
        <v>0</v>
      </c>
      <c r="LMW4">
        <f>Database!LNP28</f>
        <v>0</v>
      </c>
      <c r="LMX4">
        <f>Database!LNQ28</f>
        <v>0</v>
      </c>
      <c r="LMY4">
        <f>Database!LNR28</f>
        <v>0</v>
      </c>
      <c r="LMZ4">
        <f>Database!LNS28</f>
        <v>0</v>
      </c>
      <c r="LNA4">
        <f>Database!LNT28</f>
        <v>0</v>
      </c>
      <c r="LNB4">
        <f>Database!LNU28</f>
        <v>0</v>
      </c>
      <c r="LNC4">
        <f>Database!LNV28</f>
        <v>0</v>
      </c>
      <c r="LND4">
        <f>Database!LNW28</f>
        <v>0</v>
      </c>
      <c r="LNE4">
        <f>Database!LNX28</f>
        <v>0</v>
      </c>
      <c r="LNF4">
        <f>Database!LNY28</f>
        <v>0</v>
      </c>
      <c r="LNG4">
        <f>Database!LNZ28</f>
        <v>0</v>
      </c>
      <c r="LNH4">
        <f>Database!LOA28</f>
        <v>0</v>
      </c>
      <c r="LNI4">
        <f>Database!LOB28</f>
        <v>0</v>
      </c>
      <c r="LNJ4">
        <f>Database!LOC28</f>
        <v>0</v>
      </c>
      <c r="LNK4">
        <f>Database!LOD28</f>
        <v>0</v>
      </c>
      <c r="LNL4">
        <f>Database!LOE28</f>
        <v>0</v>
      </c>
      <c r="LNM4">
        <f>Database!LOF28</f>
        <v>0</v>
      </c>
      <c r="LNN4">
        <f>Database!LOG28</f>
        <v>0</v>
      </c>
      <c r="LNO4">
        <f>Database!LOH28</f>
        <v>0</v>
      </c>
      <c r="LNP4">
        <f>Database!LOI28</f>
        <v>0</v>
      </c>
      <c r="LNQ4">
        <f>Database!LOJ28</f>
        <v>0</v>
      </c>
      <c r="LNR4">
        <f>Database!LOK28</f>
        <v>0</v>
      </c>
      <c r="LNS4">
        <f>Database!LOL28</f>
        <v>0</v>
      </c>
      <c r="LNT4">
        <f>Database!LOM28</f>
        <v>0</v>
      </c>
      <c r="LNU4">
        <f>Database!LON28</f>
        <v>0</v>
      </c>
      <c r="LNV4">
        <f>Database!LOO28</f>
        <v>0</v>
      </c>
      <c r="LNW4">
        <f>Database!LOP28</f>
        <v>0</v>
      </c>
      <c r="LNX4">
        <f>Database!LOQ28</f>
        <v>0</v>
      </c>
      <c r="LNY4">
        <f>Database!LOR28</f>
        <v>0</v>
      </c>
      <c r="LNZ4">
        <f>Database!LOS28</f>
        <v>0</v>
      </c>
      <c r="LOA4">
        <f>Database!LOT28</f>
        <v>0</v>
      </c>
      <c r="LOB4">
        <f>Database!LOU28</f>
        <v>0</v>
      </c>
      <c r="LOC4">
        <f>Database!LOV28</f>
        <v>0</v>
      </c>
      <c r="LOD4">
        <f>Database!LOW28</f>
        <v>0</v>
      </c>
      <c r="LOE4">
        <f>Database!LOX28</f>
        <v>0</v>
      </c>
      <c r="LOF4">
        <f>Database!LOY28</f>
        <v>0</v>
      </c>
      <c r="LOG4">
        <f>Database!LOZ28</f>
        <v>0</v>
      </c>
      <c r="LOH4">
        <f>Database!LPA28</f>
        <v>0</v>
      </c>
      <c r="LOI4">
        <f>Database!LPB28</f>
        <v>0</v>
      </c>
      <c r="LOJ4">
        <f>Database!LPC28</f>
        <v>0</v>
      </c>
      <c r="LOK4">
        <f>Database!LPD28</f>
        <v>0</v>
      </c>
      <c r="LOL4">
        <f>Database!LPE28</f>
        <v>0</v>
      </c>
      <c r="LOM4">
        <f>Database!LPF28</f>
        <v>0</v>
      </c>
      <c r="LON4">
        <f>Database!LPG28</f>
        <v>0</v>
      </c>
      <c r="LOO4">
        <f>Database!LPH28</f>
        <v>0</v>
      </c>
      <c r="LOP4">
        <f>Database!LPI28</f>
        <v>0</v>
      </c>
      <c r="LOQ4">
        <f>Database!LPJ28</f>
        <v>0</v>
      </c>
      <c r="LOR4">
        <f>Database!LPK28</f>
        <v>0</v>
      </c>
      <c r="LOS4">
        <f>Database!LPL28</f>
        <v>0</v>
      </c>
      <c r="LOT4">
        <f>Database!LPM28</f>
        <v>0</v>
      </c>
      <c r="LOU4">
        <f>Database!LPN28</f>
        <v>0</v>
      </c>
      <c r="LOV4">
        <f>Database!LPO28</f>
        <v>0</v>
      </c>
      <c r="LOW4">
        <f>Database!LPP28</f>
        <v>0</v>
      </c>
      <c r="LOX4">
        <f>Database!LPQ28</f>
        <v>0</v>
      </c>
      <c r="LOY4">
        <f>Database!LPR28</f>
        <v>0</v>
      </c>
      <c r="LOZ4">
        <f>Database!LPS28</f>
        <v>0</v>
      </c>
      <c r="LPA4">
        <f>Database!LPT28</f>
        <v>0</v>
      </c>
      <c r="LPB4">
        <f>Database!LPU28</f>
        <v>0</v>
      </c>
      <c r="LPC4">
        <f>Database!LPV28</f>
        <v>0</v>
      </c>
      <c r="LPD4">
        <f>Database!LPW28</f>
        <v>0</v>
      </c>
      <c r="LPE4">
        <f>Database!LPX28</f>
        <v>0</v>
      </c>
      <c r="LPF4">
        <f>Database!LPY28</f>
        <v>0</v>
      </c>
      <c r="LPG4">
        <f>Database!LPZ28</f>
        <v>0</v>
      </c>
      <c r="LPH4">
        <f>Database!LQA28</f>
        <v>0</v>
      </c>
      <c r="LPI4">
        <f>Database!LQB28</f>
        <v>0</v>
      </c>
      <c r="LPJ4">
        <f>Database!LQC28</f>
        <v>0</v>
      </c>
      <c r="LPK4">
        <f>Database!LQD28</f>
        <v>0</v>
      </c>
      <c r="LPL4">
        <f>Database!LQE28</f>
        <v>0</v>
      </c>
      <c r="LPM4">
        <f>Database!LQF28</f>
        <v>0</v>
      </c>
      <c r="LPN4">
        <f>Database!LQG28</f>
        <v>0</v>
      </c>
      <c r="LPO4">
        <f>Database!LQH28</f>
        <v>0</v>
      </c>
      <c r="LPP4">
        <f>Database!LQI28</f>
        <v>0</v>
      </c>
      <c r="LPQ4">
        <f>Database!LQJ28</f>
        <v>0</v>
      </c>
      <c r="LPR4">
        <f>Database!LQK28</f>
        <v>0</v>
      </c>
      <c r="LPS4">
        <f>Database!LQL28</f>
        <v>0</v>
      </c>
      <c r="LPT4">
        <f>Database!LQM28</f>
        <v>0</v>
      </c>
      <c r="LPU4">
        <f>Database!LQN28</f>
        <v>0</v>
      </c>
      <c r="LPV4">
        <f>Database!LQO28</f>
        <v>0</v>
      </c>
      <c r="LPW4">
        <f>Database!LQP28</f>
        <v>0</v>
      </c>
      <c r="LPX4">
        <f>Database!LQQ28</f>
        <v>0</v>
      </c>
      <c r="LPY4">
        <f>Database!LQR28</f>
        <v>0</v>
      </c>
      <c r="LPZ4">
        <f>Database!LQS28</f>
        <v>0</v>
      </c>
      <c r="LQA4">
        <f>Database!LQT28</f>
        <v>0</v>
      </c>
      <c r="LQB4">
        <f>Database!LQU28</f>
        <v>0</v>
      </c>
      <c r="LQC4">
        <f>Database!LQV28</f>
        <v>0</v>
      </c>
      <c r="LQD4">
        <f>Database!LQW28</f>
        <v>0</v>
      </c>
      <c r="LQE4">
        <f>Database!LQX28</f>
        <v>0</v>
      </c>
      <c r="LQF4">
        <f>Database!LQY28</f>
        <v>0</v>
      </c>
      <c r="LQG4">
        <f>Database!LQZ28</f>
        <v>0</v>
      </c>
      <c r="LQH4">
        <f>Database!LRA28</f>
        <v>0</v>
      </c>
      <c r="LQI4">
        <f>Database!LRB28</f>
        <v>0</v>
      </c>
      <c r="LQJ4">
        <f>Database!LRC28</f>
        <v>0</v>
      </c>
      <c r="LQK4">
        <f>Database!LRD28</f>
        <v>0</v>
      </c>
      <c r="LQL4">
        <f>Database!LRE28</f>
        <v>0</v>
      </c>
      <c r="LQM4">
        <f>Database!LRF28</f>
        <v>0</v>
      </c>
      <c r="LQN4">
        <f>Database!LRG28</f>
        <v>0</v>
      </c>
      <c r="LQO4">
        <f>Database!LRH28</f>
        <v>0</v>
      </c>
      <c r="LQP4">
        <f>Database!LRI28</f>
        <v>0</v>
      </c>
      <c r="LQQ4">
        <f>Database!LRJ28</f>
        <v>0</v>
      </c>
      <c r="LQR4">
        <f>Database!LRK28</f>
        <v>0</v>
      </c>
      <c r="LQS4">
        <f>Database!LRL28</f>
        <v>0</v>
      </c>
      <c r="LQT4">
        <f>Database!LRM28</f>
        <v>0</v>
      </c>
      <c r="LQU4">
        <f>Database!LRN28</f>
        <v>0</v>
      </c>
      <c r="LQV4">
        <f>Database!LRO28</f>
        <v>0</v>
      </c>
      <c r="LQW4">
        <f>Database!LRP28</f>
        <v>0</v>
      </c>
      <c r="LQX4">
        <f>Database!LRQ28</f>
        <v>0</v>
      </c>
      <c r="LQY4">
        <f>Database!LRR28</f>
        <v>0</v>
      </c>
      <c r="LQZ4">
        <f>Database!LRS28</f>
        <v>0</v>
      </c>
      <c r="LRA4">
        <f>Database!LRT28</f>
        <v>0</v>
      </c>
      <c r="LRB4">
        <f>Database!LRU28</f>
        <v>0</v>
      </c>
      <c r="LRC4">
        <f>Database!LRV28</f>
        <v>0</v>
      </c>
      <c r="LRD4">
        <f>Database!LRW28</f>
        <v>0</v>
      </c>
      <c r="LRE4">
        <f>Database!LRX28</f>
        <v>0</v>
      </c>
      <c r="LRF4">
        <f>Database!LRY28</f>
        <v>0</v>
      </c>
      <c r="LRG4">
        <f>Database!LRZ28</f>
        <v>0</v>
      </c>
      <c r="LRH4">
        <f>Database!LSA28</f>
        <v>0</v>
      </c>
      <c r="LRI4">
        <f>Database!LSB28</f>
        <v>0</v>
      </c>
      <c r="LRJ4">
        <f>Database!LSC28</f>
        <v>0</v>
      </c>
      <c r="LRK4">
        <f>Database!LSD28</f>
        <v>0</v>
      </c>
      <c r="LRL4">
        <f>Database!LSE28</f>
        <v>0</v>
      </c>
      <c r="LRM4">
        <f>Database!LSF28</f>
        <v>0</v>
      </c>
      <c r="LRN4">
        <f>Database!LSG28</f>
        <v>0</v>
      </c>
      <c r="LRO4">
        <f>Database!LSH28</f>
        <v>0</v>
      </c>
      <c r="LRP4">
        <f>Database!LSI28</f>
        <v>0</v>
      </c>
      <c r="LRQ4">
        <f>Database!LSJ28</f>
        <v>0</v>
      </c>
      <c r="LRR4">
        <f>Database!LSK28</f>
        <v>0</v>
      </c>
      <c r="LRS4">
        <f>Database!LSL28</f>
        <v>0</v>
      </c>
      <c r="LRT4">
        <f>Database!LSM28</f>
        <v>0</v>
      </c>
      <c r="LRU4">
        <f>Database!LSN28</f>
        <v>0</v>
      </c>
      <c r="LRV4">
        <f>Database!LSO28</f>
        <v>0</v>
      </c>
      <c r="LRW4">
        <f>Database!LSP28</f>
        <v>0</v>
      </c>
      <c r="LRX4">
        <f>Database!LSQ28</f>
        <v>0</v>
      </c>
      <c r="LRY4">
        <f>Database!LSR28</f>
        <v>0</v>
      </c>
      <c r="LRZ4">
        <f>Database!LSS28</f>
        <v>0</v>
      </c>
      <c r="LSA4">
        <f>Database!LST28</f>
        <v>0</v>
      </c>
      <c r="LSB4">
        <f>Database!LSU28</f>
        <v>0</v>
      </c>
      <c r="LSC4">
        <f>Database!LSV28</f>
        <v>0</v>
      </c>
      <c r="LSD4">
        <f>Database!LSW28</f>
        <v>0</v>
      </c>
      <c r="LSE4">
        <f>Database!LSX28</f>
        <v>0</v>
      </c>
      <c r="LSF4">
        <f>Database!LSY28</f>
        <v>0</v>
      </c>
      <c r="LSG4">
        <f>Database!LSZ28</f>
        <v>0</v>
      </c>
      <c r="LSH4">
        <f>Database!LTA28</f>
        <v>0</v>
      </c>
      <c r="LSI4">
        <f>Database!LTB28</f>
        <v>0</v>
      </c>
      <c r="LSJ4">
        <f>Database!LTC28</f>
        <v>0</v>
      </c>
      <c r="LSK4">
        <f>Database!LTD28</f>
        <v>0</v>
      </c>
      <c r="LSL4">
        <f>Database!LTE28</f>
        <v>0</v>
      </c>
      <c r="LSM4">
        <f>Database!LTF28</f>
        <v>0</v>
      </c>
      <c r="LSN4">
        <f>Database!LTG28</f>
        <v>0</v>
      </c>
      <c r="LSO4">
        <f>Database!LTH28</f>
        <v>0</v>
      </c>
      <c r="LSP4">
        <f>Database!LTI28</f>
        <v>0</v>
      </c>
      <c r="LSQ4">
        <f>Database!LTJ28</f>
        <v>0</v>
      </c>
      <c r="LSR4">
        <f>Database!LTK28</f>
        <v>0</v>
      </c>
      <c r="LSS4">
        <f>Database!LTL28</f>
        <v>0</v>
      </c>
      <c r="LST4">
        <f>Database!LTM28</f>
        <v>0</v>
      </c>
      <c r="LSU4">
        <f>Database!LTN28</f>
        <v>0</v>
      </c>
      <c r="LSV4">
        <f>Database!LTO28</f>
        <v>0</v>
      </c>
      <c r="LSW4">
        <f>Database!LTP28</f>
        <v>0</v>
      </c>
      <c r="LSX4">
        <f>Database!LTQ28</f>
        <v>0</v>
      </c>
      <c r="LSY4">
        <f>Database!LTR28</f>
        <v>0</v>
      </c>
      <c r="LSZ4">
        <f>Database!LTS28</f>
        <v>0</v>
      </c>
      <c r="LTA4">
        <f>Database!LTT28</f>
        <v>0</v>
      </c>
      <c r="LTB4">
        <f>Database!LTU28</f>
        <v>0</v>
      </c>
      <c r="LTC4">
        <f>Database!LTV28</f>
        <v>0</v>
      </c>
      <c r="LTD4">
        <f>Database!LTW28</f>
        <v>0</v>
      </c>
      <c r="LTE4">
        <f>Database!LTX28</f>
        <v>0</v>
      </c>
      <c r="LTF4">
        <f>Database!LTY28</f>
        <v>0</v>
      </c>
      <c r="LTG4">
        <f>Database!LTZ28</f>
        <v>0</v>
      </c>
      <c r="LTH4">
        <f>Database!LUA28</f>
        <v>0</v>
      </c>
      <c r="LTI4">
        <f>Database!LUB28</f>
        <v>0</v>
      </c>
      <c r="LTJ4">
        <f>Database!LUC28</f>
        <v>0</v>
      </c>
      <c r="LTK4">
        <f>Database!LUD28</f>
        <v>0</v>
      </c>
      <c r="LTL4">
        <f>Database!LUE28</f>
        <v>0</v>
      </c>
      <c r="LTM4">
        <f>Database!LUF28</f>
        <v>0</v>
      </c>
      <c r="LTN4">
        <f>Database!LUG28</f>
        <v>0</v>
      </c>
      <c r="LTO4">
        <f>Database!LUH28</f>
        <v>0</v>
      </c>
      <c r="LTP4">
        <f>Database!LUI28</f>
        <v>0</v>
      </c>
      <c r="LTQ4">
        <f>Database!LUJ28</f>
        <v>0</v>
      </c>
      <c r="LTR4">
        <f>Database!LUK28</f>
        <v>0</v>
      </c>
      <c r="LTS4">
        <f>Database!LUL28</f>
        <v>0</v>
      </c>
      <c r="LTT4">
        <f>Database!LUM28</f>
        <v>0</v>
      </c>
      <c r="LTU4">
        <f>Database!LUN28</f>
        <v>0</v>
      </c>
      <c r="LTV4">
        <f>Database!LUO28</f>
        <v>0</v>
      </c>
      <c r="LTW4">
        <f>Database!LUP28</f>
        <v>0</v>
      </c>
      <c r="LTX4">
        <f>Database!LUQ28</f>
        <v>0</v>
      </c>
      <c r="LTY4">
        <f>Database!LUR28</f>
        <v>0</v>
      </c>
      <c r="LTZ4">
        <f>Database!LUS28</f>
        <v>0</v>
      </c>
      <c r="LUA4">
        <f>Database!LUT28</f>
        <v>0</v>
      </c>
      <c r="LUB4">
        <f>Database!LUU28</f>
        <v>0</v>
      </c>
      <c r="LUC4">
        <f>Database!LUV28</f>
        <v>0</v>
      </c>
      <c r="LUD4">
        <f>Database!LUW28</f>
        <v>0</v>
      </c>
      <c r="LUE4">
        <f>Database!LUX28</f>
        <v>0</v>
      </c>
      <c r="LUF4">
        <f>Database!LUY28</f>
        <v>0</v>
      </c>
      <c r="LUG4">
        <f>Database!LUZ28</f>
        <v>0</v>
      </c>
      <c r="LUH4">
        <f>Database!LVA28</f>
        <v>0</v>
      </c>
      <c r="LUI4">
        <f>Database!LVB28</f>
        <v>0</v>
      </c>
      <c r="LUJ4">
        <f>Database!LVC28</f>
        <v>0</v>
      </c>
      <c r="LUK4">
        <f>Database!LVD28</f>
        <v>0</v>
      </c>
      <c r="LUL4">
        <f>Database!LVE28</f>
        <v>0</v>
      </c>
      <c r="LUM4">
        <f>Database!LVF28</f>
        <v>0</v>
      </c>
      <c r="LUN4">
        <f>Database!LVG28</f>
        <v>0</v>
      </c>
      <c r="LUO4">
        <f>Database!LVH28</f>
        <v>0</v>
      </c>
      <c r="LUP4">
        <f>Database!LVI28</f>
        <v>0</v>
      </c>
      <c r="LUQ4">
        <f>Database!LVJ28</f>
        <v>0</v>
      </c>
      <c r="LUR4">
        <f>Database!LVK28</f>
        <v>0</v>
      </c>
      <c r="LUS4">
        <f>Database!LVL28</f>
        <v>0</v>
      </c>
      <c r="LUT4">
        <f>Database!LVM28</f>
        <v>0</v>
      </c>
      <c r="LUU4">
        <f>Database!LVN28</f>
        <v>0</v>
      </c>
      <c r="LUV4">
        <f>Database!LVO28</f>
        <v>0</v>
      </c>
      <c r="LUW4">
        <f>Database!LVP28</f>
        <v>0</v>
      </c>
      <c r="LUX4">
        <f>Database!LVQ28</f>
        <v>0</v>
      </c>
      <c r="LUY4">
        <f>Database!LVR28</f>
        <v>0</v>
      </c>
      <c r="LUZ4">
        <f>Database!LVS28</f>
        <v>0</v>
      </c>
      <c r="LVA4">
        <f>Database!LVT28</f>
        <v>0</v>
      </c>
      <c r="LVB4">
        <f>Database!LVU28</f>
        <v>0</v>
      </c>
      <c r="LVC4">
        <f>Database!LVV28</f>
        <v>0</v>
      </c>
      <c r="LVD4">
        <f>Database!LVW28</f>
        <v>0</v>
      </c>
      <c r="LVE4">
        <f>Database!LVX28</f>
        <v>0</v>
      </c>
      <c r="LVF4">
        <f>Database!LVY28</f>
        <v>0</v>
      </c>
      <c r="LVG4">
        <f>Database!LVZ28</f>
        <v>0</v>
      </c>
      <c r="LVH4">
        <f>Database!LWA28</f>
        <v>0</v>
      </c>
      <c r="LVI4">
        <f>Database!LWB28</f>
        <v>0</v>
      </c>
      <c r="LVJ4">
        <f>Database!LWC28</f>
        <v>0</v>
      </c>
      <c r="LVK4">
        <f>Database!LWD28</f>
        <v>0</v>
      </c>
      <c r="LVL4">
        <f>Database!LWE28</f>
        <v>0</v>
      </c>
      <c r="LVM4">
        <f>Database!LWF28</f>
        <v>0</v>
      </c>
      <c r="LVN4">
        <f>Database!LWG28</f>
        <v>0</v>
      </c>
      <c r="LVO4">
        <f>Database!LWH28</f>
        <v>0</v>
      </c>
      <c r="LVP4">
        <f>Database!LWI28</f>
        <v>0</v>
      </c>
      <c r="LVQ4">
        <f>Database!LWJ28</f>
        <v>0</v>
      </c>
      <c r="LVR4">
        <f>Database!LWK28</f>
        <v>0</v>
      </c>
      <c r="LVS4">
        <f>Database!LWL28</f>
        <v>0</v>
      </c>
      <c r="LVT4">
        <f>Database!LWM28</f>
        <v>0</v>
      </c>
      <c r="LVU4">
        <f>Database!LWN28</f>
        <v>0</v>
      </c>
      <c r="LVV4">
        <f>Database!LWO28</f>
        <v>0</v>
      </c>
      <c r="LVW4">
        <f>Database!LWP28</f>
        <v>0</v>
      </c>
      <c r="LVX4">
        <f>Database!LWQ28</f>
        <v>0</v>
      </c>
      <c r="LVY4">
        <f>Database!LWR28</f>
        <v>0</v>
      </c>
      <c r="LVZ4">
        <f>Database!LWS28</f>
        <v>0</v>
      </c>
      <c r="LWA4">
        <f>Database!LWT28</f>
        <v>0</v>
      </c>
      <c r="LWB4">
        <f>Database!LWU28</f>
        <v>0</v>
      </c>
      <c r="LWC4">
        <f>Database!LWV28</f>
        <v>0</v>
      </c>
      <c r="LWD4">
        <f>Database!LWW28</f>
        <v>0</v>
      </c>
      <c r="LWE4">
        <f>Database!LWX28</f>
        <v>0</v>
      </c>
      <c r="LWF4">
        <f>Database!LWY28</f>
        <v>0</v>
      </c>
      <c r="LWG4">
        <f>Database!LWZ28</f>
        <v>0</v>
      </c>
      <c r="LWH4">
        <f>Database!LXA28</f>
        <v>0</v>
      </c>
      <c r="LWI4">
        <f>Database!LXB28</f>
        <v>0</v>
      </c>
      <c r="LWJ4">
        <f>Database!LXC28</f>
        <v>0</v>
      </c>
      <c r="LWK4">
        <f>Database!LXD28</f>
        <v>0</v>
      </c>
      <c r="LWL4">
        <f>Database!LXE28</f>
        <v>0</v>
      </c>
      <c r="LWM4">
        <f>Database!LXF28</f>
        <v>0</v>
      </c>
      <c r="LWN4">
        <f>Database!LXG28</f>
        <v>0</v>
      </c>
      <c r="LWO4">
        <f>Database!LXH28</f>
        <v>0</v>
      </c>
      <c r="LWP4">
        <f>Database!LXI28</f>
        <v>0</v>
      </c>
      <c r="LWQ4">
        <f>Database!LXJ28</f>
        <v>0</v>
      </c>
      <c r="LWR4">
        <f>Database!LXK28</f>
        <v>0</v>
      </c>
      <c r="LWS4">
        <f>Database!LXL28</f>
        <v>0</v>
      </c>
      <c r="LWT4">
        <f>Database!LXM28</f>
        <v>0</v>
      </c>
      <c r="LWU4">
        <f>Database!LXN28</f>
        <v>0</v>
      </c>
      <c r="LWV4">
        <f>Database!LXO28</f>
        <v>0</v>
      </c>
      <c r="LWW4">
        <f>Database!LXP28</f>
        <v>0</v>
      </c>
      <c r="LWX4">
        <f>Database!LXQ28</f>
        <v>0</v>
      </c>
      <c r="LWY4">
        <f>Database!LXR28</f>
        <v>0</v>
      </c>
      <c r="LWZ4">
        <f>Database!LXS28</f>
        <v>0</v>
      </c>
      <c r="LXA4">
        <f>Database!LXT28</f>
        <v>0</v>
      </c>
      <c r="LXB4">
        <f>Database!LXU28</f>
        <v>0</v>
      </c>
      <c r="LXC4">
        <f>Database!LXV28</f>
        <v>0</v>
      </c>
      <c r="LXD4">
        <f>Database!LXW28</f>
        <v>0</v>
      </c>
      <c r="LXE4">
        <f>Database!LXX28</f>
        <v>0</v>
      </c>
      <c r="LXF4">
        <f>Database!LXY28</f>
        <v>0</v>
      </c>
      <c r="LXG4">
        <f>Database!LXZ28</f>
        <v>0</v>
      </c>
      <c r="LXH4">
        <f>Database!LYA28</f>
        <v>0</v>
      </c>
      <c r="LXI4">
        <f>Database!LYB28</f>
        <v>0</v>
      </c>
      <c r="LXJ4">
        <f>Database!LYC28</f>
        <v>0</v>
      </c>
      <c r="LXK4">
        <f>Database!LYD28</f>
        <v>0</v>
      </c>
      <c r="LXL4">
        <f>Database!LYE28</f>
        <v>0</v>
      </c>
      <c r="LXM4">
        <f>Database!LYF28</f>
        <v>0</v>
      </c>
      <c r="LXN4">
        <f>Database!LYG28</f>
        <v>0</v>
      </c>
      <c r="LXO4">
        <f>Database!LYH28</f>
        <v>0</v>
      </c>
      <c r="LXP4">
        <f>Database!LYI28</f>
        <v>0</v>
      </c>
      <c r="LXQ4">
        <f>Database!LYJ28</f>
        <v>0</v>
      </c>
      <c r="LXR4">
        <f>Database!LYK28</f>
        <v>0</v>
      </c>
      <c r="LXS4">
        <f>Database!LYL28</f>
        <v>0</v>
      </c>
      <c r="LXT4">
        <f>Database!LYM28</f>
        <v>0</v>
      </c>
      <c r="LXU4">
        <f>Database!LYN28</f>
        <v>0</v>
      </c>
      <c r="LXV4">
        <f>Database!LYO28</f>
        <v>0</v>
      </c>
      <c r="LXW4">
        <f>Database!LYP28</f>
        <v>0</v>
      </c>
      <c r="LXX4">
        <f>Database!LYQ28</f>
        <v>0</v>
      </c>
      <c r="LXY4">
        <f>Database!LYR28</f>
        <v>0</v>
      </c>
      <c r="LXZ4">
        <f>Database!LYS28</f>
        <v>0</v>
      </c>
      <c r="LYA4">
        <f>Database!LYT28</f>
        <v>0</v>
      </c>
      <c r="LYB4">
        <f>Database!LYU28</f>
        <v>0</v>
      </c>
      <c r="LYC4">
        <f>Database!LYV28</f>
        <v>0</v>
      </c>
      <c r="LYD4">
        <f>Database!LYW28</f>
        <v>0</v>
      </c>
      <c r="LYE4">
        <f>Database!LYX28</f>
        <v>0</v>
      </c>
      <c r="LYF4">
        <f>Database!LYY28</f>
        <v>0</v>
      </c>
      <c r="LYG4">
        <f>Database!LYZ28</f>
        <v>0</v>
      </c>
      <c r="LYH4">
        <f>Database!LZA28</f>
        <v>0</v>
      </c>
      <c r="LYI4">
        <f>Database!LZB28</f>
        <v>0</v>
      </c>
      <c r="LYJ4">
        <f>Database!LZC28</f>
        <v>0</v>
      </c>
      <c r="LYK4">
        <f>Database!LZD28</f>
        <v>0</v>
      </c>
      <c r="LYL4">
        <f>Database!LZE28</f>
        <v>0</v>
      </c>
      <c r="LYM4">
        <f>Database!LZF28</f>
        <v>0</v>
      </c>
      <c r="LYN4">
        <f>Database!LZG28</f>
        <v>0</v>
      </c>
      <c r="LYO4">
        <f>Database!LZH28</f>
        <v>0</v>
      </c>
      <c r="LYP4">
        <f>Database!LZI28</f>
        <v>0</v>
      </c>
      <c r="LYQ4">
        <f>Database!LZJ28</f>
        <v>0</v>
      </c>
      <c r="LYR4">
        <f>Database!LZK28</f>
        <v>0</v>
      </c>
      <c r="LYS4">
        <f>Database!LZL28</f>
        <v>0</v>
      </c>
      <c r="LYT4">
        <f>Database!LZM28</f>
        <v>0</v>
      </c>
      <c r="LYU4">
        <f>Database!LZN28</f>
        <v>0</v>
      </c>
      <c r="LYV4">
        <f>Database!LZO28</f>
        <v>0</v>
      </c>
      <c r="LYW4">
        <f>Database!LZP28</f>
        <v>0</v>
      </c>
      <c r="LYX4">
        <f>Database!LZQ28</f>
        <v>0</v>
      </c>
      <c r="LYY4">
        <f>Database!LZR28</f>
        <v>0</v>
      </c>
      <c r="LYZ4">
        <f>Database!LZS28</f>
        <v>0</v>
      </c>
      <c r="LZA4">
        <f>Database!LZT28</f>
        <v>0</v>
      </c>
      <c r="LZB4">
        <f>Database!LZU28</f>
        <v>0</v>
      </c>
      <c r="LZC4">
        <f>Database!LZV28</f>
        <v>0</v>
      </c>
      <c r="LZD4">
        <f>Database!LZW28</f>
        <v>0</v>
      </c>
      <c r="LZE4">
        <f>Database!LZX28</f>
        <v>0</v>
      </c>
      <c r="LZF4">
        <f>Database!LZY28</f>
        <v>0</v>
      </c>
      <c r="LZG4">
        <f>Database!LZZ28</f>
        <v>0</v>
      </c>
      <c r="LZH4">
        <f>Database!MAA28</f>
        <v>0</v>
      </c>
      <c r="LZI4">
        <f>Database!MAB28</f>
        <v>0</v>
      </c>
      <c r="LZJ4">
        <f>Database!MAC28</f>
        <v>0</v>
      </c>
      <c r="LZK4">
        <f>Database!MAD28</f>
        <v>0</v>
      </c>
      <c r="LZL4">
        <f>Database!MAE28</f>
        <v>0</v>
      </c>
      <c r="LZM4">
        <f>Database!MAF28</f>
        <v>0</v>
      </c>
      <c r="LZN4">
        <f>Database!MAG28</f>
        <v>0</v>
      </c>
      <c r="LZO4">
        <f>Database!MAH28</f>
        <v>0</v>
      </c>
      <c r="LZP4">
        <f>Database!MAI28</f>
        <v>0</v>
      </c>
      <c r="LZQ4">
        <f>Database!MAJ28</f>
        <v>0</v>
      </c>
      <c r="LZR4">
        <f>Database!MAK28</f>
        <v>0</v>
      </c>
      <c r="LZS4">
        <f>Database!MAL28</f>
        <v>0</v>
      </c>
      <c r="LZT4">
        <f>Database!MAM28</f>
        <v>0</v>
      </c>
      <c r="LZU4">
        <f>Database!MAN28</f>
        <v>0</v>
      </c>
      <c r="LZV4">
        <f>Database!MAO28</f>
        <v>0</v>
      </c>
      <c r="LZW4">
        <f>Database!MAP28</f>
        <v>0</v>
      </c>
      <c r="LZX4">
        <f>Database!MAQ28</f>
        <v>0</v>
      </c>
      <c r="LZY4">
        <f>Database!MAR28</f>
        <v>0</v>
      </c>
      <c r="LZZ4">
        <f>Database!MAS28</f>
        <v>0</v>
      </c>
      <c r="MAA4">
        <f>Database!MAT28</f>
        <v>0</v>
      </c>
      <c r="MAB4">
        <f>Database!MAU28</f>
        <v>0</v>
      </c>
      <c r="MAC4">
        <f>Database!MAV28</f>
        <v>0</v>
      </c>
      <c r="MAD4">
        <f>Database!MAW28</f>
        <v>0</v>
      </c>
      <c r="MAE4">
        <f>Database!MAX28</f>
        <v>0</v>
      </c>
      <c r="MAF4">
        <f>Database!MAY28</f>
        <v>0</v>
      </c>
      <c r="MAG4">
        <f>Database!MAZ28</f>
        <v>0</v>
      </c>
      <c r="MAH4">
        <f>Database!MBA28</f>
        <v>0</v>
      </c>
      <c r="MAI4">
        <f>Database!MBB28</f>
        <v>0</v>
      </c>
      <c r="MAJ4">
        <f>Database!MBC28</f>
        <v>0</v>
      </c>
      <c r="MAK4">
        <f>Database!MBD28</f>
        <v>0</v>
      </c>
      <c r="MAL4">
        <f>Database!MBE28</f>
        <v>0</v>
      </c>
      <c r="MAM4">
        <f>Database!MBF28</f>
        <v>0</v>
      </c>
      <c r="MAN4">
        <f>Database!MBG28</f>
        <v>0</v>
      </c>
      <c r="MAO4">
        <f>Database!MBH28</f>
        <v>0</v>
      </c>
      <c r="MAP4">
        <f>Database!MBI28</f>
        <v>0</v>
      </c>
      <c r="MAQ4">
        <f>Database!MBJ28</f>
        <v>0</v>
      </c>
      <c r="MAR4">
        <f>Database!MBK28</f>
        <v>0</v>
      </c>
      <c r="MAS4">
        <f>Database!MBL28</f>
        <v>0</v>
      </c>
      <c r="MAT4">
        <f>Database!MBM28</f>
        <v>0</v>
      </c>
      <c r="MAU4">
        <f>Database!MBN28</f>
        <v>0</v>
      </c>
      <c r="MAV4">
        <f>Database!MBO28</f>
        <v>0</v>
      </c>
      <c r="MAW4">
        <f>Database!MBP28</f>
        <v>0</v>
      </c>
      <c r="MAX4">
        <f>Database!MBQ28</f>
        <v>0</v>
      </c>
      <c r="MAY4">
        <f>Database!MBR28</f>
        <v>0</v>
      </c>
      <c r="MAZ4">
        <f>Database!MBS28</f>
        <v>0</v>
      </c>
      <c r="MBA4">
        <f>Database!MBT28</f>
        <v>0</v>
      </c>
      <c r="MBB4">
        <f>Database!MBU28</f>
        <v>0</v>
      </c>
      <c r="MBC4">
        <f>Database!MBV28</f>
        <v>0</v>
      </c>
      <c r="MBD4">
        <f>Database!MBW28</f>
        <v>0</v>
      </c>
      <c r="MBE4">
        <f>Database!MBX28</f>
        <v>0</v>
      </c>
      <c r="MBF4">
        <f>Database!MBY28</f>
        <v>0</v>
      </c>
      <c r="MBG4">
        <f>Database!MBZ28</f>
        <v>0</v>
      </c>
      <c r="MBH4">
        <f>Database!MCA28</f>
        <v>0</v>
      </c>
      <c r="MBI4">
        <f>Database!MCB28</f>
        <v>0</v>
      </c>
      <c r="MBJ4">
        <f>Database!MCC28</f>
        <v>0</v>
      </c>
      <c r="MBK4">
        <f>Database!MCD28</f>
        <v>0</v>
      </c>
      <c r="MBL4">
        <f>Database!MCE28</f>
        <v>0</v>
      </c>
      <c r="MBM4">
        <f>Database!MCF28</f>
        <v>0</v>
      </c>
      <c r="MBN4">
        <f>Database!MCG28</f>
        <v>0</v>
      </c>
      <c r="MBO4">
        <f>Database!MCH28</f>
        <v>0</v>
      </c>
      <c r="MBP4">
        <f>Database!MCI28</f>
        <v>0</v>
      </c>
      <c r="MBQ4">
        <f>Database!MCJ28</f>
        <v>0</v>
      </c>
      <c r="MBR4">
        <f>Database!MCK28</f>
        <v>0</v>
      </c>
      <c r="MBS4">
        <f>Database!MCL28</f>
        <v>0</v>
      </c>
      <c r="MBT4">
        <f>Database!MCM28</f>
        <v>0</v>
      </c>
      <c r="MBU4">
        <f>Database!MCN28</f>
        <v>0</v>
      </c>
      <c r="MBV4">
        <f>Database!MCO28</f>
        <v>0</v>
      </c>
      <c r="MBW4">
        <f>Database!MCP28</f>
        <v>0</v>
      </c>
      <c r="MBX4">
        <f>Database!MCQ28</f>
        <v>0</v>
      </c>
      <c r="MBY4">
        <f>Database!MCR28</f>
        <v>0</v>
      </c>
      <c r="MBZ4">
        <f>Database!MCS28</f>
        <v>0</v>
      </c>
      <c r="MCA4">
        <f>Database!MCT28</f>
        <v>0</v>
      </c>
      <c r="MCB4">
        <f>Database!MCU28</f>
        <v>0</v>
      </c>
      <c r="MCC4">
        <f>Database!MCV28</f>
        <v>0</v>
      </c>
      <c r="MCD4">
        <f>Database!MCW28</f>
        <v>0</v>
      </c>
      <c r="MCE4">
        <f>Database!MCX28</f>
        <v>0</v>
      </c>
      <c r="MCF4">
        <f>Database!MCY28</f>
        <v>0</v>
      </c>
      <c r="MCG4">
        <f>Database!MCZ28</f>
        <v>0</v>
      </c>
      <c r="MCH4">
        <f>Database!MDA28</f>
        <v>0</v>
      </c>
      <c r="MCI4">
        <f>Database!MDB28</f>
        <v>0</v>
      </c>
      <c r="MCJ4">
        <f>Database!MDC28</f>
        <v>0</v>
      </c>
      <c r="MCK4">
        <f>Database!MDD28</f>
        <v>0</v>
      </c>
      <c r="MCL4">
        <f>Database!MDE28</f>
        <v>0</v>
      </c>
      <c r="MCM4">
        <f>Database!MDF28</f>
        <v>0</v>
      </c>
      <c r="MCN4">
        <f>Database!MDG28</f>
        <v>0</v>
      </c>
      <c r="MCO4">
        <f>Database!MDH28</f>
        <v>0</v>
      </c>
      <c r="MCP4">
        <f>Database!MDI28</f>
        <v>0</v>
      </c>
      <c r="MCQ4">
        <f>Database!MDJ28</f>
        <v>0</v>
      </c>
      <c r="MCR4">
        <f>Database!MDK28</f>
        <v>0</v>
      </c>
      <c r="MCS4">
        <f>Database!MDL28</f>
        <v>0</v>
      </c>
      <c r="MCT4">
        <f>Database!MDM28</f>
        <v>0</v>
      </c>
      <c r="MCU4">
        <f>Database!MDN28</f>
        <v>0</v>
      </c>
      <c r="MCV4">
        <f>Database!MDO28</f>
        <v>0</v>
      </c>
      <c r="MCW4">
        <f>Database!MDP28</f>
        <v>0</v>
      </c>
      <c r="MCX4">
        <f>Database!MDQ28</f>
        <v>0</v>
      </c>
      <c r="MCY4">
        <f>Database!MDR28</f>
        <v>0</v>
      </c>
      <c r="MCZ4">
        <f>Database!MDS28</f>
        <v>0</v>
      </c>
      <c r="MDA4">
        <f>Database!MDT28</f>
        <v>0</v>
      </c>
      <c r="MDB4">
        <f>Database!MDU28</f>
        <v>0</v>
      </c>
      <c r="MDC4">
        <f>Database!MDV28</f>
        <v>0</v>
      </c>
      <c r="MDD4">
        <f>Database!MDW28</f>
        <v>0</v>
      </c>
      <c r="MDE4">
        <f>Database!MDX28</f>
        <v>0</v>
      </c>
      <c r="MDF4">
        <f>Database!MDY28</f>
        <v>0</v>
      </c>
      <c r="MDG4">
        <f>Database!MDZ28</f>
        <v>0</v>
      </c>
      <c r="MDH4">
        <f>Database!MEA28</f>
        <v>0</v>
      </c>
      <c r="MDI4">
        <f>Database!MEB28</f>
        <v>0</v>
      </c>
      <c r="MDJ4">
        <f>Database!MEC28</f>
        <v>0</v>
      </c>
      <c r="MDK4">
        <f>Database!MED28</f>
        <v>0</v>
      </c>
      <c r="MDL4">
        <f>Database!MEE28</f>
        <v>0</v>
      </c>
      <c r="MDM4">
        <f>Database!MEF28</f>
        <v>0</v>
      </c>
      <c r="MDN4">
        <f>Database!MEG28</f>
        <v>0</v>
      </c>
      <c r="MDO4">
        <f>Database!MEH28</f>
        <v>0</v>
      </c>
      <c r="MDP4">
        <f>Database!MEI28</f>
        <v>0</v>
      </c>
      <c r="MDQ4">
        <f>Database!MEJ28</f>
        <v>0</v>
      </c>
      <c r="MDR4">
        <f>Database!MEK28</f>
        <v>0</v>
      </c>
      <c r="MDS4">
        <f>Database!MEL28</f>
        <v>0</v>
      </c>
      <c r="MDT4">
        <f>Database!MEM28</f>
        <v>0</v>
      </c>
      <c r="MDU4">
        <f>Database!MEN28</f>
        <v>0</v>
      </c>
      <c r="MDV4">
        <f>Database!MEO28</f>
        <v>0</v>
      </c>
      <c r="MDW4">
        <f>Database!MEP28</f>
        <v>0</v>
      </c>
      <c r="MDX4">
        <f>Database!MEQ28</f>
        <v>0</v>
      </c>
      <c r="MDY4">
        <f>Database!MER28</f>
        <v>0</v>
      </c>
      <c r="MDZ4">
        <f>Database!MES28</f>
        <v>0</v>
      </c>
      <c r="MEA4">
        <f>Database!MET28</f>
        <v>0</v>
      </c>
      <c r="MEB4">
        <f>Database!MEU28</f>
        <v>0</v>
      </c>
      <c r="MEC4">
        <f>Database!MEV28</f>
        <v>0</v>
      </c>
      <c r="MED4">
        <f>Database!MEW28</f>
        <v>0</v>
      </c>
      <c r="MEE4">
        <f>Database!MEX28</f>
        <v>0</v>
      </c>
      <c r="MEF4">
        <f>Database!MEY28</f>
        <v>0</v>
      </c>
      <c r="MEG4">
        <f>Database!MEZ28</f>
        <v>0</v>
      </c>
      <c r="MEH4">
        <f>Database!MFA28</f>
        <v>0</v>
      </c>
      <c r="MEI4">
        <f>Database!MFB28</f>
        <v>0</v>
      </c>
      <c r="MEJ4">
        <f>Database!MFC28</f>
        <v>0</v>
      </c>
      <c r="MEK4">
        <f>Database!MFD28</f>
        <v>0</v>
      </c>
      <c r="MEL4">
        <f>Database!MFE28</f>
        <v>0</v>
      </c>
      <c r="MEM4">
        <f>Database!MFF28</f>
        <v>0</v>
      </c>
      <c r="MEN4">
        <f>Database!MFG28</f>
        <v>0</v>
      </c>
      <c r="MEO4">
        <f>Database!MFH28</f>
        <v>0</v>
      </c>
      <c r="MEP4">
        <f>Database!MFI28</f>
        <v>0</v>
      </c>
      <c r="MEQ4">
        <f>Database!MFJ28</f>
        <v>0</v>
      </c>
      <c r="MER4">
        <f>Database!MFK28</f>
        <v>0</v>
      </c>
      <c r="MES4">
        <f>Database!MFL28</f>
        <v>0</v>
      </c>
      <c r="MET4">
        <f>Database!MFM28</f>
        <v>0</v>
      </c>
      <c r="MEU4">
        <f>Database!MFN28</f>
        <v>0</v>
      </c>
      <c r="MEV4">
        <f>Database!MFO28</f>
        <v>0</v>
      </c>
      <c r="MEW4">
        <f>Database!MFP28</f>
        <v>0</v>
      </c>
      <c r="MEX4">
        <f>Database!MFQ28</f>
        <v>0</v>
      </c>
      <c r="MEY4">
        <f>Database!MFR28</f>
        <v>0</v>
      </c>
      <c r="MEZ4">
        <f>Database!MFS28</f>
        <v>0</v>
      </c>
      <c r="MFA4">
        <f>Database!MFT28</f>
        <v>0</v>
      </c>
      <c r="MFB4">
        <f>Database!MFU28</f>
        <v>0</v>
      </c>
      <c r="MFC4">
        <f>Database!MFV28</f>
        <v>0</v>
      </c>
      <c r="MFD4">
        <f>Database!MFW28</f>
        <v>0</v>
      </c>
      <c r="MFE4">
        <f>Database!MFX28</f>
        <v>0</v>
      </c>
      <c r="MFF4">
        <f>Database!MFY28</f>
        <v>0</v>
      </c>
      <c r="MFG4">
        <f>Database!MFZ28</f>
        <v>0</v>
      </c>
      <c r="MFH4">
        <f>Database!MGA28</f>
        <v>0</v>
      </c>
      <c r="MFI4">
        <f>Database!MGB28</f>
        <v>0</v>
      </c>
      <c r="MFJ4">
        <f>Database!MGC28</f>
        <v>0</v>
      </c>
      <c r="MFK4">
        <f>Database!MGD28</f>
        <v>0</v>
      </c>
      <c r="MFL4">
        <f>Database!MGE28</f>
        <v>0</v>
      </c>
      <c r="MFM4">
        <f>Database!MGF28</f>
        <v>0</v>
      </c>
      <c r="MFN4">
        <f>Database!MGG28</f>
        <v>0</v>
      </c>
      <c r="MFO4">
        <f>Database!MGH28</f>
        <v>0</v>
      </c>
      <c r="MFP4">
        <f>Database!MGI28</f>
        <v>0</v>
      </c>
      <c r="MFQ4">
        <f>Database!MGJ28</f>
        <v>0</v>
      </c>
      <c r="MFR4">
        <f>Database!MGK28</f>
        <v>0</v>
      </c>
      <c r="MFS4">
        <f>Database!MGL28</f>
        <v>0</v>
      </c>
      <c r="MFT4">
        <f>Database!MGM28</f>
        <v>0</v>
      </c>
      <c r="MFU4">
        <f>Database!MGN28</f>
        <v>0</v>
      </c>
      <c r="MFV4">
        <f>Database!MGO28</f>
        <v>0</v>
      </c>
      <c r="MFW4">
        <f>Database!MGP28</f>
        <v>0</v>
      </c>
      <c r="MFX4">
        <f>Database!MGQ28</f>
        <v>0</v>
      </c>
      <c r="MFY4">
        <f>Database!MGR28</f>
        <v>0</v>
      </c>
      <c r="MFZ4">
        <f>Database!MGS28</f>
        <v>0</v>
      </c>
      <c r="MGA4">
        <f>Database!MGT28</f>
        <v>0</v>
      </c>
      <c r="MGB4">
        <f>Database!MGU28</f>
        <v>0</v>
      </c>
      <c r="MGC4">
        <f>Database!MGV28</f>
        <v>0</v>
      </c>
      <c r="MGD4">
        <f>Database!MGW28</f>
        <v>0</v>
      </c>
      <c r="MGE4">
        <f>Database!MGX28</f>
        <v>0</v>
      </c>
      <c r="MGF4">
        <f>Database!MGY28</f>
        <v>0</v>
      </c>
      <c r="MGG4">
        <f>Database!MGZ28</f>
        <v>0</v>
      </c>
      <c r="MGH4">
        <f>Database!MHA28</f>
        <v>0</v>
      </c>
      <c r="MGI4">
        <f>Database!MHB28</f>
        <v>0</v>
      </c>
      <c r="MGJ4">
        <f>Database!MHC28</f>
        <v>0</v>
      </c>
      <c r="MGK4">
        <f>Database!MHD28</f>
        <v>0</v>
      </c>
      <c r="MGL4">
        <f>Database!MHE28</f>
        <v>0</v>
      </c>
      <c r="MGM4">
        <f>Database!MHF28</f>
        <v>0</v>
      </c>
      <c r="MGN4">
        <f>Database!MHG28</f>
        <v>0</v>
      </c>
      <c r="MGO4">
        <f>Database!MHH28</f>
        <v>0</v>
      </c>
      <c r="MGP4">
        <f>Database!MHI28</f>
        <v>0</v>
      </c>
      <c r="MGQ4">
        <f>Database!MHJ28</f>
        <v>0</v>
      </c>
      <c r="MGR4">
        <f>Database!MHK28</f>
        <v>0</v>
      </c>
      <c r="MGS4">
        <f>Database!MHL28</f>
        <v>0</v>
      </c>
      <c r="MGT4">
        <f>Database!MHM28</f>
        <v>0</v>
      </c>
      <c r="MGU4">
        <f>Database!MHN28</f>
        <v>0</v>
      </c>
      <c r="MGV4">
        <f>Database!MHO28</f>
        <v>0</v>
      </c>
      <c r="MGW4">
        <f>Database!MHP28</f>
        <v>0</v>
      </c>
      <c r="MGX4">
        <f>Database!MHQ28</f>
        <v>0</v>
      </c>
      <c r="MGY4">
        <f>Database!MHR28</f>
        <v>0</v>
      </c>
      <c r="MGZ4">
        <f>Database!MHS28</f>
        <v>0</v>
      </c>
      <c r="MHA4">
        <f>Database!MHT28</f>
        <v>0</v>
      </c>
      <c r="MHB4">
        <f>Database!MHU28</f>
        <v>0</v>
      </c>
      <c r="MHC4">
        <f>Database!MHV28</f>
        <v>0</v>
      </c>
      <c r="MHD4">
        <f>Database!MHW28</f>
        <v>0</v>
      </c>
      <c r="MHE4">
        <f>Database!MHX28</f>
        <v>0</v>
      </c>
      <c r="MHF4">
        <f>Database!MHY28</f>
        <v>0</v>
      </c>
      <c r="MHG4">
        <f>Database!MHZ28</f>
        <v>0</v>
      </c>
      <c r="MHH4">
        <f>Database!MIA28</f>
        <v>0</v>
      </c>
      <c r="MHI4">
        <f>Database!MIB28</f>
        <v>0</v>
      </c>
      <c r="MHJ4">
        <f>Database!MIC28</f>
        <v>0</v>
      </c>
      <c r="MHK4">
        <f>Database!MID28</f>
        <v>0</v>
      </c>
      <c r="MHL4">
        <f>Database!MIE28</f>
        <v>0</v>
      </c>
      <c r="MHM4">
        <f>Database!MIF28</f>
        <v>0</v>
      </c>
      <c r="MHN4">
        <f>Database!MIG28</f>
        <v>0</v>
      </c>
      <c r="MHO4">
        <f>Database!MIH28</f>
        <v>0</v>
      </c>
      <c r="MHP4">
        <f>Database!MII28</f>
        <v>0</v>
      </c>
      <c r="MHQ4">
        <f>Database!MIJ28</f>
        <v>0</v>
      </c>
      <c r="MHR4">
        <f>Database!MIK28</f>
        <v>0</v>
      </c>
      <c r="MHS4">
        <f>Database!MIL28</f>
        <v>0</v>
      </c>
      <c r="MHT4">
        <f>Database!MIM28</f>
        <v>0</v>
      </c>
      <c r="MHU4">
        <f>Database!MIN28</f>
        <v>0</v>
      </c>
      <c r="MHV4">
        <f>Database!MIO28</f>
        <v>0</v>
      </c>
      <c r="MHW4">
        <f>Database!MIP28</f>
        <v>0</v>
      </c>
      <c r="MHX4">
        <f>Database!MIQ28</f>
        <v>0</v>
      </c>
      <c r="MHY4">
        <f>Database!MIR28</f>
        <v>0</v>
      </c>
      <c r="MHZ4">
        <f>Database!MIS28</f>
        <v>0</v>
      </c>
      <c r="MIA4">
        <f>Database!MIT28</f>
        <v>0</v>
      </c>
      <c r="MIB4">
        <f>Database!MIU28</f>
        <v>0</v>
      </c>
      <c r="MIC4">
        <f>Database!MIV28</f>
        <v>0</v>
      </c>
      <c r="MID4">
        <f>Database!MIW28</f>
        <v>0</v>
      </c>
      <c r="MIE4">
        <f>Database!MIX28</f>
        <v>0</v>
      </c>
      <c r="MIF4">
        <f>Database!MIY28</f>
        <v>0</v>
      </c>
      <c r="MIG4">
        <f>Database!MIZ28</f>
        <v>0</v>
      </c>
      <c r="MIH4">
        <f>Database!MJA28</f>
        <v>0</v>
      </c>
      <c r="MII4">
        <f>Database!MJB28</f>
        <v>0</v>
      </c>
      <c r="MIJ4">
        <f>Database!MJC28</f>
        <v>0</v>
      </c>
      <c r="MIK4">
        <f>Database!MJD28</f>
        <v>0</v>
      </c>
      <c r="MIL4">
        <f>Database!MJE28</f>
        <v>0</v>
      </c>
      <c r="MIM4">
        <f>Database!MJF28</f>
        <v>0</v>
      </c>
      <c r="MIN4">
        <f>Database!MJG28</f>
        <v>0</v>
      </c>
      <c r="MIO4">
        <f>Database!MJH28</f>
        <v>0</v>
      </c>
      <c r="MIP4">
        <f>Database!MJI28</f>
        <v>0</v>
      </c>
      <c r="MIQ4">
        <f>Database!MJJ28</f>
        <v>0</v>
      </c>
      <c r="MIR4">
        <f>Database!MJK28</f>
        <v>0</v>
      </c>
      <c r="MIS4">
        <f>Database!MJL28</f>
        <v>0</v>
      </c>
      <c r="MIT4">
        <f>Database!MJM28</f>
        <v>0</v>
      </c>
      <c r="MIU4">
        <f>Database!MJN28</f>
        <v>0</v>
      </c>
      <c r="MIV4">
        <f>Database!MJO28</f>
        <v>0</v>
      </c>
      <c r="MIW4">
        <f>Database!MJP28</f>
        <v>0</v>
      </c>
      <c r="MIX4">
        <f>Database!MJQ28</f>
        <v>0</v>
      </c>
      <c r="MIY4">
        <f>Database!MJR28</f>
        <v>0</v>
      </c>
      <c r="MIZ4">
        <f>Database!MJS28</f>
        <v>0</v>
      </c>
      <c r="MJA4">
        <f>Database!MJT28</f>
        <v>0</v>
      </c>
      <c r="MJB4">
        <f>Database!MJU28</f>
        <v>0</v>
      </c>
      <c r="MJC4">
        <f>Database!MJV28</f>
        <v>0</v>
      </c>
      <c r="MJD4">
        <f>Database!MJW28</f>
        <v>0</v>
      </c>
      <c r="MJE4">
        <f>Database!MJX28</f>
        <v>0</v>
      </c>
      <c r="MJF4">
        <f>Database!MJY28</f>
        <v>0</v>
      </c>
      <c r="MJG4">
        <f>Database!MJZ28</f>
        <v>0</v>
      </c>
      <c r="MJH4">
        <f>Database!MKA28</f>
        <v>0</v>
      </c>
      <c r="MJI4">
        <f>Database!MKB28</f>
        <v>0</v>
      </c>
      <c r="MJJ4">
        <f>Database!MKC28</f>
        <v>0</v>
      </c>
      <c r="MJK4">
        <f>Database!MKD28</f>
        <v>0</v>
      </c>
      <c r="MJL4">
        <f>Database!MKE28</f>
        <v>0</v>
      </c>
      <c r="MJM4">
        <f>Database!MKF28</f>
        <v>0</v>
      </c>
      <c r="MJN4">
        <f>Database!MKG28</f>
        <v>0</v>
      </c>
      <c r="MJO4">
        <f>Database!MKH28</f>
        <v>0</v>
      </c>
      <c r="MJP4">
        <f>Database!MKI28</f>
        <v>0</v>
      </c>
      <c r="MJQ4">
        <f>Database!MKJ28</f>
        <v>0</v>
      </c>
      <c r="MJR4">
        <f>Database!MKK28</f>
        <v>0</v>
      </c>
      <c r="MJS4">
        <f>Database!MKL28</f>
        <v>0</v>
      </c>
      <c r="MJT4">
        <f>Database!MKM28</f>
        <v>0</v>
      </c>
      <c r="MJU4">
        <f>Database!MKN28</f>
        <v>0</v>
      </c>
      <c r="MJV4">
        <f>Database!MKO28</f>
        <v>0</v>
      </c>
      <c r="MJW4">
        <f>Database!MKP28</f>
        <v>0</v>
      </c>
      <c r="MJX4">
        <f>Database!MKQ28</f>
        <v>0</v>
      </c>
      <c r="MJY4">
        <f>Database!MKR28</f>
        <v>0</v>
      </c>
      <c r="MJZ4">
        <f>Database!MKS28</f>
        <v>0</v>
      </c>
      <c r="MKA4">
        <f>Database!MKT28</f>
        <v>0</v>
      </c>
      <c r="MKB4">
        <f>Database!MKU28</f>
        <v>0</v>
      </c>
      <c r="MKC4">
        <f>Database!MKV28</f>
        <v>0</v>
      </c>
      <c r="MKD4">
        <f>Database!MKW28</f>
        <v>0</v>
      </c>
      <c r="MKE4">
        <f>Database!MKX28</f>
        <v>0</v>
      </c>
      <c r="MKF4">
        <f>Database!MKY28</f>
        <v>0</v>
      </c>
      <c r="MKG4">
        <f>Database!MKZ28</f>
        <v>0</v>
      </c>
      <c r="MKH4">
        <f>Database!MLA28</f>
        <v>0</v>
      </c>
      <c r="MKI4">
        <f>Database!MLB28</f>
        <v>0</v>
      </c>
      <c r="MKJ4">
        <f>Database!MLC28</f>
        <v>0</v>
      </c>
      <c r="MKK4">
        <f>Database!MLD28</f>
        <v>0</v>
      </c>
      <c r="MKL4">
        <f>Database!MLE28</f>
        <v>0</v>
      </c>
      <c r="MKM4">
        <f>Database!MLF28</f>
        <v>0</v>
      </c>
      <c r="MKN4">
        <f>Database!MLG28</f>
        <v>0</v>
      </c>
      <c r="MKO4">
        <f>Database!MLH28</f>
        <v>0</v>
      </c>
      <c r="MKP4">
        <f>Database!MLI28</f>
        <v>0</v>
      </c>
      <c r="MKQ4">
        <f>Database!MLJ28</f>
        <v>0</v>
      </c>
      <c r="MKR4">
        <f>Database!MLK28</f>
        <v>0</v>
      </c>
      <c r="MKS4">
        <f>Database!MLL28</f>
        <v>0</v>
      </c>
      <c r="MKT4">
        <f>Database!MLM28</f>
        <v>0</v>
      </c>
      <c r="MKU4">
        <f>Database!MLN28</f>
        <v>0</v>
      </c>
      <c r="MKV4">
        <f>Database!MLO28</f>
        <v>0</v>
      </c>
      <c r="MKW4">
        <f>Database!MLP28</f>
        <v>0</v>
      </c>
      <c r="MKX4">
        <f>Database!MLQ28</f>
        <v>0</v>
      </c>
      <c r="MKY4">
        <f>Database!MLR28</f>
        <v>0</v>
      </c>
      <c r="MKZ4">
        <f>Database!MLS28</f>
        <v>0</v>
      </c>
      <c r="MLA4">
        <f>Database!MLT28</f>
        <v>0</v>
      </c>
      <c r="MLB4">
        <f>Database!MLU28</f>
        <v>0</v>
      </c>
      <c r="MLC4">
        <f>Database!MLV28</f>
        <v>0</v>
      </c>
      <c r="MLD4">
        <f>Database!MLW28</f>
        <v>0</v>
      </c>
      <c r="MLE4">
        <f>Database!MLX28</f>
        <v>0</v>
      </c>
      <c r="MLF4">
        <f>Database!MLY28</f>
        <v>0</v>
      </c>
      <c r="MLG4">
        <f>Database!MLZ28</f>
        <v>0</v>
      </c>
      <c r="MLH4">
        <f>Database!MMA28</f>
        <v>0</v>
      </c>
      <c r="MLI4">
        <f>Database!MMB28</f>
        <v>0</v>
      </c>
      <c r="MLJ4">
        <f>Database!MMC28</f>
        <v>0</v>
      </c>
      <c r="MLK4">
        <f>Database!MMD28</f>
        <v>0</v>
      </c>
      <c r="MLL4">
        <f>Database!MME28</f>
        <v>0</v>
      </c>
      <c r="MLM4">
        <f>Database!MMF28</f>
        <v>0</v>
      </c>
      <c r="MLN4">
        <f>Database!MMG28</f>
        <v>0</v>
      </c>
      <c r="MLO4">
        <f>Database!MMH28</f>
        <v>0</v>
      </c>
      <c r="MLP4">
        <f>Database!MMI28</f>
        <v>0</v>
      </c>
      <c r="MLQ4">
        <f>Database!MMJ28</f>
        <v>0</v>
      </c>
      <c r="MLR4">
        <f>Database!MMK28</f>
        <v>0</v>
      </c>
      <c r="MLS4">
        <f>Database!MML28</f>
        <v>0</v>
      </c>
      <c r="MLT4">
        <f>Database!MMM28</f>
        <v>0</v>
      </c>
      <c r="MLU4">
        <f>Database!MMN28</f>
        <v>0</v>
      </c>
      <c r="MLV4">
        <f>Database!MMO28</f>
        <v>0</v>
      </c>
      <c r="MLW4">
        <f>Database!MMP28</f>
        <v>0</v>
      </c>
      <c r="MLX4">
        <f>Database!MMQ28</f>
        <v>0</v>
      </c>
      <c r="MLY4">
        <f>Database!MMR28</f>
        <v>0</v>
      </c>
      <c r="MLZ4">
        <f>Database!MMS28</f>
        <v>0</v>
      </c>
      <c r="MMA4">
        <f>Database!MMT28</f>
        <v>0</v>
      </c>
      <c r="MMB4">
        <f>Database!MMU28</f>
        <v>0</v>
      </c>
      <c r="MMC4">
        <f>Database!MMV28</f>
        <v>0</v>
      </c>
      <c r="MMD4">
        <f>Database!MMW28</f>
        <v>0</v>
      </c>
      <c r="MME4">
        <f>Database!MMX28</f>
        <v>0</v>
      </c>
      <c r="MMF4">
        <f>Database!MMY28</f>
        <v>0</v>
      </c>
      <c r="MMG4">
        <f>Database!MMZ28</f>
        <v>0</v>
      </c>
      <c r="MMH4">
        <f>Database!MNA28</f>
        <v>0</v>
      </c>
      <c r="MMI4">
        <f>Database!MNB28</f>
        <v>0</v>
      </c>
      <c r="MMJ4">
        <f>Database!MNC28</f>
        <v>0</v>
      </c>
      <c r="MMK4">
        <f>Database!MND28</f>
        <v>0</v>
      </c>
      <c r="MML4">
        <f>Database!MNE28</f>
        <v>0</v>
      </c>
      <c r="MMM4">
        <f>Database!MNF28</f>
        <v>0</v>
      </c>
      <c r="MMN4">
        <f>Database!MNG28</f>
        <v>0</v>
      </c>
      <c r="MMO4">
        <f>Database!MNH28</f>
        <v>0</v>
      </c>
      <c r="MMP4">
        <f>Database!MNI28</f>
        <v>0</v>
      </c>
      <c r="MMQ4">
        <f>Database!MNJ28</f>
        <v>0</v>
      </c>
      <c r="MMR4">
        <f>Database!MNK28</f>
        <v>0</v>
      </c>
      <c r="MMS4">
        <f>Database!MNL28</f>
        <v>0</v>
      </c>
      <c r="MMT4">
        <f>Database!MNM28</f>
        <v>0</v>
      </c>
      <c r="MMU4">
        <f>Database!MNN28</f>
        <v>0</v>
      </c>
      <c r="MMV4">
        <f>Database!MNO28</f>
        <v>0</v>
      </c>
      <c r="MMW4">
        <f>Database!MNP28</f>
        <v>0</v>
      </c>
      <c r="MMX4">
        <f>Database!MNQ28</f>
        <v>0</v>
      </c>
      <c r="MMY4">
        <f>Database!MNR28</f>
        <v>0</v>
      </c>
      <c r="MMZ4">
        <f>Database!MNS28</f>
        <v>0</v>
      </c>
      <c r="MNA4">
        <f>Database!MNT28</f>
        <v>0</v>
      </c>
      <c r="MNB4">
        <f>Database!MNU28</f>
        <v>0</v>
      </c>
      <c r="MNC4">
        <f>Database!MNV28</f>
        <v>0</v>
      </c>
      <c r="MND4">
        <f>Database!MNW28</f>
        <v>0</v>
      </c>
      <c r="MNE4">
        <f>Database!MNX28</f>
        <v>0</v>
      </c>
      <c r="MNF4">
        <f>Database!MNY28</f>
        <v>0</v>
      </c>
      <c r="MNG4">
        <f>Database!MNZ28</f>
        <v>0</v>
      </c>
      <c r="MNH4">
        <f>Database!MOA28</f>
        <v>0</v>
      </c>
      <c r="MNI4">
        <f>Database!MOB28</f>
        <v>0</v>
      </c>
      <c r="MNJ4">
        <f>Database!MOC28</f>
        <v>0</v>
      </c>
      <c r="MNK4">
        <f>Database!MOD28</f>
        <v>0</v>
      </c>
      <c r="MNL4">
        <f>Database!MOE28</f>
        <v>0</v>
      </c>
      <c r="MNM4">
        <f>Database!MOF28</f>
        <v>0</v>
      </c>
      <c r="MNN4">
        <f>Database!MOG28</f>
        <v>0</v>
      </c>
      <c r="MNO4">
        <f>Database!MOH28</f>
        <v>0</v>
      </c>
      <c r="MNP4">
        <f>Database!MOI28</f>
        <v>0</v>
      </c>
      <c r="MNQ4">
        <f>Database!MOJ28</f>
        <v>0</v>
      </c>
      <c r="MNR4">
        <f>Database!MOK28</f>
        <v>0</v>
      </c>
      <c r="MNS4">
        <f>Database!MOL28</f>
        <v>0</v>
      </c>
      <c r="MNT4">
        <f>Database!MOM28</f>
        <v>0</v>
      </c>
      <c r="MNU4">
        <f>Database!MON28</f>
        <v>0</v>
      </c>
      <c r="MNV4">
        <f>Database!MOO28</f>
        <v>0</v>
      </c>
      <c r="MNW4">
        <f>Database!MOP28</f>
        <v>0</v>
      </c>
      <c r="MNX4">
        <f>Database!MOQ28</f>
        <v>0</v>
      </c>
      <c r="MNY4">
        <f>Database!MOR28</f>
        <v>0</v>
      </c>
      <c r="MNZ4">
        <f>Database!MOS28</f>
        <v>0</v>
      </c>
      <c r="MOA4">
        <f>Database!MOT28</f>
        <v>0</v>
      </c>
      <c r="MOB4">
        <f>Database!MOU28</f>
        <v>0</v>
      </c>
      <c r="MOC4">
        <f>Database!MOV28</f>
        <v>0</v>
      </c>
      <c r="MOD4">
        <f>Database!MOW28</f>
        <v>0</v>
      </c>
      <c r="MOE4">
        <f>Database!MOX28</f>
        <v>0</v>
      </c>
      <c r="MOF4">
        <f>Database!MOY28</f>
        <v>0</v>
      </c>
      <c r="MOG4">
        <f>Database!MOZ28</f>
        <v>0</v>
      </c>
      <c r="MOH4">
        <f>Database!MPA28</f>
        <v>0</v>
      </c>
      <c r="MOI4">
        <f>Database!MPB28</f>
        <v>0</v>
      </c>
      <c r="MOJ4">
        <f>Database!MPC28</f>
        <v>0</v>
      </c>
      <c r="MOK4">
        <f>Database!MPD28</f>
        <v>0</v>
      </c>
      <c r="MOL4">
        <f>Database!MPE28</f>
        <v>0</v>
      </c>
      <c r="MOM4">
        <f>Database!MPF28</f>
        <v>0</v>
      </c>
      <c r="MON4">
        <f>Database!MPG28</f>
        <v>0</v>
      </c>
      <c r="MOO4">
        <f>Database!MPH28</f>
        <v>0</v>
      </c>
      <c r="MOP4">
        <f>Database!MPI28</f>
        <v>0</v>
      </c>
      <c r="MOQ4">
        <f>Database!MPJ28</f>
        <v>0</v>
      </c>
      <c r="MOR4">
        <f>Database!MPK28</f>
        <v>0</v>
      </c>
      <c r="MOS4">
        <f>Database!MPL28</f>
        <v>0</v>
      </c>
      <c r="MOT4">
        <f>Database!MPM28</f>
        <v>0</v>
      </c>
      <c r="MOU4">
        <f>Database!MPN28</f>
        <v>0</v>
      </c>
      <c r="MOV4">
        <f>Database!MPO28</f>
        <v>0</v>
      </c>
      <c r="MOW4">
        <f>Database!MPP28</f>
        <v>0</v>
      </c>
      <c r="MOX4">
        <f>Database!MPQ28</f>
        <v>0</v>
      </c>
      <c r="MOY4">
        <f>Database!MPR28</f>
        <v>0</v>
      </c>
      <c r="MOZ4">
        <f>Database!MPS28</f>
        <v>0</v>
      </c>
      <c r="MPA4">
        <f>Database!MPT28</f>
        <v>0</v>
      </c>
      <c r="MPB4">
        <f>Database!MPU28</f>
        <v>0</v>
      </c>
      <c r="MPC4">
        <f>Database!MPV28</f>
        <v>0</v>
      </c>
      <c r="MPD4">
        <f>Database!MPW28</f>
        <v>0</v>
      </c>
      <c r="MPE4">
        <f>Database!MPX28</f>
        <v>0</v>
      </c>
      <c r="MPF4">
        <f>Database!MPY28</f>
        <v>0</v>
      </c>
      <c r="MPG4">
        <f>Database!MPZ28</f>
        <v>0</v>
      </c>
      <c r="MPH4">
        <f>Database!MQA28</f>
        <v>0</v>
      </c>
      <c r="MPI4">
        <f>Database!MQB28</f>
        <v>0</v>
      </c>
      <c r="MPJ4">
        <f>Database!MQC28</f>
        <v>0</v>
      </c>
      <c r="MPK4">
        <f>Database!MQD28</f>
        <v>0</v>
      </c>
      <c r="MPL4">
        <f>Database!MQE28</f>
        <v>0</v>
      </c>
      <c r="MPM4">
        <f>Database!MQF28</f>
        <v>0</v>
      </c>
      <c r="MPN4">
        <f>Database!MQG28</f>
        <v>0</v>
      </c>
      <c r="MPO4">
        <f>Database!MQH28</f>
        <v>0</v>
      </c>
      <c r="MPP4">
        <f>Database!MQI28</f>
        <v>0</v>
      </c>
      <c r="MPQ4">
        <f>Database!MQJ28</f>
        <v>0</v>
      </c>
      <c r="MPR4">
        <f>Database!MQK28</f>
        <v>0</v>
      </c>
      <c r="MPS4">
        <f>Database!MQL28</f>
        <v>0</v>
      </c>
      <c r="MPT4">
        <f>Database!MQM28</f>
        <v>0</v>
      </c>
      <c r="MPU4">
        <f>Database!MQN28</f>
        <v>0</v>
      </c>
      <c r="MPV4">
        <f>Database!MQO28</f>
        <v>0</v>
      </c>
      <c r="MPW4">
        <f>Database!MQP28</f>
        <v>0</v>
      </c>
      <c r="MPX4">
        <f>Database!MQQ28</f>
        <v>0</v>
      </c>
      <c r="MPY4">
        <f>Database!MQR28</f>
        <v>0</v>
      </c>
      <c r="MPZ4">
        <f>Database!MQS28</f>
        <v>0</v>
      </c>
      <c r="MQA4">
        <f>Database!MQT28</f>
        <v>0</v>
      </c>
      <c r="MQB4">
        <f>Database!MQU28</f>
        <v>0</v>
      </c>
      <c r="MQC4">
        <f>Database!MQV28</f>
        <v>0</v>
      </c>
      <c r="MQD4">
        <f>Database!MQW28</f>
        <v>0</v>
      </c>
      <c r="MQE4">
        <f>Database!MQX28</f>
        <v>0</v>
      </c>
      <c r="MQF4">
        <f>Database!MQY28</f>
        <v>0</v>
      </c>
      <c r="MQG4">
        <f>Database!MQZ28</f>
        <v>0</v>
      </c>
      <c r="MQH4">
        <f>Database!MRA28</f>
        <v>0</v>
      </c>
      <c r="MQI4">
        <f>Database!MRB28</f>
        <v>0</v>
      </c>
      <c r="MQJ4">
        <f>Database!MRC28</f>
        <v>0</v>
      </c>
      <c r="MQK4">
        <f>Database!MRD28</f>
        <v>0</v>
      </c>
      <c r="MQL4">
        <f>Database!MRE28</f>
        <v>0</v>
      </c>
      <c r="MQM4">
        <f>Database!MRF28</f>
        <v>0</v>
      </c>
      <c r="MQN4">
        <f>Database!MRG28</f>
        <v>0</v>
      </c>
      <c r="MQO4">
        <f>Database!MRH28</f>
        <v>0</v>
      </c>
      <c r="MQP4">
        <f>Database!MRI28</f>
        <v>0</v>
      </c>
      <c r="MQQ4">
        <f>Database!MRJ28</f>
        <v>0</v>
      </c>
      <c r="MQR4">
        <f>Database!MRK28</f>
        <v>0</v>
      </c>
      <c r="MQS4">
        <f>Database!MRL28</f>
        <v>0</v>
      </c>
      <c r="MQT4">
        <f>Database!MRM28</f>
        <v>0</v>
      </c>
      <c r="MQU4">
        <f>Database!MRN28</f>
        <v>0</v>
      </c>
      <c r="MQV4">
        <f>Database!MRO28</f>
        <v>0</v>
      </c>
      <c r="MQW4">
        <f>Database!MRP28</f>
        <v>0</v>
      </c>
      <c r="MQX4">
        <f>Database!MRQ28</f>
        <v>0</v>
      </c>
      <c r="MQY4">
        <f>Database!MRR28</f>
        <v>0</v>
      </c>
      <c r="MQZ4">
        <f>Database!MRS28</f>
        <v>0</v>
      </c>
      <c r="MRA4">
        <f>Database!MRT28</f>
        <v>0</v>
      </c>
      <c r="MRB4">
        <f>Database!MRU28</f>
        <v>0</v>
      </c>
      <c r="MRC4">
        <f>Database!MRV28</f>
        <v>0</v>
      </c>
      <c r="MRD4">
        <f>Database!MRW28</f>
        <v>0</v>
      </c>
      <c r="MRE4">
        <f>Database!MRX28</f>
        <v>0</v>
      </c>
      <c r="MRF4">
        <f>Database!MRY28</f>
        <v>0</v>
      </c>
      <c r="MRG4">
        <f>Database!MRZ28</f>
        <v>0</v>
      </c>
      <c r="MRH4">
        <f>Database!MSA28</f>
        <v>0</v>
      </c>
      <c r="MRI4">
        <f>Database!MSB28</f>
        <v>0</v>
      </c>
      <c r="MRJ4">
        <f>Database!MSC28</f>
        <v>0</v>
      </c>
      <c r="MRK4">
        <f>Database!MSD28</f>
        <v>0</v>
      </c>
      <c r="MRL4">
        <f>Database!MSE28</f>
        <v>0</v>
      </c>
      <c r="MRM4">
        <f>Database!MSF28</f>
        <v>0</v>
      </c>
      <c r="MRN4">
        <f>Database!MSG28</f>
        <v>0</v>
      </c>
      <c r="MRO4">
        <f>Database!MSH28</f>
        <v>0</v>
      </c>
      <c r="MRP4">
        <f>Database!MSI28</f>
        <v>0</v>
      </c>
      <c r="MRQ4">
        <f>Database!MSJ28</f>
        <v>0</v>
      </c>
      <c r="MRR4">
        <f>Database!MSK28</f>
        <v>0</v>
      </c>
      <c r="MRS4">
        <f>Database!MSL28</f>
        <v>0</v>
      </c>
      <c r="MRT4">
        <f>Database!MSM28</f>
        <v>0</v>
      </c>
      <c r="MRU4">
        <f>Database!MSN28</f>
        <v>0</v>
      </c>
      <c r="MRV4">
        <f>Database!MSO28</f>
        <v>0</v>
      </c>
      <c r="MRW4">
        <f>Database!MSP28</f>
        <v>0</v>
      </c>
      <c r="MRX4">
        <f>Database!MSQ28</f>
        <v>0</v>
      </c>
      <c r="MRY4">
        <f>Database!MSR28</f>
        <v>0</v>
      </c>
      <c r="MRZ4">
        <f>Database!MSS28</f>
        <v>0</v>
      </c>
      <c r="MSA4">
        <f>Database!MST28</f>
        <v>0</v>
      </c>
      <c r="MSB4">
        <f>Database!MSU28</f>
        <v>0</v>
      </c>
      <c r="MSC4">
        <f>Database!MSV28</f>
        <v>0</v>
      </c>
      <c r="MSD4">
        <f>Database!MSW28</f>
        <v>0</v>
      </c>
      <c r="MSE4">
        <f>Database!MSX28</f>
        <v>0</v>
      </c>
      <c r="MSF4">
        <f>Database!MSY28</f>
        <v>0</v>
      </c>
      <c r="MSG4">
        <f>Database!MSZ28</f>
        <v>0</v>
      </c>
      <c r="MSH4">
        <f>Database!MTA28</f>
        <v>0</v>
      </c>
      <c r="MSI4">
        <f>Database!MTB28</f>
        <v>0</v>
      </c>
      <c r="MSJ4">
        <f>Database!MTC28</f>
        <v>0</v>
      </c>
      <c r="MSK4">
        <f>Database!MTD28</f>
        <v>0</v>
      </c>
      <c r="MSL4">
        <f>Database!MTE28</f>
        <v>0</v>
      </c>
      <c r="MSM4">
        <f>Database!MTF28</f>
        <v>0</v>
      </c>
      <c r="MSN4">
        <f>Database!MTG28</f>
        <v>0</v>
      </c>
      <c r="MSO4">
        <f>Database!MTH28</f>
        <v>0</v>
      </c>
      <c r="MSP4">
        <f>Database!MTI28</f>
        <v>0</v>
      </c>
      <c r="MSQ4">
        <f>Database!MTJ28</f>
        <v>0</v>
      </c>
      <c r="MSR4">
        <f>Database!MTK28</f>
        <v>0</v>
      </c>
      <c r="MSS4">
        <f>Database!MTL28</f>
        <v>0</v>
      </c>
      <c r="MST4">
        <f>Database!MTM28</f>
        <v>0</v>
      </c>
      <c r="MSU4">
        <f>Database!MTN28</f>
        <v>0</v>
      </c>
      <c r="MSV4">
        <f>Database!MTO28</f>
        <v>0</v>
      </c>
      <c r="MSW4">
        <f>Database!MTP28</f>
        <v>0</v>
      </c>
      <c r="MSX4">
        <f>Database!MTQ28</f>
        <v>0</v>
      </c>
      <c r="MSY4">
        <f>Database!MTR28</f>
        <v>0</v>
      </c>
      <c r="MSZ4">
        <f>Database!MTS28</f>
        <v>0</v>
      </c>
      <c r="MTA4">
        <f>Database!MTT28</f>
        <v>0</v>
      </c>
      <c r="MTB4">
        <f>Database!MTU28</f>
        <v>0</v>
      </c>
      <c r="MTC4">
        <f>Database!MTV28</f>
        <v>0</v>
      </c>
      <c r="MTD4">
        <f>Database!MTW28</f>
        <v>0</v>
      </c>
      <c r="MTE4">
        <f>Database!MTX28</f>
        <v>0</v>
      </c>
      <c r="MTF4">
        <f>Database!MTY28</f>
        <v>0</v>
      </c>
      <c r="MTG4">
        <f>Database!MTZ28</f>
        <v>0</v>
      </c>
      <c r="MTH4">
        <f>Database!MUA28</f>
        <v>0</v>
      </c>
      <c r="MTI4">
        <f>Database!MUB28</f>
        <v>0</v>
      </c>
      <c r="MTJ4">
        <f>Database!MUC28</f>
        <v>0</v>
      </c>
      <c r="MTK4">
        <f>Database!MUD28</f>
        <v>0</v>
      </c>
      <c r="MTL4">
        <f>Database!MUE28</f>
        <v>0</v>
      </c>
      <c r="MTM4">
        <f>Database!MUF28</f>
        <v>0</v>
      </c>
      <c r="MTN4">
        <f>Database!MUG28</f>
        <v>0</v>
      </c>
      <c r="MTO4">
        <f>Database!MUH28</f>
        <v>0</v>
      </c>
      <c r="MTP4">
        <f>Database!MUI28</f>
        <v>0</v>
      </c>
      <c r="MTQ4">
        <f>Database!MUJ28</f>
        <v>0</v>
      </c>
      <c r="MTR4">
        <f>Database!MUK28</f>
        <v>0</v>
      </c>
      <c r="MTS4">
        <f>Database!MUL28</f>
        <v>0</v>
      </c>
      <c r="MTT4">
        <f>Database!MUM28</f>
        <v>0</v>
      </c>
      <c r="MTU4">
        <f>Database!MUN28</f>
        <v>0</v>
      </c>
      <c r="MTV4">
        <f>Database!MUO28</f>
        <v>0</v>
      </c>
      <c r="MTW4">
        <f>Database!MUP28</f>
        <v>0</v>
      </c>
      <c r="MTX4">
        <f>Database!MUQ28</f>
        <v>0</v>
      </c>
      <c r="MTY4">
        <f>Database!MUR28</f>
        <v>0</v>
      </c>
      <c r="MTZ4">
        <f>Database!MUS28</f>
        <v>0</v>
      </c>
      <c r="MUA4">
        <f>Database!MUT28</f>
        <v>0</v>
      </c>
      <c r="MUB4">
        <f>Database!MUU28</f>
        <v>0</v>
      </c>
      <c r="MUC4">
        <f>Database!MUV28</f>
        <v>0</v>
      </c>
      <c r="MUD4">
        <f>Database!MUW28</f>
        <v>0</v>
      </c>
      <c r="MUE4">
        <f>Database!MUX28</f>
        <v>0</v>
      </c>
      <c r="MUF4">
        <f>Database!MUY28</f>
        <v>0</v>
      </c>
      <c r="MUG4">
        <f>Database!MUZ28</f>
        <v>0</v>
      </c>
      <c r="MUH4">
        <f>Database!MVA28</f>
        <v>0</v>
      </c>
      <c r="MUI4">
        <f>Database!MVB28</f>
        <v>0</v>
      </c>
      <c r="MUJ4">
        <f>Database!MVC28</f>
        <v>0</v>
      </c>
      <c r="MUK4">
        <f>Database!MVD28</f>
        <v>0</v>
      </c>
      <c r="MUL4">
        <f>Database!MVE28</f>
        <v>0</v>
      </c>
      <c r="MUM4">
        <f>Database!MVF28</f>
        <v>0</v>
      </c>
      <c r="MUN4">
        <f>Database!MVG28</f>
        <v>0</v>
      </c>
      <c r="MUO4">
        <f>Database!MVH28</f>
        <v>0</v>
      </c>
      <c r="MUP4">
        <f>Database!MVI28</f>
        <v>0</v>
      </c>
      <c r="MUQ4">
        <f>Database!MVJ28</f>
        <v>0</v>
      </c>
      <c r="MUR4">
        <f>Database!MVK28</f>
        <v>0</v>
      </c>
      <c r="MUS4">
        <f>Database!MVL28</f>
        <v>0</v>
      </c>
      <c r="MUT4">
        <f>Database!MVM28</f>
        <v>0</v>
      </c>
      <c r="MUU4">
        <f>Database!MVN28</f>
        <v>0</v>
      </c>
      <c r="MUV4">
        <f>Database!MVO28</f>
        <v>0</v>
      </c>
      <c r="MUW4">
        <f>Database!MVP28</f>
        <v>0</v>
      </c>
      <c r="MUX4">
        <f>Database!MVQ28</f>
        <v>0</v>
      </c>
      <c r="MUY4">
        <f>Database!MVR28</f>
        <v>0</v>
      </c>
      <c r="MUZ4">
        <f>Database!MVS28</f>
        <v>0</v>
      </c>
      <c r="MVA4">
        <f>Database!MVT28</f>
        <v>0</v>
      </c>
      <c r="MVB4">
        <f>Database!MVU28</f>
        <v>0</v>
      </c>
      <c r="MVC4">
        <f>Database!MVV28</f>
        <v>0</v>
      </c>
      <c r="MVD4">
        <f>Database!MVW28</f>
        <v>0</v>
      </c>
      <c r="MVE4">
        <f>Database!MVX28</f>
        <v>0</v>
      </c>
      <c r="MVF4">
        <f>Database!MVY28</f>
        <v>0</v>
      </c>
      <c r="MVG4">
        <f>Database!MVZ28</f>
        <v>0</v>
      </c>
      <c r="MVH4">
        <f>Database!MWA28</f>
        <v>0</v>
      </c>
      <c r="MVI4">
        <f>Database!MWB28</f>
        <v>0</v>
      </c>
      <c r="MVJ4">
        <f>Database!MWC28</f>
        <v>0</v>
      </c>
      <c r="MVK4">
        <f>Database!MWD28</f>
        <v>0</v>
      </c>
      <c r="MVL4">
        <f>Database!MWE28</f>
        <v>0</v>
      </c>
      <c r="MVM4">
        <f>Database!MWF28</f>
        <v>0</v>
      </c>
      <c r="MVN4">
        <f>Database!MWG28</f>
        <v>0</v>
      </c>
      <c r="MVO4">
        <f>Database!MWH28</f>
        <v>0</v>
      </c>
      <c r="MVP4">
        <f>Database!MWI28</f>
        <v>0</v>
      </c>
      <c r="MVQ4">
        <f>Database!MWJ28</f>
        <v>0</v>
      </c>
      <c r="MVR4">
        <f>Database!MWK28</f>
        <v>0</v>
      </c>
      <c r="MVS4">
        <f>Database!MWL28</f>
        <v>0</v>
      </c>
      <c r="MVT4">
        <f>Database!MWM28</f>
        <v>0</v>
      </c>
      <c r="MVU4">
        <f>Database!MWN28</f>
        <v>0</v>
      </c>
      <c r="MVV4">
        <f>Database!MWO28</f>
        <v>0</v>
      </c>
      <c r="MVW4">
        <f>Database!MWP28</f>
        <v>0</v>
      </c>
      <c r="MVX4">
        <f>Database!MWQ28</f>
        <v>0</v>
      </c>
      <c r="MVY4">
        <f>Database!MWR28</f>
        <v>0</v>
      </c>
      <c r="MVZ4">
        <f>Database!MWS28</f>
        <v>0</v>
      </c>
      <c r="MWA4">
        <f>Database!MWT28</f>
        <v>0</v>
      </c>
      <c r="MWB4">
        <f>Database!MWU28</f>
        <v>0</v>
      </c>
      <c r="MWC4">
        <f>Database!MWV28</f>
        <v>0</v>
      </c>
      <c r="MWD4">
        <f>Database!MWW28</f>
        <v>0</v>
      </c>
      <c r="MWE4">
        <f>Database!MWX28</f>
        <v>0</v>
      </c>
      <c r="MWF4">
        <f>Database!MWY28</f>
        <v>0</v>
      </c>
      <c r="MWG4">
        <f>Database!MWZ28</f>
        <v>0</v>
      </c>
      <c r="MWH4">
        <f>Database!MXA28</f>
        <v>0</v>
      </c>
      <c r="MWI4">
        <f>Database!MXB28</f>
        <v>0</v>
      </c>
      <c r="MWJ4">
        <f>Database!MXC28</f>
        <v>0</v>
      </c>
      <c r="MWK4">
        <f>Database!MXD28</f>
        <v>0</v>
      </c>
      <c r="MWL4">
        <f>Database!MXE28</f>
        <v>0</v>
      </c>
      <c r="MWM4">
        <f>Database!MXF28</f>
        <v>0</v>
      </c>
      <c r="MWN4">
        <f>Database!MXG28</f>
        <v>0</v>
      </c>
      <c r="MWO4">
        <f>Database!MXH28</f>
        <v>0</v>
      </c>
      <c r="MWP4">
        <f>Database!MXI28</f>
        <v>0</v>
      </c>
      <c r="MWQ4">
        <f>Database!MXJ28</f>
        <v>0</v>
      </c>
      <c r="MWR4">
        <f>Database!MXK28</f>
        <v>0</v>
      </c>
      <c r="MWS4">
        <f>Database!MXL28</f>
        <v>0</v>
      </c>
      <c r="MWT4">
        <f>Database!MXM28</f>
        <v>0</v>
      </c>
      <c r="MWU4">
        <f>Database!MXN28</f>
        <v>0</v>
      </c>
      <c r="MWV4">
        <f>Database!MXO28</f>
        <v>0</v>
      </c>
      <c r="MWW4">
        <f>Database!MXP28</f>
        <v>0</v>
      </c>
      <c r="MWX4">
        <f>Database!MXQ28</f>
        <v>0</v>
      </c>
      <c r="MWY4">
        <f>Database!MXR28</f>
        <v>0</v>
      </c>
      <c r="MWZ4">
        <f>Database!MXS28</f>
        <v>0</v>
      </c>
      <c r="MXA4">
        <f>Database!MXT28</f>
        <v>0</v>
      </c>
      <c r="MXB4">
        <f>Database!MXU28</f>
        <v>0</v>
      </c>
      <c r="MXC4">
        <f>Database!MXV28</f>
        <v>0</v>
      </c>
      <c r="MXD4">
        <f>Database!MXW28</f>
        <v>0</v>
      </c>
      <c r="MXE4">
        <f>Database!MXX28</f>
        <v>0</v>
      </c>
      <c r="MXF4">
        <f>Database!MXY28</f>
        <v>0</v>
      </c>
      <c r="MXG4">
        <f>Database!MXZ28</f>
        <v>0</v>
      </c>
      <c r="MXH4">
        <f>Database!MYA28</f>
        <v>0</v>
      </c>
      <c r="MXI4">
        <f>Database!MYB28</f>
        <v>0</v>
      </c>
      <c r="MXJ4">
        <f>Database!MYC28</f>
        <v>0</v>
      </c>
      <c r="MXK4">
        <f>Database!MYD28</f>
        <v>0</v>
      </c>
      <c r="MXL4">
        <f>Database!MYE28</f>
        <v>0</v>
      </c>
      <c r="MXM4">
        <f>Database!MYF28</f>
        <v>0</v>
      </c>
      <c r="MXN4">
        <f>Database!MYG28</f>
        <v>0</v>
      </c>
      <c r="MXO4">
        <f>Database!MYH28</f>
        <v>0</v>
      </c>
      <c r="MXP4">
        <f>Database!MYI28</f>
        <v>0</v>
      </c>
      <c r="MXQ4">
        <f>Database!MYJ28</f>
        <v>0</v>
      </c>
      <c r="MXR4">
        <f>Database!MYK28</f>
        <v>0</v>
      </c>
      <c r="MXS4">
        <f>Database!MYL28</f>
        <v>0</v>
      </c>
      <c r="MXT4">
        <f>Database!MYM28</f>
        <v>0</v>
      </c>
      <c r="MXU4">
        <f>Database!MYN28</f>
        <v>0</v>
      </c>
      <c r="MXV4">
        <f>Database!MYO28</f>
        <v>0</v>
      </c>
      <c r="MXW4">
        <f>Database!MYP28</f>
        <v>0</v>
      </c>
      <c r="MXX4">
        <f>Database!MYQ28</f>
        <v>0</v>
      </c>
      <c r="MXY4">
        <f>Database!MYR28</f>
        <v>0</v>
      </c>
      <c r="MXZ4">
        <f>Database!MYS28</f>
        <v>0</v>
      </c>
      <c r="MYA4">
        <f>Database!MYT28</f>
        <v>0</v>
      </c>
      <c r="MYB4">
        <f>Database!MYU28</f>
        <v>0</v>
      </c>
      <c r="MYC4">
        <f>Database!MYV28</f>
        <v>0</v>
      </c>
      <c r="MYD4">
        <f>Database!MYW28</f>
        <v>0</v>
      </c>
      <c r="MYE4">
        <f>Database!MYX28</f>
        <v>0</v>
      </c>
      <c r="MYF4">
        <f>Database!MYY28</f>
        <v>0</v>
      </c>
      <c r="MYG4">
        <f>Database!MYZ28</f>
        <v>0</v>
      </c>
      <c r="MYH4">
        <f>Database!MZA28</f>
        <v>0</v>
      </c>
      <c r="MYI4">
        <f>Database!MZB28</f>
        <v>0</v>
      </c>
      <c r="MYJ4">
        <f>Database!MZC28</f>
        <v>0</v>
      </c>
      <c r="MYK4">
        <f>Database!MZD28</f>
        <v>0</v>
      </c>
      <c r="MYL4">
        <f>Database!MZE28</f>
        <v>0</v>
      </c>
      <c r="MYM4">
        <f>Database!MZF28</f>
        <v>0</v>
      </c>
      <c r="MYN4">
        <f>Database!MZG28</f>
        <v>0</v>
      </c>
      <c r="MYO4">
        <f>Database!MZH28</f>
        <v>0</v>
      </c>
      <c r="MYP4">
        <f>Database!MZI28</f>
        <v>0</v>
      </c>
      <c r="MYQ4">
        <f>Database!MZJ28</f>
        <v>0</v>
      </c>
      <c r="MYR4">
        <f>Database!MZK28</f>
        <v>0</v>
      </c>
      <c r="MYS4">
        <f>Database!MZL28</f>
        <v>0</v>
      </c>
      <c r="MYT4">
        <f>Database!MZM28</f>
        <v>0</v>
      </c>
      <c r="MYU4">
        <f>Database!MZN28</f>
        <v>0</v>
      </c>
      <c r="MYV4">
        <f>Database!MZO28</f>
        <v>0</v>
      </c>
      <c r="MYW4">
        <f>Database!MZP28</f>
        <v>0</v>
      </c>
      <c r="MYX4">
        <f>Database!MZQ28</f>
        <v>0</v>
      </c>
      <c r="MYY4">
        <f>Database!MZR28</f>
        <v>0</v>
      </c>
      <c r="MYZ4">
        <f>Database!MZS28</f>
        <v>0</v>
      </c>
      <c r="MZA4">
        <f>Database!MZT28</f>
        <v>0</v>
      </c>
      <c r="MZB4">
        <f>Database!MZU28</f>
        <v>0</v>
      </c>
      <c r="MZC4">
        <f>Database!MZV28</f>
        <v>0</v>
      </c>
      <c r="MZD4">
        <f>Database!MZW28</f>
        <v>0</v>
      </c>
      <c r="MZE4">
        <f>Database!MZX28</f>
        <v>0</v>
      </c>
      <c r="MZF4">
        <f>Database!MZY28</f>
        <v>0</v>
      </c>
      <c r="MZG4">
        <f>Database!MZZ28</f>
        <v>0</v>
      </c>
      <c r="MZH4">
        <f>Database!NAA28</f>
        <v>0</v>
      </c>
      <c r="MZI4">
        <f>Database!NAB28</f>
        <v>0</v>
      </c>
      <c r="MZJ4">
        <f>Database!NAC28</f>
        <v>0</v>
      </c>
      <c r="MZK4">
        <f>Database!NAD28</f>
        <v>0</v>
      </c>
      <c r="MZL4">
        <f>Database!NAE28</f>
        <v>0</v>
      </c>
      <c r="MZM4">
        <f>Database!NAF28</f>
        <v>0</v>
      </c>
      <c r="MZN4">
        <f>Database!NAG28</f>
        <v>0</v>
      </c>
      <c r="MZO4">
        <f>Database!NAH28</f>
        <v>0</v>
      </c>
      <c r="MZP4">
        <f>Database!NAI28</f>
        <v>0</v>
      </c>
      <c r="MZQ4">
        <f>Database!NAJ28</f>
        <v>0</v>
      </c>
      <c r="MZR4">
        <f>Database!NAK28</f>
        <v>0</v>
      </c>
      <c r="MZS4">
        <f>Database!NAL28</f>
        <v>0</v>
      </c>
      <c r="MZT4">
        <f>Database!NAM28</f>
        <v>0</v>
      </c>
      <c r="MZU4">
        <f>Database!NAN28</f>
        <v>0</v>
      </c>
      <c r="MZV4">
        <f>Database!NAO28</f>
        <v>0</v>
      </c>
      <c r="MZW4">
        <f>Database!NAP28</f>
        <v>0</v>
      </c>
      <c r="MZX4">
        <f>Database!NAQ28</f>
        <v>0</v>
      </c>
      <c r="MZY4">
        <f>Database!NAR28</f>
        <v>0</v>
      </c>
      <c r="MZZ4">
        <f>Database!NAS28</f>
        <v>0</v>
      </c>
      <c r="NAA4">
        <f>Database!NAT28</f>
        <v>0</v>
      </c>
      <c r="NAB4">
        <f>Database!NAU28</f>
        <v>0</v>
      </c>
      <c r="NAC4">
        <f>Database!NAV28</f>
        <v>0</v>
      </c>
      <c r="NAD4">
        <f>Database!NAW28</f>
        <v>0</v>
      </c>
      <c r="NAE4">
        <f>Database!NAX28</f>
        <v>0</v>
      </c>
      <c r="NAF4">
        <f>Database!NAY28</f>
        <v>0</v>
      </c>
      <c r="NAG4">
        <f>Database!NAZ28</f>
        <v>0</v>
      </c>
      <c r="NAH4">
        <f>Database!NBA28</f>
        <v>0</v>
      </c>
      <c r="NAI4">
        <f>Database!NBB28</f>
        <v>0</v>
      </c>
      <c r="NAJ4">
        <f>Database!NBC28</f>
        <v>0</v>
      </c>
      <c r="NAK4">
        <f>Database!NBD28</f>
        <v>0</v>
      </c>
      <c r="NAL4">
        <f>Database!NBE28</f>
        <v>0</v>
      </c>
      <c r="NAM4">
        <f>Database!NBF28</f>
        <v>0</v>
      </c>
      <c r="NAN4">
        <f>Database!NBG28</f>
        <v>0</v>
      </c>
      <c r="NAO4">
        <f>Database!NBH28</f>
        <v>0</v>
      </c>
      <c r="NAP4">
        <f>Database!NBI28</f>
        <v>0</v>
      </c>
      <c r="NAQ4">
        <f>Database!NBJ28</f>
        <v>0</v>
      </c>
      <c r="NAR4">
        <f>Database!NBK28</f>
        <v>0</v>
      </c>
      <c r="NAS4">
        <f>Database!NBL28</f>
        <v>0</v>
      </c>
      <c r="NAT4">
        <f>Database!NBM28</f>
        <v>0</v>
      </c>
      <c r="NAU4">
        <f>Database!NBN28</f>
        <v>0</v>
      </c>
      <c r="NAV4">
        <f>Database!NBO28</f>
        <v>0</v>
      </c>
      <c r="NAW4">
        <f>Database!NBP28</f>
        <v>0</v>
      </c>
      <c r="NAX4">
        <f>Database!NBQ28</f>
        <v>0</v>
      </c>
      <c r="NAY4">
        <f>Database!NBR28</f>
        <v>0</v>
      </c>
      <c r="NAZ4">
        <f>Database!NBS28</f>
        <v>0</v>
      </c>
      <c r="NBA4">
        <f>Database!NBT28</f>
        <v>0</v>
      </c>
      <c r="NBB4">
        <f>Database!NBU28</f>
        <v>0</v>
      </c>
      <c r="NBC4">
        <f>Database!NBV28</f>
        <v>0</v>
      </c>
      <c r="NBD4">
        <f>Database!NBW28</f>
        <v>0</v>
      </c>
      <c r="NBE4">
        <f>Database!NBX28</f>
        <v>0</v>
      </c>
      <c r="NBF4">
        <f>Database!NBY28</f>
        <v>0</v>
      </c>
      <c r="NBG4">
        <f>Database!NBZ28</f>
        <v>0</v>
      </c>
      <c r="NBH4">
        <f>Database!NCA28</f>
        <v>0</v>
      </c>
      <c r="NBI4">
        <f>Database!NCB28</f>
        <v>0</v>
      </c>
      <c r="NBJ4">
        <f>Database!NCC28</f>
        <v>0</v>
      </c>
      <c r="NBK4">
        <f>Database!NCD28</f>
        <v>0</v>
      </c>
      <c r="NBL4">
        <f>Database!NCE28</f>
        <v>0</v>
      </c>
      <c r="NBM4">
        <f>Database!NCF28</f>
        <v>0</v>
      </c>
      <c r="NBN4">
        <f>Database!NCG28</f>
        <v>0</v>
      </c>
      <c r="NBO4">
        <f>Database!NCH28</f>
        <v>0</v>
      </c>
      <c r="NBP4">
        <f>Database!NCI28</f>
        <v>0</v>
      </c>
      <c r="NBQ4">
        <f>Database!NCJ28</f>
        <v>0</v>
      </c>
      <c r="NBR4">
        <f>Database!NCK28</f>
        <v>0</v>
      </c>
      <c r="NBS4">
        <f>Database!NCL28</f>
        <v>0</v>
      </c>
      <c r="NBT4">
        <f>Database!NCM28</f>
        <v>0</v>
      </c>
      <c r="NBU4">
        <f>Database!NCN28</f>
        <v>0</v>
      </c>
      <c r="NBV4">
        <f>Database!NCO28</f>
        <v>0</v>
      </c>
      <c r="NBW4">
        <f>Database!NCP28</f>
        <v>0</v>
      </c>
      <c r="NBX4">
        <f>Database!NCQ28</f>
        <v>0</v>
      </c>
      <c r="NBY4">
        <f>Database!NCR28</f>
        <v>0</v>
      </c>
      <c r="NBZ4">
        <f>Database!NCS28</f>
        <v>0</v>
      </c>
      <c r="NCA4">
        <f>Database!NCT28</f>
        <v>0</v>
      </c>
      <c r="NCB4">
        <f>Database!NCU28</f>
        <v>0</v>
      </c>
      <c r="NCC4">
        <f>Database!NCV28</f>
        <v>0</v>
      </c>
      <c r="NCD4">
        <f>Database!NCW28</f>
        <v>0</v>
      </c>
      <c r="NCE4">
        <f>Database!NCX28</f>
        <v>0</v>
      </c>
      <c r="NCF4">
        <f>Database!NCY28</f>
        <v>0</v>
      </c>
      <c r="NCG4">
        <f>Database!NCZ28</f>
        <v>0</v>
      </c>
      <c r="NCH4">
        <f>Database!NDA28</f>
        <v>0</v>
      </c>
      <c r="NCI4">
        <f>Database!NDB28</f>
        <v>0</v>
      </c>
      <c r="NCJ4">
        <f>Database!NDC28</f>
        <v>0</v>
      </c>
      <c r="NCK4">
        <f>Database!NDD28</f>
        <v>0</v>
      </c>
      <c r="NCL4">
        <f>Database!NDE28</f>
        <v>0</v>
      </c>
      <c r="NCM4">
        <f>Database!NDF28</f>
        <v>0</v>
      </c>
      <c r="NCN4">
        <f>Database!NDG28</f>
        <v>0</v>
      </c>
      <c r="NCO4">
        <f>Database!NDH28</f>
        <v>0</v>
      </c>
      <c r="NCP4">
        <f>Database!NDI28</f>
        <v>0</v>
      </c>
      <c r="NCQ4">
        <f>Database!NDJ28</f>
        <v>0</v>
      </c>
      <c r="NCR4">
        <f>Database!NDK28</f>
        <v>0</v>
      </c>
      <c r="NCS4">
        <f>Database!NDL28</f>
        <v>0</v>
      </c>
      <c r="NCT4">
        <f>Database!NDM28</f>
        <v>0</v>
      </c>
      <c r="NCU4">
        <f>Database!NDN28</f>
        <v>0</v>
      </c>
      <c r="NCV4">
        <f>Database!NDO28</f>
        <v>0</v>
      </c>
      <c r="NCW4">
        <f>Database!NDP28</f>
        <v>0</v>
      </c>
      <c r="NCX4">
        <f>Database!NDQ28</f>
        <v>0</v>
      </c>
      <c r="NCY4">
        <f>Database!NDR28</f>
        <v>0</v>
      </c>
      <c r="NCZ4">
        <f>Database!NDS28</f>
        <v>0</v>
      </c>
      <c r="NDA4">
        <f>Database!NDT28</f>
        <v>0</v>
      </c>
      <c r="NDB4">
        <f>Database!NDU28</f>
        <v>0</v>
      </c>
      <c r="NDC4">
        <f>Database!NDV28</f>
        <v>0</v>
      </c>
      <c r="NDD4">
        <f>Database!NDW28</f>
        <v>0</v>
      </c>
      <c r="NDE4">
        <f>Database!NDX28</f>
        <v>0</v>
      </c>
      <c r="NDF4">
        <f>Database!NDY28</f>
        <v>0</v>
      </c>
      <c r="NDG4">
        <f>Database!NDZ28</f>
        <v>0</v>
      </c>
      <c r="NDH4">
        <f>Database!NEA28</f>
        <v>0</v>
      </c>
      <c r="NDI4">
        <f>Database!NEB28</f>
        <v>0</v>
      </c>
      <c r="NDJ4">
        <f>Database!NEC28</f>
        <v>0</v>
      </c>
      <c r="NDK4">
        <f>Database!NED28</f>
        <v>0</v>
      </c>
      <c r="NDL4">
        <f>Database!NEE28</f>
        <v>0</v>
      </c>
      <c r="NDM4">
        <f>Database!NEF28</f>
        <v>0</v>
      </c>
      <c r="NDN4">
        <f>Database!NEG28</f>
        <v>0</v>
      </c>
      <c r="NDO4">
        <f>Database!NEH28</f>
        <v>0</v>
      </c>
      <c r="NDP4">
        <f>Database!NEI28</f>
        <v>0</v>
      </c>
      <c r="NDQ4">
        <f>Database!NEJ28</f>
        <v>0</v>
      </c>
      <c r="NDR4">
        <f>Database!NEK28</f>
        <v>0</v>
      </c>
      <c r="NDS4">
        <f>Database!NEL28</f>
        <v>0</v>
      </c>
      <c r="NDT4">
        <f>Database!NEM28</f>
        <v>0</v>
      </c>
      <c r="NDU4">
        <f>Database!NEN28</f>
        <v>0</v>
      </c>
      <c r="NDV4">
        <f>Database!NEO28</f>
        <v>0</v>
      </c>
      <c r="NDW4">
        <f>Database!NEP28</f>
        <v>0</v>
      </c>
      <c r="NDX4">
        <f>Database!NEQ28</f>
        <v>0</v>
      </c>
      <c r="NDY4">
        <f>Database!NER28</f>
        <v>0</v>
      </c>
      <c r="NDZ4">
        <f>Database!NES28</f>
        <v>0</v>
      </c>
      <c r="NEA4">
        <f>Database!NET28</f>
        <v>0</v>
      </c>
      <c r="NEB4">
        <f>Database!NEU28</f>
        <v>0</v>
      </c>
      <c r="NEC4">
        <f>Database!NEV28</f>
        <v>0</v>
      </c>
      <c r="NED4">
        <f>Database!NEW28</f>
        <v>0</v>
      </c>
      <c r="NEE4">
        <f>Database!NEX28</f>
        <v>0</v>
      </c>
      <c r="NEF4">
        <f>Database!NEY28</f>
        <v>0</v>
      </c>
      <c r="NEG4">
        <f>Database!NEZ28</f>
        <v>0</v>
      </c>
      <c r="NEH4">
        <f>Database!NFA28</f>
        <v>0</v>
      </c>
      <c r="NEI4">
        <f>Database!NFB28</f>
        <v>0</v>
      </c>
      <c r="NEJ4">
        <f>Database!NFC28</f>
        <v>0</v>
      </c>
      <c r="NEK4">
        <f>Database!NFD28</f>
        <v>0</v>
      </c>
      <c r="NEL4">
        <f>Database!NFE28</f>
        <v>0</v>
      </c>
      <c r="NEM4">
        <f>Database!NFF28</f>
        <v>0</v>
      </c>
      <c r="NEN4">
        <f>Database!NFG28</f>
        <v>0</v>
      </c>
      <c r="NEO4">
        <f>Database!NFH28</f>
        <v>0</v>
      </c>
      <c r="NEP4">
        <f>Database!NFI28</f>
        <v>0</v>
      </c>
      <c r="NEQ4">
        <f>Database!NFJ28</f>
        <v>0</v>
      </c>
      <c r="NER4">
        <f>Database!NFK28</f>
        <v>0</v>
      </c>
      <c r="NES4">
        <f>Database!NFL28</f>
        <v>0</v>
      </c>
      <c r="NET4">
        <f>Database!NFM28</f>
        <v>0</v>
      </c>
      <c r="NEU4">
        <f>Database!NFN28</f>
        <v>0</v>
      </c>
      <c r="NEV4">
        <f>Database!NFO28</f>
        <v>0</v>
      </c>
      <c r="NEW4">
        <f>Database!NFP28</f>
        <v>0</v>
      </c>
      <c r="NEX4">
        <f>Database!NFQ28</f>
        <v>0</v>
      </c>
      <c r="NEY4">
        <f>Database!NFR28</f>
        <v>0</v>
      </c>
      <c r="NEZ4">
        <f>Database!NFS28</f>
        <v>0</v>
      </c>
      <c r="NFA4">
        <f>Database!NFT28</f>
        <v>0</v>
      </c>
      <c r="NFB4">
        <f>Database!NFU28</f>
        <v>0</v>
      </c>
      <c r="NFC4">
        <f>Database!NFV28</f>
        <v>0</v>
      </c>
      <c r="NFD4">
        <f>Database!NFW28</f>
        <v>0</v>
      </c>
      <c r="NFE4">
        <f>Database!NFX28</f>
        <v>0</v>
      </c>
      <c r="NFF4">
        <f>Database!NFY28</f>
        <v>0</v>
      </c>
      <c r="NFG4">
        <f>Database!NFZ28</f>
        <v>0</v>
      </c>
      <c r="NFH4">
        <f>Database!NGA28</f>
        <v>0</v>
      </c>
      <c r="NFI4">
        <f>Database!NGB28</f>
        <v>0</v>
      </c>
      <c r="NFJ4">
        <f>Database!NGC28</f>
        <v>0</v>
      </c>
      <c r="NFK4">
        <f>Database!NGD28</f>
        <v>0</v>
      </c>
      <c r="NFL4">
        <f>Database!NGE28</f>
        <v>0</v>
      </c>
      <c r="NFM4">
        <f>Database!NGF28</f>
        <v>0</v>
      </c>
      <c r="NFN4">
        <f>Database!NGG28</f>
        <v>0</v>
      </c>
      <c r="NFO4">
        <f>Database!NGH28</f>
        <v>0</v>
      </c>
      <c r="NFP4">
        <f>Database!NGI28</f>
        <v>0</v>
      </c>
      <c r="NFQ4">
        <f>Database!NGJ28</f>
        <v>0</v>
      </c>
      <c r="NFR4">
        <f>Database!NGK28</f>
        <v>0</v>
      </c>
      <c r="NFS4">
        <f>Database!NGL28</f>
        <v>0</v>
      </c>
      <c r="NFT4">
        <f>Database!NGM28</f>
        <v>0</v>
      </c>
      <c r="NFU4">
        <f>Database!NGN28</f>
        <v>0</v>
      </c>
      <c r="NFV4">
        <f>Database!NGO28</f>
        <v>0</v>
      </c>
      <c r="NFW4">
        <f>Database!NGP28</f>
        <v>0</v>
      </c>
      <c r="NFX4">
        <f>Database!NGQ28</f>
        <v>0</v>
      </c>
      <c r="NFY4">
        <f>Database!NGR28</f>
        <v>0</v>
      </c>
      <c r="NFZ4">
        <f>Database!NGS28</f>
        <v>0</v>
      </c>
      <c r="NGA4">
        <f>Database!NGT28</f>
        <v>0</v>
      </c>
      <c r="NGB4">
        <f>Database!NGU28</f>
        <v>0</v>
      </c>
      <c r="NGC4">
        <f>Database!NGV28</f>
        <v>0</v>
      </c>
      <c r="NGD4">
        <f>Database!NGW28</f>
        <v>0</v>
      </c>
      <c r="NGE4">
        <f>Database!NGX28</f>
        <v>0</v>
      </c>
      <c r="NGF4">
        <f>Database!NGY28</f>
        <v>0</v>
      </c>
      <c r="NGG4">
        <f>Database!NGZ28</f>
        <v>0</v>
      </c>
      <c r="NGH4">
        <f>Database!NHA28</f>
        <v>0</v>
      </c>
      <c r="NGI4">
        <f>Database!NHB28</f>
        <v>0</v>
      </c>
      <c r="NGJ4">
        <f>Database!NHC28</f>
        <v>0</v>
      </c>
      <c r="NGK4">
        <f>Database!NHD28</f>
        <v>0</v>
      </c>
      <c r="NGL4">
        <f>Database!NHE28</f>
        <v>0</v>
      </c>
      <c r="NGM4">
        <f>Database!NHF28</f>
        <v>0</v>
      </c>
      <c r="NGN4">
        <f>Database!NHG28</f>
        <v>0</v>
      </c>
      <c r="NGO4">
        <f>Database!NHH28</f>
        <v>0</v>
      </c>
      <c r="NGP4">
        <f>Database!NHI28</f>
        <v>0</v>
      </c>
      <c r="NGQ4">
        <f>Database!NHJ28</f>
        <v>0</v>
      </c>
      <c r="NGR4">
        <f>Database!NHK28</f>
        <v>0</v>
      </c>
      <c r="NGS4">
        <f>Database!NHL28</f>
        <v>0</v>
      </c>
      <c r="NGT4">
        <f>Database!NHM28</f>
        <v>0</v>
      </c>
      <c r="NGU4">
        <f>Database!NHN28</f>
        <v>0</v>
      </c>
      <c r="NGV4">
        <f>Database!NHO28</f>
        <v>0</v>
      </c>
      <c r="NGW4">
        <f>Database!NHP28</f>
        <v>0</v>
      </c>
      <c r="NGX4">
        <f>Database!NHQ28</f>
        <v>0</v>
      </c>
      <c r="NGY4">
        <f>Database!NHR28</f>
        <v>0</v>
      </c>
      <c r="NGZ4">
        <f>Database!NHS28</f>
        <v>0</v>
      </c>
      <c r="NHA4">
        <f>Database!NHT28</f>
        <v>0</v>
      </c>
      <c r="NHB4">
        <f>Database!NHU28</f>
        <v>0</v>
      </c>
      <c r="NHC4">
        <f>Database!NHV28</f>
        <v>0</v>
      </c>
      <c r="NHD4">
        <f>Database!NHW28</f>
        <v>0</v>
      </c>
      <c r="NHE4">
        <f>Database!NHX28</f>
        <v>0</v>
      </c>
      <c r="NHF4">
        <f>Database!NHY28</f>
        <v>0</v>
      </c>
      <c r="NHG4">
        <f>Database!NHZ28</f>
        <v>0</v>
      </c>
      <c r="NHH4">
        <f>Database!NIA28</f>
        <v>0</v>
      </c>
      <c r="NHI4">
        <f>Database!NIB28</f>
        <v>0</v>
      </c>
      <c r="NHJ4">
        <f>Database!NIC28</f>
        <v>0</v>
      </c>
      <c r="NHK4">
        <f>Database!NID28</f>
        <v>0</v>
      </c>
      <c r="NHL4">
        <f>Database!NIE28</f>
        <v>0</v>
      </c>
      <c r="NHM4">
        <f>Database!NIF28</f>
        <v>0</v>
      </c>
      <c r="NHN4">
        <f>Database!NIG28</f>
        <v>0</v>
      </c>
      <c r="NHO4">
        <f>Database!NIH28</f>
        <v>0</v>
      </c>
      <c r="NHP4">
        <f>Database!NII28</f>
        <v>0</v>
      </c>
      <c r="NHQ4">
        <f>Database!NIJ28</f>
        <v>0</v>
      </c>
      <c r="NHR4">
        <f>Database!NIK28</f>
        <v>0</v>
      </c>
      <c r="NHS4">
        <f>Database!NIL28</f>
        <v>0</v>
      </c>
      <c r="NHT4">
        <f>Database!NIM28</f>
        <v>0</v>
      </c>
      <c r="NHU4">
        <f>Database!NIN28</f>
        <v>0</v>
      </c>
      <c r="NHV4">
        <f>Database!NIO28</f>
        <v>0</v>
      </c>
      <c r="NHW4">
        <f>Database!NIP28</f>
        <v>0</v>
      </c>
      <c r="NHX4">
        <f>Database!NIQ28</f>
        <v>0</v>
      </c>
      <c r="NHY4">
        <f>Database!NIR28</f>
        <v>0</v>
      </c>
      <c r="NHZ4">
        <f>Database!NIS28</f>
        <v>0</v>
      </c>
      <c r="NIA4">
        <f>Database!NIT28</f>
        <v>0</v>
      </c>
      <c r="NIB4">
        <f>Database!NIU28</f>
        <v>0</v>
      </c>
      <c r="NIC4">
        <f>Database!NIV28</f>
        <v>0</v>
      </c>
      <c r="NID4">
        <f>Database!NIW28</f>
        <v>0</v>
      </c>
      <c r="NIE4">
        <f>Database!NIX28</f>
        <v>0</v>
      </c>
      <c r="NIF4">
        <f>Database!NIY28</f>
        <v>0</v>
      </c>
      <c r="NIG4">
        <f>Database!NIZ28</f>
        <v>0</v>
      </c>
      <c r="NIH4">
        <f>Database!NJA28</f>
        <v>0</v>
      </c>
      <c r="NII4">
        <f>Database!NJB28</f>
        <v>0</v>
      </c>
      <c r="NIJ4">
        <f>Database!NJC28</f>
        <v>0</v>
      </c>
      <c r="NIK4">
        <f>Database!NJD28</f>
        <v>0</v>
      </c>
      <c r="NIL4">
        <f>Database!NJE28</f>
        <v>0</v>
      </c>
      <c r="NIM4">
        <f>Database!NJF28</f>
        <v>0</v>
      </c>
      <c r="NIN4">
        <f>Database!NJG28</f>
        <v>0</v>
      </c>
      <c r="NIO4">
        <f>Database!NJH28</f>
        <v>0</v>
      </c>
      <c r="NIP4">
        <f>Database!NJI28</f>
        <v>0</v>
      </c>
      <c r="NIQ4">
        <f>Database!NJJ28</f>
        <v>0</v>
      </c>
      <c r="NIR4">
        <f>Database!NJK28</f>
        <v>0</v>
      </c>
      <c r="NIS4">
        <f>Database!NJL28</f>
        <v>0</v>
      </c>
      <c r="NIT4">
        <f>Database!NJM28</f>
        <v>0</v>
      </c>
      <c r="NIU4">
        <f>Database!NJN28</f>
        <v>0</v>
      </c>
      <c r="NIV4">
        <f>Database!NJO28</f>
        <v>0</v>
      </c>
      <c r="NIW4">
        <f>Database!NJP28</f>
        <v>0</v>
      </c>
      <c r="NIX4">
        <f>Database!NJQ28</f>
        <v>0</v>
      </c>
      <c r="NIY4">
        <f>Database!NJR28</f>
        <v>0</v>
      </c>
      <c r="NIZ4">
        <f>Database!NJS28</f>
        <v>0</v>
      </c>
      <c r="NJA4">
        <f>Database!NJT28</f>
        <v>0</v>
      </c>
      <c r="NJB4">
        <f>Database!NJU28</f>
        <v>0</v>
      </c>
      <c r="NJC4">
        <f>Database!NJV28</f>
        <v>0</v>
      </c>
      <c r="NJD4">
        <f>Database!NJW28</f>
        <v>0</v>
      </c>
      <c r="NJE4">
        <f>Database!NJX28</f>
        <v>0</v>
      </c>
      <c r="NJF4">
        <f>Database!NJY28</f>
        <v>0</v>
      </c>
      <c r="NJG4">
        <f>Database!NJZ28</f>
        <v>0</v>
      </c>
      <c r="NJH4">
        <f>Database!NKA28</f>
        <v>0</v>
      </c>
      <c r="NJI4">
        <f>Database!NKB28</f>
        <v>0</v>
      </c>
      <c r="NJJ4">
        <f>Database!NKC28</f>
        <v>0</v>
      </c>
      <c r="NJK4">
        <f>Database!NKD28</f>
        <v>0</v>
      </c>
      <c r="NJL4">
        <f>Database!NKE28</f>
        <v>0</v>
      </c>
      <c r="NJM4">
        <f>Database!NKF28</f>
        <v>0</v>
      </c>
      <c r="NJN4">
        <f>Database!NKG28</f>
        <v>0</v>
      </c>
      <c r="NJO4">
        <f>Database!NKH28</f>
        <v>0</v>
      </c>
      <c r="NJP4">
        <f>Database!NKI28</f>
        <v>0</v>
      </c>
      <c r="NJQ4">
        <f>Database!NKJ28</f>
        <v>0</v>
      </c>
      <c r="NJR4">
        <f>Database!NKK28</f>
        <v>0</v>
      </c>
      <c r="NJS4">
        <f>Database!NKL28</f>
        <v>0</v>
      </c>
      <c r="NJT4">
        <f>Database!NKM28</f>
        <v>0</v>
      </c>
      <c r="NJU4">
        <f>Database!NKN28</f>
        <v>0</v>
      </c>
      <c r="NJV4">
        <f>Database!NKO28</f>
        <v>0</v>
      </c>
      <c r="NJW4">
        <f>Database!NKP28</f>
        <v>0</v>
      </c>
      <c r="NJX4">
        <f>Database!NKQ28</f>
        <v>0</v>
      </c>
      <c r="NJY4">
        <f>Database!NKR28</f>
        <v>0</v>
      </c>
      <c r="NJZ4">
        <f>Database!NKS28</f>
        <v>0</v>
      </c>
      <c r="NKA4">
        <f>Database!NKT28</f>
        <v>0</v>
      </c>
      <c r="NKB4">
        <f>Database!NKU28</f>
        <v>0</v>
      </c>
      <c r="NKC4">
        <f>Database!NKV28</f>
        <v>0</v>
      </c>
      <c r="NKD4">
        <f>Database!NKW28</f>
        <v>0</v>
      </c>
      <c r="NKE4">
        <f>Database!NKX28</f>
        <v>0</v>
      </c>
      <c r="NKF4">
        <f>Database!NKY28</f>
        <v>0</v>
      </c>
      <c r="NKG4">
        <f>Database!NKZ28</f>
        <v>0</v>
      </c>
      <c r="NKH4">
        <f>Database!NLA28</f>
        <v>0</v>
      </c>
      <c r="NKI4">
        <f>Database!NLB28</f>
        <v>0</v>
      </c>
      <c r="NKJ4">
        <f>Database!NLC28</f>
        <v>0</v>
      </c>
      <c r="NKK4">
        <f>Database!NLD28</f>
        <v>0</v>
      </c>
      <c r="NKL4">
        <f>Database!NLE28</f>
        <v>0</v>
      </c>
      <c r="NKM4">
        <f>Database!NLF28</f>
        <v>0</v>
      </c>
      <c r="NKN4">
        <f>Database!NLG28</f>
        <v>0</v>
      </c>
      <c r="NKO4">
        <f>Database!NLH28</f>
        <v>0</v>
      </c>
      <c r="NKP4">
        <f>Database!NLI28</f>
        <v>0</v>
      </c>
      <c r="NKQ4">
        <f>Database!NLJ28</f>
        <v>0</v>
      </c>
      <c r="NKR4">
        <f>Database!NLK28</f>
        <v>0</v>
      </c>
      <c r="NKS4">
        <f>Database!NLL28</f>
        <v>0</v>
      </c>
      <c r="NKT4">
        <f>Database!NLM28</f>
        <v>0</v>
      </c>
      <c r="NKU4">
        <f>Database!NLN28</f>
        <v>0</v>
      </c>
      <c r="NKV4">
        <f>Database!NLO28</f>
        <v>0</v>
      </c>
      <c r="NKW4">
        <f>Database!NLP28</f>
        <v>0</v>
      </c>
      <c r="NKX4">
        <f>Database!NLQ28</f>
        <v>0</v>
      </c>
      <c r="NKY4">
        <f>Database!NLR28</f>
        <v>0</v>
      </c>
      <c r="NKZ4">
        <f>Database!NLS28</f>
        <v>0</v>
      </c>
      <c r="NLA4">
        <f>Database!NLT28</f>
        <v>0</v>
      </c>
      <c r="NLB4">
        <f>Database!NLU28</f>
        <v>0</v>
      </c>
      <c r="NLC4">
        <f>Database!NLV28</f>
        <v>0</v>
      </c>
      <c r="NLD4">
        <f>Database!NLW28</f>
        <v>0</v>
      </c>
      <c r="NLE4">
        <f>Database!NLX28</f>
        <v>0</v>
      </c>
      <c r="NLF4">
        <f>Database!NLY28</f>
        <v>0</v>
      </c>
      <c r="NLG4">
        <f>Database!NLZ28</f>
        <v>0</v>
      </c>
      <c r="NLH4">
        <f>Database!NMA28</f>
        <v>0</v>
      </c>
      <c r="NLI4">
        <f>Database!NMB28</f>
        <v>0</v>
      </c>
      <c r="NLJ4">
        <f>Database!NMC28</f>
        <v>0</v>
      </c>
      <c r="NLK4">
        <f>Database!NMD28</f>
        <v>0</v>
      </c>
      <c r="NLL4">
        <f>Database!NME28</f>
        <v>0</v>
      </c>
      <c r="NLM4">
        <f>Database!NMF28</f>
        <v>0</v>
      </c>
      <c r="NLN4">
        <f>Database!NMG28</f>
        <v>0</v>
      </c>
      <c r="NLO4">
        <f>Database!NMH28</f>
        <v>0</v>
      </c>
      <c r="NLP4">
        <f>Database!NMI28</f>
        <v>0</v>
      </c>
      <c r="NLQ4">
        <f>Database!NMJ28</f>
        <v>0</v>
      </c>
      <c r="NLR4">
        <f>Database!NMK28</f>
        <v>0</v>
      </c>
      <c r="NLS4">
        <f>Database!NML28</f>
        <v>0</v>
      </c>
      <c r="NLT4">
        <f>Database!NMM28</f>
        <v>0</v>
      </c>
      <c r="NLU4">
        <f>Database!NMN28</f>
        <v>0</v>
      </c>
      <c r="NLV4">
        <f>Database!NMO28</f>
        <v>0</v>
      </c>
      <c r="NLW4">
        <f>Database!NMP28</f>
        <v>0</v>
      </c>
      <c r="NLX4">
        <f>Database!NMQ28</f>
        <v>0</v>
      </c>
      <c r="NLY4">
        <f>Database!NMR28</f>
        <v>0</v>
      </c>
      <c r="NLZ4">
        <f>Database!NMS28</f>
        <v>0</v>
      </c>
      <c r="NMA4">
        <f>Database!NMT28</f>
        <v>0</v>
      </c>
      <c r="NMB4">
        <f>Database!NMU28</f>
        <v>0</v>
      </c>
      <c r="NMC4">
        <f>Database!NMV28</f>
        <v>0</v>
      </c>
      <c r="NMD4">
        <f>Database!NMW28</f>
        <v>0</v>
      </c>
      <c r="NME4">
        <f>Database!NMX28</f>
        <v>0</v>
      </c>
      <c r="NMF4">
        <f>Database!NMY28</f>
        <v>0</v>
      </c>
      <c r="NMG4">
        <f>Database!NMZ28</f>
        <v>0</v>
      </c>
      <c r="NMH4">
        <f>Database!NNA28</f>
        <v>0</v>
      </c>
      <c r="NMI4">
        <f>Database!NNB28</f>
        <v>0</v>
      </c>
      <c r="NMJ4">
        <f>Database!NNC28</f>
        <v>0</v>
      </c>
      <c r="NMK4">
        <f>Database!NND28</f>
        <v>0</v>
      </c>
      <c r="NML4">
        <f>Database!NNE28</f>
        <v>0</v>
      </c>
      <c r="NMM4">
        <f>Database!NNF28</f>
        <v>0</v>
      </c>
      <c r="NMN4">
        <f>Database!NNG28</f>
        <v>0</v>
      </c>
      <c r="NMO4">
        <f>Database!NNH28</f>
        <v>0</v>
      </c>
      <c r="NMP4">
        <f>Database!NNI28</f>
        <v>0</v>
      </c>
      <c r="NMQ4">
        <f>Database!NNJ28</f>
        <v>0</v>
      </c>
      <c r="NMR4">
        <f>Database!NNK28</f>
        <v>0</v>
      </c>
      <c r="NMS4">
        <f>Database!NNL28</f>
        <v>0</v>
      </c>
      <c r="NMT4">
        <f>Database!NNM28</f>
        <v>0</v>
      </c>
      <c r="NMU4">
        <f>Database!NNN28</f>
        <v>0</v>
      </c>
      <c r="NMV4">
        <f>Database!NNO28</f>
        <v>0</v>
      </c>
      <c r="NMW4">
        <f>Database!NNP28</f>
        <v>0</v>
      </c>
      <c r="NMX4">
        <f>Database!NNQ28</f>
        <v>0</v>
      </c>
      <c r="NMY4">
        <f>Database!NNR28</f>
        <v>0</v>
      </c>
      <c r="NMZ4">
        <f>Database!NNS28</f>
        <v>0</v>
      </c>
      <c r="NNA4">
        <f>Database!NNT28</f>
        <v>0</v>
      </c>
      <c r="NNB4">
        <f>Database!NNU28</f>
        <v>0</v>
      </c>
      <c r="NNC4">
        <f>Database!NNV28</f>
        <v>0</v>
      </c>
      <c r="NND4">
        <f>Database!NNW28</f>
        <v>0</v>
      </c>
      <c r="NNE4">
        <f>Database!NNX28</f>
        <v>0</v>
      </c>
      <c r="NNF4">
        <f>Database!NNY28</f>
        <v>0</v>
      </c>
      <c r="NNG4">
        <f>Database!NNZ28</f>
        <v>0</v>
      </c>
      <c r="NNH4">
        <f>Database!NOA28</f>
        <v>0</v>
      </c>
      <c r="NNI4">
        <f>Database!NOB28</f>
        <v>0</v>
      </c>
      <c r="NNJ4">
        <f>Database!NOC28</f>
        <v>0</v>
      </c>
      <c r="NNK4">
        <f>Database!NOD28</f>
        <v>0</v>
      </c>
      <c r="NNL4">
        <f>Database!NOE28</f>
        <v>0</v>
      </c>
      <c r="NNM4">
        <f>Database!NOF28</f>
        <v>0</v>
      </c>
      <c r="NNN4">
        <f>Database!NOG28</f>
        <v>0</v>
      </c>
      <c r="NNO4">
        <f>Database!NOH28</f>
        <v>0</v>
      </c>
      <c r="NNP4">
        <f>Database!NOI28</f>
        <v>0</v>
      </c>
      <c r="NNQ4">
        <f>Database!NOJ28</f>
        <v>0</v>
      </c>
      <c r="NNR4">
        <f>Database!NOK28</f>
        <v>0</v>
      </c>
      <c r="NNS4">
        <f>Database!NOL28</f>
        <v>0</v>
      </c>
      <c r="NNT4">
        <f>Database!NOM28</f>
        <v>0</v>
      </c>
      <c r="NNU4">
        <f>Database!NON28</f>
        <v>0</v>
      </c>
      <c r="NNV4">
        <f>Database!NOO28</f>
        <v>0</v>
      </c>
      <c r="NNW4">
        <f>Database!NOP28</f>
        <v>0</v>
      </c>
      <c r="NNX4">
        <f>Database!NOQ28</f>
        <v>0</v>
      </c>
      <c r="NNY4">
        <f>Database!NOR28</f>
        <v>0</v>
      </c>
      <c r="NNZ4">
        <f>Database!NOS28</f>
        <v>0</v>
      </c>
      <c r="NOA4">
        <f>Database!NOT28</f>
        <v>0</v>
      </c>
      <c r="NOB4">
        <f>Database!NOU28</f>
        <v>0</v>
      </c>
      <c r="NOC4">
        <f>Database!NOV28</f>
        <v>0</v>
      </c>
      <c r="NOD4">
        <f>Database!NOW28</f>
        <v>0</v>
      </c>
      <c r="NOE4">
        <f>Database!NOX28</f>
        <v>0</v>
      </c>
      <c r="NOF4">
        <f>Database!NOY28</f>
        <v>0</v>
      </c>
      <c r="NOG4">
        <f>Database!NOZ28</f>
        <v>0</v>
      </c>
      <c r="NOH4">
        <f>Database!NPA28</f>
        <v>0</v>
      </c>
      <c r="NOI4">
        <f>Database!NPB28</f>
        <v>0</v>
      </c>
      <c r="NOJ4">
        <f>Database!NPC28</f>
        <v>0</v>
      </c>
      <c r="NOK4">
        <f>Database!NPD28</f>
        <v>0</v>
      </c>
      <c r="NOL4">
        <f>Database!NPE28</f>
        <v>0</v>
      </c>
      <c r="NOM4">
        <f>Database!NPF28</f>
        <v>0</v>
      </c>
      <c r="NON4">
        <f>Database!NPG28</f>
        <v>0</v>
      </c>
      <c r="NOO4">
        <f>Database!NPH28</f>
        <v>0</v>
      </c>
      <c r="NOP4">
        <f>Database!NPI28</f>
        <v>0</v>
      </c>
      <c r="NOQ4">
        <f>Database!NPJ28</f>
        <v>0</v>
      </c>
      <c r="NOR4">
        <f>Database!NPK28</f>
        <v>0</v>
      </c>
      <c r="NOS4">
        <f>Database!NPL28</f>
        <v>0</v>
      </c>
      <c r="NOT4">
        <f>Database!NPM28</f>
        <v>0</v>
      </c>
      <c r="NOU4">
        <f>Database!NPN28</f>
        <v>0</v>
      </c>
      <c r="NOV4">
        <f>Database!NPO28</f>
        <v>0</v>
      </c>
      <c r="NOW4">
        <f>Database!NPP28</f>
        <v>0</v>
      </c>
      <c r="NOX4">
        <f>Database!NPQ28</f>
        <v>0</v>
      </c>
      <c r="NOY4">
        <f>Database!NPR28</f>
        <v>0</v>
      </c>
      <c r="NOZ4">
        <f>Database!NPS28</f>
        <v>0</v>
      </c>
      <c r="NPA4">
        <f>Database!NPT28</f>
        <v>0</v>
      </c>
      <c r="NPB4">
        <f>Database!NPU28</f>
        <v>0</v>
      </c>
      <c r="NPC4">
        <f>Database!NPV28</f>
        <v>0</v>
      </c>
      <c r="NPD4">
        <f>Database!NPW28</f>
        <v>0</v>
      </c>
      <c r="NPE4">
        <f>Database!NPX28</f>
        <v>0</v>
      </c>
      <c r="NPF4">
        <f>Database!NPY28</f>
        <v>0</v>
      </c>
      <c r="NPG4">
        <f>Database!NPZ28</f>
        <v>0</v>
      </c>
      <c r="NPH4">
        <f>Database!NQA28</f>
        <v>0</v>
      </c>
      <c r="NPI4">
        <f>Database!NQB28</f>
        <v>0</v>
      </c>
      <c r="NPJ4">
        <f>Database!NQC28</f>
        <v>0</v>
      </c>
      <c r="NPK4">
        <f>Database!NQD28</f>
        <v>0</v>
      </c>
      <c r="NPL4">
        <f>Database!NQE28</f>
        <v>0</v>
      </c>
      <c r="NPM4">
        <f>Database!NQF28</f>
        <v>0</v>
      </c>
      <c r="NPN4">
        <f>Database!NQG28</f>
        <v>0</v>
      </c>
      <c r="NPO4">
        <f>Database!NQH28</f>
        <v>0</v>
      </c>
      <c r="NPP4">
        <f>Database!NQI28</f>
        <v>0</v>
      </c>
      <c r="NPQ4">
        <f>Database!NQJ28</f>
        <v>0</v>
      </c>
      <c r="NPR4">
        <f>Database!NQK28</f>
        <v>0</v>
      </c>
      <c r="NPS4">
        <f>Database!NQL28</f>
        <v>0</v>
      </c>
      <c r="NPT4">
        <f>Database!NQM28</f>
        <v>0</v>
      </c>
      <c r="NPU4">
        <f>Database!NQN28</f>
        <v>0</v>
      </c>
      <c r="NPV4">
        <f>Database!NQO28</f>
        <v>0</v>
      </c>
      <c r="NPW4">
        <f>Database!NQP28</f>
        <v>0</v>
      </c>
      <c r="NPX4">
        <f>Database!NQQ28</f>
        <v>0</v>
      </c>
      <c r="NPY4">
        <f>Database!NQR28</f>
        <v>0</v>
      </c>
      <c r="NPZ4">
        <f>Database!NQS28</f>
        <v>0</v>
      </c>
      <c r="NQA4">
        <f>Database!NQT28</f>
        <v>0</v>
      </c>
      <c r="NQB4">
        <f>Database!NQU28</f>
        <v>0</v>
      </c>
      <c r="NQC4">
        <f>Database!NQV28</f>
        <v>0</v>
      </c>
      <c r="NQD4">
        <f>Database!NQW28</f>
        <v>0</v>
      </c>
      <c r="NQE4">
        <f>Database!NQX28</f>
        <v>0</v>
      </c>
      <c r="NQF4">
        <f>Database!NQY28</f>
        <v>0</v>
      </c>
      <c r="NQG4">
        <f>Database!NQZ28</f>
        <v>0</v>
      </c>
      <c r="NQH4">
        <f>Database!NRA28</f>
        <v>0</v>
      </c>
      <c r="NQI4">
        <f>Database!NRB28</f>
        <v>0</v>
      </c>
      <c r="NQJ4">
        <f>Database!NRC28</f>
        <v>0</v>
      </c>
      <c r="NQK4">
        <f>Database!NRD28</f>
        <v>0</v>
      </c>
      <c r="NQL4">
        <f>Database!NRE28</f>
        <v>0</v>
      </c>
      <c r="NQM4">
        <f>Database!NRF28</f>
        <v>0</v>
      </c>
      <c r="NQN4">
        <f>Database!NRG28</f>
        <v>0</v>
      </c>
      <c r="NQO4">
        <f>Database!NRH28</f>
        <v>0</v>
      </c>
      <c r="NQP4">
        <f>Database!NRI28</f>
        <v>0</v>
      </c>
      <c r="NQQ4">
        <f>Database!NRJ28</f>
        <v>0</v>
      </c>
      <c r="NQR4">
        <f>Database!NRK28</f>
        <v>0</v>
      </c>
      <c r="NQS4">
        <f>Database!NRL28</f>
        <v>0</v>
      </c>
      <c r="NQT4">
        <f>Database!NRM28</f>
        <v>0</v>
      </c>
      <c r="NQU4">
        <f>Database!NRN28</f>
        <v>0</v>
      </c>
      <c r="NQV4">
        <f>Database!NRO28</f>
        <v>0</v>
      </c>
      <c r="NQW4">
        <f>Database!NRP28</f>
        <v>0</v>
      </c>
      <c r="NQX4">
        <f>Database!NRQ28</f>
        <v>0</v>
      </c>
      <c r="NQY4">
        <f>Database!NRR28</f>
        <v>0</v>
      </c>
      <c r="NQZ4">
        <f>Database!NRS28</f>
        <v>0</v>
      </c>
      <c r="NRA4">
        <f>Database!NRT28</f>
        <v>0</v>
      </c>
      <c r="NRB4">
        <f>Database!NRU28</f>
        <v>0</v>
      </c>
      <c r="NRC4">
        <f>Database!NRV28</f>
        <v>0</v>
      </c>
      <c r="NRD4">
        <f>Database!NRW28</f>
        <v>0</v>
      </c>
      <c r="NRE4">
        <f>Database!NRX28</f>
        <v>0</v>
      </c>
      <c r="NRF4">
        <f>Database!NRY28</f>
        <v>0</v>
      </c>
      <c r="NRG4">
        <f>Database!NRZ28</f>
        <v>0</v>
      </c>
      <c r="NRH4">
        <f>Database!NSA28</f>
        <v>0</v>
      </c>
      <c r="NRI4">
        <f>Database!NSB28</f>
        <v>0</v>
      </c>
      <c r="NRJ4">
        <f>Database!NSC28</f>
        <v>0</v>
      </c>
      <c r="NRK4">
        <f>Database!NSD28</f>
        <v>0</v>
      </c>
      <c r="NRL4">
        <f>Database!NSE28</f>
        <v>0</v>
      </c>
      <c r="NRM4">
        <f>Database!NSF28</f>
        <v>0</v>
      </c>
      <c r="NRN4">
        <f>Database!NSG28</f>
        <v>0</v>
      </c>
      <c r="NRO4">
        <f>Database!NSH28</f>
        <v>0</v>
      </c>
      <c r="NRP4">
        <f>Database!NSI28</f>
        <v>0</v>
      </c>
      <c r="NRQ4">
        <f>Database!NSJ28</f>
        <v>0</v>
      </c>
      <c r="NRR4">
        <f>Database!NSK28</f>
        <v>0</v>
      </c>
      <c r="NRS4">
        <f>Database!NSL28</f>
        <v>0</v>
      </c>
      <c r="NRT4">
        <f>Database!NSM28</f>
        <v>0</v>
      </c>
      <c r="NRU4">
        <f>Database!NSN28</f>
        <v>0</v>
      </c>
      <c r="NRV4">
        <f>Database!NSO28</f>
        <v>0</v>
      </c>
      <c r="NRW4">
        <f>Database!NSP28</f>
        <v>0</v>
      </c>
      <c r="NRX4">
        <f>Database!NSQ28</f>
        <v>0</v>
      </c>
      <c r="NRY4">
        <f>Database!NSR28</f>
        <v>0</v>
      </c>
      <c r="NRZ4">
        <f>Database!NSS28</f>
        <v>0</v>
      </c>
      <c r="NSA4">
        <f>Database!NST28</f>
        <v>0</v>
      </c>
      <c r="NSB4">
        <f>Database!NSU28</f>
        <v>0</v>
      </c>
      <c r="NSC4">
        <f>Database!NSV28</f>
        <v>0</v>
      </c>
      <c r="NSD4">
        <f>Database!NSW28</f>
        <v>0</v>
      </c>
      <c r="NSE4">
        <f>Database!NSX28</f>
        <v>0</v>
      </c>
      <c r="NSF4">
        <f>Database!NSY28</f>
        <v>0</v>
      </c>
      <c r="NSG4">
        <f>Database!NSZ28</f>
        <v>0</v>
      </c>
      <c r="NSH4">
        <f>Database!NTA28</f>
        <v>0</v>
      </c>
      <c r="NSI4">
        <f>Database!NTB28</f>
        <v>0</v>
      </c>
      <c r="NSJ4">
        <f>Database!NTC28</f>
        <v>0</v>
      </c>
      <c r="NSK4">
        <f>Database!NTD28</f>
        <v>0</v>
      </c>
      <c r="NSL4">
        <f>Database!NTE28</f>
        <v>0</v>
      </c>
      <c r="NSM4">
        <f>Database!NTF28</f>
        <v>0</v>
      </c>
      <c r="NSN4">
        <f>Database!NTG28</f>
        <v>0</v>
      </c>
      <c r="NSO4">
        <f>Database!NTH28</f>
        <v>0</v>
      </c>
      <c r="NSP4">
        <f>Database!NTI28</f>
        <v>0</v>
      </c>
      <c r="NSQ4">
        <f>Database!NTJ28</f>
        <v>0</v>
      </c>
      <c r="NSR4">
        <f>Database!NTK28</f>
        <v>0</v>
      </c>
      <c r="NSS4">
        <f>Database!NTL28</f>
        <v>0</v>
      </c>
      <c r="NST4">
        <f>Database!NTM28</f>
        <v>0</v>
      </c>
      <c r="NSU4">
        <f>Database!NTN28</f>
        <v>0</v>
      </c>
      <c r="NSV4">
        <f>Database!NTO28</f>
        <v>0</v>
      </c>
      <c r="NSW4">
        <f>Database!NTP28</f>
        <v>0</v>
      </c>
      <c r="NSX4">
        <f>Database!NTQ28</f>
        <v>0</v>
      </c>
      <c r="NSY4">
        <f>Database!NTR28</f>
        <v>0</v>
      </c>
      <c r="NSZ4">
        <f>Database!NTS28</f>
        <v>0</v>
      </c>
      <c r="NTA4">
        <f>Database!NTT28</f>
        <v>0</v>
      </c>
      <c r="NTB4">
        <f>Database!NTU28</f>
        <v>0</v>
      </c>
      <c r="NTC4">
        <f>Database!NTV28</f>
        <v>0</v>
      </c>
      <c r="NTD4">
        <f>Database!NTW28</f>
        <v>0</v>
      </c>
      <c r="NTE4">
        <f>Database!NTX28</f>
        <v>0</v>
      </c>
      <c r="NTF4">
        <f>Database!NTY28</f>
        <v>0</v>
      </c>
      <c r="NTG4">
        <f>Database!NTZ28</f>
        <v>0</v>
      </c>
      <c r="NTH4">
        <f>Database!NUA28</f>
        <v>0</v>
      </c>
      <c r="NTI4">
        <f>Database!NUB28</f>
        <v>0</v>
      </c>
      <c r="NTJ4">
        <f>Database!NUC28</f>
        <v>0</v>
      </c>
      <c r="NTK4">
        <f>Database!NUD28</f>
        <v>0</v>
      </c>
      <c r="NTL4">
        <f>Database!NUE28</f>
        <v>0</v>
      </c>
      <c r="NTM4">
        <f>Database!NUF28</f>
        <v>0</v>
      </c>
      <c r="NTN4">
        <f>Database!NUG28</f>
        <v>0</v>
      </c>
      <c r="NTO4">
        <f>Database!NUH28</f>
        <v>0</v>
      </c>
      <c r="NTP4">
        <f>Database!NUI28</f>
        <v>0</v>
      </c>
      <c r="NTQ4">
        <f>Database!NUJ28</f>
        <v>0</v>
      </c>
      <c r="NTR4">
        <f>Database!NUK28</f>
        <v>0</v>
      </c>
      <c r="NTS4">
        <f>Database!NUL28</f>
        <v>0</v>
      </c>
      <c r="NTT4">
        <f>Database!NUM28</f>
        <v>0</v>
      </c>
      <c r="NTU4">
        <f>Database!NUN28</f>
        <v>0</v>
      </c>
      <c r="NTV4">
        <f>Database!NUO28</f>
        <v>0</v>
      </c>
      <c r="NTW4">
        <f>Database!NUP28</f>
        <v>0</v>
      </c>
      <c r="NTX4">
        <f>Database!NUQ28</f>
        <v>0</v>
      </c>
      <c r="NTY4">
        <f>Database!NUR28</f>
        <v>0</v>
      </c>
      <c r="NTZ4">
        <f>Database!NUS28</f>
        <v>0</v>
      </c>
      <c r="NUA4">
        <f>Database!NUT28</f>
        <v>0</v>
      </c>
      <c r="NUB4">
        <f>Database!NUU28</f>
        <v>0</v>
      </c>
      <c r="NUC4">
        <f>Database!NUV28</f>
        <v>0</v>
      </c>
      <c r="NUD4">
        <f>Database!NUW28</f>
        <v>0</v>
      </c>
      <c r="NUE4">
        <f>Database!NUX28</f>
        <v>0</v>
      </c>
      <c r="NUF4">
        <f>Database!NUY28</f>
        <v>0</v>
      </c>
      <c r="NUG4">
        <f>Database!NUZ28</f>
        <v>0</v>
      </c>
      <c r="NUH4">
        <f>Database!NVA28</f>
        <v>0</v>
      </c>
      <c r="NUI4">
        <f>Database!NVB28</f>
        <v>0</v>
      </c>
      <c r="NUJ4">
        <f>Database!NVC28</f>
        <v>0</v>
      </c>
      <c r="NUK4">
        <f>Database!NVD28</f>
        <v>0</v>
      </c>
      <c r="NUL4">
        <f>Database!NVE28</f>
        <v>0</v>
      </c>
      <c r="NUM4">
        <f>Database!NVF28</f>
        <v>0</v>
      </c>
      <c r="NUN4">
        <f>Database!NVG28</f>
        <v>0</v>
      </c>
      <c r="NUO4">
        <f>Database!NVH28</f>
        <v>0</v>
      </c>
      <c r="NUP4">
        <f>Database!NVI28</f>
        <v>0</v>
      </c>
      <c r="NUQ4">
        <f>Database!NVJ28</f>
        <v>0</v>
      </c>
      <c r="NUR4">
        <f>Database!NVK28</f>
        <v>0</v>
      </c>
      <c r="NUS4">
        <f>Database!NVL28</f>
        <v>0</v>
      </c>
      <c r="NUT4">
        <f>Database!NVM28</f>
        <v>0</v>
      </c>
      <c r="NUU4">
        <f>Database!NVN28</f>
        <v>0</v>
      </c>
      <c r="NUV4">
        <f>Database!NVO28</f>
        <v>0</v>
      </c>
      <c r="NUW4">
        <f>Database!NVP28</f>
        <v>0</v>
      </c>
      <c r="NUX4">
        <f>Database!NVQ28</f>
        <v>0</v>
      </c>
      <c r="NUY4">
        <f>Database!NVR28</f>
        <v>0</v>
      </c>
      <c r="NUZ4">
        <f>Database!NVS28</f>
        <v>0</v>
      </c>
      <c r="NVA4">
        <f>Database!NVT28</f>
        <v>0</v>
      </c>
      <c r="NVB4">
        <f>Database!NVU28</f>
        <v>0</v>
      </c>
      <c r="NVC4">
        <f>Database!NVV28</f>
        <v>0</v>
      </c>
      <c r="NVD4">
        <f>Database!NVW28</f>
        <v>0</v>
      </c>
      <c r="NVE4">
        <f>Database!NVX28</f>
        <v>0</v>
      </c>
      <c r="NVF4">
        <f>Database!NVY28</f>
        <v>0</v>
      </c>
      <c r="NVG4">
        <f>Database!NVZ28</f>
        <v>0</v>
      </c>
      <c r="NVH4">
        <f>Database!NWA28</f>
        <v>0</v>
      </c>
      <c r="NVI4">
        <f>Database!NWB28</f>
        <v>0</v>
      </c>
      <c r="NVJ4">
        <f>Database!NWC28</f>
        <v>0</v>
      </c>
      <c r="NVK4">
        <f>Database!NWD28</f>
        <v>0</v>
      </c>
      <c r="NVL4">
        <f>Database!NWE28</f>
        <v>0</v>
      </c>
      <c r="NVM4">
        <f>Database!NWF28</f>
        <v>0</v>
      </c>
      <c r="NVN4">
        <f>Database!NWG28</f>
        <v>0</v>
      </c>
      <c r="NVO4">
        <f>Database!NWH28</f>
        <v>0</v>
      </c>
      <c r="NVP4">
        <f>Database!NWI28</f>
        <v>0</v>
      </c>
      <c r="NVQ4">
        <f>Database!NWJ28</f>
        <v>0</v>
      </c>
      <c r="NVR4">
        <f>Database!NWK28</f>
        <v>0</v>
      </c>
      <c r="NVS4">
        <f>Database!NWL28</f>
        <v>0</v>
      </c>
      <c r="NVT4">
        <f>Database!NWM28</f>
        <v>0</v>
      </c>
      <c r="NVU4">
        <f>Database!NWN28</f>
        <v>0</v>
      </c>
      <c r="NVV4">
        <f>Database!NWO28</f>
        <v>0</v>
      </c>
      <c r="NVW4">
        <f>Database!NWP28</f>
        <v>0</v>
      </c>
      <c r="NVX4">
        <f>Database!NWQ28</f>
        <v>0</v>
      </c>
      <c r="NVY4">
        <f>Database!NWR28</f>
        <v>0</v>
      </c>
      <c r="NVZ4">
        <f>Database!NWS28</f>
        <v>0</v>
      </c>
      <c r="NWA4">
        <f>Database!NWT28</f>
        <v>0</v>
      </c>
      <c r="NWB4">
        <f>Database!NWU28</f>
        <v>0</v>
      </c>
      <c r="NWC4">
        <f>Database!NWV28</f>
        <v>0</v>
      </c>
      <c r="NWD4">
        <f>Database!NWW28</f>
        <v>0</v>
      </c>
      <c r="NWE4">
        <f>Database!NWX28</f>
        <v>0</v>
      </c>
      <c r="NWF4">
        <f>Database!NWY28</f>
        <v>0</v>
      </c>
      <c r="NWG4">
        <f>Database!NWZ28</f>
        <v>0</v>
      </c>
      <c r="NWH4">
        <f>Database!NXA28</f>
        <v>0</v>
      </c>
      <c r="NWI4">
        <f>Database!NXB28</f>
        <v>0</v>
      </c>
      <c r="NWJ4">
        <f>Database!NXC28</f>
        <v>0</v>
      </c>
      <c r="NWK4">
        <f>Database!NXD28</f>
        <v>0</v>
      </c>
      <c r="NWL4">
        <f>Database!NXE28</f>
        <v>0</v>
      </c>
      <c r="NWM4">
        <f>Database!NXF28</f>
        <v>0</v>
      </c>
      <c r="NWN4">
        <f>Database!NXG28</f>
        <v>0</v>
      </c>
      <c r="NWO4">
        <f>Database!NXH28</f>
        <v>0</v>
      </c>
      <c r="NWP4">
        <f>Database!NXI28</f>
        <v>0</v>
      </c>
      <c r="NWQ4">
        <f>Database!NXJ28</f>
        <v>0</v>
      </c>
      <c r="NWR4">
        <f>Database!NXK28</f>
        <v>0</v>
      </c>
      <c r="NWS4">
        <f>Database!NXL28</f>
        <v>0</v>
      </c>
      <c r="NWT4">
        <f>Database!NXM28</f>
        <v>0</v>
      </c>
      <c r="NWU4">
        <f>Database!NXN28</f>
        <v>0</v>
      </c>
      <c r="NWV4">
        <f>Database!NXO28</f>
        <v>0</v>
      </c>
      <c r="NWW4">
        <f>Database!NXP28</f>
        <v>0</v>
      </c>
      <c r="NWX4">
        <f>Database!NXQ28</f>
        <v>0</v>
      </c>
      <c r="NWY4">
        <f>Database!NXR28</f>
        <v>0</v>
      </c>
      <c r="NWZ4">
        <f>Database!NXS28</f>
        <v>0</v>
      </c>
      <c r="NXA4">
        <f>Database!NXT28</f>
        <v>0</v>
      </c>
      <c r="NXB4">
        <f>Database!NXU28</f>
        <v>0</v>
      </c>
      <c r="NXC4">
        <f>Database!NXV28</f>
        <v>0</v>
      </c>
      <c r="NXD4">
        <f>Database!NXW28</f>
        <v>0</v>
      </c>
      <c r="NXE4">
        <f>Database!NXX28</f>
        <v>0</v>
      </c>
      <c r="NXF4">
        <f>Database!NXY28</f>
        <v>0</v>
      </c>
      <c r="NXG4">
        <f>Database!NXZ28</f>
        <v>0</v>
      </c>
      <c r="NXH4">
        <f>Database!NYA28</f>
        <v>0</v>
      </c>
      <c r="NXI4">
        <f>Database!NYB28</f>
        <v>0</v>
      </c>
      <c r="NXJ4">
        <f>Database!NYC28</f>
        <v>0</v>
      </c>
      <c r="NXK4">
        <f>Database!NYD28</f>
        <v>0</v>
      </c>
      <c r="NXL4">
        <f>Database!NYE28</f>
        <v>0</v>
      </c>
      <c r="NXM4">
        <f>Database!NYF28</f>
        <v>0</v>
      </c>
      <c r="NXN4">
        <f>Database!NYG28</f>
        <v>0</v>
      </c>
      <c r="NXO4">
        <f>Database!NYH28</f>
        <v>0</v>
      </c>
      <c r="NXP4">
        <f>Database!NYI28</f>
        <v>0</v>
      </c>
      <c r="NXQ4">
        <f>Database!NYJ28</f>
        <v>0</v>
      </c>
      <c r="NXR4">
        <f>Database!NYK28</f>
        <v>0</v>
      </c>
      <c r="NXS4">
        <f>Database!NYL28</f>
        <v>0</v>
      </c>
      <c r="NXT4">
        <f>Database!NYM28</f>
        <v>0</v>
      </c>
      <c r="NXU4">
        <f>Database!NYN28</f>
        <v>0</v>
      </c>
      <c r="NXV4">
        <f>Database!NYO28</f>
        <v>0</v>
      </c>
      <c r="NXW4">
        <f>Database!NYP28</f>
        <v>0</v>
      </c>
      <c r="NXX4">
        <f>Database!NYQ28</f>
        <v>0</v>
      </c>
      <c r="NXY4">
        <f>Database!NYR28</f>
        <v>0</v>
      </c>
      <c r="NXZ4">
        <f>Database!NYS28</f>
        <v>0</v>
      </c>
      <c r="NYA4">
        <f>Database!NYT28</f>
        <v>0</v>
      </c>
      <c r="NYB4">
        <f>Database!NYU28</f>
        <v>0</v>
      </c>
      <c r="NYC4">
        <f>Database!NYV28</f>
        <v>0</v>
      </c>
      <c r="NYD4">
        <f>Database!NYW28</f>
        <v>0</v>
      </c>
      <c r="NYE4">
        <f>Database!NYX28</f>
        <v>0</v>
      </c>
      <c r="NYF4">
        <f>Database!NYY28</f>
        <v>0</v>
      </c>
      <c r="NYG4">
        <f>Database!NYZ28</f>
        <v>0</v>
      </c>
      <c r="NYH4">
        <f>Database!NZA28</f>
        <v>0</v>
      </c>
      <c r="NYI4">
        <f>Database!NZB28</f>
        <v>0</v>
      </c>
      <c r="NYJ4">
        <f>Database!NZC28</f>
        <v>0</v>
      </c>
      <c r="NYK4">
        <f>Database!NZD28</f>
        <v>0</v>
      </c>
      <c r="NYL4">
        <f>Database!NZE28</f>
        <v>0</v>
      </c>
      <c r="NYM4">
        <f>Database!NZF28</f>
        <v>0</v>
      </c>
      <c r="NYN4">
        <f>Database!NZG28</f>
        <v>0</v>
      </c>
      <c r="NYO4">
        <f>Database!NZH28</f>
        <v>0</v>
      </c>
      <c r="NYP4">
        <f>Database!NZI28</f>
        <v>0</v>
      </c>
      <c r="NYQ4">
        <f>Database!NZJ28</f>
        <v>0</v>
      </c>
      <c r="NYR4">
        <f>Database!NZK28</f>
        <v>0</v>
      </c>
      <c r="NYS4">
        <f>Database!NZL28</f>
        <v>0</v>
      </c>
      <c r="NYT4">
        <f>Database!NZM28</f>
        <v>0</v>
      </c>
      <c r="NYU4">
        <f>Database!NZN28</f>
        <v>0</v>
      </c>
      <c r="NYV4">
        <f>Database!NZO28</f>
        <v>0</v>
      </c>
      <c r="NYW4">
        <f>Database!NZP28</f>
        <v>0</v>
      </c>
      <c r="NYX4">
        <f>Database!NZQ28</f>
        <v>0</v>
      </c>
      <c r="NYY4">
        <f>Database!NZR28</f>
        <v>0</v>
      </c>
      <c r="NYZ4">
        <f>Database!NZS28</f>
        <v>0</v>
      </c>
      <c r="NZA4">
        <f>Database!NZT28</f>
        <v>0</v>
      </c>
      <c r="NZB4">
        <f>Database!NZU28</f>
        <v>0</v>
      </c>
      <c r="NZC4">
        <f>Database!NZV28</f>
        <v>0</v>
      </c>
      <c r="NZD4">
        <f>Database!NZW28</f>
        <v>0</v>
      </c>
      <c r="NZE4">
        <f>Database!NZX28</f>
        <v>0</v>
      </c>
      <c r="NZF4">
        <f>Database!NZY28</f>
        <v>0</v>
      </c>
      <c r="NZG4">
        <f>Database!NZZ28</f>
        <v>0</v>
      </c>
      <c r="NZH4">
        <f>Database!OAA28</f>
        <v>0</v>
      </c>
      <c r="NZI4">
        <f>Database!OAB28</f>
        <v>0</v>
      </c>
      <c r="NZJ4">
        <f>Database!OAC28</f>
        <v>0</v>
      </c>
      <c r="NZK4">
        <f>Database!OAD28</f>
        <v>0</v>
      </c>
      <c r="NZL4">
        <f>Database!OAE28</f>
        <v>0</v>
      </c>
      <c r="NZM4">
        <f>Database!OAF28</f>
        <v>0</v>
      </c>
      <c r="NZN4">
        <f>Database!OAG28</f>
        <v>0</v>
      </c>
      <c r="NZO4">
        <f>Database!OAH28</f>
        <v>0</v>
      </c>
      <c r="NZP4">
        <f>Database!OAI28</f>
        <v>0</v>
      </c>
      <c r="NZQ4">
        <f>Database!OAJ28</f>
        <v>0</v>
      </c>
      <c r="NZR4">
        <f>Database!OAK28</f>
        <v>0</v>
      </c>
      <c r="NZS4">
        <f>Database!OAL28</f>
        <v>0</v>
      </c>
      <c r="NZT4">
        <f>Database!OAM28</f>
        <v>0</v>
      </c>
      <c r="NZU4">
        <f>Database!OAN28</f>
        <v>0</v>
      </c>
      <c r="NZV4">
        <f>Database!OAO28</f>
        <v>0</v>
      </c>
      <c r="NZW4">
        <f>Database!OAP28</f>
        <v>0</v>
      </c>
      <c r="NZX4">
        <f>Database!OAQ28</f>
        <v>0</v>
      </c>
      <c r="NZY4">
        <f>Database!OAR28</f>
        <v>0</v>
      </c>
      <c r="NZZ4">
        <f>Database!OAS28</f>
        <v>0</v>
      </c>
      <c r="OAA4">
        <f>Database!OAT28</f>
        <v>0</v>
      </c>
      <c r="OAB4">
        <f>Database!OAU28</f>
        <v>0</v>
      </c>
      <c r="OAC4">
        <f>Database!OAV28</f>
        <v>0</v>
      </c>
      <c r="OAD4">
        <f>Database!OAW28</f>
        <v>0</v>
      </c>
      <c r="OAE4">
        <f>Database!OAX28</f>
        <v>0</v>
      </c>
      <c r="OAF4">
        <f>Database!OAY28</f>
        <v>0</v>
      </c>
      <c r="OAG4">
        <f>Database!OAZ28</f>
        <v>0</v>
      </c>
      <c r="OAH4">
        <f>Database!OBA28</f>
        <v>0</v>
      </c>
      <c r="OAI4">
        <f>Database!OBB28</f>
        <v>0</v>
      </c>
      <c r="OAJ4">
        <f>Database!OBC28</f>
        <v>0</v>
      </c>
      <c r="OAK4">
        <f>Database!OBD28</f>
        <v>0</v>
      </c>
      <c r="OAL4">
        <f>Database!OBE28</f>
        <v>0</v>
      </c>
      <c r="OAM4">
        <f>Database!OBF28</f>
        <v>0</v>
      </c>
      <c r="OAN4">
        <f>Database!OBG28</f>
        <v>0</v>
      </c>
      <c r="OAO4">
        <f>Database!OBH28</f>
        <v>0</v>
      </c>
      <c r="OAP4">
        <f>Database!OBI28</f>
        <v>0</v>
      </c>
      <c r="OAQ4">
        <f>Database!OBJ28</f>
        <v>0</v>
      </c>
      <c r="OAR4">
        <f>Database!OBK28</f>
        <v>0</v>
      </c>
      <c r="OAS4">
        <f>Database!OBL28</f>
        <v>0</v>
      </c>
      <c r="OAT4">
        <f>Database!OBM28</f>
        <v>0</v>
      </c>
      <c r="OAU4">
        <f>Database!OBN28</f>
        <v>0</v>
      </c>
      <c r="OAV4">
        <f>Database!OBO28</f>
        <v>0</v>
      </c>
      <c r="OAW4">
        <f>Database!OBP28</f>
        <v>0</v>
      </c>
      <c r="OAX4">
        <f>Database!OBQ28</f>
        <v>0</v>
      </c>
      <c r="OAY4">
        <f>Database!OBR28</f>
        <v>0</v>
      </c>
      <c r="OAZ4">
        <f>Database!OBS28</f>
        <v>0</v>
      </c>
      <c r="OBA4">
        <f>Database!OBT28</f>
        <v>0</v>
      </c>
      <c r="OBB4">
        <f>Database!OBU28</f>
        <v>0</v>
      </c>
      <c r="OBC4">
        <f>Database!OBV28</f>
        <v>0</v>
      </c>
      <c r="OBD4">
        <f>Database!OBW28</f>
        <v>0</v>
      </c>
      <c r="OBE4">
        <f>Database!OBX28</f>
        <v>0</v>
      </c>
      <c r="OBF4">
        <f>Database!OBY28</f>
        <v>0</v>
      </c>
      <c r="OBG4">
        <f>Database!OBZ28</f>
        <v>0</v>
      </c>
      <c r="OBH4">
        <f>Database!OCA28</f>
        <v>0</v>
      </c>
      <c r="OBI4">
        <f>Database!OCB28</f>
        <v>0</v>
      </c>
      <c r="OBJ4">
        <f>Database!OCC28</f>
        <v>0</v>
      </c>
      <c r="OBK4">
        <f>Database!OCD28</f>
        <v>0</v>
      </c>
      <c r="OBL4">
        <f>Database!OCE28</f>
        <v>0</v>
      </c>
      <c r="OBM4">
        <f>Database!OCF28</f>
        <v>0</v>
      </c>
      <c r="OBN4">
        <f>Database!OCG28</f>
        <v>0</v>
      </c>
      <c r="OBO4">
        <f>Database!OCH28</f>
        <v>0</v>
      </c>
      <c r="OBP4">
        <f>Database!OCI28</f>
        <v>0</v>
      </c>
      <c r="OBQ4">
        <f>Database!OCJ28</f>
        <v>0</v>
      </c>
      <c r="OBR4">
        <f>Database!OCK28</f>
        <v>0</v>
      </c>
      <c r="OBS4">
        <f>Database!OCL28</f>
        <v>0</v>
      </c>
      <c r="OBT4">
        <f>Database!OCM28</f>
        <v>0</v>
      </c>
      <c r="OBU4">
        <f>Database!OCN28</f>
        <v>0</v>
      </c>
      <c r="OBV4">
        <f>Database!OCO28</f>
        <v>0</v>
      </c>
      <c r="OBW4">
        <f>Database!OCP28</f>
        <v>0</v>
      </c>
      <c r="OBX4">
        <f>Database!OCQ28</f>
        <v>0</v>
      </c>
      <c r="OBY4">
        <f>Database!OCR28</f>
        <v>0</v>
      </c>
      <c r="OBZ4">
        <f>Database!OCS28</f>
        <v>0</v>
      </c>
      <c r="OCA4">
        <f>Database!OCT28</f>
        <v>0</v>
      </c>
      <c r="OCB4">
        <f>Database!OCU28</f>
        <v>0</v>
      </c>
      <c r="OCC4">
        <f>Database!OCV28</f>
        <v>0</v>
      </c>
      <c r="OCD4">
        <f>Database!OCW28</f>
        <v>0</v>
      </c>
      <c r="OCE4">
        <f>Database!OCX28</f>
        <v>0</v>
      </c>
      <c r="OCF4">
        <f>Database!OCY28</f>
        <v>0</v>
      </c>
      <c r="OCG4">
        <f>Database!OCZ28</f>
        <v>0</v>
      </c>
      <c r="OCH4">
        <f>Database!ODA28</f>
        <v>0</v>
      </c>
      <c r="OCI4">
        <f>Database!ODB28</f>
        <v>0</v>
      </c>
      <c r="OCJ4">
        <f>Database!ODC28</f>
        <v>0</v>
      </c>
      <c r="OCK4">
        <f>Database!ODD28</f>
        <v>0</v>
      </c>
      <c r="OCL4">
        <f>Database!ODE28</f>
        <v>0</v>
      </c>
      <c r="OCM4">
        <f>Database!ODF28</f>
        <v>0</v>
      </c>
      <c r="OCN4">
        <f>Database!ODG28</f>
        <v>0</v>
      </c>
      <c r="OCO4">
        <f>Database!ODH28</f>
        <v>0</v>
      </c>
      <c r="OCP4">
        <f>Database!ODI28</f>
        <v>0</v>
      </c>
      <c r="OCQ4">
        <f>Database!ODJ28</f>
        <v>0</v>
      </c>
      <c r="OCR4">
        <f>Database!ODK28</f>
        <v>0</v>
      </c>
      <c r="OCS4">
        <f>Database!ODL28</f>
        <v>0</v>
      </c>
      <c r="OCT4">
        <f>Database!ODM28</f>
        <v>0</v>
      </c>
      <c r="OCU4">
        <f>Database!ODN28</f>
        <v>0</v>
      </c>
      <c r="OCV4">
        <f>Database!ODO28</f>
        <v>0</v>
      </c>
      <c r="OCW4">
        <f>Database!ODP28</f>
        <v>0</v>
      </c>
      <c r="OCX4">
        <f>Database!ODQ28</f>
        <v>0</v>
      </c>
      <c r="OCY4">
        <f>Database!ODR28</f>
        <v>0</v>
      </c>
      <c r="OCZ4">
        <f>Database!ODS28</f>
        <v>0</v>
      </c>
      <c r="ODA4">
        <f>Database!ODT28</f>
        <v>0</v>
      </c>
      <c r="ODB4">
        <f>Database!ODU28</f>
        <v>0</v>
      </c>
      <c r="ODC4">
        <f>Database!ODV28</f>
        <v>0</v>
      </c>
      <c r="ODD4">
        <f>Database!ODW28</f>
        <v>0</v>
      </c>
      <c r="ODE4">
        <f>Database!ODX28</f>
        <v>0</v>
      </c>
      <c r="ODF4">
        <f>Database!ODY28</f>
        <v>0</v>
      </c>
      <c r="ODG4">
        <f>Database!ODZ28</f>
        <v>0</v>
      </c>
      <c r="ODH4">
        <f>Database!OEA28</f>
        <v>0</v>
      </c>
      <c r="ODI4">
        <f>Database!OEB28</f>
        <v>0</v>
      </c>
      <c r="ODJ4">
        <f>Database!OEC28</f>
        <v>0</v>
      </c>
      <c r="ODK4">
        <f>Database!OED28</f>
        <v>0</v>
      </c>
      <c r="ODL4">
        <f>Database!OEE28</f>
        <v>0</v>
      </c>
      <c r="ODM4">
        <f>Database!OEF28</f>
        <v>0</v>
      </c>
      <c r="ODN4">
        <f>Database!OEG28</f>
        <v>0</v>
      </c>
      <c r="ODO4">
        <f>Database!OEH28</f>
        <v>0</v>
      </c>
      <c r="ODP4">
        <f>Database!OEI28</f>
        <v>0</v>
      </c>
      <c r="ODQ4">
        <f>Database!OEJ28</f>
        <v>0</v>
      </c>
      <c r="ODR4">
        <f>Database!OEK28</f>
        <v>0</v>
      </c>
      <c r="ODS4">
        <f>Database!OEL28</f>
        <v>0</v>
      </c>
      <c r="ODT4">
        <f>Database!OEM28</f>
        <v>0</v>
      </c>
      <c r="ODU4">
        <f>Database!OEN28</f>
        <v>0</v>
      </c>
      <c r="ODV4">
        <f>Database!OEO28</f>
        <v>0</v>
      </c>
      <c r="ODW4">
        <f>Database!OEP28</f>
        <v>0</v>
      </c>
      <c r="ODX4">
        <f>Database!OEQ28</f>
        <v>0</v>
      </c>
      <c r="ODY4">
        <f>Database!OER28</f>
        <v>0</v>
      </c>
      <c r="ODZ4">
        <f>Database!OES28</f>
        <v>0</v>
      </c>
      <c r="OEA4">
        <f>Database!OET28</f>
        <v>0</v>
      </c>
      <c r="OEB4">
        <f>Database!OEU28</f>
        <v>0</v>
      </c>
      <c r="OEC4">
        <f>Database!OEV28</f>
        <v>0</v>
      </c>
      <c r="OED4">
        <f>Database!OEW28</f>
        <v>0</v>
      </c>
      <c r="OEE4">
        <f>Database!OEX28</f>
        <v>0</v>
      </c>
      <c r="OEF4">
        <f>Database!OEY28</f>
        <v>0</v>
      </c>
      <c r="OEG4">
        <f>Database!OEZ28</f>
        <v>0</v>
      </c>
      <c r="OEH4">
        <f>Database!OFA28</f>
        <v>0</v>
      </c>
      <c r="OEI4">
        <f>Database!OFB28</f>
        <v>0</v>
      </c>
      <c r="OEJ4">
        <f>Database!OFC28</f>
        <v>0</v>
      </c>
      <c r="OEK4">
        <f>Database!OFD28</f>
        <v>0</v>
      </c>
      <c r="OEL4">
        <f>Database!OFE28</f>
        <v>0</v>
      </c>
      <c r="OEM4">
        <f>Database!OFF28</f>
        <v>0</v>
      </c>
      <c r="OEN4">
        <f>Database!OFG28</f>
        <v>0</v>
      </c>
      <c r="OEO4">
        <f>Database!OFH28</f>
        <v>0</v>
      </c>
      <c r="OEP4">
        <f>Database!OFI28</f>
        <v>0</v>
      </c>
      <c r="OEQ4">
        <f>Database!OFJ28</f>
        <v>0</v>
      </c>
      <c r="OER4">
        <f>Database!OFK28</f>
        <v>0</v>
      </c>
      <c r="OES4">
        <f>Database!OFL28</f>
        <v>0</v>
      </c>
      <c r="OET4">
        <f>Database!OFM28</f>
        <v>0</v>
      </c>
      <c r="OEU4">
        <f>Database!OFN28</f>
        <v>0</v>
      </c>
      <c r="OEV4">
        <f>Database!OFO28</f>
        <v>0</v>
      </c>
      <c r="OEW4">
        <f>Database!OFP28</f>
        <v>0</v>
      </c>
      <c r="OEX4">
        <f>Database!OFQ28</f>
        <v>0</v>
      </c>
      <c r="OEY4">
        <f>Database!OFR28</f>
        <v>0</v>
      </c>
      <c r="OEZ4">
        <f>Database!OFS28</f>
        <v>0</v>
      </c>
      <c r="OFA4">
        <f>Database!OFT28</f>
        <v>0</v>
      </c>
      <c r="OFB4">
        <f>Database!OFU28</f>
        <v>0</v>
      </c>
      <c r="OFC4">
        <f>Database!OFV28</f>
        <v>0</v>
      </c>
      <c r="OFD4">
        <f>Database!OFW28</f>
        <v>0</v>
      </c>
      <c r="OFE4">
        <f>Database!OFX28</f>
        <v>0</v>
      </c>
      <c r="OFF4">
        <f>Database!OFY28</f>
        <v>0</v>
      </c>
      <c r="OFG4">
        <f>Database!OFZ28</f>
        <v>0</v>
      </c>
      <c r="OFH4">
        <f>Database!OGA28</f>
        <v>0</v>
      </c>
      <c r="OFI4">
        <f>Database!OGB28</f>
        <v>0</v>
      </c>
      <c r="OFJ4">
        <f>Database!OGC28</f>
        <v>0</v>
      </c>
      <c r="OFK4">
        <f>Database!OGD28</f>
        <v>0</v>
      </c>
      <c r="OFL4">
        <f>Database!OGE28</f>
        <v>0</v>
      </c>
      <c r="OFM4">
        <f>Database!OGF28</f>
        <v>0</v>
      </c>
      <c r="OFN4">
        <f>Database!OGG28</f>
        <v>0</v>
      </c>
      <c r="OFO4">
        <f>Database!OGH28</f>
        <v>0</v>
      </c>
      <c r="OFP4">
        <f>Database!OGI28</f>
        <v>0</v>
      </c>
      <c r="OFQ4">
        <f>Database!OGJ28</f>
        <v>0</v>
      </c>
      <c r="OFR4">
        <f>Database!OGK28</f>
        <v>0</v>
      </c>
      <c r="OFS4">
        <f>Database!OGL28</f>
        <v>0</v>
      </c>
      <c r="OFT4">
        <f>Database!OGM28</f>
        <v>0</v>
      </c>
      <c r="OFU4">
        <f>Database!OGN28</f>
        <v>0</v>
      </c>
      <c r="OFV4">
        <f>Database!OGO28</f>
        <v>0</v>
      </c>
      <c r="OFW4">
        <f>Database!OGP28</f>
        <v>0</v>
      </c>
      <c r="OFX4">
        <f>Database!OGQ28</f>
        <v>0</v>
      </c>
      <c r="OFY4">
        <f>Database!OGR28</f>
        <v>0</v>
      </c>
      <c r="OFZ4">
        <f>Database!OGS28</f>
        <v>0</v>
      </c>
      <c r="OGA4">
        <f>Database!OGT28</f>
        <v>0</v>
      </c>
      <c r="OGB4">
        <f>Database!OGU28</f>
        <v>0</v>
      </c>
      <c r="OGC4">
        <f>Database!OGV28</f>
        <v>0</v>
      </c>
      <c r="OGD4">
        <f>Database!OGW28</f>
        <v>0</v>
      </c>
      <c r="OGE4">
        <f>Database!OGX28</f>
        <v>0</v>
      </c>
      <c r="OGF4">
        <f>Database!OGY28</f>
        <v>0</v>
      </c>
      <c r="OGG4">
        <f>Database!OGZ28</f>
        <v>0</v>
      </c>
      <c r="OGH4">
        <f>Database!OHA28</f>
        <v>0</v>
      </c>
      <c r="OGI4">
        <f>Database!OHB28</f>
        <v>0</v>
      </c>
      <c r="OGJ4">
        <f>Database!OHC28</f>
        <v>0</v>
      </c>
      <c r="OGK4">
        <f>Database!OHD28</f>
        <v>0</v>
      </c>
      <c r="OGL4">
        <f>Database!OHE28</f>
        <v>0</v>
      </c>
      <c r="OGM4">
        <f>Database!OHF28</f>
        <v>0</v>
      </c>
      <c r="OGN4">
        <f>Database!OHG28</f>
        <v>0</v>
      </c>
      <c r="OGO4">
        <f>Database!OHH28</f>
        <v>0</v>
      </c>
      <c r="OGP4">
        <f>Database!OHI28</f>
        <v>0</v>
      </c>
      <c r="OGQ4">
        <f>Database!OHJ28</f>
        <v>0</v>
      </c>
      <c r="OGR4">
        <f>Database!OHK28</f>
        <v>0</v>
      </c>
      <c r="OGS4">
        <f>Database!OHL28</f>
        <v>0</v>
      </c>
      <c r="OGT4">
        <f>Database!OHM28</f>
        <v>0</v>
      </c>
      <c r="OGU4">
        <f>Database!OHN28</f>
        <v>0</v>
      </c>
      <c r="OGV4">
        <f>Database!OHO28</f>
        <v>0</v>
      </c>
      <c r="OGW4">
        <f>Database!OHP28</f>
        <v>0</v>
      </c>
      <c r="OGX4">
        <f>Database!OHQ28</f>
        <v>0</v>
      </c>
      <c r="OGY4">
        <f>Database!OHR28</f>
        <v>0</v>
      </c>
      <c r="OGZ4">
        <f>Database!OHS28</f>
        <v>0</v>
      </c>
      <c r="OHA4">
        <f>Database!OHT28</f>
        <v>0</v>
      </c>
      <c r="OHB4">
        <f>Database!OHU28</f>
        <v>0</v>
      </c>
      <c r="OHC4">
        <f>Database!OHV28</f>
        <v>0</v>
      </c>
      <c r="OHD4">
        <f>Database!OHW28</f>
        <v>0</v>
      </c>
      <c r="OHE4">
        <f>Database!OHX28</f>
        <v>0</v>
      </c>
      <c r="OHF4">
        <f>Database!OHY28</f>
        <v>0</v>
      </c>
      <c r="OHG4">
        <f>Database!OHZ28</f>
        <v>0</v>
      </c>
      <c r="OHH4">
        <f>Database!OIA28</f>
        <v>0</v>
      </c>
      <c r="OHI4">
        <f>Database!OIB28</f>
        <v>0</v>
      </c>
      <c r="OHJ4">
        <f>Database!OIC28</f>
        <v>0</v>
      </c>
      <c r="OHK4">
        <f>Database!OID28</f>
        <v>0</v>
      </c>
      <c r="OHL4">
        <f>Database!OIE28</f>
        <v>0</v>
      </c>
      <c r="OHM4">
        <f>Database!OIF28</f>
        <v>0</v>
      </c>
      <c r="OHN4">
        <f>Database!OIG28</f>
        <v>0</v>
      </c>
      <c r="OHO4">
        <f>Database!OIH28</f>
        <v>0</v>
      </c>
      <c r="OHP4">
        <f>Database!OII28</f>
        <v>0</v>
      </c>
      <c r="OHQ4">
        <f>Database!OIJ28</f>
        <v>0</v>
      </c>
      <c r="OHR4">
        <f>Database!OIK28</f>
        <v>0</v>
      </c>
      <c r="OHS4">
        <f>Database!OIL28</f>
        <v>0</v>
      </c>
      <c r="OHT4">
        <f>Database!OIM28</f>
        <v>0</v>
      </c>
      <c r="OHU4">
        <f>Database!OIN28</f>
        <v>0</v>
      </c>
      <c r="OHV4">
        <f>Database!OIO28</f>
        <v>0</v>
      </c>
      <c r="OHW4">
        <f>Database!OIP28</f>
        <v>0</v>
      </c>
      <c r="OHX4">
        <f>Database!OIQ28</f>
        <v>0</v>
      </c>
      <c r="OHY4">
        <f>Database!OIR28</f>
        <v>0</v>
      </c>
      <c r="OHZ4">
        <f>Database!OIS28</f>
        <v>0</v>
      </c>
      <c r="OIA4">
        <f>Database!OIT28</f>
        <v>0</v>
      </c>
      <c r="OIB4">
        <f>Database!OIU28</f>
        <v>0</v>
      </c>
      <c r="OIC4">
        <f>Database!OIV28</f>
        <v>0</v>
      </c>
      <c r="OID4">
        <f>Database!OIW28</f>
        <v>0</v>
      </c>
      <c r="OIE4">
        <f>Database!OIX28</f>
        <v>0</v>
      </c>
      <c r="OIF4">
        <f>Database!OIY28</f>
        <v>0</v>
      </c>
      <c r="OIG4">
        <f>Database!OIZ28</f>
        <v>0</v>
      </c>
      <c r="OIH4">
        <f>Database!OJA28</f>
        <v>0</v>
      </c>
      <c r="OII4">
        <f>Database!OJB28</f>
        <v>0</v>
      </c>
      <c r="OIJ4">
        <f>Database!OJC28</f>
        <v>0</v>
      </c>
      <c r="OIK4">
        <f>Database!OJD28</f>
        <v>0</v>
      </c>
      <c r="OIL4">
        <f>Database!OJE28</f>
        <v>0</v>
      </c>
      <c r="OIM4">
        <f>Database!OJF28</f>
        <v>0</v>
      </c>
      <c r="OIN4">
        <f>Database!OJG28</f>
        <v>0</v>
      </c>
      <c r="OIO4">
        <f>Database!OJH28</f>
        <v>0</v>
      </c>
      <c r="OIP4">
        <f>Database!OJI28</f>
        <v>0</v>
      </c>
      <c r="OIQ4">
        <f>Database!OJJ28</f>
        <v>0</v>
      </c>
      <c r="OIR4">
        <f>Database!OJK28</f>
        <v>0</v>
      </c>
      <c r="OIS4">
        <f>Database!OJL28</f>
        <v>0</v>
      </c>
      <c r="OIT4">
        <f>Database!OJM28</f>
        <v>0</v>
      </c>
      <c r="OIU4">
        <f>Database!OJN28</f>
        <v>0</v>
      </c>
      <c r="OIV4">
        <f>Database!OJO28</f>
        <v>0</v>
      </c>
      <c r="OIW4">
        <f>Database!OJP28</f>
        <v>0</v>
      </c>
      <c r="OIX4">
        <f>Database!OJQ28</f>
        <v>0</v>
      </c>
      <c r="OIY4">
        <f>Database!OJR28</f>
        <v>0</v>
      </c>
      <c r="OIZ4">
        <f>Database!OJS28</f>
        <v>0</v>
      </c>
      <c r="OJA4">
        <f>Database!OJT28</f>
        <v>0</v>
      </c>
      <c r="OJB4">
        <f>Database!OJU28</f>
        <v>0</v>
      </c>
      <c r="OJC4">
        <f>Database!OJV28</f>
        <v>0</v>
      </c>
      <c r="OJD4">
        <f>Database!OJW28</f>
        <v>0</v>
      </c>
      <c r="OJE4">
        <f>Database!OJX28</f>
        <v>0</v>
      </c>
      <c r="OJF4">
        <f>Database!OJY28</f>
        <v>0</v>
      </c>
      <c r="OJG4">
        <f>Database!OJZ28</f>
        <v>0</v>
      </c>
      <c r="OJH4">
        <f>Database!OKA28</f>
        <v>0</v>
      </c>
      <c r="OJI4">
        <f>Database!OKB28</f>
        <v>0</v>
      </c>
      <c r="OJJ4">
        <f>Database!OKC28</f>
        <v>0</v>
      </c>
      <c r="OJK4">
        <f>Database!OKD28</f>
        <v>0</v>
      </c>
      <c r="OJL4">
        <f>Database!OKE28</f>
        <v>0</v>
      </c>
      <c r="OJM4">
        <f>Database!OKF28</f>
        <v>0</v>
      </c>
      <c r="OJN4">
        <f>Database!OKG28</f>
        <v>0</v>
      </c>
      <c r="OJO4">
        <f>Database!OKH28</f>
        <v>0</v>
      </c>
      <c r="OJP4">
        <f>Database!OKI28</f>
        <v>0</v>
      </c>
      <c r="OJQ4">
        <f>Database!OKJ28</f>
        <v>0</v>
      </c>
      <c r="OJR4">
        <f>Database!OKK28</f>
        <v>0</v>
      </c>
      <c r="OJS4">
        <f>Database!OKL28</f>
        <v>0</v>
      </c>
      <c r="OJT4">
        <f>Database!OKM28</f>
        <v>0</v>
      </c>
      <c r="OJU4">
        <f>Database!OKN28</f>
        <v>0</v>
      </c>
      <c r="OJV4">
        <f>Database!OKO28</f>
        <v>0</v>
      </c>
      <c r="OJW4">
        <f>Database!OKP28</f>
        <v>0</v>
      </c>
      <c r="OJX4">
        <f>Database!OKQ28</f>
        <v>0</v>
      </c>
      <c r="OJY4">
        <f>Database!OKR28</f>
        <v>0</v>
      </c>
      <c r="OJZ4">
        <f>Database!OKS28</f>
        <v>0</v>
      </c>
      <c r="OKA4">
        <f>Database!OKT28</f>
        <v>0</v>
      </c>
      <c r="OKB4">
        <f>Database!OKU28</f>
        <v>0</v>
      </c>
      <c r="OKC4">
        <f>Database!OKV28</f>
        <v>0</v>
      </c>
      <c r="OKD4">
        <f>Database!OKW28</f>
        <v>0</v>
      </c>
      <c r="OKE4">
        <f>Database!OKX28</f>
        <v>0</v>
      </c>
      <c r="OKF4">
        <f>Database!OKY28</f>
        <v>0</v>
      </c>
      <c r="OKG4">
        <f>Database!OKZ28</f>
        <v>0</v>
      </c>
      <c r="OKH4">
        <f>Database!OLA28</f>
        <v>0</v>
      </c>
      <c r="OKI4">
        <f>Database!OLB28</f>
        <v>0</v>
      </c>
      <c r="OKJ4">
        <f>Database!OLC28</f>
        <v>0</v>
      </c>
      <c r="OKK4">
        <f>Database!OLD28</f>
        <v>0</v>
      </c>
      <c r="OKL4">
        <f>Database!OLE28</f>
        <v>0</v>
      </c>
      <c r="OKM4">
        <f>Database!OLF28</f>
        <v>0</v>
      </c>
      <c r="OKN4">
        <f>Database!OLG28</f>
        <v>0</v>
      </c>
      <c r="OKO4">
        <f>Database!OLH28</f>
        <v>0</v>
      </c>
      <c r="OKP4">
        <f>Database!OLI28</f>
        <v>0</v>
      </c>
      <c r="OKQ4">
        <f>Database!OLJ28</f>
        <v>0</v>
      </c>
      <c r="OKR4">
        <f>Database!OLK28</f>
        <v>0</v>
      </c>
      <c r="OKS4">
        <f>Database!OLL28</f>
        <v>0</v>
      </c>
      <c r="OKT4">
        <f>Database!OLM28</f>
        <v>0</v>
      </c>
      <c r="OKU4">
        <f>Database!OLN28</f>
        <v>0</v>
      </c>
      <c r="OKV4">
        <f>Database!OLO28</f>
        <v>0</v>
      </c>
      <c r="OKW4">
        <f>Database!OLP28</f>
        <v>0</v>
      </c>
      <c r="OKX4">
        <f>Database!OLQ28</f>
        <v>0</v>
      </c>
      <c r="OKY4">
        <f>Database!OLR28</f>
        <v>0</v>
      </c>
      <c r="OKZ4">
        <f>Database!OLS28</f>
        <v>0</v>
      </c>
      <c r="OLA4">
        <f>Database!OLT28</f>
        <v>0</v>
      </c>
      <c r="OLB4">
        <f>Database!OLU28</f>
        <v>0</v>
      </c>
      <c r="OLC4">
        <f>Database!OLV28</f>
        <v>0</v>
      </c>
      <c r="OLD4">
        <f>Database!OLW28</f>
        <v>0</v>
      </c>
      <c r="OLE4">
        <f>Database!OLX28</f>
        <v>0</v>
      </c>
      <c r="OLF4">
        <f>Database!OLY28</f>
        <v>0</v>
      </c>
      <c r="OLG4">
        <f>Database!OLZ28</f>
        <v>0</v>
      </c>
      <c r="OLH4">
        <f>Database!OMA28</f>
        <v>0</v>
      </c>
      <c r="OLI4">
        <f>Database!OMB28</f>
        <v>0</v>
      </c>
      <c r="OLJ4">
        <f>Database!OMC28</f>
        <v>0</v>
      </c>
      <c r="OLK4">
        <f>Database!OMD28</f>
        <v>0</v>
      </c>
      <c r="OLL4">
        <f>Database!OME28</f>
        <v>0</v>
      </c>
      <c r="OLM4">
        <f>Database!OMF28</f>
        <v>0</v>
      </c>
      <c r="OLN4">
        <f>Database!OMG28</f>
        <v>0</v>
      </c>
      <c r="OLO4">
        <f>Database!OMH28</f>
        <v>0</v>
      </c>
      <c r="OLP4">
        <f>Database!OMI28</f>
        <v>0</v>
      </c>
      <c r="OLQ4">
        <f>Database!OMJ28</f>
        <v>0</v>
      </c>
      <c r="OLR4">
        <f>Database!OMK28</f>
        <v>0</v>
      </c>
      <c r="OLS4">
        <f>Database!OML28</f>
        <v>0</v>
      </c>
      <c r="OLT4">
        <f>Database!OMM28</f>
        <v>0</v>
      </c>
      <c r="OLU4">
        <f>Database!OMN28</f>
        <v>0</v>
      </c>
      <c r="OLV4">
        <f>Database!OMO28</f>
        <v>0</v>
      </c>
      <c r="OLW4">
        <f>Database!OMP28</f>
        <v>0</v>
      </c>
      <c r="OLX4">
        <f>Database!OMQ28</f>
        <v>0</v>
      </c>
      <c r="OLY4">
        <f>Database!OMR28</f>
        <v>0</v>
      </c>
      <c r="OLZ4">
        <f>Database!OMS28</f>
        <v>0</v>
      </c>
      <c r="OMA4">
        <f>Database!OMT28</f>
        <v>0</v>
      </c>
      <c r="OMB4">
        <f>Database!OMU28</f>
        <v>0</v>
      </c>
      <c r="OMC4">
        <f>Database!OMV28</f>
        <v>0</v>
      </c>
      <c r="OMD4">
        <f>Database!OMW28</f>
        <v>0</v>
      </c>
      <c r="OME4">
        <f>Database!OMX28</f>
        <v>0</v>
      </c>
      <c r="OMF4">
        <f>Database!OMY28</f>
        <v>0</v>
      </c>
      <c r="OMG4">
        <f>Database!OMZ28</f>
        <v>0</v>
      </c>
      <c r="OMH4">
        <f>Database!ONA28</f>
        <v>0</v>
      </c>
      <c r="OMI4">
        <f>Database!ONB28</f>
        <v>0</v>
      </c>
      <c r="OMJ4">
        <f>Database!ONC28</f>
        <v>0</v>
      </c>
      <c r="OMK4">
        <f>Database!OND28</f>
        <v>0</v>
      </c>
      <c r="OML4">
        <f>Database!ONE28</f>
        <v>0</v>
      </c>
      <c r="OMM4">
        <f>Database!ONF28</f>
        <v>0</v>
      </c>
      <c r="OMN4">
        <f>Database!ONG28</f>
        <v>0</v>
      </c>
      <c r="OMO4">
        <f>Database!ONH28</f>
        <v>0</v>
      </c>
      <c r="OMP4">
        <f>Database!ONI28</f>
        <v>0</v>
      </c>
      <c r="OMQ4">
        <f>Database!ONJ28</f>
        <v>0</v>
      </c>
      <c r="OMR4">
        <f>Database!ONK28</f>
        <v>0</v>
      </c>
      <c r="OMS4">
        <f>Database!ONL28</f>
        <v>0</v>
      </c>
      <c r="OMT4">
        <f>Database!ONM28</f>
        <v>0</v>
      </c>
      <c r="OMU4">
        <f>Database!ONN28</f>
        <v>0</v>
      </c>
      <c r="OMV4">
        <f>Database!ONO28</f>
        <v>0</v>
      </c>
      <c r="OMW4">
        <f>Database!ONP28</f>
        <v>0</v>
      </c>
      <c r="OMX4">
        <f>Database!ONQ28</f>
        <v>0</v>
      </c>
      <c r="OMY4">
        <f>Database!ONR28</f>
        <v>0</v>
      </c>
      <c r="OMZ4">
        <f>Database!ONS28</f>
        <v>0</v>
      </c>
      <c r="ONA4">
        <f>Database!ONT28</f>
        <v>0</v>
      </c>
      <c r="ONB4">
        <f>Database!ONU28</f>
        <v>0</v>
      </c>
      <c r="ONC4">
        <f>Database!ONV28</f>
        <v>0</v>
      </c>
      <c r="OND4">
        <f>Database!ONW28</f>
        <v>0</v>
      </c>
      <c r="ONE4">
        <f>Database!ONX28</f>
        <v>0</v>
      </c>
      <c r="ONF4">
        <f>Database!ONY28</f>
        <v>0</v>
      </c>
      <c r="ONG4">
        <f>Database!ONZ28</f>
        <v>0</v>
      </c>
      <c r="ONH4">
        <f>Database!OOA28</f>
        <v>0</v>
      </c>
      <c r="ONI4">
        <f>Database!OOB28</f>
        <v>0</v>
      </c>
      <c r="ONJ4">
        <f>Database!OOC28</f>
        <v>0</v>
      </c>
      <c r="ONK4">
        <f>Database!OOD28</f>
        <v>0</v>
      </c>
      <c r="ONL4">
        <f>Database!OOE28</f>
        <v>0</v>
      </c>
      <c r="ONM4">
        <f>Database!OOF28</f>
        <v>0</v>
      </c>
      <c r="ONN4">
        <f>Database!OOG28</f>
        <v>0</v>
      </c>
      <c r="ONO4">
        <f>Database!OOH28</f>
        <v>0</v>
      </c>
      <c r="ONP4">
        <f>Database!OOI28</f>
        <v>0</v>
      </c>
      <c r="ONQ4">
        <f>Database!OOJ28</f>
        <v>0</v>
      </c>
      <c r="ONR4">
        <f>Database!OOK28</f>
        <v>0</v>
      </c>
      <c r="ONS4">
        <f>Database!OOL28</f>
        <v>0</v>
      </c>
      <c r="ONT4">
        <f>Database!OOM28</f>
        <v>0</v>
      </c>
      <c r="ONU4">
        <f>Database!OON28</f>
        <v>0</v>
      </c>
      <c r="ONV4">
        <f>Database!OOO28</f>
        <v>0</v>
      </c>
      <c r="ONW4">
        <f>Database!OOP28</f>
        <v>0</v>
      </c>
      <c r="ONX4">
        <f>Database!OOQ28</f>
        <v>0</v>
      </c>
      <c r="ONY4">
        <f>Database!OOR28</f>
        <v>0</v>
      </c>
      <c r="ONZ4">
        <f>Database!OOS28</f>
        <v>0</v>
      </c>
      <c r="OOA4">
        <f>Database!OOT28</f>
        <v>0</v>
      </c>
      <c r="OOB4">
        <f>Database!OOU28</f>
        <v>0</v>
      </c>
      <c r="OOC4">
        <f>Database!OOV28</f>
        <v>0</v>
      </c>
      <c r="OOD4">
        <f>Database!OOW28</f>
        <v>0</v>
      </c>
      <c r="OOE4">
        <f>Database!OOX28</f>
        <v>0</v>
      </c>
      <c r="OOF4">
        <f>Database!OOY28</f>
        <v>0</v>
      </c>
      <c r="OOG4">
        <f>Database!OOZ28</f>
        <v>0</v>
      </c>
      <c r="OOH4">
        <f>Database!OPA28</f>
        <v>0</v>
      </c>
      <c r="OOI4">
        <f>Database!OPB28</f>
        <v>0</v>
      </c>
      <c r="OOJ4">
        <f>Database!OPC28</f>
        <v>0</v>
      </c>
      <c r="OOK4">
        <f>Database!OPD28</f>
        <v>0</v>
      </c>
      <c r="OOL4">
        <f>Database!OPE28</f>
        <v>0</v>
      </c>
      <c r="OOM4">
        <f>Database!OPF28</f>
        <v>0</v>
      </c>
      <c r="OON4">
        <f>Database!OPG28</f>
        <v>0</v>
      </c>
      <c r="OOO4">
        <f>Database!OPH28</f>
        <v>0</v>
      </c>
      <c r="OOP4">
        <f>Database!OPI28</f>
        <v>0</v>
      </c>
      <c r="OOQ4">
        <f>Database!OPJ28</f>
        <v>0</v>
      </c>
      <c r="OOR4">
        <f>Database!OPK28</f>
        <v>0</v>
      </c>
      <c r="OOS4">
        <f>Database!OPL28</f>
        <v>0</v>
      </c>
      <c r="OOT4">
        <f>Database!OPM28</f>
        <v>0</v>
      </c>
      <c r="OOU4">
        <f>Database!OPN28</f>
        <v>0</v>
      </c>
      <c r="OOV4">
        <f>Database!OPO28</f>
        <v>0</v>
      </c>
      <c r="OOW4">
        <f>Database!OPP28</f>
        <v>0</v>
      </c>
      <c r="OOX4">
        <f>Database!OPQ28</f>
        <v>0</v>
      </c>
      <c r="OOY4">
        <f>Database!OPR28</f>
        <v>0</v>
      </c>
      <c r="OOZ4">
        <f>Database!OPS28</f>
        <v>0</v>
      </c>
      <c r="OPA4">
        <f>Database!OPT28</f>
        <v>0</v>
      </c>
      <c r="OPB4">
        <f>Database!OPU28</f>
        <v>0</v>
      </c>
      <c r="OPC4">
        <f>Database!OPV28</f>
        <v>0</v>
      </c>
      <c r="OPD4">
        <f>Database!OPW28</f>
        <v>0</v>
      </c>
      <c r="OPE4">
        <f>Database!OPX28</f>
        <v>0</v>
      </c>
      <c r="OPF4">
        <f>Database!OPY28</f>
        <v>0</v>
      </c>
      <c r="OPG4">
        <f>Database!OPZ28</f>
        <v>0</v>
      </c>
      <c r="OPH4">
        <f>Database!OQA28</f>
        <v>0</v>
      </c>
      <c r="OPI4">
        <f>Database!OQB28</f>
        <v>0</v>
      </c>
      <c r="OPJ4">
        <f>Database!OQC28</f>
        <v>0</v>
      </c>
      <c r="OPK4">
        <f>Database!OQD28</f>
        <v>0</v>
      </c>
      <c r="OPL4">
        <f>Database!OQE28</f>
        <v>0</v>
      </c>
      <c r="OPM4">
        <f>Database!OQF28</f>
        <v>0</v>
      </c>
      <c r="OPN4">
        <f>Database!OQG28</f>
        <v>0</v>
      </c>
      <c r="OPO4">
        <f>Database!OQH28</f>
        <v>0</v>
      </c>
      <c r="OPP4">
        <f>Database!OQI28</f>
        <v>0</v>
      </c>
      <c r="OPQ4">
        <f>Database!OQJ28</f>
        <v>0</v>
      </c>
      <c r="OPR4">
        <f>Database!OQK28</f>
        <v>0</v>
      </c>
      <c r="OPS4">
        <f>Database!OQL28</f>
        <v>0</v>
      </c>
      <c r="OPT4">
        <f>Database!OQM28</f>
        <v>0</v>
      </c>
      <c r="OPU4">
        <f>Database!OQN28</f>
        <v>0</v>
      </c>
      <c r="OPV4">
        <f>Database!OQO28</f>
        <v>0</v>
      </c>
      <c r="OPW4">
        <f>Database!OQP28</f>
        <v>0</v>
      </c>
      <c r="OPX4">
        <f>Database!OQQ28</f>
        <v>0</v>
      </c>
      <c r="OPY4">
        <f>Database!OQR28</f>
        <v>0</v>
      </c>
      <c r="OPZ4">
        <f>Database!OQS28</f>
        <v>0</v>
      </c>
      <c r="OQA4">
        <f>Database!OQT28</f>
        <v>0</v>
      </c>
      <c r="OQB4">
        <f>Database!OQU28</f>
        <v>0</v>
      </c>
      <c r="OQC4">
        <f>Database!OQV28</f>
        <v>0</v>
      </c>
      <c r="OQD4">
        <f>Database!OQW28</f>
        <v>0</v>
      </c>
      <c r="OQE4">
        <f>Database!OQX28</f>
        <v>0</v>
      </c>
      <c r="OQF4">
        <f>Database!OQY28</f>
        <v>0</v>
      </c>
      <c r="OQG4">
        <f>Database!OQZ28</f>
        <v>0</v>
      </c>
      <c r="OQH4">
        <f>Database!ORA28</f>
        <v>0</v>
      </c>
      <c r="OQI4">
        <f>Database!ORB28</f>
        <v>0</v>
      </c>
      <c r="OQJ4">
        <f>Database!ORC28</f>
        <v>0</v>
      </c>
      <c r="OQK4">
        <f>Database!ORD28</f>
        <v>0</v>
      </c>
      <c r="OQL4">
        <f>Database!ORE28</f>
        <v>0</v>
      </c>
      <c r="OQM4">
        <f>Database!ORF28</f>
        <v>0</v>
      </c>
      <c r="OQN4">
        <f>Database!ORG28</f>
        <v>0</v>
      </c>
      <c r="OQO4">
        <f>Database!ORH28</f>
        <v>0</v>
      </c>
      <c r="OQP4">
        <f>Database!ORI28</f>
        <v>0</v>
      </c>
      <c r="OQQ4">
        <f>Database!ORJ28</f>
        <v>0</v>
      </c>
      <c r="OQR4">
        <f>Database!ORK28</f>
        <v>0</v>
      </c>
      <c r="OQS4">
        <f>Database!ORL28</f>
        <v>0</v>
      </c>
      <c r="OQT4">
        <f>Database!ORM28</f>
        <v>0</v>
      </c>
      <c r="OQU4">
        <f>Database!ORN28</f>
        <v>0</v>
      </c>
      <c r="OQV4">
        <f>Database!ORO28</f>
        <v>0</v>
      </c>
      <c r="OQW4">
        <f>Database!ORP28</f>
        <v>0</v>
      </c>
      <c r="OQX4">
        <f>Database!ORQ28</f>
        <v>0</v>
      </c>
      <c r="OQY4">
        <f>Database!ORR28</f>
        <v>0</v>
      </c>
      <c r="OQZ4">
        <f>Database!ORS28</f>
        <v>0</v>
      </c>
      <c r="ORA4">
        <f>Database!ORT28</f>
        <v>0</v>
      </c>
      <c r="ORB4">
        <f>Database!ORU28</f>
        <v>0</v>
      </c>
      <c r="ORC4">
        <f>Database!ORV28</f>
        <v>0</v>
      </c>
      <c r="ORD4">
        <f>Database!ORW28</f>
        <v>0</v>
      </c>
      <c r="ORE4">
        <f>Database!ORX28</f>
        <v>0</v>
      </c>
      <c r="ORF4">
        <f>Database!ORY28</f>
        <v>0</v>
      </c>
      <c r="ORG4">
        <f>Database!ORZ28</f>
        <v>0</v>
      </c>
      <c r="ORH4">
        <f>Database!OSA28</f>
        <v>0</v>
      </c>
      <c r="ORI4">
        <f>Database!OSB28</f>
        <v>0</v>
      </c>
      <c r="ORJ4">
        <f>Database!OSC28</f>
        <v>0</v>
      </c>
      <c r="ORK4">
        <f>Database!OSD28</f>
        <v>0</v>
      </c>
      <c r="ORL4">
        <f>Database!OSE28</f>
        <v>0</v>
      </c>
      <c r="ORM4">
        <f>Database!OSF28</f>
        <v>0</v>
      </c>
      <c r="ORN4">
        <f>Database!OSG28</f>
        <v>0</v>
      </c>
      <c r="ORO4">
        <f>Database!OSH28</f>
        <v>0</v>
      </c>
      <c r="ORP4">
        <f>Database!OSI28</f>
        <v>0</v>
      </c>
      <c r="ORQ4">
        <f>Database!OSJ28</f>
        <v>0</v>
      </c>
      <c r="ORR4">
        <f>Database!OSK28</f>
        <v>0</v>
      </c>
      <c r="ORS4">
        <f>Database!OSL28</f>
        <v>0</v>
      </c>
      <c r="ORT4">
        <f>Database!OSM28</f>
        <v>0</v>
      </c>
      <c r="ORU4">
        <f>Database!OSN28</f>
        <v>0</v>
      </c>
      <c r="ORV4">
        <f>Database!OSO28</f>
        <v>0</v>
      </c>
      <c r="ORW4">
        <f>Database!OSP28</f>
        <v>0</v>
      </c>
      <c r="ORX4">
        <f>Database!OSQ28</f>
        <v>0</v>
      </c>
      <c r="ORY4">
        <f>Database!OSR28</f>
        <v>0</v>
      </c>
      <c r="ORZ4">
        <f>Database!OSS28</f>
        <v>0</v>
      </c>
      <c r="OSA4">
        <f>Database!OST28</f>
        <v>0</v>
      </c>
      <c r="OSB4">
        <f>Database!OSU28</f>
        <v>0</v>
      </c>
      <c r="OSC4">
        <f>Database!OSV28</f>
        <v>0</v>
      </c>
      <c r="OSD4">
        <f>Database!OSW28</f>
        <v>0</v>
      </c>
      <c r="OSE4">
        <f>Database!OSX28</f>
        <v>0</v>
      </c>
      <c r="OSF4">
        <f>Database!OSY28</f>
        <v>0</v>
      </c>
      <c r="OSG4">
        <f>Database!OSZ28</f>
        <v>0</v>
      </c>
      <c r="OSH4">
        <f>Database!OTA28</f>
        <v>0</v>
      </c>
      <c r="OSI4">
        <f>Database!OTB28</f>
        <v>0</v>
      </c>
      <c r="OSJ4">
        <f>Database!OTC28</f>
        <v>0</v>
      </c>
      <c r="OSK4">
        <f>Database!OTD28</f>
        <v>0</v>
      </c>
      <c r="OSL4">
        <f>Database!OTE28</f>
        <v>0</v>
      </c>
      <c r="OSM4">
        <f>Database!OTF28</f>
        <v>0</v>
      </c>
      <c r="OSN4">
        <f>Database!OTG28</f>
        <v>0</v>
      </c>
      <c r="OSO4">
        <f>Database!OTH28</f>
        <v>0</v>
      </c>
      <c r="OSP4">
        <f>Database!OTI28</f>
        <v>0</v>
      </c>
      <c r="OSQ4">
        <f>Database!OTJ28</f>
        <v>0</v>
      </c>
      <c r="OSR4">
        <f>Database!OTK28</f>
        <v>0</v>
      </c>
      <c r="OSS4">
        <f>Database!OTL28</f>
        <v>0</v>
      </c>
      <c r="OST4">
        <f>Database!OTM28</f>
        <v>0</v>
      </c>
      <c r="OSU4">
        <f>Database!OTN28</f>
        <v>0</v>
      </c>
      <c r="OSV4">
        <f>Database!OTO28</f>
        <v>0</v>
      </c>
      <c r="OSW4">
        <f>Database!OTP28</f>
        <v>0</v>
      </c>
      <c r="OSX4">
        <f>Database!OTQ28</f>
        <v>0</v>
      </c>
      <c r="OSY4">
        <f>Database!OTR28</f>
        <v>0</v>
      </c>
      <c r="OSZ4">
        <f>Database!OTS28</f>
        <v>0</v>
      </c>
      <c r="OTA4">
        <f>Database!OTT28</f>
        <v>0</v>
      </c>
      <c r="OTB4">
        <f>Database!OTU28</f>
        <v>0</v>
      </c>
      <c r="OTC4">
        <f>Database!OTV28</f>
        <v>0</v>
      </c>
      <c r="OTD4">
        <f>Database!OTW28</f>
        <v>0</v>
      </c>
      <c r="OTE4">
        <f>Database!OTX28</f>
        <v>0</v>
      </c>
      <c r="OTF4">
        <f>Database!OTY28</f>
        <v>0</v>
      </c>
      <c r="OTG4">
        <f>Database!OTZ28</f>
        <v>0</v>
      </c>
      <c r="OTH4">
        <f>Database!OUA28</f>
        <v>0</v>
      </c>
      <c r="OTI4">
        <f>Database!OUB28</f>
        <v>0</v>
      </c>
      <c r="OTJ4">
        <f>Database!OUC28</f>
        <v>0</v>
      </c>
      <c r="OTK4">
        <f>Database!OUD28</f>
        <v>0</v>
      </c>
      <c r="OTL4">
        <f>Database!OUE28</f>
        <v>0</v>
      </c>
      <c r="OTM4">
        <f>Database!OUF28</f>
        <v>0</v>
      </c>
      <c r="OTN4">
        <f>Database!OUG28</f>
        <v>0</v>
      </c>
      <c r="OTO4">
        <f>Database!OUH28</f>
        <v>0</v>
      </c>
      <c r="OTP4">
        <f>Database!OUI28</f>
        <v>0</v>
      </c>
      <c r="OTQ4">
        <f>Database!OUJ28</f>
        <v>0</v>
      </c>
      <c r="OTR4">
        <f>Database!OUK28</f>
        <v>0</v>
      </c>
      <c r="OTS4">
        <f>Database!OUL28</f>
        <v>0</v>
      </c>
      <c r="OTT4">
        <f>Database!OUM28</f>
        <v>0</v>
      </c>
      <c r="OTU4">
        <f>Database!OUN28</f>
        <v>0</v>
      </c>
      <c r="OTV4">
        <f>Database!OUO28</f>
        <v>0</v>
      </c>
      <c r="OTW4">
        <f>Database!OUP28</f>
        <v>0</v>
      </c>
      <c r="OTX4">
        <f>Database!OUQ28</f>
        <v>0</v>
      </c>
      <c r="OTY4">
        <f>Database!OUR28</f>
        <v>0</v>
      </c>
      <c r="OTZ4">
        <f>Database!OUS28</f>
        <v>0</v>
      </c>
      <c r="OUA4">
        <f>Database!OUT28</f>
        <v>0</v>
      </c>
      <c r="OUB4">
        <f>Database!OUU28</f>
        <v>0</v>
      </c>
      <c r="OUC4">
        <f>Database!OUV28</f>
        <v>0</v>
      </c>
      <c r="OUD4">
        <f>Database!OUW28</f>
        <v>0</v>
      </c>
      <c r="OUE4">
        <f>Database!OUX28</f>
        <v>0</v>
      </c>
      <c r="OUF4">
        <f>Database!OUY28</f>
        <v>0</v>
      </c>
      <c r="OUG4">
        <f>Database!OUZ28</f>
        <v>0</v>
      </c>
      <c r="OUH4">
        <f>Database!OVA28</f>
        <v>0</v>
      </c>
      <c r="OUI4">
        <f>Database!OVB28</f>
        <v>0</v>
      </c>
      <c r="OUJ4">
        <f>Database!OVC28</f>
        <v>0</v>
      </c>
      <c r="OUK4">
        <f>Database!OVD28</f>
        <v>0</v>
      </c>
      <c r="OUL4">
        <f>Database!OVE28</f>
        <v>0</v>
      </c>
      <c r="OUM4">
        <f>Database!OVF28</f>
        <v>0</v>
      </c>
      <c r="OUN4">
        <f>Database!OVG28</f>
        <v>0</v>
      </c>
      <c r="OUO4">
        <f>Database!OVH28</f>
        <v>0</v>
      </c>
      <c r="OUP4">
        <f>Database!OVI28</f>
        <v>0</v>
      </c>
      <c r="OUQ4">
        <f>Database!OVJ28</f>
        <v>0</v>
      </c>
      <c r="OUR4">
        <f>Database!OVK28</f>
        <v>0</v>
      </c>
      <c r="OUS4">
        <f>Database!OVL28</f>
        <v>0</v>
      </c>
      <c r="OUT4">
        <f>Database!OVM28</f>
        <v>0</v>
      </c>
      <c r="OUU4">
        <f>Database!OVN28</f>
        <v>0</v>
      </c>
      <c r="OUV4">
        <f>Database!OVO28</f>
        <v>0</v>
      </c>
      <c r="OUW4">
        <f>Database!OVP28</f>
        <v>0</v>
      </c>
      <c r="OUX4">
        <f>Database!OVQ28</f>
        <v>0</v>
      </c>
      <c r="OUY4">
        <f>Database!OVR28</f>
        <v>0</v>
      </c>
      <c r="OUZ4">
        <f>Database!OVS28</f>
        <v>0</v>
      </c>
      <c r="OVA4">
        <f>Database!OVT28</f>
        <v>0</v>
      </c>
      <c r="OVB4">
        <f>Database!OVU28</f>
        <v>0</v>
      </c>
      <c r="OVC4">
        <f>Database!OVV28</f>
        <v>0</v>
      </c>
      <c r="OVD4">
        <f>Database!OVW28</f>
        <v>0</v>
      </c>
      <c r="OVE4">
        <f>Database!OVX28</f>
        <v>0</v>
      </c>
      <c r="OVF4">
        <f>Database!OVY28</f>
        <v>0</v>
      </c>
      <c r="OVG4">
        <f>Database!OVZ28</f>
        <v>0</v>
      </c>
      <c r="OVH4">
        <f>Database!OWA28</f>
        <v>0</v>
      </c>
      <c r="OVI4">
        <f>Database!OWB28</f>
        <v>0</v>
      </c>
      <c r="OVJ4">
        <f>Database!OWC28</f>
        <v>0</v>
      </c>
      <c r="OVK4">
        <f>Database!OWD28</f>
        <v>0</v>
      </c>
      <c r="OVL4">
        <f>Database!OWE28</f>
        <v>0</v>
      </c>
      <c r="OVM4">
        <f>Database!OWF28</f>
        <v>0</v>
      </c>
      <c r="OVN4">
        <f>Database!OWG28</f>
        <v>0</v>
      </c>
      <c r="OVO4">
        <f>Database!OWH28</f>
        <v>0</v>
      </c>
      <c r="OVP4">
        <f>Database!OWI28</f>
        <v>0</v>
      </c>
      <c r="OVQ4">
        <f>Database!OWJ28</f>
        <v>0</v>
      </c>
      <c r="OVR4">
        <f>Database!OWK28</f>
        <v>0</v>
      </c>
      <c r="OVS4">
        <f>Database!OWL28</f>
        <v>0</v>
      </c>
      <c r="OVT4">
        <f>Database!OWM28</f>
        <v>0</v>
      </c>
      <c r="OVU4">
        <f>Database!OWN28</f>
        <v>0</v>
      </c>
      <c r="OVV4">
        <f>Database!OWO28</f>
        <v>0</v>
      </c>
      <c r="OVW4">
        <f>Database!OWP28</f>
        <v>0</v>
      </c>
      <c r="OVX4">
        <f>Database!OWQ28</f>
        <v>0</v>
      </c>
      <c r="OVY4">
        <f>Database!OWR28</f>
        <v>0</v>
      </c>
      <c r="OVZ4">
        <f>Database!OWS28</f>
        <v>0</v>
      </c>
      <c r="OWA4">
        <f>Database!OWT28</f>
        <v>0</v>
      </c>
      <c r="OWB4">
        <f>Database!OWU28</f>
        <v>0</v>
      </c>
      <c r="OWC4">
        <f>Database!OWV28</f>
        <v>0</v>
      </c>
      <c r="OWD4">
        <f>Database!OWW28</f>
        <v>0</v>
      </c>
      <c r="OWE4">
        <f>Database!OWX28</f>
        <v>0</v>
      </c>
      <c r="OWF4">
        <f>Database!OWY28</f>
        <v>0</v>
      </c>
      <c r="OWG4">
        <f>Database!OWZ28</f>
        <v>0</v>
      </c>
      <c r="OWH4">
        <f>Database!OXA28</f>
        <v>0</v>
      </c>
      <c r="OWI4">
        <f>Database!OXB28</f>
        <v>0</v>
      </c>
      <c r="OWJ4">
        <f>Database!OXC28</f>
        <v>0</v>
      </c>
      <c r="OWK4">
        <f>Database!OXD28</f>
        <v>0</v>
      </c>
      <c r="OWL4">
        <f>Database!OXE28</f>
        <v>0</v>
      </c>
      <c r="OWM4">
        <f>Database!OXF28</f>
        <v>0</v>
      </c>
      <c r="OWN4">
        <f>Database!OXG28</f>
        <v>0</v>
      </c>
      <c r="OWO4">
        <f>Database!OXH28</f>
        <v>0</v>
      </c>
      <c r="OWP4">
        <f>Database!OXI28</f>
        <v>0</v>
      </c>
      <c r="OWQ4">
        <f>Database!OXJ28</f>
        <v>0</v>
      </c>
      <c r="OWR4">
        <f>Database!OXK28</f>
        <v>0</v>
      </c>
      <c r="OWS4">
        <f>Database!OXL28</f>
        <v>0</v>
      </c>
      <c r="OWT4">
        <f>Database!OXM28</f>
        <v>0</v>
      </c>
      <c r="OWU4">
        <f>Database!OXN28</f>
        <v>0</v>
      </c>
      <c r="OWV4">
        <f>Database!OXO28</f>
        <v>0</v>
      </c>
      <c r="OWW4">
        <f>Database!OXP28</f>
        <v>0</v>
      </c>
      <c r="OWX4">
        <f>Database!OXQ28</f>
        <v>0</v>
      </c>
      <c r="OWY4">
        <f>Database!OXR28</f>
        <v>0</v>
      </c>
      <c r="OWZ4">
        <f>Database!OXS28</f>
        <v>0</v>
      </c>
      <c r="OXA4">
        <f>Database!OXT28</f>
        <v>0</v>
      </c>
      <c r="OXB4">
        <f>Database!OXU28</f>
        <v>0</v>
      </c>
      <c r="OXC4">
        <f>Database!OXV28</f>
        <v>0</v>
      </c>
      <c r="OXD4">
        <f>Database!OXW28</f>
        <v>0</v>
      </c>
      <c r="OXE4">
        <f>Database!OXX28</f>
        <v>0</v>
      </c>
      <c r="OXF4">
        <f>Database!OXY28</f>
        <v>0</v>
      </c>
      <c r="OXG4">
        <f>Database!OXZ28</f>
        <v>0</v>
      </c>
      <c r="OXH4">
        <f>Database!OYA28</f>
        <v>0</v>
      </c>
      <c r="OXI4">
        <f>Database!OYB28</f>
        <v>0</v>
      </c>
      <c r="OXJ4">
        <f>Database!OYC28</f>
        <v>0</v>
      </c>
      <c r="OXK4">
        <f>Database!OYD28</f>
        <v>0</v>
      </c>
      <c r="OXL4">
        <f>Database!OYE28</f>
        <v>0</v>
      </c>
      <c r="OXM4">
        <f>Database!OYF28</f>
        <v>0</v>
      </c>
      <c r="OXN4">
        <f>Database!OYG28</f>
        <v>0</v>
      </c>
      <c r="OXO4">
        <f>Database!OYH28</f>
        <v>0</v>
      </c>
      <c r="OXP4">
        <f>Database!OYI28</f>
        <v>0</v>
      </c>
      <c r="OXQ4">
        <f>Database!OYJ28</f>
        <v>0</v>
      </c>
      <c r="OXR4">
        <f>Database!OYK28</f>
        <v>0</v>
      </c>
      <c r="OXS4">
        <f>Database!OYL28</f>
        <v>0</v>
      </c>
      <c r="OXT4">
        <f>Database!OYM28</f>
        <v>0</v>
      </c>
      <c r="OXU4">
        <f>Database!OYN28</f>
        <v>0</v>
      </c>
      <c r="OXV4">
        <f>Database!OYO28</f>
        <v>0</v>
      </c>
      <c r="OXW4">
        <f>Database!OYP28</f>
        <v>0</v>
      </c>
      <c r="OXX4">
        <f>Database!OYQ28</f>
        <v>0</v>
      </c>
      <c r="OXY4">
        <f>Database!OYR28</f>
        <v>0</v>
      </c>
      <c r="OXZ4">
        <f>Database!OYS28</f>
        <v>0</v>
      </c>
      <c r="OYA4">
        <f>Database!OYT28</f>
        <v>0</v>
      </c>
      <c r="OYB4">
        <f>Database!OYU28</f>
        <v>0</v>
      </c>
      <c r="OYC4">
        <f>Database!OYV28</f>
        <v>0</v>
      </c>
      <c r="OYD4">
        <f>Database!OYW28</f>
        <v>0</v>
      </c>
      <c r="OYE4">
        <f>Database!OYX28</f>
        <v>0</v>
      </c>
      <c r="OYF4">
        <f>Database!OYY28</f>
        <v>0</v>
      </c>
      <c r="OYG4">
        <f>Database!OYZ28</f>
        <v>0</v>
      </c>
      <c r="OYH4">
        <f>Database!OZA28</f>
        <v>0</v>
      </c>
      <c r="OYI4">
        <f>Database!OZB28</f>
        <v>0</v>
      </c>
      <c r="OYJ4">
        <f>Database!OZC28</f>
        <v>0</v>
      </c>
      <c r="OYK4">
        <f>Database!OZD28</f>
        <v>0</v>
      </c>
      <c r="OYL4">
        <f>Database!OZE28</f>
        <v>0</v>
      </c>
      <c r="OYM4">
        <f>Database!OZF28</f>
        <v>0</v>
      </c>
      <c r="OYN4">
        <f>Database!OZG28</f>
        <v>0</v>
      </c>
      <c r="OYO4">
        <f>Database!OZH28</f>
        <v>0</v>
      </c>
      <c r="OYP4">
        <f>Database!OZI28</f>
        <v>0</v>
      </c>
      <c r="OYQ4">
        <f>Database!OZJ28</f>
        <v>0</v>
      </c>
      <c r="OYR4">
        <f>Database!OZK28</f>
        <v>0</v>
      </c>
      <c r="OYS4">
        <f>Database!OZL28</f>
        <v>0</v>
      </c>
      <c r="OYT4">
        <f>Database!OZM28</f>
        <v>0</v>
      </c>
      <c r="OYU4">
        <f>Database!OZN28</f>
        <v>0</v>
      </c>
      <c r="OYV4">
        <f>Database!OZO28</f>
        <v>0</v>
      </c>
      <c r="OYW4">
        <f>Database!OZP28</f>
        <v>0</v>
      </c>
      <c r="OYX4">
        <f>Database!OZQ28</f>
        <v>0</v>
      </c>
      <c r="OYY4">
        <f>Database!OZR28</f>
        <v>0</v>
      </c>
      <c r="OYZ4">
        <f>Database!OZS28</f>
        <v>0</v>
      </c>
      <c r="OZA4">
        <f>Database!OZT28</f>
        <v>0</v>
      </c>
      <c r="OZB4">
        <f>Database!OZU28</f>
        <v>0</v>
      </c>
      <c r="OZC4">
        <f>Database!OZV28</f>
        <v>0</v>
      </c>
      <c r="OZD4">
        <f>Database!OZW28</f>
        <v>0</v>
      </c>
      <c r="OZE4">
        <f>Database!OZX28</f>
        <v>0</v>
      </c>
      <c r="OZF4">
        <f>Database!OZY28</f>
        <v>0</v>
      </c>
      <c r="OZG4">
        <f>Database!OZZ28</f>
        <v>0</v>
      </c>
      <c r="OZH4">
        <f>Database!PAA28</f>
        <v>0</v>
      </c>
      <c r="OZI4">
        <f>Database!PAB28</f>
        <v>0</v>
      </c>
      <c r="OZJ4">
        <f>Database!PAC28</f>
        <v>0</v>
      </c>
      <c r="OZK4">
        <f>Database!PAD28</f>
        <v>0</v>
      </c>
      <c r="OZL4">
        <f>Database!PAE28</f>
        <v>0</v>
      </c>
      <c r="OZM4">
        <f>Database!PAF28</f>
        <v>0</v>
      </c>
      <c r="OZN4">
        <f>Database!PAG28</f>
        <v>0</v>
      </c>
      <c r="OZO4">
        <f>Database!PAH28</f>
        <v>0</v>
      </c>
      <c r="OZP4">
        <f>Database!PAI28</f>
        <v>0</v>
      </c>
      <c r="OZQ4">
        <f>Database!PAJ28</f>
        <v>0</v>
      </c>
      <c r="OZR4">
        <f>Database!PAK28</f>
        <v>0</v>
      </c>
      <c r="OZS4">
        <f>Database!PAL28</f>
        <v>0</v>
      </c>
      <c r="OZT4">
        <f>Database!PAM28</f>
        <v>0</v>
      </c>
      <c r="OZU4">
        <f>Database!PAN28</f>
        <v>0</v>
      </c>
      <c r="OZV4">
        <f>Database!PAO28</f>
        <v>0</v>
      </c>
      <c r="OZW4">
        <f>Database!PAP28</f>
        <v>0</v>
      </c>
      <c r="OZX4">
        <f>Database!PAQ28</f>
        <v>0</v>
      </c>
      <c r="OZY4">
        <f>Database!PAR28</f>
        <v>0</v>
      </c>
      <c r="OZZ4">
        <f>Database!PAS28</f>
        <v>0</v>
      </c>
      <c r="PAA4">
        <f>Database!PAT28</f>
        <v>0</v>
      </c>
      <c r="PAB4">
        <f>Database!PAU28</f>
        <v>0</v>
      </c>
      <c r="PAC4">
        <f>Database!PAV28</f>
        <v>0</v>
      </c>
      <c r="PAD4">
        <f>Database!PAW28</f>
        <v>0</v>
      </c>
      <c r="PAE4">
        <f>Database!PAX28</f>
        <v>0</v>
      </c>
      <c r="PAF4">
        <f>Database!PAY28</f>
        <v>0</v>
      </c>
      <c r="PAG4">
        <f>Database!PAZ28</f>
        <v>0</v>
      </c>
      <c r="PAH4">
        <f>Database!PBA28</f>
        <v>0</v>
      </c>
      <c r="PAI4">
        <f>Database!PBB28</f>
        <v>0</v>
      </c>
      <c r="PAJ4">
        <f>Database!PBC28</f>
        <v>0</v>
      </c>
      <c r="PAK4">
        <f>Database!PBD28</f>
        <v>0</v>
      </c>
      <c r="PAL4">
        <f>Database!PBE28</f>
        <v>0</v>
      </c>
      <c r="PAM4">
        <f>Database!PBF28</f>
        <v>0</v>
      </c>
      <c r="PAN4">
        <f>Database!PBG28</f>
        <v>0</v>
      </c>
      <c r="PAO4">
        <f>Database!PBH28</f>
        <v>0</v>
      </c>
      <c r="PAP4">
        <f>Database!PBI28</f>
        <v>0</v>
      </c>
      <c r="PAQ4">
        <f>Database!PBJ28</f>
        <v>0</v>
      </c>
      <c r="PAR4">
        <f>Database!PBK28</f>
        <v>0</v>
      </c>
      <c r="PAS4">
        <f>Database!PBL28</f>
        <v>0</v>
      </c>
      <c r="PAT4">
        <f>Database!PBM28</f>
        <v>0</v>
      </c>
      <c r="PAU4">
        <f>Database!PBN28</f>
        <v>0</v>
      </c>
      <c r="PAV4">
        <f>Database!PBO28</f>
        <v>0</v>
      </c>
      <c r="PAW4">
        <f>Database!PBP28</f>
        <v>0</v>
      </c>
      <c r="PAX4">
        <f>Database!PBQ28</f>
        <v>0</v>
      </c>
      <c r="PAY4">
        <f>Database!PBR28</f>
        <v>0</v>
      </c>
      <c r="PAZ4">
        <f>Database!PBS28</f>
        <v>0</v>
      </c>
      <c r="PBA4">
        <f>Database!PBT28</f>
        <v>0</v>
      </c>
      <c r="PBB4">
        <f>Database!PBU28</f>
        <v>0</v>
      </c>
      <c r="PBC4">
        <f>Database!PBV28</f>
        <v>0</v>
      </c>
      <c r="PBD4">
        <f>Database!PBW28</f>
        <v>0</v>
      </c>
      <c r="PBE4">
        <f>Database!PBX28</f>
        <v>0</v>
      </c>
      <c r="PBF4">
        <f>Database!PBY28</f>
        <v>0</v>
      </c>
      <c r="PBG4">
        <f>Database!PBZ28</f>
        <v>0</v>
      </c>
      <c r="PBH4">
        <f>Database!PCA28</f>
        <v>0</v>
      </c>
      <c r="PBI4">
        <f>Database!PCB28</f>
        <v>0</v>
      </c>
      <c r="PBJ4">
        <f>Database!PCC28</f>
        <v>0</v>
      </c>
      <c r="PBK4">
        <f>Database!PCD28</f>
        <v>0</v>
      </c>
      <c r="PBL4">
        <f>Database!PCE28</f>
        <v>0</v>
      </c>
      <c r="PBM4">
        <f>Database!PCF28</f>
        <v>0</v>
      </c>
      <c r="PBN4">
        <f>Database!PCG28</f>
        <v>0</v>
      </c>
      <c r="PBO4">
        <f>Database!PCH28</f>
        <v>0</v>
      </c>
      <c r="PBP4">
        <f>Database!PCI28</f>
        <v>0</v>
      </c>
      <c r="PBQ4">
        <f>Database!PCJ28</f>
        <v>0</v>
      </c>
      <c r="PBR4">
        <f>Database!PCK28</f>
        <v>0</v>
      </c>
      <c r="PBS4">
        <f>Database!PCL28</f>
        <v>0</v>
      </c>
      <c r="PBT4">
        <f>Database!PCM28</f>
        <v>0</v>
      </c>
      <c r="PBU4">
        <f>Database!PCN28</f>
        <v>0</v>
      </c>
      <c r="PBV4">
        <f>Database!PCO28</f>
        <v>0</v>
      </c>
      <c r="PBW4">
        <f>Database!PCP28</f>
        <v>0</v>
      </c>
      <c r="PBX4">
        <f>Database!PCQ28</f>
        <v>0</v>
      </c>
      <c r="PBY4">
        <f>Database!PCR28</f>
        <v>0</v>
      </c>
      <c r="PBZ4">
        <f>Database!PCS28</f>
        <v>0</v>
      </c>
      <c r="PCA4">
        <f>Database!PCT28</f>
        <v>0</v>
      </c>
      <c r="PCB4">
        <f>Database!PCU28</f>
        <v>0</v>
      </c>
      <c r="PCC4">
        <f>Database!PCV28</f>
        <v>0</v>
      </c>
      <c r="PCD4">
        <f>Database!PCW28</f>
        <v>0</v>
      </c>
      <c r="PCE4">
        <f>Database!PCX28</f>
        <v>0</v>
      </c>
      <c r="PCF4">
        <f>Database!PCY28</f>
        <v>0</v>
      </c>
      <c r="PCG4">
        <f>Database!PCZ28</f>
        <v>0</v>
      </c>
      <c r="PCH4">
        <f>Database!PDA28</f>
        <v>0</v>
      </c>
      <c r="PCI4">
        <f>Database!PDB28</f>
        <v>0</v>
      </c>
      <c r="PCJ4">
        <f>Database!PDC28</f>
        <v>0</v>
      </c>
      <c r="PCK4">
        <f>Database!PDD28</f>
        <v>0</v>
      </c>
      <c r="PCL4">
        <f>Database!PDE28</f>
        <v>0</v>
      </c>
      <c r="PCM4">
        <f>Database!PDF28</f>
        <v>0</v>
      </c>
      <c r="PCN4">
        <f>Database!PDG28</f>
        <v>0</v>
      </c>
      <c r="PCO4">
        <f>Database!PDH28</f>
        <v>0</v>
      </c>
      <c r="PCP4">
        <f>Database!PDI28</f>
        <v>0</v>
      </c>
      <c r="PCQ4">
        <f>Database!PDJ28</f>
        <v>0</v>
      </c>
      <c r="PCR4">
        <f>Database!PDK28</f>
        <v>0</v>
      </c>
      <c r="PCS4">
        <f>Database!PDL28</f>
        <v>0</v>
      </c>
      <c r="PCT4">
        <f>Database!PDM28</f>
        <v>0</v>
      </c>
      <c r="PCU4">
        <f>Database!PDN28</f>
        <v>0</v>
      </c>
      <c r="PCV4">
        <f>Database!PDO28</f>
        <v>0</v>
      </c>
      <c r="PCW4">
        <f>Database!PDP28</f>
        <v>0</v>
      </c>
      <c r="PCX4">
        <f>Database!PDQ28</f>
        <v>0</v>
      </c>
      <c r="PCY4">
        <f>Database!PDR28</f>
        <v>0</v>
      </c>
      <c r="PCZ4">
        <f>Database!PDS28</f>
        <v>0</v>
      </c>
      <c r="PDA4">
        <f>Database!PDT28</f>
        <v>0</v>
      </c>
      <c r="PDB4">
        <f>Database!PDU28</f>
        <v>0</v>
      </c>
      <c r="PDC4">
        <f>Database!PDV28</f>
        <v>0</v>
      </c>
      <c r="PDD4">
        <f>Database!PDW28</f>
        <v>0</v>
      </c>
      <c r="PDE4">
        <f>Database!PDX28</f>
        <v>0</v>
      </c>
      <c r="PDF4">
        <f>Database!PDY28</f>
        <v>0</v>
      </c>
      <c r="PDG4">
        <f>Database!PDZ28</f>
        <v>0</v>
      </c>
      <c r="PDH4">
        <f>Database!PEA28</f>
        <v>0</v>
      </c>
      <c r="PDI4">
        <f>Database!PEB28</f>
        <v>0</v>
      </c>
      <c r="PDJ4">
        <f>Database!PEC28</f>
        <v>0</v>
      </c>
      <c r="PDK4">
        <f>Database!PED28</f>
        <v>0</v>
      </c>
      <c r="PDL4">
        <f>Database!PEE28</f>
        <v>0</v>
      </c>
      <c r="PDM4">
        <f>Database!PEF28</f>
        <v>0</v>
      </c>
      <c r="PDN4">
        <f>Database!PEG28</f>
        <v>0</v>
      </c>
      <c r="PDO4">
        <f>Database!PEH28</f>
        <v>0</v>
      </c>
      <c r="PDP4">
        <f>Database!PEI28</f>
        <v>0</v>
      </c>
      <c r="PDQ4">
        <f>Database!PEJ28</f>
        <v>0</v>
      </c>
      <c r="PDR4">
        <f>Database!PEK28</f>
        <v>0</v>
      </c>
      <c r="PDS4">
        <f>Database!PEL28</f>
        <v>0</v>
      </c>
      <c r="PDT4">
        <f>Database!PEM28</f>
        <v>0</v>
      </c>
      <c r="PDU4">
        <f>Database!PEN28</f>
        <v>0</v>
      </c>
      <c r="PDV4">
        <f>Database!PEO28</f>
        <v>0</v>
      </c>
      <c r="PDW4">
        <f>Database!PEP28</f>
        <v>0</v>
      </c>
      <c r="PDX4">
        <f>Database!PEQ28</f>
        <v>0</v>
      </c>
      <c r="PDY4">
        <f>Database!PER28</f>
        <v>0</v>
      </c>
      <c r="PDZ4">
        <f>Database!PES28</f>
        <v>0</v>
      </c>
      <c r="PEA4">
        <f>Database!PET28</f>
        <v>0</v>
      </c>
      <c r="PEB4">
        <f>Database!PEU28</f>
        <v>0</v>
      </c>
      <c r="PEC4">
        <f>Database!PEV28</f>
        <v>0</v>
      </c>
      <c r="PED4">
        <f>Database!PEW28</f>
        <v>0</v>
      </c>
      <c r="PEE4">
        <f>Database!PEX28</f>
        <v>0</v>
      </c>
      <c r="PEF4">
        <f>Database!PEY28</f>
        <v>0</v>
      </c>
      <c r="PEG4">
        <f>Database!PEZ28</f>
        <v>0</v>
      </c>
      <c r="PEH4">
        <f>Database!PFA28</f>
        <v>0</v>
      </c>
      <c r="PEI4">
        <f>Database!PFB28</f>
        <v>0</v>
      </c>
      <c r="PEJ4">
        <f>Database!PFC28</f>
        <v>0</v>
      </c>
      <c r="PEK4">
        <f>Database!PFD28</f>
        <v>0</v>
      </c>
      <c r="PEL4">
        <f>Database!PFE28</f>
        <v>0</v>
      </c>
      <c r="PEM4">
        <f>Database!PFF28</f>
        <v>0</v>
      </c>
      <c r="PEN4">
        <f>Database!PFG28</f>
        <v>0</v>
      </c>
      <c r="PEO4">
        <f>Database!PFH28</f>
        <v>0</v>
      </c>
      <c r="PEP4">
        <f>Database!PFI28</f>
        <v>0</v>
      </c>
      <c r="PEQ4">
        <f>Database!PFJ28</f>
        <v>0</v>
      </c>
      <c r="PER4">
        <f>Database!PFK28</f>
        <v>0</v>
      </c>
      <c r="PES4">
        <f>Database!PFL28</f>
        <v>0</v>
      </c>
      <c r="PET4">
        <f>Database!PFM28</f>
        <v>0</v>
      </c>
      <c r="PEU4">
        <f>Database!PFN28</f>
        <v>0</v>
      </c>
      <c r="PEV4">
        <f>Database!PFO28</f>
        <v>0</v>
      </c>
      <c r="PEW4">
        <f>Database!PFP28</f>
        <v>0</v>
      </c>
      <c r="PEX4">
        <f>Database!PFQ28</f>
        <v>0</v>
      </c>
      <c r="PEY4">
        <f>Database!PFR28</f>
        <v>0</v>
      </c>
      <c r="PEZ4">
        <f>Database!PFS28</f>
        <v>0</v>
      </c>
      <c r="PFA4">
        <f>Database!PFT28</f>
        <v>0</v>
      </c>
      <c r="PFB4">
        <f>Database!PFU28</f>
        <v>0</v>
      </c>
      <c r="PFC4">
        <f>Database!PFV28</f>
        <v>0</v>
      </c>
      <c r="PFD4">
        <f>Database!PFW28</f>
        <v>0</v>
      </c>
      <c r="PFE4">
        <f>Database!PFX28</f>
        <v>0</v>
      </c>
      <c r="PFF4">
        <f>Database!PFY28</f>
        <v>0</v>
      </c>
      <c r="PFG4">
        <f>Database!PFZ28</f>
        <v>0</v>
      </c>
      <c r="PFH4">
        <f>Database!PGA28</f>
        <v>0</v>
      </c>
      <c r="PFI4">
        <f>Database!PGB28</f>
        <v>0</v>
      </c>
      <c r="PFJ4">
        <f>Database!PGC28</f>
        <v>0</v>
      </c>
      <c r="PFK4">
        <f>Database!PGD28</f>
        <v>0</v>
      </c>
      <c r="PFL4">
        <f>Database!PGE28</f>
        <v>0</v>
      </c>
      <c r="PFM4">
        <f>Database!PGF28</f>
        <v>0</v>
      </c>
      <c r="PFN4">
        <f>Database!PGG28</f>
        <v>0</v>
      </c>
      <c r="PFO4">
        <f>Database!PGH28</f>
        <v>0</v>
      </c>
      <c r="PFP4">
        <f>Database!PGI28</f>
        <v>0</v>
      </c>
      <c r="PFQ4">
        <f>Database!PGJ28</f>
        <v>0</v>
      </c>
      <c r="PFR4">
        <f>Database!PGK28</f>
        <v>0</v>
      </c>
      <c r="PFS4">
        <f>Database!PGL28</f>
        <v>0</v>
      </c>
      <c r="PFT4">
        <f>Database!PGM28</f>
        <v>0</v>
      </c>
      <c r="PFU4">
        <f>Database!PGN28</f>
        <v>0</v>
      </c>
      <c r="PFV4">
        <f>Database!PGO28</f>
        <v>0</v>
      </c>
      <c r="PFW4">
        <f>Database!PGP28</f>
        <v>0</v>
      </c>
      <c r="PFX4">
        <f>Database!PGQ28</f>
        <v>0</v>
      </c>
      <c r="PFY4">
        <f>Database!PGR28</f>
        <v>0</v>
      </c>
      <c r="PFZ4">
        <f>Database!PGS28</f>
        <v>0</v>
      </c>
      <c r="PGA4">
        <f>Database!PGT28</f>
        <v>0</v>
      </c>
      <c r="PGB4">
        <f>Database!PGU28</f>
        <v>0</v>
      </c>
      <c r="PGC4">
        <f>Database!PGV28</f>
        <v>0</v>
      </c>
      <c r="PGD4">
        <f>Database!PGW28</f>
        <v>0</v>
      </c>
      <c r="PGE4">
        <f>Database!PGX28</f>
        <v>0</v>
      </c>
      <c r="PGF4">
        <f>Database!PGY28</f>
        <v>0</v>
      </c>
      <c r="PGG4">
        <f>Database!PGZ28</f>
        <v>0</v>
      </c>
      <c r="PGH4">
        <f>Database!PHA28</f>
        <v>0</v>
      </c>
      <c r="PGI4">
        <f>Database!PHB28</f>
        <v>0</v>
      </c>
      <c r="PGJ4">
        <f>Database!PHC28</f>
        <v>0</v>
      </c>
      <c r="PGK4">
        <f>Database!PHD28</f>
        <v>0</v>
      </c>
      <c r="PGL4">
        <f>Database!PHE28</f>
        <v>0</v>
      </c>
      <c r="PGM4">
        <f>Database!PHF28</f>
        <v>0</v>
      </c>
      <c r="PGN4">
        <f>Database!PHG28</f>
        <v>0</v>
      </c>
      <c r="PGO4">
        <f>Database!PHH28</f>
        <v>0</v>
      </c>
      <c r="PGP4">
        <f>Database!PHI28</f>
        <v>0</v>
      </c>
      <c r="PGQ4">
        <f>Database!PHJ28</f>
        <v>0</v>
      </c>
      <c r="PGR4">
        <f>Database!PHK28</f>
        <v>0</v>
      </c>
      <c r="PGS4">
        <f>Database!PHL28</f>
        <v>0</v>
      </c>
      <c r="PGT4">
        <f>Database!PHM28</f>
        <v>0</v>
      </c>
      <c r="PGU4">
        <f>Database!PHN28</f>
        <v>0</v>
      </c>
      <c r="PGV4">
        <f>Database!PHO28</f>
        <v>0</v>
      </c>
      <c r="PGW4">
        <f>Database!PHP28</f>
        <v>0</v>
      </c>
      <c r="PGX4">
        <f>Database!PHQ28</f>
        <v>0</v>
      </c>
      <c r="PGY4">
        <f>Database!PHR28</f>
        <v>0</v>
      </c>
      <c r="PGZ4">
        <f>Database!PHS28</f>
        <v>0</v>
      </c>
      <c r="PHA4">
        <f>Database!PHT28</f>
        <v>0</v>
      </c>
      <c r="PHB4">
        <f>Database!PHU28</f>
        <v>0</v>
      </c>
      <c r="PHC4">
        <f>Database!PHV28</f>
        <v>0</v>
      </c>
      <c r="PHD4">
        <f>Database!PHW28</f>
        <v>0</v>
      </c>
      <c r="PHE4">
        <f>Database!PHX28</f>
        <v>0</v>
      </c>
      <c r="PHF4">
        <f>Database!PHY28</f>
        <v>0</v>
      </c>
      <c r="PHG4">
        <f>Database!PHZ28</f>
        <v>0</v>
      </c>
      <c r="PHH4">
        <f>Database!PIA28</f>
        <v>0</v>
      </c>
      <c r="PHI4">
        <f>Database!PIB28</f>
        <v>0</v>
      </c>
      <c r="PHJ4">
        <f>Database!PIC28</f>
        <v>0</v>
      </c>
      <c r="PHK4">
        <f>Database!PID28</f>
        <v>0</v>
      </c>
      <c r="PHL4">
        <f>Database!PIE28</f>
        <v>0</v>
      </c>
      <c r="PHM4">
        <f>Database!PIF28</f>
        <v>0</v>
      </c>
      <c r="PHN4">
        <f>Database!PIG28</f>
        <v>0</v>
      </c>
      <c r="PHO4">
        <f>Database!PIH28</f>
        <v>0</v>
      </c>
      <c r="PHP4">
        <f>Database!PII28</f>
        <v>0</v>
      </c>
      <c r="PHQ4">
        <f>Database!PIJ28</f>
        <v>0</v>
      </c>
      <c r="PHR4">
        <f>Database!PIK28</f>
        <v>0</v>
      </c>
      <c r="PHS4">
        <f>Database!PIL28</f>
        <v>0</v>
      </c>
      <c r="PHT4">
        <f>Database!PIM28</f>
        <v>0</v>
      </c>
      <c r="PHU4">
        <f>Database!PIN28</f>
        <v>0</v>
      </c>
      <c r="PHV4">
        <f>Database!PIO28</f>
        <v>0</v>
      </c>
      <c r="PHW4">
        <f>Database!PIP28</f>
        <v>0</v>
      </c>
      <c r="PHX4">
        <f>Database!PIQ28</f>
        <v>0</v>
      </c>
      <c r="PHY4">
        <f>Database!PIR28</f>
        <v>0</v>
      </c>
      <c r="PHZ4">
        <f>Database!PIS28</f>
        <v>0</v>
      </c>
      <c r="PIA4">
        <f>Database!PIT28</f>
        <v>0</v>
      </c>
      <c r="PIB4">
        <f>Database!PIU28</f>
        <v>0</v>
      </c>
      <c r="PIC4">
        <f>Database!PIV28</f>
        <v>0</v>
      </c>
      <c r="PID4">
        <f>Database!PIW28</f>
        <v>0</v>
      </c>
      <c r="PIE4">
        <f>Database!PIX28</f>
        <v>0</v>
      </c>
      <c r="PIF4">
        <f>Database!PIY28</f>
        <v>0</v>
      </c>
      <c r="PIG4">
        <f>Database!PIZ28</f>
        <v>0</v>
      </c>
      <c r="PIH4">
        <f>Database!PJA28</f>
        <v>0</v>
      </c>
      <c r="PII4">
        <f>Database!PJB28</f>
        <v>0</v>
      </c>
      <c r="PIJ4">
        <f>Database!PJC28</f>
        <v>0</v>
      </c>
      <c r="PIK4">
        <f>Database!PJD28</f>
        <v>0</v>
      </c>
      <c r="PIL4">
        <f>Database!PJE28</f>
        <v>0</v>
      </c>
      <c r="PIM4">
        <f>Database!PJF28</f>
        <v>0</v>
      </c>
      <c r="PIN4">
        <f>Database!PJG28</f>
        <v>0</v>
      </c>
      <c r="PIO4">
        <f>Database!PJH28</f>
        <v>0</v>
      </c>
      <c r="PIP4">
        <f>Database!PJI28</f>
        <v>0</v>
      </c>
      <c r="PIQ4">
        <f>Database!PJJ28</f>
        <v>0</v>
      </c>
      <c r="PIR4">
        <f>Database!PJK28</f>
        <v>0</v>
      </c>
      <c r="PIS4">
        <f>Database!PJL28</f>
        <v>0</v>
      </c>
      <c r="PIT4">
        <f>Database!PJM28</f>
        <v>0</v>
      </c>
      <c r="PIU4">
        <f>Database!PJN28</f>
        <v>0</v>
      </c>
      <c r="PIV4">
        <f>Database!PJO28</f>
        <v>0</v>
      </c>
      <c r="PIW4">
        <f>Database!PJP28</f>
        <v>0</v>
      </c>
      <c r="PIX4">
        <f>Database!PJQ28</f>
        <v>0</v>
      </c>
      <c r="PIY4">
        <f>Database!PJR28</f>
        <v>0</v>
      </c>
      <c r="PIZ4">
        <f>Database!PJS28</f>
        <v>0</v>
      </c>
      <c r="PJA4">
        <f>Database!PJT28</f>
        <v>0</v>
      </c>
      <c r="PJB4">
        <f>Database!PJU28</f>
        <v>0</v>
      </c>
      <c r="PJC4">
        <f>Database!PJV28</f>
        <v>0</v>
      </c>
      <c r="PJD4">
        <f>Database!PJW28</f>
        <v>0</v>
      </c>
      <c r="PJE4">
        <f>Database!PJX28</f>
        <v>0</v>
      </c>
      <c r="PJF4">
        <f>Database!PJY28</f>
        <v>0</v>
      </c>
      <c r="PJG4">
        <f>Database!PJZ28</f>
        <v>0</v>
      </c>
      <c r="PJH4">
        <f>Database!PKA28</f>
        <v>0</v>
      </c>
      <c r="PJI4">
        <f>Database!PKB28</f>
        <v>0</v>
      </c>
      <c r="PJJ4">
        <f>Database!PKC28</f>
        <v>0</v>
      </c>
      <c r="PJK4">
        <f>Database!PKD28</f>
        <v>0</v>
      </c>
      <c r="PJL4">
        <f>Database!PKE28</f>
        <v>0</v>
      </c>
      <c r="PJM4">
        <f>Database!PKF28</f>
        <v>0</v>
      </c>
      <c r="PJN4">
        <f>Database!PKG28</f>
        <v>0</v>
      </c>
      <c r="PJO4">
        <f>Database!PKH28</f>
        <v>0</v>
      </c>
      <c r="PJP4">
        <f>Database!PKI28</f>
        <v>0</v>
      </c>
      <c r="PJQ4">
        <f>Database!PKJ28</f>
        <v>0</v>
      </c>
      <c r="PJR4">
        <f>Database!PKK28</f>
        <v>0</v>
      </c>
      <c r="PJS4">
        <f>Database!PKL28</f>
        <v>0</v>
      </c>
      <c r="PJT4">
        <f>Database!PKM28</f>
        <v>0</v>
      </c>
      <c r="PJU4">
        <f>Database!PKN28</f>
        <v>0</v>
      </c>
      <c r="PJV4">
        <f>Database!PKO28</f>
        <v>0</v>
      </c>
      <c r="PJW4">
        <f>Database!PKP28</f>
        <v>0</v>
      </c>
      <c r="PJX4">
        <f>Database!PKQ28</f>
        <v>0</v>
      </c>
      <c r="PJY4">
        <f>Database!PKR28</f>
        <v>0</v>
      </c>
      <c r="PJZ4">
        <f>Database!PKS28</f>
        <v>0</v>
      </c>
      <c r="PKA4">
        <f>Database!PKT28</f>
        <v>0</v>
      </c>
      <c r="PKB4">
        <f>Database!PKU28</f>
        <v>0</v>
      </c>
      <c r="PKC4">
        <f>Database!PKV28</f>
        <v>0</v>
      </c>
      <c r="PKD4">
        <f>Database!PKW28</f>
        <v>0</v>
      </c>
      <c r="PKE4">
        <f>Database!PKX28</f>
        <v>0</v>
      </c>
      <c r="PKF4">
        <f>Database!PKY28</f>
        <v>0</v>
      </c>
      <c r="PKG4">
        <f>Database!PKZ28</f>
        <v>0</v>
      </c>
      <c r="PKH4">
        <f>Database!PLA28</f>
        <v>0</v>
      </c>
      <c r="PKI4">
        <f>Database!PLB28</f>
        <v>0</v>
      </c>
      <c r="PKJ4">
        <f>Database!PLC28</f>
        <v>0</v>
      </c>
      <c r="PKK4">
        <f>Database!PLD28</f>
        <v>0</v>
      </c>
      <c r="PKL4">
        <f>Database!PLE28</f>
        <v>0</v>
      </c>
      <c r="PKM4">
        <f>Database!PLF28</f>
        <v>0</v>
      </c>
      <c r="PKN4">
        <f>Database!PLG28</f>
        <v>0</v>
      </c>
      <c r="PKO4">
        <f>Database!PLH28</f>
        <v>0</v>
      </c>
      <c r="PKP4">
        <f>Database!PLI28</f>
        <v>0</v>
      </c>
      <c r="PKQ4">
        <f>Database!PLJ28</f>
        <v>0</v>
      </c>
      <c r="PKR4">
        <f>Database!PLK28</f>
        <v>0</v>
      </c>
      <c r="PKS4">
        <f>Database!PLL28</f>
        <v>0</v>
      </c>
      <c r="PKT4">
        <f>Database!PLM28</f>
        <v>0</v>
      </c>
      <c r="PKU4">
        <f>Database!PLN28</f>
        <v>0</v>
      </c>
      <c r="PKV4">
        <f>Database!PLO28</f>
        <v>0</v>
      </c>
      <c r="PKW4">
        <f>Database!PLP28</f>
        <v>0</v>
      </c>
      <c r="PKX4">
        <f>Database!PLQ28</f>
        <v>0</v>
      </c>
      <c r="PKY4">
        <f>Database!PLR28</f>
        <v>0</v>
      </c>
      <c r="PKZ4">
        <f>Database!PLS28</f>
        <v>0</v>
      </c>
      <c r="PLA4">
        <f>Database!PLT28</f>
        <v>0</v>
      </c>
      <c r="PLB4">
        <f>Database!PLU28</f>
        <v>0</v>
      </c>
      <c r="PLC4">
        <f>Database!PLV28</f>
        <v>0</v>
      </c>
      <c r="PLD4">
        <f>Database!PLW28</f>
        <v>0</v>
      </c>
      <c r="PLE4">
        <f>Database!PLX28</f>
        <v>0</v>
      </c>
      <c r="PLF4">
        <f>Database!PLY28</f>
        <v>0</v>
      </c>
      <c r="PLG4">
        <f>Database!PLZ28</f>
        <v>0</v>
      </c>
      <c r="PLH4">
        <f>Database!PMA28</f>
        <v>0</v>
      </c>
      <c r="PLI4">
        <f>Database!PMB28</f>
        <v>0</v>
      </c>
      <c r="PLJ4">
        <f>Database!PMC28</f>
        <v>0</v>
      </c>
      <c r="PLK4">
        <f>Database!PMD28</f>
        <v>0</v>
      </c>
      <c r="PLL4">
        <f>Database!PME28</f>
        <v>0</v>
      </c>
      <c r="PLM4">
        <f>Database!PMF28</f>
        <v>0</v>
      </c>
      <c r="PLN4">
        <f>Database!PMG28</f>
        <v>0</v>
      </c>
      <c r="PLO4">
        <f>Database!PMH28</f>
        <v>0</v>
      </c>
      <c r="PLP4">
        <f>Database!PMI28</f>
        <v>0</v>
      </c>
      <c r="PLQ4">
        <f>Database!PMJ28</f>
        <v>0</v>
      </c>
      <c r="PLR4">
        <f>Database!PMK28</f>
        <v>0</v>
      </c>
      <c r="PLS4">
        <f>Database!PML28</f>
        <v>0</v>
      </c>
      <c r="PLT4">
        <f>Database!PMM28</f>
        <v>0</v>
      </c>
      <c r="PLU4">
        <f>Database!PMN28</f>
        <v>0</v>
      </c>
      <c r="PLV4">
        <f>Database!PMO28</f>
        <v>0</v>
      </c>
      <c r="PLW4">
        <f>Database!PMP28</f>
        <v>0</v>
      </c>
      <c r="PLX4">
        <f>Database!PMQ28</f>
        <v>0</v>
      </c>
      <c r="PLY4">
        <f>Database!PMR28</f>
        <v>0</v>
      </c>
      <c r="PLZ4">
        <f>Database!PMS28</f>
        <v>0</v>
      </c>
      <c r="PMA4">
        <f>Database!PMT28</f>
        <v>0</v>
      </c>
      <c r="PMB4">
        <f>Database!PMU28</f>
        <v>0</v>
      </c>
      <c r="PMC4">
        <f>Database!PMV28</f>
        <v>0</v>
      </c>
      <c r="PMD4">
        <f>Database!PMW28</f>
        <v>0</v>
      </c>
      <c r="PME4">
        <f>Database!PMX28</f>
        <v>0</v>
      </c>
      <c r="PMF4">
        <f>Database!PMY28</f>
        <v>0</v>
      </c>
      <c r="PMG4">
        <f>Database!PMZ28</f>
        <v>0</v>
      </c>
      <c r="PMH4">
        <f>Database!PNA28</f>
        <v>0</v>
      </c>
      <c r="PMI4">
        <f>Database!PNB28</f>
        <v>0</v>
      </c>
      <c r="PMJ4">
        <f>Database!PNC28</f>
        <v>0</v>
      </c>
      <c r="PMK4">
        <f>Database!PND28</f>
        <v>0</v>
      </c>
      <c r="PML4">
        <f>Database!PNE28</f>
        <v>0</v>
      </c>
      <c r="PMM4">
        <f>Database!PNF28</f>
        <v>0</v>
      </c>
      <c r="PMN4">
        <f>Database!PNG28</f>
        <v>0</v>
      </c>
      <c r="PMO4">
        <f>Database!PNH28</f>
        <v>0</v>
      </c>
      <c r="PMP4">
        <f>Database!PNI28</f>
        <v>0</v>
      </c>
      <c r="PMQ4">
        <f>Database!PNJ28</f>
        <v>0</v>
      </c>
      <c r="PMR4">
        <f>Database!PNK28</f>
        <v>0</v>
      </c>
      <c r="PMS4">
        <f>Database!PNL28</f>
        <v>0</v>
      </c>
      <c r="PMT4">
        <f>Database!PNM28</f>
        <v>0</v>
      </c>
      <c r="PMU4">
        <f>Database!PNN28</f>
        <v>0</v>
      </c>
      <c r="PMV4">
        <f>Database!PNO28</f>
        <v>0</v>
      </c>
      <c r="PMW4">
        <f>Database!PNP28</f>
        <v>0</v>
      </c>
      <c r="PMX4">
        <f>Database!PNQ28</f>
        <v>0</v>
      </c>
      <c r="PMY4">
        <f>Database!PNR28</f>
        <v>0</v>
      </c>
      <c r="PMZ4">
        <f>Database!PNS28</f>
        <v>0</v>
      </c>
      <c r="PNA4">
        <f>Database!PNT28</f>
        <v>0</v>
      </c>
      <c r="PNB4">
        <f>Database!PNU28</f>
        <v>0</v>
      </c>
      <c r="PNC4">
        <f>Database!PNV28</f>
        <v>0</v>
      </c>
      <c r="PND4">
        <f>Database!PNW28</f>
        <v>0</v>
      </c>
      <c r="PNE4">
        <f>Database!PNX28</f>
        <v>0</v>
      </c>
      <c r="PNF4">
        <f>Database!PNY28</f>
        <v>0</v>
      </c>
      <c r="PNG4">
        <f>Database!PNZ28</f>
        <v>0</v>
      </c>
      <c r="PNH4">
        <f>Database!POA28</f>
        <v>0</v>
      </c>
      <c r="PNI4">
        <f>Database!POB28</f>
        <v>0</v>
      </c>
      <c r="PNJ4">
        <f>Database!POC28</f>
        <v>0</v>
      </c>
      <c r="PNK4">
        <f>Database!POD28</f>
        <v>0</v>
      </c>
      <c r="PNL4">
        <f>Database!POE28</f>
        <v>0</v>
      </c>
      <c r="PNM4">
        <f>Database!POF28</f>
        <v>0</v>
      </c>
      <c r="PNN4">
        <f>Database!POG28</f>
        <v>0</v>
      </c>
      <c r="PNO4">
        <f>Database!POH28</f>
        <v>0</v>
      </c>
      <c r="PNP4">
        <f>Database!POI28</f>
        <v>0</v>
      </c>
      <c r="PNQ4">
        <f>Database!POJ28</f>
        <v>0</v>
      </c>
      <c r="PNR4">
        <f>Database!POK28</f>
        <v>0</v>
      </c>
      <c r="PNS4">
        <f>Database!POL28</f>
        <v>0</v>
      </c>
      <c r="PNT4">
        <f>Database!POM28</f>
        <v>0</v>
      </c>
      <c r="PNU4">
        <f>Database!PON28</f>
        <v>0</v>
      </c>
      <c r="PNV4">
        <f>Database!POO28</f>
        <v>0</v>
      </c>
      <c r="PNW4">
        <f>Database!POP28</f>
        <v>0</v>
      </c>
      <c r="PNX4">
        <f>Database!POQ28</f>
        <v>0</v>
      </c>
      <c r="PNY4">
        <f>Database!POR28</f>
        <v>0</v>
      </c>
      <c r="PNZ4">
        <f>Database!POS28</f>
        <v>0</v>
      </c>
      <c r="POA4">
        <f>Database!POT28</f>
        <v>0</v>
      </c>
      <c r="POB4">
        <f>Database!POU28</f>
        <v>0</v>
      </c>
      <c r="POC4">
        <f>Database!POV28</f>
        <v>0</v>
      </c>
      <c r="POD4">
        <f>Database!POW28</f>
        <v>0</v>
      </c>
      <c r="POE4">
        <f>Database!POX28</f>
        <v>0</v>
      </c>
      <c r="POF4">
        <f>Database!POY28</f>
        <v>0</v>
      </c>
      <c r="POG4">
        <f>Database!POZ28</f>
        <v>0</v>
      </c>
      <c r="POH4">
        <f>Database!PPA28</f>
        <v>0</v>
      </c>
      <c r="POI4">
        <f>Database!PPB28</f>
        <v>0</v>
      </c>
      <c r="POJ4">
        <f>Database!PPC28</f>
        <v>0</v>
      </c>
      <c r="POK4">
        <f>Database!PPD28</f>
        <v>0</v>
      </c>
      <c r="POL4">
        <f>Database!PPE28</f>
        <v>0</v>
      </c>
      <c r="POM4">
        <f>Database!PPF28</f>
        <v>0</v>
      </c>
      <c r="PON4">
        <f>Database!PPG28</f>
        <v>0</v>
      </c>
      <c r="POO4">
        <f>Database!PPH28</f>
        <v>0</v>
      </c>
      <c r="POP4">
        <f>Database!PPI28</f>
        <v>0</v>
      </c>
      <c r="POQ4">
        <f>Database!PPJ28</f>
        <v>0</v>
      </c>
      <c r="POR4">
        <f>Database!PPK28</f>
        <v>0</v>
      </c>
      <c r="POS4">
        <f>Database!PPL28</f>
        <v>0</v>
      </c>
      <c r="POT4">
        <f>Database!PPM28</f>
        <v>0</v>
      </c>
      <c r="POU4">
        <f>Database!PPN28</f>
        <v>0</v>
      </c>
      <c r="POV4">
        <f>Database!PPO28</f>
        <v>0</v>
      </c>
      <c r="POW4">
        <f>Database!PPP28</f>
        <v>0</v>
      </c>
      <c r="POX4">
        <f>Database!PPQ28</f>
        <v>0</v>
      </c>
      <c r="POY4">
        <f>Database!PPR28</f>
        <v>0</v>
      </c>
      <c r="POZ4">
        <f>Database!PPS28</f>
        <v>0</v>
      </c>
      <c r="PPA4">
        <f>Database!PPT28</f>
        <v>0</v>
      </c>
      <c r="PPB4">
        <f>Database!PPU28</f>
        <v>0</v>
      </c>
      <c r="PPC4">
        <f>Database!PPV28</f>
        <v>0</v>
      </c>
      <c r="PPD4">
        <f>Database!PPW28</f>
        <v>0</v>
      </c>
      <c r="PPE4">
        <f>Database!PPX28</f>
        <v>0</v>
      </c>
      <c r="PPF4">
        <f>Database!PPY28</f>
        <v>0</v>
      </c>
      <c r="PPG4">
        <f>Database!PPZ28</f>
        <v>0</v>
      </c>
      <c r="PPH4">
        <f>Database!PQA28</f>
        <v>0</v>
      </c>
      <c r="PPI4">
        <f>Database!PQB28</f>
        <v>0</v>
      </c>
      <c r="PPJ4">
        <f>Database!PQC28</f>
        <v>0</v>
      </c>
      <c r="PPK4">
        <f>Database!PQD28</f>
        <v>0</v>
      </c>
      <c r="PPL4">
        <f>Database!PQE28</f>
        <v>0</v>
      </c>
      <c r="PPM4">
        <f>Database!PQF28</f>
        <v>0</v>
      </c>
      <c r="PPN4">
        <f>Database!PQG28</f>
        <v>0</v>
      </c>
      <c r="PPO4">
        <f>Database!PQH28</f>
        <v>0</v>
      </c>
      <c r="PPP4">
        <f>Database!PQI28</f>
        <v>0</v>
      </c>
      <c r="PPQ4">
        <f>Database!PQJ28</f>
        <v>0</v>
      </c>
      <c r="PPR4">
        <f>Database!PQK28</f>
        <v>0</v>
      </c>
      <c r="PPS4">
        <f>Database!PQL28</f>
        <v>0</v>
      </c>
      <c r="PPT4">
        <f>Database!PQM28</f>
        <v>0</v>
      </c>
      <c r="PPU4">
        <f>Database!PQN28</f>
        <v>0</v>
      </c>
      <c r="PPV4">
        <f>Database!PQO28</f>
        <v>0</v>
      </c>
      <c r="PPW4">
        <f>Database!PQP28</f>
        <v>0</v>
      </c>
      <c r="PPX4">
        <f>Database!PQQ28</f>
        <v>0</v>
      </c>
      <c r="PPY4">
        <f>Database!PQR28</f>
        <v>0</v>
      </c>
      <c r="PPZ4">
        <f>Database!PQS28</f>
        <v>0</v>
      </c>
      <c r="PQA4">
        <f>Database!PQT28</f>
        <v>0</v>
      </c>
      <c r="PQB4">
        <f>Database!PQU28</f>
        <v>0</v>
      </c>
      <c r="PQC4">
        <f>Database!PQV28</f>
        <v>0</v>
      </c>
      <c r="PQD4">
        <f>Database!PQW28</f>
        <v>0</v>
      </c>
      <c r="PQE4">
        <f>Database!PQX28</f>
        <v>0</v>
      </c>
      <c r="PQF4">
        <f>Database!PQY28</f>
        <v>0</v>
      </c>
      <c r="PQG4">
        <f>Database!PQZ28</f>
        <v>0</v>
      </c>
      <c r="PQH4">
        <f>Database!PRA28</f>
        <v>0</v>
      </c>
      <c r="PQI4">
        <f>Database!PRB28</f>
        <v>0</v>
      </c>
      <c r="PQJ4">
        <f>Database!PRC28</f>
        <v>0</v>
      </c>
      <c r="PQK4">
        <f>Database!PRD28</f>
        <v>0</v>
      </c>
      <c r="PQL4">
        <f>Database!PRE28</f>
        <v>0</v>
      </c>
      <c r="PQM4">
        <f>Database!PRF28</f>
        <v>0</v>
      </c>
      <c r="PQN4">
        <f>Database!PRG28</f>
        <v>0</v>
      </c>
      <c r="PQO4">
        <f>Database!PRH28</f>
        <v>0</v>
      </c>
      <c r="PQP4">
        <f>Database!PRI28</f>
        <v>0</v>
      </c>
      <c r="PQQ4">
        <f>Database!PRJ28</f>
        <v>0</v>
      </c>
      <c r="PQR4">
        <f>Database!PRK28</f>
        <v>0</v>
      </c>
      <c r="PQS4">
        <f>Database!PRL28</f>
        <v>0</v>
      </c>
      <c r="PQT4">
        <f>Database!PRM28</f>
        <v>0</v>
      </c>
      <c r="PQU4">
        <f>Database!PRN28</f>
        <v>0</v>
      </c>
      <c r="PQV4">
        <f>Database!PRO28</f>
        <v>0</v>
      </c>
      <c r="PQW4">
        <f>Database!PRP28</f>
        <v>0</v>
      </c>
      <c r="PQX4">
        <f>Database!PRQ28</f>
        <v>0</v>
      </c>
      <c r="PQY4">
        <f>Database!PRR28</f>
        <v>0</v>
      </c>
      <c r="PQZ4">
        <f>Database!PRS28</f>
        <v>0</v>
      </c>
      <c r="PRA4">
        <f>Database!PRT28</f>
        <v>0</v>
      </c>
      <c r="PRB4">
        <f>Database!PRU28</f>
        <v>0</v>
      </c>
      <c r="PRC4">
        <f>Database!PRV28</f>
        <v>0</v>
      </c>
      <c r="PRD4">
        <f>Database!PRW28</f>
        <v>0</v>
      </c>
      <c r="PRE4">
        <f>Database!PRX28</f>
        <v>0</v>
      </c>
      <c r="PRF4">
        <f>Database!PRY28</f>
        <v>0</v>
      </c>
      <c r="PRG4">
        <f>Database!PRZ28</f>
        <v>0</v>
      </c>
      <c r="PRH4">
        <f>Database!PSA28</f>
        <v>0</v>
      </c>
      <c r="PRI4">
        <f>Database!PSB28</f>
        <v>0</v>
      </c>
      <c r="PRJ4">
        <f>Database!PSC28</f>
        <v>0</v>
      </c>
      <c r="PRK4">
        <f>Database!PSD28</f>
        <v>0</v>
      </c>
      <c r="PRL4">
        <f>Database!PSE28</f>
        <v>0</v>
      </c>
      <c r="PRM4">
        <f>Database!PSF28</f>
        <v>0</v>
      </c>
      <c r="PRN4">
        <f>Database!PSG28</f>
        <v>0</v>
      </c>
      <c r="PRO4">
        <f>Database!PSH28</f>
        <v>0</v>
      </c>
      <c r="PRP4">
        <f>Database!PSI28</f>
        <v>0</v>
      </c>
      <c r="PRQ4">
        <f>Database!PSJ28</f>
        <v>0</v>
      </c>
      <c r="PRR4">
        <f>Database!PSK28</f>
        <v>0</v>
      </c>
      <c r="PRS4">
        <f>Database!PSL28</f>
        <v>0</v>
      </c>
      <c r="PRT4">
        <f>Database!PSM28</f>
        <v>0</v>
      </c>
      <c r="PRU4">
        <f>Database!PSN28</f>
        <v>0</v>
      </c>
      <c r="PRV4">
        <f>Database!PSO28</f>
        <v>0</v>
      </c>
      <c r="PRW4">
        <f>Database!PSP28</f>
        <v>0</v>
      </c>
      <c r="PRX4">
        <f>Database!PSQ28</f>
        <v>0</v>
      </c>
      <c r="PRY4">
        <f>Database!PSR28</f>
        <v>0</v>
      </c>
      <c r="PRZ4">
        <f>Database!PSS28</f>
        <v>0</v>
      </c>
      <c r="PSA4">
        <f>Database!PST28</f>
        <v>0</v>
      </c>
      <c r="PSB4">
        <f>Database!PSU28</f>
        <v>0</v>
      </c>
      <c r="PSC4">
        <f>Database!PSV28</f>
        <v>0</v>
      </c>
      <c r="PSD4">
        <f>Database!PSW28</f>
        <v>0</v>
      </c>
      <c r="PSE4">
        <f>Database!PSX28</f>
        <v>0</v>
      </c>
      <c r="PSF4">
        <f>Database!PSY28</f>
        <v>0</v>
      </c>
      <c r="PSG4">
        <f>Database!PSZ28</f>
        <v>0</v>
      </c>
      <c r="PSH4">
        <f>Database!PTA28</f>
        <v>0</v>
      </c>
      <c r="PSI4">
        <f>Database!PTB28</f>
        <v>0</v>
      </c>
      <c r="PSJ4">
        <f>Database!PTC28</f>
        <v>0</v>
      </c>
      <c r="PSK4">
        <f>Database!PTD28</f>
        <v>0</v>
      </c>
      <c r="PSL4">
        <f>Database!PTE28</f>
        <v>0</v>
      </c>
      <c r="PSM4">
        <f>Database!PTF28</f>
        <v>0</v>
      </c>
      <c r="PSN4">
        <f>Database!PTG28</f>
        <v>0</v>
      </c>
      <c r="PSO4">
        <f>Database!PTH28</f>
        <v>0</v>
      </c>
      <c r="PSP4">
        <f>Database!PTI28</f>
        <v>0</v>
      </c>
      <c r="PSQ4">
        <f>Database!PTJ28</f>
        <v>0</v>
      </c>
      <c r="PSR4">
        <f>Database!PTK28</f>
        <v>0</v>
      </c>
      <c r="PSS4">
        <f>Database!PTL28</f>
        <v>0</v>
      </c>
      <c r="PST4">
        <f>Database!PTM28</f>
        <v>0</v>
      </c>
      <c r="PSU4">
        <f>Database!PTN28</f>
        <v>0</v>
      </c>
      <c r="PSV4">
        <f>Database!PTO28</f>
        <v>0</v>
      </c>
      <c r="PSW4">
        <f>Database!PTP28</f>
        <v>0</v>
      </c>
      <c r="PSX4">
        <f>Database!PTQ28</f>
        <v>0</v>
      </c>
      <c r="PSY4">
        <f>Database!PTR28</f>
        <v>0</v>
      </c>
      <c r="PSZ4">
        <f>Database!PTS28</f>
        <v>0</v>
      </c>
      <c r="PTA4">
        <f>Database!PTT28</f>
        <v>0</v>
      </c>
      <c r="PTB4">
        <f>Database!PTU28</f>
        <v>0</v>
      </c>
      <c r="PTC4">
        <f>Database!PTV28</f>
        <v>0</v>
      </c>
      <c r="PTD4">
        <f>Database!PTW28</f>
        <v>0</v>
      </c>
      <c r="PTE4">
        <f>Database!PTX28</f>
        <v>0</v>
      </c>
      <c r="PTF4">
        <f>Database!PTY28</f>
        <v>0</v>
      </c>
      <c r="PTG4">
        <f>Database!PTZ28</f>
        <v>0</v>
      </c>
      <c r="PTH4">
        <f>Database!PUA28</f>
        <v>0</v>
      </c>
      <c r="PTI4">
        <f>Database!PUB28</f>
        <v>0</v>
      </c>
      <c r="PTJ4">
        <f>Database!PUC28</f>
        <v>0</v>
      </c>
      <c r="PTK4">
        <f>Database!PUD28</f>
        <v>0</v>
      </c>
      <c r="PTL4">
        <f>Database!PUE28</f>
        <v>0</v>
      </c>
      <c r="PTM4">
        <f>Database!PUF28</f>
        <v>0</v>
      </c>
      <c r="PTN4">
        <f>Database!PUG28</f>
        <v>0</v>
      </c>
      <c r="PTO4">
        <f>Database!PUH28</f>
        <v>0</v>
      </c>
      <c r="PTP4">
        <f>Database!PUI28</f>
        <v>0</v>
      </c>
      <c r="PTQ4">
        <f>Database!PUJ28</f>
        <v>0</v>
      </c>
      <c r="PTR4">
        <f>Database!PUK28</f>
        <v>0</v>
      </c>
      <c r="PTS4">
        <f>Database!PUL28</f>
        <v>0</v>
      </c>
      <c r="PTT4">
        <f>Database!PUM28</f>
        <v>0</v>
      </c>
      <c r="PTU4">
        <f>Database!PUN28</f>
        <v>0</v>
      </c>
      <c r="PTV4">
        <f>Database!PUO28</f>
        <v>0</v>
      </c>
      <c r="PTW4">
        <f>Database!PUP28</f>
        <v>0</v>
      </c>
      <c r="PTX4">
        <f>Database!PUQ28</f>
        <v>0</v>
      </c>
      <c r="PTY4">
        <f>Database!PUR28</f>
        <v>0</v>
      </c>
      <c r="PTZ4">
        <f>Database!PUS28</f>
        <v>0</v>
      </c>
      <c r="PUA4">
        <f>Database!PUT28</f>
        <v>0</v>
      </c>
      <c r="PUB4">
        <f>Database!PUU28</f>
        <v>0</v>
      </c>
      <c r="PUC4">
        <f>Database!PUV28</f>
        <v>0</v>
      </c>
      <c r="PUD4">
        <f>Database!PUW28</f>
        <v>0</v>
      </c>
      <c r="PUE4">
        <f>Database!PUX28</f>
        <v>0</v>
      </c>
      <c r="PUF4">
        <f>Database!PUY28</f>
        <v>0</v>
      </c>
      <c r="PUG4">
        <f>Database!PUZ28</f>
        <v>0</v>
      </c>
      <c r="PUH4">
        <f>Database!PVA28</f>
        <v>0</v>
      </c>
      <c r="PUI4">
        <f>Database!PVB28</f>
        <v>0</v>
      </c>
      <c r="PUJ4">
        <f>Database!PVC28</f>
        <v>0</v>
      </c>
      <c r="PUK4">
        <f>Database!PVD28</f>
        <v>0</v>
      </c>
      <c r="PUL4">
        <f>Database!PVE28</f>
        <v>0</v>
      </c>
      <c r="PUM4">
        <f>Database!PVF28</f>
        <v>0</v>
      </c>
      <c r="PUN4">
        <f>Database!PVG28</f>
        <v>0</v>
      </c>
      <c r="PUO4">
        <f>Database!PVH28</f>
        <v>0</v>
      </c>
      <c r="PUP4">
        <f>Database!PVI28</f>
        <v>0</v>
      </c>
      <c r="PUQ4">
        <f>Database!PVJ28</f>
        <v>0</v>
      </c>
      <c r="PUR4">
        <f>Database!PVK28</f>
        <v>0</v>
      </c>
      <c r="PUS4">
        <f>Database!PVL28</f>
        <v>0</v>
      </c>
      <c r="PUT4">
        <f>Database!PVM28</f>
        <v>0</v>
      </c>
      <c r="PUU4">
        <f>Database!PVN28</f>
        <v>0</v>
      </c>
      <c r="PUV4">
        <f>Database!PVO28</f>
        <v>0</v>
      </c>
      <c r="PUW4">
        <f>Database!PVP28</f>
        <v>0</v>
      </c>
      <c r="PUX4">
        <f>Database!PVQ28</f>
        <v>0</v>
      </c>
      <c r="PUY4">
        <f>Database!PVR28</f>
        <v>0</v>
      </c>
      <c r="PUZ4">
        <f>Database!PVS28</f>
        <v>0</v>
      </c>
      <c r="PVA4">
        <f>Database!PVT28</f>
        <v>0</v>
      </c>
      <c r="PVB4">
        <f>Database!PVU28</f>
        <v>0</v>
      </c>
      <c r="PVC4">
        <f>Database!PVV28</f>
        <v>0</v>
      </c>
      <c r="PVD4">
        <f>Database!PVW28</f>
        <v>0</v>
      </c>
      <c r="PVE4">
        <f>Database!PVX28</f>
        <v>0</v>
      </c>
      <c r="PVF4">
        <f>Database!PVY28</f>
        <v>0</v>
      </c>
      <c r="PVG4">
        <f>Database!PVZ28</f>
        <v>0</v>
      </c>
      <c r="PVH4">
        <f>Database!PWA28</f>
        <v>0</v>
      </c>
      <c r="PVI4">
        <f>Database!PWB28</f>
        <v>0</v>
      </c>
      <c r="PVJ4">
        <f>Database!PWC28</f>
        <v>0</v>
      </c>
      <c r="PVK4">
        <f>Database!PWD28</f>
        <v>0</v>
      </c>
      <c r="PVL4">
        <f>Database!PWE28</f>
        <v>0</v>
      </c>
      <c r="PVM4">
        <f>Database!PWF28</f>
        <v>0</v>
      </c>
      <c r="PVN4">
        <f>Database!PWG28</f>
        <v>0</v>
      </c>
      <c r="PVO4">
        <f>Database!PWH28</f>
        <v>0</v>
      </c>
      <c r="PVP4">
        <f>Database!PWI28</f>
        <v>0</v>
      </c>
      <c r="PVQ4">
        <f>Database!PWJ28</f>
        <v>0</v>
      </c>
      <c r="PVR4">
        <f>Database!PWK28</f>
        <v>0</v>
      </c>
      <c r="PVS4">
        <f>Database!PWL28</f>
        <v>0</v>
      </c>
      <c r="PVT4">
        <f>Database!PWM28</f>
        <v>0</v>
      </c>
      <c r="PVU4">
        <f>Database!PWN28</f>
        <v>0</v>
      </c>
      <c r="PVV4">
        <f>Database!PWO28</f>
        <v>0</v>
      </c>
      <c r="PVW4">
        <f>Database!PWP28</f>
        <v>0</v>
      </c>
      <c r="PVX4">
        <f>Database!PWQ28</f>
        <v>0</v>
      </c>
      <c r="PVY4">
        <f>Database!PWR28</f>
        <v>0</v>
      </c>
      <c r="PVZ4">
        <f>Database!PWS28</f>
        <v>0</v>
      </c>
      <c r="PWA4">
        <f>Database!PWT28</f>
        <v>0</v>
      </c>
      <c r="PWB4">
        <f>Database!PWU28</f>
        <v>0</v>
      </c>
      <c r="PWC4">
        <f>Database!PWV28</f>
        <v>0</v>
      </c>
      <c r="PWD4">
        <f>Database!PWW28</f>
        <v>0</v>
      </c>
      <c r="PWE4">
        <f>Database!PWX28</f>
        <v>0</v>
      </c>
      <c r="PWF4">
        <f>Database!PWY28</f>
        <v>0</v>
      </c>
      <c r="PWG4">
        <f>Database!PWZ28</f>
        <v>0</v>
      </c>
      <c r="PWH4">
        <f>Database!PXA28</f>
        <v>0</v>
      </c>
      <c r="PWI4">
        <f>Database!PXB28</f>
        <v>0</v>
      </c>
      <c r="PWJ4">
        <f>Database!PXC28</f>
        <v>0</v>
      </c>
      <c r="PWK4">
        <f>Database!PXD28</f>
        <v>0</v>
      </c>
      <c r="PWL4">
        <f>Database!PXE28</f>
        <v>0</v>
      </c>
      <c r="PWM4">
        <f>Database!PXF28</f>
        <v>0</v>
      </c>
      <c r="PWN4">
        <f>Database!PXG28</f>
        <v>0</v>
      </c>
      <c r="PWO4">
        <f>Database!PXH28</f>
        <v>0</v>
      </c>
      <c r="PWP4">
        <f>Database!PXI28</f>
        <v>0</v>
      </c>
      <c r="PWQ4">
        <f>Database!PXJ28</f>
        <v>0</v>
      </c>
      <c r="PWR4">
        <f>Database!PXK28</f>
        <v>0</v>
      </c>
      <c r="PWS4">
        <f>Database!PXL28</f>
        <v>0</v>
      </c>
      <c r="PWT4">
        <f>Database!PXM28</f>
        <v>0</v>
      </c>
      <c r="PWU4">
        <f>Database!PXN28</f>
        <v>0</v>
      </c>
      <c r="PWV4">
        <f>Database!PXO28</f>
        <v>0</v>
      </c>
      <c r="PWW4">
        <f>Database!PXP28</f>
        <v>0</v>
      </c>
      <c r="PWX4">
        <f>Database!PXQ28</f>
        <v>0</v>
      </c>
      <c r="PWY4">
        <f>Database!PXR28</f>
        <v>0</v>
      </c>
      <c r="PWZ4">
        <f>Database!PXS28</f>
        <v>0</v>
      </c>
      <c r="PXA4">
        <f>Database!PXT28</f>
        <v>0</v>
      </c>
      <c r="PXB4">
        <f>Database!PXU28</f>
        <v>0</v>
      </c>
      <c r="PXC4">
        <f>Database!PXV28</f>
        <v>0</v>
      </c>
      <c r="PXD4">
        <f>Database!PXW28</f>
        <v>0</v>
      </c>
      <c r="PXE4">
        <f>Database!PXX28</f>
        <v>0</v>
      </c>
      <c r="PXF4">
        <f>Database!PXY28</f>
        <v>0</v>
      </c>
      <c r="PXG4">
        <f>Database!PXZ28</f>
        <v>0</v>
      </c>
      <c r="PXH4">
        <f>Database!PYA28</f>
        <v>0</v>
      </c>
      <c r="PXI4">
        <f>Database!PYB28</f>
        <v>0</v>
      </c>
      <c r="PXJ4">
        <f>Database!PYC28</f>
        <v>0</v>
      </c>
      <c r="PXK4">
        <f>Database!PYD28</f>
        <v>0</v>
      </c>
      <c r="PXL4">
        <f>Database!PYE28</f>
        <v>0</v>
      </c>
      <c r="PXM4">
        <f>Database!PYF28</f>
        <v>0</v>
      </c>
      <c r="PXN4">
        <f>Database!PYG28</f>
        <v>0</v>
      </c>
      <c r="PXO4">
        <f>Database!PYH28</f>
        <v>0</v>
      </c>
      <c r="PXP4">
        <f>Database!PYI28</f>
        <v>0</v>
      </c>
      <c r="PXQ4">
        <f>Database!PYJ28</f>
        <v>0</v>
      </c>
      <c r="PXR4">
        <f>Database!PYK28</f>
        <v>0</v>
      </c>
      <c r="PXS4">
        <f>Database!PYL28</f>
        <v>0</v>
      </c>
      <c r="PXT4">
        <f>Database!PYM28</f>
        <v>0</v>
      </c>
      <c r="PXU4">
        <f>Database!PYN28</f>
        <v>0</v>
      </c>
      <c r="PXV4">
        <f>Database!PYO28</f>
        <v>0</v>
      </c>
      <c r="PXW4">
        <f>Database!PYP28</f>
        <v>0</v>
      </c>
      <c r="PXX4">
        <f>Database!PYQ28</f>
        <v>0</v>
      </c>
      <c r="PXY4">
        <f>Database!PYR28</f>
        <v>0</v>
      </c>
      <c r="PXZ4">
        <f>Database!PYS28</f>
        <v>0</v>
      </c>
      <c r="PYA4">
        <f>Database!PYT28</f>
        <v>0</v>
      </c>
      <c r="PYB4">
        <f>Database!PYU28</f>
        <v>0</v>
      </c>
      <c r="PYC4">
        <f>Database!PYV28</f>
        <v>0</v>
      </c>
      <c r="PYD4">
        <f>Database!PYW28</f>
        <v>0</v>
      </c>
      <c r="PYE4">
        <f>Database!PYX28</f>
        <v>0</v>
      </c>
      <c r="PYF4">
        <f>Database!PYY28</f>
        <v>0</v>
      </c>
      <c r="PYG4">
        <f>Database!PYZ28</f>
        <v>0</v>
      </c>
      <c r="PYH4">
        <f>Database!PZA28</f>
        <v>0</v>
      </c>
      <c r="PYI4">
        <f>Database!PZB28</f>
        <v>0</v>
      </c>
      <c r="PYJ4">
        <f>Database!PZC28</f>
        <v>0</v>
      </c>
      <c r="PYK4">
        <f>Database!PZD28</f>
        <v>0</v>
      </c>
      <c r="PYL4">
        <f>Database!PZE28</f>
        <v>0</v>
      </c>
      <c r="PYM4">
        <f>Database!PZF28</f>
        <v>0</v>
      </c>
      <c r="PYN4">
        <f>Database!PZG28</f>
        <v>0</v>
      </c>
      <c r="PYO4">
        <f>Database!PZH28</f>
        <v>0</v>
      </c>
      <c r="PYP4">
        <f>Database!PZI28</f>
        <v>0</v>
      </c>
      <c r="PYQ4">
        <f>Database!PZJ28</f>
        <v>0</v>
      </c>
      <c r="PYR4">
        <f>Database!PZK28</f>
        <v>0</v>
      </c>
      <c r="PYS4">
        <f>Database!PZL28</f>
        <v>0</v>
      </c>
      <c r="PYT4">
        <f>Database!PZM28</f>
        <v>0</v>
      </c>
      <c r="PYU4">
        <f>Database!PZN28</f>
        <v>0</v>
      </c>
      <c r="PYV4">
        <f>Database!PZO28</f>
        <v>0</v>
      </c>
      <c r="PYW4">
        <f>Database!PZP28</f>
        <v>0</v>
      </c>
      <c r="PYX4">
        <f>Database!PZQ28</f>
        <v>0</v>
      </c>
      <c r="PYY4">
        <f>Database!PZR28</f>
        <v>0</v>
      </c>
      <c r="PYZ4">
        <f>Database!PZS28</f>
        <v>0</v>
      </c>
      <c r="PZA4">
        <f>Database!PZT28</f>
        <v>0</v>
      </c>
      <c r="PZB4">
        <f>Database!PZU28</f>
        <v>0</v>
      </c>
      <c r="PZC4">
        <f>Database!PZV28</f>
        <v>0</v>
      </c>
      <c r="PZD4">
        <f>Database!PZW28</f>
        <v>0</v>
      </c>
      <c r="PZE4">
        <f>Database!PZX28</f>
        <v>0</v>
      </c>
      <c r="PZF4">
        <f>Database!PZY28</f>
        <v>0</v>
      </c>
      <c r="PZG4">
        <f>Database!PZZ28</f>
        <v>0</v>
      </c>
      <c r="PZH4">
        <f>Database!QAA28</f>
        <v>0</v>
      </c>
      <c r="PZI4">
        <f>Database!QAB28</f>
        <v>0</v>
      </c>
      <c r="PZJ4">
        <f>Database!QAC28</f>
        <v>0</v>
      </c>
      <c r="PZK4">
        <f>Database!QAD28</f>
        <v>0</v>
      </c>
      <c r="PZL4">
        <f>Database!QAE28</f>
        <v>0</v>
      </c>
      <c r="PZM4">
        <f>Database!QAF28</f>
        <v>0</v>
      </c>
      <c r="PZN4">
        <f>Database!QAG28</f>
        <v>0</v>
      </c>
      <c r="PZO4">
        <f>Database!QAH28</f>
        <v>0</v>
      </c>
      <c r="PZP4">
        <f>Database!QAI28</f>
        <v>0</v>
      </c>
      <c r="PZQ4">
        <f>Database!QAJ28</f>
        <v>0</v>
      </c>
      <c r="PZR4">
        <f>Database!QAK28</f>
        <v>0</v>
      </c>
      <c r="PZS4">
        <f>Database!QAL28</f>
        <v>0</v>
      </c>
      <c r="PZT4">
        <f>Database!QAM28</f>
        <v>0</v>
      </c>
      <c r="PZU4">
        <f>Database!QAN28</f>
        <v>0</v>
      </c>
      <c r="PZV4">
        <f>Database!QAO28</f>
        <v>0</v>
      </c>
      <c r="PZW4">
        <f>Database!QAP28</f>
        <v>0</v>
      </c>
      <c r="PZX4">
        <f>Database!QAQ28</f>
        <v>0</v>
      </c>
      <c r="PZY4">
        <f>Database!QAR28</f>
        <v>0</v>
      </c>
      <c r="PZZ4">
        <f>Database!QAS28</f>
        <v>0</v>
      </c>
      <c r="QAA4">
        <f>Database!QAT28</f>
        <v>0</v>
      </c>
      <c r="QAB4">
        <f>Database!QAU28</f>
        <v>0</v>
      </c>
      <c r="QAC4">
        <f>Database!QAV28</f>
        <v>0</v>
      </c>
      <c r="QAD4">
        <f>Database!QAW28</f>
        <v>0</v>
      </c>
      <c r="QAE4">
        <f>Database!QAX28</f>
        <v>0</v>
      </c>
      <c r="QAF4">
        <f>Database!QAY28</f>
        <v>0</v>
      </c>
      <c r="QAG4">
        <f>Database!QAZ28</f>
        <v>0</v>
      </c>
      <c r="QAH4">
        <f>Database!QBA28</f>
        <v>0</v>
      </c>
      <c r="QAI4">
        <f>Database!QBB28</f>
        <v>0</v>
      </c>
      <c r="QAJ4">
        <f>Database!QBC28</f>
        <v>0</v>
      </c>
      <c r="QAK4">
        <f>Database!QBD28</f>
        <v>0</v>
      </c>
      <c r="QAL4">
        <f>Database!QBE28</f>
        <v>0</v>
      </c>
      <c r="QAM4">
        <f>Database!QBF28</f>
        <v>0</v>
      </c>
      <c r="QAN4">
        <f>Database!QBG28</f>
        <v>0</v>
      </c>
      <c r="QAO4">
        <f>Database!QBH28</f>
        <v>0</v>
      </c>
      <c r="QAP4">
        <f>Database!QBI28</f>
        <v>0</v>
      </c>
      <c r="QAQ4">
        <f>Database!QBJ28</f>
        <v>0</v>
      </c>
      <c r="QAR4">
        <f>Database!QBK28</f>
        <v>0</v>
      </c>
      <c r="QAS4">
        <f>Database!QBL28</f>
        <v>0</v>
      </c>
      <c r="QAT4">
        <f>Database!QBM28</f>
        <v>0</v>
      </c>
      <c r="QAU4">
        <f>Database!QBN28</f>
        <v>0</v>
      </c>
      <c r="QAV4">
        <f>Database!QBO28</f>
        <v>0</v>
      </c>
      <c r="QAW4">
        <f>Database!QBP28</f>
        <v>0</v>
      </c>
      <c r="QAX4">
        <f>Database!QBQ28</f>
        <v>0</v>
      </c>
      <c r="QAY4">
        <f>Database!QBR28</f>
        <v>0</v>
      </c>
      <c r="QAZ4">
        <f>Database!QBS28</f>
        <v>0</v>
      </c>
      <c r="QBA4">
        <f>Database!QBT28</f>
        <v>0</v>
      </c>
      <c r="QBB4">
        <f>Database!QBU28</f>
        <v>0</v>
      </c>
      <c r="QBC4">
        <f>Database!QBV28</f>
        <v>0</v>
      </c>
      <c r="QBD4">
        <f>Database!QBW28</f>
        <v>0</v>
      </c>
      <c r="QBE4">
        <f>Database!QBX28</f>
        <v>0</v>
      </c>
      <c r="QBF4">
        <f>Database!QBY28</f>
        <v>0</v>
      </c>
      <c r="QBG4">
        <f>Database!QBZ28</f>
        <v>0</v>
      </c>
      <c r="QBH4">
        <f>Database!QCA28</f>
        <v>0</v>
      </c>
      <c r="QBI4">
        <f>Database!QCB28</f>
        <v>0</v>
      </c>
      <c r="QBJ4">
        <f>Database!QCC28</f>
        <v>0</v>
      </c>
      <c r="QBK4">
        <f>Database!QCD28</f>
        <v>0</v>
      </c>
      <c r="QBL4">
        <f>Database!QCE28</f>
        <v>0</v>
      </c>
      <c r="QBM4">
        <f>Database!QCF28</f>
        <v>0</v>
      </c>
      <c r="QBN4">
        <f>Database!QCG28</f>
        <v>0</v>
      </c>
      <c r="QBO4">
        <f>Database!QCH28</f>
        <v>0</v>
      </c>
      <c r="QBP4">
        <f>Database!QCI28</f>
        <v>0</v>
      </c>
      <c r="QBQ4">
        <f>Database!QCJ28</f>
        <v>0</v>
      </c>
      <c r="QBR4">
        <f>Database!QCK28</f>
        <v>0</v>
      </c>
      <c r="QBS4">
        <f>Database!QCL28</f>
        <v>0</v>
      </c>
      <c r="QBT4">
        <f>Database!QCM28</f>
        <v>0</v>
      </c>
      <c r="QBU4">
        <f>Database!QCN28</f>
        <v>0</v>
      </c>
      <c r="QBV4">
        <f>Database!QCO28</f>
        <v>0</v>
      </c>
      <c r="QBW4">
        <f>Database!QCP28</f>
        <v>0</v>
      </c>
      <c r="QBX4">
        <f>Database!QCQ28</f>
        <v>0</v>
      </c>
      <c r="QBY4">
        <f>Database!QCR28</f>
        <v>0</v>
      </c>
      <c r="QBZ4">
        <f>Database!QCS28</f>
        <v>0</v>
      </c>
      <c r="QCA4">
        <f>Database!QCT28</f>
        <v>0</v>
      </c>
      <c r="QCB4">
        <f>Database!QCU28</f>
        <v>0</v>
      </c>
      <c r="QCC4">
        <f>Database!QCV28</f>
        <v>0</v>
      </c>
      <c r="QCD4">
        <f>Database!QCW28</f>
        <v>0</v>
      </c>
      <c r="QCE4">
        <f>Database!QCX28</f>
        <v>0</v>
      </c>
      <c r="QCF4">
        <f>Database!QCY28</f>
        <v>0</v>
      </c>
      <c r="QCG4">
        <f>Database!QCZ28</f>
        <v>0</v>
      </c>
      <c r="QCH4">
        <f>Database!QDA28</f>
        <v>0</v>
      </c>
      <c r="QCI4">
        <f>Database!QDB28</f>
        <v>0</v>
      </c>
      <c r="QCJ4">
        <f>Database!QDC28</f>
        <v>0</v>
      </c>
      <c r="QCK4">
        <f>Database!QDD28</f>
        <v>0</v>
      </c>
      <c r="QCL4">
        <f>Database!QDE28</f>
        <v>0</v>
      </c>
      <c r="QCM4">
        <f>Database!QDF28</f>
        <v>0</v>
      </c>
      <c r="QCN4">
        <f>Database!QDG28</f>
        <v>0</v>
      </c>
      <c r="QCO4">
        <f>Database!QDH28</f>
        <v>0</v>
      </c>
      <c r="QCP4">
        <f>Database!QDI28</f>
        <v>0</v>
      </c>
      <c r="QCQ4">
        <f>Database!QDJ28</f>
        <v>0</v>
      </c>
      <c r="QCR4">
        <f>Database!QDK28</f>
        <v>0</v>
      </c>
      <c r="QCS4">
        <f>Database!QDL28</f>
        <v>0</v>
      </c>
      <c r="QCT4">
        <f>Database!QDM28</f>
        <v>0</v>
      </c>
      <c r="QCU4">
        <f>Database!QDN28</f>
        <v>0</v>
      </c>
      <c r="QCV4">
        <f>Database!QDO28</f>
        <v>0</v>
      </c>
      <c r="QCW4">
        <f>Database!QDP28</f>
        <v>0</v>
      </c>
      <c r="QCX4">
        <f>Database!QDQ28</f>
        <v>0</v>
      </c>
      <c r="QCY4">
        <f>Database!QDR28</f>
        <v>0</v>
      </c>
      <c r="QCZ4">
        <f>Database!QDS28</f>
        <v>0</v>
      </c>
      <c r="QDA4">
        <f>Database!QDT28</f>
        <v>0</v>
      </c>
      <c r="QDB4">
        <f>Database!QDU28</f>
        <v>0</v>
      </c>
      <c r="QDC4">
        <f>Database!QDV28</f>
        <v>0</v>
      </c>
      <c r="QDD4">
        <f>Database!QDW28</f>
        <v>0</v>
      </c>
      <c r="QDE4">
        <f>Database!QDX28</f>
        <v>0</v>
      </c>
      <c r="QDF4">
        <f>Database!QDY28</f>
        <v>0</v>
      </c>
      <c r="QDG4">
        <f>Database!QDZ28</f>
        <v>0</v>
      </c>
      <c r="QDH4">
        <f>Database!QEA28</f>
        <v>0</v>
      </c>
      <c r="QDI4">
        <f>Database!QEB28</f>
        <v>0</v>
      </c>
      <c r="QDJ4">
        <f>Database!QEC28</f>
        <v>0</v>
      </c>
      <c r="QDK4">
        <f>Database!QED28</f>
        <v>0</v>
      </c>
      <c r="QDL4">
        <f>Database!QEE28</f>
        <v>0</v>
      </c>
      <c r="QDM4">
        <f>Database!QEF28</f>
        <v>0</v>
      </c>
      <c r="QDN4">
        <f>Database!QEG28</f>
        <v>0</v>
      </c>
      <c r="QDO4">
        <f>Database!QEH28</f>
        <v>0</v>
      </c>
      <c r="QDP4">
        <f>Database!QEI28</f>
        <v>0</v>
      </c>
      <c r="QDQ4">
        <f>Database!QEJ28</f>
        <v>0</v>
      </c>
      <c r="QDR4">
        <f>Database!QEK28</f>
        <v>0</v>
      </c>
      <c r="QDS4">
        <f>Database!QEL28</f>
        <v>0</v>
      </c>
      <c r="QDT4">
        <f>Database!QEM28</f>
        <v>0</v>
      </c>
      <c r="QDU4">
        <f>Database!QEN28</f>
        <v>0</v>
      </c>
      <c r="QDV4">
        <f>Database!QEO28</f>
        <v>0</v>
      </c>
      <c r="QDW4">
        <f>Database!QEP28</f>
        <v>0</v>
      </c>
      <c r="QDX4">
        <f>Database!QEQ28</f>
        <v>0</v>
      </c>
      <c r="QDY4">
        <f>Database!QER28</f>
        <v>0</v>
      </c>
      <c r="QDZ4">
        <f>Database!QES28</f>
        <v>0</v>
      </c>
      <c r="QEA4">
        <f>Database!QET28</f>
        <v>0</v>
      </c>
      <c r="QEB4">
        <f>Database!QEU28</f>
        <v>0</v>
      </c>
      <c r="QEC4">
        <f>Database!QEV28</f>
        <v>0</v>
      </c>
      <c r="QED4">
        <f>Database!QEW28</f>
        <v>0</v>
      </c>
      <c r="QEE4">
        <f>Database!QEX28</f>
        <v>0</v>
      </c>
      <c r="QEF4">
        <f>Database!QEY28</f>
        <v>0</v>
      </c>
      <c r="QEG4">
        <f>Database!QEZ28</f>
        <v>0</v>
      </c>
      <c r="QEH4">
        <f>Database!QFA28</f>
        <v>0</v>
      </c>
      <c r="QEI4">
        <f>Database!QFB28</f>
        <v>0</v>
      </c>
      <c r="QEJ4">
        <f>Database!QFC28</f>
        <v>0</v>
      </c>
      <c r="QEK4">
        <f>Database!QFD28</f>
        <v>0</v>
      </c>
      <c r="QEL4">
        <f>Database!QFE28</f>
        <v>0</v>
      </c>
      <c r="QEM4">
        <f>Database!QFF28</f>
        <v>0</v>
      </c>
      <c r="QEN4">
        <f>Database!QFG28</f>
        <v>0</v>
      </c>
      <c r="QEO4">
        <f>Database!QFH28</f>
        <v>0</v>
      </c>
      <c r="QEP4">
        <f>Database!QFI28</f>
        <v>0</v>
      </c>
      <c r="QEQ4">
        <f>Database!QFJ28</f>
        <v>0</v>
      </c>
      <c r="QER4">
        <f>Database!QFK28</f>
        <v>0</v>
      </c>
      <c r="QES4">
        <f>Database!QFL28</f>
        <v>0</v>
      </c>
      <c r="QET4">
        <f>Database!QFM28</f>
        <v>0</v>
      </c>
      <c r="QEU4">
        <f>Database!QFN28</f>
        <v>0</v>
      </c>
      <c r="QEV4">
        <f>Database!QFO28</f>
        <v>0</v>
      </c>
      <c r="QEW4">
        <f>Database!QFP28</f>
        <v>0</v>
      </c>
      <c r="QEX4">
        <f>Database!QFQ28</f>
        <v>0</v>
      </c>
      <c r="QEY4">
        <f>Database!QFR28</f>
        <v>0</v>
      </c>
      <c r="QEZ4">
        <f>Database!QFS28</f>
        <v>0</v>
      </c>
      <c r="QFA4">
        <f>Database!QFT28</f>
        <v>0</v>
      </c>
      <c r="QFB4">
        <f>Database!QFU28</f>
        <v>0</v>
      </c>
      <c r="QFC4">
        <f>Database!QFV28</f>
        <v>0</v>
      </c>
      <c r="QFD4">
        <f>Database!QFW28</f>
        <v>0</v>
      </c>
      <c r="QFE4">
        <f>Database!QFX28</f>
        <v>0</v>
      </c>
      <c r="QFF4">
        <f>Database!QFY28</f>
        <v>0</v>
      </c>
      <c r="QFG4">
        <f>Database!QFZ28</f>
        <v>0</v>
      </c>
      <c r="QFH4">
        <f>Database!QGA28</f>
        <v>0</v>
      </c>
      <c r="QFI4">
        <f>Database!QGB28</f>
        <v>0</v>
      </c>
      <c r="QFJ4">
        <f>Database!QGC28</f>
        <v>0</v>
      </c>
      <c r="QFK4">
        <f>Database!QGD28</f>
        <v>0</v>
      </c>
      <c r="QFL4">
        <f>Database!QGE28</f>
        <v>0</v>
      </c>
      <c r="QFM4">
        <f>Database!QGF28</f>
        <v>0</v>
      </c>
      <c r="QFN4">
        <f>Database!QGG28</f>
        <v>0</v>
      </c>
      <c r="QFO4">
        <f>Database!QGH28</f>
        <v>0</v>
      </c>
      <c r="QFP4">
        <f>Database!QGI28</f>
        <v>0</v>
      </c>
      <c r="QFQ4">
        <f>Database!QGJ28</f>
        <v>0</v>
      </c>
      <c r="QFR4">
        <f>Database!QGK28</f>
        <v>0</v>
      </c>
      <c r="QFS4">
        <f>Database!QGL28</f>
        <v>0</v>
      </c>
      <c r="QFT4">
        <f>Database!QGM28</f>
        <v>0</v>
      </c>
      <c r="QFU4">
        <f>Database!QGN28</f>
        <v>0</v>
      </c>
      <c r="QFV4">
        <f>Database!QGO28</f>
        <v>0</v>
      </c>
      <c r="QFW4">
        <f>Database!QGP28</f>
        <v>0</v>
      </c>
      <c r="QFX4">
        <f>Database!QGQ28</f>
        <v>0</v>
      </c>
      <c r="QFY4">
        <f>Database!QGR28</f>
        <v>0</v>
      </c>
      <c r="QFZ4">
        <f>Database!QGS28</f>
        <v>0</v>
      </c>
      <c r="QGA4">
        <f>Database!QGT28</f>
        <v>0</v>
      </c>
      <c r="QGB4">
        <f>Database!QGU28</f>
        <v>0</v>
      </c>
      <c r="QGC4">
        <f>Database!QGV28</f>
        <v>0</v>
      </c>
      <c r="QGD4">
        <f>Database!QGW28</f>
        <v>0</v>
      </c>
      <c r="QGE4">
        <f>Database!QGX28</f>
        <v>0</v>
      </c>
      <c r="QGF4">
        <f>Database!QGY28</f>
        <v>0</v>
      </c>
      <c r="QGG4">
        <f>Database!QGZ28</f>
        <v>0</v>
      </c>
      <c r="QGH4">
        <f>Database!QHA28</f>
        <v>0</v>
      </c>
      <c r="QGI4">
        <f>Database!QHB28</f>
        <v>0</v>
      </c>
      <c r="QGJ4">
        <f>Database!QHC28</f>
        <v>0</v>
      </c>
      <c r="QGK4">
        <f>Database!QHD28</f>
        <v>0</v>
      </c>
      <c r="QGL4">
        <f>Database!QHE28</f>
        <v>0</v>
      </c>
      <c r="QGM4">
        <f>Database!QHF28</f>
        <v>0</v>
      </c>
      <c r="QGN4">
        <f>Database!QHG28</f>
        <v>0</v>
      </c>
      <c r="QGO4">
        <f>Database!QHH28</f>
        <v>0</v>
      </c>
      <c r="QGP4">
        <f>Database!QHI28</f>
        <v>0</v>
      </c>
      <c r="QGQ4">
        <f>Database!QHJ28</f>
        <v>0</v>
      </c>
      <c r="QGR4">
        <f>Database!QHK28</f>
        <v>0</v>
      </c>
      <c r="QGS4">
        <f>Database!QHL28</f>
        <v>0</v>
      </c>
      <c r="QGT4">
        <f>Database!QHM28</f>
        <v>0</v>
      </c>
      <c r="QGU4">
        <f>Database!QHN28</f>
        <v>0</v>
      </c>
      <c r="QGV4">
        <f>Database!QHO28</f>
        <v>0</v>
      </c>
      <c r="QGW4">
        <f>Database!QHP28</f>
        <v>0</v>
      </c>
      <c r="QGX4">
        <f>Database!QHQ28</f>
        <v>0</v>
      </c>
      <c r="QGY4">
        <f>Database!QHR28</f>
        <v>0</v>
      </c>
      <c r="QGZ4">
        <f>Database!QHS28</f>
        <v>0</v>
      </c>
      <c r="QHA4">
        <f>Database!QHT28</f>
        <v>0</v>
      </c>
      <c r="QHB4">
        <f>Database!QHU28</f>
        <v>0</v>
      </c>
      <c r="QHC4">
        <f>Database!QHV28</f>
        <v>0</v>
      </c>
      <c r="QHD4">
        <f>Database!QHW28</f>
        <v>0</v>
      </c>
      <c r="QHE4">
        <f>Database!QHX28</f>
        <v>0</v>
      </c>
      <c r="QHF4">
        <f>Database!QHY28</f>
        <v>0</v>
      </c>
      <c r="QHG4">
        <f>Database!QHZ28</f>
        <v>0</v>
      </c>
      <c r="QHH4">
        <f>Database!QIA28</f>
        <v>0</v>
      </c>
      <c r="QHI4">
        <f>Database!QIB28</f>
        <v>0</v>
      </c>
      <c r="QHJ4">
        <f>Database!QIC28</f>
        <v>0</v>
      </c>
      <c r="QHK4">
        <f>Database!QID28</f>
        <v>0</v>
      </c>
      <c r="QHL4">
        <f>Database!QIE28</f>
        <v>0</v>
      </c>
      <c r="QHM4">
        <f>Database!QIF28</f>
        <v>0</v>
      </c>
      <c r="QHN4">
        <f>Database!QIG28</f>
        <v>0</v>
      </c>
      <c r="QHO4">
        <f>Database!QIH28</f>
        <v>0</v>
      </c>
      <c r="QHP4">
        <f>Database!QII28</f>
        <v>0</v>
      </c>
      <c r="QHQ4">
        <f>Database!QIJ28</f>
        <v>0</v>
      </c>
      <c r="QHR4">
        <f>Database!QIK28</f>
        <v>0</v>
      </c>
      <c r="QHS4">
        <f>Database!QIL28</f>
        <v>0</v>
      </c>
      <c r="QHT4">
        <f>Database!QIM28</f>
        <v>0</v>
      </c>
      <c r="QHU4">
        <f>Database!QIN28</f>
        <v>0</v>
      </c>
      <c r="QHV4">
        <f>Database!QIO28</f>
        <v>0</v>
      </c>
      <c r="QHW4">
        <f>Database!QIP28</f>
        <v>0</v>
      </c>
      <c r="QHX4">
        <f>Database!QIQ28</f>
        <v>0</v>
      </c>
      <c r="QHY4">
        <f>Database!QIR28</f>
        <v>0</v>
      </c>
      <c r="QHZ4">
        <f>Database!QIS28</f>
        <v>0</v>
      </c>
      <c r="QIA4">
        <f>Database!QIT28</f>
        <v>0</v>
      </c>
      <c r="QIB4">
        <f>Database!QIU28</f>
        <v>0</v>
      </c>
      <c r="QIC4">
        <f>Database!QIV28</f>
        <v>0</v>
      </c>
      <c r="QID4">
        <f>Database!QIW28</f>
        <v>0</v>
      </c>
      <c r="QIE4">
        <f>Database!QIX28</f>
        <v>0</v>
      </c>
      <c r="QIF4">
        <f>Database!QIY28</f>
        <v>0</v>
      </c>
      <c r="QIG4">
        <f>Database!QIZ28</f>
        <v>0</v>
      </c>
      <c r="QIH4">
        <f>Database!QJA28</f>
        <v>0</v>
      </c>
      <c r="QII4">
        <f>Database!QJB28</f>
        <v>0</v>
      </c>
      <c r="QIJ4">
        <f>Database!QJC28</f>
        <v>0</v>
      </c>
      <c r="QIK4">
        <f>Database!QJD28</f>
        <v>0</v>
      </c>
      <c r="QIL4">
        <f>Database!QJE28</f>
        <v>0</v>
      </c>
      <c r="QIM4">
        <f>Database!QJF28</f>
        <v>0</v>
      </c>
      <c r="QIN4">
        <f>Database!QJG28</f>
        <v>0</v>
      </c>
      <c r="QIO4">
        <f>Database!QJH28</f>
        <v>0</v>
      </c>
      <c r="QIP4">
        <f>Database!QJI28</f>
        <v>0</v>
      </c>
      <c r="QIQ4">
        <f>Database!QJJ28</f>
        <v>0</v>
      </c>
      <c r="QIR4">
        <f>Database!QJK28</f>
        <v>0</v>
      </c>
      <c r="QIS4">
        <f>Database!QJL28</f>
        <v>0</v>
      </c>
      <c r="QIT4">
        <f>Database!QJM28</f>
        <v>0</v>
      </c>
      <c r="QIU4">
        <f>Database!QJN28</f>
        <v>0</v>
      </c>
      <c r="QIV4">
        <f>Database!QJO28</f>
        <v>0</v>
      </c>
      <c r="QIW4">
        <f>Database!QJP28</f>
        <v>0</v>
      </c>
      <c r="QIX4">
        <f>Database!QJQ28</f>
        <v>0</v>
      </c>
      <c r="QIY4">
        <f>Database!QJR28</f>
        <v>0</v>
      </c>
      <c r="QIZ4">
        <f>Database!QJS28</f>
        <v>0</v>
      </c>
      <c r="QJA4">
        <f>Database!QJT28</f>
        <v>0</v>
      </c>
      <c r="QJB4">
        <f>Database!QJU28</f>
        <v>0</v>
      </c>
      <c r="QJC4">
        <f>Database!QJV28</f>
        <v>0</v>
      </c>
      <c r="QJD4">
        <f>Database!QJW28</f>
        <v>0</v>
      </c>
      <c r="QJE4">
        <f>Database!QJX28</f>
        <v>0</v>
      </c>
      <c r="QJF4">
        <f>Database!QJY28</f>
        <v>0</v>
      </c>
      <c r="QJG4">
        <f>Database!QJZ28</f>
        <v>0</v>
      </c>
      <c r="QJH4">
        <f>Database!QKA28</f>
        <v>0</v>
      </c>
      <c r="QJI4">
        <f>Database!QKB28</f>
        <v>0</v>
      </c>
      <c r="QJJ4">
        <f>Database!QKC28</f>
        <v>0</v>
      </c>
      <c r="QJK4">
        <f>Database!QKD28</f>
        <v>0</v>
      </c>
      <c r="QJL4">
        <f>Database!QKE28</f>
        <v>0</v>
      </c>
      <c r="QJM4">
        <f>Database!QKF28</f>
        <v>0</v>
      </c>
      <c r="QJN4">
        <f>Database!QKG28</f>
        <v>0</v>
      </c>
      <c r="QJO4">
        <f>Database!QKH28</f>
        <v>0</v>
      </c>
      <c r="QJP4">
        <f>Database!QKI28</f>
        <v>0</v>
      </c>
      <c r="QJQ4">
        <f>Database!QKJ28</f>
        <v>0</v>
      </c>
      <c r="QJR4">
        <f>Database!QKK28</f>
        <v>0</v>
      </c>
      <c r="QJS4">
        <f>Database!QKL28</f>
        <v>0</v>
      </c>
      <c r="QJT4">
        <f>Database!QKM28</f>
        <v>0</v>
      </c>
      <c r="QJU4">
        <f>Database!QKN28</f>
        <v>0</v>
      </c>
      <c r="QJV4">
        <f>Database!QKO28</f>
        <v>0</v>
      </c>
      <c r="QJW4">
        <f>Database!QKP28</f>
        <v>0</v>
      </c>
      <c r="QJX4">
        <f>Database!QKQ28</f>
        <v>0</v>
      </c>
      <c r="QJY4">
        <f>Database!QKR28</f>
        <v>0</v>
      </c>
      <c r="QJZ4">
        <f>Database!QKS28</f>
        <v>0</v>
      </c>
      <c r="QKA4">
        <f>Database!QKT28</f>
        <v>0</v>
      </c>
      <c r="QKB4">
        <f>Database!QKU28</f>
        <v>0</v>
      </c>
      <c r="QKC4">
        <f>Database!QKV28</f>
        <v>0</v>
      </c>
      <c r="QKD4">
        <f>Database!QKW28</f>
        <v>0</v>
      </c>
      <c r="QKE4">
        <f>Database!QKX28</f>
        <v>0</v>
      </c>
      <c r="QKF4">
        <f>Database!QKY28</f>
        <v>0</v>
      </c>
      <c r="QKG4">
        <f>Database!QKZ28</f>
        <v>0</v>
      </c>
      <c r="QKH4">
        <f>Database!QLA28</f>
        <v>0</v>
      </c>
      <c r="QKI4">
        <f>Database!QLB28</f>
        <v>0</v>
      </c>
      <c r="QKJ4">
        <f>Database!QLC28</f>
        <v>0</v>
      </c>
      <c r="QKK4">
        <f>Database!QLD28</f>
        <v>0</v>
      </c>
      <c r="QKL4">
        <f>Database!QLE28</f>
        <v>0</v>
      </c>
      <c r="QKM4">
        <f>Database!QLF28</f>
        <v>0</v>
      </c>
      <c r="QKN4">
        <f>Database!QLG28</f>
        <v>0</v>
      </c>
      <c r="QKO4">
        <f>Database!QLH28</f>
        <v>0</v>
      </c>
      <c r="QKP4">
        <f>Database!QLI28</f>
        <v>0</v>
      </c>
      <c r="QKQ4">
        <f>Database!QLJ28</f>
        <v>0</v>
      </c>
      <c r="QKR4">
        <f>Database!QLK28</f>
        <v>0</v>
      </c>
      <c r="QKS4">
        <f>Database!QLL28</f>
        <v>0</v>
      </c>
      <c r="QKT4">
        <f>Database!QLM28</f>
        <v>0</v>
      </c>
      <c r="QKU4">
        <f>Database!QLN28</f>
        <v>0</v>
      </c>
      <c r="QKV4">
        <f>Database!QLO28</f>
        <v>0</v>
      </c>
      <c r="QKW4">
        <f>Database!QLP28</f>
        <v>0</v>
      </c>
      <c r="QKX4">
        <f>Database!QLQ28</f>
        <v>0</v>
      </c>
      <c r="QKY4">
        <f>Database!QLR28</f>
        <v>0</v>
      </c>
      <c r="QKZ4">
        <f>Database!QLS28</f>
        <v>0</v>
      </c>
      <c r="QLA4">
        <f>Database!QLT28</f>
        <v>0</v>
      </c>
      <c r="QLB4">
        <f>Database!QLU28</f>
        <v>0</v>
      </c>
      <c r="QLC4">
        <f>Database!QLV28</f>
        <v>0</v>
      </c>
      <c r="QLD4">
        <f>Database!QLW28</f>
        <v>0</v>
      </c>
      <c r="QLE4">
        <f>Database!QLX28</f>
        <v>0</v>
      </c>
      <c r="QLF4">
        <f>Database!QLY28</f>
        <v>0</v>
      </c>
      <c r="QLG4">
        <f>Database!QLZ28</f>
        <v>0</v>
      </c>
      <c r="QLH4">
        <f>Database!QMA28</f>
        <v>0</v>
      </c>
      <c r="QLI4">
        <f>Database!QMB28</f>
        <v>0</v>
      </c>
      <c r="QLJ4">
        <f>Database!QMC28</f>
        <v>0</v>
      </c>
      <c r="QLK4">
        <f>Database!QMD28</f>
        <v>0</v>
      </c>
      <c r="QLL4">
        <f>Database!QME28</f>
        <v>0</v>
      </c>
      <c r="QLM4">
        <f>Database!QMF28</f>
        <v>0</v>
      </c>
      <c r="QLN4">
        <f>Database!QMG28</f>
        <v>0</v>
      </c>
      <c r="QLO4">
        <f>Database!QMH28</f>
        <v>0</v>
      </c>
      <c r="QLP4">
        <f>Database!QMI28</f>
        <v>0</v>
      </c>
      <c r="QLQ4">
        <f>Database!QMJ28</f>
        <v>0</v>
      </c>
      <c r="QLR4">
        <f>Database!QMK28</f>
        <v>0</v>
      </c>
      <c r="QLS4">
        <f>Database!QML28</f>
        <v>0</v>
      </c>
      <c r="QLT4">
        <f>Database!QMM28</f>
        <v>0</v>
      </c>
      <c r="QLU4">
        <f>Database!QMN28</f>
        <v>0</v>
      </c>
      <c r="QLV4">
        <f>Database!QMO28</f>
        <v>0</v>
      </c>
      <c r="QLW4">
        <f>Database!QMP28</f>
        <v>0</v>
      </c>
      <c r="QLX4">
        <f>Database!QMQ28</f>
        <v>0</v>
      </c>
      <c r="QLY4">
        <f>Database!QMR28</f>
        <v>0</v>
      </c>
      <c r="QLZ4">
        <f>Database!QMS28</f>
        <v>0</v>
      </c>
      <c r="QMA4">
        <f>Database!QMT28</f>
        <v>0</v>
      </c>
      <c r="QMB4">
        <f>Database!QMU28</f>
        <v>0</v>
      </c>
      <c r="QMC4">
        <f>Database!QMV28</f>
        <v>0</v>
      </c>
      <c r="QMD4">
        <f>Database!QMW28</f>
        <v>0</v>
      </c>
      <c r="QME4">
        <f>Database!QMX28</f>
        <v>0</v>
      </c>
      <c r="QMF4">
        <f>Database!QMY28</f>
        <v>0</v>
      </c>
      <c r="QMG4">
        <f>Database!QMZ28</f>
        <v>0</v>
      </c>
      <c r="QMH4">
        <f>Database!QNA28</f>
        <v>0</v>
      </c>
      <c r="QMI4">
        <f>Database!QNB28</f>
        <v>0</v>
      </c>
      <c r="QMJ4">
        <f>Database!QNC28</f>
        <v>0</v>
      </c>
      <c r="QMK4">
        <f>Database!QND28</f>
        <v>0</v>
      </c>
      <c r="QML4">
        <f>Database!QNE28</f>
        <v>0</v>
      </c>
      <c r="QMM4">
        <f>Database!QNF28</f>
        <v>0</v>
      </c>
      <c r="QMN4">
        <f>Database!QNG28</f>
        <v>0</v>
      </c>
      <c r="QMO4">
        <f>Database!QNH28</f>
        <v>0</v>
      </c>
      <c r="QMP4">
        <f>Database!QNI28</f>
        <v>0</v>
      </c>
      <c r="QMQ4">
        <f>Database!QNJ28</f>
        <v>0</v>
      </c>
      <c r="QMR4">
        <f>Database!QNK28</f>
        <v>0</v>
      </c>
      <c r="QMS4">
        <f>Database!QNL28</f>
        <v>0</v>
      </c>
      <c r="QMT4">
        <f>Database!QNM28</f>
        <v>0</v>
      </c>
      <c r="QMU4">
        <f>Database!QNN28</f>
        <v>0</v>
      </c>
      <c r="QMV4">
        <f>Database!QNO28</f>
        <v>0</v>
      </c>
      <c r="QMW4">
        <f>Database!QNP28</f>
        <v>0</v>
      </c>
      <c r="QMX4">
        <f>Database!QNQ28</f>
        <v>0</v>
      </c>
      <c r="QMY4">
        <f>Database!QNR28</f>
        <v>0</v>
      </c>
      <c r="QMZ4">
        <f>Database!QNS28</f>
        <v>0</v>
      </c>
      <c r="QNA4">
        <f>Database!QNT28</f>
        <v>0</v>
      </c>
      <c r="QNB4">
        <f>Database!QNU28</f>
        <v>0</v>
      </c>
      <c r="QNC4">
        <f>Database!QNV28</f>
        <v>0</v>
      </c>
      <c r="QND4">
        <f>Database!QNW28</f>
        <v>0</v>
      </c>
      <c r="QNE4">
        <f>Database!QNX28</f>
        <v>0</v>
      </c>
      <c r="QNF4">
        <f>Database!QNY28</f>
        <v>0</v>
      </c>
      <c r="QNG4">
        <f>Database!QNZ28</f>
        <v>0</v>
      </c>
      <c r="QNH4">
        <f>Database!QOA28</f>
        <v>0</v>
      </c>
      <c r="QNI4">
        <f>Database!QOB28</f>
        <v>0</v>
      </c>
      <c r="QNJ4">
        <f>Database!QOC28</f>
        <v>0</v>
      </c>
      <c r="QNK4">
        <f>Database!QOD28</f>
        <v>0</v>
      </c>
      <c r="QNL4">
        <f>Database!QOE28</f>
        <v>0</v>
      </c>
      <c r="QNM4">
        <f>Database!QOF28</f>
        <v>0</v>
      </c>
      <c r="QNN4">
        <f>Database!QOG28</f>
        <v>0</v>
      </c>
      <c r="QNO4">
        <f>Database!QOH28</f>
        <v>0</v>
      </c>
      <c r="QNP4">
        <f>Database!QOI28</f>
        <v>0</v>
      </c>
      <c r="QNQ4">
        <f>Database!QOJ28</f>
        <v>0</v>
      </c>
      <c r="QNR4">
        <f>Database!QOK28</f>
        <v>0</v>
      </c>
      <c r="QNS4">
        <f>Database!QOL28</f>
        <v>0</v>
      </c>
      <c r="QNT4">
        <f>Database!QOM28</f>
        <v>0</v>
      </c>
      <c r="QNU4">
        <f>Database!QON28</f>
        <v>0</v>
      </c>
      <c r="QNV4">
        <f>Database!QOO28</f>
        <v>0</v>
      </c>
      <c r="QNW4">
        <f>Database!QOP28</f>
        <v>0</v>
      </c>
      <c r="QNX4">
        <f>Database!QOQ28</f>
        <v>0</v>
      </c>
      <c r="QNY4">
        <f>Database!QOR28</f>
        <v>0</v>
      </c>
      <c r="QNZ4">
        <f>Database!QOS28</f>
        <v>0</v>
      </c>
      <c r="QOA4">
        <f>Database!QOT28</f>
        <v>0</v>
      </c>
      <c r="QOB4">
        <f>Database!QOU28</f>
        <v>0</v>
      </c>
      <c r="QOC4">
        <f>Database!QOV28</f>
        <v>0</v>
      </c>
      <c r="QOD4">
        <f>Database!QOW28</f>
        <v>0</v>
      </c>
      <c r="QOE4">
        <f>Database!QOX28</f>
        <v>0</v>
      </c>
      <c r="QOF4">
        <f>Database!QOY28</f>
        <v>0</v>
      </c>
      <c r="QOG4">
        <f>Database!QOZ28</f>
        <v>0</v>
      </c>
      <c r="QOH4">
        <f>Database!QPA28</f>
        <v>0</v>
      </c>
      <c r="QOI4">
        <f>Database!QPB28</f>
        <v>0</v>
      </c>
      <c r="QOJ4">
        <f>Database!QPC28</f>
        <v>0</v>
      </c>
      <c r="QOK4">
        <f>Database!QPD28</f>
        <v>0</v>
      </c>
      <c r="QOL4">
        <f>Database!QPE28</f>
        <v>0</v>
      </c>
      <c r="QOM4">
        <f>Database!QPF28</f>
        <v>0</v>
      </c>
      <c r="QON4">
        <f>Database!QPG28</f>
        <v>0</v>
      </c>
      <c r="QOO4">
        <f>Database!QPH28</f>
        <v>0</v>
      </c>
      <c r="QOP4">
        <f>Database!QPI28</f>
        <v>0</v>
      </c>
      <c r="QOQ4">
        <f>Database!QPJ28</f>
        <v>0</v>
      </c>
      <c r="QOR4">
        <f>Database!QPK28</f>
        <v>0</v>
      </c>
      <c r="QOS4">
        <f>Database!QPL28</f>
        <v>0</v>
      </c>
      <c r="QOT4">
        <f>Database!QPM28</f>
        <v>0</v>
      </c>
      <c r="QOU4">
        <f>Database!QPN28</f>
        <v>0</v>
      </c>
      <c r="QOV4">
        <f>Database!QPO28</f>
        <v>0</v>
      </c>
      <c r="QOW4">
        <f>Database!QPP28</f>
        <v>0</v>
      </c>
      <c r="QOX4">
        <f>Database!QPQ28</f>
        <v>0</v>
      </c>
      <c r="QOY4">
        <f>Database!QPR28</f>
        <v>0</v>
      </c>
      <c r="QOZ4">
        <f>Database!QPS28</f>
        <v>0</v>
      </c>
      <c r="QPA4">
        <f>Database!QPT28</f>
        <v>0</v>
      </c>
      <c r="QPB4">
        <f>Database!QPU28</f>
        <v>0</v>
      </c>
      <c r="QPC4">
        <f>Database!QPV28</f>
        <v>0</v>
      </c>
      <c r="QPD4">
        <f>Database!QPW28</f>
        <v>0</v>
      </c>
      <c r="QPE4">
        <f>Database!QPX28</f>
        <v>0</v>
      </c>
      <c r="QPF4">
        <f>Database!QPY28</f>
        <v>0</v>
      </c>
      <c r="QPG4">
        <f>Database!QPZ28</f>
        <v>0</v>
      </c>
      <c r="QPH4">
        <f>Database!QQA28</f>
        <v>0</v>
      </c>
      <c r="QPI4">
        <f>Database!QQB28</f>
        <v>0</v>
      </c>
      <c r="QPJ4">
        <f>Database!QQC28</f>
        <v>0</v>
      </c>
      <c r="QPK4">
        <f>Database!QQD28</f>
        <v>0</v>
      </c>
      <c r="QPL4">
        <f>Database!QQE28</f>
        <v>0</v>
      </c>
      <c r="QPM4">
        <f>Database!QQF28</f>
        <v>0</v>
      </c>
      <c r="QPN4">
        <f>Database!QQG28</f>
        <v>0</v>
      </c>
      <c r="QPO4">
        <f>Database!QQH28</f>
        <v>0</v>
      </c>
      <c r="QPP4">
        <f>Database!QQI28</f>
        <v>0</v>
      </c>
      <c r="QPQ4">
        <f>Database!QQJ28</f>
        <v>0</v>
      </c>
      <c r="QPR4">
        <f>Database!QQK28</f>
        <v>0</v>
      </c>
      <c r="QPS4">
        <f>Database!QQL28</f>
        <v>0</v>
      </c>
      <c r="QPT4">
        <f>Database!QQM28</f>
        <v>0</v>
      </c>
      <c r="QPU4">
        <f>Database!QQN28</f>
        <v>0</v>
      </c>
      <c r="QPV4">
        <f>Database!QQO28</f>
        <v>0</v>
      </c>
      <c r="QPW4">
        <f>Database!QQP28</f>
        <v>0</v>
      </c>
      <c r="QPX4">
        <f>Database!QQQ28</f>
        <v>0</v>
      </c>
      <c r="QPY4">
        <f>Database!QQR28</f>
        <v>0</v>
      </c>
      <c r="QPZ4">
        <f>Database!QQS28</f>
        <v>0</v>
      </c>
      <c r="QQA4">
        <f>Database!QQT28</f>
        <v>0</v>
      </c>
      <c r="QQB4">
        <f>Database!QQU28</f>
        <v>0</v>
      </c>
      <c r="QQC4">
        <f>Database!QQV28</f>
        <v>0</v>
      </c>
      <c r="QQD4">
        <f>Database!QQW28</f>
        <v>0</v>
      </c>
      <c r="QQE4">
        <f>Database!QQX28</f>
        <v>0</v>
      </c>
      <c r="QQF4">
        <f>Database!QQY28</f>
        <v>0</v>
      </c>
      <c r="QQG4">
        <f>Database!QQZ28</f>
        <v>0</v>
      </c>
      <c r="QQH4">
        <f>Database!QRA28</f>
        <v>0</v>
      </c>
      <c r="QQI4">
        <f>Database!QRB28</f>
        <v>0</v>
      </c>
      <c r="QQJ4">
        <f>Database!QRC28</f>
        <v>0</v>
      </c>
      <c r="QQK4">
        <f>Database!QRD28</f>
        <v>0</v>
      </c>
      <c r="QQL4">
        <f>Database!QRE28</f>
        <v>0</v>
      </c>
      <c r="QQM4">
        <f>Database!QRF28</f>
        <v>0</v>
      </c>
      <c r="QQN4">
        <f>Database!QRG28</f>
        <v>0</v>
      </c>
      <c r="QQO4">
        <f>Database!QRH28</f>
        <v>0</v>
      </c>
      <c r="QQP4">
        <f>Database!QRI28</f>
        <v>0</v>
      </c>
      <c r="QQQ4">
        <f>Database!QRJ28</f>
        <v>0</v>
      </c>
      <c r="QQR4">
        <f>Database!QRK28</f>
        <v>0</v>
      </c>
      <c r="QQS4">
        <f>Database!QRL28</f>
        <v>0</v>
      </c>
      <c r="QQT4">
        <f>Database!QRM28</f>
        <v>0</v>
      </c>
      <c r="QQU4">
        <f>Database!QRN28</f>
        <v>0</v>
      </c>
      <c r="QQV4">
        <f>Database!QRO28</f>
        <v>0</v>
      </c>
      <c r="QQW4">
        <f>Database!QRP28</f>
        <v>0</v>
      </c>
      <c r="QQX4">
        <f>Database!QRQ28</f>
        <v>0</v>
      </c>
      <c r="QQY4">
        <f>Database!QRR28</f>
        <v>0</v>
      </c>
      <c r="QQZ4">
        <f>Database!QRS28</f>
        <v>0</v>
      </c>
      <c r="QRA4">
        <f>Database!QRT28</f>
        <v>0</v>
      </c>
      <c r="QRB4">
        <f>Database!QRU28</f>
        <v>0</v>
      </c>
      <c r="QRC4">
        <f>Database!QRV28</f>
        <v>0</v>
      </c>
      <c r="QRD4">
        <f>Database!QRW28</f>
        <v>0</v>
      </c>
      <c r="QRE4">
        <f>Database!QRX28</f>
        <v>0</v>
      </c>
      <c r="QRF4">
        <f>Database!QRY28</f>
        <v>0</v>
      </c>
      <c r="QRG4">
        <f>Database!QRZ28</f>
        <v>0</v>
      </c>
      <c r="QRH4">
        <f>Database!QSA28</f>
        <v>0</v>
      </c>
      <c r="QRI4">
        <f>Database!QSB28</f>
        <v>0</v>
      </c>
      <c r="QRJ4">
        <f>Database!QSC28</f>
        <v>0</v>
      </c>
      <c r="QRK4">
        <f>Database!QSD28</f>
        <v>0</v>
      </c>
      <c r="QRL4">
        <f>Database!QSE28</f>
        <v>0</v>
      </c>
      <c r="QRM4">
        <f>Database!QSF28</f>
        <v>0</v>
      </c>
      <c r="QRN4">
        <f>Database!QSG28</f>
        <v>0</v>
      </c>
      <c r="QRO4">
        <f>Database!QSH28</f>
        <v>0</v>
      </c>
      <c r="QRP4">
        <f>Database!QSI28</f>
        <v>0</v>
      </c>
      <c r="QRQ4">
        <f>Database!QSJ28</f>
        <v>0</v>
      </c>
      <c r="QRR4">
        <f>Database!QSK28</f>
        <v>0</v>
      </c>
      <c r="QRS4">
        <f>Database!QSL28</f>
        <v>0</v>
      </c>
      <c r="QRT4">
        <f>Database!QSM28</f>
        <v>0</v>
      </c>
      <c r="QRU4">
        <f>Database!QSN28</f>
        <v>0</v>
      </c>
      <c r="QRV4">
        <f>Database!QSO28</f>
        <v>0</v>
      </c>
      <c r="QRW4">
        <f>Database!QSP28</f>
        <v>0</v>
      </c>
      <c r="QRX4">
        <f>Database!QSQ28</f>
        <v>0</v>
      </c>
      <c r="QRY4">
        <f>Database!QSR28</f>
        <v>0</v>
      </c>
      <c r="QRZ4">
        <f>Database!QSS28</f>
        <v>0</v>
      </c>
      <c r="QSA4">
        <f>Database!QST28</f>
        <v>0</v>
      </c>
      <c r="QSB4">
        <f>Database!QSU28</f>
        <v>0</v>
      </c>
      <c r="QSC4">
        <f>Database!QSV28</f>
        <v>0</v>
      </c>
      <c r="QSD4">
        <f>Database!QSW28</f>
        <v>0</v>
      </c>
      <c r="QSE4">
        <f>Database!QSX28</f>
        <v>0</v>
      </c>
      <c r="QSF4">
        <f>Database!QSY28</f>
        <v>0</v>
      </c>
      <c r="QSG4">
        <f>Database!QSZ28</f>
        <v>0</v>
      </c>
      <c r="QSH4">
        <f>Database!QTA28</f>
        <v>0</v>
      </c>
      <c r="QSI4">
        <f>Database!QTB28</f>
        <v>0</v>
      </c>
      <c r="QSJ4">
        <f>Database!QTC28</f>
        <v>0</v>
      </c>
      <c r="QSK4">
        <f>Database!QTD28</f>
        <v>0</v>
      </c>
      <c r="QSL4">
        <f>Database!QTE28</f>
        <v>0</v>
      </c>
      <c r="QSM4">
        <f>Database!QTF28</f>
        <v>0</v>
      </c>
      <c r="QSN4">
        <f>Database!QTG28</f>
        <v>0</v>
      </c>
      <c r="QSO4">
        <f>Database!QTH28</f>
        <v>0</v>
      </c>
      <c r="QSP4">
        <f>Database!QTI28</f>
        <v>0</v>
      </c>
      <c r="QSQ4">
        <f>Database!QTJ28</f>
        <v>0</v>
      </c>
      <c r="QSR4">
        <f>Database!QTK28</f>
        <v>0</v>
      </c>
      <c r="QSS4">
        <f>Database!QTL28</f>
        <v>0</v>
      </c>
      <c r="QST4">
        <f>Database!QTM28</f>
        <v>0</v>
      </c>
      <c r="QSU4">
        <f>Database!QTN28</f>
        <v>0</v>
      </c>
      <c r="QSV4">
        <f>Database!QTO28</f>
        <v>0</v>
      </c>
      <c r="QSW4">
        <f>Database!QTP28</f>
        <v>0</v>
      </c>
      <c r="QSX4">
        <f>Database!QTQ28</f>
        <v>0</v>
      </c>
      <c r="QSY4">
        <f>Database!QTR28</f>
        <v>0</v>
      </c>
      <c r="QSZ4">
        <f>Database!QTS28</f>
        <v>0</v>
      </c>
      <c r="QTA4">
        <f>Database!QTT28</f>
        <v>0</v>
      </c>
      <c r="QTB4">
        <f>Database!QTU28</f>
        <v>0</v>
      </c>
      <c r="QTC4">
        <f>Database!QTV28</f>
        <v>0</v>
      </c>
      <c r="QTD4">
        <f>Database!QTW28</f>
        <v>0</v>
      </c>
      <c r="QTE4">
        <f>Database!QTX28</f>
        <v>0</v>
      </c>
      <c r="QTF4">
        <f>Database!QTY28</f>
        <v>0</v>
      </c>
      <c r="QTG4">
        <f>Database!QTZ28</f>
        <v>0</v>
      </c>
      <c r="QTH4">
        <f>Database!QUA28</f>
        <v>0</v>
      </c>
      <c r="QTI4">
        <f>Database!QUB28</f>
        <v>0</v>
      </c>
      <c r="QTJ4">
        <f>Database!QUC28</f>
        <v>0</v>
      </c>
      <c r="QTK4">
        <f>Database!QUD28</f>
        <v>0</v>
      </c>
      <c r="QTL4">
        <f>Database!QUE28</f>
        <v>0</v>
      </c>
      <c r="QTM4">
        <f>Database!QUF28</f>
        <v>0</v>
      </c>
      <c r="QTN4">
        <f>Database!QUG28</f>
        <v>0</v>
      </c>
      <c r="QTO4">
        <f>Database!QUH28</f>
        <v>0</v>
      </c>
      <c r="QTP4">
        <f>Database!QUI28</f>
        <v>0</v>
      </c>
      <c r="QTQ4">
        <f>Database!QUJ28</f>
        <v>0</v>
      </c>
      <c r="QTR4">
        <f>Database!QUK28</f>
        <v>0</v>
      </c>
      <c r="QTS4">
        <f>Database!QUL28</f>
        <v>0</v>
      </c>
      <c r="QTT4">
        <f>Database!QUM28</f>
        <v>0</v>
      </c>
      <c r="QTU4">
        <f>Database!QUN28</f>
        <v>0</v>
      </c>
      <c r="QTV4">
        <f>Database!QUO28</f>
        <v>0</v>
      </c>
      <c r="QTW4">
        <f>Database!QUP28</f>
        <v>0</v>
      </c>
      <c r="QTX4">
        <f>Database!QUQ28</f>
        <v>0</v>
      </c>
      <c r="QTY4">
        <f>Database!QUR28</f>
        <v>0</v>
      </c>
      <c r="QTZ4">
        <f>Database!QUS28</f>
        <v>0</v>
      </c>
      <c r="QUA4">
        <f>Database!QUT28</f>
        <v>0</v>
      </c>
      <c r="QUB4">
        <f>Database!QUU28</f>
        <v>0</v>
      </c>
      <c r="QUC4">
        <f>Database!QUV28</f>
        <v>0</v>
      </c>
      <c r="QUD4">
        <f>Database!QUW28</f>
        <v>0</v>
      </c>
      <c r="QUE4">
        <f>Database!QUX28</f>
        <v>0</v>
      </c>
      <c r="QUF4">
        <f>Database!QUY28</f>
        <v>0</v>
      </c>
      <c r="QUG4">
        <f>Database!QUZ28</f>
        <v>0</v>
      </c>
      <c r="QUH4">
        <f>Database!QVA28</f>
        <v>0</v>
      </c>
      <c r="QUI4">
        <f>Database!QVB28</f>
        <v>0</v>
      </c>
      <c r="QUJ4">
        <f>Database!QVC28</f>
        <v>0</v>
      </c>
      <c r="QUK4">
        <f>Database!QVD28</f>
        <v>0</v>
      </c>
      <c r="QUL4">
        <f>Database!QVE28</f>
        <v>0</v>
      </c>
      <c r="QUM4">
        <f>Database!QVF28</f>
        <v>0</v>
      </c>
      <c r="QUN4">
        <f>Database!QVG28</f>
        <v>0</v>
      </c>
      <c r="QUO4">
        <f>Database!QVH28</f>
        <v>0</v>
      </c>
      <c r="QUP4">
        <f>Database!QVI28</f>
        <v>0</v>
      </c>
      <c r="QUQ4">
        <f>Database!QVJ28</f>
        <v>0</v>
      </c>
      <c r="QUR4">
        <f>Database!QVK28</f>
        <v>0</v>
      </c>
      <c r="QUS4">
        <f>Database!QVL28</f>
        <v>0</v>
      </c>
      <c r="QUT4">
        <f>Database!QVM28</f>
        <v>0</v>
      </c>
      <c r="QUU4">
        <f>Database!QVN28</f>
        <v>0</v>
      </c>
      <c r="QUV4">
        <f>Database!QVO28</f>
        <v>0</v>
      </c>
      <c r="QUW4">
        <f>Database!QVP28</f>
        <v>0</v>
      </c>
      <c r="QUX4">
        <f>Database!QVQ28</f>
        <v>0</v>
      </c>
      <c r="QUY4">
        <f>Database!QVR28</f>
        <v>0</v>
      </c>
      <c r="QUZ4">
        <f>Database!QVS28</f>
        <v>0</v>
      </c>
      <c r="QVA4">
        <f>Database!QVT28</f>
        <v>0</v>
      </c>
      <c r="QVB4">
        <f>Database!QVU28</f>
        <v>0</v>
      </c>
      <c r="QVC4">
        <f>Database!QVV28</f>
        <v>0</v>
      </c>
      <c r="QVD4">
        <f>Database!QVW28</f>
        <v>0</v>
      </c>
      <c r="QVE4">
        <f>Database!QVX28</f>
        <v>0</v>
      </c>
      <c r="QVF4">
        <f>Database!QVY28</f>
        <v>0</v>
      </c>
      <c r="QVG4">
        <f>Database!QVZ28</f>
        <v>0</v>
      </c>
      <c r="QVH4">
        <f>Database!QWA28</f>
        <v>0</v>
      </c>
      <c r="QVI4">
        <f>Database!QWB28</f>
        <v>0</v>
      </c>
      <c r="QVJ4">
        <f>Database!QWC28</f>
        <v>0</v>
      </c>
      <c r="QVK4">
        <f>Database!QWD28</f>
        <v>0</v>
      </c>
      <c r="QVL4">
        <f>Database!QWE28</f>
        <v>0</v>
      </c>
      <c r="QVM4">
        <f>Database!QWF28</f>
        <v>0</v>
      </c>
      <c r="QVN4">
        <f>Database!QWG28</f>
        <v>0</v>
      </c>
      <c r="QVO4">
        <f>Database!QWH28</f>
        <v>0</v>
      </c>
      <c r="QVP4">
        <f>Database!QWI28</f>
        <v>0</v>
      </c>
      <c r="QVQ4">
        <f>Database!QWJ28</f>
        <v>0</v>
      </c>
      <c r="QVR4">
        <f>Database!QWK28</f>
        <v>0</v>
      </c>
      <c r="QVS4">
        <f>Database!QWL28</f>
        <v>0</v>
      </c>
      <c r="QVT4">
        <f>Database!QWM28</f>
        <v>0</v>
      </c>
      <c r="QVU4">
        <f>Database!QWN28</f>
        <v>0</v>
      </c>
      <c r="QVV4">
        <f>Database!QWO28</f>
        <v>0</v>
      </c>
      <c r="QVW4">
        <f>Database!QWP28</f>
        <v>0</v>
      </c>
      <c r="QVX4">
        <f>Database!QWQ28</f>
        <v>0</v>
      </c>
      <c r="QVY4">
        <f>Database!QWR28</f>
        <v>0</v>
      </c>
      <c r="QVZ4">
        <f>Database!QWS28</f>
        <v>0</v>
      </c>
      <c r="QWA4">
        <f>Database!QWT28</f>
        <v>0</v>
      </c>
      <c r="QWB4">
        <f>Database!QWU28</f>
        <v>0</v>
      </c>
      <c r="QWC4">
        <f>Database!QWV28</f>
        <v>0</v>
      </c>
      <c r="QWD4">
        <f>Database!QWW28</f>
        <v>0</v>
      </c>
      <c r="QWE4">
        <f>Database!QWX28</f>
        <v>0</v>
      </c>
      <c r="QWF4">
        <f>Database!QWY28</f>
        <v>0</v>
      </c>
      <c r="QWG4">
        <f>Database!QWZ28</f>
        <v>0</v>
      </c>
      <c r="QWH4">
        <f>Database!QXA28</f>
        <v>0</v>
      </c>
      <c r="QWI4">
        <f>Database!QXB28</f>
        <v>0</v>
      </c>
      <c r="QWJ4">
        <f>Database!QXC28</f>
        <v>0</v>
      </c>
      <c r="QWK4">
        <f>Database!QXD28</f>
        <v>0</v>
      </c>
      <c r="QWL4">
        <f>Database!QXE28</f>
        <v>0</v>
      </c>
      <c r="QWM4">
        <f>Database!QXF28</f>
        <v>0</v>
      </c>
      <c r="QWN4">
        <f>Database!QXG28</f>
        <v>0</v>
      </c>
      <c r="QWO4">
        <f>Database!QXH28</f>
        <v>0</v>
      </c>
      <c r="QWP4">
        <f>Database!QXI28</f>
        <v>0</v>
      </c>
      <c r="QWQ4">
        <f>Database!QXJ28</f>
        <v>0</v>
      </c>
      <c r="QWR4">
        <f>Database!QXK28</f>
        <v>0</v>
      </c>
      <c r="QWS4">
        <f>Database!QXL28</f>
        <v>0</v>
      </c>
      <c r="QWT4">
        <f>Database!QXM28</f>
        <v>0</v>
      </c>
      <c r="QWU4">
        <f>Database!QXN28</f>
        <v>0</v>
      </c>
      <c r="QWV4">
        <f>Database!QXO28</f>
        <v>0</v>
      </c>
      <c r="QWW4">
        <f>Database!QXP28</f>
        <v>0</v>
      </c>
      <c r="QWX4">
        <f>Database!QXQ28</f>
        <v>0</v>
      </c>
      <c r="QWY4">
        <f>Database!QXR28</f>
        <v>0</v>
      </c>
      <c r="QWZ4">
        <f>Database!QXS28</f>
        <v>0</v>
      </c>
      <c r="QXA4">
        <f>Database!QXT28</f>
        <v>0</v>
      </c>
      <c r="QXB4">
        <f>Database!QXU28</f>
        <v>0</v>
      </c>
      <c r="QXC4">
        <f>Database!QXV28</f>
        <v>0</v>
      </c>
      <c r="QXD4">
        <f>Database!QXW28</f>
        <v>0</v>
      </c>
      <c r="QXE4">
        <f>Database!QXX28</f>
        <v>0</v>
      </c>
      <c r="QXF4">
        <f>Database!QXY28</f>
        <v>0</v>
      </c>
      <c r="QXG4">
        <f>Database!QXZ28</f>
        <v>0</v>
      </c>
      <c r="QXH4">
        <f>Database!QYA28</f>
        <v>0</v>
      </c>
      <c r="QXI4">
        <f>Database!QYB28</f>
        <v>0</v>
      </c>
      <c r="QXJ4">
        <f>Database!QYC28</f>
        <v>0</v>
      </c>
      <c r="QXK4">
        <f>Database!QYD28</f>
        <v>0</v>
      </c>
      <c r="QXL4">
        <f>Database!QYE28</f>
        <v>0</v>
      </c>
      <c r="QXM4">
        <f>Database!QYF28</f>
        <v>0</v>
      </c>
      <c r="QXN4">
        <f>Database!QYG28</f>
        <v>0</v>
      </c>
      <c r="QXO4">
        <f>Database!QYH28</f>
        <v>0</v>
      </c>
      <c r="QXP4">
        <f>Database!QYI28</f>
        <v>0</v>
      </c>
      <c r="QXQ4">
        <f>Database!QYJ28</f>
        <v>0</v>
      </c>
      <c r="QXR4">
        <f>Database!QYK28</f>
        <v>0</v>
      </c>
      <c r="QXS4">
        <f>Database!QYL28</f>
        <v>0</v>
      </c>
      <c r="QXT4">
        <f>Database!QYM28</f>
        <v>0</v>
      </c>
      <c r="QXU4">
        <f>Database!QYN28</f>
        <v>0</v>
      </c>
      <c r="QXV4">
        <f>Database!QYO28</f>
        <v>0</v>
      </c>
      <c r="QXW4">
        <f>Database!QYP28</f>
        <v>0</v>
      </c>
      <c r="QXX4">
        <f>Database!QYQ28</f>
        <v>0</v>
      </c>
      <c r="QXY4">
        <f>Database!QYR28</f>
        <v>0</v>
      </c>
      <c r="QXZ4">
        <f>Database!QYS28</f>
        <v>0</v>
      </c>
      <c r="QYA4">
        <f>Database!QYT28</f>
        <v>0</v>
      </c>
      <c r="QYB4">
        <f>Database!QYU28</f>
        <v>0</v>
      </c>
      <c r="QYC4">
        <f>Database!QYV28</f>
        <v>0</v>
      </c>
      <c r="QYD4">
        <f>Database!QYW28</f>
        <v>0</v>
      </c>
      <c r="QYE4">
        <f>Database!QYX28</f>
        <v>0</v>
      </c>
      <c r="QYF4">
        <f>Database!QYY28</f>
        <v>0</v>
      </c>
      <c r="QYG4">
        <f>Database!QYZ28</f>
        <v>0</v>
      </c>
      <c r="QYH4">
        <f>Database!QZA28</f>
        <v>0</v>
      </c>
      <c r="QYI4">
        <f>Database!QZB28</f>
        <v>0</v>
      </c>
      <c r="QYJ4">
        <f>Database!QZC28</f>
        <v>0</v>
      </c>
      <c r="QYK4">
        <f>Database!QZD28</f>
        <v>0</v>
      </c>
      <c r="QYL4">
        <f>Database!QZE28</f>
        <v>0</v>
      </c>
      <c r="QYM4">
        <f>Database!QZF28</f>
        <v>0</v>
      </c>
      <c r="QYN4">
        <f>Database!QZG28</f>
        <v>0</v>
      </c>
      <c r="QYO4">
        <f>Database!QZH28</f>
        <v>0</v>
      </c>
      <c r="QYP4">
        <f>Database!QZI28</f>
        <v>0</v>
      </c>
      <c r="QYQ4">
        <f>Database!QZJ28</f>
        <v>0</v>
      </c>
      <c r="QYR4">
        <f>Database!QZK28</f>
        <v>0</v>
      </c>
      <c r="QYS4">
        <f>Database!QZL28</f>
        <v>0</v>
      </c>
      <c r="QYT4">
        <f>Database!QZM28</f>
        <v>0</v>
      </c>
      <c r="QYU4">
        <f>Database!QZN28</f>
        <v>0</v>
      </c>
      <c r="QYV4">
        <f>Database!QZO28</f>
        <v>0</v>
      </c>
      <c r="QYW4">
        <f>Database!QZP28</f>
        <v>0</v>
      </c>
      <c r="QYX4">
        <f>Database!QZQ28</f>
        <v>0</v>
      </c>
      <c r="QYY4">
        <f>Database!QZR28</f>
        <v>0</v>
      </c>
      <c r="QYZ4">
        <f>Database!QZS28</f>
        <v>0</v>
      </c>
      <c r="QZA4">
        <f>Database!QZT28</f>
        <v>0</v>
      </c>
      <c r="QZB4">
        <f>Database!QZU28</f>
        <v>0</v>
      </c>
      <c r="QZC4">
        <f>Database!QZV28</f>
        <v>0</v>
      </c>
      <c r="QZD4">
        <f>Database!QZW28</f>
        <v>0</v>
      </c>
      <c r="QZE4">
        <f>Database!QZX28</f>
        <v>0</v>
      </c>
      <c r="QZF4">
        <f>Database!QZY28</f>
        <v>0</v>
      </c>
      <c r="QZG4">
        <f>Database!QZZ28</f>
        <v>0</v>
      </c>
      <c r="QZH4">
        <f>Database!RAA28</f>
        <v>0</v>
      </c>
      <c r="QZI4">
        <f>Database!RAB28</f>
        <v>0</v>
      </c>
      <c r="QZJ4">
        <f>Database!RAC28</f>
        <v>0</v>
      </c>
      <c r="QZK4">
        <f>Database!RAD28</f>
        <v>0</v>
      </c>
      <c r="QZL4">
        <f>Database!RAE28</f>
        <v>0</v>
      </c>
      <c r="QZM4">
        <f>Database!RAF28</f>
        <v>0</v>
      </c>
      <c r="QZN4">
        <f>Database!RAG28</f>
        <v>0</v>
      </c>
      <c r="QZO4">
        <f>Database!RAH28</f>
        <v>0</v>
      </c>
      <c r="QZP4">
        <f>Database!RAI28</f>
        <v>0</v>
      </c>
      <c r="QZQ4">
        <f>Database!RAJ28</f>
        <v>0</v>
      </c>
      <c r="QZR4">
        <f>Database!RAK28</f>
        <v>0</v>
      </c>
      <c r="QZS4">
        <f>Database!RAL28</f>
        <v>0</v>
      </c>
      <c r="QZT4">
        <f>Database!RAM28</f>
        <v>0</v>
      </c>
      <c r="QZU4">
        <f>Database!RAN28</f>
        <v>0</v>
      </c>
      <c r="QZV4">
        <f>Database!RAO28</f>
        <v>0</v>
      </c>
      <c r="QZW4">
        <f>Database!RAP28</f>
        <v>0</v>
      </c>
      <c r="QZX4">
        <f>Database!RAQ28</f>
        <v>0</v>
      </c>
      <c r="QZY4">
        <f>Database!RAR28</f>
        <v>0</v>
      </c>
      <c r="QZZ4">
        <f>Database!RAS28</f>
        <v>0</v>
      </c>
      <c r="RAA4">
        <f>Database!RAT28</f>
        <v>0</v>
      </c>
      <c r="RAB4">
        <f>Database!RAU28</f>
        <v>0</v>
      </c>
      <c r="RAC4">
        <f>Database!RAV28</f>
        <v>0</v>
      </c>
      <c r="RAD4">
        <f>Database!RAW28</f>
        <v>0</v>
      </c>
      <c r="RAE4">
        <f>Database!RAX28</f>
        <v>0</v>
      </c>
      <c r="RAF4">
        <f>Database!RAY28</f>
        <v>0</v>
      </c>
      <c r="RAG4">
        <f>Database!RAZ28</f>
        <v>0</v>
      </c>
      <c r="RAH4">
        <f>Database!RBA28</f>
        <v>0</v>
      </c>
      <c r="RAI4">
        <f>Database!RBB28</f>
        <v>0</v>
      </c>
      <c r="RAJ4">
        <f>Database!RBC28</f>
        <v>0</v>
      </c>
      <c r="RAK4">
        <f>Database!RBD28</f>
        <v>0</v>
      </c>
      <c r="RAL4">
        <f>Database!RBE28</f>
        <v>0</v>
      </c>
      <c r="RAM4">
        <f>Database!RBF28</f>
        <v>0</v>
      </c>
      <c r="RAN4">
        <f>Database!RBG28</f>
        <v>0</v>
      </c>
      <c r="RAO4">
        <f>Database!RBH28</f>
        <v>0</v>
      </c>
      <c r="RAP4">
        <f>Database!RBI28</f>
        <v>0</v>
      </c>
      <c r="RAQ4">
        <f>Database!RBJ28</f>
        <v>0</v>
      </c>
      <c r="RAR4">
        <f>Database!RBK28</f>
        <v>0</v>
      </c>
      <c r="RAS4">
        <f>Database!RBL28</f>
        <v>0</v>
      </c>
      <c r="RAT4">
        <f>Database!RBM28</f>
        <v>0</v>
      </c>
      <c r="RAU4">
        <f>Database!RBN28</f>
        <v>0</v>
      </c>
      <c r="RAV4">
        <f>Database!RBO28</f>
        <v>0</v>
      </c>
      <c r="RAW4">
        <f>Database!RBP28</f>
        <v>0</v>
      </c>
      <c r="RAX4">
        <f>Database!RBQ28</f>
        <v>0</v>
      </c>
      <c r="RAY4">
        <f>Database!RBR28</f>
        <v>0</v>
      </c>
      <c r="RAZ4">
        <f>Database!RBS28</f>
        <v>0</v>
      </c>
      <c r="RBA4">
        <f>Database!RBT28</f>
        <v>0</v>
      </c>
      <c r="RBB4">
        <f>Database!RBU28</f>
        <v>0</v>
      </c>
      <c r="RBC4">
        <f>Database!RBV28</f>
        <v>0</v>
      </c>
      <c r="RBD4">
        <f>Database!RBW28</f>
        <v>0</v>
      </c>
      <c r="RBE4">
        <f>Database!RBX28</f>
        <v>0</v>
      </c>
      <c r="RBF4">
        <f>Database!RBY28</f>
        <v>0</v>
      </c>
      <c r="RBG4">
        <f>Database!RBZ28</f>
        <v>0</v>
      </c>
      <c r="RBH4">
        <f>Database!RCA28</f>
        <v>0</v>
      </c>
      <c r="RBI4">
        <f>Database!RCB28</f>
        <v>0</v>
      </c>
      <c r="RBJ4">
        <f>Database!RCC28</f>
        <v>0</v>
      </c>
      <c r="RBK4">
        <f>Database!RCD28</f>
        <v>0</v>
      </c>
      <c r="RBL4">
        <f>Database!RCE28</f>
        <v>0</v>
      </c>
      <c r="RBM4">
        <f>Database!RCF28</f>
        <v>0</v>
      </c>
      <c r="RBN4">
        <f>Database!RCG28</f>
        <v>0</v>
      </c>
      <c r="RBO4">
        <f>Database!RCH28</f>
        <v>0</v>
      </c>
      <c r="RBP4">
        <f>Database!RCI28</f>
        <v>0</v>
      </c>
      <c r="RBQ4">
        <f>Database!RCJ28</f>
        <v>0</v>
      </c>
      <c r="RBR4">
        <f>Database!RCK28</f>
        <v>0</v>
      </c>
      <c r="RBS4">
        <f>Database!RCL28</f>
        <v>0</v>
      </c>
      <c r="RBT4">
        <f>Database!RCM28</f>
        <v>0</v>
      </c>
      <c r="RBU4">
        <f>Database!RCN28</f>
        <v>0</v>
      </c>
      <c r="RBV4">
        <f>Database!RCO28</f>
        <v>0</v>
      </c>
      <c r="RBW4">
        <f>Database!RCP28</f>
        <v>0</v>
      </c>
      <c r="RBX4">
        <f>Database!RCQ28</f>
        <v>0</v>
      </c>
      <c r="RBY4">
        <f>Database!RCR28</f>
        <v>0</v>
      </c>
      <c r="RBZ4">
        <f>Database!RCS28</f>
        <v>0</v>
      </c>
      <c r="RCA4">
        <f>Database!RCT28</f>
        <v>0</v>
      </c>
      <c r="RCB4">
        <f>Database!RCU28</f>
        <v>0</v>
      </c>
      <c r="RCC4">
        <f>Database!RCV28</f>
        <v>0</v>
      </c>
      <c r="RCD4">
        <f>Database!RCW28</f>
        <v>0</v>
      </c>
      <c r="RCE4">
        <f>Database!RCX28</f>
        <v>0</v>
      </c>
      <c r="RCF4">
        <f>Database!RCY28</f>
        <v>0</v>
      </c>
      <c r="RCG4">
        <f>Database!RCZ28</f>
        <v>0</v>
      </c>
      <c r="RCH4">
        <f>Database!RDA28</f>
        <v>0</v>
      </c>
      <c r="RCI4">
        <f>Database!RDB28</f>
        <v>0</v>
      </c>
      <c r="RCJ4">
        <f>Database!RDC28</f>
        <v>0</v>
      </c>
      <c r="RCK4">
        <f>Database!RDD28</f>
        <v>0</v>
      </c>
      <c r="RCL4">
        <f>Database!RDE28</f>
        <v>0</v>
      </c>
      <c r="RCM4">
        <f>Database!RDF28</f>
        <v>0</v>
      </c>
      <c r="RCN4">
        <f>Database!RDG28</f>
        <v>0</v>
      </c>
      <c r="RCO4">
        <f>Database!RDH28</f>
        <v>0</v>
      </c>
      <c r="RCP4">
        <f>Database!RDI28</f>
        <v>0</v>
      </c>
      <c r="RCQ4">
        <f>Database!RDJ28</f>
        <v>0</v>
      </c>
      <c r="RCR4">
        <f>Database!RDK28</f>
        <v>0</v>
      </c>
      <c r="RCS4">
        <f>Database!RDL28</f>
        <v>0</v>
      </c>
      <c r="RCT4">
        <f>Database!RDM28</f>
        <v>0</v>
      </c>
      <c r="RCU4">
        <f>Database!RDN28</f>
        <v>0</v>
      </c>
      <c r="RCV4">
        <f>Database!RDO28</f>
        <v>0</v>
      </c>
      <c r="RCW4">
        <f>Database!RDP28</f>
        <v>0</v>
      </c>
      <c r="RCX4">
        <f>Database!RDQ28</f>
        <v>0</v>
      </c>
      <c r="RCY4">
        <f>Database!RDR28</f>
        <v>0</v>
      </c>
      <c r="RCZ4">
        <f>Database!RDS28</f>
        <v>0</v>
      </c>
      <c r="RDA4">
        <f>Database!RDT28</f>
        <v>0</v>
      </c>
      <c r="RDB4">
        <f>Database!RDU28</f>
        <v>0</v>
      </c>
      <c r="RDC4">
        <f>Database!RDV28</f>
        <v>0</v>
      </c>
      <c r="RDD4">
        <f>Database!RDW28</f>
        <v>0</v>
      </c>
      <c r="RDE4">
        <f>Database!RDX28</f>
        <v>0</v>
      </c>
      <c r="RDF4">
        <f>Database!RDY28</f>
        <v>0</v>
      </c>
      <c r="RDG4">
        <f>Database!RDZ28</f>
        <v>0</v>
      </c>
      <c r="RDH4">
        <f>Database!REA28</f>
        <v>0</v>
      </c>
      <c r="RDI4">
        <f>Database!REB28</f>
        <v>0</v>
      </c>
      <c r="RDJ4">
        <f>Database!REC28</f>
        <v>0</v>
      </c>
      <c r="RDK4">
        <f>Database!RED28</f>
        <v>0</v>
      </c>
      <c r="RDL4">
        <f>Database!REE28</f>
        <v>0</v>
      </c>
      <c r="RDM4">
        <f>Database!REF28</f>
        <v>0</v>
      </c>
      <c r="RDN4">
        <f>Database!REG28</f>
        <v>0</v>
      </c>
      <c r="RDO4">
        <f>Database!REH28</f>
        <v>0</v>
      </c>
      <c r="RDP4">
        <f>Database!REI28</f>
        <v>0</v>
      </c>
      <c r="RDQ4">
        <f>Database!REJ28</f>
        <v>0</v>
      </c>
      <c r="RDR4">
        <f>Database!REK28</f>
        <v>0</v>
      </c>
      <c r="RDS4">
        <f>Database!REL28</f>
        <v>0</v>
      </c>
      <c r="RDT4">
        <f>Database!REM28</f>
        <v>0</v>
      </c>
      <c r="RDU4">
        <f>Database!REN28</f>
        <v>0</v>
      </c>
      <c r="RDV4">
        <f>Database!REO28</f>
        <v>0</v>
      </c>
      <c r="RDW4">
        <f>Database!REP28</f>
        <v>0</v>
      </c>
      <c r="RDX4">
        <f>Database!REQ28</f>
        <v>0</v>
      </c>
      <c r="RDY4">
        <f>Database!RER28</f>
        <v>0</v>
      </c>
      <c r="RDZ4">
        <f>Database!RES28</f>
        <v>0</v>
      </c>
      <c r="REA4">
        <f>Database!RET28</f>
        <v>0</v>
      </c>
      <c r="REB4">
        <f>Database!REU28</f>
        <v>0</v>
      </c>
      <c r="REC4">
        <f>Database!REV28</f>
        <v>0</v>
      </c>
      <c r="RED4">
        <f>Database!REW28</f>
        <v>0</v>
      </c>
      <c r="REE4">
        <f>Database!REX28</f>
        <v>0</v>
      </c>
      <c r="REF4">
        <f>Database!REY28</f>
        <v>0</v>
      </c>
      <c r="REG4">
        <f>Database!REZ28</f>
        <v>0</v>
      </c>
      <c r="REH4">
        <f>Database!RFA28</f>
        <v>0</v>
      </c>
      <c r="REI4">
        <f>Database!RFB28</f>
        <v>0</v>
      </c>
      <c r="REJ4">
        <f>Database!RFC28</f>
        <v>0</v>
      </c>
      <c r="REK4">
        <f>Database!RFD28</f>
        <v>0</v>
      </c>
      <c r="REL4">
        <f>Database!RFE28</f>
        <v>0</v>
      </c>
      <c r="REM4">
        <f>Database!RFF28</f>
        <v>0</v>
      </c>
      <c r="REN4">
        <f>Database!RFG28</f>
        <v>0</v>
      </c>
      <c r="REO4">
        <f>Database!RFH28</f>
        <v>0</v>
      </c>
      <c r="REP4">
        <f>Database!RFI28</f>
        <v>0</v>
      </c>
      <c r="REQ4">
        <f>Database!RFJ28</f>
        <v>0</v>
      </c>
      <c r="RER4">
        <f>Database!RFK28</f>
        <v>0</v>
      </c>
      <c r="RES4">
        <f>Database!RFL28</f>
        <v>0</v>
      </c>
      <c r="RET4">
        <f>Database!RFM28</f>
        <v>0</v>
      </c>
      <c r="REU4">
        <f>Database!RFN28</f>
        <v>0</v>
      </c>
      <c r="REV4">
        <f>Database!RFO28</f>
        <v>0</v>
      </c>
      <c r="REW4">
        <f>Database!RFP28</f>
        <v>0</v>
      </c>
      <c r="REX4">
        <f>Database!RFQ28</f>
        <v>0</v>
      </c>
      <c r="REY4">
        <f>Database!RFR28</f>
        <v>0</v>
      </c>
      <c r="REZ4">
        <f>Database!RFS28</f>
        <v>0</v>
      </c>
      <c r="RFA4">
        <f>Database!RFT28</f>
        <v>0</v>
      </c>
      <c r="RFB4">
        <f>Database!RFU28</f>
        <v>0</v>
      </c>
      <c r="RFC4">
        <f>Database!RFV28</f>
        <v>0</v>
      </c>
      <c r="RFD4">
        <f>Database!RFW28</f>
        <v>0</v>
      </c>
      <c r="RFE4">
        <f>Database!RFX28</f>
        <v>0</v>
      </c>
      <c r="RFF4">
        <f>Database!RFY28</f>
        <v>0</v>
      </c>
      <c r="RFG4">
        <f>Database!RFZ28</f>
        <v>0</v>
      </c>
      <c r="RFH4">
        <f>Database!RGA28</f>
        <v>0</v>
      </c>
      <c r="RFI4">
        <f>Database!RGB28</f>
        <v>0</v>
      </c>
      <c r="RFJ4">
        <f>Database!RGC28</f>
        <v>0</v>
      </c>
      <c r="RFK4">
        <f>Database!RGD28</f>
        <v>0</v>
      </c>
      <c r="RFL4">
        <f>Database!RGE28</f>
        <v>0</v>
      </c>
      <c r="RFM4">
        <f>Database!RGF28</f>
        <v>0</v>
      </c>
      <c r="RFN4">
        <f>Database!RGG28</f>
        <v>0</v>
      </c>
      <c r="RFO4">
        <f>Database!RGH28</f>
        <v>0</v>
      </c>
      <c r="RFP4">
        <f>Database!RGI28</f>
        <v>0</v>
      </c>
      <c r="RFQ4">
        <f>Database!RGJ28</f>
        <v>0</v>
      </c>
      <c r="RFR4">
        <f>Database!RGK28</f>
        <v>0</v>
      </c>
      <c r="RFS4">
        <f>Database!RGL28</f>
        <v>0</v>
      </c>
      <c r="RFT4">
        <f>Database!RGM28</f>
        <v>0</v>
      </c>
      <c r="RFU4">
        <f>Database!RGN28</f>
        <v>0</v>
      </c>
      <c r="RFV4">
        <f>Database!RGO28</f>
        <v>0</v>
      </c>
      <c r="RFW4">
        <f>Database!RGP28</f>
        <v>0</v>
      </c>
      <c r="RFX4">
        <f>Database!RGQ28</f>
        <v>0</v>
      </c>
      <c r="RFY4">
        <f>Database!RGR28</f>
        <v>0</v>
      </c>
      <c r="RFZ4">
        <f>Database!RGS28</f>
        <v>0</v>
      </c>
      <c r="RGA4">
        <f>Database!RGT28</f>
        <v>0</v>
      </c>
      <c r="RGB4">
        <f>Database!RGU28</f>
        <v>0</v>
      </c>
      <c r="RGC4">
        <f>Database!RGV28</f>
        <v>0</v>
      </c>
      <c r="RGD4">
        <f>Database!RGW28</f>
        <v>0</v>
      </c>
      <c r="RGE4">
        <f>Database!RGX28</f>
        <v>0</v>
      </c>
      <c r="RGF4">
        <f>Database!RGY28</f>
        <v>0</v>
      </c>
      <c r="RGG4">
        <f>Database!RGZ28</f>
        <v>0</v>
      </c>
      <c r="RGH4">
        <f>Database!RHA28</f>
        <v>0</v>
      </c>
      <c r="RGI4">
        <f>Database!RHB28</f>
        <v>0</v>
      </c>
      <c r="RGJ4">
        <f>Database!RHC28</f>
        <v>0</v>
      </c>
      <c r="RGK4">
        <f>Database!RHD28</f>
        <v>0</v>
      </c>
      <c r="RGL4">
        <f>Database!RHE28</f>
        <v>0</v>
      </c>
      <c r="RGM4">
        <f>Database!RHF28</f>
        <v>0</v>
      </c>
      <c r="RGN4">
        <f>Database!RHG28</f>
        <v>0</v>
      </c>
      <c r="RGO4">
        <f>Database!RHH28</f>
        <v>0</v>
      </c>
      <c r="RGP4">
        <f>Database!RHI28</f>
        <v>0</v>
      </c>
      <c r="RGQ4">
        <f>Database!RHJ28</f>
        <v>0</v>
      </c>
      <c r="RGR4">
        <f>Database!RHK28</f>
        <v>0</v>
      </c>
      <c r="RGS4">
        <f>Database!RHL28</f>
        <v>0</v>
      </c>
      <c r="RGT4">
        <f>Database!RHM28</f>
        <v>0</v>
      </c>
      <c r="RGU4">
        <f>Database!RHN28</f>
        <v>0</v>
      </c>
      <c r="RGV4">
        <f>Database!RHO28</f>
        <v>0</v>
      </c>
      <c r="RGW4">
        <f>Database!RHP28</f>
        <v>0</v>
      </c>
      <c r="RGX4">
        <f>Database!RHQ28</f>
        <v>0</v>
      </c>
      <c r="RGY4">
        <f>Database!RHR28</f>
        <v>0</v>
      </c>
      <c r="RGZ4">
        <f>Database!RHS28</f>
        <v>0</v>
      </c>
      <c r="RHA4">
        <f>Database!RHT28</f>
        <v>0</v>
      </c>
      <c r="RHB4">
        <f>Database!RHU28</f>
        <v>0</v>
      </c>
      <c r="RHC4">
        <f>Database!RHV28</f>
        <v>0</v>
      </c>
      <c r="RHD4">
        <f>Database!RHW28</f>
        <v>0</v>
      </c>
      <c r="RHE4">
        <f>Database!RHX28</f>
        <v>0</v>
      </c>
      <c r="RHF4">
        <f>Database!RHY28</f>
        <v>0</v>
      </c>
      <c r="RHG4">
        <f>Database!RHZ28</f>
        <v>0</v>
      </c>
      <c r="RHH4">
        <f>Database!RIA28</f>
        <v>0</v>
      </c>
      <c r="RHI4">
        <f>Database!RIB28</f>
        <v>0</v>
      </c>
      <c r="RHJ4">
        <f>Database!RIC28</f>
        <v>0</v>
      </c>
      <c r="RHK4">
        <f>Database!RID28</f>
        <v>0</v>
      </c>
      <c r="RHL4">
        <f>Database!RIE28</f>
        <v>0</v>
      </c>
      <c r="RHM4">
        <f>Database!RIF28</f>
        <v>0</v>
      </c>
      <c r="RHN4">
        <f>Database!RIG28</f>
        <v>0</v>
      </c>
      <c r="RHO4">
        <f>Database!RIH28</f>
        <v>0</v>
      </c>
      <c r="RHP4">
        <f>Database!RII28</f>
        <v>0</v>
      </c>
      <c r="RHQ4">
        <f>Database!RIJ28</f>
        <v>0</v>
      </c>
      <c r="RHR4">
        <f>Database!RIK28</f>
        <v>0</v>
      </c>
      <c r="RHS4">
        <f>Database!RIL28</f>
        <v>0</v>
      </c>
      <c r="RHT4">
        <f>Database!RIM28</f>
        <v>0</v>
      </c>
      <c r="RHU4">
        <f>Database!RIN28</f>
        <v>0</v>
      </c>
      <c r="RHV4">
        <f>Database!RIO28</f>
        <v>0</v>
      </c>
      <c r="RHW4">
        <f>Database!RIP28</f>
        <v>0</v>
      </c>
      <c r="RHX4">
        <f>Database!RIQ28</f>
        <v>0</v>
      </c>
      <c r="RHY4">
        <f>Database!RIR28</f>
        <v>0</v>
      </c>
      <c r="RHZ4">
        <f>Database!RIS28</f>
        <v>0</v>
      </c>
      <c r="RIA4">
        <f>Database!RIT28</f>
        <v>0</v>
      </c>
      <c r="RIB4">
        <f>Database!RIU28</f>
        <v>0</v>
      </c>
      <c r="RIC4">
        <f>Database!RIV28</f>
        <v>0</v>
      </c>
      <c r="RID4">
        <f>Database!RIW28</f>
        <v>0</v>
      </c>
      <c r="RIE4">
        <f>Database!RIX28</f>
        <v>0</v>
      </c>
      <c r="RIF4">
        <f>Database!RIY28</f>
        <v>0</v>
      </c>
      <c r="RIG4">
        <f>Database!RIZ28</f>
        <v>0</v>
      </c>
      <c r="RIH4">
        <f>Database!RJA28</f>
        <v>0</v>
      </c>
      <c r="RII4">
        <f>Database!RJB28</f>
        <v>0</v>
      </c>
      <c r="RIJ4">
        <f>Database!RJC28</f>
        <v>0</v>
      </c>
      <c r="RIK4">
        <f>Database!RJD28</f>
        <v>0</v>
      </c>
      <c r="RIL4">
        <f>Database!RJE28</f>
        <v>0</v>
      </c>
      <c r="RIM4">
        <f>Database!RJF28</f>
        <v>0</v>
      </c>
      <c r="RIN4">
        <f>Database!RJG28</f>
        <v>0</v>
      </c>
      <c r="RIO4">
        <f>Database!RJH28</f>
        <v>0</v>
      </c>
      <c r="RIP4">
        <f>Database!RJI28</f>
        <v>0</v>
      </c>
      <c r="RIQ4">
        <f>Database!RJJ28</f>
        <v>0</v>
      </c>
      <c r="RIR4">
        <f>Database!RJK28</f>
        <v>0</v>
      </c>
      <c r="RIS4">
        <f>Database!RJL28</f>
        <v>0</v>
      </c>
      <c r="RIT4">
        <f>Database!RJM28</f>
        <v>0</v>
      </c>
      <c r="RIU4">
        <f>Database!RJN28</f>
        <v>0</v>
      </c>
      <c r="RIV4">
        <f>Database!RJO28</f>
        <v>0</v>
      </c>
      <c r="RIW4">
        <f>Database!RJP28</f>
        <v>0</v>
      </c>
      <c r="RIX4">
        <f>Database!RJQ28</f>
        <v>0</v>
      </c>
      <c r="RIY4">
        <f>Database!RJR28</f>
        <v>0</v>
      </c>
      <c r="RIZ4">
        <f>Database!RJS28</f>
        <v>0</v>
      </c>
      <c r="RJA4">
        <f>Database!RJT28</f>
        <v>0</v>
      </c>
      <c r="RJB4">
        <f>Database!RJU28</f>
        <v>0</v>
      </c>
      <c r="RJC4">
        <f>Database!RJV28</f>
        <v>0</v>
      </c>
      <c r="RJD4">
        <f>Database!RJW28</f>
        <v>0</v>
      </c>
      <c r="RJE4">
        <f>Database!RJX28</f>
        <v>0</v>
      </c>
      <c r="RJF4">
        <f>Database!RJY28</f>
        <v>0</v>
      </c>
      <c r="RJG4">
        <f>Database!RJZ28</f>
        <v>0</v>
      </c>
      <c r="RJH4">
        <f>Database!RKA28</f>
        <v>0</v>
      </c>
      <c r="RJI4">
        <f>Database!RKB28</f>
        <v>0</v>
      </c>
      <c r="RJJ4">
        <f>Database!RKC28</f>
        <v>0</v>
      </c>
      <c r="RJK4">
        <f>Database!RKD28</f>
        <v>0</v>
      </c>
      <c r="RJL4">
        <f>Database!RKE28</f>
        <v>0</v>
      </c>
      <c r="RJM4">
        <f>Database!RKF28</f>
        <v>0</v>
      </c>
      <c r="RJN4">
        <f>Database!RKG28</f>
        <v>0</v>
      </c>
      <c r="RJO4">
        <f>Database!RKH28</f>
        <v>0</v>
      </c>
      <c r="RJP4">
        <f>Database!RKI28</f>
        <v>0</v>
      </c>
      <c r="RJQ4">
        <f>Database!RKJ28</f>
        <v>0</v>
      </c>
      <c r="RJR4">
        <f>Database!RKK28</f>
        <v>0</v>
      </c>
      <c r="RJS4">
        <f>Database!RKL28</f>
        <v>0</v>
      </c>
      <c r="RJT4">
        <f>Database!RKM28</f>
        <v>0</v>
      </c>
      <c r="RJU4">
        <f>Database!RKN28</f>
        <v>0</v>
      </c>
      <c r="RJV4">
        <f>Database!RKO28</f>
        <v>0</v>
      </c>
      <c r="RJW4">
        <f>Database!RKP28</f>
        <v>0</v>
      </c>
      <c r="RJX4">
        <f>Database!RKQ28</f>
        <v>0</v>
      </c>
      <c r="RJY4">
        <f>Database!RKR28</f>
        <v>0</v>
      </c>
      <c r="RJZ4">
        <f>Database!RKS28</f>
        <v>0</v>
      </c>
      <c r="RKA4">
        <f>Database!RKT28</f>
        <v>0</v>
      </c>
      <c r="RKB4">
        <f>Database!RKU28</f>
        <v>0</v>
      </c>
      <c r="RKC4">
        <f>Database!RKV28</f>
        <v>0</v>
      </c>
      <c r="RKD4">
        <f>Database!RKW28</f>
        <v>0</v>
      </c>
      <c r="RKE4">
        <f>Database!RKX28</f>
        <v>0</v>
      </c>
      <c r="RKF4">
        <f>Database!RKY28</f>
        <v>0</v>
      </c>
      <c r="RKG4">
        <f>Database!RKZ28</f>
        <v>0</v>
      </c>
      <c r="RKH4">
        <f>Database!RLA28</f>
        <v>0</v>
      </c>
      <c r="RKI4">
        <f>Database!RLB28</f>
        <v>0</v>
      </c>
      <c r="RKJ4">
        <f>Database!RLC28</f>
        <v>0</v>
      </c>
      <c r="RKK4">
        <f>Database!RLD28</f>
        <v>0</v>
      </c>
      <c r="RKL4">
        <f>Database!RLE28</f>
        <v>0</v>
      </c>
      <c r="RKM4">
        <f>Database!RLF28</f>
        <v>0</v>
      </c>
      <c r="RKN4">
        <f>Database!RLG28</f>
        <v>0</v>
      </c>
      <c r="RKO4">
        <f>Database!RLH28</f>
        <v>0</v>
      </c>
      <c r="RKP4">
        <f>Database!RLI28</f>
        <v>0</v>
      </c>
      <c r="RKQ4">
        <f>Database!RLJ28</f>
        <v>0</v>
      </c>
      <c r="RKR4">
        <f>Database!RLK28</f>
        <v>0</v>
      </c>
      <c r="RKS4">
        <f>Database!RLL28</f>
        <v>0</v>
      </c>
      <c r="RKT4">
        <f>Database!RLM28</f>
        <v>0</v>
      </c>
      <c r="RKU4">
        <f>Database!RLN28</f>
        <v>0</v>
      </c>
      <c r="RKV4">
        <f>Database!RLO28</f>
        <v>0</v>
      </c>
      <c r="RKW4">
        <f>Database!RLP28</f>
        <v>0</v>
      </c>
      <c r="RKX4">
        <f>Database!RLQ28</f>
        <v>0</v>
      </c>
      <c r="RKY4">
        <f>Database!RLR28</f>
        <v>0</v>
      </c>
      <c r="RKZ4">
        <f>Database!RLS28</f>
        <v>0</v>
      </c>
      <c r="RLA4">
        <f>Database!RLT28</f>
        <v>0</v>
      </c>
      <c r="RLB4">
        <f>Database!RLU28</f>
        <v>0</v>
      </c>
      <c r="RLC4">
        <f>Database!RLV28</f>
        <v>0</v>
      </c>
      <c r="RLD4">
        <f>Database!RLW28</f>
        <v>0</v>
      </c>
      <c r="RLE4">
        <f>Database!RLX28</f>
        <v>0</v>
      </c>
      <c r="RLF4">
        <f>Database!RLY28</f>
        <v>0</v>
      </c>
      <c r="RLG4">
        <f>Database!RLZ28</f>
        <v>0</v>
      </c>
      <c r="RLH4">
        <f>Database!RMA28</f>
        <v>0</v>
      </c>
      <c r="RLI4">
        <f>Database!RMB28</f>
        <v>0</v>
      </c>
      <c r="RLJ4">
        <f>Database!RMC28</f>
        <v>0</v>
      </c>
      <c r="RLK4">
        <f>Database!RMD28</f>
        <v>0</v>
      </c>
      <c r="RLL4">
        <f>Database!RME28</f>
        <v>0</v>
      </c>
      <c r="RLM4">
        <f>Database!RMF28</f>
        <v>0</v>
      </c>
      <c r="RLN4">
        <f>Database!RMG28</f>
        <v>0</v>
      </c>
      <c r="RLO4">
        <f>Database!RMH28</f>
        <v>0</v>
      </c>
      <c r="RLP4">
        <f>Database!RMI28</f>
        <v>0</v>
      </c>
      <c r="RLQ4">
        <f>Database!RMJ28</f>
        <v>0</v>
      </c>
      <c r="RLR4">
        <f>Database!RMK28</f>
        <v>0</v>
      </c>
      <c r="RLS4">
        <f>Database!RML28</f>
        <v>0</v>
      </c>
      <c r="RLT4">
        <f>Database!RMM28</f>
        <v>0</v>
      </c>
      <c r="RLU4">
        <f>Database!RMN28</f>
        <v>0</v>
      </c>
      <c r="RLV4">
        <f>Database!RMO28</f>
        <v>0</v>
      </c>
      <c r="RLW4">
        <f>Database!RMP28</f>
        <v>0</v>
      </c>
      <c r="RLX4">
        <f>Database!RMQ28</f>
        <v>0</v>
      </c>
      <c r="RLY4">
        <f>Database!RMR28</f>
        <v>0</v>
      </c>
      <c r="RLZ4">
        <f>Database!RMS28</f>
        <v>0</v>
      </c>
      <c r="RMA4">
        <f>Database!RMT28</f>
        <v>0</v>
      </c>
      <c r="RMB4">
        <f>Database!RMU28</f>
        <v>0</v>
      </c>
      <c r="RMC4">
        <f>Database!RMV28</f>
        <v>0</v>
      </c>
      <c r="RMD4">
        <f>Database!RMW28</f>
        <v>0</v>
      </c>
      <c r="RME4">
        <f>Database!RMX28</f>
        <v>0</v>
      </c>
      <c r="RMF4">
        <f>Database!RMY28</f>
        <v>0</v>
      </c>
      <c r="RMG4">
        <f>Database!RMZ28</f>
        <v>0</v>
      </c>
      <c r="RMH4">
        <f>Database!RNA28</f>
        <v>0</v>
      </c>
      <c r="RMI4">
        <f>Database!RNB28</f>
        <v>0</v>
      </c>
      <c r="RMJ4">
        <f>Database!RNC28</f>
        <v>0</v>
      </c>
      <c r="RMK4">
        <f>Database!RND28</f>
        <v>0</v>
      </c>
      <c r="RML4">
        <f>Database!RNE28</f>
        <v>0</v>
      </c>
      <c r="RMM4">
        <f>Database!RNF28</f>
        <v>0</v>
      </c>
      <c r="RMN4">
        <f>Database!RNG28</f>
        <v>0</v>
      </c>
      <c r="RMO4">
        <f>Database!RNH28</f>
        <v>0</v>
      </c>
      <c r="RMP4">
        <f>Database!RNI28</f>
        <v>0</v>
      </c>
      <c r="RMQ4">
        <f>Database!RNJ28</f>
        <v>0</v>
      </c>
      <c r="RMR4">
        <f>Database!RNK28</f>
        <v>0</v>
      </c>
      <c r="RMS4">
        <f>Database!RNL28</f>
        <v>0</v>
      </c>
      <c r="RMT4">
        <f>Database!RNM28</f>
        <v>0</v>
      </c>
      <c r="RMU4">
        <f>Database!RNN28</f>
        <v>0</v>
      </c>
      <c r="RMV4">
        <f>Database!RNO28</f>
        <v>0</v>
      </c>
      <c r="RMW4">
        <f>Database!RNP28</f>
        <v>0</v>
      </c>
      <c r="RMX4">
        <f>Database!RNQ28</f>
        <v>0</v>
      </c>
      <c r="RMY4">
        <f>Database!RNR28</f>
        <v>0</v>
      </c>
      <c r="RMZ4">
        <f>Database!RNS28</f>
        <v>0</v>
      </c>
      <c r="RNA4">
        <f>Database!RNT28</f>
        <v>0</v>
      </c>
      <c r="RNB4">
        <f>Database!RNU28</f>
        <v>0</v>
      </c>
      <c r="RNC4">
        <f>Database!RNV28</f>
        <v>0</v>
      </c>
      <c r="RND4">
        <f>Database!RNW28</f>
        <v>0</v>
      </c>
      <c r="RNE4">
        <f>Database!RNX28</f>
        <v>0</v>
      </c>
      <c r="RNF4">
        <f>Database!RNY28</f>
        <v>0</v>
      </c>
      <c r="RNG4">
        <f>Database!RNZ28</f>
        <v>0</v>
      </c>
      <c r="RNH4">
        <f>Database!ROA28</f>
        <v>0</v>
      </c>
      <c r="RNI4">
        <f>Database!ROB28</f>
        <v>0</v>
      </c>
      <c r="RNJ4">
        <f>Database!ROC28</f>
        <v>0</v>
      </c>
      <c r="RNK4">
        <f>Database!ROD28</f>
        <v>0</v>
      </c>
      <c r="RNL4">
        <f>Database!ROE28</f>
        <v>0</v>
      </c>
      <c r="RNM4">
        <f>Database!ROF28</f>
        <v>0</v>
      </c>
      <c r="RNN4">
        <f>Database!ROG28</f>
        <v>0</v>
      </c>
      <c r="RNO4">
        <f>Database!ROH28</f>
        <v>0</v>
      </c>
      <c r="RNP4">
        <f>Database!ROI28</f>
        <v>0</v>
      </c>
      <c r="RNQ4">
        <f>Database!ROJ28</f>
        <v>0</v>
      </c>
      <c r="RNR4">
        <f>Database!ROK28</f>
        <v>0</v>
      </c>
      <c r="RNS4">
        <f>Database!ROL28</f>
        <v>0</v>
      </c>
      <c r="RNT4">
        <f>Database!ROM28</f>
        <v>0</v>
      </c>
      <c r="RNU4">
        <f>Database!RON28</f>
        <v>0</v>
      </c>
      <c r="RNV4">
        <f>Database!ROO28</f>
        <v>0</v>
      </c>
      <c r="RNW4">
        <f>Database!ROP28</f>
        <v>0</v>
      </c>
      <c r="RNX4">
        <f>Database!ROQ28</f>
        <v>0</v>
      </c>
      <c r="RNY4">
        <f>Database!ROR28</f>
        <v>0</v>
      </c>
      <c r="RNZ4">
        <f>Database!ROS28</f>
        <v>0</v>
      </c>
      <c r="ROA4">
        <f>Database!ROT28</f>
        <v>0</v>
      </c>
      <c r="ROB4">
        <f>Database!ROU28</f>
        <v>0</v>
      </c>
      <c r="ROC4">
        <f>Database!ROV28</f>
        <v>0</v>
      </c>
      <c r="ROD4">
        <f>Database!ROW28</f>
        <v>0</v>
      </c>
      <c r="ROE4">
        <f>Database!ROX28</f>
        <v>0</v>
      </c>
      <c r="ROF4">
        <f>Database!ROY28</f>
        <v>0</v>
      </c>
      <c r="ROG4">
        <f>Database!ROZ28</f>
        <v>0</v>
      </c>
      <c r="ROH4">
        <f>Database!RPA28</f>
        <v>0</v>
      </c>
      <c r="ROI4">
        <f>Database!RPB28</f>
        <v>0</v>
      </c>
      <c r="ROJ4">
        <f>Database!RPC28</f>
        <v>0</v>
      </c>
      <c r="ROK4">
        <f>Database!RPD28</f>
        <v>0</v>
      </c>
      <c r="ROL4">
        <f>Database!RPE28</f>
        <v>0</v>
      </c>
      <c r="ROM4">
        <f>Database!RPF28</f>
        <v>0</v>
      </c>
      <c r="RON4">
        <f>Database!RPG28</f>
        <v>0</v>
      </c>
      <c r="ROO4">
        <f>Database!RPH28</f>
        <v>0</v>
      </c>
      <c r="ROP4">
        <f>Database!RPI28</f>
        <v>0</v>
      </c>
      <c r="ROQ4">
        <f>Database!RPJ28</f>
        <v>0</v>
      </c>
      <c r="ROR4">
        <f>Database!RPK28</f>
        <v>0</v>
      </c>
      <c r="ROS4">
        <f>Database!RPL28</f>
        <v>0</v>
      </c>
      <c r="ROT4">
        <f>Database!RPM28</f>
        <v>0</v>
      </c>
      <c r="ROU4">
        <f>Database!RPN28</f>
        <v>0</v>
      </c>
      <c r="ROV4">
        <f>Database!RPO28</f>
        <v>0</v>
      </c>
      <c r="ROW4">
        <f>Database!RPP28</f>
        <v>0</v>
      </c>
      <c r="ROX4">
        <f>Database!RPQ28</f>
        <v>0</v>
      </c>
      <c r="ROY4">
        <f>Database!RPR28</f>
        <v>0</v>
      </c>
      <c r="ROZ4">
        <f>Database!RPS28</f>
        <v>0</v>
      </c>
      <c r="RPA4">
        <f>Database!RPT28</f>
        <v>0</v>
      </c>
      <c r="RPB4">
        <f>Database!RPU28</f>
        <v>0</v>
      </c>
      <c r="RPC4">
        <f>Database!RPV28</f>
        <v>0</v>
      </c>
      <c r="RPD4">
        <f>Database!RPW28</f>
        <v>0</v>
      </c>
      <c r="RPE4">
        <f>Database!RPX28</f>
        <v>0</v>
      </c>
      <c r="RPF4">
        <f>Database!RPY28</f>
        <v>0</v>
      </c>
      <c r="RPG4">
        <f>Database!RPZ28</f>
        <v>0</v>
      </c>
      <c r="RPH4">
        <f>Database!RQA28</f>
        <v>0</v>
      </c>
      <c r="RPI4">
        <f>Database!RQB28</f>
        <v>0</v>
      </c>
      <c r="RPJ4">
        <f>Database!RQC28</f>
        <v>0</v>
      </c>
      <c r="RPK4">
        <f>Database!RQD28</f>
        <v>0</v>
      </c>
      <c r="RPL4">
        <f>Database!RQE28</f>
        <v>0</v>
      </c>
      <c r="RPM4">
        <f>Database!RQF28</f>
        <v>0</v>
      </c>
      <c r="RPN4">
        <f>Database!RQG28</f>
        <v>0</v>
      </c>
      <c r="RPO4">
        <f>Database!RQH28</f>
        <v>0</v>
      </c>
      <c r="RPP4">
        <f>Database!RQI28</f>
        <v>0</v>
      </c>
      <c r="RPQ4">
        <f>Database!RQJ28</f>
        <v>0</v>
      </c>
      <c r="RPR4">
        <f>Database!RQK28</f>
        <v>0</v>
      </c>
      <c r="RPS4">
        <f>Database!RQL28</f>
        <v>0</v>
      </c>
      <c r="RPT4">
        <f>Database!RQM28</f>
        <v>0</v>
      </c>
      <c r="RPU4">
        <f>Database!RQN28</f>
        <v>0</v>
      </c>
      <c r="RPV4">
        <f>Database!RQO28</f>
        <v>0</v>
      </c>
      <c r="RPW4">
        <f>Database!RQP28</f>
        <v>0</v>
      </c>
      <c r="RPX4">
        <f>Database!RQQ28</f>
        <v>0</v>
      </c>
      <c r="RPY4">
        <f>Database!RQR28</f>
        <v>0</v>
      </c>
      <c r="RPZ4">
        <f>Database!RQS28</f>
        <v>0</v>
      </c>
      <c r="RQA4">
        <f>Database!RQT28</f>
        <v>0</v>
      </c>
      <c r="RQB4">
        <f>Database!RQU28</f>
        <v>0</v>
      </c>
      <c r="RQC4">
        <f>Database!RQV28</f>
        <v>0</v>
      </c>
      <c r="RQD4">
        <f>Database!RQW28</f>
        <v>0</v>
      </c>
      <c r="RQE4">
        <f>Database!RQX28</f>
        <v>0</v>
      </c>
      <c r="RQF4">
        <f>Database!RQY28</f>
        <v>0</v>
      </c>
      <c r="RQG4">
        <f>Database!RQZ28</f>
        <v>0</v>
      </c>
      <c r="RQH4">
        <f>Database!RRA28</f>
        <v>0</v>
      </c>
      <c r="RQI4">
        <f>Database!RRB28</f>
        <v>0</v>
      </c>
      <c r="RQJ4">
        <f>Database!RRC28</f>
        <v>0</v>
      </c>
      <c r="RQK4">
        <f>Database!RRD28</f>
        <v>0</v>
      </c>
      <c r="RQL4">
        <f>Database!RRE28</f>
        <v>0</v>
      </c>
      <c r="RQM4">
        <f>Database!RRF28</f>
        <v>0</v>
      </c>
      <c r="RQN4">
        <f>Database!RRG28</f>
        <v>0</v>
      </c>
      <c r="RQO4">
        <f>Database!RRH28</f>
        <v>0</v>
      </c>
      <c r="RQP4">
        <f>Database!RRI28</f>
        <v>0</v>
      </c>
      <c r="RQQ4">
        <f>Database!RRJ28</f>
        <v>0</v>
      </c>
      <c r="RQR4">
        <f>Database!RRK28</f>
        <v>0</v>
      </c>
      <c r="RQS4">
        <f>Database!RRL28</f>
        <v>0</v>
      </c>
      <c r="RQT4">
        <f>Database!RRM28</f>
        <v>0</v>
      </c>
      <c r="RQU4">
        <f>Database!RRN28</f>
        <v>0</v>
      </c>
      <c r="RQV4">
        <f>Database!RRO28</f>
        <v>0</v>
      </c>
      <c r="RQW4">
        <f>Database!RRP28</f>
        <v>0</v>
      </c>
      <c r="RQX4">
        <f>Database!RRQ28</f>
        <v>0</v>
      </c>
      <c r="RQY4">
        <f>Database!RRR28</f>
        <v>0</v>
      </c>
      <c r="RQZ4">
        <f>Database!RRS28</f>
        <v>0</v>
      </c>
      <c r="RRA4">
        <f>Database!RRT28</f>
        <v>0</v>
      </c>
      <c r="RRB4">
        <f>Database!RRU28</f>
        <v>0</v>
      </c>
      <c r="RRC4">
        <f>Database!RRV28</f>
        <v>0</v>
      </c>
      <c r="RRD4">
        <f>Database!RRW28</f>
        <v>0</v>
      </c>
      <c r="RRE4">
        <f>Database!RRX28</f>
        <v>0</v>
      </c>
      <c r="RRF4">
        <f>Database!RRY28</f>
        <v>0</v>
      </c>
      <c r="RRG4">
        <f>Database!RRZ28</f>
        <v>0</v>
      </c>
      <c r="RRH4">
        <f>Database!RSA28</f>
        <v>0</v>
      </c>
      <c r="RRI4">
        <f>Database!RSB28</f>
        <v>0</v>
      </c>
      <c r="RRJ4">
        <f>Database!RSC28</f>
        <v>0</v>
      </c>
      <c r="RRK4">
        <f>Database!RSD28</f>
        <v>0</v>
      </c>
      <c r="RRL4">
        <f>Database!RSE28</f>
        <v>0</v>
      </c>
      <c r="RRM4">
        <f>Database!RSF28</f>
        <v>0</v>
      </c>
      <c r="RRN4">
        <f>Database!RSG28</f>
        <v>0</v>
      </c>
      <c r="RRO4">
        <f>Database!RSH28</f>
        <v>0</v>
      </c>
      <c r="RRP4">
        <f>Database!RSI28</f>
        <v>0</v>
      </c>
      <c r="RRQ4">
        <f>Database!RSJ28</f>
        <v>0</v>
      </c>
      <c r="RRR4">
        <f>Database!RSK28</f>
        <v>0</v>
      </c>
      <c r="RRS4">
        <f>Database!RSL28</f>
        <v>0</v>
      </c>
      <c r="RRT4">
        <f>Database!RSM28</f>
        <v>0</v>
      </c>
      <c r="RRU4">
        <f>Database!RSN28</f>
        <v>0</v>
      </c>
      <c r="RRV4">
        <f>Database!RSO28</f>
        <v>0</v>
      </c>
      <c r="RRW4">
        <f>Database!RSP28</f>
        <v>0</v>
      </c>
      <c r="RRX4">
        <f>Database!RSQ28</f>
        <v>0</v>
      </c>
      <c r="RRY4">
        <f>Database!RSR28</f>
        <v>0</v>
      </c>
      <c r="RRZ4">
        <f>Database!RSS28</f>
        <v>0</v>
      </c>
      <c r="RSA4">
        <f>Database!RST28</f>
        <v>0</v>
      </c>
      <c r="RSB4">
        <f>Database!RSU28</f>
        <v>0</v>
      </c>
      <c r="RSC4">
        <f>Database!RSV28</f>
        <v>0</v>
      </c>
      <c r="RSD4">
        <f>Database!RSW28</f>
        <v>0</v>
      </c>
      <c r="RSE4">
        <f>Database!RSX28</f>
        <v>0</v>
      </c>
      <c r="RSF4">
        <f>Database!RSY28</f>
        <v>0</v>
      </c>
      <c r="RSG4">
        <f>Database!RSZ28</f>
        <v>0</v>
      </c>
      <c r="RSH4">
        <f>Database!RTA28</f>
        <v>0</v>
      </c>
      <c r="RSI4">
        <f>Database!RTB28</f>
        <v>0</v>
      </c>
      <c r="RSJ4">
        <f>Database!RTC28</f>
        <v>0</v>
      </c>
      <c r="RSK4">
        <f>Database!RTD28</f>
        <v>0</v>
      </c>
      <c r="RSL4">
        <f>Database!RTE28</f>
        <v>0</v>
      </c>
      <c r="RSM4">
        <f>Database!RTF28</f>
        <v>0</v>
      </c>
      <c r="RSN4">
        <f>Database!RTG28</f>
        <v>0</v>
      </c>
      <c r="RSO4">
        <f>Database!RTH28</f>
        <v>0</v>
      </c>
      <c r="RSP4">
        <f>Database!RTI28</f>
        <v>0</v>
      </c>
      <c r="RSQ4">
        <f>Database!RTJ28</f>
        <v>0</v>
      </c>
      <c r="RSR4">
        <f>Database!RTK28</f>
        <v>0</v>
      </c>
      <c r="RSS4">
        <f>Database!RTL28</f>
        <v>0</v>
      </c>
      <c r="RST4">
        <f>Database!RTM28</f>
        <v>0</v>
      </c>
      <c r="RSU4">
        <f>Database!RTN28</f>
        <v>0</v>
      </c>
      <c r="RSV4">
        <f>Database!RTO28</f>
        <v>0</v>
      </c>
      <c r="RSW4">
        <f>Database!RTP28</f>
        <v>0</v>
      </c>
      <c r="RSX4">
        <f>Database!RTQ28</f>
        <v>0</v>
      </c>
      <c r="RSY4">
        <f>Database!RTR28</f>
        <v>0</v>
      </c>
      <c r="RSZ4">
        <f>Database!RTS28</f>
        <v>0</v>
      </c>
      <c r="RTA4">
        <f>Database!RTT28</f>
        <v>0</v>
      </c>
      <c r="RTB4">
        <f>Database!RTU28</f>
        <v>0</v>
      </c>
      <c r="RTC4">
        <f>Database!RTV28</f>
        <v>0</v>
      </c>
      <c r="RTD4">
        <f>Database!RTW28</f>
        <v>0</v>
      </c>
      <c r="RTE4">
        <f>Database!RTX28</f>
        <v>0</v>
      </c>
      <c r="RTF4">
        <f>Database!RTY28</f>
        <v>0</v>
      </c>
      <c r="RTG4">
        <f>Database!RTZ28</f>
        <v>0</v>
      </c>
      <c r="RTH4">
        <f>Database!RUA28</f>
        <v>0</v>
      </c>
      <c r="RTI4">
        <f>Database!RUB28</f>
        <v>0</v>
      </c>
      <c r="RTJ4">
        <f>Database!RUC28</f>
        <v>0</v>
      </c>
      <c r="RTK4">
        <f>Database!RUD28</f>
        <v>0</v>
      </c>
      <c r="RTL4">
        <f>Database!RUE28</f>
        <v>0</v>
      </c>
      <c r="RTM4">
        <f>Database!RUF28</f>
        <v>0</v>
      </c>
      <c r="RTN4">
        <f>Database!RUG28</f>
        <v>0</v>
      </c>
      <c r="RTO4">
        <f>Database!RUH28</f>
        <v>0</v>
      </c>
      <c r="RTP4">
        <f>Database!RUI28</f>
        <v>0</v>
      </c>
      <c r="RTQ4">
        <f>Database!RUJ28</f>
        <v>0</v>
      </c>
      <c r="RTR4">
        <f>Database!RUK28</f>
        <v>0</v>
      </c>
      <c r="RTS4">
        <f>Database!RUL28</f>
        <v>0</v>
      </c>
      <c r="RTT4">
        <f>Database!RUM28</f>
        <v>0</v>
      </c>
      <c r="RTU4">
        <f>Database!RUN28</f>
        <v>0</v>
      </c>
      <c r="RTV4">
        <f>Database!RUO28</f>
        <v>0</v>
      </c>
      <c r="RTW4">
        <f>Database!RUP28</f>
        <v>0</v>
      </c>
      <c r="RTX4">
        <f>Database!RUQ28</f>
        <v>0</v>
      </c>
      <c r="RTY4">
        <f>Database!RUR28</f>
        <v>0</v>
      </c>
      <c r="RTZ4">
        <f>Database!RUS28</f>
        <v>0</v>
      </c>
      <c r="RUA4">
        <f>Database!RUT28</f>
        <v>0</v>
      </c>
      <c r="RUB4">
        <f>Database!RUU28</f>
        <v>0</v>
      </c>
      <c r="RUC4">
        <f>Database!RUV28</f>
        <v>0</v>
      </c>
      <c r="RUD4">
        <f>Database!RUW28</f>
        <v>0</v>
      </c>
      <c r="RUE4">
        <f>Database!RUX28</f>
        <v>0</v>
      </c>
      <c r="RUF4">
        <f>Database!RUY28</f>
        <v>0</v>
      </c>
      <c r="RUG4">
        <f>Database!RUZ28</f>
        <v>0</v>
      </c>
      <c r="RUH4">
        <f>Database!RVA28</f>
        <v>0</v>
      </c>
      <c r="RUI4">
        <f>Database!RVB28</f>
        <v>0</v>
      </c>
      <c r="RUJ4">
        <f>Database!RVC28</f>
        <v>0</v>
      </c>
      <c r="RUK4">
        <f>Database!RVD28</f>
        <v>0</v>
      </c>
      <c r="RUL4">
        <f>Database!RVE28</f>
        <v>0</v>
      </c>
      <c r="RUM4">
        <f>Database!RVF28</f>
        <v>0</v>
      </c>
      <c r="RUN4">
        <f>Database!RVG28</f>
        <v>0</v>
      </c>
      <c r="RUO4">
        <f>Database!RVH28</f>
        <v>0</v>
      </c>
      <c r="RUP4">
        <f>Database!RVI28</f>
        <v>0</v>
      </c>
      <c r="RUQ4">
        <f>Database!RVJ28</f>
        <v>0</v>
      </c>
      <c r="RUR4">
        <f>Database!RVK28</f>
        <v>0</v>
      </c>
      <c r="RUS4">
        <f>Database!RVL28</f>
        <v>0</v>
      </c>
      <c r="RUT4">
        <f>Database!RVM28</f>
        <v>0</v>
      </c>
      <c r="RUU4">
        <f>Database!RVN28</f>
        <v>0</v>
      </c>
      <c r="RUV4">
        <f>Database!RVO28</f>
        <v>0</v>
      </c>
      <c r="RUW4">
        <f>Database!RVP28</f>
        <v>0</v>
      </c>
      <c r="RUX4">
        <f>Database!RVQ28</f>
        <v>0</v>
      </c>
      <c r="RUY4">
        <f>Database!RVR28</f>
        <v>0</v>
      </c>
      <c r="RUZ4">
        <f>Database!RVS28</f>
        <v>0</v>
      </c>
      <c r="RVA4">
        <f>Database!RVT28</f>
        <v>0</v>
      </c>
      <c r="RVB4">
        <f>Database!RVU28</f>
        <v>0</v>
      </c>
      <c r="RVC4">
        <f>Database!RVV28</f>
        <v>0</v>
      </c>
      <c r="RVD4">
        <f>Database!RVW28</f>
        <v>0</v>
      </c>
      <c r="RVE4">
        <f>Database!RVX28</f>
        <v>0</v>
      </c>
      <c r="RVF4">
        <f>Database!RVY28</f>
        <v>0</v>
      </c>
      <c r="RVG4">
        <f>Database!RVZ28</f>
        <v>0</v>
      </c>
      <c r="RVH4">
        <f>Database!RWA28</f>
        <v>0</v>
      </c>
      <c r="RVI4">
        <f>Database!RWB28</f>
        <v>0</v>
      </c>
      <c r="RVJ4">
        <f>Database!RWC28</f>
        <v>0</v>
      </c>
      <c r="RVK4">
        <f>Database!RWD28</f>
        <v>0</v>
      </c>
      <c r="RVL4">
        <f>Database!RWE28</f>
        <v>0</v>
      </c>
      <c r="RVM4">
        <f>Database!RWF28</f>
        <v>0</v>
      </c>
      <c r="RVN4">
        <f>Database!RWG28</f>
        <v>0</v>
      </c>
      <c r="RVO4">
        <f>Database!RWH28</f>
        <v>0</v>
      </c>
      <c r="RVP4">
        <f>Database!RWI28</f>
        <v>0</v>
      </c>
      <c r="RVQ4">
        <f>Database!RWJ28</f>
        <v>0</v>
      </c>
      <c r="RVR4">
        <f>Database!RWK28</f>
        <v>0</v>
      </c>
      <c r="RVS4">
        <f>Database!RWL28</f>
        <v>0</v>
      </c>
      <c r="RVT4">
        <f>Database!RWM28</f>
        <v>0</v>
      </c>
      <c r="RVU4">
        <f>Database!RWN28</f>
        <v>0</v>
      </c>
      <c r="RVV4">
        <f>Database!RWO28</f>
        <v>0</v>
      </c>
      <c r="RVW4">
        <f>Database!RWP28</f>
        <v>0</v>
      </c>
      <c r="RVX4">
        <f>Database!RWQ28</f>
        <v>0</v>
      </c>
      <c r="RVY4">
        <f>Database!RWR28</f>
        <v>0</v>
      </c>
      <c r="RVZ4">
        <f>Database!RWS28</f>
        <v>0</v>
      </c>
      <c r="RWA4">
        <f>Database!RWT28</f>
        <v>0</v>
      </c>
      <c r="RWB4">
        <f>Database!RWU28</f>
        <v>0</v>
      </c>
      <c r="RWC4">
        <f>Database!RWV28</f>
        <v>0</v>
      </c>
      <c r="RWD4">
        <f>Database!RWW28</f>
        <v>0</v>
      </c>
      <c r="RWE4">
        <f>Database!RWX28</f>
        <v>0</v>
      </c>
      <c r="RWF4">
        <f>Database!RWY28</f>
        <v>0</v>
      </c>
      <c r="RWG4">
        <f>Database!RWZ28</f>
        <v>0</v>
      </c>
      <c r="RWH4">
        <f>Database!RXA28</f>
        <v>0</v>
      </c>
      <c r="RWI4">
        <f>Database!RXB28</f>
        <v>0</v>
      </c>
      <c r="RWJ4">
        <f>Database!RXC28</f>
        <v>0</v>
      </c>
      <c r="RWK4">
        <f>Database!RXD28</f>
        <v>0</v>
      </c>
      <c r="RWL4">
        <f>Database!RXE28</f>
        <v>0</v>
      </c>
      <c r="RWM4">
        <f>Database!RXF28</f>
        <v>0</v>
      </c>
      <c r="RWN4">
        <f>Database!RXG28</f>
        <v>0</v>
      </c>
      <c r="RWO4">
        <f>Database!RXH28</f>
        <v>0</v>
      </c>
      <c r="RWP4">
        <f>Database!RXI28</f>
        <v>0</v>
      </c>
      <c r="RWQ4">
        <f>Database!RXJ28</f>
        <v>0</v>
      </c>
      <c r="RWR4">
        <f>Database!RXK28</f>
        <v>0</v>
      </c>
      <c r="RWS4">
        <f>Database!RXL28</f>
        <v>0</v>
      </c>
      <c r="RWT4">
        <f>Database!RXM28</f>
        <v>0</v>
      </c>
      <c r="RWU4">
        <f>Database!RXN28</f>
        <v>0</v>
      </c>
      <c r="RWV4">
        <f>Database!RXO28</f>
        <v>0</v>
      </c>
      <c r="RWW4">
        <f>Database!RXP28</f>
        <v>0</v>
      </c>
      <c r="RWX4">
        <f>Database!RXQ28</f>
        <v>0</v>
      </c>
      <c r="RWY4">
        <f>Database!RXR28</f>
        <v>0</v>
      </c>
      <c r="RWZ4">
        <f>Database!RXS28</f>
        <v>0</v>
      </c>
      <c r="RXA4">
        <f>Database!RXT28</f>
        <v>0</v>
      </c>
      <c r="RXB4">
        <f>Database!RXU28</f>
        <v>0</v>
      </c>
      <c r="RXC4">
        <f>Database!RXV28</f>
        <v>0</v>
      </c>
      <c r="RXD4">
        <f>Database!RXW28</f>
        <v>0</v>
      </c>
      <c r="RXE4">
        <f>Database!RXX28</f>
        <v>0</v>
      </c>
      <c r="RXF4">
        <f>Database!RXY28</f>
        <v>0</v>
      </c>
      <c r="RXG4">
        <f>Database!RXZ28</f>
        <v>0</v>
      </c>
      <c r="RXH4">
        <f>Database!RYA28</f>
        <v>0</v>
      </c>
      <c r="RXI4">
        <f>Database!RYB28</f>
        <v>0</v>
      </c>
      <c r="RXJ4">
        <f>Database!RYC28</f>
        <v>0</v>
      </c>
      <c r="RXK4">
        <f>Database!RYD28</f>
        <v>0</v>
      </c>
      <c r="RXL4">
        <f>Database!RYE28</f>
        <v>0</v>
      </c>
      <c r="RXM4">
        <f>Database!RYF28</f>
        <v>0</v>
      </c>
      <c r="RXN4">
        <f>Database!RYG28</f>
        <v>0</v>
      </c>
      <c r="RXO4">
        <f>Database!RYH28</f>
        <v>0</v>
      </c>
      <c r="RXP4">
        <f>Database!RYI28</f>
        <v>0</v>
      </c>
      <c r="RXQ4">
        <f>Database!RYJ28</f>
        <v>0</v>
      </c>
      <c r="RXR4">
        <f>Database!RYK28</f>
        <v>0</v>
      </c>
      <c r="RXS4">
        <f>Database!RYL28</f>
        <v>0</v>
      </c>
      <c r="RXT4">
        <f>Database!RYM28</f>
        <v>0</v>
      </c>
      <c r="RXU4">
        <f>Database!RYN28</f>
        <v>0</v>
      </c>
      <c r="RXV4">
        <f>Database!RYO28</f>
        <v>0</v>
      </c>
      <c r="RXW4">
        <f>Database!RYP28</f>
        <v>0</v>
      </c>
      <c r="RXX4">
        <f>Database!RYQ28</f>
        <v>0</v>
      </c>
      <c r="RXY4">
        <f>Database!RYR28</f>
        <v>0</v>
      </c>
      <c r="RXZ4">
        <f>Database!RYS28</f>
        <v>0</v>
      </c>
      <c r="RYA4">
        <f>Database!RYT28</f>
        <v>0</v>
      </c>
      <c r="RYB4">
        <f>Database!RYU28</f>
        <v>0</v>
      </c>
      <c r="RYC4">
        <f>Database!RYV28</f>
        <v>0</v>
      </c>
      <c r="RYD4">
        <f>Database!RYW28</f>
        <v>0</v>
      </c>
      <c r="RYE4">
        <f>Database!RYX28</f>
        <v>0</v>
      </c>
      <c r="RYF4">
        <f>Database!RYY28</f>
        <v>0</v>
      </c>
      <c r="RYG4">
        <f>Database!RYZ28</f>
        <v>0</v>
      </c>
      <c r="RYH4">
        <f>Database!RZA28</f>
        <v>0</v>
      </c>
      <c r="RYI4">
        <f>Database!RZB28</f>
        <v>0</v>
      </c>
      <c r="RYJ4">
        <f>Database!RZC28</f>
        <v>0</v>
      </c>
      <c r="RYK4">
        <f>Database!RZD28</f>
        <v>0</v>
      </c>
      <c r="RYL4">
        <f>Database!RZE28</f>
        <v>0</v>
      </c>
      <c r="RYM4">
        <f>Database!RZF28</f>
        <v>0</v>
      </c>
      <c r="RYN4">
        <f>Database!RZG28</f>
        <v>0</v>
      </c>
      <c r="RYO4">
        <f>Database!RZH28</f>
        <v>0</v>
      </c>
      <c r="RYP4">
        <f>Database!RZI28</f>
        <v>0</v>
      </c>
      <c r="RYQ4">
        <f>Database!RZJ28</f>
        <v>0</v>
      </c>
      <c r="RYR4">
        <f>Database!RZK28</f>
        <v>0</v>
      </c>
      <c r="RYS4">
        <f>Database!RZL28</f>
        <v>0</v>
      </c>
      <c r="RYT4">
        <f>Database!RZM28</f>
        <v>0</v>
      </c>
      <c r="RYU4">
        <f>Database!RZN28</f>
        <v>0</v>
      </c>
      <c r="RYV4">
        <f>Database!RZO28</f>
        <v>0</v>
      </c>
      <c r="RYW4">
        <f>Database!RZP28</f>
        <v>0</v>
      </c>
      <c r="RYX4">
        <f>Database!RZQ28</f>
        <v>0</v>
      </c>
      <c r="RYY4">
        <f>Database!RZR28</f>
        <v>0</v>
      </c>
      <c r="RYZ4">
        <f>Database!RZS28</f>
        <v>0</v>
      </c>
      <c r="RZA4">
        <f>Database!RZT28</f>
        <v>0</v>
      </c>
      <c r="RZB4">
        <f>Database!RZU28</f>
        <v>0</v>
      </c>
      <c r="RZC4">
        <f>Database!RZV28</f>
        <v>0</v>
      </c>
      <c r="RZD4">
        <f>Database!RZW28</f>
        <v>0</v>
      </c>
      <c r="RZE4">
        <f>Database!RZX28</f>
        <v>0</v>
      </c>
      <c r="RZF4">
        <f>Database!RZY28</f>
        <v>0</v>
      </c>
      <c r="RZG4">
        <f>Database!RZZ28</f>
        <v>0</v>
      </c>
      <c r="RZH4">
        <f>Database!SAA28</f>
        <v>0</v>
      </c>
      <c r="RZI4">
        <f>Database!SAB28</f>
        <v>0</v>
      </c>
      <c r="RZJ4">
        <f>Database!SAC28</f>
        <v>0</v>
      </c>
      <c r="RZK4">
        <f>Database!SAD28</f>
        <v>0</v>
      </c>
      <c r="RZL4">
        <f>Database!SAE28</f>
        <v>0</v>
      </c>
      <c r="RZM4">
        <f>Database!SAF28</f>
        <v>0</v>
      </c>
      <c r="RZN4">
        <f>Database!SAG28</f>
        <v>0</v>
      </c>
      <c r="RZO4">
        <f>Database!SAH28</f>
        <v>0</v>
      </c>
      <c r="RZP4">
        <f>Database!SAI28</f>
        <v>0</v>
      </c>
      <c r="RZQ4">
        <f>Database!SAJ28</f>
        <v>0</v>
      </c>
      <c r="RZR4">
        <f>Database!SAK28</f>
        <v>0</v>
      </c>
      <c r="RZS4">
        <f>Database!SAL28</f>
        <v>0</v>
      </c>
      <c r="RZT4">
        <f>Database!SAM28</f>
        <v>0</v>
      </c>
      <c r="RZU4">
        <f>Database!SAN28</f>
        <v>0</v>
      </c>
      <c r="RZV4">
        <f>Database!SAO28</f>
        <v>0</v>
      </c>
      <c r="RZW4">
        <f>Database!SAP28</f>
        <v>0</v>
      </c>
      <c r="RZX4">
        <f>Database!SAQ28</f>
        <v>0</v>
      </c>
      <c r="RZY4">
        <f>Database!SAR28</f>
        <v>0</v>
      </c>
      <c r="RZZ4">
        <f>Database!SAS28</f>
        <v>0</v>
      </c>
      <c r="SAA4">
        <f>Database!SAT28</f>
        <v>0</v>
      </c>
      <c r="SAB4">
        <f>Database!SAU28</f>
        <v>0</v>
      </c>
      <c r="SAC4">
        <f>Database!SAV28</f>
        <v>0</v>
      </c>
      <c r="SAD4">
        <f>Database!SAW28</f>
        <v>0</v>
      </c>
      <c r="SAE4">
        <f>Database!SAX28</f>
        <v>0</v>
      </c>
      <c r="SAF4">
        <f>Database!SAY28</f>
        <v>0</v>
      </c>
      <c r="SAG4">
        <f>Database!SAZ28</f>
        <v>0</v>
      </c>
      <c r="SAH4">
        <f>Database!SBA28</f>
        <v>0</v>
      </c>
      <c r="SAI4">
        <f>Database!SBB28</f>
        <v>0</v>
      </c>
      <c r="SAJ4">
        <f>Database!SBC28</f>
        <v>0</v>
      </c>
      <c r="SAK4">
        <f>Database!SBD28</f>
        <v>0</v>
      </c>
      <c r="SAL4">
        <f>Database!SBE28</f>
        <v>0</v>
      </c>
      <c r="SAM4">
        <f>Database!SBF28</f>
        <v>0</v>
      </c>
      <c r="SAN4">
        <f>Database!SBG28</f>
        <v>0</v>
      </c>
      <c r="SAO4">
        <f>Database!SBH28</f>
        <v>0</v>
      </c>
      <c r="SAP4">
        <f>Database!SBI28</f>
        <v>0</v>
      </c>
      <c r="SAQ4">
        <f>Database!SBJ28</f>
        <v>0</v>
      </c>
      <c r="SAR4">
        <f>Database!SBK28</f>
        <v>0</v>
      </c>
      <c r="SAS4">
        <f>Database!SBL28</f>
        <v>0</v>
      </c>
      <c r="SAT4">
        <f>Database!SBM28</f>
        <v>0</v>
      </c>
      <c r="SAU4">
        <f>Database!SBN28</f>
        <v>0</v>
      </c>
      <c r="SAV4">
        <f>Database!SBO28</f>
        <v>0</v>
      </c>
      <c r="SAW4">
        <f>Database!SBP28</f>
        <v>0</v>
      </c>
      <c r="SAX4">
        <f>Database!SBQ28</f>
        <v>0</v>
      </c>
      <c r="SAY4">
        <f>Database!SBR28</f>
        <v>0</v>
      </c>
      <c r="SAZ4">
        <f>Database!SBS28</f>
        <v>0</v>
      </c>
      <c r="SBA4">
        <f>Database!SBT28</f>
        <v>0</v>
      </c>
      <c r="SBB4">
        <f>Database!SBU28</f>
        <v>0</v>
      </c>
      <c r="SBC4">
        <f>Database!SBV28</f>
        <v>0</v>
      </c>
      <c r="SBD4">
        <f>Database!SBW28</f>
        <v>0</v>
      </c>
      <c r="SBE4">
        <f>Database!SBX28</f>
        <v>0</v>
      </c>
      <c r="SBF4">
        <f>Database!SBY28</f>
        <v>0</v>
      </c>
      <c r="SBG4">
        <f>Database!SBZ28</f>
        <v>0</v>
      </c>
      <c r="SBH4">
        <f>Database!SCA28</f>
        <v>0</v>
      </c>
      <c r="SBI4">
        <f>Database!SCB28</f>
        <v>0</v>
      </c>
      <c r="SBJ4">
        <f>Database!SCC28</f>
        <v>0</v>
      </c>
      <c r="SBK4">
        <f>Database!SCD28</f>
        <v>0</v>
      </c>
      <c r="SBL4">
        <f>Database!SCE28</f>
        <v>0</v>
      </c>
      <c r="SBM4">
        <f>Database!SCF28</f>
        <v>0</v>
      </c>
      <c r="SBN4">
        <f>Database!SCG28</f>
        <v>0</v>
      </c>
      <c r="SBO4">
        <f>Database!SCH28</f>
        <v>0</v>
      </c>
      <c r="SBP4">
        <f>Database!SCI28</f>
        <v>0</v>
      </c>
      <c r="SBQ4">
        <f>Database!SCJ28</f>
        <v>0</v>
      </c>
      <c r="SBR4">
        <f>Database!SCK28</f>
        <v>0</v>
      </c>
      <c r="SBS4">
        <f>Database!SCL28</f>
        <v>0</v>
      </c>
      <c r="SBT4">
        <f>Database!SCM28</f>
        <v>0</v>
      </c>
      <c r="SBU4">
        <f>Database!SCN28</f>
        <v>0</v>
      </c>
      <c r="SBV4">
        <f>Database!SCO28</f>
        <v>0</v>
      </c>
      <c r="SBW4">
        <f>Database!SCP28</f>
        <v>0</v>
      </c>
      <c r="SBX4">
        <f>Database!SCQ28</f>
        <v>0</v>
      </c>
      <c r="SBY4">
        <f>Database!SCR28</f>
        <v>0</v>
      </c>
      <c r="SBZ4">
        <f>Database!SCS28</f>
        <v>0</v>
      </c>
      <c r="SCA4">
        <f>Database!SCT28</f>
        <v>0</v>
      </c>
      <c r="SCB4">
        <f>Database!SCU28</f>
        <v>0</v>
      </c>
      <c r="SCC4">
        <f>Database!SCV28</f>
        <v>0</v>
      </c>
      <c r="SCD4">
        <f>Database!SCW28</f>
        <v>0</v>
      </c>
      <c r="SCE4">
        <f>Database!SCX28</f>
        <v>0</v>
      </c>
      <c r="SCF4">
        <f>Database!SCY28</f>
        <v>0</v>
      </c>
      <c r="SCG4">
        <f>Database!SCZ28</f>
        <v>0</v>
      </c>
      <c r="SCH4">
        <f>Database!SDA28</f>
        <v>0</v>
      </c>
      <c r="SCI4">
        <f>Database!SDB28</f>
        <v>0</v>
      </c>
      <c r="SCJ4">
        <f>Database!SDC28</f>
        <v>0</v>
      </c>
      <c r="SCK4">
        <f>Database!SDD28</f>
        <v>0</v>
      </c>
      <c r="SCL4">
        <f>Database!SDE28</f>
        <v>0</v>
      </c>
      <c r="SCM4">
        <f>Database!SDF28</f>
        <v>0</v>
      </c>
      <c r="SCN4">
        <f>Database!SDG28</f>
        <v>0</v>
      </c>
      <c r="SCO4">
        <f>Database!SDH28</f>
        <v>0</v>
      </c>
      <c r="SCP4">
        <f>Database!SDI28</f>
        <v>0</v>
      </c>
      <c r="SCQ4">
        <f>Database!SDJ28</f>
        <v>0</v>
      </c>
      <c r="SCR4">
        <f>Database!SDK28</f>
        <v>0</v>
      </c>
      <c r="SCS4">
        <f>Database!SDL28</f>
        <v>0</v>
      </c>
      <c r="SCT4">
        <f>Database!SDM28</f>
        <v>0</v>
      </c>
      <c r="SCU4">
        <f>Database!SDN28</f>
        <v>0</v>
      </c>
      <c r="SCV4">
        <f>Database!SDO28</f>
        <v>0</v>
      </c>
      <c r="SCW4">
        <f>Database!SDP28</f>
        <v>0</v>
      </c>
      <c r="SCX4">
        <f>Database!SDQ28</f>
        <v>0</v>
      </c>
      <c r="SCY4">
        <f>Database!SDR28</f>
        <v>0</v>
      </c>
      <c r="SCZ4">
        <f>Database!SDS28</f>
        <v>0</v>
      </c>
      <c r="SDA4">
        <f>Database!SDT28</f>
        <v>0</v>
      </c>
      <c r="SDB4">
        <f>Database!SDU28</f>
        <v>0</v>
      </c>
      <c r="SDC4">
        <f>Database!SDV28</f>
        <v>0</v>
      </c>
      <c r="SDD4">
        <f>Database!SDW28</f>
        <v>0</v>
      </c>
      <c r="SDE4">
        <f>Database!SDX28</f>
        <v>0</v>
      </c>
      <c r="SDF4">
        <f>Database!SDY28</f>
        <v>0</v>
      </c>
      <c r="SDG4">
        <f>Database!SDZ28</f>
        <v>0</v>
      </c>
      <c r="SDH4">
        <f>Database!SEA28</f>
        <v>0</v>
      </c>
      <c r="SDI4">
        <f>Database!SEB28</f>
        <v>0</v>
      </c>
      <c r="SDJ4">
        <f>Database!SEC28</f>
        <v>0</v>
      </c>
      <c r="SDK4">
        <f>Database!SED28</f>
        <v>0</v>
      </c>
      <c r="SDL4">
        <f>Database!SEE28</f>
        <v>0</v>
      </c>
      <c r="SDM4">
        <f>Database!SEF28</f>
        <v>0</v>
      </c>
      <c r="SDN4">
        <f>Database!SEG28</f>
        <v>0</v>
      </c>
      <c r="SDO4">
        <f>Database!SEH28</f>
        <v>0</v>
      </c>
      <c r="SDP4">
        <f>Database!SEI28</f>
        <v>0</v>
      </c>
      <c r="SDQ4">
        <f>Database!SEJ28</f>
        <v>0</v>
      </c>
      <c r="SDR4">
        <f>Database!SEK28</f>
        <v>0</v>
      </c>
      <c r="SDS4">
        <f>Database!SEL28</f>
        <v>0</v>
      </c>
      <c r="SDT4">
        <f>Database!SEM28</f>
        <v>0</v>
      </c>
      <c r="SDU4">
        <f>Database!SEN28</f>
        <v>0</v>
      </c>
      <c r="SDV4">
        <f>Database!SEO28</f>
        <v>0</v>
      </c>
      <c r="SDW4">
        <f>Database!SEP28</f>
        <v>0</v>
      </c>
      <c r="SDX4">
        <f>Database!SEQ28</f>
        <v>0</v>
      </c>
      <c r="SDY4">
        <f>Database!SER28</f>
        <v>0</v>
      </c>
      <c r="SDZ4">
        <f>Database!SES28</f>
        <v>0</v>
      </c>
      <c r="SEA4">
        <f>Database!SET28</f>
        <v>0</v>
      </c>
      <c r="SEB4">
        <f>Database!SEU28</f>
        <v>0</v>
      </c>
      <c r="SEC4">
        <f>Database!SEV28</f>
        <v>0</v>
      </c>
      <c r="SED4">
        <f>Database!SEW28</f>
        <v>0</v>
      </c>
      <c r="SEE4">
        <f>Database!SEX28</f>
        <v>0</v>
      </c>
      <c r="SEF4">
        <f>Database!SEY28</f>
        <v>0</v>
      </c>
      <c r="SEG4">
        <f>Database!SEZ28</f>
        <v>0</v>
      </c>
      <c r="SEH4">
        <f>Database!SFA28</f>
        <v>0</v>
      </c>
      <c r="SEI4">
        <f>Database!SFB28</f>
        <v>0</v>
      </c>
      <c r="SEJ4">
        <f>Database!SFC28</f>
        <v>0</v>
      </c>
      <c r="SEK4">
        <f>Database!SFD28</f>
        <v>0</v>
      </c>
      <c r="SEL4">
        <f>Database!SFE28</f>
        <v>0</v>
      </c>
      <c r="SEM4">
        <f>Database!SFF28</f>
        <v>0</v>
      </c>
      <c r="SEN4">
        <f>Database!SFG28</f>
        <v>0</v>
      </c>
      <c r="SEO4">
        <f>Database!SFH28</f>
        <v>0</v>
      </c>
      <c r="SEP4">
        <f>Database!SFI28</f>
        <v>0</v>
      </c>
      <c r="SEQ4">
        <f>Database!SFJ28</f>
        <v>0</v>
      </c>
      <c r="SER4">
        <f>Database!SFK28</f>
        <v>0</v>
      </c>
      <c r="SES4">
        <f>Database!SFL28</f>
        <v>0</v>
      </c>
      <c r="SET4">
        <f>Database!SFM28</f>
        <v>0</v>
      </c>
      <c r="SEU4">
        <f>Database!SFN28</f>
        <v>0</v>
      </c>
      <c r="SEV4">
        <f>Database!SFO28</f>
        <v>0</v>
      </c>
      <c r="SEW4">
        <f>Database!SFP28</f>
        <v>0</v>
      </c>
      <c r="SEX4">
        <f>Database!SFQ28</f>
        <v>0</v>
      </c>
      <c r="SEY4">
        <f>Database!SFR28</f>
        <v>0</v>
      </c>
      <c r="SEZ4">
        <f>Database!SFS28</f>
        <v>0</v>
      </c>
      <c r="SFA4">
        <f>Database!SFT28</f>
        <v>0</v>
      </c>
      <c r="SFB4">
        <f>Database!SFU28</f>
        <v>0</v>
      </c>
      <c r="SFC4">
        <f>Database!SFV28</f>
        <v>0</v>
      </c>
      <c r="SFD4">
        <f>Database!SFW28</f>
        <v>0</v>
      </c>
      <c r="SFE4">
        <f>Database!SFX28</f>
        <v>0</v>
      </c>
      <c r="SFF4">
        <f>Database!SFY28</f>
        <v>0</v>
      </c>
      <c r="SFG4">
        <f>Database!SFZ28</f>
        <v>0</v>
      </c>
      <c r="SFH4">
        <f>Database!SGA28</f>
        <v>0</v>
      </c>
      <c r="SFI4">
        <f>Database!SGB28</f>
        <v>0</v>
      </c>
      <c r="SFJ4">
        <f>Database!SGC28</f>
        <v>0</v>
      </c>
      <c r="SFK4">
        <f>Database!SGD28</f>
        <v>0</v>
      </c>
      <c r="SFL4">
        <f>Database!SGE28</f>
        <v>0</v>
      </c>
      <c r="SFM4">
        <f>Database!SGF28</f>
        <v>0</v>
      </c>
      <c r="SFN4">
        <f>Database!SGG28</f>
        <v>0</v>
      </c>
      <c r="SFO4">
        <f>Database!SGH28</f>
        <v>0</v>
      </c>
      <c r="SFP4">
        <f>Database!SGI28</f>
        <v>0</v>
      </c>
      <c r="SFQ4">
        <f>Database!SGJ28</f>
        <v>0</v>
      </c>
      <c r="SFR4">
        <f>Database!SGK28</f>
        <v>0</v>
      </c>
      <c r="SFS4">
        <f>Database!SGL28</f>
        <v>0</v>
      </c>
      <c r="SFT4">
        <f>Database!SGM28</f>
        <v>0</v>
      </c>
      <c r="SFU4">
        <f>Database!SGN28</f>
        <v>0</v>
      </c>
      <c r="SFV4">
        <f>Database!SGO28</f>
        <v>0</v>
      </c>
      <c r="SFW4">
        <f>Database!SGP28</f>
        <v>0</v>
      </c>
      <c r="SFX4">
        <f>Database!SGQ28</f>
        <v>0</v>
      </c>
      <c r="SFY4">
        <f>Database!SGR28</f>
        <v>0</v>
      </c>
      <c r="SFZ4">
        <f>Database!SGS28</f>
        <v>0</v>
      </c>
      <c r="SGA4">
        <f>Database!SGT28</f>
        <v>0</v>
      </c>
      <c r="SGB4">
        <f>Database!SGU28</f>
        <v>0</v>
      </c>
      <c r="SGC4">
        <f>Database!SGV28</f>
        <v>0</v>
      </c>
      <c r="SGD4">
        <f>Database!SGW28</f>
        <v>0</v>
      </c>
      <c r="SGE4">
        <f>Database!SGX28</f>
        <v>0</v>
      </c>
      <c r="SGF4">
        <f>Database!SGY28</f>
        <v>0</v>
      </c>
      <c r="SGG4">
        <f>Database!SGZ28</f>
        <v>0</v>
      </c>
      <c r="SGH4">
        <f>Database!SHA28</f>
        <v>0</v>
      </c>
      <c r="SGI4">
        <f>Database!SHB28</f>
        <v>0</v>
      </c>
      <c r="SGJ4">
        <f>Database!SHC28</f>
        <v>0</v>
      </c>
      <c r="SGK4">
        <f>Database!SHD28</f>
        <v>0</v>
      </c>
      <c r="SGL4">
        <f>Database!SHE28</f>
        <v>0</v>
      </c>
      <c r="SGM4">
        <f>Database!SHF28</f>
        <v>0</v>
      </c>
      <c r="SGN4">
        <f>Database!SHG28</f>
        <v>0</v>
      </c>
      <c r="SGO4">
        <f>Database!SHH28</f>
        <v>0</v>
      </c>
      <c r="SGP4">
        <f>Database!SHI28</f>
        <v>0</v>
      </c>
      <c r="SGQ4">
        <f>Database!SHJ28</f>
        <v>0</v>
      </c>
      <c r="SGR4">
        <f>Database!SHK28</f>
        <v>0</v>
      </c>
      <c r="SGS4">
        <f>Database!SHL28</f>
        <v>0</v>
      </c>
      <c r="SGT4">
        <f>Database!SHM28</f>
        <v>0</v>
      </c>
      <c r="SGU4">
        <f>Database!SHN28</f>
        <v>0</v>
      </c>
      <c r="SGV4">
        <f>Database!SHO28</f>
        <v>0</v>
      </c>
      <c r="SGW4">
        <f>Database!SHP28</f>
        <v>0</v>
      </c>
      <c r="SGX4">
        <f>Database!SHQ28</f>
        <v>0</v>
      </c>
      <c r="SGY4">
        <f>Database!SHR28</f>
        <v>0</v>
      </c>
      <c r="SGZ4">
        <f>Database!SHS28</f>
        <v>0</v>
      </c>
      <c r="SHA4">
        <f>Database!SHT28</f>
        <v>0</v>
      </c>
      <c r="SHB4">
        <f>Database!SHU28</f>
        <v>0</v>
      </c>
      <c r="SHC4">
        <f>Database!SHV28</f>
        <v>0</v>
      </c>
      <c r="SHD4">
        <f>Database!SHW28</f>
        <v>0</v>
      </c>
      <c r="SHE4">
        <f>Database!SHX28</f>
        <v>0</v>
      </c>
      <c r="SHF4">
        <f>Database!SHY28</f>
        <v>0</v>
      </c>
      <c r="SHG4">
        <f>Database!SHZ28</f>
        <v>0</v>
      </c>
      <c r="SHH4">
        <f>Database!SIA28</f>
        <v>0</v>
      </c>
      <c r="SHI4">
        <f>Database!SIB28</f>
        <v>0</v>
      </c>
      <c r="SHJ4">
        <f>Database!SIC28</f>
        <v>0</v>
      </c>
      <c r="SHK4">
        <f>Database!SID28</f>
        <v>0</v>
      </c>
      <c r="SHL4">
        <f>Database!SIE28</f>
        <v>0</v>
      </c>
      <c r="SHM4">
        <f>Database!SIF28</f>
        <v>0</v>
      </c>
      <c r="SHN4">
        <f>Database!SIG28</f>
        <v>0</v>
      </c>
      <c r="SHO4">
        <f>Database!SIH28</f>
        <v>0</v>
      </c>
      <c r="SHP4">
        <f>Database!SII28</f>
        <v>0</v>
      </c>
      <c r="SHQ4">
        <f>Database!SIJ28</f>
        <v>0</v>
      </c>
      <c r="SHR4">
        <f>Database!SIK28</f>
        <v>0</v>
      </c>
      <c r="SHS4">
        <f>Database!SIL28</f>
        <v>0</v>
      </c>
      <c r="SHT4">
        <f>Database!SIM28</f>
        <v>0</v>
      </c>
      <c r="SHU4">
        <f>Database!SIN28</f>
        <v>0</v>
      </c>
      <c r="SHV4">
        <f>Database!SIO28</f>
        <v>0</v>
      </c>
      <c r="SHW4">
        <f>Database!SIP28</f>
        <v>0</v>
      </c>
      <c r="SHX4">
        <f>Database!SIQ28</f>
        <v>0</v>
      </c>
      <c r="SHY4">
        <f>Database!SIR28</f>
        <v>0</v>
      </c>
      <c r="SHZ4">
        <f>Database!SIS28</f>
        <v>0</v>
      </c>
      <c r="SIA4">
        <f>Database!SIT28</f>
        <v>0</v>
      </c>
      <c r="SIB4">
        <f>Database!SIU28</f>
        <v>0</v>
      </c>
      <c r="SIC4">
        <f>Database!SIV28</f>
        <v>0</v>
      </c>
      <c r="SID4">
        <f>Database!SIW28</f>
        <v>0</v>
      </c>
      <c r="SIE4">
        <f>Database!SIX28</f>
        <v>0</v>
      </c>
      <c r="SIF4">
        <f>Database!SIY28</f>
        <v>0</v>
      </c>
      <c r="SIG4">
        <f>Database!SIZ28</f>
        <v>0</v>
      </c>
      <c r="SIH4">
        <f>Database!SJA28</f>
        <v>0</v>
      </c>
      <c r="SII4">
        <f>Database!SJB28</f>
        <v>0</v>
      </c>
      <c r="SIJ4">
        <f>Database!SJC28</f>
        <v>0</v>
      </c>
      <c r="SIK4">
        <f>Database!SJD28</f>
        <v>0</v>
      </c>
      <c r="SIL4">
        <f>Database!SJE28</f>
        <v>0</v>
      </c>
      <c r="SIM4">
        <f>Database!SJF28</f>
        <v>0</v>
      </c>
      <c r="SIN4">
        <f>Database!SJG28</f>
        <v>0</v>
      </c>
      <c r="SIO4">
        <f>Database!SJH28</f>
        <v>0</v>
      </c>
      <c r="SIP4">
        <f>Database!SJI28</f>
        <v>0</v>
      </c>
      <c r="SIQ4">
        <f>Database!SJJ28</f>
        <v>0</v>
      </c>
      <c r="SIR4">
        <f>Database!SJK28</f>
        <v>0</v>
      </c>
      <c r="SIS4">
        <f>Database!SJL28</f>
        <v>0</v>
      </c>
      <c r="SIT4">
        <f>Database!SJM28</f>
        <v>0</v>
      </c>
      <c r="SIU4">
        <f>Database!SJN28</f>
        <v>0</v>
      </c>
      <c r="SIV4">
        <f>Database!SJO28</f>
        <v>0</v>
      </c>
      <c r="SIW4">
        <f>Database!SJP28</f>
        <v>0</v>
      </c>
      <c r="SIX4">
        <f>Database!SJQ28</f>
        <v>0</v>
      </c>
      <c r="SIY4">
        <f>Database!SJR28</f>
        <v>0</v>
      </c>
      <c r="SIZ4">
        <f>Database!SJS28</f>
        <v>0</v>
      </c>
      <c r="SJA4">
        <f>Database!SJT28</f>
        <v>0</v>
      </c>
      <c r="SJB4">
        <f>Database!SJU28</f>
        <v>0</v>
      </c>
      <c r="SJC4">
        <f>Database!SJV28</f>
        <v>0</v>
      </c>
      <c r="SJD4">
        <f>Database!SJW28</f>
        <v>0</v>
      </c>
      <c r="SJE4">
        <f>Database!SJX28</f>
        <v>0</v>
      </c>
      <c r="SJF4">
        <f>Database!SJY28</f>
        <v>0</v>
      </c>
      <c r="SJG4">
        <f>Database!SJZ28</f>
        <v>0</v>
      </c>
      <c r="SJH4">
        <f>Database!SKA28</f>
        <v>0</v>
      </c>
      <c r="SJI4">
        <f>Database!SKB28</f>
        <v>0</v>
      </c>
      <c r="SJJ4">
        <f>Database!SKC28</f>
        <v>0</v>
      </c>
      <c r="SJK4">
        <f>Database!SKD28</f>
        <v>0</v>
      </c>
      <c r="SJL4">
        <f>Database!SKE28</f>
        <v>0</v>
      </c>
      <c r="SJM4">
        <f>Database!SKF28</f>
        <v>0</v>
      </c>
      <c r="SJN4">
        <f>Database!SKG28</f>
        <v>0</v>
      </c>
      <c r="SJO4">
        <f>Database!SKH28</f>
        <v>0</v>
      </c>
      <c r="SJP4">
        <f>Database!SKI28</f>
        <v>0</v>
      </c>
      <c r="SJQ4">
        <f>Database!SKJ28</f>
        <v>0</v>
      </c>
      <c r="SJR4">
        <f>Database!SKK28</f>
        <v>0</v>
      </c>
      <c r="SJS4">
        <f>Database!SKL28</f>
        <v>0</v>
      </c>
      <c r="SJT4">
        <f>Database!SKM28</f>
        <v>0</v>
      </c>
      <c r="SJU4">
        <f>Database!SKN28</f>
        <v>0</v>
      </c>
      <c r="SJV4">
        <f>Database!SKO28</f>
        <v>0</v>
      </c>
      <c r="SJW4">
        <f>Database!SKP28</f>
        <v>0</v>
      </c>
      <c r="SJX4">
        <f>Database!SKQ28</f>
        <v>0</v>
      </c>
      <c r="SJY4">
        <f>Database!SKR28</f>
        <v>0</v>
      </c>
      <c r="SJZ4">
        <f>Database!SKS28</f>
        <v>0</v>
      </c>
      <c r="SKA4">
        <f>Database!SKT28</f>
        <v>0</v>
      </c>
      <c r="SKB4">
        <f>Database!SKU28</f>
        <v>0</v>
      </c>
      <c r="SKC4">
        <f>Database!SKV28</f>
        <v>0</v>
      </c>
      <c r="SKD4">
        <f>Database!SKW28</f>
        <v>0</v>
      </c>
      <c r="SKE4">
        <f>Database!SKX28</f>
        <v>0</v>
      </c>
      <c r="SKF4">
        <f>Database!SKY28</f>
        <v>0</v>
      </c>
      <c r="SKG4">
        <f>Database!SKZ28</f>
        <v>0</v>
      </c>
      <c r="SKH4">
        <f>Database!SLA28</f>
        <v>0</v>
      </c>
      <c r="SKI4">
        <f>Database!SLB28</f>
        <v>0</v>
      </c>
      <c r="SKJ4">
        <f>Database!SLC28</f>
        <v>0</v>
      </c>
      <c r="SKK4">
        <f>Database!SLD28</f>
        <v>0</v>
      </c>
      <c r="SKL4">
        <f>Database!SLE28</f>
        <v>0</v>
      </c>
      <c r="SKM4">
        <f>Database!SLF28</f>
        <v>0</v>
      </c>
      <c r="SKN4">
        <f>Database!SLG28</f>
        <v>0</v>
      </c>
      <c r="SKO4">
        <f>Database!SLH28</f>
        <v>0</v>
      </c>
      <c r="SKP4">
        <f>Database!SLI28</f>
        <v>0</v>
      </c>
      <c r="SKQ4">
        <f>Database!SLJ28</f>
        <v>0</v>
      </c>
      <c r="SKR4">
        <f>Database!SLK28</f>
        <v>0</v>
      </c>
      <c r="SKS4">
        <f>Database!SLL28</f>
        <v>0</v>
      </c>
      <c r="SKT4">
        <f>Database!SLM28</f>
        <v>0</v>
      </c>
      <c r="SKU4">
        <f>Database!SLN28</f>
        <v>0</v>
      </c>
      <c r="SKV4">
        <f>Database!SLO28</f>
        <v>0</v>
      </c>
      <c r="SKW4">
        <f>Database!SLP28</f>
        <v>0</v>
      </c>
      <c r="SKX4">
        <f>Database!SLQ28</f>
        <v>0</v>
      </c>
      <c r="SKY4">
        <f>Database!SLR28</f>
        <v>0</v>
      </c>
      <c r="SKZ4">
        <f>Database!SLS28</f>
        <v>0</v>
      </c>
      <c r="SLA4">
        <f>Database!SLT28</f>
        <v>0</v>
      </c>
      <c r="SLB4">
        <f>Database!SLU28</f>
        <v>0</v>
      </c>
      <c r="SLC4">
        <f>Database!SLV28</f>
        <v>0</v>
      </c>
      <c r="SLD4">
        <f>Database!SLW28</f>
        <v>0</v>
      </c>
      <c r="SLE4">
        <f>Database!SLX28</f>
        <v>0</v>
      </c>
      <c r="SLF4">
        <f>Database!SLY28</f>
        <v>0</v>
      </c>
      <c r="SLG4">
        <f>Database!SLZ28</f>
        <v>0</v>
      </c>
      <c r="SLH4">
        <f>Database!SMA28</f>
        <v>0</v>
      </c>
      <c r="SLI4">
        <f>Database!SMB28</f>
        <v>0</v>
      </c>
      <c r="SLJ4">
        <f>Database!SMC28</f>
        <v>0</v>
      </c>
      <c r="SLK4">
        <f>Database!SMD28</f>
        <v>0</v>
      </c>
      <c r="SLL4">
        <f>Database!SME28</f>
        <v>0</v>
      </c>
      <c r="SLM4">
        <f>Database!SMF28</f>
        <v>0</v>
      </c>
      <c r="SLN4">
        <f>Database!SMG28</f>
        <v>0</v>
      </c>
      <c r="SLO4">
        <f>Database!SMH28</f>
        <v>0</v>
      </c>
      <c r="SLP4">
        <f>Database!SMI28</f>
        <v>0</v>
      </c>
      <c r="SLQ4">
        <f>Database!SMJ28</f>
        <v>0</v>
      </c>
      <c r="SLR4">
        <f>Database!SMK28</f>
        <v>0</v>
      </c>
      <c r="SLS4">
        <f>Database!SML28</f>
        <v>0</v>
      </c>
      <c r="SLT4">
        <f>Database!SMM28</f>
        <v>0</v>
      </c>
      <c r="SLU4">
        <f>Database!SMN28</f>
        <v>0</v>
      </c>
      <c r="SLV4">
        <f>Database!SMO28</f>
        <v>0</v>
      </c>
      <c r="SLW4">
        <f>Database!SMP28</f>
        <v>0</v>
      </c>
      <c r="SLX4">
        <f>Database!SMQ28</f>
        <v>0</v>
      </c>
      <c r="SLY4">
        <f>Database!SMR28</f>
        <v>0</v>
      </c>
      <c r="SLZ4">
        <f>Database!SMS28</f>
        <v>0</v>
      </c>
      <c r="SMA4">
        <f>Database!SMT28</f>
        <v>0</v>
      </c>
      <c r="SMB4">
        <f>Database!SMU28</f>
        <v>0</v>
      </c>
      <c r="SMC4">
        <f>Database!SMV28</f>
        <v>0</v>
      </c>
      <c r="SMD4">
        <f>Database!SMW28</f>
        <v>0</v>
      </c>
      <c r="SME4">
        <f>Database!SMX28</f>
        <v>0</v>
      </c>
      <c r="SMF4">
        <f>Database!SMY28</f>
        <v>0</v>
      </c>
      <c r="SMG4">
        <f>Database!SMZ28</f>
        <v>0</v>
      </c>
      <c r="SMH4">
        <f>Database!SNA28</f>
        <v>0</v>
      </c>
      <c r="SMI4">
        <f>Database!SNB28</f>
        <v>0</v>
      </c>
      <c r="SMJ4">
        <f>Database!SNC28</f>
        <v>0</v>
      </c>
      <c r="SMK4">
        <f>Database!SND28</f>
        <v>0</v>
      </c>
      <c r="SML4">
        <f>Database!SNE28</f>
        <v>0</v>
      </c>
      <c r="SMM4">
        <f>Database!SNF28</f>
        <v>0</v>
      </c>
      <c r="SMN4">
        <f>Database!SNG28</f>
        <v>0</v>
      </c>
      <c r="SMO4">
        <f>Database!SNH28</f>
        <v>0</v>
      </c>
      <c r="SMP4">
        <f>Database!SNI28</f>
        <v>0</v>
      </c>
      <c r="SMQ4">
        <f>Database!SNJ28</f>
        <v>0</v>
      </c>
      <c r="SMR4">
        <f>Database!SNK28</f>
        <v>0</v>
      </c>
      <c r="SMS4">
        <f>Database!SNL28</f>
        <v>0</v>
      </c>
      <c r="SMT4">
        <f>Database!SNM28</f>
        <v>0</v>
      </c>
      <c r="SMU4">
        <f>Database!SNN28</f>
        <v>0</v>
      </c>
      <c r="SMV4">
        <f>Database!SNO28</f>
        <v>0</v>
      </c>
      <c r="SMW4">
        <f>Database!SNP28</f>
        <v>0</v>
      </c>
      <c r="SMX4">
        <f>Database!SNQ28</f>
        <v>0</v>
      </c>
      <c r="SMY4">
        <f>Database!SNR28</f>
        <v>0</v>
      </c>
      <c r="SMZ4">
        <f>Database!SNS28</f>
        <v>0</v>
      </c>
      <c r="SNA4">
        <f>Database!SNT28</f>
        <v>0</v>
      </c>
      <c r="SNB4">
        <f>Database!SNU28</f>
        <v>0</v>
      </c>
      <c r="SNC4">
        <f>Database!SNV28</f>
        <v>0</v>
      </c>
      <c r="SND4">
        <f>Database!SNW28</f>
        <v>0</v>
      </c>
      <c r="SNE4">
        <f>Database!SNX28</f>
        <v>0</v>
      </c>
      <c r="SNF4">
        <f>Database!SNY28</f>
        <v>0</v>
      </c>
      <c r="SNG4">
        <f>Database!SNZ28</f>
        <v>0</v>
      </c>
      <c r="SNH4">
        <f>Database!SOA28</f>
        <v>0</v>
      </c>
      <c r="SNI4">
        <f>Database!SOB28</f>
        <v>0</v>
      </c>
      <c r="SNJ4">
        <f>Database!SOC28</f>
        <v>0</v>
      </c>
      <c r="SNK4">
        <f>Database!SOD28</f>
        <v>0</v>
      </c>
      <c r="SNL4">
        <f>Database!SOE28</f>
        <v>0</v>
      </c>
      <c r="SNM4">
        <f>Database!SOF28</f>
        <v>0</v>
      </c>
      <c r="SNN4">
        <f>Database!SOG28</f>
        <v>0</v>
      </c>
      <c r="SNO4">
        <f>Database!SOH28</f>
        <v>0</v>
      </c>
      <c r="SNP4">
        <f>Database!SOI28</f>
        <v>0</v>
      </c>
      <c r="SNQ4">
        <f>Database!SOJ28</f>
        <v>0</v>
      </c>
      <c r="SNR4">
        <f>Database!SOK28</f>
        <v>0</v>
      </c>
      <c r="SNS4">
        <f>Database!SOL28</f>
        <v>0</v>
      </c>
      <c r="SNT4">
        <f>Database!SOM28</f>
        <v>0</v>
      </c>
      <c r="SNU4">
        <f>Database!SON28</f>
        <v>0</v>
      </c>
      <c r="SNV4">
        <f>Database!SOO28</f>
        <v>0</v>
      </c>
      <c r="SNW4">
        <f>Database!SOP28</f>
        <v>0</v>
      </c>
      <c r="SNX4">
        <f>Database!SOQ28</f>
        <v>0</v>
      </c>
      <c r="SNY4">
        <f>Database!SOR28</f>
        <v>0</v>
      </c>
      <c r="SNZ4">
        <f>Database!SOS28</f>
        <v>0</v>
      </c>
      <c r="SOA4">
        <f>Database!SOT28</f>
        <v>0</v>
      </c>
      <c r="SOB4">
        <f>Database!SOU28</f>
        <v>0</v>
      </c>
      <c r="SOC4">
        <f>Database!SOV28</f>
        <v>0</v>
      </c>
      <c r="SOD4">
        <f>Database!SOW28</f>
        <v>0</v>
      </c>
      <c r="SOE4">
        <f>Database!SOX28</f>
        <v>0</v>
      </c>
      <c r="SOF4">
        <f>Database!SOY28</f>
        <v>0</v>
      </c>
      <c r="SOG4">
        <f>Database!SOZ28</f>
        <v>0</v>
      </c>
      <c r="SOH4">
        <f>Database!SPA28</f>
        <v>0</v>
      </c>
      <c r="SOI4">
        <f>Database!SPB28</f>
        <v>0</v>
      </c>
      <c r="SOJ4">
        <f>Database!SPC28</f>
        <v>0</v>
      </c>
      <c r="SOK4">
        <f>Database!SPD28</f>
        <v>0</v>
      </c>
      <c r="SOL4">
        <f>Database!SPE28</f>
        <v>0</v>
      </c>
      <c r="SOM4">
        <f>Database!SPF28</f>
        <v>0</v>
      </c>
      <c r="SON4">
        <f>Database!SPG28</f>
        <v>0</v>
      </c>
      <c r="SOO4">
        <f>Database!SPH28</f>
        <v>0</v>
      </c>
      <c r="SOP4">
        <f>Database!SPI28</f>
        <v>0</v>
      </c>
      <c r="SOQ4">
        <f>Database!SPJ28</f>
        <v>0</v>
      </c>
      <c r="SOR4">
        <f>Database!SPK28</f>
        <v>0</v>
      </c>
      <c r="SOS4">
        <f>Database!SPL28</f>
        <v>0</v>
      </c>
      <c r="SOT4">
        <f>Database!SPM28</f>
        <v>0</v>
      </c>
      <c r="SOU4">
        <f>Database!SPN28</f>
        <v>0</v>
      </c>
      <c r="SOV4">
        <f>Database!SPO28</f>
        <v>0</v>
      </c>
      <c r="SOW4">
        <f>Database!SPP28</f>
        <v>0</v>
      </c>
      <c r="SOX4">
        <f>Database!SPQ28</f>
        <v>0</v>
      </c>
      <c r="SOY4">
        <f>Database!SPR28</f>
        <v>0</v>
      </c>
      <c r="SOZ4">
        <f>Database!SPS28</f>
        <v>0</v>
      </c>
      <c r="SPA4">
        <f>Database!SPT28</f>
        <v>0</v>
      </c>
      <c r="SPB4">
        <f>Database!SPU28</f>
        <v>0</v>
      </c>
      <c r="SPC4">
        <f>Database!SPV28</f>
        <v>0</v>
      </c>
      <c r="SPD4">
        <f>Database!SPW28</f>
        <v>0</v>
      </c>
      <c r="SPE4">
        <f>Database!SPX28</f>
        <v>0</v>
      </c>
      <c r="SPF4">
        <f>Database!SPY28</f>
        <v>0</v>
      </c>
      <c r="SPG4">
        <f>Database!SPZ28</f>
        <v>0</v>
      </c>
      <c r="SPH4">
        <f>Database!SQA28</f>
        <v>0</v>
      </c>
      <c r="SPI4">
        <f>Database!SQB28</f>
        <v>0</v>
      </c>
      <c r="SPJ4">
        <f>Database!SQC28</f>
        <v>0</v>
      </c>
      <c r="SPK4">
        <f>Database!SQD28</f>
        <v>0</v>
      </c>
      <c r="SPL4">
        <f>Database!SQE28</f>
        <v>0</v>
      </c>
      <c r="SPM4">
        <f>Database!SQF28</f>
        <v>0</v>
      </c>
      <c r="SPN4">
        <f>Database!SQG28</f>
        <v>0</v>
      </c>
      <c r="SPO4">
        <f>Database!SQH28</f>
        <v>0</v>
      </c>
      <c r="SPP4">
        <f>Database!SQI28</f>
        <v>0</v>
      </c>
      <c r="SPQ4">
        <f>Database!SQJ28</f>
        <v>0</v>
      </c>
      <c r="SPR4">
        <f>Database!SQK28</f>
        <v>0</v>
      </c>
      <c r="SPS4">
        <f>Database!SQL28</f>
        <v>0</v>
      </c>
      <c r="SPT4">
        <f>Database!SQM28</f>
        <v>0</v>
      </c>
      <c r="SPU4">
        <f>Database!SQN28</f>
        <v>0</v>
      </c>
      <c r="SPV4">
        <f>Database!SQO28</f>
        <v>0</v>
      </c>
      <c r="SPW4">
        <f>Database!SQP28</f>
        <v>0</v>
      </c>
      <c r="SPX4">
        <f>Database!SQQ28</f>
        <v>0</v>
      </c>
      <c r="SPY4">
        <f>Database!SQR28</f>
        <v>0</v>
      </c>
      <c r="SPZ4">
        <f>Database!SQS28</f>
        <v>0</v>
      </c>
      <c r="SQA4">
        <f>Database!SQT28</f>
        <v>0</v>
      </c>
      <c r="SQB4">
        <f>Database!SQU28</f>
        <v>0</v>
      </c>
      <c r="SQC4">
        <f>Database!SQV28</f>
        <v>0</v>
      </c>
      <c r="SQD4">
        <f>Database!SQW28</f>
        <v>0</v>
      </c>
      <c r="SQE4">
        <f>Database!SQX28</f>
        <v>0</v>
      </c>
      <c r="SQF4">
        <f>Database!SQY28</f>
        <v>0</v>
      </c>
      <c r="SQG4">
        <f>Database!SQZ28</f>
        <v>0</v>
      </c>
      <c r="SQH4">
        <f>Database!SRA28</f>
        <v>0</v>
      </c>
      <c r="SQI4">
        <f>Database!SRB28</f>
        <v>0</v>
      </c>
      <c r="SQJ4">
        <f>Database!SRC28</f>
        <v>0</v>
      </c>
      <c r="SQK4">
        <f>Database!SRD28</f>
        <v>0</v>
      </c>
      <c r="SQL4">
        <f>Database!SRE28</f>
        <v>0</v>
      </c>
      <c r="SQM4">
        <f>Database!SRF28</f>
        <v>0</v>
      </c>
      <c r="SQN4">
        <f>Database!SRG28</f>
        <v>0</v>
      </c>
      <c r="SQO4">
        <f>Database!SRH28</f>
        <v>0</v>
      </c>
      <c r="SQP4">
        <f>Database!SRI28</f>
        <v>0</v>
      </c>
      <c r="SQQ4">
        <f>Database!SRJ28</f>
        <v>0</v>
      </c>
      <c r="SQR4">
        <f>Database!SRK28</f>
        <v>0</v>
      </c>
      <c r="SQS4">
        <f>Database!SRL28</f>
        <v>0</v>
      </c>
      <c r="SQT4">
        <f>Database!SRM28</f>
        <v>0</v>
      </c>
      <c r="SQU4">
        <f>Database!SRN28</f>
        <v>0</v>
      </c>
      <c r="SQV4">
        <f>Database!SRO28</f>
        <v>0</v>
      </c>
      <c r="SQW4">
        <f>Database!SRP28</f>
        <v>0</v>
      </c>
      <c r="SQX4">
        <f>Database!SRQ28</f>
        <v>0</v>
      </c>
      <c r="SQY4">
        <f>Database!SRR28</f>
        <v>0</v>
      </c>
      <c r="SQZ4">
        <f>Database!SRS28</f>
        <v>0</v>
      </c>
      <c r="SRA4">
        <f>Database!SRT28</f>
        <v>0</v>
      </c>
      <c r="SRB4">
        <f>Database!SRU28</f>
        <v>0</v>
      </c>
      <c r="SRC4">
        <f>Database!SRV28</f>
        <v>0</v>
      </c>
      <c r="SRD4">
        <f>Database!SRW28</f>
        <v>0</v>
      </c>
      <c r="SRE4">
        <f>Database!SRX28</f>
        <v>0</v>
      </c>
      <c r="SRF4">
        <f>Database!SRY28</f>
        <v>0</v>
      </c>
      <c r="SRG4">
        <f>Database!SRZ28</f>
        <v>0</v>
      </c>
      <c r="SRH4">
        <f>Database!SSA28</f>
        <v>0</v>
      </c>
      <c r="SRI4">
        <f>Database!SSB28</f>
        <v>0</v>
      </c>
      <c r="SRJ4">
        <f>Database!SSC28</f>
        <v>0</v>
      </c>
      <c r="SRK4">
        <f>Database!SSD28</f>
        <v>0</v>
      </c>
      <c r="SRL4">
        <f>Database!SSE28</f>
        <v>0</v>
      </c>
      <c r="SRM4">
        <f>Database!SSF28</f>
        <v>0</v>
      </c>
      <c r="SRN4">
        <f>Database!SSG28</f>
        <v>0</v>
      </c>
      <c r="SRO4">
        <f>Database!SSH28</f>
        <v>0</v>
      </c>
      <c r="SRP4">
        <f>Database!SSI28</f>
        <v>0</v>
      </c>
      <c r="SRQ4">
        <f>Database!SSJ28</f>
        <v>0</v>
      </c>
      <c r="SRR4">
        <f>Database!SSK28</f>
        <v>0</v>
      </c>
      <c r="SRS4">
        <f>Database!SSL28</f>
        <v>0</v>
      </c>
      <c r="SRT4">
        <f>Database!SSM28</f>
        <v>0</v>
      </c>
      <c r="SRU4">
        <f>Database!SSN28</f>
        <v>0</v>
      </c>
      <c r="SRV4">
        <f>Database!SSO28</f>
        <v>0</v>
      </c>
      <c r="SRW4">
        <f>Database!SSP28</f>
        <v>0</v>
      </c>
      <c r="SRX4">
        <f>Database!SSQ28</f>
        <v>0</v>
      </c>
      <c r="SRY4">
        <f>Database!SSR28</f>
        <v>0</v>
      </c>
      <c r="SRZ4">
        <f>Database!SSS28</f>
        <v>0</v>
      </c>
      <c r="SSA4">
        <f>Database!SST28</f>
        <v>0</v>
      </c>
      <c r="SSB4">
        <f>Database!SSU28</f>
        <v>0</v>
      </c>
      <c r="SSC4">
        <f>Database!SSV28</f>
        <v>0</v>
      </c>
      <c r="SSD4">
        <f>Database!SSW28</f>
        <v>0</v>
      </c>
      <c r="SSE4">
        <f>Database!SSX28</f>
        <v>0</v>
      </c>
      <c r="SSF4">
        <f>Database!SSY28</f>
        <v>0</v>
      </c>
      <c r="SSG4">
        <f>Database!SSZ28</f>
        <v>0</v>
      </c>
      <c r="SSH4">
        <f>Database!STA28</f>
        <v>0</v>
      </c>
      <c r="SSI4">
        <f>Database!STB28</f>
        <v>0</v>
      </c>
      <c r="SSJ4">
        <f>Database!STC28</f>
        <v>0</v>
      </c>
      <c r="SSK4">
        <f>Database!STD28</f>
        <v>0</v>
      </c>
      <c r="SSL4">
        <f>Database!STE28</f>
        <v>0</v>
      </c>
      <c r="SSM4">
        <f>Database!STF28</f>
        <v>0</v>
      </c>
      <c r="SSN4">
        <f>Database!STG28</f>
        <v>0</v>
      </c>
      <c r="SSO4">
        <f>Database!STH28</f>
        <v>0</v>
      </c>
      <c r="SSP4">
        <f>Database!STI28</f>
        <v>0</v>
      </c>
      <c r="SSQ4">
        <f>Database!STJ28</f>
        <v>0</v>
      </c>
      <c r="SSR4">
        <f>Database!STK28</f>
        <v>0</v>
      </c>
      <c r="SSS4">
        <f>Database!STL28</f>
        <v>0</v>
      </c>
      <c r="SST4">
        <f>Database!STM28</f>
        <v>0</v>
      </c>
      <c r="SSU4">
        <f>Database!STN28</f>
        <v>0</v>
      </c>
      <c r="SSV4">
        <f>Database!STO28</f>
        <v>0</v>
      </c>
      <c r="SSW4">
        <f>Database!STP28</f>
        <v>0</v>
      </c>
      <c r="SSX4">
        <f>Database!STQ28</f>
        <v>0</v>
      </c>
      <c r="SSY4">
        <f>Database!STR28</f>
        <v>0</v>
      </c>
      <c r="SSZ4">
        <f>Database!STS28</f>
        <v>0</v>
      </c>
      <c r="STA4">
        <f>Database!STT28</f>
        <v>0</v>
      </c>
      <c r="STB4">
        <f>Database!STU28</f>
        <v>0</v>
      </c>
      <c r="STC4">
        <f>Database!STV28</f>
        <v>0</v>
      </c>
      <c r="STD4">
        <f>Database!STW28</f>
        <v>0</v>
      </c>
      <c r="STE4">
        <f>Database!STX28</f>
        <v>0</v>
      </c>
      <c r="STF4">
        <f>Database!STY28</f>
        <v>0</v>
      </c>
      <c r="STG4">
        <f>Database!STZ28</f>
        <v>0</v>
      </c>
      <c r="STH4">
        <f>Database!SUA28</f>
        <v>0</v>
      </c>
      <c r="STI4">
        <f>Database!SUB28</f>
        <v>0</v>
      </c>
      <c r="STJ4">
        <f>Database!SUC28</f>
        <v>0</v>
      </c>
      <c r="STK4">
        <f>Database!SUD28</f>
        <v>0</v>
      </c>
      <c r="STL4">
        <f>Database!SUE28</f>
        <v>0</v>
      </c>
      <c r="STM4">
        <f>Database!SUF28</f>
        <v>0</v>
      </c>
      <c r="STN4">
        <f>Database!SUG28</f>
        <v>0</v>
      </c>
      <c r="STO4">
        <f>Database!SUH28</f>
        <v>0</v>
      </c>
      <c r="STP4">
        <f>Database!SUI28</f>
        <v>0</v>
      </c>
      <c r="STQ4">
        <f>Database!SUJ28</f>
        <v>0</v>
      </c>
      <c r="STR4">
        <f>Database!SUK28</f>
        <v>0</v>
      </c>
      <c r="STS4">
        <f>Database!SUL28</f>
        <v>0</v>
      </c>
      <c r="STT4">
        <f>Database!SUM28</f>
        <v>0</v>
      </c>
      <c r="STU4">
        <f>Database!SUN28</f>
        <v>0</v>
      </c>
      <c r="STV4">
        <f>Database!SUO28</f>
        <v>0</v>
      </c>
      <c r="STW4">
        <f>Database!SUP28</f>
        <v>0</v>
      </c>
      <c r="STX4">
        <f>Database!SUQ28</f>
        <v>0</v>
      </c>
      <c r="STY4">
        <f>Database!SUR28</f>
        <v>0</v>
      </c>
      <c r="STZ4">
        <f>Database!SUS28</f>
        <v>0</v>
      </c>
      <c r="SUA4">
        <f>Database!SUT28</f>
        <v>0</v>
      </c>
      <c r="SUB4">
        <f>Database!SUU28</f>
        <v>0</v>
      </c>
      <c r="SUC4">
        <f>Database!SUV28</f>
        <v>0</v>
      </c>
      <c r="SUD4">
        <f>Database!SUW28</f>
        <v>0</v>
      </c>
      <c r="SUE4">
        <f>Database!SUX28</f>
        <v>0</v>
      </c>
      <c r="SUF4">
        <f>Database!SUY28</f>
        <v>0</v>
      </c>
      <c r="SUG4">
        <f>Database!SUZ28</f>
        <v>0</v>
      </c>
      <c r="SUH4">
        <f>Database!SVA28</f>
        <v>0</v>
      </c>
      <c r="SUI4">
        <f>Database!SVB28</f>
        <v>0</v>
      </c>
      <c r="SUJ4">
        <f>Database!SVC28</f>
        <v>0</v>
      </c>
      <c r="SUK4">
        <f>Database!SVD28</f>
        <v>0</v>
      </c>
      <c r="SUL4">
        <f>Database!SVE28</f>
        <v>0</v>
      </c>
      <c r="SUM4">
        <f>Database!SVF28</f>
        <v>0</v>
      </c>
      <c r="SUN4">
        <f>Database!SVG28</f>
        <v>0</v>
      </c>
      <c r="SUO4">
        <f>Database!SVH28</f>
        <v>0</v>
      </c>
      <c r="SUP4">
        <f>Database!SVI28</f>
        <v>0</v>
      </c>
      <c r="SUQ4">
        <f>Database!SVJ28</f>
        <v>0</v>
      </c>
      <c r="SUR4">
        <f>Database!SVK28</f>
        <v>0</v>
      </c>
      <c r="SUS4">
        <f>Database!SVL28</f>
        <v>0</v>
      </c>
      <c r="SUT4">
        <f>Database!SVM28</f>
        <v>0</v>
      </c>
      <c r="SUU4">
        <f>Database!SVN28</f>
        <v>0</v>
      </c>
      <c r="SUV4">
        <f>Database!SVO28</f>
        <v>0</v>
      </c>
      <c r="SUW4">
        <f>Database!SVP28</f>
        <v>0</v>
      </c>
      <c r="SUX4">
        <f>Database!SVQ28</f>
        <v>0</v>
      </c>
      <c r="SUY4">
        <f>Database!SVR28</f>
        <v>0</v>
      </c>
      <c r="SUZ4">
        <f>Database!SVS28</f>
        <v>0</v>
      </c>
      <c r="SVA4">
        <f>Database!SVT28</f>
        <v>0</v>
      </c>
      <c r="SVB4">
        <f>Database!SVU28</f>
        <v>0</v>
      </c>
      <c r="SVC4">
        <f>Database!SVV28</f>
        <v>0</v>
      </c>
      <c r="SVD4">
        <f>Database!SVW28</f>
        <v>0</v>
      </c>
      <c r="SVE4">
        <f>Database!SVX28</f>
        <v>0</v>
      </c>
      <c r="SVF4">
        <f>Database!SVY28</f>
        <v>0</v>
      </c>
      <c r="SVG4">
        <f>Database!SVZ28</f>
        <v>0</v>
      </c>
      <c r="SVH4">
        <f>Database!SWA28</f>
        <v>0</v>
      </c>
      <c r="SVI4">
        <f>Database!SWB28</f>
        <v>0</v>
      </c>
      <c r="SVJ4">
        <f>Database!SWC28</f>
        <v>0</v>
      </c>
      <c r="SVK4">
        <f>Database!SWD28</f>
        <v>0</v>
      </c>
      <c r="SVL4">
        <f>Database!SWE28</f>
        <v>0</v>
      </c>
      <c r="SVM4">
        <f>Database!SWF28</f>
        <v>0</v>
      </c>
      <c r="SVN4">
        <f>Database!SWG28</f>
        <v>0</v>
      </c>
      <c r="SVO4">
        <f>Database!SWH28</f>
        <v>0</v>
      </c>
      <c r="SVP4">
        <f>Database!SWI28</f>
        <v>0</v>
      </c>
      <c r="SVQ4">
        <f>Database!SWJ28</f>
        <v>0</v>
      </c>
      <c r="SVR4">
        <f>Database!SWK28</f>
        <v>0</v>
      </c>
      <c r="SVS4">
        <f>Database!SWL28</f>
        <v>0</v>
      </c>
      <c r="SVT4">
        <f>Database!SWM28</f>
        <v>0</v>
      </c>
      <c r="SVU4">
        <f>Database!SWN28</f>
        <v>0</v>
      </c>
      <c r="SVV4">
        <f>Database!SWO28</f>
        <v>0</v>
      </c>
      <c r="SVW4">
        <f>Database!SWP28</f>
        <v>0</v>
      </c>
      <c r="SVX4">
        <f>Database!SWQ28</f>
        <v>0</v>
      </c>
      <c r="SVY4">
        <f>Database!SWR28</f>
        <v>0</v>
      </c>
      <c r="SVZ4">
        <f>Database!SWS28</f>
        <v>0</v>
      </c>
      <c r="SWA4">
        <f>Database!SWT28</f>
        <v>0</v>
      </c>
      <c r="SWB4">
        <f>Database!SWU28</f>
        <v>0</v>
      </c>
      <c r="SWC4">
        <f>Database!SWV28</f>
        <v>0</v>
      </c>
      <c r="SWD4">
        <f>Database!SWW28</f>
        <v>0</v>
      </c>
      <c r="SWE4">
        <f>Database!SWX28</f>
        <v>0</v>
      </c>
      <c r="SWF4">
        <f>Database!SWY28</f>
        <v>0</v>
      </c>
      <c r="SWG4">
        <f>Database!SWZ28</f>
        <v>0</v>
      </c>
      <c r="SWH4">
        <f>Database!SXA28</f>
        <v>0</v>
      </c>
      <c r="SWI4">
        <f>Database!SXB28</f>
        <v>0</v>
      </c>
      <c r="SWJ4">
        <f>Database!SXC28</f>
        <v>0</v>
      </c>
      <c r="SWK4">
        <f>Database!SXD28</f>
        <v>0</v>
      </c>
      <c r="SWL4">
        <f>Database!SXE28</f>
        <v>0</v>
      </c>
      <c r="SWM4">
        <f>Database!SXF28</f>
        <v>0</v>
      </c>
      <c r="SWN4">
        <f>Database!SXG28</f>
        <v>0</v>
      </c>
      <c r="SWO4">
        <f>Database!SXH28</f>
        <v>0</v>
      </c>
      <c r="SWP4">
        <f>Database!SXI28</f>
        <v>0</v>
      </c>
      <c r="SWQ4">
        <f>Database!SXJ28</f>
        <v>0</v>
      </c>
      <c r="SWR4">
        <f>Database!SXK28</f>
        <v>0</v>
      </c>
      <c r="SWS4">
        <f>Database!SXL28</f>
        <v>0</v>
      </c>
      <c r="SWT4">
        <f>Database!SXM28</f>
        <v>0</v>
      </c>
      <c r="SWU4">
        <f>Database!SXN28</f>
        <v>0</v>
      </c>
      <c r="SWV4">
        <f>Database!SXO28</f>
        <v>0</v>
      </c>
      <c r="SWW4">
        <f>Database!SXP28</f>
        <v>0</v>
      </c>
      <c r="SWX4">
        <f>Database!SXQ28</f>
        <v>0</v>
      </c>
      <c r="SWY4">
        <f>Database!SXR28</f>
        <v>0</v>
      </c>
      <c r="SWZ4">
        <f>Database!SXS28</f>
        <v>0</v>
      </c>
      <c r="SXA4">
        <f>Database!SXT28</f>
        <v>0</v>
      </c>
      <c r="SXB4">
        <f>Database!SXU28</f>
        <v>0</v>
      </c>
      <c r="SXC4">
        <f>Database!SXV28</f>
        <v>0</v>
      </c>
      <c r="SXD4">
        <f>Database!SXW28</f>
        <v>0</v>
      </c>
      <c r="SXE4">
        <f>Database!SXX28</f>
        <v>0</v>
      </c>
      <c r="SXF4">
        <f>Database!SXY28</f>
        <v>0</v>
      </c>
      <c r="SXG4">
        <f>Database!SXZ28</f>
        <v>0</v>
      </c>
      <c r="SXH4">
        <f>Database!SYA28</f>
        <v>0</v>
      </c>
      <c r="SXI4">
        <f>Database!SYB28</f>
        <v>0</v>
      </c>
      <c r="SXJ4">
        <f>Database!SYC28</f>
        <v>0</v>
      </c>
      <c r="SXK4">
        <f>Database!SYD28</f>
        <v>0</v>
      </c>
      <c r="SXL4">
        <f>Database!SYE28</f>
        <v>0</v>
      </c>
      <c r="SXM4">
        <f>Database!SYF28</f>
        <v>0</v>
      </c>
      <c r="SXN4">
        <f>Database!SYG28</f>
        <v>0</v>
      </c>
      <c r="SXO4">
        <f>Database!SYH28</f>
        <v>0</v>
      </c>
      <c r="SXP4">
        <f>Database!SYI28</f>
        <v>0</v>
      </c>
      <c r="SXQ4">
        <f>Database!SYJ28</f>
        <v>0</v>
      </c>
      <c r="SXR4">
        <f>Database!SYK28</f>
        <v>0</v>
      </c>
      <c r="SXS4">
        <f>Database!SYL28</f>
        <v>0</v>
      </c>
      <c r="SXT4">
        <f>Database!SYM28</f>
        <v>0</v>
      </c>
      <c r="SXU4">
        <f>Database!SYN28</f>
        <v>0</v>
      </c>
      <c r="SXV4">
        <f>Database!SYO28</f>
        <v>0</v>
      </c>
      <c r="SXW4">
        <f>Database!SYP28</f>
        <v>0</v>
      </c>
      <c r="SXX4">
        <f>Database!SYQ28</f>
        <v>0</v>
      </c>
      <c r="SXY4">
        <f>Database!SYR28</f>
        <v>0</v>
      </c>
      <c r="SXZ4">
        <f>Database!SYS28</f>
        <v>0</v>
      </c>
      <c r="SYA4">
        <f>Database!SYT28</f>
        <v>0</v>
      </c>
      <c r="SYB4">
        <f>Database!SYU28</f>
        <v>0</v>
      </c>
      <c r="SYC4">
        <f>Database!SYV28</f>
        <v>0</v>
      </c>
      <c r="SYD4">
        <f>Database!SYW28</f>
        <v>0</v>
      </c>
      <c r="SYE4">
        <f>Database!SYX28</f>
        <v>0</v>
      </c>
      <c r="SYF4">
        <f>Database!SYY28</f>
        <v>0</v>
      </c>
      <c r="SYG4">
        <f>Database!SYZ28</f>
        <v>0</v>
      </c>
      <c r="SYH4">
        <f>Database!SZA28</f>
        <v>0</v>
      </c>
      <c r="SYI4">
        <f>Database!SZB28</f>
        <v>0</v>
      </c>
      <c r="SYJ4">
        <f>Database!SZC28</f>
        <v>0</v>
      </c>
      <c r="SYK4">
        <f>Database!SZD28</f>
        <v>0</v>
      </c>
      <c r="SYL4">
        <f>Database!SZE28</f>
        <v>0</v>
      </c>
      <c r="SYM4">
        <f>Database!SZF28</f>
        <v>0</v>
      </c>
      <c r="SYN4">
        <f>Database!SZG28</f>
        <v>0</v>
      </c>
      <c r="SYO4">
        <f>Database!SZH28</f>
        <v>0</v>
      </c>
      <c r="SYP4">
        <f>Database!SZI28</f>
        <v>0</v>
      </c>
      <c r="SYQ4">
        <f>Database!SZJ28</f>
        <v>0</v>
      </c>
      <c r="SYR4">
        <f>Database!SZK28</f>
        <v>0</v>
      </c>
      <c r="SYS4">
        <f>Database!SZL28</f>
        <v>0</v>
      </c>
      <c r="SYT4">
        <f>Database!SZM28</f>
        <v>0</v>
      </c>
      <c r="SYU4">
        <f>Database!SZN28</f>
        <v>0</v>
      </c>
      <c r="SYV4">
        <f>Database!SZO28</f>
        <v>0</v>
      </c>
      <c r="SYW4">
        <f>Database!SZP28</f>
        <v>0</v>
      </c>
      <c r="SYX4">
        <f>Database!SZQ28</f>
        <v>0</v>
      </c>
      <c r="SYY4">
        <f>Database!SZR28</f>
        <v>0</v>
      </c>
      <c r="SYZ4">
        <f>Database!SZS28</f>
        <v>0</v>
      </c>
      <c r="SZA4">
        <f>Database!SZT28</f>
        <v>0</v>
      </c>
      <c r="SZB4">
        <f>Database!SZU28</f>
        <v>0</v>
      </c>
      <c r="SZC4">
        <f>Database!SZV28</f>
        <v>0</v>
      </c>
      <c r="SZD4">
        <f>Database!SZW28</f>
        <v>0</v>
      </c>
      <c r="SZE4">
        <f>Database!SZX28</f>
        <v>0</v>
      </c>
      <c r="SZF4">
        <f>Database!SZY28</f>
        <v>0</v>
      </c>
      <c r="SZG4">
        <f>Database!SZZ28</f>
        <v>0</v>
      </c>
      <c r="SZH4">
        <f>Database!TAA28</f>
        <v>0</v>
      </c>
      <c r="SZI4">
        <f>Database!TAB28</f>
        <v>0</v>
      </c>
      <c r="SZJ4">
        <f>Database!TAC28</f>
        <v>0</v>
      </c>
      <c r="SZK4">
        <f>Database!TAD28</f>
        <v>0</v>
      </c>
      <c r="SZL4">
        <f>Database!TAE28</f>
        <v>0</v>
      </c>
      <c r="SZM4">
        <f>Database!TAF28</f>
        <v>0</v>
      </c>
      <c r="SZN4">
        <f>Database!TAG28</f>
        <v>0</v>
      </c>
      <c r="SZO4">
        <f>Database!TAH28</f>
        <v>0</v>
      </c>
      <c r="SZP4">
        <f>Database!TAI28</f>
        <v>0</v>
      </c>
      <c r="SZQ4">
        <f>Database!TAJ28</f>
        <v>0</v>
      </c>
      <c r="SZR4">
        <f>Database!TAK28</f>
        <v>0</v>
      </c>
      <c r="SZS4">
        <f>Database!TAL28</f>
        <v>0</v>
      </c>
      <c r="SZT4">
        <f>Database!TAM28</f>
        <v>0</v>
      </c>
      <c r="SZU4">
        <f>Database!TAN28</f>
        <v>0</v>
      </c>
      <c r="SZV4">
        <f>Database!TAO28</f>
        <v>0</v>
      </c>
      <c r="SZW4">
        <f>Database!TAP28</f>
        <v>0</v>
      </c>
      <c r="SZX4">
        <f>Database!TAQ28</f>
        <v>0</v>
      </c>
      <c r="SZY4">
        <f>Database!TAR28</f>
        <v>0</v>
      </c>
      <c r="SZZ4">
        <f>Database!TAS28</f>
        <v>0</v>
      </c>
      <c r="TAA4">
        <f>Database!TAT28</f>
        <v>0</v>
      </c>
      <c r="TAB4">
        <f>Database!TAU28</f>
        <v>0</v>
      </c>
      <c r="TAC4">
        <f>Database!TAV28</f>
        <v>0</v>
      </c>
      <c r="TAD4">
        <f>Database!TAW28</f>
        <v>0</v>
      </c>
      <c r="TAE4">
        <f>Database!TAX28</f>
        <v>0</v>
      </c>
      <c r="TAF4">
        <f>Database!TAY28</f>
        <v>0</v>
      </c>
      <c r="TAG4">
        <f>Database!TAZ28</f>
        <v>0</v>
      </c>
      <c r="TAH4">
        <f>Database!TBA28</f>
        <v>0</v>
      </c>
      <c r="TAI4">
        <f>Database!TBB28</f>
        <v>0</v>
      </c>
      <c r="TAJ4">
        <f>Database!TBC28</f>
        <v>0</v>
      </c>
      <c r="TAK4">
        <f>Database!TBD28</f>
        <v>0</v>
      </c>
      <c r="TAL4">
        <f>Database!TBE28</f>
        <v>0</v>
      </c>
      <c r="TAM4">
        <f>Database!TBF28</f>
        <v>0</v>
      </c>
      <c r="TAN4">
        <f>Database!TBG28</f>
        <v>0</v>
      </c>
      <c r="TAO4">
        <f>Database!TBH28</f>
        <v>0</v>
      </c>
      <c r="TAP4">
        <f>Database!TBI28</f>
        <v>0</v>
      </c>
      <c r="TAQ4">
        <f>Database!TBJ28</f>
        <v>0</v>
      </c>
      <c r="TAR4">
        <f>Database!TBK28</f>
        <v>0</v>
      </c>
      <c r="TAS4">
        <f>Database!TBL28</f>
        <v>0</v>
      </c>
      <c r="TAT4">
        <f>Database!TBM28</f>
        <v>0</v>
      </c>
      <c r="TAU4">
        <f>Database!TBN28</f>
        <v>0</v>
      </c>
      <c r="TAV4">
        <f>Database!TBO28</f>
        <v>0</v>
      </c>
      <c r="TAW4">
        <f>Database!TBP28</f>
        <v>0</v>
      </c>
      <c r="TAX4">
        <f>Database!TBQ28</f>
        <v>0</v>
      </c>
      <c r="TAY4">
        <f>Database!TBR28</f>
        <v>0</v>
      </c>
      <c r="TAZ4">
        <f>Database!TBS28</f>
        <v>0</v>
      </c>
      <c r="TBA4">
        <f>Database!TBT28</f>
        <v>0</v>
      </c>
      <c r="TBB4">
        <f>Database!TBU28</f>
        <v>0</v>
      </c>
      <c r="TBC4">
        <f>Database!TBV28</f>
        <v>0</v>
      </c>
      <c r="TBD4">
        <f>Database!TBW28</f>
        <v>0</v>
      </c>
      <c r="TBE4">
        <f>Database!TBX28</f>
        <v>0</v>
      </c>
      <c r="TBF4">
        <f>Database!TBY28</f>
        <v>0</v>
      </c>
      <c r="TBG4">
        <f>Database!TBZ28</f>
        <v>0</v>
      </c>
      <c r="TBH4">
        <f>Database!TCA28</f>
        <v>0</v>
      </c>
      <c r="TBI4">
        <f>Database!TCB28</f>
        <v>0</v>
      </c>
      <c r="TBJ4">
        <f>Database!TCC28</f>
        <v>0</v>
      </c>
      <c r="TBK4">
        <f>Database!TCD28</f>
        <v>0</v>
      </c>
      <c r="TBL4">
        <f>Database!TCE28</f>
        <v>0</v>
      </c>
      <c r="TBM4">
        <f>Database!TCF28</f>
        <v>0</v>
      </c>
      <c r="TBN4">
        <f>Database!TCG28</f>
        <v>0</v>
      </c>
      <c r="TBO4">
        <f>Database!TCH28</f>
        <v>0</v>
      </c>
      <c r="TBP4">
        <f>Database!TCI28</f>
        <v>0</v>
      </c>
      <c r="TBQ4">
        <f>Database!TCJ28</f>
        <v>0</v>
      </c>
      <c r="TBR4">
        <f>Database!TCK28</f>
        <v>0</v>
      </c>
      <c r="TBS4">
        <f>Database!TCL28</f>
        <v>0</v>
      </c>
      <c r="TBT4">
        <f>Database!TCM28</f>
        <v>0</v>
      </c>
      <c r="TBU4">
        <f>Database!TCN28</f>
        <v>0</v>
      </c>
      <c r="TBV4">
        <f>Database!TCO28</f>
        <v>0</v>
      </c>
      <c r="TBW4">
        <f>Database!TCP28</f>
        <v>0</v>
      </c>
      <c r="TBX4">
        <f>Database!TCQ28</f>
        <v>0</v>
      </c>
      <c r="TBY4">
        <f>Database!TCR28</f>
        <v>0</v>
      </c>
      <c r="TBZ4">
        <f>Database!TCS28</f>
        <v>0</v>
      </c>
      <c r="TCA4">
        <f>Database!TCT28</f>
        <v>0</v>
      </c>
      <c r="TCB4">
        <f>Database!TCU28</f>
        <v>0</v>
      </c>
      <c r="TCC4">
        <f>Database!TCV28</f>
        <v>0</v>
      </c>
      <c r="TCD4">
        <f>Database!TCW28</f>
        <v>0</v>
      </c>
      <c r="TCE4">
        <f>Database!TCX28</f>
        <v>0</v>
      </c>
      <c r="TCF4">
        <f>Database!TCY28</f>
        <v>0</v>
      </c>
      <c r="TCG4">
        <f>Database!TCZ28</f>
        <v>0</v>
      </c>
      <c r="TCH4">
        <f>Database!TDA28</f>
        <v>0</v>
      </c>
      <c r="TCI4">
        <f>Database!TDB28</f>
        <v>0</v>
      </c>
      <c r="TCJ4">
        <f>Database!TDC28</f>
        <v>0</v>
      </c>
      <c r="TCK4">
        <f>Database!TDD28</f>
        <v>0</v>
      </c>
      <c r="TCL4">
        <f>Database!TDE28</f>
        <v>0</v>
      </c>
      <c r="TCM4">
        <f>Database!TDF28</f>
        <v>0</v>
      </c>
      <c r="TCN4">
        <f>Database!TDG28</f>
        <v>0</v>
      </c>
      <c r="TCO4">
        <f>Database!TDH28</f>
        <v>0</v>
      </c>
      <c r="TCP4">
        <f>Database!TDI28</f>
        <v>0</v>
      </c>
      <c r="TCQ4">
        <f>Database!TDJ28</f>
        <v>0</v>
      </c>
      <c r="TCR4">
        <f>Database!TDK28</f>
        <v>0</v>
      </c>
      <c r="TCS4">
        <f>Database!TDL28</f>
        <v>0</v>
      </c>
      <c r="TCT4">
        <f>Database!TDM28</f>
        <v>0</v>
      </c>
      <c r="TCU4">
        <f>Database!TDN28</f>
        <v>0</v>
      </c>
      <c r="TCV4">
        <f>Database!TDO28</f>
        <v>0</v>
      </c>
      <c r="TCW4">
        <f>Database!TDP28</f>
        <v>0</v>
      </c>
      <c r="TCX4">
        <f>Database!TDQ28</f>
        <v>0</v>
      </c>
      <c r="TCY4">
        <f>Database!TDR28</f>
        <v>0</v>
      </c>
      <c r="TCZ4">
        <f>Database!TDS28</f>
        <v>0</v>
      </c>
      <c r="TDA4">
        <f>Database!TDT28</f>
        <v>0</v>
      </c>
      <c r="TDB4">
        <f>Database!TDU28</f>
        <v>0</v>
      </c>
      <c r="TDC4">
        <f>Database!TDV28</f>
        <v>0</v>
      </c>
      <c r="TDD4">
        <f>Database!TDW28</f>
        <v>0</v>
      </c>
      <c r="TDE4">
        <f>Database!TDX28</f>
        <v>0</v>
      </c>
      <c r="TDF4">
        <f>Database!TDY28</f>
        <v>0</v>
      </c>
      <c r="TDG4">
        <f>Database!TDZ28</f>
        <v>0</v>
      </c>
      <c r="TDH4">
        <f>Database!TEA28</f>
        <v>0</v>
      </c>
      <c r="TDI4">
        <f>Database!TEB28</f>
        <v>0</v>
      </c>
      <c r="TDJ4">
        <f>Database!TEC28</f>
        <v>0</v>
      </c>
      <c r="TDK4">
        <f>Database!TED28</f>
        <v>0</v>
      </c>
      <c r="TDL4">
        <f>Database!TEE28</f>
        <v>0</v>
      </c>
      <c r="TDM4">
        <f>Database!TEF28</f>
        <v>0</v>
      </c>
      <c r="TDN4">
        <f>Database!TEG28</f>
        <v>0</v>
      </c>
      <c r="TDO4">
        <f>Database!TEH28</f>
        <v>0</v>
      </c>
      <c r="TDP4">
        <f>Database!TEI28</f>
        <v>0</v>
      </c>
      <c r="TDQ4">
        <f>Database!TEJ28</f>
        <v>0</v>
      </c>
      <c r="TDR4">
        <f>Database!TEK28</f>
        <v>0</v>
      </c>
      <c r="TDS4">
        <f>Database!TEL28</f>
        <v>0</v>
      </c>
      <c r="TDT4">
        <f>Database!TEM28</f>
        <v>0</v>
      </c>
      <c r="TDU4">
        <f>Database!TEN28</f>
        <v>0</v>
      </c>
      <c r="TDV4">
        <f>Database!TEO28</f>
        <v>0</v>
      </c>
      <c r="TDW4">
        <f>Database!TEP28</f>
        <v>0</v>
      </c>
      <c r="TDX4">
        <f>Database!TEQ28</f>
        <v>0</v>
      </c>
      <c r="TDY4">
        <f>Database!TER28</f>
        <v>0</v>
      </c>
      <c r="TDZ4">
        <f>Database!TES28</f>
        <v>0</v>
      </c>
      <c r="TEA4">
        <f>Database!TET28</f>
        <v>0</v>
      </c>
      <c r="TEB4">
        <f>Database!TEU28</f>
        <v>0</v>
      </c>
      <c r="TEC4">
        <f>Database!TEV28</f>
        <v>0</v>
      </c>
      <c r="TED4">
        <f>Database!TEW28</f>
        <v>0</v>
      </c>
      <c r="TEE4">
        <f>Database!TEX28</f>
        <v>0</v>
      </c>
      <c r="TEF4">
        <f>Database!TEY28</f>
        <v>0</v>
      </c>
      <c r="TEG4">
        <f>Database!TEZ28</f>
        <v>0</v>
      </c>
      <c r="TEH4">
        <f>Database!TFA28</f>
        <v>0</v>
      </c>
      <c r="TEI4">
        <f>Database!TFB28</f>
        <v>0</v>
      </c>
      <c r="TEJ4">
        <f>Database!TFC28</f>
        <v>0</v>
      </c>
      <c r="TEK4">
        <f>Database!TFD28</f>
        <v>0</v>
      </c>
      <c r="TEL4">
        <f>Database!TFE28</f>
        <v>0</v>
      </c>
      <c r="TEM4">
        <f>Database!TFF28</f>
        <v>0</v>
      </c>
      <c r="TEN4">
        <f>Database!TFG28</f>
        <v>0</v>
      </c>
      <c r="TEO4">
        <f>Database!TFH28</f>
        <v>0</v>
      </c>
      <c r="TEP4">
        <f>Database!TFI28</f>
        <v>0</v>
      </c>
      <c r="TEQ4">
        <f>Database!TFJ28</f>
        <v>0</v>
      </c>
      <c r="TER4">
        <f>Database!TFK28</f>
        <v>0</v>
      </c>
      <c r="TES4">
        <f>Database!TFL28</f>
        <v>0</v>
      </c>
      <c r="TET4">
        <f>Database!TFM28</f>
        <v>0</v>
      </c>
      <c r="TEU4">
        <f>Database!TFN28</f>
        <v>0</v>
      </c>
      <c r="TEV4">
        <f>Database!TFO28</f>
        <v>0</v>
      </c>
      <c r="TEW4">
        <f>Database!TFP28</f>
        <v>0</v>
      </c>
      <c r="TEX4">
        <f>Database!TFQ28</f>
        <v>0</v>
      </c>
      <c r="TEY4">
        <f>Database!TFR28</f>
        <v>0</v>
      </c>
      <c r="TEZ4">
        <f>Database!TFS28</f>
        <v>0</v>
      </c>
      <c r="TFA4">
        <f>Database!TFT28</f>
        <v>0</v>
      </c>
      <c r="TFB4">
        <f>Database!TFU28</f>
        <v>0</v>
      </c>
      <c r="TFC4">
        <f>Database!TFV28</f>
        <v>0</v>
      </c>
      <c r="TFD4">
        <f>Database!TFW28</f>
        <v>0</v>
      </c>
      <c r="TFE4">
        <f>Database!TFX28</f>
        <v>0</v>
      </c>
      <c r="TFF4">
        <f>Database!TFY28</f>
        <v>0</v>
      </c>
      <c r="TFG4">
        <f>Database!TFZ28</f>
        <v>0</v>
      </c>
      <c r="TFH4">
        <f>Database!TGA28</f>
        <v>0</v>
      </c>
      <c r="TFI4">
        <f>Database!TGB28</f>
        <v>0</v>
      </c>
      <c r="TFJ4">
        <f>Database!TGC28</f>
        <v>0</v>
      </c>
      <c r="TFK4">
        <f>Database!TGD28</f>
        <v>0</v>
      </c>
      <c r="TFL4">
        <f>Database!TGE28</f>
        <v>0</v>
      </c>
      <c r="TFM4">
        <f>Database!TGF28</f>
        <v>0</v>
      </c>
      <c r="TFN4">
        <f>Database!TGG28</f>
        <v>0</v>
      </c>
      <c r="TFO4">
        <f>Database!TGH28</f>
        <v>0</v>
      </c>
      <c r="TFP4">
        <f>Database!TGI28</f>
        <v>0</v>
      </c>
      <c r="TFQ4">
        <f>Database!TGJ28</f>
        <v>0</v>
      </c>
      <c r="TFR4">
        <f>Database!TGK28</f>
        <v>0</v>
      </c>
      <c r="TFS4">
        <f>Database!TGL28</f>
        <v>0</v>
      </c>
      <c r="TFT4">
        <f>Database!TGM28</f>
        <v>0</v>
      </c>
      <c r="TFU4">
        <f>Database!TGN28</f>
        <v>0</v>
      </c>
      <c r="TFV4">
        <f>Database!TGO28</f>
        <v>0</v>
      </c>
      <c r="TFW4">
        <f>Database!TGP28</f>
        <v>0</v>
      </c>
      <c r="TFX4">
        <f>Database!TGQ28</f>
        <v>0</v>
      </c>
      <c r="TFY4">
        <f>Database!TGR28</f>
        <v>0</v>
      </c>
      <c r="TFZ4">
        <f>Database!TGS28</f>
        <v>0</v>
      </c>
      <c r="TGA4">
        <f>Database!TGT28</f>
        <v>0</v>
      </c>
      <c r="TGB4">
        <f>Database!TGU28</f>
        <v>0</v>
      </c>
      <c r="TGC4">
        <f>Database!TGV28</f>
        <v>0</v>
      </c>
      <c r="TGD4">
        <f>Database!TGW28</f>
        <v>0</v>
      </c>
      <c r="TGE4">
        <f>Database!TGX28</f>
        <v>0</v>
      </c>
      <c r="TGF4">
        <f>Database!TGY28</f>
        <v>0</v>
      </c>
      <c r="TGG4">
        <f>Database!TGZ28</f>
        <v>0</v>
      </c>
      <c r="TGH4">
        <f>Database!THA28</f>
        <v>0</v>
      </c>
      <c r="TGI4">
        <f>Database!THB28</f>
        <v>0</v>
      </c>
      <c r="TGJ4">
        <f>Database!THC28</f>
        <v>0</v>
      </c>
      <c r="TGK4">
        <f>Database!THD28</f>
        <v>0</v>
      </c>
      <c r="TGL4">
        <f>Database!THE28</f>
        <v>0</v>
      </c>
      <c r="TGM4">
        <f>Database!THF28</f>
        <v>0</v>
      </c>
      <c r="TGN4">
        <f>Database!THG28</f>
        <v>0</v>
      </c>
      <c r="TGO4">
        <f>Database!THH28</f>
        <v>0</v>
      </c>
      <c r="TGP4">
        <f>Database!THI28</f>
        <v>0</v>
      </c>
      <c r="TGQ4">
        <f>Database!THJ28</f>
        <v>0</v>
      </c>
      <c r="TGR4">
        <f>Database!THK28</f>
        <v>0</v>
      </c>
      <c r="TGS4">
        <f>Database!THL28</f>
        <v>0</v>
      </c>
      <c r="TGT4">
        <f>Database!THM28</f>
        <v>0</v>
      </c>
      <c r="TGU4">
        <f>Database!THN28</f>
        <v>0</v>
      </c>
      <c r="TGV4">
        <f>Database!THO28</f>
        <v>0</v>
      </c>
      <c r="TGW4">
        <f>Database!THP28</f>
        <v>0</v>
      </c>
      <c r="TGX4">
        <f>Database!THQ28</f>
        <v>0</v>
      </c>
      <c r="TGY4">
        <f>Database!THR28</f>
        <v>0</v>
      </c>
      <c r="TGZ4">
        <f>Database!THS28</f>
        <v>0</v>
      </c>
      <c r="THA4">
        <f>Database!THT28</f>
        <v>0</v>
      </c>
      <c r="THB4">
        <f>Database!THU28</f>
        <v>0</v>
      </c>
      <c r="THC4">
        <f>Database!THV28</f>
        <v>0</v>
      </c>
      <c r="THD4">
        <f>Database!THW28</f>
        <v>0</v>
      </c>
      <c r="THE4">
        <f>Database!THX28</f>
        <v>0</v>
      </c>
      <c r="THF4">
        <f>Database!THY28</f>
        <v>0</v>
      </c>
      <c r="THG4">
        <f>Database!THZ28</f>
        <v>0</v>
      </c>
      <c r="THH4">
        <f>Database!TIA28</f>
        <v>0</v>
      </c>
      <c r="THI4">
        <f>Database!TIB28</f>
        <v>0</v>
      </c>
      <c r="THJ4">
        <f>Database!TIC28</f>
        <v>0</v>
      </c>
      <c r="THK4">
        <f>Database!TID28</f>
        <v>0</v>
      </c>
      <c r="THL4">
        <f>Database!TIE28</f>
        <v>0</v>
      </c>
      <c r="THM4">
        <f>Database!TIF28</f>
        <v>0</v>
      </c>
      <c r="THN4">
        <f>Database!TIG28</f>
        <v>0</v>
      </c>
      <c r="THO4">
        <f>Database!TIH28</f>
        <v>0</v>
      </c>
      <c r="THP4">
        <f>Database!TII28</f>
        <v>0</v>
      </c>
      <c r="THQ4">
        <f>Database!TIJ28</f>
        <v>0</v>
      </c>
      <c r="THR4">
        <f>Database!TIK28</f>
        <v>0</v>
      </c>
      <c r="THS4">
        <f>Database!TIL28</f>
        <v>0</v>
      </c>
      <c r="THT4">
        <f>Database!TIM28</f>
        <v>0</v>
      </c>
      <c r="THU4">
        <f>Database!TIN28</f>
        <v>0</v>
      </c>
      <c r="THV4">
        <f>Database!TIO28</f>
        <v>0</v>
      </c>
      <c r="THW4">
        <f>Database!TIP28</f>
        <v>0</v>
      </c>
      <c r="THX4">
        <f>Database!TIQ28</f>
        <v>0</v>
      </c>
      <c r="THY4">
        <f>Database!TIR28</f>
        <v>0</v>
      </c>
      <c r="THZ4">
        <f>Database!TIS28</f>
        <v>0</v>
      </c>
      <c r="TIA4">
        <f>Database!TIT28</f>
        <v>0</v>
      </c>
      <c r="TIB4">
        <f>Database!TIU28</f>
        <v>0</v>
      </c>
      <c r="TIC4">
        <f>Database!TIV28</f>
        <v>0</v>
      </c>
      <c r="TID4">
        <f>Database!TIW28</f>
        <v>0</v>
      </c>
      <c r="TIE4">
        <f>Database!TIX28</f>
        <v>0</v>
      </c>
      <c r="TIF4">
        <f>Database!TIY28</f>
        <v>0</v>
      </c>
      <c r="TIG4">
        <f>Database!TIZ28</f>
        <v>0</v>
      </c>
      <c r="TIH4">
        <f>Database!TJA28</f>
        <v>0</v>
      </c>
      <c r="TII4">
        <f>Database!TJB28</f>
        <v>0</v>
      </c>
      <c r="TIJ4">
        <f>Database!TJC28</f>
        <v>0</v>
      </c>
      <c r="TIK4">
        <f>Database!TJD28</f>
        <v>0</v>
      </c>
      <c r="TIL4">
        <f>Database!TJE28</f>
        <v>0</v>
      </c>
      <c r="TIM4">
        <f>Database!TJF28</f>
        <v>0</v>
      </c>
      <c r="TIN4">
        <f>Database!TJG28</f>
        <v>0</v>
      </c>
      <c r="TIO4">
        <f>Database!TJH28</f>
        <v>0</v>
      </c>
      <c r="TIP4">
        <f>Database!TJI28</f>
        <v>0</v>
      </c>
      <c r="TIQ4">
        <f>Database!TJJ28</f>
        <v>0</v>
      </c>
      <c r="TIR4">
        <f>Database!TJK28</f>
        <v>0</v>
      </c>
      <c r="TIS4">
        <f>Database!TJL28</f>
        <v>0</v>
      </c>
      <c r="TIT4">
        <f>Database!TJM28</f>
        <v>0</v>
      </c>
      <c r="TIU4">
        <f>Database!TJN28</f>
        <v>0</v>
      </c>
      <c r="TIV4">
        <f>Database!TJO28</f>
        <v>0</v>
      </c>
      <c r="TIW4">
        <f>Database!TJP28</f>
        <v>0</v>
      </c>
      <c r="TIX4">
        <f>Database!TJQ28</f>
        <v>0</v>
      </c>
      <c r="TIY4">
        <f>Database!TJR28</f>
        <v>0</v>
      </c>
      <c r="TIZ4">
        <f>Database!TJS28</f>
        <v>0</v>
      </c>
      <c r="TJA4">
        <f>Database!TJT28</f>
        <v>0</v>
      </c>
      <c r="TJB4">
        <f>Database!TJU28</f>
        <v>0</v>
      </c>
      <c r="TJC4">
        <f>Database!TJV28</f>
        <v>0</v>
      </c>
      <c r="TJD4">
        <f>Database!TJW28</f>
        <v>0</v>
      </c>
      <c r="TJE4">
        <f>Database!TJX28</f>
        <v>0</v>
      </c>
      <c r="TJF4">
        <f>Database!TJY28</f>
        <v>0</v>
      </c>
      <c r="TJG4">
        <f>Database!TJZ28</f>
        <v>0</v>
      </c>
      <c r="TJH4">
        <f>Database!TKA28</f>
        <v>0</v>
      </c>
      <c r="TJI4">
        <f>Database!TKB28</f>
        <v>0</v>
      </c>
      <c r="TJJ4">
        <f>Database!TKC28</f>
        <v>0</v>
      </c>
      <c r="TJK4">
        <f>Database!TKD28</f>
        <v>0</v>
      </c>
      <c r="TJL4">
        <f>Database!TKE28</f>
        <v>0</v>
      </c>
      <c r="TJM4">
        <f>Database!TKF28</f>
        <v>0</v>
      </c>
      <c r="TJN4">
        <f>Database!TKG28</f>
        <v>0</v>
      </c>
      <c r="TJO4">
        <f>Database!TKH28</f>
        <v>0</v>
      </c>
      <c r="TJP4">
        <f>Database!TKI28</f>
        <v>0</v>
      </c>
      <c r="TJQ4">
        <f>Database!TKJ28</f>
        <v>0</v>
      </c>
      <c r="TJR4">
        <f>Database!TKK28</f>
        <v>0</v>
      </c>
      <c r="TJS4">
        <f>Database!TKL28</f>
        <v>0</v>
      </c>
      <c r="TJT4">
        <f>Database!TKM28</f>
        <v>0</v>
      </c>
      <c r="TJU4">
        <f>Database!TKN28</f>
        <v>0</v>
      </c>
      <c r="TJV4">
        <f>Database!TKO28</f>
        <v>0</v>
      </c>
      <c r="TJW4">
        <f>Database!TKP28</f>
        <v>0</v>
      </c>
      <c r="TJX4">
        <f>Database!TKQ28</f>
        <v>0</v>
      </c>
      <c r="TJY4">
        <f>Database!TKR28</f>
        <v>0</v>
      </c>
      <c r="TJZ4">
        <f>Database!TKS28</f>
        <v>0</v>
      </c>
      <c r="TKA4">
        <f>Database!TKT28</f>
        <v>0</v>
      </c>
      <c r="TKB4">
        <f>Database!TKU28</f>
        <v>0</v>
      </c>
      <c r="TKC4">
        <f>Database!TKV28</f>
        <v>0</v>
      </c>
      <c r="TKD4">
        <f>Database!TKW28</f>
        <v>0</v>
      </c>
      <c r="TKE4">
        <f>Database!TKX28</f>
        <v>0</v>
      </c>
      <c r="TKF4">
        <f>Database!TKY28</f>
        <v>0</v>
      </c>
      <c r="TKG4">
        <f>Database!TKZ28</f>
        <v>0</v>
      </c>
      <c r="TKH4">
        <f>Database!TLA28</f>
        <v>0</v>
      </c>
      <c r="TKI4">
        <f>Database!TLB28</f>
        <v>0</v>
      </c>
      <c r="TKJ4">
        <f>Database!TLC28</f>
        <v>0</v>
      </c>
      <c r="TKK4">
        <f>Database!TLD28</f>
        <v>0</v>
      </c>
      <c r="TKL4">
        <f>Database!TLE28</f>
        <v>0</v>
      </c>
      <c r="TKM4">
        <f>Database!TLF28</f>
        <v>0</v>
      </c>
      <c r="TKN4">
        <f>Database!TLG28</f>
        <v>0</v>
      </c>
      <c r="TKO4">
        <f>Database!TLH28</f>
        <v>0</v>
      </c>
      <c r="TKP4">
        <f>Database!TLI28</f>
        <v>0</v>
      </c>
      <c r="TKQ4">
        <f>Database!TLJ28</f>
        <v>0</v>
      </c>
      <c r="TKR4">
        <f>Database!TLK28</f>
        <v>0</v>
      </c>
      <c r="TKS4">
        <f>Database!TLL28</f>
        <v>0</v>
      </c>
      <c r="TKT4">
        <f>Database!TLM28</f>
        <v>0</v>
      </c>
      <c r="TKU4">
        <f>Database!TLN28</f>
        <v>0</v>
      </c>
      <c r="TKV4">
        <f>Database!TLO28</f>
        <v>0</v>
      </c>
      <c r="TKW4">
        <f>Database!TLP28</f>
        <v>0</v>
      </c>
      <c r="TKX4">
        <f>Database!TLQ28</f>
        <v>0</v>
      </c>
      <c r="TKY4">
        <f>Database!TLR28</f>
        <v>0</v>
      </c>
      <c r="TKZ4">
        <f>Database!TLS28</f>
        <v>0</v>
      </c>
      <c r="TLA4">
        <f>Database!TLT28</f>
        <v>0</v>
      </c>
      <c r="TLB4">
        <f>Database!TLU28</f>
        <v>0</v>
      </c>
      <c r="TLC4">
        <f>Database!TLV28</f>
        <v>0</v>
      </c>
      <c r="TLD4">
        <f>Database!TLW28</f>
        <v>0</v>
      </c>
      <c r="TLE4">
        <f>Database!TLX28</f>
        <v>0</v>
      </c>
      <c r="TLF4">
        <f>Database!TLY28</f>
        <v>0</v>
      </c>
      <c r="TLG4">
        <f>Database!TLZ28</f>
        <v>0</v>
      </c>
      <c r="TLH4">
        <f>Database!TMA28</f>
        <v>0</v>
      </c>
      <c r="TLI4">
        <f>Database!TMB28</f>
        <v>0</v>
      </c>
      <c r="TLJ4">
        <f>Database!TMC28</f>
        <v>0</v>
      </c>
      <c r="TLK4">
        <f>Database!TMD28</f>
        <v>0</v>
      </c>
      <c r="TLL4">
        <f>Database!TME28</f>
        <v>0</v>
      </c>
      <c r="TLM4">
        <f>Database!TMF28</f>
        <v>0</v>
      </c>
      <c r="TLN4">
        <f>Database!TMG28</f>
        <v>0</v>
      </c>
      <c r="TLO4">
        <f>Database!TMH28</f>
        <v>0</v>
      </c>
      <c r="TLP4">
        <f>Database!TMI28</f>
        <v>0</v>
      </c>
      <c r="TLQ4">
        <f>Database!TMJ28</f>
        <v>0</v>
      </c>
      <c r="TLR4">
        <f>Database!TMK28</f>
        <v>0</v>
      </c>
      <c r="TLS4">
        <f>Database!TML28</f>
        <v>0</v>
      </c>
      <c r="TLT4">
        <f>Database!TMM28</f>
        <v>0</v>
      </c>
      <c r="TLU4">
        <f>Database!TMN28</f>
        <v>0</v>
      </c>
      <c r="TLV4">
        <f>Database!TMO28</f>
        <v>0</v>
      </c>
      <c r="TLW4">
        <f>Database!TMP28</f>
        <v>0</v>
      </c>
      <c r="TLX4">
        <f>Database!TMQ28</f>
        <v>0</v>
      </c>
      <c r="TLY4">
        <f>Database!TMR28</f>
        <v>0</v>
      </c>
      <c r="TLZ4">
        <f>Database!TMS28</f>
        <v>0</v>
      </c>
      <c r="TMA4">
        <f>Database!TMT28</f>
        <v>0</v>
      </c>
      <c r="TMB4">
        <f>Database!TMU28</f>
        <v>0</v>
      </c>
      <c r="TMC4">
        <f>Database!TMV28</f>
        <v>0</v>
      </c>
      <c r="TMD4">
        <f>Database!TMW28</f>
        <v>0</v>
      </c>
      <c r="TME4">
        <f>Database!TMX28</f>
        <v>0</v>
      </c>
      <c r="TMF4">
        <f>Database!TMY28</f>
        <v>0</v>
      </c>
      <c r="TMG4">
        <f>Database!TMZ28</f>
        <v>0</v>
      </c>
      <c r="TMH4">
        <f>Database!TNA28</f>
        <v>0</v>
      </c>
      <c r="TMI4">
        <f>Database!TNB28</f>
        <v>0</v>
      </c>
      <c r="TMJ4">
        <f>Database!TNC28</f>
        <v>0</v>
      </c>
      <c r="TMK4">
        <f>Database!TND28</f>
        <v>0</v>
      </c>
      <c r="TML4">
        <f>Database!TNE28</f>
        <v>0</v>
      </c>
      <c r="TMM4">
        <f>Database!TNF28</f>
        <v>0</v>
      </c>
      <c r="TMN4">
        <f>Database!TNG28</f>
        <v>0</v>
      </c>
      <c r="TMO4">
        <f>Database!TNH28</f>
        <v>0</v>
      </c>
      <c r="TMP4">
        <f>Database!TNI28</f>
        <v>0</v>
      </c>
      <c r="TMQ4">
        <f>Database!TNJ28</f>
        <v>0</v>
      </c>
      <c r="TMR4">
        <f>Database!TNK28</f>
        <v>0</v>
      </c>
      <c r="TMS4">
        <f>Database!TNL28</f>
        <v>0</v>
      </c>
      <c r="TMT4">
        <f>Database!TNM28</f>
        <v>0</v>
      </c>
      <c r="TMU4">
        <f>Database!TNN28</f>
        <v>0</v>
      </c>
      <c r="TMV4">
        <f>Database!TNO28</f>
        <v>0</v>
      </c>
      <c r="TMW4">
        <f>Database!TNP28</f>
        <v>0</v>
      </c>
      <c r="TMX4">
        <f>Database!TNQ28</f>
        <v>0</v>
      </c>
      <c r="TMY4">
        <f>Database!TNR28</f>
        <v>0</v>
      </c>
      <c r="TMZ4">
        <f>Database!TNS28</f>
        <v>0</v>
      </c>
      <c r="TNA4">
        <f>Database!TNT28</f>
        <v>0</v>
      </c>
      <c r="TNB4">
        <f>Database!TNU28</f>
        <v>0</v>
      </c>
      <c r="TNC4">
        <f>Database!TNV28</f>
        <v>0</v>
      </c>
      <c r="TND4">
        <f>Database!TNW28</f>
        <v>0</v>
      </c>
      <c r="TNE4">
        <f>Database!TNX28</f>
        <v>0</v>
      </c>
      <c r="TNF4">
        <f>Database!TNY28</f>
        <v>0</v>
      </c>
      <c r="TNG4">
        <f>Database!TNZ28</f>
        <v>0</v>
      </c>
      <c r="TNH4">
        <f>Database!TOA28</f>
        <v>0</v>
      </c>
      <c r="TNI4">
        <f>Database!TOB28</f>
        <v>0</v>
      </c>
      <c r="TNJ4">
        <f>Database!TOC28</f>
        <v>0</v>
      </c>
      <c r="TNK4">
        <f>Database!TOD28</f>
        <v>0</v>
      </c>
      <c r="TNL4">
        <f>Database!TOE28</f>
        <v>0</v>
      </c>
      <c r="TNM4">
        <f>Database!TOF28</f>
        <v>0</v>
      </c>
      <c r="TNN4">
        <f>Database!TOG28</f>
        <v>0</v>
      </c>
      <c r="TNO4">
        <f>Database!TOH28</f>
        <v>0</v>
      </c>
      <c r="TNP4">
        <f>Database!TOI28</f>
        <v>0</v>
      </c>
      <c r="TNQ4">
        <f>Database!TOJ28</f>
        <v>0</v>
      </c>
      <c r="TNR4">
        <f>Database!TOK28</f>
        <v>0</v>
      </c>
      <c r="TNS4">
        <f>Database!TOL28</f>
        <v>0</v>
      </c>
      <c r="TNT4">
        <f>Database!TOM28</f>
        <v>0</v>
      </c>
      <c r="TNU4">
        <f>Database!TON28</f>
        <v>0</v>
      </c>
      <c r="TNV4">
        <f>Database!TOO28</f>
        <v>0</v>
      </c>
      <c r="TNW4">
        <f>Database!TOP28</f>
        <v>0</v>
      </c>
      <c r="TNX4">
        <f>Database!TOQ28</f>
        <v>0</v>
      </c>
      <c r="TNY4">
        <f>Database!TOR28</f>
        <v>0</v>
      </c>
      <c r="TNZ4">
        <f>Database!TOS28</f>
        <v>0</v>
      </c>
      <c r="TOA4">
        <f>Database!TOT28</f>
        <v>0</v>
      </c>
      <c r="TOB4">
        <f>Database!TOU28</f>
        <v>0</v>
      </c>
      <c r="TOC4">
        <f>Database!TOV28</f>
        <v>0</v>
      </c>
      <c r="TOD4">
        <f>Database!TOW28</f>
        <v>0</v>
      </c>
      <c r="TOE4">
        <f>Database!TOX28</f>
        <v>0</v>
      </c>
      <c r="TOF4">
        <f>Database!TOY28</f>
        <v>0</v>
      </c>
      <c r="TOG4">
        <f>Database!TOZ28</f>
        <v>0</v>
      </c>
      <c r="TOH4">
        <f>Database!TPA28</f>
        <v>0</v>
      </c>
      <c r="TOI4">
        <f>Database!TPB28</f>
        <v>0</v>
      </c>
      <c r="TOJ4">
        <f>Database!TPC28</f>
        <v>0</v>
      </c>
      <c r="TOK4">
        <f>Database!TPD28</f>
        <v>0</v>
      </c>
      <c r="TOL4">
        <f>Database!TPE28</f>
        <v>0</v>
      </c>
      <c r="TOM4">
        <f>Database!TPF28</f>
        <v>0</v>
      </c>
      <c r="TON4">
        <f>Database!TPG28</f>
        <v>0</v>
      </c>
      <c r="TOO4">
        <f>Database!TPH28</f>
        <v>0</v>
      </c>
      <c r="TOP4">
        <f>Database!TPI28</f>
        <v>0</v>
      </c>
      <c r="TOQ4">
        <f>Database!TPJ28</f>
        <v>0</v>
      </c>
      <c r="TOR4">
        <f>Database!TPK28</f>
        <v>0</v>
      </c>
      <c r="TOS4">
        <f>Database!TPL28</f>
        <v>0</v>
      </c>
      <c r="TOT4">
        <f>Database!TPM28</f>
        <v>0</v>
      </c>
      <c r="TOU4">
        <f>Database!TPN28</f>
        <v>0</v>
      </c>
      <c r="TOV4">
        <f>Database!TPO28</f>
        <v>0</v>
      </c>
      <c r="TOW4">
        <f>Database!TPP28</f>
        <v>0</v>
      </c>
      <c r="TOX4">
        <f>Database!TPQ28</f>
        <v>0</v>
      </c>
      <c r="TOY4">
        <f>Database!TPR28</f>
        <v>0</v>
      </c>
      <c r="TOZ4">
        <f>Database!TPS28</f>
        <v>0</v>
      </c>
      <c r="TPA4">
        <f>Database!TPT28</f>
        <v>0</v>
      </c>
      <c r="TPB4">
        <f>Database!TPU28</f>
        <v>0</v>
      </c>
      <c r="TPC4">
        <f>Database!TPV28</f>
        <v>0</v>
      </c>
      <c r="TPD4">
        <f>Database!TPW28</f>
        <v>0</v>
      </c>
      <c r="TPE4">
        <f>Database!TPX28</f>
        <v>0</v>
      </c>
      <c r="TPF4">
        <f>Database!TPY28</f>
        <v>0</v>
      </c>
      <c r="TPG4">
        <f>Database!TPZ28</f>
        <v>0</v>
      </c>
      <c r="TPH4">
        <f>Database!TQA28</f>
        <v>0</v>
      </c>
      <c r="TPI4">
        <f>Database!TQB28</f>
        <v>0</v>
      </c>
      <c r="TPJ4">
        <f>Database!TQC28</f>
        <v>0</v>
      </c>
      <c r="TPK4">
        <f>Database!TQD28</f>
        <v>0</v>
      </c>
      <c r="TPL4">
        <f>Database!TQE28</f>
        <v>0</v>
      </c>
      <c r="TPM4">
        <f>Database!TQF28</f>
        <v>0</v>
      </c>
      <c r="TPN4">
        <f>Database!TQG28</f>
        <v>0</v>
      </c>
      <c r="TPO4">
        <f>Database!TQH28</f>
        <v>0</v>
      </c>
      <c r="TPP4">
        <f>Database!TQI28</f>
        <v>0</v>
      </c>
      <c r="TPQ4">
        <f>Database!TQJ28</f>
        <v>0</v>
      </c>
      <c r="TPR4">
        <f>Database!TQK28</f>
        <v>0</v>
      </c>
      <c r="TPS4">
        <f>Database!TQL28</f>
        <v>0</v>
      </c>
      <c r="TPT4">
        <f>Database!TQM28</f>
        <v>0</v>
      </c>
      <c r="TPU4">
        <f>Database!TQN28</f>
        <v>0</v>
      </c>
      <c r="TPV4">
        <f>Database!TQO28</f>
        <v>0</v>
      </c>
      <c r="TPW4">
        <f>Database!TQP28</f>
        <v>0</v>
      </c>
      <c r="TPX4">
        <f>Database!TQQ28</f>
        <v>0</v>
      </c>
      <c r="TPY4">
        <f>Database!TQR28</f>
        <v>0</v>
      </c>
      <c r="TPZ4">
        <f>Database!TQS28</f>
        <v>0</v>
      </c>
      <c r="TQA4">
        <f>Database!TQT28</f>
        <v>0</v>
      </c>
      <c r="TQB4">
        <f>Database!TQU28</f>
        <v>0</v>
      </c>
      <c r="TQC4">
        <f>Database!TQV28</f>
        <v>0</v>
      </c>
      <c r="TQD4">
        <f>Database!TQW28</f>
        <v>0</v>
      </c>
      <c r="TQE4">
        <f>Database!TQX28</f>
        <v>0</v>
      </c>
      <c r="TQF4">
        <f>Database!TQY28</f>
        <v>0</v>
      </c>
      <c r="TQG4">
        <f>Database!TQZ28</f>
        <v>0</v>
      </c>
      <c r="TQH4">
        <f>Database!TRA28</f>
        <v>0</v>
      </c>
      <c r="TQI4">
        <f>Database!TRB28</f>
        <v>0</v>
      </c>
      <c r="TQJ4">
        <f>Database!TRC28</f>
        <v>0</v>
      </c>
      <c r="TQK4">
        <f>Database!TRD28</f>
        <v>0</v>
      </c>
      <c r="TQL4">
        <f>Database!TRE28</f>
        <v>0</v>
      </c>
      <c r="TQM4">
        <f>Database!TRF28</f>
        <v>0</v>
      </c>
      <c r="TQN4">
        <f>Database!TRG28</f>
        <v>0</v>
      </c>
      <c r="TQO4">
        <f>Database!TRH28</f>
        <v>0</v>
      </c>
      <c r="TQP4">
        <f>Database!TRI28</f>
        <v>0</v>
      </c>
      <c r="TQQ4">
        <f>Database!TRJ28</f>
        <v>0</v>
      </c>
      <c r="TQR4">
        <f>Database!TRK28</f>
        <v>0</v>
      </c>
      <c r="TQS4">
        <f>Database!TRL28</f>
        <v>0</v>
      </c>
      <c r="TQT4">
        <f>Database!TRM28</f>
        <v>0</v>
      </c>
      <c r="TQU4">
        <f>Database!TRN28</f>
        <v>0</v>
      </c>
      <c r="TQV4">
        <f>Database!TRO28</f>
        <v>0</v>
      </c>
      <c r="TQW4">
        <f>Database!TRP28</f>
        <v>0</v>
      </c>
      <c r="TQX4">
        <f>Database!TRQ28</f>
        <v>0</v>
      </c>
      <c r="TQY4">
        <f>Database!TRR28</f>
        <v>0</v>
      </c>
      <c r="TQZ4">
        <f>Database!TRS28</f>
        <v>0</v>
      </c>
      <c r="TRA4">
        <f>Database!TRT28</f>
        <v>0</v>
      </c>
      <c r="TRB4">
        <f>Database!TRU28</f>
        <v>0</v>
      </c>
      <c r="TRC4">
        <f>Database!TRV28</f>
        <v>0</v>
      </c>
      <c r="TRD4">
        <f>Database!TRW28</f>
        <v>0</v>
      </c>
      <c r="TRE4">
        <f>Database!TRX28</f>
        <v>0</v>
      </c>
      <c r="TRF4">
        <f>Database!TRY28</f>
        <v>0</v>
      </c>
      <c r="TRG4">
        <f>Database!TRZ28</f>
        <v>0</v>
      </c>
      <c r="TRH4">
        <f>Database!TSA28</f>
        <v>0</v>
      </c>
      <c r="TRI4">
        <f>Database!TSB28</f>
        <v>0</v>
      </c>
      <c r="TRJ4">
        <f>Database!TSC28</f>
        <v>0</v>
      </c>
      <c r="TRK4">
        <f>Database!TSD28</f>
        <v>0</v>
      </c>
      <c r="TRL4">
        <f>Database!TSE28</f>
        <v>0</v>
      </c>
      <c r="TRM4">
        <f>Database!TSF28</f>
        <v>0</v>
      </c>
      <c r="TRN4">
        <f>Database!TSG28</f>
        <v>0</v>
      </c>
      <c r="TRO4">
        <f>Database!TSH28</f>
        <v>0</v>
      </c>
      <c r="TRP4">
        <f>Database!TSI28</f>
        <v>0</v>
      </c>
      <c r="TRQ4">
        <f>Database!TSJ28</f>
        <v>0</v>
      </c>
      <c r="TRR4">
        <f>Database!TSK28</f>
        <v>0</v>
      </c>
      <c r="TRS4">
        <f>Database!TSL28</f>
        <v>0</v>
      </c>
      <c r="TRT4">
        <f>Database!TSM28</f>
        <v>0</v>
      </c>
      <c r="TRU4">
        <f>Database!TSN28</f>
        <v>0</v>
      </c>
      <c r="TRV4">
        <f>Database!TSO28</f>
        <v>0</v>
      </c>
      <c r="TRW4">
        <f>Database!TSP28</f>
        <v>0</v>
      </c>
      <c r="TRX4">
        <f>Database!TSQ28</f>
        <v>0</v>
      </c>
      <c r="TRY4">
        <f>Database!TSR28</f>
        <v>0</v>
      </c>
      <c r="TRZ4">
        <f>Database!TSS28</f>
        <v>0</v>
      </c>
      <c r="TSA4">
        <f>Database!TST28</f>
        <v>0</v>
      </c>
      <c r="TSB4">
        <f>Database!TSU28</f>
        <v>0</v>
      </c>
      <c r="TSC4">
        <f>Database!TSV28</f>
        <v>0</v>
      </c>
      <c r="TSD4">
        <f>Database!TSW28</f>
        <v>0</v>
      </c>
      <c r="TSE4">
        <f>Database!TSX28</f>
        <v>0</v>
      </c>
      <c r="TSF4">
        <f>Database!TSY28</f>
        <v>0</v>
      </c>
      <c r="TSG4">
        <f>Database!TSZ28</f>
        <v>0</v>
      </c>
      <c r="TSH4">
        <f>Database!TTA28</f>
        <v>0</v>
      </c>
      <c r="TSI4">
        <f>Database!TTB28</f>
        <v>0</v>
      </c>
      <c r="TSJ4">
        <f>Database!TTC28</f>
        <v>0</v>
      </c>
      <c r="TSK4">
        <f>Database!TTD28</f>
        <v>0</v>
      </c>
      <c r="TSL4">
        <f>Database!TTE28</f>
        <v>0</v>
      </c>
      <c r="TSM4">
        <f>Database!TTF28</f>
        <v>0</v>
      </c>
      <c r="TSN4">
        <f>Database!TTG28</f>
        <v>0</v>
      </c>
      <c r="TSO4">
        <f>Database!TTH28</f>
        <v>0</v>
      </c>
      <c r="TSP4">
        <f>Database!TTI28</f>
        <v>0</v>
      </c>
      <c r="TSQ4">
        <f>Database!TTJ28</f>
        <v>0</v>
      </c>
      <c r="TSR4">
        <f>Database!TTK28</f>
        <v>0</v>
      </c>
      <c r="TSS4">
        <f>Database!TTL28</f>
        <v>0</v>
      </c>
      <c r="TST4">
        <f>Database!TTM28</f>
        <v>0</v>
      </c>
      <c r="TSU4">
        <f>Database!TTN28</f>
        <v>0</v>
      </c>
      <c r="TSV4">
        <f>Database!TTO28</f>
        <v>0</v>
      </c>
      <c r="TSW4">
        <f>Database!TTP28</f>
        <v>0</v>
      </c>
      <c r="TSX4">
        <f>Database!TTQ28</f>
        <v>0</v>
      </c>
      <c r="TSY4">
        <f>Database!TTR28</f>
        <v>0</v>
      </c>
      <c r="TSZ4">
        <f>Database!TTS28</f>
        <v>0</v>
      </c>
      <c r="TTA4">
        <f>Database!TTT28</f>
        <v>0</v>
      </c>
      <c r="TTB4">
        <f>Database!TTU28</f>
        <v>0</v>
      </c>
      <c r="TTC4">
        <f>Database!TTV28</f>
        <v>0</v>
      </c>
      <c r="TTD4">
        <f>Database!TTW28</f>
        <v>0</v>
      </c>
      <c r="TTE4">
        <f>Database!TTX28</f>
        <v>0</v>
      </c>
      <c r="TTF4">
        <f>Database!TTY28</f>
        <v>0</v>
      </c>
      <c r="TTG4">
        <f>Database!TTZ28</f>
        <v>0</v>
      </c>
      <c r="TTH4">
        <f>Database!TUA28</f>
        <v>0</v>
      </c>
      <c r="TTI4">
        <f>Database!TUB28</f>
        <v>0</v>
      </c>
      <c r="TTJ4">
        <f>Database!TUC28</f>
        <v>0</v>
      </c>
      <c r="TTK4">
        <f>Database!TUD28</f>
        <v>0</v>
      </c>
      <c r="TTL4">
        <f>Database!TUE28</f>
        <v>0</v>
      </c>
      <c r="TTM4">
        <f>Database!TUF28</f>
        <v>0</v>
      </c>
      <c r="TTN4">
        <f>Database!TUG28</f>
        <v>0</v>
      </c>
      <c r="TTO4">
        <f>Database!TUH28</f>
        <v>0</v>
      </c>
      <c r="TTP4">
        <f>Database!TUI28</f>
        <v>0</v>
      </c>
      <c r="TTQ4">
        <f>Database!TUJ28</f>
        <v>0</v>
      </c>
      <c r="TTR4">
        <f>Database!TUK28</f>
        <v>0</v>
      </c>
      <c r="TTS4">
        <f>Database!TUL28</f>
        <v>0</v>
      </c>
      <c r="TTT4">
        <f>Database!TUM28</f>
        <v>0</v>
      </c>
      <c r="TTU4">
        <f>Database!TUN28</f>
        <v>0</v>
      </c>
      <c r="TTV4">
        <f>Database!TUO28</f>
        <v>0</v>
      </c>
      <c r="TTW4">
        <f>Database!TUP28</f>
        <v>0</v>
      </c>
      <c r="TTX4">
        <f>Database!TUQ28</f>
        <v>0</v>
      </c>
      <c r="TTY4">
        <f>Database!TUR28</f>
        <v>0</v>
      </c>
      <c r="TTZ4">
        <f>Database!TUS28</f>
        <v>0</v>
      </c>
      <c r="TUA4">
        <f>Database!TUT28</f>
        <v>0</v>
      </c>
      <c r="TUB4">
        <f>Database!TUU28</f>
        <v>0</v>
      </c>
      <c r="TUC4">
        <f>Database!TUV28</f>
        <v>0</v>
      </c>
      <c r="TUD4">
        <f>Database!TUW28</f>
        <v>0</v>
      </c>
      <c r="TUE4">
        <f>Database!TUX28</f>
        <v>0</v>
      </c>
      <c r="TUF4">
        <f>Database!TUY28</f>
        <v>0</v>
      </c>
      <c r="TUG4">
        <f>Database!TUZ28</f>
        <v>0</v>
      </c>
      <c r="TUH4">
        <f>Database!TVA28</f>
        <v>0</v>
      </c>
      <c r="TUI4">
        <f>Database!TVB28</f>
        <v>0</v>
      </c>
      <c r="TUJ4">
        <f>Database!TVC28</f>
        <v>0</v>
      </c>
      <c r="TUK4">
        <f>Database!TVD28</f>
        <v>0</v>
      </c>
      <c r="TUL4">
        <f>Database!TVE28</f>
        <v>0</v>
      </c>
      <c r="TUM4">
        <f>Database!TVF28</f>
        <v>0</v>
      </c>
      <c r="TUN4">
        <f>Database!TVG28</f>
        <v>0</v>
      </c>
      <c r="TUO4">
        <f>Database!TVH28</f>
        <v>0</v>
      </c>
      <c r="TUP4">
        <f>Database!TVI28</f>
        <v>0</v>
      </c>
      <c r="TUQ4">
        <f>Database!TVJ28</f>
        <v>0</v>
      </c>
      <c r="TUR4">
        <f>Database!TVK28</f>
        <v>0</v>
      </c>
      <c r="TUS4">
        <f>Database!TVL28</f>
        <v>0</v>
      </c>
      <c r="TUT4">
        <f>Database!TVM28</f>
        <v>0</v>
      </c>
      <c r="TUU4">
        <f>Database!TVN28</f>
        <v>0</v>
      </c>
      <c r="TUV4">
        <f>Database!TVO28</f>
        <v>0</v>
      </c>
      <c r="TUW4">
        <f>Database!TVP28</f>
        <v>0</v>
      </c>
      <c r="TUX4">
        <f>Database!TVQ28</f>
        <v>0</v>
      </c>
      <c r="TUY4">
        <f>Database!TVR28</f>
        <v>0</v>
      </c>
      <c r="TUZ4">
        <f>Database!TVS28</f>
        <v>0</v>
      </c>
      <c r="TVA4">
        <f>Database!TVT28</f>
        <v>0</v>
      </c>
      <c r="TVB4">
        <f>Database!TVU28</f>
        <v>0</v>
      </c>
      <c r="TVC4">
        <f>Database!TVV28</f>
        <v>0</v>
      </c>
      <c r="TVD4">
        <f>Database!TVW28</f>
        <v>0</v>
      </c>
      <c r="TVE4">
        <f>Database!TVX28</f>
        <v>0</v>
      </c>
      <c r="TVF4">
        <f>Database!TVY28</f>
        <v>0</v>
      </c>
      <c r="TVG4">
        <f>Database!TVZ28</f>
        <v>0</v>
      </c>
      <c r="TVH4">
        <f>Database!TWA28</f>
        <v>0</v>
      </c>
      <c r="TVI4">
        <f>Database!TWB28</f>
        <v>0</v>
      </c>
      <c r="TVJ4">
        <f>Database!TWC28</f>
        <v>0</v>
      </c>
      <c r="TVK4">
        <f>Database!TWD28</f>
        <v>0</v>
      </c>
      <c r="TVL4">
        <f>Database!TWE28</f>
        <v>0</v>
      </c>
      <c r="TVM4">
        <f>Database!TWF28</f>
        <v>0</v>
      </c>
      <c r="TVN4">
        <f>Database!TWG28</f>
        <v>0</v>
      </c>
      <c r="TVO4">
        <f>Database!TWH28</f>
        <v>0</v>
      </c>
      <c r="TVP4">
        <f>Database!TWI28</f>
        <v>0</v>
      </c>
      <c r="TVQ4">
        <f>Database!TWJ28</f>
        <v>0</v>
      </c>
      <c r="TVR4">
        <f>Database!TWK28</f>
        <v>0</v>
      </c>
      <c r="TVS4">
        <f>Database!TWL28</f>
        <v>0</v>
      </c>
      <c r="TVT4">
        <f>Database!TWM28</f>
        <v>0</v>
      </c>
      <c r="TVU4">
        <f>Database!TWN28</f>
        <v>0</v>
      </c>
      <c r="TVV4">
        <f>Database!TWO28</f>
        <v>0</v>
      </c>
      <c r="TVW4">
        <f>Database!TWP28</f>
        <v>0</v>
      </c>
      <c r="TVX4">
        <f>Database!TWQ28</f>
        <v>0</v>
      </c>
      <c r="TVY4">
        <f>Database!TWR28</f>
        <v>0</v>
      </c>
      <c r="TVZ4">
        <f>Database!TWS28</f>
        <v>0</v>
      </c>
      <c r="TWA4">
        <f>Database!TWT28</f>
        <v>0</v>
      </c>
      <c r="TWB4">
        <f>Database!TWU28</f>
        <v>0</v>
      </c>
      <c r="TWC4">
        <f>Database!TWV28</f>
        <v>0</v>
      </c>
      <c r="TWD4">
        <f>Database!TWW28</f>
        <v>0</v>
      </c>
      <c r="TWE4">
        <f>Database!TWX28</f>
        <v>0</v>
      </c>
      <c r="TWF4">
        <f>Database!TWY28</f>
        <v>0</v>
      </c>
      <c r="TWG4">
        <f>Database!TWZ28</f>
        <v>0</v>
      </c>
      <c r="TWH4">
        <f>Database!TXA28</f>
        <v>0</v>
      </c>
      <c r="TWI4">
        <f>Database!TXB28</f>
        <v>0</v>
      </c>
      <c r="TWJ4">
        <f>Database!TXC28</f>
        <v>0</v>
      </c>
      <c r="TWK4">
        <f>Database!TXD28</f>
        <v>0</v>
      </c>
      <c r="TWL4">
        <f>Database!TXE28</f>
        <v>0</v>
      </c>
      <c r="TWM4">
        <f>Database!TXF28</f>
        <v>0</v>
      </c>
      <c r="TWN4">
        <f>Database!TXG28</f>
        <v>0</v>
      </c>
      <c r="TWO4">
        <f>Database!TXH28</f>
        <v>0</v>
      </c>
      <c r="TWP4">
        <f>Database!TXI28</f>
        <v>0</v>
      </c>
      <c r="TWQ4">
        <f>Database!TXJ28</f>
        <v>0</v>
      </c>
      <c r="TWR4">
        <f>Database!TXK28</f>
        <v>0</v>
      </c>
      <c r="TWS4">
        <f>Database!TXL28</f>
        <v>0</v>
      </c>
      <c r="TWT4">
        <f>Database!TXM28</f>
        <v>0</v>
      </c>
      <c r="TWU4">
        <f>Database!TXN28</f>
        <v>0</v>
      </c>
      <c r="TWV4">
        <f>Database!TXO28</f>
        <v>0</v>
      </c>
      <c r="TWW4">
        <f>Database!TXP28</f>
        <v>0</v>
      </c>
      <c r="TWX4">
        <f>Database!TXQ28</f>
        <v>0</v>
      </c>
      <c r="TWY4">
        <f>Database!TXR28</f>
        <v>0</v>
      </c>
      <c r="TWZ4">
        <f>Database!TXS28</f>
        <v>0</v>
      </c>
      <c r="TXA4">
        <f>Database!TXT28</f>
        <v>0</v>
      </c>
      <c r="TXB4">
        <f>Database!TXU28</f>
        <v>0</v>
      </c>
      <c r="TXC4">
        <f>Database!TXV28</f>
        <v>0</v>
      </c>
      <c r="TXD4">
        <f>Database!TXW28</f>
        <v>0</v>
      </c>
      <c r="TXE4">
        <f>Database!TXX28</f>
        <v>0</v>
      </c>
      <c r="TXF4">
        <f>Database!TXY28</f>
        <v>0</v>
      </c>
      <c r="TXG4">
        <f>Database!TXZ28</f>
        <v>0</v>
      </c>
      <c r="TXH4">
        <f>Database!TYA28</f>
        <v>0</v>
      </c>
      <c r="TXI4">
        <f>Database!TYB28</f>
        <v>0</v>
      </c>
      <c r="TXJ4">
        <f>Database!TYC28</f>
        <v>0</v>
      </c>
      <c r="TXK4">
        <f>Database!TYD28</f>
        <v>0</v>
      </c>
      <c r="TXL4">
        <f>Database!TYE28</f>
        <v>0</v>
      </c>
      <c r="TXM4">
        <f>Database!TYF28</f>
        <v>0</v>
      </c>
      <c r="TXN4">
        <f>Database!TYG28</f>
        <v>0</v>
      </c>
      <c r="TXO4">
        <f>Database!TYH28</f>
        <v>0</v>
      </c>
      <c r="TXP4">
        <f>Database!TYI28</f>
        <v>0</v>
      </c>
      <c r="TXQ4">
        <f>Database!TYJ28</f>
        <v>0</v>
      </c>
      <c r="TXR4">
        <f>Database!TYK28</f>
        <v>0</v>
      </c>
      <c r="TXS4">
        <f>Database!TYL28</f>
        <v>0</v>
      </c>
      <c r="TXT4">
        <f>Database!TYM28</f>
        <v>0</v>
      </c>
      <c r="TXU4">
        <f>Database!TYN28</f>
        <v>0</v>
      </c>
      <c r="TXV4">
        <f>Database!TYO28</f>
        <v>0</v>
      </c>
      <c r="TXW4">
        <f>Database!TYP28</f>
        <v>0</v>
      </c>
      <c r="TXX4">
        <f>Database!TYQ28</f>
        <v>0</v>
      </c>
      <c r="TXY4">
        <f>Database!TYR28</f>
        <v>0</v>
      </c>
      <c r="TXZ4">
        <f>Database!TYS28</f>
        <v>0</v>
      </c>
      <c r="TYA4">
        <f>Database!TYT28</f>
        <v>0</v>
      </c>
      <c r="TYB4">
        <f>Database!TYU28</f>
        <v>0</v>
      </c>
      <c r="TYC4">
        <f>Database!TYV28</f>
        <v>0</v>
      </c>
      <c r="TYD4">
        <f>Database!TYW28</f>
        <v>0</v>
      </c>
      <c r="TYE4">
        <f>Database!TYX28</f>
        <v>0</v>
      </c>
      <c r="TYF4">
        <f>Database!TYY28</f>
        <v>0</v>
      </c>
      <c r="TYG4">
        <f>Database!TYZ28</f>
        <v>0</v>
      </c>
      <c r="TYH4">
        <f>Database!TZA28</f>
        <v>0</v>
      </c>
      <c r="TYI4">
        <f>Database!TZB28</f>
        <v>0</v>
      </c>
      <c r="TYJ4">
        <f>Database!TZC28</f>
        <v>0</v>
      </c>
      <c r="TYK4">
        <f>Database!TZD28</f>
        <v>0</v>
      </c>
      <c r="TYL4">
        <f>Database!TZE28</f>
        <v>0</v>
      </c>
      <c r="TYM4">
        <f>Database!TZF28</f>
        <v>0</v>
      </c>
      <c r="TYN4">
        <f>Database!TZG28</f>
        <v>0</v>
      </c>
      <c r="TYO4">
        <f>Database!TZH28</f>
        <v>0</v>
      </c>
      <c r="TYP4">
        <f>Database!TZI28</f>
        <v>0</v>
      </c>
      <c r="TYQ4">
        <f>Database!TZJ28</f>
        <v>0</v>
      </c>
      <c r="TYR4">
        <f>Database!TZK28</f>
        <v>0</v>
      </c>
      <c r="TYS4">
        <f>Database!TZL28</f>
        <v>0</v>
      </c>
      <c r="TYT4">
        <f>Database!TZM28</f>
        <v>0</v>
      </c>
      <c r="TYU4">
        <f>Database!TZN28</f>
        <v>0</v>
      </c>
      <c r="TYV4">
        <f>Database!TZO28</f>
        <v>0</v>
      </c>
      <c r="TYW4">
        <f>Database!TZP28</f>
        <v>0</v>
      </c>
      <c r="TYX4">
        <f>Database!TZQ28</f>
        <v>0</v>
      </c>
      <c r="TYY4">
        <f>Database!TZR28</f>
        <v>0</v>
      </c>
      <c r="TYZ4">
        <f>Database!TZS28</f>
        <v>0</v>
      </c>
      <c r="TZA4">
        <f>Database!TZT28</f>
        <v>0</v>
      </c>
      <c r="TZB4">
        <f>Database!TZU28</f>
        <v>0</v>
      </c>
      <c r="TZC4">
        <f>Database!TZV28</f>
        <v>0</v>
      </c>
      <c r="TZD4">
        <f>Database!TZW28</f>
        <v>0</v>
      </c>
      <c r="TZE4">
        <f>Database!TZX28</f>
        <v>0</v>
      </c>
      <c r="TZF4">
        <f>Database!TZY28</f>
        <v>0</v>
      </c>
      <c r="TZG4">
        <f>Database!TZZ28</f>
        <v>0</v>
      </c>
      <c r="TZH4">
        <f>Database!UAA28</f>
        <v>0</v>
      </c>
      <c r="TZI4">
        <f>Database!UAB28</f>
        <v>0</v>
      </c>
      <c r="TZJ4">
        <f>Database!UAC28</f>
        <v>0</v>
      </c>
      <c r="TZK4">
        <f>Database!UAD28</f>
        <v>0</v>
      </c>
      <c r="TZL4">
        <f>Database!UAE28</f>
        <v>0</v>
      </c>
      <c r="TZM4">
        <f>Database!UAF28</f>
        <v>0</v>
      </c>
      <c r="TZN4">
        <f>Database!UAG28</f>
        <v>0</v>
      </c>
      <c r="TZO4">
        <f>Database!UAH28</f>
        <v>0</v>
      </c>
      <c r="TZP4">
        <f>Database!UAI28</f>
        <v>0</v>
      </c>
      <c r="TZQ4">
        <f>Database!UAJ28</f>
        <v>0</v>
      </c>
      <c r="TZR4">
        <f>Database!UAK28</f>
        <v>0</v>
      </c>
      <c r="TZS4">
        <f>Database!UAL28</f>
        <v>0</v>
      </c>
      <c r="TZT4">
        <f>Database!UAM28</f>
        <v>0</v>
      </c>
      <c r="TZU4">
        <f>Database!UAN28</f>
        <v>0</v>
      </c>
      <c r="TZV4">
        <f>Database!UAO28</f>
        <v>0</v>
      </c>
      <c r="TZW4">
        <f>Database!UAP28</f>
        <v>0</v>
      </c>
      <c r="TZX4">
        <f>Database!UAQ28</f>
        <v>0</v>
      </c>
      <c r="TZY4">
        <f>Database!UAR28</f>
        <v>0</v>
      </c>
      <c r="TZZ4">
        <f>Database!UAS28</f>
        <v>0</v>
      </c>
      <c r="UAA4">
        <f>Database!UAT28</f>
        <v>0</v>
      </c>
      <c r="UAB4">
        <f>Database!UAU28</f>
        <v>0</v>
      </c>
      <c r="UAC4">
        <f>Database!UAV28</f>
        <v>0</v>
      </c>
      <c r="UAD4">
        <f>Database!UAW28</f>
        <v>0</v>
      </c>
      <c r="UAE4">
        <f>Database!UAX28</f>
        <v>0</v>
      </c>
      <c r="UAF4">
        <f>Database!UAY28</f>
        <v>0</v>
      </c>
      <c r="UAG4">
        <f>Database!UAZ28</f>
        <v>0</v>
      </c>
      <c r="UAH4">
        <f>Database!UBA28</f>
        <v>0</v>
      </c>
      <c r="UAI4">
        <f>Database!UBB28</f>
        <v>0</v>
      </c>
      <c r="UAJ4">
        <f>Database!UBC28</f>
        <v>0</v>
      </c>
      <c r="UAK4">
        <f>Database!UBD28</f>
        <v>0</v>
      </c>
      <c r="UAL4">
        <f>Database!UBE28</f>
        <v>0</v>
      </c>
      <c r="UAM4">
        <f>Database!UBF28</f>
        <v>0</v>
      </c>
      <c r="UAN4">
        <f>Database!UBG28</f>
        <v>0</v>
      </c>
      <c r="UAO4">
        <f>Database!UBH28</f>
        <v>0</v>
      </c>
      <c r="UAP4">
        <f>Database!UBI28</f>
        <v>0</v>
      </c>
      <c r="UAQ4">
        <f>Database!UBJ28</f>
        <v>0</v>
      </c>
      <c r="UAR4">
        <f>Database!UBK28</f>
        <v>0</v>
      </c>
      <c r="UAS4">
        <f>Database!UBL28</f>
        <v>0</v>
      </c>
      <c r="UAT4">
        <f>Database!UBM28</f>
        <v>0</v>
      </c>
      <c r="UAU4">
        <f>Database!UBN28</f>
        <v>0</v>
      </c>
      <c r="UAV4">
        <f>Database!UBO28</f>
        <v>0</v>
      </c>
      <c r="UAW4">
        <f>Database!UBP28</f>
        <v>0</v>
      </c>
      <c r="UAX4">
        <f>Database!UBQ28</f>
        <v>0</v>
      </c>
      <c r="UAY4">
        <f>Database!UBR28</f>
        <v>0</v>
      </c>
      <c r="UAZ4">
        <f>Database!UBS28</f>
        <v>0</v>
      </c>
      <c r="UBA4">
        <f>Database!UBT28</f>
        <v>0</v>
      </c>
      <c r="UBB4">
        <f>Database!UBU28</f>
        <v>0</v>
      </c>
      <c r="UBC4">
        <f>Database!UBV28</f>
        <v>0</v>
      </c>
      <c r="UBD4">
        <f>Database!UBW28</f>
        <v>0</v>
      </c>
      <c r="UBE4">
        <f>Database!UBX28</f>
        <v>0</v>
      </c>
      <c r="UBF4">
        <f>Database!UBY28</f>
        <v>0</v>
      </c>
      <c r="UBG4">
        <f>Database!UBZ28</f>
        <v>0</v>
      </c>
      <c r="UBH4">
        <f>Database!UCA28</f>
        <v>0</v>
      </c>
      <c r="UBI4">
        <f>Database!UCB28</f>
        <v>0</v>
      </c>
      <c r="UBJ4">
        <f>Database!UCC28</f>
        <v>0</v>
      </c>
      <c r="UBK4">
        <f>Database!UCD28</f>
        <v>0</v>
      </c>
      <c r="UBL4">
        <f>Database!UCE28</f>
        <v>0</v>
      </c>
      <c r="UBM4">
        <f>Database!UCF28</f>
        <v>0</v>
      </c>
      <c r="UBN4">
        <f>Database!UCG28</f>
        <v>0</v>
      </c>
      <c r="UBO4">
        <f>Database!UCH28</f>
        <v>0</v>
      </c>
      <c r="UBP4">
        <f>Database!UCI28</f>
        <v>0</v>
      </c>
      <c r="UBQ4">
        <f>Database!UCJ28</f>
        <v>0</v>
      </c>
      <c r="UBR4">
        <f>Database!UCK28</f>
        <v>0</v>
      </c>
      <c r="UBS4">
        <f>Database!UCL28</f>
        <v>0</v>
      </c>
      <c r="UBT4">
        <f>Database!UCM28</f>
        <v>0</v>
      </c>
      <c r="UBU4">
        <f>Database!UCN28</f>
        <v>0</v>
      </c>
      <c r="UBV4">
        <f>Database!UCO28</f>
        <v>0</v>
      </c>
      <c r="UBW4">
        <f>Database!UCP28</f>
        <v>0</v>
      </c>
      <c r="UBX4">
        <f>Database!UCQ28</f>
        <v>0</v>
      </c>
      <c r="UBY4">
        <f>Database!UCR28</f>
        <v>0</v>
      </c>
      <c r="UBZ4">
        <f>Database!UCS28</f>
        <v>0</v>
      </c>
      <c r="UCA4">
        <f>Database!UCT28</f>
        <v>0</v>
      </c>
      <c r="UCB4">
        <f>Database!UCU28</f>
        <v>0</v>
      </c>
      <c r="UCC4">
        <f>Database!UCV28</f>
        <v>0</v>
      </c>
      <c r="UCD4">
        <f>Database!UCW28</f>
        <v>0</v>
      </c>
      <c r="UCE4">
        <f>Database!UCX28</f>
        <v>0</v>
      </c>
      <c r="UCF4">
        <f>Database!UCY28</f>
        <v>0</v>
      </c>
      <c r="UCG4">
        <f>Database!UCZ28</f>
        <v>0</v>
      </c>
      <c r="UCH4">
        <f>Database!UDA28</f>
        <v>0</v>
      </c>
      <c r="UCI4">
        <f>Database!UDB28</f>
        <v>0</v>
      </c>
      <c r="UCJ4">
        <f>Database!UDC28</f>
        <v>0</v>
      </c>
      <c r="UCK4">
        <f>Database!UDD28</f>
        <v>0</v>
      </c>
      <c r="UCL4">
        <f>Database!UDE28</f>
        <v>0</v>
      </c>
      <c r="UCM4">
        <f>Database!UDF28</f>
        <v>0</v>
      </c>
      <c r="UCN4">
        <f>Database!UDG28</f>
        <v>0</v>
      </c>
      <c r="UCO4">
        <f>Database!UDH28</f>
        <v>0</v>
      </c>
      <c r="UCP4">
        <f>Database!UDI28</f>
        <v>0</v>
      </c>
      <c r="UCQ4">
        <f>Database!UDJ28</f>
        <v>0</v>
      </c>
      <c r="UCR4">
        <f>Database!UDK28</f>
        <v>0</v>
      </c>
      <c r="UCS4">
        <f>Database!UDL28</f>
        <v>0</v>
      </c>
      <c r="UCT4">
        <f>Database!UDM28</f>
        <v>0</v>
      </c>
      <c r="UCU4">
        <f>Database!UDN28</f>
        <v>0</v>
      </c>
      <c r="UCV4">
        <f>Database!UDO28</f>
        <v>0</v>
      </c>
      <c r="UCW4">
        <f>Database!UDP28</f>
        <v>0</v>
      </c>
      <c r="UCX4">
        <f>Database!UDQ28</f>
        <v>0</v>
      </c>
      <c r="UCY4">
        <f>Database!UDR28</f>
        <v>0</v>
      </c>
      <c r="UCZ4">
        <f>Database!UDS28</f>
        <v>0</v>
      </c>
      <c r="UDA4">
        <f>Database!UDT28</f>
        <v>0</v>
      </c>
      <c r="UDB4">
        <f>Database!UDU28</f>
        <v>0</v>
      </c>
      <c r="UDC4">
        <f>Database!UDV28</f>
        <v>0</v>
      </c>
      <c r="UDD4">
        <f>Database!UDW28</f>
        <v>0</v>
      </c>
      <c r="UDE4">
        <f>Database!UDX28</f>
        <v>0</v>
      </c>
      <c r="UDF4">
        <f>Database!UDY28</f>
        <v>0</v>
      </c>
      <c r="UDG4">
        <f>Database!UDZ28</f>
        <v>0</v>
      </c>
      <c r="UDH4">
        <f>Database!UEA28</f>
        <v>0</v>
      </c>
      <c r="UDI4">
        <f>Database!UEB28</f>
        <v>0</v>
      </c>
      <c r="UDJ4">
        <f>Database!UEC28</f>
        <v>0</v>
      </c>
      <c r="UDK4">
        <f>Database!UED28</f>
        <v>0</v>
      </c>
      <c r="UDL4">
        <f>Database!UEE28</f>
        <v>0</v>
      </c>
      <c r="UDM4">
        <f>Database!UEF28</f>
        <v>0</v>
      </c>
      <c r="UDN4">
        <f>Database!UEG28</f>
        <v>0</v>
      </c>
      <c r="UDO4">
        <f>Database!UEH28</f>
        <v>0</v>
      </c>
      <c r="UDP4">
        <f>Database!UEI28</f>
        <v>0</v>
      </c>
      <c r="UDQ4">
        <f>Database!UEJ28</f>
        <v>0</v>
      </c>
      <c r="UDR4">
        <f>Database!UEK28</f>
        <v>0</v>
      </c>
      <c r="UDS4">
        <f>Database!UEL28</f>
        <v>0</v>
      </c>
      <c r="UDT4">
        <f>Database!UEM28</f>
        <v>0</v>
      </c>
      <c r="UDU4">
        <f>Database!UEN28</f>
        <v>0</v>
      </c>
      <c r="UDV4">
        <f>Database!UEO28</f>
        <v>0</v>
      </c>
      <c r="UDW4">
        <f>Database!UEP28</f>
        <v>0</v>
      </c>
      <c r="UDX4">
        <f>Database!UEQ28</f>
        <v>0</v>
      </c>
      <c r="UDY4">
        <f>Database!UER28</f>
        <v>0</v>
      </c>
      <c r="UDZ4">
        <f>Database!UES28</f>
        <v>0</v>
      </c>
      <c r="UEA4">
        <f>Database!UET28</f>
        <v>0</v>
      </c>
      <c r="UEB4">
        <f>Database!UEU28</f>
        <v>0</v>
      </c>
      <c r="UEC4">
        <f>Database!UEV28</f>
        <v>0</v>
      </c>
      <c r="UED4">
        <f>Database!UEW28</f>
        <v>0</v>
      </c>
      <c r="UEE4">
        <f>Database!UEX28</f>
        <v>0</v>
      </c>
      <c r="UEF4">
        <f>Database!UEY28</f>
        <v>0</v>
      </c>
      <c r="UEG4">
        <f>Database!UEZ28</f>
        <v>0</v>
      </c>
      <c r="UEH4">
        <f>Database!UFA28</f>
        <v>0</v>
      </c>
      <c r="UEI4">
        <f>Database!UFB28</f>
        <v>0</v>
      </c>
      <c r="UEJ4">
        <f>Database!UFC28</f>
        <v>0</v>
      </c>
      <c r="UEK4">
        <f>Database!UFD28</f>
        <v>0</v>
      </c>
      <c r="UEL4">
        <f>Database!UFE28</f>
        <v>0</v>
      </c>
      <c r="UEM4">
        <f>Database!UFF28</f>
        <v>0</v>
      </c>
      <c r="UEN4">
        <f>Database!UFG28</f>
        <v>0</v>
      </c>
      <c r="UEO4">
        <f>Database!UFH28</f>
        <v>0</v>
      </c>
      <c r="UEP4">
        <f>Database!UFI28</f>
        <v>0</v>
      </c>
      <c r="UEQ4">
        <f>Database!UFJ28</f>
        <v>0</v>
      </c>
      <c r="UER4">
        <f>Database!UFK28</f>
        <v>0</v>
      </c>
      <c r="UES4">
        <f>Database!UFL28</f>
        <v>0</v>
      </c>
      <c r="UET4">
        <f>Database!UFM28</f>
        <v>0</v>
      </c>
      <c r="UEU4">
        <f>Database!UFN28</f>
        <v>0</v>
      </c>
      <c r="UEV4">
        <f>Database!UFO28</f>
        <v>0</v>
      </c>
      <c r="UEW4">
        <f>Database!UFP28</f>
        <v>0</v>
      </c>
      <c r="UEX4">
        <f>Database!UFQ28</f>
        <v>0</v>
      </c>
      <c r="UEY4">
        <f>Database!UFR28</f>
        <v>0</v>
      </c>
      <c r="UEZ4">
        <f>Database!UFS28</f>
        <v>0</v>
      </c>
      <c r="UFA4">
        <f>Database!UFT28</f>
        <v>0</v>
      </c>
      <c r="UFB4">
        <f>Database!UFU28</f>
        <v>0</v>
      </c>
      <c r="UFC4">
        <f>Database!UFV28</f>
        <v>0</v>
      </c>
      <c r="UFD4">
        <f>Database!UFW28</f>
        <v>0</v>
      </c>
      <c r="UFE4">
        <f>Database!UFX28</f>
        <v>0</v>
      </c>
      <c r="UFF4">
        <f>Database!UFY28</f>
        <v>0</v>
      </c>
      <c r="UFG4">
        <f>Database!UFZ28</f>
        <v>0</v>
      </c>
      <c r="UFH4">
        <f>Database!UGA28</f>
        <v>0</v>
      </c>
      <c r="UFI4">
        <f>Database!UGB28</f>
        <v>0</v>
      </c>
      <c r="UFJ4">
        <f>Database!UGC28</f>
        <v>0</v>
      </c>
      <c r="UFK4">
        <f>Database!UGD28</f>
        <v>0</v>
      </c>
      <c r="UFL4">
        <f>Database!UGE28</f>
        <v>0</v>
      </c>
      <c r="UFM4">
        <f>Database!UGF28</f>
        <v>0</v>
      </c>
      <c r="UFN4">
        <f>Database!UGG28</f>
        <v>0</v>
      </c>
      <c r="UFO4">
        <f>Database!UGH28</f>
        <v>0</v>
      </c>
      <c r="UFP4">
        <f>Database!UGI28</f>
        <v>0</v>
      </c>
      <c r="UFQ4">
        <f>Database!UGJ28</f>
        <v>0</v>
      </c>
      <c r="UFR4">
        <f>Database!UGK28</f>
        <v>0</v>
      </c>
      <c r="UFS4">
        <f>Database!UGL28</f>
        <v>0</v>
      </c>
      <c r="UFT4">
        <f>Database!UGM28</f>
        <v>0</v>
      </c>
      <c r="UFU4">
        <f>Database!UGN28</f>
        <v>0</v>
      </c>
      <c r="UFV4">
        <f>Database!UGO28</f>
        <v>0</v>
      </c>
      <c r="UFW4">
        <f>Database!UGP28</f>
        <v>0</v>
      </c>
      <c r="UFX4">
        <f>Database!UGQ28</f>
        <v>0</v>
      </c>
      <c r="UFY4">
        <f>Database!UGR28</f>
        <v>0</v>
      </c>
      <c r="UFZ4">
        <f>Database!UGS28</f>
        <v>0</v>
      </c>
      <c r="UGA4">
        <f>Database!UGT28</f>
        <v>0</v>
      </c>
      <c r="UGB4">
        <f>Database!UGU28</f>
        <v>0</v>
      </c>
      <c r="UGC4">
        <f>Database!UGV28</f>
        <v>0</v>
      </c>
      <c r="UGD4">
        <f>Database!UGW28</f>
        <v>0</v>
      </c>
      <c r="UGE4">
        <f>Database!UGX28</f>
        <v>0</v>
      </c>
      <c r="UGF4">
        <f>Database!UGY28</f>
        <v>0</v>
      </c>
      <c r="UGG4">
        <f>Database!UGZ28</f>
        <v>0</v>
      </c>
      <c r="UGH4">
        <f>Database!UHA28</f>
        <v>0</v>
      </c>
      <c r="UGI4">
        <f>Database!UHB28</f>
        <v>0</v>
      </c>
      <c r="UGJ4">
        <f>Database!UHC28</f>
        <v>0</v>
      </c>
      <c r="UGK4">
        <f>Database!UHD28</f>
        <v>0</v>
      </c>
      <c r="UGL4">
        <f>Database!UHE28</f>
        <v>0</v>
      </c>
      <c r="UGM4">
        <f>Database!UHF28</f>
        <v>0</v>
      </c>
      <c r="UGN4">
        <f>Database!UHG28</f>
        <v>0</v>
      </c>
      <c r="UGO4">
        <f>Database!UHH28</f>
        <v>0</v>
      </c>
      <c r="UGP4">
        <f>Database!UHI28</f>
        <v>0</v>
      </c>
      <c r="UGQ4">
        <f>Database!UHJ28</f>
        <v>0</v>
      </c>
      <c r="UGR4">
        <f>Database!UHK28</f>
        <v>0</v>
      </c>
      <c r="UGS4">
        <f>Database!UHL28</f>
        <v>0</v>
      </c>
      <c r="UGT4">
        <f>Database!UHM28</f>
        <v>0</v>
      </c>
      <c r="UGU4">
        <f>Database!UHN28</f>
        <v>0</v>
      </c>
      <c r="UGV4">
        <f>Database!UHO28</f>
        <v>0</v>
      </c>
      <c r="UGW4">
        <f>Database!UHP28</f>
        <v>0</v>
      </c>
      <c r="UGX4">
        <f>Database!UHQ28</f>
        <v>0</v>
      </c>
      <c r="UGY4">
        <f>Database!UHR28</f>
        <v>0</v>
      </c>
      <c r="UGZ4">
        <f>Database!UHS28</f>
        <v>0</v>
      </c>
      <c r="UHA4">
        <f>Database!UHT28</f>
        <v>0</v>
      </c>
      <c r="UHB4">
        <f>Database!UHU28</f>
        <v>0</v>
      </c>
      <c r="UHC4">
        <f>Database!UHV28</f>
        <v>0</v>
      </c>
      <c r="UHD4">
        <f>Database!UHW28</f>
        <v>0</v>
      </c>
      <c r="UHE4">
        <f>Database!UHX28</f>
        <v>0</v>
      </c>
      <c r="UHF4">
        <f>Database!UHY28</f>
        <v>0</v>
      </c>
      <c r="UHG4">
        <f>Database!UHZ28</f>
        <v>0</v>
      </c>
      <c r="UHH4">
        <f>Database!UIA28</f>
        <v>0</v>
      </c>
      <c r="UHI4">
        <f>Database!UIB28</f>
        <v>0</v>
      </c>
      <c r="UHJ4">
        <f>Database!UIC28</f>
        <v>0</v>
      </c>
      <c r="UHK4">
        <f>Database!UID28</f>
        <v>0</v>
      </c>
      <c r="UHL4">
        <f>Database!UIE28</f>
        <v>0</v>
      </c>
      <c r="UHM4">
        <f>Database!UIF28</f>
        <v>0</v>
      </c>
      <c r="UHN4">
        <f>Database!UIG28</f>
        <v>0</v>
      </c>
      <c r="UHO4">
        <f>Database!UIH28</f>
        <v>0</v>
      </c>
      <c r="UHP4">
        <f>Database!UII28</f>
        <v>0</v>
      </c>
      <c r="UHQ4">
        <f>Database!UIJ28</f>
        <v>0</v>
      </c>
      <c r="UHR4">
        <f>Database!UIK28</f>
        <v>0</v>
      </c>
      <c r="UHS4">
        <f>Database!UIL28</f>
        <v>0</v>
      </c>
      <c r="UHT4">
        <f>Database!UIM28</f>
        <v>0</v>
      </c>
      <c r="UHU4">
        <f>Database!UIN28</f>
        <v>0</v>
      </c>
      <c r="UHV4">
        <f>Database!UIO28</f>
        <v>0</v>
      </c>
      <c r="UHW4">
        <f>Database!UIP28</f>
        <v>0</v>
      </c>
      <c r="UHX4">
        <f>Database!UIQ28</f>
        <v>0</v>
      </c>
      <c r="UHY4">
        <f>Database!UIR28</f>
        <v>0</v>
      </c>
      <c r="UHZ4">
        <f>Database!UIS28</f>
        <v>0</v>
      </c>
      <c r="UIA4">
        <f>Database!UIT28</f>
        <v>0</v>
      </c>
      <c r="UIB4">
        <f>Database!UIU28</f>
        <v>0</v>
      </c>
      <c r="UIC4">
        <f>Database!UIV28</f>
        <v>0</v>
      </c>
      <c r="UID4">
        <f>Database!UIW28</f>
        <v>0</v>
      </c>
      <c r="UIE4">
        <f>Database!UIX28</f>
        <v>0</v>
      </c>
      <c r="UIF4">
        <f>Database!UIY28</f>
        <v>0</v>
      </c>
      <c r="UIG4">
        <f>Database!UIZ28</f>
        <v>0</v>
      </c>
      <c r="UIH4">
        <f>Database!UJA28</f>
        <v>0</v>
      </c>
      <c r="UII4">
        <f>Database!UJB28</f>
        <v>0</v>
      </c>
      <c r="UIJ4">
        <f>Database!UJC28</f>
        <v>0</v>
      </c>
      <c r="UIK4">
        <f>Database!UJD28</f>
        <v>0</v>
      </c>
      <c r="UIL4">
        <f>Database!UJE28</f>
        <v>0</v>
      </c>
      <c r="UIM4">
        <f>Database!UJF28</f>
        <v>0</v>
      </c>
      <c r="UIN4">
        <f>Database!UJG28</f>
        <v>0</v>
      </c>
      <c r="UIO4">
        <f>Database!UJH28</f>
        <v>0</v>
      </c>
      <c r="UIP4">
        <f>Database!UJI28</f>
        <v>0</v>
      </c>
      <c r="UIQ4">
        <f>Database!UJJ28</f>
        <v>0</v>
      </c>
      <c r="UIR4">
        <f>Database!UJK28</f>
        <v>0</v>
      </c>
      <c r="UIS4">
        <f>Database!UJL28</f>
        <v>0</v>
      </c>
      <c r="UIT4">
        <f>Database!UJM28</f>
        <v>0</v>
      </c>
      <c r="UIU4">
        <f>Database!UJN28</f>
        <v>0</v>
      </c>
      <c r="UIV4">
        <f>Database!UJO28</f>
        <v>0</v>
      </c>
      <c r="UIW4">
        <f>Database!UJP28</f>
        <v>0</v>
      </c>
      <c r="UIX4">
        <f>Database!UJQ28</f>
        <v>0</v>
      </c>
      <c r="UIY4">
        <f>Database!UJR28</f>
        <v>0</v>
      </c>
      <c r="UIZ4">
        <f>Database!UJS28</f>
        <v>0</v>
      </c>
      <c r="UJA4">
        <f>Database!UJT28</f>
        <v>0</v>
      </c>
      <c r="UJB4">
        <f>Database!UJU28</f>
        <v>0</v>
      </c>
      <c r="UJC4">
        <f>Database!UJV28</f>
        <v>0</v>
      </c>
      <c r="UJD4">
        <f>Database!UJW28</f>
        <v>0</v>
      </c>
      <c r="UJE4">
        <f>Database!UJX28</f>
        <v>0</v>
      </c>
      <c r="UJF4">
        <f>Database!UJY28</f>
        <v>0</v>
      </c>
      <c r="UJG4">
        <f>Database!UJZ28</f>
        <v>0</v>
      </c>
      <c r="UJH4">
        <f>Database!UKA28</f>
        <v>0</v>
      </c>
      <c r="UJI4">
        <f>Database!UKB28</f>
        <v>0</v>
      </c>
      <c r="UJJ4">
        <f>Database!UKC28</f>
        <v>0</v>
      </c>
      <c r="UJK4">
        <f>Database!UKD28</f>
        <v>0</v>
      </c>
      <c r="UJL4">
        <f>Database!UKE28</f>
        <v>0</v>
      </c>
      <c r="UJM4">
        <f>Database!UKF28</f>
        <v>0</v>
      </c>
      <c r="UJN4">
        <f>Database!UKG28</f>
        <v>0</v>
      </c>
      <c r="UJO4">
        <f>Database!UKH28</f>
        <v>0</v>
      </c>
      <c r="UJP4">
        <f>Database!UKI28</f>
        <v>0</v>
      </c>
      <c r="UJQ4">
        <f>Database!UKJ28</f>
        <v>0</v>
      </c>
      <c r="UJR4">
        <f>Database!UKK28</f>
        <v>0</v>
      </c>
      <c r="UJS4">
        <f>Database!UKL28</f>
        <v>0</v>
      </c>
      <c r="UJT4">
        <f>Database!UKM28</f>
        <v>0</v>
      </c>
      <c r="UJU4">
        <f>Database!UKN28</f>
        <v>0</v>
      </c>
      <c r="UJV4">
        <f>Database!UKO28</f>
        <v>0</v>
      </c>
      <c r="UJW4">
        <f>Database!UKP28</f>
        <v>0</v>
      </c>
      <c r="UJX4">
        <f>Database!UKQ28</f>
        <v>0</v>
      </c>
      <c r="UJY4">
        <f>Database!UKR28</f>
        <v>0</v>
      </c>
      <c r="UJZ4">
        <f>Database!UKS28</f>
        <v>0</v>
      </c>
      <c r="UKA4">
        <f>Database!UKT28</f>
        <v>0</v>
      </c>
      <c r="UKB4">
        <f>Database!UKU28</f>
        <v>0</v>
      </c>
      <c r="UKC4">
        <f>Database!UKV28</f>
        <v>0</v>
      </c>
      <c r="UKD4">
        <f>Database!UKW28</f>
        <v>0</v>
      </c>
      <c r="UKE4">
        <f>Database!UKX28</f>
        <v>0</v>
      </c>
      <c r="UKF4">
        <f>Database!UKY28</f>
        <v>0</v>
      </c>
      <c r="UKG4">
        <f>Database!UKZ28</f>
        <v>0</v>
      </c>
      <c r="UKH4">
        <f>Database!ULA28</f>
        <v>0</v>
      </c>
      <c r="UKI4">
        <f>Database!ULB28</f>
        <v>0</v>
      </c>
      <c r="UKJ4">
        <f>Database!ULC28</f>
        <v>0</v>
      </c>
      <c r="UKK4">
        <f>Database!ULD28</f>
        <v>0</v>
      </c>
      <c r="UKL4">
        <f>Database!ULE28</f>
        <v>0</v>
      </c>
      <c r="UKM4">
        <f>Database!ULF28</f>
        <v>0</v>
      </c>
      <c r="UKN4">
        <f>Database!ULG28</f>
        <v>0</v>
      </c>
      <c r="UKO4">
        <f>Database!ULH28</f>
        <v>0</v>
      </c>
      <c r="UKP4">
        <f>Database!ULI28</f>
        <v>0</v>
      </c>
      <c r="UKQ4">
        <f>Database!ULJ28</f>
        <v>0</v>
      </c>
      <c r="UKR4">
        <f>Database!ULK28</f>
        <v>0</v>
      </c>
      <c r="UKS4">
        <f>Database!ULL28</f>
        <v>0</v>
      </c>
      <c r="UKT4">
        <f>Database!ULM28</f>
        <v>0</v>
      </c>
      <c r="UKU4">
        <f>Database!ULN28</f>
        <v>0</v>
      </c>
      <c r="UKV4">
        <f>Database!ULO28</f>
        <v>0</v>
      </c>
      <c r="UKW4">
        <f>Database!ULP28</f>
        <v>0</v>
      </c>
      <c r="UKX4">
        <f>Database!ULQ28</f>
        <v>0</v>
      </c>
      <c r="UKY4">
        <f>Database!ULR28</f>
        <v>0</v>
      </c>
      <c r="UKZ4">
        <f>Database!ULS28</f>
        <v>0</v>
      </c>
      <c r="ULA4">
        <f>Database!ULT28</f>
        <v>0</v>
      </c>
      <c r="ULB4">
        <f>Database!ULU28</f>
        <v>0</v>
      </c>
      <c r="ULC4">
        <f>Database!ULV28</f>
        <v>0</v>
      </c>
      <c r="ULD4">
        <f>Database!ULW28</f>
        <v>0</v>
      </c>
      <c r="ULE4">
        <f>Database!ULX28</f>
        <v>0</v>
      </c>
      <c r="ULF4">
        <f>Database!ULY28</f>
        <v>0</v>
      </c>
      <c r="ULG4">
        <f>Database!ULZ28</f>
        <v>0</v>
      </c>
      <c r="ULH4">
        <f>Database!UMA28</f>
        <v>0</v>
      </c>
      <c r="ULI4">
        <f>Database!UMB28</f>
        <v>0</v>
      </c>
      <c r="ULJ4">
        <f>Database!UMC28</f>
        <v>0</v>
      </c>
      <c r="ULK4">
        <f>Database!UMD28</f>
        <v>0</v>
      </c>
      <c r="ULL4">
        <f>Database!UME28</f>
        <v>0</v>
      </c>
      <c r="ULM4">
        <f>Database!UMF28</f>
        <v>0</v>
      </c>
      <c r="ULN4">
        <f>Database!UMG28</f>
        <v>0</v>
      </c>
      <c r="ULO4">
        <f>Database!UMH28</f>
        <v>0</v>
      </c>
      <c r="ULP4">
        <f>Database!UMI28</f>
        <v>0</v>
      </c>
      <c r="ULQ4">
        <f>Database!UMJ28</f>
        <v>0</v>
      </c>
      <c r="ULR4">
        <f>Database!UMK28</f>
        <v>0</v>
      </c>
      <c r="ULS4">
        <f>Database!UML28</f>
        <v>0</v>
      </c>
      <c r="ULT4">
        <f>Database!UMM28</f>
        <v>0</v>
      </c>
      <c r="ULU4">
        <f>Database!UMN28</f>
        <v>0</v>
      </c>
      <c r="ULV4">
        <f>Database!UMO28</f>
        <v>0</v>
      </c>
      <c r="ULW4">
        <f>Database!UMP28</f>
        <v>0</v>
      </c>
      <c r="ULX4">
        <f>Database!UMQ28</f>
        <v>0</v>
      </c>
      <c r="ULY4">
        <f>Database!UMR28</f>
        <v>0</v>
      </c>
      <c r="ULZ4">
        <f>Database!UMS28</f>
        <v>0</v>
      </c>
      <c r="UMA4">
        <f>Database!UMT28</f>
        <v>0</v>
      </c>
      <c r="UMB4">
        <f>Database!UMU28</f>
        <v>0</v>
      </c>
      <c r="UMC4">
        <f>Database!UMV28</f>
        <v>0</v>
      </c>
      <c r="UMD4">
        <f>Database!UMW28</f>
        <v>0</v>
      </c>
      <c r="UME4">
        <f>Database!UMX28</f>
        <v>0</v>
      </c>
      <c r="UMF4">
        <f>Database!UMY28</f>
        <v>0</v>
      </c>
      <c r="UMG4">
        <f>Database!UMZ28</f>
        <v>0</v>
      </c>
      <c r="UMH4">
        <f>Database!UNA28</f>
        <v>0</v>
      </c>
      <c r="UMI4">
        <f>Database!UNB28</f>
        <v>0</v>
      </c>
      <c r="UMJ4">
        <f>Database!UNC28</f>
        <v>0</v>
      </c>
      <c r="UMK4">
        <f>Database!UND28</f>
        <v>0</v>
      </c>
      <c r="UML4">
        <f>Database!UNE28</f>
        <v>0</v>
      </c>
      <c r="UMM4">
        <f>Database!UNF28</f>
        <v>0</v>
      </c>
      <c r="UMN4">
        <f>Database!UNG28</f>
        <v>0</v>
      </c>
      <c r="UMO4">
        <f>Database!UNH28</f>
        <v>0</v>
      </c>
      <c r="UMP4">
        <f>Database!UNI28</f>
        <v>0</v>
      </c>
      <c r="UMQ4">
        <f>Database!UNJ28</f>
        <v>0</v>
      </c>
      <c r="UMR4">
        <f>Database!UNK28</f>
        <v>0</v>
      </c>
      <c r="UMS4">
        <f>Database!UNL28</f>
        <v>0</v>
      </c>
      <c r="UMT4">
        <f>Database!UNM28</f>
        <v>0</v>
      </c>
      <c r="UMU4">
        <f>Database!UNN28</f>
        <v>0</v>
      </c>
      <c r="UMV4">
        <f>Database!UNO28</f>
        <v>0</v>
      </c>
      <c r="UMW4">
        <f>Database!UNP28</f>
        <v>0</v>
      </c>
      <c r="UMX4">
        <f>Database!UNQ28</f>
        <v>0</v>
      </c>
      <c r="UMY4">
        <f>Database!UNR28</f>
        <v>0</v>
      </c>
      <c r="UMZ4">
        <f>Database!UNS28</f>
        <v>0</v>
      </c>
      <c r="UNA4">
        <f>Database!UNT28</f>
        <v>0</v>
      </c>
      <c r="UNB4">
        <f>Database!UNU28</f>
        <v>0</v>
      </c>
      <c r="UNC4">
        <f>Database!UNV28</f>
        <v>0</v>
      </c>
      <c r="UND4">
        <f>Database!UNW28</f>
        <v>0</v>
      </c>
      <c r="UNE4">
        <f>Database!UNX28</f>
        <v>0</v>
      </c>
      <c r="UNF4">
        <f>Database!UNY28</f>
        <v>0</v>
      </c>
      <c r="UNG4">
        <f>Database!UNZ28</f>
        <v>0</v>
      </c>
      <c r="UNH4">
        <f>Database!UOA28</f>
        <v>0</v>
      </c>
      <c r="UNI4">
        <f>Database!UOB28</f>
        <v>0</v>
      </c>
      <c r="UNJ4">
        <f>Database!UOC28</f>
        <v>0</v>
      </c>
      <c r="UNK4">
        <f>Database!UOD28</f>
        <v>0</v>
      </c>
      <c r="UNL4">
        <f>Database!UOE28</f>
        <v>0</v>
      </c>
      <c r="UNM4">
        <f>Database!UOF28</f>
        <v>0</v>
      </c>
      <c r="UNN4">
        <f>Database!UOG28</f>
        <v>0</v>
      </c>
      <c r="UNO4">
        <f>Database!UOH28</f>
        <v>0</v>
      </c>
      <c r="UNP4">
        <f>Database!UOI28</f>
        <v>0</v>
      </c>
      <c r="UNQ4">
        <f>Database!UOJ28</f>
        <v>0</v>
      </c>
      <c r="UNR4">
        <f>Database!UOK28</f>
        <v>0</v>
      </c>
      <c r="UNS4">
        <f>Database!UOL28</f>
        <v>0</v>
      </c>
      <c r="UNT4">
        <f>Database!UOM28</f>
        <v>0</v>
      </c>
      <c r="UNU4">
        <f>Database!UON28</f>
        <v>0</v>
      </c>
      <c r="UNV4">
        <f>Database!UOO28</f>
        <v>0</v>
      </c>
      <c r="UNW4">
        <f>Database!UOP28</f>
        <v>0</v>
      </c>
      <c r="UNX4">
        <f>Database!UOQ28</f>
        <v>0</v>
      </c>
      <c r="UNY4">
        <f>Database!UOR28</f>
        <v>0</v>
      </c>
      <c r="UNZ4">
        <f>Database!UOS28</f>
        <v>0</v>
      </c>
      <c r="UOA4">
        <f>Database!UOT28</f>
        <v>0</v>
      </c>
      <c r="UOB4">
        <f>Database!UOU28</f>
        <v>0</v>
      </c>
      <c r="UOC4">
        <f>Database!UOV28</f>
        <v>0</v>
      </c>
      <c r="UOD4">
        <f>Database!UOW28</f>
        <v>0</v>
      </c>
      <c r="UOE4">
        <f>Database!UOX28</f>
        <v>0</v>
      </c>
      <c r="UOF4">
        <f>Database!UOY28</f>
        <v>0</v>
      </c>
      <c r="UOG4">
        <f>Database!UOZ28</f>
        <v>0</v>
      </c>
      <c r="UOH4">
        <f>Database!UPA28</f>
        <v>0</v>
      </c>
      <c r="UOI4">
        <f>Database!UPB28</f>
        <v>0</v>
      </c>
      <c r="UOJ4">
        <f>Database!UPC28</f>
        <v>0</v>
      </c>
      <c r="UOK4">
        <f>Database!UPD28</f>
        <v>0</v>
      </c>
      <c r="UOL4">
        <f>Database!UPE28</f>
        <v>0</v>
      </c>
      <c r="UOM4">
        <f>Database!UPF28</f>
        <v>0</v>
      </c>
      <c r="UON4">
        <f>Database!UPG28</f>
        <v>0</v>
      </c>
      <c r="UOO4">
        <f>Database!UPH28</f>
        <v>0</v>
      </c>
      <c r="UOP4">
        <f>Database!UPI28</f>
        <v>0</v>
      </c>
      <c r="UOQ4">
        <f>Database!UPJ28</f>
        <v>0</v>
      </c>
      <c r="UOR4">
        <f>Database!UPK28</f>
        <v>0</v>
      </c>
      <c r="UOS4">
        <f>Database!UPL28</f>
        <v>0</v>
      </c>
      <c r="UOT4">
        <f>Database!UPM28</f>
        <v>0</v>
      </c>
      <c r="UOU4">
        <f>Database!UPN28</f>
        <v>0</v>
      </c>
      <c r="UOV4">
        <f>Database!UPO28</f>
        <v>0</v>
      </c>
      <c r="UOW4">
        <f>Database!UPP28</f>
        <v>0</v>
      </c>
      <c r="UOX4">
        <f>Database!UPQ28</f>
        <v>0</v>
      </c>
      <c r="UOY4">
        <f>Database!UPR28</f>
        <v>0</v>
      </c>
      <c r="UOZ4">
        <f>Database!UPS28</f>
        <v>0</v>
      </c>
      <c r="UPA4">
        <f>Database!UPT28</f>
        <v>0</v>
      </c>
      <c r="UPB4">
        <f>Database!UPU28</f>
        <v>0</v>
      </c>
      <c r="UPC4">
        <f>Database!UPV28</f>
        <v>0</v>
      </c>
      <c r="UPD4">
        <f>Database!UPW28</f>
        <v>0</v>
      </c>
      <c r="UPE4">
        <f>Database!UPX28</f>
        <v>0</v>
      </c>
      <c r="UPF4">
        <f>Database!UPY28</f>
        <v>0</v>
      </c>
      <c r="UPG4">
        <f>Database!UPZ28</f>
        <v>0</v>
      </c>
      <c r="UPH4">
        <f>Database!UQA28</f>
        <v>0</v>
      </c>
      <c r="UPI4">
        <f>Database!UQB28</f>
        <v>0</v>
      </c>
      <c r="UPJ4">
        <f>Database!UQC28</f>
        <v>0</v>
      </c>
      <c r="UPK4">
        <f>Database!UQD28</f>
        <v>0</v>
      </c>
      <c r="UPL4">
        <f>Database!UQE28</f>
        <v>0</v>
      </c>
      <c r="UPM4">
        <f>Database!UQF28</f>
        <v>0</v>
      </c>
      <c r="UPN4">
        <f>Database!UQG28</f>
        <v>0</v>
      </c>
      <c r="UPO4">
        <f>Database!UQH28</f>
        <v>0</v>
      </c>
      <c r="UPP4">
        <f>Database!UQI28</f>
        <v>0</v>
      </c>
      <c r="UPQ4">
        <f>Database!UQJ28</f>
        <v>0</v>
      </c>
      <c r="UPR4">
        <f>Database!UQK28</f>
        <v>0</v>
      </c>
      <c r="UPS4">
        <f>Database!UQL28</f>
        <v>0</v>
      </c>
      <c r="UPT4">
        <f>Database!UQM28</f>
        <v>0</v>
      </c>
      <c r="UPU4">
        <f>Database!UQN28</f>
        <v>0</v>
      </c>
      <c r="UPV4">
        <f>Database!UQO28</f>
        <v>0</v>
      </c>
      <c r="UPW4">
        <f>Database!UQP28</f>
        <v>0</v>
      </c>
      <c r="UPX4">
        <f>Database!UQQ28</f>
        <v>0</v>
      </c>
      <c r="UPY4">
        <f>Database!UQR28</f>
        <v>0</v>
      </c>
      <c r="UPZ4">
        <f>Database!UQS28</f>
        <v>0</v>
      </c>
      <c r="UQA4">
        <f>Database!UQT28</f>
        <v>0</v>
      </c>
      <c r="UQB4">
        <f>Database!UQU28</f>
        <v>0</v>
      </c>
      <c r="UQC4">
        <f>Database!UQV28</f>
        <v>0</v>
      </c>
      <c r="UQD4">
        <f>Database!UQW28</f>
        <v>0</v>
      </c>
      <c r="UQE4">
        <f>Database!UQX28</f>
        <v>0</v>
      </c>
      <c r="UQF4">
        <f>Database!UQY28</f>
        <v>0</v>
      </c>
      <c r="UQG4">
        <f>Database!UQZ28</f>
        <v>0</v>
      </c>
      <c r="UQH4">
        <f>Database!URA28</f>
        <v>0</v>
      </c>
      <c r="UQI4">
        <f>Database!URB28</f>
        <v>0</v>
      </c>
      <c r="UQJ4">
        <f>Database!URC28</f>
        <v>0</v>
      </c>
      <c r="UQK4">
        <f>Database!URD28</f>
        <v>0</v>
      </c>
      <c r="UQL4">
        <f>Database!URE28</f>
        <v>0</v>
      </c>
      <c r="UQM4">
        <f>Database!URF28</f>
        <v>0</v>
      </c>
      <c r="UQN4">
        <f>Database!URG28</f>
        <v>0</v>
      </c>
      <c r="UQO4">
        <f>Database!URH28</f>
        <v>0</v>
      </c>
      <c r="UQP4">
        <f>Database!URI28</f>
        <v>0</v>
      </c>
      <c r="UQQ4">
        <f>Database!URJ28</f>
        <v>0</v>
      </c>
      <c r="UQR4">
        <f>Database!URK28</f>
        <v>0</v>
      </c>
      <c r="UQS4">
        <f>Database!URL28</f>
        <v>0</v>
      </c>
      <c r="UQT4">
        <f>Database!URM28</f>
        <v>0</v>
      </c>
      <c r="UQU4">
        <f>Database!URN28</f>
        <v>0</v>
      </c>
      <c r="UQV4">
        <f>Database!URO28</f>
        <v>0</v>
      </c>
      <c r="UQW4">
        <f>Database!URP28</f>
        <v>0</v>
      </c>
      <c r="UQX4">
        <f>Database!URQ28</f>
        <v>0</v>
      </c>
      <c r="UQY4">
        <f>Database!URR28</f>
        <v>0</v>
      </c>
      <c r="UQZ4">
        <f>Database!URS28</f>
        <v>0</v>
      </c>
      <c r="URA4">
        <f>Database!URT28</f>
        <v>0</v>
      </c>
      <c r="URB4">
        <f>Database!URU28</f>
        <v>0</v>
      </c>
      <c r="URC4">
        <f>Database!URV28</f>
        <v>0</v>
      </c>
      <c r="URD4">
        <f>Database!URW28</f>
        <v>0</v>
      </c>
      <c r="URE4">
        <f>Database!URX28</f>
        <v>0</v>
      </c>
      <c r="URF4">
        <f>Database!URY28</f>
        <v>0</v>
      </c>
      <c r="URG4">
        <f>Database!URZ28</f>
        <v>0</v>
      </c>
      <c r="URH4">
        <f>Database!USA28</f>
        <v>0</v>
      </c>
      <c r="URI4">
        <f>Database!USB28</f>
        <v>0</v>
      </c>
      <c r="URJ4">
        <f>Database!USC28</f>
        <v>0</v>
      </c>
      <c r="URK4">
        <f>Database!USD28</f>
        <v>0</v>
      </c>
      <c r="URL4">
        <f>Database!USE28</f>
        <v>0</v>
      </c>
      <c r="URM4">
        <f>Database!USF28</f>
        <v>0</v>
      </c>
      <c r="URN4">
        <f>Database!USG28</f>
        <v>0</v>
      </c>
      <c r="URO4">
        <f>Database!USH28</f>
        <v>0</v>
      </c>
      <c r="URP4">
        <f>Database!USI28</f>
        <v>0</v>
      </c>
      <c r="URQ4">
        <f>Database!USJ28</f>
        <v>0</v>
      </c>
      <c r="URR4">
        <f>Database!USK28</f>
        <v>0</v>
      </c>
      <c r="URS4">
        <f>Database!USL28</f>
        <v>0</v>
      </c>
      <c r="URT4">
        <f>Database!USM28</f>
        <v>0</v>
      </c>
      <c r="URU4">
        <f>Database!USN28</f>
        <v>0</v>
      </c>
      <c r="URV4">
        <f>Database!USO28</f>
        <v>0</v>
      </c>
      <c r="URW4">
        <f>Database!USP28</f>
        <v>0</v>
      </c>
      <c r="URX4">
        <f>Database!USQ28</f>
        <v>0</v>
      </c>
      <c r="URY4">
        <f>Database!USR28</f>
        <v>0</v>
      </c>
      <c r="URZ4">
        <f>Database!USS28</f>
        <v>0</v>
      </c>
      <c r="USA4">
        <f>Database!UST28</f>
        <v>0</v>
      </c>
      <c r="USB4">
        <f>Database!USU28</f>
        <v>0</v>
      </c>
      <c r="USC4">
        <f>Database!USV28</f>
        <v>0</v>
      </c>
      <c r="USD4">
        <f>Database!USW28</f>
        <v>0</v>
      </c>
      <c r="USE4">
        <f>Database!USX28</f>
        <v>0</v>
      </c>
      <c r="USF4">
        <f>Database!USY28</f>
        <v>0</v>
      </c>
      <c r="USG4">
        <f>Database!USZ28</f>
        <v>0</v>
      </c>
      <c r="USH4">
        <f>Database!UTA28</f>
        <v>0</v>
      </c>
      <c r="USI4">
        <f>Database!UTB28</f>
        <v>0</v>
      </c>
      <c r="USJ4">
        <f>Database!UTC28</f>
        <v>0</v>
      </c>
      <c r="USK4">
        <f>Database!UTD28</f>
        <v>0</v>
      </c>
      <c r="USL4">
        <f>Database!UTE28</f>
        <v>0</v>
      </c>
      <c r="USM4">
        <f>Database!UTF28</f>
        <v>0</v>
      </c>
      <c r="USN4">
        <f>Database!UTG28</f>
        <v>0</v>
      </c>
      <c r="USO4">
        <f>Database!UTH28</f>
        <v>0</v>
      </c>
      <c r="USP4">
        <f>Database!UTI28</f>
        <v>0</v>
      </c>
      <c r="USQ4">
        <f>Database!UTJ28</f>
        <v>0</v>
      </c>
      <c r="USR4">
        <f>Database!UTK28</f>
        <v>0</v>
      </c>
      <c r="USS4">
        <f>Database!UTL28</f>
        <v>0</v>
      </c>
      <c r="UST4">
        <f>Database!UTM28</f>
        <v>0</v>
      </c>
      <c r="USU4">
        <f>Database!UTN28</f>
        <v>0</v>
      </c>
      <c r="USV4">
        <f>Database!UTO28</f>
        <v>0</v>
      </c>
      <c r="USW4">
        <f>Database!UTP28</f>
        <v>0</v>
      </c>
      <c r="USX4">
        <f>Database!UTQ28</f>
        <v>0</v>
      </c>
      <c r="USY4">
        <f>Database!UTR28</f>
        <v>0</v>
      </c>
      <c r="USZ4">
        <f>Database!UTS28</f>
        <v>0</v>
      </c>
      <c r="UTA4">
        <f>Database!UTT28</f>
        <v>0</v>
      </c>
      <c r="UTB4">
        <f>Database!UTU28</f>
        <v>0</v>
      </c>
      <c r="UTC4">
        <f>Database!UTV28</f>
        <v>0</v>
      </c>
      <c r="UTD4">
        <f>Database!UTW28</f>
        <v>0</v>
      </c>
      <c r="UTE4">
        <f>Database!UTX28</f>
        <v>0</v>
      </c>
      <c r="UTF4">
        <f>Database!UTY28</f>
        <v>0</v>
      </c>
      <c r="UTG4">
        <f>Database!UTZ28</f>
        <v>0</v>
      </c>
      <c r="UTH4">
        <f>Database!UUA28</f>
        <v>0</v>
      </c>
      <c r="UTI4">
        <f>Database!UUB28</f>
        <v>0</v>
      </c>
      <c r="UTJ4">
        <f>Database!UUC28</f>
        <v>0</v>
      </c>
      <c r="UTK4">
        <f>Database!UUD28</f>
        <v>0</v>
      </c>
      <c r="UTL4">
        <f>Database!UUE28</f>
        <v>0</v>
      </c>
      <c r="UTM4">
        <f>Database!UUF28</f>
        <v>0</v>
      </c>
      <c r="UTN4">
        <f>Database!UUG28</f>
        <v>0</v>
      </c>
      <c r="UTO4">
        <f>Database!UUH28</f>
        <v>0</v>
      </c>
      <c r="UTP4">
        <f>Database!UUI28</f>
        <v>0</v>
      </c>
      <c r="UTQ4">
        <f>Database!UUJ28</f>
        <v>0</v>
      </c>
      <c r="UTR4">
        <f>Database!UUK28</f>
        <v>0</v>
      </c>
      <c r="UTS4">
        <f>Database!UUL28</f>
        <v>0</v>
      </c>
      <c r="UTT4">
        <f>Database!UUM28</f>
        <v>0</v>
      </c>
      <c r="UTU4">
        <f>Database!UUN28</f>
        <v>0</v>
      </c>
      <c r="UTV4">
        <f>Database!UUO28</f>
        <v>0</v>
      </c>
      <c r="UTW4">
        <f>Database!UUP28</f>
        <v>0</v>
      </c>
      <c r="UTX4">
        <f>Database!UUQ28</f>
        <v>0</v>
      </c>
      <c r="UTY4">
        <f>Database!UUR28</f>
        <v>0</v>
      </c>
      <c r="UTZ4">
        <f>Database!UUS28</f>
        <v>0</v>
      </c>
      <c r="UUA4">
        <f>Database!UUT28</f>
        <v>0</v>
      </c>
      <c r="UUB4">
        <f>Database!UUU28</f>
        <v>0</v>
      </c>
      <c r="UUC4">
        <f>Database!UUV28</f>
        <v>0</v>
      </c>
      <c r="UUD4">
        <f>Database!UUW28</f>
        <v>0</v>
      </c>
      <c r="UUE4">
        <f>Database!UUX28</f>
        <v>0</v>
      </c>
      <c r="UUF4">
        <f>Database!UUY28</f>
        <v>0</v>
      </c>
      <c r="UUG4">
        <f>Database!UUZ28</f>
        <v>0</v>
      </c>
      <c r="UUH4">
        <f>Database!UVA28</f>
        <v>0</v>
      </c>
      <c r="UUI4">
        <f>Database!UVB28</f>
        <v>0</v>
      </c>
      <c r="UUJ4">
        <f>Database!UVC28</f>
        <v>0</v>
      </c>
      <c r="UUK4">
        <f>Database!UVD28</f>
        <v>0</v>
      </c>
      <c r="UUL4">
        <f>Database!UVE28</f>
        <v>0</v>
      </c>
      <c r="UUM4">
        <f>Database!UVF28</f>
        <v>0</v>
      </c>
      <c r="UUN4">
        <f>Database!UVG28</f>
        <v>0</v>
      </c>
      <c r="UUO4">
        <f>Database!UVH28</f>
        <v>0</v>
      </c>
      <c r="UUP4">
        <f>Database!UVI28</f>
        <v>0</v>
      </c>
      <c r="UUQ4">
        <f>Database!UVJ28</f>
        <v>0</v>
      </c>
      <c r="UUR4">
        <f>Database!UVK28</f>
        <v>0</v>
      </c>
      <c r="UUS4">
        <f>Database!UVL28</f>
        <v>0</v>
      </c>
      <c r="UUT4">
        <f>Database!UVM28</f>
        <v>0</v>
      </c>
      <c r="UUU4">
        <f>Database!UVN28</f>
        <v>0</v>
      </c>
      <c r="UUV4">
        <f>Database!UVO28</f>
        <v>0</v>
      </c>
      <c r="UUW4">
        <f>Database!UVP28</f>
        <v>0</v>
      </c>
      <c r="UUX4">
        <f>Database!UVQ28</f>
        <v>0</v>
      </c>
      <c r="UUY4">
        <f>Database!UVR28</f>
        <v>0</v>
      </c>
      <c r="UUZ4">
        <f>Database!UVS28</f>
        <v>0</v>
      </c>
      <c r="UVA4">
        <f>Database!UVT28</f>
        <v>0</v>
      </c>
      <c r="UVB4">
        <f>Database!UVU28</f>
        <v>0</v>
      </c>
      <c r="UVC4">
        <f>Database!UVV28</f>
        <v>0</v>
      </c>
      <c r="UVD4">
        <f>Database!UVW28</f>
        <v>0</v>
      </c>
      <c r="UVE4">
        <f>Database!UVX28</f>
        <v>0</v>
      </c>
      <c r="UVF4">
        <f>Database!UVY28</f>
        <v>0</v>
      </c>
      <c r="UVG4">
        <f>Database!UVZ28</f>
        <v>0</v>
      </c>
      <c r="UVH4">
        <f>Database!UWA28</f>
        <v>0</v>
      </c>
      <c r="UVI4">
        <f>Database!UWB28</f>
        <v>0</v>
      </c>
      <c r="UVJ4">
        <f>Database!UWC28</f>
        <v>0</v>
      </c>
      <c r="UVK4">
        <f>Database!UWD28</f>
        <v>0</v>
      </c>
      <c r="UVL4">
        <f>Database!UWE28</f>
        <v>0</v>
      </c>
      <c r="UVM4">
        <f>Database!UWF28</f>
        <v>0</v>
      </c>
      <c r="UVN4">
        <f>Database!UWG28</f>
        <v>0</v>
      </c>
      <c r="UVO4">
        <f>Database!UWH28</f>
        <v>0</v>
      </c>
      <c r="UVP4">
        <f>Database!UWI28</f>
        <v>0</v>
      </c>
      <c r="UVQ4">
        <f>Database!UWJ28</f>
        <v>0</v>
      </c>
      <c r="UVR4">
        <f>Database!UWK28</f>
        <v>0</v>
      </c>
      <c r="UVS4">
        <f>Database!UWL28</f>
        <v>0</v>
      </c>
      <c r="UVT4">
        <f>Database!UWM28</f>
        <v>0</v>
      </c>
      <c r="UVU4">
        <f>Database!UWN28</f>
        <v>0</v>
      </c>
      <c r="UVV4">
        <f>Database!UWO28</f>
        <v>0</v>
      </c>
      <c r="UVW4">
        <f>Database!UWP28</f>
        <v>0</v>
      </c>
      <c r="UVX4">
        <f>Database!UWQ28</f>
        <v>0</v>
      </c>
      <c r="UVY4">
        <f>Database!UWR28</f>
        <v>0</v>
      </c>
      <c r="UVZ4">
        <f>Database!UWS28</f>
        <v>0</v>
      </c>
      <c r="UWA4">
        <f>Database!UWT28</f>
        <v>0</v>
      </c>
      <c r="UWB4">
        <f>Database!UWU28</f>
        <v>0</v>
      </c>
      <c r="UWC4">
        <f>Database!UWV28</f>
        <v>0</v>
      </c>
      <c r="UWD4">
        <f>Database!UWW28</f>
        <v>0</v>
      </c>
      <c r="UWE4">
        <f>Database!UWX28</f>
        <v>0</v>
      </c>
      <c r="UWF4">
        <f>Database!UWY28</f>
        <v>0</v>
      </c>
      <c r="UWG4">
        <f>Database!UWZ28</f>
        <v>0</v>
      </c>
      <c r="UWH4">
        <f>Database!UXA28</f>
        <v>0</v>
      </c>
      <c r="UWI4">
        <f>Database!UXB28</f>
        <v>0</v>
      </c>
      <c r="UWJ4">
        <f>Database!UXC28</f>
        <v>0</v>
      </c>
      <c r="UWK4">
        <f>Database!UXD28</f>
        <v>0</v>
      </c>
      <c r="UWL4">
        <f>Database!UXE28</f>
        <v>0</v>
      </c>
      <c r="UWM4">
        <f>Database!UXF28</f>
        <v>0</v>
      </c>
      <c r="UWN4">
        <f>Database!UXG28</f>
        <v>0</v>
      </c>
      <c r="UWO4">
        <f>Database!UXH28</f>
        <v>0</v>
      </c>
      <c r="UWP4">
        <f>Database!UXI28</f>
        <v>0</v>
      </c>
      <c r="UWQ4">
        <f>Database!UXJ28</f>
        <v>0</v>
      </c>
      <c r="UWR4">
        <f>Database!UXK28</f>
        <v>0</v>
      </c>
      <c r="UWS4">
        <f>Database!UXL28</f>
        <v>0</v>
      </c>
      <c r="UWT4">
        <f>Database!UXM28</f>
        <v>0</v>
      </c>
      <c r="UWU4">
        <f>Database!UXN28</f>
        <v>0</v>
      </c>
      <c r="UWV4">
        <f>Database!UXO28</f>
        <v>0</v>
      </c>
      <c r="UWW4">
        <f>Database!UXP28</f>
        <v>0</v>
      </c>
      <c r="UWX4">
        <f>Database!UXQ28</f>
        <v>0</v>
      </c>
      <c r="UWY4">
        <f>Database!UXR28</f>
        <v>0</v>
      </c>
      <c r="UWZ4">
        <f>Database!UXS28</f>
        <v>0</v>
      </c>
      <c r="UXA4">
        <f>Database!UXT28</f>
        <v>0</v>
      </c>
      <c r="UXB4">
        <f>Database!UXU28</f>
        <v>0</v>
      </c>
      <c r="UXC4">
        <f>Database!UXV28</f>
        <v>0</v>
      </c>
      <c r="UXD4">
        <f>Database!UXW28</f>
        <v>0</v>
      </c>
      <c r="UXE4">
        <f>Database!UXX28</f>
        <v>0</v>
      </c>
      <c r="UXF4">
        <f>Database!UXY28</f>
        <v>0</v>
      </c>
      <c r="UXG4">
        <f>Database!UXZ28</f>
        <v>0</v>
      </c>
      <c r="UXH4">
        <f>Database!UYA28</f>
        <v>0</v>
      </c>
      <c r="UXI4">
        <f>Database!UYB28</f>
        <v>0</v>
      </c>
      <c r="UXJ4">
        <f>Database!UYC28</f>
        <v>0</v>
      </c>
      <c r="UXK4">
        <f>Database!UYD28</f>
        <v>0</v>
      </c>
      <c r="UXL4">
        <f>Database!UYE28</f>
        <v>0</v>
      </c>
      <c r="UXM4">
        <f>Database!UYF28</f>
        <v>0</v>
      </c>
      <c r="UXN4">
        <f>Database!UYG28</f>
        <v>0</v>
      </c>
      <c r="UXO4">
        <f>Database!UYH28</f>
        <v>0</v>
      </c>
      <c r="UXP4">
        <f>Database!UYI28</f>
        <v>0</v>
      </c>
      <c r="UXQ4">
        <f>Database!UYJ28</f>
        <v>0</v>
      </c>
      <c r="UXR4">
        <f>Database!UYK28</f>
        <v>0</v>
      </c>
      <c r="UXS4">
        <f>Database!UYL28</f>
        <v>0</v>
      </c>
      <c r="UXT4">
        <f>Database!UYM28</f>
        <v>0</v>
      </c>
      <c r="UXU4">
        <f>Database!UYN28</f>
        <v>0</v>
      </c>
      <c r="UXV4">
        <f>Database!UYO28</f>
        <v>0</v>
      </c>
      <c r="UXW4">
        <f>Database!UYP28</f>
        <v>0</v>
      </c>
      <c r="UXX4">
        <f>Database!UYQ28</f>
        <v>0</v>
      </c>
      <c r="UXY4">
        <f>Database!UYR28</f>
        <v>0</v>
      </c>
      <c r="UXZ4">
        <f>Database!UYS28</f>
        <v>0</v>
      </c>
      <c r="UYA4">
        <f>Database!UYT28</f>
        <v>0</v>
      </c>
      <c r="UYB4">
        <f>Database!UYU28</f>
        <v>0</v>
      </c>
      <c r="UYC4">
        <f>Database!UYV28</f>
        <v>0</v>
      </c>
      <c r="UYD4">
        <f>Database!UYW28</f>
        <v>0</v>
      </c>
      <c r="UYE4">
        <f>Database!UYX28</f>
        <v>0</v>
      </c>
      <c r="UYF4">
        <f>Database!UYY28</f>
        <v>0</v>
      </c>
      <c r="UYG4">
        <f>Database!UYZ28</f>
        <v>0</v>
      </c>
      <c r="UYH4">
        <f>Database!UZA28</f>
        <v>0</v>
      </c>
      <c r="UYI4">
        <f>Database!UZB28</f>
        <v>0</v>
      </c>
      <c r="UYJ4">
        <f>Database!UZC28</f>
        <v>0</v>
      </c>
      <c r="UYK4">
        <f>Database!UZD28</f>
        <v>0</v>
      </c>
      <c r="UYL4">
        <f>Database!UZE28</f>
        <v>0</v>
      </c>
      <c r="UYM4">
        <f>Database!UZF28</f>
        <v>0</v>
      </c>
      <c r="UYN4">
        <f>Database!UZG28</f>
        <v>0</v>
      </c>
      <c r="UYO4">
        <f>Database!UZH28</f>
        <v>0</v>
      </c>
      <c r="UYP4">
        <f>Database!UZI28</f>
        <v>0</v>
      </c>
      <c r="UYQ4">
        <f>Database!UZJ28</f>
        <v>0</v>
      </c>
      <c r="UYR4">
        <f>Database!UZK28</f>
        <v>0</v>
      </c>
      <c r="UYS4">
        <f>Database!UZL28</f>
        <v>0</v>
      </c>
      <c r="UYT4">
        <f>Database!UZM28</f>
        <v>0</v>
      </c>
      <c r="UYU4">
        <f>Database!UZN28</f>
        <v>0</v>
      </c>
      <c r="UYV4">
        <f>Database!UZO28</f>
        <v>0</v>
      </c>
      <c r="UYW4">
        <f>Database!UZP28</f>
        <v>0</v>
      </c>
      <c r="UYX4">
        <f>Database!UZQ28</f>
        <v>0</v>
      </c>
      <c r="UYY4">
        <f>Database!UZR28</f>
        <v>0</v>
      </c>
      <c r="UYZ4">
        <f>Database!UZS28</f>
        <v>0</v>
      </c>
      <c r="UZA4">
        <f>Database!UZT28</f>
        <v>0</v>
      </c>
      <c r="UZB4">
        <f>Database!UZU28</f>
        <v>0</v>
      </c>
      <c r="UZC4">
        <f>Database!UZV28</f>
        <v>0</v>
      </c>
      <c r="UZD4">
        <f>Database!UZW28</f>
        <v>0</v>
      </c>
      <c r="UZE4">
        <f>Database!UZX28</f>
        <v>0</v>
      </c>
      <c r="UZF4">
        <f>Database!UZY28</f>
        <v>0</v>
      </c>
      <c r="UZG4">
        <f>Database!UZZ28</f>
        <v>0</v>
      </c>
      <c r="UZH4">
        <f>Database!VAA28</f>
        <v>0</v>
      </c>
      <c r="UZI4">
        <f>Database!VAB28</f>
        <v>0</v>
      </c>
      <c r="UZJ4">
        <f>Database!VAC28</f>
        <v>0</v>
      </c>
      <c r="UZK4">
        <f>Database!VAD28</f>
        <v>0</v>
      </c>
      <c r="UZL4">
        <f>Database!VAE28</f>
        <v>0</v>
      </c>
      <c r="UZM4">
        <f>Database!VAF28</f>
        <v>0</v>
      </c>
      <c r="UZN4">
        <f>Database!VAG28</f>
        <v>0</v>
      </c>
      <c r="UZO4">
        <f>Database!VAH28</f>
        <v>0</v>
      </c>
      <c r="UZP4">
        <f>Database!VAI28</f>
        <v>0</v>
      </c>
      <c r="UZQ4">
        <f>Database!VAJ28</f>
        <v>0</v>
      </c>
      <c r="UZR4">
        <f>Database!VAK28</f>
        <v>0</v>
      </c>
      <c r="UZS4">
        <f>Database!VAL28</f>
        <v>0</v>
      </c>
      <c r="UZT4">
        <f>Database!VAM28</f>
        <v>0</v>
      </c>
      <c r="UZU4">
        <f>Database!VAN28</f>
        <v>0</v>
      </c>
      <c r="UZV4">
        <f>Database!VAO28</f>
        <v>0</v>
      </c>
      <c r="UZW4">
        <f>Database!VAP28</f>
        <v>0</v>
      </c>
      <c r="UZX4">
        <f>Database!VAQ28</f>
        <v>0</v>
      </c>
      <c r="UZY4">
        <f>Database!VAR28</f>
        <v>0</v>
      </c>
      <c r="UZZ4">
        <f>Database!VAS28</f>
        <v>0</v>
      </c>
      <c r="VAA4">
        <f>Database!VAT28</f>
        <v>0</v>
      </c>
      <c r="VAB4">
        <f>Database!VAU28</f>
        <v>0</v>
      </c>
      <c r="VAC4">
        <f>Database!VAV28</f>
        <v>0</v>
      </c>
      <c r="VAD4">
        <f>Database!VAW28</f>
        <v>0</v>
      </c>
      <c r="VAE4">
        <f>Database!VAX28</f>
        <v>0</v>
      </c>
      <c r="VAF4">
        <f>Database!VAY28</f>
        <v>0</v>
      </c>
      <c r="VAG4">
        <f>Database!VAZ28</f>
        <v>0</v>
      </c>
      <c r="VAH4">
        <f>Database!VBA28</f>
        <v>0</v>
      </c>
      <c r="VAI4">
        <f>Database!VBB28</f>
        <v>0</v>
      </c>
      <c r="VAJ4">
        <f>Database!VBC28</f>
        <v>0</v>
      </c>
      <c r="VAK4">
        <f>Database!VBD28</f>
        <v>0</v>
      </c>
      <c r="VAL4">
        <f>Database!VBE28</f>
        <v>0</v>
      </c>
      <c r="VAM4">
        <f>Database!VBF28</f>
        <v>0</v>
      </c>
      <c r="VAN4">
        <f>Database!VBG28</f>
        <v>0</v>
      </c>
      <c r="VAO4">
        <f>Database!VBH28</f>
        <v>0</v>
      </c>
      <c r="VAP4">
        <f>Database!VBI28</f>
        <v>0</v>
      </c>
      <c r="VAQ4">
        <f>Database!VBJ28</f>
        <v>0</v>
      </c>
      <c r="VAR4">
        <f>Database!VBK28</f>
        <v>0</v>
      </c>
      <c r="VAS4">
        <f>Database!VBL28</f>
        <v>0</v>
      </c>
      <c r="VAT4">
        <f>Database!VBM28</f>
        <v>0</v>
      </c>
      <c r="VAU4">
        <f>Database!VBN28</f>
        <v>0</v>
      </c>
      <c r="VAV4">
        <f>Database!VBO28</f>
        <v>0</v>
      </c>
      <c r="VAW4">
        <f>Database!VBP28</f>
        <v>0</v>
      </c>
      <c r="VAX4">
        <f>Database!VBQ28</f>
        <v>0</v>
      </c>
      <c r="VAY4">
        <f>Database!VBR28</f>
        <v>0</v>
      </c>
      <c r="VAZ4">
        <f>Database!VBS28</f>
        <v>0</v>
      </c>
      <c r="VBA4">
        <f>Database!VBT28</f>
        <v>0</v>
      </c>
      <c r="VBB4">
        <f>Database!VBU28</f>
        <v>0</v>
      </c>
      <c r="VBC4">
        <f>Database!VBV28</f>
        <v>0</v>
      </c>
      <c r="VBD4">
        <f>Database!VBW28</f>
        <v>0</v>
      </c>
      <c r="VBE4">
        <f>Database!VBX28</f>
        <v>0</v>
      </c>
      <c r="VBF4">
        <f>Database!VBY28</f>
        <v>0</v>
      </c>
      <c r="VBG4">
        <f>Database!VBZ28</f>
        <v>0</v>
      </c>
      <c r="VBH4">
        <f>Database!VCA28</f>
        <v>0</v>
      </c>
      <c r="VBI4">
        <f>Database!VCB28</f>
        <v>0</v>
      </c>
      <c r="VBJ4">
        <f>Database!VCC28</f>
        <v>0</v>
      </c>
      <c r="VBK4">
        <f>Database!VCD28</f>
        <v>0</v>
      </c>
      <c r="VBL4">
        <f>Database!VCE28</f>
        <v>0</v>
      </c>
      <c r="VBM4">
        <f>Database!VCF28</f>
        <v>0</v>
      </c>
      <c r="VBN4">
        <f>Database!VCG28</f>
        <v>0</v>
      </c>
      <c r="VBO4">
        <f>Database!VCH28</f>
        <v>0</v>
      </c>
      <c r="VBP4">
        <f>Database!VCI28</f>
        <v>0</v>
      </c>
      <c r="VBQ4">
        <f>Database!VCJ28</f>
        <v>0</v>
      </c>
      <c r="VBR4">
        <f>Database!VCK28</f>
        <v>0</v>
      </c>
      <c r="VBS4">
        <f>Database!VCL28</f>
        <v>0</v>
      </c>
      <c r="VBT4">
        <f>Database!VCM28</f>
        <v>0</v>
      </c>
      <c r="VBU4">
        <f>Database!VCN28</f>
        <v>0</v>
      </c>
      <c r="VBV4">
        <f>Database!VCO28</f>
        <v>0</v>
      </c>
      <c r="VBW4">
        <f>Database!VCP28</f>
        <v>0</v>
      </c>
      <c r="VBX4">
        <f>Database!VCQ28</f>
        <v>0</v>
      </c>
      <c r="VBY4">
        <f>Database!VCR28</f>
        <v>0</v>
      </c>
      <c r="VBZ4">
        <f>Database!VCS28</f>
        <v>0</v>
      </c>
      <c r="VCA4">
        <f>Database!VCT28</f>
        <v>0</v>
      </c>
      <c r="VCB4">
        <f>Database!VCU28</f>
        <v>0</v>
      </c>
      <c r="VCC4">
        <f>Database!VCV28</f>
        <v>0</v>
      </c>
      <c r="VCD4">
        <f>Database!VCW28</f>
        <v>0</v>
      </c>
      <c r="VCE4">
        <f>Database!VCX28</f>
        <v>0</v>
      </c>
      <c r="VCF4">
        <f>Database!VCY28</f>
        <v>0</v>
      </c>
      <c r="VCG4">
        <f>Database!VCZ28</f>
        <v>0</v>
      </c>
      <c r="VCH4">
        <f>Database!VDA28</f>
        <v>0</v>
      </c>
      <c r="VCI4">
        <f>Database!VDB28</f>
        <v>0</v>
      </c>
      <c r="VCJ4">
        <f>Database!VDC28</f>
        <v>0</v>
      </c>
      <c r="VCK4">
        <f>Database!VDD28</f>
        <v>0</v>
      </c>
      <c r="VCL4">
        <f>Database!VDE28</f>
        <v>0</v>
      </c>
      <c r="VCM4">
        <f>Database!VDF28</f>
        <v>0</v>
      </c>
      <c r="VCN4">
        <f>Database!VDG28</f>
        <v>0</v>
      </c>
      <c r="VCO4">
        <f>Database!VDH28</f>
        <v>0</v>
      </c>
      <c r="VCP4">
        <f>Database!VDI28</f>
        <v>0</v>
      </c>
      <c r="VCQ4">
        <f>Database!VDJ28</f>
        <v>0</v>
      </c>
      <c r="VCR4">
        <f>Database!VDK28</f>
        <v>0</v>
      </c>
      <c r="VCS4">
        <f>Database!VDL28</f>
        <v>0</v>
      </c>
      <c r="VCT4">
        <f>Database!VDM28</f>
        <v>0</v>
      </c>
      <c r="VCU4">
        <f>Database!VDN28</f>
        <v>0</v>
      </c>
      <c r="VCV4">
        <f>Database!VDO28</f>
        <v>0</v>
      </c>
      <c r="VCW4">
        <f>Database!VDP28</f>
        <v>0</v>
      </c>
      <c r="VCX4">
        <f>Database!VDQ28</f>
        <v>0</v>
      </c>
      <c r="VCY4">
        <f>Database!VDR28</f>
        <v>0</v>
      </c>
      <c r="VCZ4">
        <f>Database!VDS28</f>
        <v>0</v>
      </c>
      <c r="VDA4">
        <f>Database!VDT28</f>
        <v>0</v>
      </c>
      <c r="VDB4">
        <f>Database!VDU28</f>
        <v>0</v>
      </c>
      <c r="VDC4">
        <f>Database!VDV28</f>
        <v>0</v>
      </c>
      <c r="VDD4">
        <f>Database!VDW28</f>
        <v>0</v>
      </c>
      <c r="VDE4">
        <f>Database!VDX28</f>
        <v>0</v>
      </c>
      <c r="VDF4">
        <f>Database!VDY28</f>
        <v>0</v>
      </c>
      <c r="VDG4">
        <f>Database!VDZ28</f>
        <v>0</v>
      </c>
      <c r="VDH4">
        <f>Database!VEA28</f>
        <v>0</v>
      </c>
      <c r="VDI4">
        <f>Database!VEB28</f>
        <v>0</v>
      </c>
      <c r="VDJ4">
        <f>Database!VEC28</f>
        <v>0</v>
      </c>
      <c r="VDK4">
        <f>Database!VED28</f>
        <v>0</v>
      </c>
      <c r="VDL4">
        <f>Database!VEE28</f>
        <v>0</v>
      </c>
      <c r="VDM4">
        <f>Database!VEF28</f>
        <v>0</v>
      </c>
      <c r="VDN4">
        <f>Database!VEG28</f>
        <v>0</v>
      </c>
      <c r="VDO4">
        <f>Database!VEH28</f>
        <v>0</v>
      </c>
      <c r="VDP4">
        <f>Database!VEI28</f>
        <v>0</v>
      </c>
      <c r="VDQ4">
        <f>Database!VEJ28</f>
        <v>0</v>
      </c>
      <c r="VDR4">
        <f>Database!VEK28</f>
        <v>0</v>
      </c>
      <c r="VDS4">
        <f>Database!VEL28</f>
        <v>0</v>
      </c>
      <c r="VDT4">
        <f>Database!VEM28</f>
        <v>0</v>
      </c>
      <c r="VDU4">
        <f>Database!VEN28</f>
        <v>0</v>
      </c>
      <c r="VDV4">
        <f>Database!VEO28</f>
        <v>0</v>
      </c>
      <c r="VDW4">
        <f>Database!VEP28</f>
        <v>0</v>
      </c>
      <c r="VDX4">
        <f>Database!VEQ28</f>
        <v>0</v>
      </c>
      <c r="VDY4">
        <f>Database!VER28</f>
        <v>0</v>
      </c>
      <c r="VDZ4">
        <f>Database!VES28</f>
        <v>0</v>
      </c>
      <c r="VEA4">
        <f>Database!VET28</f>
        <v>0</v>
      </c>
      <c r="VEB4">
        <f>Database!VEU28</f>
        <v>0</v>
      </c>
      <c r="VEC4">
        <f>Database!VEV28</f>
        <v>0</v>
      </c>
      <c r="VED4">
        <f>Database!VEW28</f>
        <v>0</v>
      </c>
      <c r="VEE4">
        <f>Database!VEX28</f>
        <v>0</v>
      </c>
      <c r="VEF4">
        <f>Database!VEY28</f>
        <v>0</v>
      </c>
      <c r="VEG4">
        <f>Database!VEZ28</f>
        <v>0</v>
      </c>
      <c r="VEH4">
        <f>Database!VFA28</f>
        <v>0</v>
      </c>
      <c r="VEI4">
        <f>Database!VFB28</f>
        <v>0</v>
      </c>
      <c r="VEJ4">
        <f>Database!VFC28</f>
        <v>0</v>
      </c>
      <c r="VEK4">
        <f>Database!VFD28</f>
        <v>0</v>
      </c>
      <c r="VEL4">
        <f>Database!VFE28</f>
        <v>0</v>
      </c>
      <c r="VEM4">
        <f>Database!VFF28</f>
        <v>0</v>
      </c>
      <c r="VEN4">
        <f>Database!VFG28</f>
        <v>0</v>
      </c>
      <c r="VEO4">
        <f>Database!VFH28</f>
        <v>0</v>
      </c>
      <c r="VEP4">
        <f>Database!VFI28</f>
        <v>0</v>
      </c>
      <c r="VEQ4">
        <f>Database!VFJ28</f>
        <v>0</v>
      </c>
      <c r="VER4">
        <f>Database!VFK28</f>
        <v>0</v>
      </c>
      <c r="VES4">
        <f>Database!VFL28</f>
        <v>0</v>
      </c>
      <c r="VET4">
        <f>Database!VFM28</f>
        <v>0</v>
      </c>
      <c r="VEU4">
        <f>Database!VFN28</f>
        <v>0</v>
      </c>
      <c r="VEV4">
        <f>Database!VFO28</f>
        <v>0</v>
      </c>
      <c r="VEW4">
        <f>Database!VFP28</f>
        <v>0</v>
      </c>
      <c r="VEX4">
        <f>Database!VFQ28</f>
        <v>0</v>
      </c>
      <c r="VEY4">
        <f>Database!VFR28</f>
        <v>0</v>
      </c>
      <c r="VEZ4">
        <f>Database!VFS28</f>
        <v>0</v>
      </c>
      <c r="VFA4">
        <f>Database!VFT28</f>
        <v>0</v>
      </c>
      <c r="VFB4">
        <f>Database!VFU28</f>
        <v>0</v>
      </c>
      <c r="VFC4">
        <f>Database!VFV28</f>
        <v>0</v>
      </c>
      <c r="VFD4">
        <f>Database!VFW28</f>
        <v>0</v>
      </c>
      <c r="VFE4">
        <f>Database!VFX28</f>
        <v>0</v>
      </c>
      <c r="VFF4">
        <f>Database!VFY28</f>
        <v>0</v>
      </c>
      <c r="VFG4">
        <f>Database!VFZ28</f>
        <v>0</v>
      </c>
      <c r="VFH4">
        <f>Database!VGA28</f>
        <v>0</v>
      </c>
      <c r="VFI4">
        <f>Database!VGB28</f>
        <v>0</v>
      </c>
      <c r="VFJ4">
        <f>Database!VGC28</f>
        <v>0</v>
      </c>
      <c r="VFK4">
        <f>Database!VGD28</f>
        <v>0</v>
      </c>
      <c r="VFL4">
        <f>Database!VGE28</f>
        <v>0</v>
      </c>
      <c r="VFM4">
        <f>Database!VGF28</f>
        <v>0</v>
      </c>
      <c r="VFN4">
        <f>Database!VGG28</f>
        <v>0</v>
      </c>
      <c r="VFO4">
        <f>Database!VGH28</f>
        <v>0</v>
      </c>
      <c r="VFP4">
        <f>Database!VGI28</f>
        <v>0</v>
      </c>
      <c r="VFQ4">
        <f>Database!VGJ28</f>
        <v>0</v>
      </c>
      <c r="VFR4">
        <f>Database!VGK28</f>
        <v>0</v>
      </c>
      <c r="VFS4">
        <f>Database!VGL28</f>
        <v>0</v>
      </c>
      <c r="VFT4">
        <f>Database!VGM28</f>
        <v>0</v>
      </c>
      <c r="VFU4">
        <f>Database!VGN28</f>
        <v>0</v>
      </c>
      <c r="VFV4">
        <f>Database!VGO28</f>
        <v>0</v>
      </c>
      <c r="VFW4">
        <f>Database!VGP28</f>
        <v>0</v>
      </c>
      <c r="VFX4">
        <f>Database!VGQ28</f>
        <v>0</v>
      </c>
      <c r="VFY4">
        <f>Database!VGR28</f>
        <v>0</v>
      </c>
      <c r="VFZ4">
        <f>Database!VGS28</f>
        <v>0</v>
      </c>
      <c r="VGA4">
        <f>Database!VGT28</f>
        <v>0</v>
      </c>
      <c r="VGB4">
        <f>Database!VGU28</f>
        <v>0</v>
      </c>
      <c r="VGC4">
        <f>Database!VGV28</f>
        <v>0</v>
      </c>
      <c r="VGD4">
        <f>Database!VGW28</f>
        <v>0</v>
      </c>
      <c r="VGE4">
        <f>Database!VGX28</f>
        <v>0</v>
      </c>
      <c r="VGF4">
        <f>Database!VGY28</f>
        <v>0</v>
      </c>
      <c r="VGG4">
        <f>Database!VGZ28</f>
        <v>0</v>
      </c>
      <c r="VGH4">
        <f>Database!VHA28</f>
        <v>0</v>
      </c>
      <c r="VGI4">
        <f>Database!VHB28</f>
        <v>0</v>
      </c>
      <c r="VGJ4">
        <f>Database!VHC28</f>
        <v>0</v>
      </c>
      <c r="VGK4">
        <f>Database!VHD28</f>
        <v>0</v>
      </c>
      <c r="VGL4">
        <f>Database!VHE28</f>
        <v>0</v>
      </c>
      <c r="VGM4">
        <f>Database!VHF28</f>
        <v>0</v>
      </c>
      <c r="VGN4">
        <f>Database!VHG28</f>
        <v>0</v>
      </c>
      <c r="VGO4">
        <f>Database!VHH28</f>
        <v>0</v>
      </c>
      <c r="VGP4">
        <f>Database!VHI28</f>
        <v>0</v>
      </c>
      <c r="VGQ4">
        <f>Database!VHJ28</f>
        <v>0</v>
      </c>
      <c r="VGR4">
        <f>Database!VHK28</f>
        <v>0</v>
      </c>
      <c r="VGS4">
        <f>Database!VHL28</f>
        <v>0</v>
      </c>
      <c r="VGT4">
        <f>Database!VHM28</f>
        <v>0</v>
      </c>
      <c r="VGU4">
        <f>Database!VHN28</f>
        <v>0</v>
      </c>
      <c r="VGV4">
        <f>Database!VHO28</f>
        <v>0</v>
      </c>
      <c r="VGW4">
        <f>Database!VHP28</f>
        <v>0</v>
      </c>
      <c r="VGX4">
        <f>Database!VHQ28</f>
        <v>0</v>
      </c>
      <c r="VGY4">
        <f>Database!VHR28</f>
        <v>0</v>
      </c>
      <c r="VGZ4">
        <f>Database!VHS28</f>
        <v>0</v>
      </c>
      <c r="VHA4">
        <f>Database!VHT28</f>
        <v>0</v>
      </c>
      <c r="VHB4">
        <f>Database!VHU28</f>
        <v>0</v>
      </c>
      <c r="VHC4">
        <f>Database!VHV28</f>
        <v>0</v>
      </c>
      <c r="VHD4">
        <f>Database!VHW28</f>
        <v>0</v>
      </c>
      <c r="VHE4">
        <f>Database!VHX28</f>
        <v>0</v>
      </c>
      <c r="VHF4">
        <f>Database!VHY28</f>
        <v>0</v>
      </c>
      <c r="VHG4">
        <f>Database!VHZ28</f>
        <v>0</v>
      </c>
      <c r="VHH4">
        <f>Database!VIA28</f>
        <v>0</v>
      </c>
      <c r="VHI4">
        <f>Database!VIB28</f>
        <v>0</v>
      </c>
      <c r="VHJ4">
        <f>Database!VIC28</f>
        <v>0</v>
      </c>
      <c r="VHK4">
        <f>Database!VID28</f>
        <v>0</v>
      </c>
      <c r="VHL4">
        <f>Database!VIE28</f>
        <v>0</v>
      </c>
      <c r="VHM4">
        <f>Database!VIF28</f>
        <v>0</v>
      </c>
      <c r="VHN4">
        <f>Database!VIG28</f>
        <v>0</v>
      </c>
      <c r="VHO4">
        <f>Database!VIH28</f>
        <v>0</v>
      </c>
      <c r="VHP4">
        <f>Database!VII28</f>
        <v>0</v>
      </c>
      <c r="VHQ4">
        <f>Database!VIJ28</f>
        <v>0</v>
      </c>
      <c r="VHR4">
        <f>Database!VIK28</f>
        <v>0</v>
      </c>
      <c r="VHS4">
        <f>Database!VIL28</f>
        <v>0</v>
      </c>
      <c r="VHT4">
        <f>Database!VIM28</f>
        <v>0</v>
      </c>
      <c r="VHU4">
        <f>Database!VIN28</f>
        <v>0</v>
      </c>
      <c r="VHV4">
        <f>Database!VIO28</f>
        <v>0</v>
      </c>
      <c r="VHW4">
        <f>Database!VIP28</f>
        <v>0</v>
      </c>
      <c r="VHX4">
        <f>Database!VIQ28</f>
        <v>0</v>
      </c>
      <c r="VHY4">
        <f>Database!VIR28</f>
        <v>0</v>
      </c>
      <c r="VHZ4">
        <f>Database!VIS28</f>
        <v>0</v>
      </c>
      <c r="VIA4">
        <f>Database!VIT28</f>
        <v>0</v>
      </c>
      <c r="VIB4">
        <f>Database!VIU28</f>
        <v>0</v>
      </c>
      <c r="VIC4">
        <f>Database!VIV28</f>
        <v>0</v>
      </c>
      <c r="VID4">
        <f>Database!VIW28</f>
        <v>0</v>
      </c>
      <c r="VIE4">
        <f>Database!VIX28</f>
        <v>0</v>
      </c>
      <c r="VIF4">
        <f>Database!VIY28</f>
        <v>0</v>
      </c>
      <c r="VIG4">
        <f>Database!VIZ28</f>
        <v>0</v>
      </c>
      <c r="VIH4">
        <f>Database!VJA28</f>
        <v>0</v>
      </c>
      <c r="VII4">
        <f>Database!VJB28</f>
        <v>0</v>
      </c>
      <c r="VIJ4">
        <f>Database!VJC28</f>
        <v>0</v>
      </c>
      <c r="VIK4">
        <f>Database!VJD28</f>
        <v>0</v>
      </c>
      <c r="VIL4">
        <f>Database!VJE28</f>
        <v>0</v>
      </c>
      <c r="VIM4">
        <f>Database!VJF28</f>
        <v>0</v>
      </c>
      <c r="VIN4">
        <f>Database!VJG28</f>
        <v>0</v>
      </c>
      <c r="VIO4">
        <f>Database!VJH28</f>
        <v>0</v>
      </c>
      <c r="VIP4">
        <f>Database!VJI28</f>
        <v>0</v>
      </c>
      <c r="VIQ4">
        <f>Database!VJJ28</f>
        <v>0</v>
      </c>
      <c r="VIR4">
        <f>Database!VJK28</f>
        <v>0</v>
      </c>
      <c r="VIS4">
        <f>Database!VJL28</f>
        <v>0</v>
      </c>
      <c r="VIT4">
        <f>Database!VJM28</f>
        <v>0</v>
      </c>
      <c r="VIU4">
        <f>Database!VJN28</f>
        <v>0</v>
      </c>
      <c r="VIV4">
        <f>Database!VJO28</f>
        <v>0</v>
      </c>
      <c r="VIW4">
        <f>Database!VJP28</f>
        <v>0</v>
      </c>
      <c r="VIX4">
        <f>Database!VJQ28</f>
        <v>0</v>
      </c>
      <c r="VIY4">
        <f>Database!VJR28</f>
        <v>0</v>
      </c>
      <c r="VIZ4">
        <f>Database!VJS28</f>
        <v>0</v>
      </c>
      <c r="VJA4">
        <f>Database!VJT28</f>
        <v>0</v>
      </c>
      <c r="VJB4">
        <f>Database!VJU28</f>
        <v>0</v>
      </c>
      <c r="VJC4">
        <f>Database!VJV28</f>
        <v>0</v>
      </c>
      <c r="VJD4">
        <f>Database!VJW28</f>
        <v>0</v>
      </c>
      <c r="VJE4">
        <f>Database!VJX28</f>
        <v>0</v>
      </c>
      <c r="VJF4">
        <f>Database!VJY28</f>
        <v>0</v>
      </c>
      <c r="VJG4">
        <f>Database!VJZ28</f>
        <v>0</v>
      </c>
      <c r="VJH4">
        <f>Database!VKA28</f>
        <v>0</v>
      </c>
      <c r="VJI4">
        <f>Database!VKB28</f>
        <v>0</v>
      </c>
      <c r="VJJ4">
        <f>Database!VKC28</f>
        <v>0</v>
      </c>
      <c r="VJK4">
        <f>Database!VKD28</f>
        <v>0</v>
      </c>
      <c r="VJL4">
        <f>Database!VKE28</f>
        <v>0</v>
      </c>
      <c r="VJM4">
        <f>Database!VKF28</f>
        <v>0</v>
      </c>
      <c r="VJN4">
        <f>Database!VKG28</f>
        <v>0</v>
      </c>
      <c r="VJO4">
        <f>Database!VKH28</f>
        <v>0</v>
      </c>
      <c r="VJP4">
        <f>Database!VKI28</f>
        <v>0</v>
      </c>
      <c r="VJQ4">
        <f>Database!VKJ28</f>
        <v>0</v>
      </c>
      <c r="VJR4">
        <f>Database!VKK28</f>
        <v>0</v>
      </c>
      <c r="VJS4">
        <f>Database!VKL28</f>
        <v>0</v>
      </c>
      <c r="VJT4">
        <f>Database!VKM28</f>
        <v>0</v>
      </c>
      <c r="VJU4">
        <f>Database!VKN28</f>
        <v>0</v>
      </c>
      <c r="VJV4">
        <f>Database!VKO28</f>
        <v>0</v>
      </c>
      <c r="VJW4">
        <f>Database!VKP28</f>
        <v>0</v>
      </c>
      <c r="VJX4">
        <f>Database!VKQ28</f>
        <v>0</v>
      </c>
      <c r="VJY4">
        <f>Database!VKR28</f>
        <v>0</v>
      </c>
      <c r="VJZ4">
        <f>Database!VKS28</f>
        <v>0</v>
      </c>
      <c r="VKA4">
        <f>Database!VKT28</f>
        <v>0</v>
      </c>
      <c r="VKB4">
        <f>Database!VKU28</f>
        <v>0</v>
      </c>
      <c r="VKC4">
        <f>Database!VKV28</f>
        <v>0</v>
      </c>
      <c r="VKD4">
        <f>Database!VKW28</f>
        <v>0</v>
      </c>
      <c r="VKE4">
        <f>Database!VKX28</f>
        <v>0</v>
      </c>
      <c r="VKF4">
        <f>Database!VKY28</f>
        <v>0</v>
      </c>
      <c r="VKG4">
        <f>Database!VKZ28</f>
        <v>0</v>
      </c>
      <c r="VKH4">
        <f>Database!VLA28</f>
        <v>0</v>
      </c>
      <c r="VKI4">
        <f>Database!VLB28</f>
        <v>0</v>
      </c>
      <c r="VKJ4">
        <f>Database!VLC28</f>
        <v>0</v>
      </c>
      <c r="VKK4">
        <f>Database!VLD28</f>
        <v>0</v>
      </c>
      <c r="VKL4">
        <f>Database!VLE28</f>
        <v>0</v>
      </c>
      <c r="VKM4">
        <f>Database!VLF28</f>
        <v>0</v>
      </c>
      <c r="VKN4">
        <f>Database!VLG28</f>
        <v>0</v>
      </c>
      <c r="VKO4">
        <f>Database!VLH28</f>
        <v>0</v>
      </c>
      <c r="VKP4">
        <f>Database!VLI28</f>
        <v>0</v>
      </c>
      <c r="VKQ4">
        <f>Database!VLJ28</f>
        <v>0</v>
      </c>
      <c r="VKR4">
        <f>Database!VLK28</f>
        <v>0</v>
      </c>
      <c r="VKS4">
        <f>Database!VLL28</f>
        <v>0</v>
      </c>
      <c r="VKT4">
        <f>Database!VLM28</f>
        <v>0</v>
      </c>
      <c r="VKU4">
        <f>Database!VLN28</f>
        <v>0</v>
      </c>
      <c r="VKV4">
        <f>Database!VLO28</f>
        <v>0</v>
      </c>
      <c r="VKW4">
        <f>Database!VLP28</f>
        <v>0</v>
      </c>
      <c r="VKX4">
        <f>Database!VLQ28</f>
        <v>0</v>
      </c>
      <c r="VKY4">
        <f>Database!VLR28</f>
        <v>0</v>
      </c>
      <c r="VKZ4">
        <f>Database!VLS28</f>
        <v>0</v>
      </c>
      <c r="VLA4">
        <f>Database!VLT28</f>
        <v>0</v>
      </c>
      <c r="VLB4">
        <f>Database!VLU28</f>
        <v>0</v>
      </c>
      <c r="VLC4">
        <f>Database!VLV28</f>
        <v>0</v>
      </c>
      <c r="VLD4">
        <f>Database!VLW28</f>
        <v>0</v>
      </c>
      <c r="VLE4">
        <f>Database!VLX28</f>
        <v>0</v>
      </c>
      <c r="VLF4">
        <f>Database!VLY28</f>
        <v>0</v>
      </c>
      <c r="VLG4">
        <f>Database!VLZ28</f>
        <v>0</v>
      </c>
      <c r="VLH4">
        <f>Database!VMA28</f>
        <v>0</v>
      </c>
      <c r="VLI4">
        <f>Database!VMB28</f>
        <v>0</v>
      </c>
      <c r="VLJ4">
        <f>Database!VMC28</f>
        <v>0</v>
      </c>
      <c r="VLK4">
        <f>Database!VMD28</f>
        <v>0</v>
      </c>
      <c r="VLL4">
        <f>Database!VME28</f>
        <v>0</v>
      </c>
      <c r="VLM4">
        <f>Database!VMF28</f>
        <v>0</v>
      </c>
      <c r="VLN4">
        <f>Database!VMG28</f>
        <v>0</v>
      </c>
      <c r="VLO4">
        <f>Database!VMH28</f>
        <v>0</v>
      </c>
      <c r="VLP4">
        <f>Database!VMI28</f>
        <v>0</v>
      </c>
      <c r="VLQ4">
        <f>Database!VMJ28</f>
        <v>0</v>
      </c>
      <c r="VLR4">
        <f>Database!VMK28</f>
        <v>0</v>
      </c>
      <c r="VLS4">
        <f>Database!VML28</f>
        <v>0</v>
      </c>
      <c r="VLT4">
        <f>Database!VMM28</f>
        <v>0</v>
      </c>
      <c r="VLU4">
        <f>Database!VMN28</f>
        <v>0</v>
      </c>
      <c r="VLV4">
        <f>Database!VMO28</f>
        <v>0</v>
      </c>
      <c r="VLW4">
        <f>Database!VMP28</f>
        <v>0</v>
      </c>
      <c r="VLX4">
        <f>Database!VMQ28</f>
        <v>0</v>
      </c>
      <c r="VLY4">
        <f>Database!VMR28</f>
        <v>0</v>
      </c>
      <c r="VLZ4">
        <f>Database!VMS28</f>
        <v>0</v>
      </c>
      <c r="VMA4">
        <f>Database!VMT28</f>
        <v>0</v>
      </c>
      <c r="VMB4">
        <f>Database!VMU28</f>
        <v>0</v>
      </c>
      <c r="VMC4">
        <f>Database!VMV28</f>
        <v>0</v>
      </c>
      <c r="VMD4">
        <f>Database!VMW28</f>
        <v>0</v>
      </c>
      <c r="VME4">
        <f>Database!VMX28</f>
        <v>0</v>
      </c>
      <c r="VMF4">
        <f>Database!VMY28</f>
        <v>0</v>
      </c>
      <c r="VMG4">
        <f>Database!VMZ28</f>
        <v>0</v>
      </c>
      <c r="VMH4">
        <f>Database!VNA28</f>
        <v>0</v>
      </c>
      <c r="VMI4">
        <f>Database!VNB28</f>
        <v>0</v>
      </c>
      <c r="VMJ4">
        <f>Database!VNC28</f>
        <v>0</v>
      </c>
      <c r="VMK4">
        <f>Database!VND28</f>
        <v>0</v>
      </c>
      <c r="VML4">
        <f>Database!VNE28</f>
        <v>0</v>
      </c>
      <c r="VMM4">
        <f>Database!VNF28</f>
        <v>0</v>
      </c>
      <c r="VMN4">
        <f>Database!VNG28</f>
        <v>0</v>
      </c>
      <c r="VMO4">
        <f>Database!VNH28</f>
        <v>0</v>
      </c>
      <c r="VMP4">
        <f>Database!VNI28</f>
        <v>0</v>
      </c>
      <c r="VMQ4">
        <f>Database!VNJ28</f>
        <v>0</v>
      </c>
      <c r="VMR4">
        <f>Database!VNK28</f>
        <v>0</v>
      </c>
      <c r="VMS4">
        <f>Database!VNL28</f>
        <v>0</v>
      </c>
      <c r="VMT4">
        <f>Database!VNM28</f>
        <v>0</v>
      </c>
      <c r="VMU4">
        <f>Database!VNN28</f>
        <v>0</v>
      </c>
      <c r="VMV4">
        <f>Database!VNO28</f>
        <v>0</v>
      </c>
      <c r="VMW4">
        <f>Database!VNP28</f>
        <v>0</v>
      </c>
      <c r="VMX4">
        <f>Database!VNQ28</f>
        <v>0</v>
      </c>
      <c r="VMY4">
        <f>Database!VNR28</f>
        <v>0</v>
      </c>
      <c r="VMZ4">
        <f>Database!VNS28</f>
        <v>0</v>
      </c>
      <c r="VNA4">
        <f>Database!VNT28</f>
        <v>0</v>
      </c>
      <c r="VNB4">
        <f>Database!VNU28</f>
        <v>0</v>
      </c>
      <c r="VNC4">
        <f>Database!VNV28</f>
        <v>0</v>
      </c>
      <c r="VND4">
        <f>Database!VNW28</f>
        <v>0</v>
      </c>
      <c r="VNE4">
        <f>Database!VNX28</f>
        <v>0</v>
      </c>
      <c r="VNF4">
        <f>Database!VNY28</f>
        <v>0</v>
      </c>
      <c r="VNG4">
        <f>Database!VNZ28</f>
        <v>0</v>
      </c>
      <c r="VNH4">
        <f>Database!VOA28</f>
        <v>0</v>
      </c>
      <c r="VNI4">
        <f>Database!VOB28</f>
        <v>0</v>
      </c>
      <c r="VNJ4">
        <f>Database!VOC28</f>
        <v>0</v>
      </c>
      <c r="VNK4">
        <f>Database!VOD28</f>
        <v>0</v>
      </c>
      <c r="VNL4">
        <f>Database!VOE28</f>
        <v>0</v>
      </c>
      <c r="VNM4">
        <f>Database!VOF28</f>
        <v>0</v>
      </c>
      <c r="VNN4">
        <f>Database!VOG28</f>
        <v>0</v>
      </c>
      <c r="VNO4">
        <f>Database!VOH28</f>
        <v>0</v>
      </c>
      <c r="VNP4">
        <f>Database!VOI28</f>
        <v>0</v>
      </c>
      <c r="VNQ4">
        <f>Database!VOJ28</f>
        <v>0</v>
      </c>
      <c r="VNR4">
        <f>Database!VOK28</f>
        <v>0</v>
      </c>
      <c r="VNS4">
        <f>Database!VOL28</f>
        <v>0</v>
      </c>
      <c r="VNT4">
        <f>Database!VOM28</f>
        <v>0</v>
      </c>
      <c r="VNU4">
        <f>Database!VON28</f>
        <v>0</v>
      </c>
      <c r="VNV4">
        <f>Database!VOO28</f>
        <v>0</v>
      </c>
      <c r="VNW4">
        <f>Database!VOP28</f>
        <v>0</v>
      </c>
      <c r="VNX4">
        <f>Database!VOQ28</f>
        <v>0</v>
      </c>
      <c r="VNY4">
        <f>Database!VOR28</f>
        <v>0</v>
      </c>
      <c r="VNZ4">
        <f>Database!VOS28</f>
        <v>0</v>
      </c>
      <c r="VOA4">
        <f>Database!VOT28</f>
        <v>0</v>
      </c>
      <c r="VOB4">
        <f>Database!VOU28</f>
        <v>0</v>
      </c>
      <c r="VOC4">
        <f>Database!VOV28</f>
        <v>0</v>
      </c>
      <c r="VOD4">
        <f>Database!VOW28</f>
        <v>0</v>
      </c>
      <c r="VOE4">
        <f>Database!VOX28</f>
        <v>0</v>
      </c>
      <c r="VOF4">
        <f>Database!VOY28</f>
        <v>0</v>
      </c>
      <c r="VOG4">
        <f>Database!VOZ28</f>
        <v>0</v>
      </c>
      <c r="VOH4">
        <f>Database!VPA28</f>
        <v>0</v>
      </c>
      <c r="VOI4">
        <f>Database!VPB28</f>
        <v>0</v>
      </c>
      <c r="VOJ4">
        <f>Database!VPC28</f>
        <v>0</v>
      </c>
      <c r="VOK4">
        <f>Database!VPD28</f>
        <v>0</v>
      </c>
      <c r="VOL4">
        <f>Database!VPE28</f>
        <v>0</v>
      </c>
      <c r="VOM4">
        <f>Database!VPF28</f>
        <v>0</v>
      </c>
      <c r="VON4">
        <f>Database!VPG28</f>
        <v>0</v>
      </c>
      <c r="VOO4">
        <f>Database!VPH28</f>
        <v>0</v>
      </c>
      <c r="VOP4">
        <f>Database!VPI28</f>
        <v>0</v>
      </c>
      <c r="VOQ4">
        <f>Database!VPJ28</f>
        <v>0</v>
      </c>
      <c r="VOR4">
        <f>Database!VPK28</f>
        <v>0</v>
      </c>
      <c r="VOS4">
        <f>Database!VPL28</f>
        <v>0</v>
      </c>
      <c r="VOT4">
        <f>Database!VPM28</f>
        <v>0</v>
      </c>
      <c r="VOU4">
        <f>Database!VPN28</f>
        <v>0</v>
      </c>
      <c r="VOV4">
        <f>Database!VPO28</f>
        <v>0</v>
      </c>
      <c r="VOW4">
        <f>Database!VPP28</f>
        <v>0</v>
      </c>
      <c r="VOX4">
        <f>Database!VPQ28</f>
        <v>0</v>
      </c>
      <c r="VOY4">
        <f>Database!VPR28</f>
        <v>0</v>
      </c>
      <c r="VOZ4">
        <f>Database!VPS28</f>
        <v>0</v>
      </c>
      <c r="VPA4">
        <f>Database!VPT28</f>
        <v>0</v>
      </c>
      <c r="VPB4">
        <f>Database!VPU28</f>
        <v>0</v>
      </c>
      <c r="VPC4">
        <f>Database!VPV28</f>
        <v>0</v>
      </c>
      <c r="VPD4">
        <f>Database!VPW28</f>
        <v>0</v>
      </c>
      <c r="VPE4">
        <f>Database!VPX28</f>
        <v>0</v>
      </c>
      <c r="VPF4">
        <f>Database!VPY28</f>
        <v>0</v>
      </c>
      <c r="VPG4">
        <f>Database!VPZ28</f>
        <v>0</v>
      </c>
      <c r="VPH4">
        <f>Database!VQA28</f>
        <v>0</v>
      </c>
      <c r="VPI4">
        <f>Database!VQB28</f>
        <v>0</v>
      </c>
      <c r="VPJ4">
        <f>Database!VQC28</f>
        <v>0</v>
      </c>
      <c r="VPK4">
        <f>Database!VQD28</f>
        <v>0</v>
      </c>
      <c r="VPL4">
        <f>Database!VQE28</f>
        <v>0</v>
      </c>
      <c r="VPM4">
        <f>Database!VQF28</f>
        <v>0</v>
      </c>
      <c r="VPN4">
        <f>Database!VQG28</f>
        <v>0</v>
      </c>
      <c r="VPO4">
        <f>Database!VQH28</f>
        <v>0</v>
      </c>
      <c r="VPP4">
        <f>Database!VQI28</f>
        <v>0</v>
      </c>
      <c r="VPQ4">
        <f>Database!VQJ28</f>
        <v>0</v>
      </c>
      <c r="VPR4">
        <f>Database!VQK28</f>
        <v>0</v>
      </c>
      <c r="VPS4">
        <f>Database!VQL28</f>
        <v>0</v>
      </c>
      <c r="VPT4">
        <f>Database!VQM28</f>
        <v>0</v>
      </c>
      <c r="VPU4">
        <f>Database!VQN28</f>
        <v>0</v>
      </c>
      <c r="VPV4">
        <f>Database!VQO28</f>
        <v>0</v>
      </c>
      <c r="VPW4">
        <f>Database!VQP28</f>
        <v>0</v>
      </c>
      <c r="VPX4">
        <f>Database!VQQ28</f>
        <v>0</v>
      </c>
      <c r="VPY4">
        <f>Database!VQR28</f>
        <v>0</v>
      </c>
      <c r="VPZ4">
        <f>Database!VQS28</f>
        <v>0</v>
      </c>
      <c r="VQA4">
        <f>Database!VQT28</f>
        <v>0</v>
      </c>
      <c r="VQB4">
        <f>Database!VQU28</f>
        <v>0</v>
      </c>
      <c r="VQC4">
        <f>Database!VQV28</f>
        <v>0</v>
      </c>
      <c r="VQD4">
        <f>Database!VQW28</f>
        <v>0</v>
      </c>
      <c r="VQE4">
        <f>Database!VQX28</f>
        <v>0</v>
      </c>
      <c r="VQF4">
        <f>Database!VQY28</f>
        <v>0</v>
      </c>
      <c r="VQG4">
        <f>Database!VQZ28</f>
        <v>0</v>
      </c>
      <c r="VQH4">
        <f>Database!VRA28</f>
        <v>0</v>
      </c>
      <c r="VQI4">
        <f>Database!VRB28</f>
        <v>0</v>
      </c>
      <c r="VQJ4">
        <f>Database!VRC28</f>
        <v>0</v>
      </c>
      <c r="VQK4">
        <f>Database!VRD28</f>
        <v>0</v>
      </c>
      <c r="VQL4">
        <f>Database!VRE28</f>
        <v>0</v>
      </c>
      <c r="VQM4">
        <f>Database!VRF28</f>
        <v>0</v>
      </c>
      <c r="VQN4">
        <f>Database!VRG28</f>
        <v>0</v>
      </c>
      <c r="VQO4">
        <f>Database!VRH28</f>
        <v>0</v>
      </c>
      <c r="VQP4">
        <f>Database!VRI28</f>
        <v>0</v>
      </c>
      <c r="VQQ4">
        <f>Database!VRJ28</f>
        <v>0</v>
      </c>
      <c r="VQR4">
        <f>Database!VRK28</f>
        <v>0</v>
      </c>
      <c r="VQS4">
        <f>Database!VRL28</f>
        <v>0</v>
      </c>
      <c r="VQT4">
        <f>Database!VRM28</f>
        <v>0</v>
      </c>
      <c r="VQU4">
        <f>Database!VRN28</f>
        <v>0</v>
      </c>
      <c r="VQV4">
        <f>Database!VRO28</f>
        <v>0</v>
      </c>
      <c r="VQW4">
        <f>Database!VRP28</f>
        <v>0</v>
      </c>
      <c r="VQX4">
        <f>Database!VRQ28</f>
        <v>0</v>
      </c>
      <c r="VQY4">
        <f>Database!VRR28</f>
        <v>0</v>
      </c>
      <c r="VQZ4">
        <f>Database!VRS28</f>
        <v>0</v>
      </c>
      <c r="VRA4">
        <f>Database!VRT28</f>
        <v>0</v>
      </c>
      <c r="VRB4">
        <f>Database!VRU28</f>
        <v>0</v>
      </c>
      <c r="VRC4">
        <f>Database!VRV28</f>
        <v>0</v>
      </c>
      <c r="VRD4">
        <f>Database!VRW28</f>
        <v>0</v>
      </c>
      <c r="VRE4">
        <f>Database!VRX28</f>
        <v>0</v>
      </c>
      <c r="VRF4">
        <f>Database!VRY28</f>
        <v>0</v>
      </c>
      <c r="VRG4">
        <f>Database!VRZ28</f>
        <v>0</v>
      </c>
      <c r="VRH4">
        <f>Database!VSA28</f>
        <v>0</v>
      </c>
      <c r="VRI4">
        <f>Database!VSB28</f>
        <v>0</v>
      </c>
      <c r="VRJ4">
        <f>Database!VSC28</f>
        <v>0</v>
      </c>
      <c r="VRK4">
        <f>Database!VSD28</f>
        <v>0</v>
      </c>
      <c r="VRL4">
        <f>Database!VSE28</f>
        <v>0</v>
      </c>
      <c r="VRM4">
        <f>Database!VSF28</f>
        <v>0</v>
      </c>
      <c r="VRN4">
        <f>Database!VSG28</f>
        <v>0</v>
      </c>
      <c r="VRO4">
        <f>Database!VSH28</f>
        <v>0</v>
      </c>
      <c r="VRP4">
        <f>Database!VSI28</f>
        <v>0</v>
      </c>
      <c r="VRQ4">
        <f>Database!VSJ28</f>
        <v>0</v>
      </c>
      <c r="VRR4">
        <f>Database!VSK28</f>
        <v>0</v>
      </c>
      <c r="VRS4">
        <f>Database!VSL28</f>
        <v>0</v>
      </c>
      <c r="VRT4">
        <f>Database!VSM28</f>
        <v>0</v>
      </c>
      <c r="VRU4">
        <f>Database!VSN28</f>
        <v>0</v>
      </c>
      <c r="VRV4">
        <f>Database!VSO28</f>
        <v>0</v>
      </c>
      <c r="VRW4">
        <f>Database!VSP28</f>
        <v>0</v>
      </c>
      <c r="VRX4">
        <f>Database!VSQ28</f>
        <v>0</v>
      </c>
      <c r="VRY4">
        <f>Database!VSR28</f>
        <v>0</v>
      </c>
      <c r="VRZ4">
        <f>Database!VSS28</f>
        <v>0</v>
      </c>
      <c r="VSA4">
        <f>Database!VST28</f>
        <v>0</v>
      </c>
      <c r="VSB4">
        <f>Database!VSU28</f>
        <v>0</v>
      </c>
      <c r="VSC4">
        <f>Database!VSV28</f>
        <v>0</v>
      </c>
      <c r="VSD4">
        <f>Database!VSW28</f>
        <v>0</v>
      </c>
      <c r="VSE4">
        <f>Database!VSX28</f>
        <v>0</v>
      </c>
      <c r="VSF4">
        <f>Database!VSY28</f>
        <v>0</v>
      </c>
      <c r="VSG4">
        <f>Database!VSZ28</f>
        <v>0</v>
      </c>
      <c r="VSH4">
        <f>Database!VTA28</f>
        <v>0</v>
      </c>
      <c r="VSI4">
        <f>Database!VTB28</f>
        <v>0</v>
      </c>
      <c r="VSJ4">
        <f>Database!VTC28</f>
        <v>0</v>
      </c>
      <c r="VSK4">
        <f>Database!VTD28</f>
        <v>0</v>
      </c>
      <c r="VSL4">
        <f>Database!VTE28</f>
        <v>0</v>
      </c>
      <c r="VSM4">
        <f>Database!VTF28</f>
        <v>0</v>
      </c>
      <c r="VSN4">
        <f>Database!VTG28</f>
        <v>0</v>
      </c>
      <c r="VSO4">
        <f>Database!VTH28</f>
        <v>0</v>
      </c>
      <c r="VSP4">
        <f>Database!VTI28</f>
        <v>0</v>
      </c>
      <c r="VSQ4">
        <f>Database!VTJ28</f>
        <v>0</v>
      </c>
      <c r="VSR4">
        <f>Database!VTK28</f>
        <v>0</v>
      </c>
      <c r="VSS4">
        <f>Database!VTL28</f>
        <v>0</v>
      </c>
      <c r="VST4">
        <f>Database!VTM28</f>
        <v>0</v>
      </c>
      <c r="VSU4">
        <f>Database!VTN28</f>
        <v>0</v>
      </c>
      <c r="VSV4">
        <f>Database!VTO28</f>
        <v>0</v>
      </c>
      <c r="VSW4">
        <f>Database!VTP28</f>
        <v>0</v>
      </c>
      <c r="VSX4">
        <f>Database!VTQ28</f>
        <v>0</v>
      </c>
      <c r="VSY4">
        <f>Database!VTR28</f>
        <v>0</v>
      </c>
      <c r="VSZ4">
        <f>Database!VTS28</f>
        <v>0</v>
      </c>
      <c r="VTA4">
        <f>Database!VTT28</f>
        <v>0</v>
      </c>
      <c r="VTB4">
        <f>Database!VTU28</f>
        <v>0</v>
      </c>
      <c r="VTC4">
        <f>Database!VTV28</f>
        <v>0</v>
      </c>
      <c r="VTD4">
        <f>Database!VTW28</f>
        <v>0</v>
      </c>
      <c r="VTE4">
        <f>Database!VTX28</f>
        <v>0</v>
      </c>
      <c r="VTF4">
        <f>Database!VTY28</f>
        <v>0</v>
      </c>
      <c r="VTG4">
        <f>Database!VTZ28</f>
        <v>0</v>
      </c>
      <c r="VTH4">
        <f>Database!VUA28</f>
        <v>0</v>
      </c>
      <c r="VTI4">
        <f>Database!VUB28</f>
        <v>0</v>
      </c>
      <c r="VTJ4">
        <f>Database!VUC28</f>
        <v>0</v>
      </c>
      <c r="VTK4">
        <f>Database!VUD28</f>
        <v>0</v>
      </c>
      <c r="VTL4">
        <f>Database!VUE28</f>
        <v>0</v>
      </c>
      <c r="VTM4">
        <f>Database!VUF28</f>
        <v>0</v>
      </c>
      <c r="VTN4">
        <f>Database!VUG28</f>
        <v>0</v>
      </c>
      <c r="VTO4">
        <f>Database!VUH28</f>
        <v>0</v>
      </c>
      <c r="VTP4">
        <f>Database!VUI28</f>
        <v>0</v>
      </c>
      <c r="VTQ4">
        <f>Database!VUJ28</f>
        <v>0</v>
      </c>
      <c r="VTR4">
        <f>Database!VUK28</f>
        <v>0</v>
      </c>
      <c r="VTS4">
        <f>Database!VUL28</f>
        <v>0</v>
      </c>
      <c r="VTT4">
        <f>Database!VUM28</f>
        <v>0</v>
      </c>
      <c r="VTU4">
        <f>Database!VUN28</f>
        <v>0</v>
      </c>
      <c r="VTV4">
        <f>Database!VUO28</f>
        <v>0</v>
      </c>
      <c r="VTW4">
        <f>Database!VUP28</f>
        <v>0</v>
      </c>
      <c r="VTX4">
        <f>Database!VUQ28</f>
        <v>0</v>
      </c>
      <c r="VTY4">
        <f>Database!VUR28</f>
        <v>0</v>
      </c>
      <c r="VTZ4">
        <f>Database!VUS28</f>
        <v>0</v>
      </c>
      <c r="VUA4">
        <f>Database!VUT28</f>
        <v>0</v>
      </c>
      <c r="VUB4">
        <f>Database!VUU28</f>
        <v>0</v>
      </c>
      <c r="VUC4">
        <f>Database!VUV28</f>
        <v>0</v>
      </c>
      <c r="VUD4">
        <f>Database!VUW28</f>
        <v>0</v>
      </c>
      <c r="VUE4">
        <f>Database!VUX28</f>
        <v>0</v>
      </c>
      <c r="VUF4">
        <f>Database!VUY28</f>
        <v>0</v>
      </c>
      <c r="VUG4">
        <f>Database!VUZ28</f>
        <v>0</v>
      </c>
      <c r="VUH4">
        <f>Database!VVA28</f>
        <v>0</v>
      </c>
      <c r="VUI4">
        <f>Database!VVB28</f>
        <v>0</v>
      </c>
      <c r="VUJ4">
        <f>Database!VVC28</f>
        <v>0</v>
      </c>
      <c r="VUK4">
        <f>Database!VVD28</f>
        <v>0</v>
      </c>
      <c r="VUL4">
        <f>Database!VVE28</f>
        <v>0</v>
      </c>
      <c r="VUM4">
        <f>Database!VVF28</f>
        <v>0</v>
      </c>
      <c r="VUN4">
        <f>Database!VVG28</f>
        <v>0</v>
      </c>
      <c r="VUO4">
        <f>Database!VVH28</f>
        <v>0</v>
      </c>
      <c r="VUP4">
        <f>Database!VVI28</f>
        <v>0</v>
      </c>
      <c r="VUQ4">
        <f>Database!VVJ28</f>
        <v>0</v>
      </c>
      <c r="VUR4">
        <f>Database!VVK28</f>
        <v>0</v>
      </c>
      <c r="VUS4">
        <f>Database!VVL28</f>
        <v>0</v>
      </c>
      <c r="VUT4">
        <f>Database!VVM28</f>
        <v>0</v>
      </c>
      <c r="VUU4">
        <f>Database!VVN28</f>
        <v>0</v>
      </c>
      <c r="VUV4">
        <f>Database!VVO28</f>
        <v>0</v>
      </c>
      <c r="VUW4">
        <f>Database!VVP28</f>
        <v>0</v>
      </c>
      <c r="VUX4">
        <f>Database!VVQ28</f>
        <v>0</v>
      </c>
      <c r="VUY4">
        <f>Database!VVR28</f>
        <v>0</v>
      </c>
      <c r="VUZ4">
        <f>Database!VVS28</f>
        <v>0</v>
      </c>
      <c r="VVA4">
        <f>Database!VVT28</f>
        <v>0</v>
      </c>
      <c r="VVB4">
        <f>Database!VVU28</f>
        <v>0</v>
      </c>
      <c r="VVC4">
        <f>Database!VVV28</f>
        <v>0</v>
      </c>
      <c r="VVD4">
        <f>Database!VVW28</f>
        <v>0</v>
      </c>
      <c r="VVE4">
        <f>Database!VVX28</f>
        <v>0</v>
      </c>
      <c r="VVF4">
        <f>Database!VVY28</f>
        <v>0</v>
      </c>
      <c r="VVG4">
        <f>Database!VVZ28</f>
        <v>0</v>
      </c>
      <c r="VVH4">
        <f>Database!VWA28</f>
        <v>0</v>
      </c>
      <c r="VVI4">
        <f>Database!VWB28</f>
        <v>0</v>
      </c>
      <c r="VVJ4">
        <f>Database!VWC28</f>
        <v>0</v>
      </c>
      <c r="VVK4">
        <f>Database!VWD28</f>
        <v>0</v>
      </c>
      <c r="VVL4">
        <f>Database!VWE28</f>
        <v>0</v>
      </c>
      <c r="VVM4">
        <f>Database!VWF28</f>
        <v>0</v>
      </c>
      <c r="VVN4">
        <f>Database!VWG28</f>
        <v>0</v>
      </c>
      <c r="VVO4">
        <f>Database!VWH28</f>
        <v>0</v>
      </c>
      <c r="VVP4">
        <f>Database!VWI28</f>
        <v>0</v>
      </c>
      <c r="VVQ4">
        <f>Database!VWJ28</f>
        <v>0</v>
      </c>
      <c r="VVR4">
        <f>Database!VWK28</f>
        <v>0</v>
      </c>
      <c r="VVS4">
        <f>Database!VWL28</f>
        <v>0</v>
      </c>
      <c r="VVT4">
        <f>Database!VWM28</f>
        <v>0</v>
      </c>
      <c r="VVU4">
        <f>Database!VWN28</f>
        <v>0</v>
      </c>
      <c r="VVV4">
        <f>Database!VWO28</f>
        <v>0</v>
      </c>
      <c r="VVW4">
        <f>Database!VWP28</f>
        <v>0</v>
      </c>
      <c r="VVX4">
        <f>Database!VWQ28</f>
        <v>0</v>
      </c>
      <c r="VVY4">
        <f>Database!VWR28</f>
        <v>0</v>
      </c>
      <c r="VVZ4">
        <f>Database!VWS28</f>
        <v>0</v>
      </c>
      <c r="VWA4">
        <f>Database!VWT28</f>
        <v>0</v>
      </c>
      <c r="VWB4">
        <f>Database!VWU28</f>
        <v>0</v>
      </c>
      <c r="VWC4">
        <f>Database!VWV28</f>
        <v>0</v>
      </c>
      <c r="VWD4">
        <f>Database!VWW28</f>
        <v>0</v>
      </c>
      <c r="VWE4">
        <f>Database!VWX28</f>
        <v>0</v>
      </c>
      <c r="VWF4">
        <f>Database!VWY28</f>
        <v>0</v>
      </c>
      <c r="VWG4">
        <f>Database!VWZ28</f>
        <v>0</v>
      </c>
      <c r="VWH4">
        <f>Database!VXA28</f>
        <v>0</v>
      </c>
      <c r="VWI4">
        <f>Database!VXB28</f>
        <v>0</v>
      </c>
      <c r="VWJ4">
        <f>Database!VXC28</f>
        <v>0</v>
      </c>
      <c r="VWK4">
        <f>Database!VXD28</f>
        <v>0</v>
      </c>
      <c r="VWL4">
        <f>Database!VXE28</f>
        <v>0</v>
      </c>
      <c r="VWM4">
        <f>Database!VXF28</f>
        <v>0</v>
      </c>
      <c r="VWN4">
        <f>Database!VXG28</f>
        <v>0</v>
      </c>
      <c r="VWO4">
        <f>Database!VXH28</f>
        <v>0</v>
      </c>
      <c r="VWP4">
        <f>Database!VXI28</f>
        <v>0</v>
      </c>
      <c r="VWQ4">
        <f>Database!VXJ28</f>
        <v>0</v>
      </c>
      <c r="VWR4">
        <f>Database!VXK28</f>
        <v>0</v>
      </c>
      <c r="VWS4">
        <f>Database!VXL28</f>
        <v>0</v>
      </c>
      <c r="VWT4">
        <f>Database!VXM28</f>
        <v>0</v>
      </c>
      <c r="VWU4">
        <f>Database!VXN28</f>
        <v>0</v>
      </c>
      <c r="VWV4">
        <f>Database!VXO28</f>
        <v>0</v>
      </c>
      <c r="VWW4">
        <f>Database!VXP28</f>
        <v>0</v>
      </c>
      <c r="VWX4">
        <f>Database!VXQ28</f>
        <v>0</v>
      </c>
      <c r="VWY4">
        <f>Database!VXR28</f>
        <v>0</v>
      </c>
      <c r="VWZ4">
        <f>Database!VXS28</f>
        <v>0</v>
      </c>
      <c r="VXA4">
        <f>Database!VXT28</f>
        <v>0</v>
      </c>
      <c r="VXB4">
        <f>Database!VXU28</f>
        <v>0</v>
      </c>
      <c r="VXC4">
        <f>Database!VXV28</f>
        <v>0</v>
      </c>
      <c r="VXD4">
        <f>Database!VXW28</f>
        <v>0</v>
      </c>
      <c r="VXE4">
        <f>Database!VXX28</f>
        <v>0</v>
      </c>
      <c r="VXF4">
        <f>Database!VXY28</f>
        <v>0</v>
      </c>
      <c r="VXG4">
        <f>Database!VXZ28</f>
        <v>0</v>
      </c>
      <c r="VXH4">
        <f>Database!VYA28</f>
        <v>0</v>
      </c>
      <c r="VXI4">
        <f>Database!VYB28</f>
        <v>0</v>
      </c>
      <c r="VXJ4">
        <f>Database!VYC28</f>
        <v>0</v>
      </c>
      <c r="VXK4">
        <f>Database!VYD28</f>
        <v>0</v>
      </c>
      <c r="VXL4">
        <f>Database!VYE28</f>
        <v>0</v>
      </c>
      <c r="VXM4">
        <f>Database!VYF28</f>
        <v>0</v>
      </c>
      <c r="VXN4">
        <f>Database!VYG28</f>
        <v>0</v>
      </c>
      <c r="VXO4">
        <f>Database!VYH28</f>
        <v>0</v>
      </c>
      <c r="VXP4">
        <f>Database!VYI28</f>
        <v>0</v>
      </c>
      <c r="VXQ4">
        <f>Database!VYJ28</f>
        <v>0</v>
      </c>
      <c r="VXR4">
        <f>Database!VYK28</f>
        <v>0</v>
      </c>
      <c r="VXS4">
        <f>Database!VYL28</f>
        <v>0</v>
      </c>
      <c r="VXT4">
        <f>Database!VYM28</f>
        <v>0</v>
      </c>
      <c r="VXU4">
        <f>Database!VYN28</f>
        <v>0</v>
      </c>
      <c r="VXV4">
        <f>Database!VYO28</f>
        <v>0</v>
      </c>
      <c r="VXW4">
        <f>Database!VYP28</f>
        <v>0</v>
      </c>
      <c r="VXX4">
        <f>Database!VYQ28</f>
        <v>0</v>
      </c>
      <c r="VXY4">
        <f>Database!VYR28</f>
        <v>0</v>
      </c>
      <c r="VXZ4">
        <f>Database!VYS28</f>
        <v>0</v>
      </c>
      <c r="VYA4">
        <f>Database!VYT28</f>
        <v>0</v>
      </c>
      <c r="VYB4">
        <f>Database!VYU28</f>
        <v>0</v>
      </c>
      <c r="VYC4">
        <f>Database!VYV28</f>
        <v>0</v>
      </c>
      <c r="VYD4">
        <f>Database!VYW28</f>
        <v>0</v>
      </c>
      <c r="VYE4">
        <f>Database!VYX28</f>
        <v>0</v>
      </c>
      <c r="VYF4">
        <f>Database!VYY28</f>
        <v>0</v>
      </c>
      <c r="VYG4">
        <f>Database!VYZ28</f>
        <v>0</v>
      </c>
      <c r="VYH4">
        <f>Database!VZA28</f>
        <v>0</v>
      </c>
      <c r="VYI4">
        <f>Database!VZB28</f>
        <v>0</v>
      </c>
      <c r="VYJ4">
        <f>Database!VZC28</f>
        <v>0</v>
      </c>
      <c r="VYK4">
        <f>Database!VZD28</f>
        <v>0</v>
      </c>
      <c r="VYL4">
        <f>Database!VZE28</f>
        <v>0</v>
      </c>
      <c r="VYM4">
        <f>Database!VZF28</f>
        <v>0</v>
      </c>
      <c r="VYN4">
        <f>Database!VZG28</f>
        <v>0</v>
      </c>
      <c r="VYO4">
        <f>Database!VZH28</f>
        <v>0</v>
      </c>
      <c r="VYP4">
        <f>Database!VZI28</f>
        <v>0</v>
      </c>
      <c r="VYQ4">
        <f>Database!VZJ28</f>
        <v>0</v>
      </c>
      <c r="VYR4">
        <f>Database!VZK28</f>
        <v>0</v>
      </c>
      <c r="VYS4">
        <f>Database!VZL28</f>
        <v>0</v>
      </c>
      <c r="VYT4">
        <f>Database!VZM28</f>
        <v>0</v>
      </c>
      <c r="VYU4">
        <f>Database!VZN28</f>
        <v>0</v>
      </c>
      <c r="VYV4">
        <f>Database!VZO28</f>
        <v>0</v>
      </c>
      <c r="VYW4">
        <f>Database!VZP28</f>
        <v>0</v>
      </c>
      <c r="VYX4">
        <f>Database!VZQ28</f>
        <v>0</v>
      </c>
      <c r="VYY4">
        <f>Database!VZR28</f>
        <v>0</v>
      </c>
      <c r="VYZ4">
        <f>Database!VZS28</f>
        <v>0</v>
      </c>
      <c r="VZA4">
        <f>Database!VZT28</f>
        <v>0</v>
      </c>
      <c r="VZB4">
        <f>Database!VZU28</f>
        <v>0</v>
      </c>
      <c r="VZC4">
        <f>Database!VZV28</f>
        <v>0</v>
      </c>
      <c r="VZD4">
        <f>Database!VZW28</f>
        <v>0</v>
      </c>
      <c r="VZE4">
        <f>Database!VZX28</f>
        <v>0</v>
      </c>
      <c r="VZF4">
        <f>Database!VZY28</f>
        <v>0</v>
      </c>
      <c r="VZG4">
        <f>Database!VZZ28</f>
        <v>0</v>
      </c>
      <c r="VZH4">
        <f>Database!WAA28</f>
        <v>0</v>
      </c>
      <c r="VZI4">
        <f>Database!WAB28</f>
        <v>0</v>
      </c>
      <c r="VZJ4">
        <f>Database!WAC28</f>
        <v>0</v>
      </c>
      <c r="VZK4">
        <f>Database!WAD28</f>
        <v>0</v>
      </c>
      <c r="VZL4">
        <f>Database!WAE28</f>
        <v>0</v>
      </c>
      <c r="VZM4">
        <f>Database!WAF28</f>
        <v>0</v>
      </c>
      <c r="VZN4">
        <f>Database!WAG28</f>
        <v>0</v>
      </c>
      <c r="VZO4">
        <f>Database!WAH28</f>
        <v>0</v>
      </c>
      <c r="VZP4">
        <f>Database!WAI28</f>
        <v>0</v>
      </c>
      <c r="VZQ4">
        <f>Database!WAJ28</f>
        <v>0</v>
      </c>
      <c r="VZR4">
        <f>Database!WAK28</f>
        <v>0</v>
      </c>
      <c r="VZS4">
        <f>Database!WAL28</f>
        <v>0</v>
      </c>
      <c r="VZT4">
        <f>Database!WAM28</f>
        <v>0</v>
      </c>
      <c r="VZU4">
        <f>Database!WAN28</f>
        <v>0</v>
      </c>
      <c r="VZV4">
        <f>Database!WAO28</f>
        <v>0</v>
      </c>
      <c r="VZW4">
        <f>Database!WAP28</f>
        <v>0</v>
      </c>
      <c r="VZX4">
        <f>Database!WAQ28</f>
        <v>0</v>
      </c>
      <c r="VZY4">
        <f>Database!WAR28</f>
        <v>0</v>
      </c>
      <c r="VZZ4">
        <f>Database!WAS28</f>
        <v>0</v>
      </c>
      <c r="WAA4">
        <f>Database!WAT28</f>
        <v>0</v>
      </c>
      <c r="WAB4">
        <f>Database!WAU28</f>
        <v>0</v>
      </c>
      <c r="WAC4">
        <f>Database!WAV28</f>
        <v>0</v>
      </c>
      <c r="WAD4">
        <f>Database!WAW28</f>
        <v>0</v>
      </c>
      <c r="WAE4">
        <f>Database!WAX28</f>
        <v>0</v>
      </c>
      <c r="WAF4">
        <f>Database!WAY28</f>
        <v>0</v>
      </c>
      <c r="WAG4">
        <f>Database!WAZ28</f>
        <v>0</v>
      </c>
      <c r="WAH4">
        <f>Database!WBA28</f>
        <v>0</v>
      </c>
      <c r="WAI4">
        <f>Database!WBB28</f>
        <v>0</v>
      </c>
      <c r="WAJ4">
        <f>Database!WBC28</f>
        <v>0</v>
      </c>
      <c r="WAK4">
        <f>Database!WBD28</f>
        <v>0</v>
      </c>
      <c r="WAL4">
        <f>Database!WBE28</f>
        <v>0</v>
      </c>
      <c r="WAM4">
        <f>Database!WBF28</f>
        <v>0</v>
      </c>
      <c r="WAN4">
        <f>Database!WBG28</f>
        <v>0</v>
      </c>
      <c r="WAO4">
        <f>Database!WBH28</f>
        <v>0</v>
      </c>
      <c r="WAP4">
        <f>Database!WBI28</f>
        <v>0</v>
      </c>
      <c r="WAQ4">
        <f>Database!WBJ28</f>
        <v>0</v>
      </c>
      <c r="WAR4">
        <f>Database!WBK28</f>
        <v>0</v>
      </c>
      <c r="WAS4">
        <f>Database!WBL28</f>
        <v>0</v>
      </c>
      <c r="WAT4">
        <f>Database!WBM28</f>
        <v>0</v>
      </c>
      <c r="WAU4">
        <f>Database!WBN28</f>
        <v>0</v>
      </c>
      <c r="WAV4">
        <f>Database!WBO28</f>
        <v>0</v>
      </c>
      <c r="WAW4">
        <f>Database!WBP28</f>
        <v>0</v>
      </c>
      <c r="WAX4">
        <f>Database!WBQ28</f>
        <v>0</v>
      </c>
      <c r="WAY4">
        <f>Database!WBR28</f>
        <v>0</v>
      </c>
      <c r="WAZ4">
        <f>Database!WBS28</f>
        <v>0</v>
      </c>
      <c r="WBA4">
        <f>Database!WBT28</f>
        <v>0</v>
      </c>
      <c r="WBB4">
        <f>Database!WBU28</f>
        <v>0</v>
      </c>
      <c r="WBC4">
        <f>Database!WBV28</f>
        <v>0</v>
      </c>
      <c r="WBD4">
        <f>Database!WBW28</f>
        <v>0</v>
      </c>
      <c r="WBE4">
        <f>Database!WBX28</f>
        <v>0</v>
      </c>
      <c r="WBF4">
        <f>Database!WBY28</f>
        <v>0</v>
      </c>
      <c r="WBG4">
        <f>Database!WBZ28</f>
        <v>0</v>
      </c>
      <c r="WBH4">
        <f>Database!WCA28</f>
        <v>0</v>
      </c>
      <c r="WBI4">
        <f>Database!WCB28</f>
        <v>0</v>
      </c>
      <c r="WBJ4">
        <f>Database!WCC28</f>
        <v>0</v>
      </c>
      <c r="WBK4">
        <f>Database!WCD28</f>
        <v>0</v>
      </c>
      <c r="WBL4">
        <f>Database!WCE28</f>
        <v>0</v>
      </c>
      <c r="WBM4">
        <f>Database!WCF28</f>
        <v>0</v>
      </c>
      <c r="WBN4">
        <f>Database!WCG28</f>
        <v>0</v>
      </c>
      <c r="WBO4">
        <f>Database!WCH28</f>
        <v>0</v>
      </c>
      <c r="WBP4">
        <f>Database!WCI28</f>
        <v>0</v>
      </c>
      <c r="WBQ4">
        <f>Database!WCJ28</f>
        <v>0</v>
      </c>
      <c r="WBR4">
        <f>Database!WCK28</f>
        <v>0</v>
      </c>
      <c r="WBS4">
        <f>Database!WCL28</f>
        <v>0</v>
      </c>
      <c r="WBT4">
        <f>Database!WCM28</f>
        <v>0</v>
      </c>
      <c r="WBU4">
        <f>Database!WCN28</f>
        <v>0</v>
      </c>
      <c r="WBV4">
        <f>Database!WCO28</f>
        <v>0</v>
      </c>
      <c r="WBW4">
        <f>Database!WCP28</f>
        <v>0</v>
      </c>
      <c r="WBX4">
        <f>Database!WCQ28</f>
        <v>0</v>
      </c>
      <c r="WBY4">
        <f>Database!WCR28</f>
        <v>0</v>
      </c>
      <c r="WBZ4">
        <f>Database!WCS28</f>
        <v>0</v>
      </c>
      <c r="WCA4">
        <f>Database!WCT28</f>
        <v>0</v>
      </c>
      <c r="WCB4">
        <f>Database!WCU28</f>
        <v>0</v>
      </c>
      <c r="WCC4">
        <f>Database!WCV28</f>
        <v>0</v>
      </c>
      <c r="WCD4">
        <f>Database!WCW28</f>
        <v>0</v>
      </c>
      <c r="WCE4">
        <f>Database!WCX28</f>
        <v>0</v>
      </c>
      <c r="WCF4">
        <f>Database!WCY28</f>
        <v>0</v>
      </c>
      <c r="WCG4">
        <f>Database!WCZ28</f>
        <v>0</v>
      </c>
      <c r="WCH4">
        <f>Database!WDA28</f>
        <v>0</v>
      </c>
      <c r="WCI4">
        <f>Database!WDB28</f>
        <v>0</v>
      </c>
      <c r="WCJ4">
        <f>Database!WDC28</f>
        <v>0</v>
      </c>
      <c r="WCK4">
        <f>Database!WDD28</f>
        <v>0</v>
      </c>
      <c r="WCL4">
        <f>Database!WDE28</f>
        <v>0</v>
      </c>
      <c r="WCM4">
        <f>Database!WDF28</f>
        <v>0</v>
      </c>
      <c r="WCN4">
        <f>Database!WDG28</f>
        <v>0</v>
      </c>
      <c r="WCO4">
        <f>Database!WDH28</f>
        <v>0</v>
      </c>
      <c r="WCP4">
        <f>Database!WDI28</f>
        <v>0</v>
      </c>
      <c r="WCQ4">
        <f>Database!WDJ28</f>
        <v>0</v>
      </c>
      <c r="WCR4">
        <f>Database!WDK28</f>
        <v>0</v>
      </c>
      <c r="WCS4">
        <f>Database!WDL28</f>
        <v>0</v>
      </c>
      <c r="WCT4">
        <f>Database!WDM28</f>
        <v>0</v>
      </c>
      <c r="WCU4">
        <f>Database!WDN28</f>
        <v>0</v>
      </c>
      <c r="WCV4">
        <f>Database!WDO28</f>
        <v>0</v>
      </c>
      <c r="WCW4">
        <f>Database!WDP28</f>
        <v>0</v>
      </c>
      <c r="WCX4">
        <f>Database!WDQ28</f>
        <v>0</v>
      </c>
      <c r="WCY4">
        <f>Database!WDR28</f>
        <v>0</v>
      </c>
      <c r="WCZ4">
        <f>Database!WDS28</f>
        <v>0</v>
      </c>
      <c r="WDA4">
        <f>Database!WDT28</f>
        <v>0</v>
      </c>
      <c r="WDB4">
        <f>Database!WDU28</f>
        <v>0</v>
      </c>
      <c r="WDC4">
        <f>Database!WDV28</f>
        <v>0</v>
      </c>
      <c r="WDD4">
        <f>Database!WDW28</f>
        <v>0</v>
      </c>
      <c r="WDE4">
        <f>Database!WDX28</f>
        <v>0</v>
      </c>
      <c r="WDF4">
        <f>Database!WDY28</f>
        <v>0</v>
      </c>
      <c r="WDG4">
        <f>Database!WDZ28</f>
        <v>0</v>
      </c>
      <c r="WDH4">
        <f>Database!WEA28</f>
        <v>0</v>
      </c>
      <c r="WDI4">
        <f>Database!WEB28</f>
        <v>0</v>
      </c>
      <c r="WDJ4">
        <f>Database!WEC28</f>
        <v>0</v>
      </c>
      <c r="WDK4">
        <f>Database!WED28</f>
        <v>0</v>
      </c>
      <c r="WDL4">
        <f>Database!WEE28</f>
        <v>0</v>
      </c>
      <c r="WDM4">
        <f>Database!WEF28</f>
        <v>0</v>
      </c>
      <c r="WDN4">
        <f>Database!WEG28</f>
        <v>0</v>
      </c>
      <c r="WDO4">
        <f>Database!WEH28</f>
        <v>0</v>
      </c>
      <c r="WDP4">
        <f>Database!WEI28</f>
        <v>0</v>
      </c>
      <c r="WDQ4">
        <f>Database!WEJ28</f>
        <v>0</v>
      </c>
      <c r="WDR4">
        <f>Database!WEK28</f>
        <v>0</v>
      </c>
      <c r="WDS4">
        <f>Database!WEL28</f>
        <v>0</v>
      </c>
      <c r="WDT4">
        <f>Database!WEM28</f>
        <v>0</v>
      </c>
      <c r="WDU4">
        <f>Database!WEN28</f>
        <v>0</v>
      </c>
      <c r="WDV4">
        <f>Database!WEO28</f>
        <v>0</v>
      </c>
      <c r="WDW4">
        <f>Database!WEP28</f>
        <v>0</v>
      </c>
      <c r="WDX4">
        <f>Database!WEQ28</f>
        <v>0</v>
      </c>
      <c r="WDY4">
        <f>Database!WER28</f>
        <v>0</v>
      </c>
      <c r="WDZ4">
        <f>Database!WES28</f>
        <v>0</v>
      </c>
      <c r="WEA4">
        <f>Database!WET28</f>
        <v>0</v>
      </c>
      <c r="WEB4">
        <f>Database!WEU28</f>
        <v>0</v>
      </c>
      <c r="WEC4">
        <f>Database!WEV28</f>
        <v>0</v>
      </c>
      <c r="WED4">
        <f>Database!WEW28</f>
        <v>0</v>
      </c>
      <c r="WEE4">
        <f>Database!WEX28</f>
        <v>0</v>
      </c>
      <c r="WEF4">
        <f>Database!WEY28</f>
        <v>0</v>
      </c>
      <c r="WEG4">
        <f>Database!WEZ28</f>
        <v>0</v>
      </c>
      <c r="WEH4">
        <f>Database!WFA28</f>
        <v>0</v>
      </c>
      <c r="WEI4">
        <f>Database!WFB28</f>
        <v>0</v>
      </c>
      <c r="WEJ4">
        <f>Database!WFC28</f>
        <v>0</v>
      </c>
      <c r="WEK4">
        <f>Database!WFD28</f>
        <v>0</v>
      </c>
      <c r="WEL4">
        <f>Database!WFE28</f>
        <v>0</v>
      </c>
      <c r="WEM4">
        <f>Database!WFF28</f>
        <v>0</v>
      </c>
      <c r="WEN4">
        <f>Database!WFG28</f>
        <v>0</v>
      </c>
      <c r="WEO4">
        <f>Database!WFH28</f>
        <v>0</v>
      </c>
      <c r="WEP4">
        <f>Database!WFI28</f>
        <v>0</v>
      </c>
      <c r="WEQ4">
        <f>Database!WFJ28</f>
        <v>0</v>
      </c>
      <c r="WER4">
        <f>Database!WFK28</f>
        <v>0</v>
      </c>
      <c r="WES4">
        <f>Database!WFL28</f>
        <v>0</v>
      </c>
      <c r="WET4">
        <f>Database!WFM28</f>
        <v>0</v>
      </c>
      <c r="WEU4">
        <f>Database!WFN28</f>
        <v>0</v>
      </c>
      <c r="WEV4">
        <f>Database!WFO28</f>
        <v>0</v>
      </c>
      <c r="WEW4">
        <f>Database!WFP28</f>
        <v>0</v>
      </c>
      <c r="WEX4">
        <f>Database!WFQ28</f>
        <v>0</v>
      </c>
      <c r="WEY4">
        <f>Database!WFR28</f>
        <v>0</v>
      </c>
      <c r="WEZ4">
        <f>Database!WFS28</f>
        <v>0</v>
      </c>
      <c r="WFA4">
        <f>Database!WFT28</f>
        <v>0</v>
      </c>
      <c r="WFB4">
        <f>Database!WFU28</f>
        <v>0</v>
      </c>
      <c r="WFC4">
        <f>Database!WFV28</f>
        <v>0</v>
      </c>
      <c r="WFD4">
        <f>Database!WFW28</f>
        <v>0</v>
      </c>
      <c r="WFE4">
        <f>Database!WFX28</f>
        <v>0</v>
      </c>
      <c r="WFF4">
        <f>Database!WFY28</f>
        <v>0</v>
      </c>
      <c r="WFG4">
        <f>Database!WFZ28</f>
        <v>0</v>
      </c>
      <c r="WFH4">
        <f>Database!WGA28</f>
        <v>0</v>
      </c>
      <c r="WFI4">
        <f>Database!WGB28</f>
        <v>0</v>
      </c>
      <c r="WFJ4">
        <f>Database!WGC28</f>
        <v>0</v>
      </c>
      <c r="WFK4">
        <f>Database!WGD28</f>
        <v>0</v>
      </c>
      <c r="WFL4">
        <f>Database!WGE28</f>
        <v>0</v>
      </c>
      <c r="WFM4">
        <f>Database!WGF28</f>
        <v>0</v>
      </c>
      <c r="WFN4">
        <f>Database!WGG28</f>
        <v>0</v>
      </c>
      <c r="WFO4">
        <f>Database!WGH28</f>
        <v>0</v>
      </c>
      <c r="WFP4">
        <f>Database!WGI28</f>
        <v>0</v>
      </c>
      <c r="WFQ4">
        <f>Database!WGJ28</f>
        <v>0</v>
      </c>
      <c r="WFR4">
        <f>Database!WGK28</f>
        <v>0</v>
      </c>
      <c r="WFS4">
        <f>Database!WGL28</f>
        <v>0</v>
      </c>
      <c r="WFT4">
        <f>Database!WGM28</f>
        <v>0</v>
      </c>
      <c r="WFU4">
        <f>Database!WGN28</f>
        <v>0</v>
      </c>
      <c r="WFV4">
        <f>Database!WGO28</f>
        <v>0</v>
      </c>
      <c r="WFW4">
        <f>Database!WGP28</f>
        <v>0</v>
      </c>
      <c r="WFX4">
        <f>Database!WGQ28</f>
        <v>0</v>
      </c>
      <c r="WFY4">
        <f>Database!WGR28</f>
        <v>0</v>
      </c>
      <c r="WFZ4">
        <f>Database!WGS28</f>
        <v>0</v>
      </c>
      <c r="WGA4">
        <f>Database!WGT28</f>
        <v>0</v>
      </c>
      <c r="WGB4">
        <f>Database!WGU28</f>
        <v>0</v>
      </c>
      <c r="WGC4">
        <f>Database!WGV28</f>
        <v>0</v>
      </c>
      <c r="WGD4">
        <f>Database!WGW28</f>
        <v>0</v>
      </c>
      <c r="WGE4">
        <f>Database!WGX28</f>
        <v>0</v>
      </c>
      <c r="WGF4">
        <f>Database!WGY28</f>
        <v>0</v>
      </c>
      <c r="WGG4">
        <f>Database!WGZ28</f>
        <v>0</v>
      </c>
      <c r="WGH4">
        <f>Database!WHA28</f>
        <v>0</v>
      </c>
      <c r="WGI4">
        <f>Database!WHB28</f>
        <v>0</v>
      </c>
      <c r="WGJ4">
        <f>Database!WHC28</f>
        <v>0</v>
      </c>
      <c r="WGK4">
        <f>Database!WHD28</f>
        <v>0</v>
      </c>
      <c r="WGL4">
        <f>Database!WHE28</f>
        <v>0</v>
      </c>
      <c r="WGM4">
        <f>Database!WHF28</f>
        <v>0</v>
      </c>
      <c r="WGN4">
        <f>Database!WHG28</f>
        <v>0</v>
      </c>
      <c r="WGO4">
        <f>Database!WHH28</f>
        <v>0</v>
      </c>
      <c r="WGP4">
        <f>Database!WHI28</f>
        <v>0</v>
      </c>
      <c r="WGQ4">
        <f>Database!WHJ28</f>
        <v>0</v>
      </c>
      <c r="WGR4">
        <f>Database!WHK28</f>
        <v>0</v>
      </c>
      <c r="WGS4">
        <f>Database!WHL28</f>
        <v>0</v>
      </c>
      <c r="WGT4">
        <f>Database!WHM28</f>
        <v>0</v>
      </c>
      <c r="WGU4">
        <f>Database!WHN28</f>
        <v>0</v>
      </c>
      <c r="WGV4">
        <f>Database!WHO28</f>
        <v>0</v>
      </c>
      <c r="WGW4">
        <f>Database!WHP28</f>
        <v>0</v>
      </c>
      <c r="WGX4">
        <f>Database!WHQ28</f>
        <v>0</v>
      </c>
      <c r="WGY4">
        <f>Database!WHR28</f>
        <v>0</v>
      </c>
      <c r="WGZ4">
        <f>Database!WHS28</f>
        <v>0</v>
      </c>
      <c r="WHA4">
        <f>Database!WHT28</f>
        <v>0</v>
      </c>
      <c r="WHB4">
        <f>Database!WHU28</f>
        <v>0</v>
      </c>
      <c r="WHC4">
        <f>Database!WHV28</f>
        <v>0</v>
      </c>
      <c r="WHD4">
        <f>Database!WHW28</f>
        <v>0</v>
      </c>
      <c r="WHE4">
        <f>Database!WHX28</f>
        <v>0</v>
      </c>
      <c r="WHF4">
        <f>Database!WHY28</f>
        <v>0</v>
      </c>
      <c r="WHG4">
        <f>Database!WHZ28</f>
        <v>0</v>
      </c>
      <c r="WHH4">
        <f>Database!WIA28</f>
        <v>0</v>
      </c>
      <c r="WHI4">
        <f>Database!WIB28</f>
        <v>0</v>
      </c>
      <c r="WHJ4">
        <f>Database!WIC28</f>
        <v>0</v>
      </c>
      <c r="WHK4">
        <f>Database!WID28</f>
        <v>0</v>
      </c>
      <c r="WHL4">
        <f>Database!WIE28</f>
        <v>0</v>
      </c>
      <c r="WHM4">
        <f>Database!WIF28</f>
        <v>0</v>
      </c>
      <c r="WHN4">
        <f>Database!WIG28</f>
        <v>0</v>
      </c>
      <c r="WHO4">
        <f>Database!WIH28</f>
        <v>0</v>
      </c>
      <c r="WHP4">
        <f>Database!WII28</f>
        <v>0</v>
      </c>
      <c r="WHQ4">
        <f>Database!WIJ28</f>
        <v>0</v>
      </c>
      <c r="WHR4">
        <f>Database!WIK28</f>
        <v>0</v>
      </c>
      <c r="WHS4">
        <f>Database!WIL28</f>
        <v>0</v>
      </c>
      <c r="WHT4">
        <f>Database!WIM28</f>
        <v>0</v>
      </c>
      <c r="WHU4">
        <f>Database!WIN28</f>
        <v>0</v>
      </c>
      <c r="WHV4">
        <f>Database!WIO28</f>
        <v>0</v>
      </c>
      <c r="WHW4">
        <f>Database!WIP28</f>
        <v>0</v>
      </c>
      <c r="WHX4">
        <f>Database!WIQ28</f>
        <v>0</v>
      </c>
      <c r="WHY4">
        <f>Database!WIR28</f>
        <v>0</v>
      </c>
      <c r="WHZ4">
        <f>Database!WIS28</f>
        <v>0</v>
      </c>
      <c r="WIA4">
        <f>Database!WIT28</f>
        <v>0</v>
      </c>
      <c r="WIB4">
        <f>Database!WIU28</f>
        <v>0</v>
      </c>
      <c r="WIC4">
        <f>Database!WIV28</f>
        <v>0</v>
      </c>
      <c r="WID4">
        <f>Database!WIW28</f>
        <v>0</v>
      </c>
      <c r="WIE4">
        <f>Database!WIX28</f>
        <v>0</v>
      </c>
      <c r="WIF4">
        <f>Database!WIY28</f>
        <v>0</v>
      </c>
      <c r="WIG4">
        <f>Database!WIZ28</f>
        <v>0</v>
      </c>
      <c r="WIH4">
        <f>Database!WJA28</f>
        <v>0</v>
      </c>
      <c r="WII4">
        <f>Database!WJB28</f>
        <v>0</v>
      </c>
      <c r="WIJ4">
        <f>Database!WJC28</f>
        <v>0</v>
      </c>
      <c r="WIK4">
        <f>Database!WJD28</f>
        <v>0</v>
      </c>
      <c r="WIL4">
        <f>Database!WJE28</f>
        <v>0</v>
      </c>
      <c r="WIM4">
        <f>Database!WJF28</f>
        <v>0</v>
      </c>
      <c r="WIN4">
        <f>Database!WJG28</f>
        <v>0</v>
      </c>
      <c r="WIO4">
        <f>Database!WJH28</f>
        <v>0</v>
      </c>
      <c r="WIP4">
        <f>Database!WJI28</f>
        <v>0</v>
      </c>
      <c r="WIQ4">
        <f>Database!WJJ28</f>
        <v>0</v>
      </c>
      <c r="WIR4">
        <f>Database!WJK28</f>
        <v>0</v>
      </c>
      <c r="WIS4">
        <f>Database!WJL28</f>
        <v>0</v>
      </c>
      <c r="WIT4">
        <f>Database!WJM28</f>
        <v>0</v>
      </c>
      <c r="WIU4">
        <f>Database!WJN28</f>
        <v>0</v>
      </c>
      <c r="WIV4">
        <f>Database!WJO28</f>
        <v>0</v>
      </c>
      <c r="WIW4">
        <f>Database!WJP28</f>
        <v>0</v>
      </c>
      <c r="WIX4">
        <f>Database!WJQ28</f>
        <v>0</v>
      </c>
      <c r="WIY4">
        <f>Database!WJR28</f>
        <v>0</v>
      </c>
      <c r="WIZ4">
        <f>Database!WJS28</f>
        <v>0</v>
      </c>
      <c r="WJA4">
        <f>Database!WJT28</f>
        <v>0</v>
      </c>
      <c r="WJB4">
        <f>Database!WJU28</f>
        <v>0</v>
      </c>
      <c r="WJC4">
        <f>Database!WJV28</f>
        <v>0</v>
      </c>
      <c r="WJD4">
        <f>Database!WJW28</f>
        <v>0</v>
      </c>
      <c r="WJE4">
        <f>Database!WJX28</f>
        <v>0</v>
      </c>
      <c r="WJF4">
        <f>Database!WJY28</f>
        <v>0</v>
      </c>
      <c r="WJG4">
        <f>Database!WJZ28</f>
        <v>0</v>
      </c>
      <c r="WJH4">
        <f>Database!WKA28</f>
        <v>0</v>
      </c>
      <c r="WJI4">
        <f>Database!WKB28</f>
        <v>0</v>
      </c>
      <c r="WJJ4">
        <f>Database!WKC28</f>
        <v>0</v>
      </c>
      <c r="WJK4">
        <f>Database!WKD28</f>
        <v>0</v>
      </c>
      <c r="WJL4">
        <f>Database!WKE28</f>
        <v>0</v>
      </c>
      <c r="WJM4">
        <f>Database!WKF28</f>
        <v>0</v>
      </c>
      <c r="WJN4">
        <f>Database!WKG28</f>
        <v>0</v>
      </c>
      <c r="WJO4">
        <f>Database!WKH28</f>
        <v>0</v>
      </c>
      <c r="WJP4">
        <f>Database!WKI28</f>
        <v>0</v>
      </c>
      <c r="WJQ4">
        <f>Database!WKJ28</f>
        <v>0</v>
      </c>
      <c r="WJR4">
        <f>Database!WKK28</f>
        <v>0</v>
      </c>
      <c r="WJS4">
        <f>Database!WKL28</f>
        <v>0</v>
      </c>
      <c r="WJT4">
        <f>Database!WKM28</f>
        <v>0</v>
      </c>
      <c r="WJU4">
        <f>Database!WKN28</f>
        <v>0</v>
      </c>
      <c r="WJV4">
        <f>Database!WKO28</f>
        <v>0</v>
      </c>
      <c r="WJW4">
        <f>Database!WKP28</f>
        <v>0</v>
      </c>
      <c r="WJX4">
        <f>Database!WKQ28</f>
        <v>0</v>
      </c>
      <c r="WJY4">
        <f>Database!WKR28</f>
        <v>0</v>
      </c>
      <c r="WJZ4">
        <f>Database!WKS28</f>
        <v>0</v>
      </c>
      <c r="WKA4">
        <f>Database!WKT28</f>
        <v>0</v>
      </c>
      <c r="WKB4">
        <f>Database!WKU28</f>
        <v>0</v>
      </c>
      <c r="WKC4">
        <f>Database!WKV28</f>
        <v>0</v>
      </c>
      <c r="WKD4">
        <f>Database!WKW28</f>
        <v>0</v>
      </c>
      <c r="WKE4">
        <f>Database!WKX28</f>
        <v>0</v>
      </c>
      <c r="WKF4">
        <f>Database!WKY28</f>
        <v>0</v>
      </c>
      <c r="WKG4">
        <f>Database!WKZ28</f>
        <v>0</v>
      </c>
      <c r="WKH4">
        <f>Database!WLA28</f>
        <v>0</v>
      </c>
      <c r="WKI4">
        <f>Database!WLB28</f>
        <v>0</v>
      </c>
      <c r="WKJ4">
        <f>Database!WLC28</f>
        <v>0</v>
      </c>
      <c r="WKK4">
        <f>Database!WLD28</f>
        <v>0</v>
      </c>
      <c r="WKL4">
        <f>Database!WLE28</f>
        <v>0</v>
      </c>
      <c r="WKM4">
        <f>Database!WLF28</f>
        <v>0</v>
      </c>
      <c r="WKN4">
        <f>Database!WLG28</f>
        <v>0</v>
      </c>
      <c r="WKO4">
        <f>Database!WLH28</f>
        <v>0</v>
      </c>
      <c r="WKP4">
        <f>Database!WLI28</f>
        <v>0</v>
      </c>
      <c r="WKQ4">
        <f>Database!WLJ28</f>
        <v>0</v>
      </c>
      <c r="WKR4">
        <f>Database!WLK28</f>
        <v>0</v>
      </c>
      <c r="WKS4">
        <f>Database!WLL28</f>
        <v>0</v>
      </c>
      <c r="WKT4">
        <f>Database!WLM28</f>
        <v>0</v>
      </c>
      <c r="WKU4">
        <f>Database!WLN28</f>
        <v>0</v>
      </c>
      <c r="WKV4">
        <f>Database!WLO28</f>
        <v>0</v>
      </c>
      <c r="WKW4">
        <f>Database!WLP28</f>
        <v>0</v>
      </c>
      <c r="WKX4">
        <f>Database!WLQ28</f>
        <v>0</v>
      </c>
      <c r="WKY4">
        <f>Database!WLR28</f>
        <v>0</v>
      </c>
      <c r="WKZ4">
        <f>Database!WLS28</f>
        <v>0</v>
      </c>
      <c r="WLA4">
        <f>Database!WLT28</f>
        <v>0</v>
      </c>
      <c r="WLB4">
        <f>Database!WLU28</f>
        <v>0</v>
      </c>
      <c r="WLC4">
        <f>Database!WLV28</f>
        <v>0</v>
      </c>
      <c r="WLD4">
        <f>Database!WLW28</f>
        <v>0</v>
      </c>
      <c r="WLE4">
        <f>Database!WLX28</f>
        <v>0</v>
      </c>
      <c r="WLF4">
        <f>Database!WLY28</f>
        <v>0</v>
      </c>
      <c r="WLG4">
        <f>Database!WLZ28</f>
        <v>0</v>
      </c>
      <c r="WLH4">
        <f>Database!WMA28</f>
        <v>0</v>
      </c>
      <c r="WLI4">
        <f>Database!WMB28</f>
        <v>0</v>
      </c>
      <c r="WLJ4">
        <f>Database!WMC28</f>
        <v>0</v>
      </c>
      <c r="WLK4">
        <f>Database!WMD28</f>
        <v>0</v>
      </c>
      <c r="WLL4">
        <f>Database!WME28</f>
        <v>0</v>
      </c>
      <c r="WLM4">
        <f>Database!WMF28</f>
        <v>0</v>
      </c>
      <c r="WLN4">
        <f>Database!WMG28</f>
        <v>0</v>
      </c>
      <c r="WLO4">
        <f>Database!WMH28</f>
        <v>0</v>
      </c>
      <c r="WLP4">
        <f>Database!WMI28</f>
        <v>0</v>
      </c>
      <c r="WLQ4">
        <f>Database!WMJ28</f>
        <v>0</v>
      </c>
      <c r="WLR4">
        <f>Database!WMK28</f>
        <v>0</v>
      </c>
      <c r="WLS4">
        <f>Database!WML28</f>
        <v>0</v>
      </c>
      <c r="WLT4">
        <f>Database!WMM28</f>
        <v>0</v>
      </c>
      <c r="WLU4">
        <f>Database!WMN28</f>
        <v>0</v>
      </c>
      <c r="WLV4">
        <f>Database!WMO28</f>
        <v>0</v>
      </c>
      <c r="WLW4">
        <f>Database!WMP28</f>
        <v>0</v>
      </c>
      <c r="WLX4">
        <f>Database!WMQ28</f>
        <v>0</v>
      </c>
      <c r="WLY4">
        <f>Database!WMR28</f>
        <v>0</v>
      </c>
      <c r="WLZ4">
        <f>Database!WMS28</f>
        <v>0</v>
      </c>
      <c r="WMA4">
        <f>Database!WMT28</f>
        <v>0</v>
      </c>
      <c r="WMB4">
        <f>Database!WMU28</f>
        <v>0</v>
      </c>
      <c r="WMC4">
        <f>Database!WMV28</f>
        <v>0</v>
      </c>
      <c r="WMD4">
        <f>Database!WMW28</f>
        <v>0</v>
      </c>
      <c r="WME4">
        <f>Database!WMX28</f>
        <v>0</v>
      </c>
      <c r="WMF4">
        <f>Database!WMY28</f>
        <v>0</v>
      </c>
      <c r="WMG4">
        <f>Database!WMZ28</f>
        <v>0</v>
      </c>
      <c r="WMH4">
        <f>Database!WNA28</f>
        <v>0</v>
      </c>
      <c r="WMI4">
        <f>Database!WNB28</f>
        <v>0</v>
      </c>
      <c r="WMJ4">
        <f>Database!WNC28</f>
        <v>0</v>
      </c>
      <c r="WMK4">
        <f>Database!WND28</f>
        <v>0</v>
      </c>
      <c r="WML4">
        <f>Database!WNE28</f>
        <v>0</v>
      </c>
      <c r="WMM4">
        <f>Database!WNF28</f>
        <v>0</v>
      </c>
      <c r="WMN4">
        <f>Database!WNG28</f>
        <v>0</v>
      </c>
      <c r="WMO4">
        <f>Database!WNH28</f>
        <v>0</v>
      </c>
      <c r="WMP4">
        <f>Database!WNI28</f>
        <v>0</v>
      </c>
      <c r="WMQ4">
        <f>Database!WNJ28</f>
        <v>0</v>
      </c>
      <c r="WMR4">
        <f>Database!WNK28</f>
        <v>0</v>
      </c>
      <c r="WMS4">
        <f>Database!WNL28</f>
        <v>0</v>
      </c>
      <c r="WMT4">
        <f>Database!WNM28</f>
        <v>0</v>
      </c>
      <c r="WMU4">
        <f>Database!WNN28</f>
        <v>0</v>
      </c>
      <c r="WMV4">
        <f>Database!WNO28</f>
        <v>0</v>
      </c>
      <c r="WMW4">
        <f>Database!WNP28</f>
        <v>0</v>
      </c>
      <c r="WMX4">
        <f>Database!WNQ28</f>
        <v>0</v>
      </c>
      <c r="WMY4">
        <f>Database!WNR28</f>
        <v>0</v>
      </c>
      <c r="WMZ4">
        <f>Database!WNS28</f>
        <v>0</v>
      </c>
      <c r="WNA4">
        <f>Database!WNT28</f>
        <v>0</v>
      </c>
      <c r="WNB4">
        <f>Database!WNU28</f>
        <v>0</v>
      </c>
      <c r="WNC4">
        <f>Database!WNV28</f>
        <v>0</v>
      </c>
      <c r="WND4">
        <f>Database!WNW28</f>
        <v>0</v>
      </c>
      <c r="WNE4">
        <f>Database!WNX28</f>
        <v>0</v>
      </c>
      <c r="WNF4">
        <f>Database!WNY28</f>
        <v>0</v>
      </c>
      <c r="WNG4">
        <f>Database!WNZ28</f>
        <v>0</v>
      </c>
      <c r="WNH4">
        <f>Database!WOA28</f>
        <v>0</v>
      </c>
      <c r="WNI4">
        <f>Database!WOB28</f>
        <v>0</v>
      </c>
      <c r="WNJ4">
        <f>Database!WOC28</f>
        <v>0</v>
      </c>
      <c r="WNK4">
        <f>Database!WOD28</f>
        <v>0</v>
      </c>
      <c r="WNL4">
        <f>Database!WOE28</f>
        <v>0</v>
      </c>
      <c r="WNM4">
        <f>Database!WOF28</f>
        <v>0</v>
      </c>
      <c r="WNN4">
        <f>Database!WOG28</f>
        <v>0</v>
      </c>
      <c r="WNO4">
        <f>Database!WOH28</f>
        <v>0</v>
      </c>
      <c r="WNP4">
        <f>Database!WOI28</f>
        <v>0</v>
      </c>
      <c r="WNQ4">
        <f>Database!WOJ28</f>
        <v>0</v>
      </c>
      <c r="WNR4">
        <f>Database!WOK28</f>
        <v>0</v>
      </c>
      <c r="WNS4">
        <f>Database!WOL28</f>
        <v>0</v>
      </c>
      <c r="WNT4">
        <f>Database!WOM28</f>
        <v>0</v>
      </c>
      <c r="WNU4">
        <f>Database!WON28</f>
        <v>0</v>
      </c>
      <c r="WNV4">
        <f>Database!WOO28</f>
        <v>0</v>
      </c>
      <c r="WNW4">
        <f>Database!WOP28</f>
        <v>0</v>
      </c>
      <c r="WNX4">
        <f>Database!WOQ28</f>
        <v>0</v>
      </c>
      <c r="WNY4">
        <f>Database!WOR28</f>
        <v>0</v>
      </c>
      <c r="WNZ4">
        <f>Database!WOS28</f>
        <v>0</v>
      </c>
      <c r="WOA4">
        <f>Database!WOT28</f>
        <v>0</v>
      </c>
      <c r="WOB4">
        <f>Database!WOU28</f>
        <v>0</v>
      </c>
      <c r="WOC4">
        <f>Database!WOV28</f>
        <v>0</v>
      </c>
      <c r="WOD4">
        <f>Database!WOW28</f>
        <v>0</v>
      </c>
      <c r="WOE4">
        <f>Database!WOX28</f>
        <v>0</v>
      </c>
      <c r="WOF4">
        <f>Database!WOY28</f>
        <v>0</v>
      </c>
      <c r="WOG4">
        <f>Database!WOZ28</f>
        <v>0</v>
      </c>
      <c r="WOH4">
        <f>Database!WPA28</f>
        <v>0</v>
      </c>
      <c r="WOI4">
        <f>Database!WPB28</f>
        <v>0</v>
      </c>
      <c r="WOJ4">
        <f>Database!WPC28</f>
        <v>0</v>
      </c>
      <c r="WOK4">
        <f>Database!WPD28</f>
        <v>0</v>
      </c>
      <c r="WOL4">
        <f>Database!WPE28</f>
        <v>0</v>
      </c>
      <c r="WOM4">
        <f>Database!WPF28</f>
        <v>0</v>
      </c>
      <c r="WON4">
        <f>Database!WPG28</f>
        <v>0</v>
      </c>
      <c r="WOO4">
        <f>Database!WPH28</f>
        <v>0</v>
      </c>
      <c r="WOP4">
        <f>Database!WPI28</f>
        <v>0</v>
      </c>
      <c r="WOQ4">
        <f>Database!WPJ28</f>
        <v>0</v>
      </c>
      <c r="WOR4">
        <f>Database!WPK28</f>
        <v>0</v>
      </c>
      <c r="WOS4">
        <f>Database!WPL28</f>
        <v>0</v>
      </c>
      <c r="WOT4">
        <f>Database!WPM28</f>
        <v>0</v>
      </c>
      <c r="WOU4">
        <f>Database!WPN28</f>
        <v>0</v>
      </c>
      <c r="WOV4">
        <f>Database!WPO28</f>
        <v>0</v>
      </c>
      <c r="WOW4">
        <f>Database!WPP28</f>
        <v>0</v>
      </c>
      <c r="WOX4">
        <f>Database!WPQ28</f>
        <v>0</v>
      </c>
      <c r="WOY4">
        <f>Database!WPR28</f>
        <v>0</v>
      </c>
      <c r="WOZ4">
        <f>Database!WPS28</f>
        <v>0</v>
      </c>
      <c r="WPA4">
        <f>Database!WPT28</f>
        <v>0</v>
      </c>
      <c r="WPB4">
        <f>Database!WPU28</f>
        <v>0</v>
      </c>
      <c r="WPC4">
        <f>Database!WPV28</f>
        <v>0</v>
      </c>
      <c r="WPD4">
        <f>Database!WPW28</f>
        <v>0</v>
      </c>
      <c r="WPE4">
        <f>Database!WPX28</f>
        <v>0</v>
      </c>
      <c r="WPF4">
        <f>Database!WPY28</f>
        <v>0</v>
      </c>
      <c r="WPG4">
        <f>Database!WPZ28</f>
        <v>0</v>
      </c>
      <c r="WPH4">
        <f>Database!WQA28</f>
        <v>0</v>
      </c>
      <c r="WPI4">
        <f>Database!WQB28</f>
        <v>0</v>
      </c>
      <c r="WPJ4">
        <f>Database!WQC28</f>
        <v>0</v>
      </c>
      <c r="WPK4">
        <f>Database!WQD28</f>
        <v>0</v>
      </c>
      <c r="WPL4">
        <f>Database!WQE28</f>
        <v>0</v>
      </c>
      <c r="WPM4">
        <f>Database!WQF28</f>
        <v>0</v>
      </c>
      <c r="WPN4">
        <f>Database!WQG28</f>
        <v>0</v>
      </c>
      <c r="WPO4">
        <f>Database!WQH28</f>
        <v>0</v>
      </c>
      <c r="WPP4">
        <f>Database!WQI28</f>
        <v>0</v>
      </c>
      <c r="WPQ4">
        <f>Database!WQJ28</f>
        <v>0</v>
      </c>
      <c r="WPR4">
        <f>Database!WQK28</f>
        <v>0</v>
      </c>
      <c r="WPS4">
        <f>Database!WQL28</f>
        <v>0</v>
      </c>
      <c r="WPT4">
        <f>Database!WQM28</f>
        <v>0</v>
      </c>
      <c r="WPU4">
        <f>Database!WQN28</f>
        <v>0</v>
      </c>
      <c r="WPV4">
        <f>Database!WQO28</f>
        <v>0</v>
      </c>
      <c r="WPW4">
        <f>Database!WQP28</f>
        <v>0</v>
      </c>
      <c r="WPX4">
        <f>Database!WQQ28</f>
        <v>0</v>
      </c>
      <c r="WPY4">
        <f>Database!WQR28</f>
        <v>0</v>
      </c>
      <c r="WPZ4">
        <f>Database!WQS28</f>
        <v>0</v>
      </c>
      <c r="WQA4">
        <f>Database!WQT28</f>
        <v>0</v>
      </c>
      <c r="WQB4">
        <f>Database!WQU28</f>
        <v>0</v>
      </c>
      <c r="WQC4">
        <f>Database!WQV28</f>
        <v>0</v>
      </c>
      <c r="WQD4">
        <f>Database!WQW28</f>
        <v>0</v>
      </c>
      <c r="WQE4">
        <f>Database!WQX28</f>
        <v>0</v>
      </c>
      <c r="WQF4">
        <f>Database!WQY28</f>
        <v>0</v>
      </c>
      <c r="WQG4">
        <f>Database!WQZ28</f>
        <v>0</v>
      </c>
      <c r="WQH4">
        <f>Database!WRA28</f>
        <v>0</v>
      </c>
      <c r="WQI4">
        <f>Database!WRB28</f>
        <v>0</v>
      </c>
      <c r="WQJ4">
        <f>Database!WRC28</f>
        <v>0</v>
      </c>
      <c r="WQK4">
        <f>Database!WRD28</f>
        <v>0</v>
      </c>
      <c r="WQL4">
        <f>Database!WRE28</f>
        <v>0</v>
      </c>
      <c r="WQM4">
        <f>Database!WRF28</f>
        <v>0</v>
      </c>
      <c r="WQN4">
        <f>Database!WRG28</f>
        <v>0</v>
      </c>
      <c r="WQO4">
        <f>Database!WRH28</f>
        <v>0</v>
      </c>
      <c r="WQP4">
        <f>Database!WRI28</f>
        <v>0</v>
      </c>
      <c r="WQQ4">
        <f>Database!WRJ28</f>
        <v>0</v>
      </c>
      <c r="WQR4">
        <f>Database!WRK28</f>
        <v>0</v>
      </c>
      <c r="WQS4">
        <f>Database!WRL28</f>
        <v>0</v>
      </c>
      <c r="WQT4">
        <f>Database!WRM28</f>
        <v>0</v>
      </c>
      <c r="WQU4">
        <f>Database!WRN28</f>
        <v>0</v>
      </c>
      <c r="WQV4">
        <f>Database!WRO28</f>
        <v>0</v>
      </c>
      <c r="WQW4">
        <f>Database!WRP28</f>
        <v>0</v>
      </c>
      <c r="WQX4">
        <f>Database!WRQ28</f>
        <v>0</v>
      </c>
      <c r="WQY4">
        <f>Database!WRR28</f>
        <v>0</v>
      </c>
      <c r="WQZ4">
        <f>Database!WRS28</f>
        <v>0</v>
      </c>
      <c r="WRA4">
        <f>Database!WRT28</f>
        <v>0</v>
      </c>
      <c r="WRB4">
        <f>Database!WRU28</f>
        <v>0</v>
      </c>
      <c r="WRC4">
        <f>Database!WRV28</f>
        <v>0</v>
      </c>
      <c r="WRD4">
        <f>Database!WRW28</f>
        <v>0</v>
      </c>
      <c r="WRE4">
        <f>Database!WRX28</f>
        <v>0</v>
      </c>
      <c r="WRF4">
        <f>Database!WRY28</f>
        <v>0</v>
      </c>
      <c r="WRG4">
        <f>Database!WRZ28</f>
        <v>0</v>
      </c>
      <c r="WRH4">
        <f>Database!WSA28</f>
        <v>0</v>
      </c>
      <c r="WRI4">
        <f>Database!WSB28</f>
        <v>0</v>
      </c>
      <c r="WRJ4">
        <f>Database!WSC28</f>
        <v>0</v>
      </c>
      <c r="WRK4">
        <f>Database!WSD28</f>
        <v>0</v>
      </c>
      <c r="WRL4">
        <f>Database!WSE28</f>
        <v>0</v>
      </c>
      <c r="WRM4">
        <f>Database!WSF28</f>
        <v>0</v>
      </c>
      <c r="WRN4">
        <f>Database!WSG28</f>
        <v>0</v>
      </c>
      <c r="WRO4">
        <f>Database!WSH28</f>
        <v>0</v>
      </c>
      <c r="WRP4">
        <f>Database!WSI28</f>
        <v>0</v>
      </c>
      <c r="WRQ4">
        <f>Database!WSJ28</f>
        <v>0</v>
      </c>
      <c r="WRR4">
        <f>Database!WSK28</f>
        <v>0</v>
      </c>
      <c r="WRS4">
        <f>Database!WSL28</f>
        <v>0</v>
      </c>
      <c r="WRT4">
        <f>Database!WSM28</f>
        <v>0</v>
      </c>
      <c r="WRU4">
        <f>Database!WSN28</f>
        <v>0</v>
      </c>
      <c r="WRV4">
        <f>Database!WSO28</f>
        <v>0</v>
      </c>
      <c r="WRW4">
        <f>Database!WSP28</f>
        <v>0</v>
      </c>
      <c r="WRX4">
        <f>Database!WSQ28</f>
        <v>0</v>
      </c>
      <c r="WRY4">
        <f>Database!WSR28</f>
        <v>0</v>
      </c>
      <c r="WRZ4">
        <f>Database!WSS28</f>
        <v>0</v>
      </c>
      <c r="WSA4">
        <f>Database!WST28</f>
        <v>0</v>
      </c>
      <c r="WSB4">
        <f>Database!WSU28</f>
        <v>0</v>
      </c>
      <c r="WSC4">
        <f>Database!WSV28</f>
        <v>0</v>
      </c>
      <c r="WSD4">
        <f>Database!WSW28</f>
        <v>0</v>
      </c>
      <c r="WSE4">
        <f>Database!WSX28</f>
        <v>0</v>
      </c>
      <c r="WSF4">
        <f>Database!WSY28</f>
        <v>0</v>
      </c>
      <c r="WSG4">
        <f>Database!WSZ28</f>
        <v>0</v>
      </c>
      <c r="WSH4">
        <f>Database!WTA28</f>
        <v>0</v>
      </c>
      <c r="WSI4">
        <f>Database!WTB28</f>
        <v>0</v>
      </c>
      <c r="WSJ4">
        <f>Database!WTC28</f>
        <v>0</v>
      </c>
      <c r="WSK4">
        <f>Database!WTD28</f>
        <v>0</v>
      </c>
      <c r="WSL4">
        <f>Database!WTE28</f>
        <v>0</v>
      </c>
      <c r="WSM4">
        <f>Database!WTF28</f>
        <v>0</v>
      </c>
      <c r="WSN4">
        <f>Database!WTG28</f>
        <v>0</v>
      </c>
      <c r="WSO4">
        <f>Database!WTH28</f>
        <v>0</v>
      </c>
      <c r="WSP4">
        <f>Database!WTI28</f>
        <v>0</v>
      </c>
      <c r="WSQ4">
        <f>Database!WTJ28</f>
        <v>0</v>
      </c>
      <c r="WSR4">
        <f>Database!WTK28</f>
        <v>0</v>
      </c>
      <c r="WSS4">
        <f>Database!WTL28</f>
        <v>0</v>
      </c>
      <c r="WST4">
        <f>Database!WTM28</f>
        <v>0</v>
      </c>
      <c r="WSU4">
        <f>Database!WTN28</f>
        <v>0</v>
      </c>
      <c r="WSV4">
        <f>Database!WTO28</f>
        <v>0</v>
      </c>
      <c r="WSW4">
        <f>Database!WTP28</f>
        <v>0</v>
      </c>
      <c r="WSX4">
        <f>Database!WTQ28</f>
        <v>0</v>
      </c>
      <c r="WSY4">
        <f>Database!WTR28</f>
        <v>0</v>
      </c>
      <c r="WSZ4">
        <f>Database!WTS28</f>
        <v>0</v>
      </c>
      <c r="WTA4">
        <f>Database!WTT28</f>
        <v>0</v>
      </c>
      <c r="WTB4">
        <f>Database!WTU28</f>
        <v>0</v>
      </c>
      <c r="WTC4">
        <f>Database!WTV28</f>
        <v>0</v>
      </c>
      <c r="WTD4">
        <f>Database!WTW28</f>
        <v>0</v>
      </c>
      <c r="WTE4">
        <f>Database!WTX28</f>
        <v>0</v>
      </c>
      <c r="WTF4">
        <f>Database!WTY28</f>
        <v>0</v>
      </c>
      <c r="WTG4">
        <f>Database!WTZ28</f>
        <v>0</v>
      </c>
      <c r="WTH4">
        <f>Database!WUA28</f>
        <v>0</v>
      </c>
      <c r="WTI4">
        <f>Database!WUB28</f>
        <v>0</v>
      </c>
      <c r="WTJ4">
        <f>Database!WUC28</f>
        <v>0</v>
      </c>
      <c r="WTK4">
        <f>Database!WUD28</f>
        <v>0</v>
      </c>
      <c r="WTL4">
        <f>Database!WUE28</f>
        <v>0</v>
      </c>
      <c r="WTM4">
        <f>Database!WUF28</f>
        <v>0</v>
      </c>
      <c r="WTN4">
        <f>Database!WUG28</f>
        <v>0</v>
      </c>
      <c r="WTO4">
        <f>Database!WUH28</f>
        <v>0</v>
      </c>
      <c r="WTP4">
        <f>Database!WUI28</f>
        <v>0</v>
      </c>
      <c r="WTQ4">
        <f>Database!WUJ28</f>
        <v>0</v>
      </c>
      <c r="WTR4">
        <f>Database!WUK28</f>
        <v>0</v>
      </c>
      <c r="WTS4">
        <f>Database!WUL28</f>
        <v>0</v>
      </c>
      <c r="WTT4">
        <f>Database!WUM28</f>
        <v>0</v>
      </c>
      <c r="WTU4">
        <f>Database!WUN28</f>
        <v>0</v>
      </c>
      <c r="WTV4">
        <f>Database!WUO28</f>
        <v>0</v>
      </c>
      <c r="WTW4">
        <f>Database!WUP28</f>
        <v>0</v>
      </c>
      <c r="WTX4">
        <f>Database!WUQ28</f>
        <v>0</v>
      </c>
      <c r="WTY4">
        <f>Database!WUR28</f>
        <v>0</v>
      </c>
      <c r="WTZ4">
        <f>Database!WUS28</f>
        <v>0</v>
      </c>
      <c r="WUA4">
        <f>Database!WUT28</f>
        <v>0</v>
      </c>
      <c r="WUB4">
        <f>Database!WUU28</f>
        <v>0</v>
      </c>
      <c r="WUC4">
        <f>Database!WUV28</f>
        <v>0</v>
      </c>
      <c r="WUD4">
        <f>Database!WUW28</f>
        <v>0</v>
      </c>
      <c r="WUE4">
        <f>Database!WUX28</f>
        <v>0</v>
      </c>
      <c r="WUF4">
        <f>Database!WUY28</f>
        <v>0</v>
      </c>
      <c r="WUG4">
        <f>Database!WUZ28</f>
        <v>0</v>
      </c>
      <c r="WUH4">
        <f>Database!WVA28</f>
        <v>0</v>
      </c>
      <c r="WUI4">
        <f>Database!WVB28</f>
        <v>0</v>
      </c>
      <c r="WUJ4">
        <f>Database!WVC28</f>
        <v>0</v>
      </c>
      <c r="WUK4">
        <f>Database!WVD28</f>
        <v>0</v>
      </c>
      <c r="WUL4">
        <f>Database!WVE28</f>
        <v>0</v>
      </c>
      <c r="WUM4">
        <f>Database!WVF28</f>
        <v>0</v>
      </c>
      <c r="WUN4">
        <f>Database!WVG28</f>
        <v>0</v>
      </c>
      <c r="WUO4">
        <f>Database!WVH28</f>
        <v>0</v>
      </c>
      <c r="WUP4">
        <f>Database!WVI28</f>
        <v>0</v>
      </c>
      <c r="WUQ4">
        <f>Database!WVJ28</f>
        <v>0</v>
      </c>
      <c r="WUR4">
        <f>Database!WVK28</f>
        <v>0</v>
      </c>
      <c r="WUS4">
        <f>Database!WVL28</f>
        <v>0</v>
      </c>
      <c r="WUT4">
        <f>Database!WVM28</f>
        <v>0</v>
      </c>
      <c r="WUU4">
        <f>Database!WVN28</f>
        <v>0</v>
      </c>
      <c r="WUV4">
        <f>Database!WVO28</f>
        <v>0</v>
      </c>
      <c r="WUW4">
        <f>Database!WVP28</f>
        <v>0</v>
      </c>
      <c r="WUX4">
        <f>Database!WVQ28</f>
        <v>0</v>
      </c>
      <c r="WUY4">
        <f>Database!WVR28</f>
        <v>0</v>
      </c>
      <c r="WUZ4">
        <f>Database!WVS28</f>
        <v>0</v>
      </c>
      <c r="WVA4">
        <f>Database!WVT28</f>
        <v>0</v>
      </c>
      <c r="WVB4">
        <f>Database!WVU28</f>
        <v>0</v>
      </c>
      <c r="WVC4">
        <f>Database!WVV28</f>
        <v>0</v>
      </c>
      <c r="WVD4">
        <f>Database!WVW28</f>
        <v>0</v>
      </c>
      <c r="WVE4">
        <f>Database!WVX28</f>
        <v>0</v>
      </c>
      <c r="WVF4">
        <f>Database!WVY28</f>
        <v>0</v>
      </c>
      <c r="WVG4">
        <f>Database!WVZ28</f>
        <v>0</v>
      </c>
      <c r="WVH4">
        <f>Database!WWA28</f>
        <v>0</v>
      </c>
      <c r="WVI4">
        <f>Database!WWB28</f>
        <v>0</v>
      </c>
      <c r="WVJ4">
        <f>Database!WWC28</f>
        <v>0</v>
      </c>
      <c r="WVK4">
        <f>Database!WWD28</f>
        <v>0</v>
      </c>
      <c r="WVL4">
        <f>Database!WWE28</f>
        <v>0</v>
      </c>
      <c r="WVM4">
        <f>Database!WWF28</f>
        <v>0</v>
      </c>
      <c r="WVN4">
        <f>Database!WWG28</f>
        <v>0</v>
      </c>
      <c r="WVO4">
        <f>Database!WWH28</f>
        <v>0</v>
      </c>
      <c r="WVP4">
        <f>Database!WWI28</f>
        <v>0</v>
      </c>
      <c r="WVQ4">
        <f>Database!WWJ28</f>
        <v>0</v>
      </c>
      <c r="WVR4">
        <f>Database!WWK28</f>
        <v>0</v>
      </c>
      <c r="WVS4">
        <f>Database!WWL28</f>
        <v>0</v>
      </c>
      <c r="WVT4">
        <f>Database!WWM28</f>
        <v>0</v>
      </c>
      <c r="WVU4">
        <f>Database!WWN28</f>
        <v>0</v>
      </c>
      <c r="WVV4">
        <f>Database!WWO28</f>
        <v>0</v>
      </c>
      <c r="WVW4">
        <f>Database!WWP28</f>
        <v>0</v>
      </c>
      <c r="WVX4">
        <f>Database!WWQ28</f>
        <v>0</v>
      </c>
      <c r="WVY4">
        <f>Database!WWR28</f>
        <v>0</v>
      </c>
      <c r="WVZ4">
        <f>Database!WWS28</f>
        <v>0</v>
      </c>
      <c r="WWA4">
        <f>Database!WWT28</f>
        <v>0</v>
      </c>
      <c r="WWB4">
        <f>Database!WWU28</f>
        <v>0</v>
      </c>
      <c r="WWC4">
        <f>Database!WWV28</f>
        <v>0</v>
      </c>
      <c r="WWD4">
        <f>Database!WWW28</f>
        <v>0</v>
      </c>
      <c r="WWE4">
        <f>Database!WWX28</f>
        <v>0</v>
      </c>
      <c r="WWF4">
        <f>Database!WWY28</f>
        <v>0</v>
      </c>
      <c r="WWG4">
        <f>Database!WWZ28</f>
        <v>0</v>
      </c>
      <c r="WWH4">
        <f>Database!WXA28</f>
        <v>0</v>
      </c>
      <c r="WWI4">
        <f>Database!WXB28</f>
        <v>0</v>
      </c>
      <c r="WWJ4">
        <f>Database!WXC28</f>
        <v>0</v>
      </c>
      <c r="WWK4">
        <f>Database!WXD28</f>
        <v>0</v>
      </c>
      <c r="WWL4">
        <f>Database!WXE28</f>
        <v>0</v>
      </c>
      <c r="WWM4">
        <f>Database!WXF28</f>
        <v>0</v>
      </c>
      <c r="WWN4">
        <f>Database!WXG28</f>
        <v>0</v>
      </c>
      <c r="WWO4">
        <f>Database!WXH28</f>
        <v>0</v>
      </c>
      <c r="WWP4">
        <f>Database!WXI28</f>
        <v>0</v>
      </c>
      <c r="WWQ4">
        <f>Database!WXJ28</f>
        <v>0</v>
      </c>
      <c r="WWR4">
        <f>Database!WXK28</f>
        <v>0</v>
      </c>
      <c r="WWS4">
        <f>Database!WXL28</f>
        <v>0</v>
      </c>
      <c r="WWT4">
        <f>Database!WXM28</f>
        <v>0</v>
      </c>
      <c r="WWU4">
        <f>Database!WXN28</f>
        <v>0</v>
      </c>
      <c r="WWV4">
        <f>Database!WXO28</f>
        <v>0</v>
      </c>
      <c r="WWW4">
        <f>Database!WXP28</f>
        <v>0</v>
      </c>
      <c r="WWX4">
        <f>Database!WXQ28</f>
        <v>0</v>
      </c>
      <c r="WWY4">
        <f>Database!WXR28</f>
        <v>0</v>
      </c>
      <c r="WWZ4">
        <f>Database!WXS28</f>
        <v>0</v>
      </c>
      <c r="WXA4">
        <f>Database!WXT28</f>
        <v>0</v>
      </c>
      <c r="WXB4">
        <f>Database!WXU28</f>
        <v>0</v>
      </c>
      <c r="WXC4">
        <f>Database!WXV28</f>
        <v>0</v>
      </c>
      <c r="WXD4">
        <f>Database!WXW28</f>
        <v>0</v>
      </c>
      <c r="WXE4">
        <f>Database!WXX28</f>
        <v>0</v>
      </c>
      <c r="WXF4">
        <f>Database!WXY28</f>
        <v>0</v>
      </c>
      <c r="WXG4">
        <f>Database!WXZ28</f>
        <v>0</v>
      </c>
      <c r="WXH4">
        <f>Database!WYA28</f>
        <v>0</v>
      </c>
      <c r="WXI4">
        <f>Database!WYB28</f>
        <v>0</v>
      </c>
      <c r="WXJ4">
        <f>Database!WYC28</f>
        <v>0</v>
      </c>
      <c r="WXK4">
        <f>Database!WYD28</f>
        <v>0</v>
      </c>
      <c r="WXL4">
        <f>Database!WYE28</f>
        <v>0</v>
      </c>
      <c r="WXM4">
        <f>Database!WYF28</f>
        <v>0</v>
      </c>
      <c r="WXN4">
        <f>Database!WYG28</f>
        <v>0</v>
      </c>
      <c r="WXO4">
        <f>Database!WYH28</f>
        <v>0</v>
      </c>
      <c r="WXP4">
        <f>Database!WYI28</f>
        <v>0</v>
      </c>
      <c r="WXQ4">
        <f>Database!WYJ28</f>
        <v>0</v>
      </c>
      <c r="WXR4">
        <f>Database!WYK28</f>
        <v>0</v>
      </c>
      <c r="WXS4">
        <f>Database!WYL28</f>
        <v>0</v>
      </c>
      <c r="WXT4">
        <f>Database!WYM28</f>
        <v>0</v>
      </c>
      <c r="WXU4">
        <f>Database!WYN28</f>
        <v>0</v>
      </c>
      <c r="WXV4">
        <f>Database!WYO28</f>
        <v>0</v>
      </c>
      <c r="WXW4">
        <f>Database!WYP28</f>
        <v>0</v>
      </c>
      <c r="WXX4">
        <f>Database!WYQ28</f>
        <v>0</v>
      </c>
      <c r="WXY4">
        <f>Database!WYR28</f>
        <v>0</v>
      </c>
      <c r="WXZ4">
        <f>Database!WYS28</f>
        <v>0</v>
      </c>
      <c r="WYA4">
        <f>Database!WYT28</f>
        <v>0</v>
      </c>
      <c r="WYB4">
        <f>Database!WYU28</f>
        <v>0</v>
      </c>
      <c r="WYC4">
        <f>Database!WYV28</f>
        <v>0</v>
      </c>
      <c r="WYD4">
        <f>Database!WYW28</f>
        <v>0</v>
      </c>
      <c r="WYE4">
        <f>Database!WYX28</f>
        <v>0</v>
      </c>
      <c r="WYF4">
        <f>Database!WYY28</f>
        <v>0</v>
      </c>
      <c r="WYG4">
        <f>Database!WYZ28</f>
        <v>0</v>
      </c>
      <c r="WYH4">
        <f>Database!WZA28</f>
        <v>0</v>
      </c>
      <c r="WYI4">
        <f>Database!WZB28</f>
        <v>0</v>
      </c>
      <c r="WYJ4">
        <f>Database!WZC28</f>
        <v>0</v>
      </c>
      <c r="WYK4">
        <f>Database!WZD28</f>
        <v>0</v>
      </c>
      <c r="WYL4">
        <f>Database!WZE28</f>
        <v>0</v>
      </c>
      <c r="WYM4">
        <f>Database!WZF28</f>
        <v>0</v>
      </c>
      <c r="WYN4">
        <f>Database!WZG28</f>
        <v>0</v>
      </c>
      <c r="WYO4">
        <f>Database!WZH28</f>
        <v>0</v>
      </c>
      <c r="WYP4">
        <f>Database!WZI28</f>
        <v>0</v>
      </c>
      <c r="WYQ4">
        <f>Database!WZJ28</f>
        <v>0</v>
      </c>
      <c r="WYR4">
        <f>Database!WZK28</f>
        <v>0</v>
      </c>
      <c r="WYS4">
        <f>Database!WZL28</f>
        <v>0</v>
      </c>
      <c r="WYT4">
        <f>Database!WZM28</f>
        <v>0</v>
      </c>
      <c r="WYU4">
        <f>Database!WZN28</f>
        <v>0</v>
      </c>
      <c r="WYV4">
        <f>Database!WZO28</f>
        <v>0</v>
      </c>
      <c r="WYW4">
        <f>Database!WZP28</f>
        <v>0</v>
      </c>
      <c r="WYX4">
        <f>Database!WZQ28</f>
        <v>0</v>
      </c>
      <c r="WYY4">
        <f>Database!WZR28</f>
        <v>0</v>
      </c>
      <c r="WYZ4">
        <f>Database!WZS28</f>
        <v>0</v>
      </c>
      <c r="WZA4">
        <f>Database!WZT28</f>
        <v>0</v>
      </c>
      <c r="WZB4">
        <f>Database!WZU28</f>
        <v>0</v>
      </c>
      <c r="WZC4">
        <f>Database!WZV28</f>
        <v>0</v>
      </c>
      <c r="WZD4">
        <f>Database!WZW28</f>
        <v>0</v>
      </c>
      <c r="WZE4">
        <f>Database!WZX28</f>
        <v>0</v>
      </c>
      <c r="WZF4">
        <f>Database!WZY28</f>
        <v>0</v>
      </c>
      <c r="WZG4">
        <f>Database!WZZ28</f>
        <v>0</v>
      </c>
      <c r="WZH4">
        <f>Database!XAA28</f>
        <v>0</v>
      </c>
      <c r="WZI4">
        <f>Database!XAB28</f>
        <v>0</v>
      </c>
      <c r="WZJ4">
        <f>Database!XAC28</f>
        <v>0</v>
      </c>
      <c r="WZK4">
        <f>Database!XAD28</f>
        <v>0</v>
      </c>
      <c r="WZL4">
        <f>Database!XAE28</f>
        <v>0</v>
      </c>
      <c r="WZM4">
        <f>Database!XAF28</f>
        <v>0</v>
      </c>
      <c r="WZN4">
        <f>Database!XAG28</f>
        <v>0</v>
      </c>
      <c r="WZO4">
        <f>Database!XAH28</f>
        <v>0</v>
      </c>
      <c r="WZP4">
        <f>Database!XAI28</f>
        <v>0</v>
      </c>
      <c r="WZQ4">
        <f>Database!XAJ28</f>
        <v>0</v>
      </c>
      <c r="WZR4">
        <f>Database!XAK28</f>
        <v>0</v>
      </c>
      <c r="WZS4">
        <f>Database!XAL28</f>
        <v>0</v>
      </c>
      <c r="WZT4">
        <f>Database!XAM28</f>
        <v>0</v>
      </c>
      <c r="WZU4">
        <f>Database!XAN28</f>
        <v>0</v>
      </c>
      <c r="WZV4">
        <f>Database!XAO28</f>
        <v>0</v>
      </c>
      <c r="WZW4">
        <f>Database!XAP28</f>
        <v>0</v>
      </c>
      <c r="WZX4">
        <f>Database!XAQ28</f>
        <v>0</v>
      </c>
      <c r="WZY4">
        <f>Database!XAR28</f>
        <v>0</v>
      </c>
      <c r="WZZ4">
        <f>Database!XAS28</f>
        <v>0</v>
      </c>
      <c r="XAA4">
        <f>Database!XAT28</f>
        <v>0</v>
      </c>
      <c r="XAB4">
        <f>Database!XAU28</f>
        <v>0</v>
      </c>
      <c r="XAC4">
        <f>Database!XAV28</f>
        <v>0</v>
      </c>
      <c r="XAD4">
        <f>Database!XAW28</f>
        <v>0</v>
      </c>
      <c r="XAE4">
        <f>Database!XAX28</f>
        <v>0</v>
      </c>
      <c r="XAF4">
        <f>Database!XAY28</f>
        <v>0</v>
      </c>
      <c r="XAG4">
        <f>Database!XAZ28</f>
        <v>0</v>
      </c>
      <c r="XAH4">
        <f>Database!XBA28</f>
        <v>0</v>
      </c>
      <c r="XAI4">
        <f>Database!XBB28</f>
        <v>0</v>
      </c>
      <c r="XAJ4">
        <f>Database!XBC28</f>
        <v>0</v>
      </c>
      <c r="XAK4">
        <f>Database!XBD28</f>
        <v>0</v>
      </c>
      <c r="XAL4">
        <f>Database!XBE28</f>
        <v>0</v>
      </c>
      <c r="XAM4">
        <f>Database!XBF28</f>
        <v>0</v>
      </c>
      <c r="XAN4">
        <f>Database!XBG28</f>
        <v>0</v>
      </c>
      <c r="XAO4">
        <f>Database!XBH28</f>
        <v>0</v>
      </c>
      <c r="XAP4">
        <f>Database!XBI28</f>
        <v>0</v>
      </c>
      <c r="XAQ4">
        <f>Database!XBJ28</f>
        <v>0</v>
      </c>
      <c r="XAR4">
        <f>Database!XBK28</f>
        <v>0</v>
      </c>
      <c r="XAS4">
        <f>Database!XBL28</f>
        <v>0</v>
      </c>
      <c r="XAT4">
        <f>Database!XBM28</f>
        <v>0</v>
      </c>
      <c r="XAU4">
        <f>Database!XBN28</f>
        <v>0</v>
      </c>
      <c r="XAV4">
        <f>Database!XBO28</f>
        <v>0</v>
      </c>
      <c r="XAW4">
        <f>Database!XBP28</f>
        <v>0</v>
      </c>
      <c r="XAX4">
        <f>Database!XBQ28</f>
        <v>0</v>
      </c>
      <c r="XAY4">
        <f>Database!XBR28</f>
        <v>0</v>
      </c>
      <c r="XAZ4">
        <f>Database!XBS28</f>
        <v>0</v>
      </c>
      <c r="XBA4">
        <f>Database!XBT28</f>
        <v>0</v>
      </c>
      <c r="XBB4">
        <f>Database!XBU28</f>
        <v>0</v>
      </c>
      <c r="XBC4">
        <f>Database!XBV28</f>
        <v>0</v>
      </c>
      <c r="XBD4">
        <f>Database!XBW28</f>
        <v>0</v>
      </c>
      <c r="XBE4">
        <f>Database!XBX28</f>
        <v>0</v>
      </c>
      <c r="XBF4">
        <f>Database!XBY28</f>
        <v>0</v>
      </c>
      <c r="XBG4">
        <f>Database!XBZ28</f>
        <v>0</v>
      </c>
      <c r="XBH4">
        <f>Database!XCA28</f>
        <v>0</v>
      </c>
      <c r="XBI4">
        <f>Database!XCB28</f>
        <v>0</v>
      </c>
      <c r="XBJ4">
        <f>Database!XCC28</f>
        <v>0</v>
      </c>
      <c r="XBK4">
        <f>Database!XCD28</f>
        <v>0</v>
      </c>
      <c r="XBL4">
        <f>Database!XCE28</f>
        <v>0</v>
      </c>
      <c r="XBM4">
        <f>Database!XCF28</f>
        <v>0</v>
      </c>
      <c r="XBN4">
        <f>Database!XCG28</f>
        <v>0</v>
      </c>
      <c r="XBO4">
        <f>Database!XCH28</f>
        <v>0</v>
      </c>
      <c r="XBP4">
        <f>Database!XCI28</f>
        <v>0</v>
      </c>
      <c r="XBQ4">
        <f>Database!XCJ28</f>
        <v>0</v>
      </c>
      <c r="XBR4">
        <f>Database!XCK28</f>
        <v>0</v>
      </c>
      <c r="XBS4">
        <f>Database!XCL28</f>
        <v>0</v>
      </c>
      <c r="XBT4">
        <f>Database!XCM28</f>
        <v>0</v>
      </c>
      <c r="XBU4">
        <f>Database!XCN28</f>
        <v>0</v>
      </c>
      <c r="XBV4">
        <f>Database!XCO28</f>
        <v>0</v>
      </c>
      <c r="XBW4">
        <f>Database!XCP28</f>
        <v>0</v>
      </c>
      <c r="XBX4">
        <f>Database!XCQ28</f>
        <v>0</v>
      </c>
      <c r="XBY4">
        <f>Database!XCR28</f>
        <v>0</v>
      </c>
      <c r="XBZ4">
        <f>Database!XCS28</f>
        <v>0</v>
      </c>
      <c r="XCA4">
        <f>Database!XCT28</f>
        <v>0</v>
      </c>
      <c r="XCB4">
        <f>Database!XCU28</f>
        <v>0</v>
      </c>
      <c r="XCC4">
        <f>Database!XCV28</f>
        <v>0</v>
      </c>
      <c r="XCD4">
        <f>Database!XCW28</f>
        <v>0</v>
      </c>
      <c r="XCE4">
        <f>Database!XCX28</f>
        <v>0</v>
      </c>
      <c r="XCF4">
        <f>Database!XCY28</f>
        <v>0</v>
      </c>
      <c r="XCG4">
        <f>Database!XCZ28</f>
        <v>0</v>
      </c>
      <c r="XCH4">
        <f>Database!XDA28</f>
        <v>0</v>
      </c>
      <c r="XCI4">
        <f>Database!XDB28</f>
        <v>0</v>
      </c>
      <c r="XCJ4">
        <f>Database!XDC28</f>
        <v>0</v>
      </c>
      <c r="XCK4">
        <f>Database!XDD28</f>
        <v>0</v>
      </c>
      <c r="XCL4">
        <f>Database!XDE28</f>
        <v>0</v>
      </c>
      <c r="XCM4">
        <f>Database!XDF28</f>
        <v>0</v>
      </c>
      <c r="XCN4">
        <f>Database!XDG28</f>
        <v>0</v>
      </c>
      <c r="XCO4">
        <f>Database!XDH28</f>
        <v>0</v>
      </c>
      <c r="XCP4">
        <f>Database!XDI28</f>
        <v>0</v>
      </c>
      <c r="XCQ4">
        <f>Database!XDJ28</f>
        <v>0</v>
      </c>
      <c r="XCR4">
        <f>Database!XDK28</f>
        <v>0</v>
      </c>
      <c r="XCS4">
        <f>Database!XDL28</f>
        <v>0</v>
      </c>
      <c r="XCT4">
        <f>Database!XDM28</f>
        <v>0</v>
      </c>
      <c r="XCU4">
        <f>Database!XDN28</f>
        <v>0</v>
      </c>
      <c r="XCV4">
        <f>Database!XDO28</f>
        <v>0</v>
      </c>
      <c r="XCW4">
        <f>Database!XDP28</f>
        <v>0</v>
      </c>
      <c r="XCX4">
        <f>Database!XDQ28</f>
        <v>0</v>
      </c>
      <c r="XCY4">
        <f>Database!XDR28</f>
        <v>0</v>
      </c>
      <c r="XCZ4">
        <f>Database!XDS28</f>
        <v>0</v>
      </c>
      <c r="XDA4">
        <f>Database!XDT28</f>
        <v>0</v>
      </c>
      <c r="XDB4">
        <f>Database!XDU28</f>
        <v>0</v>
      </c>
      <c r="XDC4">
        <f>Database!XDV28</f>
        <v>0</v>
      </c>
      <c r="XDD4">
        <f>Database!XDW28</f>
        <v>0</v>
      </c>
      <c r="XDE4">
        <f>Database!XDX28</f>
        <v>0</v>
      </c>
      <c r="XDF4">
        <f>Database!XDY28</f>
        <v>0</v>
      </c>
      <c r="XDG4">
        <f>Database!XDZ28</f>
        <v>0</v>
      </c>
      <c r="XDH4">
        <f>Database!XEA28</f>
        <v>0</v>
      </c>
      <c r="XDI4">
        <f>Database!XEB28</f>
        <v>0</v>
      </c>
      <c r="XDJ4">
        <f>Database!XEC28</f>
        <v>0</v>
      </c>
      <c r="XDK4">
        <f>Database!XED28</f>
        <v>0</v>
      </c>
      <c r="XDL4">
        <f>Database!XEE28</f>
        <v>0</v>
      </c>
      <c r="XDM4">
        <f>Database!XEF28</f>
        <v>0</v>
      </c>
      <c r="XDN4">
        <f>Database!XEG28</f>
        <v>0</v>
      </c>
      <c r="XDO4">
        <f>Database!XEH28</f>
        <v>0</v>
      </c>
      <c r="XDP4">
        <f>Database!XEI28</f>
        <v>0</v>
      </c>
      <c r="XDQ4">
        <f>Database!XEJ28</f>
        <v>0</v>
      </c>
      <c r="XDR4">
        <f>Database!XEK28</f>
        <v>0</v>
      </c>
      <c r="XDS4">
        <f>Database!XEL28</f>
        <v>0</v>
      </c>
      <c r="XDT4">
        <f>Database!XEM28</f>
        <v>0</v>
      </c>
      <c r="XDU4">
        <f>Database!XEN28</f>
        <v>0</v>
      </c>
      <c r="XDV4">
        <f>Database!XEO28</f>
        <v>0</v>
      </c>
      <c r="XDW4">
        <f>Database!XEP28</f>
        <v>0</v>
      </c>
      <c r="XDX4">
        <f>Database!XEQ28</f>
        <v>0</v>
      </c>
      <c r="XDY4">
        <f>Database!XER28</f>
        <v>0</v>
      </c>
      <c r="XDZ4">
        <f>Database!XES28</f>
        <v>0</v>
      </c>
      <c r="XEA4">
        <f>Database!XET28</f>
        <v>0</v>
      </c>
      <c r="XEB4">
        <f>Database!XEU28</f>
        <v>0</v>
      </c>
      <c r="XEC4">
        <f>Database!XEV28</f>
        <v>0</v>
      </c>
      <c r="XED4">
        <f>Database!XEW28</f>
        <v>0</v>
      </c>
      <c r="XEE4">
        <f>Database!XEX28</f>
        <v>0</v>
      </c>
      <c r="XEF4">
        <f>Database!XEY28</f>
        <v>0</v>
      </c>
      <c r="XEG4">
        <f>Database!XEZ28</f>
        <v>0</v>
      </c>
      <c r="XEH4">
        <f>Database!XFA28</f>
        <v>0</v>
      </c>
      <c r="XEI4">
        <f>Database!XFB28</f>
        <v>0</v>
      </c>
      <c r="XEJ4">
        <f>Database!XFC28</f>
        <v>0</v>
      </c>
      <c r="XEK4">
        <f>Database!XFD28</f>
        <v>0</v>
      </c>
    </row>
    <row r="5" spans="1:16365" x14ac:dyDescent="0.25">
      <c r="B5">
        <v>4</v>
      </c>
      <c r="C5" s="35" t="s">
        <v>260</v>
      </c>
      <c r="D5">
        <f>Database!W29</f>
        <v>0</v>
      </c>
      <c r="E5">
        <f>Database!X29</f>
        <v>0</v>
      </c>
      <c r="F5">
        <f>Database!Y29</f>
        <v>0</v>
      </c>
      <c r="G5">
        <f>Database!Z29</f>
        <v>0</v>
      </c>
      <c r="H5">
        <f>Database!AA29</f>
        <v>0</v>
      </c>
      <c r="I5">
        <f>Database!AB29</f>
        <v>0</v>
      </c>
      <c r="J5">
        <f>Database!AC29</f>
        <v>0</v>
      </c>
      <c r="K5">
        <f>Database!AD29</f>
        <v>0</v>
      </c>
      <c r="L5">
        <f>Database!AE29</f>
        <v>0</v>
      </c>
      <c r="M5">
        <f>Database!AF29</f>
        <v>0</v>
      </c>
      <c r="N5">
        <f>Database!AG29</f>
        <v>0</v>
      </c>
      <c r="O5">
        <f>Database!AH29</f>
        <v>0</v>
      </c>
      <c r="P5">
        <f>Database!AI29</f>
        <v>0</v>
      </c>
      <c r="Q5">
        <f>Database!AJ29</f>
        <v>0</v>
      </c>
      <c r="R5">
        <f>Database!AK29</f>
        <v>0</v>
      </c>
      <c r="S5">
        <f>Database!AL29</f>
        <v>0</v>
      </c>
      <c r="T5">
        <f>Database!AM29</f>
        <v>0</v>
      </c>
      <c r="U5">
        <f>Database!AN29</f>
        <v>0</v>
      </c>
      <c r="V5">
        <f>Database!AO29</f>
        <v>0</v>
      </c>
      <c r="W5">
        <f>Database!AP29</f>
        <v>0</v>
      </c>
      <c r="X5">
        <f>Database!AQ29</f>
        <v>0</v>
      </c>
      <c r="Y5">
        <f>Database!AR29</f>
        <v>0</v>
      </c>
      <c r="Z5">
        <f>Database!AS29</f>
        <v>0</v>
      </c>
      <c r="AA5">
        <f>Database!AT29</f>
        <v>0</v>
      </c>
      <c r="AB5">
        <f>Database!AU29</f>
        <v>0</v>
      </c>
      <c r="AC5">
        <f>Database!AV29</f>
        <v>0</v>
      </c>
      <c r="AD5">
        <f>Database!AW29</f>
        <v>0</v>
      </c>
      <c r="AE5">
        <f>Database!AX29</f>
        <v>0</v>
      </c>
      <c r="AF5">
        <f>Database!AY29</f>
        <v>0</v>
      </c>
      <c r="AG5">
        <f>Database!AZ29</f>
        <v>0</v>
      </c>
      <c r="AH5">
        <f>Database!BA29</f>
        <v>0</v>
      </c>
      <c r="AI5">
        <f>Database!BB29</f>
        <v>0</v>
      </c>
      <c r="AJ5">
        <f>Database!BC29</f>
        <v>0</v>
      </c>
      <c r="AK5">
        <f>Database!BD29</f>
        <v>0</v>
      </c>
      <c r="AL5">
        <f>Database!BE29</f>
        <v>0</v>
      </c>
      <c r="AM5">
        <f>Database!BF29</f>
        <v>0</v>
      </c>
      <c r="AN5">
        <f>Database!BG29</f>
        <v>0</v>
      </c>
      <c r="AO5">
        <f>Database!BH29</f>
        <v>0</v>
      </c>
      <c r="AP5">
        <f>Database!BI29</f>
        <v>0</v>
      </c>
      <c r="AQ5">
        <f>Database!BJ29</f>
        <v>0</v>
      </c>
      <c r="AR5">
        <f>Database!BK29</f>
        <v>1984</v>
      </c>
      <c r="AS5">
        <f>Database!BL29</f>
        <v>1984</v>
      </c>
      <c r="AT5">
        <f>Database!BM29</f>
        <v>1984</v>
      </c>
      <c r="AU5">
        <f>Database!BN29</f>
        <v>1984</v>
      </c>
      <c r="AV5">
        <f>Database!BO29</f>
        <v>1984</v>
      </c>
      <c r="AW5">
        <f>Database!BP29</f>
        <v>1764</v>
      </c>
      <c r="AX5">
        <f>Database!BQ29</f>
        <v>1764</v>
      </c>
      <c r="AY5">
        <f>Database!BR29</f>
        <v>1764</v>
      </c>
      <c r="AZ5">
        <f>Database!BS29</f>
        <v>1764</v>
      </c>
      <c r="BA5">
        <f>Database!BT29</f>
        <v>1433</v>
      </c>
      <c r="BB5">
        <f>Database!BU29</f>
        <v>1433</v>
      </c>
      <c r="BC5">
        <f>Database!BV29</f>
        <v>1433</v>
      </c>
      <c r="BD5">
        <f>Database!BW29</f>
        <v>1433</v>
      </c>
      <c r="BE5">
        <f>Database!BX29</f>
        <v>1367</v>
      </c>
      <c r="BF5">
        <f>Database!BY29</f>
        <v>1367</v>
      </c>
      <c r="BG5">
        <f>Database!BZ29</f>
        <v>1367</v>
      </c>
      <c r="BH5">
        <f>Database!CA29</f>
        <v>1367</v>
      </c>
      <c r="BI5">
        <f>Database!CB29</f>
        <v>1433</v>
      </c>
      <c r="BJ5">
        <f>Database!CC29</f>
        <v>1433</v>
      </c>
      <c r="BK5">
        <f>Database!CD29</f>
        <v>1433</v>
      </c>
      <c r="BL5">
        <f>Database!CE29</f>
        <v>1433</v>
      </c>
      <c r="BM5">
        <f>Database!CF29</f>
        <v>1499</v>
      </c>
      <c r="BN5">
        <f>Database!CG29</f>
        <v>1499</v>
      </c>
      <c r="BO5">
        <f>Database!CH29</f>
        <v>1499</v>
      </c>
      <c r="BP5">
        <f>Database!CI29</f>
        <v>1499</v>
      </c>
      <c r="BQ5">
        <f>Database!CJ29</f>
        <v>1742</v>
      </c>
      <c r="BR5">
        <f>Database!CK29</f>
        <v>1742</v>
      </c>
      <c r="BS5">
        <f>Database!CL29</f>
        <v>1742</v>
      </c>
      <c r="BT5">
        <f>Database!CM29</f>
        <v>1742</v>
      </c>
      <c r="BU5">
        <f>Database!CN29</f>
        <v>1742</v>
      </c>
      <c r="BV5">
        <f>Database!CO29</f>
        <v>1742</v>
      </c>
      <c r="BW5">
        <f>Database!CP29</f>
        <v>1742</v>
      </c>
      <c r="BX5">
        <f>Database!CQ29</f>
        <v>1742</v>
      </c>
      <c r="BY5">
        <f>Database!CR29</f>
        <v>1742</v>
      </c>
      <c r="BZ5">
        <f>Database!CS29</f>
        <v>1786</v>
      </c>
      <c r="CA5">
        <f>Database!CT29</f>
        <v>1786</v>
      </c>
      <c r="CB5">
        <f>Database!CU29</f>
        <v>1786</v>
      </c>
      <c r="CC5">
        <f>Database!CV29</f>
        <v>1786</v>
      </c>
      <c r="CD5">
        <f>Database!CW29</f>
        <v>1924</v>
      </c>
      <c r="CE5">
        <f>Database!CX29</f>
        <v>1924</v>
      </c>
      <c r="CF5">
        <f>Database!CY29</f>
        <v>1924</v>
      </c>
      <c r="CG5">
        <f>Database!CZ29</f>
        <v>1924</v>
      </c>
      <c r="CH5">
        <f>Database!DA29</f>
        <v>1924</v>
      </c>
      <c r="CI5">
        <f>Database!DB29</f>
        <v>1918</v>
      </c>
      <c r="CJ5">
        <f>Database!DC29</f>
        <v>1918</v>
      </c>
      <c r="CK5">
        <f>Database!DD29</f>
        <v>1918</v>
      </c>
      <c r="CL5">
        <f>Database!DE29</f>
        <v>1918</v>
      </c>
      <c r="CM5">
        <f>Database!DF29</f>
        <v>0</v>
      </c>
      <c r="CN5">
        <f>Database!DG29</f>
        <v>0</v>
      </c>
      <c r="CO5">
        <f>Database!DH29</f>
        <v>0</v>
      </c>
      <c r="CP5">
        <f>Database!DI29</f>
        <v>0</v>
      </c>
      <c r="CQ5">
        <f>Database!DJ29</f>
        <v>0</v>
      </c>
      <c r="CR5">
        <f>Database!DK29</f>
        <v>0</v>
      </c>
      <c r="CS5">
        <f>Database!DL29</f>
        <v>0</v>
      </c>
      <c r="CT5">
        <f>Database!DM29</f>
        <v>0</v>
      </c>
      <c r="CU5">
        <f>Database!DN29</f>
        <v>0</v>
      </c>
      <c r="CV5">
        <f>Database!DO29</f>
        <v>0</v>
      </c>
      <c r="CW5">
        <f>Database!DP29</f>
        <v>0</v>
      </c>
      <c r="CX5">
        <f>Database!DQ29</f>
        <v>0</v>
      </c>
      <c r="CY5">
        <f>Database!DR29</f>
        <v>0</v>
      </c>
      <c r="CZ5">
        <f>Database!DS29</f>
        <v>0</v>
      </c>
      <c r="DA5">
        <f>Database!DT29</f>
        <v>0</v>
      </c>
      <c r="DB5">
        <f>Database!DU29</f>
        <v>0</v>
      </c>
      <c r="DC5">
        <f>Database!DV29</f>
        <v>0</v>
      </c>
      <c r="DD5">
        <f>Database!DW29</f>
        <v>0</v>
      </c>
      <c r="DE5">
        <f>Database!DX29</f>
        <v>0</v>
      </c>
      <c r="DF5">
        <f>Database!DY29</f>
        <v>0</v>
      </c>
      <c r="DG5">
        <f>Database!DZ29</f>
        <v>0</v>
      </c>
      <c r="DH5">
        <f>Database!EA29</f>
        <v>0</v>
      </c>
      <c r="DI5">
        <f>Database!EB29</f>
        <v>0</v>
      </c>
      <c r="DJ5">
        <f>Database!EC29</f>
        <v>0</v>
      </c>
      <c r="DK5">
        <f>Database!ED29</f>
        <v>0</v>
      </c>
      <c r="DL5">
        <f>Database!EE29</f>
        <v>0</v>
      </c>
      <c r="DM5">
        <f>Database!EF29</f>
        <v>0</v>
      </c>
      <c r="DN5">
        <f>Database!EG29</f>
        <v>0</v>
      </c>
      <c r="DO5">
        <f>Database!EH29</f>
        <v>0</v>
      </c>
      <c r="DP5">
        <f>Database!EI29</f>
        <v>0</v>
      </c>
      <c r="DQ5">
        <f>Database!EJ29</f>
        <v>0</v>
      </c>
      <c r="DR5">
        <f>Database!EK29</f>
        <v>0</v>
      </c>
      <c r="DS5">
        <f>Database!EL29</f>
        <v>0</v>
      </c>
      <c r="DT5">
        <f>Database!EM29</f>
        <v>0</v>
      </c>
      <c r="DU5">
        <f>Database!EN29</f>
        <v>0</v>
      </c>
      <c r="DV5">
        <f>Database!EO29</f>
        <v>0</v>
      </c>
      <c r="DW5">
        <f>Database!EP29</f>
        <v>0</v>
      </c>
      <c r="DX5">
        <f>Database!EQ29</f>
        <v>0</v>
      </c>
      <c r="DY5">
        <f>Database!ER29</f>
        <v>0</v>
      </c>
      <c r="DZ5">
        <f>Database!ES29</f>
        <v>0</v>
      </c>
      <c r="EA5">
        <f>Database!ET29</f>
        <v>0</v>
      </c>
      <c r="EB5">
        <f>Database!EU29</f>
        <v>0</v>
      </c>
      <c r="EC5">
        <f>Database!EV29</f>
        <v>0</v>
      </c>
      <c r="ED5">
        <f>Database!EW29</f>
        <v>0</v>
      </c>
      <c r="EE5">
        <f>Database!EX29</f>
        <v>0</v>
      </c>
      <c r="EF5">
        <f>Database!EY29</f>
        <v>0</v>
      </c>
      <c r="EG5">
        <f>Database!EZ29</f>
        <v>0</v>
      </c>
      <c r="EH5">
        <f>Database!FA29</f>
        <v>0</v>
      </c>
      <c r="EI5">
        <f>Database!FB29</f>
        <v>0</v>
      </c>
      <c r="EJ5">
        <f>Database!FC29</f>
        <v>0</v>
      </c>
      <c r="EK5">
        <f>Database!FD29</f>
        <v>0</v>
      </c>
      <c r="EL5">
        <f>Database!FE29</f>
        <v>0</v>
      </c>
      <c r="EM5">
        <f>Database!FF29</f>
        <v>0</v>
      </c>
      <c r="EN5">
        <f>Database!FG29</f>
        <v>0</v>
      </c>
      <c r="EO5">
        <f>Database!FH29</f>
        <v>0</v>
      </c>
      <c r="EP5">
        <f>Database!FI29</f>
        <v>0</v>
      </c>
      <c r="EQ5">
        <f>Database!FJ29</f>
        <v>0</v>
      </c>
      <c r="ER5">
        <f>Database!FK29</f>
        <v>0</v>
      </c>
      <c r="ES5">
        <f>Database!FL29</f>
        <v>0</v>
      </c>
      <c r="ET5">
        <f>Database!FM29</f>
        <v>0</v>
      </c>
      <c r="EU5">
        <f>Database!FN29</f>
        <v>0</v>
      </c>
      <c r="EV5">
        <f>Database!FO29</f>
        <v>0</v>
      </c>
      <c r="EW5">
        <f>Database!FP29</f>
        <v>0</v>
      </c>
      <c r="EX5">
        <f>Database!FQ29</f>
        <v>0</v>
      </c>
      <c r="EY5">
        <f>Database!FR29</f>
        <v>0</v>
      </c>
      <c r="EZ5">
        <f>Database!FS29</f>
        <v>0</v>
      </c>
      <c r="FA5">
        <f>Database!FT29</f>
        <v>0</v>
      </c>
      <c r="FB5">
        <f>Database!FU29</f>
        <v>0</v>
      </c>
      <c r="FC5">
        <f>Database!FV29</f>
        <v>0</v>
      </c>
      <c r="FD5">
        <f>Database!FW29</f>
        <v>0</v>
      </c>
      <c r="FE5">
        <f>Database!FX29</f>
        <v>0</v>
      </c>
      <c r="FF5">
        <f>Database!FY29</f>
        <v>0</v>
      </c>
      <c r="FG5">
        <f>Database!FZ29</f>
        <v>0</v>
      </c>
      <c r="FH5">
        <f>Database!GA29</f>
        <v>0</v>
      </c>
      <c r="FI5">
        <f>Database!GB29</f>
        <v>0</v>
      </c>
      <c r="FJ5">
        <f>Database!GC29</f>
        <v>0</v>
      </c>
      <c r="FK5">
        <f>Database!GD29</f>
        <v>0</v>
      </c>
      <c r="FL5">
        <f>Database!GE29</f>
        <v>0</v>
      </c>
      <c r="FM5">
        <f>Database!GF29</f>
        <v>0</v>
      </c>
      <c r="FN5">
        <f>Database!GG29</f>
        <v>0</v>
      </c>
      <c r="FO5">
        <f>Database!GH29</f>
        <v>0</v>
      </c>
      <c r="FP5">
        <f>Database!GI29</f>
        <v>0</v>
      </c>
      <c r="FQ5">
        <f>Database!GJ29</f>
        <v>0</v>
      </c>
      <c r="FR5">
        <f>Database!GK29</f>
        <v>0</v>
      </c>
      <c r="FS5">
        <f>Database!GL29</f>
        <v>0</v>
      </c>
      <c r="FT5">
        <f>Database!GM29</f>
        <v>0</v>
      </c>
      <c r="FU5">
        <f>Database!GN29</f>
        <v>0</v>
      </c>
      <c r="FV5">
        <f>Database!GO29</f>
        <v>0</v>
      </c>
      <c r="FW5">
        <f>Database!GP29</f>
        <v>0</v>
      </c>
      <c r="FX5">
        <f>Database!GQ29</f>
        <v>0</v>
      </c>
      <c r="FY5">
        <f>Database!GR29</f>
        <v>0</v>
      </c>
      <c r="FZ5">
        <f>Database!GS29</f>
        <v>0</v>
      </c>
      <c r="GA5">
        <f>Database!GT29</f>
        <v>0</v>
      </c>
      <c r="GB5">
        <f>Database!GU29</f>
        <v>0</v>
      </c>
      <c r="GC5">
        <f>Database!GV29</f>
        <v>0</v>
      </c>
      <c r="GD5">
        <f>Database!GW29</f>
        <v>0</v>
      </c>
      <c r="GE5">
        <f>Database!GX29</f>
        <v>0</v>
      </c>
      <c r="GF5">
        <f>Database!GY29</f>
        <v>0</v>
      </c>
      <c r="GG5">
        <f>Database!GZ29</f>
        <v>0</v>
      </c>
      <c r="GH5">
        <f>Database!HA29</f>
        <v>0</v>
      </c>
      <c r="GI5">
        <f>Database!HB29</f>
        <v>0</v>
      </c>
      <c r="GJ5">
        <f>Database!HC29</f>
        <v>0</v>
      </c>
      <c r="GK5">
        <f>Database!HD29</f>
        <v>0</v>
      </c>
      <c r="GL5">
        <f>Database!HE29</f>
        <v>0</v>
      </c>
      <c r="GM5">
        <f>Database!HF29</f>
        <v>0</v>
      </c>
      <c r="GN5">
        <f>Database!HG29</f>
        <v>0</v>
      </c>
      <c r="GO5">
        <f>Database!HH29</f>
        <v>0</v>
      </c>
      <c r="GP5">
        <f>Database!HI29</f>
        <v>0</v>
      </c>
      <c r="GQ5">
        <f>Database!HJ29</f>
        <v>0</v>
      </c>
      <c r="GR5">
        <f>Database!HK29</f>
        <v>0</v>
      </c>
      <c r="GS5">
        <f>Database!HL29</f>
        <v>0</v>
      </c>
      <c r="GT5">
        <f>Database!HM29</f>
        <v>0</v>
      </c>
      <c r="GU5">
        <f>Database!HN29</f>
        <v>0</v>
      </c>
      <c r="GV5">
        <f>Database!HO29</f>
        <v>0</v>
      </c>
      <c r="GW5">
        <f>Database!HP29</f>
        <v>0</v>
      </c>
      <c r="GX5">
        <f>Database!HQ29</f>
        <v>0</v>
      </c>
      <c r="GY5">
        <f>Database!HR29</f>
        <v>0</v>
      </c>
      <c r="GZ5">
        <f>Database!HS29</f>
        <v>0</v>
      </c>
      <c r="HA5">
        <f>Database!HT29</f>
        <v>0</v>
      </c>
      <c r="HB5">
        <f>Database!HU29</f>
        <v>0</v>
      </c>
      <c r="HC5">
        <f>Database!HV29</f>
        <v>0</v>
      </c>
      <c r="HD5">
        <f>Database!HW29</f>
        <v>0</v>
      </c>
      <c r="HE5">
        <f>Database!HX29</f>
        <v>0</v>
      </c>
      <c r="HF5">
        <f>Database!HY29</f>
        <v>0</v>
      </c>
      <c r="HG5">
        <f>Database!HZ29</f>
        <v>0</v>
      </c>
      <c r="HH5">
        <f>Database!IA29</f>
        <v>0</v>
      </c>
      <c r="HI5">
        <f>Database!IB29</f>
        <v>0</v>
      </c>
      <c r="HJ5">
        <f>Database!IC29</f>
        <v>0</v>
      </c>
      <c r="HK5">
        <f>Database!ID29</f>
        <v>0</v>
      </c>
      <c r="HL5">
        <f>Database!IE29</f>
        <v>0</v>
      </c>
      <c r="HM5">
        <f>Database!IF29</f>
        <v>0</v>
      </c>
      <c r="HN5">
        <f>Database!IG29</f>
        <v>0</v>
      </c>
      <c r="HO5">
        <f>Database!IH29</f>
        <v>0</v>
      </c>
      <c r="HP5">
        <f>Database!II29</f>
        <v>0</v>
      </c>
      <c r="HQ5">
        <f>Database!IJ29</f>
        <v>0</v>
      </c>
      <c r="HR5">
        <f>Database!IK29</f>
        <v>0</v>
      </c>
      <c r="HS5">
        <f>Database!IL29</f>
        <v>0</v>
      </c>
      <c r="HT5">
        <f>Database!IM29</f>
        <v>0</v>
      </c>
      <c r="HU5">
        <f>Database!IN29</f>
        <v>0</v>
      </c>
      <c r="HV5">
        <f>Database!IO29</f>
        <v>0</v>
      </c>
      <c r="HW5">
        <f>Database!IP29</f>
        <v>0</v>
      </c>
      <c r="HX5">
        <f>Database!IQ29</f>
        <v>0</v>
      </c>
      <c r="HY5">
        <f>Database!IR29</f>
        <v>0</v>
      </c>
      <c r="HZ5">
        <f>Database!IS29</f>
        <v>0</v>
      </c>
      <c r="IA5">
        <f>Database!IT29</f>
        <v>0</v>
      </c>
      <c r="IB5">
        <f>Database!IU29</f>
        <v>0</v>
      </c>
      <c r="IC5">
        <f>Database!IV29</f>
        <v>0</v>
      </c>
      <c r="ID5">
        <f>Database!IW29</f>
        <v>0</v>
      </c>
      <c r="IE5">
        <f>Database!IX29</f>
        <v>0</v>
      </c>
      <c r="IF5">
        <f>Database!IY29</f>
        <v>0</v>
      </c>
      <c r="IG5">
        <f>Database!IZ29</f>
        <v>0</v>
      </c>
      <c r="IH5">
        <f>Database!JA29</f>
        <v>0</v>
      </c>
      <c r="II5">
        <f>Database!JB29</f>
        <v>0</v>
      </c>
      <c r="IJ5">
        <f>Database!JC29</f>
        <v>0</v>
      </c>
      <c r="IK5">
        <f>Database!JD29</f>
        <v>0</v>
      </c>
      <c r="IL5">
        <f>Database!JE29</f>
        <v>0</v>
      </c>
      <c r="IM5">
        <f>Database!JF29</f>
        <v>0</v>
      </c>
      <c r="IN5">
        <f>Database!JG29</f>
        <v>0</v>
      </c>
      <c r="IO5">
        <f>Database!JH29</f>
        <v>0</v>
      </c>
      <c r="IP5">
        <f>Database!JI29</f>
        <v>0</v>
      </c>
      <c r="IQ5">
        <f>Database!JJ29</f>
        <v>0</v>
      </c>
      <c r="IR5">
        <f>Database!JK29</f>
        <v>0</v>
      </c>
      <c r="IS5">
        <f>Database!JL29</f>
        <v>0</v>
      </c>
      <c r="IT5">
        <f>Database!JM29</f>
        <v>0</v>
      </c>
      <c r="IU5">
        <f>Database!JN29</f>
        <v>0</v>
      </c>
      <c r="IV5">
        <f>Database!JO29</f>
        <v>0</v>
      </c>
      <c r="IW5">
        <f>Database!JP29</f>
        <v>0</v>
      </c>
      <c r="IX5">
        <f>Database!JQ29</f>
        <v>0</v>
      </c>
      <c r="IY5">
        <f>Database!JR29</f>
        <v>0</v>
      </c>
      <c r="IZ5">
        <f>Database!JS29</f>
        <v>0</v>
      </c>
      <c r="JA5">
        <f>Database!JT29</f>
        <v>0</v>
      </c>
      <c r="JB5">
        <f>Database!JU29</f>
        <v>0</v>
      </c>
      <c r="JC5">
        <f>Database!JV29</f>
        <v>0</v>
      </c>
      <c r="JD5">
        <f>Database!JW29</f>
        <v>0</v>
      </c>
      <c r="JE5">
        <f>Database!JX29</f>
        <v>0</v>
      </c>
      <c r="JF5">
        <f>Database!JY29</f>
        <v>0</v>
      </c>
      <c r="JG5">
        <f>Database!JZ29</f>
        <v>0</v>
      </c>
      <c r="JH5">
        <f>Database!KA29</f>
        <v>0</v>
      </c>
      <c r="JI5">
        <f>Database!KB29</f>
        <v>0</v>
      </c>
      <c r="JJ5">
        <f>Database!KC29</f>
        <v>0</v>
      </c>
      <c r="JK5">
        <f>Database!KD29</f>
        <v>0</v>
      </c>
      <c r="JL5">
        <f>Database!KE29</f>
        <v>0</v>
      </c>
      <c r="JM5">
        <f>Database!KF29</f>
        <v>0</v>
      </c>
      <c r="JN5">
        <f>Database!KG29</f>
        <v>0</v>
      </c>
      <c r="JO5">
        <f>Database!KH29</f>
        <v>0</v>
      </c>
      <c r="JP5">
        <f>Database!KI29</f>
        <v>0</v>
      </c>
      <c r="JQ5">
        <f>Database!KJ29</f>
        <v>0</v>
      </c>
      <c r="JR5">
        <f>Database!KK29</f>
        <v>0</v>
      </c>
      <c r="JS5">
        <f>Database!KL29</f>
        <v>0</v>
      </c>
      <c r="JT5">
        <f>Database!KM29</f>
        <v>0</v>
      </c>
      <c r="JU5">
        <f>Database!KN29</f>
        <v>0</v>
      </c>
      <c r="JV5">
        <f>Database!KO29</f>
        <v>0</v>
      </c>
      <c r="JW5">
        <f>Database!KP29</f>
        <v>0</v>
      </c>
      <c r="JX5">
        <f>Database!KQ29</f>
        <v>0</v>
      </c>
      <c r="JY5">
        <f>Database!KR29</f>
        <v>0</v>
      </c>
      <c r="JZ5">
        <f>Database!KS29</f>
        <v>0</v>
      </c>
      <c r="KA5">
        <f>Database!KT29</f>
        <v>0</v>
      </c>
      <c r="KB5">
        <f>Database!KU29</f>
        <v>0</v>
      </c>
      <c r="KC5">
        <f>Database!KV29</f>
        <v>0</v>
      </c>
      <c r="KD5">
        <f>Database!KW29</f>
        <v>0</v>
      </c>
      <c r="KE5">
        <f>Database!KX29</f>
        <v>0</v>
      </c>
      <c r="KF5">
        <f>Database!KY29</f>
        <v>0</v>
      </c>
      <c r="KG5">
        <f>Database!KZ29</f>
        <v>0</v>
      </c>
      <c r="KH5">
        <f>Database!LA29</f>
        <v>0</v>
      </c>
      <c r="KI5">
        <f>Database!LB29</f>
        <v>0</v>
      </c>
      <c r="KJ5">
        <f>Database!LC29</f>
        <v>0</v>
      </c>
      <c r="KK5">
        <f>Database!LD29</f>
        <v>0</v>
      </c>
      <c r="KL5">
        <f>Database!LE29</f>
        <v>0</v>
      </c>
      <c r="KM5">
        <f>Database!LF29</f>
        <v>0</v>
      </c>
      <c r="KN5">
        <f>Database!LG29</f>
        <v>0</v>
      </c>
      <c r="KO5">
        <f>Database!LH29</f>
        <v>0</v>
      </c>
      <c r="KP5">
        <f>Database!LI29</f>
        <v>0</v>
      </c>
      <c r="KQ5">
        <f>Database!LJ29</f>
        <v>0</v>
      </c>
      <c r="KR5">
        <f>Database!LK29</f>
        <v>0</v>
      </c>
      <c r="KS5">
        <f>Database!LL29</f>
        <v>0</v>
      </c>
      <c r="KT5">
        <f>Database!LM29</f>
        <v>0</v>
      </c>
      <c r="KU5">
        <f>Database!LN29</f>
        <v>0</v>
      </c>
      <c r="KV5">
        <f>Database!LO29</f>
        <v>0</v>
      </c>
      <c r="KW5">
        <f>Database!LP29</f>
        <v>0</v>
      </c>
      <c r="KX5">
        <f>Database!LQ29</f>
        <v>0</v>
      </c>
      <c r="KY5">
        <f>Database!LR29</f>
        <v>0</v>
      </c>
      <c r="KZ5">
        <f>Database!LS29</f>
        <v>0</v>
      </c>
      <c r="LA5">
        <f>Database!LT29</f>
        <v>0</v>
      </c>
      <c r="LB5">
        <f>Database!LU29</f>
        <v>0</v>
      </c>
      <c r="LC5">
        <f>Database!LV29</f>
        <v>0</v>
      </c>
      <c r="LD5">
        <f>Database!LW29</f>
        <v>0</v>
      </c>
      <c r="LE5">
        <f>Database!LX29</f>
        <v>0</v>
      </c>
      <c r="LF5">
        <f>Database!LY29</f>
        <v>0</v>
      </c>
      <c r="LG5">
        <f>Database!LZ29</f>
        <v>0</v>
      </c>
      <c r="LH5">
        <f>Database!MA29</f>
        <v>0</v>
      </c>
      <c r="LI5">
        <f>Database!MB29</f>
        <v>0</v>
      </c>
      <c r="LJ5">
        <f>Database!MC29</f>
        <v>0</v>
      </c>
      <c r="LK5">
        <f>Database!MD29</f>
        <v>0</v>
      </c>
      <c r="LL5">
        <f>Database!ME29</f>
        <v>0</v>
      </c>
      <c r="LM5">
        <f>Database!MF29</f>
        <v>0</v>
      </c>
      <c r="LN5">
        <f>Database!MG29</f>
        <v>0</v>
      </c>
      <c r="LO5">
        <f>Database!MH29</f>
        <v>0</v>
      </c>
      <c r="LP5">
        <f>Database!MI29</f>
        <v>0</v>
      </c>
      <c r="LQ5">
        <f>Database!MJ29</f>
        <v>0</v>
      </c>
      <c r="LR5">
        <f>Database!MK29</f>
        <v>0</v>
      </c>
      <c r="LS5">
        <f>Database!ML29</f>
        <v>0</v>
      </c>
      <c r="LT5">
        <f>Database!MM29</f>
        <v>0</v>
      </c>
      <c r="LU5">
        <f>Database!MN29</f>
        <v>0</v>
      </c>
      <c r="LV5">
        <f>Database!MO29</f>
        <v>0</v>
      </c>
      <c r="LW5">
        <f>Database!MP29</f>
        <v>0</v>
      </c>
      <c r="LX5">
        <f>Database!MQ29</f>
        <v>0</v>
      </c>
      <c r="LY5">
        <f>Database!MR29</f>
        <v>0</v>
      </c>
      <c r="LZ5">
        <f>Database!MS29</f>
        <v>0</v>
      </c>
      <c r="MA5">
        <f>Database!MT29</f>
        <v>0</v>
      </c>
      <c r="MB5">
        <f>Database!MU29</f>
        <v>0</v>
      </c>
      <c r="MC5">
        <f>Database!MV29</f>
        <v>0</v>
      </c>
      <c r="MD5">
        <f>Database!MW29</f>
        <v>0</v>
      </c>
      <c r="ME5">
        <f>Database!MX29</f>
        <v>0</v>
      </c>
      <c r="MF5">
        <f>Database!MY29</f>
        <v>0</v>
      </c>
      <c r="MG5">
        <f>Database!MZ29</f>
        <v>0</v>
      </c>
      <c r="MH5">
        <f>Database!NA29</f>
        <v>0</v>
      </c>
      <c r="MI5">
        <f>Database!NB29</f>
        <v>0</v>
      </c>
      <c r="MJ5">
        <f>Database!NC29</f>
        <v>0</v>
      </c>
      <c r="MK5">
        <f>Database!ND29</f>
        <v>0</v>
      </c>
      <c r="ML5">
        <f>Database!NE29</f>
        <v>0</v>
      </c>
      <c r="MM5">
        <f>Database!NF29</f>
        <v>0</v>
      </c>
      <c r="MN5">
        <f>Database!NG29</f>
        <v>0</v>
      </c>
      <c r="MO5">
        <f>Database!NH29</f>
        <v>0</v>
      </c>
      <c r="MP5">
        <f>Database!NI29</f>
        <v>0</v>
      </c>
      <c r="MQ5">
        <f>Database!NJ29</f>
        <v>0</v>
      </c>
      <c r="MR5">
        <f>Database!NK29</f>
        <v>0</v>
      </c>
      <c r="MS5">
        <f>Database!NL29</f>
        <v>0</v>
      </c>
      <c r="MT5">
        <f>Database!NM29</f>
        <v>0</v>
      </c>
      <c r="MU5">
        <f>Database!NN29</f>
        <v>0</v>
      </c>
      <c r="MV5">
        <f>Database!NO29</f>
        <v>0</v>
      </c>
      <c r="MW5">
        <f>Database!NP29</f>
        <v>0</v>
      </c>
      <c r="MX5">
        <f>Database!NQ29</f>
        <v>0</v>
      </c>
      <c r="MY5">
        <f>Database!NR29</f>
        <v>0</v>
      </c>
      <c r="MZ5">
        <f>Database!NS29</f>
        <v>0</v>
      </c>
      <c r="NA5">
        <f>Database!NT29</f>
        <v>0</v>
      </c>
      <c r="NB5">
        <f>Database!NU29</f>
        <v>0</v>
      </c>
      <c r="NC5">
        <f>Database!NV29</f>
        <v>0</v>
      </c>
      <c r="ND5">
        <f>Database!NW29</f>
        <v>0</v>
      </c>
      <c r="NE5">
        <f>Database!NX29</f>
        <v>0</v>
      </c>
      <c r="NF5">
        <f>Database!NY29</f>
        <v>0</v>
      </c>
      <c r="NG5">
        <f>Database!NZ29</f>
        <v>0</v>
      </c>
      <c r="NH5">
        <f>Database!OA29</f>
        <v>0</v>
      </c>
      <c r="NI5">
        <f>Database!OB29</f>
        <v>0</v>
      </c>
      <c r="NJ5">
        <f>Database!OC29</f>
        <v>0</v>
      </c>
      <c r="NK5">
        <f>Database!OD29</f>
        <v>0</v>
      </c>
      <c r="NL5">
        <f>Database!OE29</f>
        <v>0</v>
      </c>
      <c r="NM5">
        <f>Database!OF29</f>
        <v>0</v>
      </c>
      <c r="NN5">
        <f>Database!OG29</f>
        <v>0</v>
      </c>
      <c r="NO5">
        <f>Database!OH29</f>
        <v>0</v>
      </c>
      <c r="NP5">
        <f>Database!OI29</f>
        <v>0</v>
      </c>
      <c r="NQ5">
        <f>Database!OJ29</f>
        <v>0</v>
      </c>
      <c r="NR5">
        <f>Database!OK29</f>
        <v>0</v>
      </c>
      <c r="NS5">
        <f>Database!OL29</f>
        <v>0</v>
      </c>
      <c r="NT5">
        <f>Database!OM29</f>
        <v>0</v>
      </c>
      <c r="NU5">
        <f>Database!ON29</f>
        <v>0</v>
      </c>
      <c r="NV5">
        <f>Database!OO29</f>
        <v>0</v>
      </c>
      <c r="NW5">
        <f>Database!OP29</f>
        <v>0</v>
      </c>
      <c r="NX5">
        <f>Database!OQ29</f>
        <v>0</v>
      </c>
      <c r="NY5">
        <f>Database!OR29</f>
        <v>0</v>
      </c>
      <c r="NZ5">
        <f>Database!OS29</f>
        <v>0</v>
      </c>
      <c r="OA5">
        <f>Database!OT29</f>
        <v>0</v>
      </c>
      <c r="OB5">
        <f>Database!OU29</f>
        <v>0</v>
      </c>
      <c r="OC5">
        <f>Database!OV29</f>
        <v>0</v>
      </c>
      <c r="OD5">
        <f>Database!OW29</f>
        <v>0</v>
      </c>
      <c r="OE5">
        <f>Database!OX29</f>
        <v>0</v>
      </c>
      <c r="OF5">
        <f>Database!OY29</f>
        <v>0</v>
      </c>
      <c r="OG5">
        <f>Database!OZ29</f>
        <v>0</v>
      </c>
      <c r="OH5">
        <f>Database!PA29</f>
        <v>0</v>
      </c>
      <c r="OI5">
        <f>Database!PB29</f>
        <v>0</v>
      </c>
      <c r="OJ5">
        <f>Database!PC29</f>
        <v>0</v>
      </c>
      <c r="OK5">
        <f>Database!PD29</f>
        <v>0</v>
      </c>
      <c r="OL5">
        <f>Database!PE29</f>
        <v>0</v>
      </c>
      <c r="OM5">
        <f>Database!PF29</f>
        <v>0</v>
      </c>
      <c r="ON5">
        <f>Database!PG29</f>
        <v>0</v>
      </c>
      <c r="OO5">
        <f>Database!PH29</f>
        <v>0</v>
      </c>
      <c r="OP5">
        <f>Database!PI29</f>
        <v>0</v>
      </c>
      <c r="OQ5">
        <f>Database!PJ29</f>
        <v>0</v>
      </c>
      <c r="OR5">
        <f>Database!PK29</f>
        <v>0</v>
      </c>
      <c r="OS5">
        <f>Database!PL29</f>
        <v>0</v>
      </c>
      <c r="OT5">
        <f>Database!PM29</f>
        <v>0</v>
      </c>
      <c r="OU5">
        <f>Database!PN29</f>
        <v>0</v>
      </c>
      <c r="OV5">
        <f>Database!PO29</f>
        <v>0</v>
      </c>
      <c r="OW5">
        <f>Database!PP29</f>
        <v>0</v>
      </c>
      <c r="OX5">
        <f>Database!PQ29</f>
        <v>0</v>
      </c>
      <c r="OY5">
        <f>Database!PR29</f>
        <v>0</v>
      </c>
      <c r="OZ5">
        <f>Database!PS29</f>
        <v>0</v>
      </c>
      <c r="PA5">
        <f>Database!PT29</f>
        <v>0</v>
      </c>
      <c r="PB5">
        <f>Database!PU29</f>
        <v>0</v>
      </c>
      <c r="PC5">
        <f>Database!PV29</f>
        <v>0</v>
      </c>
      <c r="PD5">
        <f>Database!PW29</f>
        <v>0</v>
      </c>
      <c r="PE5">
        <f>Database!PX29</f>
        <v>0</v>
      </c>
      <c r="PF5">
        <f>Database!PY29</f>
        <v>0</v>
      </c>
      <c r="PG5">
        <f>Database!PZ29</f>
        <v>0</v>
      </c>
      <c r="PH5">
        <f>Database!QA29</f>
        <v>0</v>
      </c>
      <c r="PI5">
        <f>Database!QB29</f>
        <v>0</v>
      </c>
      <c r="PJ5">
        <f>Database!QC29</f>
        <v>0</v>
      </c>
      <c r="PK5">
        <f>Database!QD29</f>
        <v>0</v>
      </c>
      <c r="PL5">
        <f>Database!QE29</f>
        <v>0</v>
      </c>
      <c r="PM5">
        <f>Database!QF29</f>
        <v>0</v>
      </c>
      <c r="PN5">
        <f>Database!QG29</f>
        <v>0</v>
      </c>
      <c r="PO5">
        <f>Database!QH29</f>
        <v>0</v>
      </c>
      <c r="PP5">
        <f>Database!QI29</f>
        <v>0</v>
      </c>
      <c r="PQ5">
        <f>Database!QJ29</f>
        <v>0</v>
      </c>
      <c r="PR5">
        <f>Database!QK29</f>
        <v>0</v>
      </c>
      <c r="PS5">
        <f>Database!QL29</f>
        <v>0</v>
      </c>
      <c r="PT5">
        <f>Database!QM29</f>
        <v>0</v>
      </c>
      <c r="PU5">
        <f>Database!QN29</f>
        <v>0</v>
      </c>
      <c r="PV5">
        <f>Database!QO29</f>
        <v>0</v>
      </c>
      <c r="PW5">
        <f>Database!QP29</f>
        <v>0</v>
      </c>
      <c r="PX5">
        <f>Database!QQ29</f>
        <v>0</v>
      </c>
      <c r="PY5">
        <f>Database!QR29</f>
        <v>0</v>
      </c>
      <c r="PZ5">
        <f>Database!QS29</f>
        <v>0</v>
      </c>
      <c r="QA5">
        <f>Database!QT29</f>
        <v>0</v>
      </c>
      <c r="QB5">
        <f>Database!QU29</f>
        <v>0</v>
      </c>
      <c r="QC5">
        <f>Database!QV29</f>
        <v>0</v>
      </c>
      <c r="QD5">
        <f>Database!QW29</f>
        <v>0</v>
      </c>
      <c r="QE5">
        <f>Database!QX29</f>
        <v>0</v>
      </c>
      <c r="QF5">
        <f>Database!QY29</f>
        <v>0</v>
      </c>
      <c r="QG5">
        <f>Database!QZ29</f>
        <v>0</v>
      </c>
      <c r="QH5">
        <f>Database!RA29</f>
        <v>0</v>
      </c>
      <c r="QI5">
        <f>Database!RB29</f>
        <v>0</v>
      </c>
      <c r="QJ5">
        <f>Database!RC29</f>
        <v>0</v>
      </c>
      <c r="QK5">
        <f>Database!RD29</f>
        <v>0</v>
      </c>
      <c r="QL5">
        <f>Database!RE29</f>
        <v>0</v>
      </c>
      <c r="QM5">
        <f>Database!RF29</f>
        <v>0</v>
      </c>
      <c r="QN5">
        <f>Database!RG29</f>
        <v>0</v>
      </c>
      <c r="QO5">
        <f>Database!RH29</f>
        <v>0</v>
      </c>
      <c r="QP5">
        <f>Database!RI29</f>
        <v>0</v>
      </c>
      <c r="QQ5">
        <f>Database!RJ29</f>
        <v>0</v>
      </c>
      <c r="QR5">
        <f>Database!RK29</f>
        <v>0</v>
      </c>
      <c r="QS5">
        <f>Database!RL29</f>
        <v>0</v>
      </c>
      <c r="QT5">
        <f>Database!RM29</f>
        <v>0</v>
      </c>
      <c r="QU5">
        <f>Database!RN29</f>
        <v>0</v>
      </c>
      <c r="QV5">
        <f>Database!RO29</f>
        <v>0</v>
      </c>
      <c r="QW5">
        <f>Database!RP29</f>
        <v>0</v>
      </c>
      <c r="QX5">
        <f>Database!RQ29</f>
        <v>0</v>
      </c>
      <c r="QY5">
        <f>Database!RR29</f>
        <v>0</v>
      </c>
      <c r="QZ5">
        <f>Database!RS29</f>
        <v>0</v>
      </c>
      <c r="RA5">
        <f>Database!RT29</f>
        <v>0</v>
      </c>
      <c r="RB5">
        <f>Database!RU29</f>
        <v>0</v>
      </c>
      <c r="RC5">
        <f>Database!RV29</f>
        <v>0</v>
      </c>
      <c r="RD5">
        <f>Database!RW29</f>
        <v>0</v>
      </c>
      <c r="RE5">
        <f>Database!RX29</f>
        <v>0</v>
      </c>
      <c r="RF5">
        <f>Database!RY29</f>
        <v>0</v>
      </c>
      <c r="RG5">
        <f>Database!RZ29</f>
        <v>0</v>
      </c>
      <c r="RH5">
        <f>Database!SA29</f>
        <v>0</v>
      </c>
      <c r="RI5">
        <f>Database!SB29</f>
        <v>0</v>
      </c>
      <c r="RJ5">
        <f>Database!SC29</f>
        <v>0</v>
      </c>
      <c r="RK5">
        <f>Database!SD29</f>
        <v>0</v>
      </c>
      <c r="RL5">
        <f>Database!SE29</f>
        <v>0</v>
      </c>
      <c r="RM5">
        <f>Database!SF29</f>
        <v>0</v>
      </c>
      <c r="RN5">
        <f>Database!SG29</f>
        <v>0</v>
      </c>
      <c r="RO5">
        <f>Database!SH29</f>
        <v>0</v>
      </c>
      <c r="RP5">
        <f>Database!SI29</f>
        <v>0</v>
      </c>
      <c r="RQ5">
        <f>Database!SJ29</f>
        <v>0</v>
      </c>
      <c r="RR5">
        <f>Database!SK29</f>
        <v>0</v>
      </c>
      <c r="RS5">
        <f>Database!SL29</f>
        <v>0</v>
      </c>
      <c r="RT5">
        <f>Database!SM29</f>
        <v>0</v>
      </c>
      <c r="RU5">
        <f>Database!SN29</f>
        <v>0</v>
      </c>
      <c r="RV5">
        <f>Database!SO29</f>
        <v>0</v>
      </c>
      <c r="RW5">
        <f>Database!SP29</f>
        <v>0</v>
      </c>
      <c r="RX5">
        <f>Database!SQ29</f>
        <v>0</v>
      </c>
      <c r="RY5">
        <f>Database!SR29</f>
        <v>0</v>
      </c>
      <c r="RZ5">
        <f>Database!SS29</f>
        <v>0</v>
      </c>
      <c r="SA5">
        <f>Database!ST29</f>
        <v>0</v>
      </c>
      <c r="SB5">
        <f>Database!SU29</f>
        <v>0</v>
      </c>
      <c r="SC5">
        <f>Database!SV29</f>
        <v>0</v>
      </c>
      <c r="SD5">
        <f>Database!SW29</f>
        <v>0</v>
      </c>
      <c r="SE5">
        <f>Database!SX29</f>
        <v>0</v>
      </c>
      <c r="SF5">
        <f>Database!SY29</f>
        <v>0</v>
      </c>
      <c r="SG5">
        <f>Database!SZ29</f>
        <v>0</v>
      </c>
      <c r="SH5">
        <f>Database!TA29</f>
        <v>0</v>
      </c>
      <c r="SI5">
        <f>Database!TB29</f>
        <v>0</v>
      </c>
      <c r="SJ5">
        <f>Database!TC29</f>
        <v>0</v>
      </c>
      <c r="SK5">
        <f>Database!TD29</f>
        <v>0</v>
      </c>
      <c r="SL5">
        <f>Database!TE29</f>
        <v>0</v>
      </c>
      <c r="SM5">
        <f>Database!TF29</f>
        <v>0</v>
      </c>
      <c r="SN5">
        <f>Database!TG29</f>
        <v>0</v>
      </c>
      <c r="SO5">
        <f>Database!TH29</f>
        <v>0</v>
      </c>
      <c r="SP5">
        <f>Database!TI29</f>
        <v>0</v>
      </c>
      <c r="SQ5">
        <f>Database!TJ29</f>
        <v>0</v>
      </c>
      <c r="SR5">
        <f>Database!TK29</f>
        <v>0</v>
      </c>
      <c r="SS5">
        <f>Database!TL29</f>
        <v>0</v>
      </c>
      <c r="ST5">
        <f>Database!TM29</f>
        <v>0</v>
      </c>
      <c r="SU5">
        <f>Database!TN29</f>
        <v>0</v>
      </c>
      <c r="SV5">
        <f>Database!TO29</f>
        <v>0</v>
      </c>
      <c r="SW5">
        <f>Database!TP29</f>
        <v>0</v>
      </c>
      <c r="SX5">
        <f>Database!TQ29</f>
        <v>0</v>
      </c>
      <c r="SY5">
        <f>Database!TR29</f>
        <v>0</v>
      </c>
      <c r="SZ5">
        <f>Database!TS29</f>
        <v>0</v>
      </c>
      <c r="TA5">
        <f>Database!TT29</f>
        <v>0</v>
      </c>
      <c r="TB5">
        <f>Database!TU29</f>
        <v>0</v>
      </c>
      <c r="TC5">
        <f>Database!TV29</f>
        <v>0</v>
      </c>
      <c r="TD5">
        <f>Database!TW29</f>
        <v>0</v>
      </c>
      <c r="TE5">
        <f>Database!TX29</f>
        <v>0</v>
      </c>
      <c r="TF5">
        <f>Database!TY29</f>
        <v>0</v>
      </c>
      <c r="TG5">
        <f>Database!TZ29</f>
        <v>0</v>
      </c>
      <c r="TH5">
        <f>Database!UA29</f>
        <v>0</v>
      </c>
      <c r="TI5">
        <f>Database!UB29</f>
        <v>0</v>
      </c>
      <c r="TJ5">
        <f>Database!UC29</f>
        <v>0</v>
      </c>
      <c r="TK5">
        <f>Database!UD29</f>
        <v>0</v>
      </c>
      <c r="TL5">
        <f>Database!UE29</f>
        <v>0</v>
      </c>
      <c r="TM5">
        <f>Database!UF29</f>
        <v>0</v>
      </c>
      <c r="TN5">
        <f>Database!UG29</f>
        <v>0</v>
      </c>
      <c r="TO5">
        <f>Database!UH29</f>
        <v>0</v>
      </c>
      <c r="TP5">
        <f>Database!UI29</f>
        <v>0</v>
      </c>
      <c r="TQ5">
        <f>Database!UJ29</f>
        <v>0</v>
      </c>
      <c r="TR5">
        <f>Database!UK29</f>
        <v>0</v>
      </c>
      <c r="TS5">
        <f>Database!UL29</f>
        <v>0</v>
      </c>
      <c r="TT5">
        <f>Database!UM29</f>
        <v>0</v>
      </c>
      <c r="TU5">
        <f>Database!UN29</f>
        <v>0</v>
      </c>
      <c r="TV5">
        <f>Database!UO29</f>
        <v>0</v>
      </c>
      <c r="TW5">
        <f>Database!UP29</f>
        <v>0</v>
      </c>
      <c r="TX5">
        <f>Database!UQ29</f>
        <v>0</v>
      </c>
      <c r="TY5">
        <f>Database!UR29</f>
        <v>0</v>
      </c>
      <c r="TZ5">
        <f>Database!US29</f>
        <v>0</v>
      </c>
      <c r="UA5">
        <f>Database!UT29</f>
        <v>0</v>
      </c>
      <c r="UB5">
        <f>Database!UU29</f>
        <v>0</v>
      </c>
      <c r="UC5">
        <f>Database!UV29</f>
        <v>0</v>
      </c>
      <c r="UD5">
        <f>Database!UW29</f>
        <v>0</v>
      </c>
      <c r="UE5">
        <f>Database!UX29</f>
        <v>0</v>
      </c>
      <c r="UF5">
        <f>Database!UY29</f>
        <v>0</v>
      </c>
      <c r="UG5">
        <f>Database!UZ29</f>
        <v>0</v>
      </c>
      <c r="UH5">
        <f>Database!VA29</f>
        <v>0</v>
      </c>
      <c r="UI5">
        <f>Database!VB29</f>
        <v>0</v>
      </c>
      <c r="UJ5">
        <f>Database!VC29</f>
        <v>0</v>
      </c>
      <c r="UK5">
        <f>Database!VD29</f>
        <v>0</v>
      </c>
      <c r="UL5">
        <f>Database!VE29</f>
        <v>0</v>
      </c>
      <c r="UM5">
        <f>Database!VF29</f>
        <v>0</v>
      </c>
      <c r="UN5">
        <f>Database!VG29</f>
        <v>0</v>
      </c>
      <c r="UO5">
        <f>Database!VH29</f>
        <v>0</v>
      </c>
      <c r="UP5">
        <f>Database!VI29</f>
        <v>0</v>
      </c>
      <c r="UQ5">
        <f>Database!VJ29</f>
        <v>0</v>
      </c>
      <c r="UR5">
        <f>Database!VK29</f>
        <v>0</v>
      </c>
      <c r="US5">
        <f>Database!VL29</f>
        <v>0</v>
      </c>
      <c r="UT5">
        <f>Database!VM29</f>
        <v>0</v>
      </c>
      <c r="UU5">
        <f>Database!VN29</f>
        <v>0</v>
      </c>
      <c r="UV5">
        <f>Database!VO29</f>
        <v>0</v>
      </c>
      <c r="UW5">
        <f>Database!VP29</f>
        <v>0</v>
      </c>
      <c r="UX5">
        <f>Database!VQ29</f>
        <v>0</v>
      </c>
      <c r="UY5">
        <f>Database!VR29</f>
        <v>0</v>
      </c>
      <c r="UZ5">
        <f>Database!VS29</f>
        <v>0</v>
      </c>
      <c r="VA5">
        <f>Database!VT29</f>
        <v>0</v>
      </c>
      <c r="VB5">
        <f>Database!VU29</f>
        <v>0</v>
      </c>
      <c r="VC5">
        <f>Database!VV29</f>
        <v>0</v>
      </c>
      <c r="VD5">
        <f>Database!VW29</f>
        <v>0</v>
      </c>
      <c r="VE5">
        <f>Database!VX29</f>
        <v>0</v>
      </c>
      <c r="VF5">
        <f>Database!VY29</f>
        <v>0</v>
      </c>
      <c r="VG5">
        <f>Database!VZ29</f>
        <v>0</v>
      </c>
      <c r="VH5">
        <f>Database!WA29</f>
        <v>0</v>
      </c>
      <c r="VI5">
        <f>Database!WB29</f>
        <v>0</v>
      </c>
      <c r="VJ5">
        <f>Database!WC29</f>
        <v>0</v>
      </c>
      <c r="VK5">
        <f>Database!WD29</f>
        <v>0</v>
      </c>
      <c r="VL5">
        <f>Database!WE29</f>
        <v>0</v>
      </c>
      <c r="VM5">
        <f>Database!WF29</f>
        <v>0</v>
      </c>
      <c r="VN5">
        <f>Database!WG29</f>
        <v>0</v>
      </c>
      <c r="VO5">
        <f>Database!WH29</f>
        <v>0</v>
      </c>
      <c r="VP5">
        <f>Database!WI29</f>
        <v>0</v>
      </c>
      <c r="VQ5">
        <f>Database!WJ29</f>
        <v>0</v>
      </c>
      <c r="VR5">
        <f>Database!WK29</f>
        <v>0</v>
      </c>
      <c r="VS5">
        <f>Database!WL29</f>
        <v>0</v>
      </c>
      <c r="VT5">
        <f>Database!WM29</f>
        <v>0</v>
      </c>
      <c r="VU5">
        <f>Database!WN29</f>
        <v>0</v>
      </c>
      <c r="VV5">
        <f>Database!WO29</f>
        <v>0</v>
      </c>
      <c r="VW5">
        <f>Database!WP29</f>
        <v>0</v>
      </c>
      <c r="VX5">
        <f>Database!WQ29</f>
        <v>0</v>
      </c>
      <c r="VY5">
        <f>Database!WR29</f>
        <v>0</v>
      </c>
      <c r="VZ5">
        <f>Database!WS29</f>
        <v>0</v>
      </c>
      <c r="WA5">
        <f>Database!WT29</f>
        <v>0</v>
      </c>
      <c r="WB5">
        <f>Database!WU29</f>
        <v>0</v>
      </c>
      <c r="WC5">
        <f>Database!WV29</f>
        <v>0</v>
      </c>
      <c r="WD5">
        <f>Database!WW29</f>
        <v>0</v>
      </c>
      <c r="WE5">
        <f>Database!WX29</f>
        <v>0</v>
      </c>
      <c r="WF5">
        <f>Database!WY29</f>
        <v>0</v>
      </c>
      <c r="WG5">
        <f>Database!WZ29</f>
        <v>0</v>
      </c>
      <c r="WH5">
        <f>Database!XA29</f>
        <v>0</v>
      </c>
      <c r="WI5">
        <f>Database!XB29</f>
        <v>0</v>
      </c>
      <c r="WJ5">
        <f>Database!XC29</f>
        <v>0</v>
      </c>
      <c r="WK5">
        <f>Database!XD29</f>
        <v>0</v>
      </c>
      <c r="WL5">
        <f>Database!XE29</f>
        <v>0</v>
      </c>
      <c r="WM5">
        <f>Database!XF29</f>
        <v>0</v>
      </c>
      <c r="WN5">
        <f>Database!XG29</f>
        <v>0</v>
      </c>
      <c r="WO5">
        <f>Database!XH29</f>
        <v>0</v>
      </c>
      <c r="WP5">
        <f>Database!XI29</f>
        <v>0</v>
      </c>
      <c r="WQ5">
        <f>Database!XJ29</f>
        <v>0</v>
      </c>
      <c r="WR5">
        <f>Database!XK29</f>
        <v>0</v>
      </c>
      <c r="WS5">
        <f>Database!XL29</f>
        <v>0</v>
      </c>
      <c r="WT5">
        <f>Database!XM29</f>
        <v>0</v>
      </c>
      <c r="WU5">
        <f>Database!XN29</f>
        <v>0</v>
      </c>
      <c r="WV5">
        <f>Database!XO29</f>
        <v>0</v>
      </c>
      <c r="WW5">
        <f>Database!XP29</f>
        <v>0</v>
      </c>
      <c r="WX5">
        <f>Database!XQ29</f>
        <v>0</v>
      </c>
      <c r="WY5">
        <f>Database!XR29</f>
        <v>0</v>
      </c>
      <c r="WZ5">
        <f>Database!XS29</f>
        <v>0</v>
      </c>
      <c r="XA5">
        <f>Database!XT29</f>
        <v>0</v>
      </c>
      <c r="XB5">
        <f>Database!XU29</f>
        <v>0</v>
      </c>
      <c r="XC5">
        <f>Database!XV29</f>
        <v>0</v>
      </c>
      <c r="XD5">
        <f>Database!XW29</f>
        <v>0</v>
      </c>
      <c r="XE5">
        <f>Database!XX29</f>
        <v>0</v>
      </c>
      <c r="XF5">
        <f>Database!XY29</f>
        <v>0</v>
      </c>
      <c r="XG5">
        <f>Database!XZ29</f>
        <v>0</v>
      </c>
      <c r="XH5">
        <f>Database!YA29</f>
        <v>0</v>
      </c>
      <c r="XI5">
        <f>Database!YB29</f>
        <v>0</v>
      </c>
      <c r="XJ5">
        <f>Database!YC29</f>
        <v>0</v>
      </c>
      <c r="XK5">
        <f>Database!YD29</f>
        <v>0</v>
      </c>
      <c r="XL5">
        <f>Database!YE29</f>
        <v>0</v>
      </c>
      <c r="XM5">
        <f>Database!YF29</f>
        <v>0</v>
      </c>
      <c r="XN5">
        <f>Database!YG29</f>
        <v>0</v>
      </c>
      <c r="XO5">
        <f>Database!YH29</f>
        <v>0</v>
      </c>
      <c r="XP5">
        <f>Database!YI29</f>
        <v>0</v>
      </c>
      <c r="XQ5">
        <f>Database!YJ29</f>
        <v>0</v>
      </c>
      <c r="XR5">
        <f>Database!YK29</f>
        <v>0</v>
      </c>
      <c r="XS5">
        <f>Database!YL29</f>
        <v>0</v>
      </c>
      <c r="XT5">
        <f>Database!YM29</f>
        <v>0</v>
      </c>
      <c r="XU5">
        <f>Database!YN29</f>
        <v>0</v>
      </c>
      <c r="XV5">
        <f>Database!YO29</f>
        <v>0</v>
      </c>
      <c r="XW5">
        <f>Database!YP29</f>
        <v>0</v>
      </c>
      <c r="XX5">
        <f>Database!YQ29</f>
        <v>0</v>
      </c>
      <c r="XY5">
        <f>Database!YR29</f>
        <v>0</v>
      </c>
      <c r="XZ5">
        <f>Database!YS29</f>
        <v>0</v>
      </c>
      <c r="YA5">
        <f>Database!YT29</f>
        <v>0</v>
      </c>
      <c r="YB5">
        <f>Database!YU29</f>
        <v>0</v>
      </c>
      <c r="YC5">
        <f>Database!YV29</f>
        <v>0</v>
      </c>
      <c r="YD5">
        <f>Database!YW29</f>
        <v>0</v>
      </c>
      <c r="YE5">
        <f>Database!YX29</f>
        <v>0</v>
      </c>
      <c r="YF5">
        <f>Database!YY29</f>
        <v>0</v>
      </c>
      <c r="YG5">
        <f>Database!YZ29</f>
        <v>0</v>
      </c>
      <c r="YH5">
        <f>Database!ZA29</f>
        <v>0</v>
      </c>
      <c r="YI5">
        <f>Database!ZB29</f>
        <v>0</v>
      </c>
      <c r="YJ5">
        <f>Database!ZC29</f>
        <v>0</v>
      </c>
      <c r="YK5">
        <f>Database!ZD29</f>
        <v>0</v>
      </c>
      <c r="YL5">
        <f>Database!ZE29</f>
        <v>0</v>
      </c>
      <c r="YM5">
        <f>Database!ZF29</f>
        <v>0</v>
      </c>
      <c r="YN5">
        <f>Database!ZG29</f>
        <v>0</v>
      </c>
      <c r="YO5">
        <f>Database!ZH29</f>
        <v>0</v>
      </c>
      <c r="YP5">
        <f>Database!ZI29</f>
        <v>0</v>
      </c>
      <c r="YQ5">
        <f>Database!ZJ29</f>
        <v>0</v>
      </c>
      <c r="YR5">
        <f>Database!ZK29</f>
        <v>0</v>
      </c>
      <c r="YS5">
        <f>Database!ZL29</f>
        <v>0</v>
      </c>
      <c r="YT5">
        <f>Database!ZM29</f>
        <v>0</v>
      </c>
      <c r="YU5">
        <f>Database!ZN29</f>
        <v>0</v>
      </c>
      <c r="YV5">
        <f>Database!ZO29</f>
        <v>0</v>
      </c>
      <c r="YW5">
        <f>Database!ZP29</f>
        <v>0</v>
      </c>
      <c r="YX5">
        <f>Database!ZQ29</f>
        <v>0</v>
      </c>
      <c r="YY5">
        <f>Database!ZR29</f>
        <v>0</v>
      </c>
      <c r="YZ5">
        <f>Database!ZS29</f>
        <v>0</v>
      </c>
      <c r="ZA5">
        <f>Database!ZT29</f>
        <v>0</v>
      </c>
      <c r="ZB5">
        <f>Database!ZU29</f>
        <v>0</v>
      </c>
      <c r="ZC5">
        <f>Database!ZV29</f>
        <v>0</v>
      </c>
      <c r="ZD5">
        <f>Database!ZW29</f>
        <v>0</v>
      </c>
      <c r="ZE5">
        <f>Database!ZX29</f>
        <v>0</v>
      </c>
      <c r="ZF5">
        <f>Database!ZY29</f>
        <v>0</v>
      </c>
      <c r="ZG5">
        <f>Database!ZZ29</f>
        <v>0</v>
      </c>
      <c r="ZH5">
        <f>Database!AAA29</f>
        <v>0</v>
      </c>
      <c r="ZI5">
        <f>Database!AAB29</f>
        <v>0</v>
      </c>
      <c r="ZJ5">
        <f>Database!AAC29</f>
        <v>0</v>
      </c>
      <c r="ZK5">
        <f>Database!AAD29</f>
        <v>0</v>
      </c>
      <c r="ZL5">
        <f>Database!AAE29</f>
        <v>0</v>
      </c>
      <c r="ZM5">
        <f>Database!AAF29</f>
        <v>0</v>
      </c>
      <c r="ZN5">
        <f>Database!AAG29</f>
        <v>0</v>
      </c>
      <c r="ZO5">
        <f>Database!AAH29</f>
        <v>0</v>
      </c>
      <c r="ZP5">
        <f>Database!AAI29</f>
        <v>0</v>
      </c>
      <c r="ZQ5">
        <f>Database!AAJ29</f>
        <v>0</v>
      </c>
      <c r="ZR5">
        <f>Database!AAK29</f>
        <v>0</v>
      </c>
      <c r="ZS5">
        <f>Database!AAL29</f>
        <v>0</v>
      </c>
      <c r="ZT5">
        <f>Database!AAM29</f>
        <v>0</v>
      </c>
      <c r="ZU5">
        <f>Database!AAN29</f>
        <v>0</v>
      </c>
      <c r="ZV5">
        <f>Database!AAO29</f>
        <v>0</v>
      </c>
      <c r="ZW5">
        <f>Database!AAP29</f>
        <v>0</v>
      </c>
      <c r="ZX5">
        <f>Database!AAQ29</f>
        <v>0</v>
      </c>
      <c r="ZY5">
        <f>Database!AAR29</f>
        <v>0</v>
      </c>
      <c r="ZZ5">
        <f>Database!AAS29</f>
        <v>0</v>
      </c>
      <c r="AAA5">
        <f>Database!AAT29</f>
        <v>0</v>
      </c>
      <c r="AAB5">
        <f>Database!AAU29</f>
        <v>0</v>
      </c>
      <c r="AAC5">
        <f>Database!AAV29</f>
        <v>0</v>
      </c>
      <c r="AAD5">
        <f>Database!AAW29</f>
        <v>0</v>
      </c>
      <c r="AAE5">
        <f>Database!AAX29</f>
        <v>0</v>
      </c>
      <c r="AAF5">
        <f>Database!AAY29</f>
        <v>0</v>
      </c>
      <c r="AAG5">
        <f>Database!AAZ29</f>
        <v>0</v>
      </c>
      <c r="AAH5">
        <f>Database!ABA29</f>
        <v>0</v>
      </c>
      <c r="AAI5">
        <f>Database!ABB29</f>
        <v>0</v>
      </c>
      <c r="AAJ5">
        <f>Database!ABC29</f>
        <v>0</v>
      </c>
      <c r="AAK5">
        <f>Database!ABD29</f>
        <v>0</v>
      </c>
      <c r="AAL5">
        <f>Database!ABE29</f>
        <v>0</v>
      </c>
      <c r="AAM5">
        <f>Database!ABF29</f>
        <v>0</v>
      </c>
      <c r="AAN5">
        <f>Database!ABG29</f>
        <v>0</v>
      </c>
      <c r="AAO5">
        <f>Database!ABH29</f>
        <v>0</v>
      </c>
      <c r="AAP5">
        <f>Database!ABI29</f>
        <v>0</v>
      </c>
      <c r="AAQ5">
        <f>Database!ABJ29</f>
        <v>0</v>
      </c>
      <c r="AAR5">
        <f>Database!ABK29</f>
        <v>0</v>
      </c>
      <c r="AAS5">
        <f>Database!ABL29</f>
        <v>0</v>
      </c>
      <c r="AAT5">
        <f>Database!ABM29</f>
        <v>0</v>
      </c>
      <c r="AAU5">
        <f>Database!ABN29</f>
        <v>0</v>
      </c>
      <c r="AAV5">
        <f>Database!ABO29</f>
        <v>0</v>
      </c>
      <c r="AAW5">
        <f>Database!ABP29</f>
        <v>0</v>
      </c>
      <c r="AAX5">
        <f>Database!ABQ29</f>
        <v>0</v>
      </c>
      <c r="AAY5">
        <f>Database!ABR29</f>
        <v>0</v>
      </c>
      <c r="AAZ5">
        <f>Database!ABS29</f>
        <v>0</v>
      </c>
      <c r="ABA5">
        <f>Database!ABT29</f>
        <v>0</v>
      </c>
      <c r="ABB5">
        <f>Database!ABU29</f>
        <v>0</v>
      </c>
      <c r="ABC5">
        <f>Database!ABV29</f>
        <v>0</v>
      </c>
      <c r="ABD5">
        <f>Database!ABW29</f>
        <v>0</v>
      </c>
      <c r="ABE5">
        <f>Database!ABX29</f>
        <v>0</v>
      </c>
      <c r="ABF5">
        <f>Database!ABY29</f>
        <v>0</v>
      </c>
      <c r="ABG5">
        <f>Database!ABZ29</f>
        <v>0</v>
      </c>
      <c r="ABH5">
        <f>Database!ACA29</f>
        <v>0</v>
      </c>
      <c r="ABI5">
        <f>Database!ACB29</f>
        <v>0</v>
      </c>
      <c r="ABJ5">
        <f>Database!ACC29</f>
        <v>0</v>
      </c>
      <c r="ABK5">
        <f>Database!ACD29</f>
        <v>0</v>
      </c>
      <c r="ABL5">
        <f>Database!ACE29</f>
        <v>0</v>
      </c>
      <c r="ABM5">
        <f>Database!ACF29</f>
        <v>0</v>
      </c>
      <c r="ABN5">
        <f>Database!ACG29</f>
        <v>0</v>
      </c>
      <c r="ABO5">
        <f>Database!ACH29</f>
        <v>0</v>
      </c>
      <c r="ABP5">
        <f>Database!ACI29</f>
        <v>0</v>
      </c>
      <c r="ABQ5">
        <f>Database!ACJ29</f>
        <v>0</v>
      </c>
      <c r="ABR5">
        <f>Database!ACK29</f>
        <v>0</v>
      </c>
      <c r="ABS5">
        <f>Database!ACL29</f>
        <v>0</v>
      </c>
      <c r="ABT5">
        <f>Database!ACM29</f>
        <v>0</v>
      </c>
      <c r="ABU5">
        <f>Database!ACN29</f>
        <v>0</v>
      </c>
      <c r="ABV5">
        <f>Database!ACO29</f>
        <v>0</v>
      </c>
      <c r="ABW5">
        <f>Database!ACP29</f>
        <v>0</v>
      </c>
      <c r="ABX5">
        <f>Database!ACQ29</f>
        <v>0</v>
      </c>
      <c r="ABY5">
        <f>Database!ACR29</f>
        <v>0</v>
      </c>
      <c r="ABZ5">
        <f>Database!ACS29</f>
        <v>0</v>
      </c>
      <c r="ACA5">
        <f>Database!ACT29</f>
        <v>0</v>
      </c>
      <c r="ACB5">
        <f>Database!ACU29</f>
        <v>0</v>
      </c>
      <c r="ACC5">
        <f>Database!ACV29</f>
        <v>0</v>
      </c>
      <c r="ACD5">
        <f>Database!ACW29</f>
        <v>0</v>
      </c>
      <c r="ACE5">
        <f>Database!ACX29</f>
        <v>0</v>
      </c>
      <c r="ACF5">
        <f>Database!ACY29</f>
        <v>0</v>
      </c>
      <c r="ACG5">
        <f>Database!ACZ29</f>
        <v>0</v>
      </c>
      <c r="ACH5">
        <f>Database!ADA29</f>
        <v>0</v>
      </c>
      <c r="ACI5">
        <f>Database!ADB29</f>
        <v>0</v>
      </c>
      <c r="ACJ5">
        <f>Database!ADC29</f>
        <v>0</v>
      </c>
      <c r="ACK5">
        <f>Database!ADD29</f>
        <v>0</v>
      </c>
      <c r="ACL5">
        <f>Database!ADE29</f>
        <v>0</v>
      </c>
      <c r="ACM5">
        <f>Database!ADF29</f>
        <v>0</v>
      </c>
      <c r="ACN5">
        <f>Database!ADG29</f>
        <v>0</v>
      </c>
      <c r="ACO5">
        <f>Database!ADH29</f>
        <v>0</v>
      </c>
      <c r="ACP5">
        <f>Database!ADI29</f>
        <v>0</v>
      </c>
      <c r="ACQ5">
        <f>Database!ADJ29</f>
        <v>0</v>
      </c>
      <c r="ACR5">
        <f>Database!ADK29</f>
        <v>0</v>
      </c>
      <c r="ACS5">
        <f>Database!ADL29</f>
        <v>0</v>
      </c>
      <c r="ACT5">
        <f>Database!ADM29</f>
        <v>0</v>
      </c>
      <c r="ACU5">
        <f>Database!ADN29</f>
        <v>0</v>
      </c>
      <c r="ACV5">
        <f>Database!ADO29</f>
        <v>0</v>
      </c>
      <c r="ACW5">
        <f>Database!ADP29</f>
        <v>0</v>
      </c>
      <c r="ACX5">
        <f>Database!ADQ29</f>
        <v>0</v>
      </c>
      <c r="ACY5">
        <f>Database!ADR29</f>
        <v>0</v>
      </c>
      <c r="ACZ5">
        <f>Database!ADS29</f>
        <v>0</v>
      </c>
      <c r="ADA5">
        <f>Database!ADT29</f>
        <v>0</v>
      </c>
      <c r="ADB5">
        <f>Database!ADU29</f>
        <v>0</v>
      </c>
      <c r="ADC5">
        <f>Database!ADV29</f>
        <v>0</v>
      </c>
      <c r="ADD5">
        <f>Database!ADW29</f>
        <v>0</v>
      </c>
      <c r="ADE5">
        <f>Database!ADX29</f>
        <v>0</v>
      </c>
      <c r="ADF5">
        <f>Database!ADY29</f>
        <v>0</v>
      </c>
      <c r="ADG5">
        <f>Database!ADZ29</f>
        <v>0</v>
      </c>
      <c r="ADH5">
        <f>Database!AEA29</f>
        <v>0</v>
      </c>
      <c r="ADI5">
        <f>Database!AEB29</f>
        <v>0</v>
      </c>
      <c r="ADJ5">
        <f>Database!AEC29</f>
        <v>0</v>
      </c>
      <c r="ADK5">
        <f>Database!AED29</f>
        <v>0</v>
      </c>
      <c r="ADL5">
        <f>Database!AEE29</f>
        <v>0</v>
      </c>
      <c r="ADM5">
        <f>Database!AEF29</f>
        <v>0</v>
      </c>
      <c r="ADN5">
        <f>Database!AEG29</f>
        <v>0</v>
      </c>
      <c r="ADO5">
        <f>Database!AEH29</f>
        <v>0</v>
      </c>
      <c r="ADP5">
        <f>Database!AEI29</f>
        <v>0</v>
      </c>
      <c r="ADQ5">
        <f>Database!AEJ29</f>
        <v>0</v>
      </c>
      <c r="ADR5">
        <f>Database!AEK29</f>
        <v>0</v>
      </c>
      <c r="ADS5">
        <f>Database!AEL29</f>
        <v>0</v>
      </c>
      <c r="ADT5">
        <f>Database!AEM29</f>
        <v>0</v>
      </c>
      <c r="ADU5">
        <f>Database!AEN29</f>
        <v>0</v>
      </c>
      <c r="ADV5">
        <f>Database!AEO29</f>
        <v>0</v>
      </c>
      <c r="ADW5">
        <f>Database!AEP29</f>
        <v>0</v>
      </c>
      <c r="ADX5">
        <f>Database!AEQ29</f>
        <v>0</v>
      </c>
      <c r="ADY5">
        <f>Database!AER29</f>
        <v>0</v>
      </c>
      <c r="ADZ5">
        <f>Database!AES29</f>
        <v>0</v>
      </c>
      <c r="AEA5">
        <f>Database!AET29</f>
        <v>0</v>
      </c>
      <c r="AEB5">
        <f>Database!AEU29</f>
        <v>0</v>
      </c>
      <c r="AEC5">
        <f>Database!AEV29</f>
        <v>0</v>
      </c>
      <c r="AED5">
        <f>Database!AEW29</f>
        <v>0</v>
      </c>
      <c r="AEE5">
        <f>Database!AEX29</f>
        <v>0</v>
      </c>
      <c r="AEF5">
        <f>Database!AEY29</f>
        <v>0</v>
      </c>
      <c r="AEG5">
        <f>Database!AEZ29</f>
        <v>0</v>
      </c>
      <c r="AEH5">
        <f>Database!AFA29</f>
        <v>0</v>
      </c>
      <c r="AEI5">
        <f>Database!AFB29</f>
        <v>0</v>
      </c>
      <c r="AEJ5">
        <f>Database!AFC29</f>
        <v>0</v>
      </c>
      <c r="AEK5">
        <f>Database!AFD29</f>
        <v>0</v>
      </c>
      <c r="AEL5">
        <f>Database!AFE29</f>
        <v>0</v>
      </c>
      <c r="AEM5">
        <f>Database!AFF29</f>
        <v>0</v>
      </c>
      <c r="AEN5">
        <f>Database!AFG29</f>
        <v>0</v>
      </c>
      <c r="AEO5">
        <f>Database!AFH29</f>
        <v>0</v>
      </c>
      <c r="AEP5">
        <f>Database!AFI29</f>
        <v>0</v>
      </c>
      <c r="AEQ5">
        <f>Database!AFJ29</f>
        <v>0</v>
      </c>
      <c r="AER5">
        <f>Database!AFK29</f>
        <v>0</v>
      </c>
      <c r="AES5">
        <f>Database!AFL29</f>
        <v>0</v>
      </c>
      <c r="AET5">
        <f>Database!AFM29</f>
        <v>0</v>
      </c>
      <c r="AEU5">
        <f>Database!AFN29</f>
        <v>0</v>
      </c>
      <c r="AEV5">
        <f>Database!AFO29</f>
        <v>0</v>
      </c>
      <c r="AEW5">
        <f>Database!AFP29</f>
        <v>0</v>
      </c>
      <c r="AEX5">
        <f>Database!AFQ29</f>
        <v>0</v>
      </c>
      <c r="AEY5">
        <f>Database!AFR29</f>
        <v>0</v>
      </c>
      <c r="AEZ5">
        <f>Database!AFS29</f>
        <v>0</v>
      </c>
      <c r="AFA5">
        <f>Database!AFT29</f>
        <v>0</v>
      </c>
      <c r="AFB5">
        <f>Database!AFU29</f>
        <v>0</v>
      </c>
      <c r="AFC5">
        <f>Database!AFV29</f>
        <v>0</v>
      </c>
      <c r="AFD5">
        <f>Database!AFW29</f>
        <v>0</v>
      </c>
      <c r="AFE5">
        <f>Database!AFX29</f>
        <v>0</v>
      </c>
      <c r="AFF5">
        <f>Database!AFY29</f>
        <v>0</v>
      </c>
      <c r="AFG5">
        <f>Database!AFZ29</f>
        <v>0</v>
      </c>
      <c r="AFH5">
        <f>Database!AGA29</f>
        <v>0</v>
      </c>
      <c r="AFI5">
        <f>Database!AGB29</f>
        <v>0</v>
      </c>
      <c r="AFJ5">
        <f>Database!AGC29</f>
        <v>0</v>
      </c>
      <c r="AFK5">
        <f>Database!AGD29</f>
        <v>0</v>
      </c>
      <c r="AFL5">
        <f>Database!AGE29</f>
        <v>0</v>
      </c>
      <c r="AFM5">
        <f>Database!AGF29</f>
        <v>0</v>
      </c>
      <c r="AFN5">
        <f>Database!AGG29</f>
        <v>0</v>
      </c>
      <c r="AFO5">
        <f>Database!AGH29</f>
        <v>0</v>
      </c>
      <c r="AFP5">
        <f>Database!AGI29</f>
        <v>0</v>
      </c>
      <c r="AFQ5">
        <f>Database!AGJ29</f>
        <v>0</v>
      </c>
      <c r="AFR5">
        <f>Database!AGK29</f>
        <v>0</v>
      </c>
      <c r="AFS5">
        <f>Database!AGL29</f>
        <v>0</v>
      </c>
      <c r="AFT5">
        <f>Database!AGM29</f>
        <v>0</v>
      </c>
      <c r="AFU5">
        <f>Database!AGN29</f>
        <v>0</v>
      </c>
      <c r="AFV5">
        <f>Database!AGO29</f>
        <v>0</v>
      </c>
      <c r="AFW5">
        <f>Database!AGP29</f>
        <v>0</v>
      </c>
      <c r="AFX5">
        <f>Database!AGQ29</f>
        <v>0</v>
      </c>
      <c r="AFY5">
        <f>Database!AGR29</f>
        <v>0</v>
      </c>
      <c r="AFZ5">
        <f>Database!AGS29</f>
        <v>0</v>
      </c>
      <c r="AGA5">
        <f>Database!AGT29</f>
        <v>0</v>
      </c>
      <c r="AGB5">
        <f>Database!AGU29</f>
        <v>0</v>
      </c>
      <c r="AGC5">
        <f>Database!AGV29</f>
        <v>0</v>
      </c>
      <c r="AGD5">
        <f>Database!AGW29</f>
        <v>0</v>
      </c>
      <c r="AGE5">
        <f>Database!AGX29</f>
        <v>0</v>
      </c>
      <c r="AGF5">
        <f>Database!AGY29</f>
        <v>0</v>
      </c>
      <c r="AGG5">
        <f>Database!AGZ29</f>
        <v>0</v>
      </c>
      <c r="AGH5">
        <f>Database!AHA29</f>
        <v>0</v>
      </c>
      <c r="AGI5">
        <f>Database!AHB29</f>
        <v>0</v>
      </c>
      <c r="AGJ5">
        <f>Database!AHC29</f>
        <v>0</v>
      </c>
      <c r="AGK5">
        <f>Database!AHD29</f>
        <v>0</v>
      </c>
      <c r="AGL5">
        <f>Database!AHE29</f>
        <v>0</v>
      </c>
      <c r="AGM5">
        <f>Database!AHF29</f>
        <v>0</v>
      </c>
      <c r="AGN5">
        <f>Database!AHG29</f>
        <v>0</v>
      </c>
      <c r="AGO5">
        <f>Database!AHH29</f>
        <v>0</v>
      </c>
      <c r="AGP5">
        <f>Database!AHI29</f>
        <v>0</v>
      </c>
      <c r="AGQ5">
        <f>Database!AHJ29</f>
        <v>0</v>
      </c>
      <c r="AGR5">
        <f>Database!AHK29</f>
        <v>0</v>
      </c>
      <c r="AGS5">
        <f>Database!AHL29</f>
        <v>0</v>
      </c>
      <c r="AGT5">
        <f>Database!AHM29</f>
        <v>0</v>
      </c>
      <c r="AGU5">
        <f>Database!AHN29</f>
        <v>0</v>
      </c>
      <c r="AGV5">
        <f>Database!AHO29</f>
        <v>0</v>
      </c>
      <c r="AGW5">
        <f>Database!AHP29</f>
        <v>0</v>
      </c>
      <c r="AGX5">
        <f>Database!AHQ29</f>
        <v>0</v>
      </c>
      <c r="AGY5">
        <f>Database!AHR29</f>
        <v>0</v>
      </c>
      <c r="AGZ5">
        <f>Database!AHS29</f>
        <v>0</v>
      </c>
      <c r="AHA5">
        <f>Database!AHT29</f>
        <v>0</v>
      </c>
      <c r="AHB5">
        <f>Database!AHU29</f>
        <v>0</v>
      </c>
      <c r="AHC5">
        <f>Database!AHV29</f>
        <v>0</v>
      </c>
      <c r="AHD5">
        <f>Database!AHW29</f>
        <v>0</v>
      </c>
      <c r="AHE5">
        <f>Database!AHX29</f>
        <v>0</v>
      </c>
      <c r="AHF5">
        <f>Database!AHY29</f>
        <v>0</v>
      </c>
      <c r="AHG5">
        <f>Database!AHZ29</f>
        <v>0</v>
      </c>
      <c r="AHH5">
        <f>Database!AIA29</f>
        <v>0</v>
      </c>
      <c r="AHI5">
        <f>Database!AIB29</f>
        <v>0</v>
      </c>
      <c r="AHJ5">
        <f>Database!AIC29</f>
        <v>0</v>
      </c>
      <c r="AHK5">
        <f>Database!AID29</f>
        <v>0</v>
      </c>
      <c r="AHL5">
        <f>Database!AIE29</f>
        <v>0</v>
      </c>
      <c r="AHM5">
        <f>Database!AIF29</f>
        <v>0</v>
      </c>
      <c r="AHN5">
        <f>Database!AIG29</f>
        <v>0</v>
      </c>
      <c r="AHO5">
        <f>Database!AIH29</f>
        <v>0</v>
      </c>
      <c r="AHP5">
        <f>Database!AII29</f>
        <v>0</v>
      </c>
      <c r="AHQ5">
        <f>Database!AIJ29</f>
        <v>0</v>
      </c>
      <c r="AHR5">
        <f>Database!AIK29</f>
        <v>0</v>
      </c>
      <c r="AHS5">
        <f>Database!AIL29</f>
        <v>0</v>
      </c>
      <c r="AHT5">
        <f>Database!AIM29</f>
        <v>0</v>
      </c>
      <c r="AHU5">
        <f>Database!AIN29</f>
        <v>0</v>
      </c>
      <c r="AHV5">
        <f>Database!AIO29</f>
        <v>0</v>
      </c>
      <c r="AHW5">
        <f>Database!AIP29</f>
        <v>0</v>
      </c>
      <c r="AHX5">
        <f>Database!AIQ29</f>
        <v>0</v>
      </c>
      <c r="AHY5">
        <f>Database!AIR29</f>
        <v>0</v>
      </c>
      <c r="AHZ5">
        <f>Database!AIS29</f>
        <v>0</v>
      </c>
      <c r="AIA5">
        <f>Database!AIT29</f>
        <v>0</v>
      </c>
      <c r="AIB5">
        <f>Database!AIU29</f>
        <v>0</v>
      </c>
      <c r="AIC5">
        <f>Database!AIV29</f>
        <v>0</v>
      </c>
      <c r="AID5">
        <f>Database!AIW29</f>
        <v>0</v>
      </c>
      <c r="AIE5">
        <f>Database!AIX29</f>
        <v>0</v>
      </c>
      <c r="AIF5">
        <f>Database!AIY29</f>
        <v>0</v>
      </c>
      <c r="AIG5">
        <f>Database!AIZ29</f>
        <v>0</v>
      </c>
      <c r="AIH5">
        <f>Database!AJA29</f>
        <v>0</v>
      </c>
      <c r="AII5">
        <f>Database!AJB29</f>
        <v>0</v>
      </c>
      <c r="AIJ5">
        <f>Database!AJC29</f>
        <v>0</v>
      </c>
      <c r="AIK5">
        <f>Database!AJD29</f>
        <v>0</v>
      </c>
      <c r="AIL5">
        <f>Database!AJE29</f>
        <v>0</v>
      </c>
      <c r="AIM5">
        <f>Database!AJF29</f>
        <v>0</v>
      </c>
      <c r="AIN5">
        <f>Database!AJG29</f>
        <v>0</v>
      </c>
      <c r="AIO5">
        <f>Database!AJH29</f>
        <v>0</v>
      </c>
      <c r="AIP5">
        <f>Database!AJI29</f>
        <v>0</v>
      </c>
      <c r="AIQ5">
        <f>Database!AJJ29</f>
        <v>0</v>
      </c>
      <c r="AIR5">
        <f>Database!AJK29</f>
        <v>0</v>
      </c>
      <c r="AIS5">
        <f>Database!AJL29</f>
        <v>0</v>
      </c>
      <c r="AIT5">
        <f>Database!AJM29</f>
        <v>0</v>
      </c>
      <c r="AIU5">
        <f>Database!AJN29</f>
        <v>0</v>
      </c>
      <c r="AIV5">
        <f>Database!AJO29</f>
        <v>0</v>
      </c>
      <c r="AIW5">
        <f>Database!AJP29</f>
        <v>0</v>
      </c>
      <c r="AIX5">
        <f>Database!AJQ29</f>
        <v>0</v>
      </c>
      <c r="AIY5">
        <f>Database!AJR29</f>
        <v>0</v>
      </c>
      <c r="AIZ5">
        <f>Database!AJS29</f>
        <v>0</v>
      </c>
      <c r="AJA5">
        <f>Database!AJT29</f>
        <v>0</v>
      </c>
      <c r="AJB5">
        <f>Database!AJU29</f>
        <v>0</v>
      </c>
      <c r="AJC5">
        <f>Database!AJV29</f>
        <v>0</v>
      </c>
      <c r="AJD5">
        <f>Database!AJW29</f>
        <v>0</v>
      </c>
      <c r="AJE5">
        <f>Database!AJX29</f>
        <v>0</v>
      </c>
      <c r="AJF5">
        <f>Database!AJY29</f>
        <v>0</v>
      </c>
      <c r="AJG5">
        <f>Database!AJZ29</f>
        <v>0</v>
      </c>
      <c r="AJH5">
        <f>Database!AKA29</f>
        <v>0</v>
      </c>
      <c r="AJI5">
        <f>Database!AKB29</f>
        <v>0</v>
      </c>
      <c r="AJJ5">
        <f>Database!AKC29</f>
        <v>0</v>
      </c>
      <c r="AJK5">
        <f>Database!AKD29</f>
        <v>0</v>
      </c>
      <c r="AJL5">
        <f>Database!AKE29</f>
        <v>0</v>
      </c>
      <c r="AJM5">
        <f>Database!AKF29</f>
        <v>0</v>
      </c>
      <c r="AJN5">
        <f>Database!AKG29</f>
        <v>0</v>
      </c>
      <c r="AJO5">
        <f>Database!AKH29</f>
        <v>0</v>
      </c>
      <c r="AJP5">
        <f>Database!AKI29</f>
        <v>0</v>
      </c>
      <c r="AJQ5">
        <f>Database!AKJ29</f>
        <v>0</v>
      </c>
      <c r="AJR5">
        <f>Database!AKK29</f>
        <v>0</v>
      </c>
      <c r="AJS5">
        <f>Database!AKL29</f>
        <v>0</v>
      </c>
      <c r="AJT5">
        <f>Database!AKM29</f>
        <v>0</v>
      </c>
      <c r="AJU5">
        <f>Database!AKN29</f>
        <v>0</v>
      </c>
      <c r="AJV5">
        <f>Database!AKO29</f>
        <v>0</v>
      </c>
      <c r="AJW5">
        <f>Database!AKP29</f>
        <v>0</v>
      </c>
      <c r="AJX5">
        <f>Database!AKQ29</f>
        <v>0</v>
      </c>
      <c r="AJY5">
        <f>Database!AKR29</f>
        <v>0</v>
      </c>
      <c r="AJZ5">
        <f>Database!AKS29</f>
        <v>0</v>
      </c>
      <c r="AKA5">
        <f>Database!AKT29</f>
        <v>0</v>
      </c>
      <c r="AKB5">
        <f>Database!AKU29</f>
        <v>0</v>
      </c>
      <c r="AKC5">
        <f>Database!AKV29</f>
        <v>0</v>
      </c>
      <c r="AKD5">
        <f>Database!AKW29</f>
        <v>0</v>
      </c>
      <c r="AKE5">
        <f>Database!AKX29</f>
        <v>0</v>
      </c>
      <c r="AKF5">
        <f>Database!AKY29</f>
        <v>0</v>
      </c>
      <c r="AKG5">
        <f>Database!AKZ29</f>
        <v>0</v>
      </c>
      <c r="AKH5">
        <f>Database!ALA29</f>
        <v>0</v>
      </c>
      <c r="AKI5">
        <f>Database!ALB29</f>
        <v>0</v>
      </c>
      <c r="AKJ5">
        <f>Database!ALC29</f>
        <v>0</v>
      </c>
      <c r="AKK5">
        <f>Database!ALD29</f>
        <v>0</v>
      </c>
      <c r="AKL5">
        <f>Database!ALE29</f>
        <v>0</v>
      </c>
      <c r="AKM5">
        <f>Database!ALF29</f>
        <v>0</v>
      </c>
      <c r="AKN5">
        <f>Database!ALG29</f>
        <v>0</v>
      </c>
      <c r="AKO5">
        <f>Database!ALH29</f>
        <v>0</v>
      </c>
      <c r="AKP5">
        <f>Database!ALI29</f>
        <v>0</v>
      </c>
      <c r="AKQ5">
        <f>Database!ALJ29</f>
        <v>0</v>
      </c>
      <c r="AKR5">
        <f>Database!ALK29</f>
        <v>0</v>
      </c>
      <c r="AKS5">
        <f>Database!ALL29</f>
        <v>0</v>
      </c>
      <c r="AKT5">
        <f>Database!ALM29</f>
        <v>0</v>
      </c>
      <c r="AKU5">
        <f>Database!ALN29</f>
        <v>0</v>
      </c>
      <c r="AKV5">
        <f>Database!ALO29</f>
        <v>0</v>
      </c>
      <c r="AKW5">
        <f>Database!ALP29</f>
        <v>0</v>
      </c>
      <c r="AKX5">
        <f>Database!ALQ29</f>
        <v>0</v>
      </c>
      <c r="AKY5">
        <f>Database!ALR29</f>
        <v>0</v>
      </c>
      <c r="AKZ5">
        <f>Database!ALS29</f>
        <v>0</v>
      </c>
      <c r="ALA5">
        <f>Database!ALT29</f>
        <v>0</v>
      </c>
      <c r="ALB5">
        <f>Database!ALU29</f>
        <v>0</v>
      </c>
      <c r="ALC5">
        <f>Database!ALV29</f>
        <v>0</v>
      </c>
      <c r="ALD5">
        <f>Database!ALW29</f>
        <v>0</v>
      </c>
      <c r="ALE5">
        <f>Database!ALX29</f>
        <v>0</v>
      </c>
      <c r="ALF5">
        <f>Database!ALY29</f>
        <v>0</v>
      </c>
      <c r="ALG5">
        <f>Database!ALZ29</f>
        <v>0</v>
      </c>
      <c r="ALH5">
        <f>Database!AMA29</f>
        <v>0</v>
      </c>
      <c r="ALI5">
        <f>Database!AMB29</f>
        <v>0</v>
      </c>
      <c r="ALJ5">
        <f>Database!AMC29</f>
        <v>0</v>
      </c>
      <c r="ALK5">
        <f>Database!AMD29</f>
        <v>0</v>
      </c>
      <c r="ALL5">
        <f>Database!AME29</f>
        <v>0</v>
      </c>
      <c r="ALM5">
        <f>Database!AMF29</f>
        <v>0</v>
      </c>
      <c r="ALN5">
        <f>Database!AMG29</f>
        <v>0</v>
      </c>
      <c r="ALO5">
        <f>Database!AMH29</f>
        <v>0</v>
      </c>
      <c r="ALP5">
        <f>Database!AMI29</f>
        <v>0</v>
      </c>
      <c r="ALQ5">
        <f>Database!AMJ29</f>
        <v>0</v>
      </c>
      <c r="ALR5">
        <f>Database!AMK29</f>
        <v>0</v>
      </c>
      <c r="ALS5">
        <f>Database!AML29</f>
        <v>0</v>
      </c>
      <c r="ALT5">
        <f>Database!AMM29</f>
        <v>0</v>
      </c>
      <c r="ALU5">
        <f>Database!AMN29</f>
        <v>0</v>
      </c>
      <c r="ALV5">
        <f>Database!AMO29</f>
        <v>0</v>
      </c>
      <c r="ALW5">
        <f>Database!AMP29</f>
        <v>0</v>
      </c>
      <c r="ALX5">
        <f>Database!AMQ29</f>
        <v>0</v>
      </c>
      <c r="ALY5">
        <f>Database!AMR29</f>
        <v>0</v>
      </c>
      <c r="ALZ5">
        <f>Database!AMS29</f>
        <v>0</v>
      </c>
      <c r="AMA5">
        <f>Database!AMT29</f>
        <v>0</v>
      </c>
      <c r="AMB5">
        <f>Database!AMU29</f>
        <v>0</v>
      </c>
      <c r="AMC5">
        <f>Database!AMV29</f>
        <v>0</v>
      </c>
      <c r="AMD5">
        <f>Database!AMW29</f>
        <v>0</v>
      </c>
      <c r="AME5">
        <f>Database!AMX29</f>
        <v>0</v>
      </c>
      <c r="AMF5">
        <f>Database!AMY29</f>
        <v>0</v>
      </c>
      <c r="AMG5">
        <f>Database!AMZ29</f>
        <v>0</v>
      </c>
      <c r="AMH5">
        <f>Database!ANA29</f>
        <v>0</v>
      </c>
      <c r="AMI5">
        <f>Database!ANB29</f>
        <v>0</v>
      </c>
      <c r="AMJ5">
        <f>Database!ANC29</f>
        <v>0</v>
      </c>
      <c r="AMK5">
        <f>Database!AND29</f>
        <v>0</v>
      </c>
      <c r="AML5">
        <f>Database!ANE29</f>
        <v>0</v>
      </c>
      <c r="AMM5">
        <f>Database!ANF29</f>
        <v>0</v>
      </c>
      <c r="AMN5">
        <f>Database!ANG29</f>
        <v>0</v>
      </c>
      <c r="AMO5">
        <f>Database!ANH29</f>
        <v>0</v>
      </c>
      <c r="AMP5">
        <f>Database!ANI29</f>
        <v>0</v>
      </c>
      <c r="AMQ5">
        <f>Database!ANJ29</f>
        <v>0</v>
      </c>
      <c r="AMR5">
        <f>Database!ANK29</f>
        <v>0</v>
      </c>
      <c r="AMS5">
        <f>Database!ANL29</f>
        <v>0</v>
      </c>
      <c r="AMT5">
        <f>Database!ANM29</f>
        <v>0</v>
      </c>
      <c r="AMU5">
        <f>Database!ANN29</f>
        <v>0</v>
      </c>
      <c r="AMV5">
        <f>Database!ANO29</f>
        <v>0</v>
      </c>
      <c r="AMW5">
        <f>Database!ANP29</f>
        <v>0</v>
      </c>
      <c r="AMX5">
        <f>Database!ANQ29</f>
        <v>0</v>
      </c>
      <c r="AMY5">
        <f>Database!ANR29</f>
        <v>0</v>
      </c>
      <c r="AMZ5">
        <f>Database!ANS29</f>
        <v>0</v>
      </c>
      <c r="ANA5">
        <f>Database!ANT29</f>
        <v>0</v>
      </c>
      <c r="ANB5">
        <f>Database!ANU29</f>
        <v>0</v>
      </c>
      <c r="ANC5">
        <f>Database!ANV29</f>
        <v>0</v>
      </c>
      <c r="AND5">
        <f>Database!ANW29</f>
        <v>0</v>
      </c>
      <c r="ANE5">
        <f>Database!ANX29</f>
        <v>0</v>
      </c>
      <c r="ANF5">
        <f>Database!ANY29</f>
        <v>0</v>
      </c>
      <c r="ANG5">
        <f>Database!ANZ29</f>
        <v>0</v>
      </c>
      <c r="ANH5">
        <f>Database!AOA29</f>
        <v>0</v>
      </c>
      <c r="ANI5">
        <f>Database!AOB29</f>
        <v>0</v>
      </c>
      <c r="ANJ5">
        <f>Database!AOC29</f>
        <v>0</v>
      </c>
      <c r="ANK5">
        <f>Database!AOD29</f>
        <v>0</v>
      </c>
      <c r="ANL5">
        <f>Database!AOE29</f>
        <v>0</v>
      </c>
      <c r="ANM5">
        <f>Database!AOF29</f>
        <v>0</v>
      </c>
      <c r="ANN5">
        <f>Database!AOG29</f>
        <v>0</v>
      </c>
      <c r="ANO5">
        <f>Database!AOH29</f>
        <v>0</v>
      </c>
      <c r="ANP5">
        <f>Database!AOI29</f>
        <v>0</v>
      </c>
      <c r="ANQ5">
        <f>Database!AOJ29</f>
        <v>0</v>
      </c>
      <c r="ANR5">
        <f>Database!AOK29</f>
        <v>0</v>
      </c>
      <c r="ANS5">
        <f>Database!AOL29</f>
        <v>0</v>
      </c>
      <c r="ANT5">
        <f>Database!AOM29</f>
        <v>0</v>
      </c>
      <c r="ANU5">
        <f>Database!AON29</f>
        <v>0</v>
      </c>
      <c r="ANV5">
        <f>Database!AOO29</f>
        <v>0</v>
      </c>
      <c r="ANW5">
        <f>Database!AOP29</f>
        <v>0</v>
      </c>
      <c r="ANX5">
        <f>Database!AOQ29</f>
        <v>0</v>
      </c>
      <c r="ANY5">
        <f>Database!AOR29</f>
        <v>0</v>
      </c>
      <c r="ANZ5">
        <f>Database!AOS29</f>
        <v>0</v>
      </c>
      <c r="AOA5">
        <f>Database!AOT29</f>
        <v>0</v>
      </c>
      <c r="AOB5">
        <f>Database!AOU29</f>
        <v>0</v>
      </c>
      <c r="AOC5">
        <f>Database!AOV29</f>
        <v>0</v>
      </c>
      <c r="AOD5">
        <f>Database!AOW29</f>
        <v>0</v>
      </c>
      <c r="AOE5">
        <f>Database!AOX29</f>
        <v>0</v>
      </c>
      <c r="AOF5">
        <f>Database!AOY29</f>
        <v>0</v>
      </c>
      <c r="AOG5">
        <f>Database!AOZ29</f>
        <v>0</v>
      </c>
      <c r="AOH5">
        <f>Database!APA29</f>
        <v>0</v>
      </c>
      <c r="AOI5">
        <f>Database!APB29</f>
        <v>0</v>
      </c>
      <c r="AOJ5">
        <f>Database!APC29</f>
        <v>0</v>
      </c>
      <c r="AOK5">
        <f>Database!APD29</f>
        <v>0</v>
      </c>
      <c r="AOL5">
        <f>Database!APE29</f>
        <v>0</v>
      </c>
      <c r="AOM5">
        <f>Database!APF29</f>
        <v>0</v>
      </c>
      <c r="AON5">
        <f>Database!APG29</f>
        <v>0</v>
      </c>
      <c r="AOO5">
        <f>Database!APH29</f>
        <v>0</v>
      </c>
      <c r="AOP5">
        <f>Database!API29</f>
        <v>0</v>
      </c>
      <c r="AOQ5">
        <f>Database!APJ29</f>
        <v>0</v>
      </c>
      <c r="AOR5">
        <f>Database!APK29</f>
        <v>0</v>
      </c>
      <c r="AOS5">
        <f>Database!APL29</f>
        <v>0</v>
      </c>
      <c r="AOT5">
        <f>Database!APM29</f>
        <v>0</v>
      </c>
      <c r="AOU5">
        <f>Database!APN29</f>
        <v>0</v>
      </c>
      <c r="AOV5">
        <f>Database!APO29</f>
        <v>0</v>
      </c>
      <c r="AOW5">
        <f>Database!APP29</f>
        <v>0</v>
      </c>
      <c r="AOX5">
        <f>Database!APQ29</f>
        <v>0</v>
      </c>
      <c r="AOY5">
        <f>Database!APR29</f>
        <v>0</v>
      </c>
      <c r="AOZ5">
        <f>Database!APS29</f>
        <v>0</v>
      </c>
      <c r="APA5">
        <f>Database!APT29</f>
        <v>0</v>
      </c>
      <c r="APB5">
        <f>Database!APU29</f>
        <v>0</v>
      </c>
      <c r="APC5">
        <f>Database!APV29</f>
        <v>0</v>
      </c>
      <c r="APD5">
        <f>Database!APW29</f>
        <v>0</v>
      </c>
      <c r="APE5">
        <f>Database!APX29</f>
        <v>0</v>
      </c>
      <c r="APF5">
        <f>Database!APY29</f>
        <v>0</v>
      </c>
      <c r="APG5">
        <f>Database!APZ29</f>
        <v>0</v>
      </c>
      <c r="APH5">
        <f>Database!AQA29</f>
        <v>0</v>
      </c>
      <c r="API5">
        <f>Database!AQB29</f>
        <v>0</v>
      </c>
      <c r="APJ5">
        <f>Database!AQC29</f>
        <v>0</v>
      </c>
      <c r="APK5">
        <f>Database!AQD29</f>
        <v>0</v>
      </c>
      <c r="APL5">
        <f>Database!AQE29</f>
        <v>0</v>
      </c>
      <c r="APM5">
        <f>Database!AQF29</f>
        <v>0</v>
      </c>
      <c r="APN5">
        <f>Database!AQG29</f>
        <v>0</v>
      </c>
      <c r="APO5">
        <f>Database!AQH29</f>
        <v>0</v>
      </c>
      <c r="APP5">
        <f>Database!AQI29</f>
        <v>0</v>
      </c>
      <c r="APQ5">
        <f>Database!AQJ29</f>
        <v>0</v>
      </c>
      <c r="APR5">
        <f>Database!AQK29</f>
        <v>0</v>
      </c>
      <c r="APS5">
        <f>Database!AQL29</f>
        <v>0</v>
      </c>
      <c r="APT5">
        <f>Database!AQM29</f>
        <v>0</v>
      </c>
      <c r="APU5">
        <f>Database!AQN29</f>
        <v>0</v>
      </c>
      <c r="APV5">
        <f>Database!AQO29</f>
        <v>0</v>
      </c>
      <c r="APW5">
        <f>Database!AQP29</f>
        <v>0</v>
      </c>
      <c r="APX5">
        <f>Database!AQQ29</f>
        <v>0</v>
      </c>
      <c r="APY5">
        <f>Database!AQR29</f>
        <v>0</v>
      </c>
      <c r="APZ5">
        <f>Database!AQS29</f>
        <v>0</v>
      </c>
      <c r="AQA5">
        <f>Database!AQT29</f>
        <v>0</v>
      </c>
      <c r="AQB5">
        <f>Database!AQU29</f>
        <v>0</v>
      </c>
      <c r="AQC5">
        <f>Database!AQV29</f>
        <v>0</v>
      </c>
      <c r="AQD5">
        <f>Database!AQW29</f>
        <v>0</v>
      </c>
      <c r="AQE5">
        <f>Database!AQX29</f>
        <v>0</v>
      </c>
      <c r="AQF5">
        <f>Database!AQY29</f>
        <v>0</v>
      </c>
      <c r="AQG5">
        <f>Database!AQZ29</f>
        <v>0</v>
      </c>
      <c r="AQH5">
        <f>Database!ARA29</f>
        <v>0</v>
      </c>
      <c r="AQI5">
        <f>Database!ARB29</f>
        <v>0</v>
      </c>
      <c r="AQJ5">
        <f>Database!ARC29</f>
        <v>0</v>
      </c>
      <c r="AQK5">
        <f>Database!ARD29</f>
        <v>0</v>
      </c>
      <c r="AQL5">
        <f>Database!ARE29</f>
        <v>0</v>
      </c>
      <c r="AQM5">
        <f>Database!ARF29</f>
        <v>0</v>
      </c>
      <c r="AQN5">
        <f>Database!ARG29</f>
        <v>0</v>
      </c>
      <c r="AQO5">
        <f>Database!ARH29</f>
        <v>0</v>
      </c>
      <c r="AQP5">
        <f>Database!ARI29</f>
        <v>0</v>
      </c>
      <c r="AQQ5">
        <f>Database!ARJ29</f>
        <v>0</v>
      </c>
      <c r="AQR5">
        <f>Database!ARK29</f>
        <v>0</v>
      </c>
      <c r="AQS5">
        <f>Database!ARL29</f>
        <v>0</v>
      </c>
      <c r="AQT5">
        <f>Database!ARM29</f>
        <v>0</v>
      </c>
      <c r="AQU5">
        <f>Database!ARN29</f>
        <v>0</v>
      </c>
      <c r="AQV5">
        <f>Database!ARO29</f>
        <v>0</v>
      </c>
      <c r="AQW5">
        <f>Database!ARP29</f>
        <v>0</v>
      </c>
      <c r="AQX5">
        <f>Database!ARQ29</f>
        <v>0</v>
      </c>
      <c r="AQY5">
        <f>Database!ARR29</f>
        <v>0</v>
      </c>
      <c r="AQZ5">
        <f>Database!ARS29</f>
        <v>0</v>
      </c>
      <c r="ARA5">
        <f>Database!ART29</f>
        <v>0</v>
      </c>
      <c r="ARB5">
        <f>Database!ARU29</f>
        <v>0</v>
      </c>
      <c r="ARC5">
        <f>Database!ARV29</f>
        <v>0</v>
      </c>
      <c r="ARD5">
        <f>Database!ARW29</f>
        <v>0</v>
      </c>
      <c r="ARE5">
        <f>Database!ARX29</f>
        <v>0</v>
      </c>
      <c r="ARF5">
        <f>Database!ARY29</f>
        <v>0</v>
      </c>
      <c r="ARG5">
        <f>Database!ARZ29</f>
        <v>0</v>
      </c>
      <c r="ARH5">
        <f>Database!ASA29</f>
        <v>0</v>
      </c>
      <c r="ARI5">
        <f>Database!ASB29</f>
        <v>0</v>
      </c>
      <c r="ARJ5">
        <f>Database!ASC29</f>
        <v>0</v>
      </c>
      <c r="ARK5">
        <f>Database!ASD29</f>
        <v>0</v>
      </c>
      <c r="ARL5">
        <f>Database!ASE29</f>
        <v>0</v>
      </c>
      <c r="ARM5">
        <f>Database!ASF29</f>
        <v>0</v>
      </c>
      <c r="ARN5">
        <f>Database!ASG29</f>
        <v>0</v>
      </c>
      <c r="ARO5">
        <f>Database!ASH29</f>
        <v>0</v>
      </c>
      <c r="ARP5">
        <f>Database!ASI29</f>
        <v>0</v>
      </c>
      <c r="ARQ5">
        <f>Database!ASJ29</f>
        <v>0</v>
      </c>
      <c r="ARR5">
        <f>Database!ASK29</f>
        <v>0</v>
      </c>
      <c r="ARS5">
        <f>Database!ASL29</f>
        <v>0</v>
      </c>
      <c r="ART5">
        <f>Database!ASM29</f>
        <v>0</v>
      </c>
      <c r="ARU5">
        <f>Database!ASN29</f>
        <v>0</v>
      </c>
      <c r="ARV5">
        <f>Database!ASO29</f>
        <v>0</v>
      </c>
      <c r="ARW5">
        <f>Database!ASP29</f>
        <v>0</v>
      </c>
      <c r="ARX5">
        <f>Database!ASQ29</f>
        <v>0</v>
      </c>
      <c r="ARY5">
        <f>Database!ASR29</f>
        <v>0</v>
      </c>
      <c r="ARZ5">
        <f>Database!ASS29</f>
        <v>0</v>
      </c>
      <c r="ASA5">
        <f>Database!AST29</f>
        <v>0</v>
      </c>
      <c r="ASB5">
        <f>Database!ASU29</f>
        <v>0</v>
      </c>
      <c r="ASC5">
        <f>Database!ASV29</f>
        <v>0</v>
      </c>
      <c r="ASD5">
        <f>Database!ASW29</f>
        <v>0</v>
      </c>
      <c r="ASE5">
        <f>Database!ASX29</f>
        <v>0</v>
      </c>
      <c r="ASF5">
        <f>Database!ASY29</f>
        <v>0</v>
      </c>
      <c r="ASG5">
        <f>Database!ASZ29</f>
        <v>0</v>
      </c>
      <c r="ASH5">
        <f>Database!ATA29</f>
        <v>0</v>
      </c>
      <c r="ASI5">
        <f>Database!ATB29</f>
        <v>0</v>
      </c>
      <c r="ASJ5">
        <f>Database!ATC29</f>
        <v>0</v>
      </c>
      <c r="ASK5">
        <f>Database!ATD29</f>
        <v>0</v>
      </c>
      <c r="ASL5">
        <f>Database!ATE29</f>
        <v>0</v>
      </c>
      <c r="ASM5">
        <f>Database!ATF29</f>
        <v>0</v>
      </c>
      <c r="ASN5">
        <f>Database!ATG29</f>
        <v>0</v>
      </c>
      <c r="ASO5">
        <f>Database!ATH29</f>
        <v>0</v>
      </c>
      <c r="ASP5">
        <f>Database!ATI29</f>
        <v>0</v>
      </c>
      <c r="ASQ5">
        <f>Database!ATJ29</f>
        <v>0</v>
      </c>
      <c r="ASR5">
        <f>Database!ATK29</f>
        <v>0</v>
      </c>
      <c r="ASS5">
        <f>Database!ATL29</f>
        <v>0</v>
      </c>
      <c r="AST5">
        <f>Database!ATM29</f>
        <v>0</v>
      </c>
      <c r="ASU5">
        <f>Database!ATN29</f>
        <v>0</v>
      </c>
      <c r="ASV5">
        <f>Database!ATO29</f>
        <v>0</v>
      </c>
      <c r="ASW5">
        <f>Database!ATP29</f>
        <v>0</v>
      </c>
      <c r="ASX5">
        <f>Database!ATQ29</f>
        <v>0</v>
      </c>
      <c r="ASY5">
        <f>Database!ATR29</f>
        <v>0</v>
      </c>
      <c r="ASZ5">
        <f>Database!ATS29</f>
        <v>0</v>
      </c>
      <c r="ATA5">
        <f>Database!ATT29</f>
        <v>0</v>
      </c>
      <c r="ATB5">
        <f>Database!ATU29</f>
        <v>0</v>
      </c>
      <c r="ATC5">
        <f>Database!ATV29</f>
        <v>0</v>
      </c>
      <c r="ATD5">
        <f>Database!ATW29</f>
        <v>0</v>
      </c>
      <c r="ATE5">
        <f>Database!ATX29</f>
        <v>0</v>
      </c>
      <c r="ATF5">
        <f>Database!ATY29</f>
        <v>0</v>
      </c>
      <c r="ATG5">
        <f>Database!ATZ29</f>
        <v>0</v>
      </c>
      <c r="ATH5">
        <f>Database!AUA29</f>
        <v>0</v>
      </c>
      <c r="ATI5">
        <f>Database!AUB29</f>
        <v>0</v>
      </c>
      <c r="ATJ5">
        <f>Database!AUC29</f>
        <v>0</v>
      </c>
      <c r="ATK5">
        <f>Database!AUD29</f>
        <v>0</v>
      </c>
      <c r="ATL5">
        <f>Database!AUE29</f>
        <v>0</v>
      </c>
      <c r="ATM5">
        <f>Database!AUF29</f>
        <v>0</v>
      </c>
      <c r="ATN5">
        <f>Database!AUG29</f>
        <v>0</v>
      </c>
      <c r="ATO5">
        <f>Database!AUH29</f>
        <v>0</v>
      </c>
      <c r="ATP5">
        <f>Database!AUI29</f>
        <v>0</v>
      </c>
      <c r="ATQ5">
        <f>Database!AUJ29</f>
        <v>0</v>
      </c>
      <c r="ATR5">
        <f>Database!AUK29</f>
        <v>0</v>
      </c>
      <c r="ATS5">
        <f>Database!AUL29</f>
        <v>0</v>
      </c>
      <c r="ATT5">
        <f>Database!AUM29</f>
        <v>0</v>
      </c>
      <c r="ATU5">
        <f>Database!AUN29</f>
        <v>0</v>
      </c>
      <c r="ATV5">
        <f>Database!AUO29</f>
        <v>0</v>
      </c>
      <c r="ATW5">
        <f>Database!AUP29</f>
        <v>0</v>
      </c>
      <c r="ATX5">
        <f>Database!AUQ29</f>
        <v>0</v>
      </c>
      <c r="ATY5">
        <f>Database!AUR29</f>
        <v>0</v>
      </c>
      <c r="ATZ5">
        <f>Database!AUS29</f>
        <v>0</v>
      </c>
      <c r="AUA5">
        <f>Database!AUT29</f>
        <v>0</v>
      </c>
      <c r="AUB5">
        <f>Database!AUU29</f>
        <v>0</v>
      </c>
      <c r="AUC5">
        <f>Database!AUV29</f>
        <v>0</v>
      </c>
      <c r="AUD5">
        <f>Database!AUW29</f>
        <v>0</v>
      </c>
      <c r="AUE5">
        <f>Database!AUX29</f>
        <v>0</v>
      </c>
      <c r="AUF5">
        <f>Database!AUY29</f>
        <v>0</v>
      </c>
      <c r="AUG5">
        <f>Database!AUZ29</f>
        <v>0</v>
      </c>
      <c r="AUH5">
        <f>Database!AVA29</f>
        <v>0</v>
      </c>
      <c r="AUI5">
        <f>Database!AVB29</f>
        <v>0</v>
      </c>
      <c r="AUJ5">
        <f>Database!AVC29</f>
        <v>0</v>
      </c>
      <c r="AUK5">
        <f>Database!AVD29</f>
        <v>0</v>
      </c>
      <c r="AUL5">
        <f>Database!AVE29</f>
        <v>0</v>
      </c>
      <c r="AUM5">
        <f>Database!AVF29</f>
        <v>0</v>
      </c>
      <c r="AUN5">
        <f>Database!AVG29</f>
        <v>0</v>
      </c>
      <c r="AUO5">
        <f>Database!AVH29</f>
        <v>0</v>
      </c>
      <c r="AUP5">
        <f>Database!AVI29</f>
        <v>0</v>
      </c>
      <c r="AUQ5">
        <f>Database!AVJ29</f>
        <v>0</v>
      </c>
      <c r="AUR5">
        <f>Database!AVK29</f>
        <v>0</v>
      </c>
      <c r="AUS5">
        <f>Database!AVL29</f>
        <v>0</v>
      </c>
      <c r="AUT5">
        <f>Database!AVM29</f>
        <v>0</v>
      </c>
      <c r="AUU5">
        <f>Database!AVN29</f>
        <v>0</v>
      </c>
      <c r="AUV5">
        <f>Database!AVO29</f>
        <v>0</v>
      </c>
      <c r="AUW5">
        <f>Database!AVP29</f>
        <v>0</v>
      </c>
      <c r="AUX5">
        <f>Database!AVQ29</f>
        <v>0</v>
      </c>
      <c r="AUY5">
        <f>Database!AVR29</f>
        <v>0</v>
      </c>
      <c r="AUZ5">
        <f>Database!AVS29</f>
        <v>0</v>
      </c>
      <c r="AVA5">
        <f>Database!AVT29</f>
        <v>0</v>
      </c>
      <c r="AVB5">
        <f>Database!AVU29</f>
        <v>0</v>
      </c>
      <c r="AVC5">
        <f>Database!AVV29</f>
        <v>0</v>
      </c>
      <c r="AVD5">
        <f>Database!AVW29</f>
        <v>0</v>
      </c>
      <c r="AVE5">
        <f>Database!AVX29</f>
        <v>0</v>
      </c>
      <c r="AVF5">
        <f>Database!AVY29</f>
        <v>0</v>
      </c>
      <c r="AVG5">
        <f>Database!AVZ29</f>
        <v>0</v>
      </c>
      <c r="AVH5">
        <f>Database!AWA29</f>
        <v>0</v>
      </c>
      <c r="AVI5">
        <f>Database!AWB29</f>
        <v>0</v>
      </c>
      <c r="AVJ5">
        <f>Database!AWC29</f>
        <v>0</v>
      </c>
      <c r="AVK5">
        <f>Database!AWD29</f>
        <v>0</v>
      </c>
      <c r="AVL5">
        <f>Database!AWE29</f>
        <v>0</v>
      </c>
      <c r="AVM5">
        <f>Database!AWF29</f>
        <v>0</v>
      </c>
      <c r="AVN5">
        <f>Database!AWG29</f>
        <v>0</v>
      </c>
      <c r="AVO5">
        <f>Database!AWH29</f>
        <v>0</v>
      </c>
      <c r="AVP5">
        <f>Database!AWI29</f>
        <v>0</v>
      </c>
      <c r="AVQ5">
        <f>Database!AWJ29</f>
        <v>0</v>
      </c>
      <c r="AVR5">
        <f>Database!AWK29</f>
        <v>0</v>
      </c>
      <c r="AVS5">
        <f>Database!AWL29</f>
        <v>0</v>
      </c>
      <c r="AVT5">
        <f>Database!AWM29</f>
        <v>0</v>
      </c>
      <c r="AVU5">
        <f>Database!AWN29</f>
        <v>0</v>
      </c>
      <c r="AVV5">
        <f>Database!AWO29</f>
        <v>0</v>
      </c>
      <c r="AVW5">
        <f>Database!AWP29</f>
        <v>0</v>
      </c>
      <c r="AVX5">
        <f>Database!AWQ29</f>
        <v>0</v>
      </c>
      <c r="AVY5">
        <f>Database!AWR29</f>
        <v>0</v>
      </c>
      <c r="AVZ5">
        <f>Database!AWS29</f>
        <v>0</v>
      </c>
      <c r="AWA5">
        <f>Database!AWT29</f>
        <v>0</v>
      </c>
      <c r="AWB5">
        <f>Database!AWU29</f>
        <v>0</v>
      </c>
      <c r="AWC5">
        <f>Database!AWV29</f>
        <v>0</v>
      </c>
      <c r="AWD5">
        <f>Database!AWW29</f>
        <v>0</v>
      </c>
      <c r="AWE5">
        <f>Database!AWX29</f>
        <v>0</v>
      </c>
      <c r="AWF5">
        <f>Database!AWY29</f>
        <v>0</v>
      </c>
      <c r="AWG5">
        <f>Database!AWZ29</f>
        <v>0</v>
      </c>
      <c r="AWH5">
        <f>Database!AXA29</f>
        <v>0</v>
      </c>
      <c r="AWI5">
        <f>Database!AXB29</f>
        <v>0</v>
      </c>
      <c r="AWJ5">
        <f>Database!AXC29</f>
        <v>0</v>
      </c>
      <c r="AWK5">
        <f>Database!AXD29</f>
        <v>0</v>
      </c>
      <c r="AWL5">
        <f>Database!AXE29</f>
        <v>0</v>
      </c>
      <c r="AWM5">
        <f>Database!AXF29</f>
        <v>0</v>
      </c>
      <c r="AWN5">
        <f>Database!AXG29</f>
        <v>0</v>
      </c>
      <c r="AWO5">
        <f>Database!AXH29</f>
        <v>0</v>
      </c>
      <c r="AWP5">
        <f>Database!AXI29</f>
        <v>0</v>
      </c>
      <c r="AWQ5">
        <f>Database!AXJ29</f>
        <v>0</v>
      </c>
      <c r="AWR5">
        <f>Database!AXK29</f>
        <v>0</v>
      </c>
      <c r="AWS5">
        <f>Database!AXL29</f>
        <v>0</v>
      </c>
      <c r="AWT5">
        <f>Database!AXM29</f>
        <v>0</v>
      </c>
      <c r="AWU5">
        <f>Database!AXN29</f>
        <v>0</v>
      </c>
      <c r="AWV5">
        <f>Database!AXO29</f>
        <v>0</v>
      </c>
      <c r="AWW5">
        <f>Database!AXP29</f>
        <v>0</v>
      </c>
      <c r="AWX5">
        <f>Database!AXQ29</f>
        <v>0</v>
      </c>
      <c r="AWY5">
        <f>Database!AXR29</f>
        <v>0</v>
      </c>
      <c r="AWZ5">
        <f>Database!AXS29</f>
        <v>0</v>
      </c>
      <c r="AXA5">
        <f>Database!AXT29</f>
        <v>0</v>
      </c>
      <c r="AXB5">
        <f>Database!AXU29</f>
        <v>0</v>
      </c>
      <c r="AXC5">
        <f>Database!AXV29</f>
        <v>0</v>
      </c>
      <c r="AXD5">
        <f>Database!AXW29</f>
        <v>0</v>
      </c>
      <c r="AXE5">
        <f>Database!AXX29</f>
        <v>0</v>
      </c>
      <c r="AXF5">
        <f>Database!AXY29</f>
        <v>0</v>
      </c>
      <c r="AXG5">
        <f>Database!AXZ29</f>
        <v>0</v>
      </c>
      <c r="AXH5">
        <f>Database!AYA29</f>
        <v>0</v>
      </c>
      <c r="AXI5">
        <f>Database!AYB29</f>
        <v>0</v>
      </c>
      <c r="AXJ5">
        <f>Database!AYC29</f>
        <v>0</v>
      </c>
      <c r="AXK5">
        <f>Database!AYD29</f>
        <v>0</v>
      </c>
      <c r="AXL5">
        <f>Database!AYE29</f>
        <v>0</v>
      </c>
      <c r="AXM5">
        <f>Database!AYF29</f>
        <v>0</v>
      </c>
      <c r="AXN5">
        <f>Database!AYG29</f>
        <v>0</v>
      </c>
      <c r="AXO5">
        <f>Database!AYH29</f>
        <v>0</v>
      </c>
      <c r="AXP5">
        <f>Database!AYI29</f>
        <v>0</v>
      </c>
      <c r="AXQ5">
        <f>Database!AYJ29</f>
        <v>0</v>
      </c>
      <c r="AXR5">
        <f>Database!AYK29</f>
        <v>0</v>
      </c>
      <c r="AXS5">
        <f>Database!AYL29</f>
        <v>0</v>
      </c>
      <c r="AXT5">
        <f>Database!AYM29</f>
        <v>0</v>
      </c>
      <c r="AXU5">
        <f>Database!AYN29</f>
        <v>0</v>
      </c>
      <c r="AXV5">
        <f>Database!AYO29</f>
        <v>0</v>
      </c>
      <c r="AXW5">
        <f>Database!AYP29</f>
        <v>0</v>
      </c>
      <c r="AXX5">
        <f>Database!AYQ29</f>
        <v>0</v>
      </c>
      <c r="AXY5">
        <f>Database!AYR29</f>
        <v>0</v>
      </c>
      <c r="AXZ5">
        <f>Database!AYS29</f>
        <v>0</v>
      </c>
      <c r="AYA5">
        <f>Database!AYT29</f>
        <v>0</v>
      </c>
      <c r="AYB5">
        <f>Database!AYU29</f>
        <v>0</v>
      </c>
      <c r="AYC5">
        <f>Database!AYV29</f>
        <v>0</v>
      </c>
      <c r="AYD5">
        <f>Database!AYW29</f>
        <v>0</v>
      </c>
      <c r="AYE5">
        <f>Database!AYX29</f>
        <v>0</v>
      </c>
      <c r="AYF5">
        <f>Database!AYY29</f>
        <v>0</v>
      </c>
      <c r="AYG5">
        <f>Database!AYZ29</f>
        <v>0</v>
      </c>
      <c r="AYH5">
        <f>Database!AZA29</f>
        <v>0</v>
      </c>
      <c r="AYI5">
        <f>Database!AZB29</f>
        <v>0</v>
      </c>
      <c r="AYJ5">
        <f>Database!AZC29</f>
        <v>0</v>
      </c>
      <c r="AYK5">
        <f>Database!AZD29</f>
        <v>0</v>
      </c>
      <c r="AYL5">
        <f>Database!AZE29</f>
        <v>0</v>
      </c>
      <c r="AYM5">
        <f>Database!AZF29</f>
        <v>0</v>
      </c>
      <c r="AYN5">
        <f>Database!AZG29</f>
        <v>0</v>
      </c>
      <c r="AYO5">
        <f>Database!AZH29</f>
        <v>0</v>
      </c>
      <c r="AYP5">
        <f>Database!AZI29</f>
        <v>0</v>
      </c>
      <c r="AYQ5">
        <f>Database!AZJ29</f>
        <v>0</v>
      </c>
      <c r="AYR5">
        <f>Database!AZK29</f>
        <v>0</v>
      </c>
      <c r="AYS5">
        <f>Database!AZL29</f>
        <v>0</v>
      </c>
      <c r="AYT5">
        <f>Database!AZM29</f>
        <v>0</v>
      </c>
      <c r="AYU5">
        <f>Database!AZN29</f>
        <v>0</v>
      </c>
      <c r="AYV5">
        <f>Database!AZO29</f>
        <v>0</v>
      </c>
      <c r="AYW5">
        <f>Database!AZP29</f>
        <v>0</v>
      </c>
      <c r="AYX5">
        <f>Database!AZQ29</f>
        <v>0</v>
      </c>
      <c r="AYY5">
        <f>Database!AZR29</f>
        <v>0</v>
      </c>
      <c r="AYZ5">
        <f>Database!AZS29</f>
        <v>0</v>
      </c>
      <c r="AZA5">
        <f>Database!AZT29</f>
        <v>0</v>
      </c>
      <c r="AZB5">
        <f>Database!AZU29</f>
        <v>0</v>
      </c>
      <c r="AZC5">
        <f>Database!AZV29</f>
        <v>0</v>
      </c>
      <c r="AZD5">
        <f>Database!AZW29</f>
        <v>0</v>
      </c>
      <c r="AZE5">
        <f>Database!AZX29</f>
        <v>0</v>
      </c>
      <c r="AZF5">
        <f>Database!AZY29</f>
        <v>0</v>
      </c>
      <c r="AZG5">
        <f>Database!AZZ29</f>
        <v>0</v>
      </c>
      <c r="AZH5">
        <f>Database!BAA29</f>
        <v>0</v>
      </c>
      <c r="AZI5">
        <f>Database!BAB29</f>
        <v>0</v>
      </c>
      <c r="AZJ5">
        <f>Database!BAC29</f>
        <v>0</v>
      </c>
      <c r="AZK5">
        <f>Database!BAD29</f>
        <v>0</v>
      </c>
      <c r="AZL5">
        <f>Database!BAE29</f>
        <v>0</v>
      </c>
      <c r="AZM5">
        <f>Database!BAF29</f>
        <v>0</v>
      </c>
      <c r="AZN5">
        <f>Database!BAG29</f>
        <v>0</v>
      </c>
      <c r="AZO5">
        <f>Database!BAH29</f>
        <v>0</v>
      </c>
      <c r="AZP5">
        <f>Database!BAI29</f>
        <v>0</v>
      </c>
      <c r="AZQ5">
        <f>Database!BAJ29</f>
        <v>0</v>
      </c>
      <c r="AZR5">
        <f>Database!BAK29</f>
        <v>0</v>
      </c>
      <c r="AZS5">
        <f>Database!BAL29</f>
        <v>0</v>
      </c>
      <c r="AZT5">
        <f>Database!BAM29</f>
        <v>0</v>
      </c>
      <c r="AZU5">
        <f>Database!BAN29</f>
        <v>0</v>
      </c>
      <c r="AZV5">
        <f>Database!BAO29</f>
        <v>0</v>
      </c>
      <c r="AZW5">
        <f>Database!BAP29</f>
        <v>0</v>
      </c>
      <c r="AZX5">
        <f>Database!BAQ29</f>
        <v>0</v>
      </c>
      <c r="AZY5">
        <f>Database!BAR29</f>
        <v>0</v>
      </c>
      <c r="AZZ5">
        <f>Database!BAS29</f>
        <v>0</v>
      </c>
      <c r="BAA5">
        <f>Database!BAT29</f>
        <v>0</v>
      </c>
      <c r="BAB5">
        <f>Database!BAU29</f>
        <v>0</v>
      </c>
      <c r="BAC5">
        <f>Database!BAV29</f>
        <v>0</v>
      </c>
      <c r="BAD5">
        <f>Database!BAW29</f>
        <v>0</v>
      </c>
      <c r="BAE5">
        <f>Database!BAX29</f>
        <v>0</v>
      </c>
      <c r="BAF5">
        <f>Database!BAY29</f>
        <v>0</v>
      </c>
      <c r="BAG5">
        <f>Database!BAZ29</f>
        <v>0</v>
      </c>
      <c r="BAH5">
        <f>Database!BBA29</f>
        <v>0</v>
      </c>
      <c r="BAI5">
        <f>Database!BBB29</f>
        <v>0</v>
      </c>
      <c r="BAJ5">
        <f>Database!BBC29</f>
        <v>0</v>
      </c>
      <c r="BAK5">
        <f>Database!BBD29</f>
        <v>0</v>
      </c>
      <c r="BAL5">
        <f>Database!BBE29</f>
        <v>0</v>
      </c>
      <c r="BAM5">
        <f>Database!BBF29</f>
        <v>0</v>
      </c>
      <c r="BAN5">
        <f>Database!BBG29</f>
        <v>0</v>
      </c>
      <c r="BAO5">
        <f>Database!BBH29</f>
        <v>0</v>
      </c>
      <c r="BAP5">
        <f>Database!BBI29</f>
        <v>0</v>
      </c>
      <c r="BAQ5">
        <f>Database!BBJ29</f>
        <v>0</v>
      </c>
      <c r="BAR5">
        <f>Database!BBK29</f>
        <v>0</v>
      </c>
      <c r="BAS5">
        <f>Database!BBL29</f>
        <v>0</v>
      </c>
      <c r="BAT5">
        <f>Database!BBM29</f>
        <v>0</v>
      </c>
      <c r="BAU5">
        <f>Database!BBN29</f>
        <v>0</v>
      </c>
      <c r="BAV5">
        <f>Database!BBO29</f>
        <v>0</v>
      </c>
      <c r="BAW5">
        <f>Database!BBP29</f>
        <v>0</v>
      </c>
      <c r="BAX5">
        <f>Database!BBQ29</f>
        <v>0</v>
      </c>
      <c r="BAY5">
        <f>Database!BBR29</f>
        <v>0</v>
      </c>
      <c r="BAZ5">
        <f>Database!BBS29</f>
        <v>0</v>
      </c>
      <c r="BBA5">
        <f>Database!BBT29</f>
        <v>0</v>
      </c>
      <c r="BBB5">
        <f>Database!BBU29</f>
        <v>0</v>
      </c>
      <c r="BBC5">
        <f>Database!BBV29</f>
        <v>0</v>
      </c>
      <c r="BBD5">
        <f>Database!BBW29</f>
        <v>0</v>
      </c>
      <c r="BBE5">
        <f>Database!BBX29</f>
        <v>0</v>
      </c>
      <c r="BBF5">
        <f>Database!BBY29</f>
        <v>0</v>
      </c>
      <c r="BBG5">
        <f>Database!BBZ29</f>
        <v>0</v>
      </c>
      <c r="BBH5">
        <f>Database!BCA29</f>
        <v>0</v>
      </c>
      <c r="BBI5">
        <f>Database!BCB29</f>
        <v>0</v>
      </c>
      <c r="BBJ5">
        <f>Database!BCC29</f>
        <v>0</v>
      </c>
      <c r="BBK5">
        <f>Database!BCD29</f>
        <v>0</v>
      </c>
      <c r="BBL5">
        <f>Database!BCE29</f>
        <v>0</v>
      </c>
      <c r="BBM5">
        <f>Database!BCF29</f>
        <v>0</v>
      </c>
      <c r="BBN5">
        <f>Database!BCG29</f>
        <v>0</v>
      </c>
      <c r="BBO5">
        <f>Database!BCH29</f>
        <v>0</v>
      </c>
      <c r="BBP5">
        <f>Database!BCI29</f>
        <v>0</v>
      </c>
      <c r="BBQ5">
        <f>Database!BCJ29</f>
        <v>0</v>
      </c>
      <c r="BBR5">
        <f>Database!BCK29</f>
        <v>0</v>
      </c>
      <c r="BBS5">
        <f>Database!BCL29</f>
        <v>0</v>
      </c>
      <c r="BBT5">
        <f>Database!BCM29</f>
        <v>0</v>
      </c>
      <c r="BBU5">
        <f>Database!BCN29</f>
        <v>0</v>
      </c>
      <c r="BBV5">
        <f>Database!BCO29</f>
        <v>0</v>
      </c>
      <c r="BBW5">
        <f>Database!BCP29</f>
        <v>0</v>
      </c>
      <c r="BBX5">
        <f>Database!BCQ29</f>
        <v>0</v>
      </c>
      <c r="BBY5">
        <f>Database!BCR29</f>
        <v>0</v>
      </c>
      <c r="BBZ5">
        <f>Database!BCS29</f>
        <v>0</v>
      </c>
      <c r="BCA5">
        <f>Database!BCT29</f>
        <v>0</v>
      </c>
      <c r="BCB5">
        <f>Database!BCU29</f>
        <v>0</v>
      </c>
      <c r="BCC5">
        <f>Database!BCV29</f>
        <v>0</v>
      </c>
      <c r="BCD5">
        <f>Database!BCW29</f>
        <v>0</v>
      </c>
      <c r="BCE5">
        <f>Database!BCX29</f>
        <v>0</v>
      </c>
      <c r="BCF5">
        <f>Database!BCY29</f>
        <v>0</v>
      </c>
      <c r="BCG5">
        <f>Database!BCZ29</f>
        <v>0</v>
      </c>
      <c r="BCH5">
        <f>Database!BDA29</f>
        <v>0</v>
      </c>
      <c r="BCI5">
        <f>Database!BDB29</f>
        <v>0</v>
      </c>
      <c r="BCJ5">
        <f>Database!BDC29</f>
        <v>0</v>
      </c>
      <c r="BCK5">
        <f>Database!BDD29</f>
        <v>0</v>
      </c>
      <c r="BCL5">
        <f>Database!BDE29</f>
        <v>0</v>
      </c>
      <c r="BCM5">
        <f>Database!BDF29</f>
        <v>0</v>
      </c>
      <c r="BCN5">
        <f>Database!BDG29</f>
        <v>0</v>
      </c>
      <c r="BCO5">
        <f>Database!BDH29</f>
        <v>0</v>
      </c>
      <c r="BCP5">
        <f>Database!BDI29</f>
        <v>0</v>
      </c>
      <c r="BCQ5">
        <f>Database!BDJ29</f>
        <v>0</v>
      </c>
      <c r="BCR5">
        <f>Database!BDK29</f>
        <v>0</v>
      </c>
      <c r="BCS5">
        <f>Database!BDL29</f>
        <v>0</v>
      </c>
      <c r="BCT5">
        <f>Database!BDM29</f>
        <v>0</v>
      </c>
      <c r="BCU5">
        <f>Database!BDN29</f>
        <v>0</v>
      </c>
      <c r="BCV5">
        <f>Database!BDO29</f>
        <v>0</v>
      </c>
      <c r="BCW5">
        <f>Database!BDP29</f>
        <v>0</v>
      </c>
      <c r="BCX5">
        <f>Database!BDQ29</f>
        <v>0</v>
      </c>
      <c r="BCY5">
        <f>Database!BDR29</f>
        <v>0</v>
      </c>
      <c r="BCZ5">
        <f>Database!BDS29</f>
        <v>0</v>
      </c>
      <c r="BDA5">
        <f>Database!BDT29</f>
        <v>0</v>
      </c>
      <c r="BDB5">
        <f>Database!BDU29</f>
        <v>0</v>
      </c>
      <c r="BDC5">
        <f>Database!BDV29</f>
        <v>0</v>
      </c>
      <c r="BDD5">
        <f>Database!BDW29</f>
        <v>0</v>
      </c>
      <c r="BDE5">
        <f>Database!BDX29</f>
        <v>0</v>
      </c>
      <c r="BDF5">
        <f>Database!BDY29</f>
        <v>0</v>
      </c>
      <c r="BDG5">
        <f>Database!BDZ29</f>
        <v>0</v>
      </c>
      <c r="BDH5">
        <f>Database!BEA29</f>
        <v>0</v>
      </c>
      <c r="BDI5">
        <f>Database!BEB29</f>
        <v>0</v>
      </c>
      <c r="BDJ5">
        <f>Database!BEC29</f>
        <v>0</v>
      </c>
      <c r="BDK5">
        <f>Database!BED29</f>
        <v>0</v>
      </c>
      <c r="BDL5">
        <f>Database!BEE29</f>
        <v>0</v>
      </c>
      <c r="BDM5">
        <f>Database!BEF29</f>
        <v>0</v>
      </c>
      <c r="BDN5">
        <f>Database!BEG29</f>
        <v>0</v>
      </c>
      <c r="BDO5">
        <f>Database!BEH29</f>
        <v>0</v>
      </c>
      <c r="BDP5">
        <f>Database!BEI29</f>
        <v>0</v>
      </c>
      <c r="BDQ5">
        <f>Database!BEJ29</f>
        <v>0</v>
      </c>
      <c r="BDR5">
        <f>Database!BEK29</f>
        <v>0</v>
      </c>
      <c r="BDS5">
        <f>Database!BEL29</f>
        <v>0</v>
      </c>
      <c r="BDT5">
        <f>Database!BEM29</f>
        <v>0</v>
      </c>
      <c r="BDU5">
        <f>Database!BEN29</f>
        <v>0</v>
      </c>
      <c r="BDV5">
        <f>Database!BEO29</f>
        <v>0</v>
      </c>
      <c r="BDW5">
        <f>Database!BEP29</f>
        <v>0</v>
      </c>
      <c r="BDX5">
        <f>Database!BEQ29</f>
        <v>0</v>
      </c>
      <c r="BDY5">
        <f>Database!BER29</f>
        <v>0</v>
      </c>
      <c r="BDZ5">
        <f>Database!BES29</f>
        <v>0</v>
      </c>
      <c r="BEA5">
        <f>Database!BET29</f>
        <v>0</v>
      </c>
      <c r="BEB5">
        <f>Database!BEU29</f>
        <v>0</v>
      </c>
      <c r="BEC5">
        <f>Database!BEV29</f>
        <v>0</v>
      </c>
      <c r="BED5">
        <f>Database!BEW29</f>
        <v>0</v>
      </c>
      <c r="BEE5">
        <f>Database!BEX29</f>
        <v>0</v>
      </c>
      <c r="BEF5">
        <f>Database!BEY29</f>
        <v>0</v>
      </c>
      <c r="BEG5">
        <f>Database!BEZ29</f>
        <v>0</v>
      </c>
      <c r="BEH5">
        <f>Database!BFA29</f>
        <v>0</v>
      </c>
      <c r="BEI5">
        <f>Database!BFB29</f>
        <v>0</v>
      </c>
      <c r="BEJ5">
        <f>Database!BFC29</f>
        <v>0</v>
      </c>
      <c r="BEK5">
        <f>Database!BFD29</f>
        <v>0</v>
      </c>
      <c r="BEL5">
        <f>Database!BFE29</f>
        <v>0</v>
      </c>
      <c r="BEM5">
        <f>Database!BFF29</f>
        <v>0</v>
      </c>
      <c r="BEN5">
        <f>Database!BFG29</f>
        <v>0</v>
      </c>
      <c r="BEO5">
        <f>Database!BFH29</f>
        <v>0</v>
      </c>
      <c r="BEP5">
        <f>Database!BFI29</f>
        <v>0</v>
      </c>
      <c r="BEQ5">
        <f>Database!BFJ29</f>
        <v>0</v>
      </c>
      <c r="BER5">
        <f>Database!BFK29</f>
        <v>0</v>
      </c>
      <c r="BES5">
        <f>Database!BFL29</f>
        <v>0</v>
      </c>
      <c r="BET5">
        <f>Database!BFM29</f>
        <v>0</v>
      </c>
      <c r="BEU5">
        <f>Database!BFN29</f>
        <v>0</v>
      </c>
      <c r="BEV5">
        <f>Database!BFO29</f>
        <v>0</v>
      </c>
      <c r="BEW5">
        <f>Database!BFP29</f>
        <v>0</v>
      </c>
      <c r="BEX5">
        <f>Database!BFQ29</f>
        <v>0</v>
      </c>
      <c r="BEY5">
        <f>Database!BFR29</f>
        <v>0</v>
      </c>
      <c r="BEZ5">
        <f>Database!BFS29</f>
        <v>0</v>
      </c>
      <c r="BFA5">
        <f>Database!BFT29</f>
        <v>0</v>
      </c>
      <c r="BFB5">
        <f>Database!BFU29</f>
        <v>0</v>
      </c>
      <c r="BFC5">
        <f>Database!BFV29</f>
        <v>0</v>
      </c>
      <c r="BFD5">
        <f>Database!BFW29</f>
        <v>0</v>
      </c>
      <c r="BFE5">
        <f>Database!BFX29</f>
        <v>0</v>
      </c>
      <c r="BFF5">
        <f>Database!BFY29</f>
        <v>0</v>
      </c>
      <c r="BFG5">
        <f>Database!BFZ29</f>
        <v>0</v>
      </c>
      <c r="BFH5">
        <f>Database!BGA29</f>
        <v>0</v>
      </c>
      <c r="BFI5">
        <f>Database!BGB29</f>
        <v>0</v>
      </c>
      <c r="BFJ5">
        <f>Database!BGC29</f>
        <v>0</v>
      </c>
      <c r="BFK5">
        <f>Database!BGD29</f>
        <v>0</v>
      </c>
      <c r="BFL5">
        <f>Database!BGE29</f>
        <v>0</v>
      </c>
      <c r="BFM5">
        <f>Database!BGF29</f>
        <v>0</v>
      </c>
      <c r="BFN5">
        <f>Database!BGG29</f>
        <v>0</v>
      </c>
      <c r="BFO5">
        <f>Database!BGH29</f>
        <v>0</v>
      </c>
      <c r="BFP5">
        <f>Database!BGI29</f>
        <v>0</v>
      </c>
      <c r="BFQ5">
        <f>Database!BGJ29</f>
        <v>0</v>
      </c>
      <c r="BFR5">
        <f>Database!BGK29</f>
        <v>0</v>
      </c>
      <c r="BFS5">
        <f>Database!BGL29</f>
        <v>0</v>
      </c>
      <c r="BFT5">
        <f>Database!BGM29</f>
        <v>0</v>
      </c>
      <c r="BFU5">
        <f>Database!BGN29</f>
        <v>0</v>
      </c>
      <c r="BFV5">
        <f>Database!BGO29</f>
        <v>0</v>
      </c>
      <c r="BFW5">
        <f>Database!BGP29</f>
        <v>0</v>
      </c>
      <c r="BFX5">
        <f>Database!BGQ29</f>
        <v>0</v>
      </c>
      <c r="BFY5">
        <f>Database!BGR29</f>
        <v>0</v>
      </c>
      <c r="BFZ5">
        <f>Database!BGS29</f>
        <v>0</v>
      </c>
      <c r="BGA5">
        <f>Database!BGT29</f>
        <v>0</v>
      </c>
      <c r="BGB5">
        <f>Database!BGU29</f>
        <v>0</v>
      </c>
      <c r="BGC5">
        <f>Database!BGV29</f>
        <v>0</v>
      </c>
      <c r="BGD5">
        <f>Database!BGW29</f>
        <v>0</v>
      </c>
      <c r="BGE5">
        <f>Database!BGX29</f>
        <v>0</v>
      </c>
      <c r="BGF5">
        <f>Database!BGY29</f>
        <v>0</v>
      </c>
      <c r="BGG5">
        <f>Database!BGZ29</f>
        <v>0</v>
      </c>
      <c r="BGH5">
        <f>Database!BHA29</f>
        <v>0</v>
      </c>
      <c r="BGI5">
        <f>Database!BHB29</f>
        <v>0</v>
      </c>
      <c r="BGJ5">
        <f>Database!BHC29</f>
        <v>0</v>
      </c>
      <c r="BGK5">
        <f>Database!BHD29</f>
        <v>0</v>
      </c>
      <c r="BGL5">
        <f>Database!BHE29</f>
        <v>0</v>
      </c>
      <c r="BGM5">
        <f>Database!BHF29</f>
        <v>0</v>
      </c>
      <c r="BGN5">
        <f>Database!BHG29</f>
        <v>0</v>
      </c>
      <c r="BGO5">
        <f>Database!BHH29</f>
        <v>0</v>
      </c>
      <c r="BGP5">
        <f>Database!BHI29</f>
        <v>0</v>
      </c>
      <c r="BGQ5">
        <f>Database!BHJ29</f>
        <v>0</v>
      </c>
      <c r="BGR5">
        <f>Database!BHK29</f>
        <v>0</v>
      </c>
      <c r="BGS5">
        <f>Database!BHL29</f>
        <v>0</v>
      </c>
      <c r="BGT5">
        <f>Database!BHM29</f>
        <v>0</v>
      </c>
      <c r="BGU5">
        <f>Database!BHN29</f>
        <v>0</v>
      </c>
      <c r="BGV5">
        <f>Database!BHO29</f>
        <v>0</v>
      </c>
      <c r="BGW5">
        <f>Database!BHP29</f>
        <v>0</v>
      </c>
      <c r="BGX5">
        <f>Database!BHQ29</f>
        <v>0</v>
      </c>
      <c r="BGY5">
        <f>Database!BHR29</f>
        <v>0</v>
      </c>
      <c r="BGZ5">
        <f>Database!BHS29</f>
        <v>0</v>
      </c>
      <c r="BHA5">
        <f>Database!BHT29</f>
        <v>0</v>
      </c>
      <c r="BHB5">
        <f>Database!BHU29</f>
        <v>0</v>
      </c>
      <c r="BHC5">
        <f>Database!BHV29</f>
        <v>0</v>
      </c>
      <c r="BHD5">
        <f>Database!BHW29</f>
        <v>0</v>
      </c>
      <c r="BHE5">
        <f>Database!BHX29</f>
        <v>0</v>
      </c>
      <c r="BHF5">
        <f>Database!BHY29</f>
        <v>0</v>
      </c>
      <c r="BHG5">
        <f>Database!BHZ29</f>
        <v>0</v>
      </c>
      <c r="BHH5">
        <f>Database!BIA29</f>
        <v>0</v>
      </c>
      <c r="BHI5">
        <f>Database!BIB29</f>
        <v>0</v>
      </c>
      <c r="BHJ5">
        <f>Database!BIC29</f>
        <v>0</v>
      </c>
      <c r="BHK5">
        <f>Database!BID29</f>
        <v>0</v>
      </c>
      <c r="BHL5">
        <f>Database!BIE29</f>
        <v>0</v>
      </c>
      <c r="BHM5">
        <f>Database!BIF29</f>
        <v>0</v>
      </c>
      <c r="BHN5">
        <f>Database!BIG29</f>
        <v>0</v>
      </c>
      <c r="BHO5">
        <f>Database!BIH29</f>
        <v>0</v>
      </c>
      <c r="BHP5">
        <f>Database!BII29</f>
        <v>0</v>
      </c>
      <c r="BHQ5">
        <f>Database!BIJ29</f>
        <v>0</v>
      </c>
      <c r="BHR5">
        <f>Database!BIK29</f>
        <v>0</v>
      </c>
      <c r="BHS5">
        <f>Database!BIL29</f>
        <v>0</v>
      </c>
      <c r="BHT5">
        <f>Database!BIM29</f>
        <v>0</v>
      </c>
      <c r="BHU5">
        <f>Database!BIN29</f>
        <v>0</v>
      </c>
      <c r="BHV5">
        <f>Database!BIO29</f>
        <v>0</v>
      </c>
      <c r="BHW5">
        <f>Database!BIP29</f>
        <v>0</v>
      </c>
      <c r="BHX5">
        <f>Database!BIQ29</f>
        <v>0</v>
      </c>
      <c r="BHY5">
        <f>Database!BIR29</f>
        <v>0</v>
      </c>
      <c r="BHZ5">
        <f>Database!BIS29</f>
        <v>0</v>
      </c>
      <c r="BIA5">
        <f>Database!BIT29</f>
        <v>0</v>
      </c>
      <c r="BIB5">
        <f>Database!BIU29</f>
        <v>0</v>
      </c>
      <c r="BIC5">
        <f>Database!BIV29</f>
        <v>0</v>
      </c>
      <c r="BID5">
        <f>Database!BIW29</f>
        <v>0</v>
      </c>
      <c r="BIE5">
        <f>Database!BIX29</f>
        <v>0</v>
      </c>
      <c r="BIF5">
        <f>Database!BIY29</f>
        <v>0</v>
      </c>
      <c r="BIG5">
        <f>Database!BIZ29</f>
        <v>0</v>
      </c>
      <c r="BIH5">
        <f>Database!BJA29</f>
        <v>0</v>
      </c>
      <c r="BII5">
        <f>Database!BJB29</f>
        <v>0</v>
      </c>
      <c r="BIJ5">
        <f>Database!BJC29</f>
        <v>0</v>
      </c>
      <c r="BIK5">
        <f>Database!BJD29</f>
        <v>0</v>
      </c>
      <c r="BIL5">
        <f>Database!BJE29</f>
        <v>0</v>
      </c>
      <c r="BIM5">
        <f>Database!BJF29</f>
        <v>0</v>
      </c>
      <c r="BIN5">
        <f>Database!BJG29</f>
        <v>0</v>
      </c>
      <c r="BIO5">
        <f>Database!BJH29</f>
        <v>0</v>
      </c>
      <c r="BIP5">
        <f>Database!BJI29</f>
        <v>0</v>
      </c>
      <c r="BIQ5">
        <f>Database!BJJ29</f>
        <v>0</v>
      </c>
      <c r="BIR5">
        <f>Database!BJK29</f>
        <v>0</v>
      </c>
      <c r="BIS5">
        <f>Database!BJL29</f>
        <v>0</v>
      </c>
      <c r="BIT5">
        <f>Database!BJM29</f>
        <v>0</v>
      </c>
      <c r="BIU5">
        <f>Database!BJN29</f>
        <v>0</v>
      </c>
      <c r="BIV5">
        <f>Database!BJO29</f>
        <v>0</v>
      </c>
      <c r="BIW5">
        <f>Database!BJP29</f>
        <v>0</v>
      </c>
      <c r="BIX5">
        <f>Database!BJQ29</f>
        <v>0</v>
      </c>
      <c r="BIY5">
        <f>Database!BJR29</f>
        <v>0</v>
      </c>
      <c r="BIZ5">
        <f>Database!BJS29</f>
        <v>0</v>
      </c>
      <c r="BJA5">
        <f>Database!BJT29</f>
        <v>0</v>
      </c>
      <c r="BJB5">
        <f>Database!BJU29</f>
        <v>0</v>
      </c>
      <c r="BJC5">
        <f>Database!BJV29</f>
        <v>0</v>
      </c>
      <c r="BJD5">
        <f>Database!BJW29</f>
        <v>0</v>
      </c>
      <c r="BJE5">
        <f>Database!BJX29</f>
        <v>0</v>
      </c>
      <c r="BJF5">
        <f>Database!BJY29</f>
        <v>0</v>
      </c>
      <c r="BJG5">
        <f>Database!BJZ29</f>
        <v>0</v>
      </c>
      <c r="BJH5">
        <f>Database!BKA29</f>
        <v>0</v>
      </c>
      <c r="BJI5">
        <f>Database!BKB29</f>
        <v>0</v>
      </c>
      <c r="BJJ5">
        <f>Database!BKC29</f>
        <v>0</v>
      </c>
      <c r="BJK5">
        <f>Database!BKD29</f>
        <v>0</v>
      </c>
      <c r="BJL5">
        <f>Database!BKE29</f>
        <v>0</v>
      </c>
      <c r="BJM5">
        <f>Database!BKF29</f>
        <v>0</v>
      </c>
      <c r="BJN5">
        <f>Database!BKG29</f>
        <v>0</v>
      </c>
      <c r="BJO5">
        <f>Database!BKH29</f>
        <v>0</v>
      </c>
      <c r="BJP5">
        <f>Database!BKI29</f>
        <v>0</v>
      </c>
      <c r="BJQ5">
        <f>Database!BKJ29</f>
        <v>0</v>
      </c>
      <c r="BJR5">
        <f>Database!BKK29</f>
        <v>0</v>
      </c>
      <c r="BJS5">
        <f>Database!BKL29</f>
        <v>0</v>
      </c>
      <c r="BJT5">
        <f>Database!BKM29</f>
        <v>0</v>
      </c>
      <c r="BJU5">
        <f>Database!BKN29</f>
        <v>0</v>
      </c>
      <c r="BJV5">
        <f>Database!BKO29</f>
        <v>0</v>
      </c>
      <c r="BJW5">
        <f>Database!BKP29</f>
        <v>0</v>
      </c>
      <c r="BJX5">
        <f>Database!BKQ29</f>
        <v>0</v>
      </c>
      <c r="BJY5">
        <f>Database!BKR29</f>
        <v>0</v>
      </c>
      <c r="BJZ5">
        <f>Database!BKS29</f>
        <v>0</v>
      </c>
      <c r="BKA5">
        <f>Database!BKT29</f>
        <v>0</v>
      </c>
      <c r="BKB5">
        <f>Database!BKU29</f>
        <v>0</v>
      </c>
      <c r="BKC5">
        <f>Database!BKV29</f>
        <v>0</v>
      </c>
      <c r="BKD5">
        <f>Database!BKW29</f>
        <v>0</v>
      </c>
      <c r="BKE5">
        <f>Database!BKX29</f>
        <v>0</v>
      </c>
      <c r="BKF5">
        <f>Database!BKY29</f>
        <v>0</v>
      </c>
      <c r="BKG5">
        <f>Database!BKZ29</f>
        <v>0</v>
      </c>
      <c r="BKH5">
        <f>Database!BLA29</f>
        <v>0</v>
      </c>
      <c r="BKI5">
        <f>Database!BLB29</f>
        <v>0</v>
      </c>
      <c r="BKJ5">
        <f>Database!BLC29</f>
        <v>0</v>
      </c>
      <c r="BKK5">
        <f>Database!BLD29</f>
        <v>0</v>
      </c>
      <c r="BKL5">
        <f>Database!BLE29</f>
        <v>0</v>
      </c>
      <c r="BKM5">
        <f>Database!BLF29</f>
        <v>0</v>
      </c>
      <c r="BKN5">
        <f>Database!BLG29</f>
        <v>0</v>
      </c>
      <c r="BKO5">
        <f>Database!BLH29</f>
        <v>0</v>
      </c>
      <c r="BKP5">
        <f>Database!BLI29</f>
        <v>0</v>
      </c>
      <c r="BKQ5">
        <f>Database!BLJ29</f>
        <v>0</v>
      </c>
      <c r="BKR5">
        <f>Database!BLK29</f>
        <v>0</v>
      </c>
      <c r="BKS5">
        <f>Database!BLL29</f>
        <v>0</v>
      </c>
      <c r="BKT5">
        <f>Database!BLM29</f>
        <v>0</v>
      </c>
      <c r="BKU5">
        <f>Database!BLN29</f>
        <v>0</v>
      </c>
      <c r="BKV5">
        <f>Database!BLO29</f>
        <v>0</v>
      </c>
      <c r="BKW5">
        <f>Database!BLP29</f>
        <v>0</v>
      </c>
      <c r="BKX5">
        <f>Database!BLQ29</f>
        <v>0</v>
      </c>
      <c r="BKY5">
        <f>Database!BLR29</f>
        <v>0</v>
      </c>
      <c r="BKZ5">
        <f>Database!BLS29</f>
        <v>0</v>
      </c>
      <c r="BLA5">
        <f>Database!BLT29</f>
        <v>0</v>
      </c>
      <c r="BLB5">
        <f>Database!BLU29</f>
        <v>0</v>
      </c>
      <c r="BLC5">
        <f>Database!BLV29</f>
        <v>0</v>
      </c>
      <c r="BLD5">
        <f>Database!BLW29</f>
        <v>0</v>
      </c>
      <c r="BLE5">
        <f>Database!BLX29</f>
        <v>0</v>
      </c>
      <c r="BLF5">
        <f>Database!BLY29</f>
        <v>0</v>
      </c>
      <c r="BLG5">
        <f>Database!BLZ29</f>
        <v>0</v>
      </c>
      <c r="BLH5">
        <f>Database!BMA29</f>
        <v>0</v>
      </c>
      <c r="BLI5">
        <f>Database!BMB29</f>
        <v>0</v>
      </c>
      <c r="BLJ5">
        <f>Database!BMC29</f>
        <v>0</v>
      </c>
      <c r="BLK5">
        <f>Database!BMD29</f>
        <v>0</v>
      </c>
      <c r="BLL5">
        <f>Database!BME29</f>
        <v>0</v>
      </c>
      <c r="BLM5">
        <f>Database!BMF29</f>
        <v>0</v>
      </c>
      <c r="BLN5">
        <f>Database!BMG29</f>
        <v>0</v>
      </c>
      <c r="BLO5">
        <f>Database!BMH29</f>
        <v>0</v>
      </c>
      <c r="BLP5">
        <f>Database!BMI29</f>
        <v>0</v>
      </c>
      <c r="BLQ5">
        <f>Database!BMJ29</f>
        <v>0</v>
      </c>
      <c r="BLR5">
        <f>Database!BMK29</f>
        <v>0</v>
      </c>
      <c r="BLS5">
        <f>Database!BML29</f>
        <v>0</v>
      </c>
      <c r="BLT5">
        <f>Database!BMM29</f>
        <v>0</v>
      </c>
      <c r="BLU5">
        <f>Database!BMN29</f>
        <v>0</v>
      </c>
      <c r="BLV5">
        <f>Database!BMO29</f>
        <v>0</v>
      </c>
      <c r="BLW5">
        <f>Database!BMP29</f>
        <v>0</v>
      </c>
      <c r="BLX5">
        <f>Database!BMQ29</f>
        <v>0</v>
      </c>
      <c r="BLY5">
        <f>Database!BMR29</f>
        <v>0</v>
      </c>
      <c r="BLZ5">
        <f>Database!BMS29</f>
        <v>0</v>
      </c>
      <c r="BMA5">
        <f>Database!BMT29</f>
        <v>0</v>
      </c>
      <c r="BMB5">
        <f>Database!BMU29</f>
        <v>0</v>
      </c>
      <c r="BMC5">
        <f>Database!BMV29</f>
        <v>0</v>
      </c>
      <c r="BMD5">
        <f>Database!BMW29</f>
        <v>0</v>
      </c>
      <c r="BME5">
        <f>Database!BMX29</f>
        <v>0</v>
      </c>
      <c r="BMF5">
        <f>Database!BMY29</f>
        <v>0</v>
      </c>
      <c r="BMG5">
        <f>Database!BMZ29</f>
        <v>0</v>
      </c>
      <c r="BMH5">
        <f>Database!BNA29</f>
        <v>0</v>
      </c>
      <c r="BMI5">
        <f>Database!BNB29</f>
        <v>0</v>
      </c>
      <c r="BMJ5">
        <f>Database!BNC29</f>
        <v>0</v>
      </c>
      <c r="BMK5">
        <f>Database!BND29</f>
        <v>0</v>
      </c>
      <c r="BML5">
        <f>Database!BNE29</f>
        <v>0</v>
      </c>
      <c r="BMM5">
        <f>Database!BNF29</f>
        <v>0</v>
      </c>
      <c r="BMN5">
        <f>Database!BNG29</f>
        <v>0</v>
      </c>
      <c r="BMO5">
        <f>Database!BNH29</f>
        <v>0</v>
      </c>
      <c r="BMP5">
        <f>Database!BNI29</f>
        <v>0</v>
      </c>
      <c r="BMQ5">
        <f>Database!BNJ29</f>
        <v>0</v>
      </c>
      <c r="BMR5">
        <f>Database!BNK29</f>
        <v>0</v>
      </c>
      <c r="BMS5">
        <f>Database!BNL29</f>
        <v>0</v>
      </c>
      <c r="BMT5">
        <f>Database!BNM29</f>
        <v>0</v>
      </c>
      <c r="BMU5">
        <f>Database!BNN29</f>
        <v>0</v>
      </c>
      <c r="BMV5">
        <f>Database!BNO29</f>
        <v>0</v>
      </c>
      <c r="BMW5">
        <f>Database!BNP29</f>
        <v>0</v>
      </c>
      <c r="BMX5">
        <f>Database!BNQ29</f>
        <v>0</v>
      </c>
      <c r="BMY5">
        <f>Database!BNR29</f>
        <v>0</v>
      </c>
      <c r="BMZ5">
        <f>Database!BNS29</f>
        <v>0</v>
      </c>
      <c r="BNA5">
        <f>Database!BNT29</f>
        <v>0</v>
      </c>
      <c r="BNB5">
        <f>Database!BNU29</f>
        <v>0</v>
      </c>
      <c r="BNC5">
        <f>Database!BNV29</f>
        <v>0</v>
      </c>
      <c r="BND5">
        <f>Database!BNW29</f>
        <v>0</v>
      </c>
      <c r="BNE5">
        <f>Database!BNX29</f>
        <v>0</v>
      </c>
      <c r="BNF5">
        <f>Database!BNY29</f>
        <v>0</v>
      </c>
      <c r="BNG5">
        <f>Database!BNZ29</f>
        <v>0</v>
      </c>
      <c r="BNH5">
        <f>Database!BOA29</f>
        <v>0</v>
      </c>
      <c r="BNI5">
        <f>Database!BOB29</f>
        <v>0</v>
      </c>
      <c r="BNJ5">
        <f>Database!BOC29</f>
        <v>0</v>
      </c>
      <c r="BNK5">
        <f>Database!BOD29</f>
        <v>0</v>
      </c>
      <c r="BNL5">
        <f>Database!BOE29</f>
        <v>0</v>
      </c>
      <c r="BNM5">
        <f>Database!BOF29</f>
        <v>0</v>
      </c>
      <c r="BNN5">
        <f>Database!BOG29</f>
        <v>0</v>
      </c>
      <c r="BNO5">
        <f>Database!BOH29</f>
        <v>0</v>
      </c>
      <c r="BNP5">
        <f>Database!BOI29</f>
        <v>0</v>
      </c>
      <c r="BNQ5">
        <f>Database!BOJ29</f>
        <v>0</v>
      </c>
      <c r="BNR5">
        <f>Database!BOK29</f>
        <v>0</v>
      </c>
      <c r="BNS5">
        <f>Database!BOL29</f>
        <v>0</v>
      </c>
      <c r="BNT5">
        <f>Database!BOM29</f>
        <v>0</v>
      </c>
      <c r="BNU5">
        <f>Database!BON29</f>
        <v>0</v>
      </c>
      <c r="BNV5">
        <f>Database!BOO29</f>
        <v>0</v>
      </c>
      <c r="BNW5">
        <f>Database!BOP29</f>
        <v>0</v>
      </c>
      <c r="BNX5">
        <f>Database!BOQ29</f>
        <v>0</v>
      </c>
      <c r="BNY5">
        <f>Database!BOR29</f>
        <v>0</v>
      </c>
      <c r="BNZ5">
        <f>Database!BOS29</f>
        <v>0</v>
      </c>
      <c r="BOA5">
        <f>Database!BOT29</f>
        <v>0</v>
      </c>
      <c r="BOB5">
        <f>Database!BOU29</f>
        <v>0</v>
      </c>
      <c r="BOC5">
        <f>Database!BOV29</f>
        <v>0</v>
      </c>
      <c r="BOD5">
        <f>Database!BOW29</f>
        <v>0</v>
      </c>
      <c r="BOE5">
        <f>Database!BOX29</f>
        <v>0</v>
      </c>
      <c r="BOF5">
        <f>Database!BOY29</f>
        <v>0</v>
      </c>
      <c r="BOG5">
        <f>Database!BOZ29</f>
        <v>0</v>
      </c>
      <c r="BOH5">
        <f>Database!BPA29</f>
        <v>0</v>
      </c>
      <c r="BOI5">
        <f>Database!BPB29</f>
        <v>0</v>
      </c>
      <c r="BOJ5">
        <f>Database!BPC29</f>
        <v>0</v>
      </c>
      <c r="BOK5">
        <f>Database!BPD29</f>
        <v>0</v>
      </c>
      <c r="BOL5">
        <f>Database!BPE29</f>
        <v>0</v>
      </c>
      <c r="BOM5">
        <f>Database!BPF29</f>
        <v>0</v>
      </c>
      <c r="BON5">
        <f>Database!BPG29</f>
        <v>0</v>
      </c>
      <c r="BOO5">
        <f>Database!BPH29</f>
        <v>0</v>
      </c>
      <c r="BOP5">
        <f>Database!BPI29</f>
        <v>0</v>
      </c>
      <c r="BOQ5">
        <f>Database!BPJ29</f>
        <v>0</v>
      </c>
      <c r="BOR5">
        <f>Database!BPK29</f>
        <v>0</v>
      </c>
      <c r="BOS5">
        <f>Database!BPL29</f>
        <v>0</v>
      </c>
      <c r="BOT5">
        <f>Database!BPM29</f>
        <v>0</v>
      </c>
      <c r="BOU5">
        <f>Database!BPN29</f>
        <v>0</v>
      </c>
      <c r="BOV5">
        <f>Database!BPO29</f>
        <v>0</v>
      </c>
      <c r="BOW5">
        <f>Database!BPP29</f>
        <v>0</v>
      </c>
      <c r="BOX5">
        <f>Database!BPQ29</f>
        <v>0</v>
      </c>
      <c r="BOY5">
        <f>Database!BPR29</f>
        <v>0</v>
      </c>
      <c r="BOZ5">
        <f>Database!BPS29</f>
        <v>0</v>
      </c>
      <c r="BPA5">
        <f>Database!BPT29</f>
        <v>0</v>
      </c>
      <c r="BPB5">
        <f>Database!BPU29</f>
        <v>0</v>
      </c>
      <c r="BPC5">
        <f>Database!BPV29</f>
        <v>0</v>
      </c>
      <c r="BPD5">
        <f>Database!BPW29</f>
        <v>0</v>
      </c>
      <c r="BPE5">
        <f>Database!BPX29</f>
        <v>0</v>
      </c>
      <c r="BPF5">
        <f>Database!BPY29</f>
        <v>0</v>
      </c>
      <c r="BPG5">
        <f>Database!BPZ29</f>
        <v>0</v>
      </c>
      <c r="BPH5">
        <f>Database!BQA29</f>
        <v>0</v>
      </c>
      <c r="BPI5">
        <f>Database!BQB29</f>
        <v>0</v>
      </c>
      <c r="BPJ5">
        <f>Database!BQC29</f>
        <v>0</v>
      </c>
      <c r="BPK5">
        <f>Database!BQD29</f>
        <v>0</v>
      </c>
      <c r="BPL5">
        <f>Database!BQE29</f>
        <v>0</v>
      </c>
      <c r="BPM5">
        <f>Database!BQF29</f>
        <v>0</v>
      </c>
      <c r="BPN5">
        <f>Database!BQG29</f>
        <v>0</v>
      </c>
      <c r="BPO5">
        <f>Database!BQH29</f>
        <v>0</v>
      </c>
      <c r="BPP5">
        <f>Database!BQI29</f>
        <v>0</v>
      </c>
      <c r="BPQ5">
        <f>Database!BQJ29</f>
        <v>0</v>
      </c>
      <c r="BPR5">
        <f>Database!BQK29</f>
        <v>0</v>
      </c>
      <c r="BPS5">
        <f>Database!BQL29</f>
        <v>0</v>
      </c>
      <c r="BPT5">
        <f>Database!BQM29</f>
        <v>0</v>
      </c>
      <c r="BPU5">
        <f>Database!BQN29</f>
        <v>0</v>
      </c>
      <c r="BPV5">
        <f>Database!BQO29</f>
        <v>0</v>
      </c>
      <c r="BPW5">
        <f>Database!BQP29</f>
        <v>0</v>
      </c>
      <c r="BPX5">
        <f>Database!BQQ29</f>
        <v>0</v>
      </c>
      <c r="BPY5">
        <f>Database!BQR29</f>
        <v>0</v>
      </c>
      <c r="BPZ5">
        <f>Database!BQS29</f>
        <v>0</v>
      </c>
      <c r="BQA5">
        <f>Database!BQT29</f>
        <v>0</v>
      </c>
      <c r="BQB5">
        <f>Database!BQU29</f>
        <v>0</v>
      </c>
      <c r="BQC5">
        <f>Database!BQV29</f>
        <v>0</v>
      </c>
      <c r="BQD5">
        <f>Database!BQW29</f>
        <v>0</v>
      </c>
      <c r="BQE5">
        <f>Database!BQX29</f>
        <v>0</v>
      </c>
      <c r="BQF5">
        <f>Database!BQY29</f>
        <v>0</v>
      </c>
      <c r="BQG5">
        <f>Database!BQZ29</f>
        <v>0</v>
      </c>
      <c r="BQH5">
        <f>Database!BRA29</f>
        <v>0</v>
      </c>
      <c r="BQI5">
        <f>Database!BRB29</f>
        <v>0</v>
      </c>
      <c r="BQJ5">
        <f>Database!BRC29</f>
        <v>0</v>
      </c>
      <c r="BQK5">
        <f>Database!BRD29</f>
        <v>0</v>
      </c>
      <c r="BQL5">
        <f>Database!BRE29</f>
        <v>0</v>
      </c>
      <c r="BQM5">
        <f>Database!BRF29</f>
        <v>0</v>
      </c>
      <c r="BQN5">
        <f>Database!BRG29</f>
        <v>0</v>
      </c>
      <c r="BQO5">
        <f>Database!BRH29</f>
        <v>0</v>
      </c>
      <c r="BQP5">
        <f>Database!BRI29</f>
        <v>0</v>
      </c>
      <c r="BQQ5">
        <f>Database!BRJ29</f>
        <v>0</v>
      </c>
      <c r="BQR5">
        <f>Database!BRK29</f>
        <v>0</v>
      </c>
      <c r="BQS5">
        <f>Database!BRL29</f>
        <v>0</v>
      </c>
      <c r="BQT5">
        <f>Database!BRM29</f>
        <v>0</v>
      </c>
      <c r="BQU5">
        <f>Database!BRN29</f>
        <v>0</v>
      </c>
      <c r="BQV5">
        <f>Database!BRO29</f>
        <v>0</v>
      </c>
      <c r="BQW5">
        <f>Database!BRP29</f>
        <v>0</v>
      </c>
      <c r="BQX5">
        <f>Database!BRQ29</f>
        <v>0</v>
      </c>
      <c r="BQY5">
        <f>Database!BRR29</f>
        <v>0</v>
      </c>
      <c r="BQZ5">
        <f>Database!BRS29</f>
        <v>0</v>
      </c>
      <c r="BRA5">
        <f>Database!BRT29</f>
        <v>0</v>
      </c>
      <c r="BRB5">
        <f>Database!BRU29</f>
        <v>0</v>
      </c>
      <c r="BRC5">
        <f>Database!BRV29</f>
        <v>0</v>
      </c>
      <c r="BRD5">
        <f>Database!BRW29</f>
        <v>0</v>
      </c>
      <c r="BRE5">
        <f>Database!BRX29</f>
        <v>0</v>
      </c>
      <c r="BRF5">
        <f>Database!BRY29</f>
        <v>0</v>
      </c>
      <c r="BRG5">
        <f>Database!BRZ29</f>
        <v>0</v>
      </c>
      <c r="BRH5">
        <f>Database!BSA29</f>
        <v>0</v>
      </c>
      <c r="BRI5">
        <f>Database!BSB29</f>
        <v>0</v>
      </c>
      <c r="BRJ5">
        <f>Database!BSC29</f>
        <v>0</v>
      </c>
      <c r="BRK5">
        <f>Database!BSD29</f>
        <v>0</v>
      </c>
      <c r="BRL5">
        <f>Database!BSE29</f>
        <v>0</v>
      </c>
      <c r="BRM5">
        <f>Database!BSF29</f>
        <v>0</v>
      </c>
      <c r="BRN5">
        <f>Database!BSG29</f>
        <v>0</v>
      </c>
      <c r="BRO5">
        <f>Database!BSH29</f>
        <v>0</v>
      </c>
      <c r="BRP5">
        <f>Database!BSI29</f>
        <v>0</v>
      </c>
      <c r="BRQ5">
        <f>Database!BSJ29</f>
        <v>0</v>
      </c>
      <c r="BRR5">
        <f>Database!BSK29</f>
        <v>0</v>
      </c>
      <c r="BRS5">
        <f>Database!BSL29</f>
        <v>0</v>
      </c>
      <c r="BRT5">
        <f>Database!BSM29</f>
        <v>0</v>
      </c>
      <c r="BRU5">
        <f>Database!BSN29</f>
        <v>0</v>
      </c>
      <c r="BRV5">
        <f>Database!BSO29</f>
        <v>0</v>
      </c>
      <c r="BRW5">
        <f>Database!BSP29</f>
        <v>0</v>
      </c>
      <c r="BRX5">
        <f>Database!BSQ29</f>
        <v>0</v>
      </c>
      <c r="BRY5">
        <f>Database!BSR29</f>
        <v>0</v>
      </c>
      <c r="BRZ5">
        <f>Database!BSS29</f>
        <v>0</v>
      </c>
      <c r="BSA5">
        <f>Database!BST29</f>
        <v>0</v>
      </c>
      <c r="BSB5">
        <f>Database!BSU29</f>
        <v>0</v>
      </c>
      <c r="BSC5">
        <f>Database!BSV29</f>
        <v>0</v>
      </c>
      <c r="BSD5">
        <f>Database!BSW29</f>
        <v>0</v>
      </c>
      <c r="BSE5">
        <f>Database!BSX29</f>
        <v>0</v>
      </c>
      <c r="BSF5">
        <f>Database!BSY29</f>
        <v>0</v>
      </c>
      <c r="BSG5">
        <f>Database!BSZ29</f>
        <v>0</v>
      </c>
      <c r="BSH5">
        <f>Database!BTA29</f>
        <v>0</v>
      </c>
      <c r="BSI5">
        <f>Database!BTB29</f>
        <v>0</v>
      </c>
      <c r="BSJ5">
        <f>Database!BTC29</f>
        <v>0</v>
      </c>
      <c r="BSK5">
        <f>Database!BTD29</f>
        <v>0</v>
      </c>
      <c r="BSL5">
        <f>Database!BTE29</f>
        <v>0</v>
      </c>
      <c r="BSM5">
        <f>Database!BTF29</f>
        <v>0</v>
      </c>
      <c r="BSN5">
        <f>Database!BTG29</f>
        <v>0</v>
      </c>
      <c r="BSO5">
        <f>Database!BTH29</f>
        <v>0</v>
      </c>
      <c r="BSP5">
        <f>Database!BTI29</f>
        <v>0</v>
      </c>
      <c r="BSQ5">
        <f>Database!BTJ29</f>
        <v>0</v>
      </c>
      <c r="BSR5">
        <f>Database!BTK29</f>
        <v>0</v>
      </c>
      <c r="BSS5">
        <f>Database!BTL29</f>
        <v>0</v>
      </c>
      <c r="BST5">
        <f>Database!BTM29</f>
        <v>0</v>
      </c>
      <c r="BSU5">
        <f>Database!BTN29</f>
        <v>0</v>
      </c>
      <c r="BSV5">
        <f>Database!BTO29</f>
        <v>0</v>
      </c>
      <c r="BSW5">
        <f>Database!BTP29</f>
        <v>0</v>
      </c>
      <c r="BSX5">
        <f>Database!BTQ29</f>
        <v>0</v>
      </c>
      <c r="BSY5">
        <f>Database!BTR29</f>
        <v>0</v>
      </c>
      <c r="BSZ5">
        <f>Database!BTS29</f>
        <v>0</v>
      </c>
      <c r="BTA5">
        <f>Database!BTT29</f>
        <v>0</v>
      </c>
      <c r="BTB5">
        <f>Database!BTU29</f>
        <v>0</v>
      </c>
      <c r="BTC5">
        <f>Database!BTV29</f>
        <v>0</v>
      </c>
      <c r="BTD5">
        <f>Database!BTW29</f>
        <v>0</v>
      </c>
      <c r="BTE5">
        <f>Database!BTX29</f>
        <v>0</v>
      </c>
      <c r="BTF5">
        <f>Database!BTY29</f>
        <v>0</v>
      </c>
      <c r="BTG5">
        <f>Database!BTZ29</f>
        <v>0</v>
      </c>
      <c r="BTH5">
        <f>Database!BUA29</f>
        <v>0</v>
      </c>
      <c r="BTI5">
        <f>Database!BUB29</f>
        <v>0</v>
      </c>
      <c r="BTJ5">
        <f>Database!BUC29</f>
        <v>0</v>
      </c>
      <c r="BTK5">
        <f>Database!BUD29</f>
        <v>0</v>
      </c>
      <c r="BTL5">
        <f>Database!BUE29</f>
        <v>0</v>
      </c>
      <c r="BTM5">
        <f>Database!BUF29</f>
        <v>0</v>
      </c>
      <c r="BTN5">
        <f>Database!BUG29</f>
        <v>0</v>
      </c>
      <c r="BTO5">
        <f>Database!BUH29</f>
        <v>0</v>
      </c>
      <c r="BTP5">
        <f>Database!BUI29</f>
        <v>0</v>
      </c>
      <c r="BTQ5">
        <f>Database!BUJ29</f>
        <v>0</v>
      </c>
      <c r="BTR5">
        <f>Database!BUK29</f>
        <v>0</v>
      </c>
      <c r="BTS5">
        <f>Database!BUL29</f>
        <v>0</v>
      </c>
      <c r="BTT5">
        <f>Database!BUM29</f>
        <v>0</v>
      </c>
      <c r="BTU5">
        <f>Database!BUN29</f>
        <v>0</v>
      </c>
      <c r="BTV5">
        <f>Database!BUO29</f>
        <v>0</v>
      </c>
      <c r="BTW5">
        <f>Database!BUP29</f>
        <v>0</v>
      </c>
      <c r="BTX5">
        <f>Database!BUQ29</f>
        <v>0</v>
      </c>
      <c r="BTY5">
        <f>Database!BUR29</f>
        <v>0</v>
      </c>
      <c r="BTZ5">
        <f>Database!BUS29</f>
        <v>0</v>
      </c>
      <c r="BUA5">
        <f>Database!BUT29</f>
        <v>0</v>
      </c>
      <c r="BUB5">
        <f>Database!BUU29</f>
        <v>0</v>
      </c>
      <c r="BUC5">
        <f>Database!BUV29</f>
        <v>0</v>
      </c>
      <c r="BUD5">
        <f>Database!BUW29</f>
        <v>0</v>
      </c>
      <c r="BUE5">
        <f>Database!BUX29</f>
        <v>0</v>
      </c>
      <c r="BUF5">
        <f>Database!BUY29</f>
        <v>0</v>
      </c>
      <c r="BUG5">
        <f>Database!BUZ29</f>
        <v>0</v>
      </c>
      <c r="BUH5">
        <f>Database!BVA29</f>
        <v>0</v>
      </c>
      <c r="BUI5">
        <f>Database!BVB29</f>
        <v>0</v>
      </c>
      <c r="BUJ5">
        <f>Database!BVC29</f>
        <v>0</v>
      </c>
      <c r="BUK5">
        <f>Database!BVD29</f>
        <v>0</v>
      </c>
      <c r="BUL5">
        <f>Database!BVE29</f>
        <v>0</v>
      </c>
      <c r="BUM5">
        <f>Database!BVF29</f>
        <v>0</v>
      </c>
      <c r="BUN5">
        <f>Database!BVG29</f>
        <v>0</v>
      </c>
      <c r="BUO5">
        <f>Database!BVH29</f>
        <v>0</v>
      </c>
      <c r="BUP5">
        <f>Database!BVI29</f>
        <v>0</v>
      </c>
      <c r="BUQ5">
        <f>Database!BVJ29</f>
        <v>0</v>
      </c>
      <c r="BUR5">
        <f>Database!BVK29</f>
        <v>0</v>
      </c>
      <c r="BUS5">
        <f>Database!BVL29</f>
        <v>0</v>
      </c>
      <c r="BUT5">
        <f>Database!BVM29</f>
        <v>0</v>
      </c>
      <c r="BUU5">
        <f>Database!BVN29</f>
        <v>0</v>
      </c>
      <c r="BUV5">
        <f>Database!BVO29</f>
        <v>0</v>
      </c>
      <c r="BUW5">
        <f>Database!BVP29</f>
        <v>0</v>
      </c>
      <c r="BUX5">
        <f>Database!BVQ29</f>
        <v>0</v>
      </c>
      <c r="BUY5">
        <f>Database!BVR29</f>
        <v>0</v>
      </c>
      <c r="BUZ5">
        <f>Database!BVS29</f>
        <v>0</v>
      </c>
      <c r="BVA5">
        <f>Database!BVT29</f>
        <v>0</v>
      </c>
      <c r="BVB5">
        <f>Database!BVU29</f>
        <v>0</v>
      </c>
      <c r="BVC5">
        <f>Database!BVV29</f>
        <v>0</v>
      </c>
      <c r="BVD5">
        <f>Database!BVW29</f>
        <v>0</v>
      </c>
      <c r="BVE5">
        <f>Database!BVX29</f>
        <v>0</v>
      </c>
      <c r="BVF5">
        <f>Database!BVY29</f>
        <v>0</v>
      </c>
      <c r="BVG5">
        <f>Database!BVZ29</f>
        <v>0</v>
      </c>
      <c r="BVH5">
        <f>Database!BWA29</f>
        <v>0</v>
      </c>
      <c r="BVI5">
        <f>Database!BWB29</f>
        <v>0</v>
      </c>
      <c r="BVJ5">
        <f>Database!BWC29</f>
        <v>0</v>
      </c>
      <c r="BVK5">
        <f>Database!BWD29</f>
        <v>0</v>
      </c>
      <c r="BVL5">
        <f>Database!BWE29</f>
        <v>0</v>
      </c>
      <c r="BVM5">
        <f>Database!BWF29</f>
        <v>0</v>
      </c>
      <c r="BVN5">
        <f>Database!BWG29</f>
        <v>0</v>
      </c>
      <c r="BVO5">
        <f>Database!BWH29</f>
        <v>0</v>
      </c>
      <c r="BVP5">
        <f>Database!BWI29</f>
        <v>0</v>
      </c>
      <c r="BVQ5">
        <f>Database!BWJ29</f>
        <v>0</v>
      </c>
      <c r="BVR5">
        <f>Database!BWK29</f>
        <v>0</v>
      </c>
      <c r="BVS5">
        <f>Database!BWL29</f>
        <v>0</v>
      </c>
      <c r="BVT5">
        <f>Database!BWM29</f>
        <v>0</v>
      </c>
      <c r="BVU5">
        <f>Database!BWN29</f>
        <v>0</v>
      </c>
      <c r="BVV5">
        <f>Database!BWO29</f>
        <v>0</v>
      </c>
      <c r="BVW5">
        <f>Database!BWP29</f>
        <v>0</v>
      </c>
      <c r="BVX5">
        <f>Database!BWQ29</f>
        <v>0</v>
      </c>
      <c r="BVY5">
        <f>Database!BWR29</f>
        <v>0</v>
      </c>
      <c r="BVZ5">
        <f>Database!BWS29</f>
        <v>0</v>
      </c>
      <c r="BWA5">
        <f>Database!BWT29</f>
        <v>0</v>
      </c>
      <c r="BWB5">
        <f>Database!BWU29</f>
        <v>0</v>
      </c>
      <c r="BWC5">
        <f>Database!BWV29</f>
        <v>0</v>
      </c>
      <c r="BWD5">
        <f>Database!BWW29</f>
        <v>0</v>
      </c>
      <c r="BWE5">
        <f>Database!BWX29</f>
        <v>0</v>
      </c>
      <c r="BWF5">
        <f>Database!BWY29</f>
        <v>0</v>
      </c>
      <c r="BWG5">
        <f>Database!BWZ29</f>
        <v>0</v>
      </c>
      <c r="BWH5">
        <f>Database!BXA29</f>
        <v>0</v>
      </c>
      <c r="BWI5">
        <f>Database!BXB29</f>
        <v>0</v>
      </c>
      <c r="BWJ5">
        <f>Database!BXC29</f>
        <v>0</v>
      </c>
      <c r="BWK5">
        <f>Database!BXD29</f>
        <v>0</v>
      </c>
      <c r="BWL5">
        <f>Database!BXE29</f>
        <v>0</v>
      </c>
      <c r="BWM5">
        <f>Database!BXF29</f>
        <v>0</v>
      </c>
      <c r="BWN5">
        <f>Database!BXG29</f>
        <v>0</v>
      </c>
      <c r="BWO5">
        <f>Database!BXH29</f>
        <v>0</v>
      </c>
      <c r="BWP5">
        <f>Database!BXI29</f>
        <v>0</v>
      </c>
      <c r="BWQ5">
        <f>Database!BXJ29</f>
        <v>0</v>
      </c>
      <c r="BWR5">
        <f>Database!BXK29</f>
        <v>0</v>
      </c>
      <c r="BWS5">
        <f>Database!BXL29</f>
        <v>0</v>
      </c>
      <c r="BWT5">
        <f>Database!BXM29</f>
        <v>0</v>
      </c>
      <c r="BWU5">
        <f>Database!BXN29</f>
        <v>0</v>
      </c>
      <c r="BWV5">
        <f>Database!BXO29</f>
        <v>0</v>
      </c>
      <c r="BWW5">
        <f>Database!BXP29</f>
        <v>0</v>
      </c>
      <c r="BWX5">
        <f>Database!BXQ29</f>
        <v>0</v>
      </c>
      <c r="BWY5">
        <f>Database!BXR29</f>
        <v>0</v>
      </c>
      <c r="BWZ5">
        <f>Database!BXS29</f>
        <v>0</v>
      </c>
      <c r="BXA5">
        <f>Database!BXT29</f>
        <v>0</v>
      </c>
      <c r="BXB5">
        <f>Database!BXU29</f>
        <v>0</v>
      </c>
      <c r="BXC5">
        <f>Database!BXV29</f>
        <v>0</v>
      </c>
      <c r="BXD5">
        <f>Database!BXW29</f>
        <v>0</v>
      </c>
      <c r="BXE5">
        <f>Database!BXX29</f>
        <v>0</v>
      </c>
      <c r="BXF5">
        <f>Database!BXY29</f>
        <v>0</v>
      </c>
      <c r="BXG5">
        <f>Database!BXZ29</f>
        <v>0</v>
      </c>
      <c r="BXH5">
        <f>Database!BYA29</f>
        <v>0</v>
      </c>
      <c r="BXI5">
        <f>Database!BYB29</f>
        <v>0</v>
      </c>
      <c r="BXJ5">
        <f>Database!BYC29</f>
        <v>0</v>
      </c>
      <c r="BXK5">
        <f>Database!BYD29</f>
        <v>0</v>
      </c>
      <c r="BXL5">
        <f>Database!BYE29</f>
        <v>0</v>
      </c>
      <c r="BXM5">
        <f>Database!BYF29</f>
        <v>0</v>
      </c>
      <c r="BXN5">
        <f>Database!BYG29</f>
        <v>0</v>
      </c>
      <c r="BXO5">
        <f>Database!BYH29</f>
        <v>0</v>
      </c>
      <c r="BXP5">
        <f>Database!BYI29</f>
        <v>0</v>
      </c>
      <c r="BXQ5">
        <f>Database!BYJ29</f>
        <v>0</v>
      </c>
      <c r="BXR5">
        <f>Database!BYK29</f>
        <v>0</v>
      </c>
      <c r="BXS5">
        <f>Database!BYL29</f>
        <v>0</v>
      </c>
      <c r="BXT5">
        <f>Database!BYM29</f>
        <v>0</v>
      </c>
      <c r="BXU5">
        <f>Database!BYN29</f>
        <v>0</v>
      </c>
      <c r="BXV5">
        <f>Database!BYO29</f>
        <v>0</v>
      </c>
      <c r="BXW5">
        <f>Database!BYP29</f>
        <v>0</v>
      </c>
      <c r="BXX5">
        <f>Database!BYQ29</f>
        <v>0</v>
      </c>
      <c r="BXY5">
        <f>Database!BYR29</f>
        <v>0</v>
      </c>
      <c r="BXZ5">
        <f>Database!BYS29</f>
        <v>0</v>
      </c>
      <c r="BYA5">
        <f>Database!BYT29</f>
        <v>0</v>
      </c>
      <c r="BYB5">
        <f>Database!BYU29</f>
        <v>0</v>
      </c>
      <c r="BYC5">
        <f>Database!BYV29</f>
        <v>0</v>
      </c>
      <c r="BYD5">
        <f>Database!BYW29</f>
        <v>0</v>
      </c>
      <c r="BYE5">
        <f>Database!BYX29</f>
        <v>0</v>
      </c>
      <c r="BYF5">
        <f>Database!BYY29</f>
        <v>0</v>
      </c>
      <c r="BYG5">
        <f>Database!BYZ29</f>
        <v>0</v>
      </c>
      <c r="BYH5">
        <f>Database!BZA29</f>
        <v>0</v>
      </c>
      <c r="BYI5">
        <f>Database!BZB29</f>
        <v>0</v>
      </c>
      <c r="BYJ5">
        <f>Database!BZC29</f>
        <v>0</v>
      </c>
      <c r="BYK5">
        <f>Database!BZD29</f>
        <v>0</v>
      </c>
      <c r="BYL5">
        <f>Database!BZE29</f>
        <v>0</v>
      </c>
      <c r="BYM5">
        <f>Database!BZF29</f>
        <v>0</v>
      </c>
      <c r="BYN5">
        <f>Database!BZG29</f>
        <v>0</v>
      </c>
      <c r="BYO5">
        <f>Database!BZH29</f>
        <v>0</v>
      </c>
      <c r="BYP5">
        <f>Database!BZI29</f>
        <v>0</v>
      </c>
      <c r="BYQ5">
        <f>Database!BZJ29</f>
        <v>0</v>
      </c>
      <c r="BYR5">
        <f>Database!BZK29</f>
        <v>0</v>
      </c>
      <c r="BYS5">
        <f>Database!BZL29</f>
        <v>0</v>
      </c>
      <c r="BYT5">
        <f>Database!BZM29</f>
        <v>0</v>
      </c>
      <c r="BYU5">
        <f>Database!BZN29</f>
        <v>0</v>
      </c>
      <c r="BYV5">
        <f>Database!BZO29</f>
        <v>0</v>
      </c>
      <c r="BYW5">
        <f>Database!BZP29</f>
        <v>0</v>
      </c>
      <c r="BYX5">
        <f>Database!BZQ29</f>
        <v>0</v>
      </c>
      <c r="BYY5">
        <f>Database!BZR29</f>
        <v>0</v>
      </c>
      <c r="BYZ5">
        <f>Database!BZS29</f>
        <v>0</v>
      </c>
      <c r="BZA5">
        <f>Database!BZT29</f>
        <v>0</v>
      </c>
      <c r="BZB5">
        <f>Database!BZU29</f>
        <v>0</v>
      </c>
      <c r="BZC5">
        <f>Database!BZV29</f>
        <v>0</v>
      </c>
      <c r="BZD5">
        <f>Database!BZW29</f>
        <v>0</v>
      </c>
      <c r="BZE5">
        <f>Database!BZX29</f>
        <v>0</v>
      </c>
      <c r="BZF5">
        <f>Database!BZY29</f>
        <v>0</v>
      </c>
      <c r="BZG5">
        <f>Database!BZZ29</f>
        <v>0</v>
      </c>
      <c r="BZH5">
        <f>Database!CAA29</f>
        <v>0</v>
      </c>
      <c r="BZI5">
        <f>Database!CAB29</f>
        <v>0</v>
      </c>
      <c r="BZJ5">
        <f>Database!CAC29</f>
        <v>0</v>
      </c>
      <c r="BZK5">
        <f>Database!CAD29</f>
        <v>0</v>
      </c>
      <c r="BZL5">
        <f>Database!CAE29</f>
        <v>0</v>
      </c>
      <c r="BZM5">
        <f>Database!CAF29</f>
        <v>0</v>
      </c>
      <c r="BZN5">
        <f>Database!CAG29</f>
        <v>0</v>
      </c>
      <c r="BZO5">
        <f>Database!CAH29</f>
        <v>0</v>
      </c>
      <c r="BZP5">
        <f>Database!CAI29</f>
        <v>0</v>
      </c>
      <c r="BZQ5">
        <f>Database!CAJ29</f>
        <v>0</v>
      </c>
      <c r="BZR5">
        <f>Database!CAK29</f>
        <v>0</v>
      </c>
      <c r="BZS5">
        <f>Database!CAL29</f>
        <v>0</v>
      </c>
      <c r="BZT5">
        <f>Database!CAM29</f>
        <v>0</v>
      </c>
      <c r="BZU5">
        <f>Database!CAN29</f>
        <v>0</v>
      </c>
      <c r="BZV5">
        <f>Database!CAO29</f>
        <v>0</v>
      </c>
      <c r="BZW5">
        <f>Database!CAP29</f>
        <v>0</v>
      </c>
      <c r="BZX5">
        <f>Database!CAQ29</f>
        <v>0</v>
      </c>
      <c r="BZY5">
        <f>Database!CAR29</f>
        <v>0</v>
      </c>
      <c r="BZZ5">
        <f>Database!CAS29</f>
        <v>0</v>
      </c>
      <c r="CAA5">
        <f>Database!CAT29</f>
        <v>0</v>
      </c>
      <c r="CAB5">
        <f>Database!CAU29</f>
        <v>0</v>
      </c>
      <c r="CAC5">
        <f>Database!CAV29</f>
        <v>0</v>
      </c>
      <c r="CAD5">
        <f>Database!CAW29</f>
        <v>0</v>
      </c>
      <c r="CAE5">
        <f>Database!CAX29</f>
        <v>0</v>
      </c>
      <c r="CAF5">
        <f>Database!CAY29</f>
        <v>0</v>
      </c>
      <c r="CAG5">
        <f>Database!CAZ29</f>
        <v>0</v>
      </c>
      <c r="CAH5">
        <f>Database!CBA29</f>
        <v>0</v>
      </c>
      <c r="CAI5">
        <f>Database!CBB29</f>
        <v>0</v>
      </c>
      <c r="CAJ5">
        <f>Database!CBC29</f>
        <v>0</v>
      </c>
      <c r="CAK5">
        <f>Database!CBD29</f>
        <v>0</v>
      </c>
      <c r="CAL5">
        <f>Database!CBE29</f>
        <v>0</v>
      </c>
      <c r="CAM5">
        <f>Database!CBF29</f>
        <v>0</v>
      </c>
      <c r="CAN5">
        <f>Database!CBG29</f>
        <v>0</v>
      </c>
      <c r="CAO5">
        <f>Database!CBH29</f>
        <v>0</v>
      </c>
      <c r="CAP5">
        <f>Database!CBI29</f>
        <v>0</v>
      </c>
      <c r="CAQ5">
        <f>Database!CBJ29</f>
        <v>0</v>
      </c>
      <c r="CAR5">
        <f>Database!CBK29</f>
        <v>0</v>
      </c>
      <c r="CAS5">
        <f>Database!CBL29</f>
        <v>0</v>
      </c>
      <c r="CAT5">
        <f>Database!CBM29</f>
        <v>0</v>
      </c>
      <c r="CAU5">
        <f>Database!CBN29</f>
        <v>0</v>
      </c>
      <c r="CAV5">
        <f>Database!CBO29</f>
        <v>0</v>
      </c>
      <c r="CAW5">
        <f>Database!CBP29</f>
        <v>0</v>
      </c>
      <c r="CAX5">
        <f>Database!CBQ29</f>
        <v>0</v>
      </c>
      <c r="CAY5">
        <f>Database!CBR29</f>
        <v>0</v>
      </c>
      <c r="CAZ5">
        <f>Database!CBS29</f>
        <v>0</v>
      </c>
      <c r="CBA5">
        <f>Database!CBT29</f>
        <v>0</v>
      </c>
      <c r="CBB5">
        <f>Database!CBU29</f>
        <v>0</v>
      </c>
      <c r="CBC5">
        <f>Database!CBV29</f>
        <v>0</v>
      </c>
      <c r="CBD5">
        <f>Database!CBW29</f>
        <v>0</v>
      </c>
      <c r="CBE5">
        <f>Database!CBX29</f>
        <v>0</v>
      </c>
      <c r="CBF5">
        <f>Database!CBY29</f>
        <v>0</v>
      </c>
      <c r="CBG5">
        <f>Database!CBZ29</f>
        <v>0</v>
      </c>
      <c r="CBH5">
        <f>Database!CCA29</f>
        <v>0</v>
      </c>
      <c r="CBI5">
        <f>Database!CCB29</f>
        <v>0</v>
      </c>
      <c r="CBJ5">
        <f>Database!CCC29</f>
        <v>0</v>
      </c>
      <c r="CBK5">
        <f>Database!CCD29</f>
        <v>0</v>
      </c>
      <c r="CBL5">
        <f>Database!CCE29</f>
        <v>0</v>
      </c>
      <c r="CBM5">
        <f>Database!CCF29</f>
        <v>0</v>
      </c>
      <c r="CBN5">
        <f>Database!CCG29</f>
        <v>0</v>
      </c>
      <c r="CBO5">
        <f>Database!CCH29</f>
        <v>0</v>
      </c>
      <c r="CBP5">
        <f>Database!CCI29</f>
        <v>0</v>
      </c>
      <c r="CBQ5">
        <f>Database!CCJ29</f>
        <v>0</v>
      </c>
      <c r="CBR5">
        <f>Database!CCK29</f>
        <v>0</v>
      </c>
      <c r="CBS5">
        <f>Database!CCL29</f>
        <v>0</v>
      </c>
      <c r="CBT5">
        <f>Database!CCM29</f>
        <v>0</v>
      </c>
      <c r="CBU5">
        <f>Database!CCN29</f>
        <v>0</v>
      </c>
      <c r="CBV5">
        <f>Database!CCO29</f>
        <v>0</v>
      </c>
      <c r="CBW5">
        <f>Database!CCP29</f>
        <v>0</v>
      </c>
      <c r="CBX5">
        <f>Database!CCQ29</f>
        <v>0</v>
      </c>
      <c r="CBY5">
        <f>Database!CCR29</f>
        <v>0</v>
      </c>
      <c r="CBZ5">
        <f>Database!CCS29</f>
        <v>0</v>
      </c>
      <c r="CCA5">
        <f>Database!CCT29</f>
        <v>0</v>
      </c>
      <c r="CCB5">
        <f>Database!CCU29</f>
        <v>0</v>
      </c>
      <c r="CCC5">
        <f>Database!CCV29</f>
        <v>0</v>
      </c>
      <c r="CCD5">
        <f>Database!CCW29</f>
        <v>0</v>
      </c>
      <c r="CCE5">
        <f>Database!CCX29</f>
        <v>0</v>
      </c>
      <c r="CCF5">
        <f>Database!CCY29</f>
        <v>0</v>
      </c>
      <c r="CCG5">
        <f>Database!CCZ29</f>
        <v>0</v>
      </c>
      <c r="CCH5">
        <f>Database!CDA29</f>
        <v>0</v>
      </c>
      <c r="CCI5">
        <f>Database!CDB29</f>
        <v>0</v>
      </c>
      <c r="CCJ5">
        <f>Database!CDC29</f>
        <v>0</v>
      </c>
      <c r="CCK5">
        <f>Database!CDD29</f>
        <v>0</v>
      </c>
      <c r="CCL5">
        <f>Database!CDE29</f>
        <v>0</v>
      </c>
      <c r="CCM5">
        <f>Database!CDF29</f>
        <v>0</v>
      </c>
      <c r="CCN5">
        <f>Database!CDG29</f>
        <v>0</v>
      </c>
      <c r="CCO5">
        <f>Database!CDH29</f>
        <v>0</v>
      </c>
      <c r="CCP5">
        <f>Database!CDI29</f>
        <v>0</v>
      </c>
      <c r="CCQ5">
        <f>Database!CDJ29</f>
        <v>0</v>
      </c>
      <c r="CCR5">
        <f>Database!CDK29</f>
        <v>0</v>
      </c>
      <c r="CCS5">
        <f>Database!CDL29</f>
        <v>0</v>
      </c>
      <c r="CCT5">
        <f>Database!CDM29</f>
        <v>0</v>
      </c>
      <c r="CCU5">
        <f>Database!CDN29</f>
        <v>0</v>
      </c>
      <c r="CCV5">
        <f>Database!CDO29</f>
        <v>0</v>
      </c>
      <c r="CCW5">
        <f>Database!CDP29</f>
        <v>0</v>
      </c>
      <c r="CCX5">
        <f>Database!CDQ29</f>
        <v>0</v>
      </c>
      <c r="CCY5">
        <f>Database!CDR29</f>
        <v>0</v>
      </c>
      <c r="CCZ5">
        <f>Database!CDS29</f>
        <v>0</v>
      </c>
      <c r="CDA5">
        <f>Database!CDT29</f>
        <v>0</v>
      </c>
      <c r="CDB5">
        <f>Database!CDU29</f>
        <v>0</v>
      </c>
      <c r="CDC5">
        <f>Database!CDV29</f>
        <v>0</v>
      </c>
      <c r="CDD5">
        <f>Database!CDW29</f>
        <v>0</v>
      </c>
      <c r="CDE5">
        <f>Database!CDX29</f>
        <v>0</v>
      </c>
      <c r="CDF5">
        <f>Database!CDY29</f>
        <v>0</v>
      </c>
      <c r="CDG5">
        <f>Database!CDZ29</f>
        <v>0</v>
      </c>
      <c r="CDH5">
        <f>Database!CEA29</f>
        <v>0</v>
      </c>
      <c r="CDI5">
        <f>Database!CEB29</f>
        <v>0</v>
      </c>
      <c r="CDJ5">
        <f>Database!CEC29</f>
        <v>0</v>
      </c>
      <c r="CDK5">
        <f>Database!CED29</f>
        <v>0</v>
      </c>
      <c r="CDL5">
        <f>Database!CEE29</f>
        <v>0</v>
      </c>
      <c r="CDM5">
        <f>Database!CEF29</f>
        <v>0</v>
      </c>
      <c r="CDN5">
        <f>Database!CEG29</f>
        <v>0</v>
      </c>
      <c r="CDO5">
        <f>Database!CEH29</f>
        <v>0</v>
      </c>
      <c r="CDP5">
        <f>Database!CEI29</f>
        <v>0</v>
      </c>
      <c r="CDQ5">
        <f>Database!CEJ29</f>
        <v>0</v>
      </c>
      <c r="CDR5">
        <f>Database!CEK29</f>
        <v>0</v>
      </c>
      <c r="CDS5">
        <f>Database!CEL29</f>
        <v>0</v>
      </c>
      <c r="CDT5">
        <f>Database!CEM29</f>
        <v>0</v>
      </c>
      <c r="CDU5">
        <f>Database!CEN29</f>
        <v>0</v>
      </c>
      <c r="CDV5">
        <f>Database!CEO29</f>
        <v>0</v>
      </c>
      <c r="CDW5">
        <f>Database!CEP29</f>
        <v>0</v>
      </c>
      <c r="CDX5">
        <f>Database!CEQ29</f>
        <v>0</v>
      </c>
      <c r="CDY5">
        <f>Database!CER29</f>
        <v>0</v>
      </c>
      <c r="CDZ5">
        <f>Database!CES29</f>
        <v>0</v>
      </c>
      <c r="CEA5">
        <f>Database!CET29</f>
        <v>0</v>
      </c>
      <c r="CEB5">
        <f>Database!CEU29</f>
        <v>0</v>
      </c>
      <c r="CEC5">
        <f>Database!CEV29</f>
        <v>0</v>
      </c>
      <c r="CED5">
        <f>Database!CEW29</f>
        <v>0</v>
      </c>
      <c r="CEE5">
        <f>Database!CEX29</f>
        <v>0</v>
      </c>
      <c r="CEF5">
        <f>Database!CEY29</f>
        <v>0</v>
      </c>
      <c r="CEG5">
        <f>Database!CEZ29</f>
        <v>0</v>
      </c>
      <c r="CEH5">
        <f>Database!CFA29</f>
        <v>0</v>
      </c>
      <c r="CEI5">
        <f>Database!CFB29</f>
        <v>0</v>
      </c>
      <c r="CEJ5">
        <f>Database!CFC29</f>
        <v>0</v>
      </c>
      <c r="CEK5">
        <f>Database!CFD29</f>
        <v>0</v>
      </c>
      <c r="CEL5">
        <f>Database!CFE29</f>
        <v>0</v>
      </c>
      <c r="CEM5">
        <f>Database!CFF29</f>
        <v>0</v>
      </c>
      <c r="CEN5">
        <f>Database!CFG29</f>
        <v>0</v>
      </c>
      <c r="CEO5">
        <f>Database!CFH29</f>
        <v>0</v>
      </c>
      <c r="CEP5">
        <f>Database!CFI29</f>
        <v>0</v>
      </c>
      <c r="CEQ5">
        <f>Database!CFJ29</f>
        <v>0</v>
      </c>
      <c r="CER5">
        <f>Database!CFK29</f>
        <v>0</v>
      </c>
      <c r="CES5">
        <f>Database!CFL29</f>
        <v>0</v>
      </c>
      <c r="CET5">
        <f>Database!CFM29</f>
        <v>0</v>
      </c>
      <c r="CEU5">
        <f>Database!CFN29</f>
        <v>0</v>
      </c>
      <c r="CEV5">
        <f>Database!CFO29</f>
        <v>0</v>
      </c>
      <c r="CEW5">
        <f>Database!CFP29</f>
        <v>0</v>
      </c>
      <c r="CEX5">
        <f>Database!CFQ29</f>
        <v>0</v>
      </c>
      <c r="CEY5">
        <f>Database!CFR29</f>
        <v>0</v>
      </c>
      <c r="CEZ5">
        <f>Database!CFS29</f>
        <v>0</v>
      </c>
      <c r="CFA5">
        <f>Database!CFT29</f>
        <v>0</v>
      </c>
      <c r="CFB5">
        <f>Database!CFU29</f>
        <v>0</v>
      </c>
      <c r="CFC5">
        <f>Database!CFV29</f>
        <v>0</v>
      </c>
      <c r="CFD5">
        <f>Database!CFW29</f>
        <v>0</v>
      </c>
      <c r="CFE5">
        <f>Database!CFX29</f>
        <v>0</v>
      </c>
      <c r="CFF5">
        <f>Database!CFY29</f>
        <v>0</v>
      </c>
      <c r="CFG5">
        <f>Database!CFZ29</f>
        <v>0</v>
      </c>
      <c r="CFH5">
        <f>Database!CGA29</f>
        <v>0</v>
      </c>
      <c r="CFI5">
        <f>Database!CGB29</f>
        <v>0</v>
      </c>
      <c r="CFJ5">
        <f>Database!CGC29</f>
        <v>0</v>
      </c>
      <c r="CFK5">
        <f>Database!CGD29</f>
        <v>0</v>
      </c>
      <c r="CFL5">
        <f>Database!CGE29</f>
        <v>0</v>
      </c>
      <c r="CFM5">
        <f>Database!CGF29</f>
        <v>0</v>
      </c>
      <c r="CFN5">
        <f>Database!CGG29</f>
        <v>0</v>
      </c>
      <c r="CFO5">
        <f>Database!CGH29</f>
        <v>0</v>
      </c>
      <c r="CFP5">
        <f>Database!CGI29</f>
        <v>0</v>
      </c>
      <c r="CFQ5">
        <f>Database!CGJ29</f>
        <v>0</v>
      </c>
      <c r="CFR5">
        <f>Database!CGK29</f>
        <v>0</v>
      </c>
      <c r="CFS5">
        <f>Database!CGL29</f>
        <v>0</v>
      </c>
      <c r="CFT5">
        <f>Database!CGM29</f>
        <v>0</v>
      </c>
      <c r="CFU5">
        <f>Database!CGN29</f>
        <v>0</v>
      </c>
      <c r="CFV5">
        <f>Database!CGO29</f>
        <v>0</v>
      </c>
      <c r="CFW5">
        <f>Database!CGP29</f>
        <v>0</v>
      </c>
      <c r="CFX5">
        <f>Database!CGQ29</f>
        <v>0</v>
      </c>
      <c r="CFY5">
        <f>Database!CGR29</f>
        <v>0</v>
      </c>
      <c r="CFZ5">
        <f>Database!CGS29</f>
        <v>0</v>
      </c>
      <c r="CGA5">
        <f>Database!CGT29</f>
        <v>0</v>
      </c>
      <c r="CGB5">
        <f>Database!CGU29</f>
        <v>0</v>
      </c>
      <c r="CGC5">
        <f>Database!CGV29</f>
        <v>0</v>
      </c>
      <c r="CGD5">
        <f>Database!CGW29</f>
        <v>0</v>
      </c>
      <c r="CGE5">
        <f>Database!CGX29</f>
        <v>0</v>
      </c>
      <c r="CGF5">
        <f>Database!CGY29</f>
        <v>0</v>
      </c>
      <c r="CGG5">
        <f>Database!CGZ29</f>
        <v>0</v>
      </c>
      <c r="CGH5">
        <f>Database!CHA29</f>
        <v>0</v>
      </c>
      <c r="CGI5">
        <f>Database!CHB29</f>
        <v>0</v>
      </c>
      <c r="CGJ5">
        <f>Database!CHC29</f>
        <v>0</v>
      </c>
      <c r="CGK5">
        <f>Database!CHD29</f>
        <v>0</v>
      </c>
      <c r="CGL5">
        <f>Database!CHE29</f>
        <v>0</v>
      </c>
      <c r="CGM5">
        <f>Database!CHF29</f>
        <v>0</v>
      </c>
      <c r="CGN5">
        <f>Database!CHG29</f>
        <v>0</v>
      </c>
      <c r="CGO5">
        <f>Database!CHH29</f>
        <v>0</v>
      </c>
      <c r="CGP5">
        <f>Database!CHI29</f>
        <v>0</v>
      </c>
      <c r="CGQ5">
        <f>Database!CHJ29</f>
        <v>0</v>
      </c>
      <c r="CGR5">
        <f>Database!CHK29</f>
        <v>0</v>
      </c>
      <c r="CGS5">
        <f>Database!CHL29</f>
        <v>0</v>
      </c>
      <c r="CGT5">
        <f>Database!CHM29</f>
        <v>0</v>
      </c>
      <c r="CGU5">
        <f>Database!CHN29</f>
        <v>0</v>
      </c>
      <c r="CGV5">
        <f>Database!CHO29</f>
        <v>0</v>
      </c>
      <c r="CGW5">
        <f>Database!CHP29</f>
        <v>0</v>
      </c>
      <c r="CGX5">
        <f>Database!CHQ29</f>
        <v>0</v>
      </c>
      <c r="CGY5">
        <f>Database!CHR29</f>
        <v>0</v>
      </c>
      <c r="CGZ5">
        <f>Database!CHS29</f>
        <v>0</v>
      </c>
      <c r="CHA5">
        <f>Database!CHT29</f>
        <v>0</v>
      </c>
      <c r="CHB5">
        <f>Database!CHU29</f>
        <v>0</v>
      </c>
      <c r="CHC5">
        <f>Database!CHV29</f>
        <v>0</v>
      </c>
      <c r="CHD5">
        <f>Database!CHW29</f>
        <v>0</v>
      </c>
      <c r="CHE5">
        <f>Database!CHX29</f>
        <v>0</v>
      </c>
      <c r="CHF5">
        <f>Database!CHY29</f>
        <v>0</v>
      </c>
      <c r="CHG5">
        <f>Database!CHZ29</f>
        <v>0</v>
      </c>
      <c r="CHH5">
        <f>Database!CIA29</f>
        <v>0</v>
      </c>
      <c r="CHI5">
        <f>Database!CIB29</f>
        <v>0</v>
      </c>
      <c r="CHJ5">
        <f>Database!CIC29</f>
        <v>0</v>
      </c>
      <c r="CHK5">
        <f>Database!CID29</f>
        <v>0</v>
      </c>
      <c r="CHL5">
        <f>Database!CIE29</f>
        <v>0</v>
      </c>
      <c r="CHM5">
        <f>Database!CIF29</f>
        <v>0</v>
      </c>
      <c r="CHN5">
        <f>Database!CIG29</f>
        <v>0</v>
      </c>
      <c r="CHO5">
        <f>Database!CIH29</f>
        <v>0</v>
      </c>
      <c r="CHP5">
        <f>Database!CII29</f>
        <v>0</v>
      </c>
      <c r="CHQ5">
        <f>Database!CIJ29</f>
        <v>0</v>
      </c>
      <c r="CHR5">
        <f>Database!CIK29</f>
        <v>0</v>
      </c>
      <c r="CHS5">
        <f>Database!CIL29</f>
        <v>0</v>
      </c>
      <c r="CHT5">
        <f>Database!CIM29</f>
        <v>0</v>
      </c>
      <c r="CHU5">
        <f>Database!CIN29</f>
        <v>0</v>
      </c>
      <c r="CHV5">
        <f>Database!CIO29</f>
        <v>0</v>
      </c>
      <c r="CHW5">
        <f>Database!CIP29</f>
        <v>0</v>
      </c>
      <c r="CHX5">
        <f>Database!CIQ29</f>
        <v>0</v>
      </c>
      <c r="CHY5">
        <f>Database!CIR29</f>
        <v>0</v>
      </c>
      <c r="CHZ5">
        <f>Database!CIS29</f>
        <v>0</v>
      </c>
      <c r="CIA5">
        <f>Database!CIT29</f>
        <v>0</v>
      </c>
      <c r="CIB5">
        <f>Database!CIU29</f>
        <v>0</v>
      </c>
      <c r="CIC5">
        <f>Database!CIV29</f>
        <v>0</v>
      </c>
      <c r="CID5">
        <f>Database!CIW29</f>
        <v>0</v>
      </c>
      <c r="CIE5">
        <f>Database!CIX29</f>
        <v>0</v>
      </c>
      <c r="CIF5">
        <f>Database!CIY29</f>
        <v>0</v>
      </c>
      <c r="CIG5">
        <f>Database!CIZ29</f>
        <v>0</v>
      </c>
      <c r="CIH5">
        <f>Database!CJA29</f>
        <v>0</v>
      </c>
      <c r="CII5">
        <f>Database!CJB29</f>
        <v>0</v>
      </c>
      <c r="CIJ5">
        <f>Database!CJC29</f>
        <v>0</v>
      </c>
      <c r="CIK5">
        <f>Database!CJD29</f>
        <v>0</v>
      </c>
      <c r="CIL5">
        <f>Database!CJE29</f>
        <v>0</v>
      </c>
      <c r="CIM5">
        <f>Database!CJF29</f>
        <v>0</v>
      </c>
      <c r="CIN5">
        <f>Database!CJG29</f>
        <v>0</v>
      </c>
      <c r="CIO5">
        <f>Database!CJH29</f>
        <v>0</v>
      </c>
      <c r="CIP5">
        <f>Database!CJI29</f>
        <v>0</v>
      </c>
      <c r="CIQ5">
        <f>Database!CJJ29</f>
        <v>0</v>
      </c>
      <c r="CIR5">
        <f>Database!CJK29</f>
        <v>0</v>
      </c>
      <c r="CIS5">
        <f>Database!CJL29</f>
        <v>0</v>
      </c>
      <c r="CIT5">
        <f>Database!CJM29</f>
        <v>0</v>
      </c>
      <c r="CIU5">
        <f>Database!CJN29</f>
        <v>0</v>
      </c>
      <c r="CIV5">
        <f>Database!CJO29</f>
        <v>0</v>
      </c>
      <c r="CIW5">
        <f>Database!CJP29</f>
        <v>0</v>
      </c>
      <c r="CIX5">
        <f>Database!CJQ29</f>
        <v>0</v>
      </c>
      <c r="CIY5">
        <f>Database!CJR29</f>
        <v>0</v>
      </c>
      <c r="CIZ5">
        <f>Database!CJS29</f>
        <v>0</v>
      </c>
      <c r="CJA5">
        <f>Database!CJT29</f>
        <v>0</v>
      </c>
      <c r="CJB5">
        <f>Database!CJU29</f>
        <v>0</v>
      </c>
      <c r="CJC5">
        <f>Database!CJV29</f>
        <v>0</v>
      </c>
      <c r="CJD5">
        <f>Database!CJW29</f>
        <v>0</v>
      </c>
      <c r="CJE5">
        <f>Database!CJX29</f>
        <v>0</v>
      </c>
      <c r="CJF5">
        <f>Database!CJY29</f>
        <v>0</v>
      </c>
      <c r="CJG5">
        <f>Database!CJZ29</f>
        <v>0</v>
      </c>
      <c r="CJH5">
        <f>Database!CKA29</f>
        <v>0</v>
      </c>
      <c r="CJI5">
        <f>Database!CKB29</f>
        <v>0</v>
      </c>
      <c r="CJJ5">
        <f>Database!CKC29</f>
        <v>0</v>
      </c>
      <c r="CJK5">
        <f>Database!CKD29</f>
        <v>0</v>
      </c>
      <c r="CJL5">
        <f>Database!CKE29</f>
        <v>0</v>
      </c>
      <c r="CJM5">
        <f>Database!CKF29</f>
        <v>0</v>
      </c>
      <c r="CJN5">
        <f>Database!CKG29</f>
        <v>0</v>
      </c>
      <c r="CJO5">
        <f>Database!CKH29</f>
        <v>0</v>
      </c>
      <c r="CJP5">
        <f>Database!CKI29</f>
        <v>0</v>
      </c>
      <c r="CJQ5">
        <f>Database!CKJ29</f>
        <v>0</v>
      </c>
      <c r="CJR5">
        <f>Database!CKK29</f>
        <v>0</v>
      </c>
      <c r="CJS5">
        <f>Database!CKL29</f>
        <v>0</v>
      </c>
      <c r="CJT5">
        <f>Database!CKM29</f>
        <v>0</v>
      </c>
      <c r="CJU5">
        <f>Database!CKN29</f>
        <v>0</v>
      </c>
      <c r="CJV5">
        <f>Database!CKO29</f>
        <v>0</v>
      </c>
      <c r="CJW5">
        <f>Database!CKP29</f>
        <v>0</v>
      </c>
      <c r="CJX5">
        <f>Database!CKQ29</f>
        <v>0</v>
      </c>
      <c r="CJY5">
        <f>Database!CKR29</f>
        <v>0</v>
      </c>
      <c r="CJZ5">
        <f>Database!CKS29</f>
        <v>0</v>
      </c>
      <c r="CKA5">
        <f>Database!CKT29</f>
        <v>0</v>
      </c>
      <c r="CKB5">
        <f>Database!CKU29</f>
        <v>0</v>
      </c>
      <c r="CKC5">
        <f>Database!CKV29</f>
        <v>0</v>
      </c>
      <c r="CKD5">
        <f>Database!CKW29</f>
        <v>0</v>
      </c>
      <c r="CKE5">
        <f>Database!CKX29</f>
        <v>0</v>
      </c>
      <c r="CKF5">
        <f>Database!CKY29</f>
        <v>0</v>
      </c>
      <c r="CKG5">
        <f>Database!CKZ29</f>
        <v>0</v>
      </c>
      <c r="CKH5">
        <f>Database!CLA29</f>
        <v>0</v>
      </c>
      <c r="CKI5">
        <f>Database!CLB29</f>
        <v>0</v>
      </c>
      <c r="CKJ5">
        <f>Database!CLC29</f>
        <v>0</v>
      </c>
      <c r="CKK5">
        <f>Database!CLD29</f>
        <v>0</v>
      </c>
      <c r="CKL5">
        <f>Database!CLE29</f>
        <v>0</v>
      </c>
      <c r="CKM5">
        <f>Database!CLF29</f>
        <v>0</v>
      </c>
      <c r="CKN5">
        <f>Database!CLG29</f>
        <v>0</v>
      </c>
      <c r="CKO5">
        <f>Database!CLH29</f>
        <v>0</v>
      </c>
      <c r="CKP5">
        <f>Database!CLI29</f>
        <v>0</v>
      </c>
      <c r="CKQ5">
        <f>Database!CLJ29</f>
        <v>0</v>
      </c>
      <c r="CKR5">
        <f>Database!CLK29</f>
        <v>0</v>
      </c>
      <c r="CKS5">
        <f>Database!CLL29</f>
        <v>0</v>
      </c>
      <c r="CKT5">
        <f>Database!CLM29</f>
        <v>0</v>
      </c>
      <c r="CKU5">
        <f>Database!CLN29</f>
        <v>0</v>
      </c>
      <c r="CKV5">
        <f>Database!CLO29</f>
        <v>0</v>
      </c>
      <c r="CKW5">
        <f>Database!CLP29</f>
        <v>0</v>
      </c>
      <c r="CKX5">
        <f>Database!CLQ29</f>
        <v>0</v>
      </c>
      <c r="CKY5">
        <f>Database!CLR29</f>
        <v>0</v>
      </c>
      <c r="CKZ5">
        <f>Database!CLS29</f>
        <v>0</v>
      </c>
      <c r="CLA5">
        <f>Database!CLT29</f>
        <v>0</v>
      </c>
      <c r="CLB5">
        <f>Database!CLU29</f>
        <v>0</v>
      </c>
      <c r="CLC5">
        <f>Database!CLV29</f>
        <v>0</v>
      </c>
      <c r="CLD5">
        <f>Database!CLW29</f>
        <v>0</v>
      </c>
      <c r="CLE5">
        <f>Database!CLX29</f>
        <v>0</v>
      </c>
      <c r="CLF5">
        <f>Database!CLY29</f>
        <v>0</v>
      </c>
      <c r="CLG5">
        <f>Database!CLZ29</f>
        <v>0</v>
      </c>
      <c r="CLH5">
        <f>Database!CMA29</f>
        <v>0</v>
      </c>
      <c r="CLI5">
        <f>Database!CMB29</f>
        <v>0</v>
      </c>
      <c r="CLJ5">
        <f>Database!CMC29</f>
        <v>0</v>
      </c>
      <c r="CLK5">
        <f>Database!CMD29</f>
        <v>0</v>
      </c>
      <c r="CLL5">
        <f>Database!CME29</f>
        <v>0</v>
      </c>
      <c r="CLM5">
        <f>Database!CMF29</f>
        <v>0</v>
      </c>
      <c r="CLN5">
        <f>Database!CMG29</f>
        <v>0</v>
      </c>
      <c r="CLO5">
        <f>Database!CMH29</f>
        <v>0</v>
      </c>
      <c r="CLP5">
        <f>Database!CMI29</f>
        <v>0</v>
      </c>
      <c r="CLQ5">
        <f>Database!CMJ29</f>
        <v>0</v>
      </c>
      <c r="CLR5">
        <f>Database!CMK29</f>
        <v>0</v>
      </c>
      <c r="CLS5">
        <f>Database!CML29</f>
        <v>0</v>
      </c>
      <c r="CLT5">
        <f>Database!CMM29</f>
        <v>0</v>
      </c>
      <c r="CLU5">
        <f>Database!CMN29</f>
        <v>0</v>
      </c>
      <c r="CLV5">
        <f>Database!CMO29</f>
        <v>0</v>
      </c>
      <c r="CLW5">
        <f>Database!CMP29</f>
        <v>0</v>
      </c>
      <c r="CLX5">
        <f>Database!CMQ29</f>
        <v>0</v>
      </c>
      <c r="CLY5">
        <f>Database!CMR29</f>
        <v>0</v>
      </c>
      <c r="CLZ5">
        <f>Database!CMS29</f>
        <v>0</v>
      </c>
      <c r="CMA5">
        <f>Database!CMT29</f>
        <v>0</v>
      </c>
      <c r="CMB5">
        <f>Database!CMU29</f>
        <v>0</v>
      </c>
      <c r="CMC5">
        <f>Database!CMV29</f>
        <v>0</v>
      </c>
      <c r="CMD5">
        <f>Database!CMW29</f>
        <v>0</v>
      </c>
      <c r="CME5">
        <f>Database!CMX29</f>
        <v>0</v>
      </c>
      <c r="CMF5">
        <f>Database!CMY29</f>
        <v>0</v>
      </c>
      <c r="CMG5">
        <f>Database!CMZ29</f>
        <v>0</v>
      </c>
      <c r="CMH5">
        <f>Database!CNA29</f>
        <v>0</v>
      </c>
      <c r="CMI5">
        <f>Database!CNB29</f>
        <v>0</v>
      </c>
      <c r="CMJ5">
        <f>Database!CNC29</f>
        <v>0</v>
      </c>
      <c r="CMK5">
        <f>Database!CND29</f>
        <v>0</v>
      </c>
      <c r="CML5">
        <f>Database!CNE29</f>
        <v>0</v>
      </c>
      <c r="CMM5">
        <f>Database!CNF29</f>
        <v>0</v>
      </c>
      <c r="CMN5">
        <f>Database!CNG29</f>
        <v>0</v>
      </c>
      <c r="CMO5">
        <f>Database!CNH29</f>
        <v>0</v>
      </c>
      <c r="CMP5">
        <f>Database!CNI29</f>
        <v>0</v>
      </c>
      <c r="CMQ5">
        <f>Database!CNJ29</f>
        <v>0</v>
      </c>
      <c r="CMR5">
        <f>Database!CNK29</f>
        <v>0</v>
      </c>
      <c r="CMS5">
        <f>Database!CNL29</f>
        <v>0</v>
      </c>
      <c r="CMT5">
        <f>Database!CNM29</f>
        <v>0</v>
      </c>
      <c r="CMU5">
        <f>Database!CNN29</f>
        <v>0</v>
      </c>
      <c r="CMV5">
        <f>Database!CNO29</f>
        <v>0</v>
      </c>
      <c r="CMW5">
        <f>Database!CNP29</f>
        <v>0</v>
      </c>
      <c r="CMX5">
        <f>Database!CNQ29</f>
        <v>0</v>
      </c>
      <c r="CMY5">
        <f>Database!CNR29</f>
        <v>0</v>
      </c>
      <c r="CMZ5">
        <f>Database!CNS29</f>
        <v>0</v>
      </c>
      <c r="CNA5">
        <f>Database!CNT29</f>
        <v>0</v>
      </c>
      <c r="CNB5">
        <f>Database!CNU29</f>
        <v>0</v>
      </c>
      <c r="CNC5">
        <f>Database!CNV29</f>
        <v>0</v>
      </c>
      <c r="CND5">
        <f>Database!CNW29</f>
        <v>0</v>
      </c>
      <c r="CNE5">
        <f>Database!CNX29</f>
        <v>0</v>
      </c>
      <c r="CNF5">
        <f>Database!CNY29</f>
        <v>0</v>
      </c>
      <c r="CNG5">
        <f>Database!CNZ29</f>
        <v>0</v>
      </c>
      <c r="CNH5">
        <f>Database!COA29</f>
        <v>0</v>
      </c>
      <c r="CNI5">
        <f>Database!COB29</f>
        <v>0</v>
      </c>
      <c r="CNJ5">
        <f>Database!COC29</f>
        <v>0</v>
      </c>
      <c r="CNK5">
        <f>Database!COD29</f>
        <v>0</v>
      </c>
      <c r="CNL5">
        <f>Database!COE29</f>
        <v>0</v>
      </c>
      <c r="CNM5">
        <f>Database!COF29</f>
        <v>0</v>
      </c>
      <c r="CNN5">
        <f>Database!COG29</f>
        <v>0</v>
      </c>
      <c r="CNO5">
        <f>Database!COH29</f>
        <v>0</v>
      </c>
      <c r="CNP5">
        <f>Database!COI29</f>
        <v>0</v>
      </c>
      <c r="CNQ5">
        <f>Database!COJ29</f>
        <v>0</v>
      </c>
      <c r="CNR5">
        <f>Database!COK29</f>
        <v>0</v>
      </c>
      <c r="CNS5">
        <f>Database!COL29</f>
        <v>0</v>
      </c>
      <c r="CNT5">
        <f>Database!COM29</f>
        <v>0</v>
      </c>
      <c r="CNU5">
        <f>Database!CON29</f>
        <v>0</v>
      </c>
      <c r="CNV5">
        <f>Database!COO29</f>
        <v>0</v>
      </c>
      <c r="CNW5">
        <f>Database!COP29</f>
        <v>0</v>
      </c>
      <c r="CNX5">
        <f>Database!COQ29</f>
        <v>0</v>
      </c>
      <c r="CNY5">
        <f>Database!COR29</f>
        <v>0</v>
      </c>
      <c r="CNZ5">
        <f>Database!COS29</f>
        <v>0</v>
      </c>
      <c r="COA5">
        <f>Database!COT29</f>
        <v>0</v>
      </c>
      <c r="COB5">
        <f>Database!COU29</f>
        <v>0</v>
      </c>
      <c r="COC5">
        <f>Database!COV29</f>
        <v>0</v>
      </c>
      <c r="COD5">
        <f>Database!COW29</f>
        <v>0</v>
      </c>
      <c r="COE5">
        <f>Database!COX29</f>
        <v>0</v>
      </c>
      <c r="COF5">
        <f>Database!COY29</f>
        <v>0</v>
      </c>
      <c r="COG5">
        <f>Database!COZ29</f>
        <v>0</v>
      </c>
      <c r="COH5">
        <f>Database!CPA29</f>
        <v>0</v>
      </c>
      <c r="COI5">
        <f>Database!CPB29</f>
        <v>0</v>
      </c>
      <c r="COJ5">
        <f>Database!CPC29</f>
        <v>0</v>
      </c>
      <c r="COK5">
        <f>Database!CPD29</f>
        <v>0</v>
      </c>
      <c r="COL5">
        <f>Database!CPE29</f>
        <v>0</v>
      </c>
      <c r="COM5">
        <f>Database!CPF29</f>
        <v>0</v>
      </c>
      <c r="CON5">
        <f>Database!CPG29</f>
        <v>0</v>
      </c>
      <c r="COO5">
        <f>Database!CPH29</f>
        <v>0</v>
      </c>
      <c r="COP5">
        <f>Database!CPI29</f>
        <v>0</v>
      </c>
      <c r="COQ5">
        <f>Database!CPJ29</f>
        <v>0</v>
      </c>
      <c r="COR5">
        <f>Database!CPK29</f>
        <v>0</v>
      </c>
      <c r="COS5">
        <f>Database!CPL29</f>
        <v>0</v>
      </c>
      <c r="COT5">
        <f>Database!CPM29</f>
        <v>0</v>
      </c>
      <c r="COU5">
        <f>Database!CPN29</f>
        <v>0</v>
      </c>
      <c r="COV5">
        <f>Database!CPO29</f>
        <v>0</v>
      </c>
      <c r="COW5">
        <f>Database!CPP29</f>
        <v>0</v>
      </c>
      <c r="COX5">
        <f>Database!CPQ29</f>
        <v>0</v>
      </c>
      <c r="COY5">
        <f>Database!CPR29</f>
        <v>0</v>
      </c>
      <c r="COZ5">
        <f>Database!CPS29</f>
        <v>0</v>
      </c>
      <c r="CPA5">
        <f>Database!CPT29</f>
        <v>0</v>
      </c>
      <c r="CPB5">
        <f>Database!CPU29</f>
        <v>0</v>
      </c>
      <c r="CPC5">
        <f>Database!CPV29</f>
        <v>0</v>
      </c>
      <c r="CPD5">
        <f>Database!CPW29</f>
        <v>0</v>
      </c>
      <c r="CPE5">
        <f>Database!CPX29</f>
        <v>0</v>
      </c>
      <c r="CPF5">
        <f>Database!CPY29</f>
        <v>0</v>
      </c>
      <c r="CPG5">
        <f>Database!CPZ29</f>
        <v>0</v>
      </c>
      <c r="CPH5">
        <f>Database!CQA29</f>
        <v>0</v>
      </c>
      <c r="CPI5">
        <f>Database!CQB29</f>
        <v>0</v>
      </c>
      <c r="CPJ5">
        <f>Database!CQC29</f>
        <v>0</v>
      </c>
      <c r="CPK5">
        <f>Database!CQD29</f>
        <v>0</v>
      </c>
      <c r="CPL5">
        <f>Database!CQE29</f>
        <v>0</v>
      </c>
      <c r="CPM5">
        <f>Database!CQF29</f>
        <v>0</v>
      </c>
      <c r="CPN5">
        <f>Database!CQG29</f>
        <v>0</v>
      </c>
      <c r="CPO5">
        <f>Database!CQH29</f>
        <v>0</v>
      </c>
      <c r="CPP5">
        <f>Database!CQI29</f>
        <v>0</v>
      </c>
      <c r="CPQ5">
        <f>Database!CQJ29</f>
        <v>0</v>
      </c>
      <c r="CPR5">
        <f>Database!CQK29</f>
        <v>0</v>
      </c>
      <c r="CPS5">
        <f>Database!CQL29</f>
        <v>0</v>
      </c>
      <c r="CPT5">
        <f>Database!CQM29</f>
        <v>0</v>
      </c>
      <c r="CPU5">
        <f>Database!CQN29</f>
        <v>0</v>
      </c>
      <c r="CPV5">
        <f>Database!CQO29</f>
        <v>0</v>
      </c>
      <c r="CPW5">
        <f>Database!CQP29</f>
        <v>0</v>
      </c>
      <c r="CPX5">
        <f>Database!CQQ29</f>
        <v>0</v>
      </c>
      <c r="CPY5">
        <f>Database!CQR29</f>
        <v>0</v>
      </c>
      <c r="CPZ5">
        <f>Database!CQS29</f>
        <v>0</v>
      </c>
      <c r="CQA5">
        <f>Database!CQT29</f>
        <v>0</v>
      </c>
      <c r="CQB5">
        <f>Database!CQU29</f>
        <v>0</v>
      </c>
      <c r="CQC5">
        <f>Database!CQV29</f>
        <v>0</v>
      </c>
      <c r="CQD5">
        <f>Database!CQW29</f>
        <v>0</v>
      </c>
      <c r="CQE5">
        <f>Database!CQX29</f>
        <v>0</v>
      </c>
      <c r="CQF5">
        <f>Database!CQY29</f>
        <v>0</v>
      </c>
      <c r="CQG5">
        <f>Database!CQZ29</f>
        <v>0</v>
      </c>
      <c r="CQH5">
        <f>Database!CRA29</f>
        <v>0</v>
      </c>
      <c r="CQI5">
        <f>Database!CRB29</f>
        <v>0</v>
      </c>
      <c r="CQJ5">
        <f>Database!CRC29</f>
        <v>0</v>
      </c>
      <c r="CQK5">
        <f>Database!CRD29</f>
        <v>0</v>
      </c>
      <c r="CQL5">
        <f>Database!CRE29</f>
        <v>0</v>
      </c>
      <c r="CQM5">
        <f>Database!CRF29</f>
        <v>0</v>
      </c>
      <c r="CQN5">
        <f>Database!CRG29</f>
        <v>0</v>
      </c>
      <c r="CQO5">
        <f>Database!CRH29</f>
        <v>0</v>
      </c>
      <c r="CQP5">
        <f>Database!CRI29</f>
        <v>0</v>
      </c>
      <c r="CQQ5">
        <f>Database!CRJ29</f>
        <v>0</v>
      </c>
      <c r="CQR5">
        <f>Database!CRK29</f>
        <v>0</v>
      </c>
      <c r="CQS5">
        <f>Database!CRL29</f>
        <v>0</v>
      </c>
      <c r="CQT5">
        <f>Database!CRM29</f>
        <v>0</v>
      </c>
      <c r="CQU5">
        <f>Database!CRN29</f>
        <v>0</v>
      </c>
      <c r="CQV5">
        <f>Database!CRO29</f>
        <v>0</v>
      </c>
      <c r="CQW5">
        <f>Database!CRP29</f>
        <v>0</v>
      </c>
      <c r="CQX5">
        <f>Database!CRQ29</f>
        <v>0</v>
      </c>
      <c r="CQY5">
        <f>Database!CRR29</f>
        <v>0</v>
      </c>
      <c r="CQZ5">
        <f>Database!CRS29</f>
        <v>0</v>
      </c>
      <c r="CRA5">
        <f>Database!CRT29</f>
        <v>0</v>
      </c>
      <c r="CRB5">
        <f>Database!CRU29</f>
        <v>0</v>
      </c>
      <c r="CRC5">
        <f>Database!CRV29</f>
        <v>0</v>
      </c>
      <c r="CRD5">
        <f>Database!CRW29</f>
        <v>0</v>
      </c>
      <c r="CRE5">
        <f>Database!CRX29</f>
        <v>0</v>
      </c>
      <c r="CRF5">
        <f>Database!CRY29</f>
        <v>0</v>
      </c>
      <c r="CRG5">
        <f>Database!CRZ29</f>
        <v>0</v>
      </c>
      <c r="CRH5">
        <f>Database!CSA29</f>
        <v>0</v>
      </c>
      <c r="CRI5">
        <f>Database!CSB29</f>
        <v>0</v>
      </c>
      <c r="CRJ5">
        <f>Database!CSC29</f>
        <v>0</v>
      </c>
      <c r="CRK5">
        <f>Database!CSD29</f>
        <v>0</v>
      </c>
      <c r="CRL5">
        <f>Database!CSE29</f>
        <v>0</v>
      </c>
      <c r="CRM5">
        <f>Database!CSF29</f>
        <v>0</v>
      </c>
      <c r="CRN5">
        <f>Database!CSG29</f>
        <v>0</v>
      </c>
      <c r="CRO5">
        <f>Database!CSH29</f>
        <v>0</v>
      </c>
      <c r="CRP5">
        <f>Database!CSI29</f>
        <v>0</v>
      </c>
      <c r="CRQ5">
        <f>Database!CSJ29</f>
        <v>0</v>
      </c>
      <c r="CRR5">
        <f>Database!CSK29</f>
        <v>0</v>
      </c>
      <c r="CRS5">
        <f>Database!CSL29</f>
        <v>0</v>
      </c>
      <c r="CRT5">
        <f>Database!CSM29</f>
        <v>0</v>
      </c>
      <c r="CRU5">
        <f>Database!CSN29</f>
        <v>0</v>
      </c>
      <c r="CRV5">
        <f>Database!CSO29</f>
        <v>0</v>
      </c>
      <c r="CRW5">
        <f>Database!CSP29</f>
        <v>0</v>
      </c>
      <c r="CRX5">
        <f>Database!CSQ29</f>
        <v>0</v>
      </c>
      <c r="CRY5">
        <f>Database!CSR29</f>
        <v>0</v>
      </c>
      <c r="CRZ5">
        <f>Database!CSS29</f>
        <v>0</v>
      </c>
      <c r="CSA5">
        <f>Database!CST29</f>
        <v>0</v>
      </c>
      <c r="CSB5">
        <f>Database!CSU29</f>
        <v>0</v>
      </c>
      <c r="CSC5">
        <f>Database!CSV29</f>
        <v>0</v>
      </c>
      <c r="CSD5">
        <f>Database!CSW29</f>
        <v>0</v>
      </c>
      <c r="CSE5">
        <f>Database!CSX29</f>
        <v>0</v>
      </c>
      <c r="CSF5">
        <f>Database!CSY29</f>
        <v>0</v>
      </c>
      <c r="CSG5">
        <f>Database!CSZ29</f>
        <v>0</v>
      </c>
      <c r="CSH5">
        <f>Database!CTA29</f>
        <v>0</v>
      </c>
      <c r="CSI5">
        <f>Database!CTB29</f>
        <v>0</v>
      </c>
      <c r="CSJ5">
        <f>Database!CTC29</f>
        <v>0</v>
      </c>
      <c r="CSK5">
        <f>Database!CTD29</f>
        <v>0</v>
      </c>
      <c r="CSL5">
        <f>Database!CTE29</f>
        <v>0</v>
      </c>
      <c r="CSM5">
        <f>Database!CTF29</f>
        <v>0</v>
      </c>
      <c r="CSN5">
        <f>Database!CTG29</f>
        <v>0</v>
      </c>
      <c r="CSO5">
        <f>Database!CTH29</f>
        <v>0</v>
      </c>
      <c r="CSP5">
        <f>Database!CTI29</f>
        <v>0</v>
      </c>
      <c r="CSQ5">
        <f>Database!CTJ29</f>
        <v>0</v>
      </c>
      <c r="CSR5">
        <f>Database!CTK29</f>
        <v>0</v>
      </c>
      <c r="CSS5">
        <f>Database!CTL29</f>
        <v>0</v>
      </c>
      <c r="CST5">
        <f>Database!CTM29</f>
        <v>0</v>
      </c>
      <c r="CSU5">
        <f>Database!CTN29</f>
        <v>0</v>
      </c>
      <c r="CSV5">
        <f>Database!CTO29</f>
        <v>0</v>
      </c>
      <c r="CSW5">
        <f>Database!CTP29</f>
        <v>0</v>
      </c>
      <c r="CSX5">
        <f>Database!CTQ29</f>
        <v>0</v>
      </c>
      <c r="CSY5">
        <f>Database!CTR29</f>
        <v>0</v>
      </c>
      <c r="CSZ5">
        <f>Database!CTS29</f>
        <v>0</v>
      </c>
      <c r="CTA5">
        <f>Database!CTT29</f>
        <v>0</v>
      </c>
      <c r="CTB5">
        <f>Database!CTU29</f>
        <v>0</v>
      </c>
      <c r="CTC5">
        <f>Database!CTV29</f>
        <v>0</v>
      </c>
      <c r="CTD5">
        <f>Database!CTW29</f>
        <v>0</v>
      </c>
      <c r="CTE5">
        <f>Database!CTX29</f>
        <v>0</v>
      </c>
      <c r="CTF5">
        <f>Database!CTY29</f>
        <v>0</v>
      </c>
      <c r="CTG5">
        <f>Database!CTZ29</f>
        <v>0</v>
      </c>
      <c r="CTH5">
        <f>Database!CUA29</f>
        <v>0</v>
      </c>
      <c r="CTI5">
        <f>Database!CUB29</f>
        <v>0</v>
      </c>
      <c r="CTJ5">
        <f>Database!CUC29</f>
        <v>0</v>
      </c>
      <c r="CTK5">
        <f>Database!CUD29</f>
        <v>0</v>
      </c>
      <c r="CTL5">
        <f>Database!CUE29</f>
        <v>0</v>
      </c>
      <c r="CTM5">
        <f>Database!CUF29</f>
        <v>0</v>
      </c>
      <c r="CTN5">
        <f>Database!CUG29</f>
        <v>0</v>
      </c>
      <c r="CTO5">
        <f>Database!CUH29</f>
        <v>0</v>
      </c>
      <c r="CTP5">
        <f>Database!CUI29</f>
        <v>0</v>
      </c>
      <c r="CTQ5">
        <f>Database!CUJ29</f>
        <v>0</v>
      </c>
      <c r="CTR5">
        <f>Database!CUK29</f>
        <v>0</v>
      </c>
      <c r="CTS5">
        <f>Database!CUL29</f>
        <v>0</v>
      </c>
      <c r="CTT5">
        <f>Database!CUM29</f>
        <v>0</v>
      </c>
      <c r="CTU5">
        <f>Database!CUN29</f>
        <v>0</v>
      </c>
      <c r="CTV5">
        <f>Database!CUO29</f>
        <v>0</v>
      </c>
      <c r="CTW5">
        <f>Database!CUP29</f>
        <v>0</v>
      </c>
      <c r="CTX5">
        <f>Database!CUQ29</f>
        <v>0</v>
      </c>
      <c r="CTY5">
        <f>Database!CUR29</f>
        <v>0</v>
      </c>
      <c r="CTZ5">
        <f>Database!CUS29</f>
        <v>0</v>
      </c>
      <c r="CUA5">
        <f>Database!CUT29</f>
        <v>0</v>
      </c>
      <c r="CUB5">
        <f>Database!CUU29</f>
        <v>0</v>
      </c>
      <c r="CUC5">
        <f>Database!CUV29</f>
        <v>0</v>
      </c>
      <c r="CUD5">
        <f>Database!CUW29</f>
        <v>0</v>
      </c>
      <c r="CUE5">
        <f>Database!CUX29</f>
        <v>0</v>
      </c>
      <c r="CUF5">
        <f>Database!CUY29</f>
        <v>0</v>
      </c>
      <c r="CUG5">
        <f>Database!CUZ29</f>
        <v>0</v>
      </c>
      <c r="CUH5">
        <f>Database!CVA29</f>
        <v>0</v>
      </c>
      <c r="CUI5">
        <f>Database!CVB29</f>
        <v>0</v>
      </c>
      <c r="CUJ5">
        <f>Database!CVC29</f>
        <v>0</v>
      </c>
      <c r="CUK5">
        <f>Database!CVD29</f>
        <v>0</v>
      </c>
      <c r="CUL5">
        <f>Database!CVE29</f>
        <v>0</v>
      </c>
      <c r="CUM5">
        <f>Database!CVF29</f>
        <v>0</v>
      </c>
      <c r="CUN5">
        <f>Database!CVG29</f>
        <v>0</v>
      </c>
      <c r="CUO5">
        <f>Database!CVH29</f>
        <v>0</v>
      </c>
      <c r="CUP5">
        <f>Database!CVI29</f>
        <v>0</v>
      </c>
      <c r="CUQ5">
        <f>Database!CVJ29</f>
        <v>0</v>
      </c>
      <c r="CUR5">
        <f>Database!CVK29</f>
        <v>0</v>
      </c>
      <c r="CUS5">
        <f>Database!CVL29</f>
        <v>0</v>
      </c>
      <c r="CUT5">
        <f>Database!CVM29</f>
        <v>0</v>
      </c>
      <c r="CUU5">
        <f>Database!CVN29</f>
        <v>0</v>
      </c>
      <c r="CUV5">
        <f>Database!CVO29</f>
        <v>0</v>
      </c>
      <c r="CUW5">
        <f>Database!CVP29</f>
        <v>0</v>
      </c>
      <c r="CUX5">
        <f>Database!CVQ29</f>
        <v>0</v>
      </c>
      <c r="CUY5">
        <f>Database!CVR29</f>
        <v>0</v>
      </c>
      <c r="CUZ5">
        <f>Database!CVS29</f>
        <v>0</v>
      </c>
      <c r="CVA5">
        <f>Database!CVT29</f>
        <v>0</v>
      </c>
      <c r="CVB5">
        <f>Database!CVU29</f>
        <v>0</v>
      </c>
      <c r="CVC5">
        <f>Database!CVV29</f>
        <v>0</v>
      </c>
      <c r="CVD5">
        <f>Database!CVW29</f>
        <v>0</v>
      </c>
      <c r="CVE5">
        <f>Database!CVX29</f>
        <v>0</v>
      </c>
      <c r="CVF5">
        <f>Database!CVY29</f>
        <v>0</v>
      </c>
      <c r="CVG5">
        <f>Database!CVZ29</f>
        <v>0</v>
      </c>
      <c r="CVH5">
        <f>Database!CWA29</f>
        <v>0</v>
      </c>
      <c r="CVI5">
        <f>Database!CWB29</f>
        <v>0</v>
      </c>
      <c r="CVJ5">
        <f>Database!CWC29</f>
        <v>0</v>
      </c>
      <c r="CVK5">
        <f>Database!CWD29</f>
        <v>0</v>
      </c>
      <c r="CVL5">
        <f>Database!CWE29</f>
        <v>0</v>
      </c>
      <c r="CVM5">
        <f>Database!CWF29</f>
        <v>0</v>
      </c>
      <c r="CVN5">
        <f>Database!CWG29</f>
        <v>0</v>
      </c>
      <c r="CVO5">
        <f>Database!CWH29</f>
        <v>0</v>
      </c>
      <c r="CVP5">
        <f>Database!CWI29</f>
        <v>0</v>
      </c>
      <c r="CVQ5">
        <f>Database!CWJ29</f>
        <v>0</v>
      </c>
      <c r="CVR5">
        <f>Database!CWK29</f>
        <v>0</v>
      </c>
      <c r="CVS5">
        <f>Database!CWL29</f>
        <v>0</v>
      </c>
      <c r="CVT5">
        <f>Database!CWM29</f>
        <v>0</v>
      </c>
      <c r="CVU5">
        <f>Database!CWN29</f>
        <v>0</v>
      </c>
      <c r="CVV5">
        <f>Database!CWO29</f>
        <v>0</v>
      </c>
      <c r="CVW5">
        <f>Database!CWP29</f>
        <v>0</v>
      </c>
      <c r="CVX5">
        <f>Database!CWQ29</f>
        <v>0</v>
      </c>
      <c r="CVY5">
        <f>Database!CWR29</f>
        <v>0</v>
      </c>
      <c r="CVZ5">
        <f>Database!CWS29</f>
        <v>0</v>
      </c>
      <c r="CWA5">
        <f>Database!CWT29</f>
        <v>0</v>
      </c>
      <c r="CWB5">
        <f>Database!CWU29</f>
        <v>0</v>
      </c>
      <c r="CWC5">
        <f>Database!CWV29</f>
        <v>0</v>
      </c>
      <c r="CWD5">
        <f>Database!CWW29</f>
        <v>0</v>
      </c>
      <c r="CWE5">
        <f>Database!CWX29</f>
        <v>0</v>
      </c>
      <c r="CWF5">
        <f>Database!CWY29</f>
        <v>0</v>
      </c>
      <c r="CWG5">
        <f>Database!CWZ29</f>
        <v>0</v>
      </c>
      <c r="CWH5">
        <f>Database!CXA29</f>
        <v>0</v>
      </c>
      <c r="CWI5">
        <f>Database!CXB29</f>
        <v>0</v>
      </c>
      <c r="CWJ5">
        <f>Database!CXC29</f>
        <v>0</v>
      </c>
      <c r="CWK5">
        <f>Database!CXD29</f>
        <v>0</v>
      </c>
      <c r="CWL5">
        <f>Database!CXE29</f>
        <v>0</v>
      </c>
      <c r="CWM5">
        <f>Database!CXF29</f>
        <v>0</v>
      </c>
      <c r="CWN5">
        <f>Database!CXG29</f>
        <v>0</v>
      </c>
      <c r="CWO5">
        <f>Database!CXH29</f>
        <v>0</v>
      </c>
      <c r="CWP5">
        <f>Database!CXI29</f>
        <v>0</v>
      </c>
      <c r="CWQ5">
        <f>Database!CXJ29</f>
        <v>0</v>
      </c>
      <c r="CWR5">
        <f>Database!CXK29</f>
        <v>0</v>
      </c>
      <c r="CWS5">
        <f>Database!CXL29</f>
        <v>0</v>
      </c>
      <c r="CWT5">
        <f>Database!CXM29</f>
        <v>0</v>
      </c>
      <c r="CWU5">
        <f>Database!CXN29</f>
        <v>0</v>
      </c>
      <c r="CWV5">
        <f>Database!CXO29</f>
        <v>0</v>
      </c>
      <c r="CWW5">
        <f>Database!CXP29</f>
        <v>0</v>
      </c>
      <c r="CWX5">
        <f>Database!CXQ29</f>
        <v>0</v>
      </c>
      <c r="CWY5">
        <f>Database!CXR29</f>
        <v>0</v>
      </c>
      <c r="CWZ5">
        <f>Database!CXS29</f>
        <v>0</v>
      </c>
      <c r="CXA5">
        <f>Database!CXT29</f>
        <v>0</v>
      </c>
      <c r="CXB5">
        <f>Database!CXU29</f>
        <v>0</v>
      </c>
      <c r="CXC5">
        <f>Database!CXV29</f>
        <v>0</v>
      </c>
      <c r="CXD5">
        <f>Database!CXW29</f>
        <v>0</v>
      </c>
      <c r="CXE5">
        <f>Database!CXX29</f>
        <v>0</v>
      </c>
      <c r="CXF5">
        <f>Database!CXY29</f>
        <v>0</v>
      </c>
      <c r="CXG5">
        <f>Database!CXZ29</f>
        <v>0</v>
      </c>
      <c r="CXH5">
        <f>Database!CYA29</f>
        <v>0</v>
      </c>
      <c r="CXI5">
        <f>Database!CYB29</f>
        <v>0</v>
      </c>
      <c r="CXJ5">
        <f>Database!CYC29</f>
        <v>0</v>
      </c>
      <c r="CXK5">
        <f>Database!CYD29</f>
        <v>0</v>
      </c>
      <c r="CXL5">
        <f>Database!CYE29</f>
        <v>0</v>
      </c>
      <c r="CXM5">
        <f>Database!CYF29</f>
        <v>0</v>
      </c>
      <c r="CXN5">
        <f>Database!CYG29</f>
        <v>0</v>
      </c>
      <c r="CXO5">
        <f>Database!CYH29</f>
        <v>0</v>
      </c>
      <c r="CXP5">
        <f>Database!CYI29</f>
        <v>0</v>
      </c>
      <c r="CXQ5">
        <f>Database!CYJ29</f>
        <v>0</v>
      </c>
      <c r="CXR5">
        <f>Database!CYK29</f>
        <v>0</v>
      </c>
      <c r="CXS5">
        <f>Database!CYL29</f>
        <v>0</v>
      </c>
      <c r="CXT5">
        <f>Database!CYM29</f>
        <v>0</v>
      </c>
      <c r="CXU5">
        <f>Database!CYN29</f>
        <v>0</v>
      </c>
      <c r="CXV5">
        <f>Database!CYO29</f>
        <v>0</v>
      </c>
      <c r="CXW5">
        <f>Database!CYP29</f>
        <v>0</v>
      </c>
      <c r="CXX5">
        <f>Database!CYQ29</f>
        <v>0</v>
      </c>
      <c r="CXY5">
        <f>Database!CYR29</f>
        <v>0</v>
      </c>
      <c r="CXZ5">
        <f>Database!CYS29</f>
        <v>0</v>
      </c>
      <c r="CYA5">
        <f>Database!CYT29</f>
        <v>0</v>
      </c>
      <c r="CYB5">
        <f>Database!CYU29</f>
        <v>0</v>
      </c>
      <c r="CYC5">
        <f>Database!CYV29</f>
        <v>0</v>
      </c>
      <c r="CYD5">
        <f>Database!CYW29</f>
        <v>0</v>
      </c>
      <c r="CYE5">
        <f>Database!CYX29</f>
        <v>0</v>
      </c>
      <c r="CYF5">
        <f>Database!CYY29</f>
        <v>0</v>
      </c>
      <c r="CYG5">
        <f>Database!CYZ29</f>
        <v>0</v>
      </c>
      <c r="CYH5">
        <f>Database!CZA29</f>
        <v>0</v>
      </c>
      <c r="CYI5">
        <f>Database!CZB29</f>
        <v>0</v>
      </c>
      <c r="CYJ5">
        <f>Database!CZC29</f>
        <v>0</v>
      </c>
      <c r="CYK5">
        <f>Database!CZD29</f>
        <v>0</v>
      </c>
      <c r="CYL5">
        <f>Database!CZE29</f>
        <v>0</v>
      </c>
      <c r="CYM5">
        <f>Database!CZF29</f>
        <v>0</v>
      </c>
      <c r="CYN5">
        <f>Database!CZG29</f>
        <v>0</v>
      </c>
      <c r="CYO5">
        <f>Database!CZH29</f>
        <v>0</v>
      </c>
      <c r="CYP5">
        <f>Database!CZI29</f>
        <v>0</v>
      </c>
      <c r="CYQ5">
        <f>Database!CZJ29</f>
        <v>0</v>
      </c>
      <c r="CYR5">
        <f>Database!CZK29</f>
        <v>0</v>
      </c>
      <c r="CYS5">
        <f>Database!CZL29</f>
        <v>0</v>
      </c>
      <c r="CYT5">
        <f>Database!CZM29</f>
        <v>0</v>
      </c>
      <c r="CYU5">
        <f>Database!CZN29</f>
        <v>0</v>
      </c>
      <c r="CYV5">
        <f>Database!CZO29</f>
        <v>0</v>
      </c>
      <c r="CYW5">
        <f>Database!CZP29</f>
        <v>0</v>
      </c>
      <c r="CYX5">
        <f>Database!CZQ29</f>
        <v>0</v>
      </c>
      <c r="CYY5">
        <f>Database!CZR29</f>
        <v>0</v>
      </c>
      <c r="CYZ5">
        <f>Database!CZS29</f>
        <v>0</v>
      </c>
      <c r="CZA5">
        <f>Database!CZT29</f>
        <v>0</v>
      </c>
      <c r="CZB5">
        <f>Database!CZU29</f>
        <v>0</v>
      </c>
      <c r="CZC5">
        <f>Database!CZV29</f>
        <v>0</v>
      </c>
      <c r="CZD5">
        <f>Database!CZW29</f>
        <v>0</v>
      </c>
      <c r="CZE5">
        <f>Database!CZX29</f>
        <v>0</v>
      </c>
      <c r="CZF5">
        <f>Database!CZY29</f>
        <v>0</v>
      </c>
      <c r="CZG5">
        <f>Database!CZZ29</f>
        <v>0</v>
      </c>
      <c r="CZH5">
        <f>Database!DAA29</f>
        <v>0</v>
      </c>
      <c r="CZI5">
        <f>Database!DAB29</f>
        <v>0</v>
      </c>
      <c r="CZJ5">
        <f>Database!DAC29</f>
        <v>0</v>
      </c>
      <c r="CZK5">
        <f>Database!DAD29</f>
        <v>0</v>
      </c>
      <c r="CZL5">
        <f>Database!DAE29</f>
        <v>0</v>
      </c>
      <c r="CZM5">
        <f>Database!DAF29</f>
        <v>0</v>
      </c>
      <c r="CZN5">
        <f>Database!DAG29</f>
        <v>0</v>
      </c>
      <c r="CZO5">
        <f>Database!DAH29</f>
        <v>0</v>
      </c>
      <c r="CZP5">
        <f>Database!DAI29</f>
        <v>0</v>
      </c>
      <c r="CZQ5">
        <f>Database!DAJ29</f>
        <v>0</v>
      </c>
      <c r="CZR5">
        <f>Database!DAK29</f>
        <v>0</v>
      </c>
      <c r="CZS5">
        <f>Database!DAL29</f>
        <v>0</v>
      </c>
      <c r="CZT5">
        <f>Database!DAM29</f>
        <v>0</v>
      </c>
      <c r="CZU5">
        <f>Database!DAN29</f>
        <v>0</v>
      </c>
      <c r="CZV5">
        <f>Database!DAO29</f>
        <v>0</v>
      </c>
      <c r="CZW5">
        <f>Database!DAP29</f>
        <v>0</v>
      </c>
      <c r="CZX5">
        <f>Database!DAQ29</f>
        <v>0</v>
      </c>
      <c r="CZY5">
        <f>Database!DAR29</f>
        <v>0</v>
      </c>
      <c r="CZZ5">
        <f>Database!DAS29</f>
        <v>0</v>
      </c>
      <c r="DAA5">
        <f>Database!DAT29</f>
        <v>0</v>
      </c>
      <c r="DAB5">
        <f>Database!DAU29</f>
        <v>0</v>
      </c>
      <c r="DAC5">
        <f>Database!DAV29</f>
        <v>0</v>
      </c>
      <c r="DAD5">
        <f>Database!DAW29</f>
        <v>0</v>
      </c>
      <c r="DAE5">
        <f>Database!DAX29</f>
        <v>0</v>
      </c>
      <c r="DAF5">
        <f>Database!DAY29</f>
        <v>0</v>
      </c>
      <c r="DAG5">
        <f>Database!DAZ29</f>
        <v>0</v>
      </c>
      <c r="DAH5">
        <f>Database!DBA29</f>
        <v>0</v>
      </c>
      <c r="DAI5">
        <f>Database!DBB29</f>
        <v>0</v>
      </c>
      <c r="DAJ5">
        <f>Database!DBC29</f>
        <v>0</v>
      </c>
      <c r="DAK5">
        <f>Database!DBD29</f>
        <v>0</v>
      </c>
      <c r="DAL5">
        <f>Database!DBE29</f>
        <v>0</v>
      </c>
      <c r="DAM5">
        <f>Database!DBF29</f>
        <v>0</v>
      </c>
      <c r="DAN5">
        <f>Database!DBG29</f>
        <v>0</v>
      </c>
      <c r="DAO5">
        <f>Database!DBH29</f>
        <v>0</v>
      </c>
      <c r="DAP5">
        <f>Database!DBI29</f>
        <v>0</v>
      </c>
      <c r="DAQ5">
        <f>Database!DBJ29</f>
        <v>0</v>
      </c>
      <c r="DAR5">
        <f>Database!DBK29</f>
        <v>0</v>
      </c>
      <c r="DAS5">
        <f>Database!DBL29</f>
        <v>0</v>
      </c>
      <c r="DAT5">
        <f>Database!DBM29</f>
        <v>0</v>
      </c>
      <c r="DAU5">
        <f>Database!DBN29</f>
        <v>0</v>
      </c>
      <c r="DAV5">
        <f>Database!DBO29</f>
        <v>0</v>
      </c>
      <c r="DAW5">
        <f>Database!DBP29</f>
        <v>0</v>
      </c>
      <c r="DAX5">
        <f>Database!DBQ29</f>
        <v>0</v>
      </c>
      <c r="DAY5">
        <f>Database!DBR29</f>
        <v>0</v>
      </c>
      <c r="DAZ5">
        <f>Database!DBS29</f>
        <v>0</v>
      </c>
      <c r="DBA5">
        <f>Database!DBT29</f>
        <v>0</v>
      </c>
      <c r="DBB5">
        <f>Database!DBU29</f>
        <v>0</v>
      </c>
      <c r="DBC5">
        <f>Database!DBV29</f>
        <v>0</v>
      </c>
      <c r="DBD5">
        <f>Database!DBW29</f>
        <v>0</v>
      </c>
      <c r="DBE5">
        <f>Database!DBX29</f>
        <v>0</v>
      </c>
      <c r="DBF5">
        <f>Database!DBY29</f>
        <v>0</v>
      </c>
      <c r="DBG5">
        <f>Database!DBZ29</f>
        <v>0</v>
      </c>
      <c r="DBH5">
        <f>Database!DCA29</f>
        <v>0</v>
      </c>
      <c r="DBI5">
        <f>Database!DCB29</f>
        <v>0</v>
      </c>
      <c r="DBJ5">
        <f>Database!DCC29</f>
        <v>0</v>
      </c>
      <c r="DBK5">
        <f>Database!DCD29</f>
        <v>0</v>
      </c>
      <c r="DBL5">
        <f>Database!DCE29</f>
        <v>0</v>
      </c>
      <c r="DBM5">
        <f>Database!DCF29</f>
        <v>0</v>
      </c>
      <c r="DBN5">
        <f>Database!DCG29</f>
        <v>0</v>
      </c>
      <c r="DBO5">
        <f>Database!DCH29</f>
        <v>0</v>
      </c>
      <c r="DBP5">
        <f>Database!DCI29</f>
        <v>0</v>
      </c>
      <c r="DBQ5">
        <f>Database!DCJ29</f>
        <v>0</v>
      </c>
      <c r="DBR5">
        <f>Database!DCK29</f>
        <v>0</v>
      </c>
      <c r="DBS5">
        <f>Database!DCL29</f>
        <v>0</v>
      </c>
      <c r="DBT5">
        <f>Database!DCM29</f>
        <v>0</v>
      </c>
      <c r="DBU5">
        <f>Database!DCN29</f>
        <v>0</v>
      </c>
      <c r="DBV5">
        <f>Database!DCO29</f>
        <v>0</v>
      </c>
      <c r="DBW5">
        <f>Database!DCP29</f>
        <v>0</v>
      </c>
      <c r="DBX5">
        <f>Database!DCQ29</f>
        <v>0</v>
      </c>
      <c r="DBY5">
        <f>Database!DCR29</f>
        <v>0</v>
      </c>
      <c r="DBZ5">
        <f>Database!DCS29</f>
        <v>0</v>
      </c>
      <c r="DCA5">
        <f>Database!DCT29</f>
        <v>0</v>
      </c>
      <c r="DCB5">
        <f>Database!DCU29</f>
        <v>0</v>
      </c>
      <c r="DCC5">
        <f>Database!DCV29</f>
        <v>0</v>
      </c>
      <c r="DCD5">
        <f>Database!DCW29</f>
        <v>0</v>
      </c>
      <c r="DCE5">
        <f>Database!DCX29</f>
        <v>0</v>
      </c>
      <c r="DCF5">
        <f>Database!DCY29</f>
        <v>0</v>
      </c>
      <c r="DCG5">
        <f>Database!DCZ29</f>
        <v>0</v>
      </c>
      <c r="DCH5">
        <f>Database!DDA29</f>
        <v>0</v>
      </c>
      <c r="DCI5">
        <f>Database!DDB29</f>
        <v>0</v>
      </c>
      <c r="DCJ5">
        <f>Database!DDC29</f>
        <v>0</v>
      </c>
      <c r="DCK5">
        <f>Database!DDD29</f>
        <v>0</v>
      </c>
      <c r="DCL5">
        <f>Database!DDE29</f>
        <v>0</v>
      </c>
      <c r="DCM5">
        <f>Database!DDF29</f>
        <v>0</v>
      </c>
      <c r="DCN5">
        <f>Database!DDG29</f>
        <v>0</v>
      </c>
      <c r="DCO5">
        <f>Database!DDH29</f>
        <v>0</v>
      </c>
      <c r="DCP5">
        <f>Database!DDI29</f>
        <v>0</v>
      </c>
      <c r="DCQ5">
        <f>Database!DDJ29</f>
        <v>0</v>
      </c>
      <c r="DCR5">
        <f>Database!DDK29</f>
        <v>0</v>
      </c>
      <c r="DCS5">
        <f>Database!DDL29</f>
        <v>0</v>
      </c>
      <c r="DCT5">
        <f>Database!DDM29</f>
        <v>0</v>
      </c>
      <c r="DCU5">
        <f>Database!DDN29</f>
        <v>0</v>
      </c>
      <c r="DCV5">
        <f>Database!DDO29</f>
        <v>0</v>
      </c>
      <c r="DCW5">
        <f>Database!DDP29</f>
        <v>0</v>
      </c>
      <c r="DCX5">
        <f>Database!DDQ29</f>
        <v>0</v>
      </c>
      <c r="DCY5">
        <f>Database!DDR29</f>
        <v>0</v>
      </c>
      <c r="DCZ5">
        <f>Database!DDS29</f>
        <v>0</v>
      </c>
      <c r="DDA5">
        <f>Database!DDT29</f>
        <v>0</v>
      </c>
      <c r="DDB5">
        <f>Database!DDU29</f>
        <v>0</v>
      </c>
      <c r="DDC5">
        <f>Database!DDV29</f>
        <v>0</v>
      </c>
      <c r="DDD5">
        <f>Database!DDW29</f>
        <v>0</v>
      </c>
      <c r="DDE5">
        <f>Database!DDX29</f>
        <v>0</v>
      </c>
      <c r="DDF5">
        <f>Database!DDY29</f>
        <v>0</v>
      </c>
      <c r="DDG5">
        <f>Database!DDZ29</f>
        <v>0</v>
      </c>
      <c r="DDH5">
        <f>Database!DEA29</f>
        <v>0</v>
      </c>
      <c r="DDI5">
        <f>Database!DEB29</f>
        <v>0</v>
      </c>
      <c r="DDJ5">
        <f>Database!DEC29</f>
        <v>0</v>
      </c>
      <c r="DDK5">
        <f>Database!DED29</f>
        <v>0</v>
      </c>
      <c r="DDL5">
        <f>Database!DEE29</f>
        <v>0</v>
      </c>
      <c r="DDM5">
        <f>Database!DEF29</f>
        <v>0</v>
      </c>
      <c r="DDN5">
        <f>Database!DEG29</f>
        <v>0</v>
      </c>
      <c r="DDO5">
        <f>Database!DEH29</f>
        <v>0</v>
      </c>
      <c r="DDP5">
        <f>Database!DEI29</f>
        <v>0</v>
      </c>
      <c r="DDQ5">
        <f>Database!DEJ29</f>
        <v>0</v>
      </c>
      <c r="DDR5">
        <f>Database!DEK29</f>
        <v>0</v>
      </c>
      <c r="DDS5">
        <f>Database!DEL29</f>
        <v>0</v>
      </c>
      <c r="DDT5">
        <f>Database!DEM29</f>
        <v>0</v>
      </c>
      <c r="DDU5">
        <f>Database!DEN29</f>
        <v>0</v>
      </c>
      <c r="DDV5">
        <f>Database!DEO29</f>
        <v>0</v>
      </c>
      <c r="DDW5">
        <f>Database!DEP29</f>
        <v>0</v>
      </c>
      <c r="DDX5">
        <f>Database!DEQ29</f>
        <v>0</v>
      </c>
      <c r="DDY5">
        <f>Database!DER29</f>
        <v>0</v>
      </c>
      <c r="DDZ5">
        <f>Database!DES29</f>
        <v>0</v>
      </c>
      <c r="DEA5">
        <f>Database!DET29</f>
        <v>0</v>
      </c>
      <c r="DEB5">
        <f>Database!DEU29</f>
        <v>0</v>
      </c>
      <c r="DEC5">
        <f>Database!DEV29</f>
        <v>0</v>
      </c>
      <c r="DED5">
        <f>Database!DEW29</f>
        <v>0</v>
      </c>
      <c r="DEE5">
        <f>Database!DEX29</f>
        <v>0</v>
      </c>
      <c r="DEF5">
        <f>Database!DEY29</f>
        <v>0</v>
      </c>
      <c r="DEG5">
        <f>Database!DEZ29</f>
        <v>0</v>
      </c>
      <c r="DEH5">
        <f>Database!DFA29</f>
        <v>0</v>
      </c>
      <c r="DEI5">
        <f>Database!DFB29</f>
        <v>0</v>
      </c>
      <c r="DEJ5">
        <f>Database!DFC29</f>
        <v>0</v>
      </c>
      <c r="DEK5">
        <f>Database!DFD29</f>
        <v>0</v>
      </c>
      <c r="DEL5">
        <f>Database!DFE29</f>
        <v>0</v>
      </c>
      <c r="DEM5">
        <f>Database!DFF29</f>
        <v>0</v>
      </c>
      <c r="DEN5">
        <f>Database!DFG29</f>
        <v>0</v>
      </c>
      <c r="DEO5">
        <f>Database!DFH29</f>
        <v>0</v>
      </c>
      <c r="DEP5">
        <f>Database!DFI29</f>
        <v>0</v>
      </c>
      <c r="DEQ5">
        <f>Database!DFJ29</f>
        <v>0</v>
      </c>
      <c r="DER5">
        <f>Database!DFK29</f>
        <v>0</v>
      </c>
      <c r="DES5">
        <f>Database!DFL29</f>
        <v>0</v>
      </c>
      <c r="DET5">
        <f>Database!DFM29</f>
        <v>0</v>
      </c>
      <c r="DEU5">
        <f>Database!DFN29</f>
        <v>0</v>
      </c>
      <c r="DEV5">
        <f>Database!DFO29</f>
        <v>0</v>
      </c>
      <c r="DEW5">
        <f>Database!DFP29</f>
        <v>0</v>
      </c>
      <c r="DEX5">
        <f>Database!DFQ29</f>
        <v>0</v>
      </c>
      <c r="DEY5">
        <f>Database!DFR29</f>
        <v>0</v>
      </c>
      <c r="DEZ5">
        <f>Database!DFS29</f>
        <v>0</v>
      </c>
      <c r="DFA5">
        <f>Database!DFT29</f>
        <v>0</v>
      </c>
      <c r="DFB5">
        <f>Database!DFU29</f>
        <v>0</v>
      </c>
      <c r="DFC5">
        <f>Database!DFV29</f>
        <v>0</v>
      </c>
      <c r="DFD5">
        <f>Database!DFW29</f>
        <v>0</v>
      </c>
      <c r="DFE5">
        <f>Database!DFX29</f>
        <v>0</v>
      </c>
      <c r="DFF5">
        <f>Database!DFY29</f>
        <v>0</v>
      </c>
      <c r="DFG5">
        <f>Database!DFZ29</f>
        <v>0</v>
      </c>
      <c r="DFH5">
        <f>Database!DGA29</f>
        <v>0</v>
      </c>
      <c r="DFI5">
        <f>Database!DGB29</f>
        <v>0</v>
      </c>
      <c r="DFJ5">
        <f>Database!DGC29</f>
        <v>0</v>
      </c>
      <c r="DFK5">
        <f>Database!DGD29</f>
        <v>0</v>
      </c>
      <c r="DFL5">
        <f>Database!DGE29</f>
        <v>0</v>
      </c>
      <c r="DFM5">
        <f>Database!DGF29</f>
        <v>0</v>
      </c>
      <c r="DFN5">
        <f>Database!DGG29</f>
        <v>0</v>
      </c>
      <c r="DFO5">
        <f>Database!DGH29</f>
        <v>0</v>
      </c>
      <c r="DFP5">
        <f>Database!DGI29</f>
        <v>0</v>
      </c>
      <c r="DFQ5">
        <f>Database!DGJ29</f>
        <v>0</v>
      </c>
      <c r="DFR5">
        <f>Database!DGK29</f>
        <v>0</v>
      </c>
      <c r="DFS5">
        <f>Database!DGL29</f>
        <v>0</v>
      </c>
      <c r="DFT5">
        <f>Database!DGM29</f>
        <v>0</v>
      </c>
      <c r="DFU5">
        <f>Database!DGN29</f>
        <v>0</v>
      </c>
      <c r="DFV5">
        <f>Database!DGO29</f>
        <v>0</v>
      </c>
      <c r="DFW5">
        <f>Database!DGP29</f>
        <v>0</v>
      </c>
      <c r="DFX5">
        <f>Database!DGQ29</f>
        <v>0</v>
      </c>
      <c r="DFY5">
        <f>Database!DGR29</f>
        <v>0</v>
      </c>
      <c r="DFZ5">
        <f>Database!DGS29</f>
        <v>0</v>
      </c>
      <c r="DGA5">
        <f>Database!DGT29</f>
        <v>0</v>
      </c>
      <c r="DGB5">
        <f>Database!DGU29</f>
        <v>0</v>
      </c>
      <c r="DGC5">
        <f>Database!DGV29</f>
        <v>0</v>
      </c>
      <c r="DGD5">
        <f>Database!DGW29</f>
        <v>0</v>
      </c>
      <c r="DGE5">
        <f>Database!DGX29</f>
        <v>0</v>
      </c>
      <c r="DGF5">
        <f>Database!DGY29</f>
        <v>0</v>
      </c>
      <c r="DGG5">
        <f>Database!DGZ29</f>
        <v>0</v>
      </c>
      <c r="DGH5">
        <f>Database!DHA29</f>
        <v>0</v>
      </c>
      <c r="DGI5">
        <f>Database!DHB29</f>
        <v>0</v>
      </c>
      <c r="DGJ5">
        <f>Database!DHC29</f>
        <v>0</v>
      </c>
      <c r="DGK5">
        <f>Database!DHD29</f>
        <v>0</v>
      </c>
      <c r="DGL5">
        <f>Database!DHE29</f>
        <v>0</v>
      </c>
      <c r="DGM5">
        <f>Database!DHF29</f>
        <v>0</v>
      </c>
      <c r="DGN5">
        <f>Database!DHG29</f>
        <v>0</v>
      </c>
      <c r="DGO5">
        <f>Database!DHH29</f>
        <v>0</v>
      </c>
      <c r="DGP5">
        <f>Database!DHI29</f>
        <v>0</v>
      </c>
      <c r="DGQ5">
        <f>Database!DHJ29</f>
        <v>0</v>
      </c>
      <c r="DGR5">
        <f>Database!DHK29</f>
        <v>0</v>
      </c>
      <c r="DGS5">
        <f>Database!DHL29</f>
        <v>0</v>
      </c>
      <c r="DGT5">
        <f>Database!DHM29</f>
        <v>0</v>
      </c>
      <c r="DGU5">
        <f>Database!DHN29</f>
        <v>0</v>
      </c>
      <c r="DGV5">
        <f>Database!DHO29</f>
        <v>0</v>
      </c>
      <c r="DGW5">
        <f>Database!DHP29</f>
        <v>0</v>
      </c>
      <c r="DGX5">
        <f>Database!DHQ29</f>
        <v>0</v>
      </c>
      <c r="DGY5">
        <f>Database!DHR29</f>
        <v>0</v>
      </c>
      <c r="DGZ5">
        <f>Database!DHS29</f>
        <v>0</v>
      </c>
      <c r="DHA5">
        <f>Database!DHT29</f>
        <v>0</v>
      </c>
      <c r="DHB5">
        <f>Database!DHU29</f>
        <v>0</v>
      </c>
      <c r="DHC5">
        <f>Database!DHV29</f>
        <v>0</v>
      </c>
      <c r="DHD5">
        <f>Database!DHW29</f>
        <v>0</v>
      </c>
      <c r="DHE5">
        <f>Database!DHX29</f>
        <v>0</v>
      </c>
      <c r="DHF5">
        <f>Database!DHY29</f>
        <v>0</v>
      </c>
      <c r="DHG5">
        <f>Database!DHZ29</f>
        <v>0</v>
      </c>
      <c r="DHH5">
        <f>Database!DIA29</f>
        <v>0</v>
      </c>
      <c r="DHI5">
        <f>Database!DIB29</f>
        <v>0</v>
      </c>
      <c r="DHJ5">
        <f>Database!DIC29</f>
        <v>0</v>
      </c>
      <c r="DHK5">
        <f>Database!DID29</f>
        <v>0</v>
      </c>
      <c r="DHL5">
        <f>Database!DIE29</f>
        <v>0</v>
      </c>
      <c r="DHM5">
        <f>Database!DIF29</f>
        <v>0</v>
      </c>
      <c r="DHN5">
        <f>Database!DIG29</f>
        <v>0</v>
      </c>
      <c r="DHO5">
        <f>Database!DIH29</f>
        <v>0</v>
      </c>
      <c r="DHP5">
        <f>Database!DII29</f>
        <v>0</v>
      </c>
      <c r="DHQ5">
        <f>Database!DIJ29</f>
        <v>0</v>
      </c>
      <c r="DHR5">
        <f>Database!DIK29</f>
        <v>0</v>
      </c>
      <c r="DHS5">
        <f>Database!DIL29</f>
        <v>0</v>
      </c>
      <c r="DHT5">
        <f>Database!DIM29</f>
        <v>0</v>
      </c>
      <c r="DHU5">
        <f>Database!DIN29</f>
        <v>0</v>
      </c>
      <c r="DHV5">
        <f>Database!DIO29</f>
        <v>0</v>
      </c>
      <c r="DHW5">
        <f>Database!DIP29</f>
        <v>0</v>
      </c>
      <c r="DHX5">
        <f>Database!DIQ29</f>
        <v>0</v>
      </c>
      <c r="DHY5">
        <f>Database!DIR29</f>
        <v>0</v>
      </c>
      <c r="DHZ5">
        <f>Database!DIS29</f>
        <v>0</v>
      </c>
      <c r="DIA5">
        <f>Database!DIT29</f>
        <v>0</v>
      </c>
      <c r="DIB5">
        <f>Database!DIU29</f>
        <v>0</v>
      </c>
      <c r="DIC5">
        <f>Database!DIV29</f>
        <v>0</v>
      </c>
      <c r="DID5">
        <f>Database!DIW29</f>
        <v>0</v>
      </c>
      <c r="DIE5">
        <f>Database!DIX29</f>
        <v>0</v>
      </c>
      <c r="DIF5">
        <f>Database!DIY29</f>
        <v>0</v>
      </c>
      <c r="DIG5">
        <f>Database!DIZ29</f>
        <v>0</v>
      </c>
      <c r="DIH5">
        <f>Database!DJA29</f>
        <v>0</v>
      </c>
      <c r="DII5">
        <f>Database!DJB29</f>
        <v>0</v>
      </c>
      <c r="DIJ5">
        <f>Database!DJC29</f>
        <v>0</v>
      </c>
      <c r="DIK5">
        <f>Database!DJD29</f>
        <v>0</v>
      </c>
      <c r="DIL5">
        <f>Database!DJE29</f>
        <v>0</v>
      </c>
      <c r="DIM5">
        <f>Database!DJF29</f>
        <v>0</v>
      </c>
      <c r="DIN5">
        <f>Database!DJG29</f>
        <v>0</v>
      </c>
      <c r="DIO5">
        <f>Database!DJH29</f>
        <v>0</v>
      </c>
      <c r="DIP5">
        <f>Database!DJI29</f>
        <v>0</v>
      </c>
      <c r="DIQ5">
        <f>Database!DJJ29</f>
        <v>0</v>
      </c>
      <c r="DIR5">
        <f>Database!DJK29</f>
        <v>0</v>
      </c>
      <c r="DIS5">
        <f>Database!DJL29</f>
        <v>0</v>
      </c>
      <c r="DIT5">
        <f>Database!DJM29</f>
        <v>0</v>
      </c>
      <c r="DIU5">
        <f>Database!DJN29</f>
        <v>0</v>
      </c>
      <c r="DIV5">
        <f>Database!DJO29</f>
        <v>0</v>
      </c>
      <c r="DIW5">
        <f>Database!DJP29</f>
        <v>0</v>
      </c>
      <c r="DIX5">
        <f>Database!DJQ29</f>
        <v>0</v>
      </c>
      <c r="DIY5">
        <f>Database!DJR29</f>
        <v>0</v>
      </c>
      <c r="DIZ5">
        <f>Database!DJS29</f>
        <v>0</v>
      </c>
      <c r="DJA5">
        <f>Database!DJT29</f>
        <v>0</v>
      </c>
      <c r="DJB5">
        <f>Database!DJU29</f>
        <v>0</v>
      </c>
      <c r="DJC5">
        <f>Database!DJV29</f>
        <v>0</v>
      </c>
      <c r="DJD5">
        <f>Database!DJW29</f>
        <v>0</v>
      </c>
      <c r="DJE5">
        <f>Database!DJX29</f>
        <v>0</v>
      </c>
      <c r="DJF5">
        <f>Database!DJY29</f>
        <v>0</v>
      </c>
      <c r="DJG5">
        <f>Database!DJZ29</f>
        <v>0</v>
      </c>
      <c r="DJH5">
        <f>Database!DKA29</f>
        <v>0</v>
      </c>
      <c r="DJI5">
        <f>Database!DKB29</f>
        <v>0</v>
      </c>
      <c r="DJJ5">
        <f>Database!DKC29</f>
        <v>0</v>
      </c>
      <c r="DJK5">
        <f>Database!DKD29</f>
        <v>0</v>
      </c>
      <c r="DJL5">
        <f>Database!DKE29</f>
        <v>0</v>
      </c>
      <c r="DJM5">
        <f>Database!DKF29</f>
        <v>0</v>
      </c>
      <c r="DJN5">
        <f>Database!DKG29</f>
        <v>0</v>
      </c>
      <c r="DJO5">
        <f>Database!DKH29</f>
        <v>0</v>
      </c>
      <c r="DJP5">
        <f>Database!DKI29</f>
        <v>0</v>
      </c>
      <c r="DJQ5">
        <f>Database!DKJ29</f>
        <v>0</v>
      </c>
      <c r="DJR5">
        <f>Database!DKK29</f>
        <v>0</v>
      </c>
      <c r="DJS5">
        <f>Database!DKL29</f>
        <v>0</v>
      </c>
      <c r="DJT5">
        <f>Database!DKM29</f>
        <v>0</v>
      </c>
      <c r="DJU5">
        <f>Database!DKN29</f>
        <v>0</v>
      </c>
      <c r="DJV5">
        <f>Database!DKO29</f>
        <v>0</v>
      </c>
      <c r="DJW5">
        <f>Database!DKP29</f>
        <v>0</v>
      </c>
      <c r="DJX5">
        <f>Database!DKQ29</f>
        <v>0</v>
      </c>
      <c r="DJY5">
        <f>Database!DKR29</f>
        <v>0</v>
      </c>
      <c r="DJZ5">
        <f>Database!DKS29</f>
        <v>0</v>
      </c>
      <c r="DKA5">
        <f>Database!DKT29</f>
        <v>0</v>
      </c>
      <c r="DKB5">
        <f>Database!DKU29</f>
        <v>0</v>
      </c>
      <c r="DKC5">
        <f>Database!DKV29</f>
        <v>0</v>
      </c>
      <c r="DKD5">
        <f>Database!DKW29</f>
        <v>0</v>
      </c>
      <c r="DKE5">
        <f>Database!DKX29</f>
        <v>0</v>
      </c>
      <c r="DKF5">
        <f>Database!DKY29</f>
        <v>0</v>
      </c>
      <c r="DKG5">
        <f>Database!DKZ29</f>
        <v>0</v>
      </c>
      <c r="DKH5">
        <f>Database!DLA29</f>
        <v>0</v>
      </c>
      <c r="DKI5">
        <f>Database!DLB29</f>
        <v>0</v>
      </c>
      <c r="DKJ5">
        <f>Database!DLC29</f>
        <v>0</v>
      </c>
      <c r="DKK5">
        <f>Database!DLD29</f>
        <v>0</v>
      </c>
      <c r="DKL5">
        <f>Database!DLE29</f>
        <v>0</v>
      </c>
      <c r="DKM5">
        <f>Database!DLF29</f>
        <v>0</v>
      </c>
      <c r="DKN5">
        <f>Database!DLG29</f>
        <v>0</v>
      </c>
      <c r="DKO5">
        <f>Database!DLH29</f>
        <v>0</v>
      </c>
      <c r="DKP5">
        <f>Database!DLI29</f>
        <v>0</v>
      </c>
      <c r="DKQ5">
        <f>Database!DLJ29</f>
        <v>0</v>
      </c>
      <c r="DKR5">
        <f>Database!DLK29</f>
        <v>0</v>
      </c>
      <c r="DKS5">
        <f>Database!DLL29</f>
        <v>0</v>
      </c>
      <c r="DKT5">
        <f>Database!DLM29</f>
        <v>0</v>
      </c>
      <c r="DKU5">
        <f>Database!DLN29</f>
        <v>0</v>
      </c>
      <c r="DKV5">
        <f>Database!DLO29</f>
        <v>0</v>
      </c>
      <c r="DKW5">
        <f>Database!DLP29</f>
        <v>0</v>
      </c>
      <c r="DKX5">
        <f>Database!DLQ29</f>
        <v>0</v>
      </c>
      <c r="DKY5">
        <f>Database!DLR29</f>
        <v>0</v>
      </c>
      <c r="DKZ5">
        <f>Database!DLS29</f>
        <v>0</v>
      </c>
      <c r="DLA5">
        <f>Database!DLT29</f>
        <v>0</v>
      </c>
      <c r="DLB5">
        <f>Database!DLU29</f>
        <v>0</v>
      </c>
      <c r="DLC5">
        <f>Database!DLV29</f>
        <v>0</v>
      </c>
      <c r="DLD5">
        <f>Database!DLW29</f>
        <v>0</v>
      </c>
      <c r="DLE5">
        <f>Database!DLX29</f>
        <v>0</v>
      </c>
      <c r="DLF5">
        <f>Database!DLY29</f>
        <v>0</v>
      </c>
      <c r="DLG5">
        <f>Database!DLZ29</f>
        <v>0</v>
      </c>
      <c r="DLH5">
        <f>Database!DMA29</f>
        <v>0</v>
      </c>
      <c r="DLI5">
        <f>Database!DMB29</f>
        <v>0</v>
      </c>
      <c r="DLJ5">
        <f>Database!DMC29</f>
        <v>0</v>
      </c>
      <c r="DLK5">
        <f>Database!DMD29</f>
        <v>0</v>
      </c>
      <c r="DLL5">
        <f>Database!DME29</f>
        <v>0</v>
      </c>
      <c r="DLM5">
        <f>Database!DMF29</f>
        <v>0</v>
      </c>
      <c r="DLN5">
        <f>Database!DMG29</f>
        <v>0</v>
      </c>
      <c r="DLO5">
        <f>Database!DMH29</f>
        <v>0</v>
      </c>
      <c r="DLP5">
        <f>Database!DMI29</f>
        <v>0</v>
      </c>
      <c r="DLQ5">
        <f>Database!DMJ29</f>
        <v>0</v>
      </c>
      <c r="DLR5">
        <f>Database!DMK29</f>
        <v>0</v>
      </c>
      <c r="DLS5">
        <f>Database!DML29</f>
        <v>0</v>
      </c>
      <c r="DLT5">
        <f>Database!DMM29</f>
        <v>0</v>
      </c>
      <c r="DLU5">
        <f>Database!DMN29</f>
        <v>0</v>
      </c>
      <c r="DLV5">
        <f>Database!DMO29</f>
        <v>0</v>
      </c>
      <c r="DLW5">
        <f>Database!DMP29</f>
        <v>0</v>
      </c>
      <c r="DLX5">
        <f>Database!DMQ29</f>
        <v>0</v>
      </c>
      <c r="DLY5">
        <f>Database!DMR29</f>
        <v>0</v>
      </c>
      <c r="DLZ5">
        <f>Database!DMS29</f>
        <v>0</v>
      </c>
      <c r="DMA5">
        <f>Database!DMT29</f>
        <v>0</v>
      </c>
      <c r="DMB5">
        <f>Database!DMU29</f>
        <v>0</v>
      </c>
      <c r="DMC5">
        <f>Database!DMV29</f>
        <v>0</v>
      </c>
      <c r="DMD5">
        <f>Database!DMW29</f>
        <v>0</v>
      </c>
      <c r="DME5">
        <f>Database!DMX29</f>
        <v>0</v>
      </c>
      <c r="DMF5">
        <f>Database!DMY29</f>
        <v>0</v>
      </c>
      <c r="DMG5">
        <f>Database!DMZ29</f>
        <v>0</v>
      </c>
      <c r="DMH5">
        <f>Database!DNA29</f>
        <v>0</v>
      </c>
      <c r="DMI5">
        <f>Database!DNB29</f>
        <v>0</v>
      </c>
      <c r="DMJ5">
        <f>Database!DNC29</f>
        <v>0</v>
      </c>
      <c r="DMK5">
        <f>Database!DND29</f>
        <v>0</v>
      </c>
      <c r="DML5">
        <f>Database!DNE29</f>
        <v>0</v>
      </c>
      <c r="DMM5">
        <f>Database!DNF29</f>
        <v>0</v>
      </c>
      <c r="DMN5">
        <f>Database!DNG29</f>
        <v>0</v>
      </c>
      <c r="DMO5">
        <f>Database!DNH29</f>
        <v>0</v>
      </c>
      <c r="DMP5">
        <f>Database!DNI29</f>
        <v>0</v>
      </c>
      <c r="DMQ5">
        <f>Database!DNJ29</f>
        <v>0</v>
      </c>
      <c r="DMR5">
        <f>Database!DNK29</f>
        <v>0</v>
      </c>
      <c r="DMS5">
        <f>Database!DNL29</f>
        <v>0</v>
      </c>
      <c r="DMT5">
        <f>Database!DNM29</f>
        <v>0</v>
      </c>
      <c r="DMU5">
        <f>Database!DNN29</f>
        <v>0</v>
      </c>
      <c r="DMV5">
        <f>Database!DNO29</f>
        <v>0</v>
      </c>
      <c r="DMW5">
        <f>Database!DNP29</f>
        <v>0</v>
      </c>
      <c r="DMX5">
        <f>Database!DNQ29</f>
        <v>0</v>
      </c>
      <c r="DMY5">
        <f>Database!DNR29</f>
        <v>0</v>
      </c>
      <c r="DMZ5">
        <f>Database!DNS29</f>
        <v>0</v>
      </c>
      <c r="DNA5">
        <f>Database!DNT29</f>
        <v>0</v>
      </c>
      <c r="DNB5">
        <f>Database!DNU29</f>
        <v>0</v>
      </c>
      <c r="DNC5">
        <f>Database!DNV29</f>
        <v>0</v>
      </c>
      <c r="DND5">
        <f>Database!DNW29</f>
        <v>0</v>
      </c>
      <c r="DNE5">
        <f>Database!DNX29</f>
        <v>0</v>
      </c>
      <c r="DNF5">
        <f>Database!DNY29</f>
        <v>0</v>
      </c>
      <c r="DNG5">
        <f>Database!DNZ29</f>
        <v>0</v>
      </c>
      <c r="DNH5">
        <f>Database!DOA29</f>
        <v>0</v>
      </c>
      <c r="DNI5">
        <f>Database!DOB29</f>
        <v>0</v>
      </c>
      <c r="DNJ5">
        <f>Database!DOC29</f>
        <v>0</v>
      </c>
      <c r="DNK5">
        <f>Database!DOD29</f>
        <v>0</v>
      </c>
      <c r="DNL5">
        <f>Database!DOE29</f>
        <v>0</v>
      </c>
      <c r="DNM5">
        <f>Database!DOF29</f>
        <v>0</v>
      </c>
      <c r="DNN5">
        <f>Database!DOG29</f>
        <v>0</v>
      </c>
      <c r="DNO5">
        <f>Database!DOH29</f>
        <v>0</v>
      </c>
      <c r="DNP5">
        <f>Database!DOI29</f>
        <v>0</v>
      </c>
      <c r="DNQ5">
        <f>Database!DOJ29</f>
        <v>0</v>
      </c>
      <c r="DNR5">
        <f>Database!DOK29</f>
        <v>0</v>
      </c>
      <c r="DNS5">
        <f>Database!DOL29</f>
        <v>0</v>
      </c>
      <c r="DNT5">
        <f>Database!DOM29</f>
        <v>0</v>
      </c>
      <c r="DNU5">
        <f>Database!DON29</f>
        <v>0</v>
      </c>
      <c r="DNV5">
        <f>Database!DOO29</f>
        <v>0</v>
      </c>
      <c r="DNW5">
        <f>Database!DOP29</f>
        <v>0</v>
      </c>
      <c r="DNX5">
        <f>Database!DOQ29</f>
        <v>0</v>
      </c>
      <c r="DNY5">
        <f>Database!DOR29</f>
        <v>0</v>
      </c>
      <c r="DNZ5">
        <f>Database!DOS29</f>
        <v>0</v>
      </c>
      <c r="DOA5">
        <f>Database!DOT29</f>
        <v>0</v>
      </c>
      <c r="DOB5">
        <f>Database!DOU29</f>
        <v>0</v>
      </c>
      <c r="DOC5">
        <f>Database!DOV29</f>
        <v>0</v>
      </c>
      <c r="DOD5">
        <f>Database!DOW29</f>
        <v>0</v>
      </c>
      <c r="DOE5">
        <f>Database!DOX29</f>
        <v>0</v>
      </c>
      <c r="DOF5">
        <f>Database!DOY29</f>
        <v>0</v>
      </c>
      <c r="DOG5">
        <f>Database!DOZ29</f>
        <v>0</v>
      </c>
      <c r="DOH5">
        <f>Database!DPA29</f>
        <v>0</v>
      </c>
      <c r="DOI5">
        <f>Database!DPB29</f>
        <v>0</v>
      </c>
      <c r="DOJ5">
        <f>Database!DPC29</f>
        <v>0</v>
      </c>
      <c r="DOK5">
        <f>Database!DPD29</f>
        <v>0</v>
      </c>
      <c r="DOL5">
        <f>Database!DPE29</f>
        <v>0</v>
      </c>
      <c r="DOM5">
        <f>Database!DPF29</f>
        <v>0</v>
      </c>
      <c r="DON5">
        <f>Database!DPG29</f>
        <v>0</v>
      </c>
      <c r="DOO5">
        <f>Database!DPH29</f>
        <v>0</v>
      </c>
      <c r="DOP5">
        <f>Database!DPI29</f>
        <v>0</v>
      </c>
      <c r="DOQ5">
        <f>Database!DPJ29</f>
        <v>0</v>
      </c>
      <c r="DOR5">
        <f>Database!DPK29</f>
        <v>0</v>
      </c>
      <c r="DOS5">
        <f>Database!DPL29</f>
        <v>0</v>
      </c>
      <c r="DOT5">
        <f>Database!DPM29</f>
        <v>0</v>
      </c>
      <c r="DOU5">
        <f>Database!DPN29</f>
        <v>0</v>
      </c>
      <c r="DOV5">
        <f>Database!DPO29</f>
        <v>0</v>
      </c>
      <c r="DOW5">
        <f>Database!DPP29</f>
        <v>0</v>
      </c>
      <c r="DOX5">
        <f>Database!DPQ29</f>
        <v>0</v>
      </c>
      <c r="DOY5">
        <f>Database!DPR29</f>
        <v>0</v>
      </c>
      <c r="DOZ5">
        <f>Database!DPS29</f>
        <v>0</v>
      </c>
      <c r="DPA5">
        <f>Database!DPT29</f>
        <v>0</v>
      </c>
      <c r="DPB5">
        <f>Database!DPU29</f>
        <v>0</v>
      </c>
      <c r="DPC5">
        <f>Database!DPV29</f>
        <v>0</v>
      </c>
      <c r="DPD5">
        <f>Database!DPW29</f>
        <v>0</v>
      </c>
      <c r="DPE5">
        <f>Database!DPX29</f>
        <v>0</v>
      </c>
      <c r="DPF5">
        <f>Database!DPY29</f>
        <v>0</v>
      </c>
      <c r="DPG5">
        <f>Database!DPZ29</f>
        <v>0</v>
      </c>
      <c r="DPH5">
        <f>Database!DQA29</f>
        <v>0</v>
      </c>
      <c r="DPI5">
        <f>Database!DQB29</f>
        <v>0</v>
      </c>
      <c r="DPJ5">
        <f>Database!DQC29</f>
        <v>0</v>
      </c>
      <c r="DPK5">
        <f>Database!DQD29</f>
        <v>0</v>
      </c>
      <c r="DPL5">
        <f>Database!DQE29</f>
        <v>0</v>
      </c>
      <c r="DPM5">
        <f>Database!DQF29</f>
        <v>0</v>
      </c>
      <c r="DPN5">
        <f>Database!DQG29</f>
        <v>0</v>
      </c>
      <c r="DPO5">
        <f>Database!DQH29</f>
        <v>0</v>
      </c>
      <c r="DPP5">
        <f>Database!DQI29</f>
        <v>0</v>
      </c>
      <c r="DPQ5">
        <f>Database!DQJ29</f>
        <v>0</v>
      </c>
      <c r="DPR5">
        <f>Database!DQK29</f>
        <v>0</v>
      </c>
      <c r="DPS5">
        <f>Database!DQL29</f>
        <v>0</v>
      </c>
      <c r="DPT5">
        <f>Database!DQM29</f>
        <v>0</v>
      </c>
      <c r="DPU5">
        <f>Database!DQN29</f>
        <v>0</v>
      </c>
      <c r="DPV5">
        <f>Database!DQO29</f>
        <v>0</v>
      </c>
      <c r="DPW5">
        <f>Database!DQP29</f>
        <v>0</v>
      </c>
      <c r="DPX5">
        <f>Database!DQQ29</f>
        <v>0</v>
      </c>
      <c r="DPY5">
        <f>Database!DQR29</f>
        <v>0</v>
      </c>
      <c r="DPZ5">
        <f>Database!DQS29</f>
        <v>0</v>
      </c>
      <c r="DQA5">
        <f>Database!DQT29</f>
        <v>0</v>
      </c>
      <c r="DQB5">
        <f>Database!DQU29</f>
        <v>0</v>
      </c>
      <c r="DQC5">
        <f>Database!DQV29</f>
        <v>0</v>
      </c>
      <c r="DQD5">
        <f>Database!DQW29</f>
        <v>0</v>
      </c>
      <c r="DQE5">
        <f>Database!DQX29</f>
        <v>0</v>
      </c>
      <c r="DQF5">
        <f>Database!DQY29</f>
        <v>0</v>
      </c>
      <c r="DQG5">
        <f>Database!DQZ29</f>
        <v>0</v>
      </c>
      <c r="DQH5">
        <f>Database!DRA29</f>
        <v>0</v>
      </c>
      <c r="DQI5">
        <f>Database!DRB29</f>
        <v>0</v>
      </c>
      <c r="DQJ5">
        <f>Database!DRC29</f>
        <v>0</v>
      </c>
      <c r="DQK5">
        <f>Database!DRD29</f>
        <v>0</v>
      </c>
      <c r="DQL5">
        <f>Database!DRE29</f>
        <v>0</v>
      </c>
      <c r="DQM5">
        <f>Database!DRF29</f>
        <v>0</v>
      </c>
      <c r="DQN5">
        <f>Database!DRG29</f>
        <v>0</v>
      </c>
      <c r="DQO5">
        <f>Database!DRH29</f>
        <v>0</v>
      </c>
      <c r="DQP5">
        <f>Database!DRI29</f>
        <v>0</v>
      </c>
      <c r="DQQ5">
        <f>Database!DRJ29</f>
        <v>0</v>
      </c>
      <c r="DQR5">
        <f>Database!DRK29</f>
        <v>0</v>
      </c>
      <c r="DQS5">
        <f>Database!DRL29</f>
        <v>0</v>
      </c>
      <c r="DQT5">
        <f>Database!DRM29</f>
        <v>0</v>
      </c>
      <c r="DQU5">
        <f>Database!DRN29</f>
        <v>0</v>
      </c>
      <c r="DQV5">
        <f>Database!DRO29</f>
        <v>0</v>
      </c>
      <c r="DQW5">
        <f>Database!DRP29</f>
        <v>0</v>
      </c>
      <c r="DQX5">
        <f>Database!DRQ29</f>
        <v>0</v>
      </c>
      <c r="DQY5">
        <f>Database!DRR29</f>
        <v>0</v>
      </c>
      <c r="DQZ5">
        <f>Database!DRS29</f>
        <v>0</v>
      </c>
      <c r="DRA5">
        <f>Database!DRT29</f>
        <v>0</v>
      </c>
      <c r="DRB5">
        <f>Database!DRU29</f>
        <v>0</v>
      </c>
      <c r="DRC5">
        <f>Database!DRV29</f>
        <v>0</v>
      </c>
      <c r="DRD5">
        <f>Database!DRW29</f>
        <v>0</v>
      </c>
      <c r="DRE5">
        <f>Database!DRX29</f>
        <v>0</v>
      </c>
      <c r="DRF5">
        <f>Database!DRY29</f>
        <v>0</v>
      </c>
      <c r="DRG5">
        <f>Database!DRZ29</f>
        <v>0</v>
      </c>
      <c r="DRH5">
        <f>Database!DSA29</f>
        <v>0</v>
      </c>
      <c r="DRI5">
        <f>Database!DSB29</f>
        <v>0</v>
      </c>
      <c r="DRJ5">
        <f>Database!DSC29</f>
        <v>0</v>
      </c>
      <c r="DRK5">
        <f>Database!DSD29</f>
        <v>0</v>
      </c>
      <c r="DRL5">
        <f>Database!DSE29</f>
        <v>0</v>
      </c>
      <c r="DRM5">
        <f>Database!DSF29</f>
        <v>0</v>
      </c>
      <c r="DRN5">
        <f>Database!DSG29</f>
        <v>0</v>
      </c>
      <c r="DRO5">
        <f>Database!DSH29</f>
        <v>0</v>
      </c>
      <c r="DRP5">
        <f>Database!DSI29</f>
        <v>0</v>
      </c>
      <c r="DRQ5">
        <f>Database!DSJ29</f>
        <v>0</v>
      </c>
      <c r="DRR5">
        <f>Database!DSK29</f>
        <v>0</v>
      </c>
      <c r="DRS5">
        <f>Database!DSL29</f>
        <v>0</v>
      </c>
      <c r="DRT5">
        <f>Database!DSM29</f>
        <v>0</v>
      </c>
      <c r="DRU5">
        <f>Database!DSN29</f>
        <v>0</v>
      </c>
      <c r="DRV5">
        <f>Database!DSO29</f>
        <v>0</v>
      </c>
      <c r="DRW5">
        <f>Database!DSP29</f>
        <v>0</v>
      </c>
      <c r="DRX5">
        <f>Database!DSQ29</f>
        <v>0</v>
      </c>
      <c r="DRY5">
        <f>Database!DSR29</f>
        <v>0</v>
      </c>
      <c r="DRZ5">
        <f>Database!DSS29</f>
        <v>0</v>
      </c>
      <c r="DSA5">
        <f>Database!DST29</f>
        <v>0</v>
      </c>
      <c r="DSB5">
        <f>Database!DSU29</f>
        <v>0</v>
      </c>
      <c r="DSC5">
        <f>Database!DSV29</f>
        <v>0</v>
      </c>
      <c r="DSD5">
        <f>Database!DSW29</f>
        <v>0</v>
      </c>
      <c r="DSE5">
        <f>Database!DSX29</f>
        <v>0</v>
      </c>
      <c r="DSF5">
        <f>Database!DSY29</f>
        <v>0</v>
      </c>
      <c r="DSG5">
        <f>Database!DSZ29</f>
        <v>0</v>
      </c>
      <c r="DSH5">
        <f>Database!DTA29</f>
        <v>0</v>
      </c>
      <c r="DSI5">
        <f>Database!DTB29</f>
        <v>0</v>
      </c>
      <c r="DSJ5">
        <f>Database!DTC29</f>
        <v>0</v>
      </c>
      <c r="DSK5">
        <f>Database!DTD29</f>
        <v>0</v>
      </c>
      <c r="DSL5">
        <f>Database!DTE29</f>
        <v>0</v>
      </c>
      <c r="DSM5">
        <f>Database!DTF29</f>
        <v>0</v>
      </c>
      <c r="DSN5">
        <f>Database!DTG29</f>
        <v>0</v>
      </c>
      <c r="DSO5">
        <f>Database!DTH29</f>
        <v>0</v>
      </c>
      <c r="DSP5">
        <f>Database!DTI29</f>
        <v>0</v>
      </c>
      <c r="DSQ5">
        <f>Database!DTJ29</f>
        <v>0</v>
      </c>
      <c r="DSR5">
        <f>Database!DTK29</f>
        <v>0</v>
      </c>
      <c r="DSS5">
        <f>Database!DTL29</f>
        <v>0</v>
      </c>
      <c r="DST5">
        <f>Database!DTM29</f>
        <v>0</v>
      </c>
      <c r="DSU5">
        <f>Database!DTN29</f>
        <v>0</v>
      </c>
      <c r="DSV5">
        <f>Database!DTO29</f>
        <v>0</v>
      </c>
      <c r="DSW5">
        <f>Database!DTP29</f>
        <v>0</v>
      </c>
      <c r="DSX5">
        <f>Database!DTQ29</f>
        <v>0</v>
      </c>
      <c r="DSY5">
        <f>Database!DTR29</f>
        <v>0</v>
      </c>
      <c r="DSZ5">
        <f>Database!DTS29</f>
        <v>0</v>
      </c>
      <c r="DTA5">
        <f>Database!DTT29</f>
        <v>0</v>
      </c>
      <c r="DTB5">
        <f>Database!DTU29</f>
        <v>0</v>
      </c>
      <c r="DTC5">
        <f>Database!DTV29</f>
        <v>0</v>
      </c>
      <c r="DTD5">
        <f>Database!DTW29</f>
        <v>0</v>
      </c>
      <c r="DTE5">
        <f>Database!DTX29</f>
        <v>0</v>
      </c>
      <c r="DTF5">
        <f>Database!DTY29</f>
        <v>0</v>
      </c>
      <c r="DTG5">
        <f>Database!DTZ29</f>
        <v>0</v>
      </c>
      <c r="DTH5">
        <f>Database!DUA29</f>
        <v>0</v>
      </c>
      <c r="DTI5">
        <f>Database!DUB29</f>
        <v>0</v>
      </c>
      <c r="DTJ5">
        <f>Database!DUC29</f>
        <v>0</v>
      </c>
      <c r="DTK5">
        <f>Database!DUD29</f>
        <v>0</v>
      </c>
      <c r="DTL5">
        <f>Database!DUE29</f>
        <v>0</v>
      </c>
      <c r="DTM5">
        <f>Database!DUF29</f>
        <v>0</v>
      </c>
      <c r="DTN5">
        <f>Database!DUG29</f>
        <v>0</v>
      </c>
      <c r="DTO5">
        <f>Database!DUH29</f>
        <v>0</v>
      </c>
      <c r="DTP5">
        <f>Database!DUI29</f>
        <v>0</v>
      </c>
      <c r="DTQ5">
        <f>Database!DUJ29</f>
        <v>0</v>
      </c>
      <c r="DTR5">
        <f>Database!DUK29</f>
        <v>0</v>
      </c>
      <c r="DTS5">
        <f>Database!DUL29</f>
        <v>0</v>
      </c>
      <c r="DTT5">
        <f>Database!DUM29</f>
        <v>0</v>
      </c>
      <c r="DTU5">
        <f>Database!DUN29</f>
        <v>0</v>
      </c>
      <c r="DTV5">
        <f>Database!DUO29</f>
        <v>0</v>
      </c>
      <c r="DTW5">
        <f>Database!DUP29</f>
        <v>0</v>
      </c>
      <c r="DTX5">
        <f>Database!DUQ29</f>
        <v>0</v>
      </c>
      <c r="DTY5">
        <f>Database!DUR29</f>
        <v>0</v>
      </c>
      <c r="DTZ5">
        <f>Database!DUS29</f>
        <v>0</v>
      </c>
      <c r="DUA5">
        <f>Database!DUT29</f>
        <v>0</v>
      </c>
      <c r="DUB5">
        <f>Database!DUU29</f>
        <v>0</v>
      </c>
      <c r="DUC5">
        <f>Database!DUV29</f>
        <v>0</v>
      </c>
      <c r="DUD5">
        <f>Database!DUW29</f>
        <v>0</v>
      </c>
      <c r="DUE5">
        <f>Database!DUX29</f>
        <v>0</v>
      </c>
      <c r="DUF5">
        <f>Database!DUY29</f>
        <v>0</v>
      </c>
      <c r="DUG5">
        <f>Database!DUZ29</f>
        <v>0</v>
      </c>
      <c r="DUH5">
        <f>Database!DVA29</f>
        <v>0</v>
      </c>
      <c r="DUI5">
        <f>Database!DVB29</f>
        <v>0</v>
      </c>
      <c r="DUJ5">
        <f>Database!DVC29</f>
        <v>0</v>
      </c>
      <c r="DUK5">
        <f>Database!DVD29</f>
        <v>0</v>
      </c>
      <c r="DUL5">
        <f>Database!DVE29</f>
        <v>0</v>
      </c>
      <c r="DUM5">
        <f>Database!DVF29</f>
        <v>0</v>
      </c>
      <c r="DUN5">
        <f>Database!DVG29</f>
        <v>0</v>
      </c>
      <c r="DUO5">
        <f>Database!DVH29</f>
        <v>0</v>
      </c>
      <c r="DUP5">
        <f>Database!DVI29</f>
        <v>0</v>
      </c>
      <c r="DUQ5">
        <f>Database!DVJ29</f>
        <v>0</v>
      </c>
      <c r="DUR5">
        <f>Database!DVK29</f>
        <v>0</v>
      </c>
      <c r="DUS5">
        <f>Database!DVL29</f>
        <v>0</v>
      </c>
      <c r="DUT5">
        <f>Database!DVM29</f>
        <v>0</v>
      </c>
      <c r="DUU5">
        <f>Database!DVN29</f>
        <v>0</v>
      </c>
      <c r="DUV5">
        <f>Database!DVO29</f>
        <v>0</v>
      </c>
      <c r="DUW5">
        <f>Database!DVP29</f>
        <v>0</v>
      </c>
      <c r="DUX5">
        <f>Database!DVQ29</f>
        <v>0</v>
      </c>
      <c r="DUY5">
        <f>Database!DVR29</f>
        <v>0</v>
      </c>
      <c r="DUZ5">
        <f>Database!DVS29</f>
        <v>0</v>
      </c>
      <c r="DVA5">
        <f>Database!DVT29</f>
        <v>0</v>
      </c>
      <c r="DVB5">
        <f>Database!DVU29</f>
        <v>0</v>
      </c>
      <c r="DVC5">
        <f>Database!DVV29</f>
        <v>0</v>
      </c>
      <c r="DVD5">
        <f>Database!DVW29</f>
        <v>0</v>
      </c>
      <c r="DVE5">
        <f>Database!DVX29</f>
        <v>0</v>
      </c>
      <c r="DVF5">
        <f>Database!DVY29</f>
        <v>0</v>
      </c>
      <c r="DVG5">
        <f>Database!DVZ29</f>
        <v>0</v>
      </c>
      <c r="DVH5">
        <f>Database!DWA29</f>
        <v>0</v>
      </c>
      <c r="DVI5">
        <f>Database!DWB29</f>
        <v>0</v>
      </c>
      <c r="DVJ5">
        <f>Database!DWC29</f>
        <v>0</v>
      </c>
      <c r="DVK5">
        <f>Database!DWD29</f>
        <v>0</v>
      </c>
      <c r="DVL5">
        <f>Database!DWE29</f>
        <v>0</v>
      </c>
      <c r="DVM5">
        <f>Database!DWF29</f>
        <v>0</v>
      </c>
      <c r="DVN5">
        <f>Database!DWG29</f>
        <v>0</v>
      </c>
      <c r="DVO5">
        <f>Database!DWH29</f>
        <v>0</v>
      </c>
      <c r="DVP5">
        <f>Database!DWI29</f>
        <v>0</v>
      </c>
      <c r="DVQ5">
        <f>Database!DWJ29</f>
        <v>0</v>
      </c>
      <c r="DVR5">
        <f>Database!DWK29</f>
        <v>0</v>
      </c>
      <c r="DVS5">
        <f>Database!DWL29</f>
        <v>0</v>
      </c>
      <c r="DVT5">
        <f>Database!DWM29</f>
        <v>0</v>
      </c>
      <c r="DVU5">
        <f>Database!DWN29</f>
        <v>0</v>
      </c>
      <c r="DVV5">
        <f>Database!DWO29</f>
        <v>0</v>
      </c>
      <c r="DVW5">
        <f>Database!DWP29</f>
        <v>0</v>
      </c>
      <c r="DVX5">
        <f>Database!DWQ29</f>
        <v>0</v>
      </c>
      <c r="DVY5">
        <f>Database!DWR29</f>
        <v>0</v>
      </c>
      <c r="DVZ5">
        <f>Database!DWS29</f>
        <v>0</v>
      </c>
      <c r="DWA5">
        <f>Database!DWT29</f>
        <v>0</v>
      </c>
      <c r="DWB5">
        <f>Database!DWU29</f>
        <v>0</v>
      </c>
      <c r="DWC5">
        <f>Database!DWV29</f>
        <v>0</v>
      </c>
      <c r="DWD5">
        <f>Database!DWW29</f>
        <v>0</v>
      </c>
      <c r="DWE5">
        <f>Database!DWX29</f>
        <v>0</v>
      </c>
      <c r="DWF5">
        <f>Database!DWY29</f>
        <v>0</v>
      </c>
      <c r="DWG5">
        <f>Database!DWZ29</f>
        <v>0</v>
      </c>
      <c r="DWH5">
        <f>Database!DXA29</f>
        <v>0</v>
      </c>
      <c r="DWI5">
        <f>Database!DXB29</f>
        <v>0</v>
      </c>
      <c r="DWJ5">
        <f>Database!DXC29</f>
        <v>0</v>
      </c>
      <c r="DWK5">
        <f>Database!DXD29</f>
        <v>0</v>
      </c>
      <c r="DWL5">
        <f>Database!DXE29</f>
        <v>0</v>
      </c>
      <c r="DWM5">
        <f>Database!DXF29</f>
        <v>0</v>
      </c>
      <c r="DWN5">
        <f>Database!DXG29</f>
        <v>0</v>
      </c>
      <c r="DWO5">
        <f>Database!DXH29</f>
        <v>0</v>
      </c>
      <c r="DWP5">
        <f>Database!DXI29</f>
        <v>0</v>
      </c>
      <c r="DWQ5">
        <f>Database!DXJ29</f>
        <v>0</v>
      </c>
      <c r="DWR5">
        <f>Database!DXK29</f>
        <v>0</v>
      </c>
      <c r="DWS5">
        <f>Database!DXL29</f>
        <v>0</v>
      </c>
      <c r="DWT5">
        <f>Database!DXM29</f>
        <v>0</v>
      </c>
      <c r="DWU5">
        <f>Database!DXN29</f>
        <v>0</v>
      </c>
      <c r="DWV5">
        <f>Database!DXO29</f>
        <v>0</v>
      </c>
      <c r="DWW5">
        <f>Database!DXP29</f>
        <v>0</v>
      </c>
      <c r="DWX5">
        <f>Database!DXQ29</f>
        <v>0</v>
      </c>
      <c r="DWY5">
        <f>Database!DXR29</f>
        <v>0</v>
      </c>
      <c r="DWZ5">
        <f>Database!DXS29</f>
        <v>0</v>
      </c>
      <c r="DXA5">
        <f>Database!DXT29</f>
        <v>0</v>
      </c>
      <c r="DXB5">
        <f>Database!DXU29</f>
        <v>0</v>
      </c>
      <c r="DXC5">
        <f>Database!DXV29</f>
        <v>0</v>
      </c>
      <c r="DXD5">
        <f>Database!DXW29</f>
        <v>0</v>
      </c>
      <c r="DXE5">
        <f>Database!DXX29</f>
        <v>0</v>
      </c>
      <c r="DXF5">
        <f>Database!DXY29</f>
        <v>0</v>
      </c>
      <c r="DXG5">
        <f>Database!DXZ29</f>
        <v>0</v>
      </c>
      <c r="DXH5">
        <f>Database!DYA29</f>
        <v>0</v>
      </c>
      <c r="DXI5">
        <f>Database!DYB29</f>
        <v>0</v>
      </c>
      <c r="DXJ5">
        <f>Database!DYC29</f>
        <v>0</v>
      </c>
      <c r="DXK5">
        <f>Database!DYD29</f>
        <v>0</v>
      </c>
      <c r="DXL5">
        <f>Database!DYE29</f>
        <v>0</v>
      </c>
      <c r="DXM5">
        <f>Database!DYF29</f>
        <v>0</v>
      </c>
      <c r="DXN5">
        <f>Database!DYG29</f>
        <v>0</v>
      </c>
      <c r="DXO5">
        <f>Database!DYH29</f>
        <v>0</v>
      </c>
      <c r="DXP5">
        <f>Database!DYI29</f>
        <v>0</v>
      </c>
      <c r="DXQ5">
        <f>Database!DYJ29</f>
        <v>0</v>
      </c>
      <c r="DXR5">
        <f>Database!DYK29</f>
        <v>0</v>
      </c>
      <c r="DXS5">
        <f>Database!DYL29</f>
        <v>0</v>
      </c>
      <c r="DXT5">
        <f>Database!DYM29</f>
        <v>0</v>
      </c>
      <c r="DXU5">
        <f>Database!DYN29</f>
        <v>0</v>
      </c>
      <c r="DXV5">
        <f>Database!DYO29</f>
        <v>0</v>
      </c>
      <c r="DXW5">
        <f>Database!DYP29</f>
        <v>0</v>
      </c>
      <c r="DXX5">
        <f>Database!DYQ29</f>
        <v>0</v>
      </c>
      <c r="DXY5">
        <f>Database!DYR29</f>
        <v>0</v>
      </c>
      <c r="DXZ5">
        <f>Database!DYS29</f>
        <v>0</v>
      </c>
      <c r="DYA5">
        <f>Database!DYT29</f>
        <v>0</v>
      </c>
      <c r="DYB5">
        <f>Database!DYU29</f>
        <v>0</v>
      </c>
      <c r="DYC5">
        <f>Database!DYV29</f>
        <v>0</v>
      </c>
      <c r="DYD5">
        <f>Database!DYW29</f>
        <v>0</v>
      </c>
      <c r="DYE5">
        <f>Database!DYX29</f>
        <v>0</v>
      </c>
      <c r="DYF5">
        <f>Database!DYY29</f>
        <v>0</v>
      </c>
      <c r="DYG5">
        <f>Database!DYZ29</f>
        <v>0</v>
      </c>
      <c r="DYH5">
        <f>Database!DZA29</f>
        <v>0</v>
      </c>
      <c r="DYI5">
        <f>Database!DZB29</f>
        <v>0</v>
      </c>
      <c r="DYJ5">
        <f>Database!DZC29</f>
        <v>0</v>
      </c>
      <c r="DYK5">
        <f>Database!DZD29</f>
        <v>0</v>
      </c>
      <c r="DYL5">
        <f>Database!DZE29</f>
        <v>0</v>
      </c>
      <c r="DYM5">
        <f>Database!DZF29</f>
        <v>0</v>
      </c>
      <c r="DYN5">
        <f>Database!DZG29</f>
        <v>0</v>
      </c>
      <c r="DYO5">
        <f>Database!DZH29</f>
        <v>0</v>
      </c>
      <c r="DYP5">
        <f>Database!DZI29</f>
        <v>0</v>
      </c>
      <c r="DYQ5">
        <f>Database!DZJ29</f>
        <v>0</v>
      </c>
      <c r="DYR5">
        <f>Database!DZK29</f>
        <v>0</v>
      </c>
      <c r="DYS5">
        <f>Database!DZL29</f>
        <v>0</v>
      </c>
      <c r="DYT5">
        <f>Database!DZM29</f>
        <v>0</v>
      </c>
      <c r="DYU5">
        <f>Database!DZN29</f>
        <v>0</v>
      </c>
      <c r="DYV5">
        <f>Database!DZO29</f>
        <v>0</v>
      </c>
      <c r="DYW5">
        <f>Database!DZP29</f>
        <v>0</v>
      </c>
      <c r="DYX5">
        <f>Database!DZQ29</f>
        <v>0</v>
      </c>
      <c r="DYY5">
        <f>Database!DZR29</f>
        <v>0</v>
      </c>
      <c r="DYZ5">
        <f>Database!DZS29</f>
        <v>0</v>
      </c>
      <c r="DZA5">
        <f>Database!DZT29</f>
        <v>0</v>
      </c>
      <c r="DZB5">
        <f>Database!DZU29</f>
        <v>0</v>
      </c>
      <c r="DZC5">
        <f>Database!DZV29</f>
        <v>0</v>
      </c>
      <c r="DZD5">
        <f>Database!DZW29</f>
        <v>0</v>
      </c>
      <c r="DZE5">
        <f>Database!DZX29</f>
        <v>0</v>
      </c>
      <c r="DZF5">
        <f>Database!DZY29</f>
        <v>0</v>
      </c>
      <c r="DZG5">
        <f>Database!DZZ29</f>
        <v>0</v>
      </c>
      <c r="DZH5">
        <f>Database!EAA29</f>
        <v>0</v>
      </c>
      <c r="DZI5">
        <f>Database!EAB29</f>
        <v>0</v>
      </c>
      <c r="DZJ5">
        <f>Database!EAC29</f>
        <v>0</v>
      </c>
      <c r="DZK5">
        <f>Database!EAD29</f>
        <v>0</v>
      </c>
      <c r="DZL5">
        <f>Database!EAE29</f>
        <v>0</v>
      </c>
      <c r="DZM5">
        <f>Database!EAF29</f>
        <v>0</v>
      </c>
      <c r="DZN5">
        <f>Database!EAG29</f>
        <v>0</v>
      </c>
      <c r="DZO5">
        <f>Database!EAH29</f>
        <v>0</v>
      </c>
      <c r="DZP5">
        <f>Database!EAI29</f>
        <v>0</v>
      </c>
      <c r="DZQ5">
        <f>Database!EAJ29</f>
        <v>0</v>
      </c>
      <c r="DZR5">
        <f>Database!EAK29</f>
        <v>0</v>
      </c>
      <c r="DZS5">
        <f>Database!EAL29</f>
        <v>0</v>
      </c>
      <c r="DZT5">
        <f>Database!EAM29</f>
        <v>0</v>
      </c>
      <c r="DZU5">
        <f>Database!EAN29</f>
        <v>0</v>
      </c>
      <c r="DZV5">
        <f>Database!EAO29</f>
        <v>0</v>
      </c>
      <c r="DZW5">
        <f>Database!EAP29</f>
        <v>0</v>
      </c>
      <c r="DZX5">
        <f>Database!EAQ29</f>
        <v>0</v>
      </c>
      <c r="DZY5">
        <f>Database!EAR29</f>
        <v>0</v>
      </c>
      <c r="DZZ5">
        <f>Database!EAS29</f>
        <v>0</v>
      </c>
      <c r="EAA5">
        <f>Database!EAT29</f>
        <v>0</v>
      </c>
      <c r="EAB5">
        <f>Database!EAU29</f>
        <v>0</v>
      </c>
      <c r="EAC5">
        <f>Database!EAV29</f>
        <v>0</v>
      </c>
      <c r="EAD5">
        <f>Database!EAW29</f>
        <v>0</v>
      </c>
      <c r="EAE5">
        <f>Database!EAX29</f>
        <v>0</v>
      </c>
      <c r="EAF5">
        <f>Database!EAY29</f>
        <v>0</v>
      </c>
      <c r="EAG5">
        <f>Database!EAZ29</f>
        <v>0</v>
      </c>
      <c r="EAH5">
        <f>Database!EBA29</f>
        <v>0</v>
      </c>
      <c r="EAI5">
        <f>Database!EBB29</f>
        <v>0</v>
      </c>
      <c r="EAJ5">
        <f>Database!EBC29</f>
        <v>0</v>
      </c>
      <c r="EAK5">
        <f>Database!EBD29</f>
        <v>0</v>
      </c>
      <c r="EAL5">
        <f>Database!EBE29</f>
        <v>0</v>
      </c>
      <c r="EAM5">
        <f>Database!EBF29</f>
        <v>0</v>
      </c>
      <c r="EAN5">
        <f>Database!EBG29</f>
        <v>0</v>
      </c>
      <c r="EAO5">
        <f>Database!EBH29</f>
        <v>0</v>
      </c>
      <c r="EAP5">
        <f>Database!EBI29</f>
        <v>0</v>
      </c>
      <c r="EAQ5">
        <f>Database!EBJ29</f>
        <v>0</v>
      </c>
      <c r="EAR5">
        <f>Database!EBK29</f>
        <v>0</v>
      </c>
      <c r="EAS5">
        <f>Database!EBL29</f>
        <v>0</v>
      </c>
      <c r="EAT5">
        <f>Database!EBM29</f>
        <v>0</v>
      </c>
      <c r="EAU5">
        <f>Database!EBN29</f>
        <v>0</v>
      </c>
      <c r="EAV5">
        <f>Database!EBO29</f>
        <v>0</v>
      </c>
      <c r="EAW5">
        <f>Database!EBP29</f>
        <v>0</v>
      </c>
      <c r="EAX5">
        <f>Database!EBQ29</f>
        <v>0</v>
      </c>
      <c r="EAY5">
        <f>Database!EBR29</f>
        <v>0</v>
      </c>
      <c r="EAZ5">
        <f>Database!EBS29</f>
        <v>0</v>
      </c>
      <c r="EBA5">
        <f>Database!EBT29</f>
        <v>0</v>
      </c>
      <c r="EBB5">
        <f>Database!EBU29</f>
        <v>0</v>
      </c>
      <c r="EBC5">
        <f>Database!EBV29</f>
        <v>0</v>
      </c>
      <c r="EBD5">
        <f>Database!EBW29</f>
        <v>0</v>
      </c>
      <c r="EBE5">
        <f>Database!EBX29</f>
        <v>0</v>
      </c>
      <c r="EBF5">
        <f>Database!EBY29</f>
        <v>0</v>
      </c>
      <c r="EBG5">
        <f>Database!EBZ29</f>
        <v>0</v>
      </c>
      <c r="EBH5">
        <f>Database!ECA29</f>
        <v>0</v>
      </c>
      <c r="EBI5">
        <f>Database!ECB29</f>
        <v>0</v>
      </c>
      <c r="EBJ5">
        <f>Database!ECC29</f>
        <v>0</v>
      </c>
      <c r="EBK5">
        <f>Database!ECD29</f>
        <v>0</v>
      </c>
      <c r="EBL5">
        <f>Database!ECE29</f>
        <v>0</v>
      </c>
      <c r="EBM5">
        <f>Database!ECF29</f>
        <v>0</v>
      </c>
      <c r="EBN5">
        <f>Database!ECG29</f>
        <v>0</v>
      </c>
      <c r="EBO5">
        <f>Database!ECH29</f>
        <v>0</v>
      </c>
      <c r="EBP5">
        <f>Database!ECI29</f>
        <v>0</v>
      </c>
      <c r="EBQ5">
        <f>Database!ECJ29</f>
        <v>0</v>
      </c>
      <c r="EBR5">
        <f>Database!ECK29</f>
        <v>0</v>
      </c>
      <c r="EBS5">
        <f>Database!ECL29</f>
        <v>0</v>
      </c>
      <c r="EBT5">
        <f>Database!ECM29</f>
        <v>0</v>
      </c>
      <c r="EBU5">
        <f>Database!ECN29</f>
        <v>0</v>
      </c>
      <c r="EBV5">
        <f>Database!ECO29</f>
        <v>0</v>
      </c>
      <c r="EBW5">
        <f>Database!ECP29</f>
        <v>0</v>
      </c>
      <c r="EBX5">
        <f>Database!ECQ29</f>
        <v>0</v>
      </c>
      <c r="EBY5">
        <f>Database!ECR29</f>
        <v>0</v>
      </c>
      <c r="EBZ5">
        <f>Database!ECS29</f>
        <v>0</v>
      </c>
      <c r="ECA5">
        <f>Database!ECT29</f>
        <v>0</v>
      </c>
      <c r="ECB5">
        <f>Database!ECU29</f>
        <v>0</v>
      </c>
      <c r="ECC5">
        <f>Database!ECV29</f>
        <v>0</v>
      </c>
      <c r="ECD5">
        <f>Database!ECW29</f>
        <v>0</v>
      </c>
      <c r="ECE5">
        <f>Database!ECX29</f>
        <v>0</v>
      </c>
      <c r="ECF5">
        <f>Database!ECY29</f>
        <v>0</v>
      </c>
      <c r="ECG5">
        <f>Database!ECZ29</f>
        <v>0</v>
      </c>
      <c r="ECH5">
        <f>Database!EDA29</f>
        <v>0</v>
      </c>
      <c r="ECI5">
        <f>Database!EDB29</f>
        <v>0</v>
      </c>
      <c r="ECJ5">
        <f>Database!EDC29</f>
        <v>0</v>
      </c>
      <c r="ECK5">
        <f>Database!EDD29</f>
        <v>0</v>
      </c>
      <c r="ECL5">
        <f>Database!EDE29</f>
        <v>0</v>
      </c>
      <c r="ECM5">
        <f>Database!EDF29</f>
        <v>0</v>
      </c>
      <c r="ECN5">
        <f>Database!EDG29</f>
        <v>0</v>
      </c>
      <c r="ECO5">
        <f>Database!EDH29</f>
        <v>0</v>
      </c>
      <c r="ECP5">
        <f>Database!EDI29</f>
        <v>0</v>
      </c>
      <c r="ECQ5">
        <f>Database!EDJ29</f>
        <v>0</v>
      </c>
      <c r="ECR5">
        <f>Database!EDK29</f>
        <v>0</v>
      </c>
      <c r="ECS5">
        <f>Database!EDL29</f>
        <v>0</v>
      </c>
      <c r="ECT5">
        <f>Database!EDM29</f>
        <v>0</v>
      </c>
      <c r="ECU5">
        <f>Database!EDN29</f>
        <v>0</v>
      </c>
      <c r="ECV5">
        <f>Database!EDO29</f>
        <v>0</v>
      </c>
      <c r="ECW5">
        <f>Database!EDP29</f>
        <v>0</v>
      </c>
      <c r="ECX5">
        <f>Database!EDQ29</f>
        <v>0</v>
      </c>
      <c r="ECY5">
        <f>Database!EDR29</f>
        <v>0</v>
      </c>
      <c r="ECZ5">
        <f>Database!EDS29</f>
        <v>0</v>
      </c>
      <c r="EDA5">
        <f>Database!EDT29</f>
        <v>0</v>
      </c>
      <c r="EDB5">
        <f>Database!EDU29</f>
        <v>0</v>
      </c>
      <c r="EDC5">
        <f>Database!EDV29</f>
        <v>0</v>
      </c>
      <c r="EDD5">
        <f>Database!EDW29</f>
        <v>0</v>
      </c>
      <c r="EDE5">
        <f>Database!EDX29</f>
        <v>0</v>
      </c>
      <c r="EDF5">
        <f>Database!EDY29</f>
        <v>0</v>
      </c>
      <c r="EDG5">
        <f>Database!EDZ29</f>
        <v>0</v>
      </c>
      <c r="EDH5">
        <f>Database!EEA29</f>
        <v>0</v>
      </c>
      <c r="EDI5">
        <f>Database!EEB29</f>
        <v>0</v>
      </c>
      <c r="EDJ5">
        <f>Database!EEC29</f>
        <v>0</v>
      </c>
      <c r="EDK5">
        <f>Database!EED29</f>
        <v>0</v>
      </c>
      <c r="EDL5">
        <f>Database!EEE29</f>
        <v>0</v>
      </c>
      <c r="EDM5">
        <f>Database!EEF29</f>
        <v>0</v>
      </c>
      <c r="EDN5">
        <f>Database!EEG29</f>
        <v>0</v>
      </c>
      <c r="EDO5">
        <f>Database!EEH29</f>
        <v>0</v>
      </c>
      <c r="EDP5">
        <f>Database!EEI29</f>
        <v>0</v>
      </c>
      <c r="EDQ5">
        <f>Database!EEJ29</f>
        <v>0</v>
      </c>
      <c r="EDR5">
        <f>Database!EEK29</f>
        <v>0</v>
      </c>
      <c r="EDS5">
        <f>Database!EEL29</f>
        <v>0</v>
      </c>
      <c r="EDT5">
        <f>Database!EEM29</f>
        <v>0</v>
      </c>
      <c r="EDU5">
        <f>Database!EEN29</f>
        <v>0</v>
      </c>
      <c r="EDV5">
        <f>Database!EEO29</f>
        <v>0</v>
      </c>
      <c r="EDW5">
        <f>Database!EEP29</f>
        <v>0</v>
      </c>
      <c r="EDX5">
        <f>Database!EEQ29</f>
        <v>0</v>
      </c>
      <c r="EDY5">
        <f>Database!EER29</f>
        <v>0</v>
      </c>
      <c r="EDZ5">
        <f>Database!EES29</f>
        <v>0</v>
      </c>
      <c r="EEA5">
        <f>Database!EET29</f>
        <v>0</v>
      </c>
      <c r="EEB5">
        <f>Database!EEU29</f>
        <v>0</v>
      </c>
      <c r="EEC5">
        <f>Database!EEV29</f>
        <v>0</v>
      </c>
      <c r="EED5">
        <f>Database!EEW29</f>
        <v>0</v>
      </c>
      <c r="EEE5">
        <f>Database!EEX29</f>
        <v>0</v>
      </c>
      <c r="EEF5">
        <f>Database!EEY29</f>
        <v>0</v>
      </c>
      <c r="EEG5">
        <f>Database!EEZ29</f>
        <v>0</v>
      </c>
      <c r="EEH5">
        <f>Database!EFA29</f>
        <v>0</v>
      </c>
      <c r="EEI5">
        <f>Database!EFB29</f>
        <v>0</v>
      </c>
      <c r="EEJ5">
        <f>Database!EFC29</f>
        <v>0</v>
      </c>
      <c r="EEK5">
        <f>Database!EFD29</f>
        <v>0</v>
      </c>
      <c r="EEL5">
        <f>Database!EFE29</f>
        <v>0</v>
      </c>
      <c r="EEM5">
        <f>Database!EFF29</f>
        <v>0</v>
      </c>
      <c r="EEN5">
        <f>Database!EFG29</f>
        <v>0</v>
      </c>
      <c r="EEO5">
        <f>Database!EFH29</f>
        <v>0</v>
      </c>
      <c r="EEP5">
        <f>Database!EFI29</f>
        <v>0</v>
      </c>
      <c r="EEQ5">
        <f>Database!EFJ29</f>
        <v>0</v>
      </c>
      <c r="EER5">
        <f>Database!EFK29</f>
        <v>0</v>
      </c>
      <c r="EES5">
        <f>Database!EFL29</f>
        <v>0</v>
      </c>
      <c r="EET5">
        <f>Database!EFM29</f>
        <v>0</v>
      </c>
      <c r="EEU5">
        <f>Database!EFN29</f>
        <v>0</v>
      </c>
      <c r="EEV5">
        <f>Database!EFO29</f>
        <v>0</v>
      </c>
      <c r="EEW5">
        <f>Database!EFP29</f>
        <v>0</v>
      </c>
      <c r="EEX5">
        <f>Database!EFQ29</f>
        <v>0</v>
      </c>
      <c r="EEY5">
        <f>Database!EFR29</f>
        <v>0</v>
      </c>
      <c r="EEZ5">
        <f>Database!EFS29</f>
        <v>0</v>
      </c>
      <c r="EFA5">
        <f>Database!EFT29</f>
        <v>0</v>
      </c>
      <c r="EFB5">
        <f>Database!EFU29</f>
        <v>0</v>
      </c>
      <c r="EFC5">
        <f>Database!EFV29</f>
        <v>0</v>
      </c>
      <c r="EFD5">
        <f>Database!EFW29</f>
        <v>0</v>
      </c>
      <c r="EFE5">
        <f>Database!EFX29</f>
        <v>0</v>
      </c>
      <c r="EFF5">
        <f>Database!EFY29</f>
        <v>0</v>
      </c>
      <c r="EFG5">
        <f>Database!EFZ29</f>
        <v>0</v>
      </c>
      <c r="EFH5">
        <f>Database!EGA29</f>
        <v>0</v>
      </c>
      <c r="EFI5">
        <f>Database!EGB29</f>
        <v>0</v>
      </c>
      <c r="EFJ5">
        <f>Database!EGC29</f>
        <v>0</v>
      </c>
      <c r="EFK5">
        <f>Database!EGD29</f>
        <v>0</v>
      </c>
      <c r="EFL5">
        <f>Database!EGE29</f>
        <v>0</v>
      </c>
      <c r="EFM5">
        <f>Database!EGF29</f>
        <v>0</v>
      </c>
      <c r="EFN5">
        <f>Database!EGG29</f>
        <v>0</v>
      </c>
      <c r="EFO5">
        <f>Database!EGH29</f>
        <v>0</v>
      </c>
      <c r="EFP5">
        <f>Database!EGI29</f>
        <v>0</v>
      </c>
      <c r="EFQ5">
        <f>Database!EGJ29</f>
        <v>0</v>
      </c>
      <c r="EFR5">
        <f>Database!EGK29</f>
        <v>0</v>
      </c>
      <c r="EFS5">
        <f>Database!EGL29</f>
        <v>0</v>
      </c>
      <c r="EFT5">
        <f>Database!EGM29</f>
        <v>0</v>
      </c>
      <c r="EFU5">
        <f>Database!EGN29</f>
        <v>0</v>
      </c>
      <c r="EFV5">
        <f>Database!EGO29</f>
        <v>0</v>
      </c>
      <c r="EFW5">
        <f>Database!EGP29</f>
        <v>0</v>
      </c>
      <c r="EFX5">
        <f>Database!EGQ29</f>
        <v>0</v>
      </c>
      <c r="EFY5">
        <f>Database!EGR29</f>
        <v>0</v>
      </c>
      <c r="EFZ5">
        <f>Database!EGS29</f>
        <v>0</v>
      </c>
      <c r="EGA5">
        <f>Database!EGT29</f>
        <v>0</v>
      </c>
      <c r="EGB5">
        <f>Database!EGU29</f>
        <v>0</v>
      </c>
      <c r="EGC5">
        <f>Database!EGV29</f>
        <v>0</v>
      </c>
      <c r="EGD5">
        <f>Database!EGW29</f>
        <v>0</v>
      </c>
      <c r="EGE5">
        <f>Database!EGX29</f>
        <v>0</v>
      </c>
      <c r="EGF5">
        <f>Database!EGY29</f>
        <v>0</v>
      </c>
      <c r="EGG5">
        <f>Database!EGZ29</f>
        <v>0</v>
      </c>
      <c r="EGH5">
        <f>Database!EHA29</f>
        <v>0</v>
      </c>
      <c r="EGI5">
        <f>Database!EHB29</f>
        <v>0</v>
      </c>
      <c r="EGJ5">
        <f>Database!EHC29</f>
        <v>0</v>
      </c>
      <c r="EGK5">
        <f>Database!EHD29</f>
        <v>0</v>
      </c>
      <c r="EGL5">
        <f>Database!EHE29</f>
        <v>0</v>
      </c>
      <c r="EGM5">
        <f>Database!EHF29</f>
        <v>0</v>
      </c>
      <c r="EGN5">
        <f>Database!EHG29</f>
        <v>0</v>
      </c>
      <c r="EGO5">
        <f>Database!EHH29</f>
        <v>0</v>
      </c>
      <c r="EGP5">
        <f>Database!EHI29</f>
        <v>0</v>
      </c>
      <c r="EGQ5">
        <f>Database!EHJ29</f>
        <v>0</v>
      </c>
      <c r="EGR5">
        <f>Database!EHK29</f>
        <v>0</v>
      </c>
      <c r="EGS5">
        <f>Database!EHL29</f>
        <v>0</v>
      </c>
      <c r="EGT5">
        <f>Database!EHM29</f>
        <v>0</v>
      </c>
      <c r="EGU5">
        <f>Database!EHN29</f>
        <v>0</v>
      </c>
      <c r="EGV5">
        <f>Database!EHO29</f>
        <v>0</v>
      </c>
      <c r="EGW5">
        <f>Database!EHP29</f>
        <v>0</v>
      </c>
      <c r="EGX5">
        <f>Database!EHQ29</f>
        <v>0</v>
      </c>
      <c r="EGY5">
        <f>Database!EHR29</f>
        <v>0</v>
      </c>
      <c r="EGZ5">
        <f>Database!EHS29</f>
        <v>0</v>
      </c>
      <c r="EHA5">
        <f>Database!EHT29</f>
        <v>0</v>
      </c>
      <c r="EHB5">
        <f>Database!EHU29</f>
        <v>0</v>
      </c>
      <c r="EHC5">
        <f>Database!EHV29</f>
        <v>0</v>
      </c>
      <c r="EHD5">
        <f>Database!EHW29</f>
        <v>0</v>
      </c>
      <c r="EHE5">
        <f>Database!EHX29</f>
        <v>0</v>
      </c>
      <c r="EHF5">
        <f>Database!EHY29</f>
        <v>0</v>
      </c>
      <c r="EHG5">
        <f>Database!EHZ29</f>
        <v>0</v>
      </c>
      <c r="EHH5">
        <f>Database!EIA29</f>
        <v>0</v>
      </c>
      <c r="EHI5">
        <f>Database!EIB29</f>
        <v>0</v>
      </c>
      <c r="EHJ5">
        <f>Database!EIC29</f>
        <v>0</v>
      </c>
      <c r="EHK5">
        <f>Database!EID29</f>
        <v>0</v>
      </c>
      <c r="EHL5">
        <f>Database!EIE29</f>
        <v>0</v>
      </c>
      <c r="EHM5">
        <f>Database!EIF29</f>
        <v>0</v>
      </c>
      <c r="EHN5">
        <f>Database!EIG29</f>
        <v>0</v>
      </c>
      <c r="EHO5">
        <f>Database!EIH29</f>
        <v>0</v>
      </c>
      <c r="EHP5">
        <f>Database!EII29</f>
        <v>0</v>
      </c>
      <c r="EHQ5">
        <f>Database!EIJ29</f>
        <v>0</v>
      </c>
      <c r="EHR5">
        <f>Database!EIK29</f>
        <v>0</v>
      </c>
      <c r="EHS5">
        <f>Database!EIL29</f>
        <v>0</v>
      </c>
      <c r="EHT5">
        <f>Database!EIM29</f>
        <v>0</v>
      </c>
      <c r="EHU5">
        <f>Database!EIN29</f>
        <v>0</v>
      </c>
      <c r="EHV5">
        <f>Database!EIO29</f>
        <v>0</v>
      </c>
      <c r="EHW5">
        <f>Database!EIP29</f>
        <v>0</v>
      </c>
      <c r="EHX5">
        <f>Database!EIQ29</f>
        <v>0</v>
      </c>
      <c r="EHY5">
        <f>Database!EIR29</f>
        <v>0</v>
      </c>
      <c r="EHZ5">
        <f>Database!EIS29</f>
        <v>0</v>
      </c>
      <c r="EIA5">
        <f>Database!EIT29</f>
        <v>0</v>
      </c>
      <c r="EIB5">
        <f>Database!EIU29</f>
        <v>0</v>
      </c>
      <c r="EIC5">
        <f>Database!EIV29</f>
        <v>0</v>
      </c>
      <c r="EID5">
        <f>Database!EIW29</f>
        <v>0</v>
      </c>
      <c r="EIE5">
        <f>Database!EIX29</f>
        <v>0</v>
      </c>
      <c r="EIF5">
        <f>Database!EIY29</f>
        <v>0</v>
      </c>
      <c r="EIG5">
        <f>Database!EIZ29</f>
        <v>0</v>
      </c>
      <c r="EIH5">
        <f>Database!EJA29</f>
        <v>0</v>
      </c>
      <c r="EII5">
        <f>Database!EJB29</f>
        <v>0</v>
      </c>
      <c r="EIJ5">
        <f>Database!EJC29</f>
        <v>0</v>
      </c>
      <c r="EIK5">
        <f>Database!EJD29</f>
        <v>0</v>
      </c>
      <c r="EIL5">
        <f>Database!EJE29</f>
        <v>0</v>
      </c>
      <c r="EIM5">
        <f>Database!EJF29</f>
        <v>0</v>
      </c>
      <c r="EIN5">
        <f>Database!EJG29</f>
        <v>0</v>
      </c>
      <c r="EIO5">
        <f>Database!EJH29</f>
        <v>0</v>
      </c>
      <c r="EIP5">
        <f>Database!EJI29</f>
        <v>0</v>
      </c>
      <c r="EIQ5">
        <f>Database!EJJ29</f>
        <v>0</v>
      </c>
      <c r="EIR5">
        <f>Database!EJK29</f>
        <v>0</v>
      </c>
      <c r="EIS5">
        <f>Database!EJL29</f>
        <v>0</v>
      </c>
      <c r="EIT5">
        <f>Database!EJM29</f>
        <v>0</v>
      </c>
      <c r="EIU5">
        <f>Database!EJN29</f>
        <v>0</v>
      </c>
      <c r="EIV5">
        <f>Database!EJO29</f>
        <v>0</v>
      </c>
      <c r="EIW5">
        <f>Database!EJP29</f>
        <v>0</v>
      </c>
      <c r="EIX5">
        <f>Database!EJQ29</f>
        <v>0</v>
      </c>
      <c r="EIY5">
        <f>Database!EJR29</f>
        <v>0</v>
      </c>
      <c r="EIZ5">
        <f>Database!EJS29</f>
        <v>0</v>
      </c>
      <c r="EJA5">
        <f>Database!EJT29</f>
        <v>0</v>
      </c>
      <c r="EJB5">
        <f>Database!EJU29</f>
        <v>0</v>
      </c>
      <c r="EJC5">
        <f>Database!EJV29</f>
        <v>0</v>
      </c>
      <c r="EJD5">
        <f>Database!EJW29</f>
        <v>0</v>
      </c>
      <c r="EJE5">
        <f>Database!EJX29</f>
        <v>0</v>
      </c>
      <c r="EJF5">
        <f>Database!EJY29</f>
        <v>0</v>
      </c>
      <c r="EJG5">
        <f>Database!EJZ29</f>
        <v>0</v>
      </c>
      <c r="EJH5">
        <f>Database!EKA29</f>
        <v>0</v>
      </c>
      <c r="EJI5">
        <f>Database!EKB29</f>
        <v>0</v>
      </c>
      <c r="EJJ5">
        <f>Database!EKC29</f>
        <v>0</v>
      </c>
      <c r="EJK5">
        <f>Database!EKD29</f>
        <v>0</v>
      </c>
      <c r="EJL5">
        <f>Database!EKE29</f>
        <v>0</v>
      </c>
      <c r="EJM5">
        <f>Database!EKF29</f>
        <v>0</v>
      </c>
      <c r="EJN5">
        <f>Database!EKG29</f>
        <v>0</v>
      </c>
      <c r="EJO5">
        <f>Database!EKH29</f>
        <v>0</v>
      </c>
      <c r="EJP5">
        <f>Database!EKI29</f>
        <v>0</v>
      </c>
      <c r="EJQ5">
        <f>Database!EKJ29</f>
        <v>0</v>
      </c>
      <c r="EJR5">
        <f>Database!EKK29</f>
        <v>0</v>
      </c>
      <c r="EJS5">
        <f>Database!EKL29</f>
        <v>0</v>
      </c>
      <c r="EJT5">
        <f>Database!EKM29</f>
        <v>0</v>
      </c>
      <c r="EJU5">
        <f>Database!EKN29</f>
        <v>0</v>
      </c>
      <c r="EJV5">
        <f>Database!EKO29</f>
        <v>0</v>
      </c>
      <c r="EJW5">
        <f>Database!EKP29</f>
        <v>0</v>
      </c>
      <c r="EJX5">
        <f>Database!EKQ29</f>
        <v>0</v>
      </c>
      <c r="EJY5">
        <f>Database!EKR29</f>
        <v>0</v>
      </c>
      <c r="EJZ5">
        <f>Database!EKS29</f>
        <v>0</v>
      </c>
      <c r="EKA5">
        <f>Database!EKT29</f>
        <v>0</v>
      </c>
      <c r="EKB5">
        <f>Database!EKU29</f>
        <v>0</v>
      </c>
      <c r="EKC5">
        <f>Database!EKV29</f>
        <v>0</v>
      </c>
      <c r="EKD5">
        <f>Database!EKW29</f>
        <v>0</v>
      </c>
      <c r="EKE5">
        <f>Database!EKX29</f>
        <v>0</v>
      </c>
      <c r="EKF5">
        <f>Database!EKY29</f>
        <v>0</v>
      </c>
      <c r="EKG5">
        <f>Database!EKZ29</f>
        <v>0</v>
      </c>
      <c r="EKH5">
        <f>Database!ELA29</f>
        <v>0</v>
      </c>
      <c r="EKI5">
        <f>Database!ELB29</f>
        <v>0</v>
      </c>
      <c r="EKJ5">
        <f>Database!ELC29</f>
        <v>0</v>
      </c>
      <c r="EKK5">
        <f>Database!ELD29</f>
        <v>0</v>
      </c>
      <c r="EKL5">
        <f>Database!ELE29</f>
        <v>0</v>
      </c>
      <c r="EKM5">
        <f>Database!ELF29</f>
        <v>0</v>
      </c>
      <c r="EKN5">
        <f>Database!ELG29</f>
        <v>0</v>
      </c>
      <c r="EKO5">
        <f>Database!ELH29</f>
        <v>0</v>
      </c>
      <c r="EKP5">
        <f>Database!ELI29</f>
        <v>0</v>
      </c>
      <c r="EKQ5">
        <f>Database!ELJ29</f>
        <v>0</v>
      </c>
      <c r="EKR5">
        <f>Database!ELK29</f>
        <v>0</v>
      </c>
      <c r="EKS5">
        <f>Database!ELL29</f>
        <v>0</v>
      </c>
      <c r="EKT5">
        <f>Database!ELM29</f>
        <v>0</v>
      </c>
      <c r="EKU5">
        <f>Database!ELN29</f>
        <v>0</v>
      </c>
      <c r="EKV5">
        <f>Database!ELO29</f>
        <v>0</v>
      </c>
      <c r="EKW5">
        <f>Database!ELP29</f>
        <v>0</v>
      </c>
      <c r="EKX5">
        <f>Database!ELQ29</f>
        <v>0</v>
      </c>
      <c r="EKY5">
        <f>Database!ELR29</f>
        <v>0</v>
      </c>
      <c r="EKZ5">
        <f>Database!ELS29</f>
        <v>0</v>
      </c>
      <c r="ELA5">
        <f>Database!ELT29</f>
        <v>0</v>
      </c>
      <c r="ELB5">
        <f>Database!ELU29</f>
        <v>0</v>
      </c>
      <c r="ELC5">
        <f>Database!ELV29</f>
        <v>0</v>
      </c>
      <c r="ELD5">
        <f>Database!ELW29</f>
        <v>0</v>
      </c>
      <c r="ELE5">
        <f>Database!ELX29</f>
        <v>0</v>
      </c>
      <c r="ELF5">
        <f>Database!ELY29</f>
        <v>0</v>
      </c>
      <c r="ELG5">
        <f>Database!ELZ29</f>
        <v>0</v>
      </c>
      <c r="ELH5">
        <f>Database!EMA29</f>
        <v>0</v>
      </c>
      <c r="ELI5">
        <f>Database!EMB29</f>
        <v>0</v>
      </c>
      <c r="ELJ5">
        <f>Database!EMC29</f>
        <v>0</v>
      </c>
      <c r="ELK5">
        <f>Database!EMD29</f>
        <v>0</v>
      </c>
      <c r="ELL5">
        <f>Database!EME29</f>
        <v>0</v>
      </c>
      <c r="ELM5">
        <f>Database!EMF29</f>
        <v>0</v>
      </c>
      <c r="ELN5">
        <f>Database!EMG29</f>
        <v>0</v>
      </c>
      <c r="ELO5">
        <f>Database!EMH29</f>
        <v>0</v>
      </c>
      <c r="ELP5">
        <f>Database!EMI29</f>
        <v>0</v>
      </c>
      <c r="ELQ5">
        <f>Database!EMJ29</f>
        <v>0</v>
      </c>
      <c r="ELR5">
        <f>Database!EMK29</f>
        <v>0</v>
      </c>
      <c r="ELS5">
        <f>Database!EML29</f>
        <v>0</v>
      </c>
      <c r="ELT5">
        <f>Database!EMM29</f>
        <v>0</v>
      </c>
      <c r="ELU5">
        <f>Database!EMN29</f>
        <v>0</v>
      </c>
      <c r="ELV5">
        <f>Database!EMO29</f>
        <v>0</v>
      </c>
      <c r="ELW5">
        <f>Database!EMP29</f>
        <v>0</v>
      </c>
      <c r="ELX5">
        <f>Database!EMQ29</f>
        <v>0</v>
      </c>
      <c r="ELY5">
        <f>Database!EMR29</f>
        <v>0</v>
      </c>
      <c r="ELZ5">
        <f>Database!EMS29</f>
        <v>0</v>
      </c>
      <c r="EMA5">
        <f>Database!EMT29</f>
        <v>0</v>
      </c>
      <c r="EMB5">
        <f>Database!EMU29</f>
        <v>0</v>
      </c>
      <c r="EMC5">
        <f>Database!EMV29</f>
        <v>0</v>
      </c>
      <c r="EMD5">
        <f>Database!EMW29</f>
        <v>0</v>
      </c>
      <c r="EME5">
        <f>Database!EMX29</f>
        <v>0</v>
      </c>
      <c r="EMF5">
        <f>Database!EMY29</f>
        <v>0</v>
      </c>
      <c r="EMG5">
        <f>Database!EMZ29</f>
        <v>0</v>
      </c>
      <c r="EMH5">
        <f>Database!ENA29</f>
        <v>0</v>
      </c>
      <c r="EMI5">
        <f>Database!ENB29</f>
        <v>0</v>
      </c>
      <c r="EMJ5">
        <f>Database!ENC29</f>
        <v>0</v>
      </c>
      <c r="EMK5">
        <f>Database!END29</f>
        <v>0</v>
      </c>
      <c r="EML5">
        <f>Database!ENE29</f>
        <v>0</v>
      </c>
      <c r="EMM5">
        <f>Database!ENF29</f>
        <v>0</v>
      </c>
      <c r="EMN5">
        <f>Database!ENG29</f>
        <v>0</v>
      </c>
      <c r="EMO5">
        <f>Database!ENH29</f>
        <v>0</v>
      </c>
      <c r="EMP5">
        <f>Database!ENI29</f>
        <v>0</v>
      </c>
      <c r="EMQ5">
        <f>Database!ENJ29</f>
        <v>0</v>
      </c>
      <c r="EMR5">
        <f>Database!ENK29</f>
        <v>0</v>
      </c>
      <c r="EMS5">
        <f>Database!ENL29</f>
        <v>0</v>
      </c>
      <c r="EMT5">
        <f>Database!ENM29</f>
        <v>0</v>
      </c>
      <c r="EMU5">
        <f>Database!ENN29</f>
        <v>0</v>
      </c>
      <c r="EMV5">
        <f>Database!ENO29</f>
        <v>0</v>
      </c>
      <c r="EMW5">
        <f>Database!ENP29</f>
        <v>0</v>
      </c>
      <c r="EMX5">
        <f>Database!ENQ29</f>
        <v>0</v>
      </c>
      <c r="EMY5">
        <f>Database!ENR29</f>
        <v>0</v>
      </c>
      <c r="EMZ5">
        <f>Database!ENS29</f>
        <v>0</v>
      </c>
      <c r="ENA5">
        <f>Database!ENT29</f>
        <v>0</v>
      </c>
      <c r="ENB5">
        <f>Database!ENU29</f>
        <v>0</v>
      </c>
      <c r="ENC5">
        <f>Database!ENV29</f>
        <v>0</v>
      </c>
      <c r="END5">
        <f>Database!ENW29</f>
        <v>0</v>
      </c>
      <c r="ENE5">
        <f>Database!ENX29</f>
        <v>0</v>
      </c>
      <c r="ENF5">
        <f>Database!ENY29</f>
        <v>0</v>
      </c>
      <c r="ENG5">
        <f>Database!ENZ29</f>
        <v>0</v>
      </c>
      <c r="ENH5">
        <f>Database!EOA29</f>
        <v>0</v>
      </c>
      <c r="ENI5">
        <f>Database!EOB29</f>
        <v>0</v>
      </c>
      <c r="ENJ5">
        <f>Database!EOC29</f>
        <v>0</v>
      </c>
      <c r="ENK5">
        <f>Database!EOD29</f>
        <v>0</v>
      </c>
      <c r="ENL5">
        <f>Database!EOE29</f>
        <v>0</v>
      </c>
      <c r="ENM5">
        <f>Database!EOF29</f>
        <v>0</v>
      </c>
      <c r="ENN5">
        <f>Database!EOG29</f>
        <v>0</v>
      </c>
      <c r="ENO5">
        <f>Database!EOH29</f>
        <v>0</v>
      </c>
      <c r="ENP5">
        <f>Database!EOI29</f>
        <v>0</v>
      </c>
      <c r="ENQ5">
        <f>Database!EOJ29</f>
        <v>0</v>
      </c>
      <c r="ENR5">
        <f>Database!EOK29</f>
        <v>0</v>
      </c>
      <c r="ENS5">
        <f>Database!EOL29</f>
        <v>0</v>
      </c>
      <c r="ENT5">
        <f>Database!EOM29</f>
        <v>0</v>
      </c>
      <c r="ENU5">
        <f>Database!EON29</f>
        <v>0</v>
      </c>
      <c r="ENV5">
        <f>Database!EOO29</f>
        <v>0</v>
      </c>
      <c r="ENW5">
        <f>Database!EOP29</f>
        <v>0</v>
      </c>
      <c r="ENX5">
        <f>Database!EOQ29</f>
        <v>0</v>
      </c>
      <c r="ENY5">
        <f>Database!EOR29</f>
        <v>0</v>
      </c>
      <c r="ENZ5">
        <f>Database!EOS29</f>
        <v>0</v>
      </c>
      <c r="EOA5">
        <f>Database!EOT29</f>
        <v>0</v>
      </c>
      <c r="EOB5">
        <f>Database!EOU29</f>
        <v>0</v>
      </c>
      <c r="EOC5">
        <f>Database!EOV29</f>
        <v>0</v>
      </c>
      <c r="EOD5">
        <f>Database!EOW29</f>
        <v>0</v>
      </c>
      <c r="EOE5">
        <f>Database!EOX29</f>
        <v>0</v>
      </c>
      <c r="EOF5">
        <f>Database!EOY29</f>
        <v>0</v>
      </c>
      <c r="EOG5">
        <f>Database!EOZ29</f>
        <v>0</v>
      </c>
      <c r="EOH5">
        <f>Database!EPA29</f>
        <v>0</v>
      </c>
      <c r="EOI5">
        <f>Database!EPB29</f>
        <v>0</v>
      </c>
      <c r="EOJ5">
        <f>Database!EPC29</f>
        <v>0</v>
      </c>
      <c r="EOK5">
        <f>Database!EPD29</f>
        <v>0</v>
      </c>
      <c r="EOL5">
        <f>Database!EPE29</f>
        <v>0</v>
      </c>
      <c r="EOM5">
        <f>Database!EPF29</f>
        <v>0</v>
      </c>
      <c r="EON5">
        <f>Database!EPG29</f>
        <v>0</v>
      </c>
      <c r="EOO5">
        <f>Database!EPH29</f>
        <v>0</v>
      </c>
      <c r="EOP5">
        <f>Database!EPI29</f>
        <v>0</v>
      </c>
      <c r="EOQ5">
        <f>Database!EPJ29</f>
        <v>0</v>
      </c>
      <c r="EOR5">
        <f>Database!EPK29</f>
        <v>0</v>
      </c>
      <c r="EOS5">
        <f>Database!EPL29</f>
        <v>0</v>
      </c>
      <c r="EOT5">
        <f>Database!EPM29</f>
        <v>0</v>
      </c>
      <c r="EOU5">
        <f>Database!EPN29</f>
        <v>0</v>
      </c>
      <c r="EOV5">
        <f>Database!EPO29</f>
        <v>0</v>
      </c>
      <c r="EOW5">
        <f>Database!EPP29</f>
        <v>0</v>
      </c>
      <c r="EOX5">
        <f>Database!EPQ29</f>
        <v>0</v>
      </c>
      <c r="EOY5">
        <f>Database!EPR29</f>
        <v>0</v>
      </c>
      <c r="EOZ5">
        <f>Database!EPS29</f>
        <v>0</v>
      </c>
      <c r="EPA5">
        <f>Database!EPT29</f>
        <v>0</v>
      </c>
      <c r="EPB5">
        <f>Database!EPU29</f>
        <v>0</v>
      </c>
      <c r="EPC5">
        <f>Database!EPV29</f>
        <v>0</v>
      </c>
      <c r="EPD5">
        <f>Database!EPW29</f>
        <v>0</v>
      </c>
      <c r="EPE5">
        <f>Database!EPX29</f>
        <v>0</v>
      </c>
      <c r="EPF5">
        <f>Database!EPY29</f>
        <v>0</v>
      </c>
      <c r="EPG5">
        <f>Database!EPZ29</f>
        <v>0</v>
      </c>
      <c r="EPH5">
        <f>Database!EQA29</f>
        <v>0</v>
      </c>
      <c r="EPI5">
        <f>Database!EQB29</f>
        <v>0</v>
      </c>
      <c r="EPJ5">
        <f>Database!EQC29</f>
        <v>0</v>
      </c>
      <c r="EPK5">
        <f>Database!EQD29</f>
        <v>0</v>
      </c>
      <c r="EPL5">
        <f>Database!EQE29</f>
        <v>0</v>
      </c>
      <c r="EPM5">
        <f>Database!EQF29</f>
        <v>0</v>
      </c>
      <c r="EPN5">
        <f>Database!EQG29</f>
        <v>0</v>
      </c>
      <c r="EPO5">
        <f>Database!EQH29</f>
        <v>0</v>
      </c>
      <c r="EPP5">
        <f>Database!EQI29</f>
        <v>0</v>
      </c>
      <c r="EPQ5">
        <f>Database!EQJ29</f>
        <v>0</v>
      </c>
      <c r="EPR5">
        <f>Database!EQK29</f>
        <v>0</v>
      </c>
      <c r="EPS5">
        <f>Database!EQL29</f>
        <v>0</v>
      </c>
      <c r="EPT5">
        <f>Database!EQM29</f>
        <v>0</v>
      </c>
      <c r="EPU5">
        <f>Database!EQN29</f>
        <v>0</v>
      </c>
      <c r="EPV5">
        <f>Database!EQO29</f>
        <v>0</v>
      </c>
      <c r="EPW5">
        <f>Database!EQP29</f>
        <v>0</v>
      </c>
      <c r="EPX5">
        <f>Database!EQQ29</f>
        <v>0</v>
      </c>
      <c r="EPY5">
        <f>Database!EQR29</f>
        <v>0</v>
      </c>
      <c r="EPZ5">
        <f>Database!EQS29</f>
        <v>0</v>
      </c>
      <c r="EQA5">
        <f>Database!EQT29</f>
        <v>0</v>
      </c>
      <c r="EQB5">
        <f>Database!EQU29</f>
        <v>0</v>
      </c>
      <c r="EQC5">
        <f>Database!EQV29</f>
        <v>0</v>
      </c>
      <c r="EQD5">
        <f>Database!EQW29</f>
        <v>0</v>
      </c>
      <c r="EQE5">
        <f>Database!EQX29</f>
        <v>0</v>
      </c>
      <c r="EQF5">
        <f>Database!EQY29</f>
        <v>0</v>
      </c>
      <c r="EQG5">
        <f>Database!EQZ29</f>
        <v>0</v>
      </c>
      <c r="EQH5">
        <f>Database!ERA29</f>
        <v>0</v>
      </c>
      <c r="EQI5">
        <f>Database!ERB29</f>
        <v>0</v>
      </c>
      <c r="EQJ5">
        <f>Database!ERC29</f>
        <v>0</v>
      </c>
      <c r="EQK5">
        <f>Database!ERD29</f>
        <v>0</v>
      </c>
      <c r="EQL5">
        <f>Database!ERE29</f>
        <v>0</v>
      </c>
      <c r="EQM5">
        <f>Database!ERF29</f>
        <v>0</v>
      </c>
      <c r="EQN5">
        <f>Database!ERG29</f>
        <v>0</v>
      </c>
      <c r="EQO5">
        <f>Database!ERH29</f>
        <v>0</v>
      </c>
      <c r="EQP5">
        <f>Database!ERI29</f>
        <v>0</v>
      </c>
      <c r="EQQ5">
        <f>Database!ERJ29</f>
        <v>0</v>
      </c>
      <c r="EQR5">
        <f>Database!ERK29</f>
        <v>0</v>
      </c>
      <c r="EQS5">
        <f>Database!ERL29</f>
        <v>0</v>
      </c>
      <c r="EQT5">
        <f>Database!ERM29</f>
        <v>0</v>
      </c>
      <c r="EQU5">
        <f>Database!ERN29</f>
        <v>0</v>
      </c>
      <c r="EQV5">
        <f>Database!ERO29</f>
        <v>0</v>
      </c>
      <c r="EQW5">
        <f>Database!ERP29</f>
        <v>0</v>
      </c>
      <c r="EQX5">
        <f>Database!ERQ29</f>
        <v>0</v>
      </c>
      <c r="EQY5">
        <f>Database!ERR29</f>
        <v>0</v>
      </c>
      <c r="EQZ5">
        <f>Database!ERS29</f>
        <v>0</v>
      </c>
      <c r="ERA5">
        <f>Database!ERT29</f>
        <v>0</v>
      </c>
      <c r="ERB5">
        <f>Database!ERU29</f>
        <v>0</v>
      </c>
      <c r="ERC5">
        <f>Database!ERV29</f>
        <v>0</v>
      </c>
      <c r="ERD5">
        <f>Database!ERW29</f>
        <v>0</v>
      </c>
      <c r="ERE5">
        <f>Database!ERX29</f>
        <v>0</v>
      </c>
      <c r="ERF5">
        <f>Database!ERY29</f>
        <v>0</v>
      </c>
      <c r="ERG5">
        <f>Database!ERZ29</f>
        <v>0</v>
      </c>
      <c r="ERH5">
        <f>Database!ESA29</f>
        <v>0</v>
      </c>
      <c r="ERI5">
        <f>Database!ESB29</f>
        <v>0</v>
      </c>
      <c r="ERJ5">
        <f>Database!ESC29</f>
        <v>0</v>
      </c>
      <c r="ERK5">
        <f>Database!ESD29</f>
        <v>0</v>
      </c>
      <c r="ERL5">
        <f>Database!ESE29</f>
        <v>0</v>
      </c>
      <c r="ERM5">
        <f>Database!ESF29</f>
        <v>0</v>
      </c>
      <c r="ERN5">
        <f>Database!ESG29</f>
        <v>0</v>
      </c>
      <c r="ERO5">
        <f>Database!ESH29</f>
        <v>0</v>
      </c>
      <c r="ERP5">
        <f>Database!ESI29</f>
        <v>0</v>
      </c>
      <c r="ERQ5">
        <f>Database!ESJ29</f>
        <v>0</v>
      </c>
      <c r="ERR5">
        <f>Database!ESK29</f>
        <v>0</v>
      </c>
      <c r="ERS5">
        <f>Database!ESL29</f>
        <v>0</v>
      </c>
      <c r="ERT5">
        <f>Database!ESM29</f>
        <v>0</v>
      </c>
      <c r="ERU5">
        <f>Database!ESN29</f>
        <v>0</v>
      </c>
      <c r="ERV5">
        <f>Database!ESO29</f>
        <v>0</v>
      </c>
      <c r="ERW5">
        <f>Database!ESP29</f>
        <v>0</v>
      </c>
      <c r="ERX5">
        <f>Database!ESQ29</f>
        <v>0</v>
      </c>
      <c r="ERY5">
        <f>Database!ESR29</f>
        <v>0</v>
      </c>
      <c r="ERZ5">
        <f>Database!ESS29</f>
        <v>0</v>
      </c>
      <c r="ESA5">
        <f>Database!EST29</f>
        <v>0</v>
      </c>
      <c r="ESB5">
        <f>Database!ESU29</f>
        <v>0</v>
      </c>
      <c r="ESC5">
        <f>Database!ESV29</f>
        <v>0</v>
      </c>
      <c r="ESD5">
        <f>Database!ESW29</f>
        <v>0</v>
      </c>
      <c r="ESE5">
        <f>Database!ESX29</f>
        <v>0</v>
      </c>
      <c r="ESF5">
        <f>Database!ESY29</f>
        <v>0</v>
      </c>
      <c r="ESG5">
        <f>Database!ESZ29</f>
        <v>0</v>
      </c>
      <c r="ESH5">
        <f>Database!ETA29</f>
        <v>0</v>
      </c>
      <c r="ESI5">
        <f>Database!ETB29</f>
        <v>0</v>
      </c>
      <c r="ESJ5">
        <f>Database!ETC29</f>
        <v>0</v>
      </c>
      <c r="ESK5">
        <f>Database!ETD29</f>
        <v>0</v>
      </c>
      <c r="ESL5">
        <f>Database!ETE29</f>
        <v>0</v>
      </c>
      <c r="ESM5">
        <f>Database!ETF29</f>
        <v>0</v>
      </c>
      <c r="ESN5">
        <f>Database!ETG29</f>
        <v>0</v>
      </c>
      <c r="ESO5">
        <f>Database!ETH29</f>
        <v>0</v>
      </c>
      <c r="ESP5">
        <f>Database!ETI29</f>
        <v>0</v>
      </c>
      <c r="ESQ5">
        <f>Database!ETJ29</f>
        <v>0</v>
      </c>
      <c r="ESR5">
        <f>Database!ETK29</f>
        <v>0</v>
      </c>
      <c r="ESS5">
        <f>Database!ETL29</f>
        <v>0</v>
      </c>
      <c r="EST5">
        <f>Database!ETM29</f>
        <v>0</v>
      </c>
      <c r="ESU5">
        <f>Database!ETN29</f>
        <v>0</v>
      </c>
      <c r="ESV5">
        <f>Database!ETO29</f>
        <v>0</v>
      </c>
      <c r="ESW5">
        <f>Database!ETP29</f>
        <v>0</v>
      </c>
      <c r="ESX5">
        <f>Database!ETQ29</f>
        <v>0</v>
      </c>
      <c r="ESY5">
        <f>Database!ETR29</f>
        <v>0</v>
      </c>
      <c r="ESZ5">
        <f>Database!ETS29</f>
        <v>0</v>
      </c>
      <c r="ETA5">
        <f>Database!ETT29</f>
        <v>0</v>
      </c>
      <c r="ETB5">
        <f>Database!ETU29</f>
        <v>0</v>
      </c>
      <c r="ETC5">
        <f>Database!ETV29</f>
        <v>0</v>
      </c>
      <c r="ETD5">
        <f>Database!ETW29</f>
        <v>0</v>
      </c>
      <c r="ETE5">
        <f>Database!ETX29</f>
        <v>0</v>
      </c>
      <c r="ETF5">
        <f>Database!ETY29</f>
        <v>0</v>
      </c>
      <c r="ETG5">
        <f>Database!ETZ29</f>
        <v>0</v>
      </c>
      <c r="ETH5">
        <f>Database!EUA29</f>
        <v>0</v>
      </c>
      <c r="ETI5">
        <f>Database!EUB29</f>
        <v>0</v>
      </c>
      <c r="ETJ5">
        <f>Database!EUC29</f>
        <v>0</v>
      </c>
      <c r="ETK5">
        <f>Database!EUD29</f>
        <v>0</v>
      </c>
      <c r="ETL5">
        <f>Database!EUE29</f>
        <v>0</v>
      </c>
      <c r="ETM5">
        <f>Database!EUF29</f>
        <v>0</v>
      </c>
      <c r="ETN5">
        <f>Database!EUG29</f>
        <v>0</v>
      </c>
      <c r="ETO5">
        <f>Database!EUH29</f>
        <v>0</v>
      </c>
      <c r="ETP5">
        <f>Database!EUI29</f>
        <v>0</v>
      </c>
      <c r="ETQ5">
        <f>Database!EUJ29</f>
        <v>0</v>
      </c>
      <c r="ETR5">
        <f>Database!EUK29</f>
        <v>0</v>
      </c>
      <c r="ETS5">
        <f>Database!EUL29</f>
        <v>0</v>
      </c>
      <c r="ETT5">
        <f>Database!EUM29</f>
        <v>0</v>
      </c>
      <c r="ETU5">
        <f>Database!EUN29</f>
        <v>0</v>
      </c>
      <c r="ETV5">
        <f>Database!EUO29</f>
        <v>0</v>
      </c>
      <c r="ETW5">
        <f>Database!EUP29</f>
        <v>0</v>
      </c>
      <c r="ETX5">
        <f>Database!EUQ29</f>
        <v>0</v>
      </c>
      <c r="ETY5">
        <f>Database!EUR29</f>
        <v>0</v>
      </c>
      <c r="ETZ5">
        <f>Database!EUS29</f>
        <v>0</v>
      </c>
      <c r="EUA5">
        <f>Database!EUT29</f>
        <v>0</v>
      </c>
      <c r="EUB5">
        <f>Database!EUU29</f>
        <v>0</v>
      </c>
      <c r="EUC5">
        <f>Database!EUV29</f>
        <v>0</v>
      </c>
      <c r="EUD5">
        <f>Database!EUW29</f>
        <v>0</v>
      </c>
      <c r="EUE5">
        <f>Database!EUX29</f>
        <v>0</v>
      </c>
      <c r="EUF5">
        <f>Database!EUY29</f>
        <v>0</v>
      </c>
      <c r="EUG5">
        <f>Database!EUZ29</f>
        <v>0</v>
      </c>
      <c r="EUH5">
        <f>Database!EVA29</f>
        <v>0</v>
      </c>
      <c r="EUI5">
        <f>Database!EVB29</f>
        <v>0</v>
      </c>
      <c r="EUJ5">
        <f>Database!EVC29</f>
        <v>0</v>
      </c>
      <c r="EUK5">
        <f>Database!EVD29</f>
        <v>0</v>
      </c>
      <c r="EUL5">
        <f>Database!EVE29</f>
        <v>0</v>
      </c>
      <c r="EUM5">
        <f>Database!EVF29</f>
        <v>0</v>
      </c>
      <c r="EUN5">
        <f>Database!EVG29</f>
        <v>0</v>
      </c>
      <c r="EUO5">
        <f>Database!EVH29</f>
        <v>0</v>
      </c>
      <c r="EUP5">
        <f>Database!EVI29</f>
        <v>0</v>
      </c>
      <c r="EUQ5">
        <f>Database!EVJ29</f>
        <v>0</v>
      </c>
      <c r="EUR5">
        <f>Database!EVK29</f>
        <v>0</v>
      </c>
      <c r="EUS5">
        <f>Database!EVL29</f>
        <v>0</v>
      </c>
      <c r="EUT5">
        <f>Database!EVM29</f>
        <v>0</v>
      </c>
      <c r="EUU5">
        <f>Database!EVN29</f>
        <v>0</v>
      </c>
      <c r="EUV5">
        <f>Database!EVO29</f>
        <v>0</v>
      </c>
      <c r="EUW5">
        <f>Database!EVP29</f>
        <v>0</v>
      </c>
      <c r="EUX5">
        <f>Database!EVQ29</f>
        <v>0</v>
      </c>
      <c r="EUY5">
        <f>Database!EVR29</f>
        <v>0</v>
      </c>
      <c r="EUZ5">
        <f>Database!EVS29</f>
        <v>0</v>
      </c>
      <c r="EVA5">
        <f>Database!EVT29</f>
        <v>0</v>
      </c>
      <c r="EVB5">
        <f>Database!EVU29</f>
        <v>0</v>
      </c>
      <c r="EVC5">
        <f>Database!EVV29</f>
        <v>0</v>
      </c>
      <c r="EVD5">
        <f>Database!EVW29</f>
        <v>0</v>
      </c>
      <c r="EVE5">
        <f>Database!EVX29</f>
        <v>0</v>
      </c>
      <c r="EVF5">
        <f>Database!EVY29</f>
        <v>0</v>
      </c>
      <c r="EVG5">
        <f>Database!EVZ29</f>
        <v>0</v>
      </c>
      <c r="EVH5">
        <f>Database!EWA29</f>
        <v>0</v>
      </c>
      <c r="EVI5">
        <f>Database!EWB29</f>
        <v>0</v>
      </c>
      <c r="EVJ5">
        <f>Database!EWC29</f>
        <v>0</v>
      </c>
      <c r="EVK5">
        <f>Database!EWD29</f>
        <v>0</v>
      </c>
      <c r="EVL5">
        <f>Database!EWE29</f>
        <v>0</v>
      </c>
      <c r="EVM5">
        <f>Database!EWF29</f>
        <v>0</v>
      </c>
      <c r="EVN5">
        <f>Database!EWG29</f>
        <v>0</v>
      </c>
      <c r="EVO5">
        <f>Database!EWH29</f>
        <v>0</v>
      </c>
      <c r="EVP5">
        <f>Database!EWI29</f>
        <v>0</v>
      </c>
      <c r="EVQ5">
        <f>Database!EWJ29</f>
        <v>0</v>
      </c>
      <c r="EVR5">
        <f>Database!EWK29</f>
        <v>0</v>
      </c>
      <c r="EVS5">
        <f>Database!EWL29</f>
        <v>0</v>
      </c>
      <c r="EVT5">
        <f>Database!EWM29</f>
        <v>0</v>
      </c>
      <c r="EVU5">
        <f>Database!EWN29</f>
        <v>0</v>
      </c>
      <c r="EVV5">
        <f>Database!EWO29</f>
        <v>0</v>
      </c>
      <c r="EVW5">
        <f>Database!EWP29</f>
        <v>0</v>
      </c>
      <c r="EVX5">
        <f>Database!EWQ29</f>
        <v>0</v>
      </c>
      <c r="EVY5">
        <f>Database!EWR29</f>
        <v>0</v>
      </c>
      <c r="EVZ5">
        <f>Database!EWS29</f>
        <v>0</v>
      </c>
      <c r="EWA5">
        <f>Database!EWT29</f>
        <v>0</v>
      </c>
      <c r="EWB5">
        <f>Database!EWU29</f>
        <v>0</v>
      </c>
      <c r="EWC5">
        <f>Database!EWV29</f>
        <v>0</v>
      </c>
      <c r="EWD5">
        <f>Database!EWW29</f>
        <v>0</v>
      </c>
      <c r="EWE5">
        <f>Database!EWX29</f>
        <v>0</v>
      </c>
      <c r="EWF5">
        <f>Database!EWY29</f>
        <v>0</v>
      </c>
      <c r="EWG5">
        <f>Database!EWZ29</f>
        <v>0</v>
      </c>
      <c r="EWH5">
        <f>Database!EXA29</f>
        <v>0</v>
      </c>
      <c r="EWI5">
        <f>Database!EXB29</f>
        <v>0</v>
      </c>
      <c r="EWJ5">
        <f>Database!EXC29</f>
        <v>0</v>
      </c>
      <c r="EWK5">
        <f>Database!EXD29</f>
        <v>0</v>
      </c>
      <c r="EWL5">
        <f>Database!EXE29</f>
        <v>0</v>
      </c>
      <c r="EWM5">
        <f>Database!EXF29</f>
        <v>0</v>
      </c>
      <c r="EWN5">
        <f>Database!EXG29</f>
        <v>0</v>
      </c>
      <c r="EWO5">
        <f>Database!EXH29</f>
        <v>0</v>
      </c>
      <c r="EWP5">
        <f>Database!EXI29</f>
        <v>0</v>
      </c>
      <c r="EWQ5">
        <f>Database!EXJ29</f>
        <v>0</v>
      </c>
      <c r="EWR5">
        <f>Database!EXK29</f>
        <v>0</v>
      </c>
      <c r="EWS5">
        <f>Database!EXL29</f>
        <v>0</v>
      </c>
      <c r="EWT5">
        <f>Database!EXM29</f>
        <v>0</v>
      </c>
      <c r="EWU5">
        <f>Database!EXN29</f>
        <v>0</v>
      </c>
      <c r="EWV5">
        <f>Database!EXO29</f>
        <v>0</v>
      </c>
      <c r="EWW5">
        <f>Database!EXP29</f>
        <v>0</v>
      </c>
      <c r="EWX5">
        <f>Database!EXQ29</f>
        <v>0</v>
      </c>
      <c r="EWY5">
        <f>Database!EXR29</f>
        <v>0</v>
      </c>
      <c r="EWZ5">
        <f>Database!EXS29</f>
        <v>0</v>
      </c>
      <c r="EXA5">
        <f>Database!EXT29</f>
        <v>0</v>
      </c>
      <c r="EXB5">
        <f>Database!EXU29</f>
        <v>0</v>
      </c>
      <c r="EXC5">
        <f>Database!EXV29</f>
        <v>0</v>
      </c>
      <c r="EXD5">
        <f>Database!EXW29</f>
        <v>0</v>
      </c>
      <c r="EXE5">
        <f>Database!EXX29</f>
        <v>0</v>
      </c>
      <c r="EXF5">
        <f>Database!EXY29</f>
        <v>0</v>
      </c>
      <c r="EXG5">
        <f>Database!EXZ29</f>
        <v>0</v>
      </c>
      <c r="EXH5">
        <f>Database!EYA29</f>
        <v>0</v>
      </c>
      <c r="EXI5">
        <f>Database!EYB29</f>
        <v>0</v>
      </c>
      <c r="EXJ5">
        <f>Database!EYC29</f>
        <v>0</v>
      </c>
      <c r="EXK5">
        <f>Database!EYD29</f>
        <v>0</v>
      </c>
      <c r="EXL5">
        <f>Database!EYE29</f>
        <v>0</v>
      </c>
      <c r="EXM5">
        <f>Database!EYF29</f>
        <v>0</v>
      </c>
      <c r="EXN5">
        <f>Database!EYG29</f>
        <v>0</v>
      </c>
      <c r="EXO5">
        <f>Database!EYH29</f>
        <v>0</v>
      </c>
      <c r="EXP5">
        <f>Database!EYI29</f>
        <v>0</v>
      </c>
      <c r="EXQ5">
        <f>Database!EYJ29</f>
        <v>0</v>
      </c>
      <c r="EXR5">
        <f>Database!EYK29</f>
        <v>0</v>
      </c>
      <c r="EXS5">
        <f>Database!EYL29</f>
        <v>0</v>
      </c>
      <c r="EXT5">
        <f>Database!EYM29</f>
        <v>0</v>
      </c>
      <c r="EXU5">
        <f>Database!EYN29</f>
        <v>0</v>
      </c>
      <c r="EXV5">
        <f>Database!EYO29</f>
        <v>0</v>
      </c>
      <c r="EXW5">
        <f>Database!EYP29</f>
        <v>0</v>
      </c>
      <c r="EXX5">
        <f>Database!EYQ29</f>
        <v>0</v>
      </c>
      <c r="EXY5">
        <f>Database!EYR29</f>
        <v>0</v>
      </c>
      <c r="EXZ5">
        <f>Database!EYS29</f>
        <v>0</v>
      </c>
      <c r="EYA5">
        <f>Database!EYT29</f>
        <v>0</v>
      </c>
      <c r="EYB5">
        <f>Database!EYU29</f>
        <v>0</v>
      </c>
      <c r="EYC5">
        <f>Database!EYV29</f>
        <v>0</v>
      </c>
      <c r="EYD5">
        <f>Database!EYW29</f>
        <v>0</v>
      </c>
      <c r="EYE5">
        <f>Database!EYX29</f>
        <v>0</v>
      </c>
      <c r="EYF5">
        <f>Database!EYY29</f>
        <v>0</v>
      </c>
      <c r="EYG5">
        <f>Database!EYZ29</f>
        <v>0</v>
      </c>
      <c r="EYH5">
        <f>Database!EZA29</f>
        <v>0</v>
      </c>
      <c r="EYI5">
        <f>Database!EZB29</f>
        <v>0</v>
      </c>
      <c r="EYJ5">
        <f>Database!EZC29</f>
        <v>0</v>
      </c>
      <c r="EYK5">
        <f>Database!EZD29</f>
        <v>0</v>
      </c>
      <c r="EYL5">
        <f>Database!EZE29</f>
        <v>0</v>
      </c>
      <c r="EYM5">
        <f>Database!EZF29</f>
        <v>0</v>
      </c>
      <c r="EYN5">
        <f>Database!EZG29</f>
        <v>0</v>
      </c>
      <c r="EYO5">
        <f>Database!EZH29</f>
        <v>0</v>
      </c>
      <c r="EYP5">
        <f>Database!EZI29</f>
        <v>0</v>
      </c>
      <c r="EYQ5">
        <f>Database!EZJ29</f>
        <v>0</v>
      </c>
      <c r="EYR5">
        <f>Database!EZK29</f>
        <v>0</v>
      </c>
      <c r="EYS5">
        <f>Database!EZL29</f>
        <v>0</v>
      </c>
      <c r="EYT5">
        <f>Database!EZM29</f>
        <v>0</v>
      </c>
      <c r="EYU5">
        <f>Database!EZN29</f>
        <v>0</v>
      </c>
      <c r="EYV5">
        <f>Database!EZO29</f>
        <v>0</v>
      </c>
      <c r="EYW5">
        <f>Database!EZP29</f>
        <v>0</v>
      </c>
      <c r="EYX5">
        <f>Database!EZQ29</f>
        <v>0</v>
      </c>
      <c r="EYY5">
        <f>Database!EZR29</f>
        <v>0</v>
      </c>
      <c r="EYZ5">
        <f>Database!EZS29</f>
        <v>0</v>
      </c>
      <c r="EZA5">
        <f>Database!EZT29</f>
        <v>0</v>
      </c>
      <c r="EZB5">
        <f>Database!EZU29</f>
        <v>0</v>
      </c>
      <c r="EZC5">
        <f>Database!EZV29</f>
        <v>0</v>
      </c>
      <c r="EZD5">
        <f>Database!EZW29</f>
        <v>0</v>
      </c>
      <c r="EZE5">
        <f>Database!EZX29</f>
        <v>0</v>
      </c>
      <c r="EZF5">
        <f>Database!EZY29</f>
        <v>0</v>
      </c>
      <c r="EZG5">
        <f>Database!EZZ29</f>
        <v>0</v>
      </c>
      <c r="EZH5">
        <f>Database!FAA29</f>
        <v>0</v>
      </c>
      <c r="EZI5">
        <f>Database!FAB29</f>
        <v>0</v>
      </c>
      <c r="EZJ5">
        <f>Database!FAC29</f>
        <v>0</v>
      </c>
      <c r="EZK5">
        <f>Database!FAD29</f>
        <v>0</v>
      </c>
      <c r="EZL5">
        <f>Database!FAE29</f>
        <v>0</v>
      </c>
      <c r="EZM5">
        <f>Database!FAF29</f>
        <v>0</v>
      </c>
      <c r="EZN5">
        <f>Database!FAG29</f>
        <v>0</v>
      </c>
      <c r="EZO5">
        <f>Database!FAH29</f>
        <v>0</v>
      </c>
      <c r="EZP5">
        <f>Database!FAI29</f>
        <v>0</v>
      </c>
      <c r="EZQ5">
        <f>Database!FAJ29</f>
        <v>0</v>
      </c>
      <c r="EZR5">
        <f>Database!FAK29</f>
        <v>0</v>
      </c>
      <c r="EZS5">
        <f>Database!FAL29</f>
        <v>0</v>
      </c>
      <c r="EZT5">
        <f>Database!FAM29</f>
        <v>0</v>
      </c>
      <c r="EZU5">
        <f>Database!FAN29</f>
        <v>0</v>
      </c>
      <c r="EZV5">
        <f>Database!FAO29</f>
        <v>0</v>
      </c>
      <c r="EZW5">
        <f>Database!FAP29</f>
        <v>0</v>
      </c>
      <c r="EZX5">
        <f>Database!FAQ29</f>
        <v>0</v>
      </c>
      <c r="EZY5">
        <f>Database!FAR29</f>
        <v>0</v>
      </c>
      <c r="EZZ5">
        <f>Database!FAS29</f>
        <v>0</v>
      </c>
      <c r="FAA5">
        <f>Database!FAT29</f>
        <v>0</v>
      </c>
      <c r="FAB5">
        <f>Database!FAU29</f>
        <v>0</v>
      </c>
      <c r="FAC5">
        <f>Database!FAV29</f>
        <v>0</v>
      </c>
      <c r="FAD5">
        <f>Database!FAW29</f>
        <v>0</v>
      </c>
      <c r="FAE5">
        <f>Database!FAX29</f>
        <v>0</v>
      </c>
      <c r="FAF5">
        <f>Database!FAY29</f>
        <v>0</v>
      </c>
      <c r="FAG5">
        <f>Database!FAZ29</f>
        <v>0</v>
      </c>
      <c r="FAH5">
        <f>Database!FBA29</f>
        <v>0</v>
      </c>
      <c r="FAI5">
        <f>Database!FBB29</f>
        <v>0</v>
      </c>
      <c r="FAJ5">
        <f>Database!FBC29</f>
        <v>0</v>
      </c>
      <c r="FAK5">
        <f>Database!FBD29</f>
        <v>0</v>
      </c>
      <c r="FAL5">
        <f>Database!FBE29</f>
        <v>0</v>
      </c>
      <c r="FAM5">
        <f>Database!FBF29</f>
        <v>0</v>
      </c>
      <c r="FAN5">
        <f>Database!FBG29</f>
        <v>0</v>
      </c>
      <c r="FAO5">
        <f>Database!FBH29</f>
        <v>0</v>
      </c>
      <c r="FAP5">
        <f>Database!FBI29</f>
        <v>0</v>
      </c>
      <c r="FAQ5">
        <f>Database!FBJ29</f>
        <v>0</v>
      </c>
      <c r="FAR5">
        <f>Database!FBK29</f>
        <v>0</v>
      </c>
      <c r="FAS5">
        <f>Database!FBL29</f>
        <v>0</v>
      </c>
      <c r="FAT5">
        <f>Database!FBM29</f>
        <v>0</v>
      </c>
      <c r="FAU5">
        <f>Database!FBN29</f>
        <v>0</v>
      </c>
      <c r="FAV5">
        <f>Database!FBO29</f>
        <v>0</v>
      </c>
      <c r="FAW5">
        <f>Database!FBP29</f>
        <v>0</v>
      </c>
      <c r="FAX5">
        <f>Database!FBQ29</f>
        <v>0</v>
      </c>
      <c r="FAY5">
        <f>Database!FBR29</f>
        <v>0</v>
      </c>
      <c r="FAZ5">
        <f>Database!FBS29</f>
        <v>0</v>
      </c>
      <c r="FBA5">
        <f>Database!FBT29</f>
        <v>0</v>
      </c>
      <c r="FBB5">
        <f>Database!FBU29</f>
        <v>0</v>
      </c>
      <c r="FBC5">
        <f>Database!FBV29</f>
        <v>0</v>
      </c>
      <c r="FBD5">
        <f>Database!FBW29</f>
        <v>0</v>
      </c>
      <c r="FBE5">
        <f>Database!FBX29</f>
        <v>0</v>
      </c>
      <c r="FBF5">
        <f>Database!FBY29</f>
        <v>0</v>
      </c>
      <c r="FBG5">
        <f>Database!FBZ29</f>
        <v>0</v>
      </c>
      <c r="FBH5">
        <f>Database!FCA29</f>
        <v>0</v>
      </c>
      <c r="FBI5">
        <f>Database!FCB29</f>
        <v>0</v>
      </c>
      <c r="FBJ5">
        <f>Database!FCC29</f>
        <v>0</v>
      </c>
      <c r="FBK5">
        <f>Database!FCD29</f>
        <v>0</v>
      </c>
      <c r="FBL5">
        <f>Database!FCE29</f>
        <v>0</v>
      </c>
      <c r="FBM5">
        <f>Database!FCF29</f>
        <v>0</v>
      </c>
      <c r="FBN5">
        <f>Database!FCG29</f>
        <v>0</v>
      </c>
      <c r="FBO5">
        <f>Database!FCH29</f>
        <v>0</v>
      </c>
      <c r="FBP5">
        <f>Database!FCI29</f>
        <v>0</v>
      </c>
      <c r="FBQ5">
        <f>Database!FCJ29</f>
        <v>0</v>
      </c>
      <c r="FBR5">
        <f>Database!FCK29</f>
        <v>0</v>
      </c>
      <c r="FBS5">
        <f>Database!FCL29</f>
        <v>0</v>
      </c>
      <c r="FBT5">
        <f>Database!FCM29</f>
        <v>0</v>
      </c>
      <c r="FBU5">
        <f>Database!FCN29</f>
        <v>0</v>
      </c>
      <c r="FBV5">
        <f>Database!FCO29</f>
        <v>0</v>
      </c>
      <c r="FBW5">
        <f>Database!FCP29</f>
        <v>0</v>
      </c>
      <c r="FBX5">
        <f>Database!FCQ29</f>
        <v>0</v>
      </c>
      <c r="FBY5">
        <f>Database!FCR29</f>
        <v>0</v>
      </c>
      <c r="FBZ5">
        <f>Database!FCS29</f>
        <v>0</v>
      </c>
      <c r="FCA5">
        <f>Database!FCT29</f>
        <v>0</v>
      </c>
      <c r="FCB5">
        <f>Database!FCU29</f>
        <v>0</v>
      </c>
      <c r="FCC5">
        <f>Database!FCV29</f>
        <v>0</v>
      </c>
      <c r="FCD5">
        <f>Database!FCW29</f>
        <v>0</v>
      </c>
      <c r="FCE5">
        <f>Database!FCX29</f>
        <v>0</v>
      </c>
      <c r="FCF5">
        <f>Database!FCY29</f>
        <v>0</v>
      </c>
      <c r="FCG5">
        <f>Database!FCZ29</f>
        <v>0</v>
      </c>
      <c r="FCH5">
        <f>Database!FDA29</f>
        <v>0</v>
      </c>
      <c r="FCI5">
        <f>Database!FDB29</f>
        <v>0</v>
      </c>
      <c r="FCJ5">
        <f>Database!FDC29</f>
        <v>0</v>
      </c>
      <c r="FCK5">
        <f>Database!FDD29</f>
        <v>0</v>
      </c>
      <c r="FCL5">
        <f>Database!FDE29</f>
        <v>0</v>
      </c>
      <c r="FCM5">
        <f>Database!FDF29</f>
        <v>0</v>
      </c>
      <c r="FCN5">
        <f>Database!FDG29</f>
        <v>0</v>
      </c>
      <c r="FCO5">
        <f>Database!FDH29</f>
        <v>0</v>
      </c>
      <c r="FCP5">
        <f>Database!FDI29</f>
        <v>0</v>
      </c>
      <c r="FCQ5">
        <f>Database!FDJ29</f>
        <v>0</v>
      </c>
      <c r="FCR5">
        <f>Database!FDK29</f>
        <v>0</v>
      </c>
      <c r="FCS5">
        <f>Database!FDL29</f>
        <v>0</v>
      </c>
      <c r="FCT5">
        <f>Database!FDM29</f>
        <v>0</v>
      </c>
      <c r="FCU5">
        <f>Database!FDN29</f>
        <v>0</v>
      </c>
      <c r="FCV5">
        <f>Database!FDO29</f>
        <v>0</v>
      </c>
      <c r="FCW5">
        <f>Database!FDP29</f>
        <v>0</v>
      </c>
      <c r="FCX5">
        <f>Database!FDQ29</f>
        <v>0</v>
      </c>
      <c r="FCY5">
        <f>Database!FDR29</f>
        <v>0</v>
      </c>
      <c r="FCZ5">
        <f>Database!FDS29</f>
        <v>0</v>
      </c>
      <c r="FDA5">
        <f>Database!FDT29</f>
        <v>0</v>
      </c>
      <c r="FDB5">
        <f>Database!FDU29</f>
        <v>0</v>
      </c>
      <c r="FDC5">
        <f>Database!FDV29</f>
        <v>0</v>
      </c>
      <c r="FDD5">
        <f>Database!FDW29</f>
        <v>0</v>
      </c>
      <c r="FDE5">
        <f>Database!FDX29</f>
        <v>0</v>
      </c>
      <c r="FDF5">
        <f>Database!FDY29</f>
        <v>0</v>
      </c>
      <c r="FDG5">
        <f>Database!FDZ29</f>
        <v>0</v>
      </c>
      <c r="FDH5">
        <f>Database!FEA29</f>
        <v>0</v>
      </c>
      <c r="FDI5">
        <f>Database!FEB29</f>
        <v>0</v>
      </c>
      <c r="FDJ5">
        <f>Database!FEC29</f>
        <v>0</v>
      </c>
      <c r="FDK5">
        <f>Database!FED29</f>
        <v>0</v>
      </c>
      <c r="FDL5">
        <f>Database!FEE29</f>
        <v>0</v>
      </c>
      <c r="FDM5">
        <f>Database!FEF29</f>
        <v>0</v>
      </c>
      <c r="FDN5">
        <f>Database!FEG29</f>
        <v>0</v>
      </c>
      <c r="FDO5">
        <f>Database!FEH29</f>
        <v>0</v>
      </c>
      <c r="FDP5">
        <f>Database!FEI29</f>
        <v>0</v>
      </c>
      <c r="FDQ5">
        <f>Database!FEJ29</f>
        <v>0</v>
      </c>
      <c r="FDR5">
        <f>Database!FEK29</f>
        <v>0</v>
      </c>
      <c r="FDS5">
        <f>Database!FEL29</f>
        <v>0</v>
      </c>
      <c r="FDT5">
        <f>Database!FEM29</f>
        <v>0</v>
      </c>
      <c r="FDU5">
        <f>Database!FEN29</f>
        <v>0</v>
      </c>
      <c r="FDV5">
        <f>Database!FEO29</f>
        <v>0</v>
      </c>
      <c r="FDW5">
        <f>Database!FEP29</f>
        <v>0</v>
      </c>
      <c r="FDX5">
        <f>Database!FEQ29</f>
        <v>0</v>
      </c>
      <c r="FDY5">
        <f>Database!FER29</f>
        <v>0</v>
      </c>
      <c r="FDZ5">
        <f>Database!FES29</f>
        <v>0</v>
      </c>
      <c r="FEA5">
        <f>Database!FET29</f>
        <v>0</v>
      </c>
      <c r="FEB5">
        <f>Database!FEU29</f>
        <v>0</v>
      </c>
      <c r="FEC5">
        <f>Database!FEV29</f>
        <v>0</v>
      </c>
      <c r="FED5">
        <f>Database!FEW29</f>
        <v>0</v>
      </c>
      <c r="FEE5">
        <f>Database!FEX29</f>
        <v>0</v>
      </c>
      <c r="FEF5">
        <f>Database!FEY29</f>
        <v>0</v>
      </c>
      <c r="FEG5">
        <f>Database!FEZ29</f>
        <v>0</v>
      </c>
      <c r="FEH5">
        <f>Database!FFA29</f>
        <v>0</v>
      </c>
      <c r="FEI5">
        <f>Database!FFB29</f>
        <v>0</v>
      </c>
      <c r="FEJ5">
        <f>Database!FFC29</f>
        <v>0</v>
      </c>
      <c r="FEK5">
        <f>Database!FFD29</f>
        <v>0</v>
      </c>
      <c r="FEL5">
        <f>Database!FFE29</f>
        <v>0</v>
      </c>
      <c r="FEM5">
        <f>Database!FFF29</f>
        <v>0</v>
      </c>
      <c r="FEN5">
        <f>Database!FFG29</f>
        <v>0</v>
      </c>
      <c r="FEO5">
        <f>Database!FFH29</f>
        <v>0</v>
      </c>
      <c r="FEP5">
        <f>Database!FFI29</f>
        <v>0</v>
      </c>
      <c r="FEQ5">
        <f>Database!FFJ29</f>
        <v>0</v>
      </c>
      <c r="FER5">
        <f>Database!FFK29</f>
        <v>0</v>
      </c>
      <c r="FES5">
        <f>Database!FFL29</f>
        <v>0</v>
      </c>
      <c r="FET5">
        <f>Database!FFM29</f>
        <v>0</v>
      </c>
      <c r="FEU5">
        <f>Database!FFN29</f>
        <v>0</v>
      </c>
      <c r="FEV5">
        <f>Database!FFO29</f>
        <v>0</v>
      </c>
      <c r="FEW5">
        <f>Database!FFP29</f>
        <v>0</v>
      </c>
      <c r="FEX5">
        <f>Database!FFQ29</f>
        <v>0</v>
      </c>
      <c r="FEY5">
        <f>Database!FFR29</f>
        <v>0</v>
      </c>
      <c r="FEZ5">
        <f>Database!FFS29</f>
        <v>0</v>
      </c>
      <c r="FFA5">
        <f>Database!FFT29</f>
        <v>0</v>
      </c>
      <c r="FFB5">
        <f>Database!FFU29</f>
        <v>0</v>
      </c>
      <c r="FFC5">
        <f>Database!FFV29</f>
        <v>0</v>
      </c>
      <c r="FFD5">
        <f>Database!FFW29</f>
        <v>0</v>
      </c>
      <c r="FFE5">
        <f>Database!FFX29</f>
        <v>0</v>
      </c>
      <c r="FFF5">
        <f>Database!FFY29</f>
        <v>0</v>
      </c>
      <c r="FFG5">
        <f>Database!FFZ29</f>
        <v>0</v>
      </c>
      <c r="FFH5">
        <f>Database!FGA29</f>
        <v>0</v>
      </c>
      <c r="FFI5">
        <f>Database!FGB29</f>
        <v>0</v>
      </c>
      <c r="FFJ5">
        <f>Database!FGC29</f>
        <v>0</v>
      </c>
      <c r="FFK5">
        <f>Database!FGD29</f>
        <v>0</v>
      </c>
      <c r="FFL5">
        <f>Database!FGE29</f>
        <v>0</v>
      </c>
      <c r="FFM5">
        <f>Database!FGF29</f>
        <v>0</v>
      </c>
      <c r="FFN5">
        <f>Database!FGG29</f>
        <v>0</v>
      </c>
      <c r="FFO5">
        <f>Database!FGH29</f>
        <v>0</v>
      </c>
      <c r="FFP5">
        <f>Database!FGI29</f>
        <v>0</v>
      </c>
      <c r="FFQ5">
        <f>Database!FGJ29</f>
        <v>0</v>
      </c>
      <c r="FFR5">
        <f>Database!FGK29</f>
        <v>0</v>
      </c>
      <c r="FFS5">
        <f>Database!FGL29</f>
        <v>0</v>
      </c>
      <c r="FFT5">
        <f>Database!FGM29</f>
        <v>0</v>
      </c>
      <c r="FFU5">
        <f>Database!FGN29</f>
        <v>0</v>
      </c>
      <c r="FFV5">
        <f>Database!FGO29</f>
        <v>0</v>
      </c>
      <c r="FFW5">
        <f>Database!FGP29</f>
        <v>0</v>
      </c>
      <c r="FFX5">
        <f>Database!FGQ29</f>
        <v>0</v>
      </c>
      <c r="FFY5">
        <f>Database!FGR29</f>
        <v>0</v>
      </c>
      <c r="FFZ5">
        <f>Database!FGS29</f>
        <v>0</v>
      </c>
      <c r="FGA5">
        <f>Database!FGT29</f>
        <v>0</v>
      </c>
      <c r="FGB5">
        <f>Database!FGU29</f>
        <v>0</v>
      </c>
      <c r="FGC5">
        <f>Database!FGV29</f>
        <v>0</v>
      </c>
      <c r="FGD5">
        <f>Database!FGW29</f>
        <v>0</v>
      </c>
      <c r="FGE5">
        <f>Database!FGX29</f>
        <v>0</v>
      </c>
      <c r="FGF5">
        <f>Database!FGY29</f>
        <v>0</v>
      </c>
      <c r="FGG5">
        <f>Database!FGZ29</f>
        <v>0</v>
      </c>
      <c r="FGH5">
        <f>Database!FHA29</f>
        <v>0</v>
      </c>
      <c r="FGI5">
        <f>Database!FHB29</f>
        <v>0</v>
      </c>
      <c r="FGJ5">
        <f>Database!FHC29</f>
        <v>0</v>
      </c>
      <c r="FGK5">
        <f>Database!FHD29</f>
        <v>0</v>
      </c>
      <c r="FGL5">
        <f>Database!FHE29</f>
        <v>0</v>
      </c>
      <c r="FGM5">
        <f>Database!FHF29</f>
        <v>0</v>
      </c>
      <c r="FGN5">
        <f>Database!FHG29</f>
        <v>0</v>
      </c>
      <c r="FGO5">
        <f>Database!FHH29</f>
        <v>0</v>
      </c>
      <c r="FGP5">
        <f>Database!FHI29</f>
        <v>0</v>
      </c>
      <c r="FGQ5">
        <f>Database!FHJ29</f>
        <v>0</v>
      </c>
      <c r="FGR5">
        <f>Database!FHK29</f>
        <v>0</v>
      </c>
      <c r="FGS5">
        <f>Database!FHL29</f>
        <v>0</v>
      </c>
      <c r="FGT5">
        <f>Database!FHM29</f>
        <v>0</v>
      </c>
      <c r="FGU5">
        <f>Database!FHN29</f>
        <v>0</v>
      </c>
      <c r="FGV5">
        <f>Database!FHO29</f>
        <v>0</v>
      </c>
      <c r="FGW5">
        <f>Database!FHP29</f>
        <v>0</v>
      </c>
      <c r="FGX5">
        <f>Database!FHQ29</f>
        <v>0</v>
      </c>
      <c r="FGY5">
        <f>Database!FHR29</f>
        <v>0</v>
      </c>
      <c r="FGZ5">
        <f>Database!FHS29</f>
        <v>0</v>
      </c>
      <c r="FHA5">
        <f>Database!FHT29</f>
        <v>0</v>
      </c>
      <c r="FHB5">
        <f>Database!FHU29</f>
        <v>0</v>
      </c>
      <c r="FHC5">
        <f>Database!FHV29</f>
        <v>0</v>
      </c>
      <c r="FHD5">
        <f>Database!FHW29</f>
        <v>0</v>
      </c>
      <c r="FHE5">
        <f>Database!FHX29</f>
        <v>0</v>
      </c>
      <c r="FHF5">
        <f>Database!FHY29</f>
        <v>0</v>
      </c>
      <c r="FHG5">
        <f>Database!FHZ29</f>
        <v>0</v>
      </c>
      <c r="FHH5">
        <f>Database!FIA29</f>
        <v>0</v>
      </c>
      <c r="FHI5">
        <f>Database!FIB29</f>
        <v>0</v>
      </c>
      <c r="FHJ5">
        <f>Database!FIC29</f>
        <v>0</v>
      </c>
      <c r="FHK5">
        <f>Database!FID29</f>
        <v>0</v>
      </c>
      <c r="FHL5">
        <f>Database!FIE29</f>
        <v>0</v>
      </c>
      <c r="FHM5">
        <f>Database!FIF29</f>
        <v>0</v>
      </c>
      <c r="FHN5">
        <f>Database!FIG29</f>
        <v>0</v>
      </c>
      <c r="FHO5">
        <f>Database!FIH29</f>
        <v>0</v>
      </c>
      <c r="FHP5">
        <f>Database!FII29</f>
        <v>0</v>
      </c>
      <c r="FHQ5">
        <f>Database!FIJ29</f>
        <v>0</v>
      </c>
      <c r="FHR5">
        <f>Database!FIK29</f>
        <v>0</v>
      </c>
      <c r="FHS5">
        <f>Database!FIL29</f>
        <v>0</v>
      </c>
      <c r="FHT5">
        <f>Database!FIM29</f>
        <v>0</v>
      </c>
      <c r="FHU5">
        <f>Database!FIN29</f>
        <v>0</v>
      </c>
      <c r="FHV5">
        <f>Database!FIO29</f>
        <v>0</v>
      </c>
      <c r="FHW5">
        <f>Database!FIP29</f>
        <v>0</v>
      </c>
      <c r="FHX5">
        <f>Database!FIQ29</f>
        <v>0</v>
      </c>
      <c r="FHY5">
        <f>Database!FIR29</f>
        <v>0</v>
      </c>
      <c r="FHZ5">
        <f>Database!FIS29</f>
        <v>0</v>
      </c>
      <c r="FIA5">
        <f>Database!FIT29</f>
        <v>0</v>
      </c>
      <c r="FIB5">
        <f>Database!FIU29</f>
        <v>0</v>
      </c>
      <c r="FIC5">
        <f>Database!FIV29</f>
        <v>0</v>
      </c>
      <c r="FID5">
        <f>Database!FIW29</f>
        <v>0</v>
      </c>
      <c r="FIE5">
        <f>Database!FIX29</f>
        <v>0</v>
      </c>
      <c r="FIF5">
        <f>Database!FIY29</f>
        <v>0</v>
      </c>
      <c r="FIG5">
        <f>Database!FIZ29</f>
        <v>0</v>
      </c>
      <c r="FIH5">
        <f>Database!FJA29</f>
        <v>0</v>
      </c>
      <c r="FII5">
        <f>Database!FJB29</f>
        <v>0</v>
      </c>
      <c r="FIJ5">
        <f>Database!FJC29</f>
        <v>0</v>
      </c>
      <c r="FIK5">
        <f>Database!FJD29</f>
        <v>0</v>
      </c>
      <c r="FIL5">
        <f>Database!FJE29</f>
        <v>0</v>
      </c>
      <c r="FIM5">
        <f>Database!FJF29</f>
        <v>0</v>
      </c>
      <c r="FIN5">
        <f>Database!FJG29</f>
        <v>0</v>
      </c>
      <c r="FIO5">
        <f>Database!FJH29</f>
        <v>0</v>
      </c>
      <c r="FIP5">
        <f>Database!FJI29</f>
        <v>0</v>
      </c>
      <c r="FIQ5">
        <f>Database!FJJ29</f>
        <v>0</v>
      </c>
      <c r="FIR5">
        <f>Database!FJK29</f>
        <v>0</v>
      </c>
      <c r="FIS5">
        <f>Database!FJL29</f>
        <v>0</v>
      </c>
      <c r="FIT5">
        <f>Database!FJM29</f>
        <v>0</v>
      </c>
      <c r="FIU5">
        <f>Database!FJN29</f>
        <v>0</v>
      </c>
      <c r="FIV5">
        <f>Database!FJO29</f>
        <v>0</v>
      </c>
      <c r="FIW5">
        <f>Database!FJP29</f>
        <v>0</v>
      </c>
      <c r="FIX5">
        <f>Database!FJQ29</f>
        <v>0</v>
      </c>
      <c r="FIY5">
        <f>Database!FJR29</f>
        <v>0</v>
      </c>
      <c r="FIZ5">
        <f>Database!FJS29</f>
        <v>0</v>
      </c>
      <c r="FJA5">
        <f>Database!FJT29</f>
        <v>0</v>
      </c>
      <c r="FJB5">
        <f>Database!FJU29</f>
        <v>0</v>
      </c>
      <c r="FJC5">
        <f>Database!FJV29</f>
        <v>0</v>
      </c>
      <c r="FJD5">
        <f>Database!FJW29</f>
        <v>0</v>
      </c>
      <c r="FJE5">
        <f>Database!FJX29</f>
        <v>0</v>
      </c>
      <c r="FJF5">
        <f>Database!FJY29</f>
        <v>0</v>
      </c>
      <c r="FJG5">
        <f>Database!FJZ29</f>
        <v>0</v>
      </c>
      <c r="FJH5">
        <f>Database!FKA29</f>
        <v>0</v>
      </c>
      <c r="FJI5">
        <f>Database!FKB29</f>
        <v>0</v>
      </c>
      <c r="FJJ5">
        <f>Database!FKC29</f>
        <v>0</v>
      </c>
      <c r="FJK5">
        <f>Database!FKD29</f>
        <v>0</v>
      </c>
      <c r="FJL5">
        <f>Database!FKE29</f>
        <v>0</v>
      </c>
      <c r="FJM5">
        <f>Database!FKF29</f>
        <v>0</v>
      </c>
      <c r="FJN5">
        <f>Database!FKG29</f>
        <v>0</v>
      </c>
      <c r="FJO5">
        <f>Database!FKH29</f>
        <v>0</v>
      </c>
      <c r="FJP5">
        <f>Database!FKI29</f>
        <v>0</v>
      </c>
      <c r="FJQ5">
        <f>Database!FKJ29</f>
        <v>0</v>
      </c>
      <c r="FJR5">
        <f>Database!FKK29</f>
        <v>0</v>
      </c>
      <c r="FJS5">
        <f>Database!FKL29</f>
        <v>0</v>
      </c>
      <c r="FJT5">
        <f>Database!FKM29</f>
        <v>0</v>
      </c>
      <c r="FJU5">
        <f>Database!FKN29</f>
        <v>0</v>
      </c>
      <c r="FJV5">
        <f>Database!FKO29</f>
        <v>0</v>
      </c>
      <c r="FJW5">
        <f>Database!FKP29</f>
        <v>0</v>
      </c>
      <c r="FJX5">
        <f>Database!FKQ29</f>
        <v>0</v>
      </c>
      <c r="FJY5">
        <f>Database!FKR29</f>
        <v>0</v>
      </c>
      <c r="FJZ5">
        <f>Database!FKS29</f>
        <v>0</v>
      </c>
      <c r="FKA5">
        <f>Database!FKT29</f>
        <v>0</v>
      </c>
      <c r="FKB5">
        <f>Database!FKU29</f>
        <v>0</v>
      </c>
      <c r="FKC5">
        <f>Database!FKV29</f>
        <v>0</v>
      </c>
      <c r="FKD5">
        <f>Database!FKW29</f>
        <v>0</v>
      </c>
      <c r="FKE5">
        <f>Database!FKX29</f>
        <v>0</v>
      </c>
      <c r="FKF5">
        <f>Database!FKY29</f>
        <v>0</v>
      </c>
      <c r="FKG5">
        <f>Database!FKZ29</f>
        <v>0</v>
      </c>
      <c r="FKH5">
        <f>Database!FLA29</f>
        <v>0</v>
      </c>
      <c r="FKI5">
        <f>Database!FLB29</f>
        <v>0</v>
      </c>
      <c r="FKJ5">
        <f>Database!FLC29</f>
        <v>0</v>
      </c>
      <c r="FKK5">
        <f>Database!FLD29</f>
        <v>0</v>
      </c>
      <c r="FKL5">
        <f>Database!FLE29</f>
        <v>0</v>
      </c>
      <c r="FKM5">
        <f>Database!FLF29</f>
        <v>0</v>
      </c>
      <c r="FKN5">
        <f>Database!FLG29</f>
        <v>0</v>
      </c>
      <c r="FKO5">
        <f>Database!FLH29</f>
        <v>0</v>
      </c>
      <c r="FKP5">
        <f>Database!FLI29</f>
        <v>0</v>
      </c>
      <c r="FKQ5">
        <f>Database!FLJ29</f>
        <v>0</v>
      </c>
      <c r="FKR5">
        <f>Database!FLK29</f>
        <v>0</v>
      </c>
      <c r="FKS5">
        <f>Database!FLL29</f>
        <v>0</v>
      </c>
      <c r="FKT5">
        <f>Database!FLM29</f>
        <v>0</v>
      </c>
      <c r="FKU5">
        <f>Database!FLN29</f>
        <v>0</v>
      </c>
      <c r="FKV5">
        <f>Database!FLO29</f>
        <v>0</v>
      </c>
      <c r="FKW5">
        <f>Database!FLP29</f>
        <v>0</v>
      </c>
      <c r="FKX5">
        <f>Database!FLQ29</f>
        <v>0</v>
      </c>
      <c r="FKY5">
        <f>Database!FLR29</f>
        <v>0</v>
      </c>
      <c r="FKZ5">
        <f>Database!FLS29</f>
        <v>0</v>
      </c>
      <c r="FLA5">
        <f>Database!FLT29</f>
        <v>0</v>
      </c>
      <c r="FLB5">
        <f>Database!FLU29</f>
        <v>0</v>
      </c>
      <c r="FLC5">
        <f>Database!FLV29</f>
        <v>0</v>
      </c>
      <c r="FLD5">
        <f>Database!FLW29</f>
        <v>0</v>
      </c>
      <c r="FLE5">
        <f>Database!FLX29</f>
        <v>0</v>
      </c>
      <c r="FLF5">
        <f>Database!FLY29</f>
        <v>0</v>
      </c>
      <c r="FLG5">
        <f>Database!FLZ29</f>
        <v>0</v>
      </c>
      <c r="FLH5">
        <f>Database!FMA29</f>
        <v>0</v>
      </c>
      <c r="FLI5">
        <f>Database!FMB29</f>
        <v>0</v>
      </c>
      <c r="FLJ5">
        <f>Database!FMC29</f>
        <v>0</v>
      </c>
      <c r="FLK5">
        <f>Database!FMD29</f>
        <v>0</v>
      </c>
      <c r="FLL5">
        <f>Database!FME29</f>
        <v>0</v>
      </c>
      <c r="FLM5">
        <f>Database!FMF29</f>
        <v>0</v>
      </c>
      <c r="FLN5">
        <f>Database!FMG29</f>
        <v>0</v>
      </c>
      <c r="FLO5">
        <f>Database!FMH29</f>
        <v>0</v>
      </c>
      <c r="FLP5">
        <f>Database!FMI29</f>
        <v>0</v>
      </c>
      <c r="FLQ5">
        <f>Database!FMJ29</f>
        <v>0</v>
      </c>
      <c r="FLR5">
        <f>Database!FMK29</f>
        <v>0</v>
      </c>
      <c r="FLS5">
        <f>Database!FML29</f>
        <v>0</v>
      </c>
      <c r="FLT5">
        <f>Database!FMM29</f>
        <v>0</v>
      </c>
      <c r="FLU5">
        <f>Database!FMN29</f>
        <v>0</v>
      </c>
      <c r="FLV5">
        <f>Database!FMO29</f>
        <v>0</v>
      </c>
      <c r="FLW5">
        <f>Database!FMP29</f>
        <v>0</v>
      </c>
      <c r="FLX5">
        <f>Database!FMQ29</f>
        <v>0</v>
      </c>
      <c r="FLY5">
        <f>Database!FMR29</f>
        <v>0</v>
      </c>
      <c r="FLZ5">
        <f>Database!FMS29</f>
        <v>0</v>
      </c>
      <c r="FMA5">
        <f>Database!FMT29</f>
        <v>0</v>
      </c>
      <c r="FMB5">
        <f>Database!FMU29</f>
        <v>0</v>
      </c>
      <c r="FMC5">
        <f>Database!FMV29</f>
        <v>0</v>
      </c>
      <c r="FMD5">
        <f>Database!FMW29</f>
        <v>0</v>
      </c>
      <c r="FME5">
        <f>Database!FMX29</f>
        <v>0</v>
      </c>
      <c r="FMF5">
        <f>Database!FMY29</f>
        <v>0</v>
      </c>
      <c r="FMG5">
        <f>Database!FMZ29</f>
        <v>0</v>
      </c>
      <c r="FMH5">
        <f>Database!FNA29</f>
        <v>0</v>
      </c>
      <c r="FMI5">
        <f>Database!FNB29</f>
        <v>0</v>
      </c>
      <c r="FMJ5">
        <f>Database!FNC29</f>
        <v>0</v>
      </c>
      <c r="FMK5">
        <f>Database!FND29</f>
        <v>0</v>
      </c>
      <c r="FML5">
        <f>Database!FNE29</f>
        <v>0</v>
      </c>
      <c r="FMM5">
        <f>Database!FNF29</f>
        <v>0</v>
      </c>
      <c r="FMN5">
        <f>Database!FNG29</f>
        <v>0</v>
      </c>
      <c r="FMO5">
        <f>Database!FNH29</f>
        <v>0</v>
      </c>
      <c r="FMP5">
        <f>Database!FNI29</f>
        <v>0</v>
      </c>
      <c r="FMQ5">
        <f>Database!FNJ29</f>
        <v>0</v>
      </c>
      <c r="FMR5">
        <f>Database!FNK29</f>
        <v>0</v>
      </c>
      <c r="FMS5">
        <f>Database!FNL29</f>
        <v>0</v>
      </c>
      <c r="FMT5">
        <f>Database!FNM29</f>
        <v>0</v>
      </c>
      <c r="FMU5">
        <f>Database!FNN29</f>
        <v>0</v>
      </c>
      <c r="FMV5">
        <f>Database!FNO29</f>
        <v>0</v>
      </c>
      <c r="FMW5">
        <f>Database!FNP29</f>
        <v>0</v>
      </c>
      <c r="FMX5">
        <f>Database!FNQ29</f>
        <v>0</v>
      </c>
      <c r="FMY5">
        <f>Database!FNR29</f>
        <v>0</v>
      </c>
      <c r="FMZ5">
        <f>Database!FNS29</f>
        <v>0</v>
      </c>
      <c r="FNA5">
        <f>Database!FNT29</f>
        <v>0</v>
      </c>
      <c r="FNB5">
        <f>Database!FNU29</f>
        <v>0</v>
      </c>
      <c r="FNC5">
        <f>Database!FNV29</f>
        <v>0</v>
      </c>
      <c r="FND5">
        <f>Database!FNW29</f>
        <v>0</v>
      </c>
      <c r="FNE5">
        <f>Database!FNX29</f>
        <v>0</v>
      </c>
      <c r="FNF5">
        <f>Database!FNY29</f>
        <v>0</v>
      </c>
      <c r="FNG5">
        <f>Database!FNZ29</f>
        <v>0</v>
      </c>
      <c r="FNH5">
        <f>Database!FOA29</f>
        <v>0</v>
      </c>
      <c r="FNI5">
        <f>Database!FOB29</f>
        <v>0</v>
      </c>
      <c r="FNJ5">
        <f>Database!FOC29</f>
        <v>0</v>
      </c>
      <c r="FNK5">
        <f>Database!FOD29</f>
        <v>0</v>
      </c>
      <c r="FNL5">
        <f>Database!FOE29</f>
        <v>0</v>
      </c>
      <c r="FNM5">
        <f>Database!FOF29</f>
        <v>0</v>
      </c>
      <c r="FNN5">
        <f>Database!FOG29</f>
        <v>0</v>
      </c>
      <c r="FNO5">
        <f>Database!FOH29</f>
        <v>0</v>
      </c>
      <c r="FNP5">
        <f>Database!FOI29</f>
        <v>0</v>
      </c>
      <c r="FNQ5">
        <f>Database!FOJ29</f>
        <v>0</v>
      </c>
      <c r="FNR5">
        <f>Database!FOK29</f>
        <v>0</v>
      </c>
      <c r="FNS5">
        <f>Database!FOL29</f>
        <v>0</v>
      </c>
      <c r="FNT5">
        <f>Database!FOM29</f>
        <v>0</v>
      </c>
      <c r="FNU5">
        <f>Database!FON29</f>
        <v>0</v>
      </c>
      <c r="FNV5">
        <f>Database!FOO29</f>
        <v>0</v>
      </c>
      <c r="FNW5">
        <f>Database!FOP29</f>
        <v>0</v>
      </c>
      <c r="FNX5">
        <f>Database!FOQ29</f>
        <v>0</v>
      </c>
      <c r="FNY5">
        <f>Database!FOR29</f>
        <v>0</v>
      </c>
      <c r="FNZ5">
        <f>Database!FOS29</f>
        <v>0</v>
      </c>
      <c r="FOA5">
        <f>Database!FOT29</f>
        <v>0</v>
      </c>
      <c r="FOB5">
        <f>Database!FOU29</f>
        <v>0</v>
      </c>
      <c r="FOC5">
        <f>Database!FOV29</f>
        <v>0</v>
      </c>
      <c r="FOD5">
        <f>Database!FOW29</f>
        <v>0</v>
      </c>
      <c r="FOE5">
        <f>Database!FOX29</f>
        <v>0</v>
      </c>
      <c r="FOF5">
        <f>Database!FOY29</f>
        <v>0</v>
      </c>
      <c r="FOG5">
        <f>Database!FOZ29</f>
        <v>0</v>
      </c>
      <c r="FOH5">
        <f>Database!FPA29</f>
        <v>0</v>
      </c>
      <c r="FOI5">
        <f>Database!FPB29</f>
        <v>0</v>
      </c>
      <c r="FOJ5">
        <f>Database!FPC29</f>
        <v>0</v>
      </c>
      <c r="FOK5">
        <f>Database!FPD29</f>
        <v>0</v>
      </c>
      <c r="FOL5">
        <f>Database!FPE29</f>
        <v>0</v>
      </c>
      <c r="FOM5">
        <f>Database!FPF29</f>
        <v>0</v>
      </c>
      <c r="FON5">
        <f>Database!FPG29</f>
        <v>0</v>
      </c>
      <c r="FOO5">
        <f>Database!FPH29</f>
        <v>0</v>
      </c>
      <c r="FOP5">
        <f>Database!FPI29</f>
        <v>0</v>
      </c>
      <c r="FOQ5">
        <f>Database!FPJ29</f>
        <v>0</v>
      </c>
      <c r="FOR5">
        <f>Database!FPK29</f>
        <v>0</v>
      </c>
      <c r="FOS5">
        <f>Database!FPL29</f>
        <v>0</v>
      </c>
      <c r="FOT5">
        <f>Database!FPM29</f>
        <v>0</v>
      </c>
      <c r="FOU5">
        <f>Database!FPN29</f>
        <v>0</v>
      </c>
      <c r="FOV5">
        <f>Database!FPO29</f>
        <v>0</v>
      </c>
      <c r="FOW5">
        <f>Database!FPP29</f>
        <v>0</v>
      </c>
      <c r="FOX5">
        <f>Database!FPQ29</f>
        <v>0</v>
      </c>
      <c r="FOY5">
        <f>Database!FPR29</f>
        <v>0</v>
      </c>
      <c r="FOZ5">
        <f>Database!FPS29</f>
        <v>0</v>
      </c>
      <c r="FPA5">
        <f>Database!FPT29</f>
        <v>0</v>
      </c>
      <c r="FPB5">
        <f>Database!FPU29</f>
        <v>0</v>
      </c>
      <c r="FPC5">
        <f>Database!FPV29</f>
        <v>0</v>
      </c>
      <c r="FPD5">
        <f>Database!FPW29</f>
        <v>0</v>
      </c>
      <c r="FPE5">
        <f>Database!FPX29</f>
        <v>0</v>
      </c>
      <c r="FPF5">
        <f>Database!FPY29</f>
        <v>0</v>
      </c>
      <c r="FPG5">
        <f>Database!FPZ29</f>
        <v>0</v>
      </c>
      <c r="FPH5">
        <f>Database!FQA29</f>
        <v>0</v>
      </c>
      <c r="FPI5">
        <f>Database!FQB29</f>
        <v>0</v>
      </c>
      <c r="FPJ5">
        <f>Database!FQC29</f>
        <v>0</v>
      </c>
      <c r="FPK5">
        <f>Database!FQD29</f>
        <v>0</v>
      </c>
      <c r="FPL5">
        <f>Database!FQE29</f>
        <v>0</v>
      </c>
      <c r="FPM5">
        <f>Database!FQF29</f>
        <v>0</v>
      </c>
      <c r="FPN5">
        <f>Database!FQG29</f>
        <v>0</v>
      </c>
      <c r="FPO5">
        <f>Database!FQH29</f>
        <v>0</v>
      </c>
      <c r="FPP5">
        <f>Database!FQI29</f>
        <v>0</v>
      </c>
      <c r="FPQ5">
        <f>Database!FQJ29</f>
        <v>0</v>
      </c>
      <c r="FPR5">
        <f>Database!FQK29</f>
        <v>0</v>
      </c>
      <c r="FPS5">
        <f>Database!FQL29</f>
        <v>0</v>
      </c>
      <c r="FPT5">
        <f>Database!FQM29</f>
        <v>0</v>
      </c>
      <c r="FPU5">
        <f>Database!FQN29</f>
        <v>0</v>
      </c>
      <c r="FPV5">
        <f>Database!FQO29</f>
        <v>0</v>
      </c>
      <c r="FPW5">
        <f>Database!FQP29</f>
        <v>0</v>
      </c>
      <c r="FPX5">
        <f>Database!FQQ29</f>
        <v>0</v>
      </c>
      <c r="FPY5">
        <f>Database!FQR29</f>
        <v>0</v>
      </c>
      <c r="FPZ5">
        <f>Database!FQS29</f>
        <v>0</v>
      </c>
      <c r="FQA5">
        <f>Database!FQT29</f>
        <v>0</v>
      </c>
      <c r="FQB5">
        <f>Database!FQU29</f>
        <v>0</v>
      </c>
      <c r="FQC5">
        <f>Database!FQV29</f>
        <v>0</v>
      </c>
      <c r="FQD5">
        <f>Database!FQW29</f>
        <v>0</v>
      </c>
      <c r="FQE5">
        <f>Database!FQX29</f>
        <v>0</v>
      </c>
      <c r="FQF5">
        <f>Database!FQY29</f>
        <v>0</v>
      </c>
      <c r="FQG5">
        <f>Database!FQZ29</f>
        <v>0</v>
      </c>
      <c r="FQH5">
        <f>Database!FRA29</f>
        <v>0</v>
      </c>
      <c r="FQI5">
        <f>Database!FRB29</f>
        <v>0</v>
      </c>
      <c r="FQJ5">
        <f>Database!FRC29</f>
        <v>0</v>
      </c>
      <c r="FQK5">
        <f>Database!FRD29</f>
        <v>0</v>
      </c>
      <c r="FQL5">
        <f>Database!FRE29</f>
        <v>0</v>
      </c>
      <c r="FQM5">
        <f>Database!FRF29</f>
        <v>0</v>
      </c>
      <c r="FQN5">
        <f>Database!FRG29</f>
        <v>0</v>
      </c>
      <c r="FQO5">
        <f>Database!FRH29</f>
        <v>0</v>
      </c>
      <c r="FQP5">
        <f>Database!FRI29</f>
        <v>0</v>
      </c>
      <c r="FQQ5">
        <f>Database!FRJ29</f>
        <v>0</v>
      </c>
      <c r="FQR5">
        <f>Database!FRK29</f>
        <v>0</v>
      </c>
      <c r="FQS5">
        <f>Database!FRL29</f>
        <v>0</v>
      </c>
      <c r="FQT5">
        <f>Database!FRM29</f>
        <v>0</v>
      </c>
      <c r="FQU5">
        <f>Database!FRN29</f>
        <v>0</v>
      </c>
      <c r="FQV5">
        <f>Database!FRO29</f>
        <v>0</v>
      </c>
      <c r="FQW5">
        <f>Database!FRP29</f>
        <v>0</v>
      </c>
      <c r="FQX5">
        <f>Database!FRQ29</f>
        <v>0</v>
      </c>
      <c r="FQY5">
        <f>Database!FRR29</f>
        <v>0</v>
      </c>
      <c r="FQZ5">
        <f>Database!FRS29</f>
        <v>0</v>
      </c>
      <c r="FRA5">
        <f>Database!FRT29</f>
        <v>0</v>
      </c>
      <c r="FRB5">
        <f>Database!FRU29</f>
        <v>0</v>
      </c>
      <c r="FRC5">
        <f>Database!FRV29</f>
        <v>0</v>
      </c>
      <c r="FRD5">
        <f>Database!FRW29</f>
        <v>0</v>
      </c>
      <c r="FRE5">
        <f>Database!FRX29</f>
        <v>0</v>
      </c>
      <c r="FRF5">
        <f>Database!FRY29</f>
        <v>0</v>
      </c>
      <c r="FRG5">
        <f>Database!FRZ29</f>
        <v>0</v>
      </c>
      <c r="FRH5">
        <f>Database!FSA29</f>
        <v>0</v>
      </c>
      <c r="FRI5">
        <f>Database!FSB29</f>
        <v>0</v>
      </c>
      <c r="FRJ5">
        <f>Database!FSC29</f>
        <v>0</v>
      </c>
      <c r="FRK5">
        <f>Database!FSD29</f>
        <v>0</v>
      </c>
      <c r="FRL5">
        <f>Database!FSE29</f>
        <v>0</v>
      </c>
      <c r="FRM5">
        <f>Database!FSF29</f>
        <v>0</v>
      </c>
      <c r="FRN5">
        <f>Database!FSG29</f>
        <v>0</v>
      </c>
      <c r="FRO5">
        <f>Database!FSH29</f>
        <v>0</v>
      </c>
      <c r="FRP5">
        <f>Database!FSI29</f>
        <v>0</v>
      </c>
      <c r="FRQ5">
        <f>Database!FSJ29</f>
        <v>0</v>
      </c>
      <c r="FRR5">
        <f>Database!FSK29</f>
        <v>0</v>
      </c>
      <c r="FRS5">
        <f>Database!FSL29</f>
        <v>0</v>
      </c>
      <c r="FRT5">
        <f>Database!FSM29</f>
        <v>0</v>
      </c>
      <c r="FRU5">
        <f>Database!FSN29</f>
        <v>0</v>
      </c>
      <c r="FRV5">
        <f>Database!FSO29</f>
        <v>0</v>
      </c>
      <c r="FRW5">
        <f>Database!FSP29</f>
        <v>0</v>
      </c>
      <c r="FRX5">
        <f>Database!FSQ29</f>
        <v>0</v>
      </c>
      <c r="FRY5">
        <f>Database!FSR29</f>
        <v>0</v>
      </c>
      <c r="FRZ5">
        <f>Database!FSS29</f>
        <v>0</v>
      </c>
      <c r="FSA5">
        <f>Database!FST29</f>
        <v>0</v>
      </c>
      <c r="FSB5">
        <f>Database!FSU29</f>
        <v>0</v>
      </c>
      <c r="FSC5">
        <f>Database!FSV29</f>
        <v>0</v>
      </c>
      <c r="FSD5">
        <f>Database!FSW29</f>
        <v>0</v>
      </c>
      <c r="FSE5">
        <f>Database!FSX29</f>
        <v>0</v>
      </c>
      <c r="FSF5">
        <f>Database!FSY29</f>
        <v>0</v>
      </c>
      <c r="FSG5">
        <f>Database!FSZ29</f>
        <v>0</v>
      </c>
      <c r="FSH5">
        <f>Database!FTA29</f>
        <v>0</v>
      </c>
      <c r="FSI5">
        <f>Database!FTB29</f>
        <v>0</v>
      </c>
      <c r="FSJ5">
        <f>Database!FTC29</f>
        <v>0</v>
      </c>
      <c r="FSK5">
        <f>Database!FTD29</f>
        <v>0</v>
      </c>
      <c r="FSL5">
        <f>Database!FTE29</f>
        <v>0</v>
      </c>
      <c r="FSM5">
        <f>Database!FTF29</f>
        <v>0</v>
      </c>
      <c r="FSN5">
        <f>Database!FTG29</f>
        <v>0</v>
      </c>
      <c r="FSO5">
        <f>Database!FTH29</f>
        <v>0</v>
      </c>
      <c r="FSP5">
        <f>Database!FTI29</f>
        <v>0</v>
      </c>
      <c r="FSQ5">
        <f>Database!FTJ29</f>
        <v>0</v>
      </c>
      <c r="FSR5">
        <f>Database!FTK29</f>
        <v>0</v>
      </c>
      <c r="FSS5">
        <f>Database!FTL29</f>
        <v>0</v>
      </c>
      <c r="FST5">
        <f>Database!FTM29</f>
        <v>0</v>
      </c>
      <c r="FSU5">
        <f>Database!FTN29</f>
        <v>0</v>
      </c>
      <c r="FSV5">
        <f>Database!FTO29</f>
        <v>0</v>
      </c>
      <c r="FSW5">
        <f>Database!FTP29</f>
        <v>0</v>
      </c>
      <c r="FSX5">
        <f>Database!FTQ29</f>
        <v>0</v>
      </c>
      <c r="FSY5">
        <f>Database!FTR29</f>
        <v>0</v>
      </c>
      <c r="FSZ5">
        <f>Database!FTS29</f>
        <v>0</v>
      </c>
      <c r="FTA5">
        <f>Database!FTT29</f>
        <v>0</v>
      </c>
      <c r="FTB5">
        <f>Database!FTU29</f>
        <v>0</v>
      </c>
      <c r="FTC5">
        <f>Database!FTV29</f>
        <v>0</v>
      </c>
      <c r="FTD5">
        <f>Database!FTW29</f>
        <v>0</v>
      </c>
      <c r="FTE5">
        <f>Database!FTX29</f>
        <v>0</v>
      </c>
      <c r="FTF5">
        <f>Database!FTY29</f>
        <v>0</v>
      </c>
      <c r="FTG5">
        <f>Database!FTZ29</f>
        <v>0</v>
      </c>
      <c r="FTH5">
        <f>Database!FUA29</f>
        <v>0</v>
      </c>
      <c r="FTI5">
        <f>Database!FUB29</f>
        <v>0</v>
      </c>
      <c r="FTJ5">
        <f>Database!FUC29</f>
        <v>0</v>
      </c>
      <c r="FTK5">
        <f>Database!FUD29</f>
        <v>0</v>
      </c>
      <c r="FTL5">
        <f>Database!FUE29</f>
        <v>0</v>
      </c>
      <c r="FTM5">
        <f>Database!FUF29</f>
        <v>0</v>
      </c>
      <c r="FTN5">
        <f>Database!FUG29</f>
        <v>0</v>
      </c>
      <c r="FTO5">
        <f>Database!FUH29</f>
        <v>0</v>
      </c>
      <c r="FTP5">
        <f>Database!FUI29</f>
        <v>0</v>
      </c>
      <c r="FTQ5">
        <f>Database!FUJ29</f>
        <v>0</v>
      </c>
      <c r="FTR5">
        <f>Database!FUK29</f>
        <v>0</v>
      </c>
      <c r="FTS5">
        <f>Database!FUL29</f>
        <v>0</v>
      </c>
      <c r="FTT5">
        <f>Database!FUM29</f>
        <v>0</v>
      </c>
      <c r="FTU5">
        <f>Database!FUN29</f>
        <v>0</v>
      </c>
      <c r="FTV5">
        <f>Database!FUO29</f>
        <v>0</v>
      </c>
      <c r="FTW5">
        <f>Database!FUP29</f>
        <v>0</v>
      </c>
      <c r="FTX5">
        <f>Database!FUQ29</f>
        <v>0</v>
      </c>
      <c r="FTY5">
        <f>Database!FUR29</f>
        <v>0</v>
      </c>
      <c r="FTZ5">
        <f>Database!FUS29</f>
        <v>0</v>
      </c>
      <c r="FUA5">
        <f>Database!FUT29</f>
        <v>0</v>
      </c>
      <c r="FUB5">
        <f>Database!FUU29</f>
        <v>0</v>
      </c>
      <c r="FUC5">
        <f>Database!FUV29</f>
        <v>0</v>
      </c>
      <c r="FUD5">
        <f>Database!FUW29</f>
        <v>0</v>
      </c>
      <c r="FUE5">
        <f>Database!FUX29</f>
        <v>0</v>
      </c>
      <c r="FUF5">
        <f>Database!FUY29</f>
        <v>0</v>
      </c>
      <c r="FUG5">
        <f>Database!FUZ29</f>
        <v>0</v>
      </c>
      <c r="FUH5">
        <f>Database!FVA29</f>
        <v>0</v>
      </c>
      <c r="FUI5">
        <f>Database!FVB29</f>
        <v>0</v>
      </c>
      <c r="FUJ5">
        <f>Database!FVC29</f>
        <v>0</v>
      </c>
      <c r="FUK5">
        <f>Database!FVD29</f>
        <v>0</v>
      </c>
      <c r="FUL5">
        <f>Database!FVE29</f>
        <v>0</v>
      </c>
      <c r="FUM5">
        <f>Database!FVF29</f>
        <v>0</v>
      </c>
      <c r="FUN5">
        <f>Database!FVG29</f>
        <v>0</v>
      </c>
      <c r="FUO5">
        <f>Database!FVH29</f>
        <v>0</v>
      </c>
      <c r="FUP5">
        <f>Database!FVI29</f>
        <v>0</v>
      </c>
      <c r="FUQ5">
        <f>Database!FVJ29</f>
        <v>0</v>
      </c>
      <c r="FUR5">
        <f>Database!FVK29</f>
        <v>0</v>
      </c>
      <c r="FUS5">
        <f>Database!FVL29</f>
        <v>0</v>
      </c>
      <c r="FUT5">
        <f>Database!FVM29</f>
        <v>0</v>
      </c>
      <c r="FUU5">
        <f>Database!FVN29</f>
        <v>0</v>
      </c>
      <c r="FUV5">
        <f>Database!FVO29</f>
        <v>0</v>
      </c>
      <c r="FUW5">
        <f>Database!FVP29</f>
        <v>0</v>
      </c>
      <c r="FUX5">
        <f>Database!FVQ29</f>
        <v>0</v>
      </c>
      <c r="FUY5">
        <f>Database!FVR29</f>
        <v>0</v>
      </c>
      <c r="FUZ5">
        <f>Database!FVS29</f>
        <v>0</v>
      </c>
      <c r="FVA5">
        <f>Database!FVT29</f>
        <v>0</v>
      </c>
      <c r="FVB5">
        <f>Database!FVU29</f>
        <v>0</v>
      </c>
      <c r="FVC5">
        <f>Database!FVV29</f>
        <v>0</v>
      </c>
      <c r="FVD5">
        <f>Database!FVW29</f>
        <v>0</v>
      </c>
      <c r="FVE5">
        <f>Database!FVX29</f>
        <v>0</v>
      </c>
      <c r="FVF5">
        <f>Database!FVY29</f>
        <v>0</v>
      </c>
      <c r="FVG5">
        <f>Database!FVZ29</f>
        <v>0</v>
      </c>
      <c r="FVH5">
        <f>Database!FWA29</f>
        <v>0</v>
      </c>
      <c r="FVI5">
        <f>Database!FWB29</f>
        <v>0</v>
      </c>
      <c r="FVJ5">
        <f>Database!FWC29</f>
        <v>0</v>
      </c>
      <c r="FVK5">
        <f>Database!FWD29</f>
        <v>0</v>
      </c>
      <c r="FVL5">
        <f>Database!FWE29</f>
        <v>0</v>
      </c>
      <c r="FVM5">
        <f>Database!FWF29</f>
        <v>0</v>
      </c>
      <c r="FVN5">
        <f>Database!FWG29</f>
        <v>0</v>
      </c>
      <c r="FVO5">
        <f>Database!FWH29</f>
        <v>0</v>
      </c>
      <c r="FVP5">
        <f>Database!FWI29</f>
        <v>0</v>
      </c>
      <c r="FVQ5">
        <f>Database!FWJ29</f>
        <v>0</v>
      </c>
      <c r="FVR5">
        <f>Database!FWK29</f>
        <v>0</v>
      </c>
      <c r="FVS5">
        <f>Database!FWL29</f>
        <v>0</v>
      </c>
      <c r="FVT5">
        <f>Database!FWM29</f>
        <v>0</v>
      </c>
      <c r="FVU5">
        <f>Database!FWN29</f>
        <v>0</v>
      </c>
      <c r="FVV5">
        <f>Database!FWO29</f>
        <v>0</v>
      </c>
      <c r="FVW5">
        <f>Database!FWP29</f>
        <v>0</v>
      </c>
      <c r="FVX5">
        <f>Database!FWQ29</f>
        <v>0</v>
      </c>
      <c r="FVY5">
        <f>Database!FWR29</f>
        <v>0</v>
      </c>
      <c r="FVZ5">
        <f>Database!FWS29</f>
        <v>0</v>
      </c>
      <c r="FWA5">
        <f>Database!FWT29</f>
        <v>0</v>
      </c>
      <c r="FWB5">
        <f>Database!FWU29</f>
        <v>0</v>
      </c>
      <c r="FWC5">
        <f>Database!FWV29</f>
        <v>0</v>
      </c>
      <c r="FWD5">
        <f>Database!FWW29</f>
        <v>0</v>
      </c>
      <c r="FWE5">
        <f>Database!FWX29</f>
        <v>0</v>
      </c>
      <c r="FWF5">
        <f>Database!FWY29</f>
        <v>0</v>
      </c>
      <c r="FWG5">
        <f>Database!FWZ29</f>
        <v>0</v>
      </c>
      <c r="FWH5">
        <f>Database!FXA29</f>
        <v>0</v>
      </c>
      <c r="FWI5">
        <f>Database!FXB29</f>
        <v>0</v>
      </c>
      <c r="FWJ5">
        <f>Database!FXC29</f>
        <v>0</v>
      </c>
      <c r="FWK5">
        <f>Database!FXD29</f>
        <v>0</v>
      </c>
      <c r="FWL5">
        <f>Database!FXE29</f>
        <v>0</v>
      </c>
      <c r="FWM5">
        <f>Database!FXF29</f>
        <v>0</v>
      </c>
      <c r="FWN5">
        <f>Database!FXG29</f>
        <v>0</v>
      </c>
      <c r="FWO5">
        <f>Database!FXH29</f>
        <v>0</v>
      </c>
      <c r="FWP5">
        <f>Database!FXI29</f>
        <v>0</v>
      </c>
      <c r="FWQ5">
        <f>Database!FXJ29</f>
        <v>0</v>
      </c>
      <c r="FWR5">
        <f>Database!FXK29</f>
        <v>0</v>
      </c>
      <c r="FWS5">
        <f>Database!FXL29</f>
        <v>0</v>
      </c>
      <c r="FWT5">
        <f>Database!FXM29</f>
        <v>0</v>
      </c>
      <c r="FWU5">
        <f>Database!FXN29</f>
        <v>0</v>
      </c>
      <c r="FWV5">
        <f>Database!FXO29</f>
        <v>0</v>
      </c>
      <c r="FWW5">
        <f>Database!FXP29</f>
        <v>0</v>
      </c>
      <c r="FWX5">
        <f>Database!FXQ29</f>
        <v>0</v>
      </c>
      <c r="FWY5">
        <f>Database!FXR29</f>
        <v>0</v>
      </c>
      <c r="FWZ5">
        <f>Database!FXS29</f>
        <v>0</v>
      </c>
      <c r="FXA5">
        <f>Database!FXT29</f>
        <v>0</v>
      </c>
      <c r="FXB5">
        <f>Database!FXU29</f>
        <v>0</v>
      </c>
      <c r="FXC5">
        <f>Database!FXV29</f>
        <v>0</v>
      </c>
      <c r="FXD5">
        <f>Database!FXW29</f>
        <v>0</v>
      </c>
      <c r="FXE5">
        <f>Database!FXX29</f>
        <v>0</v>
      </c>
      <c r="FXF5">
        <f>Database!FXY29</f>
        <v>0</v>
      </c>
      <c r="FXG5">
        <f>Database!FXZ29</f>
        <v>0</v>
      </c>
      <c r="FXH5">
        <f>Database!FYA29</f>
        <v>0</v>
      </c>
      <c r="FXI5">
        <f>Database!FYB29</f>
        <v>0</v>
      </c>
      <c r="FXJ5">
        <f>Database!FYC29</f>
        <v>0</v>
      </c>
      <c r="FXK5">
        <f>Database!FYD29</f>
        <v>0</v>
      </c>
      <c r="FXL5">
        <f>Database!FYE29</f>
        <v>0</v>
      </c>
      <c r="FXM5">
        <f>Database!FYF29</f>
        <v>0</v>
      </c>
      <c r="FXN5">
        <f>Database!FYG29</f>
        <v>0</v>
      </c>
      <c r="FXO5">
        <f>Database!FYH29</f>
        <v>0</v>
      </c>
      <c r="FXP5">
        <f>Database!FYI29</f>
        <v>0</v>
      </c>
      <c r="FXQ5">
        <f>Database!FYJ29</f>
        <v>0</v>
      </c>
      <c r="FXR5">
        <f>Database!FYK29</f>
        <v>0</v>
      </c>
      <c r="FXS5">
        <f>Database!FYL29</f>
        <v>0</v>
      </c>
      <c r="FXT5">
        <f>Database!FYM29</f>
        <v>0</v>
      </c>
      <c r="FXU5">
        <f>Database!FYN29</f>
        <v>0</v>
      </c>
      <c r="FXV5">
        <f>Database!FYO29</f>
        <v>0</v>
      </c>
      <c r="FXW5">
        <f>Database!FYP29</f>
        <v>0</v>
      </c>
      <c r="FXX5">
        <f>Database!FYQ29</f>
        <v>0</v>
      </c>
      <c r="FXY5">
        <f>Database!FYR29</f>
        <v>0</v>
      </c>
      <c r="FXZ5">
        <f>Database!FYS29</f>
        <v>0</v>
      </c>
      <c r="FYA5">
        <f>Database!FYT29</f>
        <v>0</v>
      </c>
      <c r="FYB5">
        <f>Database!FYU29</f>
        <v>0</v>
      </c>
      <c r="FYC5">
        <f>Database!FYV29</f>
        <v>0</v>
      </c>
      <c r="FYD5">
        <f>Database!FYW29</f>
        <v>0</v>
      </c>
      <c r="FYE5">
        <f>Database!FYX29</f>
        <v>0</v>
      </c>
      <c r="FYF5">
        <f>Database!FYY29</f>
        <v>0</v>
      </c>
      <c r="FYG5">
        <f>Database!FYZ29</f>
        <v>0</v>
      </c>
      <c r="FYH5">
        <f>Database!FZA29</f>
        <v>0</v>
      </c>
      <c r="FYI5">
        <f>Database!FZB29</f>
        <v>0</v>
      </c>
      <c r="FYJ5">
        <f>Database!FZC29</f>
        <v>0</v>
      </c>
      <c r="FYK5">
        <f>Database!FZD29</f>
        <v>0</v>
      </c>
      <c r="FYL5">
        <f>Database!FZE29</f>
        <v>0</v>
      </c>
      <c r="FYM5">
        <f>Database!FZF29</f>
        <v>0</v>
      </c>
      <c r="FYN5">
        <f>Database!FZG29</f>
        <v>0</v>
      </c>
      <c r="FYO5">
        <f>Database!FZH29</f>
        <v>0</v>
      </c>
      <c r="FYP5">
        <f>Database!FZI29</f>
        <v>0</v>
      </c>
      <c r="FYQ5">
        <f>Database!FZJ29</f>
        <v>0</v>
      </c>
      <c r="FYR5">
        <f>Database!FZK29</f>
        <v>0</v>
      </c>
      <c r="FYS5">
        <f>Database!FZL29</f>
        <v>0</v>
      </c>
      <c r="FYT5">
        <f>Database!FZM29</f>
        <v>0</v>
      </c>
      <c r="FYU5">
        <f>Database!FZN29</f>
        <v>0</v>
      </c>
      <c r="FYV5">
        <f>Database!FZO29</f>
        <v>0</v>
      </c>
      <c r="FYW5">
        <f>Database!FZP29</f>
        <v>0</v>
      </c>
      <c r="FYX5">
        <f>Database!FZQ29</f>
        <v>0</v>
      </c>
      <c r="FYY5">
        <f>Database!FZR29</f>
        <v>0</v>
      </c>
      <c r="FYZ5">
        <f>Database!FZS29</f>
        <v>0</v>
      </c>
      <c r="FZA5">
        <f>Database!FZT29</f>
        <v>0</v>
      </c>
      <c r="FZB5">
        <f>Database!FZU29</f>
        <v>0</v>
      </c>
      <c r="FZC5">
        <f>Database!FZV29</f>
        <v>0</v>
      </c>
      <c r="FZD5">
        <f>Database!FZW29</f>
        <v>0</v>
      </c>
      <c r="FZE5">
        <f>Database!FZX29</f>
        <v>0</v>
      </c>
      <c r="FZF5">
        <f>Database!FZY29</f>
        <v>0</v>
      </c>
      <c r="FZG5">
        <f>Database!FZZ29</f>
        <v>0</v>
      </c>
      <c r="FZH5">
        <f>Database!GAA29</f>
        <v>0</v>
      </c>
      <c r="FZI5">
        <f>Database!GAB29</f>
        <v>0</v>
      </c>
      <c r="FZJ5">
        <f>Database!GAC29</f>
        <v>0</v>
      </c>
      <c r="FZK5">
        <f>Database!GAD29</f>
        <v>0</v>
      </c>
      <c r="FZL5">
        <f>Database!GAE29</f>
        <v>0</v>
      </c>
      <c r="FZM5">
        <f>Database!GAF29</f>
        <v>0</v>
      </c>
      <c r="FZN5">
        <f>Database!GAG29</f>
        <v>0</v>
      </c>
      <c r="FZO5">
        <f>Database!GAH29</f>
        <v>0</v>
      </c>
      <c r="FZP5">
        <f>Database!GAI29</f>
        <v>0</v>
      </c>
      <c r="FZQ5">
        <f>Database!GAJ29</f>
        <v>0</v>
      </c>
      <c r="FZR5">
        <f>Database!GAK29</f>
        <v>0</v>
      </c>
      <c r="FZS5">
        <f>Database!GAL29</f>
        <v>0</v>
      </c>
      <c r="FZT5">
        <f>Database!GAM29</f>
        <v>0</v>
      </c>
      <c r="FZU5">
        <f>Database!GAN29</f>
        <v>0</v>
      </c>
      <c r="FZV5">
        <f>Database!GAO29</f>
        <v>0</v>
      </c>
      <c r="FZW5">
        <f>Database!GAP29</f>
        <v>0</v>
      </c>
      <c r="FZX5">
        <f>Database!GAQ29</f>
        <v>0</v>
      </c>
      <c r="FZY5">
        <f>Database!GAR29</f>
        <v>0</v>
      </c>
      <c r="FZZ5">
        <f>Database!GAS29</f>
        <v>0</v>
      </c>
      <c r="GAA5">
        <f>Database!GAT29</f>
        <v>0</v>
      </c>
      <c r="GAB5">
        <f>Database!GAU29</f>
        <v>0</v>
      </c>
      <c r="GAC5">
        <f>Database!GAV29</f>
        <v>0</v>
      </c>
      <c r="GAD5">
        <f>Database!GAW29</f>
        <v>0</v>
      </c>
      <c r="GAE5">
        <f>Database!GAX29</f>
        <v>0</v>
      </c>
      <c r="GAF5">
        <f>Database!GAY29</f>
        <v>0</v>
      </c>
      <c r="GAG5">
        <f>Database!GAZ29</f>
        <v>0</v>
      </c>
      <c r="GAH5">
        <f>Database!GBA29</f>
        <v>0</v>
      </c>
      <c r="GAI5">
        <f>Database!GBB29</f>
        <v>0</v>
      </c>
      <c r="GAJ5">
        <f>Database!GBC29</f>
        <v>0</v>
      </c>
      <c r="GAK5">
        <f>Database!GBD29</f>
        <v>0</v>
      </c>
      <c r="GAL5">
        <f>Database!GBE29</f>
        <v>0</v>
      </c>
      <c r="GAM5">
        <f>Database!GBF29</f>
        <v>0</v>
      </c>
      <c r="GAN5">
        <f>Database!GBG29</f>
        <v>0</v>
      </c>
      <c r="GAO5">
        <f>Database!GBH29</f>
        <v>0</v>
      </c>
      <c r="GAP5">
        <f>Database!GBI29</f>
        <v>0</v>
      </c>
      <c r="GAQ5">
        <f>Database!GBJ29</f>
        <v>0</v>
      </c>
      <c r="GAR5">
        <f>Database!GBK29</f>
        <v>0</v>
      </c>
      <c r="GAS5">
        <f>Database!GBL29</f>
        <v>0</v>
      </c>
      <c r="GAT5">
        <f>Database!GBM29</f>
        <v>0</v>
      </c>
      <c r="GAU5">
        <f>Database!GBN29</f>
        <v>0</v>
      </c>
      <c r="GAV5">
        <f>Database!GBO29</f>
        <v>0</v>
      </c>
      <c r="GAW5">
        <f>Database!GBP29</f>
        <v>0</v>
      </c>
      <c r="GAX5">
        <f>Database!GBQ29</f>
        <v>0</v>
      </c>
      <c r="GAY5">
        <f>Database!GBR29</f>
        <v>0</v>
      </c>
      <c r="GAZ5">
        <f>Database!GBS29</f>
        <v>0</v>
      </c>
      <c r="GBA5">
        <f>Database!GBT29</f>
        <v>0</v>
      </c>
      <c r="GBB5">
        <f>Database!GBU29</f>
        <v>0</v>
      </c>
      <c r="GBC5">
        <f>Database!GBV29</f>
        <v>0</v>
      </c>
      <c r="GBD5">
        <f>Database!GBW29</f>
        <v>0</v>
      </c>
      <c r="GBE5">
        <f>Database!GBX29</f>
        <v>0</v>
      </c>
      <c r="GBF5">
        <f>Database!GBY29</f>
        <v>0</v>
      </c>
      <c r="GBG5">
        <f>Database!GBZ29</f>
        <v>0</v>
      </c>
      <c r="GBH5">
        <f>Database!GCA29</f>
        <v>0</v>
      </c>
      <c r="GBI5">
        <f>Database!GCB29</f>
        <v>0</v>
      </c>
      <c r="GBJ5">
        <f>Database!GCC29</f>
        <v>0</v>
      </c>
      <c r="GBK5">
        <f>Database!GCD29</f>
        <v>0</v>
      </c>
      <c r="GBL5">
        <f>Database!GCE29</f>
        <v>0</v>
      </c>
      <c r="GBM5">
        <f>Database!GCF29</f>
        <v>0</v>
      </c>
      <c r="GBN5">
        <f>Database!GCG29</f>
        <v>0</v>
      </c>
      <c r="GBO5">
        <f>Database!GCH29</f>
        <v>0</v>
      </c>
      <c r="GBP5">
        <f>Database!GCI29</f>
        <v>0</v>
      </c>
      <c r="GBQ5">
        <f>Database!GCJ29</f>
        <v>0</v>
      </c>
      <c r="GBR5">
        <f>Database!GCK29</f>
        <v>0</v>
      </c>
      <c r="GBS5">
        <f>Database!GCL29</f>
        <v>0</v>
      </c>
      <c r="GBT5">
        <f>Database!GCM29</f>
        <v>0</v>
      </c>
      <c r="GBU5">
        <f>Database!GCN29</f>
        <v>0</v>
      </c>
      <c r="GBV5">
        <f>Database!GCO29</f>
        <v>0</v>
      </c>
      <c r="GBW5">
        <f>Database!GCP29</f>
        <v>0</v>
      </c>
      <c r="GBX5">
        <f>Database!GCQ29</f>
        <v>0</v>
      </c>
      <c r="GBY5">
        <f>Database!GCR29</f>
        <v>0</v>
      </c>
      <c r="GBZ5">
        <f>Database!GCS29</f>
        <v>0</v>
      </c>
      <c r="GCA5">
        <f>Database!GCT29</f>
        <v>0</v>
      </c>
      <c r="GCB5">
        <f>Database!GCU29</f>
        <v>0</v>
      </c>
      <c r="GCC5">
        <f>Database!GCV29</f>
        <v>0</v>
      </c>
      <c r="GCD5">
        <f>Database!GCW29</f>
        <v>0</v>
      </c>
      <c r="GCE5">
        <f>Database!GCX29</f>
        <v>0</v>
      </c>
      <c r="GCF5">
        <f>Database!GCY29</f>
        <v>0</v>
      </c>
      <c r="GCG5">
        <f>Database!GCZ29</f>
        <v>0</v>
      </c>
      <c r="GCH5">
        <f>Database!GDA29</f>
        <v>0</v>
      </c>
      <c r="GCI5">
        <f>Database!GDB29</f>
        <v>0</v>
      </c>
      <c r="GCJ5">
        <f>Database!GDC29</f>
        <v>0</v>
      </c>
      <c r="GCK5">
        <f>Database!GDD29</f>
        <v>0</v>
      </c>
      <c r="GCL5">
        <f>Database!GDE29</f>
        <v>0</v>
      </c>
      <c r="GCM5">
        <f>Database!GDF29</f>
        <v>0</v>
      </c>
      <c r="GCN5">
        <f>Database!GDG29</f>
        <v>0</v>
      </c>
      <c r="GCO5">
        <f>Database!GDH29</f>
        <v>0</v>
      </c>
      <c r="GCP5">
        <f>Database!GDI29</f>
        <v>0</v>
      </c>
      <c r="GCQ5">
        <f>Database!GDJ29</f>
        <v>0</v>
      </c>
      <c r="GCR5">
        <f>Database!GDK29</f>
        <v>0</v>
      </c>
      <c r="GCS5">
        <f>Database!GDL29</f>
        <v>0</v>
      </c>
      <c r="GCT5">
        <f>Database!GDM29</f>
        <v>0</v>
      </c>
      <c r="GCU5">
        <f>Database!GDN29</f>
        <v>0</v>
      </c>
      <c r="GCV5">
        <f>Database!GDO29</f>
        <v>0</v>
      </c>
      <c r="GCW5">
        <f>Database!GDP29</f>
        <v>0</v>
      </c>
      <c r="GCX5">
        <f>Database!GDQ29</f>
        <v>0</v>
      </c>
      <c r="GCY5">
        <f>Database!GDR29</f>
        <v>0</v>
      </c>
      <c r="GCZ5">
        <f>Database!GDS29</f>
        <v>0</v>
      </c>
      <c r="GDA5">
        <f>Database!GDT29</f>
        <v>0</v>
      </c>
      <c r="GDB5">
        <f>Database!GDU29</f>
        <v>0</v>
      </c>
      <c r="GDC5">
        <f>Database!GDV29</f>
        <v>0</v>
      </c>
      <c r="GDD5">
        <f>Database!GDW29</f>
        <v>0</v>
      </c>
      <c r="GDE5">
        <f>Database!GDX29</f>
        <v>0</v>
      </c>
      <c r="GDF5">
        <f>Database!GDY29</f>
        <v>0</v>
      </c>
      <c r="GDG5">
        <f>Database!GDZ29</f>
        <v>0</v>
      </c>
      <c r="GDH5">
        <f>Database!GEA29</f>
        <v>0</v>
      </c>
      <c r="GDI5">
        <f>Database!GEB29</f>
        <v>0</v>
      </c>
      <c r="GDJ5">
        <f>Database!GEC29</f>
        <v>0</v>
      </c>
      <c r="GDK5">
        <f>Database!GED29</f>
        <v>0</v>
      </c>
      <c r="GDL5">
        <f>Database!GEE29</f>
        <v>0</v>
      </c>
      <c r="GDM5">
        <f>Database!GEF29</f>
        <v>0</v>
      </c>
      <c r="GDN5">
        <f>Database!GEG29</f>
        <v>0</v>
      </c>
      <c r="GDO5">
        <f>Database!GEH29</f>
        <v>0</v>
      </c>
      <c r="GDP5">
        <f>Database!GEI29</f>
        <v>0</v>
      </c>
      <c r="GDQ5">
        <f>Database!GEJ29</f>
        <v>0</v>
      </c>
      <c r="GDR5">
        <f>Database!GEK29</f>
        <v>0</v>
      </c>
      <c r="GDS5">
        <f>Database!GEL29</f>
        <v>0</v>
      </c>
      <c r="GDT5">
        <f>Database!GEM29</f>
        <v>0</v>
      </c>
      <c r="GDU5">
        <f>Database!GEN29</f>
        <v>0</v>
      </c>
      <c r="GDV5">
        <f>Database!GEO29</f>
        <v>0</v>
      </c>
      <c r="GDW5">
        <f>Database!GEP29</f>
        <v>0</v>
      </c>
      <c r="GDX5">
        <f>Database!GEQ29</f>
        <v>0</v>
      </c>
      <c r="GDY5">
        <f>Database!GER29</f>
        <v>0</v>
      </c>
      <c r="GDZ5">
        <f>Database!GES29</f>
        <v>0</v>
      </c>
      <c r="GEA5">
        <f>Database!GET29</f>
        <v>0</v>
      </c>
      <c r="GEB5">
        <f>Database!GEU29</f>
        <v>0</v>
      </c>
      <c r="GEC5">
        <f>Database!GEV29</f>
        <v>0</v>
      </c>
      <c r="GED5">
        <f>Database!GEW29</f>
        <v>0</v>
      </c>
      <c r="GEE5">
        <f>Database!GEX29</f>
        <v>0</v>
      </c>
      <c r="GEF5">
        <f>Database!GEY29</f>
        <v>0</v>
      </c>
      <c r="GEG5">
        <f>Database!GEZ29</f>
        <v>0</v>
      </c>
      <c r="GEH5">
        <f>Database!GFA29</f>
        <v>0</v>
      </c>
      <c r="GEI5">
        <f>Database!GFB29</f>
        <v>0</v>
      </c>
      <c r="GEJ5">
        <f>Database!GFC29</f>
        <v>0</v>
      </c>
      <c r="GEK5">
        <f>Database!GFD29</f>
        <v>0</v>
      </c>
      <c r="GEL5">
        <f>Database!GFE29</f>
        <v>0</v>
      </c>
      <c r="GEM5">
        <f>Database!GFF29</f>
        <v>0</v>
      </c>
      <c r="GEN5">
        <f>Database!GFG29</f>
        <v>0</v>
      </c>
      <c r="GEO5">
        <f>Database!GFH29</f>
        <v>0</v>
      </c>
      <c r="GEP5">
        <f>Database!GFI29</f>
        <v>0</v>
      </c>
      <c r="GEQ5">
        <f>Database!GFJ29</f>
        <v>0</v>
      </c>
      <c r="GER5">
        <f>Database!GFK29</f>
        <v>0</v>
      </c>
      <c r="GES5">
        <f>Database!GFL29</f>
        <v>0</v>
      </c>
      <c r="GET5">
        <f>Database!GFM29</f>
        <v>0</v>
      </c>
      <c r="GEU5">
        <f>Database!GFN29</f>
        <v>0</v>
      </c>
      <c r="GEV5">
        <f>Database!GFO29</f>
        <v>0</v>
      </c>
      <c r="GEW5">
        <f>Database!GFP29</f>
        <v>0</v>
      </c>
      <c r="GEX5">
        <f>Database!GFQ29</f>
        <v>0</v>
      </c>
      <c r="GEY5">
        <f>Database!GFR29</f>
        <v>0</v>
      </c>
      <c r="GEZ5">
        <f>Database!GFS29</f>
        <v>0</v>
      </c>
      <c r="GFA5">
        <f>Database!GFT29</f>
        <v>0</v>
      </c>
      <c r="GFB5">
        <f>Database!GFU29</f>
        <v>0</v>
      </c>
      <c r="GFC5">
        <f>Database!GFV29</f>
        <v>0</v>
      </c>
      <c r="GFD5">
        <f>Database!GFW29</f>
        <v>0</v>
      </c>
      <c r="GFE5">
        <f>Database!GFX29</f>
        <v>0</v>
      </c>
      <c r="GFF5">
        <f>Database!GFY29</f>
        <v>0</v>
      </c>
      <c r="GFG5">
        <f>Database!GFZ29</f>
        <v>0</v>
      </c>
      <c r="GFH5">
        <f>Database!GGA29</f>
        <v>0</v>
      </c>
      <c r="GFI5">
        <f>Database!GGB29</f>
        <v>0</v>
      </c>
      <c r="GFJ5">
        <f>Database!GGC29</f>
        <v>0</v>
      </c>
      <c r="GFK5">
        <f>Database!GGD29</f>
        <v>0</v>
      </c>
      <c r="GFL5">
        <f>Database!GGE29</f>
        <v>0</v>
      </c>
      <c r="GFM5">
        <f>Database!GGF29</f>
        <v>0</v>
      </c>
      <c r="GFN5">
        <f>Database!GGG29</f>
        <v>0</v>
      </c>
      <c r="GFO5">
        <f>Database!GGH29</f>
        <v>0</v>
      </c>
      <c r="GFP5">
        <f>Database!GGI29</f>
        <v>0</v>
      </c>
      <c r="GFQ5">
        <f>Database!GGJ29</f>
        <v>0</v>
      </c>
      <c r="GFR5">
        <f>Database!GGK29</f>
        <v>0</v>
      </c>
      <c r="GFS5">
        <f>Database!GGL29</f>
        <v>0</v>
      </c>
      <c r="GFT5">
        <f>Database!GGM29</f>
        <v>0</v>
      </c>
      <c r="GFU5">
        <f>Database!GGN29</f>
        <v>0</v>
      </c>
      <c r="GFV5">
        <f>Database!GGO29</f>
        <v>0</v>
      </c>
      <c r="GFW5">
        <f>Database!GGP29</f>
        <v>0</v>
      </c>
      <c r="GFX5">
        <f>Database!GGQ29</f>
        <v>0</v>
      </c>
      <c r="GFY5">
        <f>Database!GGR29</f>
        <v>0</v>
      </c>
      <c r="GFZ5">
        <f>Database!GGS29</f>
        <v>0</v>
      </c>
      <c r="GGA5">
        <f>Database!GGT29</f>
        <v>0</v>
      </c>
      <c r="GGB5">
        <f>Database!GGU29</f>
        <v>0</v>
      </c>
      <c r="GGC5">
        <f>Database!GGV29</f>
        <v>0</v>
      </c>
      <c r="GGD5">
        <f>Database!GGW29</f>
        <v>0</v>
      </c>
      <c r="GGE5">
        <f>Database!GGX29</f>
        <v>0</v>
      </c>
      <c r="GGF5">
        <f>Database!GGY29</f>
        <v>0</v>
      </c>
      <c r="GGG5">
        <f>Database!GGZ29</f>
        <v>0</v>
      </c>
      <c r="GGH5">
        <f>Database!GHA29</f>
        <v>0</v>
      </c>
      <c r="GGI5">
        <f>Database!GHB29</f>
        <v>0</v>
      </c>
      <c r="GGJ5">
        <f>Database!GHC29</f>
        <v>0</v>
      </c>
      <c r="GGK5">
        <f>Database!GHD29</f>
        <v>0</v>
      </c>
      <c r="GGL5">
        <f>Database!GHE29</f>
        <v>0</v>
      </c>
      <c r="GGM5">
        <f>Database!GHF29</f>
        <v>0</v>
      </c>
      <c r="GGN5">
        <f>Database!GHG29</f>
        <v>0</v>
      </c>
      <c r="GGO5">
        <f>Database!GHH29</f>
        <v>0</v>
      </c>
      <c r="GGP5">
        <f>Database!GHI29</f>
        <v>0</v>
      </c>
      <c r="GGQ5">
        <f>Database!GHJ29</f>
        <v>0</v>
      </c>
      <c r="GGR5">
        <f>Database!GHK29</f>
        <v>0</v>
      </c>
      <c r="GGS5">
        <f>Database!GHL29</f>
        <v>0</v>
      </c>
      <c r="GGT5">
        <f>Database!GHM29</f>
        <v>0</v>
      </c>
      <c r="GGU5">
        <f>Database!GHN29</f>
        <v>0</v>
      </c>
      <c r="GGV5">
        <f>Database!GHO29</f>
        <v>0</v>
      </c>
      <c r="GGW5">
        <f>Database!GHP29</f>
        <v>0</v>
      </c>
      <c r="GGX5">
        <f>Database!GHQ29</f>
        <v>0</v>
      </c>
      <c r="GGY5">
        <f>Database!GHR29</f>
        <v>0</v>
      </c>
      <c r="GGZ5">
        <f>Database!GHS29</f>
        <v>0</v>
      </c>
      <c r="GHA5">
        <f>Database!GHT29</f>
        <v>0</v>
      </c>
      <c r="GHB5">
        <f>Database!GHU29</f>
        <v>0</v>
      </c>
      <c r="GHC5">
        <f>Database!GHV29</f>
        <v>0</v>
      </c>
      <c r="GHD5">
        <f>Database!GHW29</f>
        <v>0</v>
      </c>
      <c r="GHE5">
        <f>Database!GHX29</f>
        <v>0</v>
      </c>
      <c r="GHF5">
        <f>Database!GHY29</f>
        <v>0</v>
      </c>
      <c r="GHG5">
        <f>Database!GHZ29</f>
        <v>0</v>
      </c>
      <c r="GHH5">
        <f>Database!GIA29</f>
        <v>0</v>
      </c>
      <c r="GHI5">
        <f>Database!GIB29</f>
        <v>0</v>
      </c>
      <c r="GHJ5">
        <f>Database!GIC29</f>
        <v>0</v>
      </c>
      <c r="GHK5">
        <f>Database!GID29</f>
        <v>0</v>
      </c>
      <c r="GHL5">
        <f>Database!GIE29</f>
        <v>0</v>
      </c>
      <c r="GHM5">
        <f>Database!GIF29</f>
        <v>0</v>
      </c>
      <c r="GHN5">
        <f>Database!GIG29</f>
        <v>0</v>
      </c>
      <c r="GHO5">
        <f>Database!GIH29</f>
        <v>0</v>
      </c>
      <c r="GHP5">
        <f>Database!GII29</f>
        <v>0</v>
      </c>
      <c r="GHQ5">
        <f>Database!GIJ29</f>
        <v>0</v>
      </c>
      <c r="GHR5">
        <f>Database!GIK29</f>
        <v>0</v>
      </c>
      <c r="GHS5">
        <f>Database!GIL29</f>
        <v>0</v>
      </c>
      <c r="GHT5">
        <f>Database!GIM29</f>
        <v>0</v>
      </c>
      <c r="GHU5">
        <f>Database!GIN29</f>
        <v>0</v>
      </c>
      <c r="GHV5">
        <f>Database!GIO29</f>
        <v>0</v>
      </c>
      <c r="GHW5">
        <f>Database!GIP29</f>
        <v>0</v>
      </c>
      <c r="GHX5">
        <f>Database!GIQ29</f>
        <v>0</v>
      </c>
      <c r="GHY5">
        <f>Database!GIR29</f>
        <v>0</v>
      </c>
      <c r="GHZ5">
        <f>Database!GIS29</f>
        <v>0</v>
      </c>
      <c r="GIA5">
        <f>Database!GIT29</f>
        <v>0</v>
      </c>
      <c r="GIB5">
        <f>Database!GIU29</f>
        <v>0</v>
      </c>
      <c r="GIC5">
        <f>Database!GIV29</f>
        <v>0</v>
      </c>
      <c r="GID5">
        <f>Database!GIW29</f>
        <v>0</v>
      </c>
      <c r="GIE5">
        <f>Database!GIX29</f>
        <v>0</v>
      </c>
      <c r="GIF5">
        <f>Database!GIY29</f>
        <v>0</v>
      </c>
      <c r="GIG5">
        <f>Database!GIZ29</f>
        <v>0</v>
      </c>
      <c r="GIH5">
        <f>Database!GJA29</f>
        <v>0</v>
      </c>
      <c r="GII5">
        <f>Database!GJB29</f>
        <v>0</v>
      </c>
      <c r="GIJ5">
        <f>Database!GJC29</f>
        <v>0</v>
      </c>
      <c r="GIK5">
        <f>Database!GJD29</f>
        <v>0</v>
      </c>
      <c r="GIL5">
        <f>Database!GJE29</f>
        <v>0</v>
      </c>
      <c r="GIM5">
        <f>Database!GJF29</f>
        <v>0</v>
      </c>
      <c r="GIN5">
        <f>Database!GJG29</f>
        <v>0</v>
      </c>
      <c r="GIO5">
        <f>Database!GJH29</f>
        <v>0</v>
      </c>
      <c r="GIP5">
        <f>Database!GJI29</f>
        <v>0</v>
      </c>
      <c r="GIQ5">
        <f>Database!GJJ29</f>
        <v>0</v>
      </c>
      <c r="GIR5">
        <f>Database!GJK29</f>
        <v>0</v>
      </c>
      <c r="GIS5">
        <f>Database!GJL29</f>
        <v>0</v>
      </c>
      <c r="GIT5">
        <f>Database!GJM29</f>
        <v>0</v>
      </c>
      <c r="GIU5">
        <f>Database!GJN29</f>
        <v>0</v>
      </c>
      <c r="GIV5">
        <f>Database!GJO29</f>
        <v>0</v>
      </c>
      <c r="GIW5">
        <f>Database!GJP29</f>
        <v>0</v>
      </c>
      <c r="GIX5">
        <f>Database!GJQ29</f>
        <v>0</v>
      </c>
      <c r="GIY5">
        <f>Database!GJR29</f>
        <v>0</v>
      </c>
      <c r="GIZ5">
        <f>Database!GJS29</f>
        <v>0</v>
      </c>
      <c r="GJA5">
        <f>Database!GJT29</f>
        <v>0</v>
      </c>
      <c r="GJB5">
        <f>Database!GJU29</f>
        <v>0</v>
      </c>
      <c r="GJC5">
        <f>Database!GJV29</f>
        <v>0</v>
      </c>
      <c r="GJD5">
        <f>Database!GJW29</f>
        <v>0</v>
      </c>
      <c r="GJE5">
        <f>Database!GJX29</f>
        <v>0</v>
      </c>
      <c r="GJF5">
        <f>Database!GJY29</f>
        <v>0</v>
      </c>
      <c r="GJG5">
        <f>Database!GJZ29</f>
        <v>0</v>
      </c>
      <c r="GJH5">
        <f>Database!GKA29</f>
        <v>0</v>
      </c>
      <c r="GJI5">
        <f>Database!GKB29</f>
        <v>0</v>
      </c>
      <c r="GJJ5">
        <f>Database!GKC29</f>
        <v>0</v>
      </c>
      <c r="GJK5">
        <f>Database!GKD29</f>
        <v>0</v>
      </c>
      <c r="GJL5">
        <f>Database!GKE29</f>
        <v>0</v>
      </c>
      <c r="GJM5">
        <f>Database!GKF29</f>
        <v>0</v>
      </c>
      <c r="GJN5">
        <f>Database!GKG29</f>
        <v>0</v>
      </c>
      <c r="GJO5">
        <f>Database!GKH29</f>
        <v>0</v>
      </c>
      <c r="GJP5">
        <f>Database!GKI29</f>
        <v>0</v>
      </c>
      <c r="GJQ5">
        <f>Database!GKJ29</f>
        <v>0</v>
      </c>
      <c r="GJR5">
        <f>Database!GKK29</f>
        <v>0</v>
      </c>
      <c r="GJS5">
        <f>Database!GKL29</f>
        <v>0</v>
      </c>
      <c r="GJT5">
        <f>Database!GKM29</f>
        <v>0</v>
      </c>
      <c r="GJU5">
        <f>Database!GKN29</f>
        <v>0</v>
      </c>
      <c r="GJV5">
        <f>Database!GKO29</f>
        <v>0</v>
      </c>
      <c r="GJW5">
        <f>Database!GKP29</f>
        <v>0</v>
      </c>
      <c r="GJX5">
        <f>Database!GKQ29</f>
        <v>0</v>
      </c>
      <c r="GJY5">
        <f>Database!GKR29</f>
        <v>0</v>
      </c>
      <c r="GJZ5">
        <f>Database!GKS29</f>
        <v>0</v>
      </c>
      <c r="GKA5">
        <f>Database!GKT29</f>
        <v>0</v>
      </c>
      <c r="GKB5">
        <f>Database!GKU29</f>
        <v>0</v>
      </c>
      <c r="GKC5">
        <f>Database!GKV29</f>
        <v>0</v>
      </c>
      <c r="GKD5">
        <f>Database!GKW29</f>
        <v>0</v>
      </c>
      <c r="GKE5">
        <f>Database!GKX29</f>
        <v>0</v>
      </c>
      <c r="GKF5">
        <f>Database!GKY29</f>
        <v>0</v>
      </c>
      <c r="GKG5">
        <f>Database!GKZ29</f>
        <v>0</v>
      </c>
      <c r="GKH5">
        <f>Database!GLA29</f>
        <v>0</v>
      </c>
      <c r="GKI5">
        <f>Database!GLB29</f>
        <v>0</v>
      </c>
      <c r="GKJ5">
        <f>Database!GLC29</f>
        <v>0</v>
      </c>
      <c r="GKK5">
        <f>Database!GLD29</f>
        <v>0</v>
      </c>
      <c r="GKL5">
        <f>Database!GLE29</f>
        <v>0</v>
      </c>
      <c r="GKM5">
        <f>Database!GLF29</f>
        <v>0</v>
      </c>
      <c r="GKN5">
        <f>Database!GLG29</f>
        <v>0</v>
      </c>
      <c r="GKO5">
        <f>Database!GLH29</f>
        <v>0</v>
      </c>
      <c r="GKP5">
        <f>Database!GLI29</f>
        <v>0</v>
      </c>
      <c r="GKQ5">
        <f>Database!GLJ29</f>
        <v>0</v>
      </c>
      <c r="GKR5">
        <f>Database!GLK29</f>
        <v>0</v>
      </c>
      <c r="GKS5">
        <f>Database!GLL29</f>
        <v>0</v>
      </c>
      <c r="GKT5">
        <f>Database!GLM29</f>
        <v>0</v>
      </c>
      <c r="GKU5">
        <f>Database!GLN29</f>
        <v>0</v>
      </c>
      <c r="GKV5">
        <f>Database!GLO29</f>
        <v>0</v>
      </c>
      <c r="GKW5">
        <f>Database!GLP29</f>
        <v>0</v>
      </c>
      <c r="GKX5">
        <f>Database!GLQ29</f>
        <v>0</v>
      </c>
      <c r="GKY5">
        <f>Database!GLR29</f>
        <v>0</v>
      </c>
      <c r="GKZ5">
        <f>Database!GLS29</f>
        <v>0</v>
      </c>
      <c r="GLA5">
        <f>Database!GLT29</f>
        <v>0</v>
      </c>
      <c r="GLB5">
        <f>Database!GLU29</f>
        <v>0</v>
      </c>
      <c r="GLC5">
        <f>Database!GLV29</f>
        <v>0</v>
      </c>
      <c r="GLD5">
        <f>Database!GLW29</f>
        <v>0</v>
      </c>
      <c r="GLE5">
        <f>Database!GLX29</f>
        <v>0</v>
      </c>
      <c r="GLF5">
        <f>Database!GLY29</f>
        <v>0</v>
      </c>
      <c r="GLG5">
        <f>Database!GLZ29</f>
        <v>0</v>
      </c>
      <c r="GLH5">
        <f>Database!GMA29</f>
        <v>0</v>
      </c>
      <c r="GLI5">
        <f>Database!GMB29</f>
        <v>0</v>
      </c>
      <c r="GLJ5">
        <f>Database!GMC29</f>
        <v>0</v>
      </c>
      <c r="GLK5">
        <f>Database!GMD29</f>
        <v>0</v>
      </c>
      <c r="GLL5">
        <f>Database!GME29</f>
        <v>0</v>
      </c>
      <c r="GLM5">
        <f>Database!GMF29</f>
        <v>0</v>
      </c>
      <c r="GLN5">
        <f>Database!GMG29</f>
        <v>0</v>
      </c>
      <c r="GLO5">
        <f>Database!GMH29</f>
        <v>0</v>
      </c>
      <c r="GLP5">
        <f>Database!GMI29</f>
        <v>0</v>
      </c>
      <c r="GLQ5">
        <f>Database!GMJ29</f>
        <v>0</v>
      </c>
      <c r="GLR5">
        <f>Database!GMK29</f>
        <v>0</v>
      </c>
      <c r="GLS5">
        <f>Database!GML29</f>
        <v>0</v>
      </c>
      <c r="GLT5">
        <f>Database!GMM29</f>
        <v>0</v>
      </c>
      <c r="GLU5">
        <f>Database!GMN29</f>
        <v>0</v>
      </c>
      <c r="GLV5">
        <f>Database!GMO29</f>
        <v>0</v>
      </c>
      <c r="GLW5">
        <f>Database!GMP29</f>
        <v>0</v>
      </c>
      <c r="GLX5">
        <f>Database!GMQ29</f>
        <v>0</v>
      </c>
      <c r="GLY5">
        <f>Database!GMR29</f>
        <v>0</v>
      </c>
      <c r="GLZ5">
        <f>Database!GMS29</f>
        <v>0</v>
      </c>
      <c r="GMA5">
        <f>Database!GMT29</f>
        <v>0</v>
      </c>
      <c r="GMB5">
        <f>Database!GMU29</f>
        <v>0</v>
      </c>
      <c r="GMC5">
        <f>Database!GMV29</f>
        <v>0</v>
      </c>
      <c r="GMD5">
        <f>Database!GMW29</f>
        <v>0</v>
      </c>
      <c r="GME5">
        <f>Database!GMX29</f>
        <v>0</v>
      </c>
      <c r="GMF5">
        <f>Database!GMY29</f>
        <v>0</v>
      </c>
      <c r="GMG5">
        <f>Database!GMZ29</f>
        <v>0</v>
      </c>
      <c r="GMH5">
        <f>Database!GNA29</f>
        <v>0</v>
      </c>
      <c r="GMI5">
        <f>Database!GNB29</f>
        <v>0</v>
      </c>
      <c r="GMJ5">
        <f>Database!GNC29</f>
        <v>0</v>
      </c>
      <c r="GMK5">
        <f>Database!GND29</f>
        <v>0</v>
      </c>
      <c r="GML5">
        <f>Database!GNE29</f>
        <v>0</v>
      </c>
      <c r="GMM5">
        <f>Database!GNF29</f>
        <v>0</v>
      </c>
      <c r="GMN5">
        <f>Database!GNG29</f>
        <v>0</v>
      </c>
      <c r="GMO5">
        <f>Database!GNH29</f>
        <v>0</v>
      </c>
      <c r="GMP5">
        <f>Database!GNI29</f>
        <v>0</v>
      </c>
      <c r="GMQ5">
        <f>Database!GNJ29</f>
        <v>0</v>
      </c>
      <c r="GMR5">
        <f>Database!GNK29</f>
        <v>0</v>
      </c>
      <c r="GMS5">
        <f>Database!GNL29</f>
        <v>0</v>
      </c>
      <c r="GMT5">
        <f>Database!GNM29</f>
        <v>0</v>
      </c>
      <c r="GMU5">
        <f>Database!GNN29</f>
        <v>0</v>
      </c>
      <c r="GMV5">
        <f>Database!GNO29</f>
        <v>0</v>
      </c>
      <c r="GMW5">
        <f>Database!GNP29</f>
        <v>0</v>
      </c>
      <c r="GMX5">
        <f>Database!GNQ29</f>
        <v>0</v>
      </c>
      <c r="GMY5">
        <f>Database!GNR29</f>
        <v>0</v>
      </c>
      <c r="GMZ5">
        <f>Database!GNS29</f>
        <v>0</v>
      </c>
      <c r="GNA5">
        <f>Database!GNT29</f>
        <v>0</v>
      </c>
      <c r="GNB5">
        <f>Database!GNU29</f>
        <v>0</v>
      </c>
      <c r="GNC5">
        <f>Database!GNV29</f>
        <v>0</v>
      </c>
      <c r="GND5">
        <f>Database!GNW29</f>
        <v>0</v>
      </c>
      <c r="GNE5">
        <f>Database!GNX29</f>
        <v>0</v>
      </c>
      <c r="GNF5">
        <f>Database!GNY29</f>
        <v>0</v>
      </c>
      <c r="GNG5">
        <f>Database!GNZ29</f>
        <v>0</v>
      </c>
      <c r="GNH5">
        <f>Database!GOA29</f>
        <v>0</v>
      </c>
      <c r="GNI5">
        <f>Database!GOB29</f>
        <v>0</v>
      </c>
      <c r="GNJ5">
        <f>Database!GOC29</f>
        <v>0</v>
      </c>
      <c r="GNK5">
        <f>Database!GOD29</f>
        <v>0</v>
      </c>
      <c r="GNL5">
        <f>Database!GOE29</f>
        <v>0</v>
      </c>
      <c r="GNM5">
        <f>Database!GOF29</f>
        <v>0</v>
      </c>
      <c r="GNN5">
        <f>Database!GOG29</f>
        <v>0</v>
      </c>
      <c r="GNO5">
        <f>Database!GOH29</f>
        <v>0</v>
      </c>
      <c r="GNP5">
        <f>Database!GOI29</f>
        <v>0</v>
      </c>
      <c r="GNQ5">
        <f>Database!GOJ29</f>
        <v>0</v>
      </c>
      <c r="GNR5">
        <f>Database!GOK29</f>
        <v>0</v>
      </c>
      <c r="GNS5">
        <f>Database!GOL29</f>
        <v>0</v>
      </c>
      <c r="GNT5">
        <f>Database!GOM29</f>
        <v>0</v>
      </c>
      <c r="GNU5">
        <f>Database!GON29</f>
        <v>0</v>
      </c>
      <c r="GNV5">
        <f>Database!GOO29</f>
        <v>0</v>
      </c>
      <c r="GNW5">
        <f>Database!GOP29</f>
        <v>0</v>
      </c>
      <c r="GNX5">
        <f>Database!GOQ29</f>
        <v>0</v>
      </c>
      <c r="GNY5">
        <f>Database!GOR29</f>
        <v>0</v>
      </c>
      <c r="GNZ5">
        <f>Database!GOS29</f>
        <v>0</v>
      </c>
      <c r="GOA5">
        <f>Database!GOT29</f>
        <v>0</v>
      </c>
      <c r="GOB5">
        <f>Database!GOU29</f>
        <v>0</v>
      </c>
      <c r="GOC5">
        <f>Database!GOV29</f>
        <v>0</v>
      </c>
      <c r="GOD5">
        <f>Database!GOW29</f>
        <v>0</v>
      </c>
      <c r="GOE5">
        <f>Database!GOX29</f>
        <v>0</v>
      </c>
      <c r="GOF5">
        <f>Database!GOY29</f>
        <v>0</v>
      </c>
      <c r="GOG5">
        <f>Database!GOZ29</f>
        <v>0</v>
      </c>
      <c r="GOH5">
        <f>Database!GPA29</f>
        <v>0</v>
      </c>
      <c r="GOI5">
        <f>Database!GPB29</f>
        <v>0</v>
      </c>
      <c r="GOJ5">
        <f>Database!GPC29</f>
        <v>0</v>
      </c>
      <c r="GOK5">
        <f>Database!GPD29</f>
        <v>0</v>
      </c>
      <c r="GOL5">
        <f>Database!GPE29</f>
        <v>0</v>
      </c>
      <c r="GOM5">
        <f>Database!GPF29</f>
        <v>0</v>
      </c>
      <c r="GON5">
        <f>Database!GPG29</f>
        <v>0</v>
      </c>
      <c r="GOO5">
        <f>Database!GPH29</f>
        <v>0</v>
      </c>
      <c r="GOP5">
        <f>Database!GPI29</f>
        <v>0</v>
      </c>
      <c r="GOQ5">
        <f>Database!GPJ29</f>
        <v>0</v>
      </c>
      <c r="GOR5">
        <f>Database!GPK29</f>
        <v>0</v>
      </c>
      <c r="GOS5">
        <f>Database!GPL29</f>
        <v>0</v>
      </c>
      <c r="GOT5">
        <f>Database!GPM29</f>
        <v>0</v>
      </c>
      <c r="GOU5">
        <f>Database!GPN29</f>
        <v>0</v>
      </c>
      <c r="GOV5">
        <f>Database!GPO29</f>
        <v>0</v>
      </c>
      <c r="GOW5">
        <f>Database!GPP29</f>
        <v>0</v>
      </c>
      <c r="GOX5">
        <f>Database!GPQ29</f>
        <v>0</v>
      </c>
      <c r="GOY5">
        <f>Database!GPR29</f>
        <v>0</v>
      </c>
      <c r="GOZ5">
        <f>Database!GPS29</f>
        <v>0</v>
      </c>
      <c r="GPA5">
        <f>Database!GPT29</f>
        <v>0</v>
      </c>
      <c r="GPB5">
        <f>Database!GPU29</f>
        <v>0</v>
      </c>
      <c r="GPC5">
        <f>Database!GPV29</f>
        <v>0</v>
      </c>
      <c r="GPD5">
        <f>Database!GPW29</f>
        <v>0</v>
      </c>
      <c r="GPE5">
        <f>Database!GPX29</f>
        <v>0</v>
      </c>
      <c r="GPF5">
        <f>Database!GPY29</f>
        <v>0</v>
      </c>
      <c r="GPG5">
        <f>Database!GPZ29</f>
        <v>0</v>
      </c>
      <c r="GPH5">
        <f>Database!GQA29</f>
        <v>0</v>
      </c>
      <c r="GPI5">
        <f>Database!GQB29</f>
        <v>0</v>
      </c>
      <c r="GPJ5">
        <f>Database!GQC29</f>
        <v>0</v>
      </c>
      <c r="GPK5">
        <f>Database!GQD29</f>
        <v>0</v>
      </c>
      <c r="GPL5">
        <f>Database!GQE29</f>
        <v>0</v>
      </c>
      <c r="GPM5">
        <f>Database!GQF29</f>
        <v>0</v>
      </c>
      <c r="GPN5">
        <f>Database!GQG29</f>
        <v>0</v>
      </c>
      <c r="GPO5">
        <f>Database!GQH29</f>
        <v>0</v>
      </c>
      <c r="GPP5">
        <f>Database!GQI29</f>
        <v>0</v>
      </c>
      <c r="GPQ5">
        <f>Database!GQJ29</f>
        <v>0</v>
      </c>
      <c r="GPR5">
        <f>Database!GQK29</f>
        <v>0</v>
      </c>
      <c r="GPS5">
        <f>Database!GQL29</f>
        <v>0</v>
      </c>
      <c r="GPT5">
        <f>Database!GQM29</f>
        <v>0</v>
      </c>
      <c r="GPU5">
        <f>Database!GQN29</f>
        <v>0</v>
      </c>
      <c r="GPV5">
        <f>Database!GQO29</f>
        <v>0</v>
      </c>
      <c r="GPW5">
        <f>Database!GQP29</f>
        <v>0</v>
      </c>
      <c r="GPX5">
        <f>Database!GQQ29</f>
        <v>0</v>
      </c>
      <c r="GPY5">
        <f>Database!GQR29</f>
        <v>0</v>
      </c>
      <c r="GPZ5">
        <f>Database!GQS29</f>
        <v>0</v>
      </c>
      <c r="GQA5">
        <f>Database!GQT29</f>
        <v>0</v>
      </c>
      <c r="GQB5">
        <f>Database!GQU29</f>
        <v>0</v>
      </c>
      <c r="GQC5">
        <f>Database!GQV29</f>
        <v>0</v>
      </c>
      <c r="GQD5">
        <f>Database!GQW29</f>
        <v>0</v>
      </c>
      <c r="GQE5">
        <f>Database!GQX29</f>
        <v>0</v>
      </c>
      <c r="GQF5">
        <f>Database!GQY29</f>
        <v>0</v>
      </c>
      <c r="GQG5">
        <f>Database!GQZ29</f>
        <v>0</v>
      </c>
      <c r="GQH5">
        <f>Database!GRA29</f>
        <v>0</v>
      </c>
      <c r="GQI5">
        <f>Database!GRB29</f>
        <v>0</v>
      </c>
      <c r="GQJ5">
        <f>Database!GRC29</f>
        <v>0</v>
      </c>
      <c r="GQK5">
        <f>Database!GRD29</f>
        <v>0</v>
      </c>
      <c r="GQL5">
        <f>Database!GRE29</f>
        <v>0</v>
      </c>
      <c r="GQM5">
        <f>Database!GRF29</f>
        <v>0</v>
      </c>
      <c r="GQN5">
        <f>Database!GRG29</f>
        <v>0</v>
      </c>
      <c r="GQO5">
        <f>Database!GRH29</f>
        <v>0</v>
      </c>
      <c r="GQP5">
        <f>Database!GRI29</f>
        <v>0</v>
      </c>
      <c r="GQQ5">
        <f>Database!GRJ29</f>
        <v>0</v>
      </c>
      <c r="GQR5">
        <f>Database!GRK29</f>
        <v>0</v>
      </c>
      <c r="GQS5">
        <f>Database!GRL29</f>
        <v>0</v>
      </c>
      <c r="GQT5">
        <f>Database!GRM29</f>
        <v>0</v>
      </c>
      <c r="GQU5">
        <f>Database!GRN29</f>
        <v>0</v>
      </c>
      <c r="GQV5">
        <f>Database!GRO29</f>
        <v>0</v>
      </c>
      <c r="GQW5">
        <f>Database!GRP29</f>
        <v>0</v>
      </c>
      <c r="GQX5">
        <f>Database!GRQ29</f>
        <v>0</v>
      </c>
      <c r="GQY5">
        <f>Database!GRR29</f>
        <v>0</v>
      </c>
      <c r="GQZ5">
        <f>Database!GRS29</f>
        <v>0</v>
      </c>
      <c r="GRA5">
        <f>Database!GRT29</f>
        <v>0</v>
      </c>
      <c r="GRB5">
        <f>Database!GRU29</f>
        <v>0</v>
      </c>
      <c r="GRC5">
        <f>Database!GRV29</f>
        <v>0</v>
      </c>
      <c r="GRD5">
        <f>Database!GRW29</f>
        <v>0</v>
      </c>
      <c r="GRE5">
        <f>Database!GRX29</f>
        <v>0</v>
      </c>
      <c r="GRF5">
        <f>Database!GRY29</f>
        <v>0</v>
      </c>
      <c r="GRG5">
        <f>Database!GRZ29</f>
        <v>0</v>
      </c>
      <c r="GRH5">
        <f>Database!GSA29</f>
        <v>0</v>
      </c>
      <c r="GRI5">
        <f>Database!GSB29</f>
        <v>0</v>
      </c>
      <c r="GRJ5">
        <f>Database!GSC29</f>
        <v>0</v>
      </c>
      <c r="GRK5">
        <f>Database!GSD29</f>
        <v>0</v>
      </c>
      <c r="GRL5">
        <f>Database!GSE29</f>
        <v>0</v>
      </c>
      <c r="GRM5">
        <f>Database!GSF29</f>
        <v>0</v>
      </c>
      <c r="GRN5">
        <f>Database!GSG29</f>
        <v>0</v>
      </c>
      <c r="GRO5">
        <f>Database!GSH29</f>
        <v>0</v>
      </c>
      <c r="GRP5">
        <f>Database!GSI29</f>
        <v>0</v>
      </c>
      <c r="GRQ5">
        <f>Database!GSJ29</f>
        <v>0</v>
      </c>
      <c r="GRR5">
        <f>Database!GSK29</f>
        <v>0</v>
      </c>
      <c r="GRS5">
        <f>Database!GSL29</f>
        <v>0</v>
      </c>
      <c r="GRT5">
        <f>Database!GSM29</f>
        <v>0</v>
      </c>
      <c r="GRU5">
        <f>Database!GSN29</f>
        <v>0</v>
      </c>
      <c r="GRV5">
        <f>Database!GSO29</f>
        <v>0</v>
      </c>
      <c r="GRW5">
        <f>Database!GSP29</f>
        <v>0</v>
      </c>
      <c r="GRX5">
        <f>Database!GSQ29</f>
        <v>0</v>
      </c>
      <c r="GRY5">
        <f>Database!GSR29</f>
        <v>0</v>
      </c>
      <c r="GRZ5">
        <f>Database!GSS29</f>
        <v>0</v>
      </c>
      <c r="GSA5">
        <f>Database!GST29</f>
        <v>0</v>
      </c>
      <c r="GSB5">
        <f>Database!GSU29</f>
        <v>0</v>
      </c>
      <c r="GSC5">
        <f>Database!GSV29</f>
        <v>0</v>
      </c>
      <c r="GSD5">
        <f>Database!GSW29</f>
        <v>0</v>
      </c>
      <c r="GSE5">
        <f>Database!GSX29</f>
        <v>0</v>
      </c>
      <c r="GSF5">
        <f>Database!GSY29</f>
        <v>0</v>
      </c>
      <c r="GSG5">
        <f>Database!GSZ29</f>
        <v>0</v>
      </c>
      <c r="GSH5">
        <f>Database!GTA29</f>
        <v>0</v>
      </c>
      <c r="GSI5">
        <f>Database!GTB29</f>
        <v>0</v>
      </c>
      <c r="GSJ5">
        <f>Database!GTC29</f>
        <v>0</v>
      </c>
      <c r="GSK5">
        <f>Database!GTD29</f>
        <v>0</v>
      </c>
      <c r="GSL5">
        <f>Database!GTE29</f>
        <v>0</v>
      </c>
      <c r="GSM5">
        <f>Database!GTF29</f>
        <v>0</v>
      </c>
      <c r="GSN5">
        <f>Database!GTG29</f>
        <v>0</v>
      </c>
      <c r="GSO5">
        <f>Database!GTH29</f>
        <v>0</v>
      </c>
      <c r="GSP5">
        <f>Database!GTI29</f>
        <v>0</v>
      </c>
      <c r="GSQ5">
        <f>Database!GTJ29</f>
        <v>0</v>
      </c>
      <c r="GSR5">
        <f>Database!GTK29</f>
        <v>0</v>
      </c>
      <c r="GSS5">
        <f>Database!GTL29</f>
        <v>0</v>
      </c>
      <c r="GST5">
        <f>Database!GTM29</f>
        <v>0</v>
      </c>
      <c r="GSU5">
        <f>Database!GTN29</f>
        <v>0</v>
      </c>
      <c r="GSV5">
        <f>Database!GTO29</f>
        <v>0</v>
      </c>
      <c r="GSW5">
        <f>Database!GTP29</f>
        <v>0</v>
      </c>
      <c r="GSX5">
        <f>Database!GTQ29</f>
        <v>0</v>
      </c>
      <c r="GSY5">
        <f>Database!GTR29</f>
        <v>0</v>
      </c>
      <c r="GSZ5">
        <f>Database!GTS29</f>
        <v>0</v>
      </c>
      <c r="GTA5">
        <f>Database!GTT29</f>
        <v>0</v>
      </c>
      <c r="GTB5">
        <f>Database!GTU29</f>
        <v>0</v>
      </c>
      <c r="GTC5">
        <f>Database!GTV29</f>
        <v>0</v>
      </c>
      <c r="GTD5">
        <f>Database!GTW29</f>
        <v>0</v>
      </c>
      <c r="GTE5">
        <f>Database!GTX29</f>
        <v>0</v>
      </c>
      <c r="GTF5">
        <f>Database!GTY29</f>
        <v>0</v>
      </c>
      <c r="GTG5">
        <f>Database!GTZ29</f>
        <v>0</v>
      </c>
      <c r="GTH5">
        <f>Database!GUA29</f>
        <v>0</v>
      </c>
      <c r="GTI5">
        <f>Database!GUB29</f>
        <v>0</v>
      </c>
      <c r="GTJ5">
        <f>Database!GUC29</f>
        <v>0</v>
      </c>
      <c r="GTK5">
        <f>Database!GUD29</f>
        <v>0</v>
      </c>
      <c r="GTL5">
        <f>Database!GUE29</f>
        <v>0</v>
      </c>
      <c r="GTM5">
        <f>Database!GUF29</f>
        <v>0</v>
      </c>
      <c r="GTN5">
        <f>Database!GUG29</f>
        <v>0</v>
      </c>
      <c r="GTO5">
        <f>Database!GUH29</f>
        <v>0</v>
      </c>
      <c r="GTP5">
        <f>Database!GUI29</f>
        <v>0</v>
      </c>
      <c r="GTQ5">
        <f>Database!GUJ29</f>
        <v>0</v>
      </c>
      <c r="GTR5">
        <f>Database!GUK29</f>
        <v>0</v>
      </c>
      <c r="GTS5">
        <f>Database!GUL29</f>
        <v>0</v>
      </c>
      <c r="GTT5">
        <f>Database!GUM29</f>
        <v>0</v>
      </c>
      <c r="GTU5">
        <f>Database!GUN29</f>
        <v>0</v>
      </c>
      <c r="GTV5">
        <f>Database!GUO29</f>
        <v>0</v>
      </c>
      <c r="GTW5">
        <f>Database!GUP29</f>
        <v>0</v>
      </c>
      <c r="GTX5">
        <f>Database!GUQ29</f>
        <v>0</v>
      </c>
      <c r="GTY5">
        <f>Database!GUR29</f>
        <v>0</v>
      </c>
      <c r="GTZ5">
        <f>Database!GUS29</f>
        <v>0</v>
      </c>
      <c r="GUA5">
        <f>Database!GUT29</f>
        <v>0</v>
      </c>
      <c r="GUB5">
        <f>Database!GUU29</f>
        <v>0</v>
      </c>
      <c r="GUC5">
        <f>Database!GUV29</f>
        <v>0</v>
      </c>
      <c r="GUD5">
        <f>Database!GUW29</f>
        <v>0</v>
      </c>
      <c r="GUE5">
        <f>Database!GUX29</f>
        <v>0</v>
      </c>
      <c r="GUF5">
        <f>Database!GUY29</f>
        <v>0</v>
      </c>
      <c r="GUG5">
        <f>Database!GUZ29</f>
        <v>0</v>
      </c>
      <c r="GUH5">
        <f>Database!GVA29</f>
        <v>0</v>
      </c>
      <c r="GUI5">
        <f>Database!GVB29</f>
        <v>0</v>
      </c>
      <c r="GUJ5">
        <f>Database!GVC29</f>
        <v>0</v>
      </c>
      <c r="GUK5">
        <f>Database!GVD29</f>
        <v>0</v>
      </c>
      <c r="GUL5">
        <f>Database!GVE29</f>
        <v>0</v>
      </c>
      <c r="GUM5">
        <f>Database!GVF29</f>
        <v>0</v>
      </c>
      <c r="GUN5">
        <f>Database!GVG29</f>
        <v>0</v>
      </c>
      <c r="GUO5">
        <f>Database!GVH29</f>
        <v>0</v>
      </c>
      <c r="GUP5">
        <f>Database!GVI29</f>
        <v>0</v>
      </c>
      <c r="GUQ5">
        <f>Database!GVJ29</f>
        <v>0</v>
      </c>
      <c r="GUR5">
        <f>Database!GVK29</f>
        <v>0</v>
      </c>
      <c r="GUS5">
        <f>Database!GVL29</f>
        <v>0</v>
      </c>
      <c r="GUT5">
        <f>Database!GVM29</f>
        <v>0</v>
      </c>
      <c r="GUU5">
        <f>Database!GVN29</f>
        <v>0</v>
      </c>
      <c r="GUV5">
        <f>Database!GVO29</f>
        <v>0</v>
      </c>
      <c r="GUW5">
        <f>Database!GVP29</f>
        <v>0</v>
      </c>
      <c r="GUX5">
        <f>Database!GVQ29</f>
        <v>0</v>
      </c>
      <c r="GUY5">
        <f>Database!GVR29</f>
        <v>0</v>
      </c>
      <c r="GUZ5">
        <f>Database!GVS29</f>
        <v>0</v>
      </c>
      <c r="GVA5">
        <f>Database!GVT29</f>
        <v>0</v>
      </c>
      <c r="GVB5">
        <f>Database!GVU29</f>
        <v>0</v>
      </c>
      <c r="GVC5">
        <f>Database!GVV29</f>
        <v>0</v>
      </c>
      <c r="GVD5">
        <f>Database!GVW29</f>
        <v>0</v>
      </c>
      <c r="GVE5">
        <f>Database!GVX29</f>
        <v>0</v>
      </c>
      <c r="GVF5">
        <f>Database!GVY29</f>
        <v>0</v>
      </c>
      <c r="GVG5">
        <f>Database!GVZ29</f>
        <v>0</v>
      </c>
      <c r="GVH5">
        <f>Database!GWA29</f>
        <v>0</v>
      </c>
      <c r="GVI5">
        <f>Database!GWB29</f>
        <v>0</v>
      </c>
      <c r="GVJ5">
        <f>Database!GWC29</f>
        <v>0</v>
      </c>
      <c r="GVK5">
        <f>Database!GWD29</f>
        <v>0</v>
      </c>
      <c r="GVL5">
        <f>Database!GWE29</f>
        <v>0</v>
      </c>
      <c r="GVM5">
        <f>Database!GWF29</f>
        <v>0</v>
      </c>
      <c r="GVN5">
        <f>Database!GWG29</f>
        <v>0</v>
      </c>
      <c r="GVO5">
        <f>Database!GWH29</f>
        <v>0</v>
      </c>
      <c r="GVP5">
        <f>Database!GWI29</f>
        <v>0</v>
      </c>
      <c r="GVQ5">
        <f>Database!GWJ29</f>
        <v>0</v>
      </c>
      <c r="GVR5">
        <f>Database!GWK29</f>
        <v>0</v>
      </c>
      <c r="GVS5">
        <f>Database!GWL29</f>
        <v>0</v>
      </c>
      <c r="GVT5">
        <f>Database!GWM29</f>
        <v>0</v>
      </c>
      <c r="GVU5">
        <f>Database!GWN29</f>
        <v>0</v>
      </c>
      <c r="GVV5">
        <f>Database!GWO29</f>
        <v>0</v>
      </c>
      <c r="GVW5">
        <f>Database!GWP29</f>
        <v>0</v>
      </c>
      <c r="GVX5">
        <f>Database!GWQ29</f>
        <v>0</v>
      </c>
      <c r="GVY5">
        <f>Database!GWR29</f>
        <v>0</v>
      </c>
      <c r="GVZ5">
        <f>Database!GWS29</f>
        <v>0</v>
      </c>
      <c r="GWA5">
        <f>Database!GWT29</f>
        <v>0</v>
      </c>
      <c r="GWB5">
        <f>Database!GWU29</f>
        <v>0</v>
      </c>
      <c r="GWC5">
        <f>Database!GWV29</f>
        <v>0</v>
      </c>
      <c r="GWD5">
        <f>Database!GWW29</f>
        <v>0</v>
      </c>
      <c r="GWE5">
        <f>Database!GWX29</f>
        <v>0</v>
      </c>
      <c r="GWF5">
        <f>Database!GWY29</f>
        <v>0</v>
      </c>
      <c r="GWG5">
        <f>Database!GWZ29</f>
        <v>0</v>
      </c>
      <c r="GWH5">
        <f>Database!GXA29</f>
        <v>0</v>
      </c>
      <c r="GWI5">
        <f>Database!GXB29</f>
        <v>0</v>
      </c>
      <c r="GWJ5">
        <f>Database!GXC29</f>
        <v>0</v>
      </c>
      <c r="GWK5">
        <f>Database!GXD29</f>
        <v>0</v>
      </c>
      <c r="GWL5">
        <f>Database!GXE29</f>
        <v>0</v>
      </c>
      <c r="GWM5">
        <f>Database!GXF29</f>
        <v>0</v>
      </c>
      <c r="GWN5">
        <f>Database!GXG29</f>
        <v>0</v>
      </c>
      <c r="GWO5">
        <f>Database!GXH29</f>
        <v>0</v>
      </c>
      <c r="GWP5">
        <f>Database!GXI29</f>
        <v>0</v>
      </c>
      <c r="GWQ5">
        <f>Database!GXJ29</f>
        <v>0</v>
      </c>
      <c r="GWR5">
        <f>Database!GXK29</f>
        <v>0</v>
      </c>
      <c r="GWS5">
        <f>Database!GXL29</f>
        <v>0</v>
      </c>
      <c r="GWT5">
        <f>Database!GXM29</f>
        <v>0</v>
      </c>
      <c r="GWU5">
        <f>Database!GXN29</f>
        <v>0</v>
      </c>
      <c r="GWV5">
        <f>Database!GXO29</f>
        <v>0</v>
      </c>
      <c r="GWW5">
        <f>Database!GXP29</f>
        <v>0</v>
      </c>
      <c r="GWX5">
        <f>Database!GXQ29</f>
        <v>0</v>
      </c>
      <c r="GWY5">
        <f>Database!GXR29</f>
        <v>0</v>
      </c>
      <c r="GWZ5">
        <f>Database!GXS29</f>
        <v>0</v>
      </c>
      <c r="GXA5">
        <f>Database!GXT29</f>
        <v>0</v>
      </c>
      <c r="GXB5">
        <f>Database!GXU29</f>
        <v>0</v>
      </c>
      <c r="GXC5">
        <f>Database!GXV29</f>
        <v>0</v>
      </c>
      <c r="GXD5">
        <f>Database!GXW29</f>
        <v>0</v>
      </c>
      <c r="GXE5">
        <f>Database!GXX29</f>
        <v>0</v>
      </c>
      <c r="GXF5">
        <f>Database!GXY29</f>
        <v>0</v>
      </c>
      <c r="GXG5">
        <f>Database!GXZ29</f>
        <v>0</v>
      </c>
      <c r="GXH5">
        <f>Database!GYA29</f>
        <v>0</v>
      </c>
      <c r="GXI5">
        <f>Database!GYB29</f>
        <v>0</v>
      </c>
      <c r="GXJ5">
        <f>Database!GYC29</f>
        <v>0</v>
      </c>
      <c r="GXK5">
        <f>Database!GYD29</f>
        <v>0</v>
      </c>
      <c r="GXL5">
        <f>Database!GYE29</f>
        <v>0</v>
      </c>
      <c r="GXM5">
        <f>Database!GYF29</f>
        <v>0</v>
      </c>
      <c r="GXN5">
        <f>Database!GYG29</f>
        <v>0</v>
      </c>
      <c r="GXO5">
        <f>Database!GYH29</f>
        <v>0</v>
      </c>
      <c r="GXP5">
        <f>Database!GYI29</f>
        <v>0</v>
      </c>
      <c r="GXQ5">
        <f>Database!GYJ29</f>
        <v>0</v>
      </c>
      <c r="GXR5">
        <f>Database!GYK29</f>
        <v>0</v>
      </c>
      <c r="GXS5">
        <f>Database!GYL29</f>
        <v>0</v>
      </c>
      <c r="GXT5">
        <f>Database!GYM29</f>
        <v>0</v>
      </c>
      <c r="GXU5">
        <f>Database!GYN29</f>
        <v>0</v>
      </c>
      <c r="GXV5">
        <f>Database!GYO29</f>
        <v>0</v>
      </c>
      <c r="GXW5">
        <f>Database!GYP29</f>
        <v>0</v>
      </c>
      <c r="GXX5">
        <f>Database!GYQ29</f>
        <v>0</v>
      </c>
      <c r="GXY5">
        <f>Database!GYR29</f>
        <v>0</v>
      </c>
      <c r="GXZ5">
        <f>Database!GYS29</f>
        <v>0</v>
      </c>
      <c r="GYA5">
        <f>Database!GYT29</f>
        <v>0</v>
      </c>
      <c r="GYB5">
        <f>Database!GYU29</f>
        <v>0</v>
      </c>
      <c r="GYC5">
        <f>Database!GYV29</f>
        <v>0</v>
      </c>
      <c r="GYD5">
        <f>Database!GYW29</f>
        <v>0</v>
      </c>
      <c r="GYE5">
        <f>Database!GYX29</f>
        <v>0</v>
      </c>
      <c r="GYF5">
        <f>Database!GYY29</f>
        <v>0</v>
      </c>
      <c r="GYG5">
        <f>Database!GYZ29</f>
        <v>0</v>
      </c>
      <c r="GYH5">
        <f>Database!GZA29</f>
        <v>0</v>
      </c>
      <c r="GYI5">
        <f>Database!GZB29</f>
        <v>0</v>
      </c>
      <c r="GYJ5">
        <f>Database!GZC29</f>
        <v>0</v>
      </c>
      <c r="GYK5">
        <f>Database!GZD29</f>
        <v>0</v>
      </c>
      <c r="GYL5">
        <f>Database!GZE29</f>
        <v>0</v>
      </c>
      <c r="GYM5">
        <f>Database!GZF29</f>
        <v>0</v>
      </c>
      <c r="GYN5">
        <f>Database!GZG29</f>
        <v>0</v>
      </c>
      <c r="GYO5">
        <f>Database!GZH29</f>
        <v>0</v>
      </c>
      <c r="GYP5">
        <f>Database!GZI29</f>
        <v>0</v>
      </c>
      <c r="GYQ5">
        <f>Database!GZJ29</f>
        <v>0</v>
      </c>
      <c r="GYR5">
        <f>Database!GZK29</f>
        <v>0</v>
      </c>
      <c r="GYS5">
        <f>Database!GZL29</f>
        <v>0</v>
      </c>
      <c r="GYT5">
        <f>Database!GZM29</f>
        <v>0</v>
      </c>
      <c r="GYU5">
        <f>Database!GZN29</f>
        <v>0</v>
      </c>
      <c r="GYV5">
        <f>Database!GZO29</f>
        <v>0</v>
      </c>
      <c r="GYW5">
        <f>Database!GZP29</f>
        <v>0</v>
      </c>
      <c r="GYX5">
        <f>Database!GZQ29</f>
        <v>0</v>
      </c>
      <c r="GYY5">
        <f>Database!GZR29</f>
        <v>0</v>
      </c>
      <c r="GYZ5">
        <f>Database!GZS29</f>
        <v>0</v>
      </c>
      <c r="GZA5">
        <f>Database!GZT29</f>
        <v>0</v>
      </c>
      <c r="GZB5">
        <f>Database!GZU29</f>
        <v>0</v>
      </c>
      <c r="GZC5">
        <f>Database!GZV29</f>
        <v>0</v>
      </c>
      <c r="GZD5">
        <f>Database!GZW29</f>
        <v>0</v>
      </c>
      <c r="GZE5">
        <f>Database!GZX29</f>
        <v>0</v>
      </c>
      <c r="GZF5">
        <f>Database!GZY29</f>
        <v>0</v>
      </c>
      <c r="GZG5">
        <f>Database!GZZ29</f>
        <v>0</v>
      </c>
      <c r="GZH5">
        <f>Database!HAA29</f>
        <v>0</v>
      </c>
      <c r="GZI5">
        <f>Database!HAB29</f>
        <v>0</v>
      </c>
      <c r="GZJ5">
        <f>Database!HAC29</f>
        <v>0</v>
      </c>
      <c r="GZK5">
        <f>Database!HAD29</f>
        <v>0</v>
      </c>
      <c r="GZL5">
        <f>Database!HAE29</f>
        <v>0</v>
      </c>
      <c r="GZM5">
        <f>Database!HAF29</f>
        <v>0</v>
      </c>
      <c r="GZN5">
        <f>Database!HAG29</f>
        <v>0</v>
      </c>
      <c r="GZO5">
        <f>Database!HAH29</f>
        <v>0</v>
      </c>
      <c r="GZP5">
        <f>Database!HAI29</f>
        <v>0</v>
      </c>
      <c r="GZQ5">
        <f>Database!HAJ29</f>
        <v>0</v>
      </c>
      <c r="GZR5">
        <f>Database!HAK29</f>
        <v>0</v>
      </c>
      <c r="GZS5">
        <f>Database!HAL29</f>
        <v>0</v>
      </c>
      <c r="GZT5">
        <f>Database!HAM29</f>
        <v>0</v>
      </c>
      <c r="GZU5">
        <f>Database!HAN29</f>
        <v>0</v>
      </c>
      <c r="GZV5">
        <f>Database!HAO29</f>
        <v>0</v>
      </c>
      <c r="GZW5">
        <f>Database!HAP29</f>
        <v>0</v>
      </c>
      <c r="GZX5">
        <f>Database!HAQ29</f>
        <v>0</v>
      </c>
      <c r="GZY5">
        <f>Database!HAR29</f>
        <v>0</v>
      </c>
      <c r="GZZ5">
        <f>Database!HAS29</f>
        <v>0</v>
      </c>
      <c r="HAA5">
        <f>Database!HAT29</f>
        <v>0</v>
      </c>
      <c r="HAB5">
        <f>Database!HAU29</f>
        <v>0</v>
      </c>
      <c r="HAC5">
        <f>Database!HAV29</f>
        <v>0</v>
      </c>
      <c r="HAD5">
        <f>Database!HAW29</f>
        <v>0</v>
      </c>
      <c r="HAE5">
        <f>Database!HAX29</f>
        <v>0</v>
      </c>
      <c r="HAF5">
        <f>Database!HAY29</f>
        <v>0</v>
      </c>
      <c r="HAG5">
        <f>Database!HAZ29</f>
        <v>0</v>
      </c>
      <c r="HAH5">
        <f>Database!HBA29</f>
        <v>0</v>
      </c>
      <c r="HAI5">
        <f>Database!HBB29</f>
        <v>0</v>
      </c>
      <c r="HAJ5">
        <f>Database!HBC29</f>
        <v>0</v>
      </c>
      <c r="HAK5">
        <f>Database!HBD29</f>
        <v>0</v>
      </c>
      <c r="HAL5">
        <f>Database!HBE29</f>
        <v>0</v>
      </c>
      <c r="HAM5">
        <f>Database!HBF29</f>
        <v>0</v>
      </c>
      <c r="HAN5">
        <f>Database!HBG29</f>
        <v>0</v>
      </c>
      <c r="HAO5">
        <f>Database!HBH29</f>
        <v>0</v>
      </c>
      <c r="HAP5">
        <f>Database!HBI29</f>
        <v>0</v>
      </c>
      <c r="HAQ5">
        <f>Database!HBJ29</f>
        <v>0</v>
      </c>
      <c r="HAR5">
        <f>Database!HBK29</f>
        <v>0</v>
      </c>
      <c r="HAS5">
        <f>Database!HBL29</f>
        <v>0</v>
      </c>
      <c r="HAT5">
        <f>Database!HBM29</f>
        <v>0</v>
      </c>
      <c r="HAU5">
        <f>Database!HBN29</f>
        <v>0</v>
      </c>
      <c r="HAV5">
        <f>Database!HBO29</f>
        <v>0</v>
      </c>
      <c r="HAW5">
        <f>Database!HBP29</f>
        <v>0</v>
      </c>
      <c r="HAX5">
        <f>Database!HBQ29</f>
        <v>0</v>
      </c>
      <c r="HAY5">
        <f>Database!HBR29</f>
        <v>0</v>
      </c>
      <c r="HAZ5">
        <f>Database!HBS29</f>
        <v>0</v>
      </c>
      <c r="HBA5">
        <f>Database!HBT29</f>
        <v>0</v>
      </c>
      <c r="HBB5">
        <f>Database!HBU29</f>
        <v>0</v>
      </c>
      <c r="HBC5">
        <f>Database!HBV29</f>
        <v>0</v>
      </c>
      <c r="HBD5">
        <f>Database!HBW29</f>
        <v>0</v>
      </c>
      <c r="HBE5">
        <f>Database!HBX29</f>
        <v>0</v>
      </c>
      <c r="HBF5">
        <f>Database!HBY29</f>
        <v>0</v>
      </c>
      <c r="HBG5">
        <f>Database!HBZ29</f>
        <v>0</v>
      </c>
      <c r="HBH5">
        <f>Database!HCA29</f>
        <v>0</v>
      </c>
      <c r="HBI5">
        <f>Database!HCB29</f>
        <v>0</v>
      </c>
      <c r="HBJ5">
        <f>Database!HCC29</f>
        <v>0</v>
      </c>
      <c r="HBK5">
        <f>Database!HCD29</f>
        <v>0</v>
      </c>
      <c r="HBL5">
        <f>Database!HCE29</f>
        <v>0</v>
      </c>
      <c r="HBM5">
        <f>Database!HCF29</f>
        <v>0</v>
      </c>
      <c r="HBN5">
        <f>Database!HCG29</f>
        <v>0</v>
      </c>
      <c r="HBO5">
        <f>Database!HCH29</f>
        <v>0</v>
      </c>
      <c r="HBP5">
        <f>Database!HCI29</f>
        <v>0</v>
      </c>
      <c r="HBQ5">
        <f>Database!HCJ29</f>
        <v>0</v>
      </c>
      <c r="HBR5">
        <f>Database!HCK29</f>
        <v>0</v>
      </c>
      <c r="HBS5">
        <f>Database!HCL29</f>
        <v>0</v>
      </c>
      <c r="HBT5">
        <f>Database!HCM29</f>
        <v>0</v>
      </c>
      <c r="HBU5">
        <f>Database!HCN29</f>
        <v>0</v>
      </c>
      <c r="HBV5">
        <f>Database!HCO29</f>
        <v>0</v>
      </c>
      <c r="HBW5">
        <f>Database!HCP29</f>
        <v>0</v>
      </c>
      <c r="HBX5">
        <f>Database!HCQ29</f>
        <v>0</v>
      </c>
      <c r="HBY5">
        <f>Database!HCR29</f>
        <v>0</v>
      </c>
      <c r="HBZ5">
        <f>Database!HCS29</f>
        <v>0</v>
      </c>
      <c r="HCA5">
        <f>Database!HCT29</f>
        <v>0</v>
      </c>
      <c r="HCB5">
        <f>Database!HCU29</f>
        <v>0</v>
      </c>
      <c r="HCC5">
        <f>Database!HCV29</f>
        <v>0</v>
      </c>
      <c r="HCD5">
        <f>Database!HCW29</f>
        <v>0</v>
      </c>
      <c r="HCE5">
        <f>Database!HCX29</f>
        <v>0</v>
      </c>
      <c r="HCF5">
        <f>Database!HCY29</f>
        <v>0</v>
      </c>
      <c r="HCG5">
        <f>Database!HCZ29</f>
        <v>0</v>
      </c>
      <c r="HCH5">
        <f>Database!HDA29</f>
        <v>0</v>
      </c>
      <c r="HCI5">
        <f>Database!HDB29</f>
        <v>0</v>
      </c>
      <c r="HCJ5">
        <f>Database!HDC29</f>
        <v>0</v>
      </c>
      <c r="HCK5">
        <f>Database!HDD29</f>
        <v>0</v>
      </c>
      <c r="HCL5">
        <f>Database!HDE29</f>
        <v>0</v>
      </c>
      <c r="HCM5">
        <f>Database!HDF29</f>
        <v>0</v>
      </c>
      <c r="HCN5">
        <f>Database!HDG29</f>
        <v>0</v>
      </c>
      <c r="HCO5">
        <f>Database!HDH29</f>
        <v>0</v>
      </c>
      <c r="HCP5">
        <f>Database!HDI29</f>
        <v>0</v>
      </c>
      <c r="HCQ5">
        <f>Database!HDJ29</f>
        <v>0</v>
      </c>
      <c r="HCR5">
        <f>Database!HDK29</f>
        <v>0</v>
      </c>
      <c r="HCS5">
        <f>Database!HDL29</f>
        <v>0</v>
      </c>
      <c r="HCT5">
        <f>Database!HDM29</f>
        <v>0</v>
      </c>
      <c r="HCU5">
        <f>Database!HDN29</f>
        <v>0</v>
      </c>
      <c r="HCV5">
        <f>Database!HDO29</f>
        <v>0</v>
      </c>
      <c r="HCW5">
        <f>Database!HDP29</f>
        <v>0</v>
      </c>
      <c r="HCX5">
        <f>Database!HDQ29</f>
        <v>0</v>
      </c>
      <c r="HCY5">
        <f>Database!HDR29</f>
        <v>0</v>
      </c>
      <c r="HCZ5">
        <f>Database!HDS29</f>
        <v>0</v>
      </c>
      <c r="HDA5">
        <f>Database!HDT29</f>
        <v>0</v>
      </c>
      <c r="HDB5">
        <f>Database!HDU29</f>
        <v>0</v>
      </c>
      <c r="HDC5">
        <f>Database!HDV29</f>
        <v>0</v>
      </c>
      <c r="HDD5">
        <f>Database!HDW29</f>
        <v>0</v>
      </c>
      <c r="HDE5">
        <f>Database!HDX29</f>
        <v>0</v>
      </c>
      <c r="HDF5">
        <f>Database!HDY29</f>
        <v>0</v>
      </c>
      <c r="HDG5">
        <f>Database!HDZ29</f>
        <v>0</v>
      </c>
      <c r="HDH5">
        <f>Database!HEA29</f>
        <v>0</v>
      </c>
      <c r="HDI5">
        <f>Database!HEB29</f>
        <v>0</v>
      </c>
      <c r="HDJ5">
        <f>Database!HEC29</f>
        <v>0</v>
      </c>
      <c r="HDK5">
        <f>Database!HED29</f>
        <v>0</v>
      </c>
      <c r="HDL5">
        <f>Database!HEE29</f>
        <v>0</v>
      </c>
      <c r="HDM5">
        <f>Database!HEF29</f>
        <v>0</v>
      </c>
      <c r="HDN5">
        <f>Database!HEG29</f>
        <v>0</v>
      </c>
      <c r="HDO5">
        <f>Database!HEH29</f>
        <v>0</v>
      </c>
      <c r="HDP5">
        <f>Database!HEI29</f>
        <v>0</v>
      </c>
      <c r="HDQ5">
        <f>Database!HEJ29</f>
        <v>0</v>
      </c>
      <c r="HDR5">
        <f>Database!HEK29</f>
        <v>0</v>
      </c>
      <c r="HDS5">
        <f>Database!HEL29</f>
        <v>0</v>
      </c>
      <c r="HDT5">
        <f>Database!HEM29</f>
        <v>0</v>
      </c>
      <c r="HDU5">
        <f>Database!HEN29</f>
        <v>0</v>
      </c>
      <c r="HDV5">
        <f>Database!HEO29</f>
        <v>0</v>
      </c>
      <c r="HDW5">
        <f>Database!HEP29</f>
        <v>0</v>
      </c>
      <c r="HDX5">
        <f>Database!HEQ29</f>
        <v>0</v>
      </c>
      <c r="HDY5">
        <f>Database!HER29</f>
        <v>0</v>
      </c>
      <c r="HDZ5">
        <f>Database!HES29</f>
        <v>0</v>
      </c>
      <c r="HEA5">
        <f>Database!HET29</f>
        <v>0</v>
      </c>
      <c r="HEB5">
        <f>Database!HEU29</f>
        <v>0</v>
      </c>
      <c r="HEC5">
        <f>Database!HEV29</f>
        <v>0</v>
      </c>
      <c r="HED5">
        <f>Database!HEW29</f>
        <v>0</v>
      </c>
      <c r="HEE5">
        <f>Database!HEX29</f>
        <v>0</v>
      </c>
      <c r="HEF5">
        <f>Database!HEY29</f>
        <v>0</v>
      </c>
      <c r="HEG5">
        <f>Database!HEZ29</f>
        <v>0</v>
      </c>
      <c r="HEH5">
        <f>Database!HFA29</f>
        <v>0</v>
      </c>
      <c r="HEI5">
        <f>Database!HFB29</f>
        <v>0</v>
      </c>
      <c r="HEJ5">
        <f>Database!HFC29</f>
        <v>0</v>
      </c>
      <c r="HEK5">
        <f>Database!HFD29</f>
        <v>0</v>
      </c>
      <c r="HEL5">
        <f>Database!HFE29</f>
        <v>0</v>
      </c>
      <c r="HEM5">
        <f>Database!HFF29</f>
        <v>0</v>
      </c>
      <c r="HEN5">
        <f>Database!HFG29</f>
        <v>0</v>
      </c>
      <c r="HEO5">
        <f>Database!HFH29</f>
        <v>0</v>
      </c>
      <c r="HEP5">
        <f>Database!HFI29</f>
        <v>0</v>
      </c>
      <c r="HEQ5">
        <f>Database!HFJ29</f>
        <v>0</v>
      </c>
      <c r="HER5">
        <f>Database!HFK29</f>
        <v>0</v>
      </c>
      <c r="HES5">
        <f>Database!HFL29</f>
        <v>0</v>
      </c>
      <c r="HET5">
        <f>Database!HFM29</f>
        <v>0</v>
      </c>
      <c r="HEU5">
        <f>Database!HFN29</f>
        <v>0</v>
      </c>
      <c r="HEV5">
        <f>Database!HFO29</f>
        <v>0</v>
      </c>
      <c r="HEW5">
        <f>Database!HFP29</f>
        <v>0</v>
      </c>
      <c r="HEX5">
        <f>Database!HFQ29</f>
        <v>0</v>
      </c>
      <c r="HEY5">
        <f>Database!HFR29</f>
        <v>0</v>
      </c>
      <c r="HEZ5">
        <f>Database!HFS29</f>
        <v>0</v>
      </c>
      <c r="HFA5">
        <f>Database!HFT29</f>
        <v>0</v>
      </c>
      <c r="HFB5">
        <f>Database!HFU29</f>
        <v>0</v>
      </c>
      <c r="HFC5">
        <f>Database!HFV29</f>
        <v>0</v>
      </c>
      <c r="HFD5">
        <f>Database!HFW29</f>
        <v>0</v>
      </c>
      <c r="HFE5">
        <f>Database!HFX29</f>
        <v>0</v>
      </c>
      <c r="HFF5">
        <f>Database!HFY29</f>
        <v>0</v>
      </c>
      <c r="HFG5">
        <f>Database!HFZ29</f>
        <v>0</v>
      </c>
      <c r="HFH5">
        <f>Database!HGA29</f>
        <v>0</v>
      </c>
      <c r="HFI5">
        <f>Database!HGB29</f>
        <v>0</v>
      </c>
      <c r="HFJ5">
        <f>Database!HGC29</f>
        <v>0</v>
      </c>
      <c r="HFK5">
        <f>Database!HGD29</f>
        <v>0</v>
      </c>
      <c r="HFL5">
        <f>Database!HGE29</f>
        <v>0</v>
      </c>
      <c r="HFM5">
        <f>Database!HGF29</f>
        <v>0</v>
      </c>
      <c r="HFN5">
        <f>Database!HGG29</f>
        <v>0</v>
      </c>
      <c r="HFO5">
        <f>Database!HGH29</f>
        <v>0</v>
      </c>
      <c r="HFP5">
        <f>Database!HGI29</f>
        <v>0</v>
      </c>
      <c r="HFQ5">
        <f>Database!HGJ29</f>
        <v>0</v>
      </c>
      <c r="HFR5">
        <f>Database!HGK29</f>
        <v>0</v>
      </c>
      <c r="HFS5">
        <f>Database!HGL29</f>
        <v>0</v>
      </c>
      <c r="HFT5">
        <f>Database!HGM29</f>
        <v>0</v>
      </c>
      <c r="HFU5">
        <f>Database!HGN29</f>
        <v>0</v>
      </c>
      <c r="HFV5">
        <f>Database!HGO29</f>
        <v>0</v>
      </c>
      <c r="HFW5">
        <f>Database!HGP29</f>
        <v>0</v>
      </c>
      <c r="HFX5">
        <f>Database!HGQ29</f>
        <v>0</v>
      </c>
      <c r="HFY5">
        <f>Database!HGR29</f>
        <v>0</v>
      </c>
      <c r="HFZ5">
        <f>Database!HGS29</f>
        <v>0</v>
      </c>
      <c r="HGA5">
        <f>Database!HGT29</f>
        <v>0</v>
      </c>
      <c r="HGB5">
        <f>Database!HGU29</f>
        <v>0</v>
      </c>
      <c r="HGC5">
        <f>Database!HGV29</f>
        <v>0</v>
      </c>
      <c r="HGD5">
        <f>Database!HGW29</f>
        <v>0</v>
      </c>
      <c r="HGE5">
        <f>Database!HGX29</f>
        <v>0</v>
      </c>
      <c r="HGF5">
        <f>Database!HGY29</f>
        <v>0</v>
      </c>
      <c r="HGG5">
        <f>Database!HGZ29</f>
        <v>0</v>
      </c>
      <c r="HGH5">
        <f>Database!HHA29</f>
        <v>0</v>
      </c>
      <c r="HGI5">
        <f>Database!HHB29</f>
        <v>0</v>
      </c>
      <c r="HGJ5">
        <f>Database!HHC29</f>
        <v>0</v>
      </c>
      <c r="HGK5">
        <f>Database!HHD29</f>
        <v>0</v>
      </c>
      <c r="HGL5">
        <f>Database!HHE29</f>
        <v>0</v>
      </c>
      <c r="HGM5">
        <f>Database!HHF29</f>
        <v>0</v>
      </c>
      <c r="HGN5">
        <f>Database!HHG29</f>
        <v>0</v>
      </c>
      <c r="HGO5">
        <f>Database!HHH29</f>
        <v>0</v>
      </c>
      <c r="HGP5">
        <f>Database!HHI29</f>
        <v>0</v>
      </c>
      <c r="HGQ5">
        <f>Database!HHJ29</f>
        <v>0</v>
      </c>
      <c r="HGR5">
        <f>Database!HHK29</f>
        <v>0</v>
      </c>
      <c r="HGS5">
        <f>Database!HHL29</f>
        <v>0</v>
      </c>
      <c r="HGT5">
        <f>Database!HHM29</f>
        <v>0</v>
      </c>
      <c r="HGU5">
        <f>Database!HHN29</f>
        <v>0</v>
      </c>
      <c r="HGV5">
        <f>Database!HHO29</f>
        <v>0</v>
      </c>
      <c r="HGW5">
        <f>Database!HHP29</f>
        <v>0</v>
      </c>
      <c r="HGX5">
        <f>Database!HHQ29</f>
        <v>0</v>
      </c>
      <c r="HGY5">
        <f>Database!HHR29</f>
        <v>0</v>
      </c>
      <c r="HGZ5">
        <f>Database!HHS29</f>
        <v>0</v>
      </c>
      <c r="HHA5">
        <f>Database!HHT29</f>
        <v>0</v>
      </c>
      <c r="HHB5">
        <f>Database!HHU29</f>
        <v>0</v>
      </c>
      <c r="HHC5">
        <f>Database!HHV29</f>
        <v>0</v>
      </c>
      <c r="HHD5">
        <f>Database!HHW29</f>
        <v>0</v>
      </c>
      <c r="HHE5">
        <f>Database!HHX29</f>
        <v>0</v>
      </c>
      <c r="HHF5">
        <f>Database!HHY29</f>
        <v>0</v>
      </c>
      <c r="HHG5">
        <f>Database!HHZ29</f>
        <v>0</v>
      </c>
      <c r="HHH5">
        <f>Database!HIA29</f>
        <v>0</v>
      </c>
      <c r="HHI5">
        <f>Database!HIB29</f>
        <v>0</v>
      </c>
      <c r="HHJ5">
        <f>Database!HIC29</f>
        <v>0</v>
      </c>
      <c r="HHK5">
        <f>Database!HID29</f>
        <v>0</v>
      </c>
      <c r="HHL5">
        <f>Database!HIE29</f>
        <v>0</v>
      </c>
      <c r="HHM5">
        <f>Database!HIF29</f>
        <v>0</v>
      </c>
      <c r="HHN5">
        <f>Database!HIG29</f>
        <v>0</v>
      </c>
      <c r="HHO5">
        <f>Database!HIH29</f>
        <v>0</v>
      </c>
      <c r="HHP5">
        <f>Database!HII29</f>
        <v>0</v>
      </c>
      <c r="HHQ5">
        <f>Database!HIJ29</f>
        <v>0</v>
      </c>
      <c r="HHR5">
        <f>Database!HIK29</f>
        <v>0</v>
      </c>
      <c r="HHS5">
        <f>Database!HIL29</f>
        <v>0</v>
      </c>
      <c r="HHT5">
        <f>Database!HIM29</f>
        <v>0</v>
      </c>
      <c r="HHU5">
        <f>Database!HIN29</f>
        <v>0</v>
      </c>
      <c r="HHV5">
        <f>Database!HIO29</f>
        <v>0</v>
      </c>
      <c r="HHW5">
        <f>Database!HIP29</f>
        <v>0</v>
      </c>
      <c r="HHX5">
        <f>Database!HIQ29</f>
        <v>0</v>
      </c>
      <c r="HHY5">
        <f>Database!HIR29</f>
        <v>0</v>
      </c>
      <c r="HHZ5">
        <f>Database!HIS29</f>
        <v>0</v>
      </c>
      <c r="HIA5">
        <f>Database!HIT29</f>
        <v>0</v>
      </c>
      <c r="HIB5">
        <f>Database!HIU29</f>
        <v>0</v>
      </c>
      <c r="HIC5">
        <f>Database!HIV29</f>
        <v>0</v>
      </c>
      <c r="HID5">
        <f>Database!HIW29</f>
        <v>0</v>
      </c>
      <c r="HIE5">
        <f>Database!HIX29</f>
        <v>0</v>
      </c>
      <c r="HIF5">
        <f>Database!HIY29</f>
        <v>0</v>
      </c>
      <c r="HIG5">
        <f>Database!HIZ29</f>
        <v>0</v>
      </c>
      <c r="HIH5">
        <f>Database!HJA29</f>
        <v>0</v>
      </c>
      <c r="HII5">
        <f>Database!HJB29</f>
        <v>0</v>
      </c>
      <c r="HIJ5">
        <f>Database!HJC29</f>
        <v>0</v>
      </c>
      <c r="HIK5">
        <f>Database!HJD29</f>
        <v>0</v>
      </c>
      <c r="HIL5">
        <f>Database!HJE29</f>
        <v>0</v>
      </c>
      <c r="HIM5">
        <f>Database!HJF29</f>
        <v>0</v>
      </c>
      <c r="HIN5">
        <f>Database!HJG29</f>
        <v>0</v>
      </c>
      <c r="HIO5">
        <f>Database!HJH29</f>
        <v>0</v>
      </c>
      <c r="HIP5">
        <f>Database!HJI29</f>
        <v>0</v>
      </c>
      <c r="HIQ5">
        <f>Database!HJJ29</f>
        <v>0</v>
      </c>
      <c r="HIR5">
        <f>Database!HJK29</f>
        <v>0</v>
      </c>
      <c r="HIS5">
        <f>Database!HJL29</f>
        <v>0</v>
      </c>
      <c r="HIT5">
        <f>Database!HJM29</f>
        <v>0</v>
      </c>
      <c r="HIU5">
        <f>Database!HJN29</f>
        <v>0</v>
      </c>
      <c r="HIV5">
        <f>Database!HJO29</f>
        <v>0</v>
      </c>
      <c r="HIW5">
        <f>Database!HJP29</f>
        <v>0</v>
      </c>
      <c r="HIX5">
        <f>Database!HJQ29</f>
        <v>0</v>
      </c>
      <c r="HIY5">
        <f>Database!HJR29</f>
        <v>0</v>
      </c>
      <c r="HIZ5">
        <f>Database!HJS29</f>
        <v>0</v>
      </c>
      <c r="HJA5">
        <f>Database!HJT29</f>
        <v>0</v>
      </c>
      <c r="HJB5">
        <f>Database!HJU29</f>
        <v>0</v>
      </c>
      <c r="HJC5">
        <f>Database!HJV29</f>
        <v>0</v>
      </c>
      <c r="HJD5">
        <f>Database!HJW29</f>
        <v>0</v>
      </c>
      <c r="HJE5">
        <f>Database!HJX29</f>
        <v>0</v>
      </c>
      <c r="HJF5">
        <f>Database!HJY29</f>
        <v>0</v>
      </c>
      <c r="HJG5">
        <f>Database!HJZ29</f>
        <v>0</v>
      </c>
      <c r="HJH5">
        <f>Database!HKA29</f>
        <v>0</v>
      </c>
      <c r="HJI5">
        <f>Database!HKB29</f>
        <v>0</v>
      </c>
      <c r="HJJ5">
        <f>Database!HKC29</f>
        <v>0</v>
      </c>
      <c r="HJK5">
        <f>Database!HKD29</f>
        <v>0</v>
      </c>
      <c r="HJL5">
        <f>Database!HKE29</f>
        <v>0</v>
      </c>
      <c r="HJM5">
        <f>Database!HKF29</f>
        <v>0</v>
      </c>
      <c r="HJN5">
        <f>Database!HKG29</f>
        <v>0</v>
      </c>
      <c r="HJO5">
        <f>Database!HKH29</f>
        <v>0</v>
      </c>
      <c r="HJP5">
        <f>Database!HKI29</f>
        <v>0</v>
      </c>
      <c r="HJQ5">
        <f>Database!HKJ29</f>
        <v>0</v>
      </c>
      <c r="HJR5">
        <f>Database!HKK29</f>
        <v>0</v>
      </c>
      <c r="HJS5">
        <f>Database!HKL29</f>
        <v>0</v>
      </c>
      <c r="HJT5">
        <f>Database!HKM29</f>
        <v>0</v>
      </c>
      <c r="HJU5">
        <f>Database!HKN29</f>
        <v>0</v>
      </c>
      <c r="HJV5">
        <f>Database!HKO29</f>
        <v>0</v>
      </c>
      <c r="HJW5">
        <f>Database!HKP29</f>
        <v>0</v>
      </c>
      <c r="HJX5">
        <f>Database!HKQ29</f>
        <v>0</v>
      </c>
      <c r="HJY5">
        <f>Database!HKR29</f>
        <v>0</v>
      </c>
      <c r="HJZ5">
        <f>Database!HKS29</f>
        <v>0</v>
      </c>
      <c r="HKA5">
        <f>Database!HKT29</f>
        <v>0</v>
      </c>
      <c r="HKB5">
        <f>Database!HKU29</f>
        <v>0</v>
      </c>
      <c r="HKC5">
        <f>Database!HKV29</f>
        <v>0</v>
      </c>
      <c r="HKD5">
        <f>Database!HKW29</f>
        <v>0</v>
      </c>
      <c r="HKE5">
        <f>Database!HKX29</f>
        <v>0</v>
      </c>
      <c r="HKF5">
        <f>Database!HKY29</f>
        <v>0</v>
      </c>
      <c r="HKG5">
        <f>Database!HKZ29</f>
        <v>0</v>
      </c>
      <c r="HKH5">
        <f>Database!HLA29</f>
        <v>0</v>
      </c>
      <c r="HKI5">
        <f>Database!HLB29</f>
        <v>0</v>
      </c>
      <c r="HKJ5">
        <f>Database!HLC29</f>
        <v>0</v>
      </c>
      <c r="HKK5">
        <f>Database!HLD29</f>
        <v>0</v>
      </c>
      <c r="HKL5">
        <f>Database!HLE29</f>
        <v>0</v>
      </c>
      <c r="HKM5">
        <f>Database!HLF29</f>
        <v>0</v>
      </c>
      <c r="HKN5">
        <f>Database!HLG29</f>
        <v>0</v>
      </c>
      <c r="HKO5">
        <f>Database!HLH29</f>
        <v>0</v>
      </c>
      <c r="HKP5">
        <f>Database!HLI29</f>
        <v>0</v>
      </c>
      <c r="HKQ5">
        <f>Database!HLJ29</f>
        <v>0</v>
      </c>
      <c r="HKR5">
        <f>Database!HLK29</f>
        <v>0</v>
      </c>
      <c r="HKS5">
        <f>Database!HLL29</f>
        <v>0</v>
      </c>
      <c r="HKT5">
        <f>Database!HLM29</f>
        <v>0</v>
      </c>
      <c r="HKU5">
        <f>Database!HLN29</f>
        <v>0</v>
      </c>
      <c r="HKV5">
        <f>Database!HLO29</f>
        <v>0</v>
      </c>
      <c r="HKW5">
        <f>Database!HLP29</f>
        <v>0</v>
      </c>
      <c r="HKX5">
        <f>Database!HLQ29</f>
        <v>0</v>
      </c>
      <c r="HKY5">
        <f>Database!HLR29</f>
        <v>0</v>
      </c>
      <c r="HKZ5">
        <f>Database!HLS29</f>
        <v>0</v>
      </c>
      <c r="HLA5">
        <f>Database!HLT29</f>
        <v>0</v>
      </c>
      <c r="HLB5">
        <f>Database!HLU29</f>
        <v>0</v>
      </c>
      <c r="HLC5">
        <f>Database!HLV29</f>
        <v>0</v>
      </c>
      <c r="HLD5">
        <f>Database!HLW29</f>
        <v>0</v>
      </c>
      <c r="HLE5">
        <f>Database!HLX29</f>
        <v>0</v>
      </c>
      <c r="HLF5">
        <f>Database!HLY29</f>
        <v>0</v>
      </c>
      <c r="HLG5">
        <f>Database!HLZ29</f>
        <v>0</v>
      </c>
      <c r="HLH5">
        <f>Database!HMA29</f>
        <v>0</v>
      </c>
      <c r="HLI5">
        <f>Database!HMB29</f>
        <v>0</v>
      </c>
      <c r="HLJ5">
        <f>Database!HMC29</f>
        <v>0</v>
      </c>
      <c r="HLK5">
        <f>Database!HMD29</f>
        <v>0</v>
      </c>
      <c r="HLL5">
        <f>Database!HME29</f>
        <v>0</v>
      </c>
      <c r="HLM5">
        <f>Database!HMF29</f>
        <v>0</v>
      </c>
      <c r="HLN5">
        <f>Database!HMG29</f>
        <v>0</v>
      </c>
      <c r="HLO5">
        <f>Database!HMH29</f>
        <v>0</v>
      </c>
      <c r="HLP5">
        <f>Database!HMI29</f>
        <v>0</v>
      </c>
      <c r="HLQ5">
        <f>Database!HMJ29</f>
        <v>0</v>
      </c>
      <c r="HLR5">
        <f>Database!HMK29</f>
        <v>0</v>
      </c>
      <c r="HLS5">
        <f>Database!HML29</f>
        <v>0</v>
      </c>
      <c r="HLT5">
        <f>Database!HMM29</f>
        <v>0</v>
      </c>
      <c r="HLU5">
        <f>Database!HMN29</f>
        <v>0</v>
      </c>
      <c r="HLV5">
        <f>Database!HMO29</f>
        <v>0</v>
      </c>
      <c r="HLW5">
        <f>Database!HMP29</f>
        <v>0</v>
      </c>
      <c r="HLX5">
        <f>Database!HMQ29</f>
        <v>0</v>
      </c>
      <c r="HLY5">
        <f>Database!HMR29</f>
        <v>0</v>
      </c>
      <c r="HLZ5">
        <f>Database!HMS29</f>
        <v>0</v>
      </c>
      <c r="HMA5">
        <f>Database!HMT29</f>
        <v>0</v>
      </c>
      <c r="HMB5">
        <f>Database!HMU29</f>
        <v>0</v>
      </c>
      <c r="HMC5">
        <f>Database!HMV29</f>
        <v>0</v>
      </c>
      <c r="HMD5">
        <f>Database!HMW29</f>
        <v>0</v>
      </c>
      <c r="HME5">
        <f>Database!HMX29</f>
        <v>0</v>
      </c>
      <c r="HMF5">
        <f>Database!HMY29</f>
        <v>0</v>
      </c>
      <c r="HMG5">
        <f>Database!HMZ29</f>
        <v>0</v>
      </c>
      <c r="HMH5">
        <f>Database!HNA29</f>
        <v>0</v>
      </c>
      <c r="HMI5">
        <f>Database!HNB29</f>
        <v>0</v>
      </c>
      <c r="HMJ5">
        <f>Database!HNC29</f>
        <v>0</v>
      </c>
      <c r="HMK5">
        <f>Database!HND29</f>
        <v>0</v>
      </c>
      <c r="HML5">
        <f>Database!HNE29</f>
        <v>0</v>
      </c>
      <c r="HMM5">
        <f>Database!HNF29</f>
        <v>0</v>
      </c>
      <c r="HMN5">
        <f>Database!HNG29</f>
        <v>0</v>
      </c>
      <c r="HMO5">
        <f>Database!HNH29</f>
        <v>0</v>
      </c>
      <c r="HMP5">
        <f>Database!HNI29</f>
        <v>0</v>
      </c>
      <c r="HMQ5">
        <f>Database!HNJ29</f>
        <v>0</v>
      </c>
      <c r="HMR5">
        <f>Database!HNK29</f>
        <v>0</v>
      </c>
      <c r="HMS5">
        <f>Database!HNL29</f>
        <v>0</v>
      </c>
      <c r="HMT5">
        <f>Database!HNM29</f>
        <v>0</v>
      </c>
      <c r="HMU5">
        <f>Database!HNN29</f>
        <v>0</v>
      </c>
      <c r="HMV5">
        <f>Database!HNO29</f>
        <v>0</v>
      </c>
      <c r="HMW5">
        <f>Database!HNP29</f>
        <v>0</v>
      </c>
      <c r="HMX5">
        <f>Database!HNQ29</f>
        <v>0</v>
      </c>
      <c r="HMY5">
        <f>Database!HNR29</f>
        <v>0</v>
      </c>
      <c r="HMZ5">
        <f>Database!HNS29</f>
        <v>0</v>
      </c>
      <c r="HNA5">
        <f>Database!HNT29</f>
        <v>0</v>
      </c>
      <c r="HNB5">
        <f>Database!HNU29</f>
        <v>0</v>
      </c>
      <c r="HNC5">
        <f>Database!HNV29</f>
        <v>0</v>
      </c>
      <c r="HND5">
        <f>Database!HNW29</f>
        <v>0</v>
      </c>
      <c r="HNE5">
        <f>Database!HNX29</f>
        <v>0</v>
      </c>
      <c r="HNF5">
        <f>Database!HNY29</f>
        <v>0</v>
      </c>
      <c r="HNG5">
        <f>Database!HNZ29</f>
        <v>0</v>
      </c>
      <c r="HNH5">
        <f>Database!HOA29</f>
        <v>0</v>
      </c>
      <c r="HNI5">
        <f>Database!HOB29</f>
        <v>0</v>
      </c>
      <c r="HNJ5">
        <f>Database!HOC29</f>
        <v>0</v>
      </c>
      <c r="HNK5">
        <f>Database!HOD29</f>
        <v>0</v>
      </c>
      <c r="HNL5">
        <f>Database!HOE29</f>
        <v>0</v>
      </c>
      <c r="HNM5">
        <f>Database!HOF29</f>
        <v>0</v>
      </c>
      <c r="HNN5">
        <f>Database!HOG29</f>
        <v>0</v>
      </c>
      <c r="HNO5">
        <f>Database!HOH29</f>
        <v>0</v>
      </c>
      <c r="HNP5">
        <f>Database!HOI29</f>
        <v>0</v>
      </c>
      <c r="HNQ5">
        <f>Database!HOJ29</f>
        <v>0</v>
      </c>
      <c r="HNR5">
        <f>Database!HOK29</f>
        <v>0</v>
      </c>
      <c r="HNS5">
        <f>Database!HOL29</f>
        <v>0</v>
      </c>
      <c r="HNT5">
        <f>Database!HOM29</f>
        <v>0</v>
      </c>
      <c r="HNU5">
        <f>Database!HON29</f>
        <v>0</v>
      </c>
      <c r="HNV5">
        <f>Database!HOO29</f>
        <v>0</v>
      </c>
      <c r="HNW5">
        <f>Database!HOP29</f>
        <v>0</v>
      </c>
      <c r="HNX5">
        <f>Database!HOQ29</f>
        <v>0</v>
      </c>
      <c r="HNY5">
        <f>Database!HOR29</f>
        <v>0</v>
      </c>
      <c r="HNZ5">
        <f>Database!HOS29</f>
        <v>0</v>
      </c>
      <c r="HOA5">
        <f>Database!HOT29</f>
        <v>0</v>
      </c>
      <c r="HOB5">
        <f>Database!HOU29</f>
        <v>0</v>
      </c>
      <c r="HOC5">
        <f>Database!HOV29</f>
        <v>0</v>
      </c>
      <c r="HOD5">
        <f>Database!HOW29</f>
        <v>0</v>
      </c>
      <c r="HOE5">
        <f>Database!HOX29</f>
        <v>0</v>
      </c>
      <c r="HOF5">
        <f>Database!HOY29</f>
        <v>0</v>
      </c>
      <c r="HOG5">
        <f>Database!HOZ29</f>
        <v>0</v>
      </c>
      <c r="HOH5">
        <f>Database!HPA29</f>
        <v>0</v>
      </c>
      <c r="HOI5">
        <f>Database!HPB29</f>
        <v>0</v>
      </c>
      <c r="HOJ5">
        <f>Database!HPC29</f>
        <v>0</v>
      </c>
      <c r="HOK5">
        <f>Database!HPD29</f>
        <v>0</v>
      </c>
      <c r="HOL5">
        <f>Database!HPE29</f>
        <v>0</v>
      </c>
      <c r="HOM5">
        <f>Database!HPF29</f>
        <v>0</v>
      </c>
      <c r="HON5">
        <f>Database!HPG29</f>
        <v>0</v>
      </c>
      <c r="HOO5">
        <f>Database!HPH29</f>
        <v>0</v>
      </c>
      <c r="HOP5">
        <f>Database!HPI29</f>
        <v>0</v>
      </c>
      <c r="HOQ5">
        <f>Database!HPJ29</f>
        <v>0</v>
      </c>
      <c r="HOR5">
        <f>Database!HPK29</f>
        <v>0</v>
      </c>
      <c r="HOS5">
        <f>Database!HPL29</f>
        <v>0</v>
      </c>
      <c r="HOT5">
        <f>Database!HPM29</f>
        <v>0</v>
      </c>
      <c r="HOU5">
        <f>Database!HPN29</f>
        <v>0</v>
      </c>
      <c r="HOV5">
        <f>Database!HPO29</f>
        <v>0</v>
      </c>
      <c r="HOW5">
        <f>Database!HPP29</f>
        <v>0</v>
      </c>
      <c r="HOX5">
        <f>Database!HPQ29</f>
        <v>0</v>
      </c>
      <c r="HOY5">
        <f>Database!HPR29</f>
        <v>0</v>
      </c>
      <c r="HOZ5">
        <f>Database!HPS29</f>
        <v>0</v>
      </c>
      <c r="HPA5">
        <f>Database!HPT29</f>
        <v>0</v>
      </c>
      <c r="HPB5">
        <f>Database!HPU29</f>
        <v>0</v>
      </c>
      <c r="HPC5">
        <f>Database!HPV29</f>
        <v>0</v>
      </c>
      <c r="HPD5">
        <f>Database!HPW29</f>
        <v>0</v>
      </c>
      <c r="HPE5">
        <f>Database!HPX29</f>
        <v>0</v>
      </c>
      <c r="HPF5">
        <f>Database!HPY29</f>
        <v>0</v>
      </c>
      <c r="HPG5">
        <f>Database!HPZ29</f>
        <v>0</v>
      </c>
      <c r="HPH5">
        <f>Database!HQA29</f>
        <v>0</v>
      </c>
      <c r="HPI5">
        <f>Database!HQB29</f>
        <v>0</v>
      </c>
      <c r="HPJ5">
        <f>Database!HQC29</f>
        <v>0</v>
      </c>
      <c r="HPK5">
        <f>Database!HQD29</f>
        <v>0</v>
      </c>
      <c r="HPL5">
        <f>Database!HQE29</f>
        <v>0</v>
      </c>
      <c r="HPM5">
        <f>Database!HQF29</f>
        <v>0</v>
      </c>
      <c r="HPN5">
        <f>Database!HQG29</f>
        <v>0</v>
      </c>
      <c r="HPO5">
        <f>Database!HQH29</f>
        <v>0</v>
      </c>
      <c r="HPP5">
        <f>Database!HQI29</f>
        <v>0</v>
      </c>
      <c r="HPQ5">
        <f>Database!HQJ29</f>
        <v>0</v>
      </c>
      <c r="HPR5">
        <f>Database!HQK29</f>
        <v>0</v>
      </c>
      <c r="HPS5">
        <f>Database!HQL29</f>
        <v>0</v>
      </c>
      <c r="HPT5">
        <f>Database!HQM29</f>
        <v>0</v>
      </c>
      <c r="HPU5">
        <f>Database!HQN29</f>
        <v>0</v>
      </c>
      <c r="HPV5">
        <f>Database!HQO29</f>
        <v>0</v>
      </c>
      <c r="HPW5">
        <f>Database!HQP29</f>
        <v>0</v>
      </c>
      <c r="HPX5">
        <f>Database!HQQ29</f>
        <v>0</v>
      </c>
      <c r="HPY5">
        <f>Database!HQR29</f>
        <v>0</v>
      </c>
      <c r="HPZ5">
        <f>Database!HQS29</f>
        <v>0</v>
      </c>
      <c r="HQA5">
        <f>Database!HQT29</f>
        <v>0</v>
      </c>
      <c r="HQB5">
        <f>Database!HQU29</f>
        <v>0</v>
      </c>
      <c r="HQC5">
        <f>Database!HQV29</f>
        <v>0</v>
      </c>
      <c r="HQD5">
        <f>Database!HQW29</f>
        <v>0</v>
      </c>
      <c r="HQE5">
        <f>Database!HQX29</f>
        <v>0</v>
      </c>
      <c r="HQF5">
        <f>Database!HQY29</f>
        <v>0</v>
      </c>
      <c r="HQG5">
        <f>Database!HQZ29</f>
        <v>0</v>
      </c>
      <c r="HQH5">
        <f>Database!HRA29</f>
        <v>0</v>
      </c>
      <c r="HQI5">
        <f>Database!HRB29</f>
        <v>0</v>
      </c>
      <c r="HQJ5">
        <f>Database!HRC29</f>
        <v>0</v>
      </c>
      <c r="HQK5">
        <f>Database!HRD29</f>
        <v>0</v>
      </c>
      <c r="HQL5">
        <f>Database!HRE29</f>
        <v>0</v>
      </c>
      <c r="HQM5">
        <f>Database!HRF29</f>
        <v>0</v>
      </c>
      <c r="HQN5">
        <f>Database!HRG29</f>
        <v>0</v>
      </c>
      <c r="HQO5">
        <f>Database!HRH29</f>
        <v>0</v>
      </c>
      <c r="HQP5">
        <f>Database!HRI29</f>
        <v>0</v>
      </c>
      <c r="HQQ5">
        <f>Database!HRJ29</f>
        <v>0</v>
      </c>
      <c r="HQR5">
        <f>Database!HRK29</f>
        <v>0</v>
      </c>
      <c r="HQS5">
        <f>Database!HRL29</f>
        <v>0</v>
      </c>
      <c r="HQT5">
        <f>Database!HRM29</f>
        <v>0</v>
      </c>
      <c r="HQU5">
        <f>Database!HRN29</f>
        <v>0</v>
      </c>
      <c r="HQV5">
        <f>Database!HRO29</f>
        <v>0</v>
      </c>
      <c r="HQW5">
        <f>Database!HRP29</f>
        <v>0</v>
      </c>
      <c r="HQX5">
        <f>Database!HRQ29</f>
        <v>0</v>
      </c>
      <c r="HQY5">
        <f>Database!HRR29</f>
        <v>0</v>
      </c>
      <c r="HQZ5">
        <f>Database!HRS29</f>
        <v>0</v>
      </c>
      <c r="HRA5">
        <f>Database!HRT29</f>
        <v>0</v>
      </c>
      <c r="HRB5">
        <f>Database!HRU29</f>
        <v>0</v>
      </c>
      <c r="HRC5">
        <f>Database!HRV29</f>
        <v>0</v>
      </c>
      <c r="HRD5">
        <f>Database!HRW29</f>
        <v>0</v>
      </c>
      <c r="HRE5">
        <f>Database!HRX29</f>
        <v>0</v>
      </c>
      <c r="HRF5">
        <f>Database!HRY29</f>
        <v>0</v>
      </c>
      <c r="HRG5">
        <f>Database!HRZ29</f>
        <v>0</v>
      </c>
      <c r="HRH5">
        <f>Database!HSA29</f>
        <v>0</v>
      </c>
      <c r="HRI5">
        <f>Database!HSB29</f>
        <v>0</v>
      </c>
      <c r="HRJ5">
        <f>Database!HSC29</f>
        <v>0</v>
      </c>
      <c r="HRK5">
        <f>Database!HSD29</f>
        <v>0</v>
      </c>
      <c r="HRL5">
        <f>Database!HSE29</f>
        <v>0</v>
      </c>
      <c r="HRM5">
        <f>Database!HSF29</f>
        <v>0</v>
      </c>
      <c r="HRN5">
        <f>Database!HSG29</f>
        <v>0</v>
      </c>
      <c r="HRO5">
        <f>Database!HSH29</f>
        <v>0</v>
      </c>
      <c r="HRP5">
        <f>Database!HSI29</f>
        <v>0</v>
      </c>
      <c r="HRQ5">
        <f>Database!HSJ29</f>
        <v>0</v>
      </c>
      <c r="HRR5">
        <f>Database!HSK29</f>
        <v>0</v>
      </c>
      <c r="HRS5">
        <f>Database!HSL29</f>
        <v>0</v>
      </c>
      <c r="HRT5">
        <f>Database!HSM29</f>
        <v>0</v>
      </c>
      <c r="HRU5">
        <f>Database!HSN29</f>
        <v>0</v>
      </c>
      <c r="HRV5">
        <f>Database!HSO29</f>
        <v>0</v>
      </c>
      <c r="HRW5">
        <f>Database!HSP29</f>
        <v>0</v>
      </c>
      <c r="HRX5">
        <f>Database!HSQ29</f>
        <v>0</v>
      </c>
      <c r="HRY5">
        <f>Database!HSR29</f>
        <v>0</v>
      </c>
      <c r="HRZ5">
        <f>Database!HSS29</f>
        <v>0</v>
      </c>
      <c r="HSA5">
        <f>Database!HST29</f>
        <v>0</v>
      </c>
      <c r="HSB5">
        <f>Database!HSU29</f>
        <v>0</v>
      </c>
      <c r="HSC5">
        <f>Database!HSV29</f>
        <v>0</v>
      </c>
      <c r="HSD5">
        <f>Database!HSW29</f>
        <v>0</v>
      </c>
      <c r="HSE5">
        <f>Database!HSX29</f>
        <v>0</v>
      </c>
      <c r="HSF5">
        <f>Database!HSY29</f>
        <v>0</v>
      </c>
      <c r="HSG5">
        <f>Database!HSZ29</f>
        <v>0</v>
      </c>
      <c r="HSH5">
        <f>Database!HTA29</f>
        <v>0</v>
      </c>
      <c r="HSI5">
        <f>Database!HTB29</f>
        <v>0</v>
      </c>
      <c r="HSJ5">
        <f>Database!HTC29</f>
        <v>0</v>
      </c>
      <c r="HSK5">
        <f>Database!HTD29</f>
        <v>0</v>
      </c>
      <c r="HSL5">
        <f>Database!HTE29</f>
        <v>0</v>
      </c>
      <c r="HSM5">
        <f>Database!HTF29</f>
        <v>0</v>
      </c>
      <c r="HSN5">
        <f>Database!HTG29</f>
        <v>0</v>
      </c>
      <c r="HSO5">
        <f>Database!HTH29</f>
        <v>0</v>
      </c>
      <c r="HSP5">
        <f>Database!HTI29</f>
        <v>0</v>
      </c>
      <c r="HSQ5">
        <f>Database!HTJ29</f>
        <v>0</v>
      </c>
      <c r="HSR5">
        <f>Database!HTK29</f>
        <v>0</v>
      </c>
      <c r="HSS5">
        <f>Database!HTL29</f>
        <v>0</v>
      </c>
      <c r="HST5">
        <f>Database!HTM29</f>
        <v>0</v>
      </c>
      <c r="HSU5">
        <f>Database!HTN29</f>
        <v>0</v>
      </c>
      <c r="HSV5">
        <f>Database!HTO29</f>
        <v>0</v>
      </c>
      <c r="HSW5">
        <f>Database!HTP29</f>
        <v>0</v>
      </c>
      <c r="HSX5">
        <f>Database!HTQ29</f>
        <v>0</v>
      </c>
      <c r="HSY5">
        <f>Database!HTR29</f>
        <v>0</v>
      </c>
      <c r="HSZ5">
        <f>Database!HTS29</f>
        <v>0</v>
      </c>
      <c r="HTA5">
        <f>Database!HTT29</f>
        <v>0</v>
      </c>
      <c r="HTB5">
        <f>Database!HTU29</f>
        <v>0</v>
      </c>
      <c r="HTC5">
        <f>Database!HTV29</f>
        <v>0</v>
      </c>
      <c r="HTD5">
        <f>Database!HTW29</f>
        <v>0</v>
      </c>
      <c r="HTE5">
        <f>Database!HTX29</f>
        <v>0</v>
      </c>
      <c r="HTF5">
        <f>Database!HTY29</f>
        <v>0</v>
      </c>
      <c r="HTG5">
        <f>Database!HTZ29</f>
        <v>0</v>
      </c>
      <c r="HTH5">
        <f>Database!HUA29</f>
        <v>0</v>
      </c>
      <c r="HTI5">
        <f>Database!HUB29</f>
        <v>0</v>
      </c>
      <c r="HTJ5">
        <f>Database!HUC29</f>
        <v>0</v>
      </c>
      <c r="HTK5">
        <f>Database!HUD29</f>
        <v>0</v>
      </c>
      <c r="HTL5">
        <f>Database!HUE29</f>
        <v>0</v>
      </c>
      <c r="HTM5">
        <f>Database!HUF29</f>
        <v>0</v>
      </c>
      <c r="HTN5">
        <f>Database!HUG29</f>
        <v>0</v>
      </c>
      <c r="HTO5">
        <f>Database!HUH29</f>
        <v>0</v>
      </c>
      <c r="HTP5">
        <f>Database!HUI29</f>
        <v>0</v>
      </c>
      <c r="HTQ5">
        <f>Database!HUJ29</f>
        <v>0</v>
      </c>
      <c r="HTR5">
        <f>Database!HUK29</f>
        <v>0</v>
      </c>
      <c r="HTS5">
        <f>Database!HUL29</f>
        <v>0</v>
      </c>
      <c r="HTT5">
        <f>Database!HUM29</f>
        <v>0</v>
      </c>
      <c r="HTU5">
        <f>Database!HUN29</f>
        <v>0</v>
      </c>
      <c r="HTV5">
        <f>Database!HUO29</f>
        <v>0</v>
      </c>
      <c r="HTW5">
        <f>Database!HUP29</f>
        <v>0</v>
      </c>
      <c r="HTX5">
        <f>Database!HUQ29</f>
        <v>0</v>
      </c>
      <c r="HTY5">
        <f>Database!HUR29</f>
        <v>0</v>
      </c>
      <c r="HTZ5">
        <f>Database!HUS29</f>
        <v>0</v>
      </c>
      <c r="HUA5">
        <f>Database!HUT29</f>
        <v>0</v>
      </c>
      <c r="HUB5">
        <f>Database!HUU29</f>
        <v>0</v>
      </c>
      <c r="HUC5">
        <f>Database!HUV29</f>
        <v>0</v>
      </c>
      <c r="HUD5">
        <f>Database!HUW29</f>
        <v>0</v>
      </c>
      <c r="HUE5">
        <f>Database!HUX29</f>
        <v>0</v>
      </c>
      <c r="HUF5">
        <f>Database!HUY29</f>
        <v>0</v>
      </c>
      <c r="HUG5">
        <f>Database!HUZ29</f>
        <v>0</v>
      </c>
      <c r="HUH5">
        <f>Database!HVA29</f>
        <v>0</v>
      </c>
      <c r="HUI5">
        <f>Database!HVB29</f>
        <v>0</v>
      </c>
      <c r="HUJ5">
        <f>Database!HVC29</f>
        <v>0</v>
      </c>
      <c r="HUK5">
        <f>Database!HVD29</f>
        <v>0</v>
      </c>
      <c r="HUL5">
        <f>Database!HVE29</f>
        <v>0</v>
      </c>
      <c r="HUM5">
        <f>Database!HVF29</f>
        <v>0</v>
      </c>
      <c r="HUN5">
        <f>Database!HVG29</f>
        <v>0</v>
      </c>
      <c r="HUO5">
        <f>Database!HVH29</f>
        <v>0</v>
      </c>
      <c r="HUP5">
        <f>Database!HVI29</f>
        <v>0</v>
      </c>
      <c r="HUQ5">
        <f>Database!HVJ29</f>
        <v>0</v>
      </c>
      <c r="HUR5">
        <f>Database!HVK29</f>
        <v>0</v>
      </c>
      <c r="HUS5">
        <f>Database!HVL29</f>
        <v>0</v>
      </c>
      <c r="HUT5">
        <f>Database!HVM29</f>
        <v>0</v>
      </c>
      <c r="HUU5">
        <f>Database!HVN29</f>
        <v>0</v>
      </c>
      <c r="HUV5">
        <f>Database!HVO29</f>
        <v>0</v>
      </c>
      <c r="HUW5">
        <f>Database!HVP29</f>
        <v>0</v>
      </c>
      <c r="HUX5">
        <f>Database!HVQ29</f>
        <v>0</v>
      </c>
      <c r="HUY5">
        <f>Database!HVR29</f>
        <v>0</v>
      </c>
      <c r="HUZ5">
        <f>Database!HVS29</f>
        <v>0</v>
      </c>
      <c r="HVA5">
        <f>Database!HVT29</f>
        <v>0</v>
      </c>
      <c r="HVB5">
        <f>Database!HVU29</f>
        <v>0</v>
      </c>
      <c r="HVC5">
        <f>Database!HVV29</f>
        <v>0</v>
      </c>
      <c r="HVD5">
        <f>Database!HVW29</f>
        <v>0</v>
      </c>
      <c r="HVE5">
        <f>Database!HVX29</f>
        <v>0</v>
      </c>
      <c r="HVF5">
        <f>Database!HVY29</f>
        <v>0</v>
      </c>
      <c r="HVG5">
        <f>Database!HVZ29</f>
        <v>0</v>
      </c>
      <c r="HVH5">
        <f>Database!HWA29</f>
        <v>0</v>
      </c>
      <c r="HVI5">
        <f>Database!HWB29</f>
        <v>0</v>
      </c>
      <c r="HVJ5">
        <f>Database!HWC29</f>
        <v>0</v>
      </c>
      <c r="HVK5">
        <f>Database!HWD29</f>
        <v>0</v>
      </c>
      <c r="HVL5">
        <f>Database!HWE29</f>
        <v>0</v>
      </c>
      <c r="HVM5">
        <f>Database!HWF29</f>
        <v>0</v>
      </c>
      <c r="HVN5">
        <f>Database!HWG29</f>
        <v>0</v>
      </c>
      <c r="HVO5">
        <f>Database!HWH29</f>
        <v>0</v>
      </c>
      <c r="HVP5">
        <f>Database!HWI29</f>
        <v>0</v>
      </c>
      <c r="HVQ5">
        <f>Database!HWJ29</f>
        <v>0</v>
      </c>
      <c r="HVR5">
        <f>Database!HWK29</f>
        <v>0</v>
      </c>
      <c r="HVS5">
        <f>Database!HWL29</f>
        <v>0</v>
      </c>
      <c r="HVT5">
        <f>Database!HWM29</f>
        <v>0</v>
      </c>
      <c r="HVU5">
        <f>Database!HWN29</f>
        <v>0</v>
      </c>
      <c r="HVV5">
        <f>Database!HWO29</f>
        <v>0</v>
      </c>
      <c r="HVW5">
        <f>Database!HWP29</f>
        <v>0</v>
      </c>
      <c r="HVX5">
        <f>Database!HWQ29</f>
        <v>0</v>
      </c>
      <c r="HVY5">
        <f>Database!HWR29</f>
        <v>0</v>
      </c>
      <c r="HVZ5">
        <f>Database!HWS29</f>
        <v>0</v>
      </c>
      <c r="HWA5">
        <f>Database!HWT29</f>
        <v>0</v>
      </c>
      <c r="HWB5">
        <f>Database!HWU29</f>
        <v>0</v>
      </c>
      <c r="HWC5">
        <f>Database!HWV29</f>
        <v>0</v>
      </c>
      <c r="HWD5">
        <f>Database!HWW29</f>
        <v>0</v>
      </c>
      <c r="HWE5">
        <f>Database!HWX29</f>
        <v>0</v>
      </c>
      <c r="HWF5">
        <f>Database!HWY29</f>
        <v>0</v>
      </c>
      <c r="HWG5">
        <f>Database!HWZ29</f>
        <v>0</v>
      </c>
      <c r="HWH5">
        <f>Database!HXA29</f>
        <v>0</v>
      </c>
      <c r="HWI5">
        <f>Database!HXB29</f>
        <v>0</v>
      </c>
      <c r="HWJ5">
        <f>Database!HXC29</f>
        <v>0</v>
      </c>
      <c r="HWK5">
        <f>Database!HXD29</f>
        <v>0</v>
      </c>
      <c r="HWL5">
        <f>Database!HXE29</f>
        <v>0</v>
      </c>
      <c r="HWM5">
        <f>Database!HXF29</f>
        <v>0</v>
      </c>
      <c r="HWN5">
        <f>Database!HXG29</f>
        <v>0</v>
      </c>
      <c r="HWO5">
        <f>Database!HXH29</f>
        <v>0</v>
      </c>
      <c r="HWP5">
        <f>Database!HXI29</f>
        <v>0</v>
      </c>
      <c r="HWQ5">
        <f>Database!HXJ29</f>
        <v>0</v>
      </c>
      <c r="HWR5">
        <f>Database!HXK29</f>
        <v>0</v>
      </c>
      <c r="HWS5">
        <f>Database!HXL29</f>
        <v>0</v>
      </c>
      <c r="HWT5">
        <f>Database!HXM29</f>
        <v>0</v>
      </c>
      <c r="HWU5">
        <f>Database!HXN29</f>
        <v>0</v>
      </c>
      <c r="HWV5">
        <f>Database!HXO29</f>
        <v>0</v>
      </c>
      <c r="HWW5">
        <f>Database!HXP29</f>
        <v>0</v>
      </c>
      <c r="HWX5">
        <f>Database!HXQ29</f>
        <v>0</v>
      </c>
      <c r="HWY5">
        <f>Database!HXR29</f>
        <v>0</v>
      </c>
      <c r="HWZ5">
        <f>Database!HXS29</f>
        <v>0</v>
      </c>
      <c r="HXA5">
        <f>Database!HXT29</f>
        <v>0</v>
      </c>
      <c r="HXB5">
        <f>Database!HXU29</f>
        <v>0</v>
      </c>
      <c r="HXC5">
        <f>Database!HXV29</f>
        <v>0</v>
      </c>
      <c r="HXD5">
        <f>Database!HXW29</f>
        <v>0</v>
      </c>
      <c r="HXE5">
        <f>Database!HXX29</f>
        <v>0</v>
      </c>
      <c r="HXF5">
        <f>Database!HXY29</f>
        <v>0</v>
      </c>
      <c r="HXG5">
        <f>Database!HXZ29</f>
        <v>0</v>
      </c>
      <c r="HXH5">
        <f>Database!HYA29</f>
        <v>0</v>
      </c>
      <c r="HXI5">
        <f>Database!HYB29</f>
        <v>0</v>
      </c>
      <c r="HXJ5">
        <f>Database!HYC29</f>
        <v>0</v>
      </c>
      <c r="HXK5">
        <f>Database!HYD29</f>
        <v>0</v>
      </c>
      <c r="HXL5">
        <f>Database!HYE29</f>
        <v>0</v>
      </c>
      <c r="HXM5">
        <f>Database!HYF29</f>
        <v>0</v>
      </c>
      <c r="HXN5">
        <f>Database!HYG29</f>
        <v>0</v>
      </c>
      <c r="HXO5">
        <f>Database!HYH29</f>
        <v>0</v>
      </c>
      <c r="HXP5">
        <f>Database!HYI29</f>
        <v>0</v>
      </c>
      <c r="HXQ5">
        <f>Database!HYJ29</f>
        <v>0</v>
      </c>
      <c r="HXR5">
        <f>Database!HYK29</f>
        <v>0</v>
      </c>
      <c r="HXS5">
        <f>Database!HYL29</f>
        <v>0</v>
      </c>
      <c r="HXT5">
        <f>Database!HYM29</f>
        <v>0</v>
      </c>
      <c r="HXU5">
        <f>Database!HYN29</f>
        <v>0</v>
      </c>
      <c r="HXV5">
        <f>Database!HYO29</f>
        <v>0</v>
      </c>
      <c r="HXW5">
        <f>Database!HYP29</f>
        <v>0</v>
      </c>
      <c r="HXX5">
        <f>Database!HYQ29</f>
        <v>0</v>
      </c>
      <c r="HXY5">
        <f>Database!HYR29</f>
        <v>0</v>
      </c>
      <c r="HXZ5">
        <f>Database!HYS29</f>
        <v>0</v>
      </c>
      <c r="HYA5">
        <f>Database!HYT29</f>
        <v>0</v>
      </c>
      <c r="HYB5">
        <f>Database!HYU29</f>
        <v>0</v>
      </c>
      <c r="HYC5">
        <f>Database!HYV29</f>
        <v>0</v>
      </c>
      <c r="HYD5">
        <f>Database!HYW29</f>
        <v>0</v>
      </c>
      <c r="HYE5">
        <f>Database!HYX29</f>
        <v>0</v>
      </c>
      <c r="HYF5">
        <f>Database!HYY29</f>
        <v>0</v>
      </c>
      <c r="HYG5">
        <f>Database!HYZ29</f>
        <v>0</v>
      </c>
      <c r="HYH5">
        <f>Database!HZA29</f>
        <v>0</v>
      </c>
      <c r="HYI5">
        <f>Database!HZB29</f>
        <v>0</v>
      </c>
      <c r="HYJ5">
        <f>Database!HZC29</f>
        <v>0</v>
      </c>
      <c r="HYK5">
        <f>Database!HZD29</f>
        <v>0</v>
      </c>
      <c r="HYL5">
        <f>Database!HZE29</f>
        <v>0</v>
      </c>
      <c r="HYM5">
        <f>Database!HZF29</f>
        <v>0</v>
      </c>
      <c r="HYN5">
        <f>Database!HZG29</f>
        <v>0</v>
      </c>
      <c r="HYO5">
        <f>Database!HZH29</f>
        <v>0</v>
      </c>
      <c r="HYP5">
        <f>Database!HZI29</f>
        <v>0</v>
      </c>
      <c r="HYQ5">
        <f>Database!HZJ29</f>
        <v>0</v>
      </c>
      <c r="HYR5">
        <f>Database!HZK29</f>
        <v>0</v>
      </c>
      <c r="HYS5">
        <f>Database!HZL29</f>
        <v>0</v>
      </c>
      <c r="HYT5">
        <f>Database!HZM29</f>
        <v>0</v>
      </c>
      <c r="HYU5">
        <f>Database!HZN29</f>
        <v>0</v>
      </c>
      <c r="HYV5">
        <f>Database!HZO29</f>
        <v>0</v>
      </c>
      <c r="HYW5">
        <f>Database!HZP29</f>
        <v>0</v>
      </c>
      <c r="HYX5">
        <f>Database!HZQ29</f>
        <v>0</v>
      </c>
      <c r="HYY5">
        <f>Database!HZR29</f>
        <v>0</v>
      </c>
      <c r="HYZ5">
        <f>Database!HZS29</f>
        <v>0</v>
      </c>
      <c r="HZA5">
        <f>Database!HZT29</f>
        <v>0</v>
      </c>
      <c r="HZB5">
        <f>Database!HZU29</f>
        <v>0</v>
      </c>
      <c r="HZC5">
        <f>Database!HZV29</f>
        <v>0</v>
      </c>
      <c r="HZD5">
        <f>Database!HZW29</f>
        <v>0</v>
      </c>
      <c r="HZE5">
        <f>Database!HZX29</f>
        <v>0</v>
      </c>
      <c r="HZF5">
        <f>Database!HZY29</f>
        <v>0</v>
      </c>
      <c r="HZG5">
        <f>Database!HZZ29</f>
        <v>0</v>
      </c>
      <c r="HZH5">
        <f>Database!IAA29</f>
        <v>0</v>
      </c>
      <c r="HZI5">
        <f>Database!IAB29</f>
        <v>0</v>
      </c>
      <c r="HZJ5">
        <f>Database!IAC29</f>
        <v>0</v>
      </c>
      <c r="HZK5">
        <f>Database!IAD29</f>
        <v>0</v>
      </c>
      <c r="HZL5">
        <f>Database!IAE29</f>
        <v>0</v>
      </c>
      <c r="HZM5">
        <f>Database!IAF29</f>
        <v>0</v>
      </c>
      <c r="HZN5">
        <f>Database!IAG29</f>
        <v>0</v>
      </c>
      <c r="HZO5">
        <f>Database!IAH29</f>
        <v>0</v>
      </c>
      <c r="HZP5">
        <f>Database!IAI29</f>
        <v>0</v>
      </c>
      <c r="HZQ5">
        <f>Database!IAJ29</f>
        <v>0</v>
      </c>
      <c r="HZR5">
        <f>Database!IAK29</f>
        <v>0</v>
      </c>
      <c r="HZS5">
        <f>Database!IAL29</f>
        <v>0</v>
      </c>
      <c r="HZT5">
        <f>Database!IAM29</f>
        <v>0</v>
      </c>
      <c r="HZU5">
        <f>Database!IAN29</f>
        <v>0</v>
      </c>
      <c r="HZV5">
        <f>Database!IAO29</f>
        <v>0</v>
      </c>
      <c r="HZW5">
        <f>Database!IAP29</f>
        <v>0</v>
      </c>
      <c r="HZX5">
        <f>Database!IAQ29</f>
        <v>0</v>
      </c>
      <c r="HZY5">
        <f>Database!IAR29</f>
        <v>0</v>
      </c>
      <c r="HZZ5">
        <f>Database!IAS29</f>
        <v>0</v>
      </c>
      <c r="IAA5">
        <f>Database!IAT29</f>
        <v>0</v>
      </c>
      <c r="IAB5">
        <f>Database!IAU29</f>
        <v>0</v>
      </c>
      <c r="IAC5">
        <f>Database!IAV29</f>
        <v>0</v>
      </c>
      <c r="IAD5">
        <f>Database!IAW29</f>
        <v>0</v>
      </c>
      <c r="IAE5">
        <f>Database!IAX29</f>
        <v>0</v>
      </c>
      <c r="IAF5">
        <f>Database!IAY29</f>
        <v>0</v>
      </c>
      <c r="IAG5">
        <f>Database!IAZ29</f>
        <v>0</v>
      </c>
      <c r="IAH5">
        <f>Database!IBA29</f>
        <v>0</v>
      </c>
      <c r="IAI5">
        <f>Database!IBB29</f>
        <v>0</v>
      </c>
      <c r="IAJ5">
        <f>Database!IBC29</f>
        <v>0</v>
      </c>
      <c r="IAK5">
        <f>Database!IBD29</f>
        <v>0</v>
      </c>
      <c r="IAL5">
        <f>Database!IBE29</f>
        <v>0</v>
      </c>
      <c r="IAM5">
        <f>Database!IBF29</f>
        <v>0</v>
      </c>
      <c r="IAN5">
        <f>Database!IBG29</f>
        <v>0</v>
      </c>
      <c r="IAO5">
        <f>Database!IBH29</f>
        <v>0</v>
      </c>
      <c r="IAP5">
        <f>Database!IBI29</f>
        <v>0</v>
      </c>
      <c r="IAQ5">
        <f>Database!IBJ29</f>
        <v>0</v>
      </c>
      <c r="IAR5">
        <f>Database!IBK29</f>
        <v>0</v>
      </c>
      <c r="IAS5">
        <f>Database!IBL29</f>
        <v>0</v>
      </c>
      <c r="IAT5">
        <f>Database!IBM29</f>
        <v>0</v>
      </c>
      <c r="IAU5">
        <f>Database!IBN29</f>
        <v>0</v>
      </c>
      <c r="IAV5">
        <f>Database!IBO29</f>
        <v>0</v>
      </c>
      <c r="IAW5">
        <f>Database!IBP29</f>
        <v>0</v>
      </c>
      <c r="IAX5">
        <f>Database!IBQ29</f>
        <v>0</v>
      </c>
      <c r="IAY5">
        <f>Database!IBR29</f>
        <v>0</v>
      </c>
      <c r="IAZ5">
        <f>Database!IBS29</f>
        <v>0</v>
      </c>
      <c r="IBA5">
        <f>Database!IBT29</f>
        <v>0</v>
      </c>
      <c r="IBB5">
        <f>Database!IBU29</f>
        <v>0</v>
      </c>
      <c r="IBC5">
        <f>Database!IBV29</f>
        <v>0</v>
      </c>
      <c r="IBD5">
        <f>Database!IBW29</f>
        <v>0</v>
      </c>
      <c r="IBE5">
        <f>Database!IBX29</f>
        <v>0</v>
      </c>
      <c r="IBF5">
        <f>Database!IBY29</f>
        <v>0</v>
      </c>
      <c r="IBG5">
        <f>Database!IBZ29</f>
        <v>0</v>
      </c>
      <c r="IBH5">
        <f>Database!ICA29</f>
        <v>0</v>
      </c>
      <c r="IBI5">
        <f>Database!ICB29</f>
        <v>0</v>
      </c>
      <c r="IBJ5">
        <f>Database!ICC29</f>
        <v>0</v>
      </c>
      <c r="IBK5">
        <f>Database!ICD29</f>
        <v>0</v>
      </c>
      <c r="IBL5">
        <f>Database!ICE29</f>
        <v>0</v>
      </c>
      <c r="IBM5">
        <f>Database!ICF29</f>
        <v>0</v>
      </c>
      <c r="IBN5">
        <f>Database!ICG29</f>
        <v>0</v>
      </c>
      <c r="IBO5">
        <f>Database!ICH29</f>
        <v>0</v>
      </c>
      <c r="IBP5">
        <f>Database!ICI29</f>
        <v>0</v>
      </c>
      <c r="IBQ5">
        <f>Database!ICJ29</f>
        <v>0</v>
      </c>
      <c r="IBR5">
        <f>Database!ICK29</f>
        <v>0</v>
      </c>
      <c r="IBS5">
        <f>Database!ICL29</f>
        <v>0</v>
      </c>
      <c r="IBT5">
        <f>Database!ICM29</f>
        <v>0</v>
      </c>
      <c r="IBU5">
        <f>Database!ICN29</f>
        <v>0</v>
      </c>
      <c r="IBV5">
        <f>Database!ICO29</f>
        <v>0</v>
      </c>
      <c r="IBW5">
        <f>Database!ICP29</f>
        <v>0</v>
      </c>
      <c r="IBX5">
        <f>Database!ICQ29</f>
        <v>0</v>
      </c>
      <c r="IBY5">
        <f>Database!ICR29</f>
        <v>0</v>
      </c>
      <c r="IBZ5">
        <f>Database!ICS29</f>
        <v>0</v>
      </c>
      <c r="ICA5">
        <f>Database!ICT29</f>
        <v>0</v>
      </c>
      <c r="ICB5">
        <f>Database!ICU29</f>
        <v>0</v>
      </c>
      <c r="ICC5">
        <f>Database!ICV29</f>
        <v>0</v>
      </c>
      <c r="ICD5">
        <f>Database!ICW29</f>
        <v>0</v>
      </c>
      <c r="ICE5">
        <f>Database!ICX29</f>
        <v>0</v>
      </c>
      <c r="ICF5">
        <f>Database!ICY29</f>
        <v>0</v>
      </c>
      <c r="ICG5">
        <f>Database!ICZ29</f>
        <v>0</v>
      </c>
      <c r="ICH5">
        <f>Database!IDA29</f>
        <v>0</v>
      </c>
      <c r="ICI5">
        <f>Database!IDB29</f>
        <v>0</v>
      </c>
      <c r="ICJ5">
        <f>Database!IDC29</f>
        <v>0</v>
      </c>
      <c r="ICK5">
        <f>Database!IDD29</f>
        <v>0</v>
      </c>
      <c r="ICL5">
        <f>Database!IDE29</f>
        <v>0</v>
      </c>
      <c r="ICM5">
        <f>Database!IDF29</f>
        <v>0</v>
      </c>
      <c r="ICN5">
        <f>Database!IDG29</f>
        <v>0</v>
      </c>
      <c r="ICO5">
        <f>Database!IDH29</f>
        <v>0</v>
      </c>
      <c r="ICP5">
        <f>Database!IDI29</f>
        <v>0</v>
      </c>
      <c r="ICQ5">
        <f>Database!IDJ29</f>
        <v>0</v>
      </c>
      <c r="ICR5">
        <f>Database!IDK29</f>
        <v>0</v>
      </c>
      <c r="ICS5">
        <f>Database!IDL29</f>
        <v>0</v>
      </c>
      <c r="ICT5">
        <f>Database!IDM29</f>
        <v>0</v>
      </c>
      <c r="ICU5">
        <f>Database!IDN29</f>
        <v>0</v>
      </c>
      <c r="ICV5">
        <f>Database!IDO29</f>
        <v>0</v>
      </c>
      <c r="ICW5">
        <f>Database!IDP29</f>
        <v>0</v>
      </c>
      <c r="ICX5">
        <f>Database!IDQ29</f>
        <v>0</v>
      </c>
      <c r="ICY5">
        <f>Database!IDR29</f>
        <v>0</v>
      </c>
      <c r="ICZ5">
        <f>Database!IDS29</f>
        <v>0</v>
      </c>
      <c r="IDA5">
        <f>Database!IDT29</f>
        <v>0</v>
      </c>
      <c r="IDB5">
        <f>Database!IDU29</f>
        <v>0</v>
      </c>
      <c r="IDC5">
        <f>Database!IDV29</f>
        <v>0</v>
      </c>
      <c r="IDD5">
        <f>Database!IDW29</f>
        <v>0</v>
      </c>
      <c r="IDE5">
        <f>Database!IDX29</f>
        <v>0</v>
      </c>
      <c r="IDF5">
        <f>Database!IDY29</f>
        <v>0</v>
      </c>
      <c r="IDG5">
        <f>Database!IDZ29</f>
        <v>0</v>
      </c>
      <c r="IDH5">
        <f>Database!IEA29</f>
        <v>0</v>
      </c>
      <c r="IDI5">
        <f>Database!IEB29</f>
        <v>0</v>
      </c>
      <c r="IDJ5">
        <f>Database!IEC29</f>
        <v>0</v>
      </c>
      <c r="IDK5">
        <f>Database!IED29</f>
        <v>0</v>
      </c>
      <c r="IDL5">
        <f>Database!IEE29</f>
        <v>0</v>
      </c>
      <c r="IDM5">
        <f>Database!IEF29</f>
        <v>0</v>
      </c>
      <c r="IDN5">
        <f>Database!IEG29</f>
        <v>0</v>
      </c>
      <c r="IDO5">
        <f>Database!IEH29</f>
        <v>0</v>
      </c>
      <c r="IDP5">
        <f>Database!IEI29</f>
        <v>0</v>
      </c>
      <c r="IDQ5">
        <f>Database!IEJ29</f>
        <v>0</v>
      </c>
      <c r="IDR5">
        <f>Database!IEK29</f>
        <v>0</v>
      </c>
      <c r="IDS5">
        <f>Database!IEL29</f>
        <v>0</v>
      </c>
      <c r="IDT5">
        <f>Database!IEM29</f>
        <v>0</v>
      </c>
      <c r="IDU5">
        <f>Database!IEN29</f>
        <v>0</v>
      </c>
      <c r="IDV5">
        <f>Database!IEO29</f>
        <v>0</v>
      </c>
      <c r="IDW5">
        <f>Database!IEP29</f>
        <v>0</v>
      </c>
      <c r="IDX5">
        <f>Database!IEQ29</f>
        <v>0</v>
      </c>
      <c r="IDY5">
        <f>Database!IER29</f>
        <v>0</v>
      </c>
      <c r="IDZ5">
        <f>Database!IES29</f>
        <v>0</v>
      </c>
      <c r="IEA5">
        <f>Database!IET29</f>
        <v>0</v>
      </c>
      <c r="IEB5">
        <f>Database!IEU29</f>
        <v>0</v>
      </c>
      <c r="IEC5">
        <f>Database!IEV29</f>
        <v>0</v>
      </c>
      <c r="IED5">
        <f>Database!IEW29</f>
        <v>0</v>
      </c>
      <c r="IEE5">
        <f>Database!IEX29</f>
        <v>0</v>
      </c>
      <c r="IEF5">
        <f>Database!IEY29</f>
        <v>0</v>
      </c>
      <c r="IEG5">
        <f>Database!IEZ29</f>
        <v>0</v>
      </c>
      <c r="IEH5">
        <f>Database!IFA29</f>
        <v>0</v>
      </c>
      <c r="IEI5">
        <f>Database!IFB29</f>
        <v>0</v>
      </c>
      <c r="IEJ5">
        <f>Database!IFC29</f>
        <v>0</v>
      </c>
      <c r="IEK5">
        <f>Database!IFD29</f>
        <v>0</v>
      </c>
      <c r="IEL5">
        <f>Database!IFE29</f>
        <v>0</v>
      </c>
      <c r="IEM5">
        <f>Database!IFF29</f>
        <v>0</v>
      </c>
      <c r="IEN5">
        <f>Database!IFG29</f>
        <v>0</v>
      </c>
      <c r="IEO5">
        <f>Database!IFH29</f>
        <v>0</v>
      </c>
      <c r="IEP5">
        <f>Database!IFI29</f>
        <v>0</v>
      </c>
      <c r="IEQ5">
        <f>Database!IFJ29</f>
        <v>0</v>
      </c>
      <c r="IER5">
        <f>Database!IFK29</f>
        <v>0</v>
      </c>
      <c r="IES5">
        <f>Database!IFL29</f>
        <v>0</v>
      </c>
      <c r="IET5">
        <f>Database!IFM29</f>
        <v>0</v>
      </c>
      <c r="IEU5">
        <f>Database!IFN29</f>
        <v>0</v>
      </c>
      <c r="IEV5">
        <f>Database!IFO29</f>
        <v>0</v>
      </c>
      <c r="IEW5">
        <f>Database!IFP29</f>
        <v>0</v>
      </c>
      <c r="IEX5">
        <f>Database!IFQ29</f>
        <v>0</v>
      </c>
      <c r="IEY5">
        <f>Database!IFR29</f>
        <v>0</v>
      </c>
      <c r="IEZ5">
        <f>Database!IFS29</f>
        <v>0</v>
      </c>
      <c r="IFA5">
        <f>Database!IFT29</f>
        <v>0</v>
      </c>
      <c r="IFB5">
        <f>Database!IFU29</f>
        <v>0</v>
      </c>
      <c r="IFC5">
        <f>Database!IFV29</f>
        <v>0</v>
      </c>
      <c r="IFD5">
        <f>Database!IFW29</f>
        <v>0</v>
      </c>
      <c r="IFE5">
        <f>Database!IFX29</f>
        <v>0</v>
      </c>
      <c r="IFF5">
        <f>Database!IFY29</f>
        <v>0</v>
      </c>
      <c r="IFG5">
        <f>Database!IFZ29</f>
        <v>0</v>
      </c>
      <c r="IFH5">
        <f>Database!IGA29</f>
        <v>0</v>
      </c>
      <c r="IFI5">
        <f>Database!IGB29</f>
        <v>0</v>
      </c>
      <c r="IFJ5">
        <f>Database!IGC29</f>
        <v>0</v>
      </c>
      <c r="IFK5">
        <f>Database!IGD29</f>
        <v>0</v>
      </c>
      <c r="IFL5">
        <f>Database!IGE29</f>
        <v>0</v>
      </c>
      <c r="IFM5">
        <f>Database!IGF29</f>
        <v>0</v>
      </c>
      <c r="IFN5">
        <f>Database!IGG29</f>
        <v>0</v>
      </c>
      <c r="IFO5">
        <f>Database!IGH29</f>
        <v>0</v>
      </c>
      <c r="IFP5">
        <f>Database!IGI29</f>
        <v>0</v>
      </c>
      <c r="IFQ5">
        <f>Database!IGJ29</f>
        <v>0</v>
      </c>
      <c r="IFR5">
        <f>Database!IGK29</f>
        <v>0</v>
      </c>
      <c r="IFS5">
        <f>Database!IGL29</f>
        <v>0</v>
      </c>
      <c r="IFT5">
        <f>Database!IGM29</f>
        <v>0</v>
      </c>
      <c r="IFU5">
        <f>Database!IGN29</f>
        <v>0</v>
      </c>
      <c r="IFV5">
        <f>Database!IGO29</f>
        <v>0</v>
      </c>
      <c r="IFW5">
        <f>Database!IGP29</f>
        <v>0</v>
      </c>
      <c r="IFX5">
        <f>Database!IGQ29</f>
        <v>0</v>
      </c>
      <c r="IFY5">
        <f>Database!IGR29</f>
        <v>0</v>
      </c>
      <c r="IFZ5">
        <f>Database!IGS29</f>
        <v>0</v>
      </c>
      <c r="IGA5">
        <f>Database!IGT29</f>
        <v>0</v>
      </c>
      <c r="IGB5">
        <f>Database!IGU29</f>
        <v>0</v>
      </c>
      <c r="IGC5">
        <f>Database!IGV29</f>
        <v>0</v>
      </c>
      <c r="IGD5">
        <f>Database!IGW29</f>
        <v>0</v>
      </c>
      <c r="IGE5">
        <f>Database!IGX29</f>
        <v>0</v>
      </c>
      <c r="IGF5">
        <f>Database!IGY29</f>
        <v>0</v>
      </c>
      <c r="IGG5">
        <f>Database!IGZ29</f>
        <v>0</v>
      </c>
      <c r="IGH5">
        <f>Database!IHA29</f>
        <v>0</v>
      </c>
      <c r="IGI5">
        <f>Database!IHB29</f>
        <v>0</v>
      </c>
      <c r="IGJ5">
        <f>Database!IHC29</f>
        <v>0</v>
      </c>
      <c r="IGK5">
        <f>Database!IHD29</f>
        <v>0</v>
      </c>
      <c r="IGL5">
        <f>Database!IHE29</f>
        <v>0</v>
      </c>
      <c r="IGM5">
        <f>Database!IHF29</f>
        <v>0</v>
      </c>
      <c r="IGN5">
        <f>Database!IHG29</f>
        <v>0</v>
      </c>
      <c r="IGO5">
        <f>Database!IHH29</f>
        <v>0</v>
      </c>
      <c r="IGP5">
        <f>Database!IHI29</f>
        <v>0</v>
      </c>
      <c r="IGQ5">
        <f>Database!IHJ29</f>
        <v>0</v>
      </c>
      <c r="IGR5">
        <f>Database!IHK29</f>
        <v>0</v>
      </c>
      <c r="IGS5">
        <f>Database!IHL29</f>
        <v>0</v>
      </c>
      <c r="IGT5">
        <f>Database!IHM29</f>
        <v>0</v>
      </c>
      <c r="IGU5">
        <f>Database!IHN29</f>
        <v>0</v>
      </c>
      <c r="IGV5">
        <f>Database!IHO29</f>
        <v>0</v>
      </c>
      <c r="IGW5">
        <f>Database!IHP29</f>
        <v>0</v>
      </c>
      <c r="IGX5">
        <f>Database!IHQ29</f>
        <v>0</v>
      </c>
      <c r="IGY5">
        <f>Database!IHR29</f>
        <v>0</v>
      </c>
      <c r="IGZ5">
        <f>Database!IHS29</f>
        <v>0</v>
      </c>
      <c r="IHA5">
        <f>Database!IHT29</f>
        <v>0</v>
      </c>
      <c r="IHB5">
        <f>Database!IHU29</f>
        <v>0</v>
      </c>
      <c r="IHC5">
        <f>Database!IHV29</f>
        <v>0</v>
      </c>
      <c r="IHD5">
        <f>Database!IHW29</f>
        <v>0</v>
      </c>
      <c r="IHE5">
        <f>Database!IHX29</f>
        <v>0</v>
      </c>
      <c r="IHF5">
        <f>Database!IHY29</f>
        <v>0</v>
      </c>
      <c r="IHG5">
        <f>Database!IHZ29</f>
        <v>0</v>
      </c>
      <c r="IHH5">
        <f>Database!IIA29</f>
        <v>0</v>
      </c>
      <c r="IHI5">
        <f>Database!IIB29</f>
        <v>0</v>
      </c>
      <c r="IHJ5">
        <f>Database!IIC29</f>
        <v>0</v>
      </c>
      <c r="IHK5">
        <f>Database!IID29</f>
        <v>0</v>
      </c>
      <c r="IHL5">
        <f>Database!IIE29</f>
        <v>0</v>
      </c>
      <c r="IHM5">
        <f>Database!IIF29</f>
        <v>0</v>
      </c>
      <c r="IHN5">
        <f>Database!IIG29</f>
        <v>0</v>
      </c>
      <c r="IHO5">
        <f>Database!IIH29</f>
        <v>0</v>
      </c>
      <c r="IHP5">
        <f>Database!III29</f>
        <v>0</v>
      </c>
      <c r="IHQ5">
        <f>Database!IIJ29</f>
        <v>0</v>
      </c>
      <c r="IHR5">
        <f>Database!IIK29</f>
        <v>0</v>
      </c>
      <c r="IHS5">
        <f>Database!IIL29</f>
        <v>0</v>
      </c>
      <c r="IHT5">
        <f>Database!IIM29</f>
        <v>0</v>
      </c>
      <c r="IHU5">
        <f>Database!IIN29</f>
        <v>0</v>
      </c>
      <c r="IHV5">
        <f>Database!IIO29</f>
        <v>0</v>
      </c>
      <c r="IHW5">
        <f>Database!IIP29</f>
        <v>0</v>
      </c>
      <c r="IHX5">
        <f>Database!IIQ29</f>
        <v>0</v>
      </c>
      <c r="IHY5">
        <f>Database!IIR29</f>
        <v>0</v>
      </c>
      <c r="IHZ5">
        <f>Database!IIS29</f>
        <v>0</v>
      </c>
      <c r="IIA5">
        <f>Database!IIT29</f>
        <v>0</v>
      </c>
      <c r="IIB5">
        <f>Database!IIU29</f>
        <v>0</v>
      </c>
      <c r="IIC5">
        <f>Database!IIV29</f>
        <v>0</v>
      </c>
      <c r="IID5">
        <f>Database!IIW29</f>
        <v>0</v>
      </c>
      <c r="IIE5">
        <f>Database!IIX29</f>
        <v>0</v>
      </c>
      <c r="IIF5">
        <f>Database!IIY29</f>
        <v>0</v>
      </c>
      <c r="IIG5">
        <f>Database!IIZ29</f>
        <v>0</v>
      </c>
      <c r="IIH5">
        <f>Database!IJA29</f>
        <v>0</v>
      </c>
      <c r="III5">
        <f>Database!IJB29</f>
        <v>0</v>
      </c>
      <c r="IIJ5">
        <f>Database!IJC29</f>
        <v>0</v>
      </c>
      <c r="IIK5">
        <f>Database!IJD29</f>
        <v>0</v>
      </c>
      <c r="IIL5">
        <f>Database!IJE29</f>
        <v>0</v>
      </c>
      <c r="IIM5">
        <f>Database!IJF29</f>
        <v>0</v>
      </c>
      <c r="IIN5">
        <f>Database!IJG29</f>
        <v>0</v>
      </c>
      <c r="IIO5">
        <f>Database!IJH29</f>
        <v>0</v>
      </c>
      <c r="IIP5">
        <f>Database!IJI29</f>
        <v>0</v>
      </c>
      <c r="IIQ5">
        <f>Database!IJJ29</f>
        <v>0</v>
      </c>
      <c r="IIR5">
        <f>Database!IJK29</f>
        <v>0</v>
      </c>
      <c r="IIS5">
        <f>Database!IJL29</f>
        <v>0</v>
      </c>
      <c r="IIT5">
        <f>Database!IJM29</f>
        <v>0</v>
      </c>
      <c r="IIU5">
        <f>Database!IJN29</f>
        <v>0</v>
      </c>
      <c r="IIV5">
        <f>Database!IJO29</f>
        <v>0</v>
      </c>
      <c r="IIW5">
        <f>Database!IJP29</f>
        <v>0</v>
      </c>
      <c r="IIX5">
        <f>Database!IJQ29</f>
        <v>0</v>
      </c>
      <c r="IIY5">
        <f>Database!IJR29</f>
        <v>0</v>
      </c>
      <c r="IIZ5">
        <f>Database!IJS29</f>
        <v>0</v>
      </c>
      <c r="IJA5">
        <f>Database!IJT29</f>
        <v>0</v>
      </c>
      <c r="IJB5">
        <f>Database!IJU29</f>
        <v>0</v>
      </c>
      <c r="IJC5">
        <f>Database!IJV29</f>
        <v>0</v>
      </c>
      <c r="IJD5">
        <f>Database!IJW29</f>
        <v>0</v>
      </c>
      <c r="IJE5">
        <f>Database!IJX29</f>
        <v>0</v>
      </c>
      <c r="IJF5">
        <f>Database!IJY29</f>
        <v>0</v>
      </c>
      <c r="IJG5">
        <f>Database!IJZ29</f>
        <v>0</v>
      </c>
      <c r="IJH5">
        <f>Database!IKA29</f>
        <v>0</v>
      </c>
      <c r="IJI5">
        <f>Database!IKB29</f>
        <v>0</v>
      </c>
      <c r="IJJ5">
        <f>Database!IKC29</f>
        <v>0</v>
      </c>
      <c r="IJK5">
        <f>Database!IKD29</f>
        <v>0</v>
      </c>
      <c r="IJL5">
        <f>Database!IKE29</f>
        <v>0</v>
      </c>
      <c r="IJM5">
        <f>Database!IKF29</f>
        <v>0</v>
      </c>
      <c r="IJN5">
        <f>Database!IKG29</f>
        <v>0</v>
      </c>
      <c r="IJO5">
        <f>Database!IKH29</f>
        <v>0</v>
      </c>
      <c r="IJP5">
        <f>Database!IKI29</f>
        <v>0</v>
      </c>
      <c r="IJQ5">
        <f>Database!IKJ29</f>
        <v>0</v>
      </c>
      <c r="IJR5">
        <f>Database!IKK29</f>
        <v>0</v>
      </c>
      <c r="IJS5">
        <f>Database!IKL29</f>
        <v>0</v>
      </c>
      <c r="IJT5">
        <f>Database!IKM29</f>
        <v>0</v>
      </c>
      <c r="IJU5">
        <f>Database!IKN29</f>
        <v>0</v>
      </c>
      <c r="IJV5">
        <f>Database!IKO29</f>
        <v>0</v>
      </c>
      <c r="IJW5">
        <f>Database!IKP29</f>
        <v>0</v>
      </c>
      <c r="IJX5">
        <f>Database!IKQ29</f>
        <v>0</v>
      </c>
      <c r="IJY5">
        <f>Database!IKR29</f>
        <v>0</v>
      </c>
      <c r="IJZ5">
        <f>Database!IKS29</f>
        <v>0</v>
      </c>
      <c r="IKA5">
        <f>Database!IKT29</f>
        <v>0</v>
      </c>
      <c r="IKB5">
        <f>Database!IKU29</f>
        <v>0</v>
      </c>
      <c r="IKC5">
        <f>Database!IKV29</f>
        <v>0</v>
      </c>
      <c r="IKD5">
        <f>Database!IKW29</f>
        <v>0</v>
      </c>
      <c r="IKE5">
        <f>Database!IKX29</f>
        <v>0</v>
      </c>
      <c r="IKF5">
        <f>Database!IKY29</f>
        <v>0</v>
      </c>
      <c r="IKG5">
        <f>Database!IKZ29</f>
        <v>0</v>
      </c>
      <c r="IKH5">
        <f>Database!ILA29</f>
        <v>0</v>
      </c>
      <c r="IKI5">
        <f>Database!ILB29</f>
        <v>0</v>
      </c>
      <c r="IKJ5">
        <f>Database!ILC29</f>
        <v>0</v>
      </c>
      <c r="IKK5">
        <f>Database!ILD29</f>
        <v>0</v>
      </c>
      <c r="IKL5">
        <f>Database!ILE29</f>
        <v>0</v>
      </c>
      <c r="IKM5">
        <f>Database!ILF29</f>
        <v>0</v>
      </c>
      <c r="IKN5">
        <f>Database!ILG29</f>
        <v>0</v>
      </c>
      <c r="IKO5">
        <f>Database!ILH29</f>
        <v>0</v>
      </c>
      <c r="IKP5">
        <f>Database!ILI29</f>
        <v>0</v>
      </c>
      <c r="IKQ5">
        <f>Database!ILJ29</f>
        <v>0</v>
      </c>
      <c r="IKR5">
        <f>Database!ILK29</f>
        <v>0</v>
      </c>
      <c r="IKS5">
        <f>Database!ILL29</f>
        <v>0</v>
      </c>
      <c r="IKT5">
        <f>Database!ILM29</f>
        <v>0</v>
      </c>
      <c r="IKU5">
        <f>Database!ILN29</f>
        <v>0</v>
      </c>
      <c r="IKV5">
        <f>Database!ILO29</f>
        <v>0</v>
      </c>
      <c r="IKW5">
        <f>Database!ILP29</f>
        <v>0</v>
      </c>
      <c r="IKX5">
        <f>Database!ILQ29</f>
        <v>0</v>
      </c>
      <c r="IKY5">
        <f>Database!ILR29</f>
        <v>0</v>
      </c>
      <c r="IKZ5">
        <f>Database!ILS29</f>
        <v>0</v>
      </c>
      <c r="ILA5">
        <f>Database!ILT29</f>
        <v>0</v>
      </c>
      <c r="ILB5">
        <f>Database!ILU29</f>
        <v>0</v>
      </c>
      <c r="ILC5">
        <f>Database!ILV29</f>
        <v>0</v>
      </c>
      <c r="ILD5">
        <f>Database!ILW29</f>
        <v>0</v>
      </c>
      <c r="ILE5">
        <f>Database!ILX29</f>
        <v>0</v>
      </c>
      <c r="ILF5">
        <f>Database!ILY29</f>
        <v>0</v>
      </c>
      <c r="ILG5">
        <f>Database!ILZ29</f>
        <v>0</v>
      </c>
      <c r="ILH5">
        <f>Database!IMA29</f>
        <v>0</v>
      </c>
      <c r="ILI5">
        <f>Database!IMB29</f>
        <v>0</v>
      </c>
      <c r="ILJ5">
        <f>Database!IMC29</f>
        <v>0</v>
      </c>
      <c r="ILK5">
        <f>Database!IMD29</f>
        <v>0</v>
      </c>
      <c r="ILL5">
        <f>Database!IME29</f>
        <v>0</v>
      </c>
      <c r="ILM5">
        <f>Database!IMF29</f>
        <v>0</v>
      </c>
      <c r="ILN5">
        <f>Database!IMG29</f>
        <v>0</v>
      </c>
      <c r="ILO5">
        <f>Database!IMH29</f>
        <v>0</v>
      </c>
      <c r="ILP5">
        <f>Database!IMI29</f>
        <v>0</v>
      </c>
      <c r="ILQ5">
        <f>Database!IMJ29</f>
        <v>0</v>
      </c>
      <c r="ILR5">
        <f>Database!IMK29</f>
        <v>0</v>
      </c>
      <c r="ILS5">
        <f>Database!IML29</f>
        <v>0</v>
      </c>
      <c r="ILT5">
        <f>Database!IMM29</f>
        <v>0</v>
      </c>
      <c r="ILU5">
        <f>Database!IMN29</f>
        <v>0</v>
      </c>
      <c r="ILV5">
        <f>Database!IMO29</f>
        <v>0</v>
      </c>
      <c r="ILW5">
        <f>Database!IMP29</f>
        <v>0</v>
      </c>
      <c r="ILX5">
        <f>Database!IMQ29</f>
        <v>0</v>
      </c>
      <c r="ILY5">
        <f>Database!IMR29</f>
        <v>0</v>
      </c>
      <c r="ILZ5">
        <f>Database!IMS29</f>
        <v>0</v>
      </c>
      <c r="IMA5">
        <f>Database!IMT29</f>
        <v>0</v>
      </c>
      <c r="IMB5">
        <f>Database!IMU29</f>
        <v>0</v>
      </c>
      <c r="IMC5">
        <f>Database!IMV29</f>
        <v>0</v>
      </c>
      <c r="IMD5">
        <f>Database!IMW29</f>
        <v>0</v>
      </c>
      <c r="IME5">
        <f>Database!IMX29</f>
        <v>0</v>
      </c>
      <c r="IMF5">
        <f>Database!IMY29</f>
        <v>0</v>
      </c>
      <c r="IMG5">
        <f>Database!IMZ29</f>
        <v>0</v>
      </c>
      <c r="IMH5">
        <f>Database!INA29</f>
        <v>0</v>
      </c>
      <c r="IMI5">
        <f>Database!INB29</f>
        <v>0</v>
      </c>
      <c r="IMJ5">
        <f>Database!INC29</f>
        <v>0</v>
      </c>
      <c r="IMK5">
        <f>Database!IND29</f>
        <v>0</v>
      </c>
      <c r="IML5">
        <f>Database!INE29</f>
        <v>0</v>
      </c>
      <c r="IMM5">
        <f>Database!INF29</f>
        <v>0</v>
      </c>
      <c r="IMN5">
        <f>Database!ING29</f>
        <v>0</v>
      </c>
      <c r="IMO5">
        <f>Database!INH29</f>
        <v>0</v>
      </c>
      <c r="IMP5">
        <f>Database!INI29</f>
        <v>0</v>
      </c>
      <c r="IMQ5">
        <f>Database!INJ29</f>
        <v>0</v>
      </c>
      <c r="IMR5">
        <f>Database!INK29</f>
        <v>0</v>
      </c>
      <c r="IMS5">
        <f>Database!INL29</f>
        <v>0</v>
      </c>
      <c r="IMT5">
        <f>Database!INM29</f>
        <v>0</v>
      </c>
      <c r="IMU5">
        <f>Database!INN29</f>
        <v>0</v>
      </c>
      <c r="IMV5">
        <f>Database!INO29</f>
        <v>0</v>
      </c>
      <c r="IMW5">
        <f>Database!INP29</f>
        <v>0</v>
      </c>
      <c r="IMX5">
        <f>Database!INQ29</f>
        <v>0</v>
      </c>
      <c r="IMY5">
        <f>Database!INR29</f>
        <v>0</v>
      </c>
      <c r="IMZ5">
        <f>Database!INS29</f>
        <v>0</v>
      </c>
      <c r="INA5">
        <f>Database!INT29</f>
        <v>0</v>
      </c>
      <c r="INB5">
        <f>Database!INU29</f>
        <v>0</v>
      </c>
      <c r="INC5">
        <f>Database!INV29</f>
        <v>0</v>
      </c>
      <c r="IND5">
        <f>Database!INW29</f>
        <v>0</v>
      </c>
      <c r="INE5">
        <f>Database!INX29</f>
        <v>0</v>
      </c>
      <c r="INF5">
        <f>Database!INY29</f>
        <v>0</v>
      </c>
      <c r="ING5">
        <f>Database!INZ29</f>
        <v>0</v>
      </c>
      <c r="INH5">
        <f>Database!IOA29</f>
        <v>0</v>
      </c>
      <c r="INI5">
        <f>Database!IOB29</f>
        <v>0</v>
      </c>
      <c r="INJ5">
        <f>Database!IOC29</f>
        <v>0</v>
      </c>
      <c r="INK5">
        <f>Database!IOD29</f>
        <v>0</v>
      </c>
      <c r="INL5">
        <f>Database!IOE29</f>
        <v>0</v>
      </c>
      <c r="INM5">
        <f>Database!IOF29</f>
        <v>0</v>
      </c>
      <c r="INN5">
        <f>Database!IOG29</f>
        <v>0</v>
      </c>
      <c r="INO5">
        <f>Database!IOH29</f>
        <v>0</v>
      </c>
      <c r="INP5">
        <f>Database!IOI29</f>
        <v>0</v>
      </c>
      <c r="INQ5">
        <f>Database!IOJ29</f>
        <v>0</v>
      </c>
      <c r="INR5">
        <f>Database!IOK29</f>
        <v>0</v>
      </c>
      <c r="INS5">
        <f>Database!IOL29</f>
        <v>0</v>
      </c>
      <c r="INT5">
        <f>Database!IOM29</f>
        <v>0</v>
      </c>
      <c r="INU5">
        <f>Database!ION29</f>
        <v>0</v>
      </c>
      <c r="INV5">
        <f>Database!IOO29</f>
        <v>0</v>
      </c>
      <c r="INW5">
        <f>Database!IOP29</f>
        <v>0</v>
      </c>
      <c r="INX5">
        <f>Database!IOQ29</f>
        <v>0</v>
      </c>
      <c r="INY5">
        <f>Database!IOR29</f>
        <v>0</v>
      </c>
      <c r="INZ5">
        <f>Database!IOS29</f>
        <v>0</v>
      </c>
      <c r="IOA5">
        <f>Database!IOT29</f>
        <v>0</v>
      </c>
      <c r="IOB5">
        <f>Database!IOU29</f>
        <v>0</v>
      </c>
      <c r="IOC5">
        <f>Database!IOV29</f>
        <v>0</v>
      </c>
      <c r="IOD5">
        <f>Database!IOW29</f>
        <v>0</v>
      </c>
      <c r="IOE5">
        <f>Database!IOX29</f>
        <v>0</v>
      </c>
      <c r="IOF5">
        <f>Database!IOY29</f>
        <v>0</v>
      </c>
      <c r="IOG5">
        <f>Database!IOZ29</f>
        <v>0</v>
      </c>
      <c r="IOH5">
        <f>Database!IPA29</f>
        <v>0</v>
      </c>
      <c r="IOI5">
        <f>Database!IPB29</f>
        <v>0</v>
      </c>
      <c r="IOJ5">
        <f>Database!IPC29</f>
        <v>0</v>
      </c>
      <c r="IOK5">
        <f>Database!IPD29</f>
        <v>0</v>
      </c>
      <c r="IOL5">
        <f>Database!IPE29</f>
        <v>0</v>
      </c>
      <c r="IOM5">
        <f>Database!IPF29</f>
        <v>0</v>
      </c>
      <c r="ION5">
        <f>Database!IPG29</f>
        <v>0</v>
      </c>
      <c r="IOO5">
        <f>Database!IPH29</f>
        <v>0</v>
      </c>
      <c r="IOP5">
        <f>Database!IPI29</f>
        <v>0</v>
      </c>
      <c r="IOQ5">
        <f>Database!IPJ29</f>
        <v>0</v>
      </c>
      <c r="IOR5">
        <f>Database!IPK29</f>
        <v>0</v>
      </c>
      <c r="IOS5">
        <f>Database!IPL29</f>
        <v>0</v>
      </c>
      <c r="IOT5">
        <f>Database!IPM29</f>
        <v>0</v>
      </c>
      <c r="IOU5">
        <f>Database!IPN29</f>
        <v>0</v>
      </c>
      <c r="IOV5">
        <f>Database!IPO29</f>
        <v>0</v>
      </c>
      <c r="IOW5">
        <f>Database!IPP29</f>
        <v>0</v>
      </c>
      <c r="IOX5">
        <f>Database!IPQ29</f>
        <v>0</v>
      </c>
      <c r="IOY5">
        <f>Database!IPR29</f>
        <v>0</v>
      </c>
      <c r="IOZ5">
        <f>Database!IPS29</f>
        <v>0</v>
      </c>
      <c r="IPA5">
        <f>Database!IPT29</f>
        <v>0</v>
      </c>
      <c r="IPB5">
        <f>Database!IPU29</f>
        <v>0</v>
      </c>
      <c r="IPC5">
        <f>Database!IPV29</f>
        <v>0</v>
      </c>
      <c r="IPD5">
        <f>Database!IPW29</f>
        <v>0</v>
      </c>
      <c r="IPE5">
        <f>Database!IPX29</f>
        <v>0</v>
      </c>
      <c r="IPF5">
        <f>Database!IPY29</f>
        <v>0</v>
      </c>
      <c r="IPG5">
        <f>Database!IPZ29</f>
        <v>0</v>
      </c>
      <c r="IPH5">
        <f>Database!IQA29</f>
        <v>0</v>
      </c>
      <c r="IPI5">
        <f>Database!IQB29</f>
        <v>0</v>
      </c>
      <c r="IPJ5">
        <f>Database!IQC29</f>
        <v>0</v>
      </c>
      <c r="IPK5">
        <f>Database!IQD29</f>
        <v>0</v>
      </c>
      <c r="IPL5">
        <f>Database!IQE29</f>
        <v>0</v>
      </c>
      <c r="IPM5">
        <f>Database!IQF29</f>
        <v>0</v>
      </c>
      <c r="IPN5">
        <f>Database!IQG29</f>
        <v>0</v>
      </c>
      <c r="IPO5">
        <f>Database!IQH29</f>
        <v>0</v>
      </c>
      <c r="IPP5">
        <f>Database!IQI29</f>
        <v>0</v>
      </c>
      <c r="IPQ5">
        <f>Database!IQJ29</f>
        <v>0</v>
      </c>
      <c r="IPR5">
        <f>Database!IQK29</f>
        <v>0</v>
      </c>
      <c r="IPS5">
        <f>Database!IQL29</f>
        <v>0</v>
      </c>
      <c r="IPT5">
        <f>Database!IQM29</f>
        <v>0</v>
      </c>
      <c r="IPU5">
        <f>Database!IQN29</f>
        <v>0</v>
      </c>
      <c r="IPV5">
        <f>Database!IQO29</f>
        <v>0</v>
      </c>
      <c r="IPW5">
        <f>Database!IQP29</f>
        <v>0</v>
      </c>
      <c r="IPX5">
        <f>Database!IQQ29</f>
        <v>0</v>
      </c>
      <c r="IPY5">
        <f>Database!IQR29</f>
        <v>0</v>
      </c>
      <c r="IPZ5">
        <f>Database!IQS29</f>
        <v>0</v>
      </c>
      <c r="IQA5">
        <f>Database!IQT29</f>
        <v>0</v>
      </c>
      <c r="IQB5">
        <f>Database!IQU29</f>
        <v>0</v>
      </c>
      <c r="IQC5">
        <f>Database!IQV29</f>
        <v>0</v>
      </c>
      <c r="IQD5">
        <f>Database!IQW29</f>
        <v>0</v>
      </c>
      <c r="IQE5">
        <f>Database!IQX29</f>
        <v>0</v>
      </c>
      <c r="IQF5">
        <f>Database!IQY29</f>
        <v>0</v>
      </c>
      <c r="IQG5">
        <f>Database!IQZ29</f>
        <v>0</v>
      </c>
      <c r="IQH5">
        <f>Database!IRA29</f>
        <v>0</v>
      </c>
      <c r="IQI5">
        <f>Database!IRB29</f>
        <v>0</v>
      </c>
      <c r="IQJ5">
        <f>Database!IRC29</f>
        <v>0</v>
      </c>
      <c r="IQK5">
        <f>Database!IRD29</f>
        <v>0</v>
      </c>
      <c r="IQL5">
        <f>Database!IRE29</f>
        <v>0</v>
      </c>
      <c r="IQM5">
        <f>Database!IRF29</f>
        <v>0</v>
      </c>
      <c r="IQN5">
        <f>Database!IRG29</f>
        <v>0</v>
      </c>
      <c r="IQO5">
        <f>Database!IRH29</f>
        <v>0</v>
      </c>
      <c r="IQP5">
        <f>Database!IRI29</f>
        <v>0</v>
      </c>
      <c r="IQQ5">
        <f>Database!IRJ29</f>
        <v>0</v>
      </c>
      <c r="IQR5">
        <f>Database!IRK29</f>
        <v>0</v>
      </c>
      <c r="IQS5">
        <f>Database!IRL29</f>
        <v>0</v>
      </c>
      <c r="IQT5">
        <f>Database!IRM29</f>
        <v>0</v>
      </c>
      <c r="IQU5">
        <f>Database!IRN29</f>
        <v>0</v>
      </c>
      <c r="IQV5">
        <f>Database!IRO29</f>
        <v>0</v>
      </c>
      <c r="IQW5">
        <f>Database!IRP29</f>
        <v>0</v>
      </c>
      <c r="IQX5">
        <f>Database!IRQ29</f>
        <v>0</v>
      </c>
      <c r="IQY5">
        <f>Database!IRR29</f>
        <v>0</v>
      </c>
      <c r="IQZ5">
        <f>Database!IRS29</f>
        <v>0</v>
      </c>
      <c r="IRA5">
        <f>Database!IRT29</f>
        <v>0</v>
      </c>
      <c r="IRB5">
        <f>Database!IRU29</f>
        <v>0</v>
      </c>
      <c r="IRC5">
        <f>Database!IRV29</f>
        <v>0</v>
      </c>
      <c r="IRD5">
        <f>Database!IRW29</f>
        <v>0</v>
      </c>
      <c r="IRE5">
        <f>Database!IRX29</f>
        <v>0</v>
      </c>
      <c r="IRF5">
        <f>Database!IRY29</f>
        <v>0</v>
      </c>
      <c r="IRG5">
        <f>Database!IRZ29</f>
        <v>0</v>
      </c>
      <c r="IRH5">
        <f>Database!ISA29</f>
        <v>0</v>
      </c>
      <c r="IRI5">
        <f>Database!ISB29</f>
        <v>0</v>
      </c>
      <c r="IRJ5">
        <f>Database!ISC29</f>
        <v>0</v>
      </c>
      <c r="IRK5">
        <f>Database!ISD29</f>
        <v>0</v>
      </c>
      <c r="IRL5">
        <f>Database!ISE29</f>
        <v>0</v>
      </c>
      <c r="IRM5">
        <f>Database!ISF29</f>
        <v>0</v>
      </c>
      <c r="IRN5">
        <f>Database!ISG29</f>
        <v>0</v>
      </c>
      <c r="IRO5">
        <f>Database!ISH29</f>
        <v>0</v>
      </c>
      <c r="IRP5">
        <f>Database!ISI29</f>
        <v>0</v>
      </c>
      <c r="IRQ5">
        <f>Database!ISJ29</f>
        <v>0</v>
      </c>
      <c r="IRR5">
        <f>Database!ISK29</f>
        <v>0</v>
      </c>
      <c r="IRS5">
        <f>Database!ISL29</f>
        <v>0</v>
      </c>
      <c r="IRT5">
        <f>Database!ISM29</f>
        <v>0</v>
      </c>
      <c r="IRU5">
        <f>Database!ISN29</f>
        <v>0</v>
      </c>
      <c r="IRV5">
        <f>Database!ISO29</f>
        <v>0</v>
      </c>
      <c r="IRW5">
        <f>Database!ISP29</f>
        <v>0</v>
      </c>
      <c r="IRX5">
        <f>Database!ISQ29</f>
        <v>0</v>
      </c>
      <c r="IRY5">
        <f>Database!ISR29</f>
        <v>0</v>
      </c>
      <c r="IRZ5">
        <f>Database!ISS29</f>
        <v>0</v>
      </c>
      <c r="ISA5">
        <f>Database!IST29</f>
        <v>0</v>
      </c>
      <c r="ISB5">
        <f>Database!ISU29</f>
        <v>0</v>
      </c>
      <c r="ISC5">
        <f>Database!ISV29</f>
        <v>0</v>
      </c>
      <c r="ISD5">
        <f>Database!ISW29</f>
        <v>0</v>
      </c>
      <c r="ISE5">
        <f>Database!ISX29</f>
        <v>0</v>
      </c>
      <c r="ISF5">
        <f>Database!ISY29</f>
        <v>0</v>
      </c>
      <c r="ISG5">
        <f>Database!ISZ29</f>
        <v>0</v>
      </c>
      <c r="ISH5">
        <f>Database!ITA29</f>
        <v>0</v>
      </c>
      <c r="ISI5">
        <f>Database!ITB29</f>
        <v>0</v>
      </c>
      <c r="ISJ5">
        <f>Database!ITC29</f>
        <v>0</v>
      </c>
      <c r="ISK5">
        <f>Database!ITD29</f>
        <v>0</v>
      </c>
      <c r="ISL5">
        <f>Database!ITE29</f>
        <v>0</v>
      </c>
      <c r="ISM5">
        <f>Database!ITF29</f>
        <v>0</v>
      </c>
      <c r="ISN5">
        <f>Database!ITG29</f>
        <v>0</v>
      </c>
      <c r="ISO5">
        <f>Database!ITH29</f>
        <v>0</v>
      </c>
      <c r="ISP5">
        <f>Database!ITI29</f>
        <v>0</v>
      </c>
      <c r="ISQ5">
        <f>Database!ITJ29</f>
        <v>0</v>
      </c>
      <c r="ISR5">
        <f>Database!ITK29</f>
        <v>0</v>
      </c>
      <c r="ISS5">
        <f>Database!ITL29</f>
        <v>0</v>
      </c>
      <c r="IST5">
        <f>Database!ITM29</f>
        <v>0</v>
      </c>
      <c r="ISU5">
        <f>Database!ITN29</f>
        <v>0</v>
      </c>
      <c r="ISV5">
        <f>Database!ITO29</f>
        <v>0</v>
      </c>
      <c r="ISW5">
        <f>Database!ITP29</f>
        <v>0</v>
      </c>
      <c r="ISX5">
        <f>Database!ITQ29</f>
        <v>0</v>
      </c>
      <c r="ISY5">
        <f>Database!ITR29</f>
        <v>0</v>
      </c>
      <c r="ISZ5">
        <f>Database!ITS29</f>
        <v>0</v>
      </c>
      <c r="ITA5">
        <f>Database!ITT29</f>
        <v>0</v>
      </c>
      <c r="ITB5">
        <f>Database!ITU29</f>
        <v>0</v>
      </c>
      <c r="ITC5">
        <f>Database!ITV29</f>
        <v>0</v>
      </c>
      <c r="ITD5">
        <f>Database!ITW29</f>
        <v>0</v>
      </c>
      <c r="ITE5">
        <f>Database!ITX29</f>
        <v>0</v>
      </c>
      <c r="ITF5">
        <f>Database!ITY29</f>
        <v>0</v>
      </c>
      <c r="ITG5">
        <f>Database!ITZ29</f>
        <v>0</v>
      </c>
      <c r="ITH5">
        <f>Database!IUA29</f>
        <v>0</v>
      </c>
      <c r="ITI5">
        <f>Database!IUB29</f>
        <v>0</v>
      </c>
      <c r="ITJ5">
        <f>Database!IUC29</f>
        <v>0</v>
      </c>
      <c r="ITK5">
        <f>Database!IUD29</f>
        <v>0</v>
      </c>
      <c r="ITL5">
        <f>Database!IUE29</f>
        <v>0</v>
      </c>
      <c r="ITM5">
        <f>Database!IUF29</f>
        <v>0</v>
      </c>
      <c r="ITN5">
        <f>Database!IUG29</f>
        <v>0</v>
      </c>
      <c r="ITO5">
        <f>Database!IUH29</f>
        <v>0</v>
      </c>
      <c r="ITP5">
        <f>Database!IUI29</f>
        <v>0</v>
      </c>
      <c r="ITQ5">
        <f>Database!IUJ29</f>
        <v>0</v>
      </c>
      <c r="ITR5">
        <f>Database!IUK29</f>
        <v>0</v>
      </c>
      <c r="ITS5">
        <f>Database!IUL29</f>
        <v>0</v>
      </c>
      <c r="ITT5">
        <f>Database!IUM29</f>
        <v>0</v>
      </c>
      <c r="ITU5">
        <f>Database!IUN29</f>
        <v>0</v>
      </c>
      <c r="ITV5">
        <f>Database!IUO29</f>
        <v>0</v>
      </c>
      <c r="ITW5">
        <f>Database!IUP29</f>
        <v>0</v>
      </c>
      <c r="ITX5">
        <f>Database!IUQ29</f>
        <v>0</v>
      </c>
      <c r="ITY5">
        <f>Database!IUR29</f>
        <v>0</v>
      </c>
      <c r="ITZ5">
        <f>Database!IUS29</f>
        <v>0</v>
      </c>
      <c r="IUA5">
        <f>Database!IUT29</f>
        <v>0</v>
      </c>
      <c r="IUB5">
        <f>Database!IUU29</f>
        <v>0</v>
      </c>
      <c r="IUC5">
        <f>Database!IUV29</f>
        <v>0</v>
      </c>
      <c r="IUD5">
        <f>Database!IUW29</f>
        <v>0</v>
      </c>
      <c r="IUE5">
        <f>Database!IUX29</f>
        <v>0</v>
      </c>
      <c r="IUF5">
        <f>Database!IUY29</f>
        <v>0</v>
      </c>
      <c r="IUG5">
        <f>Database!IUZ29</f>
        <v>0</v>
      </c>
      <c r="IUH5">
        <f>Database!IVA29</f>
        <v>0</v>
      </c>
      <c r="IUI5">
        <f>Database!IVB29</f>
        <v>0</v>
      </c>
      <c r="IUJ5">
        <f>Database!IVC29</f>
        <v>0</v>
      </c>
      <c r="IUK5">
        <f>Database!IVD29</f>
        <v>0</v>
      </c>
      <c r="IUL5">
        <f>Database!IVE29</f>
        <v>0</v>
      </c>
      <c r="IUM5">
        <f>Database!IVF29</f>
        <v>0</v>
      </c>
      <c r="IUN5">
        <f>Database!IVG29</f>
        <v>0</v>
      </c>
      <c r="IUO5">
        <f>Database!IVH29</f>
        <v>0</v>
      </c>
      <c r="IUP5">
        <f>Database!IVI29</f>
        <v>0</v>
      </c>
      <c r="IUQ5">
        <f>Database!IVJ29</f>
        <v>0</v>
      </c>
      <c r="IUR5">
        <f>Database!IVK29</f>
        <v>0</v>
      </c>
      <c r="IUS5">
        <f>Database!IVL29</f>
        <v>0</v>
      </c>
      <c r="IUT5">
        <f>Database!IVM29</f>
        <v>0</v>
      </c>
      <c r="IUU5">
        <f>Database!IVN29</f>
        <v>0</v>
      </c>
      <c r="IUV5">
        <f>Database!IVO29</f>
        <v>0</v>
      </c>
      <c r="IUW5">
        <f>Database!IVP29</f>
        <v>0</v>
      </c>
      <c r="IUX5">
        <f>Database!IVQ29</f>
        <v>0</v>
      </c>
      <c r="IUY5">
        <f>Database!IVR29</f>
        <v>0</v>
      </c>
      <c r="IUZ5">
        <f>Database!IVS29</f>
        <v>0</v>
      </c>
      <c r="IVA5">
        <f>Database!IVT29</f>
        <v>0</v>
      </c>
      <c r="IVB5">
        <f>Database!IVU29</f>
        <v>0</v>
      </c>
      <c r="IVC5">
        <f>Database!IVV29</f>
        <v>0</v>
      </c>
      <c r="IVD5">
        <f>Database!IVW29</f>
        <v>0</v>
      </c>
      <c r="IVE5">
        <f>Database!IVX29</f>
        <v>0</v>
      </c>
      <c r="IVF5">
        <f>Database!IVY29</f>
        <v>0</v>
      </c>
      <c r="IVG5">
        <f>Database!IVZ29</f>
        <v>0</v>
      </c>
      <c r="IVH5">
        <f>Database!IWA29</f>
        <v>0</v>
      </c>
      <c r="IVI5">
        <f>Database!IWB29</f>
        <v>0</v>
      </c>
      <c r="IVJ5">
        <f>Database!IWC29</f>
        <v>0</v>
      </c>
      <c r="IVK5">
        <f>Database!IWD29</f>
        <v>0</v>
      </c>
      <c r="IVL5">
        <f>Database!IWE29</f>
        <v>0</v>
      </c>
      <c r="IVM5">
        <f>Database!IWF29</f>
        <v>0</v>
      </c>
      <c r="IVN5">
        <f>Database!IWG29</f>
        <v>0</v>
      </c>
      <c r="IVO5">
        <f>Database!IWH29</f>
        <v>0</v>
      </c>
      <c r="IVP5">
        <f>Database!IWI29</f>
        <v>0</v>
      </c>
      <c r="IVQ5">
        <f>Database!IWJ29</f>
        <v>0</v>
      </c>
      <c r="IVR5">
        <f>Database!IWK29</f>
        <v>0</v>
      </c>
      <c r="IVS5">
        <f>Database!IWL29</f>
        <v>0</v>
      </c>
      <c r="IVT5">
        <f>Database!IWM29</f>
        <v>0</v>
      </c>
      <c r="IVU5">
        <f>Database!IWN29</f>
        <v>0</v>
      </c>
      <c r="IVV5">
        <f>Database!IWO29</f>
        <v>0</v>
      </c>
      <c r="IVW5">
        <f>Database!IWP29</f>
        <v>0</v>
      </c>
      <c r="IVX5">
        <f>Database!IWQ29</f>
        <v>0</v>
      </c>
      <c r="IVY5">
        <f>Database!IWR29</f>
        <v>0</v>
      </c>
      <c r="IVZ5">
        <f>Database!IWS29</f>
        <v>0</v>
      </c>
      <c r="IWA5">
        <f>Database!IWT29</f>
        <v>0</v>
      </c>
      <c r="IWB5">
        <f>Database!IWU29</f>
        <v>0</v>
      </c>
      <c r="IWC5">
        <f>Database!IWV29</f>
        <v>0</v>
      </c>
      <c r="IWD5">
        <f>Database!IWW29</f>
        <v>0</v>
      </c>
      <c r="IWE5">
        <f>Database!IWX29</f>
        <v>0</v>
      </c>
      <c r="IWF5">
        <f>Database!IWY29</f>
        <v>0</v>
      </c>
      <c r="IWG5">
        <f>Database!IWZ29</f>
        <v>0</v>
      </c>
      <c r="IWH5">
        <f>Database!IXA29</f>
        <v>0</v>
      </c>
      <c r="IWI5">
        <f>Database!IXB29</f>
        <v>0</v>
      </c>
      <c r="IWJ5">
        <f>Database!IXC29</f>
        <v>0</v>
      </c>
      <c r="IWK5">
        <f>Database!IXD29</f>
        <v>0</v>
      </c>
      <c r="IWL5">
        <f>Database!IXE29</f>
        <v>0</v>
      </c>
      <c r="IWM5">
        <f>Database!IXF29</f>
        <v>0</v>
      </c>
      <c r="IWN5">
        <f>Database!IXG29</f>
        <v>0</v>
      </c>
      <c r="IWO5">
        <f>Database!IXH29</f>
        <v>0</v>
      </c>
      <c r="IWP5">
        <f>Database!IXI29</f>
        <v>0</v>
      </c>
      <c r="IWQ5">
        <f>Database!IXJ29</f>
        <v>0</v>
      </c>
      <c r="IWR5">
        <f>Database!IXK29</f>
        <v>0</v>
      </c>
      <c r="IWS5">
        <f>Database!IXL29</f>
        <v>0</v>
      </c>
      <c r="IWT5">
        <f>Database!IXM29</f>
        <v>0</v>
      </c>
      <c r="IWU5">
        <f>Database!IXN29</f>
        <v>0</v>
      </c>
      <c r="IWV5">
        <f>Database!IXO29</f>
        <v>0</v>
      </c>
      <c r="IWW5">
        <f>Database!IXP29</f>
        <v>0</v>
      </c>
      <c r="IWX5">
        <f>Database!IXQ29</f>
        <v>0</v>
      </c>
      <c r="IWY5">
        <f>Database!IXR29</f>
        <v>0</v>
      </c>
      <c r="IWZ5">
        <f>Database!IXS29</f>
        <v>0</v>
      </c>
      <c r="IXA5">
        <f>Database!IXT29</f>
        <v>0</v>
      </c>
      <c r="IXB5">
        <f>Database!IXU29</f>
        <v>0</v>
      </c>
      <c r="IXC5">
        <f>Database!IXV29</f>
        <v>0</v>
      </c>
      <c r="IXD5">
        <f>Database!IXW29</f>
        <v>0</v>
      </c>
      <c r="IXE5">
        <f>Database!IXX29</f>
        <v>0</v>
      </c>
      <c r="IXF5">
        <f>Database!IXY29</f>
        <v>0</v>
      </c>
      <c r="IXG5">
        <f>Database!IXZ29</f>
        <v>0</v>
      </c>
      <c r="IXH5">
        <f>Database!IYA29</f>
        <v>0</v>
      </c>
      <c r="IXI5">
        <f>Database!IYB29</f>
        <v>0</v>
      </c>
      <c r="IXJ5">
        <f>Database!IYC29</f>
        <v>0</v>
      </c>
      <c r="IXK5">
        <f>Database!IYD29</f>
        <v>0</v>
      </c>
      <c r="IXL5">
        <f>Database!IYE29</f>
        <v>0</v>
      </c>
      <c r="IXM5">
        <f>Database!IYF29</f>
        <v>0</v>
      </c>
      <c r="IXN5">
        <f>Database!IYG29</f>
        <v>0</v>
      </c>
      <c r="IXO5">
        <f>Database!IYH29</f>
        <v>0</v>
      </c>
      <c r="IXP5">
        <f>Database!IYI29</f>
        <v>0</v>
      </c>
      <c r="IXQ5">
        <f>Database!IYJ29</f>
        <v>0</v>
      </c>
      <c r="IXR5">
        <f>Database!IYK29</f>
        <v>0</v>
      </c>
      <c r="IXS5">
        <f>Database!IYL29</f>
        <v>0</v>
      </c>
      <c r="IXT5">
        <f>Database!IYM29</f>
        <v>0</v>
      </c>
      <c r="IXU5">
        <f>Database!IYN29</f>
        <v>0</v>
      </c>
      <c r="IXV5">
        <f>Database!IYO29</f>
        <v>0</v>
      </c>
      <c r="IXW5">
        <f>Database!IYP29</f>
        <v>0</v>
      </c>
      <c r="IXX5">
        <f>Database!IYQ29</f>
        <v>0</v>
      </c>
      <c r="IXY5">
        <f>Database!IYR29</f>
        <v>0</v>
      </c>
      <c r="IXZ5">
        <f>Database!IYS29</f>
        <v>0</v>
      </c>
      <c r="IYA5">
        <f>Database!IYT29</f>
        <v>0</v>
      </c>
      <c r="IYB5">
        <f>Database!IYU29</f>
        <v>0</v>
      </c>
      <c r="IYC5">
        <f>Database!IYV29</f>
        <v>0</v>
      </c>
      <c r="IYD5">
        <f>Database!IYW29</f>
        <v>0</v>
      </c>
      <c r="IYE5">
        <f>Database!IYX29</f>
        <v>0</v>
      </c>
      <c r="IYF5">
        <f>Database!IYY29</f>
        <v>0</v>
      </c>
      <c r="IYG5">
        <f>Database!IYZ29</f>
        <v>0</v>
      </c>
      <c r="IYH5">
        <f>Database!IZA29</f>
        <v>0</v>
      </c>
      <c r="IYI5">
        <f>Database!IZB29</f>
        <v>0</v>
      </c>
      <c r="IYJ5">
        <f>Database!IZC29</f>
        <v>0</v>
      </c>
      <c r="IYK5">
        <f>Database!IZD29</f>
        <v>0</v>
      </c>
      <c r="IYL5">
        <f>Database!IZE29</f>
        <v>0</v>
      </c>
      <c r="IYM5">
        <f>Database!IZF29</f>
        <v>0</v>
      </c>
      <c r="IYN5">
        <f>Database!IZG29</f>
        <v>0</v>
      </c>
      <c r="IYO5">
        <f>Database!IZH29</f>
        <v>0</v>
      </c>
      <c r="IYP5">
        <f>Database!IZI29</f>
        <v>0</v>
      </c>
      <c r="IYQ5">
        <f>Database!IZJ29</f>
        <v>0</v>
      </c>
      <c r="IYR5">
        <f>Database!IZK29</f>
        <v>0</v>
      </c>
      <c r="IYS5">
        <f>Database!IZL29</f>
        <v>0</v>
      </c>
      <c r="IYT5">
        <f>Database!IZM29</f>
        <v>0</v>
      </c>
      <c r="IYU5">
        <f>Database!IZN29</f>
        <v>0</v>
      </c>
      <c r="IYV5">
        <f>Database!IZO29</f>
        <v>0</v>
      </c>
      <c r="IYW5">
        <f>Database!IZP29</f>
        <v>0</v>
      </c>
      <c r="IYX5">
        <f>Database!IZQ29</f>
        <v>0</v>
      </c>
      <c r="IYY5">
        <f>Database!IZR29</f>
        <v>0</v>
      </c>
      <c r="IYZ5">
        <f>Database!IZS29</f>
        <v>0</v>
      </c>
      <c r="IZA5">
        <f>Database!IZT29</f>
        <v>0</v>
      </c>
      <c r="IZB5">
        <f>Database!IZU29</f>
        <v>0</v>
      </c>
      <c r="IZC5">
        <f>Database!IZV29</f>
        <v>0</v>
      </c>
      <c r="IZD5">
        <f>Database!IZW29</f>
        <v>0</v>
      </c>
      <c r="IZE5">
        <f>Database!IZX29</f>
        <v>0</v>
      </c>
      <c r="IZF5">
        <f>Database!IZY29</f>
        <v>0</v>
      </c>
      <c r="IZG5">
        <f>Database!IZZ29</f>
        <v>0</v>
      </c>
      <c r="IZH5">
        <f>Database!JAA29</f>
        <v>0</v>
      </c>
      <c r="IZI5">
        <f>Database!JAB29</f>
        <v>0</v>
      </c>
      <c r="IZJ5">
        <f>Database!JAC29</f>
        <v>0</v>
      </c>
      <c r="IZK5">
        <f>Database!JAD29</f>
        <v>0</v>
      </c>
      <c r="IZL5">
        <f>Database!JAE29</f>
        <v>0</v>
      </c>
      <c r="IZM5">
        <f>Database!JAF29</f>
        <v>0</v>
      </c>
      <c r="IZN5">
        <f>Database!JAG29</f>
        <v>0</v>
      </c>
      <c r="IZO5">
        <f>Database!JAH29</f>
        <v>0</v>
      </c>
      <c r="IZP5">
        <f>Database!JAI29</f>
        <v>0</v>
      </c>
      <c r="IZQ5">
        <f>Database!JAJ29</f>
        <v>0</v>
      </c>
      <c r="IZR5">
        <f>Database!JAK29</f>
        <v>0</v>
      </c>
      <c r="IZS5">
        <f>Database!JAL29</f>
        <v>0</v>
      </c>
      <c r="IZT5">
        <f>Database!JAM29</f>
        <v>0</v>
      </c>
      <c r="IZU5">
        <f>Database!JAN29</f>
        <v>0</v>
      </c>
      <c r="IZV5">
        <f>Database!JAO29</f>
        <v>0</v>
      </c>
      <c r="IZW5">
        <f>Database!JAP29</f>
        <v>0</v>
      </c>
      <c r="IZX5">
        <f>Database!JAQ29</f>
        <v>0</v>
      </c>
      <c r="IZY5">
        <f>Database!JAR29</f>
        <v>0</v>
      </c>
      <c r="IZZ5">
        <f>Database!JAS29</f>
        <v>0</v>
      </c>
      <c r="JAA5">
        <f>Database!JAT29</f>
        <v>0</v>
      </c>
      <c r="JAB5">
        <f>Database!JAU29</f>
        <v>0</v>
      </c>
      <c r="JAC5">
        <f>Database!JAV29</f>
        <v>0</v>
      </c>
      <c r="JAD5">
        <f>Database!JAW29</f>
        <v>0</v>
      </c>
      <c r="JAE5">
        <f>Database!JAX29</f>
        <v>0</v>
      </c>
      <c r="JAF5">
        <f>Database!JAY29</f>
        <v>0</v>
      </c>
      <c r="JAG5">
        <f>Database!JAZ29</f>
        <v>0</v>
      </c>
      <c r="JAH5">
        <f>Database!JBA29</f>
        <v>0</v>
      </c>
      <c r="JAI5">
        <f>Database!JBB29</f>
        <v>0</v>
      </c>
      <c r="JAJ5">
        <f>Database!JBC29</f>
        <v>0</v>
      </c>
      <c r="JAK5">
        <f>Database!JBD29</f>
        <v>0</v>
      </c>
      <c r="JAL5">
        <f>Database!JBE29</f>
        <v>0</v>
      </c>
      <c r="JAM5">
        <f>Database!JBF29</f>
        <v>0</v>
      </c>
      <c r="JAN5">
        <f>Database!JBG29</f>
        <v>0</v>
      </c>
      <c r="JAO5">
        <f>Database!JBH29</f>
        <v>0</v>
      </c>
      <c r="JAP5">
        <f>Database!JBI29</f>
        <v>0</v>
      </c>
      <c r="JAQ5">
        <f>Database!JBJ29</f>
        <v>0</v>
      </c>
      <c r="JAR5">
        <f>Database!JBK29</f>
        <v>0</v>
      </c>
      <c r="JAS5">
        <f>Database!JBL29</f>
        <v>0</v>
      </c>
      <c r="JAT5">
        <f>Database!JBM29</f>
        <v>0</v>
      </c>
      <c r="JAU5">
        <f>Database!JBN29</f>
        <v>0</v>
      </c>
      <c r="JAV5">
        <f>Database!JBO29</f>
        <v>0</v>
      </c>
      <c r="JAW5">
        <f>Database!JBP29</f>
        <v>0</v>
      </c>
      <c r="JAX5">
        <f>Database!JBQ29</f>
        <v>0</v>
      </c>
      <c r="JAY5">
        <f>Database!JBR29</f>
        <v>0</v>
      </c>
      <c r="JAZ5">
        <f>Database!JBS29</f>
        <v>0</v>
      </c>
      <c r="JBA5">
        <f>Database!JBT29</f>
        <v>0</v>
      </c>
      <c r="JBB5">
        <f>Database!JBU29</f>
        <v>0</v>
      </c>
      <c r="JBC5">
        <f>Database!JBV29</f>
        <v>0</v>
      </c>
      <c r="JBD5">
        <f>Database!JBW29</f>
        <v>0</v>
      </c>
      <c r="JBE5">
        <f>Database!JBX29</f>
        <v>0</v>
      </c>
      <c r="JBF5">
        <f>Database!JBY29</f>
        <v>0</v>
      </c>
      <c r="JBG5">
        <f>Database!JBZ29</f>
        <v>0</v>
      </c>
      <c r="JBH5">
        <f>Database!JCA29</f>
        <v>0</v>
      </c>
      <c r="JBI5">
        <f>Database!JCB29</f>
        <v>0</v>
      </c>
      <c r="JBJ5">
        <f>Database!JCC29</f>
        <v>0</v>
      </c>
      <c r="JBK5">
        <f>Database!JCD29</f>
        <v>0</v>
      </c>
      <c r="JBL5">
        <f>Database!JCE29</f>
        <v>0</v>
      </c>
      <c r="JBM5">
        <f>Database!JCF29</f>
        <v>0</v>
      </c>
      <c r="JBN5">
        <f>Database!JCG29</f>
        <v>0</v>
      </c>
      <c r="JBO5">
        <f>Database!JCH29</f>
        <v>0</v>
      </c>
      <c r="JBP5">
        <f>Database!JCI29</f>
        <v>0</v>
      </c>
      <c r="JBQ5">
        <f>Database!JCJ29</f>
        <v>0</v>
      </c>
      <c r="JBR5">
        <f>Database!JCK29</f>
        <v>0</v>
      </c>
      <c r="JBS5">
        <f>Database!JCL29</f>
        <v>0</v>
      </c>
      <c r="JBT5">
        <f>Database!JCM29</f>
        <v>0</v>
      </c>
      <c r="JBU5">
        <f>Database!JCN29</f>
        <v>0</v>
      </c>
      <c r="JBV5">
        <f>Database!JCO29</f>
        <v>0</v>
      </c>
      <c r="JBW5">
        <f>Database!JCP29</f>
        <v>0</v>
      </c>
      <c r="JBX5">
        <f>Database!JCQ29</f>
        <v>0</v>
      </c>
      <c r="JBY5">
        <f>Database!JCR29</f>
        <v>0</v>
      </c>
      <c r="JBZ5">
        <f>Database!JCS29</f>
        <v>0</v>
      </c>
      <c r="JCA5">
        <f>Database!JCT29</f>
        <v>0</v>
      </c>
      <c r="JCB5">
        <f>Database!JCU29</f>
        <v>0</v>
      </c>
      <c r="JCC5">
        <f>Database!JCV29</f>
        <v>0</v>
      </c>
      <c r="JCD5">
        <f>Database!JCW29</f>
        <v>0</v>
      </c>
      <c r="JCE5">
        <f>Database!JCX29</f>
        <v>0</v>
      </c>
      <c r="JCF5">
        <f>Database!JCY29</f>
        <v>0</v>
      </c>
      <c r="JCG5">
        <f>Database!JCZ29</f>
        <v>0</v>
      </c>
      <c r="JCH5">
        <f>Database!JDA29</f>
        <v>0</v>
      </c>
      <c r="JCI5">
        <f>Database!JDB29</f>
        <v>0</v>
      </c>
      <c r="JCJ5">
        <f>Database!JDC29</f>
        <v>0</v>
      </c>
      <c r="JCK5">
        <f>Database!JDD29</f>
        <v>0</v>
      </c>
      <c r="JCL5">
        <f>Database!JDE29</f>
        <v>0</v>
      </c>
      <c r="JCM5">
        <f>Database!JDF29</f>
        <v>0</v>
      </c>
      <c r="JCN5">
        <f>Database!JDG29</f>
        <v>0</v>
      </c>
      <c r="JCO5">
        <f>Database!JDH29</f>
        <v>0</v>
      </c>
      <c r="JCP5">
        <f>Database!JDI29</f>
        <v>0</v>
      </c>
      <c r="JCQ5">
        <f>Database!JDJ29</f>
        <v>0</v>
      </c>
      <c r="JCR5">
        <f>Database!JDK29</f>
        <v>0</v>
      </c>
      <c r="JCS5">
        <f>Database!JDL29</f>
        <v>0</v>
      </c>
      <c r="JCT5">
        <f>Database!JDM29</f>
        <v>0</v>
      </c>
      <c r="JCU5">
        <f>Database!JDN29</f>
        <v>0</v>
      </c>
      <c r="JCV5">
        <f>Database!JDO29</f>
        <v>0</v>
      </c>
      <c r="JCW5">
        <f>Database!JDP29</f>
        <v>0</v>
      </c>
      <c r="JCX5">
        <f>Database!JDQ29</f>
        <v>0</v>
      </c>
      <c r="JCY5">
        <f>Database!JDR29</f>
        <v>0</v>
      </c>
      <c r="JCZ5">
        <f>Database!JDS29</f>
        <v>0</v>
      </c>
      <c r="JDA5">
        <f>Database!JDT29</f>
        <v>0</v>
      </c>
      <c r="JDB5">
        <f>Database!JDU29</f>
        <v>0</v>
      </c>
      <c r="JDC5">
        <f>Database!JDV29</f>
        <v>0</v>
      </c>
      <c r="JDD5">
        <f>Database!JDW29</f>
        <v>0</v>
      </c>
      <c r="JDE5">
        <f>Database!JDX29</f>
        <v>0</v>
      </c>
      <c r="JDF5">
        <f>Database!JDY29</f>
        <v>0</v>
      </c>
      <c r="JDG5">
        <f>Database!JDZ29</f>
        <v>0</v>
      </c>
      <c r="JDH5">
        <f>Database!JEA29</f>
        <v>0</v>
      </c>
      <c r="JDI5">
        <f>Database!JEB29</f>
        <v>0</v>
      </c>
      <c r="JDJ5">
        <f>Database!JEC29</f>
        <v>0</v>
      </c>
      <c r="JDK5">
        <f>Database!JED29</f>
        <v>0</v>
      </c>
      <c r="JDL5">
        <f>Database!JEE29</f>
        <v>0</v>
      </c>
      <c r="JDM5">
        <f>Database!JEF29</f>
        <v>0</v>
      </c>
      <c r="JDN5">
        <f>Database!JEG29</f>
        <v>0</v>
      </c>
      <c r="JDO5">
        <f>Database!JEH29</f>
        <v>0</v>
      </c>
      <c r="JDP5">
        <f>Database!JEI29</f>
        <v>0</v>
      </c>
      <c r="JDQ5">
        <f>Database!JEJ29</f>
        <v>0</v>
      </c>
      <c r="JDR5">
        <f>Database!JEK29</f>
        <v>0</v>
      </c>
      <c r="JDS5">
        <f>Database!JEL29</f>
        <v>0</v>
      </c>
      <c r="JDT5">
        <f>Database!JEM29</f>
        <v>0</v>
      </c>
      <c r="JDU5">
        <f>Database!JEN29</f>
        <v>0</v>
      </c>
      <c r="JDV5">
        <f>Database!JEO29</f>
        <v>0</v>
      </c>
      <c r="JDW5">
        <f>Database!JEP29</f>
        <v>0</v>
      </c>
      <c r="JDX5">
        <f>Database!JEQ29</f>
        <v>0</v>
      </c>
      <c r="JDY5">
        <f>Database!JER29</f>
        <v>0</v>
      </c>
      <c r="JDZ5">
        <f>Database!JES29</f>
        <v>0</v>
      </c>
      <c r="JEA5">
        <f>Database!JET29</f>
        <v>0</v>
      </c>
      <c r="JEB5">
        <f>Database!JEU29</f>
        <v>0</v>
      </c>
      <c r="JEC5">
        <f>Database!JEV29</f>
        <v>0</v>
      </c>
      <c r="JED5">
        <f>Database!JEW29</f>
        <v>0</v>
      </c>
      <c r="JEE5">
        <f>Database!JEX29</f>
        <v>0</v>
      </c>
      <c r="JEF5">
        <f>Database!JEY29</f>
        <v>0</v>
      </c>
      <c r="JEG5">
        <f>Database!JEZ29</f>
        <v>0</v>
      </c>
      <c r="JEH5">
        <f>Database!JFA29</f>
        <v>0</v>
      </c>
      <c r="JEI5">
        <f>Database!JFB29</f>
        <v>0</v>
      </c>
      <c r="JEJ5">
        <f>Database!JFC29</f>
        <v>0</v>
      </c>
      <c r="JEK5">
        <f>Database!JFD29</f>
        <v>0</v>
      </c>
      <c r="JEL5">
        <f>Database!JFE29</f>
        <v>0</v>
      </c>
      <c r="JEM5">
        <f>Database!JFF29</f>
        <v>0</v>
      </c>
      <c r="JEN5">
        <f>Database!JFG29</f>
        <v>0</v>
      </c>
      <c r="JEO5">
        <f>Database!JFH29</f>
        <v>0</v>
      </c>
      <c r="JEP5">
        <f>Database!JFI29</f>
        <v>0</v>
      </c>
      <c r="JEQ5">
        <f>Database!JFJ29</f>
        <v>0</v>
      </c>
      <c r="JER5">
        <f>Database!JFK29</f>
        <v>0</v>
      </c>
      <c r="JES5">
        <f>Database!JFL29</f>
        <v>0</v>
      </c>
      <c r="JET5">
        <f>Database!JFM29</f>
        <v>0</v>
      </c>
      <c r="JEU5">
        <f>Database!JFN29</f>
        <v>0</v>
      </c>
      <c r="JEV5">
        <f>Database!JFO29</f>
        <v>0</v>
      </c>
      <c r="JEW5">
        <f>Database!JFP29</f>
        <v>0</v>
      </c>
      <c r="JEX5">
        <f>Database!JFQ29</f>
        <v>0</v>
      </c>
      <c r="JEY5">
        <f>Database!JFR29</f>
        <v>0</v>
      </c>
      <c r="JEZ5">
        <f>Database!JFS29</f>
        <v>0</v>
      </c>
      <c r="JFA5">
        <f>Database!JFT29</f>
        <v>0</v>
      </c>
      <c r="JFB5">
        <f>Database!JFU29</f>
        <v>0</v>
      </c>
      <c r="JFC5">
        <f>Database!JFV29</f>
        <v>0</v>
      </c>
      <c r="JFD5">
        <f>Database!JFW29</f>
        <v>0</v>
      </c>
      <c r="JFE5">
        <f>Database!JFX29</f>
        <v>0</v>
      </c>
      <c r="JFF5">
        <f>Database!JFY29</f>
        <v>0</v>
      </c>
      <c r="JFG5">
        <f>Database!JFZ29</f>
        <v>0</v>
      </c>
      <c r="JFH5">
        <f>Database!JGA29</f>
        <v>0</v>
      </c>
      <c r="JFI5">
        <f>Database!JGB29</f>
        <v>0</v>
      </c>
      <c r="JFJ5">
        <f>Database!JGC29</f>
        <v>0</v>
      </c>
      <c r="JFK5">
        <f>Database!JGD29</f>
        <v>0</v>
      </c>
      <c r="JFL5">
        <f>Database!JGE29</f>
        <v>0</v>
      </c>
      <c r="JFM5">
        <f>Database!JGF29</f>
        <v>0</v>
      </c>
      <c r="JFN5">
        <f>Database!JGG29</f>
        <v>0</v>
      </c>
      <c r="JFO5">
        <f>Database!JGH29</f>
        <v>0</v>
      </c>
      <c r="JFP5">
        <f>Database!JGI29</f>
        <v>0</v>
      </c>
      <c r="JFQ5">
        <f>Database!JGJ29</f>
        <v>0</v>
      </c>
      <c r="JFR5">
        <f>Database!JGK29</f>
        <v>0</v>
      </c>
      <c r="JFS5">
        <f>Database!JGL29</f>
        <v>0</v>
      </c>
      <c r="JFT5">
        <f>Database!JGM29</f>
        <v>0</v>
      </c>
      <c r="JFU5">
        <f>Database!JGN29</f>
        <v>0</v>
      </c>
      <c r="JFV5">
        <f>Database!JGO29</f>
        <v>0</v>
      </c>
      <c r="JFW5">
        <f>Database!JGP29</f>
        <v>0</v>
      </c>
      <c r="JFX5">
        <f>Database!JGQ29</f>
        <v>0</v>
      </c>
      <c r="JFY5">
        <f>Database!JGR29</f>
        <v>0</v>
      </c>
      <c r="JFZ5">
        <f>Database!JGS29</f>
        <v>0</v>
      </c>
      <c r="JGA5">
        <f>Database!JGT29</f>
        <v>0</v>
      </c>
      <c r="JGB5">
        <f>Database!JGU29</f>
        <v>0</v>
      </c>
      <c r="JGC5">
        <f>Database!JGV29</f>
        <v>0</v>
      </c>
      <c r="JGD5">
        <f>Database!JGW29</f>
        <v>0</v>
      </c>
      <c r="JGE5">
        <f>Database!JGX29</f>
        <v>0</v>
      </c>
      <c r="JGF5">
        <f>Database!JGY29</f>
        <v>0</v>
      </c>
      <c r="JGG5">
        <f>Database!JGZ29</f>
        <v>0</v>
      </c>
      <c r="JGH5">
        <f>Database!JHA29</f>
        <v>0</v>
      </c>
      <c r="JGI5">
        <f>Database!JHB29</f>
        <v>0</v>
      </c>
      <c r="JGJ5">
        <f>Database!JHC29</f>
        <v>0</v>
      </c>
      <c r="JGK5">
        <f>Database!JHD29</f>
        <v>0</v>
      </c>
      <c r="JGL5">
        <f>Database!JHE29</f>
        <v>0</v>
      </c>
      <c r="JGM5">
        <f>Database!JHF29</f>
        <v>0</v>
      </c>
      <c r="JGN5">
        <f>Database!JHG29</f>
        <v>0</v>
      </c>
      <c r="JGO5">
        <f>Database!JHH29</f>
        <v>0</v>
      </c>
      <c r="JGP5">
        <f>Database!JHI29</f>
        <v>0</v>
      </c>
      <c r="JGQ5">
        <f>Database!JHJ29</f>
        <v>0</v>
      </c>
      <c r="JGR5">
        <f>Database!JHK29</f>
        <v>0</v>
      </c>
      <c r="JGS5">
        <f>Database!JHL29</f>
        <v>0</v>
      </c>
      <c r="JGT5">
        <f>Database!JHM29</f>
        <v>0</v>
      </c>
      <c r="JGU5">
        <f>Database!JHN29</f>
        <v>0</v>
      </c>
      <c r="JGV5">
        <f>Database!JHO29</f>
        <v>0</v>
      </c>
      <c r="JGW5">
        <f>Database!JHP29</f>
        <v>0</v>
      </c>
      <c r="JGX5">
        <f>Database!JHQ29</f>
        <v>0</v>
      </c>
      <c r="JGY5">
        <f>Database!JHR29</f>
        <v>0</v>
      </c>
      <c r="JGZ5">
        <f>Database!JHS29</f>
        <v>0</v>
      </c>
      <c r="JHA5">
        <f>Database!JHT29</f>
        <v>0</v>
      </c>
      <c r="JHB5">
        <f>Database!JHU29</f>
        <v>0</v>
      </c>
      <c r="JHC5">
        <f>Database!JHV29</f>
        <v>0</v>
      </c>
      <c r="JHD5">
        <f>Database!JHW29</f>
        <v>0</v>
      </c>
      <c r="JHE5">
        <f>Database!JHX29</f>
        <v>0</v>
      </c>
      <c r="JHF5">
        <f>Database!JHY29</f>
        <v>0</v>
      </c>
      <c r="JHG5">
        <f>Database!JHZ29</f>
        <v>0</v>
      </c>
      <c r="JHH5">
        <f>Database!JIA29</f>
        <v>0</v>
      </c>
      <c r="JHI5">
        <f>Database!JIB29</f>
        <v>0</v>
      </c>
      <c r="JHJ5">
        <f>Database!JIC29</f>
        <v>0</v>
      </c>
      <c r="JHK5">
        <f>Database!JID29</f>
        <v>0</v>
      </c>
      <c r="JHL5">
        <f>Database!JIE29</f>
        <v>0</v>
      </c>
      <c r="JHM5">
        <f>Database!JIF29</f>
        <v>0</v>
      </c>
      <c r="JHN5">
        <f>Database!JIG29</f>
        <v>0</v>
      </c>
      <c r="JHO5">
        <f>Database!JIH29</f>
        <v>0</v>
      </c>
      <c r="JHP5">
        <f>Database!JII29</f>
        <v>0</v>
      </c>
      <c r="JHQ5">
        <f>Database!JIJ29</f>
        <v>0</v>
      </c>
      <c r="JHR5">
        <f>Database!JIK29</f>
        <v>0</v>
      </c>
      <c r="JHS5">
        <f>Database!JIL29</f>
        <v>0</v>
      </c>
      <c r="JHT5">
        <f>Database!JIM29</f>
        <v>0</v>
      </c>
      <c r="JHU5">
        <f>Database!JIN29</f>
        <v>0</v>
      </c>
      <c r="JHV5">
        <f>Database!JIO29</f>
        <v>0</v>
      </c>
      <c r="JHW5">
        <f>Database!JIP29</f>
        <v>0</v>
      </c>
      <c r="JHX5">
        <f>Database!JIQ29</f>
        <v>0</v>
      </c>
      <c r="JHY5">
        <f>Database!JIR29</f>
        <v>0</v>
      </c>
      <c r="JHZ5">
        <f>Database!JIS29</f>
        <v>0</v>
      </c>
      <c r="JIA5">
        <f>Database!JIT29</f>
        <v>0</v>
      </c>
      <c r="JIB5">
        <f>Database!JIU29</f>
        <v>0</v>
      </c>
      <c r="JIC5">
        <f>Database!JIV29</f>
        <v>0</v>
      </c>
      <c r="JID5">
        <f>Database!JIW29</f>
        <v>0</v>
      </c>
      <c r="JIE5">
        <f>Database!JIX29</f>
        <v>0</v>
      </c>
      <c r="JIF5">
        <f>Database!JIY29</f>
        <v>0</v>
      </c>
      <c r="JIG5">
        <f>Database!JIZ29</f>
        <v>0</v>
      </c>
      <c r="JIH5">
        <f>Database!JJA29</f>
        <v>0</v>
      </c>
      <c r="JII5">
        <f>Database!JJB29</f>
        <v>0</v>
      </c>
      <c r="JIJ5">
        <f>Database!JJC29</f>
        <v>0</v>
      </c>
      <c r="JIK5">
        <f>Database!JJD29</f>
        <v>0</v>
      </c>
      <c r="JIL5">
        <f>Database!JJE29</f>
        <v>0</v>
      </c>
      <c r="JIM5">
        <f>Database!JJF29</f>
        <v>0</v>
      </c>
      <c r="JIN5">
        <f>Database!JJG29</f>
        <v>0</v>
      </c>
      <c r="JIO5">
        <f>Database!JJH29</f>
        <v>0</v>
      </c>
      <c r="JIP5">
        <f>Database!JJI29</f>
        <v>0</v>
      </c>
      <c r="JIQ5">
        <f>Database!JJJ29</f>
        <v>0</v>
      </c>
      <c r="JIR5">
        <f>Database!JJK29</f>
        <v>0</v>
      </c>
      <c r="JIS5">
        <f>Database!JJL29</f>
        <v>0</v>
      </c>
      <c r="JIT5">
        <f>Database!JJM29</f>
        <v>0</v>
      </c>
      <c r="JIU5">
        <f>Database!JJN29</f>
        <v>0</v>
      </c>
      <c r="JIV5">
        <f>Database!JJO29</f>
        <v>0</v>
      </c>
      <c r="JIW5">
        <f>Database!JJP29</f>
        <v>0</v>
      </c>
      <c r="JIX5">
        <f>Database!JJQ29</f>
        <v>0</v>
      </c>
      <c r="JIY5">
        <f>Database!JJR29</f>
        <v>0</v>
      </c>
      <c r="JIZ5">
        <f>Database!JJS29</f>
        <v>0</v>
      </c>
      <c r="JJA5">
        <f>Database!JJT29</f>
        <v>0</v>
      </c>
      <c r="JJB5">
        <f>Database!JJU29</f>
        <v>0</v>
      </c>
      <c r="JJC5">
        <f>Database!JJV29</f>
        <v>0</v>
      </c>
      <c r="JJD5">
        <f>Database!JJW29</f>
        <v>0</v>
      </c>
      <c r="JJE5">
        <f>Database!JJX29</f>
        <v>0</v>
      </c>
      <c r="JJF5">
        <f>Database!JJY29</f>
        <v>0</v>
      </c>
      <c r="JJG5">
        <f>Database!JJZ29</f>
        <v>0</v>
      </c>
      <c r="JJH5">
        <f>Database!JKA29</f>
        <v>0</v>
      </c>
      <c r="JJI5">
        <f>Database!JKB29</f>
        <v>0</v>
      </c>
      <c r="JJJ5">
        <f>Database!JKC29</f>
        <v>0</v>
      </c>
      <c r="JJK5">
        <f>Database!JKD29</f>
        <v>0</v>
      </c>
      <c r="JJL5">
        <f>Database!JKE29</f>
        <v>0</v>
      </c>
      <c r="JJM5">
        <f>Database!JKF29</f>
        <v>0</v>
      </c>
      <c r="JJN5">
        <f>Database!JKG29</f>
        <v>0</v>
      </c>
      <c r="JJO5">
        <f>Database!JKH29</f>
        <v>0</v>
      </c>
      <c r="JJP5">
        <f>Database!JKI29</f>
        <v>0</v>
      </c>
      <c r="JJQ5">
        <f>Database!JKJ29</f>
        <v>0</v>
      </c>
      <c r="JJR5">
        <f>Database!JKK29</f>
        <v>0</v>
      </c>
      <c r="JJS5">
        <f>Database!JKL29</f>
        <v>0</v>
      </c>
      <c r="JJT5">
        <f>Database!JKM29</f>
        <v>0</v>
      </c>
      <c r="JJU5">
        <f>Database!JKN29</f>
        <v>0</v>
      </c>
      <c r="JJV5">
        <f>Database!JKO29</f>
        <v>0</v>
      </c>
      <c r="JJW5">
        <f>Database!JKP29</f>
        <v>0</v>
      </c>
      <c r="JJX5">
        <f>Database!JKQ29</f>
        <v>0</v>
      </c>
      <c r="JJY5">
        <f>Database!JKR29</f>
        <v>0</v>
      </c>
      <c r="JJZ5">
        <f>Database!JKS29</f>
        <v>0</v>
      </c>
      <c r="JKA5">
        <f>Database!JKT29</f>
        <v>0</v>
      </c>
      <c r="JKB5">
        <f>Database!JKU29</f>
        <v>0</v>
      </c>
      <c r="JKC5">
        <f>Database!JKV29</f>
        <v>0</v>
      </c>
      <c r="JKD5">
        <f>Database!JKW29</f>
        <v>0</v>
      </c>
      <c r="JKE5">
        <f>Database!JKX29</f>
        <v>0</v>
      </c>
      <c r="JKF5">
        <f>Database!JKY29</f>
        <v>0</v>
      </c>
      <c r="JKG5">
        <f>Database!JKZ29</f>
        <v>0</v>
      </c>
      <c r="JKH5">
        <f>Database!JLA29</f>
        <v>0</v>
      </c>
      <c r="JKI5">
        <f>Database!JLB29</f>
        <v>0</v>
      </c>
      <c r="JKJ5">
        <f>Database!JLC29</f>
        <v>0</v>
      </c>
      <c r="JKK5">
        <f>Database!JLD29</f>
        <v>0</v>
      </c>
      <c r="JKL5">
        <f>Database!JLE29</f>
        <v>0</v>
      </c>
      <c r="JKM5">
        <f>Database!JLF29</f>
        <v>0</v>
      </c>
      <c r="JKN5">
        <f>Database!JLG29</f>
        <v>0</v>
      </c>
      <c r="JKO5">
        <f>Database!JLH29</f>
        <v>0</v>
      </c>
      <c r="JKP5">
        <f>Database!JLI29</f>
        <v>0</v>
      </c>
      <c r="JKQ5">
        <f>Database!JLJ29</f>
        <v>0</v>
      </c>
      <c r="JKR5">
        <f>Database!JLK29</f>
        <v>0</v>
      </c>
      <c r="JKS5">
        <f>Database!JLL29</f>
        <v>0</v>
      </c>
      <c r="JKT5">
        <f>Database!JLM29</f>
        <v>0</v>
      </c>
      <c r="JKU5">
        <f>Database!JLN29</f>
        <v>0</v>
      </c>
      <c r="JKV5">
        <f>Database!JLO29</f>
        <v>0</v>
      </c>
      <c r="JKW5">
        <f>Database!JLP29</f>
        <v>0</v>
      </c>
      <c r="JKX5">
        <f>Database!JLQ29</f>
        <v>0</v>
      </c>
      <c r="JKY5">
        <f>Database!JLR29</f>
        <v>0</v>
      </c>
      <c r="JKZ5">
        <f>Database!JLS29</f>
        <v>0</v>
      </c>
      <c r="JLA5">
        <f>Database!JLT29</f>
        <v>0</v>
      </c>
      <c r="JLB5">
        <f>Database!JLU29</f>
        <v>0</v>
      </c>
      <c r="JLC5">
        <f>Database!JLV29</f>
        <v>0</v>
      </c>
      <c r="JLD5">
        <f>Database!JLW29</f>
        <v>0</v>
      </c>
      <c r="JLE5">
        <f>Database!JLX29</f>
        <v>0</v>
      </c>
      <c r="JLF5">
        <f>Database!JLY29</f>
        <v>0</v>
      </c>
      <c r="JLG5">
        <f>Database!JLZ29</f>
        <v>0</v>
      </c>
      <c r="JLH5">
        <f>Database!JMA29</f>
        <v>0</v>
      </c>
      <c r="JLI5">
        <f>Database!JMB29</f>
        <v>0</v>
      </c>
      <c r="JLJ5">
        <f>Database!JMC29</f>
        <v>0</v>
      </c>
      <c r="JLK5">
        <f>Database!JMD29</f>
        <v>0</v>
      </c>
      <c r="JLL5">
        <f>Database!JME29</f>
        <v>0</v>
      </c>
      <c r="JLM5">
        <f>Database!JMF29</f>
        <v>0</v>
      </c>
      <c r="JLN5">
        <f>Database!JMG29</f>
        <v>0</v>
      </c>
      <c r="JLO5">
        <f>Database!JMH29</f>
        <v>0</v>
      </c>
      <c r="JLP5">
        <f>Database!JMI29</f>
        <v>0</v>
      </c>
      <c r="JLQ5">
        <f>Database!JMJ29</f>
        <v>0</v>
      </c>
      <c r="JLR5">
        <f>Database!JMK29</f>
        <v>0</v>
      </c>
      <c r="JLS5">
        <f>Database!JML29</f>
        <v>0</v>
      </c>
      <c r="JLT5">
        <f>Database!JMM29</f>
        <v>0</v>
      </c>
      <c r="JLU5">
        <f>Database!JMN29</f>
        <v>0</v>
      </c>
      <c r="JLV5">
        <f>Database!JMO29</f>
        <v>0</v>
      </c>
      <c r="JLW5">
        <f>Database!JMP29</f>
        <v>0</v>
      </c>
      <c r="JLX5">
        <f>Database!JMQ29</f>
        <v>0</v>
      </c>
      <c r="JLY5">
        <f>Database!JMR29</f>
        <v>0</v>
      </c>
      <c r="JLZ5">
        <f>Database!JMS29</f>
        <v>0</v>
      </c>
      <c r="JMA5">
        <f>Database!JMT29</f>
        <v>0</v>
      </c>
      <c r="JMB5">
        <f>Database!JMU29</f>
        <v>0</v>
      </c>
      <c r="JMC5">
        <f>Database!JMV29</f>
        <v>0</v>
      </c>
      <c r="JMD5">
        <f>Database!JMW29</f>
        <v>0</v>
      </c>
      <c r="JME5">
        <f>Database!JMX29</f>
        <v>0</v>
      </c>
      <c r="JMF5">
        <f>Database!JMY29</f>
        <v>0</v>
      </c>
      <c r="JMG5">
        <f>Database!JMZ29</f>
        <v>0</v>
      </c>
      <c r="JMH5">
        <f>Database!JNA29</f>
        <v>0</v>
      </c>
      <c r="JMI5">
        <f>Database!JNB29</f>
        <v>0</v>
      </c>
      <c r="JMJ5">
        <f>Database!JNC29</f>
        <v>0</v>
      </c>
      <c r="JMK5">
        <f>Database!JND29</f>
        <v>0</v>
      </c>
      <c r="JML5">
        <f>Database!JNE29</f>
        <v>0</v>
      </c>
      <c r="JMM5">
        <f>Database!JNF29</f>
        <v>0</v>
      </c>
      <c r="JMN5">
        <f>Database!JNG29</f>
        <v>0</v>
      </c>
      <c r="JMO5">
        <f>Database!JNH29</f>
        <v>0</v>
      </c>
      <c r="JMP5">
        <f>Database!JNI29</f>
        <v>0</v>
      </c>
      <c r="JMQ5">
        <f>Database!JNJ29</f>
        <v>0</v>
      </c>
      <c r="JMR5">
        <f>Database!JNK29</f>
        <v>0</v>
      </c>
      <c r="JMS5">
        <f>Database!JNL29</f>
        <v>0</v>
      </c>
      <c r="JMT5">
        <f>Database!JNM29</f>
        <v>0</v>
      </c>
      <c r="JMU5">
        <f>Database!JNN29</f>
        <v>0</v>
      </c>
      <c r="JMV5">
        <f>Database!JNO29</f>
        <v>0</v>
      </c>
      <c r="JMW5">
        <f>Database!JNP29</f>
        <v>0</v>
      </c>
      <c r="JMX5">
        <f>Database!JNQ29</f>
        <v>0</v>
      </c>
      <c r="JMY5">
        <f>Database!JNR29</f>
        <v>0</v>
      </c>
      <c r="JMZ5">
        <f>Database!JNS29</f>
        <v>0</v>
      </c>
      <c r="JNA5">
        <f>Database!JNT29</f>
        <v>0</v>
      </c>
      <c r="JNB5">
        <f>Database!JNU29</f>
        <v>0</v>
      </c>
      <c r="JNC5">
        <f>Database!JNV29</f>
        <v>0</v>
      </c>
      <c r="JND5">
        <f>Database!JNW29</f>
        <v>0</v>
      </c>
      <c r="JNE5">
        <f>Database!JNX29</f>
        <v>0</v>
      </c>
      <c r="JNF5">
        <f>Database!JNY29</f>
        <v>0</v>
      </c>
      <c r="JNG5">
        <f>Database!JNZ29</f>
        <v>0</v>
      </c>
      <c r="JNH5">
        <f>Database!JOA29</f>
        <v>0</v>
      </c>
      <c r="JNI5">
        <f>Database!JOB29</f>
        <v>0</v>
      </c>
      <c r="JNJ5">
        <f>Database!JOC29</f>
        <v>0</v>
      </c>
      <c r="JNK5">
        <f>Database!JOD29</f>
        <v>0</v>
      </c>
      <c r="JNL5">
        <f>Database!JOE29</f>
        <v>0</v>
      </c>
      <c r="JNM5">
        <f>Database!JOF29</f>
        <v>0</v>
      </c>
      <c r="JNN5">
        <f>Database!JOG29</f>
        <v>0</v>
      </c>
      <c r="JNO5">
        <f>Database!JOH29</f>
        <v>0</v>
      </c>
      <c r="JNP5">
        <f>Database!JOI29</f>
        <v>0</v>
      </c>
      <c r="JNQ5">
        <f>Database!JOJ29</f>
        <v>0</v>
      </c>
      <c r="JNR5">
        <f>Database!JOK29</f>
        <v>0</v>
      </c>
      <c r="JNS5">
        <f>Database!JOL29</f>
        <v>0</v>
      </c>
      <c r="JNT5">
        <f>Database!JOM29</f>
        <v>0</v>
      </c>
      <c r="JNU5">
        <f>Database!JON29</f>
        <v>0</v>
      </c>
      <c r="JNV5">
        <f>Database!JOO29</f>
        <v>0</v>
      </c>
      <c r="JNW5">
        <f>Database!JOP29</f>
        <v>0</v>
      </c>
      <c r="JNX5">
        <f>Database!JOQ29</f>
        <v>0</v>
      </c>
      <c r="JNY5">
        <f>Database!JOR29</f>
        <v>0</v>
      </c>
      <c r="JNZ5">
        <f>Database!JOS29</f>
        <v>0</v>
      </c>
      <c r="JOA5">
        <f>Database!JOT29</f>
        <v>0</v>
      </c>
      <c r="JOB5">
        <f>Database!JOU29</f>
        <v>0</v>
      </c>
      <c r="JOC5">
        <f>Database!JOV29</f>
        <v>0</v>
      </c>
      <c r="JOD5">
        <f>Database!JOW29</f>
        <v>0</v>
      </c>
      <c r="JOE5">
        <f>Database!JOX29</f>
        <v>0</v>
      </c>
      <c r="JOF5">
        <f>Database!JOY29</f>
        <v>0</v>
      </c>
      <c r="JOG5">
        <f>Database!JOZ29</f>
        <v>0</v>
      </c>
      <c r="JOH5">
        <f>Database!JPA29</f>
        <v>0</v>
      </c>
      <c r="JOI5">
        <f>Database!JPB29</f>
        <v>0</v>
      </c>
      <c r="JOJ5">
        <f>Database!JPC29</f>
        <v>0</v>
      </c>
      <c r="JOK5">
        <f>Database!JPD29</f>
        <v>0</v>
      </c>
      <c r="JOL5">
        <f>Database!JPE29</f>
        <v>0</v>
      </c>
      <c r="JOM5">
        <f>Database!JPF29</f>
        <v>0</v>
      </c>
      <c r="JON5">
        <f>Database!JPG29</f>
        <v>0</v>
      </c>
      <c r="JOO5">
        <f>Database!JPH29</f>
        <v>0</v>
      </c>
      <c r="JOP5">
        <f>Database!JPI29</f>
        <v>0</v>
      </c>
      <c r="JOQ5">
        <f>Database!JPJ29</f>
        <v>0</v>
      </c>
      <c r="JOR5">
        <f>Database!JPK29</f>
        <v>0</v>
      </c>
      <c r="JOS5">
        <f>Database!JPL29</f>
        <v>0</v>
      </c>
      <c r="JOT5">
        <f>Database!JPM29</f>
        <v>0</v>
      </c>
      <c r="JOU5">
        <f>Database!JPN29</f>
        <v>0</v>
      </c>
      <c r="JOV5">
        <f>Database!JPO29</f>
        <v>0</v>
      </c>
      <c r="JOW5">
        <f>Database!JPP29</f>
        <v>0</v>
      </c>
      <c r="JOX5">
        <f>Database!JPQ29</f>
        <v>0</v>
      </c>
      <c r="JOY5">
        <f>Database!JPR29</f>
        <v>0</v>
      </c>
      <c r="JOZ5">
        <f>Database!JPS29</f>
        <v>0</v>
      </c>
      <c r="JPA5">
        <f>Database!JPT29</f>
        <v>0</v>
      </c>
      <c r="JPB5">
        <f>Database!JPU29</f>
        <v>0</v>
      </c>
      <c r="JPC5">
        <f>Database!JPV29</f>
        <v>0</v>
      </c>
      <c r="JPD5">
        <f>Database!JPW29</f>
        <v>0</v>
      </c>
      <c r="JPE5">
        <f>Database!JPX29</f>
        <v>0</v>
      </c>
      <c r="JPF5">
        <f>Database!JPY29</f>
        <v>0</v>
      </c>
      <c r="JPG5">
        <f>Database!JPZ29</f>
        <v>0</v>
      </c>
      <c r="JPH5">
        <f>Database!JQA29</f>
        <v>0</v>
      </c>
      <c r="JPI5">
        <f>Database!JQB29</f>
        <v>0</v>
      </c>
      <c r="JPJ5">
        <f>Database!JQC29</f>
        <v>0</v>
      </c>
      <c r="JPK5">
        <f>Database!JQD29</f>
        <v>0</v>
      </c>
      <c r="JPL5">
        <f>Database!JQE29</f>
        <v>0</v>
      </c>
      <c r="JPM5">
        <f>Database!JQF29</f>
        <v>0</v>
      </c>
      <c r="JPN5">
        <f>Database!JQG29</f>
        <v>0</v>
      </c>
      <c r="JPO5">
        <f>Database!JQH29</f>
        <v>0</v>
      </c>
      <c r="JPP5">
        <f>Database!JQI29</f>
        <v>0</v>
      </c>
      <c r="JPQ5">
        <f>Database!JQJ29</f>
        <v>0</v>
      </c>
      <c r="JPR5">
        <f>Database!JQK29</f>
        <v>0</v>
      </c>
      <c r="JPS5">
        <f>Database!JQL29</f>
        <v>0</v>
      </c>
      <c r="JPT5">
        <f>Database!JQM29</f>
        <v>0</v>
      </c>
      <c r="JPU5">
        <f>Database!JQN29</f>
        <v>0</v>
      </c>
      <c r="JPV5">
        <f>Database!JQO29</f>
        <v>0</v>
      </c>
      <c r="JPW5">
        <f>Database!JQP29</f>
        <v>0</v>
      </c>
      <c r="JPX5">
        <f>Database!JQQ29</f>
        <v>0</v>
      </c>
      <c r="JPY5">
        <f>Database!JQR29</f>
        <v>0</v>
      </c>
      <c r="JPZ5">
        <f>Database!JQS29</f>
        <v>0</v>
      </c>
      <c r="JQA5">
        <f>Database!JQT29</f>
        <v>0</v>
      </c>
      <c r="JQB5">
        <f>Database!JQU29</f>
        <v>0</v>
      </c>
      <c r="JQC5">
        <f>Database!JQV29</f>
        <v>0</v>
      </c>
      <c r="JQD5">
        <f>Database!JQW29</f>
        <v>0</v>
      </c>
      <c r="JQE5">
        <f>Database!JQX29</f>
        <v>0</v>
      </c>
      <c r="JQF5">
        <f>Database!JQY29</f>
        <v>0</v>
      </c>
      <c r="JQG5">
        <f>Database!JQZ29</f>
        <v>0</v>
      </c>
      <c r="JQH5">
        <f>Database!JRA29</f>
        <v>0</v>
      </c>
      <c r="JQI5">
        <f>Database!JRB29</f>
        <v>0</v>
      </c>
      <c r="JQJ5">
        <f>Database!JRC29</f>
        <v>0</v>
      </c>
      <c r="JQK5">
        <f>Database!JRD29</f>
        <v>0</v>
      </c>
      <c r="JQL5">
        <f>Database!JRE29</f>
        <v>0</v>
      </c>
      <c r="JQM5">
        <f>Database!JRF29</f>
        <v>0</v>
      </c>
      <c r="JQN5">
        <f>Database!JRG29</f>
        <v>0</v>
      </c>
      <c r="JQO5">
        <f>Database!JRH29</f>
        <v>0</v>
      </c>
      <c r="JQP5">
        <f>Database!JRI29</f>
        <v>0</v>
      </c>
      <c r="JQQ5">
        <f>Database!JRJ29</f>
        <v>0</v>
      </c>
      <c r="JQR5">
        <f>Database!JRK29</f>
        <v>0</v>
      </c>
      <c r="JQS5">
        <f>Database!JRL29</f>
        <v>0</v>
      </c>
      <c r="JQT5">
        <f>Database!JRM29</f>
        <v>0</v>
      </c>
      <c r="JQU5">
        <f>Database!JRN29</f>
        <v>0</v>
      </c>
      <c r="JQV5">
        <f>Database!JRO29</f>
        <v>0</v>
      </c>
      <c r="JQW5">
        <f>Database!JRP29</f>
        <v>0</v>
      </c>
      <c r="JQX5">
        <f>Database!JRQ29</f>
        <v>0</v>
      </c>
      <c r="JQY5">
        <f>Database!JRR29</f>
        <v>0</v>
      </c>
      <c r="JQZ5">
        <f>Database!JRS29</f>
        <v>0</v>
      </c>
      <c r="JRA5">
        <f>Database!JRT29</f>
        <v>0</v>
      </c>
      <c r="JRB5">
        <f>Database!JRU29</f>
        <v>0</v>
      </c>
      <c r="JRC5">
        <f>Database!JRV29</f>
        <v>0</v>
      </c>
      <c r="JRD5">
        <f>Database!JRW29</f>
        <v>0</v>
      </c>
      <c r="JRE5">
        <f>Database!JRX29</f>
        <v>0</v>
      </c>
      <c r="JRF5">
        <f>Database!JRY29</f>
        <v>0</v>
      </c>
      <c r="JRG5">
        <f>Database!JRZ29</f>
        <v>0</v>
      </c>
      <c r="JRH5">
        <f>Database!JSA29</f>
        <v>0</v>
      </c>
      <c r="JRI5">
        <f>Database!JSB29</f>
        <v>0</v>
      </c>
      <c r="JRJ5">
        <f>Database!JSC29</f>
        <v>0</v>
      </c>
      <c r="JRK5">
        <f>Database!JSD29</f>
        <v>0</v>
      </c>
      <c r="JRL5">
        <f>Database!JSE29</f>
        <v>0</v>
      </c>
      <c r="JRM5">
        <f>Database!JSF29</f>
        <v>0</v>
      </c>
      <c r="JRN5">
        <f>Database!JSG29</f>
        <v>0</v>
      </c>
      <c r="JRO5">
        <f>Database!JSH29</f>
        <v>0</v>
      </c>
      <c r="JRP5">
        <f>Database!JSI29</f>
        <v>0</v>
      </c>
      <c r="JRQ5">
        <f>Database!JSJ29</f>
        <v>0</v>
      </c>
      <c r="JRR5">
        <f>Database!JSK29</f>
        <v>0</v>
      </c>
      <c r="JRS5">
        <f>Database!JSL29</f>
        <v>0</v>
      </c>
      <c r="JRT5">
        <f>Database!JSM29</f>
        <v>0</v>
      </c>
      <c r="JRU5">
        <f>Database!JSN29</f>
        <v>0</v>
      </c>
      <c r="JRV5">
        <f>Database!JSO29</f>
        <v>0</v>
      </c>
      <c r="JRW5">
        <f>Database!JSP29</f>
        <v>0</v>
      </c>
      <c r="JRX5">
        <f>Database!JSQ29</f>
        <v>0</v>
      </c>
      <c r="JRY5">
        <f>Database!JSR29</f>
        <v>0</v>
      </c>
      <c r="JRZ5">
        <f>Database!JSS29</f>
        <v>0</v>
      </c>
      <c r="JSA5">
        <f>Database!JST29</f>
        <v>0</v>
      </c>
      <c r="JSB5">
        <f>Database!JSU29</f>
        <v>0</v>
      </c>
      <c r="JSC5">
        <f>Database!JSV29</f>
        <v>0</v>
      </c>
      <c r="JSD5">
        <f>Database!JSW29</f>
        <v>0</v>
      </c>
      <c r="JSE5">
        <f>Database!JSX29</f>
        <v>0</v>
      </c>
      <c r="JSF5">
        <f>Database!JSY29</f>
        <v>0</v>
      </c>
      <c r="JSG5">
        <f>Database!JSZ29</f>
        <v>0</v>
      </c>
      <c r="JSH5">
        <f>Database!JTA29</f>
        <v>0</v>
      </c>
      <c r="JSI5">
        <f>Database!JTB29</f>
        <v>0</v>
      </c>
      <c r="JSJ5">
        <f>Database!JTC29</f>
        <v>0</v>
      </c>
      <c r="JSK5">
        <f>Database!JTD29</f>
        <v>0</v>
      </c>
      <c r="JSL5">
        <f>Database!JTE29</f>
        <v>0</v>
      </c>
      <c r="JSM5">
        <f>Database!JTF29</f>
        <v>0</v>
      </c>
      <c r="JSN5">
        <f>Database!JTG29</f>
        <v>0</v>
      </c>
      <c r="JSO5">
        <f>Database!JTH29</f>
        <v>0</v>
      </c>
      <c r="JSP5">
        <f>Database!JTI29</f>
        <v>0</v>
      </c>
      <c r="JSQ5">
        <f>Database!JTJ29</f>
        <v>0</v>
      </c>
      <c r="JSR5">
        <f>Database!JTK29</f>
        <v>0</v>
      </c>
      <c r="JSS5">
        <f>Database!JTL29</f>
        <v>0</v>
      </c>
      <c r="JST5">
        <f>Database!JTM29</f>
        <v>0</v>
      </c>
      <c r="JSU5">
        <f>Database!JTN29</f>
        <v>0</v>
      </c>
      <c r="JSV5">
        <f>Database!JTO29</f>
        <v>0</v>
      </c>
      <c r="JSW5">
        <f>Database!JTP29</f>
        <v>0</v>
      </c>
      <c r="JSX5">
        <f>Database!JTQ29</f>
        <v>0</v>
      </c>
      <c r="JSY5">
        <f>Database!JTR29</f>
        <v>0</v>
      </c>
      <c r="JSZ5">
        <f>Database!JTS29</f>
        <v>0</v>
      </c>
      <c r="JTA5">
        <f>Database!JTT29</f>
        <v>0</v>
      </c>
      <c r="JTB5">
        <f>Database!JTU29</f>
        <v>0</v>
      </c>
      <c r="JTC5">
        <f>Database!JTV29</f>
        <v>0</v>
      </c>
      <c r="JTD5">
        <f>Database!JTW29</f>
        <v>0</v>
      </c>
      <c r="JTE5">
        <f>Database!JTX29</f>
        <v>0</v>
      </c>
      <c r="JTF5">
        <f>Database!JTY29</f>
        <v>0</v>
      </c>
      <c r="JTG5">
        <f>Database!JTZ29</f>
        <v>0</v>
      </c>
      <c r="JTH5">
        <f>Database!JUA29</f>
        <v>0</v>
      </c>
      <c r="JTI5">
        <f>Database!JUB29</f>
        <v>0</v>
      </c>
      <c r="JTJ5">
        <f>Database!JUC29</f>
        <v>0</v>
      </c>
      <c r="JTK5">
        <f>Database!JUD29</f>
        <v>0</v>
      </c>
      <c r="JTL5">
        <f>Database!JUE29</f>
        <v>0</v>
      </c>
      <c r="JTM5">
        <f>Database!JUF29</f>
        <v>0</v>
      </c>
      <c r="JTN5">
        <f>Database!JUG29</f>
        <v>0</v>
      </c>
      <c r="JTO5">
        <f>Database!JUH29</f>
        <v>0</v>
      </c>
      <c r="JTP5">
        <f>Database!JUI29</f>
        <v>0</v>
      </c>
      <c r="JTQ5">
        <f>Database!JUJ29</f>
        <v>0</v>
      </c>
      <c r="JTR5">
        <f>Database!JUK29</f>
        <v>0</v>
      </c>
      <c r="JTS5">
        <f>Database!JUL29</f>
        <v>0</v>
      </c>
      <c r="JTT5">
        <f>Database!JUM29</f>
        <v>0</v>
      </c>
      <c r="JTU5">
        <f>Database!JUN29</f>
        <v>0</v>
      </c>
      <c r="JTV5">
        <f>Database!JUO29</f>
        <v>0</v>
      </c>
      <c r="JTW5">
        <f>Database!JUP29</f>
        <v>0</v>
      </c>
      <c r="JTX5">
        <f>Database!JUQ29</f>
        <v>0</v>
      </c>
      <c r="JTY5">
        <f>Database!JUR29</f>
        <v>0</v>
      </c>
      <c r="JTZ5">
        <f>Database!JUS29</f>
        <v>0</v>
      </c>
      <c r="JUA5">
        <f>Database!JUT29</f>
        <v>0</v>
      </c>
      <c r="JUB5">
        <f>Database!JUU29</f>
        <v>0</v>
      </c>
      <c r="JUC5">
        <f>Database!JUV29</f>
        <v>0</v>
      </c>
      <c r="JUD5">
        <f>Database!JUW29</f>
        <v>0</v>
      </c>
      <c r="JUE5">
        <f>Database!JUX29</f>
        <v>0</v>
      </c>
      <c r="JUF5">
        <f>Database!JUY29</f>
        <v>0</v>
      </c>
      <c r="JUG5">
        <f>Database!JUZ29</f>
        <v>0</v>
      </c>
      <c r="JUH5">
        <f>Database!JVA29</f>
        <v>0</v>
      </c>
      <c r="JUI5">
        <f>Database!JVB29</f>
        <v>0</v>
      </c>
      <c r="JUJ5">
        <f>Database!JVC29</f>
        <v>0</v>
      </c>
      <c r="JUK5">
        <f>Database!JVD29</f>
        <v>0</v>
      </c>
      <c r="JUL5">
        <f>Database!JVE29</f>
        <v>0</v>
      </c>
      <c r="JUM5">
        <f>Database!JVF29</f>
        <v>0</v>
      </c>
      <c r="JUN5">
        <f>Database!JVG29</f>
        <v>0</v>
      </c>
      <c r="JUO5">
        <f>Database!JVH29</f>
        <v>0</v>
      </c>
      <c r="JUP5">
        <f>Database!JVI29</f>
        <v>0</v>
      </c>
      <c r="JUQ5">
        <f>Database!JVJ29</f>
        <v>0</v>
      </c>
      <c r="JUR5">
        <f>Database!JVK29</f>
        <v>0</v>
      </c>
      <c r="JUS5">
        <f>Database!JVL29</f>
        <v>0</v>
      </c>
      <c r="JUT5">
        <f>Database!JVM29</f>
        <v>0</v>
      </c>
      <c r="JUU5">
        <f>Database!JVN29</f>
        <v>0</v>
      </c>
      <c r="JUV5">
        <f>Database!JVO29</f>
        <v>0</v>
      </c>
      <c r="JUW5">
        <f>Database!JVP29</f>
        <v>0</v>
      </c>
      <c r="JUX5">
        <f>Database!JVQ29</f>
        <v>0</v>
      </c>
      <c r="JUY5">
        <f>Database!JVR29</f>
        <v>0</v>
      </c>
      <c r="JUZ5">
        <f>Database!JVS29</f>
        <v>0</v>
      </c>
      <c r="JVA5">
        <f>Database!JVT29</f>
        <v>0</v>
      </c>
      <c r="JVB5">
        <f>Database!JVU29</f>
        <v>0</v>
      </c>
      <c r="JVC5">
        <f>Database!JVV29</f>
        <v>0</v>
      </c>
      <c r="JVD5">
        <f>Database!JVW29</f>
        <v>0</v>
      </c>
      <c r="JVE5">
        <f>Database!JVX29</f>
        <v>0</v>
      </c>
      <c r="JVF5">
        <f>Database!JVY29</f>
        <v>0</v>
      </c>
      <c r="JVG5">
        <f>Database!JVZ29</f>
        <v>0</v>
      </c>
      <c r="JVH5">
        <f>Database!JWA29</f>
        <v>0</v>
      </c>
      <c r="JVI5">
        <f>Database!JWB29</f>
        <v>0</v>
      </c>
      <c r="JVJ5">
        <f>Database!JWC29</f>
        <v>0</v>
      </c>
      <c r="JVK5">
        <f>Database!JWD29</f>
        <v>0</v>
      </c>
      <c r="JVL5">
        <f>Database!JWE29</f>
        <v>0</v>
      </c>
      <c r="JVM5">
        <f>Database!JWF29</f>
        <v>0</v>
      </c>
      <c r="JVN5">
        <f>Database!JWG29</f>
        <v>0</v>
      </c>
      <c r="JVO5">
        <f>Database!JWH29</f>
        <v>0</v>
      </c>
      <c r="JVP5">
        <f>Database!JWI29</f>
        <v>0</v>
      </c>
      <c r="JVQ5">
        <f>Database!JWJ29</f>
        <v>0</v>
      </c>
      <c r="JVR5">
        <f>Database!JWK29</f>
        <v>0</v>
      </c>
      <c r="JVS5">
        <f>Database!JWL29</f>
        <v>0</v>
      </c>
      <c r="JVT5">
        <f>Database!JWM29</f>
        <v>0</v>
      </c>
      <c r="JVU5">
        <f>Database!JWN29</f>
        <v>0</v>
      </c>
      <c r="JVV5">
        <f>Database!JWO29</f>
        <v>0</v>
      </c>
      <c r="JVW5">
        <f>Database!JWP29</f>
        <v>0</v>
      </c>
      <c r="JVX5">
        <f>Database!JWQ29</f>
        <v>0</v>
      </c>
      <c r="JVY5">
        <f>Database!JWR29</f>
        <v>0</v>
      </c>
      <c r="JVZ5">
        <f>Database!JWS29</f>
        <v>0</v>
      </c>
      <c r="JWA5">
        <f>Database!JWT29</f>
        <v>0</v>
      </c>
      <c r="JWB5">
        <f>Database!JWU29</f>
        <v>0</v>
      </c>
      <c r="JWC5">
        <f>Database!JWV29</f>
        <v>0</v>
      </c>
      <c r="JWD5">
        <f>Database!JWW29</f>
        <v>0</v>
      </c>
      <c r="JWE5">
        <f>Database!JWX29</f>
        <v>0</v>
      </c>
      <c r="JWF5">
        <f>Database!JWY29</f>
        <v>0</v>
      </c>
      <c r="JWG5">
        <f>Database!JWZ29</f>
        <v>0</v>
      </c>
      <c r="JWH5">
        <f>Database!JXA29</f>
        <v>0</v>
      </c>
      <c r="JWI5">
        <f>Database!JXB29</f>
        <v>0</v>
      </c>
      <c r="JWJ5">
        <f>Database!JXC29</f>
        <v>0</v>
      </c>
      <c r="JWK5">
        <f>Database!JXD29</f>
        <v>0</v>
      </c>
      <c r="JWL5">
        <f>Database!JXE29</f>
        <v>0</v>
      </c>
      <c r="JWM5">
        <f>Database!JXF29</f>
        <v>0</v>
      </c>
      <c r="JWN5">
        <f>Database!JXG29</f>
        <v>0</v>
      </c>
      <c r="JWO5">
        <f>Database!JXH29</f>
        <v>0</v>
      </c>
      <c r="JWP5">
        <f>Database!JXI29</f>
        <v>0</v>
      </c>
      <c r="JWQ5">
        <f>Database!JXJ29</f>
        <v>0</v>
      </c>
      <c r="JWR5">
        <f>Database!JXK29</f>
        <v>0</v>
      </c>
      <c r="JWS5">
        <f>Database!JXL29</f>
        <v>0</v>
      </c>
      <c r="JWT5">
        <f>Database!JXM29</f>
        <v>0</v>
      </c>
      <c r="JWU5">
        <f>Database!JXN29</f>
        <v>0</v>
      </c>
      <c r="JWV5">
        <f>Database!JXO29</f>
        <v>0</v>
      </c>
      <c r="JWW5">
        <f>Database!JXP29</f>
        <v>0</v>
      </c>
      <c r="JWX5">
        <f>Database!JXQ29</f>
        <v>0</v>
      </c>
      <c r="JWY5">
        <f>Database!JXR29</f>
        <v>0</v>
      </c>
      <c r="JWZ5">
        <f>Database!JXS29</f>
        <v>0</v>
      </c>
      <c r="JXA5">
        <f>Database!JXT29</f>
        <v>0</v>
      </c>
      <c r="JXB5">
        <f>Database!JXU29</f>
        <v>0</v>
      </c>
      <c r="JXC5">
        <f>Database!JXV29</f>
        <v>0</v>
      </c>
      <c r="JXD5">
        <f>Database!JXW29</f>
        <v>0</v>
      </c>
      <c r="JXE5">
        <f>Database!JXX29</f>
        <v>0</v>
      </c>
      <c r="JXF5">
        <f>Database!JXY29</f>
        <v>0</v>
      </c>
      <c r="JXG5">
        <f>Database!JXZ29</f>
        <v>0</v>
      </c>
      <c r="JXH5">
        <f>Database!JYA29</f>
        <v>0</v>
      </c>
      <c r="JXI5">
        <f>Database!JYB29</f>
        <v>0</v>
      </c>
      <c r="JXJ5">
        <f>Database!JYC29</f>
        <v>0</v>
      </c>
      <c r="JXK5">
        <f>Database!JYD29</f>
        <v>0</v>
      </c>
      <c r="JXL5">
        <f>Database!JYE29</f>
        <v>0</v>
      </c>
      <c r="JXM5">
        <f>Database!JYF29</f>
        <v>0</v>
      </c>
      <c r="JXN5">
        <f>Database!JYG29</f>
        <v>0</v>
      </c>
      <c r="JXO5">
        <f>Database!JYH29</f>
        <v>0</v>
      </c>
      <c r="JXP5">
        <f>Database!JYI29</f>
        <v>0</v>
      </c>
      <c r="JXQ5">
        <f>Database!JYJ29</f>
        <v>0</v>
      </c>
      <c r="JXR5">
        <f>Database!JYK29</f>
        <v>0</v>
      </c>
      <c r="JXS5">
        <f>Database!JYL29</f>
        <v>0</v>
      </c>
      <c r="JXT5">
        <f>Database!JYM29</f>
        <v>0</v>
      </c>
      <c r="JXU5">
        <f>Database!JYN29</f>
        <v>0</v>
      </c>
      <c r="JXV5">
        <f>Database!JYO29</f>
        <v>0</v>
      </c>
      <c r="JXW5">
        <f>Database!JYP29</f>
        <v>0</v>
      </c>
      <c r="JXX5">
        <f>Database!JYQ29</f>
        <v>0</v>
      </c>
      <c r="JXY5">
        <f>Database!JYR29</f>
        <v>0</v>
      </c>
      <c r="JXZ5">
        <f>Database!JYS29</f>
        <v>0</v>
      </c>
      <c r="JYA5">
        <f>Database!JYT29</f>
        <v>0</v>
      </c>
      <c r="JYB5">
        <f>Database!JYU29</f>
        <v>0</v>
      </c>
      <c r="JYC5">
        <f>Database!JYV29</f>
        <v>0</v>
      </c>
      <c r="JYD5">
        <f>Database!JYW29</f>
        <v>0</v>
      </c>
      <c r="JYE5">
        <f>Database!JYX29</f>
        <v>0</v>
      </c>
      <c r="JYF5">
        <f>Database!JYY29</f>
        <v>0</v>
      </c>
      <c r="JYG5">
        <f>Database!JYZ29</f>
        <v>0</v>
      </c>
      <c r="JYH5">
        <f>Database!JZA29</f>
        <v>0</v>
      </c>
      <c r="JYI5">
        <f>Database!JZB29</f>
        <v>0</v>
      </c>
      <c r="JYJ5">
        <f>Database!JZC29</f>
        <v>0</v>
      </c>
      <c r="JYK5">
        <f>Database!JZD29</f>
        <v>0</v>
      </c>
      <c r="JYL5">
        <f>Database!JZE29</f>
        <v>0</v>
      </c>
      <c r="JYM5">
        <f>Database!JZF29</f>
        <v>0</v>
      </c>
      <c r="JYN5">
        <f>Database!JZG29</f>
        <v>0</v>
      </c>
      <c r="JYO5">
        <f>Database!JZH29</f>
        <v>0</v>
      </c>
      <c r="JYP5">
        <f>Database!JZI29</f>
        <v>0</v>
      </c>
      <c r="JYQ5">
        <f>Database!JZJ29</f>
        <v>0</v>
      </c>
      <c r="JYR5">
        <f>Database!JZK29</f>
        <v>0</v>
      </c>
      <c r="JYS5">
        <f>Database!JZL29</f>
        <v>0</v>
      </c>
      <c r="JYT5">
        <f>Database!JZM29</f>
        <v>0</v>
      </c>
      <c r="JYU5">
        <f>Database!JZN29</f>
        <v>0</v>
      </c>
      <c r="JYV5">
        <f>Database!JZO29</f>
        <v>0</v>
      </c>
      <c r="JYW5">
        <f>Database!JZP29</f>
        <v>0</v>
      </c>
      <c r="JYX5">
        <f>Database!JZQ29</f>
        <v>0</v>
      </c>
      <c r="JYY5">
        <f>Database!JZR29</f>
        <v>0</v>
      </c>
      <c r="JYZ5">
        <f>Database!JZS29</f>
        <v>0</v>
      </c>
      <c r="JZA5">
        <f>Database!JZT29</f>
        <v>0</v>
      </c>
      <c r="JZB5">
        <f>Database!JZU29</f>
        <v>0</v>
      </c>
      <c r="JZC5">
        <f>Database!JZV29</f>
        <v>0</v>
      </c>
      <c r="JZD5">
        <f>Database!JZW29</f>
        <v>0</v>
      </c>
      <c r="JZE5">
        <f>Database!JZX29</f>
        <v>0</v>
      </c>
      <c r="JZF5">
        <f>Database!JZY29</f>
        <v>0</v>
      </c>
      <c r="JZG5">
        <f>Database!JZZ29</f>
        <v>0</v>
      </c>
      <c r="JZH5">
        <f>Database!KAA29</f>
        <v>0</v>
      </c>
      <c r="JZI5">
        <f>Database!KAB29</f>
        <v>0</v>
      </c>
      <c r="JZJ5">
        <f>Database!KAC29</f>
        <v>0</v>
      </c>
      <c r="JZK5">
        <f>Database!KAD29</f>
        <v>0</v>
      </c>
      <c r="JZL5">
        <f>Database!KAE29</f>
        <v>0</v>
      </c>
      <c r="JZM5">
        <f>Database!KAF29</f>
        <v>0</v>
      </c>
      <c r="JZN5">
        <f>Database!KAG29</f>
        <v>0</v>
      </c>
      <c r="JZO5">
        <f>Database!KAH29</f>
        <v>0</v>
      </c>
      <c r="JZP5">
        <f>Database!KAI29</f>
        <v>0</v>
      </c>
      <c r="JZQ5">
        <f>Database!KAJ29</f>
        <v>0</v>
      </c>
      <c r="JZR5">
        <f>Database!KAK29</f>
        <v>0</v>
      </c>
      <c r="JZS5">
        <f>Database!KAL29</f>
        <v>0</v>
      </c>
      <c r="JZT5">
        <f>Database!KAM29</f>
        <v>0</v>
      </c>
      <c r="JZU5">
        <f>Database!KAN29</f>
        <v>0</v>
      </c>
      <c r="JZV5">
        <f>Database!KAO29</f>
        <v>0</v>
      </c>
      <c r="JZW5">
        <f>Database!KAP29</f>
        <v>0</v>
      </c>
      <c r="JZX5">
        <f>Database!KAQ29</f>
        <v>0</v>
      </c>
      <c r="JZY5">
        <f>Database!KAR29</f>
        <v>0</v>
      </c>
      <c r="JZZ5">
        <f>Database!KAS29</f>
        <v>0</v>
      </c>
      <c r="KAA5">
        <f>Database!KAT29</f>
        <v>0</v>
      </c>
      <c r="KAB5">
        <f>Database!KAU29</f>
        <v>0</v>
      </c>
      <c r="KAC5">
        <f>Database!KAV29</f>
        <v>0</v>
      </c>
      <c r="KAD5">
        <f>Database!KAW29</f>
        <v>0</v>
      </c>
      <c r="KAE5">
        <f>Database!KAX29</f>
        <v>0</v>
      </c>
      <c r="KAF5">
        <f>Database!KAY29</f>
        <v>0</v>
      </c>
      <c r="KAG5">
        <f>Database!KAZ29</f>
        <v>0</v>
      </c>
      <c r="KAH5">
        <f>Database!KBA29</f>
        <v>0</v>
      </c>
      <c r="KAI5">
        <f>Database!KBB29</f>
        <v>0</v>
      </c>
      <c r="KAJ5">
        <f>Database!KBC29</f>
        <v>0</v>
      </c>
      <c r="KAK5">
        <f>Database!KBD29</f>
        <v>0</v>
      </c>
      <c r="KAL5">
        <f>Database!KBE29</f>
        <v>0</v>
      </c>
      <c r="KAM5">
        <f>Database!KBF29</f>
        <v>0</v>
      </c>
      <c r="KAN5">
        <f>Database!KBG29</f>
        <v>0</v>
      </c>
      <c r="KAO5">
        <f>Database!KBH29</f>
        <v>0</v>
      </c>
      <c r="KAP5">
        <f>Database!KBI29</f>
        <v>0</v>
      </c>
      <c r="KAQ5">
        <f>Database!KBJ29</f>
        <v>0</v>
      </c>
      <c r="KAR5">
        <f>Database!KBK29</f>
        <v>0</v>
      </c>
      <c r="KAS5">
        <f>Database!KBL29</f>
        <v>0</v>
      </c>
      <c r="KAT5">
        <f>Database!KBM29</f>
        <v>0</v>
      </c>
      <c r="KAU5">
        <f>Database!KBN29</f>
        <v>0</v>
      </c>
      <c r="KAV5">
        <f>Database!KBO29</f>
        <v>0</v>
      </c>
      <c r="KAW5">
        <f>Database!KBP29</f>
        <v>0</v>
      </c>
      <c r="KAX5">
        <f>Database!KBQ29</f>
        <v>0</v>
      </c>
      <c r="KAY5">
        <f>Database!KBR29</f>
        <v>0</v>
      </c>
      <c r="KAZ5">
        <f>Database!KBS29</f>
        <v>0</v>
      </c>
      <c r="KBA5">
        <f>Database!KBT29</f>
        <v>0</v>
      </c>
      <c r="KBB5">
        <f>Database!KBU29</f>
        <v>0</v>
      </c>
      <c r="KBC5">
        <f>Database!KBV29</f>
        <v>0</v>
      </c>
      <c r="KBD5">
        <f>Database!KBW29</f>
        <v>0</v>
      </c>
      <c r="KBE5">
        <f>Database!KBX29</f>
        <v>0</v>
      </c>
      <c r="KBF5">
        <f>Database!KBY29</f>
        <v>0</v>
      </c>
      <c r="KBG5">
        <f>Database!KBZ29</f>
        <v>0</v>
      </c>
      <c r="KBH5">
        <f>Database!KCA29</f>
        <v>0</v>
      </c>
      <c r="KBI5">
        <f>Database!KCB29</f>
        <v>0</v>
      </c>
      <c r="KBJ5">
        <f>Database!KCC29</f>
        <v>0</v>
      </c>
      <c r="KBK5">
        <f>Database!KCD29</f>
        <v>0</v>
      </c>
      <c r="KBL5">
        <f>Database!KCE29</f>
        <v>0</v>
      </c>
      <c r="KBM5">
        <f>Database!KCF29</f>
        <v>0</v>
      </c>
      <c r="KBN5">
        <f>Database!KCG29</f>
        <v>0</v>
      </c>
      <c r="KBO5">
        <f>Database!KCH29</f>
        <v>0</v>
      </c>
      <c r="KBP5">
        <f>Database!KCI29</f>
        <v>0</v>
      </c>
      <c r="KBQ5">
        <f>Database!KCJ29</f>
        <v>0</v>
      </c>
      <c r="KBR5">
        <f>Database!KCK29</f>
        <v>0</v>
      </c>
      <c r="KBS5">
        <f>Database!KCL29</f>
        <v>0</v>
      </c>
      <c r="KBT5">
        <f>Database!KCM29</f>
        <v>0</v>
      </c>
      <c r="KBU5">
        <f>Database!KCN29</f>
        <v>0</v>
      </c>
      <c r="KBV5">
        <f>Database!KCO29</f>
        <v>0</v>
      </c>
      <c r="KBW5">
        <f>Database!KCP29</f>
        <v>0</v>
      </c>
      <c r="KBX5">
        <f>Database!KCQ29</f>
        <v>0</v>
      </c>
      <c r="KBY5">
        <f>Database!KCR29</f>
        <v>0</v>
      </c>
      <c r="KBZ5">
        <f>Database!KCS29</f>
        <v>0</v>
      </c>
      <c r="KCA5">
        <f>Database!KCT29</f>
        <v>0</v>
      </c>
      <c r="KCB5">
        <f>Database!KCU29</f>
        <v>0</v>
      </c>
      <c r="KCC5">
        <f>Database!KCV29</f>
        <v>0</v>
      </c>
      <c r="KCD5">
        <f>Database!KCW29</f>
        <v>0</v>
      </c>
      <c r="KCE5">
        <f>Database!KCX29</f>
        <v>0</v>
      </c>
      <c r="KCF5">
        <f>Database!KCY29</f>
        <v>0</v>
      </c>
      <c r="KCG5">
        <f>Database!KCZ29</f>
        <v>0</v>
      </c>
      <c r="KCH5">
        <f>Database!KDA29</f>
        <v>0</v>
      </c>
      <c r="KCI5">
        <f>Database!KDB29</f>
        <v>0</v>
      </c>
      <c r="KCJ5">
        <f>Database!KDC29</f>
        <v>0</v>
      </c>
      <c r="KCK5">
        <f>Database!KDD29</f>
        <v>0</v>
      </c>
      <c r="KCL5">
        <f>Database!KDE29</f>
        <v>0</v>
      </c>
      <c r="KCM5">
        <f>Database!KDF29</f>
        <v>0</v>
      </c>
      <c r="KCN5">
        <f>Database!KDG29</f>
        <v>0</v>
      </c>
      <c r="KCO5">
        <f>Database!KDH29</f>
        <v>0</v>
      </c>
      <c r="KCP5">
        <f>Database!KDI29</f>
        <v>0</v>
      </c>
      <c r="KCQ5">
        <f>Database!KDJ29</f>
        <v>0</v>
      </c>
      <c r="KCR5">
        <f>Database!KDK29</f>
        <v>0</v>
      </c>
      <c r="KCS5">
        <f>Database!KDL29</f>
        <v>0</v>
      </c>
      <c r="KCT5">
        <f>Database!KDM29</f>
        <v>0</v>
      </c>
      <c r="KCU5">
        <f>Database!KDN29</f>
        <v>0</v>
      </c>
      <c r="KCV5">
        <f>Database!KDO29</f>
        <v>0</v>
      </c>
      <c r="KCW5">
        <f>Database!KDP29</f>
        <v>0</v>
      </c>
      <c r="KCX5">
        <f>Database!KDQ29</f>
        <v>0</v>
      </c>
      <c r="KCY5">
        <f>Database!KDR29</f>
        <v>0</v>
      </c>
      <c r="KCZ5">
        <f>Database!KDS29</f>
        <v>0</v>
      </c>
      <c r="KDA5">
        <f>Database!KDT29</f>
        <v>0</v>
      </c>
      <c r="KDB5">
        <f>Database!KDU29</f>
        <v>0</v>
      </c>
      <c r="KDC5">
        <f>Database!KDV29</f>
        <v>0</v>
      </c>
      <c r="KDD5">
        <f>Database!KDW29</f>
        <v>0</v>
      </c>
      <c r="KDE5">
        <f>Database!KDX29</f>
        <v>0</v>
      </c>
      <c r="KDF5">
        <f>Database!KDY29</f>
        <v>0</v>
      </c>
      <c r="KDG5">
        <f>Database!KDZ29</f>
        <v>0</v>
      </c>
      <c r="KDH5">
        <f>Database!KEA29</f>
        <v>0</v>
      </c>
      <c r="KDI5">
        <f>Database!KEB29</f>
        <v>0</v>
      </c>
      <c r="KDJ5">
        <f>Database!KEC29</f>
        <v>0</v>
      </c>
      <c r="KDK5">
        <f>Database!KED29</f>
        <v>0</v>
      </c>
      <c r="KDL5">
        <f>Database!KEE29</f>
        <v>0</v>
      </c>
      <c r="KDM5">
        <f>Database!KEF29</f>
        <v>0</v>
      </c>
      <c r="KDN5">
        <f>Database!KEG29</f>
        <v>0</v>
      </c>
      <c r="KDO5">
        <f>Database!KEH29</f>
        <v>0</v>
      </c>
      <c r="KDP5">
        <f>Database!KEI29</f>
        <v>0</v>
      </c>
      <c r="KDQ5">
        <f>Database!KEJ29</f>
        <v>0</v>
      </c>
      <c r="KDR5">
        <f>Database!KEK29</f>
        <v>0</v>
      </c>
      <c r="KDS5">
        <f>Database!KEL29</f>
        <v>0</v>
      </c>
      <c r="KDT5">
        <f>Database!KEM29</f>
        <v>0</v>
      </c>
      <c r="KDU5">
        <f>Database!KEN29</f>
        <v>0</v>
      </c>
      <c r="KDV5">
        <f>Database!KEO29</f>
        <v>0</v>
      </c>
      <c r="KDW5">
        <f>Database!KEP29</f>
        <v>0</v>
      </c>
      <c r="KDX5">
        <f>Database!KEQ29</f>
        <v>0</v>
      </c>
      <c r="KDY5">
        <f>Database!KER29</f>
        <v>0</v>
      </c>
      <c r="KDZ5">
        <f>Database!KES29</f>
        <v>0</v>
      </c>
      <c r="KEA5">
        <f>Database!KET29</f>
        <v>0</v>
      </c>
      <c r="KEB5">
        <f>Database!KEU29</f>
        <v>0</v>
      </c>
      <c r="KEC5">
        <f>Database!KEV29</f>
        <v>0</v>
      </c>
      <c r="KED5">
        <f>Database!KEW29</f>
        <v>0</v>
      </c>
      <c r="KEE5">
        <f>Database!KEX29</f>
        <v>0</v>
      </c>
      <c r="KEF5">
        <f>Database!KEY29</f>
        <v>0</v>
      </c>
      <c r="KEG5">
        <f>Database!KEZ29</f>
        <v>0</v>
      </c>
      <c r="KEH5">
        <f>Database!KFA29</f>
        <v>0</v>
      </c>
      <c r="KEI5">
        <f>Database!KFB29</f>
        <v>0</v>
      </c>
      <c r="KEJ5">
        <f>Database!KFC29</f>
        <v>0</v>
      </c>
      <c r="KEK5">
        <f>Database!KFD29</f>
        <v>0</v>
      </c>
      <c r="KEL5">
        <f>Database!KFE29</f>
        <v>0</v>
      </c>
      <c r="KEM5">
        <f>Database!KFF29</f>
        <v>0</v>
      </c>
      <c r="KEN5">
        <f>Database!KFG29</f>
        <v>0</v>
      </c>
      <c r="KEO5">
        <f>Database!KFH29</f>
        <v>0</v>
      </c>
      <c r="KEP5">
        <f>Database!KFI29</f>
        <v>0</v>
      </c>
      <c r="KEQ5">
        <f>Database!KFJ29</f>
        <v>0</v>
      </c>
      <c r="KER5">
        <f>Database!KFK29</f>
        <v>0</v>
      </c>
      <c r="KES5">
        <f>Database!KFL29</f>
        <v>0</v>
      </c>
      <c r="KET5">
        <f>Database!KFM29</f>
        <v>0</v>
      </c>
      <c r="KEU5">
        <f>Database!KFN29</f>
        <v>0</v>
      </c>
      <c r="KEV5">
        <f>Database!KFO29</f>
        <v>0</v>
      </c>
      <c r="KEW5">
        <f>Database!KFP29</f>
        <v>0</v>
      </c>
      <c r="KEX5">
        <f>Database!KFQ29</f>
        <v>0</v>
      </c>
      <c r="KEY5">
        <f>Database!KFR29</f>
        <v>0</v>
      </c>
      <c r="KEZ5">
        <f>Database!KFS29</f>
        <v>0</v>
      </c>
      <c r="KFA5">
        <f>Database!KFT29</f>
        <v>0</v>
      </c>
      <c r="KFB5">
        <f>Database!KFU29</f>
        <v>0</v>
      </c>
      <c r="KFC5">
        <f>Database!KFV29</f>
        <v>0</v>
      </c>
      <c r="KFD5">
        <f>Database!KFW29</f>
        <v>0</v>
      </c>
      <c r="KFE5">
        <f>Database!KFX29</f>
        <v>0</v>
      </c>
      <c r="KFF5">
        <f>Database!KFY29</f>
        <v>0</v>
      </c>
      <c r="KFG5">
        <f>Database!KFZ29</f>
        <v>0</v>
      </c>
      <c r="KFH5">
        <f>Database!KGA29</f>
        <v>0</v>
      </c>
      <c r="KFI5">
        <f>Database!KGB29</f>
        <v>0</v>
      </c>
      <c r="KFJ5">
        <f>Database!KGC29</f>
        <v>0</v>
      </c>
      <c r="KFK5">
        <f>Database!KGD29</f>
        <v>0</v>
      </c>
      <c r="KFL5">
        <f>Database!KGE29</f>
        <v>0</v>
      </c>
      <c r="KFM5">
        <f>Database!KGF29</f>
        <v>0</v>
      </c>
      <c r="KFN5">
        <f>Database!KGG29</f>
        <v>0</v>
      </c>
      <c r="KFO5">
        <f>Database!KGH29</f>
        <v>0</v>
      </c>
      <c r="KFP5">
        <f>Database!KGI29</f>
        <v>0</v>
      </c>
      <c r="KFQ5">
        <f>Database!KGJ29</f>
        <v>0</v>
      </c>
      <c r="KFR5">
        <f>Database!KGK29</f>
        <v>0</v>
      </c>
      <c r="KFS5">
        <f>Database!KGL29</f>
        <v>0</v>
      </c>
      <c r="KFT5">
        <f>Database!KGM29</f>
        <v>0</v>
      </c>
      <c r="KFU5">
        <f>Database!KGN29</f>
        <v>0</v>
      </c>
      <c r="KFV5">
        <f>Database!KGO29</f>
        <v>0</v>
      </c>
      <c r="KFW5">
        <f>Database!KGP29</f>
        <v>0</v>
      </c>
      <c r="KFX5">
        <f>Database!KGQ29</f>
        <v>0</v>
      </c>
      <c r="KFY5">
        <f>Database!KGR29</f>
        <v>0</v>
      </c>
      <c r="KFZ5">
        <f>Database!KGS29</f>
        <v>0</v>
      </c>
      <c r="KGA5">
        <f>Database!KGT29</f>
        <v>0</v>
      </c>
      <c r="KGB5">
        <f>Database!KGU29</f>
        <v>0</v>
      </c>
      <c r="KGC5">
        <f>Database!KGV29</f>
        <v>0</v>
      </c>
      <c r="KGD5">
        <f>Database!KGW29</f>
        <v>0</v>
      </c>
      <c r="KGE5">
        <f>Database!KGX29</f>
        <v>0</v>
      </c>
      <c r="KGF5">
        <f>Database!KGY29</f>
        <v>0</v>
      </c>
      <c r="KGG5">
        <f>Database!KGZ29</f>
        <v>0</v>
      </c>
      <c r="KGH5">
        <f>Database!KHA29</f>
        <v>0</v>
      </c>
      <c r="KGI5">
        <f>Database!KHB29</f>
        <v>0</v>
      </c>
      <c r="KGJ5">
        <f>Database!KHC29</f>
        <v>0</v>
      </c>
      <c r="KGK5">
        <f>Database!KHD29</f>
        <v>0</v>
      </c>
      <c r="KGL5">
        <f>Database!KHE29</f>
        <v>0</v>
      </c>
      <c r="KGM5">
        <f>Database!KHF29</f>
        <v>0</v>
      </c>
      <c r="KGN5">
        <f>Database!KHG29</f>
        <v>0</v>
      </c>
      <c r="KGO5">
        <f>Database!KHH29</f>
        <v>0</v>
      </c>
      <c r="KGP5">
        <f>Database!KHI29</f>
        <v>0</v>
      </c>
      <c r="KGQ5">
        <f>Database!KHJ29</f>
        <v>0</v>
      </c>
      <c r="KGR5">
        <f>Database!KHK29</f>
        <v>0</v>
      </c>
      <c r="KGS5">
        <f>Database!KHL29</f>
        <v>0</v>
      </c>
      <c r="KGT5">
        <f>Database!KHM29</f>
        <v>0</v>
      </c>
      <c r="KGU5">
        <f>Database!KHN29</f>
        <v>0</v>
      </c>
      <c r="KGV5">
        <f>Database!KHO29</f>
        <v>0</v>
      </c>
      <c r="KGW5">
        <f>Database!KHP29</f>
        <v>0</v>
      </c>
      <c r="KGX5">
        <f>Database!KHQ29</f>
        <v>0</v>
      </c>
      <c r="KGY5">
        <f>Database!KHR29</f>
        <v>0</v>
      </c>
      <c r="KGZ5">
        <f>Database!KHS29</f>
        <v>0</v>
      </c>
      <c r="KHA5">
        <f>Database!KHT29</f>
        <v>0</v>
      </c>
      <c r="KHB5">
        <f>Database!KHU29</f>
        <v>0</v>
      </c>
      <c r="KHC5">
        <f>Database!KHV29</f>
        <v>0</v>
      </c>
      <c r="KHD5">
        <f>Database!KHW29</f>
        <v>0</v>
      </c>
      <c r="KHE5">
        <f>Database!KHX29</f>
        <v>0</v>
      </c>
      <c r="KHF5">
        <f>Database!KHY29</f>
        <v>0</v>
      </c>
      <c r="KHG5">
        <f>Database!KHZ29</f>
        <v>0</v>
      </c>
      <c r="KHH5">
        <f>Database!KIA29</f>
        <v>0</v>
      </c>
      <c r="KHI5">
        <f>Database!KIB29</f>
        <v>0</v>
      </c>
      <c r="KHJ5">
        <f>Database!KIC29</f>
        <v>0</v>
      </c>
      <c r="KHK5">
        <f>Database!KID29</f>
        <v>0</v>
      </c>
      <c r="KHL5">
        <f>Database!KIE29</f>
        <v>0</v>
      </c>
      <c r="KHM5">
        <f>Database!KIF29</f>
        <v>0</v>
      </c>
      <c r="KHN5">
        <f>Database!KIG29</f>
        <v>0</v>
      </c>
      <c r="KHO5">
        <f>Database!KIH29</f>
        <v>0</v>
      </c>
      <c r="KHP5">
        <f>Database!KII29</f>
        <v>0</v>
      </c>
      <c r="KHQ5">
        <f>Database!KIJ29</f>
        <v>0</v>
      </c>
      <c r="KHR5">
        <f>Database!KIK29</f>
        <v>0</v>
      </c>
      <c r="KHS5">
        <f>Database!KIL29</f>
        <v>0</v>
      </c>
      <c r="KHT5">
        <f>Database!KIM29</f>
        <v>0</v>
      </c>
      <c r="KHU5">
        <f>Database!KIN29</f>
        <v>0</v>
      </c>
      <c r="KHV5">
        <f>Database!KIO29</f>
        <v>0</v>
      </c>
      <c r="KHW5">
        <f>Database!KIP29</f>
        <v>0</v>
      </c>
      <c r="KHX5">
        <f>Database!KIQ29</f>
        <v>0</v>
      </c>
      <c r="KHY5">
        <f>Database!KIR29</f>
        <v>0</v>
      </c>
      <c r="KHZ5">
        <f>Database!KIS29</f>
        <v>0</v>
      </c>
      <c r="KIA5">
        <f>Database!KIT29</f>
        <v>0</v>
      </c>
      <c r="KIB5">
        <f>Database!KIU29</f>
        <v>0</v>
      </c>
      <c r="KIC5">
        <f>Database!KIV29</f>
        <v>0</v>
      </c>
      <c r="KID5">
        <f>Database!KIW29</f>
        <v>0</v>
      </c>
      <c r="KIE5">
        <f>Database!KIX29</f>
        <v>0</v>
      </c>
      <c r="KIF5">
        <f>Database!KIY29</f>
        <v>0</v>
      </c>
      <c r="KIG5">
        <f>Database!KIZ29</f>
        <v>0</v>
      </c>
      <c r="KIH5">
        <f>Database!KJA29</f>
        <v>0</v>
      </c>
      <c r="KII5">
        <f>Database!KJB29</f>
        <v>0</v>
      </c>
      <c r="KIJ5">
        <f>Database!KJC29</f>
        <v>0</v>
      </c>
      <c r="KIK5">
        <f>Database!KJD29</f>
        <v>0</v>
      </c>
      <c r="KIL5">
        <f>Database!KJE29</f>
        <v>0</v>
      </c>
      <c r="KIM5">
        <f>Database!KJF29</f>
        <v>0</v>
      </c>
      <c r="KIN5">
        <f>Database!KJG29</f>
        <v>0</v>
      </c>
      <c r="KIO5">
        <f>Database!KJH29</f>
        <v>0</v>
      </c>
      <c r="KIP5">
        <f>Database!KJI29</f>
        <v>0</v>
      </c>
      <c r="KIQ5">
        <f>Database!KJJ29</f>
        <v>0</v>
      </c>
      <c r="KIR5">
        <f>Database!KJK29</f>
        <v>0</v>
      </c>
      <c r="KIS5">
        <f>Database!KJL29</f>
        <v>0</v>
      </c>
      <c r="KIT5">
        <f>Database!KJM29</f>
        <v>0</v>
      </c>
      <c r="KIU5">
        <f>Database!KJN29</f>
        <v>0</v>
      </c>
      <c r="KIV5">
        <f>Database!KJO29</f>
        <v>0</v>
      </c>
      <c r="KIW5">
        <f>Database!KJP29</f>
        <v>0</v>
      </c>
      <c r="KIX5">
        <f>Database!KJQ29</f>
        <v>0</v>
      </c>
      <c r="KIY5">
        <f>Database!KJR29</f>
        <v>0</v>
      </c>
      <c r="KIZ5">
        <f>Database!KJS29</f>
        <v>0</v>
      </c>
      <c r="KJA5">
        <f>Database!KJT29</f>
        <v>0</v>
      </c>
      <c r="KJB5">
        <f>Database!KJU29</f>
        <v>0</v>
      </c>
      <c r="KJC5">
        <f>Database!KJV29</f>
        <v>0</v>
      </c>
      <c r="KJD5">
        <f>Database!KJW29</f>
        <v>0</v>
      </c>
      <c r="KJE5">
        <f>Database!KJX29</f>
        <v>0</v>
      </c>
      <c r="KJF5">
        <f>Database!KJY29</f>
        <v>0</v>
      </c>
      <c r="KJG5">
        <f>Database!KJZ29</f>
        <v>0</v>
      </c>
      <c r="KJH5">
        <f>Database!KKA29</f>
        <v>0</v>
      </c>
      <c r="KJI5">
        <f>Database!KKB29</f>
        <v>0</v>
      </c>
      <c r="KJJ5">
        <f>Database!KKC29</f>
        <v>0</v>
      </c>
      <c r="KJK5">
        <f>Database!KKD29</f>
        <v>0</v>
      </c>
      <c r="KJL5">
        <f>Database!KKE29</f>
        <v>0</v>
      </c>
      <c r="KJM5">
        <f>Database!KKF29</f>
        <v>0</v>
      </c>
      <c r="KJN5">
        <f>Database!KKG29</f>
        <v>0</v>
      </c>
      <c r="KJO5">
        <f>Database!KKH29</f>
        <v>0</v>
      </c>
      <c r="KJP5">
        <f>Database!KKI29</f>
        <v>0</v>
      </c>
      <c r="KJQ5">
        <f>Database!KKJ29</f>
        <v>0</v>
      </c>
      <c r="KJR5">
        <f>Database!KKK29</f>
        <v>0</v>
      </c>
      <c r="KJS5">
        <f>Database!KKL29</f>
        <v>0</v>
      </c>
      <c r="KJT5">
        <f>Database!KKM29</f>
        <v>0</v>
      </c>
      <c r="KJU5">
        <f>Database!KKN29</f>
        <v>0</v>
      </c>
      <c r="KJV5">
        <f>Database!KKO29</f>
        <v>0</v>
      </c>
      <c r="KJW5">
        <f>Database!KKP29</f>
        <v>0</v>
      </c>
      <c r="KJX5">
        <f>Database!KKQ29</f>
        <v>0</v>
      </c>
      <c r="KJY5">
        <f>Database!KKR29</f>
        <v>0</v>
      </c>
      <c r="KJZ5">
        <f>Database!KKS29</f>
        <v>0</v>
      </c>
      <c r="KKA5">
        <f>Database!KKT29</f>
        <v>0</v>
      </c>
      <c r="KKB5">
        <f>Database!KKU29</f>
        <v>0</v>
      </c>
      <c r="KKC5">
        <f>Database!KKV29</f>
        <v>0</v>
      </c>
      <c r="KKD5">
        <f>Database!KKW29</f>
        <v>0</v>
      </c>
      <c r="KKE5">
        <f>Database!KKX29</f>
        <v>0</v>
      </c>
      <c r="KKF5">
        <f>Database!KKY29</f>
        <v>0</v>
      </c>
      <c r="KKG5">
        <f>Database!KKZ29</f>
        <v>0</v>
      </c>
      <c r="KKH5">
        <f>Database!KLA29</f>
        <v>0</v>
      </c>
      <c r="KKI5">
        <f>Database!KLB29</f>
        <v>0</v>
      </c>
      <c r="KKJ5">
        <f>Database!KLC29</f>
        <v>0</v>
      </c>
      <c r="KKK5">
        <f>Database!KLD29</f>
        <v>0</v>
      </c>
      <c r="KKL5">
        <f>Database!KLE29</f>
        <v>0</v>
      </c>
      <c r="KKM5">
        <f>Database!KLF29</f>
        <v>0</v>
      </c>
      <c r="KKN5">
        <f>Database!KLG29</f>
        <v>0</v>
      </c>
      <c r="KKO5">
        <f>Database!KLH29</f>
        <v>0</v>
      </c>
      <c r="KKP5">
        <f>Database!KLI29</f>
        <v>0</v>
      </c>
      <c r="KKQ5">
        <f>Database!KLJ29</f>
        <v>0</v>
      </c>
      <c r="KKR5">
        <f>Database!KLK29</f>
        <v>0</v>
      </c>
      <c r="KKS5">
        <f>Database!KLL29</f>
        <v>0</v>
      </c>
      <c r="KKT5">
        <f>Database!KLM29</f>
        <v>0</v>
      </c>
      <c r="KKU5">
        <f>Database!KLN29</f>
        <v>0</v>
      </c>
      <c r="KKV5">
        <f>Database!KLO29</f>
        <v>0</v>
      </c>
      <c r="KKW5">
        <f>Database!KLP29</f>
        <v>0</v>
      </c>
      <c r="KKX5">
        <f>Database!KLQ29</f>
        <v>0</v>
      </c>
      <c r="KKY5">
        <f>Database!KLR29</f>
        <v>0</v>
      </c>
      <c r="KKZ5">
        <f>Database!KLS29</f>
        <v>0</v>
      </c>
      <c r="KLA5">
        <f>Database!KLT29</f>
        <v>0</v>
      </c>
      <c r="KLB5">
        <f>Database!KLU29</f>
        <v>0</v>
      </c>
      <c r="KLC5">
        <f>Database!KLV29</f>
        <v>0</v>
      </c>
      <c r="KLD5">
        <f>Database!KLW29</f>
        <v>0</v>
      </c>
      <c r="KLE5">
        <f>Database!KLX29</f>
        <v>0</v>
      </c>
      <c r="KLF5">
        <f>Database!KLY29</f>
        <v>0</v>
      </c>
      <c r="KLG5">
        <f>Database!KLZ29</f>
        <v>0</v>
      </c>
      <c r="KLH5">
        <f>Database!KMA29</f>
        <v>0</v>
      </c>
      <c r="KLI5">
        <f>Database!KMB29</f>
        <v>0</v>
      </c>
      <c r="KLJ5">
        <f>Database!KMC29</f>
        <v>0</v>
      </c>
      <c r="KLK5">
        <f>Database!KMD29</f>
        <v>0</v>
      </c>
      <c r="KLL5">
        <f>Database!KME29</f>
        <v>0</v>
      </c>
      <c r="KLM5">
        <f>Database!KMF29</f>
        <v>0</v>
      </c>
      <c r="KLN5">
        <f>Database!KMG29</f>
        <v>0</v>
      </c>
      <c r="KLO5">
        <f>Database!KMH29</f>
        <v>0</v>
      </c>
      <c r="KLP5">
        <f>Database!KMI29</f>
        <v>0</v>
      </c>
      <c r="KLQ5">
        <f>Database!KMJ29</f>
        <v>0</v>
      </c>
      <c r="KLR5">
        <f>Database!KMK29</f>
        <v>0</v>
      </c>
      <c r="KLS5">
        <f>Database!KML29</f>
        <v>0</v>
      </c>
      <c r="KLT5">
        <f>Database!KMM29</f>
        <v>0</v>
      </c>
      <c r="KLU5">
        <f>Database!KMN29</f>
        <v>0</v>
      </c>
      <c r="KLV5">
        <f>Database!KMO29</f>
        <v>0</v>
      </c>
      <c r="KLW5">
        <f>Database!KMP29</f>
        <v>0</v>
      </c>
      <c r="KLX5">
        <f>Database!KMQ29</f>
        <v>0</v>
      </c>
      <c r="KLY5">
        <f>Database!KMR29</f>
        <v>0</v>
      </c>
      <c r="KLZ5">
        <f>Database!KMS29</f>
        <v>0</v>
      </c>
      <c r="KMA5">
        <f>Database!KMT29</f>
        <v>0</v>
      </c>
      <c r="KMB5">
        <f>Database!KMU29</f>
        <v>0</v>
      </c>
      <c r="KMC5">
        <f>Database!KMV29</f>
        <v>0</v>
      </c>
      <c r="KMD5">
        <f>Database!KMW29</f>
        <v>0</v>
      </c>
      <c r="KME5">
        <f>Database!KMX29</f>
        <v>0</v>
      </c>
      <c r="KMF5">
        <f>Database!KMY29</f>
        <v>0</v>
      </c>
      <c r="KMG5">
        <f>Database!KMZ29</f>
        <v>0</v>
      </c>
      <c r="KMH5">
        <f>Database!KNA29</f>
        <v>0</v>
      </c>
      <c r="KMI5">
        <f>Database!KNB29</f>
        <v>0</v>
      </c>
      <c r="KMJ5">
        <f>Database!KNC29</f>
        <v>0</v>
      </c>
      <c r="KMK5">
        <f>Database!KND29</f>
        <v>0</v>
      </c>
      <c r="KML5">
        <f>Database!KNE29</f>
        <v>0</v>
      </c>
      <c r="KMM5">
        <f>Database!KNF29</f>
        <v>0</v>
      </c>
      <c r="KMN5">
        <f>Database!KNG29</f>
        <v>0</v>
      </c>
      <c r="KMO5">
        <f>Database!KNH29</f>
        <v>0</v>
      </c>
      <c r="KMP5">
        <f>Database!KNI29</f>
        <v>0</v>
      </c>
      <c r="KMQ5">
        <f>Database!KNJ29</f>
        <v>0</v>
      </c>
      <c r="KMR5">
        <f>Database!KNK29</f>
        <v>0</v>
      </c>
      <c r="KMS5">
        <f>Database!KNL29</f>
        <v>0</v>
      </c>
      <c r="KMT5">
        <f>Database!KNM29</f>
        <v>0</v>
      </c>
      <c r="KMU5">
        <f>Database!KNN29</f>
        <v>0</v>
      </c>
      <c r="KMV5">
        <f>Database!KNO29</f>
        <v>0</v>
      </c>
      <c r="KMW5">
        <f>Database!KNP29</f>
        <v>0</v>
      </c>
      <c r="KMX5">
        <f>Database!KNQ29</f>
        <v>0</v>
      </c>
      <c r="KMY5">
        <f>Database!KNR29</f>
        <v>0</v>
      </c>
      <c r="KMZ5">
        <f>Database!KNS29</f>
        <v>0</v>
      </c>
      <c r="KNA5">
        <f>Database!KNT29</f>
        <v>0</v>
      </c>
      <c r="KNB5">
        <f>Database!KNU29</f>
        <v>0</v>
      </c>
      <c r="KNC5">
        <f>Database!KNV29</f>
        <v>0</v>
      </c>
      <c r="KND5">
        <f>Database!KNW29</f>
        <v>0</v>
      </c>
      <c r="KNE5">
        <f>Database!KNX29</f>
        <v>0</v>
      </c>
      <c r="KNF5">
        <f>Database!KNY29</f>
        <v>0</v>
      </c>
      <c r="KNG5">
        <f>Database!KNZ29</f>
        <v>0</v>
      </c>
      <c r="KNH5">
        <f>Database!KOA29</f>
        <v>0</v>
      </c>
      <c r="KNI5">
        <f>Database!KOB29</f>
        <v>0</v>
      </c>
      <c r="KNJ5">
        <f>Database!KOC29</f>
        <v>0</v>
      </c>
      <c r="KNK5">
        <f>Database!KOD29</f>
        <v>0</v>
      </c>
      <c r="KNL5">
        <f>Database!KOE29</f>
        <v>0</v>
      </c>
      <c r="KNM5">
        <f>Database!KOF29</f>
        <v>0</v>
      </c>
      <c r="KNN5">
        <f>Database!KOG29</f>
        <v>0</v>
      </c>
      <c r="KNO5">
        <f>Database!KOH29</f>
        <v>0</v>
      </c>
      <c r="KNP5">
        <f>Database!KOI29</f>
        <v>0</v>
      </c>
      <c r="KNQ5">
        <f>Database!KOJ29</f>
        <v>0</v>
      </c>
      <c r="KNR5">
        <f>Database!KOK29</f>
        <v>0</v>
      </c>
      <c r="KNS5">
        <f>Database!KOL29</f>
        <v>0</v>
      </c>
      <c r="KNT5">
        <f>Database!KOM29</f>
        <v>0</v>
      </c>
      <c r="KNU5">
        <f>Database!KON29</f>
        <v>0</v>
      </c>
      <c r="KNV5">
        <f>Database!KOO29</f>
        <v>0</v>
      </c>
      <c r="KNW5">
        <f>Database!KOP29</f>
        <v>0</v>
      </c>
      <c r="KNX5">
        <f>Database!KOQ29</f>
        <v>0</v>
      </c>
      <c r="KNY5">
        <f>Database!KOR29</f>
        <v>0</v>
      </c>
      <c r="KNZ5">
        <f>Database!KOS29</f>
        <v>0</v>
      </c>
      <c r="KOA5">
        <f>Database!KOT29</f>
        <v>0</v>
      </c>
      <c r="KOB5">
        <f>Database!KOU29</f>
        <v>0</v>
      </c>
      <c r="KOC5">
        <f>Database!KOV29</f>
        <v>0</v>
      </c>
      <c r="KOD5">
        <f>Database!KOW29</f>
        <v>0</v>
      </c>
      <c r="KOE5">
        <f>Database!KOX29</f>
        <v>0</v>
      </c>
      <c r="KOF5">
        <f>Database!KOY29</f>
        <v>0</v>
      </c>
      <c r="KOG5">
        <f>Database!KOZ29</f>
        <v>0</v>
      </c>
      <c r="KOH5">
        <f>Database!KPA29</f>
        <v>0</v>
      </c>
      <c r="KOI5">
        <f>Database!KPB29</f>
        <v>0</v>
      </c>
      <c r="KOJ5">
        <f>Database!KPC29</f>
        <v>0</v>
      </c>
      <c r="KOK5">
        <f>Database!KPD29</f>
        <v>0</v>
      </c>
      <c r="KOL5">
        <f>Database!KPE29</f>
        <v>0</v>
      </c>
      <c r="KOM5">
        <f>Database!KPF29</f>
        <v>0</v>
      </c>
      <c r="KON5">
        <f>Database!KPG29</f>
        <v>0</v>
      </c>
      <c r="KOO5">
        <f>Database!KPH29</f>
        <v>0</v>
      </c>
      <c r="KOP5">
        <f>Database!KPI29</f>
        <v>0</v>
      </c>
      <c r="KOQ5">
        <f>Database!KPJ29</f>
        <v>0</v>
      </c>
      <c r="KOR5">
        <f>Database!KPK29</f>
        <v>0</v>
      </c>
      <c r="KOS5">
        <f>Database!KPL29</f>
        <v>0</v>
      </c>
      <c r="KOT5">
        <f>Database!KPM29</f>
        <v>0</v>
      </c>
      <c r="KOU5">
        <f>Database!KPN29</f>
        <v>0</v>
      </c>
      <c r="KOV5">
        <f>Database!KPO29</f>
        <v>0</v>
      </c>
      <c r="KOW5">
        <f>Database!KPP29</f>
        <v>0</v>
      </c>
      <c r="KOX5">
        <f>Database!KPQ29</f>
        <v>0</v>
      </c>
      <c r="KOY5">
        <f>Database!KPR29</f>
        <v>0</v>
      </c>
      <c r="KOZ5">
        <f>Database!KPS29</f>
        <v>0</v>
      </c>
      <c r="KPA5">
        <f>Database!KPT29</f>
        <v>0</v>
      </c>
      <c r="KPB5">
        <f>Database!KPU29</f>
        <v>0</v>
      </c>
      <c r="KPC5">
        <f>Database!KPV29</f>
        <v>0</v>
      </c>
      <c r="KPD5">
        <f>Database!KPW29</f>
        <v>0</v>
      </c>
      <c r="KPE5">
        <f>Database!KPX29</f>
        <v>0</v>
      </c>
      <c r="KPF5">
        <f>Database!KPY29</f>
        <v>0</v>
      </c>
      <c r="KPG5">
        <f>Database!KPZ29</f>
        <v>0</v>
      </c>
      <c r="KPH5">
        <f>Database!KQA29</f>
        <v>0</v>
      </c>
      <c r="KPI5">
        <f>Database!KQB29</f>
        <v>0</v>
      </c>
      <c r="KPJ5">
        <f>Database!KQC29</f>
        <v>0</v>
      </c>
      <c r="KPK5">
        <f>Database!KQD29</f>
        <v>0</v>
      </c>
      <c r="KPL5">
        <f>Database!KQE29</f>
        <v>0</v>
      </c>
      <c r="KPM5">
        <f>Database!KQF29</f>
        <v>0</v>
      </c>
      <c r="KPN5">
        <f>Database!KQG29</f>
        <v>0</v>
      </c>
      <c r="KPO5">
        <f>Database!KQH29</f>
        <v>0</v>
      </c>
      <c r="KPP5">
        <f>Database!KQI29</f>
        <v>0</v>
      </c>
      <c r="KPQ5">
        <f>Database!KQJ29</f>
        <v>0</v>
      </c>
      <c r="KPR5">
        <f>Database!KQK29</f>
        <v>0</v>
      </c>
      <c r="KPS5">
        <f>Database!KQL29</f>
        <v>0</v>
      </c>
      <c r="KPT5">
        <f>Database!KQM29</f>
        <v>0</v>
      </c>
      <c r="KPU5">
        <f>Database!KQN29</f>
        <v>0</v>
      </c>
      <c r="KPV5">
        <f>Database!KQO29</f>
        <v>0</v>
      </c>
      <c r="KPW5">
        <f>Database!KQP29</f>
        <v>0</v>
      </c>
      <c r="KPX5">
        <f>Database!KQQ29</f>
        <v>0</v>
      </c>
      <c r="KPY5">
        <f>Database!KQR29</f>
        <v>0</v>
      </c>
      <c r="KPZ5">
        <f>Database!KQS29</f>
        <v>0</v>
      </c>
      <c r="KQA5">
        <f>Database!KQT29</f>
        <v>0</v>
      </c>
      <c r="KQB5">
        <f>Database!KQU29</f>
        <v>0</v>
      </c>
      <c r="KQC5">
        <f>Database!KQV29</f>
        <v>0</v>
      </c>
      <c r="KQD5">
        <f>Database!KQW29</f>
        <v>0</v>
      </c>
      <c r="KQE5">
        <f>Database!KQX29</f>
        <v>0</v>
      </c>
      <c r="KQF5">
        <f>Database!KQY29</f>
        <v>0</v>
      </c>
      <c r="KQG5">
        <f>Database!KQZ29</f>
        <v>0</v>
      </c>
      <c r="KQH5">
        <f>Database!KRA29</f>
        <v>0</v>
      </c>
      <c r="KQI5">
        <f>Database!KRB29</f>
        <v>0</v>
      </c>
      <c r="KQJ5">
        <f>Database!KRC29</f>
        <v>0</v>
      </c>
      <c r="KQK5">
        <f>Database!KRD29</f>
        <v>0</v>
      </c>
      <c r="KQL5">
        <f>Database!KRE29</f>
        <v>0</v>
      </c>
      <c r="KQM5">
        <f>Database!KRF29</f>
        <v>0</v>
      </c>
      <c r="KQN5">
        <f>Database!KRG29</f>
        <v>0</v>
      </c>
      <c r="KQO5">
        <f>Database!KRH29</f>
        <v>0</v>
      </c>
      <c r="KQP5">
        <f>Database!KRI29</f>
        <v>0</v>
      </c>
      <c r="KQQ5">
        <f>Database!KRJ29</f>
        <v>0</v>
      </c>
      <c r="KQR5">
        <f>Database!KRK29</f>
        <v>0</v>
      </c>
      <c r="KQS5">
        <f>Database!KRL29</f>
        <v>0</v>
      </c>
      <c r="KQT5">
        <f>Database!KRM29</f>
        <v>0</v>
      </c>
      <c r="KQU5">
        <f>Database!KRN29</f>
        <v>0</v>
      </c>
      <c r="KQV5">
        <f>Database!KRO29</f>
        <v>0</v>
      </c>
      <c r="KQW5">
        <f>Database!KRP29</f>
        <v>0</v>
      </c>
      <c r="KQX5">
        <f>Database!KRQ29</f>
        <v>0</v>
      </c>
      <c r="KQY5">
        <f>Database!KRR29</f>
        <v>0</v>
      </c>
      <c r="KQZ5">
        <f>Database!KRS29</f>
        <v>0</v>
      </c>
      <c r="KRA5">
        <f>Database!KRT29</f>
        <v>0</v>
      </c>
      <c r="KRB5">
        <f>Database!KRU29</f>
        <v>0</v>
      </c>
      <c r="KRC5">
        <f>Database!KRV29</f>
        <v>0</v>
      </c>
      <c r="KRD5">
        <f>Database!KRW29</f>
        <v>0</v>
      </c>
      <c r="KRE5">
        <f>Database!KRX29</f>
        <v>0</v>
      </c>
      <c r="KRF5">
        <f>Database!KRY29</f>
        <v>0</v>
      </c>
      <c r="KRG5">
        <f>Database!KRZ29</f>
        <v>0</v>
      </c>
      <c r="KRH5">
        <f>Database!KSA29</f>
        <v>0</v>
      </c>
      <c r="KRI5">
        <f>Database!KSB29</f>
        <v>0</v>
      </c>
      <c r="KRJ5">
        <f>Database!KSC29</f>
        <v>0</v>
      </c>
      <c r="KRK5">
        <f>Database!KSD29</f>
        <v>0</v>
      </c>
      <c r="KRL5">
        <f>Database!KSE29</f>
        <v>0</v>
      </c>
      <c r="KRM5">
        <f>Database!KSF29</f>
        <v>0</v>
      </c>
      <c r="KRN5">
        <f>Database!KSG29</f>
        <v>0</v>
      </c>
      <c r="KRO5">
        <f>Database!KSH29</f>
        <v>0</v>
      </c>
      <c r="KRP5">
        <f>Database!KSI29</f>
        <v>0</v>
      </c>
      <c r="KRQ5">
        <f>Database!KSJ29</f>
        <v>0</v>
      </c>
      <c r="KRR5">
        <f>Database!KSK29</f>
        <v>0</v>
      </c>
      <c r="KRS5">
        <f>Database!KSL29</f>
        <v>0</v>
      </c>
      <c r="KRT5">
        <f>Database!KSM29</f>
        <v>0</v>
      </c>
      <c r="KRU5">
        <f>Database!KSN29</f>
        <v>0</v>
      </c>
      <c r="KRV5">
        <f>Database!KSO29</f>
        <v>0</v>
      </c>
      <c r="KRW5">
        <f>Database!KSP29</f>
        <v>0</v>
      </c>
      <c r="KRX5">
        <f>Database!KSQ29</f>
        <v>0</v>
      </c>
      <c r="KRY5">
        <f>Database!KSR29</f>
        <v>0</v>
      </c>
      <c r="KRZ5">
        <f>Database!KSS29</f>
        <v>0</v>
      </c>
      <c r="KSA5">
        <f>Database!KST29</f>
        <v>0</v>
      </c>
      <c r="KSB5">
        <f>Database!KSU29</f>
        <v>0</v>
      </c>
      <c r="KSC5">
        <f>Database!KSV29</f>
        <v>0</v>
      </c>
      <c r="KSD5">
        <f>Database!KSW29</f>
        <v>0</v>
      </c>
      <c r="KSE5">
        <f>Database!KSX29</f>
        <v>0</v>
      </c>
      <c r="KSF5">
        <f>Database!KSY29</f>
        <v>0</v>
      </c>
      <c r="KSG5">
        <f>Database!KSZ29</f>
        <v>0</v>
      </c>
      <c r="KSH5">
        <f>Database!KTA29</f>
        <v>0</v>
      </c>
      <c r="KSI5">
        <f>Database!KTB29</f>
        <v>0</v>
      </c>
      <c r="KSJ5">
        <f>Database!KTC29</f>
        <v>0</v>
      </c>
      <c r="KSK5">
        <f>Database!KTD29</f>
        <v>0</v>
      </c>
      <c r="KSL5">
        <f>Database!KTE29</f>
        <v>0</v>
      </c>
      <c r="KSM5">
        <f>Database!KTF29</f>
        <v>0</v>
      </c>
      <c r="KSN5">
        <f>Database!KTG29</f>
        <v>0</v>
      </c>
      <c r="KSO5">
        <f>Database!KTH29</f>
        <v>0</v>
      </c>
      <c r="KSP5">
        <f>Database!KTI29</f>
        <v>0</v>
      </c>
      <c r="KSQ5">
        <f>Database!KTJ29</f>
        <v>0</v>
      </c>
      <c r="KSR5">
        <f>Database!KTK29</f>
        <v>0</v>
      </c>
      <c r="KSS5">
        <f>Database!KTL29</f>
        <v>0</v>
      </c>
      <c r="KST5">
        <f>Database!KTM29</f>
        <v>0</v>
      </c>
      <c r="KSU5">
        <f>Database!KTN29</f>
        <v>0</v>
      </c>
      <c r="KSV5">
        <f>Database!KTO29</f>
        <v>0</v>
      </c>
      <c r="KSW5">
        <f>Database!KTP29</f>
        <v>0</v>
      </c>
      <c r="KSX5">
        <f>Database!KTQ29</f>
        <v>0</v>
      </c>
      <c r="KSY5">
        <f>Database!KTR29</f>
        <v>0</v>
      </c>
      <c r="KSZ5">
        <f>Database!KTS29</f>
        <v>0</v>
      </c>
      <c r="KTA5">
        <f>Database!KTT29</f>
        <v>0</v>
      </c>
      <c r="KTB5">
        <f>Database!KTU29</f>
        <v>0</v>
      </c>
      <c r="KTC5">
        <f>Database!KTV29</f>
        <v>0</v>
      </c>
      <c r="KTD5">
        <f>Database!KTW29</f>
        <v>0</v>
      </c>
      <c r="KTE5">
        <f>Database!KTX29</f>
        <v>0</v>
      </c>
      <c r="KTF5">
        <f>Database!KTY29</f>
        <v>0</v>
      </c>
      <c r="KTG5">
        <f>Database!KTZ29</f>
        <v>0</v>
      </c>
      <c r="KTH5">
        <f>Database!KUA29</f>
        <v>0</v>
      </c>
      <c r="KTI5">
        <f>Database!KUB29</f>
        <v>0</v>
      </c>
      <c r="KTJ5">
        <f>Database!KUC29</f>
        <v>0</v>
      </c>
      <c r="KTK5">
        <f>Database!KUD29</f>
        <v>0</v>
      </c>
      <c r="KTL5">
        <f>Database!KUE29</f>
        <v>0</v>
      </c>
      <c r="KTM5">
        <f>Database!KUF29</f>
        <v>0</v>
      </c>
      <c r="KTN5">
        <f>Database!KUG29</f>
        <v>0</v>
      </c>
      <c r="KTO5">
        <f>Database!KUH29</f>
        <v>0</v>
      </c>
      <c r="KTP5">
        <f>Database!KUI29</f>
        <v>0</v>
      </c>
      <c r="KTQ5">
        <f>Database!KUJ29</f>
        <v>0</v>
      </c>
      <c r="KTR5">
        <f>Database!KUK29</f>
        <v>0</v>
      </c>
      <c r="KTS5">
        <f>Database!KUL29</f>
        <v>0</v>
      </c>
      <c r="KTT5">
        <f>Database!KUM29</f>
        <v>0</v>
      </c>
      <c r="KTU5">
        <f>Database!KUN29</f>
        <v>0</v>
      </c>
      <c r="KTV5">
        <f>Database!KUO29</f>
        <v>0</v>
      </c>
      <c r="KTW5">
        <f>Database!KUP29</f>
        <v>0</v>
      </c>
      <c r="KTX5">
        <f>Database!KUQ29</f>
        <v>0</v>
      </c>
      <c r="KTY5">
        <f>Database!KUR29</f>
        <v>0</v>
      </c>
      <c r="KTZ5">
        <f>Database!KUS29</f>
        <v>0</v>
      </c>
      <c r="KUA5">
        <f>Database!KUT29</f>
        <v>0</v>
      </c>
      <c r="KUB5">
        <f>Database!KUU29</f>
        <v>0</v>
      </c>
      <c r="KUC5">
        <f>Database!KUV29</f>
        <v>0</v>
      </c>
      <c r="KUD5">
        <f>Database!KUW29</f>
        <v>0</v>
      </c>
      <c r="KUE5">
        <f>Database!KUX29</f>
        <v>0</v>
      </c>
      <c r="KUF5">
        <f>Database!KUY29</f>
        <v>0</v>
      </c>
      <c r="KUG5">
        <f>Database!KUZ29</f>
        <v>0</v>
      </c>
      <c r="KUH5">
        <f>Database!KVA29</f>
        <v>0</v>
      </c>
      <c r="KUI5">
        <f>Database!KVB29</f>
        <v>0</v>
      </c>
      <c r="KUJ5">
        <f>Database!KVC29</f>
        <v>0</v>
      </c>
      <c r="KUK5">
        <f>Database!KVD29</f>
        <v>0</v>
      </c>
      <c r="KUL5">
        <f>Database!KVE29</f>
        <v>0</v>
      </c>
      <c r="KUM5">
        <f>Database!KVF29</f>
        <v>0</v>
      </c>
      <c r="KUN5">
        <f>Database!KVG29</f>
        <v>0</v>
      </c>
      <c r="KUO5">
        <f>Database!KVH29</f>
        <v>0</v>
      </c>
      <c r="KUP5">
        <f>Database!KVI29</f>
        <v>0</v>
      </c>
      <c r="KUQ5">
        <f>Database!KVJ29</f>
        <v>0</v>
      </c>
      <c r="KUR5">
        <f>Database!KVK29</f>
        <v>0</v>
      </c>
      <c r="KUS5">
        <f>Database!KVL29</f>
        <v>0</v>
      </c>
      <c r="KUT5">
        <f>Database!KVM29</f>
        <v>0</v>
      </c>
      <c r="KUU5">
        <f>Database!KVN29</f>
        <v>0</v>
      </c>
      <c r="KUV5">
        <f>Database!KVO29</f>
        <v>0</v>
      </c>
      <c r="KUW5">
        <f>Database!KVP29</f>
        <v>0</v>
      </c>
      <c r="KUX5">
        <f>Database!KVQ29</f>
        <v>0</v>
      </c>
      <c r="KUY5">
        <f>Database!KVR29</f>
        <v>0</v>
      </c>
      <c r="KUZ5">
        <f>Database!KVS29</f>
        <v>0</v>
      </c>
      <c r="KVA5">
        <f>Database!KVT29</f>
        <v>0</v>
      </c>
      <c r="KVB5">
        <f>Database!KVU29</f>
        <v>0</v>
      </c>
      <c r="KVC5">
        <f>Database!KVV29</f>
        <v>0</v>
      </c>
      <c r="KVD5">
        <f>Database!KVW29</f>
        <v>0</v>
      </c>
      <c r="KVE5">
        <f>Database!KVX29</f>
        <v>0</v>
      </c>
      <c r="KVF5">
        <f>Database!KVY29</f>
        <v>0</v>
      </c>
      <c r="KVG5">
        <f>Database!KVZ29</f>
        <v>0</v>
      </c>
      <c r="KVH5">
        <f>Database!KWA29</f>
        <v>0</v>
      </c>
      <c r="KVI5">
        <f>Database!KWB29</f>
        <v>0</v>
      </c>
      <c r="KVJ5">
        <f>Database!KWC29</f>
        <v>0</v>
      </c>
      <c r="KVK5">
        <f>Database!KWD29</f>
        <v>0</v>
      </c>
      <c r="KVL5">
        <f>Database!KWE29</f>
        <v>0</v>
      </c>
      <c r="KVM5">
        <f>Database!KWF29</f>
        <v>0</v>
      </c>
      <c r="KVN5">
        <f>Database!KWG29</f>
        <v>0</v>
      </c>
      <c r="KVO5">
        <f>Database!KWH29</f>
        <v>0</v>
      </c>
      <c r="KVP5">
        <f>Database!KWI29</f>
        <v>0</v>
      </c>
      <c r="KVQ5">
        <f>Database!KWJ29</f>
        <v>0</v>
      </c>
      <c r="KVR5">
        <f>Database!KWK29</f>
        <v>0</v>
      </c>
      <c r="KVS5">
        <f>Database!KWL29</f>
        <v>0</v>
      </c>
      <c r="KVT5">
        <f>Database!KWM29</f>
        <v>0</v>
      </c>
      <c r="KVU5">
        <f>Database!KWN29</f>
        <v>0</v>
      </c>
      <c r="KVV5">
        <f>Database!KWO29</f>
        <v>0</v>
      </c>
      <c r="KVW5">
        <f>Database!KWP29</f>
        <v>0</v>
      </c>
      <c r="KVX5">
        <f>Database!KWQ29</f>
        <v>0</v>
      </c>
      <c r="KVY5">
        <f>Database!KWR29</f>
        <v>0</v>
      </c>
      <c r="KVZ5">
        <f>Database!KWS29</f>
        <v>0</v>
      </c>
      <c r="KWA5">
        <f>Database!KWT29</f>
        <v>0</v>
      </c>
      <c r="KWB5">
        <f>Database!KWU29</f>
        <v>0</v>
      </c>
      <c r="KWC5">
        <f>Database!KWV29</f>
        <v>0</v>
      </c>
      <c r="KWD5">
        <f>Database!KWW29</f>
        <v>0</v>
      </c>
      <c r="KWE5">
        <f>Database!KWX29</f>
        <v>0</v>
      </c>
      <c r="KWF5">
        <f>Database!KWY29</f>
        <v>0</v>
      </c>
      <c r="KWG5">
        <f>Database!KWZ29</f>
        <v>0</v>
      </c>
      <c r="KWH5">
        <f>Database!KXA29</f>
        <v>0</v>
      </c>
      <c r="KWI5">
        <f>Database!KXB29</f>
        <v>0</v>
      </c>
      <c r="KWJ5">
        <f>Database!KXC29</f>
        <v>0</v>
      </c>
      <c r="KWK5">
        <f>Database!KXD29</f>
        <v>0</v>
      </c>
      <c r="KWL5">
        <f>Database!KXE29</f>
        <v>0</v>
      </c>
      <c r="KWM5">
        <f>Database!KXF29</f>
        <v>0</v>
      </c>
      <c r="KWN5">
        <f>Database!KXG29</f>
        <v>0</v>
      </c>
      <c r="KWO5">
        <f>Database!KXH29</f>
        <v>0</v>
      </c>
      <c r="KWP5">
        <f>Database!KXI29</f>
        <v>0</v>
      </c>
      <c r="KWQ5">
        <f>Database!KXJ29</f>
        <v>0</v>
      </c>
      <c r="KWR5">
        <f>Database!KXK29</f>
        <v>0</v>
      </c>
      <c r="KWS5">
        <f>Database!KXL29</f>
        <v>0</v>
      </c>
      <c r="KWT5">
        <f>Database!KXM29</f>
        <v>0</v>
      </c>
      <c r="KWU5">
        <f>Database!KXN29</f>
        <v>0</v>
      </c>
      <c r="KWV5">
        <f>Database!KXO29</f>
        <v>0</v>
      </c>
      <c r="KWW5">
        <f>Database!KXP29</f>
        <v>0</v>
      </c>
      <c r="KWX5">
        <f>Database!KXQ29</f>
        <v>0</v>
      </c>
      <c r="KWY5">
        <f>Database!KXR29</f>
        <v>0</v>
      </c>
      <c r="KWZ5">
        <f>Database!KXS29</f>
        <v>0</v>
      </c>
      <c r="KXA5">
        <f>Database!KXT29</f>
        <v>0</v>
      </c>
      <c r="KXB5">
        <f>Database!KXU29</f>
        <v>0</v>
      </c>
      <c r="KXC5">
        <f>Database!KXV29</f>
        <v>0</v>
      </c>
      <c r="KXD5">
        <f>Database!KXW29</f>
        <v>0</v>
      </c>
      <c r="KXE5">
        <f>Database!KXX29</f>
        <v>0</v>
      </c>
      <c r="KXF5">
        <f>Database!KXY29</f>
        <v>0</v>
      </c>
      <c r="KXG5">
        <f>Database!KXZ29</f>
        <v>0</v>
      </c>
      <c r="KXH5">
        <f>Database!KYA29</f>
        <v>0</v>
      </c>
      <c r="KXI5">
        <f>Database!KYB29</f>
        <v>0</v>
      </c>
      <c r="KXJ5">
        <f>Database!KYC29</f>
        <v>0</v>
      </c>
      <c r="KXK5">
        <f>Database!KYD29</f>
        <v>0</v>
      </c>
      <c r="KXL5">
        <f>Database!KYE29</f>
        <v>0</v>
      </c>
      <c r="KXM5">
        <f>Database!KYF29</f>
        <v>0</v>
      </c>
      <c r="KXN5">
        <f>Database!KYG29</f>
        <v>0</v>
      </c>
      <c r="KXO5">
        <f>Database!KYH29</f>
        <v>0</v>
      </c>
      <c r="KXP5">
        <f>Database!KYI29</f>
        <v>0</v>
      </c>
      <c r="KXQ5">
        <f>Database!KYJ29</f>
        <v>0</v>
      </c>
      <c r="KXR5">
        <f>Database!KYK29</f>
        <v>0</v>
      </c>
      <c r="KXS5">
        <f>Database!KYL29</f>
        <v>0</v>
      </c>
      <c r="KXT5">
        <f>Database!KYM29</f>
        <v>0</v>
      </c>
      <c r="KXU5">
        <f>Database!KYN29</f>
        <v>0</v>
      </c>
      <c r="KXV5">
        <f>Database!KYO29</f>
        <v>0</v>
      </c>
      <c r="KXW5">
        <f>Database!KYP29</f>
        <v>0</v>
      </c>
      <c r="KXX5">
        <f>Database!KYQ29</f>
        <v>0</v>
      </c>
      <c r="KXY5">
        <f>Database!KYR29</f>
        <v>0</v>
      </c>
      <c r="KXZ5">
        <f>Database!KYS29</f>
        <v>0</v>
      </c>
      <c r="KYA5">
        <f>Database!KYT29</f>
        <v>0</v>
      </c>
      <c r="KYB5">
        <f>Database!KYU29</f>
        <v>0</v>
      </c>
      <c r="KYC5">
        <f>Database!KYV29</f>
        <v>0</v>
      </c>
      <c r="KYD5">
        <f>Database!KYW29</f>
        <v>0</v>
      </c>
      <c r="KYE5">
        <f>Database!KYX29</f>
        <v>0</v>
      </c>
      <c r="KYF5">
        <f>Database!KYY29</f>
        <v>0</v>
      </c>
      <c r="KYG5">
        <f>Database!KYZ29</f>
        <v>0</v>
      </c>
      <c r="KYH5">
        <f>Database!KZA29</f>
        <v>0</v>
      </c>
      <c r="KYI5">
        <f>Database!KZB29</f>
        <v>0</v>
      </c>
      <c r="KYJ5">
        <f>Database!KZC29</f>
        <v>0</v>
      </c>
      <c r="KYK5">
        <f>Database!KZD29</f>
        <v>0</v>
      </c>
      <c r="KYL5">
        <f>Database!KZE29</f>
        <v>0</v>
      </c>
      <c r="KYM5">
        <f>Database!KZF29</f>
        <v>0</v>
      </c>
      <c r="KYN5">
        <f>Database!KZG29</f>
        <v>0</v>
      </c>
      <c r="KYO5">
        <f>Database!KZH29</f>
        <v>0</v>
      </c>
      <c r="KYP5">
        <f>Database!KZI29</f>
        <v>0</v>
      </c>
      <c r="KYQ5">
        <f>Database!KZJ29</f>
        <v>0</v>
      </c>
      <c r="KYR5">
        <f>Database!KZK29</f>
        <v>0</v>
      </c>
      <c r="KYS5">
        <f>Database!KZL29</f>
        <v>0</v>
      </c>
      <c r="KYT5">
        <f>Database!KZM29</f>
        <v>0</v>
      </c>
      <c r="KYU5">
        <f>Database!KZN29</f>
        <v>0</v>
      </c>
      <c r="KYV5">
        <f>Database!KZO29</f>
        <v>0</v>
      </c>
      <c r="KYW5">
        <f>Database!KZP29</f>
        <v>0</v>
      </c>
      <c r="KYX5">
        <f>Database!KZQ29</f>
        <v>0</v>
      </c>
      <c r="KYY5">
        <f>Database!KZR29</f>
        <v>0</v>
      </c>
      <c r="KYZ5">
        <f>Database!KZS29</f>
        <v>0</v>
      </c>
      <c r="KZA5">
        <f>Database!KZT29</f>
        <v>0</v>
      </c>
      <c r="KZB5">
        <f>Database!KZU29</f>
        <v>0</v>
      </c>
      <c r="KZC5">
        <f>Database!KZV29</f>
        <v>0</v>
      </c>
      <c r="KZD5">
        <f>Database!KZW29</f>
        <v>0</v>
      </c>
      <c r="KZE5">
        <f>Database!KZX29</f>
        <v>0</v>
      </c>
      <c r="KZF5">
        <f>Database!KZY29</f>
        <v>0</v>
      </c>
      <c r="KZG5">
        <f>Database!KZZ29</f>
        <v>0</v>
      </c>
      <c r="KZH5">
        <f>Database!LAA29</f>
        <v>0</v>
      </c>
      <c r="KZI5">
        <f>Database!LAB29</f>
        <v>0</v>
      </c>
      <c r="KZJ5">
        <f>Database!LAC29</f>
        <v>0</v>
      </c>
      <c r="KZK5">
        <f>Database!LAD29</f>
        <v>0</v>
      </c>
      <c r="KZL5">
        <f>Database!LAE29</f>
        <v>0</v>
      </c>
      <c r="KZM5">
        <f>Database!LAF29</f>
        <v>0</v>
      </c>
      <c r="KZN5">
        <f>Database!LAG29</f>
        <v>0</v>
      </c>
      <c r="KZO5">
        <f>Database!LAH29</f>
        <v>0</v>
      </c>
      <c r="KZP5">
        <f>Database!LAI29</f>
        <v>0</v>
      </c>
      <c r="KZQ5">
        <f>Database!LAJ29</f>
        <v>0</v>
      </c>
      <c r="KZR5">
        <f>Database!LAK29</f>
        <v>0</v>
      </c>
      <c r="KZS5">
        <f>Database!LAL29</f>
        <v>0</v>
      </c>
      <c r="KZT5">
        <f>Database!LAM29</f>
        <v>0</v>
      </c>
      <c r="KZU5">
        <f>Database!LAN29</f>
        <v>0</v>
      </c>
      <c r="KZV5">
        <f>Database!LAO29</f>
        <v>0</v>
      </c>
      <c r="KZW5">
        <f>Database!LAP29</f>
        <v>0</v>
      </c>
      <c r="KZX5">
        <f>Database!LAQ29</f>
        <v>0</v>
      </c>
      <c r="KZY5">
        <f>Database!LAR29</f>
        <v>0</v>
      </c>
      <c r="KZZ5">
        <f>Database!LAS29</f>
        <v>0</v>
      </c>
      <c r="LAA5">
        <f>Database!LAT29</f>
        <v>0</v>
      </c>
      <c r="LAB5">
        <f>Database!LAU29</f>
        <v>0</v>
      </c>
      <c r="LAC5">
        <f>Database!LAV29</f>
        <v>0</v>
      </c>
      <c r="LAD5">
        <f>Database!LAW29</f>
        <v>0</v>
      </c>
      <c r="LAE5">
        <f>Database!LAX29</f>
        <v>0</v>
      </c>
      <c r="LAF5">
        <f>Database!LAY29</f>
        <v>0</v>
      </c>
      <c r="LAG5">
        <f>Database!LAZ29</f>
        <v>0</v>
      </c>
      <c r="LAH5">
        <f>Database!LBA29</f>
        <v>0</v>
      </c>
      <c r="LAI5">
        <f>Database!LBB29</f>
        <v>0</v>
      </c>
      <c r="LAJ5">
        <f>Database!LBC29</f>
        <v>0</v>
      </c>
      <c r="LAK5">
        <f>Database!LBD29</f>
        <v>0</v>
      </c>
      <c r="LAL5">
        <f>Database!LBE29</f>
        <v>0</v>
      </c>
      <c r="LAM5">
        <f>Database!LBF29</f>
        <v>0</v>
      </c>
      <c r="LAN5">
        <f>Database!LBG29</f>
        <v>0</v>
      </c>
      <c r="LAO5">
        <f>Database!LBH29</f>
        <v>0</v>
      </c>
      <c r="LAP5">
        <f>Database!LBI29</f>
        <v>0</v>
      </c>
      <c r="LAQ5">
        <f>Database!LBJ29</f>
        <v>0</v>
      </c>
      <c r="LAR5">
        <f>Database!LBK29</f>
        <v>0</v>
      </c>
      <c r="LAS5">
        <f>Database!LBL29</f>
        <v>0</v>
      </c>
      <c r="LAT5">
        <f>Database!LBM29</f>
        <v>0</v>
      </c>
      <c r="LAU5">
        <f>Database!LBN29</f>
        <v>0</v>
      </c>
      <c r="LAV5">
        <f>Database!LBO29</f>
        <v>0</v>
      </c>
      <c r="LAW5">
        <f>Database!LBP29</f>
        <v>0</v>
      </c>
      <c r="LAX5">
        <f>Database!LBQ29</f>
        <v>0</v>
      </c>
      <c r="LAY5">
        <f>Database!LBR29</f>
        <v>0</v>
      </c>
      <c r="LAZ5">
        <f>Database!LBS29</f>
        <v>0</v>
      </c>
      <c r="LBA5">
        <f>Database!LBT29</f>
        <v>0</v>
      </c>
      <c r="LBB5">
        <f>Database!LBU29</f>
        <v>0</v>
      </c>
      <c r="LBC5">
        <f>Database!LBV29</f>
        <v>0</v>
      </c>
      <c r="LBD5">
        <f>Database!LBW29</f>
        <v>0</v>
      </c>
      <c r="LBE5">
        <f>Database!LBX29</f>
        <v>0</v>
      </c>
      <c r="LBF5">
        <f>Database!LBY29</f>
        <v>0</v>
      </c>
      <c r="LBG5">
        <f>Database!LBZ29</f>
        <v>0</v>
      </c>
      <c r="LBH5">
        <f>Database!LCA29</f>
        <v>0</v>
      </c>
      <c r="LBI5">
        <f>Database!LCB29</f>
        <v>0</v>
      </c>
      <c r="LBJ5">
        <f>Database!LCC29</f>
        <v>0</v>
      </c>
      <c r="LBK5">
        <f>Database!LCD29</f>
        <v>0</v>
      </c>
      <c r="LBL5">
        <f>Database!LCE29</f>
        <v>0</v>
      </c>
      <c r="LBM5">
        <f>Database!LCF29</f>
        <v>0</v>
      </c>
      <c r="LBN5">
        <f>Database!LCG29</f>
        <v>0</v>
      </c>
      <c r="LBO5">
        <f>Database!LCH29</f>
        <v>0</v>
      </c>
      <c r="LBP5">
        <f>Database!LCI29</f>
        <v>0</v>
      </c>
      <c r="LBQ5">
        <f>Database!LCJ29</f>
        <v>0</v>
      </c>
      <c r="LBR5">
        <f>Database!LCK29</f>
        <v>0</v>
      </c>
      <c r="LBS5">
        <f>Database!LCL29</f>
        <v>0</v>
      </c>
      <c r="LBT5">
        <f>Database!LCM29</f>
        <v>0</v>
      </c>
      <c r="LBU5">
        <f>Database!LCN29</f>
        <v>0</v>
      </c>
      <c r="LBV5">
        <f>Database!LCO29</f>
        <v>0</v>
      </c>
      <c r="LBW5">
        <f>Database!LCP29</f>
        <v>0</v>
      </c>
      <c r="LBX5">
        <f>Database!LCQ29</f>
        <v>0</v>
      </c>
      <c r="LBY5">
        <f>Database!LCR29</f>
        <v>0</v>
      </c>
      <c r="LBZ5">
        <f>Database!LCS29</f>
        <v>0</v>
      </c>
      <c r="LCA5">
        <f>Database!LCT29</f>
        <v>0</v>
      </c>
      <c r="LCB5">
        <f>Database!LCU29</f>
        <v>0</v>
      </c>
      <c r="LCC5">
        <f>Database!LCV29</f>
        <v>0</v>
      </c>
      <c r="LCD5">
        <f>Database!LCW29</f>
        <v>0</v>
      </c>
      <c r="LCE5">
        <f>Database!LCX29</f>
        <v>0</v>
      </c>
      <c r="LCF5">
        <f>Database!LCY29</f>
        <v>0</v>
      </c>
      <c r="LCG5">
        <f>Database!LCZ29</f>
        <v>0</v>
      </c>
      <c r="LCH5">
        <f>Database!LDA29</f>
        <v>0</v>
      </c>
      <c r="LCI5">
        <f>Database!LDB29</f>
        <v>0</v>
      </c>
      <c r="LCJ5">
        <f>Database!LDC29</f>
        <v>0</v>
      </c>
      <c r="LCK5">
        <f>Database!LDD29</f>
        <v>0</v>
      </c>
      <c r="LCL5">
        <f>Database!LDE29</f>
        <v>0</v>
      </c>
      <c r="LCM5">
        <f>Database!LDF29</f>
        <v>0</v>
      </c>
      <c r="LCN5">
        <f>Database!LDG29</f>
        <v>0</v>
      </c>
      <c r="LCO5">
        <f>Database!LDH29</f>
        <v>0</v>
      </c>
      <c r="LCP5">
        <f>Database!LDI29</f>
        <v>0</v>
      </c>
      <c r="LCQ5">
        <f>Database!LDJ29</f>
        <v>0</v>
      </c>
      <c r="LCR5">
        <f>Database!LDK29</f>
        <v>0</v>
      </c>
      <c r="LCS5">
        <f>Database!LDL29</f>
        <v>0</v>
      </c>
      <c r="LCT5">
        <f>Database!LDM29</f>
        <v>0</v>
      </c>
      <c r="LCU5">
        <f>Database!LDN29</f>
        <v>0</v>
      </c>
      <c r="LCV5">
        <f>Database!LDO29</f>
        <v>0</v>
      </c>
      <c r="LCW5">
        <f>Database!LDP29</f>
        <v>0</v>
      </c>
      <c r="LCX5">
        <f>Database!LDQ29</f>
        <v>0</v>
      </c>
      <c r="LCY5">
        <f>Database!LDR29</f>
        <v>0</v>
      </c>
      <c r="LCZ5">
        <f>Database!LDS29</f>
        <v>0</v>
      </c>
      <c r="LDA5">
        <f>Database!LDT29</f>
        <v>0</v>
      </c>
      <c r="LDB5">
        <f>Database!LDU29</f>
        <v>0</v>
      </c>
      <c r="LDC5">
        <f>Database!LDV29</f>
        <v>0</v>
      </c>
      <c r="LDD5">
        <f>Database!LDW29</f>
        <v>0</v>
      </c>
      <c r="LDE5">
        <f>Database!LDX29</f>
        <v>0</v>
      </c>
      <c r="LDF5">
        <f>Database!LDY29</f>
        <v>0</v>
      </c>
      <c r="LDG5">
        <f>Database!LDZ29</f>
        <v>0</v>
      </c>
      <c r="LDH5">
        <f>Database!LEA29</f>
        <v>0</v>
      </c>
      <c r="LDI5">
        <f>Database!LEB29</f>
        <v>0</v>
      </c>
      <c r="LDJ5">
        <f>Database!LEC29</f>
        <v>0</v>
      </c>
      <c r="LDK5">
        <f>Database!LED29</f>
        <v>0</v>
      </c>
      <c r="LDL5">
        <f>Database!LEE29</f>
        <v>0</v>
      </c>
      <c r="LDM5">
        <f>Database!LEF29</f>
        <v>0</v>
      </c>
      <c r="LDN5">
        <f>Database!LEG29</f>
        <v>0</v>
      </c>
      <c r="LDO5">
        <f>Database!LEH29</f>
        <v>0</v>
      </c>
      <c r="LDP5">
        <f>Database!LEI29</f>
        <v>0</v>
      </c>
      <c r="LDQ5">
        <f>Database!LEJ29</f>
        <v>0</v>
      </c>
      <c r="LDR5">
        <f>Database!LEK29</f>
        <v>0</v>
      </c>
      <c r="LDS5">
        <f>Database!LEL29</f>
        <v>0</v>
      </c>
      <c r="LDT5">
        <f>Database!LEM29</f>
        <v>0</v>
      </c>
      <c r="LDU5">
        <f>Database!LEN29</f>
        <v>0</v>
      </c>
      <c r="LDV5">
        <f>Database!LEO29</f>
        <v>0</v>
      </c>
      <c r="LDW5">
        <f>Database!LEP29</f>
        <v>0</v>
      </c>
      <c r="LDX5">
        <f>Database!LEQ29</f>
        <v>0</v>
      </c>
      <c r="LDY5">
        <f>Database!LER29</f>
        <v>0</v>
      </c>
      <c r="LDZ5">
        <f>Database!LES29</f>
        <v>0</v>
      </c>
      <c r="LEA5">
        <f>Database!LET29</f>
        <v>0</v>
      </c>
      <c r="LEB5">
        <f>Database!LEU29</f>
        <v>0</v>
      </c>
      <c r="LEC5">
        <f>Database!LEV29</f>
        <v>0</v>
      </c>
      <c r="LED5">
        <f>Database!LEW29</f>
        <v>0</v>
      </c>
      <c r="LEE5">
        <f>Database!LEX29</f>
        <v>0</v>
      </c>
      <c r="LEF5">
        <f>Database!LEY29</f>
        <v>0</v>
      </c>
      <c r="LEG5">
        <f>Database!LEZ29</f>
        <v>0</v>
      </c>
      <c r="LEH5">
        <f>Database!LFA29</f>
        <v>0</v>
      </c>
      <c r="LEI5">
        <f>Database!LFB29</f>
        <v>0</v>
      </c>
      <c r="LEJ5">
        <f>Database!LFC29</f>
        <v>0</v>
      </c>
      <c r="LEK5">
        <f>Database!LFD29</f>
        <v>0</v>
      </c>
      <c r="LEL5">
        <f>Database!LFE29</f>
        <v>0</v>
      </c>
      <c r="LEM5">
        <f>Database!LFF29</f>
        <v>0</v>
      </c>
      <c r="LEN5">
        <f>Database!LFG29</f>
        <v>0</v>
      </c>
      <c r="LEO5">
        <f>Database!LFH29</f>
        <v>0</v>
      </c>
      <c r="LEP5">
        <f>Database!LFI29</f>
        <v>0</v>
      </c>
      <c r="LEQ5">
        <f>Database!LFJ29</f>
        <v>0</v>
      </c>
      <c r="LER5">
        <f>Database!LFK29</f>
        <v>0</v>
      </c>
      <c r="LES5">
        <f>Database!LFL29</f>
        <v>0</v>
      </c>
      <c r="LET5">
        <f>Database!LFM29</f>
        <v>0</v>
      </c>
      <c r="LEU5">
        <f>Database!LFN29</f>
        <v>0</v>
      </c>
      <c r="LEV5">
        <f>Database!LFO29</f>
        <v>0</v>
      </c>
      <c r="LEW5">
        <f>Database!LFP29</f>
        <v>0</v>
      </c>
      <c r="LEX5">
        <f>Database!LFQ29</f>
        <v>0</v>
      </c>
      <c r="LEY5">
        <f>Database!LFR29</f>
        <v>0</v>
      </c>
      <c r="LEZ5">
        <f>Database!LFS29</f>
        <v>0</v>
      </c>
      <c r="LFA5">
        <f>Database!LFT29</f>
        <v>0</v>
      </c>
      <c r="LFB5">
        <f>Database!LFU29</f>
        <v>0</v>
      </c>
      <c r="LFC5">
        <f>Database!LFV29</f>
        <v>0</v>
      </c>
      <c r="LFD5">
        <f>Database!LFW29</f>
        <v>0</v>
      </c>
      <c r="LFE5">
        <f>Database!LFX29</f>
        <v>0</v>
      </c>
      <c r="LFF5">
        <f>Database!LFY29</f>
        <v>0</v>
      </c>
      <c r="LFG5">
        <f>Database!LFZ29</f>
        <v>0</v>
      </c>
      <c r="LFH5">
        <f>Database!LGA29</f>
        <v>0</v>
      </c>
      <c r="LFI5">
        <f>Database!LGB29</f>
        <v>0</v>
      </c>
      <c r="LFJ5">
        <f>Database!LGC29</f>
        <v>0</v>
      </c>
      <c r="LFK5">
        <f>Database!LGD29</f>
        <v>0</v>
      </c>
      <c r="LFL5">
        <f>Database!LGE29</f>
        <v>0</v>
      </c>
      <c r="LFM5">
        <f>Database!LGF29</f>
        <v>0</v>
      </c>
      <c r="LFN5">
        <f>Database!LGG29</f>
        <v>0</v>
      </c>
      <c r="LFO5">
        <f>Database!LGH29</f>
        <v>0</v>
      </c>
      <c r="LFP5">
        <f>Database!LGI29</f>
        <v>0</v>
      </c>
      <c r="LFQ5">
        <f>Database!LGJ29</f>
        <v>0</v>
      </c>
      <c r="LFR5">
        <f>Database!LGK29</f>
        <v>0</v>
      </c>
      <c r="LFS5">
        <f>Database!LGL29</f>
        <v>0</v>
      </c>
      <c r="LFT5">
        <f>Database!LGM29</f>
        <v>0</v>
      </c>
      <c r="LFU5">
        <f>Database!LGN29</f>
        <v>0</v>
      </c>
      <c r="LFV5">
        <f>Database!LGO29</f>
        <v>0</v>
      </c>
      <c r="LFW5">
        <f>Database!LGP29</f>
        <v>0</v>
      </c>
      <c r="LFX5">
        <f>Database!LGQ29</f>
        <v>0</v>
      </c>
      <c r="LFY5">
        <f>Database!LGR29</f>
        <v>0</v>
      </c>
      <c r="LFZ5">
        <f>Database!LGS29</f>
        <v>0</v>
      </c>
      <c r="LGA5">
        <f>Database!LGT29</f>
        <v>0</v>
      </c>
      <c r="LGB5">
        <f>Database!LGU29</f>
        <v>0</v>
      </c>
      <c r="LGC5">
        <f>Database!LGV29</f>
        <v>0</v>
      </c>
      <c r="LGD5">
        <f>Database!LGW29</f>
        <v>0</v>
      </c>
      <c r="LGE5">
        <f>Database!LGX29</f>
        <v>0</v>
      </c>
      <c r="LGF5">
        <f>Database!LGY29</f>
        <v>0</v>
      </c>
      <c r="LGG5">
        <f>Database!LGZ29</f>
        <v>0</v>
      </c>
      <c r="LGH5">
        <f>Database!LHA29</f>
        <v>0</v>
      </c>
      <c r="LGI5">
        <f>Database!LHB29</f>
        <v>0</v>
      </c>
      <c r="LGJ5">
        <f>Database!LHC29</f>
        <v>0</v>
      </c>
      <c r="LGK5">
        <f>Database!LHD29</f>
        <v>0</v>
      </c>
      <c r="LGL5">
        <f>Database!LHE29</f>
        <v>0</v>
      </c>
      <c r="LGM5">
        <f>Database!LHF29</f>
        <v>0</v>
      </c>
      <c r="LGN5">
        <f>Database!LHG29</f>
        <v>0</v>
      </c>
      <c r="LGO5">
        <f>Database!LHH29</f>
        <v>0</v>
      </c>
      <c r="LGP5">
        <f>Database!LHI29</f>
        <v>0</v>
      </c>
      <c r="LGQ5">
        <f>Database!LHJ29</f>
        <v>0</v>
      </c>
      <c r="LGR5">
        <f>Database!LHK29</f>
        <v>0</v>
      </c>
      <c r="LGS5">
        <f>Database!LHL29</f>
        <v>0</v>
      </c>
      <c r="LGT5">
        <f>Database!LHM29</f>
        <v>0</v>
      </c>
      <c r="LGU5">
        <f>Database!LHN29</f>
        <v>0</v>
      </c>
      <c r="LGV5">
        <f>Database!LHO29</f>
        <v>0</v>
      </c>
      <c r="LGW5">
        <f>Database!LHP29</f>
        <v>0</v>
      </c>
      <c r="LGX5">
        <f>Database!LHQ29</f>
        <v>0</v>
      </c>
      <c r="LGY5">
        <f>Database!LHR29</f>
        <v>0</v>
      </c>
      <c r="LGZ5">
        <f>Database!LHS29</f>
        <v>0</v>
      </c>
      <c r="LHA5">
        <f>Database!LHT29</f>
        <v>0</v>
      </c>
      <c r="LHB5">
        <f>Database!LHU29</f>
        <v>0</v>
      </c>
      <c r="LHC5">
        <f>Database!LHV29</f>
        <v>0</v>
      </c>
      <c r="LHD5">
        <f>Database!LHW29</f>
        <v>0</v>
      </c>
      <c r="LHE5">
        <f>Database!LHX29</f>
        <v>0</v>
      </c>
      <c r="LHF5">
        <f>Database!LHY29</f>
        <v>0</v>
      </c>
      <c r="LHG5">
        <f>Database!LHZ29</f>
        <v>0</v>
      </c>
      <c r="LHH5">
        <f>Database!LIA29</f>
        <v>0</v>
      </c>
      <c r="LHI5">
        <f>Database!LIB29</f>
        <v>0</v>
      </c>
      <c r="LHJ5">
        <f>Database!LIC29</f>
        <v>0</v>
      </c>
      <c r="LHK5">
        <f>Database!LID29</f>
        <v>0</v>
      </c>
      <c r="LHL5">
        <f>Database!LIE29</f>
        <v>0</v>
      </c>
      <c r="LHM5">
        <f>Database!LIF29</f>
        <v>0</v>
      </c>
      <c r="LHN5">
        <f>Database!LIG29</f>
        <v>0</v>
      </c>
      <c r="LHO5">
        <f>Database!LIH29</f>
        <v>0</v>
      </c>
      <c r="LHP5">
        <f>Database!LII29</f>
        <v>0</v>
      </c>
      <c r="LHQ5">
        <f>Database!LIJ29</f>
        <v>0</v>
      </c>
      <c r="LHR5">
        <f>Database!LIK29</f>
        <v>0</v>
      </c>
      <c r="LHS5">
        <f>Database!LIL29</f>
        <v>0</v>
      </c>
      <c r="LHT5">
        <f>Database!LIM29</f>
        <v>0</v>
      </c>
      <c r="LHU5">
        <f>Database!LIN29</f>
        <v>0</v>
      </c>
      <c r="LHV5">
        <f>Database!LIO29</f>
        <v>0</v>
      </c>
      <c r="LHW5">
        <f>Database!LIP29</f>
        <v>0</v>
      </c>
      <c r="LHX5">
        <f>Database!LIQ29</f>
        <v>0</v>
      </c>
      <c r="LHY5">
        <f>Database!LIR29</f>
        <v>0</v>
      </c>
      <c r="LHZ5">
        <f>Database!LIS29</f>
        <v>0</v>
      </c>
      <c r="LIA5">
        <f>Database!LIT29</f>
        <v>0</v>
      </c>
      <c r="LIB5">
        <f>Database!LIU29</f>
        <v>0</v>
      </c>
      <c r="LIC5">
        <f>Database!LIV29</f>
        <v>0</v>
      </c>
      <c r="LID5">
        <f>Database!LIW29</f>
        <v>0</v>
      </c>
      <c r="LIE5">
        <f>Database!LIX29</f>
        <v>0</v>
      </c>
      <c r="LIF5">
        <f>Database!LIY29</f>
        <v>0</v>
      </c>
      <c r="LIG5">
        <f>Database!LIZ29</f>
        <v>0</v>
      </c>
      <c r="LIH5">
        <f>Database!LJA29</f>
        <v>0</v>
      </c>
      <c r="LII5">
        <f>Database!LJB29</f>
        <v>0</v>
      </c>
      <c r="LIJ5">
        <f>Database!LJC29</f>
        <v>0</v>
      </c>
      <c r="LIK5">
        <f>Database!LJD29</f>
        <v>0</v>
      </c>
      <c r="LIL5">
        <f>Database!LJE29</f>
        <v>0</v>
      </c>
      <c r="LIM5">
        <f>Database!LJF29</f>
        <v>0</v>
      </c>
      <c r="LIN5">
        <f>Database!LJG29</f>
        <v>0</v>
      </c>
      <c r="LIO5">
        <f>Database!LJH29</f>
        <v>0</v>
      </c>
      <c r="LIP5">
        <f>Database!LJI29</f>
        <v>0</v>
      </c>
      <c r="LIQ5">
        <f>Database!LJJ29</f>
        <v>0</v>
      </c>
      <c r="LIR5">
        <f>Database!LJK29</f>
        <v>0</v>
      </c>
      <c r="LIS5">
        <f>Database!LJL29</f>
        <v>0</v>
      </c>
      <c r="LIT5">
        <f>Database!LJM29</f>
        <v>0</v>
      </c>
      <c r="LIU5">
        <f>Database!LJN29</f>
        <v>0</v>
      </c>
      <c r="LIV5">
        <f>Database!LJO29</f>
        <v>0</v>
      </c>
      <c r="LIW5">
        <f>Database!LJP29</f>
        <v>0</v>
      </c>
      <c r="LIX5">
        <f>Database!LJQ29</f>
        <v>0</v>
      </c>
      <c r="LIY5">
        <f>Database!LJR29</f>
        <v>0</v>
      </c>
      <c r="LIZ5">
        <f>Database!LJS29</f>
        <v>0</v>
      </c>
      <c r="LJA5">
        <f>Database!LJT29</f>
        <v>0</v>
      </c>
      <c r="LJB5">
        <f>Database!LJU29</f>
        <v>0</v>
      </c>
      <c r="LJC5">
        <f>Database!LJV29</f>
        <v>0</v>
      </c>
      <c r="LJD5">
        <f>Database!LJW29</f>
        <v>0</v>
      </c>
      <c r="LJE5">
        <f>Database!LJX29</f>
        <v>0</v>
      </c>
      <c r="LJF5">
        <f>Database!LJY29</f>
        <v>0</v>
      </c>
      <c r="LJG5">
        <f>Database!LJZ29</f>
        <v>0</v>
      </c>
      <c r="LJH5">
        <f>Database!LKA29</f>
        <v>0</v>
      </c>
      <c r="LJI5">
        <f>Database!LKB29</f>
        <v>0</v>
      </c>
      <c r="LJJ5">
        <f>Database!LKC29</f>
        <v>0</v>
      </c>
      <c r="LJK5">
        <f>Database!LKD29</f>
        <v>0</v>
      </c>
      <c r="LJL5">
        <f>Database!LKE29</f>
        <v>0</v>
      </c>
      <c r="LJM5">
        <f>Database!LKF29</f>
        <v>0</v>
      </c>
      <c r="LJN5">
        <f>Database!LKG29</f>
        <v>0</v>
      </c>
      <c r="LJO5">
        <f>Database!LKH29</f>
        <v>0</v>
      </c>
      <c r="LJP5">
        <f>Database!LKI29</f>
        <v>0</v>
      </c>
      <c r="LJQ5">
        <f>Database!LKJ29</f>
        <v>0</v>
      </c>
      <c r="LJR5">
        <f>Database!LKK29</f>
        <v>0</v>
      </c>
      <c r="LJS5">
        <f>Database!LKL29</f>
        <v>0</v>
      </c>
      <c r="LJT5">
        <f>Database!LKM29</f>
        <v>0</v>
      </c>
      <c r="LJU5">
        <f>Database!LKN29</f>
        <v>0</v>
      </c>
      <c r="LJV5">
        <f>Database!LKO29</f>
        <v>0</v>
      </c>
      <c r="LJW5">
        <f>Database!LKP29</f>
        <v>0</v>
      </c>
      <c r="LJX5">
        <f>Database!LKQ29</f>
        <v>0</v>
      </c>
      <c r="LJY5">
        <f>Database!LKR29</f>
        <v>0</v>
      </c>
      <c r="LJZ5">
        <f>Database!LKS29</f>
        <v>0</v>
      </c>
      <c r="LKA5">
        <f>Database!LKT29</f>
        <v>0</v>
      </c>
      <c r="LKB5">
        <f>Database!LKU29</f>
        <v>0</v>
      </c>
      <c r="LKC5">
        <f>Database!LKV29</f>
        <v>0</v>
      </c>
      <c r="LKD5">
        <f>Database!LKW29</f>
        <v>0</v>
      </c>
      <c r="LKE5">
        <f>Database!LKX29</f>
        <v>0</v>
      </c>
      <c r="LKF5">
        <f>Database!LKY29</f>
        <v>0</v>
      </c>
      <c r="LKG5">
        <f>Database!LKZ29</f>
        <v>0</v>
      </c>
      <c r="LKH5">
        <f>Database!LLA29</f>
        <v>0</v>
      </c>
      <c r="LKI5">
        <f>Database!LLB29</f>
        <v>0</v>
      </c>
      <c r="LKJ5">
        <f>Database!LLC29</f>
        <v>0</v>
      </c>
      <c r="LKK5">
        <f>Database!LLD29</f>
        <v>0</v>
      </c>
      <c r="LKL5">
        <f>Database!LLE29</f>
        <v>0</v>
      </c>
      <c r="LKM5">
        <f>Database!LLF29</f>
        <v>0</v>
      </c>
      <c r="LKN5">
        <f>Database!LLG29</f>
        <v>0</v>
      </c>
      <c r="LKO5">
        <f>Database!LLH29</f>
        <v>0</v>
      </c>
      <c r="LKP5">
        <f>Database!LLI29</f>
        <v>0</v>
      </c>
      <c r="LKQ5">
        <f>Database!LLJ29</f>
        <v>0</v>
      </c>
      <c r="LKR5">
        <f>Database!LLK29</f>
        <v>0</v>
      </c>
      <c r="LKS5">
        <f>Database!LLL29</f>
        <v>0</v>
      </c>
      <c r="LKT5">
        <f>Database!LLM29</f>
        <v>0</v>
      </c>
      <c r="LKU5">
        <f>Database!LLN29</f>
        <v>0</v>
      </c>
      <c r="LKV5">
        <f>Database!LLO29</f>
        <v>0</v>
      </c>
      <c r="LKW5">
        <f>Database!LLP29</f>
        <v>0</v>
      </c>
      <c r="LKX5">
        <f>Database!LLQ29</f>
        <v>0</v>
      </c>
      <c r="LKY5">
        <f>Database!LLR29</f>
        <v>0</v>
      </c>
      <c r="LKZ5">
        <f>Database!LLS29</f>
        <v>0</v>
      </c>
      <c r="LLA5">
        <f>Database!LLT29</f>
        <v>0</v>
      </c>
      <c r="LLB5">
        <f>Database!LLU29</f>
        <v>0</v>
      </c>
      <c r="LLC5">
        <f>Database!LLV29</f>
        <v>0</v>
      </c>
      <c r="LLD5">
        <f>Database!LLW29</f>
        <v>0</v>
      </c>
      <c r="LLE5">
        <f>Database!LLX29</f>
        <v>0</v>
      </c>
      <c r="LLF5">
        <f>Database!LLY29</f>
        <v>0</v>
      </c>
      <c r="LLG5">
        <f>Database!LLZ29</f>
        <v>0</v>
      </c>
      <c r="LLH5">
        <f>Database!LMA29</f>
        <v>0</v>
      </c>
      <c r="LLI5">
        <f>Database!LMB29</f>
        <v>0</v>
      </c>
      <c r="LLJ5">
        <f>Database!LMC29</f>
        <v>0</v>
      </c>
      <c r="LLK5">
        <f>Database!LMD29</f>
        <v>0</v>
      </c>
      <c r="LLL5">
        <f>Database!LME29</f>
        <v>0</v>
      </c>
      <c r="LLM5">
        <f>Database!LMF29</f>
        <v>0</v>
      </c>
      <c r="LLN5">
        <f>Database!LMG29</f>
        <v>0</v>
      </c>
      <c r="LLO5">
        <f>Database!LMH29</f>
        <v>0</v>
      </c>
      <c r="LLP5">
        <f>Database!LMI29</f>
        <v>0</v>
      </c>
      <c r="LLQ5">
        <f>Database!LMJ29</f>
        <v>0</v>
      </c>
      <c r="LLR5">
        <f>Database!LMK29</f>
        <v>0</v>
      </c>
      <c r="LLS5">
        <f>Database!LML29</f>
        <v>0</v>
      </c>
      <c r="LLT5">
        <f>Database!LMM29</f>
        <v>0</v>
      </c>
      <c r="LLU5">
        <f>Database!LMN29</f>
        <v>0</v>
      </c>
      <c r="LLV5">
        <f>Database!LMO29</f>
        <v>0</v>
      </c>
      <c r="LLW5">
        <f>Database!LMP29</f>
        <v>0</v>
      </c>
      <c r="LLX5">
        <f>Database!LMQ29</f>
        <v>0</v>
      </c>
      <c r="LLY5">
        <f>Database!LMR29</f>
        <v>0</v>
      </c>
      <c r="LLZ5">
        <f>Database!LMS29</f>
        <v>0</v>
      </c>
      <c r="LMA5">
        <f>Database!LMT29</f>
        <v>0</v>
      </c>
      <c r="LMB5">
        <f>Database!LMU29</f>
        <v>0</v>
      </c>
      <c r="LMC5">
        <f>Database!LMV29</f>
        <v>0</v>
      </c>
      <c r="LMD5">
        <f>Database!LMW29</f>
        <v>0</v>
      </c>
      <c r="LME5">
        <f>Database!LMX29</f>
        <v>0</v>
      </c>
      <c r="LMF5">
        <f>Database!LMY29</f>
        <v>0</v>
      </c>
      <c r="LMG5">
        <f>Database!LMZ29</f>
        <v>0</v>
      </c>
      <c r="LMH5">
        <f>Database!LNA29</f>
        <v>0</v>
      </c>
      <c r="LMI5">
        <f>Database!LNB29</f>
        <v>0</v>
      </c>
      <c r="LMJ5">
        <f>Database!LNC29</f>
        <v>0</v>
      </c>
      <c r="LMK5">
        <f>Database!LND29</f>
        <v>0</v>
      </c>
      <c r="LML5">
        <f>Database!LNE29</f>
        <v>0</v>
      </c>
      <c r="LMM5">
        <f>Database!LNF29</f>
        <v>0</v>
      </c>
      <c r="LMN5">
        <f>Database!LNG29</f>
        <v>0</v>
      </c>
      <c r="LMO5">
        <f>Database!LNH29</f>
        <v>0</v>
      </c>
      <c r="LMP5">
        <f>Database!LNI29</f>
        <v>0</v>
      </c>
      <c r="LMQ5">
        <f>Database!LNJ29</f>
        <v>0</v>
      </c>
      <c r="LMR5">
        <f>Database!LNK29</f>
        <v>0</v>
      </c>
      <c r="LMS5">
        <f>Database!LNL29</f>
        <v>0</v>
      </c>
      <c r="LMT5">
        <f>Database!LNM29</f>
        <v>0</v>
      </c>
      <c r="LMU5">
        <f>Database!LNN29</f>
        <v>0</v>
      </c>
      <c r="LMV5">
        <f>Database!LNO29</f>
        <v>0</v>
      </c>
      <c r="LMW5">
        <f>Database!LNP29</f>
        <v>0</v>
      </c>
      <c r="LMX5">
        <f>Database!LNQ29</f>
        <v>0</v>
      </c>
      <c r="LMY5">
        <f>Database!LNR29</f>
        <v>0</v>
      </c>
      <c r="LMZ5">
        <f>Database!LNS29</f>
        <v>0</v>
      </c>
      <c r="LNA5">
        <f>Database!LNT29</f>
        <v>0</v>
      </c>
      <c r="LNB5">
        <f>Database!LNU29</f>
        <v>0</v>
      </c>
      <c r="LNC5">
        <f>Database!LNV29</f>
        <v>0</v>
      </c>
      <c r="LND5">
        <f>Database!LNW29</f>
        <v>0</v>
      </c>
      <c r="LNE5">
        <f>Database!LNX29</f>
        <v>0</v>
      </c>
      <c r="LNF5">
        <f>Database!LNY29</f>
        <v>0</v>
      </c>
      <c r="LNG5">
        <f>Database!LNZ29</f>
        <v>0</v>
      </c>
      <c r="LNH5">
        <f>Database!LOA29</f>
        <v>0</v>
      </c>
      <c r="LNI5">
        <f>Database!LOB29</f>
        <v>0</v>
      </c>
      <c r="LNJ5">
        <f>Database!LOC29</f>
        <v>0</v>
      </c>
      <c r="LNK5">
        <f>Database!LOD29</f>
        <v>0</v>
      </c>
      <c r="LNL5">
        <f>Database!LOE29</f>
        <v>0</v>
      </c>
      <c r="LNM5">
        <f>Database!LOF29</f>
        <v>0</v>
      </c>
      <c r="LNN5">
        <f>Database!LOG29</f>
        <v>0</v>
      </c>
      <c r="LNO5">
        <f>Database!LOH29</f>
        <v>0</v>
      </c>
      <c r="LNP5">
        <f>Database!LOI29</f>
        <v>0</v>
      </c>
      <c r="LNQ5">
        <f>Database!LOJ29</f>
        <v>0</v>
      </c>
      <c r="LNR5">
        <f>Database!LOK29</f>
        <v>0</v>
      </c>
      <c r="LNS5">
        <f>Database!LOL29</f>
        <v>0</v>
      </c>
      <c r="LNT5">
        <f>Database!LOM29</f>
        <v>0</v>
      </c>
      <c r="LNU5">
        <f>Database!LON29</f>
        <v>0</v>
      </c>
      <c r="LNV5">
        <f>Database!LOO29</f>
        <v>0</v>
      </c>
      <c r="LNW5">
        <f>Database!LOP29</f>
        <v>0</v>
      </c>
      <c r="LNX5">
        <f>Database!LOQ29</f>
        <v>0</v>
      </c>
      <c r="LNY5">
        <f>Database!LOR29</f>
        <v>0</v>
      </c>
      <c r="LNZ5">
        <f>Database!LOS29</f>
        <v>0</v>
      </c>
      <c r="LOA5">
        <f>Database!LOT29</f>
        <v>0</v>
      </c>
      <c r="LOB5">
        <f>Database!LOU29</f>
        <v>0</v>
      </c>
      <c r="LOC5">
        <f>Database!LOV29</f>
        <v>0</v>
      </c>
      <c r="LOD5">
        <f>Database!LOW29</f>
        <v>0</v>
      </c>
      <c r="LOE5">
        <f>Database!LOX29</f>
        <v>0</v>
      </c>
      <c r="LOF5">
        <f>Database!LOY29</f>
        <v>0</v>
      </c>
      <c r="LOG5">
        <f>Database!LOZ29</f>
        <v>0</v>
      </c>
      <c r="LOH5">
        <f>Database!LPA29</f>
        <v>0</v>
      </c>
      <c r="LOI5">
        <f>Database!LPB29</f>
        <v>0</v>
      </c>
      <c r="LOJ5">
        <f>Database!LPC29</f>
        <v>0</v>
      </c>
      <c r="LOK5">
        <f>Database!LPD29</f>
        <v>0</v>
      </c>
      <c r="LOL5">
        <f>Database!LPE29</f>
        <v>0</v>
      </c>
      <c r="LOM5">
        <f>Database!LPF29</f>
        <v>0</v>
      </c>
      <c r="LON5">
        <f>Database!LPG29</f>
        <v>0</v>
      </c>
      <c r="LOO5">
        <f>Database!LPH29</f>
        <v>0</v>
      </c>
      <c r="LOP5">
        <f>Database!LPI29</f>
        <v>0</v>
      </c>
      <c r="LOQ5">
        <f>Database!LPJ29</f>
        <v>0</v>
      </c>
      <c r="LOR5">
        <f>Database!LPK29</f>
        <v>0</v>
      </c>
      <c r="LOS5">
        <f>Database!LPL29</f>
        <v>0</v>
      </c>
      <c r="LOT5">
        <f>Database!LPM29</f>
        <v>0</v>
      </c>
      <c r="LOU5">
        <f>Database!LPN29</f>
        <v>0</v>
      </c>
      <c r="LOV5">
        <f>Database!LPO29</f>
        <v>0</v>
      </c>
      <c r="LOW5">
        <f>Database!LPP29</f>
        <v>0</v>
      </c>
      <c r="LOX5">
        <f>Database!LPQ29</f>
        <v>0</v>
      </c>
      <c r="LOY5">
        <f>Database!LPR29</f>
        <v>0</v>
      </c>
      <c r="LOZ5">
        <f>Database!LPS29</f>
        <v>0</v>
      </c>
      <c r="LPA5">
        <f>Database!LPT29</f>
        <v>0</v>
      </c>
      <c r="LPB5">
        <f>Database!LPU29</f>
        <v>0</v>
      </c>
      <c r="LPC5">
        <f>Database!LPV29</f>
        <v>0</v>
      </c>
      <c r="LPD5">
        <f>Database!LPW29</f>
        <v>0</v>
      </c>
      <c r="LPE5">
        <f>Database!LPX29</f>
        <v>0</v>
      </c>
      <c r="LPF5">
        <f>Database!LPY29</f>
        <v>0</v>
      </c>
      <c r="LPG5">
        <f>Database!LPZ29</f>
        <v>0</v>
      </c>
      <c r="LPH5">
        <f>Database!LQA29</f>
        <v>0</v>
      </c>
      <c r="LPI5">
        <f>Database!LQB29</f>
        <v>0</v>
      </c>
      <c r="LPJ5">
        <f>Database!LQC29</f>
        <v>0</v>
      </c>
      <c r="LPK5">
        <f>Database!LQD29</f>
        <v>0</v>
      </c>
      <c r="LPL5">
        <f>Database!LQE29</f>
        <v>0</v>
      </c>
      <c r="LPM5">
        <f>Database!LQF29</f>
        <v>0</v>
      </c>
      <c r="LPN5">
        <f>Database!LQG29</f>
        <v>0</v>
      </c>
      <c r="LPO5">
        <f>Database!LQH29</f>
        <v>0</v>
      </c>
      <c r="LPP5">
        <f>Database!LQI29</f>
        <v>0</v>
      </c>
      <c r="LPQ5">
        <f>Database!LQJ29</f>
        <v>0</v>
      </c>
      <c r="LPR5">
        <f>Database!LQK29</f>
        <v>0</v>
      </c>
      <c r="LPS5">
        <f>Database!LQL29</f>
        <v>0</v>
      </c>
      <c r="LPT5">
        <f>Database!LQM29</f>
        <v>0</v>
      </c>
      <c r="LPU5">
        <f>Database!LQN29</f>
        <v>0</v>
      </c>
      <c r="LPV5">
        <f>Database!LQO29</f>
        <v>0</v>
      </c>
      <c r="LPW5">
        <f>Database!LQP29</f>
        <v>0</v>
      </c>
      <c r="LPX5">
        <f>Database!LQQ29</f>
        <v>0</v>
      </c>
      <c r="LPY5">
        <f>Database!LQR29</f>
        <v>0</v>
      </c>
      <c r="LPZ5">
        <f>Database!LQS29</f>
        <v>0</v>
      </c>
      <c r="LQA5">
        <f>Database!LQT29</f>
        <v>0</v>
      </c>
      <c r="LQB5">
        <f>Database!LQU29</f>
        <v>0</v>
      </c>
      <c r="LQC5">
        <f>Database!LQV29</f>
        <v>0</v>
      </c>
      <c r="LQD5">
        <f>Database!LQW29</f>
        <v>0</v>
      </c>
      <c r="LQE5">
        <f>Database!LQX29</f>
        <v>0</v>
      </c>
      <c r="LQF5">
        <f>Database!LQY29</f>
        <v>0</v>
      </c>
      <c r="LQG5">
        <f>Database!LQZ29</f>
        <v>0</v>
      </c>
      <c r="LQH5">
        <f>Database!LRA29</f>
        <v>0</v>
      </c>
      <c r="LQI5">
        <f>Database!LRB29</f>
        <v>0</v>
      </c>
      <c r="LQJ5">
        <f>Database!LRC29</f>
        <v>0</v>
      </c>
      <c r="LQK5">
        <f>Database!LRD29</f>
        <v>0</v>
      </c>
      <c r="LQL5">
        <f>Database!LRE29</f>
        <v>0</v>
      </c>
      <c r="LQM5">
        <f>Database!LRF29</f>
        <v>0</v>
      </c>
      <c r="LQN5">
        <f>Database!LRG29</f>
        <v>0</v>
      </c>
      <c r="LQO5">
        <f>Database!LRH29</f>
        <v>0</v>
      </c>
      <c r="LQP5">
        <f>Database!LRI29</f>
        <v>0</v>
      </c>
      <c r="LQQ5">
        <f>Database!LRJ29</f>
        <v>0</v>
      </c>
      <c r="LQR5">
        <f>Database!LRK29</f>
        <v>0</v>
      </c>
      <c r="LQS5">
        <f>Database!LRL29</f>
        <v>0</v>
      </c>
      <c r="LQT5">
        <f>Database!LRM29</f>
        <v>0</v>
      </c>
      <c r="LQU5">
        <f>Database!LRN29</f>
        <v>0</v>
      </c>
      <c r="LQV5">
        <f>Database!LRO29</f>
        <v>0</v>
      </c>
      <c r="LQW5">
        <f>Database!LRP29</f>
        <v>0</v>
      </c>
      <c r="LQX5">
        <f>Database!LRQ29</f>
        <v>0</v>
      </c>
      <c r="LQY5">
        <f>Database!LRR29</f>
        <v>0</v>
      </c>
      <c r="LQZ5">
        <f>Database!LRS29</f>
        <v>0</v>
      </c>
      <c r="LRA5">
        <f>Database!LRT29</f>
        <v>0</v>
      </c>
      <c r="LRB5">
        <f>Database!LRU29</f>
        <v>0</v>
      </c>
      <c r="LRC5">
        <f>Database!LRV29</f>
        <v>0</v>
      </c>
      <c r="LRD5">
        <f>Database!LRW29</f>
        <v>0</v>
      </c>
      <c r="LRE5">
        <f>Database!LRX29</f>
        <v>0</v>
      </c>
      <c r="LRF5">
        <f>Database!LRY29</f>
        <v>0</v>
      </c>
      <c r="LRG5">
        <f>Database!LRZ29</f>
        <v>0</v>
      </c>
      <c r="LRH5">
        <f>Database!LSA29</f>
        <v>0</v>
      </c>
      <c r="LRI5">
        <f>Database!LSB29</f>
        <v>0</v>
      </c>
      <c r="LRJ5">
        <f>Database!LSC29</f>
        <v>0</v>
      </c>
      <c r="LRK5">
        <f>Database!LSD29</f>
        <v>0</v>
      </c>
      <c r="LRL5">
        <f>Database!LSE29</f>
        <v>0</v>
      </c>
      <c r="LRM5">
        <f>Database!LSF29</f>
        <v>0</v>
      </c>
      <c r="LRN5">
        <f>Database!LSG29</f>
        <v>0</v>
      </c>
      <c r="LRO5">
        <f>Database!LSH29</f>
        <v>0</v>
      </c>
      <c r="LRP5">
        <f>Database!LSI29</f>
        <v>0</v>
      </c>
      <c r="LRQ5">
        <f>Database!LSJ29</f>
        <v>0</v>
      </c>
      <c r="LRR5">
        <f>Database!LSK29</f>
        <v>0</v>
      </c>
      <c r="LRS5">
        <f>Database!LSL29</f>
        <v>0</v>
      </c>
      <c r="LRT5">
        <f>Database!LSM29</f>
        <v>0</v>
      </c>
      <c r="LRU5">
        <f>Database!LSN29</f>
        <v>0</v>
      </c>
      <c r="LRV5">
        <f>Database!LSO29</f>
        <v>0</v>
      </c>
      <c r="LRW5">
        <f>Database!LSP29</f>
        <v>0</v>
      </c>
      <c r="LRX5">
        <f>Database!LSQ29</f>
        <v>0</v>
      </c>
      <c r="LRY5">
        <f>Database!LSR29</f>
        <v>0</v>
      </c>
      <c r="LRZ5">
        <f>Database!LSS29</f>
        <v>0</v>
      </c>
      <c r="LSA5">
        <f>Database!LST29</f>
        <v>0</v>
      </c>
      <c r="LSB5">
        <f>Database!LSU29</f>
        <v>0</v>
      </c>
      <c r="LSC5">
        <f>Database!LSV29</f>
        <v>0</v>
      </c>
      <c r="LSD5">
        <f>Database!LSW29</f>
        <v>0</v>
      </c>
      <c r="LSE5">
        <f>Database!LSX29</f>
        <v>0</v>
      </c>
      <c r="LSF5">
        <f>Database!LSY29</f>
        <v>0</v>
      </c>
      <c r="LSG5">
        <f>Database!LSZ29</f>
        <v>0</v>
      </c>
      <c r="LSH5">
        <f>Database!LTA29</f>
        <v>0</v>
      </c>
      <c r="LSI5">
        <f>Database!LTB29</f>
        <v>0</v>
      </c>
      <c r="LSJ5">
        <f>Database!LTC29</f>
        <v>0</v>
      </c>
      <c r="LSK5">
        <f>Database!LTD29</f>
        <v>0</v>
      </c>
      <c r="LSL5">
        <f>Database!LTE29</f>
        <v>0</v>
      </c>
      <c r="LSM5">
        <f>Database!LTF29</f>
        <v>0</v>
      </c>
      <c r="LSN5">
        <f>Database!LTG29</f>
        <v>0</v>
      </c>
      <c r="LSO5">
        <f>Database!LTH29</f>
        <v>0</v>
      </c>
      <c r="LSP5">
        <f>Database!LTI29</f>
        <v>0</v>
      </c>
      <c r="LSQ5">
        <f>Database!LTJ29</f>
        <v>0</v>
      </c>
      <c r="LSR5">
        <f>Database!LTK29</f>
        <v>0</v>
      </c>
      <c r="LSS5">
        <f>Database!LTL29</f>
        <v>0</v>
      </c>
      <c r="LST5">
        <f>Database!LTM29</f>
        <v>0</v>
      </c>
      <c r="LSU5">
        <f>Database!LTN29</f>
        <v>0</v>
      </c>
      <c r="LSV5">
        <f>Database!LTO29</f>
        <v>0</v>
      </c>
      <c r="LSW5">
        <f>Database!LTP29</f>
        <v>0</v>
      </c>
      <c r="LSX5">
        <f>Database!LTQ29</f>
        <v>0</v>
      </c>
      <c r="LSY5">
        <f>Database!LTR29</f>
        <v>0</v>
      </c>
      <c r="LSZ5">
        <f>Database!LTS29</f>
        <v>0</v>
      </c>
      <c r="LTA5">
        <f>Database!LTT29</f>
        <v>0</v>
      </c>
      <c r="LTB5">
        <f>Database!LTU29</f>
        <v>0</v>
      </c>
      <c r="LTC5">
        <f>Database!LTV29</f>
        <v>0</v>
      </c>
      <c r="LTD5">
        <f>Database!LTW29</f>
        <v>0</v>
      </c>
      <c r="LTE5">
        <f>Database!LTX29</f>
        <v>0</v>
      </c>
      <c r="LTF5">
        <f>Database!LTY29</f>
        <v>0</v>
      </c>
      <c r="LTG5">
        <f>Database!LTZ29</f>
        <v>0</v>
      </c>
      <c r="LTH5">
        <f>Database!LUA29</f>
        <v>0</v>
      </c>
      <c r="LTI5">
        <f>Database!LUB29</f>
        <v>0</v>
      </c>
      <c r="LTJ5">
        <f>Database!LUC29</f>
        <v>0</v>
      </c>
      <c r="LTK5">
        <f>Database!LUD29</f>
        <v>0</v>
      </c>
      <c r="LTL5">
        <f>Database!LUE29</f>
        <v>0</v>
      </c>
      <c r="LTM5">
        <f>Database!LUF29</f>
        <v>0</v>
      </c>
      <c r="LTN5">
        <f>Database!LUG29</f>
        <v>0</v>
      </c>
      <c r="LTO5">
        <f>Database!LUH29</f>
        <v>0</v>
      </c>
      <c r="LTP5">
        <f>Database!LUI29</f>
        <v>0</v>
      </c>
      <c r="LTQ5">
        <f>Database!LUJ29</f>
        <v>0</v>
      </c>
      <c r="LTR5">
        <f>Database!LUK29</f>
        <v>0</v>
      </c>
      <c r="LTS5">
        <f>Database!LUL29</f>
        <v>0</v>
      </c>
      <c r="LTT5">
        <f>Database!LUM29</f>
        <v>0</v>
      </c>
      <c r="LTU5">
        <f>Database!LUN29</f>
        <v>0</v>
      </c>
      <c r="LTV5">
        <f>Database!LUO29</f>
        <v>0</v>
      </c>
      <c r="LTW5">
        <f>Database!LUP29</f>
        <v>0</v>
      </c>
      <c r="LTX5">
        <f>Database!LUQ29</f>
        <v>0</v>
      </c>
      <c r="LTY5">
        <f>Database!LUR29</f>
        <v>0</v>
      </c>
      <c r="LTZ5">
        <f>Database!LUS29</f>
        <v>0</v>
      </c>
      <c r="LUA5">
        <f>Database!LUT29</f>
        <v>0</v>
      </c>
      <c r="LUB5">
        <f>Database!LUU29</f>
        <v>0</v>
      </c>
      <c r="LUC5">
        <f>Database!LUV29</f>
        <v>0</v>
      </c>
      <c r="LUD5">
        <f>Database!LUW29</f>
        <v>0</v>
      </c>
      <c r="LUE5">
        <f>Database!LUX29</f>
        <v>0</v>
      </c>
      <c r="LUF5">
        <f>Database!LUY29</f>
        <v>0</v>
      </c>
      <c r="LUG5">
        <f>Database!LUZ29</f>
        <v>0</v>
      </c>
      <c r="LUH5">
        <f>Database!LVA29</f>
        <v>0</v>
      </c>
      <c r="LUI5">
        <f>Database!LVB29</f>
        <v>0</v>
      </c>
      <c r="LUJ5">
        <f>Database!LVC29</f>
        <v>0</v>
      </c>
      <c r="LUK5">
        <f>Database!LVD29</f>
        <v>0</v>
      </c>
      <c r="LUL5">
        <f>Database!LVE29</f>
        <v>0</v>
      </c>
      <c r="LUM5">
        <f>Database!LVF29</f>
        <v>0</v>
      </c>
      <c r="LUN5">
        <f>Database!LVG29</f>
        <v>0</v>
      </c>
      <c r="LUO5">
        <f>Database!LVH29</f>
        <v>0</v>
      </c>
      <c r="LUP5">
        <f>Database!LVI29</f>
        <v>0</v>
      </c>
      <c r="LUQ5">
        <f>Database!LVJ29</f>
        <v>0</v>
      </c>
      <c r="LUR5">
        <f>Database!LVK29</f>
        <v>0</v>
      </c>
      <c r="LUS5">
        <f>Database!LVL29</f>
        <v>0</v>
      </c>
      <c r="LUT5">
        <f>Database!LVM29</f>
        <v>0</v>
      </c>
      <c r="LUU5">
        <f>Database!LVN29</f>
        <v>0</v>
      </c>
      <c r="LUV5">
        <f>Database!LVO29</f>
        <v>0</v>
      </c>
      <c r="LUW5">
        <f>Database!LVP29</f>
        <v>0</v>
      </c>
      <c r="LUX5">
        <f>Database!LVQ29</f>
        <v>0</v>
      </c>
      <c r="LUY5">
        <f>Database!LVR29</f>
        <v>0</v>
      </c>
      <c r="LUZ5">
        <f>Database!LVS29</f>
        <v>0</v>
      </c>
      <c r="LVA5">
        <f>Database!LVT29</f>
        <v>0</v>
      </c>
      <c r="LVB5">
        <f>Database!LVU29</f>
        <v>0</v>
      </c>
      <c r="LVC5">
        <f>Database!LVV29</f>
        <v>0</v>
      </c>
      <c r="LVD5">
        <f>Database!LVW29</f>
        <v>0</v>
      </c>
      <c r="LVE5">
        <f>Database!LVX29</f>
        <v>0</v>
      </c>
      <c r="LVF5">
        <f>Database!LVY29</f>
        <v>0</v>
      </c>
      <c r="LVG5">
        <f>Database!LVZ29</f>
        <v>0</v>
      </c>
      <c r="LVH5">
        <f>Database!LWA29</f>
        <v>0</v>
      </c>
      <c r="LVI5">
        <f>Database!LWB29</f>
        <v>0</v>
      </c>
      <c r="LVJ5">
        <f>Database!LWC29</f>
        <v>0</v>
      </c>
      <c r="LVK5">
        <f>Database!LWD29</f>
        <v>0</v>
      </c>
      <c r="LVL5">
        <f>Database!LWE29</f>
        <v>0</v>
      </c>
      <c r="LVM5">
        <f>Database!LWF29</f>
        <v>0</v>
      </c>
      <c r="LVN5">
        <f>Database!LWG29</f>
        <v>0</v>
      </c>
      <c r="LVO5">
        <f>Database!LWH29</f>
        <v>0</v>
      </c>
      <c r="LVP5">
        <f>Database!LWI29</f>
        <v>0</v>
      </c>
      <c r="LVQ5">
        <f>Database!LWJ29</f>
        <v>0</v>
      </c>
      <c r="LVR5">
        <f>Database!LWK29</f>
        <v>0</v>
      </c>
      <c r="LVS5">
        <f>Database!LWL29</f>
        <v>0</v>
      </c>
      <c r="LVT5">
        <f>Database!LWM29</f>
        <v>0</v>
      </c>
      <c r="LVU5">
        <f>Database!LWN29</f>
        <v>0</v>
      </c>
      <c r="LVV5">
        <f>Database!LWO29</f>
        <v>0</v>
      </c>
      <c r="LVW5">
        <f>Database!LWP29</f>
        <v>0</v>
      </c>
      <c r="LVX5">
        <f>Database!LWQ29</f>
        <v>0</v>
      </c>
      <c r="LVY5">
        <f>Database!LWR29</f>
        <v>0</v>
      </c>
      <c r="LVZ5">
        <f>Database!LWS29</f>
        <v>0</v>
      </c>
      <c r="LWA5">
        <f>Database!LWT29</f>
        <v>0</v>
      </c>
      <c r="LWB5">
        <f>Database!LWU29</f>
        <v>0</v>
      </c>
      <c r="LWC5">
        <f>Database!LWV29</f>
        <v>0</v>
      </c>
      <c r="LWD5">
        <f>Database!LWW29</f>
        <v>0</v>
      </c>
      <c r="LWE5">
        <f>Database!LWX29</f>
        <v>0</v>
      </c>
      <c r="LWF5">
        <f>Database!LWY29</f>
        <v>0</v>
      </c>
      <c r="LWG5">
        <f>Database!LWZ29</f>
        <v>0</v>
      </c>
      <c r="LWH5">
        <f>Database!LXA29</f>
        <v>0</v>
      </c>
      <c r="LWI5">
        <f>Database!LXB29</f>
        <v>0</v>
      </c>
      <c r="LWJ5">
        <f>Database!LXC29</f>
        <v>0</v>
      </c>
      <c r="LWK5">
        <f>Database!LXD29</f>
        <v>0</v>
      </c>
      <c r="LWL5">
        <f>Database!LXE29</f>
        <v>0</v>
      </c>
      <c r="LWM5">
        <f>Database!LXF29</f>
        <v>0</v>
      </c>
      <c r="LWN5">
        <f>Database!LXG29</f>
        <v>0</v>
      </c>
      <c r="LWO5">
        <f>Database!LXH29</f>
        <v>0</v>
      </c>
      <c r="LWP5">
        <f>Database!LXI29</f>
        <v>0</v>
      </c>
      <c r="LWQ5">
        <f>Database!LXJ29</f>
        <v>0</v>
      </c>
      <c r="LWR5">
        <f>Database!LXK29</f>
        <v>0</v>
      </c>
      <c r="LWS5">
        <f>Database!LXL29</f>
        <v>0</v>
      </c>
      <c r="LWT5">
        <f>Database!LXM29</f>
        <v>0</v>
      </c>
      <c r="LWU5">
        <f>Database!LXN29</f>
        <v>0</v>
      </c>
      <c r="LWV5">
        <f>Database!LXO29</f>
        <v>0</v>
      </c>
      <c r="LWW5">
        <f>Database!LXP29</f>
        <v>0</v>
      </c>
      <c r="LWX5">
        <f>Database!LXQ29</f>
        <v>0</v>
      </c>
      <c r="LWY5">
        <f>Database!LXR29</f>
        <v>0</v>
      </c>
      <c r="LWZ5">
        <f>Database!LXS29</f>
        <v>0</v>
      </c>
      <c r="LXA5">
        <f>Database!LXT29</f>
        <v>0</v>
      </c>
      <c r="LXB5">
        <f>Database!LXU29</f>
        <v>0</v>
      </c>
      <c r="LXC5">
        <f>Database!LXV29</f>
        <v>0</v>
      </c>
      <c r="LXD5">
        <f>Database!LXW29</f>
        <v>0</v>
      </c>
      <c r="LXE5">
        <f>Database!LXX29</f>
        <v>0</v>
      </c>
      <c r="LXF5">
        <f>Database!LXY29</f>
        <v>0</v>
      </c>
      <c r="LXG5">
        <f>Database!LXZ29</f>
        <v>0</v>
      </c>
      <c r="LXH5">
        <f>Database!LYA29</f>
        <v>0</v>
      </c>
      <c r="LXI5">
        <f>Database!LYB29</f>
        <v>0</v>
      </c>
      <c r="LXJ5">
        <f>Database!LYC29</f>
        <v>0</v>
      </c>
      <c r="LXK5">
        <f>Database!LYD29</f>
        <v>0</v>
      </c>
      <c r="LXL5">
        <f>Database!LYE29</f>
        <v>0</v>
      </c>
      <c r="LXM5">
        <f>Database!LYF29</f>
        <v>0</v>
      </c>
      <c r="LXN5">
        <f>Database!LYG29</f>
        <v>0</v>
      </c>
      <c r="LXO5">
        <f>Database!LYH29</f>
        <v>0</v>
      </c>
      <c r="LXP5">
        <f>Database!LYI29</f>
        <v>0</v>
      </c>
      <c r="LXQ5">
        <f>Database!LYJ29</f>
        <v>0</v>
      </c>
      <c r="LXR5">
        <f>Database!LYK29</f>
        <v>0</v>
      </c>
      <c r="LXS5">
        <f>Database!LYL29</f>
        <v>0</v>
      </c>
      <c r="LXT5">
        <f>Database!LYM29</f>
        <v>0</v>
      </c>
      <c r="LXU5">
        <f>Database!LYN29</f>
        <v>0</v>
      </c>
      <c r="LXV5">
        <f>Database!LYO29</f>
        <v>0</v>
      </c>
      <c r="LXW5">
        <f>Database!LYP29</f>
        <v>0</v>
      </c>
      <c r="LXX5">
        <f>Database!LYQ29</f>
        <v>0</v>
      </c>
      <c r="LXY5">
        <f>Database!LYR29</f>
        <v>0</v>
      </c>
      <c r="LXZ5">
        <f>Database!LYS29</f>
        <v>0</v>
      </c>
      <c r="LYA5">
        <f>Database!LYT29</f>
        <v>0</v>
      </c>
      <c r="LYB5">
        <f>Database!LYU29</f>
        <v>0</v>
      </c>
      <c r="LYC5">
        <f>Database!LYV29</f>
        <v>0</v>
      </c>
      <c r="LYD5">
        <f>Database!LYW29</f>
        <v>0</v>
      </c>
      <c r="LYE5">
        <f>Database!LYX29</f>
        <v>0</v>
      </c>
      <c r="LYF5">
        <f>Database!LYY29</f>
        <v>0</v>
      </c>
      <c r="LYG5">
        <f>Database!LYZ29</f>
        <v>0</v>
      </c>
      <c r="LYH5">
        <f>Database!LZA29</f>
        <v>0</v>
      </c>
      <c r="LYI5">
        <f>Database!LZB29</f>
        <v>0</v>
      </c>
      <c r="LYJ5">
        <f>Database!LZC29</f>
        <v>0</v>
      </c>
      <c r="LYK5">
        <f>Database!LZD29</f>
        <v>0</v>
      </c>
      <c r="LYL5">
        <f>Database!LZE29</f>
        <v>0</v>
      </c>
      <c r="LYM5">
        <f>Database!LZF29</f>
        <v>0</v>
      </c>
      <c r="LYN5">
        <f>Database!LZG29</f>
        <v>0</v>
      </c>
      <c r="LYO5">
        <f>Database!LZH29</f>
        <v>0</v>
      </c>
      <c r="LYP5">
        <f>Database!LZI29</f>
        <v>0</v>
      </c>
      <c r="LYQ5">
        <f>Database!LZJ29</f>
        <v>0</v>
      </c>
      <c r="LYR5">
        <f>Database!LZK29</f>
        <v>0</v>
      </c>
      <c r="LYS5">
        <f>Database!LZL29</f>
        <v>0</v>
      </c>
      <c r="LYT5">
        <f>Database!LZM29</f>
        <v>0</v>
      </c>
      <c r="LYU5">
        <f>Database!LZN29</f>
        <v>0</v>
      </c>
      <c r="LYV5">
        <f>Database!LZO29</f>
        <v>0</v>
      </c>
      <c r="LYW5">
        <f>Database!LZP29</f>
        <v>0</v>
      </c>
      <c r="LYX5">
        <f>Database!LZQ29</f>
        <v>0</v>
      </c>
      <c r="LYY5">
        <f>Database!LZR29</f>
        <v>0</v>
      </c>
      <c r="LYZ5">
        <f>Database!LZS29</f>
        <v>0</v>
      </c>
      <c r="LZA5">
        <f>Database!LZT29</f>
        <v>0</v>
      </c>
      <c r="LZB5">
        <f>Database!LZU29</f>
        <v>0</v>
      </c>
      <c r="LZC5">
        <f>Database!LZV29</f>
        <v>0</v>
      </c>
      <c r="LZD5">
        <f>Database!LZW29</f>
        <v>0</v>
      </c>
      <c r="LZE5">
        <f>Database!LZX29</f>
        <v>0</v>
      </c>
      <c r="LZF5">
        <f>Database!LZY29</f>
        <v>0</v>
      </c>
      <c r="LZG5">
        <f>Database!LZZ29</f>
        <v>0</v>
      </c>
      <c r="LZH5">
        <f>Database!MAA29</f>
        <v>0</v>
      </c>
      <c r="LZI5">
        <f>Database!MAB29</f>
        <v>0</v>
      </c>
      <c r="LZJ5">
        <f>Database!MAC29</f>
        <v>0</v>
      </c>
      <c r="LZK5">
        <f>Database!MAD29</f>
        <v>0</v>
      </c>
      <c r="LZL5">
        <f>Database!MAE29</f>
        <v>0</v>
      </c>
      <c r="LZM5">
        <f>Database!MAF29</f>
        <v>0</v>
      </c>
      <c r="LZN5">
        <f>Database!MAG29</f>
        <v>0</v>
      </c>
      <c r="LZO5">
        <f>Database!MAH29</f>
        <v>0</v>
      </c>
      <c r="LZP5">
        <f>Database!MAI29</f>
        <v>0</v>
      </c>
      <c r="LZQ5">
        <f>Database!MAJ29</f>
        <v>0</v>
      </c>
      <c r="LZR5">
        <f>Database!MAK29</f>
        <v>0</v>
      </c>
      <c r="LZS5">
        <f>Database!MAL29</f>
        <v>0</v>
      </c>
      <c r="LZT5">
        <f>Database!MAM29</f>
        <v>0</v>
      </c>
      <c r="LZU5">
        <f>Database!MAN29</f>
        <v>0</v>
      </c>
      <c r="LZV5">
        <f>Database!MAO29</f>
        <v>0</v>
      </c>
      <c r="LZW5">
        <f>Database!MAP29</f>
        <v>0</v>
      </c>
      <c r="LZX5">
        <f>Database!MAQ29</f>
        <v>0</v>
      </c>
      <c r="LZY5">
        <f>Database!MAR29</f>
        <v>0</v>
      </c>
      <c r="LZZ5">
        <f>Database!MAS29</f>
        <v>0</v>
      </c>
      <c r="MAA5">
        <f>Database!MAT29</f>
        <v>0</v>
      </c>
      <c r="MAB5">
        <f>Database!MAU29</f>
        <v>0</v>
      </c>
      <c r="MAC5">
        <f>Database!MAV29</f>
        <v>0</v>
      </c>
      <c r="MAD5">
        <f>Database!MAW29</f>
        <v>0</v>
      </c>
      <c r="MAE5">
        <f>Database!MAX29</f>
        <v>0</v>
      </c>
      <c r="MAF5">
        <f>Database!MAY29</f>
        <v>0</v>
      </c>
      <c r="MAG5">
        <f>Database!MAZ29</f>
        <v>0</v>
      </c>
      <c r="MAH5">
        <f>Database!MBA29</f>
        <v>0</v>
      </c>
      <c r="MAI5">
        <f>Database!MBB29</f>
        <v>0</v>
      </c>
      <c r="MAJ5">
        <f>Database!MBC29</f>
        <v>0</v>
      </c>
      <c r="MAK5">
        <f>Database!MBD29</f>
        <v>0</v>
      </c>
      <c r="MAL5">
        <f>Database!MBE29</f>
        <v>0</v>
      </c>
      <c r="MAM5">
        <f>Database!MBF29</f>
        <v>0</v>
      </c>
      <c r="MAN5">
        <f>Database!MBG29</f>
        <v>0</v>
      </c>
      <c r="MAO5">
        <f>Database!MBH29</f>
        <v>0</v>
      </c>
      <c r="MAP5">
        <f>Database!MBI29</f>
        <v>0</v>
      </c>
      <c r="MAQ5">
        <f>Database!MBJ29</f>
        <v>0</v>
      </c>
      <c r="MAR5">
        <f>Database!MBK29</f>
        <v>0</v>
      </c>
      <c r="MAS5">
        <f>Database!MBL29</f>
        <v>0</v>
      </c>
      <c r="MAT5">
        <f>Database!MBM29</f>
        <v>0</v>
      </c>
      <c r="MAU5">
        <f>Database!MBN29</f>
        <v>0</v>
      </c>
      <c r="MAV5">
        <f>Database!MBO29</f>
        <v>0</v>
      </c>
      <c r="MAW5">
        <f>Database!MBP29</f>
        <v>0</v>
      </c>
      <c r="MAX5">
        <f>Database!MBQ29</f>
        <v>0</v>
      </c>
      <c r="MAY5">
        <f>Database!MBR29</f>
        <v>0</v>
      </c>
      <c r="MAZ5">
        <f>Database!MBS29</f>
        <v>0</v>
      </c>
      <c r="MBA5">
        <f>Database!MBT29</f>
        <v>0</v>
      </c>
      <c r="MBB5">
        <f>Database!MBU29</f>
        <v>0</v>
      </c>
      <c r="MBC5">
        <f>Database!MBV29</f>
        <v>0</v>
      </c>
      <c r="MBD5">
        <f>Database!MBW29</f>
        <v>0</v>
      </c>
      <c r="MBE5">
        <f>Database!MBX29</f>
        <v>0</v>
      </c>
      <c r="MBF5">
        <f>Database!MBY29</f>
        <v>0</v>
      </c>
      <c r="MBG5">
        <f>Database!MBZ29</f>
        <v>0</v>
      </c>
      <c r="MBH5">
        <f>Database!MCA29</f>
        <v>0</v>
      </c>
      <c r="MBI5">
        <f>Database!MCB29</f>
        <v>0</v>
      </c>
      <c r="MBJ5">
        <f>Database!MCC29</f>
        <v>0</v>
      </c>
      <c r="MBK5">
        <f>Database!MCD29</f>
        <v>0</v>
      </c>
      <c r="MBL5">
        <f>Database!MCE29</f>
        <v>0</v>
      </c>
      <c r="MBM5">
        <f>Database!MCF29</f>
        <v>0</v>
      </c>
      <c r="MBN5">
        <f>Database!MCG29</f>
        <v>0</v>
      </c>
      <c r="MBO5">
        <f>Database!MCH29</f>
        <v>0</v>
      </c>
      <c r="MBP5">
        <f>Database!MCI29</f>
        <v>0</v>
      </c>
      <c r="MBQ5">
        <f>Database!MCJ29</f>
        <v>0</v>
      </c>
      <c r="MBR5">
        <f>Database!MCK29</f>
        <v>0</v>
      </c>
      <c r="MBS5">
        <f>Database!MCL29</f>
        <v>0</v>
      </c>
      <c r="MBT5">
        <f>Database!MCM29</f>
        <v>0</v>
      </c>
      <c r="MBU5">
        <f>Database!MCN29</f>
        <v>0</v>
      </c>
      <c r="MBV5">
        <f>Database!MCO29</f>
        <v>0</v>
      </c>
      <c r="MBW5">
        <f>Database!MCP29</f>
        <v>0</v>
      </c>
      <c r="MBX5">
        <f>Database!MCQ29</f>
        <v>0</v>
      </c>
      <c r="MBY5">
        <f>Database!MCR29</f>
        <v>0</v>
      </c>
      <c r="MBZ5">
        <f>Database!MCS29</f>
        <v>0</v>
      </c>
      <c r="MCA5">
        <f>Database!MCT29</f>
        <v>0</v>
      </c>
      <c r="MCB5">
        <f>Database!MCU29</f>
        <v>0</v>
      </c>
      <c r="MCC5">
        <f>Database!MCV29</f>
        <v>0</v>
      </c>
      <c r="MCD5">
        <f>Database!MCW29</f>
        <v>0</v>
      </c>
      <c r="MCE5">
        <f>Database!MCX29</f>
        <v>0</v>
      </c>
      <c r="MCF5">
        <f>Database!MCY29</f>
        <v>0</v>
      </c>
      <c r="MCG5">
        <f>Database!MCZ29</f>
        <v>0</v>
      </c>
      <c r="MCH5">
        <f>Database!MDA29</f>
        <v>0</v>
      </c>
      <c r="MCI5">
        <f>Database!MDB29</f>
        <v>0</v>
      </c>
      <c r="MCJ5">
        <f>Database!MDC29</f>
        <v>0</v>
      </c>
      <c r="MCK5">
        <f>Database!MDD29</f>
        <v>0</v>
      </c>
      <c r="MCL5">
        <f>Database!MDE29</f>
        <v>0</v>
      </c>
      <c r="MCM5">
        <f>Database!MDF29</f>
        <v>0</v>
      </c>
      <c r="MCN5">
        <f>Database!MDG29</f>
        <v>0</v>
      </c>
      <c r="MCO5">
        <f>Database!MDH29</f>
        <v>0</v>
      </c>
      <c r="MCP5">
        <f>Database!MDI29</f>
        <v>0</v>
      </c>
      <c r="MCQ5">
        <f>Database!MDJ29</f>
        <v>0</v>
      </c>
      <c r="MCR5">
        <f>Database!MDK29</f>
        <v>0</v>
      </c>
      <c r="MCS5">
        <f>Database!MDL29</f>
        <v>0</v>
      </c>
      <c r="MCT5">
        <f>Database!MDM29</f>
        <v>0</v>
      </c>
      <c r="MCU5">
        <f>Database!MDN29</f>
        <v>0</v>
      </c>
      <c r="MCV5">
        <f>Database!MDO29</f>
        <v>0</v>
      </c>
      <c r="MCW5">
        <f>Database!MDP29</f>
        <v>0</v>
      </c>
      <c r="MCX5">
        <f>Database!MDQ29</f>
        <v>0</v>
      </c>
      <c r="MCY5">
        <f>Database!MDR29</f>
        <v>0</v>
      </c>
      <c r="MCZ5">
        <f>Database!MDS29</f>
        <v>0</v>
      </c>
      <c r="MDA5">
        <f>Database!MDT29</f>
        <v>0</v>
      </c>
      <c r="MDB5">
        <f>Database!MDU29</f>
        <v>0</v>
      </c>
      <c r="MDC5">
        <f>Database!MDV29</f>
        <v>0</v>
      </c>
      <c r="MDD5">
        <f>Database!MDW29</f>
        <v>0</v>
      </c>
      <c r="MDE5">
        <f>Database!MDX29</f>
        <v>0</v>
      </c>
      <c r="MDF5">
        <f>Database!MDY29</f>
        <v>0</v>
      </c>
      <c r="MDG5">
        <f>Database!MDZ29</f>
        <v>0</v>
      </c>
      <c r="MDH5">
        <f>Database!MEA29</f>
        <v>0</v>
      </c>
      <c r="MDI5">
        <f>Database!MEB29</f>
        <v>0</v>
      </c>
      <c r="MDJ5">
        <f>Database!MEC29</f>
        <v>0</v>
      </c>
      <c r="MDK5">
        <f>Database!MED29</f>
        <v>0</v>
      </c>
      <c r="MDL5">
        <f>Database!MEE29</f>
        <v>0</v>
      </c>
      <c r="MDM5">
        <f>Database!MEF29</f>
        <v>0</v>
      </c>
      <c r="MDN5">
        <f>Database!MEG29</f>
        <v>0</v>
      </c>
      <c r="MDO5">
        <f>Database!MEH29</f>
        <v>0</v>
      </c>
      <c r="MDP5">
        <f>Database!MEI29</f>
        <v>0</v>
      </c>
      <c r="MDQ5">
        <f>Database!MEJ29</f>
        <v>0</v>
      </c>
      <c r="MDR5">
        <f>Database!MEK29</f>
        <v>0</v>
      </c>
      <c r="MDS5">
        <f>Database!MEL29</f>
        <v>0</v>
      </c>
      <c r="MDT5">
        <f>Database!MEM29</f>
        <v>0</v>
      </c>
      <c r="MDU5">
        <f>Database!MEN29</f>
        <v>0</v>
      </c>
      <c r="MDV5">
        <f>Database!MEO29</f>
        <v>0</v>
      </c>
      <c r="MDW5">
        <f>Database!MEP29</f>
        <v>0</v>
      </c>
      <c r="MDX5">
        <f>Database!MEQ29</f>
        <v>0</v>
      </c>
      <c r="MDY5">
        <f>Database!MER29</f>
        <v>0</v>
      </c>
      <c r="MDZ5">
        <f>Database!MES29</f>
        <v>0</v>
      </c>
      <c r="MEA5">
        <f>Database!MET29</f>
        <v>0</v>
      </c>
      <c r="MEB5">
        <f>Database!MEU29</f>
        <v>0</v>
      </c>
      <c r="MEC5">
        <f>Database!MEV29</f>
        <v>0</v>
      </c>
      <c r="MED5">
        <f>Database!MEW29</f>
        <v>0</v>
      </c>
      <c r="MEE5">
        <f>Database!MEX29</f>
        <v>0</v>
      </c>
      <c r="MEF5">
        <f>Database!MEY29</f>
        <v>0</v>
      </c>
      <c r="MEG5">
        <f>Database!MEZ29</f>
        <v>0</v>
      </c>
      <c r="MEH5">
        <f>Database!MFA29</f>
        <v>0</v>
      </c>
      <c r="MEI5">
        <f>Database!MFB29</f>
        <v>0</v>
      </c>
      <c r="MEJ5">
        <f>Database!MFC29</f>
        <v>0</v>
      </c>
      <c r="MEK5">
        <f>Database!MFD29</f>
        <v>0</v>
      </c>
      <c r="MEL5">
        <f>Database!MFE29</f>
        <v>0</v>
      </c>
      <c r="MEM5">
        <f>Database!MFF29</f>
        <v>0</v>
      </c>
      <c r="MEN5">
        <f>Database!MFG29</f>
        <v>0</v>
      </c>
      <c r="MEO5">
        <f>Database!MFH29</f>
        <v>0</v>
      </c>
      <c r="MEP5">
        <f>Database!MFI29</f>
        <v>0</v>
      </c>
      <c r="MEQ5">
        <f>Database!MFJ29</f>
        <v>0</v>
      </c>
      <c r="MER5">
        <f>Database!MFK29</f>
        <v>0</v>
      </c>
      <c r="MES5">
        <f>Database!MFL29</f>
        <v>0</v>
      </c>
      <c r="MET5">
        <f>Database!MFM29</f>
        <v>0</v>
      </c>
      <c r="MEU5">
        <f>Database!MFN29</f>
        <v>0</v>
      </c>
      <c r="MEV5">
        <f>Database!MFO29</f>
        <v>0</v>
      </c>
      <c r="MEW5">
        <f>Database!MFP29</f>
        <v>0</v>
      </c>
      <c r="MEX5">
        <f>Database!MFQ29</f>
        <v>0</v>
      </c>
      <c r="MEY5">
        <f>Database!MFR29</f>
        <v>0</v>
      </c>
      <c r="MEZ5">
        <f>Database!MFS29</f>
        <v>0</v>
      </c>
      <c r="MFA5">
        <f>Database!MFT29</f>
        <v>0</v>
      </c>
      <c r="MFB5">
        <f>Database!MFU29</f>
        <v>0</v>
      </c>
      <c r="MFC5">
        <f>Database!MFV29</f>
        <v>0</v>
      </c>
      <c r="MFD5">
        <f>Database!MFW29</f>
        <v>0</v>
      </c>
      <c r="MFE5">
        <f>Database!MFX29</f>
        <v>0</v>
      </c>
      <c r="MFF5">
        <f>Database!MFY29</f>
        <v>0</v>
      </c>
      <c r="MFG5">
        <f>Database!MFZ29</f>
        <v>0</v>
      </c>
      <c r="MFH5">
        <f>Database!MGA29</f>
        <v>0</v>
      </c>
      <c r="MFI5">
        <f>Database!MGB29</f>
        <v>0</v>
      </c>
      <c r="MFJ5">
        <f>Database!MGC29</f>
        <v>0</v>
      </c>
      <c r="MFK5">
        <f>Database!MGD29</f>
        <v>0</v>
      </c>
      <c r="MFL5">
        <f>Database!MGE29</f>
        <v>0</v>
      </c>
      <c r="MFM5">
        <f>Database!MGF29</f>
        <v>0</v>
      </c>
      <c r="MFN5">
        <f>Database!MGG29</f>
        <v>0</v>
      </c>
      <c r="MFO5">
        <f>Database!MGH29</f>
        <v>0</v>
      </c>
      <c r="MFP5">
        <f>Database!MGI29</f>
        <v>0</v>
      </c>
      <c r="MFQ5">
        <f>Database!MGJ29</f>
        <v>0</v>
      </c>
      <c r="MFR5">
        <f>Database!MGK29</f>
        <v>0</v>
      </c>
      <c r="MFS5">
        <f>Database!MGL29</f>
        <v>0</v>
      </c>
      <c r="MFT5">
        <f>Database!MGM29</f>
        <v>0</v>
      </c>
      <c r="MFU5">
        <f>Database!MGN29</f>
        <v>0</v>
      </c>
      <c r="MFV5">
        <f>Database!MGO29</f>
        <v>0</v>
      </c>
      <c r="MFW5">
        <f>Database!MGP29</f>
        <v>0</v>
      </c>
      <c r="MFX5">
        <f>Database!MGQ29</f>
        <v>0</v>
      </c>
      <c r="MFY5">
        <f>Database!MGR29</f>
        <v>0</v>
      </c>
      <c r="MFZ5">
        <f>Database!MGS29</f>
        <v>0</v>
      </c>
      <c r="MGA5">
        <f>Database!MGT29</f>
        <v>0</v>
      </c>
      <c r="MGB5">
        <f>Database!MGU29</f>
        <v>0</v>
      </c>
      <c r="MGC5">
        <f>Database!MGV29</f>
        <v>0</v>
      </c>
      <c r="MGD5">
        <f>Database!MGW29</f>
        <v>0</v>
      </c>
      <c r="MGE5">
        <f>Database!MGX29</f>
        <v>0</v>
      </c>
      <c r="MGF5">
        <f>Database!MGY29</f>
        <v>0</v>
      </c>
      <c r="MGG5">
        <f>Database!MGZ29</f>
        <v>0</v>
      </c>
      <c r="MGH5">
        <f>Database!MHA29</f>
        <v>0</v>
      </c>
      <c r="MGI5">
        <f>Database!MHB29</f>
        <v>0</v>
      </c>
      <c r="MGJ5">
        <f>Database!MHC29</f>
        <v>0</v>
      </c>
      <c r="MGK5">
        <f>Database!MHD29</f>
        <v>0</v>
      </c>
      <c r="MGL5">
        <f>Database!MHE29</f>
        <v>0</v>
      </c>
      <c r="MGM5">
        <f>Database!MHF29</f>
        <v>0</v>
      </c>
      <c r="MGN5">
        <f>Database!MHG29</f>
        <v>0</v>
      </c>
      <c r="MGO5">
        <f>Database!MHH29</f>
        <v>0</v>
      </c>
      <c r="MGP5">
        <f>Database!MHI29</f>
        <v>0</v>
      </c>
      <c r="MGQ5">
        <f>Database!MHJ29</f>
        <v>0</v>
      </c>
      <c r="MGR5">
        <f>Database!MHK29</f>
        <v>0</v>
      </c>
      <c r="MGS5">
        <f>Database!MHL29</f>
        <v>0</v>
      </c>
      <c r="MGT5">
        <f>Database!MHM29</f>
        <v>0</v>
      </c>
      <c r="MGU5">
        <f>Database!MHN29</f>
        <v>0</v>
      </c>
      <c r="MGV5">
        <f>Database!MHO29</f>
        <v>0</v>
      </c>
      <c r="MGW5">
        <f>Database!MHP29</f>
        <v>0</v>
      </c>
      <c r="MGX5">
        <f>Database!MHQ29</f>
        <v>0</v>
      </c>
      <c r="MGY5">
        <f>Database!MHR29</f>
        <v>0</v>
      </c>
      <c r="MGZ5">
        <f>Database!MHS29</f>
        <v>0</v>
      </c>
      <c r="MHA5">
        <f>Database!MHT29</f>
        <v>0</v>
      </c>
      <c r="MHB5">
        <f>Database!MHU29</f>
        <v>0</v>
      </c>
      <c r="MHC5">
        <f>Database!MHV29</f>
        <v>0</v>
      </c>
      <c r="MHD5">
        <f>Database!MHW29</f>
        <v>0</v>
      </c>
      <c r="MHE5">
        <f>Database!MHX29</f>
        <v>0</v>
      </c>
      <c r="MHF5">
        <f>Database!MHY29</f>
        <v>0</v>
      </c>
      <c r="MHG5">
        <f>Database!MHZ29</f>
        <v>0</v>
      </c>
      <c r="MHH5">
        <f>Database!MIA29</f>
        <v>0</v>
      </c>
      <c r="MHI5">
        <f>Database!MIB29</f>
        <v>0</v>
      </c>
      <c r="MHJ5">
        <f>Database!MIC29</f>
        <v>0</v>
      </c>
      <c r="MHK5">
        <f>Database!MID29</f>
        <v>0</v>
      </c>
      <c r="MHL5">
        <f>Database!MIE29</f>
        <v>0</v>
      </c>
      <c r="MHM5">
        <f>Database!MIF29</f>
        <v>0</v>
      </c>
      <c r="MHN5">
        <f>Database!MIG29</f>
        <v>0</v>
      </c>
      <c r="MHO5">
        <f>Database!MIH29</f>
        <v>0</v>
      </c>
      <c r="MHP5">
        <f>Database!MII29</f>
        <v>0</v>
      </c>
      <c r="MHQ5">
        <f>Database!MIJ29</f>
        <v>0</v>
      </c>
      <c r="MHR5">
        <f>Database!MIK29</f>
        <v>0</v>
      </c>
      <c r="MHS5">
        <f>Database!MIL29</f>
        <v>0</v>
      </c>
      <c r="MHT5">
        <f>Database!MIM29</f>
        <v>0</v>
      </c>
      <c r="MHU5">
        <f>Database!MIN29</f>
        <v>0</v>
      </c>
      <c r="MHV5">
        <f>Database!MIO29</f>
        <v>0</v>
      </c>
      <c r="MHW5">
        <f>Database!MIP29</f>
        <v>0</v>
      </c>
      <c r="MHX5">
        <f>Database!MIQ29</f>
        <v>0</v>
      </c>
      <c r="MHY5">
        <f>Database!MIR29</f>
        <v>0</v>
      </c>
      <c r="MHZ5">
        <f>Database!MIS29</f>
        <v>0</v>
      </c>
      <c r="MIA5">
        <f>Database!MIT29</f>
        <v>0</v>
      </c>
      <c r="MIB5">
        <f>Database!MIU29</f>
        <v>0</v>
      </c>
      <c r="MIC5">
        <f>Database!MIV29</f>
        <v>0</v>
      </c>
      <c r="MID5">
        <f>Database!MIW29</f>
        <v>0</v>
      </c>
      <c r="MIE5">
        <f>Database!MIX29</f>
        <v>0</v>
      </c>
      <c r="MIF5">
        <f>Database!MIY29</f>
        <v>0</v>
      </c>
      <c r="MIG5">
        <f>Database!MIZ29</f>
        <v>0</v>
      </c>
      <c r="MIH5">
        <f>Database!MJA29</f>
        <v>0</v>
      </c>
      <c r="MII5">
        <f>Database!MJB29</f>
        <v>0</v>
      </c>
      <c r="MIJ5">
        <f>Database!MJC29</f>
        <v>0</v>
      </c>
      <c r="MIK5">
        <f>Database!MJD29</f>
        <v>0</v>
      </c>
      <c r="MIL5">
        <f>Database!MJE29</f>
        <v>0</v>
      </c>
      <c r="MIM5">
        <f>Database!MJF29</f>
        <v>0</v>
      </c>
      <c r="MIN5">
        <f>Database!MJG29</f>
        <v>0</v>
      </c>
      <c r="MIO5">
        <f>Database!MJH29</f>
        <v>0</v>
      </c>
      <c r="MIP5">
        <f>Database!MJI29</f>
        <v>0</v>
      </c>
      <c r="MIQ5">
        <f>Database!MJJ29</f>
        <v>0</v>
      </c>
      <c r="MIR5">
        <f>Database!MJK29</f>
        <v>0</v>
      </c>
      <c r="MIS5">
        <f>Database!MJL29</f>
        <v>0</v>
      </c>
      <c r="MIT5">
        <f>Database!MJM29</f>
        <v>0</v>
      </c>
      <c r="MIU5">
        <f>Database!MJN29</f>
        <v>0</v>
      </c>
      <c r="MIV5">
        <f>Database!MJO29</f>
        <v>0</v>
      </c>
      <c r="MIW5">
        <f>Database!MJP29</f>
        <v>0</v>
      </c>
      <c r="MIX5">
        <f>Database!MJQ29</f>
        <v>0</v>
      </c>
      <c r="MIY5">
        <f>Database!MJR29</f>
        <v>0</v>
      </c>
      <c r="MIZ5">
        <f>Database!MJS29</f>
        <v>0</v>
      </c>
      <c r="MJA5">
        <f>Database!MJT29</f>
        <v>0</v>
      </c>
      <c r="MJB5">
        <f>Database!MJU29</f>
        <v>0</v>
      </c>
      <c r="MJC5">
        <f>Database!MJV29</f>
        <v>0</v>
      </c>
      <c r="MJD5">
        <f>Database!MJW29</f>
        <v>0</v>
      </c>
      <c r="MJE5">
        <f>Database!MJX29</f>
        <v>0</v>
      </c>
      <c r="MJF5">
        <f>Database!MJY29</f>
        <v>0</v>
      </c>
      <c r="MJG5">
        <f>Database!MJZ29</f>
        <v>0</v>
      </c>
      <c r="MJH5">
        <f>Database!MKA29</f>
        <v>0</v>
      </c>
      <c r="MJI5">
        <f>Database!MKB29</f>
        <v>0</v>
      </c>
      <c r="MJJ5">
        <f>Database!MKC29</f>
        <v>0</v>
      </c>
      <c r="MJK5">
        <f>Database!MKD29</f>
        <v>0</v>
      </c>
      <c r="MJL5">
        <f>Database!MKE29</f>
        <v>0</v>
      </c>
      <c r="MJM5">
        <f>Database!MKF29</f>
        <v>0</v>
      </c>
      <c r="MJN5">
        <f>Database!MKG29</f>
        <v>0</v>
      </c>
      <c r="MJO5">
        <f>Database!MKH29</f>
        <v>0</v>
      </c>
      <c r="MJP5">
        <f>Database!MKI29</f>
        <v>0</v>
      </c>
      <c r="MJQ5">
        <f>Database!MKJ29</f>
        <v>0</v>
      </c>
      <c r="MJR5">
        <f>Database!MKK29</f>
        <v>0</v>
      </c>
      <c r="MJS5">
        <f>Database!MKL29</f>
        <v>0</v>
      </c>
      <c r="MJT5">
        <f>Database!MKM29</f>
        <v>0</v>
      </c>
      <c r="MJU5">
        <f>Database!MKN29</f>
        <v>0</v>
      </c>
      <c r="MJV5">
        <f>Database!MKO29</f>
        <v>0</v>
      </c>
      <c r="MJW5">
        <f>Database!MKP29</f>
        <v>0</v>
      </c>
      <c r="MJX5">
        <f>Database!MKQ29</f>
        <v>0</v>
      </c>
      <c r="MJY5">
        <f>Database!MKR29</f>
        <v>0</v>
      </c>
      <c r="MJZ5">
        <f>Database!MKS29</f>
        <v>0</v>
      </c>
      <c r="MKA5">
        <f>Database!MKT29</f>
        <v>0</v>
      </c>
      <c r="MKB5">
        <f>Database!MKU29</f>
        <v>0</v>
      </c>
      <c r="MKC5">
        <f>Database!MKV29</f>
        <v>0</v>
      </c>
      <c r="MKD5">
        <f>Database!MKW29</f>
        <v>0</v>
      </c>
      <c r="MKE5">
        <f>Database!MKX29</f>
        <v>0</v>
      </c>
      <c r="MKF5">
        <f>Database!MKY29</f>
        <v>0</v>
      </c>
      <c r="MKG5">
        <f>Database!MKZ29</f>
        <v>0</v>
      </c>
      <c r="MKH5">
        <f>Database!MLA29</f>
        <v>0</v>
      </c>
      <c r="MKI5">
        <f>Database!MLB29</f>
        <v>0</v>
      </c>
      <c r="MKJ5">
        <f>Database!MLC29</f>
        <v>0</v>
      </c>
      <c r="MKK5">
        <f>Database!MLD29</f>
        <v>0</v>
      </c>
      <c r="MKL5">
        <f>Database!MLE29</f>
        <v>0</v>
      </c>
      <c r="MKM5">
        <f>Database!MLF29</f>
        <v>0</v>
      </c>
      <c r="MKN5">
        <f>Database!MLG29</f>
        <v>0</v>
      </c>
      <c r="MKO5">
        <f>Database!MLH29</f>
        <v>0</v>
      </c>
      <c r="MKP5">
        <f>Database!MLI29</f>
        <v>0</v>
      </c>
      <c r="MKQ5">
        <f>Database!MLJ29</f>
        <v>0</v>
      </c>
      <c r="MKR5">
        <f>Database!MLK29</f>
        <v>0</v>
      </c>
      <c r="MKS5">
        <f>Database!MLL29</f>
        <v>0</v>
      </c>
      <c r="MKT5">
        <f>Database!MLM29</f>
        <v>0</v>
      </c>
      <c r="MKU5">
        <f>Database!MLN29</f>
        <v>0</v>
      </c>
      <c r="MKV5">
        <f>Database!MLO29</f>
        <v>0</v>
      </c>
      <c r="MKW5">
        <f>Database!MLP29</f>
        <v>0</v>
      </c>
      <c r="MKX5">
        <f>Database!MLQ29</f>
        <v>0</v>
      </c>
      <c r="MKY5">
        <f>Database!MLR29</f>
        <v>0</v>
      </c>
      <c r="MKZ5">
        <f>Database!MLS29</f>
        <v>0</v>
      </c>
      <c r="MLA5">
        <f>Database!MLT29</f>
        <v>0</v>
      </c>
      <c r="MLB5">
        <f>Database!MLU29</f>
        <v>0</v>
      </c>
      <c r="MLC5">
        <f>Database!MLV29</f>
        <v>0</v>
      </c>
      <c r="MLD5">
        <f>Database!MLW29</f>
        <v>0</v>
      </c>
      <c r="MLE5">
        <f>Database!MLX29</f>
        <v>0</v>
      </c>
      <c r="MLF5">
        <f>Database!MLY29</f>
        <v>0</v>
      </c>
      <c r="MLG5">
        <f>Database!MLZ29</f>
        <v>0</v>
      </c>
      <c r="MLH5">
        <f>Database!MMA29</f>
        <v>0</v>
      </c>
      <c r="MLI5">
        <f>Database!MMB29</f>
        <v>0</v>
      </c>
      <c r="MLJ5">
        <f>Database!MMC29</f>
        <v>0</v>
      </c>
      <c r="MLK5">
        <f>Database!MMD29</f>
        <v>0</v>
      </c>
      <c r="MLL5">
        <f>Database!MME29</f>
        <v>0</v>
      </c>
      <c r="MLM5">
        <f>Database!MMF29</f>
        <v>0</v>
      </c>
      <c r="MLN5">
        <f>Database!MMG29</f>
        <v>0</v>
      </c>
      <c r="MLO5">
        <f>Database!MMH29</f>
        <v>0</v>
      </c>
      <c r="MLP5">
        <f>Database!MMI29</f>
        <v>0</v>
      </c>
      <c r="MLQ5">
        <f>Database!MMJ29</f>
        <v>0</v>
      </c>
      <c r="MLR5">
        <f>Database!MMK29</f>
        <v>0</v>
      </c>
      <c r="MLS5">
        <f>Database!MML29</f>
        <v>0</v>
      </c>
      <c r="MLT5">
        <f>Database!MMM29</f>
        <v>0</v>
      </c>
      <c r="MLU5">
        <f>Database!MMN29</f>
        <v>0</v>
      </c>
      <c r="MLV5">
        <f>Database!MMO29</f>
        <v>0</v>
      </c>
      <c r="MLW5">
        <f>Database!MMP29</f>
        <v>0</v>
      </c>
      <c r="MLX5">
        <f>Database!MMQ29</f>
        <v>0</v>
      </c>
      <c r="MLY5">
        <f>Database!MMR29</f>
        <v>0</v>
      </c>
      <c r="MLZ5">
        <f>Database!MMS29</f>
        <v>0</v>
      </c>
      <c r="MMA5">
        <f>Database!MMT29</f>
        <v>0</v>
      </c>
      <c r="MMB5">
        <f>Database!MMU29</f>
        <v>0</v>
      </c>
      <c r="MMC5">
        <f>Database!MMV29</f>
        <v>0</v>
      </c>
      <c r="MMD5">
        <f>Database!MMW29</f>
        <v>0</v>
      </c>
      <c r="MME5">
        <f>Database!MMX29</f>
        <v>0</v>
      </c>
      <c r="MMF5">
        <f>Database!MMY29</f>
        <v>0</v>
      </c>
      <c r="MMG5">
        <f>Database!MMZ29</f>
        <v>0</v>
      </c>
      <c r="MMH5">
        <f>Database!MNA29</f>
        <v>0</v>
      </c>
      <c r="MMI5">
        <f>Database!MNB29</f>
        <v>0</v>
      </c>
      <c r="MMJ5">
        <f>Database!MNC29</f>
        <v>0</v>
      </c>
      <c r="MMK5">
        <f>Database!MND29</f>
        <v>0</v>
      </c>
      <c r="MML5">
        <f>Database!MNE29</f>
        <v>0</v>
      </c>
      <c r="MMM5">
        <f>Database!MNF29</f>
        <v>0</v>
      </c>
      <c r="MMN5">
        <f>Database!MNG29</f>
        <v>0</v>
      </c>
      <c r="MMO5">
        <f>Database!MNH29</f>
        <v>0</v>
      </c>
      <c r="MMP5">
        <f>Database!MNI29</f>
        <v>0</v>
      </c>
      <c r="MMQ5">
        <f>Database!MNJ29</f>
        <v>0</v>
      </c>
      <c r="MMR5">
        <f>Database!MNK29</f>
        <v>0</v>
      </c>
      <c r="MMS5">
        <f>Database!MNL29</f>
        <v>0</v>
      </c>
      <c r="MMT5">
        <f>Database!MNM29</f>
        <v>0</v>
      </c>
      <c r="MMU5">
        <f>Database!MNN29</f>
        <v>0</v>
      </c>
      <c r="MMV5">
        <f>Database!MNO29</f>
        <v>0</v>
      </c>
      <c r="MMW5">
        <f>Database!MNP29</f>
        <v>0</v>
      </c>
      <c r="MMX5">
        <f>Database!MNQ29</f>
        <v>0</v>
      </c>
      <c r="MMY5">
        <f>Database!MNR29</f>
        <v>0</v>
      </c>
      <c r="MMZ5">
        <f>Database!MNS29</f>
        <v>0</v>
      </c>
      <c r="MNA5">
        <f>Database!MNT29</f>
        <v>0</v>
      </c>
      <c r="MNB5">
        <f>Database!MNU29</f>
        <v>0</v>
      </c>
      <c r="MNC5">
        <f>Database!MNV29</f>
        <v>0</v>
      </c>
      <c r="MND5">
        <f>Database!MNW29</f>
        <v>0</v>
      </c>
      <c r="MNE5">
        <f>Database!MNX29</f>
        <v>0</v>
      </c>
      <c r="MNF5">
        <f>Database!MNY29</f>
        <v>0</v>
      </c>
      <c r="MNG5">
        <f>Database!MNZ29</f>
        <v>0</v>
      </c>
      <c r="MNH5">
        <f>Database!MOA29</f>
        <v>0</v>
      </c>
      <c r="MNI5">
        <f>Database!MOB29</f>
        <v>0</v>
      </c>
      <c r="MNJ5">
        <f>Database!MOC29</f>
        <v>0</v>
      </c>
      <c r="MNK5">
        <f>Database!MOD29</f>
        <v>0</v>
      </c>
      <c r="MNL5">
        <f>Database!MOE29</f>
        <v>0</v>
      </c>
      <c r="MNM5">
        <f>Database!MOF29</f>
        <v>0</v>
      </c>
      <c r="MNN5">
        <f>Database!MOG29</f>
        <v>0</v>
      </c>
      <c r="MNO5">
        <f>Database!MOH29</f>
        <v>0</v>
      </c>
      <c r="MNP5">
        <f>Database!MOI29</f>
        <v>0</v>
      </c>
      <c r="MNQ5">
        <f>Database!MOJ29</f>
        <v>0</v>
      </c>
      <c r="MNR5">
        <f>Database!MOK29</f>
        <v>0</v>
      </c>
      <c r="MNS5">
        <f>Database!MOL29</f>
        <v>0</v>
      </c>
      <c r="MNT5">
        <f>Database!MOM29</f>
        <v>0</v>
      </c>
      <c r="MNU5">
        <f>Database!MON29</f>
        <v>0</v>
      </c>
      <c r="MNV5">
        <f>Database!MOO29</f>
        <v>0</v>
      </c>
      <c r="MNW5">
        <f>Database!MOP29</f>
        <v>0</v>
      </c>
      <c r="MNX5">
        <f>Database!MOQ29</f>
        <v>0</v>
      </c>
      <c r="MNY5">
        <f>Database!MOR29</f>
        <v>0</v>
      </c>
      <c r="MNZ5">
        <f>Database!MOS29</f>
        <v>0</v>
      </c>
      <c r="MOA5">
        <f>Database!MOT29</f>
        <v>0</v>
      </c>
      <c r="MOB5">
        <f>Database!MOU29</f>
        <v>0</v>
      </c>
      <c r="MOC5">
        <f>Database!MOV29</f>
        <v>0</v>
      </c>
      <c r="MOD5">
        <f>Database!MOW29</f>
        <v>0</v>
      </c>
      <c r="MOE5">
        <f>Database!MOX29</f>
        <v>0</v>
      </c>
      <c r="MOF5">
        <f>Database!MOY29</f>
        <v>0</v>
      </c>
      <c r="MOG5">
        <f>Database!MOZ29</f>
        <v>0</v>
      </c>
      <c r="MOH5">
        <f>Database!MPA29</f>
        <v>0</v>
      </c>
      <c r="MOI5">
        <f>Database!MPB29</f>
        <v>0</v>
      </c>
      <c r="MOJ5">
        <f>Database!MPC29</f>
        <v>0</v>
      </c>
      <c r="MOK5">
        <f>Database!MPD29</f>
        <v>0</v>
      </c>
      <c r="MOL5">
        <f>Database!MPE29</f>
        <v>0</v>
      </c>
      <c r="MOM5">
        <f>Database!MPF29</f>
        <v>0</v>
      </c>
      <c r="MON5">
        <f>Database!MPG29</f>
        <v>0</v>
      </c>
      <c r="MOO5">
        <f>Database!MPH29</f>
        <v>0</v>
      </c>
      <c r="MOP5">
        <f>Database!MPI29</f>
        <v>0</v>
      </c>
      <c r="MOQ5">
        <f>Database!MPJ29</f>
        <v>0</v>
      </c>
      <c r="MOR5">
        <f>Database!MPK29</f>
        <v>0</v>
      </c>
      <c r="MOS5">
        <f>Database!MPL29</f>
        <v>0</v>
      </c>
      <c r="MOT5">
        <f>Database!MPM29</f>
        <v>0</v>
      </c>
      <c r="MOU5">
        <f>Database!MPN29</f>
        <v>0</v>
      </c>
      <c r="MOV5">
        <f>Database!MPO29</f>
        <v>0</v>
      </c>
      <c r="MOW5">
        <f>Database!MPP29</f>
        <v>0</v>
      </c>
      <c r="MOX5">
        <f>Database!MPQ29</f>
        <v>0</v>
      </c>
      <c r="MOY5">
        <f>Database!MPR29</f>
        <v>0</v>
      </c>
      <c r="MOZ5">
        <f>Database!MPS29</f>
        <v>0</v>
      </c>
      <c r="MPA5">
        <f>Database!MPT29</f>
        <v>0</v>
      </c>
      <c r="MPB5">
        <f>Database!MPU29</f>
        <v>0</v>
      </c>
      <c r="MPC5">
        <f>Database!MPV29</f>
        <v>0</v>
      </c>
      <c r="MPD5">
        <f>Database!MPW29</f>
        <v>0</v>
      </c>
      <c r="MPE5">
        <f>Database!MPX29</f>
        <v>0</v>
      </c>
      <c r="MPF5">
        <f>Database!MPY29</f>
        <v>0</v>
      </c>
      <c r="MPG5">
        <f>Database!MPZ29</f>
        <v>0</v>
      </c>
      <c r="MPH5">
        <f>Database!MQA29</f>
        <v>0</v>
      </c>
      <c r="MPI5">
        <f>Database!MQB29</f>
        <v>0</v>
      </c>
      <c r="MPJ5">
        <f>Database!MQC29</f>
        <v>0</v>
      </c>
      <c r="MPK5">
        <f>Database!MQD29</f>
        <v>0</v>
      </c>
      <c r="MPL5">
        <f>Database!MQE29</f>
        <v>0</v>
      </c>
      <c r="MPM5">
        <f>Database!MQF29</f>
        <v>0</v>
      </c>
      <c r="MPN5">
        <f>Database!MQG29</f>
        <v>0</v>
      </c>
      <c r="MPO5">
        <f>Database!MQH29</f>
        <v>0</v>
      </c>
      <c r="MPP5">
        <f>Database!MQI29</f>
        <v>0</v>
      </c>
      <c r="MPQ5">
        <f>Database!MQJ29</f>
        <v>0</v>
      </c>
      <c r="MPR5">
        <f>Database!MQK29</f>
        <v>0</v>
      </c>
      <c r="MPS5">
        <f>Database!MQL29</f>
        <v>0</v>
      </c>
      <c r="MPT5">
        <f>Database!MQM29</f>
        <v>0</v>
      </c>
      <c r="MPU5">
        <f>Database!MQN29</f>
        <v>0</v>
      </c>
      <c r="MPV5">
        <f>Database!MQO29</f>
        <v>0</v>
      </c>
      <c r="MPW5">
        <f>Database!MQP29</f>
        <v>0</v>
      </c>
      <c r="MPX5">
        <f>Database!MQQ29</f>
        <v>0</v>
      </c>
      <c r="MPY5">
        <f>Database!MQR29</f>
        <v>0</v>
      </c>
      <c r="MPZ5">
        <f>Database!MQS29</f>
        <v>0</v>
      </c>
      <c r="MQA5">
        <f>Database!MQT29</f>
        <v>0</v>
      </c>
      <c r="MQB5">
        <f>Database!MQU29</f>
        <v>0</v>
      </c>
      <c r="MQC5">
        <f>Database!MQV29</f>
        <v>0</v>
      </c>
      <c r="MQD5">
        <f>Database!MQW29</f>
        <v>0</v>
      </c>
      <c r="MQE5">
        <f>Database!MQX29</f>
        <v>0</v>
      </c>
      <c r="MQF5">
        <f>Database!MQY29</f>
        <v>0</v>
      </c>
      <c r="MQG5">
        <f>Database!MQZ29</f>
        <v>0</v>
      </c>
      <c r="MQH5">
        <f>Database!MRA29</f>
        <v>0</v>
      </c>
      <c r="MQI5">
        <f>Database!MRB29</f>
        <v>0</v>
      </c>
      <c r="MQJ5">
        <f>Database!MRC29</f>
        <v>0</v>
      </c>
      <c r="MQK5">
        <f>Database!MRD29</f>
        <v>0</v>
      </c>
      <c r="MQL5">
        <f>Database!MRE29</f>
        <v>0</v>
      </c>
      <c r="MQM5">
        <f>Database!MRF29</f>
        <v>0</v>
      </c>
      <c r="MQN5">
        <f>Database!MRG29</f>
        <v>0</v>
      </c>
      <c r="MQO5">
        <f>Database!MRH29</f>
        <v>0</v>
      </c>
      <c r="MQP5">
        <f>Database!MRI29</f>
        <v>0</v>
      </c>
      <c r="MQQ5">
        <f>Database!MRJ29</f>
        <v>0</v>
      </c>
      <c r="MQR5">
        <f>Database!MRK29</f>
        <v>0</v>
      </c>
      <c r="MQS5">
        <f>Database!MRL29</f>
        <v>0</v>
      </c>
      <c r="MQT5">
        <f>Database!MRM29</f>
        <v>0</v>
      </c>
      <c r="MQU5">
        <f>Database!MRN29</f>
        <v>0</v>
      </c>
      <c r="MQV5">
        <f>Database!MRO29</f>
        <v>0</v>
      </c>
      <c r="MQW5">
        <f>Database!MRP29</f>
        <v>0</v>
      </c>
      <c r="MQX5">
        <f>Database!MRQ29</f>
        <v>0</v>
      </c>
      <c r="MQY5">
        <f>Database!MRR29</f>
        <v>0</v>
      </c>
      <c r="MQZ5">
        <f>Database!MRS29</f>
        <v>0</v>
      </c>
      <c r="MRA5">
        <f>Database!MRT29</f>
        <v>0</v>
      </c>
      <c r="MRB5">
        <f>Database!MRU29</f>
        <v>0</v>
      </c>
      <c r="MRC5">
        <f>Database!MRV29</f>
        <v>0</v>
      </c>
      <c r="MRD5">
        <f>Database!MRW29</f>
        <v>0</v>
      </c>
      <c r="MRE5">
        <f>Database!MRX29</f>
        <v>0</v>
      </c>
      <c r="MRF5">
        <f>Database!MRY29</f>
        <v>0</v>
      </c>
      <c r="MRG5">
        <f>Database!MRZ29</f>
        <v>0</v>
      </c>
      <c r="MRH5">
        <f>Database!MSA29</f>
        <v>0</v>
      </c>
      <c r="MRI5">
        <f>Database!MSB29</f>
        <v>0</v>
      </c>
      <c r="MRJ5">
        <f>Database!MSC29</f>
        <v>0</v>
      </c>
      <c r="MRK5">
        <f>Database!MSD29</f>
        <v>0</v>
      </c>
      <c r="MRL5">
        <f>Database!MSE29</f>
        <v>0</v>
      </c>
      <c r="MRM5">
        <f>Database!MSF29</f>
        <v>0</v>
      </c>
      <c r="MRN5">
        <f>Database!MSG29</f>
        <v>0</v>
      </c>
      <c r="MRO5">
        <f>Database!MSH29</f>
        <v>0</v>
      </c>
      <c r="MRP5">
        <f>Database!MSI29</f>
        <v>0</v>
      </c>
      <c r="MRQ5">
        <f>Database!MSJ29</f>
        <v>0</v>
      </c>
      <c r="MRR5">
        <f>Database!MSK29</f>
        <v>0</v>
      </c>
      <c r="MRS5">
        <f>Database!MSL29</f>
        <v>0</v>
      </c>
      <c r="MRT5">
        <f>Database!MSM29</f>
        <v>0</v>
      </c>
      <c r="MRU5">
        <f>Database!MSN29</f>
        <v>0</v>
      </c>
      <c r="MRV5">
        <f>Database!MSO29</f>
        <v>0</v>
      </c>
      <c r="MRW5">
        <f>Database!MSP29</f>
        <v>0</v>
      </c>
      <c r="MRX5">
        <f>Database!MSQ29</f>
        <v>0</v>
      </c>
      <c r="MRY5">
        <f>Database!MSR29</f>
        <v>0</v>
      </c>
      <c r="MRZ5">
        <f>Database!MSS29</f>
        <v>0</v>
      </c>
      <c r="MSA5">
        <f>Database!MST29</f>
        <v>0</v>
      </c>
      <c r="MSB5">
        <f>Database!MSU29</f>
        <v>0</v>
      </c>
      <c r="MSC5">
        <f>Database!MSV29</f>
        <v>0</v>
      </c>
      <c r="MSD5">
        <f>Database!MSW29</f>
        <v>0</v>
      </c>
      <c r="MSE5">
        <f>Database!MSX29</f>
        <v>0</v>
      </c>
      <c r="MSF5">
        <f>Database!MSY29</f>
        <v>0</v>
      </c>
      <c r="MSG5">
        <f>Database!MSZ29</f>
        <v>0</v>
      </c>
      <c r="MSH5">
        <f>Database!MTA29</f>
        <v>0</v>
      </c>
      <c r="MSI5">
        <f>Database!MTB29</f>
        <v>0</v>
      </c>
      <c r="MSJ5">
        <f>Database!MTC29</f>
        <v>0</v>
      </c>
      <c r="MSK5">
        <f>Database!MTD29</f>
        <v>0</v>
      </c>
      <c r="MSL5">
        <f>Database!MTE29</f>
        <v>0</v>
      </c>
      <c r="MSM5">
        <f>Database!MTF29</f>
        <v>0</v>
      </c>
      <c r="MSN5">
        <f>Database!MTG29</f>
        <v>0</v>
      </c>
      <c r="MSO5">
        <f>Database!MTH29</f>
        <v>0</v>
      </c>
      <c r="MSP5">
        <f>Database!MTI29</f>
        <v>0</v>
      </c>
      <c r="MSQ5">
        <f>Database!MTJ29</f>
        <v>0</v>
      </c>
      <c r="MSR5">
        <f>Database!MTK29</f>
        <v>0</v>
      </c>
      <c r="MSS5">
        <f>Database!MTL29</f>
        <v>0</v>
      </c>
      <c r="MST5">
        <f>Database!MTM29</f>
        <v>0</v>
      </c>
      <c r="MSU5">
        <f>Database!MTN29</f>
        <v>0</v>
      </c>
      <c r="MSV5">
        <f>Database!MTO29</f>
        <v>0</v>
      </c>
      <c r="MSW5">
        <f>Database!MTP29</f>
        <v>0</v>
      </c>
      <c r="MSX5">
        <f>Database!MTQ29</f>
        <v>0</v>
      </c>
      <c r="MSY5">
        <f>Database!MTR29</f>
        <v>0</v>
      </c>
      <c r="MSZ5">
        <f>Database!MTS29</f>
        <v>0</v>
      </c>
      <c r="MTA5">
        <f>Database!MTT29</f>
        <v>0</v>
      </c>
      <c r="MTB5">
        <f>Database!MTU29</f>
        <v>0</v>
      </c>
      <c r="MTC5">
        <f>Database!MTV29</f>
        <v>0</v>
      </c>
      <c r="MTD5">
        <f>Database!MTW29</f>
        <v>0</v>
      </c>
      <c r="MTE5">
        <f>Database!MTX29</f>
        <v>0</v>
      </c>
      <c r="MTF5">
        <f>Database!MTY29</f>
        <v>0</v>
      </c>
      <c r="MTG5">
        <f>Database!MTZ29</f>
        <v>0</v>
      </c>
      <c r="MTH5">
        <f>Database!MUA29</f>
        <v>0</v>
      </c>
      <c r="MTI5">
        <f>Database!MUB29</f>
        <v>0</v>
      </c>
      <c r="MTJ5">
        <f>Database!MUC29</f>
        <v>0</v>
      </c>
      <c r="MTK5">
        <f>Database!MUD29</f>
        <v>0</v>
      </c>
      <c r="MTL5">
        <f>Database!MUE29</f>
        <v>0</v>
      </c>
      <c r="MTM5">
        <f>Database!MUF29</f>
        <v>0</v>
      </c>
      <c r="MTN5">
        <f>Database!MUG29</f>
        <v>0</v>
      </c>
      <c r="MTO5">
        <f>Database!MUH29</f>
        <v>0</v>
      </c>
      <c r="MTP5">
        <f>Database!MUI29</f>
        <v>0</v>
      </c>
      <c r="MTQ5">
        <f>Database!MUJ29</f>
        <v>0</v>
      </c>
      <c r="MTR5">
        <f>Database!MUK29</f>
        <v>0</v>
      </c>
      <c r="MTS5">
        <f>Database!MUL29</f>
        <v>0</v>
      </c>
      <c r="MTT5">
        <f>Database!MUM29</f>
        <v>0</v>
      </c>
      <c r="MTU5">
        <f>Database!MUN29</f>
        <v>0</v>
      </c>
      <c r="MTV5">
        <f>Database!MUO29</f>
        <v>0</v>
      </c>
      <c r="MTW5">
        <f>Database!MUP29</f>
        <v>0</v>
      </c>
      <c r="MTX5">
        <f>Database!MUQ29</f>
        <v>0</v>
      </c>
      <c r="MTY5">
        <f>Database!MUR29</f>
        <v>0</v>
      </c>
      <c r="MTZ5">
        <f>Database!MUS29</f>
        <v>0</v>
      </c>
      <c r="MUA5">
        <f>Database!MUT29</f>
        <v>0</v>
      </c>
      <c r="MUB5">
        <f>Database!MUU29</f>
        <v>0</v>
      </c>
      <c r="MUC5">
        <f>Database!MUV29</f>
        <v>0</v>
      </c>
      <c r="MUD5">
        <f>Database!MUW29</f>
        <v>0</v>
      </c>
      <c r="MUE5">
        <f>Database!MUX29</f>
        <v>0</v>
      </c>
      <c r="MUF5">
        <f>Database!MUY29</f>
        <v>0</v>
      </c>
      <c r="MUG5">
        <f>Database!MUZ29</f>
        <v>0</v>
      </c>
      <c r="MUH5">
        <f>Database!MVA29</f>
        <v>0</v>
      </c>
      <c r="MUI5">
        <f>Database!MVB29</f>
        <v>0</v>
      </c>
      <c r="MUJ5">
        <f>Database!MVC29</f>
        <v>0</v>
      </c>
      <c r="MUK5">
        <f>Database!MVD29</f>
        <v>0</v>
      </c>
      <c r="MUL5">
        <f>Database!MVE29</f>
        <v>0</v>
      </c>
      <c r="MUM5">
        <f>Database!MVF29</f>
        <v>0</v>
      </c>
      <c r="MUN5">
        <f>Database!MVG29</f>
        <v>0</v>
      </c>
      <c r="MUO5">
        <f>Database!MVH29</f>
        <v>0</v>
      </c>
      <c r="MUP5">
        <f>Database!MVI29</f>
        <v>0</v>
      </c>
      <c r="MUQ5">
        <f>Database!MVJ29</f>
        <v>0</v>
      </c>
      <c r="MUR5">
        <f>Database!MVK29</f>
        <v>0</v>
      </c>
      <c r="MUS5">
        <f>Database!MVL29</f>
        <v>0</v>
      </c>
      <c r="MUT5">
        <f>Database!MVM29</f>
        <v>0</v>
      </c>
      <c r="MUU5">
        <f>Database!MVN29</f>
        <v>0</v>
      </c>
      <c r="MUV5">
        <f>Database!MVO29</f>
        <v>0</v>
      </c>
      <c r="MUW5">
        <f>Database!MVP29</f>
        <v>0</v>
      </c>
      <c r="MUX5">
        <f>Database!MVQ29</f>
        <v>0</v>
      </c>
      <c r="MUY5">
        <f>Database!MVR29</f>
        <v>0</v>
      </c>
      <c r="MUZ5">
        <f>Database!MVS29</f>
        <v>0</v>
      </c>
      <c r="MVA5">
        <f>Database!MVT29</f>
        <v>0</v>
      </c>
      <c r="MVB5">
        <f>Database!MVU29</f>
        <v>0</v>
      </c>
      <c r="MVC5">
        <f>Database!MVV29</f>
        <v>0</v>
      </c>
      <c r="MVD5">
        <f>Database!MVW29</f>
        <v>0</v>
      </c>
      <c r="MVE5">
        <f>Database!MVX29</f>
        <v>0</v>
      </c>
      <c r="MVF5">
        <f>Database!MVY29</f>
        <v>0</v>
      </c>
      <c r="MVG5">
        <f>Database!MVZ29</f>
        <v>0</v>
      </c>
      <c r="MVH5">
        <f>Database!MWA29</f>
        <v>0</v>
      </c>
      <c r="MVI5">
        <f>Database!MWB29</f>
        <v>0</v>
      </c>
      <c r="MVJ5">
        <f>Database!MWC29</f>
        <v>0</v>
      </c>
      <c r="MVK5">
        <f>Database!MWD29</f>
        <v>0</v>
      </c>
      <c r="MVL5">
        <f>Database!MWE29</f>
        <v>0</v>
      </c>
      <c r="MVM5">
        <f>Database!MWF29</f>
        <v>0</v>
      </c>
      <c r="MVN5">
        <f>Database!MWG29</f>
        <v>0</v>
      </c>
      <c r="MVO5">
        <f>Database!MWH29</f>
        <v>0</v>
      </c>
      <c r="MVP5">
        <f>Database!MWI29</f>
        <v>0</v>
      </c>
      <c r="MVQ5">
        <f>Database!MWJ29</f>
        <v>0</v>
      </c>
      <c r="MVR5">
        <f>Database!MWK29</f>
        <v>0</v>
      </c>
      <c r="MVS5">
        <f>Database!MWL29</f>
        <v>0</v>
      </c>
      <c r="MVT5">
        <f>Database!MWM29</f>
        <v>0</v>
      </c>
      <c r="MVU5">
        <f>Database!MWN29</f>
        <v>0</v>
      </c>
      <c r="MVV5">
        <f>Database!MWO29</f>
        <v>0</v>
      </c>
      <c r="MVW5">
        <f>Database!MWP29</f>
        <v>0</v>
      </c>
      <c r="MVX5">
        <f>Database!MWQ29</f>
        <v>0</v>
      </c>
      <c r="MVY5">
        <f>Database!MWR29</f>
        <v>0</v>
      </c>
      <c r="MVZ5">
        <f>Database!MWS29</f>
        <v>0</v>
      </c>
      <c r="MWA5">
        <f>Database!MWT29</f>
        <v>0</v>
      </c>
      <c r="MWB5">
        <f>Database!MWU29</f>
        <v>0</v>
      </c>
      <c r="MWC5">
        <f>Database!MWV29</f>
        <v>0</v>
      </c>
      <c r="MWD5">
        <f>Database!MWW29</f>
        <v>0</v>
      </c>
      <c r="MWE5">
        <f>Database!MWX29</f>
        <v>0</v>
      </c>
      <c r="MWF5">
        <f>Database!MWY29</f>
        <v>0</v>
      </c>
      <c r="MWG5">
        <f>Database!MWZ29</f>
        <v>0</v>
      </c>
      <c r="MWH5">
        <f>Database!MXA29</f>
        <v>0</v>
      </c>
      <c r="MWI5">
        <f>Database!MXB29</f>
        <v>0</v>
      </c>
      <c r="MWJ5">
        <f>Database!MXC29</f>
        <v>0</v>
      </c>
      <c r="MWK5">
        <f>Database!MXD29</f>
        <v>0</v>
      </c>
      <c r="MWL5">
        <f>Database!MXE29</f>
        <v>0</v>
      </c>
      <c r="MWM5">
        <f>Database!MXF29</f>
        <v>0</v>
      </c>
      <c r="MWN5">
        <f>Database!MXG29</f>
        <v>0</v>
      </c>
      <c r="MWO5">
        <f>Database!MXH29</f>
        <v>0</v>
      </c>
      <c r="MWP5">
        <f>Database!MXI29</f>
        <v>0</v>
      </c>
      <c r="MWQ5">
        <f>Database!MXJ29</f>
        <v>0</v>
      </c>
      <c r="MWR5">
        <f>Database!MXK29</f>
        <v>0</v>
      </c>
      <c r="MWS5">
        <f>Database!MXL29</f>
        <v>0</v>
      </c>
      <c r="MWT5">
        <f>Database!MXM29</f>
        <v>0</v>
      </c>
      <c r="MWU5">
        <f>Database!MXN29</f>
        <v>0</v>
      </c>
      <c r="MWV5">
        <f>Database!MXO29</f>
        <v>0</v>
      </c>
      <c r="MWW5">
        <f>Database!MXP29</f>
        <v>0</v>
      </c>
      <c r="MWX5">
        <f>Database!MXQ29</f>
        <v>0</v>
      </c>
      <c r="MWY5">
        <f>Database!MXR29</f>
        <v>0</v>
      </c>
      <c r="MWZ5">
        <f>Database!MXS29</f>
        <v>0</v>
      </c>
      <c r="MXA5">
        <f>Database!MXT29</f>
        <v>0</v>
      </c>
      <c r="MXB5">
        <f>Database!MXU29</f>
        <v>0</v>
      </c>
      <c r="MXC5">
        <f>Database!MXV29</f>
        <v>0</v>
      </c>
      <c r="MXD5">
        <f>Database!MXW29</f>
        <v>0</v>
      </c>
      <c r="MXE5">
        <f>Database!MXX29</f>
        <v>0</v>
      </c>
      <c r="MXF5">
        <f>Database!MXY29</f>
        <v>0</v>
      </c>
      <c r="MXG5">
        <f>Database!MXZ29</f>
        <v>0</v>
      </c>
      <c r="MXH5">
        <f>Database!MYA29</f>
        <v>0</v>
      </c>
      <c r="MXI5">
        <f>Database!MYB29</f>
        <v>0</v>
      </c>
      <c r="MXJ5">
        <f>Database!MYC29</f>
        <v>0</v>
      </c>
      <c r="MXK5">
        <f>Database!MYD29</f>
        <v>0</v>
      </c>
      <c r="MXL5">
        <f>Database!MYE29</f>
        <v>0</v>
      </c>
      <c r="MXM5">
        <f>Database!MYF29</f>
        <v>0</v>
      </c>
      <c r="MXN5">
        <f>Database!MYG29</f>
        <v>0</v>
      </c>
      <c r="MXO5">
        <f>Database!MYH29</f>
        <v>0</v>
      </c>
      <c r="MXP5">
        <f>Database!MYI29</f>
        <v>0</v>
      </c>
      <c r="MXQ5">
        <f>Database!MYJ29</f>
        <v>0</v>
      </c>
      <c r="MXR5">
        <f>Database!MYK29</f>
        <v>0</v>
      </c>
      <c r="MXS5">
        <f>Database!MYL29</f>
        <v>0</v>
      </c>
      <c r="MXT5">
        <f>Database!MYM29</f>
        <v>0</v>
      </c>
      <c r="MXU5">
        <f>Database!MYN29</f>
        <v>0</v>
      </c>
      <c r="MXV5">
        <f>Database!MYO29</f>
        <v>0</v>
      </c>
      <c r="MXW5">
        <f>Database!MYP29</f>
        <v>0</v>
      </c>
      <c r="MXX5">
        <f>Database!MYQ29</f>
        <v>0</v>
      </c>
      <c r="MXY5">
        <f>Database!MYR29</f>
        <v>0</v>
      </c>
      <c r="MXZ5">
        <f>Database!MYS29</f>
        <v>0</v>
      </c>
      <c r="MYA5">
        <f>Database!MYT29</f>
        <v>0</v>
      </c>
      <c r="MYB5">
        <f>Database!MYU29</f>
        <v>0</v>
      </c>
      <c r="MYC5">
        <f>Database!MYV29</f>
        <v>0</v>
      </c>
      <c r="MYD5">
        <f>Database!MYW29</f>
        <v>0</v>
      </c>
      <c r="MYE5">
        <f>Database!MYX29</f>
        <v>0</v>
      </c>
      <c r="MYF5">
        <f>Database!MYY29</f>
        <v>0</v>
      </c>
      <c r="MYG5">
        <f>Database!MYZ29</f>
        <v>0</v>
      </c>
      <c r="MYH5">
        <f>Database!MZA29</f>
        <v>0</v>
      </c>
      <c r="MYI5">
        <f>Database!MZB29</f>
        <v>0</v>
      </c>
      <c r="MYJ5">
        <f>Database!MZC29</f>
        <v>0</v>
      </c>
      <c r="MYK5">
        <f>Database!MZD29</f>
        <v>0</v>
      </c>
      <c r="MYL5">
        <f>Database!MZE29</f>
        <v>0</v>
      </c>
      <c r="MYM5">
        <f>Database!MZF29</f>
        <v>0</v>
      </c>
      <c r="MYN5">
        <f>Database!MZG29</f>
        <v>0</v>
      </c>
      <c r="MYO5">
        <f>Database!MZH29</f>
        <v>0</v>
      </c>
      <c r="MYP5">
        <f>Database!MZI29</f>
        <v>0</v>
      </c>
      <c r="MYQ5">
        <f>Database!MZJ29</f>
        <v>0</v>
      </c>
      <c r="MYR5">
        <f>Database!MZK29</f>
        <v>0</v>
      </c>
      <c r="MYS5">
        <f>Database!MZL29</f>
        <v>0</v>
      </c>
      <c r="MYT5">
        <f>Database!MZM29</f>
        <v>0</v>
      </c>
      <c r="MYU5">
        <f>Database!MZN29</f>
        <v>0</v>
      </c>
      <c r="MYV5">
        <f>Database!MZO29</f>
        <v>0</v>
      </c>
      <c r="MYW5">
        <f>Database!MZP29</f>
        <v>0</v>
      </c>
      <c r="MYX5">
        <f>Database!MZQ29</f>
        <v>0</v>
      </c>
      <c r="MYY5">
        <f>Database!MZR29</f>
        <v>0</v>
      </c>
      <c r="MYZ5">
        <f>Database!MZS29</f>
        <v>0</v>
      </c>
      <c r="MZA5">
        <f>Database!MZT29</f>
        <v>0</v>
      </c>
      <c r="MZB5">
        <f>Database!MZU29</f>
        <v>0</v>
      </c>
      <c r="MZC5">
        <f>Database!MZV29</f>
        <v>0</v>
      </c>
      <c r="MZD5">
        <f>Database!MZW29</f>
        <v>0</v>
      </c>
      <c r="MZE5">
        <f>Database!MZX29</f>
        <v>0</v>
      </c>
      <c r="MZF5">
        <f>Database!MZY29</f>
        <v>0</v>
      </c>
      <c r="MZG5">
        <f>Database!MZZ29</f>
        <v>0</v>
      </c>
      <c r="MZH5">
        <f>Database!NAA29</f>
        <v>0</v>
      </c>
      <c r="MZI5">
        <f>Database!NAB29</f>
        <v>0</v>
      </c>
      <c r="MZJ5">
        <f>Database!NAC29</f>
        <v>0</v>
      </c>
      <c r="MZK5">
        <f>Database!NAD29</f>
        <v>0</v>
      </c>
      <c r="MZL5">
        <f>Database!NAE29</f>
        <v>0</v>
      </c>
      <c r="MZM5">
        <f>Database!NAF29</f>
        <v>0</v>
      </c>
      <c r="MZN5">
        <f>Database!NAG29</f>
        <v>0</v>
      </c>
      <c r="MZO5">
        <f>Database!NAH29</f>
        <v>0</v>
      </c>
      <c r="MZP5">
        <f>Database!NAI29</f>
        <v>0</v>
      </c>
      <c r="MZQ5">
        <f>Database!NAJ29</f>
        <v>0</v>
      </c>
      <c r="MZR5">
        <f>Database!NAK29</f>
        <v>0</v>
      </c>
      <c r="MZS5">
        <f>Database!NAL29</f>
        <v>0</v>
      </c>
      <c r="MZT5">
        <f>Database!NAM29</f>
        <v>0</v>
      </c>
      <c r="MZU5">
        <f>Database!NAN29</f>
        <v>0</v>
      </c>
      <c r="MZV5">
        <f>Database!NAO29</f>
        <v>0</v>
      </c>
      <c r="MZW5">
        <f>Database!NAP29</f>
        <v>0</v>
      </c>
      <c r="MZX5">
        <f>Database!NAQ29</f>
        <v>0</v>
      </c>
      <c r="MZY5">
        <f>Database!NAR29</f>
        <v>0</v>
      </c>
      <c r="MZZ5">
        <f>Database!NAS29</f>
        <v>0</v>
      </c>
      <c r="NAA5">
        <f>Database!NAT29</f>
        <v>0</v>
      </c>
      <c r="NAB5">
        <f>Database!NAU29</f>
        <v>0</v>
      </c>
      <c r="NAC5">
        <f>Database!NAV29</f>
        <v>0</v>
      </c>
      <c r="NAD5">
        <f>Database!NAW29</f>
        <v>0</v>
      </c>
      <c r="NAE5">
        <f>Database!NAX29</f>
        <v>0</v>
      </c>
      <c r="NAF5">
        <f>Database!NAY29</f>
        <v>0</v>
      </c>
      <c r="NAG5">
        <f>Database!NAZ29</f>
        <v>0</v>
      </c>
      <c r="NAH5">
        <f>Database!NBA29</f>
        <v>0</v>
      </c>
      <c r="NAI5">
        <f>Database!NBB29</f>
        <v>0</v>
      </c>
      <c r="NAJ5">
        <f>Database!NBC29</f>
        <v>0</v>
      </c>
      <c r="NAK5">
        <f>Database!NBD29</f>
        <v>0</v>
      </c>
      <c r="NAL5">
        <f>Database!NBE29</f>
        <v>0</v>
      </c>
      <c r="NAM5">
        <f>Database!NBF29</f>
        <v>0</v>
      </c>
      <c r="NAN5">
        <f>Database!NBG29</f>
        <v>0</v>
      </c>
      <c r="NAO5">
        <f>Database!NBH29</f>
        <v>0</v>
      </c>
      <c r="NAP5">
        <f>Database!NBI29</f>
        <v>0</v>
      </c>
      <c r="NAQ5">
        <f>Database!NBJ29</f>
        <v>0</v>
      </c>
      <c r="NAR5">
        <f>Database!NBK29</f>
        <v>0</v>
      </c>
      <c r="NAS5">
        <f>Database!NBL29</f>
        <v>0</v>
      </c>
      <c r="NAT5">
        <f>Database!NBM29</f>
        <v>0</v>
      </c>
      <c r="NAU5">
        <f>Database!NBN29</f>
        <v>0</v>
      </c>
      <c r="NAV5">
        <f>Database!NBO29</f>
        <v>0</v>
      </c>
      <c r="NAW5">
        <f>Database!NBP29</f>
        <v>0</v>
      </c>
      <c r="NAX5">
        <f>Database!NBQ29</f>
        <v>0</v>
      </c>
      <c r="NAY5">
        <f>Database!NBR29</f>
        <v>0</v>
      </c>
      <c r="NAZ5">
        <f>Database!NBS29</f>
        <v>0</v>
      </c>
      <c r="NBA5">
        <f>Database!NBT29</f>
        <v>0</v>
      </c>
      <c r="NBB5">
        <f>Database!NBU29</f>
        <v>0</v>
      </c>
      <c r="NBC5">
        <f>Database!NBV29</f>
        <v>0</v>
      </c>
      <c r="NBD5">
        <f>Database!NBW29</f>
        <v>0</v>
      </c>
      <c r="NBE5">
        <f>Database!NBX29</f>
        <v>0</v>
      </c>
      <c r="NBF5">
        <f>Database!NBY29</f>
        <v>0</v>
      </c>
      <c r="NBG5">
        <f>Database!NBZ29</f>
        <v>0</v>
      </c>
      <c r="NBH5">
        <f>Database!NCA29</f>
        <v>0</v>
      </c>
      <c r="NBI5">
        <f>Database!NCB29</f>
        <v>0</v>
      </c>
      <c r="NBJ5">
        <f>Database!NCC29</f>
        <v>0</v>
      </c>
      <c r="NBK5">
        <f>Database!NCD29</f>
        <v>0</v>
      </c>
      <c r="NBL5">
        <f>Database!NCE29</f>
        <v>0</v>
      </c>
      <c r="NBM5">
        <f>Database!NCF29</f>
        <v>0</v>
      </c>
      <c r="NBN5">
        <f>Database!NCG29</f>
        <v>0</v>
      </c>
      <c r="NBO5">
        <f>Database!NCH29</f>
        <v>0</v>
      </c>
      <c r="NBP5">
        <f>Database!NCI29</f>
        <v>0</v>
      </c>
      <c r="NBQ5">
        <f>Database!NCJ29</f>
        <v>0</v>
      </c>
      <c r="NBR5">
        <f>Database!NCK29</f>
        <v>0</v>
      </c>
      <c r="NBS5">
        <f>Database!NCL29</f>
        <v>0</v>
      </c>
      <c r="NBT5">
        <f>Database!NCM29</f>
        <v>0</v>
      </c>
      <c r="NBU5">
        <f>Database!NCN29</f>
        <v>0</v>
      </c>
      <c r="NBV5">
        <f>Database!NCO29</f>
        <v>0</v>
      </c>
      <c r="NBW5">
        <f>Database!NCP29</f>
        <v>0</v>
      </c>
      <c r="NBX5">
        <f>Database!NCQ29</f>
        <v>0</v>
      </c>
      <c r="NBY5">
        <f>Database!NCR29</f>
        <v>0</v>
      </c>
      <c r="NBZ5">
        <f>Database!NCS29</f>
        <v>0</v>
      </c>
      <c r="NCA5">
        <f>Database!NCT29</f>
        <v>0</v>
      </c>
      <c r="NCB5">
        <f>Database!NCU29</f>
        <v>0</v>
      </c>
      <c r="NCC5">
        <f>Database!NCV29</f>
        <v>0</v>
      </c>
      <c r="NCD5">
        <f>Database!NCW29</f>
        <v>0</v>
      </c>
      <c r="NCE5">
        <f>Database!NCX29</f>
        <v>0</v>
      </c>
      <c r="NCF5">
        <f>Database!NCY29</f>
        <v>0</v>
      </c>
      <c r="NCG5">
        <f>Database!NCZ29</f>
        <v>0</v>
      </c>
      <c r="NCH5">
        <f>Database!NDA29</f>
        <v>0</v>
      </c>
      <c r="NCI5">
        <f>Database!NDB29</f>
        <v>0</v>
      </c>
      <c r="NCJ5">
        <f>Database!NDC29</f>
        <v>0</v>
      </c>
      <c r="NCK5">
        <f>Database!NDD29</f>
        <v>0</v>
      </c>
      <c r="NCL5">
        <f>Database!NDE29</f>
        <v>0</v>
      </c>
      <c r="NCM5">
        <f>Database!NDF29</f>
        <v>0</v>
      </c>
      <c r="NCN5">
        <f>Database!NDG29</f>
        <v>0</v>
      </c>
      <c r="NCO5">
        <f>Database!NDH29</f>
        <v>0</v>
      </c>
      <c r="NCP5">
        <f>Database!NDI29</f>
        <v>0</v>
      </c>
      <c r="NCQ5">
        <f>Database!NDJ29</f>
        <v>0</v>
      </c>
      <c r="NCR5">
        <f>Database!NDK29</f>
        <v>0</v>
      </c>
      <c r="NCS5">
        <f>Database!NDL29</f>
        <v>0</v>
      </c>
      <c r="NCT5">
        <f>Database!NDM29</f>
        <v>0</v>
      </c>
      <c r="NCU5">
        <f>Database!NDN29</f>
        <v>0</v>
      </c>
      <c r="NCV5">
        <f>Database!NDO29</f>
        <v>0</v>
      </c>
      <c r="NCW5">
        <f>Database!NDP29</f>
        <v>0</v>
      </c>
      <c r="NCX5">
        <f>Database!NDQ29</f>
        <v>0</v>
      </c>
      <c r="NCY5">
        <f>Database!NDR29</f>
        <v>0</v>
      </c>
      <c r="NCZ5">
        <f>Database!NDS29</f>
        <v>0</v>
      </c>
      <c r="NDA5">
        <f>Database!NDT29</f>
        <v>0</v>
      </c>
      <c r="NDB5">
        <f>Database!NDU29</f>
        <v>0</v>
      </c>
      <c r="NDC5">
        <f>Database!NDV29</f>
        <v>0</v>
      </c>
      <c r="NDD5">
        <f>Database!NDW29</f>
        <v>0</v>
      </c>
      <c r="NDE5">
        <f>Database!NDX29</f>
        <v>0</v>
      </c>
      <c r="NDF5">
        <f>Database!NDY29</f>
        <v>0</v>
      </c>
      <c r="NDG5">
        <f>Database!NDZ29</f>
        <v>0</v>
      </c>
      <c r="NDH5">
        <f>Database!NEA29</f>
        <v>0</v>
      </c>
      <c r="NDI5">
        <f>Database!NEB29</f>
        <v>0</v>
      </c>
      <c r="NDJ5">
        <f>Database!NEC29</f>
        <v>0</v>
      </c>
      <c r="NDK5">
        <f>Database!NED29</f>
        <v>0</v>
      </c>
      <c r="NDL5">
        <f>Database!NEE29</f>
        <v>0</v>
      </c>
      <c r="NDM5">
        <f>Database!NEF29</f>
        <v>0</v>
      </c>
      <c r="NDN5">
        <f>Database!NEG29</f>
        <v>0</v>
      </c>
      <c r="NDO5">
        <f>Database!NEH29</f>
        <v>0</v>
      </c>
      <c r="NDP5">
        <f>Database!NEI29</f>
        <v>0</v>
      </c>
      <c r="NDQ5">
        <f>Database!NEJ29</f>
        <v>0</v>
      </c>
      <c r="NDR5">
        <f>Database!NEK29</f>
        <v>0</v>
      </c>
      <c r="NDS5">
        <f>Database!NEL29</f>
        <v>0</v>
      </c>
      <c r="NDT5">
        <f>Database!NEM29</f>
        <v>0</v>
      </c>
      <c r="NDU5">
        <f>Database!NEN29</f>
        <v>0</v>
      </c>
      <c r="NDV5">
        <f>Database!NEO29</f>
        <v>0</v>
      </c>
      <c r="NDW5">
        <f>Database!NEP29</f>
        <v>0</v>
      </c>
      <c r="NDX5">
        <f>Database!NEQ29</f>
        <v>0</v>
      </c>
      <c r="NDY5">
        <f>Database!NER29</f>
        <v>0</v>
      </c>
      <c r="NDZ5">
        <f>Database!NES29</f>
        <v>0</v>
      </c>
      <c r="NEA5">
        <f>Database!NET29</f>
        <v>0</v>
      </c>
      <c r="NEB5">
        <f>Database!NEU29</f>
        <v>0</v>
      </c>
      <c r="NEC5">
        <f>Database!NEV29</f>
        <v>0</v>
      </c>
      <c r="NED5">
        <f>Database!NEW29</f>
        <v>0</v>
      </c>
      <c r="NEE5">
        <f>Database!NEX29</f>
        <v>0</v>
      </c>
      <c r="NEF5">
        <f>Database!NEY29</f>
        <v>0</v>
      </c>
      <c r="NEG5">
        <f>Database!NEZ29</f>
        <v>0</v>
      </c>
      <c r="NEH5">
        <f>Database!NFA29</f>
        <v>0</v>
      </c>
      <c r="NEI5">
        <f>Database!NFB29</f>
        <v>0</v>
      </c>
      <c r="NEJ5">
        <f>Database!NFC29</f>
        <v>0</v>
      </c>
      <c r="NEK5">
        <f>Database!NFD29</f>
        <v>0</v>
      </c>
      <c r="NEL5">
        <f>Database!NFE29</f>
        <v>0</v>
      </c>
      <c r="NEM5">
        <f>Database!NFF29</f>
        <v>0</v>
      </c>
      <c r="NEN5">
        <f>Database!NFG29</f>
        <v>0</v>
      </c>
      <c r="NEO5">
        <f>Database!NFH29</f>
        <v>0</v>
      </c>
      <c r="NEP5">
        <f>Database!NFI29</f>
        <v>0</v>
      </c>
      <c r="NEQ5">
        <f>Database!NFJ29</f>
        <v>0</v>
      </c>
      <c r="NER5">
        <f>Database!NFK29</f>
        <v>0</v>
      </c>
      <c r="NES5">
        <f>Database!NFL29</f>
        <v>0</v>
      </c>
      <c r="NET5">
        <f>Database!NFM29</f>
        <v>0</v>
      </c>
      <c r="NEU5">
        <f>Database!NFN29</f>
        <v>0</v>
      </c>
      <c r="NEV5">
        <f>Database!NFO29</f>
        <v>0</v>
      </c>
      <c r="NEW5">
        <f>Database!NFP29</f>
        <v>0</v>
      </c>
      <c r="NEX5">
        <f>Database!NFQ29</f>
        <v>0</v>
      </c>
      <c r="NEY5">
        <f>Database!NFR29</f>
        <v>0</v>
      </c>
      <c r="NEZ5">
        <f>Database!NFS29</f>
        <v>0</v>
      </c>
      <c r="NFA5">
        <f>Database!NFT29</f>
        <v>0</v>
      </c>
      <c r="NFB5">
        <f>Database!NFU29</f>
        <v>0</v>
      </c>
      <c r="NFC5">
        <f>Database!NFV29</f>
        <v>0</v>
      </c>
      <c r="NFD5">
        <f>Database!NFW29</f>
        <v>0</v>
      </c>
      <c r="NFE5">
        <f>Database!NFX29</f>
        <v>0</v>
      </c>
      <c r="NFF5">
        <f>Database!NFY29</f>
        <v>0</v>
      </c>
      <c r="NFG5">
        <f>Database!NFZ29</f>
        <v>0</v>
      </c>
      <c r="NFH5">
        <f>Database!NGA29</f>
        <v>0</v>
      </c>
      <c r="NFI5">
        <f>Database!NGB29</f>
        <v>0</v>
      </c>
      <c r="NFJ5">
        <f>Database!NGC29</f>
        <v>0</v>
      </c>
      <c r="NFK5">
        <f>Database!NGD29</f>
        <v>0</v>
      </c>
      <c r="NFL5">
        <f>Database!NGE29</f>
        <v>0</v>
      </c>
      <c r="NFM5">
        <f>Database!NGF29</f>
        <v>0</v>
      </c>
      <c r="NFN5">
        <f>Database!NGG29</f>
        <v>0</v>
      </c>
      <c r="NFO5">
        <f>Database!NGH29</f>
        <v>0</v>
      </c>
      <c r="NFP5">
        <f>Database!NGI29</f>
        <v>0</v>
      </c>
      <c r="NFQ5">
        <f>Database!NGJ29</f>
        <v>0</v>
      </c>
      <c r="NFR5">
        <f>Database!NGK29</f>
        <v>0</v>
      </c>
      <c r="NFS5">
        <f>Database!NGL29</f>
        <v>0</v>
      </c>
      <c r="NFT5">
        <f>Database!NGM29</f>
        <v>0</v>
      </c>
      <c r="NFU5">
        <f>Database!NGN29</f>
        <v>0</v>
      </c>
      <c r="NFV5">
        <f>Database!NGO29</f>
        <v>0</v>
      </c>
      <c r="NFW5">
        <f>Database!NGP29</f>
        <v>0</v>
      </c>
      <c r="NFX5">
        <f>Database!NGQ29</f>
        <v>0</v>
      </c>
      <c r="NFY5">
        <f>Database!NGR29</f>
        <v>0</v>
      </c>
      <c r="NFZ5">
        <f>Database!NGS29</f>
        <v>0</v>
      </c>
      <c r="NGA5">
        <f>Database!NGT29</f>
        <v>0</v>
      </c>
      <c r="NGB5">
        <f>Database!NGU29</f>
        <v>0</v>
      </c>
      <c r="NGC5">
        <f>Database!NGV29</f>
        <v>0</v>
      </c>
      <c r="NGD5">
        <f>Database!NGW29</f>
        <v>0</v>
      </c>
      <c r="NGE5">
        <f>Database!NGX29</f>
        <v>0</v>
      </c>
      <c r="NGF5">
        <f>Database!NGY29</f>
        <v>0</v>
      </c>
      <c r="NGG5">
        <f>Database!NGZ29</f>
        <v>0</v>
      </c>
      <c r="NGH5">
        <f>Database!NHA29</f>
        <v>0</v>
      </c>
      <c r="NGI5">
        <f>Database!NHB29</f>
        <v>0</v>
      </c>
      <c r="NGJ5">
        <f>Database!NHC29</f>
        <v>0</v>
      </c>
      <c r="NGK5">
        <f>Database!NHD29</f>
        <v>0</v>
      </c>
      <c r="NGL5">
        <f>Database!NHE29</f>
        <v>0</v>
      </c>
      <c r="NGM5">
        <f>Database!NHF29</f>
        <v>0</v>
      </c>
      <c r="NGN5">
        <f>Database!NHG29</f>
        <v>0</v>
      </c>
      <c r="NGO5">
        <f>Database!NHH29</f>
        <v>0</v>
      </c>
      <c r="NGP5">
        <f>Database!NHI29</f>
        <v>0</v>
      </c>
      <c r="NGQ5">
        <f>Database!NHJ29</f>
        <v>0</v>
      </c>
      <c r="NGR5">
        <f>Database!NHK29</f>
        <v>0</v>
      </c>
      <c r="NGS5">
        <f>Database!NHL29</f>
        <v>0</v>
      </c>
      <c r="NGT5">
        <f>Database!NHM29</f>
        <v>0</v>
      </c>
      <c r="NGU5">
        <f>Database!NHN29</f>
        <v>0</v>
      </c>
      <c r="NGV5">
        <f>Database!NHO29</f>
        <v>0</v>
      </c>
      <c r="NGW5">
        <f>Database!NHP29</f>
        <v>0</v>
      </c>
      <c r="NGX5">
        <f>Database!NHQ29</f>
        <v>0</v>
      </c>
      <c r="NGY5">
        <f>Database!NHR29</f>
        <v>0</v>
      </c>
      <c r="NGZ5">
        <f>Database!NHS29</f>
        <v>0</v>
      </c>
      <c r="NHA5">
        <f>Database!NHT29</f>
        <v>0</v>
      </c>
      <c r="NHB5">
        <f>Database!NHU29</f>
        <v>0</v>
      </c>
      <c r="NHC5">
        <f>Database!NHV29</f>
        <v>0</v>
      </c>
      <c r="NHD5">
        <f>Database!NHW29</f>
        <v>0</v>
      </c>
      <c r="NHE5">
        <f>Database!NHX29</f>
        <v>0</v>
      </c>
      <c r="NHF5">
        <f>Database!NHY29</f>
        <v>0</v>
      </c>
      <c r="NHG5">
        <f>Database!NHZ29</f>
        <v>0</v>
      </c>
      <c r="NHH5">
        <f>Database!NIA29</f>
        <v>0</v>
      </c>
      <c r="NHI5">
        <f>Database!NIB29</f>
        <v>0</v>
      </c>
      <c r="NHJ5">
        <f>Database!NIC29</f>
        <v>0</v>
      </c>
      <c r="NHK5">
        <f>Database!NID29</f>
        <v>0</v>
      </c>
      <c r="NHL5">
        <f>Database!NIE29</f>
        <v>0</v>
      </c>
      <c r="NHM5">
        <f>Database!NIF29</f>
        <v>0</v>
      </c>
      <c r="NHN5">
        <f>Database!NIG29</f>
        <v>0</v>
      </c>
      <c r="NHO5">
        <f>Database!NIH29</f>
        <v>0</v>
      </c>
      <c r="NHP5">
        <f>Database!NII29</f>
        <v>0</v>
      </c>
      <c r="NHQ5">
        <f>Database!NIJ29</f>
        <v>0</v>
      </c>
      <c r="NHR5">
        <f>Database!NIK29</f>
        <v>0</v>
      </c>
      <c r="NHS5">
        <f>Database!NIL29</f>
        <v>0</v>
      </c>
      <c r="NHT5">
        <f>Database!NIM29</f>
        <v>0</v>
      </c>
      <c r="NHU5">
        <f>Database!NIN29</f>
        <v>0</v>
      </c>
      <c r="NHV5">
        <f>Database!NIO29</f>
        <v>0</v>
      </c>
      <c r="NHW5">
        <f>Database!NIP29</f>
        <v>0</v>
      </c>
      <c r="NHX5">
        <f>Database!NIQ29</f>
        <v>0</v>
      </c>
      <c r="NHY5">
        <f>Database!NIR29</f>
        <v>0</v>
      </c>
      <c r="NHZ5">
        <f>Database!NIS29</f>
        <v>0</v>
      </c>
      <c r="NIA5">
        <f>Database!NIT29</f>
        <v>0</v>
      </c>
      <c r="NIB5">
        <f>Database!NIU29</f>
        <v>0</v>
      </c>
      <c r="NIC5">
        <f>Database!NIV29</f>
        <v>0</v>
      </c>
      <c r="NID5">
        <f>Database!NIW29</f>
        <v>0</v>
      </c>
      <c r="NIE5">
        <f>Database!NIX29</f>
        <v>0</v>
      </c>
      <c r="NIF5">
        <f>Database!NIY29</f>
        <v>0</v>
      </c>
      <c r="NIG5">
        <f>Database!NIZ29</f>
        <v>0</v>
      </c>
      <c r="NIH5">
        <f>Database!NJA29</f>
        <v>0</v>
      </c>
      <c r="NII5">
        <f>Database!NJB29</f>
        <v>0</v>
      </c>
      <c r="NIJ5">
        <f>Database!NJC29</f>
        <v>0</v>
      </c>
      <c r="NIK5">
        <f>Database!NJD29</f>
        <v>0</v>
      </c>
      <c r="NIL5">
        <f>Database!NJE29</f>
        <v>0</v>
      </c>
      <c r="NIM5">
        <f>Database!NJF29</f>
        <v>0</v>
      </c>
      <c r="NIN5">
        <f>Database!NJG29</f>
        <v>0</v>
      </c>
      <c r="NIO5">
        <f>Database!NJH29</f>
        <v>0</v>
      </c>
      <c r="NIP5">
        <f>Database!NJI29</f>
        <v>0</v>
      </c>
      <c r="NIQ5">
        <f>Database!NJJ29</f>
        <v>0</v>
      </c>
      <c r="NIR5">
        <f>Database!NJK29</f>
        <v>0</v>
      </c>
      <c r="NIS5">
        <f>Database!NJL29</f>
        <v>0</v>
      </c>
      <c r="NIT5">
        <f>Database!NJM29</f>
        <v>0</v>
      </c>
      <c r="NIU5">
        <f>Database!NJN29</f>
        <v>0</v>
      </c>
      <c r="NIV5">
        <f>Database!NJO29</f>
        <v>0</v>
      </c>
      <c r="NIW5">
        <f>Database!NJP29</f>
        <v>0</v>
      </c>
      <c r="NIX5">
        <f>Database!NJQ29</f>
        <v>0</v>
      </c>
      <c r="NIY5">
        <f>Database!NJR29</f>
        <v>0</v>
      </c>
      <c r="NIZ5">
        <f>Database!NJS29</f>
        <v>0</v>
      </c>
      <c r="NJA5">
        <f>Database!NJT29</f>
        <v>0</v>
      </c>
      <c r="NJB5">
        <f>Database!NJU29</f>
        <v>0</v>
      </c>
      <c r="NJC5">
        <f>Database!NJV29</f>
        <v>0</v>
      </c>
      <c r="NJD5">
        <f>Database!NJW29</f>
        <v>0</v>
      </c>
      <c r="NJE5">
        <f>Database!NJX29</f>
        <v>0</v>
      </c>
      <c r="NJF5">
        <f>Database!NJY29</f>
        <v>0</v>
      </c>
      <c r="NJG5">
        <f>Database!NJZ29</f>
        <v>0</v>
      </c>
      <c r="NJH5">
        <f>Database!NKA29</f>
        <v>0</v>
      </c>
      <c r="NJI5">
        <f>Database!NKB29</f>
        <v>0</v>
      </c>
      <c r="NJJ5">
        <f>Database!NKC29</f>
        <v>0</v>
      </c>
      <c r="NJK5">
        <f>Database!NKD29</f>
        <v>0</v>
      </c>
      <c r="NJL5">
        <f>Database!NKE29</f>
        <v>0</v>
      </c>
      <c r="NJM5">
        <f>Database!NKF29</f>
        <v>0</v>
      </c>
      <c r="NJN5">
        <f>Database!NKG29</f>
        <v>0</v>
      </c>
      <c r="NJO5">
        <f>Database!NKH29</f>
        <v>0</v>
      </c>
      <c r="NJP5">
        <f>Database!NKI29</f>
        <v>0</v>
      </c>
      <c r="NJQ5">
        <f>Database!NKJ29</f>
        <v>0</v>
      </c>
      <c r="NJR5">
        <f>Database!NKK29</f>
        <v>0</v>
      </c>
      <c r="NJS5">
        <f>Database!NKL29</f>
        <v>0</v>
      </c>
      <c r="NJT5">
        <f>Database!NKM29</f>
        <v>0</v>
      </c>
      <c r="NJU5">
        <f>Database!NKN29</f>
        <v>0</v>
      </c>
      <c r="NJV5">
        <f>Database!NKO29</f>
        <v>0</v>
      </c>
      <c r="NJW5">
        <f>Database!NKP29</f>
        <v>0</v>
      </c>
      <c r="NJX5">
        <f>Database!NKQ29</f>
        <v>0</v>
      </c>
      <c r="NJY5">
        <f>Database!NKR29</f>
        <v>0</v>
      </c>
      <c r="NJZ5">
        <f>Database!NKS29</f>
        <v>0</v>
      </c>
      <c r="NKA5">
        <f>Database!NKT29</f>
        <v>0</v>
      </c>
      <c r="NKB5">
        <f>Database!NKU29</f>
        <v>0</v>
      </c>
      <c r="NKC5">
        <f>Database!NKV29</f>
        <v>0</v>
      </c>
      <c r="NKD5">
        <f>Database!NKW29</f>
        <v>0</v>
      </c>
      <c r="NKE5">
        <f>Database!NKX29</f>
        <v>0</v>
      </c>
      <c r="NKF5">
        <f>Database!NKY29</f>
        <v>0</v>
      </c>
      <c r="NKG5">
        <f>Database!NKZ29</f>
        <v>0</v>
      </c>
      <c r="NKH5">
        <f>Database!NLA29</f>
        <v>0</v>
      </c>
      <c r="NKI5">
        <f>Database!NLB29</f>
        <v>0</v>
      </c>
      <c r="NKJ5">
        <f>Database!NLC29</f>
        <v>0</v>
      </c>
      <c r="NKK5">
        <f>Database!NLD29</f>
        <v>0</v>
      </c>
      <c r="NKL5">
        <f>Database!NLE29</f>
        <v>0</v>
      </c>
      <c r="NKM5">
        <f>Database!NLF29</f>
        <v>0</v>
      </c>
      <c r="NKN5">
        <f>Database!NLG29</f>
        <v>0</v>
      </c>
      <c r="NKO5">
        <f>Database!NLH29</f>
        <v>0</v>
      </c>
      <c r="NKP5">
        <f>Database!NLI29</f>
        <v>0</v>
      </c>
      <c r="NKQ5">
        <f>Database!NLJ29</f>
        <v>0</v>
      </c>
      <c r="NKR5">
        <f>Database!NLK29</f>
        <v>0</v>
      </c>
      <c r="NKS5">
        <f>Database!NLL29</f>
        <v>0</v>
      </c>
      <c r="NKT5">
        <f>Database!NLM29</f>
        <v>0</v>
      </c>
      <c r="NKU5">
        <f>Database!NLN29</f>
        <v>0</v>
      </c>
      <c r="NKV5">
        <f>Database!NLO29</f>
        <v>0</v>
      </c>
      <c r="NKW5">
        <f>Database!NLP29</f>
        <v>0</v>
      </c>
      <c r="NKX5">
        <f>Database!NLQ29</f>
        <v>0</v>
      </c>
      <c r="NKY5">
        <f>Database!NLR29</f>
        <v>0</v>
      </c>
      <c r="NKZ5">
        <f>Database!NLS29</f>
        <v>0</v>
      </c>
      <c r="NLA5">
        <f>Database!NLT29</f>
        <v>0</v>
      </c>
      <c r="NLB5">
        <f>Database!NLU29</f>
        <v>0</v>
      </c>
      <c r="NLC5">
        <f>Database!NLV29</f>
        <v>0</v>
      </c>
      <c r="NLD5">
        <f>Database!NLW29</f>
        <v>0</v>
      </c>
      <c r="NLE5">
        <f>Database!NLX29</f>
        <v>0</v>
      </c>
      <c r="NLF5">
        <f>Database!NLY29</f>
        <v>0</v>
      </c>
      <c r="NLG5">
        <f>Database!NLZ29</f>
        <v>0</v>
      </c>
      <c r="NLH5">
        <f>Database!NMA29</f>
        <v>0</v>
      </c>
      <c r="NLI5">
        <f>Database!NMB29</f>
        <v>0</v>
      </c>
      <c r="NLJ5">
        <f>Database!NMC29</f>
        <v>0</v>
      </c>
      <c r="NLK5">
        <f>Database!NMD29</f>
        <v>0</v>
      </c>
      <c r="NLL5">
        <f>Database!NME29</f>
        <v>0</v>
      </c>
      <c r="NLM5">
        <f>Database!NMF29</f>
        <v>0</v>
      </c>
      <c r="NLN5">
        <f>Database!NMG29</f>
        <v>0</v>
      </c>
      <c r="NLO5">
        <f>Database!NMH29</f>
        <v>0</v>
      </c>
      <c r="NLP5">
        <f>Database!NMI29</f>
        <v>0</v>
      </c>
      <c r="NLQ5">
        <f>Database!NMJ29</f>
        <v>0</v>
      </c>
      <c r="NLR5">
        <f>Database!NMK29</f>
        <v>0</v>
      </c>
      <c r="NLS5">
        <f>Database!NML29</f>
        <v>0</v>
      </c>
      <c r="NLT5">
        <f>Database!NMM29</f>
        <v>0</v>
      </c>
      <c r="NLU5">
        <f>Database!NMN29</f>
        <v>0</v>
      </c>
      <c r="NLV5">
        <f>Database!NMO29</f>
        <v>0</v>
      </c>
      <c r="NLW5">
        <f>Database!NMP29</f>
        <v>0</v>
      </c>
      <c r="NLX5">
        <f>Database!NMQ29</f>
        <v>0</v>
      </c>
      <c r="NLY5">
        <f>Database!NMR29</f>
        <v>0</v>
      </c>
      <c r="NLZ5">
        <f>Database!NMS29</f>
        <v>0</v>
      </c>
      <c r="NMA5">
        <f>Database!NMT29</f>
        <v>0</v>
      </c>
      <c r="NMB5">
        <f>Database!NMU29</f>
        <v>0</v>
      </c>
      <c r="NMC5">
        <f>Database!NMV29</f>
        <v>0</v>
      </c>
      <c r="NMD5">
        <f>Database!NMW29</f>
        <v>0</v>
      </c>
      <c r="NME5">
        <f>Database!NMX29</f>
        <v>0</v>
      </c>
      <c r="NMF5">
        <f>Database!NMY29</f>
        <v>0</v>
      </c>
      <c r="NMG5">
        <f>Database!NMZ29</f>
        <v>0</v>
      </c>
      <c r="NMH5">
        <f>Database!NNA29</f>
        <v>0</v>
      </c>
      <c r="NMI5">
        <f>Database!NNB29</f>
        <v>0</v>
      </c>
      <c r="NMJ5">
        <f>Database!NNC29</f>
        <v>0</v>
      </c>
      <c r="NMK5">
        <f>Database!NND29</f>
        <v>0</v>
      </c>
      <c r="NML5">
        <f>Database!NNE29</f>
        <v>0</v>
      </c>
      <c r="NMM5">
        <f>Database!NNF29</f>
        <v>0</v>
      </c>
      <c r="NMN5">
        <f>Database!NNG29</f>
        <v>0</v>
      </c>
      <c r="NMO5">
        <f>Database!NNH29</f>
        <v>0</v>
      </c>
      <c r="NMP5">
        <f>Database!NNI29</f>
        <v>0</v>
      </c>
      <c r="NMQ5">
        <f>Database!NNJ29</f>
        <v>0</v>
      </c>
      <c r="NMR5">
        <f>Database!NNK29</f>
        <v>0</v>
      </c>
      <c r="NMS5">
        <f>Database!NNL29</f>
        <v>0</v>
      </c>
      <c r="NMT5">
        <f>Database!NNM29</f>
        <v>0</v>
      </c>
      <c r="NMU5">
        <f>Database!NNN29</f>
        <v>0</v>
      </c>
      <c r="NMV5">
        <f>Database!NNO29</f>
        <v>0</v>
      </c>
      <c r="NMW5">
        <f>Database!NNP29</f>
        <v>0</v>
      </c>
      <c r="NMX5">
        <f>Database!NNQ29</f>
        <v>0</v>
      </c>
      <c r="NMY5">
        <f>Database!NNR29</f>
        <v>0</v>
      </c>
      <c r="NMZ5">
        <f>Database!NNS29</f>
        <v>0</v>
      </c>
      <c r="NNA5">
        <f>Database!NNT29</f>
        <v>0</v>
      </c>
      <c r="NNB5">
        <f>Database!NNU29</f>
        <v>0</v>
      </c>
      <c r="NNC5">
        <f>Database!NNV29</f>
        <v>0</v>
      </c>
      <c r="NND5">
        <f>Database!NNW29</f>
        <v>0</v>
      </c>
      <c r="NNE5">
        <f>Database!NNX29</f>
        <v>0</v>
      </c>
      <c r="NNF5">
        <f>Database!NNY29</f>
        <v>0</v>
      </c>
      <c r="NNG5">
        <f>Database!NNZ29</f>
        <v>0</v>
      </c>
      <c r="NNH5">
        <f>Database!NOA29</f>
        <v>0</v>
      </c>
      <c r="NNI5">
        <f>Database!NOB29</f>
        <v>0</v>
      </c>
      <c r="NNJ5">
        <f>Database!NOC29</f>
        <v>0</v>
      </c>
      <c r="NNK5">
        <f>Database!NOD29</f>
        <v>0</v>
      </c>
      <c r="NNL5">
        <f>Database!NOE29</f>
        <v>0</v>
      </c>
      <c r="NNM5">
        <f>Database!NOF29</f>
        <v>0</v>
      </c>
      <c r="NNN5">
        <f>Database!NOG29</f>
        <v>0</v>
      </c>
      <c r="NNO5">
        <f>Database!NOH29</f>
        <v>0</v>
      </c>
      <c r="NNP5">
        <f>Database!NOI29</f>
        <v>0</v>
      </c>
      <c r="NNQ5">
        <f>Database!NOJ29</f>
        <v>0</v>
      </c>
      <c r="NNR5">
        <f>Database!NOK29</f>
        <v>0</v>
      </c>
      <c r="NNS5">
        <f>Database!NOL29</f>
        <v>0</v>
      </c>
      <c r="NNT5">
        <f>Database!NOM29</f>
        <v>0</v>
      </c>
      <c r="NNU5">
        <f>Database!NON29</f>
        <v>0</v>
      </c>
      <c r="NNV5">
        <f>Database!NOO29</f>
        <v>0</v>
      </c>
      <c r="NNW5">
        <f>Database!NOP29</f>
        <v>0</v>
      </c>
      <c r="NNX5">
        <f>Database!NOQ29</f>
        <v>0</v>
      </c>
      <c r="NNY5">
        <f>Database!NOR29</f>
        <v>0</v>
      </c>
      <c r="NNZ5">
        <f>Database!NOS29</f>
        <v>0</v>
      </c>
      <c r="NOA5">
        <f>Database!NOT29</f>
        <v>0</v>
      </c>
      <c r="NOB5">
        <f>Database!NOU29</f>
        <v>0</v>
      </c>
      <c r="NOC5">
        <f>Database!NOV29</f>
        <v>0</v>
      </c>
      <c r="NOD5">
        <f>Database!NOW29</f>
        <v>0</v>
      </c>
      <c r="NOE5">
        <f>Database!NOX29</f>
        <v>0</v>
      </c>
      <c r="NOF5">
        <f>Database!NOY29</f>
        <v>0</v>
      </c>
      <c r="NOG5">
        <f>Database!NOZ29</f>
        <v>0</v>
      </c>
      <c r="NOH5">
        <f>Database!NPA29</f>
        <v>0</v>
      </c>
      <c r="NOI5">
        <f>Database!NPB29</f>
        <v>0</v>
      </c>
      <c r="NOJ5">
        <f>Database!NPC29</f>
        <v>0</v>
      </c>
      <c r="NOK5">
        <f>Database!NPD29</f>
        <v>0</v>
      </c>
      <c r="NOL5">
        <f>Database!NPE29</f>
        <v>0</v>
      </c>
      <c r="NOM5">
        <f>Database!NPF29</f>
        <v>0</v>
      </c>
      <c r="NON5">
        <f>Database!NPG29</f>
        <v>0</v>
      </c>
      <c r="NOO5">
        <f>Database!NPH29</f>
        <v>0</v>
      </c>
      <c r="NOP5">
        <f>Database!NPI29</f>
        <v>0</v>
      </c>
      <c r="NOQ5">
        <f>Database!NPJ29</f>
        <v>0</v>
      </c>
      <c r="NOR5">
        <f>Database!NPK29</f>
        <v>0</v>
      </c>
      <c r="NOS5">
        <f>Database!NPL29</f>
        <v>0</v>
      </c>
      <c r="NOT5">
        <f>Database!NPM29</f>
        <v>0</v>
      </c>
      <c r="NOU5">
        <f>Database!NPN29</f>
        <v>0</v>
      </c>
      <c r="NOV5">
        <f>Database!NPO29</f>
        <v>0</v>
      </c>
      <c r="NOW5">
        <f>Database!NPP29</f>
        <v>0</v>
      </c>
      <c r="NOX5">
        <f>Database!NPQ29</f>
        <v>0</v>
      </c>
      <c r="NOY5">
        <f>Database!NPR29</f>
        <v>0</v>
      </c>
      <c r="NOZ5">
        <f>Database!NPS29</f>
        <v>0</v>
      </c>
      <c r="NPA5">
        <f>Database!NPT29</f>
        <v>0</v>
      </c>
      <c r="NPB5">
        <f>Database!NPU29</f>
        <v>0</v>
      </c>
      <c r="NPC5">
        <f>Database!NPV29</f>
        <v>0</v>
      </c>
      <c r="NPD5">
        <f>Database!NPW29</f>
        <v>0</v>
      </c>
      <c r="NPE5">
        <f>Database!NPX29</f>
        <v>0</v>
      </c>
      <c r="NPF5">
        <f>Database!NPY29</f>
        <v>0</v>
      </c>
      <c r="NPG5">
        <f>Database!NPZ29</f>
        <v>0</v>
      </c>
      <c r="NPH5">
        <f>Database!NQA29</f>
        <v>0</v>
      </c>
      <c r="NPI5">
        <f>Database!NQB29</f>
        <v>0</v>
      </c>
      <c r="NPJ5">
        <f>Database!NQC29</f>
        <v>0</v>
      </c>
      <c r="NPK5">
        <f>Database!NQD29</f>
        <v>0</v>
      </c>
      <c r="NPL5">
        <f>Database!NQE29</f>
        <v>0</v>
      </c>
      <c r="NPM5">
        <f>Database!NQF29</f>
        <v>0</v>
      </c>
      <c r="NPN5">
        <f>Database!NQG29</f>
        <v>0</v>
      </c>
      <c r="NPO5">
        <f>Database!NQH29</f>
        <v>0</v>
      </c>
      <c r="NPP5">
        <f>Database!NQI29</f>
        <v>0</v>
      </c>
      <c r="NPQ5">
        <f>Database!NQJ29</f>
        <v>0</v>
      </c>
      <c r="NPR5">
        <f>Database!NQK29</f>
        <v>0</v>
      </c>
      <c r="NPS5">
        <f>Database!NQL29</f>
        <v>0</v>
      </c>
      <c r="NPT5">
        <f>Database!NQM29</f>
        <v>0</v>
      </c>
      <c r="NPU5">
        <f>Database!NQN29</f>
        <v>0</v>
      </c>
      <c r="NPV5">
        <f>Database!NQO29</f>
        <v>0</v>
      </c>
      <c r="NPW5">
        <f>Database!NQP29</f>
        <v>0</v>
      </c>
      <c r="NPX5">
        <f>Database!NQQ29</f>
        <v>0</v>
      </c>
      <c r="NPY5">
        <f>Database!NQR29</f>
        <v>0</v>
      </c>
      <c r="NPZ5">
        <f>Database!NQS29</f>
        <v>0</v>
      </c>
      <c r="NQA5">
        <f>Database!NQT29</f>
        <v>0</v>
      </c>
      <c r="NQB5">
        <f>Database!NQU29</f>
        <v>0</v>
      </c>
      <c r="NQC5">
        <f>Database!NQV29</f>
        <v>0</v>
      </c>
      <c r="NQD5">
        <f>Database!NQW29</f>
        <v>0</v>
      </c>
      <c r="NQE5">
        <f>Database!NQX29</f>
        <v>0</v>
      </c>
      <c r="NQF5">
        <f>Database!NQY29</f>
        <v>0</v>
      </c>
      <c r="NQG5">
        <f>Database!NQZ29</f>
        <v>0</v>
      </c>
      <c r="NQH5">
        <f>Database!NRA29</f>
        <v>0</v>
      </c>
      <c r="NQI5">
        <f>Database!NRB29</f>
        <v>0</v>
      </c>
      <c r="NQJ5">
        <f>Database!NRC29</f>
        <v>0</v>
      </c>
      <c r="NQK5">
        <f>Database!NRD29</f>
        <v>0</v>
      </c>
      <c r="NQL5">
        <f>Database!NRE29</f>
        <v>0</v>
      </c>
      <c r="NQM5">
        <f>Database!NRF29</f>
        <v>0</v>
      </c>
      <c r="NQN5">
        <f>Database!NRG29</f>
        <v>0</v>
      </c>
      <c r="NQO5">
        <f>Database!NRH29</f>
        <v>0</v>
      </c>
      <c r="NQP5">
        <f>Database!NRI29</f>
        <v>0</v>
      </c>
      <c r="NQQ5">
        <f>Database!NRJ29</f>
        <v>0</v>
      </c>
      <c r="NQR5">
        <f>Database!NRK29</f>
        <v>0</v>
      </c>
      <c r="NQS5">
        <f>Database!NRL29</f>
        <v>0</v>
      </c>
      <c r="NQT5">
        <f>Database!NRM29</f>
        <v>0</v>
      </c>
      <c r="NQU5">
        <f>Database!NRN29</f>
        <v>0</v>
      </c>
      <c r="NQV5">
        <f>Database!NRO29</f>
        <v>0</v>
      </c>
      <c r="NQW5">
        <f>Database!NRP29</f>
        <v>0</v>
      </c>
      <c r="NQX5">
        <f>Database!NRQ29</f>
        <v>0</v>
      </c>
      <c r="NQY5">
        <f>Database!NRR29</f>
        <v>0</v>
      </c>
      <c r="NQZ5">
        <f>Database!NRS29</f>
        <v>0</v>
      </c>
      <c r="NRA5">
        <f>Database!NRT29</f>
        <v>0</v>
      </c>
      <c r="NRB5">
        <f>Database!NRU29</f>
        <v>0</v>
      </c>
      <c r="NRC5">
        <f>Database!NRV29</f>
        <v>0</v>
      </c>
      <c r="NRD5">
        <f>Database!NRW29</f>
        <v>0</v>
      </c>
      <c r="NRE5">
        <f>Database!NRX29</f>
        <v>0</v>
      </c>
      <c r="NRF5">
        <f>Database!NRY29</f>
        <v>0</v>
      </c>
      <c r="NRG5">
        <f>Database!NRZ29</f>
        <v>0</v>
      </c>
      <c r="NRH5">
        <f>Database!NSA29</f>
        <v>0</v>
      </c>
      <c r="NRI5">
        <f>Database!NSB29</f>
        <v>0</v>
      </c>
      <c r="NRJ5">
        <f>Database!NSC29</f>
        <v>0</v>
      </c>
      <c r="NRK5">
        <f>Database!NSD29</f>
        <v>0</v>
      </c>
      <c r="NRL5">
        <f>Database!NSE29</f>
        <v>0</v>
      </c>
      <c r="NRM5">
        <f>Database!NSF29</f>
        <v>0</v>
      </c>
      <c r="NRN5">
        <f>Database!NSG29</f>
        <v>0</v>
      </c>
      <c r="NRO5">
        <f>Database!NSH29</f>
        <v>0</v>
      </c>
      <c r="NRP5">
        <f>Database!NSI29</f>
        <v>0</v>
      </c>
      <c r="NRQ5">
        <f>Database!NSJ29</f>
        <v>0</v>
      </c>
      <c r="NRR5">
        <f>Database!NSK29</f>
        <v>0</v>
      </c>
      <c r="NRS5">
        <f>Database!NSL29</f>
        <v>0</v>
      </c>
      <c r="NRT5">
        <f>Database!NSM29</f>
        <v>0</v>
      </c>
      <c r="NRU5">
        <f>Database!NSN29</f>
        <v>0</v>
      </c>
      <c r="NRV5">
        <f>Database!NSO29</f>
        <v>0</v>
      </c>
      <c r="NRW5">
        <f>Database!NSP29</f>
        <v>0</v>
      </c>
      <c r="NRX5">
        <f>Database!NSQ29</f>
        <v>0</v>
      </c>
      <c r="NRY5">
        <f>Database!NSR29</f>
        <v>0</v>
      </c>
      <c r="NRZ5">
        <f>Database!NSS29</f>
        <v>0</v>
      </c>
      <c r="NSA5">
        <f>Database!NST29</f>
        <v>0</v>
      </c>
      <c r="NSB5">
        <f>Database!NSU29</f>
        <v>0</v>
      </c>
      <c r="NSC5">
        <f>Database!NSV29</f>
        <v>0</v>
      </c>
      <c r="NSD5">
        <f>Database!NSW29</f>
        <v>0</v>
      </c>
      <c r="NSE5">
        <f>Database!NSX29</f>
        <v>0</v>
      </c>
      <c r="NSF5">
        <f>Database!NSY29</f>
        <v>0</v>
      </c>
      <c r="NSG5">
        <f>Database!NSZ29</f>
        <v>0</v>
      </c>
      <c r="NSH5">
        <f>Database!NTA29</f>
        <v>0</v>
      </c>
      <c r="NSI5">
        <f>Database!NTB29</f>
        <v>0</v>
      </c>
      <c r="NSJ5">
        <f>Database!NTC29</f>
        <v>0</v>
      </c>
      <c r="NSK5">
        <f>Database!NTD29</f>
        <v>0</v>
      </c>
      <c r="NSL5">
        <f>Database!NTE29</f>
        <v>0</v>
      </c>
      <c r="NSM5">
        <f>Database!NTF29</f>
        <v>0</v>
      </c>
      <c r="NSN5">
        <f>Database!NTG29</f>
        <v>0</v>
      </c>
      <c r="NSO5">
        <f>Database!NTH29</f>
        <v>0</v>
      </c>
      <c r="NSP5">
        <f>Database!NTI29</f>
        <v>0</v>
      </c>
      <c r="NSQ5">
        <f>Database!NTJ29</f>
        <v>0</v>
      </c>
      <c r="NSR5">
        <f>Database!NTK29</f>
        <v>0</v>
      </c>
      <c r="NSS5">
        <f>Database!NTL29</f>
        <v>0</v>
      </c>
      <c r="NST5">
        <f>Database!NTM29</f>
        <v>0</v>
      </c>
      <c r="NSU5">
        <f>Database!NTN29</f>
        <v>0</v>
      </c>
      <c r="NSV5">
        <f>Database!NTO29</f>
        <v>0</v>
      </c>
      <c r="NSW5">
        <f>Database!NTP29</f>
        <v>0</v>
      </c>
      <c r="NSX5">
        <f>Database!NTQ29</f>
        <v>0</v>
      </c>
      <c r="NSY5">
        <f>Database!NTR29</f>
        <v>0</v>
      </c>
      <c r="NSZ5">
        <f>Database!NTS29</f>
        <v>0</v>
      </c>
      <c r="NTA5">
        <f>Database!NTT29</f>
        <v>0</v>
      </c>
      <c r="NTB5">
        <f>Database!NTU29</f>
        <v>0</v>
      </c>
      <c r="NTC5">
        <f>Database!NTV29</f>
        <v>0</v>
      </c>
      <c r="NTD5">
        <f>Database!NTW29</f>
        <v>0</v>
      </c>
      <c r="NTE5">
        <f>Database!NTX29</f>
        <v>0</v>
      </c>
      <c r="NTF5">
        <f>Database!NTY29</f>
        <v>0</v>
      </c>
      <c r="NTG5">
        <f>Database!NTZ29</f>
        <v>0</v>
      </c>
      <c r="NTH5">
        <f>Database!NUA29</f>
        <v>0</v>
      </c>
      <c r="NTI5">
        <f>Database!NUB29</f>
        <v>0</v>
      </c>
      <c r="NTJ5">
        <f>Database!NUC29</f>
        <v>0</v>
      </c>
      <c r="NTK5">
        <f>Database!NUD29</f>
        <v>0</v>
      </c>
      <c r="NTL5">
        <f>Database!NUE29</f>
        <v>0</v>
      </c>
      <c r="NTM5">
        <f>Database!NUF29</f>
        <v>0</v>
      </c>
      <c r="NTN5">
        <f>Database!NUG29</f>
        <v>0</v>
      </c>
      <c r="NTO5">
        <f>Database!NUH29</f>
        <v>0</v>
      </c>
      <c r="NTP5">
        <f>Database!NUI29</f>
        <v>0</v>
      </c>
      <c r="NTQ5">
        <f>Database!NUJ29</f>
        <v>0</v>
      </c>
      <c r="NTR5">
        <f>Database!NUK29</f>
        <v>0</v>
      </c>
      <c r="NTS5">
        <f>Database!NUL29</f>
        <v>0</v>
      </c>
      <c r="NTT5">
        <f>Database!NUM29</f>
        <v>0</v>
      </c>
      <c r="NTU5">
        <f>Database!NUN29</f>
        <v>0</v>
      </c>
      <c r="NTV5">
        <f>Database!NUO29</f>
        <v>0</v>
      </c>
      <c r="NTW5">
        <f>Database!NUP29</f>
        <v>0</v>
      </c>
      <c r="NTX5">
        <f>Database!NUQ29</f>
        <v>0</v>
      </c>
      <c r="NTY5">
        <f>Database!NUR29</f>
        <v>0</v>
      </c>
      <c r="NTZ5">
        <f>Database!NUS29</f>
        <v>0</v>
      </c>
      <c r="NUA5">
        <f>Database!NUT29</f>
        <v>0</v>
      </c>
      <c r="NUB5">
        <f>Database!NUU29</f>
        <v>0</v>
      </c>
      <c r="NUC5">
        <f>Database!NUV29</f>
        <v>0</v>
      </c>
      <c r="NUD5">
        <f>Database!NUW29</f>
        <v>0</v>
      </c>
      <c r="NUE5">
        <f>Database!NUX29</f>
        <v>0</v>
      </c>
      <c r="NUF5">
        <f>Database!NUY29</f>
        <v>0</v>
      </c>
      <c r="NUG5">
        <f>Database!NUZ29</f>
        <v>0</v>
      </c>
      <c r="NUH5">
        <f>Database!NVA29</f>
        <v>0</v>
      </c>
      <c r="NUI5">
        <f>Database!NVB29</f>
        <v>0</v>
      </c>
      <c r="NUJ5">
        <f>Database!NVC29</f>
        <v>0</v>
      </c>
      <c r="NUK5">
        <f>Database!NVD29</f>
        <v>0</v>
      </c>
      <c r="NUL5">
        <f>Database!NVE29</f>
        <v>0</v>
      </c>
      <c r="NUM5">
        <f>Database!NVF29</f>
        <v>0</v>
      </c>
      <c r="NUN5">
        <f>Database!NVG29</f>
        <v>0</v>
      </c>
      <c r="NUO5">
        <f>Database!NVH29</f>
        <v>0</v>
      </c>
      <c r="NUP5">
        <f>Database!NVI29</f>
        <v>0</v>
      </c>
      <c r="NUQ5">
        <f>Database!NVJ29</f>
        <v>0</v>
      </c>
      <c r="NUR5">
        <f>Database!NVK29</f>
        <v>0</v>
      </c>
      <c r="NUS5">
        <f>Database!NVL29</f>
        <v>0</v>
      </c>
      <c r="NUT5">
        <f>Database!NVM29</f>
        <v>0</v>
      </c>
      <c r="NUU5">
        <f>Database!NVN29</f>
        <v>0</v>
      </c>
      <c r="NUV5">
        <f>Database!NVO29</f>
        <v>0</v>
      </c>
      <c r="NUW5">
        <f>Database!NVP29</f>
        <v>0</v>
      </c>
      <c r="NUX5">
        <f>Database!NVQ29</f>
        <v>0</v>
      </c>
      <c r="NUY5">
        <f>Database!NVR29</f>
        <v>0</v>
      </c>
      <c r="NUZ5">
        <f>Database!NVS29</f>
        <v>0</v>
      </c>
      <c r="NVA5">
        <f>Database!NVT29</f>
        <v>0</v>
      </c>
      <c r="NVB5">
        <f>Database!NVU29</f>
        <v>0</v>
      </c>
      <c r="NVC5">
        <f>Database!NVV29</f>
        <v>0</v>
      </c>
      <c r="NVD5">
        <f>Database!NVW29</f>
        <v>0</v>
      </c>
      <c r="NVE5">
        <f>Database!NVX29</f>
        <v>0</v>
      </c>
      <c r="NVF5">
        <f>Database!NVY29</f>
        <v>0</v>
      </c>
      <c r="NVG5">
        <f>Database!NVZ29</f>
        <v>0</v>
      </c>
      <c r="NVH5">
        <f>Database!NWA29</f>
        <v>0</v>
      </c>
      <c r="NVI5">
        <f>Database!NWB29</f>
        <v>0</v>
      </c>
      <c r="NVJ5">
        <f>Database!NWC29</f>
        <v>0</v>
      </c>
      <c r="NVK5">
        <f>Database!NWD29</f>
        <v>0</v>
      </c>
      <c r="NVL5">
        <f>Database!NWE29</f>
        <v>0</v>
      </c>
      <c r="NVM5">
        <f>Database!NWF29</f>
        <v>0</v>
      </c>
      <c r="NVN5">
        <f>Database!NWG29</f>
        <v>0</v>
      </c>
      <c r="NVO5">
        <f>Database!NWH29</f>
        <v>0</v>
      </c>
      <c r="NVP5">
        <f>Database!NWI29</f>
        <v>0</v>
      </c>
      <c r="NVQ5">
        <f>Database!NWJ29</f>
        <v>0</v>
      </c>
      <c r="NVR5">
        <f>Database!NWK29</f>
        <v>0</v>
      </c>
      <c r="NVS5">
        <f>Database!NWL29</f>
        <v>0</v>
      </c>
      <c r="NVT5">
        <f>Database!NWM29</f>
        <v>0</v>
      </c>
      <c r="NVU5">
        <f>Database!NWN29</f>
        <v>0</v>
      </c>
      <c r="NVV5">
        <f>Database!NWO29</f>
        <v>0</v>
      </c>
      <c r="NVW5">
        <f>Database!NWP29</f>
        <v>0</v>
      </c>
      <c r="NVX5">
        <f>Database!NWQ29</f>
        <v>0</v>
      </c>
      <c r="NVY5">
        <f>Database!NWR29</f>
        <v>0</v>
      </c>
      <c r="NVZ5">
        <f>Database!NWS29</f>
        <v>0</v>
      </c>
      <c r="NWA5">
        <f>Database!NWT29</f>
        <v>0</v>
      </c>
      <c r="NWB5">
        <f>Database!NWU29</f>
        <v>0</v>
      </c>
      <c r="NWC5">
        <f>Database!NWV29</f>
        <v>0</v>
      </c>
      <c r="NWD5">
        <f>Database!NWW29</f>
        <v>0</v>
      </c>
      <c r="NWE5">
        <f>Database!NWX29</f>
        <v>0</v>
      </c>
      <c r="NWF5">
        <f>Database!NWY29</f>
        <v>0</v>
      </c>
      <c r="NWG5">
        <f>Database!NWZ29</f>
        <v>0</v>
      </c>
      <c r="NWH5">
        <f>Database!NXA29</f>
        <v>0</v>
      </c>
      <c r="NWI5">
        <f>Database!NXB29</f>
        <v>0</v>
      </c>
      <c r="NWJ5">
        <f>Database!NXC29</f>
        <v>0</v>
      </c>
      <c r="NWK5">
        <f>Database!NXD29</f>
        <v>0</v>
      </c>
      <c r="NWL5">
        <f>Database!NXE29</f>
        <v>0</v>
      </c>
      <c r="NWM5">
        <f>Database!NXF29</f>
        <v>0</v>
      </c>
      <c r="NWN5">
        <f>Database!NXG29</f>
        <v>0</v>
      </c>
      <c r="NWO5">
        <f>Database!NXH29</f>
        <v>0</v>
      </c>
      <c r="NWP5">
        <f>Database!NXI29</f>
        <v>0</v>
      </c>
      <c r="NWQ5">
        <f>Database!NXJ29</f>
        <v>0</v>
      </c>
      <c r="NWR5">
        <f>Database!NXK29</f>
        <v>0</v>
      </c>
      <c r="NWS5">
        <f>Database!NXL29</f>
        <v>0</v>
      </c>
      <c r="NWT5">
        <f>Database!NXM29</f>
        <v>0</v>
      </c>
      <c r="NWU5">
        <f>Database!NXN29</f>
        <v>0</v>
      </c>
      <c r="NWV5">
        <f>Database!NXO29</f>
        <v>0</v>
      </c>
      <c r="NWW5">
        <f>Database!NXP29</f>
        <v>0</v>
      </c>
      <c r="NWX5">
        <f>Database!NXQ29</f>
        <v>0</v>
      </c>
      <c r="NWY5">
        <f>Database!NXR29</f>
        <v>0</v>
      </c>
      <c r="NWZ5">
        <f>Database!NXS29</f>
        <v>0</v>
      </c>
      <c r="NXA5">
        <f>Database!NXT29</f>
        <v>0</v>
      </c>
      <c r="NXB5">
        <f>Database!NXU29</f>
        <v>0</v>
      </c>
      <c r="NXC5">
        <f>Database!NXV29</f>
        <v>0</v>
      </c>
      <c r="NXD5">
        <f>Database!NXW29</f>
        <v>0</v>
      </c>
      <c r="NXE5">
        <f>Database!NXX29</f>
        <v>0</v>
      </c>
      <c r="NXF5">
        <f>Database!NXY29</f>
        <v>0</v>
      </c>
      <c r="NXG5">
        <f>Database!NXZ29</f>
        <v>0</v>
      </c>
      <c r="NXH5">
        <f>Database!NYA29</f>
        <v>0</v>
      </c>
      <c r="NXI5">
        <f>Database!NYB29</f>
        <v>0</v>
      </c>
      <c r="NXJ5">
        <f>Database!NYC29</f>
        <v>0</v>
      </c>
      <c r="NXK5">
        <f>Database!NYD29</f>
        <v>0</v>
      </c>
      <c r="NXL5">
        <f>Database!NYE29</f>
        <v>0</v>
      </c>
      <c r="NXM5">
        <f>Database!NYF29</f>
        <v>0</v>
      </c>
      <c r="NXN5">
        <f>Database!NYG29</f>
        <v>0</v>
      </c>
      <c r="NXO5">
        <f>Database!NYH29</f>
        <v>0</v>
      </c>
      <c r="NXP5">
        <f>Database!NYI29</f>
        <v>0</v>
      </c>
      <c r="NXQ5">
        <f>Database!NYJ29</f>
        <v>0</v>
      </c>
      <c r="NXR5">
        <f>Database!NYK29</f>
        <v>0</v>
      </c>
      <c r="NXS5">
        <f>Database!NYL29</f>
        <v>0</v>
      </c>
      <c r="NXT5">
        <f>Database!NYM29</f>
        <v>0</v>
      </c>
      <c r="NXU5">
        <f>Database!NYN29</f>
        <v>0</v>
      </c>
      <c r="NXV5">
        <f>Database!NYO29</f>
        <v>0</v>
      </c>
      <c r="NXW5">
        <f>Database!NYP29</f>
        <v>0</v>
      </c>
      <c r="NXX5">
        <f>Database!NYQ29</f>
        <v>0</v>
      </c>
      <c r="NXY5">
        <f>Database!NYR29</f>
        <v>0</v>
      </c>
      <c r="NXZ5">
        <f>Database!NYS29</f>
        <v>0</v>
      </c>
      <c r="NYA5">
        <f>Database!NYT29</f>
        <v>0</v>
      </c>
      <c r="NYB5">
        <f>Database!NYU29</f>
        <v>0</v>
      </c>
      <c r="NYC5">
        <f>Database!NYV29</f>
        <v>0</v>
      </c>
      <c r="NYD5">
        <f>Database!NYW29</f>
        <v>0</v>
      </c>
      <c r="NYE5">
        <f>Database!NYX29</f>
        <v>0</v>
      </c>
      <c r="NYF5">
        <f>Database!NYY29</f>
        <v>0</v>
      </c>
      <c r="NYG5">
        <f>Database!NYZ29</f>
        <v>0</v>
      </c>
      <c r="NYH5">
        <f>Database!NZA29</f>
        <v>0</v>
      </c>
      <c r="NYI5">
        <f>Database!NZB29</f>
        <v>0</v>
      </c>
      <c r="NYJ5">
        <f>Database!NZC29</f>
        <v>0</v>
      </c>
      <c r="NYK5">
        <f>Database!NZD29</f>
        <v>0</v>
      </c>
      <c r="NYL5">
        <f>Database!NZE29</f>
        <v>0</v>
      </c>
      <c r="NYM5">
        <f>Database!NZF29</f>
        <v>0</v>
      </c>
      <c r="NYN5">
        <f>Database!NZG29</f>
        <v>0</v>
      </c>
      <c r="NYO5">
        <f>Database!NZH29</f>
        <v>0</v>
      </c>
      <c r="NYP5">
        <f>Database!NZI29</f>
        <v>0</v>
      </c>
      <c r="NYQ5">
        <f>Database!NZJ29</f>
        <v>0</v>
      </c>
      <c r="NYR5">
        <f>Database!NZK29</f>
        <v>0</v>
      </c>
      <c r="NYS5">
        <f>Database!NZL29</f>
        <v>0</v>
      </c>
      <c r="NYT5">
        <f>Database!NZM29</f>
        <v>0</v>
      </c>
      <c r="NYU5">
        <f>Database!NZN29</f>
        <v>0</v>
      </c>
      <c r="NYV5">
        <f>Database!NZO29</f>
        <v>0</v>
      </c>
      <c r="NYW5">
        <f>Database!NZP29</f>
        <v>0</v>
      </c>
      <c r="NYX5">
        <f>Database!NZQ29</f>
        <v>0</v>
      </c>
      <c r="NYY5">
        <f>Database!NZR29</f>
        <v>0</v>
      </c>
      <c r="NYZ5">
        <f>Database!NZS29</f>
        <v>0</v>
      </c>
      <c r="NZA5">
        <f>Database!NZT29</f>
        <v>0</v>
      </c>
      <c r="NZB5">
        <f>Database!NZU29</f>
        <v>0</v>
      </c>
      <c r="NZC5">
        <f>Database!NZV29</f>
        <v>0</v>
      </c>
      <c r="NZD5">
        <f>Database!NZW29</f>
        <v>0</v>
      </c>
      <c r="NZE5">
        <f>Database!NZX29</f>
        <v>0</v>
      </c>
      <c r="NZF5">
        <f>Database!NZY29</f>
        <v>0</v>
      </c>
      <c r="NZG5">
        <f>Database!NZZ29</f>
        <v>0</v>
      </c>
      <c r="NZH5">
        <f>Database!OAA29</f>
        <v>0</v>
      </c>
      <c r="NZI5">
        <f>Database!OAB29</f>
        <v>0</v>
      </c>
      <c r="NZJ5">
        <f>Database!OAC29</f>
        <v>0</v>
      </c>
      <c r="NZK5">
        <f>Database!OAD29</f>
        <v>0</v>
      </c>
      <c r="NZL5">
        <f>Database!OAE29</f>
        <v>0</v>
      </c>
      <c r="NZM5">
        <f>Database!OAF29</f>
        <v>0</v>
      </c>
      <c r="NZN5">
        <f>Database!OAG29</f>
        <v>0</v>
      </c>
      <c r="NZO5">
        <f>Database!OAH29</f>
        <v>0</v>
      </c>
      <c r="NZP5">
        <f>Database!OAI29</f>
        <v>0</v>
      </c>
      <c r="NZQ5">
        <f>Database!OAJ29</f>
        <v>0</v>
      </c>
      <c r="NZR5">
        <f>Database!OAK29</f>
        <v>0</v>
      </c>
      <c r="NZS5">
        <f>Database!OAL29</f>
        <v>0</v>
      </c>
      <c r="NZT5">
        <f>Database!OAM29</f>
        <v>0</v>
      </c>
      <c r="NZU5">
        <f>Database!OAN29</f>
        <v>0</v>
      </c>
      <c r="NZV5">
        <f>Database!OAO29</f>
        <v>0</v>
      </c>
      <c r="NZW5">
        <f>Database!OAP29</f>
        <v>0</v>
      </c>
      <c r="NZX5">
        <f>Database!OAQ29</f>
        <v>0</v>
      </c>
      <c r="NZY5">
        <f>Database!OAR29</f>
        <v>0</v>
      </c>
      <c r="NZZ5">
        <f>Database!OAS29</f>
        <v>0</v>
      </c>
      <c r="OAA5">
        <f>Database!OAT29</f>
        <v>0</v>
      </c>
      <c r="OAB5">
        <f>Database!OAU29</f>
        <v>0</v>
      </c>
      <c r="OAC5">
        <f>Database!OAV29</f>
        <v>0</v>
      </c>
      <c r="OAD5">
        <f>Database!OAW29</f>
        <v>0</v>
      </c>
      <c r="OAE5">
        <f>Database!OAX29</f>
        <v>0</v>
      </c>
      <c r="OAF5">
        <f>Database!OAY29</f>
        <v>0</v>
      </c>
      <c r="OAG5">
        <f>Database!OAZ29</f>
        <v>0</v>
      </c>
      <c r="OAH5">
        <f>Database!OBA29</f>
        <v>0</v>
      </c>
      <c r="OAI5">
        <f>Database!OBB29</f>
        <v>0</v>
      </c>
      <c r="OAJ5">
        <f>Database!OBC29</f>
        <v>0</v>
      </c>
      <c r="OAK5">
        <f>Database!OBD29</f>
        <v>0</v>
      </c>
      <c r="OAL5">
        <f>Database!OBE29</f>
        <v>0</v>
      </c>
      <c r="OAM5">
        <f>Database!OBF29</f>
        <v>0</v>
      </c>
      <c r="OAN5">
        <f>Database!OBG29</f>
        <v>0</v>
      </c>
      <c r="OAO5">
        <f>Database!OBH29</f>
        <v>0</v>
      </c>
      <c r="OAP5">
        <f>Database!OBI29</f>
        <v>0</v>
      </c>
      <c r="OAQ5">
        <f>Database!OBJ29</f>
        <v>0</v>
      </c>
      <c r="OAR5">
        <f>Database!OBK29</f>
        <v>0</v>
      </c>
      <c r="OAS5">
        <f>Database!OBL29</f>
        <v>0</v>
      </c>
      <c r="OAT5">
        <f>Database!OBM29</f>
        <v>0</v>
      </c>
      <c r="OAU5">
        <f>Database!OBN29</f>
        <v>0</v>
      </c>
      <c r="OAV5">
        <f>Database!OBO29</f>
        <v>0</v>
      </c>
      <c r="OAW5">
        <f>Database!OBP29</f>
        <v>0</v>
      </c>
      <c r="OAX5">
        <f>Database!OBQ29</f>
        <v>0</v>
      </c>
      <c r="OAY5">
        <f>Database!OBR29</f>
        <v>0</v>
      </c>
      <c r="OAZ5">
        <f>Database!OBS29</f>
        <v>0</v>
      </c>
      <c r="OBA5">
        <f>Database!OBT29</f>
        <v>0</v>
      </c>
      <c r="OBB5">
        <f>Database!OBU29</f>
        <v>0</v>
      </c>
      <c r="OBC5">
        <f>Database!OBV29</f>
        <v>0</v>
      </c>
      <c r="OBD5">
        <f>Database!OBW29</f>
        <v>0</v>
      </c>
      <c r="OBE5">
        <f>Database!OBX29</f>
        <v>0</v>
      </c>
      <c r="OBF5">
        <f>Database!OBY29</f>
        <v>0</v>
      </c>
      <c r="OBG5">
        <f>Database!OBZ29</f>
        <v>0</v>
      </c>
      <c r="OBH5">
        <f>Database!OCA29</f>
        <v>0</v>
      </c>
      <c r="OBI5">
        <f>Database!OCB29</f>
        <v>0</v>
      </c>
      <c r="OBJ5">
        <f>Database!OCC29</f>
        <v>0</v>
      </c>
      <c r="OBK5">
        <f>Database!OCD29</f>
        <v>0</v>
      </c>
      <c r="OBL5">
        <f>Database!OCE29</f>
        <v>0</v>
      </c>
      <c r="OBM5">
        <f>Database!OCF29</f>
        <v>0</v>
      </c>
      <c r="OBN5">
        <f>Database!OCG29</f>
        <v>0</v>
      </c>
      <c r="OBO5">
        <f>Database!OCH29</f>
        <v>0</v>
      </c>
      <c r="OBP5">
        <f>Database!OCI29</f>
        <v>0</v>
      </c>
      <c r="OBQ5">
        <f>Database!OCJ29</f>
        <v>0</v>
      </c>
      <c r="OBR5">
        <f>Database!OCK29</f>
        <v>0</v>
      </c>
      <c r="OBS5">
        <f>Database!OCL29</f>
        <v>0</v>
      </c>
      <c r="OBT5">
        <f>Database!OCM29</f>
        <v>0</v>
      </c>
      <c r="OBU5">
        <f>Database!OCN29</f>
        <v>0</v>
      </c>
      <c r="OBV5">
        <f>Database!OCO29</f>
        <v>0</v>
      </c>
      <c r="OBW5">
        <f>Database!OCP29</f>
        <v>0</v>
      </c>
      <c r="OBX5">
        <f>Database!OCQ29</f>
        <v>0</v>
      </c>
      <c r="OBY5">
        <f>Database!OCR29</f>
        <v>0</v>
      </c>
      <c r="OBZ5">
        <f>Database!OCS29</f>
        <v>0</v>
      </c>
      <c r="OCA5">
        <f>Database!OCT29</f>
        <v>0</v>
      </c>
      <c r="OCB5">
        <f>Database!OCU29</f>
        <v>0</v>
      </c>
      <c r="OCC5">
        <f>Database!OCV29</f>
        <v>0</v>
      </c>
      <c r="OCD5">
        <f>Database!OCW29</f>
        <v>0</v>
      </c>
      <c r="OCE5">
        <f>Database!OCX29</f>
        <v>0</v>
      </c>
      <c r="OCF5">
        <f>Database!OCY29</f>
        <v>0</v>
      </c>
      <c r="OCG5">
        <f>Database!OCZ29</f>
        <v>0</v>
      </c>
      <c r="OCH5">
        <f>Database!ODA29</f>
        <v>0</v>
      </c>
      <c r="OCI5">
        <f>Database!ODB29</f>
        <v>0</v>
      </c>
      <c r="OCJ5">
        <f>Database!ODC29</f>
        <v>0</v>
      </c>
      <c r="OCK5">
        <f>Database!ODD29</f>
        <v>0</v>
      </c>
      <c r="OCL5">
        <f>Database!ODE29</f>
        <v>0</v>
      </c>
      <c r="OCM5">
        <f>Database!ODF29</f>
        <v>0</v>
      </c>
      <c r="OCN5">
        <f>Database!ODG29</f>
        <v>0</v>
      </c>
      <c r="OCO5">
        <f>Database!ODH29</f>
        <v>0</v>
      </c>
      <c r="OCP5">
        <f>Database!ODI29</f>
        <v>0</v>
      </c>
      <c r="OCQ5">
        <f>Database!ODJ29</f>
        <v>0</v>
      </c>
      <c r="OCR5">
        <f>Database!ODK29</f>
        <v>0</v>
      </c>
      <c r="OCS5">
        <f>Database!ODL29</f>
        <v>0</v>
      </c>
      <c r="OCT5">
        <f>Database!ODM29</f>
        <v>0</v>
      </c>
      <c r="OCU5">
        <f>Database!ODN29</f>
        <v>0</v>
      </c>
      <c r="OCV5">
        <f>Database!ODO29</f>
        <v>0</v>
      </c>
      <c r="OCW5">
        <f>Database!ODP29</f>
        <v>0</v>
      </c>
      <c r="OCX5">
        <f>Database!ODQ29</f>
        <v>0</v>
      </c>
      <c r="OCY5">
        <f>Database!ODR29</f>
        <v>0</v>
      </c>
      <c r="OCZ5">
        <f>Database!ODS29</f>
        <v>0</v>
      </c>
      <c r="ODA5">
        <f>Database!ODT29</f>
        <v>0</v>
      </c>
      <c r="ODB5">
        <f>Database!ODU29</f>
        <v>0</v>
      </c>
      <c r="ODC5">
        <f>Database!ODV29</f>
        <v>0</v>
      </c>
      <c r="ODD5">
        <f>Database!ODW29</f>
        <v>0</v>
      </c>
      <c r="ODE5">
        <f>Database!ODX29</f>
        <v>0</v>
      </c>
      <c r="ODF5">
        <f>Database!ODY29</f>
        <v>0</v>
      </c>
      <c r="ODG5">
        <f>Database!ODZ29</f>
        <v>0</v>
      </c>
      <c r="ODH5">
        <f>Database!OEA29</f>
        <v>0</v>
      </c>
      <c r="ODI5">
        <f>Database!OEB29</f>
        <v>0</v>
      </c>
      <c r="ODJ5">
        <f>Database!OEC29</f>
        <v>0</v>
      </c>
      <c r="ODK5">
        <f>Database!OED29</f>
        <v>0</v>
      </c>
      <c r="ODL5">
        <f>Database!OEE29</f>
        <v>0</v>
      </c>
      <c r="ODM5">
        <f>Database!OEF29</f>
        <v>0</v>
      </c>
      <c r="ODN5">
        <f>Database!OEG29</f>
        <v>0</v>
      </c>
      <c r="ODO5">
        <f>Database!OEH29</f>
        <v>0</v>
      </c>
      <c r="ODP5">
        <f>Database!OEI29</f>
        <v>0</v>
      </c>
      <c r="ODQ5">
        <f>Database!OEJ29</f>
        <v>0</v>
      </c>
      <c r="ODR5">
        <f>Database!OEK29</f>
        <v>0</v>
      </c>
      <c r="ODS5">
        <f>Database!OEL29</f>
        <v>0</v>
      </c>
      <c r="ODT5">
        <f>Database!OEM29</f>
        <v>0</v>
      </c>
      <c r="ODU5">
        <f>Database!OEN29</f>
        <v>0</v>
      </c>
      <c r="ODV5">
        <f>Database!OEO29</f>
        <v>0</v>
      </c>
      <c r="ODW5">
        <f>Database!OEP29</f>
        <v>0</v>
      </c>
      <c r="ODX5">
        <f>Database!OEQ29</f>
        <v>0</v>
      </c>
      <c r="ODY5">
        <f>Database!OER29</f>
        <v>0</v>
      </c>
      <c r="ODZ5">
        <f>Database!OES29</f>
        <v>0</v>
      </c>
      <c r="OEA5">
        <f>Database!OET29</f>
        <v>0</v>
      </c>
      <c r="OEB5">
        <f>Database!OEU29</f>
        <v>0</v>
      </c>
      <c r="OEC5">
        <f>Database!OEV29</f>
        <v>0</v>
      </c>
      <c r="OED5">
        <f>Database!OEW29</f>
        <v>0</v>
      </c>
      <c r="OEE5">
        <f>Database!OEX29</f>
        <v>0</v>
      </c>
      <c r="OEF5">
        <f>Database!OEY29</f>
        <v>0</v>
      </c>
      <c r="OEG5">
        <f>Database!OEZ29</f>
        <v>0</v>
      </c>
      <c r="OEH5">
        <f>Database!OFA29</f>
        <v>0</v>
      </c>
      <c r="OEI5">
        <f>Database!OFB29</f>
        <v>0</v>
      </c>
      <c r="OEJ5">
        <f>Database!OFC29</f>
        <v>0</v>
      </c>
      <c r="OEK5">
        <f>Database!OFD29</f>
        <v>0</v>
      </c>
      <c r="OEL5">
        <f>Database!OFE29</f>
        <v>0</v>
      </c>
      <c r="OEM5">
        <f>Database!OFF29</f>
        <v>0</v>
      </c>
      <c r="OEN5">
        <f>Database!OFG29</f>
        <v>0</v>
      </c>
      <c r="OEO5">
        <f>Database!OFH29</f>
        <v>0</v>
      </c>
      <c r="OEP5">
        <f>Database!OFI29</f>
        <v>0</v>
      </c>
      <c r="OEQ5">
        <f>Database!OFJ29</f>
        <v>0</v>
      </c>
      <c r="OER5">
        <f>Database!OFK29</f>
        <v>0</v>
      </c>
      <c r="OES5">
        <f>Database!OFL29</f>
        <v>0</v>
      </c>
      <c r="OET5">
        <f>Database!OFM29</f>
        <v>0</v>
      </c>
      <c r="OEU5">
        <f>Database!OFN29</f>
        <v>0</v>
      </c>
      <c r="OEV5">
        <f>Database!OFO29</f>
        <v>0</v>
      </c>
      <c r="OEW5">
        <f>Database!OFP29</f>
        <v>0</v>
      </c>
      <c r="OEX5">
        <f>Database!OFQ29</f>
        <v>0</v>
      </c>
      <c r="OEY5">
        <f>Database!OFR29</f>
        <v>0</v>
      </c>
      <c r="OEZ5">
        <f>Database!OFS29</f>
        <v>0</v>
      </c>
      <c r="OFA5">
        <f>Database!OFT29</f>
        <v>0</v>
      </c>
      <c r="OFB5">
        <f>Database!OFU29</f>
        <v>0</v>
      </c>
      <c r="OFC5">
        <f>Database!OFV29</f>
        <v>0</v>
      </c>
      <c r="OFD5">
        <f>Database!OFW29</f>
        <v>0</v>
      </c>
      <c r="OFE5">
        <f>Database!OFX29</f>
        <v>0</v>
      </c>
      <c r="OFF5">
        <f>Database!OFY29</f>
        <v>0</v>
      </c>
      <c r="OFG5">
        <f>Database!OFZ29</f>
        <v>0</v>
      </c>
      <c r="OFH5">
        <f>Database!OGA29</f>
        <v>0</v>
      </c>
      <c r="OFI5">
        <f>Database!OGB29</f>
        <v>0</v>
      </c>
      <c r="OFJ5">
        <f>Database!OGC29</f>
        <v>0</v>
      </c>
      <c r="OFK5">
        <f>Database!OGD29</f>
        <v>0</v>
      </c>
      <c r="OFL5">
        <f>Database!OGE29</f>
        <v>0</v>
      </c>
      <c r="OFM5">
        <f>Database!OGF29</f>
        <v>0</v>
      </c>
      <c r="OFN5">
        <f>Database!OGG29</f>
        <v>0</v>
      </c>
      <c r="OFO5">
        <f>Database!OGH29</f>
        <v>0</v>
      </c>
      <c r="OFP5">
        <f>Database!OGI29</f>
        <v>0</v>
      </c>
      <c r="OFQ5">
        <f>Database!OGJ29</f>
        <v>0</v>
      </c>
      <c r="OFR5">
        <f>Database!OGK29</f>
        <v>0</v>
      </c>
      <c r="OFS5">
        <f>Database!OGL29</f>
        <v>0</v>
      </c>
      <c r="OFT5">
        <f>Database!OGM29</f>
        <v>0</v>
      </c>
      <c r="OFU5">
        <f>Database!OGN29</f>
        <v>0</v>
      </c>
      <c r="OFV5">
        <f>Database!OGO29</f>
        <v>0</v>
      </c>
      <c r="OFW5">
        <f>Database!OGP29</f>
        <v>0</v>
      </c>
      <c r="OFX5">
        <f>Database!OGQ29</f>
        <v>0</v>
      </c>
      <c r="OFY5">
        <f>Database!OGR29</f>
        <v>0</v>
      </c>
      <c r="OFZ5">
        <f>Database!OGS29</f>
        <v>0</v>
      </c>
      <c r="OGA5">
        <f>Database!OGT29</f>
        <v>0</v>
      </c>
      <c r="OGB5">
        <f>Database!OGU29</f>
        <v>0</v>
      </c>
      <c r="OGC5">
        <f>Database!OGV29</f>
        <v>0</v>
      </c>
      <c r="OGD5">
        <f>Database!OGW29</f>
        <v>0</v>
      </c>
      <c r="OGE5">
        <f>Database!OGX29</f>
        <v>0</v>
      </c>
      <c r="OGF5">
        <f>Database!OGY29</f>
        <v>0</v>
      </c>
      <c r="OGG5">
        <f>Database!OGZ29</f>
        <v>0</v>
      </c>
      <c r="OGH5">
        <f>Database!OHA29</f>
        <v>0</v>
      </c>
      <c r="OGI5">
        <f>Database!OHB29</f>
        <v>0</v>
      </c>
      <c r="OGJ5">
        <f>Database!OHC29</f>
        <v>0</v>
      </c>
      <c r="OGK5">
        <f>Database!OHD29</f>
        <v>0</v>
      </c>
      <c r="OGL5">
        <f>Database!OHE29</f>
        <v>0</v>
      </c>
      <c r="OGM5">
        <f>Database!OHF29</f>
        <v>0</v>
      </c>
      <c r="OGN5">
        <f>Database!OHG29</f>
        <v>0</v>
      </c>
      <c r="OGO5">
        <f>Database!OHH29</f>
        <v>0</v>
      </c>
      <c r="OGP5">
        <f>Database!OHI29</f>
        <v>0</v>
      </c>
      <c r="OGQ5">
        <f>Database!OHJ29</f>
        <v>0</v>
      </c>
      <c r="OGR5">
        <f>Database!OHK29</f>
        <v>0</v>
      </c>
      <c r="OGS5">
        <f>Database!OHL29</f>
        <v>0</v>
      </c>
      <c r="OGT5">
        <f>Database!OHM29</f>
        <v>0</v>
      </c>
      <c r="OGU5">
        <f>Database!OHN29</f>
        <v>0</v>
      </c>
      <c r="OGV5">
        <f>Database!OHO29</f>
        <v>0</v>
      </c>
      <c r="OGW5">
        <f>Database!OHP29</f>
        <v>0</v>
      </c>
      <c r="OGX5">
        <f>Database!OHQ29</f>
        <v>0</v>
      </c>
      <c r="OGY5">
        <f>Database!OHR29</f>
        <v>0</v>
      </c>
      <c r="OGZ5">
        <f>Database!OHS29</f>
        <v>0</v>
      </c>
      <c r="OHA5">
        <f>Database!OHT29</f>
        <v>0</v>
      </c>
      <c r="OHB5">
        <f>Database!OHU29</f>
        <v>0</v>
      </c>
      <c r="OHC5">
        <f>Database!OHV29</f>
        <v>0</v>
      </c>
      <c r="OHD5">
        <f>Database!OHW29</f>
        <v>0</v>
      </c>
      <c r="OHE5">
        <f>Database!OHX29</f>
        <v>0</v>
      </c>
      <c r="OHF5">
        <f>Database!OHY29</f>
        <v>0</v>
      </c>
      <c r="OHG5">
        <f>Database!OHZ29</f>
        <v>0</v>
      </c>
      <c r="OHH5">
        <f>Database!OIA29</f>
        <v>0</v>
      </c>
      <c r="OHI5">
        <f>Database!OIB29</f>
        <v>0</v>
      </c>
      <c r="OHJ5">
        <f>Database!OIC29</f>
        <v>0</v>
      </c>
      <c r="OHK5">
        <f>Database!OID29</f>
        <v>0</v>
      </c>
      <c r="OHL5">
        <f>Database!OIE29</f>
        <v>0</v>
      </c>
      <c r="OHM5">
        <f>Database!OIF29</f>
        <v>0</v>
      </c>
      <c r="OHN5">
        <f>Database!OIG29</f>
        <v>0</v>
      </c>
      <c r="OHO5">
        <f>Database!OIH29</f>
        <v>0</v>
      </c>
      <c r="OHP5">
        <f>Database!OII29</f>
        <v>0</v>
      </c>
      <c r="OHQ5">
        <f>Database!OIJ29</f>
        <v>0</v>
      </c>
      <c r="OHR5">
        <f>Database!OIK29</f>
        <v>0</v>
      </c>
      <c r="OHS5">
        <f>Database!OIL29</f>
        <v>0</v>
      </c>
      <c r="OHT5">
        <f>Database!OIM29</f>
        <v>0</v>
      </c>
      <c r="OHU5">
        <f>Database!OIN29</f>
        <v>0</v>
      </c>
      <c r="OHV5">
        <f>Database!OIO29</f>
        <v>0</v>
      </c>
      <c r="OHW5">
        <f>Database!OIP29</f>
        <v>0</v>
      </c>
      <c r="OHX5">
        <f>Database!OIQ29</f>
        <v>0</v>
      </c>
      <c r="OHY5">
        <f>Database!OIR29</f>
        <v>0</v>
      </c>
      <c r="OHZ5">
        <f>Database!OIS29</f>
        <v>0</v>
      </c>
      <c r="OIA5">
        <f>Database!OIT29</f>
        <v>0</v>
      </c>
      <c r="OIB5">
        <f>Database!OIU29</f>
        <v>0</v>
      </c>
      <c r="OIC5">
        <f>Database!OIV29</f>
        <v>0</v>
      </c>
      <c r="OID5">
        <f>Database!OIW29</f>
        <v>0</v>
      </c>
      <c r="OIE5">
        <f>Database!OIX29</f>
        <v>0</v>
      </c>
      <c r="OIF5">
        <f>Database!OIY29</f>
        <v>0</v>
      </c>
      <c r="OIG5">
        <f>Database!OIZ29</f>
        <v>0</v>
      </c>
      <c r="OIH5">
        <f>Database!OJA29</f>
        <v>0</v>
      </c>
      <c r="OII5">
        <f>Database!OJB29</f>
        <v>0</v>
      </c>
      <c r="OIJ5">
        <f>Database!OJC29</f>
        <v>0</v>
      </c>
      <c r="OIK5">
        <f>Database!OJD29</f>
        <v>0</v>
      </c>
      <c r="OIL5">
        <f>Database!OJE29</f>
        <v>0</v>
      </c>
      <c r="OIM5">
        <f>Database!OJF29</f>
        <v>0</v>
      </c>
      <c r="OIN5">
        <f>Database!OJG29</f>
        <v>0</v>
      </c>
      <c r="OIO5">
        <f>Database!OJH29</f>
        <v>0</v>
      </c>
      <c r="OIP5">
        <f>Database!OJI29</f>
        <v>0</v>
      </c>
      <c r="OIQ5">
        <f>Database!OJJ29</f>
        <v>0</v>
      </c>
      <c r="OIR5">
        <f>Database!OJK29</f>
        <v>0</v>
      </c>
      <c r="OIS5">
        <f>Database!OJL29</f>
        <v>0</v>
      </c>
      <c r="OIT5">
        <f>Database!OJM29</f>
        <v>0</v>
      </c>
      <c r="OIU5">
        <f>Database!OJN29</f>
        <v>0</v>
      </c>
      <c r="OIV5">
        <f>Database!OJO29</f>
        <v>0</v>
      </c>
      <c r="OIW5">
        <f>Database!OJP29</f>
        <v>0</v>
      </c>
      <c r="OIX5">
        <f>Database!OJQ29</f>
        <v>0</v>
      </c>
      <c r="OIY5">
        <f>Database!OJR29</f>
        <v>0</v>
      </c>
      <c r="OIZ5">
        <f>Database!OJS29</f>
        <v>0</v>
      </c>
      <c r="OJA5">
        <f>Database!OJT29</f>
        <v>0</v>
      </c>
      <c r="OJB5">
        <f>Database!OJU29</f>
        <v>0</v>
      </c>
      <c r="OJC5">
        <f>Database!OJV29</f>
        <v>0</v>
      </c>
      <c r="OJD5">
        <f>Database!OJW29</f>
        <v>0</v>
      </c>
      <c r="OJE5">
        <f>Database!OJX29</f>
        <v>0</v>
      </c>
      <c r="OJF5">
        <f>Database!OJY29</f>
        <v>0</v>
      </c>
      <c r="OJG5">
        <f>Database!OJZ29</f>
        <v>0</v>
      </c>
      <c r="OJH5">
        <f>Database!OKA29</f>
        <v>0</v>
      </c>
      <c r="OJI5">
        <f>Database!OKB29</f>
        <v>0</v>
      </c>
      <c r="OJJ5">
        <f>Database!OKC29</f>
        <v>0</v>
      </c>
      <c r="OJK5">
        <f>Database!OKD29</f>
        <v>0</v>
      </c>
      <c r="OJL5">
        <f>Database!OKE29</f>
        <v>0</v>
      </c>
      <c r="OJM5">
        <f>Database!OKF29</f>
        <v>0</v>
      </c>
      <c r="OJN5">
        <f>Database!OKG29</f>
        <v>0</v>
      </c>
      <c r="OJO5">
        <f>Database!OKH29</f>
        <v>0</v>
      </c>
      <c r="OJP5">
        <f>Database!OKI29</f>
        <v>0</v>
      </c>
      <c r="OJQ5">
        <f>Database!OKJ29</f>
        <v>0</v>
      </c>
      <c r="OJR5">
        <f>Database!OKK29</f>
        <v>0</v>
      </c>
      <c r="OJS5">
        <f>Database!OKL29</f>
        <v>0</v>
      </c>
      <c r="OJT5">
        <f>Database!OKM29</f>
        <v>0</v>
      </c>
      <c r="OJU5">
        <f>Database!OKN29</f>
        <v>0</v>
      </c>
      <c r="OJV5">
        <f>Database!OKO29</f>
        <v>0</v>
      </c>
      <c r="OJW5">
        <f>Database!OKP29</f>
        <v>0</v>
      </c>
      <c r="OJX5">
        <f>Database!OKQ29</f>
        <v>0</v>
      </c>
      <c r="OJY5">
        <f>Database!OKR29</f>
        <v>0</v>
      </c>
      <c r="OJZ5">
        <f>Database!OKS29</f>
        <v>0</v>
      </c>
      <c r="OKA5">
        <f>Database!OKT29</f>
        <v>0</v>
      </c>
      <c r="OKB5">
        <f>Database!OKU29</f>
        <v>0</v>
      </c>
      <c r="OKC5">
        <f>Database!OKV29</f>
        <v>0</v>
      </c>
      <c r="OKD5">
        <f>Database!OKW29</f>
        <v>0</v>
      </c>
      <c r="OKE5">
        <f>Database!OKX29</f>
        <v>0</v>
      </c>
      <c r="OKF5">
        <f>Database!OKY29</f>
        <v>0</v>
      </c>
      <c r="OKG5">
        <f>Database!OKZ29</f>
        <v>0</v>
      </c>
      <c r="OKH5">
        <f>Database!OLA29</f>
        <v>0</v>
      </c>
      <c r="OKI5">
        <f>Database!OLB29</f>
        <v>0</v>
      </c>
      <c r="OKJ5">
        <f>Database!OLC29</f>
        <v>0</v>
      </c>
      <c r="OKK5">
        <f>Database!OLD29</f>
        <v>0</v>
      </c>
      <c r="OKL5">
        <f>Database!OLE29</f>
        <v>0</v>
      </c>
      <c r="OKM5">
        <f>Database!OLF29</f>
        <v>0</v>
      </c>
      <c r="OKN5">
        <f>Database!OLG29</f>
        <v>0</v>
      </c>
      <c r="OKO5">
        <f>Database!OLH29</f>
        <v>0</v>
      </c>
      <c r="OKP5">
        <f>Database!OLI29</f>
        <v>0</v>
      </c>
      <c r="OKQ5">
        <f>Database!OLJ29</f>
        <v>0</v>
      </c>
      <c r="OKR5">
        <f>Database!OLK29</f>
        <v>0</v>
      </c>
      <c r="OKS5">
        <f>Database!OLL29</f>
        <v>0</v>
      </c>
      <c r="OKT5">
        <f>Database!OLM29</f>
        <v>0</v>
      </c>
      <c r="OKU5">
        <f>Database!OLN29</f>
        <v>0</v>
      </c>
      <c r="OKV5">
        <f>Database!OLO29</f>
        <v>0</v>
      </c>
      <c r="OKW5">
        <f>Database!OLP29</f>
        <v>0</v>
      </c>
      <c r="OKX5">
        <f>Database!OLQ29</f>
        <v>0</v>
      </c>
      <c r="OKY5">
        <f>Database!OLR29</f>
        <v>0</v>
      </c>
      <c r="OKZ5">
        <f>Database!OLS29</f>
        <v>0</v>
      </c>
      <c r="OLA5">
        <f>Database!OLT29</f>
        <v>0</v>
      </c>
      <c r="OLB5">
        <f>Database!OLU29</f>
        <v>0</v>
      </c>
      <c r="OLC5">
        <f>Database!OLV29</f>
        <v>0</v>
      </c>
      <c r="OLD5">
        <f>Database!OLW29</f>
        <v>0</v>
      </c>
      <c r="OLE5">
        <f>Database!OLX29</f>
        <v>0</v>
      </c>
      <c r="OLF5">
        <f>Database!OLY29</f>
        <v>0</v>
      </c>
      <c r="OLG5">
        <f>Database!OLZ29</f>
        <v>0</v>
      </c>
      <c r="OLH5">
        <f>Database!OMA29</f>
        <v>0</v>
      </c>
      <c r="OLI5">
        <f>Database!OMB29</f>
        <v>0</v>
      </c>
      <c r="OLJ5">
        <f>Database!OMC29</f>
        <v>0</v>
      </c>
      <c r="OLK5">
        <f>Database!OMD29</f>
        <v>0</v>
      </c>
      <c r="OLL5">
        <f>Database!OME29</f>
        <v>0</v>
      </c>
      <c r="OLM5">
        <f>Database!OMF29</f>
        <v>0</v>
      </c>
      <c r="OLN5">
        <f>Database!OMG29</f>
        <v>0</v>
      </c>
      <c r="OLO5">
        <f>Database!OMH29</f>
        <v>0</v>
      </c>
      <c r="OLP5">
        <f>Database!OMI29</f>
        <v>0</v>
      </c>
      <c r="OLQ5">
        <f>Database!OMJ29</f>
        <v>0</v>
      </c>
      <c r="OLR5">
        <f>Database!OMK29</f>
        <v>0</v>
      </c>
      <c r="OLS5">
        <f>Database!OML29</f>
        <v>0</v>
      </c>
      <c r="OLT5">
        <f>Database!OMM29</f>
        <v>0</v>
      </c>
      <c r="OLU5">
        <f>Database!OMN29</f>
        <v>0</v>
      </c>
      <c r="OLV5">
        <f>Database!OMO29</f>
        <v>0</v>
      </c>
      <c r="OLW5">
        <f>Database!OMP29</f>
        <v>0</v>
      </c>
      <c r="OLX5">
        <f>Database!OMQ29</f>
        <v>0</v>
      </c>
      <c r="OLY5">
        <f>Database!OMR29</f>
        <v>0</v>
      </c>
      <c r="OLZ5">
        <f>Database!OMS29</f>
        <v>0</v>
      </c>
      <c r="OMA5">
        <f>Database!OMT29</f>
        <v>0</v>
      </c>
      <c r="OMB5">
        <f>Database!OMU29</f>
        <v>0</v>
      </c>
      <c r="OMC5">
        <f>Database!OMV29</f>
        <v>0</v>
      </c>
      <c r="OMD5">
        <f>Database!OMW29</f>
        <v>0</v>
      </c>
      <c r="OME5">
        <f>Database!OMX29</f>
        <v>0</v>
      </c>
      <c r="OMF5">
        <f>Database!OMY29</f>
        <v>0</v>
      </c>
      <c r="OMG5">
        <f>Database!OMZ29</f>
        <v>0</v>
      </c>
      <c r="OMH5">
        <f>Database!ONA29</f>
        <v>0</v>
      </c>
      <c r="OMI5">
        <f>Database!ONB29</f>
        <v>0</v>
      </c>
      <c r="OMJ5">
        <f>Database!ONC29</f>
        <v>0</v>
      </c>
      <c r="OMK5">
        <f>Database!OND29</f>
        <v>0</v>
      </c>
      <c r="OML5">
        <f>Database!ONE29</f>
        <v>0</v>
      </c>
      <c r="OMM5">
        <f>Database!ONF29</f>
        <v>0</v>
      </c>
      <c r="OMN5">
        <f>Database!ONG29</f>
        <v>0</v>
      </c>
      <c r="OMO5">
        <f>Database!ONH29</f>
        <v>0</v>
      </c>
      <c r="OMP5">
        <f>Database!ONI29</f>
        <v>0</v>
      </c>
      <c r="OMQ5">
        <f>Database!ONJ29</f>
        <v>0</v>
      </c>
      <c r="OMR5">
        <f>Database!ONK29</f>
        <v>0</v>
      </c>
      <c r="OMS5">
        <f>Database!ONL29</f>
        <v>0</v>
      </c>
      <c r="OMT5">
        <f>Database!ONM29</f>
        <v>0</v>
      </c>
      <c r="OMU5">
        <f>Database!ONN29</f>
        <v>0</v>
      </c>
      <c r="OMV5">
        <f>Database!ONO29</f>
        <v>0</v>
      </c>
      <c r="OMW5">
        <f>Database!ONP29</f>
        <v>0</v>
      </c>
      <c r="OMX5">
        <f>Database!ONQ29</f>
        <v>0</v>
      </c>
      <c r="OMY5">
        <f>Database!ONR29</f>
        <v>0</v>
      </c>
      <c r="OMZ5">
        <f>Database!ONS29</f>
        <v>0</v>
      </c>
      <c r="ONA5">
        <f>Database!ONT29</f>
        <v>0</v>
      </c>
      <c r="ONB5">
        <f>Database!ONU29</f>
        <v>0</v>
      </c>
      <c r="ONC5">
        <f>Database!ONV29</f>
        <v>0</v>
      </c>
      <c r="OND5">
        <f>Database!ONW29</f>
        <v>0</v>
      </c>
      <c r="ONE5">
        <f>Database!ONX29</f>
        <v>0</v>
      </c>
      <c r="ONF5">
        <f>Database!ONY29</f>
        <v>0</v>
      </c>
      <c r="ONG5">
        <f>Database!ONZ29</f>
        <v>0</v>
      </c>
      <c r="ONH5">
        <f>Database!OOA29</f>
        <v>0</v>
      </c>
      <c r="ONI5">
        <f>Database!OOB29</f>
        <v>0</v>
      </c>
      <c r="ONJ5">
        <f>Database!OOC29</f>
        <v>0</v>
      </c>
      <c r="ONK5">
        <f>Database!OOD29</f>
        <v>0</v>
      </c>
      <c r="ONL5">
        <f>Database!OOE29</f>
        <v>0</v>
      </c>
      <c r="ONM5">
        <f>Database!OOF29</f>
        <v>0</v>
      </c>
      <c r="ONN5">
        <f>Database!OOG29</f>
        <v>0</v>
      </c>
      <c r="ONO5">
        <f>Database!OOH29</f>
        <v>0</v>
      </c>
      <c r="ONP5">
        <f>Database!OOI29</f>
        <v>0</v>
      </c>
      <c r="ONQ5">
        <f>Database!OOJ29</f>
        <v>0</v>
      </c>
      <c r="ONR5">
        <f>Database!OOK29</f>
        <v>0</v>
      </c>
      <c r="ONS5">
        <f>Database!OOL29</f>
        <v>0</v>
      </c>
      <c r="ONT5">
        <f>Database!OOM29</f>
        <v>0</v>
      </c>
      <c r="ONU5">
        <f>Database!OON29</f>
        <v>0</v>
      </c>
      <c r="ONV5">
        <f>Database!OOO29</f>
        <v>0</v>
      </c>
      <c r="ONW5">
        <f>Database!OOP29</f>
        <v>0</v>
      </c>
      <c r="ONX5">
        <f>Database!OOQ29</f>
        <v>0</v>
      </c>
      <c r="ONY5">
        <f>Database!OOR29</f>
        <v>0</v>
      </c>
      <c r="ONZ5">
        <f>Database!OOS29</f>
        <v>0</v>
      </c>
      <c r="OOA5">
        <f>Database!OOT29</f>
        <v>0</v>
      </c>
      <c r="OOB5">
        <f>Database!OOU29</f>
        <v>0</v>
      </c>
      <c r="OOC5">
        <f>Database!OOV29</f>
        <v>0</v>
      </c>
      <c r="OOD5">
        <f>Database!OOW29</f>
        <v>0</v>
      </c>
      <c r="OOE5">
        <f>Database!OOX29</f>
        <v>0</v>
      </c>
      <c r="OOF5">
        <f>Database!OOY29</f>
        <v>0</v>
      </c>
      <c r="OOG5">
        <f>Database!OOZ29</f>
        <v>0</v>
      </c>
      <c r="OOH5">
        <f>Database!OPA29</f>
        <v>0</v>
      </c>
      <c r="OOI5">
        <f>Database!OPB29</f>
        <v>0</v>
      </c>
      <c r="OOJ5">
        <f>Database!OPC29</f>
        <v>0</v>
      </c>
      <c r="OOK5">
        <f>Database!OPD29</f>
        <v>0</v>
      </c>
      <c r="OOL5">
        <f>Database!OPE29</f>
        <v>0</v>
      </c>
      <c r="OOM5">
        <f>Database!OPF29</f>
        <v>0</v>
      </c>
      <c r="OON5">
        <f>Database!OPG29</f>
        <v>0</v>
      </c>
      <c r="OOO5">
        <f>Database!OPH29</f>
        <v>0</v>
      </c>
      <c r="OOP5">
        <f>Database!OPI29</f>
        <v>0</v>
      </c>
      <c r="OOQ5">
        <f>Database!OPJ29</f>
        <v>0</v>
      </c>
      <c r="OOR5">
        <f>Database!OPK29</f>
        <v>0</v>
      </c>
      <c r="OOS5">
        <f>Database!OPL29</f>
        <v>0</v>
      </c>
      <c r="OOT5">
        <f>Database!OPM29</f>
        <v>0</v>
      </c>
      <c r="OOU5">
        <f>Database!OPN29</f>
        <v>0</v>
      </c>
      <c r="OOV5">
        <f>Database!OPO29</f>
        <v>0</v>
      </c>
      <c r="OOW5">
        <f>Database!OPP29</f>
        <v>0</v>
      </c>
      <c r="OOX5">
        <f>Database!OPQ29</f>
        <v>0</v>
      </c>
      <c r="OOY5">
        <f>Database!OPR29</f>
        <v>0</v>
      </c>
      <c r="OOZ5">
        <f>Database!OPS29</f>
        <v>0</v>
      </c>
      <c r="OPA5">
        <f>Database!OPT29</f>
        <v>0</v>
      </c>
      <c r="OPB5">
        <f>Database!OPU29</f>
        <v>0</v>
      </c>
      <c r="OPC5">
        <f>Database!OPV29</f>
        <v>0</v>
      </c>
      <c r="OPD5">
        <f>Database!OPW29</f>
        <v>0</v>
      </c>
      <c r="OPE5">
        <f>Database!OPX29</f>
        <v>0</v>
      </c>
      <c r="OPF5">
        <f>Database!OPY29</f>
        <v>0</v>
      </c>
      <c r="OPG5">
        <f>Database!OPZ29</f>
        <v>0</v>
      </c>
      <c r="OPH5">
        <f>Database!OQA29</f>
        <v>0</v>
      </c>
      <c r="OPI5">
        <f>Database!OQB29</f>
        <v>0</v>
      </c>
      <c r="OPJ5">
        <f>Database!OQC29</f>
        <v>0</v>
      </c>
      <c r="OPK5">
        <f>Database!OQD29</f>
        <v>0</v>
      </c>
      <c r="OPL5">
        <f>Database!OQE29</f>
        <v>0</v>
      </c>
      <c r="OPM5">
        <f>Database!OQF29</f>
        <v>0</v>
      </c>
      <c r="OPN5">
        <f>Database!OQG29</f>
        <v>0</v>
      </c>
      <c r="OPO5">
        <f>Database!OQH29</f>
        <v>0</v>
      </c>
      <c r="OPP5">
        <f>Database!OQI29</f>
        <v>0</v>
      </c>
      <c r="OPQ5">
        <f>Database!OQJ29</f>
        <v>0</v>
      </c>
      <c r="OPR5">
        <f>Database!OQK29</f>
        <v>0</v>
      </c>
      <c r="OPS5">
        <f>Database!OQL29</f>
        <v>0</v>
      </c>
      <c r="OPT5">
        <f>Database!OQM29</f>
        <v>0</v>
      </c>
      <c r="OPU5">
        <f>Database!OQN29</f>
        <v>0</v>
      </c>
      <c r="OPV5">
        <f>Database!OQO29</f>
        <v>0</v>
      </c>
      <c r="OPW5">
        <f>Database!OQP29</f>
        <v>0</v>
      </c>
      <c r="OPX5">
        <f>Database!OQQ29</f>
        <v>0</v>
      </c>
      <c r="OPY5">
        <f>Database!OQR29</f>
        <v>0</v>
      </c>
      <c r="OPZ5">
        <f>Database!OQS29</f>
        <v>0</v>
      </c>
      <c r="OQA5">
        <f>Database!OQT29</f>
        <v>0</v>
      </c>
      <c r="OQB5">
        <f>Database!OQU29</f>
        <v>0</v>
      </c>
      <c r="OQC5">
        <f>Database!OQV29</f>
        <v>0</v>
      </c>
      <c r="OQD5">
        <f>Database!OQW29</f>
        <v>0</v>
      </c>
      <c r="OQE5">
        <f>Database!OQX29</f>
        <v>0</v>
      </c>
      <c r="OQF5">
        <f>Database!OQY29</f>
        <v>0</v>
      </c>
      <c r="OQG5">
        <f>Database!OQZ29</f>
        <v>0</v>
      </c>
      <c r="OQH5">
        <f>Database!ORA29</f>
        <v>0</v>
      </c>
      <c r="OQI5">
        <f>Database!ORB29</f>
        <v>0</v>
      </c>
      <c r="OQJ5">
        <f>Database!ORC29</f>
        <v>0</v>
      </c>
      <c r="OQK5">
        <f>Database!ORD29</f>
        <v>0</v>
      </c>
      <c r="OQL5">
        <f>Database!ORE29</f>
        <v>0</v>
      </c>
      <c r="OQM5">
        <f>Database!ORF29</f>
        <v>0</v>
      </c>
      <c r="OQN5">
        <f>Database!ORG29</f>
        <v>0</v>
      </c>
      <c r="OQO5">
        <f>Database!ORH29</f>
        <v>0</v>
      </c>
      <c r="OQP5">
        <f>Database!ORI29</f>
        <v>0</v>
      </c>
      <c r="OQQ5">
        <f>Database!ORJ29</f>
        <v>0</v>
      </c>
      <c r="OQR5">
        <f>Database!ORK29</f>
        <v>0</v>
      </c>
      <c r="OQS5">
        <f>Database!ORL29</f>
        <v>0</v>
      </c>
      <c r="OQT5">
        <f>Database!ORM29</f>
        <v>0</v>
      </c>
      <c r="OQU5">
        <f>Database!ORN29</f>
        <v>0</v>
      </c>
      <c r="OQV5">
        <f>Database!ORO29</f>
        <v>0</v>
      </c>
      <c r="OQW5">
        <f>Database!ORP29</f>
        <v>0</v>
      </c>
      <c r="OQX5">
        <f>Database!ORQ29</f>
        <v>0</v>
      </c>
      <c r="OQY5">
        <f>Database!ORR29</f>
        <v>0</v>
      </c>
      <c r="OQZ5">
        <f>Database!ORS29</f>
        <v>0</v>
      </c>
      <c r="ORA5">
        <f>Database!ORT29</f>
        <v>0</v>
      </c>
      <c r="ORB5">
        <f>Database!ORU29</f>
        <v>0</v>
      </c>
      <c r="ORC5">
        <f>Database!ORV29</f>
        <v>0</v>
      </c>
      <c r="ORD5">
        <f>Database!ORW29</f>
        <v>0</v>
      </c>
      <c r="ORE5">
        <f>Database!ORX29</f>
        <v>0</v>
      </c>
      <c r="ORF5">
        <f>Database!ORY29</f>
        <v>0</v>
      </c>
      <c r="ORG5">
        <f>Database!ORZ29</f>
        <v>0</v>
      </c>
      <c r="ORH5">
        <f>Database!OSA29</f>
        <v>0</v>
      </c>
      <c r="ORI5">
        <f>Database!OSB29</f>
        <v>0</v>
      </c>
      <c r="ORJ5">
        <f>Database!OSC29</f>
        <v>0</v>
      </c>
      <c r="ORK5">
        <f>Database!OSD29</f>
        <v>0</v>
      </c>
      <c r="ORL5">
        <f>Database!OSE29</f>
        <v>0</v>
      </c>
      <c r="ORM5">
        <f>Database!OSF29</f>
        <v>0</v>
      </c>
      <c r="ORN5">
        <f>Database!OSG29</f>
        <v>0</v>
      </c>
      <c r="ORO5">
        <f>Database!OSH29</f>
        <v>0</v>
      </c>
      <c r="ORP5">
        <f>Database!OSI29</f>
        <v>0</v>
      </c>
      <c r="ORQ5">
        <f>Database!OSJ29</f>
        <v>0</v>
      </c>
      <c r="ORR5">
        <f>Database!OSK29</f>
        <v>0</v>
      </c>
      <c r="ORS5">
        <f>Database!OSL29</f>
        <v>0</v>
      </c>
      <c r="ORT5">
        <f>Database!OSM29</f>
        <v>0</v>
      </c>
      <c r="ORU5">
        <f>Database!OSN29</f>
        <v>0</v>
      </c>
      <c r="ORV5">
        <f>Database!OSO29</f>
        <v>0</v>
      </c>
      <c r="ORW5">
        <f>Database!OSP29</f>
        <v>0</v>
      </c>
      <c r="ORX5">
        <f>Database!OSQ29</f>
        <v>0</v>
      </c>
      <c r="ORY5">
        <f>Database!OSR29</f>
        <v>0</v>
      </c>
      <c r="ORZ5">
        <f>Database!OSS29</f>
        <v>0</v>
      </c>
      <c r="OSA5">
        <f>Database!OST29</f>
        <v>0</v>
      </c>
      <c r="OSB5">
        <f>Database!OSU29</f>
        <v>0</v>
      </c>
      <c r="OSC5">
        <f>Database!OSV29</f>
        <v>0</v>
      </c>
      <c r="OSD5">
        <f>Database!OSW29</f>
        <v>0</v>
      </c>
      <c r="OSE5">
        <f>Database!OSX29</f>
        <v>0</v>
      </c>
      <c r="OSF5">
        <f>Database!OSY29</f>
        <v>0</v>
      </c>
      <c r="OSG5">
        <f>Database!OSZ29</f>
        <v>0</v>
      </c>
      <c r="OSH5">
        <f>Database!OTA29</f>
        <v>0</v>
      </c>
      <c r="OSI5">
        <f>Database!OTB29</f>
        <v>0</v>
      </c>
      <c r="OSJ5">
        <f>Database!OTC29</f>
        <v>0</v>
      </c>
      <c r="OSK5">
        <f>Database!OTD29</f>
        <v>0</v>
      </c>
      <c r="OSL5">
        <f>Database!OTE29</f>
        <v>0</v>
      </c>
      <c r="OSM5">
        <f>Database!OTF29</f>
        <v>0</v>
      </c>
      <c r="OSN5">
        <f>Database!OTG29</f>
        <v>0</v>
      </c>
      <c r="OSO5">
        <f>Database!OTH29</f>
        <v>0</v>
      </c>
      <c r="OSP5">
        <f>Database!OTI29</f>
        <v>0</v>
      </c>
      <c r="OSQ5">
        <f>Database!OTJ29</f>
        <v>0</v>
      </c>
      <c r="OSR5">
        <f>Database!OTK29</f>
        <v>0</v>
      </c>
      <c r="OSS5">
        <f>Database!OTL29</f>
        <v>0</v>
      </c>
      <c r="OST5">
        <f>Database!OTM29</f>
        <v>0</v>
      </c>
      <c r="OSU5">
        <f>Database!OTN29</f>
        <v>0</v>
      </c>
      <c r="OSV5">
        <f>Database!OTO29</f>
        <v>0</v>
      </c>
      <c r="OSW5">
        <f>Database!OTP29</f>
        <v>0</v>
      </c>
      <c r="OSX5">
        <f>Database!OTQ29</f>
        <v>0</v>
      </c>
      <c r="OSY5">
        <f>Database!OTR29</f>
        <v>0</v>
      </c>
      <c r="OSZ5">
        <f>Database!OTS29</f>
        <v>0</v>
      </c>
      <c r="OTA5">
        <f>Database!OTT29</f>
        <v>0</v>
      </c>
      <c r="OTB5">
        <f>Database!OTU29</f>
        <v>0</v>
      </c>
      <c r="OTC5">
        <f>Database!OTV29</f>
        <v>0</v>
      </c>
      <c r="OTD5">
        <f>Database!OTW29</f>
        <v>0</v>
      </c>
      <c r="OTE5">
        <f>Database!OTX29</f>
        <v>0</v>
      </c>
      <c r="OTF5">
        <f>Database!OTY29</f>
        <v>0</v>
      </c>
      <c r="OTG5">
        <f>Database!OTZ29</f>
        <v>0</v>
      </c>
      <c r="OTH5">
        <f>Database!OUA29</f>
        <v>0</v>
      </c>
      <c r="OTI5">
        <f>Database!OUB29</f>
        <v>0</v>
      </c>
      <c r="OTJ5">
        <f>Database!OUC29</f>
        <v>0</v>
      </c>
      <c r="OTK5">
        <f>Database!OUD29</f>
        <v>0</v>
      </c>
      <c r="OTL5">
        <f>Database!OUE29</f>
        <v>0</v>
      </c>
      <c r="OTM5">
        <f>Database!OUF29</f>
        <v>0</v>
      </c>
      <c r="OTN5">
        <f>Database!OUG29</f>
        <v>0</v>
      </c>
      <c r="OTO5">
        <f>Database!OUH29</f>
        <v>0</v>
      </c>
      <c r="OTP5">
        <f>Database!OUI29</f>
        <v>0</v>
      </c>
      <c r="OTQ5">
        <f>Database!OUJ29</f>
        <v>0</v>
      </c>
      <c r="OTR5">
        <f>Database!OUK29</f>
        <v>0</v>
      </c>
      <c r="OTS5">
        <f>Database!OUL29</f>
        <v>0</v>
      </c>
      <c r="OTT5">
        <f>Database!OUM29</f>
        <v>0</v>
      </c>
      <c r="OTU5">
        <f>Database!OUN29</f>
        <v>0</v>
      </c>
      <c r="OTV5">
        <f>Database!OUO29</f>
        <v>0</v>
      </c>
      <c r="OTW5">
        <f>Database!OUP29</f>
        <v>0</v>
      </c>
      <c r="OTX5">
        <f>Database!OUQ29</f>
        <v>0</v>
      </c>
      <c r="OTY5">
        <f>Database!OUR29</f>
        <v>0</v>
      </c>
      <c r="OTZ5">
        <f>Database!OUS29</f>
        <v>0</v>
      </c>
      <c r="OUA5">
        <f>Database!OUT29</f>
        <v>0</v>
      </c>
      <c r="OUB5">
        <f>Database!OUU29</f>
        <v>0</v>
      </c>
      <c r="OUC5">
        <f>Database!OUV29</f>
        <v>0</v>
      </c>
      <c r="OUD5">
        <f>Database!OUW29</f>
        <v>0</v>
      </c>
      <c r="OUE5">
        <f>Database!OUX29</f>
        <v>0</v>
      </c>
      <c r="OUF5">
        <f>Database!OUY29</f>
        <v>0</v>
      </c>
      <c r="OUG5">
        <f>Database!OUZ29</f>
        <v>0</v>
      </c>
      <c r="OUH5">
        <f>Database!OVA29</f>
        <v>0</v>
      </c>
      <c r="OUI5">
        <f>Database!OVB29</f>
        <v>0</v>
      </c>
      <c r="OUJ5">
        <f>Database!OVC29</f>
        <v>0</v>
      </c>
      <c r="OUK5">
        <f>Database!OVD29</f>
        <v>0</v>
      </c>
      <c r="OUL5">
        <f>Database!OVE29</f>
        <v>0</v>
      </c>
      <c r="OUM5">
        <f>Database!OVF29</f>
        <v>0</v>
      </c>
      <c r="OUN5">
        <f>Database!OVG29</f>
        <v>0</v>
      </c>
      <c r="OUO5">
        <f>Database!OVH29</f>
        <v>0</v>
      </c>
      <c r="OUP5">
        <f>Database!OVI29</f>
        <v>0</v>
      </c>
      <c r="OUQ5">
        <f>Database!OVJ29</f>
        <v>0</v>
      </c>
      <c r="OUR5">
        <f>Database!OVK29</f>
        <v>0</v>
      </c>
      <c r="OUS5">
        <f>Database!OVL29</f>
        <v>0</v>
      </c>
      <c r="OUT5">
        <f>Database!OVM29</f>
        <v>0</v>
      </c>
      <c r="OUU5">
        <f>Database!OVN29</f>
        <v>0</v>
      </c>
      <c r="OUV5">
        <f>Database!OVO29</f>
        <v>0</v>
      </c>
      <c r="OUW5">
        <f>Database!OVP29</f>
        <v>0</v>
      </c>
      <c r="OUX5">
        <f>Database!OVQ29</f>
        <v>0</v>
      </c>
      <c r="OUY5">
        <f>Database!OVR29</f>
        <v>0</v>
      </c>
      <c r="OUZ5">
        <f>Database!OVS29</f>
        <v>0</v>
      </c>
      <c r="OVA5">
        <f>Database!OVT29</f>
        <v>0</v>
      </c>
      <c r="OVB5">
        <f>Database!OVU29</f>
        <v>0</v>
      </c>
      <c r="OVC5">
        <f>Database!OVV29</f>
        <v>0</v>
      </c>
      <c r="OVD5">
        <f>Database!OVW29</f>
        <v>0</v>
      </c>
      <c r="OVE5">
        <f>Database!OVX29</f>
        <v>0</v>
      </c>
      <c r="OVF5">
        <f>Database!OVY29</f>
        <v>0</v>
      </c>
      <c r="OVG5">
        <f>Database!OVZ29</f>
        <v>0</v>
      </c>
      <c r="OVH5">
        <f>Database!OWA29</f>
        <v>0</v>
      </c>
      <c r="OVI5">
        <f>Database!OWB29</f>
        <v>0</v>
      </c>
      <c r="OVJ5">
        <f>Database!OWC29</f>
        <v>0</v>
      </c>
      <c r="OVK5">
        <f>Database!OWD29</f>
        <v>0</v>
      </c>
      <c r="OVL5">
        <f>Database!OWE29</f>
        <v>0</v>
      </c>
      <c r="OVM5">
        <f>Database!OWF29</f>
        <v>0</v>
      </c>
      <c r="OVN5">
        <f>Database!OWG29</f>
        <v>0</v>
      </c>
      <c r="OVO5">
        <f>Database!OWH29</f>
        <v>0</v>
      </c>
      <c r="OVP5">
        <f>Database!OWI29</f>
        <v>0</v>
      </c>
      <c r="OVQ5">
        <f>Database!OWJ29</f>
        <v>0</v>
      </c>
      <c r="OVR5">
        <f>Database!OWK29</f>
        <v>0</v>
      </c>
      <c r="OVS5">
        <f>Database!OWL29</f>
        <v>0</v>
      </c>
      <c r="OVT5">
        <f>Database!OWM29</f>
        <v>0</v>
      </c>
      <c r="OVU5">
        <f>Database!OWN29</f>
        <v>0</v>
      </c>
      <c r="OVV5">
        <f>Database!OWO29</f>
        <v>0</v>
      </c>
      <c r="OVW5">
        <f>Database!OWP29</f>
        <v>0</v>
      </c>
      <c r="OVX5">
        <f>Database!OWQ29</f>
        <v>0</v>
      </c>
      <c r="OVY5">
        <f>Database!OWR29</f>
        <v>0</v>
      </c>
      <c r="OVZ5">
        <f>Database!OWS29</f>
        <v>0</v>
      </c>
      <c r="OWA5">
        <f>Database!OWT29</f>
        <v>0</v>
      </c>
      <c r="OWB5">
        <f>Database!OWU29</f>
        <v>0</v>
      </c>
      <c r="OWC5">
        <f>Database!OWV29</f>
        <v>0</v>
      </c>
      <c r="OWD5">
        <f>Database!OWW29</f>
        <v>0</v>
      </c>
      <c r="OWE5">
        <f>Database!OWX29</f>
        <v>0</v>
      </c>
      <c r="OWF5">
        <f>Database!OWY29</f>
        <v>0</v>
      </c>
      <c r="OWG5">
        <f>Database!OWZ29</f>
        <v>0</v>
      </c>
      <c r="OWH5">
        <f>Database!OXA29</f>
        <v>0</v>
      </c>
      <c r="OWI5">
        <f>Database!OXB29</f>
        <v>0</v>
      </c>
      <c r="OWJ5">
        <f>Database!OXC29</f>
        <v>0</v>
      </c>
      <c r="OWK5">
        <f>Database!OXD29</f>
        <v>0</v>
      </c>
      <c r="OWL5">
        <f>Database!OXE29</f>
        <v>0</v>
      </c>
      <c r="OWM5">
        <f>Database!OXF29</f>
        <v>0</v>
      </c>
      <c r="OWN5">
        <f>Database!OXG29</f>
        <v>0</v>
      </c>
      <c r="OWO5">
        <f>Database!OXH29</f>
        <v>0</v>
      </c>
      <c r="OWP5">
        <f>Database!OXI29</f>
        <v>0</v>
      </c>
      <c r="OWQ5">
        <f>Database!OXJ29</f>
        <v>0</v>
      </c>
      <c r="OWR5">
        <f>Database!OXK29</f>
        <v>0</v>
      </c>
      <c r="OWS5">
        <f>Database!OXL29</f>
        <v>0</v>
      </c>
      <c r="OWT5">
        <f>Database!OXM29</f>
        <v>0</v>
      </c>
      <c r="OWU5">
        <f>Database!OXN29</f>
        <v>0</v>
      </c>
      <c r="OWV5">
        <f>Database!OXO29</f>
        <v>0</v>
      </c>
      <c r="OWW5">
        <f>Database!OXP29</f>
        <v>0</v>
      </c>
      <c r="OWX5">
        <f>Database!OXQ29</f>
        <v>0</v>
      </c>
      <c r="OWY5">
        <f>Database!OXR29</f>
        <v>0</v>
      </c>
      <c r="OWZ5">
        <f>Database!OXS29</f>
        <v>0</v>
      </c>
      <c r="OXA5">
        <f>Database!OXT29</f>
        <v>0</v>
      </c>
      <c r="OXB5">
        <f>Database!OXU29</f>
        <v>0</v>
      </c>
      <c r="OXC5">
        <f>Database!OXV29</f>
        <v>0</v>
      </c>
      <c r="OXD5">
        <f>Database!OXW29</f>
        <v>0</v>
      </c>
      <c r="OXE5">
        <f>Database!OXX29</f>
        <v>0</v>
      </c>
      <c r="OXF5">
        <f>Database!OXY29</f>
        <v>0</v>
      </c>
      <c r="OXG5">
        <f>Database!OXZ29</f>
        <v>0</v>
      </c>
      <c r="OXH5">
        <f>Database!OYA29</f>
        <v>0</v>
      </c>
      <c r="OXI5">
        <f>Database!OYB29</f>
        <v>0</v>
      </c>
      <c r="OXJ5">
        <f>Database!OYC29</f>
        <v>0</v>
      </c>
      <c r="OXK5">
        <f>Database!OYD29</f>
        <v>0</v>
      </c>
      <c r="OXL5">
        <f>Database!OYE29</f>
        <v>0</v>
      </c>
      <c r="OXM5">
        <f>Database!OYF29</f>
        <v>0</v>
      </c>
      <c r="OXN5">
        <f>Database!OYG29</f>
        <v>0</v>
      </c>
      <c r="OXO5">
        <f>Database!OYH29</f>
        <v>0</v>
      </c>
      <c r="OXP5">
        <f>Database!OYI29</f>
        <v>0</v>
      </c>
      <c r="OXQ5">
        <f>Database!OYJ29</f>
        <v>0</v>
      </c>
      <c r="OXR5">
        <f>Database!OYK29</f>
        <v>0</v>
      </c>
      <c r="OXS5">
        <f>Database!OYL29</f>
        <v>0</v>
      </c>
      <c r="OXT5">
        <f>Database!OYM29</f>
        <v>0</v>
      </c>
      <c r="OXU5">
        <f>Database!OYN29</f>
        <v>0</v>
      </c>
      <c r="OXV5">
        <f>Database!OYO29</f>
        <v>0</v>
      </c>
      <c r="OXW5">
        <f>Database!OYP29</f>
        <v>0</v>
      </c>
      <c r="OXX5">
        <f>Database!OYQ29</f>
        <v>0</v>
      </c>
      <c r="OXY5">
        <f>Database!OYR29</f>
        <v>0</v>
      </c>
      <c r="OXZ5">
        <f>Database!OYS29</f>
        <v>0</v>
      </c>
      <c r="OYA5">
        <f>Database!OYT29</f>
        <v>0</v>
      </c>
      <c r="OYB5">
        <f>Database!OYU29</f>
        <v>0</v>
      </c>
      <c r="OYC5">
        <f>Database!OYV29</f>
        <v>0</v>
      </c>
      <c r="OYD5">
        <f>Database!OYW29</f>
        <v>0</v>
      </c>
      <c r="OYE5">
        <f>Database!OYX29</f>
        <v>0</v>
      </c>
      <c r="OYF5">
        <f>Database!OYY29</f>
        <v>0</v>
      </c>
      <c r="OYG5">
        <f>Database!OYZ29</f>
        <v>0</v>
      </c>
      <c r="OYH5">
        <f>Database!OZA29</f>
        <v>0</v>
      </c>
      <c r="OYI5">
        <f>Database!OZB29</f>
        <v>0</v>
      </c>
      <c r="OYJ5">
        <f>Database!OZC29</f>
        <v>0</v>
      </c>
      <c r="OYK5">
        <f>Database!OZD29</f>
        <v>0</v>
      </c>
      <c r="OYL5">
        <f>Database!OZE29</f>
        <v>0</v>
      </c>
      <c r="OYM5">
        <f>Database!OZF29</f>
        <v>0</v>
      </c>
      <c r="OYN5">
        <f>Database!OZG29</f>
        <v>0</v>
      </c>
      <c r="OYO5">
        <f>Database!OZH29</f>
        <v>0</v>
      </c>
      <c r="OYP5">
        <f>Database!OZI29</f>
        <v>0</v>
      </c>
      <c r="OYQ5">
        <f>Database!OZJ29</f>
        <v>0</v>
      </c>
      <c r="OYR5">
        <f>Database!OZK29</f>
        <v>0</v>
      </c>
      <c r="OYS5">
        <f>Database!OZL29</f>
        <v>0</v>
      </c>
      <c r="OYT5">
        <f>Database!OZM29</f>
        <v>0</v>
      </c>
      <c r="OYU5">
        <f>Database!OZN29</f>
        <v>0</v>
      </c>
      <c r="OYV5">
        <f>Database!OZO29</f>
        <v>0</v>
      </c>
      <c r="OYW5">
        <f>Database!OZP29</f>
        <v>0</v>
      </c>
      <c r="OYX5">
        <f>Database!OZQ29</f>
        <v>0</v>
      </c>
      <c r="OYY5">
        <f>Database!OZR29</f>
        <v>0</v>
      </c>
      <c r="OYZ5">
        <f>Database!OZS29</f>
        <v>0</v>
      </c>
      <c r="OZA5">
        <f>Database!OZT29</f>
        <v>0</v>
      </c>
      <c r="OZB5">
        <f>Database!OZU29</f>
        <v>0</v>
      </c>
      <c r="OZC5">
        <f>Database!OZV29</f>
        <v>0</v>
      </c>
      <c r="OZD5">
        <f>Database!OZW29</f>
        <v>0</v>
      </c>
      <c r="OZE5">
        <f>Database!OZX29</f>
        <v>0</v>
      </c>
      <c r="OZF5">
        <f>Database!OZY29</f>
        <v>0</v>
      </c>
      <c r="OZG5">
        <f>Database!OZZ29</f>
        <v>0</v>
      </c>
      <c r="OZH5">
        <f>Database!PAA29</f>
        <v>0</v>
      </c>
      <c r="OZI5">
        <f>Database!PAB29</f>
        <v>0</v>
      </c>
      <c r="OZJ5">
        <f>Database!PAC29</f>
        <v>0</v>
      </c>
      <c r="OZK5">
        <f>Database!PAD29</f>
        <v>0</v>
      </c>
      <c r="OZL5">
        <f>Database!PAE29</f>
        <v>0</v>
      </c>
      <c r="OZM5">
        <f>Database!PAF29</f>
        <v>0</v>
      </c>
      <c r="OZN5">
        <f>Database!PAG29</f>
        <v>0</v>
      </c>
      <c r="OZO5">
        <f>Database!PAH29</f>
        <v>0</v>
      </c>
      <c r="OZP5">
        <f>Database!PAI29</f>
        <v>0</v>
      </c>
      <c r="OZQ5">
        <f>Database!PAJ29</f>
        <v>0</v>
      </c>
      <c r="OZR5">
        <f>Database!PAK29</f>
        <v>0</v>
      </c>
      <c r="OZS5">
        <f>Database!PAL29</f>
        <v>0</v>
      </c>
      <c r="OZT5">
        <f>Database!PAM29</f>
        <v>0</v>
      </c>
      <c r="OZU5">
        <f>Database!PAN29</f>
        <v>0</v>
      </c>
      <c r="OZV5">
        <f>Database!PAO29</f>
        <v>0</v>
      </c>
      <c r="OZW5">
        <f>Database!PAP29</f>
        <v>0</v>
      </c>
      <c r="OZX5">
        <f>Database!PAQ29</f>
        <v>0</v>
      </c>
      <c r="OZY5">
        <f>Database!PAR29</f>
        <v>0</v>
      </c>
      <c r="OZZ5">
        <f>Database!PAS29</f>
        <v>0</v>
      </c>
      <c r="PAA5">
        <f>Database!PAT29</f>
        <v>0</v>
      </c>
      <c r="PAB5">
        <f>Database!PAU29</f>
        <v>0</v>
      </c>
      <c r="PAC5">
        <f>Database!PAV29</f>
        <v>0</v>
      </c>
      <c r="PAD5">
        <f>Database!PAW29</f>
        <v>0</v>
      </c>
      <c r="PAE5">
        <f>Database!PAX29</f>
        <v>0</v>
      </c>
      <c r="PAF5">
        <f>Database!PAY29</f>
        <v>0</v>
      </c>
      <c r="PAG5">
        <f>Database!PAZ29</f>
        <v>0</v>
      </c>
      <c r="PAH5">
        <f>Database!PBA29</f>
        <v>0</v>
      </c>
      <c r="PAI5">
        <f>Database!PBB29</f>
        <v>0</v>
      </c>
      <c r="PAJ5">
        <f>Database!PBC29</f>
        <v>0</v>
      </c>
      <c r="PAK5">
        <f>Database!PBD29</f>
        <v>0</v>
      </c>
      <c r="PAL5">
        <f>Database!PBE29</f>
        <v>0</v>
      </c>
      <c r="PAM5">
        <f>Database!PBF29</f>
        <v>0</v>
      </c>
      <c r="PAN5">
        <f>Database!PBG29</f>
        <v>0</v>
      </c>
      <c r="PAO5">
        <f>Database!PBH29</f>
        <v>0</v>
      </c>
      <c r="PAP5">
        <f>Database!PBI29</f>
        <v>0</v>
      </c>
      <c r="PAQ5">
        <f>Database!PBJ29</f>
        <v>0</v>
      </c>
      <c r="PAR5">
        <f>Database!PBK29</f>
        <v>0</v>
      </c>
      <c r="PAS5">
        <f>Database!PBL29</f>
        <v>0</v>
      </c>
      <c r="PAT5">
        <f>Database!PBM29</f>
        <v>0</v>
      </c>
      <c r="PAU5">
        <f>Database!PBN29</f>
        <v>0</v>
      </c>
      <c r="PAV5">
        <f>Database!PBO29</f>
        <v>0</v>
      </c>
      <c r="PAW5">
        <f>Database!PBP29</f>
        <v>0</v>
      </c>
      <c r="PAX5">
        <f>Database!PBQ29</f>
        <v>0</v>
      </c>
      <c r="PAY5">
        <f>Database!PBR29</f>
        <v>0</v>
      </c>
      <c r="PAZ5">
        <f>Database!PBS29</f>
        <v>0</v>
      </c>
      <c r="PBA5">
        <f>Database!PBT29</f>
        <v>0</v>
      </c>
      <c r="PBB5">
        <f>Database!PBU29</f>
        <v>0</v>
      </c>
      <c r="PBC5">
        <f>Database!PBV29</f>
        <v>0</v>
      </c>
      <c r="PBD5">
        <f>Database!PBW29</f>
        <v>0</v>
      </c>
      <c r="PBE5">
        <f>Database!PBX29</f>
        <v>0</v>
      </c>
      <c r="PBF5">
        <f>Database!PBY29</f>
        <v>0</v>
      </c>
      <c r="PBG5">
        <f>Database!PBZ29</f>
        <v>0</v>
      </c>
      <c r="PBH5">
        <f>Database!PCA29</f>
        <v>0</v>
      </c>
      <c r="PBI5">
        <f>Database!PCB29</f>
        <v>0</v>
      </c>
      <c r="PBJ5">
        <f>Database!PCC29</f>
        <v>0</v>
      </c>
      <c r="PBK5">
        <f>Database!PCD29</f>
        <v>0</v>
      </c>
      <c r="PBL5">
        <f>Database!PCE29</f>
        <v>0</v>
      </c>
      <c r="PBM5">
        <f>Database!PCF29</f>
        <v>0</v>
      </c>
      <c r="PBN5">
        <f>Database!PCG29</f>
        <v>0</v>
      </c>
      <c r="PBO5">
        <f>Database!PCH29</f>
        <v>0</v>
      </c>
      <c r="PBP5">
        <f>Database!PCI29</f>
        <v>0</v>
      </c>
      <c r="PBQ5">
        <f>Database!PCJ29</f>
        <v>0</v>
      </c>
      <c r="PBR5">
        <f>Database!PCK29</f>
        <v>0</v>
      </c>
      <c r="PBS5">
        <f>Database!PCL29</f>
        <v>0</v>
      </c>
      <c r="PBT5">
        <f>Database!PCM29</f>
        <v>0</v>
      </c>
      <c r="PBU5">
        <f>Database!PCN29</f>
        <v>0</v>
      </c>
      <c r="PBV5">
        <f>Database!PCO29</f>
        <v>0</v>
      </c>
      <c r="PBW5">
        <f>Database!PCP29</f>
        <v>0</v>
      </c>
      <c r="PBX5">
        <f>Database!PCQ29</f>
        <v>0</v>
      </c>
      <c r="PBY5">
        <f>Database!PCR29</f>
        <v>0</v>
      </c>
      <c r="PBZ5">
        <f>Database!PCS29</f>
        <v>0</v>
      </c>
      <c r="PCA5">
        <f>Database!PCT29</f>
        <v>0</v>
      </c>
      <c r="PCB5">
        <f>Database!PCU29</f>
        <v>0</v>
      </c>
      <c r="PCC5">
        <f>Database!PCV29</f>
        <v>0</v>
      </c>
      <c r="PCD5">
        <f>Database!PCW29</f>
        <v>0</v>
      </c>
      <c r="PCE5">
        <f>Database!PCX29</f>
        <v>0</v>
      </c>
      <c r="PCF5">
        <f>Database!PCY29</f>
        <v>0</v>
      </c>
      <c r="PCG5">
        <f>Database!PCZ29</f>
        <v>0</v>
      </c>
      <c r="PCH5">
        <f>Database!PDA29</f>
        <v>0</v>
      </c>
      <c r="PCI5">
        <f>Database!PDB29</f>
        <v>0</v>
      </c>
      <c r="PCJ5">
        <f>Database!PDC29</f>
        <v>0</v>
      </c>
      <c r="PCK5">
        <f>Database!PDD29</f>
        <v>0</v>
      </c>
      <c r="PCL5">
        <f>Database!PDE29</f>
        <v>0</v>
      </c>
      <c r="PCM5">
        <f>Database!PDF29</f>
        <v>0</v>
      </c>
      <c r="PCN5">
        <f>Database!PDG29</f>
        <v>0</v>
      </c>
      <c r="PCO5">
        <f>Database!PDH29</f>
        <v>0</v>
      </c>
      <c r="PCP5">
        <f>Database!PDI29</f>
        <v>0</v>
      </c>
      <c r="PCQ5">
        <f>Database!PDJ29</f>
        <v>0</v>
      </c>
      <c r="PCR5">
        <f>Database!PDK29</f>
        <v>0</v>
      </c>
      <c r="PCS5">
        <f>Database!PDL29</f>
        <v>0</v>
      </c>
      <c r="PCT5">
        <f>Database!PDM29</f>
        <v>0</v>
      </c>
      <c r="PCU5">
        <f>Database!PDN29</f>
        <v>0</v>
      </c>
      <c r="PCV5">
        <f>Database!PDO29</f>
        <v>0</v>
      </c>
      <c r="PCW5">
        <f>Database!PDP29</f>
        <v>0</v>
      </c>
      <c r="PCX5">
        <f>Database!PDQ29</f>
        <v>0</v>
      </c>
      <c r="PCY5">
        <f>Database!PDR29</f>
        <v>0</v>
      </c>
      <c r="PCZ5">
        <f>Database!PDS29</f>
        <v>0</v>
      </c>
      <c r="PDA5">
        <f>Database!PDT29</f>
        <v>0</v>
      </c>
      <c r="PDB5">
        <f>Database!PDU29</f>
        <v>0</v>
      </c>
      <c r="PDC5">
        <f>Database!PDV29</f>
        <v>0</v>
      </c>
      <c r="PDD5">
        <f>Database!PDW29</f>
        <v>0</v>
      </c>
      <c r="PDE5">
        <f>Database!PDX29</f>
        <v>0</v>
      </c>
      <c r="PDF5">
        <f>Database!PDY29</f>
        <v>0</v>
      </c>
      <c r="PDG5">
        <f>Database!PDZ29</f>
        <v>0</v>
      </c>
      <c r="PDH5">
        <f>Database!PEA29</f>
        <v>0</v>
      </c>
      <c r="PDI5">
        <f>Database!PEB29</f>
        <v>0</v>
      </c>
      <c r="PDJ5">
        <f>Database!PEC29</f>
        <v>0</v>
      </c>
      <c r="PDK5">
        <f>Database!PED29</f>
        <v>0</v>
      </c>
      <c r="PDL5">
        <f>Database!PEE29</f>
        <v>0</v>
      </c>
      <c r="PDM5">
        <f>Database!PEF29</f>
        <v>0</v>
      </c>
      <c r="PDN5">
        <f>Database!PEG29</f>
        <v>0</v>
      </c>
      <c r="PDO5">
        <f>Database!PEH29</f>
        <v>0</v>
      </c>
      <c r="PDP5">
        <f>Database!PEI29</f>
        <v>0</v>
      </c>
      <c r="PDQ5">
        <f>Database!PEJ29</f>
        <v>0</v>
      </c>
      <c r="PDR5">
        <f>Database!PEK29</f>
        <v>0</v>
      </c>
      <c r="PDS5">
        <f>Database!PEL29</f>
        <v>0</v>
      </c>
      <c r="PDT5">
        <f>Database!PEM29</f>
        <v>0</v>
      </c>
      <c r="PDU5">
        <f>Database!PEN29</f>
        <v>0</v>
      </c>
      <c r="PDV5">
        <f>Database!PEO29</f>
        <v>0</v>
      </c>
      <c r="PDW5">
        <f>Database!PEP29</f>
        <v>0</v>
      </c>
      <c r="PDX5">
        <f>Database!PEQ29</f>
        <v>0</v>
      </c>
      <c r="PDY5">
        <f>Database!PER29</f>
        <v>0</v>
      </c>
      <c r="PDZ5">
        <f>Database!PES29</f>
        <v>0</v>
      </c>
      <c r="PEA5">
        <f>Database!PET29</f>
        <v>0</v>
      </c>
      <c r="PEB5">
        <f>Database!PEU29</f>
        <v>0</v>
      </c>
      <c r="PEC5">
        <f>Database!PEV29</f>
        <v>0</v>
      </c>
      <c r="PED5">
        <f>Database!PEW29</f>
        <v>0</v>
      </c>
      <c r="PEE5">
        <f>Database!PEX29</f>
        <v>0</v>
      </c>
      <c r="PEF5">
        <f>Database!PEY29</f>
        <v>0</v>
      </c>
      <c r="PEG5">
        <f>Database!PEZ29</f>
        <v>0</v>
      </c>
      <c r="PEH5">
        <f>Database!PFA29</f>
        <v>0</v>
      </c>
      <c r="PEI5">
        <f>Database!PFB29</f>
        <v>0</v>
      </c>
      <c r="PEJ5">
        <f>Database!PFC29</f>
        <v>0</v>
      </c>
      <c r="PEK5">
        <f>Database!PFD29</f>
        <v>0</v>
      </c>
      <c r="PEL5">
        <f>Database!PFE29</f>
        <v>0</v>
      </c>
      <c r="PEM5">
        <f>Database!PFF29</f>
        <v>0</v>
      </c>
      <c r="PEN5">
        <f>Database!PFG29</f>
        <v>0</v>
      </c>
      <c r="PEO5">
        <f>Database!PFH29</f>
        <v>0</v>
      </c>
      <c r="PEP5">
        <f>Database!PFI29</f>
        <v>0</v>
      </c>
      <c r="PEQ5">
        <f>Database!PFJ29</f>
        <v>0</v>
      </c>
      <c r="PER5">
        <f>Database!PFK29</f>
        <v>0</v>
      </c>
      <c r="PES5">
        <f>Database!PFL29</f>
        <v>0</v>
      </c>
      <c r="PET5">
        <f>Database!PFM29</f>
        <v>0</v>
      </c>
      <c r="PEU5">
        <f>Database!PFN29</f>
        <v>0</v>
      </c>
      <c r="PEV5">
        <f>Database!PFO29</f>
        <v>0</v>
      </c>
      <c r="PEW5">
        <f>Database!PFP29</f>
        <v>0</v>
      </c>
      <c r="PEX5">
        <f>Database!PFQ29</f>
        <v>0</v>
      </c>
      <c r="PEY5">
        <f>Database!PFR29</f>
        <v>0</v>
      </c>
      <c r="PEZ5">
        <f>Database!PFS29</f>
        <v>0</v>
      </c>
      <c r="PFA5">
        <f>Database!PFT29</f>
        <v>0</v>
      </c>
      <c r="PFB5">
        <f>Database!PFU29</f>
        <v>0</v>
      </c>
      <c r="PFC5">
        <f>Database!PFV29</f>
        <v>0</v>
      </c>
      <c r="PFD5">
        <f>Database!PFW29</f>
        <v>0</v>
      </c>
      <c r="PFE5">
        <f>Database!PFX29</f>
        <v>0</v>
      </c>
      <c r="PFF5">
        <f>Database!PFY29</f>
        <v>0</v>
      </c>
      <c r="PFG5">
        <f>Database!PFZ29</f>
        <v>0</v>
      </c>
      <c r="PFH5">
        <f>Database!PGA29</f>
        <v>0</v>
      </c>
      <c r="PFI5">
        <f>Database!PGB29</f>
        <v>0</v>
      </c>
      <c r="PFJ5">
        <f>Database!PGC29</f>
        <v>0</v>
      </c>
      <c r="PFK5">
        <f>Database!PGD29</f>
        <v>0</v>
      </c>
      <c r="PFL5">
        <f>Database!PGE29</f>
        <v>0</v>
      </c>
      <c r="PFM5">
        <f>Database!PGF29</f>
        <v>0</v>
      </c>
      <c r="PFN5">
        <f>Database!PGG29</f>
        <v>0</v>
      </c>
      <c r="PFO5">
        <f>Database!PGH29</f>
        <v>0</v>
      </c>
      <c r="PFP5">
        <f>Database!PGI29</f>
        <v>0</v>
      </c>
      <c r="PFQ5">
        <f>Database!PGJ29</f>
        <v>0</v>
      </c>
      <c r="PFR5">
        <f>Database!PGK29</f>
        <v>0</v>
      </c>
      <c r="PFS5">
        <f>Database!PGL29</f>
        <v>0</v>
      </c>
      <c r="PFT5">
        <f>Database!PGM29</f>
        <v>0</v>
      </c>
      <c r="PFU5">
        <f>Database!PGN29</f>
        <v>0</v>
      </c>
      <c r="PFV5">
        <f>Database!PGO29</f>
        <v>0</v>
      </c>
      <c r="PFW5">
        <f>Database!PGP29</f>
        <v>0</v>
      </c>
      <c r="PFX5">
        <f>Database!PGQ29</f>
        <v>0</v>
      </c>
      <c r="PFY5">
        <f>Database!PGR29</f>
        <v>0</v>
      </c>
      <c r="PFZ5">
        <f>Database!PGS29</f>
        <v>0</v>
      </c>
      <c r="PGA5">
        <f>Database!PGT29</f>
        <v>0</v>
      </c>
      <c r="PGB5">
        <f>Database!PGU29</f>
        <v>0</v>
      </c>
      <c r="PGC5">
        <f>Database!PGV29</f>
        <v>0</v>
      </c>
      <c r="PGD5">
        <f>Database!PGW29</f>
        <v>0</v>
      </c>
      <c r="PGE5">
        <f>Database!PGX29</f>
        <v>0</v>
      </c>
      <c r="PGF5">
        <f>Database!PGY29</f>
        <v>0</v>
      </c>
      <c r="PGG5">
        <f>Database!PGZ29</f>
        <v>0</v>
      </c>
      <c r="PGH5">
        <f>Database!PHA29</f>
        <v>0</v>
      </c>
      <c r="PGI5">
        <f>Database!PHB29</f>
        <v>0</v>
      </c>
      <c r="PGJ5">
        <f>Database!PHC29</f>
        <v>0</v>
      </c>
      <c r="PGK5">
        <f>Database!PHD29</f>
        <v>0</v>
      </c>
      <c r="PGL5">
        <f>Database!PHE29</f>
        <v>0</v>
      </c>
      <c r="PGM5">
        <f>Database!PHF29</f>
        <v>0</v>
      </c>
      <c r="PGN5">
        <f>Database!PHG29</f>
        <v>0</v>
      </c>
      <c r="PGO5">
        <f>Database!PHH29</f>
        <v>0</v>
      </c>
      <c r="PGP5">
        <f>Database!PHI29</f>
        <v>0</v>
      </c>
      <c r="PGQ5">
        <f>Database!PHJ29</f>
        <v>0</v>
      </c>
      <c r="PGR5">
        <f>Database!PHK29</f>
        <v>0</v>
      </c>
      <c r="PGS5">
        <f>Database!PHL29</f>
        <v>0</v>
      </c>
      <c r="PGT5">
        <f>Database!PHM29</f>
        <v>0</v>
      </c>
      <c r="PGU5">
        <f>Database!PHN29</f>
        <v>0</v>
      </c>
      <c r="PGV5">
        <f>Database!PHO29</f>
        <v>0</v>
      </c>
      <c r="PGW5">
        <f>Database!PHP29</f>
        <v>0</v>
      </c>
      <c r="PGX5">
        <f>Database!PHQ29</f>
        <v>0</v>
      </c>
      <c r="PGY5">
        <f>Database!PHR29</f>
        <v>0</v>
      </c>
      <c r="PGZ5">
        <f>Database!PHS29</f>
        <v>0</v>
      </c>
      <c r="PHA5">
        <f>Database!PHT29</f>
        <v>0</v>
      </c>
      <c r="PHB5">
        <f>Database!PHU29</f>
        <v>0</v>
      </c>
      <c r="PHC5">
        <f>Database!PHV29</f>
        <v>0</v>
      </c>
      <c r="PHD5">
        <f>Database!PHW29</f>
        <v>0</v>
      </c>
      <c r="PHE5">
        <f>Database!PHX29</f>
        <v>0</v>
      </c>
      <c r="PHF5">
        <f>Database!PHY29</f>
        <v>0</v>
      </c>
      <c r="PHG5">
        <f>Database!PHZ29</f>
        <v>0</v>
      </c>
      <c r="PHH5">
        <f>Database!PIA29</f>
        <v>0</v>
      </c>
      <c r="PHI5">
        <f>Database!PIB29</f>
        <v>0</v>
      </c>
      <c r="PHJ5">
        <f>Database!PIC29</f>
        <v>0</v>
      </c>
      <c r="PHK5">
        <f>Database!PID29</f>
        <v>0</v>
      </c>
      <c r="PHL5">
        <f>Database!PIE29</f>
        <v>0</v>
      </c>
      <c r="PHM5">
        <f>Database!PIF29</f>
        <v>0</v>
      </c>
      <c r="PHN5">
        <f>Database!PIG29</f>
        <v>0</v>
      </c>
      <c r="PHO5">
        <f>Database!PIH29</f>
        <v>0</v>
      </c>
      <c r="PHP5">
        <f>Database!PII29</f>
        <v>0</v>
      </c>
      <c r="PHQ5">
        <f>Database!PIJ29</f>
        <v>0</v>
      </c>
      <c r="PHR5">
        <f>Database!PIK29</f>
        <v>0</v>
      </c>
      <c r="PHS5">
        <f>Database!PIL29</f>
        <v>0</v>
      </c>
      <c r="PHT5">
        <f>Database!PIM29</f>
        <v>0</v>
      </c>
      <c r="PHU5">
        <f>Database!PIN29</f>
        <v>0</v>
      </c>
      <c r="PHV5">
        <f>Database!PIO29</f>
        <v>0</v>
      </c>
      <c r="PHW5">
        <f>Database!PIP29</f>
        <v>0</v>
      </c>
      <c r="PHX5">
        <f>Database!PIQ29</f>
        <v>0</v>
      </c>
      <c r="PHY5">
        <f>Database!PIR29</f>
        <v>0</v>
      </c>
      <c r="PHZ5">
        <f>Database!PIS29</f>
        <v>0</v>
      </c>
      <c r="PIA5">
        <f>Database!PIT29</f>
        <v>0</v>
      </c>
      <c r="PIB5">
        <f>Database!PIU29</f>
        <v>0</v>
      </c>
      <c r="PIC5">
        <f>Database!PIV29</f>
        <v>0</v>
      </c>
      <c r="PID5">
        <f>Database!PIW29</f>
        <v>0</v>
      </c>
      <c r="PIE5">
        <f>Database!PIX29</f>
        <v>0</v>
      </c>
      <c r="PIF5">
        <f>Database!PIY29</f>
        <v>0</v>
      </c>
      <c r="PIG5">
        <f>Database!PIZ29</f>
        <v>0</v>
      </c>
      <c r="PIH5">
        <f>Database!PJA29</f>
        <v>0</v>
      </c>
      <c r="PII5">
        <f>Database!PJB29</f>
        <v>0</v>
      </c>
      <c r="PIJ5">
        <f>Database!PJC29</f>
        <v>0</v>
      </c>
      <c r="PIK5">
        <f>Database!PJD29</f>
        <v>0</v>
      </c>
      <c r="PIL5">
        <f>Database!PJE29</f>
        <v>0</v>
      </c>
      <c r="PIM5">
        <f>Database!PJF29</f>
        <v>0</v>
      </c>
      <c r="PIN5">
        <f>Database!PJG29</f>
        <v>0</v>
      </c>
      <c r="PIO5">
        <f>Database!PJH29</f>
        <v>0</v>
      </c>
      <c r="PIP5">
        <f>Database!PJI29</f>
        <v>0</v>
      </c>
      <c r="PIQ5">
        <f>Database!PJJ29</f>
        <v>0</v>
      </c>
      <c r="PIR5">
        <f>Database!PJK29</f>
        <v>0</v>
      </c>
      <c r="PIS5">
        <f>Database!PJL29</f>
        <v>0</v>
      </c>
      <c r="PIT5">
        <f>Database!PJM29</f>
        <v>0</v>
      </c>
      <c r="PIU5">
        <f>Database!PJN29</f>
        <v>0</v>
      </c>
      <c r="PIV5">
        <f>Database!PJO29</f>
        <v>0</v>
      </c>
      <c r="PIW5">
        <f>Database!PJP29</f>
        <v>0</v>
      </c>
      <c r="PIX5">
        <f>Database!PJQ29</f>
        <v>0</v>
      </c>
      <c r="PIY5">
        <f>Database!PJR29</f>
        <v>0</v>
      </c>
      <c r="PIZ5">
        <f>Database!PJS29</f>
        <v>0</v>
      </c>
      <c r="PJA5">
        <f>Database!PJT29</f>
        <v>0</v>
      </c>
      <c r="PJB5">
        <f>Database!PJU29</f>
        <v>0</v>
      </c>
      <c r="PJC5">
        <f>Database!PJV29</f>
        <v>0</v>
      </c>
      <c r="PJD5">
        <f>Database!PJW29</f>
        <v>0</v>
      </c>
      <c r="PJE5">
        <f>Database!PJX29</f>
        <v>0</v>
      </c>
      <c r="PJF5">
        <f>Database!PJY29</f>
        <v>0</v>
      </c>
      <c r="PJG5">
        <f>Database!PJZ29</f>
        <v>0</v>
      </c>
      <c r="PJH5">
        <f>Database!PKA29</f>
        <v>0</v>
      </c>
      <c r="PJI5">
        <f>Database!PKB29</f>
        <v>0</v>
      </c>
      <c r="PJJ5">
        <f>Database!PKC29</f>
        <v>0</v>
      </c>
      <c r="PJK5">
        <f>Database!PKD29</f>
        <v>0</v>
      </c>
      <c r="PJL5">
        <f>Database!PKE29</f>
        <v>0</v>
      </c>
      <c r="PJM5">
        <f>Database!PKF29</f>
        <v>0</v>
      </c>
      <c r="PJN5">
        <f>Database!PKG29</f>
        <v>0</v>
      </c>
      <c r="PJO5">
        <f>Database!PKH29</f>
        <v>0</v>
      </c>
      <c r="PJP5">
        <f>Database!PKI29</f>
        <v>0</v>
      </c>
      <c r="PJQ5">
        <f>Database!PKJ29</f>
        <v>0</v>
      </c>
      <c r="PJR5">
        <f>Database!PKK29</f>
        <v>0</v>
      </c>
      <c r="PJS5">
        <f>Database!PKL29</f>
        <v>0</v>
      </c>
      <c r="PJT5">
        <f>Database!PKM29</f>
        <v>0</v>
      </c>
      <c r="PJU5">
        <f>Database!PKN29</f>
        <v>0</v>
      </c>
      <c r="PJV5">
        <f>Database!PKO29</f>
        <v>0</v>
      </c>
      <c r="PJW5">
        <f>Database!PKP29</f>
        <v>0</v>
      </c>
      <c r="PJX5">
        <f>Database!PKQ29</f>
        <v>0</v>
      </c>
      <c r="PJY5">
        <f>Database!PKR29</f>
        <v>0</v>
      </c>
      <c r="PJZ5">
        <f>Database!PKS29</f>
        <v>0</v>
      </c>
      <c r="PKA5">
        <f>Database!PKT29</f>
        <v>0</v>
      </c>
      <c r="PKB5">
        <f>Database!PKU29</f>
        <v>0</v>
      </c>
      <c r="PKC5">
        <f>Database!PKV29</f>
        <v>0</v>
      </c>
      <c r="PKD5">
        <f>Database!PKW29</f>
        <v>0</v>
      </c>
      <c r="PKE5">
        <f>Database!PKX29</f>
        <v>0</v>
      </c>
      <c r="PKF5">
        <f>Database!PKY29</f>
        <v>0</v>
      </c>
      <c r="PKG5">
        <f>Database!PKZ29</f>
        <v>0</v>
      </c>
      <c r="PKH5">
        <f>Database!PLA29</f>
        <v>0</v>
      </c>
      <c r="PKI5">
        <f>Database!PLB29</f>
        <v>0</v>
      </c>
      <c r="PKJ5">
        <f>Database!PLC29</f>
        <v>0</v>
      </c>
      <c r="PKK5">
        <f>Database!PLD29</f>
        <v>0</v>
      </c>
      <c r="PKL5">
        <f>Database!PLE29</f>
        <v>0</v>
      </c>
      <c r="PKM5">
        <f>Database!PLF29</f>
        <v>0</v>
      </c>
      <c r="PKN5">
        <f>Database!PLG29</f>
        <v>0</v>
      </c>
      <c r="PKO5">
        <f>Database!PLH29</f>
        <v>0</v>
      </c>
      <c r="PKP5">
        <f>Database!PLI29</f>
        <v>0</v>
      </c>
      <c r="PKQ5">
        <f>Database!PLJ29</f>
        <v>0</v>
      </c>
      <c r="PKR5">
        <f>Database!PLK29</f>
        <v>0</v>
      </c>
      <c r="PKS5">
        <f>Database!PLL29</f>
        <v>0</v>
      </c>
      <c r="PKT5">
        <f>Database!PLM29</f>
        <v>0</v>
      </c>
      <c r="PKU5">
        <f>Database!PLN29</f>
        <v>0</v>
      </c>
      <c r="PKV5">
        <f>Database!PLO29</f>
        <v>0</v>
      </c>
      <c r="PKW5">
        <f>Database!PLP29</f>
        <v>0</v>
      </c>
      <c r="PKX5">
        <f>Database!PLQ29</f>
        <v>0</v>
      </c>
      <c r="PKY5">
        <f>Database!PLR29</f>
        <v>0</v>
      </c>
      <c r="PKZ5">
        <f>Database!PLS29</f>
        <v>0</v>
      </c>
      <c r="PLA5">
        <f>Database!PLT29</f>
        <v>0</v>
      </c>
      <c r="PLB5">
        <f>Database!PLU29</f>
        <v>0</v>
      </c>
      <c r="PLC5">
        <f>Database!PLV29</f>
        <v>0</v>
      </c>
      <c r="PLD5">
        <f>Database!PLW29</f>
        <v>0</v>
      </c>
      <c r="PLE5">
        <f>Database!PLX29</f>
        <v>0</v>
      </c>
      <c r="PLF5">
        <f>Database!PLY29</f>
        <v>0</v>
      </c>
      <c r="PLG5">
        <f>Database!PLZ29</f>
        <v>0</v>
      </c>
      <c r="PLH5">
        <f>Database!PMA29</f>
        <v>0</v>
      </c>
      <c r="PLI5">
        <f>Database!PMB29</f>
        <v>0</v>
      </c>
      <c r="PLJ5">
        <f>Database!PMC29</f>
        <v>0</v>
      </c>
      <c r="PLK5">
        <f>Database!PMD29</f>
        <v>0</v>
      </c>
      <c r="PLL5">
        <f>Database!PME29</f>
        <v>0</v>
      </c>
      <c r="PLM5">
        <f>Database!PMF29</f>
        <v>0</v>
      </c>
      <c r="PLN5">
        <f>Database!PMG29</f>
        <v>0</v>
      </c>
      <c r="PLO5">
        <f>Database!PMH29</f>
        <v>0</v>
      </c>
      <c r="PLP5">
        <f>Database!PMI29</f>
        <v>0</v>
      </c>
      <c r="PLQ5">
        <f>Database!PMJ29</f>
        <v>0</v>
      </c>
      <c r="PLR5">
        <f>Database!PMK29</f>
        <v>0</v>
      </c>
      <c r="PLS5">
        <f>Database!PML29</f>
        <v>0</v>
      </c>
      <c r="PLT5">
        <f>Database!PMM29</f>
        <v>0</v>
      </c>
      <c r="PLU5">
        <f>Database!PMN29</f>
        <v>0</v>
      </c>
      <c r="PLV5">
        <f>Database!PMO29</f>
        <v>0</v>
      </c>
      <c r="PLW5">
        <f>Database!PMP29</f>
        <v>0</v>
      </c>
      <c r="PLX5">
        <f>Database!PMQ29</f>
        <v>0</v>
      </c>
      <c r="PLY5">
        <f>Database!PMR29</f>
        <v>0</v>
      </c>
      <c r="PLZ5">
        <f>Database!PMS29</f>
        <v>0</v>
      </c>
      <c r="PMA5">
        <f>Database!PMT29</f>
        <v>0</v>
      </c>
      <c r="PMB5">
        <f>Database!PMU29</f>
        <v>0</v>
      </c>
      <c r="PMC5">
        <f>Database!PMV29</f>
        <v>0</v>
      </c>
      <c r="PMD5">
        <f>Database!PMW29</f>
        <v>0</v>
      </c>
      <c r="PME5">
        <f>Database!PMX29</f>
        <v>0</v>
      </c>
      <c r="PMF5">
        <f>Database!PMY29</f>
        <v>0</v>
      </c>
      <c r="PMG5">
        <f>Database!PMZ29</f>
        <v>0</v>
      </c>
      <c r="PMH5">
        <f>Database!PNA29</f>
        <v>0</v>
      </c>
      <c r="PMI5">
        <f>Database!PNB29</f>
        <v>0</v>
      </c>
      <c r="PMJ5">
        <f>Database!PNC29</f>
        <v>0</v>
      </c>
      <c r="PMK5">
        <f>Database!PND29</f>
        <v>0</v>
      </c>
      <c r="PML5">
        <f>Database!PNE29</f>
        <v>0</v>
      </c>
      <c r="PMM5">
        <f>Database!PNF29</f>
        <v>0</v>
      </c>
      <c r="PMN5">
        <f>Database!PNG29</f>
        <v>0</v>
      </c>
      <c r="PMO5">
        <f>Database!PNH29</f>
        <v>0</v>
      </c>
      <c r="PMP5">
        <f>Database!PNI29</f>
        <v>0</v>
      </c>
      <c r="PMQ5">
        <f>Database!PNJ29</f>
        <v>0</v>
      </c>
      <c r="PMR5">
        <f>Database!PNK29</f>
        <v>0</v>
      </c>
      <c r="PMS5">
        <f>Database!PNL29</f>
        <v>0</v>
      </c>
      <c r="PMT5">
        <f>Database!PNM29</f>
        <v>0</v>
      </c>
      <c r="PMU5">
        <f>Database!PNN29</f>
        <v>0</v>
      </c>
      <c r="PMV5">
        <f>Database!PNO29</f>
        <v>0</v>
      </c>
      <c r="PMW5">
        <f>Database!PNP29</f>
        <v>0</v>
      </c>
      <c r="PMX5">
        <f>Database!PNQ29</f>
        <v>0</v>
      </c>
      <c r="PMY5">
        <f>Database!PNR29</f>
        <v>0</v>
      </c>
      <c r="PMZ5">
        <f>Database!PNS29</f>
        <v>0</v>
      </c>
      <c r="PNA5">
        <f>Database!PNT29</f>
        <v>0</v>
      </c>
      <c r="PNB5">
        <f>Database!PNU29</f>
        <v>0</v>
      </c>
      <c r="PNC5">
        <f>Database!PNV29</f>
        <v>0</v>
      </c>
      <c r="PND5">
        <f>Database!PNW29</f>
        <v>0</v>
      </c>
      <c r="PNE5">
        <f>Database!PNX29</f>
        <v>0</v>
      </c>
      <c r="PNF5">
        <f>Database!PNY29</f>
        <v>0</v>
      </c>
      <c r="PNG5">
        <f>Database!PNZ29</f>
        <v>0</v>
      </c>
      <c r="PNH5">
        <f>Database!POA29</f>
        <v>0</v>
      </c>
      <c r="PNI5">
        <f>Database!POB29</f>
        <v>0</v>
      </c>
      <c r="PNJ5">
        <f>Database!POC29</f>
        <v>0</v>
      </c>
      <c r="PNK5">
        <f>Database!POD29</f>
        <v>0</v>
      </c>
      <c r="PNL5">
        <f>Database!POE29</f>
        <v>0</v>
      </c>
      <c r="PNM5">
        <f>Database!POF29</f>
        <v>0</v>
      </c>
      <c r="PNN5">
        <f>Database!POG29</f>
        <v>0</v>
      </c>
      <c r="PNO5">
        <f>Database!POH29</f>
        <v>0</v>
      </c>
      <c r="PNP5">
        <f>Database!POI29</f>
        <v>0</v>
      </c>
      <c r="PNQ5">
        <f>Database!POJ29</f>
        <v>0</v>
      </c>
      <c r="PNR5">
        <f>Database!POK29</f>
        <v>0</v>
      </c>
      <c r="PNS5">
        <f>Database!POL29</f>
        <v>0</v>
      </c>
      <c r="PNT5">
        <f>Database!POM29</f>
        <v>0</v>
      </c>
      <c r="PNU5">
        <f>Database!PON29</f>
        <v>0</v>
      </c>
      <c r="PNV5">
        <f>Database!POO29</f>
        <v>0</v>
      </c>
      <c r="PNW5">
        <f>Database!POP29</f>
        <v>0</v>
      </c>
      <c r="PNX5">
        <f>Database!POQ29</f>
        <v>0</v>
      </c>
      <c r="PNY5">
        <f>Database!POR29</f>
        <v>0</v>
      </c>
      <c r="PNZ5">
        <f>Database!POS29</f>
        <v>0</v>
      </c>
      <c r="POA5">
        <f>Database!POT29</f>
        <v>0</v>
      </c>
      <c r="POB5">
        <f>Database!POU29</f>
        <v>0</v>
      </c>
      <c r="POC5">
        <f>Database!POV29</f>
        <v>0</v>
      </c>
      <c r="POD5">
        <f>Database!POW29</f>
        <v>0</v>
      </c>
      <c r="POE5">
        <f>Database!POX29</f>
        <v>0</v>
      </c>
      <c r="POF5">
        <f>Database!POY29</f>
        <v>0</v>
      </c>
      <c r="POG5">
        <f>Database!POZ29</f>
        <v>0</v>
      </c>
      <c r="POH5">
        <f>Database!PPA29</f>
        <v>0</v>
      </c>
      <c r="POI5">
        <f>Database!PPB29</f>
        <v>0</v>
      </c>
      <c r="POJ5">
        <f>Database!PPC29</f>
        <v>0</v>
      </c>
      <c r="POK5">
        <f>Database!PPD29</f>
        <v>0</v>
      </c>
      <c r="POL5">
        <f>Database!PPE29</f>
        <v>0</v>
      </c>
      <c r="POM5">
        <f>Database!PPF29</f>
        <v>0</v>
      </c>
      <c r="PON5">
        <f>Database!PPG29</f>
        <v>0</v>
      </c>
      <c r="POO5">
        <f>Database!PPH29</f>
        <v>0</v>
      </c>
      <c r="POP5">
        <f>Database!PPI29</f>
        <v>0</v>
      </c>
      <c r="POQ5">
        <f>Database!PPJ29</f>
        <v>0</v>
      </c>
      <c r="POR5">
        <f>Database!PPK29</f>
        <v>0</v>
      </c>
      <c r="POS5">
        <f>Database!PPL29</f>
        <v>0</v>
      </c>
      <c r="POT5">
        <f>Database!PPM29</f>
        <v>0</v>
      </c>
      <c r="POU5">
        <f>Database!PPN29</f>
        <v>0</v>
      </c>
      <c r="POV5">
        <f>Database!PPO29</f>
        <v>0</v>
      </c>
      <c r="POW5">
        <f>Database!PPP29</f>
        <v>0</v>
      </c>
      <c r="POX5">
        <f>Database!PPQ29</f>
        <v>0</v>
      </c>
      <c r="POY5">
        <f>Database!PPR29</f>
        <v>0</v>
      </c>
      <c r="POZ5">
        <f>Database!PPS29</f>
        <v>0</v>
      </c>
      <c r="PPA5">
        <f>Database!PPT29</f>
        <v>0</v>
      </c>
      <c r="PPB5">
        <f>Database!PPU29</f>
        <v>0</v>
      </c>
      <c r="PPC5">
        <f>Database!PPV29</f>
        <v>0</v>
      </c>
      <c r="PPD5">
        <f>Database!PPW29</f>
        <v>0</v>
      </c>
      <c r="PPE5">
        <f>Database!PPX29</f>
        <v>0</v>
      </c>
      <c r="PPF5">
        <f>Database!PPY29</f>
        <v>0</v>
      </c>
      <c r="PPG5">
        <f>Database!PPZ29</f>
        <v>0</v>
      </c>
      <c r="PPH5">
        <f>Database!PQA29</f>
        <v>0</v>
      </c>
      <c r="PPI5">
        <f>Database!PQB29</f>
        <v>0</v>
      </c>
      <c r="PPJ5">
        <f>Database!PQC29</f>
        <v>0</v>
      </c>
      <c r="PPK5">
        <f>Database!PQD29</f>
        <v>0</v>
      </c>
      <c r="PPL5">
        <f>Database!PQE29</f>
        <v>0</v>
      </c>
      <c r="PPM5">
        <f>Database!PQF29</f>
        <v>0</v>
      </c>
      <c r="PPN5">
        <f>Database!PQG29</f>
        <v>0</v>
      </c>
      <c r="PPO5">
        <f>Database!PQH29</f>
        <v>0</v>
      </c>
      <c r="PPP5">
        <f>Database!PQI29</f>
        <v>0</v>
      </c>
      <c r="PPQ5">
        <f>Database!PQJ29</f>
        <v>0</v>
      </c>
      <c r="PPR5">
        <f>Database!PQK29</f>
        <v>0</v>
      </c>
      <c r="PPS5">
        <f>Database!PQL29</f>
        <v>0</v>
      </c>
      <c r="PPT5">
        <f>Database!PQM29</f>
        <v>0</v>
      </c>
      <c r="PPU5">
        <f>Database!PQN29</f>
        <v>0</v>
      </c>
      <c r="PPV5">
        <f>Database!PQO29</f>
        <v>0</v>
      </c>
      <c r="PPW5">
        <f>Database!PQP29</f>
        <v>0</v>
      </c>
      <c r="PPX5">
        <f>Database!PQQ29</f>
        <v>0</v>
      </c>
      <c r="PPY5">
        <f>Database!PQR29</f>
        <v>0</v>
      </c>
      <c r="PPZ5">
        <f>Database!PQS29</f>
        <v>0</v>
      </c>
      <c r="PQA5">
        <f>Database!PQT29</f>
        <v>0</v>
      </c>
      <c r="PQB5">
        <f>Database!PQU29</f>
        <v>0</v>
      </c>
      <c r="PQC5">
        <f>Database!PQV29</f>
        <v>0</v>
      </c>
      <c r="PQD5">
        <f>Database!PQW29</f>
        <v>0</v>
      </c>
      <c r="PQE5">
        <f>Database!PQX29</f>
        <v>0</v>
      </c>
      <c r="PQF5">
        <f>Database!PQY29</f>
        <v>0</v>
      </c>
      <c r="PQG5">
        <f>Database!PQZ29</f>
        <v>0</v>
      </c>
      <c r="PQH5">
        <f>Database!PRA29</f>
        <v>0</v>
      </c>
      <c r="PQI5">
        <f>Database!PRB29</f>
        <v>0</v>
      </c>
      <c r="PQJ5">
        <f>Database!PRC29</f>
        <v>0</v>
      </c>
      <c r="PQK5">
        <f>Database!PRD29</f>
        <v>0</v>
      </c>
      <c r="PQL5">
        <f>Database!PRE29</f>
        <v>0</v>
      </c>
      <c r="PQM5">
        <f>Database!PRF29</f>
        <v>0</v>
      </c>
      <c r="PQN5">
        <f>Database!PRG29</f>
        <v>0</v>
      </c>
      <c r="PQO5">
        <f>Database!PRH29</f>
        <v>0</v>
      </c>
      <c r="PQP5">
        <f>Database!PRI29</f>
        <v>0</v>
      </c>
      <c r="PQQ5">
        <f>Database!PRJ29</f>
        <v>0</v>
      </c>
      <c r="PQR5">
        <f>Database!PRK29</f>
        <v>0</v>
      </c>
      <c r="PQS5">
        <f>Database!PRL29</f>
        <v>0</v>
      </c>
      <c r="PQT5">
        <f>Database!PRM29</f>
        <v>0</v>
      </c>
      <c r="PQU5">
        <f>Database!PRN29</f>
        <v>0</v>
      </c>
      <c r="PQV5">
        <f>Database!PRO29</f>
        <v>0</v>
      </c>
      <c r="PQW5">
        <f>Database!PRP29</f>
        <v>0</v>
      </c>
      <c r="PQX5">
        <f>Database!PRQ29</f>
        <v>0</v>
      </c>
      <c r="PQY5">
        <f>Database!PRR29</f>
        <v>0</v>
      </c>
      <c r="PQZ5">
        <f>Database!PRS29</f>
        <v>0</v>
      </c>
      <c r="PRA5">
        <f>Database!PRT29</f>
        <v>0</v>
      </c>
      <c r="PRB5">
        <f>Database!PRU29</f>
        <v>0</v>
      </c>
      <c r="PRC5">
        <f>Database!PRV29</f>
        <v>0</v>
      </c>
      <c r="PRD5">
        <f>Database!PRW29</f>
        <v>0</v>
      </c>
      <c r="PRE5">
        <f>Database!PRX29</f>
        <v>0</v>
      </c>
      <c r="PRF5">
        <f>Database!PRY29</f>
        <v>0</v>
      </c>
      <c r="PRG5">
        <f>Database!PRZ29</f>
        <v>0</v>
      </c>
      <c r="PRH5">
        <f>Database!PSA29</f>
        <v>0</v>
      </c>
      <c r="PRI5">
        <f>Database!PSB29</f>
        <v>0</v>
      </c>
      <c r="PRJ5">
        <f>Database!PSC29</f>
        <v>0</v>
      </c>
      <c r="PRK5">
        <f>Database!PSD29</f>
        <v>0</v>
      </c>
      <c r="PRL5">
        <f>Database!PSE29</f>
        <v>0</v>
      </c>
      <c r="PRM5">
        <f>Database!PSF29</f>
        <v>0</v>
      </c>
      <c r="PRN5">
        <f>Database!PSG29</f>
        <v>0</v>
      </c>
      <c r="PRO5">
        <f>Database!PSH29</f>
        <v>0</v>
      </c>
      <c r="PRP5">
        <f>Database!PSI29</f>
        <v>0</v>
      </c>
      <c r="PRQ5">
        <f>Database!PSJ29</f>
        <v>0</v>
      </c>
      <c r="PRR5">
        <f>Database!PSK29</f>
        <v>0</v>
      </c>
      <c r="PRS5">
        <f>Database!PSL29</f>
        <v>0</v>
      </c>
      <c r="PRT5">
        <f>Database!PSM29</f>
        <v>0</v>
      </c>
      <c r="PRU5">
        <f>Database!PSN29</f>
        <v>0</v>
      </c>
      <c r="PRV5">
        <f>Database!PSO29</f>
        <v>0</v>
      </c>
      <c r="PRW5">
        <f>Database!PSP29</f>
        <v>0</v>
      </c>
      <c r="PRX5">
        <f>Database!PSQ29</f>
        <v>0</v>
      </c>
      <c r="PRY5">
        <f>Database!PSR29</f>
        <v>0</v>
      </c>
      <c r="PRZ5">
        <f>Database!PSS29</f>
        <v>0</v>
      </c>
      <c r="PSA5">
        <f>Database!PST29</f>
        <v>0</v>
      </c>
      <c r="PSB5">
        <f>Database!PSU29</f>
        <v>0</v>
      </c>
      <c r="PSC5">
        <f>Database!PSV29</f>
        <v>0</v>
      </c>
      <c r="PSD5">
        <f>Database!PSW29</f>
        <v>0</v>
      </c>
      <c r="PSE5">
        <f>Database!PSX29</f>
        <v>0</v>
      </c>
      <c r="PSF5">
        <f>Database!PSY29</f>
        <v>0</v>
      </c>
      <c r="PSG5">
        <f>Database!PSZ29</f>
        <v>0</v>
      </c>
      <c r="PSH5">
        <f>Database!PTA29</f>
        <v>0</v>
      </c>
      <c r="PSI5">
        <f>Database!PTB29</f>
        <v>0</v>
      </c>
      <c r="PSJ5">
        <f>Database!PTC29</f>
        <v>0</v>
      </c>
      <c r="PSK5">
        <f>Database!PTD29</f>
        <v>0</v>
      </c>
      <c r="PSL5">
        <f>Database!PTE29</f>
        <v>0</v>
      </c>
      <c r="PSM5">
        <f>Database!PTF29</f>
        <v>0</v>
      </c>
      <c r="PSN5">
        <f>Database!PTG29</f>
        <v>0</v>
      </c>
      <c r="PSO5">
        <f>Database!PTH29</f>
        <v>0</v>
      </c>
      <c r="PSP5">
        <f>Database!PTI29</f>
        <v>0</v>
      </c>
      <c r="PSQ5">
        <f>Database!PTJ29</f>
        <v>0</v>
      </c>
      <c r="PSR5">
        <f>Database!PTK29</f>
        <v>0</v>
      </c>
      <c r="PSS5">
        <f>Database!PTL29</f>
        <v>0</v>
      </c>
      <c r="PST5">
        <f>Database!PTM29</f>
        <v>0</v>
      </c>
      <c r="PSU5">
        <f>Database!PTN29</f>
        <v>0</v>
      </c>
      <c r="PSV5">
        <f>Database!PTO29</f>
        <v>0</v>
      </c>
      <c r="PSW5">
        <f>Database!PTP29</f>
        <v>0</v>
      </c>
      <c r="PSX5">
        <f>Database!PTQ29</f>
        <v>0</v>
      </c>
      <c r="PSY5">
        <f>Database!PTR29</f>
        <v>0</v>
      </c>
      <c r="PSZ5">
        <f>Database!PTS29</f>
        <v>0</v>
      </c>
      <c r="PTA5">
        <f>Database!PTT29</f>
        <v>0</v>
      </c>
      <c r="PTB5">
        <f>Database!PTU29</f>
        <v>0</v>
      </c>
      <c r="PTC5">
        <f>Database!PTV29</f>
        <v>0</v>
      </c>
      <c r="PTD5">
        <f>Database!PTW29</f>
        <v>0</v>
      </c>
      <c r="PTE5">
        <f>Database!PTX29</f>
        <v>0</v>
      </c>
      <c r="PTF5">
        <f>Database!PTY29</f>
        <v>0</v>
      </c>
      <c r="PTG5">
        <f>Database!PTZ29</f>
        <v>0</v>
      </c>
      <c r="PTH5">
        <f>Database!PUA29</f>
        <v>0</v>
      </c>
      <c r="PTI5">
        <f>Database!PUB29</f>
        <v>0</v>
      </c>
      <c r="PTJ5">
        <f>Database!PUC29</f>
        <v>0</v>
      </c>
      <c r="PTK5">
        <f>Database!PUD29</f>
        <v>0</v>
      </c>
      <c r="PTL5">
        <f>Database!PUE29</f>
        <v>0</v>
      </c>
      <c r="PTM5">
        <f>Database!PUF29</f>
        <v>0</v>
      </c>
      <c r="PTN5">
        <f>Database!PUG29</f>
        <v>0</v>
      </c>
      <c r="PTO5">
        <f>Database!PUH29</f>
        <v>0</v>
      </c>
      <c r="PTP5">
        <f>Database!PUI29</f>
        <v>0</v>
      </c>
      <c r="PTQ5">
        <f>Database!PUJ29</f>
        <v>0</v>
      </c>
      <c r="PTR5">
        <f>Database!PUK29</f>
        <v>0</v>
      </c>
      <c r="PTS5">
        <f>Database!PUL29</f>
        <v>0</v>
      </c>
      <c r="PTT5">
        <f>Database!PUM29</f>
        <v>0</v>
      </c>
      <c r="PTU5">
        <f>Database!PUN29</f>
        <v>0</v>
      </c>
      <c r="PTV5">
        <f>Database!PUO29</f>
        <v>0</v>
      </c>
      <c r="PTW5">
        <f>Database!PUP29</f>
        <v>0</v>
      </c>
      <c r="PTX5">
        <f>Database!PUQ29</f>
        <v>0</v>
      </c>
      <c r="PTY5">
        <f>Database!PUR29</f>
        <v>0</v>
      </c>
      <c r="PTZ5">
        <f>Database!PUS29</f>
        <v>0</v>
      </c>
      <c r="PUA5">
        <f>Database!PUT29</f>
        <v>0</v>
      </c>
      <c r="PUB5">
        <f>Database!PUU29</f>
        <v>0</v>
      </c>
      <c r="PUC5">
        <f>Database!PUV29</f>
        <v>0</v>
      </c>
      <c r="PUD5">
        <f>Database!PUW29</f>
        <v>0</v>
      </c>
      <c r="PUE5">
        <f>Database!PUX29</f>
        <v>0</v>
      </c>
      <c r="PUF5">
        <f>Database!PUY29</f>
        <v>0</v>
      </c>
      <c r="PUG5">
        <f>Database!PUZ29</f>
        <v>0</v>
      </c>
      <c r="PUH5">
        <f>Database!PVA29</f>
        <v>0</v>
      </c>
      <c r="PUI5">
        <f>Database!PVB29</f>
        <v>0</v>
      </c>
      <c r="PUJ5">
        <f>Database!PVC29</f>
        <v>0</v>
      </c>
      <c r="PUK5">
        <f>Database!PVD29</f>
        <v>0</v>
      </c>
      <c r="PUL5">
        <f>Database!PVE29</f>
        <v>0</v>
      </c>
      <c r="PUM5">
        <f>Database!PVF29</f>
        <v>0</v>
      </c>
      <c r="PUN5">
        <f>Database!PVG29</f>
        <v>0</v>
      </c>
      <c r="PUO5">
        <f>Database!PVH29</f>
        <v>0</v>
      </c>
      <c r="PUP5">
        <f>Database!PVI29</f>
        <v>0</v>
      </c>
      <c r="PUQ5">
        <f>Database!PVJ29</f>
        <v>0</v>
      </c>
      <c r="PUR5">
        <f>Database!PVK29</f>
        <v>0</v>
      </c>
      <c r="PUS5">
        <f>Database!PVL29</f>
        <v>0</v>
      </c>
      <c r="PUT5">
        <f>Database!PVM29</f>
        <v>0</v>
      </c>
      <c r="PUU5">
        <f>Database!PVN29</f>
        <v>0</v>
      </c>
      <c r="PUV5">
        <f>Database!PVO29</f>
        <v>0</v>
      </c>
      <c r="PUW5">
        <f>Database!PVP29</f>
        <v>0</v>
      </c>
      <c r="PUX5">
        <f>Database!PVQ29</f>
        <v>0</v>
      </c>
      <c r="PUY5">
        <f>Database!PVR29</f>
        <v>0</v>
      </c>
      <c r="PUZ5">
        <f>Database!PVS29</f>
        <v>0</v>
      </c>
      <c r="PVA5">
        <f>Database!PVT29</f>
        <v>0</v>
      </c>
      <c r="PVB5">
        <f>Database!PVU29</f>
        <v>0</v>
      </c>
      <c r="PVC5">
        <f>Database!PVV29</f>
        <v>0</v>
      </c>
      <c r="PVD5">
        <f>Database!PVW29</f>
        <v>0</v>
      </c>
      <c r="PVE5">
        <f>Database!PVX29</f>
        <v>0</v>
      </c>
      <c r="PVF5">
        <f>Database!PVY29</f>
        <v>0</v>
      </c>
      <c r="PVG5">
        <f>Database!PVZ29</f>
        <v>0</v>
      </c>
      <c r="PVH5">
        <f>Database!PWA29</f>
        <v>0</v>
      </c>
      <c r="PVI5">
        <f>Database!PWB29</f>
        <v>0</v>
      </c>
      <c r="PVJ5">
        <f>Database!PWC29</f>
        <v>0</v>
      </c>
      <c r="PVK5">
        <f>Database!PWD29</f>
        <v>0</v>
      </c>
      <c r="PVL5">
        <f>Database!PWE29</f>
        <v>0</v>
      </c>
      <c r="PVM5">
        <f>Database!PWF29</f>
        <v>0</v>
      </c>
      <c r="PVN5">
        <f>Database!PWG29</f>
        <v>0</v>
      </c>
      <c r="PVO5">
        <f>Database!PWH29</f>
        <v>0</v>
      </c>
      <c r="PVP5">
        <f>Database!PWI29</f>
        <v>0</v>
      </c>
      <c r="PVQ5">
        <f>Database!PWJ29</f>
        <v>0</v>
      </c>
      <c r="PVR5">
        <f>Database!PWK29</f>
        <v>0</v>
      </c>
      <c r="PVS5">
        <f>Database!PWL29</f>
        <v>0</v>
      </c>
      <c r="PVT5">
        <f>Database!PWM29</f>
        <v>0</v>
      </c>
      <c r="PVU5">
        <f>Database!PWN29</f>
        <v>0</v>
      </c>
      <c r="PVV5">
        <f>Database!PWO29</f>
        <v>0</v>
      </c>
      <c r="PVW5">
        <f>Database!PWP29</f>
        <v>0</v>
      </c>
      <c r="PVX5">
        <f>Database!PWQ29</f>
        <v>0</v>
      </c>
      <c r="PVY5">
        <f>Database!PWR29</f>
        <v>0</v>
      </c>
      <c r="PVZ5">
        <f>Database!PWS29</f>
        <v>0</v>
      </c>
      <c r="PWA5">
        <f>Database!PWT29</f>
        <v>0</v>
      </c>
      <c r="PWB5">
        <f>Database!PWU29</f>
        <v>0</v>
      </c>
      <c r="PWC5">
        <f>Database!PWV29</f>
        <v>0</v>
      </c>
      <c r="PWD5">
        <f>Database!PWW29</f>
        <v>0</v>
      </c>
      <c r="PWE5">
        <f>Database!PWX29</f>
        <v>0</v>
      </c>
      <c r="PWF5">
        <f>Database!PWY29</f>
        <v>0</v>
      </c>
      <c r="PWG5">
        <f>Database!PWZ29</f>
        <v>0</v>
      </c>
      <c r="PWH5">
        <f>Database!PXA29</f>
        <v>0</v>
      </c>
      <c r="PWI5">
        <f>Database!PXB29</f>
        <v>0</v>
      </c>
      <c r="PWJ5">
        <f>Database!PXC29</f>
        <v>0</v>
      </c>
      <c r="PWK5">
        <f>Database!PXD29</f>
        <v>0</v>
      </c>
      <c r="PWL5">
        <f>Database!PXE29</f>
        <v>0</v>
      </c>
      <c r="PWM5">
        <f>Database!PXF29</f>
        <v>0</v>
      </c>
      <c r="PWN5">
        <f>Database!PXG29</f>
        <v>0</v>
      </c>
      <c r="PWO5">
        <f>Database!PXH29</f>
        <v>0</v>
      </c>
      <c r="PWP5">
        <f>Database!PXI29</f>
        <v>0</v>
      </c>
      <c r="PWQ5">
        <f>Database!PXJ29</f>
        <v>0</v>
      </c>
      <c r="PWR5">
        <f>Database!PXK29</f>
        <v>0</v>
      </c>
      <c r="PWS5">
        <f>Database!PXL29</f>
        <v>0</v>
      </c>
      <c r="PWT5">
        <f>Database!PXM29</f>
        <v>0</v>
      </c>
      <c r="PWU5">
        <f>Database!PXN29</f>
        <v>0</v>
      </c>
      <c r="PWV5">
        <f>Database!PXO29</f>
        <v>0</v>
      </c>
      <c r="PWW5">
        <f>Database!PXP29</f>
        <v>0</v>
      </c>
      <c r="PWX5">
        <f>Database!PXQ29</f>
        <v>0</v>
      </c>
      <c r="PWY5">
        <f>Database!PXR29</f>
        <v>0</v>
      </c>
      <c r="PWZ5">
        <f>Database!PXS29</f>
        <v>0</v>
      </c>
      <c r="PXA5">
        <f>Database!PXT29</f>
        <v>0</v>
      </c>
      <c r="PXB5">
        <f>Database!PXU29</f>
        <v>0</v>
      </c>
      <c r="PXC5">
        <f>Database!PXV29</f>
        <v>0</v>
      </c>
      <c r="PXD5">
        <f>Database!PXW29</f>
        <v>0</v>
      </c>
      <c r="PXE5">
        <f>Database!PXX29</f>
        <v>0</v>
      </c>
      <c r="PXF5">
        <f>Database!PXY29</f>
        <v>0</v>
      </c>
      <c r="PXG5">
        <f>Database!PXZ29</f>
        <v>0</v>
      </c>
      <c r="PXH5">
        <f>Database!PYA29</f>
        <v>0</v>
      </c>
      <c r="PXI5">
        <f>Database!PYB29</f>
        <v>0</v>
      </c>
      <c r="PXJ5">
        <f>Database!PYC29</f>
        <v>0</v>
      </c>
      <c r="PXK5">
        <f>Database!PYD29</f>
        <v>0</v>
      </c>
      <c r="PXL5">
        <f>Database!PYE29</f>
        <v>0</v>
      </c>
      <c r="PXM5">
        <f>Database!PYF29</f>
        <v>0</v>
      </c>
      <c r="PXN5">
        <f>Database!PYG29</f>
        <v>0</v>
      </c>
      <c r="PXO5">
        <f>Database!PYH29</f>
        <v>0</v>
      </c>
      <c r="PXP5">
        <f>Database!PYI29</f>
        <v>0</v>
      </c>
      <c r="PXQ5">
        <f>Database!PYJ29</f>
        <v>0</v>
      </c>
      <c r="PXR5">
        <f>Database!PYK29</f>
        <v>0</v>
      </c>
      <c r="PXS5">
        <f>Database!PYL29</f>
        <v>0</v>
      </c>
      <c r="PXT5">
        <f>Database!PYM29</f>
        <v>0</v>
      </c>
      <c r="PXU5">
        <f>Database!PYN29</f>
        <v>0</v>
      </c>
      <c r="PXV5">
        <f>Database!PYO29</f>
        <v>0</v>
      </c>
      <c r="PXW5">
        <f>Database!PYP29</f>
        <v>0</v>
      </c>
      <c r="PXX5">
        <f>Database!PYQ29</f>
        <v>0</v>
      </c>
      <c r="PXY5">
        <f>Database!PYR29</f>
        <v>0</v>
      </c>
      <c r="PXZ5">
        <f>Database!PYS29</f>
        <v>0</v>
      </c>
      <c r="PYA5">
        <f>Database!PYT29</f>
        <v>0</v>
      </c>
      <c r="PYB5">
        <f>Database!PYU29</f>
        <v>0</v>
      </c>
      <c r="PYC5">
        <f>Database!PYV29</f>
        <v>0</v>
      </c>
      <c r="PYD5">
        <f>Database!PYW29</f>
        <v>0</v>
      </c>
      <c r="PYE5">
        <f>Database!PYX29</f>
        <v>0</v>
      </c>
      <c r="PYF5">
        <f>Database!PYY29</f>
        <v>0</v>
      </c>
      <c r="PYG5">
        <f>Database!PYZ29</f>
        <v>0</v>
      </c>
      <c r="PYH5">
        <f>Database!PZA29</f>
        <v>0</v>
      </c>
      <c r="PYI5">
        <f>Database!PZB29</f>
        <v>0</v>
      </c>
      <c r="PYJ5">
        <f>Database!PZC29</f>
        <v>0</v>
      </c>
      <c r="PYK5">
        <f>Database!PZD29</f>
        <v>0</v>
      </c>
      <c r="PYL5">
        <f>Database!PZE29</f>
        <v>0</v>
      </c>
      <c r="PYM5">
        <f>Database!PZF29</f>
        <v>0</v>
      </c>
      <c r="PYN5">
        <f>Database!PZG29</f>
        <v>0</v>
      </c>
      <c r="PYO5">
        <f>Database!PZH29</f>
        <v>0</v>
      </c>
      <c r="PYP5">
        <f>Database!PZI29</f>
        <v>0</v>
      </c>
      <c r="PYQ5">
        <f>Database!PZJ29</f>
        <v>0</v>
      </c>
      <c r="PYR5">
        <f>Database!PZK29</f>
        <v>0</v>
      </c>
      <c r="PYS5">
        <f>Database!PZL29</f>
        <v>0</v>
      </c>
      <c r="PYT5">
        <f>Database!PZM29</f>
        <v>0</v>
      </c>
      <c r="PYU5">
        <f>Database!PZN29</f>
        <v>0</v>
      </c>
      <c r="PYV5">
        <f>Database!PZO29</f>
        <v>0</v>
      </c>
      <c r="PYW5">
        <f>Database!PZP29</f>
        <v>0</v>
      </c>
      <c r="PYX5">
        <f>Database!PZQ29</f>
        <v>0</v>
      </c>
      <c r="PYY5">
        <f>Database!PZR29</f>
        <v>0</v>
      </c>
      <c r="PYZ5">
        <f>Database!PZS29</f>
        <v>0</v>
      </c>
      <c r="PZA5">
        <f>Database!PZT29</f>
        <v>0</v>
      </c>
      <c r="PZB5">
        <f>Database!PZU29</f>
        <v>0</v>
      </c>
      <c r="PZC5">
        <f>Database!PZV29</f>
        <v>0</v>
      </c>
      <c r="PZD5">
        <f>Database!PZW29</f>
        <v>0</v>
      </c>
      <c r="PZE5">
        <f>Database!PZX29</f>
        <v>0</v>
      </c>
      <c r="PZF5">
        <f>Database!PZY29</f>
        <v>0</v>
      </c>
      <c r="PZG5">
        <f>Database!PZZ29</f>
        <v>0</v>
      </c>
      <c r="PZH5">
        <f>Database!QAA29</f>
        <v>0</v>
      </c>
      <c r="PZI5">
        <f>Database!QAB29</f>
        <v>0</v>
      </c>
      <c r="PZJ5">
        <f>Database!QAC29</f>
        <v>0</v>
      </c>
      <c r="PZK5">
        <f>Database!QAD29</f>
        <v>0</v>
      </c>
      <c r="PZL5">
        <f>Database!QAE29</f>
        <v>0</v>
      </c>
      <c r="PZM5">
        <f>Database!QAF29</f>
        <v>0</v>
      </c>
      <c r="PZN5">
        <f>Database!QAG29</f>
        <v>0</v>
      </c>
      <c r="PZO5">
        <f>Database!QAH29</f>
        <v>0</v>
      </c>
      <c r="PZP5">
        <f>Database!QAI29</f>
        <v>0</v>
      </c>
      <c r="PZQ5">
        <f>Database!QAJ29</f>
        <v>0</v>
      </c>
      <c r="PZR5">
        <f>Database!QAK29</f>
        <v>0</v>
      </c>
      <c r="PZS5">
        <f>Database!QAL29</f>
        <v>0</v>
      </c>
      <c r="PZT5">
        <f>Database!QAM29</f>
        <v>0</v>
      </c>
      <c r="PZU5">
        <f>Database!QAN29</f>
        <v>0</v>
      </c>
      <c r="PZV5">
        <f>Database!QAO29</f>
        <v>0</v>
      </c>
      <c r="PZW5">
        <f>Database!QAP29</f>
        <v>0</v>
      </c>
      <c r="PZX5">
        <f>Database!QAQ29</f>
        <v>0</v>
      </c>
      <c r="PZY5">
        <f>Database!QAR29</f>
        <v>0</v>
      </c>
      <c r="PZZ5">
        <f>Database!QAS29</f>
        <v>0</v>
      </c>
      <c r="QAA5">
        <f>Database!QAT29</f>
        <v>0</v>
      </c>
      <c r="QAB5">
        <f>Database!QAU29</f>
        <v>0</v>
      </c>
      <c r="QAC5">
        <f>Database!QAV29</f>
        <v>0</v>
      </c>
      <c r="QAD5">
        <f>Database!QAW29</f>
        <v>0</v>
      </c>
      <c r="QAE5">
        <f>Database!QAX29</f>
        <v>0</v>
      </c>
      <c r="QAF5">
        <f>Database!QAY29</f>
        <v>0</v>
      </c>
      <c r="QAG5">
        <f>Database!QAZ29</f>
        <v>0</v>
      </c>
      <c r="QAH5">
        <f>Database!QBA29</f>
        <v>0</v>
      </c>
      <c r="QAI5">
        <f>Database!QBB29</f>
        <v>0</v>
      </c>
      <c r="QAJ5">
        <f>Database!QBC29</f>
        <v>0</v>
      </c>
      <c r="QAK5">
        <f>Database!QBD29</f>
        <v>0</v>
      </c>
      <c r="QAL5">
        <f>Database!QBE29</f>
        <v>0</v>
      </c>
      <c r="QAM5">
        <f>Database!QBF29</f>
        <v>0</v>
      </c>
      <c r="QAN5">
        <f>Database!QBG29</f>
        <v>0</v>
      </c>
      <c r="QAO5">
        <f>Database!QBH29</f>
        <v>0</v>
      </c>
      <c r="QAP5">
        <f>Database!QBI29</f>
        <v>0</v>
      </c>
      <c r="QAQ5">
        <f>Database!QBJ29</f>
        <v>0</v>
      </c>
      <c r="QAR5">
        <f>Database!QBK29</f>
        <v>0</v>
      </c>
      <c r="QAS5">
        <f>Database!QBL29</f>
        <v>0</v>
      </c>
      <c r="QAT5">
        <f>Database!QBM29</f>
        <v>0</v>
      </c>
      <c r="QAU5">
        <f>Database!QBN29</f>
        <v>0</v>
      </c>
      <c r="QAV5">
        <f>Database!QBO29</f>
        <v>0</v>
      </c>
      <c r="QAW5">
        <f>Database!QBP29</f>
        <v>0</v>
      </c>
      <c r="QAX5">
        <f>Database!QBQ29</f>
        <v>0</v>
      </c>
      <c r="QAY5">
        <f>Database!QBR29</f>
        <v>0</v>
      </c>
      <c r="QAZ5">
        <f>Database!QBS29</f>
        <v>0</v>
      </c>
      <c r="QBA5">
        <f>Database!QBT29</f>
        <v>0</v>
      </c>
      <c r="QBB5">
        <f>Database!QBU29</f>
        <v>0</v>
      </c>
      <c r="QBC5">
        <f>Database!QBV29</f>
        <v>0</v>
      </c>
      <c r="QBD5">
        <f>Database!QBW29</f>
        <v>0</v>
      </c>
      <c r="QBE5">
        <f>Database!QBX29</f>
        <v>0</v>
      </c>
      <c r="QBF5">
        <f>Database!QBY29</f>
        <v>0</v>
      </c>
      <c r="QBG5">
        <f>Database!QBZ29</f>
        <v>0</v>
      </c>
      <c r="QBH5">
        <f>Database!QCA29</f>
        <v>0</v>
      </c>
      <c r="QBI5">
        <f>Database!QCB29</f>
        <v>0</v>
      </c>
      <c r="QBJ5">
        <f>Database!QCC29</f>
        <v>0</v>
      </c>
      <c r="QBK5">
        <f>Database!QCD29</f>
        <v>0</v>
      </c>
      <c r="QBL5">
        <f>Database!QCE29</f>
        <v>0</v>
      </c>
      <c r="QBM5">
        <f>Database!QCF29</f>
        <v>0</v>
      </c>
      <c r="QBN5">
        <f>Database!QCG29</f>
        <v>0</v>
      </c>
      <c r="QBO5">
        <f>Database!QCH29</f>
        <v>0</v>
      </c>
      <c r="QBP5">
        <f>Database!QCI29</f>
        <v>0</v>
      </c>
      <c r="QBQ5">
        <f>Database!QCJ29</f>
        <v>0</v>
      </c>
      <c r="QBR5">
        <f>Database!QCK29</f>
        <v>0</v>
      </c>
      <c r="QBS5">
        <f>Database!QCL29</f>
        <v>0</v>
      </c>
      <c r="QBT5">
        <f>Database!QCM29</f>
        <v>0</v>
      </c>
      <c r="QBU5">
        <f>Database!QCN29</f>
        <v>0</v>
      </c>
      <c r="QBV5">
        <f>Database!QCO29</f>
        <v>0</v>
      </c>
      <c r="QBW5">
        <f>Database!QCP29</f>
        <v>0</v>
      </c>
      <c r="QBX5">
        <f>Database!QCQ29</f>
        <v>0</v>
      </c>
      <c r="QBY5">
        <f>Database!QCR29</f>
        <v>0</v>
      </c>
      <c r="QBZ5">
        <f>Database!QCS29</f>
        <v>0</v>
      </c>
      <c r="QCA5">
        <f>Database!QCT29</f>
        <v>0</v>
      </c>
      <c r="QCB5">
        <f>Database!QCU29</f>
        <v>0</v>
      </c>
      <c r="QCC5">
        <f>Database!QCV29</f>
        <v>0</v>
      </c>
      <c r="QCD5">
        <f>Database!QCW29</f>
        <v>0</v>
      </c>
      <c r="QCE5">
        <f>Database!QCX29</f>
        <v>0</v>
      </c>
      <c r="QCF5">
        <f>Database!QCY29</f>
        <v>0</v>
      </c>
      <c r="QCG5">
        <f>Database!QCZ29</f>
        <v>0</v>
      </c>
      <c r="QCH5">
        <f>Database!QDA29</f>
        <v>0</v>
      </c>
      <c r="QCI5">
        <f>Database!QDB29</f>
        <v>0</v>
      </c>
      <c r="QCJ5">
        <f>Database!QDC29</f>
        <v>0</v>
      </c>
      <c r="QCK5">
        <f>Database!QDD29</f>
        <v>0</v>
      </c>
      <c r="QCL5">
        <f>Database!QDE29</f>
        <v>0</v>
      </c>
      <c r="QCM5">
        <f>Database!QDF29</f>
        <v>0</v>
      </c>
      <c r="QCN5">
        <f>Database!QDG29</f>
        <v>0</v>
      </c>
      <c r="QCO5">
        <f>Database!QDH29</f>
        <v>0</v>
      </c>
      <c r="QCP5">
        <f>Database!QDI29</f>
        <v>0</v>
      </c>
      <c r="QCQ5">
        <f>Database!QDJ29</f>
        <v>0</v>
      </c>
      <c r="QCR5">
        <f>Database!QDK29</f>
        <v>0</v>
      </c>
      <c r="QCS5">
        <f>Database!QDL29</f>
        <v>0</v>
      </c>
      <c r="QCT5">
        <f>Database!QDM29</f>
        <v>0</v>
      </c>
      <c r="QCU5">
        <f>Database!QDN29</f>
        <v>0</v>
      </c>
      <c r="QCV5">
        <f>Database!QDO29</f>
        <v>0</v>
      </c>
      <c r="QCW5">
        <f>Database!QDP29</f>
        <v>0</v>
      </c>
      <c r="QCX5">
        <f>Database!QDQ29</f>
        <v>0</v>
      </c>
      <c r="QCY5">
        <f>Database!QDR29</f>
        <v>0</v>
      </c>
      <c r="QCZ5">
        <f>Database!QDS29</f>
        <v>0</v>
      </c>
      <c r="QDA5">
        <f>Database!QDT29</f>
        <v>0</v>
      </c>
      <c r="QDB5">
        <f>Database!QDU29</f>
        <v>0</v>
      </c>
      <c r="QDC5">
        <f>Database!QDV29</f>
        <v>0</v>
      </c>
      <c r="QDD5">
        <f>Database!QDW29</f>
        <v>0</v>
      </c>
      <c r="QDE5">
        <f>Database!QDX29</f>
        <v>0</v>
      </c>
      <c r="QDF5">
        <f>Database!QDY29</f>
        <v>0</v>
      </c>
      <c r="QDG5">
        <f>Database!QDZ29</f>
        <v>0</v>
      </c>
      <c r="QDH5">
        <f>Database!QEA29</f>
        <v>0</v>
      </c>
      <c r="QDI5">
        <f>Database!QEB29</f>
        <v>0</v>
      </c>
      <c r="QDJ5">
        <f>Database!QEC29</f>
        <v>0</v>
      </c>
      <c r="QDK5">
        <f>Database!QED29</f>
        <v>0</v>
      </c>
      <c r="QDL5">
        <f>Database!QEE29</f>
        <v>0</v>
      </c>
      <c r="QDM5">
        <f>Database!QEF29</f>
        <v>0</v>
      </c>
      <c r="QDN5">
        <f>Database!QEG29</f>
        <v>0</v>
      </c>
      <c r="QDO5">
        <f>Database!QEH29</f>
        <v>0</v>
      </c>
      <c r="QDP5">
        <f>Database!QEI29</f>
        <v>0</v>
      </c>
      <c r="QDQ5">
        <f>Database!QEJ29</f>
        <v>0</v>
      </c>
      <c r="QDR5">
        <f>Database!QEK29</f>
        <v>0</v>
      </c>
      <c r="QDS5">
        <f>Database!QEL29</f>
        <v>0</v>
      </c>
      <c r="QDT5">
        <f>Database!QEM29</f>
        <v>0</v>
      </c>
      <c r="QDU5">
        <f>Database!QEN29</f>
        <v>0</v>
      </c>
      <c r="QDV5">
        <f>Database!QEO29</f>
        <v>0</v>
      </c>
      <c r="QDW5">
        <f>Database!QEP29</f>
        <v>0</v>
      </c>
      <c r="QDX5">
        <f>Database!QEQ29</f>
        <v>0</v>
      </c>
      <c r="QDY5">
        <f>Database!QER29</f>
        <v>0</v>
      </c>
      <c r="QDZ5">
        <f>Database!QES29</f>
        <v>0</v>
      </c>
      <c r="QEA5">
        <f>Database!QET29</f>
        <v>0</v>
      </c>
      <c r="QEB5">
        <f>Database!QEU29</f>
        <v>0</v>
      </c>
      <c r="QEC5">
        <f>Database!QEV29</f>
        <v>0</v>
      </c>
      <c r="QED5">
        <f>Database!QEW29</f>
        <v>0</v>
      </c>
      <c r="QEE5">
        <f>Database!QEX29</f>
        <v>0</v>
      </c>
      <c r="QEF5">
        <f>Database!QEY29</f>
        <v>0</v>
      </c>
      <c r="QEG5">
        <f>Database!QEZ29</f>
        <v>0</v>
      </c>
      <c r="QEH5">
        <f>Database!QFA29</f>
        <v>0</v>
      </c>
      <c r="QEI5">
        <f>Database!QFB29</f>
        <v>0</v>
      </c>
      <c r="QEJ5">
        <f>Database!QFC29</f>
        <v>0</v>
      </c>
      <c r="QEK5">
        <f>Database!QFD29</f>
        <v>0</v>
      </c>
      <c r="QEL5">
        <f>Database!QFE29</f>
        <v>0</v>
      </c>
      <c r="QEM5">
        <f>Database!QFF29</f>
        <v>0</v>
      </c>
      <c r="QEN5">
        <f>Database!QFG29</f>
        <v>0</v>
      </c>
      <c r="QEO5">
        <f>Database!QFH29</f>
        <v>0</v>
      </c>
      <c r="QEP5">
        <f>Database!QFI29</f>
        <v>0</v>
      </c>
      <c r="QEQ5">
        <f>Database!QFJ29</f>
        <v>0</v>
      </c>
      <c r="QER5">
        <f>Database!QFK29</f>
        <v>0</v>
      </c>
      <c r="QES5">
        <f>Database!QFL29</f>
        <v>0</v>
      </c>
      <c r="QET5">
        <f>Database!QFM29</f>
        <v>0</v>
      </c>
      <c r="QEU5">
        <f>Database!QFN29</f>
        <v>0</v>
      </c>
      <c r="QEV5">
        <f>Database!QFO29</f>
        <v>0</v>
      </c>
      <c r="QEW5">
        <f>Database!QFP29</f>
        <v>0</v>
      </c>
      <c r="QEX5">
        <f>Database!QFQ29</f>
        <v>0</v>
      </c>
      <c r="QEY5">
        <f>Database!QFR29</f>
        <v>0</v>
      </c>
      <c r="QEZ5">
        <f>Database!QFS29</f>
        <v>0</v>
      </c>
      <c r="QFA5">
        <f>Database!QFT29</f>
        <v>0</v>
      </c>
      <c r="QFB5">
        <f>Database!QFU29</f>
        <v>0</v>
      </c>
      <c r="QFC5">
        <f>Database!QFV29</f>
        <v>0</v>
      </c>
      <c r="QFD5">
        <f>Database!QFW29</f>
        <v>0</v>
      </c>
      <c r="QFE5">
        <f>Database!QFX29</f>
        <v>0</v>
      </c>
      <c r="QFF5">
        <f>Database!QFY29</f>
        <v>0</v>
      </c>
      <c r="QFG5">
        <f>Database!QFZ29</f>
        <v>0</v>
      </c>
      <c r="QFH5">
        <f>Database!QGA29</f>
        <v>0</v>
      </c>
      <c r="QFI5">
        <f>Database!QGB29</f>
        <v>0</v>
      </c>
      <c r="QFJ5">
        <f>Database!QGC29</f>
        <v>0</v>
      </c>
      <c r="QFK5">
        <f>Database!QGD29</f>
        <v>0</v>
      </c>
      <c r="QFL5">
        <f>Database!QGE29</f>
        <v>0</v>
      </c>
      <c r="QFM5">
        <f>Database!QGF29</f>
        <v>0</v>
      </c>
      <c r="QFN5">
        <f>Database!QGG29</f>
        <v>0</v>
      </c>
      <c r="QFO5">
        <f>Database!QGH29</f>
        <v>0</v>
      </c>
      <c r="QFP5">
        <f>Database!QGI29</f>
        <v>0</v>
      </c>
      <c r="QFQ5">
        <f>Database!QGJ29</f>
        <v>0</v>
      </c>
      <c r="QFR5">
        <f>Database!QGK29</f>
        <v>0</v>
      </c>
      <c r="QFS5">
        <f>Database!QGL29</f>
        <v>0</v>
      </c>
      <c r="QFT5">
        <f>Database!QGM29</f>
        <v>0</v>
      </c>
      <c r="QFU5">
        <f>Database!QGN29</f>
        <v>0</v>
      </c>
      <c r="QFV5">
        <f>Database!QGO29</f>
        <v>0</v>
      </c>
      <c r="QFW5">
        <f>Database!QGP29</f>
        <v>0</v>
      </c>
      <c r="QFX5">
        <f>Database!QGQ29</f>
        <v>0</v>
      </c>
      <c r="QFY5">
        <f>Database!QGR29</f>
        <v>0</v>
      </c>
      <c r="QFZ5">
        <f>Database!QGS29</f>
        <v>0</v>
      </c>
      <c r="QGA5">
        <f>Database!QGT29</f>
        <v>0</v>
      </c>
      <c r="QGB5">
        <f>Database!QGU29</f>
        <v>0</v>
      </c>
      <c r="QGC5">
        <f>Database!QGV29</f>
        <v>0</v>
      </c>
      <c r="QGD5">
        <f>Database!QGW29</f>
        <v>0</v>
      </c>
      <c r="QGE5">
        <f>Database!QGX29</f>
        <v>0</v>
      </c>
      <c r="QGF5">
        <f>Database!QGY29</f>
        <v>0</v>
      </c>
      <c r="QGG5">
        <f>Database!QGZ29</f>
        <v>0</v>
      </c>
      <c r="QGH5">
        <f>Database!QHA29</f>
        <v>0</v>
      </c>
      <c r="QGI5">
        <f>Database!QHB29</f>
        <v>0</v>
      </c>
      <c r="QGJ5">
        <f>Database!QHC29</f>
        <v>0</v>
      </c>
      <c r="QGK5">
        <f>Database!QHD29</f>
        <v>0</v>
      </c>
      <c r="QGL5">
        <f>Database!QHE29</f>
        <v>0</v>
      </c>
      <c r="QGM5">
        <f>Database!QHF29</f>
        <v>0</v>
      </c>
      <c r="QGN5">
        <f>Database!QHG29</f>
        <v>0</v>
      </c>
      <c r="QGO5">
        <f>Database!QHH29</f>
        <v>0</v>
      </c>
      <c r="QGP5">
        <f>Database!QHI29</f>
        <v>0</v>
      </c>
      <c r="QGQ5">
        <f>Database!QHJ29</f>
        <v>0</v>
      </c>
      <c r="QGR5">
        <f>Database!QHK29</f>
        <v>0</v>
      </c>
      <c r="QGS5">
        <f>Database!QHL29</f>
        <v>0</v>
      </c>
      <c r="QGT5">
        <f>Database!QHM29</f>
        <v>0</v>
      </c>
      <c r="QGU5">
        <f>Database!QHN29</f>
        <v>0</v>
      </c>
      <c r="QGV5">
        <f>Database!QHO29</f>
        <v>0</v>
      </c>
      <c r="QGW5">
        <f>Database!QHP29</f>
        <v>0</v>
      </c>
      <c r="QGX5">
        <f>Database!QHQ29</f>
        <v>0</v>
      </c>
      <c r="QGY5">
        <f>Database!QHR29</f>
        <v>0</v>
      </c>
      <c r="QGZ5">
        <f>Database!QHS29</f>
        <v>0</v>
      </c>
      <c r="QHA5">
        <f>Database!QHT29</f>
        <v>0</v>
      </c>
      <c r="QHB5">
        <f>Database!QHU29</f>
        <v>0</v>
      </c>
      <c r="QHC5">
        <f>Database!QHV29</f>
        <v>0</v>
      </c>
      <c r="QHD5">
        <f>Database!QHW29</f>
        <v>0</v>
      </c>
      <c r="QHE5">
        <f>Database!QHX29</f>
        <v>0</v>
      </c>
      <c r="QHF5">
        <f>Database!QHY29</f>
        <v>0</v>
      </c>
      <c r="QHG5">
        <f>Database!QHZ29</f>
        <v>0</v>
      </c>
      <c r="QHH5">
        <f>Database!QIA29</f>
        <v>0</v>
      </c>
      <c r="QHI5">
        <f>Database!QIB29</f>
        <v>0</v>
      </c>
      <c r="QHJ5">
        <f>Database!QIC29</f>
        <v>0</v>
      </c>
      <c r="QHK5">
        <f>Database!QID29</f>
        <v>0</v>
      </c>
      <c r="QHL5">
        <f>Database!QIE29</f>
        <v>0</v>
      </c>
      <c r="QHM5">
        <f>Database!QIF29</f>
        <v>0</v>
      </c>
      <c r="QHN5">
        <f>Database!QIG29</f>
        <v>0</v>
      </c>
      <c r="QHO5">
        <f>Database!QIH29</f>
        <v>0</v>
      </c>
      <c r="QHP5">
        <f>Database!QII29</f>
        <v>0</v>
      </c>
      <c r="QHQ5">
        <f>Database!QIJ29</f>
        <v>0</v>
      </c>
      <c r="QHR5">
        <f>Database!QIK29</f>
        <v>0</v>
      </c>
      <c r="QHS5">
        <f>Database!QIL29</f>
        <v>0</v>
      </c>
      <c r="QHT5">
        <f>Database!QIM29</f>
        <v>0</v>
      </c>
      <c r="QHU5">
        <f>Database!QIN29</f>
        <v>0</v>
      </c>
      <c r="QHV5">
        <f>Database!QIO29</f>
        <v>0</v>
      </c>
      <c r="QHW5">
        <f>Database!QIP29</f>
        <v>0</v>
      </c>
      <c r="QHX5">
        <f>Database!QIQ29</f>
        <v>0</v>
      </c>
      <c r="QHY5">
        <f>Database!QIR29</f>
        <v>0</v>
      </c>
      <c r="QHZ5">
        <f>Database!QIS29</f>
        <v>0</v>
      </c>
      <c r="QIA5">
        <f>Database!QIT29</f>
        <v>0</v>
      </c>
      <c r="QIB5">
        <f>Database!QIU29</f>
        <v>0</v>
      </c>
      <c r="QIC5">
        <f>Database!QIV29</f>
        <v>0</v>
      </c>
      <c r="QID5">
        <f>Database!QIW29</f>
        <v>0</v>
      </c>
      <c r="QIE5">
        <f>Database!QIX29</f>
        <v>0</v>
      </c>
      <c r="QIF5">
        <f>Database!QIY29</f>
        <v>0</v>
      </c>
      <c r="QIG5">
        <f>Database!QIZ29</f>
        <v>0</v>
      </c>
      <c r="QIH5">
        <f>Database!QJA29</f>
        <v>0</v>
      </c>
      <c r="QII5">
        <f>Database!QJB29</f>
        <v>0</v>
      </c>
      <c r="QIJ5">
        <f>Database!QJC29</f>
        <v>0</v>
      </c>
      <c r="QIK5">
        <f>Database!QJD29</f>
        <v>0</v>
      </c>
      <c r="QIL5">
        <f>Database!QJE29</f>
        <v>0</v>
      </c>
      <c r="QIM5">
        <f>Database!QJF29</f>
        <v>0</v>
      </c>
      <c r="QIN5">
        <f>Database!QJG29</f>
        <v>0</v>
      </c>
      <c r="QIO5">
        <f>Database!QJH29</f>
        <v>0</v>
      </c>
      <c r="QIP5">
        <f>Database!QJI29</f>
        <v>0</v>
      </c>
      <c r="QIQ5">
        <f>Database!QJJ29</f>
        <v>0</v>
      </c>
      <c r="QIR5">
        <f>Database!QJK29</f>
        <v>0</v>
      </c>
      <c r="QIS5">
        <f>Database!QJL29</f>
        <v>0</v>
      </c>
      <c r="QIT5">
        <f>Database!QJM29</f>
        <v>0</v>
      </c>
      <c r="QIU5">
        <f>Database!QJN29</f>
        <v>0</v>
      </c>
      <c r="QIV5">
        <f>Database!QJO29</f>
        <v>0</v>
      </c>
      <c r="QIW5">
        <f>Database!QJP29</f>
        <v>0</v>
      </c>
      <c r="QIX5">
        <f>Database!QJQ29</f>
        <v>0</v>
      </c>
      <c r="QIY5">
        <f>Database!QJR29</f>
        <v>0</v>
      </c>
      <c r="QIZ5">
        <f>Database!QJS29</f>
        <v>0</v>
      </c>
      <c r="QJA5">
        <f>Database!QJT29</f>
        <v>0</v>
      </c>
      <c r="QJB5">
        <f>Database!QJU29</f>
        <v>0</v>
      </c>
      <c r="QJC5">
        <f>Database!QJV29</f>
        <v>0</v>
      </c>
      <c r="QJD5">
        <f>Database!QJW29</f>
        <v>0</v>
      </c>
      <c r="QJE5">
        <f>Database!QJX29</f>
        <v>0</v>
      </c>
      <c r="QJF5">
        <f>Database!QJY29</f>
        <v>0</v>
      </c>
      <c r="QJG5">
        <f>Database!QJZ29</f>
        <v>0</v>
      </c>
      <c r="QJH5">
        <f>Database!QKA29</f>
        <v>0</v>
      </c>
      <c r="QJI5">
        <f>Database!QKB29</f>
        <v>0</v>
      </c>
      <c r="QJJ5">
        <f>Database!QKC29</f>
        <v>0</v>
      </c>
      <c r="QJK5">
        <f>Database!QKD29</f>
        <v>0</v>
      </c>
      <c r="QJL5">
        <f>Database!QKE29</f>
        <v>0</v>
      </c>
      <c r="QJM5">
        <f>Database!QKF29</f>
        <v>0</v>
      </c>
      <c r="QJN5">
        <f>Database!QKG29</f>
        <v>0</v>
      </c>
      <c r="QJO5">
        <f>Database!QKH29</f>
        <v>0</v>
      </c>
      <c r="QJP5">
        <f>Database!QKI29</f>
        <v>0</v>
      </c>
      <c r="QJQ5">
        <f>Database!QKJ29</f>
        <v>0</v>
      </c>
      <c r="QJR5">
        <f>Database!QKK29</f>
        <v>0</v>
      </c>
      <c r="QJS5">
        <f>Database!QKL29</f>
        <v>0</v>
      </c>
      <c r="QJT5">
        <f>Database!QKM29</f>
        <v>0</v>
      </c>
      <c r="QJU5">
        <f>Database!QKN29</f>
        <v>0</v>
      </c>
      <c r="QJV5">
        <f>Database!QKO29</f>
        <v>0</v>
      </c>
      <c r="QJW5">
        <f>Database!QKP29</f>
        <v>0</v>
      </c>
      <c r="QJX5">
        <f>Database!QKQ29</f>
        <v>0</v>
      </c>
      <c r="QJY5">
        <f>Database!QKR29</f>
        <v>0</v>
      </c>
      <c r="QJZ5">
        <f>Database!QKS29</f>
        <v>0</v>
      </c>
      <c r="QKA5">
        <f>Database!QKT29</f>
        <v>0</v>
      </c>
      <c r="QKB5">
        <f>Database!QKU29</f>
        <v>0</v>
      </c>
      <c r="QKC5">
        <f>Database!QKV29</f>
        <v>0</v>
      </c>
      <c r="QKD5">
        <f>Database!QKW29</f>
        <v>0</v>
      </c>
      <c r="QKE5">
        <f>Database!QKX29</f>
        <v>0</v>
      </c>
      <c r="QKF5">
        <f>Database!QKY29</f>
        <v>0</v>
      </c>
      <c r="QKG5">
        <f>Database!QKZ29</f>
        <v>0</v>
      </c>
      <c r="QKH5">
        <f>Database!QLA29</f>
        <v>0</v>
      </c>
      <c r="QKI5">
        <f>Database!QLB29</f>
        <v>0</v>
      </c>
      <c r="QKJ5">
        <f>Database!QLC29</f>
        <v>0</v>
      </c>
      <c r="QKK5">
        <f>Database!QLD29</f>
        <v>0</v>
      </c>
      <c r="QKL5">
        <f>Database!QLE29</f>
        <v>0</v>
      </c>
      <c r="QKM5">
        <f>Database!QLF29</f>
        <v>0</v>
      </c>
      <c r="QKN5">
        <f>Database!QLG29</f>
        <v>0</v>
      </c>
      <c r="QKO5">
        <f>Database!QLH29</f>
        <v>0</v>
      </c>
      <c r="QKP5">
        <f>Database!QLI29</f>
        <v>0</v>
      </c>
      <c r="QKQ5">
        <f>Database!QLJ29</f>
        <v>0</v>
      </c>
      <c r="QKR5">
        <f>Database!QLK29</f>
        <v>0</v>
      </c>
      <c r="QKS5">
        <f>Database!QLL29</f>
        <v>0</v>
      </c>
      <c r="QKT5">
        <f>Database!QLM29</f>
        <v>0</v>
      </c>
      <c r="QKU5">
        <f>Database!QLN29</f>
        <v>0</v>
      </c>
      <c r="QKV5">
        <f>Database!QLO29</f>
        <v>0</v>
      </c>
      <c r="QKW5">
        <f>Database!QLP29</f>
        <v>0</v>
      </c>
      <c r="QKX5">
        <f>Database!QLQ29</f>
        <v>0</v>
      </c>
      <c r="QKY5">
        <f>Database!QLR29</f>
        <v>0</v>
      </c>
      <c r="QKZ5">
        <f>Database!QLS29</f>
        <v>0</v>
      </c>
      <c r="QLA5">
        <f>Database!QLT29</f>
        <v>0</v>
      </c>
      <c r="QLB5">
        <f>Database!QLU29</f>
        <v>0</v>
      </c>
      <c r="QLC5">
        <f>Database!QLV29</f>
        <v>0</v>
      </c>
      <c r="QLD5">
        <f>Database!QLW29</f>
        <v>0</v>
      </c>
      <c r="QLE5">
        <f>Database!QLX29</f>
        <v>0</v>
      </c>
      <c r="QLF5">
        <f>Database!QLY29</f>
        <v>0</v>
      </c>
      <c r="QLG5">
        <f>Database!QLZ29</f>
        <v>0</v>
      </c>
      <c r="QLH5">
        <f>Database!QMA29</f>
        <v>0</v>
      </c>
      <c r="QLI5">
        <f>Database!QMB29</f>
        <v>0</v>
      </c>
      <c r="QLJ5">
        <f>Database!QMC29</f>
        <v>0</v>
      </c>
      <c r="QLK5">
        <f>Database!QMD29</f>
        <v>0</v>
      </c>
      <c r="QLL5">
        <f>Database!QME29</f>
        <v>0</v>
      </c>
      <c r="QLM5">
        <f>Database!QMF29</f>
        <v>0</v>
      </c>
      <c r="QLN5">
        <f>Database!QMG29</f>
        <v>0</v>
      </c>
      <c r="QLO5">
        <f>Database!QMH29</f>
        <v>0</v>
      </c>
      <c r="QLP5">
        <f>Database!QMI29</f>
        <v>0</v>
      </c>
      <c r="QLQ5">
        <f>Database!QMJ29</f>
        <v>0</v>
      </c>
      <c r="QLR5">
        <f>Database!QMK29</f>
        <v>0</v>
      </c>
      <c r="QLS5">
        <f>Database!QML29</f>
        <v>0</v>
      </c>
      <c r="QLT5">
        <f>Database!QMM29</f>
        <v>0</v>
      </c>
      <c r="QLU5">
        <f>Database!QMN29</f>
        <v>0</v>
      </c>
      <c r="QLV5">
        <f>Database!QMO29</f>
        <v>0</v>
      </c>
      <c r="QLW5">
        <f>Database!QMP29</f>
        <v>0</v>
      </c>
      <c r="QLX5">
        <f>Database!QMQ29</f>
        <v>0</v>
      </c>
      <c r="QLY5">
        <f>Database!QMR29</f>
        <v>0</v>
      </c>
      <c r="QLZ5">
        <f>Database!QMS29</f>
        <v>0</v>
      </c>
      <c r="QMA5">
        <f>Database!QMT29</f>
        <v>0</v>
      </c>
      <c r="QMB5">
        <f>Database!QMU29</f>
        <v>0</v>
      </c>
      <c r="QMC5">
        <f>Database!QMV29</f>
        <v>0</v>
      </c>
      <c r="QMD5">
        <f>Database!QMW29</f>
        <v>0</v>
      </c>
      <c r="QME5">
        <f>Database!QMX29</f>
        <v>0</v>
      </c>
      <c r="QMF5">
        <f>Database!QMY29</f>
        <v>0</v>
      </c>
      <c r="QMG5">
        <f>Database!QMZ29</f>
        <v>0</v>
      </c>
      <c r="QMH5">
        <f>Database!QNA29</f>
        <v>0</v>
      </c>
      <c r="QMI5">
        <f>Database!QNB29</f>
        <v>0</v>
      </c>
      <c r="QMJ5">
        <f>Database!QNC29</f>
        <v>0</v>
      </c>
      <c r="QMK5">
        <f>Database!QND29</f>
        <v>0</v>
      </c>
      <c r="QML5">
        <f>Database!QNE29</f>
        <v>0</v>
      </c>
      <c r="QMM5">
        <f>Database!QNF29</f>
        <v>0</v>
      </c>
      <c r="QMN5">
        <f>Database!QNG29</f>
        <v>0</v>
      </c>
      <c r="QMO5">
        <f>Database!QNH29</f>
        <v>0</v>
      </c>
      <c r="QMP5">
        <f>Database!QNI29</f>
        <v>0</v>
      </c>
      <c r="QMQ5">
        <f>Database!QNJ29</f>
        <v>0</v>
      </c>
      <c r="QMR5">
        <f>Database!QNK29</f>
        <v>0</v>
      </c>
      <c r="QMS5">
        <f>Database!QNL29</f>
        <v>0</v>
      </c>
      <c r="QMT5">
        <f>Database!QNM29</f>
        <v>0</v>
      </c>
      <c r="QMU5">
        <f>Database!QNN29</f>
        <v>0</v>
      </c>
      <c r="QMV5">
        <f>Database!QNO29</f>
        <v>0</v>
      </c>
      <c r="QMW5">
        <f>Database!QNP29</f>
        <v>0</v>
      </c>
      <c r="QMX5">
        <f>Database!QNQ29</f>
        <v>0</v>
      </c>
      <c r="QMY5">
        <f>Database!QNR29</f>
        <v>0</v>
      </c>
      <c r="QMZ5">
        <f>Database!QNS29</f>
        <v>0</v>
      </c>
      <c r="QNA5">
        <f>Database!QNT29</f>
        <v>0</v>
      </c>
      <c r="QNB5">
        <f>Database!QNU29</f>
        <v>0</v>
      </c>
      <c r="QNC5">
        <f>Database!QNV29</f>
        <v>0</v>
      </c>
      <c r="QND5">
        <f>Database!QNW29</f>
        <v>0</v>
      </c>
      <c r="QNE5">
        <f>Database!QNX29</f>
        <v>0</v>
      </c>
      <c r="QNF5">
        <f>Database!QNY29</f>
        <v>0</v>
      </c>
      <c r="QNG5">
        <f>Database!QNZ29</f>
        <v>0</v>
      </c>
      <c r="QNH5">
        <f>Database!QOA29</f>
        <v>0</v>
      </c>
      <c r="QNI5">
        <f>Database!QOB29</f>
        <v>0</v>
      </c>
      <c r="QNJ5">
        <f>Database!QOC29</f>
        <v>0</v>
      </c>
      <c r="QNK5">
        <f>Database!QOD29</f>
        <v>0</v>
      </c>
      <c r="QNL5">
        <f>Database!QOE29</f>
        <v>0</v>
      </c>
      <c r="QNM5">
        <f>Database!QOF29</f>
        <v>0</v>
      </c>
      <c r="QNN5">
        <f>Database!QOG29</f>
        <v>0</v>
      </c>
      <c r="QNO5">
        <f>Database!QOH29</f>
        <v>0</v>
      </c>
      <c r="QNP5">
        <f>Database!QOI29</f>
        <v>0</v>
      </c>
      <c r="QNQ5">
        <f>Database!QOJ29</f>
        <v>0</v>
      </c>
      <c r="QNR5">
        <f>Database!QOK29</f>
        <v>0</v>
      </c>
      <c r="QNS5">
        <f>Database!QOL29</f>
        <v>0</v>
      </c>
      <c r="QNT5">
        <f>Database!QOM29</f>
        <v>0</v>
      </c>
      <c r="QNU5">
        <f>Database!QON29</f>
        <v>0</v>
      </c>
      <c r="QNV5">
        <f>Database!QOO29</f>
        <v>0</v>
      </c>
      <c r="QNW5">
        <f>Database!QOP29</f>
        <v>0</v>
      </c>
      <c r="QNX5">
        <f>Database!QOQ29</f>
        <v>0</v>
      </c>
      <c r="QNY5">
        <f>Database!QOR29</f>
        <v>0</v>
      </c>
      <c r="QNZ5">
        <f>Database!QOS29</f>
        <v>0</v>
      </c>
      <c r="QOA5">
        <f>Database!QOT29</f>
        <v>0</v>
      </c>
      <c r="QOB5">
        <f>Database!QOU29</f>
        <v>0</v>
      </c>
      <c r="QOC5">
        <f>Database!QOV29</f>
        <v>0</v>
      </c>
      <c r="QOD5">
        <f>Database!QOW29</f>
        <v>0</v>
      </c>
      <c r="QOE5">
        <f>Database!QOX29</f>
        <v>0</v>
      </c>
      <c r="QOF5">
        <f>Database!QOY29</f>
        <v>0</v>
      </c>
      <c r="QOG5">
        <f>Database!QOZ29</f>
        <v>0</v>
      </c>
      <c r="QOH5">
        <f>Database!QPA29</f>
        <v>0</v>
      </c>
      <c r="QOI5">
        <f>Database!QPB29</f>
        <v>0</v>
      </c>
      <c r="QOJ5">
        <f>Database!QPC29</f>
        <v>0</v>
      </c>
      <c r="QOK5">
        <f>Database!QPD29</f>
        <v>0</v>
      </c>
      <c r="QOL5">
        <f>Database!QPE29</f>
        <v>0</v>
      </c>
      <c r="QOM5">
        <f>Database!QPF29</f>
        <v>0</v>
      </c>
      <c r="QON5">
        <f>Database!QPG29</f>
        <v>0</v>
      </c>
      <c r="QOO5">
        <f>Database!QPH29</f>
        <v>0</v>
      </c>
      <c r="QOP5">
        <f>Database!QPI29</f>
        <v>0</v>
      </c>
      <c r="QOQ5">
        <f>Database!QPJ29</f>
        <v>0</v>
      </c>
      <c r="QOR5">
        <f>Database!QPK29</f>
        <v>0</v>
      </c>
      <c r="QOS5">
        <f>Database!QPL29</f>
        <v>0</v>
      </c>
      <c r="QOT5">
        <f>Database!QPM29</f>
        <v>0</v>
      </c>
      <c r="QOU5">
        <f>Database!QPN29</f>
        <v>0</v>
      </c>
      <c r="QOV5">
        <f>Database!QPO29</f>
        <v>0</v>
      </c>
      <c r="QOW5">
        <f>Database!QPP29</f>
        <v>0</v>
      </c>
      <c r="QOX5">
        <f>Database!QPQ29</f>
        <v>0</v>
      </c>
      <c r="QOY5">
        <f>Database!QPR29</f>
        <v>0</v>
      </c>
      <c r="QOZ5">
        <f>Database!QPS29</f>
        <v>0</v>
      </c>
      <c r="QPA5">
        <f>Database!QPT29</f>
        <v>0</v>
      </c>
      <c r="QPB5">
        <f>Database!QPU29</f>
        <v>0</v>
      </c>
      <c r="QPC5">
        <f>Database!QPV29</f>
        <v>0</v>
      </c>
      <c r="QPD5">
        <f>Database!QPW29</f>
        <v>0</v>
      </c>
      <c r="QPE5">
        <f>Database!QPX29</f>
        <v>0</v>
      </c>
      <c r="QPF5">
        <f>Database!QPY29</f>
        <v>0</v>
      </c>
      <c r="QPG5">
        <f>Database!QPZ29</f>
        <v>0</v>
      </c>
      <c r="QPH5">
        <f>Database!QQA29</f>
        <v>0</v>
      </c>
      <c r="QPI5">
        <f>Database!QQB29</f>
        <v>0</v>
      </c>
      <c r="QPJ5">
        <f>Database!QQC29</f>
        <v>0</v>
      </c>
      <c r="QPK5">
        <f>Database!QQD29</f>
        <v>0</v>
      </c>
      <c r="QPL5">
        <f>Database!QQE29</f>
        <v>0</v>
      </c>
      <c r="QPM5">
        <f>Database!QQF29</f>
        <v>0</v>
      </c>
      <c r="QPN5">
        <f>Database!QQG29</f>
        <v>0</v>
      </c>
      <c r="QPO5">
        <f>Database!QQH29</f>
        <v>0</v>
      </c>
      <c r="QPP5">
        <f>Database!QQI29</f>
        <v>0</v>
      </c>
      <c r="QPQ5">
        <f>Database!QQJ29</f>
        <v>0</v>
      </c>
      <c r="QPR5">
        <f>Database!QQK29</f>
        <v>0</v>
      </c>
      <c r="QPS5">
        <f>Database!QQL29</f>
        <v>0</v>
      </c>
      <c r="QPT5">
        <f>Database!QQM29</f>
        <v>0</v>
      </c>
      <c r="QPU5">
        <f>Database!QQN29</f>
        <v>0</v>
      </c>
      <c r="QPV5">
        <f>Database!QQO29</f>
        <v>0</v>
      </c>
      <c r="QPW5">
        <f>Database!QQP29</f>
        <v>0</v>
      </c>
      <c r="QPX5">
        <f>Database!QQQ29</f>
        <v>0</v>
      </c>
      <c r="QPY5">
        <f>Database!QQR29</f>
        <v>0</v>
      </c>
      <c r="QPZ5">
        <f>Database!QQS29</f>
        <v>0</v>
      </c>
      <c r="QQA5">
        <f>Database!QQT29</f>
        <v>0</v>
      </c>
      <c r="QQB5">
        <f>Database!QQU29</f>
        <v>0</v>
      </c>
      <c r="QQC5">
        <f>Database!QQV29</f>
        <v>0</v>
      </c>
      <c r="QQD5">
        <f>Database!QQW29</f>
        <v>0</v>
      </c>
      <c r="QQE5">
        <f>Database!QQX29</f>
        <v>0</v>
      </c>
      <c r="QQF5">
        <f>Database!QQY29</f>
        <v>0</v>
      </c>
      <c r="QQG5">
        <f>Database!QQZ29</f>
        <v>0</v>
      </c>
      <c r="QQH5">
        <f>Database!QRA29</f>
        <v>0</v>
      </c>
      <c r="QQI5">
        <f>Database!QRB29</f>
        <v>0</v>
      </c>
      <c r="QQJ5">
        <f>Database!QRC29</f>
        <v>0</v>
      </c>
      <c r="QQK5">
        <f>Database!QRD29</f>
        <v>0</v>
      </c>
      <c r="QQL5">
        <f>Database!QRE29</f>
        <v>0</v>
      </c>
      <c r="QQM5">
        <f>Database!QRF29</f>
        <v>0</v>
      </c>
      <c r="QQN5">
        <f>Database!QRG29</f>
        <v>0</v>
      </c>
      <c r="QQO5">
        <f>Database!QRH29</f>
        <v>0</v>
      </c>
      <c r="QQP5">
        <f>Database!QRI29</f>
        <v>0</v>
      </c>
      <c r="QQQ5">
        <f>Database!QRJ29</f>
        <v>0</v>
      </c>
      <c r="QQR5">
        <f>Database!QRK29</f>
        <v>0</v>
      </c>
      <c r="QQS5">
        <f>Database!QRL29</f>
        <v>0</v>
      </c>
      <c r="QQT5">
        <f>Database!QRM29</f>
        <v>0</v>
      </c>
      <c r="QQU5">
        <f>Database!QRN29</f>
        <v>0</v>
      </c>
      <c r="QQV5">
        <f>Database!QRO29</f>
        <v>0</v>
      </c>
      <c r="QQW5">
        <f>Database!QRP29</f>
        <v>0</v>
      </c>
      <c r="QQX5">
        <f>Database!QRQ29</f>
        <v>0</v>
      </c>
      <c r="QQY5">
        <f>Database!QRR29</f>
        <v>0</v>
      </c>
      <c r="QQZ5">
        <f>Database!QRS29</f>
        <v>0</v>
      </c>
      <c r="QRA5">
        <f>Database!QRT29</f>
        <v>0</v>
      </c>
      <c r="QRB5">
        <f>Database!QRU29</f>
        <v>0</v>
      </c>
      <c r="QRC5">
        <f>Database!QRV29</f>
        <v>0</v>
      </c>
      <c r="QRD5">
        <f>Database!QRW29</f>
        <v>0</v>
      </c>
      <c r="QRE5">
        <f>Database!QRX29</f>
        <v>0</v>
      </c>
      <c r="QRF5">
        <f>Database!QRY29</f>
        <v>0</v>
      </c>
      <c r="QRG5">
        <f>Database!QRZ29</f>
        <v>0</v>
      </c>
      <c r="QRH5">
        <f>Database!QSA29</f>
        <v>0</v>
      </c>
      <c r="QRI5">
        <f>Database!QSB29</f>
        <v>0</v>
      </c>
      <c r="QRJ5">
        <f>Database!QSC29</f>
        <v>0</v>
      </c>
      <c r="QRK5">
        <f>Database!QSD29</f>
        <v>0</v>
      </c>
      <c r="QRL5">
        <f>Database!QSE29</f>
        <v>0</v>
      </c>
      <c r="QRM5">
        <f>Database!QSF29</f>
        <v>0</v>
      </c>
      <c r="QRN5">
        <f>Database!QSG29</f>
        <v>0</v>
      </c>
      <c r="QRO5">
        <f>Database!QSH29</f>
        <v>0</v>
      </c>
      <c r="QRP5">
        <f>Database!QSI29</f>
        <v>0</v>
      </c>
      <c r="QRQ5">
        <f>Database!QSJ29</f>
        <v>0</v>
      </c>
      <c r="QRR5">
        <f>Database!QSK29</f>
        <v>0</v>
      </c>
      <c r="QRS5">
        <f>Database!QSL29</f>
        <v>0</v>
      </c>
      <c r="QRT5">
        <f>Database!QSM29</f>
        <v>0</v>
      </c>
      <c r="QRU5">
        <f>Database!QSN29</f>
        <v>0</v>
      </c>
      <c r="QRV5">
        <f>Database!QSO29</f>
        <v>0</v>
      </c>
      <c r="QRW5">
        <f>Database!QSP29</f>
        <v>0</v>
      </c>
      <c r="QRX5">
        <f>Database!QSQ29</f>
        <v>0</v>
      </c>
      <c r="QRY5">
        <f>Database!QSR29</f>
        <v>0</v>
      </c>
      <c r="QRZ5">
        <f>Database!QSS29</f>
        <v>0</v>
      </c>
      <c r="QSA5">
        <f>Database!QST29</f>
        <v>0</v>
      </c>
      <c r="QSB5">
        <f>Database!QSU29</f>
        <v>0</v>
      </c>
      <c r="QSC5">
        <f>Database!QSV29</f>
        <v>0</v>
      </c>
      <c r="QSD5">
        <f>Database!QSW29</f>
        <v>0</v>
      </c>
      <c r="QSE5">
        <f>Database!QSX29</f>
        <v>0</v>
      </c>
      <c r="QSF5">
        <f>Database!QSY29</f>
        <v>0</v>
      </c>
      <c r="QSG5">
        <f>Database!QSZ29</f>
        <v>0</v>
      </c>
      <c r="QSH5">
        <f>Database!QTA29</f>
        <v>0</v>
      </c>
      <c r="QSI5">
        <f>Database!QTB29</f>
        <v>0</v>
      </c>
      <c r="QSJ5">
        <f>Database!QTC29</f>
        <v>0</v>
      </c>
      <c r="QSK5">
        <f>Database!QTD29</f>
        <v>0</v>
      </c>
      <c r="QSL5">
        <f>Database!QTE29</f>
        <v>0</v>
      </c>
      <c r="QSM5">
        <f>Database!QTF29</f>
        <v>0</v>
      </c>
      <c r="QSN5">
        <f>Database!QTG29</f>
        <v>0</v>
      </c>
      <c r="QSO5">
        <f>Database!QTH29</f>
        <v>0</v>
      </c>
      <c r="QSP5">
        <f>Database!QTI29</f>
        <v>0</v>
      </c>
      <c r="QSQ5">
        <f>Database!QTJ29</f>
        <v>0</v>
      </c>
      <c r="QSR5">
        <f>Database!QTK29</f>
        <v>0</v>
      </c>
      <c r="QSS5">
        <f>Database!QTL29</f>
        <v>0</v>
      </c>
      <c r="QST5">
        <f>Database!QTM29</f>
        <v>0</v>
      </c>
      <c r="QSU5">
        <f>Database!QTN29</f>
        <v>0</v>
      </c>
      <c r="QSV5">
        <f>Database!QTO29</f>
        <v>0</v>
      </c>
      <c r="QSW5">
        <f>Database!QTP29</f>
        <v>0</v>
      </c>
      <c r="QSX5">
        <f>Database!QTQ29</f>
        <v>0</v>
      </c>
      <c r="QSY5">
        <f>Database!QTR29</f>
        <v>0</v>
      </c>
      <c r="QSZ5">
        <f>Database!QTS29</f>
        <v>0</v>
      </c>
      <c r="QTA5">
        <f>Database!QTT29</f>
        <v>0</v>
      </c>
      <c r="QTB5">
        <f>Database!QTU29</f>
        <v>0</v>
      </c>
      <c r="QTC5">
        <f>Database!QTV29</f>
        <v>0</v>
      </c>
      <c r="QTD5">
        <f>Database!QTW29</f>
        <v>0</v>
      </c>
      <c r="QTE5">
        <f>Database!QTX29</f>
        <v>0</v>
      </c>
      <c r="QTF5">
        <f>Database!QTY29</f>
        <v>0</v>
      </c>
      <c r="QTG5">
        <f>Database!QTZ29</f>
        <v>0</v>
      </c>
      <c r="QTH5">
        <f>Database!QUA29</f>
        <v>0</v>
      </c>
      <c r="QTI5">
        <f>Database!QUB29</f>
        <v>0</v>
      </c>
      <c r="QTJ5">
        <f>Database!QUC29</f>
        <v>0</v>
      </c>
      <c r="QTK5">
        <f>Database!QUD29</f>
        <v>0</v>
      </c>
      <c r="QTL5">
        <f>Database!QUE29</f>
        <v>0</v>
      </c>
      <c r="QTM5">
        <f>Database!QUF29</f>
        <v>0</v>
      </c>
      <c r="QTN5">
        <f>Database!QUG29</f>
        <v>0</v>
      </c>
      <c r="QTO5">
        <f>Database!QUH29</f>
        <v>0</v>
      </c>
      <c r="QTP5">
        <f>Database!QUI29</f>
        <v>0</v>
      </c>
      <c r="QTQ5">
        <f>Database!QUJ29</f>
        <v>0</v>
      </c>
      <c r="QTR5">
        <f>Database!QUK29</f>
        <v>0</v>
      </c>
      <c r="QTS5">
        <f>Database!QUL29</f>
        <v>0</v>
      </c>
      <c r="QTT5">
        <f>Database!QUM29</f>
        <v>0</v>
      </c>
      <c r="QTU5">
        <f>Database!QUN29</f>
        <v>0</v>
      </c>
      <c r="QTV5">
        <f>Database!QUO29</f>
        <v>0</v>
      </c>
      <c r="QTW5">
        <f>Database!QUP29</f>
        <v>0</v>
      </c>
      <c r="QTX5">
        <f>Database!QUQ29</f>
        <v>0</v>
      </c>
      <c r="QTY5">
        <f>Database!QUR29</f>
        <v>0</v>
      </c>
      <c r="QTZ5">
        <f>Database!QUS29</f>
        <v>0</v>
      </c>
      <c r="QUA5">
        <f>Database!QUT29</f>
        <v>0</v>
      </c>
      <c r="QUB5">
        <f>Database!QUU29</f>
        <v>0</v>
      </c>
      <c r="QUC5">
        <f>Database!QUV29</f>
        <v>0</v>
      </c>
      <c r="QUD5">
        <f>Database!QUW29</f>
        <v>0</v>
      </c>
      <c r="QUE5">
        <f>Database!QUX29</f>
        <v>0</v>
      </c>
      <c r="QUF5">
        <f>Database!QUY29</f>
        <v>0</v>
      </c>
      <c r="QUG5">
        <f>Database!QUZ29</f>
        <v>0</v>
      </c>
      <c r="QUH5">
        <f>Database!QVA29</f>
        <v>0</v>
      </c>
      <c r="QUI5">
        <f>Database!QVB29</f>
        <v>0</v>
      </c>
      <c r="QUJ5">
        <f>Database!QVC29</f>
        <v>0</v>
      </c>
      <c r="QUK5">
        <f>Database!QVD29</f>
        <v>0</v>
      </c>
      <c r="QUL5">
        <f>Database!QVE29</f>
        <v>0</v>
      </c>
      <c r="QUM5">
        <f>Database!QVF29</f>
        <v>0</v>
      </c>
      <c r="QUN5">
        <f>Database!QVG29</f>
        <v>0</v>
      </c>
      <c r="QUO5">
        <f>Database!QVH29</f>
        <v>0</v>
      </c>
      <c r="QUP5">
        <f>Database!QVI29</f>
        <v>0</v>
      </c>
      <c r="QUQ5">
        <f>Database!QVJ29</f>
        <v>0</v>
      </c>
      <c r="QUR5">
        <f>Database!QVK29</f>
        <v>0</v>
      </c>
      <c r="QUS5">
        <f>Database!QVL29</f>
        <v>0</v>
      </c>
      <c r="QUT5">
        <f>Database!QVM29</f>
        <v>0</v>
      </c>
      <c r="QUU5">
        <f>Database!QVN29</f>
        <v>0</v>
      </c>
      <c r="QUV5">
        <f>Database!QVO29</f>
        <v>0</v>
      </c>
      <c r="QUW5">
        <f>Database!QVP29</f>
        <v>0</v>
      </c>
      <c r="QUX5">
        <f>Database!QVQ29</f>
        <v>0</v>
      </c>
      <c r="QUY5">
        <f>Database!QVR29</f>
        <v>0</v>
      </c>
      <c r="QUZ5">
        <f>Database!QVS29</f>
        <v>0</v>
      </c>
      <c r="QVA5">
        <f>Database!QVT29</f>
        <v>0</v>
      </c>
      <c r="QVB5">
        <f>Database!QVU29</f>
        <v>0</v>
      </c>
      <c r="QVC5">
        <f>Database!QVV29</f>
        <v>0</v>
      </c>
      <c r="QVD5">
        <f>Database!QVW29</f>
        <v>0</v>
      </c>
      <c r="QVE5">
        <f>Database!QVX29</f>
        <v>0</v>
      </c>
      <c r="QVF5">
        <f>Database!QVY29</f>
        <v>0</v>
      </c>
      <c r="QVG5">
        <f>Database!QVZ29</f>
        <v>0</v>
      </c>
      <c r="QVH5">
        <f>Database!QWA29</f>
        <v>0</v>
      </c>
      <c r="QVI5">
        <f>Database!QWB29</f>
        <v>0</v>
      </c>
      <c r="QVJ5">
        <f>Database!QWC29</f>
        <v>0</v>
      </c>
      <c r="QVK5">
        <f>Database!QWD29</f>
        <v>0</v>
      </c>
      <c r="QVL5">
        <f>Database!QWE29</f>
        <v>0</v>
      </c>
      <c r="QVM5">
        <f>Database!QWF29</f>
        <v>0</v>
      </c>
      <c r="QVN5">
        <f>Database!QWG29</f>
        <v>0</v>
      </c>
      <c r="QVO5">
        <f>Database!QWH29</f>
        <v>0</v>
      </c>
      <c r="QVP5">
        <f>Database!QWI29</f>
        <v>0</v>
      </c>
      <c r="QVQ5">
        <f>Database!QWJ29</f>
        <v>0</v>
      </c>
      <c r="QVR5">
        <f>Database!QWK29</f>
        <v>0</v>
      </c>
      <c r="QVS5">
        <f>Database!QWL29</f>
        <v>0</v>
      </c>
      <c r="QVT5">
        <f>Database!QWM29</f>
        <v>0</v>
      </c>
      <c r="QVU5">
        <f>Database!QWN29</f>
        <v>0</v>
      </c>
      <c r="QVV5">
        <f>Database!QWO29</f>
        <v>0</v>
      </c>
      <c r="QVW5">
        <f>Database!QWP29</f>
        <v>0</v>
      </c>
      <c r="QVX5">
        <f>Database!QWQ29</f>
        <v>0</v>
      </c>
      <c r="QVY5">
        <f>Database!QWR29</f>
        <v>0</v>
      </c>
      <c r="QVZ5">
        <f>Database!QWS29</f>
        <v>0</v>
      </c>
      <c r="QWA5">
        <f>Database!QWT29</f>
        <v>0</v>
      </c>
      <c r="QWB5">
        <f>Database!QWU29</f>
        <v>0</v>
      </c>
      <c r="QWC5">
        <f>Database!QWV29</f>
        <v>0</v>
      </c>
      <c r="QWD5">
        <f>Database!QWW29</f>
        <v>0</v>
      </c>
      <c r="QWE5">
        <f>Database!QWX29</f>
        <v>0</v>
      </c>
      <c r="QWF5">
        <f>Database!QWY29</f>
        <v>0</v>
      </c>
      <c r="QWG5">
        <f>Database!QWZ29</f>
        <v>0</v>
      </c>
      <c r="QWH5">
        <f>Database!QXA29</f>
        <v>0</v>
      </c>
      <c r="QWI5">
        <f>Database!QXB29</f>
        <v>0</v>
      </c>
      <c r="QWJ5">
        <f>Database!QXC29</f>
        <v>0</v>
      </c>
      <c r="QWK5">
        <f>Database!QXD29</f>
        <v>0</v>
      </c>
      <c r="QWL5">
        <f>Database!QXE29</f>
        <v>0</v>
      </c>
      <c r="QWM5">
        <f>Database!QXF29</f>
        <v>0</v>
      </c>
      <c r="QWN5">
        <f>Database!QXG29</f>
        <v>0</v>
      </c>
      <c r="QWO5">
        <f>Database!QXH29</f>
        <v>0</v>
      </c>
      <c r="QWP5">
        <f>Database!QXI29</f>
        <v>0</v>
      </c>
      <c r="QWQ5">
        <f>Database!QXJ29</f>
        <v>0</v>
      </c>
      <c r="QWR5">
        <f>Database!QXK29</f>
        <v>0</v>
      </c>
      <c r="QWS5">
        <f>Database!QXL29</f>
        <v>0</v>
      </c>
      <c r="QWT5">
        <f>Database!QXM29</f>
        <v>0</v>
      </c>
      <c r="QWU5">
        <f>Database!QXN29</f>
        <v>0</v>
      </c>
      <c r="QWV5">
        <f>Database!QXO29</f>
        <v>0</v>
      </c>
      <c r="QWW5">
        <f>Database!QXP29</f>
        <v>0</v>
      </c>
      <c r="QWX5">
        <f>Database!QXQ29</f>
        <v>0</v>
      </c>
      <c r="QWY5">
        <f>Database!QXR29</f>
        <v>0</v>
      </c>
      <c r="QWZ5">
        <f>Database!QXS29</f>
        <v>0</v>
      </c>
      <c r="QXA5">
        <f>Database!QXT29</f>
        <v>0</v>
      </c>
      <c r="QXB5">
        <f>Database!QXU29</f>
        <v>0</v>
      </c>
      <c r="QXC5">
        <f>Database!QXV29</f>
        <v>0</v>
      </c>
      <c r="QXD5">
        <f>Database!QXW29</f>
        <v>0</v>
      </c>
      <c r="QXE5">
        <f>Database!QXX29</f>
        <v>0</v>
      </c>
      <c r="QXF5">
        <f>Database!QXY29</f>
        <v>0</v>
      </c>
      <c r="QXG5">
        <f>Database!QXZ29</f>
        <v>0</v>
      </c>
      <c r="QXH5">
        <f>Database!QYA29</f>
        <v>0</v>
      </c>
      <c r="QXI5">
        <f>Database!QYB29</f>
        <v>0</v>
      </c>
      <c r="QXJ5">
        <f>Database!QYC29</f>
        <v>0</v>
      </c>
      <c r="QXK5">
        <f>Database!QYD29</f>
        <v>0</v>
      </c>
      <c r="QXL5">
        <f>Database!QYE29</f>
        <v>0</v>
      </c>
      <c r="QXM5">
        <f>Database!QYF29</f>
        <v>0</v>
      </c>
      <c r="QXN5">
        <f>Database!QYG29</f>
        <v>0</v>
      </c>
      <c r="QXO5">
        <f>Database!QYH29</f>
        <v>0</v>
      </c>
      <c r="QXP5">
        <f>Database!QYI29</f>
        <v>0</v>
      </c>
      <c r="QXQ5">
        <f>Database!QYJ29</f>
        <v>0</v>
      </c>
      <c r="QXR5">
        <f>Database!QYK29</f>
        <v>0</v>
      </c>
      <c r="QXS5">
        <f>Database!QYL29</f>
        <v>0</v>
      </c>
      <c r="QXT5">
        <f>Database!QYM29</f>
        <v>0</v>
      </c>
      <c r="QXU5">
        <f>Database!QYN29</f>
        <v>0</v>
      </c>
      <c r="QXV5">
        <f>Database!QYO29</f>
        <v>0</v>
      </c>
      <c r="QXW5">
        <f>Database!QYP29</f>
        <v>0</v>
      </c>
      <c r="QXX5">
        <f>Database!QYQ29</f>
        <v>0</v>
      </c>
      <c r="QXY5">
        <f>Database!QYR29</f>
        <v>0</v>
      </c>
      <c r="QXZ5">
        <f>Database!QYS29</f>
        <v>0</v>
      </c>
      <c r="QYA5">
        <f>Database!QYT29</f>
        <v>0</v>
      </c>
      <c r="QYB5">
        <f>Database!QYU29</f>
        <v>0</v>
      </c>
      <c r="QYC5">
        <f>Database!QYV29</f>
        <v>0</v>
      </c>
      <c r="QYD5">
        <f>Database!QYW29</f>
        <v>0</v>
      </c>
      <c r="QYE5">
        <f>Database!QYX29</f>
        <v>0</v>
      </c>
      <c r="QYF5">
        <f>Database!QYY29</f>
        <v>0</v>
      </c>
      <c r="QYG5">
        <f>Database!QYZ29</f>
        <v>0</v>
      </c>
      <c r="QYH5">
        <f>Database!QZA29</f>
        <v>0</v>
      </c>
      <c r="QYI5">
        <f>Database!QZB29</f>
        <v>0</v>
      </c>
      <c r="QYJ5">
        <f>Database!QZC29</f>
        <v>0</v>
      </c>
      <c r="QYK5">
        <f>Database!QZD29</f>
        <v>0</v>
      </c>
      <c r="QYL5">
        <f>Database!QZE29</f>
        <v>0</v>
      </c>
      <c r="QYM5">
        <f>Database!QZF29</f>
        <v>0</v>
      </c>
      <c r="QYN5">
        <f>Database!QZG29</f>
        <v>0</v>
      </c>
      <c r="QYO5">
        <f>Database!QZH29</f>
        <v>0</v>
      </c>
      <c r="QYP5">
        <f>Database!QZI29</f>
        <v>0</v>
      </c>
      <c r="QYQ5">
        <f>Database!QZJ29</f>
        <v>0</v>
      </c>
      <c r="QYR5">
        <f>Database!QZK29</f>
        <v>0</v>
      </c>
      <c r="QYS5">
        <f>Database!QZL29</f>
        <v>0</v>
      </c>
      <c r="QYT5">
        <f>Database!QZM29</f>
        <v>0</v>
      </c>
      <c r="QYU5">
        <f>Database!QZN29</f>
        <v>0</v>
      </c>
      <c r="QYV5">
        <f>Database!QZO29</f>
        <v>0</v>
      </c>
      <c r="QYW5">
        <f>Database!QZP29</f>
        <v>0</v>
      </c>
      <c r="QYX5">
        <f>Database!QZQ29</f>
        <v>0</v>
      </c>
      <c r="QYY5">
        <f>Database!QZR29</f>
        <v>0</v>
      </c>
      <c r="QYZ5">
        <f>Database!QZS29</f>
        <v>0</v>
      </c>
      <c r="QZA5">
        <f>Database!QZT29</f>
        <v>0</v>
      </c>
      <c r="QZB5">
        <f>Database!QZU29</f>
        <v>0</v>
      </c>
      <c r="QZC5">
        <f>Database!QZV29</f>
        <v>0</v>
      </c>
      <c r="QZD5">
        <f>Database!QZW29</f>
        <v>0</v>
      </c>
      <c r="QZE5">
        <f>Database!QZX29</f>
        <v>0</v>
      </c>
      <c r="QZF5">
        <f>Database!QZY29</f>
        <v>0</v>
      </c>
      <c r="QZG5">
        <f>Database!QZZ29</f>
        <v>0</v>
      </c>
      <c r="QZH5">
        <f>Database!RAA29</f>
        <v>0</v>
      </c>
      <c r="QZI5">
        <f>Database!RAB29</f>
        <v>0</v>
      </c>
      <c r="QZJ5">
        <f>Database!RAC29</f>
        <v>0</v>
      </c>
      <c r="QZK5">
        <f>Database!RAD29</f>
        <v>0</v>
      </c>
      <c r="QZL5">
        <f>Database!RAE29</f>
        <v>0</v>
      </c>
      <c r="QZM5">
        <f>Database!RAF29</f>
        <v>0</v>
      </c>
      <c r="QZN5">
        <f>Database!RAG29</f>
        <v>0</v>
      </c>
      <c r="QZO5">
        <f>Database!RAH29</f>
        <v>0</v>
      </c>
      <c r="QZP5">
        <f>Database!RAI29</f>
        <v>0</v>
      </c>
      <c r="QZQ5">
        <f>Database!RAJ29</f>
        <v>0</v>
      </c>
      <c r="QZR5">
        <f>Database!RAK29</f>
        <v>0</v>
      </c>
      <c r="QZS5">
        <f>Database!RAL29</f>
        <v>0</v>
      </c>
      <c r="QZT5">
        <f>Database!RAM29</f>
        <v>0</v>
      </c>
      <c r="QZU5">
        <f>Database!RAN29</f>
        <v>0</v>
      </c>
      <c r="QZV5">
        <f>Database!RAO29</f>
        <v>0</v>
      </c>
      <c r="QZW5">
        <f>Database!RAP29</f>
        <v>0</v>
      </c>
      <c r="QZX5">
        <f>Database!RAQ29</f>
        <v>0</v>
      </c>
      <c r="QZY5">
        <f>Database!RAR29</f>
        <v>0</v>
      </c>
      <c r="QZZ5">
        <f>Database!RAS29</f>
        <v>0</v>
      </c>
      <c r="RAA5">
        <f>Database!RAT29</f>
        <v>0</v>
      </c>
      <c r="RAB5">
        <f>Database!RAU29</f>
        <v>0</v>
      </c>
      <c r="RAC5">
        <f>Database!RAV29</f>
        <v>0</v>
      </c>
      <c r="RAD5">
        <f>Database!RAW29</f>
        <v>0</v>
      </c>
      <c r="RAE5">
        <f>Database!RAX29</f>
        <v>0</v>
      </c>
      <c r="RAF5">
        <f>Database!RAY29</f>
        <v>0</v>
      </c>
      <c r="RAG5">
        <f>Database!RAZ29</f>
        <v>0</v>
      </c>
      <c r="RAH5">
        <f>Database!RBA29</f>
        <v>0</v>
      </c>
      <c r="RAI5">
        <f>Database!RBB29</f>
        <v>0</v>
      </c>
      <c r="RAJ5">
        <f>Database!RBC29</f>
        <v>0</v>
      </c>
      <c r="RAK5">
        <f>Database!RBD29</f>
        <v>0</v>
      </c>
      <c r="RAL5">
        <f>Database!RBE29</f>
        <v>0</v>
      </c>
      <c r="RAM5">
        <f>Database!RBF29</f>
        <v>0</v>
      </c>
      <c r="RAN5">
        <f>Database!RBG29</f>
        <v>0</v>
      </c>
      <c r="RAO5">
        <f>Database!RBH29</f>
        <v>0</v>
      </c>
      <c r="RAP5">
        <f>Database!RBI29</f>
        <v>0</v>
      </c>
      <c r="RAQ5">
        <f>Database!RBJ29</f>
        <v>0</v>
      </c>
      <c r="RAR5">
        <f>Database!RBK29</f>
        <v>0</v>
      </c>
      <c r="RAS5">
        <f>Database!RBL29</f>
        <v>0</v>
      </c>
      <c r="RAT5">
        <f>Database!RBM29</f>
        <v>0</v>
      </c>
      <c r="RAU5">
        <f>Database!RBN29</f>
        <v>0</v>
      </c>
      <c r="RAV5">
        <f>Database!RBO29</f>
        <v>0</v>
      </c>
      <c r="RAW5">
        <f>Database!RBP29</f>
        <v>0</v>
      </c>
      <c r="RAX5">
        <f>Database!RBQ29</f>
        <v>0</v>
      </c>
      <c r="RAY5">
        <f>Database!RBR29</f>
        <v>0</v>
      </c>
      <c r="RAZ5">
        <f>Database!RBS29</f>
        <v>0</v>
      </c>
      <c r="RBA5">
        <f>Database!RBT29</f>
        <v>0</v>
      </c>
      <c r="RBB5">
        <f>Database!RBU29</f>
        <v>0</v>
      </c>
      <c r="RBC5">
        <f>Database!RBV29</f>
        <v>0</v>
      </c>
      <c r="RBD5">
        <f>Database!RBW29</f>
        <v>0</v>
      </c>
      <c r="RBE5">
        <f>Database!RBX29</f>
        <v>0</v>
      </c>
      <c r="RBF5">
        <f>Database!RBY29</f>
        <v>0</v>
      </c>
      <c r="RBG5">
        <f>Database!RBZ29</f>
        <v>0</v>
      </c>
      <c r="RBH5">
        <f>Database!RCA29</f>
        <v>0</v>
      </c>
      <c r="RBI5">
        <f>Database!RCB29</f>
        <v>0</v>
      </c>
      <c r="RBJ5">
        <f>Database!RCC29</f>
        <v>0</v>
      </c>
      <c r="RBK5">
        <f>Database!RCD29</f>
        <v>0</v>
      </c>
      <c r="RBL5">
        <f>Database!RCE29</f>
        <v>0</v>
      </c>
      <c r="RBM5">
        <f>Database!RCF29</f>
        <v>0</v>
      </c>
      <c r="RBN5">
        <f>Database!RCG29</f>
        <v>0</v>
      </c>
      <c r="RBO5">
        <f>Database!RCH29</f>
        <v>0</v>
      </c>
      <c r="RBP5">
        <f>Database!RCI29</f>
        <v>0</v>
      </c>
      <c r="RBQ5">
        <f>Database!RCJ29</f>
        <v>0</v>
      </c>
      <c r="RBR5">
        <f>Database!RCK29</f>
        <v>0</v>
      </c>
      <c r="RBS5">
        <f>Database!RCL29</f>
        <v>0</v>
      </c>
      <c r="RBT5">
        <f>Database!RCM29</f>
        <v>0</v>
      </c>
      <c r="RBU5">
        <f>Database!RCN29</f>
        <v>0</v>
      </c>
      <c r="RBV5">
        <f>Database!RCO29</f>
        <v>0</v>
      </c>
      <c r="RBW5">
        <f>Database!RCP29</f>
        <v>0</v>
      </c>
      <c r="RBX5">
        <f>Database!RCQ29</f>
        <v>0</v>
      </c>
      <c r="RBY5">
        <f>Database!RCR29</f>
        <v>0</v>
      </c>
      <c r="RBZ5">
        <f>Database!RCS29</f>
        <v>0</v>
      </c>
      <c r="RCA5">
        <f>Database!RCT29</f>
        <v>0</v>
      </c>
      <c r="RCB5">
        <f>Database!RCU29</f>
        <v>0</v>
      </c>
      <c r="RCC5">
        <f>Database!RCV29</f>
        <v>0</v>
      </c>
      <c r="RCD5">
        <f>Database!RCW29</f>
        <v>0</v>
      </c>
      <c r="RCE5">
        <f>Database!RCX29</f>
        <v>0</v>
      </c>
      <c r="RCF5">
        <f>Database!RCY29</f>
        <v>0</v>
      </c>
      <c r="RCG5">
        <f>Database!RCZ29</f>
        <v>0</v>
      </c>
      <c r="RCH5">
        <f>Database!RDA29</f>
        <v>0</v>
      </c>
      <c r="RCI5">
        <f>Database!RDB29</f>
        <v>0</v>
      </c>
      <c r="RCJ5">
        <f>Database!RDC29</f>
        <v>0</v>
      </c>
      <c r="RCK5">
        <f>Database!RDD29</f>
        <v>0</v>
      </c>
      <c r="RCL5">
        <f>Database!RDE29</f>
        <v>0</v>
      </c>
      <c r="RCM5">
        <f>Database!RDF29</f>
        <v>0</v>
      </c>
      <c r="RCN5">
        <f>Database!RDG29</f>
        <v>0</v>
      </c>
      <c r="RCO5">
        <f>Database!RDH29</f>
        <v>0</v>
      </c>
      <c r="RCP5">
        <f>Database!RDI29</f>
        <v>0</v>
      </c>
      <c r="RCQ5">
        <f>Database!RDJ29</f>
        <v>0</v>
      </c>
      <c r="RCR5">
        <f>Database!RDK29</f>
        <v>0</v>
      </c>
      <c r="RCS5">
        <f>Database!RDL29</f>
        <v>0</v>
      </c>
      <c r="RCT5">
        <f>Database!RDM29</f>
        <v>0</v>
      </c>
      <c r="RCU5">
        <f>Database!RDN29</f>
        <v>0</v>
      </c>
      <c r="RCV5">
        <f>Database!RDO29</f>
        <v>0</v>
      </c>
      <c r="RCW5">
        <f>Database!RDP29</f>
        <v>0</v>
      </c>
      <c r="RCX5">
        <f>Database!RDQ29</f>
        <v>0</v>
      </c>
      <c r="RCY5">
        <f>Database!RDR29</f>
        <v>0</v>
      </c>
      <c r="RCZ5">
        <f>Database!RDS29</f>
        <v>0</v>
      </c>
      <c r="RDA5">
        <f>Database!RDT29</f>
        <v>0</v>
      </c>
      <c r="RDB5">
        <f>Database!RDU29</f>
        <v>0</v>
      </c>
      <c r="RDC5">
        <f>Database!RDV29</f>
        <v>0</v>
      </c>
      <c r="RDD5">
        <f>Database!RDW29</f>
        <v>0</v>
      </c>
      <c r="RDE5">
        <f>Database!RDX29</f>
        <v>0</v>
      </c>
      <c r="RDF5">
        <f>Database!RDY29</f>
        <v>0</v>
      </c>
      <c r="RDG5">
        <f>Database!RDZ29</f>
        <v>0</v>
      </c>
      <c r="RDH5">
        <f>Database!REA29</f>
        <v>0</v>
      </c>
      <c r="RDI5">
        <f>Database!REB29</f>
        <v>0</v>
      </c>
      <c r="RDJ5">
        <f>Database!REC29</f>
        <v>0</v>
      </c>
      <c r="RDK5">
        <f>Database!RED29</f>
        <v>0</v>
      </c>
      <c r="RDL5">
        <f>Database!REE29</f>
        <v>0</v>
      </c>
      <c r="RDM5">
        <f>Database!REF29</f>
        <v>0</v>
      </c>
      <c r="RDN5">
        <f>Database!REG29</f>
        <v>0</v>
      </c>
      <c r="RDO5">
        <f>Database!REH29</f>
        <v>0</v>
      </c>
      <c r="RDP5">
        <f>Database!REI29</f>
        <v>0</v>
      </c>
      <c r="RDQ5">
        <f>Database!REJ29</f>
        <v>0</v>
      </c>
      <c r="RDR5">
        <f>Database!REK29</f>
        <v>0</v>
      </c>
      <c r="RDS5">
        <f>Database!REL29</f>
        <v>0</v>
      </c>
      <c r="RDT5">
        <f>Database!REM29</f>
        <v>0</v>
      </c>
      <c r="RDU5">
        <f>Database!REN29</f>
        <v>0</v>
      </c>
      <c r="RDV5">
        <f>Database!REO29</f>
        <v>0</v>
      </c>
      <c r="RDW5">
        <f>Database!REP29</f>
        <v>0</v>
      </c>
      <c r="RDX5">
        <f>Database!REQ29</f>
        <v>0</v>
      </c>
      <c r="RDY5">
        <f>Database!RER29</f>
        <v>0</v>
      </c>
      <c r="RDZ5">
        <f>Database!RES29</f>
        <v>0</v>
      </c>
      <c r="REA5">
        <f>Database!RET29</f>
        <v>0</v>
      </c>
      <c r="REB5">
        <f>Database!REU29</f>
        <v>0</v>
      </c>
      <c r="REC5">
        <f>Database!REV29</f>
        <v>0</v>
      </c>
      <c r="RED5">
        <f>Database!REW29</f>
        <v>0</v>
      </c>
      <c r="REE5">
        <f>Database!REX29</f>
        <v>0</v>
      </c>
      <c r="REF5">
        <f>Database!REY29</f>
        <v>0</v>
      </c>
      <c r="REG5">
        <f>Database!REZ29</f>
        <v>0</v>
      </c>
      <c r="REH5">
        <f>Database!RFA29</f>
        <v>0</v>
      </c>
      <c r="REI5">
        <f>Database!RFB29</f>
        <v>0</v>
      </c>
      <c r="REJ5">
        <f>Database!RFC29</f>
        <v>0</v>
      </c>
      <c r="REK5">
        <f>Database!RFD29</f>
        <v>0</v>
      </c>
      <c r="REL5">
        <f>Database!RFE29</f>
        <v>0</v>
      </c>
      <c r="REM5">
        <f>Database!RFF29</f>
        <v>0</v>
      </c>
      <c r="REN5">
        <f>Database!RFG29</f>
        <v>0</v>
      </c>
      <c r="REO5">
        <f>Database!RFH29</f>
        <v>0</v>
      </c>
      <c r="REP5">
        <f>Database!RFI29</f>
        <v>0</v>
      </c>
      <c r="REQ5">
        <f>Database!RFJ29</f>
        <v>0</v>
      </c>
      <c r="RER5">
        <f>Database!RFK29</f>
        <v>0</v>
      </c>
      <c r="RES5">
        <f>Database!RFL29</f>
        <v>0</v>
      </c>
      <c r="RET5">
        <f>Database!RFM29</f>
        <v>0</v>
      </c>
      <c r="REU5">
        <f>Database!RFN29</f>
        <v>0</v>
      </c>
      <c r="REV5">
        <f>Database!RFO29</f>
        <v>0</v>
      </c>
      <c r="REW5">
        <f>Database!RFP29</f>
        <v>0</v>
      </c>
      <c r="REX5">
        <f>Database!RFQ29</f>
        <v>0</v>
      </c>
      <c r="REY5">
        <f>Database!RFR29</f>
        <v>0</v>
      </c>
      <c r="REZ5">
        <f>Database!RFS29</f>
        <v>0</v>
      </c>
      <c r="RFA5">
        <f>Database!RFT29</f>
        <v>0</v>
      </c>
      <c r="RFB5">
        <f>Database!RFU29</f>
        <v>0</v>
      </c>
      <c r="RFC5">
        <f>Database!RFV29</f>
        <v>0</v>
      </c>
      <c r="RFD5">
        <f>Database!RFW29</f>
        <v>0</v>
      </c>
      <c r="RFE5">
        <f>Database!RFX29</f>
        <v>0</v>
      </c>
      <c r="RFF5">
        <f>Database!RFY29</f>
        <v>0</v>
      </c>
      <c r="RFG5">
        <f>Database!RFZ29</f>
        <v>0</v>
      </c>
      <c r="RFH5">
        <f>Database!RGA29</f>
        <v>0</v>
      </c>
      <c r="RFI5">
        <f>Database!RGB29</f>
        <v>0</v>
      </c>
      <c r="RFJ5">
        <f>Database!RGC29</f>
        <v>0</v>
      </c>
      <c r="RFK5">
        <f>Database!RGD29</f>
        <v>0</v>
      </c>
      <c r="RFL5">
        <f>Database!RGE29</f>
        <v>0</v>
      </c>
      <c r="RFM5">
        <f>Database!RGF29</f>
        <v>0</v>
      </c>
      <c r="RFN5">
        <f>Database!RGG29</f>
        <v>0</v>
      </c>
      <c r="RFO5">
        <f>Database!RGH29</f>
        <v>0</v>
      </c>
      <c r="RFP5">
        <f>Database!RGI29</f>
        <v>0</v>
      </c>
      <c r="RFQ5">
        <f>Database!RGJ29</f>
        <v>0</v>
      </c>
      <c r="RFR5">
        <f>Database!RGK29</f>
        <v>0</v>
      </c>
      <c r="RFS5">
        <f>Database!RGL29</f>
        <v>0</v>
      </c>
      <c r="RFT5">
        <f>Database!RGM29</f>
        <v>0</v>
      </c>
      <c r="RFU5">
        <f>Database!RGN29</f>
        <v>0</v>
      </c>
      <c r="RFV5">
        <f>Database!RGO29</f>
        <v>0</v>
      </c>
      <c r="RFW5">
        <f>Database!RGP29</f>
        <v>0</v>
      </c>
      <c r="RFX5">
        <f>Database!RGQ29</f>
        <v>0</v>
      </c>
      <c r="RFY5">
        <f>Database!RGR29</f>
        <v>0</v>
      </c>
      <c r="RFZ5">
        <f>Database!RGS29</f>
        <v>0</v>
      </c>
      <c r="RGA5">
        <f>Database!RGT29</f>
        <v>0</v>
      </c>
      <c r="RGB5">
        <f>Database!RGU29</f>
        <v>0</v>
      </c>
      <c r="RGC5">
        <f>Database!RGV29</f>
        <v>0</v>
      </c>
      <c r="RGD5">
        <f>Database!RGW29</f>
        <v>0</v>
      </c>
      <c r="RGE5">
        <f>Database!RGX29</f>
        <v>0</v>
      </c>
      <c r="RGF5">
        <f>Database!RGY29</f>
        <v>0</v>
      </c>
      <c r="RGG5">
        <f>Database!RGZ29</f>
        <v>0</v>
      </c>
      <c r="RGH5">
        <f>Database!RHA29</f>
        <v>0</v>
      </c>
      <c r="RGI5">
        <f>Database!RHB29</f>
        <v>0</v>
      </c>
      <c r="RGJ5">
        <f>Database!RHC29</f>
        <v>0</v>
      </c>
      <c r="RGK5">
        <f>Database!RHD29</f>
        <v>0</v>
      </c>
      <c r="RGL5">
        <f>Database!RHE29</f>
        <v>0</v>
      </c>
      <c r="RGM5">
        <f>Database!RHF29</f>
        <v>0</v>
      </c>
      <c r="RGN5">
        <f>Database!RHG29</f>
        <v>0</v>
      </c>
      <c r="RGO5">
        <f>Database!RHH29</f>
        <v>0</v>
      </c>
      <c r="RGP5">
        <f>Database!RHI29</f>
        <v>0</v>
      </c>
      <c r="RGQ5">
        <f>Database!RHJ29</f>
        <v>0</v>
      </c>
      <c r="RGR5">
        <f>Database!RHK29</f>
        <v>0</v>
      </c>
      <c r="RGS5">
        <f>Database!RHL29</f>
        <v>0</v>
      </c>
      <c r="RGT5">
        <f>Database!RHM29</f>
        <v>0</v>
      </c>
      <c r="RGU5">
        <f>Database!RHN29</f>
        <v>0</v>
      </c>
      <c r="RGV5">
        <f>Database!RHO29</f>
        <v>0</v>
      </c>
      <c r="RGW5">
        <f>Database!RHP29</f>
        <v>0</v>
      </c>
      <c r="RGX5">
        <f>Database!RHQ29</f>
        <v>0</v>
      </c>
      <c r="RGY5">
        <f>Database!RHR29</f>
        <v>0</v>
      </c>
      <c r="RGZ5">
        <f>Database!RHS29</f>
        <v>0</v>
      </c>
      <c r="RHA5">
        <f>Database!RHT29</f>
        <v>0</v>
      </c>
      <c r="RHB5">
        <f>Database!RHU29</f>
        <v>0</v>
      </c>
      <c r="RHC5">
        <f>Database!RHV29</f>
        <v>0</v>
      </c>
      <c r="RHD5">
        <f>Database!RHW29</f>
        <v>0</v>
      </c>
      <c r="RHE5">
        <f>Database!RHX29</f>
        <v>0</v>
      </c>
      <c r="RHF5">
        <f>Database!RHY29</f>
        <v>0</v>
      </c>
      <c r="RHG5">
        <f>Database!RHZ29</f>
        <v>0</v>
      </c>
      <c r="RHH5">
        <f>Database!RIA29</f>
        <v>0</v>
      </c>
      <c r="RHI5">
        <f>Database!RIB29</f>
        <v>0</v>
      </c>
      <c r="RHJ5">
        <f>Database!RIC29</f>
        <v>0</v>
      </c>
      <c r="RHK5">
        <f>Database!RID29</f>
        <v>0</v>
      </c>
      <c r="RHL5">
        <f>Database!RIE29</f>
        <v>0</v>
      </c>
      <c r="RHM5">
        <f>Database!RIF29</f>
        <v>0</v>
      </c>
      <c r="RHN5">
        <f>Database!RIG29</f>
        <v>0</v>
      </c>
      <c r="RHO5">
        <f>Database!RIH29</f>
        <v>0</v>
      </c>
      <c r="RHP5">
        <f>Database!RII29</f>
        <v>0</v>
      </c>
      <c r="RHQ5">
        <f>Database!RIJ29</f>
        <v>0</v>
      </c>
      <c r="RHR5">
        <f>Database!RIK29</f>
        <v>0</v>
      </c>
      <c r="RHS5">
        <f>Database!RIL29</f>
        <v>0</v>
      </c>
      <c r="RHT5">
        <f>Database!RIM29</f>
        <v>0</v>
      </c>
      <c r="RHU5">
        <f>Database!RIN29</f>
        <v>0</v>
      </c>
      <c r="RHV5">
        <f>Database!RIO29</f>
        <v>0</v>
      </c>
      <c r="RHW5">
        <f>Database!RIP29</f>
        <v>0</v>
      </c>
      <c r="RHX5">
        <f>Database!RIQ29</f>
        <v>0</v>
      </c>
      <c r="RHY5">
        <f>Database!RIR29</f>
        <v>0</v>
      </c>
      <c r="RHZ5">
        <f>Database!RIS29</f>
        <v>0</v>
      </c>
      <c r="RIA5">
        <f>Database!RIT29</f>
        <v>0</v>
      </c>
      <c r="RIB5">
        <f>Database!RIU29</f>
        <v>0</v>
      </c>
      <c r="RIC5">
        <f>Database!RIV29</f>
        <v>0</v>
      </c>
      <c r="RID5">
        <f>Database!RIW29</f>
        <v>0</v>
      </c>
      <c r="RIE5">
        <f>Database!RIX29</f>
        <v>0</v>
      </c>
      <c r="RIF5">
        <f>Database!RIY29</f>
        <v>0</v>
      </c>
      <c r="RIG5">
        <f>Database!RIZ29</f>
        <v>0</v>
      </c>
      <c r="RIH5">
        <f>Database!RJA29</f>
        <v>0</v>
      </c>
      <c r="RII5">
        <f>Database!RJB29</f>
        <v>0</v>
      </c>
      <c r="RIJ5">
        <f>Database!RJC29</f>
        <v>0</v>
      </c>
      <c r="RIK5">
        <f>Database!RJD29</f>
        <v>0</v>
      </c>
      <c r="RIL5">
        <f>Database!RJE29</f>
        <v>0</v>
      </c>
      <c r="RIM5">
        <f>Database!RJF29</f>
        <v>0</v>
      </c>
      <c r="RIN5">
        <f>Database!RJG29</f>
        <v>0</v>
      </c>
      <c r="RIO5">
        <f>Database!RJH29</f>
        <v>0</v>
      </c>
      <c r="RIP5">
        <f>Database!RJI29</f>
        <v>0</v>
      </c>
      <c r="RIQ5">
        <f>Database!RJJ29</f>
        <v>0</v>
      </c>
      <c r="RIR5">
        <f>Database!RJK29</f>
        <v>0</v>
      </c>
      <c r="RIS5">
        <f>Database!RJL29</f>
        <v>0</v>
      </c>
      <c r="RIT5">
        <f>Database!RJM29</f>
        <v>0</v>
      </c>
      <c r="RIU5">
        <f>Database!RJN29</f>
        <v>0</v>
      </c>
      <c r="RIV5">
        <f>Database!RJO29</f>
        <v>0</v>
      </c>
      <c r="RIW5">
        <f>Database!RJP29</f>
        <v>0</v>
      </c>
      <c r="RIX5">
        <f>Database!RJQ29</f>
        <v>0</v>
      </c>
      <c r="RIY5">
        <f>Database!RJR29</f>
        <v>0</v>
      </c>
      <c r="RIZ5">
        <f>Database!RJS29</f>
        <v>0</v>
      </c>
      <c r="RJA5">
        <f>Database!RJT29</f>
        <v>0</v>
      </c>
      <c r="RJB5">
        <f>Database!RJU29</f>
        <v>0</v>
      </c>
      <c r="RJC5">
        <f>Database!RJV29</f>
        <v>0</v>
      </c>
      <c r="RJD5">
        <f>Database!RJW29</f>
        <v>0</v>
      </c>
      <c r="RJE5">
        <f>Database!RJX29</f>
        <v>0</v>
      </c>
      <c r="RJF5">
        <f>Database!RJY29</f>
        <v>0</v>
      </c>
      <c r="RJG5">
        <f>Database!RJZ29</f>
        <v>0</v>
      </c>
      <c r="RJH5">
        <f>Database!RKA29</f>
        <v>0</v>
      </c>
      <c r="RJI5">
        <f>Database!RKB29</f>
        <v>0</v>
      </c>
      <c r="RJJ5">
        <f>Database!RKC29</f>
        <v>0</v>
      </c>
      <c r="RJK5">
        <f>Database!RKD29</f>
        <v>0</v>
      </c>
      <c r="RJL5">
        <f>Database!RKE29</f>
        <v>0</v>
      </c>
      <c r="RJM5">
        <f>Database!RKF29</f>
        <v>0</v>
      </c>
      <c r="RJN5">
        <f>Database!RKG29</f>
        <v>0</v>
      </c>
      <c r="RJO5">
        <f>Database!RKH29</f>
        <v>0</v>
      </c>
      <c r="RJP5">
        <f>Database!RKI29</f>
        <v>0</v>
      </c>
      <c r="RJQ5">
        <f>Database!RKJ29</f>
        <v>0</v>
      </c>
      <c r="RJR5">
        <f>Database!RKK29</f>
        <v>0</v>
      </c>
      <c r="RJS5">
        <f>Database!RKL29</f>
        <v>0</v>
      </c>
      <c r="RJT5">
        <f>Database!RKM29</f>
        <v>0</v>
      </c>
      <c r="RJU5">
        <f>Database!RKN29</f>
        <v>0</v>
      </c>
      <c r="RJV5">
        <f>Database!RKO29</f>
        <v>0</v>
      </c>
      <c r="RJW5">
        <f>Database!RKP29</f>
        <v>0</v>
      </c>
      <c r="RJX5">
        <f>Database!RKQ29</f>
        <v>0</v>
      </c>
      <c r="RJY5">
        <f>Database!RKR29</f>
        <v>0</v>
      </c>
      <c r="RJZ5">
        <f>Database!RKS29</f>
        <v>0</v>
      </c>
      <c r="RKA5">
        <f>Database!RKT29</f>
        <v>0</v>
      </c>
      <c r="RKB5">
        <f>Database!RKU29</f>
        <v>0</v>
      </c>
      <c r="RKC5">
        <f>Database!RKV29</f>
        <v>0</v>
      </c>
      <c r="RKD5">
        <f>Database!RKW29</f>
        <v>0</v>
      </c>
      <c r="RKE5">
        <f>Database!RKX29</f>
        <v>0</v>
      </c>
      <c r="RKF5">
        <f>Database!RKY29</f>
        <v>0</v>
      </c>
      <c r="RKG5">
        <f>Database!RKZ29</f>
        <v>0</v>
      </c>
      <c r="RKH5">
        <f>Database!RLA29</f>
        <v>0</v>
      </c>
      <c r="RKI5">
        <f>Database!RLB29</f>
        <v>0</v>
      </c>
      <c r="RKJ5">
        <f>Database!RLC29</f>
        <v>0</v>
      </c>
      <c r="RKK5">
        <f>Database!RLD29</f>
        <v>0</v>
      </c>
      <c r="RKL5">
        <f>Database!RLE29</f>
        <v>0</v>
      </c>
      <c r="RKM5">
        <f>Database!RLF29</f>
        <v>0</v>
      </c>
      <c r="RKN5">
        <f>Database!RLG29</f>
        <v>0</v>
      </c>
      <c r="RKO5">
        <f>Database!RLH29</f>
        <v>0</v>
      </c>
      <c r="RKP5">
        <f>Database!RLI29</f>
        <v>0</v>
      </c>
      <c r="RKQ5">
        <f>Database!RLJ29</f>
        <v>0</v>
      </c>
      <c r="RKR5">
        <f>Database!RLK29</f>
        <v>0</v>
      </c>
      <c r="RKS5">
        <f>Database!RLL29</f>
        <v>0</v>
      </c>
      <c r="RKT5">
        <f>Database!RLM29</f>
        <v>0</v>
      </c>
      <c r="RKU5">
        <f>Database!RLN29</f>
        <v>0</v>
      </c>
      <c r="RKV5">
        <f>Database!RLO29</f>
        <v>0</v>
      </c>
      <c r="RKW5">
        <f>Database!RLP29</f>
        <v>0</v>
      </c>
      <c r="RKX5">
        <f>Database!RLQ29</f>
        <v>0</v>
      </c>
      <c r="RKY5">
        <f>Database!RLR29</f>
        <v>0</v>
      </c>
      <c r="RKZ5">
        <f>Database!RLS29</f>
        <v>0</v>
      </c>
      <c r="RLA5">
        <f>Database!RLT29</f>
        <v>0</v>
      </c>
      <c r="RLB5">
        <f>Database!RLU29</f>
        <v>0</v>
      </c>
      <c r="RLC5">
        <f>Database!RLV29</f>
        <v>0</v>
      </c>
      <c r="RLD5">
        <f>Database!RLW29</f>
        <v>0</v>
      </c>
      <c r="RLE5">
        <f>Database!RLX29</f>
        <v>0</v>
      </c>
      <c r="RLF5">
        <f>Database!RLY29</f>
        <v>0</v>
      </c>
      <c r="RLG5">
        <f>Database!RLZ29</f>
        <v>0</v>
      </c>
      <c r="RLH5">
        <f>Database!RMA29</f>
        <v>0</v>
      </c>
      <c r="RLI5">
        <f>Database!RMB29</f>
        <v>0</v>
      </c>
      <c r="RLJ5">
        <f>Database!RMC29</f>
        <v>0</v>
      </c>
      <c r="RLK5">
        <f>Database!RMD29</f>
        <v>0</v>
      </c>
      <c r="RLL5">
        <f>Database!RME29</f>
        <v>0</v>
      </c>
      <c r="RLM5">
        <f>Database!RMF29</f>
        <v>0</v>
      </c>
      <c r="RLN5">
        <f>Database!RMG29</f>
        <v>0</v>
      </c>
      <c r="RLO5">
        <f>Database!RMH29</f>
        <v>0</v>
      </c>
      <c r="RLP5">
        <f>Database!RMI29</f>
        <v>0</v>
      </c>
      <c r="RLQ5">
        <f>Database!RMJ29</f>
        <v>0</v>
      </c>
      <c r="RLR5">
        <f>Database!RMK29</f>
        <v>0</v>
      </c>
      <c r="RLS5">
        <f>Database!RML29</f>
        <v>0</v>
      </c>
      <c r="RLT5">
        <f>Database!RMM29</f>
        <v>0</v>
      </c>
      <c r="RLU5">
        <f>Database!RMN29</f>
        <v>0</v>
      </c>
      <c r="RLV5">
        <f>Database!RMO29</f>
        <v>0</v>
      </c>
      <c r="RLW5">
        <f>Database!RMP29</f>
        <v>0</v>
      </c>
      <c r="RLX5">
        <f>Database!RMQ29</f>
        <v>0</v>
      </c>
      <c r="RLY5">
        <f>Database!RMR29</f>
        <v>0</v>
      </c>
      <c r="RLZ5">
        <f>Database!RMS29</f>
        <v>0</v>
      </c>
      <c r="RMA5">
        <f>Database!RMT29</f>
        <v>0</v>
      </c>
      <c r="RMB5">
        <f>Database!RMU29</f>
        <v>0</v>
      </c>
      <c r="RMC5">
        <f>Database!RMV29</f>
        <v>0</v>
      </c>
      <c r="RMD5">
        <f>Database!RMW29</f>
        <v>0</v>
      </c>
      <c r="RME5">
        <f>Database!RMX29</f>
        <v>0</v>
      </c>
      <c r="RMF5">
        <f>Database!RMY29</f>
        <v>0</v>
      </c>
      <c r="RMG5">
        <f>Database!RMZ29</f>
        <v>0</v>
      </c>
      <c r="RMH5">
        <f>Database!RNA29</f>
        <v>0</v>
      </c>
      <c r="RMI5">
        <f>Database!RNB29</f>
        <v>0</v>
      </c>
      <c r="RMJ5">
        <f>Database!RNC29</f>
        <v>0</v>
      </c>
      <c r="RMK5">
        <f>Database!RND29</f>
        <v>0</v>
      </c>
      <c r="RML5">
        <f>Database!RNE29</f>
        <v>0</v>
      </c>
      <c r="RMM5">
        <f>Database!RNF29</f>
        <v>0</v>
      </c>
      <c r="RMN5">
        <f>Database!RNG29</f>
        <v>0</v>
      </c>
      <c r="RMO5">
        <f>Database!RNH29</f>
        <v>0</v>
      </c>
      <c r="RMP5">
        <f>Database!RNI29</f>
        <v>0</v>
      </c>
      <c r="RMQ5">
        <f>Database!RNJ29</f>
        <v>0</v>
      </c>
      <c r="RMR5">
        <f>Database!RNK29</f>
        <v>0</v>
      </c>
      <c r="RMS5">
        <f>Database!RNL29</f>
        <v>0</v>
      </c>
      <c r="RMT5">
        <f>Database!RNM29</f>
        <v>0</v>
      </c>
      <c r="RMU5">
        <f>Database!RNN29</f>
        <v>0</v>
      </c>
      <c r="RMV5">
        <f>Database!RNO29</f>
        <v>0</v>
      </c>
      <c r="RMW5">
        <f>Database!RNP29</f>
        <v>0</v>
      </c>
      <c r="RMX5">
        <f>Database!RNQ29</f>
        <v>0</v>
      </c>
      <c r="RMY5">
        <f>Database!RNR29</f>
        <v>0</v>
      </c>
      <c r="RMZ5">
        <f>Database!RNS29</f>
        <v>0</v>
      </c>
      <c r="RNA5">
        <f>Database!RNT29</f>
        <v>0</v>
      </c>
      <c r="RNB5">
        <f>Database!RNU29</f>
        <v>0</v>
      </c>
      <c r="RNC5">
        <f>Database!RNV29</f>
        <v>0</v>
      </c>
      <c r="RND5">
        <f>Database!RNW29</f>
        <v>0</v>
      </c>
      <c r="RNE5">
        <f>Database!RNX29</f>
        <v>0</v>
      </c>
      <c r="RNF5">
        <f>Database!RNY29</f>
        <v>0</v>
      </c>
      <c r="RNG5">
        <f>Database!RNZ29</f>
        <v>0</v>
      </c>
      <c r="RNH5">
        <f>Database!ROA29</f>
        <v>0</v>
      </c>
      <c r="RNI5">
        <f>Database!ROB29</f>
        <v>0</v>
      </c>
      <c r="RNJ5">
        <f>Database!ROC29</f>
        <v>0</v>
      </c>
      <c r="RNK5">
        <f>Database!ROD29</f>
        <v>0</v>
      </c>
      <c r="RNL5">
        <f>Database!ROE29</f>
        <v>0</v>
      </c>
      <c r="RNM5">
        <f>Database!ROF29</f>
        <v>0</v>
      </c>
      <c r="RNN5">
        <f>Database!ROG29</f>
        <v>0</v>
      </c>
      <c r="RNO5">
        <f>Database!ROH29</f>
        <v>0</v>
      </c>
      <c r="RNP5">
        <f>Database!ROI29</f>
        <v>0</v>
      </c>
      <c r="RNQ5">
        <f>Database!ROJ29</f>
        <v>0</v>
      </c>
      <c r="RNR5">
        <f>Database!ROK29</f>
        <v>0</v>
      </c>
      <c r="RNS5">
        <f>Database!ROL29</f>
        <v>0</v>
      </c>
      <c r="RNT5">
        <f>Database!ROM29</f>
        <v>0</v>
      </c>
      <c r="RNU5">
        <f>Database!RON29</f>
        <v>0</v>
      </c>
      <c r="RNV5">
        <f>Database!ROO29</f>
        <v>0</v>
      </c>
      <c r="RNW5">
        <f>Database!ROP29</f>
        <v>0</v>
      </c>
      <c r="RNX5">
        <f>Database!ROQ29</f>
        <v>0</v>
      </c>
      <c r="RNY5">
        <f>Database!ROR29</f>
        <v>0</v>
      </c>
      <c r="RNZ5">
        <f>Database!ROS29</f>
        <v>0</v>
      </c>
      <c r="ROA5">
        <f>Database!ROT29</f>
        <v>0</v>
      </c>
      <c r="ROB5">
        <f>Database!ROU29</f>
        <v>0</v>
      </c>
      <c r="ROC5">
        <f>Database!ROV29</f>
        <v>0</v>
      </c>
      <c r="ROD5">
        <f>Database!ROW29</f>
        <v>0</v>
      </c>
      <c r="ROE5">
        <f>Database!ROX29</f>
        <v>0</v>
      </c>
      <c r="ROF5">
        <f>Database!ROY29</f>
        <v>0</v>
      </c>
      <c r="ROG5">
        <f>Database!ROZ29</f>
        <v>0</v>
      </c>
      <c r="ROH5">
        <f>Database!RPA29</f>
        <v>0</v>
      </c>
      <c r="ROI5">
        <f>Database!RPB29</f>
        <v>0</v>
      </c>
      <c r="ROJ5">
        <f>Database!RPC29</f>
        <v>0</v>
      </c>
      <c r="ROK5">
        <f>Database!RPD29</f>
        <v>0</v>
      </c>
      <c r="ROL5">
        <f>Database!RPE29</f>
        <v>0</v>
      </c>
      <c r="ROM5">
        <f>Database!RPF29</f>
        <v>0</v>
      </c>
      <c r="RON5">
        <f>Database!RPG29</f>
        <v>0</v>
      </c>
      <c r="ROO5">
        <f>Database!RPH29</f>
        <v>0</v>
      </c>
      <c r="ROP5">
        <f>Database!RPI29</f>
        <v>0</v>
      </c>
      <c r="ROQ5">
        <f>Database!RPJ29</f>
        <v>0</v>
      </c>
      <c r="ROR5">
        <f>Database!RPK29</f>
        <v>0</v>
      </c>
      <c r="ROS5">
        <f>Database!RPL29</f>
        <v>0</v>
      </c>
      <c r="ROT5">
        <f>Database!RPM29</f>
        <v>0</v>
      </c>
      <c r="ROU5">
        <f>Database!RPN29</f>
        <v>0</v>
      </c>
      <c r="ROV5">
        <f>Database!RPO29</f>
        <v>0</v>
      </c>
      <c r="ROW5">
        <f>Database!RPP29</f>
        <v>0</v>
      </c>
      <c r="ROX5">
        <f>Database!RPQ29</f>
        <v>0</v>
      </c>
      <c r="ROY5">
        <f>Database!RPR29</f>
        <v>0</v>
      </c>
      <c r="ROZ5">
        <f>Database!RPS29</f>
        <v>0</v>
      </c>
      <c r="RPA5">
        <f>Database!RPT29</f>
        <v>0</v>
      </c>
      <c r="RPB5">
        <f>Database!RPU29</f>
        <v>0</v>
      </c>
      <c r="RPC5">
        <f>Database!RPV29</f>
        <v>0</v>
      </c>
      <c r="RPD5">
        <f>Database!RPW29</f>
        <v>0</v>
      </c>
      <c r="RPE5">
        <f>Database!RPX29</f>
        <v>0</v>
      </c>
      <c r="RPF5">
        <f>Database!RPY29</f>
        <v>0</v>
      </c>
      <c r="RPG5">
        <f>Database!RPZ29</f>
        <v>0</v>
      </c>
      <c r="RPH5">
        <f>Database!RQA29</f>
        <v>0</v>
      </c>
      <c r="RPI5">
        <f>Database!RQB29</f>
        <v>0</v>
      </c>
      <c r="RPJ5">
        <f>Database!RQC29</f>
        <v>0</v>
      </c>
      <c r="RPK5">
        <f>Database!RQD29</f>
        <v>0</v>
      </c>
      <c r="RPL5">
        <f>Database!RQE29</f>
        <v>0</v>
      </c>
      <c r="RPM5">
        <f>Database!RQF29</f>
        <v>0</v>
      </c>
      <c r="RPN5">
        <f>Database!RQG29</f>
        <v>0</v>
      </c>
      <c r="RPO5">
        <f>Database!RQH29</f>
        <v>0</v>
      </c>
      <c r="RPP5">
        <f>Database!RQI29</f>
        <v>0</v>
      </c>
      <c r="RPQ5">
        <f>Database!RQJ29</f>
        <v>0</v>
      </c>
      <c r="RPR5">
        <f>Database!RQK29</f>
        <v>0</v>
      </c>
      <c r="RPS5">
        <f>Database!RQL29</f>
        <v>0</v>
      </c>
      <c r="RPT5">
        <f>Database!RQM29</f>
        <v>0</v>
      </c>
      <c r="RPU5">
        <f>Database!RQN29</f>
        <v>0</v>
      </c>
      <c r="RPV5">
        <f>Database!RQO29</f>
        <v>0</v>
      </c>
      <c r="RPW5">
        <f>Database!RQP29</f>
        <v>0</v>
      </c>
      <c r="RPX5">
        <f>Database!RQQ29</f>
        <v>0</v>
      </c>
      <c r="RPY5">
        <f>Database!RQR29</f>
        <v>0</v>
      </c>
      <c r="RPZ5">
        <f>Database!RQS29</f>
        <v>0</v>
      </c>
      <c r="RQA5">
        <f>Database!RQT29</f>
        <v>0</v>
      </c>
      <c r="RQB5">
        <f>Database!RQU29</f>
        <v>0</v>
      </c>
      <c r="RQC5">
        <f>Database!RQV29</f>
        <v>0</v>
      </c>
      <c r="RQD5">
        <f>Database!RQW29</f>
        <v>0</v>
      </c>
      <c r="RQE5">
        <f>Database!RQX29</f>
        <v>0</v>
      </c>
      <c r="RQF5">
        <f>Database!RQY29</f>
        <v>0</v>
      </c>
      <c r="RQG5">
        <f>Database!RQZ29</f>
        <v>0</v>
      </c>
      <c r="RQH5">
        <f>Database!RRA29</f>
        <v>0</v>
      </c>
      <c r="RQI5">
        <f>Database!RRB29</f>
        <v>0</v>
      </c>
      <c r="RQJ5">
        <f>Database!RRC29</f>
        <v>0</v>
      </c>
      <c r="RQK5">
        <f>Database!RRD29</f>
        <v>0</v>
      </c>
      <c r="RQL5">
        <f>Database!RRE29</f>
        <v>0</v>
      </c>
      <c r="RQM5">
        <f>Database!RRF29</f>
        <v>0</v>
      </c>
      <c r="RQN5">
        <f>Database!RRG29</f>
        <v>0</v>
      </c>
      <c r="RQO5">
        <f>Database!RRH29</f>
        <v>0</v>
      </c>
      <c r="RQP5">
        <f>Database!RRI29</f>
        <v>0</v>
      </c>
      <c r="RQQ5">
        <f>Database!RRJ29</f>
        <v>0</v>
      </c>
      <c r="RQR5">
        <f>Database!RRK29</f>
        <v>0</v>
      </c>
      <c r="RQS5">
        <f>Database!RRL29</f>
        <v>0</v>
      </c>
      <c r="RQT5">
        <f>Database!RRM29</f>
        <v>0</v>
      </c>
      <c r="RQU5">
        <f>Database!RRN29</f>
        <v>0</v>
      </c>
      <c r="RQV5">
        <f>Database!RRO29</f>
        <v>0</v>
      </c>
      <c r="RQW5">
        <f>Database!RRP29</f>
        <v>0</v>
      </c>
      <c r="RQX5">
        <f>Database!RRQ29</f>
        <v>0</v>
      </c>
      <c r="RQY5">
        <f>Database!RRR29</f>
        <v>0</v>
      </c>
      <c r="RQZ5">
        <f>Database!RRS29</f>
        <v>0</v>
      </c>
      <c r="RRA5">
        <f>Database!RRT29</f>
        <v>0</v>
      </c>
      <c r="RRB5">
        <f>Database!RRU29</f>
        <v>0</v>
      </c>
      <c r="RRC5">
        <f>Database!RRV29</f>
        <v>0</v>
      </c>
      <c r="RRD5">
        <f>Database!RRW29</f>
        <v>0</v>
      </c>
      <c r="RRE5">
        <f>Database!RRX29</f>
        <v>0</v>
      </c>
      <c r="RRF5">
        <f>Database!RRY29</f>
        <v>0</v>
      </c>
      <c r="RRG5">
        <f>Database!RRZ29</f>
        <v>0</v>
      </c>
      <c r="RRH5">
        <f>Database!RSA29</f>
        <v>0</v>
      </c>
      <c r="RRI5">
        <f>Database!RSB29</f>
        <v>0</v>
      </c>
      <c r="RRJ5">
        <f>Database!RSC29</f>
        <v>0</v>
      </c>
      <c r="RRK5">
        <f>Database!RSD29</f>
        <v>0</v>
      </c>
      <c r="RRL5">
        <f>Database!RSE29</f>
        <v>0</v>
      </c>
      <c r="RRM5">
        <f>Database!RSF29</f>
        <v>0</v>
      </c>
      <c r="RRN5">
        <f>Database!RSG29</f>
        <v>0</v>
      </c>
      <c r="RRO5">
        <f>Database!RSH29</f>
        <v>0</v>
      </c>
      <c r="RRP5">
        <f>Database!RSI29</f>
        <v>0</v>
      </c>
      <c r="RRQ5">
        <f>Database!RSJ29</f>
        <v>0</v>
      </c>
      <c r="RRR5">
        <f>Database!RSK29</f>
        <v>0</v>
      </c>
      <c r="RRS5">
        <f>Database!RSL29</f>
        <v>0</v>
      </c>
      <c r="RRT5">
        <f>Database!RSM29</f>
        <v>0</v>
      </c>
      <c r="RRU5">
        <f>Database!RSN29</f>
        <v>0</v>
      </c>
      <c r="RRV5">
        <f>Database!RSO29</f>
        <v>0</v>
      </c>
      <c r="RRW5">
        <f>Database!RSP29</f>
        <v>0</v>
      </c>
      <c r="RRX5">
        <f>Database!RSQ29</f>
        <v>0</v>
      </c>
      <c r="RRY5">
        <f>Database!RSR29</f>
        <v>0</v>
      </c>
      <c r="RRZ5">
        <f>Database!RSS29</f>
        <v>0</v>
      </c>
      <c r="RSA5">
        <f>Database!RST29</f>
        <v>0</v>
      </c>
      <c r="RSB5">
        <f>Database!RSU29</f>
        <v>0</v>
      </c>
      <c r="RSC5">
        <f>Database!RSV29</f>
        <v>0</v>
      </c>
      <c r="RSD5">
        <f>Database!RSW29</f>
        <v>0</v>
      </c>
      <c r="RSE5">
        <f>Database!RSX29</f>
        <v>0</v>
      </c>
      <c r="RSF5">
        <f>Database!RSY29</f>
        <v>0</v>
      </c>
      <c r="RSG5">
        <f>Database!RSZ29</f>
        <v>0</v>
      </c>
      <c r="RSH5">
        <f>Database!RTA29</f>
        <v>0</v>
      </c>
      <c r="RSI5">
        <f>Database!RTB29</f>
        <v>0</v>
      </c>
      <c r="RSJ5">
        <f>Database!RTC29</f>
        <v>0</v>
      </c>
      <c r="RSK5">
        <f>Database!RTD29</f>
        <v>0</v>
      </c>
      <c r="RSL5">
        <f>Database!RTE29</f>
        <v>0</v>
      </c>
      <c r="RSM5">
        <f>Database!RTF29</f>
        <v>0</v>
      </c>
      <c r="RSN5">
        <f>Database!RTG29</f>
        <v>0</v>
      </c>
      <c r="RSO5">
        <f>Database!RTH29</f>
        <v>0</v>
      </c>
      <c r="RSP5">
        <f>Database!RTI29</f>
        <v>0</v>
      </c>
      <c r="RSQ5">
        <f>Database!RTJ29</f>
        <v>0</v>
      </c>
      <c r="RSR5">
        <f>Database!RTK29</f>
        <v>0</v>
      </c>
      <c r="RSS5">
        <f>Database!RTL29</f>
        <v>0</v>
      </c>
      <c r="RST5">
        <f>Database!RTM29</f>
        <v>0</v>
      </c>
      <c r="RSU5">
        <f>Database!RTN29</f>
        <v>0</v>
      </c>
      <c r="RSV5">
        <f>Database!RTO29</f>
        <v>0</v>
      </c>
      <c r="RSW5">
        <f>Database!RTP29</f>
        <v>0</v>
      </c>
      <c r="RSX5">
        <f>Database!RTQ29</f>
        <v>0</v>
      </c>
      <c r="RSY5">
        <f>Database!RTR29</f>
        <v>0</v>
      </c>
      <c r="RSZ5">
        <f>Database!RTS29</f>
        <v>0</v>
      </c>
      <c r="RTA5">
        <f>Database!RTT29</f>
        <v>0</v>
      </c>
      <c r="RTB5">
        <f>Database!RTU29</f>
        <v>0</v>
      </c>
      <c r="RTC5">
        <f>Database!RTV29</f>
        <v>0</v>
      </c>
      <c r="RTD5">
        <f>Database!RTW29</f>
        <v>0</v>
      </c>
      <c r="RTE5">
        <f>Database!RTX29</f>
        <v>0</v>
      </c>
      <c r="RTF5">
        <f>Database!RTY29</f>
        <v>0</v>
      </c>
      <c r="RTG5">
        <f>Database!RTZ29</f>
        <v>0</v>
      </c>
      <c r="RTH5">
        <f>Database!RUA29</f>
        <v>0</v>
      </c>
      <c r="RTI5">
        <f>Database!RUB29</f>
        <v>0</v>
      </c>
      <c r="RTJ5">
        <f>Database!RUC29</f>
        <v>0</v>
      </c>
      <c r="RTK5">
        <f>Database!RUD29</f>
        <v>0</v>
      </c>
      <c r="RTL5">
        <f>Database!RUE29</f>
        <v>0</v>
      </c>
      <c r="RTM5">
        <f>Database!RUF29</f>
        <v>0</v>
      </c>
      <c r="RTN5">
        <f>Database!RUG29</f>
        <v>0</v>
      </c>
      <c r="RTO5">
        <f>Database!RUH29</f>
        <v>0</v>
      </c>
      <c r="RTP5">
        <f>Database!RUI29</f>
        <v>0</v>
      </c>
      <c r="RTQ5">
        <f>Database!RUJ29</f>
        <v>0</v>
      </c>
      <c r="RTR5">
        <f>Database!RUK29</f>
        <v>0</v>
      </c>
      <c r="RTS5">
        <f>Database!RUL29</f>
        <v>0</v>
      </c>
      <c r="RTT5">
        <f>Database!RUM29</f>
        <v>0</v>
      </c>
      <c r="RTU5">
        <f>Database!RUN29</f>
        <v>0</v>
      </c>
      <c r="RTV5">
        <f>Database!RUO29</f>
        <v>0</v>
      </c>
      <c r="RTW5">
        <f>Database!RUP29</f>
        <v>0</v>
      </c>
      <c r="RTX5">
        <f>Database!RUQ29</f>
        <v>0</v>
      </c>
      <c r="RTY5">
        <f>Database!RUR29</f>
        <v>0</v>
      </c>
      <c r="RTZ5">
        <f>Database!RUS29</f>
        <v>0</v>
      </c>
      <c r="RUA5">
        <f>Database!RUT29</f>
        <v>0</v>
      </c>
      <c r="RUB5">
        <f>Database!RUU29</f>
        <v>0</v>
      </c>
      <c r="RUC5">
        <f>Database!RUV29</f>
        <v>0</v>
      </c>
      <c r="RUD5">
        <f>Database!RUW29</f>
        <v>0</v>
      </c>
      <c r="RUE5">
        <f>Database!RUX29</f>
        <v>0</v>
      </c>
      <c r="RUF5">
        <f>Database!RUY29</f>
        <v>0</v>
      </c>
      <c r="RUG5">
        <f>Database!RUZ29</f>
        <v>0</v>
      </c>
      <c r="RUH5">
        <f>Database!RVA29</f>
        <v>0</v>
      </c>
      <c r="RUI5">
        <f>Database!RVB29</f>
        <v>0</v>
      </c>
      <c r="RUJ5">
        <f>Database!RVC29</f>
        <v>0</v>
      </c>
      <c r="RUK5">
        <f>Database!RVD29</f>
        <v>0</v>
      </c>
      <c r="RUL5">
        <f>Database!RVE29</f>
        <v>0</v>
      </c>
      <c r="RUM5">
        <f>Database!RVF29</f>
        <v>0</v>
      </c>
      <c r="RUN5">
        <f>Database!RVG29</f>
        <v>0</v>
      </c>
      <c r="RUO5">
        <f>Database!RVH29</f>
        <v>0</v>
      </c>
      <c r="RUP5">
        <f>Database!RVI29</f>
        <v>0</v>
      </c>
      <c r="RUQ5">
        <f>Database!RVJ29</f>
        <v>0</v>
      </c>
      <c r="RUR5">
        <f>Database!RVK29</f>
        <v>0</v>
      </c>
      <c r="RUS5">
        <f>Database!RVL29</f>
        <v>0</v>
      </c>
      <c r="RUT5">
        <f>Database!RVM29</f>
        <v>0</v>
      </c>
      <c r="RUU5">
        <f>Database!RVN29</f>
        <v>0</v>
      </c>
      <c r="RUV5">
        <f>Database!RVO29</f>
        <v>0</v>
      </c>
      <c r="RUW5">
        <f>Database!RVP29</f>
        <v>0</v>
      </c>
      <c r="RUX5">
        <f>Database!RVQ29</f>
        <v>0</v>
      </c>
      <c r="RUY5">
        <f>Database!RVR29</f>
        <v>0</v>
      </c>
      <c r="RUZ5">
        <f>Database!RVS29</f>
        <v>0</v>
      </c>
      <c r="RVA5">
        <f>Database!RVT29</f>
        <v>0</v>
      </c>
      <c r="RVB5">
        <f>Database!RVU29</f>
        <v>0</v>
      </c>
      <c r="RVC5">
        <f>Database!RVV29</f>
        <v>0</v>
      </c>
      <c r="RVD5">
        <f>Database!RVW29</f>
        <v>0</v>
      </c>
      <c r="RVE5">
        <f>Database!RVX29</f>
        <v>0</v>
      </c>
      <c r="RVF5">
        <f>Database!RVY29</f>
        <v>0</v>
      </c>
      <c r="RVG5">
        <f>Database!RVZ29</f>
        <v>0</v>
      </c>
      <c r="RVH5">
        <f>Database!RWA29</f>
        <v>0</v>
      </c>
      <c r="RVI5">
        <f>Database!RWB29</f>
        <v>0</v>
      </c>
      <c r="RVJ5">
        <f>Database!RWC29</f>
        <v>0</v>
      </c>
      <c r="RVK5">
        <f>Database!RWD29</f>
        <v>0</v>
      </c>
      <c r="RVL5">
        <f>Database!RWE29</f>
        <v>0</v>
      </c>
      <c r="RVM5">
        <f>Database!RWF29</f>
        <v>0</v>
      </c>
      <c r="RVN5">
        <f>Database!RWG29</f>
        <v>0</v>
      </c>
      <c r="RVO5">
        <f>Database!RWH29</f>
        <v>0</v>
      </c>
      <c r="RVP5">
        <f>Database!RWI29</f>
        <v>0</v>
      </c>
      <c r="RVQ5">
        <f>Database!RWJ29</f>
        <v>0</v>
      </c>
      <c r="RVR5">
        <f>Database!RWK29</f>
        <v>0</v>
      </c>
      <c r="RVS5">
        <f>Database!RWL29</f>
        <v>0</v>
      </c>
      <c r="RVT5">
        <f>Database!RWM29</f>
        <v>0</v>
      </c>
      <c r="RVU5">
        <f>Database!RWN29</f>
        <v>0</v>
      </c>
      <c r="RVV5">
        <f>Database!RWO29</f>
        <v>0</v>
      </c>
      <c r="RVW5">
        <f>Database!RWP29</f>
        <v>0</v>
      </c>
      <c r="RVX5">
        <f>Database!RWQ29</f>
        <v>0</v>
      </c>
      <c r="RVY5">
        <f>Database!RWR29</f>
        <v>0</v>
      </c>
      <c r="RVZ5">
        <f>Database!RWS29</f>
        <v>0</v>
      </c>
      <c r="RWA5">
        <f>Database!RWT29</f>
        <v>0</v>
      </c>
      <c r="RWB5">
        <f>Database!RWU29</f>
        <v>0</v>
      </c>
      <c r="RWC5">
        <f>Database!RWV29</f>
        <v>0</v>
      </c>
      <c r="RWD5">
        <f>Database!RWW29</f>
        <v>0</v>
      </c>
      <c r="RWE5">
        <f>Database!RWX29</f>
        <v>0</v>
      </c>
      <c r="RWF5">
        <f>Database!RWY29</f>
        <v>0</v>
      </c>
      <c r="RWG5">
        <f>Database!RWZ29</f>
        <v>0</v>
      </c>
      <c r="RWH5">
        <f>Database!RXA29</f>
        <v>0</v>
      </c>
      <c r="RWI5">
        <f>Database!RXB29</f>
        <v>0</v>
      </c>
      <c r="RWJ5">
        <f>Database!RXC29</f>
        <v>0</v>
      </c>
      <c r="RWK5">
        <f>Database!RXD29</f>
        <v>0</v>
      </c>
      <c r="RWL5">
        <f>Database!RXE29</f>
        <v>0</v>
      </c>
      <c r="RWM5">
        <f>Database!RXF29</f>
        <v>0</v>
      </c>
      <c r="RWN5">
        <f>Database!RXG29</f>
        <v>0</v>
      </c>
      <c r="RWO5">
        <f>Database!RXH29</f>
        <v>0</v>
      </c>
      <c r="RWP5">
        <f>Database!RXI29</f>
        <v>0</v>
      </c>
      <c r="RWQ5">
        <f>Database!RXJ29</f>
        <v>0</v>
      </c>
      <c r="RWR5">
        <f>Database!RXK29</f>
        <v>0</v>
      </c>
      <c r="RWS5">
        <f>Database!RXL29</f>
        <v>0</v>
      </c>
      <c r="RWT5">
        <f>Database!RXM29</f>
        <v>0</v>
      </c>
      <c r="RWU5">
        <f>Database!RXN29</f>
        <v>0</v>
      </c>
      <c r="RWV5">
        <f>Database!RXO29</f>
        <v>0</v>
      </c>
      <c r="RWW5">
        <f>Database!RXP29</f>
        <v>0</v>
      </c>
      <c r="RWX5">
        <f>Database!RXQ29</f>
        <v>0</v>
      </c>
      <c r="RWY5">
        <f>Database!RXR29</f>
        <v>0</v>
      </c>
      <c r="RWZ5">
        <f>Database!RXS29</f>
        <v>0</v>
      </c>
      <c r="RXA5">
        <f>Database!RXT29</f>
        <v>0</v>
      </c>
      <c r="RXB5">
        <f>Database!RXU29</f>
        <v>0</v>
      </c>
      <c r="RXC5">
        <f>Database!RXV29</f>
        <v>0</v>
      </c>
      <c r="RXD5">
        <f>Database!RXW29</f>
        <v>0</v>
      </c>
      <c r="RXE5">
        <f>Database!RXX29</f>
        <v>0</v>
      </c>
      <c r="RXF5">
        <f>Database!RXY29</f>
        <v>0</v>
      </c>
      <c r="RXG5">
        <f>Database!RXZ29</f>
        <v>0</v>
      </c>
      <c r="RXH5">
        <f>Database!RYA29</f>
        <v>0</v>
      </c>
      <c r="RXI5">
        <f>Database!RYB29</f>
        <v>0</v>
      </c>
      <c r="RXJ5">
        <f>Database!RYC29</f>
        <v>0</v>
      </c>
      <c r="RXK5">
        <f>Database!RYD29</f>
        <v>0</v>
      </c>
      <c r="RXL5">
        <f>Database!RYE29</f>
        <v>0</v>
      </c>
      <c r="RXM5">
        <f>Database!RYF29</f>
        <v>0</v>
      </c>
      <c r="RXN5">
        <f>Database!RYG29</f>
        <v>0</v>
      </c>
      <c r="RXO5">
        <f>Database!RYH29</f>
        <v>0</v>
      </c>
      <c r="RXP5">
        <f>Database!RYI29</f>
        <v>0</v>
      </c>
      <c r="RXQ5">
        <f>Database!RYJ29</f>
        <v>0</v>
      </c>
      <c r="RXR5">
        <f>Database!RYK29</f>
        <v>0</v>
      </c>
      <c r="RXS5">
        <f>Database!RYL29</f>
        <v>0</v>
      </c>
      <c r="RXT5">
        <f>Database!RYM29</f>
        <v>0</v>
      </c>
      <c r="RXU5">
        <f>Database!RYN29</f>
        <v>0</v>
      </c>
      <c r="RXV5">
        <f>Database!RYO29</f>
        <v>0</v>
      </c>
      <c r="RXW5">
        <f>Database!RYP29</f>
        <v>0</v>
      </c>
      <c r="RXX5">
        <f>Database!RYQ29</f>
        <v>0</v>
      </c>
      <c r="RXY5">
        <f>Database!RYR29</f>
        <v>0</v>
      </c>
      <c r="RXZ5">
        <f>Database!RYS29</f>
        <v>0</v>
      </c>
      <c r="RYA5">
        <f>Database!RYT29</f>
        <v>0</v>
      </c>
      <c r="RYB5">
        <f>Database!RYU29</f>
        <v>0</v>
      </c>
      <c r="RYC5">
        <f>Database!RYV29</f>
        <v>0</v>
      </c>
      <c r="RYD5">
        <f>Database!RYW29</f>
        <v>0</v>
      </c>
      <c r="RYE5">
        <f>Database!RYX29</f>
        <v>0</v>
      </c>
      <c r="RYF5">
        <f>Database!RYY29</f>
        <v>0</v>
      </c>
      <c r="RYG5">
        <f>Database!RYZ29</f>
        <v>0</v>
      </c>
      <c r="RYH5">
        <f>Database!RZA29</f>
        <v>0</v>
      </c>
      <c r="RYI5">
        <f>Database!RZB29</f>
        <v>0</v>
      </c>
      <c r="RYJ5">
        <f>Database!RZC29</f>
        <v>0</v>
      </c>
      <c r="RYK5">
        <f>Database!RZD29</f>
        <v>0</v>
      </c>
      <c r="RYL5">
        <f>Database!RZE29</f>
        <v>0</v>
      </c>
      <c r="RYM5">
        <f>Database!RZF29</f>
        <v>0</v>
      </c>
      <c r="RYN5">
        <f>Database!RZG29</f>
        <v>0</v>
      </c>
      <c r="RYO5">
        <f>Database!RZH29</f>
        <v>0</v>
      </c>
      <c r="RYP5">
        <f>Database!RZI29</f>
        <v>0</v>
      </c>
      <c r="RYQ5">
        <f>Database!RZJ29</f>
        <v>0</v>
      </c>
      <c r="RYR5">
        <f>Database!RZK29</f>
        <v>0</v>
      </c>
      <c r="RYS5">
        <f>Database!RZL29</f>
        <v>0</v>
      </c>
      <c r="RYT5">
        <f>Database!RZM29</f>
        <v>0</v>
      </c>
      <c r="RYU5">
        <f>Database!RZN29</f>
        <v>0</v>
      </c>
      <c r="RYV5">
        <f>Database!RZO29</f>
        <v>0</v>
      </c>
      <c r="RYW5">
        <f>Database!RZP29</f>
        <v>0</v>
      </c>
      <c r="RYX5">
        <f>Database!RZQ29</f>
        <v>0</v>
      </c>
      <c r="RYY5">
        <f>Database!RZR29</f>
        <v>0</v>
      </c>
      <c r="RYZ5">
        <f>Database!RZS29</f>
        <v>0</v>
      </c>
      <c r="RZA5">
        <f>Database!RZT29</f>
        <v>0</v>
      </c>
      <c r="RZB5">
        <f>Database!RZU29</f>
        <v>0</v>
      </c>
      <c r="RZC5">
        <f>Database!RZV29</f>
        <v>0</v>
      </c>
      <c r="RZD5">
        <f>Database!RZW29</f>
        <v>0</v>
      </c>
      <c r="RZE5">
        <f>Database!RZX29</f>
        <v>0</v>
      </c>
      <c r="RZF5">
        <f>Database!RZY29</f>
        <v>0</v>
      </c>
      <c r="RZG5">
        <f>Database!RZZ29</f>
        <v>0</v>
      </c>
      <c r="RZH5">
        <f>Database!SAA29</f>
        <v>0</v>
      </c>
      <c r="RZI5">
        <f>Database!SAB29</f>
        <v>0</v>
      </c>
      <c r="RZJ5">
        <f>Database!SAC29</f>
        <v>0</v>
      </c>
      <c r="RZK5">
        <f>Database!SAD29</f>
        <v>0</v>
      </c>
      <c r="RZL5">
        <f>Database!SAE29</f>
        <v>0</v>
      </c>
      <c r="RZM5">
        <f>Database!SAF29</f>
        <v>0</v>
      </c>
      <c r="RZN5">
        <f>Database!SAG29</f>
        <v>0</v>
      </c>
      <c r="RZO5">
        <f>Database!SAH29</f>
        <v>0</v>
      </c>
      <c r="RZP5">
        <f>Database!SAI29</f>
        <v>0</v>
      </c>
      <c r="RZQ5">
        <f>Database!SAJ29</f>
        <v>0</v>
      </c>
      <c r="RZR5">
        <f>Database!SAK29</f>
        <v>0</v>
      </c>
      <c r="RZS5">
        <f>Database!SAL29</f>
        <v>0</v>
      </c>
      <c r="RZT5">
        <f>Database!SAM29</f>
        <v>0</v>
      </c>
      <c r="RZU5">
        <f>Database!SAN29</f>
        <v>0</v>
      </c>
      <c r="RZV5">
        <f>Database!SAO29</f>
        <v>0</v>
      </c>
      <c r="RZW5">
        <f>Database!SAP29</f>
        <v>0</v>
      </c>
      <c r="RZX5">
        <f>Database!SAQ29</f>
        <v>0</v>
      </c>
      <c r="RZY5">
        <f>Database!SAR29</f>
        <v>0</v>
      </c>
      <c r="RZZ5">
        <f>Database!SAS29</f>
        <v>0</v>
      </c>
      <c r="SAA5">
        <f>Database!SAT29</f>
        <v>0</v>
      </c>
      <c r="SAB5">
        <f>Database!SAU29</f>
        <v>0</v>
      </c>
      <c r="SAC5">
        <f>Database!SAV29</f>
        <v>0</v>
      </c>
      <c r="SAD5">
        <f>Database!SAW29</f>
        <v>0</v>
      </c>
      <c r="SAE5">
        <f>Database!SAX29</f>
        <v>0</v>
      </c>
      <c r="SAF5">
        <f>Database!SAY29</f>
        <v>0</v>
      </c>
      <c r="SAG5">
        <f>Database!SAZ29</f>
        <v>0</v>
      </c>
      <c r="SAH5">
        <f>Database!SBA29</f>
        <v>0</v>
      </c>
      <c r="SAI5">
        <f>Database!SBB29</f>
        <v>0</v>
      </c>
      <c r="SAJ5">
        <f>Database!SBC29</f>
        <v>0</v>
      </c>
      <c r="SAK5">
        <f>Database!SBD29</f>
        <v>0</v>
      </c>
      <c r="SAL5">
        <f>Database!SBE29</f>
        <v>0</v>
      </c>
      <c r="SAM5">
        <f>Database!SBF29</f>
        <v>0</v>
      </c>
      <c r="SAN5">
        <f>Database!SBG29</f>
        <v>0</v>
      </c>
      <c r="SAO5">
        <f>Database!SBH29</f>
        <v>0</v>
      </c>
      <c r="SAP5">
        <f>Database!SBI29</f>
        <v>0</v>
      </c>
      <c r="SAQ5">
        <f>Database!SBJ29</f>
        <v>0</v>
      </c>
      <c r="SAR5">
        <f>Database!SBK29</f>
        <v>0</v>
      </c>
      <c r="SAS5">
        <f>Database!SBL29</f>
        <v>0</v>
      </c>
      <c r="SAT5">
        <f>Database!SBM29</f>
        <v>0</v>
      </c>
      <c r="SAU5">
        <f>Database!SBN29</f>
        <v>0</v>
      </c>
      <c r="SAV5">
        <f>Database!SBO29</f>
        <v>0</v>
      </c>
      <c r="SAW5">
        <f>Database!SBP29</f>
        <v>0</v>
      </c>
      <c r="SAX5">
        <f>Database!SBQ29</f>
        <v>0</v>
      </c>
      <c r="SAY5">
        <f>Database!SBR29</f>
        <v>0</v>
      </c>
      <c r="SAZ5">
        <f>Database!SBS29</f>
        <v>0</v>
      </c>
      <c r="SBA5">
        <f>Database!SBT29</f>
        <v>0</v>
      </c>
      <c r="SBB5">
        <f>Database!SBU29</f>
        <v>0</v>
      </c>
      <c r="SBC5">
        <f>Database!SBV29</f>
        <v>0</v>
      </c>
      <c r="SBD5">
        <f>Database!SBW29</f>
        <v>0</v>
      </c>
      <c r="SBE5">
        <f>Database!SBX29</f>
        <v>0</v>
      </c>
      <c r="SBF5">
        <f>Database!SBY29</f>
        <v>0</v>
      </c>
      <c r="SBG5">
        <f>Database!SBZ29</f>
        <v>0</v>
      </c>
      <c r="SBH5">
        <f>Database!SCA29</f>
        <v>0</v>
      </c>
      <c r="SBI5">
        <f>Database!SCB29</f>
        <v>0</v>
      </c>
      <c r="SBJ5">
        <f>Database!SCC29</f>
        <v>0</v>
      </c>
      <c r="SBK5">
        <f>Database!SCD29</f>
        <v>0</v>
      </c>
      <c r="SBL5">
        <f>Database!SCE29</f>
        <v>0</v>
      </c>
      <c r="SBM5">
        <f>Database!SCF29</f>
        <v>0</v>
      </c>
      <c r="SBN5">
        <f>Database!SCG29</f>
        <v>0</v>
      </c>
      <c r="SBO5">
        <f>Database!SCH29</f>
        <v>0</v>
      </c>
      <c r="SBP5">
        <f>Database!SCI29</f>
        <v>0</v>
      </c>
      <c r="SBQ5">
        <f>Database!SCJ29</f>
        <v>0</v>
      </c>
      <c r="SBR5">
        <f>Database!SCK29</f>
        <v>0</v>
      </c>
      <c r="SBS5">
        <f>Database!SCL29</f>
        <v>0</v>
      </c>
      <c r="SBT5">
        <f>Database!SCM29</f>
        <v>0</v>
      </c>
      <c r="SBU5">
        <f>Database!SCN29</f>
        <v>0</v>
      </c>
      <c r="SBV5">
        <f>Database!SCO29</f>
        <v>0</v>
      </c>
      <c r="SBW5">
        <f>Database!SCP29</f>
        <v>0</v>
      </c>
      <c r="SBX5">
        <f>Database!SCQ29</f>
        <v>0</v>
      </c>
      <c r="SBY5">
        <f>Database!SCR29</f>
        <v>0</v>
      </c>
      <c r="SBZ5">
        <f>Database!SCS29</f>
        <v>0</v>
      </c>
      <c r="SCA5">
        <f>Database!SCT29</f>
        <v>0</v>
      </c>
      <c r="SCB5">
        <f>Database!SCU29</f>
        <v>0</v>
      </c>
      <c r="SCC5">
        <f>Database!SCV29</f>
        <v>0</v>
      </c>
      <c r="SCD5">
        <f>Database!SCW29</f>
        <v>0</v>
      </c>
      <c r="SCE5">
        <f>Database!SCX29</f>
        <v>0</v>
      </c>
      <c r="SCF5">
        <f>Database!SCY29</f>
        <v>0</v>
      </c>
      <c r="SCG5">
        <f>Database!SCZ29</f>
        <v>0</v>
      </c>
      <c r="SCH5">
        <f>Database!SDA29</f>
        <v>0</v>
      </c>
      <c r="SCI5">
        <f>Database!SDB29</f>
        <v>0</v>
      </c>
      <c r="SCJ5">
        <f>Database!SDC29</f>
        <v>0</v>
      </c>
      <c r="SCK5">
        <f>Database!SDD29</f>
        <v>0</v>
      </c>
      <c r="SCL5">
        <f>Database!SDE29</f>
        <v>0</v>
      </c>
      <c r="SCM5">
        <f>Database!SDF29</f>
        <v>0</v>
      </c>
      <c r="SCN5">
        <f>Database!SDG29</f>
        <v>0</v>
      </c>
      <c r="SCO5">
        <f>Database!SDH29</f>
        <v>0</v>
      </c>
      <c r="SCP5">
        <f>Database!SDI29</f>
        <v>0</v>
      </c>
      <c r="SCQ5">
        <f>Database!SDJ29</f>
        <v>0</v>
      </c>
      <c r="SCR5">
        <f>Database!SDK29</f>
        <v>0</v>
      </c>
      <c r="SCS5">
        <f>Database!SDL29</f>
        <v>0</v>
      </c>
      <c r="SCT5">
        <f>Database!SDM29</f>
        <v>0</v>
      </c>
      <c r="SCU5">
        <f>Database!SDN29</f>
        <v>0</v>
      </c>
      <c r="SCV5">
        <f>Database!SDO29</f>
        <v>0</v>
      </c>
      <c r="SCW5">
        <f>Database!SDP29</f>
        <v>0</v>
      </c>
      <c r="SCX5">
        <f>Database!SDQ29</f>
        <v>0</v>
      </c>
      <c r="SCY5">
        <f>Database!SDR29</f>
        <v>0</v>
      </c>
      <c r="SCZ5">
        <f>Database!SDS29</f>
        <v>0</v>
      </c>
      <c r="SDA5">
        <f>Database!SDT29</f>
        <v>0</v>
      </c>
      <c r="SDB5">
        <f>Database!SDU29</f>
        <v>0</v>
      </c>
      <c r="SDC5">
        <f>Database!SDV29</f>
        <v>0</v>
      </c>
      <c r="SDD5">
        <f>Database!SDW29</f>
        <v>0</v>
      </c>
      <c r="SDE5">
        <f>Database!SDX29</f>
        <v>0</v>
      </c>
      <c r="SDF5">
        <f>Database!SDY29</f>
        <v>0</v>
      </c>
      <c r="SDG5">
        <f>Database!SDZ29</f>
        <v>0</v>
      </c>
      <c r="SDH5">
        <f>Database!SEA29</f>
        <v>0</v>
      </c>
      <c r="SDI5">
        <f>Database!SEB29</f>
        <v>0</v>
      </c>
      <c r="SDJ5">
        <f>Database!SEC29</f>
        <v>0</v>
      </c>
      <c r="SDK5">
        <f>Database!SED29</f>
        <v>0</v>
      </c>
      <c r="SDL5">
        <f>Database!SEE29</f>
        <v>0</v>
      </c>
      <c r="SDM5">
        <f>Database!SEF29</f>
        <v>0</v>
      </c>
      <c r="SDN5">
        <f>Database!SEG29</f>
        <v>0</v>
      </c>
      <c r="SDO5">
        <f>Database!SEH29</f>
        <v>0</v>
      </c>
      <c r="SDP5">
        <f>Database!SEI29</f>
        <v>0</v>
      </c>
      <c r="SDQ5">
        <f>Database!SEJ29</f>
        <v>0</v>
      </c>
      <c r="SDR5">
        <f>Database!SEK29</f>
        <v>0</v>
      </c>
      <c r="SDS5">
        <f>Database!SEL29</f>
        <v>0</v>
      </c>
      <c r="SDT5">
        <f>Database!SEM29</f>
        <v>0</v>
      </c>
      <c r="SDU5">
        <f>Database!SEN29</f>
        <v>0</v>
      </c>
      <c r="SDV5">
        <f>Database!SEO29</f>
        <v>0</v>
      </c>
      <c r="SDW5">
        <f>Database!SEP29</f>
        <v>0</v>
      </c>
      <c r="SDX5">
        <f>Database!SEQ29</f>
        <v>0</v>
      </c>
      <c r="SDY5">
        <f>Database!SER29</f>
        <v>0</v>
      </c>
      <c r="SDZ5">
        <f>Database!SES29</f>
        <v>0</v>
      </c>
      <c r="SEA5">
        <f>Database!SET29</f>
        <v>0</v>
      </c>
      <c r="SEB5">
        <f>Database!SEU29</f>
        <v>0</v>
      </c>
      <c r="SEC5">
        <f>Database!SEV29</f>
        <v>0</v>
      </c>
      <c r="SED5">
        <f>Database!SEW29</f>
        <v>0</v>
      </c>
      <c r="SEE5">
        <f>Database!SEX29</f>
        <v>0</v>
      </c>
      <c r="SEF5">
        <f>Database!SEY29</f>
        <v>0</v>
      </c>
      <c r="SEG5">
        <f>Database!SEZ29</f>
        <v>0</v>
      </c>
      <c r="SEH5">
        <f>Database!SFA29</f>
        <v>0</v>
      </c>
      <c r="SEI5">
        <f>Database!SFB29</f>
        <v>0</v>
      </c>
      <c r="SEJ5">
        <f>Database!SFC29</f>
        <v>0</v>
      </c>
      <c r="SEK5">
        <f>Database!SFD29</f>
        <v>0</v>
      </c>
      <c r="SEL5">
        <f>Database!SFE29</f>
        <v>0</v>
      </c>
      <c r="SEM5">
        <f>Database!SFF29</f>
        <v>0</v>
      </c>
      <c r="SEN5">
        <f>Database!SFG29</f>
        <v>0</v>
      </c>
      <c r="SEO5">
        <f>Database!SFH29</f>
        <v>0</v>
      </c>
      <c r="SEP5">
        <f>Database!SFI29</f>
        <v>0</v>
      </c>
      <c r="SEQ5">
        <f>Database!SFJ29</f>
        <v>0</v>
      </c>
      <c r="SER5">
        <f>Database!SFK29</f>
        <v>0</v>
      </c>
      <c r="SES5">
        <f>Database!SFL29</f>
        <v>0</v>
      </c>
      <c r="SET5">
        <f>Database!SFM29</f>
        <v>0</v>
      </c>
      <c r="SEU5">
        <f>Database!SFN29</f>
        <v>0</v>
      </c>
      <c r="SEV5">
        <f>Database!SFO29</f>
        <v>0</v>
      </c>
      <c r="SEW5">
        <f>Database!SFP29</f>
        <v>0</v>
      </c>
      <c r="SEX5">
        <f>Database!SFQ29</f>
        <v>0</v>
      </c>
      <c r="SEY5">
        <f>Database!SFR29</f>
        <v>0</v>
      </c>
      <c r="SEZ5">
        <f>Database!SFS29</f>
        <v>0</v>
      </c>
      <c r="SFA5">
        <f>Database!SFT29</f>
        <v>0</v>
      </c>
      <c r="SFB5">
        <f>Database!SFU29</f>
        <v>0</v>
      </c>
      <c r="SFC5">
        <f>Database!SFV29</f>
        <v>0</v>
      </c>
      <c r="SFD5">
        <f>Database!SFW29</f>
        <v>0</v>
      </c>
      <c r="SFE5">
        <f>Database!SFX29</f>
        <v>0</v>
      </c>
      <c r="SFF5">
        <f>Database!SFY29</f>
        <v>0</v>
      </c>
      <c r="SFG5">
        <f>Database!SFZ29</f>
        <v>0</v>
      </c>
      <c r="SFH5">
        <f>Database!SGA29</f>
        <v>0</v>
      </c>
      <c r="SFI5">
        <f>Database!SGB29</f>
        <v>0</v>
      </c>
      <c r="SFJ5">
        <f>Database!SGC29</f>
        <v>0</v>
      </c>
      <c r="SFK5">
        <f>Database!SGD29</f>
        <v>0</v>
      </c>
      <c r="SFL5">
        <f>Database!SGE29</f>
        <v>0</v>
      </c>
      <c r="SFM5">
        <f>Database!SGF29</f>
        <v>0</v>
      </c>
      <c r="SFN5">
        <f>Database!SGG29</f>
        <v>0</v>
      </c>
      <c r="SFO5">
        <f>Database!SGH29</f>
        <v>0</v>
      </c>
      <c r="SFP5">
        <f>Database!SGI29</f>
        <v>0</v>
      </c>
      <c r="SFQ5">
        <f>Database!SGJ29</f>
        <v>0</v>
      </c>
      <c r="SFR5">
        <f>Database!SGK29</f>
        <v>0</v>
      </c>
      <c r="SFS5">
        <f>Database!SGL29</f>
        <v>0</v>
      </c>
      <c r="SFT5">
        <f>Database!SGM29</f>
        <v>0</v>
      </c>
      <c r="SFU5">
        <f>Database!SGN29</f>
        <v>0</v>
      </c>
      <c r="SFV5">
        <f>Database!SGO29</f>
        <v>0</v>
      </c>
      <c r="SFW5">
        <f>Database!SGP29</f>
        <v>0</v>
      </c>
      <c r="SFX5">
        <f>Database!SGQ29</f>
        <v>0</v>
      </c>
      <c r="SFY5">
        <f>Database!SGR29</f>
        <v>0</v>
      </c>
      <c r="SFZ5">
        <f>Database!SGS29</f>
        <v>0</v>
      </c>
      <c r="SGA5">
        <f>Database!SGT29</f>
        <v>0</v>
      </c>
      <c r="SGB5">
        <f>Database!SGU29</f>
        <v>0</v>
      </c>
      <c r="SGC5">
        <f>Database!SGV29</f>
        <v>0</v>
      </c>
      <c r="SGD5">
        <f>Database!SGW29</f>
        <v>0</v>
      </c>
      <c r="SGE5">
        <f>Database!SGX29</f>
        <v>0</v>
      </c>
      <c r="SGF5">
        <f>Database!SGY29</f>
        <v>0</v>
      </c>
      <c r="SGG5">
        <f>Database!SGZ29</f>
        <v>0</v>
      </c>
      <c r="SGH5">
        <f>Database!SHA29</f>
        <v>0</v>
      </c>
      <c r="SGI5">
        <f>Database!SHB29</f>
        <v>0</v>
      </c>
      <c r="SGJ5">
        <f>Database!SHC29</f>
        <v>0</v>
      </c>
      <c r="SGK5">
        <f>Database!SHD29</f>
        <v>0</v>
      </c>
      <c r="SGL5">
        <f>Database!SHE29</f>
        <v>0</v>
      </c>
      <c r="SGM5">
        <f>Database!SHF29</f>
        <v>0</v>
      </c>
      <c r="SGN5">
        <f>Database!SHG29</f>
        <v>0</v>
      </c>
      <c r="SGO5">
        <f>Database!SHH29</f>
        <v>0</v>
      </c>
      <c r="SGP5">
        <f>Database!SHI29</f>
        <v>0</v>
      </c>
      <c r="SGQ5">
        <f>Database!SHJ29</f>
        <v>0</v>
      </c>
      <c r="SGR5">
        <f>Database!SHK29</f>
        <v>0</v>
      </c>
      <c r="SGS5">
        <f>Database!SHL29</f>
        <v>0</v>
      </c>
      <c r="SGT5">
        <f>Database!SHM29</f>
        <v>0</v>
      </c>
      <c r="SGU5">
        <f>Database!SHN29</f>
        <v>0</v>
      </c>
      <c r="SGV5">
        <f>Database!SHO29</f>
        <v>0</v>
      </c>
      <c r="SGW5">
        <f>Database!SHP29</f>
        <v>0</v>
      </c>
      <c r="SGX5">
        <f>Database!SHQ29</f>
        <v>0</v>
      </c>
      <c r="SGY5">
        <f>Database!SHR29</f>
        <v>0</v>
      </c>
      <c r="SGZ5">
        <f>Database!SHS29</f>
        <v>0</v>
      </c>
      <c r="SHA5">
        <f>Database!SHT29</f>
        <v>0</v>
      </c>
      <c r="SHB5">
        <f>Database!SHU29</f>
        <v>0</v>
      </c>
      <c r="SHC5">
        <f>Database!SHV29</f>
        <v>0</v>
      </c>
      <c r="SHD5">
        <f>Database!SHW29</f>
        <v>0</v>
      </c>
      <c r="SHE5">
        <f>Database!SHX29</f>
        <v>0</v>
      </c>
      <c r="SHF5">
        <f>Database!SHY29</f>
        <v>0</v>
      </c>
      <c r="SHG5">
        <f>Database!SHZ29</f>
        <v>0</v>
      </c>
      <c r="SHH5">
        <f>Database!SIA29</f>
        <v>0</v>
      </c>
      <c r="SHI5">
        <f>Database!SIB29</f>
        <v>0</v>
      </c>
      <c r="SHJ5">
        <f>Database!SIC29</f>
        <v>0</v>
      </c>
      <c r="SHK5">
        <f>Database!SID29</f>
        <v>0</v>
      </c>
      <c r="SHL5">
        <f>Database!SIE29</f>
        <v>0</v>
      </c>
      <c r="SHM5">
        <f>Database!SIF29</f>
        <v>0</v>
      </c>
      <c r="SHN5">
        <f>Database!SIG29</f>
        <v>0</v>
      </c>
      <c r="SHO5">
        <f>Database!SIH29</f>
        <v>0</v>
      </c>
      <c r="SHP5">
        <f>Database!SII29</f>
        <v>0</v>
      </c>
      <c r="SHQ5">
        <f>Database!SIJ29</f>
        <v>0</v>
      </c>
      <c r="SHR5">
        <f>Database!SIK29</f>
        <v>0</v>
      </c>
      <c r="SHS5">
        <f>Database!SIL29</f>
        <v>0</v>
      </c>
      <c r="SHT5">
        <f>Database!SIM29</f>
        <v>0</v>
      </c>
      <c r="SHU5">
        <f>Database!SIN29</f>
        <v>0</v>
      </c>
      <c r="SHV5">
        <f>Database!SIO29</f>
        <v>0</v>
      </c>
      <c r="SHW5">
        <f>Database!SIP29</f>
        <v>0</v>
      </c>
      <c r="SHX5">
        <f>Database!SIQ29</f>
        <v>0</v>
      </c>
      <c r="SHY5">
        <f>Database!SIR29</f>
        <v>0</v>
      </c>
      <c r="SHZ5">
        <f>Database!SIS29</f>
        <v>0</v>
      </c>
      <c r="SIA5">
        <f>Database!SIT29</f>
        <v>0</v>
      </c>
      <c r="SIB5">
        <f>Database!SIU29</f>
        <v>0</v>
      </c>
      <c r="SIC5">
        <f>Database!SIV29</f>
        <v>0</v>
      </c>
      <c r="SID5">
        <f>Database!SIW29</f>
        <v>0</v>
      </c>
      <c r="SIE5">
        <f>Database!SIX29</f>
        <v>0</v>
      </c>
      <c r="SIF5">
        <f>Database!SIY29</f>
        <v>0</v>
      </c>
      <c r="SIG5">
        <f>Database!SIZ29</f>
        <v>0</v>
      </c>
      <c r="SIH5">
        <f>Database!SJA29</f>
        <v>0</v>
      </c>
      <c r="SII5">
        <f>Database!SJB29</f>
        <v>0</v>
      </c>
      <c r="SIJ5">
        <f>Database!SJC29</f>
        <v>0</v>
      </c>
      <c r="SIK5">
        <f>Database!SJD29</f>
        <v>0</v>
      </c>
      <c r="SIL5">
        <f>Database!SJE29</f>
        <v>0</v>
      </c>
      <c r="SIM5">
        <f>Database!SJF29</f>
        <v>0</v>
      </c>
      <c r="SIN5">
        <f>Database!SJG29</f>
        <v>0</v>
      </c>
      <c r="SIO5">
        <f>Database!SJH29</f>
        <v>0</v>
      </c>
      <c r="SIP5">
        <f>Database!SJI29</f>
        <v>0</v>
      </c>
      <c r="SIQ5">
        <f>Database!SJJ29</f>
        <v>0</v>
      </c>
      <c r="SIR5">
        <f>Database!SJK29</f>
        <v>0</v>
      </c>
      <c r="SIS5">
        <f>Database!SJL29</f>
        <v>0</v>
      </c>
      <c r="SIT5">
        <f>Database!SJM29</f>
        <v>0</v>
      </c>
      <c r="SIU5">
        <f>Database!SJN29</f>
        <v>0</v>
      </c>
      <c r="SIV5">
        <f>Database!SJO29</f>
        <v>0</v>
      </c>
      <c r="SIW5">
        <f>Database!SJP29</f>
        <v>0</v>
      </c>
      <c r="SIX5">
        <f>Database!SJQ29</f>
        <v>0</v>
      </c>
      <c r="SIY5">
        <f>Database!SJR29</f>
        <v>0</v>
      </c>
      <c r="SIZ5">
        <f>Database!SJS29</f>
        <v>0</v>
      </c>
      <c r="SJA5">
        <f>Database!SJT29</f>
        <v>0</v>
      </c>
      <c r="SJB5">
        <f>Database!SJU29</f>
        <v>0</v>
      </c>
      <c r="SJC5">
        <f>Database!SJV29</f>
        <v>0</v>
      </c>
      <c r="SJD5">
        <f>Database!SJW29</f>
        <v>0</v>
      </c>
      <c r="SJE5">
        <f>Database!SJX29</f>
        <v>0</v>
      </c>
      <c r="SJF5">
        <f>Database!SJY29</f>
        <v>0</v>
      </c>
      <c r="SJG5">
        <f>Database!SJZ29</f>
        <v>0</v>
      </c>
      <c r="SJH5">
        <f>Database!SKA29</f>
        <v>0</v>
      </c>
      <c r="SJI5">
        <f>Database!SKB29</f>
        <v>0</v>
      </c>
      <c r="SJJ5">
        <f>Database!SKC29</f>
        <v>0</v>
      </c>
      <c r="SJK5">
        <f>Database!SKD29</f>
        <v>0</v>
      </c>
      <c r="SJL5">
        <f>Database!SKE29</f>
        <v>0</v>
      </c>
      <c r="SJM5">
        <f>Database!SKF29</f>
        <v>0</v>
      </c>
      <c r="SJN5">
        <f>Database!SKG29</f>
        <v>0</v>
      </c>
      <c r="SJO5">
        <f>Database!SKH29</f>
        <v>0</v>
      </c>
      <c r="SJP5">
        <f>Database!SKI29</f>
        <v>0</v>
      </c>
      <c r="SJQ5">
        <f>Database!SKJ29</f>
        <v>0</v>
      </c>
      <c r="SJR5">
        <f>Database!SKK29</f>
        <v>0</v>
      </c>
      <c r="SJS5">
        <f>Database!SKL29</f>
        <v>0</v>
      </c>
      <c r="SJT5">
        <f>Database!SKM29</f>
        <v>0</v>
      </c>
      <c r="SJU5">
        <f>Database!SKN29</f>
        <v>0</v>
      </c>
      <c r="SJV5">
        <f>Database!SKO29</f>
        <v>0</v>
      </c>
      <c r="SJW5">
        <f>Database!SKP29</f>
        <v>0</v>
      </c>
      <c r="SJX5">
        <f>Database!SKQ29</f>
        <v>0</v>
      </c>
      <c r="SJY5">
        <f>Database!SKR29</f>
        <v>0</v>
      </c>
      <c r="SJZ5">
        <f>Database!SKS29</f>
        <v>0</v>
      </c>
      <c r="SKA5">
        <f>Database!SKT29</f>
        <v>0</v>
      </c>
      <c r="SKB5">
        <f>Database!SKU29</f>
        <v>0</v>
      </c>
      <c r="SKC5">
        <f>Database!SKV29</f>
        <v>0</v>
      </c>
      <c r="SKD5">
        <f>Database!SKW29</f>
        <v>0</v>
      </c>
      <c r="SKE5">
        <f>Database!SKX29</f>
        <v>0</v>
      </c>
      <c r="SKF5">
        <f>Database!SKY29</f>
        <v>0</v>
      </c>
      <c r="SKG5">
        <f>Database!SKZ29</f>
        <v>0</v>
      </c>
      <c r="SKH5">
        <f>Database!SLA29</f>
        <v>0</v>
      </c>
      <c r="SKI5">
        <f>Database!SLB29</f>
        <v>0</v>
      </c>
      <c r="SKJ5">
        <f>Database!SLC29</f>
        <v>0</v>
      </c>
      <c r="SKK5">
        <f>Database!SLD29</f>
        <v>0</v>
      </c>
      <c r="SKL5">
        <f>Database!SLE29</f>
        <v>0</v>
      </c>
      <c r="SKM5">
        <f>Database!SLF29</f>
        <v>0</v>
      </c>
      <c r="SKN5">
        <f>Database!SLG29</f>
        <v>0</v>
      </c>
      <c r="SKO5">
        <f>Database!SLH29</f>
        <v>0</v>
      </c>
      <c r="SKP5">
        <f>Database!SLI29</f>
        <v>0</v>
      </c>
      <c r="SKQ5">
        <f>Database!SLJ29</f>
        <v>0</v>
      </c>
      <c r="SKR5">
        <f>Database!SLK29</f>
        <v>0</v>
      </c>
      <c r="SKS5">
        <f>Database!SLL29</f>
        <v>0</v>
      </c>
      <c r="SKT5">
        <f>Database!SLM29</f>
        <v>0</v>
      </c>
      <c r="SKU5">
        <f>Database!SLN29</f>
        <v>0</v>
      </c>
      <c r="SKV5">
        <f>Database!SLO29</f>
        <v>0</v>
      </c>
      <c r="SKW5">
        <f>Database!SLP29</f>
        <v>0</v>
      </c>
      <c r="SKX5">
        <f>Database!SLQ29</f>
        <v>0</v>
      </c>
      <c r="SKY5">
        <f>Database!SLR29</f>
        <v>0</v>
      </c>
      <c r="SKZ5">
        <f>Database!SLS29</f>
        <v>0</v>
      </c>
      <c r="SLA5">
        <f>Database!SLT29</f>
        <v>0</v>
      </c>
      <c r="SLB5">
        <f>Database!SLU29</f>
        <v>0</v>
      </c>
      <c r="SLC5">
        <f>Database!SLV29</f>
        <v>0</v>
      </c>
      <c r="SLD5">
        <f>Database!SLW29</f>
        <v>0</v>
      </c>
      <c r="SLE5">
        <f>Database!SLX29</f>
        <v>0</v>
      </c>
      <c r="SLF5">
        <f>Database!SLY29</f>
        <v>0</v>
      </c>
      <c r="SLG5">
        <f>Database!SLZ29</f>
        <v>0</v>
      </c>
      <c r="SLH5">
        <f>Database!SMA29</f>
        <v>0</v>
      </c>
      <c r="SLI5">
        <f>Database!SMB29</f>
        <v>0</v>
      </c>
      <c r="SLJ5">
        <f>Database!SMC29</f>
        <v>0</v>
      </c>
      <c r="SLK5">
        <f>Database!SMD29</f>
        <v>0</v>
      </c>
      <c r="SLL5">
        <f>Database!SME29</f>
        <v>0</v>
      </c>
      <c r="SLM5">
        <f>Database!SMF29</f>
        <v>0</v>
      </c>
      <c r="SLN5">
        <f>Database!SMG29</f>
        <v>0</v>
      </c>
      <c r="SLO5">
        <f>Database!SMH29</f>
        <v>0</v>
      </c>
      <c r="SLP5">
        <f>Database!SMI29</f>
        <v>0</v>
      </c>
      <c r="SLQ5">
        <f>Database!SMJ29</f>
        <v>0</v>
      </c>
      <c r="SLR5">
        <f>Database!SMK29</f>
        <v>0</v>
      </c>
      <c r="SLS5">
        <f>Database!SML29</f>
        <v>0</v>
      </c>
      <c r="SLT5">
        <f>Database!SMM29</f>
        <v>0</v>
      </c>
      <c r="SLU5">
        <f>Database!SMN29</f>
        <v>0</v>
      </c>
      <c r="SLV5">
        <f>Database!SMO29</f>
        <v>0</v>
      </c>
      <c r="SLW5">
        <f>Database!SMP29</f>
        <v>0</v>
      </c>
      <c r="SLX5">
        <f>Database!SMQ29</f>
        <v>0</v>
      </c>
      <c r="SLY5">
        <f>Database!SMR29</f>
        <v>0</v>
      </c>
      <c r="SLZ5">
        <f>Database!SMS29</f>
        <v>0</v>
      </c>
      <c r="SMA5">
        <f>Database!SMT29</f>
        <v>0</v>
      </c>
      <c r="SMB5">
        <f>Database!SMU29</f>
        <v>0</v>
      </c>
      <c r="SMC5">
        <f>Database!SMV29</f>
        <v>0</v>
      </c>
      <c r="SMD5">
        <f>Database!SMW29</f>
        <v>0</v>
      </c>
      <c r="SME5">
        <f>Database!SMX29</f>
        <v>0</v>
      </c>
      <c r="SMF5">
        <f>Database!SMY29</f>
        <v>0</v>
      </c>
      <c r="SMG5">
        <f>Database!SMZ29</f>
        <v>0</v>
      </c>
      <c r="SMH5">
        <f>Database!SNA29</f>
        <v>0</v>
      </c>
      <c r="SMI5">
        <f>Database!SNB29</f>
        <v>0</v>
      </c>
      <c r="SMJ5">
        <f>Database!SNC29</f>
        <v>0</v>
      </c>
      <c r="SMK5">
        <f>Database!SND29</f>
        <v>0</v>
      </c>
      <c r="SML5">
        <f>Database!SNE29</f>
        <v>0</v>
      </c>
      <c r="SMM5">
        <f>Database!SNF29</f>
        <v>0</v>
      </c>
      <c r="SMN5">
        <f>Database!SNG29</f>
        <v>0</v>
      </c>
      <c r="SMO5">
        <f>Database!SNH29</f>
        <v>0</v>
      </c>
      <c r="SMP5">
        <f>Database!SNI29</f>
        <v>0</v>
      </c>
      <c r="SMQ5">
        <f>Database!SNJ29</f>
        <v>0</v>
      </c>
      <c r="SMR5">
        <f>Database!SNK29</f>
        <v>0</v>
      </c>
      <c r="SMS5">
        <f>Database!SNL29</f>
        <v>0</v>
      </c>
      <c r="SMT5">
        <f>Database!SNM29</f>
        <v>0</v>
      </c>
      <c r="SMU5">
        <f>Database!SNN29</f>
        <v>0</v>
      </c>
      <c r="SMV5">
        <f>Database!SNO29</f>
        <v>0</v>
      </c>
      <c r="SMW5">
        <f>Database!SNP29</f>
        <v>0</v>
      </c>
      <c r="SMX5">
        <f>Database!SNQ29</f>
        <v>0</v>
      </c>
      <c r="SMY5">
        <f>Database!SNR29</f>
        <v>0</v>
      </c>
      <c r="SMZ5">
        <f>Database!SNS29</f>
        <v>0</v>
      </c>
      <c r="SNA5">
        <f>Database!SNT29</f>
        <v>0</v>
      </c>
      <c r="SNB5">
        <f>Database!SNU29</f>
        <v>0</v>
      </c>
      <c r="SNC5">
        <f>Database!SNV29</f>
        <v>0</v>
      </c>
      <c r="SND5">
        <f>Database!SNW29</f>
        <v>0</v>
      </c>
      <c r="SNE5">
        <f>Database!SNX29</f>
        <v>0</v>
      </c>
      <c r="SNF5">
        <f>Database!SNY29</f>
        <v>0</v>
      </c>
      <c r="SNG5">
        <f>Database!SNZ29</f>
        <v>0</v>
      </c>
      <c r="SNH5">
        <f>Database!SOA29</f>
        <v>0</v>
      </c>
      <c r="SNI5">
        <f>Database!SOB29</f>
        <v>0</v>
      </c>
      <c r="SNJ5">
        <f>Database!SOC29</f>
        <v>0</v>
      </c>
      <c r="SNK5">
        <f>Database!SOD29</f>
        <v>0</v>
      </c>
      <c r="SNL5">
        <f>Database!SOE29</f>
        <v>0</v>
      </c>
      <c r="SNM5">
        <f>Database!SOF29</f>
        <v>0</v>
      </c>
      <c r="SNN5">
        <f>Database!SOG29</f>
        <v>0</v>
      </c>
      <c r="SNO5">
        <f>Database!SOH29</f>
        <v>0</v>
      </c>
      <c r="SNP5">
        <f>Database!SOI29</f>
        <v>0</v>
      </c>
      <c r="SNQ5">
        <f>Database!SOJ29</f>
        <v>0</v>
      </c>
      <c r="SNR5">
        <f>Database!SOK29</f>
        <v>0</v>
      </c>
      <c r="SNS5">
        <f>Database!SOL29</f>
        <v>0</v>
      </c>
      <c r="SNT5">
        <f>Database!SOM29</f>
        <v>0</v>
      </c>
      <c r="SNU5">
        <f>Database!SON29</f>
        <v>0</v>
      </c>
      <c r="SNV5">
        <f>Database!SOO29</f>
        <v>0</v>
      </c>
      <c r="SNW5">
        <f>Database!SOP29</f>
        <v>0</v>
      </c>
      <c r="SNX5">
        <f>Database!SOQ29</f>
        <v>0</v>
      </c>
      <c r="SNY5">
        <f>Database!SOR29</f>
        <v>0</v>
      </c>
      <c r="SNZ5">
        <f>Database!SOS29</f>
        <v>0</v>
      </c>
      <c r="SOA5">
        <f>Database!SOT29</f>
        <v>0</v>
      </c>
      <c r="SOB5">
        <f>Database!SOU29</f>
        <v>0</v>
      </c>
      <c r="SOC5">
        <f>Database!SOV29</f>
        <v>0</v>
      </c>
      <c r="SOD5">
        <f>Database!SOW29</f>
        <v>0</v>
      </c>
      <c r="SOE5">
        <f>Database!SOX29</f>
        <v>0</v>
      </c>
      <c r="SOF5">
        <f>Database!SOY29</f>
        <v>0</v>
      </c>
      <c r="SOG5">
        <f>Database!SOZ29</f>
        <v>0</v>
      </c>
      <c r="SOH5">
        <f>Database!SPA29</f>
        <v>0</v>
      </c>
      <c r="SOI5">
        <f>Database!SPB29</f>
        <v>0</v>
      </c>
      <c r="SOJ5">
        <f>Database!SPC29</f>
        <v>0</v>
      </c>
      <c r="SOK5">
        <f>Database!SPD29</f>
        <v>0</v>
      </c>
      <c r="SOL5">
        <f>Database!SPE29</f>
        <v>0</v>
      </c>
      <c r="SOM5">
        <f>Database!SPF29</f>
        <v>0</v>
      </c>
      <c r="SON5">
        <f>Database!SPG29</f>
        <v>0</v>
      </c>
      <c r="SOO5">
        <f>Database!SPH29</f>
        <v>0</v>
      </c>
      <c r="SOP5">
        <f>Database!SPI29</f>
        <v>0</v>
      </c>
      <c r="SOQ5">
        <f>Database!SPJ29</f>
        <v>0</v>
      </c>
      <c r="SOR5">
        <f>Database!SPK29</f>
        <v>0</v>
      </c>
      <c r="SOS5">
        <f>Database!SPL29</f>
        <v>0</v>
      </c>
      <c r="SOT5">
        <f>Database!SPM29</f>
        <v>0</v>
      </c>
      <c r="SOU5">
        <f>Database!SPN29</f>
        <v>0</v>
      </c>
      <c r="SOV5">
        <f>Database!SPO29</f>
        <v>0</v>
      </c>
      <c r="SOW5">
        <f>Database!SPP29</f>
        <v>0</v>
      </c>
      <c r="SOX5">
        <f>Database!SPQ29</f>
        <v>0</v>
      </c>
      <c r="SOY5">
        <f>Database!SPR29</f>
        <v>0</v>
      </c>
      <c r="SOZ5">
        <f>Database!SPS29</f>
        <v>0</v>
      </c>
      <c r="SPA5">
        <f>Database!SPT29</f>
        <v>0</v>
      </c>
      <c r="SPB5">
        <f>Database!SPU29</f>
        <v>0</v>
      </c>
      <c r="SPC5">
        <f>Database!SPV29</f>
        <v>0</v>
      </c>
      <c r="SPD5">
        <f>Database!SPW29</f>
        <v>0</v>
      </c>
      <c r="SPE5">
        <f>Database!SPX29</f>
        <v>0</v>
      </c>
      <c r="SPF5">
        <f>Database!SPY29</f>
        <v>0</v>
      </c>
      <c r="SPG5">
        <f>Database!SPZ29</f>
        <v>0</v>
      </c>
      <c r="SPH5">
        <f>Database!SQA29</f>
        <v>0</v>
      </c>
      <c r="SPI5">
        <f>Database!SQB29</f>
        <v>0</v>
      </c>
      <c r="SPJ5">
        <f>Database!SQC29</f>
        <v>0</v>
      </c>
      <c r="SPK5">
        <f>Database!SQD29</f>
        <v>0</v>
      </c>
      <c r="SPL5">
        <f>Database!SQE29</f>
        <v>0</v>
      </c>
      <c r="SPM5">
        <f>Database!SQF29</f>
        <v>0</v>
      </c>
      <c r="SPN5">
        <f>Database!SQG29</f>
        <v>0</v>
      </c>
      <c r="SPO5">
        <f>Database!SQH29</f>
        <v>0</v>
      </c>
      <c r="SPP5">
        <f>Database!SQI29</f>
        <v>0</v>
      </c>
      <c r="SPQ5">
        <f>Database!SQJ29</f>
        <v>0</v>
      </c>
      <c r="SPR5">
        <f>Database!SQK29</f>
        <v>0</v>
      </c>
      <c r="SPS5">
        <f>Database!SQL29</f>
        <v>0</v>
      </c>
      <c r="SPT5">
        <f>Database!SQM29</f>
        <v>0</v>
      </c>
      <c r="SPU5">
        <f>Database!SQN29</f>
        <v>0</v>
      </c>
      <c r="SPV5">
        <f>Database!SQO29</f>
        <v>0</v>
      </c>
      <c r="SPW5">
        <f>Database!SQP29</f>
        <v>0</v>
      </c>
      <c r="SPX5">
        <f>Database!SQQ29</f>
        <v>0</v>
      </c>
      <c r="SPY5">
        <f>Database!SQR29</f>
        <v>0</v>
      </c>
      <c r="SPZ5">
        <f>Database!SQS29</f>
        <v>0</v>
      </c>
      <c r="SQA5">
        <f>Database!SQT29</f>
        <v>0</v>
      </c>
      <c r="SQB5">
        <f>Database!SQU29</f>
        <v>0</v>
      </c>
      <c r="SQC5">
        <f>Database!SQV29</f>
        <v>0</v>
      </c>
      <c r="SQD5">
        <f>Database!SQW29</f>
        <v>0</v>
      </c>
      <c r="SQE5">
        <f>Database!SQX29</f>
        <v>0</v>
      </c>
      <c r="SQF5">
        <f>Database!SQY29</f>
        <v>0</v>
      </c>
      <c r="SQG5">
        <f>Database!SQZ29</f>
        <v>0</v>
      </c>
      <c r="SQH5">
        <f>Database!SRA29</f>
        <v>0</v>
      </c>
      <c r="SQI5">
        <f>Database!SRB29</f>
        <v>0</v>
      </c>
      <c r="SQJ5">
        <f>Database!SRC29</f>
        <v>0</v>
      </c>
      <c r="SQK5">
        <f>Database!SRD29</f>
        <v>0</v>
      </c>
      <c r="SQL5">
        <f>Database!SRE29</f>
        <v>0</v>
      </c>
      <c r="SQM5">
        <f>Database!SRF29</f>
        <v>0</v>
      </c>
      <c r="SQN5">
        <f>Database!SRG29</f>
        <v>0</v>
      </c>
      <c r="SQO5">
        <f>Database!SRH29</f>
        <v>0</v>
      </c>
      <c r="SQP5">
        <f>Database!SRI29</f>
        <v>0</v>
      </c>
      <c r="SQQ5">
        <f>Database!SRJ29</f>
        <v>0</v>
      </c>
      <c r="SQR5">
        <f>Database!SRK29</f>
        <v>0</v>
      </c>
      <c r="SQS5">
        <f>Database!SRL29</f>
        <v>0</v>
      </c>
      <c r="SQT5">
        <f>Database!SRM29</f>
        <v>0</v>
      </c>
      <c r="SQU5">
        <f>Database!SRN29</f>
        <v>0</v>
      </c>
      <c r="SQV5">
        <f>Database!SRO29</f>
        <v>0</v>
      </c>
      <c r="SQW5">
        <f>Database!SRP29</f>
        <v>0</v>
      </c>
      <c r="SQX5">
        <f>Database!SRQ29</f>
        <v>0</v>
      </c>
      <c r="SQY5">
        <f>Database!SRR29</f>
        <v>0</v>
      </c>
      <c r="SQZ5">
        <f>Database!SRS29</f>
        <v>0</v>
      </c>
      <c r="SRA5">
        <f>Database!SRT29</f>
        <v>0</v>
      </c>
      <c r="SRB5">
        <f>Database!SRU29</f>
        <v>0</v>
      </c>
      <c r="SRC5">
        <f>Database!SRV29</f>
        <v>0</v>
      </c>
      <c r="SRD5">
        <f>Database!SRW29</f>
        <v>0</v>
      </c>
      <c r="SRE5">
        <f>Database!SRX29</f>
        <v>0</v>
      </c>
      <c r="SRF5">
        <f>Database!SRY29</f>
        <v>0</v>
      </c>
      <c r="SRG5">
        <f>Database!SRZ29</f>
        <v>0</v>
      </c>
      <c r="SRH5">
        <f>Database!SSA29</f>
        <v>0</v>
      </c>
      <c r="SRI5">
        <f>Database!SSB29</f>
        <v>0</v>
      </c>
      <c r="SRJ5">
        <f>Database!SSC29</f>
        <v>0</v>
      </c>
      <c r="SRK5">
        <f>Database!SSD29</f>
        <v>0</v>
      </c>
      <c r="SRL5">
        <f>Database!SSE29</f>
        <v>0</v>
      </c>
      <c r="SRM5">
        <f>Database!SSF29</f>
        <v>0</v>
      </c>
      <c r="SRN5">
        <f>Database!SSG29</f>
        <v>0</v>
      </c>
      <c r="SRO5">
        <f>Database!SSH29</f>
        <v>0</v>
      </c>
      <c r="SRP5">
        <f>Database!SSI29</f>
        <v>0</v>
      </c>
      <c r="SRQ5">
        <f>Database!SSJ29</f>
        <v>0</v>
      </c>
      <c r="SRR5">
        <f>Database!SSK29</f>
        <v>0</v>
      </c>
      <c r="SRS5">
        <f>Database!SSL29</f>
        <v>0</v>
      </c>
      <c r="SRT5">
        <f>Database!SSM29</f>
        <v>0</v>
      </c>
      <c r="SRU5">
        <f>Database!SSN29</f>
        <v>0</v>
      </c>
      <c r="SRV5">
        <f>Database!SSO29</f>
        <v>0</v>
      </c>
      <c r="SRW5">
        <f>Database!SSP29</f>
        <v>0</v>
      </c>
      <c r="SRX5">
        <f>Database!SSQ29</f>
        <v>0</v>
      </c>
      <c r="SRY5">
        <f>Database!SSR29</f>
        <v>0</v>
      </c>
      <c r="SRZ5">
        <f>Database!SSS29</f>
        <v>0</v>
      </c>
      <c r="SSA5">
        <f>Database!SST29</f>
        <v>0</v>
      </c>
      <c r="SSB5">
        <f>Database!SSU29</f>
        <v>0</v>
      </c>
      <c r="SSC5">
        <f>Database!SSV29</f>
        <v>0</v>
      </c>
      <c r="SSD5">
        <f>Database!SSW29</f>
        <v>0</v>
      </c>
      <c r="SSE5">
        <f>Database!SSX29</f>
        <v>0</v>
      </c>
      <c r="SSF5">
        <f>Database!SSY29</f>
        <v>0</v>
      </c>
      <c r="SSG5">
        <f>Database!SSZ29</f>
        <v>0</v>
      </c>
      <c r="SSH5">
        <f>Database!STA29</f>
        <v>0</v>
      </c>
      <c r="SSI5">
        <f>Database!STB29</f>
        <v>0</v>
      </c>
      <c r="SSJ5">
        <f>Database!STC29</f>
        <v>0</v>
      </c>
      <c r="SSK5">
        <f>Database!STD29</f>
        <v>0</v>
      </c>
      <c r="SSL5">
        <f>Database!STE29</f>
        <v>0</v>
      </c>
      <c r="SSM5">
        <f>Database!STF29</f>
        <v>0</v>
      </c>
      <c r="SSN5">
        <f>Database!STG29</f>
        <v>0</v>
      </c>
      <c r="SSO5">
        <f>Database!STH29</f>
        <v>0</v>
      </c>
      <c r="SSP5">
        <f>Database!STI29</f>
        <v>0</v>
      </c>
      <c r="SSQ5">
        <f>Database!STJ29</f>
        <v>0</v>
      </c>
      <c r="SSR5">
        <f>Database!STK29</f>
        <v>0</v>
      </c>
      <c r="SSS5">
        <f>Database!STL29</f>
        <v>0</v>
      </c>
      <c r="SST5">
        <f>Database!STM29</f>
        <v>0</v>
      </c>
      <c r="SSU5">
        <f>Database!STN29</f>
        <v>0</v>
      </c>
      <c r="SSV5">
        <f>Database!STO29</f>
        <v>0</v>
      </c>
      <c r="SSW5">
        <f>Database!STP29</f>
        <v>0</v>
      </c>
      <c r="SSX5">
        <f>Database!STQ29</f>
        <v>0</v>
      </c>
      <c r="SSY5">
        <f>Database!STR29</f>
        <v>0</v>
      </c>
      <c r="SSZ5">
        <f>Database!STS29</f>
        <v>0</v>
      </c>
      <c r="STA5">
        <f>Database!STT29</f>
        <v>0</v>
      </c>
      <c r="STB5">
        <f>Database!STU29</f>
        <v>0</v>
      </c>
      <c r="STC5">
        <f>Database!STV29</f>
        <v>0</v>
      </c>
      <c r="STD5">
        <f>Database!STW29</f>
        <v>0</v>
      </c>
      <c r="STE5">
        <f>Database!STX29</f>
        <v>0</v>
      </c>
      <c r="STF5">
        <f>Database!STY29</f>
        <v>0</v>
      </c>
      <c r="STG5">
        <f>Database!STZ29</f>
        <v>0</v>
      </c>
      <c r="STH5">
        <f>Database!SUA29</f>
        <v>0</v>
      </c>
      <c r="STI5">
        <f>Database!SUB29</f>
        <v>0</v>
      </c>
      <c r="STJ5">
        <f>Database!SUC29</f>
        <v>0</v>
      </c>
      <c r="STK5">
        <f>Database!SUD29</f>
        <v>0</v>
      </c>
      <c r="STL5">
        <f>Database!SUE29</f>
        <v>0</v>
      </c>
      <c r="STM5">
        <f>Database!SUF29</f>
        <v>0</v>
      </c>
      <c r="STN5">
        <f>Database!SUG29</f>
        <v>0</v>
      </c>
      <c r="STO5">
        <f>Database!SUH29</f>
        <v>0</v>
      </c>
      <c r="STP5">
        <f>Database!SUI29</f>
        <v>0</v>
      </c>
      <c r="STQ5">
        <f>Database!SUJ29</f>
        <v>0</v>
      </c>
      <c r="STR5">
        <f>Database!SUK29</f>
        <v>0</v>
      </c>
      <c r="STS5">
        <f>Database!SUL29</f>
        <v>0</v>
      </c>
      <c r="STT5">
        <f>Database!SUM29</f>
        <v>0</v>
      </c>
      <c r="STU5">
        <f>Database!SUN29</f>
        <v>0</v>
      </c>
      <c r="STV5">
        <f>Database!SUO29</f>
        <v>0</v>
      </c>
      <c r="STW5">
        <f>Database!SUP29</f>
        <v>0</v>
      </c>
      <c r="STX5">
        <f>Database!SUQ29</f>
        <v>0</v>
      </c>
      <c r="STY5">
        <f>Database!SUR29</f>
        <v>0</v>
      </c>
      <c r="STZ5">
        <f>Database!SUS29</f>
        <v>0</v>
      </c>
      <c r="SUA5">
        <f>Database!SUT29</f>
        <v>0</v>
      </c>
      <c r="SUB5">
        <f>Database!SUU29</f>
        <v>0</v>
      </c>
      <c r="SUC5">
        <f>Database!SUV29</f>
        <v>0</v>
      </c>
      <c r="SUD5">
        <f>Database!SUW29</f>
        <v>0</v>
      </c>
      <c r="SUE5">
        <f>Database!SUX29</f>
        <v>0</v>
      </c>
      <c r="SUF5">
        <f>Database!SUY29</f>
        <v>0</v>
      </c>
      <c r="SUG5">
        <f>Database!SUZ29</f>
        <v>0</v>
      </c>
      <c r="SUH5">
        <f>Database!SVA29</f>
        <v>0</v>
      </c>
      <c r="SUI5">
        <f>Database!SVB29</f>
        <v>0</v>
      </c>
      <c r="SUJ5">
        <f>Database!SVC29</f>
        <v>0</v>
      </c>
      <c r="SUK5">
        <f>Database!SVD29</f>
        <v>0</v>
      </c>
      <c r="SUL5">
        <f>Database!SVE29</f>
        <v>0</v>
      </c>
      <c r="SUM5">
        <f>Database!SVF29</f>
        <v>0</v>
      </c>
      <c r="SUN5">
        <f>Database!SVG29</f>
        <v>0</v>
      </c>
      <c r="SUO5">
        <f>Database!SVH29</f>
        <v>0</v>
      </c>
      <c r="SUP5">
        <f>Database!SVI29</f>
        <v>0</v>
      </c>
      <c r="SUQ5">
        <f>Database!SVJ29</f>
        <v>0</v>
      </c>
      <c r="SUR5">
        <f>Database!SVK29</f>
        <v>0</v>
      </c>
      <c r="SUS5">
        <f>Database!SVL29</f>
        <v>0</v>
      </c>
      <c r="SUT5">
        <f>Database!SVM29</f>
        <v>0</v>
      </c>
      <c r="SUU5">
        <f>Database!SVN29</f>
        <v>0</v>
      </c>
      <c r="SUV5">
        <f>Database!SVO29</f>
        <v>0</v>
      </c>
      <c r="SUW5">
        <f>Database!SVP29</f>
        <v>0</v>
      </c>
      <c r="SUX5">
        <f>Database!SVQ29</f>
        <v>0</v>
      </c>
      <c r="SUY5">
        <f>Database!SVR29</f>
        <v>0</v>
      </c>
      <c r="SUZ5">
        <f>Database!SVS29</f>
        <v>0</v>
      </c>
      <c r="SVA5">
        <f>Database!SVT29</f>
        <v>0</v>
      </c>
      <c r="SVB5">
        <f>Database!SVU29</f>
        <v>0</v>
      </c>
      <c r="SVC5">
        <f>Database!SVV29</f>
        <v>0</v>
      </c>
      <c r="SVD5">
        <f>Database!SVW29</f>
        <v>0</v>
      </c>
      <c r="SVE5">
        <f>Database!SVX29</f>
        <v>0</v>
      </c>
      <c r="SVF5">
        <f>Database!SVY29</f>
        <v>0</v>
      </c>
      <c r="SVG5">
        <f>Database!SVZ29</f>
        <v>0</v>
      </c>
      <c r="SVH5">
        <f>Database!SWA29</f>
        <v>0</v>
      </c>
      <c r="SVI5">
        <f>Database!SWB29</f>
        <v>0</v>
      </c>
      <c r="SVJ5">
        <f>Database!SWC29</f>
        <v>0</v>
      </c>
      <c r="SVK5">
        <f>Database!SWD29</f>
        <v>0</v>
      </c>
      <c r="SVL5">
        <f>Database!SWE29</f>
        <v>0</v>
      </c>
      <c r="SVM5">
        <f>Database!SWF29</f>
        <v>0</v>
      </c>
      <c r="SVN5">
        <f>Database!SWG29</f>
        <v>0</v>
      </c>
      <c r="SVO5">
        <f>Database!SWH29</f>
        <v>0</v>
      </c>
      <c r="SVP5">
        <f>Database!SWI29</f>
        <v>0</v>
      </c>
      <c r="SVQ5">
        <f>Database!SWJ29</f>
        <v>0</v>
      </c>
      <c r="SVR5">
        <f>Database!SWK29</f>
        <v>0</v>
      </c>
      <c r="SVS5">
        <f>Database!SWL29</f>
        <v>0</v>
      </c>
      <c r="SVT5">
        <f>Database!SWM29</f>
        <v>0</v>
      </c>
      <c r="SVU5">
        <f>Database!SWN29</f>
        <v>0</v>
      </c>
      <c r="SVV5">
        <f>Database!SWO29</f>
        <v>0</v>
      </c>
      <c r="SVW5">
        <f>Database!SWP29</f>
        <v>0</v>
      </c>
      <c r="SVX5">
        <f>Database!SWQ29</f>
        <v>0</v>
      </c>
      <c r="SVY5">
        <f>Database!SWR29</f>
        <v>0</v>
      </c>
      <c r="SVZ5">
        <f>Database!SWS29</f>
        <v>0</v>
      </c>
      <c r="SWA5">
        <f>Database!SWT29</f>
        <v>0</v>
      </c>
      <c r="SWB5">
        <f>Database!SWU29</f>
        <v>0</v>
      </c>
      <c r="SWC5">
        <f>Database!SWV29</f>
        <v>0</v>
      </c>
      <c r="SWD5">
        <f>Database!SWW29</f>
        <v>0</v>
      </c>
      <c r="SWE5">
        <f>Database!SWX29</f>
        <v>0</v>
      </c>
      <c r="SWF5">
        <f>Database!SWY29</f>
        <v>0</v>
      </c>
      <c r="SWG5">
        <f>Database!SWZ29</f>
        <v>0</v>
      </c>
      <c r="SWH5">
        <f>Database!SXA29</f>
        <v>0</v>
      </c>
      <c r="SWI5">
        <f>Database!SXB29</f>
        <v>0</v>
      </c>
      <c r="SWJ5">
        <f>Database!SXC29</f>
        <v>0</v>
      </c>
      <c r="SWK5">
        <f>Database!SXD29</f>
        <v>0</v>
      </c>
      <c r="SWL5">
        <f>Database!SXE29</f>
        <v>0</v>
      </c>
      <c r="SWM5">
        <f>Database!SXF29</f>
        <v>0</v>
      </c>
      <c r="SWN5">
        <f>Database!SXG29</f>
        <v>0</v>
      </c>
      <c r="SWO5">
        <f>Database!SXH29</f>
        <v>0</v>
      </c>
      <c r="SWP5">
        <f>Database!SXI29</f>
        <v>0</v>
      </c>
      <c r="SWQ5">
        <f>Database!SXJ29</f>
        <v>0</v>
      </c>
      <c r="SWR5">
        <f>Database!SXK29</f>
        <v>0</v>
      </c>
      <c r="SWS5">
        <f>Database!SXL29</f>
        <v>0</v>
      </c>
      <c r="SWT5">
        <f>Database!SXM29</f>
        <v>0</v>
      </c>
      <c r="SWU5">
        <f>Database!SXN29</f>
        <v>0</v>
      </c>
      <c r="SWV5">
        <f>Database!SXO29</f>
        <v>0</v>
      </c>
      <c r="SWW5">
        <f>Database!SXP29</f>
        <v>0</v>
      </c>
      <c r="SWX5">
        <f>Database!SXQ29</f>
        <v>0</v>
      </c>
      <c r="SWY5">
        <f>Database!SXR29</f>
        <v>0</v>
      </c>
      <c r="SWZ5">
        <f>Database!SXS29</f>
        <v>0</v>
      </c>
      <c r="SXA5">
        <f>Database!SXT29</f>
        <v>0</v>
      </c>
      <c r="SXB5">
        <f>Database!SXU29</f>
        <v>0</v>
      </c>
      <c r="SXC5">
        <f>Database!SXV29</f>
        <v>0</v>
      </c>
      <c r="SXD5">
        <f>Database!SXW29</f>
        <v>0</v>
      </c>
      <c r="SXE5">
        <f>Database!SXX29</f>
        <v>0</v>
      </c>
      <c r="SXF5">
        <f>Database!SXY29</f>
        <v>0</v>
      </c>
      <c r="SXG5">
        <f>Database!SXZ29</f>
        <v>0</v>
      </c>
      <c r="SXH5">
        <f>Database!SYA29</f>
        <v>0</v>
      </c>
      <c r="SXI5">
        <f>Database!SYB29</f>
        <v>0</v>
      </c>
      <c r="SXJ5">
        <f>Database!SYC29</f>
        <v>0</v>
      </c>
      <c r="SXK5">
        <f>Database!SYD29</f>
        <v>0</v>
      </c>
      <c r="SXL5">
        <f>Database!SYE29</f>
        <v>0</v>
      </c>
      <c r="SXM5">
        <f>Database!SYF29</f>
        <v>0</v>
      </c>
      <c r="SXN5">
        <f>Database!SYG29</f>
        <v>0</v>
      </c>
      <c r="SXO5">
        <f>Database!SYH29</f>
        <v>0</v>
      </c>
      <c r="SXP5">
        <f>Database!SYI29</f>
        <v>0</v>
      </c>
      <c r="SXQ5">
        <f>Database!SYJ29</f>
        <v>0</v>
      </c>
      <c r="SXR5">
        <f>Database!SYK29</f>
        <v>0</v>
      </c>
      <c r="SXS5">
        <f>Database!SYL29</f>
        <v>0</v>
      </c>
      <c r="SXT5">
        <f>Database!SYM29</f>
        <v>0</v>
      </c>
      <c r="SXU5">
        <f>Database!SYN29</f>
        <v>0</v>
      </c>
      <c r="SXV5">
        <f>Database!SYO29</f>
        <v>0</v>
      </c>
      <c r="SXW5">
        <f>Database!SYP29</f>
        <v>0</v>
      </c>
      <c r="SXX5">
        <f>Database!SYQ29</f>
        <v>0</v>
      </c>
      <c r="SXY5">
        <f>Database!SYR29</f>
        <v>0</v>
      </c>
      <c r="SXZ5">
        <f>Database!SYS29</f>
        <v>0</v>
      </c>
      <c r="SYA5">
        <f>Database!SYT29</f>
        <v>0</v>
      </c>
      <c r="SYB5">
        <f>Database!SYU29</f>
        <v>0</v>
      </c>
      <c r="SYC5">
        <f>Database!SYV29</f>
        <v>0</v>
      </c>
      <c r="SYD5">
        <f>Database!SYW29</f>
        <v>0</v>
      </c>
      <c r="SYE5">
        <f>Database!SYX29</f>
        <v>0</v>
      </c>
      <c r="SYF5">
        <f>Database!SYY29</f>
        <v>0</v>
      </c>
      <c r="SYG5">
        <f>Database!SYZ29</f>
        <v>0</v>
      </c>
      <c r="SYH5">
        <f>Database!SZA29</f>
        <v>0</v>
      </c>
      <c r="SYI5">
        <f>Database!SZB29</f>
        <v>0</v>
      </c>
      <c r="SYJ5">
        <f>Database!SZC29</f>
        <v>0</v>
      </c>
      <c r="SYK5">
        <f>Database!SZD29</f>
        <v>0</v>
      </c>
      <c r="SYL5">
        <f>Database!SZE29</f>
        <v>0</v>
      </c>
      <c r="SYM5">
        <f>Database!SZF29</f>
        <v>0</v>
      </c>
      <c r="SYN5">
        <f>Database!SZG29</f>
        <v>0</v>
      </c>
      <c r="SYO5">
        <f>Database!SZH29</f>
        <v>0</v>
      </c>
      <c r="SYP5">
        <f>Database!SZI29</f>
        <v>0</v>
      </c>
      <c r="SYQ5">
        <f>Database!SZJ29</f>
        <v>0</v>
      </c>
      <c r="SYR5">
        <f>Database!SZK29</f>
        <v>0</v>
      </c>
      <c r="SYS5">
        <f>Database!SZL29</f>
        <v>0</v>
      </c>
      <c r="SYT5">
        <f>Database!SZM29</f>
        <v>0</v>
      </c>
      <c r="SYU5">
        <f>Database!SZN29</f>
        <v>0</v>
      </c>
      <c r="SYV5">
        <f>Database!SZO29</f>
        <v>0</v>
      </c>
      <c r="SYW5">
        <f>Database!SZP29</f>
        <v>0</v>
      </c>
      <c r="SYX5">
        <f>Database!SZQ29</f>
        <v>0</v>
      </c>
      <c r="SYY5">
        <f>Database!SZR29</f>
        <v>0</v>
      </c>
      <c r="SYZ5">
        <f>Database!SZS29</f>
        <v>0</v>
      </c>
      <c r="SZA5">
        <f>Database!SZT29</f>
        <v>0</v>
      </c>
      <c r="SZB5">
        <f>Database!SZU29</f>
        <v>0</v>
      </c>
      <c r="SZC5">
        <f>Database!SZV29</f>
        <v>0</v>
      </c>
      <c r="SZD5">
        <f>Database!SZW29</f>
        <v>0</v>
      </c>
      <c r="SZE5">
        <f>Database!SZX29</f>
        <v>0</v>
      </c>
      <c r="SZF5">
        <f>Database!SZY29</f>
        <v>0</v>
      </c>
      <c r="SZG5">
        <f>Database!SZZ29</f>
        <v>0</v>
      </c>
      <c r="SZH5">
        <f>Database!TAA29</f>
        <v>0</v>
      </c>
      <c r="SZI5">
        <f>Database!TAB29</f>
        <v>0</v>
      </c>
      <c r="SZJ5">
        <f>Database!TAC29</f>
        <v>0</v>
      </c>
      <c r="SZK5">
        <f>Database!TAD29</f>
        <v>0</v>
      </c>
      <c r="SZL5">
        <f>Database!TAE29</f>
        <v>0</v>
      </c>
      <c r="SZM5">
        <f>Database!TAF29</f>
        <v>0</v>
      </c>
      <c r="SZN5">
        <f>Database!TAG29</f>
        <v>0</v>
      </c>
      <c r="SZO5">
        <f>Database!TAH29</f>
        <v>0</v>
      </c>
      <c r="SZP5">
        <f>Database!TAI29</f>
        <v>0</v>
      </c>
      <c r="SZQ5">
        <f>Database!TAJ29</f>
        <v>0</v>
      </c>
      <c r="SZR5">
        <f>Database!TAK29</f>
        <v>0</v>
      </c>
      <c r="SZS5">
        <f>Database!TAL29</f>
        <v>0</v>
      </c>
      <c r="SZT5">
        <f>Database!TAM29</f>
        <v>0</v>
      </c>
      <c r="SZU5">
        <f>Database!TAN29</f>
        <v>0</v>
      </c>
      <c r="SZV5">
        <f>Database!TAO29</f>
        <v>0</v>
      </c>
      <c r="SZW5">
        <f>Database!TAP29</f>
        <v>0</v>
      </c>
      <c r="SZX5">
        <f>Database!TAQ29</f>
        <v>0</v>
      </c>
      <c r="SZY5">
        <f>Database!TAR29</f>
        <v>0</v>
      </c>
      <c r="SZZ5">
        <f>Database!TAS29</f>
        <v>0</v>
      </c>
      <c r="TAA5">
        <f>Database!TAT29</f>
        <v>0</v>
      </c>
      <c r="TAB5">
        <f>Database!TAU29</f>
        <v>0</v>
      </c>
      <c r="TAC5">
        <f>Database!TAV29</f>
        <v>0</v>
      </c>
      <c r="TAD5">
        <f>Database!TAW29</f>
        <v>0</v>
      </c>
      <c r="TAE5">
        <f>Database!TAX29</f>
        <v>0</v>
      </c>
      <c r="TAF5">
        <f>Database!TAY29</f>
        <v>0</v>
      </c>
      <c r="TAG5">
        <f>Database!TAZ29</f>
        <v>0</v>
      </c>
      <c r="TAH5">
        <f>Database!TBA29</f>
        <v>0</v>
      </c>
      <c r="TAI5">
        <f>Database!TBB29</f>
        <v>0</v>
      </c>
      <c r="TAJ5">
        <f>Database!TBC29</f>
        <v>0</v>
      </c>
      <c r="TAK5">
        <f>Database!TBD29</f>
        <v>0</v>
      </c>
      <c r="TAL5">
        <f>Database!TBE29</f>
        <v>0</v>
      </c>
      <c r="TAM5">
        <f>Database!TBF29</f>
        <v>0</v>
      </c>
      <c r="TAN5">
        <f>Database!TBG29</f>
        <v>0</v>
      </c>
      <c r="TAO5">
        <f>Database!TBH29</f>
        <v>0</v>
      </c>
      <c r="TAP5">
        <f>Database!TBI29</f>
        <v>0</v>
      </c>
      <c r="TAQ5">
        <f>Database!TBJ29</f>
        <v>0</v>
      </c>
      <c r="TAR5">
        <f>Database!TBK29</f>
        <v>0</v>
      </c>
      <c r="TAS5">
        <f>Database!TBL29</f>
        <v>0</v>
      </c>
      <c r="TAT5">
        <f>Database!TBM29</f>
        <v>0</v>
      </c>
      <c r="TAU5">
        <f>Database!TBN29</f>
        <v>0</v>
      </c>
      <c r="TAV5">
        <f>Database!TBO29</f>
        <v>0</v>
      </c>
      <c r="TAW5">
        <f>Database!TBP29</f>
        <v>0</v>
      </c>
      <c r="TAX5">
        <f>Database!TBQ29</f>
        <v>0</v>
      </c>
      <c r="TAY5">
        <f>Database!TBR29</f>
        <v>0</v>
      </c>
      <c r="TAZ5">
        <f>Database!TBS29</f>
        <v>0</v>
      </c>
      <c r="TBA5">
        <f>Database!TBT29</f>
        <v>0</v>
      </c>
      <c r="TBB5">
        <f>Database!TBU29</f>
        <v>0</v>
      </c>
      <c r="TBC5">
        <f>Database!TBV29</f>
        <v>0</v>
      </c>
      <c r="TBD5">
        <f>Database!TBW29</f>
        <v>0</v>
      </c>
      <c r="TBE5">
        <f>Database!TBX29</f>
        <v>0</v>
      </c>
      <c r="TBF5">
        <f>Database!TBY29</f>
        <v>0</v>
      </c>
      <c r="TBG5">
        <f>Database!TBZ29</f>
        <v>0</v>
      </c>
      <c r="TBH5">
        <f>Database!TCA29</f>
        <v>0</v>
      </c>
      <c r="TBI5">
        <f>Database!TCB29</f>
        <v>0</v>
      </c>
      <c r="TBJ5">
        <f>Database!TCC29</f>
        <v>0</v>
      </c>
      <c r="TBK5">
        <f>Database!TCD29</f>
        <v>0</v>
      </c>
      <c r="TBL5">
        <f>Database!TCE29</f>
        <v>0</v>
      </c>
      <c r="TBM5">
        <f>Database!TCF29</f>
        <v>0</v>
      </c>
      <c r="TBN5">
        <f>Database!TCG29</f>
        <v>0</v>
      </c>
      <c r="TBO5">
        <f>Database!TCH29</f>
        <v>0</v>
      </c>
      <c r="TBP5">
        <f>Database!TCI29</f>
        <v>0</v>
      </c>
      <c r="TBQ5">
        <f>Database!TCJ29</f>
        <v>0</v>
      </c>
      <c r="TBR5">
        <f>Database!TCK29</f>
        <v>0</v>
      </c>
      <c r="TBS5">
        <f>Database!TCL29</f>
        <v>0</v>
      </c>
      <c r="TBT5">
        <f>Database!TCM29</f>
        <v>0</v>
      </c>
      <c r="TBU5">
        <f>Database!TCN29</f>
        <v>0</v>
      </c>
      <c r="TBV5">
        <f>Database!TCO29</f>
        <v>0</v>
      </c>
      <c r="TBW5">
        <f>Database!TCP29</f>
        <v>0</v>
      </c>
      <c r="TBX5">
        <f>Database!TCQ29</f>
        <v>0</v>
      </c>
      <c r="TBY5">
        <f>Database!TCR29</f>
        <v>0</v>
      </c>
      <c r="TBZ5">
        <f>Database!TCS29</f>
        <v>0</v>
      </c>
      <c r="TCA5">
        <f>Database!TCT29</f>
        <v>0</v>
      </c>
      <c r="TCB5">
        <f>Database!TCU29</f>
        <v>0</v>
      </c>
      <c r="TCC5">
        <f>Database!TCV29</f>
        <v>0</v>
      </c>
      <c r="TCD5">
        <f>Database!TCW29</f>
        <v>0</v>
      </c>
      <c r="TCE5">
        <f>Database!TCX29</f>
        <v>0</v>
      </c>
      <c r="TCF5">
        <f>Database!TCY29</f>
        <v>0</v>
      </c>
      <c r="TCG5">
        <f>Database!TCZ29</f>
        <v>0</v>
      </c>
      <c r="TCH5">
        <f>Database!TDA29</f>
        <v>0</v>
      </c>
      <c r="TCI5">
        <f>Database!TDB29</f>
        <v>0</v>
      </c>
      <c r="TCJ5">
        <f>Database!TDC29</f>
        <v>0</v>
      </c>
      <c r="TCK5">
        <f>Database!TDD29</f>
        <v>0</v>
      </c>
      <c r="TCL5">
        <f>Database!TDE29</f>
        <v>0</v>
      </c>
      <c r="TCM5">
        <f>Database!TDF29</f>
        <v>0</v>
      </c>
      <c r="TCN5">
        <f>Database!TDG29</f>
        <v>0</v>
      </c>
      <c r="TCO5">
        <f>Database!TDH29</f>
        <v>0</v>
      </c>
      <c r="TCP5">
        <f>Database!TDI29</f>
        <v>0</v>
      </c>
      <c r="TCQ5">
        <f>Database!TDJ29</f>
        <v>0</v>
      </c>
      <c r="TCR5">
        <f>Database!TDK29</f>
        <v>0</v>
      </c>
      <c r="TCS5">
        <f>Database!TDL29</f>
        <v>0</v>
      </c>
      <c r="TCT5">
        <f>Database!TDM29</f>
        <v>0</v>
      </c>
      <c r="TCU5">
        <f>Database!TDN29</f>
        <v>0</v>
      </c>
      <c r="TCV5">
        <f>Database!TDO29</f>
        <v>0</v>
      </c>
      <c r="TCW5">
        <f>Database!TDP29</f>
        <v>0</v>
      </c>
      <c r="TCX5">
        <f>Database!TDQ29</f>
        <v>0</v>
      </c>
      <c r="TCY5">
        <f>Database!TDR29</f>
        <v>0</v>
      </c>
      <c r="TCZ5">
        <f>Database!TDS29</f>
        <v>0</v>
      </c>
      <c r="TDA5">
        <f>Database!TDT29</f>
        <v>0</v>
      </c>
      <c r="TDB5">
        <f>Database!TDU29</f>
        <v>0</v>
      </c>
      <c r="TDC5">
        <f>Database!TDV29</f>
        <v>0</v>
      </c>
      <c r="TDD5">
        <f>Database!TDW29</f>
        <v>0</v>
      </c>
      <c r="TDE5">
        <f>Database!TDX29</f>
        <v>0</v>
      </c>
      <c r="TDF5">
        <f>Database!TDY29</f>
        <v>0</v>
      </c>
      <c r="TDG5">
        <f>Database!TDZ29</f>
        <v>0</v>
      </c>
      <c r="TDH5">
        <f>Database!TEA29</f>
        <v>0</v>
      </c>
      <c r="TDI5">
        <f>Database!TEB29</f>
        <v>0</v>
      </c>
      <c r="TDJ5">
        <f>Database!TEC29</f>
        <v>0</v>
      </c>
      <c r="TDK5">
        <f>Database!TED29</f>
        <v>0</v>
      </c>
      <c r="TDL5">
        <f>Database!TEE29</f>
        <v>0</v>
      </c>
      <c r="TDM5">
        <f>Database!TEF29</f>
        <v>0</v>
      </c>
      <c r="TDN5">
        <f>Database!TEG29</f>
        <v>0</v>
      </c>
      <c r="TDO5">
        <f>Database!TEH29</f>
        <v>0</v>
      </c>
      <c r="TDP5">
        <f>Database!TEI29</f>
        <v>0</v>
      </c>
      <c r="TDQ5">
        <f>Database!TEJ29</f>
        <v>0</v>
      </c>
      <c r="TDR5">
        <f>Database!TEK29</f>
        <v>0</v>
      </c>
      <c r="TDS5">
        <f>Database!TEL29</f>
        <v>0</v>
      </c>
      <c r="TDT5">
        <f>Database!TEM29</f>
        <v>0</v>
      </c>
      <c r="TDU5">
        <f>Database!TEN29</f>
        <v>0</v>
      </c>
      <c r="TDV5">
        <f>Database!TEO29</f>
        <v>0</v>
      </c>
      <c r="TDW5">
        <f>Database!TEP29</f>
        <v>0</v>
      </c>
      <c r="TDX5">
        <f>Database!TEQ29</f>
        <v>0</v>
      </c>
      <c r="TDY5">
        <f>Database!TER29</f>
        <v>0</v>
      </c>
      <c r="TDZ5">
        <f>Database!TES29</f>
        <v>0</v>
      </c>
      <c r="TEA5">
        <f>Database!TET29</f>
        <v>0</v>
      </c>
      <c r="TEB5">
        <f>Database!TEU29</f>
        <v>0</v>
      </c>
      <c r="TEC5">
        <f>Database!TEV29</f>
        <v>0</v>
      </c>
      <c r="TED5">
        <f>Database!TEW29</f>
        <v>0</v>
      </c>
      <c r="TEE5">
        <f>Database!TEX29</f>
        <v>0</v>
      </c>
      <c r="TEF5">
        <f>Database!TEY29</f>
        <v>0</v>
      </c>
      <c r="TEG5">
        <f>Database!TEZ29</f>
        <v>0</v>
      </c>
      <c r="TEH5">
        <f>Database!TFA29</f>
        <v>0</v>
      </c>
      <c r="TEI5">
        <f>Database!TFB29</f>
        <v>0</v>
      </c>
      <c r="TEJ5">
        <f>Database!TFC29</f>
        <v>0</v>
      </c>
      <c r="TEK5">
        <f>Database!TFD29</f>
        <v>0</v>
      </c>
      <c r="TEL5">
        <f>Database!TFE29</f>
        <v>0</v>
      </c>
      <c r="TEM5">
        <f>Database!TFF29</f>
        <v>0</v>
      </c>
      <c r="TEN5">
        <f>Database!TFG29</f>
        <v>0</v>
      </c>
      <c r="TEO5">
        <f>Database!TFH29</f>
        <v>0</v>
      </c>
      <c r="TEP5">
        <f>Database!TFI29</f>
        <v>0</v>
      </c>
      <c r="TEQ5">
        <f>Database!TFJ29</f>
        <v>0</v>
      </c>
      <c r="TER5">
        <f>Database!TFK29</f>
        <v>0</v>
      </c>
      <c r="TES5">
        <f>Database!TFL29</f>
        <v>0</v>
      </c>
      <c r="TET5">
        <f>Database!TFM29</f>
        <v>0</v>
      </c>
      <c r="TEU5">
        <f>Database!TFN29</f>
        <v>0</v>
      </c>
      <c r="TEV5">
        <f>Database!TFO29</f>
        <v>0</v>
      </c>
      <c r="TEW5">
        <f>Database!TFP29</f>
        <v>0</v>
      </c>
      <c r="TEX5">
        <f>Database!TFQ29</f>
        <v>0</v>
      </c>
      <c r="TEY5">
        <f>Database!TFR29</f>
        <v>0</v>
      </c>
      <c r="TEZ5">
        <f>Database!TFS29</f>
        <v>0</v>
      </c>
      <c r="TFA5">
        <f>Database!TFT29</f>
        <v>0</v>
      </c>
      <c r="TFB5">
        <f>Database!TFU29</f>
        <v>0</v>
      </c>
      <c r="TFC5">
        <f>Database!TFV29</f>
        <v>0</v>
      </c>
      <c r="TFD5">
        <f>Database!TFW29</f>
        <v>0</v>
      </c>
      <c r="TFE5">
        <f>Database!TFX29</f>
        <v>0</v>
      </c>
      <c r="TFF5">
        <f>Database!TFY29</f>
        <v>0</v>
      </c>
      <c r="TFG5">
        <f>Database!TFZ29</f>
        <v>0</v>
      </c>
      <c r="TFH5">
        <f>Database!TGA29</f>
        <v>0</v>
      </c>
      <c r="TFI5">
        <f>Database!TGB29</f>
        <v>0</v>
      </c>
      <c r="TFJ5">
        <f>Database!TGC29</f>
        <v>0</v>
      </c>
      <c r="TFK5">
        <f>Database!TGD29</f>
        <v>0</v>
      </c>
      <c r="TFL5">
        <f>Database!TGE29</f>
        <v>0</v>
      </c>
      <c r="TFM5">
        <f>Database!TGF29</f>
        <v>0</v>
      </c>
      <c r="TFN5">
        <f>Database!TGG29</f>
        <v>0</v>
      </c>
      <c r="TFO5">
        <f>Database!TGH29</f>
        <v>0</v>
      </c>
      <c r="TFP5">
        <f>Database!TGI29</f>
        <v>0</v>
      </c>
      <c r="TFQ5">
        <f>Database!TGJ29</f>
        <v>0</v>
      </c>
      <c r="TFR5">
        <f>Database!TGK29</f>
        <v>0</v>
      </c>
      <c r="TFS5">
        <f>Database!TGL29</f>
        <v>0</v>
      </c>
      <c r="TFT5">
        <f>Database!TGM29</f>
        <v>0</v>
      </c>
      <c r="TFU5">
        <f>Database!TGN29</f>
        <v>0</v>
      </c>
      <c r="TFV5">
        <f>Database!TGO29</f>
        <v>0</v>
      </c>
      <c r="TFW5">
        <f>Database!TGP29</f>
        <v>0</v>
      </c>
      <c r="TFX5">
        <f>Database!TGQ29</f>
        <v>0</v>
      </c>
      <c r="TFY5">
        <f>Database!TGR29</f>
        <v>0</v>
      </c>
      <c r="TFZ5">
        <f>Database!TGS29</f>
        <v>0</v>
      </c>
      <c r="TGA5">
        <f>Database!TGT29</f>
        <v>0</v>
      </c>
      <c r="TGB5">
        <f>Database!TGU29</f>
        <v>0</v>
      </c>
      <c r="TGC5">
        <f>Database!TGV29</f>
        <v>0</v>
      </c>
      <c r="TGD5">
        <f>Database!TGW29</f>
        <v>0</v>
      </c>
      <c r="TGE5">
        <f>Database!TGX29</f>
        <v>0</v>
      </c>
      <c r="TGF5">
        <f>Database!TGY29</f>
        <v>0</v>
      </c>
      <c r="TGG5">
        <f>Database!TGZ29</f>
        <v>0</v>
      </c>
      <c r="TGH5">
        <f>Database!THA29</f>
        <v>0</v>
      </c>
      <c r="TGI5">
        <f>Database!THB29</f>
        <v>0</v>
      </c>
      <c r="TGJ5">
        <f>Database!THC29</f>
        <v>0</v>
      </c>
      <c r="TGK5">
        <f>Database!THD29</f>
        <v>0</v>
      </c>
      <c r="TGL5">
        <f>Database!THE29</f>
        <v>0</v>
      </c>
      <c r="TGM5">
        <f>Database!THF29</f>
        <v>0</v>
      </c>
      <c r="TGN5">
        <f>Database!THG29</f>
        <v>0</v>
      </c>
      <c r="TGO5">
        <f>Database!THH29</f>
        <v>0</v>
      </c>
      <c r="TGP5">
        <f>Database!THI29</f>
        <v>0</v>
      </c>
      <c r="TGQ5">
        <f>Database!THJ29</f>
        <v>0</v>
      </c>
      <c r="TGR5">
        <f>Database!THK29</f>
        <v>0</v>
      </c>
      <c r="TGS5">
        <f>Database!THL29</f>
        <v>0</v>
      </c>
      <c r="TGT5">
        <f>Database!THM29</f>
        <v>0</v>
      </c>
      <c r="TGU5">
        <f>Database!THN29</f>
        <v>0</v>
      </c>
      <c r="TGV5">
        <f>Database!THO29</f>
        <v>0</v>
      </c>
      <c r="TGW5">
        <f>Database!THP29</f>
        <v>0</v>
      </c>
      <c r="TGX5">
        <f>Database!THQ29</f>
        <v>0</v>
      </c>
      <c r="TGY5">
        <f>Database!THR29</f>
        <v>0</v>
      </c>
      <c r="TGZ5">
        <f>Database!THS29</f>
        <v>0</v>
      </c>
      <c r="THA5">
        <f>Database!THT29</f>
        <v>0</v>
      </c>
      <c r="THB5">
        <f>Database!THU29</f>
        <v>0</v>
      </c>
      <c r="THC5">
        <f>Database!THV29</f>
        <v>0</v>
      </c>
      <c r="THD5">
        <f>Database!THW29</f>
        <v>0</v>
      </c>
      <c r="THE5">
        <f>Database!THX29</f>
        <v>0</v>
      </c>
      <c r="THF5">
        <f>Database!THY29</f>
        <v>0</v>
      </c>
      <c r="THG5">
        <f>Database!THZ29</f>
        <v>0</v>
      </c>
      <c r="THH5">
        <f>Database!TIA29</f>
        <v>0</v>
      </c>
      <c r="THI5">
        <f>Database!TIB29</f>
        <v>0</v>
      </c>
      <c r="THJ5">
        <f>Database!TIC29</f>
        <v>0</v>
      </c>
      <c r="THK5">
        <f>Database!TID29</f>
        <v>0</v>
      </c>
      <c r="THL5">
        <f>Database!TIE29</f>
        <v>0</v>
      </c>
      <c r="THM5">
        <f>Database!TIF29</f>
        <v>0</v>
      </c>
      <c r="THN5">
        <f>Database!TIG29</f>
        <v>0</v>
      </c>
      <c r="THO5">
        <f>Database!TIH29</f>
        <v>0</v>
      </c>
      <c r="THP5">
        <f>Database!TII29</f>
        <v>0</v>
      </c>
      <c r="THQ5">
        <f>Database!TIJ29</f>
        <v>0</v>
      </c>
      <c r="THR5">
        <f>Database!TIK29</f>
        <v>0</v>
      </c>
      <c r="THS5">
        <f>Database!TIL29</f>
        <v>0</v>
      </c>
      <c r="THT5">
        <f>Database!TIM29</f>
        <v>0</v>
      </c>
      <c r="THU5">
        <f>Database!TIN29</f>
        <v>0</v>
      </c>
      <c r="THV5">
        <f>Database!TIO29</f>
        <v>0</v>
      </c>
      <c r="THW5">
        <f>Database!TIP29</f>
        <v>0</v>
      </c>
      <c r="THX5">
        <f>Database!TIQ29</f>
        <v>0</v>
      </c>
      <c r="THY5">
        <f>Database!TIR29</f>
        <v>0</v>
      </c>
      <c r="THZ5">
        <f>Database!TIS29</f>
        <v>0</v>
      </c>
      <c r="TIA5">
        <f>Database!TIT29</f>
        <v>0</v>
      </c>
      <c r="TIB5">
        <f>Database!TIU29</f>
        <v>0</v>
      </c>
      <c r="TIC5">
        <f>Database!TIV29</f>
        <v>0</v>
      </c>
      <c r="TID5">
        <f>Database!TIW29</f>
        <v>0</v>
      </c>
      <c r="TIE5">
        <f>Database!TIX29</f>
        <v>0</v>
      </c>
      <c r="TIF5">
        <f>Database!TIY29</f>
        <v>0</v>
      </c>
      <c r="TIG5">
        <f>Database!TIZ29</f>
        <v>0</v>
      </c>
      <c r="TIH5">
        <f>Database!TJA29</f>
        <v>0</v>
      </c>
      <c r="TII5">
        <f>Database!TJB29</f>
        <v>0</v>
      </c>
      <c r="TIJ5">
        <f>Database!TJC29</f>
        <v>0</v>
      </c>
      <c r="TIK5">
        <f>Database!TJD29</f>
        <v>0</v>
      </c>
      <c r="TIL5">
        <f>Database!TJE29</f>
        <v>0</v>
      </c>
      <c r="TIM5">
        <f>Database!TJF29</f>
        <v>0</v>
      </c>
      <c r="TIN5">
        <f>Database!TJG29</f>
        <v>0</v>
      </c>
      <c r="TIO5">
        <f>Database!TJH29</f>
        <v>0</v>
      </c>
      <c r="TIP5">
        <f>Database!TJI29</f>
        <v>0</v>
      </c>
      <c r="TIQ5">
        <f>Database!TJJ29</f>
        <v>0</v>
      </c>
      <c r="TIR5">
        <f>Database!TJK29</f>
        <v>0</v>
      </c>
      <c r="TIS5">
        <f>Database!TJL29</f>
        <v>0</v>
      </c>
      <c r="TIT5">
        <f>Database!TJM29</f>
        <v>0</v>
      </c>
      <c r="TIU5">
        <f>Database!TJN29</f>
        <v>0</v>
      </c>
      <c r="TIV5">
        <f>Database!TJO29</f>
        <v>0</v>
      </c>
      <c r="TIW5">
        <f>Database!TJP29</f>
        <v>0</v>
      </c>
      <c r="TIX5">
        <f>Database!TJQ29</f>
        <v>0</v>
      </c>
      <c r="TIY5">
        <f>Database!TJR29</f>
        <v>0</v>
      </c>
      <c r="TIZ5">
        <f>Database!TJS29</f>
        <v>0</v>
      </c>
      <c r="TJA5">
        <f>Database!TJT29</f>
        <v>0</v>
      </c>
      <c r="TJB5">
        <f>Database!TJU29</f>
        <v>0</v>
      </c>
      <c r="TJC5">
        <f>Database!TJV29</f>
        <v>0</v>
      </c>
      <c r="TJD5">
        <f>Database!TJW29</f>
        <v>0</v>
      </c>
      <c r="TJE5">
        <f>Database!TJX29</f>
        <v>0</v>
      </c>
      <c r="TJF5">
        <f>Database!TJY29</f>
        <v>0</v>
      </c>
      <c r="TJG5">
        <f>Database!TJZ29</f>
        <v>0</v>
      </c>
      <c r="TJH5">
        <f>Database!TKA29</f>
        <v>0</v>
      </c>
      <c r="TJI5">
        <f>Database!TKB29</f>
        <v>0</v>
      </c>
      <c r="TJJ5">
        <f>Database!TKC29</f>
        <v>0</v>
      </c>
      <c r="TJK5">
        <f>Database!TKD29</f>
        <v>0</v>
      </c>
      <c r="TJL5">
        <f>Database!TKE29</f>
        <v>0</v>
      </c>
      <c r="TJM5">
        <f>Database!TKF29</f>
        <v>0</v>
      </c>
      <c r="TJN5">
        <f>Database!TKG29</f>
        <v>0</v>
      </c>
      <c r="TJO5">
        <f>Database!TKH29</f>
        <v>0</v>
      </c>
      <c r="TJP5">
        <f>Database!TKI29</f>
        <v>0</v>
      </c>
      <c r="TJQ5">
        <f>Database!TKJ29</f>
        <v>0</v>
      </c>
      <c r="TJR5">
        <f>Database!TKK29</f>
        <v>0</v>
      </c>
      <c r="TJS5">
        <f>Database!TKL29</f>
        <v>0</v>
      </c>
      <c r="TJT5">
        <f>Database!TKM29</f>
        <v>0</v>
      </c>
      <c r="TJU5">
        <f>Database!TKN29</f>
        <v>0</v>
      </c>
      <c r="TJV5">
        <f>Database!TKO29</f>
        <v>0</v>
      </c>
      <c r="TJW5">
        <f>Database!TKP29</f>
        <v>0</v>
      </c>
      <c r="TJX5">
        <f>Database!TKQ29</f>
        <v>0</v>
      </c>
      <c r="TJY5">
        <f>Database!TKR29</f>
        <v>0</v>
      </c>
      <c r="TJZ5">
        <f>Database!TKS29</f>
        <v>0</v>
      </c>
      <c r="TKA5">
        <f>Database!TKT29</f>
        <v>0</v>
      </c>
      <c r="TKB5">
        <f>Database!TKU29</f>
        <v>0</v>
      </c>
      <c r="TKC5">
        <f>Database!TKV29</f>
        <v>0</v>
      </c>
      <c r="TKD5">
        <f>Database!TKW29</f>
        <v>0</v>
      </c>
      <c r="TKE5">
        <f>Database!TKX29</f>
        <v>0</v>
      </c>
      <c r="TKF5">
        <f>Database!TKY29</f>
        <v>0</v>
      </c>
      <c r="TKG5">
        <f>Database!TKZ29</f>
        <v>0</v>
      </c>
      <c r="TKH5">
        <f>Database!TLA29</f>
        <v>0</v>
      </c>
      <c r="TKI5">
        <f>Database!TLB29</f>
        <v>0</v>
      </c>
      <c r="TKJ5">
        <f>Database!TLC29</f>
        <v>0</v>
      </c>
      <c r="TKK5">
        <f>Database!TLD29</f>
        <v>0</v>
      </c>
      <c r="TKL5">
        <f>Database!TLE29</f>
        <v>0</v>
      </c>
      <c r="TKM5">
        <f>Database!TLF29</f>
        <v>0</v>
      </c>
      <c r="TKN5">
        <f>Database!TLG29</f>
        <v>0</v>
      </c>
      <c r="TKO5">
        <f>Database!TLH29</f>
        <v>0</v>
      </c>
      <c r="TKP5">
        <f>Database!TLI29</f>
        <v>0</v>
      </c>
      <c r="TKQ5">
        <f>Database!TLJ29</f>
        <v>0</v>
      </c>
      <c r="TKR5">
        <f>Database!TLK29</f>
        <v>0</v>
      </c>
      <c r="TKS5">
        <f>Database!TLL29</f>
        <v>0</v>
      </c>
      <c r="TKT5">
        <f>Database!TLM29</f>
        <v>0</v>
      </c>
      <c r="TKU5">
        <f>Database!TLN29</f>
        <v>0</v>
      </c>
      <c r="TKV5">
        <f>Database!TLO29</f>
        <v>0</v>
      </c>
      <c r="TKW5">
        <f>Database!TLP29</f>
        <v>0</v>
      </c>
      <c r="TKX5">
        <f>Database!TLQ29</f>
        <v>0</v>
      </c>
      <c r="TKY5">
        <f>Database!TLR29</f>
        <v>0</v>
      </c>
      <c r="TKZ5">
        <f>Database!TLS29</f>
        <v>0</v>
      </c>
      <c r="TLA5">
        <f>Database!TLT29</f>
        <v>0</v>
      </c>
      <c r="TLB5">
        <f>Database!TLU29</f>
        <v>0</v>
      </c>
      <c r="TLC5">
        <f>Database!TLV29</f>
        <v>0</v>
      </c>
      <c r="TLD5">
        <f>Database!TLW29</f>
        <v>0</v>
      </c>
      <c r="TLE5">
        <f>Database!TLX29</f>
        <v>0</v>
      </c>
      <c r="TLF5">
        <f>Database!TLY29</f>
        <v>0</v>
      </c>
      <c r="TLG5">
        <f>Database!TLZ29</f>
        <v>0</v>
      </c>
      <c r="TLH5">
        <f>Database!TMA29</f>
        <v>0</v>
      </c>
      <c r="TLI5">
        <f>Database!TMB29</f>
        <v>0</v>
      </c>
      <c r="TLJ5">
        <f>Database!TMC29</f>
        <v>0</v>
      </c>
      <c r="TLK5">
        <f>Database!TMD29</f>
        <v>0</v>
      </c>
      <c r="TLL5">
        <f>Database!TME29</f>
        <v>0</v>
      </c>
      <c r="TLM5">
        <f>Database!TMF29</f>
        <v>0</v>
      </c>
      <c r="TLN5">
        <f>Database!TMG29</f>
        <v>0</v>
      </c>
      <c r="TLO5">
        <f>Database!TMH29</f>
        <v>0</v>
      </c>
      <c r="TLP5">
        <f>Database!TMI29</f>
        <v>0</v>
      </c>
      <c r="TLQ5">
        <f>Database!TMJ29</f>
        <v>0</v>
      </c>
      <c r="TLR5">
        <f>Database!TMK29</f>
        <v>0</v>
      </c>
      <c r="TLS5">
        <f>Database!TML29</f>
        <v>0</v>
      </c>
      <c r="TLT5">
        <f>Database!TMM29</f>
        <v>0</v>
      </c>
      <c r="TLU5">
        <f>Database!TMN29</f>
        <v>0</v>
      </c>
      <c r="TLV5">
        <f>Database!TMO29</f>
        <v>0</v>
      </c>
      <c r="TLW5">
        <f>Database!TMP29</f>
        <v>0</v>
      </c>
      <c r="TLX5">
        <f>Database!TMQ29</f>
        <v>0</v>
      </c>
      <c r="TLY5">
        <f>Database!TMR29</f>
        <v>0</v>
      </c>
      <c r="TLZ5">
        <f>Database!TMS29</f>
        <v>0</v>
      </c>
      <c r="TMA5">
        <f>Database!TMT29</f>
        <v>0</v>
      </c>
      <c r="TMB5">
        <f>Database!TMU29</f>
        <v>0</v>
      </c>
      <c r="TMC5">
        <f>Database!TMV29</f>
        <v>0</v>
      </c>
      <c r="TMD5">
        <f>Database!TMW29</f>
        <v>0</v>
      </c>
      <c r="TME5">
        <f>Database!TMX29</f>
        <v>0</v>
      </c>
      <c r="TMF5">
        <f>Database!TMY29</f>
        <v>0</v>
      </c>
      <c r="TMG5">
        <f>Database!TMZ29</f>
        <v>0</v>
      </c>
      <c r="TMH5">
        <f>Database!TNA29</f>
        <v>0</v>
      </c>
      <c r="TMI5">
        <f>Database!TNB29</f>
        <v>0</v>
      </c>
      <c r="TMJ5">
        <f>Database!TNC29</f>
        <v>0</v>
      </c>
      <c r="TMK5">
        <f>Database!TND29</f>
        <v>0</v>
      </c>
      <c r="TML5">
        <f>Database!TNE29</f>
        <v>0</v>
      </c>
      <c r="TMM5">
        <f>Database!TNF29</f>
        <v>0</v>
      </c>
      <c r="TMN5">
        <f>Database!TNG29</f>
        <v>0</v>
      </c>
      <c r="TMO5">
        <f>Database!TNH29</f>
        <v>0</v>
      </c>
      <c r="TMP5">
        <f>Database!TNI29</f>
        <v>0</v>
      </c>
      <c r="TMQ5">
        <f>Database!TNJ29</f>
        <v>0</v>
      </c>
      <c r="TMR5">
        <f>Database!TNK29</f>
        <v>0</v>
      </c>
      <c r="TMS5">
        <f>Database!TNL29</f>
        <v>0</v>
      </c>
      <c r="TMT5">
        <f>Database!TNM29</f>
        <v>0</v>
      </c>
      <c r="TMU5">
        <f>Database!TNN29</f>
        <v>0</v>
      </c>
      <c r="TMV5">
        <f>Database!TNO29</f>
        <v>0</v>
      </c>
      <c r="TMW5">
        <f>Database!TNP29</f>
        <v>0</v>
      </c>
      <c r="TMX5">
        <f>Database!TNQ29</f>
        <v>0</v>
      </c>
      <c r="TMY5">
        <f>Database!TNR29</f>
        <v>0</v>
      </c>
      <c r="TMZ5">
        <f>Database!TNS29</f>
        <v>0</v>
      </c>
      <c r="TNA5">
        <f>Database!TNT29</f>
        <v>0</v>
      </c>
      <c r="TNB5">
        <f>Database!TNU29</f>
        <v>0</v>
      </c>
      <c r="TNC5">
        <f>Database!TNV29</f>
        <v>0</v>
      </c>
      <c r="TND5">
        <f>Database!TNW29</f>
        <v>0</v>
      </c>
      <c r="TNE5">
        <f>Database!TNX29</f>
        <v>0</v>
      </c>
      <c r="TNF5">
        <f>Database!TNY29</f>
        <v>0</v>
      </c>
      <c r="TNG5">
        <f>Database!TNZ29</f>
        <v>0</v>
      </c>
      <c r="TNH5">
        <f>Database!TOA29</f>
        <v>0</v>
      </c>
      <c r="TNI5">
        <f>Database!TOB29</f>
        <v>0</v>
      </c>
      <c r="TNJ5">
        <f>Database!TOC29</f>
        <v>0</v>
      </c>
      <c r="TNK5">
        <f>Database!TOD29</f>
        <v>0</v>
      </c>
      <c r="TNL5">
        <f>Database!TOE29</f>
        <v>0</v>
      </c>
      <c r="TNM5">
        <f>Database!TOF29</f>
        <v>0</v>
      </c>
      <c r="TNN5">
        <f>Database!TOG29</f>
        <v>0</v>
      </c>
      <c r="TNO5">
        <f>Database!TOH29</f>
        <v>0</v>
      </c>
      <c r="TNP5">
        <f>Database!TOI29</f>
        <v>0</v>
      </c>
      <c r="TNQ5">
        <f>Database!TOJ29</f>
        <v>0</v>
      </c>
      <c r="TNR5">
        <f>Database!TOK29</f>
        <v>0</v>
      </c>
      <c r="TNS5">
        <f>Database!TOL29</f>
        <v>0</v>
      </c>
      <c r="TNT5">
        <f>Database!TOM29</f>
        <v>0</v>
      </c>
      <c r="TNU5">
        <f>Database!TON29</f>
        <v>0</v>
      </c>
      <c r="TNV5">
        <f>Database!TOO29</f>
        <v>0</v>
      </c>
      <c r="TNW5">
        <f>Database!TOP29</f>
        <v>0</v>
      </c>
      <c r="TNX5">
        <f>Database!TOQ29</f>
        <v>0</v>
      </c>
      <c r="TNY5">
        <f>Database!TOR29</f>
        <v>0</v>
      </c>
      <c r="TNZ5">
        <f>Database!TOS29</f>
        <v>0</v>
      </c>
      <c r="TOA5">
        <f>Database!TOT29</f>
        <v>0</v>
      </c>
      <c r="TOB5">
        <f>Database!TOU29</f>
        <v>0</v>
      </c>
      <c r="TOC5">
        <f>Database!TOV29</f>
        <v>0</v>
      </c>
      <c r="TOD5">
        <f>Database!TOW29</f>
        <v>0</v>
      </c>
      <c r="TOE5">
        <f>Database!TOX29</f>
        <v>0</v>
      </c>
      <c r="TOF5">
        <f>Database!TOY29</f>
        <v>0</v>
      </c>
      <c r="TOG5">
        <f>Database!TOZ29</f>
        <v>0</v>
      </c>
      <c r="TOH5">
        <f>Database!TPA29</f>
        <v>0</v>
      </c>
      <c r="TOI5">
        <f>Database!TPB29</f>
        <v>0</v>
      </c>
      <c r="TOJ5">
        <f>Database!TPC29</f>
        <v>0</v>
      </c>
      <c r="TOK5">
        <f>Database!TPD29</f>
        <v>0</v>
      </c>
      <c r="TOL5">
        <f>Database!TPE29</f>
        <v>0</v>
      </c>
      <c r="TOM5">
        <f>Database!TPF29</f>
        <v>0</v>
      </c>
      <c r="TON5">
        <f>Database!TPG29</f>
        <v>0</v>
      </c>
      <c r="TOO5">
        <f>Database!TPH29</f>
        <v>0</v>
      </c>
      <c r="TOP5">
        <f>Database!TPI29</f>
        <v>0</v>
      </c>
      <c r="TOQ5">
        <f>Database!TPJ29</f>
        <v>0</v>
      </c>
      <c r="TOR5">
        <f>Database!TPK29</f>
        <v>0</v>
      </c>
      <c r="TOS5">
        <f>Database!TPL29</f>
        <v>0</v>
      </c>
      <c r="TOT5">
        <f>Database!TPM29</f>
        <v>0</v>
      </c>
      <c r="TOU5">
        <f>Database!TPN29</f>
        <v>0</v>
      </c>
      <c r="TOV5">
        <f>Database!TPO29</f>
        <v>0</v>
      </c>
      <c r="TOW5">
        <f>Database!TPP29</f>
        <v>0</v>
      </c>
      <c r="TOX5">
        <f>Database!TPQ29</f>
        <v>0</v>
      </c>
      <c r="TOY5">
        <f>Database!TPR29</f>
        <v>0</v>
      </c>
      <c r="TOZ5">
        <f>Database!TPS29</f>
        <v>0</v>
      </c>
      <c r="TPA5">
        <f>Database!TPT29</f>
        <v>0</v>
      </c>
      <c r="TPB5">
        <f>Database!TPU29</f>
        <v>0</v>
      </c>
      <c r="TPC5">
        <f>Database!TPV29</f>
        <v>0</v>
      </c>
      <c r="TPD5">
        <f>Database!TPW29</f>
        <v>0</v>
      </c>
      <c r="TPE5">
        <f>Database!TPX29</f>
        <v>0</v>
      </c>
      <c r="TPF5">
        <f>Database!TPY29</f>
        <v>0</v>
      </c>
      <c r="TPG5">
        <f>Database!TPZ29</f>
        <v>0</v>
      </c>
      <c r="TPH5">
        <f>Database!TQA29</f>
        <v>0</v>
      </c>
      <c r="TPI5">
        <f>Database!TQB29</f>
        <v>0</v>
      </c>
      <c r="TPJ5">
        <f>Database!TQC29</f>
        <v>0</v>
      </c>
      <c r="TPK5">
        <f>Database!TQD29</f>
        <v>0</v>
      </c>
      <c r="TPL5">
        <f>Database!TQE29</f>
        <v>0</v>
      </c>
      <c r="TPM5">
        <f>Database!TQF29</f>
        <v>0</v>
      </c>
      <c r="TPN5">
        <f>Database!TQG29</f>
        <v>0</v>
      </c>
      <c r="TPO5">
        <f>Database!TQH29</f>
        <v>0</v>
      </c>
      <c r="TPP5">
        <f>Database!TQI29</f>
        <v>0</v>
      </c>
      <c r="TPQ5">
        <f>Database!TQJ29</f>
        <v>0</v>
      </c>
      <c r="TPR5">
        <f>Database!TQK29</f>
        <v>0</v>
      </c>
      <c r="TPS5">
        <f>Database!TQL29</f>
        <v>0</v>
      </c>
      <c r="TPT5">
        <f>Database!TQM29</f>
        <v>0</v>
      </c>
      <c r="TPU5">
        <f>Database!TQN29</f>
        <v>0</v>
      </c>
      <c r="TPV5">
        <f>Database!TQO29</f>
        <v>0</v>
      </c>
      <c r="TPW5">
        <f>Database!TQP29</f>
        <v>0</v>
      </c>
      <c r="TPX5">
        <f>Database!TQQ29</f>
        <v>0</v>
      </c>
      <c r="TPY5">
        <f>Database!TQR29</f>
        <v>0</v>
      </c>
      <c r="TPZ5">
        <f>Database!TQS29</f>
        <v>0</v>
      </c>
      <c r="TQA5">
        <f>Database!TQT29</f>
        <v>0</v>
      </c>
      <c r="TQB5">
        <f>Database!TQU29</f>
        <v>0</v>
      </c>
      <c r="TQC5">
        <f>Database!TQV29</f>
        <v>0</v>
      </c>
      <c r="TQD5">
        <f>Database!TQW29</f>
        <v>0</v>
      </c>
      <c r="TQE5">
        <f>Database!TQX29</f>
        <v>0</v>
      </c>
      <c r="TQF5">
        <f>Database!TQY29</f>
        <v>0</v>
      </c>
      <c r="TQG5">
        <f>Database!TQZ29</f>
        <v>0</v>
      </c>
      <c r="TQH5">
        <f>Database!TRA29</f>
        <v>0</v>
      </c>
      <c r="TQI5">
        <f>Database!TRB29</f>
        <v>0</v>
      </c>
      <c r="TQJ5">
        <f>Database!TRC29</f>
        <v>0</v>
      </c>
      <c r="TQK5">
        <f>Database!TRD29</f>
        <v>0</v>
      </c>
      <c r="TQL5">
        <f>Database!TRE29</f>
        <v>0</v>
      </c>
      <c r="TQM5">
        <f>Database!TRF29</f>
        <v>0</v>
      </c>
      <c r="TQN5">
        <f>Database!TRG29</f>
        <v>0</v>
      </c>
      <c r="TQO5">
        <f>Database!TRH29</f>
        <v>0</v>
      </c>
      <c r="TQP5">
        <f>Database!TRI29</f>
        <v>0</v>
      </c>
      <c r="TQQ5">
        <f>Database!TRJ29</f>
        <v>0</v>
      </c>
      <c r="TQR5">
        <f>Database!TRK29</f>
        <v>0</v>
      </c>
      <c r="TQS5">
        <f>Database!TRL29</f>
        <v>0</v>
      </c>
      <c r="TQT5">
        <f>Database!TRM29</f>
        <v>0</v>
      </c>
      <c r="TQU5">
        <f>Database!TRN29</f>
        <v>0</v>
      </c>
      <c r="TQV5">
        <f>Database!TRO29</f>
        <v>0</v>
      </c>
      <c r="TQW5">
        <f>Database!TRP29</f>
        <v>0</v>
      </c>
      <c r="TQX5">
        <f>Database!TRQ29</f>
        <v>0</v>
      </c>
      <c r="TQY5">
        <f>Database!TRR29</f>
        <v>0</v>
      </c>
      <c r="TQZ5">
        <f>Database!TRS29</f>
        <v>0</v>
      </c>
      <c r="TRA5">
        <f>Database!TRT29</f>
        <v>0</v>
      </c>
      <c r="TRB5">
        <f>Database!TRU29</f>
        <v>0</v>
      </c>
      <c r="TRC5">
        <f>Database!TRV29</f>
        <v>0</v>
      </c>
      <c r="TRD5">
        <f>Database!TRW29</f>
        <v>0</v>
      </c>
      <c r="TRE5">
        <f>Database!TRX29</f>
        <v>0</v>
      </c>
      <c r="TRF5">
        <f>Database!TRY29</f>
        <v>0</v>
      </c>
      <c r="TRG5">
        <f>Database!TRZ29</f>
        <v>0</v>
      </c>
      <c r="TRH5">
        <f>Database!TSA29</f>
        <v>0</v>
      </c>
      <c r="TRI5">
        <f>Database!TSB29</f>
        <v>0</v>
      </c>
      <c r="TRJ5">
        <f>Database!TSC29</f>
        <v>0</v>
      </c>
      <c r="TRK5">
        <f>Database!TSD29</f>
        <v>0</v>
      </c>
      <c r="TRL5">
        <f>Database!TSE29</f>
        <v>0</v>
      </c>
      <c r="TRM5">
        <f>Database!TSF29</f>
        <v>0</v>
      </c>
      <c r="TRN5">
        <f>Database!TSG29</f>
        <v>0</v>
      </c>
      <c r="TRO5">
        <f>Database!TSH29</f>
        <v>0</v>
      </c>
      <c r="TRP5">
        <f>Database!TSI29</f>
        <v>0</v>
      </c>
      <c r="TRQ5">
        <f>Database!TSJ29</f>
        <v>0</v>
      </c>
      <c r="TRR5">
        <f>Database!TSK29</f>
        <v>0</v>
      </c>
      <c r="TRS5">
        <f>Database!TSL29</f>
        <v>0</v>
      </c>
      <c r="TRT5">
        <f>Database!TSM29</f>
        <v>0</v>
      </c>
      <c r="TRU5">
        <f>Database!TSN29</f>
        <v>0</v>
      </c>
      <c r="TRV5">
        <f>Database!TSO29</f>
        <v>0</v>
      </c>
      <c r="TRW5">
        <f>Database!TSP29</f>
        <v>0</v>
      </c>
      <c r="TRX5">
        <f>Database!TSQ29</f>
        <v>0</v>
      </c>
      <c r="TRY5">
        <f>Database!TSR29</f>
        <v>0</v>
      </c>
      <c r="TRZ5">
        <f>Database!TSS29</f>
        <v>0</v>
      </c>
      <c r="TSA5">
        <f>Database!TST29</f>
        <v>0</v>
      </c>
      <c r="TSB5">
        <f>Database!TSU29</f>
        <v>0</v>
      </c>
      <c r="TSC5">
        <f>Database!TSV29</f>
        <v>0</v>
      </c>
      <c r="TSD5">
        <f>Database!TSW29</f>
        <v>0</v>
      </c>
      <c r="TSE5">
        <f>Database!TSX29</f>
        <v>0</v>
      </c>
      <c r="TSF5">
        <f>Database!TSY29</f>
        <v>0</v>
      </c>
      <c r="TSG5">
        <f>Database!TSZ29</f>
        <v>0</v>
      </c>
      <c r="TSH5">
        <f>Database!TTA29</f>
        <v>0</v>
      </c>
      <c r="TSI5">
        <f>Database!TTB29</f>
        <v>0</v>
      </c>
      <c r="TSJ5">
        <f>Database!TTC29</f>
        <v>0</v>
      </c>
      <c r="TSK5">
        <f>Database!TTD29</f>
        <v>0</v>
      </c>
      <c r="TSL5">
        <f>Database!TTE29</f>
        <v>0</v>
      </c>
      <c r="TSM5">
        <f>Database!TTF29</f>
        <v>0</v>
      </c>
      <c r="TSN5">
        <f>Database!TTG29</f>
        <v>0</v>
      </c>
      <c r="TSO5">
        <f>Database!TTH29</f>
        <v>0</v>
      </c>
      <c r="TSP5">
        <f>Database!TTI29</f>
        <v>0</v>
      </c>
      <c r="TSQ5">
        <f>Database!TTJ29</f>
        <v>0</v>
      </c>
      <c r="TSR5">
        <f>Database!TTK29</f>
        <v>0</v>
      </c>
      <c r="TSS5">
        <f>Database!TTL29</f>
        <v>0</v>
      </c>
      <c r="TST5">
        <f>Database!TTM29</f>
        <v>0</v>
      </c>
      <c r="TSU5">
        <f>Database!TTN29</f>
        <v>0</v>
      </c>
      <c r="TSV5">
        <f>Database!TTO29</f>
        <v>0</v>
      </c>
      <c r="TSW5">
        <f>Database!TTP29</f>
        <v>0</v>
      </c>
      <c r="TSX5">
        <f>Database!TTQ29</f>
        <v>0</v>
      </c>
      <c r="TSY5">
        <f>Database!TTR29</f>
        <v>0</v>
      </c>
      <c r="TSZ5">
        <f>Database!TTS29</f>
        <v>0</v>
      </c>
      <c r="TTA5">
        <f>Database!TTT29</f>
        <v>0</v>
      </c>
      <c r="TTB5">
        <f>Database!TTU29</f>
        <v>0</v>
      </c>
      <c r="TTC5">
        <f>Database!TTV29</f>
        <v>0</v>
      </c>
      <c r="TTD5">
        <f>Database!TTW29</f>
        <v>0</v>
      </c>
      <c r="TTE5">
        <f>Database!TTX29</f>
        <v>0</v>
      </c>
      <c r="TTF5">
        <f>Database!TTY29</f>
        <v>0</v>
      </c>
      <c r="TTG5">
        <f>Database!TTZ29</f>
        <v>0</v>
      </c>
      <c r="TTH5">
        <f>Database!TUA29</f>
        <v>0</v>
      </c>
      <c r="TTI5">
        <f>Database!TUB29</f>
        <v>0</v>
      </c>
      <c r="TTJ5">
        <f>Database!TUC29</f>
        <v>0</v>
      </c>
      <c r="TTK5">
        <f>Database!TUD29</f>
        <v>0</v>
      </c>
      <c r="TTL5">
        <f>Database!TUE29</f>
        <v>0</v>
      </c>
      <c r="TTM5">
        <f>Database!TUF29</f>
        <v>0</v>
      </c>
      <c r="TTN5">
        <f>Database!TUG29</f>
        <v>0</v>
      </c>
      <c r="TTO5">
        <f>Database!TUH29</f>
        <v>0</v>
      </c>
      <c r="TTP5">
        <f>Database!TUI29</f>
        <v>0</v>
      </c>
      <c r="TTQ5">
        <f>Database!TUJ29</f>
        <v>0</v>
      </c>
      <c r="TTR5">
        <f>Database!TUK29</f>
        <v>0</v>
      </c>
      <c r="TTS5">
        <f>Database!TUL29</f>
        <v>0</v>
      </c>
      <c r="TTT5">
        <f>Database!TUM29</f>
        <v>0</v>
      </c>
      <c r="TTU5">
        <f>Database!TUN29</f>
        <v>0</v>
      </c>
      <c r="TTV5">
        <f>Database!TUO29</f>
        <v>0</v>
      </c>
      <c r="TTW5">
        <f>Database!TUP29</f>
        <v>0</v>
      </c>
      <c r="TTX5">
        <f>Database!TUQ29</f>
        <v>0</v>
      </c>
      <c r="TTY5">
        <f>Database!TUR29</f>
        <v>0</v>
      </c>
      <c r="TTZ5">
        <f>Database!TUS29</f>
        <v>0</v>
      </c>
      <c r="TUA5">
        <f>Database!TUT29</f>
        <v>0</v>
      </c>
      <c r="TUB5">
        <f>Database!TUU29</f>
        <v>0</v>
      </c>
      <c r="TUC5">
        <f>Database!TUV29</f>
        <v>0</v>
      </c>
      <c r="TUD5">
        <f>Database!TUW29</f>
        <v>0</v>
      </c>
      <c r="TUE5">
        <f>Database!TUX29</f>
        <v>0</v>
      </c>
      <c r="TUF5">
        <f>Database!TUY29</f>
        <v>0</v>
      </c>
      <c r="TUG5">
        <f>Database!TUZ29</f>
        <v>0</v>
      </c>
      <c r="TUH5">
        <f>Database!TVA29</f>
        <v>0</v>
      </c>
      <c r="TUI5">
        <f>Database!TVB29</f>
        <v>0</v>
      </c>
      <c r="TUJ5">
        <f>Database!TVC29</f>
        <v>0</v>
      </c>
      <c r="TUK5">
        <f>Database!TVD29</f>
        <v>0</v>
      </c>
      <c r="TUL5">
        <f>Database!TVE29</f>
        <v>0</v>
      </c>
      <c r="TUM5">
        <f>Database!TVF29</f>
        <v>0</v>
      </c>
      <c r="TUN5">
        <f>Database!TVG29</f>
        <v>0</v>
      </c>
      <c r="TUO5">
        <f>Database!TVH29</f>
        <v>0</v>
      </c>
      <c r="TUP5">
        <f>Database!TVI29</f>
        <v>0</v>
      </c>
      <c r="TUQ5">
        <f>Database!TVJ29</f>
        <v>0</v>
      </c>
      <c r="TUR5">
        <f>Database!TVK29</f>
        <v>0</v>
      </c>
      <c r="TUS5">
        <f>Database!TVL29</f>
        <v>0</v>
      </c>
      <c r="TUT5">
        <f>Database!TVM29</f>
        <v>0</v>
      </c>
      <c r="TUU5">
        <f>Database!TVN29</f>
        <v>0</v>
      </c>
      <c r="TUV5">
        <f>Database!TVO29</f>
        <v>0</v>
      </c>
      <c r="TUW5">
        <f>Database!TVP29</f>
        <v>0</v>
      </c>
      <c r="TUX5">
        <f>Database!TVQ29</f>
        <v>0</v>
      </c>
      <c r="TUY5">
        <f>Database!TVR29</f>
        <v>0</v>
      </c>
      <c r="TUZ5">
        <f>Database!TVS29</f>
        <v>0</v>
      </c>
      <c r="TVA5">
        <f>Database!TVT29</f>
        <v>0</v>
      </c>
      <c r="TVB5">
        <f>Database!TVU29</f>
        <v>0</v>
      </c>
      <c r="TVC5">
        <f>Database!TVV29</f>
        <v>0</v>
      </c>
      <c r="TVD5">
        <f>Database!TVW29</f>
        <v>0</v>
      </c>
      <c r="TVE5">
        <f>Database!TVX29</f>
        <v>0</v>
      </c>
      <c r="TVF5">
        <f>Database!TVY29</f>
        <v>0</v>
      </c>
      <c r="TVG5">
        <f>Database!TVZ29</f>
        <v>0</v>
      </c>
      <c r="TVH5">
        <f>Database!TWA29</f>
        <v>0</v>
      </c>
      <c r="TVI5">
        <f>Database!TWB29</f>
        <v>0</v>
      </c>
      <c r="TVJ5">
        <f>Database!TWC29</f>
        <v>0</v>
      </c>
      <c r="TVK5">
        <f>Database!TWD29</f>
        <v>0</v>
      </c>
      <c r="TVL5">
        <f>Database!TWE29</f>
        <v>0</v>
      </c>
      <c r="TVM5">
        <f>Database!TWF29</f>
        <v>0</v>
      </c>
      <c r="TVN5">
        <f>Database!TWG29</f>
        <v>0</v>
      </c>
      <c r="TVO5">
        <f>Database!TWH29</f>
        <v>0</v>
      </c>
      <c r="TVP5">
        <f>Database!TWI29</f>
        <v>0</v>
      </c>
      <c r="TVQ5">
        <f>Database!TWJ29</f>
        <v>0</v>
      </c>
      <c r="TVR5">
        <f>Database!TWK29</f>
        <v>0</v>
      </c>
      <c r="TVS5">
        <f>Database!TWL29</f>
        <v>0</v>
      </c>
      <c r="TVT5">
        <f>Database!TWM29</f>
        <v>0</v>
      </c>
      <c r="TVU5">
        <f>Database!TWN29</f>
        <v>0</v>
      </c>
      <c r="TVV5">
        <f>Database!TWO29</f>
        <v>0</v>
      </c>
      <c r="TVW5">
        <f>Database!TWP29</f>
        <v>0</v>
      </c>
      <c r="TVX5">
        <f>Database!TWQ29</f>
        <v>0</v>
      </c>
      <c r="TVY5">
        <f>Database!TWR29</f>
        <v>0</v>
      </c>
      <c r="TVZ5">
        <f>Database!TWS29</f>
        <v>0</v>
      </c>
      <c r="TWA5">
        <f>Database!TWT29</f>
        <v>0</v>
      </c>
      <c r="TWB5">
        <f>Database!TWU29</f>
        <v>0</v>
      </c>
      <c r="TWC5">
        <f>Database!TWV29</f>
        <v>0</v>
      </c>
      <c r="TWD5">
        <f>Database!TWW29</f>
        <v>0</v>
      </c>
      <c r="TWE5">
        <f>Database!TWX29</f>
        <v>0</v>
      </c>
      <c r="TWF5">
        <f>Database!TWY29</f>
        <v>0</v>
      </c>
      <c r="TWG5">
        <f>Database!TWZ29</f>
        <v>0</v>
      </c>
      <c r="TWH5">
        <f>Database!TXA29</f>
        <v>0</v>
      </c>
      <c r="TWI5">
        <f>Database!TXB29</f>
        <v>0</v>
      </c>
      <c r="TWJ5">
        <f>Database!TXC29</f>
        <v>0</v>
      </c>
      <c r="TWK5">
        <f>Database!TXD29</f>
        <v>0</v>
      </c>
      <c r="TWL5">
        <f>Database!TXE29</f>
        <v>0</v>
      </c>
      <c r="TWM5">
        <f>Database!TXF29</f>
        <v>0</v>
      </c>
      <c r="TWN5">
        <f>Database!TXG29</f>
        <v>0</v>
      </c>
      <c r="TWO5">
        <f>Database!TXH29</f>
        <v>0</v>
      </c>
      <c r="TWP5">
        <f>Database!TXI29</f>
        <v>0</v>
      </c>
      <c r="TWQ5">
        <f>Database!TXJ29</f>
        <v>0</v>
      </c>
      <c r="TWR5">
        <f>Database!TXK29</f>
        <v>0</v>
      </c>
      <c r="TWS5">
        <f>Database!TXL29</f>
        <v>0</v>
      </c>
      <c r="TWT5">
        <f>Database!TXM29</f>
        <v>0</v>
      </c>
      <c r="TWU5">
        <f>Database!TXN29</f>
        <v>0</v>
      </c>
      <c r="TWV5">
        <f>Database!TXO29</f>
        <v>0</v>
      </c>
      <c r="TWW5">
        <f>Database!TXP29</f>
        <v>0</v>
      </c>
      <c r="TWX5">
        <f>Database!TXQ29</f>
        <v>0</v>
      </c>
      <c r="TWY5">
        <f>Database!TXR29</f>
        <v>0</v>
      </c>
      <c r="TWZ5">
        <f>Database!TXS29</f>
        <v>0</v>
      </c>
      <c r="TXA5">
        <f>Database!TXT29</f>
        <v>0</v>
      </c>
      <c r="TXB5">
        <f>Database!TXU29</f>
        <v>0</v>
      </c>
      <c r="TXC5">
        <f>Database!TXV29</f>
        <v>0</v>
      </c>
      <c r="TXD5">
        <f>Database!TXW29</f>
        <v>0</v>
      </c>
      <c r="TXE5">
        <f>Database!TXX29</f>
        <v>0</v>
      </c>
      <c r="TXF5">
        <f>Database!TXY29</f>
        <v>0</v>
      </c>
      <c r="TXG5">
        <f>Database!TXZ29</f>
        <v>0</v>
      </c>
      <c r="TXH5">
        <f>Database!TYA29</f>
        <v>0</v>
      </c>
      <c r="TXI5">
        <f>Database!TYB29</f>
        <v>0</v>
      </c>
      <c r="TXJ5">
        <f>Database!TYC29</f>
        <v>0</v>
      </c>
      <c r="TXK5">
        <f>Database!TYD29</f>
        <v>0</v>
      </c>
      <c r="TXL5">
        <f>Database!TYE29</f>
        <v>0</v>
      </c>
      <c r="TXM5">
        <f>Database!TYF29</f>
        <v>0</v>
      </c>
      <c r="TXN5">
        <f>Database!TYG29</f>
        <v>0</v>
      </c>
      <c r="TXO5">
        <f>Database!TYH29</f>
        <v>0</v>
      </c>
      <c r="TXP5">
        <f>Database!TYI29</f>
        <v>0</v>
      </c>
      <c r="TXQ5">
        <f>Database!TYJ29</f>
        <v>0</v>
      </c>
      <c r="TXR5">
        <f>Database!TYK29</f>
        <v>0</v>
      </c>
      <c r="TXS5">
        <f>Database!TYL29</f>
        <v>0</v>
      </c>
      <c r="TXT5">
        <f>Database!TYM29</f>
        <v>0</v>
      </c>
      <c r="TXU5">
        <f>Database!TYN29</f>
        <v>0</v>
      </c>
      <c r="TXV5">
        <f>Database!TYO29</f>
        <v>0</v>
      </c>
      <c r="TXW5">
        <f>Database!TYP29</f>
        <v>0</v>
      </c>
      <c r="TXX5">
        <f>Database!TYQ29</f>
        <v>0</v>
      </c>
      <c r="TXY5">
        <f>Database!TYR29</f>
        <v>0</v>
      </c>
      <c r="TXZ5">
        <f>Database!TYS29</f>
        <v>0</v>
      </c>
      <c r="TYA5">
        <f>Database!TYT29</f>
        <v>0</v>
      </c>
      <c r="TYB5">
        <f>Database!TYU29</f>
        <v>0</v>
      </c>
      <c r="TYC5">
        <f>Database!TYV29</f>
        <v>0</v>
      </c>
      <c r="TYD5">
        <f>Database!TYW29</f>
        <v>0</v>
      </c>
      <c r="TYE5">
        <f>Database!TYX29</f>
        <v>0</v>
      </c>
      <c r="TYF5">
        <f>Database!TYY29</f>
        <v>0</v>
      </c>
      <c r="TYG5">
        <f>Database!TYZ29</f>
        <v>0</v>
      </c>
      <c r="TYH5">
        <f>Database!TZA29</f>
        <v>0</v>
      </c>
      <c r="TYI5">
        <f>Database!TZB29</f>
        <v>0</v>
      </c>
      <c r="TYJ5">
        <f>Database!TZC29</f>
        <v>0</v>
      </c>
      <c r="TYK5">
        <f>Database!TZD29</f>
        <v>0</v>
      </c>
      <c r="TYL5">
        <f>Database!TZE29</f>
        <v>0</v>
      </c>
      <c r="TYM5">
        <f>Database!TZF29</f>
        <v>0</v>
      </c>
      <c r="TYN5">
        <f>Database!TZG29</f>
        <v>0</v>
      </c>
      <c r="TYO5">
        <f>Database!TZH29</f>
        <v>0</v>
      </c>
      <c r="TYP5">
        <f>Database!TZI29</f>
        <v>0</v>
      </c>
      <c r="TYQ5">
        <f>Database!TZJ29</f>
        <v>0</v>
      </c>
      <c r="TYR5">
        <f>Database!TZK29</f>
        <v>0</v>
      </c>
      <c r="TYS5">
        <f>Database!TZL29</f>
        <v>0</v>
      </c>
      <c r="TYT5">
        <f>Database!TZM29</f>
        <v>0</v>
      </c>
      <c r="TYU5">
        <f>Database!TZN29</f>
        <v>0</v>
      </c>
      <c r="TYV5">
        <f>Database!TZO29</f>
        <v>0</v>
      </c>
      <c r="TYW5">
        <f>Database!TZP29</f>
        <v>0</v>
      </c>
      <c r="TYX5">
        <f>Database!TZQ29</f>
        <v>0</v>
      </c>
      <c r="TYY5">
        <f>Database!TZR29</f>
        <v>0</v>
      </c>
      <c r="TYZ5">
        <f>Database!TZS29</f>
        <v>0</v>
      </c>
      <c r="TZA5">
        <f>Database!TZT29</f>
        <v>0</v>
      </c>
      <c r="TZB5">
        <f>Database!TZU29</f>
        <v>0</v>
      </c>
      <c r="TZC5">
        <f>Database!TZV29</f>
        <v>0</v>
      </c>
      <c r="TZD5">
        <f>Database!TZW29</f>
        <v>0</v>
      </c>
      <c r="TZE5">
        <f>Database!TZX29</f>
        <v>0</v>
      </c>
      <c r="TZF5">
        <f>Database!TZY29</f>
        <v>0</v>
      </c>
      <c r="TZG5">
        <f>Database!TZZ29</f>
        <v>0</v>
      </c>
      <c r="TZH5">
        <f>Database!UAA29</f>
        <v>0</v>
      </c>
      <c r="TZI5">
        <f>Database!UAB29</f>
        <v>0</v>
      </c>
      <c r="TZJ5">
        <f>Database!UAC29</f>
        <v>0</v>
      </c>
      <c r="TZK5">
        <f>Database!UAD29</f>
        <v>0</v>
      </c>
      <c r="TZL5">
        <f>Database!UAE29</f>
        <v>0</v>
      </c>
      <c r="TZM5">
        <f>Database!UAF29</f>
        <v>0</v>
      </c>
      <c r="TZN5">
        <f>Database!UAG29</f>
        <v>0</v>
      </c>
      <c r="TZO5">
        <f>Database!UAH29</f>
        <v>0</v>
      </c>
      <c r="TZP5">
        <f>Database!UAI29</f>
        <v>0</v>
      </c>
      <c r="TZQ5">
        <f>Database!UAJ29</f>
        <v>0</v>
      </c>
      <c r="TZR5">
        <f>Database!UAK29</f>
        <v>0</v>
      </c>
      <c r="TZS5">
        <f>Database!UAL29</f>
        <v>0</v>
      </c>
      <c r="TZT5">
        <f>Database!UAM29</f>
        <v>0</v>
      </c>
      <c r="TZU5">
        <f>Database!UAN29</f>
        <v>0</v>
      </c>
      <c r="TZV5">
        <f>Database!UAO29</f>
        <v>0</v>
      </c>
      <c r="TZW5">
        <f>Database!UAP29</f>
        <v>0</v>
      </c>
      <c r="TZX5">
        <f>Database!UAQ29</f>
        <v>0</v>
      </c>
      <c r="TZY5">
        <f>Database!UAR29</f>
        <v>0</v>
      </c>
      <c r="TZZ5">
        <f>Database!UAS29</f>
        <v>0</v>
      </c>
      <c r="UAA5">
        <f>Database!UAT29</f>
        <v>0</v>
      </c>
      <c r="UAB5">
        <f>Database!UAU29</f>
        <v>0</v>
      </c>
      <c r="UAC5">
        <f>Database!UAV29</f>
        <v>0</v>
      </c>
      <c r="UAD5">
        <f>Database!UAW29</f>
        <v>0</v>
      </c>
      <c r="UAE5">
        <f>Database!UAX29</f>
        <v>0</v>
      </c>
      <c r="UAF5">
        <f>Database!UAY29</f>
        <v>0</v>
      </c>
      <c r="UAG5">
        <f>Database!UAZ29</f>
        <v>0</v>
      </c>
      <c r="UAH5">
        <f>Database!UBA29</f>
        <v>0</v>
      </c>
      <c r="UAI5">
        <f>Database!UBB29</f>
        <v>0</v>
      </c>
      <c r="UAJ5">
        <f>Database!UBC29</f>
        <v>0</v>
      </c>
      <c r="UAK5">
        <f>Database!UBD29</f>
        <v>0</v>
      </c>
      <c r="UAL5">
        <f>Database!UBE29</f>
        <v>0</v>
      </c>
      <c r="UAM5">
        <f>Database!UBF29</f>
        <v>0</v>
      </c>
      <c r="UAN5">
        <f>Database!UBG29</f>
        <v>0</v>
      </c>
      <c r="UAO5">
        <f>Database!UBH29</f>
        <v>0</v>
      </c>
      <c r="UAP5">
        <f>Database!UBI29</f>
        <v>0</v>
      </c>
      <c r="UAQ5">
        <f>Database!UBJ29</f>
        <v>0</v>
      </c>
      <c r="UAR5">
        <f>Database!UBK29</f>
        <v>0</v>
      </c>
      <c r="UAS5">
        <f>Database!UBL29</f>
        <v>0</v>
      </c>
      <c r="UAT5">
        <f>Database!UBM29</f>
        <v>0</v>
      </c>
      <c r="UAU5">
        <f>Database!UBN29</f>
        <v>0</v>
      </c>
      <c r="UAV5">
        <f>Database!UBO29</f>
        <v>0</v>
      </c>
      <c r="UAW5">
        <f>Database!UBP29</f>
        <v>0</v>
      </c>
      <c r="UAX5">
        <f>Database!UBQ29</f>
        <v>0</v>
      </c>
      <c r="UAY5">
        <f>Database!UBR29</f>
        <v>0</v>
      </c>
      <c r="UAZ5">
        <f>Database!UBS29</f>
        <v>0</v>
      </c>
      <c r="UBA5">
        <f>Database!UBT29</f>
        <v>0</v>
      </c>
      <c r="UBB5">
        <f>Database!UBU29</f>
        <v>0</v>
      </c>
      <c r="UBC5">
        <f>Database!UBV29</f>
        <v>0</v>
      </c>
      <c r="UBD5">
        <f>Database!UBW29</f>
        <v>0</v>
      </c>
      <c r="UBE5">
        <f>Database!UBX29</f>
        <v>0</v>
      </c>
      <c r="UBF5">
        <f>Database!UBY29</f>
        <v>0</v>
      </c>
      <c r="UBG5">
        <f>Database!UBZ29</f>
        <v>0</v>
      </c>
      <c r="UBH5">
        <f>Database!UCA29</f>
        <v>0</v>
      </c>
      <c r="UBI5">
        <f>Database!UCB29</f>
        <v>0</v>
      </c>
      <c r="UBJ5">
        <f>Database!UCC29</f>
        <v>0</v>
      </c>
      <c r="UBK5">
        <f>Database!UCD29</f>
        <v>0</v>
      </c>
      <c r="UBL5">
        <f>Database!UCE29</f>
        <v>0</v>
      </c>
      <c r="UBM5">
        <f>Database!UCF29</f>
        <v>0</v>
      </c>
      <c r="UBN5">
        <f>Database!UCG29</f>
        <v>0</v>
      </c>
      <c r="UBO5">
        <f>Database!UCH29</f>
        <v>0</v>
      </c>
      <c r="UBP5">
        <f>Database!UCI29</f>
        <v>0</v>
      </c>
      <c r="UBQ5">
        <f>Database!UCJ29</f>
        <v>0</v>
      </c>
      <c r="UBR5">
        <f>Database!UCK29</f>
        <v>0</v>
      </c>
      <c r="UBS5">
        <f>Database!UCL29</f>
        <v>0</v>
      </c>
      <c r="UBT5">
        <f>Database!UCM29</f>
        <v>0</v>
      </c>
      <c r="UBU5">
        <f>Database!UCN29</f>
        <v>0</v>
      </c>
      <c r="UBV5">
        <f>Database!UCO29</f>
        <v>0</v>
      </c>
      <c r="UBW5">
        <f>Database!UCP29</f>
        <v>0</v>
      </c>
      <c r="UBX5">
        <f>Database!UCQ29</f>
        <v>0</v>
      </c>
      <c r="UBY5">
        <f>Database!UCR29</f>
        <v>0</v>
      </c>
      <c r="UBZ5">
        <f>Database!UCS29</f>
        <v>0</v>
      </c>
      <c r="UCA5">
        <f>Database!UCT29</f>
        <v>0</v>
      </c>
      <c r="UCB5">
        <f>Database!UCU29</f>
        <v>0</v>
      </c>
      <c r="UCC5">
        <f>Database!UCV29</f>
        <v>0</v>
      </c>
      <c r="UCD5">
        <f>Database!UCW29</f>
        <v>0</v>
      </c>
      <c r="UCE5">
        <f>Database!UCX29</f>
        <v>0</v>
      </c>
      <c r="UCF5">
        <f>Database!UCY29</f>
        <v>0</v>
      </c>
      <c r="UCG5">
        <f>Database!UCZ29</f>
        <v>0</v>
      </c>
      <c r="UCH5">
        <f>Database!UDA29</f>
        <v>0</v>
      </c>
      <c r="UCI5">
        <f>Database!UDB29</f>
        <v>0</v>
      </c>
      <c r="UCJ5">
        <f>Database!UDC29</f>
        <v>0</v>
      </c>
      <c r="UCK5">
        <f>Database!UDD29</f>
        <v>0</v>
      </c>
      <c r="UCL5">
        <f>Database!UDE29</f>
        <v>0</v>
      </c>
      <c r="UCM5">
        <f>Database!UDF29</f>
        <v>0</v>
      </c>
      <c r="UCN5">
        <f>Database!UDG29</f>
        <v>0</v>
      </c>
      <c r="UCO5">
        <f>Database!UDH29</f>
        <v>0</v>
      </c>
      <c r="UCP5">
        <f>Database!UDI29</f>
        <v>0</v>
      </c>
      <c r="UCQ5">
        <f>Database!UDJ29</f>
        <v>0</v>
      </c>
      <c r="UCR5">
        <f>Database!UDK29</f>
        <v>0</v>
      </c>
      <c r="UCS5">
        <f>Database!UDL29</f>
        <v>0</v>
      </c>
      <c r="UCT5">
        <f>Database!UDM29</f>
        <v>0</v>
      </c>
      <c r="UCU5">
        <f>Database!UDN29</f>
        <v>0</v>
      </c>
      <c r="UCV5">
        <f>Database!UDO29</f>
        <v>0</v>
      </c>
      <c r="UCW5">
        <f>Database!UDP29</f>
        <v>0</v>
      </c>
      <c r="UCX5">
        <f>Database!UDQ29</f>
        <v>0</v>
      </c>
      <c r="UCY5">
        <f>Database!UDR29</f>
        <v>0</v>
      </c>
      <c r="UCZ5">
        <f>Database!UDS29</f>
        <v>0</v>
      </c>
      <c r="UDA5">
        <f>Database!UDT29</f>
        <v>0</v>
      </c>
      <c r="UDB5">
        <f>Database!UDU29</f>
        <v>0</v>
      </c>
      <c r="UDC5">
        <f>Database!UDV29</f>
        <v>0</v>
      </c>
      <c r="UDD5">
        <f>Database!UDW29</f>
        <v>0</v>
      </c>
      <c r="UDE5">
        <f>Database!UDX29</f>
        <v>0</v>
      </c>
      <c r="UDF5">
        <f>Database!UDY29</f>
        <v>0</v>
      </c>
      <c r="UDG5">
        <f>Database!UDZ29</f>
        <v>0</v>
      </c>
      <c r="UDH5">
        <f>Database!UEA29</f>
        <v>0</v>
      </c>
      <c r="UDI5">
        <f>Database!UEB29</f>
        <v>0</v>
      </c>
      <c r="UDJ5">
        <f>Database!UEC29</f>
        <v>0</v>
      </c>
      <c r="UDK5">
        <f>Database!UED29</f>
        <v>0</v>
      </c>
      <c r="UDL5">
        <f>Database!UEE29</f>
        <v>0</v>
      </c>
      <c r="UDM5">
        <f>Database!UEF29</f>
        <v>0</v>
      </c>
      <c r="UDN5">
        <f>Database!UEG29</f>
        <v>0</v>
      </c>
      <c r="UDO5">
        <f>Database!UEH29</f>
        <v>0</v>
      </c>
      <c r="UDP5">
        <f>Database!UEI29</f>
        <v>0</v>
      </c>
      <c r="UDQ5">
        <f>Database!UEJ29</f>
        <v>0</v>
      </c>
      <c r="UDR5">
        <f>Database!UEK29</f>
        <v>0</v>
      </c>
      <c r="UDS5">
        <f>Database!UEL29</f>
        <v>0</v>
      </c>
      <c r="UDT5">
        <f>Database!UEM29</f>
        <v>0</v>
      </c>
      <c r="UDU5">
        <f>Database!UEN29</f>
        <v>0</v>
      </c>
      <c r="UDV5">
        <f>Database!UEO29</f>
        <v>0</v>
      </c>
      <c r="UDW5">
        <f>Database!UEP29</f>
        <v>0</v>
      </c>
      <c r="UDX5">
        <f>Database!UEQ29</f>
        <v>0</v>
      </c>
      <c r="UDY5">
        <f>Database!UER29</f>
        <v>0</v>
      </c>
      <c r="UDZ5">
        <f>Database!UES29</f>
        <v>0</v>
      </c>
      <c r="UEA5">
        <f>Database!UET29</f>
        <v>0</v>
      </c>
      <c r="UEB5">
        <f>Database!UEU29</f>
        <v>0</v>
      </c>
      <c r="UEC5">
        <f>Database!UEV29</f>
        <v>0</v>
      </c>
      <c r="UED5">
        <f>Database!UEW29</f>
        <v>0</v>
      </c>
      <c r="UEE5">
        <f>Database!UEX29</f>
        <v>0</v>
      </c>
      <c r="UEF5">
        <f>Database!UEY29</f>
        <v>0</v>
      </c>
      <c r="UEG5">
        <f>Database!UEZ29</f>
        <v>0</v>
      </c>
      <c r="UEH5">
        <f>Database!UFA29</f>
        <v>0</v>
      </c>
      <c r="UEI5">
        <f>Database!UFB29</f>
        <v>0</v>
      </c>
      <c r="UEJ5">
        <f>Database!UFC29</f>
        <v>0</v>
      </c>
      <c r="UEK5">
        <f>Database!UFD29</f>
        <v>0</v>
      </c>
      <c r="UEL5">
        <f>Database!UFE29</f>
        <v>0</v>
      </c>
      <c r="UEM5">
        <f>Database!UFF29</f>
        <v>0</v>
      </c>
      <c r="UEN5">
        <f>Database!UFG29</f>
        <v>0</v>
      </c>
      <c r="UEO5">
        <f>Database!UFH29</f>
        <v>0</v>
      </c>
      <c r="UEP5">
        <f>Database!UFI29</f>
        <v>0</v>
      </c>
      <c r="UEQ5">
        <f>Database!UFJ29</f>
        <v>0</v>
      </c>
      <c r="UER5">
        <f>Database!UFK29</f>
        <v>0</v>
      </c>
      <c r="UES5">
        <f>Database!UFL29</f>
        <v>0</v>
      </c>
      <c r="UET5">
        <f>Database!UFM29</f>
        <v>0</v>
      </c>
      <c r="UEU5">
        <f>Database!UFN29</f>
        <v>0</v>
      </c>
      <c r="UEV5">
        <f>Database!UFO29</f>
        <v>0</v>
      </c>
      <c r="UEW5">
        <f>Database!UFP29</f>
        <v>0</v>
      </c>
      <c r="UEX5">
        <f>Database!UFQ29</f>
        <v>0</v>
      </c>
      <c r="UEY5">
        <f>Database!UFR29</f>
        <v>0</v>
      </c>
      <c r="UEZ5">
        <f>Database!UFS29</f>
        <v>0</v>
      </c>
      <c r="UFA5">
        <f>Database!UFT29</f>
        <v>0</v>
      </c>
      <c r="UFB5">
        <f>Database!UFU29</f>
        <v>0</v>
      </c>
      <c r="UFC5">
        <f>Database!UFV29</f>
        <v>0</v>
      </c>
      <c r="UFD5">
        <f>Database!UFW29</f>
        <v>0</v>
      </c>
      <c r="UFE5">
        <f>Database!UFX29</f>
        <v>0</v>
      </c>
      <c r="UFF5">
        <f>Database!UFY29</f>
        <v>0</v>
      </c>
      <c r="UFG5">
        <f>Database!UFZ29</f>
        <v>0</v>
      </c>
      <c r="UFH5">
        <f>Database!UGA29</f>
        <v>0</v>
      </c>
      <c r="UFI5">
        <f>Database!UGB29</f>
        <v>0</v>
      </c>
      <c r="UFJ5">
        <f>Database!UGC29</f>
        <v>0</v>
      </c>
      <c r="UFK5">
        <f>Database!UGD29</f>
        <v>0</v>
      </c>
      <c r="UFL5">
        <f>Database!UGE29</f>
        <v>0</v>
      </c>
      <c r="UFM5">
        <f>Database!UGF29</f>
        <v>0</v>
      </c>
      <c r="UFN5">
        <f>Database!UGG29</f>
        <v>0</v>
      </c>
      <c r="UFO5">
        <f>Database!UGH29</f>
        <v>0</v>
      </c>
      <c r="UFP5">
        <f>Database!UGI29</f>
        <v>0</v>
      </c>
      <c r="UFQ5">
        <f>Database!UGJ29</f>
        <v>0</v>
      </c>
      <c r="UFR5">
        <f>Database!UGK29</f>
        <v>0</v>
      </c>
      <c r="UFS5">
        <f>Database!UGL29</f>
        <v>0</v>
      </c>
      <c r="UFT5">
        <f>Database!UGM29</f>
        <v>0</v>
      </c>
      <c r="UFU5">
        <f>Database!UGN29</f>
        <v>0</v>
      </c>
      <c r="UFV5">
        <f>Database!UGO29</f>
        <v>0</v>
      </c>
      <c r="UFW5">
        <f>Database!UGP29</f>
        <v>0</v>
      </c>
      <c r="UFX5">
        <f>Database!UGQ29</f>
        <v>0</v>
      </c>
      <c r="UFY5">
        <f>Database!UGR29</f>
        <v>0</v>
      </c>
      <c r="UFZ5">
        <f>Database!UGS29</f>
        <v>0</v>
      </c>
      <c r="UGA5">
        <f>Database!UGT29</f>
        <v>0</v>
      </c>
      <c r="UGB5">
        <f>Database!UGU29</f>
        <v>0</v>
      </c>
      <c r="UGC5">
        <f>Database!UGV29</f>
        <v>0</v>
      </c>
      <c r="UGD5">
        <f>Database!UGW29</f>
        <v>0</v>
      </c>
      <c r="UGE5">
        <f>Database!UGX29</f>
        <v>0</v>
      </c>
      <c r="UGF5">
        <f>Database!UGY29</f>
        <v>0</v>
      </c>
      <c r="UGG5">
        <f>Database!UGZ29</f>
        <v>0</v>
      </c>
      <c r="UGH5">
        <f>Database!UHA29</f>
        <v>0</v>
      </c>
      <c r="UGI5">
        <f>Database!UHB29</f>
        <v>0</v>
      </c>
      <c r="UGJ5">
        <f>Database!UHC29</f>
        <v>0</v>
      </c>
      <c r="UGK5">
        <f>Database!UHD29</f>
        <v>0</v>
      </c>
      <c r="UGL5">
        <f>Database!UHE29</f>
        <v>0</v>
      </c>
      <c r="UGM5">
        <f>Database!UHF29</f>
        <v>0</v>
      </c>
      <c r="UGN5">
        <f>Database!UHG29</f>
        <v>0</v>
      </c>
      <c r="UGO5">
        <f>Database!UHH29</f>
        <v>0</v>
      </c>
      <c r="UGP5">
        <f>Database!UHI29</f>
        <v>0</v>
      </c>
      <c r="UGQ5">
        <f>Database!UHJ29</f>
        <v>0</v>
      </c>
      <c r="UGR5">
        <f>Database!UHK29</f>
        <v>0</v>
      </c>
      <c r="UGS5">
        <f>Database!UHL29</f>
        <v>0</v>
      </c>
      <c r="UGT5">
        <f>Database!UHM29</f>
        <v>0</v>
      </c>
      <c r="UGU5">
        <f>Database!UHN29</f>
        <v>0</v>
      </c>
      <c r="UGV5">
        <f>Database!UHO29</f>
        <v>0</v>
      </c>
      <c r="UGW5">
        <f>Database!UHP29</f>
        <v>0</v>
      </c>
      <c r="UGX5">
        <f>Database!UHQ29</f>
        <v>0</v>
      </c>
      <c r="UGY5">
        <f>Database!UHR29</f>
        <v>0</v>
      </c>
      <c r="UGZ5">
        <f>Database!UHS29</f>
        <v>0</v>
      </c>
      <c r="UHA5">
        <f>Database!UHT29</f>
        <v>0</v>
      </c>
      <c r="UHB5">
        <f>Database!UHU29</f>
        <v>0</v>
      </c>
      <c r="UHC5">
        <f>Database!UHV29</f>
        <v>0</v>
      </c>
      <c r="UHD5">
        <f>Database!UHW29</f>
        <v>0</v>
      </c>
      <c r="UHE5">
        <f>Database!UHX29</f>
        <v>0</v>
      </c>
      <c r="UHF5">
        <f>Database!UHY29</f>
        <v>0</v>
      </c>
      <c r="UHG5">
        <f>Database!UHZ29</f>
        <v>0</v>
      </c>
      <c r="UHH5">
        <f>Database!UIA29</f>
        <v>0</v>
      </c>
      <c r="UHI5">
        <f>Database!UIB29</f>
        <v>0</v>
      </c>
      <c r="UHJ5">
        <f>Database!UIC29</f>
        <v>0</v>
      </c>
      <c r="UHK5">
        <f>Database!UID29</f>
        <v>0</v>
      </c>
      <c r="UHL5">
        <f>Database!UIE29</f>
        <v>0</v>
      </c>
      <c r="UHM5">
        <f>Database!UIF29</f>
        <v>0</v>
      </c>
      <c r="UHN5">
        <f>Database!UIG29</f>
        <v>0</v>
      </c>
      <c r="UHO5">
        <f>Database!UIH29</f>
        <v>0</v>
      </c>
      <c r="UHP5">
        <f>Database!UII29</f>
        <v>0</v>
      </c>
      <c r="UHQ5">
        <f>Database!UIJ29</f>
        <v>0</v>
      </c>
      <c r="UHR5">
        <f>Database!UIK29</f>
        <v>0</v>
      </c>
      <c r="UHS5">
        <f>Database!UIL29</f>
        <v>0</v>
      </c>
      <c r="UHT5">
        <f>Database!UIM29</f>
        <v>0</v>
      </c>
      <c r="UHU5">
        <f>Database!UIN29</f>
        <v>0</v>
      </c>
      <c r="UHV5">
        <f>Database!UIO29</f>
        <v>0</v>
      </c>
      <c r="UHW5">
        <f>Database!UIP29</f>
        <v>0</v>
      </c>
      <c r="UHX5">
        <f>Database!UIQ29</f>
        <v>0</v>
      </c>
      <c r="UHY5">
        <f>Database!UIR29</f>
        <v>0</v>
      </c>
      <c r="UHZ5">
        <f>Database!UIS29</f>
        <v>0</v>
      </c>
      <c r="UIA5">
        <f>Database!UIT29</f>
        <v>0</v>
      </c>
      <c r="UIB5">
        <f>Database!UIU29</f>
        <v>0</v>
      </c>
      <c r="UIC5">
        <f>Database!UIV29</f>
        <v>0</v>
      </c>
      <c r="UID5">
        <f>Database!UIW29</f>
        <v>0</v>
      </c>
      <c r="UIE5">
        <f>Database!UIX29</f>
        <v>0</v>
      </c>
      <c r="UIF5">
        <f>Database!UIY29</f>
        <v>0</v>
      </c>
      <c r="UIG5">
        <f>Database!UIZ29</f>
        <v>0</v>
      </c>
      <c r="UIH5">
        <f>Database!UJA29</f>
        <v>0</v>
      </c>
      <c r="UII5">
        <f>Database!UJB29</f>
        <v>0</v>
      </c>
      <c r="UIJ5">
        <f>Database!UJC29</f>
        <v>0</v>
      </c>
      <c r="UIK5">
        <f>Database!UJD29</f>
        <v>0</v>
      </c>
      <c r="UIL5">
        <f>Database!UJE29</f>
        <v>0</v>
      </c>
      <c r="UIM5">
        <f>Database!UJF29</f>
        <v>0</v>
      </c>
      <c r="UIN5">
        <f>Database!UJG29</f>
        <v>0</v>
      </c>
      <c r="UIO5">
        <f>Database!UJH29</f>
        <v>0</v>
      </c>
      <c r="UIP5">
        <f>Database!UJI29</f>
        <v>0</v>
      </c>
      <c r="UIQ5">
        <f>Database!UJJ29</f>
        <v>0</v>
      </c>
      <c r="UIR5">
        <f>Database!UJK29</f>
        <v>0</v>
      </c>
      <c r="UIS5">
        <f>Database!UJL29</f>
        <v>0</v>
      </c>
      <c r="UIT5">
        <f>Database!UJM29</f>
        <v>0</v>
      </c>
      <c r="UIU5">
        <f>Database!UJN29</f>
        <v>0</v>
      </c>
      <c r="UIV5">
        <f>Database!UJO29</f>
        <v>0</v>
      </c>
      <c r="UIW5">
        <f>Database!UJP29</f>
        <v>0</v>
      </c>
      <c r="UIX5">
        <f>Database!UJQ29</f>
        <v>0</v>
      </c>
      <c r="UIY5">
        <f>Database!UJR29</f>
        <v>0</v>
      </c>
      <c r="UIZ5">
        <f>Database!UJS29</f>
        <v>0</v>
      </c>
      <c r="UJA5">
        <f>Database!UJT29</f>
        <v>0</v>
      </c>
      <c r="UJB5">
        <f>Database!UJU29</f>
        <v>0</v>
      </c>
      <c r="UJC5">
        <f>Database!UJV29</f>
        <v>0</v>
      </c>
      <c r="UJD5">
        <f>Database!UJW29</f>
        <v>0</v>
      </c>
      <c r="UJE5">
        <f>Database!UJX29</f>
        <v>0</v>
      </c>
      <c r="UJF5">
        <f>Database!UJY29</f>
        <v>0</v>
      </c>
      <c r="UJG5">
        <f>Database!UJZ29</f>
        <v>0</v>
      </c>
      <c r="UJH5">
        <f>Database!UKA29</f>
        <v>0</v>
      </c>
      <c r="UJI5">
        <f>Database!UKB29</f>
        <v>0</v>
      </c>
      <c r="UJJ5">
        <f>Database!UKC29</f>
        <v>0</v>
      </c>
      <c r="UJK5">
        <f>Database!UKD29</f>
        <v>0</v>
      </c>
      <c r="UJL5">
        <f>Database!UKE29</f>
        <v>0</v>
      </c>
      <c r="UJM5">
        <f>Database!UKF29</f>
        <v>0</v>
      </c>
      <c r="UJN5">
        <f>Database!UKG29</f>
        <v>0</v>
      </c>
      <c r="UJO5">
        <f>Database!UKH29</f>
        <v>0</v>
      </c>
      <c r="UJP5">
        <f>Database!UKI29</f>
        <v>0</v>
      </c>
      <c r="UJQ5">
        <f>Database!UKJ29</f>
        <v>0</v>
      </c>
      <c r="UJR5">
        <f>Database!UKK29</f>
        <v>0</v>
      </c>
      <c r="UJS5">
        <f>Database!UKL29</f>
        <v>0</v>
      </c>
      <c r="UJT5">
        <f>Database!UKM29</f>
        <v>0</v>
      </c>
      <c r="UJU5">
        <f>Database!UKN29</f>
        <v>0</v>
      </c>
      <c r="UJV5">
        <f>Database!UKO29</f>
        <v>0</v>
      </c>
      <c r="UJW5">
        <f>Database!UKP29</f>
        <v>0</v>
      </c>
      <c r="UJX5">
        <f>Database!UKQ29</f>
        <v>0</v>
      </c>
      <c r="UJY5">
        <f>Database!UKR29</f>
        <v>0</v>
      </c>
      <c r="UJZ5">
        <f>Database!UKS29</f>
        <v>0</v>
      </c>
      <c r="UKA5">
        <f>Database!UKT29</f>
        <v>0</v>
      </c>
      <c r="UKB5">
        <f>Database!UKU29</f>
        <v>0</v>
      </c>
      <c r="UKC5">
        <f>Database!UKV29</f>
        <v>0</v>
      </c>
      <c r="UKD5">
        <f>Database!UKW29</f>
        <v>0</v>
      </c>
      <c r="UKE5">
        <f>Database!UKX29</f>
        <v>0</v>
      </c>
      <c r="UKF5">
        <f>Database!UKY29</f>
        <v>0</v>
      </c>
      <c r="UKG5">
        <f>Database!UKZ29</f>
        <v>0</v>
      </c>
      <c r="UKH5">
        <f>Database!ULA29</f>
        <v>0</v>
      </c>
      <c r="UKI5">
        <f>Database!ULB29</f>
        <v>0</v>
      </c>
      <c r="UKJ5">
        <f>Database!ULC29</f>
        <v>0</v>
      </c>
      <c r="UKK5">
        <f>Database!ULD29</f>
        <v>0</v>
      </c>
      <c r="UKL5">
        <f>Database!ULE29</f>
        <v>0</v>
      </c>
      <c r="UKM5">
        <f>Database!ULF29</f>
        <v>0</v>
      </c>
      <c r="UKN5">
        <f>Database!ULG29</f>
        <v>0</v>
      </c>
      <c r="UKO5">
        <f>Database!ULH29</f>
        <v>0</v>
      </c>
      <c r="UKP5">
        <f>Database!ULI29</f>
        <v>0</v>
      </c>
      <c r="UKQ5">
        <f>Database!ULJ29</f>
        <v>0</v>
      </c>
      <c r="UKR5">
        <f>Database!ULK29</f>
        <v>0</v>
      </c>
      <c r="UKS5">
        <f>Database!ULL29</f>
        <v>0</v>
      </c>
      <c r="UKT5">
        <f>Database!ULM29</f>
        <v>0</v>
      </c>
      <c r="UKU5">
        <f>Database!ULN29</f>
        <v>0</v>
      </c>
      <c r="UKV5">
        <f>Database!ULO29</f>
        <v>0</v>
      </c>
      <c r="UKW5">
        <f>Database!ULP29</f>
        <v>0</v>
      </c>
      <c r="UKX5">
        <f>Database!ULQ29</f>
        <v>0</v>
      </c>
      <c r="UKY5">
        <f>Database!ULR29</f>
        <v>0</v>
      </c>
      <c r="UKZ5">
        <f>Database!ULS29</f>
        <v>0</v>
      </c>
      <c r="ULA5">
        <f>Database!ULT29</f>
        <v>0</v>
      </c>
      <c r="ULB5">
        <f>Database!ULU29</f>
        <v>0</v>
      </c>
      <c r="ULC5">
        <f>Database!ULV29</f>
        <v>0</v>
      </c>
      <c r="ULD5">
        <f>Database!ULW29</f>
        <v>0</v>
      </c>
      <c r="ULE5">
        <f>Database!ULX29</f>
        <v>0</v>
      </c>
      <c r="ULF5">
        <f>Database!ULY29</f>
        <v>0</v>
      </c>
      <c r="ULG5">
        <f>Database!ULZ29</f>
        <v>0</v>
      </c>
      <c r="ULH5">
        <f>Database!UMA29</f>
        <v>0</v>
      </c>
      <c r="ULI5">
        <f>Database!UMB29</f>
        <v>0</v>
      </c>
      <c r="ULJ5">
        <f>Database!UMC29</f>
        <v>0</v>
      </c>
      <c r="ULK5">
        <f>Database!UMD29</f>
        <v>0</v>
      </c>
      <c r="ULL5">
        <f>Database!UME29</f>
        <v>0</v>
      </c>
      <c r="ULM5">
        <f>Database!UMF29</f>
        <v>0</v>
      </c>
      <c r="ULN5">
        <f>Database!UMG29</f>
        <v>0</v>
      </c>
      <c r="ULO5">
        <f>Database!UMH29</f>
        <v>0</v>
      </c>
      <c r="ULP5">
        <f>Database!UMI29</f>
        <v>0</v>
      </c>
      <c r="ULQ5">
        <f>Database!UMJ29</f>
        <v>0</v>
      </c>
      <c r="ULR5">
        <f>Database!UMK29</f>
        <v>0</v>
      </c>
      <c r="ULS5">
        <f>Database!UML29</f>
        <v>0</v>
      </c>
      <c r="ULT5">
        <f>Database!UMM29</f>
        <v>0</v>
      </c>
      <c r="ULU5">
        <f>Database!UMN29</f>
        <v>0</v>
      </c>
      <c r="ULV5">
        <f>Database!UMO29</f>
        <v>0</v>
      </c>
      <c r="ULW5">
        <f>Database!UMP29</f>
        <v>0</v>
      </c>
      <c r="ULX5">
        <f>Database!UMQ29</f>
        <v>0</v>
      </c>
      <c r="ULY5">
        <f>Database!UMR29</f>
        <v>0</v>
      </c>
      <c r="ULZ5">
        <f>Database!UMS29</f>
        <v>0</v>
      </c>
      <c r="UMA5">
        <f>Database!UMT29</f>
        <v>0</v>
      </c>
      <c r="UMB5">
        <f>Database!UMU29</f>
        <v>0</v>
      </c>
      <c r="UMC5">
        <f>Database!UMV29</f>
        <v>0</v>
      </c>
      <c r="UMD5">
        <f>Database!UMW29</f>
        <v>0</v>
      </c>
      <c r="UME5">
        <f>Database!UMX29</f>
        <v>0</v>
      </c>
      <c r="UMF5">
        <f>Database!UMY29</f>
        <v>0</v>
      </c>
      <c r="UMG5">
        <f>Database!UMZ29</f>
        <v>0</v>
      </c>
      <c r="UMH5">
        <f>Database!UNA29</f>
        <v>0</v>
      </c>
      <c r="UMI5">
        <f>Database!UNB29</f>
        <v>0</v>
      </c>
      <c r="UMJ5">
        <f>Database!UNC29</f>
        <v>0</v>
      </c>
      <c r="UMK5">
        <f>Database!UND29</f>
        <v>0</v>
      </c>
      <c r="UML5">
        <f>Database!UNE29</f>
        <v>0</v>
      </c>
      <c r="UMM5">
        <f>Database!UNF29</f>
        <v>0</v>
      </c>
      <c r="UMN5">
        <f>Database!UNG29</f>
        <v>0</v>
      </c>
      <c r="UMO5">
        <f>Database!UNH29</f>
        <v>0</v>
      </c>
      <c r="UMP5">
        <f>Database!UNI29</f>
        <v>0</v>
      </c>
      <c r="UMQ5">
        <f>Database!UNJ29</f>
        <v>0</v>
      </c>
      <c r="UMR5">
        <f>Database!UNK29</f>
        <v>0</v>
      </c>
      <c r="UMS5">
        <f>Database!UNL29</f>
        <v>0</v>
      </c>
      <c r="UMT5">
        <f>Database!UNM29</f>
        <v>0</v>
      </c>
      <c r="UMU5">
        <f>Database!UNN29</f>
        <v>0</v>
      </c>
      <c r="UMV5">
        <f>Database!UNO29</f>
        <v>0</v>
      </c>
      <c r="UMW5">
        <f>Database!UNP29</f>
        <v>0</v>
      </c>
      <c r="UMX5">
        <f>Database!UNQ29</f>
        <v>0</v>
      </c>
      <c r="UMY5">
        <f>Database!UNR29</f>
        <v>0</v>
      </c>
      <c r="UMZ5">
        <f>Database!UNS29</f>
        <v>0</v>
      </c>
      <c r="UNA5">
        <f>Database!UNT29</f>
        <v>0</v>
      </c>
      <c r="UNB5">
        <f>Database!UNU29</f>
        <v>0</v>
      </c>
      <c r="UNC5">
        <f>Database!UNV29</f>
        <v>0</v>
      </c>
      <c r="UND5">
        <f>Database!UNW29</f>
        <v>0</v>
      </c>
      <c r="UNE5">
        <f>Database!UNX29</f>
        <v>0</v>
      </c>
      <c r="UNF5">
        <f>Database!UNY29</f>
        <v>0</v>
      </c>
      <c r="UNG5">
        <f>Database!UNZ29</f>
        <v>0</v>
      </c>
      <c r="UNH5">
        <f>Database!UOA29</f>
        <v>0</v>
      </c>
      <c r="UNI5">
        <f>Database!UOB29</f>
        <v>0</v>
      </c>
      <c r="UNJ5">
        <f>Database!UOC29</f>
        <v>0</v>
      </c>
      <c r="UNK5">
        <f>Database!UOD29</f>
        <v>0</v>
      </c>
      <c r="UNL5">
        <f>Database!UOE29</f>
        <v>0</v>
      </c>
      <c r="UNM5">
        <f>Database!UOF29</f>
        <v>0</v>
      </c>
      <c r="UNN5">
        <f>Database!UOG29</f>
        <v>0</v>
      </c>
      <c r="UNO5">
        <f>Database!UOH29</f>
        <v>0</v>
      </c>
      <c r="UNP5">
        <f>Database!UOI29</f>
        <v>0</v>
      </c>
      <c r="UNQ5">
        <f>Database!UOJ29</f>
        <v>0</v>
      </c>
      <c r="UNR5">
        <f>Database!UOK29</f>
        <v>0</v>
      </c>
      <c r="UNS5">
        <f>Database!UOL29</f>
        <v>0</v>
      </c>
      <c r="UNT5">
        <f>Database!UOM29</f>
        <v>0</v>
      </c>
      <c r="UNU5">
        <f>Database!UON29</f>
        <v>0</v>
      </c>
      <c r="UNV5">
        <f>Database!UOO29</f>
        <v>0</v>
      </c>
      <c r="UNW5">
        <f>Database!UOP29</f>
        <v>0</v>
      </c>
      <c r="UNX5">
        <f>Database!UOQ29</f>
        <v>0</v>
      </c>
      <c r="UNY5">
        <f>Database!UOR29</f>
        <v>0</v>
      </c>
      <c r="UNZ5">
        <f>Database!UOS29</f>
        <v>0</v>
      </c>
      <c r="UOA5">
        <f>Database!UOT29</f>
        <v>0</v>
      </c>
      <c r="UOB5">
        <f>Database!UOU29</f>
        <v>0</v>
      </c>
      <c r="UOC5">
        <f>Database!UOV29</f>
        <v>0</v>
      </c>
      <c r="UOD5">
        <f>Database!UOW29</f>
        <v>0</v>
      </c>
      <c r="UOE5">
        <f>Database!UOX29</f>
        <v>0</v>
      </c>
      <c r="UOF5">
        <f>Database!UOY29</f>
        <v>0</v>
      </c>
      <c r="UOG5">
        <f>Database!UOZ29</f>
        <v>0</v>
      </c>
      <c r="UOH5">
        <f>Database!UPA29</f>
        <v>0</v>
      </c>
      <c r="UOI5">
        <f>Database!UPB29</f>
        <v>0</v>
      </c>
      <c r="UOJ5">
        <f>Database!UPC29</f>
        <v>0</v>
      </c>
      <c r="UOK5">
        <f>Database!UPD29</f>
        <v>0</v>
      </c>
      <c r="UOL5">
        <f>Database!UPE29</f>
        <v>0</v>
      </c>
      <c r="UOM5">
        <f>Database!UPF29</f>
        <v>0</v>
      </c>
      <c r="UON5">
        <f>Database!UPG29</f>
        <v>0</v>
      </c>
      <c r="UOO5">
        <f>Database!UPH29</f>
        <v>0</v>
      </c>
      <c r="UOP5">
        <f>Database!UPI29</f>
        <v>0</v>
      </c>
      <c r="UOQ5">
        <f>Database!UPJ29</f>
        <v>0</v>
      </c>
      <c r="UOR5">
        <f>Database!UPK29</f>
        <v>0</v>
      </c>
      <c r="UOS5">
        <f>Database!UPL29</f>
        <v>0</v>
      </c>
      <c r="UOT5">
        <f>Database!UPM29</f>
        <v>0</v>
      </c>
      <c r="UOU5">
        <f>Database!UPN29</f>
        <v>0</v>
      </c>
      <c r="UOV5">
        <f>Database!UPO29</f>
        <v>0</v>
      </c>
      <c r="UOW5">
        <f>Database!UPP29</f>
        <v>0</v>
      </c>
      <c r="UOX5">
        <f>Database!UPQ29</f>
        <v>0</v>
      </c>
      <c r="UOY5">
        <f>Database!UPR29</f>
        <v>0</v>
      </c>
      <c r="UOZ5">
        <f>Database!UPS29</f>
        <v>0</v>
      </c>
      <c r="UPA5">
        <f>Database!UPT29</f>
        <v>0</v>
      </c>
      <c r="UPB5">
        <f>Database!UPU29</f>
        <v>0</v>
      </c>
      <c r="UPC5">
        <f>Database!UPV29</f>
        <v>0</v>
      </c>
      <c r="UPD5">
        <f>Database!UPW29</f>
        <v>0</v>
      </c>
      <c r="UPE5">
        <f>Database!UPX29</f>
        <v>0</v>
      </c>
      <c r="UPF5">
        <f>Database!UPY29</f>
        <v>0</v>
      </c>
      <c r="UPG5">
        <f>Database!UPZ29</f>
        <v>0</v>
      </c>
      <c r="UPH5">
        <f>Database!UQA29</f>
        <v>0</v>
      </c>
      <c r="UPI5">
        <f>Database!UQB29</f>
        <v>0</v>
      </c>
      <c r="UPJ5">
        <f>Database!UQC29</f>
        <v>0</v>
      </c>
      <c r="UPK5">
        <f>Database!UQD29</f>
        <v>0</v>
      </c>
      <c r="UPL5">
        <f>Database!UQE29</f>
        <v>0</v>
      </c>
      <c r="UPM5">
        <f>Database!UQF29</f>
        <v>0</v>
      </c>
      <c r="UPN5">
        <f>Database!UQG29</f>
        <v>0</v>
      </c>
      <c r="UPO5">
        <f>Database!UQH29</f>
        <v>0</v>
      </c>
      <c r="UPP5">
        <f>Database!UQI29</f>
        <v>0</v>
      </c>
      <c r="UPQ5">
        <f>Database!UQJ29</f>
        <v>0</v>
      </c>
      <c r="UPR5">
        <f>Database!UQK29</f>
        <v>0</v>
      </c>
      <c r="UPS5">
        <f>Database!UQL29</f>
        <v>0</v>
      </c>
      <c r="UPT5">
        <f>Database!UQM29</f>
        <v>0</v>
      </c>
      <c r="UPU5">
        <f>Database!UQN29</f>
        <v>0</v>
      </c>
      <c r="UPV5">
        <f>Database!UQO29</f>
        <v>0</v>
      </c>
      <c r="UPW5">
        <f>Database!UQP29</f>
        <v>0</v>
      </c>
      <c r="UPX5">
        <f>Database!UQQ29</f>
        <v>0</v>
      </c>
      <c r="UPY5">
        <f>Database!UQR29</f>
        <v>0</v>
      </c>
      <c r="UPZ5">
        <f>Database!UQS29</f>
        <v>0</v>
      </c>
      <c r="UQA5">
        <f>Database!UQT29</f>
        <v>0</v>
      </c>
      <c r="UQB5">
        <f>Database!UQU29</f>
        <v>0</v>
      </c>
      <c r="UQC5">
        <f>Database!UQV29</f>
        <v>0</v>
      </c>
      <c r="UQD5">
        <f>Database!UQW29</f>
        <v>0</v>
      </c>
      <c r="UQE5">
        <f>Database!UQX29</f>
        <v>0</v>
      </c>
      <c r="UQF5">
        <f>Database!UQY29</f>
        <v>0</v>
      </c>
      <c r="UQG5">
        <f>Database!UQZ29</f>
        <v>0</v>
      </c>
      <c r="UQH5">
        <f>Database!URA29</f>
        <v>0</v>
      </c>
      <c r="UQI5">
        <f>Database!URB29</f>
        <v>0</v>
      </c>
      <c r="UQJ5">
        <f>Database!URC29</f>
        <v>0</v>
      </c>
      <c r="UQK5">
        <f>Database!URD29</f>
        <v>0</v>
      </c>
      <c r="UQL5">
        <f>Database!URE29</f>
        <v>0</v>
      </c>
      <c r="UQM5">
        <f>Database!URF29</f>
        <v>0</v>
      </c>
      <c r="UQN5">
        <f>Database!URG29</f>
        <v>0</v>
      </c>
      <c r="UQO5">
        <f>Database!URH29</f>
        <v>0</v>
      </c>
      <c r="UQP5">
        <f>Database!URI29</f>
        <v>0</v>
      </c>
      <c r="UQQ5">
        <f>Database!URJ29</f>
        <v>0</v>
      </c>
      <c r="UQR5">
        <f>Database!URK29</f>
        <v>0</v>
      </c>
      <c r="UQS5">
        <f>Database!URL29</f>
        <v>0</v>
      </c>
      <c r="UQT5">
        <f>Database!URM29</f>
        <v>0</v>
      </c>
      <c r="UQU5">
        <f>Database!URN29</f>
        <v>0</v>
      </c>
      <c r="UQV5">
        <f>Database!URO29</f>
        <v>0</v>
      </c>
      <c r="UQW5">
        <f>Database!URP29</f>
        <v>0</v>
      </c>
      <c r="UQX5">
        <f>Database!URQ29</f>
        <v>0</v>
      </c>
      <c r="UQY5">
        <f>Database!URR29</f>
        <v>0</v>
      </c>
      <c r="UQZ5">
        <f>Database!URS29</f>
        <v>0</v>
      </c>
      <c r="URA5">
        <f>Database!URT29</f>
        <v>0</v>
      </c>
      <c r="URB5">
        <f>Database!URU29</f>
        <v>0</v>
      </c>
      <c r="URC5">
        <f>Database!URV29</f>
        <v>0</v>
      </c>
      <c r="URD5">
        <f>Database!URW29</f>
        <v>0</v>
      </c>
      <c r="URE5">
        <f>Database!URX29</f>
        <v>0</v>
      </c>
      <c r="URF5">
        <f>Database!URY29</f>
        <v>0</v>
      </c>
      <c r="URG5">
        <f>Database!URZ29</f>
        <v>0</v>
      </c>
      <c r="URH5">
        <f>Database!USA29</f>
        <v>0</v>
      </c>
      <c r="URI5">
        <f>Database!USB29</f>
        <v>0</v>
      </c>
      <c r="URJ5">
        <f>Database!USC29</f>
        <v>0</v>
      </c>
      <c r="URK5">
        <f>Database!USD29</f>
        <v>0</v>
      </c>
      <c r="URL5">
        <f>Database!USE29</f>
        <v>0</v>
      </c>
      <c r="URM5">
        <f>Database!USF29</f>
        <v>0</v>
      </c>
      <c r="URN5">
        <f>Database!USG29</f>
        <v>0</v>
      </c>
      <c r="URO5">
        <f>Database!USH29</f>
        <v>0</v>
      </c>
      <c r="URP5">
        <f>Database!USI29</f>
        <v>0</v>
      </c>
      <c r="URQ5">
        <f>Database!USJ29</f>
        <v>0</v>
      </c>
      <c r="URR5">
        <f>Database!USK29</f>
        <v>0</v>
      </c>
      <c r="URS5">
        <f>Database!USL29</f>
        <v>0</v>
      </c>
      <c r="URT5">
        <f>Database!USM29</f>
        <v>0</v>
      </c>
      <c r="URU5">
        <f>Database!USN29</f>
        <v>0</v>
      </c>
      <c r="URV5">
        <f>Database!USO29</f>
        <v>0</v>
      </c>
      <c r="URW5">
        <f>Database!USP29</f>
        <v>0</v>
      </c>
      <c r="URX5">
        <f>Database!USQ29</f>
        <v>0</v>
      </c>
      <c r="URY5">
        <f>Database!USR29</f>
        <v>0</v>
      </c>
      <c r="URZ5">
        <f>Database!USS29</f>
        <v>0</v>
      </c>
      <c r="USA5">
        <f>Database!UST29</f>
        <v>0</v>
      </c>
      <c r="USB5">
        <f>Database!USU29</f>
        <v>0</v>
      </c>
      <c r="USC5">
        <f>Database!USV29</f>
        <v>0</v>
      </c>
      <c r="USD5">
        <f>Database!USW29</f>
        <v>0</v>
      </c>
      <c r="USE5">
        <f>Database!USX29</f>
        <v>0</v>
      </c>
      <c r="USF5">
        <f>Database!USY29</f>
        <v>0</v>
      </c>
      <c r="USG5">
        <f>Database!USZ29</f>
        <v>0</v>
      </c>
      <c r="USH5">
        <f>Database!UTA29</f>
        <v>0</v>
      </c>
      <c r="USI5">
        <f>Database!UTB29</f>
        <v>0</v>
      </c>
      <c r="USJ5">
        <f>Database!UTC29</f>
        <v>0</v>
      </c>
      <c r="USK5">
        <f>Database!UTD29</f>
        <v>0</v>
      </c>
      <c r="USL5">
        <f>Database!UTE29</f>
        <v>0</v>
      </c>
      <c r="USM5">
        <f>Database!UTF29</f>
        <v>0</v>
      </c>
      <c r="USN5">
        <f>Database!UTG29</f>
        <v>0</v>
      </c>
      <c r="USO5">
        <f>Database!UTH29</f>
        <v>0</v>
      </c>
      <c r="USP5">
        <f>Database!UTI29</f>
        <v>0</v>
      </c>
      <c r="USQ5">
        <f>Database!UTJ29</f>
        <v>0</v>
      </c>
      <c r="USR5">
        <f>Database!UTK29</f>
        <v>0</v>
      </c>
      <c r="USS5">
        <f>Database!UTL29</f>
        <v>0</v>
      </c>
      <c r="UST5">
        <f>Database!UTM29</f>
        <v>0</v>
      </c>
      <c r="USU5">
        <f>Database!UTN29</f>
        <v>0</v>
      </c>
      <c r="USV5">
        <f>Database!UTO29</f>
        <v>0</v>
      </c>
      <c r="USW5">
        <f>Database!UTP29</f>
        <v>0</v>
      </c>
      <c r="USX5">
        <f>Database!UTQ29</f>
        <v>0</v>
      </c>
      <c r="USY5">
        <f>Database!UTR29</f>
        <v>0</v>
      </c>
      <c r="USZ5">
        <f>Database!UTS29</f>
        <v>0</v>
      </c>
      <c r="UTA5">
        <f>Database!UTT29</f>
        <v>0</v>
      </c>
      <c r="UTB5">
        <f>Database!UTU29</f>
        <v>0</v>
      </c>
      <c r="UTC5">
        <f>Database!UTV29</f>
        <v>0</v>
      </c>
      <c r="UTD5">
        <f>Database!UTW29</f>
        <v>0</v>
      </c>
      <c r="UTE5">
        <f>Database!UTX29</f>
        <v>0</v>
      </c>
      <c r="UTF5">
        <f>Database!UTY29</f>
        <v>0</v>
      </c>
      <c r="UTG5">
        <f>Database!UTZ29</f>
        <v>0</v>
      </c>
      <c r="UTH5">
        <f>Database!UUA29</f>
        <v>0</v>
      </c>
      <c r="UTI5">
        <f>Database!UUB29</f>
        <v>0</v>
      </c>
      <c r="UTJ5">
        <f>Database!UUC29</f>
        <v>0</v>
      </c>
      <c r="UTK5">
        <f>Database!UUD29</f>
        <v>0</v>
      </c>
      <c r="UTL5">
        <f>Database!UUE29</f>
        <v>0</v>
      </c>
      <c r="UTM5">
        <f>Database!UUF29</f>
        <v>0</v>
      </c>
      <c r="UTN5">
        <f>Database!UUG29</f>
        <v>0</v>
      </c>
      <c r="UTO5">
        <f>Database!UUH29</f>
        <v>0</v>
      </c>
      <c r="UTP5">
        <f>Database!UUI29</f>
        <v>0</v>
      </c>
      <c r="UTQ5">
        <f>Database!UUJ29</f>
        <v>0</v>
      </c>
      <c r="UTR5">
        <f>Database!UUK29</f>
        <v>0</v>
      </c>
      <c r="UTS5">
        <f>Database!UUL29</f>
        <v>0</v>
      </c>
      <c r="UTT5">
        <f>Database!UUM29</f>
        <v>0</v>
      </c>
      <c r="UTU5">
        <f>Database!UUN29</f>
        <v>0</v>
      </c>
      <c r="UTV5">
        <f>Database!UUO29</f>
        <v>0</v>
      </c>
      <c r="UTW5">
        <f>Database!UUP29</f>
        <v>0</v>
      </c>
      <c r="UTX5">
        <f>Database!UUQ29</f>
        <v>0</v>
      </c>
      <c r="UTY5">
        <f>Database!UUR29</f>
        <v>0</v>
      </c>
      <c r="UTZ5">
        <f>Database!UUS29</f>
        <v>0</v>
      </c>
      <c r="UUA5">
        <f>Database!UUT29</f>
        <v>0</v>
      </c>
      <c r="UUB5">
        <f>Database!UUU29</f>
        <v>0</v>
      </c>
      <c r="UUC5">
        <f>Database!UUV29</f>
        <v>0</v>
      </c>
      <c r="UUD5">
        <f>Database!UUW29</f>
        <v>0</v>
      </c>
      <c r="UUE5">
        <f>Database!UUX29</f>
        <v>0</v>
      </c>
      <c r="UUF5">
        <f>Database!UUY29</f>
        <v>0</v>
      </c>
      <c r="UUG5">
        <f>Database!UUZ29</f>
        <v>0</v>
      </c>
      <c r="UUH5">
        <f>Database!UVA29</f>
        <v>0</v>
      </c>
      <c r="UUI5">
        <f>Database!UVB29</f>
        <v>0</v>
      </c>
      <c r="UUJ5">
        <f>Database!UVC29</f>
        <v>0</v>
      </c>
      <c r="UUK5">
        <f>Database!UVD29</f>
        <v>0</v>
      </c>
      <c r="UUL5">
        <f>Database!UVE29</f>
        <v>0</v>
      </c>
      <c r="UUM5">
        <f>Database!UVF29</f>
        <v>0</v>
      </c>
      <c r="UUN5">
        <f>Database!UVG29</f>
        <v>0</v>
      </c>
      <c r="UUO5">
        <f>Database!UVH29</f>
        <v>0</v>
      </c>
      <c r="UUP5">
        <f>Database!UVI29</f>
        <v>0</v>
      </c>
      <c r="UUQ5">
        <f>Database!UVJ29</f>
        <v>0</v>
      </c>
      <c r="UUR5">
        <f>Database!UVK29</f>
        <v>0</v>
      </c>
      <c r="UUS5">
        <f>Database!UVL29</f>
        <v>0</v>
      </c>
      <c r="UUT5">
        <f>Database!UVM29</f>
        <v>0</v>
      </c>
      <c r="UUU5">
        <f>Database!UVN29</f>
        <v>0</v>
      </c>
      <c r="UUV5">
        <f>Database!UVO29</f>
        <v>0</v>
      </c>
      <c r="UUW5">
        <f>Database!UVP29</f>
        <v>0</v>
      </c>
      <c r="UUX5">
        <f>Database!UVQ29</f>
        <v>0</v>
      </c>
      <c r="UUY5">
        <f>Database!UVR29</f>
        <v>0</v>
      </c>
      <c r="UUZ5">
        <f>Database!UVS29</f>
        <v>0</v>
      </c>
      <c r="UVA5">
        <f>Database!UVT29</f>
        <v>0</v>
      </c>
      <c r="UVB5">
        <f>Database!UVU29</f>
        <v>0</v>
      </c>
      <c r="UVC5">
        <f>Database!UVV29</f>
        <v>0</v>
      </c>
      <c r="UVD5">
        <f>Database!UVW29</f>
        <v>0</v>
      </c>
      <c r="UVE5">
        <f>Database!UVX29</f>
        <v>0</v>
      </c>
      <c r="UVF5">
        <f>Database!UVY29</f>
        <v>0</v>
      </c>
      <c r="UVG5">
        <f>Database!UVZ29</f>
        <v>0</v>
      </c>
      <c r="UVH5">
        <f>Database!UWA29</f>
        <v>0</v>
      </c>
      <c r="UVI5">
        <f>Database!UWB29</f>
        <v>0</v>
      </c>
      <c r="UVJ5">
        <f>Database!UWC29</f>
        <v>0</v>
      </c>
      <c r="UVK5">
        <f>Database!UWD29</f>
        <v>0</v>
      </c>
      <c r="UVL5">
        <f>Database!UWE29</f>
        <v>0</v>
      </c>
      <c r="UVM5">
        <f>Database!UWF29</f>
        <v>0</v>
      </c>
      <c r="UVN5">
        <f>Database!UWG29</f>
        <v>0</v>
      </c>
      <c r="UVO5">
        <f>Database!UWH29</f>
        <v>0</v>
      </c>
      <c r="UVP5">
        <f>Database!UWI29</f>
        <v>0</v>
      </c>
      <c r="UVQ5">
        <f>Database!UWJ29</f>
        <v>0</v>
      </c>
      <c r="UVR5">
        <f>Database!UWK29</f>
        <v>0</v>
      </c>
      <c r="UVS5">
        <f>Database!UWL29</f>
        <v>0</v>
      </c>
      <c r="UVT5">
        <f>Database!UWM29</f>
        <v>0</v>
      </c>
      <c r="UVU5">
        <f>Database!UWN29</f>
        <v>0</v>
      </c>
      <c r="UVV5">
        <f>Database!UWO29</f>
        <v>0</v>
      </c>
      <c r="UVW5">
        <f>Database!UWP29</f>
        <v>0</v>
      </c>
      <c r="UVX5">
        <f>Database!UWQ29</f>
        <v>0</v>
      </c>
      <c r="UVY5">
        <f>Database!UWR29</f>
        <v>0</v>
      </c>
      <c r="UVZ5">
        <f>Database!UWS29</f>
        <v>0</v>
      </c>
      <c r="UWA5">
        <f>Database!UWT29</f>
        <v>0</v>
      </c>
      <c r="UWB5">
        <f>Database!UWU29</f>
        <v>0</v>
      </c>
      <c r="UWC5">
        <f>Database!UWV29</f>
        <v>0</v>
      </c>
      <c r="UWD5">
        <f>Database!UWW29</f>
        <v>0</v>
      </c>
      <c r="UWE5">
        <f>Database!UWX29</f>
        <v>0</v>
      </c>
      <c r="UWF5">
        <f>Database!UWY29</f>
        <v>0</v>
      </c>
      <c r="UWG5">
        <f>Database!UWZ29</f>
        <v>0</v>
      </c>
      <c r="UWH5">
        <f>Database!UXA29</f>
        <v>0</v>
      </c>
      <c r="UWI5">
        <f>Database!UXB29</f>
        <v>0</v>
      </c>
      <c r="UWJ5">
        <f>Database!UXC29</f>
        <v>0</v>
      </c>
      <c r="UWK5">
        <f>Database!UXD29</f>
        <v>0</v>
      </c>
      <c r="UWL5">
        <f>Database!UXE29</f>
        <v>0</v>
      </c>
      <c r="UWM5">
        <f>Database!UXF29</f>
        <v>0</v>
      </c>
      <c r="UWN5">
        <f>Database!UXG29</f>
        <v>0</v>
      </c>
      <c r="UWO5">
        <f>Database!UXH29</f>
        <v>0</v>
      </c>
      <c r="UWP5">
        <f>Database!UXI29</f>
        <v>0</v>
      </c>
      <c r="UWQ5">
        <f>Database!UXJ29</f>
        <v>0</v>
      </c>
      <c r="UWR5">
        <f>Database!UXK29</f>
        <v>0</v>
      </c>
      <c r="UWS5">
        <f>Database!UXL29</f>
        <v>0</v>
      </c>
      <c r="UWT5">
        <f>Database!UXM29</f>
        <v>0</v>
      </c>
      <c r="UWU5">
        <f>Database!UXN29</f>
        <v>0</v>
      </c>
      <c r="UWV5">
        <f>Database!UXO29</f>
        <v>0</v>
      </c>
      <c r="UWW5">
        <f>Database!UXP29</f>
        <v>0</v>
      </c>
      <c r="UWX5">
        <f>Database!UXQ29</f>
        <v>0</v>
      </c>
      <c r="UWY5">
        <f>Database!UXR29</f>
        <v>0</v>
      </c>
      <c r="UWZ5">
        <f>Database!UXS29</f>
        <v>0</v>
      </c>
      <c r="UXA5">
        <f>Database!UXT29</f>
        <v>0</v>
      </c>
      <c r="UXB5">
        <f>Database!UXU29</f>
        <v>0</v>
      </c>
      <c r="UXC5">
        <f>Database!UXV29</f>
        <v>0</v>
      </c>
      <c r="UXD5">
        <f>Database!UXW29</f>
        <v>0</v>
      </c>
      <c r="UXE5">
        <f>Database!UXX29</f>
        <v>0</v>
      </c>
      <c r="UXF5">
        <f>Database!UXY29</f>
        <v>0</v>
      </c>
      <c r="UXG5">
        <f>Database!UXZ29</f>
        <v>0</v>
      </c>
      <c r="UXH5">
        <f>Database!UYA29</f>
        <v>0</v>
      </c>
      <c r="UXI5">
        <f>Database!UYB29</f>
        <v>0</v>
      </c>
      <c r="UXJ5">
        <f>Database!UYC29</f>
        <v>0</v>
      </c>
      <c r="UXK5">
        <f>Database!UYD29</f>
        <v>0</v>
      </c>
      <c r="UXL5">
        <f>Database!UYE29</f>
        <v>0</v>
      </c>
      <c r="UXM5">
        <f>Database!UYF29</f>
        <v>0</v>
      </c>
      <c r="UXN5">
        <f>Database!UYG29</f>
        <v>0</v>
      </c>
      <c r="UXO5">
        <f>Database!UYH29</f>
        <v>0</v>
      </c>
      <c r="UXP5">
        <f>Database!UYI29</f>
        <v>0</v>
      </c>
      <c r="UXQ5">
        <f>Database!UYJ29</f>
        <v>0</v>
      </c>
      <c r="UXR5">
        <f>Database!UYK29</f>
        <v>0</v>
      </c>
      <c r="UXS5">
        <f>Database!UYL29</f>
        <v>0</v>
      </c>
      <c r="UXT5">
        <f>Database!UYM29</f>
        <v>0</v>
      </c>
      <c r="UXU5">
        <f>Database!UYN29</f>
        <v>0</v>
      </c>
      <c r="UXV5">
        <f>Database!UYO29</f>
        <v>0</v>
      </c>
      <c r="UXW5">
        <f>Database!UYP29</f>
        <v>0</v>
      </c>
      <c r="UXX5">
        <f>Database!UYQ29</f>
        <v>0</v>
      </c>
      <c r="UXY5">
        <f>Database!UYR29</f>
        <v>0</v>
      </c>
      <c r="UXZ5">
        <f>Database!UYS29</f>
        <v>0</v>
      </c>
      <c r="UYA5">
        <f>Database!UYT29</f>
        <v>0</v>
      </c>
      <c r="UYB5">
        <f>Database!UYU29</f>
        <v>0</v>
      </c>
      <c r="UYC5">
        <f>Database!UYV29</f>
        <v>0</v>
      </c>
      <c r="UYD5">
        <f>Database!UYW29</f>
        <v>0</v>
      </c>
      <c r="UYE5">
        <f>Database!UYX29</f>
        <v>0</v>
      </c>
      <c r="UYF5">
        <f>Database!UYY29</f>
        <v>0</v>
      </c>
      <c r="UYG5">
        <f>Database!UYZ29</f>
        <v>0</v>
      </c>
      <c r="UYH5">
        <f>Database!UZA29</f>
        <v>0</v>
      </c>
      <c r="UYI5">
        <f>Database!UZB29</f>
        <v>0</v>
      </c>
      <c r="UYJ5">
        <f>Database!UZC29</f>
        <v>0</v>
      </c>
      <c r="UYK5">
        <f>Database!UZD29</f>
        <v>0</v>
      </c>
      <c r="UYL5">
        <f>Database!UZE29</f>
        <v>0</v>
      </c>
      <c r="UYM5">
        <f>Database!UZF29</f>
        <v>0</v>
      </c>
      <c r="UYN5">
        <f>Database!UZG29</f>
        <v>0</v>
      </c>
      <c r="UYO5">
        <f>Database!UZH29</f>
        <v>0</v>
      </c>
      <c r="UYP5">
        <f>Database!UZI29</f>
        <v>0</v>
      </c>
      <c r="UYQ5">
        <f>Database!UZJ29</f>
        <v>0</v>
      </c>
      <c r="UYR5">
        <f>Database!UZK29</f>
        <v>0</v>
      </c>
      <c r="UYS5">
        <f>Database!UZL29</f>
        <v>0</v>
      </c>
      <c r="UYT5">
        <f>Database!UZM29</f>
        <v>0</v>
      </c>
      <c r="UYU5">
        <f>Database!UZN29</f>
        <v>0</v>
      </c>
      <c r="UYV5">
        <f>Database!UZO29</f>
        <v>0</v>
      </c>
      <c r="UYW5">
        <f>Database!UZP29</f>
        <v>0</v>
      </c>
      <c r="UYX5">
        <f>Database!UZQ29</f>
        <v>0</v>
      </c>
      <c r="UYY5">
        <f>Database!UZR29</f>
        <v>0</v>
      </c>
      <c r="UYZ5">
        <f>Database!UZS29</f>
        <v>0</v>
      </c>
      <c r="UZA5">
        <f>Database!UZT29</f>
        <v>0</v>
      </c>
      <c r="UZB5">
        <f>Database!UZU29</f>
        <v>0</v>
      </c>
      <c r="UZC5">
        <f>Database!UZV29</f>
        <v>0</v>
      </c>
      <c r="UZD5">
        <f>Database!UZW29</f>
        <v>0</v>
      </c>
      <c r="UZE5">
        <f>Database!UZX29</f>
        <v>0</v>
      </c>
      <c r="UZF5">
        <f>Database!UZY29</f>
        <v>0</v>
      </c>
      <c r="UZG5">
        <f>Database!UZZ29</f>
        <v>0</v>
      </c>
      <c r="UZH5">
        <f>Database!VAA29</f>
        <v>0</v>
      </c>
      <c r="UZI5">
        <f>Database!VAB29</f>
        <v>0</v>
      </c>
      <c r="UZJ5">
        <f>Database!VAC29</f>
        <v>0</v>
      </c>
      <c r="UZK5">
        <f>Database!VAD29</f>
        <v>0</v>
      </c>
      <c r="UZL5">
        <f>Database!VAE29</f>
        <v>0</v>
      </c>
      <c r="UZM5">
        <f>Database!VAF29</f>
        <v>0</v>
      </c>
      <c r="UZN5">
        <f>Database!VAG29</f>
        <v>0</v>
      </c>
      <c r="UZO5">
        <f>Database!VAH29</f>
        <v>0</v>
      </c>
      <c r="UZP5">
        <f>Database!VAI29</f>
        <v>0</v>
      </c>
      <c r="UZQ5">
        <f>Database!VAJ29</f>
        <v>0</v>
      </c>
      <c r="UZR5">
        <f>Database!VAK29</f>
        <v>0</v>
      </c>
      <c r="UZS5">
        <f>Database!VAL29</f>
        <v>0</v>
      </c>
      <c r="UZT5">
        <f>Database!VAM29</f>
        <v>0</v>
      </c>
      <c r="UZU5">
        <f>Database!VAN29</f>
        <v>0</v>
      </c>
      <c r="UZV5">
        <f>Database!VAO29</f>
        <v>0</v>
      </c>
      <c r="UZW5">
        <f>Database!VAP29</f>
        <v>0</v>
      </c>
      <c r="UZX5">
        <f>Database!VAQ29</f>
        <v>0</v>
      </c>
      <c r="UZY5">
        <f>Database!VAR29</f>
        <v>0</v>
      </c>
      <c r="UZZ5">
        <f>Database!VAS29</f>
        <v>0</v>
      </c>
      <c r="VAA5">
        <f>Database!VAT29</f>
        <v>0</v>
      </c>
      <c r="VAB5">
        <f>Database!VAU29</f>
        <v>0</v>
      </c>
      <c r="VAC5">
        <f>Database!VAV29</f>
        <v>0</v>
      </c>
      <c r="VAD5">
        <f>Database!VAW29</f>
        <v>0</v>
      </c>
      <c r="VAE5">
        <f>Database!VAX29</f>
        <v>0</v>
      </c>
      <c r="VAF5">
        <f>Database!VAY29</f>
        <v>0</v>
      </c>
      <c r="VAG5">
        <f>Database!VAZ29</f>
        <v>0</v>
      </c>
      <c r="VAH5">
        <f>Database!VBA29</f>
        <v>0</v>
      </c>
      <c r="VAI5">
        <f>Database!VBB29</f>
        <v>0</v>
      </c>
      <c r="VAJ5">
        <f>Database!VBC29</f>
        <v>0</v>
      </c>
      <c r="VAK5">
        <f>Database!VBD29</f>
        <v>0</v>
      </c>
      <c r="VAL5">
        <f>Database!VBE29</f>
        <v>0</v>
      </c>
      <c r="VAM5">
        <f>Database!VBF29</f>
        <v>0</v>
      </c>
      <c r="VAN5">
        <f>Database!VBG29</f>
        <v>0</v>
      </c>
      <c r="VAO5">
        <f>Database!VBH29</f>
        <v>0</v>
      </c>
      <c r="VAP5">
        <f>Database!VBI29</f>
        <v>0</v>
      </c>
      <c r="VAQ5">
        <f>Database!VBJ29</f>
        <v>0</v>
      </c>
      <c r="VAR5">
        <f>Database!VBK29</f>
        <v>0</v>
      </c>
      <c r="VAS5">
        <f>Database!VBL29</f>
        <v>0</v>
      </c>
      <c r="VAT5">
        <f>Database!VBM29</f>
        <v>0</v>
      </c>
      <c r="VAU5">
        <f>Database!VBN29</f>
        <v>0</v>
      </c>
      <c r="VAV5">
        <f>Database!VBO29</f>
        <v>0</v>
      </c>
      <c r="VAW5">
        <f>Database!VBP29</f>
        <v>0</v>
      </c>
      <c r="VAX5">
        <f>Database!VBQ29</f>
        <v>0</v>
      </c>
      <c r="VAY5">
        <f>Database!VBR29</f>
        <v>0</v>
      </c>
      <c r="VAZ5">
        <f>Database!VBS29</f>
        <v>0</v>
      </c>
      <c r="VBA5">
        <f>Database!VBT29</f>
        <v>0</v>
      </c>
      <c r="VBB5">
        <f>Database!VBU29</f>
        <v>0</v>
      </c>
      <c r="VBC5">
        <f>Database!VBV29</f>
        <v>0</v>
      </c>
      <c r="VBD5">
        <f>Database!VBW29</f>
        <v>0</v>
      </c>
      <c r="VBE5">
        <f>Database!VBX29</f>
        <v>0</v>
      </c>
      <c r="VBF5">
        <f>Database!VBY29</f>
        <v>0</v>
      </c>
      <c r="VBG5">
        <f>Database!VBZ29</f>
        <v>0</v>
      </c>
      <c r="VBH5">
        <f>Database!VCA29</f>
        <v>0</v>
      </c>
      <c r="VBI5">
        <f>Database!VCB29</f>
        <v>0</v>
      </c>
      <c r="VBJ5">
        <f>Database!VCC29</f>
        <v>0</v>
      </c>
      <c r="VBK5">
        <f>Database!VCD29</f>
        <v>0</v>
      </c>
      <c r="VBL5">
        <f>Database!VCE29</f>
        <v>0</v>
      </c>
      <c r="VBM5">
        <f>Database!VCF29</f>
        <v>0</v>
      </c>
      <c r="VBN5">
        <f>Database!VCG29</f>
        <v>0</v>
      </c>
      <c r="VBO5">
        <f>Database!VCH29</f>
        <v>0</v>
      </c>
      <c r="VBP5">
        <f>Database!VCI29</f>
        <v>0</v>
      </c>
      <c r="VBQ5">
        <f>Database!VCJ29</f>
        <v>0</v>
      </c>
      <c r="VBR5">
        <f>Database!VCK29</f>
        <v>0</v>
      </c>
      <c r="VBS5">
        <f>Database!VCL29</f>
        <v>0</v>
      </c>
      <c r="VBT5">
        <f>Database!VCM29</f>
        <v>0</v>
      </c>
      <c r="VBU5">
        <f>Database!VCN29</f>
        <v>0</v>
      </c>
      <c r="VBV5">
        <f>Database!VCO29</f>
        <v>0</v>
      </c>
      <c r="VBW5">
        <f>Database!VCP29</f>
        <v>0</v>
      </c>
      <c r="VBX5">
        <f>Database!VCQ29</f>
        <v>0</v>
      </c>
      <c r="VBY5">
        <f>Database!VCR29</f>
        <v>0</v>
      </c>
      <c r="VBZ5">
        <f>Database!VCS29</f>
        <v>0</v>
      </c>
      <c r="VCA5">
        <f>Database!VCT29</f>
        <v>0</v>
      </c>
      <c r="VCB5">
        <f>Database!VCU29</f>
        <v>0</v>
      </c>
      <c r="VCC5">
        <f>Database!VCV29</f>
        <v>0</v>
      </c>
      <c r="VCD5">
        <f>Database!VCW29</f>
        <v>0</v>
      </c>
      <c r="VCE5">
        <f>Database!VCX29</f>
        <v>0</v>
      </c>
      <c r="VCF5">
        <f>Database!VCY29</f>
        <v>0</v>
      </c>
      <c r="VCG5">
        <f>Database!VCZ29</f>
        <v>0</v>
      </c>
      <c r="VCH5">
        <f>Database!VDA29</f>
        <v>0</v>
      </c>
      <c r="VCI5">
        <f>Database!VDB29</f>
        <v>0</v>
      </c>
      <c r="VCJ5">
        <f>Database!VDC29</f>
        <v>0</v>
      </c>
      <c r="VCK5">
        <f>Database!VDD29</f>
        <v>0</v>
      </c>
      <c r="VCL5">
        <f>Database!VDE29</f>
        <v>0</v>
      </c>
      <c r="VCM5">
        <f>Database!VDF29</f>
        <v>0</v>
      </c>
      <c r="VCN5">
        <f>Database!VDG29</f>
        <v>0</v>
      </c>
      <c r="VCO5">
        <f>Database!VDH29</f>
        <v>0</v>
      </c>
      <c r="VCP5">
        <f>Database!VDI29</f>
        <v>0</v>
      </c>
      <c r="VCQ5">
        <f>Database!VDJ29</f>
        <v>0</v>
      </c>
      <c r="VCR5">
        <f>Database!VDK29</f>
        <v>0</v>
      </c>
      <c r="VCS5">
        <f>Database!VDL29</f>
        <v>0</v>
      </c>
      <c r="VCT5">
        <f>Database!VDM29</f>
        <v>0</v>
      </c>
      <c r="VCU5">
        <f>Database!VDN29</f>
        <v>0</v>
      </c>
      <c r="VCV5">
        <f>Database!VDO29</f>
        <v>0</v>
      </c>
      <c r="VCW5">
        <f>Database!VDP29</f>
        <v>0</v>
      </c>
      <c r="VCX5">
        <f>Database!VDQ29</f>
        <v>0</v>
      </c>
      <c r="VCY5">
        <f>Database!VDR29</f>
        <v>0</v>
      </c>
      <c r="VCZ5">
        <f>Database!VDS29</f>
        <v>0</v>
      </c>
      <c r="VDA5">
        <f>Database!VDT29</f>
        <v>0</v>
      </c>
      <c r="VDB5">
        <f>Database!VDU29</f>
        <v>0</v>
      </c>
      <c r="VDC5">
        <f>Database!VDV29</f>
        <v>0</v>
      </c>
      <c r="VDD5">
        <f>Database!VDW29</f>
        <v>0</v>
      </c>
      <c r="VDE5">
        <f>Database!VDX29</f>
        <v>0</v>
      </c>
      <c r="VDF5">
        <f>Database!VDY29</f>
        <v>0</v>
      </c>
      <c r="VDG5">
        <f>Database!VDZ29</f>
        <v>0</v>
      </c>
      <c r="VDH5">
        <f>Database!VEA29</f>
        <v>0</v>
      </c>
      <c r="VDI5">
        <f>Database!VEB29</f>
        <v>0</v>
      </c>
      <c r="VDJ5">
        <f>Database!VEC29</f>
        <v>0</v>
      </c>
      <c r="VDK5">
        <f>Database!VED29</f>
        <v>0</v>
      </c>
      <c r="VDL5">
        <f>Database!VEE29</f>
        <v>0</v>
      </c>
      <c r="VDM5">
        <f>Database!VEF29</f>
        <v>0</v>
      </c>
      <c r="VDN5">
        <f>Database!VEG29</f>
        <v>0</v>
      </c>
      <c r="VDO5">
        <f>Database!VEH29</f>
        <v>0</v>
      </c>
      <c r="VDP5">
        <f>Database!VEI29</f>
        <v>0</v>
      </c>
      <c r="VDQ5">
        <f>Database!VEJ29</f>
        <v>0</v>
      </c>
      <c r="VDR5">
        <f>Database!VEK29</f>
        <v>0</v>
      </c>
      <c r="VDS5">
        <f>Database!VEL29</f>
        <v>0</v>
      </c>
      <c r="VDT5">
        <f>Database!VEM29</f>
        <v>0</v>
      </c>
      <c r="VDU5">
        <f>Database!VEN29</f>
        <v>0</v>
      </c>
      <c r="VDV5">
        <f>Database!VEO29</f>
        <v>0</v>
      </c>
      <c r="VDW5">
        <f>Database!VEP29</f>
        <v>0</v>
      </c>
      <c r="VDX5">
        <f>Database!VEQ29</f>
        <v>0</v>
      </c>
      <c r="VDY5">
        <f>Database!VER29</f>
        <v>0</v>
      </c>
      <c r="VDZ5">
        <f>Database!VES29</f>
        <v>0</v>
      </c>
      <c r="VEA5">
        <f>Database!VET29</f>
        <v>0</v>
      </c>
      <c r="VEB5">
        <f>Database!VEU29</f>
        <v>0</v>
      </c>
      <c r="VEC5">
        <f>Database!VEV29</f>
        <v>0</v>
      </c>
      <c r="VED5">
        <f>Database!VEW29</f>
        <v>0</v>
      </c>
      <c r="VEE5">
        <f>Database!VEX29</f>
        <v>0</v>
      </c>
      <c r="VEF5">
        <f>Database!VEY29</f>
        <v>0</v>
      </c>
      <c r="VEG5">
        <f>Database!VEZ29</f>
        <v>0</v>
      </c>
      <c r="VEH5">
        <f>Database!VFA29</f>
        <v>0</v>
      </c>
      <c r="VEI5">
        <f>Database!VFB29</f>
        <v>0</v>
      </c>
      <c r="VEJ5">
        <f>Database!VFC29</f>
        <v>0</v>
      </c>
      <c r="VEK5">
        <f>Database!VFD29</f>
        <v>0</v>
      </c>
      <c r="VEL5">
        <f>Database!VFE29</f>
        <v>0</v>
      </c>
      <c r="VEM5">
        <f>Database!VFF29</f>
        <v>0</v>
      </c>
      <c r="VEN5">
        <f>Database!VFG29</f>
        <v>0</v>
      </c>
      <c r="VEO5">
        <f>Database!VFH29</f>
        <v>0</v>
      </c>
      <c r="VEP5">
        <f>Database!VFI29</f>
        <v>0</v>
      </c>
      <c r="VEQ5">
        <f>Database!VFJ29</f>
        <v>0</v>
      </c>
      <c r="VER5">
        <f>Database!VFK29</f>
        <v>0</v>
      </c>
      <c r="VES5">
        <f>Database!VFL29</f>
        <v>0</v>
      </c>
      <c r="VET5">
        <f>Database!VFM29</f>
        <v>0</v>
      </c>
      <c r="VEU5">
        <f>Database!VFN29</f>
        <v>0</v>
      </c>
      <c r="VEV5">
        <f>Database!VFO29</f>
        <v>0</v>
      </c>
      <c r="VEW5">
        <f>Database!VFP29</f>
        <v>0</v>
      </c>
      <c r="VEX5">
        <f>Database!VFQ29</f>
        <v>0</v>
      </c>
      <c r="VEY5">
        <f>Database!VFR29</f>
        <v>0</v>
      </c>
      <c r="VEZ5">
        <f>Database!VFS29</f>
        <v>0</v>
      </c>
      <c r="VFA5">
        <f>Database!VFT29</f>
        <v>0</v>
      </c>
      <c r="VFB5">
        <f>Database!VFU29</f>
        <v>0</v>
      </c>
      <c r="VFC5">
        <f>Database!VFV29</f>
        <v>0</v>
      </c>
      <c r="VFD5">
        <f>Database!VFW29</f>
        <v>0</v>
      </c>
      <c r="VFE5">
        <f>Database!VFX29</f>
        <v>0</v>
      </c>
      <c r="VFF5">
        <f>Database!VFY29</f>
        <v>0</v>
      </c>
      <c r="VFG5">
        <f>Database!VFZ29</f>
        <v>0</v>
      </c>
      <c r="VFH5">
        <f>Database!VGA29</f>
        <v>0</v>
      </c>
      <c r="VFI5">
        <f>Database!VGB29</f>
        <v>0</v>
      </c>
      <c r="VFJ5">
        <f>Database!VGC29</f>
        <v>0</v>
      </c>
      <c r="VFK5">
        <f>Database!VGD29</f>
        <v>0</v>
      </c>
      <c r="VFL5">
        <f>Database!VGE29</f>
        <v>0</v>
      </c>
      <c r="VFM5">
        <f>Database!VGF29</f>
        <v>0</v>
      </c>
      <c r="VFN5">
        <f>Database!VGG29</f>
        <v>0</v>
      </c>
      <c r="VFO5">
        <f>Database!VGH29</f>
        <v>0</v>
      </c>
      <c r="VFP5">
        <f>Database!VGI29</f>
        <v>0</v>
      </c>
      <c r="VFQ5">
        <f>Database!VGJ29</f>
        <v>0</v>
      </c>
      <c r="VFR5">
        <f>Database!VGK29</f>
        <v>0</v>
      </c>
      <c r="VFS5">
        <f>Database!VGL29</f>
        <v>0</v>
      </c>
      <c r="VFT5">
        <f>Database!VGM29</f>
        <v>0</v>
      </c>
      <c r="VFU5">
        <f>Database!VGN29</f>
        <v>0</v>
      </c>
      <c r="VFV5">
        <f>Database!VGO29</f>
        <v>0</v>
      </c>
      <c r="VFW5">
        <f>Database!VGP29</f>
        <v>0</v>
      </c>
      <c r="VFX5">
        <f>Database!VGQ29</f>
        <v>0</v>
      </c>
      <c r="VFY5">
        <f>Database!VGR29</f>
        <v>0</v>
      </c>
      <c r="VFZ5">
        <f>Database!VGS29</f>
        <v>0</v>
      </c>
      <c r="VGA5">
        <f>Database!VGT29</f>
        <v>0</v>
      </c>
      <c r="VGB5">
        <f>Database!VGU29</f>
        <v>0</v>
      </c>
      <c r="VGC5">
        <f>Database!VGV29</f>
        <v>0</v>
      </c>
      <c r="VGD5">
        <f>Database!VGW29</f>
        <v>0</v>
      </c>
      <c r="VGE5">
        <f>Database!VGX29</f>
        <v>0</v>
      </c>
      <c r="VGF5">
        <f>Database!VGY29</f>
        <v>0</v>
      </c>
      <c r="VGG5">
        <f>Database!VGZ29</f>
        <v>0</v>
      </c>
      <c r="VGH5">
        <f>Database!VHA29</f>
        <v>0</v>
      </c>
      <c r="VGI5">
        <f>Database!VHB29</f>
        <v>0</v>
      </c>
      <c r="VGJ5">
        <f>Database!VHC29</f>
        <v>0</v>
      </c>
      <c r="VGK5">
        <f>Database!VHD29</f>
        <v>0</v>
      </c>
      <c r="VGL5">
        <f>Database!VHE29</f>
        <v>0</v>
      </c>
      <c r="VGM5">
        <f>Database!VHF29</f>
        <v>0</v>
      </c>
      <c r="VGN5">
        <f>Database!VHG29</f>
        <v>0</v>
      </c>
      <c r="VGO5">
        <f>Database!VHH29</f>
        <v>0</v>
      </c>
      <c r="VGP5">
        <f>Database!VHI29</f>
        <v>0</v>
      </c>
      <c r="VGQ5">
        <f>Database!VHJ29</f>
        <v>0</v>
      </c>
      <c r="VGR5">
        <f>Database!VHK29</f>
        <v>0</v>
      </c>
      <c r="VGS5">
        <f>Database!VHL29</f>
        <v>0</v>
      </c>
      <c r="VGT5">
        <f>Database!VHM29</f>
        <v>0</v>
      </c>
      <c r="VGU5">
        <f>Database!VHN29</f>
        <v>0</v>
      </c>
      <c r="VGV5">
        <f>Database!VHO29</f>
        <v>0</v>
      </c>
      <c r="VGW5">
        <f>Database!VHP29</f>
        <v>0</v>
      </c>
      <c r="VGX5">
        <f>Database!VHQ29</f>
        <v>0</v>
      </c>
      <c r="VGY5">
        <f>Database!VHR29</f>
        <v>0</v>
      </c>
      <c r="VGZ5">
        <f>Database!VHS29</f>
        <v>0</v>
      </c>
      <c r="VHA5">
        <f>Database!VHT29</f>
        <v>0</v>
      </c>
      <c r="VHB5">
        <f>Database!VHU29</f>
        <v>0</v>
      </c>
      <c r="VHC5">
        <f>Database!VHV29</f>
        <v>0</v>
      </c>
      <c r="VHD5">
        <f>Database!VHW29</f>
        <v>0</v>
      </c>
      <c r="VHE5">
        <f>Database!VHX29</f>
        <v>0</v>
      </c>
      <c r="VHF5">
        <f>Database!VHY29</f>
        <v>0</v>
      </c>
      <c r="VHG5">
        <f>Database!VHZ29</f>
        <v>0</v>
      </c>
      <c r="VHH5">
        <f>Database!VIA29</f>
        <v>0</v>
      </c>
      <c r="VHI5">
        <f>Database!VIB29</f>
        <v>0</v>
      </c>
      <c r="VHJ5">
        <f>Database!VIC29</f>
        <v>0</v>
      </c>
      <c r="VHK5">
        <f>Database!VID29</f>
        <v>0</v>
      </c>
      <c r="VHL5">
        <f>Database!VIE29</f>
        <v>0</v>
      </c>
      <c r="VHM5">
        <f>Database!VIF29</f>
        <v>0</v>
      </c>
      <c r="VHN5">
        <f>Database!VIG29</f>
        <v>0</v>
      </c>
      <c r="VHO5">
        <f>Database!VIH29</f>
        <v>0</v>
      </c>
      <c r="VHP5">
        <f>Database!VII29</f>
        <v>0</v>
      </c>
      <c r="VHQ5">
        <f>Database!VIJ29</f>
        <v>0</v>
      </c>
      <c r="VHR5">
        <f>Database!VIK29</f>
        <v>0</v>
      </c>
      <c r="VHS5">
        <f>Database!VIL29</f>
        <v>0</v>
      </c>
      <c r="VHT5">
        <f>Database!VIM29</f>
        <v>0</v>
      </c>
      <c r="VHU5">
        <f>Database!VIN29</f>
        <v>0</v>
      </c>
      <c r="VHV5">
        <f>Database!VIO29</f>
        <v>0</v>
      </c>
      <c r="VHW5">
        <f>Database!VIP29</f>
        <v>0</v>
      </c>
      <c r="VHX5">
        <f>Database!VIQ29</f>
        <v>0</v>
      </c>
      <c r="VHY5">
        <f>Database!VIR29</f>
        <v>0</v>
      </c>
      <c r="VHZ5">
        <f>Database!VIS29</f>
        <v>0</v>
      </c>
      <c r="VIA5">
        <f>Database!VIT29</f>
        <v>0</v>
      </c>
      <c r="VIB5">
        <f>Database!VIU29</f>
        <v>0</v>
      </c>
      <c r="VIC5">
        <f>Database!VIV29</f>
        <v>0</v>
      </c>
      <c r="VID5">
        <f>Database!VIW29</f>
        <v>0</v>
      </c>
      <c r="VIE5">
        <f>Database!VIX29</f>
        <v>0</v>
      </c>
      <c r="VIF5">
        <f>Database!VIY29</f>
        <v>0</v>
      </c>
      <c r="VIG5">
        <f>Database!VIZ29</f>
        <v>0</v>
      </c>
      <c r="VIH5">
        <f>Database!VJA29</f>
        <v>0</v>
      </c>
      <c r="VII5">
        <f>Database!VJB29</f>
        <v>0</v>
      </c>
      <c r="VIJ5">
        <f>Database!VJC29</f>
        <v>0</v>
      </c>
      <c r="VIK5">
        <f>Database!VJD29</f>
        <v>0</v>
      </c>
      <c r="VIL5">
        <f>Database!VJE29</f>
        <v>0</v>
      </c>
      <c r="VIM5">
        <f>Database!VJF29</f>
        <v>0</v>
      </c>
      <c r="VIN5">
        <f>Database!VJG29</f>
        <v>0</v>
      </c>
      <c r="VIO5">
        <f>Database!VJH29</f>
        <v>0</v>
      </c>
      <c r="VIP5">
        <f>Database!VJI29</f>
        <v>0</v>
      </c>
      <c r="VIQ5">
        <f>Database!VJJ29</f>
        <v>0</v>
      </c>
      <c r="VIR5">
        <f>Database!VJK29</f>
        <v>0</v>
      </c>
      <c r="VIS5">
        <f>Database!VJL29</f>
        <v>0</v>
      </c>
      <c r="VIT5">
        <f>Database!VJM29</f>
        <v>0</v>
      </c>
      <c r="VIU5">
        <f>Database!VJN29</f>
        <v>0</v>
      </c>
      <c r="VIV5">
        <f>Database!VJO29</f>
        <v>0</v>
      </c>
      <c r="VIW5">
        <f>Database!VJP29</f>
        <v>0</v>
      </c>
      <c r="VIX5">
        <f>Database!VJQ29</f>
        <v>0</v>
      </c>
      <c r="VIY5">
        <f>Database!VJR29</f>
        <v>0</v>
      </c>
      <c r="VIZ5">
        <f>Database!VJS29</f>
        <v>0</v>
      </c>
      <c r="VJA5">
        <f>Database!VJT29</f>
        <v>0</v>
      </c>
      <c r="VJB5">
        <f>Database!VJU29</f>
        <v>0</v>
      </c>
      <c r="VJC5">
        <f>Database!VJV29</f>
        <v>0</v>
      </c>
      <c r="VJD5">
        <f>Database!VJW29</f>
        <v>0</v>
      </c>
      <c r="VJE5">
        <f>Database!VJX29</f>
        <v>0</v>
      </c>
      <c r="VJF5">
        <f>Database!VJY29</f>
        <v>0</v>
      </c>
      <c r="VJG5">
        <f>Database!VJZ29</f>
        <v>0</v>
      </c>
      <c r="VJH5">
        <f>Database!VKA29</f>
        <v>0</v>
      </c>
      <c r="VJI5">
        <f>Database!VKB29</f>
        <v>0</v>
      </c>
      <c r="VJJ5">
        <f>Database!VKC29</f>
        <v>0</v>
      </c>
      <c r="VJK5">
        <f>Database!VKD29</f>
        <v>0</v>
      </c>
      <c r="VJL5">
        <f>Database!VKE29</f>
        <v>0</v>
      </c>
      <c r="VJM5">
        <f>Database!VKF29</f>
        <v>0</v>
      </c>
      <c r="VJN5">
        <f>Database!VKG29</f>
        <v>0</v>
      </c>
      <c r="VJO5">
        <f>Database!VKH29</f>
        <v>0</v>
      </c>
      <c r="VJP5">
        <f>Database!VKI29</f>
        <v>0</v>
      </c>
      <c r="VJQ5">
        <f>Database!VKJ29</f>
        <v>0</v>
      </c>
      <c r="VJR5">
        <f>Database!VKK29</f>
        <v>0</v>
      </c>
      <c r="VJS5">
        <f>Database!VKL29</f>
        <v>0</v>
      </c>
      <c r="VJT5">
        <f>Database!VKM29</f>
        <v>0</v>
      </c>
      <c r="VJU5">
        <f>Database!VKN29</f>
        <v>0</v>
      </c>
      <c r="VJV5">
        <f>Database!VKO29</f>
        <v>0</v>
      </c>
      <c r="VJW5">
        <f>Database!VKP29</f>
        <v>0</v>
      </c>
      <c r="VJX5">
        <f>Database!VKQ29</f>
        <v>0</v>
      </c>
      <c r="VJY5">
        <f>Database!VKR29</f>
        <v>0</v>
      </c>
      <c r="VJZ5">
        <f>Database!VKS29</f>
        <v>0</v>
      </c>
      <c r="VKA5">
        <f>Database!VKT29</f>
        <v>0</v>
      </c>
      <c r="VKB5">
        <f>Database!VKU29</f>
        <v>0</v>
      </c>
      <c r="VKC5">
        <f>Database!VKV29</f>
        <v>0</v>
      </c>
      <c r="VKD5">
        <f>Database!VKW29</f>
        <v>0</v>
      </c>
      <c r="VKE5">
        <f>Database!VKX29</f>
        <v>0</v>
      </c>
      <c r="VKF5">
        <f>Database!VKY29</f>
        <v>0</v>
      </c>
      <c r="VKG5">
        <f>Database!VKZ29</f>
        <v>0</v>
      </c>
      <c r="VKH5">
        <f>Database!VLA29</f>
        <v>0</v>
      </c>
      <c r="VKI5">
        <f>Database!VLB29</f>
        <v>0</v>
      </c>
      <c r="VKJ5">
        <f>Database!VLC29</f>
        <v>0</v>
      </c>
      <c r="VKK5">
        <f>Database!VLD29</f>
        <v>0</v>
      </c>
      <c r="VKL5">
        <f>Database!VLE29</f>
        <v>0</v>
      </c>
      <c r="VKM5">
        <f>Database!VLF29</f>
        <v>0</v>
      </c>
      <c r="VKN5">
        <f>Database!VLG29</f>
        <v>0</v>
      </c>
      <c r="VKO5">
        <f>Database!VLH29</f>
        <v>0</v>
      </c>
      <c r="VKP5">
        <f>Database!VLI29</f>
        <v>0</v>
      </c>
      <c r="VKQ5">
        <f>Database!VLJ29</f>
        <v>0</v>
      </c>
      <c r="VKR5">
        <f>Database!VLK29</f>
        <v>0</v>
      </c>
      <c r="VKS5">
        <f>Database!VLL29</f>
        <v>0</v>
      </c>
      <c r="VKT5">
        <f>Database!VLM29</f>
        <v>0</v>
      </c>
      <c r="VKU5">
        <f>Database!VLN29</f>
        <v>0</v>
      </c>
      <c r="VKV5">
        <f>Database!VLO29</f>
        <v>0</v>
      </c>
      <c r="VKW5">
        <f>Database!VLP29</f>
        <v>0</v>
      </c>
      <c r="VKX5">
        <f>Database!VLQ29</f>
        <v>0</v>
      </c>
      <c r="VKY5">
        <f>Database!VLR29</f>
        <v>0</v>
      </c>
      <c r="VKZ5">
        <f>Database!VLS29</f>
        <v>0</v>
      </c>
      <c r="VLA5">
        <f>Database!VLT29</f>
        <v>0</v>
      </c>
      <c r="VLB5">
        <f>Database!VLU29</f>
        <v>0</v>
      </c>
      <c r="VLC5">
        <f>Database!VLV29</f>
        <v>0</v>
      </c>
      <c r="VLD5">
        <f>Database!VLW29</f>
        <v>0</v>
      </c>
      <c r="VLE5">
        <f>Database!VLX29</f>
        <v>0</v>
      </c>
      <c r="VLF5">
        <f>Database!VLY29</f>
        <v>0</v>
      </c>
      <c r="VLG5">
        <f>Database!VLZ29</f>
        <v>0</v>
      </c>
      <c r="VLH5">
        <f>Database!VMA29</f>
        <v>0</v>
      </c>
      <c r="VLI5">
        <f>Database!VMB29</f>
        <v>0</v>
      </c>
      <c r="VLJ5">
        <f>Database!VMC29</f>
        <v>0</v>
      </c>
      <c r="VLK5">
        <f>Database!VMD29</f>
        <v>0</v>
      </c>
      <c r="VLL5">
        <f>Database!VME29</f>
        <v>0</v>
      </c>
      <c r="VLM5">
        <f>Database!VMF29</f>
        <v>0</v>
      </c>
      <c r="VLN5">
        <f>Database!VMG29</f>
        <v>0</v>
      </c>
      <c r="VLO5">
        <f>Database!VMH29</f>
        <v>0</v>
      </c>
      <c r="VLP5">
        <f>Database!VMI29</f>
        <v>0</v>
      </c>
      <c r="VLQ5">
        <f>Database!VMJ29</f>
        <v>0</v>
      </c>
      <c r="VLR5">
        <f>Database!VMK29</f>
        <v>0</v>
      </c>
      <c r="VLS5">
        <f>Database!VML29</f>
        <v>0</v>
      </c>
      <c r="VLT5">
        <f>Database!VMM29</f>
        <v>0</v>
      </c>
      <c r="VLU5">
        <f>Database!VMN29</f>
        <v>0</v>
      </c>
      <c r="VLV5">
        <f>Database!VMO29</f>
        <v>0</v>
      </c>
      <c r="VLW5">
        <f>Database!VMP29</f>
        <v>0</v>
      </c>
      <c r="VLX5">
        <f>Database!VMQ29</f>
        <v>0</v>
      </c>
      <c r="VLY5">
        <f>Database!VMR29</f>
        <v>0</v>
      </c>
      <c r="VLZ5">
        <f>Database!VMS29</f>
        <v>0</v>
      </c>
      <c r="VMA5">
        <f>Database!VMT29</f>
        <v>0</v>
      </c>
      <c r="VMB5">
        <f>Database!VMU29</f>
        <v>0</v>
      </c>
      <c r="VMC5">
        <f>Database!VMV29</f>
        <v>0</v>
      </c>
      <c r="VMD5">
        <f>Database!VMW29</f>
        <v>0</v>
      </c>
      <c r="VME5">
        <f>Database!VMX29</f>
        <v>0</v>
      </c>
      <c r="VMF5">
        <f>Database!VMY29</f>
        <v>0</v>
      </c>
      <c r="VMG5">
        <f>Database!VMZ29</f>
        <v>0</v>
      </c>
      <c r="VMH5">
        <f>Database!VNA29</f>
        <v>0</v>
      </c>
      <c r="VMI5">
        <f>Database!VNB29</f>
        <v>0</v>
      </c>
      <c r="VMJ5">
        <f>Database!VNC29</f>
        <v>0</v>
      </c>
      <c r="VMK5">
        <f>Database!VND29</f>
        <v>0</v>
      </c>
      <c r="VML5">
        <f>Database!VNE29</f>
        <v>0</v>
      </c>
      <c r="VMM5">
        <f>Database!VNF29</f>
        <v>0</v>
      </c>
      <c r="VMN5">
        <f>Database!VNG29</f>
        <v>0</v>
      </c>
      <c r="VMO5">
        <f>Database!VNH29</f>
        <v>0</v>
      </c>
      <c r="VMP5">
        <f>Database!VNI29</f>
        <v>0</v>
      </c>
      <c r="VMQ5">
        <f>Database!VNJ29</f>
        <v>0</v>
      </c>
      <c r="VMR5">
        <f>Database!VNK29</f>
        <v>0</v>
      </c>
      <c r="VMS5">
        <f>Database!VNL29</f>
        <v>0</v>
      </c>
      <c r="VMT5">
        <f>Database!VNM29</f>
        <v>0</v>
      </c>
      <c r="VMU5">
        <f>Database!VNN29</f>
        <v>0</v>
      </c>
      <c r="VMV5">
        <f>Database!VNO29</f>
        <v>0</v>
      </c>
      <c r="VMW5">
        <f>Database!VNP29</f>
        <v>0</v>
      </c>
      <c r="VMX5">
        <f>Database!VNQ29</f>
        <v>0</v>
      </c>
      <c r="VMY5">
        <f>Database!VNR29</f>
        <v>0</v>
      </c>
      <c r="VMZ5">
        <f>Database!VNS29</f>
        <v>0</v>
      </c>
      <c r="VNA5">
        <f>Database!VNT29</f>
        <v>0</v>
      </c>
      <c r="VNB5">
        <f>Database!VNU29</f>
        <v>0</v>
      </c>
      <c r="VNC5">
        <f>Database!VNV29</f>
        <v>0</v>
      </c>
      <c r="VND5">
        <f>Database!VNW29</f>
        <v>0</v>
      </c>
      <c r="VNE5">
        <f>Database!VNX29</f>
        <v>0</v>
      </c>
      <c r="VNF5">
        <f>Database!VNY29</f>
        <v>0</v>
      </c>
      <c r="VNG5">
        <f>Database!VNZ29</f>
        <v>0</v>
      </c>
      <c r="VNH5">
        <f>Database!VOA29</f>
        <v>0</v>
      </c>
      <c r="VNI5">
        <f>Database!VOB29</f>
        <v>0</v>
      </c>
      <c r="VNJ5">
        <f>Database!VOC29</f>
        <v>0</v>
      </c>
      <c r="VNK5">
        <f>Database!VOD29</f>
        <v>0</v>
      </c>
      <c r="VNL5">
        <f>Database!VOE29</f>
        <v>0</v>
      </c>
      <c r="VNM5">
        <f>Database!VOF29</f>
        <v>0</v>
      </c>
      <c r="VNN5">
        <f>Database!VOG29</f>
        <v>0</v>
      </c>
      <c r="VNO5">
        <f>Database!VOH29</f>
        <v>0</v>
      </c>
      <c r="VNP5">
        <f>Database!VOI29</f>
        <v>0</v>
      </c>
      <c r="VNQ5">
        <f>Database!VOJ29</f>
        <v>0</v>
      </c>
      <c r="VNR5">
        <f>Database!VOK29</f>
        <v>0</v>
      </c>
      <c r="VNS5">
        <f>Database!VOL29</f>
        <v>0</v>
      </c>
      <c r="VNT5">
        <f>Database!VOM29</f>
        <v>0</v>
      </c>
      <c r="VNU5">
        <f>Database!VON29</f>
        <v>0</v>
      </c>
      <c r="VNV5">
        <f>Database!VOO29</f>
        <v>0</v>
      </c>
      <c r="VNW5">
        <f>Database!VOP29</f>
        <v>0</v>
      </c>
      <c r="VNX5">
        <f>Database!VOQ29</f>
        <v>0</v>
      </c>
      <c r="VNY5">
        <f>Database!VOR29</f>
        <v>0</v>
      </c>
      <c r="VNZ5">
        <f>Database!VOS29</f>
        <v>0</v>
      </c>
      <c r="VOA5">
        <f>Database!VOT29</f>
        <v>0</v>
      </c>
      <c r="VOB5">
        <f>Database!VOU29</f>
        <v>0</v>
      </c>
      <c r="VOC5">
        <f>Database!VOV29</f>
        <v>0</v>
      </c>
      <c r="VOD5">
        <f>Database!VOW29</f>
        <v>0</v>
      </c>
      <c r="VOE5">
        <f>Database!VOX29</f>
        <v>0</v>
      </c>
      <c r="VOF5">
        <f>Database!VOY29</f>
        <v>0</v>
      </c>
      <c r="VOG5">
        <f>Database!VOZ29</f>
        <v>0</v>
      </c>
      <c r="VOH5">
        <f>Database!VPA29</f>
        <v>0</v>
      </c>
      <c r="VOI5">
        <f>Database!VPB29</f>
        <v>0</v>
      </c>
      <c r="VOJ5">
        <f>Database!VPC29</f>
        <v>0</v>
      </c>
      <c r="VOK5">
        <f>Database!VPD29</f>
        <v>0</v>
      </c>
      <c r="VOL5">
        <f>Database!VPE29</f>
        <v>0</v>
      </c>
      <c r="VOM5">
        <f>Database!VPF29</f>
        <v>0</v>
      </c>
      <c r="VON5">
        <f>Database!VPG29</f>
        <v>0</v>
      </c>
      <c r="VOO5">
        <f>Database!VPH29</f>
        <v>0</v>
      </c>
      <c r="VOP5">
        <f>Database!VPI29</f>
        <v>0</v>
      </c>
      <c r="VOQ5">
        <f>Database!VPJ29</f>
        <v>0</v>
      </c>
      <c r="VOR5">
        <f>Database!VPK29</f>
        <v>0</v>
      </c>
      <c r="VOS5">
        <f>Database!VPL29</f>
        <v>0</v>
      </c>
      <c r="VOT5">
        <f>Database!VPM29</f>
        <v>0</v>
      </c>
      <c r="VOU5">
        <f>Database!VPN29</f>
        <v>0</v>
      </c>
      <c r="VOV5">
        <f>Database!VPO29</f>
        <v>0</v>
      </c>
      <c r="VOW5">
        <f>Database!VPP29</f>
        <v>0</v>
      </c>
      <c r="VOX5">
        <f>Database!VPQ29</f>
        <v>0</v>
      </c>
      <c r="VOY5">
        <f>Database!VPR29</f>
        <v>0</v>
      </c>
      <c r="VOZ5">
        <f>Database!VPS29</f>
        <v>0</v>
      </c>
      <c r="VPA5">
        <f>Database!VPT29</f>
        <v>0</v>
      </c>
      <c r="VPB5">
        <f>Database!VPU29</f>
        <v>0</v>
      </c>
      <c r="VPC5">
        <f>Database!VPV29</f>
        <v>0</v>
      </c>
      <c r="VPD5">
        <f>Database!VPW29</f>
        <v>0</v>
      </c>
      <c r="VPE5">
        <f>Database!VPX29</f>
        <v>0</v>
      </c>
      <c r="VPF5">
        <f>Database!VPY29</f>
        <v>0</v>
      </c>
      <c r="VPG5">
        <f>Database!VPZ29</f>
        <v>0</v>
      </c>
      <c r="VPH5">
        <f>Database!VQA29</f>
        <v>0</v>
      </c>
      <c r="VPI5">
        <f>Database!VQB29</f>
        <v>0</v>
      </c>
      <c r="VPJ5">
        <f>Database!VQC29</f>
        <v>0</v>
      </c>
      <c r="VPK5">
        <f>Database!VQD29</f>
        <v>0</v>
      </c>
      <c r="VPL5">
        <f>Database!VQE29</f>
        <v>0</v>
      </c>
      <c r="VPM5">
        <f>Database!VQF29</f>
        <v>0</v>
      </c>
      <c r="VPN5">
        <f>Database!VQG29</f>
        <v>0</v>
      </c>
      <c r="VPO5">
        <f>Database!VQH29</f>
        <v>0</v>
      </c>
      <c r="VPP5">
        <f>Database!VQI29</f>
        <v>0</v>
      </c>
      <c r="VPQ5">
        <f>Database!VQJ29</f>
        <v>0</v>
      </c>
      <c r="VPR5">
        <f>Database!VQK29</f>
        <v>0</v>
      </c>
      <c r="VPS5">
        <f>Database!VQL29</f>
        <v>0</v>
      </c>
      <c r="VPT5">
        <f>Database!VQM29</f>
        <v>0</v>
      </c>
      <c r="VPU5">
        <f>Database!VQN29</f>
        <v>0</v>
      </c>
      <c r="VPV5">
        <f>Database!VQO29</f>
        <v>0</v>
      </c>
      <c r="VPW5">
        <f>Database!VQP29</f>
        <v>0</v>
      </c>
      <c r="VPX5">
        <f>Database!VQQ29</f>
        <v>0</v>
      </c>
      <c r="VPY5">
        <f>Database!VQR29</f>
        <v>0</v>
      </c>
      <c r="VPZ5">
        <f>Database!VQS29</f>
        <v>0</v>
      </c>
      <c r="VQA5">
        <f>Database!VQT29</f>
        <v>0</v>
      </c>
      <c r="VQB5">
        <f>Database!VQU29</f>
        <v>0</v>
      </c>
      <c r="VQC5">
        <f>Database!VQV29</f>
        <v>0</v>
      </c>
      <c r="VQD5">
        <f>Database!VQW29</f>
        <v>0</v>
      </c>
      <c r="VQE5">
        <f>Database!VQX29</f>
        <v>0</v>
      </c>
      <c r="VQF5">
        <f>Database!VQY29</f>
        <v>0</v>
      </c>
      <c r="VQG5">
        <f>Database!VQZ29</f>
        <v>0</v>
      </c>
      <c r="VQH5">
        <f>Database!VRA29</f>
        <v>0</v>
      </c>
      <c r="VQI5">
        <f>Database!VRB29</f>
        <v>0</v>
      </c>
      <c r="VQJ5">
        <f>Database!VRC29</f>
        <v>0</v>
      </c>
      <c r="VQK5">
        <f>Database!VRD29</f>
        <v>0</v>
      </c>
      <c r="VQL5">
        <f>Database!VRE29</f>
        <v>0</v>
      </c>
      <c r="VQM5">
        <f>Database!VRF29</f>
        <v>0</v>
      </c>
      <c r="VQN5">
        <f>Database!VRG29</f>
        <v>0</v>
      </c>
      <c r="VQO5">
        <f>Database!VRH29</f>
        <v>0</v>
      </c>
      <c r="VQP5">
        <f>Database!VRI29</f>
        <v>0</v>
      </c>
      <c r="VQQ5">
        <f>Database!VRJ29</f>
        <v>0</v>
      </c>
      <c r="VQR5">
        <f>Database!VRK29</f>
        <v>0</v>
      </c>
      <c r="VQS5">
        <f>Database!VRL29</f>
        <v>0</v>
      </c>
      <c r="VQT5">
        <f>Database!VRM29</f>
        <v>0</v>
      </c>
      <c r="VQU5">
        <f>Database!VRN29</f>
        <v>0</v>
      </c>
      <c r="VQV5">
        <f>Database!VRO29</f>
        <v>0</v>
      </c>
      <c r="VQW5">
        <f>Database!VRP29</f>
        <v>0</v>
      </c>
      <c r="VQX5">
        <f>Database!VRQ29</f>
        <v>0</v>
      </c>
      <c r="VQY5">
        <f>Database!VRR29</f>
        <v>0</v>
      </c>
      <c r="VQZ5">
        <f>Database!VRS29</f>
        <v>0</v>
      </c>
      <c r="VRA5">
        <f>Database!VRT29</f>
        <v>0</v>
      </c>
      <c r="VRB5">
        <f>Database!VRU29</f>
        <v>0</v>
      </c>
      <c r="VRC5">
        <f>Database!VRV29</f>
        <v>0</v>
      </c>
      <c r="VRD5">
        <f>Database!VRW29</f>
        <v>0</v>
      </c>
      <c r="VRE5">
        <f>Database!VRX29</f>
        <v>0</v>
      </c>
      <c r="VRF5">
        <f>Database!VRY29</f>
        <v>0</v>
      </c>
      <c r="VRG5">
        <f>Database!VRZ29</f>
        <v>0</v>
      </c>
      <c r="VRH5">
        <f>Database!VSA29</f>
        <v>0</v>
      </c>
      <c r="VRI5">
        <f>Database!VSB29</f>
        <v>0</v>
      </c>
      <c r="VRJ5">
        <f>Database!VSC29</f>
        <v>0</v>
      </c>
      <c r="VRK5">
        <f>Database!VSD29</f>
        <v>0</v>
      </c>
      <c r="VRL5">
        <f>Database!VSE29</f>
        <v>0</v>
      </c>
      <c r="VRM5">
        <f>Database!VSF29</f>
        <v>0</v>
      </c>
      <c r="VRN5">
        <f>Database!VSG29</f>
        <v>0</v>
      </c>
      <c r="VRO5">
        <f>Database!VSH29</f>
        <v>0</v>
      </c>
      <c r="VRP5">
        <f>Database!VSI29</f>
        <v>0</v>
      </c>
      <c r="VRQ5">
        <f>Database!VSJ29</f>
        <v>0</v>
      </c>
      <c r="VRR5">
        <f>Database!VSK29</f>
        <v>0</v>
      </c>
      <c r="VRS5">
        <f>Database!VSL29</f>
        <v>0</v>
      </c>
      <c r="VRT5">
        <f>Database!VSM29</f>
        <v>0</v>
      </c>
      <c r="VRU5">
        <f>Database!VSN29</f>
        <v>0</v>
      </c>
      <c r="VRV5">
        <f>Database!VSO29</f>
        <v>0</v>
      </c>
      <c r="VRW5">
        <f>Database!VSP29</f>
        <v>0</v>
      </c>
      <c r="VRX5">
        <f>Database!VSQ29</f>
        <v>0</v>
      </c>
      <c r="VRY5">
        <f>Database!VSR29</f>
        <v>0</v>
      </c>
      <c r="VRZ5">
        <f>Database!VSS29</f>
        <v>0</v>
      </c>
      <c r="VSA5">
        <f>Database!VST29</f>
        <v>0</v>
      </c>
      <c r="VSB5">
        <f>Database!VSU29</f>
        <v>0</v>
      </c>
      <c r="VSC5">
        <f>Database!VSV29</f>
        <v>0</v>
      </c>
      <c r="VSD5">
        <f>Database!VSW29</f>
        <v>0</v>
      </c>
      <c r="VSE5">
        <f>Database!VSX29</f>
        <v>0</v>
      </c>
      <c r="VSF5">
        <f>Database!VSY29</f>
        <v>0</v>
      </c>
      <c r="VSG5">
        <f>Database!VSZ29</f>
        <v>0</v>
      </c>
      <c r="VSH5">
        <f>Database!VTA29</f>
        <v>0</v>
      </c>
      <c r="VSI5">
        <f>Database!VTB29</f>
        <v>0</v>
      </c>
      <c r="VSJ5">
        <f>Database!VTC29</f>
        <v>0</v>
      </c>
      <c r="VSK5">
        <f>Database!VTD29</f>
        <v>0</v>
      </c>
      <c r="VSL5">
        <f>Database!VTE29</f>
        <v>0</v>
      </c>
      <c r="VSM5">
        <f>Database!VTF29</f>
        <v>0</v>
      </c>
      <c r="VSN5">
        <f>Database!VTG29</f>
        <v>0</v>
      </c>
      <c r="VSO5">
        <f>Database!VTH29</f>
        <v>0</v>
      </c>
      <c r="VSP5">
        <f>Database!VTI29</f>
        <v>0</v>
      </c>
      <c r="VSQ5">
        <f>Database!VTJ29</f>
        <v>0</v>
      </c>
      <c r="VSR5">
        <f>Database!VTK29</f>
        <v>0</v>
      </c>
      <c r="VSS5">
        <f>Database!VTL29</f>
        <v>0</v>
      </c>
      <c r="VST5">
        <f>Database!VTM29</f>
        <v>0</v>
      </c>
      <c r="VSU5">
        <f>Database!VTN29</f>
        <v>0</v>
      </c>
      <c r="VSV5">
        <f>Database!VTO29</f>
        <v>0</v>
      </c>
      <c r="VSW5">
        <f>Database!VTP29</f>
        <v>0</v>
      </c>
      <c r="VSX5">
        <f>Database!VTQ29</f>
        <v>0</v>
      </c>
      <c r="VSY5">
        <f>Database!VTR29</f>
        <v>0</v>
      </c>
      <c r="VSZ5">
        <f>Database!VTS29</f>
        <v>0</v>
      </c>
      <c r="VTA5">
        <f>Database!VTT29</f>
        <v>0</v>
      </c>
      <c r="VTB5">
        <f>Database!VTU29</f>
        <v>0</v>
      </c>
      <c r="VTC5">
        <f>Database!VTV29</f>
        <v>0</v>
      </c>
      <c r="VTD5">
        <f>Database!VTW29</f>
        <v>0</v>
      </c>
      <c r="VTE5">
        <f>Database!VTX29</f>
        <v>0</v>
      </c>
      <c r="VTF5">
        <f>Database!VTY29</f>
        <v>0</v>
      </c>
      <c r="VTG5">
        <f>Database!VTZ29</f>
        <v>0</v>
      </c>
      <c r="VTH5">
        <f>Database!VUA29</f>
        <v>0</v>
      </c>
      <c r="VTI5">
        <f>Database!VUB29</f>
        <v>0</v>
      </c>
      <c r="VTJ5">
        <f>Database!VUC29</f>
        <v>0</v>
      </c>
      <c r="VTK5">
        <f>Database!VUD29</f>
        <v>0</v>
      </c>
      <c r="VTL5">
        <f>Database!VUE29</f>
        <v>0</v>
      </c>
      <c r="VTM5">
        <f>Database!VUF29</f>
        <v>0</v>
      </c>
      <c r="VTN5">
        <f>Database!VUG29</f>
        <v>0</v>
      </c>
      <c r="VTO5">
        <f>Database!VUH29</f>
        <v>0</v>
      </c>
      <c r="VTP5">
        <f>Database!VUI29</f>
        <v>0</v>
      </c>
      <c r="VTQ5">
        <f>Database!VUJ29</f>
        <v>0</v>
      </c>
      <c r="VTR5">
        <f>Database!VUK29</f>
        <v>0</v>
      </c>
      <c r="VTS5">
        <f>Database!VUL29</f>
        <v>0</v>
      </c>
      <c r="VTT5">
        <f>Database!VUM29</f>
        <v>0</v>
      </c>
      <c r="VTU5">
        <f>Database!VUN29</f>
        <v>0</v>
      </c>
      <c r="VTV5">
        <f>Database!VUO29</f>
        <v>0</v>
      </c>
      <c r="VTW5">
        <f>Database!VUP29</f>
        <v>0</v>
      </c>
      <c r="VTX5">
        <f>Database!VUQ29</f>
        <v>0</v>
      </c>
      <c r="VTY5">
        <f>Database!VUR29</f>
        <v>0</v>
      </c>
      <c r="VTZ5">
        <f>Database!VUS29</f>
        <v>0</v>
      </c>
      <c r="VUA5">
        <f>Database!VUT29</f>
        <v>0</v>
      </c>
      <c r="VUB5">
        <f>Database!VUU29</f>
        <v>0</v>
      </c>
      <c r="VUC5">
        <f>Database!VUV29</f>
        <v>0</v>
      </c>
      <c r="VUD5">
        <f>Database!VUW29</f>
        <v>0</v>
      </c>
      <c r="VUE5">
        <f>Database!VUX29</f>
        <v>0</v>
      </c>
      <c r="VUF5">
        <f>Database!VUY29</f>
        <v>0</v>
      </c>
      <c r="VUG5">
        <f>Database!VUZ29</f>
        <v>0</v>
      </c>
      <c r="VUH5">
        <f>Database!VVA29</f>
        <v>0</v>
      </c>
      <c r="VUI5">
        <f>Database!VVB29</f>
        <v>0</v>
      </c>
      <c r="VUJ5">
        <f>Database!VVC29</f>
        <v>0</v>
      </c>
      <c r="VUK5">
        <f>Database!VVD29</f>
        <v>0</v>
      </c>
      <c r="VUL5">
        <f>Database!VVE29</f>
        <v>0</v>
      </c>
      <c r="VUM5">
        <f>Database!VVF29</f>
        <v>0</v>
      </c>
      <c r="VUN5">
        <f>Database!VVG29</f>
        <v>0</v>
      </c>
      <c r="VUO5">
        <f>Database!VVH29</f>
        <v>0</v>
      </c>
      <c r="VUP5">
        <f>Database!VVI29</f>
        <v>0</v>
      </c>
      <c r="VUQ5">
        <f>Database!VVJ29</f>
        <v>0</v>
      </c>
      <c r="VUR5">
        <f>Database!VVK29</f>
        <v>0</v>
      </c>
      <c r="VUS5">
        <f>Database!VVL29</f>
        <v>0</v>
      </c>
      <c r="VUT5">
        <f>Database!VVM29</f>
        <v>0</v>
      </c>
      <c r="VUU5">
        <f>Database!VVN29</f>
        <v>0</v>
      </c>
      <c r="VUV5">
        <f>Database!VVO29</f>
        <v>0</v>
      </c>
      <c r="VUW5">
        <f>Database!VVP29</f>
        <v>0</v>
      </c>
      <c r="VUX5">
        <f>Database!VVQ29</f>
        <v>0</v>
      </c>
      <c r="VUY5">
        <f>Database!VVR29</f>
        <v>0</v>
      </c>
      <c r="VUZ5">
        <f>Database!VVS29</f>
        <v>0</v>
      </c>
      <c r="VVA5">
        <f>Database!VVT29</f>
        <v>0</v>
      </c>
      <c r="VVB5">
        <f>Database!VVU29</f>
        <v>0</v>
      </c>
      <c r="VVC5">
        <f>Database!VVV29</f>
        <v>0</v>
      </c>
      <c r="VVD5">
        <f>Database!VVW29</f>
        <v>0</v>
      </c>
      <c r="VVE5">
        <f>Database!VVX29</f>
        <v>0</v>
      </c>
      <c r="VVF5">
        <f>Database!VVY29</f>
        <v>0</v>
      </c>
      <c r="VVG5">
        <f>Database!VVZ29</f>
        <v>0</v>
      </c>
      <c r="VVH5">
        <f>Database!VWA29</f>
        <v>0</v>
      </c>
      <c r="VVI5">
        <f>Database!VWB29</f>
        <v>0</v>
      </c>
      <c r="VVJ5">
        <f>Database!VWC29</f>
        <v>0</v>
      </c>
      <c r="VVK5">
        <f>Database!VWD29</f>
        <v>0</v>
      </c>
      <c r="VVL5">
        <f>Database!VWE29</f>
        <v>0</v>
      </c>
      <c r="VVM5">
        <f>Database!VWF29</f>
        <v>0</v>
      </c>
      <c r="VVN5">
        <f>Database!VWG29</f>
        <v>0</v>
      </c>
      <c r="VVO5">
        <f>Database!VWH29</f>
        <v>0</v>
      </c>
      <c r="VVP5">
        <f>Database!VWI29</f>
        <v>0</v>
      </c>
      <c r="VVQ5">
        <f>Database!VWJ29</f>
        <v>0</v>
      </c>
      <c r="VVR5">
        <f>Database!VWK29</f>
        <v>0</v>
      </c>
      <c r="VVS5">
        <f>Database!VWL29</f>
        <v>0</v>
      </c>
      <c r="VVT5">
        <f>Database!VWM29</f>
        <v>0</v>
      </c>
      <c r="VVU5">
        <f>Database!VWN29</f>
        <v>0</v>
      </c>
      <c r="VVV5">
        <f>Database!VWO29</f>
        <v>0</v>
      </c>
      <c r="VVW5">
        <f>Database!VWP29</f>
        <v>0</v>
      </c>
      <c r="VVX5">
        <f>Database!VWQ29</f>
        <v>0</v>
      </c>
      <c r="VVY5">
        <f>Database!VWR29</f>
        <v>0</v>
      </c>
      <c r="VVZ5">
        <f>Database!VWS29</f>
        <v>0</v>
      </c>
      <c r="VWA5">
        <f>Database!VWT29</f>
        <v>0</v>
      </c>
      <c r="VWB5">
        <f>Database!VWU29</f>
        <v>0</v>
      </c>
      <c r="VWC5">
        <f>Database!VWV29</f>
        <v>0</v>
      </c>
      <c r="VWD5">
        <f>Database!VWW29</f>
        <v>0</v>
      </c>
      <c r="VWE5">
        <f>Database!VWX29</f>
        <v>0</v>
      </c>
      <c r="VWF5">
        <f>Database!VWY29</f>
        <v>0</v>
      </c>
      <c r="VWG5">
        <f>Database!VWZ29</f>
        <v>0</v>
      </c>
      <c r="VWH5">
        <f>Database!VXA29</f>
        <v>0</v>
      </c>
      <c r="VWI5">
        <f>Database!VXB29</f>
        <v>0</v>
      </c>
      <c r="VWJ5">
        <f>Database!VXC29</f>
        <v>0</v>
      </c>
      <c r="VWK5">
        <f>Database!VXD29</f>
        <v>0</v>
      </c>
      <c r="VWL5">
        <f>Database!VXE29</f>
        <v>0</v>
      </c>
      <c r="VWM5">
        <f>Database!VXF29</f>
        <v>0</v>
      </c>
      <c r="VWN5">
        <f>Database!VXG29</f>
        <v>0</v>
      </c>
      <c r="VWO5">
        <f>Database!VXH29</f>
        <v>0</v>
      </c>
      <c r="VWP5">
        <f>Database!VXI29</f>
        <v>0</v>
      </c>
      <c r="VWQ5">
        <f>Database!VXJ29</f>
        <v>0</v>
      </c>
      <c r="VWR5">
        <f>Database!VXK29</f>
        <v>0</v>
      </c>
      <c r="VWS5">
        <f>Database!VXL29</f>
        <v>0</v>
      </c>
      <c r="VWT5">
        <f>Database!VXM29</f>
        <v>0</v>
      </c>
      <c r="VWU5">
        <f>Database!VXN29</f>
        <v>0</v>
      </c>
      <c r="VWV5">
        <f>Database!VXO29</f>
        <v>0</v>
      </c>
      <c r="VWW5">
        <f>Database!VXP29</f>
        <v>0</v>
      </c>
      <c r="VWX5">
        <f>Database!VXQ29</f>
        <v>0</v>
      </c>
      <c r="VWY5">
        <f>Database!VXR29</f>
        <v>0</v>
      </c>
      <c r="VWZ5">
        <f>Database!VXS29</f>
        <v>0</v>
      </c>
      <c r="VXA5">
        <f>Database!VXT29</f>
        <v>0</v>
      </c>
      <c r="VXB5">
        <f>Database!VXU29</f>
        <v>0</v>
      </c>
      <c r="VXC5">
        <f>Database!VXV29</f>
        <v>0</v>
      </c>
      <c r="VXD5">
        <f>Database!VXW29</f>
        <v>0</v>
      </c>
      <c r="VXE5">
        <f>Database!VXX29</f>
        <v>0</v>
      </c>
      <c r="VXF5">
        <f>Database!VXY29</f>
        <v>0</v>
      </c>
      <c r="VXG5">
        <f>Database!VXZ29</f>
        <v>0</v>
      </c>
      <c r="VXH5">
        <f>Database!VYA29</f>
        <v>0</v>
      </c>
      <c r="VXI5">
        <f>Database!VYB29</f>
        <v>0</v>
      </c>
      <c r="VXJ5">
        <f>Database!VYC29</f>
        <v>0</v>
      </c>
      <c r="VXK5">
        <f>Database!VYD29</f>
        <v>0</v>
      </c>
      <c r="VXL5">
        <f>Database!VYE29</f>
        <v>0</v>
      </c>
      <c r="VXM5">
        <f>Database!VYF29</f>
        <v>0</v>
      </c>
      <c r="VXN5">
        <f>Database!VYG29</f>
        <v>0</v>
      </c>
      <c r="VXO5">
        <f>Database!VYH29</f>
        <v>0</v>
      </c>
      <c r="VXP5">
        <f>Database!VYI29</f>
        <v>0</v>
      </c>
      <c r="VXQ5">
        <f>Database!VYJ29</f>
        <v>0</v>
      </c>
      <c r="VXR5">
        <f>Database!VYK29</f>
        <v>0</v>
      </c>
      <c r="VXS5">
        <f>Database!VYL29</f>
        <v>0</v>
      </c>
      <c r="VXT5">
        <f>Database!VYM29</f>
        <v>0</v>
      </c>
      <c r="VXU5">
        <f>Database!VYN29</f>
        <v>0</v>
      </c>
      <c r="VXV5">
        <f>Database!VYO29</f>
        <v>0</v>
      </c>
      <c r="VXW5">
        <f>Database!VYP29</f>
        <v>0</v>
      </c>
      <c r="VXX5">
        <f>Database!VYQ29</f>
        <v>0</v>
      </c>
      <c r="VXY5">
        <f>Database!VYR29</f>
        <v>0</v>
      </c>
      <c r="VXZ5">
        <f>Database!VYS29</f>
        <v>0</v>
      </c>
      <c r="VYA5">
        <f>Database!VYT29</f>
        <v>0</v>
      </c>
      <c r="VYB5">
        <f>Database!VYU29</f>
        <v>0</v>
      </c>
      <c r="VYC5">
        <f>Database!VYV29</f>
        <v>0</v>
      </c>
      <c r="VYD5">
        <f>Database!VYW29</f>
        <v>0</v>
      </c>
      <c r="VYE5">
        <f>Database!VYX29</f>
        <v>0</v>
      </c>
      <c r="VYF5">
        <f>Database!VYY29</f>
        <v>0</v>
      </c>
      <c r="VYG5">
        <f>Database!VYZ29</f>
        <v>0</v>
      </c>
      <c r="VYH5">
        <f>Database!VZA29</f>
        <v>0</v>
      </c>
      <c r="VYI5">
        <f>Database!VZB29</f>
        <v>0</v>
      </c>
      <c r="VYJ5">
        <f>Database!VZC29</f>
        <v>0</v>
      </c>
      <c r="VYK5">
        <f>Database!VZD29</f>
        <v>0</v>
      </c>
      <c r="VYL5">
        <f>Database!VZE29</f>
        <v>0</v>
      </c>
      <c r="VYM5">
        <f>Database!VZF29</f>
        <v>0</v>
      </c>
      <c r="VYN5">
        <f>Database!VZG29</f>
        <v>0</v>
      </c>
      <c r="VYO5">
        <f>Database!VZH29</f>
        <v>0</v>
      </c>
      <c r="VYP5">
        <f>Database!VZI29</f>
        <v>0</v>
      </c>
      <c r="VYQ5">
        <f>Database!VZJ29</f>
        <v>0</v>
      </c>
      <c r="VYR5">
        <f>Database!VZK29</f>
        <v>0</v>
      </c>
      <c r="VYS5">
        <f>Database!VZL29</f>
        <v>0</v>
      </c>
      <c r="VYT5">
        <f>Database!VZM29</f>
        <v>0</v>
      </c>
      <c r="VYU5">
        <f>Database!VZN29</f>
        <v>0</v>
      </c>
      <c r="VYV5">
        <f>Database!VZO29</f>
        <v>0</v>
      </c>
      <c r="VYW5">
        <f>Database!VZP29</f>
        <v>0</v>
      </c>
      <c r="VYX5">
        <f>Database!VZQ29</f>
        <v>0</v>
      </c>
      <c r="VYY5">
        <f>Database!VZR29</f>
        <v>0</v>
      </c>
      <c r="VYZ5">
        <f>Database!VZS29</f>
        <v>0</v>
      </c>
      <c r="VZA5">
        <f>Database!VZT29</f>
        <v>0</v>
      </c>
      <c r="VZB5">
        <f>Database!VZU29</f>
        <v>0</v>
      </c>
      <c r="VZC5">
        <f>Database!VZV29</f>
        <v>0</v>
      </c>
      <c r="VZD5">
        <f>Database!VZW29</f>
        <v>0</v>
      </c>
      <c r="VZE5">
        <f>Database!VZX29</f>
        <v>0</v>
      </c>
      <c r="VZF5">
        <f>Database!VZY29</f>
        <v>0</v>
      </c>
      <c r="VZG5">
        <f>Database!VZZ29</f>
        <v>0</v>
      </c>
      <c r="VZH5">
        <f>Database!WAA29</f>
        <v>0</v>
      </c>
      <c r="VZI5">
        <f>Database!WAB29</f>
        <v>0</v>
      </c>
      <c r="VZJ5">
        <f>Database!WAC29</f>
        <v>0</v>
      </c>
      <c r="VZK5">
        <f>Database!WAD29</f>
        <v>0</v>
      </c>
      <c r="VZL5">
        <f>Database!WAE29</f>
        <v>0</v>
      </c>
      <c r="VZM5">
        <f>Database!WAF29</f>
        <v>0</v>
      </c>
      <c r="VZN5">
        <f>Database!WAG29</f>
        <v>0</v>
      </c>
      <c r="VZO5">
        <f>Database!WAH29</f>
        <v>0</v>
      </c>
      <c r="VZP5">
        <f>Database!WAI29</f>
        <v>0</v>
      </c>
      <c r="VZQ5">
        <f>Database!WAJ29</f>
        <v>0</v>
      </c>
      <c r="VZR5">
        <f>Database!WAK29</f>
        <v>0</v>
      </c>
      <c r="VZS5">
        <f>Database!WAL29</f>
        <v>0</v>
      </c>
      <c r="VZT5">
        <f>Database!WAM29</f>
        <v>0</v>
      </c>
      <c r="VZU5">
        <f>Database!WAN29</f>
        <v>0</v>
      </c>
      <c r="VZV5">
        <f>Database!WAO29</f>
        <v>0</v>
      </c>
      <c r="VZW5">
        <f>Database!WAP29</f>
        <v>0</v>
      </c>
      <c r="VZX5">
        <f>Database!WAQ29</f>
        <v>0</v>
      </c>
      <c r="VZY5">
        <f>Database!WAR29</f>
        <v>0</v>
      </c>
      <c r="VZZ5">
        <f>Database!WAS29</f>
        <v>0</v>
      </c>
      <c r="WAA5">
        <f>Database!WAT29</f>
        <v>0</v>
      </c>
      <c r="WAB5">
        <f>Database!WAU29</f>
        <v>0</v>
      </c>
      <c r="WAC5">
        <f>Database!WAV29</f>
        <v>0</v>
      </c>
      <c r="WAD5">
        <f>Database!WAW29</f>
        <v>0</v>
      </c>
      <c r="WAE5">
        <f>Database!WAX29</f>
        <v>0</v>
      </c>
      <c r="WAF5">
        <f>Database!WAY29</f>
        <v>0</v>
      </c>
      <c r="WAG5">
        <f>Database!WAZ29</f>
        <v>0</v>
      </c>
      <c r="WAH5">
        <f>Database!WBA29</f>
        <v>0</v>
      </c>
      <c r="WAI5">
        <f>Database!WBB29</f>
        <v>0</v>
      </c>
      <c r="WAJ5">
        <f>Database!WBC29</f>
        <v>0</v>
      </c>
      <c r="WAK5">
        <f>Database!WBD29</f>
        <v>0</v>
      </c>
      <c r="WAL5">
        <f>Database!WBE29</f>
        <v>0</v>
      </c>
      <c r="WAM5">
        <f>Database!WBF29</f>
        <v>0</v>
      </c>
      <c r="WAN5">
        <f>Database!WBG29</f>
        <v>0</v>
      </c>
      <c r="WAO5">
        <f>Database!WBH29</f>
        <v>0</v>
      </c>
      <c r="WAP5">
        <f>Database!WBI29</f>
        <v>0</v>
      </c>
      <c r="WAQ5">
        <f>Database!WBJ29</f>
        <v>0</v>
      </c>
      <c r="WAR5">
        <f>Database!WBK29</f>
        <v>0</v>
      </c>
      <c r="WAS5">
        <f>Database!WBL29</f>
        <v>0</v>
      </c>
      <c r="WAT5">
        <f>Database!WBM29</f>
        <v>0</v>
      </c>
      <c r="WAU5">
        <f>Database!WBN29</f>
        <v>0</v>
      </c>
      <c r="WAV5">
        <f>Database!WBO29</f>
        <v>0</v>
      </c>
      <c r="WAW5">
        <f>Database!WBP29</f>
        <v>0</v>
      </c>
      <c r="WAX5">
        <f>Database!WBQ29</f>
        <v>0</v>
      </c>
      <c r="WAY5">
        <f>Database!WBR29</f>
        <v>0</v>
      </c>
      <c r="WAZ5">
        <f>Database!WBS29</f>
        <v>0</v>
      </c>
      <c r="WBA5">
        <f>Database!WBT29</f>
        <v>0</v>
      </c>
      <c r="WBB5">
        <f>Database!WBU29</f>
        <v>0</v>
      </c>
      <c r="WBC5">
        <f>Database!WBV29</f>
        <v>0</v>
      </c>
      <c r="WBD5">
        <f>Database!WBW29</f>
        <v>0</v>
      </c>
      <c r="WBE5">
        <f>Database!WBX29</f>
        <v>0</v>
      </c>
      <c r="WBF5">
        <f>Database!WBY29</f>
        <v>0</v>
      </c>
      <c r="WBG5">
        <f>Database!WBZ29</f>
        <v>0</v>
      </c>
      <c r="WBH5">
        <f>Database!WCA29</f>
        <v>0</v>
      </c>
      <c r="WBI5">
        <f>Database!WCB29</f>
        <v>0</v>
      </c>
      <c r="WBJ5">
        <f>Database!WCC29</f>
        <v>0</v>
      </c>
      <c r="WBK5">
        <f>Database!WCD29</f>
        <v>0</v>
      </c>
      <c r="WBL5">
        <f>Database!WCE29</f>
        <v>0</v>
      </c>
      <c r="WBM5">
        <f>Database!WCF29</f>
        <v>0</v>
      </c>
      <c r="WBN5">
        <f>Database!WCG29</f>
        <v>0</v>
      </c>
      <c r="WBO5">
        <f>Database!WCH29</f>
        <v>0</v>
      </c>
      <c r="WBP5">
        <f>Database!WCI29</f>
        <v>0</v>
      </c>
      <c r="WBQ5">
        <f>Database!WCJ29</f>
        <v>0</v>
      </c>
      <c r="WBR5">
        <f>Database!WCK29</f>
        <v>0</v>
      </c>
      <c r="WBS5">
        <f>Database!WCL29</f>
        <v>0</v>
      </c>
      <c r="WBT5">
        <f>Database!WCM29</f>
        <v>0</v>
      </c>
      <c r="WBU5">
        <f>Database!WCN29</f>
        <v>0</v>
      </c>
      <c r="WBV5">
        <f>Database!WCO29</f>
        <v>0</v>
      </c>
      <c r="WBW5">
        <f>Database!WCP29</f>
        <v>0</v>
      </c>
      <c r="WBX5">
        <f>Database!WCQ29</f>
        <v>0</v>
      </c>
      <c r="WBY5">
        <f>Database!WCR29</f>
        <v>0</v>
      </c>
      <c r="WBZ5">
        <f>Database!WCS29</f>
        <v>0</v>
      </c>
      <c r="WCA5">
        <f>Database!WCT29</f>
        <v>0</v>
      </c>
      <c r="WCB5">
        <f>Database!WCU29</f>
        <v>0</v>
      </c>
      <c r="WCC5">
        <f>Database!WCV29</f>
        <v>0</v>
      </c>
      <c r="WCD5">
        <f>Database!WCW29</f>
        <v>0</v>
      </c>
      <c r="WCE5">
        <f>Database!WCX29</f>
        <v>0</v>
      </c>
      <c r="WCF5">
        <f>Database!WCY29</f>
        <v>0</v>
      </c>
      <c r="WCG5">
        <f>Database!WCZ29</f>
        <v>0</v>
      </c>
      <c r="WCH5">
        <f>Database!WDA29</f>
        <v>0</v>
      </c>
      <c r="WCI5">
        <f>Database!WDB29</f>
        <v>0</v>
      </c>
      <c r="WCJ5">
        <f>Database!WDC29</f>
        <v>0</v>
      </c>
      <c r="WCK5">
        <f>Database!WDD29</f>
        <v>0</v>
      </c>
      <c r="WCL5">
        <f>Database!WDE29</f>
        <v>0</v>
      </c>
      <c r="WCM5">
        <f>Database!WDF29</f>
        <v>0</v>
      </c>
      <c r="WCN5">
        <f>Database!WDG29</f>
        <v>0</v>
      </c>
      <c r="WCO5">
        <f>Database!WDH29</f>
        <v>0</v>
      </c>
      <c r="WCP5">
        <f>Database!WDI29</f>
        <v>0</v>
      </c>
      <c r="WCQ5">
        <f>Database!WDJ29</f>
        <v>0</v>
      </c>
      <c r="WCR5">
        <f>Database!WDK29</f>
        <v>0</v>
      </c>
      <c r="WCS5">
        <f>Database!WDL29</f>
        <v>0</v>
      </c>
      <c r="WCT5">
        <f>Database!WDM29</f>
        <v>0</v>
      </c>
      <c r="WCU5">
        <f>Database!WDN29</f>
        <v>0</v>
      </c>
      <c r="WCV5">
        <f>Database!WDO29</f>
        <v>0</v>
      </c>
      <c r="WCW5">
        <f>Database!WDP29</f>
        <v>0</v>
      </c>
      <c r="WCX5">
        <f>Database!WDQ29</f>
        <v>0</v>
      </c>
      <c r="WCY5">
        <f>Database!WDR29</f>
        <v>0</v>
      </c>
      <c r="WCZ5">
        <f>Database!WDS29</f>
        <v>0</v>
      </c>
      <c r="WDA5">
        <f>Database!WDT29</f>
        <v>0</v>
      </c>
      <c r="WDB5">
        <f>Database!WDU29</f>
        <v>0</v>
      </c>
      <c r="WDC5">
        <f>Database!WDV29</f>
        <v>0</v>
      </c>
      <c r="WDD5">
        <f>Database!WDW29</f>
        <v>0</v>
      </c>
      <c r="WDE5">
        <f>Database!WDX29</f>
        <v>0</v>
      </c>
      <c r="WDF5">
        <f>Database!WDY29</f>
        <v>0</v>
      </c>
      <c r="WDG5">
        <f>Database!WDZ29</f>
        <v>0</v>
      </c>
      <c r="WDH5">
        <f>Database!WEA29</f>
        <v>0</v>
      </c>
      <c r="WDI5">
        <f>Database!WEB29</f>
        <v>0</v>
      </c>
      <c r="WDJ5">
        <f>Database!WEC29</f>
        <v>0</v>
      </c>
      <c r="WDK5">
        <f>Database!WED29</f>
        <v>0</v>
      </c>
      <c r="WDL5">
        <f>Database!WEE29</f>
        <v>0</v>
      </c>
      <c r="WDM5">
        <f>Database!WEF29</f>
        <v>0</v>
      </c>
      <c r="WDN5">
        <f>Database!WEG29</f>
        <v>0</v>
      </c>
      <c r="WDO5">
        <f>Database!WEH29</f>
        <v>0</v>
      </c>
      <c r="WDP5">
        <f>Database!WEI29</f>
        <v>0</v>
      </c>
      <c r="WDQ5">
        <f>Database!WEJ29</f>
        <v>0</v>
      </c>
      <c r="WDR5">
        <f>Database!WEK29</f>
        <v>0</v>
      </c>
      <c r="WDS5">
        <f>Database!WEL29</f>
        <v>0</v>
      </c>
      <c r="WDT5">
        <f>Database!WEM29</f>
        <v>0</v>
      </c>
      <c r="WDU5">
        <f>Database!WEN29</f>
        <v>0</v>
      </c>
      <c r="WDV5">
        <f>Database!WEO29</f>
        <v>0</v>
      </c>
      <c r="WDW5">
        <f>Database!WEP29</f>
        <v>0</v>
      </c>
      <c r="WDX5">
        <f>Database!WEQ29</f>
        <v>0</v>
      </c>
      <c r="WDY5">
        <f>Database!WER29</f>
        <v>0</v>
      </c>
      <c r="WDZ5">
        <f>Database!WES29</f>
        <v>0</v>
      </c>
      <c r="WEA5">
        <f>Database!WET29</f>
        <v>0</v>
      </c>
      <c r="WEB5">
        <f>Database!WEU29</f>
        <v>0</v>
      </c>
      <c r="WEC5">
        <f>Database!WEV29</f>
        <v>0</v>
      </c>
      <c r="WED5">
        <f>Database!WEW29</f>
        <v>0</v>
      </c>
      <c r="WEE5">
        <f>Database!WEX29</f>
        <v>0</v>
      </c>
      <c r="WEF5">
        <f>Database!WEY29</f>
        <v>0</v>
      </c>
      <c r="WEG5">
        <f>Database!WEZ29</f>
        <v>0</v>
      </c>
      <c r="WEH5">
        <f>Database!WFA29</f>
        <v>0</v>
      </c>
      <c r="WEI5">
        <f>Database!WFB29</f>
        <v>0</v>
      </c>
      <c r="WEJ5">
        <f>Database!WFC29</f>
        <v>0</v>
      </c>
      <c r="WEK5">
        <f>Database!WFD29</f>
        <v>0</v>
      </c>
      <c r="WEL5">
        <f>Database!WFE29</f>
        <v>0</v>
      </c>
      <c r="WEM5">
        <f>Database!WFF29</f>
        <v>0</v>
      </c>
      <c r="WEN5">
        <f>Database!WFG29</f>
        <v>0</v>
      </c>
      <c r="WEO5">
        <f>Database!WFH29</f>
        <v>0</v>
      </c>
      <c r="WEP5">
        <f>Database!WFI29</f>
        <v>0</v>
      </c>
      <c r="WEQ5">
        <f>Database!WFJ29</f>
        <v>0</v>
      </c>
      <c r="WER5">
        <f>Database!WFK29</f>
        <v>0</v>
      </c>
      <c r="WES5">
        <f>Database!WFL29</f>
        <v>0</v>
      </c>
      <c r="WET5">
        <f>Database!WFM29</f>
        <v>0</v>
      </c>
      <c r="WEU5">
        <f>Database!WFN29</f>
        <v>0</v>
      </c>
      <c r="WEV5">
        <f>Database!WFO29</f>
        <v>0</v>
      </c>
      <c r="WEW5">
        <f>Database!WFP29</f>
        <v>0</v>
      </c>
      <c r="WEX5">
        <f>Database!WFQ29</f>
        <v>0</v>
      </c>
      <c r="WEY5">
        <f>Database!WFR29</f>
        <v>0</v>
      </c>
      <c r="WEZ5">
        <f>Database!WFS29</f>
        <v>0</v>
      </c>
      <c r="WFA5">
        <f>Database!WFT29</f>
        <v>0</v>
      </c>
      <c r="WFB5">
        <f>Database!WFU29</f>
        <v>0</v>
      </c>
      <c r="WFC5">
        <f>Database!WFV29</f>
        <v>0</v>
      </c>
      <c r="WFD5">
        <f>Database!WFW29</f>
        <v>0</v>
      </c>
      <c r="WFE5">
        <f>Database!WFX29</f>
        <v>0</v>
      </c>
      <c r="WFF5">
        <f>Database!WFY29</f>
        <v>0</v>
      </c>
      <c r="WFG5">
        <f>Database!WFZ29</f>
        <v>0</v>
      </c>
      <c r="WFH5">
        <f>Database!WGA29</f>
        <v>0</v>
      </c>
      <c r="WFI5">
        <f>Database!WGB29</f>
        <v>0</v>
      </c>
      <c r="WFJ5">
        <f>Database!WGC29</f>
        <v>0</v>
      </c>
      <c r="WFK5">
        <f>Database!WGD29</f>
        <v>0</v>
      </c>
      <c r="WFL5">
        <f>Database!WGE29</f>
        <v>0</v>
      </c>
      <c r="WFM5">
        <f>Database!WGF29</f>
        <v>0</v>
      </c>
      <c r="WFN5">
        <f>Database!WGG29</f>
        <v>0</v>
      </c>
      <c r="WFO5">
        <f>Database!WGH29</f>
        <v>0</v>
      </c>
      <c r="WFP5">
        <f>Database!WGI29</f>
        <v>0</v>
      </c>
      <c r="WFQ5">
        <f>Database!WGJ29</f>
        <v>0</v>
      </c>
      <c r="WFR5">
        <f>Database!WGK29</f>
        <v>0</v>
      </c>
      <c r="WFS5">
        <f>Database!WGL29</f>
        <v>0</v>
      </c>
      <c r="WFT5">
        <f>Database!WGM29</f>
        <v>0</v>
      </c>
      <c r="WFU5">
        <f>Database!WGN29</f>
        <v>0</v>
      </c>
      <c r="WFV5">
        <f>Database!WGO29</f>
        <v>0</v>
      </c>
      <c r="WFW5">
        <f>Database!WGP29</f>
        <v>0</v>
      </c>
      <c r="WFX5">
        <f>Database!WGQ29</f>
        <v>0</v>
      </c>
      <c r="WFY5">
        <f>Database!WGR29</f>
        <v>0</v>
      </c>
      <c r="WFZ5">
        <f>Database!WGS29</f>
        <v>0</v>
      </c>
      <c r="WGA5">
        <f>Database!WGT29</f>
        <v>0</v>
      </c>
      <c r="WGB5">
        <f>Database!WGU29</f>
        <v>0</v>
      </c>
      <c r="WGC5">
        <f>Database!WGV29</f>
        <v>0</v>
      </c>
      <c r="WGD5">
        <f>Database!WGW29</f>
        <v>0</v>
      </c>
      <c r="WGE5">
        <f>Database!WGX29</f>
        <v>0</v>
      </c>
      <c r="WGF5">
        <f>Database!WGY29</f>
        <v>0</v>
      </c>
      <c r="WGG5">
        <f>Database!WGZ29</f>
        <v>0</v>
      </c>
      <c r="WGH5">
        <f>Database!WHA29</f>
        <v>0</v>
      </c>
      <c r="WGI5">
        <f>Database!WHB29</f>
        <v>0</v>
      </c>
      <c r="WGJ5">
        <f>Database!WHC29</f>
        <v>0</v>
      </c>
      <c r="WGK5">
        <f>Database!WHD29</f>
        <v>0</v>
      </c>
      <c r="WGL5">
        <f>Database!WHE29</f>
        <v>0</v>
      </c>
      <c r="WGM5">
        <f>Database!WHF29</f>
        <v>0</v>
      </c>
      <c r="WGN5">
        <f>Database!WHG29</f>
        <v>0</v>
      </c>
      <c r="WGO5">
        <f>Database!WHH29</f>
        <v>0</v>
      </c>
      <c r="WGP5">
        <f>Database!WHI29</f>
        <v>0</v>
      </c>
      <c r="WGQ5">
        <f>Database!WHJ29</f>
        <v>0</v>
      </c>
      <c r="WGR5">
        <f>Database!WHK29</f>
        <v>0</v>
      </c>
      <c r="WGS5">
        <f>Database!WHL29</f>
        <v>0</v>
      </c>
      <c r="WGT5">
        <f>Database!WHM29</f>
        <v>0</v>
      </c>
      <c r="WGU5">
        <f>Database!WHN29</f>
        <v>0</v>
      </c>
      <c r="WGV5">
        <f>Database!WHO29</f>
        <v>0</v>
      </c>
      <c r="WGW5">
        <f>Database!WHP29</f>
        <v>0</v>
      </c>
      <c r="WGX5">
        <f>Database!WHQ29</f>
        <v>0</v>
      </c>
      <c r="WGY5">
        <f>Database!WHR29</f>
        <v>0</v>
      </c>
      <c r="WGZ5">
        <f>Database!WHS29</f>
        <v>0</v>
      </c>
      <c r="WHA5">
        <f>Database!WHT29</f>
        <v>0</v>
      </c>
      <c r="WHB5">
        <f>Database!WHU29</f>
        <v>0</v>
      </c>
      <c r="WHC5">
        <f>Database!WHV29</f>
        <v>0</v>
      </c>
      <c r="WHD5">
        <f>Database!WHW29</f>
        <v>0</v>
      </c>
      <c r="WHE5">
        <f>Database!WHX29</f>
        <v>0</v>
      </c>
      <c r="WHF5">
        <f>Database!WHY29</f>
        <v>0</v>
      </c>
      <c r="WHG5">
        <f>Database!WHZ29</f>
        <v>0</v>
      </c>
      <c r="WHH5">
        <f>Database!WIA29</f>
        <v>0</v>
      </c>
      <c r="WHI5">
        <f>Database!WIB29</f>
        <v>0</v>
      </c>
      <c r="WHJ5">
        <f>Database!WIC29</f>
        <v>0</v>
      </c>
      <c r="WHK5">
        <f>Database!WID29</f>
        <v>0</v>
      </c>
      <c r="WHL5">
        <f>Database!WIE29</f>
        <v>0</v>
      </c>
      <c r="WHM5">
        <f>Database!WIF29</f>
        <v>0</v>
      </c>
      <c r="WHN5">
        <f>Database!WIG29</f>
        <v>0</v>
      </c>
      <c r="WHO5">
        <f>Database!WIH29</f>
        <v>0</v>
      </c>
      <c r="WHP5">
        <f>Database!WII29</f>
        <v>0</v>
      </c>
      <c r="WHQ5">
        <f>Database!WIJ29</f>
        <v>0</v>
      </c>
      <c r="WHR5">
        <f>Database!WIK29</f>
        <v>0</v>
      </c>
      <c r="WHS5">
        <f>Database!WIL29</f>
        <v>0</v>
      </c>
      <c r="WHT5">
        <f>Database!WIM29</f>
        <v>0</v>
      </c>
      <c r="WHU5">
        <f>Database!WIN29</f>
        <v>0</v>
      </c>
      <c r="WHV5">
        <f>Database!WIO29</f>
        <v>0</v>
      </c>
      <c r="WHW5">
        <f>Database!WIP29</f>
        <v>0</v>
      </c>
      <c r="WHX5">
        <f>Database!WIQ29</f>
        <v>0</v>
      </c>
      <c r="WHY5">
        <f>Database!WIR29</f>
        <v>0</v>
      </c>
      <c r="WHZ5">
        <f>Database!WIS29</f>
        <v>0</v>
      </c>
      <c r="WIA5">
        <f>Database!WIT29</f>
        <v>0</v>
      </c>
      <c r="WIB5">
        <f>Database!WIU29</f>
        <v>0</v>
      </c>
      <c r="WIC5">
        <f>Database!WIV29</f>
        <v>0</v>
      </c>
      <c r="WID5">
        <f>Database!WIW29</f>
        <v>0</v>
      </c>
      <c r="WIE5">
        <f>Database!WIX29</f>
        <v>0</v>
      </c>
      <c r="WIF5">
        <f>Database!WIY29</f>
        <v>0</v>
      </c>
      <c r="WIG5">
        <f>Database!WIZ29</f>
        <v>0</v>
      </c>
      <c r="WIH5">
        <f>Database!WJA29</f>
        <v>0</v>
      </c>
      <c r="WII5">
        <f>Database!WJB29</f>
        <v>0</v>
      </c>
      <c r="WIJ5">
        <f>Database!WJC29</f>
        <v>0</v>
      </c>
      <c r="WIK5">
        <f>Database!WJD29</f>
        <v>0</v>
      </c>
      <c r="WIL5">
        <f>Database!WJE29</f>
        <v>0</v>
      </c>
      <c r="WIM5">
        <f>Database!WJF29</f>
        <v>0</v>
      </c>
      <c r="WIN5">
        <f>Database!WJG29</f>
        <v>0</v>
      </c>
      <c r="WIO5">
        <f>Database!WJH29</f>
        <v>0</v>
      </c>
      <c r="WIP5">
        <f>Database!WJI29</f>
        <v>0</v>
      </c>
      <c r="WIQ5">
        <f>Database!WJJ29</f>
        <v>0</v>
      </c>
      <c r="WIR5">
        <f>Database!WJK29</f>
        <v>0</v>
      </c>
      <c r="WIS5">
        <f>Database!WJL29</f>
        <v>0</v>
      </c>
      <c r="WIT5">
        <f>Database!WJM29</f>
        <v>0</v>
      </c>
      <c r="WIU5">
        <f>Database!WJN29</f>
        <v>0</v>
      </c>
      <c r="WIV5">
        <f>Database!WJO29</f>
        <v>0</v>
      </c>
      <c r="WIW5">
        <f>Database!WJP29</f>
        <v>0</v>
      </c>
      <c r="WIX5">
        <f>Database!WJQ29</f>
        <v>0</v>
      </c>
      <c r="WIY5">
        <f>Database!WJR29</f>
        <v>0</v>
      </c>
      <c r="WIZ5">
        <f>Database!WJS29</f>
        <v>0</v>
      </c>
      <c r="WJA5">
        <f>Database!WJT29</f>
        <v>0</v>
      </c>
      <c r="WJB5">
        <f>Database!WJU29</f>
        <v>0</v>
      </c>
      <c r="WJC5">
        <f>Database!WJV29</f>
        <v>0</v>
      </c>
      <c r="WJD5">
        <f>Database!WJW29</f>
        <v>0</v>
      </c>
      <c r="WJE5">
        <f>Database!WJX29</f>
        <v>0</v>
      </c>
      <c r="WJF5">
        <f>Database!WJY29</f>
        <v>0</v>
      </c>
      <c r="WJG5">
        <f>Database!WJZ29</f>
        <v>0</v>
      </c>
      <c r="WJH5">
        <f>Database!WKA29</f>
        <v>0</v>
      </c>
      <c r="WJI5">
        <f>Database!WKB29</f>
        <v>0</v>
      </c>
      <c r="WJJ5">
        <f>Database!WKC29</f>
        <v>0</v>
      </c>
      <c r="WJK5">
        <f>Database!WKD29</f>
        <v>0</v>
      </c>
      <c r="WJL5">
        <f>Database!WKE29</f>
        <v>0</v>
      </c>
      <c r="WJM5">
        <f>Database!WKF29</f>
        <v>0</v>
      </c>
      <c r="WJN5">
        <f>Database!WKG29</f>
        <v>0</v>
      </c>
      <c r="WJO5">
        <f>Database!WKH29</f>
        <v>0</v>
      </c>
      <c r="WJP5">
        <f>Database!WKI29</f>
        <v>0</v>
      </c>
      <c r="WJQ5">
        <f>Database!WKJ29</f>
        <v>0</v>
      </c>
      <c r="WJR5">
        <f>Database!WKK29</f>
        <v>0</v>
      </c>
      <c r="WJS5">
        <f>Database!WKL29</f>
        <v>0</v>
      </c>
      <c r="WJT5">
        <f>Database!WKM29</f>
        <v>0</v>
      </c>
      <c r="WJU5">
        <f>Database!WKN29</f>
        <v>0</v>
      </c>
      <c r="WJV5">
        <f>Database!WKO29</f>
        <v>0</v>
      </c>
      <c r="WJW5">
        <f>Database!WKP29</f>
        <v>0</v>
      </c>
      <c r="WJX5">
        <f>Database!WKQ29</f>
        <v>0</v>
      </c>
      <c r="WJY5">
        <f>Database!WKR29</f>
        <v>0</v>
      </c>
      <c r="WJZ5">
        <f>Database!WKS29</f>
        <v>0</v>
      </c>
      <c r="WKA5">
        <f>Database!WKT29</f>
        <v>0</v>
      </c>
      <c r="WKB5">
        <f>Database!WKU29</f>
        <v>0</v>
      </c>
      <c r="WKC5">
        <f>Database!WKV29</f>
        <v>0</v>
      </c>
      <c r="WKD5">
        <f>Database!WKW29</f>
        <v>0</v>
      </c>
      <c r="WKE5">
        <f>Database!WKX29</f>
        <v>0</v>
      </c>
      <c r="WKF5">
        <f>Database!WKY29</f>
        <v>0</v>
      </c>
      <c r="WKG5">
        <f>Database!WKZ29</f>
        <v>0</v>
      </c>
      <c r="WKH5">
        <f>Database!WLA29</f>
        <v>0</v>
      </c>
      <c r="WKI5">
        <f>Database!WLB29</f>
        <v>0</v>
      </c>
      <c r="WKJ5">
        <f>Database!WLC29</f>
        <v>0</v>
      </c>
      <c r="WKK5">
        <f>Database!WLD29</f>
        <v>0</v>
      </c>
      <c r="WKL5">
        <f>Database!WLE29</f>
        <v>0</v>
      </c>
      <c r="WKM5">
        <f>Database!WLF29</f>
        <v>0</v>
      </c>
      <c r="WKN5">
        <f>Database!WLG29</f>
        <v>0</v>
      </c>
      <c r="WKO5">
        <f>Database!WLH29</f>
        <v>0</v>
      </c>
      <c r="WKP5">
        <f>Database!WLI29</f>
        <v>0</v>
      </c>
      <c r="WKQ5">
        <f>Database!WLJ29</f>
        <v>0</v>
      </c>
      <c r="WKR5">
        <f>Database!WLK29</f>
        <v>0</v>
      </c>
      <c r="WKS5">
        <f>Database!WLL29</f>
        <v>0</v>
      </c>
      <c r="WKT5">
        <f>Database!WLM29</f>
        <v>0</v>
      </c>
      <c r="WKU5">
        <f>Database!WLN29</f>
        <v>0</v>
      </c>
      <c r="WKV5">
        <f>Database!WLO29</f>
        <v>0</v>
      </c>
      <c r="WKW5">
        <f>Database!WLP29</f>
        <v>0</v>
      </c>
      <c r="WKX5">
        <f>Database!WLQ29</f>
        <v>0</v>
      </c>
      <c r="WKY5">
        <f>Database!WLR29</f>
        <v>0</v>
      </c>
      <c r="WKZ5">
        <f>Database!WLS29</f>
        <v>0</v>
      </c>
      <c r="WLA5">
        <f>Database!WLT29</f>
        <v>0</v>
      </c>
      <c r="WLB5">
        <f>Database!WLU29</f>
        <v>0</v>
      </c>
      <c r="WLC5">
        <f>Database!WLV29</f>
        <v>0</v>
      </c>
      <c r="WLD5">
        <f>Database!WLW29</f>
        <v>0</v>
      </c>
      <c r="WLE5">
        <f>Database!WLX29</f>
        <v>0</v>
      </c>
      <c r="WLF5">
        <f>Database!WLY29</f>
        <v>0</v>
      </c>
      <c r="WLG5">
        <f>Database!WLZ29</f>
        <v>0</v>
      </c>
      <c r="WLH5">
        <f>Database!WMA29</f>
        <v>0</v>
      </c>
      <c r="WLI5">
        <f>Database!WMB29</f>
        <v>0</v>
      </c>
      <c r="WLJ5">
        <f>Database!WMC29</f>
        <v>0</v>
      </c>
      <c r="WLK5">
        <f>Database!WMD29</f>
        <v>0</v>
      </c>
      <c r="WLL5">
        <f>Database!WME29</f>
        <v>0</v>
      </c>
      <c r="WLM5">
        <f>Database!WMF29</f>
        <v>0</v>
      </c>
      <c r="WLN5">
        <f>Database!WMG29</f>
        <v>0</v>
      </c>
      <c r="WLO5">
        <f>Database!WMH29</f>
        <v>0</v>
      </c>
      <c r="WLP5">
        <f>Database!WMI29</f>
        <v>0</v>
      </c>
      <c r="WLQ5">
        <f>Database!WMJ29</f>
        <v>0</v>
      </c>
      <c r="WLR5">
        <f>Database!WMK29</f>
        <v>0</v>
      </c>
      <c r="WLS5">
        <f>Database!WML29</f>
        <v>0</v>
      </c>
      <c r="WLT5">
        <f>Database!WMM29</f>
        <v>0</v>
      </c>
      <c r="WLU5">
        <f>Database!WMN29</f>
        <v>0</v>
      </c>
      <c r="WLV5">
        <f>Database!WMO29</f>
        <v>0</v>
      </c>
      <c r="WLW5">
        <f>Database!WMP29</f>
        <v>0</v>
      </c>
      <c r="WLX5">
        <f>Database!WMQ29</f>
        <v>0</v>
      </c>
      <c r="WLY5">
        <f>Database!WMR29</f>
        <v>0</v>
      </c>
      <c r="WLZ5">
        <f>Database!WMS29</f>
        <v>0</v>
      </c>
      <c r="WMA5">
        <f>Database!WMT29</f>
        <v>0</v>
      </c>
      <c r="WMB5">
        <f>Database!WMU29</f>
        <v>0</v>
      </c>
      <c r="WMC5">
        <f>Database!WMV29</f>
        <v>0</v>
      </c>
      <c r="WMD5">
        <f>Database!WMW29</f>
        <v>0</v>
      </c>
      <c r="WME5">
        <f>Database!WMX29</f>
        <v>0</v>
      </c>
      <c r="WMF5">
        <f>Database!WMY29</f>
        <v>0</v>
      </c>
      <c r="WMG5">
        <f>Database!WMZ29</f>
        <v>0</v>
      </c>
      <c r="WMH5">
        <f>Database!WNA29</f>
        <v>0</v>
      </c>
      <c r="WMI5">
        <f>Database!WNB29</f>
        <v>0</v>
      </c>
      <c r="WMJ5">
        <f>Database!WNC29</f>
        <v>0</v>
      </c>
      <c r="WMK5">
        <f>Database!WND29</f>
        <v>0</v>
      </c>
      <c r="WML5">
        <f>Database!WNE29</f>
        <v>0</v>
      </c>
      <c r="WMM5">
        <f>Database!WNF29</f>
        <v>0</v>
      </c>
      <c r="WMN5">
        <f>Database!WNG29</f>
        <v>0</v>
      </c>
      <c r="WMO5">
        <f>Database!WNH29</f>
        <v>0</v>
      </c>
      <c r="WMP5">
        <f>Database!WNI29</f>
        <v>0</v>
      </c>
      <c r="WMQ5">
        <f>Database!WNJ29</f>
        <v>0</v>
      </c>
      <c r="WMR5">
        <f>Database!WNK29</f>
        <v>0</v>
      </c>
      <c r="WMS5">
        <f>Database!WNL29</f>
        <v>0</v>
      </c>
      <c r="WMT5">
        <f>Database!WNM29</f>
        <v>0</v>
      </c>
      <c r="WMU5">
        <f>Database!WNN29</f>
        <v>0</v>
      </c>
      <c r="WMV5">
        <f>Database!WNO29</f>
        <v>0</v>
      </c>
      <c r="WMW5">
        <f>Database!WNP29</f>
        <v>0</v>
      </c>
      <c r="WMX5">
        <f>Database!WNQ29</f>
        <v>0</v>
      </c>
      <c r="WMY5">
        <f>Database!WNR29</f>
        <v>0</v>
      </c>
      <c r="WMZ5">
        <f>Database!WNS29</f>
        <v>0</v>
      </c>
      <c r="WNA5">
        <f>Database!WNT29</f>
        <v>0</v>
      </c>
      <c r="WNB5">
        <f>Database!WNU29</f>
        <v>0</v>
      </c>
      <c r="WNC5">
        <f>Database!WNV29</f>
        <v>0</v>
      </c>
      <c r="WND5">
        <f>Database!WNW29</f>
        <v>0</v>
      </c>
      <c r="WNE5">
        <f>Database!WNX29</f>
        <v>0</v>
      </c>
      <c r="WNF5">
        <f>Database!WNY29</f>
        <v>0</v>
      </c>
      <c r="WNG5">
        <f>Database!WNZ29</f>
        <v>0</v>
      </c>
      <c r="WNH5">
        <f>Database!WOA29</f>
        <v>0</v>
      </c>
      <c r="WNI5">
        <f>Database!WOB29</f>
        <v>0</v>
      </c>
      <c r="WNJ5">
        <f>Database!WOC29</f>
        <v>0</v>
      </c>
      <c r="WNK5">
        <f>Database!WOD29</f>
        <v>0</v>
      </c>
      <c r="WNL5">
        <f>Database!WOE29</f>
        <v>0</v>
      </c>
      <c r="WNM5">
        <f>Database!WOF29</f>
        <v>0</v>
      </c>
      <c r="WNN5">
        <f>Database!WOG29</f>
        <v>0</v>
      </c>
      <c r="WNO5">
        <f>Database!WOH29</f>
        <v>0</v>
      </c>
      <c r="WNP5">
        <f>Database!WOI29</f>
        <v>0</v>
      </c>
      <c r="WNQ5">
        <f>Database!WOJ29</f>
        <v>0</v>
      </c>
      <c r="WNR5">
        <f>Database!WOK29</f>
        <v>0</v>
      </c>
      <c r="WNS5">
        <f>Database!WOL29</f>
        <v>0</v>
      </c>
      <c r="WNT5">
        <f>Database!WOM29</f>
        <v>0</v>
      </c>
      <c r="WNU5">
        <f>Database!WON29</f>
        <v>0</v>
      </c>
      <c r="WNV5">
        <f>Database!WOO29</f>
        <v>0</v>
      </c>
      <c r="WNW5">
        <f>Database!WOP29</f>
        <v>0</v>
      </c>
      <c r="WNX5">
        <f>Database!WOQ29</f>
        <v>0</v>
      </c>
      <c r="WNY5">
        <f>Database!WOR29</f>
        <v>0</v>
      </c>
      <c r="WNZ5">
        <f>Database!WOS29</f>
        <v>0</v>
      </c>
      <c r="WOA5">
        <f>Database!WOT29</f>
        <v>0</v>
      </c>
      <c r="WOB5">
        <f>Database!WOU29</f>
        <v>0</v>
      </c>
      <c r="WOC5">
        <f>Database!WOV29</f>
        <v>0</v>
      </c>
      <c r="WOD5">
        <f>Database!WOW29</f>
        <v>0</v>
      </c>
      <c r="WOE5">
        <f>Database!WOX29</f>
        <v>0</v>
      </c>
      <c r="WOF5">
        <f>Database!WOY29</f>
        <v>0</v>
      </c>
      <c r="WOG5">
        <f>Database!WOZ29</f>
        <v>0</v>
      </c>
      <c r="WOH5">
        <f>Database!WPA29</f>
        <v>0</v>
      </c>
      <c r="WOI5">
        <f>Database!WPB29</f>
        <v>0</v>
      </c>
      <c r="WOJ5">
        <f>Database!WPC29</f>
        <v>0</v>
      </c>
      <c r="WOK5">
        <f>Database!WPD29</f>
        <v>0</v>
      </c>
      <c r="WOL5">
        <f>Database!WPE29</f>
        <v>0</v>
      </c>
      <c r="WOM5">
        <f>Database!WPF29</f>
        <v>0</v>
      </c>
      <c r="WON5">
        <f>Database!WPG29</f>
        <v>0</v>
      </c>
      <c r="WOO5">
        <f>Database!WPH29</f>
        <v>0</v>
      </c>
      <c r="WOP5">
        <f>Database!WPI29</f>
        <v>0</v>
      </c>
      <c r="WOQ5">
        <f>Database!WPJ29</f>
        <v>0</v>
      </c>
      <c r="WOR5">
        <f>Database!WPK29</f>
        <v>0</v>
      </c>
      <c r="WOS5">
        <f>Database!WPL29</f>
        <v>0</v>
      </c>
      <c r="WOT5">
        <f>Database!WPM29</f>
        <v>0</v>
      </c>
      <c r="WOU5">
        <f>Database!WPN29</f>
        <v>0</v>
      </c>
      <c r="WOV5">
        <f>Database!WPO29</f>
        <v>0</v>
      </c>
      <c r="WOW5">
        <f>Database!WPP29</f>
        <v>0</v>
      </c>
      <c r="WOX5">
        <f>Database!WPQ29</f>
        <v>0</v>
      </c>
      <c r="WOY5">
        <f>Database!WPR29</f>
        <v>0</v>
      </c>
      <c r="WOZ5">
        <f>Database!WPS29</f>
        <v>0</v>
      </c>
      <c r="WPA5">
        <f>Database!WPT29</f>
        <v>0</v>
      </c>
      <c r="WPB5">
        <f>Database!WPU29</f>
        <v>0</v>
      </c>
      <c r="WPC5">
        <f>Database!WPV29</f>
        <v>0</v>
      </c>
      <c r="WPD5">
        <f>Database!WPW29</f>
        <v>0</v>
      </c>
      <c r="WPE5">
        <f>Database!WPX29</f>
        <v>0</v>
      </c>
      <c r="WPF5">
        <f>Database!WPY29</f>
        <v>0</v>
      </c>
      <c r="WPG5">
        <f>Database!WPZ29</f>
        <v>0</v>
      </c>
      <c r="WPH5">
        <f>Database!WQA29</f>
        <v>0</v>
      </c>
      <c r="WPI5">
        <f>Database!WQB29</f>
        <v>0</v>
      </c>
      <c r="WPJ5">
        <f>Database!WQC29</f>
        <v>0</v>
      </c>
      <c r="WPK5">
        <f>Database!WQD29</f>
        <v>0</v>
      </c>
      <c r="WPL5">
        <f>Database!WQE29</f>
        <v>0</v>
      </c>
      <c r="WPM5">
        <f>Database!WQF29</f>
        <v>0</v>
      </c>
      <c r="WPN5">
        <f>Database!WQG29</f>
        <v>0</v>
      </c>
      <c r="WPO5">
        <f>Database!WQH29</f>
        <v>0</v>
      </c>
      <c r="WPP5">
        <f>Database!WQI29</f>
        <v>0</v>
      </c>
      <c r="WPQ5">
        <f>Database!WQJ29</f>
        <v>0</v>
      </c>
      <c r="WPR5">
        <f>Database!WQK29</f>
        <v>0</v>
      </c>
      <c r="WPS5">
        <f>Database!WQL29</f>
        <v>0</v>
      </c>
      <c r="WPT5">
        <f>Database!WQM29</f>
        <v>0</v>
      </c>
      <c r="WPU5">
        <f>Database!WQN29</f>
        <v>0</v>
      </c>
      <c r="WPV5">
        <f>Database!WQO29</f>
        <v>0</v>
      </c>
      <c r="WPW5">
        <f>Database!WQP29</f>
        <v>0</v>
      </c>
      <c r="WPX5">
        <f>Database!WQQ29</f>
        <v>0</v>
      </c>
      <c r="WPY5">
        <f>Database!WQR29</f>
        <v>0</v>
      </c>
      <c r="WPZ5">
        <f>Database!WQS29</f>
        <v>0</v>
      </c>
      <c r="WQA5">
        <f>Database!WQT29</f>
        <v>0</v>
      </c>
      <c r="WQB5">
        <f>Database!WQU29</f>
        <v>0</v>
      </c>
      <c r="WQC5">
        <f>Database!WQV29</f>
        <v>0</v>
      </c>
      <c r="WQD5">
        <f>Database!WQW29</f>
        <v>0</v>
      </c>
      <c r="WQE5">
        <f>Database!WQX29</f>
        <v>0</v>
      </c>
      <c r="WQF5">
        <f>Database!WQY29</f>
        <v>0</v>
      </c>
      <c r="WQG5">
        <f>Database!WQZ29</f>
        <v>0</v>
      </c>
      <c r="WQH5">
        <f>Database!WRA29</f>
        <v>0</v>
      </c>
      <c r="WQI5">
        <f>Database!WRB29</f>
        <v>0</v>
      </c>
      <c r="WQJ5">
        <f>Database!WRC29</f>
        <v>0</v>
      </c>
      <c r="WQK5">
        <f>Database!WRD29</f>
        <v>0</v>
      </c>
      <c r="WQL5">
        <f>Database!WRE29</f>
        <v>0</v>
      </c>
      <c r="WQM5">
        <f>Database!WRF29</f>
        <v>0</v>
      </c>
      <c r="WQN5">
        <f>Database!WRG29</f>
        <v>0</v>
      </c>
      <c r="WQO5">
        <f>Database!WRH29</f>
        <v>0</v>
      </c>
      <c r="WQP5">
        <f>Database!WRI29</f>
        <v>0</v>
      </c>
      <c r="WQQ5">
        <f>Database!WRJ29</f>
        <v>0</v>
      </c>
      <c r="WQR5">
        <f>Database!WRK29</f>
        <v>0</v>
      </c>
      <c r="WQS5">
        <f>Database!WRL29</f>
        <v>0</v>
      </c>
      <c r="WQT5">
        <f>Database!WRM29</f>
        <v>0</v>
      </c>
      <c r="WQU5">
        <f>Database!WRN29</f>
        <v>0</v>
      </c>
      <c r="WQV5">
        <f>Database!WRO29</f>
        <v>0</v>
      </c>
      <c r="WQW5">
        <f>Database!WRP29</f>
        <v>0</v>
      </c>
      <c r="WQX5">
        <f>Database!WRQ29</f>
        <v>0</v>
      </c>
      <c r="WQY5">
        <f>Database!WRR29</f>
        <v>0</v>
      </c>
      <c r="WQZ5">
        <f>Database!WRS29</f>
        <v>0</v>
      </c>
      <c r="WRA5">
        <f>Database!WRT29</f>
        <v>0</v>
      </c>
      <c r="WRB5">
        <f>Database!WRU29</f>
        <v>0</v>
      </c>
      <c r="WRC5">
        <f>Database!WRV29</f>
        <v>0</v>
      </c>
      <c r="WRD5">
        <f>Database!WRW29</f>
        <v>0</v>
      </c>
      <c r="WRE5">
        <f>Database!WRX29</f>
        <v>0</v>
      </c>
      <c r="WRF5">
        <f>Database!WRY29</f>
        <v>0</v>
      </c>
      <c r="WRG5">
        <f>Database!WRZ29</f>
        <v>0</v>
      </c>
      <c r="WRH5">
        <f>Database!WSA29</f>
        <v>0</v>
      </c>
      <c r="WRI5">
        <f>Database!WSB29</f>
        <v>0</v>
      </c>
      <c r="WRJ5">
        <f>Database!WSC29</f>
        <v>0</v>
      </c>
      <c r="WRK5">
        <f>Database!WSD29</f>
        <v>0</v>
      </c>
      <c r="WRL5">
        <f>Database!WSE29</f>
        <v>0</v>
      </c>
      <c r="WRM5">
        <f>Database!WSF29</f>
        <v>0</v>
      </c>
      <c r="WRN5">
        <f>Database!WSG29</f>
        <v>0</v>
      </c>
      <c r="WRO5">
        <f>Database!WSH29</f>
        <v>0</v>
      </c>
      <c r="WRP5">
        <f>Database!WSI29</f>
        <v>0</v>
      </c>
      <c r="WRQ5">
        <f>Database!WSJ29</f>
        <v>0</v>
      </c>
      <c r="WRR5">
        <f>Database!WSK29</f>
        <v>0</v>
      </c>
      <c r="WRS5">
        <f>Database!WSL29</f>
        <v>0</v>
      </c>
      <c r="WRT5">
        <f>Database!WSM29</f>
        <v>0</v>
      </c>
      <c r="WRU5">
        <f>Database!WSN29</f>
        <v>0</v>
      </c>
      <c r="WRV5">
        <f>Database!WSO29</f>
        <v>0</v>
      </c>
      <c r="WRW5">
        <f>Database!WSP29</f>
        <v>0</v>
      </c>
      <c r="WRX5">
        <f>Database!WSQ29</f>
        <v>0</v>
      </c>
      <c r="WRY5">
        <f>Database!WSR29</f>
        <v>0</v>
      </c>
      <c r="WRZ5">
        <f>Database!WSS29</f>
        <v>0</v>
      </c>
      <c r="WSA5">
        <f>Database!WST29</f>
        <v>0</v>
      </c>
      <c r="WSB5">
        <f>Database!WSU29</f>
        <v>0</v>
      </c>
      <c r="WSC5">
        <f>Database!WSV29</f>
        <v>0</v>
      </c>
      <c r="WSD5">
        <f>Database!WSW29</f>
        <v>0</v>
      </c>
      <c r="WSE5">
        <f>Database!WSX29</f>
        <v>0</v>
      </c>
      <c r="WSF5">
        <f>Database!WSY29</f>
        <v>0</v>
      </c>
      <c r="WSG5">
        <f>Database!WSZ29</f>
        <v>0</v>
      </c>
      <c r="WSH5">
        <f>Database!WTA29</f>
        <v>0</v>
      </c>
      <c r="WSI5">
        <f>Database!WTB29</f>
        <v>0</v>
      </c>
      <c r="WSJ5">
        <f>Database!WTC29</f>
        <v>0</v>
      </c>
      <c r="WSK5">
        <f>Database!WTD29</f>
        <v>0</v>
      </c>
      <c r="WSL5">
        <f>Database!WTE29</f>
        <v>0</v>
      </c>
      <c r="WSM5">
        <f>Database!WTF29</f>
        <v>0</v>
      </c>
      <c r="WSN5">
        <f>Database!WTG29</f>
        <v>0</v>
      </c>
      <c r="WSO5">
        <f>Database!WTH29</f>
        <v>0</v>
      </c>
      <c r="WSP5">
        <f>Database!WTI29</f>
        <v>0</v>
      </c>
      <c r="WSQ5">
        <f>Database!WTJ29</f>
        <v>0</v>
      </c>
      <c r="WSR5">
        <f>Database!WTK29</f>
        <v>0</v>
      </c>
      <c r="WSS5">
        <f>Database!WTL29</f>
        <v>0</v>
      </c>
      <c r="WST5">
        <f>Database!WTM29</f>
        <v>0</v>
      </c>
      <c r="WSU5">
        <f>Database!WTN29</f>
        <v>0</v>
      </c>
      <c r="WSV5">
        <f>Database!WTO29</f>
        <v>0</v>
      </c>
      <c r="WSW5">
        <f>Database!WTP29</f>
        <v>0</v>
      </c>
      <c r="WSX5">
        <f>Database!WTQ29</f>
        <v>0</v>
      </c>
      <c r="WSY5">
        <f>Database!WTR29</f>
        <v>0</v>
      </c>
      <c r="WSZ5">
        <f>Database!WTS29</f>
        <v>0</v>
      </c>
      <c r="WTA5">
        <f>Database!WTT29</f>
        <v>0</v>
      </c>
      <c r="WTB5">
        <f>Database!WTU29</f>
        <v>0</v>
      </c>
      <c r="WTC5">
        <f>Database!WTV29</f>
        <v>0</v>
      </c>
      <c r="WTD5">
        <f>Database!WTW29</f>
        <v>0</v>
      </c>
      <c r="WTE5">
        <f>Database!WTX29</f>
        <v>0</v>
      </c>
      <c r="WTF5">
        <f>Database!WTY29</f>
        <v>0</v>
      </c>
      <c r="WTG5">
        <f>Database!WTZ29</f>
        <v>0</v>
      </c>
      <c r="WTH5">
        <f>Database!WUA29</f>
        <v>0</v>
      </c>
      <c r="WTI5">
        <f>Database!WUB29</f>
        <v>0</v>
      </c>
      <c r="WTJ5">
        <f>Database!WUC29</f>
        <v>0</v>
      </c>
      <c r="WTK5">
        <f>Database!WUD29</f>
        <v>0</v>
      </c>
      <c r="WTL5">
        <f>Database!WUE29</f>
        <v>0</v>
      </c>
      <c r="WTM5">
        <f>Database!WUF29</f>
        <v>0</v>
      </c>
      <c r="WTN5">
        <f>Database!WUG29</f>
        <v>0</v>
      </c>
      <c r="WTO5">
        <f>Database!WUH29</f>
        <v>0</v>
      </c>
      <c r="WTP5">
        <f>Database!WUI29</f>
        <v>0</v>
      </c>
      <c r="WTQ5">
        <f>Database!WUJ29</f>
        <v>0</v>
      </c>
      <c r="WTR5">
        <f>Database!WUK29</f>
        <v>0</v>
      </c>
      <c r="WTS5">
        <f>Database!WUL29</f>
        <v>0</v>
      </c>
      <c r="WTT5">
        <f>Database!WUM29</f>
        <v>0</v>
      </c>
      <c r="WTU5">
        <f>Database!WUN29</f>
        <v>0</v>
      </c>
      <c r="WTV5">
        <f>Database!WUO29</f>
        <v>0</v>
      </c>
      <c r="WTW5">
        <f>Database!WUP29</f>
        <v>0</v>
      </c>
      <c r="WTX5">
        <f>Database!WUQ29</f>
        <v>0</v>
      </c>
      <c r="WTY5">
        <f>Database!WUR29</f>
        <v>0</v>
      </c>
      <c r="WTZ5">
        <f>Database!WUS29</f>
        <v>0</v>
      </c>
      <c r="WUA5">
        <f>Database!WUT29</f>
        <v>0</v>
      </c>
      <c r="WUB5">
        <f>Database!WUU29</f>
        <v>0</v>
      </c>
      <c r="WUC5">
        <f>Database!WUV29</f>
        <v>0</v>
      </c>
      <c r="WUD5">
        <f>Database!WUW29</f>
        <v>0</v>
      </c>
      <c r="WUE5">
        <f>Database!WUX29</f>
        <v>0</v>
      </c>
      <c r="WUF5">
        <f>Database!WUY29</f>
        <v>0</v>
      </c>
      <c r="WUG5">
        <f>Database!WUZ29</f>
        <v>0</v>
      </c>
      <c r="WUH5">
        <f>Database!WVA29</f>
        <v>0</v>
      </c>
      <c r="WUI5">
        <f>Database!WVB29</f>
        <v>0</v>
      </c>
      <c r="WUJ5">
        <f>Database!WVC29</f>
        <v>0</v>
      </c>
      <c r="WUK5">
        <f>Database!WVD29</f>
        <v>0</v>
      </c>
      <c r="WUL5">
        <f>Database!WVE29</f>
        <v>0</v>
      </c>
      <c r="WUM5">
        <f>Database!WVF29</f>
        <v>0</v>
      </c>
      <c r="WUN5">
        <f>Database!WVG29</f>
        <v>0</v>
      </c>
      <c r="WUO5">
        <f>Database!WVH29</f>
        <v>0</v>
      </c>
      <c r="WUP5">
        <f>Database!WVI29</f>
        <v>0</v>
      </c>
      <c r="WUQ5">
        <f>Database!WVJ29</f>
        <v>0</v>
      </c>
      <c r="WUR5">
        <f>Database!WVK29</f>
        <v>0</v>
      </c>
      <c r="WUS5">
        <f>Database!WVL29</f>
        <v>0</v>
      </c>
      <c r="WUT5">
        <f>Database!WVM29</f>
        <v>0</v>
      </c>
      <c r="WUU5">
        <f>Database!WVN29</f>
        <v>0</v>
      </c>
      <c r="WUV5">
        <f>Database!WVO29</f>
        <v>0</v>
      </c>
      <c r="WUW5">
        <f>Database!WVP29</f>
        <v>0</v>
      </c>
      <c r="WUX5">
        <f>Database!WVQ29</f>
        <v>0</v>
      </c>
      <c r="WUY5">
        <f>Database!WVR29</f>
        <v>0</v>
      </c>
      <c r="WUZ5">
        <f>Database!WVS29</f>
        <v>0</v>
      </c>
      <c r="WVA5">
        <f>Database!WVT29</f>
        <v>0</v>
      </c>
      <c r="WVB5">
        <f>Database!WVU29</f>
        <v>0</v>
      </c>
      <c r="WVC5">
        <f>Database!WVV29</f>
        <v>0</v>
      </c>
      <c r="WVD5">
        <f>Database!WVW29</f>
        <v>0</v>
      </c>
      <c r="WVE5">
        <f>Database!WVX29</f>
        <v>0</v>
      </c>
      <c r="WVF5">
        <f>Database!WVY29</f>
        <v>0</v>
      </c>
      <c r="WVG5">
        <f>Database!WVZ29</f>
        <v>0</v>
      </c>
      <c r="WVH5">
        <f>Database!WWA29</f>
        <v>0</v>
      </c>
      <c r="WVI5">
        <f>Database!WWB29</f>
        <v>0</v>
      </c>
      <c r="WVJ5">
        <f>Database!WWC29</f>
        <v>0</v>
      </c>
      <c r="WVK5">
        <f>Database!WWD29</f>
        <v>0</v>
      </c>
      <c r="WVL5">
        <f>Database!WWE29</f>
        <v>0</v>
      </c>
      <c r="WVM5">
        <f>Database!WWF29</f>
        <v>0</v>
      </c>
      <c r="WVN5">
        <f>Database!WWG29</f>
        <v>0</v>
      </c>
      <c r="WVO5">
        <f>Database!WWH29</f>
        <v>0</v>
      </c>
      <c r="WVP5">
        <f>Database!WWI29</f>
        <v>0</v>
      </c>
      <c r="WVQ5">
        <f>Database!WWJ29</f>
        <v>0</v>
      </c>
      <c r="WVR5">
        <f>Database!WWK29</f>
        <v>0</v>
      </c>
      <c r="WVS5">
        <f>Database!WWL29</f>
        <v>0</v>
      </c>
      <c r="WVT5">
        <f>Database!WWM29</f>
        <v>0</v>
      </c>
      <c r="WVU5">
        <f>Database!WWN29</f>
        <v>0</v>
      </c>
      <c r="WVV5">
        <f>Database!WWO29</f>
        <v>0</v>
      </c>
      <c r="WVW5">
        <f>Database!WWP29</f>
        <v>0</v>
      </c>
      <c r="WVX5">
        <f>Database!WWQ29</f>
        <v>0</v>
      </c>
      <c r="WVY5">
        <f>Database!WWR29</f>
        <v>0</v>
      </c>
      <c r="WVZ5">
        <f>Database!WWS29</f>
        <v>0</v>
      </c>
      <c r="WWA5">
        <f>Database!WWT29</f>
        <v>0</v>
      </c>
      <c r="WWB5">
        <f>Database!WWU29</f>
        <v>0</v>
      </c>
      <c r="WWC5">
        <f>Database!WWV29</f>
        <v>0</v>
      </c>
      <c r="WWD5">
        <f>Database!WWW29</f>
        <v>0</v>
      </c>
      <c r="WWE5">
        <f>Database!WWX29</f>
        <v>0</v>
      </c>
      <c r="WWF5">
        <f>Database!WWY29</f>
        <v>0</v>
      </c>
      <c r="WWG5">
        <f>Database!WWZ29</f>
        <v>0</v>
      </c>
      <c r="WWH5">
        <f>Database!WXA29</f>
        <v>0</v>
      </c>
      <c r="WWI5">
        <f>Database!WXB29</f>
        <v>0</v>
      </c>
      <c r="WWJ5">
        <f>Database!WXC29</f>
        <v>0</v>
      </c>
      <c r="WWK5">
        <f>Database!WXD29</f>
        <v>0</v>
      </c>
      <c r="WWL5">
        <f>Database!WXE29</f>
        <v>0</v>
      </c>
      <c r="WWM5">
        <f>Database!WXF29</f>
        <v>0</v>
      </c>
      <c r="WWN5">
        <f>Database!WXG29</f>
        <v>0</v>
      </c>
      <c r="WWO5">
        <f>Database!WXH29</f>
        <v>0</v>
      </c>
      <c r="WWP5">
        <f>Database!WXI29</f>
        <v>0</v>
      </c>
      <c r="WWQ5">
        <f>Database!WXJ29</f>
        <v>0</v>
      </c>
      <c r="WWR5">
        <f>Database!WXK29</f>
        <v>0</v>
      </c>
      <c r="WWS5">
        <f>Database!WXL29</f>
        <v>0</v>
      </c>
      <c r="WWT5">
        <f>Database!WXM29</f>
        <v>0</v>
      </c>
      <c r="WWU5">
        <f>Database!WXN29</f>
        <v>0</v>
      </c>
      <c r="WWV5">
        <f>Database!WXO29</f>
        <v>0</v>
      </c>
      <c r="WWW5">
        <f>Database!WXP29</f>
        <v>0</v>
      </c>
      <c r="WWX5">
        <f>Database!WXQ29</f>
        <v>0</v>
      </c>
      <c r="WWY5">
        <f>Database!WXR29</f>
        <v>0</v>
      </c>
      <c r="WWZ5">
        <f>Database!WXS29</f>
        <v>0</v>
      </c>
      <c r="WXA5">
        <f>Database!WXT29</f>
        <v>0</v>
      </c>
      <c r="WXB5">
        <f>Database!WXU29</f>
        <v>0</v>
      </c>
      <c r="WXC5">
        <f>Database!WXV29</f>
        <v>0</v>
      </c>
      <c r="WXD5">
        <f>Database!WXW29</f>
        <v>0</v>
      </c>
      <c r="WXE5">
        <f>Database!WXX29</f>
        <v>0</v>
      </c>
      <c r="WXF5">
        <f>Database!WXY29</f>
        <v>0</v>
      </c>
      <c r="WXG5">
        <f>Database!WXZ29</f>
        <v>0</v>
      </c>
      <c r="WXH5">
        <f>Database!WYA29</f>
        <v>0</v>
      </c>
      <c r="WXI5">
        <f>Database!WYB29</f>
        <v>0</v>
      </c>
      <c r="WXJ5">
        <f>Database!WYC29</f>
        <v>0</v>
      </c>
      <c r="WXK5">
        <f>Database!WYD29</f>
        <v>0</v>
      </c>
      <c r="WXL5">
        <f>Database!WYE29</f>
        <v>0</v>
      </c>
      <c r="WXM5">
        <f>Database!WYF29</f>
        <v>0</v>
      </c>
      <c r="WXN5">
        <f>Database!WYG29</f>
        <v>0</v>
      </c>
      <c r="WXO5">
        <f>Database!WYH29</f>
        <v>0</v>
      </c>
      <c r="WXP5">
        <f>Database!WYI29</f>
        <v>0</v>
      </c>
      <c r="WXQ5">
        <f>Database!WYJ29</f>
        <v>0</v>
      </c>
      <c r="WXR5">
        <f>Database!WYK29</f>
        <v>0</v>
      </c>
      <c r="WXS5">
        <f>Database!WYL29</f>
        <v>0</v>
      </c>
      <c r="WXT5">
        <f>Database!WYM29</f>
        <v>0</v>
      </c>
      <c r="WXU5">
        <f>Database!WYN29</f>
        <v>0</v>
      </c>
      <c r="WXV5">
        <f>Database!WYO29</f>
        <v>0</v>
      </c>
      <c r="WXW5">
        <f>Database!WYP29</f>
        <v>0</v>
      </c>
      <c r="WXX5">
        <f>Database!WYQ29</f>
        <v>0</v>
      </c>
      <c r="WXY5">
        <f>Database!WYR29</f>
        <v>0</v>
      </c>
      <c r="WXZ5">
        <f>Database!WYS29</f>
        <v>0</v>
      </c>
      <c r="WYA5">
        <f>Database!WYT29</f>
        <v>0</v>
      </c>
      <c r="WYB5">
        <f>Database!WYU29</f>
        <v>0</v>
      </c>
      <c r="WYC5">
        <f>Database!WYV29</f>
        <v>0</v>
      </c>
      <c r="WYD5">
        <f>Database!WYW29</f>
        <v>0</v>
      </c>
      <c r="WYE5">
        <f>Database!WYX29</f>
        <v>0</v>
      </c>
      <c r="WYF5">
        <f>Database!WYY29</f>
        <v>0</v>
      </c>
      <c r="WYG5">
        <f>Database!WYZ29</f>
        <v>0</v>
      </c>
      <c r="WYH5">
        <f>Database!WZA29</f>
        <v>0</v>
      </c>
      <c r="WYI5">
        <f>Database!WZB29</f>
        <v>0</v>
      </c>
      <c r="WYJ5">
        <f>Database!WZC29</f>
        <v>0</v>
      </c>
      <c r="WYK5">
        <f>Database!WZD29</f>
        <v>0</v>
      </c>
      <c r="WYL5">
        <f>Database!WZE29</f>
        <v>0</v>
      </c>
      <c r="WYM5">
        <f>Database!WZF29</f>
        <v>0</v>
      </c>
      <c r="WYN5">
        <f>Database!WZG29</f>
        <v>0</v>
      </c>
      <c r="WYO5">
        <f>Database!WZH29</f>
        <v>0</v>
      </c>
      <c r="WYP5">
        <f>Database!WZI29</f>
        <v>0</v>
      </c>
      <c r="WYQ5">
        <f>Database!WZJ29</f>
        <v>0</v>
      </c>
      <c r="WYR5">
        <f>Database!WZK29</f>
        <v>0</v>
      </c>
      <c r="WYS5">
        <f>Database!WZL29</f>
        <v>0</v>
      </c>
      <c r="WYT5">
        <f>Database!WZM29</f>
        <v>0</v>
      </c>
      <c r="WYU5">
        <f>Database!WZN29</f>
        <v>0</v>
      </c>
      <c r="WYV5">
        <f>Database!WZO29</f>
        <v>0</v>
      </c>
      <c r="WYW5">
        <f>Database!WZP29</f>
        <v>0</v>
      </c>
      <c r="WYX5">
        <f>Database!WZQ29</f>
        <v>0</v>
      </c>
      <c r="WYY5">
        <f>Database!WZR29</f>
        <v>0</v>
      </c>
      <c r="WYZ5">
        <f>Database!WZS29</f>
        <v>0</v>
      </c>
      <c r="WZA5">
        <f>Database!WZT29</f>
        <v>0</v>
      </c>
      <c r="WZB5">
        <f>Database!WZU29</f>
        <v>0</v>
      </c>
      <c r="WZC5">
        <f>Database!WZV29</f>
        <v>0</v>
      </c>
      <c r="WZD5">
        <f>Database!WZW29</f>
        <v>0</v>
      </c>
      <c r="WZE5">
        <f>Database!WZX29</f>
        <v>0</v>
      </c>
      <c r="WZF5">
        <f>Database!WZY29</f>
        <v>0</v>
      </c>
      <c r="WZG5">
        <f>Database!WZZ29</f>
        <v>0</v>
      </c>
      <c r="WZH5">
        <f>Database!XAA29</f>
        <v>0</v>
      </c>
      <c r="WZI5">
        <f>Database!XAB29</f>
        <v>0</v>
      </c>
      <c r="WZJ5">
        <f>Database!XAC29</f>
        <v>0</v>
      </c>
      <c r="WZK5">
        <f>Database!XAD29</f>
        <v>0</v>
      </c>
      <c r="WZL5">
        <f>Database!XAE29</f>
        <v>0</v>
      </c>
      <c r="WZM5">
        <f>Database!XAF29</f>
        <v>0</v>
      </c>
      <c r="WZN5">
        <f>Database!XAG29</f>
        <v>0</v>
      </c>
      <c r="WZO5">
        <f>Database!XAH29</f>
        <v>0</v>
      </c>
      <c r="WZP5">
        <f>Database!XAI29</f>
        <v>0</v>
      </c>
      <c r="WZQ5">
        <f>Database!XAJ29</f>
        <v>0</v>
      </c>
      <c r="WZR5">
        <f>Database!XAK29</f>
        <v>0</v>
      </c>
      <c r="WZS5">
        <f>Database!XAL29</f>
        <v>0</v>
      </c>
      <c r="WZT5">
        <f>Database!XAM29</f>
        <v>0</v>
      </c>
      <c r="WZU5">
        <f>Database!XAN29</f>
        <v>0</v>
      </c>
      <c r="WZV5">
        <f>Database!XAO29</f>
        <v>0</v>
      </c>
      <c r="WZW5">
        <f>Database!XAP29</f>
        <v>0</v>
      </c>
      <c r="WZX5">
        <f>Database!XAQ29</f>
        <v>0</v>
      </c>
      <c r="WZY5">
        <f>Database!XAR29</f>
        <v>0</v>
      </c>
      <c r="WZZ5">
        <f>Database!XAS29</f>
        <v>0</v>
      </c>
      <c r="XAA5">
        <f>Database!XAT29</f>
        <v>0</v>
      </c>
      <c r="XAB5">
        <f>Database!XAU29</f>
        <v>0</v>
      </c>
      <c r="XAC5">
        <f>Database!XAV29</f>
        <v>0</v>
      </c>
      <c r="XAD5">
        <f>Database!XAW29</f>
        <v>0</v>
      </c>
      <c r="XAE5">
        <f>Database!XAX29</f>
        <v>0</v>
      </c>
      <c r="XAF5">
        <f>Database!XAY29</f>
        <v>0</v>
      </c>
      <c r="XAG5">
        <f>Database!XAZ29</f>
        <v>0</v>
      </c>
      <c r="XAH5">
        <f>Database!XBA29</f>
        <v>0</v>
      </c>
      <c r="XAI5">
        <f>Database!XBB29</f>
        <v>0</v>
      </c>
      <c r="XAJ5">
        <f>Database!XBC29</f>
        <v>0</v>
      </c>
      <c r="XAK5">
        <f>Database!XBD29</f>
        <v>0</v>
      </c>
      <c r="XAL5">
        <f>Database!XBE29</f>
        <v>0</v>
      </c>
      <c r="XAM5">
        <f>Database!XBF29</f>
        <v>0</v>
      </c>
      <c r="XAN5">
        <f>Database!XBG29</f>
        <v>0</v>
      </c>
      <c r="XAO5">
        <f>Database!XBH29</f>
        <v>0</v>
      </c>
      <c r="XAP5">
        <f>Database!XBI29</f>
        <v>0</v>
      </c>
      <c r="XAQ5">
        <f>Database!XBJ29</f>
        <v>0</v>
      </c>
      <c r="XAR5">
        <f>Database!XBK29</f>
        <v>0</v>
      </c>
      <c r="XAS5">
        <f>Database!XBL29</f>
        <v>0</v>
      </c>
      <c r="XAT5">
        <f>Database!XBM29</f>
        <v>0</v>
      </c>
      <c r="XAU5">
        <f>Database!XBN29</f>
        <v>0</v>
      </c>
      <c r="XAV5">
        <f>Database!XBO29</f>
        <v>0</v>
      </c>
      <c r="XAW5">
        <f>Database!XBP29</f>
        <v>0</v>
      </c>
      <c r="XAX5">
        <f>Database!XBQ29</f>
        <v>0</v>
      </c>
      <c r="XAY5">
        <f>Database!XBR29</f>
        <v>0</v>
      </c>
      <c r="XAZ5">
        <f>Database!XBS29</f>
        <v>0</v>
      </c>
      <c r="XBA5">
        <f>Database!XBT29</f>
        <v>0</v>
      </c>
      <c r="XBB5">
        <f>Database!XBU29</f>
        <v>0</v>
      </c>
      <c r="XBC5">
        <f>Database!XBV29</f>
        <v>0</v>
      </c>
      <c r="XBD5">
        <f>Database!XBW29</f>
        <v>0</v>
      </c>
      <c r="XBE5">
        <f>Database!XBX29</f>
        <v>0</v>
      </c>
      <c r="XBF5">
        <f>Database!XBY29</f>
        <v>0</v>
      </c>
      <c r="XBG5">
        <f>Database!XBZ29</f>
        <v>0</v>
      </c>
      <c r="XBH5">
        <f>Database!XCA29</f>
        <v>0</v>
      </c>
      <c r="XBI5">
        <f>Database!XCB29</f>
        <v>0</v>
      </c>
      <c r="XBJ5">
        <f>Database!XCC29</f>
        <v>0</v>
      </c>
      <c r="XBK5">
        <f>Database!XCD29</f>
        <v>0</v>
      </c>
      <c r="XBL5">
        <f>Database!XCE29</f>
        <v>0</v>
      </c>
      <c r="XBM5">
        <f>Database!XCF29</f>
        <v>0</v>
      </c>
      <c r="XBN5">
        <f>Database!XCG29</f>
        <v>0</v>
      </c>
      <c r="XBO5">
        <f>Database!XCH29</f>
        <v>0</v>
      </c>
      <c r="XBP5">
        <f>Database!XCI29</f>
        <v>0</v>
      </c>
      <c r="XBQ5">
        <f>Database!XCJ29</f>
        <v>0</v>
      </c>
      <c r="XBR5">
        <f>Database!XCK29</f>
        <v>0</v>
      </c>
      <c r="XBS5">
        <f>Database!XCL29</f>
        <v>0</v>
      </c>
      <c r="XBT5">
        <f>Database!XCM29</f>
        <v>0</v>
      </c>
      <c r="XBU5">
        <f>Database!XCN29</f>
        <v>0</v>
      </c>
      <c r="XBV5">
        <f>Database!XCO29</f>
        <v>0</v>
      </c>
      <c r="XBW5">
        <f>Database!XCP29</f>
        <v>0</v>
      </c>
      <c r="XBX5">
        <f>Database!XCQ29</f>
        <v>0</v>
      </c>
      <c r="XBY5">
        <f>Database!XCR29</f>
        <v>0</v>
      </c>
      <c r="XBZ5">
        <f>Database!XCS29</f>
        <v>0</v>
      </c>
      <c r="XCA5">
        <f>Database!XCT29</f>
        <v>0</v>
      </c>
      <c r="XCB5">
        <f>Database!XCU29</f>
        <v>0</v>
      </c>
      <c r="XCC5">
        <f>Database!XCV29</f>
        <v>0</v>
      </c>
      <c r="XCD5">
        <f>Database!XCW29</f>
        <v>0</v>
      </c>
      <c r="XCE5">
        <f>Database!XCX29</f>
        <v>0</v>
      </c>
      <c r="XCF5">
        <f>Database!XCY29</f>
        <v>0</v>
      </c>
      <c r="XCG5">
        <f>Database!XCZ29</f>
        <v>0</v>
      </c>
      <c r="XCH5">
        <f>Database!XDA29</f>
        <v>0</v>
      </c>
      <c r="XCI5">
        <f>Database!XDB29</f>
        <v>0</v>
      </c>
      <c r="XCJ5">
        <f>Database!XDC29</f>
        <v>0</v>
      </c>
      <c r="XCK5">
        <f>Database!XDD29</f>
        <v>0</v>
      </c>
      <c r="XCL5">
        <f>Database!XDE29</f>
        <v>0</v>
      </c>
      <c r="XCM5">
        <f>Database!XDF29</f>
        <v>0</v>
      </c>
      <c r="XCN5">
        <f>Database!XDG29</f>
        <v>0</v>
      </c>
      <c r="XCO5">
        <f>Database!XDH29</f>
        <v>0</v>
      </c>
      <c r="XCP5">
        <f>Database!XDI29</f>
        <v>0</v>
      </c>
      <c r="XCQ5">
        <f>Database!XDJ29</f>
        <v>0</v>
      </c>
      <c r="XCR5">
        <f>Database!XDK29</f>
        <v>0</v>
      </c>
      <c r="XCS5">
        <f>Database!XDL29</f>
        <v>0</v>
      </c>
      <c r="XCT5">
        <f>Database!XDM29</f>
        <v>0</v>
      </c>
      <c r="XCU5">
        <f>Database!XDN29</f>
        <v>0</v>
      </c>
      <c r="XCV5">
        <f>Database!XDO29</f>
        <v>0</v>
      </c>
      <c r="XCW5">
        <f>Database!XDP29</f>
        <v>0</v>
      </c>
      <c r="XCX5">
        <f>Database!XDQ29</f>
        <v>0</v>
      </c>
      <c r="XCY5">
        <f>Database!XDR29</f>
        <v>0</v>
      </c>
      <c r="XCZ5">
        <f>Database!XDS29</f>
        <v>0</v>
      </c>
      <c r="XDA5">
        <f>Database!XDT29</f>
        <v>0</v>
      </c>
      <c r="XDB5">
        <f>Database!XDU29</f>
        <v>0</v>
      </c>
      <c r="XDC5">
        <f>Database!XDV29</f>
        <v>0</v>
      </c>
      <c r="XDD5">
        <f>Database!XDW29</f>
        <v>0</v>
      </c>
      <c r="XDE5">
        <f>Database!XDX29</f>
        <v>0</v>
      </c>
      <c r="XDF5">
        <f>Database!XDY29</f>
        <v>0</v>
      </c>
      <c r="XDG5">
        <f>Database!XDZ29</f>
        <v>0</v>
      </c>
      <c r="XDH5">
        <f>Database!XEA29</f>
        <v>0</v>
      </c>
      <c r="XDI5">
        <f>Database!XEB29</f>
        <v>0</v>
      </c>
      <c r="XDJ5">
        <f>Database!XEC29</f>
        <v>0</v>
      </c>
      <c r="XDK5">
        <f>Database!XED29</f>
        <v>0</v>
      </c>
      <c r="XDL5">
        <f>Database!XEE29</f>
        <v>0</v>
      </c>
      <c r="XDM5">
        <f>Database!XEF29</f>
        <v>0</v>
      </c>
      <c r="XDN5">
        <f>Database!XEG29</f>
        <v>0</v>
      </c>
      <c r="XDO5">
        <f>Database!XEH29</f>
        <v>0</v>
      </c>
      <c r="XDP5">
        <f>Database!XEI29</f>
        <v>0</v>
      </c>
      <c r="XDQ5">
        <f>Database!XEJ29</f>
        <v>0</v>
      </c>
      <c r="XDR5">
        <f>Database!XEK29</f>
        <v>0</v>
      </c>
      <c r="XDS5">
        <f>Database!XEL29</f>
        <v>0</v>
      </c>
      <c r="XDT5">
        <f>Database!XEM29</f>
        <v>0</v>
      </c>
      <c r="XDU5">
        <f>Database!XEN29</f>
        <v>0</v>
      </c>
      <c r="XDV5">
        <f>Database!XEO29</f>
        <v>0</v>
      </c>
      <c r="XDW5">
        <f>Database!XEP29</f>
        <v>0</v>
      </c>
      <c r="XDX5">
        <f>Database!XEQ29</f>
        <v>0</v>
      </c>
      <c r="XDY5">
        <f>Database!XER29</f>
        <v>0</v>
      </c>
      <c r="XDZ5">
        <f>Database!XES29</f>
        <v>0</v>
      </c>
      <c r="XEA5">
        <f>Database!XET29</f>
        <v>0</v>
      </c>
      <c r="XEB5">
        <f>Database!XEU29</f>
        <v>0</v>
      </c>
      <c r="XEC5">
        <f>Database!XEV29</f>
        <v>0</v>
      </c>
      <c r="XED5">
        <f>Database!XEW29</f>
        <v>0</v>
      </c>
      <c r="XEE5">
        <f>Database!XEX29</f>
        <v>0</v>
      </c>
      <c r="XEF5">
        <f>Database!XEY29</f>
        <v>0</v>
      </c>
      <c r="XEG5">
        <f>Database!XEZ29</f>
        <v>0</v>
      </c>
      <c r="XEH5">
        <f>Database!XFA29</f>
        <v>0</v>
      </c>
      <c r="XEI5">
        <f>Database!XFB29</f>
        <v>0</v>
      </c>
      <c r="XEJ5">
        <f>Database!XFC29</f>
        <v>0</v>
      </c>
      <c r="XEK5">
        <f>Database!XFD29</f>
        <v>0</v>
      </c>
    </row>
    <row r="6" spans="1:16365" x14ac:dyDescent="0.25">
      <c r="B6">
        <v>5</v>
      </c>
      <c r="C6" t="s">
        <v>90</v>
      </c>
      <c r="D6" s="44" t="str">
        <f>Database!W14</f>
        <v>980—1,050</v>
      </c>
      <c r="E6" s="44" t="str">
        <f>Database!X14</f>
        <v>980—1,050</v>
      </c>
      <c r="F6" s="44" t="str">
        <f>Database!Y14</f>
        <v>980—1,050</v>
      </c>
      <c r="G6" s="44" t="str">
        <f>Database!Z14</f>
        <v>1,100—1,200</v>
      </c>
      <c r="H6" s="44" t="str">
        <f>Database!AA14</f>
        <v>1,100—1,200</v>
      </c>
      <c r="I6" s="44" t="str">
        <f>Database!AB14</f>
        <v>1,150—1,250</v>
      </c>
      <c r="J6" s="44" t="str">
        <f>Database!AC14</f>
        <v>1,250—1,350</v>
      </c>
      <c r="K6" s="44" t="str">
        <f>Database!AD14</f>
        <v>1,450—1,550</v>
      </c>
      <c r="L6" s="44" t="str">
        <f>Database!AE14</f>
        <v>1,450—1,550</v>
      </c>
      <c r="M6" s="44" t="str">
        <f>Database!AF14</f>
        <v>1,480—1,580</v>
      </c>
      <c r="N6" s="44" t="str">
        <f>Database!AG14</f>
        <v>1,480—1,580</v>
      </c>
      <c r="O6" s="44" t="str">
        <f>Database!AH14</f>
        <v>1,750—1,900</v>
      </c>
      <c r="P6" s="44" t="str">
        <f>Database!AI14</f>
        <v>1,800—1,900</v>
      </c>
      <c r="Q6" s="44" t="str">
        <f>Database!AJ14</f>
        <v>1,850—1,900</v>
      </c>
      <c r="R6" s="44" t="str">
        <f>Database!AK14</f>
        <v>1,850—1,900</v>
      </c>
      <c r="S6" s="44" t="str">
        <f>Database!AL14</f>
        <v>1,950—2,100</v>
      </c>
      <c r="T6" s="44" t="str">
        <f>Database!AM14</f>
        <v>2,000—2,200</v>
      </c>
      <c r="U6" s="44" t="str">
        <f>Database!AN14</f>
        <v>2,000—2,200</v>
      </c>
      <c r="V6" s="44" t="str">
        <f>Database!AO14</f>
        <v>2,000—2,200</v>
      </c>
      <c r="W6" s="44" t="str">
        <f>Database!AP14</f>
        <v>2,000—2,200</v>
      </c>
      <c r="X6" s="44" t="str">
        <f>Database!AQ14</f>
        <v>1,950—2,150</v>
      </c>
      <c r="Y6" s="44" t="str">
        <f>Database!AR14</f>
        <v>1,950—2,000</v>
      </c>
      <c r="Z6" s="44" t="str">
        <f>Database!AS14</f>
        <v>1,900—2,000</v>
      </c>
      <c r="AA6" s="44" t="str">
        <f>Database!AT14</f>
        <v>1,900—2,000</v>
      </c>
      <c r="AB6" s="44" t="str">
        <f>Database!AU14</f>
        <v>1,850—1,950</v>
      </c>
      <c r="AC6" s="44" t="str">
        <f>Database!AV14</f>
        <v>1,550—1,750</v>
      </c>
      <c r="AD6" s="44" t="str">
        <f>Database!AW14</f>
        <v>1,550—1,750</v>
      </c>
      <c r="AE6" s="44" t="str">
        <f>Database!AX14</f>
        <v>1,550—1,750</v>
      </c>
      <c r="AF6" s="44" t="str">
        <f>Database!AY14</f>
        <v>1,550—1,750</v>
      </c>
      <c r="AG6" s="44" t="str">
        <f>Database!AZ14</f>
        <v>1,550—1,700</v>
      </c>
      <c r="AH6" s="44" t="str">
        <f>Database!BA14</f>
        <v>1,550—1,700</v>
      </c>
      <c r="AI6" s="44" t="str">
        <f>Database!BB14</f>
        <v>1,550—1,700</v>
      </c>
      <c r="AJ6" s="44" t="str">
        <f>Database!BC14</f>
        <v>1,550—1,700</v>
      </c>
      <c r="AK6" s="44" t="str">
        <f>Database!BD14</f>
        <v>1,550—1,650</v>
      </c>
      <c r="AL6" s="44" t="str">
        <f>Database!BE14</f>
        <v>1,500—1,650</v>
      </c>
      <c r="AM6" s="44" t="str">
        <f>Database!BF14</f>
        <v>1,500—1,650</v>
      </c>
      <c r="AN6" s="44" t="str">
        <f>Database!BG14</f>
        <v>1,500—1,650</v>
      </c>
      <c r="AO6" s="44" t="str">
        <f>Database!BH14</f>
        <v>1,500—1,650</v>
      </c>
      <c r="AP6" s="44" t="str">
        <f>Database!BI14</f>
        <v>1,500—1,650</v>
      </c>
      <c r="AQ6" s="44" t="str">
        <f>Database!BJ14</f>
        <v>1,500—1,650</v>
      </c>
      <c r="AR6" s="44" t="str">
        <f>Database!BK14</f>
        <v>1,550—1,650</v>
      </c>
      <c r="AS6" s="44" t="str">
        <f>Database!BL14</f>
        <v>1,550—1,650</v>
      </c>
      <c r="AT6" s="44" t="str">
        <f>Database!BM14</f>
        <v>1,550—1,650</v>
      </c>
      <c r="AU6" s="44" t="str">
        <f>Database!BN14</f>
        <v>1,550—1,650</v>
      </c>
      <c r="AV6" s="44" t="str">
        <f>Database!BO14</f>
        <v>1,550—1,650</v>
      </c>
      <c r="AW6" s="44" t="str">
        <f>Database!BP14</f>
        <v>1,550—1,650</v>
      </c>
      <c r="AX6" s="44" t="str">
        <f>Database!BQ14</f>
        <v>1,650—1,770</v>
      </c>
      <c r="AY6" s="44" t="str">
        <f>Database!BR14</f>
        <v>1,650—1,770</v>
      </c>
      <c r="AZ6" s="44" t="str">
        <f>Database!BS14</f>
        <v>1,700—1,770</v>
      </c>
      <c r="BA6" s="44" t="str">
        <f>Database!BT14</f>
        <v>1,700—1,770</v>
      </c>
      <c r="BB6" s="44" t="str">
        <f>Database!BU14</f>
        <v>1,650—1,750</v>
      </c>
      <c r="BC6" s="44" t="str">
        <f>Database!BV14</f>
        <v>1,650—1,750</v>
      </c>
      <c r="BD6" s="44" t="str">
        <f>Database!BW14</f>
        <v>1,650—1,750</v>
      </c>
      <c r="BE6" s="44" t="str">
        <f>Database!BX14</f>
        <v>1,650—1,750</v>
      </c>
      <c r="BF6" s="44" t="str">
        <f>Database!BY14</f>
        <v>1,650—1,750</v>
      </c>
      <c r="BG6" s="44" t="str">
        <f>Database!BZ14</f>
        <v>1,650—1,750</v>
      </c>
      <c r="BH6" s="44" t="str">
        <f>Database!CA14</f>
        <v>1,650—1,750</v>
      </c>
      <c r="BI6" s="44" t="str">
        <f>Database!CB14</f>
        <v>1,650—1,750</v>
      </c>
      <c r="BJ6" s="44" t="str">
        <f>Database!CC14</f>
        <v>1,650—1,750</v>
      </c>
      <c r="BK6" s="44" t="str">
        <f>Database!CD14</f>
        <v>1,650—1,750</v>
      </c>
      <c r="BL6" s="44" t="str">
        <f>Database!CE14</f>
        <v>1,650—1,750</v>
      </c>
      <c r="BM6" s="44" t="str">
        <f>Database!CF14</f>
        <v>1,690—1,750</v>
      </c>
      <c r="BN6" s="44" t="str">
        <f>Database!CG14</f>
        <v>1,750—1,850</v>
      </c>
      <c r="BO6" s="44" t="str">
        <f>Database!CH14</f>
        <v>1,770—1,870</v>
      </c>
      <c r="BP6" s="44" t="str">
        <f>Database!CI14</f>
        <v>1,770—1,870</v>
      </c>
      <c r="BQ6" s="44" t="str">
        <f>Database!CJ14</f>
        <v>1,770—1,870</v>
      </c>
      <c r="BR6" s="44" t="str">
        <f>Database!CK14</f>
        <v>1,950—2,100</v>
      </c>
      <c r="BS6" s="44" t="str">
        <f>Database!CL14</f>
        <v>1,970—2,080</v>
      </c>
      <c r="BT6" s="44" t="str">
        <f>Database!CM14</f>
        <v>1,970—2,080</v>
      </c>
      <c r="BU6" s="44" t="str">
        <f>Database!CN14</f>
        <v>1,970—2,080</v>
      </c>
      <c r="BV6" s="44" t="str">
        <f>Database!CO14</f>
        <v>1,970—2,080</v>
      </c>
      <c r="BW6" s="44" t="str">
        <f>Database!CP14</f>
        <v>1,850—1,980</v>
      </c>
      <c r="BX6" s="44" t="str">
        <f>Database!CQ14</f>
        <v>1,850—1,980</v>
      </c>
      <c r="BY6" s="44" t="str">
        <f>Database!CR14</f>
        <v>1,790—1,950</v>
      </c>
      <c r="BZ6" s="44" t="str">
        <f>Database!CS14</f>
        <v>1,790—1,950</v>
      </c>
      <c r="CA6" s="44" t="str">
        <f>Database!CT14</f>
        <v>1,650—1,800</v>
      </c>
      <c r="CB6" s="44" t="str">
        <f>Database!CU14</f>
        <v>1,670—1,780</v>
      </c>
      <c r="CC6" s="44" t="str">
        <f>Database!CV14</f>
        <v>1,650—1,750</v>
      </c>
      <c r="CD6" s="44" t="str">
        <f>Database!CW14</f>
        <v>1,650—1,750</v>
      </c>
      <c r="CE6" s="44" t="str">
        <f>Database!CX14</f>
        <v>1,550—1,650</v>
      </c>
      <c r="CF6" s="44" t="str">
        <f>Database!CY14</f>
        <v>1,450—1,590</v>
      </c>
      <c r="CG6" s="44" t="str">
        <f>Database!CZ14</f>
        <v>1,350—1,500</v>
      </c>
      <c r="CH6" s="44" t="str">
        <f>Database!DA14</f>
        <v>1,350—1,400</v>
      </c>
      <c r="CI6" s="44" t="str">
        <f>Database!DB14</f>
        <v>1,350—1,400</v>
      </c>
      <c r="CJ6" s="44" t="str">
        <f>Database!DC14</f>
        <v>1,270—1,340</v>
      </c>
      <c r="CK6" s="44" t="str">
        <f>Database!DD14</f>
        <v>1,270—1,340</v>
      </c>
      <c r="CL6" s="44" t="str">
        <f>Database!DE14</f>
        <v>1,270—1,340</v>
      </c>
      <c r="CM6" s="44" t="str">
        <f>Database!DF14</f>
        <v>1,270—1,340</v>
      </c>
      <c r="CN6" s="44" t="str">
        <f>Database!DG14</f>
        <v>1,220—1,300</v>
      </c>
      <c r="CO6" s="44" t="str">
        <f>Database!DH14</f>
        <v>1,220—1,300</v>
      </c>
      <c r="CP6" s="44" t="str">
        <f>Database!DI14</f>
        <v>1,220—1,300</v>
      </c>
      <c r="CQ6" s="44" t="str">
        <f>Database!DJ14</f>
        <v>1,220—1,300</v>
      </c>
      <c r="CR6" s="44" t="str">
        <f>Database!DK14</f>
        <v>1,220—1,300</v>
      </c>
      <c r="CS6" s="44" t="str">
        <f>Database!DL14</f>
        <v>1,220—1,300</v>
      </c>
      <c r="CT6" s="44" t="str">
        <f>Database!DM14</f>
        <v>1,220—1,300</v>
      </c>
      <c r="CU6" s="44" t="str">
        <f>Database!DN14</f>
        <v>1,250—1,300</v>
      </c>
      <c r="CV6" s="44" t="str">
        <f>Database!DO14</f>
        <v>1,250—1,300</v>
      </c>
      <c r="CW6" s="44" t="str">
        <f>Database!DP14</f>
        <v>1,250—1,300</v>
      </c>
      <c r="CX6" s="44" t="str">
        <f>Database!DQ14</f>
        <v>1,250—1,300</v>
      </c>
      <c r="CY6" s="44" t="str">
        <f>Database!DR14</f>
        <v>1,250—1,300</v>
      </c>
      <c r="CZ6" s="44" t="str">
        <f>Database!DS14</f>
        <v>1,250—1,300</v>
      </c>
      <c r="DA6" s="44" t="str">
        <f>Database!DT14</f>
        <v>1,200—1,280</v>
      </c>
      <c r="DB6" s="44" t="str">
        <f>Database!DU14</f>
        <v>1,200—1,280</v>
      </c>
      <c r="DC6" s="44" t="str">
        <f>Database!DV14</f>
        <v>1,200—1,280</v>
      </c>
      <c r="DD6" s="44" t="str">
        <f>Database!DW14</f>
        <v>1,200—1,280</v>
      </c>
      <c r="DE6" s="44" t="str">
        <f>Database!DX14</f>
        <v>1,150—1,220</v>
      </c>
      <c r="DF6" s="44" t="str">
        <f>Database!DY14</f>
        <v>1,120—1,190</v>
      </c>
      <c r="DG6" s="44" t="str">
        <f>Database!DZ14</f>
        <v>1,120—1,190</v>
      </c>
      <c r="DH6" s="44" t="str">
        <f>Database!EA14</f>
        <v>1,120—1,190</v>
      </c>
      <c r="DI6" s="44" t="str">
        <f>Database!EB14</f>
        <v>1,160—1,220</v>
      </c>
      <c r="DJ6" s="44" t="str">
        <f>Database!EC14</f>
        <v>1,180—1,220</v>
      </c>
      <c r="DK6" s="44" t="str">
        <f>Database!ED14</f>
        <v>1,190—1,230</v>
      </c>
      <c r="DL6" s="44" t="str">
        <f>Database!EE14</f>
        <v>1,190—1,230</v>
      </c>
      <c r="DM6" s="44" t="str">
        <f>Database!EF14</f>
        <v>1,220—1,250</v>
      </c>
      <c r="DN6" s="44" t="str">
        <f>Database!EG14</f>
        <v>1,230—1,290</v>
      </c>
      <c r="DO6" s="44" t="str">
        <f>Database!EH14</f>
        <v>1,230—1,290</v>
      </c>
      <c r="DP6" s="44" t="str">
        <f>Database!EI14</f>
        <v>1,230—1,290</v>
      </c>
      <c r="DQ6" s="44" t="str">
        <f>Database!EJ14</f>
        <v>1,230—1,290</v>
      </c>
      <c r="DR6" s="44" t="str">
        <f>Database!EK14</f>
        <v>1,230—1,290</v>
      </c>
      <c r="DS6" s="44" t="str">
        <f>Database!EL14</f>
        <v>1,230—1,290</v>
      </c>
      <c r="DT6" s="44" t="str">
        <f>Database!EM14</f>
        <v>1,230—1,290</v>
      </c>
      <c r="DU6" s="44" t="str">
        <f>Database!EN14</f>
        <v>1,230—1,290</v>
      </c>
      <c r="DV6" s="44" t="str">
        <f>Database!EO14</f>
        <v>1,170—1,250</v>
      </c>
      <c r="DW6" s="44" t="str">
        <f>Database!EP14</f>
        <v>1,170—1,230</v>
      </c>
      <c r="DX6" s="44" t="str">
        <f>Database!EQ14</f>
        <v>1,170—1,230</v>
      </c>
      <c r="DY6" s="44" t="str">
        <f>Database!ER14</f>
        <v>1,170—1,230</v>
      </c>
      <c r="DZ6" s="44" t="str">
        <f>Database!ES14</f>
        <v>1,080—1,150</v>
      </c>
      <c r="EA6" s="44" t="str">
        <f>Database!ET14</f>
        <v>1,050—1,120</v>
      </c>
      <c r="EB6" s="44" t="str">
        <f>Database!EU14</f>
        <v>1,050—1,120</v>
      </c>
      <c r="EC6" s="44" t="str">
        <f>Database!EV14</f>
        <v>1,050—1,080</v>
      </c>
      <c r="ED6" s="44" t="str">
        <f>Database!EW14</f>
        <v>990—1,050</v>
      </c>
      <c r="EE6" s="44" t="str">
        <f>Database!EX14</f>
        <v>970—1,030</v>
      </c>
      <c r="EF6" s="44" t="str">
        <f>Database!EY14</f>
        <v>970—1,030</v>
      </c>
      <c r="EG6" s="44" t="str">
        <f>Database!EZ14</f>
        <v>970—1,030</v>
      </c>
      <c r="EH6" s="44">
        <f>Database!FA18</f>
        <v>656</v>
      </c>
      <c r="EI6" s="44" t="str">
        <f>Database!FB14</f>
        <v>970—1,030</v>
      </c>
      <c r="EJ6" s="44" t="str">
        <f>Database!FC14</f>
        <v>970—1,030</v>
      </c>
      <c r="EK6" s="44" t="str">
        <f>Database!FD14</f>
        <v>970—1,030</v>
      </c>
      <c r="EL6" s="44" t="str">
        <f>Database!FE14</f>
        <v>970—1,030</v>
      </c>
      <c r="EM6" s="44" t="str">
        <f>Database!FF14</f>
        <v>1,020—1,080</v>
      </c>
      <c r="EN6" s="44" t="str">
        <f>Database!FG14</f>
        <v>1,020—1,080</v>
      </c>
      <c r="EO6" s="44" t="str">
        <f>Database!FH14</f>
        <v>1,050—1,090</v>
      </c>
      <c r="EP6" s="44" t="str">
        <f>Database!FI14</f>
        <v>1,070—1,100</v>
      </c>
      <c r="EQ6" s="44" t="str">
        <f>Database!FJ14</f>
        <v>1,070—1,100</v>
      </c>
      <c r="ER6" s="44" t="str">
        <f>Database!FK14</f>
        <v>1,110—1,170</v>
      </c>
      <c r="ES6" s="44" t="str">
        <f>Database!FL14</f>
        <v>1,140—1,170</v>
      </c>
      <c r="ET6" s="44" t="str">
        <f>Database!FM14</f>
        <v>1,140—1,170</v>
      </c>
      <c r="EU6" s="44" t="str">
        <f>Database!FN14</f>
        <v>1,140—1,170</v>
      </c>
      <c r="EV6" s="44" t="str">
        <f>Database!FO14</f>
        <v>1,050—1,140</v>
      </c>
      <c r="EW6" s="44" t="str">
        <f>Database!FP14</f>
        <v>1,050—1,100</v>
      </c>
      <c r="EX6" s="44" t="str">
        <f>Database!FQ14</f>
        <v>1,050—1,100</v>
      </c>
      <c r="EY6" s="44" t="str">
        <f>Database!FR14</f>
        <v>1,050—1,100</v>
      </c>
      <c r="EZ6" s="44" t="str">
        <f>Database!FS14</f>
        <v>1,040—1,070</v>
      </c>
      <c r="FA6" s="44" t="str">
        <f>Database!FT14</f>
        <v>1,040—1,070</v>
      </c>
      <c r="FB6" s="44" t="str">
        <f>Database!FU14</f>
        <v>1,040—1,070</v>
      </c>
      <c r="FC6" s="44" t="str">
        <f>Database!FV14</f>
        <v>1,040—1,070</v>
      </c>
      <c r="FD6" s="44" t="str">
        <f>Database!FW14</f>
        <v>1,040—1,070</v>
      </c>
      <c r="FE6" s="44" t="str">
        <f>Database!FX14</f>
        <v>1,070—1,120</v>
      </c>
      <c r="FF6" s="44" t="str">
        <f>Database!FY14</f>
        <v>1,100—1,130</v>
      </c>
      <c r="FG6" s="44" t="str">
        <f>Database!FZ14</f>
        <v>1,100—1,130</v>
      </c>
      <c r="FH6" s="44" t="str">
        <f>Database!GA14</f>
        <v>1,200—1,250</v>
      </c>
      <c r="FI6" s="44" t="str">
        <f>Database!GB14</f>
        <v>1,270—1,320</v>
      </c>
      <c r="FJ6" s="44" t="str">
        <f>Database!GC14</f>
        <v>1,250—1,320</v>
      </c>
      <c r="FK6" s="44" t="str">
        <f>Database!GD14</f>
        <v>1,250—1,320</v>
      </c>
      <c r="FL6" s="44" t="str">
        <f>Database!GE14</f>
        <v>1,250—1,320</v>
      </c>
      <c r="FM6" s="44" t="str">
        <f>Database!GF14</f>
        <v>1,300—1,350</v>
      </c>
      <c r="FN6" s="44" t="str">
        <f>Database!GG14</f>
        <v>1,300—1,350</v>
      </c>
      <c r="FO6" s="44" t="str">
        <f>Database!GH14</f>
        <v>1,300—1,350</v>
      </c>
      <c r="FP6" s="44" t="str">
        <f>Database!GI14</f>
        <v>1,300—1,350</v>
      </c>
      <c r="FQ6" s="44" t="str">
        <f>Database!GJ14</f>
        <v>1,250—1,320</v>
      </c>
      <c r="FR6" s="44" t="str">
        <f>Database!GK14</f>
        <v>1,250—1,320</v>
      </c>
      <c r="FS6" s="44" t="str">
        <f>Database!GL14</f>
        <v>1,250—1,320</v>
      </c>
      <c r="FT6" s="44" t="str">
        <f>Database!GM14</f>
        <v>1,250—1,320</v>
      </c>
      <c r="FU6" s="44" t="str">
        <f>Database!GN14</f>
        <v>1,230—1,300</v>
      </c>
      <c r="FV6" s="44" t="str">
        <f>Database!GO14</f>
        <v>1,220—1,280</v>
      </c>
      <c r="FW6" s="44" t="str">
        <f>Database!GP14</f>
        <v>1,220—1,280</v>
      </c>
      <c r="FX6" s="44" t="str">
        <f>Database!GQ14</f>
        <v>1,200—1,250</v>
      </c>
      <c r="FY6" s="44" t="str">
        <f>Database!GR14</f>
        <v>1,200—1,250</v>
      </c>
      <c r="FZ6" s="44" t="str">
        <f>Database!GS14</f>
        <v>1,150—1,250</v>
      </c>
      <c r="GA6" s="44" t="str">
        <f>Database!GT14</f>
        <v>1,150—1,250</v>
      </c>
      <c r="GB6" s="44" t="str">
        <f>Database!GU14</f>
        <v>1,150—1,250</v>
      </c>
      <c r="GC6" s="44" t="str">
        <f>Database!GV14</f>
        <v>1,150—1,250</v>
      </c>
      <c r="GD6" s="44" t="str">
        <f>Database!GW14</f>
        <v>1,150—1,250</v>
      </c>
      <c r="GE6" s="44" t="str">
        <f>Database!GX14</f>
        <v>1,150—1,250</v>
      </c>
      <c r="GF6" s="44" t="str">
        <f>Database!GY14</f>
        <v>1,180—1,270</v>
      </c>
      <c r="GG6" s="44" t="str">
        <f>Database!GZ14</f>
        <v>1,200—1,270</v>
      </c>
      <c r="GH6" s="44" t="str">
        <f>Database!HA14</f>
        <v>1,250—1,300</v>
      </c>
      <c r="GI6" s="44" t="str">
        <f>Database!HB14</f>
        <v>1,250—1,300</v>
      </c>
      <c r="GJ6" s="44" t="str">
        <f>Database!HC14</f>
        <v>1,250—1,300</v>
      </c>
      <c r="GK6" s="44" t="str">
        <f>Database!HD14</f>
        <v>1,250—1,300</v>
      </c>
      <c r="GL6" s="44" t="e">
        <f>Database!#REF!</f>
        <v>#REF!</v>
      </c>
      <c r="GM6" s="44" t="str">
        <f>Database!HF14</f>
        <v>1,200—1,250</v>
      </c>
      <c r="GN6" s="44" t="str">
        <f>Database!HG14</f>
        <v>1,200—1,230</v>
      </c>
      <c r="GO6" s="44" t="str">
        <f>Database!HH14</f>
        <v>1,180—1,250</v>
      </c>
      <c r="GP6" s="44" t="str">
        <f>Database!HI14</f>
        <v>1,180—1,250</v>
      </c>
      <c r="GQ6" s="44" t="str">
        <f>Database!HJ14</f>
        <v>1,130—1,200</v>
      </c>
      <c r="GR6" s="44" t="str">
        <f>Database!HK14</f>
        <v>1,130—1,200</v>
      </c>
      <c r="GS6" s="44" t="str">
        <f>Database!HL14</f>
        <v>1,120—1,200</v>
      </c>
      <c r="GT6" s="44" t="str">
        <f>Database!HM14</f>
        <v>1,100—1,180</v>
      </c>
      <c r="GU6" s="44" t="str">
        <f>Database!HN14</f>
        <v>1,100—1,180</v>
      </c>
      <c r="GV6" s="44" t="str">
        <f>Database!HO14</f>
        <v>1,080—1,160</v>
      </c>
      <c r="GW6" s="44" t="str">
        <f>Database!HP14</f>
        <v>1,060—1,160</v>
      </c>
      <c r="GX6" s="44" t="str">
        <f>Database!HQ14</f>
        <v>1,060—1,160</v>
      </c>
      <c r="GY6" s="44" t="str">
        <f>Database!HR14</f>
        <v>1,060—1,160</v>
      </c>
      <c r="GZ6" s="44" t="str">
        <f>Database!HS14</f>
        <v>1,060—1,150</v>
      </c>
      <c r="HA6" s="44" t="str">
        <f>Database!HT14</f>
        <v>1,060—1,150</v>
      </c>
      <c r="HB6" s="44" t="str">
        <f>Database!HU14</f>
        <v>1,060—1,150</v>
      </c>
      <c r="HC6" s="44" t="str">
        <f>Database!HV14</f>
        <v>1,070—1,200</v>
      </c>
      <c r="HD6" s="44" t="str">
        <f>Database!HW14</f>
        <v>1,070—1,200</v>
      </c>
      <c r="HE6" s="44" t="str">
        <f>Database!HX14</f>
        <v>1,070—1,200</v>
      </c>
      <c r="HF6" s="44" t="str">
        <f>Database!HY14</f>
        <v>1,070—1,200</v>
      </c>
      <c r="HG6" s="44" t="str">
        <f>Database!HZ14</f>
        <v>1,100—1,220</v>
      </c>
      <c r="HH6" s="44" t="str">
        <f>Database!IA14</f>
        <v>1,100—1,230</v>
      </c>
      <c r="HI6" s="44" t="str">
        <f>Database!IB14</f>
        <v>1,100—1,230</v>
      </c>
      <c r="HJ6" s="44" t="str">
        <f>Database!IC14</f>
        <v>1,100—1,230</v>
      </c>
      <c r="HK6" s="44" t="str">
        <f>Database!ID14</f>
        <v>1,100—1,230</v>
      </c>
      <c r="HL6" s="44" t="str">
        <f>Database!IE14</f>
        <v>1,100—1,200</v>
      </c>
      <c r="HM6" s="44" t="str">
        <f>Database!IF14</f>
        <v>1,100—1,200</v>
      </c>
      <c r="HN6" s="44" t="str">
        <f>Database!IG14</f>
        <v>1,100—1,200</v>
      </c>
      <c r="HO6" s="44" t="str">
        <f>Database!IH14</f>
        <v>1,100—1,200</v>
      </c>
      <c r="HP6" s="44" t="str">
        <f>Database!II14</f>
        <v>1,030—1,120</v>
      </c>
      <c r="HQ6" s="44" t="str">
        <f>Database!IJ14</f>
        <v>1,030—1,120</v>
      </c>
      <c r="HR6" s="44" t="str">
        <f>Database!IK14</f>
        <v>1,030—1,120</v>
      </c>
      <c r="HS6" s="44" t="str">
        <f>Database!IL14</f>
        <v>1,020—1,100</v>
      </c>
      <c r="HT6" s="44" t="str">
        <f>Database!IM14</f>
        <v>1,020—1,100</v>
      </c>
      <c r="HU6" s="44" t="str">
        <f>Database!IN14</f>
        <v>1,020—1,100</v>
      </c>
      <c r="HV6" s="44" t="str">
        <f>Database!IO14</f>
        <v>1,000—1,080</v>
      </c>
      <c r="HW6" s="44" t="str">
        <f>Database!IP14</f>
        <v>1,000—1,080</v>
      </c>
      <c r="HX6" s="44" t="str">
        <f>Database!IQ14</f>
        <v>980—1,050</v>
      </c>
      <c r="HY6" s="44" t="str">
        <f>Database!IR14</f>
        <v>980—1,050</v>
      </c>
      <c r="HZ6" s="44" t="str">
        <f>Database!IS14</f>
        <v>980—1,050</v>
      </c>
      <c r="IA6" s="44" t="str">
        <f>Database!IT14</f>
        <v>980—1,050</v>
      </c>
      <c r="IB6" s="44" t="str">
        <f>Database!IU14</f>
        <v>980—1,050</v>
      </c>
      <c r="IC6" s="44" t="str">
        <f>Database!IV14</f>
        <v>980—1,050</v>
      </c>
      <c r="ID6" s="44" t="str">
        <f>Database!IW14</f>
        <v>980—1,050</v>
      </c>
      <c r="IE6" s="44" t="str">
        <f>Database!IX14</f>
        <v>980—1,050</v>
      </c>
      <c r="IF6" s="44" t="str">
        <f>Database!IY14</f>
        <v>960—1,030</v>
      </c>
      <c r="IG6" s="44" t="str">
        <f>Database!IZ14</f>
        <v>960—1,040</v>
      </c>
      <c r="IH6" s="44" t="str">
        <f>Database!JA14</f>
        <v>960—1,040</v>
      </c>
      <c r="II6" s="44" t="str">
        <f>Database!JB14</f>
        <v>960—1,040</v>
      </c>
      <c r="IJ6" s="44" t="str">
        <f>Database!JC14</f>
        <v>960—1,040</v>
      </c>
      <c r="IK6" s="44" t="str">
        <f>Database!JD14</f>
        <v>930—1,020</v>
      </c>
      <c r="IL6" s="44" t="str">
        <f>Database!JE14</f>
        <v>920—1,000</v>
      </c>
      <c r="IM6" s="44" t="str">
        <f>Database!JF14</f>
        <v>920—1,000</v>
      </c>
      <c r="IN6" s="44" t="str">
        <f>Database!JG14</f>
        <v>920—1,000</v>
      </c>
      <c r="IO6" s="44" t="str">
        <f>Database!JH14</f>
        <v>900—980</v>
      </c>
      <c r="IP6" s="44" t="str">
        <f>Database!JI14</f>
        <v>900—960</v>
      </c>
      <c r="IQ6" s="44" t="str">
        <f>Database!JJ14</f>
        <v>890—960</v>
      </c>
      <c r="IR6" s="44" t="str">
        <f>Database!JK14</f>
        <v>890—960</v>
      </c>
      <c r="IS6" s="44" t="str">
        <f>Database!JL14</f>
        <v>870—960</v>
      </c>
      <c r="IT6" s="44" t="str">
        <f>Database!JM14</f>
        <v>870—960</v>
      </c>
      <c r="IU6" s="44" t="str">
        <f>Database!JN14</f>
        <v>870—960</v>
      </c>
      <c r="IV6" s="44" t="str">
        <f>Database!JO14</f>
        <v>870—960</v>
      </c>
      <c r="IW6" s="44" t="str">
        <f>Database!JP14</f>
        <v>870—960</v>
      </c>
      <c r="IX6" s="44" t="str">
        <f>Database!JQ14</f>
        <v>890—970</v>
      </c>
      <c r="IY6" s="44" t="str">
        <f>Database!JR14</f>
        <v>890—970</v>
      </c>
      <c r="IZ6" s="44" t="str">
        <f>Database!JS14</f>
        <v>890—970</v>
      </c>
      <c r="JA6" s="44" t="str">
        <f>Database!JT14</f>
        <v>890—970</v>
      </c>
      <c r="JB6" s="44" t="str">
        <f>Database!JU14</f>
        <v>890—970</v>
      </c>
      <c r="JC6" s="44" t="str">
        <f>Database!JV14</f>
        <v>890—970</v>
      </c>
      <c r="JD6" s="44" t="str">
        <f>Database!JW14</f>
        <v>890—970</v>
      </c>
      <c r="JE6" s="44" t="str">
        <f>Database!JX14</f>
        <v>890—970</v>
      </c>
      <c r="JF6" s="44" t="str">
        <f>Database!JY14</f>
        <v>900—970</v>
      </c>
      <c r="JG6" s="44" t="str">
        <f>Database!JZ14</f>
        <v>900—1,000</v>
      </c>
      <c r="JH6" s="44" t="str">
        <f>Database!KA14</f>
        <v>900—1,000</v>
      </c>
      <c r="JI6" s="44" t="str">
        <f>Database!KB14</f>
        <v>900—1,000</v>
      </c>
      <c r="JJ6" s="44" t="str">
        <f>Database!KC14</f>
        <v>1,200—1,300</v>
      </c>
      <c r="JK6" s="44" t="str">
        <f>Database!KD14</f>
        <v>1,200—1,450</v>
      </c>
      <c r="JL6" s="44" t="str">
        <f>Database!KE14</f>
        <v>1,350—1,550</v>
      </c>
      <c r="JM6" s="44" t="str">
        <f>Database!KF14</f>
        <v>1,700—2,000</v>
      </c>
      <c r="JN6" s="44" t="str">
        <f>Database!KG14</f>
        <v>1,800—1,870</v>
      </c>
      <c r="JO6" s="44" t="str">
        <f>Database!KH14</f>
        <v>1,750—1,900</v>
      </c>
      <c r="JP6" s="44" t="str">
        <f>Database!KI14</f>
        <v>1,750—2,050</v>
      </c>
      <c r="JQ6" s="44" t="str">
        <f>Database!KJ14</f>
        <v>1,750—2,050</v>
      </c>
      <c r="JR6" s="44" t="str">
        <f>Database!KK14</f>
        <v>1,750—2,050</v>
      </c>
      <c r="JS6" s="44" t="str">
        <f>Database!KL14</f>
        <v>1,700—2,000</v>
      </c>
      <c r="JT6" s="44" t="str">
        <f>Database!KM14</f>
        <v>1,700—2,000</v>
      </c>
      <c r="JU6" s="44" t="str">
        <f>Database!KN14</f>
        <v>1,650—1,900</v>
      </c>
      <c r="JV6" s="44" t="str">
        <f>Database!KO14</f>
        <v>1,650—1,900</v>
      </c>
      <c r="JW6" s="44">
        <f>Database!KP14</f>
        <v>0</v>
      </c>
      <c r="JX6" s="44">
        <f>Database!KQ14</f>
        <v>0</v>
      </c>
      <c r="JY6" s="44">
        <f>Database!KR14</f>
        <v>0</v>
      </c>
      <c r="JZ6" s="44">
        <f>Database!KS14</f>
        <v>0</v>
      </c>
      <c r="KA6" s="44">
        <f>Database!KT14</f>
        <v>0</v>
      </c>
      <c r="KB6" s="44">
        <f>Database!KU14</f>
        <v>0</v>
      </c>
      <c r="KC6" s="44">
        <f>Database!KV14</f>
        <v>0</v>
      </c>
      <c r="KD6" s="44">
        <f>Database!KW14</f>
        <v>0</v>
      </c>
      <c r="KE6" s="44">
        <f>Database!KX14</f>
        <v>0</v>
      </c>
      <c r="KF6" s="44">
        <f>Database!KY14</f>
        <v>0</v>
      </c>
      <c r="KG6" s="44">
        <f>Database!KZ14</f>
        <v>0</v>
      </c>
      <c r="KH6" s="44">
        <f>Database!LA14</f>
        <v>0</v>
      </c>
      <c r="KI6" s="44">
        <f>Database!LB14</f>
        <v>0</v>
      </c>
      <c r="KJ6" s="44">
        <f>Database!LC14</f>
        <v>0</v>
      </c>
      <c r="KK6" s="44">
        <f>Database!LD14</f>
        <v>0</v>
      </c>
      <c r="KL6" s="44">
        <f>Database!LE14</f>
        <v>0</v>
      </c>
      <c r="KM6" s="44">
        <f>Database!LF14</f>
        <v>0</v>
      </c>
      <c r="KN6" s="44">
        <f>Database!LG14</f>
        <v>0</v>
      </c>
      <c r="KO6" s="44">
        <f>Database!LH14</f>
        <v>0</v>
      </c>
      <c r="KP6" s="44">
        <f>Database!LI14</f>
        <v>0</v>
      </c>
      <c r="KQ6" s="44">
        <f>Database!LJ14</f>
        <v>0</v>
      </c>
      <c r="KR6" s="44">
        <f>Database!LK14</f>
        <v>0</v>
      </c>
      <c r="KS6" s="44">
        <f>Database!LL14</f>
        <v>0</v>
      </c>
      <c r="KT6" s="44">
        <f>Database!LM14</f>
        <v>0</v>
      </c>
      <c r="KU6" s="44">
        <f>Database!LN14</f>
        <v>0</v>
      </c>
      <c r="KV6" s="44">
        <f>Database!LO14</f>
        <v>0</v>
      </c>
      <c r="KW6" s="44">
        <f>Database!LP14</f>
        <v>0</v>
      </c>
      <c r="KX6" s="44">
        <f>Database!LQ14</f>
        <v>0</v>
      </c>
      <c r="KY6" s="44">
        <f>Database!LR14</f>
        <v>0</v>
      </c>
      <c r="KZ6" s="44">
        <f>Database!LS14</f>
        <v>0</v>
      </c>
      <c r="LA6" s="44">
        <f>Database!LT14</f>
        <v>0</v>
      </c>
      <c r="LB6" s="44">
        <f>Database!LU14</f>
        <v>0</v>
      </c>
      <c r="LC6" s="44">
        <f>Database!LV14</f>
        <v>0</v>
      </c>
      <c r="LD6" s="44">
        <f>Database!LW14</f>
        <v>0</v>
      </c>
      <c r="LE6" s="44">
        <f>Database!LX14</f>
        <v>0</v>
      </c>
      <c r="LF6" s="44">
        <f>Database!LY14</f>
        <v>0</v>
      </c>
      <c r="LG6" s="44">
        <f>Database!LZ14</f>
        <v>0</v>
      </c>
      <c r="LH6" s="44">
        <f>Database!MA14</f>
        <v>0</v>
      </c>
      <c r="LI6" s="44">
        <f>Database!MB14</f>
        <v>0</v>
      </c>
      <c r="LJ6" s="44">
        <f>Database!MC14</f>
        <v>0</v>
      </c>
      <c r="LK6" s="44">
        <f>Database!MD14</f>
        <v>0</v>
      </c>
      <c r="LL6" s="44">
        <f>Database!ME14</f>
        <v>0</v>
      </c>
      <c r="LM6" s="44">
        <f>Database!MF14</f>
        <v>0</v>
      </c>
      <c r="LN6" s="44">
        <f>Database!MG14</f>
        <v>0</v>
      </c>
      <c r="LO6" s="44">
        <f>Database!MH14</f>
        <v>0</v>
      </c>
      <c r="LP6" s="44">
        <f>Database!MI14</f>
        <v>0</v>
      </c>
      <c r="LQ6" s="44">
        <f>Database!MJ14</f>
        <v>0</v>
      </c>
      <c r="LR6" s="44">
        <f>Database!MK14</f>
        <v>0</v>
      </c>
      <c r="LS6" s="44">
        <f>Database!ML14</f>
        <v>0</v>
      </c>
      <c r="LT6" s="44">
        <f>Database!MM14</f>
        <v>0</v>
      </c>
      <c r="LU6" s="44">
        <f>Database!MN14</f>
        <v>0</v>
      </c>
      <c r="LV6" s="44">
        <f>Database!MO14</f>
        <v>0</v>
      </c>
      <c r="LW6" s="44">
        <f>Database!MP14</f>
        <v>0</v>
      </c>
      <c r="LX6" s="44">
        <f>Database!MQ14</f>
        <v>0</v>
      </c>
      <c r="LY6" s="44">
        <f>Database!MR14</f>
        <v>0</v>
      </c>
      <c r="LZ6" s="44">
        <f>Database!MS14</f>
        <v>0</v>
      </c>
      <c r="MA6" s="44">
        <f>Database!MT14</f>
        <v>0</v>
      </c>
      <c r="MB6" s="44">
        <f>Database!MU14</f>
        <v>0</v>
      </c>
      <c r="MC6" s="44">
        <f>Database!MV14</f>
        <v>0</v>
      </c>
      <c r="MD6" s="44">
        <f>Database!MW14</f>
        <v>0</v>
      </c>
      <c r="ME6" s="44">
        <f>Database!MX14</f>
        <v>0</v>
      </c>
      <c r="MF6" s="44">
        <f>Database!MY14</f>
        <v>0</v>
      </c>
      <c r="MG6" s="44">
        <f>Database!MZ14</f>
        <v>0</v>
      </c>
      <c r="MH6" s="44">
        <f>Database!NA14</f>
        <v>0</v>
      </c>
      <c r="MI6" s="44">
        <f>Database!NB14</f>
        <v>0</v>
      </c>
      <c r="MJ6" s="44">
        <f>Database!NC14</f>
        <v>0</v>
      </c>
      <c r="MK6" s="44">
        <f>Database!ND14</f>
        <v>0</v>
      </c>
      <c r="ML6" s="44">
        <f>Database!NE14</f>
        <v>0</v>
      </c>
      <c r="MM6" s="44">
        <f>Database!NF14</f>
        <v>0</v>
      </c>
      <c r="MN6" s="44">
        <f>Database!NG14</f>
        <v>0</v>
      </c>
      <c r="MO6" s="44">
        <f>Database!NH14</f>
        <v>0</v>
      </c>
      <c r="MP6" s="44">
        <f>Database!NI14</f>
        <v>0</v>
      </c>
      <c r="MQ6" s="44">
        <f>Database!NJ14</f>
        <v>0</v>
      </c>
      <c r="MR6" s="44">
        <f>Database!NK14</f>
        <v>0</v>
      </c>
      <c r="MS6" s="44">
        <f>Database!NL14</f>
        <v>0</v>
      </c>
      <c r="MT6" s="44">
        <f>Database!NM14</f>
        <v>0</v>
      </c>
      <c r="MU6" s="44">
        <f>Database!NN14</f>
        <v>0</v>
      </c>
      <c r="MV6" s="44">
        <f>Database!NO14</f>
        <v>0</v>
      </c>
      <c r="MW6" s="44">
        <f>Database!NP14</f>
        <v>0</v>
      </c>
      <c r="MX6" s="44">
        <f>Database!NQ14</f>
        <v>0</v>
      </c>
      <c r="MY6" s="44">
        <f>Database!NR14</f>
        <v>0</v>
      </c>
      <c r="MZ6" s="44">
        <f>Database!NS14</f>
        <v>0</v>
      </c>
      <c r="NA6" s="44">
        <f>Database!NT14</f>
        <v>0</v>
      </c>
      <c r="NB6" s="44">
        <f>Database!NU14</f>
        <v>0</v>
      </c>
      <c r="NC6" s="44">
        <f>Database!NV14</f>
        <v>0</v>
      </c>
      <c r="ND6" s="44">
        <f>Database!NW14</f>
        <v>0</v>
      </c>
      <c r="NE6" s="44">
        <f>Database!NX14</f>
        <v>0</v>
      </c>
      <c r="NF6" s="44">
        <f>Database!NY14</f>
        <v>0</v>
      </c>
      <c r="NG6" s="44">
        <f>Database!NZ14</f>
        <v>0</v>
      </c>
      <c r="NH6" s="44">
        <f>Database!OA14</f>
        <v>0</v>
      </c>
      <c r="NI6" s="44">
        <f>Database!OB14</f>
        <v>0</v>
      </c>
      <c r="NJ6" s="44">
        <f>Database!OC14</f>
        <v>0</v>
      </c>
      <c r="NK6" s="44">
        <f>Database!OD14</f>
        <v>0</v>
      </c>
      <c r="NL6" s="44">
        <f>Database!OE14</f>
        <v>0</v>
      </c>
      <c r="NM6" s="44">
        <f>Database!OF14</f>
        <v>0</v>
      </c>
      <c r="NN6" s="44">
        <f>Database!OG14</f>
        <v>0</v>
      </c>
      <c r="NO6" s="44">
        <f>Database!OH14</f>
        <v>0</v>
      </c>
      <c r="NP6" s="44">
        <f>Database!OI14</f>
        <v>0</v>
      </c>
      <c r="NQ6" s="44">
        <f>Database!OJ14</f>
        <v>0</v>
      </c>
      <c r="NR6" s="44">
        <f>Database!OK14</f>
        <v>0</v>
      </c>
      <c r="NS6" s="44">
        <f>Database!OL14</f>
        <v>0</v>
      </c>
      <c r="NT6" s="44">
        <f>Database!OM14</f>
        <v>0</v>
      </c>
      <c r="NU6" s="44">
        <f>Database!ON14</f>
        <v>0</v>
      </c>
      <c r="NV6" s="44">
        <f>Database!OO14</f>
        <v>0</v>
      </c>
      <c r="NW6" s="44">
        <f>Database!OP14</f>
        <v>0</v>
      </c>
      <c r="NX6" s="44">
        <f>Database!OQ14</f>
        <v>0</v>
      </c>
      <c r="NY6" s="44">
        <f>Database!OR14</f>
        <v>0</v>
      </c>
      <c r="NZ6" s="44">
        <f>Database!OS14</f>
        <v>0</v>
      </c>
      <c r="OA6" s="44">
        <f>Database!OT14</f>
        <v>0</v>
      </c>
      <c r="OB6" s="44">
        <f>Database!OU14</f>
        <v>0</v>
      </c>
      <c r="OC6" s="44">
        <f>Database!OV14</f>
        <v>0</v>
      </c>
      <c r="OD6" s="44">
        <f>Database!OW14</f>
        <v>0</v>
      </c>
      <c r="OE6" s="44">
        <f>Database!OX14</f>
        <v>0</v>
      </c>
      <c r="OF6" s="44">
        <f>Database!OY14</f>
        <v>0</v>
      </c>
      <c r="OG6" s="44">
        <f>Database!OZ14</f>
        <v>0</v>
      </c>
      <c r="OH6" s="44">
        <f>Database!PA14</f>
        <v>0</v>
      </c>
      <c r="OI6" s="44">
        <f>Database!PB14</f>
        <v>0</v>
      </c>
      <c r="OJ6" s="44">
        <f>Database!PC14</f>
        <v>0</v>
      </c>
      <c r="OK6" s="44">
        <f>Database!PD14</f>
        <v>0</v>
      </c>
      <c r="OL6" s="44">
        <f>Database!PE14</f>
        <v>0</v>
      </c>
      <c r="OM6" s="44">
        <f>Database!PF14</f>
        <v>0</v>
      </c>
      <c r="ON6" s="44">
        <f>Database!PG14</f>
        <v>0</v>
      </c>
      <c r="OO6" s="44">
        <f>Database!PH14</f>
        <v>0</v>
      </c>
      <c r="OP6" s="44">
        <f>Database!PI14</f>
        <v>0</v>
      </c>
      <c r="OQ6" s="44">
        <f>Database!PJ14</f>
        <v>0</v>
      </c>
      <c r="OR6" s="44">
        <f>Database!PK14</f>
        <v>0</v>
      </c>
      <c r="OS6" s="44">
        <f>Database!PL14</f>
        <v>0</v>
      </c>
      <c r="OT6" s="44">
        <f>Database!PM14</f>
        <v>0</v>
      </c>
      <c r="OU6" s="44">
        <f>Database!PN14</f>
        <v>0</v>
      </c>
      <c r="OV6" s="44">
        <f>Database!PO14</f>
        <v>0</v>
      </c>
      <c r="OW6" s="44">
        <f>Database!PP14</f>
        <v>0</v>
      </c>
      <c r="OX6" s="44">
        <f>Database!PQ14</f>
        <v>0</v>
      </c>
      <c r="OY6" s="44">
        <f>Database!PR14</f>
        <v>0</v>
      </c>
      <c r="OZ6" s="44">
        <f>Database!PS14</f>
        <v>0</v>
      </c>
      <c r="PA6" s="44">
        <f>Database!PT14</f>
        <v>0</v>
      </c>
      <c r="PB6" s="44">
        <f>Database!PU14</f>
        <v>0</v>
      </c>
      <c r="PC6" s="44">
        <f>Database!PV14</f>
        <v>0</v>
      </c>
      <c r="PD6" s="44">
        <f>Database!PW14</f>
        <v>0</v>
      </c>
      <c r="PE6" s="44">
        <f>Database!PX14</f>
        <v>0</v>
      </c>
      <c r="PF6" s="44">
        <f>Database!PY14</f>
        <v>0</v>
      </c>
      <c r="PG6" s="44">
        <f>Database!PZ14</f>
        <v>0</v>
      </c>
      <c r="PH6" s="44">
        <f>Database!QA14</f>
        <v>0</v>
      </c>
      <c r="PI6" s="44">
        <f>Database!QB14</f>
        <v>0</v>
      </c>
      <c r="PJ6" s="44">
        <f>Database!QC14</f>
        <v>0</v>
      </c>
      <c r="PK6" s="44">
        <f>Database!QD14</f>
        <v>0</v>
      </c>
      <c r="PL6" s="44">
        <f>Database!QE14</f>
        <v>0</v>
      </c>
      <c r="PM6" s="44">
        <f>Database!QF14</f>
        <v>0</v>
      </c>
      <c r="PN6" s="44">
        <f>Database!QG14</f>
        <v>0</v>
      </c>
      <c r="PO6" s="44">
        <f>Database!QH14</f>
        <v>0</v>
      </c>
      <c r="PP6" s="44">
        <f>Database!QI14</f>
        <v>0</v>
      </c>
      <c r="PQ6" s="44">
        <f>Database!QJ14</f>
        <v>0</v>
      </c>
      <c r="PR6" s="44">
        <f>Database!QK14</f>
        <v>0</v>
      </c>
      <c r="PS6" s="44">
        <f>Database!QL14</f>
        <v>0</v>
      </c>
      <c r="PT6" s="44">
        <f>Database!QM14</f>
        <v>0</v>
      </c>
      <c r="PU6" s="44">
        <f>Database!QN14</f>
        <v>0</v>
      </c>
      <c r="PV6" s="44">
        <f>Database!QO14</f>
        <v>0</v>
      </c>
      <c r="PW6" s="44">
        <f>Database!QP14</f>
        <v>0</v>
      </c>
      <c r="PX6" s="44">
        <f>Database!QQ14</f>
        <v>0</v>
      </c>
      <c r="PY6" s="44">
        <f>Database!QR14</f>
        <v>0</v>
      </c>
      <c r="PZ6" s="44">
        <f>Database!QS14</f>
        <v>0</v>
      </c>
      <c r="QA6" s="44">
        <f>Database!QT14</f>
        <v>0</v>
      </c>
      <c r="QB6" s="44">
        <f>Database!QU14</f>
        <v>0</v>
      </c>
      <c r="QC6" s="44">
        <f>Database!QV14</f>
        <v>0</v>
      </c>
      <c r="QD6" s="44">
        <f>Database!QW14</f>
        <v>0</v>
      </c>
      <c r="QE6" s="44">
        <f>Database!QX14</f>
        <v>0</v>
      </c>
      <c r="QF6" s="44">
        <f>Database!QY14</f>
        <v>0</v>
      </c>
      <c r="QG6" s="44">
        <f>Database!QZ14</f>
        <v>0</v>
      </c>
      <c r="QH6" s="44">
        <f>Database!RA14</f>
        <v>0</v>
      </c>
      <c r="QI6" s="44">
        <f>Database!RB14</f>
        <v>0</v>
      </c>
      <c r="QJ6" s="44">
        <f>Database!RC14</f>
        <v>0</v>
      </c>
      <c r="QK6" s="44">
        <f>Database!RD14</f>
        <v>0</v>
      </c>
      <c r="QL6" s="44">
        <f>Database!RE14</f>
        <v>0</v>
      </c>
      <c r="QM6" s="44">
        <f>Database!RF14</f>
        <v>0</v>
      </c>
      <c r="QN6" s="44">
        <f>Database!RG14</f>
        <v>0</v>
      </c>
      <c r="QO6" s="44">
        <f>Database!RH14</f>
        <v>0</v>
      </c>
      <c r="QP6" s="44">
        <f>Database!RI14</f>
        <v>0</v>
      </c>
      <c r="QQ6" s="44">
        <f>Database!RJ14</f>
        <v>0</v>
      </c>
      <c r="QR6" s="44">
        <f>Database!RK14</f>
        <v>0</v>
      </c>
      <c r="QS6" s="44">
        <f>Database!RL14</f>
        <v>0</v>
      </c>
      <c r="QT6" s="44">
        <f>Database!RM14</f>
        <v>0</v>
      </c>
      <c r="QU6" s="44">
        <f>Database!RN14</f>
        <v>0</v>
      </c>
      <c r="QV6" s="44">
        <f>Database!RO14</f>
        <v>0</v>
      </c>
      <c r="QW6" s="44">
        <f>Database!RP14</f>
        <v>0</v>
      </c>
      <c r="QX6" s="44">
        <f>Database!RQ14</f>
        <v>0</v>
      </c>
      <c r="QY6" s="44">
        <f>Database!RR14</f>
        <v>0</v>
      </c>
      <c r="QZ6" s="44">
        <f>Database!RS14</f>
        <v>0</v>
      </c>
      <c r="RA6" s="44">
        <f>Database!RT14</f>
        <v>0</v>
      </c>
      <c r="RB6" s="44">
        <f>Database!RU14</f>
        <v>0</v>
      </c>
      <c r="RC6" s="44">
        <f>Database!RV14</f>
        <v>0</v>
      </c>
      <c r="RD6" s="44">
        <f>Database!RW14</f>
        <v>0</v>
      </c>
      <c r="RE6" s="44">
        <f>Database!RX14</f>
        <v>0</v>
      </c>
      <c r="RF6" s="44">
        <f>Database!RY14</f>
        <v>0</v>
      </c>
      <c r="RG6" s="44">
        <f>Database!RZ14</f>
        <v>0</v>
      </c>
      <c r="RH6" s="44">
        <f>Database!SA14</f>
        <v>0</v>
      </c>
      <c r="RI6" s="44">
        <f>Database!SB14</f>
        <v>0</v>
      </c>
      <c r="RJ6" s="44">
        <f>Database!SC14</f>
        <v>0</v>
      </c>
      <c r="RK6" s="44">
        <f>Database!SD14</f>
        <v>0</v>
      </c>
      <c r="RL6" s="44">
        <f>Database!SE14</f>
        <v>0</v>
      </c>
      <c r="RM6" s="44">
        <f>Database!SF14</f>
        <v>0</v>
      </c>
      <c r="RN6" s="44">
        <f>Database!SG14</f>
        <v>0</v>
      </c>
      <c r="RO6" s="44">
        <f>Database!SH14</f>
        <v>0</v>
      </c>
      <c r="RP6" s="44">
        <f>Database!SI14</f>
        <v>0</v>
      </c>
      <c r="RQ6" s="44">
        <f>Database!SJ14</f>
        <v>0</v>
      </c>
      <c r="RR6" s="44">
        <f>Database!SK14</f>
        <v>0</v>
      </c>
      <c r="RS6" s="44">
        <f>Database!SL14</f>
        <v>0</v>
      </c>
      <c r="RT6" s="44">
        <f>Database!SM14</f>
        <v>0</v>
      </c>
      <c r="RU6" s="44">
        <f>Database!SN14</f>
        <v>0</v>
      </c>
      <c r="RV6" s="44">
        <f>Database!SO14</f>
        <v>0</v>
      </c>
      <c r="RW6" s="44">
        <f>Database!SP14</f>
        <v>0</v>
      </c>
      <c r="RX6" s="44">
        <f>Database!SQ14</f>
        <v>0</v>
      </c>
      <c r="RY6" s="44">
        <f>Database!SR14</f>
        <v>0</v>
      </c>
      <c r="RZ6" s="44">
        <f>Database!SS14</f>
        <v>0</v>
      </c>
      <c r="SA6" s="44">
        <f>Database!ST14</f>
        <v>0</v>
      </c>
      <c r="SB6" s="44">
        <f>Database!SU14</f>
        <v>0</v>
      </c>
      <c r="SC6" s="44">
        <f>Database!SV14</f>
        <v>0</v>
      </c>
      <c r="SD6" s="44">
        <f>Database!SW14</f>
        <v>0</v>
      </c>
      <c r="SE6" s="44">
        <f>Database!SX14</f>
        <v>0</v>
      </c>
      <c r="SF6" s="44">
        <f>Database!SY14</f>
        <v>0</v>
      </c>
      <c r="SG6" s="44">
        <f>Database!SZ14</f>
        <v>0</v>
      </c>
      <c r="SH6" s="44">
        <f>Database!TA14</f>
        <v>0</v>
      </c>
      <c r="SI6" s="44">
        <f>Database!TB14</f>
        <v>0</v>
      </c>
      <c r="SJ6" s="44">
        <f>Database!TC14</f>
        <v>0</v>
      </c>
      <c r="SK6" s="44">
        <f>Database!TD14</f>
        <v>0</v>
      </c>
      <c r="SL6" s="44">
        <f>Database!TE14</f>
        <v>0</v>
      </c>
      <c r="SM6" s="44">
        <f>Database!TF14</f>
        <v>0</v>
      </c>
      <c r="SN6" s="44">
        <f>Database!TG14</f>
        <v>0</v>
      </c>
      <c r="SO6" s="44">
        <f>Database!TH14</f>
        <v>0</v>
      </c>
      <c r="SP6" s="44">
        <f>Database!TI14</f>
        <v>0</v>
      </c>
      <c r="SQ6" s="44">
        <f>Database!TJ14</f>
        <v>0</v>
      </c>
      <c r="SR6" s="44">
        <f>Database!TK14</f>
        <v>0</v>
      </c>
      <c r="SS6" s="44">
        <f>Database!TL14</f>
        <v>0</v>
      </c>
      <c r="ST6" s="44">
        <f>Database!TM14</f>
        <v>0</v>
      </c>
      <c r="SU6" s="44">
        <f>Database!TN14</f>
        <v>0</v>
      </c>
      <c r="SV6" s="44">
        <f>Database!TO14</f>
        <v>0</v>
      </c>
      <c r="SW6" s="44">
        <f>Database!TP14</f>
        <v>0</v>
      </c>
      <c r="SX6" s="44">
        <f>Database!TQ14</f>
        <v>0</v>
      </c>
      <c r="SY6" s="44">
        <f>Database!TR14</f>
        <v>0</v>
      </c>
      <c r="SZ6" s="44">
        <f>Database!TS14</f>
        <v>0</v>
      </c>
      <c r="TA6" s="44">
        <f>Database!TT14</f>
        <v>0</v>
      </c>
      <c r="TB6" s="44">
        <f>Database!TU14</f>
        <v>0</v>
      </c>
      <c r="TC6" s="44">
        <f>Database!TV14</f>
        <v>0</v>
      </c>
      <c r="TD6" s="44">
        <f>Database!TW14</f>
        <v>0</v>
      </c>
      <c r="TE6" s="44">
        <f>Database!TX14</f>
        <v>0</v>
      </c>
      <c r="TF6" s="44">
        <f>Database!TY14</f>
        <v>0</v>
      </c>
      <c r="TG6" s="44">
        <f>Database!TZ14</f>
        <v>0</v>
      </c>
      <c r="TH6" s="44">
        <f>Database!UA14</f>
        <v>0</v>
      </c>
      <c r="TI6" s="44">
        <f>Database!UB14</f>
        <v>0</v>
      </c>
      <c r="TJ6" s="44">
        <f>Database!UC14</f>
        <v>0</v>
      </c>
      <c r="TK6" s="44">
        <f>Database!UD14</f>
        <v>0</v>
      </c>
      <c r="TL6" s="44">
        <f>Database!UE14</f>
        <v>0</v>
      </c>
      <c r="TM6" s="44">
        <f>Database!UF14</f>
        <v>0</v>
      </c>
      <c r="TN6" s="44">
        <f>Database!UG14</f>
        <v>0</v>
      </c>
      <c r="TO6" s="44">
        <f>Database!UH14</f>
        <v>0</v>
      </c>
      <c r="TP6" s="44">
        <f>Database!UI14</f>
        <v>0</v>
      </c>
      <c r="TQ6" s="44">
        <f>Database!UJ14</f>
        <v>0</v>
      </c>
      <c r="TR6" s="44">
        <f>Database!UK14</f>
        <v>0</v>
      </c>
      <c r="TS6" s="44">
        <f>Database!UL14</f>
        <v>0</v>
      </c>
      <c r="TT6" s="44">
        <f>Database!UM14</f>
        <v>0</v>
      </c>
      <c r="TU6" s="44">
        <f>Database!UN14</f>
        <v>0</v>
      </c>
      <c r="TV6" s="44">
        <f>Database!UO14</f>
        <v>0</v>
      </c>
      <c r="TW6" s="44">
        <f>Database!UP14</f>
        <v>0</v>
      </c>
      <c r="TX6" s="44">
        <f>Database!UQ14</f>
        <v>0</v>
      </c>
      <c r="TY6" s="44">
        <f>Database!UR14</f>
        <v>0</v>
      </c>
      <c r="TZ6" s="44">
        <f>Database!US14</f>
        <v>0</v>
      </c>
      <c r="UA6" s="44">
        <f>Database!UT14</f>
        <v>0</v>
      </c>
      <c r="UB6" s="44">
        <f>Database!UU14</f>
        <v>0</v>
      </c>
      <c r="UC6" s="44">
        <f>Database!UV14</f>
        <v>0</v>
      </c>
      <c r="UD6" s="44">
        <f>Database!UW14</f>
        <v>0</v>
      </c>
      <c r="UE6" s="44">
        <f>Database!UX14</f>
        <v>0</v>
      </c>
      <c r="UF6" s="44">
        <f>Database!UY14</f>
        <v>0</v>
      </c>
      <c r="UG6" s="44">
        <f>Database!UZ14</f>
        <v>0</v>
      </c>
      <c r="UH6" s="44">
        <f>Database!VA14</f>
        <v>0</v>
      </c>
      <c r="UI6" s="44">
        <f>Database!VB14</f>
        <v>0</v>
      </c>
      <c r="UJ6" s="44">
        <f>Database!VC14</f>
        <v>0</v>
      </c>
      <c r="UK6" s="44">
        <f>Database!VD14</f>
        <v>0</v>
      </c>
      <c r="UL6" s="44">
        <f>Database!VE14</f>
        <v>0</v>
      </c>
      <c r="UM6" s="44">
        <f>Database!VF14</f>
        <v>0</v>
      </c>
      <c r="UN6" s="44">
        <f>Database!VG14</f>
        <v>0</v>
      </c>
      <c r="UO6" s="44">
        <f>Database!VH14</f>
        <v>0</v>
      </c>
      <c r="UP6" s="44">
        <f>Database!VI14</f>
        <v>0</v>
      </c>
      <c r="UQ6" s="44">
        <f>Database!VJ14</f>
        <v>0</v>
      </c>
      <c r="UR6" s="44">
        <f>Database!VK14</f>
        <v>0</v>
      </c>
      <c r="US6" s="44">
        <f>Database!VL14</f>
        <v>0</v>
      </c>
      <c r="UT6" s="44">
        <f>Database!VM14</f>
        <v>0</v>
      </c>
      <c r="UU6" s="44">
        <f>Database!VN14</f>
        <v>0</v>
      </c>
      <c r="UV6" s="44">
        <f>Database!VO14</f>
        <v>0</v>
      </c>
      <c r="UW6" s="44">
        <f>Database!VP14</f>
        <v>0</v>
      </c>
      <c r="UX6" s="44">
        <f>Database!VQ14</f>
        <v>0</v>
      </c>
      <c r="UY6" s="44">
        <f>Database!VR14</f>
        <v>0</v>
      </c>
      <c r="UZ6" s="44">
        <f>Database!VS14</f>
        <v>0</v>
      </c>
      <c r="VA6" s="44">
        <f>Database!VT14</f>
        <v>0</v>
      </c>
      <c r="VB6" s="44">
        <f>Database!VU14</f>
        <v>0</v>
      </c>
      <c r="VC6" s="44">
        <f>Database!VV14</f>
        <v>0</v>
      </c>
      <c r="VD6" s="44">
        <f>Database!VW14</f>
        <v>0</v>
      </c>
      <c r="VE6" s="44">
        <f>Database!VX14</f>
        <v>0</v>
      </c>
      <c r="VF6" s="44">
        <f>Database!VY14</f>
        <v>0</v>
      </c>
      <c r="VG6" s="44">
        <f>Database!VZ14</f>
        <v>0</v>
      </c>
      <c r="VH6" s="44">
        <f>Database!WA14</f>
        <v>0</v>
      </c>
      <c r="VI6" s="44">
        <f>Database!WB14</f>
        <v>0</v>
      </c>
      <c r="VJ6" s="44">
        <f>Database!WC14</f>
        <v>0</v>
      </c>
      <c r="VK6" s="44">
        <f>Database!WD14</f>
        <v>0</v>
      </c>
      <c r="VL6" s="44">
        <f>Database!WE14</f>
        <v>0</v>
      </c>
      <c r="VM6" s="44">
        <f>Database!WF14</f>
        <v>0</v>
      </c>
      <c r="VN6" s="44">
        <f>Database!WG14</f>
        <v>0</v>
      </c>
      <c r="VO6" s="44">
        <f>Database!WH14</f>
        <v>0</v>
      </c>
      <c r="VP6" s="44">
        <f>Database!WI14</f>
        <v>0</v>
      </c>
      <c r="VQ6" s="44">
        <f>Database!WJ14</f>
        <v>0</v>
      </c>
      <c r="VR6" s="44">
        <f>Database!WK14</f>
        <v>0</v>
      </c>
      <c r="VS6" s="44">
        <f>Database!WL14</f>
        <v>0</v>
      </c>
      <c r="VT6" s="44">
        <f>Database!WM14</f>
        <v>0</v>
      </c>
      <c r="VU6" s="44">
        <f>Database!WN14</f>
        <v>0</v>
      </c>
      <c r="VV6" s="44">
        <f>Database!WO14</f>
        <v>0</v>
      </c>
      <c r="VW6" s="44">
        <f>Database!WP14</f>
        <v>0</v>
      </c>
      <c r="VX6" s="44">
        <f>Database!WQ14</f>
        <v>0</v>
      </c>
      <c r="VY6" s="44">
        <f>Database!WR14</f>
        <v>0</v>
      </c>
      <c r="VZ6" s="44">
        <f>Database!WS14</f>
        <v>0</v>
      </c>
      <c r="WA6" s="44">
        <f>Database!WT14</f>
        <v>0</v>
      </c>
      <c r="WB6" s="44">
        <f>Database!WU14</f>
        <v>0</v>
      </c>
      <c r="WC6" s="44">
        <f>Database!WV14</f>
        <v>0</v>
      </c>
      <c r="WD6" s="44">
        <f>Database!WW14</f>
        <v>0</v>
      </c>
      <c r="WE6" s="44">
        <f>Database!WX14</f>
        <v>0</v>
      </c>
      <c r="WF6" s="44">
        <f>Database!WY14</f>
        <v>0</v>
      </c>
      <c r="WG6" s="44">
        <f>Database!WZ14</f>
        <v>0</v>
      </c>
      <c r="WH6" s="44">
        <f>Database!XA14</f>
        <v>0</v>
      </c>
      <c r="WI6" s="44">
        <f>Database!XB14</f>
        <v>0</v>
      </c>
      <c r="WJ6" s="44">
        <f>Database!XC14</f>
        <v>0</v>
      </c>
      <c r="WK6" s="44">
        <f>Database!XD14</f>
        <v>0</v>
      </c>
      <c r="WL6" s="44">
        <f>Database!XE14</f>
        <v>0</v>
      </c>
      <c r="WM6" s="44">
        <f>Database!XF14</f>
        <v>0</v>
      </c>
      <c r="WN6" s="44">
        <f>Database!XG14</f>
        <v>0</v>
      </c>
      <c r="WO6" s="44">
        <f>Database!XH14</f>
        <v>0</v>
      </c>
      <c r="WP6" s="44">
        <f>Database!XI14</f>
        <v>0</v>
      </c>
      <c r="WQ6" s="44">
        <f>Database!XJ14</f>
        <v>0</v>
      </c>
      <c r="WR6" s="44">
        <f>Database!XK14</f>
        <v>0</v>
      </c>
      <c r="WS6" s="44">
        <f>Database!XL14</f>
        <v>0</v>
      </c>
      <c r="WT6" s="44">
        <f>Database!XM14</f>
        <v>0</v>
      </c>
      <c r="WU6" s="44">
        <f>Database!XN14</f>
        <v>0</v>
      </c>
      <c r="WV6" s="44">
        <f>Database!XO14</f>
        <v>0</v>
      </c>
      <c r="WW6" s="44">
        <f>Database!XP14</f>
        <v>0</v>
      </c>
      <c r="WX6" s="44">
        <f>Database!XQ14</f>
        <v>0</v>
      </c>
      <c r="WY6" s="44">
        <f>Database!XR14</f>
        <v>0</v>
      </c>
      <c r="WZ6" s="44">
        <f>Database!XS14</f>
        <v>0</v>
      </c>
      <c r="XA6" s="44">
        <f>Database!XT14</f>
        <v>0</v>
      </c>
      <c r="XB6" s="44">
        <f>Database!XU14</f>
        <v>0</v>
      </c>
      <c r="XC6" s="44">
        <f>Database!XV14</f>
        <v>0</v>
      </c>
      <c r="XD6" s="44">
        <f>Database!XW14</f>
        <v>0</v>
      </c>
      <c r="XE6" s="44">
        <f>Database!XX14</f>
        <v>0</v>
      </c>
      <c r="XF6" s="44">
        <f>Database!XY14</f>
        <v>0</v>
      </c>
      <c r="XG6" s="44">
        <f>Database!XZ14</f>
        <v>0</v>
      </c>
      <c r="XH6" s="44">
        <f>Database!YA14</f>
        <v>0</v>
      </c>
      <c r="XI6" s="44">
        <f>Database!YB14</f>
        <v>0</v>
      </c>
      <c r="XJ6" s="44">
        <f>Database!YC14</f>
        <v>0</v>
      </c>
      <c r="XK6" s="44">
        <f>Database!YD14</f>
        <v>0</v>
      </c>
      <c r="XL6" s="44">
        <f>Database!YE14</f>
        <v>0</v>
      </c>
      <c r="XM6" s="44">
        <f>Database!YF14</f>
        <v>0</v>
      </c>
      <c r="XN6" s="44">
        <f>Database!YG14</f>
        <v>0</v>
      </c>
      <c r="XO6" s="44">
        <f>Database!YH14</f>
        <v>0</v>
      </c>
      <c r="XP6" s="44">
        <f>Database!YI14</f>
        <v>0</v>
      </c>
      <c r="XQ6" s="44">
        <f>Database!YJ14</f>
        <v>0</v>
      </c>
      <c r="XR6" s="44">
        <f>Database!YK14</f>
        <v>0</v>
      </c>
      <c r="XS6" s="44">
        <f>Database!YL14</f>
        <v>0</v>
      </c>
      <c r="XT6" s="44">
        <f>Database!YM14</f>
        <v>0</v>
      </c>
      <c r="XU6" s="44">
        <f>Database!YN14</f>
        <v>0</v>
      </c>
      <c r="XV6" s="44">
        <f>Database!YO14</f>
        <v>0</v>
      </c>
      <c r="XW6" s="44">
        <f>Database!YP14</f>
        <v>0</v>
      </c>
      <c r="XX6" s="44">
        <f>Database!YQ14</f>
        <v>0</v>
      </c>
      <c r="XY6" s="44">
        <f>Database!YR14</f>
        <v>0</v>
      </c>
      <c r="XZ6" s="44">
        <f>Database!YS14</f>
        <v>0</v>
      </c>
      <c r="YA6" s="44">
        <f>Database!YT14</f>
        <v>0</v>
      </c>
      <c r="YB6" s="44">
        <f>Database!YU14</f>
        <v>0</v>
      </c>
      <c r="YC6" s="44">
        <f>Database!YV14</f>
        <v>0</v>
      </c>
      <c r="YD6" s="44">
        <f>Database!YW14</f>
        <v>0</v>
      </c>
      <c r="YE6" s="44">
        <f>Database!YX14</f>
        <v>0</v>
      </c>
      <c r="YF6" s="44">
        <f>Database!YY14</f>
        <v>0</v>
      </c>
      <c r="YG6" s="44">
        <f>Database!YZ14</f>
        <v>0</v>
      </c>
      <c r="YH6" s="44">
        <f>Database!ZA14</f>
        <v>0</v>
      </c>
      <c r="YI6" s="44">
        <f>Database!ZB14</f>
        <v>0</v>
      </c>
      <c r="YJ6" s="44">
        <f>Database!ZC14</f>
        <v>0</v>
      </c>
      <c r="YK6" s="44">
        <f>Database!ZD14</f>
        <v>0</v>
      </c>
      <c r="YL6" s="44">
        <f>Database!ZE14</f>
        <v>0</v>
      </c>
      <c r="YM6" s="44">
        <f>Database!ZF14</f>
        <v>0</v>
      </c>
      <c r="YN6" s="44">
        <f>Database!ZG14</f>
        <v>0</v>
      </c>
      <c r="YO6" s="44">
        <f>Database!ZH14</f>
        <v>0</v>
      </c>
      <c r="YP6" s="44">
        <f>Database!ZI14</f>
        <v>0</v>
      </c>
      <c r="YQ6" s="44">
        <f>Database!ZJ14</f>
        <v>0</v>
      </c>
      <c r="YR6" s="44">
        <f>Database!ZK14</f>
        <v>0</v>
      </c>
      <c r="YS6" s="44">
        <f>Database!ZL14</f>
        <v>0</v>
      </c>
      <c r="YT6" s="44">
        <f>Database!ZM14</f>
        <v>0</v>
      </c>
      <c r="YU6" s="44">
        <f>Database!ZN14</f>
        <v>0</v>
      </c>
      <c r="YV6" s="44">
        <f>Database!ZO14</f>
        <v>0</v>
      </c>
      <c r="YW6" s="44">
        <f>Database!ZP14</f>
        <v>0</v>
      </c>
      <c r="YX6" s="44">
        <f>Database!ZQ14</f>
        <v>0</v>
      </c>
      <c r="YY6" s="44">
        <f>Database!ZR14</f>
        <v>0</v>
      </c>
      <c r="YZ6" s="44">
        <f>Database!ZS14</f>
        <v>0</v>
      </c>
      <c r="ZA6" s="44">
        <f>Database!ZT14</f>
        <v>0</v>
      </c>
      <c r="ZB6" s="44">
        <f>Database!ZU14</f>
        <v>0</v>
      </c>
      <c r="ZC6" s="44">
        <f>Database!ZV14</f>
        <v>0</v>
      </c>
      <c r="ZD6" s="44">
        <f>Database!ZW14</f>
        <v>0</v>
      </c>
      <c r="ZE6" s="44">
        <f>Database!ZX14</f>
        <v>0</v>
      </c>
      <c r="ZF6" s="44">
        <f>Database!ZY14</f>
        <v>0</v>
      </c>
      <c r="ZG6" s="44">
        <f>Database!ZZ14</f>
        <v>0</v>
      </c>
      <c r="ZH6" s="44">
        <f>Database!AAA14</f>
        <v>0</v>
      </c>
      <c r="ZI6" s="44">
        <f>Database!AAB14</f>
        <v>0</v>
      </c>
      <c r="ZJ6" s="44">
        <f>Database!AAC14</f>
        <v>0</v>
      </c>
      <c r="ZK6" s="44">
        <f>Database!AAD14</f>
        <v>0</v>
      </c>
      <c r="ZL6" s="44">
        <f>Database!AAE14</f>
        <v>0</v>
      </c>
      <c r="ZM6" s="44">
        <f>Database!AAF14</f>
        <v>0</v>
      </c>
      <c r="ZN6" s="44">
        <f>Database!AAG14</f>
        <v>0</v>
      </c>
      <c r="ZO6" s="44">
        <f>Database!AAH14</f>
        <v>0</v>
      </c>
      <c r="ZP6" s="44">
        <f>Database!AAI14</f>
        <v>0</v>
      </c>
      <c r="ZQ6" s="44">
        <f>Database!AAJ14</f>
        <v>0</v>
      </c>
      <c r="ZR6" s="44">
        <f>Database!AAK14</f>
        <v>0</v>
      </c>
      <c r="ZS6" s="44">
        <f>Database!AAL14</f>
        <v>0</v>
      </c>
      <c r="ZT6" s="44">
        <f>Database!AAM14</f>
        <v>0</v>
      </c>
      <c r="ZU6" s="44">
        <f>Database!AAN14</f>
        <v>0</v>
      </c>
      <c r="ZV6" s="44">
        <f>Database!AAO14</f>
        <v>0</v>
      </c>
      <c r="ZW6" s="44">
        <f>Database!AAP14</f>
        <v>0</v>
      </c>
      <c r="ZX6" s="44">
        <f>Database!AAQ14</f>
        <v>0</v>
      </c>
      <c r="ZY6" s="44">
        <f>Database!AAR14</f>
        <v>0</v>
      </c>
      <c r="ZZ6" s="44">
        <f>Database!AAS14</f>
        <v>0</v>
      </c>
      <c r="AAA6" s="44">
        <f>Database!AAT14</f>
        <v>0</v>
      </c>
      <c r="AAB6" s="44">
        <f>Database!AAU14</f>
        <v>0</v>
      </c>
      <c r="AAC6" s="44">
        <f>Database!AAV14</f>
        <v>0</v>
      </c>
      <c r="AAD6" s="44">
        <f>Database!AAW14</f>
        <v>0</v>
      </c>
      <c r="AAE6" s="44">
        <f>Database!AAX14</f>
        <v>0</v>
      </c>
      <c r="AAF6" s="44">
        <f>Database!AAY14</f>
        <v>0</v>
      </c>
      <c r="AAG6" s="44">
        <f>Database!AAZ14</f>
        <v>0</v>
      </c>
      <c r="AAH6" s="44">
        <f>Database!ABA14</f>
        <v>0</v>
      </c>
      <c r="AAI6" s="44">
        <f>Database!ABB14</f>
        <v>0</v>
      </c>
      <c r="AAJ6" s="44">
        <f>Database!ABC14</f>
        <v>0</v>
      </c>
      <c r="AAK6" s="44">
        <f>Database!ABD14</f>
        <v>0</v>
      </c>
      <c r="AAL6" s="44">
        <f>Database!ABE14</f>
        <v>0</v>
      </c>
      <c r="AAM6" s="44">
        <f>Database!ABF14</f>
        <v>0</v>
      </c>
      <c r="AAN6" s="44">
        <f>Database!ABG14</f>
        <v>0</v>
      </c>
      <c r="AAO6" s="44">
        <f>Database!ABH14</f>
        <v>0</v>
      </c>
      <c r="AAP6" s="44">
        <f>Database!ABI14</f>
        <v>0</v>
      </c>
      <c r="AAQ6" s="44">
        <f>Database!ABJ14</f>
        <v>0</v>
      </c>
      <c r="AAR6" s="44">
        <f>Database!ABK14</f>
        <v>0</v>
      </c>
      <c r="AAS6" s="44">
        <f>Database!ABL14</f>
        <v>0</v>
      </c>
      <c r="AAT6" s="44">
        <f>Database!ABM14</f>
        <v>0</v>
      </c>
      <c r="AAU6" s="44">
        <f>Database!ABN14</f>
        <v>0</v>
      </c>
      <c r="AAV6" s="44">
        <f>Database!ABO14</f>
        <v>0</v>
      </c>
      <c r="AAW6" s="44">
        <f>Database!ABP14</f>
        <v>0</v>
      </c>
      <c r="AAX6" s="44">
        <f>Database!ABQ14</f>
        <v>0</v>
      </c>
      <c r="AAY6" s="44">
        <f>Database!ABR14</f>
        <v>0</v>
      </c>
      <c r="AAZ6" s="44">
        <f>Database!ABS14</f>
        <v>0</v>
      </c>
      <c r="ABA6" s="44">
        <f>Database!ABT14</f>
        <v>0</v>
      </c>
      <c r="ABB6" s="44">
        <f>Database!ABU14</f>
        <v>0</v>
      </c>
      <c r="ABC6" s="44">
        <f>Database!ABV14</f>
        <v>0</v>
      </c>
      <c r="ABD6" s="44">
        <f>Database!ABW14</f>
        <v>0</v>
      </c>
      <c r="ABE6" s="44">
        <f>Database!ABX14</f>
        <v>0</v>
      </c>
      <c r="ABF6" s="44">
        <f>Database!ABY14</f>
        <v>0</v>
      </c>
      <c r="ABG6" s="44">
        <f>Database!ABZ14</f>
        <v>0</v>
      </c>
      <c r="ABH6" s="44">
        <f>Database!ACA14</f>
        <v>0</v>
      </c>
      <c r="ABI6" s="44">
        <f>Database!ACB14</f>
        <v>0</v>
      </c>
      <c r="ABJ6" s="44">
        <f>Database!ACC14</f>
        <v>0</v>
      </c>
      <c r="ABK6" s="44">
        <f>Database!ACD14</f>
        <v>0</v>
      </c>
      <c r="ABL6" s="44">
        <f>Database!ACE14</f>
        <v>0</v>
      </c>
      <c r="ABM6" s="44">
        <f>Database!ACF14</f>
        <v>0</v>
      </c>
      <c r="ABN6" s="44">
        <f>Database!ACG14</f>
        <v>0</v>
      </c>
      <c r="ABO6" s="44">
        <f>Database!ACH14</f>
        <v>0</v>
      </c>
      <c r="ABP6" s="44">
        <f>Database!ACI14</f>
        <v>0</v>
      </c>
      <c r="ABQ6" s="44">
        <f>Database!ACJ14</f>
        <v>0</v>
      </c>
      <c r="ABR6" s="44">
        <f>Database!ACK14</f>
        <v>0</v>
      </c>
      <c r="ABS6" s="44">
        <f>Database!ACL14</f>
        <v>0</v>
      </c>
      <c r="ABT6" s="44">
        <f>Database!ACM14</f>
        <v>0</v>
      </c>
      <c r="ABU6" s="44">
        <f>Database!ACN14</f>
        <v>0</v>
      </c>
      <c r="ABV6" s="44">
        <f>Database!ACO14</f>
        <v>0</v>
      </c>
      <c r="ABW6" s="44">
        <f>Database!ACP14</f>
        <v>0</v>
      </c>
      <c r="ABX6" s="44">
        <f>Database!ACQ14</f>
        <v>0</v>
      </c>
      <c r="ABY6" s="44">
        <f>Database!ACR14</f>
        <v>0</v>
      </c>
      <c r="ABZ6" s="44">
        <f>Database!ACS14</f>
        <v>0</v>
      </c>
      <c r="ACA6" s="44">
        <f>Database!ACT14</f>
        <v>0</v>
      </c>
      <c r="ACB6" s="44">
        <f>Database!ACU14</f>
        <v>0</v>
      </c>
      <c r="ACC6" s="44">
        <f>Database!ACV14</f>
        <v>0</v>
      </c>
      <c r="ACD6" s="44">
        <f>Database!ACW14</f>
        <v>0</v>
      </c>
      <c r="ACE6" s="44">
        <f>Database!ACX14</f>
        <v>0</v>
      </c>
      <c r="ACF6" s="44">
        <f>Database!ACY14</f>
        <v>0</v>
      </c>
      <c r="ACG6" s="44">
        <f>Database!ACZ14</f>
        <v>0</v>
      </c>
      <c r="ACH6" s="44">
        <f>Database!ADA14</f>
        <v>0</v>
      </c>
      <c r="ACI6" s="44">
        <f>Database!ADB14</f>
        <v>0</v>
      </c>
      <c r="ACJ6" s="44">
        <f>Database!ADC14</f>
        <v>0</v>
      </c>
      <c r="ACK6" s="44">
        <f>Database!ADD14</f>
        <v>0</v>
      </c>
      <c r="ACL6" s="44">
        <f>Database!ADE14</f>
        <v>0</v>
      </c>
      <c r="ACM6" s="44">
        <f>Database!ADF14</f>
        <v>0</v>
      </c>
      <c r="ACN6" s="44">
        <f>Database!ADG14</f>
        <v>0</v>
      </c>
      <c r="ACO6" s="44">
        <f>Database!ADH14</f>
        <v>0</v>
      </c>
      <c r="ACP6" s="44">
        <f>Database!ADI14</f>
        <v>0</v>
      </c>
      <c r="ACQ6" s="44">
        <f>Database!ADJ14</f>
        <v>0</v>
      </c>
      <c r="ACR6" s="44">
        <f>Database!ADK14</f>
        <v>0</v>
      </c>
      <c r="ACS6" s="44">
        <f>Database!ADL14</f>
        <v>0</v>
      </c>
      <c r="ACT6" s="44">
        <f>Database!ADM14</f>
        <v>0</v>
      </c>
      <c r="ACU6" s="44">
        <f>Database!ADN14</f>
        <v>0</v>
      </c>
      <c r="ACV6" s="44">
        <f>Database!ADO14</f>
        <v>0</v>
      </c>
      <c r="ACW6" s="44">
        <f>Database!ADP14</f>
        <v>0</v>
      </c>
      <c r="ACX6" s="44">
        <f>Database!ADQ14</f>
        <v>0</v>
      </c>
      <c r="ACY6" s="44">
        <f>Database!ADR14</f>
        <v>0</v>
      </c>
      <c r="ACZ6" s="44">
        <f>Database!ADS14</f>
        <v>0</v>
      </c>
      <c r="ADA6" s="44">
        <f>Database!ADT14</f>
        <v>0</v>
      </c>
      <c r="ADB6" s="44">
        <f>Database!ADU14</f>
        <v>0</v>
      </c>
      <c r="ADC6" s="44">
        <f>Database!ADV14</f>
        <v>0</v>
      </c>
      <c r="ADD6" s="44">
        <f>Database!ADW14</f>
        <v>0</v>
      </c>
      <c r="ADE6" s="44">
        <f>Database!ADX14</f>
        <v>0</v>
      </c>
      <c r="ADF6" s="44">
        <f>Database!ADY14</f>
        <v>0</v>
      </c>
      <c r="ADG6" s="44">
        <f>Database!ADZ14</f>
        <v>0</v>
      </c>
      <c r="ADH6" s="44">
        <f>Database!AEA14</f>
        <v>0</v>
      </c>
      <c r="ADI6" s="44">
        <f>Database!AEB14</f>
        <v>0</v>
      </c>
      <c r="ADJ6" s="44">
        <f>Database!AEC14</f>
        <v>0</v>
      </c>
      <c r="ADK6" s="44">
        <f>Database!AED14</f>
        <v>0</v>
      </c>
      <c r="ADL6" s="44">
        <f>Database!AEE14</f>
        <v>0</v>
      </c>
      <c r="ADM6" s="44">
        <f>Database!AEF14</f>
        <v>0</v>
      </c>
      <c r="ADN6" s="44">
        <f>Database!AEG14</f>
        <v>0</v>
      </c>
      <c r="ADO6" s="44">
        <f>Database!AEH14</f>
        <v>0</v>
      </c>
      <c r="ADP6" s="44">
        <f>Database!AEI14</f>
        <v>0</v>
      </c>
      <c r="ADQ6" s="44">
        <f>Database!AEJ14</f>
        <v>0</v>
      </c>
      <c r="ADR6" s="44">
        <f>Database!AEK14</f>
        <v>0</v>
      </c>
      <c r="ADS6" s="44">
        <f>Database!AEL14</f>
        <v>0</v>
      </c>
      <c r="ADT6" s="44">
        <f>Database!AEM14</f>
        <v>0</v>
      </c>
      <c r="ADU6" s="44">
        <f>Database!AEN14</f>
        <v>0</v>
      </c>
      <c r="ADV6" s="44">
        <f>Database!AEO14</f>
        <v>0</v>
      </c>
      <c r="ADW6" s="44">
        <f>Database!AEP14</f>
        <v>0</v>
      </c>
      <c r="ADX6" s="44">
        <f>Database!AEQ14</f>
        <v>0</v>
      </c>
      <c r="ADY6" s="44">
        <f>Database!AER14</f>
        <v>0</v>
      </c>
      <c r="ADZ6" s="44">
        <f>Database!AES14</f>
        <v>0</v>
      </c>
      <c r="AEA6" s="44">
        <f>Database!AET14</f>
        <v>0</v>
      </c>
      <c r="AEB6" s="44">
        <f>Database!AEU14</f>
        <v>0</v>
      </c>
      <c r="AEC6" s="44">
        <f>Database!AEV14</f>
        <v>0</v>
      </c>
      <c r="AED6" s="44">
        <f>Database!AEW14</f>
        <v>0</v>
      </c>
      <c r="AEE6" s="44">
        <f>Database!AEX14</f>
        <v>0</v>
      </c>
      <c r="AEF6" s="44">
        <f>Database!AEY14</f>
        <v>0</v>
      </c>
      <c r="AEG6" s="44">
        <f>Database!AEZ14</f>
        <v>0</v>
      </c>
      <c r="AEH6" s="44">
        <f>Database!AFA14</f>
        <v>0</v>
      </c>
      <c r="AEI6" s="44">
        <f>Database!AFB14</f>
        <v>0</v>
      </c>
      <c r="AEJ6" s="44">
        <f>Database!AFC14</f>
        <v>0</v>
      </c>
      <c r="AEK6" s="44">
        <f>Database!AFD14</f>
        <v>0</v>
      </c>
      <c r="AEL6" s="44">
        <f>Database!AFE14</f>
        <v>0</v>
      </c>
      <c r="AEM6" s="44">
        <f>Database!AFF14</f>
        <v>0</v>
      </c>
      <c r="AEN6" s="44">
        <f>Database!AFG14</f>
        <v>0</v>
      </c>
      <c r="AEO6" s="44">
        <f>Database!AFH14</f>
        <v>0</v>
      </c>
      <c r="AEP6" s="44">
        <f>Database!AFI14</f>
        <v>0</v>
      </c>
      <c r="AEQ6" s="44">
        <f>Database!AFJ14</f>
        <v>0</v>
      </c>
      <c r="AER6" s="44">
        <f>Database!AFK14</f>
        <v>0</v>
      </c>
      <c r="AES6" s="44">
        <f>Database!AFL14</f>
        <v>0</v>
      </c>
      <c r="AET6" s="44">
        <f>Database!AFM14</f>
        <v>0</v>
      </c>
      <c r="AEU6" s="44">
        <f>Database!AFN14</f>
        <v>0</v>
      </c>
      <c r="AEV6" s="44">
        <f>Database!AFO14</f>
        <v>0</v>
      </c>
      <c r="AEW6" s="44">
        <f>Database!AFP14</f>
        <v>0</v>
      </c>
      <c r="AEX6" s="44">
        <f>Database!AFQ14</f>
        <v>0</v>
      </c>
      <c r="AEY6" s="44">
        <f>Database!AFR14</f>
        <v>0</v>
      </c>
      <c r="AEZ6" s="44">
        <f>Database!AFS14</f>
        <v>0</v>
      </c>
      <c r="AFA6" s="44">
        <f>Database!AFT14</f>
        <v>0</v>
      </c>
      <c r="AFB6" s="44">
        <f>Database!AFU14</f>
        <v>0</v>
      </c>
      <c r="AFC6" s="44">
        <f>Database!AFV14</f>
        <v>0</v>
      </c>
      <c r="AFD6" s="44">
        <f>Database!AFW14</f>
        <v>0</v>
      </c>
      <c r="AFE6" s="44">
        <f>Database!AFX14</f>
        <v>0</v>
      </c>
      <c r="AFF6" s="44">
        <f>Database!AFY14</f>
        <v>0</v>
      </c>
      <c r="AFG6" s="44">
        <f>Database!AFZ14</f>
        <v>0</v>
      </c>
      <c r="AFH6" s="44">
        <f>Database!AGA14</f>
        <v>0</v>
      </c>
      <c r="AFI6" s="44">
        <f>Database!AGB14</f>
        <v>0</v>
      </c>
      <c r="AFJ6" s="44">
        <f>Database!AGC14</f>
        <v>0</v>
      </c>
      <c r="AFK6" s="44">
        <f>Database!AGD14</f>
        <v>0</v>
      </c>
      <c r="AFL6" s="44">
        <f>Database!AGE14</f>
        <v>0</v>
      </c>
      <c r="AFM6" s="44">
        <f>Database!AGF14</f>
        <v>0</v>
      </c>
      <c r="AFN6" s="44">
        <f>Database!AGG14</f>
        <v>0</v>
      </c>
      <c r="AFO6" s="44">
        <f>Database!AGH14</f>
        <v>0</v>
      </c>
      <c r="AFP6" s="44">
        <f>Database!AGI14</f>
        <v>0</v>
      </c>
      <c r="AFQ6" s="44">
        <f>Database!AGJ14</f>
        <v>0</v>
      </c>
      <c r="AFR6" s="44">
        <f>Database!AGK14</f>
        <v>0</v>
      </c>
      <c r="AFS6" s="44">
        <f>Database!AGL14</f>
        <v>0</v>
      </c>
      <c r="AFT6" s="44">
        <f>Database!AGM14</f>
        <v>0</v>
      </c>
      <c r="AFU6" s="44">
        <f>Database!AGN14</f>
        <v>0</v>
      </c>
      <c r="AFV6" s="44">
        <f>Database!AGO14</f>
        <v>0</v>
      </c>
      <c r="AFW6" s="44">
        <f>Database!AGP14</f>
        <v>0</v>
      </c>
      <c r="AFX6" s="44">
        <f>Database!AGQ14</f>
        <v>0</v>
      </c>
      <c r="AFY6" s="44">
        <f>Database!AGR14</f>
        <v>0</v>
      </c>
      <c r="AFZ6" s="44">
        <f>Database!AGS14</f>
        <v>0</v>
      </c>
      <c r="AGA6" s="44">
        <f>Database!AGT14</f>
        <v>0</v>
      </c>
      <c r="AGB6" s="44">
        <f>Database!AGU14</f>
        <v>0</v>
      </c>
      <c r="AGC6" s="44">
        <f>Database!AGV14</f>
        <v>0</v>
      </c>
      <c r="AGD6" s="44">
        <f>Database!AGW14</f>
        <v>0</v>
      </c>
      <c r="AGE6" s="44">
        <f>Database!AGX14</f>
        <v>0</v>
      </c>
      <c r="AGF6" s="44">
        <f>Database!AGY14</f>
        <v>0</v>
      </c>
      <c r="AGG6" s="44">
        <f>Database!AGZ14</f>
        <v>0</v>
      </c>
      <c r="AGH6" s="44">
        <f>Database!AHA14</f>
        <v>0</v>
      </c>
      <c r="AGI6" s="44">
        <f>Database!AHB14</f>
        <v>0</v>
      </c>
      <c r="AGJ6" s="44">
        <f>Database!AHC14</f>
        <v>0</v>
      </c>
      <c r="AGK6" s="44">
        <f>Database!AHD14</f>
        <v>0</v>
      </c>
      <c r="AGL6" s="44">
        <f>Database!AHE14</f>
        <v>0</v>
      </c>
      <c r="AGM6" s="44">
        <f>Database!AHF14</f>
        <v>0</v>
      </c>
      <c r="AGN6" s="44">
        <f>Database!AHG14</f>
        <v>0</v>
      </c>
      <c r="AGO6" s="44">
        <f>Database!AHH14</f>
        <v>0</v>
      </c>
      <c r="AGP6" s="44">
        <f>Database!AHI14</f>
        <v>0</v>
      </c>
      <c r="AGQ6" s="44">
        <f>Database!AHJ14</f>
        <v>0</v>
      </c>
      <c r="AGR6" s="44">
        <f>Database!AHK14</f>
        <v>0</v>
      </c>
      <c r="AGS6" s="44">
        <f>Database!AHL14</f>
        <v>0</v>
      </c>
      <c r="AGT6" s="44">
        <f>Database!AHM14</f>
        <v>0</v>
      </c>
      <c r="AGU6" s="44">
        <f>Database!AHN14</f>
        <v>0</v>
      </c>
      <c r="AGV6" s="44">
        <f>Database!AHO14</f>
        <v>0</v>
      </c>
      <c r="AGW6" s="44">
        <f>Database!AHP14</f>
        <v>0</v>
      </c>
      <c r="AGX6" s="44">
        <f>Database!AHQ14</f>
        <v>0</v>
      </c>
      <c r="AGY6" s="44">
        <f>Database!AHR14</f>
        <v>0</v>
      </c>
      <c r="AGZ6" s="44">
        <f>Database!AHS14</f>
        <v>0</v>
      </c>
      <c r="AHA6" s="44">
        <f>Database!AHT14</f>
        <v>0</v>
      </c>
      <c r="AHB6" s="44">
        <f>Database!AHU14</f>
        <v>0</v>
      </c>
      <c r="AHC6" s="44">
        <f>Database!AHV14</f>
        <v>0</v>
      </c>
      <c r="AHD6" s="44">
        <f>Database!AHW14</f>
        <v>0</v>
      </c>
      <c r="AHE6" s="44">
        <f>Database!AHX14</f>
        <v>0</v>
      </c>
      <c r="AHF6" s="44">
        <f>Database!AHY14</f>
        <v>0</v>
      </c>
      <c r="AHG6" s="44">
        <f>Database!AHZ14</f>
        <v>0</v>
      </c>
      <c r="AHH6" s="44">
        <f>Database!AIA14</f>
        <v>0</v>
      </c>
      <c r="AHI6" s="44">
        <f>Database!AIB14</f>
        <v>0</v>
      </c>
      <c r="AHJ6" s="44">
        <f>Database!AIC14</f>
        <v>0</v>
      </c>
      <c r="AHK6" s="44">
        <f>Database!AID14</f>
        <v>0</v>
      </c>
      <c r="AHL6" s="44">
        <f>Database!AIE14</f>
        <v>0</v>
      </c>
      <c r="AHM6" s="44">
        <f>Database!AIF14</f>
        <v>0</v>
      </c>
      <c r="AHN6" s="44">
        <f>Database!AIG14</f>
        <v>0</v>
      </c>
      <c r="AHO6" s="44">
        <f>Database!AIH14</f>
        <v>0</v>
      </c>
      <c r="AHP6" s="44">
        <f>Database!AII14</f>
        <v>0</v>
      </c>
      <c r="AHQ6" s="44">
        <f>Database!AIJ14</f>
        <v>0</v>
      </c>
      <c r="AHR6" s="44">
        <f>Database!AIK14</f>
        <v>0</v>
      </c>
      <c r="AHS6" s="44">
        <f>Database!AIL14</f>
        <v>0</v>
      </c>
      <c r="AHT6" s="44">
        <f>Database!AIM14</f>
        <v>0</v>
      </c>
      <c r="AHU6" s="44">
        <f>Database!AIN14</f>
        <v>0</v>
      </c>
      <c r="AHV6" s="44">
        <f>Database!AIO14</f>
        <v>0</v>
      </c>
      <c r="AHW6" s="44">
        <f>Database!AIP14</f>
        <v>0</v>
      </c>
      <c r="AHX6" s="44">
        <f>Database!AIQ14</f>
        <v>0</v>
      </c>
      <c r="AHY6" s="44">
        <f>Database!AIR14</f>
        <v>0</v>
      </c>
      <c r="AHZ6" s="44">
        <f>Database!AIS14</f>
        <v>0</v>
      </c>
      <c r="AIA6" s="44">
        <f>Database!AIT14</f>
        <v>0</v>
      </c>
      <c r="AIB6" s="44">
        <f>Database!AIU14</f>
        <v>0</v>
      </c>
      <c r="AIC6" s="44">
        <f>Database!AIV14</f>
        <v>0</v>
      </c>
      <c r="AID6" s="44">
        <f>Database!AIW14</f>
        <v>0</v>
      </c>
      <c r="AIE6" s="44">
        <f>Database!AIX14</f>
        <v>0</v>
      </c>
      <c r="AIF6" s="44">
        <f>Database!AIY14</f>
        <v>0</v>
      </c>
      <c r="AIG6" s="44">
        <f>Database!AIZ14</f>
        <v>0</v>
      </c>
      <c r="AIH6" s="44">
        <f>Database!AJA14</f>
        <v>0</v>
      </c>
      <c r="AII6" s="44">
        <f>Database!AJB14</f>
        <v>0</v>
      </c>
      <c r="AIJ6" s="44">
        <f>Database!AJC14</f>
        <v>0</v>
      </c>
      <c r="AIK6" s="44">
        <f>Database!AJD14</f>
        <v>0</v>
      </c>
      <c r="AIL6" s="44">
        <f>Database!AJE14</f>
        <v>0</v>
      </c>
      <c r="AIM6" s="44">
        <f>Database!AJF14</f>
        <v>0</v>
      </c>
      <c r="AIN6" s="44">
        <f>Database!AJG14</f>
        <v>0</v>
      </c>
      <c r="AIO6" s="44">
        <f>Database!AJH14</f>
        <v>0</v>
      </c>
      <c r="AIP6" s="44">
        <f>Database!AJI14</f>
        <v>0</v>
      </c>
      <c r="AIQ6" s="44">
        <f>Database!AJJ14</f>
        <v>0</v>
      </c>
      <c r="AIR6" s="44">
        <f>Database!AJK14</f>
        <v>0</v>
      </c>
      <c r="AIS6" s="44">
        <f>Database!AJL14</f>
        <v>0</v>
      </c>
      <c r="AIT6" s="44">
        <f>Database!AJM14</f>
        <v>0</v>
      </c>
      <c r="AIU6" s="44">
        <f>Database!AJN14</f>
        <v>0</v>
      </c>
      <c r="AIV6" s="44">
        <f>Database!AJO14</f>
        <v>0</v>
      </c>
      <c r="AIW6" s="44">
        <f>Database!AJP14</f>
        <v>0</v>
      </c>
      <c r="AIX6" s="44">
        <f>Database!AJQ14</f>
        <v>0</v>
      </c>
      <c r="AIY6" s="44">
        <f>Database!AJR14</f>
        <v>0</v>
      </c>
      <c r="AIZ6" s="44">
        <f>Database!AJS14</f>
        <v>0</v>
      </c>
      <c r="AJA6" s="44">
        <f>Database!AJT14</f>
        <v>0</v>
      </c>
      <c r="AJB6" s="44">
        <f>Database!AJU14</f>
        <v>0</v>
      </c>
      <c r="AJC6" s="44">
        <f>Database!AJV14</f>
        <v>0</v>
      </c>
      <c r="AJD6" s="44">
        <f>Database!AJW14</f>
        <v>0</v>
      </c>
      <c r="AJE6" s="44">
        <f>Database!AJX14</f>
        <v>0</v>
      </c>
      <c r="AJF6" s="44">
        <f>Database!AJY14</f>
        <v>0</v>
      </c>
      <c r="AJG6" s="44">
        <f>Database!AJZ14</f>
        <v>0</v>
      </c>
      <c r="AJH6" s="44">
        <f>Database!AKA14</f>
        <v>0</v>
      </c>
      <c r="AJI6" s="44">
        <f>Database!AKB14</f>
        <v>0</v>
      </c>
      <c r="AJJ6" s="44">
        <f>Database!AKC14</f>
        <v>0</v>
      </c>
      <c r="AJK6" s="44">
        <f>Database!AKD14</f>
        <v>0</v>
      </c>
      <c r="AJL6" s="44">
        <f>Database!AKE14</f>
        <v>0</v>
      </c>
      <c r="AJM6" s="44">
        <f>Database!AKF14</f>
        <v>0</v>
      </c>
      <c r="AJN6" s="44">
        <f>Database!AKG14</f>
        <v>0</v>
      </c>
      <c r="AJO6" s="44">
        <f>Database!AKH14</f>
        <v>0</v>
      </c>
      <c r="AJP6" s="44">
        <f>Database!AKI14</f>
        <v>0</v>
      </c>
      <c r="AJQ6" s="44">
        <f>Database!AKJ14</f>
        <v>0</v>
      </c>
      <c r="AJR6" s="44">
        <f>Database!AKK14</f>
        <v>0</v>
      </c>
      <c r="AJS6" s="44">
        <f>Database!AKL14</f>
        <v>0</v>
      </c>
      <c r="AJT6" s="44">
        <f>Database!AKM14</f>
        <v>0</v>
      </c>
      <c r="AJU6" s="44">
        <f>Database!AKN14</f>
        <v>0</v>
      </c>
      <c r="AJV6" s="44">
        <f>Database!AKO14</f>
        <v>0</v>
      </c>
      <c r="AJW6" s="44">
        <f>Database!AKP14</f>
        <v>0</v>
      </c>
      <c r="AJX6" s="44">
        <f>Database!AKQ14</f>
        <v>0</v>
      </c>
      <c r="AJY6" s="44">
        <f>Database!AKR14</f>
        <v>0</v>
      </c>
      <c r="AJZ6" s="44">
        <f>Database!AKS14</f>
        <v>0</v>
      </c>
      <c r="AKA6" s="44">
        <f>Database!AKT14</f>
        <v>0</v>
      </c>
      <c r="AKB6" s="44">
        <f>Database!AKU14</f>
        <v>0</v>
      </c>
      <c r="AKC6" s="44">
        <f>Database!AKV14</f>
        <v>0</v>
      </c>
      <c r="AKD6" s="44">
        <f>Database!AKW14</f>
        <v>0</v>
      </c>
      <c r="AKE6" s="44">
        <f>Database!AKX14</f>
        <v>0</v>
      </c>
      <c r="AKF6" s="44">
        <f>Database!AKY14</f>
        <v>0</v>
      </c>
      <c r="AKG6" s="44">
        <f>Database!AKZ14</f>
        <v>0</v>
      </c>
      <c r="AKH6" s="44">
        <f>Database!ALA14</f>
        <v>0</v>
      </c>
      <c r="AKI6" s="44">
        <f>Database!ALB14</f>
        <v>0</v>
      </c>
      <c r="AKJ6" s="44">
        <f>Database!ALC14</f>
        <v>0</v>
      </c>
      <c r="AKK6" s="44">
        <f>Database!ALD14</f>
        <v>0</v>
      </c>
      <c r="AKL6" s="44">
        <f>Database!ALE14</f>
        <v>0</v>
      </c>
      <c r="AKM6" s="44">
        <f>Database!ALF14</f>
        <v>0</v>
      </c>
      <c r="AKN6" s="44">
        <f>Database!ALG14</f>
        <v>0</v>
      </c>
      <c r="AKO6" s="44">
        <f>Database!ALH14</f>
        <v>0</v>
      </c>
      <c r="AKP6" s="44">
        <f>Database!ALI14</f>
        <v>0</v>
      </c>
      <c r="AKQ6" s="44">
        <f>Database!ALJ14</f>
        <v>0</v>
      </c>
      <c r="AKR6" s="44">
        <f>Database!ALK14</f>
        <v>0</v>
      </c>
      <c r="AKS6" s="44">
        <f>Database!ALL14</f>
        <v>0</v>
      </c>
      <c r="AKT6" s="44">
        <f>Database!ALM14</f>
        <v>0</v>
      </c>
      <c r="AKU6" s="44">
        <f>Database!ALN14</f>
        <v>0</v>
      </c>
      <c r="AKV6" s="44">
        <f>Database!ALO14</f>
        <v>0</v>
      </c>
      <c r="AKW6" s="44">
        <f>Database!ALP14</f>
        <v>0</v>
      </c>
      <c r="AKX6" s="44">
        <f>Database!ALQ14</f>
        <v>0</v>
      </c>
      <c r="AKY6" s="44">
        <f>Database!ALR14</f>
        <v>0</v>
      </c>
      <c r="AKZ6" s="44">
        <f>Database!ALS14</f>
        <v>0</v>
      </c>
      <c r="ALA6" s="44">
        <f>Database!ALT14</f>
        <v>0</v>
      </c>
      <c r="ALB6" s="44">
        <f>Database!ALU14</f>
        <v>0</v>
      </c>
      <c r="ALC6" s="44">
        <f>Database!ALV14</f>
        <v>0</v>
      </c>
      <c r="ALD6" s="44">
        <f>Database!ALW14</f>
        <v>0</v>
      </c>
      <c r="ALE6" s="44">
        <f>Database!ALX14</f>
        <v>0</v>
      </c>
      <c r="ALF6" s="44">
        <f>Database!ALY14</f>
        <v>0</v>
      </c>
      <c r="ALG6" s="44">
        <f>Database!ALZ14</f>
        <v>0</v>
      </c>
      <c r="ALH6" s="44">
        <f>Database!AMA14</f>
        <v>0</v>
      </c>
      <c r="ALI6" s="44">
        <f>Database!AMB14</f>
        <v>0</v>
      </c>
      <c r="ALJ6" s="44">
        <f>Database!AMC14</f>
        <v>0</v>
      </c>
      <c r="ALK6" s="44">
        <f>Database!AMD14</f>
        <v>0</v>
      </c>
      <c r="ALL6" s="44">
        <f>Database!AME14</f>
        <v>0</v>
      </c>
      <c r="ALM6" s="44">
        <f>Database!AMF14</f>
        <v>0</v>
      </c>
      <c r="ALN6" s="44">
        <f>Database!AMG14</f>
        <v>0</v>
      </c>
      <c r="ALO6" s="44">
        <f>Database!AMH14</f>
        <v>0</v>
      </c>
      <c r="ALP6" s="44">
        <f>Database!AMI14</f>
        <v>0</v>
      </c>
      <c r="ALQ6" s="44">
        <f>Database!AMJ14</f>
        <v>0</v>
      </c>
      <c r="ALR6" s="44">
        <f>Database!AMK14</f>
        <v>0</v>
      </c>
      <c r="ALS6" s="44">
        <f>Database!AML14</f>
        <v>0</v>
      </c>
      <c r="ALT6" s="44">
        <f>Database!AMM14</f>
        <v>0</v>
      </c>
      <c r="ALU6" s="44">
        <f>Database!AMN14</f>
        <v>0</v>
      </c>
      <c r="ALV6" s="44">
        <f>Database!AMO14</f>
        <v>0</v>
      </c>
      <c r="ALW6" s="44">
        <f>Database!AMP14</f>
        <v>0</v>
      </c>
      <c r="ALX6" s="44">
        <f>Database!AMQ14</f>
        <v>0</v>
      </c>
      <c r="ALY6" s="44">
        <f>Database!AMR14</f>
        <v>0</v>
      </c>
      <c r="ALZ6" s="44">
        <f>Database!AMS14</f>
        <v>0</v>
      </c>
      <c r="AMA6" s="44">
        <f>Database!AMT14</f>
        <v>0</v>
      </c>
      <c r="AMB6" s="44">
        <f>Database!AMU14</f>
        <v>0</v>
      </c>
      <c r="AMC6" s="44">
        <f>Database!AMV14</f>
        <v>0</v>
      </c>
      <c r="AMD6" s="44">
        <f>Database!AMW14</f>
        <v>0</v>
      </c>
      <c r="AME6" s="44">
        <f>Database!AMX14</f>
        <v>0</v>
      </c>
      <c r="AMF6" s="44">
        <f>Database!AMY14</f>
        <v>0</v>
      </c>
      <c r="AMG6" s="44">
        <f>Database!AMZ14</f>
        <v>0</v>
      </c>
      <c r="AMH6" s="44">
        <f>Database!ANA14</f>
        <v>0</v>
      </c>
      <c r="AMI6" s="44">
        <f>Database!ANB14</f>
        <v>0</v>
      </c>
      <c r="AMJ6" s="44">
        <f>Database!ANC14</f>
        <v>0</v>
      </c>
      <c r="AMK6" s="44">
        <f>Database!AND14</f>
        <v>0</v>
      </c>
      <c r="AML6" s="44">
        <f>Database!ANE14</f>
        <v>0</v>
      </c>
      <c r="AMM6" s="44">
        <f>Database!ANF14</f>
        <v>0</v>
      </c>
      <c r="AMN6" s="44">
        <f>Database!ANG14</f>
        <v>0</v>
      </c>
      <c r="AMO6" s="44">
        <f>Database!ANH14</f>
        <v>0</v>
      </c>
      <c r="AMP6" s="44">
        <f>Database!ANI14</f>
        <v>0</v>
      </c>
      <c r="AMQ6" s="44">
        <f>Database!ANJ14</f>
        <v>0</v>
      </c>
      <c r="AMR6" s="44">
        <f>Database!ANK14</f>
        <v>0</v>
      </c>
      <c r="AMS6" s="44">
        <f>Database!ANL14</f>
        <v>0</v>
      </c>
      <c r="AMT6" s="44">
        <f>Database!ANM14</f>
        <v>0</v>
      </c>
      <c r="AMU6" s="44">
        <f>Database!ANN14</f>
        <v>0</v>
      </c>
      <c r="AMV6" s="44">
        <f>Database!ANO14</f>
        <v>0</v>
      </c>
      <c r="AMW6" s="44">
        <f>Database!ANP14</f>
        <v>0</v>
      </c>
      <c r="AMX6" s="44">
        <f>Database!ANQ14</f>
        <v>0</v>
      </c>
      <c r="AMY6" s="44">
        <f>Database!ANR14</f>
        <v>0</v>
      </c>
      <c r="AMZ6" s="44">
        <f>Database!ANS14</f>
        <v>0</v>
      </c>
      <c r="ANA6" s="44">
        <f>Database!ANT14</f>
        <v>0</v>
      </c>
      <c r="ANB6" s="44">
        <f>Database!ANU14</f>
        <v>0</v>
      </c>
      <c r="ANC6" s="44">
        <f>Database!ANV14</f>
        <v>0</v>
      </c>
      <c r="AND6" s="44">
        <f>Database!ANW14</f>
        <v>0</v>
      </c>
      <c r="ANE6" s="44">
        <f>Database!ANX14</f>
        <v>0</v>
      </c>
      <c r="ANF6" s="44">
        <f>Database!ANY14</f>
        <v>0</v>
      </c>
      <c r="ANG6" s="44">
        <f>Database!ANZ14</f>
        <v>0</v>
      </c>
      <c r="ANH6" s="44">
        <f>Database!AOA14</f>
        <v>0</v>
      </c>
      <c r="ANI6" s="44">
        <f>Database!AOB14</f>
        <v>0</v>
      </c>
      <c r="ANJ6" s="44">
        <f>Database!AOC14</f>
        <v>0</v>
      </c>
      <c r="ANK6" s="44">
        <f>Database!AOD14</f>
        <v>0</v>
      </c>
      <c r="ANL6" s="44">
        <f>Database!AOE14</f>
        <v>0</v>
      </c>
      <c r="ANM6" s="44">
        <f>Database!AOF14</f>
        <v>0</v>
      </c>
      <c r="ANN6" s="44">
        <f>Database!AOG14</f>
        <v>0</v>
      </c>
      <c r="ANO6" s="44">
        <f>Database!AOH14</f>
        <v>0</v>
      </c>
      <c r="ANP6" s="44">
        <f>Database!AOI14</f>
        <v>0</v>
      </c>
      <c r="ANQ6" s="44">
        <f>Database!AOJ14</f>
        <v>0</v>
      </c>
      <c r="ANR6" s="44">
        <f>Database!AOK14</f>
        <v>0</v>
      </c>
      <c r="ANS6" s="44">
        <f>Database!AOL14</f>
        <v>0</v>
      </c>
      <c r="ANT6" s="44">
        <f>Database!AOM14</f>
        <v>0</v>
      </c>
      <c r="ANU6" s="44">
        <f>Database!AON14</f>
        <v>0</v>
      </c>
      <c r="ANV6" s="44">
        <f>Database!AOO14</f>
        <v>0</v>
      </c>
      <c r="ANW6" s="44">
        <f>Database!AOP14</f>
        <v>0</v>
      </c>
      <c r="ANX6" s="44">
        <f>Database!AOQ14</f>
        <v>0</v>
      </c>
      <c r="ANY6" s="44">
        <f>Database!AOR14</f>
        <v>0</v>
      </c>
      <c r="ANZ6" s="44">
        <f>Database!AOS14</f>
        <v>0</v>
      </c>
      <c r="AOA6" s="44">
        <f>Database!AOT14</f>
        <v>0</v>
      </c>
      <c r="AOB6" s="44">
        <f>Database!AOU14</f>
        <v>0</v>
      </c>
      <c r="AOC6" s="44">
        <f>Database!AOV14</f>
        <v>0</v>
      </c>
      <c r="AOD6" s="44">
        <f>Database!AOW14</f>
        <v>0</v>
      </c>
      <c r="AOE6" s="44">
        <f>Database!AOX14</f>
        <v>0</v>
      </c>
      <c r="AOF6" s="44">
        <f>Database!AOY14</f>
        <v>0</v>
      </c>
      <c r="AOG6" s="44">
        <f>Database!AOZ14</f>
        <v>0</v>
      </c>
      <c r="AOH6" s="44">
        <f>Database!APA14</f>
        <v>0</v>
      </c>
      <c r="AOI6" s="44">
        <f>Database!APB14</f>
        <v>0</v>
      </c>
      <c r="AOJ6" s="44">
        <f>Database!APC14</f>
        <v>0</v>
      </c>
      <c r="AOK6" s="44">
        <f>Database!APD14</f>
        <v>0</v>
      </c>
      <c r="AOL6" s="44">
        <f>Database!APE14</f>
        <v>0</v>
      </c>
      <c r="AOM6" s="44">
        <f>Database!APF14</f>
        <v>0</v>
      </c>
      <c r="AON6" s="44">
        <f>Database!APG14</f>
        <v>0</v>
      </c>
      <c r="AOO6" s="44">
        <f>Database!APH14</f>
        <v>0</v>
      </c>
      <c r="AOP6" s="44">
        <f>Database!API14</f>
        <v>0</v>
      </c>
      <c r="AOQ6" s="44">
        <f>Database!APJ14</f>
        <v>0</v>
      </c>
      <c r="AOR6" s="44">
        <f>Database!APK14</f>
        <v>0</v>
      </c>
      <c r="AOS6" s="44">
        <f>Database!APL14</f>
        <v>0</v>
      </c>
      <c r="AOT6" s="44">
        <f>Database!APM14</f>
        <v>0</v>
      </c>
      <c r="AOU6" s="44">
        <f>Database!APN14</f>
        <v>0</v>
      </c>
      <c r="AOV6" s="44">
        <f>Database!APO14</f>
        <v>0</v>
      </c>
      <c r="AOW6" s="44">
        <f>Database!APP14</f>
        <v>0</v>
      </c>
      <c r="AOX6" s="44">
        <f>Database!APQ14</f>
        <v>0</v>
      </c>
      <c r="AOY6" s="44">
        <f>Database!APR14</f>
        <v>0</v>
      </c>
      <c r="AOZ6" s="44">
        <f>Database!APS14</f>
        <v>0</v>
      </c>
      <c r="APA6" s="44">
        <f>Database!APT14</f>
        <v>0</v>
      </c>
      <c r="APB6" s="44">
        <f>Database!APU14</f>
        <v>0</v>
      </c>
      <c r="APC6" s="44">
        <f>Database!APV14</f>
        <v>0</v>
      </c>
      <c r="APD6" s="44">
        <f>Database!APW14</f>
        <v>0</v>
      </c>
      <c r="APE6" s="44">
        <f>Database!APX14</f>
        <v>0</v>
      </c>
      <c r="APF6" s="44">
        <f>Database!APY14</f>
        <v>0</v>
      </c>
      <c r="APG6" s="44">
        <f>Database!APZ14</f>
        <v>0</v>
      </c>
      <c r="APH6" s="44">
        <f>Database!AQA14</f>
        <v>0</v>
      </c>
      <c r="API6" s="44">
        <f>Database!AQB14</f>
        <v>0</v>
      </c>
      <c r="APJ6" s="44">
        <f>Database!AQC14</f>
        <v>0</v>
      </c>
      <c r="APK6" s="44">
        <f>Database!AQD14</f>
        <v>0</v>
      </c>
      <c r="APL6" s="44">
        <f>Database!AQE14</f>
        <v>0</v>
      </c>
      <c r="APM6" s="44">
        <f>Database!AQF14</f>
        <v>0</v>
      </c>
      <c r="APN6" s="44">
        <f>Database!AQG14</f>
        <v>0</v>
      </c>
      <c r="APO6" s="44">
        <f>Database!AQH14</f>
        <v>0</v>
      </c>
      <c r="APP6" s="44">
        <f>Database!AQI14</f>
        <v>0</v>
      </c>
      <c r="APQ6" s="44">
        <f>Database!AQJ14</f>
        <v>0</v>
      </c>
      <c r="APR6" s="44">
        <f>Database!AQK14</f>
        <v>0</v>
      </c>
      <c r="APS6" s="44">
        <f>Database!AQL14</f>
        <v>0</v>
      </c>
      <c r="APT6" s="44">
        <f>Database!AQM14</f>
        <v>0</v>
      </c>
      <c r="APU6" s="44">
        <f>Database!AQN14</f>
        <v>0</v>
      </c>
      <c r="APV6" s="44">
        <f>Database!AQO14</f>
        <v>0</v>
      </c>
      <c r="APW6" s="44">
        <f>Database!AQP14</f>
        <v>0</v>
      </c>
      <c r="APX6" s="44">
        <f>Database!AQQ14</f>
        <v>0</v>
      </c>
      <c r="APY6" s="44">
        <f>Database!AQR14</f>
        <v>0</v>
      </c>
      <c r="APZ6" s="44">
        <f>Database!AQS14</f>
        <v>0</v>
      </c>
      <c r="AQA6" s="44">
        <f>Database!AQT14</f>
        <v>0</v>
      </c>
      <c r="AQB6" s="44">
        <f>Database!AQU14</f>
        <v>0</v>
      </c>
      <c r="AQC6" s="44">
        <f>Database!AQV14</f>
        <v>0</v>
      </c>
      <c r="AQD6" s="44">
        <f>Database!AQW14</f>
        <v>0</v>
      </c>
      <c r="AQE6" s="44">
        <f>Database!AQX14</f>
        <v>0</v>
      </c>
      <c r="AQF6" s="44">
        <f>Database!AQY14</f>
        <v>0</v>
      </c>
      <c r="AQG6" s="44">
        <f>Database!AQZ14</f>
        <v>0</v>
      </c>
      <c r="AQH6" s="44">
        <f>Database!ARA14</f>
        <v>0</v>
      </c>
      <c r="AQI6" s="44">
        <f>Database!ARB14</f>
        <v>0</v>
      </c>
      <c r="AQJ6" s="44">
        <f>Database!ARC14</f>
        <v>0</v>
      </c>
      <c r="AQK6" s="44">
        <f>Database!ARD14</f>
        <v>0</v>
      </c>
      <c r="AQL6" s="44">
        <f>Database!ARE14</f>
        <v>0</v>
      </c>
      <c r="AQM6" s="44">
        <f>Database!ARF14</f>
        <v>0</v>
      </c>
      <c r="AQN6" s="44">
        <f>Database!ARG14</f>
        <v>0</v>
      </c>
      <c r="AQO6" s="44">
        <f>Database!ARH14</f>
        <v>0</v>
      </c>
      <c r="AQP6" s="44">
        <f>Database!ARI14</f>
        <v>0</v>
      </c>
      <c r="AQQ6" s="44">
        <f>Database!ARJ14</f>
        <v>0</v>
      </c>
      <c r="AQR6" s="44">
        <f>Database!ARK14</f>
        <v>0</v>
      </c>
      <c r="AQS6" s="44">
        <f>Database!ARL14</f>
        <v>0</v>
      </c>
      <c r="AQT6" s="44">
        <f>Database!ARM14</f>
        <v>0</v>
      </c>
      <c r="AQU6" s="44">
        <f>Database!ARN14</f>
        <v>0</v>
      </c>
      <c r="AQV6" s="44">
        <f>Database!ARO14</f>
        <v>0</v>
      </c>
      <c r="AQW6" s="44">
        <f>Database!ARP14</f>
        <v>0</v>
      </c>
      <c r="AQX6" s="44">
        <f>Database!ARQ14</f>
        <v>0</v>
      </c>
      <c r="AQY6" s="44">
        <f>Database!ARR14</f>
        <v>0</v>
      </c>
      <c r="AQZ6" s="44">
        <f>Database!ARS14</f>
        <v>0</v>
      </c>
      <c r="ARA6" s="44">
        <f>Database!ART14</f>
        <v>0</v>
      </c>
      <c r="ARB6" s="44">
        <f>Database!ARU14</f>
        <v>0</v>
      </c>
      <c r="ARC6" s="44">
        <f>Database!ARV14</f>
        <v>0</v>
      </c>
      <c r="ARD6" s="44">
        <f>Database!ARW14</f>
        <v>0</v>
      </c>
      <c r="ARE6" s="44">
        <f>Database!ARX14</f>
        <v>0</v>
      </c>
      <c r="ARF6" s="44">
        <f>Database!ARY14</f>
        <v>0</v>
      </c>
      <c r="ARG6" s="44">
        <f>Database!ARZ14</f>
        <v>0</v>
      </c>
      <c r="ARH6" s="44">
        <f>Database!ASA14</f>
        <v>0</v>
      </c>
      <c r="ARI6" s="44">
        <f>Database!ASB14</f>
        <v>0</v>
      </c>
      <c r="ARJ6" s="44">
        <f>Database!ASC14</f>
        <v>0</v>
      </c>
      <c r="ARK6" s="44">
        <f>Database!ASD14</f>
        <v>0</v>
      </c>
      <c r="ARL6" s="44">
        <f>Database!ASE14</f>
        <v>0</v>
      </c>
      <c r="ARM6" s="44">
        <f>Database!ASF14</f>
        <v>0</v>
      </c>
      <c r="ARN6" s="44">
        <f>Database!ASG14</f>
        <v>0</v>
      </c>
      <c r="ARO6" s="44">
        <f>Database!ASH14</f>
        <v>0</v>
      </c>
      <c r="ARP6" s="44">
        <f>Database!ASI14</f>
        <v>0</v>
      </c>
      <c r="ARQ6" s="44">
        <f>Database!ASJ14</f>
        <v>0</v>
      </c>
      <c r="ARR6" s="44">
        <f>Database!ASK14</f>
        <v>0</v>
      </c>
      <c r="ARS6" s="44">
        <f>Database!ASL14</f>
        <v>0</v>
      </c>
      <c r="ART6" s="44">
        <f>Database!ASM14</f>
        <v>0</v>
      </c>
      <c r="ARU6" s="44">
        <f>Database!ASN14</f>
        <v>0</v>
      </c>
      <c r="ARV6" s="44">
        <f>Database!ASO14</f>
        <v>0</v>
      </c>
      <c r="ARW6" s="44">
        <f>Database!ASP14</f>
        <v>0</v>
      </c>
      <c r="ARX6" s="44">
        <f>Database!ASQ14</f>
        <v>0</v>
      </c>
      <c r="ARY6" s="44">
        <f>Database!ASR14</f>
        <v>0</v>
      </c>
      <c r="ARZ6" s="44">
        <f>Database!ASS14</f>
        <v>0</v>
      </c>
      <c r="ASA6" s="44">
        <f>Database!AST14</f>
        <v>0</v>
      </c>
      <c r="ASB6" s="44">
        <f>Database!ASU14</f>
        <v>0</v>
      </c>
      <c r="ASC6" s="44">
        <f>Database!ASV14</f>
        <v>0</v>
      </c>
      <c r="ASD6" s="44">
        <f>Database!ASW14</f>
        <v>0</v>
      </c>
      <c r="ASE6" s="44">
        <f>Database!ASX14</f>
        <v>0</v>
      </c>
      <c r="ASF6" s="44">
        <f>Database!ASY14</f>
        <v>0</v>
      </c>
      <c r="ASG6" s="44">
        <f>Database!ASZ14</f>
        <v>0</v>
      </c>
      <c r="ASH6" s="44">
        <f>Database!ATA14</f>
        <v>0</v>
      </c>
      <c r="ASI6" s="44">
        <f>Database!ATB14</f>
        <v>0</v>
      </c>
      <c r="ASJ6" s="44">
        <f>Database!ATC14</f>
        <v>0</v>
      </c>
      <c r="ASK6" s="44">
        <f>Database!ATD14</f>
        <v>0</v>
      </c>
      <c r="ASL6" s="44">
        <f>Database!ATE14</f>
        <v>0</v>
      </c>
      <c r="ASM6" s="44">
        <f>Database!ATF14</f>
        <v>0</v>
      </c>
      <c r="ASN6" s="44">
        <f>Database!ATG14</f>
        <v>0</v>
      </c>
      <c r="ASO6" s="44">
        <f>Database!ATH14</f>
        <v>0</v>
      </c>
      <c r="ASP6" s="44">
        <f>Database!ATI14</f>
        <v>0</v>
      </c>
      <c r="ASQ6" s="44">
        <f>Database!ATJ14</f>
        <v>0</v>
      </c>
      <c r="ASR6" s="44">
        <f>Database!ATK14</f>
        <v>0</v>
      </c>
      <c r="ASS6" s="44">
        <f>Database!ATL14</f>
        <v>0</v>
      </c>
      <c r="AST6" s="44">
        <f>Database!ATM14</f>
        <v>0</v>
      </c>
      <c r="ASU6" s="44">
        <f>Database!ATN14</f>
        <v>0</v>
      </c>
      <c r="ASV6" s="44">
        <f>Database!ATO14</f>
        <v>0</v>
      </c>
      <c r="ASW6" s="44">
        <f>Database!ATP14</f>
        <v>0</v>
      </c>
      <c r="ASX6" s="44">
        <f>Database!ATQ14</f>
        <v>0</v>
      </c>
      <c r="ASY6" s="44">
        <f>Database!ATR14</f>
        <v>0</v>
      </c>
      <c r="ASZ6" s="44">
        <f>Database!ATS14</f>
        <v>0</v>
      </c>
      <c r="ATA6" s="44">
        <f>Database!ATT14</f>
        <v>0</v>
      </c>
      <c r="ATB6" s="44">
        <f>Database!ATU14</f>
        <v>0</v>
      </c>
      <c r="ATC6" s="44">
        <f>Database!ATV14</f>
        <v>0</v>
      </c>
      <c r="ATD6" s="44">
        <f>Database!ATW14</f>
        <v>0</v>
      </c>
      <c r="ATE6" s="44">
        <f>Database!ATX14</f>
        <v>0</v>
      </c>
      <c r="ATF6" s="44">
        <f>Database!ATY14</f>
        <v>0</v>
      </c>
      <c r="ATG6" s="44">
        <f>Database!ATZ14</f>
        <v>0</v>
      </c>
      <c r="ATH6" s="44">
        <f>Database!AUA14</f>
        <v>0</v>
      </c>
      <c r="ATI6" s="44">
        <f>Database!AUB14</f>
        <v>0</v>
      </c>
      <c r="ATJ6" s="44">
        <f>Database!AUC14</f>
        <v>0</v>
      </c>
      <c r="ATK6" s="44">
        <f>Database!AUD14</f>
        <v>0</v>
      </c>
      <c r="ATL6" s="44">
        <f>Database!AUE14</f>
        <v>0</v>
      </c>
      <c r="ATM6" s="44">
        <f>Database!AUF14</f>
        <v>0</v>
      </c>
      <c r="ATN6" s="44">
        <f>Database!AUG14</f>
        <v>0</v>
      </c>
      <c r="ATO6" s="44">
        <f>Database!AUH14</f>
        <v>0</v>
      </c>
      <c r="ATP6" s="44">
        <f>Database!AUI14</f>
        <v>0</v>
      </c>
      <c r="ATQ6" s="44">
        <f>Database!AUJ14</f>
        <v>0</v>
      </c>
      <c r="ATR6" s="44">
        <f>Database!AUK14</f>
        <v>0</v>
      </c>
      <c r="ATS6" s="44">
        <f>Database!AUL14</f>
        <v>0</v>
      </c>
      <c r="ATT6" s="44">
        <f>Database!AUM14</f>
        <v>0</v>
      </c>
      <c r="ATU6" s="44">
        <f>Database!AUN14</f>
        <v>0</v>
      </c>
      <c r="ATV6" s="44">
        <f>Database!AUO14</f>
        <v>0</v>
      </c>
      <c r="ATW6" s="44">
        <f>Database!AUP14</f>
        <v>0</v>
      </c>
      <c r="ATX6" s="44">
        <f>Database!AUQ14</f>
        <v>0</v>
      </c>
      <c r="ATY6" s="44">
        <f>Database!AUR14</f>
        <v>0</v>
      </c>
      <c r="ATZ6" s="44">
        <f>Database!AUS14</f>
        <v>0</v>
      </c>
      <c r="AUA6" s="44">
        <f>Database!AUT14</f>
        <v>0</v>
      </c>
      <c r="AUB6" s="44">
        <f>Database!AUU14</f>
        <v>0</v>
      </c>
      <c r="AUC6" s="44">
        <f>Database!AUV14</f>
        <v>0</v>
      </c>
      <c r="AUD6" s="44">
        <f>Database!AUW14</f>
        <v>0</v>
      </c>
      <c r="AUE6" s="44">
        <f>Database!AUX14</f>
        <v>0</v>
      </c>
      <c r="AUF6" s="44">
        <f>Database!AUY14</f>
        <v>0</v>
      </c>
      <c r="AUG6" s="44">
        <f>Database!AUZ14</f>
        <v>0</v>
      </c>
      <c r="AUH6" s="44">
        <f>Database!AVA14</f>
        <v>0</v>
      </c>
      <c r="AUI6" s="44">
        <f>Database!AVB14</f>
        <v>0</v>
      </c>
      <c r="AUJ6" s="44">
        <f>Database!AVC14</f>
        <v>0</v>
      </c>
      <c r="AUK6" s="44">
        <f>Database!AVD14</f>
        <v>0</v>
      </c>
      <c r="AUL6" s="44">
        <f>Database!AVE14</f>
        <v>0</v>
      </c>
      <c r="AUM6" s="44">
        <f>Database!AVF14</f>
        <v>0</v>
      </c>
      <c r="AUN6" s="44">
        <f>Database!AVG14</f>
        <v>0</v>
      </c>
      <c r="AUO6" s="44">
        <f>Database!AVH14</f>
        <v>0</v>
      </c>
      <c r="AUP6" s="44">
        <f>Database!AVI14</f>
        <v>0</v>
      </c>
      <c r="AUQ6" s="44">
        <f>Database!AVJ14</f>
        <v>0</v>
      </c>
      <c r="AUR6" s="44">
        <f>Database!AVK14</f>
        <v>0</v>
      </c>
      <c r="AUS6" s="44">
        <f>Database!AVL14</f>
        <v>0</v>
      </c>
      <c r="AUT6" s="44">
        <f>Database!AVM14</f>
        <v>0</v>
      </c>
      <c r="AUU6" s="44">
        <f>Database!AVN14</f>
        <v>0</v>
      </c>
      <c r="AUV6" s="44">
        <f>Database!AVO14</f>
        <v>0</v>
      </c>
      <c r="AUW6" s="44">
        <f>Database!AVP14</f>
        <v>0</v>
      </c>
      <c r="AUX6" s="44">
        <f>Database!AVQ14</f>
        <v>0</v>
      </c>
      <c r="AUY6" s="44">
        <f>Database!AVR14</f>
        <v>0</v>
      </c>
      <c r="AUZ6" s="44">
        <f>Database!AVS14</f>
        <v>0</v>
      </c>
      <c r="AVA6" s="44">
        <f>Database!AVT14</f>
        <v>0</v>
      </c>
      <c r="AVB6" s="44">
        <f>Database!AVU14</f>
        <v>0</v>
      </c>
      <c r="AVC6" s="44">
        <f>Database!AVV14</f>
        <v>0</v>
      </c>
      <c r="AVD6" s="44">
        <f>Database!AVW14</f>
        <v>0</v>
      </c>
      <c r="AVE6" s="44">
        <f>Database!AVX14</f>
        <v>0</v>
      </c>
      <c r="AVF6" s="44">
        <f>Database!AVY14</f>
        <v>0</v>
      </c>
      <c r="AVG6" s="44">
        <f>Database!AVZ14</f>
        <v>0</v>
      </c>
      <c r="AVH6" s="44">
        <f>Database!AWA14</f>
        <v>0</v>
      </c>
      <c r="AVI6" s="44">
        <f>Database!AWB14</f>
        <v>0</v>
      </c>
      <c r="AVJ6" s="44">
        <f>Database!AWC14</f>
        <v>0</v>
      </c>
      <c r="AVK6" s="44">
        <f>Database!AWD14</f>
        <v>0</v>
      </c>
      <c r="AVL6" s="44">
        <f>Database!AWE14</f>
        <v>0</v>
      </c>
      <c r="AVM6" s="44">
        <f>Database!AWF14</f>
        <v>0</v>
      </c>
      <c r="AVN6" s="44">
        <f>Database!AWG14</f>
        <v>0</v>
      </c>
      <c r="AVO6" s="44">
        <f>Database!AWH14</f>
        <v>0</v>
      </c>
      <c r="AVP6" s="44">
        <f>Database!AWI14</f>
        <v>0</v>
      </c>
      <c r="AVQ6" s="44">
        <f>Database!AWJ14</f>
        <v>0</v>
      </c>
      <c r="AVR6" s="44">
        <f>Database!AWK14</f>
        <v>0</v>
      </c>
      <c r="AVS6" s="44">
        <f>Database!AWL14</f>
        <v>0</v>
      </c>
      <c r="AVT6" s="44">
        <f>Database!AWM14</f>
        <v>0</v>
      </c>
      <c r="AVU6" s="44">
        <f>Database!AWN14</f>
        <v>0</v>
      </c>
      <c r="AVV6" s="44">
        <f>Database!AWO14</f>
        <v>0</v>
      </c>
      <c r="AVW6" s="44">
        <f>Database!AWP14</f>
        <v>0</v>
      </c>
      <c r="AVX6" s="44">
        <f>Database!AWQ14</f>
        <v>0</v>
      </c>
      <c r="AVY6" s="44">
        <f>Database!AWR14</f>
        <v>0</v>
      </c>
      <c r="AVZ6" s="44">
        <f>Database!AWS14</f>
        <v>0</v>
      </c>
      <c r="AWA6" s="44">
        <f>Database!AWT14</f>
        <v>0</v>
      </c>
      <c r="AWB6" s="44">
        <f>Database!AWU14</f>
        <v>0</v>
      </c>
      <c r="AWC6" s="44">
        <f>Database!AWV14</f>
        <v>0</v>
      </c>
      <c r="AWD6" s="44">
        <f>Database!AWW14</f>
        <v>0</v>
      </c>
      <c r="AWE6" s="44">
        <f>Database!AWX14</f>
        <v>0</v>
      </c>
      <c r="AWF6" s="44">
        <f>Database!AWY14</f>
        <v>0</v>
      </c>
      <c r="AWG6" s="44">
        <f>Database!AWZ14</f>
        <v>0</v>
      </c>
      <c r="AWH6" s="44">
        <f>Database!AXA14</f>
        <v>0</v>
      </c>
      <c r="AWI6" s="44">
        <f>Database!AXB14</f>
        <v>0</v>
      </c>
      <c r="AWJ6" s="44">
        <f>Database!AXC14</f>
        <v>0</v>
      </c>
      <c r="AWK6" s="44">
        <f>Database!AXD14</f>
        <v>0</v>
      </c>
      <c r="AWL6" s="44">
        <f>Database!AXE14</f>
        <v>0</v>
      </c>
      <c r="AWM6" s="44">
        <f>Database!AXF14</f>
        <v>0</v>
      </c>
      <c r="AWN6" s="44">
        <f>Database!AXG14</f>
        <v>0</v>
      </c>
      <c r="AWO6" s="44">
        <f>Database!AXH14</f>
        <v>0</v>
      </c>
      <c r="AWP6" s="44">
        <f>Database!AXI14</f>
        <v>0</v>
      </c>
      <c r="AWQ6" s="44">
        <f>Database!AXJ14</f>
        <v>0</v>
      </c>
      <c r="AWR6" s="44">
        <f>Database!AXK14</f>
        <v>0</v>
      </c>
      <c r="AWS6" s="44">
        <f>Database!AXL14</f>
        <v>0</v>
      </c>
      <c r="AWT6" s="44">
        <f>Database!AXM14</f>
        <v>0</v>
      </c>
      <c r="AWU6" s="44">
        <f>Database!AXN14</f>
        <v>0</v>
      </c>
      <c r="AWV6" s="44">
        <f>Database!AXO14</f>
        <v>0</v>
      </c>
      <c r="AWW6" s="44">
        <f>Database!AXP14</f>
        <v>0</v>
      </c>
      <c r="AWX6" s="44">
        <f>Database!AXQ14</f>
        <v>0</v>
      </c>
      <c r="AWY6" s="44">
        <f>Database!AXR14</f>
        <v>0</v>
      </c>
      <c r="AWZ6" s="44">
        <f>Database!AXS14</f>
        <v>0</v>
      </c>
      <c r="AXA6" s="44">
        <f>Database!AXT14</f>
        <v>0</v>
      </c>
      <c r="AXB6" s="44">
        <f>Database!AXU14</f>
        <v>0</v>
      </c>
      <c r="AXC6" s="44">
        <f>Database!AXV14</f>
        <v>0</v>
      </c>
      <c r="AXD6" s="44">
        <f>Database!AXW14</f>
        <v>0</v>
      </c>
      <c r="AXE6" s="44">
        <f>Database!AXX14</f>
        <v>0</v>
      </c>
      <c r="AXF6" s="44">
        <f>Database!AXY14</f>
        <v>0</v>
      </c>
      <c r="AXG6" s="44">
        <f>Database!AXZ14</f>
        <v>0</v>
      </c>
      <c r="AXH6" s="44">
        <f>Database!AYA14</f>
        <v>0</v>
      </c>
      <c r="AXI6" s="44">
        <f>Database!AYB14</f>
        <v>0</v>
      </c>
      <c r="AXJ6" s="44">
        <f>Database!AYC14</f>
        <v>0</v>
      </c>
      <c r="AXK6" s="44">
        <f>Database!AYD14</f>
        <v>0</v>
      </c>
      <c r="AXL6" s="44">
        <f>Database!AYE14</f>
        <v>0</v>
      </c>
      <c r="AXM6" s="44">
        <f>Database!AYF14</f>
        <v>0</v>
      </c>
      <c r="AXN6" s="44">
        <f>Database!AYG14</f>
        <v>0</v>
      </c>
      <c r="AXO6" s="44">
        <f>Database!AYH14</f>
        <v>0</v>
      </c>
      <c r="AXP6" s="44">
        <f>Database!AYI14</f>
        <v>0</v>
      </c>
      <c r="AXQ6" s="44">
        <f>Database!AYJ14</f>
        <v>0</v>
      </c>
      <c r="AXR6" s="44">
        <f>Database!AYK14</f>
        <v>0</v>
      </c>
      <c r="AXS6" s="44">
        <f>Database!AYL14</f>
        <v>0</v>
      </c>
      <c r="AXT6" s="44">
        <f>Database!AYM14</f>
        <v>0</v>
      </c>
      <c r="AXU6" s="44">
        <f>Database!AYN14</f>
        <v>0</v>
      </c>
      <c r="AXV6" s="44">
        <f>Database!AYO14</f>
        <v>0</v>
      </c>
      <c r="AXW6" s="44">
        <f>Database!AYP14</f>
        <v>0</v>
      </c>
      <c r="AXX6" s="44">
        <f>Database!AYQ14</f>
        <v>0</v>
      </c>
      <c r="AXY6" s="44">
        <f>Database!AYR14</f>
        <v>0</v>
      </c>
      <c r="AXZ6" s="44">
        <f>Database!AYS14</f>
        <v>0</v>
      </c>
      <c r="AYA6" s="44">
        <f>Database!AYT14</f>
        <v>0</v>
      </c>
      <c r="AYB6" s="44">
        <f>Database!AYU14</f>
        <v>0</v>
      </c>
      <c r="AYC6" s="44">
        <f>Database!AYV14</f>
        <v>0</v>
      </c>
      <c r="AYD6" s="44">
        <f>Database!AYW14</f>
        <v>0</v>
      </c>
      <c r="AYE6" s="44">
        <f>Database!AYX14</f>
        <v>0</v>
      </c>
      <c r="AYF6" s="44">
        <f>Database!AYY14</f>
        <v>0</v>
      </c>
      <c r="AYG6" s="44">
        <f>Database!AYZ14</f>
        <v>0</v>
      </c>
      <c r="AYH6" s="44">
        <f>Database!AZA14</f>
        <v>0</v>
      </c>
      <c r="AYI6" s="44">
        <f>Database!AZB14</f>
        <v>0</v>
      </c>
      <c r="AYJ6" s="44">
        <f>Database!AZC14</f>
        <v>0</v>
      </c>
      <c r="AYK6" s="44">
        <f>Database!AZD14</f>
        <v>0</v>
      </c>
      <c r="AYL6" s="44">
        <f>Database!AZE14</f>
        <v>0</v>
      </c>
      <c r="AYM6" s="44">
        <f>Database!AZF14</f>
        <v>0</v>
      </c>
      <c r="AYN6" s="44">
        <f>Database!AZG14</f>
        <v>0</v>
      </c>
      <c r="AYO6" s="44">
        <f>Database!AZH14</f>
        <v>0</v>
      </c>
      <c r="AYP6" s="44">
        <f>Database!AZI14</f>
        <v>0</v>
      </c>
      <c r="AYQ6" s="44">
        <f>Database!AZJ14</f>
        <v>0</v>
      </c>
      <c r="AYR6" s="44">
        <f>Database!AZK14</f>
        <v>0</v>
      </c>
      <c r="AYS6" s="44">
        <f>Database!AZL14</f>
        <v>0</v>
      </c>
      <c r="AYT6" s="44">
        <f>Database!AZM14</f>
        <v>0</v>
      </c>
      <c r="AYU6" s="44">
        <f>Database!AZN14</f>
        <v>0</v>
      </c>
      <c r="AYV6" s="44">
        <f>Database!AZO14</f>
        <v>0</v>
      </c>
      <c r="AYW6" s="44">
        <f>Database!AZP14</f>
        <v>0</v>
      </c>
      <c r="AYX6" s="44">
        <f>Database!AZQ14</f>
        <v>0</v>
      </c>
      <c r="AYY6" s="44">
        <f>Database!AZR14</f>
        <v>0</v>
      </c>
      <c r="AYZ6" s="44">
        <f>Database!AZS14</f>
        <v>0</v>
      </c>
      <c r="AZA6" s="44">
        <f>Database!AZT14</f>
        <v>0</v>
      </c>
      <c r="AZB6" s="44">
        <f>Database!AZU14</f>
        <v>0</v>
      </c>
      <c r="AZC6" s="44">
        <f>Database!AZV14</f>
        <v>0</v>
      </c>
      <c r="AZD6" s="44">
        <f>Database!AZW14</f>
        <v>0</v>
      </c>
      <c r="AZE6" s="44">
        <f>Database!AZX14</f>
        <v>0</v>
      </c>
      <c r="AZF6" s="44">
        <f>Database!AZY14</f>
        <v>0</v>
      </c>
      <c r="AZG6" s="44">
        <f>Database!AZZ14</f>
        <v>0</v>
      </c>
      <c r="AZH6" s="44">
        <f>Database!BAA14</f>
        <v>0</v>
      </c>
      <c r="AZI6" s="44">
        <f>Database!BAB14</f>
        <v>0</v>
      </c>
      <c r="AZJ6" s="44">
        <f>Database!BAC14</f>
        <v>0</v>
      </c>
      <c r="AZK6" s="44">
        <f>Database!BAD14</f>
        <v>0</v>
      </c>
      <c r="AZL6" s="44">
        <f>Database!BAE14</f>
        <v>0</v>
      </c>
      <c r="AZM6" s="44">
        <f>Database!BAF14</f>
        <v>0</v>
      </c>
      <c r="AZN6" s="44">
        <f>Database!BAG14</f>
        <v>0</v>
      </c>
      <c r="AZO6" s="44">
        <f>Database!BAH14</f>
        <v>0</v>
      </c>
      <c r="AZP6" s="44">
        <f>Database!BAI14</f>
        <v>0</v>
      </c>
      <c r="AZQ6" s="44">
        <f>Database!BAJ14</f>
        <v>0</v>
      </c>
      <c r="AZR6" s="44">
        <f>Database!BAK14</f>
        <v>0</v>
      </c>
      <c r="AZS6" s="44">
        <f>Database!BAL14</f>
        <v>0</v>
      </c>
      <c r="AZT6" s="44">
        <f>Database!BAM14</f>
        <v>0</v>
      </c>
      <c r="AZU6" s="44">
        <f>Database!BAN14</f>
        <v>0</v>
      </c>
      <c r="AZV6" s="44">
        <f>Database!BAO14</f>
        <v>0</v>
      </c>
      <c r="AZW6" s="44">
        <f>Database!BAP14</f>
        <v>0</v>
      </c>
      <c r="AZX6" s="44">
        <f>Database!BAQ14</f>
        <v>0</v>
      </c>
      <c r="AZY6" s="44">
        <f>Database!BAR14</f>
        <v>0</v>
      </c>
      <c r="AZZ6" s="44">
        <f>Database!BAS14</f>
        <v>0</v>
      </c>
      <c r="BAA6" s="44">
        <f>Database!BAT14</f>
        <v>0</v>
      </c>
      <c r="BAB6" s="44">
        <f>Database!BAU14</f>
        <v>0</v>
      </c>
      <c r="BAC6" s="44">
        <f>Database!BAV14</f>
        <v>0</v>
      </c>
      <c r="BAD6" s="44">
        <f>Database!BAW14</f>
        <v>0</v>
      </c>
      <c r="BAE6" s="44">
        <f>Database!BAX14</f>
        <v>0</v>
      </c>
      <c r="BAF6" s="44">
        <f>Database!BAY14</f>
        <v>0</v>
      </c>
      <c r="BAG6" s="44">
        <f>Database!BAZ14</f>
        <v>0</v>
      </c>
      <c r="BAH6" s="44">
        <f>Database!BBA14</f>
        <v>0</v>
      </c>
      <c r="BAI6" s="44">
        <f>Database!BBB14</f>
        <v>0</v>
      </c>
      <c r="BAJ6" s="44">
        <f>Database!BBC14</f>
        <v>0</v>
      </c>
      <c r="BAK6" s="44">
        <f>Database!BBD14</f>
        <v>0</v>
      </c>
      <c r="BAL6" s="44">
        <f>Database!BBE14</f>
        <v>0</v>
      </c>
      <c r="BAM6" s="44">
        <f>Database!BBF14</f>
        <v>0</v>
      </c>
      <c r="BAN6" s="44">
        <f>Database!BBG14</f>
        <v>0</v>
      </c>
      <c r="BAO6" s="44">
        <f>Database!BBH14</f>
        <v>0</v>
      </c>
      <c r="BAP6" s="44">
        <f>Database!BBI14</f>
        <v>0</v>
      </c>
      <c r="BAQ6" s="44">
        <f>Database!BBJ14</f>
        <v>0</v>
      </c>
      <c r="BAR6" s="44">
        <f>Database!BBK14</f>
        <v>0</v>
      </c>
      <c r="BAS6" s="44">
        <f>Database!BBL14</f>
        <v>0</v>
      </c>
      <c r="BAT6" s="44">
        <f>Database!BBM14</f>
        <v>0</v>
      </c>
      <c r="BAU6" s="44">
        <f>Database!BBN14</f>
        <v>0</v>
      </c>
      <c r="BAV6" s="44">
        <f>Database!BBO14</f>
        <v>0</v>
      </c>
      <c r="BAW6" s="44">
        <f>Database!BBP14</f>
        <v>0</v>
      </c>
      <c r="BAX6" s="44">
        <f>Database!BBQ14</f>
        <v>0</v>
      </c>
      <c r="BAY6" s="44">
        <f>Database!BBR14</f>
        <v>0</v>
      </c>
      <c r="BAZ6" s="44">
        <f>Database!BBS14</f>
        <v>0</v>
      </c>
      <c r="BBA6" s="44">
        <f>Database!BBT14</f>
        <v>0</v>
      </c>
      <c r="BBB6" s="44">
        <f>Database!BBU14</f>
        <v>0</v>
      </c>
      <c r="BBC6" s="44">
        <f>Database!BBV14</f>
        <v>0</v>
      </c>
      <c r="BBD6" s="44">
        <f>Database!BBW14</f>
        <v>0</v>
      </c>
      <c r="BBE6" s="44">
        <f>Database!BBX14</f>
        <v>0</v>
      </c>
      <c r="BBF6" s="44">
        <f>Database!BBY14</f>
        <v>0</v>
      </c>
      <c r="BBG6" s="44">
        <f>Database!BBZ14</f>
        <v>0</v>
      </c>
      <c r="BBH6" s="44">
        <f>Database!BCA14</f>
        <v>0</v>
      </c>
      <c r="BBI6" s="44">
        <f>Database!BCB14</f>
        <v>0</v>
      </c>
      <c r="BBJ6" s="44">
        <f>Database!BCC14</f>
        <v>0</v>
      </c>
      <c r="BBK6" s="44">
        <f>Database!BCD14</f>
        <v>0</v>
      </c>
      <c r="BBL6" s="44">
        <f>Database!BCE14</f>
        <v>0</v>
      </c>
      <c r="BBM6" s="44">
        <f>Database!BCF14</f>
        <v>0</v>
      </c>
      <c r="BBN6" s="44">
        <f>Database!BCG14</f>
        <v>0</v>
      </c>
      <c r="BBO6" s="44">
        <f>Database!BCH14</f>
        <v>0</v>
      </c>
      <c r="BBP6" s="44">
        <f>Database!BCI14</f>
        <v>0</v>
      </c>
      <c r="BBQ6" s="44">
        <f>Database!BCJ14</f>
        <v>0</v>
      </c>
      <c r="BBR6" s="44">
        <f>Database!BCK14</f>
        <v>0</v>
      </c>
      <c r="BBS6" s="44">
        <f>Database!BCL14</f>
        <v>0</v>
      </c>
      <c r="BBT6" s="44">
        <f>Database!BCM14</f>
        <v>0</v>
      </c>
      <c r="BBU6" s="44">
        <f>Database!BCN14</f>
        <v>0</v>
      </c>
      <c r="BBV6" s="44">
        <f>Database!BCO14</f>
        <v>0</v>
      </c>
      <c r="BBW6" s="44">
        <f>Database!BCP14</f>
        <v>0</v>
      </c>
      <c r="BBX6" s="44">
        <f>Database!BCQ14</f>
        <v>0</v>
      </c>
      <c r="BBY6" s="44">
        <f>Database!BCR14</f>
        <v>0</v>
      </c>
      <c r="BBZ6" s="44">
        <f>Database!BCS14</f>
        <v>0</v>
      </c>
      <c r="BCA6" s="44">
        <f>Database!BCT14</f>
        <v>0</v>
      </c>
      <c r="BCB6" s="44">
        <f>Database!BCU14</f>
        <v>0</v>
      </c>
      <c r="BCC6" s="44">
        <f>Database!BCV14</f>
        <v>0</v>
      </c>
      <c r="BCD6" s="44">
        <f>Database!BCW14</f>
        <v>0</v>
      </c>
      <c r="BCE6" s="44">
        <f>Database!BCX14</f>
        <v>0</v>
      </c>
      <c r="BCF6" s="44">
        <f>Database!BCY14</f>
        <v>0</v>
      </c>
      <c r="BCG6" s="44">
        <f>Database!BCZ14</f>
        <v>0</v>
      </c>
      <c r="BCH6" s="44">
        <f>Database!BDA14</f>
        <v>0</v>
      </c>
      <c r="BCI6" s="44">
        <f>Database!BDB14</f>
        <v>0</v>
      </c>
      <c r="BCJ6" s="44">
        <f>Database!BDC14</f>
        <v>0</v>
      </c>
      <c r="BCK6" s="44">
        <f>Database!BDD14</f>
        <v>0</v>
      </c>
      <c r="BCL6" s="44">
        <f>Database!BDE14</f>
        <v>0</v>
      </c>
      <c r="BCM6" s="44">
        <f>Database!BDF14</f>
        <v>0</v>
      </c>
      <c r="BCN6" s="44">
        <f>Database!BDG14</f>
        <v>0</v>
      </c>
      <c r="BCO6" s="44">
        <f>Database!BDH14</f>
        <v>0</v>
      </c>
      <c r="BCP6" s="44">
        <f>Database!BDI14</f>
        <v>0</v>
      </c>
      <c r="BCQ6" s="44">
        <f>Database!BDJ14</f>
        <v>0</v>
      </c>
      <c r="BCR6" s="44">
        <f>Database!BDK14</f>
        <v>0</v>
      </c>
      <c r="BCS6" s="44">
        <f>Database!BDL14</f>
        <v>0</v>
      </c>
      <c r="BCT6" s="44">
        <f>Database!BDM14</f>
        <v>0</v>
      </c>
      <c r="BCU6" s="44">
        <f>Database!BDN14</f>
        <v>0</v>
      </c>
      <c r="BCV6" s="44">
        <f>Database!BDO14</f>
        <v>0</v>
      </c>
      <c r="BCW6" s="44">
        <f>Database!BDP14</f>
        <v>0</v>
      </c>
      <c r="BCX6" s="44">
        <f>Database!BDQ14</f>
        <v>0</v>
      </c>
      <c r="BCY6" s="44">
        <f>Database!BDR14</f>
        <v>0</v>
      </c>
      <c r="BCZ6" s="44">
        <f>Database!BDS14</f>
        <v>0</v>
      </c>
      <c r="BDA6" s="44">
        <f>Database!BDT14</f>
        <v>0</v>
      </c>
      <c r="BDB6" s="44">
        <f>Database!BDU14</f>
        <v>0</v>
      </c>
      <c r="BDC6" s="44">
        <f>Database!BDV14</f>
        <v>0</v>
      </c>
      <c r="BDD6" s="44">
        <f>Database!BDW14</f>
        <v>0</v>
      </c>
      <c r="BDE6" s="44">
        <f>Database!BDX14</f>
        <v>0</v>
      </c>
      <c r="BDF6" s="44">
        <f>Database!BDY14</f>
        <v>0</v>
      </c>
      <c r="BDG6" s="44">
        <f>Database!BDZ14</f>
        <v>0</v>
      </c>
      <c r="BDH6" s="44">
        <f>Database!BEA14</f>
        <v>0</v>
      </c>
      <c r="BDI6" s="44">
        <f>Database!BEB14</f>
        <v>0</v>
      </c>
      <c r="BDJ6" s="44">
        <f>Database!BEC14</f>
        <v>0</v>
      </c>
      <c r="BDK6" s="44">
        <f>Database!BED14</f>
        <v>0</v>
      </c>
      <c r="BDL6" s="44">
        <f>Database!BEE14</f>
        <v>0</v>
      </c>
      <c r="BDM6" s="44">
        <f>Database!BEF14</f>
        <v>0</v>
      </c>
      <c r="BDN6" s="44">
        <f>Database!BEG14</f>
        <v>0</v>
      </c>
      <c r="BDO6" s="44">
        <f>Database!BEH14</f>
        <v>0</v>
      </c>
      <c r="BDP6" s="44">
        <f>Database!BEI14</f>
        <v>0</v>
      </c>
      <c r="BDQ6" s="44">
        <f>Database!BEJ14</f>
        <v>0</v>
      </c>
      <c r="BDR6" s="44">
        <f>Database!BEK14</f>
        <v>0</v>
      </c>
      <c r="BDS6" s="44">
        <f>Database!BEL14</f>
        <v>0</v>
      </c>
      <c r="BDT6" s="44">
        <f>Database!BEM14</f>
        <v>0</v>
      </c>
      <c r="BDU6" s="44">
        <f>Database!BEN14</f>
        <v>0</v>
      </c>
      <c r="BDV6" s="44">
        <f>Database!BEO14</f>
        <v>0</v>
      </c>
      <c r="BDW6" s="44">
        <f>Database!BEP14</f>
        <v>0</v>
      </c>
      <c r="BDX6" s="44">
        <f>Database!BEQ14</f>
        <v>0</v>
      </c>
      <c r="BDY6" s="44">
        <f>Database!BER14</f>
        <v>0</v>
      </c>
      <c r="BDZ6" s="44">
        <f>Database!BES14</f>
        <v>0</v>
      </c>
      <c r="BEA6" s="44">
        <f>Database!BET14</f>
        <v>0</v>
      </c>
      <c r="BEB6" s="44">
        <f>Database!BEU14</f>
        <v>0</v>
      </c>
      <c r="BEC6" s="44">
        <f>Database!BEV14</f>
        <v>0</v>
      </c>
      <c r="BED6" s="44">
        <f>Database!BEW14</f>
        <v>0</v>
      </c>
      <c r="BEE6" s="44">
        <f>Database!BEX14</f>
        <v>0</v>
      </c>
      <c r="BEF6" s="44">
        <f>Database!BEY14</f>
        <v>0</v>
      </c>
      <c r="BEG6" s="44">
        <f>Database!BEZ14</f>
        <v>0</v>
      </c>
      <c r="BEH6" s="44">
        <f>Database!BFA14</f>
        <v>0</v>
      </c>
      <c r="BEI6" s="44">
        <f>Database!BFB14</f>
        <v>0</v>
      </c>
      <c r="BEJ6" s="44">
        <f>Database!BFC14</f>
        <v>0</v>
      </c>
      <c r="BEK6" s="44">
        <f>Database!BFD14</f>
        <v>0</v>
      </c>
      <c r="BEL6" s="44">
        <f>Database!BFE14</f>
        <v>0</v>
      </c>
      <c r="BEM6" s="44">
        <f>Database!BFF14</f>
        <v>0</v>
      </c>
      <c r="BEN6" s="44">
        <f>Database!BFG14</f>
        <v>0</v>
      </c>
      <c r="BEO6" s="44">
        <f>Database!BFH14</f>
        <v>0</v>
      </c>
      <c r="BEP6" s="44">
        <f>Database!BFI14</f>
        <v>0</v>
      </c>
      <c r="BEQ6" s="44">
        <f>Database!BFJ14</f>
        <v>0</v>
      </c>
      <c r="BER6" s="44">
        <f>Database!BFK14</f>
        <v>0</v>
      </c>
      <c r="BES6" s="44">
        <f>Database!BFL14</f>
        <v>0</v>
      </c>
      <c r="BET6" s="44">
        <f>Database!BFM14</f>
        <v>0</v>
      </c>
      <c r="BEU6" s="44">
        <f>Database!BFN14</f>
        <v>0</v>
      </c>
      <c r="BEV6" s="44">
        <f>Database!BFO14</f>
        <v>0</v>
      </c>
      <c r="BEW6" s="44">
        <f>Database!BFP14</f>
        <v>0</v>
      </c>
      <c r="BEX6" s="44">
        <f>Database!BFQ14</f>
        <v>0</v>
      </c>
      <c r="BEY6" s="44">
        <f>Database!BFR14</f>
        <v>0</v>
      </c>
      <c r="BEZ6" s="44">
        <f>Database!BFS14</f>
        <v>0</v>
      </c>
      <c r="BFA6" s="44">
        <f>Database!BFT14</f>
        <v>0</v>
      </c>
      <c r="BFB6" s="44">
        <f>Database!BFU14</f>
        <v>0</v>
      </c>
      <c r="BFC6" s="44">
        <f>Database!BFV14</f>
        <v>0</v>
      </c>
      <c r="BFD6" s="44">
        <f>Database!BFW14</f>
        <v>0</v>
      </c>
      <c r="BFE6" s="44">
        <f>Database!BFX14</f>
        <v>0</v>
      </c>
      <c r="BFF6" s="44">
        <f>Database!BFY14</f>
        <v>0</v>
      </c>
      <c r="BFG6" s="44">
        <f>Database!BFZ14</f>
        <v>0</v>
      </c>
      <c r="BFH6" s="44">
        <f>Database!BGA14</f>
        <v>0</v>
      </c>
      <c r="BFI6" s="44">
        <f>Database!BGB14</f>
        <v>0</v>
      </c>
      <c r="BFJ6" s="44">
        <f>Database!BGC14</f>
        <v>0</v>
      </c>
      <c r="BFK6" s="44">
        <f>Database!BGD14</f>
        <v>0</v>
      </c>
      <c r="BFL6" s="44">
        <f>Database!BGE14</f>
        <v>0</v>
      </c>
      <c r="BFM6" s="44">
        <f>Database!BGF14</f>
        <v>0</v>
      </c>
      <c r="BFN6" s="44">
        <f>Database!BGG14</f>
        <v>0</v>
      </c>
      <c r="BFO6" s="44">
        <f>Database!BGH14</f>
        <v>0</v>
      </c>
      <c r="BFP6" s="44">
        <f>Database!BGI14</f>
        <v>0</v>
      </c>
      <c r="BFQ6" s="44">
        <f>Database!BGJ14</f>
        <v>0</v>
      </c>
      <c r="BFR6" s="44">
        <f>Database!BGK14</f>
        <v>0</v>
      </c>
      <c r="BFS6" s="44">
        <f>Database!BGL14</f>
        <v>0</v>
      </c>
      <c r="BFT6" s="44">
        <f>Database!BGM14</f>
        <v>0</v>
      </c>
      <c r="BFU6" s="44">
        <f>Database!BGN14</f>
        <v>0</v>
      </c>
      <c r="BFV6" s="44">
        <f>Database!BGO14</f>
        <v>0</v>
      </c>
      <c r="BFW6" s="44">
        <f>Database!BGP14</f>
        <v>0</v>
      </c>
      <c r="BFX6" s="44">
        <f>Database!BGQ14</f>
        <v>0</v>
      </c>
      <c r="BFY6" s="44">
        <f>Database!BGR14</f>
        <v>0</v>
      </c>
      <c r="BFZ6" s="44">
        <f>Database!BGS14</f>
        <v>0</v>
      </c>
      <c r="BGA6" s="44">
        <f>Database!BGT14</f>
        <v>0</v>
      </c>
      <c r="BGB6" s="44">
        <f>Database!BGU14</f>
        <v>0</v>
      </c>
      <c r="BGC6" s="44">
        <f>Database!BGV14</f>
        <v>0</v>
      </c>
      <c r="BGD6" s="44">
        <f>Database!BGW14</f>
        <v>0</v>
      </c>
      <c r="BGE6" s="44">
        <f>Database!BGX14</f>
        <v>0</v>
      </c>
      <c r="BGF6" s="44">
        <f>Database!BGY14</f>
        <v>0</v>
      </c>
      <c r="BGG6" s="44">
        <f>Database!BGZ14</f>
        <v>0</v>
      </c>
      <c r="BGH6" s="44">
        <f>Database!BHA14</f>
        <v>0</v>
      </c>
      <c r="BGI6" s="44">
        <f>Database!BHB14</f>
        <v>0</v>
      </c>
      <c r="BGJ6" s="44">
        <f>Database!BHC14</f>
        <v>0</v>
      </c>
      <c r="BGK6" s="44">
        <f>Database!BHD14</f>
        <v>0</v>
      </c>
      <c r="BGL6" s="44">
        <f>Database!BHE14</f>
        <v>0</v>
      </c>
      <c r="BGM6" s="44">
        <f>Database!BHF14</f>
        <v>0</v>
      </c>
      <c r="BGN6" s="44">
        <f>Database!BHG14</f>
        <v>0</v>
      </c>
      <c r="BGO6" s="44">
        <f>Database!BHH14</f>
        <v>0</v>
      </c>
      <c r="BGP6" s="44">
        <f>Database!BHI14</f>
        <v>0</v>
      </c>
      <c r="BGQ6" s="44">
        <f>Database!BHJ14</f>
        <v>0</v>
      </c>
      <c r="BGR6" s="44">
        <f>Database!BHK14</f>
        <v>0</v>
      </c>
      <c r="BGS6" s="44">
        <f>Database!BHL14</f>
        <v>0</v>
      </c>
      <c r="BGT6" s="44">
        <f>Database!BHM14</f>
        <v>0</v>
      </c>
      <c r="BGU6" s="44">
        <f>Database!BHN14</f>
        <v>0</v>
      </c>
      <c r="BGV6" s="44">
        <f>Database!BHO14</f>
        <v>0</v>
      </c>
      <c r="BGW6" s="44">
        <f>Database!BHP14</f>
        <v>0</v>
      </c>
      <c r="BGX6" s="44">
        <f>Database!BHQ14</f>
        <v>0</v>
      </c>
      <c r="BGY6" s="44">
        <f>Database!BHR14</f>
        <v>0</v>
      </c>
      <c r="BGZ6" s="44">
        <f>Database!BHS14</f>
        <v>0</v>
      </c>
      <c r="BHA6" s="44">
        <f>Database!BHT14</f>
        <v>0</v>
      </c>
      <c r="BHB6" s="44">
        <f>Database!BHU14</f>
        <v>0</v>
      </c>
      <c r="BHC6" s="44">
        <f>Database!BHV14</f>
        <v>0</v>
      </c>
      <c r="BHD6" s="44">
        <f>Database!BHW14</f>
        <v>0</v>
      </c>
      <c r="BHE6" s="44">
        <f>Database!BHX14</f>
        <v>0</v>
      </c>
      <c r="BHF6" s="44">
        <f>Database!BHY14</f>
        <v>0</v>
      </c>
      <c r="BHG6" s="44">
        <f>Database!BHZ14</f>
        <v>0</v>
      </c>
      <c r="BHH6" s="44">
        <f>Database!BIA14</f>
        <v>0</v>
      </c>
      <c r="BHI6" s="44">
        <f>Database!BIB14</f>
        <v>0</v>
      </c>
      <c r="BHJ6" s="44">
        <f>Database!BIC14</f>
        <v>0</v>
      </c>
      <c r="BHK6" s="44">
        <f>Database!BID14</f>
        <v>0</v>
      </c>
      <c r="BHL6" s="44">
        <f>Database!BIE14</f>
        <v>0</v>
      </c>
      <c r="BHM6" s="44">
        <f>Database!BIF14</f>
        <v>0</v>
      </c>
      <c r="BHN6" s="44">
        <f>Database!BIG14</f>
        <v>0</v>
      </c>
      <c r="BHO6" s="44">
        <f>Database!BIH14</f>
        <v>0</v>
      </c>
      <c r="BHP6" s="44">
        <f>Database!BII14</f>
        <v>0</v>
      </c>
      <c r="BHQ6" s="44">
        <f>Database!BIJ14</f>
        <v>0</v>
      </c>
      <c r="BHR6" s="44">
        <f>Database!BIK14</f>
        <v>0</v>
      </c>
      <c r="BHS6" s="44">
        <f>Database!BIL14</f>
        <v>0</v>
      </c>
      <c r="BHT6" s="44">
        <f>Database!BIM14</f>
        <v>0</v>
      </c>
      <c r="BHU6" s="44">
        <f>Database!BIN14</f>
        <v>0</v>
      </c>
      <c r="BHV6" s="44">
        <f>Database!BIO14</f>
        <v>0</v>
      </c>
      <c r="BHW6" s="44">
        <f>Database!BIP14</f>
        <v>0</v>
      </c>
      <c r="BHX6" s="44">
        <f>Database!BIQ14</f>
        <v>0</v>
      </c>
      <c r="BHY6" s="44">
        <f>Database!BIR14</f>
        <v>0</v>
      </c>
      <c r="BHZ6" s="44">
        <f>Database!BIS14</f>
        <v>0</v>
      </c>
      <c r="BIA6" s="44">
        <f>Database!BIT14</f>
        <v>0</v>
      </c>
      <c r="BIB6" s="44">
        <f>Database!BIU14</f>
        <v>0</v>
      </c>
      <c r="BIC6" s="44">
        <f>Database!BIV14</f>
        <v>0</v>
      </c>
      <c r="BID6" s="44">
        <f>Database!BIW14</f>
        <v>0</v>
      </c>
      <c r="BIE6" s="44">
        <f>Database!BIX14</f>
        <v>0</v>
      </c>
      <c r="BIF6" s="44">
        <f>Database!BIY14</f>
        <v>0</v>
      </c>
      <c r="BIG6" s="44">
        <f>Database!BIZ14</f>
        <v>0</v>
      </c>
      <c r="BIH6" s="44">
        <f>Database!BJA14</f>
        <v>0</v>
      </c>
      <c r="BII6" s="44">
        <f>Database!BJB14</f>
        <v>0</v>
      </c>
      <c r="BIJ6" s="44">
        <f>Database!BJC14</f>
        <v>0</v>
      </c>
      <c r="BIK6" s="44">
        <f>Database!BJD14</f>
        <v>0</v>
      </c>
      <c r="BIL6" s="44">
        <f>Database!BJE14</f>
        <v>0</v>
      </c>
      <c r="BIM6" s="44">
        <f>Database!BJF14</f>
        <v>0</v>
      </c>
      <c r="BIN6" s="44">
        <f>Database!BJG14</f>
        <v>0</v>
      </c>
      <c r="BIO6" s="44">
        <f>Database!BJH14</f>
        <v>0</v>
      </c>
      <c r="BIP6" s="44">
        <f>Database!BJI14</f>
        <v>0</v>
      </c>
      <c r="BIQ6" s="44">
        <f>Database!BJJ14</f>
        <v>0</v>
      </c>
      <c r="BIR6" s="44">
        <f>Database!BJK14</f>
        <v>0</v>
      </c>
      <c r="BIS6" s="44">
        <f>Database!BJL14</f>
        <v>0</v>
      </c>
      <c r="BIT6" s="44">
        <f>Database!BJM14</f>
        <v>0</v>
      </c>
      <c r="BIU6" s="44">
        <f>Database!BJN14</f>
        <v>0</v>
      </c>
      <c r="BIV6" s="44">
        <f>Database!BJO14</f>
        <v>0</v>
      </c>
      <c r="BIW6" s="44">
        <f>Database!BJP14</f>
        <v>0</v>
      </c>
      <c r="BIX6" s="44">
        <f>Database!BJQ14</f>
        <v>0</v>
      </c>
      <c r="BIY6" s="44">
        <f>Database!BJR14</f>
        <v>0</v>
      </c>
      <c r="BIZ6" s="44">
        <f>Database!BJS14</f>
        <v>0</v>
      </c>
      <c r="BJA6" s="44">
        <f>Database!BJT14</f>
        <v>0</v>
      </c>
      <c r="BJB6" s="44">
        <f>Database!BJU14</f>
        <v>0</v>
      </c>
      <c r="BJC6" s="44">
        <f>Database!BJV14</f>
        <v>0</v>
      </c>
      <c r="BJD6" s="44">
        <f>Database!BJW14</f>
        <v>0</v>
      </c>
      <c r="BJE6" s="44">
        <f>Database!BJX14</f>
        <v>0</v>
      </c>
      <c r="BJF6" s="44">
        <f>Database!BJY14</f>
        <v>0</v>
      </c>
      <c r="BJG6" s="44">
        <f>Database!BJZ14</f>
        <v>0</v>
      </c>
      <c r="BJH6" s="44">
        <f>Database!BKA14</f>
        <v>0</v>
      </c>
      <c r="BJI6" s="44">
        <f>Database!BKB14</f>
        <v>0</v>
      </c>
      <c r="BJJ6" s="44">
        <f>Database!BKC14</f>
        <v>0</v>
      </c>
      <c r="BJK6" s="44">
        <f>Database!BKD14</f>
        <v>0</v>
      </c>
      <c r="BJL6" s="44">
        <f>Database!BKE14</f>
        <v>0</v>
      </c>
      <c r="BJM6" s="44">
        <f>Database!BKF14</f>
        <v>0</v>
      </c>
      <c r="BJN6" s="44">
        <f>Database!BKG14</f>
        <v>0</v>
      </c>
      <c r="BJO6" s="44">
        <f>Database!BKH14</f>
        <v>0</v>
      </c>
      <c r="BJP6" s="44">
        <f>Database!BKI14</f>
        <v>0</v>
      </c>
      <c r="BJQ6" s="44">
        <f>Database!BKJ14</f>
        <v>0</v>
      </c>
      <c r="BJR6" s="44">
        <f>Database!BKK14</f>
        <v>0</v>
      </c>
      <c r="BJS6" s="44">
        <f>Database!BKL14</f>
        <v>0</v>
      </c>
      <c r="BJT6" s="44">
        <f>Database!BKM14</f>
        <v>0</v>
      </c>
      <c r="BJU6" s="44">
        <f>Database!BKN14</f>
        <v>0</v>
      </c>
      <c r="BJV6" s="44">
        <f>Database!BKO14</f>
        <v>0</v>
      </c>
      <c r="BJW6" s="44">
        <f>Database!BKP14</f>
        <v>0</v>
      </c>
      <c r="BJX6" s="44">
        <f>Database!BKQ14</f>
        <v>0</v>
      </c>
      <c r="BJY6" s="44">
        <f>Database!BKR14</f>
        <v>0</v>
      </c>
      <c r="BJZ6" s="44">
        <f>Database!BKS14</f>
        <v>0</v>
      </c>
      <c r="BKA6" s="44">
        <f>Database!BKT14</f>
        <v>0</v>
      </c>
      <c r="BKB6" s="44">
        <f>Database!BKU14</f>
        <v>0</v>
      </c>
      <c r="BKC6" s="44">
        <f>Database!BKV14</f>
        <v>0</v>
      </c>
      <c r="BKD6" s="44">
        <f>Database!BKW14</f>
        <v>0</v>
      </c>
      <c r="BKE6" s="44">
        <f>Database!BKX14</f>
        <v>0</v>
      </c>
      <c r="BKF6" s="44">
        <f>Database!BKY14</f>
        <v>0</v>
      </c>
      <c r="BKG6" s="44">
        <f>Database!BKZ14</f>
        <v>0</v>
      </c>
      <c r="BKH6" s="44">
        <f>Database!BLA14</f>
        <v>0</v>
      </c>
      <c r="BKI6" s="44">
        <f>Database!BLB14</f>
        <v>0</v>
      </c>
      <c r="BKJ6" s="44">
        <f>Database!BLC14</f>
        <v>0</v>
      </c>
      <c r="BKK6" s="44">
        <f>Database!BLD14</f>
        <v>0</v>
      </c>
      <c r="BKL6" s="44">
        <f>Database!BLE14</f>
        <v>0</v>
      </c>
      <c r="BKM6" s="44">
        <f>Database!BLF14</f>
        <v>0</v>
      </c>
      <c r="BKN6" s="44">
        <f>Database!BLG14</f>
        <v>0</v>
      </c>
      <c r="BKO6" s="44">
        <f>Database!BLH14</f>
        <v>0</v>
      </c>
      <c r="BKP6" s="44">
        <f>Database!BLI14</f>
        <v>0</v>
      </c>
      <c r="BKQ6" s="44">
        <f>Database!BLJ14</f>
        <v>0</v>
      </c>
      <c r="BKR6" s="44">
        <f>Database!BLK14</f>
        <v>0</v>
      </c>
      <c r="BKS6" s="44">
        <f>Database!BLL14</f>
        <v>0</v>
      </c>
      <c r="BKT6" s="44">
        <f>Database!BLM14</f>
        <v>0</v>
      </c>
      <c r="BKU6" s="44">
        <f>Database!BLN14</f>
        <v>0</v>
      </c>
      <c r="BKV6" s="44">
        <f>Database!BLO14</f>
        <v>0</v>
      </c>
      <c r="BKW6" s="44">
        <f>Database!BLP14</f>
        <v>0</v>
      </c>
      <c r="BKX6" s="44">
        <f>Database!BLQ14</f>
        <v>0</v>
      </c>
      <c r="BKY6" s="44">
        <f>Database!BLR14</f>
        <v>0</v>
      </c>
      <c r="BKZ6" s="44">
        <f>Database!BLS14</f>
        <v>0</v>
      </c>
      <c r="BLA6" s="44">
        <f>Database!BLT14</f>
        <v>0</v>
      </c>
      <c r="BLB6" s="44">
        <f>Database!BLU14</f>
        <v>0</v>
      </c>
      <c r="BLC6" s="44">
        <f>Database!BLV14</f>
        <v>0</v>
      </c>
      <c r="BLD6" s="44">
        <f>Database!BLW14</f>
        <v>0</v>
      </c>
      <c r="BLE6" s="44">
        <f>Database!BLX14</f>
        <v>0</v>
      </c>
      <c r="BLF6" s="44">
        <f>Database!BLY14</f>
        <v>0</v>
      </c>
      <c r="BLG6" s="44">
        <f>Database!BLZ14</f>
        <v>0</v>
      </c>
      <c r="BLH6" s="44">
        <f>Database!BMA14</f>
        <v>0</v>
      </c>
      <c r="BLI6" s="44">
        <f>Database!BMB14</f>
        <v>0</v>
      </c>
      <c r="BLJ6" s="44">
        <f>Database!BMC14</f>
        <v>0</v>
      </c>
      <c r="BLK6" s="44">
        <f>Database!BMD14</f>
        <v>0</v>
      </c>
      <c r="BLL6" s="44">
        <f>Database!BME14</f>
        <v>0</v>
      </c>
      <c r="BLM6" s="44">
        <f>Database!BMF14</f>
        <v>0</v>
      </c>
      <c r="BLN6" s="44">
        <f>Database!BMG14</f>
        <v>0</v>
      </c>
      <c r="BLO6" s="44">
        <f>Database!BMH14</f>
        <v>0</v>
      </c>
      <c r="BLP6" s="44">
        <f>Database!BMI14</f>
        <v>0</v>
      </c>
      <c r="BLQ6" s="44">
        <f>Database!BMJ14</f>
        <v>0</v>
      </c>
      <c r="BLR6" s="44">
        <f>Database!BMK14</f>
        <v>0</v>
      </c>
      <c r="BLS6" s="44">
        <f>Database!BML14</f>
        <v>0</v>
      </c>
      <c r="BLT6" s="44">
        <f>Database!BMM14</f>
        <v>0</v>
      </c>
      <c r="BLU6" s="44">
        <f>Database!BMN14</f>
        <v>0</v>
      </c>
      <c r="BLV6" s="44">
        <f>Database!BMO14</f>
        <v>0</v>
      </c>
      <c r="BLW6" s="44">
        <f>Database!BMP14</f>
        <v>0</v>
      </c>
      <c r="BLX6" s="44">
        <f>Database!BMQ14</f>
        <v>0</v>
      </c>
      <c r="BLY6" s="44">
        <f>Database!BMR14</f>
        <v>0</v>
      </c>
      <c r="BLZ6" s="44">
        <f>Database!BMS14</f>
        <v>0</v>
      </c>
      <c r="BMA6" s="44">
        <f>Database!BMT14</f>
        <v>0</v>
      </c>
      <c r="BMB6" s="44">
        <f>Database!BMU14</f>
        <v>0</v>
      </c>
      <c r="BMC6" s="44">
        <f>Database!BMV14</f>
        <v>0</v>
      </c>
      <c r="BMD6" s="44">
        <f>Database!BMW14</f>
        <v>0</v>
      </c>
      <c r="BME6" s="44">
        <f>Database!BMX14</f>
        <v>0</v>
      </c>
      <c r="BMF6" s="44">
        <f>Database!BMY14</f>
        <v>0</v>
      </c>
      <c r="BMG6" s="44">
        <f>Database!BMZ14</f>
        <v>0</v>
      </c>
      <c r="BMH6" s="44">
        <f>Database!BNA14</f>
        <v>0</v>
      </c>
      <c r="BMI6" s="44">
        <f>Database!BNB14</f>
        <v>0</v>
      </c>
      <c r="BMJ6" s="44">
        <f>Database!BNC14</f>
        <v>0</v>
      </c>
      <c r="BMK6" s="44">
        <f>Database!BND14</f>
        <v>0</v>
      </c>
      <c r="BML6" s="44">
        <f>Database!BNE14</f>
        <v>0</v>
      </c>
      <c r="BMM6" s="44">
        <f>Database!BNF14</f>
        <v>0</v>
      </c>
      <c r="BMN6" s="44">
        <f>Database!BNG14</f>
        <v>0</v>
      </c>
      <c r="BMO6" s="44">
        <f>Database!BNH14</f>
        <v>0</v>
      </c>
      <c r="BMP6" s="44">
        <f>Database!BNI14</f>
        <v>0</v>
      </c>
      <c r="BMQ6" s="44">
        <f>Database!BNJ14</f>
        <v>0</v>
      </c>
      <c r="BMR6" s="44">
        <f>Database!BNK14</f>
        <v>0</v>
      </c>
      <c r="BMS6" s="44">
        <f>Database!BNL14</f>
        <v>0</v>
      </c>
      <c r="BMT6" s="44">
        <f>Database!BNM14</f>
        <v>0</v>
      </c>
      <c r="BMU6" s="44">
        <f>Database!BNN14</f>
        <v>0</v>
      </c>
      <c r="BMV6" s="44">
        <f>Database!BNO14</f>
        <v>0</v>
      </c>
      <c r="BMW6" s="44">
        <f>Database!BNP14</f>
        <v>0</v>
      </c>
      <c r="BMX6" s="44">
        <f>Database!BNQ14</f>
        <v>0</v>
      </c>
      <c r="BMY6" s="44">
        <f>Database!BNR14</f>
        <v>0</v>
      </c>
      <c r="BMZ6" s="44">
        <f>Database!BNS14</f>
        <v>0</v>
      </c>
      <c r="BNA6" s="44">
        <f>Database!BNT14</f>
        <v>0</v>
      </c>
      <c r="BNB6" s="44">
        <f>Database!BNU14</f>
        <v>0</v>
      </c>
      <c r="BNC6" s="44">
        <f>Database!BNV14</f>
        <v>0</v>
      </c>
      <c r="BND6" s="44">
        <f>Database!BNW14</f>
        <v>0</v>
      </c>
      <c r="BNE6" s="44">
        <f>Database!BNX14</f>
        <v>0</v>
      </c>
      <c r="BNF6" s="44">
        <f>Database!BNY14</f>
        <v>0</v>
      </c>
      <c r="BNG6" s="44">
        <f>Database!BNZ14</f>
        <v>0</v>
      </c>
      <c r="BNH6" s="44">
        <f>Database!BOA14</f>
        <v>0</v>
      </c>
      <c r="BNI6" s="44">
        <f>Database!BOB14</f>
        <v>0</v>
      </c>
      <c r="BNJ6" s="44">
        <f>Database!BOC14</f>
        <v>0</v>
      </c>
      <c r="BNK6" s="44">
        <f>Database!BOD14</f>
        <v>0</v>
      </c>
      <c r="BNL6" s="44">
        <f>Database!BOE14</f>
        <v>0</v>
      </c>
      <c r="BNM6" s="44">
        <f>Database!BOF14</f>
        <v>0</v>
      </c>
      <c r="BNN6" s="44">
        <f>Database!BOG14</f>
        <v>0</v>
      </c>
      <c r="BNO6" s="44">
        <f>Database!BOH14</f>
        <v>0</v>
      </c>
      <c r="BNP6" s="44">
        <f>Database!BOI14</f>
        <v>0</v>
      </c>
      <c r="BNQ6" s="44">
        <f>Database!BOJ14</f>
        <v>0</v>
      </c>
      <c r="BNR6" s="44">
        <f>Database!BOK14</f>
        <v>0</v>
      </c>
      <c r="BNS6" s="44">
        <f>Database!BOL14</f>
        <v>0</v>
      </c>
      <c r="BNT6" s="44">
        <f>Database!BOM14</f>
        <v>0</v>
      </c>
      <c r="BNU6" s="44">
        <f>Database!BON14</f>
        <v>0</v>
      </c>
      <c r="BNV6" s="44">
        <f>Database!BOO14</f>
        <v>0</v>
      </c>
      <c r="BNW6" s="44">
        <f>Database!BOP14</f>
        <v>0</v>
      </c>
      <c r="BNX6" s="44">
        <f>Database!BOQ14</f>
        <v>0</v>
      </c>
      <c r="BNY6" s="44">
        <f>Database!BOR14</f>
        <v>0</v>
      </c>
      <c r="BNZ6" s="44">
        <f>Database!BOS14</f>
        <v>0</v>
      </c>
      <c r="BOA6" s="44">
        <f>Database!BOT14</f>
        <v>0</v>
      </c>
      <c r="BOB6" s="44">
        <f>Database!BOU14</f>
        <v>0</v>
      </c>
      <c r="BOC6" s="44">
        <f>Database!BOV14</f>
        <v>0</v>
      </c>
      <c r="BOD6" s="44">
        <f>Database!BOW14</f>
        <v>0</v>
      </c>
      <c r="BOE6" s="44">
        <f>Database!BOX14</f>
        <v>0</v>
      </c>
      <c r="BOF6" s="44">
        <f>Database!BOY14</f>
        <v>0</v>
      </c>
      <c r="BOG6" s="44">
        <f>Database!BOZ14</f>
        <v>0</v>
      </c>
      <c r="BOH6" s="44">
        <f>Database!BPA14</f>
        <v>0</v>
      </c>
      <c r="BOI6" s="44">
        <f>Database!BPB14</f>
        <v>0</v>
      </c>
      <c r="BOJ6" s="44">
        <f>Database!BPC14</f>
        <v>0</v>
      </c>
      <c r="BOK6" s="44">
        <f>Database!BPD14</f>
        <v>0</v>
      </c>
      <c r="BOL6" s="44">
        <f>Database!BPE14</f>
        <v>0</v>
      </c>
      <c r="BOM6" s="44">
        <f>Database!BPF14</f>
        <v>0</v>
      </c>
      <c r="BON6" s="44">
        <f>Database!BPG14</f>
        <v>0</v>
      </c>
      <c r="BOO6" s="44">
        <f>Database!BPH14</f>
        <v>0</v>
      </c>
      <c r="BOP6" s="44">
        <f>Database!BPI14</f>
        <v>0</v>
      </c>
      <c r="BOQ6" s="44">
        <f>Database!BPJ14</f>
        <v>0</v>
      </c>
      <c r="BOR6" s="44">
        <f>Database!BPK14</f>
        <v>0</v>
      </c>
      <c r="BOS6" s="44">
        <f>Database!BPL14</f>
        <v>0</v>
      </c>
      <c r="BOT6" s="44">
        <f>Database!BPM14</f>
        <v>0</v>
      </c>
      <c r="BOU6" s="44">
        <f>Database!BPN14</f>
        <v>0</v>
      </c>
      <c r="BOV6" s="44">
        <f>Database!BPO14</f>
        <v>0</v>
      </c>
      <c r="BOW6" s="44">
        <f>Database!BPP14</f>
        <v>0</v>
      </c>
      <c r="BOX6" s="44">
        <f>Database!BPQ14</f>
        <v>0</v>
      </c>
      <c r="BOY6" s="44">
        <f>Database!BPR14</f>
        <v>0</v>
      </c>
      <c r="BOZ6" s="44">
        <f>Database!BPS14</f>
        <v>0</v>
      </c>
      <c r="BPA6" s="44">
        <f>Database!BPT14</f>
        <v>0</v>
      </c>
      <c r="BPB6" s="44">
        <f>Database!BPU14</f>
        <v>0</v>
      </c>
      <c r="BPC6" s="44">
        <f>Database!BPV14</f>
        <v>0</v>
      </c>
      <c r="BPD6" s="44">
        <f>Database!BPW14</f>
        <v>0</v>
      </c>
      <c r="BPE6" s="44">
        <f>Database!BPX14</f>
        <v>0</v>
      </c>
      <c r="BPF6" s="44">
        <f>Database!BPY14</f>
        <v>0</v>
      </c>
      <c r="BPG6" s="44">
        <f>Database!BPZ14</f>
        <v>0</v>
      </c>
      <c r="BPH6" s="44">
        <f>Database!BQA14</f>
        <v>0</v>
      </c>
      <c r="BPI6" s="44">
        <f>Database!BQB14</f>
        <v>0</v>
      </c>
      <c r="BPJ6" s="44">
        <f>Database!BQC14</f>
        <v>0</v>
      </c>
      <c r="BPK6" s="44">
        <f>Database!BQD14</f>
        <v>0</v>
      </c>
      <c r="BPL6" s="44">
        <f>Database!BQE14</f>
        <v>0</v>
      </c>
      <c r="BPM6" s="44">
        <f>Database!BQF14</f>
        <v>0</v>
      </c>
      <c r="BPN6" s="44">
        <f>Database!BQG14</f>
        <v>0</v>
      </c>
      <c r="BPO6" s="44">
        <f>Database!BQH14</f>
        <v>0</v>
      </c>
      <c r="BPP6" s="44">
        <f>Database!BQI14</f>
        <v>0</v>
      </c>
      <c r="BPQ6" s="44">
        <f>Database!BQJ14</f>
        <v>0</v>
      </c>
      <c r="BPR6" s="44">
        <f>Database!BQK14</f>
        <v>0</v>
      </c>
      <c r="BPS6" s="44">
        <f>Database!BQL14</f>
        <v>0</v>
      </c>
      <c r="BPT6" s="44">
        <f>Database!BQM14</f>
        <v>0</v>
      </c>
      <c r="BPU6" s="44">
        <f>Database!BQN14</f>
        <v>0</v>
      </c>
      <c r="BPV6" s="44">
        <f>Database!BQO14</f>
        <v>0</v>
      </c>
      <c r="BPW6" s="44">
        <f>Database!BQP14</f>
        <v>0</v>
      </c>
      <c r="BPX6" s="44">
        <f>Database!BQQ14</f>
        <v>0</v>
      </c>
      <c r="BPY6" s="44">
        <f>Database!BQR14</f>
        <v>0</v>
      </c>
      <c r="BPZ6" s="44">
        <f>Database!BQS14</f>
        <v>0</v>
      </c>
      <c r="BQA6" s="44">
        <f>Database!BQT14</f>
        <v>0</v>
      </c>
      <c r="BQB6" s="44">
        <f>Database!BQU14</f>
        <v>0</v>
      </c>
      <c r="BQC6" s="44">
        <f>Database!BQV14</f>
        <v>0</v>
      </c>
      <c r="BQD6" s="44">
        <f>Database!BQW14</f>
        <v>0</v>
      </c>
      <c r="BQE6" s="44">
        <f>Database!BQX14</f>
        <v>0</v>
      </c>
      <c r="BQF6" s="44">
        <f>Database!BQY14</f>
        <v>0</v>
      </c>
      <c r="BQG6" s="44">
        <f>Database!BQZ14</f>
        <v>0</v>
      </c>
      <c r="BQH6" s="44">
        <f>Database!BRA14</f>
        <v>0</v>
      </c>
      <c r="BQI6" s="44">
        <f>Database!BRB14</f>
        <v>0</v>
      </c>
      <c r="BQJ6" s="44">
        <f>Database!BRC14</f>
        <v>0</v>
      </c>
      <c r="BQK6" s="44">
        <f>Database!BRD14</f>
        <v>0</v>
      </c>
      <c r="BQL6" s="44">
        <f>Database!BRE14</f>
        <v>0</v>
      </c>
      <c r="BQM6" s="44">
        <f>Database!BRF14</f>
        <v>0</v>
      </c>
      <c r="BQN6" s="44">
        <f>Database!BRG14</f>
        <v>0</v>
      </c>
      <c r="BQO6" s="44">
        <f>Database!BRH14</f>
        <v>0</v>
      </c>
      <c r="BQP6" s="44">
        <f>Database!BRI14</f>
        <v>0</v>
      </c>
      <c r="BQQ6" s="44">
        <f>Database!BRJ14</f>
        <v>0</v>
      </c>
      <c r="BQR6" s="44">
        <f>Database!BRK14</f>
        <v>0</v>
      </c>
      <c r="BQS6" s="44">
        <f>Database!BRL14</f>
        <v>0</v>
      </c>
      <c r="BQT6" s="44">
        <f>Database!BRM14</f>
        <v>0</v>
      </c>
      <c r="BQU6" s="44">
        <f>Database!BRN14</f>
        <v>0</v>
      </c>
      <c r="BQV6" s="44">
        <f>Database!BRO14</f>
        <v>0</v>
      </c>
      <c r="BQW6" s="44">
        <f>Database!BRP14</f>
        <v>0</v>
      </c>
      <c r="BQX6" s="44">
        <f>Database!BRQ14</f>
        <v>0</v>
      </c>
      <c r="BQY6" s="44">
        <f>Database!BRR14</f>
        <v>0</v>
      </c>
      <c r="BQZ6" s="44">
        <f>Database!BRS14</f>
        <v>0</v>
      </c>
      <c r="BRA6" s="44">
        <f>Database!BRT14</f>
        <v>0</v>
      </c>
      <c r="BRB6" s="44">
        <f>Database!BRU14</f>
        <v>0</v>
      </c>
      <c r="BRC6" s="44">
        <f>Database!BRV14</f>
        <v>0</v>
      </c>
      <c r="BRD6" s="44">
        <f>Database!BRW14</f>
        <v>0</v>
      </c>
      <c r="BRE6" s="44">
        <f>Database!BRX14</f>
        <v>0</v>
      </c>
      <c r="BRF6" s="44">
        <f>Database!BRY14</f>
        <v>0</v>
      </c>
      <c r="BRG6" s="44">
        <f>Database!BRZ14</f>
        <v>0</v>
      </c>
      <c r="BRH6" s="44">
        <f>Database!BSA14</f>
        <v>0</v>
      </c>
      <c r="BRI6" s="44">
        <f>Database!BSB14</f>
        <v>0</v>
      </c>
      <c r="BRJ6" s="44">
        <f>Database!BSC14</f>
        <v>0</v>
      </c>
      <c r="BRK6" s="44">
        <f>Database!BSD14</f>
        <v>0</v>
      </c>
      <c r="BRL6" s="44">
        <f>Database!BSE14</f>
        <v>0</v>
      </c>
      <c r="BRM6" s="44">
        <f>Database!BSF14</f>
        <v>0</v>
      </c>
      <c r="BRN6" s="44">
        <f>Database!BSG14</f>
        <v>0</v>
      </c>
      <c r="BRO6" s="44">
        <f>Database!BSH14</f>
        <v>0</v>
      </c>
      <c r="BRP6" s="44">
        <f>Database!BSI14</f>
        <v>0</v>
      </c>
      <c r="BRQ6" s="44">
        <f>Database!BSJ14</f>
        <v>0</v>
      </c>
      <c r="BRR6" s="44">
        <f>Database!BSK14</f>
        <v>0</v>
      </c>
      <c r="BRS6" s="44">
        <f>Database!BSL14</f>
        <v>0</v>
      </c>
      <c r="BRT6" s="44">
        <f>Database!BSM14</f>
        <v>0</v>
      </c>
      <c r="BRU6" s="44">
        <f>Database!BSN14</f>
        <v>0</v>
      </c>
      <c r="BRV6" s="44">
        <f>Database!BSO14</f>
        <v>0</v>
      </c>
      <c r="BRW6" s="44">
        <f>Database!BSP14</f>
        <v>0</v>
      </c>
      <c r="BRX6" s="44">
        <f>Database!BSQ14</f>
        <v>0</v>
      </c>
      <c r="BRY6" s="44">
        <f>Database!BSR14</f>
        <v>0</v>
      </c>
      <c r="BRZ6" s="44">
        <f>Database!BSS14</f>
        <v>0</v>
      </c>
      <c r="BSA6" s="44">
        <f>Database!BST14</f>
        <v>0</v>
      </c>
      <c r="BSB6" s="44">
        <f>Database!BSU14</f>
        <v>0</v>
      </c>
      <c r="BSC6" s="44">
        <f>Database!BSV14</f>
        <v>0</v>
      </c>
      <c r="BSD6" s="44">
        <f>Database!BSW14</f>
        <v>0</v>
      </c>
      <c r="BSE6" s="44">
        <f>Database!BSX14</f>
        <v>0</v>
      </c>
      <c r="BSF6" s="44">
        <f>Database!BSY14</f>
        <v>0</v>
      </c>
      <c r="BSG6" s="44">
        <f>Database!BSZ14</f>
        <v>0</v>
      </c>
      <c r="BSH6" s="44">
        <f>Database!BTA14</f>
        <v>0</v>
      </c>
      <c r="BSI6" s="44">
        <f>Database!BTB14</f>
        <v>0</v>
      </c>
      <c r="BSJ6" s="44">
        <f>Database!BTC14</f>
        <v>0</v>
      </c>
      <c r="BSK6" s="44">
        <f>Database!BTD14</f>
        <v>0</v>
      </c>
      <c r="BSL6" s="44">
        <f>Database!BTE14</f>
        <v>0</v>
      </c>
      <c r="BSM6" s="44">
        <f>Database!BTF14</f>
        <v>0</v>
      </c>
      <c r="BSN6" s="44">
        <f>Database!BTG14</f>
        <v>0</v>
      </c>
      <c r="BSO6" s="44">
        <f>Database!BTH14</f>
        <v>0</v>
      </c>
      <c r="BSP6" s="44">
        <f>Database!BTI14</f>
        <v>0</v>
      </c>
      <c r="BSQ6" s="44">
        <f>Database!BTJ14</f>
        <v>0</v>
      </c>
      <c r="BSR6" s="44">
        <f>Database!BTK14</f>
        <v>0</v>
      </c>
      <c r="BSS6" s="44">
        <f>Database!BTL14</f>
        <v>0</v>
      </c>
      <c r="BST6" s="44">
        <f>Database!BTM14</f>
        <v>0</v>
      </c>
      <c r="BSU6" s="44">
        <f>Database!BTN14</f>
        <v>0</v>
      </c>
      <c r="BSV6" s="44">
        <f>Database!BTO14</f>
        <v>0</v>
      </c>
      <c r="BSW6" s="44">
        <f>Database!BTP14</f>
        <v>0</v>
      </c>
      <c r="BSX6" s="44">
        <f>Database!BTQ14</f>
        <v>0</v>
      </c>
      <c r="BSY6" s="44">
        <f>Database!BTR14</f>
        <v>0</v>
      </c>
      <c r="BSZ6" s="44">
        <f>Database!BTS14</f>
        <v>0</v>
      </c>
      <c r="BTA6" s="44">
        <f>Database!BTT14</f>
        <v>0</v>
      </c>
      <c r="BTB6" s="44">
        <f>Database!BTU14</f>
        <v>0</v>
      </c>
      <c r="BTC6" s="44">
        <f>Database!BTV14</f>
        <v>0</v>
      </c>
      <c r="BTD6" s="44">
        <f>Database!BTW14</f>
        <v>0</v>
      </c>
      <c r="BTE6" s="44">
        <f>Database!BTX14</f>
        <v>0</v>
      </c>
      <c r="BTF6" s="44">
        <f>Database!BTY14</f>
        <v>0</v>
      </c>
      <c r="BTG6" s="44">
        <f>Database!BTZ14</f>
        <v>0</v>
      </c>
      <c r="BTH6" s="44">
        <f>Database!BUA14</f>
        <v>0</v>
      </c>
      <c r="BTI6" s="44">
        <f>Database!BUB14</f>
        <v>0</v>
      </c>
      <c r="BTJ6" s="44">
        <f>Database!BUC14</f>
        <v>0</v>
      </c>
      <c r="BTK6" s="44">
        <f>Database!BUD14</f>
        <v>0</v>
      </c>
      <c r="BTL6" s="44">
        <f>Database!BUE14</f>
        <v>0</v>
      </c>
      <c r="BTM6" s="44">
        <f>Database!BUF14</f>
        <v>0</v>
      </c>
      <c r="BTN6" s="44">
        <f>Database!BUG14</f>
        <v>0</v>
      </c>
      <c r="BTO6" s="44">
        <f>Database!BUH14</f>
        <v>0</v>
      </c>
      <c r="BTP6" s="44">
        <f>Database!BUI14</f>
        <v>0</v>
      </c>
      <c r="BTQ6" s="44">
        <f>Database!BUJ14</f>
        <v>0</v>
      </c>
      <c r="BTR6" s="44">
        <f>Database!BUK14</f>
        <v>0</v>
      </c>
      <c r="BTS6" s="44">
        <f>Database!BUL14</f>
        <v>0</v>
      </c>
      <c r="BTT6" s="44">
        <f>Database!BUM14</f>
        <v>0</v>
      </c>
      <c r="BTU6" s="44">
        <f>Database!BUN14</f>
        <v>0</v>
      </c>
      <c r="BTV6" s="44">
        <f>Database!BUO14</f>
        <v>0</v>
      </c>
      <c r="BTW6" s="44">
        <f>Database!BUP14</f>
        <v>0</v>
      </c>
      <c r="BTX6" s="44">
        <f>Database!BUQ14</f>
        <v>0</v>
      </c>
      <c r="BTY6" s="44">
        <f>Database!BUR14</f>
        <v>0</v>
      </c>
      <c r="BTZ6" s="44">
        <f>Database!BUS14</f>
        <v>0</v>
      </c>
      <c r="BUA6" s="44">
        <f>Database!BUT14</f>
        <v>0</v>
      </c>
      <c r="BUB6" s="44">
        <f>Database!BUU14</f>
        <v>0</v>
      </c>
      <c r="BUC6" s="44">
        <f>Database!BUV14</f>
        <v>0</v>
      </c>
      <c r="BUD6" s="44">
        <f>Database!BUW14</f>
        <v>0</v>
      </c>
      <c r="BUE6" s="44">
        <f>Database!BUX14</f>
        <v>0</v>
      </c>
      <c r="BUF6" s="44">
        <f>Database!BUY14</f>
        <v>0</v>
      </c>
      <c r="BUG6" s="44">
        <f>Database!BUZ14</f>
        <v>0</v>
      </c>
      <c r="BUH6" s="44">
        <f>Database!BVA14</f>
        <v>0</v>
      </c>
      <c r="BUI6" s="44">
        <f>Database!BVB14</f>
        <v>0</v>
      </c>
      <c r="BUJ6" s="44">
        <f>Database!BVC14</f>
        <v>0</v>
      </c>
      <c r="BUK6" s="44">
        <f>Database!BVD14</f>
        <v>0</v>
      </c>
      <c r="BUL6" s="44">
        <f>Database!BVE14</f>
        <v>0</v>
      </c>
      <c r="BUM6" s="44">
        <f>Database!BVF14</f>
        <v>0</v>
      </c>
      <c r="BUN6" s="44">
        <f>Database!BVG14</f>
        <v>0</v>
      </c>
      <c r="BUO6" s="44">
        <f>Database!BVH14</f>
        <v>0</v>
      </c>
      <c r="BUP6" s="44">
        <f>Database!BVI14</f>
        <v>0</v>
      </c>
      <c r="BUQ6" s="44">
        <f>Database!BVJ14</f>
        <v>0</v>
      </c>
      <c r="BUR6" s="44">
        <f>Database!BVK14</f>
        <v>0</v>
      </c>
      <c r="BUS6" s="44">
        <f>Database!BVL14</f>
        <v>0</v>
      </c>
      <c r="BUT6" s="44">
        <f>Database!BVM14</f>
        <v>0</v>
      </c>
      <c r="BUU6" s="44">
        <f>Database!BVN14</f>
        <v>0</v>
      </c>
      <c r="BUV6" s="44">
        <f>Database!BVO14</f>
        <v>0</v>
      </c>
      <c r="BUW6" s="44">
        <f>Database!BVP14</f>
        <v>0</v>
      </c>
      <c r="BUX6" s="44">
        <f>Database!BVQ14</f>
        <v>0</v>
      </c>
      <c r="BUY6" s="44">
        <f>Database!BVR14</f>
        <v>0</v>
      </c>
      <c r="BUZ6" s="44">
        <f>Database!BVS14</f>
        <v>0</v>
      </c>
      <c r="BVA6" s="44">
        <f>Database!BVT14</f>
        <v>0</v>
      </c>
      <c r="BVB6" s="44">
        <f>Database!BVU14</f>
        <v>0</v>
      </c>
      <c r="BVC6" s="44">
        <f>Database!BVV14</f>
        <v>0</v>
      </c>
      <c r="BVD6" s="44">
        <f>Database!BVW14</f>
        <v>0</v>
      </c>
      <c r="BVE6" s="44">
        <f>Database!BVX14</f>
        <v>0</v>
      </c>
      <c r="BVF6" s="44">
        <f>Database!BVY14</f>
        <v>0</v>
      </c>
      <c r="BVG6" s="44">
        <f>Database!BVZ14</f>
        <v>0</v>
      </c>
      <c r="BVH6" s="44">
        <f>Database!BWA14</f>
        <v>0</v>
      </c>
      <c r="BVI6" s="44">
        <f>Database!BWB14</f>
        <v>0</v>
      </c>
      <c r="BVJ6" s="44">
        <f>Database!BWC14</f>
        <v>0</v>
      </c>
      <c r="BVK6" s="44">
        <f>Database!BWD14</f>
        <v>0</v>
      </c>
      <c r="BVL6" s="44">
        <f>Database!BWE14</f>
        <v>0</v>
      </c>
      <c r="BVM6" s="44">
        <f>Database!BWF14</f>
        <v>0</v>
      </c>
      <c r="BVN6" s="44">
        <f>Database!BWG14</f>
        <v>0</v>
      </c>
      <c r="BVO6" s="44">
        <f>Database!BWH14</f>
        <v>0</v>
      </c>
      <c r="BVP6" s="44">
        <f>Database!BWI14</f>
        <v>0</v>
      </c>
      <c r="BVQ6" s="44">
        <f>Database!BWJ14</f>
        <v>0</v>
      </c>
      <c r="BVR6" s="44">
        <f>Database!BWK14</f>
        <v>0</v>
      </c>
      <c r="BVS6" s="44">
        <f>Database!BWL14</f>
        <v>0</v>
      </c>
      <c r="BVT6" s="44">
        <f>Database!BWM14</f>
        <v>0</v>
      </c>
      <c r="BVU6" s="44">
        <f>Database!BWN14</f>
        <v>0</v>
      </c>
      <c r="BVV6" s="44">
        <f>Database!BWO14</f>
        <v>0</v>
      </c>
      <c r="BVW6" s="44">
        <f>Database!BWP14</f>
        <v>0</v>
      </c>
      <c r="BVX6" s="44">
        <f>Database!BWQ14</f>
        <v>0</v>
      </c>
      <c r="BVY6" s="44">
        <f>Database!BWR14</f>
        <v>0</v>
      </c>
      <c r="BVZ6" s="44">
        <f>Database!BWS14</f>
        <v>0</v>
      </c>
      <c r="BWA6" s="44">
        <f>Database!BWT14</f>
        <v>0</v>
      </c>
      <c r="BWB6" s="44">
        <f>Database!BWU14</f>
        <v>0</v>
      </c>
      <c r="BWC6" s="44">
        <f>Database!BWV14</f>
        <v>0</v>
      </c>
      <c r="BWD6" s="44">
        <f>Database!BWW14</f>
        <v>0</v>
      </c>
      <c r="BWE6" s="44">
        <f>Database!BWX14</f>
        <v>0</v>
      </c>
      <c r="BWF6" s="44">
        <f>Database!BWY14</f>
        <v>0</v>
      </c>
      <c r="BWG6" s="44">
        <f>Database!BWZ14</f>
        <v>0</v>
      </c>
      <c r="BWH6" s="44">
        <f>Database!BXA14</f>
        <v>0</v>
      </c>
      <c r="BWI6" s="44">
        <f>Database!BXB14</f>
        <v>0</v>
      </c>
      <c r="BWJ6" s="44">
        <f>Database!BXC14</f>
        <v>0</v>
      </c>
      <c r="BWK6" s="44">
        <f>Database!BXD14</f>
        <v>0</v>
      </c>
      <c r="BWL6" s="44">
        <f>Database!BXE14</f>
        <v>0</v>
      </c>
      <c r="BWM6" s="44">
        <f>Database!BXF14</f>
        <v>0</v>
      </c>
      <c r="BWN6" s="44">
        <f>Database!BXG14</f>
        <v>0</v>
      </c>
      <c r="BWO6" s="44">
        <f>Database!BXH14</f>
        <v>0</v>
      </c>
      <c r="BWP6" s="44">
        <f>Database!BXI14</f>
        <v>0</v>
      </c>
      <c r="BWQ6" s="44">
        <f>Database!BXJ14</f>
        <v>0</v>
      </c>
      <c r="BWR6" s="44">
        <f>Database!BXK14</f>
        <v>0</v>
      </c>
      <c r="BWS6" s="44">
        <f>Database!BXL14</f>
        <v>0</v>
      </c>
      <c r="BWT6" s="44">
        <f>Database!BXM14</f>
        <v>0</v>
      </c>
      <c r="BWU6" s="44">
        <f>Database!BXN14</f>
        <v>0</v>
      </c>
      <c r="BWV6" s="44">
        <f>Database!BXO14</f>
        <v>0</v>
      </c>
      <c r="BWW6" s="44">
        <f>Database!BXP14</f>
        <v>0</v>
      </c>
      <c r="BWX6" s="44">
        <f>Database!BXQ14</f>
        <v>0</v>
      </c>
      <c r="BWY6" s="44">
        <f>Database!BXR14</f>
        <v>0</v>
      </c>
      <c r="BWZ6" s="44">
        <f>Database!BXS14</f>
        <v>0</v>
      </c>
      <c r="BXA6" s="44">
        <f>Database!BXT14</f>
        <v>0</v>
      </c>
      <c r="BXB6" s="44">
        <f>Database!BXU14</f>
        <v>0</v>
      </c>
      <c r="BXC6" s="44">
        <f>Database!BXV14</f>
        <v>0</v>
      </c>
      <c r="BXD6" s="44">
        <f>Database!BXW14</f>
        <v>0</v>
      </c>
      <c r="BXE6" s="44">
        <f>Database!BXX14</f>
        <v>0</v>
      </c>
      <c r="BXF6" s="44">
        <f>Database!BXY14</f>
        <v>0</v>
      </c>
      <c r="BXG6" s="44">
        <f>Database!BXZ14</f>
        <v>0</v>
      </c>
      <c r="BXH6" s="44">
        <f>Database!BYA14</f>
        <v>0</v>
      </c>
      <c r="BXI6" s="44">
        <f>Database!BYB14</f>
        <v>0</v>
      </c>
      <c r="BXJ6" s="44">
        <f>Database!BYC14</f>
        <v>0</v>
      </c>
      <c r="BXK6" s="44">
        <f>Database!BYD14</f>
        <v>0</v>
      </c>
      <c r="BXL6" s="44">
        <f>Database!BYE14</f>
        <v>0</v>
      </c>
      <c r="BXM6" s="44">
        <f>Database!BYF14</f>
        <v>0</v>
      </c>
      <c r="BXN6" s="44">
        <f>Database!BYG14</f>
        <v>0</v>
      </c>
      <c r="BXO6" s="44">
        <f>Database!BYH14</f>
        <v>0</v>
      </c>
      <c r="BXP6" s="44">
        <f>Database!BYI14</f>
        <v>0</v>
      </c>
      <c r="BXQ6" s="44">
        <f>Database!BYJ14</f>
        <v>0</v>
      </c>
      <c r="BXR6" s="44">
        <f>Database!BYK14</f>
        <v>0</v>
      </c>
      <c r="BXS6" s="44">
        <f>Database!BYL14</f>
        <v>0</v>
      </c>
      <c r="BXT6" s="44">
        <f>Database!BYM14</f>
        <v>0</v>
      </c>
      <c r="BXU6" s="44">
        <f>Database!BYN14</f>
        <v>0</v>
      </c>
      <c r="BXV6" s="44">
        <f>Database!BYO14</f>
        <v>0</v>
      </c>
      <c r="BXW6" s="44">
        <f>Database!BYP14</f>
        <v>0</v>
      </c>
      <c r="BXX6" s="44">
        <f>Database!BYQ14</f>
        <v>0</v>
      </c>
      <c r="BXY6" s="44">
        <f>Database!BYR14</f>
        <v>0</v>
      </c>
      <c r="BXZ6" s="44">
        <f>Database!BYS14</f>
        <v>0</v>
      </c>
      <c r="BYA6" s="44">
        <f>Database!BYT14</f>
        <v>0</v>
      </c>
      <c r="BYB6" s="44">
        <f>Database!BYU14</f>
        <v>0</v>
      </c>
      <c r="BYC6" s="44">
        <f>Database!BYV14</f>
        <v>0</v>
      </c>
      <c r="BYD6" s="44">
        <f>Database!BYW14</f>
        <v>0</v>
      </c>
      <c r="BYE6" s="44">
        <f>Database!BYX14</f>
        <v>0</v>
      </c>
      <c r="BYF6" s="44">
        <f>Database!BYY14</f>
        <v>0</v>
      </c>
      <c r="BYG6" s="44">
        <f>Database!BYZ14</f>
        <v>0</v>
      </c>
      <c r="BYH6" s="44">
        <f>Database!BZA14</f>
        <v>0</v>
      </c>
      <c r="BYI6" s="44">
        <f>Database!BZB14</f>
        <v>0</v>
      </c>
      <c r="BYJ6" s="44">
        <f>Database!BZC14</f>
        <v>0</v>
      </c>
      <c r="BYK6" s="44">
        <f>Database!BZD14</f>
        <v>0</v>
      </c>
      <c r="BYL6" s="44">
        <f>Database!BZE14</f>
        <v>0</v>
      </c>
      <c r="BYM6" s="44">
        <f>Database!BZF14</f>
        <v>0</v>
      </c>
      <c r="BYN6" s="44">
        <f>Database!BZG14</f>
        <v>0</v>
      </c>
      <c r="BYO6" s="44">
        <f>Database!BZH14</f>
        <v>0</v>
      </c>
      <c r="BYP6" s="44">
        <f>Database!BZI14</f>
        <v>0</v>
      </c>
      <c r="BYQ6" s="44">
        <f>Database!BZJ14</f>
        <v>0</v>
      </c>
      <c r="BYR6" s="44">
        <f>Database!BZK14</f>
        <v>0</v>
      </c>
      <c r="BYS6" s="44">
        <f>Database!BZL14</f>
        <v>0</v>
      </c>
      <c r="BYT6" s="44">
        <f>Database!BZM14</f>
        <v>0</v>
      </c>
      <c r="BYU6" s="44">
        <f>Database!BZN14</f>
        <v>0</v>
      </c>
      <c r="BYV6" s="44">
        <f>Database!BZO14</f>
        <v>0</v>
      </c>
      <c r="BYW6" s="44">
        <f>Database!BZP14</f>
        <v>0</v>
      </c>
      <c r="BYX6" s="44">
        <f>Database!BZQ14</f>
        <v>0</v>
      </c>
      <c r="BYY6" s="44">
        <f>Database!BZR14</f>
        <v>0</v>
      </c>
      <c r="BYZ6" s="44">
        <f>Database!BZS14</f>
        <v>0</v>
      </c>
      <c r="BZA6" s="44">
        <f>Database!BZT14</f>
        <v>0</v>
      </c>
      <c r="BZB6" s="44">
        <f>Database!BZU14</f>
        <v>0</v>
      </c>
      <c r="BZC6" s="44">
        <f>Database!BZV14</f>
        <v>0</v>
      </c>
      <c r="BZD6" s="44">
        <f>Database!BZW14</f>
        <v>0</v>
      </c>
      <c r="BZE6" s="44">
        <f>Database!BZX14</f>
        <v>0</v>
      </c>
      <c r="BZF6" s="44">
        <f>Database!BZY14</f>
        <v>0</v>
      </c>
      <c r="BZG6" s="44">
        <f>Database!BZZ14</f>
        <v>0</v>
      </c>
      <c r="BZH6" s="44">
        <f>Database!CAA14</f>
        <v>0</v>
      </c>
      <c r="BZI6" s="44">
        <f>Database!CAB14</f>
        <v>0</v>
      </c>
      <c r="BZJ6" s="44">
        <f>Database!CAC14</f>
        <v>0</v>
      </c>
      <c r="BZK6" s="44">
        <f>Database!CAD14</f>
        <v>0</v>
      </c>
      <c r="BZL6" s="44">
        <f>Database!CAE14</f>
        <v>0</v>
      </c>
      <c r="BZM6" s="44">
        <f>Database!CAF14</f>
        <v>0</v>
      </c>
      <c r="BZN6" s="44">
        <f>Database!CAG14</f>
        <v>0</v>
      </c>
      <c r="BZO6" s="44">
        <f>Database!CAH14</f>
        <v>0</v>
      </c>
      <c r="BZP6" s="44">
        <f>Database!CAI14</f>
        <v>0</v>
      </c>
      <c r="BZQ6" s="44">
        <f>Database!CAJ14</f>
        <v>0</v>
      </c>
      <c r="BZR6" s="44">
        <f>Database!CAK14</f>
        <v>0</v>
      </c>
      <c r="BZS6" s="44">
        <f>Database!CAL14</f>
        <v>0</v>
      </c>
      <c r="BZT6" s="44">
        <f>Database!CAM14</f>
        <v>0</v>
      </c>
      <c r="BZU6" s="44">
        <f>Database!CAN14</f>
        <v>0</v>
      </c>
      <c r="BZV6" s="44">
        <f>Database!CAO14</f>
        <v>0</v>
      </c>
      <c r="BZW6" s="44">
        <f>Database!CAP14</f>
        <v>0</v>
      </c>
      <c r="BZX6" s="44">
        <f>Database!CAQ14</f>
        <v>0</v>
      </c>
      <c r="BZY6" s="44">
        <f>Database!CAR14</f>
        <v>0</v>
      </c>
      <c r="BZZ6" s="44">
        <f>Database!CAS14</f>
        <v>0</v>
      </c>
      <c r="CAA6" s="44">
        <f>Database!CAT14</f>
        <v>0</v>
      </c>
      <c r="CAB6" s="44">
        <f>Database!CAU14</f>
        <v>0</v>
      </c>
      <c r="CAC6" s="44">
        <f>Database!CAV14</f>
        <v>0</v>
      </c>
      <c r="CAD6" s="44">
        <f>Database!CAW14</f>
        <v>0</v>
      </c>
      <c r="CAE6" s="44">
        <f>Database!CAX14</f>
        <v>0</v>
      </c>
      <c r="CAF6" s="44">
        <f>Database!CAY14</f>
        <v>0</v>
      </c>
      <c r="CAG6" s="44">
        <f>Database!CAZ14</f>
        <v>0</v>
      </c>
      <c r="CAH6" s="44">
        <f>Database!CBA14</f>
        <v>0</v>
      </c>
      <c r="CAI6" s="44">
        <f>Database!CBB14</f>
        <v>0</v>
      </c>
      <c r="CAJ6" s="44">
        <f>Database!CBC14</f>
        <v>0</v>
      </c>
      <c r="CAK6" s="44">
        <f>Database!CBD14</f>
        <v>0</v>
      </c>
      <c r="CAL6" s="44">
        <f>Database!CBE14</f>
        <v>0</v>
      </c>
      <c r="CAM6" s="44">
        <f>Database!CBF14</f>
        <v>0</v>
      </c>
      <c r="CAN6" s="44">
        <f>Database!CBG14</f>
        <v>0</v>
      </c>
      <c r="CAO6" s="44">
        <f>Database!CBH14</f>
        <v>0</v>
      </c>
      <c r="CAP6" s="44">
        <f>Database!CBI14</f>
        <v>0</v>
      </c>
      <c r="CAQ6" s="44">
        <f>Database!CBJ14</f>
        <v>0</v>
      </c>
      <c r="CAR6" s="44">
        <f>Database!CBK14</f>
        <v>0</v>
      </c>
      <c r="CAS6" s="44">
        <f>Database!CBL14</f>
        <v>0</v>
      </c>
      <c r="CAT6" s="44">
        <f>Database!CBM14</f>
        <v>0</v>
      </c>
      <c r="CAU6" s="44">
        <f>Database!CBN14</f>
        <v>0</v>
      </c>
      <c r="CAV6" s="44">
        <f>Database!CBO14</f>
        <v>0</v>
      </c>
      <c r="CAW6" s="44">
        <f>Database!CBP14</f>
        <v>0</v>
      </c>
      <c r="CAX6" s="44">
        <f>Database!CBQ14</f>
        <v>0</v>
      </c>
      <c r="CAY6" s="44">
        <f>Database!CBR14</f>
        <v>0</v>
      </c>
      <c r="CAZ6" s="44">
        <f>Database!CBS14</f>
        <v>0</v>
      </c>
      <c r="CBA6" s="44">
        <f>Database!CBT14</f>
        <v>0</v>
      </c>
      <c r="CBB6" s="44">
        <f>Database!CBU14</f>
        <v>0</v>
      </c>
      <c r="CBC6" s="44">
        <f>Database!CBV14</f>
        <v>0</v>
      </c>
      <c r="CBD6" s="44">
        <f>Database!CBW14</f>
        <v>0</v>
      </c>
      <c r="CBE6" s="44">
        <f>Database!CBX14</f>
        <v>0</v>
      </c>
      <c r="CBF6" s="44">
        <f>Database!CBY14</f>
        <v>0</v>
      </c>
      <c r="CBG6" s="44">
        <f>Database!CBZ14</f>
        <v>0</v>
      </c>
      <c r="CBH6" s="44">
        <f>Database!CCA14</f>
        <v>0</v>
      </c>
      <c r="CBI6" s="44">
        <f>Database!CCB14</f>
        <v>0</v>
      </c>
      <c r="CBJ6" s="44">
        <f>Database!CCC14</f>
        <v>0</v>
      </c>
      <c r="CBK6" s="44">
        <f>Database!CCD14</f>
        <v>0</v>
      </c>
      <c r="CBL6" s="44">
        <f>Database!CCE14</f>
        <v>0</v>
      </c>
      <c r="CBM6" s="44">
        <f>Database!CCF14</f>
        <v>0</v>
      </c>
      <c r="CBN6" s="44">
        <f>Database!CCG14</f>
        <v>0</v>
      </c>
      <c r="CBO6" s="44">
        <f>Database!CCH14</f>
        <v>0</v>
      </c>
      <c r="CBP6" s="44">
        <f>Database!CCI14</f>
        <v>0</v>
      </c>
      <c r="CBQ6" s="44">
        <f>Database!CCJ14</f>
        <v>0</v>
      </c>
      <c r="CBR6" s="44">
        <f>Database!CCK14</f>
        <v>0</v>
      </c>
      <c r="CBS6" s="44">
        <f>Database!CCL14</f>
        <v>0</v>
      </c>
      <c r="CBT6" s="44">
        <f>Database!CCM14</f>
        <v>0</v>
      </c>
      <c r="CBU6" s="44">
        <f>Database!CCN14</f>
        <v>0</v>
      </c>
      <c r="CBV6" s="44">
        <f>Database!CCO14</f>
        <v>0</v>
      </c>
      <c r="CBW6" s="44">
        <f>Database!CCP14</f>
        <v>0</v>
      </c>
      <c r="CBX6" s="44">
        <f>Database!CCQ14</f>
        <v>0</v>
      </c>
      <c r="CBY6" s="44">
        <f>Database!CCR14</f>
        <v>0</v>
      </c>
      <c r="CBZ6" s="44">
        <f>Database!CCS14</f>
        <v>0</v>
      </c>
      <c r="CCA6" s="44">
        <f>Database!CCT14</f>
        <v>0</v>
      </c>
      <c r="CCB6" s="44">
        <f>Database!CCU14</f>
        <v>0</v>
      </c>
      <c r="CCC6" s="44">
        <f>Database!CCV14</f>
        <v>0</v>
      </c>
      <c r="CCD6" s="44">
        <f>Database!CCW14</f>
        <v>0</v>
      </c>
      <c r="CCE6" s="44">
        <f>Database!CCX14</f>
        <v>0</v>
      </c>
      <c r="CCF6" s="44">
        <f>Database!CCY14</f>
        <v>0</v>
      </c>
      <c r="CCG6" s="44">
        <f>Database!CCZ14</f>
        <v>0</v>
      </c>
      <c r="CCH6" s="44">
        <f>Database!CDA14</f>
        <v>0</v>
      </c>
      <c r="CCI6" s="44">
        <f>Database!CDB14</f>
        <v>0</v>
      </c>
      <c r="CCJ6" s="44">
        <f>Database!CDC14</f>
        <v>0</v>
      </c>
      <c r="CCK6" s="44">
        <f>Database!CDD14</f>
        <v>0</v>
      </c>
      <c r="CCL6" s="44">
        <f>Database!CDE14</f>
        <v>0</v>
      </c>
      <c r="CCM6" s="44">
        <f>Database!CDF14</f>
        <v>0</v>
      </c>
      <c r="CCN6" s="44">
        <f>Database!CDG14</f>
        <v>0</v>
      </c>
      <c r="CCO6" s="44">
        <f>Database!CDH14</f>
        <v>0</v>
      </c>
      <c r="CCP6" s="44">
        <f>Database!CDI14</f>
        <v>0</v>
      </c>
      <c r="CCQ6" s="44">
        <f>Database!CDJ14</f>
        <v>0</v>
      </c>
      <c r="CCR6" s="44">
        <f>Database!CDK14</f>
        <v>0</v>
      </c>
      <c r="CCS6" s="44">
        <f>Database!CDL14</f>
        <v>0</v>
      </c>
      <c r="CCT6" s="44">
        <f>Database!CDM14</f>
        <v>0</v>
      </c>
      <c r="CCU6" s="44">
        <f>Database!CDN14</f>
        <v>0</v>
      </c>
      <c r="CCV6" s="44">
        <f>Database!CDO14</f>
        <v>0</v>
      </c>
      <c r="CCW6" s="44">
        <f>Database!CDP14</f>
        <v>0</v>
      </c>
      <c r="CCX6" s="44">
        <f>Database!CDQ14</f>
        <v>0</v>
      </c>
      <c r="CCY6" s="44">
        <f>Database!CDR14</f>
        <v>0</v>
      </c>
      <c r="CCZ6" s="44">
        <f>Database!CDS14</f>
        <v>0</v>
      </c>
      <c r="CDA6" s="44">
        <f>Database!CDT14</f>
        <v>0</v>
      </c>
      <c r="CDB6" s="44">
        <f>Database!CDU14</f>
        <v>0</v>
      </c>
      <c r="CDC6" s="44">
        <f>Database!CDV14</f>
        <v>0</v>
      </c>
      <c r="CDD6" s="44">
        <f>Database!CDW14</f>
        <v>0</v>
      </c>
      <c r="CDE6" s="44">
        <f>Database!CDX14</f>
        <v>0</v>
      </c>
      <c r="CDF6" s="44">
        <f>Database!CDY14</f>
        <v>0</v>
      </c>
      <c r="CDG6" s="44">
        <f>Database!CDZ14</f>
        <v>0</v>
      </c>
      <c r="CDH6" s="44">
        <f>Database!CEA14</f>
        <v>0</v>
      </c>
      <c r="CDI6" s="44">
        <f>Database!CEB14</f>
        <v>0</v>
      </c>
      <c r="CDJ6" s="44">
        <f>Database!CEC14</f>
        <v>0</v>
      </c>
      <c r="CDK6" s="44">
        <f>Database!CED14</f>
        <v>0</v>
      </c>
      <c r="CDL6" s="44">
        <f>Database!CEE14</f>
        <v>0</v>
      </c>
      <c r="CDM6" s="44">
        <f>Database!CEF14</f>
        <v>0</v>
      </c>
      <c r="CDN6" s="44">
        <f>Database!CEG14</f>
        <v>0</v>
      </c>
      <c r="CDO6" s="44">
        <f>Database!CEH14</f>
        <v>0</v>
      </c>
      <c r="CDP6" s="44">
        <f>Database!CEI14</f>
        <v>0</v>
      </c>
      <c r="CDQ6" s="44">
        <f>Database!CEJ14</f>
        <v>0</v>
      </c>
      <c r="CDR6" s="44">
        <f>Database!CEK14</f>
        <v>0</v>
      </c>
      <c r="CDS6" s="44">
        <f>Database!CEL14</f>
        <v>0</v>
      </c>
      <c r="CDT6" s="44">
        <f>Database!CEM14</f>
        <v>0</v>
      </c>
      <c r="CDU6" s="44">
        <f>Database!CEN14</f>
        <v>0</v>
      </c>
      <c r="CDV6" s="44">
        <f>Database!CEO14</f>
        <v>0</v>
      </c>
      <c r="CDW6" s="44">
        <f>Database!CEP14</f>
        <v>0</v>
      </c>
      <c r="CDX6" s="44">
        <f>Database!CEQ14</f>
        <v>0</v>
      </c>
      <c r="CDY6" s="44">
        <f>Database!CER14</f>
        <v>0</v>
      </c>
      <c r="CDZ6" s="44">
        <f>Database!CES14</f>
        <v>0</v>
      </c>
      <c r="CEA6" s="44">
        <f>Database!CET14</f>
        <v>0</v>
      </c>
      <c r="CEB6" s="44">
        <f>Database!CEU14</f>
        <v>0</v>
      </c>
      <c r="CEC6" s="44">
        <f>Database!CEV14</f>
        <v>0</v>
      </c>
      <c r="CED6" s="44">
        <f>Database!CEW14</f>
        <v>0</v>
      </c>
      <c r="CEE6" s="44">
        <f>Database!CEX14</f>
        <v>0</v>
      </c>
      <c r="CEF6" s="44">
        <f>Database!CEY14</f>
        <v>0</v>
      </c>
      <c r="CEG6" s="44">
        <f>Database!CEZ14</f>
        <v>0</v>
      </c>
      <c r="CEH6" s="44">
        <f>Database!CFA14</f>
        <v>0</v>
      </c>
      <c r="CEI6" s="44">
        <f>Database!CFB14</f>
        <v>0</v>
      </c>
      <c r="CEJ6" s="44">
        <f>Database!CFC14</f>
        <v>0</v>
      </c>
      <c r="CEK6" s="44">
        <f>Database!CFD14</f>
        <v>0</v>
      </c>
      <c r="CEL6" s="44">
        <f>Database!CFE14</f>
        <v>0</v>
      </c>
      <c r="CEM6" s="44">
        <f>Database!CFF14</f>
        <v>0</v>
      </c>
      <c r="CEN6" s="44">
        <f>Database!CFG14</f>
        <v>0</v>
      </c>
      <c r="CEO6" s="44">
        <f>Database!CFH14</f>
        <v>0</v>
      </c>
      <c r="CEP6" s="44">
        <f>Database!CFI14</f>
        <v>0</v>
      </c>
      <c r="CEQ6" s="44">
        <f>Database!CFJ14</f>
        <v>0</v>
      </c>
      <c r="CER6" s="44">
        <f>Database!CFK14</f>
        <v>0</v>
      </c>
      <c r="CES6" s="44">
        <f>Database!CFL14</f>
        <v>0</v>
      </c>
      <c r="CET6" s="44">
        <f>Database!CFM14</f>
        <v>0</v>
      </c>
      <c r="CEU6" s="44">
        <f>Database!CFN14</f>
        <v>0</v>
      </c>
      <c r="CEV6" s="44">
        <f>Database!CFO14</f>
        <v>0</v>
      </c>
      <c r="CEW6" s="44">
        <f>Database!CFP14</f>
        <v>0</v>
      </c>
      <c r="CEX6" s="44">
        <f>Database!CFQ14</f>
        <v>0</v>
      </c>
      <c r="CEY6" s="44">
        <f>Database!CFR14</f>
        <v>0</v>
      </c>
      <c r="CEZ6" s="44">
        <f>Database!CFS14</f>
        <v>0</v>
      </c>
      <c r="CFA6" s="44">
        <f>Database!CFT14</f>
        <v>0</v>
      </c>
      <c r="CFB6" s="44">
        <f>Database!CFU14</f>
        <v>0</v>
      </c>
      <c r="CFC6" s="44">
        <f>Database!CFV14</f>
        <v>0</v>
      </c>
      <c r="CFD6" s="44">
        <f>Database!CFW14</f>
        <v>0</v>
      </c>
      <c r="CFE6" s="44">
        <f>Database!CFX14</f>
        <v>0</v>
      </c>
      <c r="CFF6" s="44">
        <f>Database!CFY14</f>
        <v>0</v>
      </c>
      <c r="CFG6" s="44">
        <f>Database!CFZ14</f>
        <v>0</v>
      </c>
      <c r="CFH6" s="44">
        <f>Database!CGA14</f>
        <v>0</v>
      </c>
      <c r="CFI6" s="44">
        <f>Database!CGB14</f>
        <v>0</v>
      </c>
      <c r="CFJ6" s="44">
        <f>Database!CGC14</f>
        <v>0</v>
      </c>
      <c r="CFK6" s="44">
        <f>Database!CGD14</f>
        <v>0</v>
      </c>
      <c r="CFL6" s="44">
        <f>Database!CGE14</f>
        <v>0</v>
      </c>
      <c r="CFM6" s="44">
        <f>Database!CGF14</f>
        <v>0</v>
      </c>
      <c r="CFN6" s="44">
        <f>Database!CGG14</f>
        <v>0</v>
      </c>
      <c r="CFO6" s="44">
        <f>Database!CGH14</f>
        <v>0</v>
      </c>
      <c r="CFP6" s="44">
        <f>Database!CGI14</f>
        <v>0</v>
      </c>
      <c r="CFQ6" s="44">
        <f>Database!CGJ14</f>
        <v>0</v>
      </c>
      <c r="CFR6" s="44">
        <f>Database!CGK14</f>
        <v>0</v>
      </c>
      <c r="CFS6" s="44">
        <f>Database!CGL14</f>
        <v>0</v>
      </c>
      <c r="CFT6" s="44">
        <f>Database!CGM14</f>
        <v>0</v>
      </c>
      <c r="CFU6" s="44">
        <f>Database!CGN14</f>
        <v>0</v>
      </c>
      <c r="CFV6" s="44">
        <f>Database!CGO14</f>
        <v>0</v>
      </c>
      <c r="CFW6" s="44">
        <f>Database!CGP14</f>
        <v>0</v>
      </c>
      <c r="CFX6" s="44">
        <f>Database!CGQ14</f>
        <v>0</v>
      </c>
      <c r="CFY6" s="44">
        <f>Database!CGR14</f>
        <v>0</v>
      </c>
      <c r="CFZ6" s="44">
        <f>Database!CGS14</f>
        <v>0</v>
      </c>
      <c r="CGA6" s="44">
        <f>Database!CGT14</f>
        <v>0</v>
      </c>
      <c r="CGB6" s="44">
        <f>Database!CGU14</f>
        <v>0</v>
      </c>
      <c r="CGC6" s="44">
        <f>Database!CGV14</f>
        <v>0</v>
      </c>
      <c r="CGD6" s="44">
        <f>Database!CGW14</f>
        <v>0</v>
      </c>
      <c r="CGE6" s="44">
        <f>Database!CGX14</f>
        <v>0</v>
      </c>
      <c r="CGF6" s="44">
        <f>Database!CGY14</f>
        <v>0</v>
      </c>
      <c r="CGG6" s="44">
        <f>Database!CGZ14</f>
        <v>0</v>
      </c>
      <c r="CGH6" s="44">
        <f>Database!CHA14</f>
        <v>0</v>
      </c>
      <c r="CGI6" s="44">
        <f>Database!CHB14</f>
        <v>0</v>
      </c>
      <c r="CGJ6" s="44">
        <f>Database!CHC14</f>
        <v>0</v>
      </c>
      <c r="CGK6" s="44">
        <f>Database!CHD14</f>
        <v>0</v>
      </c>
      <c r="CGL6" s="44">
        <f>Database!CHE14</f>
        <v>0</v>
      </c>
      <c r="CGM6" s="44">
        <f>Database!CHF14</f>
        <v>0</v>
      </c>
      <c r="CGN6" s="44">
        <f>Database!CHG14</f>
        <v>0</v>
      </c>
      <c r="CGO6" s="44">
        <f>Database!CHH14</f>
        <v>0</v>
      </c>
      <c r="CGP6" s="44">
        <f>Database!CHI14</f>
        <v>0</v>
      </c>
      <c r="CGQ6" s="44">
        <f>Database!CHJ14</f>
        <v>0</v>
      </c>
      <c r="CGR6" s="44">
        <f>Database!CHK14</f>
        <v>0</v>
      </c>
      <c r="CGS6" s="44">
        <f>Database!CHL14</f>
        <v>0</v>
      </c>
      <c r="CGT6" s="44">
        <f>Database!CHM14</f>
        <v>0</v>
      </c>
      <c r="CGU6" s="44">
        <f>Database!CHN14</f>
        <v>0</v>
      </c>
      <c r="CGV6" s="44">
        <f>Database!CHO14</f>
        <v>0</v>
      </c>
      <c r="CGW6" s="44">
        <f>Database!CHP14</f>
        <v>0</v>
      </c>
      <c r="CGX6" s="44">
        <f>Database!CHQ14</f>
        <v>0</v>
      </c>
      <c r="CGY6" s="44">
        <f>Database!CHR14</f>
        <v>0</v>
      </c>
      <c r="CGZ6" s="44">
        <f>Database!CHS14</f>
        <v>0</v>
      </c>
      <c r="CHA6" s="44">
        <f>Database!CHT14</f>
        <v>0</v>
      </c>
      <c r="CHB6" s="44">
        <f>Database!CHU14</f>
        <v>0</v>
      </c>
      <c r="CHC6" s="44">
        <f>Database!CHV14</f>
        <v>0</v>
      </c>
      <c r="CHD6" s="44">
        <f>Database!CHW14</f>
        <v>0</v>
      </c>
      <c r="CHE6" s="44">
        <f>Database!CHX14</f>
        <v>0</v>
      </c>
      <c r="CHF6" s="44">
        <f>Database!CHY14</f>
        <v>0</v>
      </c>
      <c r="CHG6" s="44">
        <f>Database!CHZ14</f>
        <v>0</v>
      </c>
      <c r="CHH6" s="44">
        <f>Database!CIA14</f>
        <v>0</v>
      </c>
      <c r="CHI6" s="44">
        <f>Database!CIB14</f>
        <v>0</v>
      </c>
      <c r="CHJ6" s="44">
        <f>Database!CIC14</f>
        <v>0</v>
      </c>
      <c r="CHK6" s="44">
        <f>Database!CID14</f>
        <v>0</v>
      </c>
      <c r="CHL6" s="44">
        <f>Database!CIE14</f>
        <v>0</v>
      </c>
      <c r="CHM6" s="44">
        <f>Database!CIF14</f>
        <v>0</v>
      </c>
      <c r="CHN6" s="44">
        <f>Database!CIG14</f>
        <v>0</v>
      </c>
      <c r="CHO6" s="44">
        <f>Database!CIH14</f>
        <v>0</v>
      </c>
      <c r="CHP6" s="44">
        <f>Database!CII14</f>
        <v>0</v>
      </c>
      <c r="CHQ6" s="44">
        <f>Database!CIJ14</f>
        <v>0</v>
      </c>
      <c r="CHR6" s="44">
        <f>Database!CIK14</f>
        <v>0</v>
      </c>
      <c r="CHS6" s="44">
        <f>Database!CIL14</f>
        <v>0</v>
      </c>
      <c r="CHT6" s="44">
        <f>Database!CIM14</f>
        <v>0</v>
      </c>
      <c r="CHU6" s="44">
        <f>Database!CIN14</f>
        <v>0</v>
      </c>
      <c r="CHV6" s="44">
        <f>Database!CIO14</f>
        <v>0</v>
      </c>
      <c r="CHW6" s="44">
        <f>Database!CIP14</f>
        <v>0</v>
      </c>
      <c r="CHX6" s="44">
        <f>Database!CIQ14</f>
        <v>0</v>
      </c>
      <c r="CHY6" s="44">
        <f>Database!CIR14</f>
        <v>0</v>
      </c>
      <c r="CHZ6" s="44">
        <f>Database!CIS14</f>
        <v>0</v>
      </c>
      <c r="CIA6" s="44">
        <f>Database!CIT14</f>
        <v>0</v>
      </c>
      <c r="CIB6" s="44">
        <f>Database!CIU14</f>
        <v>0</v>
      </c>
      <c r="CIC6" s="44">
        <f>Database!CIV14</f>
        <v>0</v>
      </c>
      <c r="CID6" s="44">
        <f>Database!CIW14</f>
        <v>0</v>
      </c>
      <c r="CIE6" s="44">
        <f>Database!CIX14</f>
        <v>0</v>
      </c>
      <c r="CIF6" s="44">
        <f>Database!CIY14</f>
        <v>0</v>
      </c>
      <c r="CIG6" s="44">
        <f>Database!CIZ14</f>
        <v>0</v>
      </c>
      <c r="CIH6" s="44">
        <f>Database!CJA14</f>
        <v>0</v>
      </c>
      <c r="CII6" s="44">
        <f>Database!CJB14</f>
        <v>0</v>
      </c>
      <c r="CIJ6" s="44">
        <f>Database!CJC14</f>
        <v>0</v>
      </c>
      <c r="CIK6" s="44">
        <f>Database!CJD14</f>
        <v>0</v>
      </c>
      <c r="CIL6" s="44">
        <f>Database!CJE14</f>
        <v>0</v>
      </c>
      <c r="CIM6" s="44">
        <f>Database!CJF14</f>
        <v>0</v>
      </c>
      <c r="CIN6" s="44">
        <f>Database!CJG14</f>
        <v>0</v>
      </c>
      <c r="CIO6" s="44">
        <f>Database!CJH14</f>
        <v>0</v>
      </c>
      <c r="CIP6" s="44">
        <f>Database!CJI14</f>
        <v>0</v>
      </c>
      <c r="CIQ6" s="44">
        <f>Database!CJJ14</f>
        <v>0</v>
      </c>
      <c r="CIR6" s="44">
        <f>Database!CJK14</f>
        <v>0</v>
      </c>
      <c r="CIS6" s="44">
        <f>Database!CJL14</f>
        <v>0</v>
      </c>
      <c r="CIT6" s="44">
        <f>Database!CJM14</f>
        <v>0</v>
      </c>
      <c r="CIU6" s="44">
        <f>Database!CJN14</f>
        <v>0</v>
      </c>
      <c r="CIV6" s="44">
        <f>Database!CJO14</f>
        <v>0</v>
      </c>
      <c r="CIW6" s="44">
        <f>Database!CJP14</f>
        <v>0</v>
      </c>
      <c r="CIX6" s="44">
        <f>Database!CJQ14</f>
        <v>0</v>
      </c>
      <c r="CIY6" s="44">
        <f>Database!CJR14</f>
        <v>0</v>
      </c>
      <c r="CIZ6" s="44">
        <f>Database!CJS14</f>
        <v>0</v>
      </c>
      <c r="CJA6" s="44">
        <f>Database!CJT14</f>
        <v>0</v>
      </c>
      <c r="CJB6" s="44">
        <f>Database!CJU14</f>
        <v>0</v>
      </c>
      <c r="CJC6" s="44">
        <f>Database!CJV14</f>
        <v>0</v>
      </c>
      <c r="CJD6" s="44">
        <f>Database!CJW14</f>
        <v>0</v>
      </c>
      <c r="CJE6" s="44">
        <f>Database!CJX14</f>
        <v>0</v>
      </c>
      <c r="CJF6" s="44">
        <f>Database!CJY14</f>
        <v>0</v>
      </c>
      <c r="CJG6" s="44">
        <f>Database!CJZ14</f>
        <v>0</v>
      </c>
      <c r="CJH6" s="44">
        <f>Database!CKA14</f>
        <v>0</v>
      </c>
      <c r="CJI6" s="44">
        <f>Database!CKB14</f>
        <v>0</v>
      </c>
      <c r="CJJ6" s="44">
        <f>Database!CKC14</f>
        <v>0</v>
      </c>
      <c r="CJK6" s="44">
        <f>Database!CKD14</f>
        <v>0</v>
      </c>
      <c r="CJL6" s="44">
        <f>Database!CKE14</f>
        <v>0</v>
      </c>
      <c r="CJM6" s="44">
        <f>Database!CKF14</f>
        <v>0</v>
      </c>
      <c r="CJN6" s="44">
        <f>Database!CKG14</f>
        <v>0</v>
      </c>
      <c r="CJO6" s="44">
        <f>Database!CKH14</f>
        <v>0</v>
      </c>
      <c r="CJP6" s="44">
        <f>Database!CKI14</f>
        <v>0</v>
      </c>
      <c r="CJQ6" s="44">
        <f>Database!CKJ14</f>
        <v>0</v>
      </c>
      <c r="CJR6" s="44">
        <f>Database!CKK14</f>
        <v>0</v>
      </c>
      <c r="CJS6" s="44">
        <f>Database!CKL14</f>
        <v>0</v>
      </c>
      <c r="CJT6" s="44">
        <f>Database!CKM14</f>
        <v>0</v>
      </c>
      <c r="CJU6" s="44">
        <f>Database!CKN14</f>
        <v>0</v>
      </c>
      <c r="CJV6" s="44">
        <f>Database!CKO14</f>
        <v>0</v>
      </c>
      <c r="CJW6" s="44">
        <f>Database!CKP14</f>
        <v>0</v>
      </c>
      <c r="CJX6" s="44">
        <f>Database!CKQ14</f>
        <v>0</v>
      </c>
      <c r="CJY6" s="44">
        <f>Database!CKR14</f>
        <v>0</v>
      </c>
      <c r="CJZ6" s="44">
        <f>Database!CKS14</f>
        <v>0</v>
      </c>
      <c r="CKA6" s="44">
        <f>Database!CKT14</f>
        <v>0</v>
      </c>
      <c r="CKB6" s="44">
        <f>Database!CKU14</f>
        <v>0</v>
      </c>
      <c r="CKC6" s="44">
        <f>Database!CKV14</f>
        <v>0</v>
      </c>
      <c r="CKD6" s="44">
        <f>Database!CKW14</f>
        <v>0</v>
      </c>
      <c r="CKE6" s="44">
        <f>Database!CKX14</f>
        <v>0</v>
      </c>
      <c r="CKF6" s="44">
        <f>Database!CKY14</f>
        <v>0</v>
      </c>
      <c r="CKG6" s="44">
        <f>Database!CKZ14</f>
        <v>0</v>
      </c>
      <c r="CKH6" s="44">
        <f>Database!CLA14</f>
        <v>0</v>
      </c>
      <c r="CKI6" s="44">
        <f>Database!CLB14</f>
        <v>0</v>
      </c>
      <c r="CKJ6" s="44">
        <f>Database!CLC14</f>
        <v>0</v>
      </c>
      <c r="CKK6" s="44">
        <f>Database!CLD14</f>
        <v>0</v>
      </c>
      <c r="CKL6" s="44">
        <f>Database!CLE14</f>
        <v>0</v>
      </c>
      <c r="CKM6" s="44">
        <f>Database!CLF14</f>
        <v>0</v>
      </c>
      <c r="CKN6" s="44">
        <f>Database!CLG14</f>
        <v>0</v>
      </c>
      <c r="CKO6" s="44">
        <f>Database!CLH14</f>
        <v>0</v>
      </c>
      <c r="CKP6" s="44">
        <f>Database!CLI14</f>
        <v>0</v>
      </c>
      <c r="CKQ6" s="44">
        <f>Database!CLJ14</f>
        <v>0</v>
      </c>
      <c r="CKR6" s="44">
        <f>Database!CLK14</f>
        <v>0</v>
      </c>
      <c r="CKS6" s="44">
        <f>Database!CLL14</f>
        <v>0</v>
      </c>
      <c r="CKT6" s="44">
        <f>Database!CLM14</f>
        <v>0</v>
      </c>
      <c r="CKU6" s="44">
        <f>Database!CLN14</f>
        <v>0</v>
      </c>
      <c r="CKV6" s="44">
        <f>Database!CLO14</f>
        <v>0</v>
      </c>
      <c r="CKW6" s="44">
        <f>Database!CLP14</f>
        <v>0</v>
      </c>
      <c r="CKX6" s="44">
        <f>Database!CLQ14</f>
        <v>0</v>
      </c>
      <c r="CKY6" s="44">
        <f>Database!CLR14</f>
        <v>0</v>
      </c>
      <c r="CKZ6" s="44">
        <f>Database!CLS14</f>
        <v>0</v>
      </c>
      <c r="CLA6" s="44">
        <f>Database!CLT14</f>
        <v>0</v>
      </c>
      <c r="CLB6" s="44">
        <f>Database!CLU14</f>
        <v>0</v>
      </c>
      <c r="CLC6" s="44">
        <f>Database!CLV14</f>
        <v>0</v>
      </c>
      <c r="CLD6" s="44">
        <f>Database!CLW14</f>
        <v>0</v>
      </c>
      <c r="CLE6" s="44">
        <f>Database!CLX14</f>
        <v>0</v>
      </c>
      <c r="CLF6" s="44">
        <f>Database!CLY14</f>
        <v>0</v>
      </c>
      <c r="CLG6" s="44">
        <f>Database!CLZ14</f>
        <v>0</v>
      </c>
      <c r="CLH6" s="44">
        <f>Database!CMA14</f>
        <v>0</v>
      </c>
      <c r="CLI6" s="44">
        <f>Database!CMB14</f>
        <v>0</v>
      </c>
      <c r="CLJ6" s="44">
        <f>Database!CMC14</f>
        <v>0</v>
      </c>
      <c r="CLK6" s="44">
        <f>Database!CMD14</f>
        <v>0</v>
      </c>
      <c r="CLL6" s="44">
        <f>Database!CME14</f>
        <v>0</v>
      </c>
      <c r="CLM6" s="44">
        <f>Database!CMF14</f>
        <v>0</v>
      </c>
      <c r="CLN6" s="44">
        <f>Database!CMG14</f>
        <v>0</v>
      </c>
      <c r="CLO6" s="44">
        <f>Database!CMH14</f>
        <v>0</v>
      </c>
      <c r="CLP6" s="44">
        <f>Database!CMI14</f>
        <v>0</v>
      </c>
      <c r="CLQ6" s="44">
        <f>Database!CMJ14</f>
        <v>0</v>
      </c>
      <c r="CLR6" s="44">
        <f>Database!CMK14</f>
        <v>0</v>
      </c>
      <c r="CLS6" s="44">
        <f>Database!CML14</f>
        <v>0</v>
      </c>
      <c r="CLT6" s="44">
        <f>Database!CMM14</f>
        <v>0</v>
      </c>
      <c r="CLU6" s="44">
        <f>Database!CMN14</f>
        <v>0</v>
      </c>
      <c r="CLV6" s="44">
        <f>Database!CMO14</f>
        <v>0</v>
      </c>
      <c r="CLW6" s="44">
        <f>Database!CMP14</f>
        <v>0</v>
      </c>
      <c r="CLX6" s="44">
        <f>Database!CMQ14</f>
        <v>0</v>
      </c>
      <c r="CLY6" s="44">
        <f>Database!CMR14</f>
        <v>0</v>
      </c>
      <c r="CLZ6" s="44">
        <f>Database!CMS14</f>
        <v>0</v>
      </c>
      <c r="CMA6" s="44">
        <f>Database!CMT14</f>
        <v>0</v>
      </c>
      <c r="CMB6" s="44">
        <f>Database!CMU14</f>
        <v>0</v>
      </c>
      <c r="CMC6" s="44">
        <f>Database!CMV14</f>
        <v>0</v>
      </c>
      <c r="CMD6" s="44">
        <f>Database!CMW14</f>
        <v>0</v>
      </c>
      <c r="CME6" s="44">
        <f>Database!CMX14</f>
        <v>0</v>
      </c>
      <c r="CMF6" s="44">
        <f>Database!CMY14</f>
        <v>0</v>
      </c>
      <c r="CMG6" s="44">
        <f>Database!CMZ14</f>
        <v>0</v>
      </c>
      <c r="CMH6" s="44">
        <f>Database!CNA14</f>
        <v>0</v>
      </c>
      <c r="CMI6" s="44">
        <f>Database!CNB14</f>
        <v>0</v>
      </c>
      <c r="CMJ6" s="44">
        <f>Database!CNC14</f>
        <v>0</v>
      </c>
      <c r="CMK6" s="44">
        <f>Database!CND14</f>
        <v>0</v>
      </c>
      <c r="CML6" s="44">
        <f>Database!CNE14</f>
        <v>0</v>
      </c>
      <c r="CMM6" s="44">
        <f>Database!CNF14</f>
        <v>0</v>
      </c>
      <c r="CMN6" s="44">
        <f>Database!CNG14</f>
        <v>0</v>
      </c>
      <c r="CMO6" s="44">
        <f>Database!CNH14</f>
        <v>0</v>
      </c>
      <c r="CMP6" s="44">
        <f>Database!CNI14</f>
        <v>0</v>
      </c>
      <c r="CMQ6" s="44">
        <f>Database!CNJ14</f>
        <v>0</v>
      </c>
      <c r="CMR6" s="44">
        <f>Database!CNK14</f>
        <v>0</v>
      </c>
      <c r="CMS6" s="44">
        <f>Database!CNL14</f>
        <v>0</v>
      </c>
      <c r="CMT6" s="44">
        <f>Database!CNM14</f>
        <v>0</v>
      </c>
      <c r="CMU6" s="44">
        <f>Database!CNN14</f>
        <v>0</v>
      </c>
      <c r="CMV6" s="44">
        <f>Database!CNO14</f>
        <v>0</v>
      </c>
      <c r="CMW6" s="44">
        <f>Database!CNP14</f>
        <v>0</v>
      </c>
      <c r="CMX6" s="44">
        <f>Database!CNQ14</f>
        <v>0</v>
      </c>
      <c r="CMY6" s="44">
        <f>Database!CNR14</f>
        <v>0</v>
      </c>
      <c r="CMZ6" s="44">
        <f>Database!CNS14</f>
        <v>0</v>
      </c>
      <c r="CNA6" s="44">
        <f>Database!CNT14</f>
        <v>0</v>
      </c>
      <c r="CNB6" s="44">
        <f>Database!CNU14</f>
        <v>0</v>
      </c>
      <c r="CNC6" s="44">
        <f>Database!CNV14</f>
        <v>0</v>
      </c>
      <c r="CND6" s="44">
        <f>Database!CNW14</f>
        <v>0</v>
      </c>
      <c r="CNE6" s="44">
        <f>Database!CNX14</f>
        <v>0</v>
      </c>
      <c r="CNF6" s="44">
        <f>Database!CNY14</f>
        <v>0</v>
      </c>
      <c r="CNG6" s="44">
        <f>Database!CNZ14</f>
        <v>0</v>
      </c>
      <c r="CNH6" s="44">
        <f>Database!COA14</f>
        <v>0</v>
      </c>
      <c r="CNI6" s="44">
        <f>Database!COB14</f>
        <v>0</v>
      </c>
      <c r="CNJ6" s="44">
        <f>Database!COC14</f>
        <v>0</v>
      </c>
      <c r="CNK6" s="44">
        <f>Database!COD14</f>
        <v>0</v>
      </c>
      <c r="CNL6" s="44">
        <f>Database!COE14</f>
        <v>0</v>
      </c>
      <c r="CNM6" s="44">
        <f>Database!COF14</f>
        <v>0</v>
      </c>
      <c r="CNN6" s="44">
        <f>Database!COG14</f>
        <v>0</v>
      </c>
      <c r="CNO6" s="44">
        <f>Database!COH14</f>
        <v>0</v>
      </c>
      <c r="CNP6" s="44">
        <f>Database!COI14</f>
        <v>0</v>
      </c>
      <c r="CNQ6" s="44">
        <f>Database!COJ14</f>
        <v>0</v>
      </c>
      <c r="CNR6" s="44">
        <f>Database!COK14</f>
        <v>0</v>
      </c>
      <c r="CNS6" s="44">
        <f>Database!COL14</f>
        <v>0</v>
      </c>
      <c r="CNT6" s="44">
        <f>Database!COM14</f>
        <v>0</v>
      </c>
      <c r="CNU6" s="44">
        <f>Database!CON14</f>
        <v>0</v>
      </c>
      <c r="CNV6" s="44">
        <f>Database!COO14</f>
        <v>0</v>
      </c>
      <c r="CNW6" s="44">
        <f>Database!COP14</f>
        <v>0</v>
      </c>
      <c r="CNX6" s="44">
        <f>Database!COQ14</f>
        <v>0</v>
      </c>
      <c r="CNY6" s="44">
        <f>Database!COR14</f>
        <v>0</v>
      </c>
      <c r="CNZ6" s="44">
        <f>Database!COS14</f>
        <v>0</v>
      </c>
      <c r="COA6" s="44">
        <f>Database!COT14</f>
        <v>0</v>
      </c>
      <c r="COB6" s="44">
        <f>Database!COU14</f>
        <v>0</v>
      </c>
      <c r="COC6" s="44">
        <f>Database!COV14</f>
        <v>0</v>
      </c>
      <c r="COD6" s="44">
        <f>Database!COW14</f>
        <v>0</v>
      </c>
      <c r="COE6" s="44">
        <f>Database!COX14</f>
        <v>0</v>
      </c>
      <c r="COF6" s="44">
        <f>Database!COY14</f>
        <v>0</v>
      </c>
      <c r="COG6" s="44">
        <f>Database!COZ14</f>
        <v>0</v>
      </c>
      <c r="COH6" s="44">
        <f>Database!CPA14</f>
        <v>0</v>
      </c>
      <c r="COI6" s="44">
        <f>Database!CPB14</f>
        <v>0</v>
      </c>
      <c r="COJ6" s="44">
        <f>Database!CPC14</f>
        <v>0</v>
      </c>
      <c r="COK6" s="44">
        <f>Database!CPD14</f>
        <v>0</v>
      </c>
      <c r="COL6" s="44">
        <f>Database!CPE14</f>
        <v>0</v>
      </c>
      <c r="COM6" s="44">
        <f>Database!CPF14</f>
        <v>0</v>
      </c>
      <c r="CON6" s="44">
        <f>Database!CPG14</f>
        <v>0</v>
      </c>
      <c r="COO6" s="44">
        <f>Database!CPH14</f>
        <v>0</v>
      </c>
      <c r="COP6" s="44">
        <f>Database!CPI14</f>
        <v>0</v>
      </c>
      <c r="COQ6" s="44">
        <f>Database!CPJ14</f>
        <v>0</v>
      </c>
      <c r="COR6" s="44">
        <f>Database!CPK14</f>
        <v>0</v>
      </c>
      <c r="COS6" s="44">
        <f>Database!CPL14</f>
        <v>0</v>
      </c>
      <c r="COT6" s="44">
        <f>Database!CPM14</f>
        <v>0</v>
      </c>
      <c r="COU6" s="44">
        <f>Database!CPN14</f>
        <v>0</v>
      </c>
      <c r="COV6" s="44">
        <f>Database!CPO14</f>
        <v>0</v>
      </c>
      <c r="COW6" s="44">
        <f>Database!CPP14</f>
        <v>0</v>
      </c>
      <c r="COX6" s="44">
        <f>Database!CPQ14</f>
        <v>0</v>
      </c>
      <c r="COY6" s="44">
        <f>Database!CPR14</f>
        <v>0</v>
      </c>
      <c r="COZ6" s="44">
        <f>Database!CPS14</f>
        <v>0</v>
      </c>
      <c r="CPA6" s="44">
        <f>Database!CPT14</f>
        <v>0</v>
      </c>
      <c r="CPB6" s="44">
        <f>Database!CPU14</f>
        <v>0</v>
      </c>
      <c r="CPC6" s="44">
        <f>Database!CPV14</f>
        <v>0</v>
      </c>
      <c r="CPD6" s="44">
        <f>Database!CPW14</f>
        <v>0</v>
      </c>
      <c r="CPE6" s="44">
        <f>Database!CPX14</f>
        <v>0</v>
      </c>
      <c r="CPF6" s="44">
        <f>Database!CPY14</f>
        <v>0</v>
      </c>
      <c r="CPG6" s="44">
        <f>Database!CPZ14</f>
        <v>0</v>
      </c>
      <c r="CPH6" s="44">
        <f>Database!CQA14</f>
        <v>0</v>
      </c>
      <c r="CPI6" s="44">
        <f>Database!CQB14</f>
        <v>0</v>
      </c>
      <c r="CPJ6" s="44">
        <f>Database!CQC14</f>
        <v>0</v>
      </c>
      <c r="CPK6" s="44">
        <f>Database!CQD14</f>
        <v>0</v>
      </c>
      <c r="CPL6" s="44">
        <f>Database!CQE14</f>
        <v>0</v>
      </c>
      <c r="CPM6" s="44">
        <f>Database!CQF14</f>
        <v>0</v>
      </c>
      <c r="CPN6" s="44">
        <f>Database!CQG14</f>
        <v>0</v>
      </c>
      <c r="CPO6" s="44">
        <f>Database!CQH14</f>
        <v>0</v>
      </c>
      <c r="CPP6" s="44">
        <f>Database!CQI14</f>
        <v>0</v>
      </c>
      <c r="CPQ6" s="44">
        <f>Database!CQJ14</f>
        <v>0</v>
      </c>
      <c r="CPR6" s="44">
        <f>Database!CQK14</f>
        <v>0</v>
      </c>
      <c r="CPS6" s="44">
        <f>Database!CQL14</f>
        <v>0</v>
      </c>
      <c r="CPT6" s="44">
        <f>Database!CQM14</f>
        <v>0</v>
      </c>
      <c r="CPU6" s="44">
        <f>Database!CQN14</f>
        <v>0</v>
      </c>
      <c r="CPV6" s="44">
        <f>Database!CQO14</f>
        <v>0</v>
      </c>
      <c r="CPW6" s="44">
        <f>Database!CQP14</f>
        <v>0</v>
      </c>
      <c r="CPX6" s="44">
        <f>Database!CQQ14</f>
        <v>0</v>
      </c>
      <c r="CPY6" s="44">
        <f>Database!CQR14</f>
        <v>0</v>
      </c>
      <c r="CPZ6" s="44">
        <f>Database!CQS14</f>
        <v>0</v>
      </c>
      <c r="CQA6" s="44">
        <f>Database!CQT14</f>
        <v>0</v>
      </c>
      <c r="CQB6" s="44">
        <f>Database!CQU14</f>
        <v>0</v>
      </c>
      <c r="CQC6" s="44">
        <f>Database!CQV14</f>
        <v>0</v>
      </c>
      <c r="CQD6" s="44">
        <f>Database!CQW14</f>
        <v>0</v>
      </c>
      <c r="CQE6" s="44">
        <f>Database!CQX14</f>
        <v>0</v>
      </c>
      <c r="CQF6" s="44">
        <f>Database!CQY14</f>
        <v>0</v>
      </c>
      <c r="CQG6" s="44">
        <f>Database!CQZ14</f>
        <v>0</v>
      </c>
      <c r="CQH6" s="44">
        <f>Database!CRA14</f>
        <v>0</v>
      </c>
      <c r="CQI6" s="44">
        <f>Database!CRB14</f>
        <v>0</v>
      </c>
      <c r="CQJ6" s="44">
        <f>Database!CRC14</f>
        <v>0</v>
      </c>
      <c r="CQK6" s="44">
        <f>Database!CRD14</f>
        <v>0</v>
      </c>
      <c r="CQL6" s="44">
        <f>Database!CRE14</f>
        <v>0</v>
      </c>
      <c r="CQM6" s="44">
        <f>Database!CRF14</f>
        <v>0</v>
      </c>
      <c r="CQN6" s="44">
        <f>Database!CRG14</f>
        <v>0</v>
      </c>
      <c r="CQO6" s="44">
        <f>Database!CRH14</f>
        <v>0</v>
      </c>
      <c r="CQP6" s="44">
        <f>Database!CRI14</f>
        <v>0</v>
      </c>
      <c r="CQQ6" s="44">
        <f>Database!CRJ14</f>
        <v>0</v>
      </c>
      <c r="CQR6" s="44">
        <f>Database!CRK14</f>
        <v>0</v>
      </c>
      <c r="CQS6" s="44">
        <f>Database!CRL14</f>
        <v>0</v>
      </c>
      <c r="CQT6" s="44">
        <f>Database!CRM14</f>
        <v>0</v>
      </c>
      <c r="CQU6" s="44">
        <f>Database!CRN14</f>
        <v>0</v>
      </c>
      <c r="CQV6" s="44">
        <f>Database!CRO14</f>
        <v>0</v>
      </c>
      <c r="CQW6" s="44">
        <f>Database!CRP14</f>
        <v>0</v>
      </c>
      <c r="CQX6" s="44">
        <f>Database!CRQ14</f>
        <v>0</v>
      </c>
      <c r="CQY6" s="44">
        <f>Database!CRR14</f>
        <v>0</v>
      </c>
      <c r="CQZ6" s="44">
        <f>Database!CRS14</f>
        <v>0</v>
      </c>
      <c r="CRA6" s="44">
        <f>Database!CRT14</f>
        <v>0</v>
      </c>
      <c r="CRB6" s="44">
        <f>Database!CRU14</f>
        <v>0</v>
      </c>
      <c r="CRC6" s="44">
        <f>Database!CRV14</f>
        <v>0</v>
      </c>
      <c r="CRD6" s="44">
        <f>Database!CRW14</f>
        <v>0</v>
      </c>
      <c r="CRE6" s="44">
        <f>Database!CRX14</f>
        <v>0</v>
      </c>
      <c r="CRF6" s="44">
        <f>Database!CRY14</f>
        <v>0</v>
      </c>
      <c r="CRG6" s="44">
        <f>Database!CRZ14</f>
        <v>0</v>
      </c>
      <c r="CRH6" s="44">
        <f>Database!CSA14</f>
        <v>0</v>
      </c>
      <c r="CRI6" s="44">
        <f>Database!CSB14</f>
        <v>0</v>
      </c>
      <c r="CRJ6" s="44">
        <f>Database!CSC14</f>
        <v>0</v>
      </c>
      <c r="CRK6" s="44">
        <f>Database!CSD14</f>
        <v>0</v>
      </c>
      <c r="CRL6" s="44">
        <f>Database!CSE14</f>
        <v>0</v>
      </c>
      <c r="CRM6" s="44">
        <f>Database!CSF14</f>
        <v>0</v>
      </c>
      <c r="CRN6" s="44">
        <f>Database!CSG14</f>
        <v>0</v>
      </c>
      <c r="CRO6" s="44">
        <f>Database!CSH14</f>
        <v>0</v>
      </c>
      <c r="CRP6" s="44">
        <f>Database!CSI14</f>
        <v>0</v>
      </c>
      <c r="CRQ6" s="44">
        <f>Database!CSJ14</f>
        <v>0</v>
      </c>
      <c r="CRR6" s="44">
        <f>Database!CSK14</f>
        <v>0</v>
      </c>
      <c r="CRS6" s="44">
        <f>Database!CSL14</f>
        <v>0</v>
      </c>
      <c r="CRT6" s="44">
        <f>Database!CSM14</f>
        <v>0</v>
      </c>
      <c r="CRU6" s="44">
        <f>Database!CSN14</f>
        <v>0</v>
      </c>
      <c r="CRV6" s="44">
        <f>Database!CSO14</f>
        <v>0</v>
      </c>
      <c r="CRW6" s="44">
        <f>Database!CSP14</f>
        <v>0</v>
      </c>
      <c r="CRX6" s="44">
        <f>Database!CSQ14</f>
        <v>0</v>
      </c>
      <c r="CRY6" s="44">
        <f>Database!CSR14</f>
        <v>0</v>
      </c>
      <c r="CRZ6" s="44">
        <f>Database!CSS14</f>
        <v>0</v>
      </c>
      <c r="CSA6" s="44">
        <f>Database!CST14</f>
        <v>0</v>
      </c>
      <c r="CSB6" s="44">
        <f>Database!CSU14</f>
        <v>0</v>
      </c>
      <c r="CSC6" s="44">
        <f>Database!CSV14</f>
        <v>0</v>
      </c>
      <c r="CSD6" s="44">
        <f>Database!CSW14</f>
        <v>0</v>
      </c>
      <c r="CSE6" s="44">
        <f>Database!CSX14</f>
        <v>0</v>
      </c>
      <c r="CSF6" s="44">
        <f>Database!CSY14</f>
        <v>0</v>
      </c>
      <c r="CSG6" s="44">
        <f>Database!CSZ14</f>
        <v>0</v>
      </c>
      <c r="CSH6" s="44">
        <f>Database!CTA14</f>
        <v>0</v>
      </c>
      <c r="CSI6" s="44">
        <f>Database!CTB14</f>
        <v>0</v>
      </c>
      <c r="CSJ6" s="44">
        <f>Database!CTC14</f>
        <v>0</v>
      </c>
      <c r="CSK6" s="44">
        <f>Database!CTD14</f>
        <v>0</v>
      </c>
      <c r="CSL6" s="44">
        <f>Database!CTE14</f>
        <v>0</v>
      </c>
      <c r="CSM6" s="44">
        <f>Database!CTF14</f>
        <v>0</v>
      </c>
      <c r="CSN6" s="44">
        <f>Database!CTG14</f>
        <v>0</v>
      </c>
      <c r="CSO6" s="44">
        <f>Database!CTH14</f>
        <v>0</v>
      </c>
      <c r="CSP6" s="44">
        <f>Database!CTI14</f>
        <v>0</v>
      </c>
      <c r="CSQ6" s="44">
        <f>Database!CTJ14</f>
        <v>0</v>
      </c>
      <c r="CSR6" s="44">
        <f>Database!CTK14</f>
        <v>0</v>
      </c>
      <c r="CSS6" s="44">
        <f>Database!CTL14</f>
        <v>0</v>
      </c>
      <c r="CST6" s="44">
        <f>Database!CTM14</f>
        <v>0</v>
      </c>
      <c r="CSU6" s="44">
        <f>Database!CTN14</f>
        <v>0</v>
      </c>
      <c r="CSV6" s="44">
        <f>Database!CTO14</f>
        <v>0</v>
      </c>
      <c r="CSW6" s="44">
        <f>Database!CTP14</f>
        <v>0</v>
      </c>
      <c r="CSX6" s="44">
        <f>Database!CTQ14</f>
        <v>0</v>
      </c>
      <c r="CSY6" s="44">
        <f>Database!CTR14</f>
        <v>0</v>
      </c>
      <c r="CSZ6" s="44">
        <f>Database!CTS14</f>
        <v>0</v>
      </c>
      <c r="CTA6" s="44">
        <f>Database!CTT14</f>
        <v>0</v>
      </c>
      <c r="CTB6" s="44">
        <f>Database!CTU14</f>
        <v>0</v>
      </c>
      <c r="CTC6" s="44">
        <f>Database!CTV14</f>
        <v>0</v>
      </c>
      <c r="CTD6" s="44">
        <f>Database!CTW14</f>
        <v>0</v>
      </c>
      <c r="CTE6" s="44">
        <f>Database!CTX14</f>
        <v>0</v>
      </c>
      <c r="CTF6" s="44">
        <f>Database!CTY14</f>
        <v>0</v>
      </c>
      <c r="CTG6" s="44">
        <f>Database!CTZ14</f>
        <v>0</v>
      </c>
      <c r="CTH6" s="44">
        <f>Database!CUA14</f>
        <v>0</v>
      </c>
      <c r="CTI6" s="44">
        <f>Database!CUB14</f>
        <v>0</v>
      </c>
      <c r="CTJ6" s="44">
        <f>Database!CUC14</f>
        <v>0</v>
      </c>
      <c r="CTK6" s="44">
        <f>Database!CUD14</f>
        <v>0</v>
      </c>
      <c r="CTL6" s="44">
        <f>Database!CUE14</f>
        <v>0</v>
      </c>
      <c r="CTM6" s="44">
        <f>Database!CUF14</f>
        <v>0</v>
      </c>
      <c r="CTN6" s="44">
        <f>Database!CUG14</f>
        <v>0</v>
      </c>
      <c r="CTO6" s="44">
        <f>Database!CUH14</f>
        <v>0</v>
      </c>
      <c r="CTP6" s="44">
        <f>Database!CUI14</f>
        <v>0</v>
      </c>
      <c r="CTQ6" s="44">
        <f>Database!CUJ14</f>
        <v>0</v>
      </c>
      <c r="CTR6" s="44">
        <f>Database!CUK14</f>
        <v>0</v>
      </c>
      <c r="CTS6" s="44">
        <f>Database!CUL14</f>
        <v>0</v>
      </c>
      <c r="CTT6" s="44">
        <f>Database!CUM14</f>
        <v>0</v>
      </c>
      <c r="CTU6" s="44">
        <f>Database!CUN14</f>
        <v>0</v>
      </c>
      <c r="CTV6" s="44">
        <f>Database!CUO14</f>
        <v>0</v>
      </c>
      <c r="CTW6" s="44">
        <f>Database!CUP14</f>
        <v>0</v>
      </c>
      <c r="CTX6" s="44">
        <f>Database!CUQ14</f>
        <v>0</v>
      </c>
      <c r="CTY6" s="44">
        <f>Database!CUR14</f>
        <v>0</v>
      </c>
      <c r="CTZ6" s="44">
        <f>Database!CUS14</f>
        <v>0</v>
      </c>
      <c r="CUA6" s="44">
        <f>Database!CUT14</f>
        <v>0</v>
      </c>
      <c r="CUB6" s="44">
        <f>Database!CUU14</f>
        <v>0</v>
      </c>
      <c r="CUC6" s="44">
        <f>Database!CUV14</f>
        <v>0</v>
      </c>
      <c r="CUD6" s="44">
        <f>Database!CUW14</f>
        <v>0</v>
      </c>
      <c r="CUE6" s="44">
        <f>Database!CUX14</f>
        <v>0</v>
      </c>
      <c r="CUF6" s="44">
        <f>Database!CUY14</f>
        <v>0</v>
      </c>
      <c r="CUG6" s="44">
        <f>Database!CUZ14</f>
        <v>0</v>
      </c>
      <c r="CUH6" s="44">
        <f>Database!CVA14</f>
        <v>0</v>
      </c>
      <c r="CUI6" s="44">
        <f>Database!CVB14</f>
        <v>0</v>
      </c>
      <c r="CUJ6" s="44">
        <f>Database!CVC14</f>
        <v>0</v>
      </c>
      <c r="CUK6" s="44">
        <f>Database!CVD14</f>
        <v>0</v>
      </c>
      <c r="CUL6" s="44">
        <f>Database!CVE14</f>
        <v>0</v>
      </c>
      <c r="CUM6" s="44">
        <f>Database!CVF14</f>
        <v>0</v>
      </c>
      <c r="CUN6" s="44">
        <f>Database!CVG14</f>
        <v>0</v>
      </c>
      <c r="CUO6" s="44">
        <f>Database!CVH14</f>
        <v>0</v>
      </c>
      <c r="CUP6" s="44">
        <f>Database!CVI14</f>
        <v>0</v>
      </c>
      <c r="CUQ6" s="44">
        <f>Database!CVJ14</f>
        <v>0</v>
      </c>
      <c r="CUR6" s="44">
        <f>Database!CVK14</f>
        <v>0</v>
      </c>
      <c r="CUS6" s="44">
        <f>Database!CVL14</f>
        <v>0</v>
      </c>
      <c r="CUT6" s="44">
        <f>Database!CVM14</f>
        <v>0</v>
      </c>
      <c r="CUU6" s="44">
        <f>Database!CVN14</f>
        <v>0</v>
      </c>
      <c r="CUV6" s="44">
        <f>Database!CVO14</f>
        <v>0</v>
      </c>
      <c r="CUW6" s="44">
        <f>Database!CVP14</f>
        <v>0</v>
      </c>
      <c r="CUX6" s="44">
        <f>Database!CVQ14</f>
        <v>0</v>
      </c>
      <c r="CUY6" s="44">
        <f>Database!CVR14</f>
        <v>0</v>
      </c>
      <c r="CUZ6" s="44">
        <f>Database!CVS14</f>
        <v>0</v>
      </c>
      <c r="CVA6" s="44">
        <f>Database!CVT14</f>
        <v>0</v>
      </c>
      <c r="CVB6" s="44">
        <f>Database!CVU14</f>
        <v>0</v>
      </c>
      <c r="CVC6" s="44">
        <f>Database!CVV14</f>
        <v>0</v>
      </c>
      <c r="CVD6" s="44">
        <f>Database!CVW14</f>
        <v>0</v>
      </c>
      <c r="CVE6" s="44">
        <f>Database!CVX14</f>
        <v>0</v>
      </c>
      <c r="CVF6" s="44">
        <f>Database!CVY14</f>
        <v>0</v>
      </c>
      <c r="CVG6" s="44">
        <f>Database!CVZ14</f>
        <v>0</v>
      </c>
      <c r="CVH6" s="44">
        <f>Database!CWA14</f>
        <v>0</v>
      </c>
      <c r="CVI6" s="44">
        <f>Database!CWB14</f>
        <v>0</v>
      </c>
      <c r="CVJ6" s="44">
        <f>Database!CWC14</f>
        <v>0</v>
      </c>
      <c r="CVK6" s="44">
        <f>Database!CWD14</f>
        <v>0</v>
      </c>
      <c r="CVL6" s="44">
        <f>Database!CWE14</f>
        <v>0</v>
      </c>
      <c r="CVM6" s="44">
        <f>Database!CWF14</f>
        <v>0</v>
      </c>
      <c r="CVN6" s="44">
        <f>Database!CWG14</f>
        <v>0</v>
      </c>
      <c r="CVO6" s="44">
        <f>Database!CWH14</f>
        <v>0</v>
      </c>
      <c r="CVP6" s="44">
        <f>Database!CWI14</f>
        <v>0</v>
      </c>
      <c r="CVQ6" s="44">
        <f>Database!CWJ14</f>
        <v>0</v>
      </c>
      <c r="CVR6" s="44">
        <f>Database!CWK14</f>
        <v>0</v>
      </c>
      <c r="CVS6" s="44">
        <f>Database!CWL14</f>
        <v>0</v>
      </c>
      <c r="CVT6" s="44">
        <f>Database!CWM14</f>
        <v>0</v>
      </c>
      <c r="CVU6" s="44">
        <f>Database!CWN14</f>
        <v>0</v>
      </c>
      <c r="CVV6" s="44">
        <f>Database!CWO14</f>
        <v>0</v>
      </c>
      <c r="CVW6" s="44">
        <f>Database!CWP14</f>
        <v>0</v>
      </c>
      <c r="CVX6" s="44">
        <f>Database!CWQ14</f>
        <v>0</v>
      </c>
      <c r="CVY6" s="44">
        <f>Database!CWR14</f>
        <v>0</v>
      </c>
      <c r="CVZ6" s="44">
        <f>Database!CWS14</f>
        <v>0</v>
      </c>
      <c r="CWA6" s="44">
        <f>Database!CWT14</f>
        <v>0</v>
      </c>
      <c r="CWB6" s="44">
        <f>Database!CWU14</f>
        <v>0</v>
      </c>
      <c r="CWC6" s="44">
        <f>Database!CWV14</f>
        <v>0</v>
      </c>
      <c r="CWD6" s="44">
        <f>Database!CWW14</f>
        <v>0</v>
      </c>
      <c r="CWE6" s="44">
        <f>Database!CWX14</f>
        <v>0</v>
      </c>
      <c r="CWF6" s="44">
        <f>Database!CWY14</f>
        <v>0</v>
      </c>
      <c r="CWG6" s="44">
        <f>Database!CWZ14</f>
        <v>0</v>
      </c>
      <c r="CWH6" s="44">
        <f>Database!CXA14</f>
        <v>0</v>
      </c>
      <c r="CWI6" s="44">
        <f>Database!CXB14</f>
        <v>0</v>
      </c>
      <c r="CWJ6" s="44">
        <f>Database!CXC14</f>
        <v>0</v>
      </c>
      <c r="CWK6" s="44">
        <f>Database!CXD14</f>
        <v>0</v>
      </c>
      <c r="CWL6" s="44">
        <f>Database!CXE14</f>
        <v>0</v>
      </c>
      <c r="CWM6" s="44">
        <f>Database!CXF14</f>
        <v>0</v>
      </c>
      <c r="CWN6" s="44">
        <f>Database!CXG14</f>
        <v>0</v>
      </c>
      <c r="CWO6" s="44">
        <f>Database!CXH14</f>
        <v>0</v>
      </c>
      <c r="CWP6" s="44">
        <f>Database!CXI14</f>
        <v>0</v>
      </c>
      <c r="CWQ6" s="44">
        <f>Database!CXJ14</f>
        <v>0</v>
      </c>
      <c r="CWR6" s="44">
        <f>Database!CXK14</f>
        <v>0</v>
      </c>
      <c r="CWS6" s="44">
        <f>Database!CXL14</f>
        <v>0</v>
      </c>
      <c r="CWT6" s="44">
        <f>Database!CXM14</f>
        <v>0</v>
      </c>
      <c r="CWU6" s="44">
        <f>Database!CXN14</f>
        <v>0</v>
      </c>
      <c r="CWV6" s="44">
        <f>Database!CXO14</f>
        <v>0</v>
      </c>
      <c r="CWW6" s="44">
        <f>Database!CXP14</f>
        <v>0</v>
      </c>
      <c r="CWX6" s="44">
        <f>Database!CXQ14</f>
        <v>0</v>
      </c>
      <c r="CWY6" s="44">
        <f>Database!CXR14</f>
        <v>0</v>
      </c>
      <c r="CWZ6" s="44">
        <f>Database!CXS14</f>
        <v>0</v>
      </c>
      <c r="CXA6" s="44">
        <f>Database!CXT14</f>
        <v>0</v>
      </c>
      <c r="CXB6" s="44">
        <f>Database!CXU14</f>
        <v>0</v>
      </c>
      <c r="CXC6" s="44">
        <f>Database!CXV14</f>
        <v>0</v>
      </c>
      <c r="CXD6" s="44">
        <f>Database!CXW14</f>
        <v>0</v>
      </c>
      <c r="CXE6" s="44">
        <f>Database!CXX14</f>
        <v>0</v>
      </c>
      <c r="CXF6" s="44">
        <f>Database!CXY14</f>
        <v>0</v>
      </c>
      <c r="CXG6" s="44">
        <f>Database!CXZ14</f>
        <v>0</v>
      </c>
      <c r="CXH6" s="44">
        <f>Database!CYA14</f>
        <v>0</v>
      </c>
      <c r="CXI6" s="44">
        <f>Database!CYB14</f>
        <v>0</v>
      </c>
      <c r="CXJ6" s="44">
        <f>Database!CYC14</f>
        <v>0</v>
      </c>
      <c r="CXK6" s="44">
        <f>Database!CYD14</f>
        <v>0</v>
      </c>
      <c r="CXL6" s="44">
        <f>Database!CYE14</f>
        <v>0</v>
      </c>
      <c r="CXM6" s="44">
        <f>Database!CYF14</f>
        <v>0</v>
      </c>
      <c r="CXN6" s="44">
        <f>Database!CYG14</f>
        <v>0</v>
      </c>
      <c r="CXO6" s="44">
        <f>Database!CYH14</f>
        <v>0</v>
      </c>
      <c r="CXP6" s="44">
        <f>Database!CYI14</f>
        <v>0</v>
      </c>
      <c r="CXQ6" s="44">
        <f>Database!CYJ14</f>
        <v>0</v>
      </c>
      <c r="CXR6" s="44">
        <f>Database!CYK14</f>
        <v>0</v>
      </c>
      <c r="CXS6" s="44">
        <f>Database!CYL14</f>
        <v>0</v>
      </c>
      <c r="CXT6" s="44">
        <f>Database!CYM14</f>
        <v>0</v>
      </c>
      <c r="CXU6" s="44">
        <f>Database!CYN14</f>
        <v>0</v>
      </c>
      <c r="CXV6" s="44">
        <f>Database!CYO14</f>
        <v>0</v>
      </c>
      <c r="CXW6" s="44">
        <f>Database!CYP14</f>
        <v>0</v>
      </c>
      <c r="CXX6" s="44">
        <f>Database!CYQ14</f>
        <v>0</v>
      </c>
      <c r="CXY6" s="44">
        <f>Database!CYR14</f>
        <v>0</v>
      </c>
      <c r="CXZ6" s="44">
        <f>Database!CYS14</f>
        <v>0</v>
      </c>
      <c r="CYA6" s="44">
        <f>Database!CYT14</f>
        <v>0</v>
      </c>
      <c r="CYB6" s="44">
        <f>Database!CYU14</f>
        <v>0</v>
      </c>
      <c r="CYC6" s="44">
        <f>Database!CYV14</f>
        <v>0</v>
      </c>
      <c r="CYD6" s="44">
        <f>Database!CYW14</f>
        <v>0</v>
      </c>
      <c r="CYE6" s="44">
        <f>Database!CYX14</f>
        <v>0</v>
      </c>
      <c r="CYF6" s="44">
        <f>Database!CYY14</f>
        <v>0</v>
      </c>
      <c r="CYG6" s="44">
        <f>Database!CYZ14</f>
        <v>0</v>
      </c>
      <c r="CYH6" s="44">
        <f>Database!CZA14</f>
        <v>0</v>
      </c>
      <c r="CYI6" s="44">
        <f>Database!CZB14</f>
        <v>0</v>
      </c>
      <c r="CYJ6" s="44">
        <f>Database!CZC14</f>
        <v>0</v>
      </c>
      <c r="CYK6" s="44">
        <f>Database!CZD14</f>
        <v>0</v>
      </c>
      <c r="CYL6" s="44">
        <f>Database!CZE14</f>
        <v>0</v>
      </c>
      <c r="CYM6" s="44">
        <f>Database!CZF14</f>
        <v>0</v>
      </c>
      <c r="CYN6" s="44">
        <f>Database!CZG14</f>
        <v>0</v>
      </c>
      <c r="CYO6" s="44">
        <f>Database!CZH14</f>
        <v>0</v>
      </c>
      <c r="CYP6" s="44">
        <f>Database!CZI14</f>
        <v>0</v>
      </c>
      <c r="CYQ6" s="44">
        <f>Database!CZJ14</f>
        <v>0</v>
      </c>
      <c r="CYR6" s="44">
        <f>Database!CZK14</f>
        <v>0</v>
      </c>
      <c r="CYS6" s="44">
        <f>Database!CZL14</f>
        <v>0</v>
      </c>
      <c r="CYT6" s="44">
        <f>Database!CZM14</f>
        <v>0</v>
      </c>
      <c r="CYU6" s="44">
        <f>Database!CZN14</f>
        <v>0</v>
      </c>
      <c r="CYV6" s="44">
        <f>Database!CZO14</f>
        <v>0</v>
      </c>
      <c r="CYW6" s="44">
        <f>Database!CZP14</f>
        <v>0</v>
      </c>
      <c r="CYX6" s="44">
        <f>Database!CZQ14</f>
        <v>0</v>
      </c>
      <c r="CYY6" s="44">
        <f>Database!CZR14</f>
        <v>0</v>
      </c>
      <c r="CYZ6" s="44">
        <f>Database!CZS14</f>
        <v>0</v>
      </c>
      <c r="CZA6" s="44">
        <f>Database!CZT14</f>
        <v>0</v>
      </c>
      <c r="CZB6" s="44">
        <f>Database!CZU14</f>
        <v>0</v>
      </c>
      <c r="CZC6" s="44">
        <f>Database!CZV14</f>
        <v>0</v>
      </c>
      <c r="CZD6" s="44">
        <f>Database!CZW14</f>
        <v>0</v>
      </c>
      <c r="CZE6" s="44">
        <f>Database!CZX14</f>
        <v>0</v>
      </c>
      <c r="CZF6" s="44">
        <f>Database!CZY14</f>
        <v>0</v>
      </c>
      <c r="CZG6" s="44">
        <f>Database!CZZ14</f>
        <v>0</v>
      </c>
      <c r="CZH6" s="44">
        <f>Database!DAA14</f>
        <v>0</v>
      </c>
      <c r="CZI6" s="44">
        <f>Database!DAB14</f>
        <v>0</v>
      </c>
      <c r="CZJ6" s="44">
        <f>Database!DAC14</f>
        <v>0</v>
      </c>
      <c r="CZK6" s="44">
        <f>Database!DAD14</f>
        <v>0</v>
      </c>
      <c r="CZL6" s="44">
        <f>Database!DAE14</f>
        <v>0</v>
      </c>
      <c r="CZM6" s="44">
        <f>Database!DAF14</f>
        <v>0</v>
      </c>
      <c r="CZN6" s="44">
        <f>Database!DAG14</f>
        <v>0</v>
      </c>
      <c r="CZO6" s="44">
        <f>Database!DAH14</f>
        <v>0</v>
      </c>
      <c r="CZP6" s="44">
        <f>Database!DAI14</f>
        <v>0</v>
      </c>
      <c r="CZQ6" s="44">
        <f>Database!DAJ14</f>
        <v>0</v>
      </c>
      <c r="CZR6" s="44">
        <f>Database!DAK14</f>
        <v>0</v>
      </c>
      <c r="CZS6" s="44">
        <f>Database!DAL14</f>
        <v>0</v>
      </c>
      <c r="CZT6" s="44">
        <f>Database!DAM14</f>
        <v>0</v>
      </c>
      <c r="CZU6" s="44">
        <f>Database!DAN14</f>
        <v>0</v>
      </c>
      <c r="CZV6" s="44">
        <f>Database!DAO14</f>
        <v>0</v>
      </c>
      <c r="CZW6" s="44">
        <f>Database!DAP14</f>
        <v>0</v>
      </c>
      <c r="CZX6" s="44">
        <f>Database!DAQ14</f>
        <v>0</v>
      </c>
      <c r="CZY6" s="44">
        <f>Database!DAR14</f>
        <v>0</v>
      </c>
      <c r="CZZ6" s="44">
        <f>Database!DAS14</f>
        <v>0</v>
      </c>
      <c r="DAA6" s="44">
        <f>Database!DAT14</f>
        <v>0</v>
      </c>
      <c r="DAB6" s="44">
        <f>Database!DAU14</f>
        <v>0</v>
      </c>
      <c r="DAC6" s="44">
        <f>Database!DAV14</f>
        <v>0</v>
      </c>
      <c r="DAD6" s="44">
        <f>Database!DAW14</f>
        <v>0</v>
      </c>
      <c r="DAE6" s="44">
        <f>Database!DAX14</f>
        <v>0</v>
      </c>
      <c r="DAF6" s="44">
        <f>Database!DAY14</f>
        <v>0</v>
      </c>
      <c r="DAG6" s="44">
        <f>Database!DAZ14</f>
        <v>0</v>
      </c>
      <c r="DAH6" s="44">
        <f>Database!DBA14</f>
        <v>0</v>
      </c>
      <c r="DAI6" s="44">
        <f>Database!DBB14</f>
        <v>0</v>
      </c>
      <c r="DAJ6" s="44">
        <f>Database!DBC14</f>
        <v>0</v>
      </c>
      <c r="DAK6" s="44">
        <f>Database!DBD14</f>
        <v>0</v>
      </c>
      <c r="DAL6" s="44">
        <f>Database!DBE14</f>
        <v>0</v>
      </c>
      <c r="DAM6" s="44">
        <f>Database!DBF14</f>
        <v>0</v>
      </c>
      <c r="DAN6" s="44">
        <f>Database!DBG14</f>
        <v>0</v>
      </c>
      <c r="DAO6" s="44">
        <f>Database!DBH14</f>
        <v>0</v>
      </c>
      <c r="DAP6" s="44">
        <f>Database!DBI14</f>
        <v>0</v>
      </c>
      <c r="DAQ6" s="44">
        <f>Database!DBJ14</f>
        <v>0</v>
      </c>
      <c r="DAR6" s="44">
        <f>Database!DBK14</f>
        <v>0</v>
      </c>
      <c r="DAS6" s="44">
        <f>Database!DBL14</f>
        <v>0</v>
      </c>
      <c r="DAT6" s="44">
        <f>Database!DBM14</f>
        <v>0</v>
      </c>
      <c r="DAU6" s="44">
        <f>Database!DBN14</f>
        <v>0</v>
      </c>
      <c r="DAV6" s="44">
        <f>Database!DBO14</f>
        <v>0</v>
      </c>
      <c r="DAW6" s="44">
        <f>Database!DBP14</f>
        <v>0</v>
      </c>
      <c r="DAX6" s="44">
        <f>Database!DBQ14</f>
        <v>0</v>
      </c>
      <c r="DAY6" s="44">
        <f>Database!DBR14</f>
        <v>0</v>
      </c>
      <c r="DAZ6" s="44">
        <f>Database!DBS14</f>
        <v>0</v>
      </c>
      <c r="DBA6" s="44">
        <f>Database!DBT14</f>
        <v>0</v>
      </c>
      <c r="DBB6" s="44">
        <f>Database!DBU14</f>
        <v>0</v>
      </c>
      <c r="DBC6" s="44">
        <f>Database!DBV14</f>
        <v>0</v>
      </c>
      <c r="DBD6" s="44">
        <f>Database!DBW14</f>
        <v>0</v>
      </c>
      <c r="DBE6" s="44">
        <f>Database!DBX14</f>
        <v>0</v>
      </c>
      <c r="DBF6" s="44">
        <f>Database!DBY14</f>
        <v>0</v>
      </c>
      <c r="DBG6" s="44">
        <f>Database!DBZ14</f>
        <v>0</v>
      </c>
      <c r="DBH6" s="44">
        <f>Database!DCA14</f>
        <v>0</v>
      </c>
      <c r="DBI6" s="44">
        <f>Database!DCB14</f>
        <v>0</v>
      </c>
      <c r="DBJ6" s="44">
        <f>Database!DCC14</f>
        <v>0</v>
      </c>
      <c r="DBK6" s="44">
        <f>Database!DCD14</f>
        <v>0</v>
      </c>
      <c r="DBL6" s="44">
        <f>Database!DCE14</f>
        <v>0</v>
      </c>
      <c r="DBM6" s="44">
        <f>Database!DCF14</f>
        <v>0</v>
      </c>
      <c r="DBN6" s="44">
        <f>Database!DCG14</f>
        <v>0</v>
      </c>
      <c r="DBO6" s="44">
        <f>Database!DCH14</f>
        <v>0</v>
      </c>
      <c r="DBP6" s="44">
        <f>Database!DCI14</f>
        <v>0</v>
      </c>
      <c r="DBQ6" s="44">
        <f>Database!DCJ14</f>
        <v>0</v>
      </c>
      <c r="DBR6" s="44">
        <f>Database!DCK14</f>
        <v>0</v>
      </c>
      <c r="DBS6" s="44">
        <f>Database!DCL14</f>
        <v>0</v>
      </c>
      <c r="DBT6" s="44">
        <f>Database!DCM14</f>
        <v>0</v>
      </c>
      <c r="DBU6" s="44">
        <f>Database!DCN14</f>
        <v>0</v>
      </c>
      <c r="DBV6" s="44">
        <f>Database!DCO14</f>
        <v>0</v>
      </c>
      <c r="DBW6" s="44">
        <f>Database!DCP14</f>
        <v>0</v>
      </c>
      <c r="DBX6" s="44">
        <f>Database!DCQ14</f>
        <v>0</v>
      </c>
      <c r="DBY6" s="44">
        <f>Database!DCR14</f>
        <v>0</v>
      </c>
      <c r="DBZ6" s="44">
        <f>Database!DCS14</f>
        <v>0</v>
      </c>
      <c r="DCA6" s="44">
        <f>Database!DCT14</f>
        <v>0</v>
      </c>
      <c r="DCB6" s="44">
        <f>Database!DCU14</f>
        <v>0</v>
      </c>
      <c r="DCC6" s="44">
        <f>Database!DCV14</f>
        <v>0</v>
      </c>
      <c r="DCD6" s="44">
        <f>Database!DCW14</f>
        <v>0</v>
      </c>
      <c r="DCE6" s="44">
        <f>Database!DCX14</f>
        <v>0</v>
      </c>
      <c r="DCF6" s="44">
        <f>Database!DCY14</f>
        <v>0</v>
      </c>
      <c r="DCG6" s="44">
        <f>Database!DCZ14</f>
        <v>0</v>
      </c>
      <c r="DCH6" s="44">
        <f>Database!DDA14</f>
        <v>0</v>
      </c>
      <c r="DCI6" s="44">
        <f>Database!DDB14</f>
        <v>0</v>
      </c>
      <c r="DCJ6" s="44">
        <f>Database!DDC14</f>
        <v>0</v>
      </c>
      <c r="DCK6" s="44">
        <f>Database!DDD14</f>
        <v>0</v>
      </c>
      <c r="DCL6" s="44">
        <f>Database!DDE14</f>
        <v>0</v>
      </c>
      <c r="DCM6" s="44">
        <f>Database!DDF14</f>
        <v>0</v>
      </c>
      <c r="DCN6" s="44">
        <f>Database!DDG14</f>
        <v>0</v>
      </c>
      <c r="DCO6" s="44">
        <f>Database!DDH14</f>
        <v>0</v>
      </c>
      <c r="DCP6" s="44">
        <f>Database!DDI14</f>
        <v>0</v>
      </c>
      <c r="DCQ6" s="44">
        <f>Database!DDJ14</f>
        <v>0</v>
      </c>
      <c r="DCR6" s="44">
        <f>Database!DDK14</f>
        <v>0</v>
      </c>
      <c r="DCS6" s="44">
        <f>Database!DDL14</f>
        <v>0</v>
      </c>
      <c r="DCT6" s="44">
        <f>Database!DDM14</f>
        <v>0</v>
      </c>
      <c r="DCU6" s="44">
        <f>Database!DDN14</f>
        <v>0</v>
      </c>
      <c r="DCV6" s="44">
        <f>Database!DDO14</f>
        <v>0</v>
      </c>
      <c r="DCW6" s="44">
        <f>Database!DDP14</f>
        <v>0</v>
      </c>
      <c r="DCX6" s="44">
        <f>Database!DDQ14</f>
        <v>0</v>
      </c>
      <c r="DCY6" s="44">
        <f>Database!DDR14</f>
        <v>0</v>
      </c>
      <c r="DCZ6" s="44">
        <f>Database!DDS14</f>
        <v>0</v>
      </c>
      <c r="DDA6" s="44">
        <f>Database!DDT14</f>
        <v>0</v>
      </c>
      <c r="DDB6" s="44">
        <f>Database!DDU14</f>
        <v>0</v>
      </c>
      <c r="DDC6" s="44">
        <f>Database!DDV14</f>
        <v>0</v>
      </c>
      <c r="DDD6" s="44">
        <f>Database!DDW14</f>
        <v>0</v>
      </c>
      <c r="DDE6" s="44">
        <f>Database!DDX14</f>
        <v>0</v>
      </c>
      <c r="DDF6" s="44">
        <f>Database!DDY14</f>
        <v>0</v>
      </c>
      <c r="DDG6" s="44">
        <f>Database!DDZ14</f>
        <v>0</v>
      </c>
      <c r="DDH6" s="44">
        <f>Database!DEA14</f>
        <v>0</v>
      </c>
      <c r="DDI6" s="44">
        <f>Database!DEB14</f>
        <v>0</v>
      </c>
      <c r="DDJ6" s="44">
        <f>Database!DEC14</f>
        <v>0</v>
      </c>
      <c r="DDK6" s="44">
        <f>Database!DED14</f>
        <v>0</v>
      </c>
      <c r="DDL6" s="44">
        <f>Database!DEE14</f>
        <v>0</v>
      </c>
      <c r="DDM6" s="44">
        <f>Database!DEF14</f>
        <v>0</v>
      </c>
      <c r="DDN6" s="44">
        <f>Database!DEG14</f>
        <v>0</v>
      </c>
      <c r="DDO6" s="44">
        <f>Database!DEH14</f>
        <v>0</v>
      </c>
      <c r="DDP6" s="44">
        <f>Database!DEI14</f>
        <v>0</v>
      </c>
      <c r="DDQ6" s="44">
        <f>Database!DEJ14</f>
        <v>0</v>
      </c>
      <c r="DDR6" s="44">
        <f>Database!DEK14</f>
        <v>0</v>
      </c>
      <c r="DDS6" s="44">
        <f>Database!DEL14</f>
        <v>0</v>
      </c>
      <c r="DDT6" s="44">
        <f>Database!DEM14</f>
        <v>0</v>
      </c>
      <c r="DDU6" s="44">
        <f>Database!DEN14</f>
        <v>0</v>
      </c>
      <c r="DDV6" s="44">
        <f>Database!DEO14</f>
        <v>0</v>
      </c>
      <c r="DDW6" s="44">
        <f>Database!DEP14</f>
        <v>0</v>
      </c>
      <c r="DDX6" s="44">
        <f>Database!DEQ14</f>
        <v>0</v>
      </c>
      <c r="DDY6" s="44">
        <f>Database!DER14</f>
        <v>0</v>
      </c>
      <c r="DDZ6" s="44">
        <f>Database!DES14</f>
        <v>0</v>
      </c>
      <c r="DEA6" s="44">
        <f>Database!DET14</f>
        <v>0</v>
      </c>
      <c r="DEB6" s="44">
        <f>Database!DEU14</f>
        <v>0</v>
      </c>
      <c r="DEC6" s="44">
        <f>Database!DEV14</f>
        <v>0</v>
      </c>
      <c r="DED6" s="44">
        <f>Database!DEW14</f>
        <v>0</v>
      </c>
      <c r="DEE6" s="44">
        <f>Database!DEX14</f>
        <v>0</v>
      </c>
      <c r="DEF6" s="44">
        <f>Database!DEY14</f>
        <v>0</v>
      </c>
      <c r="DEG6" s="44">
        <f>Database!DEZ14</f>
        <v>0</v>
      </c>
      <c r="DEH6" s="44">
        <f>Database!DFA14</f>
        <v>0</v>
      </c>
      <c r="DEI6" s="44">
        <f>Database!DFB14</f>
        <v>0</v>
      </c>
      <c r="DEJ6" s="44">
        <f>Database!DFC14</f>
        <v>0</v>
      </c>
      <c r="DEK6" s="44">
        <f>Database!DFD14</f>
        <v>0</v>
      </c>
      <c r="DEL6" s="44">
        <f>Database!DFE14</f>
        <v>0</v>
      </c>
      <c r="DEM6" s="44">
        <f>Database!DFF14</f>
        <v>0</v>
      </c>
      <c r="DEN6" s="44">
        <f>Database!DFG14</f>
        <v>0</v>
      </c>
      <c r="DEO6" s="44">
        <f>Database!DFH14</f>
        <v>0</v>
      </c>
      <c r="DEP6" s="44">
        <f>Database!DFI14</f>
        <v>0</v>
      </c>
      <c r="DEQ6" s="44">
        <f>Database!DFJ14</f>
        <v>0</v>
      </c>
      <c r="DER6" s="44">
        <f>Database!DFK14</f>
        <v>0</v>
      </c>
      <c r="DES6" s="44">
        <f>Database!DFL14</f>
        <v>0</v>
      </c>
      <c r="DET6" s="44">
        <f>Database!DFM14</f>
        <v>0</v>
      </c>
      <c r="DEU6" s="44">
        <f>Database!DFN14</f>
        <v>0</v>
      </c>
      <c r="DEV6" s="44">
        <f>Database!DFO14</f>
        <v>0</v>
      </c>
      <c r="DEW6" s="44">
        <f>Database!DFP14</f>
        <v>0</v>
      </c>
      <c r="DEX6" s="44">
        <f>Database!DFQ14</f>
        <v>0</v>
      </c>
      <c r="DEY6" s="44">
        <f>Database!DFR14</f>
        <v>0</v>
      </c>
      <c r="DEZ6" s="44">
        <f>Database!DFS14</f>
        <v>0</v>
      </c>
      <c r="DFA6" s="44">
        <f>Database!DFT14</f>
        <v>0</v>
      </c>
      <c r="DFB6" s="44">
        <f>Database!DFU14</f>
        <v>0</v>
      </c>
      <c r="DFC6" s="44">
        <f>Database!DFV14</f>
        <v>0</v>
      </c>
      <c r="DFD6" s="44">
        <f>Database!DFW14</f>
        <v>0</v>
      </c>
      <c r="DFE6" s="44">
        <f>Database!DFX14</f>
        <v>0</v>
      </c>
      <c r="DFF6" s="44">
        <f>Database!DFY14</f>
        <v>0</v>
      </c>
      <c r="DFG6" s="44">
        <f>Database!DFZ14</f>
        <v>0</v>
      </c>
      <c r="DFH6" s="44">
        <f>Database!DGA14</f>
        <v>0</v>
      </c>
      <c r="DFI6" s="44">
        <f>Database!DGB14</f>
        <v>0</v>
      </c>
      <c r="DFJ6" s="44">
        <f>Database!DGC14</f>
        <v>0</v>
      </c>
      <c r="DFK6" s="44">
        <f>Database!DGD14</f>
        <v>0</v>
      </c>
      <c r="DFL6" s="44">
        <f>Database!DGE14</f>
        <v>0</v>
      </c>
      <c r="DFM6" s="44">
        <f>Database!DGF14</f>
        <v>0</v>
      </c>
      <c r="DFN6" s="44">
        <f>Database!DGG14</f>
        <v>0</v>
      </c>
      <c r="DFO6" s="44">
        <f>Database!DGH14</f>
        <v>0</v>
      </c>
      <c r="DFP6" s="44">
        <f>Database!DGI14</f>
        <v>0</v>
      </c>
      <c r="DFQ6" s="44">
        <f>Database!DGJ14</f>
        <v>0</v>
      </c>
      <c r="DFR6" s="44">
        <f>Database!DGK14</f>
        <v>0</v>
      </c>
      <c r="DFS6" s="44">
        <f>Database!DGL14</f>
        <v>0</v>
      </c>
      <c r="DFT6" s="44">
        <f>Database!DGM14</f>
        <v>0</v>
      </c>
      <c r="DFU6" s="44">
        <f>Database!DGN14</f>
        <v>0</v>
      </c>
      <c r="DFV6" s="44">
        <f>Database!DGO14</f>
        <v>0</v>
      </c>
      <c r="DFW6" s="44">
        <f>Database!DGP14</f>
        <v>0</v>
      </c>
      <c r="DFX6" s="44">
        <f>Database!DGQ14</f>
        <v>0</v>
      </c>
      <c r="DFY6" s="44">
        <f>Database!DGR14</f>
        <v>0</v>
      </c>
      <c r="DFZ6" s="44">
        <f>Database!DGS14</f>
        <v>0</v>
      </c>
      <c r="DGA6" s="44">
        <f>Database!DGT14</f>
        <v>0</v>
      </c>
      <c r="DGB6" s="44">
        <f>Database!DGU14</f>
        <v>0</v>
      </c>
      <c r="DGC6" s="44">
        <f>Database!DGV14</f>
        <v>0</v>
      </c>
      <c r="DGD6" s="44">
        <f>Database!DGW14</f>
        <v>0</v>
      </c>
      <c r="DGE6" s="44">
        <f>Database!DGX14</f>
        <v>0</v>
      </c>
      <c r="DGF6" s="44">
        <f>Database!DGY14</f>
        <v>0</v>
      </c>
      <c r="DGG6" s="44">
        <f>Database!DGZ14</f>
        <v>0</v>
      </c>
      <c r="DGH6" s="44">
        <f>Database!DHA14</f>
        <v>0</v>
      </c>
      <c r="DGI6" s="44">
        <f>Database!DHB14</f>
        <v>0</v>
      </c>
      <c r="DGJ6" s="44">
        <f>Database!DHC14</f>
        <v>0</v>
      </c>
      <c r="DGK6" s="44">
        <f>Database!DHD14</f>
        <v>0</v>
      </c>
      <c r="DGL6" s="44">
        <f>Database!DHE14</f>
        <v>0</v>
      </c>
      <c r="DGM6" s="44">
        <f>Database!DHF14</f>
        <v>0</v>
      </c>
      <c r="DGN6" s="44">
        <f>Database!DHG14</f>
        <v>0</v>
      </c>
      <c r="DGO6" s="44">
        <f>Database!DHH14</f>
        <v>0</v>
      </c>
      <c r="DGP6" s="44">
        <f>Database!DHI14</f>
        <v>0</v>
      </c>
      <c r="DGQ6" s="44">
        <f>Database!DHJ14</f>
        <v>0</v>
      </c>
      <c r="DGR6" s="44">
        <f>Database!DHK14</f>
        <v>0</v>
      </c>
      <c r="DGS6" s="44">
        <f>Database!DHL14</f>
        <v>0</v>
      </c>
      <c r="DGT6" s="44">
        <f>Database!DHM14</f>
        <v>0</v>
      </c>
      <c r="DGU6" s="44">
        <f>Database!DHN14</f>
        <v>0</v>
      </c>
      <c r="DGV6" s="44">
        <f>Database!DHO14</f>
        <v>0</v>
      </c>
      <c r="DGW6" s="44">
        <f>Database!DHP14</f>
        <v>0</v>
      </c>
      <c r="DGX6" s="44">
        <f>Database!DHQ14</f>
        <v>0</v>
      </c>
      <c r="DGY6" s="44">
        <f>Database!DHR14</f>
        <v>0</v>
      </c>
      <c r="DGZ6" s="44">
        <f>Database!DHS14</f>
        <v>0</v>
      </c>
      <c r="DHA6" s="44">
        <f>Database!DHT14</f>
        <v>0</v>
      </c>
      <c r="DHB6" s="44">
        <f>Database!DHU14</f>
        <v>0</v>
      </c>
      <c r="DHC6" s="44">
        <f>Database!DHV14</f>
        <v>0</v>
      </c>
      <c r="DHD6" s="44">
        <f>Database!DHW14</f>
        <v>0</v>
      </c>
      <c r="DHE6" s="44">
        <f>Database!DHX14</f>
        <v>0</v>
      </c>
      <c r="DHF6" s="44">
        <f>Database!DHY14</f>
        <v>0</v>
      </c>
      <c r="DHG6" s="44">
        <f>Database!DHZ14</f>
        <v>0</v>
      </c>
      <c r="DHH6" s="44">
        <f>Database!DIA14</f>
        <v>0</v>
      </c>
      <c r="DHI6" s="44">
        <f>Database!DIB14</f>
        <v>0</v>
      </c>
      <c r="DHJ6" s="44">
        <f>Database!DIC14</f>
        <v>0</v>
      </c>
      <c r="DHK6" s="44">
        <f>Database!DID14</f>
        <v>0</v>
      </c>
      <c r="DHL6" s="44">
        <f>Database!DIE14</f>
        <v>0</v>
      </c>
      <c r="DHM6" s="44">
        <f>Database!DIF14</f>
        <v>0</v>
      </c>
      <c r="DHN6" s="44">
        <f>Database!DIG14</f>
        <v>0</v>
      </c>
      <c r="DHO6" s="44">
        <f>Database!DIH14</f>
        <v>0</v>
      </c>
      <c r="DHP6" s="44">
        <f>Database!DII14</f>
        <v>0</v>
      </c>
      <c r="DHQ6" s="44">
        <f>Database!DIJ14</f>
        <v>0</v>
      </c>
      <c r="DHR6" s="44">
        <f>Database!DIK14</f>
        <v>0</v>
      </c>
      <c r="DHS6" s="44">
        <f>Database!DIL14</f>
        <v>0</v>
      </c>
      <c r="DHT6" s="44">
        <f>Database!DIM14</f>
        <v>0</v>
      </c>
      <c r="DHU6" s="44">
        <f>Database!DIN14</f>
        <v>0</v>
      </c>
      <c r="DHV6" s="44">
        <f>Database!DIO14</f>
        <v>0</v>
      </c>
      <c r="DHW6" s="44">
        <f>Database!DIP14</f>
        <v>0</v>
      </c>
      <c r="DHX6" s="44">
        <f>Database!DIQ14</f>
        <v>0</v>
      </c>
      <c r="DHY6" s="44">
        <f>Database!DIR14</f>
        <v>0</v>
      </c>
      <c r="DHZ6" s="44">
        <f>Database!DIS14</f>
        <v>0</v>
      </c>
      <c r="DIA6" s="44">
        <f>Database!DIT14</f>
        <v>0</v>
      </c>
      <c r="DIB6" s="44">
        <f>Database!DIU14</f>
        <v>0</v>
      </c>
      <c r="DIC6" s="44">
        <f>Database!DIV14</f>
        <v>0</v>
      </c>
      <c r="DID6" s="44">
        <f>Database!DIW14</f>
        <v>0</v>
      </c>
      <c r="DIE6" s="44">
        <f>Database!DIX14</f>
        <v>0</v>
      </c>
      <c r="DIF6" s="44">
        <f>Database!DIY14</f>
        <v>0</v>
      </c>
      <c r="DIG6" s="44">
        <f>Database!DIZ14</f>
        <v>0</v>
      </c>
      <c r="DIH6" s="44">
        <f>Database!DJA14</f>
        <v>0</v>
      </c>
      <c r="DII6" s="44">
        <f>Database!DJB14</f>
        <v>0</v>
      </c>
      <c r="DIJ6" s="44">
        <f>Database!DJC14</f>
        <v>0</v>
      </c>
      <c r="DIK6" s="44">
        <f>Database!DJD14</f>
        <v>0</v>
      </c>
      <c r="DIL6" s="44">
        <f>Database!DJE14</f>
        <v>0</v>
      </c>
      <c r="DIM6" s="44">
        <f>Database!DJF14</f>
        <v>0</v>
      </c>
      <c r="DIN6" s="44">
        <f>Database!DJG14</f>
        <v>0</v>
      </c>
      <c r="DIO6" s="44">
        <f>Database!DJH14</f>
        <v>0</v>
      </c>
      <c r="DIP6" s="44">
        <f>Database!DJI14</f>
        <v>0</v>
      </c>
      <c r="DIQ6" s="44">
        <f>Database!DJJ14</f>
        <v>0</v>
      </c>
      <c r="DIR6" s="44">
        <f>Database!DJK14</f>
        <v>0</v>
      </c>
      <c r="DIS6" s="44">
        <f>Database!DJL14</f>
        <v>0</v>
      </c>
      <c r="DIT6" s="44">
        <f>Database!DJM14</f>
        <v>0</v>
      </c>
      <c r="DIU6" s="44">
        <f>Database!DJN14</f>
        <v>0</v>
      </c>
      <c r="DIV6" s="44">
        <f>Database!DJO14</f>
        <v>0</v>
      </c>
      <c r="DIW6" s="44">
        <f>Database!DJP14</f>
        <v>0</v>
      </c>
      <c r="DIX6" s="44">
        <f>Database!DJQ14</f>
        <v>0</v>
      </c>
      <c r="DIY6" s="44">
        <f>Database!DJR14</f>
        <v>0</v>
      </c>
      <c r="DIZ6" s="44">
        <f>Database!DJS14</f>
        <v>0</v>
      </c>
      <c r="DJA6" s="44">
        <f>Database!DJT14</f>
        <v>0</v>
      </c>
      <c r="DJB6" s="44">
        <f>Database!DJU14</f>
        <v>0</v>
      </c>
      <c r="DJC6" s="44">
        <f>Database!DJV14</f>
        <v>0</v>
      </c>
      <c r="DJD6" s="44">
        <f>Database!DJW14</f>
        <v>0</v>
      </c>
      <c r="DJE6" s="44">
        <f>Database!DJX14</f>
        <v>0</v>
      </c>
      <c r="DJF6" s="44">
        <f>Database!DJY14</f>
        <v>0</v>
      </c>
      <c r="DJG6" s="44">
        <f>Database!DJZ14</f>
        <v>0</v>
      </c>
      <c r="DJH6" s="44">
        <f>Database!DKA14</f>
        <v>0</v>
      </c>
      <c r="DJI6" s="44">
        <f>Database!DKB14</f>
        <v>0</v>
      </c>
      <c r="DJJ6" s="44">
        <f>Database!DKC14</f>
        <v>0</v>
      </c>
      <c r="DJK6" s="44">
        <f>Database!DKD14</f>
        <v>0</v>
      </c>
      <c r="DJL6" s="44">
        <f>Database!DKE14</f>
        <v>0</v>
      </c>
      <c r="DJM6" s="44">
        <f>Database!DKF14</f>
        <v>0</v>
      </c>
      <c r="DJN6" s="44">
        <f>Database!DKG14</f>
        <v>0</v>
      </c>
      <c r="DJO6" s="44">
        <f>Database!DKH14</f>
        <v>0</v>
      </c>
      <c r="DJP6" s="44">
        <f>Database!DKI14</f>
        <v>0</v>
      </c>
      <c r="DJQ6" s="44">
        <f>Database!DKJ14</f>
        <v>0</v>
      </c>
      <c r="DJR6" s="44">
        <f>Database!DKK14</f>
        <v>0</v>
      </c>
      <c r="DJS6" s="44">
        <f>Database!DKL14</f>
        <v>0</v>
      </c>
      <c r="DJT6" s="44">
        <f>Database!DKM14</f>
        <v>0</v>
      </c>
      <c r="DJU6" s="44">
        <f>Database!DKN14</f>
        <v>0</v>
      </c>
      <c r="DJV6" s="44">
        <f>Database!DKO14</f>
        <v>0</v>
      </c>
      <c r="DJW6" s="44">
        <f>Database!DKP14</f>
        <v>0</v>
      </c>
      <c r="DJX6" s="44">
        <f>Database!DKQ14</f>
        <v>0</v>
      </c>
      <c r="DJY6" s="44">
        <f>Database!DKR14</f>
        <v>0</v>
      </c>
      <c r="DJZ6" s="44">
        <f>Database!DKS14</f>
        <v>0</v>
      </c>
      <c r="DKA6" s="44">
        <f>Database!DKT14</f>
        <v>0</v>
      </c>
      <c r="DKB6" s="44">
        <f>Database!DKU14</f>
        <v>0</v>
      </c>
      <c r="DKC6" s="44">
        <f>Database!DKV14</f>
        <v>0</v>
      </c>
      <c r="DKD6" s="44">
        <f>Database!DKW14</f>
        <v>0</v>
      </c>
      <c r="DKE6" s="44">
        <f>Database!DKX14</f>
        <v>0</v>
      </c>
      <c r="DKF6" s="44">
        <f>Database!DKY14</f>
        <v>0</v>
      </c>
      <c r="DKG6" s="44">
        <f>Database!DKZ14</f>
        <v>0</v>
      </c>
      <c r="DKH6" s="44">
        <f>Database!DLA14</f>
        <v>0</v>
      </c>
      <c r="DKI6" s="44">
        <f>Database!DLB14</f>
        <v>0</v>
      </c>
      <c r="DKJ6" s="44">
        <f>Database!DLC14</f>
        <v>0</v>
      </c>
      <c r="DKK6" s="44">
        <f>Database!DLD14</f>
        <v>0</v>
      </c>
      <c r="DKL6" s="44">
        <f>Database!DLE14</f>
        <v>0</v>
      </c>
      <c r="DKM6" s="44">
        <f>Database!DLF14</f>
        <v>0</v>
      </c>
      <c r="DKN6" s="44">
        <f>Database!DLG14</f>
        <v>0</v>
      </c>
      <c r="DKO6" s="44">
        <f>Database!DLH14</f>
        <v>0</v>
      </c>
      <c r="DKP6" s="44">
        <f>Database!DLI14</f>
        <v>0</v>
      </c>
      <c r="DKQ6" s="44">
        <f>Database!DLJ14</f>
        <v>0</v>
      </c>
      <c r="DKR6" s="44">
        <f>Database!DLK14</f>
        <v>0</v>
      </c>
      <c r="DKS6" s="44">
        <f>Database!DLL14</f>
        <v>0</v>
      </c>
      <c r="DKT6" s="44">
        <f>Database!DLM14</f>
        <v>0</v>
      </c>
      <c r="DKU6" s="44">
        <f>Database!DLN14</f>
        <v>0</v>
      </c>
      <c r="DKV6" s="44">
        <f>Database!DLO14</f>
        <v>0</v>
      </c>
      <c r="DKW6" s="44">
        <f>Database!DLP14</f>
        <v>0</v>
      </c>
      <c r="DKX6" s="44">
        <f>Database!DLQ14</f>
        <v>0</v>
      </c>
      <c r="DKY6" s="44">
        <f>Database!DLR14</f>
        <v>0</v>
      </c>
      <c r="DKZ6" s="44">
        <f>Database!DLS14</f>
        <v>0</v>
      </c>
      <c r="DLA6" s="44">
        <f>Database!DLT14</f>
        <v>0</v>
      </c>
      <c r="DLB6" s="44">
        <f>Database!DLU14</f>
        <v>0</v>
      </c>
      <c r="DLC6" s="44">
        <f>Database!DLV14</f>
        <v>0</v>
      </c>
      <c r="DLD6" s="44">
        <f>Database!DLW14</f>
        <v>0</v>
      </c>
      <c r="DLE6" s="44">
        <f>Database!DLX14</f>
        <v>0</v>
      </c>
      <c r="DLF6" s="44">
        <f>Database!DLY14</f>
        <v>0</v>
      </c>
      <c r="DLG6" s="44">
        <f>Database!DLZ14</f>
        <v>0</v>
      </c>
      <c r="DLH6" s="44">
        <f>Database!DMA14</f>
        <v>0</v>
      </c>
      <c r="DLI6" s="44">
        <f>Database!DMB14</f>
        <v>0</v>
      </c>
      <c r="DLJ6" s="44">
        <f>Database!DMC14</f>
        <v>0</v>
      </c>
      <c r="DLK6" s="44">
        <f>Database!DMD14</f>
        <v>0</v>
      </c>
      <c r="DLL6" s="44">
        <f>Database!DME14</f>
        <v>0</v>
      </c>
      <c r="DLM6" s="44">
        <f>Database!DMF14</f>
        <v>0</v>
      </c>
      <c r="DLN6" s="44">
        <f>Database!DMG14</f>
        <v>0</v>
      </c>
      <c r="DLO6" s="44">
        <f>Database!DMH14</f>
        <v>0</v>
      </c>
      <c r="DLP6" s="44">
        <f>Database!DMI14</f>
        <v>0</v>
      </c>
      <c r="DLQ6" s="44">
        <f>Database!DMJ14</f>
        <v>0</v>
      </c>
      <c r="DLR6" s="44">
        <f>Database!DMK14</f>
        <v>0</v>
      </c>
      <c r="DLS6" s="44">
        <f>Database!DML14</f>
        <v>0</v>
      </c>
      <c r="DLT6" s="44">
        <f>Database!DMM14</f>
        <v>0</v>
      </c>
      <c r="DLU6" s="44">
        <f>Database!DMN14</f>
        <v>0</v>
      </c>
      <c r="DLV6" s="44">
        <f>Database!DMO14</f>
        <v>0</v>
      </c>
      <c r="DLW6" s="44">
        <f>Database!DMP14</f>
        <v>0</v>
      </c>
      <c r="DLX6" s="44">
        <f>Database!DMQ14</f>
        <v>0</v>
      </c>
      <c r="DLY6" s="44">
        <f>Database!DMR14</f>
        <v>0</v>
      </c>
      <c r="DLZ6" s="44">
        <f>Database!DMS14</f>
        <v>0</v>
      </c>
      <c r="DMA6" s="44">
        <f>Database!DMT14</f>
        <v>0</v>
      </c>
      <c r="DMB6" s="44">
        <f>Database!DMU14</f>
        <v>0</v>
      </c>
      <c r="DMC6" s="44">
        <f>Database!DMV14</f>
        <v>0</v>
      </c>
      <c r="DMD6" s="44">
        <f>Database!DMW14</f>
        <v>0</v>
      </c>
      <c r="DME6" s="44">
        <f>Database!DMX14</f>
        <v>0</v>
      </c>
      <c r="DMF6" s="44">
        <f>Database!DMY14</f>
        <v>0</v>
      </c>
      <c r="DMG6" s="44">
        <f>Database!DMZ14</f>
        <v>0</v>
      </c>
      <c r="DMH6" s="44">
        <f>Database!DNA14</f>
        <v>0</v>
      </c>
      <c r="DMI6" s="44">
        <f>Database!DNB14</f>
        <v>0</v>
      </c>
      <c r="DMJ6" s="44">
        <f>Database!DNC14</f>
        <v>0</v>
      </c>
      <c r="DMK6" s="44">
        <f>Database!DND14</f>
        <v>0</v>
      </c>
      <c r="DML6" s="44">
        <f>Database!DNE14</f>
        <v>0</v>
      </c>
      <c r="DMM6" s="44">
        <f>Database!DNF14</f>
        <v>0</v>
      </c>
      <c r="DMN6" s="44">
        <f>Database!DNG14</f>
        <v>0</v>
      </c>
      <c r="DMO6" s="44">
        <f>Database!DNH14</f>
        <v>0</v>
      </c>
      <c r="DMP6" s="44">
        <f>Database!DNI14</f>
        <v>0</v>
      </c>
      <c r="DMQ6" s="44">
        <f>Database!DNJ14</f>
        <v>0</v>
      </c>
      <c r="DMR6" s="44">
        <f>Database!DNK14</f>
        <v>0</v>
      </c>
      <c r="DMS6" s="44">
        <f>Database!DNL14</f>
        <v>0</v>
      </c>
      <c r="DMT6" s="44">
        <f>Database!DNM14</f>
        <v>0</v>
      </c>
      <c r="DMU6" s="44">
        <f>Database!DNN14</f>
        <v>0</v>
      </c>
      <c r="DMV6" s="44">
        <f>Database!DNO14</f>
        <v>0</v>
      </c>
      <c r="DMW6" s="44">
        <f>Database!DNP14</f>
        <v>0</v>
      </c>
      <c r="DMX6" s="44">
        <f>Database!DNQ14</f>
        <v>0</v>
      </c>
      <c r="DMY6" s="44">
        <f>Database!DNR14</f>
        <v>0</v>
      </c>
      <c r="DMZ6" s="44">
        <f>Database!DNS14</f>
        <v>0</v>
      </c>
      <c r="DNA6" s="44">
        <f>Database!DNT14</f>
        <v>0</v>
      </c>
      <c r="DNB6" s="44">
        <f>Database!DNU14</f>
        <v>0</v>
      </c>
      <c r="DNC6" s="44">
        <f>Database!DNV14</f>
        <v>0</v>
      </c>
      <c r="DND6" s="44">
        <f>Database!DNW14</f>
        <v>0</v>
      </c>
      <c r="DNE6" s="44">
        <f>Database!DNX14</f>
        <v>0</v>
      </c>
      <c r="DNF6" s="44">
        <f>Database!DNY14</f>
        <v>0</v>
      </c>
      <c r="DNG6" s="44">
        <f>Database!DNZ14</f>
        <v>0</v>
      </c>
      <c r="DNH6" s="44">
        <f>Database!DOA14</f>
        <v>0</v>
      </c>
      <c r="DNI6" s="44">
        <f>Database!DOB14</f>
        <v>0</v>
      </c>
      <c r="DNJ6" s="44">
        <f>Database!DOC14</f>
        <v>0</v>
      </c>
      <c r="DNK6" s="44">
        <f>Database!DOD14</f>
        <v>0</v>
      </c>
      <c r="DNL6" s="44">
        <f>Database!DOE14</f>
        <v>0</v>
      </c>
      <c r="DNM6" s="44">
        <f>Database!DOF14</f>
        <v>0</v>
      </c>
      <c r="DNN6" s="44">
        <f>Database!DOG14</f>
        <v>0</v>
      </c>
      <c r="DNO6" s="44">
        <f>Database!DOH14</f>
        <v>0</v>
      </c>
      <c r="DNP6" s="44">
        <f>Database!DOI14</f>
        <v>0</v>
      </c>
      <c r="DNQ6" s="44">
        <f>Database!DOJ14</f>
        <v>0</v>
      </c>
      <c r="DNR6" s="44">
        <f>Database!DOK14</f>
        <v>0</v>
      </c>
      <c r="DNS6" s="44">
        <f>Database!DOL14</f>
        <v>0</v>
      </c>
      <c r="DNT6" s="44">
        <f>Database!DOM14</f>
        <v>0</v>
      </c>
      <c r="DNU6" s="44">
        <f>Database!DON14</f>
        <v>0</v>
      </c>
      <c r="DNV6" s="44">
        <f>Database!DOO14</f>
        <v>0</v>
      </c>
      <c r="DNW6" s="44">
        <f>Database!DOP14</f>
        <v>0</v>
      </c>
      <c r="DNX6" s="44">
        <f>Database!DOQ14</f>
        <v>0</v>
      </c>
      <c r="DNY6" s="44">
        <f>Database!DOR14</f>
        <v>0</v>
      </c>
      <c r="DNZ6" s="44">
        <f>Database!DOS14</f>
        <v>0</v>
      </c>
      <c r="DOA6" s="44">
        <f>Database!DOT14</f>
        <v>0</v>
      </c>
      <c r="DOB6" s="44">
        <f>Database!DOU14</f>
        <v>0</v>
      </c>
      <c r="DOC6" s="44">
        <f>Database!DOV14</f>
        <v>0</v>
      </c>
      <c r="DOD6" s="44">
        <f>Database!DOW14</f>
        <v>0</v>
      </c>
      <c r="DOE6" s="44">
        <f>Database!DOX14</f>
        <v>0</v>
      </c>
      <c r="DOF6" s="44">
        <f>Database!DOY14</f>
        <v>0</v>
      </c>
      <c r="DOG6" s="44">
        <f>Database!DOZ14</f>
        <v>0</v>
      </c>
      <c r="DOH6" s="44">
        <f>Database!DPA14</f>
        <v>0</v>
      </c>
      <c r="DOI6" s="44">
        <f>Database!DPB14</f>
        <v>0</v>
      </c>
      <c r="DOJ6" s="44">
        <f>Database!DPC14</f>
        <v>0</v>
      </c>
      <c r="DOK6" s="44">
        <f>Database!DPD14</f>
        <v>0</v>
      </c>
      <c r="DOL6" s="44">
        <f>Database!DPE14</f>
        <v>0</v>
      </c>
      <c r="DOM6" s="44">
        <f>Database!DPF14</f>
        <v>0</v>
      </c>
      <c r="DON6" s="44">
        <f>Database!DPG14</f>
        <v>0</v>
      </c>
      <c r="DOO6" s="44">
        <f>Database!DPH14</f>
        <v>0</v>
      </c>
      <c r="DOP6" s="44">
        <f>Database!DPI14</f>
        <v>0</v>
      </c>
      <c r="DOQ6" s="44">
        <f>Database!DPJ14</f>
        <v>0</v>
      </c>
      <c r="DOR6" s="44">
        <f>Database!DPK14</f>
        <v>0</v>
      </c>
      <c r="DOS6" s="44">
        <f>Database!DPL14</f>
        <v>0</v>
      </c>
      <c r="DOT6" s="44">
        <f>Database!DPM14</f>
        <v>0</v>
      </c>
      <c r="DOU6" s="44">
        <f>Database!DPN14</f>
        <v>0</v>
      </c>
      <c r="DOV6" s="44">
        <f>Database!DPO14</f>
        <v>0</v>
      </c>
      <c r="DOW6" s="44">
        <f>Database!DPP14</f>
        <v>0</v>
      </c>
      <c r="DOX6" s="44">
        <f>Database!DPQ14</f>
        <v>0</v>
      </c>
      <c r="DOY6" s="44">
        <f>Database!DPR14</f>
        <v>0</v>
      </c>
      <c r="DOZ6" s="44">
        <f>Database!DPS14</f>
        <v>0</v>
      </c>
      <c r="DPA6" s="44">
        <f>Database!DPT14</f>
        <v>0</v>
      </c>
      <c r="DPB6" s="44">
        <f>Database!DPU14</f>
        <v>0</v>
      </c>
      <c r="DPC6" s="44">
        <f>Database!DPV14</f>
        <v>0</v>
      </c>
      <c r="DPD6" s="44">
        <f>Database!DPW14</f>
        <v>0</v>
      </c>
      <c r="DPE6" s="44">
        <f>Database!DPX14</f>
        <v>0</v>
      </c>
      <c r="DPF6" s="44">
        <f>Database!DPY14</f>
        <v>0</v>
      </c>
      <c r="DPG6" s="44">
        <f>Database!DPZ14</f>
        <v>0</v>
      </c>
      <c r="DPH6" s="44">
        <f>Database!DQA14</f>
        <v>0</v>
      </c>
      <c r="DPI6" s="44">
        <f>Database!DQB14</f>
        <v>0</v>
      </c>
      <c r="DPJ6" s="44">
        <f>Database!DQC14</f>
        <v>0</v>
      </c>
      <c r="DPK6" s="44">
        <f>Database!DQD14</f>
        <v>0</v>
      </c>
      <c r="DPL6" s="44">
        <f>Database!DQE14</f>
        <v>0</v>
      </c>
      <c r="DPM6" s="44">
        <f>Database!DQF14</f>
        <v>0</v>
      </c>
      <c r="DPN6" s="44">
        <f>Database!DQG14</f>
        <v>0</v>
      </c>
      <c r="DPO6" s="44">
        <f>Database!DQH14</f>
        <v>0</v>
      </c>
      <c r="DPP6" s="44">
        <f>Database!DQI14</f>
        <v>0</v>
      </c>
      <c r="DPQ6" s="44">
        <f>Database!DQJ14</f>
        <v>0</v>
      </c>
      <c r="DPR6" s="44">
        <f>Database!DQK14</f>
        <v>0</v>
      </c>
      <c r="DPS6" s="44">
        <f>Database!DQL14</f>
        <v>0</v>
      </c>
      <c r="DPT6" s="44">
        <f>Database!DQM14</f>
        <v>0</v>
      </c>
      <c r="DPU6" s="44">
        <f>Database!DQN14</f>
        <v>0</v>
      </c>
      <c r="DPV6" s="44">
        <f>Database!DQO14</f>
        <v>0</v>
      </c>
      <c r="DPW6" s="44">
        <f>Database!DQP14</f>
        <v>0</v>
      </c>
      <c r="DPX6" s="44">
        <f>Database!DQQ14</f>
        <v>0</v>
      </c>
      <c r="DPY6" s="44">
        <f>Database!DQR14</f>
        <v>0</v>
      </c>
      <c r="DPZ6" s="44">
        <f>Database!DQS14</f>
        <v>0</v>
      </c>
      <c r="DQA6" s="44">
        <f>Database!DQT14</f>
        <v>0</v>
      </c>
      <c r="DQB6" s="44">
        <f>Database!DQU14</f>
        <v>0</v>
      </c>
      <c r="DQC6" s="44">
        <f>Database!DQV14</f>
        <v>0</v>
      </c>
      <c r="DQD6" s="44">
        <f>Database!DQW14</f>
        <v>0</v>
      </c>
      <c r="DQE6" s="44">
        <f>Database!DQX14</f>
        <v>0</v>
      </c>
      <c r="DQF6" s="44">
        <f>Database!DQY14</f>
        <v>0</v>
      </c>
      <c r="DQG6" s="44">
        <f>Database!DQZ14</f>
        <v>0</v>
      </c>
      <c r="DQH6" s="44">
        <f>Database!DRA14</f>
        <v>0</v>
      </c>
      <c r="DQI6" s="44">
        <f>Database!DRB14</f>
        <v>0</v>
      </c>
      <c r="DQJ6" s="44">
        <f>Database!DRC14</f>
        <v>0</v>
      </c>
      <c r="DQK6" s="44">
        <f>Database!DRD14</f>
        <v>0</v>
      </c>
      <c r="DQL6" s="44">
        <f>Database!DRE14</f>
        <v>0</v>
      </c>
      <c r="DQM6" s="44">
        <f>Database!DRF14</f>
        <v>0</v>
      </c>
      <c r="DQN6" s="44">
        <f>Database!DRG14</f>
        <v>0</v>
      </c>
      <c r="DQO6" s="44">
        <f>Database!DRH14</f>
        <v>0</v>
      </c>
      <c r="DQP6" s="44">
        <f>Database!DRI14</f>
        <v>0</v>
      </c>
      <c r="DQQ6" s="44">
        <f>Database!DRJ14</f>
        <v>0</v>
      </c>
      <c r="DQR6" s="44">
        <f>Database!DRK14</f>
        <v>0</v>
      </c>
      <c r="DQS6" s="44">
        <f>Database!DRL14</f>
        <v>0</v>
      </c>
      <c r="DQT6" s="44">
        <f>Database!DRM14</f>
        <v>0</v>
      </c>
      <c r="DQU6" s="44">
        <f>Database!DRN14</f>
        <v>0</v>
      </c>
      <c r="DQV6" s="44">
        <f>Database!DRO14</f>
        <v>0</v>
      </c>
      <c r="DQW6" s="44">
        <f>Database!DRP14</f>
        <v>0</v>
      </c>
      <c r="DQX6" s="44">
        <f>Database!DRQ14</f>
        <v>0</v>
      </c>
      <c r="DQY6" s="44">
        <f>Database!DRR14</f>
        <v>0</v>
      </c>
      <c r="DQZ6" s="44">
        <f>Database!DRS14</f>
        <v>0</v>
      </c>
      <c r="DRA6" s="44">
        <f>Database!DRT14</f>
        <v>0</v>
      </c>
      <c r="DRB6" s="44">
        <f>Database!DRU14</f>
        <v>0</v>
      </c>
      <c r="DRC6" s="44">
        <f>Database!DRV14</f>
        <v>0</v>
      </c>
      <c r="DRD6" s="44">
        <f>Database!DRW14</f>
        <v>0</v>
      </c>
      <c r="DRE6" s="44">
        <f>Database!DRX14</f>
        <v>0</v>
      </c>
      <c r="DRF6" s="44">
        <f>Database!DRY14</f>
        <v>0</v>
      </c>
      <c r="DRG6" s="44">
        <f>Database!DRZ14</f>
        <v>0</v>
      </c>
      <c r="DRH6" s="44">
        <f>Database!DSA14</f>
        <v>0</v>
      </c>
      <c r="DRI6" s="44">
        <f>Database!DSB14</f>
        <v>0</v>
      </c>
      <c r="DRJ6" s="44">
        <f>Database!DSC14</f>
        <v>0</v>
      </c>
      <c r="DRK6" s="44">
        <f>Database!DSD14</f>
        <v>0</v>
      </c>
      <c r="DRL6" s="44">
        <f>Database!DSE14</f>
        <v>0</v>
      </c>
      <c r="DRM6" s="44">
        <f>Database!DSF14</f>
        <v>0</v>
      </c>
      <c r="DRN6" s="44">
        <f>Database!DSG14</f>
        <v>0</v>
      </c>
      <c r="DRO6" s="44">
        <f>Database!DSH14</f>
        <v>0</v>
      </c>
      <c r="DRP6" s="44">
        <f>Database!DSI14</f>
        <v>0</v>
      </c>
      <c r="DRQ6" s="44">
        <f>Database!DSJ14</f>
        <v>0</v>
      </c>
      <c r="DRR6" s="44">
        <f>Database!DSK14</f>
        <v>0</v>
      </c>
      <c r="DRS6" s="44">
        <f>Database!DSL14</f>
        <v>0</v>
      </c>
      <c r="DRT6" s="44">
        <f>Database!DSM14</f>
        <v>0</v>
      </c>
      <c r="DRU6" s="44">
        <f>Database!DSN14</f>
        <v>0</v>
      </c>
      <c r="DRV6" s="44">
        <f>Database!DSO14</f>
        <v>0</v>
      </c>
      <c r="DRW6" s="44">
        <f>Database!DSP14</f>
        <v>0</v>
      </c>
      <c r="DRX6" s="44">
        <f>Database!DSQ14</f>
        <v>0</v>
      </c>
      <c r="DRY6" s="44">
        <f>Database!DSR14</f>
        <v>0</v>
      </c>
      <c r="DRZ6" s="44">
        <f>Database!DSS14</f>
        <v>0</v>
      </c>
      <c r="DSA6" s="44">
        <f>Database!DST14</f>
        <v>0</v>
      </c>
      <c r="DSB6" s="44">
        <f>Database!DSU14</f>
        <v>0</v>
      </c>
      <c r="DSC6" s="44">
        <f>Database!DSV14</f>
        <v>0</v>
      </c>
      <c r="DSD6" s="44">
        <f>Database!DSW14</f>
        <v>0</v>
      </c>
      <c r="DSE6" s="44">
        <f>Database!DSX14</f>
        <v>0</v>
      </c>
      <c r="DSF6" s="44">
        <f>Database!DSY14</f>
        <v>0</v>
      </c>
      <c r="DSG6" s="44">
        <f>Database!DSZ14</f>
        <v>0</v>
      </c>
      <c r="DSH6" s="44">
        <f>Database!DTA14</f>
        <v>0</v>
      </c>
      <c r="DSI6" s="44">
        <f>Database!DTB14</f>
        <v>0</v>
      </c>
      <c r="DSJ6" s="44">
        <f>Database!DTC14</f>
        <v>0</v>
      </c>
      <c r="DSK6" s="44">
        <f>Database!DTD14</f>
        <v>0</v>
      </c>
      <c r="DSL6" s="44">
        <f>Database!DTE14</f>
        <v>0</v>
      </c>
      <c r="DSM6" s="44">
        <f>Database!DTF14</f>
        <v>0</v>
      </c>
      <c r="DSN6" s="44">
        <f>Database!DTG14</f>
        <v>0</v>
      </c>
      <c r="DSO6" s="44">
        <f>Database!DTH14</f>
        <v>0</v>
      </c>
      <c r="DSP6" s="44">
        <f>Database!DTI14</f>
        <v>0</v>
      </c>
      <c r="DSQ6" s="44">
        <f>Database!DTJ14</f>
        <v>0</v>
      </c>
      <c r="DSR6" s="44">
        <f>Database!DTK14</f>
        <v>0</v>
      </c>
      <c r="DSS6" s="44">
        <f>Database!DTL14</f>
        <v>0</v>
      </c>
      <c r="DST6" s="44">
        <f>Database!DTM14</f>
        <v>0</v>
      </c>
      <c r="DSU6" s="44">
        <f>Database!DTN14</f>
        <v>0</v>
      </c>
      <c r="DSV6" s="44">
        <f>Database!DTO14</f>
        <v>0</v>
      </c>
      <c r="DSW6" s="44">
        <f>Database!DTP14</f>
        <v>0</v>
      </c>
      <c r="DSX6" s="44">
        <f>Database!DTQ14</f>
        <v>0</v>
      </c>
      <c r="DSY6" s="44">
        <f>Database!DTR14</f>
        <v>0</v>
      </c>
      <c r="DSZ6" s="44">
        <f>Database!DTS14</f>
        <v>0</v>
      </c>
      <c r="DTA6" s="44">
        <f>Database!DTT14</f>
        <v>0</v>
      </c>
      <c r="DTB6" s="44">
        <f>Database!DTU14</f>
        <v>0</v>
      </c>
      <c r="DTC6" s="44">
        <f>Database!DTV14</f>
        <v>0</v>
      </c>
      <c r="DTD6" s="44">
        <f>Database!DTW14</f>
        <v>0</v>
      </c>
      <c r="DTE6" s="44">
        <f>Database!DTX14</f>
        <v>0</v>
      </c>
      <c r="DTF6" s="44">
        <f>Database!DTY14</f>
        <v>0</v>
      </c>
      <c r="DTG6" s="44">
        <f>Database!DTZ14</f>
        <v>0</v>
      </c>
      <c r="DTH6" s="44">
        <f>Database!DUA14</f>
        <v>0</v>
      </c>
      <c r="DTI6" s="44">
        <f>Database!DUB14</f>
        <v>0</v>
      </c>
      <c r="DTJ6" s="44">
        <f>Database!DUC14</f>
        <v>0</v>
      </c>
      <c r="DTK6" s="44">
        <f>Database!DUD14</f>
        <v>0</v>
      </c>
      <c r="DTL6" s="44">
        <f>Database!DUE14</f>
        <v>0</v>
      </c>
      <c r="DTM6" s="44">
        <f>Database!DUF14</f>
        <v>0</v>
      </c>
      <c r="DTN6" s="44">
        <f>Database!DUG14</f>
        <v>0</v>
      </c>
      <c r="DTO6" s="44">
        <f>Database!DUH14</f>
        <v>0</v>
      </c>
      <c r="DTP6" s="44">
        <f>Database!DUI14</f>
        <v>0</v>
      </c>
      <c r="DTQ6" s="44">
        <f>Database!DUJ14</f>
        <v>0</v>
      </c>
      <c r="DTR6" s="44">
        <f>Database!DUK14</f>
        <v>0</v>
      </c>
      <c r="DTS6" s="44">
        <f>Database!DUL14</f>
        <v>0</v>
      </c>
      <c r="DTT6" s="44">
        <f>Database!DUM14</f>
        <v>0</v>
      </c>
      <c r="DTU6" s="44">
        <f>Database!DUN14</f>
        <v>0</v>
      </c>
      <c r="DTV6" s="44">
        <f>Database!DUO14</f>
        <v>0</v>
      </c>
      <c r="DTW6" s="44">
        <f>Database!DUP14</f>
        <v>0</v>
      </c>
      <c r="DTX6" s="44">
        <f>Database!DUQ14</f>
        <v>0</v>
      </c>
      <c r="DTY6" s="44">
        <f>Database!DUR14</f>
        <v>0</v>
      </c>
      <c r="DTZ6" s="44">
        <f>Database!DUS14</f>
        <v>0</v>
      </c>
      <c r="DUA6" s="44">
        <f>Database!DUT14</f>
        <v>0</v>
      </c>
      <c r="DUB6" s="44">
        <f>Database!DUU14</f>
        <v>0</v>
      </c>
      <c r="DUC6" s="44">
        <f>Database!DUV14</f>
        <v>0</v>
      </c>
      <c r="DUD6" s="44">
        <f>Database!DUW14</f>
        <v>0</v>
      </c>
      <c r="DUE6" s="44">
        <f>Database!DUX14</f>
        <v>0</v>
      </c>
      <c r="DUF6" s="44">
        <f>Database!DUY14</f>
        <v>0</v>
      </c>
      <c r="DUG6" s="44">
        <f>Database!DUZ14</f>
        <v>0</v>
      </c>
      <c r="DUH6" s="44">
        <f>Database!DVA14</f>
        <v>0</v>
      </c>
      <c r="DUI6" s="44">
        <f>Database!DVB14</f>
        <v>0</v>
      </c>
      <c r="DUJ6" s="44">
        <f>Database!DVC14</f>
        <v>0</v>
      </c>
      <c r="DUK6" s="44">
        <f>Database!DVD14</f>
        <v>0</v>
      </c>
      <c r="DUL6" s="44">
        <f>Database!DVE14</f>
        <v>0</v>
      </c>
      <c r="DUM6" s="44">
        <f>Database!DVF14</f>
        <v>0</v>
      </c>
      <c r="DUN6" s="44">
        <f>Database!DVG14</f>
        <v>0</v>
      </c>
      <c r="DUO6" s="44">
        <f>Database!DVH14</f>
        <v>0</v>
      </c>
      <c r="DUP6" s="44">
        <f>Database!DVI14</f>
        <v>0</v>
      </c>
      <c r="DUQ6" s="44">
        <f>Database!DVJ14</f>
        <v>0</v>
      </c>
      <c r="DUR6" s="44">
        <f>Database!DVK14</f>
        <v>0</v>
      </c>
      <c r="DUS6" s="44">
        <f>Database!DVL14</f>
        <v>0</v>
      </c>
      <c r="DUT6" s="44">
        <f>Database!DVM14</f>
        <v>0</v>
      </c>
      <c r="DUU6" s="44">
        <f>Database!DVN14</f>
        <v>0</v>
      </c>
      <c r="DUV6" s="44">
        <f>Database!DVO14</f>
        <v>0</v>
      </c>
      <c r="DUW6" s="44">
        <f>Database!DVP14</f>
        <v>0</v>
      </c>
      <c r="DUX6" s="44">
        <f>Database!DVQ14</f>
        <v>0</v>
      </c>
      <c r="DUY6" s="44">
        <f>Database!DVR14</f>
        <v>0</v>
      </c>
      <c r="DUZ6" s="44">
        <f>Database!DVS14</f>
        <v>0</v>
      </c>
      <c r="DVA6" s="44">
        <f>Database!DVT14</f>
        <v>0</v>
      </c>
      <c r="DVB6" s="44">
        <f>Database!DVU14</f>
        <v>0</v>
      </c>
      <c r="DVC6" s="44">
        <f>Database!DVV14</f>
        <v>0</v>
      </c>
      <c r="DVD6" s="44">
        <f>Database!DVW14</f>
        <v>0</v>
      </c>
      <c r="DVE6" s="44">
        <f>Database!DVX14</f>
        <v>0</v>
      </c>
      <c r="DVF6" s="44">
        <f>Database!DVY14</f>
        <v>0</v>
      </c>
      <c r="DVG6" s="44">
        <f>Database!DVZ14</f>
        <v>0</v>
      </c>
      <c r="DVH6" s="44">
        <f>Database!DWA14</f>
        <v>0</v>
      </c>
      <c r="DVI6" s="44">
        <f>Database!DWB14</f>
        <v>0</v>
      </c>
      <c r="DVJ6" s="44">
        <f>Database!DWC14</f>
        <v>0</v>
      </c>
      <c r="DVK6" s="44">
        <f>Database!DWD14</f>
        <v>0</v>
      </c>
      <c r="DVL6" s="44">
        <f>Database!DWE14</f>
        <v>0</v>
      </c>
      <c r="DVM6" s="44">
        <f>Database!DWF14</f>
        <v>0</v>
      </c>
      <c r="DVN6" s="44">
        <f>Database!DWG14</f>
        <v>0</v>
      </c>
      <c r="DVO6" s="44">
        <f>Database!DWH14</f>
        <v>0</v>
      </c>
      <c r="DVP6" s="44">
        <f>Database!DWI14</f>
        <v>0</v>
      </c>
      <c r="DVQ6" s="44">
        <f>Database!DWJ14</f>
        <v>0</v>
      </c>
      <c r="DVR6" s="44">
        <f>Database!DWK14</f>
        <v>0</v>
      </c>
      <c r="DVS6" s="44">
        <f>Database!DWL14</f>
        <v>0</v>
      </c>
      <c r="DVT6" s="44">
        <f>Database!DWM14</f>
        <v>0</v>
      </c>
      <c r="DVU6" s="44">
        <f>Database!DWN14</f>
        <v>0</v>
      </c>
      <c r="DVV6" s="44">
        <f>Database!DWO14</f>
        <v>0</v>
      </c>
      <c r="DVW6" s="44">
        <f>Database!DWP14</f>
        <v>0</v>
      </c>
      <c r="DVX6" s="44">
        <f>Database!DWQ14</f>
        <v>0</v>
      </c>
      <c r="DVY6" s="44">
        <f>Database!DWR14</f>
        <v>0</v>
      </c>
      <c r="DVZ6" s="44">
        <f>Database!DWS14</f>
        <v>0</v>
      </c>
      <c r="DWA6" s="44">
        <f>Database!DWT14</f>
        <v>0</v>
      </c>
      <c r="DWB6" s="44">
        <f>Database!DWU14</f>
        <v>0</v>
      </c>
      <c r="DWC6" s="44">
        <f>Database!DWV14</f>
        <v>0</v>
      </c>
      <c r="DWD6" s="44">
        <f>Database!DWW14</f>
        <v>0</v>
      </c>
      <c r="DWE6" s="44">
        <f>Database!DWX14</f>
        <v>0</v>
      </c>
      <c r="DWF6" s="44">
        <f>Database!DWY14</f>
        <v>0</v>
      </c>
      <c r="DWG6" s="44">
        <f>Database!DWZ14</f>
        <v>0</v>
      </c>
      <c r="DWH6" s="44">
        <f>Database!DXA14</f>
        <v>0</v>
      </c>
      <c r="DWI6" s="44">
        <f>Database!DXB14</f>
        <v>0</v>
      </c>
      <c r="DWJ6" s="44">
        <f>Database!DXC14</f>
        <v>0</v>
      </c>
      <c r="DWK6" s="44">
        <f>Database!DXD14</f>
        <v>0</v>
      </c>
      <c r="DWL6" s="44">
        <f>Database!DXE14</f>
        <v>0</v>
      </c>
      <c r="DWM6" s="44">
        <f>Database!DXF14</f>
        <v>0</v>
      </c>
      <c r="DWN6" s="44">
        <f>Database!DXG14</f>
        <v>0</v>
      </c>
      <c r="DWO6" s="44">
        <f>Database!DXH14</f>
        <v>0</v>
      </c>
      <c r="DWP6" s="44">
        <f>Database!DXI14</f>
        <v>0</v>
      </c>
      <c r="DWQ6" s="44">
        <f>Database!DXJ14</f>
        <v>0</v>
      </c>
      <c r="DWR6" s="44">
        <f>Database!DXK14</f>
        <v>0</v>
      </c>
      <c r="DWS6" s="44">
        <f>Database!DXL14</f>
        <v>0</v>
      </c>
      <c r="DWT6" s="44">
        <f>Database!DXM14</f>
        <v>0</v>
      </c>
      <c r="DWU6" s="44">
        <f>Database!DXN14</f>
        <v>0</v>
      </c>
      <c r="DWV6" s="44">
        <f>Database!DXO14</f>
        <v>0</v>
      </c>
      <c r="DWW6" s="44">
        <f>Database!DXP14</f>
        <v>0</v>
      </c>
      <c r="DWX6" s="44">
        <f>Database!DXQ14</f>
        <v>0</v>
      </c>
      <c r="DWY6" s="44">
        <f>Database!DXR14</f>
        <v>0</v>
      </c>
      <c r="DWZ6" s="44">
        <f>Database!DXS14</f>
        <v>0</v>
      </c>
      <c r="DXA6" s="44">
        <f>Database!DXT14</f>
        <v>0</v>
      </c>
      <c r="DXB6" s="44">
        <f>Database!DXU14</f>
        <v>0</v>
      </c>
      <c r="DXC6" s="44">
        <f>Database!DXV14</f>
        <v>0</v>
      </c>
      <c r="DXD6" s="44">
        <f>Database!DXW14</f>
        <v>0</v>
      </c>
      <c r="DXE6" s="44">
        <f>Database!DXX14</f>
        <v>0</v>
      </c>
      <c r="DXF6" s="44">
        <f>Database!DXY14</f>
        <v>0</v>
      </c>
      <c r="DXG6" s="44">
        <f>Database!DXZ14</f>
        <v>0</v>
      </c>
      <c r="DXH6" s="44">
        <f>Database!DYA14</f>
        <v>0</v>
      </c>
      <c r="DXI6" s="44">
        <f>Database!DYB14</f>
        <v>0</v>
      </c>
      <c r="DXJ6" s="44">
        <f>Database!DYC14</f>
        <v>0</v>
      </c>
      <c r="DXK6" s="44">
        <f>Database!DYD14</f>
        <v>0</v>
      </c>
      <c r="DXL6" s="44">
        <f>Database!DYE14</f>
        <v>0</v>
      </c>
      <c r="DXM6" s="44">
        <f>Database!DYF14</f>
        <v>0</v>
      </c>
      <c r="DXN6" s="44">
        <f>Database!DYG14</f>
        <v>0</v>
      </c>
      <c r="DXO6" s="44">
        <f>Database!DYH14</f>
        <v>0</v>
      </c>
      <c r="DXP6" s="44">
        <f>Database!DYI14</f>
        <v>0</v>
      </c>
      <c r="DXQ6" s="44">
        <f>Database!DYJ14</f>
        <v>0</v>
      </c>
      <c r="DXR6" s="44">
        <f>Database!DYK14</f>
        <v>0</v>
      </c>
      <c r="DXS6" s="44">
        <f>Database!DYL14</f>
        <v>0</v>
      </c>
      <c r="DXT6" s="44">
        <f>Database!DYM14</f>
        <v>0</v>
      </c>
      <c r="DXU6" s="44">
        <f>Database!DYN14</f>
        <v>0</v>
      </c>
      <c r="DXV6" s="44">
        <f>Database!DYO14</f>
        <v>0</v>
      </c>
      <c r="DXW6" s="44">
        <f>Database!DYP14</f>
        <v>0</v>
      </c>
      <c r="DXX6" s="44">
        <f>Database!DYQ14</f>
        <v>0</v>
      </c>
      <c r="DXY6" s="44">
        <f>Database!DYR14</f>
        <v>0</v>
      </c>
      <c r="DXZ6" s="44">
        <f>Database!DYS14</f>
        <v>0</v>
      </c>
      <c r="DYA6" s="44">
        <f>Database!DYT14</f>
        <v>0</v>
      </c>
      <c r="DYB6" s="44">
        <f>Database!DYU14</f>
        <v>0</v>
      </c>
      <c r="DYC6" s="44">
        <f>Database!DYV14</f>
        <v>0</v>
      </c>
      <c r="DYD6" s="44">
        <f>Database!DYW14</f>
        <v>0</v>
      </c>
      <c r="DYE6" s="44">
        <f>Database!DYX14</f>
        <v>0</v>
      </c>
      <c r="DYF6" s="44">
        <f>Database!DYY14</f>
        <v>0</v>
      </c>
      <c r="DYG6" s="44">
        <f>Database!DYZ14</f>
        <v>0</v>
      </c>
      <c r="DYH6" s="44">
        <f>Database!DZA14</f>
        <v>0</v>
      </c>
      <c r="DYI6" s="44">
        <f>Database!DZB14</f>
        <v>0</v>
      </c>
      <c r="DYJ6" s="44">
        <f>Database!DZC14</f>
        <v>0</v>
      </c>
      <c r="DYK6" s="44">
        <f>Database!DZD14</f>
        <v>0</v>
      </c>
      <c r="DYL6" s="44">
        <f>Database!DZE14</f>
        <v>0</v>
      </c>
      <c r="DYM6" s="44">
        <f>Database!DZF14</f>
        <v>0</v>
      </c>
      <c r="DYN6" s="44">
        <f>Database!DZG14</f>
        <v>0</v>
      </c>
      <c r="DYO6" s="44">
        <f>Database!DZH14</f>
        <v>0</v>
      </c>
      <c r="DYP6" s="44">
        <f>Database!DZI14</f>
        <v>0</v>
      </c>
      <c r="DYQ6" s="44">
        <f>Database!DZJ14</f>
        <v>0</v>
      </c>
      <c r="DYR6" s="44">
        <f>Database!DZK14</f>
        <v>0</v>
      </c>
      <c r="DYS6" s="44">
        <f>Database!DZL14</f>
        <v>0</v>
      </c>
      <c r="DYT6" s="44">
        <f>Database!DZM14</f>
        <v>0</v>
      </c>
      <c r="DYU6" s="44">
        <f>Database!DZN14</f>
        <v>0</v>
      </c>
      <c r="DYV6" s="44">
        <f>Database!DZO14</f>
        <v>0</v>
      </c>
      <c r="DYW6" s="44">
        <f>Database!DZP14</f>
        <v>0</v>
      </c>
      <c r="DYX6" s="44">
        <f>Database!DZQ14</f>
        <v>0</v>
      </c>
      <c r="DYY6" s="44">
        <f>Database!DZR14</f>
        <v>0</v>
      </c>
      <c r="DYZ6" s="44">
        <f>Database!DZS14</f>
        <v>0</v>
      </c>
      <c r="DZA6" s="44">
        <f>Database!DZT14</f>
        <v>0</v>
      </c>
      <c r="DZB6" s="44">
        <f>Database!DZU14</f>
        <v>0</v>
      </c>
      <c r="DZC6" s="44">
        <f>Database!DZV14</f>
        <v>0</v>
      </c>
      <c r="DZD6" s="44">
        <f>Database!DZW14</f>
        <v>0</v>
      </c>
      <c r="DZE6" s="44">
        <f>Database!DZX14</f>
        <v>0</v>
      </c>
      <c r="DZF6" s="44">
        <f>Database!DZY14</f>
        <v>0</v>
      </c>
      <c r="DZG6" s="44">
        <f>Database!DZZ14</f>
        <v>0</v>
      </c>
      <c r="DZH6" s="44">
        <f>Database!EAA14</f>
        <v>0</v>
      </c>
      <c r="DZI6" s="44">
        <f>Database!EAB14</f>
        <v>0</v>
      </c>
      <c r="DZJ6" s="44">
        <f>Database!EAC14</f>
        <v>0</v>
      </c>
      <c r="DZK6" s="44">
        <f>Database!EAD14</f>
        <v>0</v>
      </c>
      <c r="DZL6" s="44">
        <f>Database!EAE14</f>
        <v>0</v>
      </c>
      <c r="DZM6" s="44">
        <f>Database!EAF14</f>
        <v>0</v>
      </c>
      <c r="DZN6" s="44">
        <f>Database!EAG14</f>
        <v>0</v>
      </c>
      <c r="DZO6" s="44">
        <f>Database!EAH14</f>
        <v>0</v>
      </c>
      <c r="DZP6" s="44">
        <f>Database!EAI14</f>
        <v>0</v>
      </c>
      <c r="DZQ6" s="44">
        <f>Database!EAJ14</f>
        <v>0</v>
      </c>
      <c r="DZR6" s="44">
        <f>Database!EAK14</f>
        <v>0</v>
      </c>
      <c r="DZS6" s="44">
        <f>Database!EAL14</f>
        <v>0</v>
      </c>
      <c r="DZT6" s="44">
        <f>Database!EAM14</f>
        <v>0</v>
      </c>
      <c r="DZU6" s="44">
        <f>Database!EAN14</f>
        <v>0</v>
      </c>
      <c r="DZV6" s="44">
        <f>Database!EAO14</f>
        <v>0</v>
      </c>
      <c r="DZW6" s="44">
        <f>Database!EAP14</f>
        <v>0</v>
      </c>
      <c r="DZX6" s="44">
        <f>Database!EAQ14</f>
        <v>0</v>
      </c>
      <c r="DZY6" s="44">
        <f>Database!EAR14</f>
        <v>0</v>
      </c>
      <c r="DZZ6" s="44">
        <f>Database!EAS14</f>
        <v>0</v>
      </c>
      <c r="EAA6" s="44">
        <f>Database!EAT14</f>
        <v>0</v>
      </c>
      <c r="EAB6" s="44">
        <f>Database!EAU14</f>
        <v>0</v>
      </c>
      <c r="EAC6" s="44">
        <f>Database!EAV14</f>
        <v>0</v>
      </c>
      <c r="EAD6" s="44">
        <f>Database!EAW14</f>
        <v>0</v>
      </c>
      <c r="EAE6" s="44">
        <f>Database!EAX14</f>
        <v>0</v>
      </c>
      <c r="EAF6" s="44">
        <f>Database!EAY14</f>
        <v>0</v>
      </c>
      <c r="EAG6" s="44">
        <f>Database!EAZ14</f>
        <v>0</v>
      </c>
      <c r="EAH6" s="44">
        <f>Database!EBA14</f>
        <v>0</v>
      </c>
      <c r="EAI6" s="44">
        <f>Database!EBB14</f>
        <v>0</v>
      </c>
      <c r="EAJ6" s="44">
        <f>Database!EBC14</f>
        <v>0</v>
      </c>
      <c r="EAK6" s="44">
        <f>Database!EBD14</f>
        <v>0</v>
      </c>
      <c r="EAL6" s="44">
        <f>Database!EBE14</f>
        <v>0</v>
      </c>
      <c r="EAM6" s="44">
        <f>Database!EBF14</f>
        <v>0</v>
      </c>
      <c r="EAN6" s="44">
        <f>Database!EBG14</f>
        <v>0</v>
      </c>
      <c r="EAO6" s="44">
        <f>Database!EBH14</f>
        <v>0</v>
      </c>
      <c r="EAP6" s="44">
        <f>Database!EBI14</f>
        <v>0</v>
      </c>
      <c r="EAQ6" s="44">
        <f>Database!EBJ14</f>
        <v>0</v>
      </c>
      <c r="EAR6" s="44">
        <f>Database!EBK14</f>
        <v>0</v>
      </c>
      <c r="EAS6" s="44">
        <f>Database!EBL14</f>
        <v>0</v>
      </c>
      <c r="EAT6" s="44">
        <f>Database!EBM14</f>
        <v>0</v>
      </c>
      <c r="EAU6" s="44">
        <f>Database!EBN14</f>
        <v>0</v>
      </c>
      <c r="EAV6" s="44">
        <f>Database!EBO14</f>
        <v>0</v>
      </c>
      <c r="EAW6" s="44">
        <f>Database!EBP14</f>
        <v>0</v>
      </c>
      <c r="EAX6" s="44">
        <f>Database!EBQ14</f>
        <v>0</v>
      </c>
      <c r="EAY6" s="44">
        <f>Database!EBR14</f>
        <v>0</v>
      </c>
      <c r="EAZ6" s="44">
        <f>Database!EBS14</f>
        <v>0</v>
      </c>
      <c r="EBA6" s="44">
        <f>Database!EBT14</f>
        <v>0</v>
      </c>
      <c r="EBB6" s="44">
        <f>Database!EBU14</f>
        <v>0</v>
      </c>
      <c r="EBC6" s="44">
        <f>Database!EBV14</f>
        <v>0</v>
      </c>
      <c r="EBD6" s="44">
        <f>Database!EBW14</f>
        <v>0</v>
      </c>
      <c r="EBE6" s="44">
        <f>Database!EBX14</f>
        <v>0</v>
      </c>
      <c r="EBF6" s="44">
        <f>Database!EBY14</f>
        <v>0</v>
      </c>
      <c r="EBG6" s="44">
        <f>Database!EBZ14</f>
        <v>0</v>
      </c>
      <c r="EBH6" s="44">
        <f>Database!ECA14</f>
        <v>0</v>
      </c>
      <c r="EBI6" s="44">
        <f>Database!ECB14</f>
        <v>0</v>
      </c>
      <c r="EBJ6" s="44">
        <f>Database!ECC14</f>
        <v>0</v>
      </c>
      <c r="EBK6" s="44">
        <f>Database!ECD14</f>
        <v>0</v>
      </c>
      <c r="EBL6" s="44">
        <f>Database!ECE14</f>
        <v>0</v>
      </c>
      <c r="EBM6" s="44">
        <f>Database!ECF14</f>
        <v>0</v>
      </c>
      <c r="EBN6" s="44">
        <f>Database!ECG14</f>
        <v>0</v>
      </c>
      <c r="EBO6" s="44">
        <f>Database!ECH14</f>
        <v>0</v>
      </c>
      <c r="EBP6" s="44">
        <f>Database!ECI14</f>
        <v>0</v>
      </c>
      <c r="EBQ6" s="44">
        <f>Database!ECJ14</f>
        <v>0</v>
      </c>
      <c r="EBR6" s="44">
        <f>Database!ECK14</f>
        <v>0</v>
      </c>
      <c r="EBS6" s="44">
        <f>Database!ECL14</f>
        <v>0</v>
      </c>
      <c r="EBT6" s="44">
        <f>Database!ECM14</f>
        <v>0</v>
      </c>
      <c r="EBU6" s="44">
        <f>Database!ECN14</f>
        <v>0</v>
      </c>
      <c r="EBV6" s="44">
        <f>Database!ECO14</f>
        <v>0</v>
      </c>
      <c r="EBW6" s="44">
        <f>Database!ECP14</f>
        <v>0</v>
      </c>
      <c r="EBX6" s="44">
        <f>Database!ECQ14</f>
        <v>0</v>
      </c>
      <c r="EBY6" s="44">
        <f>Database!ECR14</f>
        <v>0</v>
      </c>
      <c r="EBZ6" s="44">
        <f>Database!ECS14</f>
        <v>0</v>
      </c>
      <c r="ECA6" s="44">
        <f>Database!ECT14</f>
        <v>0</v>
      </c>
      <c r="ECB6" s="44">
        <f>Database!ECU14</f>
        <v>0</v>
      </c>
      <c r="ECC6" s="44">
        <f>Database!ECV14</f>
        <v>0</v>
      </c>
      <c r="ECD6" s="44">
        <f>Database!ECW14</f>
        <v>0</v>
      </c>
      <c r="ECE6" s="44">
        <f>Database!ECX14</f>
        <v>0</v>
      </c>
      <c r="ECF6" s="44">
        <f>Database!ECY14</f>
        <v>0</v>
      </c>
      <c r="ECG6" s="44">
        <f>Database!ECZ14</f>
        <v>0</v>
      </c>
      <c r="ECH6" s="44">
        <f>Database!EDA14</f>
        <v>0</v>
      </c>
      <c r="ECI6" s="44">
        <f>Database!EDB14</f>
        <v>0</v>
      </c>
      <c r="ECJ6" s="44">
        <f>Database!EDC14</f>
        <v>0</v>
      </c>
      <c r="ECK6" s="44">
        <f>Database!EDD14</f>
        <v>0</v>
      </c>
      <c r="ECL6" s="44">
        <f>Database!EDE14</f>
        <v>0</v>
      </c>
      <c r="ECM6" s="44">
        <f>Database!EDF14</f>
        <v>0</v>
      </c>
      <c r="ECN6" s="44">
        <f>Database!EDG14</f>
        <v>0</v>
      </c>
      <c r="ECO6" s="44">
        <f>Database!EDH14</f>
        <v>0</v>
      </c>
      <c r="ECP6" s="44">
        <f>Database!EDI14</f>
        <v>0</v>
      </c>
      <c r="ECQ6" s="44">
        <f>Database!EDJ14</f>
        <v>0</v>
      </c>
      <c r="ECR6" s="44">
        <f>Database!EDK14</f>
        <v>0</v>
      </c>
      <c r="ECS6" s="44">
        <f>Database!EDL14</f>
        <v>0</v>
      </c>
      <c r="ECT6" s="44">
        <f>Database!EDM14</f>
        <v>0</v>
      </c>
      <c r="ECU6" s="44">
        <f>Database!EDN14</f>
        <v>0</v>
      </c>
      <c r="ECV6" s="44">
        <f>Database!EDO14</f>
        <v>0</v>
      </c>
      <c r="ECW6" s="44">
        <f>Database!EDP14</f>
        <v>0</v>
      </c>
      <c r="ECX6" s="44">
        <f>Database!EDQ14</f>
        <v>0</v>
      </c>
      <c r="ECY6" s="44">
        <f>Database!EDR14</f>
        <v>0</v>
      </c>
      <c r="ECZ6" s="44">
        <f>Database!EDS14</f>
        <v>0</v>
      </c>
      <c r="EDA6" s="44">
        <f>Database!EDT14</f>
        <v>0</v>
      </c>
      <c r="EDB6" s="44">
        <f>Database!EDU14</f>
        <v>0</v>
      </c>
      <c r="EDC6" s="44">
        <f>Database!EDV14</f>
        <v>0</v>
      </c>
      <c r="EDD6" s="44">
        <f>Database!EDW14</f>
        <v>0</v>
      </c>
      <c r="EDE6" s="44">
        <f>Database!EDX14</f>
        <v>0</v>
      </c>
      <c r="EDF6" s="44">
        <f>Database!EDY14</f>
        <v>0</v>
      </c>
      <c r="EDG6" s="44">
        <f>Database!EDZ14</f>
        <v>0</v>
      </c>
      <c r="EDH6" s="44">
        <f>Database!EEA14</f>
        <v>0</v>
      </c>
      <c r="EDI6" s="44">
        <f>Database!EEB14</f>
        <v>0</v>
      </c>
      <c r="EDJ6" s="44">
        <f>Database!EEC14</f>
        <v>0</v>
      </c>
      <c r="EDK6" s="44">
        <f>Database!EED14</f>
        <v>0</v>
      </c>
      <c r="EDL6" s="44">
        <f>Database!EEE14</f>
        <v>0</v>
      </c>
      <c r="EDM6" s="44">
        <f>Database!EEF14</f>
        <v>0</v>
      </c>
      <c r="EDN6" s="44">
        <f>Database!EEG14</f>
        <v>0</v>
      </c>
      <c r="EDO6" s="44">
        <f>Database!EEH14</f>
        <v>0</v>
      </c>
      <c r="EDP6" s="44">
        <f>Database!EEI14</f>
        <v>0</v>
      </c>
      <c r="EDQ6" s="44">
        <f>Database!EEJ14</f>
        <v>0</v>
      </c>
      <c r="EDR6" s="44">
        <f>Database!EEK14</f>
        <v>0</v>
      </c>
      <c r="EDS6" s="44">
        <f>Database!EEL14</f>
        <v>0</v>
      </c>
      <c r="EDT6" s="44">
        <f>Database!EEM14</f>
        <v>0</v>
      </c>
      <c r="EDU6" s="44">
        <f>Database!EEN14</f>
        <v>0</v>
      </c>
      <c r="EDV6" s="44">
        <f>Database!EEO14</f>
        <v>0</v>
      </c>
      <c r="EDW6" s="44">
        <f>Database!EEP14</f>
        <v>0</v>
      </c>
      <c r="EDX6" s="44">
        <f>Database!EEQ14</f>
        <v>0</v>
      </c>
      <c r="EDY6" s="44">
        <f>Database!EER14</f>
        <v>0</v>
      </c>
      <c r="EDZ6" s="44">
        <f>Database!EES14</f>
        <v>0</v>
      </c>
      <c r="EEA6" s="44">
        <f>Database!EET14</f>
        <v>0</v>
      </c>
      <c r="EEB6" s="44">
        <f>Database!EEU14</f>
        <v>0</v>
      </c>
      <c r="EEC6" s="44">
        <f>Database!EEV14</f>
        <v>0</v>
      </c>
      <c r="EED6" s="44">
        <f>Database!EEW14</f>
        <v>0</v>
      </c>
      <c r="EEE6" s="44">
        <f>Database!EEX14</f>
        <v>0</v>
      </c>
      <c r="EEF6" s="44">
        <f>Database!EEY14</f>
        <v>0</v>
      </c>
      <c r="EEG6" s="44">
        <f>Database!EEZ14</f>
        <v>0</v>
      </c>
      <c r="EEH6" s="44">
        <f>Database!EFA14</f>
        <v>0</v>
      </c>
      <c r="EEI6" s="44">
        <f>Database!EFB14</f>
        <v>0</v>
      </c>
      <c r="EEJ6" s="44">
        <f>Database!EFC14</f>
        <v>0</v>
      </c>
      <c r="EEK6" s="44">
        <f>Database!EFD14</f>
        <v>0</v>
      </c>
      <c r="EEL6" s="44">
        <f>Database!EFE14</f>
        <v>0</v>
      </c>
      <c r="EEM6" s="44">
        <f>Database!EFF14</f>
        <v>0</v>
      </c>
      <c r="EEN6" s="44">
        <f>Database!EFG14</f>
        <v>0</v>
      </c>
      <c r="EEO6" s="44">
        <f>Database!EFH14</f>
        <v>0</v>
      </c>
      <c r="EEP6" s="44">
        <f>Database!EFI14</f>
        <v>0</v>
      </c>
      <c r="EEQ6" s="44">
        <f>Database!EFJ14</f>
        <v>0</v>
      </c>
      <c r="EER6" s="44">
        <f>Database!EFK14</f>
        <v>0</v>
      </c>
      <c r="EES6" s="44">
        <f>Database!EFL14</f>
        <v>0</v>
      </c>
      <c r="EET6" s="44">
        <f>Database!EFM14</f>
        <v>0</v>
      </c>
      <c r="EEU6" s="44">
        <f>Database!EFN14</f>
        <v>0</v>
      </c>
      <c r="EEV6" s="44">
        <f>Database!EFO14</f>
        <v>0</v>
      </c>
      <c r="EEW6" s="44">
        <f>Database!EFP14</f>
        <v>0</v>
      </c>
      <c r="EEX6" s="44">
        <f>Database!EFQ14</f>
        <v>0</v>
      </c>
      <c r="EEY6" s="44">
        <f>Database!EFR14</f>
        <v>0</v>
      </c>
      <c r="EEZ6" s="44">
        <f>Database!EFS14</f>
        <v>0</v>
      </c>
      <c r="EFA6" s="44">
        <f>Database!EFT14</f>
        <v>0</v>
      </c>
      <c r="EFB6" s="44">
        <f>Database!EFU14</f>
        <v>0</v>
      </c>
      <c r="EFC6" s="44">
        <f>Database!EFV14</f>
        <v>0</v>
      </c>
      <c r="EFD6" s="44">
        <f>Database!EFW14</f>
        <v>0</v>
      </c>
      <c r="EFE6" s="44">
        <f>Database!EFX14</f>
        <v>0</v>
      </c>
      <c r="EFF6" s="44">
        <f>Database!EFY14</f>
        <v>0</v>
      </c>
      <c r="EFG6" s="44">
        <f>Database!EFZ14</f>
        <v>0</v>
      </c>
      <c r="EFH6" s="44">
        <f>Database!EGA14</f>
        <v>0</v>
      </c>
      <c r="EFI6" s="44">
        <f>Database!EGB14</f>
        <v>0</v>
      </c>
      <c r="EFJ6" s="44">
        <f>Database!EGC14</f>
        <v>0</v>
      </c>
      <c r="EFK6" s="44">
        <f>Database!EGD14</f>
        <v>0</v>
      </c>
      <c r="EFL6" s="44">
        <f>Database!EGE14</f>
        <v>0</v>
      </c>
      <c r="EFM6" s="44">
        <f>Database!EGF14</f>
        <v>0</v>
      </c>
      <c r="EFN6" s="44">
        <f>Database!EGG14</f>
        <v>0</v>
      </c>
      <c r="EFO6" s="44">
        <f>Database!EGH14</f>
        <v>0</v>
      </c>
      <c r="EFP6" s="44">
        <f>Database!EGI14</f>
        <v>0</v>
      </c>
      <c r="EFQ6" s="44">
        <f>Database!EGJ14</f>
        <v>0</v>
      </c>
      <c r="EFR6" s="44">
        <f>Database!EGK14</f>
        <v>0</v>
      </c>
      <c r="EFS6" s="44">
        <f>Database!EGL14</f>
        <v>0</v>
      </c>
      <c r="EFT6" s="44">
        <f>Database!EGM14</f>
        <v>0</v>
      </c>
      <c r="EFU6" s="44">
        <f>Database!EGN14</f>
        <v>0</v>
      </c>
      <c r="EFV6" s="44">
        <f>Database!EGO14</f>
        <v>0</v>
      </c>
      <c r="EFW6" s="44">
        <f>Database!EGP14</f>
        <v>0</v>
      </c>
      <c r="EFX6" s="44">
        <f>Database!EGQ14</f>
        <v>0</v>
      </c>
      <c r="EFY6" s="44">
        <f>Database!EGR14</f>
        <v>0</v>
      </c>
      <c r="EFZ6" s="44">
        <f>Database!EGS14</f>
        <v>0</v>
      </c>
      <c r="EGA6" s="44">
        <f>Database!EGT14</f>
        <v>0</v>
      </c>
      <c r="EGB6" s="44">
        <f>Database!EGU14</f>
        <v>0</v>
      </c>
      <c r="EGC6" s="44">
        <f>Database!EGV14</f>
        <v>0</v>
      </c>
      <c r="EGD6" s="44">
        <f>Database!EGW14</f>
        <v>0</v>
      </c>
      <c r="EGE6" s="44">
        <f>Database!EGX14</f>
        <v>0</v>
      </c>
      <c r="EGF6" s="44">
        <f>Database!EGY14</f>
        <v>0</v>
      </c>
      <c r="EGG6" s="44">
        <f>Database!EGZ14</f>
        <v>0</v>
      </c>
      <c r="EGH6" s="44">
        <f>Database!EHA14</f>
        <v>0</v>
      </c>
      <c r="EGI6" s="44">
        <f>Database!EHB14</f>
        <v>0</v>
      </c>
      <c r="EGJ6" s="44">
        <f>Database!EHC14</f>
        <v>0</v>
      </c>
      <c r="EGK6" s="44">
        <f>Database!EHD14</f>
        <v>0</v>
      </c>
      <c r="EGL6" s="44">
        <f>Database!EHE14</f>
        <v>0</v>
      </c>
      <c r="EGM6" s="44">
        <f>Database!EHF14</f>
        <v>0</v>
      </c>
      <c r="EGN6" s="44">
        <f>Database!EHG14</f>
        <v>0</v>
      </c>
      <c r="EGO6" s="44">
        <f>Database!EHH14</f>
        <v>0</v>
      </c>
      <c r="EGP6" s="44">
        <f>Database!EHI14</f>
        <v>0</v>
      </c>
      <c r="EGQ6" s="44">
        <f>Database!EHJ14</f>
        <v>0</v>
      </c>
      <c r="EGR6" s="44">
        <f>Database!EHK14</f>
        <v>0</v>
      </c>
      <c r="EGS6" s="44">
        <f>Database!EHL14</f>
        <v>0</v>
      </c>
      <c r="EGT6" s="44">
        <f>Database!EHM14</f>
        <v>0</v>
      </c>
      <c r="EGU6" s="44">
        <f>Database!EHN14</f>
        <v>0</v>
      </c>
      <c r="EGV6" s="44">
        <f>Database!EHO14</f>
        <v>0</v>
      </c>
      <c r="EGW6" s="44">
        <f>Database!EHP14</f>
        <v>0</v>
      </c>
      <c r="EGX6" s="44">
        <f>Database!EHQ14</f>
        <v>0</v>
      </c>
      <c r="EGY6" s="44">
        <f>Database!EHR14</f>
        <v>0</v>
      </c>
      <c r="EGZ6" s="44">
        <f>Database!EHS14</f>
        <v>0</v>
      </c>
      <c r="EHA6" s="44">
        <f>Database!EHT14</f>
        <v>0</v>
      </c>
      <c r="EHB6" s="44">
        <f>Database!EHU14</f>
        <v>0</v>
      </c>
      <c r="EHC6" s="44">
        <f>Database!EHV14</f>
        <v>0</v>
      </c>
      <c r="EHD6" s="44">
        <f>Database!EHW14</f>
        <v>0</v>
      </c>
      <c r="EHE6" s="44">
        <f>Database!EHX14</f>
        <v>0</v>
      </c>
      <c r="EHF6" s="44">
        <f>Database!EHY14</f>
        <v>0</v>
      </c>
      <c r="EHG6" s="44">
        <f>Database!EHZ14</f>
        <v>0</v>
      </c>
      <c r="EHH6" s="44">
        <f>Database!EIA14</f>
        <v>0</v>
      </c>
      <c r="EHI6" s="44">
        <f>Database!EIB14</f>
        <v>0</v>
      </c>
      <c r="EHJ6" s="44">
        <f>Database!EIC14</f>
        <v>0</v>
      </c>
      <c r="EHK6" s="44">
        <f>Database!EID14</f>
        <v>0</v>
      </c>
      <c r="EHL6" s="44">
        <f>Database!EIE14</f>
        <v>0</v>
      </c>
      <c r="EHM6" s="44">
        <f>Database!EIF14</f>
        <v>0</v>
      </c>
      <c r="EHN6" s="44">
        <f>Database!EIG14</f>
        <v>0</v>
      </c>
      <c r="EHO6" s="44">
        <f>Database!EIH14</f>
        <v>0</v>
      </c>
      <c r="EHP6" s="44">
        <f>Database!EII14</f>
        <v>0</v>
      </c>
      <c r="EHQ6" s="44">
        <f>Database!EIJ14</f>
        <v>0</v>
      </c>
      <c r="EHR6" s="44">
        <f>Database!EIK14</f>
        <v>0</v>
      </c>
      <c r="EHS6" s="44">
        <f>Database!EIL14</f>
        <v>0</v>
      </c>
      <c r="EHT6" s="44">
        <f>Database!EIM14</f>
        <v>0</v>
      </c>
      <c r="EHU6" s="44">
        <f>Database!EIN14</f>
        <v>0</v>
      </c>
      <c r="EHV6" s="44">
        <f>Database!EIO14</f>
        <v>0</v>
      </c>
      <c r="EHW6" s="44">
        <f>Database!EIP14</f>
        <v>0</v>
      </c>
      <c r="EHX6" s="44">
        <f>Database!EIQ14</f>
        <v>0</v>
      </c>
      <c r="EHY6" s="44">
        <f>Database!EIR14</f>
        <v>0</v>
      </c>
      <c r="EHZ6" s="44">
        <f>Database!EIS14</f>
        <v>0</v>
      </c>
      <c r="EIA6" s="44">
        <f>Database!EIT14</f>
        <v>0</v>
      </c>
      <c r="EIB6" s="44">
        <f>Database!EIU14</f>
        <v>0</v>
      </c>
      <c r="EIC6" s="44">
        <f>Database!EIV14</f>
        <v>0</v>
      </c>
      <c r="EID6" s="44">
        <f>Database!EIW14</f>
        <v>0</v>
      </c>
      <c r="EIE6" s="44">
        <f>Database!EIX14</f>
        <v>0</v>
      </c>
      <c r="EIF6" s="44">
        <f>Database!EIY14</f>
        <v>0</v>
      </c>
      <c r="EIG6" s="44">
        <f>Database!EIZ14</f>
        <v>0</v>
      </c>
      <c r="EIH6" s="44">
        <f>Database!EJA14</f>
        <v>0</v>
      </c>
      <c r="EII6" s="44">
        <f>Database!EJB14</f>
        <v>0</v>
      </c>
      <c r="EIJ6" s="44">
        <f>Database!EJC14</f>
        <v>0</v>
      </c>
      <c r="EIK6" s="44">
        <f>Database!EJD14</f>
        <v>0</v>
      </c>
      <c r="EIL6" s="44">
        <f>Database!EJE14</f>
        <v>0</v>
      </c>
      <c r="EIM6" s="44">
        <f>Database!EJF14</f>
        <v>0</v>
      </c>
      <c r="EIN6" s="44">
        <f>Database!EJG14</f>
        <v>0</v>
      </c>
      <c r="EIO6" s="44">
        <f>Database!EJH14</f>
        <v>0</v>
      </c>
      <c r="EIP6" s="44">
        <f>Database!EJI14</f>
        <v>0</v>
      </c>
      <c r="EIQ6" s="44">
        <f>Database!EJJ14</f>
        <v>0</v>
      </c>
      <c r="EIR6" s="44">
        <f>Database!EJK14</f>
        <v>0</v>
      </c>
      <c r="EIS6" s="44">
        <f>Database!EJL14</f>
        <v>0</v>
      </c>
      <c r="EIT6" s="44">
        <f>Database!EJM14</f>
        <v>0</v>
      </c>
      <c r="EIU6" s="44">
        <f>Database!EJN14</f>
        <v>0</v>
      </c>
      <c r="EIV6" s="44">
        <f>Database!EJO14</f>
        <v>0</v>
      </c>
      <c r="EIW6" s="44">
        <f>Database!EJP14</f>
        <v>0</v>
      </c>
      <c r="EIX6" s="44">
        <f>Database!EJQ14</f>
        <v>0</v>
      </c>
      <c r="EIY6" s="44">
        <f>Database!EJR14</f>
        <v>0</v>
      </c>
      <c r="EIZ6" s="44">
        <f>Database!EJS14</f>
        <v>0</v>
      </c>
      <c r="EJA6" s="44">
        <f>Database!EJT14</f>
        <v>0</v>
      </c>
      <c r="EJB6" s="44">
        <f>Database!EJU14</f>
        <v>0</v>
      </c>
      <c r="EJC6" s="44">
        <f>Database!EJV14</f>
        <v>0</v>
      </c>
      <c r="EJD6" s="44">
        <f>Database!EJW14</f>
        <v>0</v>
      </c>
      <c r="EJE6" s="44">
        <f>Database!EJX14</f>
        <v>0</v>
      </c>
      <c r="EJF6" s="44">
        <f>Database!EJY14</f>
        <v>0</v>
      </c>
      <c r="EJG6" s="44">
        <f>Database!EJZ14</f>
        <v>0</v>
      </c>
      <c r="EJH6" s="44">
        <f>Database!EKA14</f>
        <v>0</v>
      </c>
      <c r="EJI6" s="44">
        <f>Database!EKB14</f>
        <v>0</v>
      </c>
      <c r="EJJ6" s="44">
        <f>Database!EKC14</f>
        <v>0</v>
      </c>
      <c r="EJK6" s="44">
        <f>Database!EKD14</f>
        <v>0</v>
      </c>
      <c r="EJL6" s="44">
        <f>Database!EKE14</f>
        <v>0</v>
      </c>
      <c r="EJM6" s="44">
        <f>Database!EKF14</f>
        <v>0</v>
      </c>
      <c r="EJN6" s="44">
        <f>Database!EKG14</f>
        <v>0</v>
      </c>
      <c r="EJO6" s="44">
        <f>Database!EKH14</f>
        <v>0</v>
      </c>
      <c r="EJP6" s="44">
        <f>Database!EKI14</f>
        <v>0</v>
      </c>
      <c r="EJQ6" s="44">
        <f>Database!EKJ14</f>
        <v>0</v>
      </c>
      <c r="EJR6" s="44">
        <f>Database!EKK14</f>
        <v>0</v>
      </c>
      <c r="EJS6" s="44">
        <f>Database!EKL14</f>
        <v>0</v>
      </c>
      <c r="EJT6" s="44">
        <f>Database!EKM14</f>
        <v>0</v>
      </c>
      <c r="EJU6" s="44">
        <f>Database!EKN14</f>
        <v>0</v>
      </c>
      <c r="EJV6" s="44">
        <f>Database!EKO14</f>
        <v>0</v>
      </c>
      <c r="EJW6" s="44">
        <f>Database!EKP14</f>
        <v>0</v>
      </c>
      <c r="EJX6" s="44">
        <f>Database!EKQ14</f>
        <v>0</v>
      </c>
      <c r="EJY6" s="44">
        <f>Database!EKR14</f>
        <v>0</v>
      </c>
      <c r="EJZ6" s="44">
        <f>Database!EKS14</f>
        <v>0</v>
      </c>
      <c r="EKA6" s="44">
        <f>Database!EKT14</f>
        <v>0</v>
      </c>
      <c r="EKB6" s="44">
        <f>Database!EKU14</f>
        <v>0</v>
      </c>
      <c r="EKC6" s="44">
        <f>Database!EKV14</f>
        <v>0</v>
      </c>
      <c r="EKD6" s="44">
        <f>Database!EKW14</f>
        <v>0</v>
      </c>
      <c r="EKE6" s="44">
        <f>Database!EKX14</f>
        <v>0</v>
      </c>
      <c r="EKF6" s="44">
        <f>Database!EKY14</f>
        <v>0</v>
      </c>
      <c r="EKG6" s="44">
        <f>Database!EKZ14</f>
        <v>0</v>
      </c>
      <c r="EKH6" s="44">
        <f>Database!ELA14</f>
        <v>0</v>
      </c>
      <c r="EKI6" s="44">
        <f>Database!ELB14</f>
        <v>0</v>
      </c>
      <c r="EKJ6" s="44">
        <f>Database!ELC14</f>
        <v>0</v>
      </c>
      <c r="EKK6" s="44">
        <f>Database!ELD14</f>
        <v>0</v>
      </c>
      <c r="EKL6" s="44">
        <f>Database!ELE14</f>
        <v>0</v>
      </c>
      <c r="EKM6" s="44">
        <f>Database!ELF14</f>
        <v>0</v>
      </c>
      <c r="EKN6" s="44">
        <f>Database!ELG14</f>
        <v>0</v>
      </c>
      <c r="EKO6" s="44">
        <f>Database!ELH14</f>
        <v>0</v>
      </c>
      <c r="EKP6" s="44">
        <f>Database!ELI14</f>
        <v>0</v>
      </c>
      <c r="EKQ6" s="44">
        <f>Database!ELJ14</f>
        <v>0</v>
      </c>
      <c r="EKR6" s="44">
        <f>Database!ELK14</f>
        <v>0</v>
      </c>
      <c r="EKS6" s="44">
        <f>Database!ELL14</f>
        <v>0</v>
      </c>
      <c r="EKT6" s="44">
        <f>Database!ELM14</f>
        <v>0</v>
      </c>
      <c r="EKU6" s="44">
        <f>Database!ELN14</f>
        <v>0</v>
      </c>
      <c r="EKV6" s="44">
        <f>Database!ELO14</f>
        <v>0</v>
      </c>
      <c r="EKW6" s="44">
        <f>Database!ELP14</f>
        <v>0</v>
      </c>
      <c r="EKX6" s="44">
        <f>Database!ELQ14</f>
        <v>0</v>
      </c>
      <c r="EKY6" s="44">
        <f>Database!ELR14</f>
        <v>0</v>
      </c>
      <c r="EKZ6" s="44">
        <f>Database!ELS14</f>
        <v>0</v>
      </c>
      <c r="ELA6" s="44">
        <f>Database!ELT14</f>
        <v>0</v>
      </c>
      <c r="ELB6" s="44">
        <f>Database!ELU14</f>
        <v>0</v>
      </c>
      <c r="ELC6" s="44">
        <f>Database!ELV14</f>
        <v>0</v>
      </c>
      <c r="ELD6" s="44">
        <f>Database!ELW14</f>
        <v>0</v>
      </c>
      <c r="ELE6" s="44">
        <f>Database!ELX14</f>
        <v>0</v>
      </c>
      <c r="ELF6" s="44">
        <f>Database!ELY14</f>
        <v>0</v>
      </c>
      <c r="ELG6" s="44">
        <f>Database!ELZ14</f>
        <v>0</v>
      </c>
      <c r="ELH6" s="44">
        <f>Database!EMA14</f>
        <v>0</v>
      </c>
      <c r="ELI6" s="44">
        <f>Database!EMB14</f>
        <v>0</v>
      </c>
      <c r="ELJ6" s="44">
        <f>Database!EMC14</f>
        <v>0</v>
      </c>
      <c r="ELK6" s="44">
        <f>Database!EMD14</f>
        <v>0</v>
      </c>
      <c r="ELL6" s="44">
        <f>Database!EME14</f>
        <v>0</v>
      </c>
      <c r="ELM6" s="44">
        <f>Database!EMF14</f>
        <v>0</v>
      </c>
      <c r="ELN6" s="44">
        <f>Database!EMG14</f>
        <v>0</v>
      </c>
      <c r="ELO6" s="44">
        <f>Database!EMH14</f>
        <v>0</v>
      </c>
      <c r="ELP6" s="44">
        <f>Database!EMI14</f>
        <v>0</v>
      </c>
      <c r="ELQ6" s="44">
        <f>Database!EMJ14</f>
        <v>0</v>
      </c>
      <c r="ELR6" s="44">
        <f>Database!EMK14</f>
        <v>0</v>
      </c>
      <c r="ELS6" s="44">
        <f>Database!EML14</f>
        <v>0</v>
      </c>
      <c r="ELT6" s="44">
        <f>Database!EMM14</f>
        <v>0</v>
      </c>
      <c r="ELU6" s="44">
        <f>Database!EMN14</f>
        <v>0</v>
      </c>
      <c r="ELV6" s="44">
        <f>Database!EMO14</f>
        <v>0</v>
      </c>
      <c r="ELW6" s="44">
        <f>Database!EMP14</f>
        <v>0</v>
      </c>
      <c r="ELX6" s="44">
        <f>Database!EMQ14</f>
        <v>0</v>
      </c>
      <c r="ELY6" s="44">
        <f>Database!EMR14</f>
        <v>0</v>
      </c>
      <c r="ELZ6" s="44">
        <f>Database!EMS14</f>
        <v>0</v>
      </c>
      <c r="EMA6" s="44">
        <f>Database!EMT14</f>
        <v>0</v>
      </c>
      <c r="EMB6" s="44">
        <f>Database!EMU14</f>
        <v>0</v>
      </c>
      <c r="EMC6" s="44">
        <f>Database!EMV14</f>
        <v>0</v>
      </c>
      <c r="EMD6" s="44">
        <f>Database!EMW14</f>
        <v>0</v>
      </c>
      <c r="EME6" s="44">
        <f>Database!EMX14</f>
        <v>0</v>
      </c>
      <c r="EMF6" s="44">
        <f>Database!EMY14</f>
        <v>0</v>
      </c>
      <c r="EMG6" s="44">
        <f>Database!EMZ14</f>
        <v>0</v>
      </c>
      <c r="EMH6" s="44">
        <f>Database!ENA14</f>
        <v>0</v>
      </c>
      <c r="EMI6" s="44">
        <f>Database!ENB14</f>
        <v>0</v>
      </c>
      <c r="EMJ6" s="44">
        <f>Database!ENC14</f>
        <v>0</v>
      </c>
      <c r="EMK6" s="44">
        <f>Database!END14</f>
        <v>0</v>
      </c>
      <c r="EML6" s="44">
        <f>Database!ENE14</f>
        <v>0</v>
      </c>
      <c r="EMM6" s="44">
        <f>Database!ENF14</f>
        <v>0</v>
      </c>
      <c r="EMN6" s="44">
        <f>Database!ENG14</f>
        <v>0</v>
      </c>
      <c r="EMO6" s="44">
        <f>Database!ENH14</f>
        <v>0</v>
      </c>
      <c r="EMP6" s="44">
        <f>Database!ENI14</f>
        <v>0</v>
      </c>
      <c r="EMQ6" s="44">
        <f>Database!ENJ14</f>
        <v>0</v>
      </c>
      <c r="EMR6" s="44">
        <f>Database!ENK14</f>
        <v>0</v>
      </c>
      <c r="EMS6" s="44">
        <f>Database!ENL14</f>
        <v>0</v>
      </c>
      <c r="EMT6" s="44">
        <f>Database!ENM14</f>
        <v>0</v>
      </c>
      <c r="EMU6" s="44">
        <f>Database!ENN14</f>
        <v>0</v>
      </c>
      <c r="EMV6" s="44">
        <f>Database!ENO14</f>
        <v>0</v>
      </c>
      <c r="EMW6" s="44">
        <f>Database!ENP14</f>
        <v>0</v>
      </c>
      <c r="EMX6" s="44">
        <f>Database!ENQ14</f>
        <v>0</v>
      </c>
      <c r="EMY6" s="44">
        <f>Database!ENR14</f>
        <v>0</v>
      </c>
      <c r="EMZ6" s="44">
        <f>Database!ENS14</f>
        <v>0</v>
      </c>
      <c r="ENA6" s="44">
        <f>Database!ENT14</f>
        <v>0</v>
      </c>
      <c r="ENB6" s="44">
        <f>Database!ENU14</f>
        <v>0</v>
      </c>
      <c r="ENC6" s="44">
        <f>Database!ENV14</f>
        <v>0</v>
      </c>
      <c r="END6" s="44">
        <f>Database!ENW14</f>
        <v>0</v>
      </c>
      <c r="ENE6" s="44">
        <f>Database!ENX14</f>
        <v>0</v>
      </c>
      <c r="ENF6" s="44">
        <f>Database!ENY14</f>
        <v>0</v>
      </c>
      <c r="ENG6" s="44">
        <f>Database!ENZ14</f>
        <v>0</v>
      </c>
      <c r="ENH6" s="44">
        <f>Database!EOA14</f>
        <v>0</v>
      </c>
      <c r="ENI6" s="44">
        <f>Database!EOB14</f>
        <v>0</v>
      </c>
      <c r="ENJ6" s="44">
        <f>Database!EOC14</f>
        <v>0</v>
      </c>
      <c r="ENK6" s="44">
        <f>Database!EOD14</f>
        <v>0</v>
      </c>
      <c r="ENL6" s="44">
        <f>Database!EOE14</f>
        <v>0</v>
      </c>
      <c r="ENM6" s="44">
        <f>Database!EOF14</f>
        <v>0</v>
      </c>
      <c r="ENN6" s="44">
        <f>Database!EOG14</f>
        <v>0</v>
      </c>
      <c r="ENO6" s="44">
        <f>Database!EOH14</f>
        <v>0</v>
      </c>
      <c r="ENP6" s="44">
        <f>Database!EOI14</f>
        <v>0</v>
      </c>
      <c r="ENQ6" s="44">
        <f>Database!EOJ14</f>
        <v>0</v>
      </c>
      <c r="ENR6" s="44">
        <f>Database!EOK14</f>
        <v>0</v>
      </c>
      <c r="ENS6" s="44">
        <f>Database!EOL14</f>
        <v>0</v>
      </c>
      <c r="ENT6" s="44">
        <f>Database!EOM14</f>
        <v>0</v>
      </c>
      <c r="ENU6" s="44">
        <f>Database!EON14</f>
        <v>0</v>
      </c>
      <c r="ENV6" s="44">
        <f>Database!EOO14</f>
        <v>0</v>
      </c>
      <c r="ENW6" s="44">
        <f>Database!EOP14</f>
        <v>0</v>
      </c>
      <c r="ENX6" s="44">
        <f>Database!EOQ14</f>
        <v>0</v>
      </c>
      <c r="ENY6" s="44">
        <f>Database!EOR14</f>
        <v>0</v>
      </c>
      <c r="ENZ6" s="44">
        <f>Database!EOS14</f>
        <v>0</v>
      </c>
      <c r="EOA6" s="44">
        <f>Database!EOT14</f>
        <v>0</v>
      </c>
      <c r="EOB6" s="44">
        <f>Database!EOU14</f>
        <v>0</v>
      </c>
      <c r="EOC6" s="44">
        <f>Database!EOV14</f>
        <v>0</v>
      </c>
      <c r="EOD6" s="44">
        <f>Database!EOW14</f>
        <v>0</v>
      </c>
      <c r="EOE6" s="44">
        <f>Database!EOX14</f>
        <v>0</v>
      </c>
      <c r="EOF6" s="44">
        <f>Database!EOY14</f>
        <v>0</v>
      </c>
      <c r="EOG6" s="44">
        <f>Database!EOZ14</f>
        <v>0</v>
      </c>
      <c r="EOH6" s="44">
        <f>Database!EPA14</f>
        <v>0</v>
      </c>
      <c r="EOI6" s="44">
        <f>Database!EPB14</f>
        <v>0</v>
      </c>
      <c r="EOJ6" s="44">
        <f>Database!EPC14</f>
        <v>0</v>
      </c>
      <c r="EOK6" s="44">
        <f>Database!EPD14</f>
        <v>0</v>
      </c>
      <c r="EOL6" s="44">
        <f>Database!EPE14</f>
        <v>0</v>
      </c>
      <c r="EOM6" s="44">
        <f>Database!EPF14</f>
        <v>0</v>
      </c>
      <c r="EON6" s="44">
        <f>Database!EPG14</f>
        <v>0</v>
      </c>
      <c r="EOO6" s="44">
        <f>Database!EPH14</f>
        <v>0</v>
      </c>
      <c r="EOP6" s="44">
        <f>Database!EPI14</f>
        <v>0</v>
      </c>
      <c r="EOQ6" s="44">
        <f>Database!EPJ14</f>
        <v>0</v>
      </c>
      <c r="EOR6" s="44">
        <f>Database!EPK14</f>
        <v>0</v>
      </c>
      <c r="EOS6" s="44">
        <f>Database!EPL14</f>
        <v>0</v>
      </c>
      <c r="EOT6" s="44">
        <f>Database!EPM14</f>
        <v>0</v>
      </c>
      <c r="EOU6" s="44">
        <f>Database!EPN14</f>
        <v>0</v>
      </c>
      <c r="EOV6" s="44">
        <f>Database!EPO14</f>
        <v>0</v>
      </c>
      <c r="EOW6" s="44">
        <f>Database!EPP14</f>
        <v>0</v>
      </c>
      <c r="EOX6" s="44">
        <f>Database!EPQ14</f>
        <v>0</v>
      </c>
      <c r="EOY6" s="44">
        <f>Database!EPR14</f>
        <v>0</v>
      </c>
      <c r="EOZ6" s="44">
        <f>Database!EPS14</f>
        <v>0</v>
      </c>
      <c r="EPA6" s="44">
        <f>Database!EPT14</f>
        <v>0</v>
      </c>
      <c r="EPB6" s="44">
        <f>Database!EPU14</f>
        <v>0</v>
      </c>
      <c r="EPC6" s="44">
        <f>Database!EPV14</f>
        <v>0</v>
      </c>
      <c r="EPD6" s="44">
        <f>Database!EPW14</f>
        <v>0</v>
      </c>
      <c r="EPE6" s="44">
        <f>Database!EPX14</f>
        <v>0</v>
      </c>
      <c r="EPF6" s="44">
        <f>Database!EPY14</f>
        <v>0</v>
      </c>
      <c r="EPG6" s="44">
        <f>Database!EPZ14</f>
        <v>0</v>
      </c>
      <c r="EPH6" s="44">
        <f>Database!EQA14</f>
        <v>0</v>
      </c>
      <c r="EPI6" s="44">
        <f>Database!EQB14</f>
        <v>0</v>
      </c>
      <c r="EPJ6" s="44">
        <f>Database!EQC14</f>
        <v>0</v>
      </c>
      <c r="EPK6" s="44">
        <f>Database!EQD14</f>
        <v>0</v>
      </c>
      <c r="EPL6" s="44">
        <f>Database!EQE14</f>
        <v>0</v>
      </c>
      <c r="EPM6" s="44">
        <f>Database!EQF14</f>
        <v>0</v>
      </c>
      <c r="EPN6" s="44">
        <f>Database!EQG14</f>
        <v>0</v>
      </c>
      <c r="EPO6" s="44">
        <f>Database!EQH14</f>
        <v>0</v>
      </c>
      <c r="EPP6" s="44">
        <f>Database!EQI14</f>
        <v>0</v>
      </c>
      <c r="EPQ6" s="44">
        <f>Database!EQJ14</f>
        <v>0</v>
      </c>
      <c r="EPR6" s="44">
        <f>Database!EQK14</f>
        <v>0</v>
      </c>
      <c r="EPS6" s="44">
        <f>Database!EQL14</f>
        <v>0</v>
      </c>
      <c r="EPT6" s="44">
        <f>Database!EQM14</f>
        <v>0</v>
      </c>
      <c r="EPU6" s="44">
        <f>Database!EQN14</f>
        <v>0</v>
      </c>
      <c r="EPV6" s="44">
        <f>Database!EQO14</f>
        <v>0</v>
      </c>
      <c r="EPW6" s="44">
        <f>Database!EQP14</f>
        <v>0</v>
      </c>
      <c r="EPX6" s="44">
        <f>Database!EQQ14</f>
        <v>0</v>
      </c>
      <c r="EPY6" s="44">
        <f>Database!EQR14</f>
        <v>0</v>
      </c>
      <c r="EPZ6" s="44">
        <f>Database!EQS14</f>
        <v>0</v>
      </c>
      <c r="EQA6" s="44">
        <f>Database!EQT14</f>
        <v>0</v>
      </c>
      <c r="EQB6" s="44">
        <f>Database!EQU14</f>
        <v>0</v>
      </c>
      <c r="EQC6" s="44">
        <f>Database!EQV14</f>
        <v>0</v>
      </c>
      <c r="EQD6" s="44">
        <f>Database!EQW14</f>
        <v>0</v>
      </c>
      <c r="EQE6" s="44">
        <f>Database!EQX14</f>
        <v>0</v>
      </c>
      <c r="EQF6" s="44">
        <f>Database!EQY14</f>
        <v>0</v>
      </c>
      <c r="EQG6" s="44">
        <f>Database!EQZ14</f>
        <v>0</v>
      </c>
      <c r="EQH6" s="44">
        <f>Database!ERA14</f>
        <v>0</v>
      </c>
      <c r="EQI6" s="44">
        <f>Database!ERB14</f>
        <v>0</v>
      </c>
      <c r="EQJ6" s="44">
        <f>Database!ERC14</f>
        <v>0</v>
      </c>
      <c r="EQK6" s="44">
        <f>Database!ERD14</f>
        <v>0</v>
      </c>
      <c r="EQL6" s="44">
        <f>Database!ERE14</f>
        <v>0</v>
      </c>
      <c r="EQM6" s="44">
        <f>Database!ERF14</f>
        <v>0</v>
      </c>
      <c r="EQN6" s="44">
        <f>Database!ERG14</f>
        <v>0</v>
      </c>
      <c r="EQO6" s="44">
        <f>Database!ERH14</f>
        <v>0</v>
      </c>
      <c r="EQP6" s="44">
        <f>Database!ERI14</f>
        <v>0</v>
      </c>
      <c r="EQQ6" s="44">
        <f>Database!ERJ14</f>
        <v>0</v>
      </c>
      <c r="EQR6" s="44">
        <f>Database!ERK14</f>
        <v>0</v>
      </c>
      <c r="EQS6" s="44">
        <f>Database!ERL14</f>
        <v>0</v>
      </c>
      <c r="EQT6" s="44">
        <f>Database!ERM14</f>
        <v>0</v>
      </c>
      <c r="EQU6" s="44">
        <f>Database!ERN14</f>
        <v>0</v>
      </c>
      <c r="EQV6" s="44">
        <f>Database!ERO14</f>
        <v>0</v>
      </c>
      <c r="EQW6" s="44">
        <f>Database!ERP14</f>
        <v>0</v>
      </c>
      <c r="EQX6" s="44">
        <f>Database!ERQ14</f>
        <v>0</v>
      </c>
      <c r="EQY6" s="44">
        <f>Database!ERR14</f>
        <v>0</v>
      </c>
      <c r="EQZ6" s="44">
        <f>Database!ERS14</f>
        <v>0</v>
      </c>
      <c r="ERA6" s="44">
        <f>Database!ERT14</f>
        <v>0</v>
      </c>
      <c r="ERB6" s="44">
        <f>Database!ERU14</f>
        <v>0</v>
      </c>
      <c r="ERC6" s="44">
        <f>Database!ERV14</f>
        <v>0</v>
      </c>
      <c r="ERD6" s="44">
        <f>Database!ERW14</f>
        <v>0</v>
      </c>
      <c r="ERE6" s="44">
        <f>Database!ERX14</f>
        <v>0</v>
      </c>
      <c r="ERF6" s="44">
        <f>Database!ERY14</f>
        <v>0</v>
      </c>
      <c r="ERG6" s="44">
        <f>Database!ERZ14</f>
        <v>0</v>
      </c>
      <c r="ERH6" s="44">
        <f>Database!ESA14</f>
        <v>0</v>
      </c>
      <c r="ERI6" s="44">
        <f>Database!ESB14</f>
        <v>0</v>
      </c>
      <c r="ERJ6" s="44">
        <f>Database!ESC14</f>
        <v>0</v>
      </c>
      <c r="ERK6" s="44">
        <f>Database!ESD14</f>
        <v>0</v>
      </c>
      <c r="ERL6" s="44">
        <f>Database!ESE14</f>
        <v>0</v>
      </c>
      <c r="ERM6" s="44">
        <f>Database!ESF14</f>
        <v>0</v>
      </c>
      <c r="ERN6" s="44">
        <f>Database!ESG14</f>
        <v>0</v>
      </c>
      <c r="ERO6" s="44">
        <f>Database!ESH14</f>
        <v>0</v>
      </c>
      <c r="ERP6" s="44">
        <f>Database!ESI14</f>
        <v>0</v>
      </c>
      <c r="ERQ6" s="44">
        <f>Database!ESJ14</f>
        <v>0</v>
      </c>
      <c r="ERR6" s="44">
        <f>Database!ESK14</f>
        <v>0</v>
      </c>
      <c r="ERS6" s="44">
        <f>Database!ESL14</f>
        <v>0</v>
      </c>
      <c r="ERT6" s="44">
        <f>Database!ESM14</f>
        <v>0</v>
      </c>
      <c r="ERU6" s="44">
        <f>Database!ESN14</f>
        <v>0</v>
      </c>
      <c r="ERV6" s="44">
        <f>Database!ESO14</f>
        <v>0</v>
      </c>
      <c r="ERW6" s="44">
        <f>Database!ESP14</f>
        <v>0</v>
      </c>
      <c r="ERX6" s="44">
        <f>Database!ESQ14</f>
        <v>0</v>
      </c>
      <c r="ERY6" s="44">
        <f>Database!ESR14</f>
        <v>0</v>
      </c>
      <c r="ERZ6" s="44">
        <f>Database!ESS14</f>
        <v>0</v>
      </c>
      <c r="ESA6" s="44">
        <f>Database!EST14</f>
        <v>0</v>
      </c>
      <c r="ESB6" s="44">
        <f>Database!ESU14</f>
        <v>0</v>
      </c>
      <c r="ESC6" s="44">
        <f>Database!ESV14</f>
        <v>0</v>
      </c>
      <c r="ESD6" s="44">
        <f>Database!ESW14</f>
        <v>0</v>
      </c>
      <c r="ESE6" s="44">
        <f>Database!ESX14</f>
        <v>0</v>
      </c>
      <c r="ESF6" s="44">
        <f>Database!ESY14</f>
        <v>0</v>
      </c>
      <c r="ESG6" s="44">
        <f>Database!ESZ14</f>
        <v>0</v>
      </c>
      <c r="ESH6" s="44">
        <f>Database!ETA14</f>
        <v>0</v>
      </c>
      <c r="ESI6" s="44">
        <f>Database!ETB14</f>
        <v>0</v>
      </c>
      <c r="ESJ6" s="44">
        <f>Database!ETC14</f>
        <v>0</v>
      </c>
      <c r="ESK6" s="44">
        <f>Database!ETD14</f>
        <v>0</v>
      </c>
      <c r="ESL6" s="44">
        <f>Database!ETE14</f>
        <v>0</v>
      </c>
      <c r="ESM6" s="44">
        <f>Database!ETF14</f>
        <v>0</v>
      </c>
      <c r="ESN6" s="44">
        <f>Database!ETG14</f>
        <v>0</v>
      </c>
      <c r="ESO6" s="44">
        <f>Database!ETH14</f>
        <v>0</v>
      </c>
      <c r="ESP6" s="44">
        <f>Database!ETI14</f>
        <v>0</v>
      </c>
      <c r="ESQ6" s="44">
        <f>Database!ETJ14</f>
        <v>0</v>
      </c>
      <c r="ESR6" s="44">
        <f>Database!ETK14</f>
        <v>0</v>
      </c>
      <c r="ESS6" s="44">
        <f>Database!ETL14</f>
        <v>0</v>
      </c>
      <c r="EST6" s="44">
        <f>Database!ETM14</f>
        <v>0</v>
      </c>
      <c r="ESU6" s="44">
        <f>Database!ETN14</f>
        <v>0</v>
      </c>
      <c r="ESV6" s="44">
        <f>Database!ETO14</f>
        <v>0</v>
      </c>
      <c r="ESW6" s="44">
        <f>Database!ETP14</f>
        <v>0</v>
      </c>
      <c r="ESX6" s="44">
        <f>Database!ETQ14</f>
        <v>0</v>
      </c>
      <c r="ESY6" s="44">
        <f>Database!ETR14</f>
        <v>0</v>
      </c>
      <c r="ESZ6" s="44">
        <f>Database!ETS14</f>
        <v>0</v>
      </c>
      <c r="ETA6" s="44">
        <f>Database!ETT14</f>
        <v>0</v>
      </c>
      <c r="ETB6" s="44">
        <f>Database!ETU14</f>
        <v>0</v>
      </c>
      <c r="ETC6" s="44">
        <f>Database!ETV14</f>
        <v>0</v>
      </c>
      <c r="ETD6" s="44">
        <f>Database!ETW14</f>
        <v>0</v>
      </c>
      <c r="ETE6" s="44">
        <f>Database!ETX14</f>
        <v>0</v>
      </c>
      <c r="ETF6" s="44">
        <f>Database!ETY14</f>
        <v>0</v>
      </c>
      <c r="ETG6" s="44">
        <f>Database!ETZ14</f>
        <v>0</v>
      </c>
      <c r="ETH6" s="44">
        <f>Database!EUA14</f>
        <v>0</v>
      </c>
      <c r="ETI6" s="44">
        <f>Database!EUB14</f>
        <v>0</v>
      </c>
      <c r="ETJ6" s="44">
        <f>Database!EUC14</f>
        <v>0</v>
      </c>
      <c r="ETK6" s="44">
        <f>Database!EUD14</f>
        <v>0</v>
      </c>
      <c r="ETL6" s="44">
        <f>Database!EUE14</f>
        <v>0</v>
      </c>
      <c r="ETM6" s="44">
        <f>Database!EUF14</f>
        <v>0</v>
      </c>
      <c r="ETN6" s="44">
        <f>Database!EUG14</f>
        <v>0</v>
      </c>
      <c r="ETO6" s="44">
        <f>Database!EUH14</f>
        <v>0</v>
      </c>
      <c r="ETP6" s="44">
        <f>Database!EUI14</f>
        <v>0</v>
      </c>
      <c r="ETQ6" s="44">
        <f>Database!EUJ14</f>
        <v>0</v>
      </c>
      <c r="ETR6" s="44">
        <f>Database!EUK14</f>
        <v>0</v>
      </c>
      <c r="ETS6" s="44">
        <f>Database!EUL14</f>
        <v>0</v>
      </c>
      <c r="ETT6" s="44">
        <f>Database!EUM14</f>
        <v>0</v>
      </c>
      <c r="ETU6" s="44">
        <f>Database!EUN14</f>
        <v>0</v>
      </c>
      <c r="ETV6" s="44">
        <f>Database!EUO14</f>
        <v>0</v>
      </c>
      <c r="ETW6" s="44">
        <f>Database!EUP14</f>
        <v>0</v>
      </c>
      <c r="ETX6" s="44">
        <f>Database!EUQ14</f>
        <v>0</v>
      </c>
      <c r="ETY6" s="44">
        <f>Database!EUR14</f>
        <v>0</v>
      </c>
      <c r="ETZ6" s="44">
        <f>Database!EUS14</f>
        <v>0</v>
      </c>
      <c r="EUA6" s="44">
        <f>Database!EUT14</f>
        <v>0</v>
      </c>
      <c r="EUB6" s="44">
        <f>Database!EUU14</f>
        <v>0</v>
      </c>
      <c r="EUC6" s="44">
        <f>Database!EUV14</f>
        <v>0</v>
      </c>
      <c r="EUD6" s="44">
        <f>Database!EUW14</f>
        <v>0</v>
      </c>
      <c r="EUE6" s="44">
        <f>Database!EUX14</f>
        <v>0</v>
      </c>
      <c r="EUF6" s="44">
        <f>Database!EUY14</f>
        <v>0</v>
      </c>
      <c r="EUG6" s="44">
        <f>Database!EUZ14</f>
        <v>0</v>
      </c>
      <c r="EUH6" s="44">
        <f>Database!EVA14</f>
        <v>0</v>
      </c>
      <c r="EUI6" s="44">
        <f>Database!EVB14</f>
        <v>0</v>
      </c>
      <c r="EUJ6" s="44">
        <f>Database!EVC14</f>
        <v>0</v>
      </c>
      <c r="EUK6" s="44">
        <f>Database!EVD14</f>
        <v>0</v>
      </c>
      <c r="EUL6" s="44">
        <f>Database!EVE14</f>
        <v>0</v>
      </c>
      <c r="EUM6" s="44">
        <f>Database!EVF14</f>
        <v>0</v>
      </c>
      <c r="EUN6" s="44">
        <f>Database!EVG14</f>
        <v>0</v>
      </c>
      <c r="EUO6" s="44">
        <f>Database!EVH14</f>
        <v>0</v>
      </c>
      <c r="EUP6" s="44">
        <f>Database!EVI14</f>
        <v>0</v>
      </c>
      <c r="EUQ6" s="44">
        <f>Database!EVJ14</f>
        <v>0</v>
      </c>
      <c r="EUR6" s="44">
        <f>Database!EVK14</f>
        <v>0</v>
      </c>
      <c r="EUS6" s="44">
        <f>Database!EVL14</f>
        <v>0</v>
      </c>
      <c r="EUT6" s="44">
        <f>Database!EVM14</f>
        <v>0</v>
      </c>
      <c r="EUU6" s="44">
        <f>Database!EVN14</f>
        <v>0</v>
      </c>
      <c r="EUV6" s="44">
        <f>Database!EVO14</f>
        <v>0</v>
      </c>
      <c r="EUW6" s="44">
        <f>Database!EVP14</f>
        <v>0</v>
      </c>
      <c r="EUX6" s="44">
        <f>Database!EVQ14</f>
        <v>0</v>
      </c>
      <c r="EUY6" s="44">
        <f>Database!EVR14</f>
        <v>0</v>
      </c>
      <c r="EUZ6" s="44">
        <f>Database!EVS14</f>
        <v>0</v>
      </c>
      <c r="EVA6" s="44">
        <f>Database!EVT14</f>
        <v>0</v>
      </c>
      <c r="EVB6" s="44">
        <f>Database!EVU14</f>
        <v>0</v>
      </c>
      <c r="EVC6" s="44">
        <f>Database!EVV14</f>
        <v>0</v>
      </c>
      <c r="EVD6" s="44">
        <f>Database!EVW14</f>
        <v>0</v>
      </c>
      <c r="EVE6" s="44">
        <f>Database!EVX14</f>
        <v>0</v>
      </c>
      <c r="EVF6" s="44">
        <f>Database!EVY14</f>
        <v>0</v>
      </c>
      <c r="EVG6" s="44">
        <f>Database!EVZ14</f>
        <v>0</v>
      </c>
      <c r="EVH6" s="44">
        <f>Database!EWA14</f>
        <v>0</v>
      </c>
      <c r="EVI6" s="44">
        <f>Database!EWB14</f>
        <v>0</v>
      </c>
      <c r="EVJ6" s="44">
        <f>Database!EWC14</f>
        <v>0</v>
      </c>
      <c r="EVK6" s="44">
        <f>Database!EWD14</f>
        <v>0</v>
      </c>
      <c r="EVL6" s="44">
        <f>Database!EWE14</f>
        <v>0</v>
      </c>
      <c r="EVM6" s="44">
        <f>Database!EWF14</f>
        <v>0</v>
      </c>
      <c r="EVN6" s="44">
        <f>Database!EWG14</f>
        <v>0</v>
      </c>
      <c r="EVO6" s="44">
        <f>Database!EWH14</f>
        <v>0</v>
      </c>
      <c r="EVP6" s="44">
        <f>Database!EWI14</f>
        <v>0</v>
      </c>
      <c r="EVQ6" s="44">
        <f>Database!EWJ14</f>
        <v>0</v>
      </c>
      <c r="EVR6" s="44">
        <f>Database!EWK14</f>
        <v>0</v>
      </c>
      <c r="EVS6" s="44">
        <f>Database!EWL14</f>
        <v>0</v>
      </c>
      <c r="EVT6" s="44">
        <f>Database!EWM14</f>
        <v>0</v>
      </c>
      <c r="EVU6" s="44">
        <f>Database!EWN14</f>
        <v>0</v>
      </c>
      <c r="EVV6" s="44">
        <f>Database!EWO14</f>
        <v>0</v>
      </c>
      <c r="EVW6" s="44">
        <f>Database!EWP14</f>
        <v>0</v>
      </c>
      <c r="EVX6" s="44">
        <f>Database!EWQ14</f>
        <v>0</v>
      </c>
      <c r="EVY6" s="44">
        <f>Database!EWR14</f>
        <v>0</v>
      </c>
      <c r="EVZ6" s="44">
        <f>Database!EWS14</f>
        <v>0</v>
      </c>
      <c r="EWA6" s="44">
        <f>Database!EWT14</f>
        <v>0</v>
      </c>
      <c r="EWB6" s="44">
        <f>Database!EWU14</f>
        <v>0</v>
      </c>
      <c r="EWC6" s="44">
        <f>Database!EWV14</f>
        <v>0</v>
      </c>
      <c r="EWD6" s="44">
        <f>Database!EWW14</f>
        <v>0</v>
      </c>
      <c r="EWE6" s="44">
        <f>Database!EWX14</f>
        <v>0</v>
      </c>
      <c r="EWF6" s="44">
        <f>Database!EWY14</f>
        <v>0</v>
      </c>
      <c r="EWG6" s="44">
        <f>Database!EWZ14</f>
        <v>0</v>
      </c>
      <c r="EWH6" s="44">
        <f>Database!EXA14</f>
        <v>0</v>
      </c>
      <c r="EWI6" s="44">
        <f>Database!EXB14</f>
        <v>0</v>
      </c>
      <c r="EWJ6" s="44">
        <f>Database!EXC14</f>
        <v>0</v>
      </c>
      <c r="EWK6" s="44">
        <f>Database!EXD14</f>
        <v>0</v>
      </c>
      <c r="EWL6" s="44">
        <f>Database!EXE14</f>
        <v>0</v>
      </c>
      <c r="EWM6" s="44">
        <f>Database!EXF14</f>
        <v>0</v>
      </c>
      <c r="EWN6" s="44">
        <f>Database!EXG14</f>
        <v>0</v>
      </c>
      <c r="EWO6" s="44">
        <f>Database!EXH14</f>
        <v>0</v>
      </c>
      <c r="EWP6" s="44">
        <f>Database!EXI14</f>
        <v>0</v>
      </c>
      <c r="EWQ6" s="44">
        <f>Database!EXJ14</f>
        <v>0</v>
      </c>
      <c r="EWR6" s="44">
        <f>Database!EXK14</f>
        <v>0</v>
      </c>
      <c r="EWS6" s="44">
        <f>Database!EXL14</f>
        <v>0</v>
      </c>
      <c r="EWT6" s="44">
        <f>Database!EXM14</f>
        <v>0</v>
      </c>
      <c r="EWU6" s="44">
        <f>Database!EXN14</f>
        <v>0</v>
      </c>
      <c r="EWV6" s="44">
        <f>Database!EXO14</f>
        <v>0</v>
      </c>
      <c r="EWW6" s="44">
        <f>Database!EXP14</f>
        <v>0</v>
      </c>
      <c r="EWX6" s="44">
        <f>Database!EXQ14</f>
        <v>0</v>
      </c>
      <c r="EWY6" s="44">
        <f>Database!EXR14</f>
        <v>0</v>
      </c>
      <c r="EWZ6" s="44">
        <f>Database!EXS14</f>
        <v>0</v>
      </c>
      <c r="EXA6" s="44">
        <f>Database!EXT14</f>
        <v>0</v>
      </c>
      <c r="EXB6" s="44">
        <f>Database!EXU14</f>
        <v>0</v>
      </c>
      <c r="EXC6" s="44">
        <f>Database!EXV14</f>
        <v>0</v>
      </c>
      <c r="EXD6" s="44">
        <f>Database!EXW14</f>
        <v>0</v>
      </c>
      <c r="EXE6" s="44">
        <f>Database!EXX14</f>
        <v>0</v>
      </c>
      <c r="EXF6" s="44">
        <f>Database!EXY14</f>
        <v>0</v>
      </c>
      <c r="EXG6" s="44">
        <f>Database!EXZ14</f>
        <v>0</v>
      </c>
      <c r="EXH6" s="44">
        <f>Database!EYA14</f>
        <v>0</v>
      </c>
      <c r="EXI6" s="44">
        <f>Database!EYB14</f>
        <v>0</v>
      </c>
      <c r="EXJ6" s="44">
        <f>Database!EYC14</f>
        <v>0</v>
      </c>
      <c r="EXK6" s="44">
        <f>Database!EYD14</f>
        <v>0</v>
      </c>
      <c r="EXL6" s="44">
        <f>Database!EYE14</f>
        <v>0</v>
      </c>
      <c r="EXM6" s="44">
        <f>Database!EYF14</f>
        <v>0</v>
      </c>
      <c r="EXN6" s="44">
        <f>Database!EYG14</f>
        <v>0</v>
      </c>
      <c r="EXO6" s="44">
        <f>Database!EYH14</f>
        <v>0</v>
      </c>
      <c r="EXP6" s="44">
        <f>Database!EYI14</f>
        <v>0</v>
      </c>
      <c r="EXQ6" s="44">
        <f>Database!EYJ14</f>
        <v>0</v>
      </c>
      <c r="EXR6" s="44">
        <f>Database!EYK14</f>
        <v>0</v>
      </c>
      <c r="EXS6" s="44">
        <f>Database!EYL14</f>
        <v>0</v>
      </c>
      <c r="EXT6" s="44">
        <f>Database!EYM14</f>
        <v>0</v>
      </c>
      <c r="EXU6" s="44">
        <f>Database!EYN14</f>
        <v>0</v>
      </c>
      <c r="EXV6" s="44">
        <f>Database!EYO14</f>
        <v>0</v>
      </c>
      <c r="EXW6" s="44">
        <f>Database!EYP14</f>
        <v>0</v>
      </c>
      <c r="EXX6" s="44">
        <f>Database!EYQ14</f>
        <v>0</v>
      </c>
      <c r="EXY6" s="44">
        <f>Database!EYR14</f>
        <v>0</v>
      </c>
      <c r="EXZ6" s="44">
        <f>Database!EYS14</f>
        <v>0</v>
      </c>
      <c r="EYA6" s="44">
        <f>Database!EYT14</f>
        <v>0</v>
      </c>
      <c r="EYB6" s="44">
        <f>Database!EYU14</f>
        <v>0</v>
      </c>
      <c r="EYC6" s="44">
        <f>Database!EYV14</f>
        <v>0</v>
      </c>
      <c r="EYD6" s="44">
        <f>Database!EYW14</f>
        <v>0</v>
      </c>
      <c r="EYE6" s="44">
        <f>Database!EYX14</f>
        <v>0</v>
      </c>
      <c r="EYF6" s="44">
        <f>Database!EYY14</f>
        <v>0</v>
      </c>
      <c r="EYG6" s="44">
        <f>Database!EYZ14</f>
        <v>0</v>
      </c>
      <c r="EYH6" s="44">
        <f>Database!EZA14</f>
        <v>0</v>
      </c>
      <c r="EYI6" s="44">
        <f>Database!EZB14</f>
        <v>0</v>
      </c>
      <c r="EYJ6" s="44">
        <f>Database!EZC14</f>
        <v>0</v>
      </c>
      <c r="EYK6" s="44">
        <f>Database!EZD14</f>
        <v>0</v>
      </c>
      <c r="EYL6" s="44">
        <f>Database!EZE14</f>
        <v>0</v>
      </c>
      <c r="EYM6" s="44">
        <f>Database!EZF14</f>
        <v>0</v>
      </c>
      <c r="EYN6" s="44">
        <f>Database!EZG14</f>
        <v>0</v>
      </c>
      <c r="EYO6" s="44">
        <f>Database!EZH14</f>
        <v>0</v>
      </c>
      <c r="EYP6" s="44">
        <f>Database!EZI14</f>
        <v>0</v>
      </c>
      <c r="EYQ6" s="44">
        <f>Database!EZJ14</f>
        <v>0</v>
      </c>
      <c r="EYR6" s="44">
        <f>Database!EZK14</f>
        <v>0</v>
      </c>
      <c r="EYS6" s="44">
        <f>Database!EZL14</f>
        <v>0</v>
      </c>
      <c r="EYT6" s="44">
        <f>Database!EZM14</f>
        <v>0</v>
      </c>
      <c r="EYU6" s="44">
        <f>Database!EZN14</f>
        <v>0</v>
      </c>
      <c r="EYV6" s="44">
        <f>Database!EZO14</f>
        <v>0</v>
      </c>
      <c r="EYW6" s="44">
        <f>Database!EZP14</f>
        <v>0</v>
      </c>
      <c r="EYX6" s="44">
        <f>Database!EZQ14</f>
        <v>0</v>
      </c>
      <c r="EYY6" s="44">
        <f>Database!EZR14</f>
        <v>0</v>
      </c>
      <c r="EYZ6" s="44">
        <f>Database!EZS14</f>
        <v>0</v>
      </c>
      <c r="EZA6" s="44">
        <f>Database!EZT14</f>
        <v>0</v>
      </c>
      <c r="EZB6" s="44">
        <f>Database!EZU14</f>
        <v>0</v>
      </c>
      <c r="EZC6" s="44">
        <f>Database!EZV14</f>
        <v>0</v>
      </c>
      <c r="EZD6" s="44">
        <f>Database!EZW14</f>
        <v>0</v>
      </c>
      <c r="EZE6" s="44">
        <f>Database!EZX14</f>
        <v>0</v>
      </c>
      <c r="EZF6" s="44">
        <f>Database!EZY14</f>
        <v>0</v>
      </c>
      <c r="EZG6" s="44">
        <f>Database!EZZ14</f>
        <v>0</v>
      </c>
      <c r="EZH6" s="44">
        <f>Database!FAA14</f>
        <v>0</v>
      </c>
      <c r="EZI6" s="44">
        <f>Database!FAB14</f>
        <v>0</v>
      </c>
      <c r="EZJ6" s="44">
        <f>Database!FAC14</f>
        <v>0</v>
      </c>
      <c r="EZK6" s="44">
        <f>Database!FAD14</f>
        <v>0</v>
      </c>
      <c r="EZL6" s="44">
        <f>Database!FAE14</f>
        <v>0</v>
      </c>
      <c r="EZM6" s="44">
        <f>Database!FAF14</f>
        <v>0</v>
      </c>
      <c r="EZN6" s="44">
        <f>Database!FAG14</f>
        <v>0</v>
      </c>
      <c r="EZO6" s="44">
        <f>Database!FAH14</f>
        <v>0</v>
      </c>
      <c r="EZP6" s="44">
        <f>Database!FAI14</f>
        <v>0</v>
      </c>
      <c r="EZQ6" s="44">
        <f>Database!FAJ14</f>
        <v>0</v>
      </c>
      <c r="EZR6" s="44">
        <f>Database!FAK14</f>
        <v>0</v>
      </c>
      <c r="EZS6" s="44">
        <f>Database!FAL14</f>
        <v>0</v>
      </c>
      <c r="EZT6" s="44">
        <f>Database!FAM14</f>
        <v>0</v>
      </c>
      <c r="EZU6" s="44">
        <f>Database!FAN14</f>
        <v>0</v>
      </c>
      <c r="EZV6" s="44">
        <f>Database!FAO14</f>
        <v>0</v>
      </c>
      <c r="EZW6" s="44">
        <f>Database!FAP14</f>
        <v>0</v>
      </c>
      <c r="EZX6" s="44">
        <f>Database!FAQ14</f>
        <v>0</v>
      </c>
      <c r="EZY6" s="44">
        <f>Database!FAR14</f>
        <v>0</v>
      </c>
      <c r="EZZ6" s="44">
        <f>Database!FAS14</f>
        <v>0</v>
      </c>
      <c r="FAA6" s="44">
        <f>Database!FAT14</f>
        <v>0</v>
      </c>
      <c r="FAB6" s="44">
        <f>Database!FAU14</f>
        <v>0</v>
      </c>
      <c r="FAC6" s="44">
        <f>Database!FAV14</f>
        <v>0</v>
      </c>
      <c r="FAD6" s="44">
        <f>Database!FAW14</f>
        <v>0</v>
      </c>
      <c r="FAE6" s="44">
        <f>Database!FAX14</f>
        <v>0</v>
      </c>
      <c r="FAF6" s="44">
        <f>Database!FAY14</f>
        <v>0</v>
      </c>
      <c r="FAG6" s="44">
        <f>Database!FAZ14</f>
        <v>0</v>
      </c>
      <c r="FAH6" s="44">
        <f>Database!FBA14</f>
        <v>0</v>
      </c>
      <c r="FAI6" s="44">
        <f>Database!FBB14</f>
        <v>0</v>
      </c>
      <c r="FAJ6" s="44">
        <f>Database!FBC14</f>
        <v>0</v>
      </c>
      <c r="FAK6" s="44">
        <f>Database!FBD14</f>
        <v>0</v>
      </c>
      <c r="FAL6" s="44">
        <f>Database!FBE14</f>
        <v>0</v>
      </c>
      <c r="FAM6" s="44">
        <f>Database!FBF14</f>
        <v>0</v>
      </c>
      <c r="FAN6" s="44">
        <f>Database!FBG14</f>
        <v>0</v>
      </c>
      <c r="FAO6" s="44">
        <f>Database!FBH14</f>
        <v>0</v>
      </c>
      <c r="FAP6" s="44">
        <f>Database!FBI14</f>
        <v>0</v>
      </c>
      <c r="FAQ6" s="44">
        <f>Database!FBJ14</f>
        <v>0</v>
      </c>
      <c r="FAR6" s="44">
        <f>Database!FBK14</f>
        <v>0</v>
      </c>
      <c r="FAS6" s="44">
        <f>Database!FBL14</f>
        <v>0</v>
      </c>
      <c r="FAT6" s="44">
        <f>Database!FBM14</f>
        <v>0</v>
      </c>
      <c r="FAU6" s="44">
        <f>Database!FBN14</f>
        <v>0</v>
      </c>
      <c r="FAV6" s="44">
        <f>Database!FBO14</f>
        <v>0</v>
      </c>
      <c r="FAW6" s="44">
        <f>Database!FBP14</f>
        <v>0</v>
      </c>
      <c r="FAX6" s="44">
        <f>Database!FBQ14</f>
        <v>0</v>
      </c>
      <c r="FAY6" s="44">
        <f>Database!FBR14</f>
        <v>0</v>
      </c>
      <c r="FAZ6" s="44">
        <f>Database!FBS14</f>
        <v>0</v>
      </c>
      <c r="FBA6" s="44">
        <f>Database!FBT14</f>
        <v>0</v>
      </c>
      <c r="FBB6" s="44">
        <f>Database!FBU14</f>
        <v>0</v>
      </c>
      <c r="FBC6" s="44">
        <f>Database!FBV14</f>
        <v>0</v>
      </c>
      <c r="FBD6" s="44">
        <f>Database!FBW14</f>
        <v>0</v>
      </c>
      <c r="FBE6" s="44">
        <f>Database!FBX14</f>
        <v>0</v>
      </c>
      <c r="FBF6" s="44">
        <f>Database!FBY14</f>
        <v>0</v>
      </c>
      <c r="FBG6" s="44">
        <f>Database!FBZ14</f>
        <v>0</v>
      </c>
      <c r="FBH6" s="44">
        <f>Database!FCA14</f>
        <v>0</v>
      </c>
      <c r="FBI6" s="44">
        <f>Database!FCB14</f>
        <v>0</v>
      </c>
      <c r="FBJ6" s="44">
        <f>Database!FCC14</f>
        <v>0</v>
      </c>
      <c r="FBK6" s="44">
        <f>Database!FCD14</f>
        <v>0</v>
      </c>
      <c r="FBL6" s="44">
        <f>Database!FCE14</f>
        <v>0</v>
      </c>
      <c r="FBM6" s="44">
        <f>Database!FCF14</f>
        <v>0</v>
      </c>
      <c r="FBN6" s="44">
        <f>Database!FCG14</f>
        <v>0</v>
      </c>
      <c r="FBO6" s="44">
        <f>Database!FCH14</f>
        <v>0</v>
      </c>
      <c r="FBP6" s="44">
        <f>Database!FCI14</f>
        <v>0</v>
      </c>
      <c r="FBQ6" s="44">
        <f>Database!FCJ14</f>
        <v>0</v>
      </c>
      <c r="FBR6" s="44">
        <f>Database!FCK14</f>
        <v>0</v>
      </c>
      <c r="FBS6" s="44">
        <f>Database!FCL14</f>
        <v>0</v>
      </c>
      <c r="FBT6" s="44">
        <f>Database!FCM14</f>
        <v>0</v>
      </c>
      <c r="FBU6" s="44">
        <f>Database!FCN14</f>
        <v>0</v>
      </c>
      <c r="FBV6" s="44">
        <f>Database!FCO14</f>
        <v>0</v>
      </c>
      <c r="FBW6" s="44">
        <f>Database!FCP14</f>
        <v>0</v>
      </c>
      <c r="FBX6" s="44">
        <f>Database!FCQ14</f>
        <v>0</v>
      </c>
      <c r="FBY6" s="44">
        <f>Database!FCR14</f>
        <v>0</v>
      </c>
      <c r="FBZ6" s="44">
        <f>Database!FCS14</f>
        <v>0</v>
      </c>
      <c r="FCA6" s="44">
        <f>Database!FCT14</f>
        <v>0</v>
      </c>
      <c r="FCB6" s="44">
        <f>Database!FCU14</f>
        <v>0</v>
      </c>
      <c r="FCC6" s="44">
        <f>Database!FCV14</f>
        <v>0</v>
      </c>
      <c r="FCD6" s="44">
        <f>Database!FCW14</f>
        <v>0</v>
      </c>
      <c r="FCE6" s="44">
        <f>Database!FCX14</f>
        <v>0</v>
      </c>
      <c r="FCF6" s="44">
        <f>Database!FCY14</f>
        <v>0</v>
      </c>
      <c r="FCG6" s="44">
        <f>Database!FCZ14</f>
        <v>0</v>
      </c>
      <c r="FCH6" s="44">
        <f>Database!FDA14</f>
        <v>0</v>
      </c>
      <c r="FCI6" s="44">
        <f>Database!FDB14</f>
        <v>0</v>
      </c>
      <c r="FCJ6" s="44">
        <f>Database!FDC14</f>
        <v>0</v>
      </c>
      <c r="FCK6" s="44">
        <f>Database!FDD14</f>
        <v>0</v>
      </c>
      <c r="FCL6" s="44">
        <f>Database!FDE14</f>
        <v>0</v>
      </c>
      <c r="FCM6" s="44">
        <f>Database!FDF14</f>
        <v>0</v>
      </c>
      <c r="FCN6" s="44">
        <f>Database!FDG14</f>
        <v>0</v>
      </c>
      <c r="FCO6" s="44">
        <f>Database!FDH14</f>
        <v>0</v>
      </c>
      <c r="FCP6" s="44">
        <f>Database!FDI14</f>
        <v>0</v>
      </c>
      <c r="FCQ6" s="44">
        <f>Database!FDJ14</f>
        <v>0</v>
      </c>
      <c r="FCR6" s="44">
        <f>Database!FDK14</f>
        <v>0</v>
      </c>
      <c r="FCS6" s="44">
        <f>Database!FDL14</f>
        <v>0</v>
      </c>
      <c r="FCT6" s="44">
        <f>Database!FDM14</f>
        <v>0</v>
      </c>
      <c r="FCU6" s="44">
        <f>Database!FDN14</f>
        <v>0</v>
      </c>
      <c r="FCV6" s="44">
        <f>Database!FDO14</f>
        <v>0</v>
      </c>
      <c r="FCW6" s="44">
        <f>Database!FDP14</f>
        <v>0</v>
      </c>
      <c r="FCX6" s="44">
        <f>Database!FDQ14</f>
        <v>0</v>
      </c>
      <c r="FCY6" s="44">
        <f>Database!FDR14</f>
        <v>0</v>
      </c>
      <c r="FCZ6" s="44">
        <f>Database!FDS14</f>
        <v>0</v>
      </c>
      <c r="FDA6" s="44">
        <f>Database!FDT14</f>
        <v>0</v>
      </c>
      <c r="FDB6" s="44">
        <f>Database!FDU14</f>
        <v>0</v>
      </c>
      <c r="FDC6" s="44">
        <f>Database!FDV14</f>
        <v>0</v>
      </c>
      <c r="FDD6" s="44">
        <f>Database!FDW14</f>
        <v>0</v>
      </c>
      <c r="FDE6" s="44">
        <f>Database!FDX14</f>
        <v>0</v>
      </c>
      <c r="FDF6" s="44">
        <f>Database!FDY14</f>
        <v>0</v>
      </c>
      <c r="FDG6" s="44">
        <f>Database!FDZ14</f>
        <v>0</v>
      </c>
      <c r="FDH6" s="44">
        <f>Database!FEA14</f>
        <v>0</v>
      </c>
      <c r="FDI6" s="44">
        <f>Database!FEB14</f>
        <v>0</v>
      </c>
      <c r="FDJ6" s="44">
        <f>Database!FEC14</f>
        <v>0</v>
      </c>
      <c r="FDK6" s="44">
        <f>Database!FED14</f>
        <v>0</v>
      </c>
      <c r="FDL6" s="44">
        <f>Database!FEE14</f>
        <v>0</v>
      </c>
      <c r="FDM6" s="44">
        <f>Database!FEF14</f>
        <v>0</v>
      </c>
      <c r="FDN6" s="44">
        <f>Database!FEG14</f>
        <v>0</v>
      </c>
      <c r="FDO6" s="44">
        <f>Database!FEH14</f>
        <v>0</v>
      </c>
      <c r="FDP6" s="44">
        <f>Database!FEI14</f>
        <v>0</v>
      </c>
      <c r="FDQ6" s="44">
        <f>Database!FEJ14</f>
        <v>0</v>
      </c>
      <c r="FDR6" s="44">
        <f>Database!FEK14</f>
        <v>0</v>
      </c>
      <c r="FDS6" s="44">
        <f>Database!FEL14</f>
        <v>0</v>
      </c>
      <c r="FDT6" s="44">
        <f>Database!FEM14</f>
        <v>0</v>
      </c>
      <c r="FDU6" s="44">
        <f>Database!FEN14</f>
        <v>0</v>
      </c>
      <c r="FDV6" s="44">
        <f>Database!FEO14</f>
        <v>0</v>
      </c>
      <c r="FDW6" s="44">
        <f>Database!FEP14</f>
        <v>0</v>
      </c>
      <c r="FDX6" s="44">
        <f>Database!FEQ14</f>
        <v>0</v>
      </c>
      <c r="FDY6" s="44">
        <f>Database!FER14</f>
        <v>0</v>
      </c>
      <c r="FDZ6" s="44">
        <f>Database!FES14</f>
        <v>0</v>
      </c>
      <c r="FEA6" s="44">
        <f>Database!FET14</f>
        <v>0</v>
      </c>
      <c r="FEB6" s="44">
        <f>Database!FEU14</f>
        <v>0</v>
      </c>
      <c r="FEC6" s="44">
        <f>Database!FEV14</f>
        <v>0</v>
      </c>
      <c r="FED6" s="44">
        <f>Database!FEW14</f>
        <v>0</v>
      </c>
      <c r="FEE6" s="44">
        <f>Database!FEX14</f>
        <v>0</v>
      </c>
      <c r="FEF6" s="44">
        <f>Database!FEY14</f>
        <v>0</v>
      </c>
      <c r="FEG6" s="44">
        <f>Database!FEZ14</f>
        <v>0</v>
      </c>
      <c r="FEH6" s="44">
        <f>Database!FFA14</f>
        <v>0</v>
      </c>
      <c r="FEI6" s="44">
        <f>Database!FFB14</f>
        <v>0</v>
      </c>
      <c r="FEJ6" s="44">
        <f>Database!FFC14</f>
        <v>0</v>
      </c>
      <c r="FEK6" s="44">
        <f>Database!FFD14</f>
        <v>0</v>
      </c>
      <c r="FEL6" s="44">
        <f>Database!FFE14</f>
        <v>0</v>
      </c>
      <c r="FEM6" s="44">
        <f>Database!FFF14</f>
        <v>0</v>
      </c>
      <c r="FEN6" s="44">
        <f>Database!FFG14</f>
        <v>0</v>
      </c>
      <c r="FEO6" s="44">
        <f>Database!FFH14</f>
        <v>0</v>
      </c>
      <c r="FEP6" s="44">
        <f>Database!FFI14</f>
        <v>0</v>
      </c>
      <c r="FEQ6" s="44">
        <f>Database!FFJ14</f>
        <v>0</v>
      </c>
      <c r="FER6" s="44">
        <f>Database!FFK14</f>
        <v>0</v>
      </c>
      <c r="FES6" s="44">
        <f>Database!FFL14</f>
        <v>0</v>
      </c>
      <c r="FET6" s="44">
        <f>Database!FFM14</f>
        <v>0</v>
      </c>
      <c r="FEU6" s="44">
        <f>Database!FFN14</f>
        <v>0</v>
      </c>
      <c r="FEV6" s="44">
        <f>Database!FFO14</f>
        <v>0</v>
      </c>
      <c r="FEW6" s="44">
        <f>Database!FFP14</f>
        <v>0</v>
      </c>
      <c r="FEX6" s="44">
        <f>Database!FFQ14</f>
        <v>0</v>
      </c>
      <c r="FEY6" s="44">
        <f>Database!FFR14</f>
        <v>0</v>
      </c>
      <c r="FEZ6" s="44">
        <f>Database!FFS14</f>
        <v>0</v>
      </c>
      <c r="FFA6" s="44">
        <f>Database!FFT14</f>
        <v>0</v>
      </c>
      <c r="FFB6" s="44">
        <f>Database!FFU14</f>
        <v>0</v>
      </c>
      <c r="FFC6" s="44">
        <f>Database!FFV14</f>
        <v>0</v>
      </c>
      <c r="FFD6" s="44">
        <f>Database!FFW14</f>
        <v>0</v>
      </c>
      <c r="FFE6" s="44">
        <f>Database!FFX14</f>
        <v>0</v>
      </c>
      <c r="FFF6" s="44">
        <f>Database!FFY14</f>
        <v>0</v>
      </c>
      <c r="FFG6" s="44">
        <f>Database!FFZ14</f>
        <v>0</v>
      </c>
      <c r="FFH6" s="44">
        <f>Database!FGA14</f>
        <v>0</v>
      </c>
      <c r="FFI6" s="44">
        <f>Database!FGB14</f>
        <v>0</v>
      </c>
      <c r="FFJ6" s="44">
        <f>Database!FGC14</f>
        <v>0</v>
      </c>
      <c r="FFK6" s="44">
        <f>Database!FGD14</f>
        <v>0</v>
      </c>
      <c r="FFL6" s="44">
        <f>Database!FGE14</f>
        <v>0</v>
      </c>
      <c r="FFM6" s="44">
        <f>Database!FGF14</f>
        <v>0</v>
      </c>
      <c r="FFN6" s="44">
        <f>Database!FGG14</f>
        <v>0</v>
      </c>
      <c r="FFO6" s="44">
        <f>Database!FGH14</f>
        <v>0</v>
      </c>
      <c r="FFP6" s="44">
        <f>Database!FGI14</f>
        <v>0</v>
      </c>
      <c r="FFQ6" s="44">
        <f>Database!FGJ14</f>
        <v>0</v>
      </c>
      <c r="FFR6" s="44">
        <f>Database!FGK14</f>
        <v>0</v>
      </c>
      <c r="FFS6" s="44">
        <f>Database!FGL14</f>
        <v>0</v>
      </c>
      <c r="FFT6" s="44">
        <f>Database!FGM14</f>
        <v>0</v>
      </c>
      <c r="FFU6" s="44">
        <f>Database!FGN14</f>
        <v>0</v>
      </c>
      <c r="FFV6" s="44">
        <f>Database!FGO14</f>
        <v>0</v>
      </c>
      <c r="FFW6" s="44">
        <f>Database!FGP14</f>
        <v>0</v>
      </c>
      <c r="FFX6" s="44">
        <f>Database!FGQ14</f>
        <v>0</v>
      </c>
      <c r="FFY6" s="44">
        <f>Database!FGR14</f>
        <v>0</v>
      </c>
      <c r="FFZ6" s="44">
        <f>Database!FGS14</f>
        <v>0</v>
      </c>
      <c r="FGA6" s="44">
        <f>Database!FGT14</f>
        <v>0</v>
      </c>
      <c r="FGB6" s="44">
        <f>Database!FGU14</f>
        <v>0</v>
      </c>
      <c r="FGC6" s="44">
        <f>Database!FGV14</f>
        <v>0</v>
      </c>
      <c r="FGD6" s="44">
        <f>Database!FGW14</f>
        <v>0</v>
      </c>
      <c r="FGE6" s="44">
        <f>Database!FGX14</f>
        <v>0</v>
      </c>
      <c r="FGF6" s="44">
        <f>Database!FGY14</f>
        <v>0</v>
      </c>
      <c r="FGG6" s="44">
        <f>Database!FGZ14</f>
        <v>0</v>
      </c>
      <c r="FGH6" s="44">
        <f>Database!FHA14</f>
        <v>0</v>
      </c>
      <c r="FGI6" s="44">
        <f>Database!FHB14</f>
        <v>0</v>
      </c>
      <c r="FGJ6" s="44">
        <f>Database!FHC14</f>
        <v>0</v>
      </c>
      <c r="FGK6" s="44">
        <f>Database!FHD14</f>
        <v>0</v>
      </c>
      <c r="FGL6" s="44">
        <f>Database!FHE14</f>
        <v>0</v>
      </c>
      <c r="FGM6" s="44">
        <f>Database!FHF14</f>
        <v>0</v>
      </c>
      <c r="FGN6" s="44">
        <f>Database!FHG14</f>
        <v>0</v>
      </c>
      <c r="FGO6" s="44">
        <f>Database!FHH14</f>
        <v>0</v>
      </c>
      <c r="FGP6" s="44">
        <f>Database!FHI14</f>
        <v>0</v>
      </c>
      <c r="FGQ6" s="44">
        <f>Database!FHJ14</f>
        <v>0</v>
      </c>
      <c r="FGR6" s="44">
        <f>Database!FHK14</f>
        <v>0</v>
      </c>
      <c r="FGS6" s="44">
        <f>Database!FHL14</f>
        <v>0</v>
      </c>
      <c r="FGT6" s="44">
        <f>Database!FHM14</f>
        <v>0</v>
      </c>
      <c r="FGU6" s="44">
        <f>Database!FHN14</f>
        <v>0</v>
      </c>
      <c r="FGV6" s="44">
        <f>Database!FHO14</f>
        <v>0</v>
      </c>
      <c r="FGW6" s="44">
        <f>Database!FHP14</f>
        <v>0</v>
      </c>
      <c r="FGX6" s="44">
        <f>Database!FHQ14</f>
        <v>0</v>
      </c>
      <c r="FGY6" s="44">
        <f>Database!FHR14</f>
        <v>0</v>
      </c>
      <c r="FGZ6" s="44">
        <f>Database!FHS14</f>
        <v>0</v>
      </c>
      <c r="FHA6" s="44">
        <f>Database!FHT14</f>
        <v>0</v>
      </c>
      <c r="FHB6" s="44">
        <f>Database!FHU14</f>
        <v>0</v>
      </c>
      <c r="FHC6" s="44">
        <f>Database!FHV14</f>
        <v>0</v>
      </c>
      <c r="FHD6" s="44">
        <f>Database!FHW14</f>
        <v>0</v>
      </c>
      <c r="FHE6" s="44">
        <f>Database!FHX14</f>
        <v>0</v>
      </c>
      <c r="FHF6" s="44">
        <f>Database!FHY14</f>
        <v>0</v>
      </c>
      <c r="FHG6" s="44">
        <f>Database!FHZ14</f>
        <v>0</v>
      </c>
      <c r="FHH6" s="44">
        <f>Database!FIA14</f>
        <v>0</v>
      </c>
      <c r="FHI6" s="44">
        <f>Database!FIB14</f>
        <v>0</v>
      </c>
      <c r="FHJ6" s="44">
        <f>Database!FIC14</f>
        <v>0</v>
      </c>
      <c r="FHK6" s="44">
        <f>Database!FID14</f>
        <v>0</v>
      </c>
      <c r="FHL6" s="44">
        <f>Database!FIE14</f>
        <v>0</v>
      </c>
      <c r="FHM6" s="44">
        <f>Database!FIF14</f>
        <v>0</v>
      </c>
      <c r="FHN6" s="44">
        <f>Database!FIG14</f>
        <v>0</v>
      </c>
      <c r="FHO6" s="44">
        <f>Database!FIH14</f>
        <v>0</v>
      </c>
      <c r="FHP6" s="44">
        <f>Database!FII14</f>
        <v>0</v>
      </c>
      <c r="FHQ6" s="44">
        <f>Database!FIJ14</f>
        <v>0</v>
      </c>
      <c r="FHR6" s="44">
        <f>Database!FIK14</f>
        <v>0</v>
      </c>
      <c r="FHS6" s="44">
        <f>Database!FIL14</f>
        <v>0</v>
      </c>
      <c r="FHT6" s="44">
        <f>Database!FIM14</f>
        <v>0</v>
      </c>
      <c r="FHU6" s="44">
        <f>Database!FIN14</f>
        <v>0</v>
      </c>
      <c r="FHV6" s="44">
        <f>Database!FIO14</f>
        <v>0</v>
      </c>
      <c r="FHW6" s="44">
        <f>Database!FIP14</f>
        <v>0</v>
      </c>
      <c r="FHX6" s="44">
        <f>Database!FIQ14</f>
        <v>0</v>
      </c>
      <c r="FHY6" s="44">
        <f>Database!FIR14</f>
        <v>0</v>
      </c>
      <c r="FHZ6" s="44">
        <f>Database!FIS14</f>
        <v>0</v>
      </c>
      <c r="FIA6" s="44">
        <f>Database!FIT14</f>
        <v>0</v>
      </c>
      <c r="FIB6" s="44">
        <f>Database!FIU14</f>
        <v>0</v>
      </c>
      <c r="FIC6" s="44">
        <f>Database!FIV14</f>
        <v>0</v>
      </c>
      <c r="FID6" s="44">
        <f>Database!FIW14</f>
        <v>0</v>
      </c>
      <c r="FIE6" s="44">
        <f>Database!FIX14</f>
        <v>0</v>
      </c>
      <c r="FIF6" s="44">
        <f>Database!FIY14</f>
        <v>0</v>
      </c>
      <c r="FIG6" s="44">
        <f>Database!FIZ14</f>
        <v>0</v>
      </c>
      <c r="FIH6" s="44">
        <f>Database!FJA14</f>
        <v>0</v>
      </c>
      <c r="FII6" s="44">
        <f>Database!FJB14</f>
        <v>0</v>
      </c>
      <c r="FIJ6" s="44">
        <f>Database!FJC14</f>
        <v>0</v>
      </c>
      <c r="FIK6" s="44">
        <f>Database!FJD14</f>
        <v>0</v>
      </c>
      <c r="FIL6" s="44">
        <f>Database!FJE14</f>
        <v>0</v>
      </c>
      <c r="FIM6" s="44">
        <f>Database!FJF14</f>
        <v>0</v>
      </c>
      <c r="FIN6" s="44">
        <f>Database!FJG14</f>
        <v>0</v>
      </c>
      <c r="FIO6" s="44">
        <f>Database!FJH14</f>
        <v>0</v>
      </c>
      <c r="FIP6" s="44">
        <f>Database!FJI14</f>
        <v>0</v>
      </c>
      <c r="FIQ6" s="44">
        <f>Database!FJJ14</f>
        <v>0</v>
      </c>
      <c r="FIR6" s="44">
        <f>Database!FJK14</f>
        <v>0</v>
      </c>
      <c r="FIS6" s="44">
        <f>Database!FJL14</f>
        <v>0</v>
      </c>
      <c r="FIT6" s="44">
        <f>Database!FJM14</f>
        <v>0</v>
      </c>
      <c r="FIU6" s="44">
        <f>Database!FJN14</f>
        <v>0</v>
      </c>
      <c r="FIV6" s="44">
        <f>Database!FJO14</f>
        <v>0</v>
      </c>
      <c r="FIW6" s="44">
        <f>Database!FJP14</f>
        <v>0</v>
      </c>
      <c r="FIX6" s="44">
        <f>Database!FJQ14</f>
        <v>0</v>
      </c>
      <c r="FIY6" s="44">
        <f>Database!FJR14</f>
        <v>0</v>
      </c>
      <c r="FIZ6" s="44">
        <f>Database!FJS14</f>
        <v>0</v>
      </c>
      <c r="FJA6" s="44">
        <f>Database!FJT14</f>
        <v>0</v>
      </c>
      <c r="FJB6" s="44">
        <f>Database!FJU14</f>
        <v>0</v>
      </c>
      <c r="FJC6" s="44">
        <f>Database!FJV14</f>
        <v>0</v>
      </c>
      <c r="FJD6" s="44">
        <f>Database!FJW14</f>
        <v>0</v>
      </c>
      <c r="FJE6" s="44">
        <f>Database!FJX14</f>
        <v>0</v>
      </c>
      <c r="FJF6" s="44">
        <f>Database!FJY14</f>
        <v>0</v>
      </c>
      <c r="FJG6" s="44">
        <f>Database!FJZ14</f>
        <v>0</v>
      </c>
      <c r="FJH6" s="44">
        <f>Database!FKA14</f>
        <v>0</v>
      </c>
      <c r="FJI6" s="44">
        <f>Database!FKB14</f>
        <v>0</v>
      </c>
      <c r="FJJ6" s="44">
        <f>Database!FKC14</f>
        <v>0</v>
      </c>
      <c r="FJK6" s="44">
        <f>Database!FKD14</f>
        <v>0</v>
      </c>
      <c r="FJL6" s="44">
        <f>Database!FKE14</f>
        <v>0</v>
      </c>
      <c r="FJM6" s="44">
        <f>Database!FKF14</f>
        <v>0</v>
      </c>
      <c r="FJN6" s="44">
        <f>Database!FKG14</f>
        <v>0</v>
      </c>
      <c r="FJO6" s="44">
        <f>Database!FKH14</f>
        <v>0</v>
      </c>
      <c r="FJP6" s="44">
        <f>Database!FKI14</f>
        <v>0</v>
      </c>
      <c r="FJQ6" s="44">
        <f>Database!FKJ14</f>
        <v>0</v>
      </c>
      <c r="FJR6" s="44">
        <f>Database!FKK14</f>
        <v>0</v>
      </c>
      <c r="FJS6" s="44">
        <f>Database!FKL14</f>
        <v>0</v>
      </c>
      <c r="FJT6" s="44">
        <f>Database!FKM14</f>
        <v>0</v>
      </c>
      <c r="FJU6" s="44">
        <f>Database!FKN14</f>
        <v>0</v>
      </c>
      <c r="FJV6" s="44">
        <f>Database!FKO14</f>
        <v>0</v>
      </c>
      <c r="FJW6" s="44">
        <f>Database!FKP14</f>
        <v>0</v>
      </c>
      <c r="FJX6" s="44">
        <f>Database!FKQ14</f>
        <v>0</v>
      </c>
      <c r="FJY6" s="44">
        <f>Database!FKR14</f>
        <v>0</v>
      </c>
      <c r="FJZ6" s="44">
        <f>Database!FKS14</f>
        <v>0</v>
      </c>
      <c r="FKA6" s="44">
        <f>Database!FKT14</f>
        <v>0</v>
      </c>
      <c r="FKB6" s="44">
        <f>Database!FKU14</f>
        <v>0</v>
      </c>
      <c r="FKC6" s="44">
        <f>Database!FKV14</f>
        <v>0</v>
      </c>
      <c r="FKD6" s="44">
        <f>Database!FKW14</f>
        <v>0</v>
      </c>
      <c r="FKE6" s="44">
        <f>Database!FKX14</f>
        <v>0</v>
      </c>
      <c r="FKF6" s="44">
        <f>Database!FKY14</f>
        <v>0</v>
      </c>
      <c r="FKG6" s="44">
        <f>Database!FKZ14</f>
        <v>0</v>
      </c>
      <c r="FKH6" s="44">
        <f>Database!FLA14</f>
        <v>0</v>
      </c>
      <c r="FKI6" s="44">
        <f>Database!FLB14</f>
        <v>0</v>
      </c>
      <c r="FKJ6" s="44">
        <f>Database!FLC14</f>
        <v>0</v>
      </c>
      <c r="FKK6" s="44">
        <f>Database!FLD14</f>
        <v>0</v>
      </c>
      <c r="FKL6" s="44">
        <f>Database!FLE14</f>
        <v>0</v>
      </c>
      <c r="FKM6" s="44">
        <f>Database!FLF14</f>
        <v>0</v>
      </c>
      <c r="FKN6" s="44">
        <f>Database!FLG14</f>
        <v>0</v>
      </c>
      <c r="FKO6" s="44">
        <f>Database!FLH14</f>
        <v>0</v>
      </c>
      <c r="FKP6" s="44">
        <f>Database!FLI14</f>
        <v>0</v>
      </c>
      <c r="FKQ6" s="44">
        <f>Database!FLJ14</f>
        <v>0</v>
      </c>
      <c r="FKR6" s="44">
        <f>Database!FLK14</f>
        <v>0</v>
      </c>
      <c r="FKS6" s="44">
        <f>Database!FLL14</f>
        <v>0</v>
      </c>
      <c r="FKT6" s="44">
        <f>Database!FLM14</f>
        <v>0</v>
      </c>
      <c r="FKU6" s="44">
        <f>Database!FLN14</f>
        <v>0</v>
      </c>
      <c r="FKV6" s="44">
        <f>Database!FLO14</f>
        <v>0</v>
      </c>
      <c r="FKW6" s="44">
        <f>Database!FLP14</f>
        <v>0</v>
      </c>
      <c r="FKX6" s="44">
        <f>Database!FLQ14</f>
        <v>0</v>
      </c>
      <c r="FKY6" s="44">
        <f>Database!FLR14</f>
        <v>0</v>
      </c>
      <c r="FKZ6" s="44">
        <f>Database!FLS14</f>
        <v>0</v>
      </c>
      <c r="FLA6" s="44">
        <f>Database!FLT14</f>
        <v>0</v>
      </c>
      <c r="FLB6" s="44">
        <f>Database!FLU14</f>
        <v>0</v>
      </c>
      <c r="FLC6" s="44">
        <f>Database!FLV14</f>
        <v>0</v>
      </c>
      <c r="FLD6" s="44">
        <f>Database!FLW14</f>
        <v>0</v>
      </c>
      <c r="FLE6" s="44">
        <f>Database!FLX14</f>
        <v>0</v>
      </c>
      <c r="FLF6" s="44">
        <f>Database!FLY14</f>
        <v>0</v>
      </c>
      <c r="FLG6" s="44">
        <f>Database!FLZ14</f>
        <v>0</v>
      </c>
      <c r="FLH6" s="44">
        <f>Database!FMA14</f>
        <v>0</v>
      </c>
      <c r="FLI6" s="44">
        <f>Database!FMB14</f>
        <v>0</v>
      </c>
      <c r="FLJ6" s="44">
        <f>Database!FMC14</f>
        <v>0</v>
      </c>
      <c r="FLK6" s="44">
        <f>Database!FMD14</f>
        <v>0</v>
      </c>
      <c r="FLL6" s="44">
        <f>Database!FME14</f>
        <v>0</v>
      </c>
      <c r="FLM6" s="44">
        <f>Database!FMF14</f>
        <v>0</v>
      </c>
      <c r="FLN6" s="44">
        <f>Database!FMG14</f>
        <v>0</v>
      </c>
      <c r="FLO6" s="44">
        <f>Database!FMH14</f>
        <v>0</v>
      </c>
      <c r="FLP6" s="44">
        <f>Database!FMI14</f>
        <v>0</v>
      </c>
      <c r="FLQ6" s="44">
        <f>Database!FMJ14</f>
        <v>0</v>
      </c>
      <c r="FLR6" s="44">
        <f>Database!FMK14</f>
        <v>0</v>
      </c>
      <c r="FLS6" s="44">
        <f>Database!FML14</f>
        <v>0</v>
      </c>
      <c r="FLT6" s="44">
        <f>Database!FMM14</f>
        <v>0</v>
      </c>
      <c r="FLU6" s="44">
        <f>Database!FMN14</f>
        <v>0</v>
      </c>
      <c r="FLV6" s="44">
        <f>Database!FMO14</f>
        <v>0</v>
      </c>
      <c r="FLW6" s="44">
        <f>Database!FMP14</f>
        <v>0</v>
      </c>
      <c r="FLX6" s="44">
        <f>Database!FMQ14</f>
        <v>0</v>
      </c>
      <c r="FLY6" s="44">
        <f>Database!FMR14</f>
        <v>0</v>
      </c>
      <c r="FLZ6" s="44">
        <f>Database!FMS14</f>
        <v>0</v>
      </c>
      <c r="FMA6" s="44">
        <f>Database!FMT14</f>
        <v>0</v>
      </c>
      <c r="FMB6" s="44">
        <f>Database!FMU14</f>
        <v>0</v>
      </c>
      <c r="FMC6" s="44">
        <f>Database!FMV14</f>
        <v>0</v>
      </c>
      <c r="FMD6" s="44">
        <f>Database!FMW14</f>
        <v>0</v>
      </c>
      <c r="FME6" s="44">
        <f>Database!FMX14</f>
        <v>0</v>
      </c>
      <c r="FMF6" s="44">
        <f>Database!FMY14</f>
        <v>0</v>
      </c>
      <c r="FMG6" s="44">
        <f>Database!FMZ14</f>
        <v>0</v>
      </c>
      <c r="FMH6" s="44">
        <f>Database!FNA14</f>
        <v>0</v>
      </c>
      <c r="FMI6" s="44">
        <f>Database!FNB14</f>
        <v>0</v>
      </c>
      <c r="FMJ6" s="44">
        <f>Database!FNC14</f>
        <v>0</v>
      </c>
      <c r="FMK6" s="44">
        <f>Database!FND14</f>
        <v>0</v>
      </c>
      <c r="FML6" s="44">
        <f>Database!FNE14</f>
        <v>0</v>
      </c>
      <c r="FMM6" s="44">
        <f>Database!FNF14</f>
        <v>0</v>
      </c>
      <c r="FMN6" s="44">
        <f>Database!FNG14</f>
        <v>0</v>
      </c>
      <c r="FMO6" s="44">
        <f>Database!FNH14</f>
        <v>0</v>
      </c>
      <c r="FMP6" s="44">
        <f>Database!FNI14</f>
        <v>0</v>
      </c>
      <c r="FMQ6" s="44">
        <f>Database!FNJ14</f>
        <v>0</v>
      </c>
      <c r="FMR6" s="44">
        <f>Database!FNK14</f>
        <v>0</v>
      </c>
      <c r="FMS6" s="44">
        <f>Database!FNL14</f>
        <v>0</v>
      </c>
      <c r="FMT6" s="44">
        <f>Database!FNM14</f>
        <v>0</v>
      </c>
      <c r="FMU6" s="44">
        <f>Database!FNN14</f>
        <v>0</v>
      </c>
      <c r="FMV6" s="44">
        <f>Database!FNO14</f>
        <v>0</v>
      </c>
      <c r="FMW6" s="44">
        <f>Database!FNP14</f>
        <v>0</v>
      </c>
      <c r="FMX6" s="44">
        <f>Database!FNQ14</f>
        <v>0</v>
      </c>
      <c r="FMY6" s="44">
        <f>Database!FNR14</f>
        <v>0</v>
      </c>
      <c r="FMZ6" s="44">
        <f>Database!FNS14</f>
        <v>0</v>
      </c>
      <c r="FNA6" s="44">
        <f>Database!FNT14</f>
        <v>0</v>
      </c>
      <c r="FNB6" s="44">
        <f>Database!FNU14</f>
        <v>0</v>
      </c>
      <c r="FNC6" s="44">
        <f>Database!FNV14</f>
        <v>0</v>
      </c>
      <c r="FND6" s="44">
        <f>Database!FNW14</f>
        <v>0</v>
      </c>
      <c r="FNE6" s="44">
        <f>Database!FNX14</f>
        <v>0</v>
      </c>
      <c r="FNF6" s="44">
        <f>Database!FNY14</f>
        <v>0</v>
      </c>
      <c r="FNG6" s="44">
        <f>Database!FNZ14</f>
        <v>0</v>
      </c>
      <c r="FNH6" s="44">
        <f>Database!FOA14</f>
        <v>0</v>
      </c>
      <c r="FNI6" s="44">
        <f>Database!FOB14</f>
        <v>0</v>
      </c>
      <c r="FNJ6" s="44">
        <f>Database!FOC14</f>
        <v>0</v>
      </c>
      <c r="FNK6" s="44">
        <f>Database!FOD14</f>
        <v>0</v>
      </c>
      <c r="FNL6" s="44">
        <f>Database!FOE14</f>
        <v>0</v>
      </c>
      <c r="FNM6" s="44">
        <f>Database!FOF14</f>
        <v>0</v>
      </c>
      <c r="FNN6" s="44">
        <f>Database!FOG14</f>
        <v>0</v>
      </c>
      <c r="FNO6" s="44">
        <f>Database!FOH14</f>
        <v>0</v>
      </c>
      <c r="FNP6" s="44">
        <f>Database!FOI14</f>
        <v>0</v>
      </c>
      <c r="FNQ6" s="44">
        <f>Database!FOJ14</f>
        <v>0</v>
      </c>
      <c r="FNR6" s="44">
        <f>Database!FOK14</f>
        <v>0</v>
      </c>
      <c r="FNS6" s="44">
        <f>Database!FOL14</f>
        <v>0</v>
      </c>
      <c r="FNT6" s="44">
        <f>Database!FOM14</f>
        <v>0</v>
      </c>
      <c r="FNU6" s="44">
        <f>Database!FON14</f>
        <v>0</v>
      </c>
      <c r="FNV6" s="44">
        <f>Database!FOO14</f>
        <v>0</v>
      </c>
      <c r="FNW6" s="44">
        <f>Database!FOP14</f>
        <v>0</v>
      </c>
      <c r="FNX6" s="44">
        <f>Database!FOQ14</f>
        <v>0</v>
      </c>
      <c r="FNY6" s="44">
        <f>Database!FOR14</f>
        <v>0</v>
      </c>
      <c r="FNZ6" s="44">
        <f>Database!FOS14</f>
        <v>0</v>
      </c>
      <c r="FOA6" s="44">
        <f>Database!FOT14</f>
        <v>0</v>
      </c>
      <c r="FOB6" s="44">
        <f>Database!FOU14</f>
        <v>0</v>
      </c>
      <c r="FOC6" s="44">
        <f>Database!FOV14</f>
        <v>0</v>
      </c>
      <c r="FOD6" s="44">
        <f>Database!FOW14</f>
        <v>0</v>
      </c>
      <c r="FOE6" s="44">
        <f>Database!FOX14</f>
        <v>0</v>
      </c>
      <c r="FOF6" s="44">
        <f>Database!FOY14</f>
        <v>0</v>
      </c>
      <c r="FOG6" s="44">
        <f>Database!FOZ14</f>
        <v>0</v>
      </c>
      <c r="FOH6" s="44">
        <f>Database!FPA14</f>
        <v>0</v>
      </c>
      <c r="FOI6" s="44">
        <f>Database!FPB14</f>
        <v>0</v>
      </c>
      <c r="FOJ6" s="44">
        <f>Database!FPC14</f>
        <v>0</v>
      </c>
      <c r="FOK6" s="44">
        <f>Database!FPD14</f>
        <v>0</v>
      </c>
      <c r="FOL6" s="44">
        <f>Database!FPE14</f>
        <v>0</v>
      </c>
      <c r="FOM6" s="44">
        <f>Database!FPF14</f>
        <v>0</v>
      </c>
      <c r="FON6" s="44">
        <f>Database!FPG14</f>
        <v>0</v>
      </c>
      <c r="FOO6" s="44">
        <f>Database!FPH14</f>
        <v>0</v>
      </c>
      <c r="FOP6" s="44">
        <f>Database!FPI14</f>
        <v>0</v>
      </c>
      <c r="FOQ6" s="44">
        <f>Database!FPJ14</f>
        <v>0</v>
      </c>
      <c r="FOR6" s="44">
        <f>Database!FPK14</f>
        <v>0</v>
      </c>
      <c r="FOS6" s="44">
        <f>Database!FPL14</f>
        <v>0</v>
      </c>
      <c r="FOT6" s="44">
        <f>Database!FPM14</f>
        <v>0</v>
      </c>
      <c r="FOU6" s="44">
        <f>Database!FPN14</f>
        <v>0</v>
      </c>
      <c r="FOV6" s="44">
        <f>Database!FPO14</f>
        <v>0</v>
      </c>
      <c r="FOW6" s="44">
        <f>Database!FPP14</f>
        <v>0</v>
      </c>
      <c r="FOX6" s="44">
        <f>Database!FPQ14</f>
        <v>0</v>
      </c>
      <c r="FOY6" s="44">
        <f>Database!FPR14</f>
        <v>0</v>
      </c>
      <c r="FOZ6" s="44">
        <f>Database!FPS14</f>
        <v>0</v>
      </c>
      <c r="FPA6" s="44">
        <f>Database!FPT14</f>
        <v>0</v>
      </c>
      <c r="FPB6" s="44">
        <f>Database!FPU14</f>
        <v>0</v>
      </c>
      <c r="FPC6" s="44">
        <f>Database!FPV14</f>
        <v>0</v>
      </c>
      <c r="FPD6" s="44">
        <f>Database!FPW14</f>
        <v>0</v>
      </c>
      <c r="FPE6" s="44">
        <f>Database!FPX14</f>
        <v>0</v>
      </c>
      <c r="FPF6" s="44">
        <f>Database!FPY14</f>
        <v>0</v>
      </c>
      <c r="FPG6" s="44">
        <f>Database!FPZ14</f>
        <v>0</v>
      </c>
      <c r="FPH6" s="44">
        <f>Database!FQA14</f>
        <v>0</v>
      </c>
      <c r="FPI6" s="44">
        <f>Database!FQB14</f>
        <v>0</v>
      </c>
      <c r="FPJ6" s="44">
        <f>Database!FQC14</f>
        <v>0</v>
      </c>
      <c r="FPK6" s="44">
        <f>Database!FQD14</f>
        <v>0</v>
      </c>
      <c r="FPL6" s="44">
        <f>Database!FQE14</f>
        <v>0</v>
      </c>
      <c r="FPM6" s="44">
        <f>Database!FQF14</f>
        <v>0</v>
      </c>
      <c r="FPN6" s="44">
        <f>Database!FQG14</f>
        <v>0</v>
      </c>
      <c r="FPO6" s="44">
        <f>Database!FQH14</f>
        <v>0</v>
      </c>
      <c r="FPP6" s="44">
        <f>Database!FQI14</f>
        <v>0</v>
      </c>
      <c r="FPQ6" s="44">
        <f>Database!FQJ14</f>
        <v>0</v>
      </c>
      <c r="FPR6" s="44">
        <f>Database!FQK14</f>
        <v>0</v>
      </c>
      <c r="FPS6" s="44">
        <f>Database!FQL14</f>
        <v>0</v>
      </c>
      <c r="FPT6" s="44">
        <f>Database!FQM14</f>
        <v>0</v>
      </c>
      <c r="FPU6" s="44">
        <f>Database!FQN14</f>
        <v>0</v>
      </c>
      <c r="FPV6" s="44">
        <f>Database!FQO14</f>
        <v>0</v>
      </c>
      <c r="FPW6" s="44">
        <f>Database!FQP14</f>
        <v>0</v>
      </c>
      <c r="FPX6" s="44">
        <f>Database!FQQ14</f>
        <v>0</v>
      </c>
      <c r="FPY6" s="44">
        <f>Database!FQR14</f>
        <v>0</v>
      </c>
      <c r="FPZ6" s="44">
        <f>Database!FQS14</f>
        <v>0</v>
      </c>
      <c r="FQA6" s="44">
        <f>Database!FQT14</f>
        <v>0</v>
      </c>
      <c r="FQB6" s="44">
        <f>Database!FQU14</f>
        <v>0</v>
      </c>
      <c r="FQC6" s="44">
        <f>Database!FQV14</f>
        <v>0</v>
      </c>
      <c r="FQD6" s="44">
        <f>Database!FQW14</f>
        <v>0</v>
      </c>
      <c r="FQE6" s="44">
        <f>Database!FQX14</f>
        <v>0</v>
      </c>
      <c r="FQF6" s="44">
        <f>Database!FQY14</f>
        <v>0</v>
      </c>
      <c r="FQG6" s="44">
        <f>Database!FQZ14</f>
        <v>0</v>
      </c>
      <c r="FQH6" s="44">
        <f>Database!FRA14</f>
        <v>0</v>
      </c>
      <c r="FQI6" s="44">
        <f>Database!FRB14</f>
        <v>0</v>
      </c>
      <c r="FQJ6" s="44">
        <f>Database!FRC14</f>
        <v>0</v>
      </c>
      <c r="FQK6" s="44">
        <f>Database!FRD14</f>
        <v>0</v>
      </c>
      <c r="FQL6" s="44">
        <f>Database!FRE14</f>
        <v>0</v>
      </c>
      <c r="FQM6" s="44">
        <f>Database!FRF14</f>
        <v>0</v>
      </c>
      <c r="FQN6" s="44">
        <f>Database!FRG14</f>
        <v>0</v>
      </c>
      <c r="FQO6" s="44">
        <f>Database!FRH14</f>
        <v>0</v>
      </c>
      <c r="FQP6" s="44">
        <f>Database!FRI14</f>
        <v>0</v>
      </c>
      <c r="FQQ6" s="44">
        <f>Database!FRJ14</f>
        <v>0</v>
      </c>
      <c r="FQR6" s="44">
        <f>Database!FRK14</f>
        <v>0</v>
      </c>
      <c r="FQS6" s="44">
        <f>Database!FRL14</f>
        <v>0</v>
      </c>
      <c r="FQT6" s="44">
        <f>Database!FRM14</f>
        <v>0</v>
      </c>
      <c r="FQU6" s="44">
        <f>Database!FRN14</f>
        <v>0</v>
      </c>
      <c r="FQV6" s="44">
        <f>Database!FRO14</f>
        <v>0</v>
      </c>
      <c r="FQW6" s="44">
        <f>Database!FRP14</f>
        <v>0</v>
      </c>
      <c r="FQX6" s="44">
        <f>Database!FRQ14</f>
        <v>0</v>
      </c>
      <c r="FQY6" s="44">
        <f>Database!FRR14</f>
        <v>0</v>
      </c>
      <c r="FQZ6" s="44">
        <f>Database!FRS14</f>
        <v>0</v>
      </c>
      <c r="FRA6" s="44">
        <f>Database!FRT14</f>
        <v>0</v>
      </c>
      <c r="FRB6" s="44">
        <f>Database!FRU14</f>
        <v>0</v>
      </c>
      <c r="FRC6" s="44">
        <f>Database!FRV14</f>
        <v>0</v>
      </c>
      <c r="FRD6" s="44">
        <f>Database!FRW14</f>
        <v>0</v>
      </c>
      <c r="FRE6" s="44">
        <f>Database!FRX14</f>
        <v>0</v>
      </c>
      <c r="FRF6" s="44">
        <f>Database!FRY14</f>
        <v>0</v>
      </c>
      <c r="FRG6" s="44">
        <f>Database!FRZ14</f>
        <v>0</v>
      </c>
      <c r="FRH6" s="44">
        <f>Database!FSA14</f>
        <v>0</v>
      </c>
      <c r="FRI6" s="44">
        <f>Database!FSB14</f>
        <v>0</v>
      </c>
      <c r="FRJ6" s="44">
        <f>Database!FSC14</f>
        <v>0</v>
      </c>
      <c r="FRK6" s="44">
        <f>Database!FSD14</f>
        <v>0</v>
      </c>
      <c r="FRL6" s="44">
        <f>Database!FSE14</f>
        <v>0</v>
      </c>
      <c r="FRM6" s="44">
        <f>Database!FSF14</f>
        <v>0</v>
      </c>
      <c r="FRN6" s="44">
        <f>Database!FSG14</f>
        <v>0</v>
      </c>
      <c r="FRO6" s="44">
        <f>Database!FSH14</f>
        <v>0</v>
      </c>
      <c r="FRP6" s="44">
        <f>Database!FSI14</f>
        <v>0</v>
      </c>
      <c r="FRQ6" s="44">
        <f>Database!FSJ14</f>
        <v>0</v>
      </c>
      <c r="FRR6" s="44">
        <f>Database!FSK14</f>
        <v>0</v>
      </c>
      <c r="FRS6" s="44">
        <f>Database!FSL14</f>
        <v>0</v>
      </c>
      <c r="FRT6" s="44">
        <f>Database!FSM14</f>
        <v>0</v>
      </c>
      <c r="FRU6" s="44">
        <f>Database!FSN14</f>
        <v>0</v>
      </c>
      <c r="FRV6" s="44">
        <f>Database!FSO14</f>
        <v>0</v>
      </c>
      <c r="FRW6" s="44">
        <f>Database!FSP14</f>
        <v>0</v>
      </c>
      <c r="FRX6" s="44">
        <f>Database!FSQ14</f>
        <v>0</v>
      </c>
      <c r="FRY6" s="44">
        <f>Database!FSR14</f>
        <v>0</v>
      </c>
      <c r="FRZ6" s="44">
        <f>Database!FSS14</f>
        <v>0</v>
      </c>
      <c r="FSA6" s="44">
        <f>Database!FST14</f>
        <v>0</v>
      </c>
      <c r="FSB6" s="44">
        <f>Database!FSU14</f>
        <v>0</v>
      </c>
      <c r="FSC6" s="44">
        <f>Database!FSV14</f>
        <v>0</v>
      </c>
      <c r="FSD6" s="44">
        <f>Database!FSW14</f>
        <v>0</v>
      </c>
      <c r="FSE6" s="44">
        <f>Database!FSX14</f>
        <v>0</v>
      </c>
      <c r="FSF6" s="44">
        <f>Database!FSY14</f>
        <v>0</v>
      </c>
      <c r="FSG6" s="44">
        <f>Database!FSZ14</f>
        <v>0</v>
      </c>
      <c r="FSH6" s="44">
        <f>Database!FTA14</f>
        <v>0</v>
      </c>
      <c r="FSI6" s="44">
        <f>Database!FTB14</f>
        <v>0</v>
      </c>
      <c r="FSJ6" s="44">
        <f>Database!FTC14</f>
        <v>0</v>
      </c>
      <c r="FSK6" s="44">
        <f>Database!FTD14</f>
        <v>0</v>
      </c>
      <c r="FSL6" s="44">
        <f>Database!FTE14</f>
        <v>0</v>
      </c>
      <c r="FSM6" s="44">
        <f>Database!FTF14</f>
        <v>0</v>
      </c>
      <c r="FSN6" s="44">
        <f>Database!FTG14</f>
        <v>0</v>
      </c>
      <c r="FSO6" s="44">
        <f>Database!FTH14</f>
        <v>0</v>
      </c>
      <c r="FSP6" s="44">
        <f>Database!FTI14</f>
        <v>0</v>
      </c>
      <c r="FSQ6" s="44">
        <f>Database!FTJ14</f>
        <v>0</v>
      </c>
      <c r="FSR6" s="44">
        <f>Database!FTK14</f>
        <v>0</v>
      </c>
      <c r="FSS6" s="44">
        <f>Database!FTL14</f>
        <v>0</v>
      </c>
      <c r="FST6" s="44">
        <f>Database!FTM14</f>
        <v>0</v>
      </c>
      <c r="FSU6" s="44">
        <f>Database!FTN14</f>
        <v>0</v>
      </c>
      <c r="FSV6" s="44">
        <f>Database!FTO14</f>
        <v>0</v>
      </c>
      <c r="FSW6" s="44">
        <f>Database!FTP14</f>
        <v>0</v>
      </c>
      <c r="FSX6" s="44">
        <f>Database!FTQ14</f>
        <v>0</v>
      </c>
      <c r="FSY6" s="44">
        <f>Database!FTR14</f>
        <v>0</v>
      </c>
      <c r="FSZ6" s="44">
        <f>Database!FTS14</f>
        <v>0</v>
      </c>
      <c r="FTA6" s="44">
        <f>Database!FTT14</f>
        <v>0</v>
      </c>
      <c r="FTB6" s="44">
        <f>Database!FTU14</f>
        <v>0</v>
      </c>
      <c r="FTC6" s="44">
        <f>Database!FTV14</f>
        <v>0</v>
      </c>
      <c r="FTD6" s="44">
        <f>Database!FTW14</f>
        <v>0</v>
      </c>
      <c r="FTE6" s="44">
        <f>Database!FTX14</f>
        <v>0</v>
      </c>
      <c r="FTF6" s="44">
        <f>Database!FTY14</f>
        <v>0</v>
      </c>
      <c r="FTG6" s="44">
        <f>Database!FTZ14</f>
        <v>0</v>
      </c>
      <c r="FTH6" s="44">
        <f>Database!FUA14</f>
        <v>0</v>
      </c>
      <c r="FTI6" s="44">
        <f>Database!FUB14</f>
        <v>0</v>
      </c>
      <c r="FTJ6" s="44">
        <f>Database!FUC14</f>
        <v>0</v>
      </c>
      <c r="FTK6" s="44">
        <f>Database!FUD14</f>
        <v>0</v>
      </c>
      <c r="FTL6" s="44">
        <f>Database!FUE14</f>
        <v>0</v>
      </c>
      <c r="FTM6" s="44">
        <f>Database!FUF14</f>
        <v>0</v>
      </c>
      <c r="FTN6" s="44">
        <f>Database!FUG14</f>
        <v>0</v>
      </c>
      <c r="FTO6" s="44">
        <f>Database!FUH14</f>
        <v>0</v>
      </c>
      <c r="FTP6" s="44">
        <f>Database!FUI14</f>
        <v>0</v>
      </c>
      <c r="FTQ6" s="44">
        <f>Database!FUJ14</f>
        <v>0</v>
      </c>
      <c r="FTR6" s="44">
        <f>Database!FUK14</f>
        <v>0</v>
      </c>
      <c r="FTS6" s="44">
        <f>Database!FUL14</f>
        <v>0</v>
      </c>
      <c r="FTT6" s="44">
        <f>Database!FUM14</f>
        <v>0</v>
      </c>
      <c r="FTU6" s="44">
        <f>Database!FUN14</f>
        <v>0</v>
      </c>
      <c r="FTV6" s="44">
        <f>Database!FUO14</f>
        <v>0</v>
      </c>
      <c r="FTW6" s="44">
        <f>Database!FUP14</f>
        <v>0</v>
      </c>
      <c r="FTX6" s="44">
        <f>Database!FUQ14</f>
        <v>0</v>
      </c>
      <c r="FTY6" s="44">
        <f>Database!FUR14</f>
        <v>0</v>
      </c>
      <c r="FTZ6" s="44">
        <f>Database!FUS14</f>
        <v>0</v>
      </c>
      <c r="FUA6" s="44">
        <f>Database!FUT14</f>
        <v>0</v>
      </c>
      <c r="FUB6" s="44">
        <f>Database!FUU14</f>
        <v>0</v>
      </c>
      <c r="FUC6" s="44">
        <f>Database!FUV14</f>
        <v>0</v>
      </c>
      <c r="FUD6" s="44">
        <f>Database!FUW14</f>
        <v>0</v>
      </c>
      <c r="FUE6" s="44">
        <f>Database!FUX14</f>
        <v>0</v>
      </c>
      <c r="FUF6" s="44">
        <f>Database!FUY14</f>
        <v>0</v>
      </c>
      <c r="FUG6" s="44">
        <f>Database!FUZ14</f>
        <v>0</v>
      </c>
      <c r="FUH6" s="44">
        <f>Database!FVA14</f>
        <v>0</v>
      </c>
      <c r="FUI6" s="44">
        <f>Database!FVB14</f>
        <v>0</v>
      </c>
      <c r="FUJ6" s="44">
        <f>Database!FVC14</f>
        <v>0</v>
      </c>
      <c r="FUK6" s="44">
        <f>Database!FVD14</f>
        <v>0</v>
      </c>
      <c r="FUL6" s="44">
        <f>Database!FVE14</f>
        <v>0</v>
      </c>
      <c r="FUM6" s="44">
        <f>Database!FVF14</f>
        <v>0</v>
      </c>
      <c r="FUN6" s="44">
        <f>Database!FVG14</f>
        <v>0</v>
      </c>
      <c r="FUO6" s="44">
        <f>Database!FVH14</f>
        <v>0</v>
      </c>
      <c r="FUP6" s="44">
        <f>Database!FVI14</f>
        <v>0</v>
      </c>
      <c r="FUQ6" s="44">
        <f>Database!FVJ14</f>
        <v>0</v>
      </c>
      <c r="FUR6" s="44">
        <f>Database!FVK14</f>
        <v>0</v>
      </c>
      <c r="FUS6" s="44">
        <f>Database!FVL14</f>
        <v>0</v>
      </c>
      <c r="FUT6" s="44">
        <f>Database!FVM14</f>
        <v>0</v>
      </c>
      <c r="FUU6" s="44">
        <f>Database!FVN14</f>
        <v>0</v>
      </c>
      <c r="FUV6" s="44">
        <f>Database!FVO14</f>
        <v>0</v>
      </c>
      <c r="FUW6" s="44">
        <f>Database!FVP14</f>
        <v>0</v>
      </c>
      <c r="FUX6" s="44">
        <f>Database!FVQ14</f>
        <v>0</v>
      </c>
      <c r="FUY6" s="44">
        <f>Database!FVR14</f>
        <v>0</v>
      </c>
      <c r="FUZ6" s="44">
        <f>Database!FVS14</f>
        <v>0</v>
      </c>
      <c r="FVA6" s="44">
        <f>Database!FVT14</f>
        <v>0</v>
      </c>
      <c r="FVB6" s="44">
        <f>Database!FVU14</f>
        <v>0</v>
      </c>
      <c r="FVC6" s="44">
        <f>Database!FVV14</f>
        <v>0</v>
      </c>
      <c r="FVD6" s="44">
        <f>Database!FVW14</f>
        <v>0</v>
      </c>
      <c r="FVE6" s="44">
        <f>Database!FVX14</f>
        <v>0</v>
      </c>
      <c r="FVF6" s="44">
        <f>Database!FVY14</f>
        <v>0</v>
      </c>
      <c r="FVG6" s="44">
        <f>Database!FVZ14</f>
        <v>0</v>
      </c>
      <c r="FVH6" s="44">
        <f>Database!FWA14</f>
        <v>0</v>
      </c>
      <c r="FVI6" s="44">
        <f>Database!FWB14</f>
        <v>0</v>
      </c>
      <c r="FVJ6" s="44">
        <f>Database!FWC14</f>
        <v>0</v>
      </c>
      <c r="FVK6" s="44">
        <f>Database!FWD14</f>
        <v>0</v>
      </c>
      <c r="FVL6" s="44">
        <f>Database!FWE14</f>
        <v>0</v>
      </c>
      <c r="FVM6" s="44">
        <f>Database!FWF14</f>
        <v>0</v>
      </c>
      <c r="FVN6" s="44">
        <f>Database!FWG14</f>
        <v>0</v>
      </c>
      <c r="FVO6" s="44">
        <f>Database!FWH14</f>
        <v>0</v>
      </c>
      <c r="FVP6" s="44">
        <f>Database!FWI14</f>
        <v>0</v>
      </c>
      <c r="FVQ6" s="44">
        <f>Database!FWJ14</f>
        <v>0</v>
      </c>
      <c r="FVR6" s="44">
        <f>Database!FWK14</f>
        <v>0</v>
      </c>
      <c r="FVS6" s="44">
        <f>Database!FWL14</f>
        <v>0</v>
      </c>
      <c r="FVT6" s="44">
        <f>Database!FWM14</f>
        <v>0</v>
      </c>
      <c r="FVU6" s="44">
        <f>Database!FWN14</f>
        <v>0</v>
      </c>
      <c r="FVV6" s="44">
        <f>Database!FWO14</f>
        <v>0</v>
      </c>
      <c r="FVW6" s="44">
        <f>Database!FWP14</f>
        <v>0</v>
      </c>
      <c r="FVX6" s="44">
        <f>Database!FWQ14</f>
        <v>0</v>
      </c>
      <c r="FVY6" s="44">
        <f>Database!FWR14</f>
        <v>0</v>
      </c>
      <c r="FVZ6" s="44">
        <f>Database!FWS14</f>
        <v>0</v>
      </c>
      <c r="FWA6" s="44">
        <f>Database!FWT14</f>
        <v>0</v>
      </c>
      <c r="FWB6" s="44">
        <f>Database!FWU14</f>
        <v>0</v>
      </c>
      <c r="FWC6" s="44">
        <f>Database!FWV14</f>
        <v>0</v>
      </c>
      <c r="FWD6" s="44">
        <f>Database!FWW14</f>
        <v>0</v>
      </c>
      <c r="FWE6" s="44">
        <f>Database!FWX14</f>
        <v>0</v>
      </c>
      <c r="FWF6" s="44">
        <f>Database!FWY14</f>
        <v>0</v>
      </c>
      <c r="FWG6" s="44">
        <f>Database!FWZ14</f>
        <v>0</v>
      </c>
      <c r="FWH6" s="44">
        <f>Database!FXA14</f>
        <v>0</v>
      </c>
      <c r="FWI6" s="44">
        <f>Database!FXB14</f>
        <v>0</v>
      </c>
      <c r="FWJ6" s="44">
        <f>Database!FXC14</f>
        <v>0</v>
      </c>
      <c r="FWK6" s="44">
        <f>Database!FXD14</f>
        <v>0</v>
      </c>
      <c r="FWL6" s="44">
        <f>Database!FXE14</f>
        <v>0</v>
      </c>
      <c r="FWM6" s="44">
        <f>Database!FXF14</f>
        <v>0</v>
      </c>
      <c r="FWN6" s="44">
        <f>Database!FXG14</f>
        <v>0</v>
      </c>
      <c r="FWO6" s="44">
        <f>Database!FXH14</f>
        <v>0</v>
      </c>
      <c r="FWP6" s="44">
        <f>Database!FXI14</f>
        <v>0</v>
      </c>
      <c r="FWQ6" s="44">
        <f>Database!FXJ14</f>
        <v>0</v>
      </c>
      <c r="FWR6" s="44">
        <f>Database!FXK14</f>
        <v>0</v>
      </c>
      <c r="FWS6" s="44">
        <f>Database!FXL14</f>
        <v>0</v>
      </c>
      <c r="FWT6" s="44">
        <f>Database!FXM14</f>
        <v>0</v>
      </c>
      <c r="FWU6" s="44">
        <f>Database!FXN14</f>
        <v>0</v>
      </c>
      <c r="FWV6" s="44">
        <f>Database!FXO14</f>
        <v>0</v>
      </c>
      <c r="FWW6" s="44">
        <f>Database!FXP14</f>
        <v>0</v>
      </c>
      <c r="FWX6" s="44">
        <f>Database!FXQ14</f>
        <v>0</v>
      </c>
      <c r="FWY6" s="44">
        <f>Database!FXR14</f>
        <v>0</v>
      </c>
      <c r="FWZ6" s="44">
        <f>Database!FXS14</f>
        <v>0</v>
      </c>
      <c r="FXA6" s="44">
        <f>Database!FXT14</f>
        <v>0</v>
      </c>
      <c r="FXB6" s="44">
        <f>Database!FXU14</f>
        <v>0</v>
      </c>
      <c r="FXC6" s="44">
        <f>Database!FXV14</f>
        <v>0</v>
      </c>
      <c r="FXD6" s="44">
        <f>Database!FXW14</f>
        <v>0</v>
      </c>
      <c r="FXE6" s="44">
        <f>Database!FXX14</f>
        <v>0</v>
      </c>
      <c r="FXF6" s="44">
        <f>Database!FXY14</f>
        <v>0</v>
      </c>
      <c r="FXG6" s="44">
        <f>Database!FXZ14</f>
        <v>0</v>
      </c>
      <c r="FXH6" s="44">
        <f>Database!FYA14</f>
        <v>0</v>
      </c>
      <c r="FXI6" s="44">
        <f>Database!FYB14</f>
        <v>0</v>
      </c>
      <c r="FXJ6" s="44">
        <f>Database!FYC14</f>
        <v>0</v>
      </c>
      <c r="FXK6" s="44">
        <f>Database!FYD14</f>
        <v>0</v>
      </c>
      <c r="FXL6" s="44">
        <f>Database!FYE14</f>
        <v>0</v>
      </c>
      <c r="FXM6" s="44">
        <f>Database!FYF14</f>
        <v>0</v>
      </c>
      <c r="FXN6" s="44">
        <f>Database!FYG14</f>
        <v>0</v>
      </c>
      <c r="FXO6" s="44">
        <f>Database!FYH14</f>
        <v>0</v>
      </c>
      <c r="FXP6" s="44">
        <f>Database!FYI14</f>
        <v>0</v>
      </c>
      <c r="FXQ6" s="44">
        <f>Database!FYJ14</f>
        <v>0</v>
      </c>
      <c r="FXR6" s="44">
        <f>Database!FYK14</f>
        <v>0</v>
      </c>
      <c r="FXS6" s="44">
        <f>Database!FYL14</f>
        <v>0</v>
      </c>
      <c r="FXT6" s="44">
        <f>Database!FYM14</f>
        <v>0</v>
      </c>
      <c r="FXU6" s="44">
        <f>Database!FYN14</f>
        <v>0</v>
      </c>
      <c r="FXV6" s="44">
        <f>Database!FYO14</f>
        <v>0</v>
      </c>
      <c r="FXW6" s="44">
        <f>Database!FYP14</f>
        <v>0</v>
      </c>
      <c r="FXX6" s="44">
        <f>Database!FYQ14</f>
        <v>0</v>
      </c>
      <c r="FXY6" s="44">
        <f>Database!FYR14</f>
        <v>0</v>
      </c>
      <c r="FXZ6" s="44">
        <f>Database!FYS14</f>
        <v>0</v>
      </c>
      <c r="FYA6" s="44">
        <f>Database!FYT14</f>
        <v>0</v>
      </c>
      <c r="FYB6" s="44">
        <f>Database!FYU14</f>
        <v>0</v>
      </c>
      <c r="FYC6" s="44">
        <f>Database!FYV14</f>
        <v>0</v>
      </c>
      <c r="FYD6" s="44">
        <f>Database!FYW14</f>
        <v>0</v>
      </c>
      <c r="FYE6" s="44">
        <f>Database!FYX14</f>
        <v>0</v>
      </c>
      <c r="FYF6" s="44">
        <f>Database!FYY14</f>
        <v>0</v>
      </c>
      <c r="FYG6" s="44">
        <f>Database!FYZ14</f>
        <v>0</v>
      </c>
      <c r="FYH6" s="44">
        <f>Database!FZA14</f>
        <v>0</v>
      </c>
      <c r="FYI6" s="44">
        <f>Database!FZB14</f>
        <v>0</v>
      </c>
      <c r="FYJ6" s="44">
        <f>Database!FZC14</f>
        <v>0</v>
      </c>
      <c r="FYK6" s="44">
        <f>Database!FZD14</f>
        <v>0</v>
      </c>
      <c r="FYL6" s="44">
        <f>Database!FZE14</f>
        <v>0</v>
      </c>
      <c r="FYM6" s="44">
        <f>Database!FZF14</f>
        <v>0</v>
      </c>
      <c r="FYN6" s="44">
        <f>Database!FZG14</f>
        <v>0</v>
      </c>
      <c r="FYO6" s="44">
        <f>Database!FZH14</f>
        <v>0</v>
      </c>
      <c r="FYP6" s="44">
        <f>Database!FZI14</f>
        <v>0</v>
      </c>
      <c r="FYQ6" s="44">
        <f>Database!FZJ14</f>
        <v>0</v>
      </c>
      <c r="FYR6" s="44">
        <f>Database!FZK14</f>
        <v>0</v>
      </c>
      <c r="FYS6" s="44">
        <f>Database!FZL14</f>
        <v>0</v>
      </c>
      <c r="FYT6" s="44">
        <f>Database!FZM14</f>
        <v>0</v>
      </c>
      <c r="FYU6" s="44">
        <f>Database!FZN14</f>
        <v>0</v>
      </c>
      <c r="FYV6" s="44">
        <f>Database!FZO14</f>
        <v>0</v>
      </c>
      <c r="FYW6" s="44">
        <f>Database!FZP14</f>
        <v>0</v>
      </c>
      <c r="FYX6" s="44">
        <f>Database!FZQ14</f>
        <v>0</v>
      </c>
      <c r="FYY6" s="44">
        <f>Database!FZR14</f>
        <v>0</v>
      </c>
      <c r="FYZ6" s="44">
        <f>Database!FZS14</f>
        <v>0</v>
      </c>
      <c r="FZA6" s="44">
        <f>Database!FZT14</f>
        <v>0</v>
      </c>
      <c r="FZB6" s="44">
        <f>Database!FZU14</f>
        <v>0</v>
      </c>
      <c r="FZC6" s="44">
        <f>Database!FZV14</f>
        <v>0</v>
      </c>
      <c r="FZD6" s="44">
        <f>Database!FZW14</f>
        <v>0</v>
      </c>
      <c r="FZE6" s="44">
        <f>Database!FZX14</f>
        <v>0</v>
      </c>
      <c r="FZF6" s="44">
        <f>Database!FZY14</f>
        <v>0</v>
      </c>
      <c r="FZG6" s="44">
        <f>Database!FZZ14</f>
        <v>0</v>
      </c>
      <c r="FZH6" s="44">
        <f>Database!GAA14</f>
        <v>0</v>
      </c>
      <c r="FZI6" s="44">
        <f>Database!GAB14</f>
        <v>0</v>
      </c>
      <c r="FZJ6" s="44">
        <f>Database!GAC14</f>
        <v>0</v>
      </c>
      <c r="FZK6" s="44">
        <f>Database!GAD14</f>
        <v>0</v>
      </c>
      <c r="FZL6" s="44">
        <f>Database!GAE14</f>
        <v>0</v>
      </c>
      <c r="FZM6" s="44">
        <f>Database!GAF14</f>
        <v>0</v>
      </c>
      <c r="FZN6" s="44">
        <f>Database!GAG14</f>
        <v>0</v>
      </c>
      <c r="FZO6" s="44">
        <f>Database!GAH14</f>
        <v>0</v>
      </c>
      <c r="FZP6" s="44">
        <f>Database!GAI14</f>
        <v>0</v>
      </c>
      <c r="FZQ6" s="44">
        <f>Database!GAJ14</f>
        <v>0</v>
      </c>
      <c r="FZR6" s="44">
        <f>Database!GAK14</f>
        <v>0</v>
      </c>
      <c r="FZS6" s="44">
        <f>Database!GAL14</f>
        <v>0</v>
      </c>
      <c r="FZT6" s="44">
        <f>Database!GAM14</f>
        <v>0</v>
      </c>
      <c r="FZU6" s="44">
        <f>Database!GAN14</f>
        <v>0</v>
      </c>
      <c r="FZV6" s="44">
        <f>Database!GAO14</f>
        <v>0</v>
      </c>
      <c r="FZW6" s="44">
        <f>Database!GAP14</f>
        <v>0</v>
      </c>
      <c r="FZX6" s="44">
        <f>Database!GAQ14</f>
        <v>0</v>
      </c>
      <c r="FZY6" s="44">
        <f>Database!GAR14</f>
        <v>0</v>
      </c>
      <c r="FZZ6" s="44">
        <f>Database!GAS14</f>
        <v>0</v>
      </c>
      <c r="GAA6" s="44">
        <f>Database!GAT14</f>
        <v>0</v>
      </c>
      <c r="GAB6" s="44">
        <f>Database!GAU14</f>
        <v>0</v>
      </c>
      <c r="GAC6" s="44">
        <f>Database!GAV14</f>
        <v>0</v>
      </c>
      <c r="GAD6" s="44">
        <f>Database!GAW14</f>
        <v>0</v>
      </c>
      <c r="GAE6" s="44">
        <f>Database!GAX14</f>
        <v>0</v>
      </c>
      <c r="GAF6" s="44">
        <f>Database!GAY14</f>
        <v>0</v>
      </c>
      <c r="GAG6" s="44">
        <f>Database!GAZ14</f>
        <v>0</v>
      </c>
      <c r="GAH6" s="44">
        <f>Database!GBA14</f>
        <v>0</v>
      </c>
      <c r="GAI6" s="44">
        <f>Database!GBB14</f>
        <v>0</v>
      </c>
      <c r="GAJ6" s="44">
        <f>Database!GBC14</f>
        <v>0</v>
      </c>
      <c r="GAK6" s="44">
        <f>Database!GBD14</f>
        <v>0</v>
      </c>
      <c r="GAL6" s="44">
        <f>Database!GBE14</f>
        <v>0</v>
      </c>
      <c r="GAM6" s="44">
        <f>Database!GBF14</f>
        <v>0</v>
      </c>
      <c r="GAN6" s="44">
        <f>Database!GBG14</f>
        <v>0</v>
      </c>
      <c r="GAO6" s="44">
        <f>Database!GBH14</f>
        <v>0</v>
      </c>
      <c r="GAP6" s="44">
        <f>Database!GBI14</f>
        <v>0</v>
      </c>
      <c r="GAQ6" s="44">
        <f>Database!GBJ14</f>
        <v>0</v>
      </c>
      <c r="GAR6" s="44">
        <f>Database!GBK14</f>
        <v>0</v>
      </c>
      <c r="GAS6" s="44">
        <f>Database!GBL14</f>
        <v>0</v>
      </c>
      <c r="GAT6" s="44">
        <f>Database!GBM14</f>
        <v>0</v>
      </c>
      <c r="GAU6" s="44">
        <f>Database!GBN14</f>
        <v>0</v>
      </c>
      <c r="GAV6" s="44">
        <f>Database!GBO14</f>
        <v>0</v>
      </c>
      <c r="GAW6" s="44">
        <f>Database!GBP14</f>
        <v>0</v>
      </c>
      <c r="GAX6" s="44">
        <f>Database!GBQ14</f>
        <v>0</v>
      </c>
      <c r="GAY6" s="44">
        <f>Database!GBR14</f>
        <v>0</v>
      </c>
      <c r="GAZ6" s="44">
        <f>Database!GBS14</f>
        <v>0</v>
      </c>
      <c r="GBA6" s="44">
        <f>Database!GBT14</f>
        <v>0</v>
      </c>
      <c r="GBB6" s="44">
        <f>Database!GBU14</f>
        <v>0</v>
      </c>
      <c r="GBC6" s="44">
        <f>Database!GBV14</f>
        <v>0</v>
      </c>
      <c r="GBD6" s="44">
        <f>Database!GBW14</f>
        <v>0</v>
      </c>
      <c r="GBE6" s="44">
        <f>Database!GBX14</f>
        <v>0</v>
      </c>
      <c r="GBF6" s="44">
        <f>Database!GBY14</f>
        <v>0</v>
      </c>
      <c r="GBG6" s="44">
        <f>Database!GBZ14</f>
        <v>0</v>
      </c>
      <c r="GBH6" s="44">
        <f>Database!GCA14</f>
        <v>0</v>
      </c>
      <c r="GBI6" s="44">
        <f>Database!GCB14</f>
        <v>0</v>
      </c>
      <c r="GBJ6" s="44">
        <f>Database!GCC14</f>
        <v>0</v>
      </c>
      <c r="GBK6" s="44">
        <f>Database!GCD14</f>
        <v>0</v>
      </c>
      <c r="GBL6" s="44">
        <f>Database!GCE14</f>
        <v>0</v>
      </c>
      <c r="GBM6" s="44">
        <f>Database!GCF14</f>
        <v>0</v>
      </c>
      <c r="GBN6" s="44">
        <f>Database!GCG14</f>
        <v>0</v>
      </c>
      <c r="GBO6" s="44">
        <f>Database!GCH14</f>
        <v>0</v>
      </c>
      <c r="GBP6" s="44">
        <f>Database!GCI14</f>
        <v>0</v>
      </c>
      <c r="GBQ6" s="44">
        <f>Database!GCJ14</f>
        <v>0</v>
      </c>
      <c r="GBR6" s="44">
        <f>Database!GCK14</f>
        <v>0</v>
      </c>
      <c r="GBS6" s="44">
        <f>Database!GCL14</f>
        <v>0</v>
      </c>
      <c r="GBT6" s="44">
        <f>Database!GCM14</f>
        <v>0</v>
      </c>
      <c r="GBU6" s="44">
        <f>Database!GCN14</f>
        <v>0</v>
      </c>
      <c r="GBV6" s="44">
        <f>Database!GCO14</f>
        <v>0</v>
      </c>
      <c r="GBW6" s="44">
        <f>Database!GCP14</f>
        <v>0</v>
      </c>
      <c r="GBX6" s="44">
        <f>Database!GCQ14</f>
        <v>0</v>
      </c>
      <c r="GBY6" s="44">
        <f>Database!GCR14</f>
        <v>0</v>
      </c>
      <c r="GBZ6" s="44">
        <f>Database!GCS14</f>
        <v>0</v>
      </c>
      <c r="GCA6" s="44">
        <f>Database!GCT14</f>
        <v>0</v>
      </c>
      <c r="GCB6" s="44">
        <f>Database!GCU14</f>
        <v>0</v>
      </c>
      <c r="GCC6" s="44">
        <f>Database!GCV14</f>
        <v>0</v>
      </c>
      <c r="GCD6" s="44">
        <f>Database!GCW14</f>
        <v>0</v>
      </c>
      <c r="GCE6" s="44">
        <f>Database!GCX14</f>
        <v>0</v>
      </c>
      <c r="GCF6" s="44">
        <f>Database!GCY14</f>
        <v>0</v>
      </c>
      <c r="GCG6" s="44">
        <f>Database!GCZ14</f>
        <v>0</v>
      </c>
      <c r="GCH6" s="44">
        <f>Database!GDA14</f>
        <v>0</v>
      </c>
      <c r="GCI6" s="44">
        <f>Database!GDB14</f>
        <v>0</v>
      </c>
      <c r="GCJ6" s="44">
        <f>Database!GDC14</f>
        <v>0</v>
      </c>
      <c r="GCK6" s="44">
        <f>Database!GDD14</f>
        <v>0</v>
      </c>
      <c r="GCL6" s="44">
        <f>Database!GDE14</f>
        <v>0</v>
      </c>
      <c r="GCM6" s="44">
        <f>Database!GDF14</f>
        <v>0</v>
      </c>
      <c r="GCN6" s="44">
        <f>Database!GDG14</f>
        <v>0</v>
      </c>
      <c r="GCO6" s="44">
        <f>Database!GDH14</f>
        <v>0</v>
      </c>
      <c r="GCP6" s="44">
        <f>Database!GDI14</f>
        <v>0</v>
      </c>
      <c r="GCQ6" s="44">
        <f>Database!GDJ14</f>
        <v>0</v>
      </c>
      <c r="GCR6" s="44">
        <f>Database!GDK14</f>
        <v>0</v>
      </c>
      <c r="GCS6" s="44">
        <f>Database!GDL14</f>
        <v>0</v>
      </c>
      <c r="GCT6" s="44">
        <f>Database!GDM14</f>
        <v>0</v>
      </c>
      <c r="GCU6" s="44">
        <f>Database!GDN14</f>
        <v>0</v>
      </c>
      <c r="GCV6" s="44">
        <f>Database!GDO14</f>
        <v>0</v>
      </c>
      <c r="GCW6" s="44">
        <f>Database!GDP14</f>
        <v>0</v>
      </c>
      <c r="GCX6" s="44">
        <f>Database!GDQ14</f>
        <v>0</v>
      </c>
      <c r="GCY6" s="44">
        <f>Database!GDR14</f>
        <v>0</v>
      </c>
      <c r="GCZ6" s="44">
        <f>Database!GDS14</f>
        <v>0</v>
      </c>
      <c r="GDA6" s="44">
        <f>Database!GDT14</f>
        <v>0</v>
      </c>
      <c r="GDB6" s="44">
        <f>Database!GDU14</f>
        <v>0</v>
      </c>
      <c r="GDC6" s="44">
        <f>Database!GDV14</f>
        <v>0</v>
      </c>
      <c r="GDD6" s="44">
        <f>Database!GDW14</f>
        <v>0</v>
      </c>
      <c r="GDE6" s="44">
        <f>Database!GDX14</f>
        <v>0</v>
      </c>
      <c r="GDF6" s="44">
        <f>Database!GDY14</f>
        <v>0</v>
      </c>
      <c r="GDG6" s="44">
        <f>Database!GDZ14</f>
        <v>0</v>
      </c>
      <c r="GDH6" s="44">
        <f>Database!GEA14</f>
        <v>0</v>
      </c>
      <c r="GDI6" s="44">
        <f>Database!GEB14</f>
        <v>0</v>
      </c>
      <c r="GDJ6" s="44">
        <f>Database!GEC14</f>
        <v>0</v>
      </c>
      <c r="GDK6" s="44">
        <f>Database!GED14</f>
        <v>0</v>
      </c>
      <c r="GDL6" s="44">
        <f>Database!GEE14</f>
        <v>0</v>
      </c>
      <c r="GDM6" s="44">
        <f>Database!GEF14</f>
        <v>0</v>
      </c>
      <c r="GDN6" s="44">
        <f>Database!GEG14</f>
        <v>0</v>
      </c>
      <c r="GDO6" s="44">
        <f>Database!GEH14</f>
        <v>0</v>
      </c>
      <c r="GDP6" s="44">
        <f>Database!GEI14</f>
        <v>0</v>
      </c>
      <c r="GDQ6" s="44">
        <f>Database!GEJ14</f>
        <v>0</v>
      </c>
      <c r="GDR6" s="44">
        <f>Database!GEK14</f>
        <v>0</v>
      </c>
      <c r="GDS6" s="44">
        <f>Database!GEL14</f>
        <v>0</v>
      </c>
      <c r="GDT6" s="44">
        <f>Database!GEM14</f>
        <v>0</v>
      </c>
      <c r="GDU6" s="44">
        <f>Database!GEN14</f>
        <v>0</v>
      </c>
      <c r="GDV6" s="44">
        <f>Database!GEO14</f>
        <v>0</v>
      </c>
      <c r="GDW6" s="44">
        <f>Database!GEP14</f>
        <v>0</v>
      </c>
      <c r="GDX6" s="44">
        <f>Database!GEQ14</f>
        <v>0</v>
      </c>
      <c r="GDY6" s="44">
        <f>Database!GER14</f>
        <v>0</v>
      </c>
      <c r="GDZ6" s="44">
        <f>Database!GES14</f>
        <v>0</v>
      </c>
      <c r="GEA6" s="44">
        <f>Database!GET14</f>
        <v>0</v>
      </c>
      <c r="GEB6" s="44">
        <f>Database!GEU14</f>
        <v>0</v>
      </c>
      <c r="GEC6" s="44">
        <f>Database!GEV14</f>
        <v>0</v>
      </c>
      <c r="GED6" s="44">
        <f>Database!GEW14</f>
        <v>0</v>
      </c>
      <c r="GEE6" s="44">
        <f>Database!GEX14</f>
        <v>0</v>
      </c>
      <c r="GEF6" s="44">
        <f>Database!GEY14</f>
        <v>0</v>
      </c>
      <c r="GEG6" s="44">
        <f>Database!GEZ14</f>
        <v>0</v>
      </c>
      <c r="GEH6" s="44">
        <f>Database!GFA14</f>
        <v>0</v>
      </c>
      <c r="GEI6" s="44">
        <f>Database!GFB14</f>
        <v>0</v>
      </c>
      <c r="GEJ6" s="44">
        <f>Database!GFC14</f>
        <v>0</v>
      </c>
      <c r="GEK6" s="44">
        <f>Database!GFD14</f>
        <v>0</v>
      </c>
      <c r="GEL6" s="44">
        <f>Database!GFE14</f>
        <v>0</v>
      </c>
      <c r="GEM6" s="44">
        <f>Database!GFF14</f>
        <v>0</v>
      </c>
      <c r="GEN6" s="44">
        <f>Database!GFG14</f>
        <v>0</v>
      </c>
      <c r="GEO6" s="44">
        <f>Database!GFH14</f>
        <v>0</v>
      </c>
      <c r="GEP6" s="44">
        <f>Database!GFI14</f>
        <v>0</v>
      </c>
      <c r="GEQ6" s="44">
        <f>Database!GFJ14</f>
        <v>0</v>
      </c>
      <c r="GER6" s="44">
        <f>Database!GFK14</f>
        <v>0</v>
      </c>
      <c r="GES6" s="44">
        <f>Database!GFL14</f>
        <v>0</v>
      </c>
      <c r="GET6" s="44">
        <f>Database!GFM14</f>
        <v>0</v>
      </c>
      <c r="GEU6" s="44">
        <f>Database!GFN14</f>
        <v>0</v>
      </c>
      <c r="GEV6" s="44">
        <f>Database!GFO14</f>
        <v>0</v>
      </c>
      <c r="GEW6" s="44">
        <f>Database!GFP14</f>
        <v>0</v>
      </c>
      <c r="GEX6" s="44">
        <f>Database!GFQ14</f>
        <v>0</v>
      </c>
      <c r="GEY6" s="44">
        <f>Database!GFR14</f>
        <v>0</v>
      </c>
      <c r="GEZ6" s="44">
        <f>Database!GFS14</f>
        <v>0</v>
      </c>
      <c r="GFA6" s="44">
        <f>Database!GFT14</f>
        <v>0</v>
      </c>
      <c r="GFB6" s="44">
        <f>Database!GFU14</f>
        <v>0</v>
      </c>
      <c r="GFC6" s="44">
        <f>Database!GFV14</f>
        <v>0</v>
      </c>
      <c r="GFD6" s="44">
        <f>Database!GFW14</f>
        <v>0</v>
      </c>
      <c r="GFE6" s="44">
        <f>Database!GFX14</f>
        <v>0</v>
      </c>
      <c r="GFF6" s="44">
        <f>Database!GFY14</f>
        <v>0</v>
      </c>
      <c r="GFG6" s="44">
        <f>Database!GFZ14</f>
        <v>0</v>
      </c>
      <c r="GFH6" s="44">
        <f>Database!GGA14</f>
        <v>0</v>
      </c>
      <c r="GFI6" s="44">
        <f>Database!GGB14</f>
        <v>0</v>
      </c>
      <c r="GFJ6" s="44">
        <f>Database!GGC14</f>
        <v>0</v>
      </c>
      <c r="GFK6" s="44">
        <f>Database!GGD14</f>
        <v>0</v>
      </c>
      <c r="GFL6" s="44">
        <f>Database!GGE14</f>
        <v>0</v>
      </c>
      <c r="GFM6" s="44">
        <f>Database!GGF14</f>
        <v>0</v>
      </c>
      <c r="GFN6" s="44">
        <f>Database!GGG14</f>
        <v>0</v>
      </c>
      <c r="GFO6" s="44">
        <f>Database!GGH14</f>
        <v>0</v>
      </c>
      <c r="GFP6" s="44">
        <f>Database!GGI14</f>
        <v>0</v>
      </c>
      <c r="GFQ6" s="44">
        <f>Database!GGJ14</f>
        <v>0</v>
      </c>
      <c r="GFR6" s="44">
        <f>Database!GGK14</f>
        <v>0</v>
      </c>
      <c r="GFS6" s="44">
        <f>Database!GGL14</f>
        <v>0</v>
      </c>
      <c r="GFT6" s="44">
        <f>Database!GGM14</f>
        <v>0</v>
      </c>
      <c r="GFU6" s="44">
        <f>Database!GGN14</f>
        <v>0</v>
      </c>
      <c r="GFV6" s="44">
        <f>Database!GGO14</f>
        <v>0</v>
      </c>
      <c r="GFW6" s="44">
        <f>Database!GGP14</f>
        <v>0</v>
      </c>
      <c r="GFX6" s="44">
        <f>Database!GGQ14</f>
        <v>0</v>
      </c>
      <c r="GFY6" s="44">
        <f>Database!GGR14</f>
        <v>0</v>
      </c>
      <c r="GFZ6" s="44">
        <f>Database!GGS14</f>
        <v>0</v>
      </c>
      <c r="GGA6" s="44">
        <f>Database!GGT14</f>
        <v>0</v>
      </c>
      <c r="GGB6" s="44">
        <f>Database!GGU14</f>
        <v>0</v>
      </c>
      <c r="GGC6" s="44">
        <f>Database!GGV14</f>
        <v>0</v>
      </c>
      <c r="GGD6" s="44">
        <f>Database!GGW14</f>
        <v>0</v>
      </c>
      <c r="GGE6" s="44">
        <f>Database!GGX14</f>
        <v>0</v>
      </c>
      <c r="GGF6" s="44">
        <f>Database!GGY14</f>
        <v>0</v>
      </c>
      <c r="GGG6" s="44">
        <f>Database!GGZ14</f>
        <v>0</v>
      </c>
      <c r="GGH6" s="44">
        <f>Database!GHA14</f>
        <v>0</v>
      </c>
      <c r="GGI6" s="44">
        <f>Database!GHB14</f>
        <v>0</v>
      </c>
      <c r="GGJ6" s="44">
        <f>Database!GHC14</f>
        <v>0</v>
      </c>
      <c r="GGK6" s="44">
        <f>Database!GHD14</f>
        <v>0</v>
      </c>
      <c r="GGL6" s="44">
        <f>Database!GHE14</f>
        <v>0</v>
      </c>
      <c r="GGM6" s="44">
        <f>Database!GHF14</f>
        <v>0</v>
      </c>
      <c r="GGN6" s="44">
        <f>Database!GHG14</f>
        <v>0</v>
      </c>
      <c r="GGO6" s="44">
        <f>Database!GHH14</f>
        <v>0</v>
      </c>
      <c r="GGP6" s="44">
        <f>Database!GHI14</f>
        <v>0</v>
      </c>
      <c r="GGQ6" s="44">
        <f>Database!GHJ14</f>
        <v>0</v>
      </c>
      <c r="GGR6" s="44">
        <f>Database!GHK14</f>
        <v>0</v>
      </c>
      <c r="GGS6" s="44">
        <f>Database!GHL14</f>
        <v>0</v>
      </c>
      <c r="GGT6" s="44">
        <f>Database!GHM14</f>
        <v>0</v>
      </c>
      <c r="GGU6" s="44">
        <f>Database!GHN14</f>
        <v>0</v>
      </c>
      <c r="GGV6" s="44">
        <f>Database!GHO14</f>
        <v>0</v>
      </c>
      <c r="GGW6" s="44">
        <f>Database!GHP14</f>
        <v>0</v>
      </c>
      <c r="GGX6" s="44">
        <f>Database!GHQ14</f>
        <v>0</v>
      </c>
      <c r="GGY6" s="44">
        <f>Database!GHR14</f>
        <v>0</v>
      </c>
      <c r="GGZ6" s="44">
        <f>Database!GHS14</f>
        <v>0</v>
      </c>
      <c r="GHA6" s="44">
        <f>Database!GHT14</f>
        <v>0</v>
      </c>
      <c r="GHB6" s="44">
        <f>Database!GHU14</f>
        <v>0</v>
      </c>
      <c r="GHC6" s="44">
        <f>Database!GHV14</f>
        <v>0</v>
      </c>
      <c r="GHD6" s="44">
        <f>Database!GHW14</f>
        <v>0</v>
      </c>
      <c r="GHE6" s="44">
        <f>Database!GHX14</f>
        <v>0</v>
      </c>
      <c r="GHF6" s="44">
        <f>Database!GHY14</f>
        <v>0</v>
      </c>
      <c r="GHG6" s="44">
        <f>Database!GHZ14</f>
        <v>0</v>
      </c>
      <c r="GHH6" s="44">
        <f>Database!GIA14</f>
        <v>0</v>
      </c>
      <c r="GHI6" s="44">
        <f>Database!GIB14</f>
        <v>0</v>
      </c>
      <c r="GHJ6" s="44">
        <f>Database!GIC14</f>
        <v>0</v>
      </c>
      <c r="GHK6" s="44">
        <f>Database!GID14</f>
        <v>0</v>
      </c>
      <c r="GHL6" s="44">
        <f>Database!GIE14</f>
        <v>0</v>
      </c>
      <c r="GHM6" s="44">
        <f>Database!GIF14</f>
        <v>0</v>
      </c>
      <c r="GHN6" s="44">
        <f>Database!GIG14</f>
        <v>0</v>
      </c>
      <c r="GHO6" s="44">
        <f>Database!GIH14</f>
        <v>0</v>
      </c>
      <c r="GHP6" s="44">
        <f>Database!GII14</f>
        <v>0</v>
      </c>
      <c r="GHQ6" s="44">
        <f>Database!GIJ14</f>
        <v>0</v>
      </c>
      <c r="GHR6" s="44">
        <f>Database!GIK14</f>
        <v>0</v>
      </c>
      <c r="GHS6" s="44">
        <f>Database!GIL14</f>
        <v>0</v>
      </c>
      <c r="GHT6" s="44">
        <f>Database!GIM14</f>
        <v>0</v>
      </c>
      <c r="GHU6" s="44">
        <f>Database!GIN14</f>
        <v>0</v>
      </c>
      <c r="GHV6" s="44">
        <f>Database!GIO14</f>
        <v>0</v>
      </c>
      <c r="GHW6" s="44">
        <f>Database!GIP14</f>
        <v>0</v>
      </c>
      <c r="GHX6" s="44">
        <f>Database!GIQ14</f>
        <v>0</v>
      </c>
      <c r="GHY6" s="44">
        <f>Database!GIR14</f>
        <v>0</v>
      </c>
      <c r="GHZ6" s="44">
        <f>Database!GIS14</f>
        <v>0</v>
      </c>
      <c r="GIA6" s="44">
        <f>Database!GIT14</f>
        <v>0</v>
      </c>
      <c r="GIB6" s="44">
        <f>Database!GIU14</f>
        <v>0</v>
      </c>
      <c r="GIC6" s="44">
        <f>Database!GIV14</f>
        <v>0</v>
      </c>
      <c r="GID6" s="44">
        <f>Database!GIW14</f>
        <v>0</v>
      </c>
      <c r="GIE6" s="44">
        <f>Database!GIX14</f>
        <v>0</v>
      </c>
      <c r="GIF6" s="44">
        <f>Database!GIY14</f>
        <v>0</v>
      </c>
      <c r="GIG6" s="44">
        <f>Database!GIZ14</f>
        <v>0</v>
      </c>
      <c r="GIH6" s="44">
        <f>Database!GJA14</f>
        <v>0</v>
      </c>
      <c r="GII6" s="44">
        <f>Database!GJB14</f>
        <v>0</v>
      </c>
      <c r="GIJ6" s="44">
        <f>Database!GJC14</f>
        <v>0</v>
      </c>
      <c r="GIK6" s="44">
        <f>Database!GJD14</f>
        <v>0</v>
      </c>
      <c r="GIL6" s="44">
        <f>Database!GJE14</f>
        <v>0</v>
      </c>
      <c r="GIM6" s="44">
        <f>Database!GJF14</f>
        <v>0</v>
      </c>
      <c r="GIN6" s="44">
        <f>Database!GJG14</f>
        <v>0</v>
      </c>
      <c r="GIO6" s="44">
        <f>Database!GJH14</f>
        <v>0</v>
      </c>
      <c r="GIP6" s="44">
        <f>Database!GJI14</f>
        <v>0</v>
      </c>
      <c r="GIQ6" s="44">
        <f>Database!GJJ14</f>
        <v>0</v>
      </c>
      <c r="GIR6" s="44">
        <f>Database!GJK14</f>
        <v>0</v>
      </c>
      <c r="GIS6" s="44">
        <f>Database!GJL14</f>
        <v>0</v>
      </c>
      <c r="GIT6" s="44">
        <f>Database!GJM14</f>
        <v>0</v>
      </c>
      <c r="GIU6" s="44">
        <f>Database!GJN14</f>
        <v>0</v>
      </c>
      <c r="GIV6" s="44">
        <f>Database!GJO14</f>
        <v>0</v>
      </c>
      <c r="GIW6" s="44">
        <f>Database!GJP14</f>
        <v>0</v>
      </c>
      <c r="GIX6" s="44">
        <f>Database!GJQ14</f>
        <v>0</v>
      </c>
      <c r="GIY6" s="44">
        <f>Database!GJR14</f>
        <v>0</v>
      </c>
      <c r="GIZ6" s="44">
        <f>Database!GJS14</f>
        <v>0</v>
      </c>
      <c r="GJA6" s="44">
        <f>Database!GJT14</f>
        <v>0</v>
      </c>
      <c r="GJB6" s="44">
        <f>Database!GJU14</f>
        <v>0</v>
      </c>
      <c r="GJC6" s="44">
        <f>Database!GJV14</f>
        <v>0</v>
      </c>
      <c r="GJD6" s="44">
        <f>Database!GJW14</f>
        <v>0</v>
      </c>
      <c r="GJE6" s="44">
        <f>Database!GJX14</f>
        <v>0</v>
      </c>
      <c r="GJF6" s="44">
        <f>Database!GJY14</f>
        <v>0</v>
      </c>
      <c r="GJG6" s="44">
        <f>Database!GJZ14</f>
        <v>0</v>
      </c>
      <c r="GJH6" s="44">
        <f>Database!GKA14</f>
        <v>0</v>
      </c>
      <c r="GJI6" s="44">
        <f>Database!GKB14</f>
        <v>0</v>
      </c>
      <c r="GJJ6" s="44">
        <f>Database!GKC14</f>
        <v>0</v>
      </c>
      <c r="GJK6" s="44">
        <f>Database!GKD14</f>
        <v>0</v>
      </c>
      <c r="GJL6" s="44">
        <f>Database!GKE14</f>
        <v>0</v>
      </c>
      <c r="GJM6" s="44">
        <f>Database!GKF14</f>
        <v>0</v>
      </c>
      <c r="GJN6" s="44">
        <f>Database!GKG14</f>
        <v>0</v>
      </c>
      <c r="GJO6" s="44">
        <f>Database!GKH14</f>
        <v>0</v>
      </c>
      <c r="GJP6" s="44">
        <f>Database!GKI14</f>
        <v>0</v>
      </c>
      <c r="GJQ6" s="44">
        <f>Database!GKJ14</f>
        <v>0</v>
      </c>
      <c r="GJR6" s="44">
        <f>Database!GKK14</f>
        <v>0</v>
      </c>
      <c r="GJS6" s="44">
        <f>Database!GKL14</f>
        <v>0</v>
      </c>
      <c r="GJT6" s="44">
        <f>Database!GKM14</f>
        <v>0</v>
      </c>
      <c r="GJU6" s="44">
        <f>Database!GKN14</f>
        <v>0</v>
      </c>
      <c r="GJV6" s="44">
        <f>Database!GKO14</f>
        <v>0</v>
      </c>
      <c r="GJW6" s="44">
        <f>Database!GKP14</f>
        <v>0</v>
      </c>
      <c r="GJX6" s="44">
        <f>Database!GKQ14</f>
        <v>0</v>
      </c>
      <c r="GJY6" s="44">
        <f>Database!GKR14</f>
        <v>0</v>
      </c>
      <c r="GJZ6" s="44">
        <f>Database!GKS14</f>
        <v>0</v>
      </c>
      <c r="GKA6" s="44">
        <f>Database!GKT14</f>
        <v>0</v>
      </c>
      <c r="GKB6" s="44">
        <f>Database!GKU14</f>
        <v>0</v>
      </c>
      <c r="GKC6" s="44">
        <f>Database!GKV14</f>
        <v>0</v>
      </c>
      <c r="GKD6" s="44">
        <f>Database!GKW14</f>
        <v>0</v>
      </c>
      <c r="GKE6" s="44">
        <f>Database!GKX14</f>
        <v>0</v>
      </c>
      <c r="GKF6" s="44">
        <f>Database!GKY14</f>
        <v>0</v>
      </c>
      <c r="GKG6" s="44">
        <f>Database!GKZ14</f>
        <v>0</v>
      </c>
      <c r="GKH6" s="44">
        <f>Database!GLA14</f>
        <v>0</v>
      </c>
      <c r="GKI6" s="44">
        <f>Database!GLB14</f>
        <v>0</v>
      </c>
      <c r="GKJ6" s="44">
        <f>Database!GLC14</f>
        <v>0</v>
      </c>
      <c r="GKK6" s="44">
        <f>Database!GLD14</f>
        <v>0</v>
      </c>
      <c r="GKL6" s="44">
        <f>Database!GLE14</f>
        <v>0</v>
      </c>
      <c r="GKM6" s="44">
        <f>Database!GLF14</f>
        <v>0</v>
      </c>
      <c r="GKN6" s="44">
        <f>Database!GLG14</f>
        <v>0</v>
      </c>
      <c r="GKO6" s="44">
        <f>Database!GLH14</f>
        <v>0</v>
      </c>
      <c r="GKP6" s="44">
        <f>Database!GLI14</f>
        <v>0</v>
      </c>
      <c r="GKQ6" s="44">
        <f>Database!GLJ14</f>
        <v>0</v>
      </c>
      <c r="GKR6" s="44">
        <f>Database!GLK14</f>
        <v>0</v>
      </c>
      <c r="GKS6" s="44">
        <f>Database!GLL14</f>
        <v>0</v>
      </c>
      <c r="GKT6" s="44">
        <f>Database!GLM14</f>
        <v>0</v>
      </c>
      <c r="GKU6" s="44">
        <f>Database!GLN14</f>
        <v>0</v>
      </c>
      <c r="GKV6" s="44">
        <f>Database!GLO14</f>
        <v>0</v>
      </c>
      <c r="GKW6" s="44">
        <f>Database!GLP14</f>
        <v>0</v>
      </c>
      <c r="GKX6" s="44">
        <f>Database!GLQ14</f>
        <v>0</v>
      </c>
      <c r="GKY6" s="44">
        <f>Database!GLR14</f>
        <v>0</v>
      </c>
      <c r="GKZ6" s="44">
        <f>Database!GLS14</f>
        <v>0</v>
      </c>
      <c r="GLA6" s="44">
        <f>Database!GLT14</f>
        <v>0</v>
      </c>
      <c r="GLB6" s="44">
        <f>Database!GLU14</f>
        <v>0</v>
      </c>
      <c r="GLC6" s="44">
        <f>Database!GLV14</f>
        <v>0</v>
      </c>
      <c r="GLD6" s="44">
        <f>Database!GLW14</f>
        <v>0</v>
      </c>
      <c r="GLE6" s="44">
        <f>Database!GLX14</f>
        <v>0</v>
      </c>
      <c r="GLF6" s="44">
        <f>Database!GLY14</f>
        <v>0</v>
      </c>
      <c r="GLG6" s="44">
        <f>Database!GLZ14</f>
        <v>0</v>
      </c>
      <c r="GLH6" s="44">
        <f>Database!GMA14</f>
        <v>0</v>
      </c>
      <c r="GLI6" s="44">
        <f>Database!GMB14</f>
        <v>0</v>
      </c>
      <c r="GLJ6" s="44">
        <f>Database!GMC14</f>
        <v>0</v>
      </c>
      <c r="GLK6" s="44">
        <f>Database!GMD14</f>
        <v>0</v>
      </c>
      <c r="GLL6" s="44">
        <f>Database!GME14</f>
        <v>0</v>
      </c>
      <c r="GLM6" s="44">
        <f>Database!GMF14</f>
        <v>0</v>
      </c>
      <c r="GLN6" s="44">
        <f>Database!GMG14</f>
        <v>0</v>
      </c>
      <c r="GLO6" s="44">
        <f>Database!GMH14</f>
        <v>0</v>
      </c>
      <c r="GLP6" s="44">
        <f>Database!GMI14</f>
        <v>0</v>
      </c>
      <c r="GLQ6" s="44">
        <f>Database!GMJ14</f>
        <v>0</v>
      </c>
      <c r="GLR6" s="44">
        <f>Database!GMK14</f>
        <v>0</v>
      </c>
      <c r="GLS6" s="44">
        <f>Database!GML14</f>
        <v>0</v>
      </c>
      <c r="GLT6" s="44">
        <f>Database!GMM14</f>
        <v>0</v>
      </c>
      <c r="GLU6" s="44">
        <f>Database!GMN14</f>
        <v>0</v>
      </c>
      <c r="GLV6" s="44">
        <f>Database!GMO14</f>
        <v>0</v>
      </c>
      <c r="GLW6" s="44">
        <f>Database!GMP14</f>
        <v>0</v>
      </c>
      <c r="GLX6" s="44">
        <f>Database!GMQ14</f>
        <v>0</v>
      </c>
      <c r="GLY6" s="44">
        <f>Database!GMR14</f>
        <v>0</v>
      </c>
      <c r="GLZ6" s="44">
        <f>Database!GMS14</f>
        <v>0</v>
      </c>
      <c r="GMA6" s="44">
        <f>Database!GMT14</f>
        <v>0</v>
      </c>
      <c r="GMB6" s="44">
        <f>Database!GMU14</f>
        <v>0</v>
      </c>
      <c r="GMC6" s="44">
        <f>Database!GMV14</f>
        <v>0</v>
      </c>
      <c r="GMD6" s="44">
        <f>Database!GMW14</f>
        <v>0</v>
      </c>
      <c r="GME6" s="44">
        <f>Database!GMX14</f>
        <v>0</v>
      </c>
      <c r="GMF6" s="44">
        <f>Database!GMY14</f>
        <v>0</v>
      </c>
      <c r="GMG6" s="44">
        <f>Database!GMZ14</f>
        <v>0</v>
      </c>
      <c r="GMH6" s="44">
        <f>Database!GNA14</f>
        <v>0</v>
      </c>
      <c r="GMI6" s="44">
        <f>Database!GNB14</f>
        <v>0</v>
      </c>
      <c r="GMJ6" s="44">
        <f>Database!GNC14</f>
        <v>0</v>
      </c>
      <c r="GMK6" s="44">
        <f>Database!GND14</f>
        <v>0</v>
      </c>
      <c r="GML6" s="44">
        <f>Database!GNE14</f>
        <v>0</v>
      </c>
      <c r="GMM6" s="44">
        <f>Database!GNF14</f>
        <v>0</v>
      </c>
      <c r="GMN6" s="44">
        <f>Database!GNG14</f>
        <v>0</v>
      </c>
      <c r="GMO6" s="44">
        <f>Database!GNH14</f>
        <v>0</v>
      </c>
      <c r="GMP6" s="44">
        <f>Database!GNI14</f>
        <v>0</v>
      </c>
      <c r="GMQ6" s="44">
        <f>Database!GNJ14</f>
        <v>0</v>
      </c>
      <c r="GMR6" s="44">
        <f>Database!GNK14</f>
        <v>0</v>
      </c>
      <c r="GMS6" s="44">
        <f>Database!GNL14</f>
        <v>0</v>
      </c>
      <c r="GMT6" s="44">
        <f>Database!GNM14</f>
        <v>0</v>
      </c>
      <c r="GMU6" s="44">
        <f>Database!GNN14</f>
        <v>0</v>
      </c>
      <c r="GMV6" s="44">
        <f>Database!GNO14</f>
        <v>0</v>
      </c>
      <c r="GMW6" s="44">
        <f>Database!GNP14</f>
        <v>0</v>
      </c>
      <c r="GMX6" s="44">
        <f>Database!GNQ14</f>
        <v>0</v>
      </c>
      <c r="GMY6" s="44">
        <f>Database!GNR14</f>
        <v>0</v>
      </c>
      <c r="GMZ6" s="44">
        <f>Database!GNS14</f>
        <v>0</v>
      </c>
      <c r="GNA6" s="44">
        <f>Database!GNT14</f>
        <v>0</v>
      </c>
      <c r="GNB6" s="44">
        <f>Database!GNU14</f>
        <v>0</v>
      </c>
      <c r="GNC6" s="44">
        <f>Database!GNV14</f>
        <v>0</v>
      </c>
      <c r="GND6" s="44">
        <f>Database!GNW14</f>
        <v>0</v>
      </c>
      <c r="GNE6" s="44">
        <f>Database!GNX14</f>
        <v>0</v>
      </c>
      <c r="GNF6" s="44">
        <f>Database!GNY14</f>
        <v>0</v>
      </c>
      <c r="GNG6" s="44">
        <f>Database!GNZ14</f>
        <v>0</v>
      </c>
      <c r="GNH6" s="44">
        <f>Database!GOA14</f>
        <v>0</v>
      </c>
      <c r="GNI6" s="44">
        <f>Database!GOB14</f>
        <v>0</v>
      </c>
      <c r="GNJ6" s="44">
        <f>Database!GOC14</f>
        <v>0</v>
      </c>
      <c r="GNK6" s="44">
        <f>Database!GOD14</f>
        <v>0</v>
      </c>
      <c r="GNL6" s="44">
        <f>Database!GOE14</f>
        <v>0</v>
      </c>
      <c r="GNM6" s="44">
        <f>Database!GOF14</f>
        <v>0</v>
      </c>
      <c r="GNN6" s="44">
        <f>Database!GOG14</f>
        <v>0</v>
      </c>
      <c r="GNO6" s="44">
        <f>Database!GOH14</f>
        <v>0</v>
      </c>
      <c r="GNP6" s="44">
        <f>Database!GOI14</f>
        <v>0</v>
      </c>
      <c r="GNQ6" s="44">
        <f>Database!GOJ14</f>
        <v>0</v>
      </c>
      <c r="GNR6" s="44">
        <f>Database!GOK14</f>
        <v>0</v>
      </c>
      <c r="GNS6" s="44">
        <f>Database!GOL14</f>
        <v>0</v>
      </c>
      <c r="GNT6" s="44">
        <f>Database!GOM14</f>
        <v>0</v>
      </c>
      <c r="GNU6" s="44">
        <f>Database!GON14</f>
        <v>0</v>
      </c>
      <c r="GNV6" s="44">
        <f>Database!GOO14</f>
        <v>0</v>
      </c>
      <c r="GNW6" s="44">
        <f>Database!GOP14</f>
        <v>0</v>
      </c>
      <c r="GNX6" s="44">
        <f>Database!GOQ14</f>
        <v>0</v>
      </c>
      <c r="GNY6" s="44">
        <f>Database!GOR14</f>
        <v>0</v>
      </c>
      <c r="GNZ6" s="44">
        <f>Database!GOS14</f>
        <v>0</v>
      </c>
      <c r="GOA6" s="44">
        <f>Database!GOT14</f>
        <v>0</v>
      </c>
      <c r="GOB6" s="44">
        <f>Database!GOU14</f>
        <v>0</v>
      </c>
      <c r="GOC6" s="44">
        <f>Database!GOV14</f>
        <v>0</v>
      </c>
      <c r="GOD6" s="44">
        <f>Database!GOW14</f>
        <v>0</v>
      </c>
      <c r="GOE6" s="44">
        <f>Database!GOX14</f>
        <v>0</v>
      </c>
      <c r="GOF6" s="44">
        <f>Database!GOY14</f>
        <v>0</v>
      </c>
      <c r="GOG6" s="44">
        <f>Database!GOZ14</f>
        <v>0</v>
      </c>
      <c r="GOH6" s="44">
        <f>Database!GPA14</f>
        <v>0</v>
      </c>
      <c r="GOI6" s="44">
        <f>Database!GPB14</f>
        <v>0</v>
      </c>
      <c r="GOJ6" s="44">
        <f>Database!GPC14</f>
        <v>0</v>
      </c>
      <c r="GOK6" s="44">
        <f>Database!GPD14</f>
        <v>0</v>
      </c>
      <c r="GOL6" s="44">
        <f>Database!GPE14</f>
        <v>0</v>
      </c>
      <c r="GOM6" s="44">
        <f>Database!GPF14</f>
        <v>0</v>
      </c>
      <c r="GON6" s="44">
        <f>Database!GPG14</f>
        <v>0</v>
      </c>
      <c r="GOO6" s="44">
        <f>Database!GPH14</f>
        <v>0</v>
      </c>
      <c r="GOP6" s="44">
        <f>Database!GPI14</f>
        <v>0</v>
      </c>
      <c r="GOQ6" s="44">
        <f>Database!GPJ14</f>
        <v>0</v>
      </c>
      <c r="GOR6" s="44">
        <f>Database!GPK14</f>
        <v>0</v>
      </c>
      <c r="GOS6" s="44">
        <f>Database!GPL14</f>
        <v>0</v>
      </c>
      <c r="GOT6" s="44">
        <f>Database!GPM14</f>
        <v>0</v>
      </c>
      <c r="GOU6" s="44">
        <f>Database!GPN14</f>
        <v>0</v>
      </c>
      <c r="GOV6" s="44">
        <f>Database!GPO14</f>
        <v>0</v>
      </c>
      <c r="GOW6" s="44">
        <f>Database!GPP14</f>
        <v>0</v>
      </c>
      <c r="GOX6" s="44">
        <f>Database!GPQ14</f>
        <v>0</v>
      </c>
      <c r="GOY6" s="44">
        <f>Database!GPR14</f>
        <v>0</v>
      </c>
      <c r="GOZ6" s="44">
        <f>Database!GPS14</f>
        <v>0</v>
      </c>
      <c r="GPA6" s="44">
        <f>Database!GPT14</f>
        <v>0</v>
      </c>
      <c r="GPB6" s="44">
        <f>Database!GPU14</f>
        <v>0</v>
      </c>
      <c r="GPC6" s="44">
        <f>Database!GPV14</f>
        <v>0</v>
      </c>
      <c r="GPD6" s="44">
        <f>Database!GPW14</f>
        <v>0</v>
      </c>
      <c r="GPE6" s="44">
        <f>Database!GPX14</f>
        <v>0</v>
      </c>
      <c r="GPF6" s="44">
        <f>Database!GPY14</f>
        <v>0</v>
      </c>
      <c r="GPG6" s="44">
        <f>Database!GPZ14</f>
        <v>0</v>
      </c>
      <c r="GPH6" s="44">
        <f>Database!GQA14</f>
        <v>0</v>
      </c>
      <c r="GPI6" s="44">
        <f>Database!GQB14</f>
        <v>0</v>
      </c>
      <c r="GPJ6" s="44">
        <f>Database!GQC14</f>
        <v>0</v>
      </c>
      <c r="GPK6" s="44">
        <f>Database!GQD14</f>
        <v>0</v>
      </c>
      <c r="GPL6" s="44">
        <f>Database!GQE14</f>
        <v>0</v>
      </c>
      <c r="GPM6" s="44">
        <f>Database!GQF14</f>
        <v>0</v>
      </c>
      <c r="GPN6" s="44">
        <f>Database!GQG14</f>
        <v>0</v>
      </c>
      <c r="GPO6" s="44">
        <f>Database!GQH14</f>
        <v>0</v>
      </c>
      <c r="GPP6" s="44">
        <f>Database!GQI14</f>
        <v>0</v>
      </c>
      <c r="GPQ6" s="44">
        <f>Database!GQJ14</f>
        <v>0</v>
      </c>
      <c r="GPR6" s="44">
        <f>Database!GQK14</f>
        <v>0</v>
      </c>
      <c r="GPS6" s="44">
        <f>Database!GQL14</f>
        <v>0</v>
      </c>
      <c r="GPT6" s="44">
        <f>Database!GQM14</f>
        <v>0</v>
      </c>
      <c r="GPU6" s="44">
        <f>Database!GQN14</f>
        <v>0</v>
      </c>
      <c r="GPV6" s="44">
        <f>Database!GQO14</f>
        <v>0</v>
      </c>
      <c r="GPW6" s="44">
        <f>Database!GQP14</f>
        <v>0</v>
      </c>
      <c r="GPX6" s="44">
        <f>Database!GQQ14</f>
        <v>0</v>
      </c>
      <c r="GPY6" s="44">
        <f>Database!GQR14</f>
        <v>0</v>
      </c>
      <c r="GPZ6" s="44">
        <f>Database!GQS14</f>
        <v>0</v>
      </c>
      <c r="GQA6" s="44">
        <f>Database!GQT14</f>
        <v>0</v>
      </c>
      <c r="GQB6" s="44">
        <f>Database!GQU14</f>
        <v>0</v>
      </c>
      <c r="GQC6" s="44">
        <f>Database!GQV14</f>
        <v>0</v>
      </c>
      <c r="GQD6" s="44">
        <f>Database!GQW14</f>
        <v>0</v>
      </c>
      <c r="GQE6" s="44">
        <f>Database!GQX14</f>
        <v>0</v>
      </c>
      <c r="GQF6" s="44">
        <f>Database!GQY14</f>
        <v>0</v>
      </c>
      <c r="GQG6" s="44">
        <f>Database!GQZ14</f>
        <v>0</v>
      </c>
      <c r="GQH6" s="44">
        <f>Database!GRA14</f>
        <v>0</v>
      </c>
      <c r="GQI6" s="44">
        <f>Database!GRB14</f>
        <v>0</v>
      </c>
      <c r="GQJ6" s="44">
        <f>Database!GRC14</f>
        <v>0</v>
      </c>
      <c r="GQK6" s="44">
        <f>Database!GRD14</f>
        <v>0</v>
      </c>
      <c r="GQL6" s="44">
        <f>Database!GRE14</f>
        <v>0</v>
      </c>
      <c r="GQM6" s="44">
        <f>Database!GRF14</f>
        <v>0</v>
      </c>
      <c r="GQN6" s="44">
        <f>Database!GRG14</f>
        <v>0</v>
      </c>
      <c r="GQO6" s="44">
        <f>Database!GRH14</f>
        <v>0</v>
      </c>
      <c r="GQP6" s="44">
        <f>Database!GRI14</f>
        <v>0</v>
      </c>
      <c r="GQQ6" s="44">
        <f>Database!GRJ14</f>
        <v>0</v>
      </c>
      <c r="GQR6" s="44">
        <f>Database!GRK14</f>
        <v>0</v>
      </c>
      <c r="GQS6" s="44">
        <f>Database!GRL14</f>
        <v>0</v>
      </c>
      <c r="GQT6" s="44">
        <f>Database!GRM14</f>
        <v>0</v>
      </c>
      <c r="GQU6" s="44">
        <f>Database!GRN14</f>
        <v>0</v>
      </c>
      <c r="GQV6" s="44">
        <f>Database!GRO14</f>
        <v>0</v>
      </c>
      <c r="GQW6" s="44">
        <f>Database!GRP14</f>
        <v>0</v>
      </c>
      <c r="GQX6" s="44">
        <f>Database!GRQ14</f>
        <v>0</v>
      </c>
      <c r="GQY6" s="44">
        <f>Database!GRR14</f>
        <v>0</v>
      </c>
      <c r="GQZ6" s="44">
        <f>Database!GRS14</f>
        <v>0</v>
      </c>
      <c r="GRA6" s="44">
        <f>Database!GRT14</f>
        <v>0</v>
      </c>
      <c r="GRB6" s="44">
        <f>Database!GRU14</f>
        <v>0</v>
      </c>
      <c r="GRC6" s="44">
        <f>Database!GRV14</f>
        <v>0</v>
      </c>
      <c r="GRD6" s="44">
        <f>Database!GRW14</f>
        <v>0</v>
      </c>
      <c r="GRE6" s="44">
        <f>Database!GRX14</f>
        <v>0</v>
      </c>
      <c r="GRF6" s="44">
        <f>Database!GRY14</f>
        <v>0</v>
      </c>
      <c r="GRG6" s="44">
        <f>Database!GRZ14</f>
        <v>0</v>
      </c>
      <c r="GRH6" s="44">
        <f>Database!GSA14</f>
        <v>0</v>
      </c>
      <c r="GRI6" s="44">
        <f>Database!GSB14</f>
        <v>0</v>
      </c>
      <c r="GRJ6" s="44">
        <f>Database!GSC14</f>
        <v>0</v>
      </c>
      <c r="GRK6" s="44">
        <f>Database!GSD14</f>
        <v>0</v>
      </c>
      <c r="GRL6" s="44">
        <f>Database!GSE14</f>
        <v>0</v>
      </c>
      <c r="GRM6" s="44">
        <f>Database!GSF14</f>
        <v>0</v>
      </c>
      <c r="GRN6" s="44">
        <f>Database!GSG14</f>
        <v>0</v>
      </c>
      <c r="GRO6" s="44">
        <f>Database!GSH14</f>
        <v>0</v>
      </c>
      <c r="GRP6" s="44">
        <f>Database!GSI14</f>
        <v>0</v>
      </c>
      <c r="GRQ6" s="44">
        <f>Database!GSJ14</f>
        <v>0</v>
      </c>
      <c r="GRR6" s="44">
        <f>Database!GSK14</f>
        <v>0</v>
      </c>
      <c r="GRS6" s="44">
        <f>Database!GSL14</f>
        <v>0</v>
      </c>
      <c r="GRT6" s="44">
        <f>Database!GSM14</f>
        <v>0</v>
      </c>
      <c r="GRU6" s="44">
        <f>Database!GSN14</f>
        <v>0</v>
      </c>
      <c r="GRV6" s="44">
        <f>Database!GSO14</f>
        <v>0</v>
      </c>
      <c r="GRW6" s="44">
        <f>Database!GSP14</f>
        <v>0</v>
      </c>
      <c r="GRX6" s="44">
        <f>Database!GSQ14</f>
        <v>0</v>
      </c>
      <c r="GRY6" s="44">
        <f>Database!GSR14</f>
        <v>0</v>
      </c>
      <c r="GRZ6" s="44">
        <f>Database!GSS14</f>
        <v>0</v>
      </c>
      <c r="GSA6" s="44">
        <f>Database!GST14</f>
        <v>0</v>
      </c>
      <c r="GSB6" s="44">
        <f>Database!GSU14</f>
        <v>0</v>
      </c>
      <c r="GSC6" s="44">
        <f>Database!GSV14</f>
        <v>0</v>
      </c>
      <c r="GSD6" s="44">
        <f>Database!GSW14</f>
        <v>0</v>
      </c>
      <c r="GSE6" s="44">
        <f>Database!GSX14</f>
        <v>0</v>
      </c>
      <c r="GSF6" s="44">
        <f>Database!GSY14</f>
        <v>0</v>
      </c>
      <c r="GSG6" s="44">
        <f>Database!GSZ14</f>
        <v>0</v>
      </c>
      <c r="GSH6" s="44">
        <f>Database!GTA14</f>
        <v>0</v>
      </c>
      <c r="GSI6" s="44">
        <f>Database!GTB14</f>
        <v>0</v>
      </c>
      <c r="GSJ6" s="44">
        <f>Database!GTC14</f>
        <v>0</v>
      </c>
      <c r="GSK6" s="44">
        <f>Database!GTD14</f>
        <v>0</v>
      </c>
      <c r="GSL6" s="44">
        <f>Database!GTE14</f>
        <v>0</v>
      </c>
      <c r="GSM6" s="44">
        <f>Database!GTF14</f>
        <v>0</v>
      </c>
      <c r="GSN6" s="44">
        <f>Database!GTG14</f>
        <v>0</v>
      </c>
      <c r="GSO6" s="44">
        <f>Database!GTH14</f>
        <v>0</v>
      </c>
      <c r="GSP6" s="44">
        <f>Database!GTI14</f>
        <v>0</v>
      </c>
      <c r="GSQ6" s="44">
        <f>Database!GTJ14</f>
        <v>0</v>
      </c>
      <c r="GSR6" s="44">
        <f>Database!GTK14</f>
        <v>0</v>
      </c>
      <c r="GSS6" s="44">
        <f>Database!GTL14</f>
        <v>0</v>
      </c>
      <c r="GST6" s="44">
        <f>Database!GTM14</f>
        <v>0</v>
      </c>
      <c r="GSU6" s="44">
        <f>Database!GTN14</f>
        <v>0</v>
      </c>
      <c r="GSV6" s="44">
        <f>Database!GTO14</f>
        <v>0</v>
      </c>
      <c r="GSW6" s="44">
        <f>Database!GTP14</f>
        <v>0</v>
      </c>
      <c r="GSX6" s="44">
        <f>Database!GTQ14</f>
        <v>0</v>
      </c>
      <c r="GSY6" s="44">
        <f>Database!GTR14</f>
        <v>0</v>
      </c>
      <c r="GSZ6" s="44">
        <f>Database!GTS14</f>
        <v>0</v>
      </c>
      <c r="GTA6" s="44">
        <f>Database!GTT14</f>
        <v>0</v>
      </c>
      <c r="GTB6" s="44">
        <f>Database!GTU14</f>
        <v>0</v>
      </c>
      <c r="GTC6" s="44">
        <f>Database!GTV14</f>
        <v>0</v>
      </c>
      <c r="GTD6" s="44">
        <f>Database!GTW14</f>
        <v>0</v>
      </c>
      <c r="GTE6" s="44">
        <f>Database!GTX14</f>
        <v>0</v>
      </c>
      <c r="GTF6" s="44">
        <f>Database!GTY14</f>
        <v>0</v>
      </c>
      <c r="GTG6" s="44">
        <f>Database!GTZ14</f>
        <v>0</v>
      </c>
      <c r="GTH6" s="44">
        <f>Database!GUA14</f>
        <v>0</v>
      </c>
      <c r="GTI6" s="44">
        <f>Database!GUB14</f>
        <v>0</v>
      </c>
      <c r="GTJ6" s="44">
        <f>Database!GUC14</f>
        <v>0</v>
      </c>
      <c r="GTK6" s="44">
        <f>Database!GUD14</f>
        <v>0</v>
      </c>
      <c r="GTL6" s="44">
        <f>Database!GUE14</f>
        <v>0</v>
      </c>
      <c r="GTM6" s="44">
        <f>Database!GUF14</f>
        <v>0</v>
      </c>
      <c r="GTN6" s="44">
        <f>Database!GUG14</f>
        <v>0</v>
      </c>
      <c r="GTO6" s="44">
        <f>Database!GUH14</f>
        <v>0</v>
      </c>
      <c r="GTP6" s="44">
        <f>Database!GUI14</f>
        <v>0</v>
      </c>
      <c r="GTQ6" s="44">
        <f>Database!GUJ14</f>
        <v>0</v>
      </c>
      <c r="GTR6" s="44">
        <f>Database!GUK14</f>
        <v>0</v>
      </c>
      <c r="GTS6" s="44">
        <f>Database!GUL14</f>
        <v>0</v>
      </c>
      <c r="GTT6" s="44">
        <f>Database!GUM14</f>
        <v>0</v>
      </c>
      <c r="GTU6" s="44">
        <f>Database!GUN14</f>
        <v>0</v>
      </c>
      <c r="GTV6" s="44">
        <f>Database!GUO14</f>
        <v>0</v>
      </c>
      <c r="GTW6" s="44">
        <f>Database!GUP14</f>
        <v>0</v>
      </c>
      <c r="GTX6" s="44">
        <f>Database!GUQ14</f>
        <v>0</v>
      </c>
      <c r="GTY6" s="44">
        <f>Database!GUR14</f>
        <v>0</v>
      </c>
      <c r="GTZ6" s="44">
        <f>Database!GUS14</f>
        <v>0</v>
      </c>
      <c r="GUA6" s="44">
        <f>Database!GUT14</f>
        <v>0</v>
      </c>
      <c r="GUB6" s="44">
        <f>Database!GUU14</f>
        <v>0</v>
      </c>
      <c r="GUC6" s="44">
        <f>Database!GUV14</f>
        <v>0</v>
      </c>
      <c r="GUD6" s="44">
        <f>Database!GUW14</f>
        <v>0</v>
      </c>
      <c r="GUE6" s="44">
        <f>Database!GUX14</f>
        <v>0</v>
      </c>
      <c r="GUF6" s="44">
        <f>Database!GUY14</f>
        <v>0</v>
      </c>
      <c r="GUG6" s="44">
        <f>Database!GUZ14</f>
        <v>0</v>
      </c>
      <c r="GUH6" s="44">
        <f>Database!GVA14</f>
        <v>0</v>
      </c>
      <c r="GUI6" s="44">
        <f>Database!GVB14</f>
        <v>0</v>
      </c>
      <c r="GUJ6" s="44">
        <f>Database!GVC14</f>
        <v>0</v>
      </c>
      <c r="GUK6" s="44">
        <f>Database!GVD14</f>
        <v>0</v>
      </c>
      <c r="GUL6" s="44">
        <f>Database!GVE14</f>
        <v>0</v>
      </c>
      <c r="GUM6" s="44">
        <f>Database!GVF14</f>
        <v>0</v>
      </c>
      <c r="GUN6" s="44">
        <f>Database!GVG14</f>
        <v>0</v>
      </c>
      <c r="GUO6" s="44">
        <f>Database!GVH14</f>
        <v>0</v>
      </c>
      <c r="GUP6" s="44">
        <f>Database!GVI14</f>
        <v>0</v>
      </c>
      <c r="GUQ6" s="44">
        <f>Database!GVJ14</f>
        <v>0</v>
      </c>
      <c r="GUR6" s="44">
        <f>Database!GVK14</f>
        <v>0</v>
      </c>
      <c r="GUS6" s="44">
        <f>Database!GVL14</f>
        <v>0</v>
      </c>
      <c r="GUT6" s="44">
        <f>Database!GVM14</f>
        <v>0</v>
      </c>
      <c r="GUU6" s="44">
        <f>Database!GVN14</f>
        <v>0</v>
      </c>
      <c r="GUV6" s="44">
        <f>Database!GVO14</f>
        <v>0</v>
      </c>
      <c r="GUW6" s="44">
        <f>Database!GVP14</f>
        <v>0</v>
      </c>
      <c r="GUX6" s="44">
        <f>Database!GVQ14</f>
        <v>0</v>
      </c>
      <c r="GUY6" s="44">
        <f>Database!GVR14</f>
        <v>0</v>
      </c>
      <c r="GUZ6" s="44">
        <f>Database!GVS14</f>
        <v>0</v>
      </c>
      <c r="GVA6" s="44">
        <f>Database!GVT14</f>
        <v>0</v>
      </c>
      <c r="GVB6" s="44">
        <f>Database!GVU14</f>
        <v>0</v>
      </c>
      <c r="GVC6" s="44">
        <f>Database!GVV14</f>
        <v>0</v>
      </c>
      <c r="GVD6" s="44">
        <f>Database!GVW14</f>
        <v>0</v>
      </c>
      <c r="GVE6" s="44">
        <f>Database!GVX14</f>
        <v>0</v>
      </c>
      <c r="GVF6" s="44">
        <f>Database!GVY14</f>
        <v>0</v>
      </c>
      <c r="GVG6" s="44">
        <f>Database!GVZ14</f>
        <v>0</v>
      </c>
      <c r="GVH6" s="44">
        <f>Database!GWA14</f>
        <v>0</v>
      </c>
      <c r="GVI6" s="44">
        <f>Database!GWB14</f>
        <v>0</v>
      </c>
      <c r="GVJ6" s="44">
        <f>Database!GWC14</f>
        <v>0</v>
      </c>
      <c r="GVK6" s="44">
        <f>Database!GWD14</f>
        <v>0</v>
      </c>
      <c r="GVL6" s="44">
        <f>Database!GWE14</f>
        <v>0</v>
      </c>
      <c r="GVM6" s="44">
        <f>Database!GWF14</f>
        <v>0</v>
      </c>
      <c r="GVN6" s="44">
        <f>Database!GWG14</f>
        <v>0</v>
      </c>
      <c r="GVO6" s="44">
        <f>Database!GWH14</f>
        <v>0</v>
      </c>
      <c r="GVP6" s="44">
        <f>Database!GWI14</f>
        <v>0</v>
      </c>
      <c r="GVQ6" s="44">
        <f>Database!GWJ14</f>
        <v>0</v>
      </c>
      <c r="GVR6" s="44">
        <f>Database!GWK14</f>
        <v>0</v>
      </c>
      <c r="GVS6" s="44">
        <f>Database!GWL14</f>
        <v>0</v>
      </c>
      <c r="GVT6" s="44">
        <f>Database!GWM14</f>
        <v>0</v>
      </c>
      <c r="GVU6" s="44">
        <f>Database!GWN14</f>
        <v>0</v>
      </c>
      <c r="GVV6" s="44">
        <f>Database!GWO14</f>
        <v>0</v>
      </c>
      <c r="GVW6" s="44">
        <f>Database!GWP14</f>
        <v>0</v>
      </c>
      <c r="GVX6" s="44">
        <f>Database!GWQ14</f>
        <v>0</v>
      </c>
      <c r="GVY6" s="44">
        <f>Database!GWR14</f>
        <v>0</v>
      </c>
      <c r="GVZ6" s="44">
        <f>Database!GWS14</f>
        <v>0</v>
      </c>
      <c r="GWA6" s="44">
        <f>Database!GWT14</f>
        <v>0</v>
      </c>
      <c r="GWB6" s="44">
        <f>Database!GWU14</f>
        <v>0</v>
      </c>
      <c r="GWC6" s="44">
        <f>Database!GWV14</f>
        <v>0</v>
      </c>
      <c r="GWD6" s="44">
        <f>Database!GWW14</f>
        <v>0</v>
      </c>
      <c r="GWE6" s="44">
        <f>Database!GWX14</f>
        <v>0</v>
      </c>
      <c r="GWF6" s="44">
        <f>Database!GWY14</f>
        <v>0</v>
      </c>
      <c r="GWG6" s="44">
        <f>Database!GWZ14</f>
        <v>0</v>
      </c>
      <c r="GWH6" s="44">
        <f>Database!GXA14</f>
        <v>0</v>
      </c>
      <c r="GWI6" s="44">
        <f>Database!GXB14</f>
        <v>0</v>
      </c>
      <c r="GWJ6" s="44">
        <f>Database!GXC14</f>
        <v>0</v>
      </c>
      <c r="GWK6" s="44">
        <f>Database!GXD14</f>
        <v>0</v>
      </c>
      <c r="GWL6" s="44">
        <f>Database!GXE14</f>
        <v>0</v>
      </c>
      <c r="GWM6" s="44">
        <f>Database!GXF14</f>
        <v>0</v>
      </c>
      <c r="GWN6" s="44">
        <f>Database!GXG14</f>
        <v>0</v>
      </c>
      <c r="GWO6" s="44">
        <f>Database!GXH14</f>
        <v>0</v>
      </c>
      <c r="GWP6" s="44">
        <f>Database!GXI14</f>
        <v>0</v>
      </c>
      <c r="GWQ6" s="44">
        <f>Database!GXJ14</f>
        <v>0</v>
      </c>
      <c r="GWR6" s="44">
        <f>Database!GXK14</f>
        <v>0</v>
      </c>
      <c r="GWS6" s="44">
        <f>Database!GXL14</f>
        <v>0</v>
      </c>
      <c r="GWT6" s="44">
        <f>Database!GXM14</f>
        <v>0</v>
      </c>
      <c r="GWU6" s="44">
        <f>Database!GXN14</f>
        <v>0</v>
      </c>
      <c r="GWV6" s="44">
        <f>Database!GXO14</f>
        <v>0</v>
      </c>
      <c r="GWW6" s="44">
        <f>Database!GXP14</f>
        <v>0</v>
      </c>
      <c r="GWX6" s="44">
        <f>Database!GXQ14</f>
        <v>0</v>
      </c>
      <c r="GWY6" s="44">
        <f>Database!GXR14</f>
        <v>0</v>
      </c>
      <c r="GWZ6" s="44">
        <f>Database!GXS14</f>
        <v>0</v>
      </c>
      <c r="GXA6" s="44">
        <f>Database!GXT14</f>
        <v>0</v>
      </c>
      <c r="GXB6" s="44">
        <f>Database!GXU14</f>
        <v>0</v>
      </c>
      <c r="GXC6" s="44">
        <f>Database!GXV14</f>
        <v>0</v>
      </c>
      <c r="GXD6" s="44">
        <f>Database!GXW14</f>
        <v>0</v>
      </c>
      <c r="GXE6" s="44">
        <f>Database!GXX14</f>
        <v>0</v>
      </c>
      <c r="GXF6" s="44">
        <f>Database!GXY14</f>
        <v>0</v>
      </c>
      <c r="GXG6" s="44">
        <f>Database!GXZ14</f>
        <v>0</v>
      </c>
      <c r="GXH6" s="44">
        <f>Database!GYA14</f>
        <v>0</v>
      </c>
      <c r="GXI6" s="44">
        <f>Database!GYB14</f>
        <v>0</v>
      </c>
      <c r="GXJ6" s="44">
        <f>Database!GYC14</f>
        <v>0</v>
      </c>
      <c r="GXK6" s="44">
        <f>Database!GYD14</f>
        <v>0</v>
      </c>
      <c r="GXL6" s="44">
        <f>Database!GYE14</f>
        <v>0</v>
      </c>
      <c r="GXM6" s="44">
        <f>Database!GYF14</f>
        <v>0</v>
      </c>
      <c r="GXN6" s="44">
        <f>Database!GYG14</f>
        <v>0</v>
      </c>
      <c r="GXO6" s="44">
        <f>Database!GYH14</f>
        <v>0</v>
      </c>
      <c r="GXP6" s="44">
        <f>Database!GYI14</f>
        <v>0</v>
      </c>
      <c r="GXQ6" s="44">
        <f>Database!GYJ14</f>
        <v>0</v>
      </c>
      <c r="GXR6" s="44">
        <f>Database!GYK14</f>
        <v>0</v>
      </c>
      <c r="GXS6" s="44">
        <f>Database!GYL14</f>
        <v>0</v>
      </c>
      <c r="GXT6" s="44">
        <f>Database!GYM14</f>
        <v>0</v>
      </c>
      <c r="GXU6" s="44">
        <f>Database!GYN14</f>
        <v>0</v>
      </c>
      <c r="GXV6" s="44">
        <f>Database!GYO14</f>
        <v>0</v>
      </c>
      <c r="GXW6" s="44">
        <f>Database!GYP14</f>
        <v>0</v>
      </c>
      <c r="GXX6" s="44">
        <f>Database!GYQ14</f>
        <v>0</v>
      </c>
      <c r="GXY6" s="44">
        <f>Database!GYR14</f>
        <v>0</v>
      </c>
      <c r="GXZ6" s="44">
        <f>Database!GYS14</f>
        <v>0</v>
      </c>
      <c r="GYA6" s="44">
        <f>Database!GYT14</f>
        <v>0</v>
      </c>
      <c r="GYB6" s="44">
        <f>Database!GYU14</f>
        <v>0</v>
      </c>
      <c r="GYC6" s="44">
        <f>Database!GYV14</f>
        <v>0</v>
      </c>
      <c r="GYD6" s="44">
        <f>Database!GYW14</f>
        <v>0</v>
      </c>
      <c r="GYE6" s="44">
        <f>Database!GYX14</f>
        <v>0</v>
      </c>
      <c r="GYF6" s="44">
        <f>Database!GYY14</f>
        <v>0</v>
      </c>
      <c r="GYG6" s="44">
        <f>Database!GYZ14</f>
        <v>0</v>
      </c>
      <c r="GYH6" s="44">
        <f>Database!GZA14</f>
        <v>0</v>
      </c>
      <c r="GYI6" s="44">
        <f>Database!GZB14</f>
        <v>0</v>
      </c>
      <c r="GYJ6" s="44">
        <f>Database!GZC14</f>
        <v>0</v>
      </c>
      <c r="GYK6" s="44">
        <f>Database!GZD14</f>
        <v>0</v>
      </c>
      <c r="GYL6" s="44">
        <f>Database!GZE14</f>
        <v>0</v>
      </c>
      <c r="GYM6" s="44">
        <f>Database!GZF14</f>
        <v>0</v>
      </c>
      <c r="GYN6" s="44">
        <f>Database!GZG14</f>
        <v>0</v>
      </c>
      <c r="GYO6" s="44">
        <f>Database!GZH14</f>
        <v>0</v>
      </c>
      <c r="GYP6" s="44">
        <f>Database!GZI14</f>
        <v>0</v>
      </c>
      <c r="GYQ6" s="44">
        <f>Database!GZJ14</f>
        <v>0</v>
      </c>
      <c r="GYR6" s="44">
        <f>Database!GZK14</f>
        <v>0</v>
      </c>
      <c r="GYS6" s="44">
        <f>Database!GZL14</f>
        <v>0</v>
      </c>
      <c r="GYT6" s="44">
        <f>Database!GZM14</f>
        <v>0</v>
      </c>
      <c r="GYU6" s="44">
        <f>Database!GZN14</f>
        <v>0</v>
      </c>
      <c r="GYV6" s="44">
        <f>Database!GZO14</f>
        <v>0</v>
      </c>
      <c r="GYW6" s="44">
        <f>Database!GZP14</f>
        <v>0</v>
      </c>
      <c r="GYX6" s="44">
        <f>Database!GZQ14</f>
        <v>0</v>
      </c>
      <c r="GYY6" s="44">
        <f>Database!GZR14</f>
        <v>0</v>
      </c>
      <c r="GYZ6" s="44">
        <f>Database!GZS14</f>
        <v>0</v>
      </c>
      <c r="GZA6" s="44">
        <f>Database!GZT14</f>
        <v>0</v>
      </c>
      <c r="GZB6" s="44">
        <f>Database!GZU14</f>
        <v>0</v>
      </c>
      <c r="GZC6" s="44">
        <f>Database!GZV14</f>
        <v>0</v>
      </c>
      <c r="GZD6" s="44">
        <f>Database!GZW14</f>
        <v>0</v>
      </c>
      <c r="GZE6" s="44">
        <f>Database!GZX14</f>
        <v>0</v>
      </c>
      <c r="GZF6" s="44">
        <f>Database!GZY14</f>
        <v>0</v>
      </c>
      <c r="GZG6" s="44">
        <f>Database!GZZ14</f>
        <v>0</v>
      </c>
      <c r="GZH6" s="44">
        <f>Database!HAA14</f>
        <v>0</v>
      </c>
      <c r="GZI6" s="44">
        <f>Database!HAB14</f>
        <v>0</v>
      </c>
      <c r="GZJ6" s="44">
        <f>Database!HAC14</f>
        <v>0</v>
      </c>
      <c r="GZK6" s="44">
        <f>Database!HAD14</f>
        <v>0</v>
      </c>
      <c r="GZL6" s="44">
        <f>Database!HAE14</f>
        <v>0</v>
      </c>
      <c r="GZM6" s="44">
        <f>Database!HAF14</f>
        <v>0</v>
      </c>
      <c r="GZN6" s="44">
        <f>Database!HAG14</f>
        <v>0</v>
      </c>
      <c r="GZO6" s="44">
        <f>Database!HAH14</f>
        <v>0</v>
      </c>
      <c r="GZP6" s="44">
        <f>Database!HAI14</f>
        <v>0</v>
      </c>
      <c r="GZQ6" s="44">
        <f>Database!HAJ14</f>
        <v>0</v>
      </c>
      <c r="GZR6" s="44">
        <f>Database!HAK14</f>
        <v>0</v>
      </c>
      <c r="GZS6" s="44">
        <f>Database!HAL14</f>
        <v>0</v>
      </c>
      <c r="GZT6" s="44">
        <f>Database!HAM14</f>
        <v>0</v>
      </c>
      <c r="GZU6" s="44">
        <f>Database!HAN14</f>
        <v>0</v>
      </c>
      <c r="GZV6" s="44">
        <f>Database!HAO14</f>
        <v>0</v>
      </c>
      <c r="GZW6" s="44">
        <f>Database!HAP14</f>
        <v>0</v>
      </c>
      <c r="GZX6" s="44">
        <f>Database!HAQ14</f>
        <v>0</v>
      </c>
      <c r="GZY6" s="44">
        <f>Database!HAR14</f>
        <v>0</v>
      </c>
      <c r="GZZ6" s="44">
        <f>Database!HAS14</f>
        <v>0</v>
      </c>
      <c r="HAA6" s="44">
        <f>Database!HAT14</f>
        <v>0</v>
      </c>
      <c r="HAB6" s="44">
        <f>Database!HAU14</f>
        <v>0</v>
      </c>
      <c r="HAC6" s="44">
        <f>Database!HAV14</f>
        <v>0</v>
      </c>
      <c r="HAD6" s="44">
        <f>Database!HAW14</f>
        <v>0</v>
      </c>
      <c r="HAE6" s="44">
        <f>Database!HAX14</f>
        <v>0</v>
      </c>
      <c r="HAF6" s="44">
        <f>Database!HAY14</f>
        <v>0</v>
      </c>
      <c r="HAG6" s="44">
        <f>Database!HAZ14</f>
        <v>0</v>
      </c>
      <c r="HAH6" s="44">
        <f>Database!HBA14</f>
        <v>0</v>
      </c>
      <c r="HAI6" s="44">
        <f>Database!HBB14</f>
        <v>0</v>
      </c>
      <c r="HAJ6" s="44">
        <f>Database!HBC14</f>
        <v>0</v>
      </c>
      <c r="HAK6" s="44">
        <f>Database!HBD14</f>
        <v>0</v>
      </c>
      <c r="HAL6" s="44">
        <f>Database!HBE14</f>
        <v>0</v>
      </c>
      <c r="HAM6" s="44">
        <f>Database!HBF14</f>
        <v>0</v>
      </c>
      <c r="HAN6" s="44">
        <f>Database!HBG14</f>
        <v>0</v>
      </c>
      <c r="HAO6" s="44">
        <f>Database!HBH14</f>
        <v>0</v>
      </c>
      <c r="HAP6" s="44">
        <f>Database!HBI14</f>
        <v>0</v>
      </c>
      <c r="HAQ6" s="44">
        <f>Database!HBJ14</f>
        <v>0</v>
      </c>
      <c r="HAR6" s="44">
        <f>Database!HBK14</f>
        <v>0</v>
      </c>
      <c r="HAS6" s="44">
        <f>Database!HBL14</f>
        <v>0</v>
      </c>
      <c r="HAT6" s="44">
        <f>Database!HBM14</f>
        <v>0</v>
      </c>
      <c r="HAU6" s="44">
        <f>Database!HBN14</f>
        <v>0</v>
      </c>
      <c r="HAV6" s="44">
        <f>Database!HBO14</f>
        <v>0</v>
      </c>
      <c r="HAW6" s="44">
        <f>Database!HBP14</f>
        <v>0</v>
      </c>
      <c r="HAX6" s="44">
        <f>Database!HBQ14</f>
        <v>0</v>
      </c>
      <c r="HAY6" s="44">
        <f>Database!HBR14</f>
        <v>0</v>
      </c>
      <c r="HAZ6" s="44">
        <f>Database!HBS14</f>
        <v>0</v>
      </c>
      <c r="HBA6" s="44">
        <f>Database!HBT14</f>
        <v>0</v>
      </c>
      <c r="HBB6" s="44">
        <f>Database!HBU14</f>
        <v>0</v>
      </c>
      <c r="HBC6" s="44">
        <f>Database!HBV14</f>
        <v>0</v>
      </c>
      <c r="HBD6" s="44">
        <f>Database!HBW14</f>
        <v>0</v>
      </c>
      <c r="HBE6" s="44">
        <f>Database!HBX14</f>
        <v>0</v>
      </c>
      <c r="HBF6" s="44">
        <f>Database!HBY14</f>
        <v>0</v>
      </c>
      <c r="HBG6" s="44">
        <f>Database!HBZ14</f>
        <v>0</v>
      </c>
      <c r="HBH6" s="44">
        <f>Database!HCA14</f>
        <v>0</v>
      </c>
      <c r="HBI6" s="44">
        <f>Database!HCB14</f>
        <v>0</v>
      </c>
      <c r="HBJ6" s="44">
        <f>Database!HCC14</f>
        <v>0</v>
      </c>
      <c r="HBK6" s="44">
        <f>Database!HCD14</f>
        <v>0</v>
      </c>
      <c r="HBL6" s="44">
        <f>Database!HCE14</f>
        <v>0</v>
      </c>
      <c r="HBM6" s="44">
        <f>Database!HCF14</f>
        <v>0</v>
      </c>
      <c r="HBN6" s="44">
        <f>Database!HCG14</f>
        <v>0</v>
      </c>
      <c r="HBO6" s="44">
        <f>Database!HCH14</f>
        <v>0</v>
      </c>
      <c r="HBP6" s="44">
        <f>Database!HCI14</f>
        <v>0</v>
      </c>
      <c r="HBQ6" s="44">
        <f>Database!HCJ14</f>
        <v>0</v>
      </c>
      <c r="HBR6" s="44">
        <f>Database!HCK14</f>
        <v>0</v>
      </c>
      <c r="HBS6" s="44">
        <f>Database!HCL14</f>
        <v>0</v>
      </c>
      <c r="HBT6" s="44">
        <f>Database!HCM14</f>
        <v>0</v>
      </c>
      <c r="HBU6" s="44">
        <f>Database!HCN14</f>
        <v>0</v>
      </c>
      <c r="HBV6" s="44">
        <f>Database!HCO14</f>
        <v>0</v>
      </c>
      <c r="HBW6" s="44">
        <f>Database!HCP14</f>
        <v>0</v>
      </c>
      <c r="HBX6" s="44">
        <f>Database!HCQ14</f>
        <v>0</v>
      </c>
      <c r="HBY6" s="44">
        <f>Database!HCR14</f>
        <v>0</v>
      </c>
      <c r="HBZ6" s="44">
        <f>Database!HCS14</f>
        <v>0</v>
      </c>
      <c r="HCA6" s="44">
        <f>Database!HCT14</f>
        <v>0</v>
      </c>
      <c r="HCB6" s="44">
        <f>Database!HCU14</f>
        <v>0</v>
      </c>
      <c r="HCC6" s="44">
        <f>Database!HCV14</f>
        <v>0</v>
      </c>
      <c r="HCD6" s="44">
        <f>Database!HCW14</f>
        <v>0</v>
      </c>
      <c r="HCE6" s="44">
        <f>Database!HCX14</f>
        <v>0</v>
      </c>
      <c r="HCF6" s="44">
        <f>Database!HCY14</f>
        <v>0</v>
      </c>
      <c r="HCG6" s="44">
        <f>Database!HCZ14</f>
        <v>0</v>
      </c>
      <c r="HCH6" s="44">
        <f>Database!HDA14</f>
        <v>0</v>
      </c>
      <c r="HCI6" s="44">
        <f>Database!HDB14</f>
        <v>0</v>
      </c>
      <c r="HCJ6" s="44">
        <f>Database!HDC14</f>
        <v>0</v>
      </c>
      <c r="HCK6" s="44">
        <f>Database!HDD14</f>
        <v>0</v>
      </c>
      <c r="HCL6" s="44">
        <f>Database!HDE14</f>
        <v>0</v>
      </c>
      <c r="HCM6" s="44">
        <f>Database!HDF14</f>
        <v>0</v>
      </c>
      <c r="HCN6" s="44">
        <f>Database!HDG14</f>
        <v>0</v>
      </c>
      <c r="HCO6" s="44">
        <f>Database!HDH14</f>
        <v>0</v>
      </c>
      <c r="HCP6" s="44">
        <f>Database!HDI14</f>
        <v>0</v>
      </c>
      <c r="HCQ6" s="44">
        <f>Database!HDJ14</f>
        <v>0</v>
      </c>
      <c r="HCR6" s="44">
        <f>Database!HDK14</f>
        <v>0</v>
      </c>
      <c r="HCS6" s="44">
        <f>Database!HDL14</f>
        <v>0</v>
      </c>
      <c r="HCT6" s="44">
        <f>Database!HDM14</f>
        <v>0</v>
      </c>
      <c r="HCU6" s="44">
        <f>Database!HDN14</f>
        <v>0</v>
      </c>
      <c r="HCV6" s="44">
        <f>Database!HDO14</f>
        <v>0</v>
      </c>
      <c r="HCW6" s="44">
        <f>Database!HDP14</f>
        <v>0</v>
      </c>
      <c r="HCX6" s="44">
        <f>Database!HDQ14</f>
        <v>0</v>
      </c>
      <c r="HCY6" s="44">
        <f>Database!HDR14</f>
        <v>0</v>
      </c>
      <c r="HCZ6" s="44">
        <f>Database!HDS14</f>
        <v>0</v>
      </c>
      <c r="HDA6" s="44">
        <f>Database!HDT14</f>
        <v>0</v>
      </c>
      <c r="HDB6" s="44">
        <f>Database!HDU14</f>
        <v>0</v>
      </c>
      <c r="HDC6" s="44">
        <f>Database!HDV14</f>
        <v>0</v>
      </c>
      <c r="HDD6" s="44">
        <f>Database!HDW14</f>
        <v>0</v>
      </c>
      <c r="HDE6" s="44">
        <f>Database!HDX14</f>
        <v>0</v>
      </c>
      <c r="HDF6" s="44">
        <f>Database!HDY14</f>
        <v>0</v>
      </c>
      <c r="HDG6" s="44">
        <f>Database!HDZ14</f>
        <v>0</v>
      </c>
      <c r="HDH6" s="44">
        <f>Database!HEA14</f>
        <v>0</v>
      </c>
      <c r="HDI6" s="44">
        <f>Database!HEB14</f>
        <v>0</v>
      </c>
      <c r="HDJ6" s="44">
        <f>Database!HEC14</f>
        <v>0</v>
      </c>
      <c r="HDK6" s="44">
        <f>Database!HED14</f>
        <v>0</v>
      </c>
      <c r="HDL6" s="44">
        <f>Database!HEE14</f>
        <v>0</v>
      </c>
      <c r="HDM6" s="44">
        <f>Database!HEF14</f>
        <v>0</v>
      </c>
      <c r="HDN6" s="44">
        <f>Database!HEG14</f>
        <v>0</v>
      </c>
      <c r="HDO6" s="44">
        <f>Database!HEH14</f>
        <v>0</v>
      </c>
      <c r="HDP6" s="44">
        <f>Database!HEI14</f>
        <v>0</v>
      </c>
      <c r="HDQ6" s="44">
        <f>Database!HEJ14</f>
        <v>0</v>
      </c>
      <c r="HDR6" s="44">
        <f>Database!HEK14</f>
        <v>0</v>
      </c>
      <c r="HDS6" s="44">
        <f>Database!HEL14</f>
        <v>0</v>
      </c>
      <c r="HDT6" s="44">
        <f>Database!HEM14</f>
        <v>0</v>
      </c>
      <c r="HDU6" s="44">
        <f>Database!HEN14</f>
        <v>0</v>
      </c>
      <c r="HDV6" s="44">
        <f>Database!HEO14</f>
        <v>0</v>
      </c>
      <c r="HDW6" s="44">
        <f>Database!HEP14</f>
        <v>0</v>
      </c>
      <c r="HDX6" s="44">
        <f>Database!HEQ14</f>
        <v>0</v>
      </c>
      <c r="HDY6" s="44">
        <f>Database!HER14</f>
        <v>0</v>
      </c>
      <c r="HDZ6" s="44">
        <f>Database!HES14</f>
        <v>0</v>
      </c>
      <c r="HEA6" s="44">
        <f>Database!HET14</f>
        <v>0</v>
      </c>
      <c r="HEB6" s="44">
        <f>Database!HEU14</f>
        <v>0</v>
      </c>
      <c r="HEC6" s="44">
        <f>Database!HEV14</f>
        <v>0</v>
      </c>
      <c r="HED6" s="44">
        <f>Database!HEW14</f>
        <v>0</v>
      </c>
      <c r="HEE6" s="44">
        <f>Database!HEX14</f>
        <v>0</v>
      </c>
      <c r="HEF6" s="44">
        <f>Database!HEY14</f>
        <v>0</v>
      </c>
      <c r="HEG6" s="44">
        <f>Database!HEZ14</f>
        <v>0</v>
      </c>
      <c r="HEH6" s="44">
        <f>Database!HFA14</f>
        <v>0</v>
      </c>
      <c r="HEI6" s="44">
        <f>Database!HFB14</f>
        <v>0</v>
      </c>
      <c r="HEJ6" s="44">
        <f>Database!HFC14</f>
        <v>0</v>
      </c>
      <c r="HEK6" s="44">
        <f>Database!HFD14</f>
        <v>0</v>
      </c>
      <c r="HEL6" s="44">
        <f>Database!HFE14</f>
        <v>0</v>
      </c>
      <c r="HEM6" s="44">
        <f>Database!HFF14</f>
        <v>0</v>
      </c>
      <c r="HEN6" s="44">
        <f>Database!HFG14</f>
        <v>0</v>
      </c>
      <c r="HEO6" s="44">
        <f>Database!HFH14</f>
        <v>0</v>
      </c>
      <c r="HEP6" s="44">
        <f>Database!HFI14</f>
        <v>0</v>
      </c>
      <c r="HEQ6" s="44">
        <f>Database!HFJ14</f>
        <v>0</v>
      </c>
      <c r="HER6" s="44">
        <f>Database!HFK14</f>
        <v>0</v>
      </c>
      <c r="HES6" s="44">
        <f>Database!HFL14</f>
        <v>0</v>
      </c>
      <c r="HET6" s="44">
        <f>Database!HFM14</f>
        <v>0</v>
      </c>
      <c r="HEU6" s="44">
        <f>Database!HFN14</f>
        <v>0</v>
      </c>
      <c r="HEV6" s="44">
        <f>Database!HFO14</f>
        <v>0</v>
      </c>
      <c r="HEW6" s="44">
        <f>Database!HFP14</f>
        <v>0</v>
      </c>
      <c r="HEX6" s="44">
        <f>Database!HFQ14</f>
        <v>0</v>
      </c>
      <c r="HEY6" s="44">
        <f>Database!HFR14</f>
        <v>0</v>
      </c>
      <c r="HEZ6" s="44">
        <f>Database!HFS14</f>
        <v>0</v>
      </c>
      <c r="HFA6" s="44">
        <f>Database!HFT14</f>
        <v>0</v>
      </c>
      <c r="HFB6" s="44">
        <f>Database!HFU14</f>
        <v>0</v>
      </c>
      <c r="HFC6" s="44">
        <f>Database!HFV14</f>
        <v>0</v>
      </c>
      <c r="HFD6" s="44">
        <f>Database!HFW14</f>
        <v>0</v>
      </c>
      <c r="HFE6" s="44">
        <f>Database!HFX14</f>
        <v>0</v>
      </c>
      <c r="HFF6" s="44">
        <f>Database!HFY14</f>
        <v>0</v>
      </c>
      <c r="HFG6" s="44">
        <f>Database!HFZ14</f>
        <v>0</v>
      </c>
      <c r="HFH6" s="44">
        <f>Database!HGA14</f>
        <v>0</v>
      </c>
      <c r="HFI6" s="44">
        <f>Database!HGB14</f>
        <v>0</v>
      </c>
      <c r="HFJ6" s="44">
        <f>Database!HGC14</f>
        <v>0</v>
      </c>
      <c r="HFK6" s="44">
        <f>Database!HGD14</f>
        <v>0</v>
      </c>
      <c r="HFL6" s="44">
        <f>Database!HGE14</f>
        <v>0</v>
      </c>
      <c r="HFM6" s="44">
        <f>Database!HGF14</f>
        <v>0</v>
      </c>
      <c r="HFN6" s="44">
        <f>Database!HGG14</f>
        <v>0</v>
      </c>
      <c r="HFO6" s="44">
        <f>Database!HGH14</f>
        <v>0</v>
      </c>
      <c r="HFP6" s="44">
        <f>Database!HGI14</f>
        <v>0</v>
      </c>
      <c r="HFQ6" s="44">
        <f>Database!HGJ14</f>
        <v>0</v>
      </c>
      <c r="HFR6" s="44">
        <f>Database!HGK14</f>
        <v>0</v>
      </c>
      <c r="HFS6" s="44">
        <f>Database!HGL14</f>
        <v>0</v>
      </c>
      <c r="HFT6" s="44">
        <f>Database!HGM14</f>
        <v>0</v>
      </c>
      <c r="HFU6" s="44">
        <f>Database!HGN14</f>
        <v>0</v>
      </c>
      <c r="HFV6" s="44">
        <f>Database!HGO14</f>
        <v>0</v>
      </c>
      <c r="HFW6" s="44">
        <f>Database!HGP14</f>
        <v>0</v>
      </c>
      <c r="HFX6" s="44">
        <f>Database!HGQ14</f>
        <v>0</v>
      </c>
      <c r="HFY6" s="44">
        <f>Database!HGR14</f>
        <v>0</v>
      </c>
      <c r="HFZ6" s="44">
        <f>Database!HGS14</f>
        <v>0</v>
      </c>
      <c r="HGA6" s="44">
        <f>Database!HGT14</f>
        <v>0</v>
      </c>
      <c r="HGB6" s="44">
        <f>Database!HGU14</f>
        <v>0</v>
      </c>
      <c r="HGC6" s="44">
        <f>Database!HGV14</f>
        <v>0</v>
      </c>
      <c r="HGD6" s="44">
        <f>Database!HGW14</f>
        <v>0</v>
      </c>
      <c r="HGE6" s="44">
        <f>Database!HGX14</f>
        <v>0</v>
      </c>
      <c r="HGF6" s="44">
        <f>Database!HGY14</f>
        <v>0</v>
      </c>
      <c r="HGG6" s="44">
        <f>Database!HGZ14</f>
        <v>0</v>
      </c>
      <c r="HGH6" s="44">
        <f>Database!HHA14</f>
        <v>0</v>
      </c>
      <c r="HGI6" s="44">
        <f>Database!HHB14</f>
        <v>0</v>
      </c>
      <c r="HGJ6" s="44">
        <f>Database!HHC14</f>
        <v>0</v>
      </c>
      <c r="HGK6" s="44">
        <f>Database!HHD14</f>
        <v>0</v>
      </c>
      <c r="HGL6" s="44">
        <f>Database!HHE14</f>
        <v>0</v>
      </c>
      <c r="HGM6" s="44">
        <f>Database!HHF14</f>
        <v>0</v>
      </c>
      <c r="HGN6" s="44">
        <f>Database!HHG14</f>
        <v>0</v>
      </c>
      <c r="HGO6" s="44">
        <f>Database!HHH14</f>
        <v>0</v>
      </c>
      <c r="HGP6" s="44">
        <f>Database!HHI14</f>
        <v>0</v>
      </c>
      <c r="HGQ6" s="44">
        <f>Database!HHJ14</f>
        <v>0</v>
      </c>
      <c r="HGR6" s="44">
        <f>Database!HHK14</f>
        <v>0</v>
      </c>
      <c r="HGS6" s="44">
        <f>Database!HHL14</f>
        <v>0</v>
      </c>
      <c r="HGT6" s="44">
        <f>Database!HHM14</f>
        <v>0</v>
      </c>
      <c r="HGU6" s="44">
        <f>Database!HHN14</f>
        <v>0</v>
      </c>
      <c r="HGV6" s="44">
        <f>Database!HHO14</f>
        <v>0</v>
      </c>
      <c r="HGW6" s="44">
        <f>Database!HHP14</f>
        <v>0</v>
      </c>
      <c r="HGX6" s="44">
        <f>Database!HHQ14</f>
        <v>0</v>
      </c>
      <c r="HGY6" s="44">
        <f>Database!HHR14</f>
        <v>0</v>
      </c>
      <c r="HGZ6" s="44">
        <f>Database!HHS14</f>
        <v>0</v>
      </c>
      <c r="HHA6" s="44">
        <f>Database!HHT14</f>
        <v>0</v>
      </c>
      <c r="HHB6" s="44">
        <f>Database!HHU14</f>
        <v>0</v>
      </c>
      <c r="HHC6" s="44">
        <f>Database!HHV14</f>
        <v>0</v>
      </c>
      <c r="HHD6" s="44">
        <f>Database!HHW14</f>
        <v>0</v>
      </c>
      <c r="HHE6" s="44">
        <f>Database!HHX14</f>
        <v>0</v>
      </c>
      <c r="HHF6" s="44">
        <f>Database!HHY14</f>
        <v>0</v>
      </c>
      <c r="HHG6" s="44">
        <f>Database!HHZ14</f>
        <v>0</v>
      </c>
      <c r="HHH6" s="44">
        <f>Database!HIA14</f>
        <v>0</v>
      </c>
      <c r="HHI6" s="44">
        <f>Database!HIB14</f>
        <v>0</v>
      </c>
      <c r="HHJ6" s="44">
        <f>Database!HIC14</f>
        <v>0</v>
      </c>
      <c r="HHK6" s="44">
        <f>Database!HID14</f>
        <v>0</v>
      </c>
      <c r="HHL6" s="44">
        <f>Database!HIE14</f>
        <v>0</v>
      </c>
      <c r="HHM6" s="44">
        <f>Database!HIF14</f>
        <v>0</v>
      </c>
      <c r="HHN6" s="44">
        <f>Database!HIG14</f>
        <v>0</v>
      </c>
      <c r="HHO6" s="44">
        <f>Database!HIH14</f>
        <v>0</v>
      </c>
      <c r="HHP6" s="44">
        <f>Database!HII14</f>
        <v>0</v>
      </c>
      <c r="HHQ6" s="44">
        <f>Database!HIJ14</f>
        <v>0</v>
      </c>
      <c r="HHR6" s="44">
        <f>Database!HIK14</f>
        <v>0</v>
      </c>
      <c r="HHS6" s="44">
        <f>Database!HIL14</f>
        <v>0</v>
      </c>
      <c r="HHT6" s="44">
        <f>Database!HIM14</f>
        <v>0</v>
      </c>
      <c r="HHU6" s="44">
        <f>Database!HIN14</f>
        <v>0</v>
      </c>
      <c r="HHV6" s="44">
        <f>Database!HIO14</f>
        <v>0</v>
      </c>
      <c r="HHW6" s="44">
        <f>Database!HIP14</f>
        <v>0</v>
      </c>
      <c r="HHX6" s="44">
        <f>Database!HIQ14</f>
        <v>0</v>
      </c>
      <c r="HHY6" s="44">
        <f>Database!HIR14</f>
        <v>0</v>
      </c>
      <c r="HHZ6" s="44">
        <f>Database!HIS14</f>
        <v>0</v>
      </c>
      <c r="HIA6" s="44">
        <f>Database!HIT14</f>
        <v>0</v>
      </c>
      <c r="HIB6" s="44">
        <f>Database!HIU14</f>
        <v>0</v>
      </c>
      <c r="HIC6" s="44">
        <f>Database!HIV14</f>
        <v>0</v>
      </c>
      <c r="HID6" s="44">
        <f>Database!HIW14</f>
        <v>0</v>
      </c>
      <c r="HIE6" s="44">
        <f>Database!HIX14</f>
        <v>0</v>
      </c>
      <c r="HIF6" s="44">
        <f>Database!HIY14</f>
        <v>0</v>
      </c>
      <c r="HIG6" s="44">
        <f>Database!HIZ14</f>
        <v>0</v>
      </c>
      <c r="HIH6" s="44">
        <f>Database!HJA14</f>
        <v>0</v>
      </c>
      <c r="HII6" s="44">
        <f>Database!HJB14</f>
        <v>0</v>
      </c>
      <c r="HIJ6" s="44">
        <f>Database!HJC14</f>
        <v>0</v>
      </c>
      <c r="HIK6" s="44">
        <f>Database!HJD14</f>
        <v>0</v>
      </c>
      <c r="HIL6" s="44">
        <f>Database!HJE14</f>
        <v>0</v>
      </c>
      <c r="HIM6" s="44">
        <f>Database!HJF14</f>
        <v>0</v>
      </c>
      <c r="HIN6" s="44">
        <f>Database!HJG14</f>
        <v>0</v>
      </c>
      <c r="HIO6" s="44">
        <f>Database!HJH14</f>
        <v>0</v>
      </c>
      <c r="HIP6" s="44">
        <f>Database!HJI14</f>
        <v>0</v>
      </c>
      <c r="HIQ6" s="44">
        <f>Database!HJJ14</f>
        <v>0</v>
      </c>
      <c r="HIR6" s="44">
        <f>Database!HJK14</f>
        <v>0</v>
      </c>
      <c r="HIS6" s="44">
        <f>Database!HJL14</f>
        <v>0</v>
      </c>
      <c r="HIT6" s="44">
        <f>Database!HJM14</f>
        <v>0</v>
      </c>
      <c r="HIU6" s="44">
        <f>Database!HJN14</f>
        <v>0</v>
      </c>
      <c r="HIV6" s="44">
        <f>Database!HJO14</f>
        <v>0</v>
      </c>
      <c r="HIW6" s="44">
        <f>Database!HJP14</f>
        <v>0</v>
      </c>
      <c r="HIX6" s="44">
        <f>Database!HJQ14</f>
        <v>0</v>
      </c>
      <c r="HIY6" s="44">
        <f>Database!HJR14</f>
        <v>0</v>
      </c>
      <c r="HIZ6" s="44">
        <f>Database!HJS14</f>
        <v>0</v>
      </c>
      <c r="HJA6" s="44">
        <f>Database!HJT14</f>
        <v>0</v>
      </c>
      <c r="HJB6" s="44">
        <f>Database!HJU14</f>
        <v>0</v>
      </c>
      <c r="HJC6" s="44">
        <f>Database!HJV14</f>
        <v>0</v>
      </c>
      <c r="HJD6" s="44">
        <f>Database!HJW14</f>
        <v>0</v>
      </c>
      <c r="HJE6" s="44">
        <f>Database!HJX14</f>
        <v>0</v>
      </c>
      <c r="HJF6" s="44">
        <f>Database!HJY14</f>
        <v>0</v>
      </c>
      <c r="HJG6" s="44">
        <f>Database!HJZ14</f>
        <v>0</v>
      </c>
      <c r="HJH6" s="44">
        <f>Database!HKA14</f>
        <v>0</v>
      </c>
      <c r="HJI6" s="44">
        <f>Database!HKB14</f>
        <v>0</v>
      </c>
      <c r="HJJ6" s="44">
        <f>Database!HKC14</f>
        <v>0</v>
      </c>
      <c r="HJK6" s="44">
        <f>Database!HKD14</f>
        <v>0</v>
      </c>
      <c r="HJL6" s="44">
        <f>Database!HKE14</f>
        <v>0</v>
      </c>
      <c r="HJM6" s="44">
        <f>Database!HKF14</f>
        <v>0</v>
      </c>
      <c r="HJN6" s="44">
        <f>Database!HKG14</f>
        <v>0</v>
      </c>
      <c r="HJO6" s="44">
        <f>Database!HKH14</f>
        <v>0</v>
      </c>
      <c r="HJP6" s="44">
        <f>Database!HKI14</f>
        <v>0</v>
      </c>
      <c r="HJQ6" s="44">
        <f>Database!HKJ14</f>
        <v>0</v>
      </c>
      <c r="HJR6" s="44">
        <f>Database!HKK14</f>
        <v>0</v>
      </c>
      <c r="HJS6" s="44">
        <f>Database!HKL14</f>
        <v>0</v>
      </c>
      <c r="HJT6" s="44">
        <f>Database!HKM14</f>
        <v>0</v>
      </c>
      <c r="HJU6" s="44">
        <f>Database!HKN14</f>
        <v>0</v>
      </c>
      <c r="HJV6" s="44">
        <f>Database!HKO14</f>
        <v>0</v>
      </c>
      <c r="HJW6" s="44">
        <f>Database!HKP14</f>
        <v>0</v>
      </c>
      <c r="HJX6" s="44">
        <f>Database!HKQ14</f>
        <v>0</v>
      </c>
      <c r="HJY6" s="44">
        <f>Database!HKR14</f>
        <v>0</v>
      </c>
      <c r="HJZ6" s="44">
        <f>Database!HKS14</f>
        <v>0</v>
      </c>
      <c r="HKA6" s="44">
        <f>Database!HKT14</f>
        <v>0</v>
      </c>
      <c r="HKB6" s="44">
        <f>Database!HKU14</f>
        <v>0</v>
      </c>
      <c r="HKC6" s="44">
        <f>Database!HKV14</f>
        <v>0</v>
      </c>
      <c r="HKD6" s="44">
        <f>Database!HKW14</f>
        <v>0</v>
      </c>
      <c r="HKE6" s="44">
        <f>Database!HKX14</f>
        <v>0</v>
      </c>
      <c r="HKF6" s="44">
        <f>Database!HKY14</f>
        <v>0</v>
      </c>
      <c r="HKG6" s="44">
        <f>Database!HKZ14</f>
        <v>0</v>
      </c>
      <c r="HKH6" s="44">
        <f>Database!HLA14</f>
        <v>0</v>
      </c>
      <c r="HKI6" s="44">
        <f>Database!HLB14</f>
        <v>0</v>
      </c>
      <c r="HKJ6" s="44">
        <f>Database!HLC14</f>
        <v>0</v>
      </c>
      <c r="HKK6" s="44">
        <f>Database!HLD14</f>
        <v>0</v>
      </c>
      <c r="HKL6" s="44">
        <f>Database!HLE14</f>
        <v>0</v>
      </c>
      <c r="HKM6" s="44">
        <f>Database!HLF14</f>
        <v>0</v>
      </c>
      <c r="HKN6" s="44">
        <f>Database!HLG14</f>
        <v>0</v>
      </c>
      <c r="HKO6" s="44">
        <f>Database!HLH14</f>
        <v>0</v>
      </c>
      <c r="HKP6" s="44">
        <f>Database!HLI14</f>
        <v>0</v>
      </c>
      <c r="HKQ6" s="44">
        <f>Database!HLJ14</f>
        <v>0</v>
      </c>
      <c r="HKR6" s="44">
        <f>Database!HLK14</f>
        <v>0</v>
      </c>
      <c r="HKS6" s="44">
        <f>Database!HLL14</f>
        <v>0</v>
      </c>
      <c r="HKT6" s="44">
        <f>Database!HLM14</f>
        <v>0</v>
      </c>
      <c r="HKU6" s="44">
        <f>Database!HLN14</f>
        <v>0</v>
      </c>
      <c r="HKV6" s="44">
        <f>Database!HLO14</f>
        <v>0</v>
      </c>
      <c r="HKW6" s="44">
        <f>Database!HLP14</f>
        <v>0</v>
      </c>
      <c r="HKX6" s="44">
        <f>Database!HLQ14</f>
        <v>0</v>
      </c>
      <c r="HKY6" s="44">
        <f>Database!HLR14</f>
        <v>0</v>
      </c>
      <c r="HKZ6" s="44">
        <f>Database!HLS14</f>
        <v>0</v>
      </c>
      <c r="HLA6" s="44">
        <f>Database!HLT14</f>
        <v>0</v>
      </c>
      <c r="HLB6" s="44">
        <f>Database!HLU14</f>
        <v>0</v>
      </c>
      <c r="HLC6" s="44">
        <f>Database!HLV14</f>
        <v>0</v>
      </c>
      <c r="HLD6" s="44">
        <f>Database!HLW14</f>
        <v>0</v>
      </c>
      <c r="HLE6" s="44">
        <f>Database!HLX14</f>
        <v>0</v>
      </c>
      <c r="HLF6" s="44">
        <f>Database!HLY14</f>
        <v>0</v>
      </c>
      <c r="HLG6" s="44">
        <f>Database!HLZ14</f>
        <v>0</v>
      </c>
      <c r="HLH6" s="44">
        <f>Database!HMA14</f>
        <v>0</v>
      </c>
      <c r="HLI6" s="44">
        <f>Database!HMB14</f>
        <v>0</v>
      </c>
      <c r="HLJ6" s="44">
        <f>Database!HMC14</f>
        <v>0</v>
      </c>
      <c r="HLK6" s="44">
        <f>Database!HMD14</f>
        <v>0</v>
      </c>
      <c r="HLL6" s="44">
        <f>Database!HME14</f>
        <v>0</v>
      </c>
      <c r="HLM6" s="44">
        <f>Database!HMF14</f>
        <v>0</v>
      </c>
      <c r="HLN6" s="44">
        <f>Database!HMG14</f>
        <v>0</v>
      </c>
      <c r="HLO6" s="44">
        <f>Database!HMH14</f>
        <v>0</v>
      </c>
      <c r="HLP6" s="44">
        <f>Database!HMI14</f>
        <v>0</v>
      </c>
      <c r="HLQ6" s="44">
        <f>Database!HMJ14</f>
        <v>0</v>
      </c>
      <c r="HLR6" s="44">
        <f>Database!HMK14</f>
        <v>0</v>
      </c>
      <c r="HLS6" s="44">
        <f>Database!HML14</f>
        <v>0</v>
      </c>
      <c r="HLT6" s="44">
        <f>Database!HMM14</f>
        <v>0</v>
      </c>
      <c r="HLU6" s="44">
        <f>Database!HMN14</f>
        <v>0</v>
      </c>
      <c r="HLV6" s="44">
        <f>Database!HMO14</f>
        <v>0</v>
      </c>
      <c r="HLW6" s="44">
        <f>Database!HMP14</f>
        <v>0</v>
      </c>
      <c r="HLX6" s="44">
        <f>Database!HMQ14</f>
        <v>0</v>
      </c>
      <c r="HLY6" s="44">
        <f>Database!HMR14</f>
        <v>0</v>
      </c>
      <c r="HLZ6" s="44">
        <f>Database!HMS14</f>
        <v>0</v>
      </c>
      <c r="HMA6" s="44">
        <f>Database!HMT14</f>
        <v>0</v>
      </c>
      <c r="HMB6" s="44">
        <f>Database!HMU14</f>
        <v>0</v>
      </c>
      <c r="HMC6" s="44">
        <f>Database!HMV14</f>
        <v>0</v>
      </c>
      <c r="HMD6" s="44">
        <f>Database!HMW14</f>
        <v>0</v>
      </c>
      <c r="HME6" s="44">
        <f>Database!HMX14</f>
        <v>0</v>
      </c>
      <c r="HMF6" s="44">
        <f>Database!HMY14</f>
        <v>0</v>
      </c>
      <c r="HMG6" s="44">
        <f>Database!HMZ14</f>
        <v>0</v>
      </c>
      <c r="HMH6" s="44">
        <f>Database!HNA14</f>
        <v>0</v>
      </c>
      <c r="HMI6" s="44">
        <f>Database!HNB14</f>
        <v>0</v>
      </c>
      <c r="HMJ6" s="44">
        <f>Database!HNC14</f>
        <v>0</v>
      </c>
      <c r="HMK6" s="44">
        <f>Database!HND14</f>
        <v>0</v>
      </c>
      <c r="HML6" s="44">
        <f>Database!HNE14</f>
        <v>0</v>
      </c>
      <c r="HMM6" s="44">
        <f>Database!HNF14</f>
        <v>0</v>
      </c>
      <c r="HMN6" s="44">
        <f>Database!HNG14</f>
        <v>0</v>
      </c>
      <c r="HMO6" s="44">
        <f>Database!HNH14</f>
        <v>0</v>
      </c>
      <c r="HMP6" s="44">
        <f>Database!HNI14</f>
        <v>0</v>
      </c>
      <c r="HMQ6" s="44">
        <f>Database!HNJ14</f>
        <v>0</v>
      </c>
      <c r="HMR6" s="44">
        <f>Database!HNK14</f>
        <v>0</v>
      </c>
      <c r="HMS6" s="44">
        <f>Database!HNL14</f>
        <v>0</v>
      </c>
      <c r="HMT6" s="44">
        <f>Database!HNM14</f>
        <v>0</v>
      </c>
      <c r="HMU6" s="44">
        <f>Database!HNN14</f>
        <v>0</v>
      </c>
      <c r="HMV6" s="44">
        <f>Database!HNO14</f>
        <v>0</v>
      </c>
      <c r="HMW6" s="44">
        <f>Database!HNP14</f>
        <v>0</v>
      </c>
      <c r="HMX6" s="44">
        <f>Database!HNQ14</f>
        <v>0</v>
      </c>
      <c r="HMY6" s="44">
        <f>Database!HNR14</f>
        <v>0</v>
      </c>
      <c r="HMZ6" s="44">
        <f>Database!HNS14</f>
        <v>0</v>
      </c>
      <c r="HNA6" s="44">
        <f>Database!HNT14</f>
        <v>0</v>
      </c>
      <c r="HNB6" s="44">
        <f>Database!HNU14</f>
        <v>0</v>
      </c>
      <c r="HNC6" s="44">
        <f>Database!HNV14</f>
        <v>0</v>
      </c>
      <c r="HND6" s="44">
        <f>Database!HNW14</f>
        <v>0</v>
      </c>
      <c r="HNE6" s="44">
        <f>Database!HNX14</f>
        <v>0</v>
      </c>
      <c r="HNF6" s="44">
        <f>Database!HNY14</f>
        <v>0</v>
      </c>
      <c r="HNG6" s="44">
        <f>Database!HNZ14</f>
        <v>0</v>
      </c>
      <c r="HNH6" s="44">
        <f>Database!HOA14</f>
        <v>0</v>
      </c>
      <c r="HNI6" s="44">
        <f>Database!HOB14</f>
        <v>0</v>
      </c>
      <c r="HNJ6" s="44">
        <f>Database!HOC14</f>
        <v>0</v>
      </c>
      <c r="HNK6" s="44">
        <f>Database!HOD14</f>
        <v>0</v>
      </c>
      <c r="HNL6" s="44">
        <f>Database!HOE14</f>
        <v>0</v>
      </c>
      <c r="HNM6" s="44">
        <f>Database!HOF14</f>
        <v>0</v>
      </c>
      <c r="HNN6" s="44">
        <f>Database!HOG14</f>
        <v>0</v>
      </c>
      <c r="HNO6" s="44">
        <f>Database!HOH14</f>
        <v>0</v>
      </c>
      <c r="HNP6" s="44">
        <f>Database!HOI14</f>
        <v>0</v>
      </c>
      <c r="HNQ6" s="44">
        <f>Database!HOJ14</f>
        <v>0</v>
      </c>
      <c r="HNR6" s="44">
        <f>Database!HOK14</f>
        <v>0</v>
      </c>
      <c r="HNS6" s="44">
        <f>Database!HOL14</f>
        <v>0</v>
      </c>
      <c r="HNT6" s="44">
        <f>Database!HOM14</f>
        <v>0</v>
      </c>
      <c r="HNU6" s="44">
        <f>Database!HON14</f>
        <v>0</v>
      </c>
      <c r="HNV6" s="44">
        <f>Database!HOO14</f>
        <v>0</v>
      </c>
      <c r="HNW6" s="44">
        <f>Database!HOP14</f>
        <v>0</v>
      </c>
      <c r="HNX6" s="44">
        <f>Database!HOQ14</f>
        <v>0</v>
      </c>
      <c r="HNY6" s="44">
        <f>Database!HOR14</f>
        <v>0</v>
      </c>
      <c r="HNZ6" s="44">
        <f>Database!HOS14</f>
        <v>0</v>
      </c>
      <c r="HOA6" s="44">
        <f>Database!HOT14</f>
        <v>0</v>
      </c>
      <c r="HOB6" s="44">
        <f>Database!HOU14</f>
        <v>0</v>
      </c>
      <c r="HOC6" s="44">
        <f>Database!HOV14</f>
        <v>0</v>
      </c>
      <c r="HOD6" s="44">
        <f>Database!HOW14</f>
        <v>0</v>
      </c>
      <c r="HOE6" s="44">
        <f>Database!HOX14</f>
        <v>0</v>
      </c>
      <c r="HOF6" s="44">
        <f>Database!HOY14</f>
        <v>0</v>
      </c>
      <c r="HOG6" s="44">
        <f>Database!HOZ14</f>
        <v>0</v>
      </c>
      <c r="HOH6" s="44">
        <f>Database!HPA14</f>
        <v>0</v>
      </c>
      <c r="HOI6" s="44">
        <f>Database!HPB14</f>
        <v>0</v>
      </c>
      <c r="HOJ6" s="44">
        <f>Database!HPC14</f>
        <v>0</v>
      </c>
      <c r="HOK6" s="44">
        <f>Database!HPD14</f>
        <v>0</v>
      </c>
      <c r="HOL6" s="44">
        <f>Database!HPE14</f>
        <v>0</v>
      </c>
      <c r="HOM6" s="44">
        <f>Database!HPF14</f>
        <v>0</v>
      </c>
      <c r="HON6" s="44">
        <f>Database!HPG14</f>
        <v>0</v>
      </c>
      <c r="HOO6" s="44">
        <f>Database!HPH14</f>
        <v>0</v>
      </c>
      <c r="HOP6" s="44">
        <f>Database!HPI14</f>
        <v>0</v>
      </c>
      <c r="HOQ6" s="44">
        <f>Database!HPJ14</f>
        <v>0</v>
      </c>
      <c r="HOR6" s="44">
        <f>Database!HPK14</f>
        <v>0</v>
      </c>
      <c r="HOS6" s="44">
        <f>Database!HPL14</f>
        <v>0</v>
      </c>
      <c r="HOT6" s="44">
        <f>Database!HPM14</f>
        <v>0</v>
      </c>
      <c r="HOU6" s="44">
        <f>Database!HPN14</f>
        <v>0</v>
      </c>
      <c r="HOV6" s="44">
        <f>Database!HPO14</f>
        <v>0</v>
      </c>
      <c r="HOW6" s="44">
        <f>Database!HPP14</f>
        <v>0</v>
      </c>
      <c r="HOX6" s="44">
        <f>Database!HPQ14</f>
        <v>0</v>
      </c>
      <c r="HOY6" s="44">
        <f>Database!HPR14</f>
        <v>0</v>
      </c>
      <c r="HOZ6" s="44">
        <f>Database!HPS14</f>
        <v>0</v>
      </c>
      <c r="HPA6" s="44">
        <f>Database!HPT14</f>
        <v>0</v>
      </c>
      <c r="HPB6" s="44">
        <f>Database!HPU14</f>
        <v>0</v>
      </c>
      <c r="HPC6" s="44">
        <f>Database!HPV14</f>
        <v>0</v>
      </c>
      <c r="HPD6" s="44">
        <f>Database!HPW14</f>
        <v>0</v>
      </c>
      <c r="HPE6" s="44">
        <f>Database!HPX14</f>
        <v>0</v>
      </c>
      <c r="HPF6" s="44">
        <f>Database!HPY14</f>
        <v>0</v>
      </c>
      <c r="HPG6" s="44">
        <f>Database!HPZ14</f>
        <v>0</v>
      </c>
      <c r="HPH6" s="44">
        <f>Database!HQA14</f>
        <v>0</v>
      </c>
      <c r="HPI6" s="44">
        <f>Database!HQB14</f>
        <v>0</v>
      </c>
      <c r="HPJ6" s="44">
        <f>Database!HQC14</f>
        <v>0</v>
      </c>
      <c r="HPK6" s="44">
        <f>Database!HQD14</f>
        <v>0</v>
      </c>
      <c r="HPL6" s="44">
        <f>Database!HQE14</f>
        <v>0</v>
      </c>
      <c r="HPM6" s="44">
        <f>Database!HQF14</f>
        <v>0</v>
      </c>
      <c r="HPN6" s="44">
        <f>Database!HQG14</f>
        <v>0</v>
      </c>
      <c r="HPO6" s="44">
        <f>Database!HQH14</f>
        <v>0</v>
      </c>
      <c r="HPP6" s="44">
        <f>Database!HQI14</f>
        <v>0</v>
      </c>
      <c r="HPQ6" s="44">
        <f>Database!HQJ14</f>
        <v>0</v>
      </c>
      <c r="HPR6" s="44">
        <f>Database!HQK14</f>
        <v>0</v>
      </c>
      <c r="HPS6" s="44">
        <f>Database!HQL14</f>
        <v>0</v>
      </c>
      <c r="HPT6" s="44">
        <f>Database!HQM14</f>
        <v>0</v>
      </c>
      <c r="HPU6" s="44">
        <f>Database!HQN14</f>
        <v>0</v>
      </c>
      <c r="HPV6" s="44">
        <f>Database!HQO14</f>
        <v>0</v>
      </c>
      <c r="HPW6" s="44">
        <f>Database!HQP14</f>
        <v>0</v>
      </c>
      <c r="HPX6" s="44">
        <f>Database!HQQ14</f>
        <v>0</v>
      </c>
      <c r="HPY6" s="44">
        <f>Database!HQR14</f>
        <v>0</v>
      </c>
      <c r="HPZ6" s="44">
        <f>Database!HQS14</f>
        <v>0</v>
      </c>
      <c r="HQA6" s="44">
        <f>Database!HQT14</f>
        <v>0</v>
      </c>
      <c r="HQB6" s="44">
        <f>Database!HQU14</f>
        <v>0</v>
      </c>
      <c r="HQC6" s="44">
        <f>Database!HQV14</f>
        <v>0</v>
      </c>
      <c r="HQD6" s="44">
        <f>Database!HQW14</f>
        <v>0</v>
      </c>
      <c r="HQE6" s="44">
        <f>Database!HQX14</f>
        <v>0</v>
      </c>
      <c r="HQF6" s="44">
        <f>Database!HQY14</f>
        <v>0</v>
      </c>
      <c r="HQG6" s="44">
        <f>Database!HQZ14</f>
        <v>0</v>
      </c>
      <c r="HQH6" s="44">
        <f>Database!HRA14</f>
        <v>0</v>
      </c>
      <c r="HQI6" s="44">
        <f>Database!HRB14</f>
        <v>0</v>
      </c>
      <c r="HQJ6" s="44">
        <f>Database!HRC14</f>
        <v>0</v>
      </c>
      <c r="HQK6" s="44">
        <f>Database!HRD14</f>
        <v>0</v>
      </c>
      <c r="HQL6" s="44">
        <f>Database!HRE14</f>
        <v>0</v>
      </c>
      <c r="HQM6" s="44">
        <f>Database!HRF14</f>
        <v>0</v>
      </c>
      <c r="HQN6" s="44">
        <f>Database!HRG14</f>
        <v>0</v>
      </c>
      <c r="HQO6" s="44">
        <f>Database!HRH14</f>
        <v>0</v>
      </c>
      <c r="HQP6" s="44">
        <f>Database!HRI14</f>
        <v>0</v>
      </c>
      <c r="HQQ6" s="44">
        <f>Database!HRJ14</f>
        <v>0</v>
      </c>
      <c r="HQR6" s="44">
        <f>Database!HRK14</f>
        <v>0</v>
      </c>
      <c r="HQS6" s="44">
        <f>Database!HRL14</f>
        <v>0</v>
      </c>
      <c r="HQT6" s="44">
        <f>Database!HRM14</f>
        <v>0</v>
      </c>
      <c r="HQU6" s="44">
        <f>Database!HRN14</f>
        <v>0</v>
      </c>
      <c r="HQV6" s="44">
        <f>Database!HRO14</f>
        <v>0</v>
      </c>
      <c r="HQW6" s="44">
        <f>Database!HRP14</f>
        <v>0</v>
      </c>
      <c r="HQX6" s="44">
        <f>Database!HRQ14</f>
        <v>0</v>
      </c>
      <c r="HQY6" s="44">
        <f>Database!HRR14</f>
        <v>0</v>
      </c>
      <c r="HQZ6" s="44">
        <f>Database!HRS14</f>
        <v>0</v>
      </c>
      <c r="HRA6" s="44">
        <f>Database!HRT14</f>
        <v>0</v>
      </c>
      <c r="HRB6" s="44">
        <f>Database!HRU14</f>
        <v>0</v>
      </c>
      <c r="HRC6" s="44">
        <f>Database!HRV14</f>
        <v>0</v>
      </c>
      <c r="HRD6" s="44">
        <f>Database!HRW14</f>
        <v>0</v>
      </c>
      <c r="HRE6" s="44">
        <f>Database!HRX14</f>
        <v>0</v>
      </c>
      <c r="HRF6" s="44">
        <f>Database!HRY14</f>
        <v>0</v>
      </c>
      <c r="HRG6" s="44">
        <f>Database!HRZ14</f>
        <v>0</v>
      </c>
      <c r="HRH6" s="44">
        <f>Database!HSA14</f>
        <v>0</v>
      </c>
      <c r="HRI6" s="44">
        <f>Database!HSB14</f>
        <v>0</v>
      </c>
      <c r="HRJ6" s="44">
        <f>Database!HSC14</f>
        <v>0</v>
      </c>
      <c r="HRK6" s="44">
        <f>Database!HSD14</f>
        <v>0</v>
      </c>
      <c r="HRL6" s="44">
        <f>Database!HSE14</f>
        <v>0</v>
      </c>
      <c r="HRM6" s="44">
        <f>Database!HSF14</f>
        <v>0</v>
      </c>
      <c r="HRN6" s="44">
        <f>Database!HSG14</f>
        <v>0</v>
      </c>
      <c r="HRO6" s="44">
        <f>Database!HSH14</f>
        <v>0</v>
      </c>
      <c r="HRP6" s="44">
        <f>Database!HSI14</f>
        <v>0</v>
      </c>
      <c r="HRQ6" s="44">
        <f>Database!HSJ14</f>
        <v>0</v>
      </c>
      <c r="HRR6" s="44">
        <f>Database!HSK14</f>
        <v>0</v>
      </c>
      <c r="HRS6" s="44">
        <f>Database!HSL14</f>
        <v>0</v>
      </c>
      <c r="HRT6" s="44">
        <f>Database!HSM14</f>
        <v>0</v>
      </c>
      <c r="HRU6" s="44">
        <f>Database!HSN14</f>
        <v>0</v>
      </c>
      <c r="HRV6" s="44">
        <f>Database!HSO14</f>
        <v>0</v>
      </c>
      <c r="HRW6" s="44">
        <f>Database!HSP14</f>
        <v>0</v>
      </c>
      <c r="HRX6" s="44">
        <f>Database!HSQ14</f>
        <v>0</v>
      </c>
      <c r="HRY6" s="44">
        <f>Database!HSR14</f>
        <v>0</v>
      </c>
      <c r="HRZ6" s="44">
        <f>Database!HSS14</f>
        <v>0</v>
      </c>
      <c r="HSA6" s="44">
        <f>Database!HST14</f>
        <v>0</v>
      </c>
      <c r="HSB6" s="44">
        <f>Database!HSU14</f>
        <v>0</v>
      </c>
      <c r="HSC6" s="44">
        <f>Database!HSV14</f>
        <v>0</v>
      </c>
      <c r="HSD6" s="44">
        <f>Database!HSW14</f>
        <v>0</v>
      </c>
      <c r="HSE6" s="44">
        <f>Database!HSX14</f>
        <v>0</v>
      </c>
      <c r="HSF6" s="44">
        <f>Database!HSY14</f>
        <v>0</v>
      </c>
      <c r="HSG6" s="44">
        <f>Database!HSZ14</f>
        <v>0</v>
      </c>
      <c r="HSH6" s="44">
        <f>Database!HTA14</f>
        <v>0</v>
      </c>
      <c r="HSI6" s="44">
        <f>Database!HTB14</f>
        <v>0</v>
      </c>
      <c r="HSJ6" s="44">
        <f>Database!HTC14</f>
        <v>0</v>
      </c>
      <c r="HSK6" s="44">
        <f>Database!HTD14</f>
        <v>0</v>
      </c>
      <c r="HSL6" s="44">
        <f>Database!HTE14</f>
        <v>0</v>
      </c>
      <c r="HSM6" s="44">
        <f>Database!HTF14</f>
        <v>0</v>
      </c>
      <c r="HSN6" s="44">
        <f>Database!HTG14</f>
        <v>0</v>
      </c>
      <c r="HSO6" s="44">
        <f>Database!HTH14</f>
        <v>0</v>
      </c>
      <c r="HSP6" s="44">
        <f>Database!HTI14</f>
        <v>0</v>
      </c>
      <c r="HSQ6" s="44">
        <f>Database!HTJ14</f>
        <v>0</v>
      </c>
      <c r="HSR6" s="44">
        <f>Database!HTK14</f>
        <v>0</v>
      </c>
      <c r="HSS6" s="44">
        <f>Database!HTL14</f>
        <v>0</v>
      </c>
      <c r="HST6" s="44">
        <f>Database!HTM14</f>
        <v>0</v>
      </c>
      <c r="HSU6" s="44">
        <f>Database!HTN14</f>
        <v>0</v>
      </c>
      <c r="HSV6" s="44">
        <f>Database!HTO14</f>
        <v>0</v>
      </c>
      <c r="HSW6" s="44">
        <f>Database!HTP14</f>
        <v>0</v>
      </c>
      <c r="HSX6" s="44">
        <f>Database!HTQ14</f>
        <v>0</v>
      </c>
      <c r="HSY6" s="44">
        <f>Database!HTR14</f>
        <v>0</v>
      </c>
      <c r="HSZ6" s="44">
        <f>Database!HTS14</f>
        <v>0</v>
      </c>
      <c r="HTA6" s="44">
        <f>Database!HTT14</f>
        <v>0</v>
      </c>
      <c r="HTB6" s="44">
        <f>Database!HTU14</f>
        <v>0</v>
      </c>
      <c r="HTC6" s="44">
        <f>Database!HTV14</f>
        <v>0</v>
      </c>
      <c r="HTD6" s="44">
        <f>Database!HTW14</f>
        <v>0</v>
      </c>
      <c r="HTE6" s="44">
        <f>Database!HTX14</f>
        <v>0</v>
      </c>
      <c r="HTF6" s="44">
        <f>Database!HTY14</f>
        <v>0</v>
      </c>
      <c r="HTG6" s="44">
        <f>Database!HTZ14</f>
        <v>0</v>
      </c>
      <c r="HTH6" s="44">
        <f>Database!HUA14</f>
        <v>0</v>
      </c>
      <c r="HTI6" s="44">
        <f>Database!HUB14</f>
        <v>0</v>
      </c>
      <c r="HTJ6" s="44">
        <f>Database!HUC14</f>
        <v>0</v>
      </c>
      <c r="HTK6" s="44">
        <f>Database!HUD14</f>
        <v>0</v>
      </c>
      <c r="HTL6" s="44">
        <f>Database!HUE14</f>
        <v>0</v>
      </c>
      <c r="HTM6" s="44">
        <f>Database!HUF14</f>
        <v>0</v>
      </c>
      <c r="HTN6" s="44">
        <f>Database!HUG14</f>
        <v>0</v>
      </c>
      <c r="HTO6" s="44">
        <f>Database!HUH14</f>
        <v>0</v>
      </c>
      <c r="HTP6" s="44">
        <f>Database!HUI14</f>
        <v>0</v>
      </c>
      <c r="HTQ6" s="44">
        <f>Database!HUJ14</f>
        <v>0</v>
      </c>
      <c r="HTR6" s="44">
        <f>Database!HUK14</f>
        <v>0</v>
      </c>
      <c r="HTS6" s="44">
        <f>Database!HUL14</f>
        <v>0</v>
      </c>
      <c r="HTT6" s="44">
        <f>Database!HUM14</f>
        <v>0</v>
      </c>
      <c r="HTU6" s="44">
        <f>Database!HUN14</f>
        <v>0</v>
      </c>
      <c r="HTV6" s="44">
        <f>Database!HUO14</f>
        <v>0</v>
      </c>
      <c r="HTW6" s="44">
        <f>Database!HUP14</f>
        <v>0</v>
      </c>
      <c r="HTX6" s="44">
        <f>Database!HUQ14</f>
        <v>0</v>
      </c>
      <c r="HTY6" s="44">
        <f>Database!HUR14</f>
        <v>0</v>
      </c>
      <c r="HTZ6" s="44">
        <f>Database!HUS14</f>
        <v>0</v>
      </c>
      <c r="HUA6" s="44">
        <f>Database!HUT14</f>
        <v>0</v>
      </c>
      <c r="HUB6" s="44">
        <f>Database!HUU14</f>
        <v>0</v>
      </c>
      <c r="HUC6" s="44">
        <f>Database!HUV14</f>
        <v>0</v>
      </c>
      <c r="HUD6" s="44">
        <f>Database!HUW14</f>
        <v>0</v>
      </c>
      <c r="HUE6" s="44">
        <f>Database!HUX14</f>
        <v>0</v>
      </c>
      <c r="HUF6" s="44">
        <f>Database!HUY14</f>
        <v>0</v>
      </c>
      <c r="HUG6" s="44">
        <f>Database!HUZ14</f>
        <v>0</v>
      </c>
      <c r="HUH6" s="44">
        <f>Database!HVA14</f>
        <v>0</v>
      </c>
      <c r="HUI6" s="44">
        <f>Database!HVB14</f>
        <v>0</v>
      </c>
      <c r="HUJ6" s="44">
        <f>Database!HVC14</f>
        <v>0</v>
      </c>
      <c r="HUK6" s="44">
        <f>Database!HVD14</f>
        <v>0</v>
      </c>
      <c r="HUL6" s="44">
        <f>Database!HVE14</f>
        <v>0</v>
      </c>
      <c r="HUM6" s="44">
        <f>Database!HVF14</f>
        <v>0</v>
      </c>
      <c r="HUN6" s="44">
        <f>Database!HVG14</f>
        <v>0</v>
      </c>
      <c r="HUO6" s="44">
        <f>Database!HVH14</f>
        <v>0</v>
      </c>
      <c r="HUP6" s="44">
        <f>Database!HVI14</f>
        <v>0</v>
      </c>
      <c r="HUQ6" s="44">
        <f>Database!HVJ14</f>
        <v>0</v>
      </c>
      <c r="HUR6" s="44">
        <f>Database!HVK14</f>
        <v>0</v>
      </c>
      <c r="HUS6" s="44">
        <f>Database!HVL14</f>
        <v>0</v>
      </c>
      <c r="HUT6" s="44">
        <f>Database!HVM14</f>
        <v>0</v>
      </c>
      <c r="HUU6" s="44">
        <f>Database!HVN14</f>
        <v>0</v>
      </c>
      <c r="HUV6" s="44">
        <f>Database!HVO14</f>
        <v>0</v>
      </c>
      <c r="HUW6" s="44">
        <f>Database!HVP14</f>
        <v>0</v>
      </c>
      <c r="HUX6" s="44">
        <f>Database!HVQ14</f>
        <v>0</v>
      </c>
      <c r="HUY6" s="44">
        <f>Database!HVR14</f>
        <v>0</v>
      </c>
      <c r="HUZ6" s="44">
        <f>Database!HVS14</f>
        <v>0</v>
      </c>
      <c r="HVA6" s="44">
        <f>Database!HVT14</f>
        <v>0</v>
      </c>
      <c r="HVB6" s="44">
        <f>Database!HVU14</f>
        <v>0</v>
      </c>
      <c r="HVC6" s="44">
        <f>Database!HVV14</f>
        <v>0</v>
      </c>
      <c r="HVD6" s="44">
        <f>Database!HVW14</f>
        <v>0</v>
      </c>
      <c r="HVE6" s="44">
        <f>Database!HVX14</f>
        <v>0</v>
      </c>
      <c r="HVF6" s="44">
        <f>Database!HVY14</f>
        <v>0</v>
      </c>
      <c r="HVG6" s="44">
        <f>Database!HVZ14</f>
        <v>0</v>
      </c>
      <c r="HVH6" s="44">
        <f>Database!HWA14</f>
        <v>0</v>
      </c>
      <c r="HVI6" s="44">
        <f>Database!HWB14</f>
        <v>0</v>
      </c>
      <c r="HVJ6" s="44">
        <f>Database!HWC14</f>
        <v>0</v>
      </c>
      <c r="HVK6" s="44">
        <f>Database!HWD14</f>
        <v>0</v>
      </c>
      <c r="HVL6" s="44">
        <f>Database!HWE14</f>
        <v>0</v>
      </c>
      <c r="HVM6" s="44">
        <f>Database!HWF14</f>
        <v>0</v>
      </c>
      <c r="HVN6" s="44">
        <f>Database!HWG14</f>
        <v>0</v>
      </c>
      <c r="HVO6" s="44">
        <f>Database!HWH14</f>
        <v>0</v>
      </c>
      <c r="HVP6" s="44">
        <f>Database!HWI14</f>
        <v>0</v>
      </c>
      <c r="HVQ6" s="44">
        <f>Database!HWJ14</f>
        <v>0</v>
      </c>
      <c r="HVR6" s="44">
        <f>Database!HWK14</f>
        <v>0</v>
      </c>
      <c r="HVS6" s="44">
        <f>Database!HWL14</f>
        <v>0</v>
      </c>
      <c r="HVT6" s="44">
        <f>Database!HWM14</f>
        <v>0</v>
      </c>
      <c r="HVU6" s="44">
        <f>Database!HWN14</f>
        <v>0</v>
      </c>
      <c r="HVV6" s="44">
        <f>Database!HWO14</f>
        <v>0</v>
      </c>
      <c r="HVW6" s="44">
        <f>Database!HWP14</f>
        <v>0</v>
      </c>
      <c r="HVX6" s="44">
        <f>Database!HWQ14</f>
        <v>0</v>
      </c>
      <c r="HVY6" s="44">
        <f>Database!HWR14</f>
        <v>0</v>
      </c>
      <c r="HVZ6" s="44">
        <f>Database!HWS14</f>
        <v>0</v>
      </c>
      <c r="HWA6" s="44">
        <f>Database!HWT14</f>
        <v>0</v>
      </c>
      <c r="HWB6" s="44">
        <f>Database!HWU14</f>
        <v>0</v>
      </c>
      <c r="HWC6" s="44">
        <f>Database!HWV14</f>
        <v>0</v>
      </c>
      <c r="HWD6" s="44">
        <f>Database!HWW14</f>
        <v>0</v>
      </c>
      <c r="HWE6" s="44">
        <f>Database!HWX14</f>
        <v>0</v>
      </c>
      <c r="HWF6" s="44">
        <f>Database!HWY14</f>
        <v>0</v>
      </c>
      <c r="HWG6" s="44">
        <f>Database!HWZ14</f>
        <v>0</v>
      </c>
      <c r="HWH6" s="44">
        <f>Database!HXA14</f>
        <v>0</v>
      </c>
      <c r="HWI6" s="44">
        <f>Database!HXB14</f>
        <v>0</v>
      </c>
      <c r="HWJ6" s="44">
        <f>Database!HXC14</f>
        <v>0</v>
      </c>
      <c r="HWK6" s="44">
        <f>Database!HXD14</f>
        <v>0</v>
      </c>
      <c r="HWL6" s="44">
        <f>Database!HXE14</f>
        <v>0</v>
      </c>
      <c r="HWM6" s="44">
        <f>Database!HXF14</f>
        <v>0</v>
      </c>
      <c r="HWN6" s="44">
        <f>Database!HXG14</f>
        <v>0</v>
      </c>
      <c r="HWO6" s="44">
        <f>Database!HXH14</f>
        <v>0</v>
      </c>
      <c r="HWP6" s="44">
        <f>Database!HXI14</f>
        <v>0</v>
      </c>
      <c r="HWQ6" s="44">
        <f>Database!HXJ14</f>
        <v>0</v>
      </c>
      <c r="HWR6" s="44">
        <f>Database!HXK14</f>
        <v>0</v>
      </c>
      <c r="HWS6" s="44">
        <f>Database!HXL14</f>
        <v>0</v>
      </c>
      <c r="HWT6" s="44">
        <f>Database!HXM14</f>
        <v>0</v>
      </c>
      <c r="HWU6" s="44">
        <f>Database!HXN14</f>
        <v>0</v>
      </c>
      <c r="HWV6" s="44">
        <f>Database!HXO14</f>
        <v>0</v>
      </c>
      <c r="HWW6" s="44">
        <f>Database!HXP14</f>
        <v>0</v>
      </c>
      <c r="HWX6" s="44">
        <f>Database!HXQ14</f>
        <v>0</v>
      </c>
      <c r="HWY6" s="44">
        <f>Database!HXR14</f>
        <v>0</v>
      </c>
      <c r="HWZ6" s="44">
        <f>Database!HXS14</f>
        <v>0</v>
      </c>
      <c r="HXA6" s="44">
        <f>Database!HXT14</f>
        <v>0</v>
      </c>
      <c r="HXB6" s="44">
        <f>Database!HXU14</f>
        <v>0</v>
      </c>
      <c r="HXC6" s="44">
        <f>Database!HXV14</f>
        <v>0</v>
      </c>
      <c r="HXD6" s="44">
        <f>Database!HXW14</f>
        <v>0</v>
      </c>
      <c r="HXE6" s="44">
        <f>Database!HXX14</f>
        <v>0</v>
      </c>
      <c r="HXF6" s="44">
        <f>Database!HXY14</f>
        <v>0</v>
      </c>
      <c r="HXG6" s="44">
        <f>Database!HXZ14</f>
        <v>0</v>
      </c>
      <c r="HXH6" s="44">
        <f>Database!HYA14</f>
        <v>0</v>
      </c>
      <c r="HXI6" s="44">
        <f>Database!HYB14</f>
        <v>0</v>
      </c>
      <c r="HXJ6" s="44">
        <f>Database!HYC14</f>
        <v>0</v>
      </c>
      <c r="HXK6" s="44">
        <f>Database!HYD14</f>
        <v>0</v>
      </c>
      <c r="HXL6" s="44">
        <f>Database!HYE14</f>
        <v>0</v>
      </c>
      <c r="HXM6" s="44">
        <f>Database!HYF14</f>
        <v>0</v>
      </c>
      <c r="HXN6" s="44">
        <f>Database!HYG14</f>
        <v>0</v>
      </c>
      <c r="HXO6" s="44">
        <f>Database!HYH14</f>
        <v>0</v>
      </c>
      <c r="HXP6" s="44">
        <f>Database!HYI14</f>
        <v>0</v>
      </c>
      <c r="HXQ6" s="44">
        <f>Database!HYJ14</f>
        <v>0</v>
      </c>
      <c r="HXR6" s="44">
        <f>Database!HYK14</f>
        <v>0</v>
      </c>
      <c r="HXS6" s="44">
        <f>Database!HYL14</f>
        <v>0</v>
      </c>
      <c r="HXT6" s="44">
        <f>Database!HYM14</f>
        <v>0</v>
      </c>
      <c r="HXU6" s="44">
        <f>Database!HYN14</f>
        <v>0</v>
      </c>
      <c r="HXV6" s="44">
        <f>Database!HYO14</f>
        <v>0</v>
      </c>
      <c r="HXW6" s="44">
        <f>Database!HYP14</f>
        <v>0</v>
      </c>
      <c r="HXX6" s="44">
        <f>Database!HYQ14</f>
        <v>0</v>
      </c>
      <c r="HXY6" s="44">
        <f>Database!HYR14</f>
        <v>0</v>
      </c>
      <c r="HXZ6" s="44">
        <f>Database!HYS14</f>
        <v>0</v>
      </c>
      <c r="HYA6" s="44">
        <f>Database!HYT14</f>
        <v>0</v>
      </c>
      <c r="HYB6" s="44">
        <f>Database!HYU14</f>
        <v>0</v>
      </c>
      <c r="HYC6" s="44">
        <f>Database!HYV14</f>
        <v>0</v>
      </c>
      <c r="HYD6" s="44">
        <f>Database!HYW14</f>
        <v>0</v>
      </c>
      <c r="HYE6" s="44">
        <f>Database!HYX14</f>
        <v>0</v>
      </c>
      <c r="HYF6" s="44">
        <f>Database!HYY14</f>
        <v>0</v>
      </c>
      <c r="HYG6" s="44">
        <f>Database!HYZ14</f>
        <v>0</v>
      </c>
      <c r="HYH6" s="44">
        <f>Database!HZA14</f>
        <v>0</v>
      </c>
      <c r="HYI6" s="44">
        <f>Database!HZB14</f>
        <v>0</v>
      </c>
      <c r="HYJ6" s="44">
        <f>Database!HZC14</f>
        <v>0</v>
      </c>
      <c r="HYK6" s="44">
        <f>Database!HZD14</f>
        <v>0</v>
      </c>
      <c r="HYL6" s="44">
        <f>Database!HZE14</f>
        <v>0</v>
      </c>
      <c r="HYM6" s="44">
        <f>Database!HZF14</f>
        <v>0</v>
      </c>
      <c r="HYN6" s="44">
        <f>Database!HZG14</f>
        <v>0</v>
      </c>
      <c r="HYO6" s="44">
        <f>Database!HZH14</f>
        <v>0</v>
      </c>
      <c r="HYP6" s="44">
        <f>Database!HZI14</f>
        <v>0</v>
      </c>
      <c r="HYQ6" s="44">
        <f>Database!HZJ14</f>
        <v>0</v>
      </c>
      <c r="HYR6" s="44">
        <f>Database!HZK14</f>
        <v>0</v>
      </c>
      <c r="HYS6" s="44">
        <f>Database!HZL14</f>
        <v>0</v>
      </c>
      <c r="HYT6" s="44">
        <f>Database!HZM14</f>
        <v>0</v>
      </c>
      <c r="HYU6" s="44">
        <f>Database!HZN14</f>
        <v>0</v>
      </c>
      <c r="HYV6" s="44">
        <f>Database!HZO14</f>
        <v>0</v>
      </c>
      <c r="HYW6" s="44">
        <f>Database!HZP14</f>
        <v>0</v>
      </c>
      <c r="HYX6" s="44">
        <f>Database!HZQ14</f>
        <v>0</v>
      </c>
      <c r="HYY6" s="44">
        <f>Database!HZR14</f>
        <v>0</v>
      </c>
      <c r="HYZ6" s="44">
        <f>Database!HZS14</f>
        <v>0</v>
      </c>
      <c r="HZA6" s="44">
        <f>Database!HZT14</f>
        <v>0</v>
      </c>
      <c r="HZB6" s="44">
        <f>Database!HZU14</f>
        <v>0</v>
      </c>
      <c r="HZC6" s="44">
        <f>Database!HZV14</f>
        <v>0</v>
      </c>
      <c r="HZD6" s="44">
        <f>Database!HZW14</f>
        <v>0</v>
      </c>
      <c r="HZE6" s="44">
        <f>Database!HZX14</f>
        <v>0</v>
      </c>
      <c r="HZF6" s="44">
        <f>Database!HZY14</f>
        <v>0</v>
      </c>
      <c r="HZG6" s="44">
        <f>Database!HZZ14</f>
        <v>0</v>
      </c>
      <c r="HZH6" s="44">
        <f>Database!IAA14</f>
        <v>0</v>
      </c>
      <c r="HZI6" s="44">
        <f>Database!IAB14</f>
        <v>0</v>
      </c>
      <c r="HZJ6" s="44">
        <f>Database!IAC14</f>
        <v>0</v>
      </c>
      <c r="HZK6" s="44">
        <f>Database!IAD14</f>
        <v>0</v>
      </c>
      <c r="HZL6" s="44">
        <f>Database!IAE14</f>
        <v>0</v>
      </c>
      <c r="HZM6" s="44">
        <f>Database!IAF14</f>
        <v>0</v>
      </c>
      <c r="HZN6" s="44">
        <f>Database!IAG14</f>
        <v>0</v>
      </c>
      <c r="HZO6" s="44">
        <f>Database!IAH14</f>
        <v>0</v>
      </c>
      <c r="HZP6" s="44">
        <f>Database!IAI14</f>
        <v>0</v>
      </c>
      <c r="HZQ6" s="44">
        <f>Database!IAJ14</f>
        <v>0</v>
      </c>
      <c r="HZR6" s="44">
        <f>Database!IAK14</f>
        <v>0</v>
      </c>
      <c r="HZS6" s="44">
        <f>Database!IAL14</f>
        <v>0</v>
      </c>
      <c r="HZT6" s="44">
        <f>Database!IAM14</f>
        <v>0</v>
      </c>
      <c r="HZU6" s="44">
        <f>Database!IAN14</f>
        <v>0</v>
      </c>
      <c r="HZV6" s="44">
        <f>Database!IAO14</f>
        <v>0</v>
      </c>
      <c r="HZW6" s="44">
        <f>Database!IAP14</f>
        <v>0</v>
      </c>
      <c r="HZX6" s="44">
        <f>Database!IAQ14</f>
        <v>0</v>
      </c>
      <c r="HZY6" s="44">
        <f>Database!IAR14</f>
        <v>0</v>
      </c>
      <c r="HZZ6" s="44">
        <f>Database!IAS14</f>
        <v>0</v>
      </c>
      <c r="IAA6" s="44">
        <f>Database!IAT14</f>
        <v>0</v>
      </c>
      <c r="IAB6" s="44">
        <f>Database!IAU14</f>
        <v>0</v>
      </c>
      <c r="IAC6" s="44">
        <f>Database!IAV14</f>
        <v>0</v>
      </c>
      <c r="IAD6" s="44">
        <f>Database!IAW14</f>
        <v>0</v>
      </c>
      <c r="IAE6" s="44">
        <f>Database!IAX14</f>
        <v>0</v>
      </c>
      <c r="IAF6" s="44">
        <f>Database!IAY14</f>
        <v>0</v>
      </c>
      <c r="IAG6" s="44">
        <f>Database!IAZ14</f>
        <v>0</v>
      </c>
      <c r="IAH6" s="44">
        <f>Database!IBA14</f>
        <v>0</v>
      </c>
      <c r="IAI6" s="44">
        <f>Database!IBB14</f>
        <v>0</v>
      </c>
      <c r="IAJ6" s="44">
        <f>Database!IBC14</f>
        <v>0</v>
      </c>
      <c r="IAK6" s="44">
        <f>Database!IBD14</f>
        <v>0</v>
      </c>
      <c r="IAL6" s="44">
        <f>Database!IBE14</f>
        <v>0</v>
      </c>
      <c r="IAM6" s="44">
        <f>Database!IBF14</f>
        <v>0</v>
      </c>
      <c r="IAN6" s="44">
        <f>Database!IBG14</f>
        <v>0</v>
      </c>
      <c r="IAO6" s="44">
        <f>Database!IBH14</f>
        <v>0</v>
      </c>
      <c r="IAP6" s="44">
        <f>Database!IBI14</f>
        <v>0</v>
      </c>
      <c r="IAQ6" s="44">
        <f>Database!IBJ14</f>
        <v>0</v>
      </c>
      <c r="IAR6" s="44">
        <f>Database!IBK14</f>
        <v>0</v>
      </c>
      <c r="IAS6" s="44">
        <f>Database!IBL14</f>
        <v>0</v>
      </c>
      <c r="IAT6" s="44">
        <f>Database!IBM14</f>
        <v>0</v>
      </c>
      <c r="IAU6" s="44">
        <f>Database!IBN14</f>
        <v>0</v>
      </c>
      <c r="IAV6" s="44">
        <f>Database!IBO14</f>
        <v>0</v>
      </c>
      <c r="IAW6" s="44">
        <f>Database!IBP14</f>
        <v>0</v>
      </c>
      <c r="IAX6" s="44">
        <f>Database!IBQ14</f>
        <v>0</v>
      </c>
      <c r="IAY6" s="44">
        <f>Database!IBR14</f>
        <v>0</v>
      </c>
      <c r="IAZ6" s="44">
        <f>Database!IBS14</f>
        <v>0</v>
      </c>
      <c r="IBA6" s="44">
        <f>Database!IBT14</f>
        <v>0</v>
      </c>
      <c r="IBB6" s="44">
        <f>Database!IBU14</f>
        <v>0</v>
      </c>
      <c r="IBC6" s="44">
        <f>Database!IBV14</f>
        <v>0</v>
      </c>
      <c r="IBD6" s="44">
        <f>Database!IBW14</f>
        <v>0</v>
      </c>
      <c r="IBE6" s="44">
        <f>Database!IBX14</f>
        <v>0</v>
      </c>
      <c r="IBF6" s="44">
        <f>Database!IBY14</f>
        <v>0</v>
      </c>
      <c r="IBG6" s="44">
        <f>Database!IBZ14</f>
        <v>0</v>
      </c>
      <c r="IBH6" s="44">
        <f>Database!ICA14</f>
        <v>0</v>
      </c>
      <c r="IBI6" s="44">
        <f>Database!ICB14</f>
        <v>0</v>
      </c>
      <c r="IBJ6" s="44">
        <f>Database!ICC14</f>
        <v>0</v>
      </c>
      <c r="IBK6" s="44">
        <f>Database!ICD14</f>
        <v>0</v>
      </c>
      <c r="IBL6" s="44">
        <f>Database!ICE14</f>
        <v>0</v>
      </c>
      <c r="IBM6" s="44">
        <f>Database!ICF14</f>
        <v>0</v>
      </c>
      <c r="IBN6" s="44">
        <f>Database!ICG14</f>
        <v>0</v>
      </c>
      <c r="IBO6" s="44">
        <f>Database!ICH14</f>
        <v>0</v>
      </c>
      <c r="IBP6" s="44">
        <f>Database!ICI14</f>
        <v>0</v>
      </c>
      <c r="IBQ6" s="44">
        <f>Database!ICJ14</f>
        <v>0</v>
      </c>
      <c r="IBR6" s="44">
        <f>Database!ICK14</f>
        <v>0</v>
      </c>
      <c r="IBS6" s="44">
        <f>Database!ICL14</f>
        <v>0</v>
      </c>
      <c r="IBT6" s="44">
        <f>Database!ICM14</f>
        <v>0</v>
      </c>
      <c r="IBU6" s="44">
        <f>Database!ICN14</f>
        <v>0</v>
      </c>
      <c r="IBV6" s="44">
        <f>Database!ICO14</f>
        <v>0</v>
      </c>
      <c r="IBW6" s="44">
        <f>Database!ICP14</f>
        <v>0</v>
      </c>
      <c r="IBX6" s="44">
        <f>Database!ICQ14</f>
        <v>0</v>
      </c>
      <c r="IBY6" s="44">
        <f>Database!ICR14</f>
        <v>0</v>
      </c>
      <c r="IBZ6" s="44">
        <f>Database!ICS14</f>
        <v>0</v>
      </c>
      <c r="ICA6" s="44">
        <f>Database!ICT14</f>
        <v>0</v>
      </c>
      <c r="ICB6" s="44">
        <f>Database!ICU14</f>
        <v>0</v>
      </c>
      <c r="ICC6" s="44">
        <f>Database!ICV14</f>
        <v>0</v>
      </c>
      <c r="ICD6" s="44">
        <f>Database!ICW14</f>
        <v>0</v>
      </c>
      <c r="ICE6" s="44">
        <f>Database!ICX14</f>
        <v>0</v>
      </c>
      <c r="ICF6" s="44">
        <f>Database!ICY14</f>
        <v>0</v>
      </c>
      <c r="ICG6" s="44">
        <f>Database!ICZ14</f>
        <v>0</v>
      </c>
      <c r="ICH6" s="44">
        <f>Database!IDA14</f>
        <v>0</v>
      </c>
      <c r="ICI6" s="44">
        <f>Database!IDB14</f>
        <v>0</v>
      </c>
      <c r="ICJ6" s="44">
        <f>Database!IDC14</f>
        <v>0</v>
      </c>
      <c r="ICK6" s="44">
        <f>Database!IDD14</f>
        <v>0</v>
      </c>
      <c r="ICL6" s="44">
        <f>Database!IDE14</f>
        <v>0</v>
      </c>
      <c r="ICM6" s="44">
        <f>Database!IDF14</f>
        <v>0</v>
      </c>
      <c r="ICN6" s="44">
        <f>Database!IDG14</f>
        <v>0</v>
      </c>
      <c r="ICO6" s="44">
        <f>Database!IDH14</f>
        <v>0</v>
      </c>
      <c r="ICP6" s="44">
        <f>Database!IDI14</f>
        <v>0</v>
      </c>
      <c r="ICQ6" s="44">
        <f>Database!IDJ14</f>
        <v>0</v>
      </c>
      <c r="ICR6" s="44">
        <f>Database!IDK14</f>
        <v>0</v>
      </c>
      <c r="ICS6" s="44">
        <f>Database!IDL14</f>
        <v>0</v>
      </c>
      <c r="ICT6" s="44">
        <f>Database!IDM14</f>
        <v>0</v>
      </c>
      <c r="ICU6" s="44">
        <f>Database!IDN14</f>
        <v>0</v>
      </c>
      <c r="ICV6" s="44">
        <f>Database!IDO14</f>
        <v>0</v>
      </c>
      <c r="ICW6" s="44">
        <f>Database!IDP14</f>
        <v>0</v>
      </c>
      <c r="ICX6" s="44">
        <f>Database!IDQ14</f>
        <v>0</v>
      </c>
      <c r="ICY6" s="44">
        <f>Database!IDR14</f>
        <v>0</v>
      </c>
      <c r="ICZ6" s="44">
        <f>Database!IDS14</f>
        <v>0</v>
      </c>
      <c r="IDA6" s="44">
        <f>Database!IDT14</f>
        <v>0</v>
      </c>
      <c r="IDB6" s="44">
        <f>Database!IDU14</f>
        <v>0</v>
      </c>
      <c r="IDC6" s="44">
        <f>Database!IDV14</f>
        <v>0</v>
      </c>
      <c r="IDD6" s="44">
        <f>Database!IDW14</f>
        <v>0</v>
      </c>
      <c r="IDE6" s="44">
        <f>Database!IDX14</f>
        <v>0</v>
      </c>
      <c r="IDF6" s="44">
        <f>Database!IDY14</f>
        <v>0</v>
      </c>
      <c r="IDG6" s="44">
        <f>Database!IDZ14</f>
        <v>0</v>
      </c>
      <c r="IDH6" s="44">
        <f>Database!IEA14</f>
        <v>0</v>
      </c>
      <c r="IDI6" s="44">
        <f>Database!IEB14</f>
        <v>0</v>
      </c>
      <c r="IDJ6" s="44">
        <f>Database!IEC14</f>
        <v>0</v>
      </c>
      <c r="IDK6" s="44">
        <f>Database!IED14</f>
        <v>0</v>
      </c>
      <c r="IDL6" s="44">
        <f>Database!IEE14</f>
        <v>0</v>
      </c>
      <c r="IDM6" s="44">
        <f>Database!IEF14</f>
        <v>0</v>
      </c>
      <c r="IDN6" s="44">
        <f>Database!IEG14</f>
        <v>0</v>
      </c>
      <c r="IDO6" s="44">
        <f>Database!IEH14</f>
        <v>0</v>
      </c>
      <c r="IDP6" s="44">
        <f>Database!IEI14</f>
        <v>0</v>
      </c>
      <c r="IDQ6" s="44">
        <f>Database!IEJ14</f>
        <v>0</v>
      </c>
      <c r="IDR6" s="44">
        <f>Database!IEK14</f>
        <v>0</v>
      </c>
      <c r="IDS6" s="44">
        <f>Database!IEL14</f>
        <v>0</v>
      </c>
      <c r="IDT6" s="44">
        <f>Database!IEM14</f>
        <v>0</v>
      </c>
      <c r="IDU6" s="44">
        <f>Database!IEN14</f>
        <v>0</v>
      </c>
      <c r="IDV6" s="44">
        <f>Database!IEO14</f>
        <v>0</v>
      </c>
      <c r="IDW6" s="44">
        <f>Database!IEP14</f>
        <v>0</v>
      </c>
      <c r="IDX6" s="44">
        <f>Database!IEQ14</f>
        <v>0</v>
      </c>
      <c r="IDY6" s="44">
        <f>Database!IER14</f>
        <v>0</v>
      </c>
      <c r="IDZ6" s="44">
        <f>Database!IES14</f>
        <v>0</v>
      </c>
      <c r="IEA6" s="44">
        <f>Database!IET14</f>
        <v>0</v>
      </c>
      <c r="IEB6" s="44">
        <f>Database!IEU14</f>
        <v>0</v>
      </c>
      <c r="IEC6" s="44">
        <f>Database!IEV14</f>
        <v>0</v>
      </c>
      <c r="IED6" s="44">
        <f>Database!IEW14</f>
        <v>0</v>
      </c>
      <c r="IEE6" s="44">
        <f>Database!IEX14</f>
        <v>0</v>
      </c>
      <c r="IEF6" s="44">
        <f>Database!IEY14</f>
        <v>0</v>
      </c>
      <c r="IEG6" s="44">
        <f>Database!IEZ14</f>
        <v>0</v>
      </c>
      <c r="IEH6" s="44">
        <f>Database!IFA14</f>
        <v>0</v>
      </c>
      <c r="IEI6" s="44">
        <f>Database!IFB14</f>
        <v>0</v>
      </c>
      <c r="IEJ6" s="44">
        <f>Database!IFC14</f>
        <v>0</v>
      </c>
      <c r="IEK6" s="44">
        <f>Database!IFD14</f>
        <v>0</v>
      </c>
      <c r="IEL6" s="44">
        <f>Database!IFE14</f>
        <v>0</v>
      </c>
      <c r="IEM6" s="44">
        <f>Database!IFF14</f>
        <v>0</v>
      </c>
      <c r="IEN6" s="44">
        <f>Database!IFG14</f>
        <v>0</v>
      </c>
      <c r="IEO6" s="44">
        <f>Database!IFH14</f>
        <v>0</v>
      </c>
      <c r="IEP6" s="44">
        <f>Database!IFI14</f>
        <v>0</v>
      </c>
      <c r="IEQ6" s="44">
        <f>Database!IFJ14</f>
        <v>0</v>
      </c>
      <c r="IER6" s="44">
        <f>Database!IFK14</f>
        <v>0</v>
      </c>
      <c r="IES6" s="44">
        <f>Database!IFL14</f>
        <v>0</v>
      </c>
      <c r="IET6" s="44">
        <f>Database!IFM14</f>
        <v>0</v>
      </c>
      <c r="IEU6" s="44">
        <f>Database!IFN14</f>
        <v>0</v>
      </c>
      <c r="IEV6" s="44">
        <f>Database!IFO14</f>
        <v>0</v>
      </c>
      <c r="IEW6" s="44">
        <f>Database!IFP14</f>
        <v>0</v>
      </c>
      <c r="IEX6" s="44">
        <f>Database!IFQ14</f>
        <v>0</v>
      </c>
      <c r="IEY6" s="44">
        <f>Database!IFR14</f>
        <v>0</v>
      </c>
      <c r="IEZ6" s="44">
        <f>Database!IFS14</f>
        <v>0</v>
      </c>
      <c r="IFA6" s="44">
        <f>Database!IFT14</f>
        <v>0</v>
      </c>
      <c r="IFB6" s="44">
        <f>Database!IFU14</f>
        <v>0</v>
      </c>
      <c r="IFC6" s="44">
        <f>Database!IFV14</f>
        <v>0</v>
      </c>
      <c r="IFD6" s="44">
        <f>Database!IFW14</f>
        <v>0</v>
      </c>
      <c r="IFE6" s="44">
        <f>Database!IFX14</f>
        <v>0</v>
      </c>
      <c r="IFF6" s="44">
        <f>Database!IFY14</f>
        <v>0</v>
      </c>
      <c r="IFG6" s="44">
        <f>Database!IFZ14</f>
        <v>0</v>
      </c>
      <c r="IFH6" s="44">
        <f>Database!IGA14</f>
        <v>0</v>
      </c>
      <c r="IFI6" s="44">
        <f>Database!IGB14</f>
        <v>0</v>
      </c>
      <c r="IFJ6" s="44">
        <f>Database!IGC14</f>
        <v>0</v>
      </c>
      <c r="IFK6" s="44">
        <f>Database!IGD14</f>
        <v>0</v>
      </c>
      <c r="IFL6" s="44">
        <f>Database!IGE14</f>
        <v>0</v>
      </c>
      <c r="IFM6" s="44">
        <f>Database!IGF14</f>
        <v>0</v>
      </c>
      <c r="IFN6" s="44">
        <f>Database!IGG14</f>
        <v>0</v>
      </c>
      <c r="IFO6" s="44">
        <f>Database!IGH14</f>
        <v>0</v>
      </c>
      <c r="IFP6" s="44">
        <f>Database!IGI14</f>
        <v>0</v>
      </c>
      <c r="IFQ6" s="44">
        <f>Database!IGJ14</f>
        <v>0</v>
      </c>
      <c r="IFR6" s="44">
        <f>Database!IGK14</f>
        <v>0</v>
      </c>
      <c r="IFS6" s="44">
        <f>Database!IGL14</f>
        <v>0</v>
      </c>
      <c r="IFT6" s="44">
        <f>Database!IGM14</f>
        <v>0</v>
      </c>
      <c r="IFU6" s="44">
        <f>Database!IGN14</f>
        <v>0</v>
      </c>
      <c r="IFV6" s="44">
        <f>Database!IGO14</f>
        <v>0</v>
      </c>
      <c r="IFW6" s="44">
        <f>Database!IGP14</f>
        <v>0</v>
      </c>
      <c r="IFX6" s="44">
        <f>Database!IGQ14</f>
        <v>0</v>
      </c>
      <c r="IFY6" s="44">
        <f>Database!IGR14</f>
        <v>0</v>
      </c>
      <c r="IFZ6" s="44">
        <f>Database!IGS14</f>
        <v>0</v>
      </c>
      <c r="IGA6" s="44">
        <f>Database!IGT14</f>
        <v>0</v>
      </c>
      <c r="IGB6" s="44">
        <f>Database!IGU14</f>
        <v>0</v>
      </c>
      <c r="IGC6" s="44">
        <f>Database!IGV14</f>
        <v>0</v>
      </c>
      <c r="IGD6" s="44">
        <f>Database!IGW14</f>
        <v>0</v>
      </c>
      <c r="IGE6" s="44">
        <f>Database!IGX14</f>
        <v>0</v>
      </c>
      <c r="IGF6" s="44">
        <f>Database!IGY14</f>
        <v>0</v>
      </c>
      <c r="IGG6" s="44">
        <f>Database!IGZ14</f>
        <v>0</v>
      </c>
      <c r="IGH6" s="44">
        <f>Database!IHA14</f>
        <v>0</v>
      </c>
      <c r="IGI6" s="44">
        <f>Database!IHB14</f>
        <v>0</v>
      </c>
      <c r="IGJ6" s="44">
        <f>Database!IHC14</f>
        <v>0</v>
      </c>
      <c r="IGK6" s="44">
        <f>Database!IHD14</f>
        <v>0</v>
      </c>
      <c r="IGL6" s="44">
        <f>Database!IHE14</f>
        <v>0</v>
      </c>
      <c r="IGM6" s="44">
        <f>Database!IHF14</f>
        <v>0</v>
      </c>
      <c r="IGN6" s="44">
        <f>Database!IHG14</f>
        <v>0</v>
      </c>
      <c r="IGO6" s="44">
        <f>Database!IHH14</f>
        <v>0</v>
      </c>
      <c r="IGP6" s="44">
        <f>Database!IHI14</f>
        <v>0</v>
      </c>
      <c r="IGQ6" s="44">
        <f>Database!IHJ14</f>
        <v>0</v>
      </c>
      <c r="IGR6" s="44">
        <f>Database!IHK14</f>
        <v>0</v>
      </c>
      <c r="IGS6" s="44">
        <f>Database!IHL14</f>
        <v>0</v>
      </c>
      <c r="IGT6" s="44">
        <f>Database!IHM14</f>
        <v>0</v>
      </c>
      <c r="IGU6" s="44">
        <f>Database!IHN14</f>
        <v>0</v>
      </c>
      <c r="IGV6" s="44">
        <f>Database!IHO14</f>
        <v>0</v>
      </c>
      <c r="IGW6" s="44">
        <f>Database!IHP14</f>
        <v>0</v>
      </c>
      <c r="IGX6" s="44">
        <f>Database!IHQ14</f>
        <v>0</v>
      </c>
      <c r="IGY6" s="44">
        <f>Database!IHR14</f>
        <v>0</v>
      </c>
      <c r="IGZ6" s="44">
        <f>Database!IHS14</f>
        <v>0</v>
      </c>
      <c r="IHA6" s="44">
        <f>Database!IHT14</f>
        <v>0</v>
      </c>
      <c r="IHB6" s="44">
        <f>Database!IHU14</f>
        <v>0</v>
      </c>
      <c r="IHC6" s="44">
        <f>Database!IHV14</f>
        <v>0</v>
      </c>
      <c r="IHD6" s="44">
        <f>Database!IHW14</f>
        <v>0</v>
      </c>
      <c r="IHE6" s="44">
        <f>Database!IHX14</f>
        <v>0</v>
      </c>
      <c r="IHF6" s="44">
        <f>Database!IHY14</f>
        <v>0</v>
      </c>
      <c r="IHG6" s="44">
        <f>Database!IHZ14</f>
        <v>0</v>
      </c>
      <c r="IHH6" s="44">
        <f>Database!IIA14</f>
        <v>0</v>
      </c>
      <c r="IHI6" s="44">
        <f>Database!IIB14</f>
        <v>0</v>
      </c>
      <c r="IHJ6" s="44">
        <f>Database!IIC14</f>
        <v>0</v>
      </c>
      <c r="IHK6" s="44">
        <f>Database!IID14</f>
        <v>0</v>
      </c>
      <c r="IHL6" s="44">
        <f>Database!IIE14</f>
        <v>0</v>
      </c>
      <c r="IHM6" s="44">
        <f>Database!IIF14</f>
        <v>0</v>
      </c>
      <c r="IHN6" s="44">
        <f>Database!IIG14</f>
        <v>0</v>
      </c>
      <c r="IHO6" s="44">
        <f>Database!IIH14</f>
        <v>0</v>
      </c>
      <c r="IHP6" s="44">
        <f>Database!III14</f>
        <v>0</v>
      </c>
      <c r="IHQ6" s="44">
        <f>Database!IIJ14</f>
        <v>0</v>
      </c>
      <c r="IHR6" s="44">
        <f>Database!IIK14</f>
        <v>0</v>
      </c>
      <c r="IHS6" s="44">
        <f>Database!IIL14</f>
        <v>0</v>
      </c>
      <c r="IHT6" s="44">
        <f>Database!IIM14</f>
        <v>0</v>
      </c>
      <c r="IHU6" s="44">
        <f>Database!IIN14</f>
        <v>0</v>
      </c>
      <c r="IHV6" s="44">
        <f>Database!IIO14</f>
        <v>0</v>
      </c>
      <c r="IHW6" s="44">
        <f>Database!IIP14</f>
        <v>0</v>
      </c>
      <c r="IHX6" s="44">
        <f>Database!IIQ14</f>
        <v>0</v>
      </c>
      <c r="IHY6" s="44">
        <f>Database!IIR14</f>
        <v>0</v>
      </c>
      <c r="IHZ6" s="44">
        <f>Database!IIS14</f>
        <v>0</v>
      </c>
      <c r="IIA6" s="44">
        <f>Database!IIT14</f>
        <v>0</v>
      </c>
      <c r="IIB6" s="44">
        <f>Database!IIU14</f>
        <v>0</v>
      </c>
      <c r="IIC6" s="44">
        <f>Database!IIV14</f>
        <v>0</v>
      </c>
      <c r="IID6" s="44">
        <f>Database!IIW14</f>
        <v>0</v>
      </c>
      <c r="IIE6" s="44">
        <f>Database!IIX14</f>
        <v>0</v>
      </c>
      <c r="IIF6" s="44">
        <f>Database!IIY14</f>
        <v>0</v>
      </c>
      <c r="IIG6" s="44">
        <f>Database!IIZ14</f>
        <v>0</v>
      </c>
      <c r="IIH6" s="44">
        <f>Database!IJA14</f>
        <v>0</v>
      </c>
      <c r="III6" s="44">
        <f>Database!IJB14</f>
        <v>0</v>
      </c>
      <c r="IIJ6" s="44">
        <f>Database!IJC14</f>
        <v>0</v>
      </c>
      <c r="IIK6" s="44">
        <f>Database!IJD14</f>
        <v>0</v>
      </c>
      <c r="IIL6" s="44">
        <f>Database!IJE14</f>
        <v>0</v>
      </c>
      <c r="IIM6" s="44">
        <f>Database!IJF14</f>
        <v>0</v>
      </c>
      <c r="IIN6" s="44">
        <f>Database!IJG14</f>
        <v>0</v>
      </c>
      <c r="IIO6" s="44">
        <f>Database!IJH14</f>
        <v>0</v>
      </c>
      <c r="IIP6" s="44">
        <f>Database!IJI14</f>
        <v>0</v>
      </c>
      <c r="IIQ6" s="44">
        <f>Database!IJJ14</f>
        <v>0</v>
      </c>
      <c r="IIR6" s="44">
        <f>Database!IJK14</f>
        <v>0</v>
      </c>
      <c r="IIS6" s="44">
        <f>Database!IJL14</f>
        <v>0</v>
      </c>
      <c r="IIT6" s="44">
        <f>Database!IJM14</f>
        <v>0</v>
      </c>
      <c r="IIU6" s="44">
        <f>Database!IJN14</f>
        <v>0</v>
      </c>
      <c r="IIV6" s="44">
        <f>Database!IJO14</f>
        <v>0</v>
      </c>
      <c r="IIW6" s="44">
        <f>Database!IJP14</f>
        <v>0</v>
      </c>
      <c r="IIX6" s="44">
        <f>Database!IJQ14</f>
        <v>0</v>
      </c>
      <c r="IIY6" s="44">
        <f>Database!IJR14</f>
        <v>0</v>
      </c>
      <c r="IIZ6" s="44">
        <f>Database!IJS14</f>
        <v>0</v>
      </c>
      <c r="IJA6" s="44">
        <f>Database!IJT14</f>
        <v>0</v>
      </c>
      <c r="IJB6" s="44">
        <f>Database!IJU14</f>
        <v>0</v>
      </c>
      <c r="IJC6" s="44">
        <f>Database!IJV14</f>
        <v>0</v>
      </c>
      <c r="IJD6" s="44">
        <f>Database!IJW14</f>
        <v>0</v>
      </c>
      <c r="IJE6" s="44">
        <f>Database!IJX14</f>
        <v>0</v>
      </c>
      <c r="IJF6" s="44">
        <f>Database!IJY14</f>
        <v>0</v>
      </c>
      <c r="IJG6" s="44">
        <f>Database!IJZ14</f>
        <v>0</v>
      </c>
      <c r="IJH6" s="44">
        <f>Database!IKA14</f>
        <v>0</v>
      </c>
      <c r="IJI6" s="44">
        <f>Database!IKB14</f>
        <v>0</v>
      </c>
      <c r="IJJ6" s="44">
        <f>Database!IKC14</f>
        <v>0</v>
      </c>
      <c r="IJK6" s="44">
        <f>Database!IKD14</f>
        <v>0</v>
      </c>
      <c r="IJL6" s="44">
        <f>Database!IKE14</f>
        <v>0</v>
      </c>
      <c r="IJM6" s="44">
        <f>Database!IKF14</f>
        <v>0</v>
      </c>
      <c r="IJN6" s="44">
        <f>Database!IKG14</f>
        <v>0</v>
      </c>
      <c r="IJO6" s="44">
        <f>Database!IKH14</f>
        <v>0</v>
      </c>
      <c r="IJP6" s="44">
        <f>Database!IKI14</f>
        <v>0</v>
      </c>
      <c r="IJQ6" s="44">
        <f>Database!IKJ14</f>
        <v>0</v>
      </c>
      <c r="IJR6" s="44">
        <f>Database!IKK14</f>
        <v>0</v>
      </c>
      <c r="IJS6" s="44">
        <f>Database!IKL14</f>
        <v>0</v>
      </c>
      <c r="IJT6" s="44">
        <f>Database!IKM14</f>
        <v>0</v>
      </c>
      <c r="IJU6" s="44">
        <f>Database!IKN14</f>
        <v>0</v>
      </c>
      <c r="IJV6" s="44">
        <f>Database!IKO14</f>
        <v>0</v>
      </c>
      <c r="IJW6" s="44">
        <f>Database!IKP14</f>
        <v>0</v>
      </c>
      <c r="IJX6" s="44">
        <f>Database!IKQ14</f>
        <v>0</v>
      </c>
      <c r="IJY6" s="44">
        <f>Database!IKR14</f>
        <v>0</v>
      </c>
      <c r="IJZ6" s="44">
        <f>Database!IKS14</f>
        <v>0</v>
      </c>
      <c r="IKA6" s="44">
        <f>Database!IKT14</f>
        <v>0</v>
      </c>
      <c r="IKB6" s="44">
        <f>Database!IKU14</f>
        <v>0</v>
      </c>
      <c r="IKC6" s="44">
        <f>Database!IKV14</f>
        <v>0</v>
      </c>
      <c r="IKD6" s="44">
        <f>Database!IKW14</f>
        <v>0</v>
      </c>
      <c r="IKE6" s="44">
        <f>Database!IKX14</f>
        <v>0</v>
      </c>
      <c r="IKF6" s="44">
        <f>Database!IKY14</f>
        <v>0</v>
      </c>
      <c r="IKG6" s="44">
        <f>Database!IKZ14</f>
        <v>0</v>
      </c>
      <c r="IKH6" s="44">
        <f>Database!ILA14</f>
        <v>0</v>
      </c>
      <c r="IKI6" s="44">
        <f>Database!ILB14</f>
        <v>0</v>
      </c>
      <c r="IKJ6" s="44">
        <f>Database!ILC14</f>
        <v>0</v>
      </c>
      <c r="IKK6" s="44">
        <f>Database!ILD14</f>
        <v>0</v>
      </c>
      <c r="IKL6" s="44">
        <f>Database!ILE14</f>
        <v>0</v>
      </c>
      <c r="IKM6" s="44">
        <f>Database!ILF14</f>
        <v>0</v>
      </c>
      <c r="IKN6" s="44">
        <f>Database!ILG14</f>
        <v>0</v>
      </c>
      <c r="IKO6" s="44">
        <f>Database!ILH14</f>
        <v>0</v>
      </c>
      <c r="IKP6" s="44">
        <f>Database!ILI14</f>
        <v>0</v>
      </c>
      <c r="IKQ6" s="44">
        <f>Database!ILJ14</f>
        <v>0</v>
      </c>
      <c r="IKR6" s="44">
        <f>Database!ILK14</f>
        <v>0</v>
      </c>
      <c r="IKS6" s="44">
        <f>Database!ILL14</f>
        <v>0</v>
      </c>
      <c r="IKT6" s="44">
        <f>Database!ILM14</f>
        <v>0</v>
      </c>
      <c r="IKU6" s="44">
        <f>Database!ILN14</f>
        <v>0</v>
      </c>
      <c r="IKV6" s="44">
        <f>Database!ILO14</f>
        <v>0</v>
      </c>
      <c r="IKW6" s="44">
        <f>Database!ILP14</f>
        <v>0</v>
      </c>
      <c r="IKX6" s="44">
        <f>Database!ILQ14</f>
        <v>0</v>
      </c>
      <c r="IKY6" s="44">
        <f>Database!ILR14</f>
        <v>0</v>
      </c>
      <c r="IKZ6" s="44">
        <f>Database!ILS14</f>
        <v>0</v>
      </c>
      <c r="ILA6" s="44">
        <f>Database!ILT14</f>
        <v>0</v>
      </c>
      <c r="ILB6" s="44">
        <f>Database!ILU14</f>
        <v>0</v>
      </c>
      <c r="ILC6" s="44">
        <f>Database!ILV14</f>
        <v>0</v>
      </c>
      <c r="ILD6" s="44">
        <f>Database!ILW14</f>
        <v>0</v>
      </c>
      <c r="ILE6" s="44">
        <f>Database!ILX14</f>
        <v>0</v>
      </c>
      <c r="ILF6" s="44">
        <f>Database!ILY14</f>
        <v>0</v>
      </c>
      <c r="ILG6" s="44">
        <f>Database!ILZ14</f>
        <v>0</v>
      </c>
      <c r="ILH6" s="44">
        <f>Database!IMA14</f>
        <v>0</v>
      </c>
      <c r="ILI6" s="44">
        <f>Database!IMB14</f>
        <v>0</v>
      </c>
      <c r="ILJ6" s="44">
        <f>Database!IMC14</f>
        <v>0</v>
      </c>
      <c r="ILK6" s="44">
        <f>Database!IMD14</f>
        <v>0</v>
      </c>
      <c r="ILL6" s="44">
        <f>Database!IME14</f>
        <v>0</v>
      </c>
      <c r="ILM6" s="44">
        <f>Database!IMF14</f>
        <v>0</v>
      </c>
      <c r="ILN6" s="44">
        <f>Database!IMG14</f>
        <v>0</v>
      </c>
      <c r="ILO6" s="44">
        <f>Database!IMH14</f>
        <v>0</v>
      </c>
      <c r="ILP6" s="44">
        <f>Database!IMI14</f>
        <v>0</v>
      </c>
      <c r="ILQ6" s="44">
        <f>Database!IMJ14</f>
        <v>0</v>
      </c>
      <c r="ILR6" s="44">
        <f>Database!IMK14</f>
        <v>0</v>
      </c>
      <c r="ILS6" s="44">
        <f>Database!IML14</f>
        <v>0</v>
      </c>
      <c r="ILT6" s="44">
        <f>Database!IMM14</f>
        <v>0</v>
      </c>
      <c r="ILU6" s="44">
        <f>Database!IMN14</f>
        <v>0</v>
      </c>
      <c r="ILV6" s="44">
        <f>Database!IMO14</f>
        <v>0</v>
      </c>
      <c r="ILW6" s="44">
        <f>Database!IMP14</f>
        <v>0</v>
      </c>
      <c r="ILX6" s="44">
        <f>Database!IMQ14</f>
        <v>0</v>
      </c>
      <c r="ILY6" s="44">
        <f>Database!IMR14</f>
        <v>0</v>
      </c>
      <c r="ILZ6" s="44">
        <f>Database!IMS14</f>
        <v>0</v>
      </c>
      <c r="IMA6" s="44">
        <f>Database!IMT14</f>
        <v>0</v>
      </c>
      <c r="IMB6" s="44">
        <f>Database!IMU14</f>
        <v>0</v>
      </c>
      <c r="IMC6" s="44">
        <f>Database!IMV14</f>
        <v>0</v>
      </c>
      <c r="IMD6" s="44">
        <f>Database!IMW14</f>
        <v>0</v>
      </c>
      <c r="IME6" s="44">
        <f>Database!IMX14</f>
        <v>0</v>
      </c>
      <c r="IMF6" s="44">
        <f>Database!IMY14</f>
        <v>0</v>
      </c>
      <c r="IMG6" s="44">
        <f>Database!IMZ14</f>
        <v>0</v>
      </c>
      <c r="IMH6" s="44">
        <f>Database!INA14</f>
        <v>0</v>
      </c>
      <c r="IMI6" s="44">
        <f>Database!INB14</f>
        <v>0</v>
      </c>
      <c r="IMJ6" s="44">
        <f>Database!INC14</f>
        <v>0</v>
      </c>
      <c r="IMK6" s="44">
        <f>Database!IND14</f>
        <v>0</v>
      </c>
      <c r="IML6" s="44">
        <f>Database!INE14</f>
        <v>0</v>
      </c>
      <c r="IMM6" s="44">
        <f>Database!INF14</f>
        <v>0</v>
      </c>
      <c r="IMN6" s="44">
        <f>Database!ING14</f>
        <v>0</v>
      </c>
      <c r="IMO6" s="44">
        <f>Database!INH14</f>
        <v>0</v>
      </c>
      <c r="IMP6" s="44">
        <f>Database!INI14</f>
        <v>0</v>
      </c>
      <c r="IMQ6" s="44">
        <f>Database!INJ14</f>
        <v>0</v>
      </c>
      <c r="IMR6" s="44">
        <f>Database!INK14</f>
        <v>0</v>
      </c>
      <c r="IMS6" s="44">
        <f>Database!INL14</f>
        <v>0</v>
      </c>
      <c r="IMT6" s="44">
        <f>Database!INM14</f>
        <v>0</v>
      </c>
      <c r="IMU6" s="44">
        <f>Database!INN14</f>
        <v>0</v>
      </c>
      <c r="IMV6" s="44">
        <f>Database!INO14</f>
        <v>0</v>
      </c>
      <c r="IMW6" s="44">
        <f>Database!INP14</f>
        <v>0</v>
      </c>
      <c r="IMX6" s="44">
        <f>Database!INQ14</f>
        <v>0</v>
      </c>
      <c r="IMY6" s="44">
        <f>Database!INR14</f>
        <v>0</v>
      </c>
      <c r="IMZ6" s="44">
        <f>Database!INS14</f>
        <v>0</v>
      </c>
      <c r="INA6" s="44">
        <f>Database!INT14</f>
        <v>0</v>
      </c>
      <c r="INB6" s="44">
        <f>Database!INU14</f>
        <v>0</v>
      </c>
      <c r="INC6" s="44">
        <f>Database!INV14</f>
        <v>0</v>
      </c>
      <c r="IND6" s="44">
        <f>Database!INW14</f>
        <v>0</v>
      </c>
      <c r="INE6" s="44">
        <f>Database!INX14</f>
        <v>0</v>
      </c>
      <c r="INF6" s="44">
        <f>Database!INY14</f>
        <v>0</v>
      </c>
      <c r="ING6" s="44">
        <f>Database!INZ14</f>
        <v>0</v>
      </c>
      <c r="INH6" s="44">
        <f>Database!IOA14</f>
        <v>0</v>
      </c>
      <c r="INI6" s="44">
        <f>Database!IOB14</f>
        <v>0</v>
      </c>
      <c r="INJ6" s="44">
        <f>Database!IOC14</f>
        <v>0</v>
      </c>
      <c r="INK6" s="44">
        <f>Database!IOD14</f>
        <v>0</v>
      </c>
      <c r="INL6" s="44">
        <f>Database!IOE14</f>
        <v>0</v>
      </c>
      <c r="INM6" s="44">
        <f>Database!IOF14</f>
        <v>0</v>
      </c>
      <c r="INN6" s="44">
        <f>Database!IOG14</f>
        <v>0</v>
      </c>
      <c r="INO6" s="44">
        <f>Database!IOH14</f>
        <v>0</v>
      </c>
      <c r="INP6" s="44">
        <f>Database!IOI14</f>
        <v>0</v>
      </c>
      <c r="INQ6" s="44">
        <f>Database!IOJ14</f>
        <v>0</v>
      </c>
      <c r="INR6" s="44">
        <f>Database!IOK14</f>
        <v>0</v>
      </c>
      <c r="INS6" s="44">
        <f>Database!IOL14</f>
        <v>0</v>
      </c>
      <c r="INT6" s="44">
        <f>Database!IOM14</f>
        <v>0</v>
      </c>
      <c r="INU6" s="44">
        <f>Database!ION14</f>
        <v>0</v>
      </c>
      <c r="INV6" s="44">
        <f>Database!IOO14</f>
        <v>0</v>
      </c>
      <c r="INW6" s="44">
        <f>Database!IOP14</f>
        <v>0</v>
      </c>
      <c r="INX6" s="44">
        <f>Database!IOQ14</f>
        <v>0</v>
      </c>
      <c r="INY6" s="44">
        <f>Database!IOR14</f>
        <v>0</v>
      </c>
      <c r="INZ6" s="44">
        <f>Database!IOS14</f>
        <v>0</v>
      </c>
      <c r="IOA6" s="44">
        <f>Database!IOT14</f>
        <v>0</v>
      </c>
      <c r="IOB6" s="44">
        <f>Database!IOU14</f>
        <v>0</v>
      </c>
      <c r="IOC6" s="44">
        <f>Database!IOV14</f>
        <v>0</v>
      </c>
      <c r="IOD6" s="44">
        <f>Database!IOW14</f>
        <v>0</v>
      </c>
      <c r="IOE6" s="44">
        <f>Database!IOX14</f>
        <v>0</v>
      </c>
      <c r="IOF6" s="44">
        <f>Database!IOY14</f>
        <v>0</v>
      </c>
      <c r="IOG6" s="44">
        <f>Database!IOZ14</f>
        <v>0</v>
      </c>
      <c r="IOH6" s="44">
        <f>Database!IPA14</f>
        <v>0</v>
      </c>
      <c r="IOI6" s="44">
        <f>Database!IPB14</f>
        <v>0</v>
      </c>
      <c r="IOJ6" s="44">
        <f>Database!IPC14</f>
        <v>0</v>
      </c>
      <c r="IOK6" s="44">
        <f>Database!IPD14</f>
        <v>0</v>
      </c>
      <c r="IOL6" s="44">
        <f>Database!IPE14</f>
        <v>0</v>
      </c>
      <c r="IOM6" s="44">
        <f>Database!IPF14</f>
        <v>0</v>
      </c>
      <c r="ION6" s="44">
        <f>Database!IPG14</f>
        <v>0</v>
      </c>
      <c r="IOO6" s="44">
        <f>Database!IPH14</f>
        <v>0</v>
      </c>
      <c r="IOP6" s="44">
        <f>Database!IPI14</f>
        <v>0</v>
      </c>
      <c r="IOQ6" s="44">
        <f>Database!IPJ14</f>
        <v>0</v>
      </c>
      <c r="IOR6" s="44">
        <f>Database!IPK14</f>
        <v>0</v>
      </c>
      <c r="IOS6" s="44">
        <f>Database!IPL14</f>
        <v>0</v>
      </c>
      <c r="IOT6" s="44">
        <f>Database!IPM14</f>
        <v>0</v>
      </c>
      <c r="IOU6" s="44">
        <f>Database!IPN14</f>
        <v>0</v>
      </c>
      <c r="IOV6" s="44">
        <f>Database!IPO14</f>
        <v>0</v>
      </c>
      <c r="IOW6" s="44">
        <f>Database!IPP14</f>
        <v>0</v>
      </c>
      <c r="IOX6" s="44">
        <f>Database!IPQ14</f>
        <v>0</v>
      </c>
      <c r="IOY6" s="44">
        <f>Database!IPR14</f>
        <v>0</v>
      </c>
      <c r="IOZ6" s="44">
        <f>Database!IPS14</f>
        <v>0</v>
      </c>
      <c r="IPA6" s="44">
        <f>Database!IPT14</f>
        <v>0</v>
      </c>
      <c r="IPB6" s="44">
        <f>Database!IPU14</f>
        <v>0</v>
      </c>
      <c r="IPC6" s="44">
        <f>Database!IPV14</f>
        <v>0</v>
      </c>
      <c r="IPD6" s="44">
        <f>Database!IPW14</f>
        <v>0</v>
      </c>
      <c r="IPE6" s="44">
        <f>Database!IPX14</f>
        <v>0</v>
      </c>
      <c r="IPF6" s="44">
        <f>Database!IPY14</f>
        <v>0</v>
      </c>
      <c r="IPG6" s="44">
        <f>Database!IPZ14</f>
        <v>0</v>
      </c>
      <c r="IPH6" s="44">
        <f>Database!IQA14</f>
        <v>0</v>
      </c>
      <c r="IPI6" s="44">
        <f>Database!IQB14</f>
        <v>0</v>
      </c>
      <c r="IPJ6" s="44">
        <f>Database!IQC14</f>
        <v>0</v>
      </c>
      <c r="IPK6" s="44">
        <f>Database!IQD14</f>
        <v>0</v>
      </c>
      <c r="IPL6" s="44">
        <f>Database!IQE14</f>
        <v>0</v>
      </c>
      <c r="IPM6" s="44">
        <f>Database!IQF14</f>
        <v>0</v>
      </c>
      <c r="IPN6" s="44">
        <f>Database!IQG14</f>
        <v>0</v>
      </c>
      <c r="IPO6" s="44">
        <f>Database!IQH14</f>
        <v>0</v>
      </c>
      <c r="IPP6" s="44">
        <f>Database!IQI14</f>
        <v>0</v>
      </c>
      <c r="IPQ6" s="44">
        <f>Database!IQJ14</f>
        <v>0</v>
      </c>
      <c r="IPR6" s="44">
        <f>Database!IQK14</f>
        <v>0</v>
      </c>
      <c r="IPS6" s="44">
        <f>Database!IQL14</f>
        <v>0</v>
      </c>
      <c r="IPT6" s="44">
        <f>Database!IQM14</f>
        <v>0</v>
      </c>
      <c r="IPU6" s="44">
        <f>Database!IQN14</f>
        <v>0</v>
      </c>
      <c r="IPV6" s="44">
        <f>Database!IQO14</f>
        <v>0</v>
      </c>
      <c r="IPW6" s="44">
        <f>Database!IQP14</f>
        <v>0</v>
      </c>
      <c r="IPX6" s="44">
        <f>Database!IQQ14</f>
        <v>0</v>
      </c>
      <c r="IPY6" s="44">
        <f>Database!IQR14</f>
        <v>0</v>
      </c>
      <c r="IPZ6" s="44">
        <f>Database!IQS14</f>
        <v>0</v>
      </c>
      <c r="IQA6" s="44">
        <f>Database!IQT14</f>
        <v>0</v>
      </c>
      <c r="IQB6" s="44">
        <f>Database!IQU14</f>
        <v>0</v>
      </c>
      <c r="IQC6" s="44">
        <f>Database!IQV14</f>
        <v>0</v>
      </c>
      <c r="IQD6" s="44">
        <f>Database!IQW14</f>
        <v>0</v>
      </c>
      <c r="IQE6" s="44">
        <f>Database!IQX14</f>
        <v>0</v>
      </c>
      <c r="IQF6" s="44">
        <f>Database!IQY14</f>
        <v>0</v>
      </c>
      <c r="IQG6" s="44">
        <f>Database!IQZ14</f>
        <v>0</v>
      </c>
      <c r="IQH6" s="44">
        <f>Database!IRA14</f>
        <v>0</v>
      </c>
      <c r="IQI6" s="44">
        <f>Database!IRB14</f>
        <v>0</v>
      </c>
      <c r="IQJ6" s="44">
        <f>Database!IRC14</f>
        <v>0</v>
      </c>
      <c r="IQK6" s="44">
        <f>Database!IRD14</f>
        <v>0</v>
      </c>
      <c r="IQL6" s="44">
        <f>Database!IRE14</f>
        <v>0</v>
      </c>
      <c r="IQM6" s="44">
        <f>Database!IRF14</f>
        <v>0</v>
      </c>
      <c r="IQN6" s="44">
        <f>Database!IRG14</f>
        <v>0</v>
      </c>
      <c r="IQO6" s="44">
        <f>Database!IRH14</f>
        <v>0</v>
      </c>
      <c r="IQP6" s="44">
        <f>Database!IRI14</f>
        <v>0</v>
      </c>
      <c r="IQQ6" s="44">
        <f>Database!IRJ14</f>
        <v>0</v>
      </c>
      <c r="IQR6" s="44">
        <f>Database!IRK14</f>
        <v>0</v>
      </c>
      <c r="IQS6" s="44">
        <f>Database!IRL14</f>
        <v>0</v>
      </c>
      <c r="IQT6" s="44">
        <f>Database!IRM14</f>
        <v>0</v>
      </c>
      <c r="IQU6" s="44">
        <f>Database!IRN14</f>
        <v>0</v>
      </c>
      <c r="IQV6" s="44">
        <f>Database!IRO14</f>
        <v>0</v>
      </c>
      <c r="IQW6" s="44">
        <f>Database!IRP14</f>
        <v>0</v>
      </c>
      <c r="IQX6" s="44">
        <f>Database!IRQ14</f>
        <v>0</v>
      </c>
      <c r="IQY6" s="44">
        <f>Database!IRR14</f>
        <v>0</v>
      </c>
      <c r="IQZ6" s="44">
        <f>Database!IRS14</f>
        <v>0</v>
      </c>
      <c r="IRA6" s="44">
        <f>Database!IRT14</f>
        <v>0</v>
      </c>
      <c r="IRB6" s="44">
        <f>Database!IRU14</f>
        <v>0</v>
      </c>
      <c r="IRC6" s="44">
        <f>Database!IRV14</f>
        <v>0</v>
      </c>
      <c r="IRD6" s="44">
        <f>Database!IRW14</f>
        <v>0</v>
      </c>
      <c r="IRE6" s="44">
        <f>Database!IRX14</f>
        <v>0</v>
      </c>
      <c r="IRF6" s="44">
        <f>Database!IRY14</f>
        <v>0</v>
      </c>
      <c r="IRG6" s="44">
        <f>Database!IRZ14</f>
        <v>0</v>
      </c>
      <c r="IRH6" s="44">
        <f>Database!ISA14</f>
        <v>0</v>
      </c>
      <c r="IRI6" s="44">
        <f>Database!ISB14</f>
        <v>0</v>
      </c>
      <c r="IRJ6" s="44">
        <f>Database!ISC14</f>
        <v>0</v>
      </c>
      <c r="IRK6" s="44">
        <f>Database!ISD14</f>
        <v>0</v>
      </c>
      <c r="IRL6" s="44">
        <f>Database!ISE14</f>
        <v>0</v>
      </c>
      <c r="IRM6" s="44">
        <f>Database!ISF14</f>
        <v>0</v>
      </c>
      <c r="IRN6" s="44">
        <f>Database!ISG14</f>
        <v>0</v>
      </c>
      <c r="IRO6" s="44">
        <f>Database!ISH14</f>
        <v>0</v>
      </c>
      <c r="IRP6" s="44">
        <f>Database!ISI14</f>
        <v>0</v>
      </c>
      <c r="IRQ6" s="44">
        <f>Database!ISJ14</f>
        <v>0</v>
      </c>
      <c r="IRR6" s="44">
        <f>Database!ISK14</f>
        <v>0</v>
      </c>
      <c r="IRS6" s="44">
        <f>Database!ISL14</f>
        <v>0</v>
      </c>
      <c r="IRT6" s="44">
        <f>Database!ISM14</f>
        <v>0</v>
      </c>
      <c r="IRU6" s="44">
        <f>Database!ISN14</f>
        <v>0</v>
      </c>
      <c r="IRV6" s="44">
        <f>Database!ISO14</f>
        <v>0</v>
      </c>
      <c r="IRW6" s="44">
        <f>Database!ISP14</f>
        <v>0</v>
      </c>
      <c r="IRX6" s="44">
        <f>Database!ISQ14</f>
        <v>0</v>
      </c>
      <c r="IRY6" s="44">
        <f>Database!ISR14</f>
        <v>0</v>
      </c>
      <c r="IRZ6" s="44">
        <f>Database!ISS14</f>
        <v>0</v>
      </c>
      <c r="ISA6" s="44">
        <f>Database!IST14</f>
        <v>0</v>
      </c>
      <c r="ISB6" s="44">
        <f>Database!ISU14</f>
        <v>0</v>
      </c>
      <c r="ISC6" s="44">
        <f>Database!ISV14</f>
        <v>0</v>
      </c>
      <c r="ISD6" s="44">
        <f>Database!ISW14</f>
        <v>0</v>
      </c>
      <c r="ISE6" s="44">
        <f>Database!ISX14</f>
        <v>0</v>
      </c>
      <c r="ISF6" s="44">
        <f>Database!ISY14</f>
        <v>0</v>
      </c>
      <c r="ISG6" s="44">
        <f>Database!ISZ14</f>
        <v>0</v>
      </c>
      <c r="ISH6" s="44">
        <f>Database!ITA14</f>
        <v>0</v>
      </c>
      <c r="ISI6" s="44">
        <f>Database!ITB14</f>
        <v>0</v>
      </c>
      <c r="ISJ6" s="44">
        <f>Database!ITC14</f>
        <v>0</v>
      </c>
      <c r="ISK6" s="44">
        <f>Database!ITD14</f>
        <v>0</v>
      </c>
      <c r="ISL6" s="44">
        <f>Database!ITE14</f>
        <v>0</v>
      </c>
      <c r="ISM6" s="44">
        <f>Database!ITF14</f>
        <v>0</v>
      </c>
      <c r="ISN6" s="44">
        <f>Database!ITG14</f>
        <v>0</v>
      </c>
      <c r="ISO6" s="44">
        <f>Database!ITH14</f>
        <v>0</v>
      </c>
      <c r="ISP6" s="44">
        <f>Database!ITI14</f>
        <v>0</v>
      </c>
      <c r="ISQ6" s="44">
        <f>Database!ITJ14</f>
        <v>0</v>
      </c>
      <c r="ISR6" s="44">
        <f>Database!ITK14</f>
        <v>0</v>
      </c>
      <c r="ISS6" s="44">
        <f>Database!ITL14</f>
        <v>0</v>
      </c>
      <c r="IST6" s="44">
        <f>Database!ITM14</f>
        <v>0</v>
      </c>
      <c r="ISU6" s="44">
        <f>Database!ITN14</f>
        <v>0</v>
      </c>
      <c r="ISV6" s="44">
        <f>Database!ITO14</f>
        <v>0</v>
      </c>
      <c r="ISW6" s="44">
        <f>Database!ITP14</f>
        <v>0</v>
      </c>
      <c r="ISX6" s="44">
        <f>Database!ITQ14</f>
        <v>0</v>
      </c>
      <c r="ISY6" s="44">
        <f>Database!ITR14</f>
        <v>0</v>
      </c>
      <c r="ISZ6" s="44">
        <f>Database!ITS14</f>
        <v>0</v>
      </c>
      <c r="ITA6" s="44">
        <f>Database!ITT14</f>
        <v>0</v>
      </c>
      <c r="ITB6" s="44">
        <f>Database!ITU14</f>
        <v>0</v>
      </c>
      <c r="ITC6" s="44">
        <f>Database!ITV14</f>
        <v>0</v>
      </c>
      <c r="ITD6" s="44">
        <f>Database!ITW14</f>
        <v>0</v>
      </c>
      <c r="ITE6" s="44">
        <f>Database!ITX14</f>
        <v>0</v>
      </c>
      <c r="ITF6" s="44">
        <f>Database!ITY14</f>
        <v>0</v>
      </c>
      <c r="ITG6" s="44">
        <f>Database!ITZ14</f>
        <v>0</v>
      </c>
      <c r="ITH6" s="44">
        <f>Database!IUA14</f>
        <v>0</v>
      </c>
      <c r="ITI6" s="44">
        <f>Database!IUB14</f>
        <v>0</v>
      </c>
      <c r="ITJ6" s="44">
        <f>Database!IUC14</f>
        <v>0</v>
      </c>
      <c r="ITK6" s="44">
        <f>Database!IUD14</f>
        <v>0</v>
      </c>
      <c r="ITL6" s="44">
        <f>Database!IUE14</f>
        <v>0</v>
      </c>
      <c r="ITM6" s="44">
        <f>Database!IUF14</f>
        <v>0</v>
      </c>
      <c r="ITN6" s="44">
        <f>Database!IUG14</f>
        <v>0</v>
      </c>
      <c r="ITO6" s="44">
        <f>Database!IUH14</f>
        <v>0</v>
      </c>
      <c r="ITP6" s="44">
        <f>Database!IUI14</f>
        <v>0</v>
      </c>
      <c r="ITQ6" s="44">
        <f>Database!IUJ14</f>
        <v>0</v>
      </c>
      <c r="ITR6" s="44">
        <f>Database!IUK14</f>
        <v>0</v>
      </c>
      <c r="ITS6" s="44">
        <f>Database!IUL14</f>
        <v>0</v>
      </c>
      <c r="ITT6" s="44">
        <f>Database!IUM14</f>
        <v>0</v>
      </c>
      <c r="ITU6" s="44">
        <f>Database!IUN14</f>
        <v>0</v>
      </c>
      <c r="ITV6" s="44">
        <f>Database!IUO14</f>
        <v>0</v>
      </c>
      <c r="ITW6" s="44">
        <f>Database!IUP14</f>
        <v>0</v>
      </c>
      <c r="ITX6" s="44">
        <f>Database!IUQ14</f>
        <v>0</v>
      </c>
      <c r="ITY6" s="44">
        <f>Database!IUR14</f>
        <v>0</v>
      </c>
      <c r="ITZ6" s="44">
        <f>Database!IUS14</f>
        <v>0</v>
      </c>
      <c r="IUA6" s="44">
        <f>Database!IUT14</f>
        <v>0</v>
      </c>
      <c r="IUB6" s="44">
        <f>Database!IUU14</f>
        <v>0</v>
      </c>
      <c r="IUC6" s="44">
        <f>Database!IUV14</f>
        <v>0</v>
      </c>
      <c r="IUD6" s="44">
        <f>Database!IUW14</f>
        <v>0</v>
      </c>
      <c r="IUE6" s="44">
        <f>Database!IUX14</f>
        <v>0</v>
      </c>
      <c r="IUF6" s="44">
        <f>Database!IUY14</f>
        <v>0</v>
      </c>
      <c r="IUG6" s="44">
        <f>Database!IUZ14</f>
        <v>0</v>
      </c>
      <c r="IUH6" s="44">
        <f>Database!IVA14</f>
        <v>0</v>
      </c>
      <c r="IUI6" s="44">
        <f>Database!IVB14</f>
        <v>0</v>
      </c>
      <c r="IUJ6" s="44">
        <f>Database!IVC14</f>
        <v>0</v>
      </c>
      <c r="IUK6" s="44">
        <f>Database!IVD14</f>
        <v>0</v>
      </c>
      <c r="IUL6" s="44">
        <f>Database!IVE14</f>
        <v>0</v>
      </c>
      <c r="IUM6" s="44">
        <f>Database!IVF14</f>
        <v>0</v>
      </c>
      <c r="IUN6" s="44">
        <f>Database!IVG14</f>
        <v>0</v>
      </c>
      <c r="IUO6" s="44">
        <f>Database!IVH14</f>
        <v>0</v>
      </c>
      <c r="IUP6" s="44">
        <f>Database!IVI14</f>
        <v>0</v>
      </c>
      <c r="IUQ6" s="44">
        <f>Database!IVJ14</f>
        <v>0</v>
      </c>
      <c r="IUR6" s="44">
        <f>Database!IVK14</f>
        <v>0</v>
      </c>
      <c r="IUS6" s="44">
        <f>Database!IVL14</f>
        <v>0</v>
      </c>
      <c r="IUT6" s="44">
        <f>Database!IVM14</f>
        <v>0</v>
      </c>
      <c r="IUU6" s="44">
        <f>Database!IVN14</f>
        <v>0</v>
      </c>
      <c r="IUV6" s="44">
        <f>Database!IVO14</f>
        <v>0</v>
      </c>
      <c r="IUW6" s="44">
        <f>Database!IVP14</f>
        <v>0</v>
      </c>
      <c r="IUX6" s="44">
        <f>Database!IVQ14</f>
        <v>0</v>
      </c>
      <c r="IUY6" s="44">
        <f>Database!IVR14</f>
        <v>0</v>
      </c>
      <c r="IUZ6" s="44">
        <f>Database!IVS14</f>
        <v>0</v>
      </c>
      <c r="IVA6" s="44">
        <f>Database!IVT14</f>
        <v>0</v>
      </c>
      <c r="IVB6" s="44">
        <f>Database!IVU14</f>
        <v>0</v>
      </c>
      <c r="IVC6" s="44">
        <f>Database!IVV14</f>
        <v>0</v>
      </c>
      <c r="IVD6" s="44">
        <f>Database!IVW14</f>
        <v>0</v>
      </c>
      <c r="IVE6" s="44">
        <f>Database!IVX14</f>
        <v>0</v>
      </c>
      <c r="IVF6" s="44">
        <f>Database!IVY14</f>
        <v>0</v>
      </c>
      <c r="IVG6" s="44">
        <f>Database!IVZ14</f>
        <v>0</v>
      </c>
      <c r="IVH6" s="44">
        <f>Database!IWA14</f>
        <v>0</v>
      </c>
      <c r="IVI6" s="44">
        <f>Database!IWB14</f>
        <v>0</v>
      </c>
      <c r="IVJ6" s="44">
        <f>Database!IWC14</f>
        <v>0</v>
      </c>
      <c r="IVK6" s="44">
        <f>Database!IWD14</f>
        <v>0</v>
      </c>
      <c r="IVL6" s="44">
        <f>Database!IWE14</f>
        <v>0</v>
      </c>
      <c r="IVM6" s="44">
        <f>Database!IWF14</f>
        <v>0</v>
      </c>
      <c r="IVN6" s="44">
        <f>Database!IWG14</f>
        <v>0</v>
      </c>
      <c r="IVO6" s="44">
        <f>Database!IWH14</f>
        <v>0</v>
      </c>
      <c r="IVP6" s="44">
        <f>Database!IWI14</f>
        <v>0</v>
      </c>
      <c r="IVQ6" s="44">
        <f>Database!IWJ14</f>
        <v>0</v>
      </c>
      <c r="IVR6" s="44">
        <f>Database!IWK14</f>
        <v>0</v>
      </c>
      <c r="IVS6" s="44">
        <f>Database!IWL14</f>
        <v>0</v>
      </c>
      <c r="IVT6" s="44">
        <f>Database!IWM14</f>
        <v>0</v>
      </c>
      <c r="IVU6" s="44">
        <f>Database!IWN14</f>
        <v>0</v>
      </c>
      <c r="IVV6" s="44">
        <f>Database!IWO14</f>
        <v>0</v>
      </c>
      <c r="IVW6" s="44">
        <f>Database!IWP14</f>
        <v>0</v>
      </c>
      <c r="IVX6" s="44">
        <f>Database!IWQ14</f>
        <v>0</v>
      </c>
      <c r="IVY6" s="44">
        <f>Database!IWR14</f>
        <v>0</v>
      </c>
      <c r="IVZ6" s="44">
        <f>Database!IWS14</f>
        <v>0</v>
      </c>
      <c r="IWA6" s="44">
        <f>Database!IWT14</f>
        <v>0</v>
      </c>
      <c r="IWB6" s="44">
        <f>Database!IWU14</f>
        <v>0</v>
      </c>
      <c r="IWC6" s="44">
        <f>Database!IWV14</f>
        <v>0</v>
      </c>
      <c r="IWD6" s="44">
        <f>Database!IWW14</f>
        <v>0</v>
      </c>
      <c r="IWE6" s="44">
        <f>Database!IWX14</f>
        <v>0</v>
      </c>
      <c r="IWF6" s="44">
        <f>Database!IWY14</f>
        <v>0</v>
      </c>
      <c r="IWG6" s="44">
        <f>Database!IWZ14</f>
        <v>0</v>
      </c>
      <c r="IWH6" s="44">
        <f>Database!IXA14</f>
        <v>0</v>
      </c>
      <c r="IWI6" s="44">
        <f>Database!IXB14</f>
        <v>0</v>
      </c>
      <c r="IWJ6" s="44">
        <f>Database!IXC14</f>
        <v>0</v>
      </c>
      <c r="IWK6" s="44">
        <f>Database!IXD14</f>
        <v>0</v>
      </c>
      <c r="IWL6" s="44">
        <f>Database!IXE14</f>
        <v>0</v>
      </c>
      <c r="IWM6" s="44">
        <f>Database!IXF14</f>
        <v>0</v>
      </c>
      <c r="IWN6" s="44">
        <f>Database!IXG14</f>
        <v>0</v>
      </c>
      <c r="IWO6" s="44">
        <f>Database!IXH14</f>
        <v>0</v>
      </c>
      <c r="IWP6" s="44">
        <f>Database!IXI14</f>
        <v>0</v>
      </c>
      <c r="IWQ6" s="44">
        <f>Database!IXJ14</f>
        <v>0</v>
      </c>
      <c r="IWR6" s="44">
        <f>Database!IXK14</f>
        <v>0</v>
      </c>
      <c r="IWS6" s="44">
        <f>Database!IXL14</f>
        <v>0</v>
      </c>
      <c r="IWT6" s="44">
        <f>Database!IXM14</f>
        <v>0</v>
      </c>
      <c r="IWU6" s="44">
        <f>Database!IXN14</f>
        <v>0</v>
      </c>
      <c r="IWV6" s="44">
        <f>Database!IXO14</f>
        <v>0</v>
      </c>
      <c r="IWW6" s="44">
        <f>Database!IXP14</f>
        <v>0</v>
      </c>
      <c r="IWX6" s="44">
        <f>Database!IXQ14</f>
        <v>0</v>
      </c>
      <c r="IWY6" s="44">
        <f>Database!IXR14</f>
        <v>0</v>
      </c>
      <c r="IWZ6" s="44">
        <f>Database!IXS14</f>
        <v>0</v>
      </c>
      <c r="IXA6" s="44">
        <f>Database!IXT14</f>
        <v>0</v>
      </c>
      <c r="IXB6" s="44">
        <f>Database!IXU14</f>
        <v>0</v>
      </c>
      <c r="IXC6" s="44">
        <f>Database!IXV14</f>
        <v>0</v>
      </c>
      <c r="IXD6" s="44">
        <f>Database!IXW14</f>
        <v>0</v>
      </c>
      <c r="IXE6" s="44">
        <f>Database!IXX14</f>
        <v>0</v>
      </c>
      <c r="IXF6" s="44">
        <f>Database!IXY14</f>
        <v>0</v>
      </c>
      <c r="IXG6" s="44">
        <f>Database!IXZ14</f>
        <v>0</v>
      </c>
      <c r="IXH6" s="44">
        <f>Database!IYA14</f>
        <v>0</v>
      </c>
      <c r="IXI6" s="44">
        <f>Database!IYB14</f>
        <v>0</v>
      </c>
      <c r="IXJ6" s="44">
        <f>Database!IYC14</f>
        <v>0</v>
      </c>
      <c r="IXK6" s="44">
        <f>Database!IYD14</f>
        <v>0</v>
      </c>
      <c r="IXL6" s="44">
        <f>Database!IYE14</f>
        <v>0</v>
      </c>
      <c r="IXM6" s="44">
        <f>Database!IYF14</f>
        <v>0</v>
      </c>
      <c r="IXN6" s="44">
        <f>Database!IYG14</f>
        <v>0</v>
      </c>
      <c r="IXO6" s="44">
        <f>Database!IYH14</f>
        <v>0</v>
      </c>
      <c r="IXP6" s="44">
        <f>Database!IYI14</f>
        <v>0</v>
      </c>
      <c r="IXQ6" s="44">
        <f>Database!IYJ14</f>
        <v>0</v>
      </c>
      <c r="IXR6" s="44">
        <f>Database!IYK14</f>
        <v>0</v>
      </c>
      <c r="IXS6" s="44">
        <f>Database!IYL14</f>
        <v>0</v>
      </c>
      <c r="IXT6" s="44">
        <f>Database!IYM14</f>
        <v>0</v>
      </c>
      <c r="IXU6" s="44">
        <f>Database!IYN14</f>
        <v>0</v>
      </c>
      <c r="IXV6" s="44">
        <f>Database!IYO14</f>
        <v>0</v>
      </c>
      <c r="IXW6" s="44">
        <f>Database!IYP14</f>
        <v>0</v>
      </c>
      <c r="IXX6" s="44">
        <f>Database!IYQ14</f>
        <v>0</v>
      </c>
      <c r="IXY6" s="44">
        <f>Database!IYR14</f>
        <v>0</v>
      </c>
      <c r="IXZ6" s="44">
        <f>Database!IYS14</f>
        <v>0</v>
      </c>
      <c r="IYA6" s="44">
        <f>Database!IYT14</f>
        <v>0</v>
      </c>
      <c r="IYB6" s="44">
        <f>Database!IYU14</f>
        <v>0</v>
      </c>
      <c r="IYC6" s="44">
        <f>Database!IYV14</f>
        <v>0</v>
      </c>
      <c r="IYD6" s="44">
        <f>Database!IYW14</f>
        <v>0</v>
      </c>
      <c r="IYE6" s="44">
        <f>Database!IYX14</f>
        <v>0</v>
      </c>
      <c r="IYF6" s="44">
        <f>Database!IYY14</f>
        <v>0</v>
      </c>
      <c r="IYG6" s="44">
        <f>Database!IYZ14</f>
        <v>0</v>
      </c>
      <c r="IYH6" s="44">
        <f>Database!IZA14</f>
        <v>0</v>
      </c>
      <c r="IYI6" s="44">
        <f>Database!IZB14</f>
        <v>0</v>
      </c>
      <c r="IYJ6" s="44">
        <f>Database!IZC14</f>
        <v>0</v>
      </c>
      <c r="IYK6" s="44">
        <f>Database!IZD14</f>
        <v>0</v>
      </c>
      <c r="IYL6" s="44">
        <f>Database!IZE14</f>
        <v>0</v>
      </c>
      <c r="IYM6" s="44">
        <f>Database!IZF14</f>
        <v>0</v>
      </c>
      <c r="IYN6" s="44">
        <f>Database!IZG14</f>
        <v>0</v>
      </c>
      <c r="IYO6" s="44">
        <f>Database!IZH14</f>
        <v>0</v>
      </c>
      <c r="IYP6" s="44">
        <f>Database!IZI14</f>
        <v>0</v>
      </c>
      <c r="IYQ6" s="44">
        <f>Database!IZJ14</f>
        <v>0</v>
      </c>
      <c r="IYR6" s="44">
        <f>Database!IZK14</f>
        <v>0</v>
      </c>
      <c r="IYS6" s="44">
        <f>Database!IZL14</f>
        <v>0</v>
      </c>
      <c r="IYT6" s="44">
        <f>Database!IZM14</f>
        <v>0</v>
      </c>
      <c r="IYU6" s="44">
        <f>Database!IZN14</f>
        <v>0</v>
      </c>
      <c r="IYV6" s="44">
        <f>Database!IZO14</f>
        <v>0</v>
      </c>
      <c r="IYW6" s="44">
        <f>Database!IZP14</f>
        <v>0</v>
      </c>
      <c r="IYX6" s="44">
        <f>Database!IZQ14</f>
        <v>0</v>
      </c>
      <c r="IYY6" s="44">
        <f>Database!IZR14</f>
        <v>0</v>
      </c>
      <c r="IYZ6" s="44">
        <f>Database!IZS14</f>
        <v>0</v>
      </c>
      <c r="IZA6" s="44">
        <f>Database!IZT14</f>
        <v>0</v>
      </c>
      <c r="IZB6" s="44">
        <f>Database!IZU14</f>
        <v>0</v>
      </c>
      <c r="IZC6" s="44">
        <f>Database!IZV14</f>
        <v>0</v>
      </c>
      <c r="IZD6" s="44">
        <f>Database!IZW14</f>
        <v>0</v>
      </c>
      <c r="IZE6" s="44">
        <f>Database!IZX14</f>
        <v>0</v>
      </c>
      <c r="IZF6" s="44">
        <f>Database!IZY14</f>
        <v>0</v>
      </c>
      <c r="IZG6" s="44">
        <f>Database!IZZ14</f>
        <v>0</v>
      </c>
      <c r="IZH6" s="44">
        <f>Database!JAA14</f>
        <v>0</v>
      </c>
      <c r="IZI6" s="44">
        <f>Database!JAB14</f>
        <v>0</v>
      </c>
      <c r="IZJ6" s="44">
        <f>Database!JAC14</f>
        <v>0</v>
      </c>
      <c r="IZK6" s="44">
        <f>Database!JAD14</f>
        <v>0</v>
      </c>
      <c r="IZL6" s="44">
        <f>Database!JAE14</f>
        <v>0</v>
      </c>
      <c r="IZM6" s="44">
        <f>Database!JAF14</f>
        <v>0</v>
      </c>
      <c r="IZN6" s="44">
        <f>Database!JAG14</f>
        <v>0</v>
      </c>
      <c r="IZO6" s="44">
        <f>Database!JAH14</f>
        <v>0</v>
      </c>
      <c r="IZP6" s="44">
        <f>Database!JAI14</f>
        <v>0</v>
      </c>
      <c r="IZQ6" s="44">
        <f>Database!JAJ14</f>
        <v>0</v>
      </c>
      <c r="IZR6" s="44">
        <f>Database!JAK14</f>
        <v>0</v>
      </c>
      <c r="IZS6" s="44">
        <f>Database!JAL14</f>
        <v>0</v>
      </c>
      <c r="IZT6" s="44">
        <f>Database!JAM14</f>
        <v>0</v>
      </c>
      <c r="IZU6" s="44">
        <f>Database!JAN14</f>
        <v>0</v>
      </c>
      <c r="IZV6" s="44">
        <f>Database!JAO14</f>
        <v>0</v>
      </c>
      <c r="IZW6" s="44">
        <f>Database!JAP14</f>
        <v>0</v>
      </c>
      <c r="IZX6" s="44">
        <f>Database!JAQ14</f>
        <v>0</v>
      </c>
      <c r="IZY6" s="44">
        <f>Database!JAR14</f>
        <v>0</v>
      </c>
      <c r="IZZ6" s="44">
        <f>Database!JAS14</f>
        <v>0</v>
      </c>
      <c r="JAA6" s="44">
        <f>Database!JAT14</f>
        <v>0</v>
      </c>
      <c r="JAB6" s="44">
        <f>Database!JAU14</f>
        <v>0</v>
      </c>
      <c r="JAC6" s="44">
        <f>Database!JAV14</f>
        <v>0</v>
      </c>
      <c r="JAD6" s="44">
        <f>Database!JAW14</f>
        <v>0</v>
      </c>
      <c r="JAE6" s="44">
        <f>Database!JAX14</f>
        <v>0</v>
      </c>
      <c r="JAF6" s="44">
        <f>Database!JAY14</f>
        <v>0</v>
      </c>
      <c r="JAG6" s="44">
        <f>Database!JAZ14</f>
        <v>0</v>
      </c>
      <c r="JAH6" s="44">
        <f>Database!JBA14</f>
        <v>0</v>
      </c>
      <c r="JAI6" s="44">
        <f>Database!JBB14</f>
        <v>0</v>
      </c>
      <c r="JAJ6" s="44">
        <f>Database!JBC14</f>
        <v>0</v>
      </c>
      <c r="JAK6" s="44">
        <f>Database!JBD14</f>
        <v>0</v>
      </c>
      <c r="JAL6" s="44">
        <f>Database!JBE14</f>
        <v>0</v>
      </c>
      <c r="JAM6" s="44">
        <f>Database!JBF14</f>
        <v>0</v>
      </c>
      <c r="JAN6" s="44">
        <f>Database!JBG14</f>
        <v>0</v>
      </c>
      <c r="JAO6" s="44">
        <f>Database!JBH14</f>
        <v>0</v>
      </c>
      <c r="JAP6" s="44">
        <f>Database!JBI14</f>
        <v>0</v>
      </c>
      <c r="JAQ6" s="44">
        <f>Database!JBJ14</f>
        <v>0</v>
      </c>
      <c r="JAR6" s="44">
        <f>Database!JBK14</f>
        <v>0</v>
      </c>
      <c r="JAS6" s="44">
        <f>Database!JBL14</f>
        <v>0</v>
      </c>
      <c r="JAT6" s="44">
        <f>Database!JBM14</f>
        <v>0</v>
      </c>
      <c r="JAU6" s="44">
        <f>Database!JBN14</f>
        <v>0</v>
      </c>
      <c r="JAV6" s="44">
        <f>Database!JBO14</f>
        <v>0</v>
      </c>
      <c r="JAW6" s="44">
        <f>Database!JBP14</f>
        <v>0</v>
      </c>
      <c r="JAX6" s="44">
        <f>Database!JBQ14</f>
        <v>0</v>
      </c>
      <c r="JAY6" s="44">
        <f>Database!JBR14</f>
        <v>0</v>
      </c>
      <c r="JAZ6" s="44">
        <f>Database!JBS14</f>
        <v>0</v>
      </c>
      <c r="JBA6" s="44">
        <f>Database!JBT14</f>
        <v>0</v>
      </c>
      <c r="JBB6" s="44">
        <f>Database!JBU14</f>
        <v>0</v>
      </c>
      <c r="JBC6" s="44">
        <f>Database!JBV14</f>
        <v>0</v>
      </c>
      <c r="JBD6" s="44">
        <f>Database!JBW14</f>
        <v>0</v>
      </c>
      <c r="JBE6" s="44">
        <f>Database!JBX14</f>
        <v>0</v>
      </c>
      <c r="JBF6" s="44">
        <f>Database!JBY14</f>
        <v>0</v>
      </c>
      <c r="JBG6" s="44">
        <f>Database!JBZ14</f>
        <v>0</v>
      </c>
      <c r="JBH6" s="44">
        <f>Database!JCA14</f>
        <v>0</v>
      </c>
      <c r="JBI6" s="44">
        <f>Database!JCB14</f>
        <v>0</v>
      </c>
      <c r="JBJ6" s="44">
        <f>Database!JCC14</f>
        <v>0</v>
      </c>
      <c r="JBK6" s="44">
        <f>Database!JCD14</f>
        <v>0</v>
      </c>
      <c r="JBL6" s="44">
        <f>Database!JCE14</f>
        <v>0</v>
      </c>
      <c r="JBM6" s="44">
        <f>Database!JCF14</f>
        <v>0</v>
      </c>
      <c r="JBN6" s="44">
        <f>Database!JCG14</f>
        <v>0</v>
      </c>
      <c r="JBO6" s="44">
        <f>Database!JCH14</f>
        <v>0</v>
      </c>
      <c r="JBP6" s="44">
        <f>Database!JCI14</f>
        <v>0</v>
      </c>
      <c r="JBQ6" s="44">
        <f>Database!JCJ14</f>
        <v>0</v>
      </c>
      <c r="JBR6" s="44">
        <f>Database!JCK14</f>
        <v>0</v>
      </c>
      <c r="JBS6" s="44">
        <f>Database!JCL14</f>
        <v>0</v>
      </c>
      <c r="JBT6" s="44">
        <f>Database!JCM14</f>
        <v>0</v>
      </c>
      <c r="JBU6" s="44">
        <f>Database!JCN14</f>
        <v>0</v>
      </c>
      <c r="JBV6" s="44">
        <f>Database!JCO14</f>
        <v>0</v>
      </c>
      <c r="JBW6" s="44">
        <f>Database!JCP14</f>
        <v>0</v>
      </c>
      <c r="JBX6" s="44">
        <f>Database!JCQ14</f>
        <v>0</v>
      </c>
      <c r="JBY6" s="44">
        <f>Database!JCR14</f>
        <v>0</v>
      </c>
      <c r="JBZ6" s="44">
        <f>Database!JCS14</f>
        <v>0</v>
      </c>
      <c r="JCA6" s="44">
        <f>Database!JCT14</f>
        <v>0</v>
      </c>
      <c r="JCB6" s="44">
        <f>Database!JCU14</f>
        <v>0</v>
      </c>
      <c r="JCC6" s="44">
        <f>Database!JCV14</f>
        <v>0</v>
      </c>
      <c r="JCD6" s="44">
        <f>Database!JCW14</f>
        <v>0</v>
      </c>
      <c r="JCE6" s="44">
        <f>Database!JCX14</f>
        <v>0</v>
      </c>
      <c r="JCF6" s="44">
        <f>Database!JCY14</f>
        <v>0</v>
      </c>
      <c r="JCG6" s="44">
        <f>Database!JCZ14</f>
        <v>0</v>
      </c>
      <c r="JCH6" s="44">
        <f>Database!JDA14</f>
        <v>0</v>
      </c>
      <c r="JCI6" s="44">
        <f>Database!JDB14</f>
        <v>0</v>
      </c>
      <c r="JCJ6" s="44">
        <f>Database!JDC14</f>
        <v>0</v>
      </c>
      <c r="JCK6" s="44">
        <f>Database!JDD14</f>
        <v>0</v>
      </c>
      <c r="JCL6" s="44">
        <f>Database!JDE14</f>
        <v>0</v>
      </c>
      <c r="JCM6" s="44">
        <f>Database!JDF14</f>
        <v>0</v>
      </c>
      <c r="JCN6" s="44">
        <f>Database!JDG14</f>
        <v>0</v>
      </c>
      <c r="JCO6" s="44">
        <f>Database!JDH14</f>
        <v>0</v>
      </c>
      <c r="JCP6" s="44">
        <f>Database!JDI14</f>
        <v>0</v>
      </c>
      <c r="JCQ6" s="44">
        <f>Database!JDJ14</f>
        <v>0</v>
      </c>
      <c r="JCR6" s="44">
        <f>Database!JDK14</f>
        <v>0</v>
      </c>
      <c r="JCS6" s="44">
        <f>Database!JDL14</f>
        <v>0</v>
      </c>
      <c r="JCT6" s="44">
        <f>Database!JDM14</f>
        <v>0</v>
      </c>
      <c r="JCU6" s="44">
        <f>Database!JDN14</f>
        <v>0</v>
      </c>
      <c r="JCV6" s="44">
        <f>Database!JDO14</f>
        <v>0</v>
      </c>
      <c r="JCW6" s="44">
        <f>Database!JDP14</f>
        <v>0</v>
      </c>
      <c r="JCX6" s="44">
        <f>Database!JDQ14</f>
        <v>0</v>
      </c>
      <c r="JCY6" s="44">
        <f>Database!JDR14</f>
        <v>0</v>
      </c>
      <c r="JCZ6" s="44">
        <f>Database!JDS14</f>
        <v>0</v>
      </c>
      <c r="JDA6" s="44">
        <f>Database!JDT14</f>
        <v>0</v>
      </c>
      <c r="JDB6" s="44">
        <f>Database!JDU14</f>
        <v>0</v>
      </c>
      <c r="JDC6" s="44">
        <f>Database!JDV14</f>
        <v>0</v>
      </c>
      <c r="JDD6" s="44">
        <f>Database!JDW14</f>
        <v>0</v>
      </c>
      <c r="JDE6" s="44">
        <f>Database!JDX14</f>
        <v>0</v>
      </c>
      <c r="JDF6" s="44">
        <f>Database!JDY14</f>
        <v>0</v>
      </c>
      <c r="JDG6" s="44">
        <f>Database!JDZ14</f>
        <v>0</v>
      </c>
      <c r="JDH6" s="44">
        <f>Database!JEA14</f>
        <v>0</v>
      </c>
      <c r="JDI6" s="44">
        <f>Database!JEB14</f>
        <v>0</v>
      </c>
      <c r="JDJ6" s="44">
        <f>Database!JEC14</f>
        <v>0</v>
      </c>
      <c r="JDK6" s="44">
        <f>Database!JED14</f>
        <v>0</v>
      </c>
      <c r="JDL6" s="44">
        <f>Database!JEE14</f>
        <v>0</v>
      </c>
      <c r="JDM6" s="44">
        <f>Database!JEF14</f>
        <v>0</v>
      </c>
      <c r="JDN6" s="44">
        <f>Database!JEG14</f>
        <v>0</v>
      </c>
      <c r="JDO6" s="44">
        <f>Database!JEH14</f>
        <v>0</v>
      </c>
      <c r="JDP6" s="44">
        <f>Database!JEI14</f>
        <v>0</v>
      </c>
      <c r="JDQ6" s="44">
        <f>Database!JEJ14</f>
        <v>0</v>
      </c>
      <c r="JDR6" s="44">
        <f>Database!JEK14</f>
        <v>0</v>
      </c>
      <c r="JDS6" s="44">
        <f>Database!JEL14</f>
        <v>0</v>
      </c>
      <c r="JDT6" s="44">
        <f>Database!JEM14</f>
        <v>0</v>
      </c>
      <c r="JDU6" s="44">
        <f>Database!JEN14</f>
        <v>0</v>
      </c>
      <c r="JDV6" s="44">
        <f>Database!JEO14</f>
        <v>0</v>
      </c>
      <c r="JDW6" s="44">
        <f>Database!JEP14</f>
        <v>0</v>
      </c>
      <c r="JDX6" s="44">
        <f>Database!JEQ14</f>
        <v>0</v>
      </c>
      <c r="JDY6" s="44">
        <f>Database!JER14</f>
        <v>0</v>
      </c>
      <c r="JDZ6" s="44">
        <f>Database!JES14</f>
        <v>0</v>
      </c>
      <c r="JEA6" s="44">
        <f>Database!JET14</f>
        <v>0</v>
      </c>
      <c r="JEB6" s="44">
        <f>Database!JEU14</f>
        <v>0</v>
      </c>
      <c r="JEC6" s="44">
        <f>Database!JEV14</f>
        <v>0</v>
      </c>
      <c r="JED6" s="44">
        <f>Database!JEW14</f>
        <v>0</v>
      </c>
      <c r="JEE6" s="44">
        <f>Database!JEX14</f>
        <v>0</v>
      </c>
      <c r="JEF6" s="44">
        <f>Database!JEY14</f>
        <v>0</v>
      </c>
      <c r="JEG6" s="44">
        <f>Database!JEZ14</f>
        <v>0</v>
      </c>
      <c r="JEH6" s="44">
        <f>Database!JFA14</f>
        <v>0</v>
      </c>
      <c r="JEI6" s="44">
        <f>Database!JFB14</f>
        <v>0</v>
      </c>
      <c r="JEJ6" s="44">
        <f>Database!JFC14</f>
        <v>0</v>
      </c>
      <c r="JEK6" s="44">
        <f>Database!JFD14</f>
        <v>0</v>
      </c>
      <c r="JEL6" s="44">
        <f>Database!JFE14</f>
        <v>0</v>
      </c>
      <c r="JEM6" s="44">
        <f>Database!JFF14</f>
        <v>0</v>
      </c>
      <c r="JEN6" s="44">
        <f>Database!JFG14</f>
        <v>0</v>
      </c>
      <c r="JEO6" s="44">
        <f>Database!JFH14</f>
        <v>0</v>
      </c>
      <c r="JEP6" s="44">
        <f>Database!JFI14</f>
        <v>0</v>
      </c>
      <c r="JEQ6" s="44">
        <f>Database!JFJ14</f>
        <v>0</v>
      </c>
      <c r="JER6" s="44">
        <f>Database!JFK14</f>
        <v>0</v>
      </c>
      <c r="JES6" s="44">
        <f>Database!JFL14</f>
        <v>0</v>
      </c>
      <c r="JET6" s="44">
        <f>Database!JFM14</f>
        <v>0</v>
      </c>
      <c r="JEU6" s="44">
        <f>Database!JFN14</f>
        <v>0</v>
      </c>
      <c r="JEV6" s="44">
        <f>Database!JFO14</f>
        <v>0</v>
      </c>
      <c r="JEW6" s="44">
        <f>Database!JFP14</f>
        <v>0</v>
      </c>
      <c r="JEX6" s="44">
        <f>Database!JFQ14</f>
        <v>0</v>
      </c>
      <c r="JEY6" s="44">
        <f>Database!JFR14</f>
        <v>0</v>
      </c>
      <c r="JEZ6" s="44">
        <f>Database!JFS14</f>
        <v>0</v>
      </c>
      <c r="JFA6" s="44">
        <f>Database!JFT14</f>
        <v>0</v>
      </c>
      <c r="JFB6" s="44">
        <f>Database!JFU14</f>
        <v>0</v>
      </c>
      <c r="JFC6" s="44">
        <f>Database!JFV14</f>
        <v>0</v>
      </c>
      <c r="JFD6" s="44">
        <f>Database!JFW14</f>
        <v>0</v>
      </c>
      <c r="JFE6" s="44">
        <f>Database!JFX14</f>
        <v>0</v>
      </c>
      <c r="JFF6" s="44">
        <f>Database!JFY14</f>
        <v>0</v>
      </c>
      <c r="JFG6" s="44">
        <f>Database!JFZ14</f>
        <v>0</v>
      </c>
      <c r="JFH6" s="44">
        <f>Database!JGA14</f>
        <v>0</v>
      </c>
      <c r="JFI6" s="44">
        <f>Database!JGB14</f>
        <v>0</v>
      </c>
      <c r="JFJ6" s="44">
        <f>Database!JGC14</f>
        <v>0</v>
      </c>
      <c r="JFK6" s="44">
        <f>Database!JGD14</f>
        <v>0</v>
      </c>
      <c r="JFL6" s="44">
        <f>Database!JGE14</f>
        <v>0</v>
      </c>
      <c r="JFM6" s="44">
        <f>Database!JGF14</f>
        <v>0</v>
      </c>
      <c r="JFN6" s="44">
        <f>Database!JGG14</f>
        <v>0</v>
      </c>
      <c r="JFO6" s="44">
        <f>Database!JGH14</f>
        <v>0</v>
      </c>
      <c r="JFP6" s="44">
        <f>Database!JGI14</f>
        <v>0</v>
      </c>
      <c r="JFQ6" s="44">
        <f>Database!JGJ14</f>
        <v>0</v>
      </c>
      <c r="JFR6" s="44">
        <f>Database!JGK14</f>
        <v>0</v>
      </c>
      <c r="JFS6" s="44">
        <f>Database!JGL14</f>
        <v>0</v>
      </c>
      <c r="JFT6" s="44">
        <f>Database!JGM14</f>
        <v>0</v>
      </c>
      <c r="JFU6" s="44">
        <f>Database!JGN14</f>
        <v>0</v>
      </c>
      <c r="JFV6" s="44">
        <f>Database!JGO14</f>
        <v>0</v>
      </c>
      <c r="JFW6" s="44">
        <f>Database!JGP14</f>
        <v>0</v>
      </c>
      <c r="JFX6" s="44">
        <f>Database!JGQ14</f>
        <v>0</v>
      </c>
      <c r="JFY6" s="44">
        <f>Database!JGR14</f>
        <v>0</v>
      </c>
      <c r="JFZ6" s="44">
        <f>Database!JGS14</f>
        <v>0</v>
      </c>
      <c r="JGA6" s="44">
        <f>Database!JGT14</f>
        <v>0</v>
      </c>
      <c r="JGB6" s="44">
        <f>Database!JGU14</f>
        <v>0</v>
      </c>
      <c r="JGC6" s="44">
        <f>Database!JGV14</f>
        <v>0</v>
      </c>
      <c r="JGD6" s="44">
        <f>Database!JGW14</f>
        <v>0</v>
      </c>
      <c r="JGE6" s="44">
        <f>Database!JGX14</f>
        <v>0</v>
      </c>
      <c r="JGF6" s="44">
        <f>Database!JGY14</f>
        <v>0</v>
      </c>
      <c r="JGG6" s="44">
        <f>Database!JGZ14</f>
        <v>0</v>
      </c>
      <c r="JGH6" s="44">
        <f>Database!JHA14</f>
        <v>0</v>
      </c>
      <c r="JGI6" s="44">
        <f>Database!JHB14</f>
        <v>0</v>
      </c>
      <c r="JGJ6" s="44">
        <f>Database!JHC14</f>
        <v>0</v>
      </c>
      <c r="JGK6" s="44">
        <f>Database!JHD14</f>
        <v>0</v>
      </c>
      <c r="JGL6" s="44">
        <f>Database!JHE14</f>
        <v>0</v>
      </c>
      <c r="JGM6" s="44">
        <f>Database!JHF14</f>
        <v>0</v>
      </c>
      <c r="JGN6" s="44">
        <f>Database!JHG14</f>
        <v>0</v>
      </c>
      <c r="JGO6" s="44">
        <f>Database!JHH14</f>
        <v>0</v>
      </c>
      <c r="JGP6" s="44">
        <f>Database!JHI14</f>
        <v>0</v>
      </c>
      <c r="JGQ6" s="44">
        <f>Database!JHJ14</f>
        <v>0</v>
      </c>
      <c r="JGR6" s="44">
        <f>Database!JHK14</f>
        <v>0</v>
      </c>
      <c r="JGS6" s="44">
        <f>Database!JHL14</f>
        <v>0</v>
      </c>
      <c r="JGT6" s="44">
        <f>Database!JHM14</f>
        <v>0</v>
      </c>
      <c r="JGU6" s="44">
        <f>Database!JHN14</f>
        <v>0</v>
      </c>
      <c r="JGV6" s="44">
        <f>Database!JHO14</f>
        <v>0</v>
      </c>
      <c r="JGW6" s="44">
        <f>Database!JHP14</f>
        <v>0</v>
      </c>
      <c r="JGX6" s="44">
        <f>Database!JHQ14</f>
        <v>0</v>
      </c>
      <c r="JGY6" s="44">
        <f>Database!JHR14</f>
        <v>0</v>
      </c>
      <c r="JGZ6" s="44">
        <f>Database!JHS14</f>
        <v>0</v>
      </c>
      <c r="JHA6" s="44">
        <f>Database!JHT14</f>
        <v>0</v>
      </c>
      <c r="JHB6" s="44">
        <f>Database!JHU14</f>
        <v>0</v>
      </c>
      <c r="JHC6" s="44">
        <f>Database!JHV14</f>
        <v>0</v>
      </c>
      <c r="JHD6" s="44">
        <f>Database!JHW14</f>
        <v>0</v>
      </c>
      <c r="JHE6" s="44">
        <f>Database!JHX14</f>
        <v>0</v>
      </c>
      <c r="JHF6" s="44">
        <f>Database!JHY14</f>
        <v>0</v>
      </c>
      <c r="JHG6" s="44">
        <f>Database!JHZ14</f>
        <v>0</v>
      </c>
      <c r="JHH6" s="44">
        <f>Database!JIA14</f>
        <v>0</v>
      </c>
      <c r="JHI6" s="44">
        <f>Database!JIB14</f>
        <v>0</v>
      </c>
      <c r="JHJ6" s="44">
        <f>Database!JIC14</f>
        <v>0</v>
      </c>
      <c r="JHK6" s="44">
        <f>Database!JID14</f>
        <v>0</v>
      </c>
      <c r="JHL6" s="44">
        <f>Database!JIE14</f>
        <v>0</v>
      </c>
      <c r="JHM6" s="44">
        <f>Database!JIF14</f>
        <v>0</v>
      </c>
      <c r="JHN6" s="44">
        <f>Database!JIG14</f>
        <v>0</v>
      </c>
      <c r="JHO6" s="44">
        <f>Database!JIH14</f>
        <v>0</v>
      </c>
      <c r="JHP6" s="44">
        <f>Database!JII14</f>
        <v>0</v>
      </c>
      <c r="JHQ6" s="44">
        <f>Database!JIJ14</f>
        <v>0</v>
      </c>
      <c r="JHR6" s="44">
        <f>Database!JIK14</f>
        <v>0</v>
      </c>
      <c r="JHS6" s="44">
        <f>Database!JIL14</f>
        <v>0</v>
      </c>
      <c r="JHT6" s="44">
        <f>Database!JIM14</f>
        <v>0</v>
      </c>
      <c r="JHU6" s="44">
        <f>Database!JIN14</f>
        <v>0</v>
      </c>
      <c r="JHV6" s="44">
        <f>Database!JIO14</f>
        <v>0</v>
      </c>
      <c r="JHW6" s="44">
        <f>Database!JIP14</f>
        <v>0</v>
      </c>
      <c r="JHX6" s="44">
        <f>Database!JIQ14</f>
        <v>0</v>
      </c>
      <c r="JHY6" s="44">
        <f>Database!JIR14</f>
        <v>0</v>
      </c>
      <c r="JHZ6" s="44">
        <f>Database!JIS14</f>
        <v>0</v>
      </c>
      <c r="JIA6" s="44">
        <f>Database!JIT14</f>
        <v>0</v>
      </c>
      <c r="JIB6" s="44">
        <f>Database!JIU14</f>
        <v>0</v>
      </c>
      <c r="JIC6" s="44">
        <f>Database!JIV14</f>
        <v>0</v>
      </c>
      <c r="JID6" s="44">
        <f>Database!JIW14</f>
        <v>0</v>
      </c>
      <c r="JIE6" s="44">
        <f>Database!JIX14</f>
        <v>0</v>
      </c>
      <c r="JIF6" s="44">
        <f>Database!JIY14</f>
        <v>0</v>
      </c>
      <c r="JIG6" s="44">
        <f>Database!JIZ14</f>
        <v>0</v>
      </c>
      <c r="JIH6" s="44">
        <f>Database!JJA14</f>
        <v>0</v>
      </c>
      <c r="JII6" s="44">
        <f>Database!JJB14</f>
        <v>0</v>
      </c>
      <c r="JIJ6" s="44">
        <f>Database!JJC14</f>
        <v>0</v>
      </c>
      <c r="JIK6" s="44">
        <f>Database!JJD14</f>
        <v>0</v>
      </c>
      <c r="JIL6" s="44">
        <f>Database!JJE14</f>
        <v>0</v>
      </c>
      <c r="JIM6" s="44">
        <f>Database!JJF14</f>
        <v>0</v>
      </c>
      <c r="JIN6" s="44">
        <f>Database!JJG14</f>
        <v>0</v>
      </c>
      <c r="JIO6" s="44">
        <f>Database!JJH14</f>
        <v>0</v>
      </c>
      <c r="JIP6" s="44">
        <f>Database!JJI14</f>
        <v>0</v>
      </c>
      <c r="JIQ6" s="44">
        <f>Database!JJJ14</f>
        <v>0</v>
      </c>
      <c r="JIR6" s="44">
        <f>Database!JJK14</f>
        <v>0</v>
      </c>
      <c r="JIS6" s="44">
        <f>Database!JJL14</f>
        <v>0</v>
      </c>
      <c r="JIT6" s="44">
        <f>Database!JJM14</f>
        <v>0</v>
      </c>
      <c r="JIU6" s="44">
        <f>Database!JJN14</f>
        <v>0</v>
      </c>
      <c r="JIV6" s="44">
        <f>Database!JJO14</f>
        <v>0</v>
      </c>
      <c r="JIW6" s="44">
        <f>Database!JJP14</f>
        <v>0</v>
      </c>
      <c r="JIX6" s="44">
        <f>Database!JJQ14</f>
        <v>0</v>
      </c>
      <c r="JIY6" s="44">
        <f>Database!JJR14</f>
        <v>0</v>
      </c>
      <c r="JIZ6" s="44">
        <f>Database!JJS14</f>
        <v>0</v>
      </c>
      <c r="JJA6" s="44">
        <f>Database!JJT14</f>
        <v>0</v>
      </c>
      <c r="JJB6" s="44">
        <f>Database!JJU14</f>
        <v>0</v>
      </c>
      <c r="JJC6" s="44">
        <f>Database!JJV14</f>
        <v>0</v>
      </c>
      <c r="JJD6" s="44">
        <f>Database!JJW14</f>
        <v>0</v>
      </c>
      <c r="JJE6" s="44">
        <f>Database!JJX14</f>
        <v>0</v>
      </c>
      <c r="JJF6" s="44">
        <f>Database!JJY14</f>
        <v>0</v>
      </c>
      <c r="JJG6" s="44">
        <f>Database!JJZ14</f>
        <v>0</v>
      </c>
      <c r="JJH6" s="44">
        <f>Database!JKA14</f>
        <v>0</v>
      </c>
      <c r="JJI6" s="44">
        <f>Database!JKB14</f>
        <v>0</v>
      </c>
      <c r="JJJ6" s="44">
        <f>Database!JKC14</f>
        <v>0</v>
      </c>
      <c r="JJK6" s="44">
        <f>Database!JKD14</f>
        <v>0</v>
      </c>
      <c r="JJL6" s="44">
        <f>Database!JKE14</f>
        <v>0</v>
      </c>
      <c r="JJM6" s="44">
        <f>Database!JKF14</f>
        <v>0</v>
      </c>
      <c r="JJN6" s="44">
        <f>Database!JKG14</f>
        <v>0</v>
      </c>
      <c r="JJO6" s="44">
        <f>Database!JKH14</f>
        <v>0</v>
      </c>
      <c r="JJP6" s="44">
        <f>Database!JKI14</f>
        <v>0</v>
      </c>
      <c r="JJQ6" s="44">
        <f>Database!JKJ14</f>
        <v>0</v>
      </c>
      <c r="JJR6" s="44">
        <f>Database!JKK14</f>
        <v>0</v>
      </c>
      <c r="JJS6" s="44">
        <f>Database!JKL14</f>
        <v>0</v>
      </c>
      <c r="JJT6" s="44">
        <f>Database!JKM14</f>
        <v>0</v>
      </c>
      <c r="JJU6" s="44">
        <f>Database!JKN14</f>
        <v>0</v>
      </c>
      <c r="JJV6" s="44">
        <f>Database!JKO14</f>
        <v>0</v>
      </c>
      <c r="JJW6" s="44">
        <f>Database!JKP14</f>
        <v>0</v>
      </c>
      <c r="JJX6" s="44">
        <f>Database!JKQ14</f>
        <v>0</v>
      </c>
      <c r="JJY6" s="44">
        <f>Database!JKR14</f>
        <v>0</v>
      </c>
      <c r="JJZ6" s="44">
        <f>Database!JKS14</f>
        <v>0</v>
      </c>
      <c r="JKA6" s="44">
        <f>Database!JKT14</f>
        <v>0</v>
      </c>
      <c r="JKB6" s="44">
        <f>Database!JKU14</f>
        <v>0</v>
      </c>
      <c r="JKC6" s="44">
        <f>Database!JKV14</f>
        <v>0</v>
      </c>
      <c r="JKD6" s="44">
        <f>Database!JKW14</f>
        <v>0</v>
      </c>
      <c r="JKE6" s="44">
        <f>Database!JKX14</f>
        <v>0</v>
      </c>
      <c r="JKF6" s="44">
        <f>Database!JKY14</f>
        <v>0</v>
      </c>
      <c r="JKG6" s="44">
        <f>Database!JKZ14</f>
        <v>0</v>
      </c>
      <c r="JKH6" s="44">
        <f>Database!JLA14</f>
        <v>0</v>
      </c>
      <c r="JKI6" s="44">
        <f>Database!JLB14</f>
        <v>0</v>
      </c>
      <c r="JKJ6" s="44">
        <f>Database!JLC14</f>
        <v>0</v>
      </c>
      <c r="JKK6" s="44">
        <f>Database!JLD14</f>
        <v>0</v>
      </c>
      <c r="JKL6" s="44">
        <f>Database!JLE14</f>
        <v>0</v>
      </c>
      <c r="JKM6" s="44">
        <f>Database!JLF14</f>
        <v>0</v>
      </c>
      <c r="JKN6" s="44">
        <f>Database!JLG14</f>
        <v>0</v>
      </c>
      <c r="JKO6" s="44">
        <f>Database!JLH14</f>
        <v>0</v>
      </c>
      <c r="JKP6" s="44">
        <f>Database!JLI14</f>
        <v>0</v>
      </c>
      <c r="JKQ6" s="44">
        <f>Database!JLJ14</f>
        <v>0</v>
      </c>
      <c r="JKR6" s="44">
        <f>Database!JLK14</f>
        <v>0</v>
      </c>
      <c r="JKS6" s="44">
        <f>Database!JLL14</f>
        <v>0</v>
      </c>
      <c r="JKT6" s="44">
        <f>Database!JLM14</f>
        <v>0</v>
      </c>
      <c r="JKU6" s="44">
        <f>Database!JLN14</f>
        <v>0</v>
      </c>
      <c r="JKV6" s="44">
        <f>Database!JLO14</f>
        <v>0</v>
      </c>
      <c r="JKW6" s="44">
        <f>Database!JLP14</f>
        <v>0</v>
      </c>
      <c r="JKX6" s="44">
        <f>Database!JLQ14</f>
        <v>0</v>
      </c>
      <c r="JKY6" s="44">
        <f>Database!JLR14</f>
        <v>0</v>
      </c>
      <c r="JKZ6" s="44">
        <f>Database!JLS14</f>
        <v>0</v>
      </c>
      <c r="JLA6" s="44">
        <f>Database!JLT14</f>
        <v>0</v>
      </c>
      <c r="JLB6" s="44">
        <f>Database!JLU14</f>
        <v>0</v>
      </c>
      <c r="JLC6" s="44">
        <f>Database!JLV14</f>
        <v>0</v>
      </c>
      <c r="JLD6" s="44">
        <f>Database!JLW14</f>
        <v>0</v>
      </c>
      <c r="JLE6" s="44">
        <f>Database!JLX14</f>
        <v>0</v>
      </c>
      <c r="JLF6" s="44">
        <f>Database!JLY14</f>
        <v>0</v>
      </c>
      <c r="JLG6" s="44">
        <f>Database!JLZ14</f>
        <v>0</v>
      </c>
      <c r="JLH6" s="44">
        <f>Database!JMA14</f>
        <v>0</v>
      </c>
      <c r="JLI6" s="44">
        <f>Database!JMB14</f>
        <v>0</v>
      </c>
      <c r="JLJ6" s="44">
        <f>Database!JMC14</f>
        <v>0</v>
      </c>
      <c r="JLK6" s="44">
        <f>Database!JMD14</f>
        <v>0</v>
      </c>
      <c r="JLL6" s="44">
        <f>Database!JME14</f>
        <v>0</v>
      </c>
      <c r="JLM6" s="44">
        <f>Database!JMF14</f>
        <v>0</v>
      </c>
      <c r="JLN6" s="44">
        <f>Database!JMG14</f>
        <v>0</v>
      </c>
      <c r="JLO6" s="44">
        <f>Database!JMH14</f>
        <v>0</v>
      </c>
      <c r="JLP6" s="44">
        <f>Database!JMI14</f>
        <v>0</v>
      </c>
      <c r="JLQ6" s="44">
        <f>Database!JMJ14</f>
        <v>0</v>
      </c>
      <c r="JLR6" s="44">
        <f>Database!JMK14</f>
        <v>0</v>
      </c>
      <c r="JLS6" s="44">
        <f>Database!JML14</f>
        <v>0</v>
      </c>
      <c r="JLT6" s="44">
        <f>Database!JMM14</f>
        <v>0</v>
      </c>
      <c r="JLU6" s="44">
        <f>Database!JMN14</f>
        <v>0</v>
      </c>
      <c r="JLV6" s="44">
        <f>Database!JMO14</f>
        <v>0</v>
      </c>
      <c r="JLW6" s="44">
        <f>Database!JMP14</f>
        <v>0</v>
      </c>
      <c r="JLX6" s="44">
        <f>Database!JMQ14</f>
        <v>0</v>
      </c>
      <c r="JLY6" s="44">
        <f>Database!JMR14</f>
        <v>0</v>
      </c>
      <c r="JLZ6" s="44">
        <f>Database!JMS14</f>
        <v>0</v>
      </c>
      <c r="JMA6" s="44">
        <f>Database!JMT14</f>
        <v>0</v>
      </c>
      <c r="JMB6" s="44">
        <f>Database!JMU14</f>
        <v>0</v>
      </c>
      <c r="JMC6" s="44">
        <f>Database!JMV14</f>
        <v>0</v>
      </c>
      <c r="JMD6" s="44">
        <f>Database!JMW14</f>
        <v>0</v>
      </c>
      <c r="JME6" s="44">
        <f>Database!JMX14</f>
        <v>0</v>
      </c>
      <c r="JMF6" s="44">
        <f>Database!JMY14</f>
        <v>0</v>
      </c>
      <c r="JMG6" s="44">
        <f>Database!JMZ14</f>
        <v>0</v>
      </c>
      <c r="JMH6" s="44">
        <f>Database!JNA14</f>
        <v>0</v>
      </c>
      <c r="JMI6" s="44">
        <f>Database!JNB14</f>
        <v>0</v>
      </c>
      <c r="JMJ6" s="44">
        <f>Database!JNC14</f>
        <v>0</v>
      </c>
      <c r="JMK6" s="44">
        <f>Database!JND14</f>
        <v>0</v>
      </c>
      <c r="JML6" s="44">
        <f>Database!JNE14</f>
        <v>0</v>
      </c>
      <c r="JMM6" s="44">
        <f>Database!JNF14</f>
        <v>0</v>
      </c>
      <c r="JMN6" s="44">
        <f>Database!JNG14</f>
        <v>0</v>
      </c>
      <c r="JMO6" s="44">
        <f>Database!JNH14</f>
        <v>0</v>
      </c>
      <c r="JMP6" s="44">
        <f>Database!JNI14</f>
        <v>0</v>
      </c>
      <c r="JMQ6" s="44">
        <f>Database!JNJ14</f>
        <v>0</v>
      </c>
      <c r="JMR6" s="44">
        <f>Database!JNK14</f>
        <v>0</v>
      </c>
      <c r="JMS6" s="44">
        <f>Database!JNL14</f>
        <v>0</v>
      </c>
      <c r="JMT6" s="44">
        <f>Database!JNM14</f>
        <v>0</v>
      </c>
      <c r="JMU6" s="44">
        <f>Database!JNN14</f>
        <v>0</v>
      </c>
      <c r="JMV6" s="44">
        <f>Database!JNO14</f>
        <v>0</v>
      </c>
      <c r="JMW6" s="44">
        <f>Database!JNP14</f>
        <v>0</v>
      </c>
      <c r="JMX6" s="44">
        <f>Database!JNQ14</f>
        <v>0</v>
      </c>
      <c r="JMY6" s="44">
        <f>Database!JNR14</f>
        <v>0</v>
      </c>
      <c r="JMZ6" s="44">
        <f>Database!JNS14</f>
        <v>0</v>
      </c>
      <c r="JNA6" s="44">
        <f>Database!JNT14</f>
        <v>0</v>
      </c>
      <c r="JNB6" s="44">
        <f>Database!JNU14</f>
        <v>0</v>
      </c>
      <c r="JNC6" s="44">
        <f>Database!JNV14</f>
        <v>0</v>
      </c>
      <c r="JND6" s="44">
        <f>Database!JNW14</f>
        <v>0</v>
      </c>
      <c r="JNE6" s="44">
        <f>Database!JNX14</f>
        <v>0</v>
      </c>
      <c r="JNF6" s="44">
        <f>Database!JNY14</f>
        <v>0</v>
      </c>
      <c r="JNG6" s="44">
        <f>Database!JNZ14</f>
        <v>0</v>
      </c>
      <c r="JNH6" s="44">
        <f>Database!JOA14</f>
        <v>0</v>
      </c>
      <c r="JNI6" s="44">
        <f>Database!JOB14</f>
        <v>0</v>
      </c>
      <c r="JNJ6" s="44">
        <f>Database!JOC14</f>
        <v>0</v>
      </c>
      <c r="JNK6" s="44">
        <f>Database!JOD14</f>
        <v>0</v>
      </c>
      <c r="JNL6" s="44">
        <f>Database!JOE14</f>
        <v>0</v>
      </c>
      <c r="JNM6" s="44">
        <f>Database!JOF14</f>
        <v>0</v>
      </c>
      <c r="JNN6" s="44">
        <f>Database!JOG14</f>
        <v>0</v>
      </c>
      <c r="JNO6" s="44">
        <f>Database!JOH14</f>
        <v>0</v>
      </c>
      <c r="JNP6" s="44">
        <f>Database!JOI14</f>
        <v>0</v>
      </c>
      <c r="JNQ6" s="44">
        <f>Database!JOJ14</f>
        <v>0</v>
      </c>
      <c r="JNR6" s="44">
        <f>Database!JOK14</f>
        <v>0</v>
      </c>
      <c r="JNS6" s="44">
        <f>Database!JOL14</f>
        <v>0</v>
      </c>
      <c r="JNT6" s="44">
        <f>Database!JOM14</f>
        <v>0</v>
      </c>
      <c r="JNU6" s="44">
        <f>Database!JON14</f>
        <v>0</v>
      </c>
      <c r="JNV6" s="44">
        <f>Database!JOO14</f>
        <v>0</v>
      </c>
      <c r="JNW6" s="44">
        <f>Database!JOP14</f>
        <v>0</v>
      </c>
      <c r="JNX6" s="44">
        <f>Database!JOQ14</f>
        <v>0</v>
      </c>
      <c r="JNY6" s="44">
        <f>Database!JOR14</f>
        <v>0</v>
      </c>
      <c r="JNZ6" s="44">
        <f>Database!JOS14</f>
        <v>0</v>
      </c>
      <c r="JOA6" s="44">
        <f>Database!JOT14</f>
        <v>0</v>
      </c>
      <c r="JOB6" s="44">
        <f>Database!JOU14</f>
        <v>0</v>
      </c>
      <c r="JOC6" s="44">
        <f>Database!JOV14</f>
        <v>0</v>
      </c>
      <c r="JOD6" s="44">
        <f>Database!JOW14</f>
        <v>0</v>
      </c>
      <c r="JOE6" s="44">
        <f>Database!JOX14</f>
        <v>0</v>
      </c>
      <c r="JOF6" s="44">
        <f>Database!JOY14</f>
        <v>0</v>
      </c>
      <c r="JOG6" s="44">
        <f>Database!JOZ14</f>
        <v>0</v>
      </c>
      <c r="JOH6" s="44">
        <f>Database!JPA14</f>
        <v>0</v>
      </c>
      <c r="JOI6" s="44">
        <f>Database!JPB14</f>
        <v>0</v>
      </c>
      <c r="JOJ6" s="44">
        <f>Database!JPC14</f>
        <v>0</v>
      </c>
      <c r="JOK6" s="44">
        <f>Database!JPD14</f>
        <v>0</v>
      </c>
      <c r="JOL6" s="44">
        <f>Database!JPE14</f>
        <v>0</v>
      </c>
      <c r="JOM6" s="44">
        <f>Database!JPF14</f>
        <v>0</v>
      </c>
      <c r="JON6" s="44">
        <f>Database!JPG14</f>
        <v>0</v>
      </c>
      <c r="JOO6" s="44">
        <f>Database!JPH14</f>
        <v>0</v>
      </c>
      <c r="JOP6" s="44">
        <f>Database!JPI14</f>
        <v>0</v>
      </c>
      <c r="JOQ6" s="44">
        <f>Database!JPJ14</f>
        <v>0</v>
      </c>
      <c r="JOR6" s="44">
        <f>Database!JPK14</f>
        <v>0</v>
      </c>
      <c r="JOS6" s="44">
        <f>Database!JPL14</f>
        <v>0</v>
      </c>
      <c r="JOT6" s="44">
        <f>Database!JPM14</f>
        <v>0</v>
      </c>
      <c r="JOU6" s="44">
        <f>Database!JPN14</f>
        <v>0</v>
      </c>
      <c r="JOV6" s="44">
        <f>Database!JPO14</f>
        <v>0</v>
      </c>
      <c r="JOW6" s="44">
        <f>Database!JPP14</f>
        <v>0</v>
      </c>
      <c r="JOX6" s="44">
        <f>Database!JPQ14</f>
        <v>0</v>
      </c>
      <c r="JOY6" s="44">
        <f>Database!JPR14</f>
        <v>0</v>
      </c>
      <c r="JOZ6" s="44">
        <f>Database!JPS14</f>
        <v>0</v>
      </c>
      <c r="JPA6" s="44">
        <f>Database!JPT14</f>
        <v>0</v>
      </c>
      <c r="JPB6" s="44">
        <f>Database!JPU14</f>
        <v>0</v>
      </c>
      <c r="JPC6" s="44">
        <f>Database!JPV14</f>
        <v>0</v>
      </c>
      <c r="JPD6" s="44">
        <f>Database!JPW14</f>
        <v>0</v>
      </c>
      <c r="JPE6" s="44">
        <f>Database!JPX14</f>
        <v>0</v>
      </c>
      <c r="JPF6" s="44">
        <f>Database!JPY14</f>
        <v>0</v>
      </c>
      <c r="JPG6" s="44">
        <f>Database!JPZ14</f>
        <v>0</v>
      </c>
      <c r="JPH6" s="44">
        <f>Database!JQA14</f>
        <v>0</v>
      </c>
      <c r="JPI6" s="44">
        <f>Database!JQB14</f>
        <v>0</v>
      </c>
      <c r="JPJ6" s="44">
        <f>Database!JQC14</f>
        <v>0</v>
      </c>
      <c r="JPK6" s="44">
        <f>Database!JQD14</f>
        <v>0</v>
      </c>
      <c r="JPL6" s="44">
        <f>Database!JQE14</f>
        <v>0</v>
      </c>
      <c r="JPM6" s="44">
        <f>Database!JQF14</f>
        <v>0</v>
      </c>
      <c r="JPN6" s="44">
        <f>Database!JQG14</f>
        <v>0</v>
      </c>
      <c r="JPO6" s="44">
        <f>Database!JQH14</f>
        <v>0</v>
      </c>
      <c r="JPP6" s="44">
        <f>Database!JQI14</f>
        <v>0</v>
      </c>
      <c r="JPQ6" s="44">
        <f>Database!JQJ14</f>
        <v>0</v>
      </c>
      <c r="JPR6" s="44">
        <f>Database!JQK14</f>
        <v>0</v>
      </c>
      <c r="JPS6" s="44">
        <f>Database!JQL14</f>
        <v>0</v>
      </c>
      <c r="JPT6" s="44">
        <f>Database!JQM14</f>
        <v>0</v>
      </c>
      <c r="JPU6" s="44">
        <f>Database!JQN14</f>
        <v>0</v>
      </c>
      <c r="JPV6" s="44">
        <f>Database!JQO14</f>
        <v>0</v>
      </c>
      <c r="JPW6" s="44">
        <f>Database!JQP14</f>
        <v>0</v>
      </c>
      <c r="JPX6" s="44">
        <f>Database!JQQ14</f>
        <v>0</v>
      </c>
      <c r="JPY6" s="44">
        <f>Database!JQR14</f>
        <v>0</v>
      </c>
      <c r="JPZ6" s="44">
        <f>Database!JQS14</f>
        <v>0</v>
      </c>
      <c r="JQA6" s="44">
        <f>Database!JQT14</f>
        <v>0</v>
      </c>
      <c r="JQB6" s="44">
        <f>Database!JQU14</f>
        <v>0</v>
      </c>
      <c r="JQC6" s="44">
        <f>Database!JQV14</f>
        <v>0</v>
      </c>
      <c r="JQD6" s="44">
        <f>Database!JQW14</f>
        <v>0</v>
      </c>
      <c r="JQE6" s="44">
        <f>Database!JQX14</f>
        <v>0</v>
      </c>
      <c r="JQF6" s="44">
        <f>Database!JQY14</f>
        <v>0</v>
      </c>
      <c r="JQG6" s="44">
        <f>Database!JQZ14</f>
        <v>0</v>
      </c>
      <c r="JQH6" s="44">
        <f>Database!JRA14</f>
        <v>0</v>
      </c>
      <c r="JQI6" s="44">
        <f>Database!JRB14</f>
        <v>0</v>
      </c>
      <c r="JQJ6" s="44">
        <f>Database!JRC14</f>
        <v>0</v>
      </c>
      <c r="JQK6" s="44">
        <f>Database!JRD14</f>
        <v>0</v>
      </c>
      <c r="JQL6" s="44">
        <f>Database!JRE14</f>
        <v>0</v>
      </c>
      <c r="JQM6" s="44">
        <f>Database!JRF14</f>
        <v>0</v>
      </c>
      <c r="JQN6" s="44">
        <f>Database!JRG14</f>
        <v>0</v>
      </c>
      <c r="JQO6" s="44">
        <f>Database!JRH14</f>
        <v>0</v>
      </c>
      <c r="JQP6" s="44">
        <f>Database!JRI14</f>
        <v>0</v>
      </c>
      <c r="JQQ6" s="44">
        <f>Database!JRJ14</f>
        <v>0</v>
      </c>
      <c r="JQR6" s="44">
        <f>Database!JRK14</f>
        <v>0</v>
      </c>
      <c r="JQS6" s="44">
        <f>Database!JRL14</f>
        <v>0</v>
      </c>
      <c r="JQT6" s="44">
        <f>Database!JRM14</f>
        <v>0</v>
      </c>
      <c r="JQU6" s="44">
        <f>Database!JRN14</f>
        <v>0</v>
      </c>
      <c r="JQV6" s="44">
        <f>Database!JRO14</f>
        <v>0</v>
      </c>
      <c r="JQW6" s="44">
        <f>Database!JRP14</f>
        <v>0</v>
      </c>
      <c r="JQX6" s="44">
        <f>Database!JRQ14</f>
        <v>0</v>
      </c>
      <c r="JQY6" s="44">
        <f>Database!JRR14</f>
        <v>0</v>
      </c>
      <c r="JQZ6" s="44">
        <f>Database!JRS14</f>
        <v>0</v>
      </c>
      <c r="JRA6" s="44">
        <f>Database!JRT14</f>
        <v>0</v>
      </c>
      <c r="JRB6" s="44">
        <f>Database!JRU14</f>
        <v>0</v>
      </c>
      <c r="JRC6" s="44">
        <f>Database!JRV14</f>
        <v>0</v>
      </c>
      <c r="JRD6" s="44">
        <f>Database!JRW14</f>
        <v>0</v>
      </c>
      <c r="JRE6" s="44">
        <f>Database!JRX14</f>
        <v>0</v>
      </c>
      <c r="JRF6" s="44">
        <f>Database!JRY14</f>
        <v>0</v>
      </c>
      <c r="JRG6" s="44">
        <f>Database!JRZ14</f>
        <v>0</v>
      </c>
      <c r="JRH6" s="44">
        <f>Database!JSA14</f>
        <v>0</v>
      </c>
      <c r="JRI6" s="44">
        <f>Database!JSB14</f>
        <v>0</v>
      </c>
      <c r="JRJ6" s="44">
        <f>Database!JSC14</f>
        <v>0</v>
      </c>
      <c r="JRK6" s="44">
        <f>Database!JSD14</f>
        <v>0</v>
      </c>
      <c r="JRL6" s="44">
        <f>Database!JSE14</f>
        <v>0</v>
      </c>
      <c r="JRM6" s="44">
        <f>Database!JSF14</f>
        <v>0</v>
      </c>
      <c r="JRN6" s="44">
        <f>Database!JSG14</f>
        <v>0</v>
      </c>
      <c r="JRO6" s="44">
        <f>Database!JSH14</f>
        <v>0</v>
      </c>
      <c r="JRP6" s="44">
        <f>Database!JSI14</f>
        <v>0</v>
      </c>
      <c r="JRQ6" s="44">
        <f>Database!JSJ14</f>
        <v>0</v>
      </c>
      <c r="JRR6" s="44">
        <f>Database!JSK14</f>
        <v>0</v>
      </c>
      <c r="JRS6" s="44">
        <f>Database!JSL14</f>
        <v>0</v>
      </c>
      <c r="JRT6" s="44">
        <f>Database!JSM14</f>
        <v>0</v>
      </c>
      <c r="JRU6" s="44">
        <f>Database!JSN14</f>
        <v>0</v>
      </c>
      <c r="JRV6" s="44">
        <f>Database!JSO14</f>
        <v>0</v>
      </c>
      <c r="JRW6" s="44">
        <f>Database!JSP14</f>
        <v>0</v>
      </c>
      <c r="JRX6" s="44">
        <f>Database!JSQ14</f>
        <v>0</v>
      </c>
      <c r="JRY6" s="44">
        <f>Database!JSR14</f>
        <v>0</v>
      </c>
      <c r="JRZ6" s="44">
        <f>Database!JSS14</f>
        <v>0</v>
      </c>
      <c r="JSA6" s="44">
        <f>Database!JST14</f>
        <v>0</v>
      </c>
      <c r="JSB6" s="44">
        <f>Database!JSU14</f>
        <v>0</v>
      </c>
      <c r="JSC6" s="44">
        <f>Database!JSV14</f>
        <v>0</v>
      </c>
      <c r="JSD6" s="44">
        <f>Database!JSW14</f>
        <v>0</v>
      </c>
      <c r="JSE6" s="44">
        <f>Database!JSX14</f>
        <v>0</v>
      </c>
      <c r="JSF6" s="44">
        <f>Database!JSY14</f>
        <v>0</v>
      </c>
      <c r="JSG6" s="44">
        <f>Database!JSZ14</f>
        <v>0</v>
      </c>
      <c r="JSH6" s="44">
        <f>Database!JTA14</f>
        <v>0</v>
      </c>
      <c r="JSI6" s="44">
        <f>Database!JTB14</f>
        <v>0</v>
      </c>
      <c r="JSJ6" s="44">
        <f>Database!JTC14</f>
        <v>0</v>
      </c>
      <c r="JSK6" s="44">
        <f>Database!JTD14</f>
        <v>0</v>
      </c>
      <c r="JSL6" s="44">
        <f>Database!JTE14</f>
        <v>0</v>
      </c>
      <c r="JSM6" s="44">
        <f>Database!JTF14</f>
        <v>0</v>
      </c>
      <c r="JSN6" s="44">
        <f>Database!JTG14</f>
        <v>0</v>
      </c>
      <c r="JSO6" s="44">
        <f>Database!JTH14</f>
        <v>0</v>
      </c>
      <c r="JSP6" s="44">
        <f>Database!JTI14</f>
        <v>0</v>
      </c>
      <c r="JSQ6" s="44">
        <f>Database!JTJ14</f>
        <v>0</v>
      </c>
      <c r="JSR6" s="44">
        <f>Database!JTK14</f>
        <v>0</v>
      </c>
      <c r="JSS6" s="44">
        <f>Database!JTL14</f>
        <v>0</v>
      </c>
      <c r="JST6" s="44">
        <f>Database!JTM14</f>
        <v>0</v>
      </c>
      <c r="JSU6" s="44">
        <f>Database!JTN14</f>
        <v>0</v>
      </c>
      <c r="JSV6" s="44">
        <f>Database!JTO14</f>
        <v>0</v>
      </c>
      <c r="JSW6" s="44">
        <f>Database!JTP14</f>
        <v>0</v>
      </c>
      <c r="JSX6" s="44">
        <f>Database!JTQ14</f>
        <v>0</v>
      </c>
      <c r="JSY6" s="44">
        <f>Database!JTR14</f>
        <v>0</v>
      </c>
      <c r="JSZ6" s="44">
        <f>Database!JTS14</f>
        <v>0</v>
      </c>
      <c r="JTA6" s="44">
        <f>Database!JTT14</f>
        <v>0</v>
      </c>
      <c r="JTB6" s="44">
        <f>Database!JTU14</f>
        <v>0</v>
      </c>
      <c r="JTC6" s="44">
        <f>Database!JTV14</f>
        <v>0</v>
      </c>
      <c r="JTD6" s="44">
        <f>Database!JTW14</f>
        <v>0</v>
      </c>
      <c r="JTE6" s="44">
        <f>Database!JTX14</f>
        <v>0</v>
      </c>
      <c r="JTF6" s="44">
        <f>Database!JTY14</f>
        <v>0</v>
      </c>
      <c r="JTG6" s="44">
        <f>Database!JTZ14</f>
        <v>0</v>
      </c>
      <c r="JTH6" s="44">
        <f>Database!JUA14</f>
        <v>0</v>
      </c>
      <c r="JTI6" s="44">
        <f>Database!JUB14</f>
        <v>0</v>
      </c>
      <c r="JTJ6" s="44">
        <f>Database!JUC14</f>
        <v>0</v>
      </c>
      <c r="JTK6" s="44">
        <f>Database!JUD14</f>
        <v>0</v>
      </c>
      <c r="JTL6" s="44">
        <f>Database!JUE14</f>
        <v>0</v>
      </c>
      <c r="JTM6" s="44">
        <f>Database!JUF14</f>
        <v>0</v>
      </c>
      <c r="JTN6" s="44">
        <f>Database!JUG14</f>
        <v>0</v>
      </c>
      <c r="JTO6" s="44">
        <f>Database!JUH14</f>
        <v>0</v>
      </c>
      <c r="JTP6" s="44">
        <f>Database!JUI14</f>
        <v>0</v>
      </c>
      <c r="JTQ6" s="44">
        <f>Database!JUJ14</f>
        <v>0</v>
      </c>
      <c r="JTR6" s="44">
        <f>Database!JUK14</f>
        <v>0</v>
      </c>
      <c r="JTS6" s="44">
        <f>Database!JUL14</f>
        <v>0</v>
      </c>
      <c r="JTT6" s="44">
        <f>Database!JUM14</f>
        <v>0</v>
      </c>
      <c r="JTU6" s="44">
        <f>Database!JUN14</f>
        <v>0</v>
      </c>
      <c r="JTV6" s="44">
        <f>Database!JUO14</f>
        <v>0</v>
      </c>
      <c r="JTW6" s="44">
        <f>Database!JUP14</f>
        <v>0</v>
      </c>
      <c r="JTX6" s="44">
        <f>Database!JUQ14</f>
        <v>0</v>
      </c>
      <c r="JTY6" s="44">
        <f>Database!JUR14</f>
        <v>0</v>
      </c>
      <c r="JTZ6" s="44">
        <f>Database!JUS14</f>
        <v>0</v>
      </c>
      <c r="JUA6" s="44">
        <f>Database!JUT14</f>
        <v>0</v>
      </c>
      <c r="JUB6" s="44">
        <f>Database!JUU14</f>
        <v>0</v>
      </c>
      <c r="JUC6" s="44">
        <f>Database!JUV14</f>
        <v>0</v>
      </c>
      <c r="JUD6" s="44">
        <f>Database!JUW14</f>
        <v>0</v>
      </c>
      <c r="JUE6" s="44">
        <f>Database!JUX14</f>
        <v>0</v>
      </c>
      <c r="JUF6" s="44">
        <f>Database!JUY14</f>
        <v>0</v>
      </c>
      <c r="JUG6" s="44">
        <f>Database!JUZ14</f>
        <v>0</v>
      </c>
      <c r="JUH6" s="44">
        <f>Database!JVA14</f>
        <v>0</v>
      </c>
      <c r="JUI6" s="44">
        <f>Database!JVB14</f>
        <v>0</v>
      </c>
      <c r="JUJ6" s="44">
        <f>Database!JVC14</f>
        <v>0</v>
      </c>
      <c r="JUK6" s="44">
        <f>Database!JVD14</f>
        <v>0</v>
      </c>
      <c r="JUL6" s="44">
        <f>Database!JVE14</f>
        <v>0</v>
      </c>
      <c r="JUM6" s="44">
        <f>Database!JVF14</f>
        <v>0</v>
      </c>
      <c r="JUN6" s="44">
        <f>Database!JVG14</f>
        <v>0</v>
      </c>
      <c r="JUO6" s="44">
        <f>Database!JVH14</f>
        <v>0</v>
      </c>
      <c r="JUP6" s="44">
        <f>Database!JVI14</f>
        <v>0</v>
      </c>
      <c r="JUQ6" s="44">
        <f>Database!JVJ14</f>
        <v>0</v>
      </c>
      <c r="JUR6" s="44">
        <f>Database!JVK14</f>
        <v>0</v>
      </c>
      <c r="JUS6" s="44">
        <f>Database!JVL14</f>
        <v>0</v>
      </c>
      <c r="JUT6" s="44">
        <f>Database!JVM14</f>
        <v>0</v>
      </c>
      <c r="JUU6" s="44">
        <f>Database!JVN14</f>
        <v>0</v>
      </c>
      <c r="JUV6" s="44">
        <f>Database!JVO14</f>
        <v>0</v>
      </c>
      <c r="JUW6" s="44">
        <f>Database!JVP14</f>
        <v>0</v>
      </c>
      <c r="JUX6" s="44">
        <f>Database!JVQ14</f>
        <v>0</v>
      </c>
      <c r="JUY6" s="44">
        <f>Database!JVR14</f>
        <v>0</v>
      </c>
      <c r="JUZ6" s="44">
        <f>Database!JVS14</f>
        <v>0</v>
      </c>
      <c r="JVA6" s="44">
        <f>Database!JVT14</f>
        <v>0</v>
      </c>
      <c r="JVB6" s="44">
        <f>Database!JVU14</f>
        <v>0</v>
      </c>
      <c r="JVC6" s="44">
        <f>Database!JVV14</f>
        <v>0</v>
      </c>
      <c r="JVD6" s="44">
        <f>Database!JVW14</f>
        <v>0</v>
      </c>
      <c r="JVE6" s="44">
        <f>Database!JVX14</f>
        <v>0</v>
      </c>
      <c r="JVF6" s="44">
        <f>Database!JVY14</f>
        <v>0</v>
      </c>
      <c r="JVG6" s="44">
        <f>Database!JVZ14</f>
        <v>0</v>
      </c>
      <c r="JVH6" s="44">
        <f>Database!JWA14</f>
        <v>0</v>
      </c>
      <c r="JVI6" s="44">
        <f>Database!JWB14</f>
        <v>0</v>
      </c>
      <c r="JVJ6" s="44">
        <f>Database!JWC14</f>
        <v>0</v>
      </c>
      <c r="JVK6" s="44">
        <f>Database!JWD14</f>
        <v>0</v>
      </c>
      <c r="JVL6" s="44">
        <f>Database!JWE14</f>
        <v>0</v>
      </c>
      <c r="JVM6" s="44">
        <f>Database!JWF14</f>
        <v>0</v>
      </c>
      <c r="JVN6" s="44">
        <f>Database!JWG14</f>
        <v>0</v>
      </c>
      <c r="JVO6" s="44">
        <f>Database!JWH14</f>
        <v>0</v>
      </c>
      <c r="JVP6" s="44">
        <f>Database!JWI14</f>
        <v>0</v>
      </c>
      <c r="JVQ6" s="44">
        <f>Database!JWJ14</f>
        <v>0</v>
      </c>
      <c r="JVR6" s="44">
        <f>Database!JWK14</f>
        <v>0</v>
      </c>
      <c r="JVS6" s="44">
        <f>Database!JWL14</f>
        <v>0</v>
      </c>
      <c r="JVT6" s="44">
        <f>Database!JWM14</f>
        <v>0</v>
      </c>
      <c r="JVU6" s="44">
        <f>Database!JWN14</f>
        <v>0</v>
      </c>
      <c r="JVV6" s="44">
        <f>Database!JWO14</f>
        <v>0</v>
      </c>
      <c r="JVW6" s="44">
        <f>Database!JWP14</f>
        <v>0</v>
      </c>
      <c r="JVX6" s="44">
        <f>Database!JWQ14</f>
        <v>0</v>
      </c>
      <c r="JVY6" s="44">
        <f>Database!JWR14</f>
        <v>0</v>
      </c>
      <c r="JVZ6" s="44">
        <f>Database!JWS14</f>
        <v>0</v>
      </c>
      <c r="JWA6" s="44">
        <f>Database!JWT14</f>
        <v>0</v>
      </c>
      <c r="JWB6" s="44">
        <f>Database!JWU14</f>
        <v>0</v>
      </c>
      <c r="JWC6" s="44">
        <f>Database!JWV14</f>
        <v>0</v>
      </c>
      <c r="JWD6" s="44">
        <f>Database!JWW14</f>
        <v>0</v>
      </c>
      <c r="JWE6" s="44">
        <f>Database!JWX14</f>
        <v>0</v>
      </c>
      <c r="JWF6" s="44">
        <f>Database!JWY14</f>
        <v>0</v>
      </c>
      <c r="JWG6" s="44">
        <f>Database!JWZ14</f>
        <v>0</v>
      </c>
      <c r="JWH6" s="44">
        <f>Database!JXA14</f>
        <v>0</v>
      </c>
      <c r="JWI6" s="44">
        <f>Database!JXB14</f>
        <v>0</v>
      </c>
      <c r="JWJ6" s="44">
        <f>Database!JXC14</f>
        <v>0</v>
      </c>
      <c r="JWK6" s="44">
        <f>Database!JXD14</f>
        <v>0</v>
      </c>
      <c r="JWL6" s="44">
        <f>Database!JXE14</f>
        <v>0</v>
      </c>
      <c r="JWM6" s="44">
        <f>Database!JXF14</f>
        <v>0</v>
      </c>
      <c r="JWN6" s="44">
        <f>Database!JXG14</f>
        <v>0</v>
      </c>
      <c r="JWO6" s="44">
        <f>Database!JXH14</f>
        <v>0</v>
      </c>
      <c r="JWP6" s="44">
        <f>Database!JXI14</f>
        <v>0</v>
      </c>
      <c r="JWQ6" s="44">
        <f>Database!JXJ14</f>
        <v>0</v>
      </c>
      <c r="JWR6" s="44">
        <f>Database!JXK14</f>
        <v>0</v>
      </c>
      <c r="JWS6" s="44">
        <f>Database!JXL14</f>
        <v>0</v>
      </c>
      <c r="JWT6" s="44">
        <f>Database!JXM14</f>
        <v>0</v>
      </c>
      <c r="JWU6" s="44">
        <f>Database!JXN14</f>
        <v>0</v>
      </c>
      <c r="JWV6" s="44">
        <f>Database!JXO14</f>
        <v>0</v>
      </c>
      <c r="JWW6" s="44">
        <f>Database!JXP14</f>
        <v>0</v>
      </c>
      <c r="JWX6" s="44">
        <f>Database!JXQ14</f>
        <v>0</v>
      </c>
      <c r="JWY6" s="44">
        <f>Database!JXR14</f>
        <v>0</v>
      </c>
      <c r="JWZ6" s="44">
        <f>Database!JXS14</f>
        <v>0</v>
      </c>
      <c r="JXA6" s="44">
        <f>Database!JXT14</f>
        <v>0</v>
      </c>
      <c r="JXB6" s="44">
        <f>Database!JXU14</f>
        <v>0</v>
      </c>
      <c r="JXC6" s="44">
        <f>Database!JXV14</f>
        <v>0</v>
      </c>
      <c r="JXD6" s="44">
        <f>Database!JXW14</f>
        <v>0</v>
      </c>
      <c r="JXE6" s="44">
        <f>Database!JXX14</f>
        <v>0</v>
      </c>
      <c r="JXF6" s="44">
        <f>Database!JXY14</f>
        <v>0</v>
      </c>
      <c r="JXG6" s="44">
        <f>Database!JXZ14</f>
        <v>0</v>
      </c>
      <c r="JXH6" s="44">
        <f>Database!JYA14</f>
        <v>0</v>
      </c>
      <c r="JXI6" s="44">
        <f>Database!JYB14</f>
        <v>0</v>
      </c>
      <c r="JXJ6" s="44">
        <f>Database!JYC14</f>
        <v>0</v>
      </c>
      <c r="JXK6" s="44">
        <f>Database!JYD14</f>
        <v>0</v>
      </c>
      <c r="JXL6" s="44">
        <f>Database!JYE14</f>
        <v>0</v>
      </c>
      <c r="JXM6" s="44">
        <f>Database!JYF14</f>
        <v>0</v>
      </c>
      <c r="JXN6" s="44">
        <f>Database!JYG14</f>
        <v>0</v>
      </c>
      <c r="JXO6" s="44">
        <f>Database!JYH14</f>
        <v>0</v>
      </c>
      <c r="JXP6" s="44">
        <f>Database!JYI14</f>
        <v>0</v>
      </c>
      <c r="JXQ6" s="44">
        <f>Database!JYJ14</f>
        <v>0</v>
      </c>
      <c r="JXR6" s="44">
        <f>Database!JYK14</f>
        <v>0</v>
      </c>
      <c r="JXS6" s="44">
        <f>Database!JYL14</f>
        <v>0</v>
      </c>
      <c r="JXT6" s="44">
        <f>Database!JYM14</f>
        <v>0</v>
      </c>
      <c r="JXU6" s="44">
        <f>Database!JYN14</f>
        <v>0</v>
      </c>
      <c r="JXV6" s="44">
        <f>Database!JYO14</f>
        <v>0</v>
      </c>
      <c r="JXW6" s="44">
        <f>Database!JYP14</f>
        <v>0</v>
      </c>
      <c r="JXX6" s="44">
        <f>Database!JYQ14</f>
        <v>0</v>
      </c>
      <c r="JXY6" s="44">
        <f>Database!JYR14</f>
        <v>0</v>
      </c>
      <c r="JXZ6" s="44">
        <f>Database!JYS14</f>
        <v>0</v>
      </c>
      <c r="JYA6" s="44">
        <f>Database!JYT14</f>
        <v>0</v>
      </c>
      <c r="JYB6" s="44">
        <f>Database!JYU14</f>
        <v>0</v>
      </c>
      <c r="JYC6" s="44">
        <f>Database!JYV14</f>
        <v>0</v>
      </c>
      <c r="JYD6" s="44">
        <f>Database!JYW14</f>
        <v>0</v>
      </c>
      <c r="JYE6" s="44">
        <f>Database!JYX14</f>
        <v>0</v>
      </c>
      <c r="JYF6" s="44">
        <f>Database!JYY14</f>
        <v>0</v>
      </c>
      <c r="JYG6" s="44">
        <f>Database!JYZ14</f>
        <v>0</v>
      </c>
      <c r="JYH6" s="44">
        <f>Database!JZA14</f>
        <v>0</v>
      </c>
      <c r="JYI6" s="44">
        <f>Database!JZB14</f>
        <v>0</v>
      </c>
      <c r="JYJ6" s="44">
        <f>Database!JZC14</f>
        <v>0</v>
      </c>
      <c r="JYK6" s="44">
        <f>Database!JZD14</f>
        <v>0</v>
      </c>
      <c r="JYL6" s="44">
        <f>Database!JZE14</f>
        <v>0</v>
      </c>
      <c r="JYM6" s="44">
        <f>Database!JZF14</f>
        <v>0</v>
      </c>
      <c r="JYN6" s="44">
        <f>Database!JZG14</f>
        <v>0</v>
      </c>
      <c r="JYO6" s="44">
        <f>Database!JZH14</f>
        <v>0</v>
      </c>
      <c r="JYP6" s="44">
        <f>Database!JZI14</f>
        <v>0</v>
      </c>
      <c r="JYQ6" s="44">
        <f>Database!JZJ14</f>
        <v>0</v>
      </c>
      <c r="JYR6" s="44">
        <f>Database!JZK14</f>
        <v>0</v>
      </c>
      <c r="JYS6" s="44">
        <f>Database!JZL14</f>
        <v>0</v>
      </c>
      <c r="JYT6" s="44">
        <f>Database!JZM14</f>
        <v>0</v>
      </c>
      <c r="JYU6" s="44">
        <f>Database!JZN14</f>
        <v>0</v>
      </c>
      <c r="JYV6" s="44">
        <f>Database!JZO14</f>
        <v>0</v>
      </c>
      <c r="JYW6" s="44">
        <f>Database!JZP14</f>
        <v>0</v>
      </c>
      <c r="JYX6" s="44">
        <f>Database!JZQ14</f>
        <v>0</v>
      </c>
      <c r="JYY6" s="44">
        <f>Database!JZR14</f>
        <v>0</v>
      </c>
      <c r="JYZ6" s="44">
        <f>Database!JZS14</f>
        <v>0</v>
      </c>
      <c r="JZA6" s="44">
        <f>Database!JZT14</f>
        <v>0</v>
      </c>
      <c r="JZB6" s="44">
        <f>Database!JZU14</f>
        <v>0</v>
      </c>
      <c r="JZC6" s="44">
        <f>Database!JZV14</f>
        <v>0</v>
      </c>
      <c r="JZD6" s="44">
        <f>Database!JZW14</f>
        <v>0</v>
      </c>
      <c r="JZE6" s="44">
        <f>Database!JZX14</f>
        <v>0</v>
      </c>
      <c r="JZF6" s="44">
        <f>Database!JZY14</f>
        <v>0</v>
      </c>
      <c r="JZG6" s="44">
        <f>Database!JZZ14</f>
        <v>0</v>
      </c>
      <c r="JZH6" s="44">
        <f>Database!KAA14</f>
        <v>0</v>
      </c>
      <c r="JZI6" s="44">
        <f>Database!KAB14</f>
        <v>0</v>
      </c>
      <c r="JZJ6" s="44">
        <f>Database!KAC14</f>
        <v>0</v>
      </c>
      <c r="JZK6" s="44">
        <f>Database!KAD14</f>
        <v>0</v>
      </c>
      <c r="JZL6" s="44">
        <f>Database!KAE14</f>
        <v>0</v>
      </c>
      <c r="JZM6" s="44">
        <f>Database!KAF14</f>
        <v>0</v>
      </c>
      <c r="JZN6" s="44">
        <f>Database!KAG14</f>
        <v>0</v>
      </c>
      <c r="JZO6" s="44">
        <f>Database!KAH14</f>
        <v>0</v>
      </c>
      <c r="JZP6" s="44">
        <f>Database!KAI14</f>
        <v>0</v>
      </c>
      <c r="JZQ6" s="44">
        <f>Database!KAJ14</f>
        <v>0</v>
      </c>
      <c r="JZR6" s="44">
        <f>Database!KAK14</f>
        <v>0</v>
      </c>
      <c r="JZS6" s="44">
        <f>Database!KAL14</f>
        <v>0</v>
      </c>
      <c r="JZT6" s="44">
        <f>Database!KAM14</f>
        <v>0</v>
      </c>
      <c r="JZU6" s="44">
        <f>Database!KAN14</f>
        <v>0</v>
      </c>
      <c r="JZV6" s="44">
        <f>Database!KAO14</f>
        <v>0</v>
      </c>
      <c r="JZW6" s="44">
        <f>Database!KAP14</f>
        <v>0</v>
      </c>
      <c r="JZX6" s="44">
        <f>Database!KAQ14</f>
        <v>0</v>
      </c>
      <c r="JZY6" s="44">
        <f>Database!KAR14</f>
        <v>0</v>
      </c>
      <c r="JZZ6" s="44">
        <f>Database!KAS14</f>
        <v>0</v>
      </c>
      <c r="KAA6" s="44">
        <f>Database!KAT14</f>
        <v>0</v>
      </c>
      <c r="KAB6" s="44">
        <f>Database!KAU14</f>
        <v>0</v>
      </c>
      <c r="KAC6" s="44">
        <f>Database!KAV14</f>
        <v>0</v>
      </c>
      <c r="KAD6" s="44">
        <f>Database!KAW14</f>
        <v>0</v>
      </c>
      <c r="KAE6" s="44">
        <f>Database!KAX14</f>
        <v>0</v>
      </c>
      <c r="KAF6" s="44">
        <f>Database!KAY14</f>
        <v>0</v>
      </c>
      <c r="KAG6" s="44">
        <f>Database!KAZ14</f>
        <v>0</v>
      </c>
      <c r="KAH6" s="44">
        <f>Database!KBA14</f>
        <v>0</v>
      </c>
      <c r="KAI6" s="44">
        <f>Database!KBB14</f>
        <v>0</v>
      </c>
      <c r="KAJ6" s="44">
        <f>Database!KBC14</f>
        <v>0</v>
      </c>
      <c r="KAK6" s="44">
        <f>Database!KBD14</f>
        <v>0</v>
      </c>
      <c r="KAL6" s="44">
        <f>Database!KBE14</f>
        <v>0</v>
      </c>
      <c r="KAM6" s="44">
        <f>Database!KBF14</f>
        <v>0</v>
      </c>
      <c r="KAN6" s="44">
        <f>Database!KBG14</f>
        <v>0</v>
      </c>
      <c r="KAO6" s="44">
        <f>Database!KBH14</f>
        <v>0</v>
      </c>
      <c r="KAP6" s="44">
        <f>Database!KBI14</f>
        <v>0</v>
      </c>
      <c r="KAQ6" s="44">
        <f>Database!KBJ14</f>
        <v>0</v>
      </c>
      <c r="KAR6" s="44">
        <f>Database!KBK14</f>
        <v>0</v>
      </c>
      <c r="KAS6" s="44">
        <f>Database!KBL14</f>
        <v>0</v>
      </c>
      <c r="KAT6" s="44">
        <f>Database!KBM14</f>
        <v>0</v>
      </c>
      <c r="KAU6" s="44">
        <f>Database!KBN14</f>
        <v>0</v>
      </c>
      <c r="KAV6" s="44">
        <f>Database!KBO14</f>
        <v>0</v>
      </c>
      <c r="KAW6" s="44">
        <f>Database!KBP14</f>
        <v>0</v>
      </c>
      <c r="KAX6" s="44">
        <f>Database!KBQ14</f>
        <v>0</v>
      </c>
      <c r="KAY6" s="44">
        <f>Database!KBR14</f>
        <v>0</v>
      </c>
      <c r="KAZ6" s="44">
        <f>Database!KBS14</f>
        <v>0</v>
      </c>
      <c r="KBA6" s="44">
        <f>Database!KBT14</f>
        <v>0</v>
      </c>
      <c r="KBB6" s="44">
        <f>Database!KBU14</f>
        <v>0</v>
      </c>
      <c r="KBC6" s="44">
        <f>Database!KBV14</f>
        <v>0</v>
      </c>
      <c r="KBD6" s="44">
        <f>Database!KBW14</f>
        <v>0</v>
      </c>
      <c r="KBE6" s="44">
        <f>Database!KBX14</f>
        <v>0</v>
      </c>
      <c r="KBF6" s="44">
        <f>Database!KBY14</f>
        <v>0</v>
      </c>
      <c r="KBG6" s="44">
        <f>Database!KBZ14</f>
        <v>0</v>
      </c>
      <c r="KBH6" s="44">
        <f>Database!KCA14</f>
        <v>0</v>
      </c>
      <c r="KBI6" s="44">
        <f>Database!KCB14</f>
        <v>0</v>
      </c>
      <c r="KBJ6" s="44">
        <f>Database!KCC14</f>
        <v>0</v>
      </c>
      <c r="KBK6" s="44">
        <f>Database!KCD14</f>
        <v>0</v>
      </c>
      <c r="KBL6" s="44">
        <f>Database!KCE14</f>
        <v>0</v>
      </c>
      <c r="KBM6" s="44">
        <f>Database!KCF14</f>
        <v>0</v>
      </c>
      <c r="KBN6" s="44">
        <f>Database!KCG14</f>
        <v>0</v>
      </c>
      <c r="KBO6" s="44">
        <f>Database!KCH14</f>
        <v>0</v>
      </c>
      <c r="KBP6" s="44">
        <f>Database!KCI14</f>
        <v>0</v>
      </c>
      <c r="KBQ6" s="44">
        <f>Database!KCJ14</f>
        <v>0</v>
      </c>
      <c r="KBR6" s="44">
        <f>Database!KCK14</f>
        <v>0</v>
      </c>
      <c r="KBS6" s="44">
        <f>Database!KCL14</f>
        <v>0</v>
      </c>
      <c r="KBT6" s="44">
        <f>Database!KCM14</f>
        <v>0</v>
      </c>
      <c r="KBU6" s="44">
        <f>Database!KCN14</f>
        <v>0</v>
      </c>
      <c r="KBV6" s="44">
        <f>Database!KCO14</f>
        <v>0</v>
      </c>
      <c r="KBW6" s="44">
        <f>Database!KCP14</f>
        <v>0</v>
      </c>
      <c r="KBX6" s="44">
        <f>Database!KCQ14</f>
        <v>0</v>
      </c>
      <c r="KBY6" s="44">
        <f>Database!KCR14</f>
        <v>0</v>
      </c>
      <c r="KBZ6" s="44">
        <f>Database!KCS14</f>
        <v>0</v>
      </c>
      <c r="KCA6" s="44">
        <f>Database!KCT14</f>
        <v>0</v>
      </c>
      <c r="KCB6" s="44">
        <f>Database!KCU14</f>
        <v>0</v>
      </c>
      <c r="KCC6" s="44">
        <f>Database!KCV14</f>
        <v>0</v>
      </c>
      <c r="KCD6" s="44">
        <f>Database!KCW14</f>
        <v>0</v>
      </c>
      <c r="KCE6" s="44">
        <f>Database!KCX14</f>
        <v>0</v>
      </c>
      <c r="KCF6" s="44">
        <f>Database!KCY14</f>
        <v>0</v>
      </c>
      <c r="KCG6" s="44">
        <f>Database!KCZ14</f>
        <v>0</v>
      </c>
      <c r="KCH6" s="44">
        <f>Database!KDA14</f>
        <v>0</v>
      </c>
      <c r="KCI6" s="44">
        <f>Database!KDB14</f>
        <v>0</v>
      </c>
      <c r="KCJ6" s="44">
        <f>Database!KDC14</f>
        <v>0</v>
      </c>
      <c r="KCK6" s="44">
        <f>Database!KDD14</f>
        <v>0</v>
      </c>
      <c r="KCL6" s="44">
        <f>Database!KDE14</f>
        <v>0</v>
      </c>
      <c r="KCM6" s="44">
        <f>Database!KDF14</f>
        <v>0</v>
      </c>
      <c r="KCN6" s="44">
        <f>Database!KDG14</f>
        <v>0</v>
      </c>
      <c r="KCO6" s="44">
        <f>Database!KDH14</f>
        <v>0</v>
      </c>
      <c r="KCP6" s="44">
        <f>Database!KDI14</f>
        <v>0</v>
      </c>
      <c r="KCQ6" s="44">
        <f>Database!KDJ14</f>
        <v>0</v>
      </c>
      <c r="KCR6" s="44">
        <f>Database!KDK14</f>
        <v>0</v>
      </c>
      <c r="KCS6" s="44">
        <f>Database!KDL14</f>
        <v>0</v>
      </c>
      <c r="KCT6" s="44">
        <f>Database!KDM14</f>
        <v>0</v>
      </c>
      <c r="KCU6" s="44">
        <f>Database!KDN14</f>
        <v>0</v>
      </c>
      <c r="KCV6" s="44">
        <f>Database!KDO14</f>
        <v>0</v>
      </c>
      <c r="KCW6" s="44">
        <f>Database!KDP14</f>
        <v>0</v>
      </c>
      <c r="KCX6" s="44">
        <f>Database!KDQ14</f>
        <v>0</v>
      </c>
      <c r="KCY6" s="44">
        <f>Database!KDR14</f>
        <v>0</v>
      </c>
      <c r="KCZ6" s="44">
        <f>Database!KDS14</f>
        <v>0</v>
      </c>
      <c r="KDA6" s="44">
        <f>Database!KDT14</f>
        <v>0</v>
      </c>
      <c r="KDB6" s="44">
        <f>Database!KDU14</f>
        <v>0</v>
      </c>
      <c r="KDC6" s="44">
        <f>Database!KDV14</f>
        <v>0</v>
      </c>
      <c r="KDD6" s="44">
        <f>Database!KDW14</f>
        <v>0</v>
      </c>
      <c r="KDE6" s="44">
        <f>Database!KDX14</f>
        <v>0</v>
      </c>
      <c r="KDF6" s="44">
        <f>Database!KDY14</f>
        <v>0</v>
      </c>
      <c r="KDG6" s="44">
        <f>Database!KDZ14</f>
        <v>0</v>
      </c>
      <c r="KDH6" s="44">
        <f>Database!KEA14</f>
        <v>0</v>
      </c>
      <c r="KDI6" s="44">
        <f>Database!KEB14</f>
        <v>0</v>
      </c>
      <c r="KDJ6" s="44">
        <f>Database!KEC14</f>
        <v>0</v>
      </c>
      <c r="KDK6" s="44">
        <f>Database!KED14</f>
        <v>0</v>
      </c>
      <c r="KDL6" s="44">
        <f>Database!KEE14</f>
        <v>0</v>
      </c>
      <c r="KDM6" s="44">
        <f>Database!KEF14</f>
        <v>0</v>
      </c>
      <c r="KDN6" s="44">
        <f>Database!KEG14</f>
        <v>0</v>
      </c>
      <c r="KDO6" s="44">
        <f>Database!KEH14</f>
        <v>0</v>
      </c>
      <c r="KDP6" s="44">
        <f>Database!KEI14</f>
        <v>0</v>
      </c>
      <c r="KDQ6" s="44">
        <f>Database!KEJ14</f>
        <v>0</v>
      </c>
      <c r="KDR6" s="44">
        <f>Database!KEK14</f>
        <v>0</v>
      </c>
      <c r="KDS6" s="44">
        <f>Database!KEL14</f>
        <v>0</v>
      </c>
      <c r="KDT6" s="44">
        <f>Database!KEM14</f>
        <v>0</v>
      </c>
      <c r="KDU6" s="44">
        <f>Database!KEN14</f>
        <v>0</v>
      </c>
      <c r="KDV6" s="44">
        <f>Database!KEO14</f>
        <v>0</v>
      </c>
      <c r="KDW6" s="44">
        <f>Database!KEP14</f>
        <v>0</v>
      </c>
      <c r="KDX6" s="44">
        <f>Database!KEQ14</f>
        <v>0</v>
      </c>
      <c r="KDY6" s="44">
        <f>Database!KER14</f>
        <v>0</v>
      </c>
      <c r="KDZ6" s="44">
        <f>Database!KES14</f>
        <v>0</v>
      </c>
      <c r="KEA6" s="44">
        <f>Database!KET14</f>
        <v>0</v>
      </c>
      <c r="KEB6" s="44">
        <f>Database!KEU14</f>
        <v>0</v>
      </c>
      <c r="KEC6" s="44">
        <f>Database!KEV14</f>
        <v>0</v>
      </c>
      <c r="KED6" s="44">
        <f>Database!KEW14</f>
        <v>0</v>
      </c>
      <c r="KEE6" s="44">
        <f>Database!KEX14</f>
        <v>0</v>
      </c>
      <c r="KEF6" s="44">
        <f>Database!KEY14</f>
        <v>0</v>
      </c>
      <c r="KEG6" s="44">
        <f>Database!KEZ14</f>
        <v>0</v>
      </c>
      <c r="KEH6" s="44">
        <f>Database!KFA14</f>
        <v>0</v>
      </c>
      <c r="KEI6" s="44">
        <f>Database!KFB14</f>
        <v>0</v>
      </c>
      <c r="KEJ6" s="44">
        <f>Database!KFC14</f>
        <v>0</v>
      </c>
      <c r="KEK6" s="44">
        <f>Database!KFD14</f>
        <v>0</v>
      </c>
      <c r="KEL6" s="44">
        <f>Database!KFE14</f>
        <v>0</v>
      </c>
      <c r="KEM6" s="44">
        <f>Database!KFF14</f>
        <v>0</v>
      </c>
      <c r="KEN6" s="44">
        <f>Database!KFG14</f>
        <v>0</v>
      </c>
      <c r="KEO6" s="44">
        <f>Database!KFH14</f>
        <v>0</v>
      </c>
      <c r="KEP6" s="44">
        <f>Database!KFI14</f>
        <v>0</v>
      </c>
      <c r="KEQ6" s="44">
        <f>Database!KFJ14</f>
        <v>0</v>
      </c>
      <c r="KER6" s="44">
        <f>Database!KFK14</f>
        <v>0</v>
      </c>
      <c r="KES6" s="44">
        <f>Database!KFL14</f>
        <v>0</v>
      </c>
      <c r="KET6" s="44">
        <f>Database!KFM14</f>
        <v>0</v>
      </c>
      <c r="KEU6" s="44">
        <f>Database!KFN14</f>
        <v>0</v>
      </c>
      <c r="KEV6" s="44">
        <f>Database!KFO14</f>
        <v>0</v>
      </c>
      <c r="KEW6" s="44">
        <f>Database!KFP14</f>
        <v>0</v>
      </c>
      <c r="KEX6" s="44">
        <f>Database!KFQ14</f>
        <v>0</v>
      </c>
      <c r="KEY6" s="44">
        <f>Database!KFR14</f>
        <v>0</v>
      </c>
      <c r="KEZ6" s="44">
        <f>Database!KFS14</f>
        <v>0</v>
      </c>
      <c r="KFA6" s="44">
        <f>Database!KFT14</f>
        <v>0</v>
      </c>
      <c r="KFB6" s="44">
        <f>Database!KFU14</f>
        <v>0</v>
      </c>
      <c r="KFC6" s="44">
        <f>Database!KFV14</f>
        <v>0</v>
      </c>
      <c r="KFD6" s="44">
        <f>Database!KFW14</f>
        <v>0</v>
      </c>
      <c r="KFE6" s="44">
        <f>Database!KFX14</f>
        <v>0</v>
      </c>
      <c r="KFF6" s="44">
        <f>Database!KFY14</f>
        <v>0</v>
      </c>
      <c r="KFG6" s="44">
        <f>Database!KFZ14</f>
        <v>0</v>
      </c>
      <c r="KFH6" s="44">
        <f>Database!KGA14</f>
        <v>0</v>
      </c>
      <c r="KFI6" s="44">
        <f>Database!KGB14</f>
        <v>0</v>
      </c>
      <c r="KFJ6" s="44">
        <f>Database!KGC14</f>
        <v>0</v>
      </c>
      <c r="KFK6" s="44">
        <f>Database!KGD14</f>
        <v>0</v>
      </c>
      <c r="KFL6" s="44">
        <f>Database!KGE14</f>
        <v>0</v>
      </c>
      <c r="KFM6" s="44">
        <f>Database!KGF14</f>
        <v>0</v>
      </c>
      <c r="KFN6" s="44">
        <f>Database!KGG14</f>
        <v>0</v>
      </c>
      <c r="KFO6" s="44">
        <f>Database!KGH14</f>
        <v>0</v>
      </c>
      <c r="KFP6" s="44">
        <f>Database!KGI14</f>
        <v>0</v>
      </c>
      <c r="KFQ6" s="44">
        <f>Database!KGJ14</f>
        <v>0</v>
      </c>
      <c r="KFR6" s="44">
        <f>Database!KGK14</f>
        <v>0</v>
      </c>
      <c r="KFS6" s="44">
        <f>Database!KGL14</f>
        <v>0</v>
      </c>
      <c r="KFT6" s="44">
        <f>Database!KGM14</f>
        <v>0</v>
      </c>
      <c r="KFU6" s="44">
        <f>Database!KGN14</f>
        <v>0</v>
      </c>
      <c r="KFV6" s="44">
        <f>Database!KGO14</f>
        <v>0</v>
      </c>
      <c r="KFW6" s="44">
        <f>Database!KGP14</f>
        <v>0</v>
      </c>
      <c r="KFX6" s="44">
        <f>Database!KGQ14</f>
        <v>0</v>
      </c>
      <c r="KFY6" s="44">
        <f>Database!KGR14</f>
        <v>0</v>
      </c>
      <c r="KFZ6" s="44">
        <f>Database!KGS14</f>
        <v>0</v>
      </c>
      <c r="KGA6" s="44">
        <f>Database!KGT14</f>
        <v>0</v>
      </c>
      <c r="KGB6" s="44">
        <f>Database!KGU14</f>
        <v>0</v>
      </c>
      <c r="KGC6" s="44">
        <f>Database!KGV14</f>
        <v>0</v>
      </c>
      <c r="KGD6" s="44">
        <f>Database!KGW14</f>
        <v>0</v>
      </c>
      <c r="KGE6" s="44">
        <f>Database!KGX14</f>
        <v>0</v>
      </c>
      <c r="KGF6" s="44">
        <f>Database!KGY14</f>
        <v>0</v>
      </c>
      <c r="KGG6" s="44">
        <f>Database!KGZ14</f>
        <v>0</v>
      </c>
      <c r="KGH6" s="44">
        <f>Database!KHA14</f>
        <v>0</v>
      </c>
      <c r="KGI6" s="44">
        <f>Database!KHB14</f>
        <v>0</v>
      </c>
      <c r="KGJ6" s="44">
        <f>Database!KHC14</f>
        <v>0</v>
      </c>
      <c r="KGK6" s="44">
        <f>Database!KHD14</f>
        <v>0</v>
      </c>
      <c r="KGL6" s="44">
        <f>Database!KHE14</f>
        <v>0</v>
      </c>
      <c r="KGM6" s="44">
        <f>Database!KHF14</f>
        <v>0</v>
      </c>
      <c r="KGN6" s="44">
        <f>Database!KHG14</f>
        <v>0</v>
      </c>
      <c r="KGO6" s="44">
        <f>Database!KHH14</f>
        <v>0</v>
      </c>
      <c r="KGP6" s="44">
        <f>Database!KHI14</f>
        <v>0</v>
      </c>
      <c r="KGQ6" s="44">
        <f>Database!KHJ14</f>
        <v>0</v>
      </c>
      <c r="KGR6" s="44">
        <f>Database!KHK14</f>
        <v>0</v>
      </c>
      <c r="KGS6" s="44">
        <f>Database!KHL14</f>
        <v>0</v>
      </c>
      <c r="KGT6" s="44">
        <f>Database!KHM14</f>
        <v>0</v>
      </c>
      <c r="KGU6" s="44">
        <f>Database!KHN14</f>
        <v>0</v>
      </c>
      <c r="KGV6" s="44">
        <f>Database!KHO14</f>
        <v>0</v>
      </c>
      <c r="KGW6" s="44">
        <f>Database!KHP14</f>
        <v>0</v>
      </c>
      <c r="KGX6" s="44">
        <f>Database!KHQ14</f>
        <v>0</v>
      </c>
      <c r="KGY6" s="44">
        <f>Database!KHR14</f>
        <v>0</v>
      </c>
      <c r="KGZ6" s="44">
        <f>Database!KHS14</f>
        <v>0</v>
      </c>
      <c r="KHA6" s="44">
        <f>Database!KHT14</f>
        <v>0</v>
      </c>
      <c r="KHB6" s="44">
        <f>Database!KHU14</f>
        <v>0</v>
      </c>
      <c r="KHC6" s="44">
        <f>Database!KHV14</f>
        <v>0</v>
      </c>
      <c r="KHD6" s="44">
        <f>Database!KHW14</f>
        <v>0</v>
      </c>
      <c r="KHE6" s="44">
        <f>Database!KHX14</f>
        <v>0</v>
      </c>
      <c r="KHF6" s="44">
        <f>Database!KHY14</f>
        <v>0</v>
      </c>
      <c r="KHG6" s="44">
        <f>Database!KHZ14</f>
        <v>0</v>
      </c>
      <c r="KHH6" s="44">
        <f>Database!KIA14</f>
        <v>0</v>
      </c>
      <c r="KHI6" s="44">
        <f>Database!KIB14</f>
        <v>0</v>
      </c>
      <c r="KHJ6" s="44">
        <f>Database!KIC14</f>
        <v>0</v>
      </c>
      <c r="KHK6" s="44">
        <f>Database!KID14</f>
        <v>0</v>
      </c>
      <c r="KHL6" s="44">
        <f>Database!KIE14</f>
        <v>0</v>
      </c>
      <c r="KHM6" s="44">
        <f>Database!KIF14</f>
        <v>0</v>
      </c>
      <c r="KHN6" s="44">
        <f>Database!KIG14</f>
        <v>0</v>
      </c>
      <c r="KHO6" s="44">
        <f>Database!KIH14</f>
        <v>0</v>
      </c>
      <c r="KHP6" s="44">
        <f>Database!KII14</f>
        <v>0</v>
      </c>
      <c r="KHQ6" s="44">
        <f>Database!KIJ14</f>
        <v>0</v>
      </c>
      <c r="KHR6" s="44">
        <f>Database!KIK14</f>
        <v>0</v>
      </c>
      <c r="KHS6" s="44">
        <f>Database!KIL14</f>
        <v>0</v>
      </c>
      <c r="KHT6" s="44">
        <f>Database!KIM14</f>
        <v>0</v>
      </c>
      <c r="KHU6" s="44">
        <f>Database!KIN14</f>
        <v>0</v>
      </c>
      <c r="KHV6" s="44">
        <f>Database!KIO14</f>
        <v>0</v>
      </c>
      <c r="KHW6" s="44">
        <f>Database!KIP14</f>
        <v>0</v>
      </c>
      <c r="KHX6" s="44">
        <f>Database!KIQ14</f>
        <v>0</v>
      </c>
      <c r="KHY6" s="44">
        <f>Database!KIR14</f>
        <v>0</v>
      </c>
      <c r="KHZ6" s="44">
        <f>Database!KIS14</f>
        <v>0</v>
      </c>
      <c r="KIA6" s="44">
        <f>Database!KIT14</f>
        <v>0</v>
      </c>
      <c r="KIB6" s="44">
        <f>Database!KIU14</f>
        <v>0</v>
      </c>
      <c r="KIC6" s="44">
        <f>Database!KIV14</f>
        <v>0</v>
      </c>
      <c r="KID6" s="44">
        <f>Database!KIW14</f>
        <v>0</v>
      </c>
      <c r="KIE6" s="44">
        <f>Database!KIX14</f>
        <v>0</v>
      </c>
      <c r="KIF6" s="44">
        <f>Database!KIY14</f>
        <v>0</v>
      </c>
      <c r="KIG6" s="44">
        <f>Database!KIZ14</f>
        <v>0</v>
      </c>
      <c r="KIH6" s="44">
        <f>Database!KJA14</f>
        <v>0</v>
      </c>
      <c r="KII6" s="44">
        <f>Database!KJB14</f>
        <v>0</v>
      </c>
      <c r="KIJ6" s="44">
        <f>Database!KJC14</f>
        <v>0</v>
      </c>
      <c r="KIK6" s="44">
        <f>Database!KJD14</f>
        <v>0</v>
      </c>
      <c r="KIL6" s="44">
        <f>Database!KJE14</f>
        <v>0</v>
      </c>
      <c r="KIM6" s="44">
        <f>Database!KJF14</f>
        <v>0</v>
      </c>
      <c r="KIN6" s="44">
        <f>Database!KJG14</f>
        <v>0</v>
      </c>
      <c r="KIO6" s="44">
        <f>Database!KJH14</f>
        <v>0</v>
      </c>
      <c r="KIP6" s="44">
        <f>Database!KJI14</f>
        <v>0</v>
      </c>
      <c r="KIQ6" s="44">
        <f>Database!KJJ14</f>
        <v>0</v>
      </c>
      <c r="KIR6" s="44">
        <f>Database!KJK14</f>
        <v>0</v>
      </c>
      <c r="KIS6" s="44">
        <f>Database!KJL14</f>
        <v>0</v>
      </c>
      <c r="KIT6" s="44">
        <f>Database!KJM14</f>
        <v>0</v>
      </c>
      <c r="KIU6" s="44">
        <f>Database!KJN14</f>
        <v>0</v>
      </c>
      <c r="KIV6" s="44">
        <f>Database!KJO14</f>
        <v>0</v>
      </c>
      <c r="KIW6" s="44">
        <f>Database!KJP14</f>
        <v>0</v>
      </c>
      <c r="KIX6" s="44">
        <f>Database!KJQ14</f>
        <v>0</v>
      </c>
      <c r="KIY6" s="44">
        <f>Database!KJR14</f>
        <v>0</v>
      </c>
      <c r="KIZ6" s="44">
        <f>Database!KJS14</f>
        <v>0</v>
      </c>
      <c r="KJA6" s="44">
        <f>Database!KJT14</f>
        <v>0</v>
      </c>
      <c r="KJB6" s="44">
        <f>Database!KJU14</f>
        <v>0</v>
      </c>
      <c r="KJC6" s="44">
        <f>Database!KJV14</f>
        <v>0</v>
      </c>
      <c r="KJD6" s="44">
        <f>Database!KJW14</f>
        <v>0</v>
      </c>
      <c r="KJE6" s="44">
        <f>Database!KJX14</f>
        <v>0</v>
      </c>
      <c r="KJF6" s="44">
        <f>Database!KJY14</f>
        <v>0</v>
      </c>
      <c r="KJG6" s="44">
        <f>Database!KJZ14</f>
        <v>0</v>
      </c>
      <c r="KJH6" s="44">
        <f>Database!KKA14</f>
        <v>0</v>
      </c>
      <c r="KJI6" s="44">
        <f>Database!KKB14</f>
        <v>0</v>
      </c>
      <c r="KJJ6" s="44">
        <f>Database!KKC14</f>
        <v>0</v>
      </c>
      <c r="KJK6" s="44">
        <f>Database!KKD14</f>
        <v>0</v>
      </c>
      <c r="KJL6" s="44">
        <f>Database!KKE14</f>
        <v>0</v>
      </c>
      <c r="KJM6" s="44">
        <f>Database!KKF14</f>
        <v>0</v>
      </c>
      <c r="KJN6" s="44">
        <f>Database!KKG14</f>
        <v>0</v>
      </c>
      <c r="KJO6" s="44">
        <f>Database!KKH14</f>
        <v>0</v>
      </c>
      <c r="KJP6" s="44">
        <f>Database!KKI14</f>
        <v>0</v>
      </c>
      <c r="KJQ6" s="44">
        <f>Database!KKJ14</f>
        <v>0</v>
      </c>
      <c r="KJR6" s="44">
        <f>Database!KKK14</f>
        <v>0</v>
      </c>
      <c r="KJS6" s="44">
        <f>Database!KKL14</f>
        <v>0</v>
      </c>
      <c r="KJT6" s="44">
        <f>Database!KKM14</f>
        <v>0</v>
      </c>
      <c r="KJU6" s="44">
        <f>Database!KKN14</f>
        <v>0</v>
      </c>
      <c r="KJV6" s="44">
        <f>Database!KKO14</f>
        <v>0</v>
      </c>
      <c r="KJW6" s="44">
        <f>Database!KKP14</f>
        <v>0</v>
      </c>
      <c r="KJX6" s="44">
        <f>Database!KKQ14</f>
        <v>0</v>
      </c>
      <c r="KJY6" s="44">
        <f>Database!KKR14</f>
        <v>0</v>
      </c>
      <c r="KJZ6" s="44">
        <f>Database!KKS14</f>
        <v>0</v>
      </c>
      <c r="KKA6" s="44">
        <f>Database!KKT14</f>
        <v>0</v>
      </c>
      <c r="KKB6" s="44">
        <f>Database!KKU14</f>
        <v>0</v>
      </c>
      <c r="KKC6" s="44">
        <f>Database!KKV14</f>
        <v>0</v>
      </c>
      <c r="KKD6" s="44">
        <f>Database!KKW14</f>
        <v>0</v>
      </c>
      <c r="KKE6" s="44">
        <f>Database!KKX14</f>
        <v>0</v>
      </c>
      <c r="KKF6" s="44">
        <f>Database!KKY14</f>
        <v>0</v>
      </c>
      <c r="KKG6" s="44">
        <f>Database!KKZ14</f>
        <v>0</v>
      </c>
      <c r="KKH6" s="44">
        <f>Database!KLA14</f>
        <v>0</v>
      </c>
      <c r="KKI6" s="44">
        <f>Database!KLB14</f>
        <v>0</v>
      </c>
      <c r="KKJ6" s="44">
        <f>Database!KLC14</f>
        <v>0</v>
      </c>
      <c r="KKK6" s="44">
        <f>Database!KLD14</f>
        <v>0</v>
      </c>
      <c r="KKL6" s="44">
        <f>Database!KLE14</f>
        <v>0</v>
      </c>
      <c r="KKM6" s="44">
        <f>Database!KLF14</f>
        <v>0</v>
      </c>
      <c r="KKN6" s="44">
        <f>Database!KLG14</f>
        <v>0</v>
      </c>
      <c r="KKO6" s="44">
        <f>Database!KLH14</f>
        <v>0</v>
      </c>
      <c r="KKP6" s="44">
        <f>Database!KLI14</f>
        <v>0</v>
      </c>
      <c r="KKQ6" s="44">
        <f>Database!KLJ14</f>
        <v>0</v>
      </c>
      <c r="KKR6" s="44">
        <f>Database!KLK14</f>
        <v>0</v>
      </c>
      <c r="KKS6" s="44">
        <f>Database!KLL14</f>
        <v>0</v>
      </c>
      <c r="KKT6" s="44">
        <f>Database!KLM14</f>
        <v>0</v>
      </c>
      <c r="KKU6" s="44">
        <f>Database!KLN14</f>
        <v>0</v>
      </c>
      <c r="KKV6" s="44">
        <f>Database!KLO14</f>
        <v>0</v>
      </c>
      <c r="KKW6" s="44">
        <f>Database!KLP14</f>
        <v>0</v>
      </c>
      <c r="KKX6" s="44">
        <f>Database!KLQ14</f>
        <v>0</v>
      </c>
      <c r="KKY6" s="44">
        <f>Database!KLR14</f>
        <v>0</v>
      </c>
      <c r="KKZ6" s="44">
        <f>Database!KLS14</f>
        <v>0</v>
      </c>
      <c r="KLA6" s="44">
        <f>Database!KLT14</f>
        <v>0</v>
      </c>
      <c r="KLB6" s="44">
        <f>Database!KLU14</f>
        <v>0</v>
      </c>
      <c r="KLC6" s="44">
        <f>Database!KLV14</f>
        <v>0</v>
      </c>
      <c r="KLD6" s="44">
        <f>Database!KLW14</f>
        <v>0</v>
      </c>
      <c r="KLE6" s="44">
        <f>Database!KLX14</f>
        <v>0</v>
      </c>
      <c r="KLF6" s="44">
        <f>Database!KLY14</f>
        <v>0</v>
      </c>
      <c r="KLG6" s="44">
        <f>Database!KLZ14</f>
        <v>0</v>
      </c>
      <c r="KLH6" s="44">
        <f>Database!KMA14</f>
        <v>0</v>
      </c>
      <c r="KLI6" s="44">
        <f>Database!KMB14</f>
        <v>0</v>
      </c>
      <c r="KLJ6" s="44">
        <f>Database!KMC14</f>
        <v>0</v>
      </c>
      <c r="KLK6" s="44">
        <f>Database!KMD14</f>
        <v>0</v>
      </c>
      <c r="KLL6" s="44">
        <f>Database!KME14</f>
        <v>0</v>
      </c>
      <c r="KLM6" s="44">
        <f>Database!KMF14</f>
        <v>0</v>
      </c>
      <c r="KLN6" s="44">
        <f>Database!KMG14</f>
        <v>0</v>
      </c>
      <c r="KLO6" s="44">
        <f>Database!KMH14</f>
        <v>0</v>
      </c>
      <c r="KLP6" s="44">
        <f>Database!KMI14</f>
        <v>0</v>
      </c>
      <c r="KLQ6" s="44">
        <f>Database!KMJ14</f>
        <v>0</v>
      </c>
      <c r="KLR6" s="44">
        <f>Database!KMK14</f>
        <v>0</v>
      </c>
      <c r="KLS6" s="44">
        <f>Database!KML14</f>
        <v>0</v>
      </c>
      <c r="KLT6" s="44">
        <f>Database!KMM14</f>
        <v>0</v>
      </c>
      <c r="KLU6" s="44">
        <f>Database!KMN14</f>
        <v>0</v>
      </c>
      <c r="KLV6" s="44">
        <f>Database!KMO14</f>
        <v>0</v>
      </c>
      <c r="KLW6" s="44">
        <f>Database!KMP14</f>
        <v>0</v>
      </c>
      <c r="KLX6" s="44">
        <f>Database!KMQ14</f>
        <v>0</v>
      </c>
      <c r="KLY6" s="44">
        <f>Database!KMR14</f>
        <v>0</v>
      </c>
      <c r="KLZ6" s="44">
        <f>Database!KMS14</f>
        <v>0</v>
      </c>
      <c r="KMA6" s="44">
        <f>Database!KMT14</f>
        <v>0</v>
      </c>
      <c r="KMB6" s="44">
        <f>Database!KMU14</f>
        <v>0</v>
      </c>
      <c r="KMC6" s="44">
        <f>Database!KMV14</f>
        <v>0</v>
      </c>
      <c r="KMD6" s="44">
        <f>Database!KMW14</f>
        <v>0</v>
      </c>
      <c r="KME6" s="44">
        <f>Database!KMX14</f>
        <v>0</v>
      </c>
      <c r="KMF6" s="44">
        <f>Database!KMY14</f>
        <v>0</v>
      </c>
      <c r="KMG6" s="44">
        <f>Database!KMZ14</f>
        <v>0</v>
      </c>
      <c r="KMH6" s="44">
        <f>Database!KNA14</f>
        <v>0</v>
      </c>
      <c r="KMI6" s="44">
        <f>Database!KNB14</f>
        <v>0</v>
      </c>
      <c r="KMJ6" s="44">
        <f>Database!KNC14</f>
        <v>0</v>
      </c>
      <c r="KMK6" s="44">
        <f>Database!KND14</f>
        <v>0</v>
      </c>
      <c r="KML6" s="44">
        <f>Database!KNE14</f>
        <v>0</v>
      </c>
      <c r="KMM6" s="44">
        <f>Database!KNF14</f>
        <v>0</v>
      </c>
      <c r="KMN6" s="44">
        <f>Database!KNG14</f>
        <v>0</v>
      </c>
      <c r="KMO6" s="44">
        <f>Database!KNH14</f>
        <v>0</v>
      </c>
      <c r="KMP6" s="44">
        <f>Database!KNI14</f>
        <v>0</v>
      </c>
      <c r="KMQ6" s="44">
        <f>Database!KNJ14</f>
        <v>0</v>
      </c>
      <c r="KMR6" s="44">
        <f>Database!KNK14</f>
        <v>0</v>
      </c>
      <c r="KMS6" s="44">
        <f>Database!KNL14</f>
        <v>0</v>
      </c>
      <c r="KMT6" s="44">
        <f>Database!KNM14</f>
        <v>0</v>
      </c>
      <c r="KMU6" s="44">
        <f>Database!KNN14</f>
        <v>0</v>
      </c>
      <c r="KMV6" s="44">
        <f>Database!KNO14</f>
        <v>0</v>
      </c>
      <c r="KMW6" s="44">
        <f>Database!KNP14</f>
        <v>0</v>
      </c>
      <c r="KMX6" s="44">
        <f>Database!KNQ14</f>
        <v>0</v>
      </c>
      <c r="KMY6" s="44">
        <f>Database!KNR14</f>
        <v>0</v>
      </c>
      <c r="KMZ6" s="44">
        <f>Database!KNS14</f>
        <v>0</v>
      </c>
      <c r="KNA6" s="44">
        <f>Database!KNT14</f>
        <v>0</v>
      </c>
      <c r="KNB6" s="44">
        <f>Database!KNU14</f>
        <v>0</v>
      </c>
      <c r="KNC6" s="44">
        <f>Database!KNV14</f>
        <v>0</v>
      </c>
      <c r="KND6" s="44">
        <f>Database!KNW14</f>
        <v>0</v>
      </c>
      <c r="KNE6" s="44">
        <f>Database!KNX14</f>
        <v>0</v>
      </c>
      <c r="KNF6" s="44">
        <f>Database!KNY14</f>
        <v>0</v>
      </c>
      <c r="KNG6" s="44">
        <f>Database!KNZ14</f>
        <v>0</v>
      </c>
      <c r="KNH6" s="44">
        <f>Database!KOA14</f>
        <v>0</v>
      </c>
      <c r="KNI6" s="44">
        <f>Database!KOB14</f>
        <v>0</v>
      </c>
      <c r="KNJ6" s="44">
        <f>Database!KOC14</f>
        <v>0</v>
      </c>
      <c r="KNK6" s="44">
        <f>Database!KOD14</f>
        <v>0</v>
      </c>
      <c r="KNL6" s="44">
        <f>Database!KOE14</f>
        <v>0</v>
      </c>
      <c r="KNM6" s="44">
        <f>Database!KOF14</f>
        <v>0</v>
      </c>
      <c r="KNN6" s="44">
        <f>Database!KOG14</f>
        <v>0</v>
      </c>
      <c r="KNO6" s="44">
        <f>Database!KOH14</f>
        <v>0</v>
      </c>
      <c r="KNP6" s="44">
        <f>Database!KOI14</f>
        <v>0</v>
      </c>
      <c r="KNQ6" s="44">
        <f>Database!KOJ14</f>
        <v>0</v>
      </c>
      <c r="KNR6" s="44">
        <f>Database!KOK14</f>
        <v>0</v>
      </c>
      <c r="KNS6" s="44">
        <f>Database!KOL14</f>
        <v>0</v>
      </c>
      <c r="KNT6" s="44">
        <f>Database!KOM14</f>
        <v>0</v>
      </c>
      <c r="KNU6" s="44">
        <f>Database!KON14</f>
        <v>0</v>
      </c>
      <c r="KNV6" s="44">
        <f>Database!KOO14</f>
        <v>0</v>
      </c>
      <c r="KNW6" s="44">
        <f>Database!KOP14</f>
        <v>0</v>
      </c>
      <c r="KNX6" s="44">
        <f>Database!KOQ14</f>
        <v>0</v>
      </c>
      <c r="KNY6" s="44">
        <f>Database!KOR14</f>
        <v>0</v>
      </c>
      <c r="KNZ6" s="44">
        <f>Database!KOS14</f>
        <v>0</v>
      </c>
      <c r="KOA6" s="44">
        <f>Database!KOT14</f>
        <v>0</v>
      </c>
      <c r="KOB6" s="44">
        <f>Database!KOU14</f>
        <v>0</v>
      </c>
      <c r="KOC6" s="44">
        <f>Database!KOV14</f>
        <v>0</v>
      </c>
      <c r="KOD6" s="44">
        <f>Database!KOW14</f>
        <v>0</v>
      </c>
      <c r="KOE6" s="44">
        <f>Database!KOX14</f>
        <v>0</v>
      </c>
      <c r="KOF6" s="44">
        <f>Database!KOY14</f>
        <v>0</v>
      </c>
      <c r="KOG6" s="44">
        <f>Database!KOZ14</f>
        <v>0</v>
      </c>
      <c r="KOH6" s="44">
        <f>Database!KPA14</f>
        <v>0</v>
      </c>
      <c r="KOI6" s="44">
        <f>Database!KPB14</f>
        <v>0</v>
      </c>
      <c r="KOJ6" s="44">
        <f>Database!KPC14</f>
        <v>0</v>
      </c>
      <c r="KOK6" s="44">
        <f>Database!KPD14</f>
        <v>0</v>
      </c>
      <c r="KOL6" s="44">
        <f>Database!KPE14</f>
        <v>0</v>
      </c>
      <c r="KOM6" s="44">
        <f>Database!KPF14</f>
        <v>0</v>
      </c>
      <c r="KON6" s="44">
        <f>Database!KPG14</f>
        <v>0</v>
      </c>
      <c r="KOO6" s="44">
        <f>Database!KPH14</f>
        <v>0</v>
      </c>
      <c r="KOP6" s="44">
        <f>Database!KPI14</f>
        <v>0</v>
      </c>
      <c r="KOQ6" s="44">
        <f>Database!KPJ14</f>
        <v>0</v>
      </c>
      <c r="KOR6" s="44">
        <f>Database!KPK14</f>
        <v>0</v>
      </c>
      <c r="KOS6" s="44">
        <f>Database!KPL14</f>
        <v>0</v>
      </c>
      <c r="KOT6" s="44">
        <f>Database!KPM14</f>
        <v>0</v>
      </c>
      <c r="KOU6" s="44">
        <f>Database!KPN14</f>
        <v>0</v>
      </c>
      <c r="KOV6" s="44">
        <f>Database!KPO14</f>
        <v>0</v>
      </c>
      <c r="KOW6" s="44">
        <f>Database!KPP14</f>
        <v>0</v>
      </c>
      <c r="KOX6" s="44">
        <f>Database!KPQ14</f>
        <v>0</v>
      </c>
      <c r="KOY6" s="44">
        <f>Database!KPR14</f>
        <v>0</v>
      </c>
      <c r="KOZ6" s="44">
        <f>Database!KPS14</f>
        <v>0</v>
      </c>
      <c r="KPA6" s="44">
        <f>Database!KPT14</f>
        <v>0</v>
      </c>
      <c r="KPB6" s="44">
        <f>Database!KPU14</f>
        <v>0</v>
      </c>
      <c r="KPC6" s="44">
        <f>Database!KPV14</f>
        <v>0</v>
      </c>
      <c r="KPD6" s="44">
        <f>Database!KPW14</f>
        <v>0</v>
      </c>
      <c r="KPE6" s="44">
        <f>Database!KPX14</f>
        <v>0</v>
      </c>
      <c r="KPF6" s="44">
        <f>Database!KPY14</f>
        <v>0</v>
      </c>
      <c r="KPG6" s="44">
        <f>Database!KPZ14</f>
        <v>0</v>
      </c>
      <c r="KPH6" s="44">
        <f>Database!KQA14</f>
        <v>0</v>
      </c>
      <c r="KPI6" s="44">
        <f>Database!KQB14</f>
        <v>0</v>
      </c>
      <c r="KPJ6" s="44">
        <f>Database!KQC14</f>
        <v>0</v>
      </c>
      <c r="KPK6" s="44">
        <f>Database!KQD14</f>
        <v>0</v>
      </c>
      <c r="KPL6" s="44">
        <f>Database!KQE14</f>
        <v>0</v>
      </c>
      <c r="KPM6" s="44">
        <f>Database!KQF14</f>
        <v>0</v>
      </c>
      <c r="KPN6" s="44">
        <f>Database!KQG14</f>
        <v>0</v>
      </c>
      <c r="KPO6" s="44">
        <f>Database!KQH14</f>
        <v>0</v>
      </c>
      <c r="KPP6" s="44">
        <f>Database!KQI14</f>
        <v>0</v>
      </c>
      <c r="KPQ6" s="44">
        <f>Database!KQJ14</f>
        <v>0</v>
      </c>
      <c r="KPR6" s="44">
        <f>Database!KQK14</f>
        <v>0</v>
      </c>
      <c r="KPS6" s="44">
        <f>Database!KQL14</f>
        <v>0</v>
      </c>
      <c r="KPT6" s="44">
        <f>Database!KQM14</f>
        <v>0</v>
      </c>
      <c r="KPU6" s="44">
        <f>Database!KQN14</f>
        <v>0</v>
      </c>
      <c r="KPV6" s="44">
        <f>Database!KQO14</f>
        <v>0</v>
      </c>
      <c r="KPW6" s="44">
        <f>Database!KQP14</f>
        <v>0</v>
      </c>
      <c r="KPX6" s="44">
        <f>Database!KQQ14</f>
        <v>0</v>
      </c>
      <c r="KPY6" s="44">
        <f>Database!KQR14</f>
        <v>0</v>
      </c>
      <c r="KPZ6" s="44">
        <f>Database!KQS14</f>
        <v>0</v>
      </c>
      <c r="KQA6" s="44">
        <f>Database!KQT14</f>
        <v>0</v>
      </c>
      <c r="KQB6" s="44">
        <f>Database!KQU14</f>
        <v>0</v>
      </c>
      <c r="KQC6" s="44">
        <f>Database!KQV14</f>
        <v>0</v>
      </c>
      <c r="KQD6" s="44">
        <f>Database!KQW14</f>
        <v>0</v>
      </c>
      <c r="KQE6" s="44">
        <f>Database!KQX14</f>
        <v>0</v>
      </c>
      <c r="KQF6" s="44">
        <f>Database!KQY14</f>
        <v>0</v>
      </c>
      <c r="KQG6" s="44">
        <f>Database!KQZ14</f>
        <v>0</v>
      </c>
      <c r="KQH6" s="44">
        <f>Database!KRA14</f>
        <v>0</v>
      </c>
      <c r="KQI6" s="44">
        <f>Database!KRB14</f>
        <v>0</v>
      </c>
      <c r="KQJ6" s="44">
        <f>Database!KRC14</f>
        <v>0</v>
      </c>
      <c r="KQK6" s="44">
        <f>Database!KRD14</f>
        <v>0</v>
      </c>
      <c r="KQL6" s="44">
        <f>Database!KRE14</f>
        <v>0</v>
      </c>
      <c r="KQM6" s="44">
        <f>Database!KRF14</f>
        <v>0</v>
      </c>
      <c r="KQN6" s="44">
        <f>Database!KRG14</f>
        <v>0</v>
      </c>
      <c r="KQO6" s="44">
        <f>Database!KRH14</f>
        <v>0</v>
      </c>
      <c r="KQP6" s="44">
        <f>Database!KRI14</f>
        <v>0</v>
      </c>
      <c r="KQQ6" s="44">
        <f>Database!KRJ14</f>
        <v>0</v>
      </c>
      <c r="KQR6" s="44">
        <f>Database!KRK14</f>
        <v>0</v>
      </c>
      <c r="KQS6" s="44">
        <f>Database!KRL14</f>
        <v>0</v>
      </c>
      <c r="KQT6" s="44">
        <f>Database!KRM14</f>
        <v>0</v>
      </c>
      <c r="KQU6" s="44">
        <f>Database!KRN14</f>
        <v>0</v>
      </c>
      <c r="KQV6" s="44">
        <f>Database!KRO14</f>
        <v>0</v>
      </c>
      <c r="KQW6" s="44">
        <f>Database!KRP14</f>
        <v>0</v>
      </c>
      <c r="KQX6" s="44">
        <f>Database!KRQ14</f>
        <v>0</v>
      </c>
      <c r="KQY6" s="44">
        <f>Database!KRR14</f>
        <v>0</v>
      </c>
      <c r="KQZ6" s="44">
        <f>Database!KRS14</f>
        <v>0</v>
      </c>
      <c r="KRA6" s="44">
        <f>Database!KRT14</f>
        <v>0</v>
      </c>
      <c r="KRB6" s="44">
        <f>Database!KRU14</f>
        <v>0</v>
      </c>
      <c r="KRC6" s="44">
        <f>Database!KRV14</f>
        <v>0</v>
      </c>
      <c r="KRD6" s="44">
        <f>Database!KRW14</f>
        <v>0</v>
      </c>
      <c r="KRE6" s="44">
        <f>Database!KRX14</f>
        <v>0</v>
      </c>
      <c r="KRF6" s="44">
        <f>Database!KRY14</f>
        <v>0</v>
      </c>
      <c r="KRG6" s="44">
        <f>Database!KRZ14</f>
        <v>0</v>
      </c>
      <c r="KRH6" s="44">
        <f>Database!KSA14</f>
        <v>0</v>
      </c>
      <c r="KRI6" s="44">
        <f>Database!KSB14</f>
        <v>0</v>
      </c>
      <c r="KRJ6" s="44">
        <f>Database!KSC14</f>
        <v>0</v>
      </c>
      <c r="KRK6" s="44">
        <f>Database!KSD14</f>
        <v>0</v>
      </c>
      <c r="KRL6" s="44">
        <f>Database!KSE14</f>
        <v>0</v>
      </c>
      <c r="KRM6" s="44">
        <f>Database!KSF14</f>
        <v>0</v>
      </c>
      <c r="KRN6" s="44">
        <f>Database!KSG14</f>
        <v>0</v>
      </c>
      <c r="KRO6" s="44">
        <f>Database!KSH14</f>
        <v>0</v>
      </c>
      <c r="KRP6" s="44">
        <f>Database!KSI14</f>
        <v>0</v>
      </c>
      <c r="KRQ6" s="44">
        <f>Database!KSJ14</f>
        <v>0</v>
      </c>
      <c r="KRR6" s="44">
        <f>Database!KSK14</f>
        <v>0</v>
      </c>
      <c r="KRS6" s="44">
        <f>Database!KSL14</f>
        <v>0</v>
      </c>
      <c r="KRT6" s="44">
        <f>Database!KSM14</f>
        <v>0</v>
      </c>
      <c r="KRU6" s="44">
        <f>Database!KSN14</f>
        <v>0</v>
      </c>
      <c r="KRV6" s="44">
        <f>Database!KSO14</f>
        <v>0</v>
      </c>
      <c r="KRW6" s="44">
        <f>Database!KSP14</f>
        <v>0</v>
      </c>
      <c r="KRX6" s="44">
        <f>Database!KSQ14</f>
        <v>0</v>
      </c>
      <c r="KRY6" s="44">
        <f>Database!KSR14</f>
        <v>0</v>
      </c>
      <c r="KRZ6" s="44">
        <f>Database!KSS14</f>
        <v>0</v>
      </c>
      <c r="KSA6" s="44">
        <f>Database!KST14</f>
        <v>0</v>
      </c>
      <c r="KSB6" s="44">
        <f>Database!KSU14</f>
        <v>0</v>
      </c>
      <c r="KSC6" s="44">
        <f>Database!KSV14</f>
        <v>0</v>
      </c>
      <c r="KSD6" s="44">
        <f>Database!KSW14</f>
        <v>0</v>
      </c>
      <c r="KSE6" s="44">
        <f>Database!KSX14</f>
        <v>0</v>
      </c>
      <c r="KSF6" s="44">
        <f>Database!KSY14</f>
        <v>0</v>
      </c>
      <c r="KSG6" s="44">
        <f>Database!KSZ14</f>
        <v>0</v>
      </c>
      <c r="KSH6" s="44">
        <f>Database!KTA14</f>
        <v>0</v>
      </c>
      <c r="KSI6" s="44">
        <f>Database!KTB14</f>
        <v>0</v>
      </c>
      <c r="KSJ6" s="44">
        <f>Database!KTC14</f>
        <v>0</v>
      </c>
      <c r="KSK6" s="44">
        <f>Database!KTD14</f>
        <v>0</v>
      </c>
      <c r="KSL6" s="44">
        <f>Database!KTE14</f>
        <v>0</v>
      </c>
      <c r="KSM6" s="44">
        <f>Database!KTF14</f>
        <v>0</v>
      </c>
      <c r="KSN6" s="44">
        <f>Database!KTG14</f>
        <v>0</v>
      </c>
      <c r="KSO6" s="44">
        <f>Database!KTH14</f>
        <v>0</v>
      </c>
      <c r="KSP6" s="44">
        <f>Database!KTI14</f>
        <v>0</v>
      </c>
      <c r="KSQ6" s="44">
        <f>Database!KTJ14</f>
        <v>0</v>
      </c>
      <c r="KSR6" s="44">
        <f>Database!KTK14</f>
        <v>0</v>
      </c>
      <c r="KSS6" s="44">
        <f>Database!KTL14</f>
        <v>0</v>
      </c>
      <c r="KST6" s="44">
        <f>Database!KTM14</f>
        <v>0</v>
      </c>
      <c r="KSU6" s="44">
        <f>Database!KTN14</f>
        <v>0</v>
      </c>
      <c r="KSV6" s="44">
        <f>Database!KTO14</f>
        <v>0</v>
      </c>
      <c r="KSW6" s="44">
        <f>Database!KTP14</f>
        <v>0</v>
      </c>
      <c r="KSX6" s="44">
        <f>Database!KTQ14</f>
        <v>0</v>
      </c>
      <c r="KSY6" s="44">
        <f>Database!KTR14</f>
        <v>0</v>
      </c>
      <c r="KSZ6" s="44">
        <f>Database!KTS14</f>
        <v>0</v>
      </c>
      <c r="KTA6" s="44">
        <f>Database!KTT14</f>
        <v>0</v>
      </c>
      <c r="KTB6" s="44">
        <f>Database!KTU14</f>
        <v>0</v>
      </c>
      <c r="KTC6" s="44">
        <f>Database!KTV14</f>
        <v>0</v>
      </c>
      <c r="KTD6" s="44">
        <f>Database!KTW14</f>
        <v>0</v>
      </c>
      <c r="KTE6" s="44">
        <f>Database!KTX14</f>
        <v>0</v>
      </c>
      <c r="KTF6" s="44">
        <f>Database!KTY14</f>
        <v>0</v>
      </c>
      <c r="KTG6" s="44">
        <f>Database!KTZ14</f>
        <v>0</v>
      </c>
      <c r="KTH6" s="44">
        <f>Database!KUA14</f>
        <v>0</v>
      </c>
      <c r="KTI6" s="44">
        <f>Database!KUB14</f>
        <v>0</v>
      </c>
      <c r="KTJ6" s="44">
        <f>Database!KUC14</f>
        <v>0</v>
      </c>
      <c r="KTK6" s="44">
        <f>Database!KUD14</f>
        <v>0</v>
      </c>
      <c r="KTL6" s="44">
        <f>Database!KUE14</f>
        <v>0</v>
      </c>
      <c r="KTM6" s="44">
        <f>Database!KUF14</f>
        <v>0</v>
      </c>
      <c r="KTN6" s="44">
        <f>Database!KUG14</f>
        <v>0</v>
      </c>
      <c r="KTO6" s="44">
        <f>Database!KUH14</f>
        <v>0</v>
      </c>
      <c r="KTP6" s="44">
        <f>Database!KUI14</f>
        <v>0</v>
      </c>
      <c r="KTQ6" s="44">
        <f>Database!KUJ14</f>
        <v>0</v>
      </c>
      <c r="KTR6" s="44">
        <f>Database!KUK14</f>
        <v>0</v>
      </c>
      <c r="KTS6" s="44">
        <f>Database!KUL14</f>
        <v>0</v>
      </c>
      <c r="KTT6" s="44">
        <f>Database!KUM14</f>
        <v>0</v>
      </c>
      <c r="KTU6" s="44">
        <f>Database!KUN14</f>
        <v>0</v>
      </c>
      <c r="KTV6" s="44">
        <f>Database!KUO14</f>
        <v>0</v>
      </c>
      <c r="KTW6" s="44">
        <f>Database!KUP14</f>
        <v>0</v>
      </c>
      <c r="KTX6" s="44">
        <f>Database!KUQ14</f>
        <v>0</v>
      </c>
      <c r="KTY6" s="44">
        <f>Database!KUR14</f>
        <v>0</v>
      </c>
      <c r="KTZ6" s="44">
        <f>Database!KUS14</f>
        <v>0</v>
      </c>
      <c r="KUA6" s="44">
        <f>Database!KUT14</f>
        <v>0</v>
      </c>
      <c r="KUB6" s="44">
        <f>Database!KUU14</f>
        <v>0</v>
      </c>
      <c r="KUC6" s="44">
        <f>Database!KUV14</f>
        <v>0</v>
      </c>
      <c r="KUD6" s="44">
        <f>Database!KUW14</f>
        <v>0</v>
      </c>
      <c r="KUE6" s="44">
        <f>Database!KUX14</f>
        <v>0</v>
      </c>
      <c r="KUF6" s="44">
        <f>Database!KUY14</f>
        <v>0</v>
      </c>
      <c r="KUG6" s="44">
        <f>Database!KUZ14</f>
        <v>0</v>
      </c>
      <c r="KUH6" s="44">
        <f>Database!KVA14</f>
        <v>0</v>
      </c>
      <c r="KUI6" s="44">
        <f>Database!KVB14</f>
        <v>0</v>
      </c>
      <c r="KUJ6" s="44">
        <f>Database!KVC14</f>
        <v>0</v>
      </c>
      <c r="KUK6" s="44">
        <f>Database!KVD14</f>
        <v>0</v>
      </c>
      <c r="KUL6" s="44">
        <f>Database!KVE14</f>
        <v>0</v>
      </c>
      <c r="KUM6" s="44">
        <f>Database!KVF14</f>
        <v>0</v>
      </c>
      <c r="KUN6" s="44">
        <f>Database!KVG14</f>
        <v>0</v>
      </c>
      <c r="KUO6" s="44">
        <f>Database!KVH14</f>
        <v>0</v>
      </c>
      <c r="KUP6" s="44">
        <f>Database!KVI14</f>
        <v>0</v>
      </c>
      <c r="KUQ6" s="44">
        <f>Database!KVJ14</f>
        <v>0</v>
      </c>
      <c r="KUR6" s="44">
        <f>Database!KVK14</f>
        <v>0</v>
      </c>
      <c r="KUS6" s="44">
        <f>Database!KVL14</f>
        <v>0</v>
      </c>
      <c r="KUT6" s="44">
        <f>Database!KVM14</f>
        <v>0</v>
      </c>
      <c r="KUU6" s="44">
        <f>Database!KVN14</f>
        <v>0</v>
      </c>
      <c r="KUV6" s="44">
        <f>Database!KVO14</f>
        <v>0</v>
      </c>
      <c r="KUW6" s="44">
        <f>Database!KVP14</f>
        <v>0</v>
      </c>
      <c r="KUX6" s="44">
        <f>Database!KVQ14</f>
        <v>0</v>
      </c>
      <c r="KUY6" s="44">
        <f>Database!KVR14</f>
        <v>0</v>
      </c>
      <c r="KUZ6" s="44">
        <f>Database!KVS14</f>
        <v>0</v>
      </c>
      <c r="KVA6" s="44">
        <f>Database!KVT14</f>
        <v>0</v>
      </c>
      <c r="KVB6" s="44">
        <f>Database!KVU14</f>
        <v>0</v>
      </c>
      <c r="KVC6" s="44">
        <f>Database!KVV14</f>
        <v>0</v>
      </c>
      <c r="KVD6" s="44">
        <f>Database!KVW14</f>
        <v>0</v>
      </c>
      <c r="KVE6" s="44">
        <f>Database!KVX14</f>
        <v>0</v>
      </c>
      <c r="KVF6" s="44">
        <f>Database!KVY14</f>
        <v>0</v>
      </c>
      <c r="KVG6" s="44">
        <f>Database!KVZ14</f>
        <v>0</v>
      </c>
      <c r="KVH6" s="44">
        <f>Database!KWA14</f>
        <v>0</v>
      </c>
      <c r="KVI6" s="44">
        <f>Database!KWB14</f>
        <v>0</v>
      </c>
      <c r="KVJ6" s="44">
        <f>Database!KWC14</f>
        <v>0</v>
      </c>
      <c r="KVK6" s="44">
        <f>Database!KWD14</f>
        <v>0</v>
      </c>
      <c r="KVL6" s="44">
        <f>Database!KWE14</f>
        <v>0</v>
      </c>
      <c r="KVM6" s="44">
        <f>Database!KWF14</f>
        <v>0</v>
      </c>
      <c r="KVN6" s="44">
        <f>Database!KWG14</f>
        <v>0</v>
      </c>
      <c r="KVO6" s="44">
        <f>Database!KWH14</f>
        <v>0</v>
      </c>
      <c r="KVP6" s="44">
        <f>Database!KWI14</f>
        <v>0</v>
      </c>
      <c r="KVQ6" s="44">
        <f>Database!KWJ14</f>
        <v>0</v>
      </c>
      <c r="KVR6" s="44">
        <f>Database!KWK14</f>
        <v>0</v>
      </c>
      <c r="KVS6" s="44">
        <f>Database!KWL14</f>
        <v>0</v>
      </c>
      <c r="KVT6" s="44">
        <f>Database!KWM14</f>
        <v>0</v>
      </c>
      <c r="KVU6" s="44">
        <f>Database!KWN14</f>
        <v>0</v>
      </c>
      <c r="KVV6" s="44">
        <f>Database!KWO14</f>
        <v>0</v>
      </c>
      <c r="KVW6" s="44">
        <f>Database!KWP14</f>
        <v>0</v>
      </c>
      <c r="KVX6" s="44">
        <f>Database!KWQ14</f>
        <v>0</v>
      </c>
      <c r="KVY6" s="44">
        <f>Database!KWR14</f>
        <v>0</v>
      </c>
      <c r="KVZ6" s="44">
        <f>Database!KWS14</f>
        <v>0</v>
      </c>
      <c r="KWA6" s="44">
        <f>Database!KWT14</f>
        <v>0</v>
      </c>
      <c r="KWB6" s="44">
        <f>Database!KWU14</f>
        <v>0</v>
      </c>
      <c r="KWC6" s="44">
        <f>Database!KWV14</f>
        <v>0</v>
      </c>
      <c r="KWD6" s="44">
        <f>Database!KWW14</f>
        <v>0</v>
      </c>
      <c r="KWE6" s="44">
        <f>Database!KWX14</f>
        <v>0</v>
      </c>
      <c r="KWF6" s="44">
        <f>Database!KWY14</f>
        <v>0</v>
      </c>
      <c r="KWG6" s="44">
        <f>Database!KWZ14</f>
        <v>0</v>
      </c>
      <c r="KWH6" s="44">
        <f>Database!KXA14</f>
        <v>0</v>
      </c>
      <c r="KWI6" s="44">
        <f>Database!KXB14</f>
        <v>0</v>
      </c>
      <c r="KWJ6" s="44">
        <f>Database!KXC14</f>
        <v>0</v>
      </c>
      <c r="KWK6" s="44">
        <f>Database!KXD14</f>
        <v>0</v>
      </c>
      <c r="KWL6" s="44">
        <f>Database!KXE14</f>
        <v>0</v>
      </c>
      <c r="KWM6" s="44">
        <f>Database!KXF14</f>
        <v>0</v>
      </c>
      <c r="KWN6" s="44">
        <f>Database!KXG14</f>
        <v>0</v>
      </c>
      <c r="KWO6" s="44">
        <f>Database!KXH14</f>
        <v>0</v>
      </c>
      <c r="KWP6" s="44">
        <f>Database!KXI14</f>
        <v>0</v>
      </c>
      <c r="KWQ6" s="44">
        <f>Database!KXJ14</f>
        <v>0</v>
      </c>
      <c r="KWR6" s="44">
        <f>Database!KXK14</f>
        <v>0</v>
      </c>
      <c r="KWS6" s="44">
        <f>Database!KXL14</f>
        <v>0</v>
      </c>
      <c r="KWT6" s="44">
        <f>Database!KXM14</f>
        <v>0</v>
      </c>
      <c r="KWU6" s="44">
        <f>Database!KXN14</f>
        <v>0</v>
      </c>
      <c r="KWV6" s="44">
        <f>Database!KXO14</f>
        <v>0</v>
      </c>
      <c r="KWW6" s="44">
        <f>Database!KXP14</f>
        <v>0</v>
      </c>
      <c r="KWX6" s="44">
        <f>Database!KXQ14</f>
        <v>0</v>
      </c>
      <c r="KWY6" s="44">
        <f>Database!KXR14</f>
        <v>0</v>
      </c>
      <c r="KWZ6" s="44">
        <f>Database!KXS14</f>
        <v>0</v>
      </c>
      <c r="KXA6" s="44">
        <f>Database!KXT14</f>
        <v>0</v>
      </c>
      <c r="KXB6" s="44">
        <f>Database!KXU14</f>
        <v>0</v>
      </c>
      <c r="KXC6" s="44">
        <f>Database!KXV14</f>
        <v>0</v>
      </c>
      <c r="KXD6" s="44">
        <f>Database!KXW14</f>
        <v>0</v>
      </c>
      <c r="KXE6" s="44">
        <f>Database!KXX14</f>
        <v>0</v>
      </c>
      <c r="KXF6" s="44">
        <f>Database!KXY14</f>
        <v>0</v>
      </c>
      <c r="KXG6" s="44">
        <f>Database!KXZ14</f>
        <v>0</v>
      </c>
      <c r="KXH6" s="44">
        <f>Database!KYA14</f>
        <v>0</v>
      </c>
      <c r="KXI6" s="44">
        <f>Database!KYB14</f>
        <v>0</v>
      </c>
      <c r="KXJ6" s="44">
        <f>Database!KYC14</f>
        <v>0</v>
      </c>
      <c r="KXK6" s="44">
        <f>Database!KYD14</f>
        <v>0</v>
      </c>
      <c r="KXL6" s="44">
        <f>Database!KYE14</f>
        <v>0</v>
      </c>
      <c r="KXM6" s="44">
        <f>Database!KYF14</f>
        <v>0</v>
      </c>
      <c r="KXN6" s="44">
        <f>Database!KYG14</f>
        <v>0</v>
      </c>
      <c r="KXO6" s="44">
        <f>Database!KYH14</f>
        <v>0</v>
      </c>
      <c r="KXP6" s="44">
        <f>Database!KYI14</f>
        <v>0</v>
      </c>
      <c r="KXQ6" s="44">
        <f>Database!KYJ14</f>
        <v>0</v>
      </c>
      <c r="KXR6" s="44">
        <f>Database!KYK14</f>
        <v>0</v>
      </c>
      <c r="KXS6" s="44">
        <f>Database!KYL14</f>
        <v>0</v>
      </c>
      <c r="KXT6" s="44">
        <f>Database!KYM14</f>
        <v>0</v>
      </c>
      <c r="KXU6" s="44">
        <f>Database!KYN14</f>
        <v>0</v>
      </c>
      <c r="KXV6" s="44">
        <f>Database!KYO14</f>
        <v>0</v>
      </c>
      <c r="KXW6" s="44">
        <f>Database!KYP14</f>
        <v>0</v>
      </c>
      <c r="KXX6" s="44">
        <f>Database!KYQ14</f>
        <v>0</v>
      </c>
      <c r="KXY6" s="44">
        <f>Database!KYR14</f>
        <v>0</v>
      </c>
      <c r="KXZ6" s="44">
        <f>Database!KYS14</f>
        <v>0</v>
      </c>
      <c r="KYA6" s="44">
        <f>Database!KYT14</f>
        <v>0</v>
      </c>
      <c r="KYB6" s="44">
        <f>Database!KYU14</f>
        <v>0</v>
      </c>
      <c r="KYC6" s="44">
        <f>Database!KYV14</f>
        <v>0</v>
      </c>
      <c r="KYD6" s="44">
        <f>Database!KYW14</f>
        <v>0</v>
      </c>
      <c r="KYE6" s="44">
        <f>Database!KYX14</f>
        <v>0</v>
      </c>
      <c r="KYF6" s="44">
        <f>Database!KYY14</f>
        <v>0</v>
      </c>
      <c r="KYG6" s="44">
        <f>Database!KYZ14</f>
        <v>0</v>
      </c>
      <c r="KYH6" s="44">
        <f>Database!KZA14</f>
        <v>0</v>
      </c>
      <c r="KYI6" s="44">
        <f>Database!KZB14</f>
        <v>0</v>
      </c>
      <c r="KYJ6" s="44">
        <f>Database!KZC14</f>
        <v>0</v>
      </c>
      <c r="KYK6" s="44">
        <f>Database!KZD14</f>
        <v>0</v>
      </c>
      <c r="KYL6" s="44">
        <f>Database!KZE14</f>
        <v>0</v>
      </c>
      <c r="KYM6" s="44">
        <f>Database!KZF14</f>
        <v>0</v>
      </c>
      <c r="KYN6" s="44">
        <f>Database!KZG14</f>
        <v>0</v>
      </c>
      <c r="KYO6" s="44">
        <f>Database!KZH14</f>
        <v>0</v>
      </c>
      <c r="KYP6" s="44">
        <f>Database!KZI14</f>
        <v>0</v>
      </c>
      <c r="KYQ6" s="44">
        <f>Database!KZJ14</f>
        <v>0</v>
      </c>
      <c r="KYR6" s="44">
        <f>Database!KZK14</f>
        <v>0</v>
      </c>
      <c r="KYS6" s="44">
        <f>Database!KZL14</f>
        <v>0</v>
      </c>
      <c r="KYT6" s="44">
        <f>Database!KZM14</f>
        <v>0</v>
      </c>
      <c r="KYU6" s="44">
        <f>Database!KZN14</f>
        <v>0</v>
      </c>
      <c r="KYV6" s="44">
        <f>Database!KZO14</f>
        <v>0</v>
      </c>
      <c r="KYW6" s="44">
        <f>Database!KZP14</f>
        <v>0</v>
      </c>
      <c r="KYX6" s="44">
        <f>Database!KZQ14</f>
        <v>0</v>
      </c>
      <c r="KYY6" s="44">
        <f>Database!KZR14</f>
        <v>0</v>
      </c>
      <c r="KYZ6" s="44">
        <f>Database!KZS14</f>
        <v>0</v>
      </c>
      <c r="KZA6" s="44">
        <f>Database!KZT14</f>
        <v>0</v>
      </c>
      <c r="KZB6" s="44">
        <f>Database!KZU14</f>
        <v>0</v>
      </c>
      <c r="KZC6" s="44">
        <f>Database!KZV14</f>
        <v>0</v>
      </c>
      <c r="KZD6" s="44">
        <f>Database!KZW14</f>
        <v>0</v>
      </c>
      <c r="KZE6" s="44">
        <f>Database!KZX14</f>
        <v>0</v>
      </c>
      <c r="KZF6" s="44">
        <f>Database!KZY14</f>
        <v>0</v>
      </c>
      <c r="KZG6" s="44">
        <f>Database!KZZ14</f>
        <v>0</v>
      </c>
      <c r="KZH6" s="44">
        <f>Database!LAA14</f>
        <v>0</v>
      </c>
      <c r="KZI6" s="44">
        <f>Database!LAB14</f>
        <v>0</v>
      </c>
      <c r="KZJ6" s="44">
        <f>Database!LAC14</f>
        <v>0</v>
      </c>
      <c r="KZK6" s="44">
        <f>Database!LAD14</f>
        <v>0</v>
      </c>
      <c r="KZL6" s="44">
        <f>Database!LAE14</f>
        <v>0</v>
      </c>
      <c r="KZM6" s="44">
        <f>Database!LAF14</f>
        <v>0</v>
      </c>
      <c r="KZN6" s="44">
        <f>Database!LAG14</f>
        <v>0</v>
      </c>
      <c r="KZO6" s="44">
        <f>Database!LAH14</f>
        <v>0</v>
      </c>
      <c r="KZP6" s="44">
        <f>Database!LAI14</f>
        <v>0</v>
      </c>
      <c r="KZQ6" s="44">
        <f>Database!LAJ14</f>
        <v>0</v>
      </c>
      <c r="KZR6" s="44">
        <f>Database!LAK14</f>
        <v>0</v>
      </c>
      <c r="KZS6" s="44">
        <f>Database!LAL14</f>
        <v>0</v>
      </c>
      <c r="KZT6" s="44">
        <f>Database!LAM14</f>
        <v>0</v>
      </c>
      <c r="KZU6" s="44">
        <f>Database!LAN14</f>
        <v>0</v>
      </c>
      <c r="KZV6" s="44">
        <f>Database!LAO14</f>
        <v>0</v>
      </c>
      <c r="KZW6" s="44">
        <f>Database!LAP14</f>
        <v>0</v>
      </c>
      <c r="KZX6" s="44">
        <f>Database!LAQ14</f>
        <v>0</v>
      </c>
      <c r="KZY6" s="44">
        <f>Database!LAR14</f>
        <v>0</v>
      </c>
      <c r="KZZ6" s="44">
        <f>Database!LAS14</f>
        <v>0</v>
      </c>
      <c r="LAA6" s="44">
        <f>Database!LAT14</f>
        <v>0</v>
      </c>
      <c r="LAB6" s="44">
        <f>Database!LAU14</f>
        <v>0</v>
      </c>
      <c r="LAC6" s="44">
        <f>Database!LAV14</f>
        <v>0</v>
      </c>
      <c r="LAD6" s="44">
        <f>Database!LAW14</f>
        <v>0</v>
      </c>
      <c r="LAE6" s="44">
        <f>Database!LAX14</f>
        <v>0</v>
      </c>
      <c r="LAF6" s="44">
        <f>Database!LAY14</f>
        <v>0</v>
      </c>
      <c r="LAG6" s="44">
        <f>Database!LAZ14</f>
        <v>0</v>
      </c>
      <c r="LAH6" s="44">
        <f>Database!LBA14</f>
        <v>0</v>
      </c>
      <c r="LAI6" s="44">
        <f>Database!LBB14</f>
        <v>0</v>
      </c>
      <c r="LAJ6" s="44">
        <f>Database!LBC14</f>
        <v>0</v>
      </c>
      <c r="LAK6" s="44">
        <f>Database!LBD14</f>
        <v>0</v>
      </c>
      <c r="LAL6" s="44">
        <f>Database!LBE14</f>
        <v>0</v>
      </c>
      <c r="LAM6" s="44">
        <f>Database!LBF14</f>
        <v>0</v>
      </c>
      <c r="LAN6" s="44">
        <f>Database!LBG14</f>
        <v>0</v>
      </c>
      <c r="LAO6" s="44">
        <f>Database!LBH14</f>
        <v>0</v>
      </c>
      <c r="LAP6" s="44">
        <f>Database!LBI14</f>
        <v>0</v>
      </c>
      <c r="LAQ6" s="44">
        <f>Database!LBJ14</f>
        <v>0</v>
      </c>
      <c r="LAR6" s="44">
        <f>Database!LBK14</f>
        <v>0</v>
      </c>
      <c r="LAS6" s="44">
        <f>Database!LBL14</f>
        <v>0</v>
      </c>
      <c r="LAT6" s="44">
        <f>Database!LBM14</f>
        <v>0</v>
      </c>
      <c r="LAU6" s="44">
        <f>Database!LBN14</f>
        <v>0</v>
      </c>
      <c r="LAV6" s="44">
        <f>Database!LBO14</f>
        <v>0</v>
      </c>
      <c r="LAW6" s="44">
        <f>Database!LBP14</f>
        <v>0</v>
      </c>
      <c r="LAX6" s="44">
        <f>Database!LBQ14</f>
        <v>0</v>
      </c>
      <c r="LAY6" s="44">
        <f>Database!LBR14</f>
        <v>0</v>
      </c>
      <c r="LAZ6" s="44">
        <f>Database!LBS14</f>
        <v>0</v>
      </c>
      <c r="LBA6" s="44">
        <f>Database!LBT14</f>
        <v>0</v>
      </c>
      <c r="LBB6" s="44">
        <f>Database!LBU14</f>
        <v>0</v>
      </c>
      <c r="LBC6" s="44">
        <f>Database!LBV14</f>
        <v>0</v>
      </c>
      <c r="LBD6" s="44">
        <f>Database!LBW14</f>
        <v>0</v>
      </c>
      <c r="LBE6" s="44">
        <f>Database!LBX14</f>
        <v>0</v>
      </c>
      <c r="LBF6" s="44">
        <f>Database!LBY14</f>
        <v>0</v>
      </c>
      <c r="LBG6" s="44">
        <f>Database!LBZ14</f>
        <v>0</v>
      </c>
      <c r="LBH6" s="44">
        <f>Database!LCA14</f>
        <v>0</v>
      </c>
      <c r="LBI6" s="44">
        <f>Database!LCB14</f>
        <v>0</v>
      </c>
      <c r="LBJ6" s="44">
        <f>Database!LCC14</f>
        <v>0</v>
      </c>
      <c r="LBK6" s="44">
        <f>Database!LCD14</f>
        <v>0</v>
      </c>
      <c r="LBL6" s="44">
        <f>Database!LCE14</f>
        <v>0</v>
      </c>
      <c r="LBM6" s="44">
        <f>Database!LCF14</f>
        <v>0</v>
      </c>
      <c r="LBN6" s="44">
        <f>Database!LCG14</f>
        <v>0</v>
      </c>
      <c r="LBO6" s="44">
        <f>Database!LCH14</f>
        <v>0</v>
      </c>
      <c r="LBP6" s="44">
        <f>Database!LCI14</f>
        <v>0</v>
      </c>
      <c r="LBQ6" s="44">
        <f>Database!LCJ14</f>
        <v>0</v>
      </c>
      <c r="LBR6" s="44">
        <f>Database!LCK14</f>
        <v>0</v>
      </c>
      <c r="LBS6" s="44">
        <f>Database!LCL14</f>
        <v>0</v>
      </c>
      <c r="LBT6" s="44">
        <f>Database!LCM14</f>
        <v>0</v>
      </c>
      <c r="LBU6" s="44">
        <f>Database!LCN14</f>
        <v>0</v>
      </c>
      <c r="LBV6" s="44">
        <f>Database!LCO14</f>
        <v>0</v>
      </c>
      <c r="LBW6" s="44">
        <f>Database!LCP14</f>
        <v>0</v>
      </c>
      <c r="LBX6" s="44">
        <f>Database!LCQ14</f>
        <v>0</v>
      </c>
      <c r="LBY6" s="44">
        <f>Database!LCR14</f>
        <v>0</v>
      </c>
      <c r="LBZ6" s="44">
        <f>Database!LCS14</f>
        <v>0</v>
      </c>
      <c r="LCA6" s="44">
        <f>Database!LCT14</f>
        <v>0</v>
      </c>
      <c r="LCB6" s="44">
        <f>Database!LCU14</f>
        <v>0</v>
      </c>
      <c r="LCC6" s="44">
        <f>Database!LCV14</f>
        <v>0</v>
      </c>
      <c r="LCD6" s="44">
        <f>Database!LCW14</f>
        <v>0</v>
      </c>
      <c r="LCE6" s="44">
        <f>Database!LCX14</f>
        <v>0</v>
      </c>
      <c r="LCF6" s="44">
        <f>Database!LCY14</f>
        <v>0</v>
      </c>
      <c r="LCG6" s="44">
        <f>Database!LCZ14</f>
        <v>0</v>
      </c>
      <c r="LCH6" s="44">
        <f>Database!LDA14</f>
        <v>0</v>
      </c>
      <c r="LCI6" s="44">
        <f>Database!LDB14</f>
        <v>0</v>
      </c>
      <c r="LCJ6" s="44">
        <f>Database!LDC14</f>
        <v>0</v>
      </c>
      <c r="LCK6" s="44">
        <f>Database!LDD14</f>
        <v>0</v>
      </c>
      <c r="LCL6" s="44">
        <f>Database!LDE14</f>
        <v>0</v>
      </c>
      <c r="LCM6" s="44">
        <f>Database!LDF14</f>
        <v>0</v>
      </c>
      <c r="LCN6" s="44">
        <f>Database!LDG14</f>
        <v>0</v>
      </c>
      <c r="LCO6" s="44">
        <f>Database!LDH14</f>
        <v>0</v>
      </c>
      <c r="LCP6" s="44">
        <f>Database!LDI14</f>
        <v>0</v>
      </c>
      <c r="LCQ6" s="44">
        <f>Database!LDJ14</f>
        <v>0</v>
      </c>
      <c r="LCR6" s="44">
        <f>Database!LDK14</f>
        <v>0</v>
      </c>
      <c r="LCS6" s="44">
        <f>Database!LDL14</f>
        <v>0</v>
      </c>
      <c r="LCT6" s="44">
        <f>Database!LDM14</f>
        <v>0</v>
      </c>
      <c r="LCU6" s="44">
        <f>Database!LDN14</f>
        <v>0</v>
      </c>
      <c r="LCV6" s="44">
        <f>Database!LDO14</f>
        <v>0</v>
      </c>
      <c r="LCW6" s="44">
        <f>Database!LDP14</f>
        <v>0</v>
      </c>
      <c r="LCX6" s="44">
        <f>Database!LDQ14</f>
        <v>0</v>
      </c>
      <c r="LCY6" s="44">
        <f>Database!LDR14</f>
        <v>0</v>
      </c>
      <c r="LCZ6" s="44">
        <f>Database!LDS14</f>
        <v>0</v>
      </c>
      <c r="LDA6" s="44">
        <f>Database!LDT14</f>
        <v>0</v>
      </c>
      <c r="LDB6" s="44">
        <f>Database!LDU14</f>
        <v>0</v>
      </c>
      <c r="LDC6" s="44">
        <f>Database!LDV14</f>
        <v>0</v>
      </c>
      <c r="LDD6" s="44">
        <f>Database!LDW14</f>
        <v>0</v>
      </c>
      <c r="LDE6" s="44">
        <f>Database!LDX14</f>
        <v>0</v>
      </c>
      <c r="LDF6" s="44">
        <f>Database!LDY14</f>
        <v>0</v>
      </c>
      <c r="LDG6" s="44">
        <f>Database!LDZ14</f>
        <v>0</v>
      </c>
      <c r="LDH6" s="44">
        <f>Database!LEA14</f>
        <v>0</v>
      </c>
      <c r="LDI6" s="44">
        <f>Database!LEB14</f>
        <v>0</v>
      </c>
      <c r="LDJ6" s="44">
        <f>Database!LEC14</f>
        <v>0</v>
      </c>
      <c r="LDK6" s="44">
        <f>Database!LED14</f>
        <v>0</v>
      </c>
      <c r="LDL6" s="44">
        <f>Database!LEE14</f>
        <v>0</v>
      </c>
      <c r="LDM6" s="44">
        <f>Database!LEF14</f>
        <v>0</v>
      </c>
      <c r="LDN6" s="44">
        <f>Database!LEG14</f>
        <v>0</v>
      </c>
      <c r="LDO6" s="44">
        <f>Database!LEH14</f>
        <v>0</v>
      </c>
      <c r="LDP6" s="44">
        <f>Database!LEI14</f>
        <v>0</v>
      </c>
      <c r="LDQ6" s="44">
        <f>Database!LEJ14</f>
        <v>0</v>
      </c>
      <c r="LDR6" s="44">
        <f>Database!LEK14</f>
        <v>0</v>
      </c>
      <c r="LDS6" s="44">
        <f>Database!LEL14</f>
        <v>0</v>
      </c>
      <c r="LDT6" s="44">
        <f>Database!LEM14</f>
        <v>0</v>
      </c>
      <c r="LDU6" s="44">
        <f>Database!LEN14</f>
        <v>0</v>
      </c>
      <c r="LDV6" s="44">
        <f>Database!LEO14</f>
        <v>0</v>
      </c>
      <c r="LDW6" s="44">
        <f>Database!LEP14</f>
        <v>0</v>
      </c>
      <c r="LDX6" s="44">
        <f>Database!LEQ14</f>
        <v>0</v>
      </c>
      <c r="LDY6" s="44">
        <f>Database!LER14</f>
        <v>0</v>
      </c>
      <c r="LDZ6" s="44">
        <f>Database!LES14</f>
        <v>0</v>
      </c>
      <c r="LEA6" s="44">
        <f>Database!LET14</f>
        <v>0</v>
      </c>
      <c r="LEB6" s="44">
        <f>Database!LEU14</f>
        <v>0</v>
      </c>
      <c r="LEC6" s="44">
        <f>Database!LEV14</f>
        <v>0</v>
      </c>
      <c r="LED6" s="44">
        <f>Database!LEW14</f>
        <v>0</v>
      </c>
      <c r="LEE6" s="44">
        <f>Database!LEX14</f>
        <v>0</v>
      </c>
      <c r="LEF6" s="44">
        <f>Database!LEY14</f>
        <v>0</v>
      </c>
      <c r="LEG6" s="44">
        <f>Database!LEZ14</f>
        <v>0</v>
      </c>
      <c r="LEH6" s="44">
        <f>Database!LFA14</f>
        <v>0</v>
      </c>
      <c r="LEI6" s="44">
        <f>Database!LFB14</f>
        <v>0</v>
      </c>
      <c r="LEJ6" s="44">
        <f>Database!LFC14</f>
        <v>0</v>
      </c>
      <c r="LEK6" s="44">
        <f>Database!LFD14</f>
        <v>0</v>
      </c>
      <c r="LEL6" s="44">
        <f>Database!LFE14</f>
        <v>0</v>
      </c>
      <c r="LEM6" s="44">
        <f>Database!LFF14</f>
        <v>0</v>
      </c>
      <c r="LEN6" s="44">
        <f>Database!LFG14</f>
        <v>0</v>
      </c>
      <c r="LEO6" s="44">
        <f>Database!LFH14</f>
        <v>0</v>
      </c>
      <c r="LEP6" s="44">
        <f>Database!LFI14</f>
        <v>0</v>
      </c>
      <c r="LEQ6" s="44">
        <f>Database!LFJ14</f>
        <v>0</v>
      </c>
      <c r="LER6" s="44">
        <f>Database!LFK14</f>
        <v>0</v>
      </c>
      <c r="LES6" s="44">
        <f>Database!LFL14</f>
        <v>0</v>
      </c>
      <c r="LET6" s="44">
        <f>Database!LFM14</f>
        <v>0</v>
      </c>
      <c r="LEU6" s="44">
        <f>Database!LFN14</f>
        <v>0</v>
      </c>
      <c r="LEV6" s="44">
        <f>Database!LFO14</f>
        <v>0</v>
      </c>
      <c r="LEW6" s="44">
        <f>Database!LFP14</f>
        <v>0</v>
      </c>
      <c r="LEX6" s="44">
        <f>Database!LFQ14</f>
        <v>0</v>
      </c>
      <c r="LEY6" s="44">
        <f>Database!LFR14</f>
        <v>0</v>
      </c>
      <c r="LEZ6" s="44">
        <f>Database!LFS14</f>
        <v>0</v>
      </c>
      <c r="LFA6" s="44">
        <f>Database!LFT14</f>
        <v>0</v>
      </c>
      <c r="LFB6" s="44">
        <f>Database!LFU14</f>
        <v>0</v>
      </c>
      <c r="LFC6" s="44">
        <f>Database!LFV14</f>
        <v>0</v>
      </c>
      <c r="LFD6" s="44">
        <f>Database!LFW14</f>
        <v>0</v>
      </c>
      <c r="LFE6" s="44">
        <f>Database!LFX14</f>
        <v>0</v>
      </c>
      <c r="LFF6" s="44">
        <f>Database!LFY14</f>
        <v>0</v>
      </c>
      <c r="LFG6" s="44">
        <f>Database!LFZ14</f>
        <v>0</v>
      </c>
      <c r="LFH6" s="44">
        <f>Database!LGA14</f>
        <v>0</v>
      </c>
      <c r="LFI6" s="44">
        <f>Database!LGB14</f>
        <v>0</v>
      </c>
      <c r="LFJ6" s="44">
        <f>Database!LGC14</f>
        <v>0</v>
      </c>
      <c r="LFK6" s="44">
        <f>Database!LGD14</f>
        <v>0</v>
      </c>
      <c r="LFL6" s="44">
        <f>Database!LGE14</f>
        <v>0</v>
      </c>
      <c r="LFM6" s="44">
        <f>Database!LGF14</f>
        <v>0</v>
      </c>
      <c r="LFN6" s="44">
        <f>Database!LGG14</f>
        <v>0</v>
      </c>
      <c r="LFO6" s="44">
        <f>Database!LGH14</f>
        <v>0</v>
      </c>
      <c r="LFP6" s="44">
        <f>Database!LGI14</f>
        <v>0</v>
      </c>
      <c r="LFQ6" s="44">
        <f>Database!LGJ14</f>
        <v>0</v>
      </c>
      <c r="LFR6" s="44">
        <f>Database!LGK14</f>
        <v>0</v>
      </c>
      <c r="LFS6" s="44">
        <f>Database!LGL14</f>
        <v>0</v>
      </c>
      <c r="LFT6" s="44">
        <f>Database!LGM14</f>
        <v>0</v>
      </c>
      <c r="LFU6" s="44">
        <f>Database!LGN14</f>
        <v>0</v>
      </c>
      <c r="LFV6" s="44">
        <f>Database!LGO14</f>
        <v>0</v>
      </c>
      <c r="LFW6" s="44">
        <f>Database!LGP14</f>
        <v>0</v>
      </c>
      <c r="LFX6" s="44">
        <f>Database!LGQ14</f>
        <v>0</v>
      </c>
      <c r="LFY6" s="44">
        <f>Database!LGR14</f>
        <v>0</v>
      </c>
      <c r="LFZ6" s="44">
        <f>Database!LGS14</f>
        <v>0</v>
      </c>
      <c r="LGA6" s="44">
        <f>Database!LGT14</f>
        <v>0</v>
      </c>
      <c r="LGB6" s="44">
        <f>Database!LGU14</f>
        <v>0</v>
      </c>
      <c r="LGC6" s="44">
        <f>Database!LGV14</f>
        <v>0</v>
      </c>
      <c r="LGD6" s="44">
        <f>Database!LGW14</f>
        <v>0</v>
      </c>
      <c r="LGE6" s="44">
        <f>Database!LGX14</f>
        <v>0</v>
      </c>
      <c r="LGF6" s="44">
        <f>Database!LGY14</f>
        <v>0</v>
      </c>
      <c r="LGG6" s="44">
        <f>Database!LGZ14</f>
        <v>0</v>
      </c>
      <c r="LGH6" s="44">
        <f>Database!LHA14</f>
        <v>0</v>
      </c>
      <c r="LGI6" s="44">
        <f>Database!LHB14</f>
        <v>0</v>
      </c>
      <c r="LGJ6" s="44">
        <f>Database!LHC14</f>
        <v>0</v>
      </c>
      <c r="LGK6" s="44">
        <f>Database!LHD14</f>
        <v>0</v>
      </c>
      <c r="LGL6" s="44">
        <f>Database!LHE14</f>
        <v>0</v>
      </c>
      <c r="LGM6" s="44">
        <f>Database!LHF14</f>
        <v>0</v>
      </c>
      <c r="LGN6" s="44">
        <f>Database!LHG14</f>
        <v>0</v>
      </c>
      <c r="LGO6" s="44">
        <f>Database!LHH14</f>
        <v>0</v>
      </c>
      <c r="LGP6" s="44">
        <f>Database!LHI14</f>
        <v>0</v>
      </c>
      <c r="LGQ6" s="44">
        <f>Database!LHJ14</f>
        <v>0</v>
      </c>
      <c r="LGR6" s="44">
        <f>Database!LHK14</f>
        <v>0</v>
      </c>
      <c r="LGS6" s="44">
        <f>Database!LHL14</f>
        <v>0</v>
      </c>
      <c r="LGT6" s="44">
        <f>Database!LHM14</f>
        <v>0</v>
      </c>
      <c r="LGU6" s="44">
        <f>Database!LHN14</f>
        <v>0</v>
      </c>
      <c r="LGV6" s="44">
        <f>Database!LHO14</f>
        <v>0</v>
      </c>
      <c r="LGW6" s="44">
        <f>Database!LHP14</f>
        <v>0</v>
      </c>
      <c r="LGX6" s="44">
        <f>Database!LHQ14</f>
        <v>0</v>
      </c>
      <c r="LGY6" s="44">
        <f>Database!LHR14</f>
        <v>0</v>
      </c>
      <c r="LGZ6" s="44">
        <f>Database!LHS14</f>
        <v>0</v>
      </c>
      <c r="LHA6" s="44">
        <f>Database!LHT14</f>
        <v>0</v>
      </c>
      <c r="LHB6" s="44">
        <f>Database!LHU14</f>
        <v>0</v>
      </c>
      <c r="LHC6" s="44">
        <f>Database!LHV14</f>
        <v>0</v>
      </c>
      <c r="LHD6" s="44">
        <f>Database!LHW14</f>
        <v>0</v>
      </c>
      <c r="LHE6" s="44">
        <f>Database!LHX14</f>
        <v>0</v>
      </c>
      <c r="LHF6" s="44">
        <f>Database!LHY14</f>
        <v>0</v>
      </c>
      <c r="LHG6" s="44">
        <f>Database!LHZ14</f>
        <v>0</v>
      </c>
      <c r="LHH6" s="44">
        <f>Database!LIA14</f>
        <v>0</v>
      </c>
      <c r="LHI6" s="44">
        <f>Database!LIB14</f>
        <v>0</v>
      </c>
      <c r="LHJ6" s="44">
        <f>Database!LIC14</f>
        <v>0</v>
      </c>
      <c r="LHK6" s="44">
        <f>Database!LID14</f>
        <v>0</v>
      </c>
      <c r="LHL6" s="44">
        <f>Database!LIE14</f>
        <v>0</v>
      </c>
      <c r="LHM6" s="44">
        <f>Database!LIF14</f>
        <v>0</v>
      </c>
      <c r="LHN6" s="44">
        <f>Database!LIG14</f>
        <v>0</v>
      </c>
      <c r="LHO6" s="44">
        <f>Database!LIH14</f>
        <v>0</v>
      </c>
      <c r="LHP6" s="44">
        <f>Database!LII14</f>
        <v>0</v>
      </c>
      <c r="LHQ6" s="44">
        <f>Database!LIJ14</f>
        <v>0</v>
      </c>
      <c r="LHR6" s="44">
        <f>Database!LIK14</f>
        <v>0</v>
      </c>
      <c r="LHS6" s="44">
        <f>Database!LIL14</f>
        <v>0</v>
      </c>
      <c r="LHT6" s="44">
        <f>Database!LIM14</f>
        <v>0</v>
      </c>
      <c r="LHU6" s="44">
        <f>Database!LIN14</f>
        <v>0</v>
      </c>
      <c r="LHV6" s="44">
        <f>Database!LIO14</f>
        <v>0</v>
      </c>
      <c r="LHW6" s="44">
        <f>Database!LIP14</f>
        <v>0</v>
      </c>
      <c r="LHX6" s="44">
        <f>Database!LIQ14</f>
        <v>0</v>
      </c>
      <c r="LHY6" s="44">
        <f>Database!LIR14</f>
        <v>0</v>
      </c>
      <c r="LHZ6" s="44">
        <f>Database!LIS14</f>
        <v>0</v>
      </c>
      <c r="LIA6" s="44">
        <f>Database!LIT14</f>
        <v>0</v>
      </c>
      <c r="LIB6" s="44">
        <f>Database!LIU14</f>
        <v>0</v>
      </c>
      <c r="LIC6" s="44">
        <f>Database!LIV14</f>
        <v>0</v>
      </c>
      <c r="LID6" s="44">
        <f>Database!LIW14</f>
        <v>0</v>
      </c>
      <c r="LIE6" s="44">
        <f>Database!LIX14</f>
        <v>0</v>
      </c>
      <c r="LIF6" s="44">
        <f>Database!LIY14</f>
        <v>0</v>
      </c>
      <c r="LIG6" s="44">
        <f>Database!LIZ14</f>
        <v>0</v>
      </c>
      <c r="LIH6" s="44">
        <f>Database!LJA14</f>
        <v>0</v>
      </c>
      <c r="LII6" s="44">
        <f>Database!LJB14</f>
        <v>0</v>
      </c>
      <c r="LIJ6" s="44">
        <f>Database!LJC14</f>
        <v>0</v>
      </c>
      <c r="LIK6" s="44">
        <f>Database!LJD14</f>
        <v>0</v>
      </c>
      <c r="LIL6" s="44">
        <f>Database!LJE14</f>
        <v>0</v>
      </c>
      <c r="LIM6" s="44">
        <f>Database!LJF14</f>
        <v>0</v>
      </c>
      <c r="LIN6" s="44">
        <f>Database!LJG14</f>
        <v>0</v>
      </c>
      <c r="LIO6" s="44">
        <f>Database!LJH14</f>
        <v>0</v>
      </c>
      <c r="LIP6" s="44">
        <f>Database!LJI14</f>
        <v>0</v>
      </c>
      <c r="LIQ6" s="44">
        <f>Database!LJJ14</f>
        <v>0</v>
      </c>
      <c r="LIR6" s="44">
        <f>Database!LJK14</f>
        <v>0</v>
      </c>
      <c r="LIS6" s="44">
        <f>Database!LJL14</f>
        <v>0</v>
      </c>
      <c r="LIT6" s="44">
        <f>Database!LJM14</f>
        <v>0</v>
      </c>
      <c r="LIU6" s="44">
        <f>Database!LJN14</f>
        <v>0</v>
      </c>
      <c r="LIV6" s="44">
        <f>Database!LJO14</f>
        <v>0</v>
      </c>
      <c r="LIW6" s="44">
        <f>Database!LJP14</f>
        <v>0</v>
      </c>
      <c r="LIX6" s="44">
        <f>Database!LJQ14</f>
        <v>0</v>
      </c>
      <c r="LIY6" s="44">
        <f>Database!LJR14</f>
        <v>0</v>
      </c>
      <c r="LIZ6" s="44">
        <f>Database!LJS14</f>
        <v>0</v>
      </c>
      <c r="LJA6" s="44">
        <f>Database!LJT14</f>
        <v>0</v>
      </c>
      <c r="LJB6" s="44">
        <f>Database!LJU14</f>
        <v>0</v>
      </c>
      <c r="LJC6" s="44">
        <f>Database!LJV14</f>
        <v>0</v>
      </c>
      <c r="LJD6" s="44">
        <f>Database!LJW14</f>
        <v>0</v>
      </c>
      <c r="LJE6" s="44">
        <f>Database!LJX14</f>
        <v>0</v>
      </c>
      <c r="LJF6" s="44">
        <f>Database!LJY14</f>
        <v>0</v>
      </c>
      <c r="LJG6" s="44">
        <f>Database!LJZ14</f>
        <v>0</v>
      </c>
      <c r="LJH6" s="44">
        <f>Database!LKA14</f>
        <v>0</v>
      </c>
      <c r="LJI6" s="44">
        <f>Database!LKB14</f>
        <v>0</v>
      </c>
      <c r="LJJ6" s="44">
        <f>Database!LKC14</f>
        <v>0</v>
      </c>
      <c r="LJK6" s="44">
        <f>Database!LKD14</f>
        <v>0</v>
      </c>
      <c r="LJL6" s="44">
        <f>Database!LKE14</f>
        <v>0</v>
      </c>
      <c r="LJM6" s="44">
        <f>Database!LKF14</f>
        <v>0</v>
      </c>
      <c r="LJN6" s="44">
        <f>Database!LKG14</f>
        <v>0</v>
      </c>
      <c r="LJO6" s="44">
        <f>Database!LKH14</f>
        <v>0</v>
      </c>
      <c r="LJP6" s="44">
        <f>Database!LKI14</f>
        <v>0</v>
      </c>
      <c r="LJQ6" s="44">
        <f>Database!LKJ14</f>
        <v>0</v>
      </c>
      <c r="LJR6" s="44">
        <f>Database!LKK14</f>
        <v>0</v>
      </c>
      <c r="LJS6" s="44">
        <f>Database!LKL14</f>
        <v>0</v>
      </c>
      <c r="LJT6" s="44">
        <f>Database!LKM14</f>
        <v>0</v>
      </c>
      <c r="LJU6" s="44">
        <f>Database!LKN14</f>
        <v>0</v>
      </c>
      <c r="LJV6" s="44">
        <f>Database!LKO14</f>
        <v>0</v>
      </c>
      <c r="LJW6" s="44">
        <f>Database!LKP14</f>
        <v>0</v>
      </c>
      <c r="LJX6" s="44">
        <f>Database!LKQ14</f>
        <v>0</v>
      </c>
      <c r="LJY6" s="44">
        <f>Database!LKR14</f>
        <v>0</v>
      </c>
      <c r="LJZ6" s="44">
        <f>Database!LKS14</f>
        <v>0</v>
      </c>
      <c r="LKA6" s="44">
        <f>Database!LKT14</f>
        <v>0</v>
      </c>
      <c r="LKB6" s="44">
        <f>Database!LKU14</f>
        <v>0</v>
      </c>
      <c r="LKC6" s="44">
        <f>Database!LKV14</f>
        <v>0</v>
      </c>
      <c r="LKD6" s="44">
        <f>Database!LKW14</f>
        <v>0</v>
      </c>
      <c r="LKE6" s="44">
        <f>Database!LKX14</f>
        <v>0</v>
      </c>
      <c r="LKF6" s="44">
        <f>Database!LKY14</f>
        <v>0</v>
      </c>
      <c r="LKG6" s="44">
        <f>Database!LKZ14</f>
        <v>0</v>
      </c>
      <c r="LKH6" s="44">
        <f>Database!LLA14</f>
        <v>0</v>
      </c>
      <c r="LKI6" s="44">
        <f>Database!LLB14</f>
        <v>0</v>
      </c>
      <c r="LKJ6" s="44">
        <f>Database!LLC14</f>
        <v>0</v>
      </c>
      <c r="LKK6" s="44">
        <f>Database!LLD14</f>
        <v>0</v>
      </c>
      <c r="LKL6" s="44">
        <f>Database!LLE14</f>
        <v>0</v>
      </c>
      <c r="LKM6" s="44">
        <f>Database!LLF14</f>
        <v>0</v>
      </c>
      <c r="LKN6" s="44">
        <f>Database!LLG14</f>
        <v>0</v>
      </c>
      <c r="LKO6" s="44">
        <f>Database!LLH14</f>
        <v>0</v>
      </c>
      <c r="LKP6" s="44">
        <f>Database!LLI14</f>
        <v>0</v>
      </c>
      <c r="LKQ6" s="44">
        <f>Database!LLJ14</f>
        <v>0</v>
      </c>
      <c r="LKR6" s="44">
        <f>Database!LLK14</f>
        <v>0</v>
      </c>
      <c r="LKS6" s="44">
        <f>Database!LLL14</f>
        <v>0</v>
      </c>
      <c r="LKT6" s="44">
        <f>Database!LLM14</f>
        <v>0</v>
      </c>
      <c r="LKU6" s="44">
        <f>Database!LLN14</f>
        <v>0</v>
      </c>
      <c r="LKV6" s="44">
        <f>Database!LLO14</f>
        <v>0</v>
      </c>
      <c r="LKW6" s="44">
        <f>Database!LLP14</f>
        <v>0</v>
      </c>
      <c r="LKX6" s="44">
        <f>Database!LLQ14</f>
        <v>0</v>
      </c>
      <c r="LKY6" s="44">
        <f>Database!LLR14</f>
        <v>0</v>
      </c>
      <c r="LKZ6" s="44">
        <f>Database!LLS14</f>
        <v>0</v>
      </c>
      <c r="LLA6" s="44">
        <f>Database!LLT14</f>
        <v>0</v>
      </c>
      <c r="LLB6" s="44">
        <f>Database!LLU14</f>
        <v>0</v>
      </c>
      <c r="LLC6" s="44">
        <f>Database!LLV14</f>
        <v>0</v>
      </c>
      <c r="LLD6" s="44">
        <f>Database!LLW14</f>
        <v>0</v>
      </c>
      <c r="LLE6" s="44">
        <f>Database!LLX14</f>
        <v>0</v>
      </c>
      <c r="LLF6" s="44">
        <f>Database!LLY14</f>
        <v>0</v>
      </c>
      <c r="LLG6" s="44">
        <f>Database!LLZ14</f>
        <v>0</v>
      </c>
      <c r="LLH6" s="44">
        <f>Database!LMA14</f>
        <v>0</v>
      </c>
      <c r="LLI6" s="44">
        <f>Database!LMB14</f>
        <v>0</v>
      </c>
      <c r="LLJ6" s="44">
        <f>Database!LMC14</f>
        <v>0</v>
      </c>
      <c r="LLK6" s="44">
        <f>Database!LMD14</f>
        <v>0</v>
      </c>
      <c r="LLL6" s="44">
        <f>Database!LME14</f>
        <v>0</v>
      </c>
      <c r="LLM6" s="44">
        <f>Database!LMF14</f>
        <v>0</v>
      </c>
      <c r="LLN6" s="44">
        <f>Database!LMG14</f>
        <v>0</v>
      </c>
      <c r="LLO6" s="44">
        <f>Database!LMH14</f>
        <v>0</v>
      </c>
      <c r="LLP6" s="44">
        <f>Database!LMI14</f>
        <v>0</v>
      </c>
      <c r="LLQ6" s="44">
        <f>Database!LMJ14</f>
        <v>0</v>
      </c>
      <c r="LLR6" s="44">
        <f>Database!LMK14</f>
        <v>0</v>
      </c>
      <c r="LLS6" s="44">
        <f>Database!LML14</f>
        <v>0</v>
      </c>
      <c r="LLT6" s="44">
        <f>Database!LMM14</f>
        <v>0</v>
      </c>
      <c r="LLU6" s="44">
        <f>Database!LMN14</f>
        <v>0</v>
      </c>
      <c r="LLV6" s="44">
        <f>Database!LMO14</f>
        <v>0</v>
      </c>
      <c r="LLW6" s="44">
        <f>Database!LMP14</f>
        <v>0</v>
      </c>
      <c r="LLX6" s="44">
        <f>Database!LMQ14</f>
        <v>0</v>
      </c>
      <c r="LLY6" s="44">
        <f>Database!LMR14</f>
        <v>0</v>
      </c>
      <c r="LLZ6" s="44">
        <f>Database!LMS14</f>
        <v>0</v>
      </c>
      <c r="LMA6" s="44">
        <f>Database!LMT14</f>
        <v>0</v>
      </c>
      <c r="LMB6" s="44">
        <f>Database!LMU14</f>
        <v>0</v>
      </c>
      <c r="LMC6" s="44">
        <f>Database!LMV14</f>
        <v>0</v>
      </c>
      <c r="LMD6" s="44">
        <f>Database!LMW14</f>
        <v>0</v>
      </c>
      <c r="LME6" s="44">
        <f>Database!LMX14</f>
        <v>0</v>
      </c>
      <c r="LMF6" s="44">
        <f>Database!LMY14</f>
        <v>0</v>
      </c>
      <c r="LMG6" s="44">
        <f>Database!LMZ14</f>
        <v>0</v>
      </c>
      <c r="LMH6" s="44">
        <f>Database!LNA14</f>
        <v>0</v>
      </c>
      <c r="LMI6" s="44">
        <f>Database!LNB14</f>
        <v>0</v>
      </c>
      <c r="LMJ6" s="44">
        <f>Database!LNC14</f>
        <v>0</v>
      </c>
      <c r="LMK6" s="44">
        <f>Database!LND14</f>
        <v>0</v>
      </c>
      <c r="LML6" s="44">
        <f>Database!LNE14</f>
        <v>0</v>
      </c>
      <c r="LMM6" s="44">
        <f>Database!LNF14</f>
        <v>0</v>
      </c>
      <c r="LMN6" s="44">
        <f>Database!LNG14</f>
        <v>0</v>
      </c>
      <c r="LMO6" s="44">
        <f>Database!LNH14</f>
        <v>0</v>
      </c>
      <c r="LMP6" s="44">
        <f>Database!LNI14</f>
        <v>0</v>
      </c>
      <c r="LMQ6" s="44">
        <f>Database!LNJ14</f>
        <v>0</v>
      </c>
      <c r="LMR6" s="44">
        <f>Database!LNK14</f>
        <v>0</v>
      </c>
      <c r="LMS6" s="44">
        <f>Database!LNL14</f>
        <v>0</v>
      </c>
      <c r="LMT6" s="44">
        <f>Database!LNM14</f>
        <v>0</v>
      </c>
      <c r="LMU6" s="44">
        <f>Database!LNN14</f>
        <v>0</v>
      </c>
      <c r="LMV6" s="44">
        <f>Database!LNO14</f>
        <v>0</v>
      </c>
      <c r="LMW6" s="44">
        <f>Database!LNP14</f>
        <v>0</v>
      </c>
      <c r="LMX6" s="44">
        <f>Database!LNQ14</f>
        <v>0</v>
      </c>
      <c r="LMY6" s="44">
        <f>Database!LNR14</f>
        <v>0</v>
      </c>
      <c r="LMZ6" s="44">
        <f>Database!LNS14</f>
        <v>0</v>
      </c>
      <c r="LNA6" s="44">
        <f>Database!LNT14</f>
        <v>0</v>
      </c>
      <c r="LNB6" s="44">
        <f>Database!LNU14</f>
        <v>0</v>
      </c>
      <c r="LNC6" s="44">
        <f>Database!LNV14</f>
        <v>0</v>
      </c>
      <c r="LND6" s="44">
        <f>Database!LNW14</f>
        <v>0</v>
      </c>
      <c r="LNE6" s="44">
        <f>Database!LNX14</f>
        <v>0</v>
      </c>
      <c r="LNF6" s="44">
        <f>Database!LNY14</f>
        <v>0</v>
      </c>
      <c r="LNG6" s="44">
        <f>Database!LNZ14</f>
        <v>0</v>
      </c>
      <c r="LNH6" s="44">
        <f>Database!LOA14</f>
        <v>0</v>
      </c>
      <c r="LNI6" s="44">
        <f>Database!LOB14</f>
        <v>0</v>
      </c>
      <c r="LNJ6" s="44">
        <f>Database!LOC14</f>
        <v>0</v>
      </c>
      <c r="LNK6" s="44">
        <f>Database!LOD14</f>
        <v>0</v>
      </c>
      <c r="LNL6" s="44">
        <f>Database!LOE14</f>
        <v>0</v>
      </c>
      <c r="LNM6" s="44">
        <f>Database!LOF14</f>
        <v>0</v>
      </c>
      <c r="LNN6" s="44">
        <f>Database!LOG14</f>
        <v>0</v>
      </c>
      <c r="LNO6" s="44">
        <f>Database!LOH14</f>
        <v>0</v>
      </c>
      <c r="LNP6" s="44">
        <f>Database!LOI14</f>
        <v>0</v>
      </c>
      <c r="LNQ6" s="44">
        <f>Database!LOJ14</f>
        <v>0</v>
      </c>
      <c r="LNR6" s="44">
        <f>Database!LOK14</f>
        <v>0</v>
      </c>
      <c r="LNS6" s="44">
        <f>Database!LOL14</f>
        <v>0</v>
      </c>
      <c r="LNT6" s="44">
        <f>Database!LOM14</f>
        <v>0</v>
      </c>
      <c r="LNU6" s="44">
        <f>Database!LON14</f>
        <v>0</v>
      </c>
      <c r="LNV6" s="44">
        <f>Database!LOO14</f>
        <v>0</v>
      </c>
      <c r="LNW6" s="44">
        <f>Database!LOP14</f>
        <v>0</v>
      </c>
      <c r="LNX6" s="44">
        <f>Database!LOQ14</f>
        <v>0</v>
      </c>
      <c r="LNY6" s="44">
        <f>Database!LOR14</f>
        <v>0</v>
      </c>
      <c r="LNZ6" s="44">
        <f>Database!LOS14</f>
        <v>0</v>
      </c>
      <c r="LOA6" s="44">
        <f>Database!LOT14</f>
        <v>0</v>
      </c>
      <c r="LOB6" s="44">
        <f>Database!LOU14</f>
        <v>0</v>
      </c>
      <c r="LOC6" s="44">
        <f>Database!LOV14</f>
        <v>0</v>
      </c>
      <c r="LOD6" s="44">
        <f>Database!LOW14</f>
        <v>0</v>
      </c>
      <c r="LOE6" s="44">
        <f>Database!LOX14</f>
        <v>0</v>
      </c>
      <c r="LOF6" s="44">
        <f>Database!LOY14</f>
        <v>0</v>
      </c>
      <c r="LOG6" s="44">
        <f>Database!LOZ14</f>
        <v>0</v>
      </c>
      <c r="LOH6" s="44">
        <f>Database!LPA14</f>
        <v>0</v>
      </c>
      <c r="LOI6" s="44">
        <f>Database!LPB14</f>
        <v>0</v>
      </c>
      <c r="LOJ6" s="44">
        <f>Database!LPC14</f>
        <v>0</v>
      </c>
      <c r="LOK6" s="44">
        <f>Database!LPD14</f>
        <v>0</v>
      </c>
      <c r="LOL6" s="44">
        <f>Database!LPE14</f>
        <v>0</v>
      </c>
      <c r="LOM6" s="44">
        <f>Database!LPF14</f>
        <v>0</v>
      </c>
      <c r="LON6" s="44">
        <f>Database!LPG14</f>
        <v>0</v>
      </c>
      <c r="LOO6" s="44">
        <f>Database!LPH14</f>
        <v>0</v>
      </c>
      <c r="LOP6" s="44">
        <f>Database!LPI14</f>
        <v>0</v>
      </c>
      <c r="LOQ6" s="44">
        <f>Database!LPJ14</f>
        <v>0</v>
      </c>
      <c r="LOR6" s="44">
        <f>Database!LPK14</f>
        <v>0</v>
      </c>
      <c r="LOS6" s="44">
        <f>Database!LPL14</f>
        <v>0</v>
      </c>
      <c r="LOT6" s="44">
        <f>Database!LPM14</f>
        <v>0</v>
      </c>
      <c r="LOU6" s="44">
        <f>Database!LPN14</f>
        <v>0</v>
      </c>
      <c r="LOV6" s="44">
        <f>Database!LPO14</f>
        <v>0</v>
      </c>
      <c r="LOW6" s="44">
        <f>Database!LPP14</f>
        <v>0</v>
      </c>
      <c r="LOX6" s="44">
        <f>Database!LPQ14</f>
        <v>0</v>
      </c>
      <c r="LOY6" s="44">
        <f>Database!LPR14</f>
        <v>0</v>
      </c>
      <c r="LOZ6" s="44">
        <f>Database!LPS14</f>
        <v>0</v>
      </c>
      <c r="LPA6" s="44">
        <f>Database!LPT14</f>
        <v>0</v>
      </c>
      <c r="LPB6" s="44">
        <f>Database!LPU14</f>
        <v>0</v>
      </c>
      <c r="LPC6" s="44">
        <f>Database!LPV14</f>
        <v>0</v>
      </c>
      <c r="LPD6" s="44">
        <f>Database!LPW14</f>
        <v>0</v>
      </c>
      <c r="LPE6" s="44">
        <f>Database!LPX14</f>
        <v>0</v>
      </c>
      <c r="LPF6" s="44">
        <f>Database!LPY14</f>
        <v>0</v>
      </c>
      <c r="LPG6" s="44">
        <f>Database!LPZ14</f>
        <v>0</v>
      </c>
      <c r="LPH6" s="44">
        <f>Database!LQA14</f>
        <v>0</v>
      </c>
      <c r="LPI6" s="44">
        <f>Database!LQB14</f>
        <v>0</v>
      </c>
      <c r="LPJ6" s="44">
        <f>Database!LQC14</f>
        <v>0</v>
      </c>
      <c r="LPK6" s="44">
        <f>Database!LQD14</f>
        <v>0</v>
      </c>
      <c r="LPL6" s="44">
        <f>Database!LQE14</f>
        <v>0</v>
      </c>
      <c r="LPM6" s="44">
        <f>Database!LQF14</f>
        <v>0</v>
      </c>
      <c r="LPN6" s="44">
        <f>Database!LQG14</f>
        <v>0</v>
      </c>
      <c r="LPO6" s="44">
        <f>Database!LQH14</f>
        <v>0</v>
      </c>
      <c r="LPP6" s="44">
        <f>Database!LQI14</f>
        <v>0</v>
      </c>
      <c r="LPQ6" s="44">
        <f>Database!LQJ14</f>
        <v>0</v>
      </c>
      <c r="LPR6" s="44">
        <f>Database!LQK14</f>
        <v>0</v>
      </c>
      <c r="LPS6" s="44">
        <f>Database!LQL14</f>
        <v>0</v>
      </c>
      <c r="LPT6" s="44">
        <f>Database!LQM14</f>
        <v>0</v>
      </c>
      <c r="LPU6" s="44">
        <f>Database!LQN14</f>
        <v>0</v>
      </c>
      <c r="LPV6" s="44">
        <f>Database!LQO14</f>
        <v>0</v>
      </c>
      <c r="LPW6" s="44">
        <f>Database!LQP14</f>
        <v>0</v>
      </c>
      <c r="LPX6" s="44">
        <f>Database!LQQ14</f>
        <v>0</v>
      </c>
      <c r="LPY6" s="44">
        <f>Database!LQR14</f>
        <v>0</v>
      </c>
      <c r="LPZ6" s="44">
        <f>Database!LQS14</f>
        <v>0</v>
      </c>
      <c r="LQA6" s="44">
        <f>Database!LQT14</f>
        <v>0</v>
      </c>
      <c r="LQB6" s="44">
        <f>Database!LQU14</f>
        <v>0</v>
      </c>
      <c r="LQC6" s="44">
        <f>Database!LQV14</f>
        <v>0</v>
      </c>
      <c r="LQD6" s="44">
        <f>Database!LQW14</f>
        <v>0</v>
      </c>
      <c r="LQE6" s="44">
        <f>Database!LQX14</f>
        <v>0</v>
      </c>
      <c r="LQF6" s="44">
        <f>Database!LQY14</f>
        <v>0</v>
      </c>
      <c r="LQG6" s="44">
        <f>Database!LQZ14</f>
        <v>0</v>
      </c>
      <c r="LQH6" s="44">
        <f>Database!LRA14</f>
        <v>0</v>
      </c>
      <c r="LQI6" s="44">
        <f>Database!LRB14</f>
        <v>0</v>
      </c>
      <c r="LQJ6" s="44">
        <f>Database!LRC14</f>
        <v>0</v>
      </c>
      <c r="LQK6" s="44">
        <f>Database!LRD14</f>
        <v>0</v>
      </c>
      <c r="LQL6" s="44">
        <f>Database!LRE14</f>
        <v>0</v>
      </c>
      <c r="LQM6" s="44">
        <f>Database!LRF14</f>
        <v>0</v>
      </c>
      <c r="LQN6" s="44">
        <f>Database!LRG14</f>
        <v>0</v>
      </c>
      <c r="LQO6" s="44">
        <f>Database!LRH14</f>
        <v>0</v>
      </c>
      <c r="LQP6" s="44">
        <f>Database!LRI14</f>
        <v>0</v>
      </c>
      <c r="LQQ6" s="44">
        <f>Database!LRJ14</f>
        <v>0</v>
      </c>
      <c r="LQR6" s="44">
        <f>Database!LRK14</f>
        <v>0</v>
      </c>
      <c r="LQS6" s="44">
        <f>Database!LRL14</f>
        <v>0</v>
      </c>
      <c r="LQT6" s="44">
        <f>Database!LRM14</f>
        <v>0</v>
      </c>
      <c r="LQU6" s="44">
        <f>Database!LRN14</f>
        <v>0</v>
      </c>
      <c r="LQV6" s="44">
        <f>Database!LRO14</f>
        <v>0</v>
      </c>
      <c r="LQW6" s="44">
        <f>Database!LRP14</f>
        <v>0</v>
      </c>
      <c r="LQX6" s="44">
        <f>Database!LRQ14</f>
        <v>0</v>
      </c>
      <c r="LQY6" s="44">
        <f>Database!LRR14</f>
        <v>0</v>
      </c>
      <c r="LQZ6" s="44">
        <f>Database!LRS14</f>
        <v>0</v>
      </c>
      <c r="LRA6" s="44">
        <f>Database!LRT14</f>
        <v>0</v>
      </c>
      <c r="LRB6" s="44">
        <f>Database!LRU14</f>
        <v>0</v>
      </c>
      <c r="LRC6" s="44">
        <f>Database!LRV14</f>
        <v>0</v>
      </c>
      <c r="LRD6" s="44">
        <f>Database!LRW14</f>
        <v>0</v>
      </c>
      <c r="LRE6" s="44">
        <f>Database!LRX14</f>
        <v>0</v>
      </c>
      <c r="LRF6" s="44">
        <f>Database!LRY14</f>
        <v>0</v>
      </c>
      <c r="LRG6" s="44">
        <f>Database!LRZ14</f>
        <v>0</v>
      </c>
      <c r="LRH6" s="44">
        <f>Database!LSA14</f>
        <v>0</v>
      </c>
      <c r="LRI6" s="44">
        <f>Database!LSB14</f>
        <v>0</v>
      </c>
      <c r="LRJ6" s="44">
        <f>Database!LSC14</f>
        <v>0</v>
      </c>
      <c r="LRK6" s="44">
        <f>Database!LSD14</f>
        <v>0</v>
      </c>
      <c r="LRL6" s="44">
        <f>Database!LSE14</f>
        <v>0</v>
      </c>
      <c r="LRM6" s="44">
        <f>Database!LSF14</f>
        <v>0</v>
      </c>
      <c r="LRN6" s="44">
        <f>Database!LSG14</f>
        <v>0</v>
      </c>
      <c r="LRO6" s="44">
        <f>Database!LSH14</f>
        <v>0</v>
      </c>
      <c r="LRP6" s="44">
        <f>Database!LSI14</f>
        <v>0</v>
      </c>
      <c r="LRQ6" s="44">
        <f>Database!LSJ14</f>
        <v>0</v>
      </c>
      <c r="LRR6" s="44">
        <f>Database!LSK14</f>
        <v>0</v>
      </c>
      <c r="LRS6" s="44">
        <f>Database!LSL14</f>
        <v>0</v>
      </c>
      <c r="LRT6" s="44">
        <f>Database!LSM14</f>
        <v>0</v>
      </c>
      <c r="LRU6" s="44">
        <f>Database!LSN14</f>
        <v>0</v>
      </c>
      <c r="LRV6" s="44">
        <f>Database!LSO14</f>
        <v>0</v>
      </c>
      <c r="LRW6" s="44">
        <f>Database!LSP14</f>
        <v>0</v>
      </c>
      <c r="LRX6" s="44">
        <f>Database!LSQ14</f>
        <v>0</v>
      </c>
      <c r="LRY6" s="44">
        <f>Database!LSR14</f>
        <v>0</v>
      </c>
      <c r="LRZ6" s="44">
        <f>Database!LSS14</f>
        <v>0</v>
      </c>
      <c r="LSA6" s="44">
        <f>Database!LST14</f>
        <v>0</v>
      </c>
      <c r="LSB6" s="44">
        <f>Database!LSU14</f>
        <v>0</v>
      </c>
      <c r="LSC6" s="44">
        <f>Database!LSV14</f>
        <v>0</v>
      </c>
      <c r="LSD6" s="44">
        <f>Database!LSW14</f>
        <v>0</v>
      </c>
      <c r="LSE6" s="44">
        <f>Database!LSX14</f>
        <v>0</v>
      </c>
      <c r="LSF6" s="44">
        <f>Database!LSY14</f>
        <v>0</v>
      </c>
      <c r="LSG6" s="44">
        <f>Database!LSZ14</f>
        <v>0</v>
      </c>
      <c r="LSH6" s="44">
        <f>Database!LTA14</f>
        <v>0</v>
      </c>
      <c r="LSI6" s="44">
        <f>Database!LTB14</f>
        <v>0</v>
      </c>
      <c r="LSJ6" s="44">
        <f>Database!LTC14</f>
        <v>0</v>
      </c>
      <c r="LSK6" s="44">
        <f>Database!LTD14</f>
        <v>0</v>
      </c>
      <c r="LSL6" s="44">
        <f>Database!LTE14</f>
        <v>0</v>
      </c>
      <c r="LSM6" s="44">
        <f>Database!LTF14</f>
        <v>0</v>
      </c>
      <c r="LSN6" s="44">
        <f>Database!LTG14</f>
        <v>0</v>
      </c>
      <c r="LSO6" s="44">
        <f>Database!LTH14</f>
        <v>0</v>
      </c>
      <c r="LSP6" s="44">
        <f>Database!LTI14</f>
        <v>0</v>
      </c>
      <c r="LSQ6" s="44">
        <f>Database!LTJ14</f>
        <v>0</v>
      </c>
      <c r="LSR6" s="44">
        <f>Database!LTK14</f>
        <v>0</v>
      </c>
      <c r="LSS6" s="44">
        <f>Database!LTL14</f>
        <v>0</v>
      </c>
      <c r="LST6" s="44">
        <f>Database!LTM14</f>
        <v>0</v>
      </c>
      <c r="LSU6" s="44">
        <f>Database!LTN14</f>
        <v>0</v>
      </c>
      <c r="LSV6" s="44">
        <f>Database!LTO14</f>
        <v>0</v>
      </c>
      <c r="LSW6" s="44">
        <f>Database!LTP14</f>
        <v>0</v>
      </c>
      <c r="LSX6" s="44">
        <f>Database!LTQ14</f>
        <v>0</v>
      </c>
      <c r="LSY6" s="44">
        <f>Database!LTR14</f>
        <v>0</v>
      </c>
      <c r="LSZ6" s="44">
        <f>Database!LTS14</f>
        <v>0</v>
      </c>
      <c r="LTA6" s="44">
        <f>Database!LTT14</f>
        <v>0</v>
      </c>
      <c r="LTB6" s="44">
        <f>Database!LTU14</f>
        <v>0</v>
      </c>
      <c r="LTC6" s="44">
        <f>Database!LTV14</f>
        <v>0</v>
      </c>
      <c r="LTD6" s="44">
        <f>Database!LTW14</f>
        <v>0</v>
      </c>
      <c r="LTE6" s="44">
        <f>Database!LTX14</f>
        <v>0</v>
      </c>
      <c r="LTF6" s="44">
        <f>Database!LTY14</f>
        <v>0</v>
      </c>
      <c r="LTG6" s="44">
        <f>Database!LTZ14</f>
        <v>0</v>
      </c>
      <c r="LTH6" s="44">
        <f>Database!LUA14</f>
        <v>0</v>
      </c>
      <c r="LTI6" s="44">
        <f>Database!LUB14</f>
        <v>0</v>
      </c>
      <c r="LTJ6" s="44">
        <f>Database!LUC14</f>
        <v>0</v>
      </c>
      <c r="LTK6" s="44">
        <f>Database!LUD14</f>
        <v>0</v>
      </c>
      <c r="LTL6" s="44">
        <f>Database!LUE14</f>
        <v>0</v>
      </c>
      <c r="LTM6" s="44">
        <f>Database!LUF14</f>
        <v>0</v>
      </c>
      <c r="LTN6" s="44">
        <f>Database!LUG14</f>
        <v>0</v>
      </c>
      <c r="LTO6" s="44">
        <f>Database!LUH14</f>
        <v>0</v>
      </c>
      <c r="LTP6" s="44">
        <f>Database!LUI14</f>
        <v>0</v>
      </c>
      <c r="LTQ6" s="44">
        <f>Database!LUJ14</f>
        <v>0</v>
      </c>
      <c r="LTR6" s="44">
        <f>Database!LUK14</f>
        <v>0</v>
      </c>
      <c r="LTS6" s="44">
        <f>Database!LUL14</f>
        <v>0</v>
      </c>
      <c r="LTT6" s="44">
        <f>Database!LUM14</f>
        <v>0</v>
      </c>
      <c r="LTU6" s="44">
        <f>Database!LUN14</f>
        <v>0</v>
      </c>
      <c r="LTV6" s="44">
        <f>Database!LUO14</f>
        <v>0</v>
      </c>
      <c r="LTW6" s="44">
        <f>Database!LUP14</f>
        <v>0</v>
      </c>
      <c r="LTX6" s="44">
        <f>Database!LUQ14</f>
        <v>0</v>
      </c>
      <c r="LTY6" s="44">
        <f>Database!LUR14</f>
        <v>0</v>
      </c>
      <c r="LTZ6" s="44">
        <f>Database!LUS14</f>
        <v>0</v>
      </c>
      <c r="LUA6" s="44">
        <f>Database!LUT14</f>
        <v>0</v>
      </c>
      <c r="LUB6" s="44">
        <f>Database!LUU14</f>
        <v>0</v>
      </c>
      <c r="LUC6" s="44">
        <f>Database!LUV14</f>
        <v>0</v>
      </c>
      <c r="LUD6" s="44">
        <f>Database!LUW14</f>
        <v>0</v>
      </c>
      <c r="LUE6" s="44">
        <f>Database!LUX14</f>
        <v>0</v>
      </c>
      <c r="LUF6" s="44">
        <f>Database!LUY14</f>
        <v>0</v>
      </c>
      <c r="LUG6" s="44">
        <f>Database!LUZ14</f>
        <v>0</v>
      </c>
      <c r="LUH6" s="44">
        <f>Database!LVA14</f>
        <v>0</v>
      </c>
      <c r="LUI6" s="44">
        <f>Database!LVB14</f>
        <v>0</v>
      </c>
      <c r="LUJ6" s="44">
        <f>Database!LVC14</f>
        <v>0</v>
      </c>
      <c r="LUK6" s="44">
        <f>Database!LVD14</f>
        <v>0</v>
      </c>
      <c r="LUL6" s="44">
        <f>Database!LVE14</f>
        <v>0</v>
      </c>
      <c r="LUM6" s="44">
        <f>Database!LVF14</f>
        <v>0</v>
      </c>
      <c r="LUN6" s="44">
        <f>Database!LVG14</f>
        <v>0</v>
      </c>
      <c r="LUO6" s="44">
        <f>Database!LVH14</f>
        <v>0</v>
      </c>
      <c r="LUP6" s="44">
        <f>Database!LVI14</f>
        <v>0</v>
      </c>
      <c r="LUQ6" s="44">
        <f>Database!LVJ14</f>
        <v>0</v>
      </c>
      <c r="LUR6" s="44">
        <f>Database!LVK14</f>
        <v>0</v>
      </c>
      <c r="LUS6" s="44">
        <f>Database!LVL14</f>
        <v>0</v>
      </c>
      <c r="LUT6" s="44">
        <f>Database!LVM14</f>
        <v>0</v>
      </c>
      <c r="LUU6" s="44">
        <f>Database!LVN14</f>
        <v>0</v>
      </c>
      <c r="LUV6" s="44">
        <f>Database!LVO14</f>
        <v>0</v>
      </c>
      <c r="LUW6" s="44">
        <f>Database!LVP14</f>
        <v>0</v>
      </c>
      <c r="LUX6" s="44">
        <f>Database!LVQ14</f>
        <v>0</v>
      </c>
      <c r="LUY6" s="44">
        <f>Database!LVR14</f>
        <v>0</v>
      </c>
      <c r="LUZ6" s="44">
        <f>Database!LVS14</f>
        <v>0</v>
      </c>
      <c r="LVA6" s="44">
        <f>Database!LVT14</f>
        <v>0</v>
      </c>
      <c r="LVB6" s="44">
        <f>Database!LVU14</f>
        <v>0</v>
      </c>
      <c r="LVC6" s="44">
        <f>Database!LVV14</f>
        <v>0</v>
      </c>
      <c r="LVD6" s="44">
        <f>Database!LVW14</f>
        <v>0</v>
      </c>
      <c r="LVE6" s="44">
        <f>Database!LVX14</f>
        <v>0</v>
      </c>
      <c r="LVF6" s="44">
        <f>Database!LVY14</f>
        <v>0</v>
      </c>
      <c r="LVG6" s="44">
        <f>Database!LVZ14</f>
        <v>0</v>
      </c>
      <c r="LVH6" s="44">
        <f>Database!LWA14</f>
        <v>0</v>
      </c>
      <c r="LVI6" s="44">
        <f>Database!LWB14</f>
        <v>0</v>
      </c>
      <c r="LVJ6" s="44">
        <f>Database!LWC14</f>
        <v>0</v>
      </c>
      <c r="LVK6" s="44">
        <f>Database!LWD14</f>
        <v>0</v>
      </c>
      <c r="LVL6" s="44">
        <f>Database!LWE14</f>
        <v>0</v>
      </c>
      <c r="LVM6" s="44">
        <f>Database!LWF14</f>
        <v>0</v>
      </c>
      <c r="LVN6" s="44">
        <f>Database!LWG14</f>
        <v>0</v>
      </c>
      <c r="LVO6" s="44">
        <f>Database!LWH14</f>
        <v>0</v>
      </c>
      <c r="LVP6" s="44">
        <f>Database!LWI14</f>
        <v>0</v>
      </c>
      <c r="LVQ6" s="44">
        <f>Database!LWJ14</f>
        <v>0</v>
      </c>
      <c r="LVR6" s="44">
        <f>Database!LWK14</f>
        <v>0</v>
      </c>
      <c r="LVS6" s="44">
        <f>Database!LWL14</f>
        <v>0</v>
      </c>
      <c r="LVT6" s="44">
        <f>Database!LWM14</f>
        <v>0</v>
      </c>
      <c r="LVU6" s="44">
        <f>Database!LWN14</f>
        <v>0</v>
      </c>
      <c r="LVV6" s="44">
        <f>Database!LWO14</f>
        <v>0</v>
      </c>
      <c r="LVW6" s="44">
        <f>Database!LWP14</f>
        <v>0</v>
      </c>
      <c r="LVX6" s="44">
        <f>Database!LWQ14</f>
        <v>0</v>
      </c>
      <c r="LVY6" s="44">
        <f>Database!LWR14</f>
        <v>0</v>
      </c>
      <c r="LVZ6" s="44">
        <f>Database!LWS14</f>
        <v>0</v>
      </c>
      <c r="LWA6" s="44">
        <f>Database!LWT14</f>
        <v>0</v>
      </c>
      <c r="LWB6" s="44">
        <f>Database!LWU14</f>
        <v>0</v>
      </c>
      <c r="LWC6" s="44">
        <f>Database!LWV14</f>
        <v>0</v>
      </c>
      <c r="LWD6" s="44">
        <f>Database!LWW14</f>
        <v>0</v>
      </c>
      <c r="LWE6" s="44">
        <f>Database!LWX14</f>
        <v>0</v>
      </c>
      <c r="LWF6" s="44">
        <f>Database!LWY14</f>
        <v>0</v>
      </c>
      <c r="LWG6" s="44">
        <f>Database!LWZ14</f>
        <v>0</v>
      </c>
      <c r="LWH6" s="44">
        <f>Database!LXA14</f>
        <v>0</v>
      </c>
      <c r="LWI6" s="44">
        <f>Database!LXB14</f>
        <v>0</v>
      </c>
      <c r="LWJ6" s="44">
        <f>Database!LXC14</f>
        <v>0</v>
      </c>
      <c r="LWK6" s="44">
        <f>Database!LXD14</f>
        <v>0</v>
      </c>
      <c r="LWL6" s="44">
        <f>Database!LXE14</f>
        <v>0</v>
      </c>
      <c r="LWM6" s="44">
        <f>Database!LXF14</f>
        <v>0</v>
      </c>
      <c r="LWN6" s="44">
        <f>Database!LXG14</f>
        <v>0</v>
      </c>
      <c r="LWO6" s="44">
        <f>Database!LXH14</f>
        <v>0</v>
      </c>
      <c r="LWP6" s="44">
        <f>Database!LXI14</f>
        <v>0</v>
      </c>
      <c r="LWQ6" s="44">
        <f>Database!LXJ14</f>
        <v>0</v>
      </c>
      <c r="LWR6" s="44">
        <f>Database!LXK14</f>
        <v>0</v>
      </c>
      <c r="LWS6" s="44">
        <f>Database!LXL14</f>
        <v>0</v>
      </c>
      <c r="LWT6" s="44">
        <f>Database!LXM14</f>
        <v>0</v>
      </c>
      <c r="LWU6" s="44">
        <f>Database!LXN14</f>
        <v>0</v>
      </c>
      <c r="LWV6" s="44">
        <f>Database!LXO14</f>
        <v>0</v>
      </c>
      <c r="LWW6" s="44">
        <f>Database!LXP14</f>
        <v>0</v>
      </c>
      <c r="LWX6" s="44">
        <f>Database!LXQ14</f>
        <v>0</v>
      </c>
      <c r="LWY6" s="44">
        <f>Database!LXR14</f>
        <v>0</v>
      </c>
      <c r="LWZ6" s="44">
        <f>Database!LXS14</f>
        <v>0</v>
      </c>
      <c r="LXA6" s="44">
        <f>Database!LXT14</f>
        <v>0</v>
      </c>
      <c r="LXB6" s="44">
        <f>Database!LXU14</f>
        <v>0</v>
      </c>
      <c r="LXC6" s="44">
        <f>Database!LXV14</f>
        <v>0</v>
      </c>
      <c r="LXD6" s="44">
        <f>Database!LXW14</f>
        <v>0</v>
      </c>
      <c r="LXE6" s="44">
        <f>Database!LXX14</f>
        <v>0</v>
      </c>
      <c r="LXF6" s="44">
        <f>Database!LXY14</f>
        <v>0</v>
      </c>
      <c r="LXG6" s="44">
        <f>Database!LXZ14</f>
        <v>0</v>
      </c>
      <c r="LXH6" s="44">
        <f>Database!LYA14</f>
        <v>0</v>
      </c>
      <c r="LXI6" s="44">
        <f>Database!LYB14</f>
        <v>0</v>
      </c>
      <c r="LXJ6" s="44">
        <f>Database!LYC14</f>
        <v>0</v>
      </c>
      <c r="LXK6" s="44">
        <f>Database!LYD14</f>
        <v>0</v>
      </c>
      <c r="LXL6" s="44">
        <f>Database!LYE14</f>
        <v>0</v>
      </c>
      <c r="LXM6" s="44">
        <f>Database!LYF14</f>
        <v>0</v>
      </c>
      <c r="LXN6" s="44">
        <f>Database!LYG14</f>
        <v>0</v>
      </c>
      <c r="LXO6" s="44">
        <f>Database!LYH14</f>
        <v>0</v>
      </c>
      <c r="LXP6" s="44">
        <f>Database!LYI14</f>
        <v>0</v>
      </c>
      <c r="LXQ6" s="44">
        <f>Database!LYJ14</f>
        <v>0</v>
      </c>
      <c r="LXR6" s="44">
        <f>Database!LYK14</f>
        <v>0</v>
      </c>
      <c r="LXS6" s="44">
        <f>Database!LYL14</f>
        <v>0</v>
      </c>
      <c r="LXT6" s="44">
        <f>Database!LYM14</f>
        <v>0</v>
      </c>
      <c r="LXU6" s="44">
        <f>Database!LYN14</f>
        <v>0</v>
      </c>
      <c r="LXV6" s="44">
        <f>Database!LYO14</f>
        <v>0</v>
      </c>
      <c r="LXW6" s="44">
        <f>Database!LYP14</f>
        <v>0</v>
      </c>
      <c r="LXX6" s="44">
        <f>Database!LYQ14</f>
        <v>0</v>
      </c>
      <c r="LXY6" s="44">
        <f>Database!LYR14</f>
        <v>0</v>
      </c>
      <c r="LXZ6" s="44">
        <f>Database!LYS14</f>
        <v>0</v>
      </c>
      <c r="LYA6" s="44">
        <f>Database!LYT14</f>
        <v>0</v>
      </c>
      <c r="LYB6" s="44">
        <f>Database!LYU14</f>
        <v>0</v>
      </c>
      <c r="LYC6" s="44">
        <f>Database!LYV14</f>
        <v>0</v>
      </c>
      <c r="LYD6" s="44">
        <f>Database!LYW14</f>
        <v>0</v>
      </c>
      <c r="LYE6" s="44">
        <f>Database!LYX14</f>
        <v>0</v>
      </c>
      <c r="LYF6" s="44">
        <f>Database!LYY14</f>
        <v>0</v>
      </c>
      <c r="LYG6" s="44">
        <f>Database!LYZ14</f>
        <v>0</v>
      </c>
      <c r="LYH6" s="44">
        <f>Database!LZA14</f>
        <v>0</v>
      </c>
      <c r="LYI6" s="44">
        <f>Database!LZB14</f>
        <v>0</v>
      </c>
      <c r="LYJ6" s="44">
        <f>Database!LZC14</f>
        <v>0</v>
      </c>
      <c r="LYK6" s="44">
        <f>Database!LZD14</f>
        <v>0</v>
      </c>
      <c r="LYL6" s="44">
        <f>Database!LZE14</f>
        <v>0</v>
      </c>
      <c r="LYM6" s="44">
        <f>Database!LZF14</f>
        <v>0</v>
      </c>
      <c r="LYN6" s="44">
        <f>Database!LZG14</f>
        <v>0</v>
      </c>
      <c r="LYO6" s="44">
        <f>Database!LZH14</f>
        <v>0</v>
      </c>
      <c r="LYP6" s="44">
        <f>Database!LZI14</f>
        <v>0</v>
      </c>
      <c r="LYQ6" s="44">
        <f>Database!LZJ14</f>
        <v>0</v>
      </c>
      <c r="LYR6" s="44">
        <f>Database!LZK14</f>
        <v>0</v>
      </c>
      <c r="LYS6" s="44">
        <f>Database!LZL14</f>
        <v>0</v>
      </c>
      <c r="LYT6" s="44">
        <f>Database!LZM14</f>
        <v>0</v>
      </c>
      <c r="LYU6" s="44">
        <f>Database!LZN14</f>
        <v>0</v>
      </c>
      <c r="LYV6" s="44">
        <f>Database!LZO14</f>
        <v>0</v>
      </c>
      <c r="LYW6" s="44">
        <f>Database!LZP14</f>
        <v>0</v>
      </c>
      <c r="LYX6" s="44">
        <f>Database!LZQ14</f>
        <v>0</v>
      </c>
      <c r="LYY6" s="44">
        <f>Database!LZR14</f>
        <v>0</v>
      </c>
      <c r="LYZ6" s="44">
        <f>Database!LZS14</f>
        <v>0</v>
      </c>
      <c r="LZA6" s="44">
        <f>Database!LZT14</f>
        <v>0</v>
      </c>
      <c r="LZB6" s="44">
        <f>Database!LZU14</f>
        <v>0</v>
      </c>
      <c r="LZC6" s="44">
        <f>Database!LZV14</f>
        <v>0</v>
      </c>
      <c r="LZD6" s="44">
        <f>Database!LZW14</f>
        <v>0</v>
      </c>
      <c r="LZE6" s="44">
        <f>Database!LZX14</f>
        <v>0</v>
      </c>
      <c r="LZF6" s="44">
        <f>Database!LZY14</f>
        <v>0</v>
      </c>
      <c r="LZG6" s="44">
        <f>Database!LZZ14</f>
        <v>0</v>
      </c>
      <c r="LZH6" s="44">
        <f>Database!MAA14</f>
        <v>0</v>
      </c>
      <c r="LZI6" s="44">
        <f>Database!MAB14</f>
        <v>0</v>
      </c>
      <c r="LZJ6" s="44">
        <f>Database!MAC14</f>
        <v>0</v>
      </c>
      <c r="LZK6" s="44">
        <f>Database!MAD14</f>
        <v>0</v>
      </c>
      <c r="LZL6" s="44">
        <f>Database!MAE14</f>
        <v>0</v>
      </c>
      <c r="LZM6" s="44">
        <f>Database!MAF14</f>
        <v>0</v>
      </c>
      <c r="LZN6" s="44">
        <f>Database!MAG14</f>
        <v>0</v>
      </c>
      <c r="LZO6" s="44">
        <f>Database!MAH14</f>
        <v>0</v>
      </c>
      <c r="LZP6" s="44">
        <f>Database!MAI14</f>
        <v>0</v>
      </c>
      <c r="LZQ6" s="44">
        <f>Database!MAJ14</f>
        <v>0</v>
      </c>
      <c r="LZR6" s="44">
        <f>Database!MAK14</f>
        <v>0</v>
      </c>
      <c r="LZS6" s="44">
        <f>Database!MAL14</f>
        <v>0</v>
      </c>
      <c r="LZT6" s="44">
        <f>Database!MAM14</f>
        <v>0</v>
      </c>
      <c r="LZU6" s="44">
        <f>Database!MAN14</f>
        <v>0</v>
      </c>
      <c r="LZV6" s="44">
        <f>Database!MAO14</f>
        <v>0</v>
      </c>
      <c r="LZW6" s="44">
        <f>Database!MAP14</f>
        <v>0</v>
      </c>
      <c r="LZX6" s="44">
        <f>Database!MAQ14</f>
        <v>0</v>
      </c>
      <c r="LZY6" s="44">
        <f>Database!MAR14</f>
        <v>0</v>
      </c>
      <c r="LZZ6" s="44">
        <f>Database!MAS14</f>
        <v>0</v>
      </c>
      <c r="MAA6" s="44">
        <f>Database!MAT14</f>
        <v>0</v>
      </c>
      <c r="MAB6" s="44">
        <f>Database!MAU14</f>
        <v>0</v>
      </c>
      <c r="MAC6" s="44">
        <f>Database!MAV14</f>
        <v>0</v>
      </c>
      <c r="MAD6" s="44">
        <f>Database!MAW14</f>
        <v>0</v>
      </c>
      <c r="MAE6" s="44">
        <f>Database!MAX14</f>
        <v>0</v>
      </c>
      <c r="MAF6" s="44">
        <f>Database!MAY14</f>
        <v>0</v>
      </c>
      <c r="MAG6" s="44">
        <f>Database!MAZ14</f>
        <v>0</v>
      </c>
      <c r="MAH6" s="44">
        <f>Database!MBA14</f>
        <v>0</v>
      </c>
      <c r="MAI6" s="44">
        <f>Database!MBB14</f>
        <v>0</v>
      </c>
      <c r="MAJ6" s="44">
        <f>Database!MBC14</f>
        <v>0</v>
      </c>
      <c r="MAK6" s="44">
        <f>Database!MBD14</f>
        <v>0</v>
      </c>
      <c r="MAL6" s="44">
        <f>Database!MBE14</f>
        <v>0</v>
      </c>
      <c r="MAM6" s="44">
        <f>Database!MBF14</f>
        <v>0</v>
      </c>
      <c r="MAN6" s="44">
        <f>Database!MBG14</f>
        <v>0</v>
      </c>
      <c r="MAO6" s="44">
        <f>Database!MBH14</f>
        <v>0</v>
      </c>
      <c r="MAP6" s="44">
        <f>Database!MBI14</f>
        <v>0</v>
      </c>
      <c r="MAQ6" s="44">
        <f>Database!MBJ14</f>
        <v>0</v>
      </c>
      <c r="MAR6" s="44">
        <f>Database!MBK14</f>
        <v>0</v>
      </c>
      <c r="MAS6" s="44">
        <f>Database!MBL14</f>
        <v>0</v>
      </c>
      <c r="MAT6" s="44">
        <f>Database!MBM14</f>
        <v>0</v>
      </c>
      <c r="MAU6" s="44">
        <f>Database!MBN14</f>
        <v>0</v>
      </c>
      <c r="MAV6" s="44">
        <f>Database!MBO14</f>
        <v>0</v>
      </c>
      <c r="MAW6" s="44">
        <f>Database!MBP14</f>
        <v>0</v>
      </c>
      <c r="MAX6" s="44">
        <f>Database!MBQ14</f>
        <v>0</v>
      </c>
      <c r="MAY6" s="44">
        <f>Database!MBR14</f>
        <v>0</v>
      </c>
      <c r="MAZ6" s="44">
        <f>Database!MBS14</f>
        <v>0</v>
      </c>
      <c r="MBA6" s="44">
        <f>Database!MBT14</f>
        <v>0</v>
      </c>
      <c r="MBB6" s="44">
        <f>Database!MBU14</f>
        <v>0</v>
      </c>
      <c r="MBC6" s="44">
        <f>Database!MBV14</f>
        <v>0</v>
      </c>
      <c r="MBD6" s="44">
        <f>Database!MBW14</f>
        <v>0</v>
      </c>
      <c r="MBE6" s="44">
        <f>Database!MBX14</f>
        <v>0</v>
      </c>
      <c r="MBF6" s="44">
        <f>Database!MBY14</f>
        <v>0</v>
      </c>
      <c r="MBG6" s="44">
        <f>Database!MBZ14</f>
        <v>0</v>
      </c>
      <c r="MBH6" s="44">
        <f>Database!MCA14</f>
        <v>0</v>
      </c>
      <c r="MBI6" s="44">
        <f>Database!MCB14</f>
        <v>0</v>
      </c>
      <c r="MBJ6" s="44">
        <f>Database!MCC14</f>
        <v>0</v>
      </c>
      <c r="MBK6" s="44">
        <f>Database!MCD14</f>
        <v>0</v>
      </c>
      <c r="MBL6" s="44">
        <f>Database!MCE14</f>
        <v>0</v>
      </c>
      <c r="MBM6" s="44">
        <f>Database!MCF14</f>
        <v>0</v>
      </c>
      <c r="MBN6" s="44">
        <f>Database!MCG14</f>
        <v>0</v>
      </c>
      <c r="MBO6" s="44">
        <f>Database!MCH14</f>
        <v>0</v>
      </c>
      <c r="MBP6" s="44">
        <f>Database!MCI14</f>
        <v>0</v>
      </c>
      <c r="MBQ6" s="44">
        <f>Database!MCJ14</f>
        <v>0</v>
      </c>
      <c r="MBR6" s="44">
        <f>Database!MCK14</f>
        <v>0</v>
      </c>
      <c r="MBS6" s="44">
        <f>Database!MCL14</f>
        <v>0</v>
      </c>
      <c r="MBT6" s="44">
        <f>Database!MCM14</f>
        <v>0</v>
      </c>
      <c r="MBU6" s="44">
        <f>Database!MCN14</f>
        <v>0</v>
      </c>
      <c r="MBV6" s="44">
        <f>Database!MCO14</f>
        <v>0</v>
      </c>
      <c r="MBW6" s="44">
        <f>Database!MCP14</f>
        <v>0</v>
      </c>
      <c r="MBX6" s="44">
        <f>Database!MCQ14</f>
        <v>0</v>
      </c>
      <c r="MBY6" s="44">
        <f>Database!MCR14</f>
        <v>0</v>
      </c>
      <c r="MBZ6" s="44">
        <f>Database!MCS14</f>
        <v>0</v>
      </c>
      <c r="MCA6" s="44">
        <f>Database!MCT14</f>
        <v>0</v>
      </c>
      <c r="MCB6" s="44">
        <f>Database!MCU14</f>
        <v>0</v>
      </c>
      <c r="MCC6" s="44">
        <f>Database!MCV14</f>
        <v>0</v>
      </c>
      <c r="MCD6" s="44">
        <f>Database!MCW14</f>
        <v>0</v>
      </c>
      <c r="MCE6" s="44">
        <f>Database!MCX14</f>
        <v>0</v>
      </c>
      <c r="MCF6" s="44">
        <f>Database!MCY14</f>
        <v>0</v>
      </c>
      <c r="MCG6" s="44">
        <f>Database!MCZ14</f>
        <v>0</v>
      </c>
      <c r="MCH6" s="44">
        <f>Database!MDA14</f>
        <v>0</v>
      </c>
      <c r="MCI6" s="44">
        <f>Database!MDB14</f>
        <v>0</v>
      </c>
      <c r="MCJ6" s="44">
        <f>Database!MDC14</f>
        <v>0</v>
      </c>
      <c r="MCK6" s="44">
        <f>Database!MDD14</f>
        <v>0</v>
      </c>
      <c r="MCL6" s="44">
        <f>Database!MDE14</f>
        <v>0</v>
      </c>
      <c r="MCM6" s="44">
        <f>Database!MDF14</f>
        <v>0</v>
      </c>
      <c r="MCN6" s="44">
        <f>Database!MDG14</f>
        <v>0</v>
      </c>
      <c r="MCO6" s="44">
        <f>Database!MDH14</f>
        <v>0</v>
      </c>
      <c r="MCP6" s="44">
        <f>Database!MDI14</f>
        <v>0</v>
      </c>
      <c r="MCQ6" s="44">
        <f>Database!MDJ14</f>
        <v>0</v>
      </c>
      <c r="MCR6" s="44">
        <f>Database!MDK14</f>
        <v>0</v>
      </c>
      <c r="MCS6" s="44">
        <f>Database!MDL14</f>
        <v>0</v>
      </c>
      <c r="MCT6" s="44">
        <f>Database!MDM14</f>
        <v>0</v>
      </c>
      <c r="MCU6" s="44">
        <f>Database!MDN14</f>
        <v>0</v>
      </c>
      <c r="MCV6" s="44">
        <f>Database!MDO14</f>
        <v>0</v>
      </c>
      <c r="MCW6" s="44">
        <f>Database!MDP14</f>
        <v>0</v>
      </c>
      <c r="MCX6" s="44">
        <f>Database!MDQ14</f>
        <v>0</v>
      </c>
      <c r="MCY6" s="44">
        <f>Database!MDR14</f>
        <v>0</v>
      </c>
      <c r="MCZ6" s="44">
        <f>Database!MDS14</f>
        <v>0</v>
      </c>
      <c r="MDA6" s="44">
        <f>Database!MDT14</f>
        <v>0</v>
      </c>
      <c r="MDB6" s="44">
        <f>Database!MDU14</f>
        <v>0</v>
      </c>
      <c r="MDC6" s="44">
        <f>Database!MDV14</f>
        <v>0</v>
      </c>
      <c r="MDD6" s="44">
        <f>Database!MDW14</f>
        <v>0</v>
      </c>
      <c r="MDE6" s="44">
        <f>Database!MDX14</f>
        <v>0</v>
      </c>
      <c r="MDF6" s="44">
        <f>Database!MDY14</f>
        <v>0</v>
      </c>
      <c r="MDG6" s="44">
        <f>Database!MDZ14</f>
        <v>0</v>
      </c>
      <c r="MDH6" s="44">
        <f>Database!MEA14</f>
        <v>0</v>
      </c>
      <c r="MDI6" s="44">
        <f>Database!MEB14</f>
        <v>0</v>
      </c>
      <c r="MDJ6" s="44">
        <f>Database!MEC14</f>
        <v>0</v>
      </c>
      <c r="MDK6" s="44">
        <f>Database!MED14</f>
        <v>0</v>
      </c>
      <c r="MDL6" s="44">
        <f>Database!MEE14</f>
        <v>0</v>
      </c>
      <c r="MDM6" s="44">
        <f>Database!MEF14</f>
        <v>0</v>
      </c>
      <c r="MDN6" s="44">
        <f>Database!MEG14</f>
        <v>0</v>
      </c>
      <c r="MDO6" s="44">
        <f>Database!MEH14</f>
        <v>0</v>
      </c>
      <c r="MDP6" s="44">
        <f>Database!MEI14</f>
        <v>0</v>
      </c>
      <c r="MDQ6" s="44">
        <f>Database!MEJ14</f>
        <v>0</v>
      </c>
      <c r="MDR6" s="44">
        <f>Database!MEK14</f>
        <v>0</v>
      </c>
      <c r="MDS6" s="44">
        <f>Database!MEL14</f>
        <v>0</v>
      </c>
      <c r="MDT6" s="44">
        <f>Database!MEM14</f>
        <v>0</v>
      </c>
      <c r="MDU6" s="44">
        <f>Database!MEN14</f>
        <v>0</v>
      </c>
      <c r="MDV6" s="44">
        <f>Database!MEO14</f>
        <v>0</v>
      </c>
      <c r="MDW6" s="44">
        <f>Database!MEP14</f>
        <v>0</v>
      </c>
      <c r="MDX6" s="44">
        <f>Database!MEQ14</f>
        <v>0</v>
      </c>
      <c r="MDY6" s="44">
        <f>Database!MER14</f>
        <v>0</v>
      </c>
      <c r="MDZ6" s="44">
        <f>Database!MES14</f>
        <v>0</v>
      </c>
      <c r="MEA6" s="44">
        <f>Database!MET14</f>
        <v>0</v>
      </c>
      <c r="MEB6" s="44">
        <f>Database!MEU14</f>
        <v>0</v>
      </c>
      <c r="MEC6" s="44">
        <f>Database!MEV14</f>
        <v>0</v>
      </c>
      <c r="MED6" s="44">
        <f>Database!MEW14</f>
        <v>0</v>
      </c>
      <c r="MEE6" s="44">
        <f>Database!MEX14</f>
        <v>0</v>
      </c>
      <c r="MEF6" s="44">
        <f>Database!MEY14</f>
        <v>0</v>
      </c>
      <c r="MEG6" s="44">
        <f>Database!MEZ14</f>
        <v>0</v>
      </c>
      <c r="MEH6" s="44">
        <f>Database!MFA14</f>
        <v>0</v>
      </c>
      <c r="MEI6" s="44">
        <f>Database!MFB14</f>
        <v>0</v>
      </c>
      <c r="MEJ6" s="44">
        <f>Database!MFC14</f>
        <v>0</v>
      </c>
      <c r="MEK6" s="44">
        <f>Database!MFD14</f>
        <v>0</v>
      </c>
      <c r="MEL6" s="44">
        <f>Database!MFE14</f>
        <v>0</v>
      </c>
      <c r="MEM6" s="44">
        <f>Database!MFF14</f>
        <v>0</v>
      </c>
      <c r="MEN6" s="44">
        <f>Database!MFG14</f>
        <v>0</v>
      </c>
      <c r="MEO6" s="44">
        <f>Database!MFH14</f>
        <v>0</v>
      </c>
      <c r="MEP6" s="44">
        <f>Database!MFI14</f>
        <v>0</v>
      </c>
      <c r="MEQ6" s="44">
        <f>Database!MFJ14</f>
        <v>0</v>
      </c>
      <c r="MER6" s="44">
        <f>Database!MFK14</f>
        <v>0</v>
      </c>
      <c r="MES6" s="44">
        <f>Database!MFL14</f>
        <v>0</v>
      </c>
      <c r="MET6" s="44">
        <f>Database!MFM14</f>
        <v>0</v>
      </c>
      <c r="MEU6" s="44">
        <f>Database!MFN14</f>
        <v>0</v>
      </c>
      <c r="MEV6" s="44">
        <f>Database!MFO14</f>
        <v>0</v>
      </c>
      <c r="MEW6" s="44">
        <f>Database!MFP14</f>
        <v>0</v>
      </c>
      <c r="MEX6" s="44">
        <f>Database!MFQ14</f>
        <v>0</v>
      </c>
      <c r="MEY6" s="44">
        <f>Database!MFR14</f>
        <v>0</v>
      </c>
      <c r="MEZ6" s="44">
        <f>Database!MFS14</f>
        <v>0</v>
      </c>
      <c r="MFA6" s="44">
        <f>Database!MFT14</f>
        <v>0</v>
      </c>
      <c r="MFB6" s="44">
        <f>Database!MFU14</f>
        <v>0</v>
      </c>
      <c r="MFC6" s="44">
        <f>Database!MFV14</f>
        <v>0</v>
      </c>
      <c r="MFD6" s="44">
        <f>Database!MFW14</f>
        <v>0</v>
      </c>
      <c r="MFE6" s="44">
        <f>Database!MFX14</f>
        <v>0</v>
      </c>
      <c r="MFF6" s="44">
        <f>Database!MFY14</f>
        <v>0</v>
      </c>
      <c r="MFG6" s="44">
        <f>Database!MFZ14</f>
        <v>0</v>
      </c>
      <c r="MFH6" s="44">
        <f>Database!MGA14</f>
        <v>0</v>
      </c>
      <c r="MFI6" s="44">
        <f>Database!MGB14</f>
        <v>0</v>
      </c>
      <c r="MFJ6" s="44">
        <f>Database!MGC14</f>
        <v>0</v>
      </c>
      <c r="MFK6" s="44">
        <f>Database!MGD14</f>
        <v>0</v>
      </c>
      <c r="MFL6" s="44">
        <f>Database!MGE14</f>
        <v>0</v>
      </c>
      <c r="MFM6" s="44">
        <f>Database!MGF14</f>
        <v>0</v>
      </c>
      <c r="MFN6" s="44">
        <f>Database!MGG14</f>
        <v>0</v>
      </c>
      <c r="MFO6" s="44">
        <f>Database!MGH14</f>
        <v>0</v>
      </c>
      <c r="MFP6" s="44">
        <f>Database!MGI14</f>
        <v>0</v>
      </c>
      <c r="MFQ6" s="44">
        <f>Database!MGJ14</f>
        <v>0</v>
      </c>
      <c r="MFR6" s="44">
        <f>Database!MGK14</f>
        <v>0</v>
      </c>
      <c r="MFS6" s="44">
        <f>Database!MGL14</f>
        <v>0</v>
      </c>
      <c r="MFT6" s="44">
        <f>Database!MGM14</f>
        <v>0</v>
      </c>
      <c r="MFU6" s="44">
        <f>Database!MGN14</f>
        <v>0</v>
      </c>
      <c r="MFV6" s="44">
        <f>Database!MGO14</f>
        <v>0</v>
      </c>
      <c r="MFW6" s="44">
        <f>Database!MGP14</f>
        <v>0</v>
      </c>
      <c r="MFX6" s="44">
        <f>Database!MGQ14</f>
        <v>0</v>
      </c>
      <c r="MFY6" s="44">
        <f>Database!MGR14</f>
        <v>0</v>
      </c>
      <c r="MFZ6" s="44">
        <f>Database!MGS14</f>
        <v>0</v>
      </c>
      <c r="MGA6" s="44">
        <f>Database!MGT14</f>
        <v>0</v>
      </c>
      <c r="MGB6" s="44">
        <f>Database!MGU14</f>
        <v>0</v>
      </c>
      <c r="MGC6" s="44">
        <f>Database!MGV14</f>
        <v>0</v>
      </c>
      <c r="MGD6" s="44">
        <f>Database!MGW14</f>
        <v>0</v>
      </c>
      <c r="MGE6" s="44">
        <f>Database!MGX14</f>
        <v>0</v>
      </c>
      <c r="MGF6" s="44">
        <f>Database!MGY14</f>
        <v>0</v>
      </c>
      <c r="MGG6" s="44">
        <f>Database!MGZ14</f>
        <v>0</v>
      </c>
      <c r="MGH6" s="44">
        <f>Database!MHA14</f>
        <v>0</v>
      </c>
      <c r="MGI6" s="44">
        <f>Database!MHB14</f>
        <v>0</v>
      </c>
      <c r="MGJ6" s="44">
        <f>Database!MHC14</f>
        <v>0</v>
      </c>
      <c r="MGK6" s="44">
        <f>Database!MHD14</f>
        <v>0</v>
      </c>
      <c r="MGL6" s="44">
        <f>Database!MHE14</f>
        <v>0</v>
      </c>
      <c r="MGM6" s="44">
        <f>Database!MHF14</f>
        <v>0</v>
      </c>
      <c r="MGN6" s="44">
        <f>Database!MHG14</f>
        <v>0</v>
      </c>
      <c r="MGO6" s="44">
        <f>Database!MHH14</f>
        <v>0</v>
      </c>
      <c r="MGP6" s="44">
        <f>Database!MHI14</f>
        <v>0</v>
      </c>
      <c r="MGQ6" s="44">
        <f>Database!MHJ14</f>
        <v>0</v>
      </c>
      <c r="MGR6" s="44">
        <f>Database!MHK14</f>
        <v>0</v>
      </c>
      <c r="MGS6" s="44">
        <f>Database!MHL14</f>
        <v>0</v>
      </c>
      <c r="MGT6" s="44">
        <f>Database!MHM14</f>
        <v>0</v>
      </c>
      <c r="MGU6" s="44">
        <f>Database!MHN14</f>
        <v>0</v>
      </c>
      <c r="MGV6" s="44">
        <f>Database!MHO14</f>
        <v>0</v>
      </c>
      <c r="MGW6" s="44">
        <f>Database!MHP14</f>
        <v>0</v>
      </c>
      <c r="MGX6" s="44">
        <f>Database!MHQ14</f>
        <v>0</v>
      </c>
      <c r="MGY6" s="44">
        <f>Database!MHR14</f>
        <v>0</v>
      </c>
      <c r="MGZ6" s="44">
        <f>Database!MHS14</f>
        <v>0</v>
      </c>
      <c r="MHA6" s="44">
        <f>Database!MHT14</f>
        <v>0</v>
      </c>
      <c r="MHB6" s="44">
        <f>Database!MHU14</f>
        <v>0</v>
      </c>
      <c r="MHC6" s="44">
        <f>Database!MHV14</f>
        <v>0</v>
      </c>
      <c r="MHD6" s="44">
        <f>Database!MHW14</f>
        <v>0</v>
      </c>
      <c r="MHE6" s="44">
        <f>Database!MHX14</f>
        <v>0</v>
      </c>
      <c r="MHF6" s="44">
        <f>Database!MHY14</f>
        <v>0</v>
      </c>
      <c r="MHG6" s="44">
        <f>Database!MHZ14</f>
        <v>0</v>
      </c>
      <c r="MHH6" s="44">
        <f>Database!MIA14</f>
        <v>0</v>
      </c>
      <c r="MHI6" s="44">
        <f>Database!MIB14</f>
        <v>0</v>
      </c>
      <c r="MHJ6" s="44">
        <f>Database!MIC14</f>
        <v>0</v>
      </c>
      <c r="MHK6" s="44">
        <f>Database!MID14</f>
        <v>0</v>
      </c>
      <c r="MHL6" s="44">
        <f>Database!MIE14</f>
        <v>0</v>
      </c>
      <c r="MHM6" s="44">
        <f>Database!MIF14</f>
        <v>0</v>
      </c>
      <c r="MHN6" s="44">
        <f>Database!MIG14</f>
        <v>0</v>
      </c>
      <c r="MHO6" s="44">
        <f>Database!MIH14</f>
        <v>0</v>
      </c>
      <c r="MHP6" s="44">
        <f>Database!MII14</f>
        <v>0</v>
      </c>
      <c r="MHQ6" s="44">
        <f>Database!MIJ14</f>
        <v>0</v>
      </c>
      <c r="MHR6" s="44">
        <f>Database!MIK14</f>
        <v>0</v>
      </c>
      <c r="MHS6" s="44">
        <f>Database!MIL14</f>
        <v>0</v>
      </c>
      <c r="MHT6" s="44">
        <f>Database!MIM14</f>
        <v>0</v>
      </c>
      <c r="MHU6" s="44">
        <f>Database!MIN14</f>
        <v>0</v>
      </c>
      <c r="MHV6" s="44">
        <f>Database!MIO14</f>
        <v>0</v>
      </c>
      <c r="MHW6" s="44">
        <f>Database!MIP14</f>
        <v>0</v>
      </c>
      <c r="MHX6" s="44">
        <f>Database!MIQ14</f>
        <v>0</v>
      </c>
      <c r="MHY6" s="44">
        <f>Database!MIR14</f>
        <v>0</v>
      </c>
      <c r="MHZ6" s="44">
        <f>Database!MIS14</f>
        <v>0</v>
      </c>
      <c r="MIA6" s="44">
        <f>Database!MIT14</f>
        <v>0</v>
      </c>
      <c r="MIB6" s="44">
        <f>Database!MIU14</f>
        <v>0</v>
      </c>
      <c r="MIC6" s="44">
        <f>Database!MIV14</f>
        <v>0</v>
      </c>
      <c r="MID6" s="44">
        <f>Database!MIW14</f>
        <v>0</v>
      </c>
      <c r="MIE6" s="44">
        <f>Database!MIX14</f>
        <v>0</v>
      </c>
      <c r="MIF6" s="44">
        <f>Database!MIY14</f>
        <v>0</v>
      </c>
      <c r="MIG6" s="44">
        <f>Database!MIZ14</f>
        <v>0</v>
      </c>
      <c r="MIH6" s="44">
        <f>Database!MJA14</f>
        <v>0</v>
      </c>
      <c r="MII6" s="44">
        <f>Database!MJB14</f>
        <v>0</v>
      </c>
      <c r="MIJ6" s="44">
        <f>Database!MJC14</f>
        <v>0</v>
      </c>
      <c r="MIK6" s="44">
        <f>Database!MJD14</f>
        <v>0</v>
      </c>
      <c r="MIL6" s="44">
        <f>Database!MJE14</f>
        <v>0</v>
      </c>
      <c r="MIM6" s="44">
        <f>Database!MJF14</f>
        <v>0</v>
      </c>
      <c r="MIN6" s="44">
        <f>Database!MJG14</f>
        <v>0</v>
      </c>
      <c r="MIO6" s="44">
        <f>Database!MJH14</f>
        <v>0</v>
      </c>
      <c r="MIP6" s="44">
        <f>Database!MJI14</f>
        <v>0</v>
      </c>
      <c r="MIQ6" s="44">
        <f>Database!MJJ14</f>
        <v>0</v>
      </c>
      <c r="MIR6" s="44">
        <f>Database!MJK14</f>
        <v>0</v>
      </c>
      <c r="MIS6" s="44">
        <f>Database!MJL14</f>
        <v>0</v>
      </c>
      <c r="MIT6" s="44">
        <f>Database!MJM14</f>
        <v>0</v>
      </c>
      <c r="MIU6" s="44">
        <f>Database!MJN14</f>
        <v>0</v>
      </c>
      <c r="MIV6" s="44">
        <f>Database!MJO14</f>
        <v>0</v>
      </c>
      <c r="MIW6" s="44">
        <f>Database!MJP14</f>
        <v>0</v>
      </c>
      <c r="MIX6" s="44">
        <f>Database!MJQ14</f>
        <v>0</v>
      </c>
      <c r="MIY6" s="44">
        <f>Database!MJR14</f>
        <v>0</v>
      </c>
      <c r="MIZ6" s="44">
        <f>Database!MJS14</f>
        <v>0</v>
      </c>
      <c r="MJA6" s="44">
        <f>Database!MJT14</f>
        <v>0</v>
      </c>
      <c r="MJB6" s="44">
        <f>Database!MJU14</f>
        <v>0</v>
      </c>
      <c r="MJC6" s="44">
        <f>Database!MJV14</f>
        <v>0</v>
      </c>
      <c r="MJD6" s="44">
        <f>Database!MJW14</f>
        <v>0</v>
      </c>
      <c r="MJE6" s="44">
        <f>Database!MJX14</f>
        <v>0</v>
      </c>
      <c r="MJF6" s="44">
        <f>Database!MJY14</f>
        <v>0</v>
      </c>
      <c r="MJG6" s="44">
        <f>Database!MJZ14</f>
        <v>0</v>
      </c>
      <c r="MJH6" s="44">
        <f>Database!MKA14</f>
        <v>0</v>
      </c>
      <c r="MJI6" s="44">
        <f>Database!MKB14</f>
        <v>0</v>
      </c>
      <c r="MJJ6" s="44">
        <f>Database!MKC14</f>
        <v>0</v>
      </c>
      <c r="MJK6" s="44">
        <f>Database!MKD14</f>
        <v>0</v>
      </c>
      <c r="MJL6" s="44">
        <f>Database!MKE14</f>
        <v>0</v>
      </c>
      <c r="MJM6" s="44">
        <f>Database!MKF14</f>
        <v>0</v>
      </c>
      <c r="MJN6" s="44">
        <f>Database!MKG14</f>
        <v>0</v>
      </c>
      <c r="MJO6" s="44">
        <f>Database!MKH14</f>
        <v>0</v>
      </c>
      <c r="MJP6" s="44">
        <f>Database!MKI14</f>
        <v>0</v>
      </c>
      <c r="MJQ6" s="44">
        <f>Database!MKJ14</f>
        <v>0</v>
      </c>
      <c r="MJR6" s="44">
        <f>Database!MKK14</f>
        <v>0</v>
      </c>
      <c r="MJS6" s="44">
        <f>Database!MKL14</f>
        <v>0</v>
      </c>
      <c r="MJT6" s="44">
        <f>Database!MKM14</f>
        <v>0</v>
      </c>
      <c r="MJU6" s="44">
        <f>Database!MKN14</f>
        <v>0</v>
      </c>
      <c r="MJV6" s="44">
        <f>Database!MKO14</f>
        <v>0</v>
      </c>
      <c r="MJW6" s="44">
        <f>Database!MKP14</f>
        <v>0</v>
      </c>
      <c r="MJX6" s="44">
        <f>Database!MKQ14</f>
        <v>0</v>
      </c>
      <c r="MJY6" s="44">
        <f>Database!MKR14</f>
        <v>0</v>
      </c>
      <c r="MJZ6" s="44">
        <f>Database!MKS14</f>
        <v>0</v>
      </c>
      <c r="MKA6" s="44">
        <f>Database!MKT14</f>
        <v>0</v>
      </c>
      <c r="MKB6" s="44">
        <f>Database!MKU14</f>
        <v>0</v>
      </c>
      <c r="MKC6" s="44">
        <f>Database!MKV14</f>
        <v>0</v>
      </c>
      <c r="MKD6" s="44">
        <f>Database!MKW14</f>
        <v>0</v>
      </c>
      <c r="MKE6" s="44">
        <f>Database!MKX14</f>
        <v>0</v>
      </c>
      <c r="MKF6" s="44">
        <f>Database!MKY14</f>
        <v>0</v>
      </c>
      <c r="MKG6" s="44">
        <f>Database!MKZ14</f>
        <v>0</v>
      </c>
      <c r="MKH6" s="44">
        <f>Database!MLA14</f>
        <v>0</v>
      </c>
      <c r="MKI6" s="44">
        <f>Database!MLB14</f>
        <v>0</v>
      </c>
      <c r="MKJ6" s="44">
        <f>Database!MLC14</f>
        <v>0</v>
      </c>
      <c r="MKK6" s="44">
        <f>Database!MLD14</f>
        <v>0</v>
      </c>
      <c r="MKL6" s="44">
        <f>Database!MLE14</f>
        <v>0</v>
      </c>
      <c r="MKM6" s="44">
        <f>Database!MLF14</f>
        <v>0</v>
      </c>
      <c r="MKN6" s="44">
        <f>Database!MLG14</f>
        <v>0</v>
      </c>
      <c r="MKO6" s="44">
        <f>Database!MLH14</f>
        <v>0</v>
      </c>
      <c r="MKP6" s="44">
        <f>Database!MLI14</f>
        <v>0</v>
      </c>
      <c r="MKQ6" s="44">
        <f>Database!MLJ14</f>
        <v>0</v>
      </c>
      <c r="MKR6" s="44">
        <f>Database!MLK14</f>
        <v>0</v>
      </c>
      <c r="MKS6" s="44">
        <f>Database!MLL14</f>
        <v>0</v>
      </c>
      <c r="MKT6" s="44">
        <f>Database!MLM14</f>
        <v>0</v>
      </c>
      <c r="MKU6" s="44">
        <f>Database!MLN14</f>
        <v>0</v>
      </c>
      <c r="MKV6" s="44">
        <f>Database!MLO14</f>
        <v>0</v>
      </c>
      <c r="MKW6" s="44">
        <f>Database!MLP14</f>
        <v>0</v>
      </c>
      <c r="MKX6" s="44">
        <f>Database!MLQ14</f>
        <v>0</v>
      </c>
      <c r="MKY6" s="44">
        <f>Database!MLR14</f>
        <v>0</v>
      </c>
      <c r="MKZ6" s="44">
        <f>Database!MLS14</f>
        <v>0</v>
      </c>
      <c r="MLA6" s="44">
        <f>Database!MLT14</f>
        <v>0</v>
      </c>
      <c r="MLB6" s="44">
        <f>Database!MLU14</f>
        <v>0</v>
      </c>
      <c r="MLC6" s="44">
        <f>Database!MLV14</f>
        <v>0</v>
      </c>
      <c r="MLD6" s="44">
        <f>Database!MLW14</f>
        <v>0</v>
      </c>
      <c r="MLE6" s="44">
        <f>Database!MLX14</f>
        <v>0</v>
      </c>
      <c r="MLF6" s="44">
        <f>Database!MLY14</f>
        <v>0</v>
      </c>
      <c r="MLG6" s="44">
        <f>Database!MLZ14</f>
        <v>0</v>
      </c>
      <c r="MLH6" s="44">
        <f>Database!MMA14</f>
        <v>0</v>
      </c>
      <c r="MLI6" s="44">
        <f>Database!MMB14</f>
        <v>0</v>
      </c>
      <c r="MLJ6" s="44">
        <f>Database!MMC14</f>
        <v>0</v>
      </c>
      <c r="MLK6" s="44">
        <f>Database!MMD14</f>
        <v>0</v>
      </c>
      <c r="MLL6" s="44">
        <f>Database!MME14</f>
        <v>0</v>
      </c>
      <c r="MLM6" s="44">
        <f>Database!MMF14</f>
        <v>0</v>
      </c>
      <c r="MLN6" s="44">
        <f>Database!MMG14</f>
        <v>0</v>
      </c>
      <c r="MLO6" s="44">
        <f>Database!MMH14</f>
        <v>0</v>
      </c>
      <c r="MLP6" s="44">
        <f>Database!MMI14</f>
        <v>0</v>
      </c>
      <c r="MLQ6" s="44">
        <f>Database!MMJ14</f>
        <v>0</v>
      </c>
      <c r="MLR6" s="44">
        <f>Database!MMK14</f>
        <v>0</v>
      </c>
      <c r="MLS6" s="44">
        <f>Database!MML14</f>
        <v>0</v>
      </c>
      <c r="MLT6" s="44">
        <f>Database!MMM14</f>
        <v>0</v>
      </c>
      <c r="MLU6" s="44">
        <f>Database!MMN14</f>
        <v>0</v>
      </c>
      <c r="MLV6" s="44">
        <f>Database!MMO14</f>
        <v>0</v>
      </c>
      <c r="MLW6" s="44">
        <f>Database!MMP14</f>
        <v>0</v>
      </c>
      <c r="MLX6" s="44">
        <f>Database!MMQ14</f>
        <v>0</v>
      </c>
      <c r="MLY6" s="44">
        <f>Database!MMR14</f>
        <v>0</v>
      </c>
      <c r="MLZ6" s="44">
        <f>Database!MMS14</f>
        <v>0</v>
      </c>
      <c r="MMA6" s="44">
        <f>Database!MMT14</f>
        <v>0</v>
      </c>
      <c r="MMB6" s="44">
        <f>Database!MMU14</f>
        <v>0</v>
      </c>
      <c r="MMC6" s="44">
        <f>Database!MMV14</f>
        <v>0</v>
      </c>
      <c r="MMD6" s="44">
        <f>Database!MMW14</f>
        <v>0</v>
      </c>
      <c r="MME6" s="44">
        <f>Database!MMX14</f>
        <v>0</v>
      </c>
      <c r="MMF6" s="44">
        <f>Database!MMY14</f>
        <v>0</v>
      </c>
      <c r="MMG6" s="44">
        <f>Database!MMZ14</f>
        <v>0</v>
      </c>
      <c r="MMH6" s="44">
        <f>Database!MNA14</f>
        <v>0</v>
      </c>
      <c r="MMI6" s="44">
        <f>Database!MNB14</f>
        <v>0</v>
      </c>
      <c r="MMJ6" s="44">
        <f>Database!MNC14</f>
        <v>0</v>
      </c>
      <c r="MMK6" s="44">
        <f>Database!MND14</f>
        <v>0</v>
      </c>
      <c r="MML6" s="44">
        <f>Database!MNE14</f>
        <v>0</v>
      </c>
      <c r="MMM6" s="44">
        <f>Database!MNF14</f>
        <v>0</v>
      </c>
      <c r="MMN6" s="44">
        <f>Database!MNG14</f>
        <v>0</v>
      </c>
      <c r="MMO6" s="44">
        <f>Database!MNH14</f>
        <v>0</v>
      </c>
      <c r="MMP6" s="44">
        <f>Database!MNI14</f>
        <v>0</v>
      </c>
      <c r="MMQ6" s="44">
        <f>Database!MNJ14</f>
        <v>0</v>
      </c>
      <c r="MMR6" s="44">
        <f>Database!MNK14</f>
        <v>0</v>
      </c>
      <c r="MMS6" s="44">
        <f>Database!MNL14</f>
        <v>0</v>
      </c>
      <c r="MMT6" s="44">
        <f>Database!MNM14</f>
        <v>0</v>
      </c>
      <c r="MMU6" s="44">
        <f>Database!MNN14</f>
        <v>0</v>
      </c>
      <c r="MMV6" s="44">
        <f>Database!MNO14</f>
        <v>0</v>
      </c>
      <c r="MMW6" s="44">
        <f>Database!MNP14</f>
        <v>0</v>
      </c>
      <c r="MMX6" s="44">
        <f>Database!MNQ14</f>
        <v>0</v>
      </c>
      <c r="MMY6" s="44">
        <f>Database!MNR14</f>
        <v>0</v>
      </c>
      <c r="MMZ6" s="44">
        <f>Database!MNS14</f>
        <v>0</v>
      </c>
      <c r="MNA6" s="44">
        <f>Database!MNT14</f>
        <v>0</v>
      </c>
      <c r="MNB6" s="44">
        <f>Database!MNU14</f>
        <v>0</v>
      </c>
      <c r="MNC6" s="44">
        <f>Database!MNV14</f>
        <v>0</v>
      </c>
      <c r="MND6" s="44">
        <f>Database!MNW14</f>
        <v>0</v>
      </c>
      <c r="MNE6" s="44">
        <f>Database!MNX14</f>
        <v>0</v>
      </c>
      <c r="MNF6" s="44">
        <f>Database!MNY14</f>
        <v>0</v>
      </c>
      <c r="MNG6" s="44">
        <f>Database!MNZ14</f>
        <v>0</v>
      </c>
      <c r="MNH6" s="44">
        <f>Database!MOA14</f>
        <v>0</v>
      </c>
      <c r="MNI6" s="44">
        <f>Database!MOB14</f>
        <v>0</v>
      </c>
      <c r="MNJ6" s="44">
        <f>Database!MOC14</f>
        <v>0</v>
      </c>
      <c r="MNK6" s="44">
        <f>Database!MOD14</f>
        <v>0</v>
      </c>
      <c r="MNL6" s="44">
        <f>Database!MOE14</f>
        <v>0</v>
      </c>
      <c r="MNM6" s="44">
        <f>Database!MOF14</f>
        <v>0</v>
      </c>
      <c r="MNN6" s="44">
        <f>Database!MOG14</f>
        <v>0</v>
      </c>
      <c r="MNO6" s="44">
        <f>Database!MOH14</f>
        <v>0</v>
      </c>
      <c r="MNP6" s="44">
        <f>Database!MOI14</f>
        <v>0</v>
      </c>
      <c r="MNQ6" s="44">
        <f>Database!MOJ14</f>
        <v>0</v>
      </c>
      <c r="MNR6" s="44">
        <f>Database!MOK14</f>
        <v>0</v>
      </c>
      <c r="MNS6" s="44">
        <f>Database!MOL14</f>
        <v>0</v>
      </c>
      <c r="MNT6" s="44">
        <f>Database!MOM14</f>
        <v>0</v>
      </c>
      <c r="MNU6" s="44">
        <f>Database!MON14</f>
        <v>0</v>
      </c>
      <c r="MNV6" s="44">
        <f>Database!MOO14</f>
        <v>0</v>
      </c>
      <c r="MNW6" s="44">
        <f>Database!MOP14</f>
        <v>0</v>
      </c>
      <c r="MNX6" s="44">
        <f>Database!MOQ14</f>
        <v>0</v>
      </c>
      <c r="MNY6" s="44">
        <f>Database!MOR14</f>
        <v>0</v>
      </c>
      <c r="MNZ6" s="44">
        <f>Database!MOS14</f>
        <v>0</v>
      </c>
      <c r="MOA6" s="44">
        <f>Database!MOT14</f>
        <v>0</v>
      </c>
      <c r="MOB6" s="44">
        <f>Database!MOU14</f>
        <v>0</v>
      </c>
      <c r="MOC6" s="44">
        <f>Database!MOV14</f>
        <v>0</v>
      </c>
      <c r="MOD6" s="44">
        <f>Database!MOW14</f>
        <v>0</v>
      </c>
      <c r="MOE6" s="44">
        <f>Database!MOX14</f>
        <v>0</v>
      </c>
      <c r="MOF6" s="44">
        <f>Database!MOY14</f>
        <v>0</v>
      </c>
      <c r="MOG6" s="44">
        <f>Database!MOZ14</f>
        <v>0</v>
      </c>
      <c r="MOH6" s="44">
        <f>Database!MPA14</f>
        <v>0</v>
      </c>
      <c r="MOI6" s="44">
        <f>Database!MPB14</f>
        <v>0</v>
      </c>
      <c r="MOJ6" s="44">
        <f>Database!MPC14</f>
        <v>0</v>
      </c>
      <c r="MOK6" s="44">
        <f>Database!MPD14</f>
        <v>0</v>
      </c>
      <c r="MOL6" s="44">
        <f>Database!MPE14</f>
        <v>0</v>
      </c>
      <c r="MOM6" s="44">
        <f>Database!MPF14</f>
        <v>0</v>
      </c>
      <c r="MON6" s="44">
        <f>Database!MPG14</f>
        <v>0</v>
      </c>
      <c r="MOO6" s="44">
        <f>Database!MPH14</f>
        <v>0</v>
      </c>
      <c r="MOP6" s="44">
        <f>Database!MPI14</f>
        <v>0</v>
      </c>
      <c r="MOQ6" s="44">
        <f>Database!MPJ14</f>
        <v>0</v>
      </c>
      <c r="MOR6" s="44">
        <f>Database!MPK14</f>
        <v>0</v>
      </c>
      <c r="MOS6" s="44">
        <f>Database!MPL14</f>
        <v>0</v>
      </c>
      <c r="MOT6" s="44">
        <f>Database!MPM14</f>
        <v>0</v>
      </c>
      <c r="MOU6" s="44">
        <f>Database!MPN14</f>
        <v>0</v>
      </c>
      <c r="MOV6" s="44">
        <f>Database!MPO14</f>
        <v>0</v>
      </c>
      <c r="MOW6" s="44">
        <f>Database!MPP14</f>
        <v>0</v>
      </c>
      <c r="MOX6" s="44">
        <f>Database!MPQ14</f>
        <v>0</v>
      </c>
      <c r="MOY6" s="44">
        <f>Database!MPR14</f>
        <v>0</v>
      </c>
      <c r="MOZ6" s="44">
        <f>Database!MPS14</f>
        <v>0</v>
      </c>
      <c r="MPA6" s="44">
        <f>Database!MPT14</f>
        <v>0</v>
      </c>
      <c r="MPB6" s="44">
        <f>Database!MPU14</f>
        <v>0</v>
      </c>
      <c r="MPC6" s="44">
        <f>Database!MPV14</f>
        <v>0</v>
      </c>
      <c r="MPD6" s="44">
        <f>Database!MPW14</f>
        <v>0</v>
      </c>
      <c r="MPE6" s="44">
        <f>Database!MPX14</f>
        <v>0</v>
      </c>
      <c r="MPF6" s="44">
        <f>Database!MPY14</f>
        <v>0</v>
      </c>
      <c r="MPG6" s="44">
        <f>Database!MPZ14</f>
        <v>0</v>
      </c>
      <c r="MPH6" s="44">
        <f>Database!MQA14</f>
        <v>0</v>
      </c>
      <c r="MPI6" s="44">
        <f>Database!MQB14</f>
        <v>0</v>
      </c>
      <c r="MPJ6" s="44">
        <f>Database!MQC14</f>
        <v>0</v>
      </c>
      <c r="MPK6" s="44">
        <f>Database!MQD14</f>
        <v>0</v>
      </c>
      <c r="MPL6" s="44">
        <f>Database!MQE14</f>
        <v>0</v>
      </c>
      <c r="MPM6" s="44">
        <f>Database!MQF14</f>
        <v>0</v>
      </c>
      <c r="MPN6" s="44">
        <f>Database!MQG14</f>
        <v>0</v>
      </c>
      <c r="MPO6" s="44">
        <f>Database!MQH14</f>
        <v>0</v>
      </c>
      <c r="MPP6" s="44">
        <f>Database!MQI14</f>
        <v>0</v>
      </c>
      <c r="MPQ6" s="44">
        <f>Database!MQJ14</f>
        <v>0</v>
      </c>
      <c r="MPR6" s="44">
        <f>Database!MQK14</f>
        <v>0</v>
      </c>
      <c r="MPS6" s="44">
        <f>Database!MQL14</f>
        <v>0</v>
      </c>
      <c r="MPT6" s="44">
        <f>Database!MQM14</f>
        <v>0</v>
      </c>
      <c r="MPU6" s="44">
        <f>Database!MQN14</f>
        <v>0</v>
      </c>
      <c r="MPV6" s="44">
        <f>Database!MQO14</f>
        <v>0</v>
      </c>
      <c r="MPW6" s="44">
        <f>Database!MQP14</f>
        <v>0</v>
      </c>
      <c r="MPX6" s="44">
        <f>Database!MQQ14</f>
        <v>0</v>
      </c>
      <c r="MPY6" s="44">
        <f>Database!MQR14</f>
        <v>0</v>
      </c>
      <c r="MPZ6" s="44">
        <f>Database!MQS14</f>
        <v>0</v>
      </c>
      <c r="MQA6" s="44">
        <f>Database!MQT14</f>
        <v>0</v>
      </c>
      <c r="MQB6" s="44">
        <f>Database!MQU14</f>
        <v>0</v>
      </c>
      <c r="MQC6" s="44">
        <f>Database!MQV14</f>
        <v>0</v>
      </c>
      <c r="MQD6" s="44">
        <f>Database!MQW14</f>
        <v>0</v>
      </c>
      <c r="MQE6" s="44">
        <f>Database!MQX14</f>
        <v>0</v>
      </c>
      <c r="MQF6" s="44">
        <f>Database!MQY14</f>
        <v>0</v>
      </c>
      <c r="MQG6" s="44">
        <f>Database!MQZ14</f>
        <v>0</v>
      </c>
      <c r="MQH6" s="44">
        <f>Database!MRA14</f>
        <v>0</v>
      </c>
      <c r="MQI6" s="44">
        <f>Database!MRB14</f>
        <v>0</v>
      </c>
      <c r="MQJ6" s="44">
        <f>Database!MRC14</f>
        <v>0</v>
      </c>
      <c r="MQK6" s="44">
        <f>Database!MRD14</f>
        <v>0</v>
      </c>
      <c r="MQL6" s="44">
        <f>Database!MRE14</f>
        <v>0</v>
      </c>
      <c r="MQM6" s="44">
        <f>Database!MRF14</f>
        <v>0</v>
      </c>
      <c r="MQN6" s="44">
        <f>Database!MRG14</f>
        <v>0</v>
      </c>
      <c r="MQO6" s="44">
        <f>Database!MRH14</f>
        <v>0</v>
      </c>
      <c r="MQP6" s="44">
        <f>Database!MRI14</f>
        <v>0</v>
      </c>
      <c r="MQQ6" s="44">
        <f>Database!MRJ14</f>
        <v>0</v>
      </c>
      <c r="MQR6" s="44">
        <f>Database!MRK14</f>
        <v>0</v>
      </c>
      <c r="MQS6" s="44">
        <f>Database!MRL14</f>
        <v>0</v>
      </c>
      <c r="MQT6" s="44">
        <f>Database!MRM14</f>
        <v>0</v>
      </c>
      <c r="MQU6" s="44">
        <f>Database!MRN14</f>
        <v>0</v>
      </c>
      <c r="MQV6" s="44">
        <f>Database!MRO14</f>
        <v>0</v>
      </c>
      <c r="MQW6" s="44">
        <f>Database!MRP14</f>
        <v>0</v>
      </c>
      <c r="MQX6" s="44">
        <f>Database!MRQ14</f>
        <v>0</v>
      </c>
      <c r="MQY6" s="44">
        <f>Database!MRR14</f>
        <v>0</v>
      </c>
      <c r="MQZ6" s="44">
        <f>Database!MRS14</f>
        <v>0</v>
      </c>
      <c r="MRA6" s="44">
        <f>Database!MRT14</f>
        <v>0</v>
      </c>
      <c r="MRB6" s="44">
        <f>Database!MRU14</f>
        <v>0</v>
      </c>
      <c r="MRC6" s="44">
        <f>Database!MRV14</f>
        <v>0</v>
      </c>
      <c r="MRD6" s="44">
        <f>Database!MRW14</f>
        <v>0</v>
      </c>
      <c r="MRE6" s="44">
        <f>Database!MRX14</f>
        <v>0</v>
      </c>
      <c r="MRF6" s="44">
        <f>Database!MRY14</f>
        <v>0</v>
      </c>
      <c r="MRG6" s="44">
        <f>Database!MRZ14</f>
        <v>0</v>
      </c>
      <c r="MRH6" s="44">
        <f>Database!MSA14</f>
        <v>0</v>
      </c>
      <c r="MRI6" s="44">
        <f>Database!MSB14</f>
        <v>0</v>
      </c>
      <c r="MRJ6" s="44">
        <f>Database!MSC14</f>
        <v>0</v>
      </c>
      <c r="MRK6" s="44">
        <f>Database!MSD14</f>
        <v>0</v>
      </c>
      <c r="MRL6" s="44">
        <f>Database!MSE14</f>
        <v>0</v>
      </c>
      <c r="MRM6" s="44">
        <f>Database!MSF14</f>
        <v>0</v>
      </c>
      <c r="MRN6" s="44">
        <f>Database!MSG14</f>
        <v>0</v>
      </c>
      <c r="MRO6" s="44">
        <f>Database!MSH14</f>
        <v>0</v>
      </c>
      <c r="MRP6" s="44">
        <f>Database!MSI14</f>
        <v>0</v>
      </c>
      <c r="MRQ6" s="44">
        <f>Database!MSJ14</f>
        <v>0</v>
      </c>
      <c r="MRR6" s="44">
        <f>Database!MSK14</f>
        <v>0</v>
      </c>
      <c r="MRS6" s="44">
        <f>Database!MSL14</f>
        <v>0</v>
      </c>
      <c r="MRT6" s="44">
        <f>Database!MSM14</f>
        <v>0</v>
      </c>
      <c r="MRU6" s="44">
        <f>Database!MSN14</f>
        <v>0</v>
      </c>
      <c r="MRV6" s="44">
        <f>Database!MSO14</f>
        <v>0</v>
      </c>
      <c r="MRW6" s="44">
        <f>Database!MSP14</f>
        <v>0</v>
      </c>
      <c r="MRX6" s="44">
        <f>Database!MSQ14</f>
        <v>0</v>
      </c>
      <c r="MRY6" s="44">
        <f>Database!MSR14</f>
        <v>0</v>
      </c>
      <c r="MRZ6" s="44">
        <f>Database!MSS14</f>
        <v>0</v>
      </c>
      <c r="MSA6" s="44">
        <f>Database!MST14</f>
        <v>0</v>
      </c>
      <c r="MSB6" s="44">
        <f>Database!MSU14</f>
        <v>0</v>
      </c>
      <c r="MSC6" s="44">
        <f>Database!MSV14</f>
        <v>0</v>
      </c>
      <c r="MSD6" s="44">
        <f>Database!MSW14</f>
        <v>0</v>
      </c>
      <c r="MSE6" s="44">
        <f>Database!MSX14</f>
        <v>0</v>
      </c>
      <c r="MSF6" s="44">
        <f>Database!MSY14</f>
        <v>0</v>
      </c>
      <c r="MSG6" s="44">
        <f>Database!MSZ14</f>
        <v>0</v>
      </c>
      <c r="MSH6" s="44">
        <f>Database!MTA14</f>
        <v>0</v>
      </c>
      <c r="MSI6" s="44">
        <f>Database!MTB14</f>
        <v>0</v>
      </c>
      <c r="MSJ6" s="44">
        <f>Database!MTC14</f>
        <v>0</v>
      </c>
      <c r="MSK6" s="44">
        <f>Database!MTD14</f>
        <v>0</v>
      </c>
      <c r="MSL6" s="44">
        <f>Database!MTE14</f>
        <v>0</v>
      </c>
      <c r="MSM6" s="44">
        <f>Database!MTF14</f>
        <v>0</v>
      </c>
      <c r="MSN6" s="44">
        <f>Database!MTG14</f>
        <v>0</v>
      </c>
      <c r="MSO6" s="44">
        <f>Database!MTH14</f>
        <v>0</v>
      </c>
      <c r="MSP6" s="44">
        <f>Database!MTI14</f>
        <v>0</v>
      </c>
      <c r="MSQ6" s="44">
        <f>Database!MTJ14</f>
        <v>0</v>
      </c>
      <c r="MSR6" s="44">
        <f>Database!MTK14</f>
        <v>0</v>
      </c>
      <c r="MSS6" s="44">
        <f>Database!MTL14</f>
        <v>0</v>
      </c>
      <c r="MST6" s="44">
        <f>Database!MTM14</f>
        <v>0</v>
      </c>
      <c r="MSU6" s="44">
        <f>Database!MTN14</f>
        <v>0</v>
      </c>
      <c r="MSV6" s="44">
        <f>Database!MTO14</f>
        <v>0</v>
      </c>
      <c r="MSW6" s="44">
        <f>Database!MTP14</f>
        <v>0</v>
      </c>
      <c r="MSX6" s="44">
        <f>Database!MTQ14</f>
        <v>0</v>
      </c>
      <c r="MSY6" s="44">
        <f>Database!MTR14</f>
        <v>0</v>
      </c>
      <c r="MSZ6" s="44">
        <f>Database!MTS14</f>
        <v>0</v>
      </c>
      <c r="MTA6" s="44">
        <f>Database!MTT14</f>
        <v>0</v>
      </c>
      <c r="MTB6" s="44">
        <f>Database!MTU14</f>
        <v>0</v>
      </c>
      <c r="MTC6" s="44">
        <f>Database!MTV14</f>
        <v>0</v>
      </c>
      <c r="MTD6" s="44">
        <f>Database!MTW14</f>
        <v>0</v>
      </c>
      <c r="MTE6" s="44">
        <f>Database!MTX14</f>
        <v>0</v>
      </c>
      <c r="MTF6" s="44">
        <f>Database!MTY14</f>
        <v>0</v>
      </c>
      <c r="MTG6" s="44">
        <f>Database!MTZ14</f>
        <v>0</v>
      </c>
      <c r="MTH6" s="44">
        <f>Database!MUA14</f>
        <v>0</v>
      </c>
      <c r="MTI6" s="44">
        <f>Database!MUB14</f>
        <v>0</v>
      </c>
      <c r="MTJ6" s="44">
        <f>Database!MUC14</f>
        <v>0</v>
      </c>
      <c r="MTK6" s="44">
        <f>Database!MUD14</f>
        <v>0</v>
      </c>
      <c r="MTL6" s="44">
        <f>Database!MUE14</f>
        <v>0</v>
      </c>
      <c r="MTM6" s="44">
        <f>Database!MUF14</f>
        <v>0</v>
      </c>
      <c r="MTN6" s="44">
        <f>Database!MUG14</f>
        <v>0</v>
      </c>
      <c r="MTO6" s="44">
        <f>Database!MUH14</f>
        <v>0</v>
      </c>
      <c r="MTP6" s="44">
        <f>Database!MUI14</f>
        <v>0</v>
      </c>
      <c r="MTQ6" s="44">
        <f>Database!MUJ14</f>
        <v>0</v>
      </c>
      <c r="MTR6" s="44">
        <f>Database!MUK14</f>
        <v>0</v>
      </c>
      <c r="MTS6" s="44">
        <f>Database!MUL14</f>
        <v>0</v>
      </c>
      <c r="MTT6" s="44">
        <f>Database!MUM14</f>
        <v>0</v>
      </c>
      <c r="MTU6" s="44">
        <f>Database!MUN14</f>
        <v>0</v>
      </c>
      <c r="MTV6" s="44">
        <f>Database!MUO14</f>
        <v>0</v>
      </c>
      <c r="MTW6" s="44">
        <f>Database!MUP14</f>
        <v>0</v>
      </c>
      <c r="MTX6" s="44">
        <f>Database!MUQ14</f>
        <v>0</v>
      </c>
      <c r="MTY6" s="44">
        <f>Database!MUR14</f>
        <v>0</v>
      </c>
      <c r="MTZ6" s="44">
        <f>Database!MUS14</f>
        <v>0</v>
      </c>
      <c r="MUA6" s="44">
        <f>Database!MUT14</f>
        <v>0</v>
      </c>
      <c r="MUB6" s="44">
        <f>Database!MUU14</f>
        <v>0</v>
      </c>
      <c r="MUC6" s="44">
        <f>Database!MUV14</f>
        <v>0</v>
      </c>
      <c r="MUD6" s="44">
        <f>Database!MUW14</f>
        <v>0</v>
      </c>
      <c r="MUE6" s="44">
        <f>Database!MUX14</f>
        <v>0</v>
      </c>
      <c r="MUF6" s="44">
        <f>Database!MUY14</f>
        <v>0</v>
      </c>
      <c r="MUG6" s="44">
        <f>Database!MUZ14</f>
        <v>0</v>
      </c>
      <c r="MUH6" s="44">
        <f>Database!MVA14</f>
        <v>0</v>
      </c>
      <c r="MUI6" s="44">
        <f>Database!MVB14</f>
        <v>0</v>
      </c>
      <c r="MUJ6" s="44">
        <f>Database!MVC14</f>
        <v>0</v>
      </c>
      <c r="MUK6" s="44">
        <f>Database!MVD14</f>
        <v>0</v>
      </c>
      <c r="MUL6" s="44">
        <f>Database!MVE14</f>
        <v>0</v>
      </c>
      <c r="MUM6" s="44">
        <f>Database!MVF14</f>
        <v>0</v>
      </c>
      <c r="MUN6" s="44">
        <f>Database!MVG14</f>
        <v>0</v>
      </c>
      <c r="MUO6" s="44">
        <f>Database!MVH14</f>
        <v>0</v>
      </c>
      <c r="MUP6" s="44">
        <f>Database!MVI14</f>
        <v>0</v>
      </c>
      <c r="MUQ6" s="44">
        <f>Database!MVJ14</f>
        <v>0</v>
      </c>
      <c r="MUR6" s="44">
        <f>Database!MVK14</f>
        <v>0</v>
      </c>
      <c r="MUS6" s="44">
        <f>Database!MVL14</f>
        <v>0</v>
      </c>
      <c r="MUT6" s="44">
        <f>Database!MVM14</f>
        <v>0</v>
      </c>
      <c r="MUU6" s="44">
        <f>Database!MVN14</f>
        <v>0</v>
      </c>
      <c r="MUV6" s="44">
        <f>Database!MVO14</f>
        <v>0</v>
      </c>
      <c r="MUW6" s="44">
        <f>Database!MVP14</f>
        <v>0</v>
      </c>
      <c r="MUX6" s="44">
        <f>Database!MVQ14</f>
        <v>0</v>
      </c>
      <c r="MUY6" s="44">
        <f>Database!MVR14</f>
        <v>0</v>
      </c>
      <c r="MUZ6" s="44">
        <f>Database!MVS14</f>
        <v>0</v>
      </c>
      <c r="MVA6" s="44">
        <f>Database!MVT14</f>
        <v>0</v>
      </c>
      <c r="MVB6" s="44">
        <f>Database!MVU14</f>
        <v>0</v>
      </c>
      <c r="MVC6" s="44">
        <f>Database!MVV14</f>
        <v>0</v>
      </c>
      <c r="MVD6" s="44">
        <f>Database!MVW14</f>
        <v>0</v>
      </c>
      <c r="MVE6" s="44">
        <f>Database!MVX14</f>
        <v>0</v>
      </c>
      <c r="MVF6" s="44">
        <f>Database!MVY14</f>
        <v>0</v>
      </c>
      <c r="MVG6" s="44">
        <f>Database!MVZ14</f>
        <v>0</v>
      </c>
      <c r="MVH6" s="44">
        <f>Database!MWA14</f>
        <v>0</v>
      </c>
      <c r="MVI6" s="44">
        <f>Database!MWB14</f>
        <v>0</v>
      </c>
      <c r="MVJ6" s="44">
        <f>Database!MWC14</f>
        <v>0</v>
      </c>
      <c r="MVK6" s="44">
        <f>Database!MWD14</f>
        <v>0</v>
      </c>
      <c r="MVL6" s="44">
        <f>Database!MWE14</f>
        <v>0</v>
      </c>
      <c r="MVM6" s="44">
        <f>Database!MWF14</f>
        <v>0</v>
      </c>
      <c r="MVN6" s="44">
        <f>Database!MWG14</f>
        <v>0</v>
      </c>
      <c r="MVO6" s="44">
        <f>Database!MWH14</f>
        <v>0</v>
      </c>
      <c r="MVP6" s="44">
        <f>Database!MWI14</f>
        <v>0</v>
      </c>
      <c r="MVQ6" s="44">
        <f>Database!MWJ14</f>
        <v>0</v>
      </c>
      <c r="MVR6" s="44">
        <f>Database!MWK14</f>
        <v>0</v>
      </c>
      <c r="MVS6" s="44">
        <f>Database!MWL14</f>
        <v>0</v>
      </c>
      <c r="MVT6" s="44">
        <f>Database!MWM14</f>
        <v>0</v>
      </c>
      <c r="MVU6" s="44">
        <f>Database!MWN14</f>
        <v>0</v>
      </c>
      <c r="MVV6" s="44">
        <f>Database!MWO14</f>
        <v>0</v>
      </c>
      <c r="MVW6" s="44">
        <f>Database!MWP14</f>
        <v>0</v>
      </c>
      <c r="MVX6" s="44">
        <f>Database!MWQ14</f>
        <v>0</v>
      </c>
      <c r="MVY6" s="44">
        <f>Database!MWR14</f>
        <v>0</v>
      </c>
      <c r="MVZ6" s="44">
        <f>Database!MWS14</f>
        <v>0</v>
      </c>
      <c r="MWA6" s="44">
        <f>Database!MWT14</f>
        <v>0</v>
      </c>
      <c r="MWB6" s="44">
        <f>Database!MWU14</f>
        <v>0</v>
      </c>
      <c r="MWC6" s="44">
        <f>Database!MWV14</f>
        <v>0</v>
      </c>
      <c r="MWD6" s="44">
        <f>Database!MWW14</f>
        <v>0</v>
      </c>
      <c r="MWE6" s="44">
        <f>Database!MWX14</f>
        <v>0</v>
      </c>
      <c r="MWF6" s="44">
        <f>Database!MWY14</f>
        <v>0</v>
      </c>
      <c r="MWG6" s="44">
        <f>Database!MWZ14</f>
        <v>0</v>
      </c>
      <c r="MWH6" s="44">
        <f>Database!MXA14</f>
        <v>0</v>
      </c>
      <c r="MWI6" s="44">
        <f>Database!MXB14</f>
        <v>0</v>
      </c>
      <c r="MWJ6" s="44">
        <f>Database!MXC14</f>
        <v>0</v>
      </c>
      <c r="MWK6" s="44">
        <f>Database!MXD14</f>
        <v>0</v>
      </c>
      <c r="MWL6" s="44">
        <f>Database!MXE14</f>
        <v>0</v>
      </c>
      <c r="MWM6" s="44">
        <f>Database!MXF14</f>
        <v>0</v>
      </c>
      <c r="MWN6" s="44">
        <f>Database!MXG14</f>
        <v>0</v>
      </c>
      <c r="MWO6" s="44">
        <f>Database!MXH14</f>
        <v>0</v>
      </c>
      <c r="MWP6" s="44">
        <f>Database!MXI14</f>
        <v>0</v>
      </c>
      <c r="MWQ6" s="44">
        <f>Database!MXJ14</f>
        <v>0</v>
      </c>
      <c r="MWR6" s="44">
        <f>Database!MXK14</f>
        <v>0</v>
      </c>
      <c r="MWS6" s="44">
        <f>Database!MXL14</f>
        <v>0</v>
      </c>
      <c r="MWT6" s="44">
        <f>Database!MXM14</f>
        <v>0</v>
      </c>
      <c r="MWU6" s="44">
        <f>Database!MXN14</f>
        <v>0</v>
      </c>
      <c r="MWV6" s="44">
        <f>Database!MXO14</f>
        <v>0</v>
      </c>
      <c r="MWW6" s="44">
        <f>Database!MXP14</f>
        <v>0</v>
      </c>
      <c r="MWX6" s="44">
        <f>Database!MXQ14</f>
        <v>0</v>
      </c>
      <c r="MWY6" s="44">
        <f>Database!MXR14</f>
        <v>0</v>
      </c>
      <c r="MWZ6" s="44">
        <f>Database!MXS14</f>
        <v>0</v>
      </c>
      <c r="MXA6" s="44">
        <f>Database!MXT14</f>
        <v>0</v>
      </c>
      <c r="MXB6" s="44">
        <f>Database!MXU14</f>
        <v>0</v>
      </c>
      <c r="MXC6" s="44">
        <f>Database!MXV14</f>
        <v>0</v>
      </c>
      <c r="MXD6" s="44">
        <f>Database!MXW14</f>
        <v>0</v>
      </c>
      <c r="MXE6" s="44">
        <f>Database!MXX14</f>
        <v>0</v>
      </c>
      <c r="MXF6" s="44">
        <f>Database!MXY14</f>
        <v>0</v>
      </c>
      <c r="MXG6" s="44">
        <f>Database!MXZ14</f>
        <v>0</v>
      </c>
      <c r="MXH6" s="44">
        <f>Database!MYA14</f>
        <v>0</v>
      </c>
      <c r="MXI6" s="44">
        <f>Database!MYB14</f>
        <v>0</v>
      </c>
      <c r="MXJ6" s="44">
        <f>Database!MYC14</f>
        <v>0</v>
      </c>
      <c r="MXK6" s="44">
        <f>Database!MYD14</f>
        <v>0</v>
      </c>
      <c r="MXL6" s="44">
        <f>Database!MYE14</f>
        <v>0</v>
      </c>
      <c r="MXM6" s="44">
        <f>Database!MYF14</f>
        <v>0</v>
      </c>
      <c r="MXN6" s="44">
        <f>Database!MYG14</f>
        <v>0</v>
      </c>
      <c r="MXO6" s="44">
        <f>Database!MYH14</f>
        <v>0</v>
      </c>
      <c r="MXP6" s="44">
        <f>Database!MYI14</f>
        <v>0</v>
      </c>
      <c r="MXQ6" s="44">
        <f>Database!MYJ14</f>
        <v>0</v>
      </c>
      <c r="MXR6" s="44">
        <f>Database!MYK14</f>
        <v>0</v>
      </c>
      <c r="MXS6" s="44">
        <f>Database!MYL14</f>
        <v>0</v>
      </c>
      <c r="MXT6" s="44">
        <f>Database!MYM14</f>
        <v>0</v>
      </c>
      <c r="MXU6" s="44">
        <f>Database!MYN14</f>
        <v>0</v>
      </c>
      <c r="MXV6" s="44">
        <f>Database!MYO14</f>
        <v>0</v>
      </c>
      <c r="MXW6" s="44">
        <f>Database!MYP14</f>
        <v>0</v>
      </c>
      <c r="MXX6" s="44">
        <f>Database!MYQ14</f>
        <v>0</v>
      </c>
      <c r="MXY6" s="44">
        <f>Database!MYR14</f>
        <v>0</v>
      </c>
      <c r="MXZ6" s="44">
        <f>Database!MYS14</f>
        <v>0</v>
      </c>
      <c r="MYA6" s="44">
        <f>Database!MYT14</f>
        <v>0</v>
      </c>
      <c r="MYB6" s="44">
        <f>Database!MYU14</f>
        <v>0</v>
      </c>
      <c r="MYC6" s="44">
        <f>Database!MYV14</f>
        <v>0</v>
      </c>
      <c r="MYD6" s="44">
        <f>Database!MYW14</f>
        <v>0</v>
      </c>
      <c r="MYE6" s="44">
        <f>Database!MYX14</f>
        <v>0</v>
      </c>
      <c r="MYF6" s="44">
        <f>Database!MYY14</f>
        <v>0</v>
      </c>
      <c r="MYG6" s="44">
        <f>Database!MYZ14</f>
        <v>0</v>
      </c>
      <c r="MYH6" s="44">
        <f>Database!MZA14</f>
        <v>0</v>
      </c>
      <c r="MYI6" s="44">
        <f>Database!MZB14</f>
        <v>0</v>
      </c>
      <c r="MYJ6" s="44">
        <f>Database!MZC14</f>
        <v>0</v>
      </c>
      <c r="MYK6" s="44">
        <f>Database!MZD14</f>
        <v>0</v>
      </c>
      <c r="MYL6" s="44">
        <f>Database!MZE14</f>
        <v>0</v>
      </c>
      <c r="MYM6" s="44">
        <f>Database!MZF14</f>
        <v>0</v>
      </c>
      <c r="MYN6" s="44">
        <f>Database!MZG14</f>
        <v>0</v>
      </c>
      <c r="MYO6" s="44">
        <f>Database!MZH14</f>
        <v>0</v>
      </c>
      <c r="MYP6" s="44">
        <f>Database!MZI14</f>
        <v>0</v>
      </c>
      <c r="MYQ6" s="44">
        <f>Database!MZJ14</f>
        <v>0</v>
      </c>
      <c r="MYR6" s="44">
        <f>Database!MZK14</f>
        <v>0</v>
      </c>
      <c r="MYS6" s="44">
        <f>Database!MZL14</f>
        <v>0</v>
      </c>
      <c r="MYT6" s="44">
        <f>Database!MZM14</f>
        <v>0</v>
      </c>
      <c r="MYU6" s="44">
        <f>Database!MZN14</f>
        <v>0</v>
      </c>
      <c r="MYV6" s="44">
        <f>Database!MZO14</f>
        <v>0</v>
      </c>
      <c r="MYW6" s="44">
        <f>Database!MZP14</f>
        <v>0</v>
      </c>
      <c r="MYX6" s="44">
        <f>Database!MZQ14</f>
        <v>0</v>
      </c>
      <c r="MYY6" s="44">
        <f>Database!MZR14</f>
        <v>0</v>
      </c>
      <c r="MYZ6" s="44">
        <f>Database!MZS14</f>
        <v>0</v>
      </c>
      <c r="MZA6" s="44">
        <f>Database!MZT14</f>
        <v>0</v>
      </c>
      <c r="MZB6" s="44">
        <f>Database!MZU14</f>
        <v>0</v>
      </c>
      <c r="MZC6" s="44">
        <f>Database!MZV14</f>
        <v>0</v>
      </c>
      <c r="MZD6" s="44">
        <f>Database!MZW14</f>
        <v>0</v>
      </c>
      <c r="MZE6" s="44">
        <f>Database!MZX14</f>
        <v>0</v>
      </c>
      <c r="MZF6" s="44">
        <f>Database!MZY14</f>
        <v>0</v>
      </c>
      <c r="MZG6" s="44">
        <f>Database!MZZ14</f>
        <v>0</v>
      </c>
      <c r="MZH6" s="44">
        <f>Database!NAA14</f>
        <v>0</v>
      </c>
      <c r="MZI6" s="44">
        <f>Database!NAB14</f>
        <v>0</v>
      </c>
      <c r="MZJ6" s="44">
        <f>Database!NAC14</f>
        <v>0</v>
      </c>
      <c r="MZK6" s="44">
        <f>Database!NAD14</f>
        <v>0</v>
      </c>
      <c r="MZL6" s="44">
        <f>Database!NAE14</f>
        <v>0</v>
      </c>
      <c r="MZM6" s="44">
        <f>Database!NAF14</f>
        <v>0</v>
      </c>
      <c r="MZN6" s="44">
        <f>Database!NAG14</f>
        <v>0</v>
      </c>
      <c r="MZO6" s="44">
        <f>Database!NAH14</f>
        <v>0</v>
      </c>
      <c r="MZP6" s="44">
        <f>Database!NAI14</f>
        <v>0</v>
      </c>
      <c r="MZQ6" s="44">
        <f>Database!NAJ14</f>
        <v>0</v>
      </c>
      <c r="MZR6" s="44">
        <f>Database!NAK14</f>
        <v>0</v>
      </c>
      <c r="MZS6" s="44">
        <f>Database!NAL14</f>
        <v>0</v>
      </c>
      <c r="MZT6" s="44">
        <f>Database!NAM14</f>
        <v>0</v>
      </c>
      <c r="MZU6" s="44">
        <f>Database!NAN14</f>
        <v>0</v>
      </c>
      <c r="MZV6" s="44">
        <f>Database!NAO14</f>
        <v>0</v>
      </c>
      <c r="MZW6" s="44">
        <f>Database!NAP14</f>
        <v>0</v>
      </c>
      <c r="MZX6" s="44">
        <f>Database!NAQ14</f>
        <v>0</v>
      </c>
      <c r="MZY6" s="44">
        <f>Database!NAR14</f>
        <v>0</v>
      </c>
      <c r="MZZ6" s="44">
        <f>Database!NAS14</f>
        <v>0</v>
      </c>
      <c r="NAA6" s="44">
        <f>Database!NAT14</f>
        <v>0</v>
      </c>
      <c r="NAB6" s="44">
        <f>Database!NAU14</f>
        <v>0</v>
      </c>
      <c r="NAC6" s="44">
        <f>Database!NAV14</f>
        <v>0</v>
      </c>
      <c r="NAD6" s="44">
        <f>Database!NAW14</f>
        <v>0</v>
      </c>
      <c r="NAE6" s="44">
        <f>Database!NAX14</f>
        <v>0</v>
      </c>
      <c r="NAF6" s="44">
        <f>Database!NAY14</f>
        <v>0</v>
      </c>
      <c r="NAG6" s="44">
        <f>Database!NAZ14</f>
        <v>0</v>
      </c>
      <c r="NAH6" s="44">
        <f>Database!NBA14</f>
        <v>0</v>
      </c>
      <c r="NAI6" s="44">
        <f>Database!NBB14</f>
        <v>0</v>
      </c>
      <c r="NAJ6" s="44">
        <f>Database!NBC14</f>
        <v>0</v>
      </c>
      <c r="NAK6" s="44">
        <f>Database!NBD14</f>
        <v>0</v>
      </c>
      <c r="NAL6" s="44">
        <f>Database!NBE14</f>
        <v>0</v>
      </c>
      <c r="NAM6" s="44">
        <f>Database!NBF14</f>
        <v>0</v>
      </c>
      <c r="NAN6" s="44">
        <f>Database!NBG14</f>
        <v>0</v>
      </c>
      <c r="NAO6" s="44">
        <f>Database!NBH14</f>
        <v>0</v>
      </c>
      <c r="NAP6" s="44">
        <f>Database!NBI14</f>
        <v>0</v>
      </c>
      <c r="NAQ6" s="44">
        <f>Database!NBJ14</f>
        <v>0</v>
      </c>
      <c r="NAR6" s="44">
        <f>Database!NBK14</f>
        <v>0</v>
      </c>
      <c r="NAS6" s="44">
        <f>Database!NBL14</f>
        <v>0</v>
      </c>
      <c r="NAT6" s="44">
        <f>Database!NBM14</f>
        <v>0</v>
      </c>
      <c r="NAU6" s="44">
        <f>Database!NBN14</f>
        <v>0</v>
      </c>
      <c r="NAV6" s="44">
        <f>Database!NBO14</f>
        <v>0</v>
      </c>
      <c r="NAW6" s="44">
        <f>Database!NBP14</f>
        <v>0</v>
      </c>
      <c r="NAX6" s="44">
        <f>Database!NBQ14</f>
        <v>0</v>
      </c>
      <c r="NAY6" s="44">
        <f>Database!NBR14</f>
        <v>0</v>
      </c>
      <c r="NAZ6" s="44">
        <f>Database!NBS14</f>
        <v>0</v>
      </c>
      <c r="NBA6" s="44">
        <f>Database!NBT14</f>
        <v>0</v>
      </c>
      <c r="NBB6" s="44">
        <f>Database!NBU14</f>
        <v>0</v>
      </c>
      <c r="NBC6" s="44">
        <f>Database!NBV14</f>
        <v>0</v>
      </c>
      <c r="NBD6" s="44">
        <f>Database!NBW14</f>
        <v>0</v>
      </c>
      <c r="NBE6" s="44">
        <f>Database!NBX14</f>
        <v>0</v>
      </c>
      <c r="NBF6" s="44">
        <f>Database!NBY14</f>
        <v>0</v>
      </c>
      <c r="NBG6" s="44">
        <f>Database!NBZ14</f>
        <v>0</v>
      </c>
      <c r="NBH6" s="44">
        <f>Database!NCA14</f>
        <v>0</v>
      </c>
      <c r="NBI6" s="44">
        <f>Database!NCB14</f>
        <v>0</v>
      </c>
      <c r="NBJ6" s="44">
        <f>Database!NCC14</f>
        <v>0</v>
      </c>
      <c r="NBK6" s="44">
        <f>Database!NCD14</f>
        <v>0</v>
      </c>
      <c r="NBL6" s="44">
        <f>Database!NCE14</f>
        <v>0</v>
      </c>
      <c r="NBM6" s="44">
        <f>Database!NCF14</f>
        <v>0</v>
      </c>
      <c r="NBN6" s="44">
        <f>Database!NCG14</f>
        <v>0</v>
      </c>
      <c r="NBO6" s="44">
        <f>Database!NCH14</f>
        <v>0</v>
      </c>
      <c r="NBP6" s="44">
        <f>Database!NCI14</f>
        <v>0</v>
      </c>
      <c r="NBQ6" s="44">
        <f>Database!NCJ14</f>
        <v>0</v>
      </c>
      <c r="NBR6" s="44">
        <f>Database!NCK14</f>
        <v>0</v>
      </c>
      <c r="NBS6" s="44">
        <f>Database!NCL14</f>
        <v>0</v>
      </c>
      <c r="NBT6" s="44">
        <f>Database!NCM14</f>
        <v>0</v>
      </c>
      <c r="NBU6" s="44">
        <f>Database!NCN14</f>
        <v>0</v>
      </c>
      <c r="NBV6" s="44">
        <f>Database!NCO14</f>
        <v>0</v>
      </c>
      <c r="NBW6" s="44">
        <f>Database!NCP14</f>
        <v>0</v>
      </c>
      <c r="NBX6" s="44">
        <f>Database!NCQ14</f>
        <v>0</v>
      </c>
      <c r="NBY6" s="44">
        <f>Database!NCR14</f>
        <v>0</v>
      </c>
      <c r="NBZ6" s="44">
        <f>Database!NCS14</f>
        <v>0</v>
      </c>
      <c r="NCA6" s="44">
        <f>Database!NCT14</f>
        <v>0</v>
      </c>
      <c r="NCB6" s="44">
        <f>Database!NCU14</f>
        <v>0</v>
      </c>
      <c r="NCC6" s="44">
        <f>Database!NCV14</f>
        <v>0</v>
      </c>
      <c r="NCD6" s="44">
        <f>Database!NCW14</f>
        <v>0</v>
      </c>
      <c r="NCE6" s="44">
        <f>Database!NCX14</f>
        <v>0</v>
      </c>
      <c r="NCF6" s="44">
        <f>Database!NCY14</f>
        <v>0</v>
      </c>
      <c r="NCG6" s="44">
        <f>Database!NCZ14</f>
        <v>0</v>
      </c>
      <c r="NCH6" s="44">
        <f>Database!NDA14</f>
        <v>0</v>
      </c>
      <c r="NCI6" s="44">
        <f>Database!NDB14</f>
        <v>0</v>
      </c>
      <c r="NCJ6" s="44">
        <f>Database!NDC14</f>
        <v>0</v>
      </c>
      <c r="NCK6" s="44">
        <f>Database!NDD14</f>
        <v>0</v>
      </c>
      <c r="NCL6" s="44">
        <f>Database!NDE14</f>
        <v>0</v>
      </c>
      <c r="NCM6" s="44">
        <f>Database!NDF14</f>
        <v>0</v>
      </c>
      <c r="NCN6" s="44">
        <f>Database!NDG14</f>
        <v>0</v>
      </c>
      <c r="NCO6" s="44">
        <f>Database!NDH14</f>
        <v>0</v>
      </c>
      <c r="NCP6" s="44">
        <f>Database!NDI14</f>
        <v>0</v>
      </c>
      <c r="NCQ6" s="44">
        <f>Database!NDJ14</f>
        <v>0</v>
      </c>
      <c r="NCR6" s="44">
        <f>Database!NDK14</f>
        <v>0</v>
      </c>
      <c r="NCS6" s="44">
        <f>Database!NDL14</f>
        <v>0</v>
      </c>
      <c r="NCT6" s="44">
        <f>Database!NDM14</f>
        <v>0</v>
      </c>
      <c r="NCU6" s="44">
        <f>Database!NDN14</f>
        <v>0</v>
      </c>
      <c r="NCV6" s="44">
        <f>Database!NDO14</f>
        <v>0</v>
      </c>
      <c r="NCW6" s="44">
        <f>Database!NDP14</f>
        <v>0</v>
      </c>
      <c r="NCX6" s="44">
        <f>Database!NDQ14</f>
        <v>0</v>
      </c>
      <c r="NCY6" s="44">
        <f>Database!NDR14</f>
        <v>0</v>
      </c>
      <c r="NCZ6" s="44">
        <f>Database!NDS14</f>
        <v>0</v>
      </c>
      <c r="NDA6" s="44">
        <f>Database!NDT14</f>
        <v>0</v>
      </c>
      <c r="NDB6" s="44">
        <f>Database!NDU14</f>
        <v>0</v>
      </c>
      <c r="NDC6" s="44">
        <f>Database!NDV14</f>
        <v>0</v>
      </c>
      <c r="NDD6" s="44">
        <f>Database!NDW14</f>
        <v>0</v>
      </c>
      <c r="NDE6" s="44">
        <f>Database!NDX14</f>
        <v>0</v>
      </c>
      <c r="NDF6" s="44">
        <f>Database!NDY14</f>
        <v>0</v>
      </c>
      <c r="NDG6" s="44">
        <f>Database!NDZ14</f>
        <v>0</v>
      </c>
      <c r="NDH6" s="44">
        <f>Database!NEA14</f>
        <v>0</v>
      </c>
      <c r="NDI6" s="44">
        <f>Database!NEB14</f>
        <v>0</v>
      </c>
      <c r="NDJ6" s="44">
        <f>Database!NEC14</f>
        <v>0</v>
      </c>
      <c r="NDK6" s="44">
        <f>Database!NED14</f>
        <v>0</v>
      </c>
      <c r="NDL6" s="44">
        <f>Database!NEE14</f>
        <v>0</v>
      </c>
      <c r="NDM6" s="44">
        <f>Database!NEF14</f>
        <v>0</v>
      </c>
      <c r="NDN6" s="44">
        <f>Database!NEG14</f>
        <v>0</v>
      </c>
      <c r="NDO6" s="44">
        <f>Database!NEH14</f>
        <v>0</v>
      </c>
      <c r="NDP6" s="44">
        <f>Database!NEI14</f>
        <v>0</v>
      </c>
      <c r="NDQ6" s="44">
        <f>Database!NEJ14</f>
        <v>0</v>
      </c>
      <c r="NDR6" s="44">
        <f>Database!NEK14</f>
        <v>0</v>
      </c>
      <c r="NDS6" s="44">
        <f>Database!NEL14</f>
        <v>0</v>
      </c>
      <c r="NDT6" s="44">
        <f>Database!NEM14</f>
        <v>0</v>
      </c>
      <c r="NDU6" s="44">
        <f>Database!NEN14</f>
        <v>0</v>
      </c>
      <c r="NDV6" s="44">
        <f>Database!NEO14</f>
        <v>0</v>
      </c>
      <c r="NDW6" s="44">
        <f>Database!NEP14</f>
        <v>0</v>
      </c>
      <c r="NDX6" s="44">
        <f>Database!NEQ14</f>
        <v>0</v>
      </c>
      <c r="NDY6" s="44">
        <f>Database!NER14</f>
        <v>0</v>
      </c>
      <c r="NDZ6" s="44">
        <f>Database!NES14</f>
        <v>0</v>
      </c>
      <c r="NEA6" s="44">
        <f>Database!NET14</f>
        <v>0</v>
      </c>
      <c r="NEB6" s="44">
        <f>Database!NEU14</f>
        <v>0</v>
      </c>
      <c r="NEC6" s="44">
        <f>Database!NEV14</f>
        <v>0</v>
      </c>
      <c r="NED6" s="44">
        <f>Database!NEW14</f>
        <v>0</v>
      </c>
      <c r="NEE6" s="44">
        <f>Database!NEX14</f>
        <v>0</v>
      </c>
      <c r="NEF6" s="44">
        <f>Database!NEY14</f>
        <v>0</v>
      </c>
      <c r="NEG6" s="44">
        <f>Database!NEZ14</f>
        <v>0</v>
      </c>
      <c r="NEH6" s="44">
        <f>Database!NFA14</f>
        <v>0</v>
      </c>
      <c r="NEI6" s="44">
        <f>Database!NFB14</f>
        <v>0</v>
      </c>
      <c r="NEJ6" s="44">
        <f>Database!NFC14</f>
        <v>0</v>
      </c>
      <c r="NEK6" s="44">
        <f>Database!NFD14</f>
        <v>0</v>
      </c>
      <c r="NEL6" s="44">
        <f>Database!NFE14</f>
        <v>0</v>
      </c>
      <c r="NEM6" s="44">
        <f>Database!NFF14</f>
        <v>0</v>
      </c>
      <c r="NEN6" s="44">
        <f>Database!NFG14</f>
        <v>0</v>
      </c>
      <c r="NEO6" s="44">
        <f>Database!NFH14</f>
        <v>0</v>
      </c>
      <c r="NEP6" s="44">
        <f>Database!NFI14</f>
        <v>0</v>
      </c>
      <c r="NEQ6" s="44">
        <f>Database!NFJ14</f>
        <v>0</v>
      </c>
      <c r="NER6" s="44">
        <f>Database!NFK14</f>
        <v>0</v>
      </c>
      <c r="NES6" s="44">
        <f>Database!NFL14</f>
        <v>0</v>
      </c>
      <c r="NET6" s="44">
        <f>Database!NFM14</f>
        <v>0</v>
      </c>
      <c r="NEU6" s="44">
        <f>Database!NFN14</f>
        <v>0</v>
      </c>
      <c r="NEV6" s="44">
        <f>Database!NFO14</f>
        <v>0</v>
      </c>
      <c r="NEW6" s="44">
        <f>Database!NFP14</f>
        <v>0</v>
      </c>
      <c r="NEX6" s="44">
        <f>Database!NFQ14</f>
        <v>0</v>
      </c>
      <c r="NEY6" s="44">
        <f>Database!NFR14</f>
        <v>0</v>
      </c>
      <c r="NEZ6" s="44">
        <f>Database!NFS14</f>
        <v>0</v>
      </c>
      <c r="NFA6" s="44">
        <f>Database!NFT14</f>
        <v>0</v>
      </c>
      <c r="NFB6" s="44">
        <f>Database!NFU14</f>
        <v>0</v>
      </c>
      <c r="NFC6" s="44">
        <f>Database!NFV14</f>
        <v>0</v>
      </c>
      <c r="NFD6" s="44">
        <f>Database!NFW14</f>
        <v>0</v>
      </c>
      <c r="NFE6" s="44">
        <f>Database!NFX14</f>
        <v>0</v>
      </c>
      <c r="NFF6" s="44">
        <f>Database!NFY14</f>
        <v>0</v>
      </c>
      <c r="NFG6" s="44">
        <f>Database!NFZ14</f>
        <v>0</v>
      </c>
      <c r="NFH6" s="44">
        <f>Database!NGA14</f>
        <v>0</v>
      </c>
      <c r="NFI6" s="44">
        <f>Database!NGB14</f>
        <v>0</v>
      </c>
      <c r="NFJ6" s="44">
        <f>Database!NGC14</f>
        <v>0</v>
      </c>
      <c r="NFK6" s="44">
        <f>Database!NGD14</f>
        <v>0</v>
      </c>
      <c r="NFL6" s="44">
        <f>Database!NGE14</f>
        <v>0</v>
      </c>
      <c r="NFM6" s="44">
        <f>Database!NGF14</f>
        <v>0</v>
      </c>
      <c r="NFN6" s="44">
        <f>Database!NGG14</f>
        <v>0</v>
      </c>
      <c r="NFO6" s="44">
        <f>Database!NGH14</f>
        <v>0</v>
      </c>
      <c r="NFP6" s="44">
        <f>Database!NGI14</f>
        <v>0</v>
      </c>
      <c r="NFQ6" s="44">
        <f>Database!NGJ14</f>
        <v>0</v>
      </c>
      <c r="NFR6" s="44">
        <f>Database!NGK14</f>
        <v>0</v>
      </c>
      <c r="NFS6" s="44">
        <f>Database!NGL14</f>
        <v>0</v>
      </c>
      <c r="NFT6" s="44">
        <f>Database!NGM14</f>
        <v>0</v>
      </c>
      <c r="NFU6" s="44">
        <f>Database!NGN14</f>
        <v>0</v>
      </c>
      <c r="NFV6" s="44">
        <f>Database!NGO14</f>
        <v>0</v>
      </c>
      <c r="NFW6" s="44">
        <f>Database!NGP14</f>
        <v>0</v>
      </c>
      <c r="NFX6" s="44">
        <f>Database!NGQ14</f>
        <v>0</v>
      </c>
      <c r="NFY6" s="44">
        <f>Database!NGR14</f>
        <v>0</v>
      </c>
      <c r="NFZ6" s="44">
        <f>Database!NGS14</f>
        <v>0</v>
      </c>
      <c r="NGA6" s="44">
        <f>Database!NGT14</f>
        <v>0</v>
      </c>
      <c r="NGB6" s="44">
        <f>Database!NGU14</f>
        <v>0</v>
      </c>
      <c r="NGC6" s="44">
        <f>Database!NGV14</f>
        <v>0</v>
      </c>
      <c r="NGD6" s="44">
        <f>Database!NGW14</f>
        <v>0</v>
      </c>
      <c r="NGE6" s="44">
        <f>Database!NGX14</f>
        <v>0</v>
      </c>
      <c r="NGF6" s="44">
        <f>Database!NGY14</f>
        <v>0</v>
      </c>
      <c r="NGG6" s="44">
        <f>Database!NGZ14</f>
        <v>0</v>
      </c>
      <c r="NGH6" s="44">
        <f>Database!NHA14</f>
        <v>0</v>
      </c>
      <c r="NGI6" s="44">
        <f>Database!NHB14</f>
        <v>0</v>
      </c>
      <c r="NGJ6" s="44">
        <f>Database!NHC14</f>
        <v>0</v>
      </c>
      <c r="NGK6" s="44">
        <f>Database!NHD14</f>
        <v>0</v>
      </c>
      <c r="NGL6" s="44">
        <f>Database!NHE14</f>
        <v>0</v>
      </c>
      <c r="NGM6" s="44">
        <f>Database!NHF14</f>
        <v>0</v>
      </c>
      <c r="NGN6" s="44">
        <f>Database!NHG14</f>
        <v>0</v>
      </c>
      <c r="NGO6" s="44">
        <f>Database!NHH14</f>
        <v>0</v>
      </c>
      <c r="NGP6" s="44">
        <f>Database!NHI14</f>
        <v>0</v>
      </c>
      <c r="NGQ6" s="44">
        <f>Database!NHJ14</f>
        <v>0</v>
      </c>
      <c r="NGR6" s="44">
        <f>Database!NHK14</f>
        <v>0</v>
      </c>
      <c r="NGS6" s="44">
        <f>Database!NHL14</f>
        <v>0</v>
      </c>
      <c r="NGT6" s="44">
        <f>Database!NHM14</f>
        <v>0</v>
      </c>
      <c r="NGU6" s="44">
        <f>Database!NHN14</f>
        <v>0</v>
      </c>
      <c r="NGV6" s="44">
        <f>Database!NHO14</f>
        <v>0</v>
      </c>
      <c r="NGW6" s="44">
        <f>Database!NHP14</f>
        <v>0</v>
      </c>
      <c r="NGX6" s="44">
        <f>Database!NHQ14</f>
        <v>0</v>
      </c>
      <c r="NGY6" s="44">
        <f>Database!NHR14</f>
        <v>0</v>
      </c>
      <c r="NGZ6" s="44">
        <f>Database!NHS14</f>
        <v>0</v>
      </c>
      <c r="NHA6" s="44">
        <f>Database!NHT14</f>
        <v>0</v>
      </c>
      <c r="NHB6" s="44">
        <f>Database!NHU14</f>
        <v>0</v>
      </c>
      <c r="NHC6" s="44">
        <f>Database!NHV14</f>
        <v>0</v>
      </c>
      <c r="NHD6" s="44">
        <f>Database!NHW14</f>
        <v>0</v>
      </c>
      <c r="NHE6" s="44">
        <f>Database!NHX14</f>
        <v>0</v>
      </c>
      <c r="NHF6" s="44">
        <f>Database!NHY14</f>
        <v>0</v>
      </c>
      <c r="NHG6" s="44">
        <f>Database!NHZ14</f>
        <v>0</v>
      </c>
      <c r="NHH6" s="44">
        <f>Database!NIA14</f>
        <v>0</v>
      </c>
      <c r="NHI6" s="44">
        <f>Database!NIB14</f>
        <v>0</v>
      </c>
      <c r="NHJ6" s="44">
        <f>Database!NIC14</f>
        <v>0</v>
      </c>
      <c r="NHK6" s="44">
        <f>Database!NID14</f>
        <v>0</v>
      </c>
      <c r="NHL6" s="44">
        <f>Database!NIE14</f>
        <v>0</v>
      </c>
      <c r="NHM6" s="44">
        <f>Database!NIF14</f>
        <v>0</v>
      </c>
      <c r="NHN6" s="44">
        <f>Database!NIG14</f>
        <v>0</v>
      </c>
      <c r="NHO6" s="44">
        <f>Database!NIH14</f>
        <v>0</v>
      </c>
      <c r="NHP6" s="44">
        <f>Database!NII14</f>
        <v>0</v>
      </c>
      <c r="NHQ6" s="44">
        <f>Database!NIJ14</f>
        <v>0</v>
      </c>
      <c r="NHR6" s="44">
        <f>Database!NIK14</f>
        <v>0</v>
      </c>
      <c r="NHS6" s="44">
        <f>Database!NIL14</f>
        <v>0</v>
      </c>
      <c r="NHT6" s="44">
        <f>Database!NIM14</f>
        <v>0</v>
      </c>
      <c r="NHU6" s="44">
        <f>Database!NIN14</f>
        <v>0</v>
      </c>
      <c r="NHV6" s="44">
        <f>Database!NIO14</f>
        <v>0</v>
      </c>
      <c r="NHW6" s="44">
        <f>Database!NIP14</f>
        <v>0</v>
      </c>
      <c r="NHX6" s="44">
        <f>Database!NIQ14</f>
        <v>0</v>
      </c>
      <c r="NHY6" s="44">
        <f>Database!NIR14</f>
        <v>0</v>
      </c>
      <c r="NHZ6" s="44">
        <f>Database!NIS14</f>
        <v>0</v>
      </c>
      <c r="NIA6" s="44">
        <f>Database!NIT14</f>
        <v>0</v>
      </c>
      <c r="NIB6" s="44">
        <f>Database!NIU14</f>
        <v>0</v>
      </c>
      <c r="NIC6" s="44">
        <f>Database!NIV14</f>
        <v>0</v>
      </c>
      <c r="NID6" s="44">
        <f>Database!NIW14</f>
        <v>0</v>
      </c>
      <c r="NIE6" s="44">
        <f>Database!NIX14</f>
        <v>0</v>
      </c>
      <c r="NIF6" s="44">
        <f>Database!NIY14</f>
        <v>0</v>
      </c>
      <c r="NIG6" s="44">
        <f>Database!NIZ14</f>
        <v>0</v>
      </c>
      <c r="NIH6" s="44">
        <f>Database!NJA14</f>
        <v>0</v>
      </c>
      <c r="NII6" s="44">
        <f>Database!NJB14</f>
        <v>0</v>
      </c>
      <c r="NIJ6" s="44">
        <f>Database!NJC14</f>
        <v>0</v>
      </c>
      <c r="NIK6" s="44">
        <f>Database!NJD14</f>
        <v>0</v>
      </c>
      <c r="NIL6" s="44">
        <f>Database!NJE14</f>
        <v>0</v>
      </c>
      <c r="NIM6" s="44">
        <f>Database!NJF14</f>
        <v>0</v>
      </c>
      <c r="NIN6" s="44">
        <f>Database!NJG14</f>
        <v>0</v>
      </c>
      <c r="NIO6" s="44">
        <f>Database!NJH14</f>
        <v>0</v>
      </c>
      <c r="NIP6" s="44">
        <f>Database!NJI14</f>
        <v>0</v>
      </c>
      <c r="NIQ6" s="44">
        <f>Database!NJJ14</f>
        <v>0</v>
      </c>
      <c r="NIR6" s="44">
        <f>Database!NJK14</f>
        <v>0</v>
      </c>
      <c r="NIS6" s="44">
        <f>Database!NJL14</f>
        <v>0</v>
      </c>
      <c r="NIT6" s="44">
        <f>Database!NJM14</f>
        <v>0</v>
      </c>
      <c r="NIU6" s="44">
        <f>Database!NJN14</f>
        <v>0</v>
      </c>
      <c r="NIV6" s="44">
        <f>Database!NJO14</f>
        <v>0</v>
      </c>
      <c r="NIW6" s="44">
        <f>Database!NJP14</f>
        <v>0</v>
      </c>
      <c r="NIX6" s="44">
        <f>Database!NJQ14</f>
        <v>0</v>
      </c>
      <c r="NIY6" s="44">
        <f>Database!NJR14</f>
        <v>0</v>
      </c>
      <c r="NIZ6" s="44">
        <f>Database!NJS14</f>
        <v>0</v>
      </c>
      <c r="NJA6" s="44">
        <f>Database!NJT14</f>
        <v>0</v>
      </c>
      <c r="NJB6" s="44">
        <f>Database!NJU14</f>
        <v>0</v>
      </c>
      <c r="NJC6" s="44">
        <f>Database!NJV14</f>
        <v>0</v>
      </c>
      <c r="NJD6" s="44">
        <f>Database!NJW14</f>
        <v>0</v>
      </c>
      <c r="NJE6" s="44">
        <f>Database!NJX14</f>
        <v>0</v>
      </c>
      <c r="NJF6" s="44">
        <f>Database!NJY14</f>
        <v>0</v>
      </c>
      <c r="NJG6" s="44">
        <f>Database!NJZ14</f>
        <v>0</v>
      </c>
      <c r="NJH6" s="44">
        <f>Database!NKA14</f>
        <v>0</v>
      </c>
      <c r="NJI6" s="44">
        <f>Database!NKB14</f>
        <v>0</v>
      </c>
      <c r="NJJ6" s="44">
        <f>Database!NKC14</f>
        <v>0</v>
      </c>
      <c r="NJK6" s="44">
        <f>Database!NKD14</f>
        <v>0</v>
      </c>
      <c r="NJL6" s="44">
        <f>Database!NKE14</f>
        <v>0</v>
      </c>
      <c r="NJM6" s="44">
        <f>Database!NKF14</f>
        <v>0</v>
      </c>
      <c r="NJN6" s="44">
        <f>Database!NKG14</f>
        <v>0</v>
      </c>
      <c r="NJO6" s="44">
        <f>Database!NKH14</f>
        <v>0</v>
      </c>
      <c r="NJP6" s="44">
        <f>Database!NKI14</f>
        <v>0</v>
      </c>
      <c r="NJQ6" s="44">
        <f>Database!NKJ14</f>
        <v>0</v>
      </c>
      <c r="NJR6" s="44">
        <f>Database!NKK14</f>
        <v>0</v>
      </c>
      <c r="NJS6" s="44">
        <f>Database!NKL14</f>
        <v>0</v>
      </c>
      <c r="NJT6" s="44">
        <f>Database!NKM14</f>
        <v>0</v>
      </c>
      <c r="NJU6" s="44">
        <f>Database!NKN14</f>
        <v>0</v>
      </c>
      <c r="NJV6" s="44">
        <f>Database!NKO14</f>
        <v>0</v>
      </c>
      <c r="NJW6" s="44">
        <f>Database!NKP14</f>
        <v>0</v>
      </c>
      <c r="NJX6" s="44">
        <f>Database!NKQ14</f>
        <v>0</v>
      </c>
      <c r="NJY6" s="44">
        <f>Database!NKR14</f>
        <v>0</v>
      </c>
      <c r="NJZ6" s="44">
        <f>Database!NKS14</f>
        <v>0</v>
      </c>
      <c r="NKA6" s="44">
        <f>Database!NKT14</f>
        <v>0</v>
      </c>
      <c r="NKB6" s="44">
        <f>Database!NKU14</f>
        <v>0</v>
      </c>
      <c r="NKC6" s="44">
        <f>Database!NKV14</f>
        <v>0</v>
      </c>
      <c r="NKD6" s="44">
        <f>Database!NKW14</f>
        <v>0</v>
      </c>
      <c r="NKE6" s="44">
        <f>Database!NKX14</f>
        <v>0</v>
      </c>
      <c r="NKF6" s="44">
        <f>Database!NKY14</f>
        <v>0</v>
      </c>
      <c r="NKG6" s="44">
        <f>Database!NKZ14</f>
        <v>0</v>
      </c>
      <c r="NKH6" s="44">
        <f>Database!NLA14</f>
        <v>0</v>
      </c>
      <c r="NKI6" s="44">
        <f>Database!NLB14</f>
        <v>0</v>
      </c>
      <c r="NKJ6" s="44">
        <f>Database!NLC14</f>
        <v>0</v>
      </c>
      <c r="NKK6" s="44">
        <f>Database!NLD14</f>
        <v>0</v>
      </c>
      <c r="NKL6" s="44">
        <f>Database!NLE14</f>
        <v>0</v>
      </c>
      <c r="NKM6" s="44">
        <f>Database!NLF14</f>
        <v>0</v>
      </c>
      <c r="NKN6" s="44">
        <f>Database!NLG14</f>
        <v>0</v>
      </c>
      <c r="NKO6" s="44">
        <f>Database!NLH14</f>
        <v>0</v>
      </c>
      <c r="NKP6" s="44">
        <f>Database!NLI14</f>
        <v>0</v>
      </c>
      <c r="NKQ6" s="44">
        <f>Database!NLJ14</f>
        <v>0</v>
      </c>
      <c r="NKR6" s="44">
        <f>Database!NLK14</f>
        <v>0</v>
      </c>
      <c r="NKS6" s="44">
        <f>Database!NLL14</f>
        <v>0</v>
      </c>
      <c r="NKT6" s="44">
        <f>Database!NLM14</f>
        <v>0</v>
      </c>
      <c r="NKU6" s="44">
        <f>Database!NLN14</f>
        <v>0</v>
      </c>
      <c r="NKV6" s="44">
        <f>Database!NLO14</f>
        <v>0</v>
      </c>
      <c r="NKW6" s="44">
        <f>Database!NLP14</f>
        <v>0</v>
      </c>
      <c r="NKX6" s="44">
        <f>Database!NLQ14</f>
        <v>0</v>
      </c>
      <c r="NKY6" s="44">
        <f>Database!NLR14</f>
        <v>0</v>
      </c>
      <c r="NKZ6" s="44">
        <f>Database!NLS14</f>
        <v>0</v>
      </c>
      <c r="NLA6" s="44">
        <f>Database!NLT14</f>
        <v>0</v>
      </c>
      <c r="NLB6" s="44">
        <f>Database!NLU14</f>
        <v>0</v>
      </c>
      <c r="NLC6" s="44">
        <f>Database!NLV14</f>
        <v>0</v>
      </c>
      <c r="NLD6" s="44">
        <f>Database!NLW14</f>
        <v>0</v>
      </c>
      <c r="NLE6" s="44">
        <f>Database!NLX14</f>
        <v>0</v>
      </c>
      <c r="NLF6" s="44">
        <f>Database!NLY14</f>
        <v>0</v>
      </c>
      <c r="NLG6" s="44">
        <f>Database!NLZ14</f>
        <v>0</v>
      </c>
      <c r="NLH6" s="44">
        <f>Database!NMA14</f>
        <v>0</v>
      </c>
      <c r="NLI6" s="44">
        <f>Database!NMB14</f>
        <v>0</v>
      </c>
      <c r="NLJ6" s="44">
        <f>Database!NMC14</f>
        <v>0</v>
      </c>
      <c r="NLK6" s="44">
        <f>Database!NMD14</f>
        <v>0</v>
      </c>
      <c r="NLL6" s="44">
        <f>Database!NME14</f>
        <v>0</v>
      </c>
      <c r="NLM6" s="44">
        <f>Database!NMF14</f>
        <v>0</v>
      </c>
      <c r="NLN6" s="44">
        <f>Database!NMG14</f>
        <v>0</v>
      </c>
      <c r="NLO6" s="44">
        <f>Database!NMH14</f>
        <v>0</v>
      </c>
      <c r="NLP6" s="44">
        <f>Database!NMI14</f>
        <v>0</v>
      </c>
      <c r="NLQ6" s="44">
        <f>Database!NMJ14</f>
        <v>0</v>
      </c>
      <c r="NLR6" s="44">
        <f>Database!NMK14</f>
        <v>0</v>
      </c>
      <c r="NLS6" s="44">
        <f>Database!NML14</f>
        <v>0</v>
      </c>
      <c r="NLT6" s="44">
        <f>Database!NMM14</f>
        <v>0</v>
      </c>
      <c r="NLU6" s="44">
        <f>Database!NMN14</f>
        <v>0</v>
      </c>
      <c r="NLV6" s="44">
        <f>Database!NMO14</f>
        <v>0</v>
      </c>
      <c r="NLW6" s="44">
        <f>Database!NMP14</f>
        <v>0</v>
      </c>
      <c r="NLX6" s="44">
        <f>Database!NMQ14</f>
        <v>0</v>
      </c>
      <c r="NLY6" s="44">
        <f>Database!NMR14</f>
        <v>0</v>
      </c>
      <c r="NLZ6" s="44">
        <f>Database!NMS14</f>
        <v>0</v>
      </c>
      <c r="NMA6" s="44">
        <f>Database!NMT14</f>
        <v>0</v>
      </c>
      <c r="NMB6" s="44">
        <f>Database!NMU14</f>
        <v>0</v>
      </c>
      <c r="NMC6" s="44">
        <f>Database!NMV14</f>
        <v>0</v>
      </c>
      <c r="NMD6" s="44">
        <f>Database!NMW14</f>
        <v>0</v>
      </c>
      <c r="NME6" s="44">
        <f>Database!NMX14</f>
        <v>0</v>
      </c>
      <c r="NMF6" s="44">
        <f>Database!NMY14</f>
        <v>0</v>
      </c>
      <c r="NMG6" s="44">
        <f>Database!NMZ14</f>
        <v>0</v>
      </c>
      <c r="NMH6" s="44">
        <f>Database!NNA14</f>
        <v>0</v>
      </c>
      <c r="NMI6" s="44">
        <f>Database!NNB14</f>
        <v>0</v>
      </c>
      <c r="NMJ6" s="44">
        <f>Database!NNC14</f>
        <v>0</v>
      </c>
      <c r="NMK6" s="44">
        <f>Database!NND14</f>
        <v>0</v>
      </c>
      <c r="NML6" s="44">
        <f>Database!NNE14</f>
        <v>0</v>
      </c>
      <c r="NMM6" s="44">
        <f>Database!NNF14</f>
        <v>0</v>
      </c>
      <c r="NMN6" s="44">
        <f>Database!NNG14</f>
        <v>0</v>
      </c>
      <c r="NMO6" s="44">
        <f>Database!NNH14</f>
        <v>0</v>
      </c>
      <c r="NMP6" s="44">
        <f>Database!NNI14</f>
        <v>0</v>
      </c>
      <c r="NMQ6" s="44">
        <f>Database!NNJ14</f>
        <v>0</v>
      </c>
      <c r="NMR6" s="44">
        <f>Database!NNK14</f>
        <v>0</v>
      </c>
      <c r="NMS6" s="44">
        <f>Database!NNL14</f>
        <v>0</v>
      </c>
      <c r="NMT6" s="44">
        <f>Database!NNM14</f>
        <v>0</v>
      </c>
      <c r="NMU6" s="44">
        <f>Database!NNN14</f>
        <v>0</v>
      </c>
      <c r="NMV6" s="44">
        <f>Database!NNO14</f>
        <v>0</v>
      </c>
      <c r="NMW6" s="44">
        <f>Database!NNP14</f>
        <v>0</v>
      </c>
      <c r="NMX6" s="44">
        <f>Database!NNQ14</f>
        <v>0</v>
      </c>
      <c r="NMY6" s="44">
        <f>Database!NNR14</f>
        <v>0</v>
      </c>
      <c r="NMZ6" s="44">
        <f>Database!NNS14</f>
        <v>0</v>
      </c>
      <c r="NNA6" s="44">
        <f>Database!NNT14</f>
        <v>0</v>
      </c>
      <c r="NNB6" s="44">
        <f>Database!NNU14</f>
        <v>0</v>
      </c>
      <c r="NNC6" s="44">
        <f>Database!NNV14</f>
        <v>0</v>
      </c>
      <c r="NND6" s="44">
        <f>Database!NNW14</f>
        <v>0</v>
      </c>
      <c r="NNE6" s="44">
        <f>Database!NNX14</f>
        <v>0</v>
      </c>
      <c r="NNF6" s="44">
        <f>Database!NNY14</f>
        <v>0</v>
      </c>
      <c r="NNG6" s="44">
        <f>Database!NNZ14</f>
        <v>0</v>
      </c>
      <c r="NNH6" s="44">
        <f>Database!NOA14</f>
        <v>0</v>
      </c>
      <c r="NNI6" s="44">
        <f>Database!NOB14</f>
        <v>0</v>
      </c>
      <c r="NNJ6" s="44">
        <f>Database!NOC14</f>
        <v>0</v>
      </c>
      <c r="NNK6" s="44">
        <f>Database!NOD14</f>
        <v>0</v>
      </c>
      <c r="NNL6" s="44">
        <f>Database!NOE14</f>
        <v>0</v>
      </c>
      <c r="NNM6" s="44">
        <f>Database!NOF14</f>
        <v>0</v>
      </c>
      <c r="NNN6" s="44">
        <f>Database!NOG14</f>
        <v>0</v>
      </c>
      <c r="NNO6" s="44">
        <f>Database!NOH14</f>
        <v>0</v>
      </c>
      <c r="NNP6" s="44">
        <f>Database!NOI14</f>
        <v>0</v>
      </c>
      <c r="NNQ6" s="44">
        <f>Database!NOJ14</f>
        <v>0</v>
      </c>
      <c r="NNR6" s="44">
        <f>Database!NOK14</f>
        <v>0</v>
      </c>
      <c r="NNS6" s="44">
        <f>Database!NOL14</f>
        <v>0</v>
      </c>
      <c r="NNT6" s="44">
        <f>Database!NOM14</f>
        <v>0</v>
      </c>
      <c r="NNU6" s="44">
        <f>Database!NON14</f>
        <v>0</v>
      </c>
      <c r="NNV6" s="44">
        <f>Database!NOO14</f>
        <v>0</v>
      </c>
      <c r="NNW6" s="44">
        <f>Database!NOP14</f>
        <v>0</v>
      </c>
      <c r="NNX6" s="44">
        <f>Database!NOQ14</f>
        <v>0</v>
      </c>
      <c r="NNY6" s="44">
        <f>Database!NOR14</f>
        <v>0</v>
      </c>
      <c r="NNZ6" s="44">
        <f>Database!NOS14</f>
        <v>0</v>
      </c>
      <c r="NOA6" s="44">
        <f>Database!NOT14</f>
        <v>0</v>
      </c>
      <c r="NOB6" s="44">
        <f>Database!NOU14</f>
        <v>0</v>
      </c>
      <c r="NOC6" s="44">
        <f>Database!NOV14</f>
        <v>0</v>
      </c>
      <c r="NOD6" s="44">
        <f>Database!NOW14</f>
        <v>0</v>
      </c>
      <c r="NOE6" s="44">
        <f>Database!NOX14</f>
        <v>0</v>
      </c>
      <c r="NOF6" s="44">
        <f>Database!NOY14</f>
        <v>0</v>
      </c>
      <c r="NOG6" s="44">
        <f>Database!NOZ14</f>
        <v>0</v>
      </c>
      <c r="NOH6" s="44">
        <f>Database!NPA14</f>
        <v>0</v>
      </c>
      <c r="NOI6" s="44">
        <f>Database!NPB14</f>
        <v>0</v>
      </c>
      <c r="NOJ6" s="44">
        <f>Database!NPC14</f>
        <v>0</v>
      </c>
      <c r="NOK6" s="44">
        <f>Database!NPD14</f>
        <v>0</v>
      </c>
      <c r="NOL6" s="44">
        <f>Database!NPE14</f>
        <v>0</v>
      </c>
      <c r="NOM6" s="44">
        <f>Database!NPF14</f>
        <v>0</v>
      </c>
      <c r="NON6" s="44">
        <f>Database!NPG14</f>
        <v>0</v>
      </c>
      <c r="NOO6" s="44">
        <f>Database!NPH14</f>
        <v>0</v>
      </c>
      <c r="NOP6" s="44">
        <f>Database!NPI14</f>
        <v>0</v>
      </c>
      <c r="NOQ6" s="44">
        <f>Database!NPJ14</f>
        <v>0</v>
      </c>
      <c r="NOR6" s="44">
        <f>Database!NPK14</f>
        <v>0</v>
      </c>
      <c r="NOS6" s="44">
        <f>Database!NPL14</f>
        <v>0</v>
      </c>
      <c r="NOT6" s="44">
        <f>Database!NPM14</f>
        <v>0</v>
      </c>
      <c r="NOU6" s="44">
        <f>Database!NPN14</f>
        <v>0</v>
      </c>
      <c r="NOV6" s="44">
        <f>Database!NPO14</f>
        <v>0</v>
      </c>
      <c r="NOW6" s="44">
        <f>Database!NPP14</f>
        <v>0</v>
      </c>
      <c r="NOX6" s="44">
        <f>Database!NPQ14</f>
        <v>0</v>
      </c>
      <c r="NOY6" s="44">
        <f>Database!NPR14</f>
        <v>0</v>
      </c>
      <c r="NOZ6" s="44">
        <f>Database!NPS14</f>
        <v>0</v>
      </c>
      <c r="NPA6" s="44">
        <f>Database!NPT14</f>
        <v>0</v>
      </c>
      <c r="NPB6" s="44">
        <f>Database!NPU14</f>
        <v>0</v>
      </c>
      <c r="NPC6" s="44">
        <f>Database!NPV14</f>
        <v>0</v>
      </c>
      <c r="NPD6" s="44">
        <f>Database!NPW14</f>
        <v>0</v>
      </c>
      <c r="NPE6" s="44">
        <f>Database!NPX14</f>
        <v>0</v>
      </c>
      <c r="NPF6" s="44">
        <f>Database!NPY14</f>
        <v>0</v>
      </c>
      <c r="NPG6" s="44">
        <f>Database!NPZ14</f>
        <v>0</v>
      </c>
      <c r="NPH6" s="44">
        <f>Database!NQA14</f>
        <v>0</v>
      </c>
      <c r="NPI6" s="44">
        <f>Database!NQB14</f>
        <v>0</v>
      </c>
      <c r="NPJ6" s="44">
        <f>Database!NQC14</f>
        <v>0</v>
      </c>
      <c r="NPK6" s="44">
        <f>Database!NQD14</f>
        <v>0</v>
      </c>
      <c r="NPL6" s="44">
        <f>Database!NQE14</f>
        <v>0</v>
      </c>
      <c r="NPM6" s="44">
        <f>Database!NQF14</f>
        <v>0</v>
      </c>
      <c r="NPN6" s="44">
        <f>Database!NQG14</f>
        <v>0</v>
      </c>
      <c r="NPO6" s="44">
        <f>Database!NQH14</f>
        <v>0</v>
      </c>
      <c r="NPP6" s="44">
        <f>Database!NQI14</f>
        <v>0</v>
      </c>
      <c r="NPQ6" s="44">
        <f>Database!NQJ14</f>
        <v>0</v>
      </c>
      <c r="NPR6" s="44">
        <f>Database!NQK14</f>
        <v>0</v>
      </c>
      <c r="NPS6" s="44">
        <f>Database!NQL14</f>
        <v>0</v>
      </c>
      <c r="NPT6" s="44">
        <f>Database!NQM14</f>
        <v>0</v>
      </c>
      <c r="NPU6" s="44">
        <f>Database!NQN14</f>
        <v>0</v>
      </c>
      <c r="NPV6" s="44">
        <f>Database!NQO14</f>
        <v>0</v>
      </c>
      <c r="NPW6" s="44">
        <f>Database!NQP14</f>
        <v>0</v>
      </c>
      <c r="NPX6" s="44">
        <f>Database!NQQ14</f>
        <v>0</v>
      </c>
      <c r="NPY6" s="44">
        <f>Database!NQR14</f>
        <v>0</v>
      </c>
      <c r="NPZ6" s="44">
        <f>Database!NQS14</f>
        <v>0</v>
      </c>
      <c r="NQA6" s="44">
        <f>Database!NQT14</f>
        <v>0</v>
      </c>
      <c r="NQB6" s="44">
        <f>Database!NQU14</f>
        <v>0</v>
      </c>
      <c r="NQC6" s="44">
        <f>Database!NQV14</f>
        <v>0</v>
      </c>
      <c r="NQD6" s="44">
        <f>Database!NQW14</f>
        <v>0</v>
      </c>
      <c r="NQE6" s="44">
        <f>Database!NQX14</f>
        <v>0</v>
      </c>
      <c r="NQF6" s="44">
        <f>Database!NQY14</f>
        <v>0</v>
      </c>
      <c r="NQG6" s="44">
        <f>Database!NQZ14</f>
        <v>0</v>
      </c>
      <c r="NQH6" s="44">
        <f>Database!NRA14</f>
        <v>0</v>
      </c>
      <c r="NQI6" s="44">
        <f>Database!NRB14</f>
        <v>0</v>
      </c>
      <c r="NQJ6" s="44">
        <f>Database!NRC14</f>
        <v>0</v>
      </c>
      <c r="NQK6" s="44">
        <f>Database!NRD14</f>
        <v>0</v>
      </c>
      <c r="NQL6" s="44">
        <f>Database!NRE14</f>
        <v>0</v>
      </c>
      <c r="NQM6" s="44">
        <f>Database!NRF14</f>
        <v>0</v>
      </c>
      <c r="NQN6" s="44">
        <f>Database!NRG14</f>
        <v>0</v>
      </c>
      <c r="NQO6" s="44">
        <f>Database!NRH14</f>
        <v>0</v>
      </c>
      <c r="NQP6" s="44">
        <f>Database!NRI14</f>
        <v>0</v>
      </c>
      <c r="NQQ6" s="44">
        <f>Database!NRJ14</f>
        <v>0</v>
      </c>
      <c r="NQR6" s="44">
        <f>Database!NRK14</f>
        <v>0</v>
      </c>
      <c r="NQS6" s="44">
        <f>Database!NRL14</f>
        <v>0</v>
      </c>
      <c r="NQT6" s="44">
        <f>Database!NRM14</f>
        <v>0</v>
      </c>
      <c r="NQU6" s="44">
        <f>Database!NRN14</f>
        <v>0</v>
      </c>
      <c r="NQV6" s="44">
        <f>Database!NRO14</f>
        <v>0</v>
      </c>
      <c r="NQW6" s="44">
        <f>Database!NRP14</f>
        <v>0</v>
      </c>
      <c r="NQX6" s="44">
        <f>Database!NRQ14</f>
        <v>0</v>
      </c>
      <c r="NQY6" s="44">
        <f>Database!NRR14</f>
        <v>0</v>
      </c>
      <c r="NQZ6" s="44">
        <f>Database!NRS14</f>
        <v>0</v>
      </c>
      <c r="NRA6" s="44">
        <f>Database!NRT14</f>
        <v>0</v>
      </c>
      <c r="NRB6" s="44">
        <f>Database!NRU14</f>
        <v>0</v>
      </c>
      <c r="NRC6" s="44">
        <f>Database!NRV14</f>
        <v>0</v>
      </c>
      <c r="NRD6" s="44">
        <f>Database!NRW14</f>
        <v>0</v>
      </c>
      <c r="NRE6" s="44">
        <f>Database!NRX14</f>
        <v>0</v>
      </c>
      <c r="NRF6" s="44">
        <f>Database!NRY14</f>
        <v>0</v>
      </c>
      <c r="NRG6" s="44">
        <f>Database!NRZ14</f>
        <v>0</v>
      </c>
      <c r="NRH6" s="44">
        <f>Database!NSA14</f>
        <v>0</v>
      </c>
      <c r="NRI6" s="44">
        <f>Database!NSB14</f>
        <v>0</v>
      </c>
      <c r="NRJ6" s="44">
        <f>Database!NSC14</f>
        <v>0</v>
      </c>
      <c r="NRK6" s="44">
        <f>Database!NSD14</f>
        <v>0</v>
      </c>
      <c r="NRL6" s="44">
        <f>Database!NSE14</f>
        <v>0</v>
      </c>
      <c r="NRM6" s="44">
        <f>Database!NSF14</f>
        <v>0</v>
      </c>
      <c r="NRN6" s="44">
        <f>Database!NSG14</f>
        <v>0</v>
      </c>
      <c r="NRO6" s="44">
        <f>Database!NSH14</f>
        <v>0</v>
      </c>
      <c r="NRP6" s="44">
        <f>Database!NSI14</f>
        <v>0</v>
      </c>
      <c r="NRQ6" s="44">
        <f>Database!NSJ14</f>
        <v>0</v>
      </c>
      <c r="NRR6" s="44">
        <f>Database!NSK14</f>
        <v>0</v>
      </c>
      <c r="NRS6" s="44">
        <f>Database!NSL14</f>
        <v>0</v>
      </c>
      <c r="NRT6" s="44">
        <f>Database!NSM14</f>
        <v>0</v>
      </c>
      <c r="NRU6" s="44">
        <f>Database!NSN14</f>
        <v>0</v>
      </c>
      <c r="NRV6" s="44">
        <f>Database!NSO14</f>
        <v>0</v>
      </c>
      <c r="NRW6" s="44">
        <f>Database!NSP14</f>
        <v>0</v>
      </c>
      <c r="NRX6" s="44">
        <f>Database!NSQ14</f>
        <v>0</v>
      </c>
      <c r="NRY6" s="44">
        <f>Database!NSR14</f>
        <v>0</v>
      </c>
      <c r="NRZ6" s="44">
        <f>Database!NSS14</f>
        <v>0</v>
      </c>
      <c r="NSA6" s="44">
        <f>Database!NST14</f>
        <v>0</v>
      </c>
      <c r="NSB6" s="44">
        <f>Database!NSU14</f>
        <v>0</v>
      </c>
      <c r="NSC6" s="44">
        <f>Database!NSV14</f>
        <v>0</v>
      </c>
      <c r="NSD6" s="44">
        <f>Database!NSW14</f>
        <v>0</v>
      </c>
      <c r="NSE6" s="44">
        <f>Database!NSX14</f>
        <v>0</v>
      </c>
      <c r="NSF6" s="44">
        <f>Database!NSY14</f>
        <v>0</v>
      </c>
      <c r="NSG6" s="44">
        <f>Database!NSZ14</f>
        <v>0</v>
      </c>
      <c r="NSH6" s="44">
        <f>Database!NTA14</f>
        <v>0</v>
      </c>
      <c r="NSI6" s="44">
        <f>Database!NTB14</f>
        <v>0</v>
      </c>
      <c r="NSJ6" s="44">
        <f>Database!NTC14</f>
        <v>0</v>
      </c>
      <c r="NSK6" s="44">
        <f>Database!NTD14</f>
        <v>0</v>
      </c>
      <c r="NSL6" s="44">
        <f>Database!NTE14</f>
        <v>0</v>
      </c>
      <c r="NSM6" s="44">
        <f>Database!NTF14</f>
        <v>0</v>
      </c>
      <c r="NSN6" s="44">
        <f>Database!NTG14</f>
        <v>0</v>
      </c>
      <c r="NSO6" s="44">
        <f>Database!NTH14</f>
        <v>0</v>
      </c>
      <c r="NSP6" s="44">
        <f>Database!NTI14</f>
        <v>0</v>
      </c>
      <c r="NSQ6" s="44">
        <f>Database!NTJ14</f>
        <v>0</v>
      </c>
      <c r="NSR6" s="44">
        <f>Database!NTK14</f>
        <v>0</v>
      </c>
      <c r="NSS6" s="44">
        <f>Database!NTL14</f>
        <v>0</v>
      </c>
      <c r="NST6" s="44">
        <f>Database!NTM14</f>
        <v>0</v>
      </c>
      <c r="NSU6" s="44">
        <f>Database!NTN14</f>
        <v>0</v>
      </c>
      <c r="NSV6" s="44">
        <f>Database!NTO14</f>
        <v>0</v>
      </c>
      <c r="NSW6" s="44">
        <f>Database!NTP14</f>
        <v>0</v>
      </c>
      <c r="NSX6" s="44">
        <f>Database!NTQ14</f>
        <v>0</v>
      </c>
      <c r="NSY6" s="44">
        <f>Database!NTR14</f>
        <v>0</v>
      </c>
      <c r="NSZ6" s="44">
        <f>Database!NTS14</f>
        <v>0</v>
      </c>
      <c r="NTA6" s="44">
        <f>Database!NTT14</f>
        <v>0</v>
      </c>
      <c r="NTB6" s="44">
        <f>Database!NTU14</f>
        <v>0</v>
      </c>
      <c r="NTC6" s="44">
        <f>Database!NTV14</f>
        <v>0</v>
      </c>
      <c r="NTD6" s="44">
        <f>Database!NTW14</f>
        <v>0</v>
      </c>
      <c r="NTE6" s="44">
        <f>Database!NTX14</f>
        <v>0</v>
      </c>
      <c r="NTF6" s="44">
        <f>Database!NTY14</f>
        <v>0</v>
      </c>
      <c r="NTG6" s="44">
        <f>Database!NTZ14</f>
        <v>0</v>
      </c>
      <c r="NTH6" s="44">
        <f>Database!NUA14</f>
        <v>0</v>
      </c>
      <c r="NTI6" s="44">
        <f>Database!NUB14</f>
        <v>0</v>
      </c>
      <c r="NTJ6" s="44">
        <f>Database!NUC14</f>
        <v>0</v>
      </c>
      <c r="NTK6" s="44">
        <f>Database!NUD14</f>
        <v>0</v>
      </c>
      <c r="NTL6" s="44">
        <f>Database!NUE14</f>
        <v>0</v>
      </c>
      <c r="NTM6" s="44">
        <f>Database!NUF14</f>
        <v>0</v>
      </c>
      <c r="NTN6" s="44">
        <f>Database!NUG14</f>
        <v>0</v>
      </c>
      <c r="NTO6" s="44">
        <f>Database!NUH14</f>
        <v>0</v>
      </c>
      <c r="NTP6" s="44">
        <f>Database!NUI14</f>
        <v>0</v>
      </c>
      <c r="NTQ6" s="44">
        <f>Database!NUJ14</f>
        <v>0</v>
      </c>
      <c r="NTR6" s="44">
        <f>Database!NUK14</f>
        <v>0</v>
      </c>
      <c r="NTS6" s="44">
        <f>Database!NUL14</f>
        <v>0</v>
      </c>
      <c r="NTT6" s="44">
        <f>Database!NUM14</f>
        <v>0</v>
      </c>
      <c r="NTU6" s="44">
        <f>Database!NUN14</f>
        <v>0</v>
      </c>
      <c r="NTV6" s="44">
        <f>Database!NUO14</f>
        <v>0</v>
      </c>
      <c r="NTW6" s="44">
        <f>Database!NUP14</f>
        <v>0</v>
      </c>
      <c r="NTX6" s="44">
        <f>Database!NUQ14</f>
        <v>0</v>
      </c>
      <c r="NTY6" s="44">
        <f>Database!NUR14</f>
        <v>0</v>
      </c>
      <c r="NTZ6" s="44">
        <f>Database!NUS14</f>
        <v>0</v>
      </c>
      <c r="NUA6" s="44">
        <f>Database!NUT14</f>
        <v>0</v>
      </c>
      <c r="NUB6" s="44">
        <f>Database!NUU14</f>
        <v>0</v>
      </c>
      <c r="NUC6" s="44">
        <f>Database!NUV14</f>
        <v>0</v>
      </c>
      <c r="NUD6" s="44">
        <f>Database!NUW14</f>
        <v>0</v>
      </c>
      <c r="NUE6" s="44">
        <f>Database!NUX14</f>
        <v>0</v>
      </c>
      <c r="NUF6" s="44">
        <f>Database!NUY14</f>
        <v>0</v>
      </c>
      <c r="NUG6" s="44">
        <f>Database!NUZ14</f>
        <v>0</v>
      </c>
      <c r="NUH6" s="44">
        <f>Database!NVA14</f>
        <v>0</v>
      </c>
      <c r="NUI6" s="44">
        <f>Database!NVB14</f>
        <v>0</v>
      </c>
      <c r="NUJ6" s="44">
        <f>Database!NVC14</f>
        <v>0</v>
      </c>
      <c r="NUK6" s="44">
        <f>Database!NVD14</f>
        <v>0</v>
      </c>
      <c r="NUL6" s="44">
        <f>Database!NVE14</f>
        <v>0</v>
      </c>
      <c r="NUM6" s="44">
        <f>Database!NVF14</f>
        <v>0</v>
      </c>
      <c r="NUN6" s="44">
        <f>Database!NVG14</f>
        <v>0</v>
      </c>
      <c r="NUO6" s="44">
        <f>Database!NVH14</f>
        <v>0</v>
      </c>
      <c r="NUP6" s="44">
        <f>Database!NVI14</f>
        <v>0</v>
      </c>
      <c r="NUQ6" s="44">
        <f>Database!NVJ14</f>
        <v>0</v>
      </c>
      <c r="NUR6" s="44">
        <f>Database!NVK14</f>
        <v>0</v>
      </c>
      <c r="NUS6" s="44">
        <f>Database!NVL14</f>
        <v>0</v>
      </c>
      <c r="NUT6" s="44">
        <f>Database!NVM14</f>
        <v>0</v>
      </c>
      <c r="NUU6" s="44">
        <f>Database!NVN14</f>
        <v>0</v>
      </c>
      <c r="NUV6" s="44">
        <f>Database!NVO14</f>
        <v>0</v>
      </c>
      <c r="NUW6" s="44">
        <f>Database!NVP14</f>
        <v>0</v>
      </c>
      <c r="NUX6" s="44">
        <f>Database!NVQ14</f>
        <v>0</v>
      </c>
      <c r="NUY6" s="44">
        <f>Database!NVR14</f>
        <v>0</v>
      </c>
      <c r="NUZ6" s="44">
        <f>Database!NVS14</f>
        <v>0</v>
      </c>
      <c r="NVA6" s="44">
        <f>Database!NVT14</f>
        <v>0</v>
      </c>
      <c r="NVB6" s="44">
        <f>Database!NVU14</f>
        <v>0</v>
      </c>
      <c r="NVC6" s="44">
        <f>Database!NVV14</f>
        <v>0</v>
      </c>
      <c r="NVD6" s="44">
        <f>Database!NVW14</f>
        <v>0</v>
      </c>
      <c r="NVE6" s="44">
        <f>Database!NVX14</f>
        <v>0</v>
      </c>
      <c r="NVF6" s="44">
        <f>Database!NVY14</f>
        <v>0</v>
      </c>
      <c r="NVG6" s="44">
        <f>Database!NVZ14</f>
        <v>0</v>
      </c>
      <c r="NVH6" s="44">
        <f>Database!NWA14</f>
        <v>0</v>
      </c>
      <c r="NVI6" s="44">
        <f>Database!NWB14</f>
        <v>0</v>
      </c>
      <c r="NVJ6" s="44">
        <f>Database!NWC14</f>
        <v>0</v>
      </c>
      <c r="NVK6" s="44">
        <f>Database!NWD14</f>
        <v>0</v>
      </c>
      <c r="NVL6" s="44">
        <f>Database!NWE14</f>
        <v>0</v>
      </c>
      <c r="NVM6" s="44">
        <f>Database!NWF14</f>
        <v>0</v>
      </c>
      <c r="NVN6" s="44">
        <f>Database!NWG14</f>
        <v>0</v>
      </c>
      <c r="NVO6" s="44">
        <f>Database!NWH14</f>
        <v>0</v>
      </c>
      <c r="NVP6" s="44">
        <f>Database!NWI14</f>
        <v>0</v>
      </c>
      <c r="NVQ6" s="44">
        <f>Database!NWJ14</f>
        <v>0</v>
      </c>
      <c r="NVR6" s="44">
        <f>Database!NWK14</f>
        <v>0</v>
      </c>
      <c r="NVS6" s="44">
        <f>Database!NWL14</f>
        <v>0</v>
      </c>
      <c r="NVT6" s="44">
        <f>Database!NWM14</f>
        <v>0</v>
      </c>
      <c r="NVU6" s="44">
        <f>Database!NWN14</f>
        <v>0</v>
      </c>
      <c r="NVV6" s="44">
        <f>Database!NWO14</f>
        <v>0</v>
      </c>
      <c r="NVW6" s="44">
        <f>Database!NWP14</f>
        <v>0</v>
      </c>
      <c r="NVX6" s="44">
        <f>Database!NWQ14</f>
        <v>0</v>
      </c>
      <c r="NVY6" s="44">
        <f>Database!NWR14</f>
        <v>0</v>
      </c>
      <c r="NVZ6" s="44">
        <f>Database!NWS14</f>
        <v>0</v>
      </c>
      <c r="NWA6" s="44">
        <f>Database!NWT14</f>
        <v>0</v>
      </c>
      <c r="NWB6" s="44">
        <f>Database!NWU14</f>
        <v>0</v>
      </c>
      <c r="NWC6" s="44">
        <f>Database!NWV14</f>
        <v>0</v>
      </c>
      <c r="NWD6" s="44">
        <f>Database!NWW14</f>
        <v>0</v>
      </c>
      <c r="NWE6" s="44">
        <f>Database!NWX14</f>
        <v>0</v>
      </c>
      <c r="NWF6" s="44">
        <f>Database!NWY14</f>
        <v>0</v>
      </c>
      <c r="NWG6" s="44">
        <f>Database!NWZ14</f>
        <v>0</v>
      </c>
      <c r="NWH6" s="44">
        <f>Database!NXA14</f>
        <v>0</v>
      </c>
      <c r="NWI6" s="44">
        <f>Database!NXB14</f>
        <v>0</v>
      </c>
      <c r="NWJ6" s="44">
        <f>Database!NXC14</f>
        <v>0</v>
      </c>
      <c r="NWK6" s="44">
        <f>Database!NXD14</f>
        <v>0</v>
      </c>
      <c r="NWL6" s="44">
        <f>Database!NXE14</f>
        <v>0</v>
      </c>
      <c r="NWM6" s="44">
        <f>Database!NXF14</f>
        <v>0</v>
      </c>
      <c r="NWN6" s="44">
        <f>Database!NXG14</f>
        <v>0</v>
      </c>
      <c r="NWO6" s="44">
        <f>Database!NXH14</f>
        <v>0</v>
      </c>
      <c r="NWP6" s="44">
        <f>Database!NXI14</f>
        <v>0</v>
      </c>
      <c r="NWQ6" s="44">
        <f>Database!NXJ14</f>
        <v>0</v>
      </c>
      <c r="NWR6" s="44">
        <f>Database!NXK14</f>
        <v>0</v>
      </c>
      <c r="NWS6" s="44">
        <f>Database!NXL14</f>
        <v>0</v>
      </c>
      <c r="NWT6" s="44">
        <f>Database!NXM14</f>
        <v>0</v>
      </c>
      <c r="NWU6" s="44">
        <f>Database!NXN14</f>
        <v>0</v>
      </c>
      <c r="NWV6" s="44">
        <f>Database!NXO14</f>
        <v>0</v>
      </c>
      <c r="NWW6" s="44">
        <f>Database!NXP14</f>
        <v>0</v>
      </c>
      <c r="NWX6" s="44">
        <f>Database!NXQ14</f>
        <v>0</v>
      </c>
      <c r="NWY6" s="44">
        <f>Database!NXR14</f>
        <v>0</v>
      </c>
      <c r="NWZ6" s="44">
        <f>Database!NXS14</f>
        <v>0</v>
      </c>
      <c r="NXA6" s="44">
        <f>Database!NXT14</f>
        <v>0</v>
      </c>
      <c r="NXB6" s="44">
        <f>Database!NXU14</f>
        <v>0</v>
      </c>
      <c r="NXC6" s="44">
        <f>Database!NXV14</f>
        <v>0</v>
      </c>
      <c r="NXD6" s="44">
        <f>Database!NXW14</f>
        <v>0</v>
      </c>
      <c r="NXE6" s="44">
        <f>Database!NXX14</f>
        <v>0</v>
      </c>
      <c r="NXF6" s="44">
        <f>Database!NXY14</f>
        <v>0</v>
      </c>
      <c r="NXG6" s="44">
        <f>Database!NXZ14</f>
        <v>0</v>
      </c>
      <c r="NXH6" s="44">
        <f>Database!NYA14</f>
        <v>0</v>
      </c>
      <c r="NXI6" s="44">
        <f>Database!NYB14</f>
        <v>0</v>
      </c>
      <c r="NXJ6" s="44">
        <f>Database!NYC14</f>
        <v>0</v>
      </c>
      <c r="NXK6" s="44">
        <f>Database!NYD14</f>
        <v>0</v>
      </c>
      <c r="NXL6" s="44">
        <f>Database!NYE14</f>
        <v>0</v>
      </c>
      <c r="NXM6" s="44">
        <f>Database!NYF14</f>
        <v>0</v>
      </c>
      <c r="NXN6" s="44">
        <f>Database!NYG14</f>
        <v>0</v>
      </c>
      <c r="NXO6" s="44">
        <f>Database!NYH14</f>
        <v>0</v>
      </c>
      <c r="NXP6" s="44">
        <f>Database!NYI14</f>
        <v>0</v>
      </c>
      <c r="NXQ6" s="44">
        <f>Database!NYJ14</f>
        <v>0</v>
      </c>
      <c r="NXR6" s="44">
        <f>Database!NYK14</f>
        <v>0</v>
      </c>
      <c r="NXS6" s="44">
        <f>Database!NYL14</f>
        <v>0</v>
      </c>
      <c r="NXT6" s="44">
        <f>Database!NYM14</f>
        <v>0</v>
      </c>
      <c r="NXU6" s="44">
        <f>Database!NYN14</f>
        <v>0</v>
      </c>
      <c r="NXV6" s="44">
        <f>Database!NYO14</f>
        <v>0</v>
      </c>
      <c r="NXW6" s="44">
        <f>Database!NYP14</f>
        <v>0</v>
      </c>
      <c r="NXX6" s="44">
        <f>Database!NYQ14</f>
        <v>0</v>
      </c>
      <c r="NXY6" s="44">
        <f>Database!NYR14</f>
        <v>0</v>
      </c>
      <c r="NXZ6" s="44">
        <f>Database!NYS14</f>
        <v>0</v>
      </c>
      <c r="NYA6" s="44">
        <f>Database!NYT14</f>
        <v>0</v>
      </c>
      <c r="NYB6" s="44">
        <f>Database!NYU14</f>
        <v>0</v>
      </c>
      <c r="NYC6" s="44">
        <f>Database!NYV14</f>
        <v>0</v>
      </c>
      <c r="NYD6" s="44">
        <f>Database!NYW14</f>
        <v>0</v>
      </c>
      <c r="NYE6" s="44">
        <f>Database!NYX14</f>
        <v>0</v>
      </c>
      <c r="NYF6" s="44">
        <f>Database!NYY14</f>
        <v>0</v>
      </c>
      <c r="NYG6" s="44">
        <f>Database!NYZ14</f>
        <v>0</v>
      </c>
      <c r="NYH6" s="44">
        <f>Database!NZA14</f>
        <v>0</v>
      </c>
      <c r="NYI6" s="44">
        <f>Database!NZB14</f>
        <v>0</v>
      </c>
      <c r="NYJ6" s="44">
        <f>Database!NZC14</f>
        <v>0</v>
      </c>
      <c r="NYK6" s="44">
        <f>Database!NZD14</f>
        <v>0</v>
      </c>
      <c r="NYL6" s="44">
        <f>Database!NZE14</f>
        <v>0</v>
      </c>
      <c r="NYM6" s="44">
        <f>Database!NZF14</f>
        <v>0</v>
      </c>
      <c r="NYN6" s="44">
        <f>Database!NZG14</f>
        <v>0</v>
      </c>
      <c r="NYO6" s="44">
        <f>Database!NZH14</f>
        <v>0</v>
      </c>
      <c r="NYP6" s="44">
        <f>Database!NZI14</f>
        <v>0</v>
      </c>
      <c r="NYQ6" s="44">
        <f>Database!NZJ14</f>
        <v>0</v>
      </c>
      <c r="NYR6" s="44">
        <f>Database!NZK14</f>
        <v>0</v>
      </c>
      <c r="NYS6" s="44">
        <f>Database!NZL14</f>
        <v>0</v>
      </c>
      <c r="NYT6" s="44">
        <f>Database!NZM14</f>
        <v>0</v>
      </c>
      <c r="NYU6" s="44">
        <f>Database!NZN14</f>
        <v>0</v>
      </c>
      <c r="NYV6" s="44">
        <f>Database!NZO14</f>
        <v>0</v>
      </c>
      <c r="NYW6" s="44">
        <f>Database!NZP14</f>
        <v>0</v>
      </c>
      <c r="NYX6" s="44">
        <f>Database!NZQ14</f>
        <v>0</v>
      </c>
      <c r="NYY6" s="44">
        <f>Database!NZR14</f>
        <v>0</v>
      </c>
      <c r="NYZ6" s="44">
        <f>Database!NZS14</f>
        <v>0</v>
      </c>
      <c r="NZA6" s="44">
        <f>Database!NZT14</f>
        <v>0</v>
      </c>
      <c r="NZB6" s="44">
        <f>Database!NZU14</f>
        <v>0</v>
      </c>
      <c r="NZC6" s="44">
        <f>Database!NZV14</f>
        <v>0</v>
      </c>
      <c r="NZD6" s="44">
        <f>Database!NZW14</f>
        <v>0</v>
      </c>
      <c r="NZE6" s="44">
        <f>Database!NZX14</f>
        <v>0</v>
      </c>
      <c r="NZF6" s="44">
        <f>Database!NZY14</f>
        <v>0</v>
      </c>
      <c r="NZG6" s="44">
        <f>Database!NZZ14</f>
        <v>0</v>
      </c>
      <c r="NZH6" s="44">
        <f>Database!OAA14</f>
        <v>0</v>
      </c>
      <c r="NZI6" s="44">
        <f>Database!OAB14</f>
        <v>0</v>
      </c>
      <c r="NZJ6" s="44">
        <f>Database!OAC14</f>
        <v>0</v>
      </c>
      <c r="NZK6" s="44">
        <f>Database!OAD14</f>
        <v>0</v>
      </c>
      <c r="NZL6" s="44">
        <f>Database!OAE14</f>
        <v>0</v>
      </c>
      <c r="NZM6" s="44">
        <f>Database!OAF14</f>
        <v>0</v>
      </c>
      <c r="NZN6" s="44">
        <f>Database!OAG14</f>
        <v>0</v>
      </c>
      <c r="NZO6" s="44">
        <f>Database!OAH14</f>
        <v>0</v>
      </c>
      <c r="NZP6" s="44">
        <f>Database!OAI14</f>
        <v>0</v>
      </c>
      <c r="NZQ6" s="44">
        <f>Database!OAJ14</f>
        <v>0</v>
      </c>
      <c r="NZR6" s="44">
        <f>Database!OAK14</f>
        <v>0</v>
      </c>
      <c r="NZS6" s="44">
        <f>Database!OAL14</f>
        <v>0</v>
      </c>
      <c r="NZT6" s="44">
        <f>Database!OAM14</f>
        <v>0</v>
      </c>
      <c r="NZU6" s="44">
        <f>Database!OAN14</f>
        <v>0</v>
      </c>
      <c r="NZV6" s="44">
        <f>Database!OAO14</f>
        <v>0</v>
      </c>
      <c r="NZW6" s="44">
        <f>Database!OAP14</f>
        <v>0</v>
      </c>
      <c r="NZX6" s="44">
        <f>Database!OAQ14</f>
        <v>0</v>
      </c>
      <c r="NZY6" s="44">
        <f>Database!OAR14</f>
        <v>0</v>
      </c>
      <c r="NZZ6" s="44">
        <f>Database!OAS14</f>
        <v>0</v>
      </c>
      <c r="OAA6" s="44">
        <f>Database!OAT14</f>
        <v>0</v>
      </c>
      <c r="OAB6" s="44">
        <f>Database!OAU14</f>
        <v>0</v>
      </c>
      <c r="OAC6" s="44">
        <f>Database!OAV14</f>
        <v>0</v>
      </c>
      <c r="OAD6" s="44">
        <f>Database!OAW14</f>
        <v>0</v>
      </c>
      <c r="OAE6" s="44">
        <f>Database!OAX14</f>
        <v>0</v>
      </c>
      <c r="OAF6" s="44">
        <f>Database!OAY14</f>
        <v>0</v>
      </c>
      <c r="OAG6" s="44">
        <f>Database!OAZ14</f>
        <v>0</v>
      </c>
      <c r="OAH6" s="44">
        <f>Database!OBA14</f>
        <v>0</v>
      </c>
      <c r="OAI6" s="44">
        <f>Database!OBB14</f>
        <v>0</v>
      </c>
      <c r="OAJ6" s="44">
        <f>Database!OBC14</f>
        <v>0</v>
      </c>
      <c r="OAK6" s="44">
        <f>Database!OBD14</f>
        <v>0</v>
      </c>
      <c r="OAL6" s="44">
        <f>Database!OBE14</f>
        <v>0</v>
      </c>
      <c r="OAM6" s="44">
        <f>Database!OBF14</f>
        <v>0</v>
      </c>
      <c r="OAN6" s="44">
        <f>Database!OBG14</f>
        <v>0</v>
      </c>
      <c r="OAO6" s="44">
        <f>Database!OBH14</f>
        <v>0</v>
      </c>
      <c r="OAP6" s="44">
        <f>Database!OBI14</f>
        <v>0</v>
      </c>
      <c r="OAQ6" s="44">
        <f>Database!OBJ14</f>
        <v>0</v>
      </c>
      <c r="OAR6" s="44">
        <f>Database!OBK14</f>
        <v>0</v>
      </c>
      <c r="OAS6" s="44">
        <f>Database!OBL14</f>
        <v>0</v>
      </c>
      <c r="OAT6" s="44">
        <f>Database!OBM14</f>
        <v>0</v>
      </c>
      <c r="OAU6" s="44">
        <f>Database!OBN14</f>
        <v>0</v>
      </c>
      <c r="OAV6" s="44">
        <f>Database!OBO14</f>
        <v>0</v>
      </c>
      <c r="OAW6" s="44">
        <f>Database!OBP14</f>
        <v>0</v>
      </c>
      <c r="OAX6" s="44">
        <f>Database!OBQ14</f>
        <v>0</v>
      </c>
      <c r="OAY6" s="44">
        <f>Database!OBR14</f>
        <v>0</v>
      </c>
      <c r="OAZ6" s="44">
        <f>Database!OBS14</f>
        <v>0</v>
      </c>
      <c r="OBA6" s="44">
        <f>Database!OBT14</f>
        <v>0</v>
      </c>
      <c r="OBB6" s="44">
        <f>Database!OBU14</f>
        <v>0</v>
      </c>
      <c r="OBC6" s="44">
        <f>Database!OBV14</f>
        <v>0</v>
      </c>
      <c r="OBD6" s="44">
        <f>Database!OBW14</f>
        <v>0</v>
      </c>
      <c r="OBE6" s="44">
        <f>Database!OBX14</f>
        <v>0</v>
      </c>
      <c r="OBF6" s="44">
        <f>Database!OBY14</f>
        <v>0</v>
      </c>
      <c r="OBG6" s="44">
        <f>Database!OBZ14</f>
        <v>0</v>
      </c>
      <c r="OBH6" s="44">
        <f>Database!OCA14</f>
        <v>0</v>
      </c>
      <c r="OBI6" s="44">
        <f>Database!OCB14</f>
        <v>0</v>
      </c>
      <c r="OBJ6" s="44">
        <f>Database!OCC14</f>
        <v>0</v>
      </c>
      <c r="OBK6" s="44">
        <f>Database!OCD14</f>
        <v>0</v>
      </c>
      <c r="OBL6" s="44">
        <f>Database!OCE14</f>
        <v>0</v>
      </c>
      <c r="OBM6" s="44">
        <f>Database!OCF14</f>
        <v>0</v>
      </c>
      <c r="OBN6" s="44">
        <f>Database!OCG14</f>
        <v>0</v>
      </c>
      <c r="OBO6" s="44">
        <f>Database!OCH14</f>
        <v>0</v>
      </c>
      <c r="OBP6" s="44">
        <f>Database!OCI14</f>
        <v>0</v>
      </c>
      <c r="OBQ6" s="44">
        <f>Database!OCJ14</f>
        <v>0</v>
      </c>
      <c r="OBR6" s="44">
        <f>Database!OCK14</f>
        <v>0</v>
      </c>
      <c r="OBS6" s="44">
        <f>Database!OCL14</f>
        <v>0</v>
      </c>
      <c r="OBT6" s="44">
        <f>Database!OCM14</f>
        <v>0</v>
      </c>
      <c r="OBU6" s="44">
        <f>Database!OCN14</f>
        <v>0</v>
      </c>
      <c r="OBV6" s="44">
        <f>Database!OCO14</f>
        <v>0</v>
      </c>
      <c r="OBW6" s="44">
        <f>Database!OCP14</f>
        <v>0</v>
      </c>
      <c r="OBX6" s="44">
        <f>Database!OCQ14</f>
        <v>0</v>
      </c>
      <c r="OBY6" s="44">
        <f>Database!OCR14</f>
        <v>0</v>
      </c>
      <c r="OBZ6" s="44">
        <f>Database!OCS14</f>
        <v>0</v>
      </c>
      <c r="OCA6" s="44">
        <f>Database!OCT14</f>
        <v>0</v>
      </c>
      <c r="OCB6" s="44">
        <f>Database!OCU14</f>
        <v>0</v>
      </c>
      <c r="OCC6" s="44">
        <f>Database!OCV14</f>
        <v>0</v>
      </c>
      <c r="OCD6" s="44">
        <f>Database!OCW14</f>
        <v>0</v>
      </c>
      <c r="OCE6" s="44">
        <f>Database!OCX14</f>
        <v>0</v>
      </c>
      <c r="OCF6" s="44">
        <f>Database!OCY14</f>
        <v>0</v>
      </c>
      <c r="OCG6" s="44">
        <f>Database!OCZ14</f>
        <v>0</v>
      </c>
      <c r="OCH6" s="44">
        <f>Database!ODA14</f>
        <v>0</v>
      </c>
      <c r="OCI6" s="44">
        <f>Database!ODB14</f>
        <v>0</v>
      </c>
      <c r="OCJ6" s="44">
        <f>Database!ODC14</f>
        <v>0</v>
      </c>
      <c r="OCK6" s="44">
        <f>Database!ODD14</f>
        <v>0</v>
      </c>
      <c r="OCL6" s="44">
        <f>Database!ODE14</f>
        <v>0</v>
      </c>
      <c r="OCM6" s="44">
        <f>Database!ODF14</f>
        <v>0</v>
      </c>
      <c r="OCN6" s="44">
        <f>Database!ODG14</f>
        <v>0</v>
      </c>
      <c r="OCO6" s="44">
        <f>Database!ODH14</f>
        <v>0</v>
      </c>
      <c r="OCP6" s="44">
        <f>Database!ODI14</f>
        <v>0</v>
      </c>
      <c r="OCQ6" s="44">
        <f>Database!ODJ14</f>
        <v>0</v>
      </c>
      <c r="OCR6" s="44">
        <f>Database!ODK14</f>
        <v>0</v>
      </c>
      <c r="OCS6" s="44">
        <f>Database!ODL14</f>
        <v>0</v>
      </c>
      <c r="OCT6" s="44">
        <f>Database!ODM14</f>
        <v>0</v>
      </c>
      <c r="OCU6" s="44">
        <f>Database!ODN14</f>
        <v>0</v>
      </c>
      <c r="OCV6" s="44">
        <f>Database!ODO14</f>
        <v>0</v>
      </c>
      <c r="OCW6" s="44">
        <f>Database!ODP14</f>
        <v>0</v>
      </c>
      <c r="OCX6" s="44">
        <f>Database!ODQ14</f>
        <v>0</v>
      </c>
      <c r="OCY6" s="44">
        <f>Database!ODR14</f>
        <v>0</v>
      </c>
      <c r="OCZ6" s="44">
        <f>Database!ODS14</f>
        <v>0</v>
      </c>
      <c r="ODA6" s="44">
        <f>Database!ODT14</f>
        <v>0</v>
      </c>
      <c r="ODB6" s="44">
        <f>Database!ODU14</f>
        <v>0</v>
      </c>
      <c r="ODC6" s="44">
        <f>Database!ODV14</f>
        <v>0</v>
      </c>
      <c r="ODD6" s="44">
        <f>Database!ODW14</f>
        <v>0</v>
      </c>
      <c r="ODE6" s="44">
        <f>Database!ODX14</f>
        <v>0</v>
      </c>
      <c r="ODF6" s="44">
        <f>Database!ODY14</f>
        <v>0</v>
      </c>
      <c r="ODG6" s="44">
        <f>Database!ODZ14</f>
        <v>0</v>
      </c>
      <c r="ODH6" s="44">
        <f>Database!OEA14</f>
        <v>0</v>
      </c>
      <c r="ODI6" s="44">
        <f>Database!OEB14</f>
        <v>0</v>
      </c>
      <c r="ODJ6" s="44">
        <f>Database!OEC14</f>
        <v>0</v>
      </c>
      <c r="ODK6" s="44">
        <f>Database!OED14</f>
        <v>0</v>
      </c>
      <c r="ODL6" s="44">
        <f>Database!OEE14</f>
        <v>0</v>
      </c>
      <c r="ODM6" s="44">
        <f>Database!OEF14</f>
        <v>0</v>
      </c>
      <c r="ODN6" s="44">
        <f>Database!OEG14</f>
        <v>0</v>
      </c>
      <c r="ODO6" s="44">
        <f>Database!OEH14</f>
        <v>0</v>
      </c>
      <c r="ODP6" s="44">
        <f>Database!OEI14</f>
        <v>0</v>
      </c>
      <c r="ODQ6" s="44">
        <f>Database!OEJ14</f>
        <v>0</v>
      </c>
      <c r="ODR6" s="44">
        <f>Database!OEK14</f>
        <v>0</v>
      </c>
      <c r="ODS6" s="44">
        <f>Database!OEL14</f>
        <v>0</v>
      </c>
      <c r="ODT6" s="44">
        <f>Database!OEM14</f>
        <v>0</v>
      </c>
      <c r="ODU6" s="44">
        <f>Database!OEN14</f>
        <v>0</v>
      </c>
      <c r="ODV6" s="44">
        <f>Database!OEO14</f>
        <v>0</v>
      </c>
      <c r="ODW6" s="44">
        <f>Database!OEP14</f>
        <v>0</v>
      </c>
      <c r="ODX6" s="44">
        <f>Database!OEQ14</f>
        <v>0</v>
      </c>
      <c r="ODY6" s="44">
        <f>Database!OER14</f>
        <v>0</v>
      </c>
      <c r="ODZ6" s="44">
        <f>Database!OES14</f>
        <v>0</v>
      </c>
      <c r="OEA6" s="44">
        <f>Database!OET14</f>
        <v>0</v>
      </c>
      <c r="OEB6" s="44">
        <f>Database!OEU14</f>
        <v>0</v>
      </c>
      <c r="OEC6" s="44">
        <f>Database!OEV14</f>
        <v>0</v>
      </c>
      <c r="OED6" s="44">
        <f>Database!OEW14</f>
        <v>0</v>
      </c>
      <c r="OEE6" s="44">
        <f>Database!OEX14</f>
        <v>0</v>
      </c>
      <c r="OEF6" s="44">
        <f>Database!OEY14</f>
        <v>0</v>
      </c>
      <c r="OEG6" s="44">
        <f>Database!OEZ14</f>
        <v>0</v>
      </c>
      <c r="OEH6" s="44">
        <f>Database!OFA14</f>
        <v>0</v>
      </c>
      <c r="OEI6" s="44">
        <f>Database!OFB14</f>
        <v>0</v>
      </c>
      <c r="OEJ6" s="44">
        <f>Database!OFC14</f>
        <v>0</v>
      </c>
      <c r="OEK6" s="44">
        <f>Database!OFD14</f>
        <v>0</v>
      </c>
      <c r="OEL6" s="44">
        <f>Database!OFE14</f>
        <v>0</v>
      </c>
      <c r="OEM6" s="44">
        <f>Database!OFF14</f>
        <v>0</v>
      </c>
      <c r="OEN6" s="44">
        <f>Database!OFG14</f>
        <v>0</v>
      </c>
      <c r="OEO6" s="44">
        <f>Database!OFH14</f>
        <v>0</v>
      </c>
      <c r="OEP6" s="44">
        <f>Database!OFI14</f>
        <v>0</v>
      </c>
      <c r="OEQ6" s="44">
        <f>Database!OFJ14</f>
        <v>0</v>
      </c>
      <c r="OER6" s="44">
        <f>Database!OFK14</f>
        <v>0</v>
      </c>
      <c r="OES6" s="44">
        <f>Database!OFL14</f>
        <v>0</v>
      </c>
      <c r="OET6" s="44">
        <f>Database!OFM14</f>
        <v>0</v>
      </c>
      <c r="OEU6" s="44">
        <f>Database!OFN14</f>
        <v>0</v>
      </c>
      <c r="OEV6" s="44">
        <f>Database!OFO14</f>
        <v>0</v>
      </c>
      <c r="OEW6" s="44">
        <f>Database!OFP14</f>
        <v>0</v>
      </c>
      <c r="OEX6" s="44">
        <f>Database!OFQ14</f>
        <v>0</v>
      </c>
      <c r="OEY6" s="44">
        <f>Database!OFR14</f>
        <v>0</v>
      </c>
      <c r="OEZ6" s="44">
        <f>Database!OFS14</f>
        <v>0</v>
      </c>
      <c r="OFA6" s="44">
        <f>Database!OFT14</f>
        <v>0</v>
      </c>
      <c r="OFB6" s="44">
        <f>Database!OFU14</f>
        <v>0</v>
      </c>
      <c r="OFC6" s="44">
        <f>Database!OFV14</f>
        <v>0</v>
      </c>
      <c r="OFD6" s="44">
        <f>Database!OFW14</f>
        <v>0</v>
      </c>
      <c r="OFE6" s="44">
        <f>Database!OFX14</f>
        <v>0</v>
      </c>
      <c r="OFF6" s="44">
        <f>Database!OFY14</f>
        <v>0</v>
      </c>
      <c r="OFG6" s="44">
        <f>Database!OFZ14</f>
        <v>0</v>
      </c>
      <c r="OFH6" s="44">
        <f>Database!OGA14</f>
        <v>0</v>
      </c>
      <c r="OFI6" s="44">
        <f>Database!OGB14</f>
        <v>0</v>
      </c>
      <c r="OFJ6" s="44">
        <f>Database!OGC14</f>
        <v>0</v>
      </c>
      <c r="OFK6" s="44">
        <f>Database!OGD14</f>
        <v>0</v>
      </c>
      <c r="OFL6" s="44">
        <f>Database!OGE14</f>
        <v>0</v>
      </c>
      <c r="OFM6" s="44">
        <f>Database!OGF14</f>
        <v>0</v>
      </c>
      <c r="OFN6" s="44">
        <f>Database!OGG14</f>
        <v>0</v>
      </c>
      <c r="OFO6" s="44">
        <f>Database!OGH14</f>
        <v>0</v>
      </c>
      <c r="OFP6" s="44">
        <f>Database!OGI14</f>
        <v>0</v>
      </c>
      <c r="OFQ6" s="44">
        <f>Database!OGJ14</f>
        <v>0</v>
      </c>
      <c r="OFR6" s="44">
        <f>Database!OGK14</f>
        <v>0</v>
      </c>
      <c r="OFS6" s="44">
        <f>Database!OGL14</f>
        <v>0</v>
      </c>
      <c r="OFT6" s="44">
        <f>Database!OGM14</f>
        <v>0</v>
      </c>
      <c r="OFU6" s="44">
        <f>Database!OGN14</f>
        <v>0</v>
      </c>
      <c r="OFV6" s="44">
        <f>Database!OGO14</f>
        <v>0</v>
      </c>
      <c r="OFW6" s="44">
        <f>Database!OGP14</f>
        <v>0</v>
      </c>
      <c r="OFX6" s="44">
        <f>Database!OGQ14</f>
        <v>0</v>
      </c>
      <c r="OFY6" s="44">
        <f>Database!OGR14</f>
        <v>0</v>
      </c>
      <c r="OFZ6" s="44">
        <f>Database!OGS14</f>
        <v>0</v>
      </c>
      <c r="OGA6" s="44">
        <f>Database!OGT14</f>
        <v>0</v>
      </c>
      <c r="OGB6" s="44">
        <f>Database!OGU14</f>
        <v>0</v>
      </c>
      <c r="OGC6" s="44">
        <f>Database!OGV14</f>
        <v>0</v>
      </c>
      <c r="OGD6" s="44">
        <f>Database!OGW14</f>
        <v>0</v>
      </c>
      <c r="OGE6" s="44">
        <f>Database!OGX14</f>
        <v>0</v>
      </c>
      <c r="OGF6" s="44">
        <f>Database!OGY14</f>
        <v>0</v>
      </c>
      <c r="OGG6" s="44">
        <f>Database!OGZ14</f>
        <v>0</v>
      </c>
      <c r="OGH6" s="44">
        <f>Database!OHA14</f>
        <v>0</v>
      </c>
      <c r="OGI6" s="44">
        <f>Database!OHB14</f>
        <v>0</v>
      </c>
      <c r="OGJ6" s="44">
        <f>Database!OHC14</f>
        <v>0</v>
      </c>
      <c r="OGK6" s="44">
        <f>Database!OHD14</f>
        <v>0</v>
      </c>
      <c r="OGL6" s="44">
        <f>Database!OHE14</f>
        <v>0</v>
      </c>
      <c r="OGM6" s="44">
        <f>Database!OHF14</f>
        <v>0</v>
      </c>
      <c r="OGN6" s="44">
        <f>Database!OHG14</f>
        <v>0</v>
      </c>
      <c r="OGO6" s="44">
        <f>Database!OHH14</f>
        <v>0</v>
      </c>
      <c r="OGP6" s="44">
        <f>Database!OHI14</f>
        <v>0</v>
      </c>
      <c r="OGQ6" s="44">
        <f>Database!OHJ14</f>
        <v>0</v>
      </c>
      <c r="OGR6" s="44">
        <f>Database!OHK14</f>
        <v>0</v>
      </c>
      <c r="OGS6" s="44">
        <f>Database!OHL14</f>
        <v>0</v>
      </c>
      <c r="OGT6" s="44">
        <f>Database!OHM14</f>
        <v>0</v>
      </c>
      <c r="OGU6" s="44">
        <f>Database!OHN14</f>
        <v>0</v>
      </c>
      <c r="OGV6" s="44">
        <f>Database!OHO14</f>
        <v>0</v>
      </c>
      <c r="OGW6" s="44">
        <f>Database!OHP14</f>
        <v>0</v>
      </c>
      <c r="OGX6" s="44">
        <f>Database!OHQ14</f>
        <v>0</v>
      </c>
      <c r="OGY6" s="44">
        <f>Database!OHR14</f>
        <v>0</v>
      </c>
      <c r="OGZ6" s="44">
        <f>Database!OHS14</f>
        <v>0</v>
      </c>
      <c r="OHA6" s="44">
        <f>Database!OHT14</f>
        <v>0</v>
      </c>
      <c r="OHB6" s="44">
        <f>Database!OHU14</f>
        <v>0</v>
      </c>
      <c r="OHC6" s="44">
        <f>Database!OHV14</f>
        <v>0</v>
      </c>
      <c r="OHD6" s="44">
        <f>Database!OHW14</f>
        <v>0</v>
      </c>
      <c r="OHE6" s="44">
        <f>Database!OHX14</f>
        <v>0</v>
      </c>
      <c r="OHF6" s="44">
        <f>Database!OHY14</f>
        <v>0</v>
      </c>
      <c r="OHG6" s="44">
        <f>Database!OHZ14</f>
        <v>0</v>
      </c>
      <c r="OHH6" s="44">
        <f>Database!OIA14</f>
        <v>0</v>
      </c>
      <c r="OHI6" s="44">
        <f>Database!OIB14</f>
        <v>0</v>
      </c>
      <c r="OHJ6" s="44">
        <f>Database!OIC14</f>
        <v>0</v>
      </c>
      <c r="OHK6" s="44">
        <f>Database!OID14</f>
        <v>0</v>
      </c>
      <c r="OHL6" s="44">
        <f>Database!OIE14</f>
        <v>0</v>
      </c>
      <c r="OHM6" s="44">
        <f>Database!OIF14</f>
        <v>0</v>
      </c>
      <c r="OHN6" s="44">
        <f>Database!OIG14</f>
        <v>0</v>
      </c>
      <c r="OHO6" s="44">
        <f>Database!OIH14</f>
        <v>0</v>
      </c>
      <c r="OHP6" s="44">
        <f>Database!OII14</f>
        <v>0</v>
      </c>
      <c r="OHQ6" s="44">
        <f>Database!OIJ14</f>
        <v>0</v>
      </c>
      <c r="OHR6" s="44">
        <f>Database!OIK14</f>
        <v>0</v>
      </c>
      <c r="OHS6" s="44">
        <f>Database!OIL14</f>
        <v>0</v>
      </c>
      <c r="OHT6" s="44">
        <f>Database!OIM14</f>
        <v>0</v>
      </c>
      <c r="OHU6" s="44">
        <f>Database!OIN14</f>
        <v>0</v>
      </c>
      <c r="OHV6" s="44">
        <f>Database!OIO14</f>
        <v>0</v>
      </c>
      <c r="OHW6" s="44">
        <f>Database!OIP14</f>
        <v>0</v>
      </c>
      <c r="OHX6" s="44">
        <f>Database!OIQ14</f>
        <v>0</v>
      </c>
      <c r="OHY6" s="44">
        <f>Database!OIR14</f>
        <v>0</v>
      </c>
      <c r="OHZ6" s="44">
        <f>Database!OIS14</f>
        <v>0</v>
      </c>
      <c r="OIA6" s="44">
        <f>Database!OIT14</f>
        <v>0</v>
      </c>
      <c r="OIB6" s="44">
        <f>Database!OIU14</f>
        <v>0</v>
      </c>
      <c r="OIC6" s="44">
        <f>Database!OIV14</f>
        <v>0</v>
      </c>
      <c r="OID6" s="44">
        <f>Database!OIW14</f>
        <v>0</v>
      </c>
      <c r="OIE6" s="44">
        <f>Database!OIX14</f>
        <v>0</v>
      </c>
      <c r="OIF6" s="44">
        <f>Database!OIY14</f>
        <v>0</v>
      </c>
      <c r="OIG6" s="44">
        <f>Database!OIZ14</f>
        <v>0</v>
      </c>
      <c r="OIH6" s="44">
        <f>Database!OJA14</f>
        <v>0</v>
      </c>
      <c r="OII6" s="44">
        <f>Database!OJB14</f>
        <v>0</v>
      </c>
      <c r="OIJ6" s="44">
        <f>Database!OJC14</f>
        <v>0</v>
      </c>
      <c r="OIK6" s="44">
        <f>Database!OJD14</f>
        <v>0</v>
      </c>
      <c r="OIL6" s="44">
        <f>Database!OJE14</f>
        <v>0</v>
      </c>
      <c r="OIM6" s="44">
        <f>Database!OJF14</f>
        <v>0</v>
      </c>
      <c r="OIN6" s="44">
        <f>Database!OJG14</f>
        <v>0</v>
      </c>
      <c r="OIO6" s="44">
        <f>Database!OJH14</f>
        <v>0</v>
      </c>
      <c r="OIP6" s="44">
        <f>Database!OJI14</f>
        <v>0</v>
      </c>
      <c r="OIQ6" s="44">
        <f>Database!OJJ14</f>
        <v>0</v>
      </c>
      <c r="OIR6" s="44">
        <f>Database!OJK14</f>
        <v>0</v>
      </c>
      <c r="OIS6" s="44">
        <f>Database!OJL14</f>
        <v>0</v>
      </c>
      <c r="OIT6" s="44">
        <f>Database!OJM14</f>
        <v>0</v>
      </c>
      <c r="OIU6" s="44">
        <f>Database!OJN14</f>
        <v>0</v>
      </c>
      <c r="OIV6" s="44">
        <f>Database!OJO14</f>
        <v>0</v>
      </c>
      <c r="OIW6" s="44">
        <f>Database!OJP14</f>
        <v>0</v>
      </c>
      <c r="OIX6" s="44">
        <f>Database!OJQ14</f>
        <v>0</v>
      </c>
      <c r="OIY6" s="44">
        <f>Database!OJR14</f>
        <v>0</v>
      </c>
      <c r="OIZ6" s="44">
        <f>Database!OJS14</f>
        <v>0</v>
      </c>
      <c r="OJA6" s="44">
        <f>Database!OJT14</f>
        <v>0</v>
      </c>
      <c r="OJB6" s="44">
        <f>Database!OJU14</f>
        <v>0</v>
      </c>
      <c r="OJC6" s="44">
        <f>Database!OJV14</f>
        <v>0</v>
      </c>
      <c r="OJD6" s="44">
        <f>Database!OJW14</f>
        <v>0</v>
      </c>
      <c r="OJE6" s="44">
        <f>Database!OJX14</f>
        <v>0</v>
      </c>
      <c r="OJF6" s="44">
        <f>Database!OJY14</f>
        <v>0</v>
      </c>
      <c r="OJG6" s="44">
        <f>Database!OJZ14</f>
        <v>0</v>
      </c>
      <c r="OJH6" s="44">
        <f>Database!OKA14</f>
        <v>0</v>
      </c>
      <c r="OJI6" s="44">
        <f>Database!OKB14</f>
        <v>0</v>
      </c>
      <c r="OJJ6" s="44">
        <f>Database!OKC14</f>
        <v>0</v>
      </c>
      <c r="OJK6" s="44">
        <f>Database!OKD14</f>
        <v>0</v>
      </c>
      <c r="OJL6" s="44">
        <f>Database!OKE14</f>
        <v>0</v>
      </c>
      <c r="OJM6" s="44">
        <f>Database!OKF14</f>
        <v>0</v>
      </c>
      <c r="OJN6" s="44">
        <f>Database!OKG14</f>
        <v>0</v>
      </c>
      <c r="OJO6" s="44">
        <f>Database!OKH14</f>
        <v>0</v>
      </c>
      <c r="OJP6" s="44">
        <f>Database!OKI14</f>
        <v>0</v>
      </c>
      <c r="OJQ6" s="44">
        <f>Database!OKJ14</f>
        <v>0</v>
      </c>
      <c r="OJR6" s="44">
        <f>Database!OKK14</f>
        <v>0</v>
      </c>
      <c r="OJS6" s="44">
        <f>Database!OKL14</f>
        <v>0</v>
      </c>
      <c r="OJT6" s="44">
        <f>Database!OKM14</f>
        <v>0</v>
      </c>
      <c r="OJU6" s="44">
        <f>Database!OKN14</f>
        <v>0</v>
      </c>
      <c r="OJV6" s="44">
        <f>Database!OKO14</f>
        <v>0</v>
      </c>
      <c r="OJW6" s="44">
        <f>Database!OKP14</f>
        <v>0</v>
      </c>
      <c r="OJX6" s="44">
        <f>Database!OKQ14</f>
        <v>0</v>
      </c>
      <c r="OJY6" s="44">
        <f>Database!OKR14</f>
        <v>0</v>
      </c>
      <c r="OJZ6" s="44">
        <f>Database!OKS14</f>
        <v>0</v>
      </c>
      <c r="OKA6" s="44">
        <f>Database!OKT14</f>
        <v>0</v>
      </c>
      <c r="OKB6" s="44">
        <f>Database!OKU14</f>
        <v>0</v>
      </c>
      <c r="OKC6" s="44">
        <f>Database!OKV14</f>
        <v>0</v>
      </c>
      <c r="OKD6" s="44">
        <f>Database!OKW14</f>
        <v>0</v>
      </c>
      <c r="OKE6" s="44">
        <f>Database!OKX14</f>
        <v>0</v>
      </c>
      <c r="OKF6" s="44">
        <f>Database!OKY14</f>
        <v>0</v>
      </c>
      <c r="OKG6" s="44">
        <f>Database!OKZ14</f>
        <v>0</v>
      </c>
      <c r="OKH6" s="44">
        <f>Database!OLA14</f>
        <v>0</v>
      </c>
      <c r="OKI6" s="44">
        <f>Database!OLB14</f>
        <v>0</v>
      </c>
      <c r="OKJ6" s="44">
        <f>Database!OLC14</f>
        <v>0</v>
      </c>
      <c r="OKK6" s="44">
        <f>Database!OLD14</f>
        <v>0</v>
      </c>
      <c r="OKL6" s="44">
        <f>Database!OLE14</f>
        <v>0</v>
      </c>
      <c r="OKM6" s="44">
        <f>Database!OLF14</f>
        <v>0</v>
      </c>
      <c r="OKN6" s="44">
        <f>Database!OLG14</f>
        <v>0</v>
      </c>
      <c r="OKO6" s="44">
        <f>Database!OLH14</f>
        <v>0</v>
      </c>
      <c r="OKP6" s="44">
        <f>Database!OLI14</f>
        <v>0</v>
      </c>
      <c r="OKQ6" s="44">
        <f>Database!OLJ14</f>
        <v>0</v>
      </c>
      <c r="OKR6" s="44">
        <f>Database!OLK14</f>
        <v>0</v>
      </c>
      <c r="OKS6" s="44">
        <f>Database!OLL14</f>
        <v>0</v>
      </c>
      <c r="OKT6" s="44">
        <f>Database!OLM14</f>
        <v>0</v>
      </c>
      <c r="OKU6" s="44">
        <f>Database!OLN14</f>
        <v>0</v>
      </c>
      <c r="OKV6" s="44">
        <f>Database!OLO14</f>
        <v>0</v>
      </c>
      <c r="OKW6" s="44">
        <f>Database!OLP14</f>
        <v>0</v>
      </c>
      <c r="OKX6" s="44">
        <f>Database!OLQ14</f>
        <v>0</v>
      </c>
      <c r="OKY6" s="44">
        <f>Database!OLR14</f>
        <v>0</v>
      </c>
      <c r="OKZ6" s="44">
        <f>Database!OLS14</f>
        <v>0</v>
      </c>
      <c r="OLA6" s="44">
        <f>Database!OLT14</f>
        <v>0</v>
      </c>
      <c r="OLB6" s="44">
        <f>Database!OLU14</f>
        <v>0</v>
      </c>
      <c r="OLC6" s="44">
        <f>Database!OLV14</f>
        <v>0</v>
      </c>
      <c r="OLD6" s="44">
        <f>Database!OLW14</f>
        <v>0</v>
      </c>
      <c r="OLE6" s="44">
        <f>Database!OLX14</f>
        <v>0</v>
      </c>
      <c r="OLF6" s="44">
        <f>Database!OLY14</f>
        <v>0</v>
      </c>
      <c r="OLG6" s="44">
        <f>Database!OLZ14</f>
        <v>0</v>
      </c>
      <c r="OLH6" s="44">
        <f>Database!OMA14</f>
        <v>0</v>
      </c>
      <c r="OLI6" s="44">
        <f>Database!OMB14</f>
        <v>0</v>
      </c>
      <c r="OLJ6" s="44">
        <f>Database!OMC14</f>
        <v>0</v>
      </c>
      <c r="OLK6" s="44">
        <f>Database!OMD14</f>
        <v>0</v>
      </c>
      <c r="OLL6" s="44">
        <f>Database!OME14</f>
        <v>0</v>
      </c>
      <c r="OLM6" s="44">
        <f>Database!OMF14</f>
        <v>0</v>
      </c>
      <c r="OLN6" s="44">
        <f>Database!OMG14</f>
        <v>0</v>
      </c>
      <c r="OLO6" s="44">
        <f>Database!OMH14</f>
        <v>0</v>
      </c>
      <c r="OLP6" s="44">
        <f>Database!OMI14</f>
        <v>0</v>
      </c>
      <c r="OLQ6" s="44">
        <f>Database!OMJ14</f>
        <v>0</v>
      </c>
      <c r="OLR6" s="44">
        <f>Database!OMK14</f>
        <v>0</v>
      </c>
      <c r="OLS6" s="44">
        <f>Database!OML14</f>
        <v>0</v>
      </c>
      <c r="OLT6" s="44">
        <f>Database!OMM14</f>
        <v>0</v>
      </c>
      <c r="OLU6" s="44">
        <f>Database!OMN14</f>
        <v>0</v>
      </c>
      <c r="OLV6" s="44">
        <f>Database!OMO14</f>
        <v>0</v>
      </c>
      <c r="OLW6" s="44">
        <f>Database!OMP14</f>
        <v>0</v>
      </c>
      <c r="OLX6" s="44">
        <f>Database!OMQ14</f>
        <v>0</v>
      </c>
      <c r="OLY6" s="44">
        <f>Database!OMR14</f>
        <v>0</v>
      </c>
      <c r="OLZ6" s="44">
        <f>Database!OMS14</f>
        <v>0</v>
      </c>
      <c r="OMA6" s="44">
        <f>Database!OMT14</f>
        <v>0</v>
      </c>
      <c r="OMB6" s="44">
        <f>Database!OMU14</f>
        <v>0</v>
      </c>
      <c r="OMC6" s="44">
        <f>Database!OMV14</f>
        <v>0</v>
      </c>
      <c r="OMD6" s="44">
        <f>Database!OMW14</f>
        <v>0</v>
      </c>
      <c r="OME6" s="44">
        <f>Database!OMX14</f>
        <v>0</v>
      </c>
      <c r="OMF6" s="44">
        <f>Database!OMY14</f>
        <v>0</v>
      </c>
      <c r="OMG6" s="44">
        <f>Database!OMZ14</f>
        <v>0</v>
      </c>
      <c r="OMH6" s="44">
        <f>Database!ONA14</f>
        <v>0</v>
      </c>
      <c r="OMI6" s="44">
        <f>Database!ONB14</f>
        <v>0</v>
      </c>
      <c r="OMJ6" s="44">
        <f>Database!ONC14</f>
        <v>0</v>
      </c>
      <c r="OMK6" s="44">
        <f>Database!OND14</f>
        <v>0</v>
      </c>
      <c r="OML6" s="44">
        <f>Database!ONE14</f>
        <v>0</v>
      </c>
      <c r="OMM6" s="44">
        <f>Database!ONF14</f>
        <v>0</v>
      </c>
      <c r="OMN6" s="44">
        <f>Database!ONG14</f>
        <v>0</v>
      </c>
      <c r="OMO6" s="44">
        <f>Database!ONH14</f>
        <v>0</v>
      </c>
      <c r="OMP6" s="44">
        <f>Database!ONI14</f>
        <v>0</v>
      </c>
      <c r="OMQ6" s="44">
        <f>Database!ONJ14</f>
        <v>0</v>
      </c>
      <c r="OMR6" s="44">
        <f>Database!ONK14</f>
        <v>0</v>
      </c>
      <c r="OMS6" s="44">
        <f>Database!ONL14</f>
        <v>0</v>
      </c>
      <c r="OMT6" s="44">
        <f>Database!ONM14</f>
        <v>0</v>
      </c>
      <c r="OMU6" s="44">
        <f>Database!ONN14</f>
        <v>0</v>
      </c>
      <c r="OMV6" s="44">
        <f>Database!ONO14</f>
        <v>0</v>
      </c>
      <c r="OMW6" s="44">
        <f>Database!ONP14</f>
        <v>0</v>
      </c>
      <c r="OMX6" s="44">
        <f>Database!ONQ14</f>
        <v>0</v>
      </c>
      <c r="OMY6" s="44">
        <f>Database!ONR14</f>
        <v>0</v>
      </c>
      <c r="OMZ6" s="44">
        <f>Database!ONS14</f>
        <v>0</v>
      </c>
      <c r="ONA6" s="44">
        <f>Database!ONT14</f>
        <v>0</v>
      </c>
      <c r="ONB6" s="44">
        <f>Database!ONU14</f>
        <v>0</v>
      </c>
      <c r="ONC6" s="44">
        <f>Database!ONV14</f>
        <v>0</v>
      </c>
      <c r="OND6" s="44">
        <f>Database!ONW14</f>
        <v>0</v>
      </c>
      <c r="ONE6" s="44">
        <f>Database!ONX14</f>
        <v>0</v>
      </c>
      <c r="ONF6" s="44">
        <f>Database!ONY14</f>
        <v>0</v>
      </c>
      <c r="ONG6" s="44">
        <f>Database!ONZ14</f>
        <v>0</v>
      </c>
      <c r="ONH6" s="44">
        <f>Database!OOA14</f>
        <v>0</v>
      </c>
      <c r="ONI6" s="44">
        <f>Database!OOB14</f>
        <v>0</v>
      </c>
      <c r="ONJ6" s="44">
        <f>Database!OOC14</f>
        <v>0</v>
      </c>
      <c r="ONK6" s="44">
        <f>Database!OOD14</f>
        <v>0</v>
      </c>
      <c r="ONL6" s="44">
        <f>Database!OOE14</f>
        <v>0</v>
      </c>
      <c r="ONM6" s="44">
        <f>Database!OOF14</f>
        <v>0</v>
      </c>
      <c r="ONN6" s="44">
        <f>Database!OOG14</f>
        <v>0</v>
      </c>
      <c r="ONO6" s="44">
        <f>Database!OOH14</f>
        <v>0</v>
      </c>
      <c r="ONP6" s="44">
        <f>Database!OOI14</f>
        <v>0</v>
      </c>
      <c r="ONQ6" s="44">
        <f>Database!OOJ14</f>
        <v>0</v>
      </c>
      <c r="ONR6" s="44">
        <f>Database!OOK14</f>
        <v>0</v>
      </c>
      <c r="ONS6" s="44">
        <f>Database!OOL14</f>
        <v>0</v>
      </c>
      <c r="ONT6" s="44">
        <f>Database!OOM14</f>
        <v>0</v>
      </c>
      <c r="ONU6" s="44">
        <f>Database!OON14</f>
        <v>0</v>
      </c>
      <c r="ONV6" s="44">
        <f>Database!OOO14</f>
        <v>0</v>
      </c>
      <c r="ONW6" s="44">
        <f>Database!OOP14</f>
        <v>0</v>
      </c>
      <c r="ONX6" s="44">
        <f>Database!OOQ14</f>
        <v>0</v>
      </c>
      <c r="ONY6" s="44">
        <f>Database!OOR14</f>
        <v>0</v>
      </c>
      <c r="ONZ6" s="44">
        <f>Database!OOS14</f>
        <v>0</v>
      </c>
      <c r="OOA6" s="44">
        <f>Database!OOT14</f>
        <v>0</v>
      </c>
      <c r="OOB6" s="44">
        <f>Database!OOU14</f>
        <v>0</v>
      </c>
      <c r="OOC6" s="44">
        <f>Database!OOV14</f>
        <v>0</v>
      </c>
      <c r="OOD6" s="44">
        <f>Database!OOW14</f>
        <v>0</v>
      </c>
      <c r="OOE6" s="44">
        <f>Database!OOX14</f>
        <v>0</v>
      </c>
      <c r="OOF6" s="44">
        <f>Database!OOY14</f>
        <v>0</v>
      </c>
      <c r="OOG6" s="44">
        <f>Database!OOZ14</f>
        <v>0</v>
      </c>
      <c r="OOH6" s="44">
        <f>Database!OPA14</f>
        <v>0</v>
      </c>
      <c r="OOI6" s="44">
        <f>Database!OPB14</f>
        <v>0</v>
      </c>
      <c r="OOJ6" s="44">
        <f>Database!OPC14</f>
        <v>0</v>
      </c>
      <c r="OOK6" s="44">
        <f>Database!OPD14</f>
        <v>0</v>
      </c>
      <c r="OOL6" s="44">
        <f>Database!OPE14</f>
        <v>0</v>
      </c>
      <c r="OOM6" s="44">
        <f>Database!OPF14</f>
        <v>0</v>
      </c>
      <c r="OON6" s="44">
        <f>Database!OPG14</f>
        <v>0</v>
      </c>
      <c r="OOO6" s="44">
        <f>Database!OPH14</f>
        <v>0</v>
      </c>
      <c r="OOP6" s="44">
        <f>Database!OPI14</f>
        <v>0</v>
      </c>
      <c r="OOQ6" s="44">
        <f>Database!OPJ14</f>
        <v>0</v>
      </c>
      <c r="OOR6" s="44">
        <f>Database!OPK14</f>
        <v>0</v>
      </c>
      <c r="OOS6" s="44">
        <f>Database!OPL14</f>
        <v>0</v>
      </c>
      <c r="OOT6" s="44">
        <f>Database!OPM14</f>
        <v>0</v>
      </c>
      <c r="OOU6" s="44">
        <f>Database!OPN14</f>
        <v>0</v>
      </c>
      <c r="OOV6" s="44">
        <f>Database!OPO14</f>
        <v>0</v>
      </c>
      <c r="OOW6" s="44">
        <f>Database!OPP14</f>
        <v>0</v>
      </c>
      <c r="OOX6" s="44">
        <f>Database!OPQ14</f>
        <v>0</v>
      </c>
      <c r="OOY6" s="44">
        <f>Database!OPR14</f>
        <v>0</v>
      </c>
      <c r="OOZ6" s="44">
        <f>Database!OPS14</f>
        <v>0</v>
      </c>
      <c r="OPA6" s="44">
        <f>Database!OPT14</f>
        <v>0</v>
      </c>
      <c r="OPB6" s="44">
        <f>Database!OPU14</f>
        <v>0</v>
      </c>
      <c r="OPC6" s="44">
        <f>Database!OPV14</f>
        <v>0</v>
      </c>
      <c r="OPD6" s="44">
        <f>Database!OPW14</f>
        <v>0</v>
      </c>
      <c r="OPE6" s="44">
        <f>Database!OPX14</f>
        <v>0</v>
      </c>
      <c r="OPF6" s="44">
        <f>Database!OPY14</f>
        <v>0</v>
      </c>
      <c r="OPG6" s="44">
        <f>Database!OPZ14</f>
        <v>0</v>
      </c>
      <c r="OPH6" s="44">
        <f>Database!OQA14</f>
        <v>0</v>
      </c>
      <c r="OPI6" s="44">
        <f>Database!OQB14</f>
        <v>0</v>
      </c>
      <c r="OPJ6" s="44">
        <f>Database!OQC14</f>
        <v>0</v>
      </c>
      <c r="OPK6" s="44">
        <f>Database!OQD14</f>
        <v>0</v>
      </c>
      <c r="OPL6" s="44">
        <f>Database!OQE14</f>
        <v>0</v>
      </c>
      <c r="OPM6" s="44">
        <f>Database!OQF14</f>
        <v>0</v>
      </c>
      <c r="OPN6" s="44">
        <f>Database!OQG14</f>
        <v>0</v>
      </c>
      <c r="OPO6" s="44">
        <f>Database!OQH14</f>
        <v>0</v>
      </c>
      <c r="OPP6" s="44">
        <f>Database!OQI14</f>
        <v>0</v>
      </c>
      <c r="OPQ6" s="44">
        <f>Database!OQJ14</f>
        <v>0</v>
      </c>
      <c r="OPR6" s="44">
        <f>Database!OQK14</f>
        <v>0</v>
      </c>
      <c r="OPS6" s="44">
        <f>Database!OQL14</f>
        <v>0</v>
      </c>
      <c r="OPT6" s="44">
        <f>Database!OQM14</f>
        <v>0</v>
      </c>
      <c r="OPU6" s="44">
        <f>Database!OQN14</f>
        <v>0</v>
      </c>
      <c r="OPV6" s="44">
        <f>Database!OQO14</f>
        <v>0</v>
      </c>
      <c r="OPW6" s="44">
        <f>Database!OQP14</f>
        <v>0</v>
      </c>
      <c r="OPX6" s="44">
        <f>Database!OQQ14</f>
        <v>0</v>
      </c>
      <c r="OPY6" s="44">
        <f>Database!OQR14</f>
        <v>0</v>
      </c>
      <c r="OPZ6" s="44">
        <f>Database!OQS14</f>
        <v>0</v>
      </c>
      <c r="OQA6" s="44">
        <f>Database!OQT14</f>
        <v>0</v>
      </c>
      <c r="OQB6" s="44">
        <f>Database!OQU14</f>
        <v>0</v>
      </c>
      <c r="OQC6" s="44">
        <f>Database!OQV14</f>
        <v>0</v>
      </c>
      <c r="OQD6" s="44">
        <f>Database!OQW14</f>
        <v>0</v>
      </c>
      <c r="OQE6" s="44">
        <f>Database!OQX14</f>
        <v>0</v>
      </c>
      <c r="OQF6" s="44">
        <f>Database!OQY14</f>
        <v>0</v>
      </c>
      <c r="OQG6" s="44">
        <f>Database!OQZ14</f>
        <v>0</v>
      </c>
      <c r="OQH6" s="44">
        <f>Database!ORA14</f>
        <v>0</v>
      </c>
      <c r="OQI6" s="44">
        <f>Database!ORB14</f>
        <v>0</v>
      </c>
      <c r="OQJ6" s="44">
        <f>Database!ORC14</f>
        <v>0</v>
      </c>
      <c r="OQK6" s="44">
        <f>Database!ORD14</f>
        <v>0</v>
      </c>
      <c r="OQL6" s="44">
        <f>Database!ORE14</f>
        <v>0</v>
      </c>
      <c r="OQM6" s="44">
        <f>Database!ORF14</f>
        <v>0</v>
      </c>
      <c r="OQN6" s="44">
        <f>Database!ORG14</f>
        <v>0</v>
      </c>
      <c r="OQO6" s="44">
        <f>Database!ORH14</f>
        <v>0</v>
      </c>
      <c r="OQP6" s="44">
        <f>Database!ORI14</f>
        <v>0</v>
      </c>
      <c r="OQQ6" s="44">
        <f>Database!ORJ14</f>
        <v>0</v>
      </c>
      <c r="OQR6" s="44">
        <f>Database!ORK14</f>
        <v>0</v>
      </c>
      <c r="OQS6" s="44">
        <f>Database!ORL14</f>
        <v>0</v>
      </c>
      <c r="OQT6" s="44">
        <f>Database!ORM14</f>
        <v>0</v>
      </c>
      <c r="OQU6" s="44">
        <f>Database!ORN14</f>
        <v>0</v>
      </c>
      <c r="OQV6" s="44">
        <f>Database!ORO14</f>
        <v>0</v>
      </c>
      <c r="OQW6" s="44">
        <f>Database!ORP14</f>
        <v>0</v>
      </c>
      <c r="OQX6" s="44">
        <f>Database!ORQ14</f>
        <v>0</v>
      </c>
      <c r="OQY6" s="44">
        <f>Database!ORR14</f>
        <v>0</v>
      </c>
      <c r="OQZ6" s="44">
        <f>Database!ORS14</f>
        <v>0</v>
      </c>
      <c r="ORA6" s="44">
        <f>Database!ORT14</f>
        <v>0</v>
      </c>
      <c r="ORB6" s="44">
        <f>Database!ORU14</f>
        <v>0</v>
      </c>
      <c r="ORC6" s="44">
        <f>Database!ORV14</f>
        <v>0</v>
      </c>
      <c r="ORD6" s="44">
        <f>Database!ORW14</f>
        <v>0</v>
      </c>
      <c r="ORE6" s="44">
        <f>Database!ORX14</f>
        <v>0</v>
      </c>
      <c r="ORF6" s="44">
        <f>Database!ORY14</f>
        <v>0</v>
      </c>
      <c r="ORG6" s="44">
        <f>Database!ORZ14</f>
        <v>0</v>
      </c>
      <c r="ORH6" s="44">
        <f>Database!OSA14</f>
        <v>0</v>
      </c>
      <c r="ORI6" s="44">
        <f>Database!OSB14</f>
        <v>0</v>
      </c>
      <c r="ORJ6" s="44">
        <f>Database!OSC14</f>
        <v>0</v>
      </c>
      <c r="ORK6" s="44">
        <f>Database!OSD14</f>
        <v>0</v>
      </c>
      <c r="ORL6" s="44">
        <f>Database!OSE14</f>
        <v>0</v>
      </c>
      <c r="ORM6" s="44">
        <f>Database!OSF14</f>
        <v>0</v>
      </c>
      <c r="ORN6" s="44">
        <f>Database!OSG14</f>
        <v>0</v>
      </c>
      <c r="ORO6" s="44">
        <f>Database!OSH14</f>
        <v>0</v>
      </c>
      <c r="ORP6" s="44">
        <f>Database!OSI14</f>
        <v>0</v>
      </c>
      <c r="ORQ6" s="44">
        <f>Database!OSJ14</f>
        <v>0</v>
      </c>
      <c r="ORR6" s="44">
        <f>Database!OSK14</f>
        <v>0</v>
      </c>
      <c r="ORS6" s="44">
        <f>Database!OSL14</f>
        <v>0</v>
      </c>
      <c r="ORT6" s="44">
        <f>Database!OSM14</f>
        <v>0</v>
      </c>
      <c r="ORU6" s="44">
        <f>Database!OSN14</f>
        <v>0</v>
      </c>
      <c r="ORV6" s="44">
        <f>Database!OSO14</f>
        <v>0</v>
      </c>
      <c r="ORW6" s="44">
        <f>Database!OSP14</f>
        <v>0</v>
      </c>
      <c r="ORX6" s="44">
        <f>Database!OSQ14</f>
        <v>0</v>
      </c>
      <c r="ORY6" s="44">
        <f>Database!OSR14</f>
        <v>0</v>
      </c>
      <c r="ORZ6" s="44">
        <f>Database!OSS14</f>
        <v>0</v>
      </c>
      <c r="OSA6" s="44">
        <f>Database!OST14</f>
        <v>0</v>
      </c>
      <c r="OSB6" s="44">
        <f>Database!OSU14</f>
        <v>0</v>
      </c>
      <c r="OSC6" s="44">
        <f>Database!OSV14</f>
        <v>0</v>
      </c>
      <c r="OSD6" s="44">
        <f>Database!OSW14</f>
        <v>0</v>
      </c>
      <c r="OSE6" s="44">
        <f>Database!OSX14</f>
        <v>0</v>
      </c>
      <c r="OSF6" s="44">
        <f>Database!OSY14</f>
        <v>0</v>
      </c>
      <c r="OSG6" s="44">
        <f>Database!OSZ14</f>
        <v>0</v>
      </c>
      <c r="OSH6" s="44">
        <f>Database!OTA14</f>
        <v>0</v>
      </c>
      <c r="OSI6" s="44">
        <f>Database!OTB14</f>
        <v>0</v>
      </c>
      <c r="OSJ6" s="44">
        <f>Database!OTC14</f>
        <v>0</v>
      </c>
      <c r="OSK6" s="44">
        <f>Database!OTD14</f>
        <v>0</v>
      </c>
      <c r="OSL6" s="44">
        <f>Database!OTE14</f>
        <v>0</v>
      </c>
      <c r="OSM6" s="44">
        <f>Database!OTF14</f>
        <v>0</v>
      </c>
      <c r="OSN6" s="44">
        <f>Database!OTG14</f>
        <v>0</v>
      </c>
      <c r="OSO6" s="44">
        <f>Database!OTH14</f>
        <v>0</v>
      </c>
      <c r="OSP6" s="44">
        <f>Database!OTI14</f>
        <v>0</v>
      </c>
      <c r="OSQ6" s="44">
        <f>Database!OTJ14</f>
        <v>0</v>
      </c>
      <c r="OSR6" s="44">
        <f>Database!OTK14</f>
        <v>0</v>
      </c>
      <c r="OSS6" s="44">
        <f>Database!OTL14</f>
        <v>0</v>
      </c>
      <c r="OST6" s="44">
        <f>Database!OTM14</f>
        <v>0</v>
      </c>
      <c r="OSU6" s="44">
        <f>Database!OTN14</f>
        <v>0</v>
      </c>
      <c r="OSV6" s="44">
        <f>Database!OTO14</f>
        <v>0</v>
      </c>
      <c r="OSW6" s="44">
        <f>Database!OTP14</f>
        <v>0</v>
      </c>
      <c r="OSX6" s="44">
        <f>Database!OTQ14</f>
        <v>0</v>
      </c>
      <c r="OSY6" s="44">
        <f>Database!OTR14</f>
        <v>0</v>
      </c>
      <c r="OSZ6" s="44">
        <f>Database!OTS14</f>
        <v>0</v>
      </c>
      <c r="OTA6" s="44">
        <f>Database!OTT14</f>
        <v>0</v>
      </c>
      <c r="OTB6" s="44">
        <f>Database!OTU14</f>
        <v>0</v>
      </c>
      <c r="OTC6" s="44">
        <f>Database!OTV14</f>
        <v>0</v>
      </c>
      <c r="OTD6" s="44">
        <f>Database!OTW14</f>
        <v>0</v>
      </c>
      <c r="OTE6" s="44">
        <f>Database!OTX14</f>
        <v>0</v>
      </c>
      <c r="OTF6" s="44">
        <f>Database!OTY14</f>
        <v>0</v>
      </c>
      <c r="OTG6" s="44">
        <f>Database!OTZ14</f>
        <v>0</v>
      </c>
      <c r="OTH6" s="44">
        <f>Database!OUA14</f>
        <v>0</v>
      </c>
      <c r="OTI6" s="44">
        <f>Database!OUB14</f>
        <v>0</v>
      </c>
      <c r="OTJ6" s="44">
        <f>Database!OUC14</f>
        <v>0</v>
      </c>
      <c r="OTK6" s="44">
        <f>Database!OUD14</f>
        <v>0</v>
      </c>
      <c r="OTL6" s="44">
        <f>Database!OUE14</f>
        <v>0</v>
      </c>
      <c r="OTM6" s="44">
        <f>Database!OUF14</f>
        <v>0</v>
      </c>
      <c r="OTN6" s="44">
        <f>Database!OUG14</f>
        <v>0</v>
      </c>
      <c r="OTO6" s="44">
        <f>Database!OUH14</f>
        <v>0</v>
      </c>
      <c r="OTP6" s="44">
        <f>Database!OUI14</f>
        <v>0</v>
      </c>
      <c r="OTQ6" s="44">
        <f>Database!OUJ14</f>
        <v>0</v>
      </c>
      <c r="OTR6" s="44">
        <f>Database!OUK14</f>
        <v>0</v>
      </c>
      <c r="OTS6" s="44">
        <f>Database!OUL14</f>
        <v>0</v>
      </c>
      <c r="OTT6" s="44">
        <f>Database!OUM14</f>
        <v>0</v>
      </c>
      <c r="OTU6" s="44">
        <f>Database!OUN14</f>
        <v>0</v>
      </c>
      <c r="OTV6" s="44">
        <f>Database!OUO14</f>
        <v>0</v>
      </c>
      <c r="OTW6" s="44">
        <f>Database!OUP14</f>
        <v>0</v>
      </c>
      <c r="OTX6" s="44">
        <f>Database!OUQ14</f>
        <v>0</v>
      </c>
      <c r="OTY6" s="44">
        <f>Database!OUR14</f>
        <v>0</v>
      </c>
      <c r="OTZ6" s="44">
        <f>Database!OUS14</f>
        <v>0</v>
      </c>
      <c r="OUA6" s="44">
        <f>Database!OUT14</f>
        <v>0</v>
      </c>
      <c r="OUB6" s="44">
        <f>Database!OUU14</f>
        <v>0</v>
      </c>
      <c r="OUC6" s="44">
        <f>Database!OUV14</f>
        <v>0</v>
      </c>
      <c r="OUD6" s="44">
        <f>Database!OUW14</f>
        <v>0</v>
      </c>
      <c r="OUE6" s="44">
        <f>Database!OUX14</f>
        <v>0</v>
      </c>
      <c r="OUF6" s="44">
        <f>Database!OUY14</f>
        <v>0</v>
      </c>
      <c r="OUG6" s="44">
        <f>Database!OUZ14</f>
        <v>0</v>
      </c>
      <c r="OUH6" s="44">
        <f>Database!OVA14</f>
        <v>0</v>
      </c>
      <c r="OUI6" s="44">
        <f>Database!OVB14</f>
        <v>0</v>
      </c>
      <c r="OUJ6" s="44">
        <f>Database!OVC14</f>
        <v>0</v>
      </c>
      <c r="OUK6" s="44">
        <f>Database!OVD14</f>
        <v>0</v>
      </c>
      <c r="OUL6" s="44">
        <f>Database!OVE14</f>
        <v>0</v>
      </c>
      <c r="OUM6" s="44">
        <f>Database!OVF14</f>
        <v>0</v>
      </c>
      <c r="OUN6" s="44">
        <f>Database!OVG14</f>
        <v>0</v>
      </c>
      <c r="OUO6" s="44">
        <f>Database!OVH14</f>
        <v>0</v>
      </c>
      <c r="OUP6" s="44">
        <f>Database!OVI14</f>
        <v>0</v>
      </c>
      <c r="OUQ6" s="44">
        <f>Database!OVJ14</f>
        <v>0</v>
      </c>
      <c r="OUR6" s="44">
        <f>Database!OVK14</f>
        <v>0</v>
      </c>
      <c r="OUS6" s="44">
        <f>Database!OVL14</f>
        <v>0</v>
      </c>
      <c r="OUT6" s="44">
        <f>Database!OVM14</f>
        <v>0</v>
      </c>
      <c r="OUU6" s="44">
        <f>Database!OVN14</f>
        <v>0</v>
      </c>
      <c r="OUV6" s="44">
        <f>Database!OVO14</f>
        <v>0</v>
      </c>
      <c r="OUW6" s="44">
        <f>Database!OVP14</f>
        <v>0</v>
      </c>
      <c r="OUX6" s="44">
        <f>Database!OVQ14</f>
        <v>0</v>
      </c>
      <c r="OUY6" s="44">
        <f>Database!OVR14</f>
        <v>0</v>
      </c>
      <c r="OUZ6" s="44">
        <f>Database!OVS14</f>
        <v>0</v>
      </c>
      <c r="OVA6" s="44">
        <f>Database!OVT14</f>
        <v>0</v>
      </c>
      <c r="OVB6" s="44">
        <f>Database!OVU14</f>
        <v>0</v>
      </c>
      <c r="OVC6" s="44">
        <f>Database!OVV14</f>
        <v>0</v>
      </c>
      <c r="OVD6" s="44">
        <f>Database!OVW14</f>
        <v>0</v>
      </c>
      <c r="OVE6" s="44">
        <f>Database!OVX14</f>
        <v>0</v>
      </c>
      <c r="OVF6" s="44">
        <f>Database!OVY14</f>
        <v>0</v>
      </c>
      <c r="OVG6" s="44">
        <f>Database!OVZ14</f>
        <v>0</v>
      </c>
      <c r="OVH6" s="44">
        <f>Database!OWA14</f>
        <v>0</v>
      </c>
      <c r="OVI6" s="44">
        <f>Database!OWB14</f>
        <v>0</v>
      </c>
      <c r="OVJ6" s="44">
        <f>Database!OWC14</f>
        <v>0</v>
      </c>
      <c r="OVK6" s="44">
        <f>Database!OWD14</f>
        <v>0</v>
      </c>
      <c r="OVL6" s="44">
        <f>Database!OWE14</f>
        <v>0</v>
      </c>
      <c r="OVM6" s="44">
        <f>Database!OWF14</f>
        <v>0</v>
      </c>
      <c r="OVN6" s="44">
        <f>Database!OWG14</f>
        <v>0</v>
      </c>
      <c r="OVO6" s="44">
        <f>Database!OWH14</f>
        <v>0</v>
      </c>
      <c r="OVP6" s="44">
        <f>Database!OWI14</f>
        <v>0</v>
      </c>
      <c r="OVQ6" s="44">
        <f>Database!OWJ14</f>
        <v>0</v>
      </c>
      <c r="OVR6" s="44">
        <f>Database!OWK14</f>
        <v>0</v>
      </c>
      <c r="OVS6" s="44">
        <f>Database!OWL14</f>
        <v>0</v>
      </c>
      <c r="OVT6" s="44">
        <f>Database!OWM14</f>
        <v>0</v>
      </c>
      <c r="OVU6" s="44">
        <f>Database!OWN14</f>
        <v>0</v>
      </c>
      <c r="OVV6" s="44">
        <f>Database!OWO14</f>
        <v>0</v>
      </c>
      <c r="OVW6" s="44">
        <f>Database!OWP14</f>
        <v>0</v>
      </c>
      <c r="OVX6" s="44">
        <f>Database!OWQ14</f>
        <v>0</v>
      </c>
      <c r="OVY6" s="44">
        <f>Database!OWR14</f>
        <v>0</v>
      </c>
      <c r="OVZ6" s="44">
        <f>Database!OWS14</f>
        <v>0</v>
      </c>
      <c r="OWA6" s="44">
        <f>Database!OWT14</f>
        <v>0</v>
      </c>
      <c r="OWB6" s="44">
        <f>Database!OWU14</f>
        <v>0</v>
      </c>
      <c r="OWC6" s="44">
        <f>Database!OWV14</f>
        <v>0</v>
      </c>
      <c r="OWD6" s="44">
        <f>Database!OWW14</f>
        <v>0</v>
      </c>
      <c r="OWE6" s="44">
        <f>Database!OWX14</f>
        <v>0</v>
      </c>
      <c r="OWF6" s="44">
        <f>Database!OWY14</f>
        <v>0</v>
      </c>
      <c r="OWG6" s="44">
        <f>Database!OWZ14</f>
        <v>0</v>
      </c>
      <c r="OWH6" s="44">
        <f>Database!OXA14</f>
        <v>0</v>
      </c>
      <c r="OWI6" s="44">
        <f>Database!OXB14</f>
        <v>0</v>
      </c>
      <c r="OWJ6" s="44">
        <f>Database!OXC14</f>
        <v>0</v>
      </c>
      <c r="OWK6" s="44">
        <f>Database!OXD14</f>
        <v>0</v>
      </c>
      <c r="OWL6" s="44">
        <f>Database!OXE14</f>
        <v>0</v>
      </c>
      <c r="OWM6" s="44">
        <f>Database!OXF14</f>
        <v>0</v>
      </c>
      <c r="OWN6" s="44">
        <f>Database!OXG14</f>
        <v>0</v>
      </c>
      <c r="OWO6" s="44">
        <f>Database!OXH14</f>
        <v>0</v>
      </c>
      <c r="OWP6" s="44">
        <f>Database!OXI14</f>
        <v>0</v>
      </c>
      <c r="OWQ6" s="44">
        <f>Database!OXJ14</f>
        <v>0</v>
      </c>
      <c r="OWR6" s="44">
        <f>Database!OXK14</f>
        <v>0</v>
      </c>
      <c r="OWS6" s="44">
        <f>Database!OXL14</f>
        <v>0</v>
      </c>
      <c r="OWT6" s="44">
        <f>Database!OXM14</f>
        <v>0</v>
      </c>
      <c r="OWU6" s="44">
        <f>Database!OXN14</f>
        <v>0</v>
      </c>
      <c r="OWV6" s="44">
        <f>Database!OXO14</f>
        <v>0</v>
      </c>
      <c r="OWW6" s="44">
        <f>Database!OXP14</f>
        <v>0</v>
      </c>
      <c r="OWX6" s="44">
        <f>Database!OXQ14</f>
        <v>0</v>
      </c>
      <c r="OWY6" s="44">
        <f>Database!OXR14</f>
        <v>0</v>
      </c>
      <c r="OWZ6" s="44">
        <f>Database!OXS14</f>
        <v>0</v>
      </c>
      <c r="OXA6" s="44">
        <f>Database!OXT14</f>
        <v>0</v>
      </c>
      <c r="OXB6" s="44">
        <f>Database!OXU14</f>
        <v>0</v>
      </c>
      <c r="OXC6" s="44">
        <f>Database!OXV14</f>
        <v>0</v>
      </c>
      <c r="OXD6" s="44">
        <f>Database!OXW14</f>
        <v>0</v>
      </c>
      <c r="OXE6" s="44">
        <f>Database!OXX14</f>
        <v>0</v>
      </c>
      <c r="OXF6" s="44">
        <f>Database!OXY14</f>
        <v>0</v>
      </c>
      <c r="OXG6" s="44">
        <f>Database!OXZ14</f>
        <v>0</v>
      </c>
      <c r="OXH6" s="44">
        <f>Database!OYA14</f>
        <v>0</v>
      </c>
      <c r="OXI6" s="44">
        <f>Database!OYB14</f>
        <v>0</v>
      </c>
      <c r="OXJ6" s="44">
        <f>Database!OYC14</f>
        <v>0</v>
      </c>
      <c r="OXK6" s="44">
        <f>Database!OYD14</f>
        <v>0</v>
      </c>
      <c r="OXL6" s="44">
        <f>Database!OYE14</f>
        <v>0</v>
      </c>
      <c r="OXM6" s="44">
        <f>Database!OYF14</f>
        <v>0</v>
      </c>
      <c r="OXN6" s="44">
        <f>Database!OYG14</f>
        <v>0</v>
      </c>
      <c r="OXO6" s="44">
        <f>Database!OYH14</f>
        <v>0</v>
      </c>
      <c r="OXP6" s="44">
        <f>Database!OYI14</f>
        <v>0</v>
      </c>
      <c r="OXQ6" s="44">
        <f>Database!OYJ14</f>
        <v>0</v>
      </c>
      <c r="OXR6" s="44">
        <f>Database!OYK14</f>
        <v>0</v>
      </c>
      <c r="OXS6" s="44">
        <f>Database!OYL14</f>
        <v>0</v>
      </c>
      <c r="OXT6" s="44">
        <f>Database!OYM14</f>
        <v>0</v>
      </c>
      <c r="OXU6" s="44">
        <f>Database!OYN14</f>
        <v>0</v>
      </c>
      <c r="OXV6" s="44">
        <f>Database!OYO14</f>
        <v>0</v>
      </c>
      <c r="OXW6" s="44">
        <f>Database!OYP14</f>
        <v>0</v>
      </c>
      <c r="OXX6" s="44">
        <f>Database!OYQ14</f>
        <v>0</v>
      </c>
      <c r="OXY6" s="44">
        <f>Database!OYR14</f>
        <v>0</v>
      </c>
      <c r="OXZ6" s="44">
        <f>Database!OYS14</f>
        <v>0</v>
      </c>
      <c r="OYA6" s="44">
        <f>Database!OYT14</f>
        <v>0</v>
      </c>
      <c r="OYB6" s="44">
        <f>Database!OYU14</f>
        <v>0</v>
      </c>
      <c r="OYC6" s="44">
        <f>Database!OYV14</f>
        <v>0</v>
      </c>
      <c r="OYD6" s="44">
        <f>Database!OYW14</f>
        <v>0</v>
      </c>
      <c r="OYE6" s="44">
        <f>Database!OYX14</f>
        <v>0</v>
      </c>
      <c r="OYF6" s="44">
        <f>Database!OYY14</f>
        <v>0</v>
      </c>
      <c r="OYG6" s="44">
        <f>Database!OYZ14</f>
        <v>0</v>
      </c>
      <c r="OYH6" s="44">
        <f>Database!OZA14</f>
        <v>0</v>
      </c>
      <c r="OYI6" s="44">
        <f>Database!OZB14</f>
        <v>0</v>
      </c>
      <c r="OYJ6" s="44">
        <f>Database!OZC14</f>
        <v>0</v>
      </c>
      <c r="OYK6" s="44">
        <f>Database!OZD14</f>
        <v>0</v>
      </c>
      <c r="OYL6" s="44">
        <f>Database!OZE14</f>
        <v>0</v>
      </c>
      <c r="OYM6" s="44">
        <f>Database!OZF14</f>
        <v>0</v>
      </c>
      <c r="OYN6" s="44">
        <f>Database!OZG14</f>
        <v>0</v>
      </c>
      <c r="OYO6" s="44">
        <f>Database!OZH14</f>
        <v>0</v>
      </c>
      <c r="OYP6" s="44">
        <f>Database!OZI14</f>
        <v>0</v>
      </c>
      <c r="OYQ6" s="44">
        <f>Database!OZJ14</f>
        <v>0</v>
      </c>
      <c r="OYR6" s="44">
        <f>Database!OZK14</f>
        <v>0</v>
      </c>
      <c r="OYS6" s="44">
        <f>Database!OZL14</f>
        <v>0</v>
      </c>
      <c r="OYT6" s="44">
        <f>Database!OZM14</f>
        <v>0</v>
      </c>
      <c r="OYU6" s="44">
        <f>Database!OZN14</f>
        <v>0</v>
      </c>
      <c r="OYV6" s="44">
        <f>Database!OZO14</f>
        <v>0</v>
      </c>
      <c r="OYW6" s="44">
        <f>Database!OZP14</f>
        <v>0</v>
      </c>
      <c r="OYX6" s="44">
        <f>Database!OZQ14</f>
        <v>0</v>
      </c>
      <c r="OYY6" s="44">
        <f>Database!OZR14</f>
        <v>0</v>
      </c>
      <c r="OYZ6" s="44">
        <f>Database!OZS14</f>
        <v>0</v>
      </c>
      <c r="OZA6" s="44">
        <f>Database!OZT14</f>
        <v>0</v>
      </c>
      <c r="OZB6" s="44">
        <f>Database!OZU14</f>
        <v>0</v>
      </c>
      <c r="OZC6" s="44">
        <f>Database!OZV14</f>
        <v>0</v>
      </c>
      <c r="OZD6" s="44">
        <f>Database!OZW14</f>
        <v>0</v>
      </c>
      <c r="OZE6" s="44">
        <f>Database!OZX14</f>
        <v>0</v>
      </c>
      <c r="OZF6" s="44">
        <f>Database!OZY14</f>
        <v>0</v>
      </c>
      <c r="OZG6" s="44">
        <f>Database!OZZ14</f>
        <v>0</v>
      </c>
      <c r="OZH6" s="44">
        <f>Database!PAA14</f>
        <v>0</v>
      </c>
      <c r="OZI6" s="44">
        <f>Database!PAB14</f>
        <v>0</v>
      </c>
      <c r="OZJ6" s="44">
        <f>Database!PAC14</f>
        <v>0</v>
      </c>
      <c r="OZK6" s="44">
        <f>Database!PAD14</f>
        <v>0</v>
      </c>
      <c r="OZL6" s="44">
        <f>Database!PAE14</f>
        <v>0</v>
      </c>
      <c r="OZM6" s="44">
        <f>Database!PAF14</f>
        <v>0</v>
      </c>
      <c r="OZN6" s="44">
        <f>Database!PAG14</f>
        <v>0</v>
      </c>
      <c r="OZO6" s="44">
        <f>Database!PAH14</f>
        <v>0</v>
      </c>
      <c r="OZP6" s="44">
        <f>Database!PAI14</f>
        <v>0</v>
      </c>
      <c r="OZQ6" s="44">
        <f>Database!PAJ14</f>
        <v>0</v>
      </c>
      <c r="OZR6" s="44">
        <f>Database!PAK14</f>
        <v>0</v>
      </c>
      <c r="OZS6" s="44">
        <f>Database!PAL14</f>
        <v>0</v>
      </c>
      <c r="OZT6" s="44">
        <f>Database!PAM14</f>
        <v>0</v>
      </c>
      <c r="OZU6" s="44">
        <f>Database!PAN14</f>
        <v>0</v>
      </c>
      <c r="OZV6" s="44">
        <f>Database!PAO14</f>
        <v>0</v>
      </c>
      <c r="OZW6" s="44">
        <f>Database!PAP14</f>
        <v>0</v>
      </c>
      <c r="OZX6" s="44">
        <f>Database!PAQ14</f>
        <v>0</v>
      </c>
      <c r="OZY6" s="44">
        <f>Database!PAR14</f>
        <v>0</v>
      </c>
      <c r="OZZ6" s="44">
        <f>Database!PAS14</f>
        <v>0</v>
      </c>
      <c r="PAA6" s="44">
        <f>Database!PAT14</f>
        <v>0</v>
      </c>
      <c r="PAB6" s="44">
        <f>Database!PAU14</f>
        <v>0</v>
      </c>
      <c r="PAC6" s="44">
        <f>Database!PAV14</f>
        <v>0</v>
      </c>
      <c r="PAD6" s="44">
        <f>Database!PAW14</f>
        <v>0</v>
      </c>
      <c r="PAE6" s="44">
        <f>Database!PAX14</f>
        <v>0</v>
      </c>
      <c r="PAF6" s="44">
        <f>Database!PAY14</f>
        <v>0</v>
      </c>
      <c r="PAG6" s="44">
        <f>Database!PAZ14</f>
        <v>0</v>
      </c>
      <c r="PAH6" s="44">
        <f>Database!PBA14</f>
        <v>0</v>
      </c>
      <c r="PAI6" s="44">
        <f>Database!PBB14</f>
        <v>0</v>
      </c>
      <c r="PAJ6" s="44">
        <f>Database!PBC14</f>
        <v>0</v>
      </c>
      <c r="PAK6" s="44">
        <f>Database!PBD14</f>
        <v>0</v>
      </c>
      <c r="PAL6" s="44">
        <f>Database!PBE14</f>
        <v>0</v>
      </c>
      <c r="PAM6" s="44">
        <f>Database!PBF14</f>
        <v>0</v>
      </c>
      <c r="PAN6" s="44">
        <f>Database!PBG14</f>
        <v>0</v>
      </c>
      <c r="PAO6" s="44">
        <f>Database!PBH14</f>
        <v>0</v>
      </c>
      <c r="PAP6" s="44">
        <f>Database!PBI14</f>
        <v>0</v>
      </c>
      <c r="PAQ6" s="44">
        <f>Database!PBJ14</f>
        <v>0</v>
      </c>
      <c r="PAR6" s="44">
        <f>Database!PBK14</f>
        <v>0</v>
      </c>
      <c r="PAS6" s="44">
        <f>Database!PBL14</f>
        <v>0</v>
      </c>
      <c r="PAT6" s="44">
        <f>Database!PBM14</f>
        <v>0</v>
      </c>
      <c r="PAU6" s="44">
        <f>Database!PBN14</f>
        <v>0</v>
      </c>
      <c r="PAV6" s="44">
        <f>Database!PBO14</f>
        <v>0</v>
      </c>
      <c r="PAW6" s="44">
        <f>Database!PBP14</f>
        <v>0</v>
      </c>
      <c r="PAX6" s="44">
        <f>Database!PBQ14</f>
        <v>0</v>
      </c>
      <c r="PAY6" s="44">
        <f>Database!PBR14</f>
        <v>0</v>
      </c>
      <c r="PAZ6" s="44">
        <f>Database!PBS14</f>
        <v>0</v>
      </c>
      <c r="PBA6" s="44">
        <f>Database!PBT14</f>
        <v>0</v>
      </c>
      <c r="PBB6" s="44">
        <f>Database!PBU14</f>
        <v>0</v>
      </c>
      <c r="PBC6" s="44">
        <f>Database!PBV14</f>
        <v>0</v>
      </c>
      <c r="PBD6" s="44">
        <f>Database!PBW14</f>
        <v>0</v>
      </c>
      <c r="PBE6" s="44">
        <f>Database!PBX14</f>
        <v>0</v>
      </c>
      <c r="PBF6" s="44">
        <f>Database!PBY14</f>
        <v>0</v>
      </c>
      <c r="PBG6" s="44">
        <f>Database!PBZ14</f>
        <v>0</v>
      </c>
      <c r="PBH6" s="44">
        <f>Database!PCA14</f>
        <v>0</v>
      </c>
      <c r="PBI6" s="44">
        <f>Database!PCB14</f>
        <v>0</v>
      </c>
      <c r="PBJ6" s="44">
        <f>Database!PCC14</f>
        <v>0</v>
      </c>
      <c r="PBK6" s="44">
        <f>Database!PCD14</f>
        <v>0</v>
      </c>
      <c r="PBL6" s="44">
        <f>Database!PCE14</f>
        <v>0</v>
      </c>
      <c r="PBM6" s="44">
        <f>Database!PCF14</f>
        <v>0</v>
      </c>
      <c r="PBN6" s="44">
        <f>Database!PCG14</f>
        <v>0</v>
      </c>
      <c r="PBO6" s="44">
        <f>Database!PCH14</f>
        <v>0</v>
      </c>
      <c r="PBP6" s="44">
        <f>Database!PCI14</f>
        <v>0</v>
      </c>
      <c r="PBQ6" s="44">
        <f>Database!PCJ14</f>
        <v>0</v>
      </c>
      <c r="PBR6" s="44">
        <f>Database!PCK14</f>
        <v>0</v>
      </c>
      <c r="PBS6" s="44">
        <f>Database!PCL14</f>
        <v>0</v>
      </c>
      <c r="PBT6" s="44">
        <f>Database!PCM14</f>
        <v>0</v>
      </c>
      <c r="PBU6" s="44">
        <f>Database!PCN14</f>
        <v>0</v>
      </c>
      <c r="PBV6" s="44">
        <f>Database!PCO14</f>
        <v>0</v>
      </c>
      <c r="PBW6" s="44">
        <f>Database!PCP14</f>
        <v>0</v>
      </c>
      <c r="PBX6" s="44">
        <f>Database!PCQ14</f>
        <v>0</v>
      </c>
      <c r="PBY6" s="44">
        <f>Database!PCR14</f>
        <v>0</v>
      </c>
      <c r="PBZ6" s="44">
        <f>Database!PCS14</f>
        <v>0</v>
      </c>
      <c r="PCA6" s="44">
        <f>Database!PCT14</f>
        <v>0</v>
      </c>
      <c r="PCB6" s="44">
        <f>Database!PCU14</f>
        <v>0</v>
      </c>
      <c r="PCC6" s="44">
        <f>Database!PCV14</f>
        <v>0</v>
      </c>
      <c r="PCD6" s="44">
        <f>Database!PCW14</f>
        <v>0</v>
      </c>
      <c r="PCE6" s="44">
        <f>Database!PCX14</f>
        <v>0</v>
      </c>
      <c r="PCF6" s="44">
        <f>Database!PCY14</f>
        <v>0</v>
      </c>
      <c r="PCG6" s="44">
        <f>Database!PCZ14</f>
        <v>0</v>
      </c>
      <c r="PCH6" s="44">
        <f>Database!PDA14</f>
        <v>0</v>
      </c>
      <c r="PCI6" s="44">
        <f>Database!PDB14</f>
        <v>0</v>
      </c>
      <c r="PCJ6" s="44">
        <f>Database!PDC14</f>
        <v>0</v>
      </c>
      <c r="PCK6" s="44">
        <f>Database!PDD14</f>
        <v>0</v>
      </c>
      <c r="PCL6" s="44">
        <f>Database!PDE14</f>
        <v>0</v>
      </c>
      <c r="PCM6" s="44">
        <f>Database!PDF14</f>
        <v>0</v>
      </c>
      <c r="PCN6" s="44">
        <f>Database!PDG14</f>
        <v>0</v>
      </c>
      <c r="PCO6" s="44">
        <f>Database!PDH14</f>
        <v>0</v>
      </c>
      <c r="PCP6" s="44">
        <f>Database!PDI14</f>
        <v>0</v>
      </c>
      <c r="PCQ6" s="44">
        <f>Database!PDJ14</f>
        <v>0</v>
      </c>
      <c r="PCR6" s="44">
        <f>Database!PDK14</f>
        <v>0</v>
      </c>
      <c r="PCS6" s="44">
        <f>Database!PDL14</f>
        <v>0</v>
      </c>
      <c r="PCT6" s="44">
        <f>Database!PDM14</f>
        <v>0</v>
      </c>
      <c r="PCU6" s="44">
        <f>Database!PDN14</f>
        <v>0</v>
      </c>
      <c r="PCV6" s="44">
        <f>Database!PDO14</f>
        <v>0</v>
      </c>
      <c r="PCW6" s="44">
        <f>Database!PDP14</f>
        <v>0</v>
      </c>
      <c r="PCX6" s="44">
        <f>Database!PDQ14</f>
        <v>0</v>
      </c>
      <c r="PCY6" s="44">
        <f>Database!PDR14</f>
        <v>0</v>
      </c>
      <c r="PCZ6" s="44">
        <f>Database!PDS14</f>
        <v>0</v>
      </c>
      <c r="PDA6" s="44">
        <f>Database!PDT14</f>
        <v>0</v>
      </c>
      <c r="PDB6" s="44">
        <f>Database!PDU14</f>
        <v>0</v>
      </c>
      <c r="PDC6" s="44">
        <f>Database!PDV14</f>
        <v>0</v>
      </c>
      <c r="PDD6" s="44">
        <f>Database!PDW14</f>
        <v>0</v>
      </c>
      <c r="PDE6" s="44">
        <f>Database!PDX14</f>
        <v>0</v>
      </c>
      <c r="PDF6" s="44">
        <f>Database!PDY14</f>
        <v>0</v>
      </c>
      <c r="PDG6" s="44">
        <f>Database!PDZ14</f>
        <v>0</v>
      </c>
      <c r="PDH6" s="44">
        <f>Database!PEA14</f>
        <v>0</v>
      </c>
      <c r="PDI6" s="44">
        <f>Database!PEB14</f>
        <v>0</v>
      </c>
      <c r="PDJ6" s="44">
        <f>Database!PEC14</f>
        <v>0</v>
      </c>
      <c r="PDK6" s="44">
        <f>Database!PED14</f>
        <v>0</v>
      </c>
      <c r="PDL6" s="44">
        <f>Database!PEE14</f>
        <v>0</v>
      </c>
      <c r="PDM6" s="44">
        <f>Database!PEF14</f>
        <v>0</v>
      </c>
      <c r="PDN6" s="44">
        <f>Database!PEG14</f>
        <v>0</v>
      </c>
      <c r="PDO6" s="44">
        <f>Database!PEH14</f>
        <v>0</v>
      </c>
      <c r="PDP6" s="44">
        <f>Database!PEI14</f>
        <v>0</v>
      </c>
      <c r="PDQ6" s="44">
        <f>Database!PEJ14</f>
        <v>0</v>
      </c>
      <c r="PDR6" s="44">
        <f>Database!PEK14</f>
        <v>0</v>
      </c>
      <c r="PDS6" s="44">
        <f>Database!PEL14</f>
        <v>0</v>
      </c>
      <c r="PDT6" s="44">
        <f>Database!PEM14</f>
        <v>0</v>
      </c>
      <c r="PDU6" s="44">
        <f>Database!PEN14</f>
        <v>0</v>
      </c>
      <c r="PDV6" s="44">
        <f>Database!PEO14</f>
        <v>0</v>
      </c>
      <c r="PDW6" s="44">
        <f>Database!PEP14</f>
        <v>0</v>
      </c>
      <c r="PDX6" s="44">
        <f>Database!PEQ14</f>
        <v>0</v>
      </c>
      <c r="PDY6" s="44">
        <f>Database!PER14</f>
        <v>0</v>
      </c>
      <c r="PDZ6" s="44">
        <f>Database!PES14</f>
        <v>0</v>
      </c>
      <c r="PEA6" s="44">
        <f>Database!PET14</f>
        <v>0</v>
      </c>
      <c r="PEB6" s="44">
        <f>Database!PEU14</f>
        <v>0</v>
      </c>
      <c r="PEC6" s="44">
        <f>Database!PEV14</f>
        <v>0</v>
      </c>
      <c r="PED6" s="44">
        <f>Database!PEW14</f>
        <v>0</v>
      </c>
      <c r="PEE6" s="44">
        <f>Database!PEX14</f>
        <v>0</v>
      </c>
      <c r="PEF6" s="44">
        <f>Database!PEY14</f>
        <v>0</v>
      </c>
      <c r="PEG6" s="44">
        <f>Database!PEZ14</f>
        <v>0</v>
      </c>
      <c r="PEH6" s="44">
        <f>Database!PFA14</f>
        <v>0</v>
      </c>
      <c r="PEI6" s="44">
        <f>Database!PFB14</f>
        <v>0</v>
      </c>
      <c r="PEJ6" s="44">
        <f>Database!PFC14</f>
        <v>0</v>
      </c>
      <c r="PEK6" s="44">
        <f>Database!PFD14</f>
        <v>0</v>
      </c>
      <c r="PEL6" s="44">
        <f>Database!PFE14</f>
        <v>0</v>
      </c>
      <c r="PEM6" s="44">
        <f>Database!PFF14</f>
        <v>0</v>
      </c>
      <c r="PEN6" s="44">
        <f>Database!PFG14</f>
        <v>0</v>
      </c>
      <c r="PEO6" s="44">
        <f>Database!PFH14</f>
        <v>0</v>
      </c>
      <c r="PEP6" s="44">
        <f>Database!PFI14</f>
        <v>0</v>
      </c>
      <c r="PEQ6" s="44">
        <f>Database!PFJ14</f>
        <v>0</v>
      </c>
      <c r="PER6" s="44">
        <f>Database!PFK14</f>
        <v>0</v>
      </c>
      <c r="PES6" s="44">
        <f>Database!PFL14</f>
        <v>0</v>
      </c>
      <c r="PET6" s="44">
        <f>Database!PFM14</f>
        <v>0</v>
      </c>
      <c r="PEU6" s="44">
        <f>Database!PFN14</f>
        <v>0</v>
      </c>
      <c r="PEV6" s="44">
        <f>Database!PFO14</f>
        <v>0</v>
      </c>
      <c r="PEW6" s="44">
        <f>Database!PFP14</f>
        <v>0</v>
      </c>
      <c r="PEX6" s="44">
        <f>Database!PFQ14</f>
        <v>0</v>
      </c>
      <c r="PEY6" s="44">
        <f>Database!PFR14</f>
        <v>0</v>
      </c>
      <c r="PEZ6" s="44">
        <f>Database!PFS14</f>
        <v>0</v>
      </c>
      <c r="PFA6" s="44">
        <f>Database!PFT14</f>
        <v>0</v>
      </c>
      <c r="PFB6" s="44">
        <f>Database!PFU14</f>
        <v>0</v>
      </c>
      <c r="PFC6" s="44">
        <f>Database!PFV14</f>
        <v>0</v>
      </c>
      <c r="PFD6" s="44">
        <f>Database!PFW14</f>
        <v>0</v>
      </c>
      <c r="PFE6" s="44">
        <f>Database!PFX14</f>
        <v>0</v>
      </c>
      <c r="PFF6" s="44">
        <f>Database!PFY14</f>
        <v>0</v>
      </c>
      <c r="PFG6" s="44">
        <f>Database!PFZ14</f>
        <v>0</v>
      </c>
      <c r="PFH6" s="44">
        <f>Database!PGA14</f>
        <v>0</v>
      </c>
      <c r="PFI6" s="44">
        <f>Database!PGB14</f>
        <v>0</v>
      </c>
      <c r="PFJ6" s="44">
        <f>Database!PGC14</f>
        <v>0</v>
      </c>
      <c r="PFK6" s="44">
        <f>Database!PGD14</f>
        <v>0</v>
      </c>
      <c r="PFL6" s="44">
        <f>Database!PGE14</f>
        <v>0</v>
      </c>
      <c r="PFM6" s="44">
        <f>Database!PGF14</f>
        <v>0</v>
      </c>
      <c r="PFN6" s="44">
        <f>Database!PGG14</f>
        <v>0</v>
      </c>
      <c r="PFO6" s="44">
        <f>Database!PGH14</f>
        <v>0</v>
      </c>
      <c r="PFP6" s="44">
        <f>Database!PGI14</f>
        <v>0</v>
      </c>
      <c r="PFQ6" s="44">
        <f>Database!PGJ14</f>
        <v>0</v>
      </c>
      <c r="PFR6" s="44">
        <f>Database!PGK14</f>
        <v>0</v>
      </c>
      <c r="PFS6" s="44">
        <f>Database!PGL14</f>
        <v>0</v>
      </c>
      <c r="PFT6" s="44">
        <f>Database!PGM14</f>
        <v>0</v>
      </c>
      <c r="PFU6" s="44">
        <f>Database!PGN14</f>
        <v>0</v>
      </c>
      <c r="PFV6" s="44">
        <f>Database!PGO14</f>
        <v>0</v>
      </c>
      <c r="PFW6" s="44">
        <f>Database!PGP14</f>
        <v>0</v>
      </c>
      <c r="PFX6" s="44">
        <f>Database!PGQ14</f>
        <v>0</v>
      </c>
      <c r="PFY6" s="44">
        <f>Database!PGR14</f>
        <v>0</v>
      </c>
      <c r="PFZ6" s="44">
        <f>Database!PGS14</f>
        <v>0</v>
      </c>
      <c r="PGA6" s="44">
        <f>Database!PGT14</f>
        <v>0</v>
      </c>
      <c r="PGB6" s="44">
        <f>Database!PGU14</f>
        <v>0</v>
      </c>
      <c r="PGC6" s="44">
        <f>Database!PGV14</f>
        <v>0</v>
      </c>
      <c r="PGD6" s="44">
        <f>Database!PGW14</f>
        <v>0</v>
      </c>
      <c r="PGE6" s="44">
        <f>Database!PGX14</f>
        <v>0</v>
      </c>
      <c r="PGF6" s="44">
        <f>Database!PGY14</f>
        <v>0</v>
      </c>
      <c r="PGG6" s="44">
        <f>Database!PGZ14</f>
        <v>0</v>
      </c>
      <c r="PGH6" s="44">
        <f>Database!PHA14</f>
        <v>0</v>
      </c>
      <c r="PGI6" s="44">
        <f>Database!PHB14</f>
        <v>0</v>
      </c>
      <c r="PGJ6" s="44">
        <f>Database!PHC14</f>
        <v>0</v>
      </c>
      <c r="PGK6" s="44">
        <f>Database!PHD14</f>
        <v>0</v>
      </c>
      <c r="PGL6" s="44">
        <f>Database!PHE14</f>
        <v>0</v>
      </c>
      <c r="PGM6" s="44">
        <f>Database!PHF14</f>
        <v>0</v>
      </c>
      <c r="PGN6" s="44">
        <f>Database!PHG14</f>
        <v>0</v>
      </c>
      <c r="PGO6" s="44">
        <f>Database!PHH14</f>
        <v>0</v>
      </c>
      <c r="PGP6" s="44">
        <f>Database!PHI14</f>
        <v>0</v>
      </c>
      <c r="PGQ6" s="44">
        <f>Database!PHJ14</f>
        <v>0</v>
      </c>
      <c r="PGR6" s="44">
        <f>Database!PHK14</f>
        <v>0</v>
      </c>
      <c r="PGS6" s="44">
        <f>Database!PHL14</f>
        <v>0</v>
      </c>
      <c r="PGT6" s="44">
        <f>Database!PHM14</f>
        <v>0</v>
      </c>
      <c r="PGU6" s="44">
        <f>Database!PHN14</f>
        <v>0</v>
      </c>
      <c r="PGV6" s="44">
        <f>Database!PHO14</f>
        <v>0</v>
      </c>
      <c r="PGW6" s="44">
        <f>Database!PHP14</f>
        <v>0</v>
      </c>
      <c r="PGX6" s="44">
        <f>Database!PHQ14</f>
        <v>0</v>
      </c>
      <c r="PGY6" s="44">
        <f>Database!PHR14</f>
        <v>0</v>
      </c>
      <c r="PGZ6" s="44">
        <f>Database!PHS14</f>
        <v>0</v>
      </c>
      <c r="PHA6" s="44">
        <f>Database!PHT14</f>
        <v>0</v>
      </c>
      <c r="PHB6" s="44">
        <f>Database!PHU14</f>
        <v>0</v>
      </c>
      <c r="PHC6" s="44">
        <f>Database!PHV14</f>
        <v>0</v>
      </c>
      <c r="PHD6" s="44">
        <f>Database!PHW14</f>
        <v>0</v>
      </c>
      <c r="PHE6" s="44">
        <f>Database!PHX14</f>
        <v>0</v>
      </c>
      <c r="PHF6" s="44">
        <f>Database!PHY14</f>
        <v>0</v>
      </c>
      <c r="PHG6" s="44">
        <f>Database!PHZ14</f>
        <v>0</v>
      </c>
      <c r="PHH6" s="44">
        <f>Database!PIA14</f>
        <v>0</v>
      </c>
      <c r="PHI6" s="44">
        <f>Database!PIB14</f>
        <v>0</v>
      </c>
      <c r="PHJ6" s="44">
        <f>Database!PIC14</f>
        <v>0</v>
      </c>
      <c r="PHK6" s="44">
        <f>Database!PID14</f>
        <v>0</v>
      </c>
      <c r="PHL6" s="44">
        <f>Database!PIE14</f>
        <v>0</v>
      </c>
      <c r="PHM6" s="44">
        <f>Database!PIF14</f>
        <v>0</v>
      </c>
      <c r="PHN6" s="44">
        <f>Database!PIG14</f>
        <v>0</v>
      </c>
      <c r="PHO6" s="44">
        <f>Database!PIH14</f>
        <v>0</v>
      </c>
      <c r="PHP6" s="44">
        <f>Database!PII14</f>
        <v>0</v>
      </c>
      <c r="PHQ6" s="44">
        <f>Database!PIJ14</f>
        <v>0</v>
      </c>
      <c r="PHR6" s="44">
        <f>Database!PIK14</f>
        <v>0</v>
      </c>
      <c r="PHS6" s="44">
        <f>Database!PIL14</f>
        <v>0</v>
      </c>
      <c r="PHT6" s="44">
        <f>Database!PIM14</f>
        <v>0</v>
      </c>
      <c r="PHU6" s="44">
        <f>Database!PIN14</f>
        <v>0</v>
      </c>
      <c r="PHV6" s="44">
        <f>Database!PIO14</f>
        <v>0</v>
      </c>
      <c r="PHW6" s="44">
        <f>Database!PIP14</f>
        <v>0</v>
      </c>
      <c r="PHX6" s="44">
        <f>Database!PIQ14</f>
        <v>0</v>
      </c>
      <c r="PHY6" s="44">
        <f>Database!PIR14</f>
        <v>0</v>
      </c>
      <c r="PHZ6" s="44">
        <f>Database!PIS14</f>
        <v>0</v>
      </c>
      <c r="PIA6" s="44">
        <f>Database!PIT14</f>
        <v>0</v>
      </c>
      <c r="PIB6" s="44">
        <f>Database!PIU14</f>
        <v>0</v>
      </c>
      <c r="PIC6" s="44">
        <f>Database!PIV14</f>
        <v>0</v>
      </c>
      <c r="PID6" s="44">
        <f>Database!PIW14</f>
        <v>0</v>
      </c>
      <c r="PIE6" s="44">
        <f>Database!PIX14</f>
        <v>0</v>
      </c>
      <c r="PIF6" s="44">
        <f>Database!PIY14</f>
        <v>0</v>
      </c>
      <c r="PIG6" s="44">
        <f>Database!PIZ14</f>
        <v>0</v>
      </c>
      <c r="PIH6" s="44">
        <f>Database!PJA14</f>
        <v>0</v>
      </c>
      <c r="PII6" s="44">
        <f>Database!PJB14</f>
        <v>0</v>
      </c>
      <c r="PIJ6" s="44">
        <f>Database!PJC14</f>
        <v>0</v>
      </c>
      <c r="PIK6" s="44">
        <f>Database!PJD14</f>
        <v>0</v>
      </c>
      <c r="PIL6" s="44">
        <f>Database!PJE14</f>
        <v>0</v>
      </c>
      <c r="PIM6" s="44">
        <f>Database!PJF14</f>
        <v>0</v>
      </c>
      <c r="PIN6" s="44">
        <f>Database!PJG14</f>
        <v>0</v>
      </c>
      <c r="PIO6" s="44">
        <f>Database!PJH14</f>
        <v>0</v>
      </c>
      <c r="PIP6" s="44">
        <f>Database!PJI14</f>
        <v>0</v>
      </c>
      <c r="PIQ6" s="44">
        <f>Database!PJJ14</f>
        <v>0</v>
      </c>
      <c r="PIR6" s="44">
        <f>Database!PJK14</f>
        <v>0</v>
      </c>
      <c r="PIS6" s="44">
        <f>Database!PJL14</f>
        <v>0</v>
      </c>
      <c r="PIT6" s="44">
        <f>Database!PJM14</f>
        <v>0</v>
      </c>
      <c r="PIU6" s="44">
        <f>Database!PJN14</f>
        <v>0</v>
      </c>
      <c r="PIV6" s="44">
        <f>Database!PJO14</f>
        <v>0</v>
      </c>
      <c r="PIW6" s="44">
        <f>Database!PJP14</f>
        <v>0</v>
      </c>
      <c r="PIX6" s="44">
        <f>Database!PJQ14</f>
        <v>0</v>
      </c>
      <c r="PIY6" s="44">
        <f>Database!PJR14</f>
        <v>0</v>
      </c>
      <c r="PIZ6" s="44">
        <f>Database!PJS14</f>
        <v>0</v>
      </c>
      <c r="PJA6" s="44">
        <f>Database!PJT14</f>
        <v>0</v>
      </c>
      <c r="PJB6" s="44">
        <f>Database!PJU14</f>
        <v>0</v>
      </c>
      <c r="PJC6" s="44">
        <f>Database!PJV14</f>
        <v>0</v>
      </c>
      <c r="PJD6" s="44">
        <f>Database!PJW14</f>
        <v>0</v>
      </c>
      <c r="PJE6" s="44">
        <f>Database!PJX14</f>
        <v>0</v>
      </c>
      <c r="PJF6" s="44">
        <f>Database!PJY14</f>
        <v>0</v>
      </c>
      <c r="PJG6" s="44">
        <f>Database!PJZ14</f>
        <v>0</v>
      </c>
      <c r="PJH6" s="44">
        <f>Database!PKA14</f>
        <v>0</v>
      </c>
      <c r="PJI6" s="44">
        <f>Database!PKB14</f>
        <v>0</v>
      </c>
      <c r="PJJ6" s="44">
        <f>Database!PKC14</f>
        <v>0</v>
      </c>
      <c r="PJK6" s="44">
        <f>Database!PKD14</f>
        <v>0</v>
      </c>
      <c r="PJL6" s="44">
        <f>Database!PKE14</f>
        <v>0</v>
      </c>
      <c r="PJM6" s="44">
        <f>Database!PKF14</f>
        <v>0</v>
      </c>
      <c r="PJN6" s="44">
        <f>Database!PKG14</f>
        <v>0</v>
      </c>
      <c r="PJO6" s="44">
        <f>Database!PKH14</f>
        <v>0</v>
      </c>
      <c r="PJP6" s="44">
        <f>Database!PKI14</f>
        <v>0</v>
      </c>
      <c r="PJQ6" s="44">
        <f>Database!PKJ14</f>
        <v>0</v>
      </c>
      <c r="PJR6" s="44">
        <f>Database!PKK14</f>
        <v>0</v>
      </c>
      <c r="PJS6" s="44">
        <f>Database!PKL14</f>
        <v>0</v>
      </c>
      <c r="PJT6" s="44">
        <f>Database!PKM14</f>
        <v>0</v>
      </c>
      <c r="PJU6" s="44">
        <f>Database!PKN14</f>
        <v>0</v>
      </c>
      <c r="PJV6" s="44">
        <f>Database!PKO14</f>
        <v>0</v>
      </c>
      <c r="PJW6" s="44">
        <f>Database!PKP14</f>
        <v>0</v>
      </c>
      <c r="PJX6" s="44">
        <f>Database!PKQ14</f>
        <v>0</v>
      </c>
      <c r="PJY6" s="44">
        <f>Database!PKR14</f>
        <v>0</v>
      </c>
      <c r="PJZ6" s="44">
        <f>Database!PKS14</f>
        <v>0</v>
      </c>
      <c r="PKA6" s="44">
        <f>Database!PKT14</f>
        <v>0</v>
      </c>
      <c r="PKB6" s="44">
        <f>Database!PKU14</f>
        <v>0</v>
      </c>
      <c r="PKC6" s="44">
        <f>Database!PKV14</f>
        <v>0</v>
      </c>
      <c r="PKD6" s="44">
        <f>Database!PKW14</f>
        <v>0</v>
      </c>
      <c r="PKE6" s="44">
        <f>Database!PKX14</f>
        <v>0</v>
      </c>
      <c r="PKF6" s="44">
        <f>Database!PKY14</f>
        <v>0</v>
      </c>
      <c r="PKG6" s="44">
        <f>Database!PKZ14</f>
        <v>0</v>
      </c>
      <c r="PKH6" s="44">
        <f>Database!PLA14</f>
        <v>0</v>
      </c>
      <c r="PKI6" s="44">
        <f>Database!PLB14</f>
        <v>0</v>
      </c>
      <c r="PKJ6" s="44">
        <f>Database!PLC14</f>
        <v>0</v>
      </c>
      <c r="PKK6" s="44">
        <f>Database!PLD14</f>
        <v>0</v>
      </c>
      <c r="PKL6" s="44">
        <f>Database!PLE14</f>
        <v>0</v>
      </c>
      <c r="PKM6" s="44">
        <f>Database!PLF14</f>
        <v>0</v>
      </c>
      <c r="PKN6" s="44">
        <f>Database!PLG14</f>
        <v>0</v>
      </c>
      <c r="PKO6" s="44">
        <f>Database!PLH14</f>
        <v>0</v>
      </c>
      <c r="PKP6" s="44">
        <f>Database!PLI14</f>
        <v>0</v>
      </c>
      <c r="PKQ6" s="44">
        <f>Database!PLJ14</f>
        <v>0</v>
      </c>
      <c r="PKR6" s="44">
        <f>Database!PLK14</f>
        <v>0</v>
      </c>
      <c r="PKS6" s="44">
        <f>Database!PLL14</f>
        <v>0</v>
      </c>
      <c r="PKT6" s="44">
        <f>Database!PLM14</f>
        <v>0</v>
      </c>
      <c r="PKU6" s="44">
        <f>Database!PLN14</f>
        <v>0</v>
      </c>
      <c r="PKV6" s="44">
        <f>Database!PLO14</f>
        <v>0</v>
      </c>
      <c r="PKW6" s="44">
        <f>Database!PLP14</f>
        <v>0</v>
      </c>
      <c r="PKX6" s="44">
        <f>Database!PLQ14</f>
        <v>0</v>
      </c>
      <c r="PKY6" s="44">
        <f>Database!PLR14</f>
        <v>0</v>
      </c>
      <c r="PKZ6" s="44">
        <f>Database!PLS14</f>
        <v>0</v>
      </c>
      <c r="PLA6" s="44">
        <f>Database!PLT14</f>
        <v>0</v>
      </c>
      <c r="PLB6" s="44">
        <f>Database!PLU14</f>
        <v>0</v>
      </c>
      <c r="PLC6" s="44">
        <f>Database!PLV14</f>
        <v>0</v>
      </c>
      <c r="PLD6" s="44">
        <f>Database!PLW14</f>
        <v>0</v>
      </c>
      <c r="PLE6" s="44">
        <f>Database!PLX14</f>
        <v>0</v>
      </c>
      <c r="PLF6" s="44">
        <f>Database!PLY14</f>
        <v>0</v>
      </c>
      <c r="PLG6" s="44">
        <f>Database!PLZ14</f>
        <v>0</v>
      </c>
      <c r="PLH6" s="44">
        <f>Database!PMA14</f>
        <v>0</v>
      </c>
      <c r="PLI6" s="44">
        <f>Database!PMB14</f>
        <v>0</v>
      </c>
      <c r="PLJ6" s="44">
        <f>Database!PMC14</f>
        <v>0</v>
      </c>
      <c r="PLK6" s="44">
        <f>Database!PMD14</f>
        <v>0</v>
      </c>
      <c r="PLL6" s="44">
        <f>Database!PME14</f>
        <v>0</v>
      </c>
      <c r="PLM6" s="44">
        <f>Database!PMF14</f>
        <v>0</v>
      </c>
      <c r="PLN6" s="44">
        <f>Database!PMG14</f>
        <v>0</v>
      </c>
      <c r="PLO6" s="44">
        <f>Database!PMH14</f>
        <v>0</v>
      </c>
      <c r="PLP6" s="44">
        <f>Database!PMI14</f>
        <v>0</v>
      </c>
      <c r="PLQ6" s="44">
        <f>Database!PMJ14</f>
        <v>0</v>
      </c>
      <c r="PLR6" s="44">
        <f>Database!PMK14</f>
        <v>0</v>
      </c>
      <c r="PLS6" s="44">
        <f>Database!PML14</f>
        <v>0</v>
      </c>
      <c r="PLT6" s="44">
        <f>Database!PMM14</f>
        <v>0</v>
      </c>
      <c r="PLU6" s="44">
        <f>Database!PMN14</f>
        <v>0</v>
      </c>
      <c r="PLV6" s="44">
        <f>Database!PMO14</f>
        <v>0</v>
      </c>
      <c r="PLW6" s="44">
        <f>Database!PMP14</f>
        <v>0</v>
      </c>
      <c r="PLX6" s="44">
        <f>Database!PMQ14</f>
        <v>0</v>
      </c>
      <c r="PLY6" s="44">
        <f>Database!PMR14</f>
        <v>0</v>
      </c>
      <c r="PLZ6" s="44">
        <f>Database!PMS14</f>
        <v>0</v>
      </c>
      <c r="PMA6" s="44">
        <f>Database!PMT14</f>
        <v>0</v>
      </c>
      <c r="PMB6" s="44">
        <f>Database!PMU14</f>
        <v>0</v>
      </c>
      <c r="PMC6" s="44">
        <f>Database!PMV14</f>
        <v>0</v>
      </c>
      <c r="PMD6" s="44">
        <f>Database!PMW14</f>
        <v>0</v>
      </c>
      <c r="PME6" s="44">
        <f>Database!PMX14</f>
        <v>0</v>
      </c>
      <c r="PMF6" s="44">
        <f>Database!PMY14</f>
        <v>0</v>
      </c>
      <c r="PMG6" s="44">
        <f>Database!PMZ14</f>
        <v>0</v>
      </c>
      <c r="PMH6" s="44">
        <f>Database!PNA14</f>
        <v>0</v>
      </c>
      <c r="PMI6" s="44">
        <f>Database!PNB14</f>
        <v>0</v>
      </c>
      <c r="PMJ6" s="44">
        <f>Database!PNC14</f>
        <v>0</v>
      </c>
      <c r="PMK6" s="44">
        <f>Database!PND14</f>
        <v>0</v>
      </c>
      <c r="PML6" s="44">
        <f>Database!PNE14</f>
        <v>0</v>
      </c>
      <c r="PMM6" s="44">
        <f>Database!PNF14</f>
        <v>0</v>
      </c>
      <c r="PMN6" s="44">
        <f>Database!PNG14</f>
        <v>0</v>
      </c>
      <c r="PMO6" s="44">
        <f>Database!PNH14</f>
        <v>0</v>
      </c>
      <c r="PMP6" s="44">
        <f>Database!PNI14</f>
        <v>0</v>
      </c>
      <c r="PMQ6" s="44">
        <f>Database!PNJ14</f>
        <v>0</v>
      </c>
      <c r="PMR6" s="44">
        <f>Database!PNK14</f>
        <v>0</v>
      </c>
      <c r="PMS6" s="44">
        <f>Database!PNL14</f>
        <v>0</v>
      </c>
      <c r="PMT6" s="44">
        <f>Database!PNM14</f>
        <v>0</v>
      </c>
      <c r="PMU6" s="44">
        <f>Database!PNN14</f>
        <v>0</v>
      </c>
      <c r="PMV6" s="44">
        <f>Database!PNO14</f>
        <v>0</v>
      </c>
      <c r="PMW6" s="44">
        <f>Database!PNP14</f>
        <v>0</v>
      </c>
      <c r="PMX6" s="44">
        <f>Database!PNQ14</f>
        <v>0</v>
      </c>
      <c r="PMY6" s="44">
        <f>Database!PNR14</f>
        <v>0</v>
      </c>
      <c r="PMZ6" s="44">
        <f>Database!PNS14</f>
        <v>0</v>
      </c>
      <c r="PNA6" s="44">
        <f>Database!PNT14</f>
        <v>0</v>
      </c>
      <c r="PNB6" s="44">
        <f>Database!PNU14</f>
        <v>0</v>
      </c>
      <c r="PNC6" s="44">
        <f>Database!PNV14</f>
        <v>0</v>
      </c>
      <c r="PND6" s="44">
        <f>Database!PNW14</f>
        <v>0</v>
      </c>
      <c r="PNE6" s="44">
        <f>Database!PNX14</f>
        <v>0</v>
      </c>
      <c r="PNF6" s="44">
        <f>Database!PNY14</f>
        <v>0</v>
      </c>
      <c r="PNG6" s="44">
        <f>Database!PNZ14</f>
        <v>0</v>
      </c>
      <c r="PNH6" s="44">
        <f>Database!POA14</f>
        <v>0</v>
      </c>
      <c r="PNI6" s="44">
        <f>Database!POB14</f>
        <v>0</v>
      </c>
      <c r="PNJ6" s="44">
        <f>Database!POC14</f>
        <v>0</v>
      </c>
      <c r="PNK6" s="44">
        <f>Database!POD14</f>
        <v>0</v>
      </c>
      <c r="PNL6" s="44">
        <f>Database!POE14</f>
        <v>0</v>
      </c>
      <c r="PNM6" s="44">
        <f>Database!POF14</f>
        <v>0</v>
      </c>
      <c r="PNN6" s="44">
        <f>Database!POG14</f>
        <v>0</v>
      </c>
      <c r="PNO6" s="44">
        <f>Database!POH14</f>
        <v>0</v>
      </c>
      <c r="PNP6" s="44">
        <f>Database!POI14</f>
        <v>0</v>
      </c>
      <c r="PNQ6" s="44">
        <f>Database!POJ14</f>
        <v>0</v>
      </c>
      <c r="PNR6" s="44">
        <f>Database!POK14</f>
        <v>0</v>
      </c>
      <c r="PNS6" s="44">
        <f>Database!POL14</f>
        <v>0</v>
      </c>
      <c r="PNT6" s="44">
        <f>Database!POM14</f>
        <v>0</v>
      </c>
      <c r="PNU6" s="44">
        <f>Database!PON14</f>
        <v>0</v>
      </c>
      <c r="PNV6" s="44">
        <f>Database!POO14</f>
        <v>0</v>
      </c>
      <c r="PNW6" s="44">
        <f>Database!POP14</f>
        <v>0</v>
      </c>
      <c r="PNX6" s="44">
        <f>Database!POQ14</f>
        <v>0</v>
      </c>
      <c r="PNY6" s="44">
        <f>Database!POR14</f>
        <v>0</v>
      </c>
      <c r="PNZ6" s="44">
        <f>Database!POS14</f>
        <v>0</v>
      </c>
      <c r="POA6" s="44">
        <f>Database!POT14</f>
        <v>0</v>
      </c>
      <c r="POB6" s="44">
        <f>Database!POU14</f>
        <v>0</v>
      </c>
      <c r="POC6" s="44">
        <f>Database!POV14</f>
        <v>0</v>
      </c>
      <c r="POD6" s="44">
        <f>Database!POW14</f>
        <v>0</v>
      </c>
      <c r="POE6" s="44">
        <f>Database!POX14</f>
        <v>0</v>
      </c>
      <c r="POF6" s="44">
        <f>Database!POY14</f>
        <v>0</v>
      </c>
      <c r="POG6" s="44">
        <f>Database!POZ14</f>
        <v>0</v>
      </c>
      <c r="POH6" s="44">
        <f>Database!PPA14</f>
        <v>0</v>
      </c>
      <c r="POI6" s="44">
        <f>Database!PPB14</f>
        <v>0</v>
      </c>
      <c r="POJ6" s="44">
        <f>Database!PPC14</f>
        <v>0</v>
      </c>
      <c r="POK6" s="44">
        <f>Database!PPD14</f>
        <v>0</v>
      </c>
      <c r="POL6" s="44">
        <f>Database!PPE14</f>
        <v>0</v>
      </c>
      <c r="POM6" s="44">
        <f>Database!PPF14</f>
        <v>0</v>
      </c>
      <c r="PON6" s="44">
        <f>Database!PPG14</f>
        <v>0</v>
      </c>
      <c r="POO6" s="44">
        <f>Database!PPH14</f>
        <v>0</v>
      </c>
      <c r="POP6" s="44">
        <f>Database!PPI14</f>
        <v>0</v>
      </c>
      <c r="POQ6" s="44">
        <f>Database!PPJ14</f>
        <v>0</v>
      </c>
      <c r="POR6" s="44">
        <f>Database!PPK14</f>
        <v>0</v>
      </c>
      <c r="POS6" s="44">
        <f>Database!PPL14</f>
        <v>0</v>
      </c>
      <c r="POT6" s="44">
        <f>Database!PPM14</f>
        <v>0</v>
      </c>
      <c r="POU6" s="44">
        <f>Database!PPN14</f>
        <v>0</v>
      </c>
      <c r="POV6" s="44">
        <f>Database!PPO14</f>
        <v>0</v>
      </c>
      <c r="POW6" s="44">
        <f>Database!PPP14</f>
        <v>0</v>
      </c>
      <c r="POX6" s="44">
        <f>Database!PPQ14</f>
        <v>0</v>
      </c>
      <c r="POY6" s="44">
        <f>Database!PPR14</f>
        <v>0</v>
      </c>
      <c r="POZ6" s="44">
        <f>Database!PPS14</f>
        <v>0</v>
      </c>
      <c r="PPA6" s="44">
        <f>Database!PPT14</f>
        <v>0</v>
      </c>
      <c r="PPB6" s="44">
        <f>Database!PPU14</f>
        <v>0</v>
      </c>
      <c r="PPC6" s="44">
        <f>Database!PPV14</f>
        <v>0</v>
      </c>
      <c r="PPD6" s="44">
        <f>Database!PPW14</f>
        <v>0</v>
      </c>
      <c r="PPE6" s="44">
        <f>Database!PPX14</f>
        <v>0</v>
      </c>
      <c r="PPF6" s="44">
        <f>Database!PPY14</f>
        <v>0</v>
      </c>
      <c r="PPG6" s="44">
        <f>Database!PPZ14</f>
        <v>0</v>
      </c>
      <c r="PPH6" s="44">
        <f>Database!PQA14</f>
        <v>0</v>
      </c>
      <c r="PPI6" s="44">
        <f>Database!PQB14</f>
        <v>0</v>
      </c>
      <c r="PPJ6" s="44">
        <f>Database!PQC14</f>
        <v>0</v>
      </c>
      <c r="PPK6" s="44">
        <f>Database!PQD14</f>
        <v>0</v>
      </c>
      <c r="PPL6" s="44">
        <f>Database!PQE14</f>
        <v>0</v>
      </c>
      <c r="PPM6" s="44">
        <f>Database!PQF14</f>
        <v>0</v>
      </c>
      <c r="PPN6" s="44">
        <f>Database!PQG14</f>
        <v>0</v>
      </c>
      <c r="PPO6" s="44">
        <f>Database!PQH14</f>
        <v>0</v>
      </c>
      <c r="PPP6" s="44">
        <f>Database!PQI14</f>
        <v>0</v>
      </c>
      <c r="PPQ6" s="44">
        <f>Database!PQJ14</f>
        <v>0</v>
      </c>
      <c r="PPR6" s="44">
        <f>Database!PQK14</f>
        <v>0</v>
      </c>
      <c r="PPS6" s="44">
        <f>Database!PQL14</f>
        <v>0</v>
      </c>
      <c r="PPT6" s="44">
        <f>Database!PQM14</f>
        <v>0</v>
      </c>
      <c r="PPU6" s="44">
        <f>Database!PQN14</f>
        <v>0</v>
      </c>
      <c r="PPV6" s="44">
        <f>Database!PQO14</f>
        <v>0</v>
      </c>
      <c r="PPW6" s="44">
        <f>Database!PQP14</f>
        <v>0</v>
      </c>
      <c r="PPX6" s="44">
        <f>Database!PQQ14</f>
        <v>0</v>
      </c>
      <c r="PPY6" s="44">
        <f>Database!PQR14</f>
        <v>0</v>
      </c>
      <c r="PPZ6" s="44">
        <f>Database!PQS14</f>
        <v>0</v>
      </c>
      <c r="PQA6" s="44">
        <f>Database!PQT14</f>
        <v>0</v>
      </c>
      <c r="PQB6" s="44">
        <f>Database!PQU14</f>
        <v>0</v>
      </c>
      <c r="PQC6" s="44">
        <f>Database!PQV14</f>
        <v>0</v>
      </c>
      <c r="PQD6" s="44">
        <f>Database!PQW14</f>
        <v>0</v>
      </c>
      <c r="PQE6" s="44">
        <f>Database!PQX14</f>
        <v>0</v>
      </c>
      <c r="PQF6" s="44">
        <f>Database!PQY14</f>
        <v>0</v>
      </c>
      <c r="PQG6" s="44">
        <f>Database!PQZ14</f>
        <v>0</v>
      </c>
      <c r="PQH6" s="44">
        <f>Database!PRA14</f>
        <v>0</v>
      </c>
      <c r="PQI6" s="44">
        <f>Database!PRB14</f>
        <v>0</v>
      </c>
      <c r="PQJ6" s="44">
        <f>Database!PRC14</f>
        <v>0</v>
      </c>
      <c r="PQK6" s="44">
        <f>Database!PRD14</f>
        <v>0</v>
      </c>
      <c r="PQL6" s="44">
        <f>Database!PRE14</f>
        <v>0</v>
      </c>
      <c r="PQM6" s="44">
        <f>Database!PRF14</f>
        <v>0</v>
      </c>
      <c r="PQN6" s="44">
        <f>Database!PRG14</f>
        <v>0</v>
      </c>
      <c r="PQO6" s="44">
        <f>Database!PRH14</f>
        <v>0</v>
      </c>
      <c r="PQP6" s="44">
        <f>Database!PRI14</f>
        <v>0</v>
      </c>
      <c r="PQQ6" s="44">
        <f>Database!PRJ14</f>
        <v>0</v>
      </c>
      <c r="PQR6" s="44">
        <f>Database!PRK14</f>
        <v>0</v>
      </c>
      <c r="PQS6" s="44">
        <f>Database!PRL14</f>
        <v>0</v>
      </c>
      <c r="PQT6" s="44">
        <f>Database!PRM14</f>
        <v>0</v>
      </c>
      <c r="PQU6" s="44">
        <f>Database!PRN14</f>
        <v>0</v>
      </c>
      <c r="PQV6" s="44">
        <f>Database!PRO14</f>
        <v>0</v>
      </c>
      <c r="PQW6" s="44">
        <f>Database!PRP14</f>
        <v>0</v>
      </c>
      <c r="PQX6" s="44">
        <f>Database!PRQ14</f>
        <v>0</v>
      </c>
      <c r="PQY6" s="44">
        <f>Database!PRR14</f>
        <v>0</v>
      </c>
      <c r="PQZ6" s="44">
        <f>Database!PRS14</f>
        <v>0</v>
      </c>
      <c r="PRA6" s="44">
        <f>Database!PRT14</f>
        <v>0</v>
      </c>
      <c r="PRB6" s="44">
        <f>Database!PRU14</f>
        <v>0</v>
      </c>
      <c r="PRC6" s="44">
        <f>Database!PRV14</f>
        <v>0</v>
      </c>
      <c r="PRD6" s="44">
        <f>Database!PRW14</f>
        <v>0</v>
      </c>
      <c r="PRE6" s="44">
        <f>Database!PRX14</f>
        <v>0</v>
      </c>
      <c r="PRF6" s="44">
        <f>Database!PRY14</f>
        <v>0</v>
      </c>
      <c r="PRG6" s="44">
        <f>Database!PRZ14</f>
        <v>0</v>
      </c>
      <c r="PRH6" s="44">
        <f>Database!PSA14</f>
        <v>0</v>
      </c>
      <c r="PRI6" s="44">
        <f>Database!PSB14</f>
        <v>0</v>
      </c>
      <c r="PRJ6" s="44">
        <f>Database!PSC14</f>
        <v>0</v>
      </c>
      <c r="PRK6" s="44">
        <f>Database!PSD14</f>
        <v>0</v>
      </c>
      <c r="PRL6" s="44">
        <f>Database!PSE14</f>
        <v>0</v>
      </c>
      <c r="PRM6" s="44">
        <f>Database!PSF14</f>
        <v>0</v>
      </c>
      <c r="PRN6" s="44">
        <f>Database!PSG14</f>
        <v>0</v>
      </c>
      <c r="PRO6" s="44">
        <f>Database!PSH14</f>
        <v>0</v>
      </c>
      <c r="PRP6" s="44">
        <f>Database!PSI14</f>
        <v>0</v>
      </c>
      <c r="PRQ6" s="44">
        <f>Database!PSJ14</f>
        <v>0</v>
      </c>
      <c r="PRR6" s="44">
        <f>Database!PSK14</f>
        <v>0</v>
      </c>
      <c r="PRS6" s="44">
        <f>Database!PSL14</f>
        <v>0</v>
      </c>
      <c r="PRT6" s="44">
        <f>Database!PSM14</f>
        <v>0</v>
      </c>
      <c r="PRU6" s="44">
        <f>Database!PSN14</f>
        <v>0</v>
      </c>
      <c r="PRV6" s="44">
        <f>Database!PSO14</f>
        <v>0</v>
      </c>
      <c r="PRW6" s="44">
        <f>Database!PSP14</f>
        <v>0</v>
      </c>
      <c r="PRX6" s="44">
        <f>Database!PSQ14</f>
        <v>0</v>
      </c>
      <c r="PRY6" s="44">
        <f>Database!PSR14</f>
        <v>0</v>
      </c>
      <c r="PRZ6" s="44">
        <f>Database!PSS14</f>
        <v>0</v>
      </c>
      <c r="PSA6" s="44">
        <f>Database!PST14</f>
        <v>0</v>
      </c>
      <c r="PSB6" s="44">
        <f>Database!PSU14</f>
        <v>0</v>
      </c>
      <c r="PSC6" s="44">
        <f>Database!PSV14</f>
        <v>0</v>
      </c>
      <c r="PSD6" s="44">
        <f>Database!PSW14</f>
        <v>0</v>
      </c>
      <c r="PSE6" s="44">
        <f>Database!PSX14</f>
        <v>0</v>
      </c>
      <c r="PSF6" s="44">
        <f>Database!PSY14</f>
        <v>0</v>
      </c>
      <c r="PSG6" s="44">
        <f>Database!PSZ14</f>
        <v>0</v>
      </c>
      <c r="PSH6" s="44">
        <f>Database!PTA14</f>
        <v>0</v>
      </c>
      <c r="PSI6" s="44">
        <f>Database!PTB14</f>
        <v>0</v>
      </c>
      <c r="PSJ6" s="44">
        <f>Database!PTC14</f>
        <v>0</v>
      </c>
      <c r="PSK6" s="44">
        <f>Database!PTD14</f>
        <v>0</v>
      </c>
      <c r="PSL6" s="44">
        <f>Database!PTE14</f>
        <v>0</v>
      </c>
      <c r="PSM6" s="44">
        <f>Database!PTF14</f>
        <v>0</v>
      </c>
      <c r="PSN6" s="44">
        <f>Database!PTG14</f>
        <v>0</v>
      </c>
      <c r="PSO6" s="44">
        <f>Database!PTH14</f>
        <v>0</v>
      </c>
      <c r="PSP6" s="44">
        <f>Database!PTI14</f>
        <v>0</v>
      </c>
      <c r="PSQ6" s="44">
        <f>Database!PTJ14</f>
        <v>0</v>
      </c>
      <c r="PSR6" s="44">
        <f>Database!PTK14</f>
        <v>0</v>
      </c>
      <c r="PSS6" s="44">
        <f>Database!PTL14</f>
        <v>0</v>
      </c>
      <c r="PST6" s="44">
        <f>Database!PTM14</f>
        <v>0</v>
      </c>
      <c r="PSU6" s="44">
        <f>Database!PTN14</f>
        <v>0</v>
      </c>
      <c r="PSV6" s="44">
        <f>Database!PTO14</f>
        <v>0</v>
      </c>
      <c r="PSW6" s="44">
        <f>Database!PTP14</f>
        <v>0</v>
      </c>
      <c r="PSX6" s="44">
        <f>Database!PTQ14</f>
        <v>0</v>
      </c>
      <c r="PSY6" s="44">
        <f>Database!PTR14</f>
        <v>0</v>
      </c>
      <c r="PSZ6" s="44">
        <f>Database!PTS14</f>
        <v>0</v>
      </c>
      <c r="PTA6" s="44">
        <f>Database!PTT14</f>
        <v>0</v>
      </c>
      <c r="PTB6" s="44">
        <f>Database!PTU14</f>
        <v>0</v>
      </c>
      <c r="PTC6" s="44">
        <f>Database!PTV14</f>
        <v>0</v>
      </c>
      <c r="PTD6" s="44">
        <f>Database!PTW14</f>
        <v>0</v>
      </c>
      <c r="PTE6" s="44">
        <f>Database!PTX14</f>
        <v>0</v>
      </c>
      <c r="PTF6" s="44">
        <f>Database!PTY14</f>
        <v>0</v>
      </c>
      <c r="PTG6" s="44">
        <f>Database!PTZ14</f>
        <v>0</v>
      </c>
      <c r="PTH6" s="44">
        <f>Database!PUA14</f>
        <v>0</v>
      </c>
      <c r="PTI6" s="44">
        <f>Database!PUB14</f>
        <v>0</v>
      </c>
      <c r="PTJ6" s="44">
        <f>Database!PUC14</f>
        <v>0</v>
      </c>
      <c r="PTK6" s="44">
        <f>Database!PUD14</f>
        <v>0</v>
      </c>
      <c r="PTL6" s="44">
        <f>Database!PUE14</f>
        <v>0</v>
      </c>
      <c r="PTM6" s="44">
        <f>Database!PUF14</f>
        <v>0</v>
      </c>
      <c r="PTN6" s="44">
        <f>Database!PUG14</f>
        <v>0</v>
      </c>
      <c r="PTO6" s="44">
        <f>Database!PUH14</f>
        <v>0</v>
      </c>
      <c r="PTP6" s="44">
        <f>Database!PUI14</f>
        <v>0</v>
      </c>
      <c r="PTQ6" s="44">
        <f>Database!PUJ14</f>
        <v>0</v>
      </c>
      <c r="PTR6" s="44">
        <f>Database!PUK14</f>
        <v>0</v>
      </c>
      <c r="PTS6" s="44">
        <f>Database!PUL14</f>
        <v>0</v>
      </c>
      <c r="PTT6" s="44">
        <f>Database!PUM14</f>
        <v>0</v>
      </c>
      <c r="PTU6" s="44">
        <f>Database!PUN14</f>
        <v>0</v>
      </c>
      <c r="PTV6" s="44">
        <f>Database!PUO14</f>
        <v>0</v>
      </c>
      <c r="PTW6" s="44">
        <f>Database!PUP14</f>
        <v>0</v>
      </c>
      <c r="PTX6" s="44">
        <f>Database!PUQ14</f>
        <v>0</v>
      </c>
      <c r="PTY6" s="44">
        <f>Database!PUR14</f>
        <v>0</v>
      </c>
      <c r="PTZ6" s="44">
        <f>Database!PUS14</f>
        <v>0</v>
      </c>
      <c r="PUA6" s="44">
        <f>Database!PUT14</f>
        <v>0</v>
      </c>
      <c r="PUB6" s="44">
        <f>Database!PUU14</f>
        <v>0</v>
      </c>
      <c r="PUC6" s="44">
        <f>Database!PUV14</f>
        <v>0</v>
      </c>
      <c r="PUD6" s="44">
        <f>Database!PUW14</f>
        <v>0</v>
      </c>
      <c r="PUE6" s="44">
        <f>Database!PUX14</f>
        <v>0</v>
      </c>
      <c r="PUF6" s="44">
        <f>Database!PUY14</f>
        <v>0</v>
      </c>
      <c r="PUG6" s="44">
        <f>Database!PUZ14</f>
        <v>0</v>
      </c>
      <c r="PUH6" s="44">
        <f>Database!PVA14</f>
        <v>0</v>
      </c>
      <c r="PUI6" s="44">
        <f>Database!PVB14</f>
        <v>0</v>
      </c>
      <c r="PUJ6" s="44">
        <f>Database!PVC14</f>
        <v>0</v>
      </c>
      <c r="PUK6" s="44">
        <f>Database!PVD14</f>
        <v>0</v>
      </c>
      <c r="PUL6" s="44">
        <f>Database!PVE14</f>
        <v>0</v>
      </c>
      <c r="PUM6" s="44">
        <f>Database!PVF14</f>
        <v>0</v>
      </c>
      <c r="PUN6" s="44">
        <f>Database!PVG14</f>
        <v>0</v>
      </c>
      <c r="PUO6" s="44">
        <f>Database!PVH14</f>
        <v>0</v>
      </c>
      <c r="PUP6" s="44">
        <f>Database!PVI14</f>
        <v>0</v>
      </c>
      <c r="PUQ6" s="44">
        <f>Database!PVJ14</f>
        <v>0</v>
      </c>
      <c r="PUR6" s="44">
        <f>Database!PVK14</f>
        <v>0</v>
      </c>
      <c r="PUS6" s="44">
        <f>Database!PVL14</f>
        <v>0</v>
      </c>
      <c r="PUT6" s="44">
        <f>Database!PVM14</f>
        <v>0</v>
      </c>
      <c r="PUU6" s="44">
        <f>Database!PVN14</f>
        <v>0</v>
      </c>
      <c r="PUV6" s="44">
        <f>Database!PVO14</f>
        <v>0</v>
      </c>
      <c r="PUW6" s="44">
        <f>Database!PVP14</f>
        <v>0</v>
      </c>
      <c r="PUX6" s="44">
        <f>Database!PVQ14</f>
        <v>0</v>
      </c>
      <c r="PUY6" s="44">
        <f>Database!PVR14</f>
        <v>0</v>
      </c>
      <c r="PUZ6" s="44">
        <f>Database!PVS14</f>
        <v>0</v>
      </c>
      <c r="PVA6" s="44">
        <f>Database!PVT14</f>
        <v>0</v>
      </c>
      <c r="PVB6" s="44">
        <f>Database!PVU14</f>
        <v>0</v>
      </c>
      <c r="PVC6" s="44">
        <f>Database!PVV14</f>
        <v>0</v>
      </c>
      <c r="PVD6" s="44">
        <f>Database!PVW14</f>
        <v>0</v>
      </c>
      <c r="PVE6" s="44">
        <f>Database!PVX14</f>
        <v>0</v>
      </c>
      <c r="PVF6" s="44">
        <f>Database!PVY14</f>
        <v>0</v>
      </c>
      <c r="PVG6" s="44">
        <f>Database!PVZ14</f>
        <v>0</v>
      </c>
      <c r="PVH6" s="44">
        <f>Database!PWA14</f>
        <v>0</v>
      </c>
      <c r="PVI6" s="44">
        <f>Database!PWB14</f>
        <v>0</v>
      </c>
      <c r="PVJ6" s="44">
        <f>Database!PWC14</f>
        <v>0</v>
      </c>
      <c r="PVK6" s="44">
        <f>Database!PWD14</f>
        <v>0</v>
      </c>
      <c r="PVL6" s="44">
        <f>Database!PWE14</f>
        <v>0</v>
      </c>
      <c r="PVM6" s="44">
        <f>Database!PWF14</f>
        <v>0</v>
      </c>
      <c r="PVN6" s="44">
        <f>Database!PWG14</f>
        <v>0</v>
      </c>
      <c r="PVO6" s="44">
        <f>Database!PWH14</f>
        <v>0</v>
      </c>
      <c r="PVP6" s="44">
        <f>Database!PWI14</f>
        <v>0</v>
      </c>
      <c r="PVQ6" s="44">
        <f>Database!PWJ14</f>
        <v>0</v>
      </c>
      <c r="PVR6" s="44">
        <f>Database!PWK14</f>
        <v>0</v>
      </c>
      <c r="PVS6" s="44">
        <f>Database!PWL14</f>
        <v>0</v>
      </c>
      <c r="PVT6" s="44">
        <f>Database!PWM14</f>
        <v>0</v>
      </c>
      <c r="PVU6" s="44">
        <f>Database!PWN14</f>
        <v>0</v>
      </c>
      <c r="PVV6" s="44">
        <f>Database!PWO14</f>
        <v>0</v>
      </c>
      <c r="PVW6" s="44">
        <f>Database!PWP14</f>
        <v>0</v>
      </c>
      <c r="PVX6" s="44">
        <f>Database!PWQ14</f>
        <v>0</v>
      </c>
      <c r="PVY6" s="44">
        <f>Database!PWR14</f>
        <v>0</v>
      </c>
      <c r="PVZ6" s="44">
        <f>Database!PWS14</f>
        <v>0</v>
      </c>
      <c r="PWA6" s="44">
        <f>Database!PWT14</f>
        <v>0</v>
      </c>
      <c r="PWB6" s="44">
        <f>Database!PWU14</f>
        <v>0</v>
      </c>
      <c r="PWC6" s="44">
        <f>Database!PWV14</f>
        <v>0</v>
      </c>
      <c r="PWD6" s="44">
        <f>Database!PWW14</f>
        <v>0</v>
      </c>
      <c r="PWE6" s="44">
        <f>Database!PWX14</f>
        <v>0</v>
      </c>
      <c r="PWF6" s="44">
        <f>Database!PWY14</f>
        <v>0</v>
      </c>
      <c r="PWG6" s="44">
        <f>Database!PWZ14</f>
        <v>0</v>
      </c>
      <c r="PWH6" s="44">
        <f>Database!PXA14</f>
        <v>0</v>
      </c>
      <c r="PWI6" s="44">
        <f>Database!PXB14</f>
        <v>0</v>
      </c>
      <c r="PWJ6" s="44">
        <f>Database!PXC14</f>
        <v>0</v>
      </c>
      <c r="PWK6" s="44">
        <f>Database!PXD14</f>
        <v>0</v>
      </c>
      <c r="PWL6" s="44">
        <f>Database!PXE14</f>
        <v>0</v>
      </c>
      <c r="PWM6" s="44">
        <f>Database!PXF14</f>
        <v>0</v>
      </c>
      <c r="PWN6" s="44">
        <f>Database!PXG14</f>
        <v>0</v>
      </c>
      <c r="PWO6" s="44">
        <f>Database!PXH14</f>
        <v>0</v>
      </c>
      <c r="PWP6" s="44">
        <f>Database!PXI14</f>
        <v>0</v>
      </c>
      <c r="PWQ6" s="44">
        <f>Database!PXJ14</f>
        <v>0</v>
      </c>
      <c r="PWR6" s="44">
        <f>Database!PXK14</f>
        <v>0</v>
      </c>
      <c r="PWS6" s="44">
        <f>Database!PXL14</f>
        <v>0</v>
      </c>
      <c r="PWT6" s="44">
        <f>Database!PXM14</f>
        <v>0</v>
      </c>
      <c r="PWU6" s="44">
        <f>Database!PXN14</f>
        <v>0</v>
      </c>
      <c r="PWV6" s="44">
        <f>Database!PXO14</f>
        <v>0</v>
      </c>
      <c r="PWW6" s="44">
        <f>Database!PXP14</f>
        <v>0</v>
      </c>
      <c r="PWX6" s="44">
        <f>Database!PXQ14</f>
        <v>0</v>
      </c>
      <c r="PWY6" s="44">
        <f>Database!PXR14</f>
        <v>0</v>
      </c>
      <c r="PWZ6" s="44">
        <f>Database!PXS14</f>
        <v>0</v>
      </c>
      <c r="PXA6" s="44">
        <f>Database!PXT14</f>
        <v>0</v>
      </c>
      <c r="PXB6" s="44">
        <f>Database!PXU14</f>
        <v>0</v>
      </c>
      <c r="PXC6" s="44">
        <f>Database!PXV14</f>
        <v>0</v>
      </c>
      <c r="PXD6" s="44">
        <f>Database!PXW14</f>
        <v>0</v>
      </c>
      <c r="PXE6" s="44">
        <f>Database!PXX14</f>
        <v>0</v>
      </c>
      <c r="PXF6" s="44">
        <f>Database!PXY14</f>
        <v>0</v>
      </c>
      <c r="PXG6" s="44">
        <f>Database!PXZ14</f>
        <v>0</v>
      </c>
      <c r="PXH6" s="44">
        <f>Database!PYA14</f>
        <v>0</v>
      </c>
      <c r="PXI6" s="44">
        <f>Database!PYB14</f>
        <v>0</v>
      </c>
      <c r="PXJ6" s="44">
        <f>Database!PYC14</f>
        <v>0</v>
      </c>
      <c r="PXK6" s="44">
        <f>Database!PYD14</f>
        <v>0</v>
      </c>
      <c r="PXL6" s="44">
        <f>Database!PYE14</f>
        <v>0</v>
      </c>
      <c r="PXM6" s="44">
        <f>Database!PYF14</f>
        <v>0</v>
      </c>
      <c r="PXN6" s="44">
        <f>Database!PYG14</f>
        <v>0</v>
      </c>
      <c r="PXO6" s="44">
        <f>Database!PYH14</f>
        <v>0</v>
      </c>
      <c r="PXP6" s="44">
        <f>Database!PYI14</f>
        <v>0</v>
      </c>
      <c r="PXQ6" s="44">
        <f>Database!PYJ14</f>
        <v>0</v>
      </c>
      <c r="PXR6" s="44">
        <f>Database!PYK14</f>
        <v>0</v>
      </c>
      <c r="PXS6" s="44">
        <f>Database!PYL14</f>
        <v>0</v>
      </c>
      <c r="PXT6" s="44">
        <f>Database!PYM14</f>
        <v>0</v>
      </c>
      <c r="PXU6" s="44">
        <f>Database!PYN14</f>
        <v>0</v>
      </c>
      <c r="PXV6" s="44">
        <f>Database!PYO14</f>
        <v>0</v>
      </c>
      <c r="PXW6" s="44">
        <f>Database!PYP14</f>
        <v>0</v>
      </c>
      <c r="PXX6" s="44">
        <f>Database!PYQ14</f>
        <v>0</v>
      </c>
      <c r="PXY6" s="44">
        <f>Database!PYR14</f>
        <v>0</v>
      </c>
      <c r="PXZ6" s="44">
        <f>Database!PYS14</f>
        <v>0</v>
      </c>
      <c r="PYA6" s="44">
        <f>Database!PYT14</f>
        <v>0</v>
      </c>
      <c r="PYB6" s="44">
        <f>Database!PYU14</f>
        <v>0</v>
      </c>
      <c r="PYC6" s="44">
        <f>Database!PYV14</f>
        <v>0</v>
      </c>
      <c r="PYD6" s="44">
        <f>Database!PYW14</f>
        <v>0</v>
      </c>
      <c r="PYE6" s="44">
        <f>Database!PYX14</f>
        <v>0</v>
      </c>
      <c r="PYF6" s="44">
        <f>Database!PYY14</f>
        <v>0</v>
      </c>
      <c r="PYG6" s="44">
        <f>Database!PYZ14</f>
        <v>0</v>
      </c>
      <c r="PYH6" s="44">
        <f>Database!PZA14</f>
        <v>0</v>
      </c>
      <c r="PYI6" s="44">
        <f>Database!PZB14</f>
        <v>0</v>
      </c>
      <c r="PYJ6" s="44">
        <f>Database!PZC14</f>
        <v>0</v>
      </c>
      <c r="PYK6" s="44">
        <f>Database!PZD14</f>
        <v>0</v>
      </c>
      <c r="PYL6" s="44">
        <f>Database!PZE14</f>
        <v>0</v>
      </c>
      <c r="PYM6" s="44">
        <f>Database!PZF14</f>
        <v>0</v>
      </c>
      <c r="PYN6" s="44">
        <f>Database!PZG14</f>
        <v>0</v>
      </c>
      <c r="PYO6" s="44">
        <f>Database!PZH14</f>
        <v>0</v>
      </c>
      <c r="PYP6" s="44">
        <f>Database!PZI14</f>
        <v>0</v>
      </c>
      <c r="PYQ6" s="44">
        <f>Database!PZJ14</f>
        <v>0</v>
      </c>
      <c r="PYR6" s="44">
        <f>Database!PZK14</f>
        <v>0</v>
      </c>
      <c r="PYS6" s="44">
        <f>Database!PZL14</f>
        <v>0</v>
      </c>
      <c r="PYT6" s="44">
        <f>Database!PZM14</f>
        <v>0</v>
      </c>
      <c r="PYU6" s="44">
        <f>Database!PZN14</f>
        <v>0</v>
      </c>
      <c r="PYV6" s="44">
        <f>Database!PZO14</f>
        <v>0</v>
      </c>
      <c r="PYW6" s="44">
        <f>Database!PZP14</f>
        <v>0</v>
      </c>
      <c r="PYX6" s="44">
        <f>Database!PZQ14</f>
        <v>0</v>
      </c>
      <c r="PYY6" s="44">
        <f>Database!PZR14</f>
        <v>0</v>
      </c>
      <c r="PYZ6" s="44">
        <f>Database!PZS14</f>
        <v>0</v>
      </c>
      <c r="PZA6" s="44">
        <f>Database!PZT14</f>
        <v>0</v>
      </c>
      <c r="PZB6" s="44">
        <f>Database!PZU14</f>
        <v>0</v>
      </c>
      <c r="PZC6" s="44">
        <f>Database!PZV14</f>
        <v>0</v>
      </c>
      <c r="PZD6" s="44">
        <f>Database!PZW14</f>
        <v>0</v>
      </c>
      <c r="PZE6" s="44">
        <f>Database!PZX14</f>
        <v>0</v>
      </c>
      <c r="PZF6" s="44">
        <f>Database!PZY14</f>
        <v>0</v>
      </c>
      <c r="PZG6" s="44">
        <f>Database!PZZ14</f>
        <v>0</v>
      </c>
      <c r="PZH6" s="44">
        <f>Database!QAA14</f>
        <v>0</v>
      </c>
      <c r="PZI6" s="44">
        <f>Database!QAB14</f>
        <v>0</v>
      </c>
      <c r="PZJ6" s="44">
        <f>Database!QAC14</f>
        <v>0</v>
      </c>
      <c r="PZK6" s="44">
        <f>Database!QAD14</f>
        <v>0</v>
      </c>
      <c r="PZL6" s="44">
        <f>Database!QAE14</f>
        <v>0</v>
      </c>
      <c r="PZM6" s="44">
        <f>Database!QAF14</f>
        <v>0</v>
      </c>
      <c r="PZN6" s="44">
        <f>Database!QAG14</f>
        <v>0</v>
      </c>
      <c r="PZO6" s="44">
        <f>Database!QAH14</f>
        <v>0</v>
      </c>
      <c r="PZP6" s="44">
        <f>Database!QAI14</f>
        <v>0</v>
      </c>
      <c r="PZQ6" s="44">
        <f>Database!QAJ14</f>
        <v>0</v>
      </c>
      <c r="PZR6" s="44">
        <f>Database!QAK14</f>
        <v>0</v>
      </c>
      <c r="PZS6" s="44">
        <f>Database!QAL14</f>
        <v>0</v>
      </c>
      <c r="PZT6" s="44">
        <f>Database!QAM14</f>
        <v>0</v>
      </c>
      <c r="PZU6" s="44">
        <f>Database!QAN14</f>
        <v>0</v>
      </c>
      <c r="PZV6" s="44">
        <f>Database!QAO14</f>
        <v>0</v>
      </c>
      <c r="PZW6" s="44">
        <f>Database!QAP14</f>
        <v>0</v>
      </c>
      <c r="PZX6" s="44">
        <f>Database!QAQ14</f>
        <v>0</v>
      </c>
      <c r="PZY6" s="44">
        <f>Database!QAR14</f>
        <v>0</v>
      </c>
      <c r="PZZ6" s="44">
        <f>Database!QAS14</f>
        <v>0</v>
      </c>
      <c r="QAA6" s="44">
        <f>Database!QAT14</f>
        <v>0</v>
      </c>
      <c r="QAB6" s="44">
        <f>Database!QAU14</f>
        <v>0</v>
      </c>
      <c r="QAC6" s="44">
        <f>Database!QAV14</f>
        <v>0</v>
      </c>
      <c r="QAD6" s="44">
        <f>Database!QAW14</f>
        <v>0</v>
      </c>
      <c r="QAE6" s="44">
        <f>Database!QAX14</f>
        <v>0</v>
      </c>
      <c r="QAF6" s="44">
        <f>Database!QAY14</f>
        <v>0</v>
      </c>
      <c r="QAG6" s="44">
        <f>Database!QAZ14</f>
        <v>0</v>
      </c>
      <c r="QAH6" s="44">
        <f>Database!QBA14</f>
        <v>0</v>
      </c>
      <c r="QAI6" s="44">
        <f>Database!QBB14</f>
        <v>0</v>
      </c>
      <c r="QAJ6" s="44">
        <f>Database!QBC14</f>
        <v>0</v>
      </c>
      <c r="QAK6" s="44">
        <f>Database!QBD14</f>
        <v>0</v>
      </c>
      <c r="QAL6" s="44">
        <f>Database!QBE14</f>
        <v>0</v>
      </c>
      <c r="QAM6" s="44">
        <f>Database!QBF14</f>
        <v>0</v>
      </c>
      <c r="QAN6" s="44">
        <f>Database!QBG14</f>
        <v>0</v>
      </c>
      <c r="QAO6" s="44">
        <f>Database!QBH14</f>
        <v>0</v>
      </c>
      <c r="QAP6" s="44">
        <f>Database!QBI14</f>
        <v>0</v>
      </c>
      <c r="QAQ6" s="44">
        <f>Database!QBJ14</f>
        <v>0</v>
      </c>
      <c r="QAR6" s="44">
        <f>Database!QBK14</f>
        <v>0</v>
      </c>
      <c r="QAS6" s="44">
        <f>Database!QBL14</f>
        <v>0</v>
      </c>
      <c r="QAT6" s="44">
        <f>Database!QBM14</f>
        <v>0</v>
      </c>
      <c r="QAU6" s="44">
        <f>Database!QBN14</f>
        <v>0</v>
      </c>
      <c r="QAV6" s="44">
        <f>Database!QBO14</f>
        <v>0</v>
      </c>
      <c r="QAW6" s="44">
        <f>Database!QBP14</f>
        <v>0</v>
      </c>
      <c r="QAX6" s="44">
        <f>Database!QBQ14</f>
        <v>0</v>
      </c>
      <c r="QAY6" s="44">
        <f>Database!QBR14</f>
        <v>0</v>
      </c>
      <c r="QAZ6" s="44">
        <f>Database!QBS14</f>
        <v>0</v>
      </c>
      <c r="QBA6" s="44">
        <f>Database!QBT14</f>
        <v>0</v>
      </c>
      <c r="QBB6" s="44">
        <f>Database!QBU14</f>
        <v>0</v>
      </c>
      <c r="QBC6" s="44">
        <f>Database!QBV14</f>
        <v>0</v>
      </c>
      <c r="QBD6" s="44">
        <f>Database!QBW14</f>
        <v>0</v>
      </c>
      <c r="QBE6" s="44">
        <f>Database!QBX14</f>
        <v>0</v>
      </c>
      <c r="QBF6" s="44">
        <f>Database!QBY14</f>
        <v>0</v>
      </c>
      <c r="QBG6" s="44">
        <f>Database!QBZ14</f>
        <v>0</v>
      </c>
      <c r="QBH6" s="44">
        <f>Database!QCA14</f>
        <v>0</v>
      </c>
      <c r="QBI6" s="44">
        <f>Database!QCB14</f>
        <v>0</v>
      </c>
      <c r="QBJ6" s="44">
        <f>Database!QCC14</f>
        <v>0</v>
      </c>
      <c r="QBK6" s="44">
        <f>Database!QCD14</f>
        <v>0</v>
      </c>
      <c r="QBL6" s="44">
        <f>Database!QCE14</f>
        <v>0</v>
      </c>
      <c r="QBM6" s="44">
        <f>Database!QCF14</f>
        <v>0</v>
      </c>
      <c r="QBN6" s="44">
        <f>Database!QCG14</f>
        <v>0</v>
      </c>
      <c r="QBO6" s="44">
        <f>Database!QCH14</f>
        <v>0</v>
      </c>
      <c r="QBP6" s="44">
        <f>Database!QCI14</f>
        <v>0</v>
      </c>
      <c r="QBQ6" s="44">
        <f>Database!QCJ14</f>
        <v>0</v>
      </c>
      <c r="QBR6" s="44">
        <f>Database!QCK14</f>
        <v>0</v>
      </c>
      <c r="QBS6" s="44">
        <f>Database!QCL14</f>
        <v>0</v>
      </c>
      <c r="QBT6" s="44">
        <f>Database!QCM14</f>
        <v>0</v>
      </c>
      <c r="QBU6" s="44">
        <f>Database!QCN14</f>
        <v>0</v>
      </c>
      <c r="QBV6" s="44">
        <f>Database!QCO14</f>
        <v>0</v>
      </c>
      <c r="QBW6" s="44">
        <f>Database!QCP14</f>
        <v>0</v>
      </c>
      <c r="QBX6" s="44">
        <f>Database!QCQ14</f>
        <v>0</v>
      </c>
      <c r="QBY6" s="44">
        <f>Database!QCR14</f>
        <v>0</v>
      </c>
      <c r="QBZ6" s="44">
        <f>Database!QCS14</f>
        <v>0</v>
      </c>
      <c r="QCA6" s="44">
        <f>Database!QCT14</f>
        <v>0</v>
      </c>
      <c r="QCB6" s="44">
        <f>Database!QCU14</f>
        <v>0</v>
      </c>
      <c r="QCC6" s="44">
        <f>Database!QCV14</f>
        <v>0</v>
      </c>
      <c r="QCD6" s="44">
        <f>Database!QCW14</f>
        <v>0</v>
      </c>
      <c r="QCE6" s="44">
        <f>Database!QCX14</f>
        <v>0</v>
      </c>
      <c r="QCF6" s="44">
        <f>Database!QCY14</f>
        <v>0</v>
      </c>
      <c r="QCG6" s="44">
        <f>Database!QCZ14</f>
        <v>0</v>
      </c>
      <c r="QCH6" s="44">
        <f>Database!QDA14</f>
        <v>0</v>
      </c>
      <c r="QCI6" s="44">
        <f>Database!QDB14</f>
        <v>0</v>
      </c>
      <c r="QCJ6" s="44">
        <f>Database!QDC14</f>
        <v>0</v>
      </c>
      <c r="QCK6" s="44">
        <f>Database!QDD14</f>
        <v>0</v>
      </c>
      <c r="QCL6" s="44">
        <f>Database!QDE14</f>
        <v>0</v>
      </c>
      <c r="QCM6" s="44">
        <f>Database!QDF14</f>
        <v>0</v>
      </c>
      <c r="QCN6" s="44">
        <f>Database!QDG14</f>
        <v>0</v>
      </c>
      <c r="QCO6" s="44">
        <f>Database!QDH14</f>
        <v>0</v>
      </c>
      <c r="QCP6" s="44">
        <f>Database!QDI14</f>
        <v>0</v>
      </c>
      <c r="QCQ6" s="44">
        <f>Database!QDJ14</f>
        <v>0</v>
      </c>
      <c r="QCR6" s="44">
        <f>Database!QDK14</f>
        <v>0</v>
      </c>
      <c r="QCS6" s="44">
        <f>Database!QDL14</f>
        <v>0</v>
      </c>
      <c r="QCT6" s="44">
        <f>Database!QDM14</f>
        <v>0</v>
      </c>
      <c r="QCU6" s="44">
        <f>Database!QDN14</f>
        <v>0</v>
      </c>
      <c r="QCV6" s="44">
        <f>Database!QDO14</f>
        <v>0</v>
      </c>
      <c r="QCW6" s="44">
        <f>Database!QDP14</f>
        <v>0</v>
      </c>
      <c r="QCX6" s="44">
        <f>Database!QDQ14</f>
        <v>0</v>
      </c>
      <c r="QCY6" s="44">
        <f>Database!QDR14</f>
        <v>0</v>
      </c>
      <c r="QCZ6" s="44">
        <f>Database!QDS14</f>
        <v>0</v>
      </c>
      <c r="QDA6" s="44">
        <f>Database!QDT14</f>
        <v>0</v>
      </c>
      <c r="QDB6" s="44">
        <f>Database!QDU14</f>
        <v>0</v>
      </c>
      <c r="QDC6" s="44">
        <f>Database!QDV14</f>
        <v>0</v>
      </c>
      <c r="QDD6" s="44">
        <f>Database!QDW14</f>
        <v>0</v>
      </c>
      <c r="QDE6" s="44">
        <f>Database!QDX14</f>
        <v>0</v>
      </c>
      <c r="QDF6" s="44">
        <f>Database!QDY14</f>
        <v>0</v>
      </c>
      <c r="QDG6" s="44">
        <f>Database!QDZ14</f>
        <v>0</v>
      </c>
      <c r="QDH6" s="44">
        <f>Database!QEA14</f>
        <v>0</v>
      </c>
      <c r="QDI6" s="44">
        <f>Database!QEB14</f>
        <v>0</v>
      </c>
      <c r="QDJ6" s="44">
        <f>Database!QEC14</f>
        <v>0</v>
      </c>
      <c r="QDK6" s="44">
        <f>Database!QED14</f>
        <v>0</v>
      </c>
      <c r="QDL6" s="44">
        <f>Database!QEE14</f>
        <v>0</v>
      </c>
      <c r="QDM6" s="44">
        <f>Database!QEF14</f>
        <v>0</v>
      </c>
      <c r="QDN6" s="44">
        <f>Database!QEG14</f>
        <v>0</v>
      </c>
      <c r="QDO6" s="44">
        <f>Database!QEH14</f>
        <v>0</v>
      </c>
      <c r="QDP6" s="44">
        <f>Database!QEI14</f>
        <v>0</v>
      </c>
      <c r="QDQ6" s="44">
        <f>Database!QEJ14</f>
        <v>0</v>
      </c>
      <c r="QDR6" s="44">
        <f>Database!QEK14</f>
        <v>0</v>
      </c>
      <c r="QDS6" s="44">
        <f>Database!QEL14</f>
        <v>0</v>
      </c>
      <c r="QDT6" s="44">
        <f>Database!QEM14</f>
        <v>0</v>
      </c>
      <c r="QDU6" s="44">
        <f>Database!QEN14</f>
        <v>0</v>
      </c>
      <c r="QDV6" s="44">
        <f>Database!QEO14</f>
        <v>0</v>
      </c>
      <c r="QDW6" s="44">
        <f>Database!QEP14</f>
        <v>0</v>
      </c>
      <c r="QDX6" s="44">
        <f>Database!QEQ14</f>
        <v>0</v>
      </c>
      <c r="QDY6" s="44">
        <f>Database!QER14</f>
        <v>0</v>
      </c>
      <c r="QDZ6" s="44">
        <f>Database!QES14</f>
        <v>0</v>
      </c>
      <c r="QEA6" s="44">
        <f>Database!QET14</f>
        <v>0</v>
      </c>
      <c r="QEB6" s="44">
        <f>Database!QEU14</f>
        <v>0</v>
      </c>
      <c r="QEC6" s="44">
        <f>Database!QEV14</f>
        <v>0</v>
      </c>
      <c r="QED6" s="44">
        <f>Database!QEW14</f>
        <v>0</v>
      </c>
      <c r="QEE6" s="44">
        <f>Database!QEX14</f>
        <v>0</v>
      </c>
      <c r="QEF6" s="44">
        <f>Database!QEY14</f>
        <v>0</v>
      </c>
      <c r="QEG6" s="44">
        <f>Database!QEZ14</f>
        <v>0</v>
      </c>
      <c r="QEH6" s="44">
        <f>Database!QFA14</f>
        <v>0</v>
      </c>
      <c r="QEI6" s="44">
        <f>Database!QFB14</f>
        <v>0</v>
      </c>
      <c r="QEJ6" s="44">
        <f>Database!QFC14</f>
        <v>0</v>
      </c>
      <c r="QEK6" s="44">
        <f>Database!QFD14</f>
        <v>0</v>
      </c>
      <c r="QEL6" s="44">
        <f>Database!QFE14</f>
        <v>0</v>
      </c>
      <c r="QEM6" s="44">
        <f>Database!QFF14</f>
        <v>0</v>
      </c>
      <c r="QEN6" s="44">
        <f>Database!QFG14</f>
        <v>0</v>
      </c>
      <c r="QEO6" s="44">
        <f>Database!QFH14</f>
        <v>0</v>
      </c>
      <c r="QEP6" s="44">
        <f>Database!QFI14</f>
        <v>0</v>
      </c>
      <c r="QEQ6" s="44">
        <f>Database!QFJ14</f>
        <v>0</v>
      </c>
      <c r="QER6" s="44">
        <f>Database!QFK14</f>
        <v>0</v>
      </c>
      <c r="QES6" s="44">
        <f>Database!QFL14</f>
        <v>0</v>
      </c>
      <c r="QET6" s="44">
        <f>Database!QFM14</f>
        <v>0</v>
      </c>
      <c r="QEU6" s="44">
        <f>Database!QFN14</f>
        <v>0</v>
      </c>
      <c r="QEV6" s="44">
        <f>Database!QFO14</f>
        <v>0</v>
      </c>
      <c r="QEW6" s="44">
        <f>Database!QFP14</f>
        <v>0</v>
      </c>
      <c r="QEX6" s="44">
        <f>Database!QFQ14</f>
        <v>0</v>
      </c>
      <c r="QEY6" s="44">
        <f>Database!QFR14</f>
        <v>0</v>
      </c>
      <c r="QEZ6" s="44">
        <f>Database!QFS14</f>
        <v>0</v>
      </c>
      <c r="QFA6" s="44">
        <f>Database!QFT14</f>
        <v>0</v>
      </c>
      <c r="QFB6" s="44">
        <f>Database!QFU14</f>
        <v>0</v>
      </c>
      <c r="QFC6" s="44">
        <f>Database!QFV14</f>
        <v>0</v>
      </c>
      <c r="QFD6" s="44">
        <f>Database!QFW14</f>
        <v>0</v>
      </c>
      <c r="QFE6" s="44">
        <f>Database!QFX14</f>
        <v>0</v>
      </c>
      <c r="QFF6" s="44">
        <f>Database!QFY14</f>
        <v>0</v>
      </c>
      <c r="QFG6" s="44">
        <f>Database!QFZ14</f>
        <v>0</v>
      </c>
      <c r="QFH6" s="44">
        <f>Database!QGA14</f>
        <v>0</v>
      </c>
      <c r="QFI6" s="44">
        <f>Database!QGB14</f>
        <v>0</v>
      </c>
      <c r="QFJ6" s="44">
        <f>Database!QGC14</f>
        <v>0</v>
      </c>
      <c r="QFK6" s="44">
        <f>Database!QGD14</f>
        <v>0</v>
      </c>
      <c r="QFL6" s="44">
        <f>Database!QGE14</f>
        <v>0</v>
      </c>
      <c r="QFM6" s="44">
        <f>Database!QGF14</f>
        <v>0</v>
      </c>
      <c r="QFN6" s="44">
        <f>Database!QGG14</f>
        <v>0</v>
      </c>
      <c r="QFO6" s="44">
        <f>Database!QGH14</f>
        <v>0</v>
      </c>
      <c r="QFP6" s="44">
        <f>Database!QGI14</f>
        <v>0</v>
      </c>
      <c r="QFQ6" s="44">
        <f>Database!QGJ14</f>
        <v>0</v>
      </c>
      <c r="QFR6" s="44">
        <f>Database!QGK14</f>
        <v>0</v>
      </c>
      <c r="QFS6" s="44">
        <f>Database!QGL14</f>
        <v>0</v>
      </c>
      <c r="QFT6" s="44">
        <f>Database!QGM14</f>
        <v>0</v>
      </c>
      <c r="QFU6" s="44">
        <f>Database!QGN14</f>
        <v>0</v>
      </c>
      <c r="QFV6" s="44">
        <f>Database!QGO14</f>
        <v>0</v>
      </c>
      <c r="QFW6" s="44">
        <f>Database!QGP14</f>
        <v>0</v>
      </c>
      <c r="QFX6" s="44">
        <f>Database!QGQ14</f>
        <v>0</v>
      </c>
      <c r="QFY6" s="44">
        <f>Database!QGR14</f>
        <v>0</v>
      </c>
      <c r="QFZ6" s="44">
        <f>Database!QGS14</f>
        <v>0</v>
      </c>
      <c r="QGA6" s="44">
        <f>Database!QGT14</f>
        <v>0</v>
      </c>
      <c r="QGB6" s="44">
        <f>Database!QGU14</f>
        <v>0</v>
      </c>
      <c r="QGC6" s="44">
        <f>Database!QGV14</f>
        <v>0</v>
      </c>
      <c r="QGD6" s="44">
        <f>Database!QGW14</f>
        <v>0</v>
      </c>
      <c r="QGE6" s="44">
        <f>Database!QGX14</f>
        <v>0</v>
      </c>
      <c r="QGF6" s="44">
        <f>Database!QGY14</f>
        <v>0</v>
      </c>
      <c r="QGG6" s="44">
        <f>Database!QGZ14</f>
        <v>0</v>
      </c>
      <c r="QGH6" s="44">
        <f>Database!QHA14</f>
        <v>0</v>
      </c>
      <c r="QGI6" s="44">
        <f>Database!QHB14</f>
        <v>0</v>
      </c>
      <c r="QGJ6" s="44">
        <f>Database!QHC14</f>
        <v>0</v>
      </c>
      <c r="QGK6" s="44">
        <f>Database!QHD14</f>
        <v>0</v>
      </c>
      <c r="QGL6" s="44">
        <f>Database!QHE14</f>
        <v>0</v>
      </c>
      <c r="QGM6" s="44">
        <f>Database!QHF14</f>
        <v>0</v>
      </c>
      <c r="QGN6" s="44">
        <f>Database!QHG14</f>
        <v>0</v>
      </c>
      <c r="QGO6" s="44">
        <f>Database!QHH14</f>
        <v>0</v>
      </c>
      <c r="QGP6" s="44">
        <f>Database!QHI14</f>
        <v>0</v>
      </c>
      <c r="QGQ6" s="44">
        <f>Database!QHJ14</f>
        <v>0</v>
      </c>
      <c r="QGR6" s="44">
        <f>Database!QHK14</f>
        <v>0</v>
      </c>
      <c r="QGS6" s="44">
        <f>Database!QHL14</f>
        <v>0</v>
      </c>
      <c r="QGT6" s="44">
        <f>Database!QHM14</f>
        <v>0</v>
      </c>
      <c r="QGU6" s="44">
        <f>Database!QHN14</f>
        <v>0</v>
      </c>
      <c r="QGV6" s="44">
        <f>Database!QHO14</f>
        <v>0</v>
      </c>
      <c r="QGW6" s="44">
        <f>Database!QHP14</f>
        <v>0</v>
      </c>
      <c r="QGX6" s="44">
        <f>Database!QHQ14</f>
        <v>0</v>
      </c>
      <c r="QGY6" s="44">
        <f>Database!QHR14</f>
        <v>0</v>
      </c>
      <c r="QGZ6" s="44">
        <f>Database!QHS14</f>
        <v>0</v>
      </c>
      <c r="QHA6" s="44">
        <f>Database!QHT14</f>
        <v>0</v>
      </c>
      <c r="QHB6" s="44">
        <f>Database!QHU14</f>
        <v>0</v>
      </c>
      <c r="QHC6" s="44">
        <f>Database!QHV14</f>
        <v>0</v>
      </c>
      <c r="QHD6" s="44">
        <f>Database!QHW14</f>
        <v>0</v>
      </c>
      <c r="QHE6" s="44">
        <f>Database!QHX14</f>
        <v>0</v>
      </c>
      <c r="QHF6" s="44">
        <f>Database!QHY14</f>
        <v>0</v>
      </c>
      <c r="QHG6" s="44">
        <f>Database!QHZ14</f>
        <v>0</v>
      </c>
      <c r="QHH6" s="44">
        <f>Database!QIA14</f>
        <v>0</v>
      </c>
      <c r="QHI6" s="44">
        <f>Database!QIB14</f>
        <v>0</v>
      </c>
      <c r="QHJ6" s="44">
        <f>Database!QIC14</f>
        <v>0</v>
      </c>
      <c r="QHK6" s="44">
        <f>Database!QID14</f>
        <v>0</v>
      </c>
      <c r="QHL6" s="44">
        <f>Database!QIE14</f>
        <v>0</v>
      </c>
      <c r="QHM6" s="44">
        <f>Database!QIF14</f>
        <v>0</v>
      </c>
      <c r="QHN6" s="44">
        <f>Database!QIG14</f>
        <v>0</v>
      </c>
      <c r="QHO6" s="44">
        <f>Database!QIH14</f>
        <v>0</v>
      </c>
      <c r="QHP6" s="44">
        <f>Database!QII14</f>
        <v>0</v>
      </c>
      <c r="QHQ6" s="44">
        <f>Database!QIJ14</f>
        <v>0</v>
      </c>
      <c r="QHR6" s="44">
        <f>Database!QIK14</f>
        <v>0</v>
      </c>
      <c r="QHS6" s="44">
        <f>Database!QIL14</f>
        <v>0</v>
      </c>
      <c r="QHT6" s="44">
        <f>Database!QIM14</f>
        <v>0</v>
      </c>
      <c r="QHU6" s="44">
        <f>Database!QIN14</f>
        <v>0</v>
      </c>
      <c r="QHV6" s="44">
        <f>Database!QIO14</f>
        <v>0</v>
      </c>
      <c r="QHW6" s="44">
        <f>Database!QIP14</f>
        <v>0</v>
      </c>
      <c r="QHX6" s="44">
        <f>Database!QIQ14</f>
        <v>0</v>
      </c>
      <c r="QHY6" s="44">
        <f>Database!QIR14</f>
        <v>0</v>
      </c>
      <c r="QHZ6" s="44">
        <f>Database!QIS14</f>
        <v>0</v>
      </c>
      <c r="QIA6" s="44">
        <f>Database!QIT14</f>
        <v>0</v>
      </c>
      <c r="QIB6" s="44">
        <f>Database!QIU14</f>
        <v>0</v>
      </c>
      <c r="QIC6" s="44">
        <f>Database!QIV14</f>
        <v>0</v>
      </c>
      <c r="QID6" s="44">
        <f>Database!QIW14</f>
        <v>0</v>
      </c>
      <c r="QIE6" s="44">
        <f>Database!QIX14</f>
        <v>0</v>
      </c>
      <c r="QIF6" s="44">
        <f>Database!QIY14</f>
        <v>0</v>
      </c>
      <c r="QIG6" s="44">
        <f>Database!QIZ14</f>
        <v>0</v>
      </c>
      <c r="QIH6" s="44">
        <f>Database!QJA14</f>
        <v>0</v>
      </c>
      <c r="QII6" s="44">
        <f>Database!QJB14</f>
        <v>0</v>
      </c>
      <c r="QIJ6" s="44">
        <f>Database!QJC14</f>
        <v>0</v>
      </c>
      <c r="QIK6" s="44">
        <f>Database!QJD14</f>
        <v>0</v>
      </c>
      <c r="QIL6" s="44">
        <f>Database!QJE14</f>
        <v>0</v>
      </c>
      <c r="QIM6" s="44">
        <f>Database!QJF14</f>
        <v>0</v>
      </c>
      <c r="QIN6" s="44">
        <f>Database!QJG14</f>
        <v>0</v>
      </c>
      <c r="QIO6" s="44">
        <f>Database!QJH14</f>
        <v>0</v>
      </c>
      <c r="QIP6" s="44">
        <f>Database!QJI14</f>
        <v>0</v>
      </c>
      <c r="QIQ6" s="44">
        <f>Database!QJJ14</f>
        <v>0</v>
      </c>
      <c r="QIR6" s="44">
        <f>Database!QJK14</f>
        <v>0</v>
      </c>
      <c r="QIS6" s="44">
        <f>Database!QJL14</f>
        <v>0</v>
      </c>
      <c r="QIT6" s="44">
        <f>Database!QJM14</f>
        <v>0</v>
      </c>
      <c r="QIU6" s="44">
        <f>Database!QJN14</f>
        <v>0</v>
      </c>
      <c r="QIV6" s="44">
        <f>Database!QJO14</f>
        <v>0</v>
      </c>
      <c r="QIW6" s="44">
        <f>Database!QJP14</f>
        <v>0</v>
      </c>
      <c r="QIX6" s="44">
        <f>Database!QJQ14</f>
        <v>0</v>
      </c>
      <c r="QIY6" s="44">
        <f>Database!QJR14</f>
        <v>0</v>
      </c>
      <c r="QIZ6" s="44">
        <f>Database!QJS14</f>
        <v>0</v>
      </c>
      <c r="QJA6" s="44">
        <f>Database!QJT14</f>
        <v>0</v>
      </c>
      <c r="QJB6" s="44">
        <f>Database!QJU14</f>
        <v>0</v>
      </c>
      <c r="QJC6" s="44">
        <f>Database!QJV14</f>
        <v>0</v>
      </c>
      <c r="QJD6" s="44">
        <f>Database!QJW14</f>
        <v>0</v>
      </c>
      <c r="QJE6" s="44">
        <f>Database!QJX14</f>
        <v>0</v>
      </c>
      <c r="QJF6" s="44">
        <f>Database!QJY14</f>
        <v>0</v>
      </c>
      <c r="QJG6" s="44">
        <f>Database!QJZ14</f>
        <v>0</v>
      </c>
      <c r="QJH6" s="44">
        <f>Database!QKA14</f>
        <v>0</v>
      </c>
      <c r="QJI6" s="44">
        <f>Database!QKB14</f>
        <v>0</v>
      </c>
      <c r="QJJ6" s="44">
        <f>Database!QKC14</f>
        <v>0</v>
      </c>
      <c r="QJK6" s="44">
        <f>Database!QKD14</f>
        <v>0</v>
      </c>
      <c r="QJL6" s="44">
        <f>Database!QKE14</f>
        <v>0</v>
      </c>
      <c r="QJM6" s="44">
        <f>Database!QKF14</f>
        <v>0</v>
      </c>
      <c r="QJN6" s="44">
        <f>Database!QKG14</f>
        <v>0</v>
      </c>
      <c r="QJO6" s="44">
        <f>Database!QKH14</f>
        <v>0</v>
      </c>
      <c r="QJP6" s="44">
        <f>Database!QKI14</f>
        <v>0</v>
      </c>
      <c r="QJQ6" s="44">
        <f>Database!QKJ14</f>
        <v>0</v>
      </c>
      <c r="QJR6" s="44">
        <f>Database!QKK14</f>
        <v>0</v>
      </c>
      <c r="QJS6" s="44">
        <f>Database!QKL14</f>
        <v>0</v>
      </c>
      <c r="QJT6" s="44">
        <f>Database!QKM14</f>
        <v>0</v>
      </c>
      <c r="QJU6" s="44">
        <f>Database!QKN14</f>
        <v>0</v>
      </c>
      <c r="QJV6" s="44">
        <f>Database!QKO14</f>
        <v>0</v>
      </c>
      <c r="QJW6" s="44">
        <f>Database!QKP14</f>
        <v>0</v>
      </c>
      <c r="QJX6" s="44">
        <f>Database!QKQ14</f>
        <v>0</v>
      </c>
      <c r="QJY6" s="44">
        <f>Database!QKR14</f>
        <v>0</v>
      </c>
      <c r="QJZ6" s="44">
        <f>Database!QKS14</f>
        <v>0</v>
      </c>
      <c r="QKA6" s="44">
        <f>Database!QKT14</f>
        <v>0</v>
      </c>
      <c r="QKB6" s="44">
        <f>Database!QKU14</f>
        <v>0</v>
      </c>
      <c r="QKC6" s="44">
        <f>Database!QKV14</f>
        <v>0</v>
      </c>
      <c r="QKD6" s="44">
        <f>Database!QKW14</f>
        <v>0</v>
      </c>
      <c r="QKE6" s="44">
        <f>Database!QKX14</f>
        <v>0</v>
      </c>
      <c r="QKF6" s="44">
        <f>Database!QKY14</f>
        <v>0</v>
      </c>
      <c r="QKG6" s="44">
        <f>Database!QKZ14</f>
        <v>0</v>
      </c>
      <c r="QKH6" s="44">
        <f>Database!QLA14</f>
        <v>0</v>
      </c>
      <c r="QKI6" s="44">
        <f>Database!QLB14</f>
        <v>0</v>
      </c>
      <c r="QKJ6" s="44">
        <f>Database!QLC14</f>
        <v>0</v>
      </c>
      <c r="QKK6" s="44">
        <f>Database!QLD14</f>
        <v>0</v>
      </c>
      <c r="QKL6" s="44">
        <f>Database!QLE14</f>
        <v>0</v>
      </c>
      <c r="QKM6" s="44">
        <f>Database!QLF14</f>
        <v>0</v>
      </c>
      <c r="QKN6" s="44">
        <f>Database!QLG14</f>
        <v>0</v>
      </c>
      <c r="QKO6" s="44">
        <f>Database!QLH14</f>
        <v>0</v>
      </c>
      <c r="QKP6" s="44">
        <f>Database!QLI14</f>
        <v>0</v>
      </c>
      <c r="QKQ6" s="44">
        <f>Database!QLJ14</f>
        <v>0</v>
      </c>
      <c r="QKR6" s="44">
        <f>Database!QLK14</f>
        <v>0</v>
      </c>
      <c r="QKS6" s="44">
        <f>Database!QLL14</f>
        <v>0</v>
      </c>
      <c r="QKT6" s="44">
        <f>Database!QLM14</f>
        <v>0</v>
      </c>
      <c r="QKU6" s="44">
        <f>Database!QLN14</f>
        <v>0</v>
      </c>
      <c r="QKV6" s="44">
        <f>Database!QLO14</f>
        <v>0</v>
      </c>
      <c r="QKW6" s="44">
        <f>Database!QLP14</f>
        <v>0</v>
      </c>
      <c r="QKX6" s="44">
        <f>Database!QLQ14</f>
        <v>0</v>
      </c>
      <c r="QKY6" s="44">
        <f>Database!QLR14</f>
        <v>0</v>
      </c>
      <c r="QKZ6" s="44">
        <f>Database!QLS14</f>
        <v>0</v>
      </c>
      <c r="QLA6" s="44">
        <f>Database!QLT14</f>
        <v>0</v>
      </c>
      <c r="QLB6" s="44">
        <f>Database!QLU14</f>
        <v>0</v>
      </c>
      <c r="QLC6" s="44">
        <f>Database!QLV14</f>
        <v>0</v>
      </c>
      <c r="QLD6" s="44">
        <f>Database!QLW14</f>
        <v>0</v>
      </c>
      <c r="QLE6" s="44">
        <f>Database!QLX14</f>
        <v>0</v>
      </c>
      <c r="QLF6" s="44">
        <f>Database!QLY14</f>
        <v>0</v>
      </c>
      <c r="QLG6" s="44">
        <f>Database!QLZ14</f>
        <v>0</v>
      </c>
      <c r="QLH6" s="44">
        <f>Database!QMA14</f>
        <v>0</v>
      </c>
      <c r="QLI6" s="44">
        <f>Database!QMB14</f>
        <v>0</v>
      </c>
      <c r="QLJ6" s="44">
        <f>Database!QMC14</f>
        <v>0</v>
      </c>
      <c r="QLK6" s="44">
        <f>Database!QMD14</f>
        <v>0</v>
      </c>
      <c r="QLL6" s="44">
        <f>Database!QME14</f>
        <v>0</v>
      </c>
      <c r="QLM6" s="44">
        <f>Database!QMF14</f>
        <v>0</v>
      </c>
      <c r="QLN6" s="44">
        <f>Database!QMG14</f>
        <v>0</v>
      </c>
      <c r="QLO6" s="44">
        <f>Database!QMH14</f>
        <v>0</v>
      </c>
      <c r="QLP6" s="44">
        <f>Database!QMI14</f>
        <v>0</v>
      </c>
      <c r="QLQ6" s="44">
        <f>Database!QMJ14</f>
        <v>0</v>
      </c>
      <c r="QLR6" s="44">
        <f>Database!QMK14</f>
        <v>0</v>
      </c>
      <c r="QLS6" s="44">
        <f>Database!QML14</f>
        <v>0</v>
      </c>
      <c r="QLT6" s="44">
        <f>Database!QMM14</f>
        <v>0</v>
      </c>
      <c r="QLU6" s="44">
        <f>Database!QMN14</f>
        <v>0</v>
      </c>
      <c r="QLV6" s="44">
        <f>Database!QMO14</f>
        <v>0</v>
      </c>
      <c r="QLW6" s="44">
        <f>Database!QMP14</f>
        <v>0</v>
      </c>
      <c r="QLX6" s="44">
        <f>Database!QMQ14</f>
        <v>0</v>
      </c>
      <c r="QLY6" s="44">
        <f>Database!QMR14</f>
        <v>0</v>
      </c>
      <c r="QLZ6" s="44">
        <f>Database!QMS14</f>
        <v>0</v>
      </c>
      <c r="QMA6" s="44">
        <f>Database!QMT14</f>
        <v>0</v>
      </c>
      <c r="QMB6" s="44">
        <f>Database!QMU14</f>
        <v>0</v>
      </c>
      <c r="QMC6" s="44">
        <f>Database!QMV14</f>
        <v>0</v>
      </c>
      <c r="QMD6" s="44">
        <f>Database!QMW14</f>
        <v>0</v>
      </c>
      <c r="QME6" s="44">
        <f>Database!QMX14</f>
        <v>0</v>
      </c>
      <c r="QMF6" s="44">
        <f>Database!QMY14</f>
        <v>0</v>
      </c>
      <c r="QMG6" s="44">
        <f>Database!QMZ14</f>
        <v>0</v>
      </c>
      <c r="QMH6" s="44">
        <f>Database!QNA14</f>
        <v>0</v>
      </c>
      <c r="QMI6" s="44">
        <f>Database!QNB14</f>
        <v>0</v>
      </c>
      <c r="QMJ6" s="44">
        <f>Database!QNC14</f>
        <v>0</v>
      </c>
      <c r="QMK6" s="44">
        <f>Database!QND14</f>
        <v>0</v>
      </c>
      <c r="QML6" s="44">
        <f>Database!QNE14</f>
        <v>0</v>
      </c>
      <c r="QMM6" s="44">
        <f>Database!QNF14</f>
        <v>0</v>
      </c>
      <c r="QMN6" s="44">
        <f>Database!QNG14</f>
        <v>0</v>
      </c>
      <c r="QMO6" s="44">
        <f>Database!QNH14</f>
        <v>0</v>
      </c>
      <c r="QMP6" s="44">
        <f>Database!QNI14</f>
        <v>0</v>
      </c>
      <c r="QMQ6" s="44">
        <f>Database!QNJ14</f>
        <v>0</v>
      </c>
      <c r="QMR6" s="44">
        <f>Database!QNK14</f>
        <v>0</v>
      </c>
      <c r="QMS6" s="44">
        <f>Database!QNL14</f>
        <v>0</v>
      </c>
      <c r="QMT6" s="44">
        <f>Database!QNM14</f>
        <v>0</v>
      </c>
      <c r="QMU6" s="44">
        <f>Database!QNN14</f>
        <v>0</v>
      </c>
      <c r="QMV6" s="44">
        <f>Database!QNO14</f>
        <v>0</v>
      </c>
      <c r="QMW6" s="44">
        <f>Database!QNP14</f>
        <v>0</v>
      </c>
      <c r="QMX6" s="44">
        <f>Database!QNQ14</f>
        <v>0</v>
      </c>
      <c r="QMY6" s="44">
        <f>Database!QNR14</f>
        <v>0</v>
      </c>
      <c r="QMZ6" s="44">
        <f>Database!QNS14</f>
        <v>0</v>
      </c>
      <c r="QNA6" s="44">
        <f>Database!QNT14</f>
        <v>0</v>
      </c>
      <c r="QNB6" s="44">
        <f>Database!QNU14</f>
        <v>0</v>
      </c>
      <c r="QNC6" s="44">
        <f>Database!QNV14</f>
        <v>0</v>
      </c>
      <c r="QND6" s="44">
        <f>Database!QNW14</f>
        <v>0</v>
      </c>
      <c r="QNE6" s="44">
        <f>Database!QNX14</f>
        <v>0</v>
      </c>
      <c r="QNF6" s="44">
        <f>Database!QNY14</f>
        <v>0</v>
      </c>
      <c r="QNG6" s="44">
        <f>Database!QNZ14</f>
        <v>0</v>
      </c>
      <c r="QNH6" s="44">
        <f>Database!QOA14</f>
        <v>0</v>
      </c>
      <c r="QNI6" s="44">
        <f>Database!QOB14</f>
        <v>0</v>
      </c>
      <c r="QNJ6" s="44">
        <f>Database!QOC14</f>
        <v>0</v>
      </c>
      <c r="QNK6" s="44">
        <f>Database!QOD14</f>
        <v>0</v>
      </c>
      <c r="QNL6" s="44">
        <f>Database!QOE14</f>
        <v>0</v>
      </c>
      <c r="QNM6" s="44">
        <f>Database!QOF14</f>
        <v>0</v>
      </c>
      <c r="QNN6" s="44">
        <f>Database!QOG14</f>
        <v>0</v>
      </c>
      <c r="QNO6" s="44">
        <f>Database!QOH14</f>
        <v>0</v>
      </c>
      <c r="QNP6" s="44">
        <f>Database!QOI14</f>
        <v>0</v>
      </c>
      <c r="QNQ6" s="44">
        <f>Database!QOJ14</f>
        <v>0</v>
      </c>
      <c r="QNR6" s="44">
        <f>Database!QOK14</f>
        <v>0</v>
      </c>
      <c r="QNS6" s="44">
        <f>Database!QOL14</f>
        <v>0</v>
      </c>
      <c r="QNT6" s="44">
        <f>Database!QOM14</f>
        <v>0</v>
      </c>
      <c r="QNU6" s="44">
        <f>Database!QON14</f>
        <v>0</v>
      </c>
      <c r="QNV6" s="44">
        <f>Database!QOO14</f>
        <v>0</v>
      </c>
      <c r="QNW6" s="44">
        <f>Database!QOP14</f>
        <v>0</v>
      </c>
      <c r="QNX6" s="44">
        <f>Database!QOQ14</f>
        <v>0</v>
      </c>
      <c r="QNY6" s="44">
        <f>Database!QOR14</f>
        <v>0</v>
      </c>
      <c r="QNZ6" s="44">
        <f>Database!QOS14</f>
        <v>0</v>
      </c>
      <c r="QOA6" s="44">
        <f>Database!QOT14</f>
        <v>0</v>
      </c>
      <c r="QOB6" s="44">
        <f>Database!QOU14</f>
        <v>0</v>
      </c>
      <c r="QOC6" s="44">
        <f>Database!QOV14</f>
        <v>0</v>
      </c>
      <c r="QOD6" s="44">
        <f>Database!QOW14</f>
        <v>0</v>
      </c>
      <c r="QOE6" s="44">
        <f>Database!QOX14</f>
        <v>0</v>
      </c>
      <c r="QOF6" s="44">
        <f>Database!QOY14</f>
        <v>0</v>
      </c>
      <c r="QOG6" s="44">
        <f>Database!QOZ14</f>
        <v>0</v>
      </c>
      <c r="QOH6" s="44">
        <f>Database!QPA14</f>
        <v>0</v>
      </c>
      <c r="QOI6" s="44">
        <f>Database!QPB14</f>
        <v>0</v>
      </c>
      <c r="QOJ6" s="44">
        <f>Database!QPC14</f>
        <v>0</v>
      </c>
      <c r="QOK6" s="44">
        <f>Database!QPD14</f>
        <v>0</v>
      </c>
      <c r="QOL6" s="44">
        <f>Database!QPE14</f>
        <v>0</v>
      </c>
      <c r="QOM6" s="44">
        <f>Database!QPF14</f>
        <v>0</v>
      </c>
      <c r="QON6" s="44">
        <f>Database!QPG14</f>
        <v>0</v>
      </c>
      <c r="QOO6" s="44">
        <f>Database!QPH14</f>
        <v>0</v>
      </c>
      <c r="QOP6" s="44">
        <f>Database!QPI14</f>
        <v>0</v>
      </c>
      <c r="QOQ6" s="44">
        <f>Database!QPJ14</f>
        <v>0</v>
      </c>
      <c r="QOR6" s="44">
        <f>Database!QPK14</f>
        <v>0</v>
      </c>
      <c r="QOS6" s="44">
        <f>Database!QPL14</f>
        <v>0</v>
      </c>
      <c r="QOT6" s="44">
        <f>Database!QPM14</f>
        <v>0</v>
      </c>
      <c r="QOU6" s="44">
        <f>Database!QPN14</f>
        <v>0</v>
      </c>
      <c r="QOV6" s="44">
        <f>Database!QPO14</f>
        <v>0</v>
      </c>
      <c r="QOW6" s="44">
        <f>Database!QPP14</f>
        <v>0</v>
      </c>
      <c r="QOX6" s="44">
        <f>Database!QPQ14</f>
        <v>0</v>
      </c>
      <c r="QOY6" s="44">
        <f>Database!QPR14</f>
        <v>0</v>
      </c>
      <c r="QOZ6" s="44">
        <f>Database!QPS14</f>
        <v>0</v>
      </c>
      <c r="QPA6" s="44">
        <f>Database!QPT14</f>
        <v>0</v>
      </c>
      <c r="QPB6" s="44">
        <f>Database!QPU14</f>
        <v>0</v>
      </c>
      <c r="QPC6" s="44">
        <f>Database!QPV14</f>
        <v>0</v>
      </c>
      <c r="QPD6" s="44">
        <f>Database!QPW14</f>
        <v>0</v>
      </c>
      <c r="QPE6" s="44">
        <f>Database!QPX14</f>
        <v>0</v>
      </c>
      <c r="QPF6" s="44">
        <f>Database!QPY14</f>
        <v>0</v>
      </c>
      <c r="QPG6" s="44">
        <f>Database!QPZ14</f>
        <v>0</v>
      </c>
      <c r="QPH6" s="44">
        <f>Database!QQA14</f>
        <v>0</v>
      </c>
      <c r="QPI6" s="44">
        <f>Database!QQB14</f>
        <v>0</v>
      </c>
      <c r="QPJ6" s="44">
        <f>Database!QQC14</f>
        <v>0</v>
      </c>
      <c r="QPK6" s="44">
        <f>Database!QQD14</f>
        <v>0</v>
      </c>
      <c r="QPL6" s="44">
        <f>Database!QQE14</f>
        <v>0</v>
      </c>
      <c r="QPM6" s="44">
        <f>Database!QQF14</f>
        <v>0</v>
      </c>
      <c r="QPN6" s="44">
        <f>Database!QQG14</f>
        <v>0</v>
      </c>
      <c r="QPO6" s="44">
        <f>Database!QQH14</f>
        <v>0</v>
      </c>
      <c r="QPP6" s="44">
        <f>Database!QQI14</f>
        <v>0</v>
      </c>
      <c r="QPQ6" s="44">
        <f>Database!QQJ14</f>
        <v>0</v>
      </c>
      <c r="QPR6" s="44">
        <f>Database!QQK14</f>
        <v>0</v>
      </c>
      <c r="QPS6" s="44">
        <f>Database!QQL14</f>
        <v>0</v>
      </c>
      <c r="QPT6" s="44">
        <f>Database!QQM14</f>
        <v>0</v>
      </c>
      <c r="QPU6" s="44">
        <f>Database!QQN14</f>
        <v>0</v>
      </c>
      <c r="QPV6" s="44">
        <f>Database!QQO14</f>
        <v>0</v>
      </c>
      <c r="QPW6" s="44">
        <f>Database!QQP14</f>
        <v>0</v>
      </c>
      <c r="QPX6" s="44">
        <f>Database!QQQ14</f>
        <v>0</v>
      </c>
      <c r="QPY6" s="44">
        <f>Database!QQR14</f>
        <v>0</v>
      </c>
      <c r="QPZ6" s="44">
        <f>Database!QQS14</f>
        <v>0</v>
      </c>
      <c r="QQA6" s="44">
        <f>Database!QQT14</f>
        <v>0</v>
      </c>
      <c r="QQB6" s="44">
        <f>Database!QQU14</f>
        <v>0</v>
      </c>
      <c r="QQC6" s="44">
        <f>Database!QQV14</f>
        <v>0</v>
      </c>
      <c r="QQD6" s="44">
        <f>Database!QQW14</f>
        <v>0</v>
      </c>
      <c r="QQE6" s="44">
        <f>Database!QQX14</f>
        <v>0</v>
      </c>
      <c r="QQF6" s="44">
        <f>Database!QQY14</f>
        <v>0</v>
      </c>
      <c r="QQG6" s="44">
        <f>Database!QQZ14</f>
        <v>0</v>
      </c>
      <c r="QQH6" s="44">
        <f>Database!QRA14</f>
        <v>0</v>
      </c>
      <c r="QQI6" s="44">
        <f>Database!QRB14</f>
        <v>0</v>
      </c>
      <c r="QQJ6" s="44">
        <f>Database!QRC14</f>
        <v>0</v>
      </c>
      <c r="QQK6" s="44">
        <f>Database!QRD14</f>
        <v>0</v>
      </c>
      <c r="QQL6" s="44">
        <f>Database!QRE14</f>
        <v>0</v>
      </c>
      <c r="QQM6" s="44">
        <f>Database!QRF14</f>
        <v>0</v>
      </c>
      <c r="QQN6" s="44">
        <f>Database!QRG14</f>
        <v>0</v>
      </c>
      <c r="QQO6" s="44">
        <f>Database!QRH14</f>
        <v>0</v>
      </c>
      <c r="QQP6" s="44">
        <f>Database!QRI14</f>
        <v>0</v>
      </c>
      <c r="QQQ6" s="44">
        <f>Database!QRJ14</f>
        <v>0</v>
      </c>
      <c r="QQR6" s="44">
        <f>Database!QRK14</f>
        <v>0</v>
      </c>
      <c r="QQS6" s="44">
        <f>Database!QRL14</f>
        <v>0</v>
      </c>
      <c r="QQT6" s="44">
        <f>Database!QRM14</f>
        <v>0</v>
      </c>
      <c r="QQU6" s="44">
        <f>Database!QRN14</f>
        <v>0</v>
      </c>
      <c r="QQV6" s="44">
        <f>Database!QRO14</f>
        <v>0</v>
      </c>
      <c r="QQW6" s="44">
        <f>Database!QRP14</f>
        <v>0</v>
      </c>
      <c r="QQX6" s="44">
        <f>Database!QRQ14</f>
        <v>0</v>
      </c>
      <c r="QQY6" s="44">
        <f>Database!QRR14</f>
        <v>0</v>
      </c>
      <c r="QQZ6" s="44">
        <f>Database!QRS14</f>
        <v>0</v>
      </c>
      <c r="QRA6" s="44">
        <f>Database!QRT14</f>
        <v>0</v>
      </c>
      <c r="QRB6" s="44">
        <f>Database!QRU14</f>
        <v>0</v>
      </c>
      <c r="QRC6" s="44">
        <f>Database!QRV14</f>
        <v>0</v>
      </c>
      <c r="QRD6" s="44">
        <f>Database!QRW14</f>
        <v>0</v>
      </c>
      <c r="QRE6" s="44">
        <f>Database!QRX14</f>
        <v>0</v>
      </c>
      <c r="QRF6" s="44">
        <f>Database!QRY14</f>
        <v>0</v>
      </c>
      <c r="QRG6" s="44">
        <f>Database!QRZ14</f>
        <v>0</v>
      </c>
      <c r="QRH6" s="44">
        <f>Database!QSA14</f>
        <v>0</v>
      </c>
      <c r="QRI6" s="44">
        <f>Database!QSB14</f>
        <v>0</v>
      </c>
      <c r="QRJ6" s="44">
        <f>Database!QSC14</f>
        <v>0</v>
      </c>
      <c r="QRK6" s="44">
        <f>Database!QSD14</f>
        <v>0</v>
      </c>
      <c r="QRL6" s="44">
        <f>Database!QSE14</f>
        <v>0</v>
      </c>
      <c r="QRM6" s="44">
        <f>Database!QSF14</f>
        <v>0</v>
      </c>
      <c r="QRN6" s="44">
        <f>Database!QSG14</f>
        <v>0</v>
      </c>
      <c r="QRO6" s="44">
        <f>Database!QSH14</f>
        <v>0</v>
      </c>
      <c r="QRP6" s="44">
        <f>Database!QSI14</f>
        <v>0</v>
      </c>
      <c r="QRQ6" s="44">
        <f>Database!QSJ14</f>
        <v>0</v>
      </c>
      <c r="QRR6" s="44">
        <f>Database!QSK14</f>
        <v>0</v>
      </c>
      <c r="QRS6" s="44">
        <f>Database!QSL14</f>
        <v>0</v>
      </c>
      <c r="QRT6" s="44">
        <f>Database!QSM14</f>
        <v>0</v>
      </c>
      <c r="QRU6" s="44">
        <f>Database!QSN14</f>
        <v>0</v>
      </c>
      <c r="QRV6" s="44">
        <f>Database!QSO14</f>
        <v>0</v>
      </c>
      <c r="QRW6" s="44">
        <f>Database!QSP14</f>
        <v>0</v>
      </c>
      <c r="QRX6" s="44">
        <f>Database!QSQ14</f>
        <v>0</v>
      </c>
      <c r="QRY6" s="44">
        <f>Database!QSR14</f>
        <v>0</v>
      </c>
      <c r="QRZ6" s="44">
        <f>Database!QSS14</f>
        <v>0</v>
      </c>
      <c r="QSA6" s="44">
        <f>Database!QST14</f>
        <v>0</v>
      </c>
      <c r="QSB6" s="44">
        <f>Database!QSU14</f>
        <v>0</v>
      </c>
      <c r="QSC6" s="44">
        <f>Database!QSV14</f>
        <v>0</v>
      </c>
      <c r="QSD6" s="44">
        <f>Database!QSW14</f>
        <v>0</v>
      </c>
      <c r="QSE6" s="44">
        <f>Database!QSX14</f>
        <v>0</v>
      </c>
      <c r="QSF6" s="44">
        <f>Database!QSY14</f>
        <v>0</v>
      </c>
      <c r="QSG6" s="44">
        <f>Database!QSZ14</f>
        <v>0</v>
      </c>
      <c r="QSH6" s="44">
        <f>Database!QTA14</f>
        <v>0</v>
      </c>
      <c r="QSI6" s="44">
        <f>Database!QTB14</f>
        <v>0</v>
      </c>
      <c r="QSJ6" s="44">
        <f>Database!QTC14</f>
        <v>0</v>
      </c>
      <c r="QSK6" s="44">
        <f>Database!QTD14</f>
        <v>0</v>
      </c>
      <c r="QSL6" s="44">
        <f>Database!QTE14</f>
        <v>0</v>
      </c>
      <c r="QSM6" s="44">
        <f>Database!QTF14</f>
        <v>0</v>
      </c>
      <c r="QSN6" s="44">
        <f>Database!QTG14</f>
        <v>0</v>
      </c>
      <c r="QSO6" s="44">
        <f>Database!QTH14</f>
        <v>0</v>
      </c>
      <c r="QSP6" s="44">
        <f>Database!QTI14</f>
        <v>0</v>
      </c>
      <c r="QSQ6" s="44">
        <f>Database!QTJ14</f>
        <v>0</v>
      </c>
      <c r="QSR6" s="44">
        <f>Database!QTK14</f>
        <v>0</v>
      </c>
      <c r="QSS6" s="44">
        <f>Database!QTL14</f>
        <v>0</v>
      </c>
      <c r="QST6" s="44">
        <f>Database!QTM14</f>
        <v>0</v>
      </c>
      <c r="QSU6" s="44">
        <f>Database!QTN14</f>
        <v>0</v>
      </c>
      <c r="QSV6" s="44">
        <f>Database!QTO14</f>
        <v>0</v>
      </c>
      <c r="QSW6" s="44">
        <f>Database!QTP14</f>
        <v>0</v>
      </c>
      <c r="QSX6" s="44">
        <f>Database!QTQ14</f>
        <v>0</v>
      </c>
      <c r="QSY6" s="44">
        <f>Database!QTR14</f>
        <v>0</v>
      </c>
      <c r="QSZ6" s="44">
        <f>Database!QTS14</f>
        <v>0</v>
      </c>
      <c r="QTA6" s="44">
        <f>Database!QTT14</f>
        <v>0</v>
      </c>
      <c r="QTB6" s="44">
        <f>Database!QTU14</f>
        <v>0</v>
      </c>
      <c r="QTC6" s="44">
        <f>Database!QTV14</f>
        <v>0</v>
      </c>
      <c r="QTD6" s="44">
        <f>Database!QTW14</f>
        <v>0</v>
      </c>
      <c r="QTE6" s="44">
        <f>Database!QTX14</f>
        <v>0</v>
      </c>
      <c r="QTF6" s="44">
        <f>Database!QTY14</f>
        <v>0</v>
      </c>
      <c r="QTG6" s="44">
        <f>Database!QTZ14</f>
        <v>0</v>
      </c>
      <c r="QTH6" s="44">
        <f>Database!QUA14</f>
        <v>0</v>
      </c>
      <c r="QTI6" s="44">
        <f>Database!QUB14</f>
        <v>0</v>
      </c>
      <c r="QTJ6" s="44">
        <f>Database!QUC14</f>
        <v>0</v>
      </c>
      <c r="QTK6" s="44">
        <f>Database!QUD14</f>
        <v>0</v>
      </c>
      <c r="QTL6" s="44">
        <f>Database!QUE14</f>
        <v>0</v>
      </c>
      <c r="QTM6" s="44">
        <f>Database!QUF14</f>
        <v>0</v>
      </c>
      <c r="QTN6" s="44">
        <f>Database!QUG14</f>
        <v>0</v>
      </c>
      <c r="QTO6" s="44">
        <f>Database!QUH14</f>
        <v>0</v>
      </c>
      <c r="QTP6" s="44">
        <f>Database!QUI14</f>
        <v>0</v>
      </c>
      <c r="QTQ6" s="44">
        <f>Database!QUJ14</f>
        <v>0</v>
      </c>
      <c r="QTR6" s="44">
        <f>Database!QUK14</f>
        <v>0</v>
      </c>
      <c r="QTS6" s="44">
        <f>Database!QUL14</f>
        <v>0</v>
      </c>
      <c r="QTT6" s="44">
        <f>Database!QUM14</f>
        <v>0</v>
      </c>
      <c r="QTU6" s="44">
        <f>Database!QUN14</f>
        <v>0</v>
      </c>
      <c r="QTV6" s="44">
        <f>Database!QUO14</f>
        <v>0</v>
      </c>
      <c r="QTW6" s="44">
        <f>Database!QUP14</f>
        <v>0</v>
      </c>
      <c r="QTX6" s="44">
        <f>Database!QUQ14</f>
        <v>0</v>
      </c>
      <c r="QTY6" s="44">
        <f>Database!QUR14</f>
        <v>0</v>
      </c>
      <c r="QTZ6" s="44">
        <f>Database!QUS14</f>
        <v>0</v>
      </c>
      <c r="QUA6" s="44">
        <f>Database!QUT14</f>
        <v>0</v>
      </c>
      <c r="QUB6" s="44">
        <f>Database!QUU14</f>
        <v>0</v>
      </c>
      <c r="QUC6" s="44">
        <f>Database!QUV14</f>
        <v>0</v>
      </c>
      <c r="QUD6" s="44">
        <f>Database!QUW14</f>
        <v>0</v>
      </c>
      <c r="QUE6" s="44">
        <f>Database!QUX14</f>
        <v>0</v>
      </c>
      <c r="QUF6" s="44">
        <f>Database!QUY14</f>
        <v>0</v>
      </c>
      <c r="QUG6" s="44">
        <f>Database!QUZ14</f>
        <v>0</v>
      </c>
      <c r="QUH6" s="44">
        <f>Database!QVA14</f>
        <v>0</v>
      </c>
      <c r="QUI6" s="44">
        <f>Database!QVB14</f>
        <v>0</v>
      </c>
      <c r="QUJ6" s="44">
        <f>Database!QVC14</f>
        <v>0</v>
      </c>
      <c r="QUK6" s="44">
        <f>Database!QVD14</f>
        <v>0</v>
      </c>
      <c r="QUL6" s="44">
        <f>Database!QVE14</f>
        <v>0</v>
      </c>
      <c r="QUM6" s="44">
        <f>Database!QVF14</f>
        <v>0</v>
      </c>
      <c r="QUN6" s="44">
        <f>Database!QVG14</f>
        <v>0</v>
      </c>
      <c r="QUO6" s="44">
        <f>Database!QVH14</f>
        <v>0</v>
      </c>
      <c r="QUP6" s="44">
        <f>Database!QVI14</f>
        <v>0</v>
      </c>
      <c r="QUQ6" s="44">
        <f>Database!QVJ14</f>
        <v>0</v>
      </c>
      <c r="QUR6" s="44">
        <f>Database!QVK14</f>
        <v>0</v>
      </c>
      <c r="QUS6" s="44">
        <f>Database!QVL14</f>
        <v>0</v>
      </c>
      <c r="QUT6" s="44">
        <f>Database!QVM14</f>
        <v>0</v>
      </c>
      <c r="QUU6" s="44">
        <f>Database!QVN14</f>
        <v>0</v>
      </c>
      <c r="QUV6" s="44">
        <f>Database!QVO14</f>
        <v>0</v>
      </c>
      <c r="QUW6" s="44">
        <f>Database!QVP14</f>
        <v>0</v>
      </c>
      <c r="QUX6" s="44">
        <f>Database!QVQ14</f>
        <v>0</v>
      </c>
      <c r="QUY6" s="44">
        <f>Database!QVR14</f>
        <v>0</v>
      </c>
      <c r="QUZ6" s="44">
        <f>Database!QVS14</f>
        <v>0</v>
      </c>
      <c r="QVA6" s="44">
        <f>Database!QVT14</f>
        <v>0</v>
      </c>
      <c r="QVB6" s="44">
        <f>Database!QVU14</f>
        <v>0</v>
      </c>
      <c r="QVC6" s="44">
        <f>Database!QVV14</f>
        <v>0</v>
      </c>
      <c r="QVD6" s="44">
        <f>Database!QVW14</f>
        <v>0</v>
      </c>
      <c r="QVE6" s="44">
        <f>Database!QVX14</f>
        <v>0</v>
      </c>
      <c r="QVF6" s="44">
        <f>Database!QVY14</f>
        <v>0</v>
      </c>
      <c r="QVG6" s="44">
        <f>Database!QVZ14</f>
        <v>0</v>
      </c>
      <c r="QVH6" s="44">
        <f>Database!QWA14</f>
        <v>0</v>
      </c>
      <c r="QVI6" s="44">
        <f>Database!QWB14</f>
        <v>0</v>
      </c>
      <c r="QVJ6" s="44">
        <f>Database!QWC14</f>
        <v>0</v>
      </c>
      <c r="QVK6" s="44">
        <f>Database!QWD14</f>
        <v>0</v>
      </c>
      <c r="QVL6" s="44">
        <f>Database!QWE14</f>
        <v>0</v>
      </c>
      <c r="QVM6" s="44">
        <f>Database!QWF14</f>
        <v>0</v>
      </c>
      <c r="QVN6" s="44">
        <f>Database!QWG14</f>
        <v>0</v>
      </c>
      <c r="QVO6" s="44">
        <f>Database!QWH14</f>
        <v>0</v>
      </c>
      <c r="QVP6" s="44">
        <f>Database!QWI14</f>
        <v>0</v>
      </c>
      <c r="QVQ6" s="44">
        <f>Database!QWJ14</f>
        <v>0</v>
      </c>
      <c r="QVR6" s="44">
        <f>Database!QWK14</f>
        <v>0</v>
      </c>
      <c r="QVS6" s="44">
        <f>Database!QWL14</f>
        <v>0</v>
      </c>
      <c r="QVT6" s="44">
        <f>Database!QWM14</f>
        <v>0</v>
      </c>
      <c r="QVU6" s="44">
        <f>Database!QWN14</f>
        <v>0</v>
      </c>
      <c r="QVV6" s="44">
        <f>Database!QWO14</f>
        <v>0</v>
      </c>
      <c r="QVW6" s="44">
        <f>Database!QWP14</f>
        <v>0</v>
      </c>
      <c r="QVX6" s="44">
        <f>Database!QWQ14</f>
        <v>0</v>
      </c>
      <c r="QVY6" s="44">
        <f>Database!QWR14</f>
        <v>0</v>
      </c>
      <c r="QVZ6" s="44">
        <f>Database!QWS14</f>
        <v>0</v>
      </c>
      <c r="QWA6" s="44">
        <f>Database!QWT14</f>
        <v>0</v>
      </c>
      <c r="QWB6" s="44">
        <f>Database!QWU14</f>
        <v>0</v>
      </c>
      <c r="QWC6" s="44">
        <f>Database!QWV14</f>
        <v>0</v>
      </c>
      <c r="QWD6" s="44">
        <f>Database!QWW14</f>
        <v>0</v>
      </c>
      <c r="QWE6" s="44">
        <f>Database!QWX14</f>
        <v>0</v>
      </c>
      <c r="QWF6" s="44">
        <f>Database!QWY14</f>
        <v>0</v>
      </c>
      <c r="QWG6" s="44">
        <f>Database!QWZ14</f>
        <v>0</v>
      </c>
      <c r="QWH6" s="44">
        <f>Database!QXA14</f>
        <v>0</v>
      </c>
      <c r="QWI6" s="44">
        <f>Database!QXB14</f>
        <v>0</v>
      </c>
      <c r="QWJ6" s="44">
        <f>Database!QXC14</f>
        <v>0</v>
      </c>
      <c r="QWK6" s="44">
        <f>Database!QXD14</f>
        <v>0</v>
      </c>
      <c r="QWL6" s="44">
        <f>Database!QXE14</f>
        <v>0</v>
      </c>
      <c r="QWM6" s="44">
        <f>Database!QXF14</f>
        <v>0</v>
      </c>
      <c r="QWN6" s="44">
        <f>Database!QXG14</f>
        <v>0</v>
      </c>
      <c r="QWO6" s="44">
        <f>Database!QXH14</f>
        <v>0</v>
      </c>
      <c r="QWP6" s="44">
        <f>Database!QXI14</f>
        <v>0</v>
      </c>
      <c r="QWQ6" s="44">
        <f>Database!QXJ14</f>
        <v>0</v>
      </c>
      <c r="QWR6" s="44">
        <f>Database!QXK14</f>
        <v>0</v>
      </c>
      <c r="QWS6" s="44">
        <f>Database!QXL14</f>
        <v>0</v>
      </c>
      <c r="QWT6" s="44">
        <f>Database!QXM14</f>
        <v>0</v>
      </c>
      <c r="QWU6" s="44">
        <f>Database!QXN14</f>
        <v>0</v>
      </c>
      <c r="QWV6" s="44">
        <f>Database!QXO14</f>
        <v>0</v>
      </c>
      <c r="QWW6" s="44">
        <f>Database!QXP14</f>
        <v>0</v>
      </c>
      <c r="QWX6" s="44">
        <f>Database!QXQ14</f>
        <v>0</v>
      </c>
      <c r="QWY6" s="44">
        <f>Database!QXR14</f>
        <v>0</v>
      </c>
      <c r="QWZ6" s="44">
        <f>Database!QXS14</f>
        <v>0</v>
      </c>
      <c r="QXA6" s="44">
        <f>Database!QXT14</f>
        <v>0</v>
      </c>
      <c r="QXB6" s="44">
        <f>Database!QXU14</f>
        <v>0</v>
      </c>
      <c r="QXC6" s="44">
        <f>Database!QXV14</f>
        <v>0</v>
      </c>
      <c r="QXD6" s="44">
        <f>Database!QXW14</f>
        <v>0</v>
      </c>
      <c r="QXE6" s="44">
        <f>Database!QXX14</f>
        <v>0</v>
      </c>
      <c r="QXF6" s="44">
        <f>Database!QXY14</f>
        <v>0</v>
      </c>
      <c r="QXG6" s="44">
        <f>Database!QXZ14</f>
        <v>0</v>
      </c>
      <c r="QXH6" s="44">
        <f>Database!QYA14</f>
        <v>0</v>
      </c>
      <c r="QXI6" s="44">
        <f>Database!QYB14</f>
        <v>0</v>
      </c>
      <c r="QXJ6" s="44">
        <f>Database!QYC14</f>
        <v>0</v>
      </c>
      <c r="QXK6" s="44">
        <f>Database!QYD14</f>
        <v>0</v>
      </c>
      <c r="QXL6" s="44">
        <f>Database!QYE14</f>
        <v>0</v>
      </c>
      <c r="QXM6" s="44">
        <f>Database!QYF14</f>
        <v>0</v>
      </c>
      <c r="QXN6" s="44">
        <f>Database!QYG14</f>
        <v>0</v>
      </c>
      <c r="QXO6" s="44">
        <f>Database!QYH14</f>
        <v>0</v>
      </c>
      <c r="QXP6" s="44">
        <f>Database!QYI14</f>
        <v>0</v>
      </c>
      <c r="QXQ6" s="44">
        <f>Database!QYJ14</f>
        <v>0</v>
      </c>
      <c r="QXR6" s="44">
        <f>Database!QYK14</f>
        <v>0</v>
      </c>
      <c r="QXS6" s="44">
        <f>Database!QYL14</f>
        <v>0</v>
      </c>
      <c r="QXT6" s="44">
        <f>Database!QYM14</f>
        <v>0</v>
      </c>
      <c r="QXU6" s="44">
        <f>Database!QYN14</f>
        <v>0</v>
      </c>
      <c r="QXV6" s="44">
        <f>Database!QYO14</f>
        <v>0</v>
      </c>
      <c r="QXW6" s="44">
        <f>Database!QYP14</f>
        <v>0</v>
      </c>
      <c r="QXX6" s="44">
        <f>Database!QYQ14</f>
        <v>0</v>
      </c>
      <c r="QXY6" s="44">
        <f>Database!QYR14</f>
        <v>0</v>
      </c>
      <c r="QXZ6" s="44">
        <f>Database!QYS14</f>
        <v>0</v>
      </c>
      <c r="QYA6" s="44">
        <f>Database!QYT14</f>
        <v>0</v>
      </c>
      <c r="QYB6" s="44">
        <f>Database!QYU14</f>
        <v>0</v>
      </c>
      <c r="QYC6" s="44">
        <f>Database!QYV14</f>
        <v>0</v>
      </c>
      <c r="QYD6" s="44">
        <f>Database!QYW14</f>
        <v>0</v>
      </c>
      <c r="QYE6" s="44">
        <f>Database!QYX14</f>
        <v>0</v>
      </c>
      <c r="QYF6" s="44">
        <f>Database!QYY14</f>
        <v>0</v>
      </c>
      <c r="QYG6" s="44">
        <f>Database!QYZ14</f>
        <v>0</v>
      </c>
      <c r="QYH6" s="44">
        <f>Database!QZA14</f>
        <v>0</v>
      </c>
      <c r="QYI6" s="44">
        <f>Database!QZB14</f>
        <v>0</v>
      </c>
      <c r="QYJ6" s="44">
        <f>Database!QZC14</f>
        <v>0</v>
      </c>
      <c r="QYK6" s="44">
        <f>Database!QZD14</f>
        <v>0</v>
      </c>
      <c r="QYL6" s="44">
        <f>Database!QZE14</f>
        <v>0</v>
      </c>
      <c r="QYM6" s="44">
        <f>Database!QZF14</f>
        <v>0</v>
      </c>
      <c r="QYN6" s="44">
        <f>Database!QZG14</f>
        <v>0</v>
      </c>
      <c r="QYO6" s="44">
        <f>Database!QZH14</f>
        <v>0</v>
      </c>
      <c r="QYP6" s="44">
        <f>Database!QZI14</f>
        <v>0</v>
      </c>
      <c r="QYQ6" s="44">
        <f>Database!QZJ14</f>
        <v>0</v>
      </c>
      <c r="QYR6" s="44">
        <f>Database!QZK14</f>
        <v>0</v>
      </c>
      <c r="QYS6" s="44">
        <f>Database!QZL14</f>
        <v>0</v>
      </c>
      <c r="QYT6" s="44">
        <f>Database!QZM14</f>
        <v>0</v>
      </c>
      <c r="QYU6" s="44">
        <f>Database!QZN14</f>
        <v>0</v>
      </c>
      <c r="QYV6" s="44">
        <f>Database!QZO14</f>
        <v>0</v>
      </c>
      <c r="QYW6" s="44">
        <f>Database!QZP14</f>
        <v>0</v>
      </c>
      <c r="QYX6" s="44">
        <f>Database!QZQ14</f>
        <v>0</v>
      </c>
      <c r="QYY6" s="44">
        <f>Database!QZR14</f>
        <v>0</v>
      </c>
      <c r="QYZ6" s="44">
        <f>Database!QZS14</f>
        <v>0</v>
      </c>
      <c r="QZA6" s="44">
        <f>Database!QZT14</f>
        <v>0</v>
      </c>
      <c r="QZB6" s="44">
        <f>Database!QZU14</f>
        <v>0</v>
      </c>
      <c r="QZC6" s="44">
        <f>Database!QZV14</f>
        <v>0</v>
      </c>
      <c r="QZD6" s="44">
        <f>Database!QZW14</f>
        <v>0</v>
      </c>
      <c r="QZE6" s="44">
        <f>Database!QZX14</f>
        <v>0</v>
      </c>
      <c r="QZF6" s="44">
        <f>Database!QZY14</f>
        <v>0</v>
      </c>
      <c r="QZG6" s="44">
        <f>Database!QZZ14</f>
        <v>0</v>
      </c>
      <c r="QZH6" s="44">
        <f>Database!RAA14</f>
        <v>0</v>
      </c>
      <c r="QZI6" s="44">
        <f>Database!RAB14</f>
        <v>0</v>
      </c>
      <c r="QZJ6" s="44">
        <f>Database!RAC14</f>
        <v>0</v>
      </c>
      <c r="QZK6" s="44">
        <f>Database!RAD14</f>
        <v>0</v>
      </c>
      <c r="QZL6" s="44">
        <f>Database!RAE14</f>
        <v>0</v>
      </c>
      <c r="QZM6" s="44">
        <f>Database!RAF14</f>
        <v>0</v>
      </c>
      <c r="QZN6" s="44">
        <f>Database!RAG14</f>
        <v>0</v>
      </c>
      <c r="QZO6" s="44">
        <f>Database!RAH14</f>
        <v>0</v>
      </c>
      <c r="QZP6" s="44">
        <f>Database!RAI14</f>
        <v>0</v>
      </c>
      <c r="QZQ6" s="44">
        <f>Database!RAJ14</f>
        <v>0</v>
      </c>
      <c r="QZR6" s="44">
        <f>Database!RAK14</f>
        <v>0</v>
      </c>
      <c r="QZS6" s="44">
        <f>Database!RAL14</f>
        <v>0</v>
      </c>
      <c r="QZT6" s="44">
        <f>Database!RAM14</f>
        <v>0</v>
      </c>
      <c r="QZU6" s="44">
        <f>Database!RAN14</f>
        <v>0</v>
      </c>
      <c r="QZV6" s="44">
        <f>Database!RAO14</f>
        <v>0</v>
      </c>
      <c r="QZW6" s="44">
        <f>Database!RAP14</f>
        <v>0</v>
      </c>
      <c r="QZX6" s="44">
        <f>Database!RAQ14</f>
        <v>0</v>
      </c>
      <c r="QZY6" s="44">
        <f>Database!RAR14</f>
        <v>0</v>
      </c>
      <c r="QZZ6" s="44">
        <f>Database!RAS14</f>
        <v>0</v>
      </c>
      <c r="RAA6" s="44">
        <f>Database!RAT14</f>
        <v>0</v>
      </c>
      <c r="RAB6" s="44">
        <f>Database!RAU14</f>
        <v>0</v>
      </c>
      <c r="RAC6" s="44">
        <f>Database!RAV14</f>
        <v>0</v>
      </c>
      <c r="RAD6" s="44">
        <f>Database!RAW14</f>
        <v>0</v>
      </c>
      <c r="RAE6" s="44">
        <f>Database!RAX14</f>
        <v>0</v>
      </c>
      <c r="RAF6" s="44">
        <f>Database!RAY14</f>
        <v>0</v>
      </c>
      <c r="RAG6" s="44">
        <f>Database!RAZ14</f>
        <v>0</v>
      </c>
      <c r="RAH6" s="44">
        <f>Database!RBA14</f>
        <v>0</v>
      </c>
      <c r="RAI6" s="44">
        <f>Database!RBB14</f>
        <v>0</v>
      </c>
      <c r="RAJ6" s="44">
        <f>Database!RBC14</f>
        <v>0</v>
      </c>
      <c r="RAK6" s="44">
        <f>Database!RBD14</f>
        <v>0</v>
      </c>
      <c r="RAL6" s="44">
        <f>Database!RBE14</f>
        <v>0</v>
      </c>
      <c r="RAM6" s="44">
        <f>Database!RBF14</f>
        <v>0</v>
      </c>
      <c r="RAN6" s="44">
        <f>Database!RBG14</f>
        <v>0</v>
      </c>
      <c r="RAO6" s="44">
        <f>Database!RBH14</f>
        <v>0</v>
      </c>
      <c r="RAP6" s="44">
        <f>Database!RBI14</f>
        <v>0</v>
      </c>
      <c r="RAQ6" s="44">
        <f>Database!RBJ14</f>
        <v>0</v>
      </c>
      <c r="RAR6" s="44">
        <f>Database!RBK14</f>
        <v>0</v>
      </c>
      <c r="RAS6" s="44">
        <f>Database!RBL14</f>
        <v>0</v>
      </c>
      <c r="RAT6" s="44">
        <f>Database!RBM14</f>
        <v>0</v>
      </c>
      <c r="RAU6" s="44">
        <f>Database!RBN14</f>
        <v>0</v>
      </c>
      <c r="RAV6" s="44">
        <f>Database!RBO14</f>
        <v>0</v>
      </c>
      <c r="RAW6" s="44">
        <f>Database!RBP14</f>
        <v>0</v>
      </c>
      <c r="RAX6" s="44">
        <f>Database!RBQ14</f>
        <v>0</v>
      </c>
      <c r="RAY6" s="44">
        <f>Database!RBR14</f>
        <v>0</v>
      </c>
      <c r="RAZ6" s="44">
        <f>Database!RBS14</f>
        <v>0</v>
      </c>
      <c r="RBA6" s="44">
        <f>Database!RBT14</f>
        <v>0</v>
      </c>
      <c r="RBB6" s="44">
        <f>Database!RBU14</f>
        <v>0</v>
      </c>
      <c r="RBC6" s="44">
        <f>Database!RBV14</f>
        <v>0</v>
      </c>
      <c r="RBD6" s="44">
        <f>Database!RBW14</f>
        <v>0</v>
      </c>
      <c r="RBE6" s="44">
        <f>Database!RBX14</f>
        <v>0</v>
      </c>
      <c r="RBF6" s="44">
        <f>Database!RBY14</f>
        <v>0</v>
      </c>
      <c r="RBG6" s="44">
        <f>Database!RBZ14</f>
        <v>0</v>
      </c>
      <c r="RBH6" s="44">
        <f>Database!RCA14</f>
        <v>0</v>
      </c>
      <c r="RBI6" s="44">
        <f>Database!RCB14</f>
        <v>0</v>
      </c>
      <c r="RBJ6" s="44">
        <f>Database!RCC14</f>
        <v>0</v>
      </c>
      <c r="RBK6" s="44">
        <f>Database!RCD14</f>
        <v>0</v>
      </c>
      <c r="RBL6" s="44">
        <f>Database!RCE14</f>
        <v>0</v>
      </c>
      <c r="RBM6" s="44">
        <f>Database!RCF14</f>
        <v>0</v>
      </c>
      <c r="RBN6" s="44">
        <f>Database!RCG14</f>
        <v>0</v>
      </c>
      <c r="RBO6" s="44">
        <f>Database!RCH14</f>
        <v>0</v>
      </c>
      <c r="RBP6" s="44">
        <f>Database!RCI14</f>
        <v>0</v>
      </c>
      <c r="RBQ6" s="44">
        <f>Database!RCJ14</f>
        <v>0</v>
      </c>
      <c r="RBR6" s="44">
        <f>Database!RCK14</f>
        <v>0</v>
      </c>
      <c r="RBS6" s="44">
        <f>Database!RCL14</f>
        <v>0</v>
      </c>
      <c r="RBT6" s="44">
        <f>Database!RCM14</f>
        <v>0</v>
      </c>
      <c r="RBU6" s="44">
        <f>Database!RCN14</f>
        <v>0</v>
      </c>
      <c r="RBV6" s="44">
        <f>Database!RCO14</f>
        <v>0</v>
      </c>
      <c r="RBW6" s="44">
        <f>Database!RCP14</f>
        <v>0</v>
      </c>
      <c r="RBX6" s="44">
        <f>Database!RCQ14</f>
        <v>0</v>
      </c>
      <c r="RBY6" s="44">
        <f>Database!RCR14</f>
        <v>0</v>
      </c>
      <c r="RBZ6" s="44">
        <f>Database!RCS14</f>
        <v>0</v>
      </c>
      <c r="RCA6" s="44">
        <f>Database!RCT14</f>
        <v>0</v>
      </c>
      <c r="RCB6" s="44">
        <f>Database!RCU14</f>
        <v>0</v>
      </c>
      <c r="RCC6" s="44">
        <f>Database!RCV14</f>
        <v>0</v>
      </c>
      <c r="RCD6" s="44">
        <f>Database!RCW14</f>
        <v>0</v>
      </c>
      <c r="RCE6" s="44">
        <f>Database!RCX14</f>
        <v>0</v>
      </c>
      <c r="RCF6" s="44">
        <f>Database!RCY14</f>
        <v>0</v>
      </c>
      <c r="RCG6" s="44">
        <f>Database!RCZ14</f>
        <v>0</v>
      </c>
      <c r="RCH6" s="44">
        <f>Database!RDA14</f>
        <v>0</v>
      </c>
      <c r="RCI6" s="44">
        <f>Database!RDB14</f>
        <v>0</v>
      </c>
      <c r="RCJ6" s="44">
        <f>Database!RDC14</f>
        <v>0</v>
      </c>
      <c r="RCK6" s="44">
        <f>Database!RDD14</f>
        <v>0</v>
      </c>
      <c r="RCL6" s="44">
        <f>Database!RDE14</f>
        <v>0</v>
      </c>
      <c r="RCM6" s="44">
        <f>Database!RDF14</f>
        <v>0</v>
      </c>
      <c r="RCN6" s="44">
        <f>Database!RDG14</f>
        <v>0</v>
      </c>
      <c r="RCO6" s="44">
        <f>Database!RDH14</f>
        <v>0</v>
      </c>
      <c r="RCP6" s="44">
        <f>Database!RDI14</f>
        <v>0</v>
      </c>
      <c r="RCQ6" s="44">
        <f>Database!RDJ14</f>
        <v>0</v>
      </c>
      <c r="RCR6" s="44">
        <f>Database!RDK14</f>
        <v>0</v>
      </c>
      <c r="RCS6" s="44">
        <f>Database!RDL14</f>
        <v>0</v>
      </c>
      <c r="RCT6" s="44">
        <f>Database!RDM14</f>
        <v>0</v>
      </c>
      <c r="RCU6" s="44">
        <f>Database!RDN14</f>
        <v>0</v>
      </c>
      <c r="RCV6" s="44">
        <f>Database!RDO14</f>
        <v>0</v>
      </c>
      <c r="RCW6" s="44">
        <f>Database!RDP14</f>
        <v>0</v>
      </c>
      <c r="RCX6" s="44">
        <f>Database!RDQ14</f>
        <v>0</v>
      </c>
      <c r="RCY6" s="44">
        <f>Database!RDR14</f>
        <v>0</v>
      </c>
      <c r="RCZ6" s="44">
        <f>Database!RDS14</f>
        <v>0</v>
      </c>
      <c r="RDA6" s="44">
        <f>Database!RDT14</f>
        <v>0</v>
      </c>
      <c r="RDB6" s="44">
        <f>Database!RDU14</f>
        <v>0</v>
      </c>
      <c r="RDC6" s="44">
        <f>Database!RDV14</f>
        <v>0</v>
      </c>
      <c r="RDD6" s="44">
        <f>Database!RDW14</f>
        <v>0</v>
      </c>
      <c r="RDE6" s="44">
        <f>Database!RDX14</f>
        <v>0</v>
      </c>
      <c r="RDF6" s="44">
        <f>Database!RDY14</f>
        <v>0</v>
      </c>
      <c r="RDG6" s="44">
        <f>Database!RDZ14</f>
        <v>0</v>
      </c>
      <c r="RDH6" s="44">
        <f>Database!REA14</f>
        <v>0</v>
      </c>
      <c r="RDI6" s="44">
        <f>Database!REB14</f>
        <v>0</v>
      </c>
      <c r="RDJ6" s="44">
        <f>Database!REC14</f>
        <v>0</v>
      </c>
      <c r="RDK6" s="44">
        <f>Database!RED14</f>
        <v>0</v>
      </c>
      <c r="RDL6" s="44">
        <f>Database!REE14</f>
        <v>0</v>
      </c>
      <c r="RDM6" s="44">
        <f>Database!REF14</f>
        <v>0</v>
      </c>
      <c r="RDN6" s="44">
        <f>Database!REG14</f>
        <v>0</v>
      </c>
      <c r="RDO6" s="44">
        <f>Database!REH14</f>
        <v>0</v>
      </c>
      <c r="RDP6" s="44">
        <f>Database!REI14</f>
        <v>0</v>
      </c>
      <c r="RDQ6" s="44">
        <f>Database!REJ14</f>
        <v>0</v>
      </c>
      <c r="RDR6" s="44">
        <f>Database!REK14</f>
        <v>0</v>
      </c>
      <c r="RDS6" s="44">
        <f>Database!REL14</f>
        <v>0</v>
      </c>
      <c r="RDT6" s="44">
        <f>Database!REM14</f>
        <v>0</v>
      </c>
      <c r="RDU6" s="44">
        <f>Database!REN14</f>
        <v>0</v>
      </c>
      <c r="RDV6" s="44">
        <f>Database!REO14</f>
        <v>0</v>
      </c>
      <c r="RDW6" s="44">
        <f>Database!REP14</f>
        <v>0</v>
      </c>
      <c r="RDX6" s="44">
        <f>Database!REQ14</f>
        <v>0</v>
      </c>
      <c r="RDY6" s="44">
        <f>Database!RER14</f>
        <v>0</v>
      </c>
      <c r="RDZ6" s="44">
        <f>Database!RES14</f>
        <v>0</v>
      </c>
      <c r="REA6" s="44">
        <f>Database!RET14</f>
        <v>0</v>
      </c>
      <c r="REB6" s="44">
        <f>Database!REU14</f>
        <v>0</v>
      </c>
      <c r="REC6" s="44">
        <f>Database!REV14</f>
        <v>0</v>
      </c>
      <c r="RED6" s="44">
        <f>Database!REW14</f>
        <v>0</v>
      </c>
      <c r="REE6" s="44">
        <f>Database!REX14</f>
        <v>0</v>
      </c>
      <c r="REF6" s="44">
        <f>Database!REY14</f>
        <v>0</v>
      </c>
      <c r="REG6" s="44">
        <f>Database!REZ14</f>
        <v>0</v>
      </c>
      <c r="REH6" s="44">
        <f>Database!RFA14</f>
        <v>0</v>
      </c>
      <c r="REI6" s="44">
        <f>Database!RFB14</f>
        <v>0</v>
      </c>
      <c r="REJ6" s="44">
        <f>Database!RFC14</f>
        <v>0</v>
      </c>
      <c r="REK6" s="44">
        <f>Database!RFD14</f>
        <v>0</v>
      </c>
      <c r="REL6" s="44">
        <f>Database!RFE14</f>
        <v>0</v>
      </c>
      <c r="REM6" s="44">
        <f>Database!RFF14</f>
        <v>0</v>
      </c>
      <c r="REN6" s="44">
        <f>Database!RFG14</f>
        <v>0</v>
      </c>
      <c r="REO6" s="44">
        <f>Database!RFH14</f>
        <v>0</v>
      </c>
      <c r="REP6" s="44">
        <f>Database!RFI14</f>
        <v>0</v>
      </c>
      <c r="REQ6" s="44">
        <f>Database!RFJ14</f>
        <v>0</v>
      </c>
      <c r="RER6" s="44">
        <f>Database!RFK14</f>
        <v>0</v>
      </c>
      <c r="RES6" s="44">
        <f>Database!RFL14</f>
        <v>0</v>
      </c>
      <c r="RET6" s="44">
        <f>Database!RFM14</f>
        <v>0</v>
      </c>
      <c r="REU6" s="44">
        <f>Database!RFN14</f>
        <v>0</v>
      </c>
      <c r="REV6" s="44">
        <f>Database!RFO14</f>
        <v>0</v>
      </c>
      <c r="REW6" s="44">
        <f>Database!RFP14</f>
        <v>0</v>
      </c>
      <c r="REX6" s="44">
        <f>Database!RFQ14</f>
        <v>0</v>
      </c>
      <c r="REY6" s="44">
        <f>Database!RFR14</f>
        <v>0</v>
      </c>
      <c r="REZ6" s="44">
        <f>Database!RFS14</f>
        <v>0</v>
      </c>
      <c r="RFA6" s="44">
        <f>Database!RFT14</f>
        <v>0</v>
      </c>
      <c r="RFB6" s="44">
        <f>Database!RFU14</f>
        <v>0</v>
      </c>
      <c r="RFC6" s="44">
        <f>Database!RFV14</f>
        <v>0</v>
      </c>
      <c r="RFD6" s="44">
        <f>Database!RFW14</f>
        <v>0</v>
      </c>
      <c r="RFE6" s="44">
        <f>Database!RFX14</f>
        <v>0</v>
      </c>
      <c r="RFF6" s="44">
        <f>Database!RFY14</f>
        <v>0</v>
      </c>
      <c r="RFG6" s="44">
        <f>Database!RFZ14</f>
        <v>0</v>
      </c>
      <c r="RFH6" s="44">
        <f>Database!RGA14</f>
        <v>0</v>
      </c>
      <c r="RFI6" s="44">
        <f>Database!RGB14</f>
        <v>0</v>
      </c>
      <c r="RFJ6" s="44">
        <f>Database!RGC14</f>
        <v>0</v>
      </c>
      <c r="RFK6" s="44">
        <f>Database!RGD14</f>
        <v>0</v>
      </c>
      <c r="RFL6" s="44">
        <f>Database!RGE14</f>
        <v>0</v>
      </c>
      <c r="RFM6" s="44">
        <f>Database!RGF14</f>
        <v>0</v>
      </c>
      <c r="RFN6" s="44">
        <f>Database!RGG14</f>
        <v>0</v>
      </c>
      <c r="RFO6" s="44">
        <f>Database!RGH14</f>
        <v>0</v>
      </c>
      <c r="RFP6" s="44">
        <f>Database!RGI14</f>
        <v>0</v>
      </c>
      <c r="RFQ6" s="44">
        <f>Database!RGJ14</f>
        <v>0</v>
      </c>
      <c r="RFR6" s="44">
        <f>Database!RGK14</f>
        <v>0</v>
      </c>
      <c r="RFS6" s="44">
        <f>Database!RGL14</f>
        <v>0</v>
      </c>
      <c r="RFT6" s="44">
        <f>Database!RGM14</f>
        <v>0</v>
      </c>
      <c r="RFU6" s="44">
        <f>Database!RGN14</f>
        <v>0</v>
      </c>
      <c r="RFV6" s="44">
        <f>Database!RGO14</f>
        <v>0</v>
      </c>
      <c r="RFW6" s="44">
        <f>Database!RGP14</f>
        <v>0</v>
      </c>
      <c r="RFX6" s="44">
        <f>Database!RGQ14</f>
        <v>0</v>
      </c>
      <c r="RFY6" s="44">
        <f>Database!RGR14</f>
        <v>0</v>
      </c>
      <c r="RFZ6" s="44">
        <f>Database!RGS14</f>
        <v>0</v>
      </c>
      <c r="RGA6" s="44">
        <f>Database!RGT14</f>
        <v>0</v>
      </c>
      <c r="RGB6" s="44">
        <f>Database!RGU14</f>
        <v>0</v>
      </c>
      <c r="RGC6" s="44">
        <f>Database!RGV14</f>
        <v>0</v>
      </c>
      <c r="RGD6" s="44">
        <f>Database!RGW14</f>
        <v>0</v>
      </c>
      <c r="RGE6" s="44">
        <f>Database!RGX14</f>
        <v>0</v>
      </c>
      <c r="RGF6" s="44">
        <f>Database!RGY14</f>
        <v>0</v>
      </c>
      <c r="RGG6" s="44">
        <f>Database!RGZ14</f>
        <v>0</v>
      </c>
      <c r="RGH6" s="44">
        <f>Database!RHA14</f>
        <v>0</v>
      </c>
      <c r="RGI6" s="44">
        <f>Database!RHB14</f>
        <v>0</v>
      </c>
      <c r="RGJ6" s="44">
        <f>Database!RHC14</f>
        <v>0</v>
      </c>
      <c r="RGK6" s="44">
        <f>Database!RHD14</f>
        <v>0</v>
      </c>
      <c r="RGL6" s="44">
        <f>Database!RHE14</f>
        <v>0</v>
      </c>
      <c r="RGM6" s="44">
        <f>Database!RHF14</f>
        <v>0</v>
      </c>
      <c r="RGN6" s="44">
        <f>Database!RHG14</f>
        <v>0</v>
      </c>
      <c r="RGO6" s="44">
        <f>Database!RHH14</f>
        <v>0</v>
      </c>
      <c r="RGP6" s="44">
        <f>Database!RHI14</f>
        <v>0</v>
      </c>
      <c r="RGQ6" s="44">
        <f>Database!RHJ14</f>
        <v>0</v>
      </c>
      <c r="RGR6" s="44">
        <f>Database!RHK14</f>
        <v>0</v>
      </c>
      <c r="RGS6" s="44">
        <f>Database!RHL14</f>
        <v>0</v>
      </c>
      <c r="RGT6" s="44">
        <f>Database!RHM14</f>
        <v>0</v>
      </c>
      <c r="RGU6" s="44">
        <f>Database!RHN14</f>
        <v>0</v>
      </c>
      <c r="RGV6" s="44">
        <f>Database!RHO14</f>
        <v>0</v>
      </c>
      <c r="RGW6" s="44">
        <f>Database!RHP14</f>
        <v>0</v>
      </c>
      <c r="RGX6" s="44">
        <f>Database!RHQ14</f>
        <v>0</v>
      </c>
      <c r="RGY6" s="44">
        <f>Database!RHR14</f>
        <v>0</v>
      </c>
      <c r="RGZ6" s="44">
        <f>Database!RHS14</f>
        <v>0</v>
      </c>
      <c r="RHA6" s="44">
        <f>Database!RHT14</f>
        <v>0</v>
      </c>
      <c r="RHB6" s="44">
        <f>Database!RHU14</f>
        <v>0</v>
      </c>
      <c r="RHC6" s="44">
        <f>Database!RHV14</f>
        <v>0</v>
      </c>
      <c r="RHD6" s="44">
        <f>Database!RHW14</f>
        <v>0</v>
      </c>
      <c r="RHE6" s="44">
        <f>Database!RHX14</f>
        <v>0</v>
      </c>
      <c r="RHF6" s="44">
        <f>Database!RHY14</f>
        <v>0</v>
      </c>
      <c r="RHG6" s="44">
        <f>Database!RHZ14</f>
        <v>0</v>
      </c>
      <c r="RHH6" s="44">
        <f>Database!RIA14</f>
        <v>0</v>
      </c>
      <c r="RHI6" s="44">
        <f>Database!RIB14</f>
        <v>0</v>
      </c>
      <c r="RHJ6" s="44">
        <f>Database!RIC14</f>
        <v>0</v>
      </c>
      <c r="RHK6" s="44">
        <f>Database!RID14</f>
        <v>0</v>
      </c>
      <c r="RHL6" s="44">
        <f>Database!RIE14</f>
        <v>0</v>
      </c>
      <c r="RHM6" s="44">
        <f>Database!RIF14</f>
        <v>0</v>
      </c>
      <c r="RHN6" s="44">
        <f>Database!RIG14</f>
        <v>0</v>
      </c>
      <c r="RHO6" s="44">
        <f>Database!RIH14</f>
        <v>0</v>
      </c>
      <c r="RHP6" s="44">
        <f>Database!RII14</f>
        <v>0</v>
      </c>
      <c r="RHQ6" s="44">
        <f>Database!RIJ14</f>
        <v>0</v>
      </c>
      <c r="RHR6" s="44">
        <f>Database!RIK14</f>
        <v>0</v>
      </c>
      <c r="RHS6" s="44">
        <f>Database!RIL14</f>
        <v>0</v>
      </c>
      <c r="RHT6" s="44">
        <f>Database!RIM14</f>
        <v>0</v>
      </c>
      <c r="RHU6" s="44">
        <f>Database!RIN14</f>
        <v>0</v>
      </c>
      <c r="RHV6" s="44">
        <f>Database!RIO14</f>
        <v>0</v>
      </c>
      <c r="RHW6" s="44">
        <f>Database!RIP14</f>
        <v>0</v>
      </c>
      <c r="RHX6" s="44">
        <f>Database!RIQ14</f>
        <v>0</v>
      </c>
      <c r="RHY6" s="44">
        <f>Database!RIR14</f>
        <v>0</v>
      </c>
      <c r="RHZ6" s="44">
        <f>Database!RIS14</f>
        <v>0</v>
      </c>
      <c r="RIA6" s="44">
        <f>Database!RIT14</f>
        <v>0</v>
      </c>
      <c r="RIB6" s="44">
        <f>Database!RIU14</f>
        <v>0</v>
      </c>
      <c r="RIC6" s="44">
        <f>Database!RIV14</f>
        <v>0</v>
      </c>
      <c r="RID6" s="44">
        <f>Database!RIW14</f>
        <v>0</v>
      </c>
      <c r="RIE6" s="44">
        <f>Database!RIX14</f>
        <v>0</v>
      </c>
      <c r="RIF6" s="44">
        <f>Database!RIY14</f>
        <v>0</v>
      </c>
      <c r="RIG6" s="44">
        <f>Database!RIZ14</f>
        <v>0</v>
      </c>
      <c r="RIH6" s="44">
        <f>Database!RJA14</f>
        <v>0</v>
      </c>
      <c r="RII6" s="44">
        <f>Database!RJB14</f>
        <v>0</v>
      </c>
      <c r="RIJ6" s="44">
        <f>Database!RJC14</f>
        <v>0</v>
      </c>
      <c r="RIK6" s="44">
        <f>Database!RJD14</f>
        <v>0</v>
      </c>
      <c r="RIL6" s="44">
        <f>Database!RJE14</f>
        <v>0</v>
      </c>
      <c r="RIM6" s="44">
        <f>Database!RJF14</f>
        <v>0</v>
      </c>
      <c r="RIN6" s="44">
        <f>Database!RJG14</f>
        <v>0</v>
      </c>
      <c r="RIO6" s="44">
        <f>Database!RJH14</f>
        <v>0</v>
      </c>
      <c r="RIP6" s="44">
        <f>Database!RJI14</f>
        <v>0</v>
      </c>
      <c r="RIQ6" s="44">
        <f>Database!RJJ14</f>
        <v>0</v>
      </c>
      <c r="RIR6" s="44">
        <f>Database!RJK14</f>
        <v>0</v>
      </c>
      <c r="RIS6" s="44">
        <f>Database!RJL14</f>
        <v>0</v>
      </c>
      <c r="RIT6" s="44">
        <f>Database!RJM14</f>
        <v>0</v>
      </c>
      <c r="RIU6" s="44">
        <f>Database!RJN14</f>
        <v>0</v>
      </c>
      <c r="RIV6" s="44">
        <f>Database!RJO14</f>
        <v>0</v>
      </c>
      <c r="RIW6" s="44">
        <f>Database!RJP14</f>
        <v>0</v>
      </c>
      <c r="RIX6" s="44">
        <f>Database!RJQ14</f>
        <v>0</v>
      </c>
      <c r="RIY6" s="44">
        <f>Database!RJR14</f>
        <v>0</v>
      </c>
      <c r="RIZ6" s="44">
        <f>Database!RJS14</f>
        <v>0</v>
      </c>
      <c r="RJA6" s="44">
        <f>Database!RJT14</f>
        <v>0</v>
      </c>
      <c r="RJB6" s="44">
        <f>Database!RJU14</f>
        <v>0</v>
      </c>
      <c r="RJC6" s="44">
        <f>Database!RJV14</f>
        <v>0</v>
      </c>
      <c r="RJD6" s="44">
        <f>Database!RJW14</f>
        <v>0</v>
      </c>
      <c r="RJE6" s="44">
        <f>Database!RJX14</f>
        <v>0</v>
      </c>
      <c r="RJF6" s="44">
        <f>Database!RJY14</f>
        <v>0</v>
      </c>
      <c r="RJG6" s="44">
        <f>Database!RJZ14</f>
        <v>0</v>
      </c>
      <c r="RJH6" s="44">
        <f>Database!RKA14</f>
        <v>0</v>
      </c>
      <c r="RJI6" s="44">
        <f>Database!RKB14</f>
        <v>0</v>
      </c>
      <c r="RJJ6" s="44">
        <f>Database!RKC14</f>
        <v>0</v>
      </c>
      <c r="RJK6" s="44">
        <f>Database!RKD14</f>
        <v>0</v>
      </c>
      <c r="RJL6" s="44">
        <f>Database!RKE14</f>
        <v>0</v>
      </c>
      <c r="RJM6" s="44">
        <f>Database!RKF14</f>
        <v>0</v>
      </c>
      <c r="RJN6" s="44">
        <f>Database!RKG14</f>
        <v>0</v>
      </c>
      <c r="RJO6" s="44">
        <f>Database!RKH14</f>
        <v>0</v>
      </c>
      <c r="RJP6" s="44">
        <f>Database!RKI14</f>
        <v>0</v>
      </c>
      <c r="RJQ6" s="44">
        <f>Database!RKJ14</f>
        <v>0</v>
      </c>
      <c r="RJR6" s="44">
        <f>Database!RKK14</f>
        <v>0</v>
      </c>
      <c r="RJS6" s="44">
        <f>Database!RKL14</f>
        <v>0</v>
      </c>
      <c r="RJT6" s="44">
        <f>Database!RKM14</f>
        <v>0</v>
      </c>
      <c r="RJU6" s="44">
        <f>Database!RKN14</f>
        <v>0</v>
      </c>
      <c r="RJV6" s="44">
        <f>Database!RKO14</f>
        <v>0</v>
      </c>
      <c r="RJW6" s="44">
        <f>Database!RKP14</f>
        <v>0</v>
      </c>
      <c r="RJX6" s="44">
        <f>Database!RKQ14</f>
        <v>0</v>
      </c>
      <c r="RJY6" s="44">
        <f>Database!RKR14</f>
        <v>0</v>
      </c>
      <c r="RJZ6" s="44">
        <f>Database!RKS14</f>
        <v>0</v>
      </c>
      <c r="RKA6" s="44">
        <f>Database!RKT14</f>
        <v>0</v>
      </c>
      <c r="RKB6" s="44">
        <f>Database!RKU14</f>
        <v>0</v>
      </c>
      <c r="RKC6" s="44">
        <f>Database!RKV14</f>
        <v>0</v>
      </c>
      <c r="RKD6" s="44">
        <f>Database!RKW14</f>
        <v>0</v>
      </c>
      <c r="RKE6" s="44">
        <f>Database!RKX14</f>
        <v>0</v>
      </c>
      <c r="RKF6" s="44">
        <f>Database!RKY14</f>
        <v>0</v>
      </c>
      <c r="RKG6" s="44">
        <f>Database!RKZ14</f>
        <v>0</v>
      </c>
      <c r="RKH6" s="44">
        <f>Database!RLA14</f>
        <v>0</v>
      </c>
      <c r="RKI6" s="44">
        <f>Database!RLB14</f>
        <v>0</v>
      </c>
      <c r="RKJ6" s="44">
        <f>Database!RLC14</f>
        <v>0</v>
      </c>
      <c r="RKK6" s="44">
        <f>Database!RLD14</f>
        <v>0</v>
      </c>
      <c r="RKL6" s="44">
        <f>Database!RLE14</f>
        <v>0</v>
      </c>
      <c r="RKM6" s="44">
        <f>Database!RLF14</f>
        <v>0</v>
      </c>
      <c r="RKN6" s="44">
        <f>Database!RLG14</f>
        <v>0</v>
      </c>
      <c r="RKO6" s="44">
        <f>Database!RLH14</f>
        <v>0</v>
      </c>
      <c r="RKP6" s="44">
        <f>Database!RLI14</f>
        <v>0</v>
      </c>
      <c r="RKQ6" s="44">
        <f>Database!RLJ14</f>
        <v>0</v>
      </c>
      <c r="RKR6" s="44">
        <f>Database!RLK14</f>
        <v>0</v>
      </c>
      <c r="RKS6" s="44">
        <f>Database!RLL14</f>
        <v>0</v>
      </c>
      <c r="RKT6" s="44">
        <f>Database!RLM14</f>
        <v>0</v>
      </c>
      <c r="RKU6" s="44">
        <f>Database!RLN14</f>
        <v>0</v>
      </c>
      <c r="RKV6" s="44">
        <f>Database!RLO14</f>
        <v>0</v>
      </c>
      <c r="RKW6" s="44">
        <f>Database!RLP14</f>
        <v>0</v>
      </c>
      <c r="RKX6" s="44">
        <f>Database!RLQ14</f>
        <v>0</v>
      </c>
      <c r="RKY6" s="44">
        <f>Database!RLR14</f>
        <v>0</v>
      </c>
      <c r="RKZ6" s="44">
        <f>Database!RLS14</f>
        <v>0</v>
      </c>
      <c r="RLA6" s="44">
        <f>Database!RLT14</f>
        <v>0</v>
      </c>
      <c r="RLB6" s="44">
        <f>Database!RLU14</f>
        <v>0</v>
      </c>
      <c r="RLC6" s="44">
        <f>Database!RLV14</f>
        <v>0</v>
      </c>
      <c r="RLD6" s="44">
        <f>Database!RLW14</f>
        <v>0</v>
      </c>
      <c r="RLE6" s="44">
        <f>Database!RLX14</f>
        <v>0</v>
      </c>
      <c r="RLF6" s="44">
        <f>Database!RLY14</f>
        <v>0</v>
      </c>
      <c r="RLG6" s="44">
        <f>Database!RLZ14</f>
        <v>0</v>
      </c>
      <c r="RLH6" s="44">
        <f>Database!RMA14</f>
        <v>0</v>
      </c>
      <c r="RLI6" s="44">
        <f>Database!RMB14</f>
        <v>0</v>
      </c>
      <c r="RLJ6" s="44">
        <f>Database!RMC14</f>
        <v>0</v>
      </c>
      <c r="RLK6" s="44">
        <f>Database!RMD14</f>
        <v>0</v>
      </c>
      <c r="RLL6" s="44">
        <f>Database!RME14</f>
        <v>0</v>
      </c>
      <c r="RLM6" s="44">
        <f>Database!RMF14</f>
        <v>0</v>
      </c>
      <c r="RLN6" s="44">
        <f>Database!RMG14</f>
        <v>0</v>
      </c>
      <c r="RLO6" s="44">
        <f>Database!RMH14</f>
        <v>0</v>
      </c>
      <c r="RLP6" s="44">
        <f>Database!RMI14</f>
        <v>0</v>
      </c>
      <c r="RLQ6" s="44">
        <f>Database!RMJ14</f>
        <v>0</v>
      </c>
      <c r="RLR6" s="44">
        <f>Database!RMK14</f>
        <v>0</v>
      </c>
      <c r="RLS6" s="44">
        <f>Database!RML14</f>
        <v>0</v>
      </c>
      <c r="RLT6" s="44">
        <f>Database!RMM14</f>
        <v>0</v>
      </c>
      <c r="RLU6" s="44">
        <f>Database!RMN14</f>
        <v>0</v>
      </c>
      <c r="RLV6" s="44">
        <f>Database!RMO14</f>
        <v>0</v>
      </c>
      <c r="RLW6" s="44">
        <f>Database!RMP14</f>
        <v>0</v>
      </c>
      <c r="RLX6" s="44">
        <f>Database!RMQ14</f>
        <v>0</v>
      </c>
      <c r="RLY6" s="44">
        <f>Database!RMR14</f>
        <v>0</v>
      </c>
      <c r="RLZ6" s="44">
        <f>Database!RMS14</f>
        <v>0</v>
      </c>
      <c r="RMA6" s="44">
        <f>Database!RMT14</f>
        <v>0</v>
      </c>
      <c r="RMB6" s="44">
        <f>Database!RMU14</f>
        <v>0</v>
      </c>
      <c r="RMC6" s="44">
        <f>Database!RMV14</f>
        <v>0</v>
      </c>
      <c r="RMD6" s="44">
        <f>Database!RMW14</f>
        <v>0</v>
      </c>
      <c r="RME6" s="44">
        <f>Database!RMX14</f>
        <v>0</v>
      </c>
      <c r="RMF6" s="44">
        <f>Database!RMY14</f>
        <v>0</v>
      </c>
      <c r="RMG6" s="44">
        <f>Database!RMZ14</f>
        <v>0</v>
      </c>
      <c r="RMH6" s="44">
        <f>Database!RNA14</f>
        <v>0</v>
      </c>
      <c r="RMI6" s="44">
        <f>Database!RNB14</f>
        <v>0</v>
      </c>
      <c r="RMJ6" s="44">
        <f>Database!RNC14</f>
        <v>0</v>
      </c>
      <c r="RMK6" s="44">
        <f>Database!RND14</f>
        <v>0</v>
      </c>
      <c r="RML6" s="44">
        <f>Database!RNE14</f>
        <v>0</v>
      </c>
      <c r="RMM6" s="44">
        <f>Database!RNF14</f>
        <v>0</v>
      </c>
      <c r="RMN6" s="44">
        <f>Database!RNG14</f>
        <v>0</v>
      </c>
      <c r="RMO6" s="44">
        <f>Database!RNH14</f>
        <v>0</v>
      </c>
      <c r="RMP6" s="44">
        <f>Database!RNI14</f>
        <v>0</v>
      </c>
      <c r="RMQ6" s="44">
        <f>Database!RNJ14</f>
        <v>0</v>
      </c>
      <c r="RMR6" s="44">
        <f>Database!RNK14</f>
        <v>0</v>
      </c>
      <c r="RMS6" s="44">
        <f>Database!RNL14</f>
        <v>0</v>
      </c>
      <c r="RMT6" s="44">
        <f>Database!RNM14</f>
        <v>0</v>
      </c>
      <c r="RMU6" s="44">
        <f>Database!RNN14</f>
        <v>0</v>
      </c>
      <c r="RMV6" s="44">
        <f>Database!RNO14</f>
        <v>0</v>
      </c>
      <c r="RMW6" s="44">
        <f>Database!RNP14</f>
        <v>0</v>
      </c>
      <c r="RMX6" s="44">
        <f>Database!RNQ14</f>
        <v>0</v>
      </c>
      <c r="RMY6" s="44">
        <f>Database!RNR14</f>
        <v>0</v>
      </c>
      <c r="RMZ6" s="44">
        <f>Database!RNS14</f>
        <v>0</v>
      </c>
      <c r="RNA6" s="44">
        <f>Database!RNT14</f>
        <v>0</v>
      </c>
      <c r="RNB6" s="44">
        <f>Database!RNU14</f>
        <v>0</v>
      </c>
      <c r="RNC6" s="44">
        <f>Database!RNV14</f>
        <v>0</v>
      </c>
      <c r="RND6" s="44">
        <f>Database!RNW14</f>
        <v>0</v>
      </c>
      <c r="RNE6" s="44">
        <f>Database!RNX14</f>
        <v>0</v>
      </c>
      <c r="RNF6" s="44">
        <f>Database!RNY14</f>
        <v>0</v>
      </c>
      <c r="RNG6" s="44">
        <f>Database!RNZ14</f>
        <v>0</v>
      </c>
      <c r="RNH6" s="44">
        <f>Database!ROA14</f>
        <v>0</v>
      </c>
      <c r="RNI6" s="44">
        <f>Database!ROB14</f>
        <v>0</v>
      </c>
      <c r="RNJ6" s="44">
        <f>Database!ROC14</f>
        <v>0</v>
      </c>
      <c r="RNK6" s="44">
        <f>Database!ROD14</f>
        <v>0</v>
      </c>
      <c r="RNL6" s="44">
        <f>Database!ROE14</f>
        <v>0</v>
      </c>
      <c r="RNM6" s="44">
        <f>Database!ROF14</f>
        <v>0</v>
      </c>
      <c r="RNN6" s="44">
        <f>Database!ROG14</f>
        <v>0</v>
      </c>
      <c r="RNO6" s="44">
        <f>Database!ROH14</f>
        <v>0</v>
      </c>
      <c r="RNP6" s="44">
        <f>Database!ROI14</f>
        <v>0</v>
      </c>
      <c r="RNQ6" s="44">
        <f>Database!ROJ14</f>
        <v>0</v>
      </c>
      <c r="RNR6" s="44">
        <f>Database!ROK14</f>
        <v>0</v>
      </c>
      <c r="RNS6" s="44">
        <f>Database!ROL14</f>
        <v>0</v>
      </c>
      <c r="RNT6" s="44">
        <f>Database!ROM14</f>
        <v>0</v>
      </c>
      <c r="RNU6" s="44">
        <f>Database!RON14</f>
        <v>0</v>
      </c>
      <c r="RNV6" s="44">
        <f>Database!ROO14</f>
        <v>0</v>
      </c>
      <c r="RNW6" s="44">
        <f>Database!ROP14</f>
        <v>0</v>
      </c>
      <c r="RNX6" s="44">
        <f>Database!ROQ14</f>
        <v>0</v>
      </c>
      <c r="RNY6" s="44">
        <f>Database!ROR14</f>
        <v>0</v>
      </c>
      <c r="RNZ6" s="44">
        <f>Database!ROS14</f>
        <v>0</v>
      </c>
      <c r="ROA6" s="44">
        <f>Database!ROT14</f>
        <v>0</v>
      </c>
      <c r="ROB6" s="44">
        <f>Database!ROU14</f>
        <v>0</v>
      </c>
      <c r="ROC6" s="44">
        <f>Database!ROV14</f>
        <v>0</v>
      </c>
      <c r="ROD6" s="44">
        <f>Database!ROW14</f>
        <v>0</v>
      </c>
      <c r="ROE6" s="44">
        <f>Database!ROX14</f>
        <v>0</v>
      </c>
      <c r="ROF6" s="44">
        <f>Database!ROY14</f>
        <v>0</v>
      </c>
      <c r="ROG6" s="44">
        <f>Database!ROZ14</f>
        <v>0</v>
      </c>
      <c r="ROH6" s="44">
        <f>Database!RPA14</f>
        <v>0</v>
      </c>
      <c r="ROI6" s="44">
        <f>Database!RPB14</f>
        <v>0</v>
      </c>
      <c r="ROJ6" s="44">
        <f>Database!RPC14</f>
        <v>0</v>
      </c>
      <c r="ROK6" s="44">
        <f>Database!RPD14</f>
        <v>0</v>
      </c>
      <c r="ROL6" s="44">
        <f>Database!RPE14</f>
        <v>0</v>
      </c>
      <c r="ROM6" s="44">
        <f>Database!RPF14</f>
        <v>0</v>
      </c>
      <c r="RON6" s="44">
        <f>Database!RPG14</f>
        <v>0</v>
      </c>
      <c r="ROO6" s="44">
        <f>Database!RPH14</f>
        <v>0</v>
      </c>
      <c r="ROP6" s="44">
        <f>Database!RPI14</f>
        <v>0</v>
      </c>
      <c r="ROQ6" s="44">
        <f>Database!RPJ14</f>
        <v>0</v>
      </c>
      <c r="ROR6" s="44">
        <f>Database!RPK14</f>
        <v>0</v>
      </c>
      <c r="ROS6" s="44">
        <f>Database!RPL14</f>
        <v>0</v>
      </c>
      <c r="ROT6" s="44">
        <f>Database!RPM14</f>
        <v>0</v>
      </c>
      <c r="ROU6" s="44">
        <f>Database!RPN14</f>
        <v>0</v>
      </c>
      <c r="ROV6" s="44">
        <f>Database!RPO14</f>
        <v>0</v>
      </c>
      <c r="ROW6" s="44">
        <f>Database!RPP14</f>
        <v>0</v>
      </c>
      <c r="ROX6" s="44">
        <f>Database!RPQ14</f>
        <v>0</v>
      </c>
      <c r="ROY6" s="44">
        <f>Database!RPR14</f>
        <v>0</v>
      </c>
      <c r="ROZ6" s="44">
        <f>Database!RPS14</f>
        <v>0</v>
      </c>
      <c r="RPA6" s="44">
        <f>Database!RPT14</f>
        <v>0</v>
      </c>
      <c r="RPB6" s="44">
        <f>Database!RPU14</f>
        <v>0</v>
      </c>
      <c r="RPC6" s="44">
        <f>Database!RPV14</f>
        <v>0</v>
      </c>
      <c r="RPD6" s="44">
        <f>Database!RPW14</f>
        <v>0</v>
      </c>
      <c r="RPE6" s="44">
        <f>Database!RPX14</f>
        <v>0</v>
      </c>
      <c r="RPF6" s="44">
        <f>Database!RPY14</f>
        <v>0</v>
      </c>
      <c r="RPG6" s="44">
        <f>Database!RPZ14</f>
        <v>0</v>
      </c>
      <c r="RPH6" s="44">
        <f>Database!RQA14</f>
        <v>0</v>
      </c>
      <c r="RPI6" s="44">
        <f>Database!RQB14</f>
        <v>0</v>
      </c>
      <c r="RPJ6" s="44">
        <f>Database!RQC14</f>
        <v>0</v>
      </c>
      <c r="RPK6" s="44">
        <f>Database!RQD14</f>
        <v>0</v>
      </c>
      <c r="RPL6" s="44">
        <f>Database!RQE14</f>
        <v>0</v>
      </c>
      <c r="RPM6" s="44">
        <f>Database!RQF14</f>
        <v>0</v>
      </c>
      <c r="RPN6" s="44">
        <f>Database!RQG14</f>
        <v>0</v>
      </c>
      <c r="RPO6" s="44">
        <f>Database!RQH14</f>
        <v>0</v>
      </c>
      <c r="RPP6" s="44">
        <f>Database!RQI14</f>
        <v>0</v>
      </c>
      <c r="RPQ6" s="44">
        <f>Database!RQJ14</f>
        <v>0</v>
      </c>
      <c r="RPR6" s="44">
        <f>Database!RQK14</f>
        <v>0</v>
      </c>
      <c r="RPS6" s="44">
        <f>Database!RQL14</f>
        <v>0</v>
      </c>
      <c r="RPT6" s="44">
        <f>Database!RQM14</f>
        <v>0</v>
      </c>
      <c r="RPU6" s="44">
        <f>Database!RQN14</f>
        <v>0</v>
      </c>
      <c r="RPV6" s="44">
        <f>Database!RQO14</f>
        <v>0</v>
      </c>
      <c r="RPW6" s="44">
        <f>Database!RQP14</f>
        <v>0</v>
      </c>
      <c r="RPX6" s="44">
        <f>Database!RQQ14</f>
        <v>0</v>
      </c>
      <c r="RPY6" s="44">
        <f>Database!RQR14</f>
        <v>0</v>
      </c>
      <c r="RPZ6" s="44">
        <f>Database!RQS14</f>
        <v>0</v>
      </c>
      <c r="RQA6" s="44">
        <f>Database!RQT14</f>
        <v>0</v>
      </c>
      <c r="RQB6" s="44">
        <f>Database!RQU14</f>
        <v>0</v>
      </c>
      <c r="RQC6" s="44">
        <f>Database!RQV14</f>
        <v>0</v>
      </c>
      <c r="RQD6" s="44">
        <f>Database!RQW14</f>
        <v>0</v>
      </c>
      <c r="RQE6" s="44">
        <f>Database!RQX14</f>
        <v>0</v>
      </c>
      <c r="RQF6" s="44">
        <f>Database!RQY14</f>
        <v>0</v>
      </c>
      <c r="RQG6" s="44">
        <f>Database!RQZ14</f>
        <v>0</v>
      </c>
      <c r="RQH6" s="44">
        <f>Database!RRA14</f>
        <v>0</v>
      </c>
      <c r="RQI6" s="44">
        <f>Database!RRB14</f>
        <v>0</v>
      </c>
      <c r="RQJ6" s="44">
        <f>Database!RRC14</f>
        <v>0</v>
      </c>
      <c r="RQK6" s="44">
        <f>Database!RRD14</f>
        <v>0</v>
      </c>
      <c r="RQL6" s="44">
        <f>Database!RRE14</f>
        <v>0</v>
      </c>
      <c r="RQM6" s="44">
        <f>Database!RRF14</f>
        <v>0</v>
      </c>
      <c r="RQN6" s="44">
        <f>Database!RRG14</f>
        <v>0</v>
      </c>
      <c r="RQO6" s="44">
        <f>Database!RRH14</f>
        <v>0</v>
      </c>
      <c r="RQP6" s="44">
        <f>Database!RRI14</f>
        <v>0</v>
      </c>
      <c r="RQQ6" s="44">
        <f>Database!RRJ14</f>
        <v>0</v>
      </c>
      <c r="RQR6" s="44">
        <f>Database!RRK14</f>
        <v>0</v>
      </c>
      <c r="RQS6" s="44">
        <f>Database!RRL14</f>
        <v>0</v>
      </c>
      <c r="RQT6" s="44">
        <f>Database!RRM14</f>
        <v>0</v>
      </c>
      <c r="RQU6" s="44">
        <f>Database!RRN14</f>
        <v>0</v>
      </c>
      <c r="RQV6" s="44">
        <f>Database!RRO14</f>
        <v>0</v>
      </c>
      <c r="RQW6" s="44">
        <f>Database!RRP14</f>
        <v>0</v>
      </c>
      <c r="RQX6" s="44">
        <f>Database!RRQ14</f>
        <v>0</v>
      </c>
      <c r="RQY6" s="44">
        <f>Database!RRR14</f>
        <v>0</v>
      </c>
      <c r="RQZ6" s="44">
        <f>Database!RRS14</f>
        <v>0</v>
      </c>
      <c r="RRA6" s="44">
        <f>Database!RRT14</f>
        <v>0</v>
      </c>
      <c r="RRB6" s="44">
        <f>Database!RRU14</f>
        <v>0</v>
      </c>
      <c r="RRC6" s="44">
        <f>Database!RRV14</f>
        <v>0</v>
      </c>
      <c r="RRD6" s="44">
        <f>Database!RRW14</f>
        <v>0</v>
      </c>
      <c r="RRE6" s="44">
        <f>Database!RRX14</f>
        <v>0</v>
      </c>
      <c r="RRF6" s="44">
        <f>Database!RRY14</f>
        <v>0</v>
      </c>
      <c r="RRG6" s="44">
        <f>Database!RRZ14</f>
        <v>0</v>
      </c>
      <c r="RRH6" s="44">
        <f>Database!RSA14</f>
        <v>0</v>
      </c>
      <c r="RRI6" s="44">
        <f>Database!RSB14</f>
        <v>0</v>
      </c>
      <c r="RRJ6" s="44">
        <f>Database!RSC14</f>
        <v>0</v>
      </c>
      <c r="RRK6" s="44">
        <f>Database!RSD14</f>
        <v>0</v>
      </c>
      <c r="RRL6" s="44">
        <f>Database!RSE14</f>
        <v>0</v>
      </c>
      <c r="RRM6" s="44">
        <f>Database!RSF14</f>
        <v>0</v>
      </c>
      <c r="RRN6" s="44">
        <f>Database!RSG14</f>
        <v>0</v>
      </c>
      <c r="RRO6" s="44">
        <f>Database!RSH14</f>
        <v>0</v>
      </c>
      <c r="RRP6" s="44">
        <f>Database!RSI14</f>
        <v>0</v>
      </c>
      <c r="RRQ6" s="44">
        <f>Database!RSJ14</f>
        <v>0</v>
      </c>
      <c r="RRR6" s="44">
        <f>Database!RSK14</f>
        <v>0</v>
      </c>
      <c r="RRS6" s="44">
        <f>Database!RSL14</f>
        <v>0</v>
      </c>
      <c r="RRT6" s="44">
        <f>Database!RSM14</f>
        <v>0</v>
      </c>
      <c r="RRU6" s="44">
        <f>Database!RSN14</f>
        <v>0</v>
      </c>
      <c r="RRV6" s="44">
        <f>Database!RSO14</f>
        <v>0</v>
      </c>
      <c r="RRW6" s="44">
        <f>Database!RSP14</f>
        <v>0</v>
      </c>
      <c r="RRX6" s="44">
        <f>Database!RSQ14</f>
        <v>0</v>
      </c>
      <c r="RRY6" s="44">
        <f>Database!RSR14</f>
        <v>0</v>
      </c>
      <c r="RRZ6" s="44">
        <f>Database!RSS14</f>
        <v>0</v>
      </c>
      <c r="RSA6" s="44">
        <f>Database!RST14</f>
        <v>0</v>
      </c>
      <c r="RSB6" s="44">
        <f>Database!RSU14</f>
        <v>0</v>
      </c>
      <c r="RSC6" s="44">
        <f>Database!RSV14</f>
        <v>0</v>
      </c>
      <c r="RSD6" s="44">
        <f>Database!RSW14</f>
        <v>0</v>
      </c>
      <c r="RSE6" s="44">
        <f>Database!RSX14</f>
        <v>0</v>
      </c>
      <c r="RSF6" s="44">
        <f>Database!RSY14</f>
        <v>0</v>
      </c>
      <c r="RSG6" s="44">
        <f>Database!RSZ14</f>
        <v>0</v>
      </c>
      <c r="RSH6" s="44">
        <f>Database!RTA14</f>
        <v>0</v>
      </c>
      <c r="RSI6" s="44">
        <f>Database!RTB14</f>
        <v>0</v>
      </c>
      <c r="RSJ6" s="44">
        <f>Database!RTC14</f>
        <v>0</v>
      </c>
      <c r="RSK6" s="44">
        <f>Database!RTD14</f>
        <v>0</v>
      </c>
      <c r="RSL6" s="44">
        <f>Database!RTE14</f>
        <v>0</v>
      </c>
      <c r="RSM6" s="44">
        <f>Database!RTF14</f>
        <v>0</v>
      </c>
      <c r="RSN6" s="44">
        <f>Database!RTG14</f>
        <v>0</v>
      </c>
      <c r="RSO6" s="44">
        <f>Database!RTH14</f>
        <v>0</v>
      </c>
      <c r="RSP6" s="44">
        <f>Database!RTI14</f>
        <v>0</v>
      </c>
      <c r="RSQ6" s="44">
        <f>Database!RTJ14</f>
        <v>0</v>
      </c>
      <c r="RSR6" s="44">
        <f>Database!RTK14</f>
        <v>0</v>
      </c>
      <c r="RSS6" s="44">
        <f>Database!RTL14</f>
        <v>0</v>
      </c>
      <c r="RST6" s="44">
        <f>Database!RTM14</f>
        <v>0</v>
      </c>
      <c r="RSU6" s="44">
        <f>Database!RTN14</f>
        <v>0</v>
      </c>
      <c r="RSV6" s="44">
        <f>Database!RTO14</f>
        <v>0</v>
      </c>
      <c r="RSW6" s="44">
        <f>Database!RTP14</f>
        <v>0</v>
      </c>
      <c r="RSX6" s="44">
        <f>Database!RTQ14</f>
        <v>0</v>
      </c>
      <c r="RSY6" s="44">
        <f>Database!RTR14</f>
        <v>0</v>
      </c>
      <c r="RSZ6" s="44">
        <f>Database!RTS14</f>
        <v>0</v>
      </c>
      <c r="RTA6" s="44">
        <f>Database!RTT14</f>
        <v>0</v>
      </c>
      <c r="RTB6" s="44">
        <f>Database!RTU14</f>
        <v>0</v>
      </c>
      <c r="RTC6" s="44">
        <f>Database!RTV14</f>
        <v>0</v>
      </c>
      <c r="RTD6" s="44">
        <f>Database!RTW14</f>
        <v>0</v>
      </c>
      <c r="RTE6" s="44">
        <f>Database!RTX14</f>
        <v>0</v>
      </c>
      <c r="RTF6" s="44">
        <f>Database!RTY14</f>
        <v>0</v>
      </c>
      <c r="RTG6" s="44">
        <f>Database!RTZ14</f>
        <v>0</v>
      </c>
      <c r="RTH6" s="44">
        <f>Database!RUA14</f>
        <v>0</v>
      </c>
      <c r="RTI6" s="44">
        <f>Database!RUB14</f>
        <v>0</v>
      </c>
      <c r="RTJ6" s="44">
        <f>Database!RUC14</f>
        <v>0</v>
      </c>
      <c r="RTK6" s="44">
        <f>Database!RUD14</f>
        <v>0</v>
      </c>
      <c r="RTL6" s="44">
        <f>Database!RUE14</f>
        <v>0</v>
      </c>
      <c r="RTM6" s="44">
        <f>Database!RUF14</f>
        <v>0</v>
      </c>
      <c r="RTN6" s="44">
        <f>Database!RUG14</f>
        <v>0</v>
      </c>
      <c r="RTO6" s="44">
        <f>Database!RUH14</f>
        <v>0</v>
      </c>
      <c r="RTP6" s="44">
        <f>Database!RUI14</f>
        <v>0</v>
      </c>
      <c r="RTQ6" s="44">
        <f>Database!RUJ14</f>
        <v>0</v>
      </c>
      <c r="RTR6" s="44">
        <f>Database!RUK14</f>
        <v>0</v>
      </c>
      <c r="RTS6" s="44">
        <f>Database!RUL14</f>
        <v>0</v>
      </c>
      <c r="RTT6" s="44">
        <f>Database!RUM14</f>
        <v>0</v>
      </c>
      <c r="RTU6" s="44">
        <f>Database!RUN14</f>
        <v>0</v>
      </c>
      <c r="RTV6" s="44">
        <f>Database!RUO14</f>
        <v>0</v>
      </c>
      <c r="RTW6" s="44">
        <f>Database!RUP14</f>
        <v>0</v>
      </c>
      <c r="RTX6" s="44">
        <f>Database!RUQ14</f>
        <v>0</v>
      </c>
      <c r="RTY6" s="44">
        <f>Database!RUR14</f>
        <v>0</v>
      </c>
      <c r="RTZ6" s="44">
        <f>Database!RUS14</f>
        <v>0</v>
      </c>
      <c r="RUA6" s="44">
        <f>Database!RUT14</f>
        <v>0</v>
      </c>
      <c r="RUB6" s="44">
        <f>Database!RUU14</f>
        <v>0</v>
      </c>
      <c r="RUC6" s="44">
        <f>Database!RUV14</f>
        <v>0</v>
      </c>
      <c r="RUD6" s="44">
        <f>Database!RUW14</f>
        <v>0</v>
      </c>
      <c r="RUE6" s="44">
        <f>Database!RUX14</f>
        <v>0</v>
      </c>
      <c r="RUF6" s="44">
        <f>Database!RUY14</f>
        <v>0</v>
      </c>
      <c r="RUG6" s="44">
        <f>Database!RUZ14</f>
        <v>0</v>
      </c>
      <c r="RUH6" s="44">
        <f>Database!RVA14</f>
        <v>0</v>
      </c>
      <c r="RUI6" s="44">
        <f>Database!RVB14</f>
        <v>0</v>
      </c>
      <c r="RUJ6" s="44">
        <f>Database!RVC14</f>
        <v>0</v>
      </c>
      <c r="RUK6" s="44">
        <f>Database!RVD14</f>
        <v>0</v>
      </c>
      <c r="RUL6" s="44">
        <f>Database!RVE14</f>
        <v>0</v>
      </c>
      <c r="RUM6" s="44">
        <f>Database!RVF14</f>
        <v>0</v>
      </c>
      <c r="RUN6" s="44">
        <f>Database!RVG14</f>
        <v>0</v>
      </c>
      <c r="RUO6" s="44">
        <f>Database!RVH14</f>
        <v>0</v>
      </c>
      <c r="RUP6" s="44">
        <f>Database!RVI14</f>
        <v>0</v>
      </c>
      <c r="RUQ6" s="44">
        <f>Database!RVJ14</f>
        <v>0</v>
      </c>
      <c r="RUR6" s="44">
        <f>Database!RVK14</f>
        <v>0</v>
      </c>
      <c r="RUS6" s="44">
        <f>Database!RVL14</f>
        <v>0</v>
      </c>
      <c r="RUT6" s="44">
        <f>Database!RVM14</f>
        <v>0</v>
      </c>
      <c r="RUU6" s="44">
        <f>Database!RVN14</f>
        <v>0</v>
      </c>
      <c r="RUV6" s="44">
        <f>Database!RVO14</f>
        <v>0</v>
      </c>
      <c r="RUW6" s="44">
        <f>Database!RVP14</f>
        <v>0</v>
      </c>
      <c r="RUX6" s="44">
        <f>Database!RVQ14</f>
        <v>0</v>
      </c>
      <c r="RUY6" s="44">
        <f>Database!RVR14</f>
        <v>0</v>
      </c>
      <c r="RUZ6" s="44">
        <f>Database!RVS14</f>
        <v>0</v>
      </c>
      <c r="RVA6" s="44">
        <f>Database!RVT14</f>
        <v>0</v>
      </c>
      <c r="RVB6" s="44">
        <f>Database!RVU14</f>
        <v>0</v>
      </c>
      <c r="RVC6" s="44">
        <f>Database!RVV14</f>
        <v>0</v>
      </c>
      <c r="RVD6" s="44">
        <f>Database!RVW14</f>
        <v>0</v>
      </c>
      <c r="RVE6" s="44">
        <f>Database!RVX14</f>
        <v>0</v>
      </c>
      <c r="RVF6" s="44">
        <f>Database!RVY14</f>
        <v>0</v>
      </c>
      <c r="RVG6" s="44">
        <f>Database!RVZ14</f>
        <v>0</v>
      </c>
      <c r="RVH6" s="44">
        <f>Database!RWA14</f>
        <v>0</v>
      </c>
      <c r="RVI6" s="44">
        <f>Database!RWB14</f>
        <v>0</v>
      </c>
      <c r="RVJ6" s="44">
        <f>Database!RWC14</f>
        <v>0</v>
      </c>
      <c r="RVK6" s="44">
        <f>Database!RWD14</f>
        <v>0</v>
      </c>
      <c r="RVL6" s="44">
        <f>Database!RWE14</f>
        <v>0</v>
      </c>
      <c r="RVM6" s="44">
        <f>Database!RWF14</f>
        <v>0</v>
      </c>
      <c r="RVN6" s="44">
        <f>Database!RWG14</f>
        <v>0</v>
      </c>
      <c r="RVO6" s="44">
        <f>Database!RWH14</f>
        <v>0</v>
      </c>
      <c r="RVP6" s="44">
        <f>Database!RWI14</f>
        <v>0</v>
      </c>
      <c r="RVQ6" s="44">
        <f>Database!RWJ14</f>
        <v>0</v>
      </c>
      <c r="RVR6" s="44">
        <f>Database!RWK14</f>
        <v>0</v>
      </c>
      <c r="RVS6" s="44">
        <f>Database!RWL14</f>
        <v>0</v>
      </c>
      <c r="RVT6" s="44">
        <f>Database!RWM14</f>
        <v>0</v>
      </c>
      <c r="RVU6" s="44">
        <f>Database!RWN14</f>
        <v>0</v>
      </c>
      <c r="RVV6" s="44">
        <f>Database!RWO14</f>
        <v>0</v>
      </c>
      <c r="RVW6" s="44">
        <f>Database!RWP14</f>
        <v>0</v>
      </c>
      <c r="RVX6" s="44">
        <f>Database!RWQ14</f>
        <v>0</v>
      </c>
      <c r="RVY6" s="44">
        <f>Database!RWR14</f>
        <v>0</v>
      </c>
      <c r="RVZ6" s="44">
        <f>Database!RWS14</f>
        <v>0</v>
      </c>
      <c r="RWA6" s="44">
        <f>Database!RWT14</f>
        <v>0</v>
      </c>
      <c r="RWB6" s="44">
        <f>Database!RWU14</f>
        <v>0</v>
      </c>
      <c r="RWC6" s="44">
        <f>Database!RWV14</f>
        <v>0</v>
      </c>
      <c r="RWD6" s="44">
        <f>Database!RWW14</f>
        <v>0</v>
      </c>
      <c r="RWE6" s="44">
        <f>Database!RWX14</f>
        <v>0</v>
      </c>
      <c r="RWF6" s="44">
        <f>Database!RWY14</f>
        <v>0</v>
      </c>
      <c r="RWG6" s="44">
        <f>Database!RWZ14</f>
        <v>0</v>
      </c>
      <c r="RWH6" s="44">
        <f>Database!RXA14</f>
        <v>0</v>
      </c>
      <c r="RWI6" s="44">
        <f>Database!RXB14</f>
        <v>0</v>
      </c>
      <c r="RWJ6" s="44">
        <f>Database!RXC14</f>
        <v>0</v>
      </c>
      <c r="RWK6" s="44">
        <f>Database!RXD14</f>
        <v>0</v>
      </c>
      <c r="RWL6" s="44">
        <f>Database!RXE14</f>
        <v>0</v>
      </c>
      <c r="RWM6" s="44">
        <f>Database!RXF14</f>
        <v>0</v>
      </c>
      <c r="RWN6" s="44">
        <f>Database!RXG14</f>
        <v>0</v>
      </c>
      <c r="RWO6" s="44">
        <f>Database!RXH14</f>
        <v>0</v>
      </c>
      <c r="RWP6" s="44">
        <f>Database!RXI14</f>
        <v>0</v>
      </c>
      <c r="RWQ6" s="44">
        <f>Database!RXJ14</f>
        <v>0</v>
      </c>
      <c r="RWR6" s="44">
        <f>Database!RXK14</f>
        <v>0</v>
      </c>
      <c r="RWS6" s="44">
        <f>Database!RXL14</f>
        <v>0</v>
      </c>
      <c r="RWT6" s="44">
        <f>Database!RXM14</f>
        <v>0</v>
      </c>
      <c r="RWU6" s="44">
        <f>Database!RXN14</f>
        <v>0</v>
      </c>
      <c r="RWV6" s="44">
        <f>Database!RXO14</f>
        <v>0</v>
      </c>
      <c r="RWW6" s="44">
        <f>Database!RXP14</f>
        <v>0</v>
      </c>
      <c r="RWX6" s="44">
        <f>Database!RXQ14</f>
        <v>0</v>
      </c>
      <c r="RWY6" s="44">
        <f>Database!RXR14</f>
        <v>0</v>
      </c>
      <c r="RWZ6" s="44">
        <f>Database!RXS14</f>
        <v>0</v>
      </c>
      <c r="RXA6" s="44">
        <f>Database!RXT14</f>
        <v>0</v>
      </c>
      <c r="RXB6" s="44">
        <f>Database!RXU14</f>
        <v>0</v>
      </c>
      <c r="RXC6" s="44">
        <f>Database!RXV14</f>
        <v>0</v>
      </c>
      <c r="RXD6" s="44">
        <f>Database!RXW14</f>
        <v>0</v>
      </c>
      <c r="RXE6" s="44">
        <f>Database!RXX14</f>
        <v>0</v>
      </c>
      <c r="RXF6" s="44">
        <f>Database!RXY14</f>
        <v>0</v>
      </c>
      <c r="RXG6" s="44">
        <f>Database!RXZ14</f>
        <v>0</v>
      </c>
      <c r="RXH6" s="44">
        <f>Database!RYA14</f>
        <v>0</v>
      </c>
      <c r="RXI6" s="44">
        <f>Database!RYB14</f>
        <v>0</v>
      </c>
      <c r="RXJ6" s="44">
        <f>Database!RYC14</f>
        <v>0</v>
      </c>
      <c r="RXK6" s="44">
        <f>Database!RYD14</f>
        <v>0</v>
      </c>
      <c r="RXL6" s="44">
        <f>Database!RYE14</f>
        <v>0</v>
      </c>
      <c r="RXM6" s="44">
        <f>Database!RYF14</f>
        <v>0</v>
      </c>
      <c r="RXN6" s="44">
        <f>Database!RYG14</f>
        <v>0</v>
      </c>
      <c r="RXO6" s="44">
        <f>Database!RYH14</f>
        <v>0</v>
      </c>
      <c r="RXP6" s="44">
        <f>Database!RYI14</f>
        <v>0</v>
      </c>
      <c r="RXQ6" s="44">
        <f>Database!RYJ14</f>
        <v>0</v>
      </c>
      <c r="RXR6" s="44">
        <f>Database!RYK14</f>
        <v>0</v>
      </c>
      <c r="RXS6" s="44">
        <f>Database!RYL14</f>
        <v>0</v>
      </c>
      <c r="RXT6" s="44">
        <f>Database!RYM14</f>
        <v>0</v>
      </c>
      <c r="RXU6" s="44">
        <f>Database!RYN14</f>
        <v>0</v>
      </c>
      <c r="RXV6" s="44">
        <f>Database!RYO14</f>
        <v>0</v>
      </c>
      <c r="RXW6" s="44">
        <f>Database!RYP14</f>
        <v>0</v>
      </c>
      <c r="RXX6" s="44">
        <f>Database!RYQ14</f>
        <v>0</v>
      </c>
      <c r="RXY6" s="44">
        <f>Database!RYR14</f>
        <v>0</v>
      </c>
      <c r="RXZ6" s="44">
        <f>Database!RYS14</f>
        <v>0</v>
      </c>
      <c r="RYA6" s="44">
        <f>Database!RYT14</f>
        <v>0</v>
      </c>
      <c r="RYB6" s="44">
        <f>Database!RYU14</f>
        <v>0</v>
      </c>
      <c r="RYC6" s="44">
        <f>Database!RYV14</f>
        <v>0</v>
      </c>
      <c r="RYD6" s="44">
        <f>Database!RYW14</f>
        <v>0</v>
      </c>
      <c r="RYE6" s="44">
        <f>Database!RYX14</f>
        <v>0</v>
      </c>
      <c r="RYF6" s="44">
        <f>Database!RYY14</f>
        <v>0</v>
      </c>
      <c r="RYG6" s="44">
        <f>Database!RYZ14</f>
        <v>0</v>
      </c>
      <c r="RYH6" s="44">
        <f>Database!RZA14</f>
        <v>0</v>
      </c>
      <c r="RYI6" s="44">
        <f>Database!RZB14</f>
        <v>0</v>
      </c>
      <c r="RYJ6" s="44">
        <f>Database!RZC14</f>
        <v>0</v>
      </c>
      <c r="RYK6" s="44">
        <f>Database!RZD14</f>
        <v>0</v>
      </c>
      <c r="RYL6" s="44">
        <f>Database!RZE14</f>
        <v>0</v>
      </c>
      <c r="RYM6" s="44">
        <f>Database!RZF14</f>
        <v>0</v>
      </c>
      <c r="RYN6" s="44">
        <f>Database!RZG14</f>
        <v>0</v>
      </c>
      <c r="RYO6" s="44">
        <f>Database!RZH14</f>
        <v>0</v>
      </c>
      <c r="RYP6" s="44">
        <f>Database!RZI14</f>
        <v>0</v>
      </c>
      <c r="RYQ6" s="44">
        <f>Database!RZJ14</f>
        <v>0</v>
      </c>
      <c r="RYR6" s="44">
        <f>Database!RZK14</f>
        <v>0</v>
      </c>
      <c r="RYS6" s="44">
        <f>Database!RZL14</f>
        <v>0</v>
      </c>
      <c r="RYT6" s="44">
        <f>Database!RZM14</f>
        <v>0</v>
      </c>
      <c r="RYU6" s="44">
        <f>Database!RZN14</f>
        <v>0</v>
      </c>
      <c r="RYV6" s="44">
        <f>Database!RZO14</f>
        <v>0</v>
      </c>
      <c r="RYW6" s="44">
        <f>Database!RZP14</f>
        <v>0</v>
      </c>
      <c r="RYX6" s="44">
        <f>Database!RZQ14</f>
        <v>0</v>
      </c>
      <c r="RYY6" s="44">
        <f>Database!RZR14</f>
        <v>0</v>
      </c>
      <c r="RYZ6" s="44">
        <f>Database!RZS14</f>
        <v>0</v>
      </c>
      <c r="RZA6" s="44">
        <f>Database!RZT14</f>
        <v>0</v>
      </c>
      <c r="RZB6" s="44">
        <f>Database!RZU14</f>
        <v>0</v>
      </c>
      <c r="RZC6" s="44">
        <f>Database!RZV14</f>
        <v>0</v>
      </c>
      <c r="RZD6" s="44">
        <f>Database!RZW14</f>
        <v>0</v>
      </c>
      <c r="RZE6" s="44">
        <f>Database!RZX14</f>
        <v>0</v>
      </c>
      <c r="RZF6" s="44">
        <f>Database!RZY14</f>
        <v>0</v>
      </c>
      <c r="RZG6" s="44">
        <f>Database!RZZ14</f>
        <v>0</v>
      </c>
      <c r="RZH6" s="44">
        <f>Database!SAA14</f>
        <v>0</v>
      </c>
      <c r="RZI6" s="44">
        <f>Database!SAB14</f>
        <v>0</v>
      </c>
      <c r="RZJ6" s="44">
        <f>Database!SAC14</f>
        <v>0</v>
      </c>
      <c r="RZK6" s="44">
        <f>Database!SAD14</f>
        <v>0</v>
      </c>
      <c r="RZL6" s="44">
        <f>Database!SAE14</f>
        <v>0</v>
      </c>
      <c r="RZM6" s="44">
        <f>Database!SAF14</f>
        <v>0</v>
      </c>
      <c r="RZN6" s="44">
        <f>Database!SAG14</f>
        <v>0</v>
      </c>
      <c r="RZO6" s="44">
        <f>Database!SAH14</f>
        <v>0</v>
      </c>
      <c r="RZP6" s="44">
        <f>Database!SAI14</f>
        <v>0</v>
      </c>
      <c r="RZQ6" s="44">
        <f>Database!SAJ14</f>
        <v>0</v>
      </c>
      <c r="RZR6" s="44">
        <f>Database!SAK14</f>
        <v>0</v>
      </c>
      <c r="RZS6" s="44">
        <f>Database!SAL14</f>
        <v>0</v>
      </c>
      <c r="RZT6" s="44">
        <f>Database!SAM14</f>
        <v>0</v>
      </c>
      <c r="RZU6" s="44">
        <f>Database!SAN14</f>
        <v>0</v>
      </c>
      <c r="RZV6" s="44">
        <f>Database!SAO14</f>
        <v>0</v>
      </c>
      <c r="RZW6" s="44">
        <f>Database!SAP14</f>
        <v>0</v>
      </c>
      <c r="RZX6" s="44">
        <f>Database!SAQ14</f>
        <v>0</v>
      </c>
      <c r="RZY6" s="44">
        <f>Database!SAR14</f>
        <v>0</v>
      </c>
      <c r="RZZ6" s="44">
        <f>Database!SAS14</f>
        <v>0</v>
      </c>
      <c r="SAA6" s="44">
        <f>Database!SAT14</f>
        <v>0</v>
      </c>
      <c r="SAB6" s="44">
        <f>Database!SAU14</f>
        <v>0</v>
      </c>
      <c r="SAC6" s="44">
        <f>Database!SAV14</f>
        <v>0</v>
      </c>
      <c r="SAD6" s="44">
        <f>Database!SAW14</f>
        <v>0</v>
      </c>
      <c r="SAE6" s="44">
        <f>Database!SAX14</f>
        <v>0</v>
      </c>
      <c r="SAF6" s="44">
        <f>Database!SAY14</f>
        <v>0</v>
      </c>
      <c r="SAG6" s="44">
        <f>Database!SAZ14</f>
        <v>0</v>
      </c>
      <c r="SAH6" s="44">
        <f>Database!SBA14</f>
        <v>0</v>
      </c>
      <c r="SAI6" s="44">
        <f>Database!SBB14</f>
        <v>0</v>
      </c>
      <c r="SAJ6" s="44">
        <f>Database!SBC14</f>
        <v>0</v>
      </c>
      <c r="SAK6" s="44">
        <f>Database!SBD14</f>
        <v>0</v>
      </c>
      <c r="SAL6" s="44">
        <f>Database!SBE14</f>
        <v>0</v>
      </c>
      <c r="SAM6" s="44">
        <f>Database!SBF14</f>
        <v>0</v>
      </c>
      <c r="SAN6" s="44">
        <f>Database!SBG14</f>
        <v>0</v>
      </c>
      <c r="SAO6" s="44">
        <f>Database!SBH14</f>
        <v>0</v>
      </c>
      <c r="SAP6" s="44">
        <f>Database!SBI14</f>
        <v>0</v>
      </c>
      <c r="SAQ6" s="44">
        <f>Database!SBJ14</f>
        <v>0</v>
      </c>
      <c r="SAR6" s="44">
        <f>Database!SBK14</f>
        <v>0</v>
      </c>
      <c r="SAS6" s="44">
        <f>Database!SBL14</f>
        <v>0</v>
      </c>
      <c r="SAT6" s="44">
        <f>Database!SBM14</f>
        <v>0</v>
      </c>
      <c r="SAU6" s="44">
        <f>Database!SBN14</f>
        <v>0</v>
      </c>
      <c r="SAV6" s="44">
        <f>Database!SBO14</f>
        <v>0</v>
      </c>
      <c r="SAW6" s="44">
        <f>Database!SBP14</f>
        <v>0</v>
      </c>
      <c r="SAX6" s="44">
        <f>Database!SBQ14</f>
        <v>0</v>
      </c>
      <c r="SAY6" s="44">
        <f>Database!SBR14</f>
        <v>0</v>
      </c>
      <c r="SAZ6" s="44">
        <f>Database!SBS14</f>
        <v>0</v>
      </c>
      <c r="SBA6" s="44">
        <f>Database!SBT14</f>
        <v>0</v>
      </c>
      <c r="SBB6" s="44">
        <f>Database!SBU14</f>
        <v>0</v>
      </c>
      <c r="SBC6" s="44">
        <f>Database!SBV14</f>
        <v>0</v>
      </c>
      <c r="SBD6" s="44">
        <f>Database!SBW14</f>
        <v>0</v>
      </c>
      <c r="SBE6" s="44">
        <f>Database!SBX14</f>
        <v>0</v>
      </c>
      <c r="SBF6" s="44">
        <f>Database!SBY14</f>
        <v>0</v>
      </c>
      <c r="SBG6" s="44">
        <f>Database!SBZ14</f>
        <v>0</v>
      </c>
      <c r="SBH6" s="44">
        <f>Database!SCA14</f>
        <v>0</v>
      </c>
      <c r="SBI6" s="44">
        <f>Database!SCB14</f>
        <v>0</v>
      </c>
      <c r="SBJ6" s="44">
        <f>Database!SCC14</f>
        <v>0</v>
      </c>
      <c r="SBK6" s="44">
        <f>Database!SCD14</f>
        <v>0</v>
      </c>
      <c r="SBL6" s="44">
        <f>Database!SCE14</f>
        <v>0</v>
      </c>
      <c r="SBM6" s="44">
        <f>Database!SCF14</f>
        <v>0</v>
      </c>
      <c r="SBN6" s="44">
        <f>Database!SCG14</f>
        <v>0</v>
      </c>
      <c r="SBO6" s="44">
        <f>Database!SCH14</f>
        <v>0</v>
      </c>
      <c r="SBP6" s="44">
        <f>Database!SCI14</f>
        <v>0</v>
      </c>
      <c r="SBQ6" s="44">
        <f>Database!SCJ14</f>
        <v>0</v>
      </c>
      <c r="SBR6" s="44">
        <f>Database!SCK14</f>
        <v>0</v>
      </c>
      <c r="SBS6" s="44">
        <f>Database!SCL14</f>
        <v>0</v>
      </c>
      <c r="SBT6" s="44">
        <f>Database!SCM14</f>
        <v>0</v>
      </c>
      <c r="SBU6" s="44">
        <f>Database!SCN14</f>
        <v>0</v>
      </c>
      <c r="SBV6" s="44">
        <f>Database!SCO14</f>
        <v>0</v>
      </c>
      <c r="SBW6" s="44">
        <f>Database!SCP14</f>
        <v>0</v>
      </c>
      <c r="SBX6" s="44">
        <f>Database!SCQ14</f>
        <v>0</v>
      </c>
      <c r="SBY6" s="44">
        <f>Database!SCR14</f>
        <v>0</v>
      </c>
      <c r="SBZ6" s="44">
        <f>Database!SCS14</f>
        <v>0</v>
      </c>
      <c r="SCA6" s="44">
        <f>Database!SCT14</f>
        <v>0</v>
      </c>
      <c r="SCB6" s="44">
        <f>Database!SCU14</f>
        <v>0</v>
      </c>
      <c r="SCC6" s="44">
        <f>Database!SCV14</f>
        <v>0</v>
      </c>
      <c r="SCD6" s="44">
        <f>Database!SCW14</f>
        <v>0</v>
      </c>
      <c r="SCE6" s="44">
        <f>Database!SCX14</f>
        <v>0</v>
      </c>
      <c r="SCF6" s="44">
        <f>Database!SCY14</f>
        <v>0</v>
      </c>
      <c r="SCG6" s="44">
        <f>Database!SCZ14</f>
        <v>0</v>
      </c>
      <c r="SCH6" s="44">
        <f>Database!SDA14</f>
        <v>0</v>
      </c>
      <c r="SCI6" s="44">
        <f>Database!SDB14</f>
        <v>0</v>
      </c>
      <c r="SCJ6" s="44">
        <f>Database!SDC14</f>
        <v>0</v>
      </c>
      <c r="SCK6" s="44">
        <f>Database!SDD14</f>
        <v>0</v>
      </c>
      <c r="SCL6" s="44">
        <f>Database!SDE14</f>
        <v>0</v>
      </c>
      <c r="SCM6" s="44">
        <f>Database!SDF14</f>
        <v>0</v>
      </c>
      <c r="SCN6" s="44">
        <f>Database!SDG14</f>
        <v>0</v>
      </c>
      <c r="SCO6" s="44">
        <f>Database!SDH14</f>
        <v>0</v>
      </c>
      <c r="SCP6" s="44">
        <f>Database!SDI14</f>
        <v>0</v>
      </c>
      <c r="SCQ6" s="44">
        <f>Database!SDJ14</f>
        <v>0</v>
      </c>
      <c r="SCR6" s="44">
        <f>Database!SDK14</f>
        <v>0</v>
      </c>
      <c r="SCS6" s="44">
        <f>Database!SDL14</f>
        <v>0</v>
      </c>
      <c r="SCT6" s="44">
        <f>Database!SDM14</f>
        <v>0</v>
      </c>
      <c r="SCU6" s="44">
        <f>Database!SDN14</f>
        <v>0</v>
      </c>
      <c r="SCV6" s="44">
        <f>Database!SDO14</f>
        <v>0</v>
      </c>
      <c r="SCW6" s="44">
        <f>Database!SDP14</f>
        <v>0</v>
      </c>
      <c r="SCX6" s="44">
        <f>Database!SDQ14</f>
        <v>0</v>
      </c>
      <c r="SCY6" s="44">
        <f>Database!SDR14</f>
        <v>0</v>
      </c>
      <c r="SCZ6" s="44">
        <f>Database!SDS14</f>
        <v>0</v>
      </c>
      <c r="SDA6" s="44">
        <f>Database!SDT14</f>
        <v>0</v>
      </c>
      <c r="SDB6" s="44">
        <f>Database!SDU14</f>
        <v>0</v>
      </c>
      <c r="SDC6" s="44">
        <f>Database!SDV14</f>
        <v>0</v>
      </c>
      <c r="SDD6" s="44">
        <f>Database!SDW14</f>
        <v>0</v>
      </c>
      <c r="SDE6" s="44">
        <f>Database!SDX14</f>
        <v>0</v>
      </c>
      <c r="SDF6" s="44">
        <f>Database!SDY14</f>
        <v>0</v>
      </c>
      <c r="SDG6" s="44">
        <f>Database!SDZ14</f>
        <v>0</v>
      </c>
      <c r="SDH6" s="44">
        <f>Database!SEA14</f>
        <v>0</v>
      </c>
      <c r="SDI6" s="44">
        <f>Database!SEB14</f>
        <v>0</v>
      </c>
      <c r="SDJ6" s="44">
        <f>Database!SEC14</f>
        <v>0</v>
      </c>
      <c r="SDK6" s="44">
        <f>Database!SED14</f>
        <v>0</v>
      </c>
      <c r="SDL6" s="44">
        <f>Database!SEE14</f>
        <v>0</v>
      </c>
      <c r="SDM6" s="44">
        <f>Database!SEF14</f>
        <v>0</v>
      </c>
      <c r="SDN6" s="44">
        <f>Database!SEG14</f>
        <v>0</v>
      </c>
      <c r="SDO6" s="44">
        <f>Database!SEH14</f>
        <v>0</v>
      </c>
      <c r="SDP6" s="44">
        <f>Database!SEI14</f>
        <v>0</v>
      </c>
      <c r="SDQ6" s="44">
        <f>Database!SEJ14</f>
        <v>0</v>
      </c>
      <c r="SDR6" s="44">
        <f>Database!SEK14</f>
        <v>0</v>
      </c>
      <c r="SDS6" s="44">
        <f>Database!SEL14</f>
        <v>0</v>
      </c>
      <c r="SDT6" s="44">
        <f>Database!SEM14</f>
        <v>0</v>
      </c>
      <c r="SDU6" s="44">
        <f>Database!SEN14</f>
        <v>0</v>
      </c>
      <c r="SDV6" s="44">
        <f>Database!SEO14</f>
        <v>0</v>
      </c>
      <c r="SDW6" s="44">
        <f>Database!SEP14</f>
        <v>0</v>
      </c>
      <c r="SDX6" s="44">
        <f>Database!SEQ14</f>
        <v>0</v>
      </c>
      <c r="SDY6" s="44">
        <f>Database!SER14</f>
        <v>0</v>
      </c>
      <c r="SDZ6" s="44">
        <f>Database!SES14</f>
        <v>0</v>
      </c>
      <c r="SEA6" s="44">
        <f>Database!SET14</f>
        <v>0</v>
      </c>
      <c r="SEB6" s="44">
        <f>Database!SEU14</f>
        <v>0</v>
      </c>
      <c r="SEC6" s="44">
        <f>Database!SEV14</f>
        <v>0</v>
      </c>
      <c r="SED6" s="44">
        <f>Database!SEW14</f>
        <v>0</v>
      </c>
      <c r="SEE6" s="44">
        <f>Database!SEX14</f>
        <v>0</v>
      </c>
      <c r="SEF6" s="44">
        <f>Database!SEY14</f>
        <v>0</v>
      </c>
      <c r="SEG6" s="44">
        <f>Database!SEZ14</f>
        <v>0</v>
      </c>
      <c r="SEH6" s="44">
        <f>Database!SFA14</f>
        <v>0</v>
      </c>
      <c r="SEI6" s="44">
        <f>Database!SFB14</f>
        <v>0</v>
      </c>
      <c r="SEJ6" s="44">
        <f>Database!SFC14</f>
        <v>0</v>
      </c>
      <c r="SEK6" s="44">
        <f>Database!SFD14</f>
        <v>0</v>
      </c>
      <c r="SEL6" s="44">
        <f>Database!SFE14</f>
        <v>0</v>
      </c>
      <c r="SEM6" s="44">
        <f>Database!SFF14</f>
        <v>0</v>
      </c>
      <c r="SEN6" s="44">
        <f>Database!SFG14</f>
        <v>0</v>
      </c>
      <c r="SEO6" s="44">
        <f>Database!SFH14</f>
        <v>0</v>
      </c>
      <c r="SEP6" s="44">
        <f>Database!SFI14</f>
        <v>0</v>
      </c>
      <c r="SEQ6" s="44">
        <f>Database!SFJ14</f>
        <v>0</v>
      </c>
      <c r="SER6" s="44">
        <f>Database!SFK14</f>
        <v>0</v>
      </c>
      <c r="SES6" s="44">
        <f>Database!SFL14</f>
        <v>0</v>
      </c>
      <c r="SET6" s="44">
        <f>Database!SFM14</f>
        <v>0</v>
      </c>
      <c r="SEU6" s="44">
        <f>Database!SFN14</f>
        <v>0</v>
      </c>
      <c r="SEV6" s="44">
        <f>Database!SFO14</f>
        <v>0</v>
      </c>
      <c r="SEW6" s="44">
        <f>Database!SFP14</f>
        <v>0</v>
      </c>
      <c r="SEX6" s="44">
        <f>Database!SFQ14</f>
        <v>0</v>
      </c>
      <c r="SEY6" s="44">
        <f>Database!SFR14</f>
        <v>0</v>
      </c>
      <c r="SEZ6" s="44">
        <f>Database!SFS14</f>
        <v>0</v>
      </c>
      <c r="SFA6" s="44">
        <f>Database!SFT14</f>
        <v>0</v>
      </c>
      <c r="SFB6" s="44">
        <f>Database!SFU14</f>
        <v>0</v>
      </c>
      <c r="SFC6" s="44">
        <f>Database!SFV14</f>
        <v>0</v>
      </c>
      <c r="SFD6" s="44">
        <f>Database!SFW14</f>
        <v>0</v>
      </c>
      <c r="SFE6" s="44">
        <f>Database!SFX14</f>
        <v>0</v>
      </c>
      <c r="SFF6" s="44">
        <f>Database!SFY14</f>
        <v>0</v>
      </c>
      <c r="SFG6" s="44">
        <f>Database!SFZ14</f>
        <v>0</v>
      </c>
      <c r="SFH6" s="44">
        <f>Database!SGA14</f>
        <v>0</v>
      </c>
      <c r="SFI6" s="44">
        <f>Database!SGB14</f>
        <v>0</v>
      </c>
      <c r="SFJ6" s="44">
        <f>Database!SGC14</f>
        <v>0</v>
      </c>
      <c r="SFK6" s="44">
        <f>Database!SGD14</f>
        <v>0</v>
      </c>
      <c r="SFL6" s="44">
        <f>Database!SGE14</f>
        <v>0</v>
      </c>
      <c r="SFM6" s="44">
        <f>Database!SGF14</f>
        <v>0</v>
      </c>
      <c r="SFN6" s="44">
        <f>Database!SGG14</f>
        <v>0</v>
      </c>
      <c r="SFO6" s="44">
        <f>Database!SGH14</f>
        <v>0</v>
      </c>
      <c r="SFP6" s="44">
        <f>Database!SGI14</f>
        <v>0</v>
      </c>
      <c r="SFQ6" s="44">
        <f>Database!SGJ14</f>
        <v>0</v>
      </c>
      <c r="SFR6" s="44">
        <f>Database!SGK14</f>
        <v>0</v>
      </c>
      <c r="SFS6" s="44">
        <f>Database!SGL14</f>
        <v>0</v>
      </c>
      <c r="SFT6" s="44">
        <f>Database!SGM14</f>
        <v>0</v>
      </c>
      <c r="SFU6" s="44">
        <f>Database!SGN14</f>
        <v>0</v>
      </c>
      <c r="SFV6" s="44">
        <f>Database!SGO14</f>
        <v>0</v>
      </c>
      <c r="SFW6" s="44">
        <f>Database!SGP14</f>
        <v>0</v>
      </c>
      <c r="SFX6" s="44">
        <f>Database!SGQ14</f>
        <v>0</v>
      </c>
      <c r="SFY6" s="44">
        <f>Database!SGR14</f>
        <v>0</v>
      </c>
      <c r="SFZ6" s="44">
        <f>Database!SGS14</f>
        <v>0</v>
      </c>
      <c r="SGA6" s="44">
        <f>Database!SGT14</f>
        <v>0</v>
      </c>
      <c r="SGB6" s="44">
        <f>Database!SGU14</f>
        <v>0</v>
      </c>
      <c r="SGC6" s="44">
        <f>Database!SGV14</f>
        <v>0</v>
      </c>
      <c r="SGD6" s="44">
        <f>Database!SGW14</f>
        <v>0</v>
      </c>
      <c r="SGE6" s="44">
        <f>Database!SGX14</f>
        <v>0</v>
      </c>
      <c r="SGF6" s="44">
        <f>Database!SGY14</f>
        <v>0</v>
      </c>
      <c r="SGG6" s="44">
        <f>Database!SGZ14</f>
        <v>0</v>
      </c>
      <c r="SGH6" s="44">
        <f>Database!SHA14</f>
        <v>0</v>
      </c>
      <c r="SGI6" s="44">
        <f>Database!SHB14</f>
        <v>0</v>
      </c>
      <c r="SGJ6" s="44">
        <f>Database!SHC14</f>
        <v>0</v>
      </c>
      <c r="SGK6" s="44">
        <f>Database!SHD14</f>
        <v>0</v>
      </c>
      <c r="SGL6" s="44">
        <f>Database!SHE14</f>
        <v>0</v>
      </c>
      <c r="SGM6" s="44">
        <f>Database!SHF14</f>
        <v>0</v>
      </c>
      <c r="SGN6" s="44">
        <f>Database!SHG14</f>
        <v>0</v>
      </c>
      <c r="SGO6" s="44">
        <f>Database!SHH14</f>
        <v>0</v>
      </c>
      <c r="SGP6" s="44">
        <f>Database!SHI14</f>
        <v>0</v>
      </c>
      <c r="SGQ6" s="44">
        <f>Database!SHJ14</f>
        <v>0</v>
      </c>
      <c r="SGR6" s="44">
        <f>Database!SHK14</f>
        <v>0</v>
      </c>
      <c r="SGS6" s="44">
        <f>Database!SHL14</f>
        <v>0</v>
      </c>
      <c r="SGT6" s="44">
        <f>Database!SHM14</f>
        <v>0</v>
      </c>
      <c r="SGU6" s="44">
        <f>Database!SHN14</f>
        <v>0</v>
      </c>
      <c r="SGV6" s="44">
        <f>Database!SHO14</f>
        <v>0</v>
      </c>
      <c r="SGW6" s="44">
        <f>Database!SHP14</f>
        <v>0</v>
      </c>
      <c r="SGX6" s="44">
        <f>Database!SHQ14</f>
        <v>0</v>
      </c>
      <c r="SGY6" s="44">
        <f>Database!SHR14</f>
        <v>0</v>
      </c>
      <c r="SGZ6" s="44">
        <f>Database!SHS14</f>
        <v>0</v>
      </c>
      <c r="SHA6" s="44">
        <f>Database!SHT14</f>
        <v>0</v>
      </c>
      <c r="SHB6" s="44">
        <f>Database!SHU14</f>
        <v>0</v>
      </c>
      <c r="SHC6" s="44">
        <f>Database!SHV14</f>
        <v>0</v>
      </c>
      <c r="SHD6" s="44">
        <f>Database!SHW14</f>
        <v>0</v>
      </c>
      <c r="SHE6" s="44">
        <f>Database!SHX14</f>
        <v>0</v>
      </c>
      <c r="SHF6" s="44">
        <f>Database!SHY14</f>
        <v>0</v>
      </c>
      <c r="SHG6" s="44">
        <f>Database!SHZ14</f>
        <v>0</v>
      </c>
      <c r="SHH6" s="44">
        <f>Database!SIA14</f>
        <v>0</v>
      </c>
      <c r="SHI6" s="44">
        <f>Database!SIB14</f>
        <v>0</v>
      </c>
      <c r="SHJ6" s="44">
        <f>Database!SIC14</f>
        <v>0</v>
      </c>
      <c r="SHK6" s="44">
        <f>Database!SID14</f>
        <v>0</v>
      </c>
      <c r="SHL6" s="44">
        <f>Database!SIE14</f>
        <v>0</v>
      </c>
      <c r="SHM6" s="44">
        <f>Database!SIF14</f>
        <v>0</v>
      </c>
      <c r="SHN6" s="44">
        <f>Database!SIG14</f>
        <v>0</v>
      </c>
      <c r="SHO6" s="44">
        <f>Database!SIH14</f>
        <v>0</v>
      </c>
      <c r="SHP6" s="44">
        <f>Database!SII14</f>
        <v>0</v>
      </c>
      <c r="SHQ6" s="44">
        <f>Database!SIJ14</f>
        <v>0</v>
      </c>
      <c r="SHR6" s="44">
        <f>Database!SIK14</f>
        <v>0</v>
      </c>
      <c r="SHS6" s="44">
        <f>Database!SIL14</f>
        <v>0</v>
      </c>
      <c r="SHT6" s="44">
        <f>Database!SIM14</f>
        <v>0</v>
      </c>
      <c r="SHU6" s="44">
        <f>Database!SIN14</f>
        <v>0</v>
      </c>
      <c r="SHV6" s="44">
        <f>Database!SIO14</f>
        <v>0</v>
      </c>
      <c r="SHW6" s="44">
        <f>Database!SIP14</f>
        <v>0</v>
      </c>
      <c r="SHX6" s="44">
        <f>Database!SIQ14</f>
        <v>0</v>
      </c>
      <c r="SHY6" s="44">
        <f>Database!SIR14</f>
        <v>0</v>
      </c>
      <c r="SHZ6" s="44">
        <f>Database!SIS14</f>
        <v>0</v>
      </c>
      <c r="SIA6" s="44">
        <f>Database!SIT14</f>
        <v>0</v>
      </c>
      <c r="SIB6" s="44">
        <f>Database!SIU14</f>
        <v>0</v>
      </c>
      <c r="SIC6" s="44">
        <f>Database!SIV14</f>
        <v>0</v>
      </c>
      <c r="SID6" s="44">
        <f>Database!SIW14</f>
        <v>0</v>
      </c>
      <c r="SIE6" s="44">
        <f>Database!SIX14</f>
        <v>0</v>
      </c>
      <c r="SIF6" s="44">
        <f>Database!SIY14</f>
        <v>0</v>
      </c>
      <c r="SIG6" s="44">
        <f>Database!SIZ14</f>
        <v>0</v>
      </c>
      <c r="SIH6" s="44">
        <f>Database!SJA14</f>
        <v>0</v>
      </c>
      <c r="SII6" s="44">
        <f>Database!SJB14</f>
        <v>0</v>
      </c>
      <c r="SIJ6" s="44">
        <f>Database!SJC14</f>
        <v>0</v>
      </c>
      <c r="SIK6" s="44">
        <f>Database!SJD14</f>
        <v>0</v>
      </c>
      <c r="SIL6" s="44">
        <f>Database!SJE14</f>
        <v>0</v>
      </c>
      <c r="SIM6" s="44">
        <f>Database!SJF14</f>
        <v>0</v>
      </c>
      <c r="SIN6" s="44">
        <f>Database!SJG14</f>
        <v>0</v>
      </c>
      <c r="SIO6" s="44">
        <f>Database!SJH14</f>
        <v>0</v>
      </c>
      <c r="SIP6" s="44">
        <f>Database!SJI14</f>
        <v>0</v>
      </c>
      <c r="SIQ6" s="44">
        <f>Database!SJJ14</f>
        <v>0</v>
      </c>
      <c r="SIR6" s="44">
        <f>Database!SJK14</f>
        <v>0</v>
      </c>
      <c r="SIS6" s="44">
        <f>Database!SJL14</f>
        <v>0</v>
      </c>
      <c r="SIT6" s="44">
        <f>Database!SJM14</f>
        <v>0</v>
      </c>
      <c r="SIU6" s="44">
        <f>Database!SJN14</f>
        <v>0</v>
      </c>
      <c r="SIV6" s="44">
        <f>Database!SJO14</f>
        <v>0</v>
      </c>
      <c r="SIW6" s="44">
        <f>Database!SJP14</f>
        <v>0</v>
      </c>
      <c r="SIX6" s="44">
        <f>Database!SJQ14</f>
        <v>0</v>
      </c>
      <c r="SIY6" s="44">
        <f>Database!SJR14</f>
        <v>0</v>
      </c>
      <c r="SIZ6" s="44">
        <f>Database!SJS14</f>
        <v>0</v>
      </c>
      <c r="SJA6" s="44">
        <f>Database!SJT14</f>
        <v>0</v>
      </c>
      <c r="SJB6" s="44">
        <f>Database!SJU14</f>
        <v>0</v>
      </c>
      <c r="SJC6" s="44">
        <f>Database!SJV14</f>
        <v>0</v>
      </c>
      <c r="SJD6" s="44">
        <f>Database!SJW14</f>
        <v>0</v>
      </c>
      <c r="SJE6" s="44">
        <f>Database!SJX14</f>
        <v>0</v>
      </c>
      <c r="SJF6" s="44">
        <f>Database!SJY14</f>
        <v>0</v>
      </c>
      <c r="SJG6" s="44">
        <f>Database!SJZ14</f>
        <v>0</v>
      </c>
      <c r="SJH6" s="44">
        <f>Database!SKA14</f>
        <v>0</v>
      </c>
      <c r="SJI6" s="44">
        <f>Database!SKB14</f>
        <v>0</v>
      </c>
      <c r="SJJ6" s="44">
        <f>Database!SKC14</f>
        <v>0</v>
      </c>
      <c r="SJK6" s="44">
        <f>Database!SKD14</f>
        <v>0</v>
      </c>
      <c r="SJL6" s="44">
        <f>Database!SKE14</f>
        <v>0</v>
      </c>
      <c r="SJM6" s="44">
        <f>Database!SKF14</f>
        <v>0</v>
      </c>
      <c r="SJN6" s="44">
        <f>Database!SKG14</f>
        <v>0</v>
      </c>
      <c r="SJO6" s="44">
        <f>Database!SKH14</f>
        <v>0</v>
      </c>
      <c r="SJP6" s="44">
        <f>Database!SKI14</f>
        <v>0</v>
      </c>
      <c r="SJQ6" s="44">
        <f>Database!SKJ14</f>
        <v>0</v>
      </c>
      <c r="SJR6" s="44">
        <f>Database!SKK14</f>
        <v>0</v>
      </c>
      <c r="SJS6" s="44">
        <f>Database!SKL14</f>
        <v>0</v>
      </c>
      <c r="SJT6" s="44">
        <f>Database!SKM14</f>
        <v>0</v>
      </c>
      <c r="SJU6" s="44">
        <f>Database!SKN14</f>
        <v>0</v>
      </c>
      <c r="SJV6" s="44">
        <f>Database!SKO14</f>
        <v>0</v>
      </c>
      <c r="SJW6" s="44">
        <f>Database!SKP14</f>
        <v>0</v>
      </c>
      <c r="SJX6" s="44">
        <f>Database!SKQ14</f>
        <v>0</v>
      </c>
      <c r="SJY6" s="44">
        <f>Database!SKR14</f>
        <v>0</v>
      </c>
      <c r="SJZ6" s="44">
        <f>Database!SKS14</f>
        <v>0</v>
      </c>
      <c r="SKA6" s="44">
        <f>Database!SKT14</f>
        <v>0</v>
      </c>
      <c r="SKB6" s="44">
        <f>Database!SKU14</f>
        <v>0</v>
      </c>
      <c r="SKC6" s="44">
        <f>Database!SKV14</f>
        <v>0</v>
      </c>
      <c r="SKD6" s="44">
        <f>Database!SKW14</f>
        <v>0</v>
      </c>
      <c r="SKE6" s="44">
        <f>Database!SKX14</f>
        <v>0</v>
      </c>
      <c r="SKF6" s="44">
        <f>Database!SKY14</f>
        <v>0</v>
      </c>
      <c r="SKG6" s="44">
        <f>Database!SKZ14</f>
        <v>0</v>
      </c>
      <c r="SKH6" s="44">
        <f>Database!SLA14</f>
        <v>0</v>
      </c>
      <c r="SKI6" s="44">
        <f>Database!SLB14</f>
        <v>0</v>
      </c>
      <c r="SKJ6" s="44">
        <f>Database!SLC14</f>
        <v>0</v>
      </c>
      <c r="SKK6" s="44">
        <f>Database!SLD14</f>
        <v>0</v>
      </c>
      <c r="SKL6" s="44">
        <f>Database!SLE14</f>
        <v>0</v>
      </c>
      <c r="SKM6" s="44">
        <f>Database!SLF14</f>
        <v>0</v>
      </c>
      <c r="SKN6" s="44">
        <f>Database!SLG14</f>
        <v>0</v>
      </c>
      <c r="SKO6" s="44">
        <f>Database!SLH14</f>
        <v>0</v>
      </c>
      <c r="SKP6" s="44">
        <f>Database!SLI14</f>
        <v>0</v>
      </c>
      <c r="SKQ6" s="44">
        <f>Database!SLJ14</f>
        <v>0</v>
      </c>
      <c r="SKR6" s="44">
        <f>Database!SLK14</f>
        <v>0</v>
      </c>
      <c r="SKS6" s="44">
        <f>Database!SLL14</f>
        <v>0</v>
      </c>
      <c r="SKT6" s="44">
        <f>Database!SLM14</f>
        <v>0</v>
      </c>
      <c r="SKU6" s="44">
        <f>Database!SLN14</f>
        <v>0</v>
      </c>
      <c r="SKV6" s="44">
        <f>Database!SLO14</f>
        <v>0</v>
      </c>
      <c r="SKW6" s="44">
        <f>Database!SLP14</f>
        <v>0</v>
      </c>
      <c r="SKX6" s="44">
        <f>Database!SLQ14</f>
        <v>0</v>
      </c>
      <c r="SKY6" s="44">
        <f>Database!SLR14</f>
        <v>0</v>
      </c>
      <c r="SKZ6" s="44">
        <f>Database!SLS14</f>
        <v>0</v>
      </c>
      <c r="SLA6" s="44">
        <f>Database!SLT14</f>
        <v>0</v>
      </c>
      <c r="SLB6" s="44">
        <f>Database!SLU14</f>
        <v>0</v>
      </c>
      <c r="SLC6" s="44">
        <f>Database!SLV14</f>
        <v>0</v>
      </c>
      <c r="SLD6" s="44">
        <f>Database!SLW14</f>
        <v>0</v>
      </c>
      <c r="SLE6" s="44">
        <f>Database!SLX14</f>
        <v>0</v>
      </c>
      <c r="SLF6" s="44">
        <f>Database!SLY14</f>
        <v>0</v>
      </c>
      <c r="SLG6" s="44">
        <f>Database!SLZ14</f>
        <v>0</v>
      </c>
      <c r="SLH6" s="44">
        <f>Database!SMA14</f>
        <v>0</v>
      </c>
      <c r="SLI6" s="44">
        <f>Database!SMB14</f>
        <v>0</v>
      </c>
      <c r="SLJ6" s="44">
        <f>Database!SMC14</f>
        <v>0</v>
      </c>
      <c r="SLK6" s="44">
        <f>Database!SMD14</f>
        <v>0</v>
      </c>
      <c r="SLL6" s="44">
        <f>Database!SME14</f>
        <v>0</v>
      </c>
      <c r="SLM6" s="44">
        <f>Database!SMF14</f>
        <v>0</v>
      </c>
      <c r="SLN6" s="44">
        <f>Database!SMG14</f>
        <v>0</v>
      </c>
      <c r="SLO6" s="44">
        <f>Database!SMH14</f>
        <v>0</v>
      </c>
      <c r="SLP6" s="44">
        <f>Database!SMI14</f>
        <v>0</v>
      </c>
      <c r="SLQ6" s="44">
        <f>Database!SMJ14</f>
        <v>0</v>
      </c>
      <c r="SLR6" s="44">
        <f>Database!SMK14</f>
        <v>0</v>
      </c>
      <c r="SLS6" s="44">
        <f>Database!SML14</f>
        <v>0</v>
      </c>
      <c r="SLT6" s="44">
        <f>Database!SMM14</f>
        <v>0</v>
      </c>
      <c r="SLU6" s="44">
        <f>Database!SMN14</f>
        <v>0</v>
      </c>
      <c r="SLV6" s="44">
        <f>Database!SMO14</f>
        <v>0</v>
      </c>
      <c r="SLW6" s="44">
        <f>Database!SMP14</f>
        <v>0</v>
      </c>
      <c r="SLX6" s="44">
        <f>Database!SMQ14</f>
        <v>0</v>
      </c>
      <c r="SLY6" s="44">
        <f>Database!SMR14</f>
        <v>0</v>
      </c>
      <c r="SLZ6" s="44">
        <f>Database!SMS14</f>
        <v>0</v>
      </c>
      <c r="SMA6" s="44">
        <f>Database!SMT14</f>
        <v>0</v>
      </c>
      <c r="SMB6" s="44">
        <f>Database!SMU14</f>
        <v>0</v>
      </c>
      <c r="SMC6" s="44">
        <f>Database!SMV14</f>
        <v>0</v>
      </c>
      <c r="SMD6" s="44">
        <f>Database!SMW14</f>
        <v>0</v>
      </c>
      <c r="SME6" s="44">
        <f>Database!SMX14</f>
        <v>0</v>
      </c>
      <c r="SMF6" s="44">
        <f>Database!SMY14</f>
        <v>0</v>
      </c>
      <c r="SMG6" s="44">
        <f>Database!SMZ14</f>
        <v>0</v>
      </c>
      <c r="SMH6" s="44">
        <f>Database!SNA14</f>
        <v>0</v>
      </c>
      <c r="SMI6" s="44">
        <f>Database!SNB14</f>
        <v>0</v>
      </c>
      <c r="SMJ6" s="44">
        <f>Database!SNC14</f>
        <v>0</v>
      </c>
      <c r="SMK6" s="44">
        <f>Database!SND14</f>
        <v>0</v>
      </c>
      <c r="SML6" s="44">
        <f>Database!SNE14</f>
        <v>0</v>
      </c>
      <c r="SMM6" s="44">
        <f>Database!SNF14</f>
        <v>0</v>
      </c>
      <c r="SMN6" s="44">
        <f>Database!SNG14</f>
        <v>0</v>
      </c>
      <c r="SMO6" s="44">
        <f>Database!SNH14</f>
        <v>0</v>
      </c>
      <c r="SMP6" s="44">
        <f>Database!SNI14</f>
        <v>0</v>
      </c>
      <c r="SMQ6" s="44">
        <f>Database!SNJ14</f>
        <v>0</v>
      </c>
      <c r="SMR6" s="44">
        <f>Database!SNK14</f>
        <v>0</v>
      </c>
      <c r="SMS6" s="44">
        <f>Database!SNL14</f>
        <v>0</v>
      </c>
      <c r="SMT6" s="44">
        <f>Database!SNM14</f>
        <v>0</v>
      </c>
      <c r="SMU6" s="44">
        <f>Database!SNN14</f>
        <v>0</v>
      </c>
      <c r="SMV6" s="44">
        <f>Database!SNO14</f>
        <v>0</v>
      </c>
      <c r="SMW6" s="44">
        <f>Database!SNP14</f>
        <v>0</v>
      </c>
      <c r="SMX6" s="44">
        <f>Database!SNQ14</f>
        <v>0</v>
      </c>
      <c r="SMY6" s="44">
        <f>Database!SNR14</f>
        <v>0</v>
      </c>
      <c r="SMZ6" s="44">
        <f>Database!SNS14</f>
        <v>0</v>
      </c>
      <c r="SNA6" s="44">
        <f>Database!SNT14</f>
        <v>0</v>
      </c>
      <c r="SNB6" s="44">
        <f>Database!SNU14</f>
        <v>0</v>
      </c>
      <c r="SNC6" s="44">
        <f>Database!SNV14</f>
        <v>0</v>
      </c>
      <c r="SND6" s="44">
        <f>Database!SNW14</f>
        <v>0</v>
      </c>
      <c r="SNE6" s="44">
        <f>Database!SNX14</f>
        <v>0</v>
      </c>
      <c r="SNF6" s="44">
        <f>Database!SNY14</f>
        <v>0</v>
      </c>
      <c r="SNG6" s="44">
        <f>Database!SNZ14</f>
        <v>0</v>
      </c>
      <c r="SNH6" s="44">
        <f>Database!SOA14</f>
        <v>0</v>
      </c>
      <c r="SNI6" s="44">
        <f>Database!SOB14</f>
        <v>0</v>
      </c>
      <c r="SNJ6" s="44">
        <f>Database!SOC14</f>
        <v>0</v>
      </c>
      <c r="SNK6" s="44">
        <f>Database!SOD14</f>
        <v>0</v>
      </c>
      <c r="SNL6" s="44">
        <f>Database!SOE14</f>
        <v>0</v>
      </c>
      <c r="SNM6" s="44">
        <f>Database!SOF14</f>
        <v>0</v>
      </c>
      <c r="SNN6" s="44">
        <f>Database!SOG14</f>
        <v>0</v>
      </c>
      <c r="SNO6" s="44">
        <f>Database!SOH14</f>
        <v>0</v>
      </c>
      <c r="SNP6" s="44">
        <f>Database!SOI14</f>
        <v>0</v>
      </c>
      <c r="SNQ6" s="44">
        <f>Database!SOJ14</f>
        <v>0</v>
      </c>
      <c r="SNR6" s="44">
        <f>Database!SOK14</f>
        <v>0</v>
      </c>
      <c r="SNS6" s="44">
        <f>Database!SOL14</f>
        <v>0</v>
      </c>
      <c r="SNT6" s="44">
        <f>Database!SOM14</f>
        <v>0</v>
      </c>
      <c r="SNU6" s="44">
        <f>Database!SON14</f>
        <v>0</v>
      </c>
      <c r="SNV6" s="44">
        <f>Database!SOO14</f>
        <v>0</v>
      </c>
      <c r="SNW6" s="44">
        <f>Database!SOP14</f>
        <v>0</v>
      </c>
      <c r="SNX6" s="44">
        <f>Database!SOQ14</f>
        <v>0</v>
      </c>
      <c r="SNY6" s="44">
        <f>Database!SOR14</f>
        <v>0</v>
      </c>
      <c r="SNZ6" s="44">
        <f>Database!SOS14</f>
        <v>0</v>
      </c>
      <c r="SOA6" s="44">
        <f>Database!SOT14</f>
        <v>0</v>
      </c>
      <c r="SOB6" s="44">
        <f>Database!SOU14</f>
        <v>0</v>
      </c>
      <c r="SOC6" s="44">
        <f>Database!SOV14</f>
        <v>0</v>
      </c>
      <c r="SOD6" s="44">
        <f>Database!SOW14</f>
        <v>0</v>
      </c>
      <c r="SOE6" s="44">
        <f>Database!SOX14</f>
        <v>0</v>
      </c>
      <c r="SOF6" s="44">
        <f>Database!SOY14</f>
        <v>0</v>
      </c>
      <c r="SOG6" s="44">
        <f>Database!SOZ14</f>
        <v>0</v>
      </c>
      <c r="SOH6" s="44">
        <f>Database!SPA14</f>
        <v>0</v>
      </c>
      <c r="SOI6" s="44">
        <f>Database!SPB14</f>
        <v>0</v>
      </c>
      <c r="SOJ6" s="44">
        <f>Database!SPC14</f>
        <v>0</v>
      </c>
      <c r="SOK6" s="44">
        <f>Database!SPD14</f>
        <v>0</v>
      </c>
      <c r="SOL6" s="44">
        <f>Database!SPE14</f>
        <v>0</v>
      </c>
      <c r="SOM6" s="44">
        <f>Database!SPF14</f>
        <v>0</v>
      </c>
      <c r="SON6" s="44">
        <f>Database!SPG14</f>
        <v>0</v>
      </c>
      <c r="SOO6" s="44">
        <f>Database!SPH14</f>
        <v>0</v>
      </c>
      <c r="SOP6" s="44">
        <f>Database!SPI14</f>
        <v>0</v>
      </c>
      <c r="SOQ6" s="44">
        <f>Database!SPJ14</f>
        <v>0</v>
      </c>
      <c r="SOR6" s="44">
        <f>Database!SPK14</f>
        <v>0</v>
      </c>
      <c r="SOS6" s="44">
        <f>Database!SPL14</f>
        <v>0</v>
      </c>
      <c r="SOT6" s="44">
        <f>Database!SPM14</f>
        <v>0</v>
      </c>
      <c r="SOU6" s="44">
        <f>Database!SPN14</f>
        <v>0</v>
      </c>
      <c r="SOV6" s="44">
        <f>Database!SPO14</f>
        <v>0</v>
      </c>
      <c r="SOW6" s="44">
        <f>Database!SPP14</f>
        <v>0</v>
      </c>
      <c r="SOX6" s="44">
        <f>Database!SPQ14</f>
        <v>0</v>
      </c>
      <c r="SOY6" s="44">
        <f>Database!SPR14</f>
        <v>0</v>
      </c>
      <c r="SOZ6" s="44">
        <f>Database!SPS14</f>
        <v>0</v>
      </c>
      <c r="SPA6" s="44">
        <f>Database!SPT14</f>
        <v>0</v>
      </c>
      <c r="SPB6" s="44">
        <f>Database!SPU14</f>
        <v>0</v>
      </c>
      <c r="SPC6" s="44">
        <f>Database!SPV14</f>
        <v>0</v>
      </c>
      <c r="SPD6" s="44">
        <f>Database!SPW14</f>
        <v>0</v>
      </c>
      <c r="SPE6" s="44">
        <f>Database!SPX14</f>
        <v>0</v>
      </c>
      <c r="SPF6" s="44">
        <f>Database!SPY14</f>
        <v>0</v>
      </c>
      <c r="SPG6" s="44">
        <f>Database!SPZ14</f>
        <v>0</v>
      </c>
      <c r="SPH6" s="44">
        <f>Database!SQA14</f>
        <v>0</v>
      </c>
      <c r="SPI6" s="44">
        <f>Database!SQB14</f>
        <v>0</v>
      </c>
      <c r="SPJ6" s="44">
        <f>Database!SQC14</f>
        <v>0</v>
      </c>
      <c r="SPK6" s="44">
        <f>Database!SQD14</f>
        <v>0</v>
      </c>
      <c r="SPL6" s="44">
        <f>Database!SQE14</f>
        <v>0</v>
      </c>
      <c r="SPM6" s="44">
        <f>Database!SQF14</f>
        <v>0</v>
      </c>
      <c r="SPN6" s="44">
        <f>Database!SQG14</f>
        <v>0</v>
      </c>
      <c r="SPO6" s="44">
        <f>Database!SQH14</f>
        <v>0</v>
      </c>
      <c r="SPP6" s="44">
        <f>Database!SQI14</f>
        <v>0</v>
      </c>
      <c r="SPQ6" s="44">
        <f>Database!SQJ14</f>
        <v>0</v>
      </c>
      <c r="SPR6" s="44">
        <f>Database!SQK14</f>
        <v>0</v>
      </c>
      <c r="SPS6" s="44">
        <f>Database!SQL14</f>
        <v>0</v>
      </c>
      <c r="SPT6" s="44">
        <f>Database!SQM14</f>
        <v>0</v>
      </c>
      <c r="SPU6" s="44">
        <f>Database!SQN14</f>
        <v>0</v>
      </c>
      <c r="SPV6" s="44">
        <f>Database!SQO14</f>
        <v>0</v>
      </c>
      <c r="SPW6" s="44">
        <f>Database!SQP14</f>
        <v>0</v>
      </c>
      <c r="SPX6" s="44">
        <f>Database!SQQ14</f>
        <v>0</v>
      </c>
      <c r="SPY6" s="44">
        <f>Database!SQR14</f>
        <v>0</v>
      </c>
      <c r="SPZ6" s="44">
        <f>Database!SQS14</f>
        <v>0</v>
      </c>
      <c r="SQA6" s="44">
        <f>Database!SQT14</f>
        <v>0</v>
      </c>
      <c r="SQB6" s="44">
        <f>Database!SQU14</f>
        <v>0</v>
      </c>
      <c r="SQC6" s="44">
        <f>Database!SQV14</f>
        <v>0</v>
      </c>
      <c r="SQD6" s="44">
        <f>Database!SQW14</f>
        <v>0</v>
      </c>
      <c r="SQE6" s="44">
        <f>Database!SQX14</f>
        <v>0</v>
      </c>
      <c r="SQF6" s="44">
        <f>Database!SQY14</f>
        <v>0</v>
      </c>
      <c r="SQG6" s="44">
        <f>Database!SQZ14</f>
        <v>0</v>
      </c>
      <c r="SQH6" s="44">
        <f>Database!SRA14</f>
        <v>0</v>
      </c>
      <c r="SQI6" s="44">
        <f>Database!SRB14</f>
        <v>0</v>
      </c>
      <c r="SQJ6" s="44">
        <f>Database!SRC14</f>
        <v>0</v>
      </c>
      <c r="SQK6" s="44">
        <f>Database!SRD14</f>
        <v>0</v>
      </c>
      <c r="SQL6" s="44">
        <f>Database!SRE14</f>
        <v>0</v>
      </c>
      <c r="SQM6" s="44">
        <f>Database!SRF14</f>
        <v>0</v>
      </c>
      <c r="SQN6" s="44">
        <f>Database!SRG14</f>
        <v>0</v>
      </c>
      <c r="SQO6" s="44">
        <f>Database!SRH14</f>
        <v>0</v>
      </c>
      <c r="SQP6" s="44">
        <f>Database!SRI14</f>
        <v>0</v>
      </c>
      <c r="SQQ6" s="44">
        <f>Database!SRJ14</f>
        <v>0</v>
      </c>
      <c r="SQR6" s="44">
        <f>Database!SRK14</f>
        <v>0</v>
      </c>
      <c r="SQS6" s="44">
        <f>Database!SRL14</f>
        <v>0</v>
      </c>
      <c r="SQT6" s="44">
        <f>Database!SRM14</f>
        <v>0</v>
      </c>
      <c r="SQU6" s="44">
        <f>Database!SRN14</f>
        <v>0</v>
      </c>
      <c r="SQV6" s="44">
        <f>Database!SRO14</f>
        <v>0</v>
      </c>
      <c r="SQW6" s="44">
        <f>Database!SRP14</f>
        <v>0</v>
      </c>
      <c r="SQX6" s="44">
        <f>Database!SRQ14</f>
        <v>0</v>
      </c>
      <c r="SQY6" s="44">
        <f>Database!SRR14</f>
        <v>0</v>
      </c>
      <c r="SQZ6" s="44">
        <f>Database!SRS14</f>
        <v>0</v>
      </c>
      <c r="SRA6" s="44">
        <f>Database!SRT14</f>
        <v>0</v>
      </c>
      <c r="SRB6" s="44">
        <f>Database!SRU14</f>
        <v>0</v>
      </c>
      <c r="SRC6" s="44">
        <f>Database!SRV14</f>
        <v>0</v>
      </c>
      <c r="SRD6" s="44">
        <f>Database!SRW14</f>
        <v>0</v>
      </c>
      <c r="SRE6" s="44">
        <f>Database!SRX14</f>
        <v>0</v>
      </c>
      <c r="SRF6" s="44">
        <f>Database!SRY14</f>
        <v>0</v>
      </c>
      <c r="SRG6" s="44">
        <f>Database!SRZ14</f>
        <v>0</v>
      </c>
      <c r="SRH6" s="44">
        <f>Database!SSA14</f>
        <v>0</v>
      </c>
      <c r="SRI6" s="44">
        <f>Database!SSB14</f>
        <v>0</v>
      </c>
      <c r="SRJ6" s="44">
        <f>Database!SSC14</f>
        <v>0</v>
      </c>
      <c r="SRK6" s="44">
        <f>Database!SSD14</f>
        <v>0</v>
      </c>
      <c r="SRL6" s="44">
        <f>Database!SSE14</f>
        <v>0</v>
      </c>
      <c r="SRM6" s="44">
        <f>Database!SSF14</f>
        <v>0</v>
      </c>
      <c r="SRN6" s="44">
        <f>Database!SSG14</f>
        <v>0</v>
      </c>
      <c r="SRO6" s="44">
        <f>Database!SSH14</f>
        <v>0</v>
      </c>
      <c r="SRP6" s="44">
        <f>Database!SSI14</f>
        <v>0</v>
      </c>
      <c r="SRQ6" s="44">
        <f>Database!SSJ14</f>
        <v>0</v>
      </c>
      <c r="SRR6" s="44">
        <f>Database!SSK14</f>
        <v>0</v>
      </c>
      <c r="SRS6" s="44">
        <f>Database!SSL14</f>
        <v>0</v>
      </c>
      <c r="SRT6" s="44">
        <f>Database!SSM14</f>
        <v>0</v>
      </c>
      <c r="SRU6" s="44">
        <f>Database!SSN14</f>
        <v>0</v>
      </c>
      <c r="SRV6" s="44">
        <f>Database!SSO14</f>
        <v>0</v>
      </c>
      <c r="SRW6" s="44">
        <f>Database!SSP14</f>
        <v>0</v>
      </c>
      <c r="SRX6" s="44">
        <f>Database!SSQ14</f>
        <v>0</v>
      </c>
      <c r="SRY6" s="44">
        <f>Database!SSR14</f>
        <v>0</v>
      </c>
      <c r="SRZ6" s="44">
        <f>Database!SSS14</f>
        <v>0</v>
      </c>
      <c r="SSA6" s="44">
        <f>Database!SST14</f>
        <v>0</v>
      </c>
      <c r="SSB6" s="44">
        <f>Database!SSU14</f>
        <v>0</v>
      </c>
      <c r="SSC6" s="44">
        <f>Database!SSV14</f>
        <v>0</v>
      </c>
      <c r="SSD6" s="44">
        <f>Database!SSW14</f>
        <v>0</v>
      </c>
      <c r="SSE6" s="44">
        <f>Database!SSX14</f>
        <v>0</v>
      </c>
      <c r="SSF6" s="44">
        <f>Database!SSY14</f>
        <v>0</v>
      </c>
      <c r="SSG6" s="44">
        <f>Database!SSZ14</f>
        <v>0</v>
      </c>
      <c r="SSH6" s="44">
        <f>Database!STA14</f>
        <v>0</v>
      </c>
      <c r="SSI6" s="44">
        <f>Database!STB14</f>
        <v>0</v>
      </c>
      <c r="SSJ6" s="44">
        <f>Database!STC14</f>
        <v>0</v>
      </c>
      <c r="SSK6" s="44">
        <f>Database!STD14</f>
        <v>0</v>
      </c>
      <c r="SSL6" s="44">
        <f>Database!STE14</f>
        <v>0</v>
      </c>
      <c r="SSM6" s="44">
        <f>Database!STF14</f>
        <v>0</v>
      </c>
      <c r="SSN6" s="44">
        <f>Database!STG14</f>
        <v>0</v>
      </c>
      <c r="SSO6" s="44">
        <f>Database!STH14</f>
        <v>0</v>
      </c>
      <c r="SSP6" s="44">
        <f>Database!STI14</f>
        <v>0</v>
      </c>
      <c r="SSQ6" s="44">
        <f>Database!STJ14</f>
        <v>0</v>
      </c>
      <c r="SSR6" s="44">
        <f>Database!STK14</f>
        <v>0</v>
      </c>
      <c r="SSS6" s="44">
        <f>Database!STL14</f>
        <v>0</v>
      </c>
      <c r="SST6" s="44">
        <f>Database!STM14</f>
        <v>0</v>
      </c>
      <c r="SSU6" s="44">
        <f>Database!STN14</f>
        <v>0</v>
      </c>
      <c r="SSV6" s="44">
        <f>Database!STO14</f>
        <v>0</v>
      </c>
      <c r="SSW6" s="44">
        <f>Database!STP14</f>
        <v>0</v>
      </c>
      <c r="SSX6" s="44">
        <f>Database!STQ14</f>
        <v>0</v>
      </c>
      <c r="SSY6" s="44">
        <f>Database!STR14</f>
        <v>0</v>
      </c>
      <c r="SSZ6" s="44">
        <f>Database!STS14</f>
        <v>0</v>
      </c>
      <c r="STA6" s="44">
        <f>Database!STT14</f>
        <v>0</v>
      </c>
      <c r="STB6" s="44">
        <f>Database!STU14</f>
        <v>0</v>
      </c>
      <c r="STC6" s="44">
        <f>Database!STV14</f>
        <v>0</v>
      </c>
      <c r="STD6" s="44">
        <f>Database!STW14</f>
        <v>0</v>
      </c>
      <c r="STE6" s="44">
        <f>Database!STX14</f>
        <v>0</v>
      </c>
      <c r="STF6" s="44">
        <f>Database!STY14</f>
        <v>0</v>
      </c>
      <c r="STG6" s="44">
        <f>Database!STZ14</f>
        <v>0</v>
      </c>
      <c r="STH6" s="44">
        <f>Database!SUA14</f>
        <v>0</v>
      </c>
      <c r="STI6" s="44">
        <f>Database!SUB14</f>
        <v>0</v>
      </c>
      <c r="STJ6" s="44">
        <f>Database!SUC14</f>
        <v>0</v>
      </c>
      <c r="STK6" s="44">
        <f>Database!SUD14</f>
        <v>0</v>
      </c>
      <c r="STL6" s="44">
        <f>Database!SUE14</f>
        <v>0</v>
      </c>
      <c r="STM6" s="44">
        <f>Database!SUF14</f>
        <v>0</v>
      </c>
      <c r="STN6" s="44">
        <f>Database!SUG14</f>
        <v>0</v>
      </c>
      <c r="STO6" s="44">
        <f>Database!SUH14</f>
        <v>0</v>
      </c>
      <c r="STP6" s="44">
        <f>Database!SUI14</f>
        <v>0</v>
      </c>
      <c r="STQ6" s="44">
        <f>Database!SUJ14</f>
        <v>0</v>
      </c>
      <c r="STR6" s="44">
        <f>Database!SUK14</f>
        <v>0</v>
      </c>
      <c r="STS6" s="44">
        <f>Database!SUL14</f>
        <v>0</v>
      </c>
      <c r="STT6" s="44">
        <f>Database!SUM14</f>
        <v>0</v>
      </c>
      <c r="STU6" s="44">
        <f>Database!SUN14</f>
        <v>0</v>
      </c>
      <c r="STV6" s="44">
        <f>Database!SUO14</f>
        <v>0</v>
      </c>
      <c r="STW6" s="44">
        <f>Database!SUP14</f>
        <v>0</v>
      </c>
      <c r="STX6" s="44">
        <f>Database!SUQ14</f>
        <v>0</v>
      </c>
      <c r="STY6" s="44">
        <f>Database!SUR14</f>
        <v>0</v>
      </c>
      <c r="STZ6" s="44">
        <f>Database!SUS14</f>
        <v>0</v>
      </c>
      <c r="SUA6" s="44">
        <f>Database!SUT14</f>
        <v>0</v>
      </c>
      <c r="SUB6" s="44">
        <f>Database!SUU14</f>
        <v>0</v>
      </c>
      <c r="SUC6" s="44">
        <f>Database!SUV14</f>
        <v>0</v>
      </c>
      <c r="SUD6" s="44">
        <f>Database!SUW14</f>
        <v>0</v>
      </c>
      <c r="SUE6" s="44">
        <f>Database!SUX14</f>
        <v>0</v>
      </c>
      <c r="SUF6" s="44">
        <f>Database!SUY14</f>
        <v>0</v>
      </c>
      <c r="SUG6" s="44">
        <f>Database!SUZ14</f>
        <v>0</v>
      </c>
      <c r="SUH6" s="44">
        <f>Database!SVA14</f>
        <v>0</v>
      </c>
      <c r="SUI6" s="44">
        <f>Database!SVB14</f>
        <v>0</v>
      </c>
      <c r="SUJ6" s="44">
        <f>Database!SVC14</f>
        <v>0</v>
      </c>
      <c r="SUK6" s="44">
        <f>Database!SVD14</f>
        <v>0</v>
      </c>
      <c r="SUL6" s="44">
        <f>Database!SVE14</f>
        <v>0</v>
      </c>
      <c r="SUM6" s="44">
        <f>Database!SVF14</f>
        <v>0</v>
      </c>
      <c r="SUN6" s="44">
        <f>Database!SVG14</f>
        <v>0</v>
      </c>
      <c r="SUO6" s="44">
        <f>Database!SVH14</f>
        <v>0</v>
      </c>
      <c r="SUP6" s="44">
        <f>Database!SVI14</f>
        <v>0</v>
      </c>
      <c r="SUQ6" s="44">
        <f>Database!SVJ14</f>
        <v>0</v>
      </c>
      <c r="SUR6" s="44">
        <f>Database!SVK14</f>
        <v>0</v>
      </c>
      <c r="SUS6" s="44">
        <f>Database!SVL14</f>
        <v>0</v>
      </c>
      <c r="SUT6" s="44">
        <f>Database!SVM14</f>
        <v>0</v>
      </c>
      <c r="SUU6" s="44">
        <f>Database!SVN14</f>
        <v>0</v>
      </c>
      <c r="SUV6" s="44">
        <f>Database!SVO14</f>
        <v>0</v>
      </c>
      <c r="SUW6" s="44">
        <f>Database!SVP14</f>
        <v>0</v>
      </c>
      <c r="SUX6" s="44">
        <f>Database!SVQ14</f>
        <v>0</v>
      </c>
      <c r="SUY6" s="44">
        <f>Database!SVR14</f>
        <v>0</v>
      </c>
      <c r="SUZ6" s="44">
        <f>Database!SVS14</f>
        <v>0</v>
      </c>
      <c r="SVA6" s="44">
        <f>Database!SVT14</f>
        <v>0</v>
      </c>
      <c r="SVB6" s="44">
        <f>Database!SVU14</f>
        <v>0</v>
      </c>
      <c r="SVC6" s="44">
        <f>Database!SVV14</f>
        <v>0</v>
      </c>
      <c r="SVD6" s="44">
        <f>Database!SVW14</f>
        <v>0</v>
      </c>
      <c r="SVE6" s="44">
        <f>Database!SVX14</f>
        <v>0</v>
      </c>
      <c r="SVF6" s="44">
        <f>Database!SVY14</f>
        <v>0</v>
      </c>
      <c r="SVG6" s="44">
        <f>Database!SVZ14</f>
        <v>0</v>
      </c>
      <c r="SVH6" s="44">
        <f>Database!SWA14</f>
        <v>0</v>
      </c>
      <c r="SVI6" s="44">
        <f>Database!SWB14</f>
        <v>0</v>
      </c>
      <c r="SVJ6" s="44">
        <f>Database!SWC14</f>
        <v>0</v>
      </c>
      <c r="SVK6" s="44">
        <f>Database!SWD14</f>
        <v>0</v>
      </c>
      <c r="SVL6" s="44">
        <f>Database!SWE14</f>
        <v>0</v>
      </c>
      <c r="SVM6" s="44">
        <f>Database!SWF14</f>
        <v>0</v>
      </c>
      <c r="SVN6" s="44">
        <f>Database!SWG14</f>
        <v>0</v>
      </c>
      <c r="SVO6" s="44">
        <f>Database!SWH14</f>
        <v>0</v>
      </c>
      <c r="SVP6" s="44">
        <f>Database!SWI14</f>
        <v>0</v>
      </c>
      <c r="SVQ6" s="44">
        <f>Database!SWJ14</f>
        <v>0</v>
      </c>
      <c r="SVR6" s="44">
        <f>Database!SWK14</f>
        <v>0</v>
      </c>
      <c r="SVS6" s="44">
        <f>Database!SWL14</f>
        <v>0</v>
      </c>
      <c r="SVT6" s="44">
        <f>Database!SWM14</f>
        <v>0</v>
      </c>
      <c r="SVU6" s="44">
        <f>Database!SWN14</f>
        <v>0</v>
      </c>
      <c r="SVV6" s="44">
        <f>Database!SWO14</f>
        <v>0</v>
      </c>
      <c r="SVW6" s="44">
        <f>Database!SWP14</f>
        <v>0</v>
      </c>
      <c r="SVX6" s="44">
        <f>Database!SWQ14</f>
        <v>0</v>
      </c>
      <c r="SVY6" s="44">
        <f>Database!SWR14</f>
        <v>0</v>
      </c>
      <c r="SVZ6" s="44">
        <f>Database!SWS14</f>
        <v>0</v>
      </c>
      <c r="SWA6" s="44">
        <f>Database!SWT14</f>
        <v>0</v>
      </c>
      <c r="SWB6" s="44">
        <f>Database!SWU14</f>
        <v>0</v>
      </c>
      <c r="SWC6" s="44">
        <f>Database!SWV14</f>
        <v>0</v>
      </c>
      <c r="SWD6" s="44">
        <f>Database!SWW14</f>
        <v>0</v>
      </c>
      <c r="SWE6" s="44">
        <f>Database!SWX14</f>
        <v>0</v>
      </c>
      <c r="SWF6" s="44">
        <f>Database!SWY14</f>
        <v>0</v>
      </c>
      <c r="SWG6" s="44">
        <f>Database!SWZ14</f>
        <v>0</v>
      </c>
      <c r="SWH6" s="44">
        <f>Database!SXA14</f>
        <v>0</v>
      </c>
      <c r="SWI6" s="44">
        <f>Database!SXB14</f>
        <v>0</v>
      </c>
      <c r="SWJ6" s="44">
        <f>Database!SXC14</f>
        <v>0</v>
      </c>
      <c r="SWK6" s="44">
        <f>Database!SXD14</f>
        <v>0</v>
      </c>
      <c r="SWL6" s="44">
        <f>Database!SXE14</f>
        <v>0</v>
      </c>
      <c r="SWM6" s="44">
        <f>Database!SXF14</f>
        <v>0</v>
      </c>
      <c r="SWN6" s="44">
        <f>Database!SXG14</f>
        <v>0</v>
      </c>
      <c r="SWO6" s="44">
        <f>Database!SXH14</f>
        <v>0</v>
      </c>
      <c r="SWP6" s="44">
        <f>Database!SXI14</f>
        <v>0</v>
      </c>
      <c r="SWQ6" s="44">
        <f>Database!SXJ14</f>
        <v>0</v>
      </c>
      <c r="SWR6" s="44">
        <f>Database!SXK14</f>
        <v>0</v>
      </c>
      <c r="SWS6" s="44">
        <f>Database!SXL14</f>
        <v>0</v>
      </c>
      <c r="SWT6" s="44">
        <f>Database!SXM14</f>
        <v>0</v>
      </c>
      <c r="SWU6" s="44">
        <f>Database!SXN14</f>
        <v>0</v>
      </c>
      <c r="SWV6" s="44">
        <f>Database!SXO14</f>
        <v>0</v>
      </c>
      <c r="SWW6" s="44">
        <f>Database!SXP14</f>
        <v>0</v>
      </c>
      <c r="SWX6" s="44">
        <f>Database!SXQ14</f>
        <v>0</v>
      </c>
      <c r="SWY6" s="44">
        <f>Database!SXR14</f>
        <v>0</v>
      </c>
      <c r="SWZ6" s="44">
        <f>Database!SXS14</f>
        <v>0</v>
      </c>
      <c r="SXA6" s="44">
        <f>Database!SXT14</f>
        <v>0</v>
      </c>
      <c r="SXB6" s="44">
        <f>Database!SXU14</f>
        <v>0</v>
      </c>
      <c r="SXC6" s="44">
        <f>Database!SXV14</f>
        <v>0</v>
      </c>
      <c r="SXD6" s="44">
        <f>Database!SXW14</f>
        <v>0</v>
      </c>
      <c r="SXE6" s="44">
        <f>Database!SXX14</f>
        <v>0</v>
      </c>
      <c r="SXF6" s="44">
        <f>Database!SXY14</f>
        <v>0</v>
      </c>
      <c r="SXG6" s="44">
        <f>Database!SXZ14</f>
        <v>0</v>
      </c>
      <c r="SXH6" s="44">
        <f>Database!SYA14</f>
        <v>0</v>
      </c>
      <c r="SXI6" s="44">
        <f>Database!SYB14</f>
        <v>0</v>
      </c>
      <c r="SXJ6" s="44">
        <f>Database!SYC14</f>
        <v>0</v>
      </c>
      <c r="SXK6" s="44">
        <f>Database!SYD14</f>
        <v>0</v>
      </c>
      <c r="SXL6" s="44">
        <f>Database!SYE14</f>
        <v>0</v>
      </c>
      <c r="SXM6" s="44">
        <f>Database!SYF14</f>
        <v>0</v>
      </c>
      <c r="SXN6" s="44">
        <f>Database!SYG14</f>
        <v>0</v>
      </c>
      <c r="SXO6" s="44">
        <f>Database!SYH14</f>
        <v>0</v>
      </c>
      <c r="SXP6" s="44">
        <f>Database!SYI14</f>
        <v>0</v>
      </c>
      <c r="SXQ6" s="44">
        <f>Database!SYJ14</f>
        <v>0</v>
      </c>
      <c r="SXR6" s="44">
        <f>Database!SYK14</f>
        <v>0</v>
      </c>
      <c r="SXS6" s="44">
        <f>Database!SYL14</f>
        <v>0</v>
      </c>
      <c r="SXT6" s="44">
        <f>Database!SYM14</f>
        <v>0</v>
      </c>
      <c r="SXU6" s="44">
        <f>Database!SYN14</f>
        <v>0</v>
      </c>
      <c r="SXV6" s="44">
        <f>Database!SYO14</f>
        <v>0</v>
      </c>
      <c r="SXW6" s="44">
        <f>Database!SYP14</f>
        <v>0</v>
      </c>
      <c r="SXX6" s="44">
        <f>Database!SYQ14</f>
        <v>0</v>
      </c>
      <c r="SXY6" s="44">
        <f>Database!SYR14</f>
        <v>0</v>
      </c>
      <c r="SXZ6" s="44">
        <f>Database!SYS14</f>
        <v>0</v>
      </c>
      <c r="SYA6" s="44">
        <f>Database!SYT14</f>
        <v>0</v>
      </c>
      <c r="SYB6" s="44">
        <f>Database!SYU14</f>
        <v>0</v>
      </c>
      <c r="SYC6" s="44">
        <f>Database!SYV14</f>
        <v>0</v>
      </c>
      <c r="SYD6" s="44">
        <f>Database!SYW14</f>
        <v>0</v>
      </c>
      <c r="SYE6" s="44">
        <f>Database!SYX14</f>
        <v>0</v>
      </c>
      <c r="SYF6" s="44">
        <f>Database!SYY14</f>
        <v>0</v>
      </c>
      <c r="SYG6" s="44">
        <f>Database!SYZ14</f>
        <v>0</v>
      </c>
      <c r="SYH6" s="44">
        <f>Database!SZA14</f>
        <v>0</v>
      </c>
      <c r="SYI6" s="44">
        <f>Database!SZB14</f>
        <v>0</v>
      </c>
      <c r="SYJ6" s="44">
        <f>Database!SZC14</f>
        <v>0</v>
      </c>
      <c r="SYK6" s="44">
        <f>Database!SZD14</f>
        <v>0</v>
      </c>
      <c r="SYL6" s="44">
        <f>Database!SZE14</f>
        <v>0</v>
      </c>
      <c r="SYM6" s="44">
        <f>Database!SZF14</f>
        <v>0</v>
      </c>
      <c r="SYN6" s="44">
        <f>Database!SZG14</f>
        <v>0</v>
      </c>
      <c r="SYO6" s="44">
        <f>Database!SZH14</f>
        <v>0</v>
      </c>
      <c r="SYP6" s="44">
        <f>Database!SZI14</f>
        <v>0</v>
      </c>
      <c r="SYQ6" s="44">
        <f>Database!SZJ14</f>
        <v>0</v>
      </c>
      <c r="SYR6" s="44">
        <f>Database!SZK14</f>
        <v>0</v>
      </c>
      <c r="SYS6" s="44">
        <f>Database!SZL14</f>
        <v>0</v>
      </c>
      <c r="SYT6" s="44">
        <f>Database!SZM14</f>
        <v>0</v>
      </c>
      <c r="SYU6" s="44">
        <f>Database!SZN14</f>
        <v>0</v>
      </c>
      <c r="SYV6" s="44">
        <f>Database!SZO14</f>
        <v>0</v>
      </c>
      <c r="SYW6" s="44">
        <f>Database!SZP14</f>
        <v>0</v>
      </c>
      <c r="SYX6" s="44">
        <f>Database!SZQ14</f>
        <v>0</v>
      </c>
      <c r="SYY6" s="44">
        <f>Database!SZR14</f>
        <v>0</v>
      </c>
      <c r="SYZ6" s="44">
        <f>Database!SZS14</f>
        <v>0</v>
      </c>
      <c r="SZA6" s="44">
        <f>Database!SZT14</f>
        <v>0</v>
      </c>
      <c r="SZB6" s="44">
        <f>Database!SZU14</f>
        <v>0</v>
      </c>
      <c r="SZC6" s="44">
        <f>Database!SZV14</f>
        <v>0</v>
      </c>
      <c r="SZD6" s="44">
        <f>Database!SZW14</f>
        <v>0</v>
      </c>
      <c r="SZE6" s="44">
        <f>Database!SZX14</f>
        <v>0</v>
      </c>
      <c r="SZF6" s="44">
        <f>Database!SZY14</f>
        <v>0</v>
      </c>
      <c r="SZG6" s="44">
        <f>Database!SZZ14</f>
        <v>0</v>
      </c>
      <c r="SZH6" s="44">
        <f>Database!TAA14</f>
        <v>0</v>
      </c>
      <c r="SZI6" s="44">
        <f>Database!TAB14</f>
        <v>0</v>
      </c>
      <c r="SZJ6" s="44">
        <f>Database!TAC14</f>
        <v>0</v>
      </c>
      <c r="SZK6" s="44">
        <f>Database!TAD14</f>
        <v>0</v>
      </c>
      <c r="SZL6" s="44">
        <f>Database!TAE14</f>
        <v>0</v>
      </c>
      <c r="SZM6" s="44">
        <f>Database!TAF14</f>
        <v>0</v>
      </c>
      <c r="SZN6" s="44">
        <f>Database!TAG14</f>
        <v>0</v>
      </c>
      <c r="SZO6" s="44">
        <f>Database!TAH14</f>
        <v>0</v>
      </c>
      <c r="SZP6" s="44">
        <f>Database!TAI14</f>
        <v>0</v>
      </c>
      <c r="SZQ6" s="44">
        <f>Database!TAJ14</f>
        <v>0</v>
      </c>
      <c r="SZR6" s="44">
        <f>Database!TAK14</f>
        <v>0</v>
      </c>
      <c r="SZS6" s="44">
        <f>Database!TAL14</f>
        <v>0</v>
      </c>
      <c r="SZT6" s="44">
        <f>Database!TAM14</f>
        <v>0</v>
      </c>
      <c r="SZU6" s="44">
        <f>Database!TAN14</f>
        <v>0</v>
      </c>
      <c r="SZV6" s="44">
        <f>Database!TAO14</f>
        <v>0</v>
      </c>
      <c r="SZW6" s="44">
        <f>Database!TAP14</f>
        <v>0</v>
      </c>
      <c r="SZX6" s="44">
        <f>Database!TAQ14</f>
        <v>0</v>
      </c>
      <c r="SZY6" s="44">
        <f>Database!TAR14</f>
        <v>0</v>
      </c>
      <c r="SZZ6" s="44">
        <f>Database!TAS14</f>
        <v>0</v>
      </c>
      <c r="TAA6" s="44">
        <f>Database!TAT14</f>
        <v>0</v>
      </c>
      <c r="TAB6" s="44">
        <f>Database!TAU14</f>
        <v>0</v>
      </c>
      <c r="TAC6" s="44">
        <f>Database!TAV14</f>
        <v>0</v>
      </c>
      <c r="TAD6" s="44">
        <f>Database!TAW14</f>
        <v>0</v>
      </c>
      <c r="TAE6" s="44">
        <f>Database!TAX14</f>
        <v>0</v>
      </c>
      <c r="TAF6" s="44">
        <f>Database!TAY14</f>
        <v>0</v>
      </c>
      <c r="TAG6" s="44">
        <f>Database!TAZ14</f>
        <v>0</v>
      </c>
      <c r="TAH6" s="44">
        <f>Database!TBA14</f>
        <v>0</v>
      </c>
      <c r="TAI6" s="44">
        <f>Database!TBB14</f>
        <v>0</v>
      </c>
      <c r="TAJ6" s="44">
        <f>Database!TBC14</f>
        <v>0</v>
      </c>
      <c r="TAK6" s="44">
        <f>Database!TBD14</f>
        <v>0</v>
      </c>
      <c r="TAL6" s="44">
        <f>Database!TBE14</f>
        <v>0</v>
      </c>
      <c r="TAM6" s="44">
        <f>Database!TBF14</f>
        <v>0</v>
      </c>
      <c r="TAN6" s="44">
        <f>Database!TBG14</f>
        <v>0</v>
      </c>
      <c r="TAO6" s="44">
        <f>Database!TBH14</f>
        <v>0</v>
      </c>
      <c r="TAP6" s="44">
        <f>Database!TBI14</f>
        <v>0</v>
      </c>
      <c r="TAQ6" s="44">
        <f>Database!TBJ14</f>
        <v>0</v>
      </c>
      <c r="TAR6" s="44">
        <f>Database!TBK14</f>
        <v>0</v>
      </c>
      <c r="TAS6" s="44">
        <f>Database!TBL14</f>
        <v>0</v>
      </c>
      <c r="TAT6" s="44">
        <f>Database!TBM14</f>
        <v>0</v>
      </c>
      <c r="TAU6" s="44">
        <f>Database!TBN14</f>
        <v>0</v>
      </c>
      <c r="TAV6" s="44">
        <f>Database!TBO14</f>
        <v>0</v>
      </c>
      <c r="TAW6" s="44">
        <f>Database!TBP14</f>
        <v>0</v>
      </c>
      <c r="TAX6" s="44">
        <f>Database!TBQ14</f>
        <v>0</v>
      </c>
      <c r="TAY6" s="44">
        <f>Database!TBR14</f>
        <v>0</v>
      </c>
      <c r="TAZ6" s="44">
        <f>Database!TBS14</f>
        <v>0</v>
      </c>
      <c r="TBA6" s="44">
        <f>Database!TBT14</f>
        <v>0</v>
      </c>
      <c r="TBB6" s="44">
        <f>Database!TBU14</f>
        <v>0</v>
      </c>
      <c r="TBC6" s="44">
        <f>Database!TBV14</f>
        <v>0</v>
      </c>
      <c r="TBD6" s="44">
        <f>Database!TBW14</f>
        <v>0</v>
      </c>
      <c r="TBE6" s="44">
        <f>Database!TBX14</f>
        <v>0</v>
      </c>
      <c r="TBF6" s="44">
        <f>Database!TBY14</f>
        <v>0</v>
      </c>
      <c r="TBG6" s="44">
        <f>Database!TBZ14</f>
        <v>0</v>
      </c>
      <c r="TBH6" s="44">
        <f>Database!TCA14</f>
        <v>0</v>
      </c>
      <c r="TBI6" s="44">
        <f>Database!TCB14</f>
        <v>0</v>
      </c>
      <c r="TBJ6" s="44">
        <f>Database!TCC14</f>
        <v>0</v>
      </c>
      <c r="TBK6" s="44">
        <f>Database!TCD14</f>
        <v>0</v>
      </c>
      <c r="TBL6" s="44">
        <f>Database!TCE14</f>
        <v>0</v>
      </c>
      <c r="TBM6" s="44">
        <f>Database!TCF14</f>
        <v>0</v>
      </c>
      <c r="TBN6" s="44">
        <f>Database!TCG14</f>
        <v>0</v>
      </c>
      <c r="TBO6" s="44">
        <f>Database!TCH14</f>
        <v>0</v>
      </c>
      <c r="TBP6" s="44">
        <f>Database!TCI14</f>
        <v>0</v>
      </c>
      <c r="TBQ6" s="44">
        <f>Database!TCJ14</f>
        <v>0</v>
      </c>
      <c r="TBR6" s="44">
        <f>Database!TCK14</f>
        <v>0</v>
      </c>
      <c r="TBS6" s="44">
        <f>Database!TCL14</f>
        <v>0</v>
      </c>
      <c r="TBT6" s="44">
        <f>Database!TCM14</f>
        <v>0</v>
      </c>
      <c r="TBU6" s="44">
        <f>Database!TCN14</f>
        <v>0</v>
      </c>
      <c r="TBV6" s="44">
        <f>Database!TCO14</f>
        <v>0</v>
      </c>
      <c r="TBW6" s="44">
        <f>Database!TCP14</f>
        <v>0</v>
      </c>
      <c r="TBX6" s="44">
        <f>Database!TCQ14</f>
        <v>0</v>
      </c>
      <c r="TBY6" s="44">
        <f>Database!TCR14</f>
        <v>0</v>
      </c>
      <c r="TBZ6" s="44">
        <f>Database!TCS14</f>
        <v>0</v>
      </c>
      <c r="TCA6" s="44">
        <f>Database!TCT14</f>
        <v>0</v>
      </c>
      <c r="TCB6" s="44">
        <f>Database!TCU14</f>
        <v>0</v>
      </c>
      <c r="TCC6" s="44">
        <f>Database!TCV14</f>
        <v>0</v>
      </c>
      <c r="TCD6" s="44">
        <f>Database!TCW14</f>
        <v>0</v>
      </c>
      <c r="TCE6" s="44">
        <f>Database!TCX14</f>
        <v>0</v>
      </c>
      <c r="TCF6" s="44">
        <f>Database!TCY14</f>
        <v>0</v>
      </c>
      <c r="TCG6" s="44">
        <f>Database!TCZ14</f>
        <v>0</v>
      </c>
      <c r="TCH6" s="44">
        <f>Database!TDA14</f>
        <v>0</v>
      </c>
      <c r="TCI6" s="44">
        <f>Database!TDB14</f>
        <v>0</v>
      </c>
      <c r="TCJ6" s="44">
        <f>Database!TDC14</f>
        <v>0</v>
      </c>
      <c r="TCK6" s="44">
        <f>Database!TDD14</f>
        <v>0</v>
      </c>
      <c r="TCL6" s="44">
        <f>Database!TDE14</f>
        <v>0</v>
      </c>
      <c r="TCM6" s="44">
        <f>Database!TDF14</f>
        <v>0</v>
      </c>
      <c r="TCN6" s="44">
        <f>Database!TDG14</f>
        <v>0</v>
      </c>
      <c r="TCO6" s="44">
        <f>Database!TDH14</f>
        <v>0</v>
      </c>
      <c r="TCP6" s="44">
        <f>Database!TDI14</f>
        <v>0</v>
      </c>
      <c r="TCQ6" s="44">
        <f>Database!TDJ14</f>
        <v>0</v>
      </c>
      <c r="TCR6" s="44">
        <f>Database!TDK14</f>
        <v>0</v>
      </c>
      <c r="TCS6" s="44">
        <f>Database!TDL14</f>
        <v>0</v>
      </c>
      <c r="TCT6" s="44">
        <f>Database!TDM14</f>
        <v>0</v>
      </c>
      <c r="TCU6" s="44">
        <f>Database!TDN14</f>
        <v>0</v>
      </c>
      <c r="TCV6" s="44">
        <f>Database!TDO14</f>
        <v>0</v>
      </c>
      <c r="TCW6" s="44">
        <f>Database!TDP14</f>
        <v>0</v>
      </c>
      <c r="TCX6" s="44">
        <f>Database!TDQ14</f>
        <v>0</v>
      </c>
      <c r="TCY6" s="44">
        <f>Database!TDR14</f>
        <v>0</v>
      </c>
      <c r="TCZ6" s="44">
        <f>Database!TDS14</f>
        <v>0</v>
      </c>
      <c r="TDA6" s="44">
        <f>Database!TDT14</f>
        <v>0</v>
      </c>
      <c r="TDB6" s="44">
        <f>Database!TDU14</f>
        <v>0</v>
      </c>
      <c r="TDC6" s="44">
        <f>Database!TDV14</f>
        <v>0</v>
      </c>
      <c r="TDD6" s="44">
        <f>Database!TDW14</f>
        <v>0</v>
      </c>
      <c r="TDE6" s="44">
        <f>Database!TDX14</f>
        <v>0</v>
      </c>
      <c r="TDF6" s="44">
        <f>Database!TDY14</f>
        <v>0</v>
      </c>
      <c r="TDG6" s="44">
        <f>Database!TDZ14</f>
        <v>0</v>
      </c>
      <c r="TDH6" s="44">
        <f>Database!TEA14</f>
        <v>0</v>
      </c>
      <c r="TDI6" s="44">
        <f>Database!TEB14</f>
        <v>0</v>
      </c>
      <c r="TDJ6" s="44">
        <f>Database!TEC14</f>
        <v>0</v>
      </c>
      <c r="TDK6" s="44">
        <f>Database!TED14</f>
        <v>0</v>
      </c>
      <c r="TDL6" s="44">
        <f>Database!TEE14</f>
        <v>0</v>
      </c>
      <c r="TDM6" s="44">
        <f>Database!TEF14</f>
        <v>0</v>
      </c>
      <c r="TDN6" s="44">
        <f>Database!TEG14</f>
        <v>0</v>
      </c>
      <c r="TDO6" s="44">
        <f>Database!TEH14</f>
        <v>0</v>
      </c>
      <c r="TDP6" s="44">
        <f>Database!TEI14</f>
        <v>0</v>
      </c>
      <c r="TDQ6" s="44">
        <f>Database!TEJ14</f>
        <v>0</v>
      </c>
      <c r="TDR6" s="44">
        <f>Database!TEK14</f>
        <v>0</v>
      </c>
      <c r="TDS6" s="44">
        <f>Database!TEL14</f>
        <v>0</v>
      </c>
      <c r="TDT6" s="44">
        <f>Database!TEM14</f>
        <v>0</v>
      </c>
      <c r="TDU6" s="44">
        <f>Database!TEN14</f>
        <v>0</v>
      </c>
      <c r="TDV6" s="44">
        <f>Database!TEO14</f>
        <v>0</v>
      </c>
      <c r="TDW6" s="44">
        <f>Database!TEP14</f>
        <v>0</v>
      </c>
      <c r="TDX6" s="44">
        <f>Database!TEQ14</f>
        <v>0</v>
      </c>
      <c r="TDY6" s="44">
        <f>Database!TER14</f>
        <v>0</v>
      </c>
      <c r="TDZ6" s="44">
        <f>Database!TES14</f>
        <v>0</v>
      </c>
      <c r="TEA6" s="44">
        <f>Database!TET14</f>
        <v>0</v>
      </c>
      <c r="TEB6" s="44">
        <f>Database!TEU14</f>
        <v>0</v>
      </c>
      <c r="TEC6" s="44">
        <f>Database!TEV14</f>
        <v>0</v>
      </c>
      <c r="TED6" s="44">
        <f>Database!TEW14</f>
        <v>0</v>
      </c>
      <c r="TEE6" s="44">
        <f>Database!TEX14</f>
        <v>0</v>
      </c>
      <c r="TEF6" s="44">
        <f>Database!TEY14</f>
        <v>0</v>
      </c>
      <c r="TEG6" s="44">
        <f>Database!TEZ14</f>
        <v>0</v>
      </c>
      <c r="TEH6" s="44">
        <f>Database!TFA14</f>
        <v>0</v>
      </c>
      <c r="TEI6" s="44">
        <f>Database!TFB14</f>
        <v>0</v>
      </c>
      <c r="TEJ6" s="44">
        <f>Database!TFC14</f>
        <v>0</v>
      </c>
      <c r="TEK6" s="44">
        <f>Database!TFD14</f>
        <v>0</v>
      </c>
      <c r="TEL6" s="44">
        <f>Database!TFE14</f>
        <v>0</v>
      </c>
      <c r="TEM6" s="44">
        <f>Database!TFF14</f>
        <v>0</v>
      </c>
      <c r="TEN6" s="44">
        <f>Database!TFG14</f>
        <v>0</v>
      </c>
      <c r="TEO6" s="44">
        <f>Database!TFH14</f>
        <v>0</v>
      </c>
      <c r="TEP6" s="44">
        <f>Database!TFI14</f>
        <v>0</v>
      </c>
      <c r="TEQ6" s="44">
        <f>Database!TFJ14</f>
        <v>0</v>
      </c>
      <c r="TER6" s="44">
        <f>Database!TFK14</f>
        <v>0</v>
      </c>
      <c r="TES6" s="44">
        <f>Database!TFL14</f>
        <v>0</v>
      </c>
      <c r="TET6" s="44">
        <f>Database!TFM14</f>
        <v>0</v>
      </c>
      <c r="TEU6" s="44">
        <f>Database!TFN14</f>
        <v>0</v>
      </c>
      <c r="TEV6" s="44">
        <f>Database!TFO14</f>
        <v>0</v>
      </c>
      <c r="TEW6" s="44">
        <f>Database!TFP14</f>
        <v>0</v>
      </c>
      <c r="TEX6" s="44">
        <f>Database!TFQ14</f>
        <v>0</v>
      </c>
      <c r="TEY6" s="44">
        <f>Database!TFR14</f>
        <v>0</v>
      </c>
      <c r="TEZ6" s="44">
        <f>Database!TFS14</f>
        <v>0</v>
      </c>
      <c r="TFA6" s="44">
        <f>Database!TFT14</f>
        <v>0</v>
      </c>
      <c r="TFB6" s="44">
        <f>Database!TFU14</f>
        <v>0</v>
      </c>
      <c r="TFC6" s="44">
        <f>Database!TFV14</f>
        <v>0</v>
      </c>
      <c r="TFD6" s="44">
        <f>Database!TFW14</f>
        <v>0</v>
      </c>
      <c r="TFE6" s="44">
        <f>Database!TFX14</f>
        <v>0</v>
      </c>
      <c r="TFF6" s="44">
        <f>Database!TFY14</f>
        <v>0</v>
      </c>
      <c r="TFG6" s="44">
        <f>Database!TFZ14</f>
        <v>0</v>
      </c>
      <c r="TFH6" s="44">
        <f>Database!TGA14</f>
        <v>0</v>
      </c>
      <c r="TFI6" s="44">
        <f>Database!TGB14</f>
        <v>0</v>
      </c>
      <c r="TFJ6" s="44">
        <f>Database!TGC14</f>
        <v>0</v>
      </c>
      <c r="TFK6" s="44">
        <f>Database!TGD14</f>
        <v>0</v>
      </c>
      <c r="TFL6" s="44">
        <f>Database!TGE14</f>
        <v>0</v>
      </c>
      <c r="TFM6" s="44">
        <f>Database!TGF14</f>
        <v>0</v>
      </c>
      <c r="TFN6" s="44">
        <f>Database!TGG14</f>
        <v>0</v>
      </c>
      <c r="TFO6" s="44">
        <f>Database!TGH14</f>
        <v>0</v>
      </c>
      <c r="TFP6" s="44">
        <f>Database!TGI14</f>
        <v>0</v>
      </c>
      <c r="TFQ6" s="44">
        <f>Database!TGJ14</f>
        <v>0</v>
      </c>
      <c r="TFR6" s="44">
        <f>Database!TGK14</f>
        <v>0</v>
      </c>
      <c r="TFS6" s="44">
        <f>Database!TGL14</f>
        <v>0</v>
      </c>
      <c r="TFT6" s="44">
        <f>Database!TGM14</f>
        <v>0</v>
      </c>
      <c r="TFU6" s="44">
        <f>Database!TGN14</f>
        <v>0</v>
      </c>
      <c r="TFV6" s="44">
        <f>Database!TGO14</f>
        <v>0</v>
      </c>
      <c r="TFW6" s="44">
        <f>Database!TGP14</f>
        <v>0</v>
      </c>
      <c r="TFX6" s="44">
        <f>Database!TGQ14</f>
        <v>0</v>
      </c>
      <c r="TFY6" s="44">
        <f>Database!TGR14</f>
        <v>0</v>
      </c>
      <c r="TFZ6" s="44">
        <f>Database!TGS14</f>
        <v>0</v>
      </c>
      <c r="TGA6" s="44">
        <f>Database!TGT14</f>
        <v>0</v>
      </c>
      <c r="TGB6" s="44">
        <f>Database!TGU14</f>
        <v>0</v>
      </c>
      <c r="TGC6" s="44">
        <f>Database!TGV14</f>
        <v>0</v>
      </c>
      <c r="TGD6" s="44">
        <f>Database!TGW14</f>
        <v>0</v>
      </c>
      <c r="TGE6" s="44">
        <f>Database!TGX14</f>
        <v>0</v>
      </c>
      <c r="TGF6" s="44">
        <f>Database!TGY14</f>
        <v>0</v>
      </c>
      <c r="TGG6" s="44">
        <f>Database!TGZ14</f>
        <v>0</v>
      </c>
      <c r="TGH6" s="44">
        <f>Database!THA14</f>
        <v>0</v>
      </c>
      <c r="TGI6" s="44">
        <f>Database!THB14</f>
        <v>0</v>
      </c>
      <c r="TGJ6" s="44">
        <f>Database!THC14</f>
        <v>0</v>
      </c>
      <c r="TGK6" s="44">
        <f>Database!THD14</f>
        <v>0</v>
      </c>
      <c r="TGL6" s="44">
        <f>Database!THE14</f>
        <v>0</v>
      </c>
      <c r="TGM6" s="44">
        <f>Database!THF14</f>
        <v>0</v>
      </c>
      <c r="TGN6" s="44">
        <f>Database!THG14</f>
        <v>0</v>
      </c>
      <c r="TGO6" s="44">
        <f>Database!THH14</f>
        <v>0</v>
      </c>
      <c r="TGP6" s="44">
        <f>Database!THI14</f>
        <v>0</v>
      </c>
      <c r="TGQ6" s="44">
        <f>Database!THJ14</f>
        <v>0</v>
      </c>
      <c r="TGR6" s="44">
        <f>Database!THK14</f>
        <v>0</v>
      </c>
      <c r="TGS6" s="44">
        <f>Database!THL14</f>
        <v>0</v>
      </c>
      <c r="TGT6" s="44">
        <f>Database!THM14</f>
        <v>0</v>
      </c>
      <c r="TGU6" s="44">
        <f>Database!THN14</f>
        <v>0</v>
      </c>
      <c r="TGV6" s="44">
        <f>Database!THO14</f>
        <v>0</v>
      </c>
      <c r="TGW6" s="44">
        <f>Database!THP14</f>
        <v>0</v>
      </c>
      <c r="TGX6" s="44">
        <f>Database!THQ14</f>
        <v>0</v>
      </c>
      <c r="TGY6" s="44">
        <f>Database!THR14</f>
        <v>0</v>
      </c>
      <c r="TGZ6" s="44">
        <f>Database!THS14</f>
        <v>0</v>
      </c>
      <c r="THA6" s="44">
        <f>Database!THT14</f>
        <v>0</v>
      </c>
      <c r="THB6" s="44">
        <f>Database!THU14</f>
        <v>0</v>
      </c>
      <c r="THC6" s="44">
        <f>Database!THV14</f>
        <v>0</v>
      </c>
      <c r="THD6" s="44">
        <f>Database!THW14</f>
        <v>0</v>
      </c>
      <c r="THE6" s="44">
        <f>Database!THX14</f>
        <v>0</v>
      </c>
      <c r="THF6" s="44">
        <f>Database!THY14</f>
        <v>0</v>
      </c>
      <c r="THG6" s="44">
        <f>Database!THZ14</f>
        <v>0</v>
      </c>
      <c r="THH6" s="44">
        <f>Database!TIA14</f>
        <v>0</v>
      </c>
      <c r="THI6" s="44">
        <f>Database!TIB14</f>
        <v>0</v>
      </c>
      <c r="THJ6" s="44">
        <f>Database!TIC14</f>
        <v>0</v>
      </c>
      <c r="THK6" s="44">
        <f>Database!TID14</f>
        <v>0</v>
      </c>
      <c r="THL6" s="44">
        <f>Database!TIE14</f>
        <v>0</v>
      </c>
      <c r="THM6" s="44">
        <f>Database!TIF14</f>
        <v>0</v>
      </c>
      <c r="THN6" s="44">
        <f>Database!TIG14</f>
        <v>0</v>
      </c>
      <c r="THO6" s="44">
        <f>Database!TIH14</f>
        <v>0</v>
      </c>
      <c r="THP6" s="44">
        <f>Database!TII14</f>
        <v>0</v>
      </c>
      <c r="THQ6" s="44">
        <f>Database!TIJ14</f>
        <v>0</v>
      </c>
      <c r="THR6" s="44">
        <f>Database!TIK14</f>
        <v>0</v>
      </c>
      <c r="THS6" s="44">
        <f>Database!TIL14</f>
        <v>0</v>
      </c>
      <c r="THT6" s="44">
        <f>Database!TIM14</f>
        <v>0</v>
      </c>
      <c r="THU6" s="44">
        <f>Database!TIN14</f>
        <v>0</v>
      </c>
      <c r="THV6" s="44">
        <f>Database!TIO14</f>
        <v>0</v>
      </c>
      <c r="THW6" s="44">
        <f>Database!TIP14</f>
        <v>0</v>
      </c>
      <c r="THX6" s="44">
        <f>Database!TIQ14</f>
        <v>0</v>
      </c>
      <c r="THY6" s="44">
        <f>Database!TIR14</f>
        <v>0</v>
      </c>
      <c r="THZ6" s="44">
        <f>Database!TIS14</f>
        <v>0</v>
      </c>
      <c r="TIA6" s="44">
        <f>Database!TIT14</f>
        <v>0</v>
      </c>
      <c r="TIB6" s="44">
        <f>Database!TIU14</f>
        <v>0</v>
      </c>
      <c r="TIC6" s="44">
        <f>Database!TIV14</f>
        <v>0</v>
      </c>
      <c r="TID6" s="44">
        <f>Database!TIW14</f>
        <v>0</v>
      </c>
      <c r="TIE6" s="44">
        <f>Database!TIX14</f>
        <v>0</v>
      </c>
      <c r="TIF6" s="44">
        <f>Database!TIY14</f>
        <v>0</v>
      </c>
      <c r="TIG6" s="44">
        <f>Database!TIZ14</f>
        <v>0</v>
      </c>
      <c r="TIH6" s="44">
        <f>Database!TJA14</f>
        <v>0</v>
      </c>
      <c r="TII6" s="44">
        <f>Database!TJB14</f>
        <v>0</v>
      </c>
      <c r="TIJ6" s="44">
        <f>Database!TJC14</f>
        <v>0</v>
      </c>
      <c r="TIK6" s="44">
        <f>Database!TJD14</f>
        <v>0</v>
      </c>
      <c r="TIL6" s="44">
        <f>Database!TJE14</f>
        <v>0</v>
      </c>
      <c r="TIM6" s="44">
        <f>Database!TJF14</f>
        <v>0</v>
      </c>
      <c r="TIN6" s="44">
        <f>Database!TJG14</f>
        <v>0</v>
      </c>
      <c r="TIO6" s="44">
        <f>Database!TJH14</f>
        <v>0</v>
      </c>
      <c r="TIP6" s="44">
        <f>Database!TJI14</f>
        <v>0</v>
      </c>
      <c r="TIQ6" s="44">
        <f>Database!TJJ14</f>
        <v>0</v>
      </c>
      <c r="TIR6" s="44">
        <f>Database!TJK14</f>
        <v>0</v>
      </c>
      <c r="TIS6" s="44">
        <f>Database!TJL14</f>
        <v>0</v>
      </c>
      <c r="TIT6" s="44">
        <f>Database!TJM14</f>
        <v>0</v>
      </c>
      <c r="TIU6" s="44">
        <f>Database!TJN14</f>
        <v>0</v>
      </c>
      <c r="TIV6" s="44">
        <f>Database!TJO14</f>
        <v>0</v>
      </c>
      <c r="TIW6" s="44">
        <f>Database!TJP14</f>
        <v>0</v>
      </c>
      <c r="TIX6" s="44">
        <f>Database!TJQ14</f>
        <v>0</v>
      </c>
      <c r="TIY6" s="44">
        <f>Database!TJR14</f>
        <v>0</v>
      </c>
      <c r="TIZ6" s="44">
        <f>Database!TJS14</f>
        <v>0</v>
      </c>
      <c r="TJA6" s="44">
        <f>Database!TJT14</f>
        <v>0</v>
      </c>
      <c r="TJB6" s="44">
        <f>Database!TJU14</f>
        <v>0</v>
      </c>
      <c r="TJC6" s="44">
        <f>Database!TJV14</f>
        <v>0</v>
      </c>
      <c r="TJD6" s="44">
        <f>Database!TJW14</f>
        <v>0</v>
      </c>
      <c r="TJE6" s="44">
        <f>Database!TJX14</f>
        <v>0</v>
      </c>
      <c r="TJF6" s="44">
        <f>Database!TJY14</f>
        <v>0</v>
      </c>
      <c r="TJG6" s="44">
        <f>Database!TJZ14</f>
        <v>0</v>
      </c>
      <c r="TJH6" s="44">
        <f>Database!TKA14</f>
        <v>0</v>
      </c>
      <c r="TJI6" s="44">
        <f>Database!TKB14</f>
        <v>0</v>
      </c>
      <c r="TJJ6" s="44">
        <f>Database!TKC14</f>
        <v>0</v>
      </c>
      <c r="TJK6" s="44">
        <f>Database!TKD14</f>
        <v>0</v>
      </c>
      <c r="TJL6" s="44">
        <f>Database!TKE14</f>
        <v>0</v>
      </c>
      <c r="TJM6" s="44">
        <f>Database!TKF14</f>
        <v>0</v>
      </c>
      <c r="TJN6" s="44">
        <f>Database!TKG14</f>
        <v>0</v>
      </c>
      <c r="TJO6" s="44">
        <f>Database!TKH14</f>
        <v>0</v>
      </c>
      <c r="TJP6" s="44">
        <f>Database!TKI14</f>
        <v>0</v>
      </c>
      <c r="TJQ6" s="44">
        <f>Database!TKJ14</f>
        <v>0</v>
      </c>
      <c r="TJR6" s="44">
        <f>Database!TKK14</f>
        <v>0</v>
      </c>
      <c r="TJS6" s="44">
        <f>Database!TKL14</f>
        <v>0</v>
      </c>
      <c r="TJT6" s="44">
        <f>Database!TKM14</f>
        <v>0</v>
      </c>
      <c r="TJU6" s="44">
        <f>Database!TKN14</f>
        <v>0</v>
      </c>
      <c r="TJV6" s="44">
        <f>Database!TKO14</f>
        <v>0</v>
      </c>
      <c r="TJW6" s="44">
        <f>Database!TKP14</f>
        <v>0</v>
      </c>
      <c r="TJX6" s="44">
        <f>Database!TKQ14</f>
        <v>0</v>
      </c>
      <c r="TJY6" s="44">
        <f>Database!TKR14</f>
        <v>0</v>
      </c>
      <c r="TJZ6" s="44">
        <f>Database!TKS14</f>
        <v>0</v>
      </c>
      <c r="TKA6" s="44">
        <f>Database!TKT14</f>
        <v>0</v>
      </c>
      <c r="TKB6" s="44">
        <f>Database!TKU14</f>
        <v>0</v>
      </c>
      <c r="TKC6" s="44">
        <f>Database!TKV14</f>
        <v>0</v>
      </c>
      <c r="TKD6" s="44">
        <f>Database!TKW14</f>
        <v>0</v>
      </c>
      <c r="TKE6" s="44">
        <f>Database!TKX14</f>
        <v>0</v>
      </c>
      <c r="TKF6" s="44">
        <f>Database!TKY14</f>
        <v>0</v>
      </c>
      <c r="TKG6" s="44">
        <f>Database!TKZ14</f>
        <v>0</v>
      </c>
      <c r="TKH6" s="44">
        <f>Database!TLA14</f>
        <v>0</v>
      </c>
      <c r="TKI6" s="44">
        <f>Database!TLB14</f>
        <v>0</v>
      </c>
      <c r="TKJ6" s="44">
        <f>Database!TLC14</f>
        <v>0</v>
      </c>
      <c r="TKK6" s="44">
        <f>Database!TLD14</f>
        <v>0</v>
      </c>
      <c r="TKL6" s="44">
        <f>Database!TLE14</f>
        <v>0</v>
      </c>
      <c r="TKM6" s="44">
        <f>Database!TLF14</f>
        <v>0</v>
      </c>
      <c r="TKN6" s="44">
        <f>Database!TLG14</f>
        <v>0</v>
      </c>
      <c r="TKO6" s="44">
        <f>Database!TLH14</f>
        <v>0</v>
      </c>
      <c r="TKP6" s="44">
        <f>Database!TLI14</f>
        <v>0</v>
      </c>
      <c r="TKQ6" s="44">
        <f>Database!TLJ14</f>
        <v>0</v>
      </c>
      <c r="TKR6" s="44">
        <f>Database!TLK14</f>
        <v>0</v>
      </c>
      <c r="TKS6" s="44">
        <f>Database!TLL14</f>
        <v>0</v>
      </c>
      <c r="TKT6" s="44">
        <f>Database!TLM14</f>
        <v>0</v>
      </c>
      <c r="TKU6" s="44">
        <f>Database!TLN14</f>
        <v>0</v>
      </c>
      <c r="TKV6" s="44">
        <f>Database!TLO14</f>
        <v>0</v>
      </c>
      <c r="TKW6" s="44">
        <f>Database!TLP14</f>
        <v>0</v>
      </c>
      <c r="TKX6" s="44">
        <f>Database!TLQ14</f>
        <v>0</v>
      </c>
      <c r="TKY6" s="44">
        <f>Database!TLR14</f>
        <v>0</v>
      </c>
      <c r="TKZ6" s="44">
        <f>Database!TLS14</f>
        <v>0</v>
      </c>
      <c r="TLA6" s="44">
        <f>Database!TLT14</f>
        <v>0</v>
      </c>
      <c r="TLB6" s="44">
        <f>Database!TLU14</f>
        <v>0</v>
      </c>
      <c r="TLC6" s="44">
        <f>Database!TLV14</f>
        <v>0</v>
      </c>
      <c r="TLD6" s="44">
        <f>Database!TLW14</f>
        <v>0</v>
      </c>
      <c r="TLE6" s="44">
        <f>Database!TLX14</f>
        <v>0</v>
      </c>
      <c r="TLF6" s="44">
        <f>Database!TLY14</f>
        <v>0</v>
      </c>
      <c r="TLG6" s="44">
        <f>Database!TLZ14</f>
        <v>0</v>
      </c>
      <c r="TLH6" s="44">
        <f>Database!TMA14</f>
        <v>0</v>
      </c>
      <c r="TLI6" s="44">
        <f>Database!TMB14</f>
        <v>0</v>
      </c>
      <c r="TLJ6" s="44">
        <f>Database!TMC14</f>
        <v>0</v>
      </c>
      <c r="TLK6" s="44">
        <f>Database!TMD14</f>
        <v>0</v>
      </c>
      <c r="TLL6" s="44">
        <f>Database!TME14</f>
        <v>0</v>
      </c>
      <c r="TLM6" s="44">
        <f>Database!TMF14</f>
        <v>0</v>
      </c>
      <c r="TLN6" s="44">
        <f>Database!TMG14</f>
        <v>0</v>
      </c>
      <c r="TLO6" s="44">
        <f>Database!TMH14</f>
        <v>0</v>
      </c>
      <c r="TLP6" s="44">
        <f>Database!TMI14</f>
        <v>0</v>
      </c>
      <c r="TLQ6" s="44">
        <f>Database!TMJ14</f>
        <v>0</v>
      </c>
      <c r="TLR6" s="44">
        <f>Database!TMK14</f>
        <v>0</v>
      </c>
      <c r="TLS6" s="44">
        <f>Database!TML14</f>
        <v>0</v>
      </c>
      <c r="TLT6" s="44">
        <f>Database!TMM14</f>
        <v>0</v>
      </c>
      <c r="TLU6" s="44">
        <f>Database!TMN14</f>
        <v>0</v>
      </c>
      <c r="TLV6" s="44">
        <f>Database!TMO14</f>
        <v>0</v>
      </c>
      <c r="TLW6" s="44">
        <f>Database!TMP14</f>
        <v>0</v>
      </c>
      <c r="TLX6" s="44">
        <f>Database!TMQ14</f>
        <v>0</v>
      </c>
      <c r="TLY6" s="44">
        <f>Database!TMR14</f>
        <v>0</v>
      </c>
      <c r="TLZ6" s="44">
        <f>Database!TMS14</f>
        <v>0</v>
      </c>
      <c r="TMA6" s="44">
        <f>Database!TMT14</f>
        <v>0</v>
      </c>
      <c r="TMB6" s="44">
        <f>Database!TMU14</f>
        <v>0</v>
      </c>
      <c r="TMC6" s="44">
        <f>Database!TMV14</f>
        <v>0</v>
      </c>
      <c r="TMD6" s="44">
        <f>Database!TMW14</f>
        <v>0</v>
      </c>
      <c r="TME6" s="44">
        <f>Database!TMX14</f>
        <v>0</v>
      </c>
      <c r="TMF6" s="44">
        <f>Database!TMY14</f>
        <v>0</v>
      </c>
      <c r="TMG6" s="44">
        <f>Database!TMZ14</f>
        <v>0</v>
      </c>
      <c r="TMH6" s="44">
        <f>Database!TNA14</f>
        <v>0</v>
      </c>
      <c r="TMI6" s="44">
        <f>Database!TNB14</f>
        <v>0</v>
      </c>
      <c r="TMJ6" s="44">
        <f>Database!TNC14</f>
        <v>0</v>
      </c>
      <c r="TMK6" s="44">
        <f>Database!TND14</f>
        <v>0</v>
      </c>
      <c r="TML6" s="44">
        <f>Database!TNE14</f>
        <v>0</v>
      </c>
      <c r="TMM6" s="44">
        <f>Database!TNF14</f>
        <v>0</v>
      </c>
      <c r="TMN6" s="44">
        <f>Database!TNG14</f>
        <v>0</v>
      </c>
      <c r="TMO6" s="44">
        <f>Database!TNH14</f>
        <v>0</v>
      </c>
      <c r="TMP6" s="44">
        <f>Database!TNI14</f>
        <v>0</v>
      </c>
      <c r="TMQ6" s="44">
        <f>Database!TNJ14</f>
        <v>0</v>
      </c>
      <c r="TMR6" s="44">
        <f>Database!TNK14</f>
        <v>0</v>
      </c>
      <c r="TMS6" s="44">
        <f>Database!TNL14</f>
        <v>0</v>
      </c>
      <c r="TMT6" s="44">
        <f>Database!TNM14</f>
        <v>0</v>
      </c>
      <c r="TMU6" s="44">
        <f>Database!TNN14</f>
        <v>0</v>
      </c>
      <c r="TMV6" s="44">
        <f>Database!TNO14</f>
        <v>0</v>
      </c>
      <c r="TMW6" s="44">
        <f>Database!TNP14</f>
        <v>0</v>
      </c>
      <c r="TMX6" s="44">
        <f>Database!TNQ14</f>
        <v>0</v>
      </c>
      <c r="TMY6" s="44">
        <f>Database!TNR14</f>
        <v>0</v>
      </c>
      <c r="TMZ6" s="44">
        <f>Database!TNS14</f>
        <v>0</v>
      </c>
      <c r="TNA6" s="44">
        <f>Database!TNT14</f>
        <v>0</v>
      </c>
      <c r="TNB6" s="44">
        <f>Database!TNU14</f>
        <v>0</v>
      </c>
      <c r="TNC6" s="44">
        <f>Database!TNV14</f>
        <v>0</v>
      </c>
      <c r="TND6" s="44">
        <f>Database!TNW14</f>
        <v>0</v>
      </c>
      <c r="TNE6" s="44">
        <f>Database!TNX14</f>
        <v>0</v>
      </c>
      <c r="TNF6" s="44">
        <f>Database!TNY14</f>
        <v>0</v>
      </c>
      <c r="TNG6" s="44">
        <f>Database!TNZ14</f>
        <v>0</v>
      </c>
      <c r="TNH6" s="44">
        <f>Database!TOA14</f>
        <v>0</v>
      </c>
      <c r="TNI6" s="44">
        <f>Database!TOB14</f>
        <v>0</v>
      </c>
      <c r="TNJ6" s="44">
        <f>Database!TOC14</f>
        <v>0</v>
      </c>
      <c r="TNK6" s="44">
        <f>Database!TOD14</f>
        <v>0</v>
      </c>
      <c r="TNL6" s="44">
        <f>Database!TOE14</f>
        <v>0</v>
      </c>
      <c r="TNM6" s="44">
        <f>Database!TOF14</f>
        <v>0</v>
      </c>
      <c r="TNN6" s="44">
        <f>Database!TOG14</f>
        <v>0</v>
      </c>
      <c r="TNO6" s="44">
        <f>Database!TOH14</f>
        <v>0</v>
      </c>
      <c r="TNP6" s="44">
        <f>Database!TOI14</f>
        <v>0</v>
      </c>
      <c r="TNQ6" s="44">
        <f>Database!TOJ14</f>
        <v>0</v>
      </c>
      <c r="TNR6" s="44">
        <f>Database!TOK14</f>
        <v>0</v>
      </c>
      <c r="TNS6" s="44">
        <f>Database!TOL14</f>
        <v>0</v>
      </c>
      <c r="TNT6" s="44">
        <f>Database!TOM14</f>
        <v>0</v>
      </c>
      <c r="TNU6" s="44">
        <f>Database!TON14</f>
        <v>0</v>
      </c>
      <c r="TNV6" s="44">
        <f>Database!TOO14</f>
        <v>0</v>
      </c>
      <c r="TNW6" s="44">
        <f>Database!TOP14</f>
        <v>0</v>
      </c>
      <c r="TNX6" s="44">
        <f>Database!TOQ14</f>
        <v>0</v>
      </c>
      <c r="TNY6" s="44">
        <f>Database!TOR14</f>
        <v>0</v>
      </c>
      <c r="TNZ6" s="44">
        <f>Database!TOS14</f>
        <v>0</v>
      </c>
      <c r="TOA6" s="44">
        <f>Database!TOT14</f>
        <v>0</v>
      </c>
      <c r="TOB6" s="44">
        <f>Database!TOU14</f>
        <v>0</v>
      </c>
      <c r="TOC6" s="44">
        <f>Database!TOV14</f>
        <v>0</v>
      </c>
      <c r="TOD6" s="44">
        <f>Database!TOW14</f>
        <v>0</v>
      </c>
      <c r="TOE6" s="44">
        <f>Database!TOX14</f>
        <v>0</v>
      </c>
      <c r="TOF6" s="44">
        <f>Database!TOY14</f>
        <v>0</v>
      </c>
      <c r="TOG6" s="44">
        <f>Database!TOZ14</f>
        <v>0</v>
      </c>
      <c r="TOH6" s="44">
        <f>Database!TPA14</f>
        <v>0</v>
      </c>
      <c r="TOI6" s="44">
        <f>Database!TPB14</f>
        <v>0</v>
      </c>
      <c r="TOJ6" s="44">
        <f>Database!TPC14</f>
        <v>0</v>
      </c>
      <c r="TOK6" s="44">
        <f>Database!TPD14</f>
        <v>0</v>
      </c>
      <c r="TOL6" s="44">
        <f>Database!TPE14</f>
        <v>0</v>
      </c>
      <c r="TOM6" s="44">
        <f>Database!TPF14</f>
        <v>0</v>
      </c>
      <c r="TON6" s="44">
        <f>Database!TPG14</f>
        <v>0</v>
      </c>
      <c r="TOO6" s="44">
        <f>Database!TPH14</f>
        <v>0</v>
      </c>
      <c r="TOP6" s="44">
        <f>Database!TPI14</f>
        <v>0</v>
      </c>
      <c r="TOQ6" s="44">
        <f>Database!TPJ14</f>
        <v>0</v>
      </c>
      <c r="TOR6" s="44">
        <f>Database!TPK14</f>
        <v>0</v>
      </c>
      <c r="TOS6" s="44">
        <f>Database!TPL14</f>
        <v>0</v>
      </c>
      <c r="TOT6" s="44">
        <f>Database!TPM14</f>
        <v>0</v>
      </c>
      <c r="TOU6" s="44">
        <f>Database!TPN14</f>
        <v>0</v>
      </c>
      <c r="TOV6" s="44">
        <f>Database!TPO14</f>
        <v>0</v>
      </c>
      <c r="TOW6" s="44">
        <f>Database!TPP14</f>
        <v>0</v>
      </c>
      <c r="TOX6" s="44">
        <f>Database!TPQ14</f>
        <v>0</v>
      </c>
      <c r="TOY6" s="44">
        <f>Database!TPR14</f>
        <v>0</v>
      </c>
      <c r="TOZ6" s="44">
        <f>Database!TPS14</f>
        <v>0</v>
      </c>
      <c r="TPA6" s="44">
        <f>Database!TPT14</f>
        <v>0</v>
      </c>
      <c r="TPB6" s="44">
        <f>Database!TPU14</f>
        <v>0</v>
      </c>
      <c r="TPC6" s="44">
        <f>Database!TPV14</f>
        <v>0</v>
      </c>
      <c r="TPD6" s="44">
        <f>Database!TPW14</f>
        <v>0</v>
      </c>
      <c r="TPE6" s="44">
        <f>Database!TPX14</f>
        <v>0</v>
      </c>
      <c r="TPF6" s="44">
        <f>Database!TPY14</f>
        <v>0</v>
      </c>
      <c r="TPG6" s="44">
        <f>Database!TPZ14</f>
        <v>0</v>
      </c>
      <c r="TPH6" s="44">
        <f>Database!TQA14</f>
        <v>0</v>
      </c>
      <c r="TPI6" s="44">
        <f>Database!TQB14</f>
        <v>0</v>
      </c>
      <c r="TPJ6" s="44">
        <f>Database!TQC14</f>
        <v>0</v>
      </c>
      <c r="TPK6" s="44">
        <f>Database!TQD14</f>
        <v>0</v>
      </c>
      <c r="TPL6" s="44">
        <f>Database!TQE14</f>
        <v>0</v>
      </c>
      <c r="TPM6" s="44">
        <f>Database!TQF14</f>
        <v>0</v>
      </c>
      <c r="TPN6" s="44">
        <f>Database!TQG14</f>
        <v>0</v>
      </c>
      <c r="TPO6" s="44">
        <f>Database!TQH14</f>
        <v>0</v>
      </c>
      <c r="TPP6" s="44">
        <f>Database!TQI14</f>
        <v>0</v>
      </c>
      <c r="TPQ6" s="44">
        <f>Database!TQJ14</f>
        <v>0</v>
      </c>
      <c r="TPR6" s="44">
        <f>Database!TQK14</f>
        <v>0</v>
      </c>
      <c r="TPS6" s="44">
        <f>Database!TQL14</f>
        <v>0</v>
      </c>
      <c r="TPT6" s="44">
        <f>Database!TQM14</f>
        <v>0</v>
      </c>
      <c r="TPU6" s="44">
        <f>Database!TQN14</f>
        <v>0</v>
      </c>
      <c r="TPV6" s="44">
        <f>Database!TQO14</f>
        <v>0</v>
      </c>
      <c r="TPW6" s="44">
        <f>Database!TQP14</f>
        <v>0</v>
      </c>
      <c r="TPX6" s="44">
        <f>Database!TQQ14</f>
        <v>0</v>
      </c>
      <c r="TPY6" s="44">
        <f>Database!TQR14</f>
        <v>0</v>
      </c>
      <c r="TPZ6" s="44">
        <f>Database!TQS14</f>
        <v>0</v>
      </c>
      <c r="TQA6" s="44">
        <f>Database!TQT14</f>
        <v>0</v>
      </c>
      <c r="TQB6" s="44">
        <f>Database!TQU14</f>
        <v>0</v>
      </c>
      <c r="TQC6" s="44">
        <f>Database!TQV14</f>
        <v>0</v>
      </c>
      <c r="TQD6" s="44">
        <f>Database!TQW14</f>
        <v>0</v>
      </c>
      <c r="TQE6" s="44">
        <f>Database!TQX14</f>
        <v>0</v>
      </c>
      <c r="TQF6" s="44">
        <f>Database!TQY14</f>
        <v>0</v>
      </c>
      <c r="TQG6" s="44">
        <f>Database!TQZ14</f>
        <v>0</v>
      </c>
      <c r="TQH6" s="44">
        <f>Database!TRA14</f>
        <v>0</v>
      </c>
      <c r="TQI6" s="44">
        <f>Database!TRB14</f>
        <v>0</v>
      </c>
      <c r="TQJ6" s="44">
        <f>Database!TRC14</f>
        <v>0</v>
      </c>
      <c r="TQK6" s="44">
        <f>Database!TRD14</f>
        <v>0</v>
      </c>
      <c r="TQL6" s="44">
        <f>Database!TRE14</f>
        <v>0</v>
      </c>
      <c r="TQM6" s="44">
        <f>Database!TRF14</f>
        <v>0</v>
      </c>
      <c r="TQN6" s="44">
        <f>Database!TRG14</f>
        <v>0</v>
      </c>
      <c r="TQO6" s="44">
        <f>Database!TRH14</f>
        <v>0</v>
      </c>
      <c r="TQP6" s="44">
        <f>Database!TRI14</f>
        <v>0</v>
      </c>
      <c r="TQQ6" s="44">
        <f>Database!TRJ14</f>
        <v>0</v>
      </c>
      <c r="TQR6" s="44">
        <f>Database!TRK14</f>
        <v>0</v>
      </c>
      <c r="TQS6" s="44">
        <f>Database!TRL14</f>
        <v>0</v>
      </c>
      <c r="TQT6" s="44">
        <f>Database!TRM14</f>
        <v>0</v>
      </c>
      <c r="TQU6" s="44">
        <f>Database!TRN14</f>
        <v>0</v>
      </c>
      <c r="TQV6" s="44">
        <f>Database!TRO14</f>
        <v>0</v>
      </c>
      <c r="TQW6" s="44">
        <f>Database!TRP14</f>
        <v>0</v>
      </c>
      <c r="TQX6" s="44">
        <f>Database!TRQ14</f>
        <v>0</v>
      </c>
      <c r="TQY6" s="44">
        <f>Database!TRR14</f>
        <v>0</v>
      </c>
      <c r="TQZ6" s="44">
        <f>Database!TRS14</f>
        <v>0</v>
      </c>
      <c r="TRA6" s="44">
        <f>Database!TRT14</f>
        <v>0</v>
      </c>
      <c r="TRB6" s="44">
        <f>Database!TRU14</f>
        <v>0</v>
      </c>
      <c r="TRC6" s="44">
        <f>Database!TRV14</f>
        <v>0</v>
      </c>
      <c r="TRD6" s="44">
        <f>Database!TRW14</f>
        <v>0</v>
      </c>
      <c r="TRE6" s="44">
        <f>Database!TRX14</f>
        <v>0</v>
      </c>
      <c r="TRF6" s="44">
        <f>Database!TRY14</f>
        <v>0</v>
      </c>
      <c r="TRG6" s="44">
        <f>Database!TRZ14</f>
        <v>0</v>
      </c>
      <c r="TRH6" s="44">
        <f>Database!TSA14</f>
        <v>0</v>
      </c>
      <c r="TRI6" s="44">
        <f>Database!TSB14</f>
        <v>0</v>
      </c>
      <c r="TRJ6" s="44">
        <f>Database!TSC14</f>
        <v>0</v>
      </c>
      <c r="TRK6" s="44">
        <f>Database!TSD14</f>
        <v>0</v>
      </c>
      <c r="TRL6" s="44">
        <f>Database!TSE14</f>
        <v>0</v>
      </c>
      <c r="TRM6" s="44">
        <f>Database!TSF14</f>
        <v>0</v>
      </c>
      <c r="TRN6" s="44">
        <f>Database!TSG14</f>
        <v>0</v>
      </c>
      <c r="TRO6" s="44">
        <f>Database!TSH14</f>
        <v>0</v>
      </c>
      <c r="TRP6" s="44">
        <f>Database!TSI14</f>
        <v>0</v>
      </c>
      <c r="TRQ6" s="44">
        <f>Database!TSJ14</f>
        <v>0</v>
      </c>
      <c r="TRR6" s="44">
        <f>Database!TSK14</f>
        <v>0</v>
      </c>
      <c r="TRS6" s="44">
        <f>Database!TSL14</f>
        <v>0</v>
      </c>
      <c r="TRT6" s="44">
        <f>Database!TSM14</f>
        <v>0</v>
      </c>
      <c r="TRU6" s="44">
        <f>Database!TSN14</f>
        <v>0</v>
      </c>
      <c r="TRV6" s="44">
        <f>Database!TSO14</f>
        <v>0</v>
      </c>
      <c r="TRW6" s="44">
        <f>Database!TSP14</f>
        <v>0</v>
      </c>
      <c r="TRX6" s="44">
        <f>Database!TSQ14</f>
        <v>0</v>
      </c>
      <c r="TRY6" s="44">
        <f>Database!TSR14</f>
        <v>0</v>
      </c>
      <c r="TRZ6" s="44">
        <f>Database!TSS14</f>
        <v>0</v>
      </c>
      <c r="TSA6" s="44">
        <f>Database!TST14</f>
        <v>0</v>
      </c>
      <c r="TSB6" s="44">
        <f>Database!TSU14</f>
        <v>0</v>
      </c>
      <c r="TSC6" s="44">
        <f>Database!TSV14</f>
        <v>0</v>
      </c>
      <c r="TSD6" s="44">
        <f>Database!TSW14</f>
        <v>0</v>
      </c>
      <c r="TSE6" s="44">
        <f>Database!TSX14</f>
        <v>0</v>
      </c>
      <c r="TSF6" s="44">
        <f>Database!TSY14</f>
        <v>0</v>
      </c>
      <c r="TSG6" s="44">
        <f>Database!TSZ14</f>
        <v>0</v>
      </c>
      <c r="TSH6" s="44">
        <f>Database!TTA14</f>
        <v>0</v>
      </c>
      <c r="TSI6" s="44">
        <f>Database!TTB14</f>
        <v>0</v>
      </c>
      <c r="TSJ6" s="44">
        <f>Database!TTC14</f>
        <v>0</v>
      </c>
      <c r="TSK6" s="44">
        <f>Database!TTD14</f>
        <v>0</v>
      </c>
      <c r="TSL6" s="44">
        <f>Database!TTE14</f>
        <v>0</v>
      </c>
      <c r="TSM6" s="44">
        <f>Database!TTF14</f>
        <v>0</v>
      </c>
      <c r="TSN6" s="44">
        <f>Database!TTG14</f>
        <v>0</v>
      </c>
      <c r="TSO6" s="44">
        <f>Database!TTH14</f>
        <v>0</v>
      </c>
      <c r="TSP6" s="44">
        <f>Database!TTI14</f>
        <v>0</v>
      </c>
      <c r="TSQ6" s="44">
        <f>Database!TTJ14</f>
        <v>0</v>
      </c>
      <c r="TSR6" s="44">
        <f>Database!TTK14</f>
        <v>0</v>
      </c>
      <c r="TSS6" s="44">
        <f>Database!TTL14</f>
        <v>0</v>
      </c>
      <c r="TST6" s="44">
        <f>Database!TTM14</f>
        <v>0</v>
      </c>
      <c r="TSU6" s="44">
        <f>Database!TTN14</f>
        <v>0</v>
      </c>
      <c r="TSV6" s="44">
        <f>Database!TTO14</f>
        <v>0</v>
      </c>
      <c r="TSW6" s="44">
        <f>Database!TTP14</f>
        <v>0</v>
      </c>
      <c r="TSX6" s="44">
        <f>Database!TTQ14</f>
        <v>0</v>
      </c>
      <c r="TSY6" s="44">
        <f>Database!TTR14</f>
        <v>0</v>
      </c>
      <c r="TSZ6" s="44">
        <f>Database!TTS14</f>
        <v>0</v>
      </c>
      <c r="TTA6" s="44">
        <f>Database!TTT14</f>
        <v>0</v>
      </c>
      <c r="TTB6" s="44">
        <f>Database!TTU14</f>
        <v>0</v>
      </c>
      <c r="TTC6" s="44">
        <f>Database!TTV14</f>
        <v>0</v>
      </c>
      <c r="TTD6" s="44">
        <f>Database!TTW14</f>
        <v>0</v>
      </c>
      <c r="TTE6" s="44">
        <f>Database!TTX14</f>
        <v>0</v>
      </c>
      <c r="TTF6" s="44">
        <f>Database!TTY14</f>
        <v>0</v>
      </c>
      <c r="TTG6" s="44">
        <f>Database!TTZ14</f>
        <v>0</v>
      </c>
      <c r="TTH6" s="44">
        <f>Database!TUA14</f>
        <v>0</v>
      </c>
      <c r="TTI6" s="44">
        <f>Database!TUB14</f>
        <v>0</v>
      </c>
      <c r="TTJ6" s="44">
        <f>Database!TUC14</f>
        <v>0</v>
      </c>
      <c r="TTK6" s="44">
        <f>Database!TUD14</f>
        <v>0</v>
      </c>
      <c r="TTL6" s="44">
        <f>Database!TUE14</f>
        <v>0</v>
      </c>
      <c r="TTM6" s="44">
        <f>Database!TUF14</f>
        <v>0</v>
      </c>
      <c r="TTN6" s="44">
        <f>Database!TUG14</f>
        <v>0</v>
      </c>
      <c r="TTO6" s="44">
        <f>Database!TUH14</f>
        <v>0</v>
      </c>
      <c r="TTP6" s="44">
        <f>Database!TUI14</f>
        <v>0</v>
      </c>
      <c r="TTQ6" s="44">
        <f>Database!TUJ14</f>
        <v>0</v>
      </c>
      <c r="TTR6" s="44">
        <f>Database!TUK14</f>
        <v>0</v>
      </c>
      <c r="TTS6" s="44">
        <f>Database!TUL14</f>
        <v>0</v>
      </c>
      <c r="TTT6" s="44">
        <f>Database!TUM14</f>
        <v>0</v>
      </c>
      <c r="TTU6" s="44">
        <f>Database!TUN14</f>
        <v>0</v>
      </c>
      <c r="TTV6" s="44">
        <f>Database!TUO14</f>
        <v>0</v>
      </c>
      <c r="TTW6" s="44">
        <f>Database!TUP14</f>
        <v>0</v>
      </c>
      <c r="TTX6" s="44">
        <f>Database!TUQ14</f>
        <v>0</v>
      </c>
      <c r="TTY6" s="44">
        <f>Database!TUR14</f>
        <v>0</v>
      </c>
      <c r="TTZ6" s="44">
        <f>Database!TUS14</f>
        <v>0</v>
      </c>
      <c r="TUA6" s="44">
        <f>Database!TUT14</f>
        <v>0</v>
      </c>
      <c r="TUB6" s="44">
        <f>Database!TUU14</f>
        <v>0</v>
      </c>
      <c r="TUC6" s="44">
        <f>Database!TUV14</f>
        <v>0</v>
      </c>
      <c r="TUD6" s="44">
        <f>Database!TUW14</f>
        <v>0</v>
      </c>
      <c r="TUE6" s="44">
        <f>Database!TUX14</f>
        <v>0</v>
      </c>
      <c r="TUF6" s="44">
        <f>Database!TUY14</f>
        <v>0</v>
      </c>
      <c r="TUG6" s="44">
        <f>Database!TUZ14</f>
        <v>0</v>
      </c>
      <c r="TUH6" s="44">
        <f>Database!TVA14</f>
        <v>0</v>
      </c>
      <c r="TUI6" s="44">
        <f>Database!TVB14</f>
        <v>0</v>
      </c>
      <c r="TUJ6" s="44">
        <f>Database!TVC14</f>
        <v>0</v>
      </c>
      <c r="TUK6" s="44">
        <f>Database!TVD14</f>
        <v>0</v>
      </c>
      <c r="TUL6" s="44">
        <f>Database!TVE14</f>
        <v>0</v>
      </c>
      <c r="TUM6" s="44">
        <f>Database!TVF14</f>
        <v>0</v>
      </c>
      <c r="TUN6" s="44">
        <f>Database!TVG14</f>
        <v>0</v>
      </c>
      <c r="TUO6" s="44">
        <f>Database!TVH14</f>
        <v>0</v>
      </c>
      <c r="TUP6" s="44">
        <f>Database!TVI14</f>
        <v>0</v>
      </c>
      <c r="TUQ6" s="44">
        <f>Database!TVJ14</f>
        <v>0</v>
      </c>
      <c r="TUR6" s="44">
        <f>Database!TVK14</f>
        <v>0</v>
      </c>
      <c r="TUS6" s="44">
        <f>Database!TVL14</f>
        <v>0</v>
      </c>
      <c r="TUT6" s="44">
        <f>Database!TVM14</f>
        <v>0</v>
      </c>
      <c r="TUU6" s="44">
        <f>Database!TVN14</f>
        <v>0</v>
      </c>
      <c r="TUV6" s="44">
        <f>Database!TVO14</f>
        <v>0</v>
      </c>
      <c r="TUW6" s="44">
        <f>Database!TVP14</f>
        <v>0</v>
      </c>
      <c r="TUX6" s="44">
        <f>Database!TVQ14</f>
        <v>0</v>
      </c>
      <c r="TUY6" s="44">
        <f>Database!TVR14</f>
        <v>0</v>
      </c>
      <c r="TUZ6" s="44">
        <f>Database!TVS14</f>
        <v>0</v>
      </c>
      <c r="TVA6" s="44">
        <f>Database!TVT14</f>
        <v>0</v>
      </c>
      <c r="TVB6" s="44">
        <f>Database!TVU14</f>
        <v>0</v>
      </c>
      <c r="TVC6" s="44">
        <f>Database!TVV14</f>
        <v>0</v>
      </c>
      <c r="TVD6" s="44">
        <f>Database!TVW14</f>
        <v>0</v>
      </c>
      <c r="TVE6" s="44">
        <f>Database!TVX14</f>
        <v>0</v>
      </c>
      <c r="TVF6" s="44">
        <f>Database!TVY14</f>
        <v>0</v>
      </c>
      <c r="TVG6" s="44">
        <f>Database!TVZ14</f>
        <v>0</v>
      </c>
      <c r="TVH6" s="44">
        <f>Database!TWA14</f>
        <v>0</v>
      </c>
      <c r="TVI6" s="44">
        <f>Database!TWB14</f>
        <v>0</v>
      </c>
      <c r="TVJ6" s="44">
        <f>Database!TWC14</f>
        <v>0</v>
      </c>
      <c r="TVK6" s="44">
        <f>Database!TWD14</f>
        <v>0</v>
      </c>
      <c r="TVL6" s="44">
        <f>Database!TWE14</f>
        <v>0</v>
      </c>
      <c r="TVM6" s="44">
        <f>Database!TWF14</f>
        <v>0</v>
      </c>
      <c r="TVN6" s="44">
        <f>Database!TWG14</f>
        <v>0</v>
      </c>
      <c r="TVO6" s="44">
        <f>Database!TWH14</f>
        <v>0</v>
      </c>
      <c r="TVP6" s="44">
        <f>Database!TWI14</f>
        <v>0</v>
      </c>
      <c r="TVQ6" s="44">
        <f>Database!TWJ14</f>
        <v>0</v>
      </c>
      <c r="TVR6" s="44">
        <f>Database!TWK14</f>
        <v>0</v>
      </c>
      <c r="TVS6" s="44">
        <f>Database!TWL14</f>
        <v>0</v>
      </c>
      <c r="TVT6" s="44">
        <f>Database!TWM14</f>
        <v>0</v>
      </c>
      <c r="TVU6" s="44">
        <f>Database!TWN14</f>
        <v>0</v>
      </c>
      <c r="TVV6" s="44">
        <f>Database!TWO14</f>
        <v>0</v>
      </c>
      <c r="TVW6" s="44">
        <f>Database!TWP14</f>
        <v>0</v>
      </c>
      <c r="TVX6" s="44">
        <f>Database!TWQ14</f>
        <v>0</v>
      </c>
      <c r="TVY6" s="44">
        <f>Database!TWR14</f>
        <v>0</v>
      </c>
      <c r="TVZ6" s="44">
        <f>Database!TWS14</f>
        <v>0</v>
      </c>
      <c r="TWA6" s="44">
        <f>Database!TWT14</f>
        <v>0</v>
      </c>
      <c r="TWB6" s="44">
        <f>Database!TWU14</f>
        <v>0</v>
      </c>
      <c r="TWC6" s="44">
        <f>Database!TWV14</f>
        <v>0</v>
      </c>
      <c r="TWD6" s="44">
        <f>Database!TWW14</f>
        <v>0</v>
      </c>
      <c r="TWE6" s="44">
        <f>Database!TWX14</f>
        <v>0</v>
      </c>
      <c r="TWF6" s="44">
        <f>Database!TWY14</f>
        <v>0</v>
      </c>
      <c r="TWG6" s="44">
        <f>Database!TWZ14</f>
        <v>0</v>
      </c>
      <c r="TWH6" s="44">
        <f>Database!TXA14</f>
        <v>0</v>
      </c>
      <c r="TWI6" s="44">
        <f>Database!TXB14</f>
        <v>0</v>
      </c>
      <c r="TWJ6" s="44">
        <f>Database!TXC14</f>
        <v>0</v>
      </c>
      <c r="TWK6" s="44">
        <f>Database!TXD14</f>
        <v>0</v>
      </c>
      <c r="TWL6" s="44">
        <f>Database!TXE14</f>
        <v>0</v>
      </c>
      <c r="TWM6" s="44">
        <f>Database!TXF14</f>
        <v>0</v>
      </c>
      <c r="TWN6" s="44">
        <f>Database!TXG14</f>
        <v>0</v>
      </c>
      <c r="TWO6" s="44">
        <f>Database!TXH14</f>
        <v>0</v>
      </c>
      <c r="TWP6" s="44">
        <f>Database!TXI14</f>
        <v>0</v>
      </c>
      <c r="TWQ6" s="44">
        <f>Database!TXJ14</f>
        <v>0</v>
      </c>
      <c r="TWR6" s="44">
        <f>Database!TXK14</f>
        <v>0</v>
      </c>
      <c r="TWS6" s="44">
        <f>Database!TXL14</f>
        <v>0</v>
      </c>
      <c r="TWT6" s="44">
        <f>Database!TXM14</f>
        <v>0</v>
      </c>
      <c r="TWU6" s="44">
        <f>Database!TXN14</f>
        <v>0</v>
      </c>
      <c r="TWV6" s="44">
        <f>Database!TXO14</f>
        <v>0</v>
      </c>
      <c r="TWW6" s="44">
        <f>Database!TXP14</f>
        <v>0</v>
      </c>
      <c r="TWX6" s="44">
        <f>Database!TXQ14</f>
        <v>0</v>
      </c>
      <c r="TWY6" s="44">
        <f>Database!TXR14</f>
        <v>0</v>
      </c>
      <c r="TWZ6" s="44">
        <f>Database!TXS14</f>
        <v>0</v>
      </c>
      <c r="TXA6" s="44">
        <f>Database!TXT14</f>
        <v>0</v>
      </c>
      <c r="TXB6" s="44">
        <f>Database!TXU14</f>
        <v>0</v>
      </c>
      <c r="TXC6" s="44">
        <f>Database!TXV14</f>
        <v>0</v>
      </c>
      <c r="TXD6" s="44">
        <f>Database!TXW14</f>
        <v>0</v>
      </c>
      <c r="TXE6" s="44">
        <f>Database!TXX14</f>
        <v>0</v>
      </c>
      <c r="TXF6" s="44">
        <f>Database!TXY14</f>
        <v>0</v>
      </c>
      <c r="TXG6" s="44">
        <f>Database!TXZ14</f>
        <v>0</v>
      </c>
      <c r="TXH6" s="44">
        <f>Database!TYA14</f>
        <v>0</v>
      </c>
      <c r="TXI6" s="44">
        <f>Database!TYB14</f>
        <v>0</v>
      </c>
      <c r="TXJ6" s="44">
        <f>Database!TYC14</f>
        <v>0</v>
      </c>
      <c r="TXK6" s="44">
        <f>Database!TYD14</f>
        <v>0</v>
      </c>
      <c r="TXL6" s="44">
        <f>Database!TYE14</f>
        <v>0</v>
      </c>
      <c r="TXM6" s="44">
        <f>Database!TYF14</f>
        <v>0</v>
      </c>
      <c r="TXN6" s="44">
        <f>Database!TYG14</f>
        <v>0</v>
      </c>
      <c r="TXO6" s="44">
        <f>Database!TYH14</f>
        <v>0</v>
      </c>
      <c r="TXP6" s="44">
        <f>Database!TYI14</f>
        <v>0</v>
      </c>
      <c r="TXQ6" s="44">
        <f>Database!TYJ14</f>
        <v>0</v>
      </c>
      <c r="TXR6" s="44">
        <f>Database!TYK14</f>
        <v>0</v>
      </c>
      <c r="TXS6" s="44">
        <f>Database!TYL14</f>
        <v>0</v>
      </c>
      <c r="TXT6" s="44">
        <f>Database!TYM14</f>
        <v>0</v>
      </c>
      <c r="TXU6" s="44">
        <f>Database!TYN14</f>
        <v>0</v>
      </c>
      <c r="TXV6" s="44">
        <f>Database!TYO14</f>
        <v>0</v>
      </c>
      <c r="TXW6" s="44">
        <f>Database!TYP14</f>
        <v>0</v>
      </c>
      <c r="TXX6" s="44">
        <f>Database!TYQ14</f>
        <v>0</v>
      </c>
      <c r="TXY6" s="44">
        <f>Database!TYR14</f>
        <v>0</v>
      </c>
      <c r="TXZ6" s="44">
        <f>Database!TYS14</f>
        <v>0</v>
      </c>
      <c r="TYA6" s="44">
        <f>Database!TYT14</f>
        <v>0</v>
      </c>
      <c r="TYB6" s="44">
        <f>Database!TYU14</f>
        <v>0</v>
      </c>
      <c r="TYC6" s="44">
        <f>Database!TYV14</f>
        <v>0</v>
      </c>
      <c r="TYD6" s="44">
        <f>Database!TYW14</f>
        <v>0</v>
      </c>
      <c r="TYE6" s="44">
        <f>Database!TYX14</f>
        <v>0</v>
      </c>
      <c r="TYF6" s="44">
        <f>Database!TYY14</f>
        <v>0</v>
      </c>
      <c r="TYG6" s="44">
        <f>Database!TYZ14</f>
        <v>0</v>
      </c>
      <c r="TYH6" s="44">
        <f>Database!TZA14</f>
        <v>0</v>
      </c>
      <c r="TYI6" s="44">
        <f>Database!TZB14</f>
        <v>0</v>
      </c>
      <c r="TYJ6" s="44">
        <f>Database!TZC14</f>
        <v>0</v>
      </c>
      <c r="TYK6" s="44">
        <f>Database!TZD14</f>
        <v>0</v>
      </c>
      <c r="TYL6" s="44">
        <f>Database!TZE14</f>
        <v>0</v>
      </c>
      <c r="TYM6" s="44">
        <f>Database!TZF14</f>
        <v>0</v>
      </c>
      <c r="TYN6" s="44">
        <f>Database!TZG14</f>
        <v>0</v>
      </c>
      <c r="TYO6" s="44">
        <f>Database!TZH14</f>
        <v>0</v>
      </c>
      <c r="TYP6" s="44">
        <f>Database!TZI14</f>
        <v>0</v>
      </c>
      <c r="TYQ6" s="44">
        <f>Database!TZJ14</f>
        <v>0</v>
      </c>
      <c r="TYR6" s="44">
        <f>Database!TZK14</f>
        <v>0</v>
      </c>
      <c r="TYS6" s="44">
        <f>Database!TZL14</f>
        <v>0</v>
      </c>
      <c r="TYT6" s="44">
        <f>Database!TZM14</f>
        <v>0</v>
      </c>
      <c r="TYU6" s="44">
        <f>Database!TZN14</f>
        <v>0</v>
      </c>
      <c r="TYV6" s="44">
        <f>Database!TZO14</f>
        <v>0</v>
      </c>
      <c r="TYW6" s="44">
        <f>Database!TZP14</f>
        <v>0</v>
      </c>
      <c r="TYX6" s="44">
        <f>Database!TZQ14</f>
        <v>0</v>
      </c>
      <c r="TYY6" s="44">
        <f>Database!TZR14</f>
        <v>0</v>
      </c>
      <c r="TYZ6" s="44">
        <f>Database!TZS14</f>
        <v>0</v>
      </c>
      <c r="TZA6" s="44">
        <f>Database!TZT14</f>
        <v>0</v>
      </c>
      <c r="TZB6" s="44">
        <f>Database!TZU14</f>
        <v>0</v>
      </c>
      <c r="TZC6" s="44">
        <f>Database!TZV14</f>
        <v>0</v>
      </c>
      <c r="TZD6" s="44">
        <f>Database!TZW14</f>
        <v>0</v>
      </c>
      <c r="TZE6" s="44">
        <f>Database!TZX14</f>
        <v>0</v>
      </c>
      <c r="TZF6" s="44">
        <f>Database!TZY14</f>
        <v>0</v>
      </c>
      <c r="TZG6" s="44">
        <f>Database!TZZ14</f>
        <v>0</v>
      </c>
      <c r="TZH6" s="44">
        <f>Database!UAA14</f>
        <v>0</v>
      </c>
      <c r="TZI6" s="44">
        <f>Database!UAB14</f>
        <v>0</v>
      </c>
      <c r="TZJ6" s="44">
        <f>Database!UAC14</f>
        <v>0</v>
      </c>
      <c r="TZK6" s="44">
        <f>Database!UAD14</f>
        <v>0</v>
      </c>
      <c r="TZL6" s="44">
        <f>Database!UAE14</f>
        <v>0</v>
      </c>
      <c r="TZM6" s="44">
        <f>Database!UAF14</f>
        <v>0</v>
      </c>
      <c r="TZN6" s="44">
        <f>Database!UAG14</f>
        <v>0</v>
      </c>
      <c r="TZO6" s="44">
        <f>Database!UAH14</f>
        <v>0</v>
      </c>
      <c r="TZP6" s="44">
        <f>Database!UAI14</f>
        <v>0</v>
      </c>
      <c r="TZQ6" s="44">
        <f>Database!UAJ14</f>
        <v>0</v>
      </c>
      <c r="TZR6" s="44">
        <f>Database!UAK14</f>
        <v>0</v>
      </c>
      <c r="TZS6" s="44">
        <f>Database!UAL14</f>
        <v>0</v>
      </c>
      <c r="TZT6" s="44">
        <f>Database!UAM14</f>
        <v>0</v>
      </c>
      <c r="TZU6" s="44">
        <f>Database!UAN14</f>
        <v>0</v>
      </c>
      <c r="TZV6" s="44">
        <f>Database!UAO14</f>
        <v>0</v>
      </c>
      <c r="TZW6" s="44">
        <f>Database!UAP14</f>
        <v>0</v>
      </c>
      <c r="TZX6" s="44">
        <f>Database!UAQ14</f>
        <v>0</v>
      </c>
      <c r="TZY6" s="44">
        <f>Database!UAR14</f>
        <v>0</v>
      </c>
      <c r="TZZ6" s="44">
        <f>Database!UAS14</f>
        <v>0</v>
      </c>
      <c r="UAA6" s="44">
        <f>Database!UAT14</f>
        <v>0</v>
      </c>
      <c r="UAB6" s="44">
        <f>Database!UAU14</f>
        <v>0</v>
      </c>
      <c r="UAC6" s="44">
        <f>Database!UAV14</f>
        <v>0</v>
      </c>
      <c r="UAD6" s="44">
        <f>Database!UAW14</f>
        <v>0</v>
      </c>
      <c r="UAE6" s="44">
        <f>Database!UAX14</f>
        <v>0</v>
      </c>
      <c r="UAF6" s="44">
        <f>Database!UAY14</f>
        <v>0</v>
      </c>
      <c r="UAG6" s="44">
        <f>Database!UAZ14</f>
        <v>0</v>
      </c>
      <c r="UAH6" s="44">
        <f>Database!UBA14</f>
        <v>0</v>
      </c>
      <c r="UAI6" s="44">
        <f>Database!UBB14</f>
        <v>0</v>
      </c>
      <c r="UAJ6" s="44">
        <f>Database!UBC14</f>
        <v>0</v>
      </c>
      <c r="UAK6" s="44">
        <f>Database!UBD14</f>
        <v>0</v>
      </c>
      <c r="UAL6" s="44">
        <f>Database!UBE14</f>
        <v>0</v>
      </c>
      <c r="UAM6" s="44">
        <f>Database!UBF14</f>
        <v>0</v>
      </c>
      <c r="UAN6" s="44">
        <f>Database!UBG14</f>
        <v>0</v>
      </c>
      <c r="UAO6" s="44">
        <f>Database!UBH14</f>
        <v>0</v>
      </c>
      <c r="UAP6" s="44">
        <f>Database!UBI14</f>
        <v>0</v>
      </c>
      <c r="UAQ6" s="44">
        <f>Database!UBJ14</f>
        <v>0</v>
      </c>
      <c r="UAR6" s="44">
        <f>Database!UBK14</f>
        <v>0</v>
      </c>
      <c r="UAS6" s="44">
        <f>Database!UBL14</f>
        <v>0</v>
      </c>
      <c r="UAT6" s="44">
        <f>Database!UBM14</f>
        <v>0</v>
      </c>
      <c r="UAU6" s="44">
        <f>Database!UBN14</f>
        <v>0</v>
      </c>
      <c r="UAV6" s="44">
        <f>Database!UBO14</f>
        <v>0</v>
      </c>
      <c r="UAW6" s="44">
        <f>Database!UBP14</f>
        <v>0</v>
      </c>
      <c r="UAX6" s="44">
        <f>Database!UBQ14</f>
        <v>0</v>
      </c>
      <c r="UAY6" s="44">
        <f>Database!UBR14</f>
        <v>0</v>
      </c>
      <c r="UAZ6" s="44">
        <f>Database!UBS14</f>
        <v>0</v>
      </c>
      <c r="UBA6" s="44">
        <f>Database!UBT14</f>
        <v>0</v>
      </c>
      <c r="UBB6" s="44">
        <f>Database!UBU14</f>
        <v>0</v>
      </c>
      <c r="UBC6" s="44">
        <f>Database!UBV14</f>
        <v>0</v>
      </c>
      <c r="UBD6" s="44">
        <f>Database!UBW14</f>
        <v>0</v>
      </c>
      <c r="UBE6" s="44">
        <f>Database!UBX14</f>
        <v>0</v>
      </c>
      <c r="UBF6" s="44">
        <f>Database!UBY14</f>
        <v>0</v>
      </c>
      <c r="UBG6" s="44">
        <f>Database!UBZ14</f>
        <v>0</v>
      </c>
      <c r="UBH6" s="44">
        <f>Database!UCA14</f>
        <v>0</v>
      </c>
      <c r="UBI6" s="44">
        <f>Database!UCB14</f>
        <v>0</v>
      </c>
      <c r="UBJ6" s="44">
        <f>Database!UCC14</f>
        <v>0</v>
      </c>
      <c r="UBK6" s="44">
        <f>Database!UCD14</f>
        <v>0</v>
      </c>
      <c r="UBL6" s="44">
        <f>Database!UCE14</f>
        <v>0</v>
      </c>
      <c r="UBM6" s="44">
        <f>Database!UCF14</f>
        <v>0</v>
      </c>
      <c r="UBN6" s="44">
        <f>Database!UCG14</f>
        <v>0</v>
      </c>
      <c r="UBO6" s="44">
        <f>Database!UCH14</f>
        <v>0</v>
      </c>
      <c r="UBP6" s="44">
        <f>Database!UCI14</f>
        <v>0</v>
      </c>
      <c r="UBQ6" s="44">
        <f>Database!UCJ14</f>
        <v>0</v>
      </c>
      <c r="UBR6" s="44">
        <f>Database!UCK14</f>
        <v>0</v>
      </c>
      <c r="UBS6" s="44">
        <f>Database!UCL14</f>
        <v>0</v>
      </c>
      <c r="UBT6" s="44">
        <f>Database!UCM14</f>
        <v>0</v>
      </c>
      <c r="UBU6" s="44">
        <f>Database!UCN14</f>
        <v>0</v>
      </c>
      <c r="UBV6" s="44">
        <f>Database!UCO14</f>
        <v>0</v>
      </c>
      <c r="UBW6" s="44">
        <f>Database!UCP14</f>
        <v>0</v>
      </c>
      <c r="UBX6" s="44">
        <f>Database!UCQ14</f>
        <v>0</v>
      </c>
      <c r="UBY6" s="44">
        <f>Database!UCR14</f>
        <v>0</v>
      </c>
      <c r="UBZ6" s="44">
        <f>Database!UCS14</f>
        <v>0</v>
      </c>
      <c r="UCA6" s="44">
        <f>Database!UCT14</f>
        <v>0</v>
      </c>
      <c r="UCB6" s="44">
        <f>Database!UCU14</f>
        <v>0</v>
      </c>
      <c r="UCC6" s="44">
        <f>Database!UCV14</f>
        <v>0</v>
      </c>
      <c r="UCD6" s="44">
        <f>Database!UCW14</f>
        <v>0</v>
      </c>
      <c r="UCE6" s="44">
        <f>Database!UCX14</f>
        <v>0</v>
      </c>
      <c r="UCF6" s="44">
        <f>Database!UCY14</f>
        <v>0</v>
      </c>
      <c r="UCG6" s="44">
        <f>Database!UCZ14</f>
        <v>0</v>
      </c>
      <c r="UCH6" s="44">
        <f>Database!UDA14</f>
        <v>0</v>
      </c>
      <c r="UCI6" s="44">
        <f>Database!UDB14</f>
        <v>0</v>
      </c>
      <c r="UCJ6" s="44">
        <f>Database!UDC14</f>
        <v>0</v>
      </c>
      <c r="UCK6" s="44">
        <f>Database!UDD14</f>
        <v>0</v>
      </c>
      <c r="UCL6" s="44">
        <f>Database!UDE14</f>
        <v>0</v>
      </c>
      <c r="UCM6" s="44">
        <f>Database!UDF14</f>
        <v>0</v>
      </c>
      <c r="UCN6" s="44">
        <f>Database!UDG14</f>
        <v>0</v>
      </c>
      <c r="UCO6" s="44">
        <f>Database!UDH14</f>
        <v>0</v>
      </c>
      <c r="UCP6" s="44">
        <f>Database!UDI14</f>
        <v>0</v>
      </c>
      <c r="UCQ6" s="44">
        <f>Database!UDJ14</f>
        <v>0</v>
      </c>
      <c r="UCR6" s="44">
        <f>Database!UDK14</f>
        <v>0</v>
      </c>
      <c r="UCS6" s="44">
        <f>Database!UDL14</f>
        <v>0</v>
      </c>
      <c r="UCT6" s="44">
        <f>Database!UDM14</f>
        <v>0</v>
      </c>
      <c r="UCU6" s="44">
        <f>Database!UDN14</f>
        <v>0</v>
      </c>
      <c r="UCV6" s="44">
        <f>Database!UDO14</f>
        <v>0</v>
      </c>
      <c r="UCW6" s="44">
        <f>Database!UDP14</f>
        <v>0</v>
      </c>
      <c r="UCX6" s="44">
        <f>Database!UDQ14</f>
        <v>0</v>
      </c>
      <c r="UCY6" s="44">
        <f>Database!UDR14</f>
        <v>0</v>
      </c>
      <c r="UCZ6" s="44">
        <f>Database!UDS14</f>
        <v>0</v>
      </c>
      <c r="UDA6" s="44">
        <f>Database!UDT14</f>
        <v>0</v>
      </c>
      <c r="UDB6" s="44">
        <f>Database!UDU14</f>
        <v>0</v>
      </c>
      <c r="UDC6" s="44">
        <f>Database!UDV14</f>
        <v>0</v>
      </c>
      <c r="UDD6" s="44">
        <f>Database!UDW14</f>
        <v>0</v>
      </c>
      <c r="UDE6" s="44">
        <f>Database!UDX14</f>
        <v>0</v>
      </c>
      <c r="UDF6" s="44">
        <f>Database!UDY14</f>
        <v>0</v>
      </c>
      <c r="UDG6" s="44">
        <f>Database!UDZ14</f>
        <v>0</v>
      </c>
      <c r="UDH6" s="44">
        <f>Database!UEA14</f>
        <v>0</v>
      </c>
      <c r="UDI6" s="44">
        <f>Database!UEB14</f>
        <v>0</v>
      </c>
      <c r="UDJ6" s="44">
        <f>Database!UEC14</f>
        <v>0</v>
      </c>
      <c r="UDK6" s="44">
        <f>Database!UED14</f>
        <v>0</v>
      </c>
      <c r="UDL6" s="44">
        <f>Database!UEE14</f>
        <v>0</v>
      </c>
      <c r="UDM6" s="44">
        <f>Database!UEF14</f>
        <v>0</v>
      </c>
      <c r="UDN6" s="44">
        <f>Database!UEG14</f>
        <v>0</v>
      </c>
      <c r="UDO6" s="44">
        <f>Database!UEH14</f>
        <v>0</v>
      </c>
      <c r="UDP6" s="44">
        <f>Database!UEI14</f>
        <v>0</v>
      </c>
      <c r="UDQ6" s="44">
        <f>Database!UEJ14</f>
        <v>0</v>
      </c>
      <c r="UDR6" s="44">
        <f>Database!UEK14</f>
        <v>0</v>
      </c>
      <c r="UDS6" s="44">
        <f>Database!UEL14</f>
        <v>0</v>
      </c>
      <c r="UDT6" s="44">
        <f>Database!UEM14</f>
        <v>0</v>
      </c>
      <c r="UDU6" s="44">
        <f>Database!UEN14</f>
        <v>0</v>
      </c>
      <c r="UDV6" s="44">
        <f>Database!UEO14</f>
        <v>0</v>
      </c>
      <c r="UDW6" s="44">
        <f>Database!UEP14</f>
        <v>0</v>
      </c>
      <c r="UDX6" s="44">
        <f>Database!UEQ14</f>
        <v>0</v>
      </c>
      <c r="UDY6" s="44">
        <f>Database!UER14</f>
        <v>0</v>
      </c>
      <c r="UDZ6" s="44">
        <f>Database!UES14</f>
        <v>0</v>
      </c>
      <c r="UEA6" s="44">
        <f>Database!UET14</f>
        <v>0</v>
      </c>
      <c r="UEB6" s="44">
        <f>Database!UEU14</f>
        <v>0</v>
      </c>
      <c r="UEC6" s="44">
        <f>Database!UEV14</f>
        <v>0</v>
      </c>
      <c r="UED6" s="44">
        <f>Database!UEW14</f>
        <v>0</v>
      </c>
      <c r="UEE6" s="44">
        <f>Database!UEX14</f>
        <v>0</v>
      </c>
      <c r="UEF6" s="44">
        <f>Database!UEY14</f>
        <v>0</v>
      </c>
      <c r="UEG6" s="44">
        <f>Database!UEZ14</f>
        <v>0</v>
      </c>
      <c r="UEH6" s="44">
        <f>Database!UFA14</f>
        <v>0</v>
      </c>
      <c r="UEI6" s="44">
        <f>Database!UFB14</f>
        <v>0</v>
      </c>
      <c r="UEJ6" s="44">
        <f>Database!UFC14</f>
        <v>0</v>
      </c>
      <c r="UEK6" s="44">
        <f>Database!UFD14</f>
        <v>0</v>
      </c>
      <c r="UEL6" s="44">
        <f>Database!UFE14</f>
        <v>0</v>
      </c>
      <c r="UEM6" s="44">
        <f>Database!UFF14</f>
        <v>0</v>
      </c>
      <c r="UEN6" s="44">
        <f>Database!UFG14</f>
        <v>0</v>
      </c>
      <c r="UEO6" s="44">
        <f>Database!UFH14</f>
        <v>0</v>
      </c>
      <c r="UEP6" s="44">
        <f>Database!UFI14</f>
        <v>0</v>
      </c>
      <c r="UEQ6" s="44">
        <f>Database!UFJ14</f>
        <v>0</v>
      </c>
      <c r="UER6" s="44">
        <f>Database!UFK14</f>
        <v>0</v>
      </c>
      <c r="UES6" s="44">
        <f>Database!UFL14</f>
        <v>0</v>
      </c>
      <c r="UET6" s="44">
        <f>Database!UFM14</f>
        <v>0</v>
      </c>
      <c r="UEU6" s="44">
        <f>Database!UFN14</f>
        <v>0</v>
      </c>
      <c r="UEV6" s="44">
        <f>Database!UFO14</f>
        <v>0</v>
      </c>
      <c r="UEW6" s="44">
        <f>Database!UFP14</f>
        <v>0</v>
      </c>
      <c r="UEX6" s="44">
        <f>Database!UFQ14</f>
        <v>0</v>
      </c>
      <c r="UEY6" s="44">
        <f>Database!UFR14</f>
        <v>0</v>
      </c>
      <c r="UEZ6" s="44">
        <f>Database!UFS14</f>
        <v>0</v>
      </c>
      <c r="UFA6" s="44">
        <f>Database!UFT14</f>
        <v>0</v>
      </c>
      <c r="UFB6" s="44">
        <f>Database!UFU14</f>
        <v>0</v>
      </c>
      <c r="UFC6" s="44">
        <f>Database!UFV14</f>
        <v>0</v>
      </c>
      <c r="UFD6" s="44">
        <f>Database!UFW14</f>
        <v>0</v>
      </c>
      <c r="UFE6" s="44">
        <f>Database!UFX14</f>
        <v>0</v>
      </c>
      <c r="UFF6" s="44">
        <f>Database!UFY14</f>
        <v>0</v>
      </c>
      <c r="UFG6" s="44">
        <f>Database!UFZ14</f>
        <v>0</v>
      </c>
      <c r="UFH6" s="44">
        <f>Database!UGA14</f>
        <v>0</v>
      </c>
      <c r="UFI6" s="44">
        <f>Database!UGB14</f>
        <v>0</v>
      </c>
      <c r="UFJ6" s="44">
        <f>Database!UGC14</f>
        <v>0</v>
      </c>
      <c r="UFK6" s="44">
        <f>Database!UGD14</f>
        <v>0</v>
      </c>
      <c r="UFL6" s="44">
        <f>Database!UGE14</f>
        <v>0</v>
      </c>
      <c r="UFM6" s="44">
        <f>Database!UGF14</f>
        <v>0</v>
      </c>
      <c r="UFN6" s="44">
        <f>Database!UGG14</f>
        <v>0</v>
      </c>
      <c r="UFO6" s="44">
        <f>Database!UGH14</f>
        <v>0</v>
      </c>
      <c r="UFP6" s="44">
        <f>Database!UGI14</f>
        <v>0</v>
      </c>
      <c r="UFQ6" s="44">
        <f>Database!UGJ14</f>
        <v>0</v>
      </c>
      <c r="UFR6" s="44">
        <f>Database!UGK14</f>
        <v>0</v>
      </c>
      <c r="UFS6" s="44">
        <f>Database!UGL14</f>
        <v>0</v>
      </c>
      <c r="UFT6" s="44">
        <f>Database!UGM14</f>
        <v>0</v>
      </c>
      <c r="UFU6" s="44">
        <f>Database!UGN14</f>
        <v>0</v>
      </c>
      <c r="UFV6" s="44">
        <f>Database!UGO14</f>
        <v>0</v>
      </c>
      <c r="UFW6" s="44">
        <f>Database!UGP14</f>
        <v>0</v>
      </c>
      <c r="UFX6" s="44">
        <f>Database!UGQ14</f>
        <v>0</v>
      </c>
      <c r="UFY6" s="44">
        <f>Database!UGR14</f>
        <v>0</v>
      </c>
      <c r="UFZ6" s="44">
        <f>Database!UGS14</f>
        <v>0</v>
      </c>
      <c r="UGA6" s="44">
        <f>Database!UGT14</f>
        <v>0</v>
      </c>
      <c r="UGB6" s="44">
        <f>Database!UGU14</f>
        <v>0</v>
      </c>
      <c r="UGC6" s="44">
        <f>Database!UGV14</f>
        <v>0</v>
      </c>
      <c r="UGD6" s="44">
        <f>Database!UGW14</f>
        <v>0</v>
      </c>
      <c r="UGE6" s="44">
        <f>Database!UGX14</f>
        <v>0</v>
      </c>
      <c r="UGF6" s="44">
        <f>Database!UGY14</f>
        <v>0</v>
      </c>
      <c r="UGG6" s="44">
        <f>Database!UGZ14</f>
        <v>0</v>
      </c>
      <c r="UGH6" s="44">
        <f>Database!UHA14</f>
        <v>0</v>
      </c>
      <c r="UGI6" s="44">
        <f>Database!UHB14</f>
        <v>0</v>
      </c>
      <c r="UGJ6" s="44">
        <f>Database!UHC14</f>
        <v>0</v>
      </c>
      <c r="UGK6" s="44">
        <f>Database!UHD14</f>
        <v>0</v>
      </c>
      <c r="UGL6" s="44">
        <f>Database!UHE14</f>
        <v>0</v>
      </c>
      <c r="UGM6" s="44">
        <f>Database!UHF14</f>
        <v>0</v>
      </c>
      <c r="UGN6" s="44">
        <f>Database!UHG14</f>
        <v>0</v>
      </c>
      <c r="UGO6" s="44">
        <f>Database!UHH14</f>
        <v>0</v>
      </c>
      <c r="UGP6" s="44">
        <f>Database!UHI14</f>
        <v>0</v>
      </c>
      <c r="UGQ6" s="44">
        <f>Database!UHJ14</f>
        <v>0</v>
      </c>
      <c r="UGR6" s="44">
        <f>Database!UHK14</f>
        <v>0</v>
      </c>
      <c r="UGS6" s="44">
        <f>Database!UHL14</f>
        <v>0</v>
      </c>
      <c r="UGT6" s="44">
        <f>Database!UHM14</f>
        <v>0</v>
      </c>
      <c r="UGU6" s="44">
        <f>Database!UHN14</f>
        <v>0</v>
      </c>
      <c r="UGV6" s="44">
        <f>Database!UHO14</f>
        <v>0</v>
      </c>
      <c r="UGW6" s="44">
        <f>Database!UHP14</f>
        <v>0</v>
      </c>
      <c r="UGX6" s="44">
        <f>Database!UHQ14</f>
        <v>0</v>
      </c>
      <c r="UGY6" s="44">
        <f>Database!UHR14</f>
        <v>0</v>
      </c>
      <c r="UGZ6" s="44">
        <f>Database!UHS14</f>
        <v>0</v>
      </c>
      <c r="UHA6" s="44">
        <f>Database!UHT14</f>
        <v>0</v>
      </c>
      <c r="UHB6" s="44">
        <f>Database!UHU14</f>
        <v>0</v>
      </c>
      <c r="UHC6" s="44">
        <f>Database!UHV14</f>
        <v>0</v>
      </c>
      <c r="UHD6" s="44">
        <f>Database!UHW14</f>
        <v>0</v>
      </c>
      <c r="UHE6" s="44">
        <f>Database!UHX14</f>
        <v>0</v>
      </c>
      <c r="UHF6" s="44">
        <f>Database!UHY14</f>
        <v>0</v>
      </c>
      <c r="UHG6" s="44">
        <f>Database!UHZ14</f>
        <v>0</v>
      </c>
      <c r="UHH6" s="44">
        <f>Database!UIA14</f>
        <v>0</v>
      </c>
      <c r="UHI6" s="44">
        <f>Database!UIB14</f>
        <v>0</v>
      </c>
      <c r="UHJ6" s="44">
        <f>Database!UIC14</f>
        <v>0</v>
      </c>
      <c r="UHK6" s="44">
        <f>Database!UID14</f>
        <v>0</v>
      </c>
      <c r="UHL6" s="44">
        <f>Database!UIE14</f>
        <v>0</v>
      </c>
      <c r="UHM6" s="44">
        <f>Database!UIF14</f>
        <v>0</v>
      </c>
      <c r="UHN6" s="44">
        <f>Database!UIG14</f>
        <v>0</v>
      </c>
      <c r="UHO6" s="44">
        <f>Database!UIH14</f>
        <v>0</v>
      </c>
      <c r="UHP6" s="44">
        <f>Database!UII14</f>
        <v>0</v>
      </c>
      <c r="UHQ6" s="44">
        <f>Database!UIJ14</f>
        <v>0</v>
      </c>
      <c r="UHR6" s="44">
        <f>Database!UIK14</f>
        <v>0</v>
      </c>
      <c r="UHS6" s="44">
        <f>Database!UIL14</f>
        <v>0</v>
      </c>
      <c r="UHT6" s="44">
        <f>Database!UIM14</f>
        <v>0</v>
      </c>
      <c r="UHU6" s="44">
        <f>Database!UIN14</f>
        <v>0</v>
      </c>
      <c r="UHV6" s="44">
        <f>Database!UIO14</f>
        <v>0</v>
      </c>
      <c r="UHW6" s="44">
        <f>Database!UIP14</f>
        <v>0</v>
      </c>
      <c r="UHX6" s="44">
        <f>Database!UIQ14</f>
        <v>0</v>
      </c>
      <c r="UHY6" s="44">
        <f>Database!UIR14</f>
        <v>0</v>
      </c>
      <c r="UHZ6" s="44">
        <f>Database!UIS14</f>
        <v>0</v>
      </c>
      <c r="UIA6" s="44">
        <f>Database!UIT14</f>
        <v>0</v>
      </c>
      <c r="UIB6" s="44">
        <f>Database!UIU14</f>
        <v>0</v>
      </c>
      <c r="UIC6" s="44">
        <f>Database!UIV14</f>
        <v>0</v>
      </c>
      <c r="UID6" s="44">
        <f>Database!UIW14</f>
        <v>0</v>
      </c>
      <c r="UIE6" s="44">
        <f>Database!UIX14</f>
        <v>0</v>
      </c>
      <c r="UIF6" s="44">
        <f>Database!UIY14</f>
        <v>0</v>
      </c>
      <c r="UIG6" s="44">
        <f>Database!UIZ14</f>
        <v>0</v>
      </c>
      <c r="UIH6" s="44">
        <f>Database!UJA14</f>
        <v>0</v>
      </c>
      <c r="UII6" s="44">
        <f>Database!UJB14</f>
        <v>0</v>
      </c>
      <c r="UIJ6" s="44">
        <f>Database!UJC14</f>
        <v>0</v>
      </c>
      <c r="UIK6" s="44">
        <f>Database!UJD14</f>
        <v>0</v>
      </c>
      <c r="UIL6" s="44">
        <f>Database!UJE14</f>
        <v>0</v>
      </c>
      <c r="UIM6" s="44">
        <f>Database!UJF14</f>
        <v>0</v>
      </c>
      <c r="UIN6" s="44">
        <f>Database!UJG14</f>
        <v>0</v>
      </c>
      <c r="UIO6" s="44">
        <f>Database!UJH14</f>
        <v>0</v>
      </c>
      <c r="UIP6" s="44">
        <f>Database!UJI14</f>
        <v>0</v>
      </c>
      <c r="UIQ6" s="44">
        <f>Database!UJJ14</f>
        <v>0</v>
      </c>
      <c r="UIR6" s="44">
        <f>Database!UJK14</f>
        <v>0</v>
      </c>
      <c r="UIS6" s="44">
        <f>Database!UJL14</f>
        <v>0</v>
      </c>
      <c r="UIT6" s="44">
        <f>Database!UJM14</f>
        <v>0</v>
      </c>
      <c r="UIU6" s="44">
        <f>Database!UJN14</f>
        <v>0</v>
      </c>
      <c r="UIV6" s="44">
        <f>Database!UJO14</f>
        <v>0</v>
      </c>
      <c r="UIW6" s="44">
        <f>Database!UJP14</f>
        <v>0</v>
      </c>
      <c r="UIX6" s="44">
        <f>Database!UJQ14</f>
        <v>0</v>
      </c>
      <c r="UIY6" s="44">
        <f>Database!UJR14</f>
        <v>0</v>
      </c>
      <c r="UIZ6" s="44">
        <f>Database!UJS14</f>
        <v>0</v>
      </c>
      <c r="UJA6" s="44">
        <f>Database!UJT14</f>
        <v>0</v>
      </c>
      <c r="UJB6" s="44">
        <f>Database!UJU14</f>
        <v>0</v>
      </c>
      <c r="UJC6" s="44">
        <f>Database!UJV14</f>
        <v>0</v>
      </c>
      <c r="UJD6" s="44">
        <f>Database!UJW14</f>
        <v>0</v>
      </c>
      <c r="UJE6" s="44">
        <f>Database!UJX14</f>
        <v>0</v>
      </c>
      <c r="UJF6" s="44">
        <f>Database!UJY14</f>
        <v>0</v>
      </c>
      <c r="UJG6" s="44">
        <f>Database!UJZ14</f>
        <v>0</v>
      </c>
      <c r="UJH6" s="44">
        <f>Database!UKA14</f>
        <v>0</v>
      </c>
      <c r="UJI6" s="44">
        <f>Database!UKB14</f>
        <v>0</v>
      </c>
      <c r="UJJ6" s="44">
        <f>Database!UKC14</f>
        <v>0</v>
      </c>
      <c r="UJK6" s="44">
        <f>Database!UKD14</f>
        <v>0</v>
      </c>
      <c r="UJL6" s="44">
        <f>Database!UKE14</f>
        <v>0</v>
      </c>
      <c r="UJM6" s="44">
        <f>Database!UKF14</f>
        <v>0</v>
      </c>
      <c r="UJN6" s="44">
        <f>Database!UKG14</f>
        <v>0</v>
      </c>
      <c r="UJO6" s="44">
        <f>Database!UKH14</f>
        <v>0</v>
      </c>
      <c r="UJP6" s="44">
        <f>Database!UKI14</f>
        <v>0</v>
      </c>
      <c r="UJQ6" s="44">
        <f>Database!UKJ14</f>
        <v>0</v>
      </c>
      <c r="UJR6" s="44">
        <f>Database!UKK14</f>
        <v>0</v>
      </c>
      <c r="UJS6" s="44">
        <f>Database!UKL14</f>
        <v>0</v>
      </c>
      <c r="UJT6" s="44">
        <f>Database!UKM14</f>
        <v>0</v>
      </c>
      <c r="UJU6" s="44">
        <f>Database!UKN14</f>
        <v>0</v>
      </c>
      <c r="UJV6" s="44">
        <f>Database!UKO14</f>
        <v>0</v>
      </c>
      <c r="UJW6" s="44">
        <f>Database!UKP14</f>
        <v>0</v>
      </c>
      <c r="UJX6" s="44">
        <f>Database!UKQ14</f>
        <v>0</v>
      </c>
      <c r="UJY6" s="44">
        <f>Database!UKR14</f>
        <v>0</v>
      </c>
      <c r="UJZ6" s="44">
        <f>Database!UKS14</f>
        <v>0</v>
      </c>
      <c r="UKA6" s="44">
        <f>Database!UKT14</f>
        <v>0</v>
      </c>
      <c r="UKB6" s="44">
        <f>Database!UKU14</f>
        <v>0</v>
      </c>
      <c r="UKC6" s="44">
        <f>Database!UKV14</f>
        <v>0</v>
      </c>
      <c r="UKD6" s="44">
        <f>Database!UKW14</f>
        <v>0</v>
      </c>
      <c r="UKE6" s="44">
        <f>Database!UKX14</f>
        <v>0</v>
      </c>
      <c r="UKF6" s="44">
        <f>Database!UKY14</f>
        <v>0</v>
      </c>
      <c r="UKG6" s="44">
        <f>Database!UKZ14</f>
        <v>0</v>
      </c>
      <c r="UKH6" s="44">
        <f>Database!ULA14</f>
        <v>0</v>
      </c>
      <c r="UKI6" s="44">
        <f>Database!ULB14</f>
        <v>0</v>
      </c>
      <c r="UKJ6" s="44">
        <f>Database!ULC14</f>
        <v>0</v>
      </c>
      <c r="UKK6" s="44">
        <f>Database!ULD14</f>
        <v>0</v>
      </c>
      <c r="UKL6" s="44">
        <f>Database!ULE14</f>
        <v>0</v>
      </c>
      <c r="UKM6" s="44">
        <f>Database!ULF14</f>
        <v>0</v>
      </c>
      <c r="UKN6" s="44">
        <f>Database!ULG14</f>
        <v>0</v>
      </c>
      <c r="UKO6" s="44">
        <f>Database!ULH14</f>
        <v>0</v>
      </c>
      <c r="UKP6" s="44">
        <f>Database!ULI14</f>
        <v>0</v>
      </c>
      <c r="UKQ6" s="44">
        <f>Database!ULJ14</f>
        <v>0</v>
      </c>
      <c r="UKR6" s="44">
        <f>Database!ULK14</f>
        <v>0</v>
      </c>
      <c r="UKS6" s="44">
        <f>Database!ULL14</f>
        <v>0</v>
      </c>
      <c r="UKT6" s="44">
        <f>Database!ULM14</f>
        <v>0</v>
      </c>
      <c r="UKU6" s="44">
        <f>Database!ULN14</f>
        <v>0</v>
      </c>
      <c r="UKV6" s="44">
        <f>Database!ULO14</f>
        <v>0</v>
      </c>
      <c r="UKW6" s="44">
        <f>Database!ULP14</f>
        <v>0</v>
      </c>
      <c r="UKX6" s="44">
        <f>Database!ULQ14</f>
        <v>0</v>
      </c>
      <c r="UKY6" s="44">
        <f>Database!ULR14</f>
        <v>0</v>
      </c>
      <c r="UKZ6" s="44">
        <f>Database!ULS14</f>
        <v>0</v>
      </c>
      <c r="ULA6" s="44">
        <f>Database!ULT14</f>
        <v>0</v>
      </c>
      <c r="ULB6" s="44">
        <f>Database!ULU14</f>
        <v>0</v>
      </c>
      <c r="ULC6" s="44">
        <f>Database!ULV14</f>
        <v>0</v>
      </c>
      <c r="ULD6" s="44">
        <f>Database!ULW14</f>
        <v>0</v>
      </c>
      <c r="ULE6" s="44">
        <f>Database!ULX14</f>
        <v>0</v>
      </c>
      <c r="ULF6" s="44">
        <f>Database!ULY14</f>
        <v>0</v>
      </c>
      <c r="ULG6" s="44">
        <f>Database!ULZ14</f>
        <v>0</v>
      </c>
      <c r="ULH6" s="44">
        <f>Database!UMA14</f>
        <v>0</v>
      </c>
      <c r="ULI6" s="44">
        <f>Database!UMB14</f>
        <v>0</v>
      </c>
      <c r="ULJ6" s="44">
        <f>Database!UMC14</f>
        <v>0</v>
      </c>
      <c r="ULK6" s="44">
        <f>Database!UMD14</f>
        <v>0</v>
      </c>
      <c r="ULL6" s="44">
        <f>Database!UME14</f>
        <v>0</v>
      </c>
      <c r="ULM6" s="44">
        <f>Database!UMF14</f>
        <v>0</v>
      </c>
      <c r="ULN6" s="44">
        <f>Database!UMG14</f>
        <v>0</v>
      </c>
      <c r="ULO6" s="44">
        <f>Database!UMH14</f>
        <v>0</v>
      </c>
      <c r="ULP6" s="44">
        <f>Database!UMI14</f>
        <v>0</v>
      </c>
      <c r="ULQ6" s="44">
        <f>Database!UMJ14</f>
        <v>0</v>
      </c>
      <c r="ULR6" s="44">
        <f>Database!UMK14</f>
        <v>0</v>
      </c>
      <c r="ULS6" s="44">
        <f>Database!UML14</f>
        <v>0</v>
      </c>
      <c r="ULT6" s="44">
        <f>Database!UMM14</f>
        <v>0</v>
      </c>
      <c r="ULU6" s="44">
        <f>Database!UMN14</f>
        <v>0</v>
      </c>
      <c r="ULV6" s="44">
        <f>Database!UMO14</f>
        <v>0</v>
      </c>
      <c r="ULW6" s="44">
        <f>Database!UMP14</f>
        <v>0</v>
      </c>
      <c r="ULX6" s="44">
        <f>Database!UMQ14</f>
        <v>0</v>
      </c>
      <c r="ULY6" s="44">
        <f>Database!UMR14</f>
        <v>0</v>
      </c>
      <c r="ULZ6" s="44">
        <f>Database!UMS14</f>
        <v>0</v>
      </c>
      <c r="UMA6" s="44">
        <f>Database!UMT14</f>
        <v>0</v>
      </c>
      <c r="UMB6" s="44">
        <f>Database!UMU14</f>
        <v>0</v>
      </c>
      <c r="UMC6" s="44">
        <f>Database!UMV14</f>
        <v>0</v>
      </c>
      <c r="UMD6" s="44">
        <f>Database!UMW14</f>
        <v>0</v>
      </c>
      <c r="UME6" s="44">
        <f>Database!UMX14</f>
        <v>0</v>
      </c>
      <c r="UMF6" s="44">
        <f>Database!UMY14</f>
        <v>0</v>
      </c>
      <c r="UMG6" s="44">
        <f>Database!UMZ14</f>
        <v>0</v>
      </c>
      <c r="UMH6" s="44">
        <f>Database!UNA14</f>
        <v>0</v>
      </c>
      <c r="UMI6" s="44">
        <f>Database!UNB14</f>
        <v>0</v>
      </c>
      <c r="UMJ6" s="44">
        <f>Database!UNC14</f>
        <v>0</v>
      </c>
      <c r="UMK6" s="44">
        <f>Database!UND14</f>
        <v>0</v>
      </c>
      <c r="UML6" s="44">
        <f>Database!UNE14</f>
        <v>0</v>
      </c>
      <c r="UMM6" s="44">
        <f>Database!UNF14</f>
        <v>0</v>
      </c>
      <c r="UMN6" s="44">
        <f>Database!UNG14</f>
        <v>0</v>
      </c>
      <c r="UMO6" s="44">
        <f>Database!UNH14</f>
        <v>0</v>
      </c>
      <c r="UMP6" s="44">
        <f>Database!UNI14</f>
        <v>0</v>
      </c>
      <c r="UMQ6" s="44">
        <f>Database!UNJ14</f>
        <v>0</v>
      </c>
      <c r="UMR6" s="44">
        <f>Database!UNK14</f>
        <v>0</v>
      </c>
      <c r="UMS6" s="44">
        <f>Database!UNL14</f>
        <v>0</v>
      </c>
      <c r="UMT6" s="44">
        <f>Database!UNM14</f>
        <v>0</v>
      </c>
      <c r="UMU6" s="44">
        <f>Database!UNN14</f>
        <v>0</v>
      </c>
      <c r="UMV6" s="44">
        <f>Database!UNO14</f>
        <v>0</v>
      </c>
      <c r="UMW6" s="44">
        <f>Database!UNP14</f>
        <v>0</v>
      </c>
      <c r="UMX6" s="44">
        <f>Database!UNQ14</f>
        <v>0</v>
      </c>
      <c r="UMY6" s="44">
        <f>Database!UNR14</f>
        <v>0</v>
      </c>
      <c r="UMZ6" s="44">
        <f>Database!UNS14</f>
        <v>0</v>
      </c>
      <c r="UNA6" s="44">
        <f>Database!UNT14</f>
        <v>0</v>
      </c>
      <c r="UNB6" s="44">
        <f>Database!UNU14</f>
        <v>0</v>
      </c>
      <c r="UNC6" s="44">
        <f>Database!UNV14</f>
        <v>0</v>
      </c>
      <c r="UND6" s="44">
        <f>Database!UNW14</f>
        <v>0</v>
      </c>
      <c r="UNE6" s="44">
        <f>Database!UNX14</f>
        <v>0</v>
      </c>
      <c r="UNF6" s="44">
        <f>Database!UNY14</f>
        <v>0</v>
      </c>
      <c r="UNG6" s="44">
        <f>Database!UNZ14</f>
        <v>0</v>
      </c>
      <c r="UNH6" s="44">
        <f>Database!UOA14</f>
        <v>0</v>
      </c>
      <c r="UNI6" s="44">
        <f>Database!UOB14</f>
        <v>0</v>
      </c>
      <c r="UNJ6" s="44">
        <f>Database!UOC14</f>
        <v>0</v>
      </c>
      <c r="UNK6" s="44">
        <f>Database!UOD14</f>
        <v>0</v>
      </c>
      <c r="UNL6" s="44">
        <f>Database!UOE14</f>
        <v>0</v>
      </c>
      <c r="UNM6" s="44">
        <f>Database!UOF14</f>
        <v>0</v>
      </c>
      <c r="UNN6" s="44">
        <f>Database!UOG14</f>
        <v>0</v>
      </c>
      <c r="UNO6" s="44">
        <f>Database!UOH14</f>
        <v>0</v>
      </c>
      <c r="UNP6" s="44">
        <f>Database!UOI14</f>
        <v>0</v>
      </c>
      <c r="UNQ6" s="44">
        <f>Database!UOJ14</f>
        <v>0</v>
      </c>
      <c r="UNR6" s="44">
        <f>Database!UOK14</f>
        <v>0</v>
      </c>
      <c r="UNS6" s="44">
        <f>Database!UOL14</f>
        <v>0</v>
      </c>
      <c r="UNT6" s="44">
        <f>Database!UOM14</f>
        <v>0</v>
      </c>
      <c r="UNU6" s="44">
        <f>Database!UON14</f>
        <v>0</v>
      </c>
      <c r="UNV6" s="44">
        <f>Database!UOO14</f>
        <v>0</v>
      </c>
      <c r="UNW6" s="44">
        <f>Database!UOP14</f>
        <v>0</v>
      </c>
      <c r="UNX6" s="44">
        <f>Database!UOQ14</f>
        <v>0</v>
      </c>
      <c r="UNY6" s="44">
        <f>Database!UOR14</f>
        <v>0</v>
      </c>
      <c r="UNZ6" s="44">
        <f>Database!UOS14</f>
        <v>0</v>
      </c>
      <c r="UOA6" s="44">
        <f>Database!UOT14</f>
        <v>0</v>
      </c>
      <c r="UOB6" s="44">
        <f>Database!UOU14</f>
        <v>0</v>
      </c>
      <c r="UOC6" s="44">
        <f>Database!UOV14</f>
        <v>0</v>
      </c>
      <c r="UOD6" s="44">
        <f>Database!UOW14</f>
        <v>0</v>
      </c>
      <c r="UOE6" s="44">
        <f>Database!UOX14</f>
        <v>0</v>
      </c>
      <c r="UOF6" s="44">
        <f>Database!UOY14</f>
        <v>0</v>
      </c>
      <c r="UOG6" s="44">
        <f>Database!UOZ14</f>
        <v>0</v>
      </c>
      <c r="UOH6" s="44">
        <f>Database!UPA14</f>
        <v>0</v>
      </c>
      <c r="UOI6" s="44">
        <f>Database!UPB14</f>
        <v>0</v>
      </c>
      <c r="UOJ6" s="44">
        <f>Database!UPC14</f>
        <v>0</v>
      </c>
      <c r="UOK6" s="44">
        <f>Database!UPD14</f>
        <v>0</v>
      </c>
      <c r="UOL6" s="44">
        <f>Database!UPE14</f>
        <v>0</v>
      </c>
      <c r="UOM6" s="44">
        <f>Database!UPF14</f>
        <v>0</v>
      </c>
      <c r="UON6" s="44">
        <f>Database!UPG14</f>
        <v>0</v>
      </c>
      <c r="UOO6" s="44">
        <f>Database!UPH14</f>
        <v>0</v>
      </c>
      <c r="UOP6" s="44">
        <f>Database!UPI14</f>
        <v>0</v>
      </c>
      <c r="UOQ6" s="44">
        <f>Database!UPJ14</f>
        <v>0</v>
      </c>
      <c r="UOR6" s="44">
        <f>Database!UPK14</f>
        <v>0</v>
      </c>
      <c r="UOS6" s="44">
        <f>Database!UPL14</f>
        <v>0</v>
      </c>
      <c r="UOT6" s="44">
        <f>Database!UPM14</f>
        <v>0</v>
      </c>
      <c r="UOU6" s="44">
        <f>Database!UPN14</f>
        <v>0</v>
      </c>
      <c r="UOV6" s="44">
        <f>Database!UPO14</f>
        <v>0</v>
      </c>
      <c r="UOW6" s="44">
        <f>Database!UPP14</f>
        <v>0</v>
      </c>
      <c r="UOX6" s="44">
        <f>Database!UPQ14</f>
        <v>0</v>
      </c>
      <c r="UOY6" s="44">
        <f>Database!UPR14</f>
        <v>0</v>
      </c>
      <c r="UOZ6" s="44">
        <f>Database!UPS14</f>
        <v>0</v>
      </c>
      <c r="UPA6" s="44">
        <f>Database!UPT14</f>
        <v>0</v>
      </c>
      <c r="UPB6" s="44">
        <f>Database!UPU14</f>
        <v>0</v>
      </c>
      <c r="UPC6" s="44">
        <f>Database!UPV14</f>
        <v>0</v>
      </c>
      <c r="UPD6" s="44">
        <f>Database!UPW14</f>
        <v>0</v>
      </c>
      <c r="UPE6" s="44">
        <f>Database!UPX14</f>
        <v>0</v>
      </c>
      <c r="UPF6" s="44">
        <f>Database!UPY14</f>
        <v>0</v>
      </c>
      <c r="UPG6" s="44">
        <f>Database!UPZ14</f>
        <v>0</v>
      </c>
      <c r="UPH6" s="44">
        <f>Database!UQA14</f>
        <v>0</v>
      </c>
      <c r="UPI6" s="44">
        <f>Database!UQB14</f>
        <v>0</v>
      </c>
      <c r="UPJ6" s="44">
        <f>Database!UQC14</f>
        <v>0</v>
      </c>
      <c r="UPK6" s="44">
        <f>Database!UQD14</f>
        <v>0</v>
      </c>
      <c r="UPL6" s="44">
        <f>Database!UQE14</f>
        <v>0</v>
      </c>
      <c r="UPM6" s="44">
        <f>Database!UQF14</f>
        <v>0</v>
      </c>
      <c r="UPN6" s="44">
        <f>Database!UQG14</f>
        <v>0</v>
      </c>
      <c r="UPO6" s="44">
        <f>Database!UQH14</f>
        <v>0</v>
      </c>
      <c r="UPP6" s="44">
        <f>Database!UQI14</f>
        <v>0</v>
      </c>
      <c r="UPQ6" s="44">
        <f>Database!UQJ14</f>
        <v>0</v>
      </c>
      <c r="UPR6" s="44">
        <f>Database!UQK14</f>
        <v>0</v>
      </c>
      <c r="UPS6" s="44">
        <f>Database!UQL14</f>
        <v>0</v>
      </c>
      <c r="UPT6" s="44">
        <f>Database!UQM14</f>
        <v>0</v>
      </c>
      <c r="UPU6" s="44">
        <f>Database!UQN14</f>
        <v>0</v>
      </c>
      <c r="UPV6" s="44">
        <f>Database!UQO14</f>
        <v>0</v>
      </c>
      <c r="UPW6" s="44">
        <f>Database!UQP14</f>
        <v>0</v>
      </c>
      <c r="UPX6" s="44">
        <f>Database!UQQ14</f>
        <v>0</v>
      </c>
      <c r="UPY6" s="44">
        <f>Database!UQR14</f>
        <v>0</v>
      </c>
      <c r="UPZ6" s="44">
        <f>Database!UQS14</f>
        <v>0</v>
      </c>
      <c r="UQA6" s="44">
        <f>Database!UQT14</f>
        <v>0</v>
      </c>
      <c r="UQB6" s="44">
        <f>Database!UQU14</f>
        <v>0</v>
      </c>
      <c r="UQC6" s="44">
        <f>Database!UQV14</f>
        <v>0</v>
      </c>
      <c r="UQD6" s="44">
        <f>Database!UQW14</f>
        <v>0</v>
      </c>
      <c r="UQE6" s="44">
        <f>Database!UQX14</f>
        <v>0</v>
      </c>
      <c r="UQF6" s="44">
        <f>Database!UQY14</f>
        <v>0</v>
      </c>
      <c r="UQG6" s="44">
        <f>Database!UQZ14</f>
        <v>0</v>
      </c>
      <c r="UQH6" s="44">
        <f>Database!URA14</f>
        <v>0</v>
      </c>
      <c r="UQI6" s="44">
        <f>Database!URB14</f>
        <v>0</v>
      </c>
      <c r="UQJ6" s="44">
        <f>Database!URC14</f>
        <v>0</v>
      </c>
      <c r="UQK6" s="44">
        <f>Database!URD14</f>
        <v>0</v>
      </c>
      <c r="UQL6" s="44">
        <f>Database!URE14</f>
        <v>0</v>
      </c>
      <c r="UQM6" s="44">
        <f>Database!URF14</f>
        <v>0</v>
      </c>
      <c r="UQN6" s="44">
        <f>Database!URG14</f>
        <v>0</v>
      </c>
      <c r="UQO6" s="44">
        <f>Database!URH14</f>
        <v>0</v>
      </c>
      <c r="UQP6" s="44">
        <f>Database!URI14</f>
        <v>0</v>
      </c>
      <c r="UQQ6" s="44">
        <f>Database!URJ14</f>
        <v>0</v>
      </c>
      <c r="UQR6" s="44">
        <f>Database!URK14</f>
        <v>0</v>
      </c>
      <c r="UQS6" s="44">
        <f>Database!URL14</f>
        <v>0</v>
      </c>
      <c r="UQT6" s="44">
        <f>Database!URM14</f>
        <v>0</v>
      </c>
      <c r="UQU6" s="44">
        <f>Database!URN14</f>
        <v>0</v>
      </c>
      <c r="UQV6" s="44">
        <f>Database!URO14</f>
        <v>0</v>
      </c>
      <c r="UQW6" s="44">
        <f>Database!URP14</f>
        <v>0</v>
      </c>
      <c r="UQX6" s="44">
        <f>Database!URQ14</f>
        <v>0</v>
      </c>
      <c r="UQY6" s="44">
        <f>Database!URR14</f>
        <v>0</v>
      </c>
      <c r="UQZ6" s="44">
        <f>Database!URS14</f>
        <v>0</v>
      </c>
      <c r="URA6" s="44">
        <f>Database!URT14</f>
        <v>0</v>
      </c>
      <c r="URB6" s="44">
        <f>Database!URU14</f>
        <v>0</v>
      </c>
      <c r="URC6" s="44">
        <f>Database!URV14</f>
        <v>0</v>
      </c>
      <c r="URD6" s="44">
        <f>Database!URW14</f>
        <v>0</v>
      </c>
      <c r="URE6" s="44">
        <f>Database!URX14</f>
        <v>0</v>
      </c>
      <c r="URF6" s="44">
        <f>Database!URY14</f>
        <v>0</v>
      </c>
      <c r="URG6" s="44">
        <f>Database!URZ14</f>
        <v>0</v>
      </c>
      <c r="URH6" s="44">
        <f>Database!USA14</f>
        <v>0</v>
      </c>
      <c r="URI6" s="44">
        <f>Database!USB14</f>
        <v>0</v>
      </c>
      <c r="URJ6" s="44">
        <f>Database!USC14</f>
        <v>0</v>
      </c>
      <c r="URK6" s="44">
        <f>Database!USD14</f>
        <v>0</v>
      </c>
      <c r="URL6" s="44">
        <f>Database!USE14</f>
        <v>0</v>
      </c>
      <c r="URM6" s="44">
        <f>Database!USF14</f>
        <v>0</v>
      </c>
      <c r="URN6" s="44">
        <f>Database!USG14</f>
        <v>0</v>
      </c>
      <c r="URO6" s="44">
        <f>Database!USH14</f>
        <v>0</v>
      </c>
      <c r="URP6" s="44">
        <f>Database!USI14</f>
        <v>0</v>
      </c>
      <c r="URQ6" s="44">
        <f>Database!USJ14</f>
        <v>0</v>
      </c>
      <c r="URR6" s="44">
        <f>Database!USK14</f>
        <v>0</v>
      </c>
      <c r="URS6" s="44">
        <f>Database!USL14</f>
        <v>0</v>
      </c>
      <c r="URT6" s="44">
        <f>Database!USM14</f>
        <v>0</v>
      </c>
      <c r="URU6" s="44">
        <f>Database!USN14</f>
        <v>0</v>
      </c>
      <c r="URV6" s="44">
        <f>Database!USO14</f>
        <v>0</v>
      </c>
      <c r="URW6" s="44">
        <f>Database!USP14</f>
        <v>0</v>
      </c>
      <c r="URX6" s="44">
        <f>Database!USQ14</f>
        <v>0</v>
      </c>
      <c r="URY6" s="44">
        <f>Database!USR14</f>
        <v>0</v>
      </c>
      <c r="URZ6" s="44">
        <f>Database!USS14</f>
        <v>0</v>
      </c>
      <c r="USA6" s="44">
        <f>Database!UST14</f>
        <v>0</v>
      </c>
      <c r="USB6" s="44">
        <f>Database!USU14</f>
        <v>0</v>
      </c>
      <c r="USC6" s="44">
        <f>Database!USV14</f>
        <v>0</v>
      </c>
      <c r="USD6" s="44">
        <f>Database!USW14</f>
        <v>0</v>
      </c>
      <c r="USE6" s="44">
        <f>Database!USX14</f>
        <v>0</v>
      </c>
      <c r="USF6" s="44">
        <f>Database!USY14</f>
        <v>0</v>
      </c>
      <c r="USG6" s="44">
        <f>Database!USZ14</f>
        <v>0</v>
      </c>
      <c r="USH6" s="44">
        <f>Database!UTA14</f>
        <v>0</v>
      </c>
      <c r="USI6" s="44">
        <f>Database!UTB14</f>
        <v>0</v>
      </c>
      <c r="USJ6" s="44">
        <f>Database!UTC14</f>
        <v>0</v>
      </c>
      <c r="USK6" s="44">
        <f>Database!UTD14</f>
        <v>0</v>
      </c>
      <c r="USL6" s="44">
        <f>Database!UTE14</f>
        <v>0</v>
      </c>
      <c r="USM6" s="44">
        <f>Database!UTF14</f>
        <v>0</v>
      </c>
      <c r="USN6" s="44">
        <f>Database!UTG14</f>
        <v>0</v>
      </c>
      <c r="USO6" s="44">
        <f>Database!UTH14</f>
        <v>0</v>
      </c>
      <c r="USP6" s="44">
        <f>Database!UTI14</f>
        <v>0</v>
      </c>
      <c r="USQ6" s="44">
        <f>Database!UTJ14</f>
        <v>0</v>
      </c>
      <c r="USR6" s="44">
        <f>Database!UTK14</f>
        <v>0</v>
      </c>
      <c r="USS6" s="44">
        <f>Database!UTL14</f>
        <v>0</v>
      </c>
      <c r="UST6" s="44">
        <f>Database!UTM14</f>
        <v>0</v>
      </c>
      <c r="USU6" s="44">
        <f>Database!UTN14</f>
        <v>0</v>
      </c>
      <c r="USV6" s="44">
        <f>Database!UTO14</f>
        <v>0</v>
      </c>
      <c r="USW6" s="44">
        <f>Database!UTP14</f>
        <v>0</v>
      </c>
      <c r="USX6" s="44">
        <f>Database!UTQ14</f>
        <v>0</v>
      </c>
      <c r="USY6" s="44">
        <f>Database!UTR14</f>
        <v>0</v>
      </c>
      <c r="USZ6" s="44">
        <f>Database!UTS14</f>
        <v>0</v>
      </c>
      <c r="UTA6" s="44">
        <f>Database!UTT14</f>
        <v>0</v>
      </c>
      <c r="UTB6" s="44">
        <f>Database!UTU14</f>
        <v>0</v>
      </c>
      <c r="UTC6" s="44">
        <f>Database!UTV14</f>
        <v>0</v>
      </c>
      <c r="UTD6" s="44">
        <f>Database!UTW14</f>
        <v>0</v>
      </c>
      <c r="UTE6" s="44">
        <f>Database!UTX14</f>
        <v>0</v>
      </c>
      <c r="UTF6" s="44">
        <f>Database!UTY14</f>
        <v>0</v>
      </c>
      <c r="UTG6" s="44">
        <f>Database!UTZ14</f>
        <v>0</v>
      </c>
      <c r="UTH6" s="44">
        <f>Database!UUA14</f>
        <v>0</v>
      </c>
      <c r="UTI6" s="44">
        <f>Database!UUB14</f>
        <v>0</v>
      </c>
      <c r="UTJ6" s="44">
        <f>Database!UUC14</f>
        <v>0</v>
      </c>
      <c r="UTK6" s="44">
        <f>Database!UUD14</f>
        <v>0</v>
      </c>
      <c r="UTL6" s="44">
        <f>Database!UUE14</f>
        <v>0</v>
      </c>
      <c r="UTM6" s="44">
        <f>Database!UUF14</f>
        <v>0</v>
      </c>
      <c r="UTN6" s="44">
        <f>Database!UUG14</f>
        <v>0</v>
      </c>
      <c r="UTO6" s="44">
        <f>Database!UUH14</f>
        <v>0</v>
      </c>
      <c r="UTP6" s="44">
        <f>Database!UUI14</f>
        <v>0</v>
      </c>
      <c r="UTQ6" s="44">
        <f>Database!UUJ14</f>
        <v>0</v>
      </c>
      <c r="UTR6" s="44">
        <f>Database!UUK14</f>
        <v>0</v>
      </c>
      <c r="UTS6" s="44">
        <f>Database!UUL14</f>
        <v>0</v>
      </c>
      <c r="UTT6" s="44">
        <f>Database!UUM14</f>
        <v>0</v>
      </c>
      <c r="UTU6" s="44">
        <f>Database!UUN14</f>
        <v>0</v>
      </c>
      <c r="UTV6" s="44">
        <f>Database!UUO14</f>
        <v>0</v>
      </c>
      <c r="UTW6" s="44">
        <f>Database!UUP14</f>
        <v>0</v>
      </c>
      <c r="UTX6" s="44">
        <f>Database!UUQ14</f>
        <v>0</v>
      </c>
      <c r="UTY6" s="44">
        <f>Database!UUR14</f>
        <v>0</v>
      </c>
      <c r="UTZ6" s="44">
        <f>Database!UUS14</f>
        <v>0</v>
      </c>
      <c r="UUA6" s="44">
        <f>Database!UUT14</f>
        <v>0</v>
      </c>
      <c r="UUB6" s="44">
        <f>Database!UUU14</f>
        <v>0</v>
      </c>
      <c r="UUC6" s="44">
        <f>Database!UUV14</f>
        <v>0</v>
      </c>
      <c r="UUD6" s="44">
        <f>Database!UUW14</f>
        <v>0</v>
      </c>
      <c r="UUE6" s="44">
        <f>Database!UUX14</f>
        <v>0</v>
      </c>
      <c r="UUF6" s="44">
        <f>Database!UUY14</f>
        <v>0</v>
      </c>
      <c r="UUG6" s="44">
        <f>Database!UUZ14</f>
        <v>0</v>
      </c>
      <c r="UUH6" s="44">
        <f>Database!UVA14</f>
        <v>0</v>
      </c>
      <c r="UUI6" s="44">
        <f>Database!UVB14</f>
        <v>0</v>
      </c>
      <c r="UUJ6" s="44">
        <f>Database!UVC14</f>
        <v>0</v>
      </c>
      <c r="UUK6" s="44">
        <f>Database!UVD14</f>
        <v>0</v>
      </c>
      <c r="UUL6" s="44">
        <f>Database!UVE14</f>
        <v>0</v>
      </c>
      <c r="UUM6" s="44">
        <f>Database!UVF14</f>
        <v>0</v>
      </c>
      <c r="UUN6" s="44">
        <f>Database!UVG14</f>
        <v>0</v>
      </c>
      <c r="UUO6" s="44">
        <f>Database!UVH14</f>
        <v>0</v>
      </c>
      <c r="UUP6" s="44">
        <f>Database!UVI14</f>
        <v>0</v>
      </c>
      <c r="UUQ6" s="44">
        <f>Database!UVJ14</f>
        <v>0</v>
      </c>
      <c r="UUR6" s="44">
        <f>Database!UVK14</f>
        <v>0</v>
      </c>
      <c r="UUS6" s="44">
        <f>Database!UVL14</f>
        <v>0</v>
      </c>
      <c r="UUT6" s="44">
        <f>Database!UVM14</f>
        <v>0</v>
      </c>
      <c r="UUU6" s="44">
        <f>Database!UVN14</f>
        <v>0</v>
      </c>
      <c r="UUV6" s="44">
        <f>Database!UVO14</f>
        <v>0</v>
      </c>
      <c r="UUW6" s="44">
        <f>Database!UVP14</f>
        <v>0</v>
      </c>
      <c r="UUX6" s="44">
        <f>Database!UVQ14</f>
        <v>0</v>
      </c>
      <c r="UUY6" s="44">
        <f>Database!UVR14</f>
        <v>0</v>
      </c>
      <c r="UUZ6" s="44">
        <f>Database!UVS14</f>
        <v>0</v>
      </c>
      <c r="UVA6" s="44">
        <f>Database!UVT14</f>
        <v>0</v>
      </c>
      <c r="UVB6" s="44">
        <f>Database!UVU14</f>
        <v>0</v>
      </c>
      <c r="UVC6" s="44">
        <f>Database!UVV14</f>
        <v>0</v>
      </c>
      <c r="UVD6" s="44">
        <f>Database!UVW14</f>
        <v>0</v>
      </c>
      <c r="UVE6" s="44">
        <f>Database!UVX14</f>
        <v>0</v>
      </c>
      <c r="UVF6" s="44">
        <f>Database!UVY14</f>
        <v>0</v>
      </c>
      <c r="UVG6" s="44">
        <f>Database!UVZ14</f>
        <v>0</v>
      </c>
      <c r="UVH6" s="44">
        <f>Database!UWA14</f>
        <v>0</v>
      </c>
      <c r="UVI6" s="44">
        <f>Database!UWB14</f>
        <v>0</v>
      </c>
      <c r="UVJ6" s="44">
        <f>Database!UWC14</f>
        <v>0</v>
      </c>
      <c r="UVK6" s="44">
        <f>Database!UWD14</f>
        <v>0</v>
      </c>
      <c r="UVL6" s="44">
        <f>Database!UWE14</f>
        <v>0</v>
      </c>
      <c r="UVM6" s="44">
        <f>Database!UWF14</f>
        <v>0</v>
      </c>
      <c r="UVN6" s="44">
        <f>Database!UWG14</f>
        <v>0</v>
      </c>
      <c r="UVO6" s="44">
        <f>Database!UWH14</f>
        <v>0</v>
      </c>
      <c r="UVP6" s="44">
        <f>Database!UWI14</f>
        <v>0</v>
      </c>
      <c r="UVQ6" s="44">
        <f>Database!UWJ14</f>
        <v>0</v>
      </c>
      <c r="UVR6" s="44">
        <f>Database!UWK14</f>
        <v>0</v>
      </c>
      <c r="UVS6" s="44">
        <f>Database!UWL14</f>
        <v>0</v>
      </c>
      <c r="UVT6" s="44">
        <f>Database!UWM14</f>
        <v>0</v>
      </c>
      <c r="UVU6" s="44">
        <f>Database!UWN14</f>
        <v>0</v>
      </c>
      <c r="UVV6" s="44">
        <f>Database!UWO14</f>
        <v>0</v>
      </c>
      <c r="UVW6" s="44">
        <f>Database!UWP14</f>
        <v>0</v>
      </c>
      <c r="UVX6" s="44">
        <f>Database!UWQ14</f>
        <v>0</v>
      </c>
      <c r="UVY6" s="44">
        <f>Database!UWR14</f>
        <v>0</v>
      </c>
      <c r="UVZ6" s="44">
        <f>Database!UWS14</f>
        <v>0</v>
      </c>
      <c r="UWA6" s="44">
        <f>Database!UWT14</f>
        <v>0</v>
      </c>
      <c r="UWB6" s="44">
        <f>Database!UWU14</f>
        <v>0</v>
      </c>
      <c r="UWC6" s="44">
        <f>Database!UWV14</f>
        <v>0</v>
      </c>
      <c r="UWD6" s="44">
        <f>Database!UWW14</f>
        <v>0</v>
      </c>
      <c r="UWE6" s="44">
        <f>Database!UWX14</f>
        <v>0</v>
      </c>
      <c r="UWF6" s="44">
        <f>Database!UWY14</f>
        <v>0</v>
      </c>
      <c r="UWG6" s="44">
        <f>Database!UWZ14</f>
        <v>0</v>
      </c>
      <c r="UWH6" s="44">
        <f>Database!UXA14</f>
        <v>0</v>
      </c>
      <c r="UWI6" s="44">
        <f>Database!UXB14</f>
        <v>0</v>
      </c>
      <c r="UWJ6" s="44">
        <f>Database!UXC14</f>
        <v>0</v>
      </c>
      <c r="UWK6" s="44">
        <f>Database!UXD14</f>
        <v>0</v>
      </c>
      <c r="UWL6" s="44">
        <f>Database!UXE14</f>
        <v>0</v>
      </c>
      <c r="UWM6" s="44">
        <f>Database!UXF14</f>
        <v>0</v>
      </c>
      <c r="UWN6" s="44">
        <f>Database!UXG14</f>
        <v>0</v>
      </c>
      <c r="UWO6" s="44">
        <f>Database!UXH14</f>
        <v>0</v>
      </c>
      <c r="UWP6" s="44">
        <f>Database!UXI14</f>
        <v>0</v>
      </c>
      <c r="UWQ6" s="44">
        <f>Database!UXJ14</f>
        <v>0</v>
      </c>
      <c r="UWR6" s="44">
        <f>Database!UXK14</f>
        <v>0</v>
      </c>
      <c r="UWS6" s="44">
        <f>Database!UXL14</f>
        <v>0</v>
      </c>
      <c r="UWT6" s="44">
        <f>Database!UXM14</f>
        <v>0</v>
      </c>
      <c r="UWU6" s="44">
        <f>Database!UXN14</f>
        <v>0</v>
      </c>
      <c r="UWV6" s="44">
        <f>Database!UXO14</f>
        <v>0</v>
      </c>
      <c r="UWW6" s="44">
        <f>Database!UXP14</f>
        <v>0</v>
      </c>
      <c r="UWX6" s="44">
        <f>Database!UXQ14</f>
        <v>0</v>
      </c>
      <c r="UWY6" s="44">
        <f>Database!UXR14</f>
        <v>0</v>
      </c>
      <c r="UWZ6" s="44">
        <f>Database!UXS14</f>
        <v>0</v>
      </c>
      <c r="UXA6" s="44">
        <f>Database!UXT14</f>
        <v>0</v>
      </c>
      <c r="UXB6" s="44">
        <f>Database!UXU14</f>
        <v>0</v>
      </c>
      <c r="UXC6" s="44">
        <f>Database!UXV14</f>
        <v>0</v>
      </c>
      <c r="UXD6" s="44">
        <f>Database!UXW14</f>
        <v>0</v>
      </c>
      <c r="UXE6" s="44">
        <f>Database!UXX14</f>
        <v>0</v>
      </c>
      <c r="UXF6" s="44">
        <f>Database!UXY14</f>
        <v>0</v>
      </c>
      <c r="UXG6" s="44">
        <f>Database!UXZ14</f>
        <v>0</v>
      </c>
      <c r="UXH6" s="44">
        <f>Database!UYA14</f>
        <v>0</v>
      </c>
      <c r="UXI6" s="44">
        <f>Database!UYB14</f>
        <v>0</v>
      </c>
      <c r="UXJ6" s="44">
        <f>Database!UYC14</f>
        <v>0</v>
      </c>
      <c r="UXK6" s="44">
        <f>Database!UYD14</f>
        <v>0</v>
      </c>
      <c r="UXL6" s="44">
        <f>Database!UYE14</f>
        <v>0</v>
      </c>
      <c r="UXM6" s="44">
        <f>Database!UYF14</f>
        <v>0</v>
      </c>
      <c r="UXN6" s="44">
        <f>Database!UYG14</f>
        <v>0</v>
      </c>
      <c r="UXO6" s="44">
        <f>Database!UYH14</f>
        <v>0</v>
      </c>
      <c r="UXP6" s="44">
        <f>Database!UYI14</f>
        <v>0</v>
      </c>
      <c r="UXQ6" s="44">
        <f>Database!UYJ14</f>
        <v>0</v>
      </c>
      <c r="UXR6" s="44">
        <f>Database!UYK14</f>
        <v>0</v>
      </c>
      <c r="UXS6" s="44">
        <f>Database!UYL14</f>
        <v>0</v>
      </c>
      <c r="UXT6" s="44">
        <f>Database!UYM14</f>
        <v>0</v>
      </c>
      <c r="UXU6" s="44">
        <f>Database!UYN14</f>
        <v>0</v>
      </c>
      <c r="UXV6" s="44">
        <f>Database!UYO14</f>
        <v>0</v>
      </c>
      <c r="UXW6" s="44">
        <f>Database!UYP14</f>
        <v>0</v>
      </c>
      <c r="UXX6" s="44">
        <f>Database!UYQ14</f>
        <v>0</v>
      </c>
      <c r="UXY6" s="44">
        <f>Database!UYR14</f>
        <v>0</v>
      </c>
      <c r="UXZ6" s="44">
        <f>Database!UYS14</f>
        <v>0</v>
      </c>
      <c r="UYA6" s="44">
        <f>Database!UYT14</f>
        <v>0</v>
      </c>
      <c r="UYB6" s="44">
        <f>Database!UYU14</f>
        <v>0</v>
      </c>
      <c r="UYC6" s="44">
        <f>Database!UYV14</f>
        <v>0</v>
      </c>
      <c r="UYD6" s="44">
        <f>Database!UYW14</f>
        <v>0</v>
      </c>
      <c r="UYE6" s="44">
        <f>Database!UYX14</f>
        <v>0</v>
      </c>
      <c r="UYF6" s="44">
        <f>Database!UYY14</f>
        <v>0</v>
      </c>
      <c r="UYG6" s="44">
        <f>Database!UYZ14</f>
        <v>0</v>
      </c>
      <c r="UYH6" s="44">
        <f>Database!UZA14</f>
        <v>0</v>
      </c>
      <c r="UYI6" s="44">
        <f>Database!UZB14</f>
        <v>0</v>
      </c>
      <c r="UYJ6" s="44">
        <f>Database!UZC14</f>
        <v>0</v>
      </c>
      <c r="UYK6" s="44">
        <f>Database!UZD14</f>
        <v>0</v>
      </c>
      <c r="UYL6" s="44">
        <f>Database!UZE14</f>
        <v>0</v>
      </c>
      <c r="UYM6" s="44">
        <f>Database!UZF14</f>
        <v>0</v>
      </c>
      <c r="UYN6" s="44">
        <f>Database!UZG14</f>
        <v>0</v>
      </c>
      <c r="UYO6" s="44">
        <f>Database!UZH14</f>
        <v>0</v>
      </c>
      <c r="UYP6" s="44">
        <f>Database!UZI14</f>
        <v>0</v>
      </c>
      <c r="UYQ6" s="44">
        <f>Database!UZJ14</f>
        <v>0</v>
      </c>
      <c r="UYR6" s="44">
        <f>Database!UZK14</f>
        <v>0</v>
      </c>
      <c r="UYS6" s="44">
        <f>Database!UZL14</f>
        <v>0</v>
      </c>
      <c r="UYT6" s="44">
        <f>Database!UZM14</f>
        <v>0</v>
      </c>
      <c r="UYU6" s="44">
        <f>Database!UZN14</f>
        <v>0</v>
      </c>
      <c r="UYV6" s="44">
        <f>Database!UZO14</f>
        <v>0</v>
      </c>
      <c r="UYW6" s="44">
        <f>Database!UZP14</f>
        <v>0</v>
      </c>
      <c r="UYX6" s="44">
        <f>Database!UZQ14</f>
        <v>0</v>
      </c>
      <c r="UYY6" s="44">
        <f>Database!UZR14</f>
        <v>0</v>
      </c>
      <c r="UYZ6" s="44">
        <f>Database!UZS14</f>
        <v>0</v>
      </c>
      <c r="UZA6" s="44">
        <f>Database!UZT14</f>
        <v>0</v>
      </c>
      <c r="UZB6" s="44">
        <f>Database!UZU14</f>
        <v>0</v>
      </c>
      <c r="UZC6" s="44">
        <f>Database!UZV14</f>
        <v>0</v>
      </c>
      <c r="UZD6" s="44">
        <f>Database!UZW14</f>
        <v>0</v>
      </c>
      <c r="UZE6" s="44">
        <f>Database!UZX14</f>
        <v>0</v>
      </c>
      <c r="UZF6" s="44">
        <f>Database!UZY14</f>
        <v>0</v>
      </c>
      <c r="UZG6" s="44">
        <f>Database!UZZ14</f>
        <v>0</v>
      </c>
      <c r="UZH6" s="44">
        <f>Database!VAA14</f>
        <v>0</v>
      </c>
      <c r="UZI6" s="44">
        <f>Database!VAB14</f>
        <v>0</v>
      </c>
      <c r="UZJ6" s="44">
        <f>Database!VAC14</f>
        <v>0</v>
      </c>
      <c r="UZK6" s="44">
        <f>Database!VAD14</f>
        <v>0</v>
      </c>
      <c r="UZL6" s="44">
        <f>Database!VAE14</f>
        <v>0</v>
      </c>
      <c r="UZM6" s="44">
        <f>Database!VAF14</f>
        <v>0</v>
      </c>
      <c r="UZN6" s="44">
        <f>Database!VAG14</f>
        <v>0</v>
      </c>
      <c r="UZO6" s="44">
        <f>Database!VAH14</f>
        <v>0</v>
      </c>
      <c r="UZP6" s="44">
        <f>Database!VAI14</f>
        <v>0</v>
      </c>
      <c r="UZQ6" s="44">
        <f>Database!VAJ14</f>
        <v>0</v>
      </c>
      <c r="UZR6" s="44">
        <f>Database!VAK14</f>
        <v>0</v>
      </c>
      <c r="UZS6" s="44">
        <f>Database!VAL14</f>
        <v>0</v>
      </c>
      <c r="UZT6" s="44">
        <f>Database!VAM14</f>
        <v>0</v>
      </c>
      <c r="UZU6" s="44">
        <f>Database!VAN14</f>
        <v>0</v>
      </c>
      <c r="UZV6" s="44">
        <f>Database!VAO14</f>
        <v>0</v>
      </c>
      <c r="UZW6" s="44">
        <f>Database!VAP14</f>
        <v>0</v>
      </c>
      <c r="UZX6" s="44">
        <f>Database!VAQ14</f>
        <v>0</v>
      </c>
      <c r="UZY6" s="44">
        <f>Database!VAR14</f>
        <v>0</v>
      </c>
      <c r="UZZ6" s="44">
        <f>Database!VAS14</f>
        <v>0</v>
      </c>
      <c r="VAA6" s="44">
        <f>Database!VAT14</f>
        <v>0</v>
      </c>
      <c r="VAB6" s="44">
        <f>Database!VAU14</f>
        <v>0</v>
      </c>
      <c r="VAC6" s="44">
        <f>Database!VAV14</f>
        <v>0</v>
      </c>
      <c r="VAD6" s="44">
        <f>Database!VAW14</f>
        <v>0</v>
      </c>
      <c r="VAE6" s="44">
        <f>Database!VAX14</f>
        <v>0</v>
      </c>
      <c r="VAF6" s="44">
        <f>Database!VAY14</f>
        <v>0</v>
      </c>
      <c r="VAG6" s="44">
        <f>Database!VAZ14</f>
        <v>0</v>
      </c>
      <c r="VAH6" s="44">
        <f>Database!VBA14</f>
        <v>0</v>
      </c>
      <c r="VAI6" s="44">
        <f>Database!VBB14</f>
        <v>0</v>
      </c>
      <c r="VAJ6" s="44">
        <f>Database!VBC14</f>
        <v>0</v>
      </c>
      <c r="VAK6" s="44">
        <f>Database!VBD14</f>
        <v>0</v>
      </c>
      <c r="VAL6" s="44">
        <f>Database!VBE14</f>
        <v>0</v>
      </c>
      <c r="VAM6" s="44">
        <f>Database!VBF14</f>
        <v>0</v>
      </c>
      <c r="VAN6" s="44">
        <f>Database!VBG14</f>
        <v>0</v>
      </c>
      <c r="VAO6" s="44">
        <f>Database!VBH14</f>
        <v>0</v>
      </c>
      <c r="VAP6" s="44">
        <f>Database!VBI14</f>
        <v>0</v>
      </c>
      <c r="VAQ6" s="44">
        <f>Database!VBJ14</f>
        <v>0</v>
      </c>
      <c r="VAR6" s="44">
        <f>Database!VBK14</f>
        <v>0</v>
      </c>
      <c r="VAS6" s="44">
        <f>Database!VBL14</f>
        <v>0</v>
      </c>
      <c r="VAT6" s="44">
        <f>Database!VBM14</f>
        <v>0</v>
      </c>
      <c r="VAU6" s="44">
        <f>Database!VBN14</f>
        <v>0</v>
      </c>
      <c r="VAV6" s="44">
        <f>Database!VBO14</f>
        <v>0</v>
      </c>
      <c r="VAW6" s="44">
        <f>Database!VBP14</f>
        <v>0</v>
      </c>
      <c r="VAX6" s="44">
        <f>Database!VBQ14</f>
        <v>0</v>
      </c>
      <c r="VAY6" s="44">
        <f>Database!VBR14</f>
        <v>0</v>
      </c>
      <c r="VAZ6" s="44">
        <f>Database!VBS14</f>
        <v>0</v>
      </c>
      <c r="VBA6" s="44">
        <f>Database!VBT14</f>
        <v>0</v>
      </c>
      <c r="VBB6" s="44">
        <f>Database!VBU14</f>
        <v>0</v>
      </c>
      <c r="VBC6" s="44">
        <f>Database!VBV14</f>
        <v>0</v>
      </c>
      <c r="VBD6" s="44">
        <f>Database!VBW14</f>
        <v>0</v>
      </c>
      <c r="VBE6" s="44">
        <f>Database!VBX14</f>
        <v>0</v>
      </c>
      <c r="VBF6" s="44">
        <f>Database!VBY14</f>
        <v>0</v>
      </c>
      <c r="VBG6" s="44">
        <f>Database!VBZ14</f>
        <v>0</v>
      </c>
      <c r="VBH6" s="44">
        <f>Database!VCA14</f>
        <v>0</v>
      </c>
      <c r="VBI6" s="44">
        <f>Database!VCB14</f>
        <v>0</v>
      </c>
      <c r="VBJ6" s="44">
        <f>Database!VCC14</f>
        <v>0</v>
      </c>
      <c r="VBK6" s="44">
        <f>Database!VCD14</f>
        <v>0</v>
      </c>
      <c r="VBL6" s="44">
        <f>Database!VCE14</f>
        <v>0</v>
      </c>
      <c r="VBM6" s="44">
        <f>Database!VCF14</f>
        <v>0</v>
      </c>
      <c r="VBN6" s="44">
        <f>Database!VCG14</f>
        <v>0</v>
      </c>
      <c r="VBO6" s="44">
        <f>Database!VCH14</f>
        <v>0</v>
      </c>
      <c r="VBP6" s="44">
        <f>Database!VCI14</f>
        <v>0</v>
      </c>
      <c r="VBQ6" s="44">
        <f>Database!VCJ14</f>
        <v>0</v>
      </c>
      <c r="VBR6" s="44">
        <f>Database!VCK14</f>
        <v>0</v>
      </c>
      <c r="VBS6" s="44">
        <f>Database!VCL14</f>
        <v>0</v>
      </c>
      <c r="VBT6" s="44">
        <f>Database!VCM14</f>
        <v>0</v>
      </c>
      <c r="VBU6" s="44">
        <f>Database!VCN14</f>
        <v>0</v>
      </c>
      <c r="VBV6" s="44">
        <f>Database!VCO14</f>
        <v>0</v>
      </c>
      <c r="VBW6" s="44">
        <f>Database!VCP14</f>
        <v>0</v>
      </c>
      <c r="VBX6" s="44">
        <f>Database!VCQ14</f>
        <v>0</v>
      </c>
      <c r="VBY6" s="44">
        <f>Database!VCR14</f>
        <v>0</v>
      </c>
      <c r="VBZ6" s="44">
        <f>Database!VCS14</f>
        <v>0</v>
      </c>
      <c r="VCA6" s="44">
        <f>Database!VCT14</f>
        <v>0</v>
      </c>
      <c r="VCB6" s="44">
        <f>Database!VCU14</f>
        <v>0</v>
      </c>
      <c r="VCC6" s="44">
        <f>Database!VCV14</f>
        <v>0</v>
      </c>
      <c r="VCD6" s="44">
        <f>Database!VCW14</f>
        <v>0</v>
      </c>
      <c r="VCE6" s="44">
        <f>Database!VCX14</f>
        <v>0</v>
      </c>
      <c r="VCF6" s="44">
        <f>Database!VCY14</f>
        <v>0</v>
      </c>
      <c r="VCG6" s="44">
        <f>Database!VCZ14</f>
        <v>0</v>
      </c>
      <c r="VCH6" s="44">
        <f>Database!VDA14</f>
        <v>0</v>
      </c>
      <c r="VCI6" s="44">
        <f>Database!VDB14</f>
        <v>0</v>
      </c>
      <c r="VCJ6" s="44">
        <f>Database!VDC14</f>
        <v>0</v>
      </c>
      <c r="VCK6" s="44">
        <f>Database!VDD14</f>
        <v>0</v>
      </c>
      <c r="VCL6" s="44">
        <f>Database!VDE14</f>
        <v>0</v>
      </c>
      <c r="VCM6" s="44">
        <f>Database!VDF14</f>
        <v>0</v>
      </c>
      <c r="VCN6" s="44">
        <f>Database!VDG14</f>
        <v>0</v>
      </c>
      <c r="VCO6" s="44">
        <f>Database!VDH14</f>
        <v>0</v>
      </c>
      <c r="VCP6" s="44">
        <f>Database!VDI14</f>
        <v>0</v>
      </c>
      <c r="VCQ6" s="44">
        <f>Database!VDJ14</f>
        <v>0</v>
      </c>
      <c r="VCR6" s="44">
        <f>Database!VDK14</f>
        <v>0</v>
      </c>
      <c r="VCS6" s="44">
        <f>Database!VDL14</f>
        <v>0</v>
      </c>
      <c r="VCT6" s="44">
        <f>Database!VDM14</f>
        <v>0</v>
      </c>
      <c r="VCU6" s="44">
        <f>Database!VDN14</f>
        <v>0</v>
      </c>
      <c r="VCV6" s="44">
        <f>Database!VDO14</f>
        <v>0</v>
      </c>
      <c r="VCW6" s="44">
        <f>Database!VDP14</f>
        <v>0</v>
      </c>
      <c r="VCX6" s="44">
        <f>Database!VDQ14</f>
        <v>0</v>
      </c>
      <c r="VCY6" s="44">
        <f>Database!VDR14</f>
        <v>0</v>
      </c>
      <c r="VCZ6" s="44">
        <f>Database!VDS14</f>
        <v>0</v>
      </c>
      <c r="VDA6" s="44">
        <f>Database!VDT14</f>
        <v>0</v>
      </c>
      <c r="VDB6" s="44">
        <f>Database!VDU14</f>
        <v>0</v>
      </c>
      <c r="VDC6" s="44">
        <f>Database!VDV14</f>
        <v>0</v>
      </c>
      <c r="VDD6" s="44">
        <f>Database!VDW14</f>
        <v>0</v>
      </c>
      <c r="VDE6" s="44">
        <f>Database!VDX14</f>
        <v>0</v>
      </c>
      <c r="VDF6" s="44">
        <f>Database!VDY14</f>
        <v>0</v>
      </c>
      <c r="VDG6" s="44">
        <f>Database!VDZ14</f>
        <v>0</v>
      </c>
      <c r="VDH6" s="44">
        <f>Database!VEA14</f>
        <v>0</v>
      </c>
      <c r="VDI6" s="44">
        <f>Database!VEB14</f>
        <v>0</v>
      </c>
      <c r="VDJ6" s="44">
        <f>Database!VEC14</f>
        <v>0</v>
      </c>
      <c r="VDK6" s="44">
        <f>Database!VED14</f>
        <v>0</v>
      </c>
      <c r="VDL6" s="44">
        <f>Database!VEE14</f>
        <v>0</v>
      </c>
      <c r="VDM6" s="44">
        <f>Database!VEF14</f>
        <v>0</v>
      </c>
      <c r="VDN6" s="44">
        <f>Database!VEG14</f>
        <v>0</v>
      </c>
      <c r="VDO6" s="44">
        <f>Database!VEH14</f>
        <v>0</v>
      </c>
      <c r="VDP6" s="44">
        <f>Database!VEI14</f>
        <v>0</v>
      </c>
      <c r="VDQ6" s="44">
        <f>Database!VEJ14</f>
        <v>0</v>
      </c>
      <c r="VDR6" s="44">
        <f>Database!VEK14</f>
        <v>0</v>
      </c>
      <c r="VDS6" s="44">
        <f>Database!VEL14</f>
        <v>0</v>
      </c>
      <c r="VDT6" s="44">
        <f>Database!VEM14</f>
        <v>0</v>
      </c>
      <c r="VDU6" s="44">
        <f>Database!VEN14</f>
        <v>0</v>
      </c>
      <c r="VDV6" s="44">
        <f>Database!VEO14</f>
        <v>0</v>
      </c>
      <c r="VDW6" s="44">
        <f>Database!VEP14</f>
        <v>0</v>
      </c>
      <c r="VDX6" s="44">
        <f>Database!VEQ14</f>
        <v>0</v>
      </c>
      <c r="VDY6" s="44">
        <f>Database!VER14</f>
        <v>0</v>
      </c>
      <c r="VDZ6" s="44">
        <f>Database!VES14</f>
        <v>0</v>
      </c>
      <c r="VEA6" s="44">
        <f>Database!VET14</f>
        <v>0</v>
      </c>
      <c r="VEB6" s="44">
        <f>Database!VEU14</f>
        <v>0</v>
      </c>
      <c r="VEC6" s="44">
        <f>Database!VEV14</f>
        <v>0</v>
      </c>
      <c r="VED6" s="44">
        <f>Database!VEW14</f>
        <v>0</v>
      </c>
      <c r="VEE6" s="44">
        <f>Database!VEX14</f>
        <v>0</v>
      </c>
      <c r="VEF6" s="44">
        <f>Database!VEY14</f>
        <v>0</v>
      </c>
      <c r="VEG6" s="44">
        <f>Database!VEZ14</f>
        <v>0</v>
      </c>
      <c r="VEH6" s="44">
        <f>Database!VFA14</f>
        <v>0</v>
      </c>
      <c r="VEI6" s="44">
        <f>Database!VFB14</f>
        <v>0</v>
      </c>
      <c r="VEJ6" s="44">
        <f>Database!VFC14</f>
        <v>0</v>
      </c>
      <c r="VEK6" s="44">
        <f>Database!VFD14</f>
        <v>0</v>
      </c>
      <c r="VEL6" s="44">
        <f>Database!VFE14</f>
        <v>0</v>
      </c>
      <c r="VEM6" s="44">
        <f>Database!VFF14</f>
        <v>0</v>
      </c>
      <c r="VEN6" s="44">
        <f>Database!VFG14</f>
        <v>0</v>
      </c>
      <c r="VEO6" s="44">
        <f>Database!VFH14</f>
        <v>0</v>
      </c>
      <c r="VEP6" s="44">
        <f>Database!VFI14</f>
        <v>0</v>
      </c>
      <c r="VEQ6" s="44">
        <f>Database!VFJ14</f>
        <v>0</v>
      </c>
      <c r="VER6" s="44">
        <f>Database!VFK14</f>
        <v>0</v>
      </c>
      <c r="VES6" s="44">
        <f>Database!VFL14</f>
        <v>0</v>
      </c>
      <c r="VET6" s="44">
        <f>Database!VFM14</f>
        <v>0</v>
      </c>
      <c r="VEU6" s="44">
        <f>Database!VFN14</f>
        <v>0</v>
      </c>
      <c r="VEV6" s="44">
        <f>Database!VFO14</f>
        <v>0</v>
      </c>
      <c r="VEW6" s="44">
        <f>Database!VFP14</f>
        <v>0</v>
      </c>
      <c r="VEX6" s="44">
        <f>Database!VFQ14</f>
        <v>0</v>
      </c>
      <c r="VEY6" s="44">
        <f>Database!VFR14</f>
        <v>0</v>
      </c>
      <c r="VEZ6" s="44">
        <f>Database!VFS14</f>
        <v>0</v>
      </c>
      <c r="VFA6" s="44">
        <f>Database!VFT14</f>
        <v>0</v>
      </c>
      <c r="VFB6" s="44">
        <f>Database!VFU14</f>
        <v>0</v>
      </c>
      <c r="VFC6" s="44">
        <f>Database!VFV14</f>
        <v>0</v>
      </c>
      <c r="VFD6" s="44">
        <f>Database!VFW14</f>
        <v>0</v>
      </c>
      <c r="VFE6" s="44">
        <f>Database!VFX14</f>
        <v>0</v>
      </c>
      <c r="VFF6" s="44">
        <f>Database!VFY14</f>
        <v>0</v>
      </c>
      <c r="VFG6" s="44">
        <f>Database!VFZ14</f>
        <v>0</v>
      </c>
      <c r="VFH6" s="44">
        <f>Database!VGA14</f>
        <v>0</v>
      </c>
      <c r="VFI6" s="44">
        <f>Database!VGB14</f>
        <v>0</v>
      </c>
      <c r="VFJ6" s="44">
        <f>Database!VGC14</f>
        <v>0</v>
      </c>
      <c r="VFK6" s="44">
        <f>Database!VGD14</f>
        <v>0</v>
      </c>
      <c r="VFL6" s="44">
        <f>Database!VGE14</f>
        <v>0</v>
      </c>
      <c r="VFM6" s="44">
        <f>Database!VGF14</f>
        <v>0</v>
      </c>
      <c r="VFN6" s="44">
        <f>Database!VGG14</f>
        <v>0</v>
      </c>
      <c r="VFO6" s="44">
        <f>Database!VGH14</f>
        <v>0</v>
      </c>
      <c r="VFP6" s="44">
        <f>Database!VGI14</f>
        <v>0</v>
      </c>
      <c r="VFQ6" s="44">
        <f>Database!VGJ14</f>
        <v>0</v>
      </c>
      <c r="VFR6" s="44">
        <f>Database!VGK14</f>
        <v>0</v>
      </c>
      <c r="VFS6" s="44">
        <f>Database!VGL14</f>
        <v>0</v>
      </c>
      <c r="VFT6" s="44">
        <f>Database!VGM14</f>
        <v>0</v>
      </c>
      <c r="VFU6" s="44">
        <f>Database!VGN14</f>
        <v>0</v>
      </c>
      <c r="VFV6" s="44">
        <f>Database!VGO14</f>
        <v>0</v>
      </c>
      <c r="VFW6" s="44">
        <f>Database!VGP14</f>
        <v>0</v>
      </c>
      <c r="VFX6" s="44">
        <f>Database!VGQ14</f>
        <v>0</v>
      </c>
      <c r="VFY6" s="44">
        <f>Database!VGR14</f>
        <v>0</v>
      </c>
      <c r="VFZ6" s="44">
        <f>Database!VGS14</f>
        <v>0</v>
      </c>
      <c r="VGA6" s="44">
        <f>Database!VGT14</f>
        <v>0</v>
      </c>
      <c r="VGB6" s="44">
        <f>Database!VGU14</f>
        <v>0</v>
      </c>
      <c r="VGC6" s="44">
        <f>Database!VGV14</f>
        <v>0</v>
      </c>
      <c r="VGD6" s="44">
        <f>Database!VGW14</f>
        <v>0</v>
      </c>
      <c r="VGE6" s="44">
        <f>Database!VGX14</f>
        <v>0</v>
      </c>
      <c r="VGF6" s="44">
        <f>Database!VGY14</f>
        <v>0</v>
      </c>
      <c r="VGG6" s="44">
        <f>Database!VGZ14</f>
        <v>0</v>
      </c>
      <c r="VGH6" s="44">
        <f>Database!VHA14</f>
        <v>0</v>
      </c>
      <c r="VGI6" s="44">
        <f>Database!VHB14</f>
        <v>0</v>
      </c>
      <c r="VGJ6" s="44">
        <f>Database!VHC14</f>
        <v>0</v>
      </c>
      <c r="VGK6" s="44">
        <f>Database!VHD14</f>
        <v>0</v>
      </c>
      <c r="VGL6" s="44">
        <f>Database!VHE14</f>
        <v>0</v>
      </c>
      <c r="VGM6" s="44">
        <f>Database!VHF14</f>
        <v>0</v>
      </c>
      <c r="VGN6" s="44">
        <f>Database!VHG14</f>
        <v>0</v>
      </c>
      <c r="VGO6" s="44">
        <f>Database!VHH14</f>
        <v>0</v>
      </c>
      <c r="VGP6" s="44">
        <f>Database!VHI14</f>
        <v>0</v>
      </c>
      <c r="VGQ6" s="44">
        <f>Database!VHJ14</f>
        <v>0</v>
      </c>
      <c r="VGR6" s="44">
        <f>Database!VHK14</f>
        <v>0</v>
      </c>
      <c r="VGS6" s="44">
        <f>Database!VHL14</f>
        <v>0</v>
      </c>
      <c r="VGT6" s="44">
        <f>Database!VHM14</f>
        <v>0</v>
      </c>
      <c r="VGU6" s="44">
        <f>Database!VHN14</f>
        <v>0</v>
      </c>
      <c r="VGV6" s="44">
        <f>Database!VHO14</f>
        <v>0</v>
      </c>
      <c r="VGW6" s="44">
        <f>Database!VHP14</f>
        <v>0</v>
      </c>
      <c r="VGX6" s="44">
        <f>Database!VHQ14</f>
        <v>0</v>
      </c>
      <c r="VGY6" s="44">
        <f>Database!VHR14</f>
        <v>0</v>
      </c>
      <c r="VGZ6" s="44">
        <f>Database!VHS14</f>
        <v>0</v>
      </c>
      <c r="VHA6" s="44">
        <f>Database!VHT14</f>
        <v>0</v>
      </c>
      <c r="VHB6" s="44">
        <f>Database!VHU14</f>
        <v>0</v>
      </c>
      <c r="VHC6" s="44">
        <f>Database!VHV14</f>
        <v>0</v>
      </c>
      <c r="VHD6" s="44">
        <f>Database!VHW14</f>
        <v>0</v>
      </c>
      <c r="VHE6" s="44">
        <f>Database!VHX14</f>
        <v>0</v>
      </c>
      <c r="VHF6" s="44">
        <f>Database!VHY14</f>
        <v>0</v>
      </c>
      <c r="VHG6" s="44">
        <f>Database!VHZ14</f>
        <v>0</v>
      </c>
      <c r="VHH6" s="44">
        <f>Database!VIA14</f>
        <v>0</v>
      </c>
      <c r="VHI6" s="44">
        <f>Database!VIB14</f>
        <v>0</v>
      </c>
      <c r="VHJ6" s="44">
        <f>Database!VIC14</f>
        <v>0</v>
      </c>
      <c r="VHK6" s="44">
        <f>Database!VID14</f>
        <v>0</v>
      </c>
      <c r="VHL6" s="44">
        <f>Database!VIE14</f>
        <v>0</v>
      </c>
      <c r="VHM6" s="44">
        <f>Database!VIF14</f>
        <v>0</v>
      </c>
      <c r="VHN6" s="44">
        <f>Database!VIG14</f>
        <v>0</v>
      </c>
      <c r="VHO6" s="44">
        <f>Database!VIH14</f>
        <v>0</v>
      </c>
      <c r="VHP6" s="44">
        <f>Database!VII14</f>
        <v>0</v>
      </c>
      <c r="VHQ6" s="44">
        <f>Database!VIJ14</f>
        <v>0</v>
      </c>
      <c r="VHR6" s="44">
        <f>Database!VIK14</f>
        <v>0</v>
      </c>
      <c r="VHS6" s="44">
        <f>Database!VIL14</f>
        <v>0</v>
      </c>
      <c r="VHT6" s="44">
        <f>Database!VIM14</f>
        <v>0</v>
      </c>
      <c r="VHU6" s="44">
        <f>Database!VIN14</f>
        <v>0</v>
      </c>
      <c r="VHV6" s="44">
        <f>Database!VIO14</f>
        <v>0</v>
      </c>
      <c r="VHW6" s="44">
        <f>Database!VIP14</f>
        <v>0</v>
      </c>
      <c r="VHX6" s="44">
        <f>Database!VIQ14</f>
        <v>0</v>
      </c>
      <c r="VHY6" s="44">
        <f>Database!VIR14</f>
        <v>0</v>
      </c>
      <c r="VHZ6" s="44">
        <f>Database!VIS14</f>
        <v>0</v>
      </c>
      <c r="VIA6" s="44">
        <f>Database!VIT14</f>
        <v>0</v>
      </c>
      <c r="VIB6" s="44">
        <f>Database!VIU14</f>
        <v>0</v>
      </c>
      <c r="VIC6" s="44">
        <f>Database!VIV14</f>
        <v>0</v>
      </c>
      <c r="VID6" s="44">
        <f>Database!VIW14</f>
        <v>0</v>
      </c>
      <c r="VIE6" s="44">
        <f>Database!VIX14</f>
        <v>0</v>
      </c>
      <c r="VIF6" s="44">
        <f>Database!VIY14</f>
        <v>0</v>
      </c>
      <c r="VIG6" s="44">
        <f>Database!VIZ14</f>
        <v>0</v>
      </c>
      <c r="VIH6" s="44">
        <f>Database!VJA14</f>
        <v>0</v>
      </c>
      <c r="VII6" s="44">
        <f>Database!VJB14</f>
        <v>0</v>
      </c>
      <c r="VIJ6" s="44">
        <f>Database!VJC14</f>
        <v>0</v>
      </c>
      <c r="VIK6" s="44">
        <f>Database!VJD14</f>
        <v>0</v>
      </c>
      <c r="VIL6" s="44">
        <f>Database!VJE14</f>
        <v>0</v>
      </c>
      <c r="VIM6" s="44">
        <f>Database!VJF14</f>
        <v>0</v>
      </c>
      <c r="VIN6" s="44">
        <f>Database!VJG14</f>
        <v>0</v>
      </c>
      <c r="VIO6" s="44">
        <f>Database!VJH14</f>
        <v>0</v>
      </c>
      <c r="VIP6" s="44">
        <f>Database!VJI14</f>
        <v>0</v>
      </c>
      <c r="VIQ6" s="44">
        <f>Database!VJJ14</f>
        <v>0</v>
      </c>
      <c r="VIR6" s="44">
        <f>Database!VJK14</f>
        <v>0</v>
      </c>
      <c r="VIS6" s="44">
        <f>Database!VJL14</f>
        <v>0</v>
      </c>
      <c r="VIT6" s="44">
        <f>Database!VJM14</f>
        <v>0</v>
      </c>
      <c r="VIU6" s="44">
        <f>Database!VJN14</f>
        <v>0</v>
      </c>
      <c r="VIV6" s="44">
        <f>Database!VJO14</f>
        <v>0</v>
      </c>
      <c r="VIW6" s="44">
        <f>Database!VJP14</f>
        <v>0</v>
      </c>
      <c r="VIX6" s="44">
        <f>Database!VJQ14</f>
        <v>0</v>
      </c>
      <c r="VIY6" s="44">
        <f>Database!VJR14</f>
        <v>0</v>
      </c>
      <c r="VIZ6" s="44">
        <f>Database!VJS14</f>
        <v>0</v>
      </c>
      <c r="VJA6" s="44">
        <f>Database!VJT14</f>
        <v>0</v>
      </c>
      <c r="VJB6" s="44">
        <f>Database!VJU14</f>
        <v>0</v>
      </c>
      <c r="VJC6" s="44">
        <f>Database!VJV14</f>
        <v>0</v>
      </c>
      <c r="VJD6" s="44">
        <f>Database!VJW14</f>
        <v>0</v>
      </c>
      <c r="VJE6" s="44">
        <f>Database!VJX14</f>
        <v>0</v>
      </c>
      <c r="VJF6" s="44">
        <f>Database!VJY14</f>
        <v>0</v>
      </c>
      <c r="VJG6" s="44">
        <f>Database!VJZ14</f>
        <v>0</v>
      </c>
      <c r="VJH6" s="44">
        <f>Database!VKA14</f>
        <v>0</v>
      </c>
      <c r="VJI6" s="44">
        <f>Database!VKB14</f>
        <v>0</v>
      </c>
      <c r="VJJ6" s="44">
        <f>Database!VKC14</f>
        <v>0</v>
      </c>
      <c r="VJK6" s="44">
        <f>Database!VKD14</f>
        <v>0</v>
      </c>
      <c r="VJL6" s="44">
        <f>Database!VKE14</f>
        <v>0</v>
      </c>
      <c r="VJM6" s="44">
        <f>Database!VKF14</f>
        <v>0</v>
      </c>
      <c r="VJN6" s="44">
        <f>Database!VKG14</f>
        <v>0</v>
      </c>
      <c r="VJO6" s="44">
        <f>Database!VKH14</f>
        <v>0</v>
      </c>
      <c r="VJP6" s="44">
        <f>Database!VKI14</f>
        <v>0</v>
      </c>
      <c r="VJQ6" s="44">
        <f>Database!VKJ14</f>
        <v>0</v>
      </c>
      <c r="VJR6" s="44">
        <f>Database!VKK14</f>
        <v>0</v>
      </c>
      <c r="VJS6" s="44">
        <f>Database!VKL14</f>
        <v>0</v>
      </c>
      <c r="VJT6" s="44">
        <f>Database!VKM14</f>
        <v>0</v>
      </c>
      <c r="VJU6" s="44">
        <f>Database!VKN14</f>
        <v>0</v>
      </c>
      <c r="VJV6" s="44">
        <f>Database!VKO14</f>
        <v>0</v>
      </c>
      <c r="VJW6" s="44">
        <f>Database!VKP14</f>
        <v>0</v>
      </c>
      <c r="VJX6" s="44">
        <f>Database!VKQ14</f>
        <v>0</v>
      </c>
      <c r="VJY6" s="44">
        <f>Database!VKR14</f>
        <v>0</v>
      </c>
      <c r="VJZ6" s="44">
        <f>Database!VKS14</f>
        <v>0</v>
      </c>
      <c r="VKA6" s="44">
        <f>Database!VKT14</f>
        <v>0</v>
      </c>
      <c r="VKB6" s="44">
        <f>Database!VKU14</f>
        <v>0</v>
      </c>
      <c r="VKC6" s="44">
        <f>Database!VKV14</f>
        <v>0</v>
      </c>
      <c r="VKD6" s="44">
        <f>Database!VKW14</f>
        <v>0</v>
      </c>
      <c r="VKE6" s="44">
        <f>Database!VKX14</f>
        <v>0</v>
      </c>
      <c r="VKF6" s="44">
        <f>Database!VKY14</f>
        <v>0</v>
      </c>
      <c r="VKG6" s="44">
        <f>Database!VKZ14</f>
        <v>0</v>
      </c>
      <c r="VKH6" s="44">
        <f>Database!VLA14</f>
        <v>0</v>
      </c>
      <c r="VKI6" s="44">
        <f>Database!VLB14</f>
        <v>0</v>
      </c>
      <c r="VKJ6" s="44">
        <f>Database!VLC14</f>
        <v>0</v>
      </c>
      <c r="VKK6" s="44">
        <f>Database!VLD14</f>
        <v>0</v>
      </c>
      <c r="VKL6" s="44">
        <f>Database!VLE14</f>
        <v>0</v>
      </c>
      <c r="VKM6" s="44">
        <f>Database!VLF14</f>
        <v>0</v>
      </c>
      <c r="VKN6" s="44">
        <f>Database!VLG14</f>
        <v>0</v>
      </c>
      <c r="VKO6" s="44">
        <f>Database!VLH14</f>
        <v>0</v>
      </c>
      <c r="VKP6" s="44">
        <f>Database!VLI14</f>
        <v>0</v>
      </c>
      <c r="VKQ6" s="44">
        <f>Database!VLJ14</f>
        <v>0</v>
      </c>
      <c r="VKR6" s="44">
        <f>Database!VLK14</f>
        <v>0</v>
      </c>
      <c r="VKS6" s="44">
        <f>Database!VLL14</f>
        <v>0</v>
      </c>
      <c r="VKT6" s="44">
        <f>Database!VLM14</f>
        <v>0</v>
      </c>
      <c r="VKU6" s="44">
        <f>Database!VLN14</f>
        <v>0</v>
      </c>
      <c r="VKV6" s="44">
        <f>Database!VLO14</f>
        <v>0</v>
      </c>
      <c r="VKW6" s="44">
        <f>Database!VLP14</f>
        <v>0</v>
      </c>
      <c r="VKX6" s="44">
        <f>Database!VLQ14</f>
        <v>0</v>
      </c>
      <c r="VKY6" s="44">
        <f>Database!VLR14</f>
        <v>0</v>
      </c>
      <c r="VKZ6" s="44">
        <f>Database!VLS14</f>
        <v>0</v>
      </c>
      <c r="VLA6" s="44">
        <f>Database!VLT14</f>
        <v>0</v>
      </c>
      <c r="VLB6" s="44">
        <f>Database!VLU14</f>
        <v>0</v>
      </c>
      <c r="VLC6" s="44">
        <f>Database!VLV14</f>
        <v>0</v>
      </c>
      <c r="VLD6" s="44">
        <f>Database!VLW14</f>
        <v>0</v>
      </c>
      <c r="VLE6" s="44">
        <f>Database!VLX14</f>
        <v>0</v>
      </c>
      <c r="VLF6" s="44">
        <f>Database!VLY14</f>
        <v>0</v>
      </c>
      <c r="VLG6" s="44">
        <f>Database!VLZ14</f>
        <v>0</v>
      </c>
      <c r="VLH6" s="44">
        <f>Database!VMA14</f>
        <v>0</v>
      </c>
      <c r="VLI6" s="44">
        <f>Database!VMB14</f>
        <v>0</v>
      </c>
      <c r="VLJ6" s="44">
        <f>Database!VMC14</f>
        <v>0</v>
      </c>
      <c r="VLK6" s="44">
        <f>Database!VMD14</f>
        <v>0</v>
      </c>
      <c r="VLL6" s="44">
        <f>Database!VME14</f>
        <v>0</v>
      </c>
      <c r="VLM6" s="44">
        <f>Database!VMF14</f>
        <v>0</v>
      </c>
      <c r="VLN6" s="44">
        <f>Database!VMG14</f>
        <v>0</v>
      </c>
      <c r="VLO6" s="44">
        <f>Database!VMH14</f>
        <v>0</v>
      </c>
      <c r="VLP6" s="44">
        <f>Database!VMI14</f>
        <v>0</v>
      </c>
      <c r="VLQ6" s="44">
        <f>Database!VMJ14</f>
        <v>0</v>
      </c>
      <c r="VLR6" s="44">
        <f>Database!VMK14</f>
        <v>0</v>
      </c>
      <c r="VLS6" s="44">
        <f>Database!VML14</f>
        <v>0</v>
      </c>
      <c r="VLT6" s="44">
        <f>Database!VMM14</f>
        <v>0</v>
      </c>
      <c r="VLU6" s="44">
        <f>Database!VMN14</f>
        <v>0</v>
      </c>
      <c r="VLV6" s="44">
        <f>Database!VMO14</f>
        <v>0</v>
      </c>
      <c r="VLW6" s="44">
        <f>Database!VMP14</f>
        <v>0</v>
      </c>
      <c r="VLX6" s="44">
        <f>Database!VMQ14</f>
        <v>0</v>
      </c>
      <c r="VLY6" s="44">
        <f>Database!VMR14</f>
        <v>0</v>
      </c>
      <c r="VLZ6" s="44">
        <f>Database!VMS14</f>
        <v>0</v>
      </c>
      <c r="VMA6" s="44">
        <f>Database!VMT14</f>
        <v>0</v>
      </c>
      <c r="VMB6" s="44">
        <f>Database!VMU14</f>
        <v>0</v>
      </c>
      <c r="VMC6" s="44">
        <f>Database!VMV14</f>
        <v>0</v>
      </c>
      <c r="VMD6" s="44">
        <f>Database!VMW14</f>
        <v>0</v>
      </c>
      <c r="VME6" s="44">
        <f>Database!VMX14</f>
        <v>0</v>
      </c>
      <c r="VMF6" s="44">
        <f>Database!VMY14</f>
        <v>0</v>
      </c>
      <c r="VMG6" s="44">
        <f>Database!VMZ14</f>
        <v>0</v>
      </c>
      <c r="VMH6" s="44">
        <f>Database!VNA14</f>
        <v>0</v>
      </c>
      <c r="VMI6" s="44">
        <f>Database!VNB14</f>
        <v>0</v>
      </c>
      <c r="VMJ6" s="44">
        <f>Database!VNC14</f>
        <v>0</v>
      </c>
      <c r="VMK6" s="44">
        <f>Database!VND14</f>
        <v>0</v>
      </c>
      <c r="VML6" s="44">
        <f>Database!VNE14</f>
        <v>0</v>
      </c>
      <c r="VMM6" s="44">
        <f>Database!VNF14</f>
        <v>0</v>
      </c>
      <c r="VMN6" s="44">
        <f>Database!VNG14</f>
        <v>0</v>
      </c>
      <c r="VMO6" s="44">
        <f>Database!VNH14</f>
        <v>0</v>
      </c>
      <c r="VMP6" s="44">
        <f>Database!VNI14</f>
        <v>0</v>
      </c>
      <c r="VMQ6" s="44">
        <f>Database!VNJ14</f>
        <v>0</v>
      </c>
      <c r="VMR6" s="44">
        <f>Database!VNK14</f>
        <v>0</v>
      </c>
      <c r="VMS6" s="44">
        <f>Database!VNL14</f>
        <v>0</v>
      </c>
      <c r="VMT6" s="44">
        <f>Database!VNM14</f>
        <v>0</v>
      </c>
      <c r="VMU6" s="44">
        <f>Database!VNN14</f>
        <v>0</v>
      </c>
      <c r="VMV6" s="44">
        <f>Database!VNO14</f>
        <v>0</v>
      </c>
      <c r="VMW6" s="44">
        <f>Database!VNP14</f>
        <v>0</v>
      </c>
      <c r="VMX6" s="44">
        <f>Database!VNQ14</f>
        <v>0</v>
      </c>
      <c r="VMY6" s="44">
        <f>Database!VNR14</f>
        <v>0</v>
      </c>
      <c r="VMZ6" s="44">
        <f>Database!VNS14</f>
        <v>0</v>
      </c>
      <c r="VNA6" s="44">
        <f>Database!VNT14</f>
        <v>0</v>
      </c>
      <c r="VNB6" s="44">
        <f>Database!VNU14</f>
        <v>0</v>
      </c>
      <c r="VNC6" s="44">
        <f>Database!VNV14</f>
        <v>0</v>
      </c>
      <c r="VND6" s="44">
        <f>Database!VNW14</f>
        <v>0</v>
      </c>
      <c r="VNE6" s="44">
        <f>Database!VNX14</f>
        <v>0</v>
      </c>
      <c r="VNF6" s="44">
        <f>Database!VNY14</f>
        <v>0</v>
      </c>
      <c r="VNG6" s="44">
        <f>Database!VNZ14</f>
        <v>0</v>
      </c>
      <c r="VNH6" s="44">
        <f>Database!VOA14</f>
        <v>0</v>
      </c>
      <c r="VNI6" s="44">
        <f>Database!VOB14</f>
        <v>0</v>
      </c>
      <c r="VNJ6" s="44">
        <f>Database!VOC14</f>
        <v>0</v>
      </c>
      <c r="VNK6" s="44">
        <f>Database!VOD14</f>
        <v>0</v>
      </c>
      <c r="VNL6" s="44">
        <f>Database!VOE14</f>
        <v>0</v>
      </c>
      <c r="VNM6" s="44">
        <f>Database!VOF14</f>
        <v>0</v>
      </c>
      <c r="VNN6" s="44">
        <f>Database!VOG14</f>
        <v>0</v>
      </c>
      <c r="VNO6" s="44">
        <f>Database!VOH14</f>
        <v>0</v>
      </c>
      <c r="VNP6" s="44">
        <f>Database!VOI14</f>
        <v>0</v>
      </c>
      <c r="VNQ6" s="44">
        <f>Database!VOJ14</f>
        <v>0</v>
      </c>
      <c r="VNR6" s="44">
        <f>Database!VOK14</f>
        <v>0</v>
      </c>
      <c r="VNS6" s="44">
        <f>Database!VOL14</f>
        <v>0</v>
      </c>
      <c r="VNT6" s="44">
        <f>Database!VOM14</f>
        <v>0</v>
      </c>
      <c r="VNU6" s="44">
        <f>Database!VON14</f>
        <v>0</v>
      </c>
      <c r="VNV6" s="44">
        <f>Database!VOO14</f>
        <v>0</v>
      </c>
      <c r="VNW6" s="44">
        <f>Database!VOP14</f>
        <v>0</v>
      </c>
      <c r="VNX6" s="44">
        <f>Database!VOQ14</f>
        <v>0</v>
      </c>
      <c r="VNY6" s="44">
        <f>Database!VOR14</f>
        <v>0</v>
      </c>
      <c r="VNZ6" s="44">
        <f>Database!VOS14</f>
        <v>0</v>
      </c>
      <c r="VOA6" s="44">
        <f>Database!VOT14</f>
        <v>0</v>
      </c>
      <c r="VOB6" s="44">
        <f>Database!VOU14</f>
        <v>0</v>
      </c>
      <c r="VOC6" s="44">
        <f>Database!VOV14</f>
        <v>0</v>
      </c>
      <c r="VOD6" s="44">
        <f>Database!VOW14</f>
        <v>0</v>
      </c>
      <c r="VOE6" s="44">
        <f>Database!VOX14</f>
        <v>0</v>
      </c>
      <c r="VOF6" s="44">
        <f>Database!VOY14</f>
        <v>0</v>
      </c>
      <c r="VOG6" s="44">
        <f>Database!VOZ14</f>
        <v>0</v>
      </c>
      <c r="VOH6" s="44">
        <f>Database!VPA14</f>
        <v>0</v>
      </c>
      <c r="VOI6" s="44">
        <f>Database!VPB14</f>
        <v>0</v>
      </c>
      <c r="VOJ6" s="44">
        <f>Database!VPC14</f>
        <v>0</v>
      </c>
      <c r="VOK6" s="44">
        <f>Database!VPD14</f>
        <v>0</v>
      </c>
      <c r="VOL6" s="44">
        <f>Database!VPE14</f>
        <v>0</v>
      </c>
      <c r="VOM6" s="44">
        <f>Database!VPF14</f>
        <v>0</v>
      </c>
      <c r="VON6" s="44">
        <f>Database!VPG14</f>
        <v>0</v>
      </c>
      <c r="VOO6" s="44">
        <f>Database!VPH14</f>
        <v>0</v>
      </c>
      <c r="VOP6" s="44">
        <f>Database!VPI14</f>
        <v>0</v>
      </c>
      <c r="VOQ6" s="44">
        <f>Database!VPJ14</f>
        <v>0</v>
      </c>
      <c r="VOR6" s="44">
        <f>Database!VPK14</f>
        <v>0</v>
      </c>
      <c r="VOS6" s="44">
        <f>Database!VPL14</f>
        <v>0</v>
      </c>
      <c r="VOT6" s="44">
        <f>Database!VPM14</f>
        <v>0</v>
      </c>
      <c r="VOU6" s="44">
        <f>Database!VPN14</f>
        <v>0</v>
      </c>
      <c r="VOV6" s="44">
        <f>Database!VPO14</f>
        <v>0</v>
      </c>
      <c r="VOW6" s="44">
        <f>Database!VPP14</f>
        <v>0</v>
      </c>
      <c r="VOX6" s="44">
        <f>Database!VPQ14</f>
        <v>0</v>
      </c>
      <c r="VOY6" s="44">
        <f>Database!VPR14</f>
        <v>0</v>
      </c>
      <c r="VOZ6" s="44">
        <f>Database!VPS14</f>
        <v>0</v>
      </c>
      <c r="VPA6" s="44">
        <f>Database!VPT14</f>
        <v>0</v>
      </c>
      <c r="VPB6" s="44">
        <f>Database!VPU14</f>
        <v>0</v>
      </c>
      <c r="VPC6" s="44">
        <f>Database!VPV14</f>
        <v>0</v>
      </c>
      <c r="VPD6" s="44">
        <f>Database!VPW14</f>
        <v>0</v>
      </c>
      <c r="VPE6" s="44">
        <f>Database!VPX14</f>
        <v>0</v>
      </c>
      <c r="VPF6" s="44">
        <f>Database!VPY14</f>
        <v>0</v>
      </c>
      <c r="VPG6" s="44">
        <f>Database!VPZ14</f>
        <v>0</v>
      </c>
      <c r="VPH6" s="44">
        <f>Database!VQA14</f>
        <v>0</v>
      </c>
      <c r="VPI6" s="44">
        <f>Database!VQB14</f>
        <v>0</v>
      </c>
      <c r="VPJ6" s="44">
        <f>Database!VQC14</f>
        <v>0</v>
      </c>
      <c r="VPK6" s="44">
        <f>Database!VQD14</f>
        <v>0</v>
      </c>
      <c r="VPL6" s="44">
        <f>Database!VQE14</f>
        <v>0</v>
      </c>
      <c r="VPM6" s="44">
        <f>Database!VQF14</f>
        <v>0</v>
      </c>
      <c r="VPN6" s="44">
        <f>Database!VQG14</f>
        <v>0</v>
      </c>
      <c r="VPO6" s="44">
        <f>Database!VQH14</f>
        <v>0</v>
      </c>
      <c r="VPP6" s="44">
        <f>Database!VQI14</f>
        <v>0</v>
      </c>
      <c r="VPQ6" s="44">
        <f>Database!VQJ14</f>
        <v>0</v>
      </c>
      <c r="VPR6" s="44">
        <f>Database!VQK14</f>
        <v>0</v>
      </c>
      <c r="VPS6" s="44">
        <f>Database!VQL14</f>
        <v>0</v>
      </c>
      <c r="VPT6" s="44">
        <f>Database!VQM14</f>
        <v>0</v>
      </c>
      <c r="VPU6" s="44">
        <f>Database!VQN14</f>
        <v>0</v>
      </c>
      <c r="VPV6" s="44">
        <f>Database!VQO14</f>
        <v>0</v>
      </c>
      <c r="VPW6" s="44">
        <f>Database!VQP14</f>
        <v>0</v>
      </c>
      <c r="VPX6" s="44">
        <f>Database!VQQ14</f>
        <v>0</v>
      </c>
      <c r="VPY6" s="44">
        <f>Database!VQR14</f>
        <v>0</v>
      </c>
      <c r="VPZ6" s="44">
        <f>Database!VQS14</f>
        <v>0</v>
      </c>
      <c r="VQA6" s="44">
        <f>Database!VQT14</f>
        <v>0</v>
      </c>
      <c r="VQB6" s="44">
        <f>Database!VQU14</f>
        <v>0</v>
      </c>
      <c r="VQC6" s="44">
        <f>Database!VQV14</f>
        <v>0</v>
      </c>
      <c r="VQD6" s="44">
        <f>Database!VQW14</f>
        <v>0</v>
      </c>
      <c r="VQE6" s="44">
        <f>Database!VQX14</f>
        <v>0</v>
      </c>
      <c r="VQF6" s="44">
        <f>Database!VQY14</f>
        <v>0</v>
      </c>
      <c r="VQG6" s="44">
        <f>Database!VQZ14</f>
        <v>0</v>
      </c>
      <c r="VQH6" s="44">
        <f>Database!VRA14</f>
        <v>0</v>
      </c>
      <c r="VQI6" s="44">
        <f>Database!VRB14</f>
        <v>0</v>
      </c>
      <c r="VQJ6" s="44">
        <f>Database!VRC14</f>
        <v>0</v>
      </c>
      <c r="VQK6" s="44">
        <f>Database!VRD14</f>
        <v>0</v>
      </c>
      <c r="VQL6" s="44">
        <f>Database!VRE14</f>
        <v>0</v>
      </c>
      <c r="VQM6" s="44">
        <f>Database!VRF14</f>
        <v>0</v>
      </c>
      <c r="VQN6" s="44">
        <f>Database!VRG14</f>
        <v>0</v>
      </c>
      <c r="VQO6" s="44">
        <f>Database!VRH14</f>
        <v>0</v>
      </c>
      <c r="VQP6" s="44">
        <f>Database!VRI14</f>
        <v>0</v>
      </c>
      <c r="VQQ6" s="44">
        <f>Database!VRJ14</f>
        <v>0</v>
      </c>
      <c r="VQR6" s="44">
        <f>Database!VRK14</f>
        <v>0</v>
      </c>
      <c r="VQS6" s="44">
        <f>Database!VRL14</f>
        <v>0</v>
      </c>
      <c r="VQT6" s="44">
        <f>Database!VRM14</f>
        <v>0</v>
      </c>
      <c r="VQU6" s="44">
        <f>Database!VRN14</f>
        <v>0</v>
      </c>
      <c r="VQV6" s="44">
        <f>Database!VRO14</f>
        <v>0</v>
      </c>
      <c r="VQW6" s="44">
        <f>Database!VRP14</f>
        <v>0</v>
      </c>
      <c r="VQX6" s="44">
        <f>Database!VRQ14</f>
        <v>0</v>
      </c>
      <c r="VQY6" s="44">
        <f>Database!VRR14</f>
        <v>0</v>
      </c>
      <c r="VQZ6" s="44">
        <f>Database!VRS14</f>
        <v>0</v>
      </c>
      <c r="VRA6" s="44">
        <f>Database!VRT14</f>
        <v>0</v>
      </c>
      <c r="VRB6" s="44">
        <f>Database!VRU14</f>
        <v>0</v>
      </c>
      <c r="VRC6" s="44">
        <f>Database!VRV14</f>
        <v>0</v>
      </c>
      <c r="VRD6" s="44">
        <f>Database!VRW14</f>
        <v>0</v>
      </c>
      <c r="VRE6" s="44">
        <f>Database!VRX14</f>
        <v>0</v>
      </c>
      <c r="VRF6" s="44">
        <f>Database!VRY14</f>
        <v>0</v>
      </c>
      <c r="VRG6" s="44">
        <f>Database!VRZ14</f>
        <v>0</v>
      </c>
      <c r="VRH6" s="44">
        <f>Database!VSA14</f>
        <v>0</v>
      </c>
      <c r="VRI6" s="44">
        <f>Database!VSB14</f>
        <v>0</v>
      </c>
      <c r="VRJ6" s="44">
        <f>Database!VSC14</f>
        <v>0</v>
      </c>
      <c r="VRK6" s="44">
        <f>Database!VSD14</f>
        <v>0</v>
      </c>
      <c r="VRL6" s="44">
        <f>Database!VSE14</f>
        <v>0</v>
      </c>
      <c r="VRM6" s="44">
        <f>Database!VSF14</f>
        <v>0</v>
      </c>
      <c r="VRN6" s="44">
        <f>Database!VSG14</f>
        <v>0</v>
      </c>
      <c r="VRO6" s="44">
        <f>Database!VSH14</f>
        <v>0</v>
      </c>
      <c r="VRP6" s="44">
        <f>Database!VSI14</f>
        <v>0</v>
      </c>
      <c r="VRQ6" s="44">
        <f>Database!VSJ14</f>
        <v>0</v>
      </c>
      <c r="VRR6" s="44">
        <f>Database!VSK14</f>
        <v>0</v>
      </c>
      <c r="VRS6" s="44">
        <f>Database!VSL14</f>
        <v>0</v>
      </c>
      <c r="VRT6" s="44">
        <f>Database!VSM14</f>
        <v>0</v>
      </c>
      <c r="VRU6" s="44">
        <f>Database!VSN14</f>
        <v>0</v>
      </c>
      <c r="VRV6" s="44">
        <f>Database!VSO14</f>
        <v>0</v>
      </c>
      <c r="VRW6" s="44">
        <f>Database!VSP14</f>
        <v>0</v>
      </c>
      <c r="VRX6" s="44">
        <f>Database!VSQ14</f>
        <v>0</v>
      </c>
      <c r="VRY6" s="44">
        <f>Database!VSR14</f>
        <v>0</v>
      </c>
      <c r="VRZ6" s="44">
        <f>Database!VSS14</f>
        <v>0</v>
      </c>
      <c r="VSA6" s="44">
        <f>Database!VST14</f>
        <v>0</v>
      </c>
      <c r="VSB6" s="44">
        <f>Database!VSU14</f>
        <v>0</v>
      </c>
      <c r="VSC6" s="44">
        <f>Database!VSV14</f>
        <v>0</v>
      </c>
      <c r="VSD6" s="44">
        <f>Database!VSW14</f>
        <v>0</v>
      </c>
      <c r="VSE6" s="44">
        <f>Database!VSX14</f>
        <v>0</v>
      </c>
      <c r="VSF6" s="44">
        <f>Database!VSY14</f>
        <v>0</v>
      </c>
      <c r="VSG6" s="44">
        <f>Database!VSZ14</f>
        <v>0</v>
      </c>
      <c r="VSH6" s="44">
        <f>Database!VTA14</f>
        <v>0</v>
      </c>
      <c r="VSI6" s="44">
        <f>Database!VTB14</f>
        <v>0</v>
      </c>
      <c r="VSJ6" s="44">
        <f>Database!VTC14</f>
        <v>0</v>
      </c>
      <c r="VSK6" s="44">
        <f>Database!VTD14</f>
        <v>0</v>
      </c>
      <c r="VSL6" s="44">
        <f>Database!VTE14</f>
        <v>0</v>
      </c>
      <c r="VSM6" s="44">
        <f>Database!VTF14</f>
        <v>0</v>
      </c>
      <c r="VSN6" s="44">
        <f>Database!VTG14</f>
        <v>0</v>
      </c>
      <c r="VSO6" s="44">
        <f>Database!VTH14</f>
        <v>0</v>
      </c>
      <c r="VSP6" s="44">
        <f>Database!VTI14</f>
        <v>0</v>
      </c>
      <c r="VSQ6" s="44">
        <f>Database!VTJ14</f>
        <v>0</v>
      </c>
      <c r="VSR6" s="44">
        <f>Database!VTK14</f>
        <v>0</v>
      </c>
      <c r="VSS6" s="44">
        <f>Database!VTL14</f>
        <v>0</v>
      </c>
      <c r="VST6" s="44">
        <f>Database!VTM14</f>
        <v>0</v>
      </c>
      <c r="VSU6" s="44">
        <f>Database!VTN14</f>
        <v>0</v>
      </c>
      <c r="VSV6" s="44">
        <f>Database!VTO14</f>
        <v>0</v>
      </c>
      <c r="VSW6" s="44">
        <f>Database!VTP14</f>
        <v>0</v>
      </c>
      <c r="VSX6" s="44">
        <f>Database!VTQ14</f>
        <v>0</v>
      </c>
      <c r="VSY6" s="44">
        <f>Database!VTR14</f>
        <v>0</v>
      </c>
      <c r="VSZ6" s="44">
        <f>Database!VTS14</f>
        <v>0</v>
      </c>
      <c r="VTA6" s="44">
        <f>Database!VTT14</f>
        <v>0</v>
      </c>
      <c r="VTB6" s="44">
        <f>Database!VTU14</f>
        <v>0</v>
      </c>
      <c r="VTC6" s="44">
        <f>Database!VTV14</f>
        <v>0</v>
      </c>
      <c r="VTD6" s="44">
        <f>Database!VTW14</f>
        <v>0</v>
      </c>
      <c r="VTE6" s="44">
        <f>Database!VTX14</f>
        <v>0</v>
      </c>
      <c r="VTF6" s="44">
        <f>Database!VTY14</f>
        <v>0</v>
      </c>
      <c r="VTG6" s="44">
        <f>Database!VTZ14</f>
        <v>0</v>
      </c>
      <c r="VTH6" s="44">
        <f>Database!VUA14</f>
        <v>0</v>
      </c>
      <c r="VTI6" s="44">
        <f>Database!VUB14</f>
        <v>0</v>
      </c>
      <c r="VTJ6" s="44">
        <f>Database!VUC14</f>
        <v>0</v>
      </c>
      <c r="VTK6" s="44">
        <f>Database!VUD14</f>
        <v>0</v>
      </c>
      <c r="VTL6" s="44">
        <f>Database!VUE14</f>
        <v>0</v>
      </c>
      <c r="VTM6" s="44">
        <f>Database!VUF14</f>
        <v>0</v>
      </c>
      <c r="VTN6" s="44">
        <f>Database!VUG14</f>
        <v>0</v>
      </c>
      <c r="VTO6" s="44">
        <f>Database!VUH14</f>
        <v>0</v>
      </c>
      <c r="VTP6" s="44">
        <f>Database!VUI14</f>
        <v>0</v>
      </c>
      <c r="VTQ6" s="44">
        <f>Database!VUJ14</f>
        <v>0</v>
      </c>
      <c r="VTR6" s="44">
        <f>Database!VUK14</f>
        <v>0</v>
      </c>
      <c r="VTS6" s="44">
        <f>Database!VUL14</f>
        <v>0</v>
      </c>
      <c r="VTT6" s="44">
        <f>Database!VUM14</f>
        <v>0</v>
      </c>
      <c r="VTU6" s="44">
        <f>Database!VUN14</f>
        <v>0</v>
      </c>
      <c r="VTV6" s="44">
        <f>Database!VUO14</f>
        <v>0</v>
      </c>
      <c r="VTW6" s="44">
        <f>Database!VUP14</f>
        <v>0</v>
      </c>
      <c r="VTX6" s="44">
        <f>Database!VUQ14</f>
        <v>0</v>
      </c>
      <c r="VTY6" s="44">
        <f>Database!VUR14</f>
        <v>0</v>
      </c>
      <c r="VTZ6" s="44">
        <f>Database!VUS14</f>
        <v>0</v>
      </c>
      <c r="VUA6" s="44">
        <f>Database!VUT14</f>
        <v>0</v>
      </c>
      <c r="VUB6" s="44">
        <f>Database!VUU14</f>
        <v>0</v>
      </c>
      <c r="VUC6" s="44">
        <f>Database!VUV14</f>
        <v>0</v>
      </c>
      <c r="VUD6" s="44">
        <f>Database!VUW14</f>
        <v>0</v>
      </c>
      <c r="VUE6" s="44">
        <f>Database!VUX14</f>
        <v>0</v>
      </c>
      <c r="VUF6" s="44">
        <f>Database!VUY14</f>
        <v>0</v>
      </c>
      <c r="VUG6" s="44">
        <f>Database!VUZ14</f>
        <v>0</v>
      </c>
      <c r="VUH6" s="44">
        <f>Database!VVA14</f>
        <v>0</v>
      </c>
      <c r="VUI6" s="44">
        <f>Database!VVB14</f>
        <v>0</v>
      </c>
      <c r="VUJ6" s="44">
        <f>Database!VVC14</f>
        <v>0</v>
      </c>
      <c r="VUK6" s="44">
        <f>Database!VVD14</f>
        <v>0</v>
      </c>
      <c r="VUL6" s="44">
        <f>Database!VVE14</f>
        <v>0</v>
      </c>
      <c r="VUM6" s="44">
        <f>Database!VVF14</f>
        <v>0</v>
      </c>
      <c r="VUN6" s="44">
        <f>Database!VVG14</f>
        <v>0</v>
      </c>
      <c r="VUO6" s="44">
        <f>Database!VVH14</f>
        <v>0</v>
      </c>
      <c r="VUP6" s="44">
        <f>Database!VVI14</f>
        <v>0</v>
      </c>
      <c r="VUQ6" s="44">
        <f>Database!VVJ14</f>
        <v>0</v>
      </c>
      <c r="VUR6" s="44">
        <f>Database!VVK14</f>
        <v>0</v>
      </c>
      <c r="VUS6" s="44">
        <f>Database!VVL14</f>
        <v>0</v>
      </c>
      <c r="VUT6" s="44">
        <f>Database!VVM14</f>
        <v>0</v>
      </c>
      <c r="VUU6" s="44">
        <f>Database!VVN14</f>
        <v>0</v>
      </c>
      <c r="VUV6" s="44">
        <f>Database!VVO14</f>
        <v>0</v>
      </c>
      <c r="VUW6" s="44">
        <f>Database!VVP14</f>
        <v>0</v>
      </c>
      <c r="VUX6" s="44">
        <f>Database!VVQ14</f>
        <v>0</v>
      </c>
      <c r="VUY6" s="44">
        <f>Database!VVR14</f>
        <v>0</v>
      </c>
      <c r="VUZ6" s="44">
        <f>Database!VVS14</f>
        <v>0</v>
      </c>
      <c r="VVA6" s="44">
        <f>Database!VVT14</f>
        <v>0</v>
      </c>
      <c r="VVB6" s="44">
        <f>Database!VVU14</f>
        <v>0</v>
      </c>
      <c r="VVC6" s="44">
        <f>Database!VVV14</f>
        <v>0</v>
      </c>
      <c r="VVD6" s="44">
        <f>Database!VVW14</f>
        <v>0</v>
      </c>
      <c r="VVE6" s="44">
        <f>Database!VVX14</f>
        <v>0</v>
      </c>
      <c r="VVF6" s="44">
        <f>Database!VVY14</f>
        <v>0</v>
      </c>
      <c r="VVG6" s="44">
        <f>Database!VVZ14</f>
        <v>0</v>
      </c>
      <c r="VVH6" s="44">
        <f>Database!VWA14</f>
        <v>0</v>
      </c>
      <c r="VVI6" s="44">
        <f>Database!VWB14</f>
        <v>0</v>
      </c>
      <c r="VVJ6" s="44">
        <f>Database!VWC14</f>
        <v>0</v>
      </c>
      <c r="VVK6" s="44">
        <f>Database!VWD14</f>
        <v>0</v>
      </c>
      <c r="VVL6" s="44">
        <f>Database!VWE14</f>
        <v>0</v>
      </c>
      <c r="VVM6" s="44">
        <f>Database!VWF14</f>
        <v>0</v>
      </c>
      <c r="VVN6" s="44">
        <f>Database!VWG14</f>
        <v>0</v>
      </c>
      <c r="VVO6" s="44">
        <f>Database!VWH14</f>
        <v>0</v>
      </c>
      <c r="VVP6" s="44">
        <f>Database!VWI14</f>
        <v>0</v>
      </c>
      <c r="VVQ6" s="44">
        <f>Database!VWJ14</f>
        <v>0</v>
      </c>
      <c r="VVR6" s="44">
        <f>Database!VWK14</f>
        <v>0</v>
      </c>
      <c r="VVS6" s="44">
        <f>Database!VWL14</f>
        <v>0</v>
      </c>
      <c r="VVT6" s="44">
        <f>Database!VWM14</f>
        <v>0</v>
      </c>
      <c r="VVU6" s="44">
        <f>Database!VWN14</f>
        <v>0</v>
      </c>
      <c r="VVV6" s="44">
        <f>Database!VWO14</f>
        <v>0</v>
      </c>
      <c r="VVW6" s="44">
        <f>Database!VWP14</f>
        <v>0</v>
      </c>
      <c r="VVX6" s="44">
        <f>Database!VWQ14</f>
        <v>0</v>
      </c>
      <c r="VVY6" s="44">
        <f>Database!VWR14</f>
        <v>0</v>
      </c>
      <c r="VVZ6" s="44">
        <f>Database!VWS14</f>
        <v>0</v>
      </c>
      <c r="VWA6" s="44">
        <f>Database!VWT14</f>
        <v>0</v>
      </c>
      <c r="VWB6" s="44">
        <f>Database!VWU14</f>
        <v>0</v>
      </c>
      <c r="VWC6" s="44">
        <f>Database!VWV14</f>
        <v>0</v>
      </c>
      <c r="VWD6" s="44">
        <f>Database!VWW14</f>
        <v>0</v>
      </c>
      <c r="VWE6" s="44">
        <f>Database!VWX14</f>
        <v>0</v>
      </c>
      <c r="VWF6" s="44">
        <f>Database!VWY14</f>
        <v>0</v>
      </c>
      <c r="VWG6" s="44">
        <f>Database!VWZ14</f>
        <v>0</v>
      </c>
      <c r="VWH6" s="44">
        <f>Database!VXA14</f>
        <v>0</v>
      </c>
      <c r="VWI6" s="44">
        <f>Database!VXB14</f>
        <v>0</v>
      </c>
      <c r="VWJ6" s="44">
        <f>Database!VXC14</f>
        <v>0</v>
      </c>
      <c r="VWK6" s="44">
        <f>Database!VXD14</f>
        <v>0</v>
      </c>
      <c r="VWL6" s="44">
        <f>Database!VXE14</f>
        <v>0</v>
      </c>
      <c r="VWM6" s="44">
        <f>Database!VXF14</f>
        <v>0</v>
      </c>
      <c r="VWN6" s="44">
        <f>Database!VXG14</f>
        <v>0</v>
      </c>
      <c r="VWO6" s="44">
        <f>Database!VXH14</f>
        <v>0</v>
      </c>
      <c r="VWP6" s="44">
        <f>Database!VXI14</f>
        <v>0</v>
      </c>
      <c r="VWQ6" s="44">
        <f>Database!VXJ14</f>
        <v>0</v>
      </c>
      <c r="VWR6" s="44">
        <f>Database!VXK14</f>
        <v>0</v>
      </c>
      <c r="VWS6" s="44">
        <f>Database!VXL14</f>
        <v>0</v>
      </c>
      <c r="VWT6" s="44">
        <f>Database!VXM14</f>
        <v>0</v>
      </c>
      <c r="VWU6" s="44">
        <f>Database!VXN14</f>
        <v>0</v>
      </c>
      <c r="VWV6" s="44">
        <f>Database!VXO14</f>
        <v>0</v>
      </c>
      <c r="VWW6" s="44">
        <f>Database!VXP14</f>
        <v>0</v>
      </c>
      <c r="VWX6" s="44">
        <f>Database!VXQ14</f>
        <v>0</v>
      </c>
      <c r="VWY6" s="44">
        <f>Database!VXR14</f>
        <v>0</v>
      </c>
      <c r="VWZ6" s="44">
        <f>Database!VXS14</f>
        <v>0</v>
      </c>
      <c r="VXA6" s="44">
        <f>Database!VXT14</f>
        <v>0</v>
      </c>
      <c r="VXB6" s="44">
        <f>Database!VXU14</f>
        <v>0</v>
      </c>
      <c r="VXC6" s="44">
        <f>Database!VXV14</f>
        <v>0</v>
      </c>
      <c r="VXD6" s="44">
        <f>Database!VXW14</f>
        <v>0</v>
      </c>
      <c r="VXE6" s="44">
        <f>Database!VXX14</f>
        <v>0</v>
      </c>
      <c r="VXF6" s="44">
        <f>Database!VXY14</f>
        <v>0</v>
      </c>
      <c r="VXG6" s="44">
        <f>Database!VXZ14</f>
        <v>0</v>
      </c>
      <c r="VXH6" s="44">
        <f>Database!VYA14</f>
        <v>0</v>
      </c>
      <c r="VXI6" s="44">
        <f>Database!VYB14</f>
        <v>0</v>
      </c>
      <c r="VXJ6" s="44">
        <f>Database!VYC14</f>
        <v>0</v>
      </c>
      <c r="VXK6" s="44">
        <f>Database!VYD14</f>
        <v>0</v>
      </c>
      <c r="VXL6" s="44">
        <f>Database!VYE14</f>
        <v>0</v>
      </c>
      <c r="VXM6" s="44">
        <f>Database!VYF14</f>
        <v>0</v>
      </c>
      <c r="VXN6" s="44">
        <f>Database!VYG14</f>
        <v>0</v>
      </c>
      <c r="VXO6" s="44">
        <f>Database!VYH14</f>
        <v>0</v>
      </c>
      <c r="VXP6" s="44">
        <f>Database!VYI14</f>
        <v>0</v>
      </c>
      <c r="VXQ6" s="44">
        <f>Database!VYJ14</f>
        <v>0</v>
      </c>
      <c r="VXR6" s="44">
        <f>Database!VYK14</f>
        <v>0</v>
      </c>
      <c r="VXS6" s="44">
        <f>Database!VYL14</f>
        <v>0</v>
      </c>
      <c r="VXT6" s="44">
        <f>Database!VYM14</f>
        <v>0</v>
      </c>
      <c r="VXU6" s="44">
        <f>Database!VYN14</f>
        <v>0</v>
      </c>
      <c r="VXV6" s="44">
        <f>Database!VYO14</f>
        <v>0</v>
      </c>
      <c r="VXW6" s="44">
        <f>Database!VYP14</f>
        <v>0</v>
      </c>
      <c r="VXX6" s="44">
        <f>Database!VYQ14</f>
        <v>0</v>
      </c>
      <c r="VXY6" s="44">
        <f>Database!VYR14</f>
        <v>0</v>
      </c>
      <c r="VXZ6" s="44">
        <f>Database!VYS14</f>
        <v>0</v>
      </c>
      <c r="VYA6" s="44">
        <f>Database!VYT14</f>
        <v>0</v>
      </c>
      <c r="VYB6" s="44">
        <f>Database!VYU14</f>
        <v>0</v>
      </c>
      <c r="VYC6" s="44">
        <f>Database!VYV14</f>
        <v>0</v>
      </c>
      <c r="VYD6" s="44">
        <f>Database!VYW14</f>
        <v>0</v>
      </c>
      <c r="VYE6" s="44">
        <f>Database!VYX14</f>
        <v>0</v>
      </c>
      <c r="VYF6" s="44">
        <f>Database!VYY14</f>
        <v>0</v>
      </c>
      <c r="VYG6" s="44">
        <f>Database!VYZ14</f>
        <v>0</v>
      </c>
      <c r="VYH6" s="44">
        <f>Database!VZA14</f>
        <v>0</v>
      </c>
      <c r="VYI6" s="44">
        <f>Database!VZB14</f>
        <v>0</v>
      </c>
      <c r="VYJ6" s="44">
        <f>Database!VZC14</f>
        <v>0</v>
      </c>
      <c r="VYK6" s="44">
        <f>Database!VZD14</f>
        <v>0</v>
      </c>
      <c r="VYL6" s="44">
        <f>Database!VZE14</f>
        <v>0</v>
      </c>
      <c r="VYM6" s="44">
        <f>Database!VZF14</f>
        <v>0</v>
      </c>
      <c r="VYN6" s="44">
        <f>Database!VZG14</f>
        <v>0</v>
      </c>
      <c r="VYO6" s="44">
        <f>Database!VZH14</f>
        <v>0</v>
      </c>
      <c r="VYP6" s="44">
        <f>Database!VZI14</f>
        <v>0</v>
      </c>
      <c r="VYQ6" s="44">
        <f>Database!VZJ14</f>
        <v>0</v>
      </c>
      <c r="VYR6" s="44">
        <f>Database!VZK14</f>
        <v>0</v>
      </c>
      <c r="VYS6" s="44">
        <f>Database!VZL14</f>
        <v>0</v>
      </c>
      <c r="VYT6" s="44">
        <f>Database!VZM14</f>
        <v>0</v>
      </c>
      <c r="VYU6" s="44">
        <f>Database!VZN14</f>
        <v>0</v>
      </c>
      <c r="VYV6" s="44">
        <f>Database!VZO14</f>
        <v>0</v>
      </c>
      <c r="VYW6" s="44">
        <f>Database!VZP14</f>
        <v>0</v>
      </c>
      <c r="VYX6" s="44">
        <f>Database!VZQ14</f>
        <v>0</v>
      </c>
      <c r="VYY6" s="44">
        <f>Database!VZR14</f>
        <v>0</v>
      </c>
      <c r="VYZ6" s="44">
        <f>Database!VZS14</f>
        <v>0</v>
      </c>
      <c r="VZA6" s="44">
        <f>Database!VZT14</f>
        <v>0</v>
      </c>
      <c r="VZB6" s="44">
        <f>Database!VZU14</f>
        <v>0</v>
      </c>
      <c r="VZC6" s="44">
        <f>Database!VZV14</f>
        <v>0</v>
      </c>
      <c r="VZD6" s="44">
        <f>Database!VZW14</f>
        <v>0</v>
      </c>
      <c r="VZE6" s="44">
        <f>Database!VZX14</f>
        <v>0</v>
      </c>
      <c r="VZF6" s="44">
        <f>Database!VZY14</f>
        <v>0</v>
      </c>
      <c r="VZG6" s="44">
        <f>Database!VZZ14</f>
        <v>0</v>
      </c>
      <c r="VZH6" s="44">
        <f>Database!WAA14</f>
        <v>0</v>
      </c>
      <c r="VZI6" s="44">
        <f>Database!WAB14</f>
        <v>0</v>
      </c>
      <c r="VZJ6" s="44">
        <f>Database!WAC14</f>
        <v>0</v>
      </c>
      <c r="VZK6" s="44">
        <f>Database!WAD14</f>
        <v>0</v>
      </c>
      <c r="VZL6" s="44">
        <f>Database!WAE14</f>
        <v>0</v>
      </c>
      <c r="VZM6" s="44">
        <f>Database!WAF14</f>
        <v>0</v>
      </c>
      <c r="VZN6" s="44">
        <f>Database!WAG14</f>
        <v>0</v>
      </c>
      <c r="VZO6" s="44">
        <f>Database!WAH14</f>
        <v>0</v>
      </c>
      <c r="VZP6" s="44">
        <f>Database!WAI14</f>
        <v>0</v>
      </c>
      <c r="VZQ6" s="44">
        <f>Database!WAJ14</f>
        <v>0</v>
      </c>
      <c r="VZR6" s="44">
        <f>Database!WAK14</f>
        <v>0</v>
      </c>
      <c r="VZS6" s="44">
        <f>Database!WAL14</f>
        <v>0</v>
      </c>
      <c r="VZT6" s="44">
        <f>Database!WAM14</f>
        <v>0</v>
      </c>
      <c r="VZU6" s="44">
        <f>Database!WAN14</f>
        <v>0</v>
      </c>
      <c r="VZV6" s="44">
        <f>Database!WAO14</f>
        <v>0</v>
      </c>
      <c r="VZW6" s="44">
        <f>Database!WAP14</f>
        <v>0</v>
      </c>
      <c r="VZX6" s="44">
        <f>Database!WAQ14</f>
        <v>0</v>
      </c>
      <c r="VZY6" s="44">
        <f>Database!WAR14</f>
        <v>0</v>
      </c>
      <c r="VZZ6" s="44">
        <f>Database!WAS14</f>
        <v>0</v>
      </c>
      <c r="WAA6" s="44">
        <f>Database!WAT14</f>
        <v>0</v>
      </c>
      <c r="WAB6" s="44">
        <f>Database!WAU14</f>
        <v>0</v>
      </c>
      <c r="WAC6" s="44">
        <f>Database!WAV14</f>
        <v>0</v>
      </c>
      <c r="WAD6" s="44">
        <f>Database!WAW14</f>
        <v>0</v>
      </c>
      <c r="WAE6" s="44">
        <f>Database!WAX14</f>
        <v>0</v>
      </c>
      <c r="WAF6" s="44">
        <f>Database!WAY14</f>
        <v>0</v>
      </c>
      <c r="WAG6" s="44">
        <f>Database!WAZ14</f>
        <v>0</v>
      </c>
      <c r="WAH6" s="44">
        <f>Database!WBA14</f>
        <v>0</v>
      </c>
      <c r="WAI6" s="44">
        <f>Database!WBB14</f>
        <v>0</v>
      </c>
      <c r="WAJ6" s="44">
        <f>Database!WBC14</f>
        <v>0</v>
      </c>
      <c r="WAK6" s="44">
        <f>Database!WBD14</f>
        <v>0</v>
      </c>
      <c r="WAL6" s="44">
        <f>Database!WBE14</f>
        <v>0</v>
      </c>
      <c r="WAM6" s="44">
        <f>Database!WBF14</f>
        <v>0</v>
      </c>
      <c r="WAN6" s="44">
        <f>Database!WBG14</f>
        <v>0</v>
      </c>
      <c r="WAO6" s="44">
        <f>Database!WBH14</f>
        <v>0</v>
      </c>
      <c r="WAP6" s="44">
        <f>Database!WBI14</f>
        <v>0</v>
      </c>
      <c r="WAQ6" s="44">
        <f>Database!WBJ14</f>
        <v>0</v>
      </c>
      <c r="WAR6" s="44">
        <f>Database!WBK14</f>
        <v>0</v>
      </c>
      <c r="WAS6" s="44">
        <f>Database!WBL14</f>
        <v>0</v>
      </c>
      <c r="WAT6" s="44">
        <f>Database!WBM14</f>
        <v>0</v>
      </c>
      <c r="WAU6" s="44">
        <f>Database!WBN14</f>
        <v>0</v>
      </c>
      <c r="WAV6" s="44">
        <f>Database!WBO14</f>
        <v>0</v>
      </c>
      <c r="WAW6" s="44">
        <f>Database!WBP14</f>
        <v>0</v>
      </c>
      <c r="WAX6" s="44">
        <f>Database!WBQ14</f>
        <v>0</v>
      </c>
      <c r="WAY6" s="44">
        <f>Database!WBR14</f>
        <v>0</v>
      </c>
      <c r="WAZ6" s="44">
        <f>Database!WBS14</f>
        <v>0</v>
      </c>
      <c r="WBA6" s="44">
        <f>Database!WBT14</f>
        <v>0</v>
      </c>
      <c r="WBB6" s="44">
        <f>Database!WBU14</f>
        <v>0</v>
      </c>
      <c r="WBC6" s="44">
        <f>Database!WBV14</f>
        <v>0</v>
      </c>
      <c r="WBD6" s="44">
        <f>Database!WBW14</f>
        <v>0</v>
      </c>
      <c r="WBE6" s="44">
        <f>Database!WBX14</f>
        <v>0</v>
      </c>
      <c r="WBF6" s="44">
        <f>Database!WBY14</f>
        <v>0</v>
      </c>
      <c r="WBG6" s="44">
        <f>Database!WBZ14</f>
        <v>0</v>
      </c>
      <c r="WBH6" s="44">
        <f>Database!WCA14</f>
        <v>0</v>
      </c>
      <c r="WBI6" s="44">
        <f>Database!WCB14</f>
        <v>0</v>
      </c>
      <c r="WBJ6" s="44">
        <f>Database!WCC14</f>
        <v>0</v>
      </c>
      <c r="WBK6" s="44">
        <f>Database!WCD14</f>
        <v>0</v>
      </c>
      <c r="WBL6" s="44">
        <f>Database!WCE14</f>
        <v>0</v>
      </c>
      <c r="WBM6" s="44">
        <f>Database!WCF14</f>
        <v>0</v>
      </c>
      <c r="WBN6" s="44">
        <f>Database!WCG14</f>
        <v>0</v>
      </c>
      <c r="WBO6" s="44">
        <f>Database!WCH14</f>
        <v>0</v>
      </c>
      <c r="WBP6" s="44">
        <f>Database!WCI14</f>
        <v>0</v>
      </c>
      <c r="WBQ6" s="44">
        <f>Database!WCJ14</f>
        <v>0</v>
      </c>
      <c r="WBR6" s="44">
        <f>Database!WCK14</f>
        <v>0</v>
      </c>
      <c r="WBS6" s="44">
        <f>Database!WCL14</f>
        <v>0</v>
      </c>
      <c r="WBT6" s="44">
        <f>Database!WCM14</f>
        <v>0</v>
      </c>
      <c r="WBU6" s="44">
        <f>Database!WCN14</f>
        <v>0</v>
      </c>
      <c r="WBV6" s="44">
        <f>Database!WCO14</f>
        <v>0</v>
      </c>
      <c r="WBW6" s="44">
        <f>Database!WCP14</f>
        <v>0</v>
      </c>
      <c r="WBX6" s="44">
        <f>Database!WCQ14</f>
        <v>0</v>
      </c>
      <c r="WBY6" s="44">
        <f>Database!WCR14</f>
        <v>0</v>
      </c>
      <c r="WBZ6" s="44">
        <f>Database!WCS14</f>
        <v>0</v>
      </c>
      <c r="WCA6" s="44">
        <f>Database!WCT14</f>
        <v>0</v>
      </c>
      <c r="WCB6" s="44">
        <f>Database!WCU14</f>
        <v>0</v>
      </c>
      <c r="WCC6" s="44">
        <f>Database!WCV14</f>
        <v>0</v>
      </c>
      <c r="WCD6" s="44">
        <f>Database!WCW14</f>
        <v>0</v>
      </c>
      <c r="WCE6" s="44">
        <f>Database!WCX14</f>
        <v>0</v>
      </c>
      <c r="WCF6" s="44">
        <f>Database!WCY14</f>
        <v>0</v>
      </c>
      <c r="WCG6" s="44">
        <f>Database!WCZ14</f>
        <v>0</v>
      </c>
      <c r="WCH6" s="44">
        <f>Database!WDA14</f>
        <v>0</v>
      </c>
      <c r="WCI6" s="44">
        <f>Database!WDB14</f>
        <v>0</v>
      </c>
      <c r="WCJ6" s="44">
        <f>Database!WDC14</f>
        <v>0</v>
      </c>
      <c r="WCK6" s="44">
        <f>Database!WDD14</f>
        <v>0</v>
      </c>
      <c r="WCL6" s="44">
        <f>Database!WDE14</f>
        <v>0</v>
      </c>
      <c r="WCM6" s="44">
        <f>Database!WDF14</f>
        <v>0</v>
      </c>
      <c r="WCN6" s="44">
        <f>Database!WDG14</f>
        <v>0</v>
      </c>
      <c r="WCO6" s="44">
        <f>Database!WDH14</f>
        <v>0</v>
      </c>
      <c r="WCP6" s="44">
        <f>Database!WDI14</f>
        <v>0</v>
      </c>
      <c r="WCQ6" s="44">
        <f>Database!WDJ14</f>
        <v>0</v>
      </c>
      <c r="WCR6" s="44">
        <f>Database!WDK14</f>
        <v>0</v>
      </c>
      <c r="WCS6" s="44">
        <f>Database!WDL14</f>
        <v>0</v>
      </c>
      <c r="WCT6" s="44">
        <f>Database!WDM14</f>
        <v>0</v>
      </c>
      <c r="WCU6" s="44">
        <f>Database!WDN14</f>
        <v>0</v>
      </c>
      <c r="WCV6" s="44">
        <f>Database!WDO14</f>
        <v>0</v>
      </c>
      <c r="WCW6" s="44">
        <f>Database!WDP14</f>
        <v>0</v>
      </c>
      <c r="WCX6" s="44">
        <f>Database!WDQ14</f>
        <v>0</v>
      </c>
      <c r="WCY6" s="44">
        <f>Database!WDR14</f>
        <v>0</v>
      </c>
      <c r="WCZ6" s="44">
        <f>Database!WDS14</f>
        <v>0</v>
      </c>
      <c r="WDA6" s="44">
        <f>Database!WDT14</f>
        <v>0</v>
      </c>
      <c r="WDB6" s="44">
        <f>Database!WDU14</f>
        <v>0</v>
      </c>
      <c r="WDC6" s="44">
        <f>Database!WDV14</f>
        <v>0</v>
      </c>
      <c r="WDD6" s="44">
        <f>Database!WDW14</f>
        <v>0</v>
      </c>
      <c r="WDE6" s="44">
        <f>Database!WDX14</f>
        <v>0</v>
      </c>
      <c r="WDF6" s="44">
        <f>Database!WDY14</f>
        <v>0</v>
      </c>
      <c r="WDG6" s="44">
        <f>Database!WDZ14</f>
        <v>0</v>
      </c>
      <c r="WDH6" s="44">
        <f>Database!WEA14</f>
        <v>0</v>
      </c>
      <c r="WDI6" s="44">
        <f>Database!WEB14</f>
        <v>0</v>
      </c>
      <c r="WDJ6" s="44">
        <f>Database!WEC14</f>
        <v>0</v>
      </c>
      <c r="WDK6" s="44">
        <f>Database!WED14</f>
        <v>0</v>
      </c>
      <c r="WDL6" s="44">
        <f>Database!WEE14</f>
        <v>0</v>
      </c>
      <c r="WDM6" s="44">
        <f>Database!WEF14</f>
        <v>0</v>
      </c>
      <c r="WDN6" s="44">
        <f>Database!WEG14</f>
        <v>0</v>
      </c>
      <c r="WDO6" s="44">
        <f>Database!WEH14</f>
        <v>0</v>
      </c>
      <c r="WDP6" s="44">
        <f>Database!WEI14</f>
        <v>0</v>
      </c>
      <c r="WDQ6" s="44">
        <f>Database!WEJ14</f>
        <v>0</v>
      </c>
      <c r="WDR6" s="44">
        <f>Database!WEK14</f>
        <v>0</v>
      </c>
      <c r="WDS6" s="44">
        <f>Database!WEL14</f>
        <v>0</v>
      </c>
      <c r="WDT6" s="44">
        <f>Database!WEM14</f>
        <v>0</v>
      </c>
      <c r="WDU6" s="44">
        <f>Database!WEN14</f>
        <v>0</v>
      </c>
      <c r="WDV6" s="44">
        <f>Database!WEO14</f>
        <v>0</v>
      </c>
      <c r="WDW6" s="44">
        <f>Database!WEP14</f>
        <v>0</v>
      </c>
      <c r="WDX6" s="44">
        <f>Database!WEQ14</f>
        <v>0</v>
      </c>
      <c r="WDY6" s="44">
        <f>Database!WER14</f>
        <v>0</v>
      </c>
      <c r="WDZ6" s="44">
        <f>Database!WES14</f>
        <v>0</v>
      </c>
      <c r="WEA6" s="44">
        <f>Database!WET14</f>
        <v>0</v>
      </c>
      <c r="WEB6" s="44">
        <f>Database!WEU14</f>
        <v>0</v>
      </c>
      <c r="WEC6" s="44">
        <f>Database!WEV14</f>
        <v>0</v>
      </c>
      <c r="WED6" s="44">
        <f>Database!WEW14</f>
        <v>0</v>
      </c>
      <c r="WEE6" s="44">
        <f>Database!WEX14</f>
        <v>0</v>
      </c>
      <c r="WEF6" s="44">
        <f>Database!WEY14</f>
        <v>0</v>
      </c>
      <c r="WEG6" s="44">
        <f>Database!WEZ14</f>
        <v>0</v>
      </c>
      <c r="WEH6" s="44">
        <f>Database!WFA14</f>
        <v>0</v>
      </c>
      <c r="WEI6" s="44">
        <f>Database!WFB14</f>
        <v>0</v>
      </c>
      <c r="WEJ6" s="44">
        <f>Database!WFC14</f>
        <v>0</v>
      </c>
      <c r="WEK6" s="44">
        <f>Database!WFD14</f>
        <v>0</v>
      </c>
      <c r="WEL6" s="44">
        <f>Database!WFE14</f>
        <v>0</v>
      </c>
      <c r="WEM6" s="44">
        <f>Database!WFF14</f>
        <v>0</v>
      </c>
      <c r="WEN6" s="44">
        <f>Database!WFG14</f>
        <v>0</v>
      </c>
      <c r="WEO6" s="44">
        <f>Database!WFH14</f>
        <v>0</v>
      </c>
      <c r="WEP6" s="44">
        <f>Database!WFI14</f>
        <v>0</v>
      </c>
      <c r="WEQ6" s="44">
        <f>Database!WFJ14</f>
        <v>0</v>
      </c>
      <c r="WER6" s="44">
        <f>Database!WFK14</f>
        <v>0</v>
      </c>
      <c r="WES6" s="44">
        <f>Database!WFL14</f>
        <v>0</v>
      </c>
      <c r="WET6" s="44">
        <f>Database!WFM14</f>
        <v>0</v>
      </c>
      <c r="WEU6" s="44">
        <f>Database!WFN14</f>
        <v>0</v>
      </c>
      <c r="WEV6" s="44">
        <f>Database!WFO14</f>
        <v>0</v>
      </c>
      <c r="WEW6" s="44">
        <f>Database!WFP14</f>
        <v>0</v>
      </c>
      <c r="WEX6" s="44">
        <f>Database!WFQ14</f>
        <v>0</v>
      </c>
      <c r="WEY6" s="44">
        <f>Database!WFR14</f>
        <v>0</v>
      </c>
      <c r="WEZ6" s="44">
        <f>Database!WFS14</f>
        <v>0</v>
      </c>
      <c r="WFA6" s="44">
        <f>Database!WFT14</f>
        <v>0</v>
      </c>
      <c r="WFB6" s="44">
        <f>Database!WFU14</f>
        <v>0</v>
      </c>
      <c r="WFC6" s="44">
        <f>Database!WFV14</f>
        <v>0</v>
      </c>
      <c r="WFD6" s="44">
        <f>Database!WFW14</f>
        <v>0</v>
      </c>
      <c r="WFE6" s="44">
        <f>Database!WFX14</f>
        <v>0</v>
      </c>
      <c r="WFF6" s="44">
        <f>Database!WFY14</f>
        <v>0</v>
      </c>
      <c r="WFG6" s="44">
        <f>Database!WFZ14</f>
        <v>0</v>
      </c>
      <c r="WFH6" s="44">
        <f>Database!WGA14</f>
        <v>0</v>
      </c>
      <c r="WFI6" s="44">
        <f>Database!WGB14</f>
        <v>0</v>
      </c>
      <c r="WFJ6" s="44">
        <f>Database!WGC14</f>
        <v>0</v>
      </c>
      <c r="WFK6" s="44">
        <f>Database!WGD14</f>
        <v>0</v>
      </c>
      <c r="WFL6" s="44">
        <f>Database!WGE14</f>
        <v>0</v>
      </c>
      <c r="WFM6" s="44">
        <f>Database!WGF14</f>
        <v>0</v>
      </c>
      <c r="WFN6" s="44">
        <f>Database!WGG14</f>
        <v>0</v>
      </c>
      <c r="WFO6" s="44">
        <f>Database!WGH14</f>
        <v>0</v>
      </c>
      <c r="WFP6" s="44">
        <f>Database!WGI14</f>
        <v>0</v>
      </c>
      <c r="WFQ6" s="44">
        <f>Database!WGJ14</f>
        <v>0</v>
      </c>
      <c r="WFR6" s="44">
        <f>Database!WGK14</f>
        <v>0</v>
      </c>
      <c r="WFS6" s="44">
        <f>Database!WGL14</f>
        <v>0</v>
      </c>
      <c r="WFT6" s="44">
        <f>Database!WGM14</f>
        <v>0</v>
      </c>
      <c r="WFU6" s="44">
        <f>Database!WGN14</f>
        <v>0</v>
      </c>
      <c r="WFV6" s="44">
        <f>Database!WGO14</f>
        <v>0</v>
      </c>
      <c r="WFW6" s="44">
        <f>Database!WGP14</f>
        <v>0</v>
      </c>
      <c r="WFX6" s="44">
        <f>Database!WGQ14</f>
        <v>0</v>
      </c>
      <c r="WFY6" s="44">
        <f>Database!WGR14</f>
        <v>0</v>
      </c>
      <c r="WFZ6" s="44">
        <f>Database!WGS14</f>
        <v>0</v>
      </c>
      <c r="WGA6" s="44">
        <f>Database!WGT14</f>
        <v>0</v>
      </c>
      <c r="WGB6" s="44">
        <f>Database!WGU14</f>
        <v>0</v>
      </c>
      <c r="WGC6" s="44">
        <f>Database!WGV14</f>
        <v>0</v>
      </c>
      <c r="WGD6" s="44">
        <f>Database!WGW14</f>
        <v>0</v>
      </c>
      <c r="WGE6" s="44">
        <f>Database!WGX14</f>
        <v>0</v>
      </c>
      <c r="WGF6" s="44">
        <f>Database!WGY14</f>
        <v>0</v>
      </c>
      <c r="WGG6" s="44">
        <f>Database!WGZ14</f>
        <v>0</v>
      </c>
      <c r="WGH6" s="44">
        <f>Database!WHA14</f>
        <v>0</v>
      </c>
      <c r="WGI6" s="44">
        <f>Database!WHB14</f>
        <v>0</v>
      </c>
      <c r="WGJ6" s="44">
        <f>Database!WHC14</f>
        <v>0</v>
      </c>
      <c r="WGK6" s="44">
        <f>Database!WHD14</f>
        <v>0</v>
      </c>
      <c r="WGL6" s="44">
        <f>Database!WHE14</f>
        <v>0</v>
      </c>
      <c r="WGM6" s="44">
        <f>Database!WHF14</f>
        <v>0</v>
      </c>
      <c r="WGN6" s="44">
        <f>Database!WHG14</f>
        <v>0</v>
      </c>
      <c r="WGO6" s="44">
        <f>Database!WHH14</f>
        <v>0</v>
      </c>
      <c r="WGP6" s="44">
        <f>Database!WHI14</f>
        <v>0</v>
      </c>
      <c r="WGQ6" s="44">
        <f>Database!WHJ14</f>
        <v>0</v>
      </c>
      <c r="WGR6" s="44">
        <f>Database!WHK14</f>
        <v>0</v>
      </c>
      <c r="WGS6" s="44">
        <f>Database!WHL14</f>
        <v>0</v>
      </c>
      <c r="WGT6" s="44">
        <f>Database!WHM14</f>
        <v>0</v>
      </c>
      <c r="WGU6" s="44">
        <f>Database!WHN14</f>
        <v>0</v>
      </c>
      <c r="WGV6" s="44">
        <f>Database!WHO14</f>
        <v>0</v>
      </c>
      <c r="WGW6" s="44">
        <f>Database!WHP14</f>
        <v>0</v>
      </c>
      <c r="WGX6" s="44">
        <f>Database!WHQ14</f>
        <v>0</v>
      </c>
      <c r="WGY6" s="44">
        <f>Database!WHR14</f>
        <v>0</v>
      </c>
      <c r="WGZ6" s="44">
        <f>Database!WHS14</f>
        <v>0</v>
      </c>
      <c r="WHA6" s="44">
        <f>Database!WHT14</f>
        <v>0</v>
      </c>
      <c r="WHB6" s="44">
        <f>Database!WHU14</f>
        <v>0</v>
      </c>
      <c r="WHC6" s="44">
        <f>Database!WHV14</f>
        <v>0</v>
      </c>
      <c r="WHD6" s="44">
        <f>Database!WHW14</f>
        <v>0</v>
      </c>
      <c r="WHE6" s="44">
        <f>Database!WHX14</f>
        <v>0</v>
      </c>
      <c r="WHF6" s="44">
        <f>Database!WHY14</f>
        <v>0</v>
      </c>
      <c r="WHG6" s="44">
        <f>Database!WHZ14</f>
        <v>0</v>
      </c>
      <c r="WHH6" s="44">
        <f>Database!WIA14</f>
        <v>0</v>
      </c>
      <c r="WHI6" s="44">
        <f>Database!WIB14</f>
        <v>0</v>
      </c>
      <c r="WHJ6" s="44">
        <f>Database!WIC14</f>
        <v>0</v>
      </c>
      <c r="WHK6" s="44">
        <f>Database!WID14</f>
        <v>0</v>
      </c>
      <c r="WHL6" s="44">
        <f>Database!WIE14</f>
        <v>0</v>
      </c>
      <c r="WHM6" s="44">
        <f>Database!WIF14</f>
        <v>0</v>
      </c>
      <c r="WHN6" s="44">
        <f>Database!WIG14</f>
        <v>0</v>
      </c>
      <c r="WHO6" s="44">
        <f>Database!WIH14</f>
        <v>0</v>
      </c>
      <c r="WHP6" s="44">
        <f>Database!WII14</f>
        <v>0</v>
      </c>
      <c r="WHQ6" s="44">
        <f>Database!WIJ14</f>
        <v>0</v>
      </c>
      <c r="WHR6" s="44">
        <f>Database!WIK14</f>
        <v>0</v>
      </c>
      <c r="WHS6" s="44">
        <f>Database!WIL14</f>
        <v>0</v>
      </c>
      <c r="WHT6" s="44">
        <f>Database!WIM14</f>
        <v>0</v>
      </c>
      <c r="WHU6" s="44">
        <f>Database!WIN14</f>
        <v>0</v>
      </c>
      <c r="WHV6" s="44">
        <f>Database!WIO14</f>
        <v>0</v>
      </c>
      <c r="WHW6" s="44">
        <f>Database!WIP14</f>
        <v>0</v>
      </c>
      <c r="WHX6" s="44">
        <f>Database!WIQ14</f>
        <v>0</v>
      </c>
      <c r="WHY6" s="44">
        <f>Database!WIR14</f>
        <v>0</v>
      </c>
      <c r="WHZ6" s="44">
        <f>Database!WIS14</f>
        <v>0</v>
      </c>
      <c r="WIA6" s="44">
        <f>Database!WIT14</f>
        <v>0</v>
      </c>
      <c r="WIB6" s="44">
        <f>Database!WIU14</f>
        <v>0</v>
      </c>
      <c r="WIC6" s="44">
        <f>Database!WIV14</f>
        <v>0</v>
      </c>
      <c r="WID6" s="44">
        <f>Database!WIW14</f>
        <v>0</v>
      </c>
      <c r="WIE6" s="44">
        <f>Database!WIX14</f>
        <v>0</v>
      </c>
      <c r="WIF6" s="44">
        <f>Database!WIY14</f>
        <v>0</v>
      </c>
      <c r="WIG6" s="44">
        <f>Database!WIZ14</f>
        <v>0</v>
      </c>
      <c r="WIH6" s="44">
        <f>Database!WJA14</f>
        <v>0</v>
      </c>
      <c r="WII6" s="44">
        <f>Database!WJB14</f>
        <v>0</v>
      </c>
      <c r="WIJ6" s="44">
        <f>Database!WJC14</f>
        <v>0</v>
      </c>
      <c r="WIK6" s="44">
        <f>Database!WJD14</f>
        <v>0</v>
      </c>
      <c r="WIL6" s="44">
        <f>Database!WJE14</f>
        <v>0</v>
      </c>
      <c r="WIM6" s="44">
        <f>Database!WJF14</f>
        <v>0</v>
      </c>
      <c r="WIN6" s="44">
        <f>Database!WJG14</f>
        <v>0</v>
      </c>
      <c r="WIO6" s="44">
        <f>Database!WJH14</f>
        <v>0</v>
      </c>
      <c r="WIP6" s="44">
        <f>Database!WJI14</f>
        <v>0</v>
      </c>
      <c r="WIQ6" s="44">
        <f>Database!WJJ14</f>
        <v>0</v>
      </c>
      <c r="WIR6" s="44">
        <f>Database!WJK14</f>
        <v>0</v>
      </c>
      <c r="WIS6" s="44">
        <f>Database!WJL14</f>
        <v>0</v>
      </c>
      <c r="WIT6" s="44">
        <f>Database!WJM14</f>
        <v>0</v>
      </c>
      <c r="WIU6" s="44">
        <f>Database!WJN14</f>
        <v>0</v>
      </c>
      <c r="WIV6" s="44">
        <f>Database!WJO14</f>
        <v>0</v>
      </c>
      <c r="WIW6" s="44">
        <f>Database!WJP14</f>
        <v>0</v>
      </c>
      <c r="WIX6" s="44">
        <f>Database!WJQ14</f>
        <v>0</v>
      </c>
      <c r="WIY6" s="44">
        <f>Database!WJR14</f>
        <v>0</v>
      </c>
      <c r="WIZ6" s="44">
        <f>Database!WJS14</f>
        <v>0</v>
      </c>
      <c r="WJA6" s="44">
        <f>Database!WJT14</f>
        <v>0</v>
      </c>
      <c r="WJB6" s="44">
        <f>Database!WJU14</f>
        <v>0</v>
      </c>
      <c r="WJC6" s="44">
        <f>Database!WJV14</f>
        <v>0</v>
      </c>
      <c r="WJD6" s="44">
        <f>Database!WJW14</f>
        <v>0</v>
      </c>
      <c r="WJE6" s="44">
        <f>Database!WJX14</f>
        <v>0</v>
      </c>
      <c r="WJF6" s="44">
        <f>Database!WJY14</f>
        <v>0</v>
      </c>
      <c r="WJG6" s="44">
        <f>Database!WJZ14</f>
        <v>0</v>
      </c>
      <c r="WJH6" s="44">
        <f>Database!WKA14</f>
        <v>0</v>
      </c>
      <c r="WJI6" s="44">
        <f>Database!WKB14</f>
        <v>0</v>
      </c>
      <c r="WJJ6" s="44">
        <f>Database!WKC14</f>
        <v>0</v>
      </c>
      <c r="WJK6" s="44">
        <f>Database!WKD14</f>
        <v>0</v>
      </c>
      <c r="WJL6" s="44">
        <f>Database!WKE14</f>
        <v>0</v>
      </c>
      <c r="WJM6" s="44">
        <f>Database!WKF14</f>
        <v>0</v>
      </c>
      <c r="WJN6" s="44">
        <f>Database!WKG14</f>
        <v>0</v>
      </c>
      <c r="WJO6" s="44">
        <f>Database!WKH14</f>
        <v>0</v>
      </c>
      <c r="WJP6" s="44">
        <f>Database!WKI14</f>
        <v>0</v>
      </c>
      <c r="WJQ6" s="44">
        <f>Database!WKJ14</f>
        <v>0</v>
      </c>
      <c r="WJR6" s="44">
        <f>Database!WKK14</f>
        <v>0</v>
      </c>
      <c r="WJS6" s="44">
        <f>Database!WKL14</f>
        <v>0</v>
      </c>
      <c r="WJT6" s="44">
        <f>Database!WKM14</f>
        <v>0</v>
      </c>
      <c r="WJU6" s="44">
        <f>Database!WKN14</f>
        <v>0</v>
      </c>
      <c r="WJV6" s="44">
        <f>Database!WKO14</f>
        <v>0</v>
      </c>
      <c r="WJW6" s="44">
        <f>Database!WKP14</f>
        <v>0</v>
      </c>
      <c r="WJX6" s="44">
        <f>Database!WKQ14</f>
        <v>0</v>
      </c>
      <c r="WJY6" s="44">
        <f>Database!WKR14</f>
        <v>0</v>
      </c>
      <c r="WJZ6" s="44">
        <f>Database!WKS14</f>
        <v>0</v>
      </c>
      <c r="WKA6" s="44">
        <f>Database!WKT14</f>
        <v>0</v>
      </c>
      <c r="WKB6" s="44">
        <f>Database!WKU14</f>
        <v>0</v>
      </c>
      <c r="WKC6" s="44">
        <f>Database!WKV14</f>
        <v>0</v>
      </c>
      <c r="WKD6" s="44">
        <f>Database!WKW14</f>
        <v>0</v>
      </c>
      <c r="WKE6" s="44">
        <f>Database!WKX14</f>
        <v>0</v>
      </c>
      <c r="WKF6" s="44">
        <f>Database!WKY14</f>
        <v>0</v>
      </c>
      <c r="WKG6" s="44">
        <f>Database!WKZ14</f>
        <v>0</v>
      </c>
      <c r="WKH6" s="44">
        <f>Database!WLA14</f>
        <v>0</v>
      </c>
      <c r="WKI6" s="44">
        <f>Database!WLB14</f>
        <v>0</v>
      </c>
      <c r="WKJ6" s="44">
        <f>Database!WLC14</f>
        <v>0</v>
      </c>
      <c r="WKK6" s="44">
        <f>Database!WLD14</f>
        <v>0</v>
      </c>
      <c r="WKL6" s="44">
        <f>Database!WLE14</f>
        <v>0</v>
      </c>
      <c r="WKM6" s="44">
        <f>Database!WLF14</f>
        <v>0</v>
      </c>
      <c r="WKN6" s="44">
        <f>Database!WLG14</f>
        <v>0</v>
      </c>
      <c r="WKO6" s="44">
        <f>Database!WLH14</f>
        <v>0</v>
      </c>
      <c r="WKP6" s="44">
        <f>Database!WLI14</f>
        <v>0</v>
      </c>
      <c r="WKQ6" s="44">
        <f>Database!WLJ14</f>
        <v>0</v>
      </c>
      <c r="WKR6" s="44">
        <f>Database!WLK14</f>
        <v>0</v>
      </c>
      <c r="WKS6" s="44">
        <f>Database!WLL14</f>
        <v>0</v>
      </c>
      <c r="WKT6" s="44">
        <f>Database!WLM14</f>
        <v>0</v>
      </c>
      <c r="WKU6" s="44">
        <f>Database!WLN14</f>
        <v>0</v>
      </c>
      <c r="WKV6" s="44">
        <f>Database!WLO14</f>
        <v>0</v>
      </c>
      <c r="WKW6" s="44">
        <f>Database!WLP14</f>
        <v>0</v>
      </c>
      <c r="WKX6" s="44">
        <f>Database!WLQ14</f>
        <v>0</v>
      </c>
      <c r="WKY6" s="44">
        <f>Database!WLR14</f>
        <v>0</v>
      </c>
      <c r="WKZ6" s="44">
        <f>Database!WLS14</f>
        <v>0</v>
      </c>
      <c r="WLA6" s="44">
        <f>Database!WLT14</f>
        <v>0</v>
      </c>
      <c r="WLB6" s="44">
        <f>Database!WLU14</f>
        <v>0</v>
      </c>
      <c r="WLC6" s="44">
        <f>Database!WLV14</f>
        <v>0</v>
      </c>
      <c r="WLD6" s="44">
        <f>Database!WLW14</f>
        <v>0</v>
      </c>
      <c r="WLE6" s="44">
        <f>Database!WLX14</f>
        <v>0</v>
      </c>
      <c r="WLF6" s="44">
        <f>Database!WLY14</f>
        <v>0</v>
      </c>
      <c r="WLG6" s="44">
        <f>Database!WLZ14</f>
        <v>0</v>
      </c>
      <c r="WLH6" s="44">
        <f>Database!WMA14</f>
        <v>0</v>
      </c>
      <c r="WLI6" s="44">
        <f>Database!WMB14</f>
        <v>0</v>
      </c>
      <c r="WLJ6" s="44">
        <f>Database!WMC14</f>
        <v>0</v>
      </c>
      <c r="WLK6" s="44">
        <f>Database!WMD14</f>
        <v>0</v>
      </c>
      <c r="WLL6" s="44">
        <f>Database!WME14</f>
        <v>0</v>
      </c>
      <c r="WLM6" s="44">
        <f>Database!WMF14</f>
        <v>0</v>
      </c>
      <c r="WLN6" s="44">
        <f>Database!WMG14</f>
        <v>0</v>
      </c>
      <c r="WLO6" s="44">
        <f>Database!WMH14</f>
        <v>0</v>
      </c>
      <c r="WLP6" s="44">
        <f>Database!WMI14</f>
        <v>0</v>
      </c>
      <c r="WLQ6" s="44">
        <f>Database!WMJ14</f>
        <v>0</v>
      </c>
      <c r="WLR6" s="44">
        <f>Database!WMK14</f>
        <v>0</v>
      </c>
      <c r="WLS6" s="44">
        <f>Database!WML14</f>
        <v>0</v>
      </c>
      <c r="WLT6" s="44">
        <f>Database!WMM14</f>
        <v>0</v>
      </c>
      <c r="WLU6" s="44">
        <f>Database!WMN14</f>
        <v>0</v>
      </c>
      <c r="WLV6" s="44">
        <f>Database!WMO14</f>
        <v>0</v>
      </c>
      <c r="WLW6" s="44">
        <f>Database!WMP14</f>
        <v>0</v>
      </c>
      <c r="WLX6" s="44">
        <f>Database!WMQ14</f>
        <v>0</v>
      </c>
      <c r="WLY6" s="44">
        <f>Database!WMR14</f>
        <v>0</v>
      </c>
      <c r="WLZ6" s="44">
        <f>Database!WMS14</f>
        <v>0</v>
      </c>
      <c r="WMA6" s="44">
        <f>Database!WMT14</f>
        <v>0</v>
      </c>
      <c r="WMB6" s="44">
        <f>Database!WMU14</f>
        <v>0</v>
      </c>
      <c r="WMC6" s="44">
        <f>Database!WMV14</f>
        <v>0</v>
      </c>
      <c r="WMD6" s="44">
        <f>Database!WMW14</f>
        <v>0</v>
      </c>
      <c r="WME6" s="44">
        <f>Database!WMX14</f>
        <v>0</v>
      </c>
      <c r="WMF6" s="44">
        <f>Database!WMY14</f>
        <v>0</v>
      </c>
      <c r="WMG6" s="44">
        <f>Database!WMZ14</f>
        <v>0</v>
      </c>
      <c r="WMH6" s="44">
        <f>Database!WNA14</f>
        <v>0</v>
      </c>
      <c r="WMI6" s="44">
        <f>Database!WNB14</f>
        <v>0</v>
      </c>
      <c r="WMJ6" s="44">
        <f>Database!WNC14</f>
        <v>0</v>
      </c>
      <c r="WMK6" s="44">
        <f>Database!WND14</f>
        <v>0</v>
      </c>
      <c r="WML6" s="44">
        <f>Database!WNE14</f>
        <v>0</v>
      </c>
      <c r="WMM6" s="44">
        <f>Database!WNF14</f>
        <v>0</v>
      </c>
      <c r="WMN6" s="44">
        <f>Database!WNG14</f>
        <v>0</v>
      </c>
      <c r="WMO6" s="44">
        <f>Database!WNH14</f>
        <v>0</v>
      </c>
      <c r="WMP6" s="44">
        <f>Database!WNI14</f>
        <v>0</v>
      </c>
      <c r="WMQ6" s="44">
        <f>Database!WNJ14</f>
        <v>0</v>
      </c>
      <c r="WMR6" s="44">
        <f>Database!WNK14</f>
        <v>0</v>
      </c>
      <c r="WMS6" s="44">
        <f>Database!WNL14</f>
        <v>0</v>
      </c>
      <c r="WMT6" s="44">
        <f>Database!WNM14</f>
        <v>0</v>
      </c>
      <c r="WMU6" s="44">
        <f>Database!WNN14</f>
        <v>0</v>
      </c>
      <c r="WMV6" s="44">
        <f>Database!WNO14</f>
        <v>0</v>
      </c>
      <c r="WMW6" s="44">
        <f>Database!WNP14</f>
        <v>0</v>
      </c>
      <c r="WMX6" s="44">
        <f>Database!WNQ14</f>
        <v>0</v>
      </c>
      <c r="WMY6" s="44">
        <f>Database!WNR14</f>
        <v>0</v>
      </c>
      <c r="WMZ6" s="44">
        <f>Database!WNS14</f>
        <v>0</v>
      </c>
      <c r="WNA6" s="44">
        <f>Database!WNT14</f>
        <v>0</v>
      </c>
      <c r="WNB6" s="44">
        <f>Database!WNU14</f>
        <v>0</v>
      </c>
      <c r="WNC6" s="44">
        <f>Database!WNV14</f>
        <v>0</v>
      </c>
      <c r="WND6" s="44">
        <f>Database!WNW14</f>
        <v>0</v>
      </c>
      <c r="WNE6" s="44">
        <f>Database!WNX14</f>
        <v>0</v>
      </c>
      <c r="WNF6" s="44">
        <f>Database!WNY14</f>
        <v>0</v>
      </c>
      <c r="WNG6" s="44">
        <f>Database!WNZ14</f>
        <v>0</v>
      </c>
      <c r="WNH6" s="44">
        <f>Database!WOA14</f>
        <v>0</v>
      </c>
      <c r="WNI6" s="44">
        <f>Database!WOB14</f>
        <v>0</v>
      </c>
      <c r="WNJ6" s="44">
        <f>Database!WOC14</f>
        <v>0</v>
      </c>
      <c r="WNK6" s="44">
        <f>Database!WOD14</f>
        <v>0</v>
      </c>
      <c r="WNL6" s="44">
        <f>Database!WOE14</f>
        <v>0</v>
      </c>
      <c r="WNM6" s="44">
        <f>Database!WOF14</f>
        <v>0</v>
      </c>
      <c r="WNN6" s="44">
        <f>Database!WOG14</f>
        <v>0</v>
      </c>
      <c r="WNO6" s="44">
        <f>Database!WOH14</f>
        <v>0</v>
      </c>
      <c r="WNP6" s="44">
        <f>Database!WOI14</f>
        <v>0</v>
      </c>
      <c r="WNQ6" s="44">
        <f>Database!WOJ14</f>
        <v>0</v>
      </c>
      <c r="WNR6" s="44">
        <f>Database!WOK14</f>
        <v>0</v>
      </c>
      <c r="WNS6" s="44">
        <f>Database!WOL14</f>
        <v>0</v>
      </c>
      <c r="WNT6" s="44">
        <f>Database!WOM14</f>
        <v>0</v>
      </c>
      <c r="WNU6" s="44">
        <f>Database!WON14</f>
        <v>0</v>
      </c>
      <c r="WNV6" s="44">
        <f>Database!WOO14</f>
        <v>0</v>
      </c>
      <c r="WNW6" s="44">
        <f>Database!WOP14</f>
        <v>0</v>
      </c>
      <c r="WNX6" s="44">
        <f>Database!WOQ14</f>
        <v>0</v>
      </c>
      <c r="WNY6" s="44">
        <f>Database!WOR14</f>
        <v>0</v>
      </c>
      <c r="WNZ6" s="44">
        <f>Database!WOS14</f>
        <v>0</v>
      </c>
      <c r="WOA6" s="44">
        <f>Database!WOT14</f>
        <v>0</v>
      </c>
      <c r="WOB6" s="44">
        <f>Database!WOU14</f>
        <v>0</v>
      </c>
      <c r="WOC6" s="44">
        <f>Database!WOV14</f>
        <v>0</v>
      </c>
      <c r="WOD6" s="44">
        <f>Database!WOW14</f>
        <v>0</v>
      </c>
      <c r="WOE6" s="44">
        <f>Database!WOX14</f>
        <v>0</v>
      </c>
      <c r="WOF6" s="44">
        <f>Database!WOY14</f>
        <v>0</v>
      </c>
      <c r="WOG6" s="44">
        <f>Database!WOZ14</f>
        <v>0</v>
      </c>
      <c r="WOH6" s="44">
        <f>Database!WPA14</f>
        <v>0</v>
      </c>
      <c r="WOI6" s="44">
        <f>Database!WPB14</f>
        <v>0</v>
      </c>
      <c r="WOJ6" s="44">
        <f>Database!WPC14</f>
        <v>0</v>
      </c>
      <c r="WOK6" s="44">
        <f>Database!WPD14</f>
        <v>0</v>
      </c>
      <c r="WOL6" s="44">
        <f>Database!WPE14</f>
        <v>0</v>
      </c>
      <c r="WOM6" s="44">
        <f>Database!WPF14</f>
        <v>0</v>
      </c>
      <c r="WON6" s="44">
        <f>Database!WPG14</f>
        <v>0</v>
      </c>
      <c r="WOO6" s="44">
        <f>Database!WPH14</f>
        <v>0</v>
      </c>
      <c r="WOP6" s="44">
        <f>Database!WPI14</f>
        <v>0</v>
      </c>
      <c r="WOQ6" s="44">
        <f>Database!WPJ14</f>
        <v>0</v>
      </c>
      <c r="WOR6" s="44">
        <f>Database!WPK14</f>
        <v>0</v>
      </c>
      <c r="WOS6" s="44">
        <f>Database!WPL14</f>
        <v>0</v>
      </c>
      <c r="WOT6" s="44">
        <f>Database!WPM14</f>
        <v>0</v>
      </c>
      <c r="WOU6" s="44">
        <f>Database!WPN14</f>
        <v>0</v>
      </c>
      <c r="WOV6" s="44">
        <f>Database!WPO14</f>
        <v>0</v>
      </c>
      <c r="WOW6" s="44">
        <f>Database!WPP14</f>
        <v>0</v>
      </c>
      <c r="WOX6" s="44">
        <f>Database!WPQ14</f>
        <v>0</v>
      </c>
      <c r="WOY6" s="44">
        <f>Database!WPR14</f>
        <v>0</v>
      </c>
      <c r="WOZ6" s="44">
        <f>Database!WPS14</f>
        <v>0</v>
      </c>
      <c r="WPA6" s="44">
        <f>Database!WPT14</f>
        <v>0</v>
      </c>
      <c r="WPB6" s="44">
        <f>Database!WPU14</f>
        <v>0</v>
      </c>
      <c r="WPC6" s="44">
        <f>Database!WPV14</f>
        <v>0</v>
      </c>
      <c r="WPD6" s="44">
        <f>Database!WPW14</f>
        <v>0</v>
      </c>
      <c r="WPE6" s="44">
        <f>Database!WPX14</f>
        <v>0</v>
      </c>
      <c r="WPF6" s="44">
        <f>Database!WPY14</f>
        <v>0</v>
      </c>
      <c r="WPG6" s="44">
        <f>Database!WPZ14</f>
        <v>0</v>
      </c>
      <c r="WPH6" s="44">
        <f>Database!WQA14</f>
        <v>0</v>
      </c>
      <c r="WPI6" s="44">
        <f>Database!WQB14</f>
        <v>0</v>
      </c>
      <c r="WPJ6" s="44">
        <f>Database!WQC14</f>
        <v>0</v>
      </c>
      <c r="WPK6" s="44">
        <f>Database!WQD14</f>
        <v>0</v>
      </c>
      <c r="WPL6" s="44">
        <f>Database!WQE14</f>
        <v>0</v>
      </c>
      <c r="WPM6" s="44">
        <f>Database!WQF14</f>
        <v>0</v>
      </c>
      <c r="WPN6" s="44">
        <f>Database!WQG14</f>
        <v>0</v>
      </c>
      <c r="WPO6" s="44">
        <f>Database!WQH14</f>
        <v>0</v>
      </c>
      <c r="WPP6" s="44">
        <f>Database!WQI14</f>
        <v>0</v>
      </c>
      <c r="WPQ6" s="44">
        <f>Database!WQJ14</f>
        <v>0</v>
      </c>
      <c r="WPR6" s="44">
        <f>Database!WQK14</f>
        <v>0</v>
      </c>
      <c r="WPS6" s="44">
        <f>Database!WQL14</f>
        <v>0</v>
      </c>
      <c r="WPT6" s="44">
        <f>Database!WQM14</f>
        <v>0</v>
      </c>
      <c r="WPU6" s="44">
        <f>Database!WQN14</f>
        <v>0</v>
      </c>
      <c r="WPV6" s="44">
        <f>Database!WQO14</f>
        <v>0</v>
      </c>
      <c r="WPW6" s="44">
        <f>Database!WQP14</f>
        <v>0</v>
      </c>
      <c r="WPX6" s="44">
        <f>Database!WQQ14</f>
        <v>0</v>
      </c>
      <c r="WPY6" s="44">
        <f>Database!WQR14</f>
        <v>0</v>
      </c>
      <c r="WPZ6" s="44">
        <f>Database!WQS14</f>
        <v>0</v>
      </c>
      <c r="WQA6" s="44">
        <f>Database!WQT14</f>
        <v>0</v>
      </c>
      <c r="WQB6" s="44">
        <f>Database!WQU14</f>
        <v>0</v>
      </c>
      <c r="WQC6" s="44">
        <f>Database!WQV14</f>
        <v>0</v>
      </c>
      <c r="WQD6" s="44">
        <f>Database!WQW14</f>
        <v>0</v>
      </c>
      <c r="WQE6" s="44">
        <f>Database!WQX14</f>
        <v>0</v>
      </c>
      <c r="WQF6" s="44">
        <f>Database!WQY14</f>
        <v>0</v>
      </c>
      <c r="WQG6" s="44">
        <f>Database!WQZ14</f>
        <v>0</v>
      </c>
      <c r="WQH6" s="44">
        <f>Database!WRA14</f>
        <v>0</v>
      </c>
      <c r="WQI6" s="44">
        <f>Database!WRB14</f>
        <v>0</v>
      </c>
      <c r="WQJ6" s="44">
        <f>Database!WRC14</f>
        <v>0</v>
      </c>
      <c r="WQK6" s="44">
        <f>Database!WRD14</f>
        <v>0</v>
      </c>
      <c r="WQL6" s="44">
        <f>Database!WRE14</f>
        <v>0</v>
      </c>
      <c r="WQM6" s="44">
        <f>Database!WRF14</f>
        <v>0</v>
      </c>
      <c r="WQN6" s="44">
        <f>Database!WRG14</f>
        <v>0</v>
      </c>
      <c r="WQO6" s="44">
        <f>Database!WRH14</f>
        <v>0</v>
      </c>
      <c r="WQP6" s="44">
        <f>Database!WRI14</f>
        <v>0</v>
      </c>
      <c r="WQQ6" s="44">
        <f>Database!WRJ14</f>
        <v>0</v>
      </c>
      <c r="WQR6" s="44">
        <f>Database!WRK14</f>
        <v>0</v>
      </c>
      <c r="WQS6" s="44">
        <f>Database!WRL14</f>
        <v>0</v>
      </c>
      <c r="WQT6" s="44">
        <f>Database!WRM14</f>
        <v>0</v>
      </c>
      <c r="WQU6" s="44">
        <f>Database!WRN14</f>
        <v>0</v>
      </c>
      <c r="WQV6" s="44">
        <f>Database!WRO14</f>
        <v>0</v>
      </c>
      <c r="WQW6" s="44">
        <f>Database!WRP14</f>
        <v>0</v>
      </c>
      <c r="WQX6" s="44">
        <f>Database!WRQ14</f>
        <v>0</v>
      </c>
      <c r="WQY6" s="44">
        <f>Database!WRR14</f>
        <v>0</v>
      </c>
      <c r="WQZ6" s="44">
        <f>Database!WRS14</f>
        <v>0</v>
      </c>
      <c r="WRA6" s="44">
        <f>Database!WRT14</f>
        <v>0</v>
      </c>
      <c r="WRB6" s="44">
        <f>Database!WRU14</f>
        <v>0</v>
      </c>
      <c r="WRC6" s="44">
        <f>Database!WRV14</f>
        <v>0</v>
      </c>
      <c r="WRD6" s="44">
        <f>Database!WRW14</f>
        <v>0</v>
      </c>
      <c r="WRE6" s="44">
        <f>Database!WRX14</f>
        <v>0</v>
      </c>
      <c r="WRF6" s="44">
        <f>Database!WRY14</f>
        <v>0</v>
      </c>
      <c r="WRG6" s="44">
        <f>Database!WRZ14</f>
        <v>0</v>
      </c>
      <c r="WRH6" s="44">
        <f>Database!WSA14</f>
        <v>0</v>
      </c>
      <c r="WRI6" s="44">
        <f>Database!WSB14</f>
        <v>0</v>
      </c>
      <c r="WRJ6" s="44">
        <f>Database!WSC14</f>
        <v>0</v>
      </c>
      <c r="WRK6" s="44">
        <f>Database!WSD14</f>
        <v>0</v>
      </c>
      <c r="WRL6" s="44">
        <f>Database!WSE14</f>
        <v>0</v>
      </c>
      <c r="WRM6" s="44">
        <f>Database!WSF14</f>
        <v>0</v>
      </c>
      <c r="WRN6" s="44">
        <f>Database!WSG14</f>
        <v>0</v>
      </c>
      <c r="WRO6" s="44">
        <f>Database!WSH14</f>
        <v>0</v>
      </c>
      <c r="WRP6" s="44">
        <f>Database!WSI14</f>
        <v>0</v>
      </c>
      <c r="WRQ6" s="44">
        <f>Database!WSJ14</f>
        <v>0</v>
      </c>
      <c r="WRR6" s="44">
        <f>Database!WSK14</f>
        <v>0</v>
      </c>
      <c r="WRS6" s="44">
        <f>Database!WSL14</f>
        <v>0</v>
      </c>
      <c r="WRT6" s="44">
        <f>Database!WSM14</f>
        <v>0</v>
      </c>
      <c r="WRU6" s="44">
        <f>Database!WSN14</f>
        <v>0</v>
      </c>
      <c r="WRV6" s="44">
        <f>Database!WSO14</f>
        <v>0</v>
      </c>
      <c r="WRW6" s="44">
        <f>Database!WSP14</f>
        <v>0</v>
      </c>
      <c r="WRX6" s="44">
        <f>Database!WSQ14</f>
        <v>0</v>
      </c>
      <c r="WRY6" s="44">
        <f>Database!WSR14</f>
        <v>0</v>
      </c>
      <c r="WRZ6" s="44">
        <f>Database!WSS14</f>
        <v>0</v>
      </c>
      <c r="WSA6" s="44">
        <f>Database!WST14</f>
        <v>0</v>
      </c>
      <c r="WSB6" s="44">
        <f>Database!WSU14</f>
        <v>0</v>
      </c>
      <c r="WSC6" s="44">
        <f>Database!WSV14</f>
        <v>0</v>
      </c>
      <c r="WSD6" s="44">
        <f>Database!WSW14</f>
        <v>0</v>
      </c>
      <c r="WSE6" s="44">
        <f>Database!WSX14</f>
        <v>0</v>
      </c>
      <c r="WSF6" s="44">
        <f>Database!WSY14</f>
        <v>0</v>
      </c>
      <c r="WSG6" s="44">
        <f>Database!WSZ14</f>
        <v>0</v>
      </c>
      <c r="WSH6" s="44">
        <f>Database!WTA14</f>
        <v>0</v>
      </c>
      <c r="WSI6" s="44">
        <f>Database!WTB14</f>
        <v>0</v>
      </c>
      <c r="WSJ6" s="44">
        <f>Database!WTC14</f>
        <v>0</v>
      </c>
      <c r="WSK6" s="44">
        <f>Database!WTD14</f>
        <v>0</v>
      </c>
      <c r="WSL6" s="44">
        <f>Database!WTE14</f>
        <v>0</v>
      </c>
      <c r="WSM6" s="44">
        <f>Database!WTF14</f>
        <v>0</v>
      </c>
      <c r="WSN6" s="44">
        <f>Database!WTG14</f>
        <v>0</v>
      </c>
      <c r="WSO6" s="44">
        <f>Database!WTH14</f>
        <v>0</v>
      </c>
      <c r="WSP6" s="44">
        <f>Database!WTI14</f>
        <v>0</v>
      </c>
      <c r="WSQ6" s="44">
        <f>Database!WTJ14</f>
        <v>0</v>
      </c>
      <c r="WSR6" s="44">
        <f>Database!WTK14</f>
        <v>0</v>
      </c>
      <c r="WSS6" s="44">
        <f>Database!WTL14</f>
        <v>0</v>
      </c>
      <c r="WST6" s="44">
        <f>Database!WTM14</f>
        <v>0</v>
      </c>
      <c r="WSU6" s="44">
        <f>Database!WTN14</f>
        <v>0</v>
      </c>
      <c r="WSV6" s="44">
        <f>Database!WTO14</f>
        <v>0</v>
      </c>
      <c r="WSW6" s="44">
        <f>Database!WTP14</f>
        <v>0</v>
      </c>
      <c r="WSX6" s="44">
        <f>Database!WTQ14</f>
        <v>0</v>
      </c>
      <c r="WSY6" s="44">
        <f>Database!WTR14</f>
        <v>0</v>
      </c>
      <c r="WSZ6" s="44">
        <f>Database!WTS14</f>
        <v>0</v>
      </c>
      <c r="WTA6" s="44">
        <f>Database!WTT14</f>
        <v>0</v>
      </c>
      <c r="WTB6" s="44">
        <f>Database!WTU14</f>
        <v>0</v>
      </c>
      <c r="WTC6" s="44">
        <f>Database!WTV14</f>
        <v>0</v>
      </c>
      <c r="WTD6" s="44">
        <f>Database!WTW14</f>
        <v>0</v>
      </c>
      <c r="WTE6" s="44">
        <f>Database!WTX14</f>
        <v>0</v>
      </c>
      <c r="WTF6" s="44">
        <f>Database!WTY14</f>
        <v>0</v>
      </c>
      <c r="WTG6" s="44">
        <f>Database!WTZ14</f>
        <v>0</v>
      </c>
      <c r="WTH6" s="44">
        <f>Database!WUA14</f>
        <v>0</v>
      </c>
      <c r="WTI6" s="44">
        <f>Database!WUB14</f>
        <v>0</v>
      </c>
      <c r="WTJ6" s="44">
        <f>Database!WUC14</f>
        <v>0</v>
      </c>
      <c r="WTK6" s="44">
        <f>Database!WUD14</f>
        <v>0</v>
      </c>
      <c r="WTL6" s="44">
        <f>Database!WUE14</f>
        <v>0</v>
      </c>
      <c r="WTM6" s="44">
        <f>Database!WUF14</f>
        <v>0</v>
      </c>
      <c r="WTN6" s="44">
        <f>Database!WUG14</f>
        <v>0</v>
      </c>
      <c r="WTO6" s="44">
        <f>Database!WUH14</f>
        <v>0</v>
      </c>
      <c r="WTP6" s="44">
        <f>Database!WUI14</f>
        <v>0</v>
      </c>
      <c r="WTQ6" s="44">
        <f>Database!WUJ14</f>
        <v>0</v>
      </c>
      <c r="WTR6" s="44">
        <f>Database!WUK14</f>
        <v>0</v>
      </c>
      <c r="WTS6" s="44">
        <f>Database!WUL14</f>
        <v>0</v>
      </c>
      <c r="WTT6" s="44">
        <f>Database!WUM14</f>
        <v>0</v>
      </c>
      <c r="WTU6" s="44">
        <f>Database!WUN14</f>
        <v>0</v>
      </c>
      <c r="WTV6" s="44">
        <f>Database!WUO14</f>
        <v>0</v>
      </c>
      <c r="WTW6" s="44">
        <f>Database!WUP14</f>
        <v>0</v>
      </c>
      <c r="WTX6" s="44">
        <f>Database!WUQ14</f>
        <v>0</v>
      </c>
      <c r="WTY6" s="44">
        <f>Database!WUR14</f>
        <v>0</v>
      </c>
      <c r="WTZ6" s="44">
        <f>Database!WUS14</f>
        <v>0</v>
      </c>
      <c r="WUA6" s="44">
        <f>Database!WUT14</f>
        <v>0</v>
      </c>
      <c r="WUB6" s="44">
        <f>Database!WUU14</f>
        <v>0</v>
      </c>
      <c r="WUC6" s="44">
        <f>Database!WUV14</f>
        <v>0</v>
      </c>
      <c r="WUD6" s="44">
        <f>Database!WUW14</f>
        <v>0</v>
      </c>
      <c r="WUE6" s="44">
        <f>Database!WUX14</f>
        <v>0</v>
      </c>
      <c r="WUF6" s="44">
        <f>Database!WUY14</f>
        <v>0</v>
      </c>
      <c r="WUG6" s="44">
        <f>Database!WUZ14</f>
        <v>0</v>
      </c>
      <c r="WUH6" s="44">
        <f>Database!WVA14</f>
        <v>0</v>
      </c>
      <c r="WUI6" s="44">
        <f>Database!WVB14</f>
        <v>0</v>
      </c>
      <c r="WUJ6" s="44">
        <f>Database!WVC14</f>
        <v>0</v>
      </c>
      <c r="WUK6" s="44">
        <f>Database!WVD14</f>
        <v>0</v>
      </c>
      <c r="WUL6" s="44">
        <f>Database!WVE14</f>
        <v>0</v>
      </c>
      <c r="WUM6" s="44">
        <f>Database!WVF14</f>
        <v>0</v>
      </c>
      <c r="WUN6" s="44">
        <f>Database!WVG14</f>
        <v>0</v>
      </c>
      <c r="WUO6" s="44">
        <f>Database!WVH14</f>
        <v>0</v>
      </c>
      <c r="WUP6" s="44">
        <f>Database!WVI14</f>
        <v>0</v>
      </c>
      <c r="WUQ6" s="44">
        <f>Database!WVJ14</f>
        <v>0</v>
      </c>
      <c r="WUR6" s="44">
        <f>Database!WVK14</f>
        <v>0</v>
      </c>
      <c r="WUS6" s="44">
        <f>Database!WVL14</f>
        <v>0</v>
      </c>
      <c r="WUT6" s="44">
        <f>Database!WVM14</f>
        <v>0</v>
      </c>
      <c r="WUU6" s="44">
        <f>Database!WVN14</f>
        <v>0</v>
      </c>
      <c r="WUV6" s="44">
        <f>Database!WVO14</f>
        <v>0</v>
      </c>
      <c r="WUW6" s="44">
        <f>Database!WVP14</f>
        <v>0</v>
      </c>
      <c r="WUX6" s="44">
        <f>Database!WVQ14</f>
        <v>0</v>
      </c>
      <c r="WUY6" s="44">
        <f>Database!WVR14</f>
        <v>0</v>
      </c>
      <c r="WUZ6" s="44">
        <f>Database!WVS14</f>
        <v>0</v>
      </c>
      <c r="WVA6" s="44">
        <f>Database!WVT14</f>
        <v>0</v>
      </c>
      <c r="WVB6" s="44">
        <f>Database!WVU14</f>
        <v>0</v>
      </c>
      <c r="WVC6" s="44">
        <f>Database!WVV14</f>
        <v>0</v>
      </c>
      <c r="WVD6" s="44">
        <f>Database!WVW14</f>
        <v>0</v>
      </c>
      <c r="WVE6" s="44">
        <f>Database!WVX14</f>
        <v>0</v>
      </c>
      <c r="WVF6" s="44">
        <f>Database!WVY14</f>
        <v>0</v>
      </c>
      <c r="WVG6" s="44">
        <f>Database!WVZ14</f>
        <v>0</v>
      </c>
      <c r="WVH6" s="44">
        <f>Database!WWA14</f>
        <v>0</v>
      </c>
      <c r="WVI6" s="44">
        <f>Database!WWB14</f>
        <v>0</v>
      </c>
      <c r="WVJ6" s="44">
        <f>Database!WWC14</f>
        <v>0</v>
      </c>
      <c r="WVK6" s="44">
        <f>Database!WWD14</f>
        <v>0</v>
      </c>
      <c r="WVL6" s="44">
        <f>Database!WWE14</f>
        <v>0</v>
      </c>
      <c r="WVM6" s="44">
        <f>Database!WWF14</f>
        <v>0</v>
      </c>
      <c r="WVN6" s="44">
        <f>Database!WWG14</f>
        <v>0</v>
      </c>
      <c r="WVO6" s="44">
        <f>Database!WWH14</f>
        <v>0</v>
      </c>
      <c r="WVP6" s="44">
        <f>Database!WWI14</f>
        <v>0</v>
      </c>
      <c r="WVQ6" s="44">
        <f>Database!WWJ14</f>
        <v>0</v>
      </c>
      <c r="WVR6" s="44">
        <f>Database!WWK14</f>
        <v>0</v>
      </c>
      <c r="WVS6" s="44">
        <f>Database!WWL14</f>
        <v>0</v>
      </c>
      <c r="WVT6" s="44">
        <f>Database!WWM14</f>
        <v>0</v>
      </c>
      <c r="WVU6" s="44">
        <f>Database!WWN14</f>
        <v>0</v>
      </c>
      <c r="WVV6" s="44">
        <f>Database!WWO14</f>
        <v>0</v>
      </c>
      <c r="WVW6" s="44">
        <f>Database!WWP14</f>
        <v>0</v>
      </c>
      <c r="WVX6" s="44">
        <f>Database!WWQ14</f>
        <v>0</v>
      </c>
      <c r="WVY6" s="44">
        <f>Database!WWR14</f>
        <v>0</v>
      </c>
      <c r="WVZ6" s="44">
        <f>Database!WWS14</f>
        <v>0</v>
      </c>
      <c r="WWA6" s="44">
        <f>Database!WWT14</f>
        <v>0</v>
      </c>
      <c r="WWB6" s="44">
        <f>Database!WWU14</f>
        <v>0</v>
      </c>
      <c r="WWC6" s="44">
        <f>Database!WWV14</f>
        <v>0</v>
      </c>
      <c r="WWD6" s="44">
        <f>Database!WWW14</f>
        <v>0</v>
      </c>
      <c r="WWE6" s="44">
        <f>Database!WWX14</f>
        <v>0</v>
      </c>
      <c r="WWF6" s="44">
        <f>Database!WWY14</f>
        <v>0</v>
      </c>
      <c r="WWG6" s="44">
        <f>Database!WWZ14</f>
        <v>0</v>
      </c>
      <c r="WWH6" s="44">
        <f>Database!WXA14</f>
        <v>0</v>
      </c>
      <c r="WWI6" s="44">
        <f>Database!WXB14</f>
        <v>0</v>
      </c>
      <c r="WWJ6" s="44">
        <f>Database!WXC14</f>
        <v>0</v>
      </c>
      <c r="WWK6" s="44">
        <f>Database!WXD14</f>
        <v>0</v>
      </c>
      <c r="WWL6" s="44">
        <f>Database!WXE14</f>
        <v>0</v>
      </c>
      <c r="WWM6" s="44">
        <f>Database!WXF14</f>
        <v>0</v>
      </c>
      <c r="WWN6" s="44">
        <f>Database!WXG14</f>
        <v>0</v>
      </c>
      <c r="WWO6" s="44">
        <f>Database!WXH14</f>
        <v>0</v>
      </c>
      <c r="WWP6" s="44">
        <f>Database!WXI14</f>
        <v>0</v>
      </c>
      <c r="WWQ6" s="44">
        <f>Database!WXJ14</f>
        <v>0</v>
      </c>
      <c r="WWR6" s="44">
        <f>Database!WXK14</f>
        <v>0</v>
      </c>
      <c r="WWS6" s="44">
        <f>Database!WXL14</f>
        <v>0</v>
      </c>
      <c r="WWT6" s="44">
        <f>Database!WXM14</f>
        <v>0</v>
      </c>
      <c r="WWU6" s="44">
        <f>Database!WXN14</f>
        <v>0</v>
      </c>
      <c r="WWV6" s="44">
        <f>Database!WXO14</f>
        <v>0</v>
      </c>
      <c r="WWW6" s="44">
        <f>Database!WXP14</f>
        <v>0</v>
      </c>
      <c r="WWX6" s="44">
        <f>Database!WXQ14</f>
        <v>0</v>
      </c>
      <c r="WWY6" s="44">
        <f>Database!WXR14</f>
        <v>0</v>
      </c>
      <c r="WWZ6" s="44">
        <f>Database!WXS14</f>
        <v>0</v>
      </c>
      <c r="WXA6" s="44">
        <f>Database!WXT14</f>
        <v>0</v>
      </c>
      <c r="WXB6" s="44">
        <f>Database!WXU14</f>
        <v>0</v>
      </c>
      <c r="WXC6" s="44">
        <f>Database!WXV14</f>
        <v>0</v>
      </c>
      <c r="WXD6" s="44">
        <f>Database!WXW14</f>
        <v>0</v>
      </c>
      <c r="WXE6" s="44">
        <f>Database!WXX14</f>
        <v>0</v>
      </c>
      <c r="WXF6" s="44">
        <f>Database!WXY14</f>
        <v>0</v>
      </c>
      <c r="WXG6" s="44">
        <f>Database!WXZ14</f>
        <v>0</v>
      </c>
      <c r="WXH6" s="44">
        <f>Database!WYA14</f>
        <v>0</v>
      </c>
      <c r="WXI6" s="44">
        <f>Database!WYB14</f>
        <v>0</v>
      </c>
      <c r="WXJ6" s="44">
        <f>Database!WYC14</f>
        <v>0</v>
      </c>
      <c r="WXK6" s="44">
        <f>Database!WYD14</f>
        <v>0</v>
      </c>
      <c r="WXL6" s="44">
        <f>Database!WYE14</f>
        <v>0</v>
      </c>
      <c r="WXM6" s="44">
        <f>Database!WYF14</f>
        <v>0</v>
      </c>
      <c r="WXN6" s="44">
        <f>Database!WYG14</f>
        <v>0</v>
      </c>
      <c r="WXO6" s="44">
        <f>Database!WYH14</f>
        <v>0</v>
      </c>
      <c r="WXP6" s="44">
        <f>Database!WYI14</f>
        <v>0</v>
      </c>
      <c r="WXQ6" s="44">
        <f>Database!WYJ14</f>
        <v>0</v>
      </c>
      <c r="WXR6" s="44">
        <f>Database!WYK14</f>
        <v>0</v>
      </c>
      <c r="WXS6" s="44">
        <f>Database!WYL14</f>
        <v>0</v>
      </c>
      <c r="WXT6" s="44">
        <f>Database!WYM14</f>
        <v>0</v>
      </c>
      <c r="WXU6" s="44">
        <f>Database!WYN14</f>
        <v>0</v>
      </c>
      <c r="WXV6" s="44">
        <f>Database!WYO14</f>
        <v>0</v>
      </c>
      <c r="WXW6" s="44">
        <f>Database!WYP14</f>
        <v>0</v>
      </c>
      <c r="WXX6" s="44">
        <f>Database!WYQ14</f>
        <v>0</v>
      </c>
      <c r="WXY6" s="44">
        <f>Database!WYR14</f>
        <v>0</v>
      </c>
      <c r="WXZ6" s="44">
        <f>Database!WYS14</f>
        <v>0</v>
      </c>
      <c r="WYA6" s="44">
        <f>Database!WYT14</f>
        <v>0</v>
      </c>
      <c r="WYB6" s="44">
        <f>Database!WYU14</f>
        <v>0</v>
      </c>
      <c r="WYC6" s="44">
        <f>Database!WYV14</f>
        <v>0</v>
      </c>
      <c r="WYD6" s="44">
        <f>Database!WYW14</f>
        <v>0</v>
      </c>
      <c r="WYE6" s="44">
        <f>Database!WYX14</f>
        <v>0</v>
      </c>
      <c r="WYF6" s="44">
        <f>Database!WYY14</f>
        <v>0</v>
      </c>
      <c r="WYG6" s="44">
        <f>Database!WYZ14</f>
        <v>0</v>
      </c>
      <c r="WYH6" s="44">
        <f>Database!WZA14</f>
        <v>0</v>
      </c>
      <c r="WYI6" s="44">
        <f>Database!WZB14</f>
        <v>0</v>
      </c>
      <c r="WYJ6" s="44">
        <f>Database!WZC14</f>
        <v>0</v>
      </c>
      <c r="WYK6" s="44">
        <f>Database!WZD14</f>
        <v>0</v>
      </c>
      <c r="WYL6" s="44">
        <f>Database!WZE14</f>
        <v>0</v>
      </c>
      <c r="WYM6" s="44">
        <f>Database!WZF14</f>
        <v>0</v>
      </c>
      <c r="WYN6" s="44">
        <f>Database!WZG14</f>
        <v>0</v>
      </c>
      <c r="WYO6" s="44">
        <f>Database!WZH14</f>
        <v>0</v>
      </c>
      <c r="WYP6" s="44">
        <f>Database!WZI14</f>
        <v>0</v>
      </c>
      <c r="WYQ6" s="44">
        <f>Database!WZJ14</f>
        <v>0</v>
      </c>
      <c r="WYR6" s="44">
        <f>Database!WZK14</f>
        <v>0</v>
      </c>
      <c r="WYS6" s="44">
        <f>Database!WZL14</f>
        <v>0</v>
      </c>
      <c r="WYT6" s="44">
        <f>Database!WZM14</f>
        <v>0</v>
      </c>
      <c r="WYU6" s="44">
        <f>Database!WZN14</f>
        <v>0</v>
      </c>
      <c r="WYV6" s="44">
        <f>Database!WZO14</f>
        <v>0</v>
      </c>
      <c r="WYW6" s="44">
        <f>Database!WZP14</f>
        <v>0</v>
      </c>
      <c r="WYX6" s="44">
        <f>Database!WZQ14</f>
        <v>0</v>
      </c>
      <c r="WYY6" s="44">
        <f>Database!WZR14</f>
        <v>0</v>
      </c>
      <c r="WYZ6" s="44">
        <f>Database!WZS14</f>
        <v>0</v>
      </c>
      <c r="WZA6" s="44">
        <f>Database!WZT14</f>
        <v>0</v>
      </c>
      <c r="WZB6" s="44">
        <f>Database!WZU14</f>
        <v>0</v>
      </c>
      <c r="WZC6" s="44">
        <f>Database!WZV14</f>
        <v>0</v>
      </c>
      <c r="WZD6" s="44">
        <f>Database!WZW14</f>
        <v>0</v>
      </c>
      <c r="WZE6" s="44">
        <f>Database!WZX14</f>
        <v>0</v>
      </c>
      <c r="WZF6" s="44">
        <f>Database!WZY14</f>
        <v>0</v>
      </c>
      <c r="WZG6" s="44">
        <f>Database!WZZ14</f>
        <v>0</v>
      </c>
      <c r="WZH6" s="44">
        <f>Database!XAA14</f>
        <v>0</v>
      </c>
      <c r="WZI6" s="44">
        <f>Database!XAB14</f>
        <v>0</v>
      </c>
      <c r="WZJ6" s="44">
        <f>Database!XAC14</f>
        <v>0</v>
      </c>
      <c r="WZK6" s="44">
        <f>Database!XAD14</f>
        <v>0</v>
      </c>
      <c r="WZL6" s="44">
        <f>Database!XAE14</f>
        <v>0</v>
      </c>
      <c r="WZM6" s="44">
        <f>Database!XAF14</f>
        <v>0</v>
      </c>
      <c r="WZN6" s="44">
        <f>Database!XAG14</f>
        <v>0</v>
      </c>
      <c r="WZO6" s="44">
        <f>Database!XAH14</f>
        <v>0</v>
      </c>
      <c r="WZP6" s="44">
        <f>Database!XAI14</f>
        <v>0</v>
      </c>
      <c r="WZQ6" s="44">
        <f>Database!XAJ14</f>
        <v>0</v>
      </c>
      <c r="WZR6" s="44">
        <f>Database!XAK14</f>
        <v>0</v>
      </c>
      <c r="WZS6" s="44">
        <f>Database!XAL14</f>
        <v>0</v>
      </c>
      <c r="WZT6" s="44">
        <f>Database!XAM14</f>
        <v>0</v>
      </c>
      <c r="WZU6" s="44">
        <f>Database!XAN14</f>
        <v>0</v>
      </c>
      <c r="WZV6" s="44">
        <f>Database!XAO14</f>
        <v>0</v>
      </c>
      <c r="WZW6" s="44">
        <f>Database!XAP14</f>
        <v>0</v>
      </c>
      <c r="WZX6" s="44">
        <f>Database!XAQ14</f>
        <v>0</v>
      </c>
      <c r="WZY6" s="44">
        <f>Database!XAR14</f>
        <v>0</v>
      </c>
      <c r="WZZ6" s="44">
        <f>Database!XAS14</f>
        <v>0</v>
      </c>
      <c r="XAA6" s="44">
        <f>Database!XAT14</f>
        <v>0</v>
      </c>
      <c r="XAB6" s="44">
        <f>Database!XAU14</f>
        <v>0</v>
      </c>
      <c r="XAC6" s="44">
        <f>Database!XAV14</f>
        <v>0</v>
      </c>
      <c r="XAD6" s="44">
        <f>Database!XAW14</f>
        <v>0</v>
      </c>
      <c r="XAE6" s="44">
        <f>Database!XAX14</f>
        <v>0</v>
      </c>
      <c r="XAF6" s="44">
        <f>Database!XAY14</f>
        <v>0</v>
      </c>
      <c r="XAG6" s="44">
        <f>Database!XAZ14</f>
        <v>0</v>
      </c>
      <c r="XAH6" s="44">
        <f>Database!XBA14</f>
        <v>0</v>
      </c>
      <c r="XAI6" s="44">
        <f>Database!XBB14</f>
        <v>0</v>
      </c>
      <c r="XAJ6" s="44">
        <f>Database!XBC14</f>
        <v>0</v>
      </c>
      <c r="XAK6" s="44">
        <f>Database!XBD14</f>
        <v>0</v>
      </c>
      <c r="XAL6" s="44">
        <f>Database!XBE14</f>
        <v>0</v>
      </c>
      <c r="XAM6" s="44">
        <f>Database!XBF14</f>
        <v>0</v>
      </c>
      <c r="XAN6" s="44">
        <f>Database!XBG14</f>
        <v>0</v>
      </c>
      <c r="XAO6" s="44">
        <f>Database!XBH14</f>
        <v>0</v>
      </c>
      <c r="XAP6" s="44">
        <f>Database!XBI14</f>
        <v>0</v>
      </c>
      <c r="XAQ6" s="44">
        <f>Database!XBJ14</f>
        <v>0</v>
      </c>
      <c r="XAR6" s="44">
        <f>Database!XBK14</f>
        <v>0</v>
      </c>
      <c r="XAS6" s="44">
        <f>Database!XBL14</f>
        <v>0</v>
      </c>
      <c r="XAT6" s="44">
        <f>Database!XBM14</f>
        <v>0</v>
      </c>
      <c r="XAU6" s="44">
        <f>Database!XBN14</f>
        <v>0</v>
      </c>
      <c r="XAV6" s="44">
        <f>Database!XBO14</f>
        <v>0</v>
      </c>
      <c r="XAW6" s="44">
        <f>Database!XBP14</f>
        <v>0</v>
      </c>
      <c r="XAX6" s="44">
        <f>Database!XBQ14</f>
        <v>0</v>
      </c>
      <c r="XAY6" s="44">
        <f>Database!XBR14</f>
        <v>0</v>
      </c>
      <c r="XAZ6" s="44">
        <f>Database!XBS14</f>
        <v>0</v>
      </c>
      <c r="XBA6" s="44">
        <f>Database!XBT14</f>
        <v>0</v>
      </c>
      <c r="XBB6" s="44">
        <f>Database!XBU14</f>
        <v>0</v>
      </c>
      <c r="XBC6" s="44">
        <f>Database!XBV14</f>
        <v>0</v>
      </c>
      <c r="XBD6" s="44">
        <f>Database!XBW14</f>
        <v>0</v>
      </c>
      <c r="XBE6" s="44">
        <f>Database!XBX14</f>
        <v>0</v>
      </c>
      <c r="XBF6" s="44">
        <f>Database!XBY14</f>
        <v>0</v>
      </c>
      <c r="XBG6" s="44">
        <f>Database!XBZ14</f>
        <v>0</v>
      </c>
      <c r="XBH6" s="44">
        <f>Database!XCA14</f>
        <v>0</v>
      </c>
      <c r="XBI6" s="44">
        <f>Database!XCB14</f>
        <v>0</v>
      </c>
      <c r="XBJ6" s="44">
        <f>Database!XCC14</f>
        <v>0</v>
      </c>
      <c r="XBK6" s="44">
        <f>Database!XCD14</f>
        <v>0</v>
      </c>
      <c r="XBL6" s="44">
        <f>Database!XCE14</f>
        <v>0</v>
      </c>
      <c r="XBM6" s="44">
        <f>Database!XCF14</f>
        <v>0</v>
      </c>
      <c r="XBN6" s="44">
        <f>Database!XCG14</f>
        <v>0</v>
      </c>
      <c r="XBO6" s="44">
        <f>Database!XCH14</f>
        <v>0</v>
      </c>
      <c r="XBP6" s="44">
        <f>Database!XCI14</f>
        <v>0</v>
      </c>
      <c r="XBQ6" s="44">
        <f>Database!XCJ14</f>
        <v>0</v>
      </c>
      <c r="XBR6" s="44">
        <f>Database!XCK14</f>
        <v>0</v>
      </c>
      <c r="XBS6" s="44">
        <f>Database!XCL14</f>
        <v>0</v>
      </c>
      <c r="XBT6" s="44">
        <f>Database!XCM14</f>
        <v>0</v>
      </c>
      <c r="XBU6" s="44">
        <f>Database!XCN14</f>
        <v>0</v>
      </c>
      <c r="XBV6" s="44">
        <f>Database!XCO14</f>
        <v>0</v>
      </c>
      <c r="XBW6" s="44">
        <f>Database!XCP14</f>
        <v>0</v>
      </c>
      <c r="XBX6" s="44">
        <f>Database!XCQ14</f>
        <v>0</v>
      </c>
      <c r="XBY6" s="44">
        <f>Database!XCR14</f>
        <v>0</v>
      </c>
      <c r="XBZ6" s="44">
        <f>Database!XCS14</f>
        <v>0</v>
      </c>
      <c r="XCA6" s="44">
        <f>Database!XCT14</f>
        <v>0</v>
      </c>
      <c r="XCB6" s="44">
        <f>Database!XCU14</f>
        <v>0</v>
      </c>
      <c r="XCC6" s="44">
        <f>Database!XCV14</f>
        <v>0</v>
      </c>
      <c r="XCD6" s="44">
        <f>Database!XCW14</f>
        <v>0</v>
      </c>
      <c r="XCE6" s="44">
        <f>Database!XCX14</f>
        <v>0</v>
      </c>
      <c r="XCF6" s="44">
        <f>Database!XCY14</f>
        <v>0</v>
      </c>
      <c r="XCG6" s="44">
        <f>Database!XCZ14</f>
        <v>0</v>
      </c>
      <c r="XCH6" s="44">
        <f>Database!XDA14</f>
        <v>0</v>
      </c>
      <c r="XCI6" s="44">
        <f>Database!XDB14</f>
        <v>0</v>
      </c>
      <c r="XCJ6" s="44">
        <f>Database!XDC14</f>
        <v>0</v>
      </c>
      <c r="XCK6" s="44">
        <f>Database!XDD14</f>
        <v>0</v>
      </c>
      <c r="XCL6" s="44">
        <f>Database!XDE14</f>
        <v>0</v>
      </c>
      <c r="XCM6" s="44">
        <f>Database!XDF14</f>
        <v>0</v>
      </c>
      <c r="XCN6" s="44">
        <f>Database!XDG14</f>
        <v>0</v>
      </c>
      <c r="XCO6" s="44">
        <f>Database!XDH14</f>
        <v>0</v>
      </c>
      <c r="XCP6" s="44">
        <f>Database!XDI14</f>
        <v>0</v>
      </c>
      <c r="XCQ6" s="44">
        <f>Database!XDJ14</f>
        <v>0</v>
      </c>
      <c r="XCR6" s="44">
        <f>Database!XDK14</f>
        <v>0</v>
      </c>
      <c r="XCS6" s="44">
        <f>Database!XDL14</f>
        <v>0</v>
      </c>
      <c r="XCT6" s="44">
        <f>Database!XDM14</f>
        <v>0</v>
      </c>
      <c r="XCU6" s="44">
        <f>Database!XDN14</f>
        <v>0</v>
      </c>
      <c r="XCV6" s="44">
        <f>Database!XDO14</f>
        <v>0</v>
      </c>
      <c r="XCW6" s="44">
        <f>Database!XDP14</f>
        <v>0</v>
      </c>
      <c r="XCX6" s="44">
        <f>Database!XDQ14</f>
        <v>0</v>
      </c>
      <c r="XCY6" s="44">
        <f>Database!XDR14</f>
        <v>0</v>
      </c>
      <c r="XCZ6" s="44">
        <f>Database!XDS14</f>
        <v>0</v>
      </c>
      <c r="XDA6" s="44">
        <f>Database!XDT14</f>
        <v>0</v>
      </c>
      <c r="XDB6" s="44">
        <f>Database!XDU14</f>
        <v>0</v>
      </c>
      <c r="XDC6" s="44">
        <f>Database!XDV14</f>
        <v>0</v>
      </c>
      <c r="XDD6" s="44">
        <f>Database!XDW14</f>
        <v>0</v>
      </c>
      <c r="XDE6" s="44">
        <f>Database!XDX14</f>
        <v>0</v>
      </c>
      <c r="XDF6" s="44">
        <f>Database!XDY14</f>
        <v>0</v>
      </c>
      <c r="XDG6" s="44">
        <f>Database!XDZ14</f>
        <v>0</v>
      </c>
      <c r="XDH6" s="44">
        <f>Database!XEA14</f>
        <v>0</v>
      </c>
      <c r="XDI6" s="44">
        <f>Database!XEB14</f>
        <v>0</v>
      </c>
      <c r="XDJ6" s="44">
        <f>Database!XEC14</f>
        <v>0</v>
      </c>
      <c r="XDK6" s="44">
        <f>Database!XED14</f>
        <v>0</v>
      </c>
      <c r="XDL6" s="44">
        <f>Database!XEE14</f>
        <v>0</v>
      </c>
      <c r="XDM6" s="44">
        <f>Database!XEF14</f>
        <v>0</v>
      </c>
      <c r="XDN6" s="44">
        <f>Database!XEG14</f>
        <v>0</v>
      </c>
      <c r="XDO6" s="44">
        <f>Database!XEH14</f>
        <v>0</v>
      </c>
      <c r="XDP6" s="44">
        <f>Database!XEI14</f>
        <v>0</v>
      </c>
      <c r="XDQ6" s="44">
        <f>Database!XEJ14</f>
        <v>0</v>
      </c>
      <c r="XDR6" s="44">
        <f>Database!XEK14</f>
        <v>0</v>
      </c>
      <c r="XDS6" s="44">
        <f>Database!XEL14</f>
        <v>0</v>
      </c>
      <c r="XDT6" s="44">
        <f>Database!XEM14</f>
        <v>0</v>
      </c>
      <c r="XDU6" s="44">
        <f>Database!XEN14</f>
        <v>0</v>
      </c>
      <c r="XDV6" s="44">
        <f>Database!XEO14</f>
        <v>0</v>
      </c>
      <c r="XDW6" s="44">
        <f>Database!XEP14</f>
        <v>0</v>
      </c>
      <c r="XDX6" s="44">
        <f>Database!XEQ14</f>
        <v>0</v>
      </c>
      <c r="XDY6" s="44">
        <f>Database!XER14</f>
        <v>0</v>
      </c>
      <c r="XDZ6" s="44">
        <f>Database!XES14</f>
        <v>0</v>
      </c>
      <c r="XEA6" s="44">
        <f>Database!XET14</f>
        <v>0</v>
      </c>
      <c r="XEB6" s="44">
        <f>Database!XEU14</f>
        <v>0</v>
      </c>
      <c r="XEC6" s="44">
        <f>Database!XEV14</f>
        <v>0</v>
      </c>
      <c r="XED6" s="44">
        <f>Database!XEW14</f>
        <v>0</v>
      </c>
      <c r="XEE6" s="44">
        <f>Database!XEX14</f>
        <v>0</v>
      </c>
      <c r="XEF6" s="44">
        <f>Database!XEY14</f>
        <v>0</v>
      </c>
      <c r="XEG6" s="44">
        <f>Database!XEZ14</f>
        <v>0</v>
      </c>
      <c r="XEH6" s="44">
        <f>Database!XFA14</f>
        <v>0</v>
      </c>
      <c r="XEI6" s="44">
        <f>Database!XFB14</f>
        <v>0</v>
      </c>
      <c r="XEJ6" s="44">
        <f>Database!XFC14</f>
        <v>0</v>
      </c>
      <c r="XEK6" s="44">
        <f>Database!XFD14</f>
        <v>0</v>
      </c>
    </row>
    <row r="8" spans="1:16365" x14ac:dyDescent="0.25">
      <c r="D8">
        <f>IF($P$10-12&gt;0,$P$8,$P$8-1)</f>
        <v>2025</v>
      </c>
      <c r="E8">
        <f>IF($P$10-11&gt;0,$P$8,$P$8-1)</f>
        <v>2025</v>
      </c>
      <c r="F8">
        <f>IF($P$10-10&gt;0,$P$8,$P$8-1)</f>
        <v>2025</v>
      </c>
      <c r="G8">
        <f>IF($P$10-9&gt;0,$P$8,$P$8-1)</f>
        <v>2025</v>
      </c>
      <c r="H8">
        <f>IF($P$10-8&gt;0,$P$8,$P$8-1)</f>
        <v>2025</v>
      </c>
      <c r="I8">
        <f>IF($P$10-7&gt;0,$P$8,$P$8-1)</f>
        <v>2025</v>
      </c>
      <c r="J8">
        <f>IF($P$10-6&gt;0,$P$8,$P$8-1)</f>
        <v>2025</v>
      </c>
      <c r="K8">
        <f>IF($P$10-5&gt;0,$P$8,$P$8-1)</f>
        <v>2026</v>
      </c>
      <c r="L8">
        <f>IF($P$10-4&gt;0,$P$8,$P$8-1)</f>
        <v>2026</v>
      </c>
      <c r="M8">
        <f>IF($P$10-3&gt;0,$P$8,$P$8-1)</f>
        <v>2026</v>
      </c>
      <c r="N8">
        <f>IF($P$10-2&gt;0,$P$8,$P$8-1)</f>
        <v>2026</v>
      </c>
      <c r="O8">
        <f>IF($P$10-1&gt;0,$P$8,$P$8-1)</f>
        <v>2026</v>
      </c>
      <c r="P8">
        <f>'Propylene EU and US'!H1</f>
        <v>2026</v>
      </c>
    </row>
    <row r="9" spans="1:16365" x14ac:dyDescent="0.25">
      <c r="D9" t="str">
        <f t="shared" ref="D9:P9" si="0">VLOOKUP(D10,$B$11:$C$22,2,)</f>
        <v>June</v>
      </c>
      <c r="E9" t="str">
        <f t="shared" si="0"/>
        <v>July</v>
      </c>
      <c r="F9" t="str">
        <f t="shared" si="0"/>
        <v>Aug</v>
      </c>
      <c r="G9" t="str">
        <f t="shared" si="0"/>
        <v>Sept</v>
      </c>
      <c r="H9" t="str">
        <f t="shared" si="0"/>
        <v>Oct</v>
      </c>
      <c r="I9" t="str">
        <f t="shared" si="0"/>
        <v>Nov</v>
      </c>
      <c r="J9" t="str">
        <f t="shared" si="0"/>
        <v>Dec</v>
      </c>
      <c r="K9" t="str">
        <f t="shared" si="0"/>
        <v>Jan</v>
      </c>
      <c r="L9" t="str">
        <f t="shared" si="0"/>
        <v>Feb</v>
      </c>
      <c r="M9" t="str">
        <f t="shared" si="0"/>
        <v>Mar</v>
      </c>
      <c r="N9" t="str">
        <f t="shared" si="0"/>
        <v>Apr</v>
      </c>
      <c r="O9" t="str">
        <f t="shared" si="0"/>
        <v>May</v>
      </c>
      <c r="P9" t="str">
        <f t="shared" si="0"/>
        <v>June</v>
      </c>
    </row>
    <row r="10" spans="1:16365" x14ac:dyDescent="0.25">
      <c r="D10">
        <f>IF($P$10-12&gt;0,$P$10-12,$P$10-12+12)</f>
        <v>6</v>
      </c>
      <c r="E10">
        <f>IF($P$10-11&gt;0,$P$10-11,$P$10-11+12)</f>
        <v>7</v>
      </c>
      <c r="F10">
        <f>IF($P$10-10&gt;0,$P$10-10,$P$10-10+12)</f>
        <v>8</v>
      </c>
      <c r="G10">
        <f>IF($P$10-9&gt;0,$P$10-9,$P$10-9+12)</f>
        <v>9</v>
      </c>
      <c r="H10">
        <f>IF($P$10-8&gt;0,$P$10-8,$P$10-8+12)</f>
        <v>10</v>
      </c>
      <c r="I10">
        <f>IF($P$10-7&gt;0,$P$10-7,$P$10-7+12)</f>
        <v>11</v>
      </c>
      <c r="J10">
        <f>IF($P$10-6&gt;0,$P$10-6,$P$10-6+12)</f>
        <v>12</v>
      </c>
      <c r="K10">
        <f>IF($P$10-5&gt;0,$P$10-5,$P$10-5+12)</f>
        <v>1</v>
      </c>
      <c r="L10">
        <f>IF($P$10-4&gt;0,$P$10-4,$P$10-4+12)</f>
        <v>2</v>
      </c>
      <c r="M10">
        <f>IF($P$10-3&gt;0,$P$10-3,$P$10-3+12)</f>
        <v>3</v>
      </c>
      <c r="N10">
        <f>IF($P$10-2&gt;0,$P$10-2,$P$10-2+12)</f>
        <v>4</v>
      </c>
      <c r="O10">
        <f>IF($P$10-1&gt;0,$P$10-1,$P$10-1+12)</f>
        <v>5</v>
      </c>
      <c r="P10">
        <f>VLOOKUP(LEFT(P11,3),A11:B22,2,)</f>
        <v>6</v>
      </c>
    </row>
    <row r="11" spans="1:16365" x14ac:dyDescent="0.25">
      <c r="A11" t="s">
        <v>85</v>
      </c>
      <c r="B11">
        <v>1</v>
      </c>
      <c r="C11" t="s">
        <v>85</v>
      </c>
      <c r="P11" t="str">
        <f>'Propylene EU and US'!C9</f>
        <v>Jun</v>
      </c>
    </row>
    <row r="12" spans="1:16365" x14ac:dyDescent="0.25">
      <c r="A12" t="s">
        <v>249</v>
      </c>
      <c r="B12">
        <v>2</v>
      </c>
      <c r="C12" t="s">
        <v>249</v>
      </c>
      <c r="D12" s="47" t="str">
        <f>ADDRESS(2,MATCH(D8,calc_MCP!$D$1:$XFD$1,0)+3,4,,"calc_MCP")</f>
        <v>calc_MCP!HB2</v>
      </c>
      <c r="E12" s="47" t="str">
        <f>ADDRESS(2,MATCH(E8,calc_MCP!$D$1:$XFD$1,0)+3,4,,"calc_MCP")</f>
        <v>calc_MCP!HB2</v>
      </c>
      <c r="F12" s="47" t="str">
        <f>ADDRESS(2,MATCH(F8,calc_MCP!$D$1:$XFD$1,0)+3,4,,"calc_MCP")</f>
        <v>calc_MCP!HB2</v>
      </c>
      <c r="G12" s="47" t="str">
        <f>ADDRESS(2,MATCH(G8,calc_MCP!$D$1:$XFD$1,0)+3,4,,"calc_MCP")</f>
        <v>calc_MCP!HB2</v>
      </c>
      <c r="H12" s="47" t="str">
        <f>ADDRESS(2,MATCH(H8,calc_MCP!$D$1:$XFD$1,0)+3,4,,"calc_MCP")</f>
        <v>calc_MCP!HB2</v>
      </c>
      <c r="I12" s="47" t="str">
        <f>ADDRESS(2,MATCH(I8,calc_MCP!$D$1:$XFD$1,0)+3,4,,"calc_MCP")</f>
        <v>calc_MCP!HB2</v>
      </c>
      <c r="J12" s="47" t="str">
        <f>ADDRESS(2,MATCH(J8,calc_MCP!$D$1:$XFD$1,0)+3,4,,"calc_MCP")</f>
        <v>calc_MCP!HB2</v>
      </c>
      <c r="K12" s="47" t="str">
        <f>ADDRESS(2,MATCH(K8,calc_MCP!$D$1:$XFD$1,0)+3,4,,"calc_MCP")</f>
        <v>calc_MCP!JA2</v>
      </c>
      <c r="L12" s="47" t="str">
        <f>ADDRESS(2,MATCH(L8,calc_MCP!$D$1:$XFD$1,0)+3,4,,"calc_MCP")</f>
        <v>calc_MCP!JA2</v>
      </c>
      <c r="M12" s="47" t="str">
        <f>ADDRESS(2,MATCH(M8,calc_MCP!$D$1:$XFD$1,0)+3,4,,"calc_MCP")</f>
        <v>calc_MCP!JA2</v>
      </c>
      <c r="N12" s="47" t="str">
        <f>ADDRESS(2,MATCH(N8,calc_MCP!$D$1:$XFD$1,0)+3,4,,"calc_MCP")</f>
        <v>calc_MCP!JA2</v>
      </c>
      <c r="O12" s="47" t="str">
        <f>ADDRESS(2,MATCH(O8,calc_MCP!$D$1:$XFD$1,0)+3,4,,"calc_MCP")</f>
        <v>calc_MCP!JA2</v>
      </c>
      <c r="P12" s="47" t="str">
        <f>ADDRESS(2,MATCH(P8,calc_MCP!$D$1:$XFD$1,0)+3,4,,"calc_MCP")</f>
        <v>calc_MCP!JA2</v>
      </c>
    </row>
    <row r="13" spans="1:16365" x14ac:dyDescent="0.25">
      <c r="A13" t="s">
        <v>261</v>
      </c>
      <c r="B13">
        <v>3</v>
      </c>
      <c r="C13" t="s">
        <v>261</v>
      </c>
      <c r="D13" s="47" t="str">
        <f>ADDRESS(10,MATCH(D8,calc_MCP!$D$1:$XFD$1,1)+3,4,,"calc_MCP")</f>
        <v>calc_MCP!XEK10</v>
      </c>
      <c r="E13" s="47" t="str">
        <f>ADDRESS(10,MATCH(E8,calc_MCP!$D$1:$XFD$1,1)+3,4,,"calc_MCP")</f>
        <v>calc_MCP!XEK10</v>
      </c>
      <c r="F13" s="47" t="str">
        <f>ADDRESS(10,MATCH(F8,calc_MCP!$D$1:$XFD$1,1)+3,4,,"calc_MCP")</f>
        <v>calc_MCP!XEK10</v>
      </c>
      <c r="G13" s="47" t="str">
        <f>ADDRESS(10,MATCH(G8,calc_MCP!$D$1:$XFD$1,1)+3,4,,"calc_MCP")</f>
        <v>calc_MCP!XEK10</v>
      </c>
      <c r="H13" s="47" t="str">
        <f>ADDRESS(10,MATCH(H8,calc_MCP!$D$1:$XFD$1,1)+3,4,,"calc_MCP")</f>
        <v>calc_MCP!XEK10</v>
      </c>
      <c r="I13" s="47" t="str">
        <f>ADDRESS(10,MATCH(I8,calc_MCP!$D$1:$XFD$1,1)+3,4,,"calc_MCP")</f>
        <v>calc_MCP!XEK10</v>
      </c>
      <c r="J13" s="47" t="str">
        <f>ADDRESS(10,MATCH(J8,calc_MCP!$D$1:$XFD$1,1)+3,4,,"calc_MCP")</f>
        <v>calc_MCP!XEK10</v>
      </c>
      <c r="K13" s="47" t="str">
        <f>ADDRESS(10,MATCH(K8,calc_MCP!$D$1:$XFD$1,1)+3,4,,"calc_MCP")</f>
        <v>calc_MCP!XEK10</v>
      </c>
      <c r="L13" s="47" t="str">
        <f>ADDRESS(10,MATCH(L8,calc_MCP!$D$1:$XFD$1,1)+3,4,,"calc_MCP")</f>
        <v>calc_MCP!XEK10</v>
      </c>
      <c r="M13" s="47" t="str">
        <f>ADDRESS(10,MATCH(M8,calc_MCP!$D$1:$XFD$1,1)+3,4,,"calc_MCP")</f>
        <v>calc_MCP!XEK10</v>
      </c>
      <c r="N13" s="47" t="str">
        <f>ADDRESS(10,MATCH(N8,calc_MCP!$D$1:$XFD$1,1)+3,4,,"calc_MCP")</f>
        <v>calc_MCP!XEK10</v>
      </c>
      <c r="O13" s="47" t="str">
        <f>ADDRESS(10,MATCH(O8,calc_MCP!$D$1:$XFD$1,1)+3,4,,"calc_MCP")</f>
        <v>calc_MCP!XEK10</v>
      </c>
      <c r="P13" s="47" t="str">
        <f>ADDRESS(10,MATCH(P8,calc_MCP!$D$1:$XFD$1,1)+3,4,,"calc_MCP")</f>
        <v>calc_MCP!XEK10</v>
      </c>
    </row>
    <row r="14" spans="1:16365" ht="15.75" thickBot="1" x14ac:dyDescent="0.3">
      <c r="A14" t="s">
        <v>262</v>
      </c>
      <c r="B14">
        <v>4</v>
      </c>
      <c r="C14" t="s">
        <v>262</v>
      </c>
      <c r="D14" s="4">
        <f ca="1">HLOOKUP(LEFT(D9,3),INDIRECT(D12):INDIRECT(D13),2,FALSE)</f>
        <v>1015</v>
      </c>
      <c r="E14" s="4">
        <f ca="1">HLOOKUP(LEFT(E9,3),INDIRECT(E12):INDIRECT(E13),2,FALSE)</f>
        <v>1015</v>
      </c>
      <c r="F14" s="4">
        <f ca="1">HLOOKUP(LEFT(F9,3),INDIRECT(F12):INDIRECT(F13),2,FALSE)</f>
        <v>1005</v>
      </c>
      <c r="G14" s="4">
        <f ca="1">HLOOKUP(LEFT(G9,3),INDIRECT(G12):INDIRECT(G13),2,FALSE)</f>
        <v>1005</v>
      </c>
      <c r="H14" s="4">
        <f ca="1">HLOOKUP(LEFT(H9,3),INDIRECT(H12):INDIRECT(H13),2,FALSE)</f>
        <v>1005</v>
      </c>
      <c r="I14" s="4">
        <f ca="1">HLOOKUP(LEFT(I9,3),INDIRECT(I12):INDIRECT(I13),2,FALSE)</f>
        <v>980</v>
      </c>
      <c r="J14" s="4">
        <f ca="1">HLOOKUP(LEFT(J9,3),INDIRECT(J12):INDIRECT(J13),2,FALSE)</f>
        <v>980</v>
      </c>
      <c r="K14" s="4">
        <f ca="1">HLOOKUP(LEFT(K9,3),INDIRECT(K12):INDIRECT(K13),2,FALSE)</f>
        <v>950</v>
      </c>
      <c r="L14" s="4">
        <f ca="1">HLOOKUP(LEFT(L9,3),INDIRECT(L12):INDIRECT(L13),2,FALSE)</f>
        <v>965</v>
      </c>
      <c r="M14" s="4">
        <f ca="1">HLOOKUP(LEFT(M9,3),INDIRECT(M12):INDIRECT(M13),2,FALSE)</f>
        <v>1000</v>
      </c>
      <c r="N14" s="4">
        <f ca="1">HLOOKUP(LEFT(N9,3),INDIRECT(N12):INDIRECT(N13),2,FALSE)</f>
        <v>1465</v>
      </c>
      <c r="O14" s="4">
        <f ca="1">HLOOKUP(LEFT(O9,3),INDIRECT(O12):INDIRECT(O13),2,FALSE)</f>
        <v>1585</v>
      </c>
      <c r="P14" s="4">
        <f ca="1">HLOOKUP(LEFT(P9,3),INDIRECT(P12):INDIRECT(P13),2,FALSE)</f>
        <v>1555</v>
      </c>
    </row>
    <row r="15" spans="1:16365" x14ac:dyDescent="0.25">
      <c r="A15" t="s">
        <v>263</v>
      </c>
      <c r="B15">
        <v>5</v>
      </c>
      <c r="C15" t="s">
        <v>263</v>
      </c>
    </row>
    <row r="16" spans="1:16365" x14ac:dyDescent="0.25">
      <c r="A16" t="s">
        <v>264</v>
      </c>
      <c r="B16">
        <v>6</v>
      </c>
      <c r="C16" t="s">
        <v>269</v>
      </c>
    </row>
    <row r="17" spans="1:105" x14ac:dyDescent="0.25">
      <c r="A17" t="s">
        <v>265</v>
      </c>
      <c r="B17">
        <v>7</v>
      </c>
      <c r="C17" t="s">
        <v>270</v>
      </c>
      <c r="D17">
        <f t="shared" ref="D17:V17" si="1">IF(E$19-1&gt;0,E$17,E$17-1)</f>
        <v>2024</v>
      </c>
      <c r="E17">
        <f t="shared" si="1"/>
        <v>2024</v>
      </c>
      <c r="F17">
        <f t="shared" si="1"/>
        <v>2024</v>
      </c>
      <c r="G17">
        <f t="shared" si="1"/>
        <v>2024</v>
      </c>
      <c r="H17">
        <f t="shared" si="1"/>
        <v>2024</v>
      </c>
      <c r="I17">
        <f t="shared" si="1"/>
        <v>2024</v>
      </c>
      <c r="J17">
        <f t="shared" si="1"/>
        <v>2024</v>
      </c>
      <c r="K17">
        <f t="shared" si="1"/>
        <v>2025</v>
      </c>
      <c r="L17">
        <f t="shared" si="1"/>
        <v>2025</v>
      </c>
      <c r="M17">
        <f t="shared" si="1"/>
        <v>2025</v>
      </c>
      <c r="N17">
        <f t="shared" si="1"/>
        <v>2025</v>
      </c>
      <c r="O17">
        <f t="shared" si="1"/>
        <v>2025</v>
      </c>
      <c r="P17">
        <f t="shared" si="1"/>
        <v>2025</v>
      </c>
      <c r="Q17">
        <f t="shared" si="1"/>
        <v>2025</v>
      </c>
      <c r="R17">
        <f t="shared" si="1"/>
        <v>2025</v>
      </c>
      <c r="S17">
        <f t="shared" si="1"/>
        <v>2025</v>
      </c>
      <c r="T17">
        <f t="shared" si="1"/>
        <v>2025</v>
      </c>
      <c r="U17">
        <f t="shared" si="1"/>
        <v>2025</v>
      </c>
      <c r="V17">
        <f t="shared" si="1"/>
        <v>2025</v>
      </c>
      <c r="W17">
        <f t="shared" ref="W17:Z17" si="2">IF(X$19-1&gt;0,X$17,X$17-1)</f>
        <v>2026</v>
      </c>
      <c r="X17">
        <f t="shared" si="2"/>
        <v>2026</v>
      </c>
      <c r="Y17">
        <f t="shared" si="2"/>
        <v>2026</v>
      </c>
      <c r="Z17">
        <f t="shared" si="2"/>
        <v>2026</v>
      </c>
      <c r="AA17">
        <f>IF(AB$19-1&gt;0,AB$17,AB$17-1)</f>
        <v>2026</v>
      </c>
      <c r="AB17">
        <f>'Propylene EU and US'!H1</f>
        <v>2026</v>
      </c>
      <c r="DA17">
        <f>'Propylene EU and US'!H1</f>
        <v>2026</v>
      </c>
    </row>
    <row r="18" spans="1:105" x14ac:dyDescent="0.25">
      <c r="A18" t="s">
        <v>266</v>
      </c>
      <c r="B18">
        <v>8</v>
      </c>
      <c r="C18" t="s">
        <v>266</v>
      </c>
      <c r="D18" t="str">
        <f t="shared" ref="D18" si="3">VLOOKUP(D19,$B$11:$C$22,2,)</f>
        <v>June</v>
      </c>
      <c r="E18" t="str">
        <f t="shared" ref="E18" si="4">VLOOKUP(E19,$B$11:$C$22,2,)</f>
        <v>July</v>
      </c>
      <c r="F18" t="str">
        <f t="shared" ref="F18" si="5">VLOOKUP(F19,$B$11:$C$22,2,)</f>
        <v>Aug</v>
      </c>
      <c r="G18" t="str">
        <f t="shared" ref="G18:AA18" si="6">VLOOKUP(G19,$B$11:$C$22,2,)</f>
        <v>Sept</v>
      </c>
      <c r="H18" t="str">
        <f t="shared" si="6"/>
        <v>Oct</v>
      </c>
      <c r="I18" t="str">
        <f t="shared" si="6"/>
        <v>Nov</v>
      </c>
      <c r="J18" t="str">
        <f t="shared" si="6"/>
        <v>Dec</v>
      </c>
      <c r="K18" t="str">
        <f t="shared" si="6"/>
        <v>Jan</v>
      </c>
      <c r="L18" t="str">
        <f t="shared" si="6"/>
        <v>Feb</v>
      </c>
      <c r="M18" t="str">
        <f t="shared" si="6"/>
        <v>Mar</v>
      </c>
      <c r="N18" t="str">
        <f t="shared" si="6"/>
        <v>Apr</v>
      </c>
      <c r="O18" t="str">
        <f t="shared" si="6"/>
        <v>May</v>
      </c>
      <c r="P18" t="str">
        <f t="shared" si="6"/>
        <v>June</v>
      </c>
      <c r="Q18" t="str">
        <f t="shared" si="6"/>
        <v>July</v>
      </c>
      <c r="R18" t="str">
        <f t="shared" si="6"/>
        <v>Aug</v>
      </c>
      <c r="S18" t="str">
        <f t="shared" si="6"/>
        <v>Sept</v>
      </c>
      <c r="T18" t="str">
        <f t="shared" si="6"/>
        <v>Oct</v>
      </c>
      <c r="U18" t="str">
        <f t="shared" si="6"/>
        <v>Nov</v>
      </c>
      <c r="V18" t="str">
        <f t="shared" si="6"/>
        <v>Dec</v>
      </c>
      <c r="W18" t="str">
        <f t="shared" si="6"/>
        <v>Jan</v>
      </c>
      <c r="X18" t="str">
        <f t="shared" si="6"/>
        <v>Feb</v>
      </c>
      <c r="Y18" t="str">
        <f t="shared" si="6"/>
        <v>Mar</v>
      </c>
      <c r="Z18" t="str">
        <f t="shared" si="6"/>
        <v>Apr</v>
      </c>
      <c r="AA18" t="str">
        <f t="shared" si="6"/>
        <v>May</v>
      </c>
      <c r="AB18" t="str">
        <f>VLOOKUP(AB19,$B$11:$C$22,2,)</f>
        <v>June</v>
      </c>
      <c r="DA18" t="str">
        <f>VLOOKUP(DA19,$B$11:$C$22,2,)</f>
        <v>June</v>
      </c>
    </row>
    <row r="19" spans="1:105" x14ac:dyDescent="0.25">
      <c r="A19" t="s">
        <v>267</v>
      </c>
      <c r="B19">
        <v>9</v>
      </c>
      <c r="C19" t="s">
        <v>271</v>
      </c>
      <c r="D19">
        <f t="shared" ref="D19:M19" si="7">IF(E$19-1&gt;0,E$19-1,E$19-1+12)</f>
        <v>6</v>
      </c>
      <c r="E19">
        <f t="shared" si="7"/>
        <v>7</v>
      </c>
      <c r="F19">
        <f t="shared" si="7"/>
        <v>8</v>
      </c>
      <c r="G19">
        <f t="shared" si="7"/>
        <v>9</v>
      </c>
      <c r="H19">
        <f t="shared" si="7"/>
        <v>10</v>
      </c>
      <c r="I19">
        <f t="shared" si="7"/>
        <v>11</v>
      </c>
      <c r="J19">
        <f t="shared" si="7"/>
        <v>12</v>
      </c>
      <c r="K19">
        <f t="shared" si="7"/>
        <v>1</v>
      </c>
      <c r="L19">
        <f t="shared" si="7"/>
        <v>2</v>
      </c>
      <c r="M19">
        <f t="shared" si="7"/>
        <v>3</v>
      </c>
      <c r="N19">
        <f t="shared" ref="N19:P19" si="8">IF(O$19-1&gt;0,O$19-1,O$19-1+12)</f>
        <v>4</v>
      </c>
      <c r="O19">
        <f t="shared" si="8"/>
        <v>5</v>
      </c>
      <c r="P19">
        <f t="shared" si="8"/>
        <v>6</v>
      </c>
      <c r="Q19">
        <f t="shared" ref="Q19:S19" si="9">IF(R$19-1&gt;0,R$19-1,R$19-1+12)</f>
        <v>7</v>
      </c>
      <c r="R19">
        <f t="shared" si="9"/>
        <v>8</v>
      </c>
      <c r="S19">
        <f t="shared" si="9"/>
        <v>9</v>
      </c>
      <c r="T19">
        <f t="shared" ref="T19:Y19" si="10">IF(U$19-1&gt;0,U$19-1,U$19-1+12)</f>
        <v>10</v>
      </c>
      <c r="U19">
        <f t="shared" si="10"/>
        <v>11</v>
      </c>
      <c r="V19">
        <f t="shared" si="10"/>
        <v>12</v>
      </c>
      <c r="W19">
        <f t="shared" si="10"/>
        <v>1</v>
      </c>
      <c r="X19">
        <f t="shared" si="10"/>
        <v>2</v>
      </c>
      <c r="Y19">
        <f t="shared" si="10"/>
        <v>3</v>
      </c>
      <c r="Z19">
        <f>IF(AA$19-1&gt;0,AA$19-1,AA$19-1+12)</f>
        <v>4</v>
      </c>
      <c r="AA19">
        <f>IF(AB$19-1&gt;0,AB$19-1,AB$19-1+12)</f>
        <v>5</v>
      </c>
      <c r="AB19">
        <f>VLOOKUP(LEFT(AB20,3),A11:B22,2,)</f>
        <v>6</v>
      </c>
      <c r="DA19">
        <f>VLOOKUP(LEFT(DA20,3),A11:B22,2,)</f>
        <v>6</v>
      </c>
    </row>
    <row r="20" spans="1:105" x14ac:dyDescent="0.25">
      <c r="A20" t="s">
        <v>268</v>
      </c>
      <c r="B20">
        <v>10</v>
      </c>
      <c r="C20" t="s">
        <v>268</v>
      </c>
      <c r="AB20" t="str">
        <f>'Propylene EU and US'!C9</f>
        <v>Jun</v>
      </c>
      <c r="DA20" t="str">
        <f>'Propylene EU and US'!C9</f>
        <v>Jun</v>
      </c>
    </row>
    <row r="21" spans="1:105" x14ac:dyDescent="0.25">
      <c r="A21" t="s">
        <v>35</v>
      </c>
      <c r="B21">
        <v>11</v>
      </c>
      <c r="C21" t="s">
        <v>35</v>
      </c>
      <c r="D21" s="47" t="str">
        <f>ADDRESS(2,MATCH(D17,calc_MCP!$D$1:$XFD$1,0)+3,4,,"calc_MCP")</f>
        <v>calc_MCP!FC2</v>
      </c>
      <c r="E21" s="47" t="str">
        <f>ADDRESS(2,MATCH(E17,calc_MCP!$D$1:$XFD$1,0)+3,4,,"calc_MCP")</f>
        <v>calc_MCP!FC2</v>
      </c>
      <c r="F21" s="47" t="str">
        <f>ADDRESS(2,MATCH(F17,calc_MCP!$D$1:$XFD$1,0)+3,4,,"calc_MCP")</f>
        <v>calc_MCP!FC2</v>
      </c>
      <c r="G21" s="47" t="str">
        <f>ADDRESS(2,MATCH(G17,calc_MCP!$D$1:$XFD$1,0)+3,4,,"calc_MCP")</f>
        <v>calc_MCP!FC2</v>
      </c>
      <c r="H21" s="47" t="str">
        <f>ADDRESS(2,MATCH(H17,calc_MCP!$D$1:$XFD$1,0)+3,4,,"calc_MCP")</f>
        <v>calc_MCP!FC2</v>
      </c>
      <c r="I21" s="47" t="str">
        <f>ADDRESS(2,MATCH(I17,calc_MCP!$D$1:$XFD$1,0)+3,4,,"calc_MCP")</f>
        <v>calc_MCP!FC2</v>
      </c>
      <c r="J21" s="47" t="str">
        <f>ADDRESS(2,MATCH(J17,calc_MCP!$D$1:$XFD$1,0)+3,4,,"calc_MCP")</f>
        <v>calc_MCP!FC2</v>
      </c>
      <c r="K21" s="47" t="str">
        <f>ADDRESS(2,MATCH(K17,calc_MCP!$D$1:$XFD$1,0)+3,4,,"calc_MCP")</f>
        <v>calc_MCP!HB2</v>
      </c>
      <c r="L21" s="47" t="str">
        <f>ADDRESS(2,MATCH(L17,calc_MCP!$D$1:$XFD$1,0)+3,4,,"calc_MCP")</f>
        <v>calc_MCP!HB2</v>
      </c>
      <c r="M21" s="47" t="str">
        <f>ADDRESS(2,MATCH(M17,calc_MCP!$D$1:$XFD$1,0)+3,4,,"calc_MCP")</f>
        <v>calc_MCP!HB2</v>
      </c>
      <c r="N21" s="47" t="str">
        <f>ADDRESS(2,MATCH(N17,calc_MCP!$D$1:$XFD$1,0)+3,4,,"calc_MCP")</f>
        <v>calc_MCP!HB2</v>
      </c>
      <c r="O21" s="47" t="str">
        <f>ADDRESS(2,MATCH(O17,calc_MCP!$D$1:$XFD$1,0)+3,4,,"calc_MCP")</f>
        <v>calc_MCP!HB2</v>
      </c>
      <c r="P21" s="47" t="str">
        <f>ADDRESS(2,MATCH(P17,calc_MCP!$D$1:$XFD$1,0)+3,4,,"calc_MCP")</f>
        <v>calc_MCP!HB2</v>
      </c>
      <c r="Q21" s="47" t="str">
        <f>ADDRESS(2,MATCH(Q17,calc_MCP!$D$1:$XFD$1,0)+3,4,,"calc_MCP")</f>
        <v>calc_MCP!HB2</v>
      </c>
      <c r="R21" s="47" t="str">
        <f>ADDRESS(2,MATCH(R17,calc_MCP!$D$1:$XFD$1,0)+3,4,,"calc_MCP")</f>
        <v>calc_MCP!HB2</v>
      </c>
      <c r="S21" s="47" t="str">
        <f>ADDRESS(2,MATCH(S17,calc_MCP!$D$1:$XFD$1,0)+3,4,,"calc_MCP")</f>
        <v>calc_MCP!HB2</v>
      </c>
      <c r="T21" s="47" t="str">
        <f>ADDRESS(2,MATCH(T17,calc_MCP!$D$1:$XFD$1,0)+3,4,,"calc_MCP")</f>
        <v>calc_MCP!HB2</v>
      </c>
      <c r="U21" s="47" t="str">
        <f>ADDRESS(2,MATCH(U17,calc_MCP!$D$1:$XFD$1,0)+3,4,,"calc_MCP")</f>
        <v>calc_MCP!HB2</v>
      </c>
      <c r="V21" s="47" t="str">
        <f>ADDRESS(2,MATCH(V17,calc_MCP!$D$1:$XFD$1,0)+3,4,,"calc_MCP")</f>
        <v>calc_MCP!HB2</v>
      </c>
      <c r="W21" s="47" t="str">
        <f>ADDRESS(2,MATCH(W17,calc_MCP!$D$1:$XFD$1,0)+3,4,,"calc_MCP")</f>
        <v>calc_MCP!JA2</v>
      </c>
      <c r="X21" s="47" t="str">
        <f>ADDRESS(2,MATCH(X17,calc_MCP!$D$1:$XFD$1,0)+3,4,,"calc_MCP")</f>
        <v>calc_MCP!JA2</v>
      </c>
      <c r="Y21" s="47" t="str">
        <f>ADDRESS(2,MATCH(Y17,calc_MCP!$D$1:$XFD$1,0)+3,4,,"calc_MCP")</f>
        <v>calc_MCP!JA2</v>
      </c>
      <c r="Z21" s="47" t="str">
        <f>ADDRESS(2,MATCH(Z17,calc_MCP!$D$1:$XFD$1,0)+3,4,,"calc_MCP")</f>
        <v>calc_MCP!JA2</v>
      </c>
      <c r="AA21" s="47" t="str">
        <f>ADDRESS(2,MATCH(AA17,calc_MCP!$D$1:$XFD$1,0)+3,4,,"calc_MCP")</f>
        <v>calc_MCP!JA2</v>
      </c>
      <c r="AB21" s="47" t="str">
        <f>ADDRESS(2,MATCH(AB17,calc_MCP!$D$1:$XFD$1,0)+3,4,,"calc_MCP")</f>
        <v>calc_MCP!JA2</v>
      </c>
      <c r="DA21" s="47" t="str">
        <f>ADDRESS(2,MATCH(DA17,calc_MCP!$D$1:$XFD$1,0)+3,4,,"calc_MCP")</f>
        <v>calc_MCP!JA2</v>
      </c>
    </row>
    <row r="22" spans="1:105" x14ac:dyDescent="0.25">
      <c r="A22" t="s">
        <v>84</v>
      </c>
      <c r="B22">
        <v>12</v>
      </c>
      <c r="C22" t="s">
        <v>84</v>
      </c>
      <c r="D22" s="47" t="str">
        <f>ADDRESS(10,MATCH(D17,calc_MCP!$D$1:$XFD$1,1)+3,4,,"calc_MCP")</f>
        <v>calc_MCP!XEK10</v>
      </c>
      <c r="E22" s="47" t="str">
        <f>ADDRESS(10,MATCH(E17,calc_MCP!$D$1:$XFD$1,1)+3,4,,"calc_MCP")</f>
        <v>calc_MCP!XEK10</v>
      </c>
      <c r="F22" s="47" t="str">
        <f>ADDRESS(10,MATCH(F17,calc_MCP!$D$1:$XFD$1,1)+3,4,,"calc_MCP")</f>
        <v>calc_MCP!XEK10</v>
      </c>
      <c r="G22" s="47" t="str">
        <f>ADDRESS(10,MATCH(G17,calc_MCP!$D$1:$XFD$1,1)+3,4,,"calc_MCP")</f>
        <v>calc_MCP!XEK10</v>
      </c>
      <c r="H22" s="47" t="str">
        <f>ADDRESS(10,MATCH(H17,calc_MCP!$D$1:$XFD$1,1)+3,4,,"calc_MCP")</f>
        <v>calc_MCP!XEK10</v>
      </c>
      <c r="I22" s="47" t="str">
        <f>ADDRESS(10,MATCH(I17,calc_MCP!$D$1:$XFD$1,1)+3,4,,"calc_MCP")</f>
        <v>calc_MCP!XEK10</v>
      </c>
      <c r="J22" s="47" t="str">
        <f>ADDRESS(10,MATCH(J17,calc_MCP!$D$1:$XFD$1,1)+3,4,,"calc_MCP")</f>
        <v>calc_MCP!XEK10</v>
      </c>
      <c r="K22" s="47" t="str">
        <f>ADDRESS(10,MATCH(K17,calc_MCP!$D$1:$XFD$1,1)+3,4,,"calc_MCP")</f>
        <v>calc_MCP!XEK10</v>
      </c>
      <c r="L22" s="47" t="str">
        <f>ADDRESS(10,MATCH(L17,calc_MCP!$D$1:$XFD$1,1)+3,4,,"calc_MCP")</f>
        <v>calc_MCP!XEK10</v>
      </c>
      <c r="M22" s="47" t="str">
        <f>ADDRESS(10,MATCH(M17,calc_MCP!$D$1:$XFD$1,1)+3,4,,"calc_MCP")</f>
        <v>calc_MCP!XEK10</v>
      </c>
      <c r="N22" s="47" t="str">
        <f>ADDRESS(10,MATCH(N17,calc_MCP!$D$1:$XFD$1,1)+3,4,,"calc_MCP")</f>
        <v>calc_MCP!XEK10</v>
      </c>
      <c r="O22" s="47" t="str">
        <f>ADDRESS(10,MATCH(O17,calc_MCP!$D$1:$XFD$1,1)+3,4,,"calc_MCP")</f>
        <v>calc_MCP!XEK10</v>
      </c>
      <c r="P22" s="47" t="str">
        <f>ADDRESS(10,MATCH(P17,calc_MCP!$D$1:$XFD$1,1)+3,4,,"calc_MCP")</f>
        <v>calc_MCP!XEK10</v>
      </c>
      <c r="Q22" s="47" t="str">
        <f>ADDRESS(10,MATCH(Q17,calc_MCP!$D$1:$XFD$1,1)+3,4,,"calc_MCP")</f>
        <v>calc_MCP!XEK10</v>
      </c>
      <c r="R22" s="47" t="str">
        <f>ADDRESS(10,MATCH(R17,calc_MCP!$D$1:$XFD$1,1)+3,4,,"calc_MCP")</f>
        <v>calc_MCP!XEK10</v>
      </c>
      <c r="S22" s="47" t="str">
        <f>ADDRESS(10,MATCH(S17,calc_MCP!$D$1:$XFD$1,1)+3,4,,"calc_MCP")</f>
        <v>calc_MCP!XEK10</v>
      </c>
      <c r="T22" s="47" t="str">
        <f>ADDRESS(10,MATCH(T17,calc_MCP!$D$1:$XFD$1,1)+3,4,,"calc_MCP")</f>
        <v>calc_MCP!XEK10</v>
      </c>
      <c r="U22" s="47" t="str">
        <f>ADDRESS(10,MATCH(U17,calc_MCP!$D$1:$XFD$1,1)+3,4,,"calc_MCP")</f>
        <v>calc_MCP!XEK10</v>
      </c>
      <c r="V22" s="47" t="str">
        <f>ADDRESS(10,MATCH(V17,calc_MCP!$D$1:$XFD$1,1)+3,4,,"calc_MCP")</f>
        <v>calc_MCP!XEK10</v>
      </c>
      <c r="W22" s="47" t="str">
        <f>ADDRESS(10,MATCH(W17,calc_MCP!$D$1:$XFD$1,1)+3,4,,"calc_MCP")</f>
        <v>calc_MCP!XEK10</v>
      </c>
      <c r="X22" s="47" t="str">
        <f>ADDRESS(10,MATCH(X17,calc_MCP!$D$1:$XFD$1,1)+3,4,,"calc_MCP")</f>
        <v>calc_MCP!XEK10</v>
      </c>
      <c r="Y22" s="47" t="str">
        <f>ADDRESS(10,MATCH(Y17,calc_MCP!$D$1:$XFD$1,1)+3,4,,"calc_MCP")</f>
        <v>calc_MCP!XEK10</v>
      </c>
      <c r="Z22" s="47" t="str">
        <f>ADDRESS(10,MATCH(Z17,calc_MCP!$D$1:$XFD$1,1)+3,4,,"calc_MCP")</f>
        <v>calc_MCP!XEK10</v>
      </c>
      <c r="AA22" s="47" t="str">
        <f>ADDRESS(10,MATCH(AA17,calc_MCP!$D$1:$XFD$1,1)+3,4,,"calc_MCP")</f>
        <v>calc_MCP!XEK10</v>
      </c>
      <c r="AB22" s="47" t="str">
        <f>ADDRESS(10,MATCH(AB17,calc_MCP!$D$1:$XFD$1,1)+3,4,,"calc_MCP")</f>
        <v>calc_MCP!XEK10</v>
      </c>
      <c r="DA22" s="47" t="str">
        <f>ADDRESS(10,MATCH(DA17,calc_MCP!$D$1:$XFD$1,1)+3,4,,"calc_MCP")</f>
        <v>calc_MCP!XEK10</v>
      </c>
    </row>
    <row r="23" spans="1:105" ht="15.75" thickBot="1" x14ac:dyDescent="0.3">
      <c r="D23" s="4">
        <f ca="1">HLOOKUP(LEFT(D18,3),INDIRECT(D21):INDIRECT(D22),2,FALSE)</f>
        <v>1105</v>
      </c>
      <c r="E23" s="4">
        <f ca="1">HLOOKUP(LEFT(E18,3),INDIRECT(E21):INDIRECT(E22),2,FALSE)</f>
        <v>1105</v>
      </c>
      <c r="F23" s="4">
        <f ca="1">HLOOKUP(LEFT(F18,3),INDIRECT(F21):INDIRECT(F22),2,FALSE)</f>
        <v>1125</v>
      </c>
      <c r="G23" s="4">
        <f ca="1">HLOOKUP(LEFT(G18,3),INDIRECT(G21):INDIRECT(G22),2,FALSE)</f>
        <v>1095</v>
      </c>
      <c r="H23" s="4">
        <f ca="1">HLOOKUP(LEFT(H18,3),INDIRECT(H21):INDIRECT(H22),2,FALSE)</f>
        <v>1060</v>
      </c>
      <c r="I23" s="4">
        <f ca="1">HLOOKUP(LEFT(I18,3),INDIRECT(I21):INDIRECT(I22),2,FALSE)</f>
        <v>1085</v>
      </c>
      <c r="J23" s="4">
        <f ca="1">HLOOKUP(LEFT(J18,3),INDIRECT(J21):INDIRECT(J22),2,FALSE)</f>
        <v>1075</v>
      </c>
      <c r="K23" s="4">
        <f ca="1">HLOOKUP(LEFT(K18,3),INDIRECT(K21):INDIRECT(K22),2,FALSE)</f>
        <v>1075</v>
      </c>
      <c r="L23" s="4">
        <f ca="1">HLOOKUP(LEFT(L18,3),INDIRECT(L21):INDIRECT(L22),2,FALSE)</f>
        <v>1127.5</v>
      </c>
      <c r="M23" s="4">
        <f ca="1">HLOOKUP(LEFT(M18,3),INDIRECT(M21):INDIRECT(M22),2,FALSE)</f>
        <v>1135</v>
      </c>
      <c r="N23" s="4">
        <f ca="1">HLOOKUP(LEFT(N18,3),INDIRECT(N21):INDIRECT(N22),2,FALSE)</f>
        <v>1080</v>
      </c>
      <c r="O23" s="4">
        <f ca="1">HLOOKUP(LEFT(O18,3),INDIRECT(O21):INDIRECT(O22),2,FALSE)</f>
        <v>1015</v>
      </c>
      <c r="P23" s="4">
        <f ca="1">HLOOKUP(LEFT(P18,3),INDIRECT(P21):INDIRECT(P22),2,FALSE)</f>
        <v>1015</v>
      </c>
      <c r="Q23" s="4">
        <f ca="1">HLOOKUP(LEFT(Q18,3),INDIRECT(Q21):INDIRECT(Q22),2,FALSE)</f>
        <v>1015</v>
      </c>
      <c r="R23" s="4">
        <f ca="1">HLOOKUP(LEFT(R18,3),INDIRECT(R21):INDIRECT(R22),2,FALSE)</f>
        <v>1005</v>
      </c>
      <c r="S23" s="4">
        <f ca="1">HLOOKUP(LEFT(S18,3),INDIRECT(S21):INDIRECT(S22),2,FALSE)</f>
        <v>1005</v>
      </c>
      <c r="T23" s="4">
        <f ca="1">HLOOKUP(LEFT(T18,3),INDIRECT(T21):INDIRECT(T22),2,FALSE)</f>
        <v>1005</v>
      </c>
      <c r="U23" s="4">
        <f ca="1">HLOOKUP(LEFT(U18,3),INDIRECT(U21):INDIRECT(U22),2,FALSE)</f>
        <v>980</v>
      </c>
      <c r="V23" s="4">
        <f ca="1">HLOOKUP(LEFT(V18,3),INDIRECT(V21):INDIRECT(V22),2,FALSE)</f>
        <v>980</v>
      </c>
      <c r="W23" s="4">
        <f ca="1">HLOOKUP(LEFT(W18,3),INDIRECT(W21):INDIRECT(W22),2,FALSE)</f>
        <v>950</v>
      </c>
      <c r="X23" s="4">
        <f ca="1">HLOOKUP(LEFT(X18,3),INDIRECT(X21):INDIRECT(X22),2,FALSE)</f>
        <v>965</v>
      </c>
      <c r="Y23" s="4">
        <f ca="1">HLOOKUP(LEFT(Y18,3),INDIRECT(Y21):INDIRECT(Y22),2,FALSE)</f>
        <v>1000</v>
      </c>
      <c r="Z23" s="4">
        <f ca="1">HLOOKUP(LEFT(Z18,3),INDIRECT(Z21):INDIRECT(Z22),2,FALSE)</f>
        <v>1465</v>
      </c>
      <c r="AA23" s="4">
        <f ca="1">HLOOKUP(LEFT(AA18,3),INDIRECT(AA21):INDIRECT(AA22),2,FALSE)</f>
        <v>1585</v>
      </c>
      <c r="AB23" s="4">
        <f ca="1">HLOOKUP(LEFT(AB18,3),INDIRECT(AB21):INDIRECT(AB22),2,FALSE)</f>
        <v>1555</v>
      </c>
    </row>
    <row r="25" spans="1:105" x14ac:dyDescent="0.25">
      <c r="D25" s="47" t="str">
        <f t="shared" ref="D25:AA25" ca="1" si="11">ADDRESS(34,MATCH(D17,$D$34:$DE$34,0)+3,4,,"calc_MCP")</f>
        <v>calc_MCP!D34</v>
      </c>
      <c r="E25" s="47" t="str">
        <f t="shared" ca="1" si="11"/>
        <v>calc_MCP!D34</v>
      </c>
      <c r="F25" s="47" t="str">
        <f t="shared" ca="1" si="11"/>
        <v>calc_MCP!D34</v>
      </c>
      <c r="G25" s="47" t="str">
        <f t="shared" ca="1" si="11"/>
        <v>calc_MCP!D34</v>
      </c>
      <c r="H25" s="47" t="str">
        <f t="shared" ca="1" si="11"/>
        <v>calc_MCP!D34</v>
      </c>
      <c r="I25" s="47" t="str">
        <f t="shared" ca="1" si="11"/>
        <v>calc_MCP!D34</v>
      </c>
      <c r="J25" s="47" t="str">
        <f t="shared" ca="1" si="11"/>
        <v>calc_MCP!D34</v>
      </c>
      <c r="K25" s="47" t="str">
        <f t="shared" ca="1" si="11"/>
        <v>calc_MCP!AG34</v>
      </c>
      <c r="L25" s="47" t="str">
        <f t="shared" ca="1" si="11"/>
        <v>calc_MCP!AG34</v>
      </c>
      <c r="M25" s="47" t="str">
        <f t="shared" ca="1" si="11"/>
        <v>calc_MCP!AG34</v>
      </c>
      <c r="N25" s="47" t="str">
        <f t="shared" ca="1" si="11"/>
        <v>calc_MCP!AG34</v>
      </c>
      <c r="O25" s="47" t="str">
        <f t="shared" ca="1" si="11"/>
        <v>calc_MCP!AG34</v>
      </c>
      <c r="P25" s="47" t="str">
        <f t="shared" ca="1" si="11"/>
        <v>calc_MCP!AG34</v>
      </c>
      <c r="Q25" s="47" t="str">
        <f t="shared" ca="1" si="11"/>
        <v>calc_MCP!AG34</v>
      </c>
      <c r="R25" s="47" t="str">
        <f t="shared" ca="1" si="11"/>
        <v>calc_MCP!AG34</v>
      </c>
      <c r="S25" s="47" t="str">
        <f t="shared" ca="1" si="11"/>
        <v>calc_MCP!AG34</v>
      </c>
      <c r="T25" s="47" t="str">
        <f t="shared" ca="1" si="11"/>
        <v>calc_MCP!AG34</v>
      </c>
      <c r="U25" s="47" t="str">
        <f t="shared" ca="1" si="11"/>
        <v>calc_MCP!AG34</v>
      </c>
      <c r="V25" s="47" t="str">
        <f t="shared" ca="1" si="11"/>
        <v>calc_MCP!AG34</v>
      </c>
      <c r="W25" s="47" t="str">
        <f t="shared" ca="1" si="11"/>
        <v>calc_MCP!CF34</v>
      </c>
      <c r="X25" s="47" t="str">
        <f t="shared" ca="1" si="11"/>
        <v>calc_MCP!CF34</v>
      </c>
      <c r="Y25" s="47" t="str">
        <f t="shared" ca="1" si="11"/>
        <v>calc_MCP!CF34</v>
      </c>
      <c r="Z25" s="47" t="str">
        <f t="shared" ca="1" si="11"/>
        <v>calc_MCP!CF34</v>
      </c>
      <c r="AA25" s="47" t="str">
        <f t="shared" ca="1" si="11"/>
        <v>calc_MCP!CF34</v>
      </c>
      <c r="AB25" s="47" t="str">
        <f ca="1">ADDRESS(34,MATCH(AB17,$D$34:$DE$34,0)+3,4,,"calc_MCP")</f>
        <v>calc_MCP!CF34</v>
      </c>
    </row>
    <row r="26" spans="1:105" x14ac:dyDescent="0.25">
      <c r="D26" s="47" t="str">
        <f t="shared" ref="D26:AA26" ca="1" si="12">ADDRESS(36,MATCH(D17,$D$34:$DE$34,1)+3,4,,"calc_MCP")</f>
        <v>calc_MCP!AF36</v>
      </c>
      <c r="E26" s="47" t="str">
        <f t="shared" ca="1" si="12"/>
        <v>calc_MCP!AF36</v>
      </c>
      <c r="F26" s="47" t="str">
        <f t="shared" ca="1" si="12"/>
        <v>calc_MCP!AF36</v>
      </c>
      <c r="G26" s="47" t="str">
        <f t="shared" ca="1" si="12"/>
        <v>calc_MCP!AF36</v>
      </c>
      <c r="H26" s="47" t="str">
        <f t="shared" ca="1" si="12"/>
        <v>calc_MCP!AF36</v>
      </c>
      <c r="I26" s="47" t="str">
        <f t="shared" ca="1" si="12"/>
        <v>calc_MCP!AF36</v>
      </c>
      <c r="J26" s="47" t="str">
        <f t="shared" ca="1" si="12"/>
        <v>calc_MCP!AF36</v>
      </c>
      <c r="K26" s="47" t="str">
        <f t="shared" ca="1" si="12"/>
        <v>calc_MCP!CE36</v>
      </c>
      <c r="L26" s="47" t="str">
        <f t="shared" ca="1" si="12"/>
        <v>calc_MCP!CE36</v>
      </c>
      <c r="M26" s="47" t="str">
        <f t="shared" ca="1" si="12"/>
        <v>calc_MCP!CE36</v>
      </c>
      <c r="N26" s="47" t="str">
        <f t="shared" ca="1" si="12"/>
        <v>calc_MCP!CE36</v>
      </c>
      <c r="O26" s="47" t="str">
        <f t="shared" ca="1" si="12"/>
        <v>calc_MCP!CE36</v>
      </c>
      <c r="P26" s="47" t="str">
        <f t="shared" ca="1" si="12"/>
        <v>calc_MCP!CE36</v>
      </c>
      <c r="Q26" s="47" t="str">
        <f t="shared" ca="1" si="12"/>
        <v>calc_MCP!CE36</v>
      </c>
      <c r="R26" s="47" t="str">
        <f t="shared" ca="1" si="12"/>
        <v>calc_MCP!CE36</v>
      </c>
      <c r="S26" s="47" t="str">
        <f t="shared" ca="1" si="12"/>
        <v>calc_MCP!CE36</v>
      </c>
      <c r="T26" s="47" t="str">
        <f t="shared" ca="1" si="12"/>
        <v>calc_MCP!CE36</v>
      </c>
      <c r="U26" s="47" t="str">
        <f t="shared" ca="1" si="12"/>
        <v>calc_MCP!CE36</v>
      </c>
      <c r="V26" s="47" t="str">
        <f t="shared" ca="1" si="12"/>
        <v>calc_MCP!CE36</v>
      </c>
      <c r="W26" s="47" t="str">
        <f t="shared" ca="1" si="12"/>
        <v>calc_MCP!DD36</v>
      </c>
      <c r="X26" s="47" t="str">
        <f t="shared" ca="1" si="12"/>
        <v>calc_MCP!DD36</v>
      </c>
      <c r="Y26" s="47" t="str">
        <f t="shared" ca="1" si="12"/>
        <v>calc_MCP!DD36</v>
      </c>
      <c r="Z26" s="47" t="str">
        <f t="shared" ca="1" si="12"/>
        <v>calc_MCP!DD36</v>
      </c>
      <c r="AA26" s="47" t="str">
        <f t="shared" ca="1" si="12"/>
        <v>calc_MCP!DD36</v>
      </c>
      <c r="AB26" s="47" t="str">
        <f ca="1">ADDRESS(36,MATCH(AB17,$D$34:$DE$34,1)+3,4,,"calc_MCP")</f>
        <v>calc_MCP!DD36</v>
      </c>
    </row>
    <row r="27" spans="1:105" ht="15.75" thickBot="1" x14ac:dyDescent="0.3">
      <c r="D27" s="4" t="e">
        <f ca="1">HLOOKUP(LEFT(D18,3),INDIRECT(D25):INDIRECT(D26),3,FALSE)</f>
        <v>#N/A</v>
      </c>
      <c r="E27" s="4" t="str">
        <f ca="1">HLOOKUP(LEFT(E18,3),INDIRECT(E21):INDIRECT(E22),5,FALSE)</f>
        <v>1,150—1,250</v>
      </c>
      <c r="F27" s="4" t="str">
        <f ca="1">HLOOKUP(LEFT(F18,3),INDIRECT(F21):INDIRECT(F22),5,FALSE)</f>
        <v>1,200—1,270</v>
      </c>
      <c r="G27" s="4" t="e">
        <f ca="1">HLOOKUP(LEFT(G18,3),INDIRECT(G21):INDIRECT(G22),5,FALSE)</f>
        <v>#REF!</v>
      </c>
      <c r="H27" s="4" t="str">
        <f ca="1">HLOOKUP(LEFT(H18,3),INDIRECT(H21):INDIRECT(H22),5,FALSE)</f>
        <v>1,180—1,250</v>
      </c>
      <c r="I27" s="4" t="str">
        <f ca="1">HLOOKUP(LEFT(I18,3),INDIRECT(I21):INDIRECT(I22),5,FALSE)</f>
        <v>1,100—1,180</v>
      </c>
      <c r="J27" s="4" t="str">
        <f ca="1">HLOOKUP(LEFT(J18,3),INDIRECT(J21):INDIRECT(J22),5,FALSE)</f>
        <v>1,060—1,160</v>
      </c>
      <c r="K27" s="4" t="str">
        <f ca="1">HLOOKUP(LEFT(K18,3),INDIRECT(K21):INDIRECT(K22),5,FALSE)</f>
        <v>1,060—1,150</v>
      </c>
      <c r="L27" s="4" t="str">
        <f ca="1">HLOOKUP(LEFT(L18,3),INDIRECT(L21):INDIRECT(L22),5,FALSE)</f>
        <v>1,070—1,200</v>
      </c>
      <c r="M27" s="4" t="str">
        <f ca="1">HLOOKUP(LEFT(M18,3),INDIRECT(M21):INDIRECT(M22),5,FALSE)</f>
        <v>1,100—1,230</v>
      </c>
      <c r="N27" s="4" t="str">
        <f ca="1">HLOOKUP(LEFT(N18,3),INDIRECT(N21):INDIRECT(N22),5,FALSE)</f>
        <v>1,100—1,200</v>
      </c>
      <c r="O27" s="4" t="str">
        <f ca="1">HLOOKUP(LEFT(O18,3),INDIRECT(O21):INDIRECT(O22),5,FALSE)</f>
        <v>1,020—1,100</v>
      </c>
      <c r="P27" s="4" t="str">
        <f ca="1">HLOOKUP(LEFT(P18,3),INDIRECT(P21):INDIRECT(P22),5,FALSE)</f>
        <v>1,000—1,080</v>
      </c>
      <c r="Q27" s="4" t="str">
        <f ca="1">HLOOKUP(LEFT(Q18,3),INDIRECT(Q21):INDIRECT(Q22),5,FALSE)</f>
        <v>980—1,050</v>
      </c>
      <c r="R27" s="4" t="str">
        <f ca="1">HLOOKUP(LEFT(R18,3),INDIRECT(R21):INDIRECT(R22),5,FALSE)</f>
        <v>960—1,030</v>
      </c>
      <c r="S27" s="4" t="str">
        <f ca="1">HLOOKUP(LEFT(S18,3),INDIRECT(S21):INDIRECT(S22),5,FALSE)</f>
        <v>960—1,040</v>
      </c>
      <c r="T27" s="4" t="str">
        <f ca="1">HLOOKUP(LEFT(T18,3),INDIRECT(T21):INDIRECT(T22),5,FALSE)</f>
        <v>920—1,000</v>
      </c>
      <c r="U27" s="4" t="str">
        <f ca="1">HLOOKUP(LEFT(U18,3),INDIRECT(U21):INDIRECT(U22),5,FALSE)</f>
        <v>870—960</v>
      </c>
      <c r="V27" s="4" t="str">
        <f ca="1">HLOOKUP(LEFT(V18,3),INDIRECT(V21):INDIRECT(V22),5,FALSE)</f>
        <v>870—960</v>
      </c>
      <c r="W27" s="4" t="str">
        <f ca="1">HLOOKUP(LEFT(W18,3),INDIRECT(W21):INDIRECT(W22),5,FALSE)</f>
        <v>890—970</v>
      </c>
      <c r="X27" s="4" t="str">
        <f ca="1">HLOOKUP(LEFT(X18,3),INDIRECT(X21):INDIRECT(X22),5,FALSE)</f>
        <v>890—970</v>
      </c>
      <c r="Y27" s="4" t="str">
        <f ca="1">HLOOKUP(LEFT(Y18,3),INDIRECT(Y21):INDIRECT(Y22),5,FALSE)</f>
        <v>900—1,000</v>
      </c>
      <c r="Z27" s="4" t="str">
        <f ca="1">HLOOKUP(LEFT(Z18,3),INDIRECT(Z21):INDIRECT(Z22),5,FALSE)</f>
        <v>1,700—2,000</v>
      </c>
      <c r="AA27" s="4" t="str">
        <f ca="1">HLOOKUP(LEFT(AA18,3),INDIRECT(AA21):INDIRECT(AA22),5,FALSE)</f>
        <v>1,750—2,050</v>
      </c>
      <c r="AB27" s="4" t="e">
        <f ca="1">HLOOKUP(LEFT(AB18,3),INDIRECT(AB25):INDIRECT(AB26),2,FALSE)</f>
        <v>#N/A</v>
      </c>
    </row>
    <row r="29" spans="1:105" x14ac:dyDescent="0.25">
      <c r="D29" s="47"/>
    </row>
    <row r="30" spans="1:105" x14ac:dyDescent="0.25">
      <c r="AB30">
        <f>MATCH(AB17,calc_MCP!$D$1:$XFD$1,0)</f>
        <v>258</v>
      </c>
    </row>
    <row r="31" spans="1:105" x14ac:dyDescent="0.25">
      <c r="AB31">
        <f ca="1">MATCH(AB17,D34:DE34,0)</f>
        <v>81</v>
      </c>
      <c r="DA31">
        <f>MATCH(DA17,calc_MCP!$D$1:$XFD$1,0)</f>
        <v>258</v>
      </c>
    </row>
    <row r="32" spans="1:105" x14ac:dyDescent="0.25">
      <c r="DA32">
        <f ca="1">MATCH(LEFT(DA18,3),INDIRECT(DA$21):$XFD$2,0)</f>
        <v>22</v>
      </c>
    </row>
    <row r="33" spans="4:109" x14ac:dyDescent="0.25">
      <c r="D33">
        <f t="shared" ref="D33:BO33" ca="1" si="13">E33-1</f>
        <v>178</v>
      </c>
      <c r="E33">
        <f t="shared" ca="1" si="13"/>
        <v>179</v>
      </c>
      <c r="F33">
        <f t="shared" ca="1" si="13"/>
        <v>180</v>
      </c>
      <c r="G33">
        <f t="shared" ca="1" si="13"/>
        <v>181</v>
      </c>
      <c r="H33">
        <f t="shared" ca="1" si="13"/>
        <v>182</v>
      </c>
      <c r="I33">
        <f t="shared" ca="1" si="13"/>
        <v>183</v>
      </c>
      <c r="J33">
        <f t="shared" ca="1" si="13"/>
        <v>184</v>
      </c>
      <c r="K33">
        <f t="shared" ca="1" si="13"/>
        <v>185</v>
      </c>
      <c r="L33">
        <f t="shared" ca="1" si="13"/>
        <v>186</v>
      </c>
      <c r="M33">
        <f t="shared" ca="1" si="13"/>
        <v>187</v>
      </c>
      <c r="N33">
        <f t="shared" ca="1" si="13"/>
        <v>188</v>
      </c>
      <c r="O33">
        <f t="shared" ca="1" si="13"/>
        <v>189</v>
      </c>
      <c r="P33">
        <f t="shared" ca="1" si="13"/>
        <v>190</v>
      </c>
      <c r="Q33">
        <f t="shared" ca="1" si="13"/>
        <v>191</v>
      </c>
      <c r="R33">
        <f t="shared" ca="1" si="13"/>
        <v>192</v>
      </c>
      <c r="S33">
        <f t="shared" ca="1" si="13"/>
        <v>193</v>
      </c>
      <c r="T33">
        <f t="shared" ca="1" si="13"/>
        <v>194</v>
      </c>
      <c r="U33">
        <f t="shared" ca="1" si="13"/>
        <v>195</v>
      </c>
      <c r="V33">
        <f t="shared" ca="1" si="13"/>
        <v>196</v>
      </c>
      <c r="W33">
        <f t="shared" ca="1" si="13"/>
        <v>197</v>
      </c>
      <c r="X33">
        <f t="shared" ca="1" si="13"/>
        <v>198</v>
      </c>
      <c r="Y33">
        <f t="shared" ca="1" si="13"/>
        <v>199</v>
      </c>
      <c r="Z33">
        <f t="shared" ca="1" si="13"/>
        <v>200</v>
      </c>
      <c r="AA33">
        <f t="shared" ca="1" si="13"/>
        <v>201</v>
      </c>
      <c r="AB33">
        <f t="shared" ca="1" si="13"/>
        <v>202</v>
      </c>
      <c r="AC33">
        <f t="shared" ca="1" si="13"/>
        <v>203</v>
      </c>
      <c r="AD33">
        <f t="shared" ca="1" si="13"/>
        <v>204</v>
      </c>
      <c r="AE33">
        <f t="shared" ca="1" si="13"/>
        <v>205</v>
      </c>
      <c r="AF33">
        <f t="shared" ca="1" si="13"/>
        <v>206</v>
      </c>
      <c r="AG33">
        <f t="shared" ca="1" si="13"/>
        <v>207</v>
      </c>
      <c r="AH33">
        <f t="shared" ca="1" si="13"/>
        <v>208</v>
      </c>
      <c r="AI33">
        <f t="shared" ca="1" si="13"/>
        <v>209</v>
      </c>
      <c r="AJ33">
        <f t="shared" ca="1" si="13"/>
        <v>210</v>
      </c>
      <c r="AK33">
        <f t="shared" ca="1" si="13"/>
        <v>211</v>
      </c>
      <c r="AL33">
        <f t="shared" ca="1" si="13"/>
        <v>212</v>
      </c>
      <c r="AM33">
        <f t="shared" ca="1" si="13"/>
        <v>213</v>
      </c>
      <c r="AN33">
        <f t="shared" ca="1" si="13"/>
        <v>214</v>
      </c>
      <c r="AO33">
        <f t="shared" ca="1" si="13"/>
        <v>215</v>
      </c>
      <c r="AP33">
        <f t="shared" ca="1" si="13"/>
        <v>216</v>
      </c>
      <c r="AQ33">
        <f t="shared" ca="1" si="13"/>
        <v>217</v>
      </c>
      <c r="AR33">
        <f t="shared" ca="1" si="13"/>
        <v>218</v>
      </c>
      <c r="AS33">
        <f t="shared" ca="1" si="13"/>
        <v>219</v>
      </c>
      <c r="AT33">
        <f t="shared" ca="1" si="13"/>
        <v>220</v>
      </c>
      <c r="AU33">
        <f t="shared" ca="1" si="13"/>
        <v>221</v>
      </c>
      <c r="AV33">
        <f t="shared" ca="1" si="13"/>
        <v>222</v>
      </c>
      <c r="AW33">
        <f t="shared" ca="1" si="13"/>
        <v>223</v>
      </c>
      <c r="AX33">
        <f t="shared" ca="1" si="13"/>
        <v>224</v>
      </c>
      <c r="AY33">
        <f t="shared" ca="1" si="13"/>
        <v>225</v>
      </c>
      <c r="AZ33">
        <f t="shared" ca="1" si="13"/>
        <v>226</v>
      </c>
      <c r="BA33">
        <f t="shared" ca="1" si="13"/>
        <v>227</v>
      </c>
      <c r="BB33">
        <f t="shared" ca="1" si="13"/>
        <v>228</v>
      </c>
      <c r="BC33">
        <f t="shared" ca="1" si="13"/>
        <v>229</v>
      </c>
      <c r="BD33">
        <f t="shared" ca="1" si="13"/>
        <v>230</v>
      </c>
      <c r="BE33">
        <f t="shared" ca="1" si="13"/>
        <v>231</v>
      </c>
      <c r="BF33">
        <f t="shared" ca="1" si="13"/>
        <v>232</v>
      </c>
      <c r="BG33">
        <f t="shared" ca="1" si="13"/>
        <v>233</v>
      </c>
      <c r="BH33">
        <f t="shared" ca="1" si="13"/>
        <v>234</v>
      </c>
      <c r="BI33">
        <f t="shared" ca="1" si="13"/>
        <v>235</v>
      </c>
      <c r="BJ33">
        <f t="shared" ca="1" si="13"/>
        <v>236</v>
      </c>
      <c r="BK33">
        <f t="shared" ca="1" si="13"/>
        <v>237</v>
      </c>
      <c r="BL33">
        <f t="shared" ca="1" si="13"/>
        <v>238</v>
      </c>
      <c r="BM33">
        <f t="shared" ca="1" si="13"/>
        <v>239</v>
      </c>
      <c r="BN33">
        <f t="shared" ca="1" si="13"/>
        <v>240</v>
      </c>
      <c r="BO33">
        <f t="shared" ca="1" si="13"/>
        <v>241</v>
      </c>
      <c r="BP33">
        <f t="shared" ref="BP33:CT33" ca="1" si="14">BQ33-1</f>
        <v>242</v>
      </c>
      <c r="BQ33">
        <f t="shared" ca="1" si="14"/>
        <v>243</v>
      </c>
      <c r="BR33">
        <f t="shared" ca="1" si="14"/>
        <v>244</v>
      </c>
      <c r="BS33">
        <f t="shared" ca="1" si="14"/>
        <v>245</v>
      </c>
      <c r="BT33">
        <f t="shared" ca="1" si="14"/>
        <v>246</v>
      </c>
      <c r="BU33">
        <f t="shared" ca="1" si="14"/>
        <v>247</v>
      </c>
      <c r="BV33">
        <f t="shared" ca="1" si="14"/>
        <v>248</v>
      </c>
      <c r="BW33">
        <f t="shared" ca="1" si="14"/>
        <v>249</v>
      </c>
      <c r="BX33">
        <f t="shared" ca="1" si="14"/>
        <v>250</v>
      </c>
      <c r="BY33">
        <f t="shared" ca="1" si="14"/>
        <v>251</v>
      </c>
      <c r="BZ33">
        <f t="shared" ca="1" si="14"/>
        <v>252</v>
      </c>
      <c r="CA33">
        <f t="shared" ca="1" si="14"/>
        <v>253</v>
      </c>
      <c r="CB33">
        <f t="shared" ca="1" si="14"/>
        <v>254</v>
      </c>
      <c r="CC33">
        <f t="shared" ca="1" si="14"/>
        <v>255</v>
      </c>
      <c r="CD33">
        <f t="shared" ca="1" si="14"/>
        <v>256</v>
      </c>
      <c r="CE33">
        <f t="shared" ca="1" si="14"/>
        <v>257</v>
      </c>
      <c r="CF33">
        <f t="shared" ca="1" si="14"/>
        <v>258</v>
      </c>
      <c r="CG33">
        <f t="shared" ca="1" si="14"/>
        <v>259</v>
      </c>
      <c r="CH33">
        <f t="shared" ca="1" si="14"/>
        <v>260</v>
      </c>
      <c r="CI33">
        <f t="shared" ca="1" si="14"/>
        <v>261</v>
      </c>
      <c r="CJ33">
        <f t="shared" ca="1" si="14"/>
        <v>262</v>
      </c>
      <c r="CK33">
        <f t="shared" ca="1" si="14"/>
        <v>263</v>
      </c>
      <c r="CL33">
        <f t="shared" ca="1" si="14"/>
        <v>264</v>
      </c>
      <c r="CM33">
        <f t="shared" ca="1" si="14"/>
        <v>265</v>
      </c>
      <c r="CN33">
        <f t="shared" ca="1" si="14"/>
        <v>266</v>
      </c>
      <c r="CO33">
        <f t="shared" ca="1" si="14"/>
        <v>267</v>
      </c>
      <c r="CP33">
        <f t="shared" ca="1" si="14"/>
        <v>268</v>
      </c>
      <c r="CQ33">
        <f t="shared" ca="1" si="14"/>
        <v>269</v>
      </c>
      <c r="CR33">
        <f t="shared" ca="1" si="14"/>
        <v>270</v>
      </c>
      <c r="CS33">
        <f t="shared" ca="1" si="14"/>
        <v>271</v>
      </c>
      <c r="CT33">
        <f t="shared" ca="1" si="14"/>
        <v>272</v>
      </c>
      <c r="CU33">
        <f t="shared" ref="CU33:CY33" ca="1" si="15">CV33-1</f>
        <v>273</v>
      </c>
      <c r="CV33">
        <f t="shared" ca="1" si="15"/>
        <v>274</v>
      </c>
      <c r="CW33">
        <f t="shared" ca="1" si="15"/>
        <v>275</v>
      </c>
      <c r="CX33">
        <f t="shared" ca="1" si="15"/>
        <v>276</v>
      </c>
      <c r="CY33">
        <f t="shared" ca="1" si="15"/>
        <v>277</v>
      </c>
      <c r="CZ33">
        <f ca="1">DA33-1</f>
        <v>278</v>
      </c>
      <c r="DA33">
        <f ca="1">DA31+DA32-1</f>
        <v>279</v>
      </c>
      <c r="DB33">
        <f ca="1">DA33+1</f>
        <v>280</v>
      </c>
      <c r="DC33">
        <f t="shared" ref="DC33:DE33" ca="1" si="16">DB33+1</f>
        <v>281</v>
      </c>
      <c r="DD33">
        <f t="shared" ca="1" si="16"/>
        <v>282</v>
      </c>
      <c r="DE33">
        <f t="shared" ca="1" si="16"/>
        <v>283</v>
      </c>
    </row>
    <row r="34" spans="4:109" ht="13.15" customHeight="1" x14ac:dyDescent="0.25">
      <c r="D34">
        <f ca="1">INDEX(calc_MCP!$D$1:$XFD$6,1,D33)</f>
        <v>2024</v>
      </c>
      <c r="E34">
        <f ca="1">INDEX(calc_MCP!$D$1:$XFD$6,1,E33)</f>
        <v>2024</v>
      </c>
      <c r="F34">
        <f ca="1">INDEX(calc_MCP!$D$1:$XFD$6,1,F33)</f>
        <v>2024</v>
      </c>
      <c r="G34">
        <f ca="1">INDEX(calc_MCP!$D$1:$XFD$6,1,G33)</f>
        <v>2024</v>
      </c>
      <c r="H34">
        <f ca="1">INDEX(calc_MCP!$D$1:$XFD$6,1,H33)</f>
        <v>2024</v>
      </c>
      <c r="I34">
        <f ca="1">INDEX(calc_MCP!$D$1:$XFD$6,1,I33)</f>
        <v>2024</v>
      </c>
      <c r="J34">
        <f ca="1">INDEX(calc_MCP!$D$1:$XFD$6,1,J33)</f>
        <v>2024</v>
      </c>
      <c r="K34">
        <f ca="1">INDEX(calc_MCP!$D$1:$XFD$6,1,K33)</f>
        <v>2024</v>
      </c>
      <c r="L34">
        <f ca="1">INDEX(calc_MCP!$D$1:$XFD$6,1,L33)</f>
        <v>2024</v>
      </c>
      <c r="M34">
        <f ca="1">INDEX(calc_MCP!$D$1:$XFD$6,1,M33)</f>
        <v>2024</v>
      </c>
      <c r="N34">
        <f ca="1">INDEX(calc_MCP!$D$1:$XFD$6,1,N33)</f>
        <v>2024</v>
      </c>
      <c r="O34">
        <f ca="1">INDEX(calc_MCP!$D$1:$XFD$6,1,O33)</f>
        <v>2024</v>
      </c>
      <c r="P34">
        <f ca="1">INDEX(calc_MCP!$D$1:$XFD$6,1,P33)</f>
        <v>2024</v>
      </c>
      <c r="Q34">
        <f ca="1">INDEX(calc_MCP!$D$1:$XFD$6,1,Q33)</f>
        <v>2024</v>
      </c>
      <c r="R34">
        <f ca="1">INDEX(calc_MCP!$D$1:$XFD$6,1,R33)</f>
        <v>2024</v>
      </c>
      <c r="S34">
        <f ca="1">INDEX(calc_MCP!$D$1:$XFD$6,1,S33)</f>
        <v>2024</v>
      </c>
      <c r="T34">
        <f ca="1">INDEX(calc_MCP!$D$1:$XFD$6,1,T33)</f>
        <v>2024</v>
      </c>
      <c r="U34">
        <f ca="1">INDEX(calc_MCP!$D$1:$XFD$6,1,U33)</f>
        <v>2024</v>
      </c>
      <c r="V34">
        <f ca="1">INDEX(calc_MCP!$D$1:$XFD$6,1,V33)</f>
        <v>2024</v>
      </c>
      <c r="W34">
        <f ca="1">INDEX(calc_MCP!$D$1:$XFD$6,1,W33)</f>
        <v>2024</v>
      </c>
      <c r="X34">
        <f ca="1">INDEX(calc_MCP!$D$1:$XFD$6,1,X33)</f>
        <v>2024</v>
      </c>
      <c r="Y34">
        <f ca="1">INDEX(calc_MCP!$D$1:$XFD$6,1,Y33)</f>
        <v>2024</v>
      </c>
      <c r="Z34">
        <f ca="1">INDEX(calc_MCP!$D$1:$XFD$6,1,Z33)</f>
        <v>2024</v>
      </c>
      <c r="AA34">
        <f ca="1">INDEX(calc_MCP!$D$1:$XFD$6,1,AA33)</f>
        <v>2024</v>
      </c>
      <c r="AB34">
        <f ca="1">INDEX(calc_MCP!$D$1:$XFD$6,1,AB33)</f>
        <v>2024</v>
      </c>
      <c r="AC34">
        <f ca="1">INDEX(calc_MCP!$D$1:$XFD$6,1,AC33)</f>
        <v>2024</v>
      </c>
      <c r="AD34">
        <f ca="1">INDEX(calc_MCP!$D$1:$XFD$6,1,AD33)</f>
        <v>2024</v>
      </c>
      <c r="AE34">
        <f ca="1">INDEX(calc_MCP!$D$1:$XFD$6,1,AE33)</f>
        <v>2024</v>
      </c>
      <c r="AF34">
        <f ca="1">INDEX(calc_MCP!$D$1:$XFD$6,1,AF33)</f>
        <v>2024</v>
      </c>
      <c r="AG34">
        <f ca="1">INDEX(calc_MCP!$D$1:$XFD$6,1,AG33)</f>
        <v>2025</v>
      </c>
      <c r="AH34">
        <f ca="1">INDEX(calc_MCP!$D$1:$XFD$6,1,AH33)</f>
        <v>2025</v>
      </c>
      <c r="AI34">
        <f ca="1">INDEX(calc_MCP!$D$1:$XFD$6,1,AI33)</f>
        <v>2025</v>
      </c>
      <c r="AJ34">
        <f ca="1">INDEX(calc_MCP!$D$1:$XFD$6,1,AJ33)</f>
        <v>2025</v>
      </c>
      <c r="AK34">
        <f ca="1">INDEX(calc_MCP!$D$1:$XFD$6,1,AK33)</f>
        <v>2025</v>
      </c>
      <c r="AL34">
        <f ca="1">INDEX(calc_MCP!$D$1:$XFD$6,1,AL33)</f>
        <v>2025</v>
      </c>
      <c r="AM34">
        <f ca="1">INDEX(calc_MCP!$D$1:$XFD$6,1,AM33)</f>
        <v>2025</v>
      </c>
      <c r="AN34">
        <f ca="1">INDEX(calc_MCP!$D$1:$XFD$6,1,AN33)</f>
        <v>2025</v>
      </c>
      <c r="AO34">
        <f ca="1">INDEX(calc_MCP!$D$1:$XFD$6,1,AO33)</f>
        <v>2025</v>
      </c>
      <c r="AP34">
        <f ca="1">INDEX(calc_MCP!$D$1:$XFD$6,1,AP33)</f>
        <v>2025</v>
      </c>
      <c r="AQ34">
        <f ca="1">INDEX(calc_MCP!$D$1:$XFD$6,1,AQ33)</f>
        <v>2025</v>
      </c>
      <c r="AR34">
        <f ca="1">INDEX(calc_MCP!$D$1:$XFD$6,1,AR33)</f>
        <v>2025</v>
      </c>
      <c r="AS34">
        <f ca="1">INDEX(calc_MCP!$D$1:$XFD$6,1,AS33)</f>
        <v>2025</v>
      </c>
      <c r="AT34">
        <f ca="1">INDEX(calc_MCP!$D$1:$XFD$6,1,AT33)</f>
        <v>2025</v>
      </c>
      <c r="AU34">
        <f ca="1">INDEX(calc_MCP!$D$1:$XFD$6,1,AU33)</f>
        <v>2025</v>
      </c>
      <c r="AV34">
        <f ca="1">INDEX(calc_MCP!$D$1:$XFD$6,1,AV33)</f>
        <v>2025</v>
      </c>
      <c r="AW34">
        <f ca="1">INDEX(calc_MCP!$D$1:$XFD$6,1,AW33)</f>
        <v>2025</v>
      </c>
      <c r="AX34">
        <f ca="1">INDEX(calc_MCP!$D$1:$XFD$6,1,AX33)</f>
        <v>2025</v>
      </c>
      <c r="AY34">
        <f ca="1">INDEX(calc_MCP!$D$1:$XFD$6,1,AY33)</f>
        <v>2025</v>
      </c>
      <c r="AZ34">
        <f ca="1">INDEX(calc_MCP!$D$1:$XFD$6,1,AZ33)</f>
        <v>2025</v>
      </c>
      <c r="BA34">
        <f ca="1">INDEX(calc_MCP!$D$1:$XFD$6,1,BA33)</f>
        <v>2025</v>
      </c>
      <c r="BB34">
        <f ca="1">INDEX(calc_MCP!$D$1:$XFD$6,1,BB33)</f>
        <v>2025</v>
      </c>
      <c r="BC34">
        <f ca="1">INDEX(calc_MCP!$D$1:$XFD$6,1,BC33)</f>
        <v>2025</v>
      </c>
      <c r="BD34">
        <f ca="1">INDEX(calc_MCP!$D$1:$XFD$6,1,BD33)</f>
        <v>2025</v>
      </c>
      <c r="BE34">
        <f ca="1">INDEX(calc_MCP!$D$1:$XFD$6,1,BE33)</f>
        <v>2025</v>
      </c>
      <c r="BF34">
        <f ca="1">INDEX(calc_MCP!$D$1:$XFD$6,1,BF33)</f>
        <v>2025</v>
      </c>
      <c r="BG34">
        <f ca="1">INDEX(calc_MCP!$D$1:$XFD$6,1,BG33)</f>
        <v>2025</v>
      </c>
      <c r="BH34">
        <f ca="1">INDEX(calc_MCP!$D$1:$XFD$6,1,BH33)</f>
        <v>2025</v>
      </c>
      <c r="BI34">
        <f ca="1">INDEX(calc_MCP!$D$1:$XFD$6,1,BI33)</f>
        <v>2025</v>
      </c>
      <c r="BJ34">
        <f ca="1">INDEX(calc_MCP!$D$1:$XFD$6,1,BJ33)</f>
        <v>2025</v>
      </c>
      <c r="BK34">
        <f ca="1">INDEX(calc_MCP!$D$1:$XFD$6,1,BK33)</f>
        <v>2025</v>
      </c>
      <c r="BL34">
        <f ca="1">INDEX(calc_MCP!$D$1:$XFD$6,1,BL33)</f>
        <v>2025</v>
      </c>
      <c r="BM34">
        <f ca="1">INDEX(calc_MCP!$D$1:$XFD$6,1,BM33)</f>
        <v>2025</v>
      </c>
      <c r="BN34">
        <f ca="1">INDEX(calc_MCP!$D$1:$XFD$6,1,BN33)</f>
        <v>2025</v>
      </c>
      <c r="BO34">
        <f ca="1">INDEX(calc_MCP!$D$1:$XFD$6,1,BO33)</f>
        <v>2025</v>
      </c>
      <c r="BP34">
        <f ca="1">INDEX(calc_MCP!$D$1:$XFD$6,1,BP33)</f>
        <v>2025</v>
      </c>
      <c r="BQ34">
        <f ca="1">INDEX(calc_MCP!$D$1:$XFD$6,1,BQ33)</f>
        <v>2025</v>
      </c>
      <c r="BR34">
        <f ca="1">INDEX(calc_MCP!$D$1:$XFD$6,1,BR33)</f>
        <v>2025</v>
      </c>
      <c r="BS34">
        <f ca="1">INDEX(calc_MCP!$D$1:$XFD$6,1,BS33)</f>
        <v>2025</v>
      </c>
      <c r="BT34">
        <f ca="1">INDEX(calc_MCP!$D$1:$XFD$6,1,BT33)</f>
        <v>2025</v>
      </c>
      <c r="BU34">
        <f ca="1">INDEX(calc_MCP!$D$1:$XFD$6,1,BU33)</f>
        <v>2025</v>
      </c>
      <c r="BV34">
        <f ca="1">INDEX(calc_MCP!$D$1:$XFD$6,1,BV33)</f>
        <v>2025</v>
      </c>
      <c r="BW34">
        <f ca="1">INDEX(calc_MCP!$D$1:$XFD$6,1,BW33)</f>
        <v>2025</v>
      </c>
      <c r="BX34">
        <f ca="1">INDEX(calc_MCP!$D$1:$XFD$6,1,BX33)</f>
        <v>2025</v>
      </c>
      <c r="BY34">
        <f ca="1">INDEX(calc_MCP!$D$1:$XFD$6,1,BY33)</f>
        <v>2025</v>
      </c>
      <c r="BZ34">
        <f ca="1">INDEX(calc_MCP!$D$1:$XFD$6,1,BZ33)</f>
        <v>2025</v>
      </c>
      <c r="CA34">
        <f ca="1">INDEX(calc_MCP!$D$1:$XFD$6,1,CA33)</f>
        <v>2025</v>
      </c>
      <c r="CB34">
        <f ca="1">INDEX(calc_MCP!$D$1:$XFD$6,1,CB33)</f>
        <v>2025</v>
      </c>
      <c r="CC34">
        <f ca="1">INDEX(calc_MCP!$D$1:$XFD$6,1,CC33)</f>
        <v>2025</v>
      </c>
      <c r="CD34">
        <f ca="1">INDEX(calc_MCP!$D$1:$XFD$6,1,CD33)</f>
        <v>2025</v>
      </c>
      <c r="CE34">
        <f ca="1">INDEX(calc_MCP!$D$1:$XFD$6,1,CE33)</f>
        <v>2025</v>
      </c>
      <c r="CF34">
        <f ca="1">INDEX(calc_MCP!$D$1:$XFD$6,1,CF33)</f>
        <v>2026</v>
      </c>
      <c r="CG34">
        <f ca="1">INDEX(calc_MCP!$D$1:$XFD$6,1,CG33)</f>
        <v>2026</v>
      </c>
      <c r="CH34">
        <f ca="1">INDEX(calc_MCP!$D$1:$XFD$6,1,CH33)</f>
        <v>2026</v>
      </c>
      <c r="CI34">
        <f ca="1">INDEX(calc_MCP!$D$1:$XFD$6,1,CI33)</f>
        <v>2026</v>
      </c>
      <c r="CJ34">
        <f ca="1">INDEX(calc_MCP!$D$1:$XFD$6,1,CJ33)</f>
        <v>2026</v>
      </c>
      <c r="CK34">
        <f ca="1">INDEX(calc_MCP!$D$1:$XFD$6,1,CK33)</f>
        <v>2026</v>
      </c>
      <c r="CL34">
        <f ca="1">INDEX(calc_MCP!$D$1:$XFD$6,1,CL33)</f>
        <v>2026</v>
      </c>
      <c r="CM34">
        <f ca="1">INDEX(calc_MCP!$D$1:$XFD$6,1,CM33)</f>
        <v>2026</v>
      </c>
      <c r="CN34">
        <f ca="1">INDEX(calc_MCP!$D$1:$XFD$6,1,CN33)</f>
        <v>2026</v>
      </c>
      <c r="CO34">
        <f ca="1">INDEX(calc_MCP!$D$1:$XFD$6,1,CO33)</f>
        <v>2026</v>
      </c>
      <c r="CP34">
        <f ca="1">INDEX(calc_MCP!$D$1:$XFD$6,1,CP33)</f>
        <v>2026</v>
      </c>
      <c r="CQ34">
        <f ca="1">INDEX(calc_MCP!$D$1:$XFD$6,1,CQ33)</f>
        <v>2026</v>
      </c>
      <c r="CR34">
        <f ca="1">INDEX(calc_MCP!$D$1:$XFD$6,1,CR33)</f>
        <v>2026</v>
      </c>
      <c r="CS34">
        <f ca="1">INDEX(calc_MCP!$D$1:$XFD$6,1,CS33)</f>
        <v>2026</v>
      </c>
      <c r="CT34">
        <f ca="1">INDEX(calc_MCP!$D$1:$XFD$6,1,CT33)</f>
        <v>2026</v>
      </c>
      <c r="CU34">
        <f ca="1">INDEX(calc_MCP!$D$1:$XFD$6,1,CU33)</f>
        <v>2026</v>
      </c>
      <c r="CV34">
        <f ca="1">INDEX(calc_MCP!$D$1:$XFD$6,1,CV33)</f>
        <v>2026</v>
      </c>
      <c r="CW34">
        <f ca="1">INDEX(calc_MCP!$D$1:$XFD$6,1,CW33)</f>
        <v>2026</v>
      </c>
      <c r="CX34">
        <f ca="1">INDEX(calc_MCP!$D$1:$XFD$6,1,CX33)</f>
        <v>2026</v>
      </c>
      <c r="CY34">
        <f ca="1">INDEX(calc_MCP!$D$1:$XFD$6,1,CY33)</f>
        <v>2026</v>
      </c>
      <c r="CZ34">
        <f ca="1">INDEX(calc_MCP!$D$1:$XFD$6,1,CZ33)</f>
        <v>2026</v>
      </c>
      <c r="DA34">
        <f ca="1">INDEX(calc_MCP!$D$1:$XFD$6,1,DA33)</f>
        <v>2026</v>
      </c>
      <c r="DB34">
        <f ca="1">INDEX(calc_MCP!$D$1:$XFD$6,1,DB33)</f>
        <v>2026</v>
      </c>
      <c r="DC34">
        <f ca="1">INDEX(calc_MCP!$D$1:$XFD$6,1,DC33)</f>
        <v>2026</v>
      </c>
      <c r="DD34">
        <f ca="1">INDEX(calc_MCP!$D$1:$XFD$6,1,DD33)</f>
        <v>2026</v>
      </c>
      <c r="DE34">
        <f ca="1">INDEX(calc_MCP!$D$1:$XFD$6,1,DE33)</f>
        <v>0</v>
      </c>
    </row>
    <row r="35" spans="4:109" x14ac:dyDescent="0.25">
      <c r="D35" t="str">
        <f ca="1">INDEX(calc_MCP!$D$1:$XFD$6,2,D$33)</f>
        <v>Jun</v>
      </c>
      <c r="E35" t="str">
        <f ca="1">INDEX(calc_MCP!$D$1:$XFD$6,2,E$33)</f>
        <v>Jun</v>
      </c>
      <c r="F35" t="str">
        <f ca="1">INDEX(calc_MCP!$D$1:$XFD$6,2,F$33)</f>
        <v>Jun</v>
      </c>
      <c r="G35" t="str">
        <f ca="1">INDEX(calc_MCP!$D$1:$XFD$6,2,G$33)</f>
        <v>Jun</v>
      </c>
      <c r="H35" t="str">
        <f ca="1">INDEX(calc_MCP!$D$1:$XFD$6,2,H$33)</f>
        <v>Jul</v>
      </c>
      <c r="I35" t="str">
        <f ca="1">INDEX(calc_MCP!$D$1:$XFD$6,2,I$33)</f>
        <v>Jul</v>
      </c>
      <c r="J35" t="str">
        <f ca="1">INDEX(calc_MCP!$D$1:$XFD$6,2,J$33)</f>
        <v>Jul</v>
      </c>
      <c r="K35" t="str">
        <f ca="1">INDEX(calc_MCP!$D$1:$XFD$6,2,K$33)</f>
        <v>Jul</v>
      </c>
      <c r="L35" t="str">
        <f ca="1">INDEX(calc_MCP!$D$1:$XFD$6,2,L$33)</f>
        <v>Aug</v>
      </c>
      <c r="M35" t="str">
        <f ca="1">INDEX(calc_MCP!$D$1:$XFD$6,2,M$33)</f>
        <v>Aug</v>
      </c>
      <c r="N35" t="str">
        <f ca="1">INDEX(calc_MCP!$D$1:$XFD$6,2,N$33)</f>
        <v>Aug</v>
      </c>
      <c r="O35" t="str">
        <f ca="1">INDEX(calc_MCP!$D$1:$XFD$6,2,O$33)</f>
        <v>Aug</v>
      </c>
      <c r="P35" t="str">
        <f ca="1">INDEX(calc_MCP!$D$1:$XFD$6,2,P$33)</f>
        <v>Aug</v>
      </c>
      <c r="Q35" t="str">
        <f ca="1">INDEX(calc_MCP!$D$1:$XFD$6,2,Q$33)</f>
        <v>Sep</v>
      </c>
      <c r="R35" t="str">
        <f ca="1">INDEX(calc_MCP!$D$1:$XFD$6,2,R$33)</f>
        <v>Sep</v>
      </c>
      <c r="S35" t="str">
        <f ca="1">INDEX(calc_MCP!$D$1:$XFD$6,2,S$33)</f>
        <v>Sep</v>
      </c>
      <c r="T35" t="str">
        <f ca="1">INDEX(calc_MCP!$D$1:$XFD$6,2,T$33)</f>
        <v>Sep</v>
      </c>
      <c r="U35" t="str">
        <f ca="1">INDEX(calc_MCP!$D$1:$XFD$6,2,U$33)</f>
        <v>Oct</v>
      </c>
      <c r="V35" t="str">
        <f ca="1">INDEX(calc_MCP!$D$1:$XFD$6,2,V$33)</f>
        <v>Oct</v>
      </c>
      <c r="W35" t="str">
        <f ca="1">INDEX(calc_MCP!$D$1:$XFD$6,2,W$33)</f>
        <v>Oct</v>
      </c>
      <c r="X35" t="str">
        <f ca="1">INDEX(calc_MCP!$D$1:$XFD$6,2,X$33)</f>
        <v>Oct</v>
      </c>
      <c r="Y35" t="str">
        <f ca="1">INDEX(calc_MCP!$D$1:$XFD$6,2,Y$33)</f>
        <v>Oct</v>
      </c>
      <c r="Z35" t="str">
        <f ca="1">INDEX(calc_MCP!$D$1:$XFD$6,2,Z$33)</f>
        <v>Nov</v>
      </c>
      <c r="AA35" t="str">
        <f ca="1">INDEX(calc_MCP!$D$1:$XFD$6,2,AA$33)</f>
        <v>Nov</v>
      </c>
      <c r="AB35" t="str">
        <f ca="1">INDEX(calc_MCP!$D$1:$XFD$6,2,AB$33)</f>
        <v>Nov</v>
      </c>
      <c r="AC35" t="str">
        <f ca="1">INDEX(calc_MCP!$D$1:$XFD$6,2,AC$33)</f>
        <v>Nov</v>
      </c>
      <c r="AD35" t="str">
        <f ca="1">INDEX(calc_MCP!$D$1:$XFD$6,2,AD$33)</f>
        <v>Dec</v>
      </c>
      <c r="AE35" t="str">
        <f ca="1">INDEX(calc_MCP!$D$1:$XFD$6,2,AE$33)</f>
        <v>Dec</v>
      </c>
      <c r="AF35" t="str">
        <f ca="1">INDEX(calc_MCP!$D$1:$XFD$6,2,AF$33)</f>
        <v>Dec</v>
      </c>
      <c r="AG35" t="str">
        <f ca="1">INDEX(calc_MCP!$D$1:$XFD$6,2,AG$33)</f>
        <v>Jan</v>
      </c>
      <c r="AH35" t="str">
        <f ca="1">INDEX(calc_MCP!$D$1:$XFD$6,2,AH$33)</f>
        <v>Jan</v>
      </c>
      <c r="AI35" t="str">
        <f ca="1">INDEX(calc_MCP!$D$1:$XFD$6,2,AI$33)</f>
        <v>Jan</v>
      </c>
      <c r="AJ35" t="str">
        <f ca="1">INDEX(calc_MCP!$D$1:$XFD$6,2,AJ$33)</f>
        <v>Jan</v>
      </c>
      <c r="AK35" t="str">
        <f ca="1">INDEX(calc_MCP!$D$1:$XFD$6,2,AK$33)</f>
        <v>Feb</v>
      </c>
      <c r="AL35" t="str">
        <f ca="1">INDEX(calc_MCP!$D$1:$XFD$6,2,AL$33)</f>
        <v>Feb</v>
      </c>
      <c r="AM35" t="str">
        <f ca="1">INDEX(calc_MCP!$D$1:$XFD$6,2,AM$33)</f>
        <v>Feb</v>
      </c>
      <c r="AN35" t="str">
        <f ca="1">INDEX(calc_MCP!$D$1:$XFD$6,2,AN$33)</f>
        <v>Feb</v>
      </c>
      <c r="AO35" t="str">
        <f ca="1">INDEX(calc_MCP!$D$1:$XFD$6,2,AO$33)</f>
        <v>Mar</v>
      </c>
      <c r="AP35" t="str">
        <f ca="1">INDEX(calc_MCP!$D$1:$XFD$6,2,AP$33)</f>
        <v>Mar</v>
      </c>
      <c r="AQ35" t="str">
        <f ca="1">INDEX(calc_MCP!$D$1:$XFD$6,2,AQ$33)</f>
        <v>Mar</v>
      </c>
      <c r="AR35" t="str">
        <f ca="1">INDEX(calc_MCP!$D$1:$XFD$6,2,AR$33)</f>
        <v>Mar</v>
      </c>
      <c r="AS35" t="str">
        <f ca="1">INDEX(calc_MCP!$D$1:$XFD$6,2,AS$33)</f>
        <v>Apr</v>
      </c>
      <c r="AT35" t="str">
        <f ca="1">INDEX(calc_MCP!$D$1:$XFD$6,2,AT$33)</f>
        <v>Apr</v>
      </c>
      <c r="AU35" t="str">
        <f ca="1">INDEX(calc_MCP!$D$1:$XFD$6,2,AU$33)</f>
        <v>Apr</v>
      </c>
      <c r="AV35" t="str">
        <f ca="1">INDEX(calc_MCP!$D$1:$XFD$6,2,AV$33)</f>
        <v>Apr</v>
      </c>
      <c r="AW35" t="str">
        <f ca="1">INDEX(calc_MCP!$D$1:$XFD$6,2,AW$33)</f>
        <v>Apr</v>
      </c>
      <c r="AX35" t="str">
        <f ca="1">INDEX(calc_MCP!$D$1:$XFD$6,2,AX$33)</f>
        <v>May</v>
      </c>
      <c r="AY35" t="str">
        <f ca="1">INDEX(calc_MCP!$D$1:$XFD$6,2,AY$33)</f>
        <v>May</v>
      </c>
      <c r="AZ35" t="str">
        <f ca="1">INDEX(calc_MCP!$D$1:$XFD$6,2,AZ$33)</f>
        <v>May</v>
      </c>
      <c r="BA35" t="str">
        <f ca="1">INDEX(calc_MCP!$D$1:$XFD$6,2,BA$33)</f>
        <v>May</v>
      </c>
      <c r="BB35" t="str">
        <f ca="1">INDEX(calc_MCP!$D$1:$XFD$6,2,BB$33)</f>
        <v>Jun</v>
      </c>
      <c r="BC35" t="str">
        <f ca="1">INDEX(calc_MCP!$D$1:$XFD$6,2,BC$33)</f>
        <v>Jun</v>
      </c>
      <c r="BD35" t="str">
        <f ca="1">INDEX(calc_MCP!$D$1:$XFD$6,2,BD$33)</f>
        <v>Jun</v>
      </c>
      <c r="BE35" t="str">
        <f ca="1">INDEX(calc_MCP!$D$1:$XFD$6,2,BE$33)</f>
        <v>Jun</v>
      </c>
      <c r="BF35" t="str">
        <f ca="1">INDEX(calc_MCP!$D$1:$XFD$6,2,BF$33)</f>
        <v>Jul</v>
      </c>
      <c r="BG35" t="str">
        <f ca="1">INDEX(calc_MCP!$D$1:$XFD$6,2,BG$33)</f>
        <v>Jul</v>
      </c>
      <c r="BH35" t="str">
        <f ca="1">INDEX(calc_MCP!$D$1:$XFD$6,2,BH$33)</f>
        <v>Jul</v>
      </c>
      <c r="BI35" t="str">
        <f ca="1">INDEX(calc_MCP!$D$1:$XFD$6,2,BI$33)</f>
        <v>Jul</v>
      </c>
      <c r="BJ35" t="str">
        <f ca="1">INDEX(calc_MCP!$D$1:$XFD$6,2,BJ$33)</f>
        <v>Jul</v>
      </c>
      <c r="BK35" t="str">
        <f ca="1">INDEX(calc_MCP!$D$1:$XFD$6,2,BK$33)</f>
        <v>Aug</v>
      </c>
      <c r="BL35" t="str">
        <f ca="1">INDEX(calc_MCP!$D$1:$XFD$6,2,BL$33)</f>
        <v>Aug</v>
      </c>
      <c r="BM35" t="str">
        <f ca="1">INDEX(calc_MCP!$D$1:$XFD$6,2,BM$33)</f>
        <v>Aug</v>
      </c>
      <c r="BN35" t="str">
        <f ca="1">INDEX(calc_MCP!$D$1:$XFD$6,2,BN$33)</f>
        <v>Aug</v>
      </c>
      <c r="BO35" t="str">
        <f ca="1">INDEX(calc_MCP!$D$1:$XFD$6,2,BO$33)</f>
        <v>Sep</v>
      </c>
      <c r="BP35" t="str">
        <f ca="1">INDEX(calc_MCP!$D$1:$XFD$6,2,BP$33)</f>
        <v>Sep</v>
      </c>
      <c r="BQ35" t="str">
        <f ca="1">INDEX(calc_MCP!$D$1:$XFD$6,2,BQ$33)</f>
        <v>Sep</v>
      </c>
      <c r="BR35" t="str">
        <f ca="1">INDEX(calc_MCP!$D$1:$XFD$6,2,BR$33)</f>
        <v>Sep</v>
      </c>
      <c r="BS35" t="str">
        <f ca="1">INDEX(calc_MCP!$D$1:$XFD$6,2,BS$33)</f>
        <v>Oct</v>
      </c>
      <c r="BT35" t="str">
        <f ca="1">INDEX(calc_MCP!$D$1:$XFD$6,2,BT$33)</f>
        <v>Oct</v>
      </c>
      <c r="BU35" t="str">
        <f ca="1">INDEX(calc_MCP!$D$1:$XFD$6,2,BU$33)</f>
        <v>Oct</v>
      </c>
      <c r="BV35" t="str">
        <f ca="1">INDEX(calc_MCP!$D$1:$XFD$6,2,BV$33)</f>
        <v>Oct</v>
      </c>
      <c r="BW35" t="str">
        <f ca="1">INDEX(calc_MCP!$D$1:$XFD$6,2,BW$33)</f>
        <v>Oct</v>
      </c>
      <c r="BX35" t="str">
        <f ca="1">INDEX(calc_MCP!$D$1:$XFD$6,2,BX$33)</f>
        <v>Nov</v>
      </c>
      <c r="BY35" t="str">
        <f ca="1">INDEX(calc_MCP!$D$1:$XFD$6,2,BY$33)</f>
        <v>Nov</v>
      </c>
      <c r="BZ35" t="str">
        <f ca="1">INDEX(calc_MCP!$D$1:$XFD$6,2,BZ$33)</f>
        <v>Nov</v>
      </c>
      <c r="CA35" t="str">
        <f ca="1">INDEX(calc_MCP!$D$1:$XFD$6,2,CA$33)</f>
        <v>Nov</v>
      </c>
      <c r="CB35" t="str">
        <f ca="1">INDEX(calc_MCP!$D$1:$XFD$6,2,CB$33)</f>
        <v>Dec</v>
      </c>
      <c r="CC35" t="str">
        <f ca="1">INDEX(calc_MCP!$D$1:$XFD$6,2,CC$33)</f>
        <v>Dec</v>
      </c>
      <c r="CD35" t="str">
        <f ca="1">INDEX(calc_MCP!$D$1:$XFD$6,2,CD$33)</f>
        <v>Dec</v>
      </c>
      <c r="CE35" t="str">
        <f ca="1">INDEX(calc_MCP!$D$1:$XFD$6,2,CE$33)</f>
        <v>Dec</v>
      </c>
      <c r="CF35" t="str">
        <f ca="1">INDEX(calc_MCP!$D$1:$XFD$6,2,CF$33)</f>
        <v>Jan</v>
      </c>
      <c r="CG35" t="str">
        <f ca="1">INDEX(calc_MCP!$D$1:$XFD$6,2,CG$33)</f>
        <v>Jan</v>
      </c>
      <c r="CH35" t="str">
        <f ca="1">INDEX(calc_MCP!$D$1:$XFD$6,2,CH$33)</f>
        <v>Jan</v>
      </c>
      <c r="CI35" t="str">
        <f ca="1">INDEX(calc_MCP!$D$1:$XFD$6,2,CI$33)</f>
        <v>Jan</v>
      </c>
      <c r="CJ35" t="str">
        <f ca="1">INDEX(calc_MCP!$D$1:$XFD$6,2,CJ$33)</f>
        <v>Feb</v>
      </c>
      <c r="CK35" t="str">
        <f ca="1">INDEX(calc_MCP!$D$1:$XFD$6,2,CK$33)</f>
        <v>Feb</v>
      </c>
      <c r="CL35" t="str">
        <f ca="1">INDEX(calc_MCP!$D$1:$XFD$6,2,CL$33)</f>
        <v>Feb</v>
      </c>
      <c r="CM35" t="str">
        <f ca="1">INDEX(calc_MCP!$D$1:$XFD$6,2,CM$33)</f>
        <v>Feb</v>
      </c>
      <c r="CN35" t="str">
        <f ca="1">INDEX(calc_MCP!$D$1:$XFD$6,2,CN$33)</f>
        <v>Mar</v>
      </c>
      <c r="CO35" t="str">
        <f ca="1">INDEX(calc_MCP!$D$1:$XFD$6,2,CO$33)</f>
        <v>Mar</v>
      </c>
      <c r="CP35" t="str">
        <f ca="1">INDEX(calc_MCP!$D$1:$XFD$6,2,CP$33)</f>
        <v>Mar</v>
      </c>
      <c r="CQ35" t="str">
        <f ca="1">INDEX(calc_MCP!$D$1:$XFD$6,2,CQ$33)</f>
        <v>Mar</v>
      </c>
      <c r="CR35" t="str">
        <f ca="1">INDEX(calc_MCP!$D$1:$XFD$6,2,CR$33)</f>
        <v>Apr</v>
      </c>
      <c r="CS35" t="str">
        <f ca="1">INDEX(calc_MCP!$D$1:$XFD$6,2,CS$33)</f>
        <v>Apr</v>
      </c>
      <c r="CT35" t="str">
        <f ca="1">INDEX(calc_MCP!$D$1:$XFD$6,2,CT$33)</f>
        <v>Apr</v>
      </c>
      <c r="CU35" t="str">
        <f ca="1">INDEX(calc_MCP!$D$1:$XFD$6,2,CU$33)</f>
        <v>Apr</v>
      </c>
      <c r="CV35" t="str">
        <f ca="1">INDEX(calc_MCP!$D$1:$XFD$6,2,CV$33)</f>
        <v>Apr</v>
      </c>
      <c r="CW35" t="str">
        <f ca="1">INDEX(calc_MCP!$D$1:$XFD$6,2,CW$33)</f>
        <v>May</v>
      </c>
      <c r="CX35" t="str">
        <f ca="1">INDEX(calc_MCP!$D$1:$XFD$6,2,CX$33)</f>
        <v>May</v>
      </c>
      <c r="CY35" t="str">
        <f ca="1">INDEX(calc_MCP!$D$1:$XFD$6,2,CY$33)</f>
        <v>May</v>
      </c>
      <c r="CZ35" t="str">
        <f ca="1">INDEX(calc_MCP!$D$1:$XFD$6,2,CZ$33)</f>
        <v>May</v>
      </c>
      <c r="DA35" t="str">
        <f ca="1">INDEX(calc_MCP!$D$1:$XFD$6,2,DA$33)</f>
        <v>Jun</v>
      </c>
      <c r="DB35" t="str">
        <f ca="1">INDEX(calc_MCP!$D$1:$XFD$6,2,DB$33)</f>
        <v>Jun</v>
      </c>
      <c r="DC35" t="str">
        <f ca="1">INDEX(calc_MCP!$D$1:$XFD$6,2,DC$33)</f>
        <v>Jun</v>
      </c>
      <c r="DD35" t="str">
        <f ca="1">INDEX(calc_MCP!$D$1:$XFD$6,2,DD$33)</f>
        <v>Jun</v>
      </c>
      <c r="DE35" t="str">
        <f ca="1">INDEX(calc_MCP!$D$1:$XFD$6,2,DE$33)</f>
        <v/>
      </c>
    </row>
    <row r="36" spans="4:109" x14ac:dyDescent="0.25">
      <c r="D36" t="str">
        <f t="shared" ref="D36:AI36" ca="1" si="17">IF(OR(AND(ISNUMBER(D42),NOT(ISNUMBER(E42))),AND(ISNUMBER(D42),D35&lt;&gt;E35)),D42,"")</f>
        <v/>
      </c>
      <c r="E36" t="str">
        <f t="shared" ca="1" si="17"/>
        <v/>
      </c>
      <c r="F36" t="str">
        <f t="shared" ca="1" si="17"/>
        <v/>
      </c>
      <c r="G36">
        <f t="shared" ca="1" si="17"/>
        <v>1200</v>
      </c>
      <c r="H36" t="str">
        <f t="shared" ca="1" si="17"/>
        <v/>
      </c>
      <c r="I36" t="str">
        <f t="shared" ca="1" si="17"/>
        <v/>
      </c>
      <c r="J36" t="str">
        <f t="shared" ca="1" si="17"/>
        <v/>
      </c>
      <c r="K36">
        <f t="shared" ca="1" si="17"/>
        <v>1225</v>
      </c>
      <c r="L36" t="str">
        <f t="shared" ca="1" si="17"/>
        <v/>
      </c>
      <c r="M36" t="str">
        <f t="shared" ca="1" si="17"/>
        <v/>
      </c>
      <c r="N36" t="str">
        <f t="shared" ca="1" si="17"/>
        <v/>
      </c>
      <c r="O36" t="str">
        <f t="shared" ca="1" si="17"/>
        <v/>
      </c>
      <c r="P36">
        <f t="shared" ca="1" si="17"/>
        <v>1275</v>
      </c>
      <c r="Q36" t="str">
        <f t="shared" ca="1" si="17"/>
        <v/>
      </c>
      <c r="R36" t="str">
        <f t="shared" ca="1" si="17"/>
        <v/>
      </c>
      <c r="S36" t="str">
        <f t="shared" ca="1" si="17"/>
        <v/>
      </c>
      <c r="T36">
        <f t="shared" ca="1" si="17"/>
        <v>1215</v>
      </c>
      <c r="U36" t="str">
        <f t="shared" ca="1" si="17"/>
        <v/>
      </c>
      <c r="V36" t="str">
        <f t="shared" ca="1" si="17"/>
        <v/>
      </c>
      <c r="W36" t="str">
        <f t="shared" ca="1" si="17"/>
        <v/>
      </c>
      <c r="X36" t="str">
        <f t="shared" ca="1" si="17"/>
        <v/>
      </c>
      <c r="Y36">
        <f t="shared" ca="1" si="17"/>
        <v>1140</v>
      </c>
      <c r="Z36" t="str">
        <f t="shared" ca="1" si="17"/>
        <v/>
      </c>
      <c r="AA36" t="str">
        <f t="shared" ca="1" si="17"/>
        <v/>
      </c>
      <c r="AB36" t="str">
        <f t="shared" ca="1" si="17"/>
        <v/>
      </c>
      <c r="AC36">
        <f t="shared" ca="1" si="17"/>
        <v>1110</v>
      </c>
      <c r="AD36" t="str">
        <f t="shared" ca="1" si="17"/>
        <v/>
      </c>
      <c r="AE36" t="str">
        <f t="shared" ca="1" si="17"/>
        <v/>
      </c>
      <c r="AF36">
        <f t="shared" ca="1" si="17"/>
        <v>1105</v>
      </c>
      <c r="AG36" t="str">
        <f t="shared" ca="1" si="17"/>
        <v/>
      </c>
      <c r="AH36" t="str">
        <f t="shared" ca="1" si="17"/>
        <v/>
      </c>
      <c r="AI36" t="str">
        <f t="shared" ca="1" si="17"/>
        <v/>
      </c>
      <c r="AJ36">
        <f t="shared" ref="AJ36:BO36" ca="1" si="18">IF(OR(AND(ISNUMBER(AJ42),NOT(ISNUMBER(AK42))),AND(ISNUMBER(AJ42),AJ35&lt;&gt;AK35)),AJ42,"")</f>
        <v>1135</v>
      </c>
      <c r="AK36" t="str">
        <f t="shared" ca="1" si="18"/>
        <v/>
      </c>
      <c r="AL36" t="str">
        <f t="shared" ca="1" si="18"/>
        <v/>
      </c>
      <c r="AM36" t="str">
        <f t="shared" ca="1" si="18"/>
        <v/>
      </c>
      <c r="AN36">
        <f t="shared" ca="1" si="18"/>
        <v>1165</v>
      </c>
      <c r="AO36" t="str">
        <f t="shared" ca="1" si="18"/>
        <v/>
      </c>
      <c r="AP36" t="str">
        <f t="shared" ca="1" si="18"/>
        <v/>
      </c>
      <c r="AQ36" t="str">
        <f t="shared" ca="1" si="18"/>
        <v/>
      </c>
      <c r="AR36">
        <f t="shared" ca="1" si="18"/>
        <v>1150</v>
      </c>
      <c r="AS36" t="str">
        <f t="shared" ca="1" si="18"/>
        <v/>
      </c>
      <c r="AT36" t="str">
        <f t="shared" ca="1" si="18"/>
        <v/>
      </c>
      <c r="AU36" t="str">
        <f t="shared" ca="1" si="18"/>
        <v/>
      </c>
      <c r="AV36" t="str">
        <f t="shared" ca="1" si="18"/>
        <v/>
      </c>
      <c r="AW36">
        <f t="shared" ca="1" si="18"/>
        <v>1075</v>
      </c>
      <c r="AX36" t="str">
        <f t="shared" ca="1" si="18"/>
        <v/>
      </c>
      <c r="AY36" t="str">
        <f t="shared" ca="1" si="18"/>
        <v/>
      </c>
      <c r="AZ36" t="str">
        <f t="shared" ca="1" si="18"/>
        <v/>
      </c>
      <c r="BA36">
        <f t="shared" ca="1" si="18"/>
        <v>1040</v>
      </c>
      <c r="BB36" t="str">
        <f t="shared" ca="1" si="18"/>
        <v/>
      </c>
      <c r="BC36" t="str">
        <f t="shared" ca="1" si="18"/>
        <v/>
      </c>
      <c r="BD36" t="str">
        <f t="shared" ca="1" si="18"/>
        <v/>
      </c>
      <c r="BE36">
        <f t="shared" ca="1" si="18"/>
        <v>1015</v>
      </c>
      <c r="BF36" t="str">
        <f t="shared" ca="1" si="18"/>
        <v/>
      </c>
      <c r="BG36" t="str">
        <f t="shared" ca="1" si="18"/>
        <v/>
      </c>
      <c r="BH36" t="str">
        <f t="shared" ca="1" si="18"/>
        <v/>
      </c>
      <c r="BI36" t="str">
        <f t="shared" ca="1" si="18"/>
        <v/>
      </c>
      <c r="BJ36">
        <f t="shared" ca="1" si="18"/>
        <v>1015</v>
      </c>
      <c r="BK36" t="str">
        <f t="shared" ca="1" si="18"/>
        <v/>
      </c>
      <c r="BL36" t="str">
        <f t="shared" ca="1" si="18"/>
        <v/>
      </c>
      <c r="BM36" t="str">
        <f t="shared" ca="1" si="18"/>
        <v/>
      </c>
      <c r="BN36">
        <f t="shared" ca="1" si="18"/>
        <v>1000</v>
      </c>
      <c r="BO36" t="str">
        <f t="shared" ca="1" si="18"/>
        <v/>
      </c>
      <c r="BP36" t="str">
        <f t="shared" ref="BP36:CU36" ca="1" si="19">IF(OR(AND(ISNUMBER(BP42),NOT(ISNUMBER(BQ42))),AND(ISNUMBER(BP42),BP35&lt;&gt;BQ35)),BP42,"")</f>
        <v/>
      </c>
      <c r="BQ36" t="str">
        <f t="shared" ca="1" si="19"/>
        <v/>
      </c>
      <c r="BR36">
        <f t="shared" ca="1" si="19"/>
        <v>960</v>
      </c>
      <c r="BS36" t="str">
        <f t="shared" ca="1" si="19"/>
        <v/>
      </c>
      <c r="BT36" t="str">
        <f t="shared" ca="1" si="19"/>
        <v/>
      </c>
      <c r="BU36" t="str">
        <f t="shared" ca="1" si="19"/>
        <v/>
      </c>
      <c r="BV36" t="str">
        <f t="shared" ca="1" si="19"/>
        <v/>
      </c>
      <c r="BW36">
        <f t="shared" ca="1" si="19"/>
        <v>925</v>
      </c>
      <c r="BX36" t="str">
        <f t="shared" ca="1" si="19"/>
        <v/>
      </c>
      <c r="BY36" t="str">
        <f t="shared" ca="1" si="19"/>
        <v/>
      </c>
      <c r="BZ36" t="str">
        <f t="shared" ca="1" si="19"/>
        <v/>
      </c>
      <c r="CA36">
        <f t="shared" ca="1" si="19"/>
        <v>915</v>
      </c>
      <c r="CB36" t="str">
        <f t="shared" ca="1" si="19"/>
        <v/>
      </c>
      <c r="CC36" t="str">
        <f t="shared" ca="1" si="19"/>
        <v/>
      </c>
      <c r="CD36" t="str">
        <f t="shared" ca="1" si="19"/>
        <v/>
      </c>
      <c r="CE36">
        <f t="shared" ca="1" si="19"/>
        <v>930</v>
      </c>
      <c r="CF36" t="str">
        <f t="shared" ca="1" si="19"/>
        <v/>
      </c>
      <c r="CG36" t="str">
        <f t="shared" ca="1" si="19"/>
        <v/>
      </c>
      <c r="CH36" t="str">
        <f t="shared" ca="1" si="19"/>
        <v/>
      </c>
      <c r="CI36">
        <f t="shared" ca="1" si="19"/>
        <v>930</v>
      </c>
      <c r="CJ36" t="str">
        <f t="shared" ca="1" si="19"/>
        <v/>
      </c>
      <c r="CK36" t="str">
        <f t="shared" ca="1" si="19"/>
        <v/>
      </c>
      <c r="CL36" t="str">
        <f t="shared" ca="1" si="19"/>
        <v/>
      </c>
      <c r="CM36">
        <f t="shared" ca="1" si="19"/>
        <v>950</v>
      </c>
      <c r="CN36" t="str">
        <f t="shared" ca="1" si="19"/>
        <v/>
      </c>
      <c r="CO36" t="str">
        <f t="shared" ca="1" si="19"/>
        <v/>
      </c>
      <c r="CP36" t="str">
        <f t="shared" ca="1" si="19"/>
        <v/>
      </c>
      <c r="CQ36">
        <f t="shared" ca="1" si="19"/>
        <v>1450</v>
      </c>
      <c r="CR36" t="str">
        <f t="shared" ca="1" si="19"/>
        <v/>
      </c>
      <c r="CS36" t="str">
        <f t="shared" ca="1" si="19"/>
        <v/>
      </c>
      <c r="CT36" t="str">
        <f t="shared" ca="1" si="19"/>
        <v/>
      </c>
      <c r="CU36" t="str">
        <f t="shared" ca="1" si="19"/>
        <v/>
      </c>
      <c r="CV36">
        <f t="shared" ref="CV36:DE36" ca="1" si="20">IF(OR(AND(ISNUMBER(CV42),NOT(ISNUMBER(CW42))),AND(ISNUMBER(CV42),CV35&lt;&gt;CW35)),CV42,"")</f>
        <v>1900</v>
      </c>
      <c r="CW36" t="str">
        <f t="shared" ca="1" si="20"/>
        <v/>
      </c>
      <c r="CX36" t="str">
        <f t="shared" ca="1" si="20"/>
        <v/>
      </c>
      <c r="CY36" t="str">
        <f t="shared" ca="1" si="20"/>
        <v/>
      </c>
      <c r="CZ36">
        <f t="shared" ca="1" si="20"/>
        <v>1775</v>
      </c>
      <c r="DA36">
        <f t="shared" ca="1" si="20"/>
        <v>1775</v>
      </c>
      <c r="DB36" t="str">
        <f t="shared" ca="1" si="20"/>
        <v/>
      </c>
      <c r="DC36" t="str">
        <f t="shared" ca="1" si="20"/>
        <v/>
      </c>
      <c r="DD36" t="str">
        <f t="shared" ca="1" si="20"/>
        <v/>
      </c>
      <c r="DE36" t="str">
        <f t="shared" ca="1" si="20"/>
        <v/>
      </c>
    </row>
    <row r="37" spans="4:109" x14ac:dyDescent="0.25">
      <c r="D37" t="str">
        <f ca="1">INDEX(calc_MCP!$D$1:$XFD$6,6,D$33)</f>
        <v>1,200—1,250</v>
      </c>
      <c r="E37" t="str">
        <f ca="1">INDEX(calc_MCP!$D$1:$XFD$6,6,E$33)</f>
        <v>1,150—1,250</v>
      </c>
      <c r="F37" t="str">
        <f ca="1">INDEX(calc_MCP!$D$1:$XFD$6,6,F$33)</f>
        <v>1,150—1,250</v>
      </c>
      <c r="G37" t="str">
        <f ca="1">INDEX(calc_MCP!$D$1:$XFD$6,6,G$33)</f>
        <v>1,150—1,250</v>
      </c>
      <c r="H37" t="str">
        <f ca="1">INDEX(calc_MCP!$D$1:$XFD$6,6,H$33)</f>
        <v>1,150—1,250</v>
      </c>
      <c r="I37" t="str">
        <f ca="1">INDEX(calc_MCP!$D$1:$XFD$6,6,I$33)</f>
        <v>1,150—1,250</v>
      </c>
      <c r="J37" t="str">
        <f ca="1">INDEX(calc_MCP!$D$1:$XFD$6,6,J$33)</f>
        <v>1,150—1,250</v>
      </c>
      <c r="K37" t="str">
        <f ca="1">INDEX(calc_MCP!$D$1:$XFD$6,6,K$33)</f>
        <v>1,180—1,270</v>
      </c>
      <c r="L37" t="str">
        <f ca="1">INDEX(calc_MCP!$D$1:$XFD$6,6,L$33)</f>
        <v>1,200—1,270</v>
      </c>
      <c r="M37" t="str">
        <f ca="1">INDEX(calc_MCP!$D$1:$XFD$6,6,M$33)</f>
        <v>1,250—1,300</v>
      </c>
      <c r="N37" t="str">
        <f ca="1">INDEX(calc_MCP!$D$1:$XFD$6,6,N$33)</f>
        <v>1,250—1,300</v>
      </c>
      <c r="O37" t="str">
        <f ca="1">INDEX(calc_MCP!$D$1:$XFD$6,6,O$33)</f>
        <v>1,250—1,300</v>
      </c>
      <c r="P37" t="str">
        <f ca="1">INDEX(calc_MCP!$D$1:$XFD$6,6,P$33)</f>
        <v>1,250—1,300</v>
      </c>
      <c r="Q37" t="e">
        <f ca="1">INDEX(calc_MCP!$D$1:$XFD$6,6,Q$33)</f>
        <v>#REF!</v>
      </c>
      <c r="R37" t="str">
        <f ca="1">INDEX(calc_MCP!$D$1:$XFD$6,6,R$33)</f>
        <v>1,200—1,250</v>
      </c>
      <c r="S37" t="str">
        <f ca="1">INDEX(calc_MCP!$D$1:$XFD$6,6,S$33)</f>
        <v>1,200—1,230</v>
      </c>
      <c r="T37" t="str">
        <f ca="1">INDEX(calc_MCP!$D$1:$XFD$6,6,T$33)</f>
        <v>1,180—1,250</v>
      </c>
      <c r="U37" t="str">
        <f ca="1">INDEX(calc_MCP!$D$1:$XFD$6,6,U$33)</f>
        <v>1,180—1,250</v>
      </c>
      <c r="V37" t="str">
        <f ca="1">INDEX(calc_MCP!$D$1:$XFD$6,6,V$33)</f>
        <v>1,130—1,200</v>
      </c>
      <c r="W37" t="str">
        <f ca="1">INDEX(calc_MCP!$D$1:$XFD$6,6,W$33)</f>
        <v>1,130—1,200</v>
      </c>
      <c r="X37" t="str">
        <f ca="1">INDEX(calc_MCP!$D$1:$XFD$6,6,X$33)</f>
        <v>1,120—1,200</v>
      </c>
      <c r="Y37" t="str">
        <f ca="1">INDEX(calc_MCP!$D$1:$XFD$6,6,Y$33)</f>
        <v>1,100—1,180</v>
      </c>
      <c r="Z37" t="str">
        <f ca="1">INDEX(calc_MCP!$D$1:$XFD$6,6,Z$33)</f>
        <v>1,100—1,180</v>
      </c>
      <c r="AA37" t="str">
        <f ca="1">INDEX(calc_MCP!$D$1:$XFD$6,6,AA$33)</f>
        <v>1,080—1,160</v>
      </c>
      <c r="AB37" t="str">
        <f ca="1">INDEX(calc_MCP!$D$1:$XFD$6,6,AB$33)</f>
        <v>1,060—1,160</v>
      </c>
      <c r="AC37" t="str">
        <f ca="1">INDEX(calc_MCP!$D$1:$XFD$6,6,AC$33)</f>
        <v>1,060—1,160</v>
      </c>
      <c r="AD37" t="str">
        <f ca="1">INDEX(calc_MCP!$D$1:$XFD$6,6,AD$33)</f>
        <v>1,060—1,160</v>
      </c>
      <c r="AE37" t="str">
        <f ca="1">INDEX(calc_MCP!$D$1:$XFD$6,6,AE$33)</f>
        <v>1,060—1,150</v>
      </c>
      <c r="AF37" t="str">
        <f ca="1">INDEX(calc_MCP!$D$1:$XFD$6,6,AF$33)</f>
        <v>1,060—1,150</v>
      </c>
      <c r="AG37" t="str">
        <f ca="1">INDEX(calc_MCP!$D$1:$XFD$6,6,AG$33)</f>
        <v>1,060—1,150</v>
      </c>
      <c r="AH37" t="str">
        <f ca="1">INDEX(calc_MCP!$D$1:$XFD$6,6,AH$33)</f>
        <v>1,070—1,200</v>
      </c>
      <c r="AI37" t="str">
        <f ca="1">INDEX(calc_MCP!$D$1:$XFD$6,6,AI$33)</f>
        <v>1,070—1,200</v>
      </c>
      <c r="AJ37" t="str">
        <f ca="1">INDEX(calc_MCP!$D$1:$XFD$6,6,AJ$33)</f>
        <v>1,070—1,200</v>
      </c>
      <c r="AK37" t="str">
        <f ca="1">INDEX(calc_MCP!$D$1:$XFD$6,6,AK$33)</f>
        <v>1,070—1,200</v>
      </c>
      <c r="AL37" t="str">
        <f ca="1">INDEX(calc_MCP!$D$1:$XFD$6,6,AL$33)</f>
        <v>1,100—1,220</v>
      </c>
      <c r="AM37" t="str">
        <f ca="1">INDEX(calc_MCP!$D$1:$XFD$6,6,AM$33)</f>
        <v>1,100—1,230</v>
      </c>
      <c r="AN37" t="str">
        <f ca="1">INDEX(calc_MCP!$D$1:$XFD$6,6,AN$33)</f>
        <v>1,100—1,230</v>
      </c>
      <c r="AO37" t="str">
        <f ca="1">INDEX(calc_MCP!$D$1:$XFD$6,6,AO$33)</f>
        <v>1,100—1,230</v>
      </c>
      <c r="AP37" t="str">
        <f ca="1">INDEX(calc_MCP!$D$1:$XFD$6,6,AP$33)</f>
        <v>1,100—1,230</v>
      </c>
      <c r="AQ37" t="str">
        <f ca="1">INDEX(calc_MCP!$D$1:$XFD$6,6,AQ$33)</f>
        <v>1,100—1,200</v>
      </c>
      <c r="AR37" t="str">
        <f ca="1">INDEX(calc_MCP!$D$1:$XFD$6,6,AR$33)</f>
        <v>1,100—1,200</v>
      </c>
      <c r="AS37" t="str">
        <f ca="1">INDEX(calc_MCP!$D$1:$XFD$6,6,AS$33)</f>
        <v>1,100—1,200</v>
      </c>
      <c r="AT37" t="str">
        <f ca="1">INDEX(calc_MCP!$D$1:$XFD$6,6,AT$33)</f>
        <v>1,100—1,200</v>
      </c>
      <c r="AU37" t="str">
        <f ca="1">INDEX(calc_MCP!$D$1:$XFD$6,6,AU$33)</f>
        <v>1,030—1,120</v>
      </c>
      <c r="AV37" t="str">
        <f ca="1">INDEX(calc_MCP!$D$1:$XFD$6,6,AV$33)</f>
        <v>1,030—1,120</v>
      </c>
      <c r="AW37" t="str">
        <f ca="1">INDEX(calc_MCP!$D$1:$XFD$6,6,AW$33)</f>
        <v>1,030—1,120</v>
      </c>
      <c r="AX37" t="str">
        <f ca="1">INDEX(calc_MCP!$D$1:$XFD$6,6,AX$33)</f>
        <v>1,020—1,100</v>
      </c>
      <c r="AY37" t="str">
        <f ca="1">INDEX(calc_MCP!$D$1:$XFD$6,6,AY$33)</f>
        <v>1,020—1,100</v>
      </c>
      <c r="AZ37" t="str">
        <f ca="1">INDEX(calc_MCP!$D$1:$XFD$6,6,AZ$33)</f>
        <v>1,020—1,100</v>
      </c>
      <c r="BA37" t="str">
        <f ca="1">INDEX(calc_MCP!$D$1:$XFD$6,6,BA$33)</f>
        <v>1,000—1,080</v>
      </c>
      <c r="BB37" t="str">
        <f ca="1">INDEX(calc_MCP!$D$1:$XFD$6,6,BB$33)</f>
        <v>1,000—1,080</v>
      </c>
      <c r="BC37" t="str">
        <f ca="1">INDEX(calc_MCP!$D$1:$XFD$6,6,BC$33)</f>
        <v>980—1,050</v>
      </c>
      <c r="BD37" t="str">
        <f ca="1">INDEX(calc_MCP!$D$1:$XFD$6,6,BD$33)</f>
        <v>980—1,050</v>
      </c>
      <c r="BE37" t="str">
        <f ca="1">INDEX(calc_MCP!$D$1:$XFD$6,6,BE$33)</f>
        <v>980—1,050</v>
      </c>
      <c r="BF37" t="str">
        <f ca="1">INDEX(calc_MCP!$D$1:$XFD$6,6,BF$33)</f>
        <v>980—1,050</v>
      </c>
      <c r="BG37" t="str">
        <f ca="1">INDEX(calc_MCP!$D$1:$XFD$6,6,BG$33)</f>
        <v>980—1,050</v>
      </c>
      <c r="BH37" t="str">
        <f ca="1">INDEX(calc_MCP!$D$1:$XFD$6,6,BH$33)</f>
        <v>980—1,050</v>
      </c>
      <c r="BI37" t="str">
        <f ca="1">INDEX(calc_MCP!$D$1:$XFD$6,6,BI$33)</f>
        <v>980—1,050</v>
      </c>
      <c r="BJ37" t="str">
        <f ca="1">INDEX(calc_MCP!$D$1:$XFD$6,6,BJ$33)</f>
        <v>980—1,050</v>
      </c>
      <c r="BK37" t="str">
        <f ca="1">INDEX(calc_MCP!$D$1:$XFD$6,6,BK$33)</f>
        <v>960—1,030</v>
      </c>
      <c r="BL37" t="str">
        <f ca="1">INDEX(calc_MCP!$D$1:$XFD$6,6,BL$33)</f>
        <v>960—1,040</v>
      </c>
      <c r="BM37" t="str">
        <f ca="1">INDEX(calc_MCP!$D$1:$XFD$6,6,BM$33)</f>
        <v>960—1,040</v>
      </c>
      <c r="BN37" t="str">
        <f ca="1">INDEX(calc_MCP!$D$1:$XFD$6,6,BN$33)</f>
        <v>960—1,040</v>
      </c>
      <c r="BO37" t="str">
        <f ca="1">INDEX(calc_MCP!$D$1:$XFD$6,6,BO$33)</f>
        <v>960—1,040</v>
      </c>
      <c r="BP37" t="str">
        <f ca="1">INDEX(calc_MCP!$D$1:$XFD$6,6,BP$33)</f>
        <v>930—1,020</v>
      </c>
      <c r="BQ37" t="str">
        <f ca="1">INDEX(calc_MCP!$D$1:$XFD$6,6,BQ$33)</f>
        <v>920—1,000</v>
      </c>
      <c r="BR37" t="str">
        <f ca="1">INDEX(calc_MCP!$D$1:$XFD$6,6,BR$33)</f>
        <v>920—1,000</v>
      </c>
      <c r="BS37" t="str">
        <f ca="1">INDEX(calc_MCP!$D$1:$XFD$6,6,BS$33)</f>
        <v>920—1,000</v>
      </c>
      <c r="BT37" t="str">
        <f ca="1">INDEX(calc_MCP!$D$1:$XFD$6,6,BT$33)</f>
        <v>900—980</v>
      </c>
      <c r="BU37" t="str">
        <f ca="1">INDEX(calc_MCP!$D$1:$XFD$6,6,BU$33)</f>
        <v>900—960</v>
      </c>
      <c r="BV37" t="str">
        <f ca="1">INDEX(calc_MCP!$D$1:$XFD$6,6,BV$33)</f>
        <v>890—960</v>
      </c>
      <c r="BW37" t="str">
        <f ca="1">INDEX(calc_MCP!$D$1:$XFD$6,6,BW$33)</f>
        <v>890—960</v>
      </c>
      <c r="BX37" t="str">
        <f ca="1">INDEX(calc_MCP!$D$1:$XFD$6,6,BX$33)</f>
        <v>870—960</v>
      </c>
      <c r="BY37" t="str">
        <f ca="1">INDEX(calc_MCP!$D$1:$XFD$6,6,BY$33)</f>
        <v>870—960</v>
      </c>
      <c r="BZ37" t="str">
        <f ca="1">INDEX(calc_MCP!$D$1:$XFD$6,6,BZ$33)</f>
        <v>870—960</v>
      </c>
      <c r="CA37" t="str">
        <f ca="1">INDEX(calc_MCP!$D$1:$XFD$6,6,CA$33)</f>
        <v>870—960</v>
      </c>
      <c r="CB37" t="str">
        <f ca="1">INDEX(calc_MCP!$D$1:$XFD$6,6,CB$33)</f>
        <v>870—960</v>
      </c>
      <c r="CC37" t="str">
        <f ca="1">INDEX(calc_MCP!$D$1:$XFD$6,6,CC$33)</f>
        <v>890—970</v>
      </c>
      <c r="CD37" t="str">
        <f ca="1">INDEX(calc_MCP!$D$1:$XFD$6,6,CD$33)</f>
        <v>890—970</v>
      </c>
      <c r="CE37" t="str">
        <f ca="1">INDEX(calc_MCP!$D$1:$XFD$6,6,CE$33)</f>
        <v>890—970</v>
      </c>
      <c r="CF37" t="str">
        <f ca="1">INDEX(calc_MCP!$D$1:$XFD$6,6,CF$33)</f>
        <v>890—970</v>
      </c>
      <c r="CG37" t="str">
        <f ca="1">INDEX(calc_MCP!$D$1:$XFD$6,6,CG$33)</f>
        <v>890—970</v>
      </c>
      <c r="CH37" t="str">
        <f ca="1">INDEX(calc_MCP!$D$1:$XFD$6,6,CH$33)</f>
        <v>890—970</v>
      </c>
      <c r="CI37" t="str">
        <f ca="1">INDEX(calc_MCP!$D$1:$XFD$6,6,CI$33)</f>
        <v>890—970</v>
      </c>
      <c r="CJ37" t="str">
        <f ca="1">INDEX(calc_MCP!$D$1:$XFD$6,6,CJ$33)</f>
        <v>890—970</v>
      </c>
      <c r="CK37" t="str">
        <f ca="1">INDEX(calc_MCP!$D$1:$XFD$6,6,CK$33)</f>
        <v>900—970</v>
      </c>
      <c r="CL37" t="str">
        <f ca="1">INDEX(calc_MCP!$D$1:$XFD$6,6,CL$33)</f>
        <v>900—1,000</v>
      </c>
      <c r="CM37" t="str">
        <f ca="1">INDEX(calc_MCP!$D$1:$XFD$6,6,CM$33)</f>
        <v>900—1,000</v>
      </c>
      <c r="CN37" t="str">
        <f ca="1">INDEX(calc_MCP!$D$1:$XFD$6,6,CN$33)</f>
        <v>900—1,000</v>
      </c>
      <c r="CO37" t="str">
        <f ca="1">INDEX(calc_MCP!$D$1:$XFD$6,6,CO$33)</f>
        <v>1,200—1,300</v>
      </c>
      <c r="CP37" t="str">
        <f ca="1">INDEX(calc_MCP!$D$1:$XFD$6,6,CP$33)</f>
        <v>1,200—1,450</v>
      </c>
      <c r="CQ37" t="str">
        <f ca="1">INDEX(calc_MCP!$D$1:$XFD$6,6,CQ$33)</f>
        <v>1,350—1,550</v>
      </c>
      <c r="CR37" t="str">
        <f ca="1">INDEX(calc_MCP!$D$1:$XFD$6,6,CR$33)</f>
        <v>1,700—2,000</v>
      </c>
      <c r="CS37" t="str">
        <f ca="1">INDEX(calc_MCP!$D$1:$XFD$6,6,CS$33)</f>
        <v>1,800—1,870</v>
      </c>
      <c r="CT37" t="str">
        <f ca="1">INDEX(calc_MCP!$D$1:$XFD$6,6,CT$33)</f>
        <v>1,750—1,900</v>
      </c>
      <c r="CU37" t="str">
        <f ca="1">INDEX(calc_MCP!$D$1:$XFD$6,6,CU$33)</f>
        <v>1,750—2,050</v>
      </c>
      <c r="CV37" t="str">
        <f ca="1">INDEX(calc_MCP!$D$1:$XFD$6,6,CV$33)</f>
        <v>1,750—2,050</v>
      </c>
      <c r="CW37" t="str">
        <f ca="1">INDEX(calc_MCP!$D$1:$XFD$6,6,CW$33)</f>
        <v>1,750—2,050</v>
      </c>
      <c r="CX37" t="str">
        <f ca="1">INDEX(calc_MCP!$D$1:$XFD$6,6,CX$33)</f>
        <v>1,700—2,000</v>
      </c>
      <c r="CY37" t="str">
        <f ca="1">INDEX(calc_MCP!$D$1:$XFD$6,6,CY$33)</f>
        <v>1,700—2,000</v>
      </c>
      <c r="CZ37" t="str">
        <f ca="1">INDEX(calc_MCP!$D$1:$XFD$6,6,CZ$33)</f>
        <v>1,650—1,900</v>
      </c>
      <c r="DA37" t="str">
        <f ca="1">INDEX(calc_MCP!$D$1:$XFD$6,6,DA$33)</f>
        <v>1,650—1,900</v>
      </c>
      <c r="DB37">
        <f ca="1">INDEX(calc_MCP!$D$1:$XFD$6,6,DB$33)</f>
        <v>0</v>
      </c>
      <c r="DC37">
        <f ca="1">INDEX(calc_MCP!$D$1:$XFD$6,6,DC$33)</f>
        <v>0</v>
      </c>
      <c r="DD37">
        <f ca="1">INDEX(calc_MCP!$D$1:$XFD$6,6,DD$33)</f>
        <v>0</v>
      </c>
      <c r="DE37">
        <f ca="1">INDEX(calc_MCP!$D$1:$XFD$6,6,DE$33)</f>
        <v>0</v>
      </c>
    </row>
    <row r="38" spans="4:109" x14ac:dyDescent="0.25">
      <c r="DA38" s="49"/>
    </row>
    <row r="39" spans="4:109" x14ac:dyDescent="0.25">
      <c r="D39" s="49">
        <f t="shared" ref="D39:BO39" ca="1" si="21">IFERROR(FIND("—",SUBSTITUTE(D37,"*","")),0)</f>
        <v>6</v>
      </c>
      <c r="E39" s="49">
        <f t="shared" ca="1" si="21"/>
        <v>6</v>
      </c>
      <c r="F39" s="49">
        <f t="shared" ca="1" si="21"/>
        <v>6</v>
      </c>
      <c r="G39" s="49">
        <f t="shared" ca="1" si="21"/>
        <v>6</v>
      </c>
      <c r="H39" s="49">
        <f t="shared" ca="1" si="21"/>
        <v>6</v>
      </c>
      <c r="I39" s="49">
        <f t="shared" ca="1" si="21"/>
        <v>6</v>
      </c>
      <c r="J39" s="49">
        <f t="shared" ca="1" si="21"/>
        <v>6</v>
      </c>
      <c r="K39" s="49">
        <f t="shared" ca="1" si="21"/>
        <v>6</v>
      </c>
      <c r="L39" s="49">
        <f t="shared" ca="1" si="21"/>
        <v>6</v>
      </c>
      <c r="M39" s="49">
        <f t="shared" ca="1" si="21"/>
        <v>6</v>
      </c>
      <c r="N39" s="49">
        <f t="shared" ca="1" si="21"/>
        <v>6</v>
      </c>
      <c r="O39" s="49">
        <f t="shared" ca="1" si="21"/>
        <v>6</v>
      </c>
      <c r="P39" s="49">
        <f t="shared" ca="1" si="21"/>
        <v>6</v>
      </c>
      <c r="Q39" s="49">
        <f t="shared" ca="1" si="21"/>
        <v>0</v>
      </c>
      <c r="R39" s="49">
        <f t="shared" ca="1" si="21"/>
        <v>6</v>
      </c>
      <c r="S39" s="49">
        <f t="shared" ca="1" si="21"/>
        <v>6</v>
      </c>
      <c r="T39" s="49">
        <f t="shared" ca="1" si="21"/>
        <v>6</v>
      </c>
      <c r="U39" s="49">
        <f t="shared" ca="1" si="21"/>
        <v>6</v>
      </c>
      <c r="V39" s="49">
        <f t="shared" ca="1" si="21"/>
        <v>6</v>
      </c>
      <c r="W39" s="49">
        <f t="shared" ca="1" si="21"/>
        <v>6</v>
      </c>
      <c r="X39" s="49">
        <f t="shared" ca="1" si="21"/>
        <v>6</v>
      </c>
      <c r="Y39" s="49">
        <f t="shared" ca="1" si="21"/>
        <v>6</v>
      </c>
      <c r="Z39" s="49">
        <f t="shared" ca="1" si="21"/>
        <v>6</v>
      </c>
      <c r="AA39" s="49">
        <f t="shared" ca="1" si="21"/>
        <v>6</v>
      </c>
      <c r="AB39" s="49">
        <f t="shared" ca="1" si="21"/>
        <v>6</v>
      </c>
      <c r="AC39" s="49">
        <f t="shared" ca="1" si="21"/>
        <v>6</v>
      </c>
      <c r="AD39" s="49">
        <f t="shared" ca="1" si="21"/>
        <v>6</v>
      </c>
      <c r="AE39" s="49">
        <f t="shared" ca="1" si="21"/>
        <v>6</v>
      </c>
      <c r="AF39" s="49">
        <f t="shared" ca="1" si="21"/>
        <v>6</v>
      </c>
      <c r="AG39" s="49">
        <f t="shared" ca="1" si="21"/>
        <v>6</v>
      </c>
      <c r="AH39" s="49">
        <f t="shared" ca="1" si="21"/>
        <v>6</v>
      </c>
      <c r="AI39" s="49">
        <f t="shared" ca="1" si="21"/>
        <v>6</v>
      </c>
      <c r="AJ39" s="49">
        <f t="shared" ca="1" si="21"/>
        <v>6</v>
      </c>
      <c r="AK39" s="49">
        <f t="shared" ca="1" si="21"/>
        <v>6</v>
      </c>
      <c r="AL39" s="49">
        <f t="shared" ca="1" si="21"/>
        <v>6</v>
      </c>
      <c r="AM39" s="49">
        <f t="shared" ca="1" si="21"/>
        <v>6</v>
      </c>
      <c r="AN39" s="49">
        <f t="shared" ca="1" si="21"/>
        <v>6</v>
      </c>
      <c r="AO39" s="49">
        <f t="shared" ca="1" si="21"/>
        <v>6</v>
      </c>
      <c r="AP39" s="49">
        <f t="shared" ca="1" si="21"/>
        <v>6</v>
      </c>
      <c r="AQ39" s="49">
        <f t="shared" ca="1" si="21"/>
        <v>6</v>
      </c>
      <c r="AR39" s="49">
        <f t="shared" ca="1" si="21"/>
        <v>6</v>
      </c>
      <c r="AS39" s="49">
        <f t="shared" ca="1" si="21"/>
        <v>6</v>
      </c>
      <c r="AT39" s="49">
        <f t="shared" ca="1" si="21"/>
        <v>6</v>
      </c>
      <c r="AU39" s="49">
        <f t="shared" ca="1" si="21"/>
        <v>6</v>
      </c>
      <c r="AV39" s="49">
        <f t="shared" ca="1" si="21"/>
        <v>6</v>
      </c>
      <c r="AW39" s="49">
        <f t="shared" ca="1" si="21"/>
        <v>6</v>
      </c>
      <c r="AX39" s="49">
        <f t="shared" ca="1" si="21"/>
        <v>6</v>
      </c>
      <c r="AY39" s="49">
        <f t="shared" ca="1" si="21"/>
        <v>6</v>
      </c>
      <c r="AZ39" s="49">
        <f t="shared" ca="1" si="21"/>
        <v>6</v>
      </c>
      <c r="BA39" s="49">
        <f t="shared" ca="1" si="21"/>
        <v>6</v>
      </c>
      <c r="BB39" s="49">
        <f t="shared" ca="1" si="21"/>
        <v>6</v>
      </c>
      <c r="BC39" s="49">
        <f t="shared" ca="1" si="21"/>
        <v>4</v>
      </c>
      <c r="BD39" s="49">
        <f t="shared" ca="1" si="21"/>
        <v>4</v>
      </c>
      <c r="BE39" s="49">
        <f t="shared" ca="1" si="21"/>
        <v>4</v>
      </c>
      <c r="BF39" s="49">
        <f t="shared" ca="1" si="21"/>
        <v>4</v>
      </c>
      <c r="BG39" s="49">
        <f t="shared" ca="1" si="21"/>
        <v>4</v>
      </c>
      <c r="BH39" s="49">
        <f t="shared" ca="1" si="21"/>
        <v>4</v>
      </c>
      <c r="BI39" s="49">
        <f t="shared" ca="1" si="21"/>
        <v>4</v>
      </c>
      <c r="BJ39" s="49">
        <f t="shared" ca="1" si="21"/>
        <v>4</v>
      </c>
      <c r="BK39" s="49">
        <f t="shared" ca="1" si="21"/>
        <v>4</v>
      </c>
      <c r="BL39" s="49">
        <f t="shared" ca="1" si="21"/>
        <v>4</v>
      </c>
      <c r="BM39" s="49">
        <f t="shared" ca="1" si="21"/>
        <v>4</v>
      </c>
      <c r="BN39" s="49">
        <f t="shared" ca="1" si="21"/>
        <v>4</v>
      </c>
      <c r="BO39" s="49">
        <f t="shared" ca="1" si="21"/>
        <v>4</v>
      </c>
      <c r="BP39" s="49">
        <f t="shared" ref="BP39:CN39" ca="1" si="22">IFERROR(FIND("—",SUBSTITUTE(BP37,"*","")),0)</f>
        <v>4</v>
      </c>
      <c r="BQ39" s="49">
        <f t="shared" ca="1" si="22"/>
        <v>4</v>
      </c>
      <c r="BR39" s="49">
        <f t="shared" ca="1" si="22"/>
        <v>4</v>
      </c>
      <c r="BS39" s="49">
        <f t="shared" ca="1" si="22"/>
        <v>4</v>
      </c>
      <c r="BT39" s="49">
        <f t="shared" ca="1" si="22"/>
        <v>4</v>
      </c>
      <c r="BU39" s="49">
        <f t="shared" ca="1" si="22"/>
        <v>4</v>
      </c>
      <c r="BV39" s="49">
        <f t="shared" ca="1" si="22"/>
        <v>4</v>
      </c>
      <c r="BW39" s="49">
        <f t="shared" ca="1" si="22"/>
        <v>4</v>
      </c>
      <c r="BX39" s="49">
        <f t="shared" ca="1" si="22"/>
        <v>4</v>
      </c>
      <c r="BY39" s="49">
        <f t="shared" ca="1" si="22"/>
        <v>4</v>
      </c>
      <c r="BZ39" s="49">
        <f t="shared" ca="1" si="22"/>
        <v>4</v>
      </c>
      <c r="CA39" s="49">
        <f t="shared" ca="1" si="22"/>
        <v>4</v>
      </c>
      <c r="CB39" s="49">
        <f t="shared" ca="1" si="22"/>
        <v>4</v>
      </c>
      <c r="CC39" s="49">
        <f t="shared" ca="1" si="22"/>
        <v>4</v>
      </c>
      <c r="CD39" s="49">
        <f t="shared" ca="1" si="22"/>
        <v>4</v>
      </c>
      <c r="CE39" s="49">
        <f t="shared" ca="1" si="22"/>
        <v>4</v>
      </c>
      <c r="CF39" s="49">
        <f t="shared" ca="1" si="22"/>
        <v>4</v>
      </c>
      <c r="CG39" s="49">
        <f t="shared" ca="1" si="22"/>
        <v>4</v>
      </c>
      <c r="CH39" s="49">
        <f t="shared" ca="1" si="22"/>
        <v>4</v>
      </c>
      <c r="CI39" s="49">
        <f t="shared" ca="1" si="22"/>
        <v>4</v>
      </c>
      <c r="CJ39" s="49">
        <f t="shared" ca="1" si="22"/>
        <v>4</v>
      </c>
      <c r="CK39" s="49">
        <f t="shared" ca="1" si="22"/>
        <v>4</v>
      </c>
      <c r="CL39" s="49">
        <f t="shared" ca="1" si="22"/>
        <v>4</v>
      </c>
      <c r="CM39" s="49">
        <f t="shared" ca="1" si="22"/>
        <v>4</v>
      </c>
      <c r="CN39" s="49">
        <f t="shared" ca="1" si="22"/>
        <v>4</v>
      </c>
      <c r="CO39" s="49">
        <f t="shared" ref="CO39:CZ39" ca="1" si="23">IFERROR(FIND("—",SUBSTITUTE(CO37,"*","")),0)</f>
        <v>6</v>
      </c>
      <c r="CP39" s="49">
        <f t="shared" ca="1" si="23"/>
        <v>6</v>
      </c>
      <c r="CQ39" s="49">
        <f t="shared" ca="1" si="23"/>
        <v>6</v>
      </c>
      <c r="CR39" s="49">
        <f t="shared" ca="1" si="23"/>
        <v>6</v>
      </c>
      <c r="CS39" s="49">
        <f t="shared" ca="1" si="23"/>
        <v>6</v>
      </c>
      <c r="CT39" s="49">
        <f t="shared" ca="1" si="23"/>
        <v>6</v>
      </c>
      <c r="CU39" s="49">
        <f t="shared" ca="1" si="23"/>
        <v>6</v>
      </c>
      <c r="CV39" s="49">
        <f t="shared" ca="1" si="23"/>
        <v>6</v>
      </c>
      <c r="CW39" s="49">
        <f t="shared" ca="1" si="23"/>
        <v>6</v>
      </c>
      <c r="CX39" s="49">
        <f t="shared" ca="1" si="23"/>
        <v>6</v>
      </c>
      <c r="CY39" s="49">
        <f t="shared" ca="1" si="23"/>
        <v>6</v>
      </c>
      <c r="CZ39" s="49">
        <f t="shared" ca="1" si="23"/>
        <v>6</v>
      </c>
      <c r="DA39" s="49">
        <f ca="1">IFERROR(FIND("—",SUBSTITUTE(DA37,"*","")),0)</f>
        <v>6</v>
      </c>
      <c r="DB39" s="49">
        <f t="shared" ref="DB39:DE39" ca="1" si="24">IFERROR(FIND("—",SUBSTITUTE(DB37,"*","")),0)</f>
        <v>0</v>
      </c>
      <c r="DC39" s="49">
        <f t="shared" ca="1" si="24"/>
        <v>0</v>
      </c>
      <c r="DD39" s="49">
        <f t="shared" ca="1" si="24"/>
        <v>0</v>
      </c>
      <c r="DE39" s="49">
        <f t="shared" ca="1" si="24"/>
        <v>0</v>
      </c>
    </row>
    <row r="40" spans="4:109" x14ac:dyDescent="0.25">
      <c r="D40" s="49">
        <f t="shared" ref="D40" ca="1" si="25">IF(D39=0,VALUE(SUBSTITUTE(D37,"*","")),VALUE(LEFT(SUBSTITUTE(D37,"*",""),D39-1)))</f>
        <v>1200</v>
      </c>
      <c r="E40" s="49">
        <f t="shared" ref="E40" ca="1" si="26">IF(E39=0,VALUE(SUBSTITUTE(E37,"*","")),VALUE(LEFT(SUBSTITUTE(E37,"*",""),E39-1)))</f>
        <v>1150</v>
      </c>
      <c r="F40" s="49">
        <f t="shared" ref="F40" ca="1" si="27">IF(F39=0,VALUE(SUBSTITUTE(F37,"*","")),VALUE(LEFT(SUBSTITUTE(F37,"*",""),F39-1)))</f>
        <v>1150</v>
      </c>
      <c r="G40" s="49">
        <f t="shared" ref="G40" ca="1" si="28">IF(G39=0,VALUE(SUBSTITUTE(G37,"*","")),VALUE(LEFT(SUBSTITUTE(G37,"*",""),G39-1)))</f>
        <v>1150</v>
      </c>
      <c r="H40" s="49">
        <f t="shared" ref="H40" ca="1" si="29">IF(H39=0,VALUE(SUBSTITUTE(H37,"*","")),VALUE(LEFT(SUBSTITUTE(H37,"*",""),H39-1)))</f>
        <v>1150</v>
      </c>
      <c r="I40" s="49">
        <f t="shared" ref="I40" ca="1" si="30">IF(I39=0,VALUE(SUBSTITUTE(I37,"*","")),VALUE(LEFT(SUBSTITUTE(I37,"*",""),I39-1)))</f>
        <v>1150</v>
      </c>
      <c r="J40" s="49">
        <f t="shared" ref="J40" ca="1" si="31">IF(J39=0,VALUE(SUBSTITUTE(J37,"*","")),VALUE(LEFT(SUBSTITUTE(J37,"*",""),J39-1)))</f>
        <v>1150</v>
      </c>
      <c r="K40" s="49">
        <f t="shared" ref="K40" ca="1" si="32">IF(K39=0,VALUE(SUBSTITUTE(K37,"*","")),VALUE(LEFT(SUBSTITUTE(K37,"*",""),K39-1)))</f>
        <v>1180</v>
      </c>
      <c r="L40" s="49">
        <f t="shared" ref="L40" ca="1" si="33">IF(L39=0,VALUE(SUBSTITUTE(L37,"*","")),VALUE(LEFT(SUBSTITUTE(L37,"*",""),L39-1)))</f>
        <v>1200</v>
      </c>
      <c r="M40" s="49">
        <f t="shared" ref="M40" ca="1" si="34">IF(M39=0,VALUE(SUBSTITUTE(M37,"*","")),VALUE(LEFT(SUBSTITUTE(M37,"*",""),M39-1)))</f>
        <v>1250</v>
      </c>
      <c r="N40" s="49">
        <f t="shared" ref="N40" ca="1" si="35">IF(N39=0,VALUE(SUBSTITUTE(N37,"*","")),VALUE(LEFT(SUBSTITUTE(N37,"*",""),N39-1)))</f>
        <v>1250</v>
      </c>
      <c r="O40" s="49">
        <f t="shared" ref="O40" ca="1" si="36">IF(O39=0,VALUE(SUBSTITUTE(O37,"*","")),VALUE(LEFT(SUBSTITUTE(O37,"*",""),O39-1)))</f>
        <v>1250</v>
      </c>
      <c r="P40" s="49">
        <f t="shared" ref="P40" ca="1" si="37">IF(P39=0,VALUE(SUBSTITUTE(P37,"*","")),VALUE(LEFT(SUBSTITUTE(P37,"*",""),P39-1)))</f>
        <v>1250</v>
      </c>
      <c r="Q40" s="49" t="e">
        <f t="shared" ref="Q40" ca="1" si="38">IF(Q39=0,VALUE(SUBSTITUTE(Q37,"*","")),VALUE(LEFT(SUBSTITUTE(Q37,"*",""),Q39-1)))</f>
        <v>#REF!</v>
      </c>
      <c r="R40" s="49">
        <f t="shared" ref="R40" ca="1" si="39">IF(R39=0,VALUE(SUBSTITUTE(R37,"*","")),VALUE(LEFT(SUBSTITUTE(R37,"*",""),R39-1)))</f>
        <v>1200</v>
      </c>
      <c r="S40" s="49">
        <f t="shared" ref="S40" ca="1" si="40">IF(S39=0,VALUE(SUBSTITUTE(S37,"*","")),VALUE(LEFT(SUBSTITUTE(S37,"*",""),S39-1)))</f>
        <v>1200</v>
      </c>
      <c r="T40" s="49">
        <f t="shared" ref="T40" ca="1" si="41">IF(T39=0,VALUE(SUBSTITUTE(T37,"*","")),VALUE(LEFT(SUBSTITUTE(T37,"*",""),T39-1)))</f>
        <v>1180</v>
      </c>
      <c r="U40" s="49">
        <f t="shared" ref="U40" ca="1" si="42">IF(U39=0,VALUE(SUBSTITUTE(U37,"*","")),VALUE(LEFT(SUBSTITUTE(U37,"*",""),U39-1)))</f>
        <v>1180</v>
      </c>
      <c r="V40" s="49">
        <f t="shared" ref="V40" ca="1" si="43">IF(V39=0,VALUE(SUBSTITUTE(V37,"*","")),VALUE(LEFT(SUBSTITUTE(V37,"*",""),V39-1)))</f>
        <v>1130</v>
      </c>
      <c r="W40" s="49">
        <f t="shared" ref="W40" ca="1" si="44">IF(W39=0,VALUE(SUBSTITUTE(W37,"*","")),VALUE(LEFT(SUBSTITUTE(W37,"*",""),W39-1)))</f>
        <v>1130</v>
      </c>
      <c r="X40" s="49">
        <f t="shared" ref="X40" ca="1" si="45">IF(X39=0,VALUE(SUBSTITUTE(X37,"*","")),VALUE(LEFT(SUBSTITUTE(X37,"*",""),X39-1)))</f>
        <v>1120</v>
      </c>
      <c r="Y40" s="49">
        <f t="shared" ref="Y40" ca="1" si="46">IF(Y39=0,VALUE(SUBSTITUTE(Y37,"*","")),VALUE(LEFT(SUBSTITUTE(Y37,"*",""),Y39-1)))</f>
        <v>1100</v>
      </c>
      <c r="Z40" s="49">
        <f t="shared" ref="Z40" ca="1" si="47">IF(Z39=0,VALUE(SUBSTITUTE(Z37,"*","")),VALUE(LEFT(SUBSTITUTE(Z37,"*",""),Z39-1)))</f>
        <v>1100</v>
      </c>
      <c r="AA40" s="49">
        <f t="shared" ref="AA40" ca="1" si="48">IF(AA39=0,VALUE(SUBSTITUTE(AA37,"*","")),VALUE(LEFT(SUBSTITUTE(AA37,"*",""),AA39-1)))</f>
        <v>1080</v>
      </c>
      <c r="AB40" s="49">
        <f t="shared" ref="AB40" ca="1" si="49">IF(AB39=0,VALUE(SUBSTITUTE(AB37,"*","")),VALUE(LEFT(SUBSTITUTE(AB37,"*",""),AB39-1)))</f>
        <v>1060</v>
      </c>
      <c r="AC40" s="49">
        <f t="shared" ref="AC40" ca="1" si="50">IF(AC39=0,VALUE(SUBSTITUTE(AC37,"*","")),VALUE(LEFT(SUBSTITUTE(AC37,"*",""),AC39-1)))</f>
        <v>1060</v>
      </c>
      <c r="AD40" s="49">
        <f t="shared" ref="AD40" ca="1" si="51">IF(AD39=0,VALUE(SUBSTITUTE(AD37,"*","")),VALUE(LEFT(SUBSTITUTE(AD37,"*",""),AD39-1)))</f>
        <v>1060</v>
      </c>
      <c r="AE40" s="49">
        <f t="shared" ref="AE40" ca="1" si="52">IF(AE39=0,VALUE(SUBSTITUTE(AE37,"*","")),VALUE(LEFT(SUBSTITUTE(AE37,"*",""),AE39-1)))</f>
        <v>1060</v>
      </c>
      <c r="AF40" s="49">
        <f t="shared" ref="AF40" ca="1" si="53">IF(AF39=0,VALUE(SUBSTITUTE(AF37,"*","")),VALUE(LEFT(SUBSTITUTE(AF37,"*",""),AF39-1)))</f>
        <v>1060</v>
      </c>
      <c r="AG40" s="49">
        <f t="shared" ref="AG40" ca="1" si="54">IF(AG39=0,VALUE(SUBSTITUTE(AG37,"*","")),VALUE(LEFT(SUBSTITUTE(AG37,"*",""),AG39-1)))</f>
        <v>1060</v>
      </c>
      <c r="AH40" s="49">
        <f t="shared" ref="AH40" ca="1" si="55">IF(AH39=0,VALUE(SUBSTITUTE(AH37,"*","")),VALUE(LEFT(SUBSTITUTE(AH37,"*",""),AH39-1)))</f>
        <v>1070</v>
      </c>
      <c r="AI40" s="49">
        <f t="shared" ref="AI40" ca="1" si="56">IF(AI39=0,VALUE(SUBSTITUTE(AI37,"*","")),VALUE(LEFT(SUBSTITUTE(AI37,"*",""),AI39-1)))</f>
        <v>1070</v>
      </c>
      <c r="AJ40" s="49">
        <f t="shared" ref="AJ40" ca="1" si="57">IF(AJ39=0,VALUE(SUBSTITUTE(AJ37,"*","")),VALUE(LEFT(SUBSTITUTE(AJ37,"*",""),AJ39-1)))</f>
        <v>1070</v>
      </c>
      <c r="AK40" s="49">
        <f t="shared" ref="AK40" ca="1" si="58">IF(AK39=0,VALUE(SUBSTITUTE(AK37,"*","")),VALUE(LEFT(SUBSTITUTE(AK37,"*",""),AK39-1)))</f>
        <v>1070</v>
      </c>
      <c r="AL40" s="49">
        <f t="shared" ref="AL40" ca="1" si="59">IF(AL39=0,VALUE(SUBSTITUTE(AL37,"*","")),VALUE(LEFT(SUBSTITUTE(AL37,"*",""),AL39-1)))</f>
        <v>1100</v>
      </c>
      <c r="AM40" s="49">
        <f t="shared" ref="AM40" ca="1" si="60">IF(AM39=0,VALUE(SUBSTITUTE(AM37,"*","")),VALUE(LEFT(SUBSTITUTE(AM37,"*",""),AM39-1)))</f>
        <v>1100</v>
      </c>
      <c r="AN40" s="49">
        <f t="shared" ref="AN40" ca="1" si="61">IF(AN39=0,VALUE(SUBSTITUTE(AN37,"*","")),VALUE(LEFT(SUBSTITUTE(AN37,"*",""),AN39-1)))</f>
        <v>1100</v>
      </c>
      <c r="AO40" s="49">
        <f t="shared" ref="AO40" ca="1" si="62">IF(AO39=0,VALUE(SUBSTITUTE(AO37,"*","")),VALUE(LEFT(SUBSTITUTE(AO37,"*",""),AO39-1)))</f>
        <v>1100</v>
      </c>
      <c r="AP40" s="49">
        <f t="shared" ref="AP40" ca="1" si="63">IF(AP39=0,VALUE(SUBSTITUTE(AP37,"*","")),VALUE(LEFT(SUBSTITUTE(AP37,"*",""),AP39-1)))</f>
        <v>1100</v>
      </c>
      <c r="AQ40" s="49">
        <f t="shared" ref="AQ40" ca="1" si="64">IF(AQ39=0,VALUE(SUBSTITUTE(AQ37,"*","")),VALUE(LEFT(SUBSTITUTE(AQ37,"*",""),AQ39-1)))</f>
        <v>1100</v>
      </c>
      <c r="AR40" s="49">
        <f t="shared" ref="AR40" ca="1" si="65">IF(AR39=0,VALUE(SUBSTITUTE(AR37,"*","")),VALUE(LEFT(SUBSTITUTE(AR37,"*",""),AR39-1)))</f>
        <v>1100</v>
      </c>
      <c r="AS40" s="49">
        <f t="shared" ref="AS40" ca="1" si="66">IF(AS39=0,VALUE(SUBSTITUTE(AS37,"*","")),VALUE(LEFT(SUBSTITUTE(AS37,"*",""),AS39-1)))</f>
        <v>1100</v>
      </c>
      <c r="AT40" s="49">
        <f t="shared" ref="AT40" ca="1" si="67">IF(AT39=0,VALUE(SUBSTITUTE(AT37,"*","")),VALUE(LEFT(SUBSTITUTE(AT37,"*",""),AT39-1)))</f>
        <v>1100</v>
      </c>
      <c r="AU40" s="49">
        <f t="shared" ref="AU40" ca="1" si="68">IF(AU39=0,VALUE(SUBSTITUTE(AU37,"*","")),VALUE(LEFT(SUBSTITUTE(AU37,"*",""),AU39-1)))</f>
        <v>1030</v>
      </c>
      <c r="AV40" s="49">
        <f t="shared" ref="AV40" ca="1" si="69">IF(AV39=0,VALUE(SUBSTITUTE(AV37,"*","")),VALUE(LEFT(SUBSTITUTE(AV37,"*",""),AV39-1)))</f>
        <v>1030</v>
      </c>
      <c r="AW40" s="49">
        <f t="shared" ref="AW40" ca="1" si="70">IF(AW39=0,VALUE(SUBSTITUTE(AW37,"*","")),VALUE(LEFT(SUBSTITUTE(AW37,"*",""),AW39-1)))</f>
        <v>1030</v>
      </c>
      <c r="AX40" s="49">
        <f t="shared" ref="AX40" ca="1" si="71">IF(AX39=0,VALUE(SUBSTITUTE(AX37,"*","")),VALUE(LEFT(SUBSTITUTE(AX37,"*",""),AX39-1)))</f>
        <v>1020</v>
      </c>
      <c r="AY40" s="49">
        <f t="shared" ref="AY40" ca="1" si="72">IF(AY39=0,VALUE(SUBSTITUTE(AY37,"*","")),VALUE(LEFT(SUBSTITUTE(AY37,"*",""),AY39-1)))</f>
        <v>1020</v>
      </c>
      <c r="AZ40" s="49">
        <f t="shared" ref="AZ40" ca="1" si="73">IF(AZ39=0,VALUE(SUBSTITUTE(AZ37,"*","")),VALUE(LEFT(SUBSTITUTE(AZ37,"*",""),AZ39-1)))</f>
        <v>1020</v>
      </c>
      <c r="BA40" s="49">
        <f t="shared" ref="BA40" ca="1" si="74">IF(BA39=0,VALUE(SUBSTITUTE(BA37,"*","")),VALUE(LEFT(SUBSTITUTE(BA37,"*",""),BA39-1)))</f>
        <v>1000</v>
      </c>
      <c r="BB40" s="49">
        <f t="shared" ref="BB40" ca="1" si="75">IF(BB39=0,VALUE(SUBSTITUTE(BB37,"*","")),VALUE(LEFT(SUBSTITUTE(BB37,"*",""),BB39-1)))</f>
        <v>1000</v>
      </c>
      <c r="BC40" s="49">
        <f t="shared" ref="BC40" ca="1" si="76">IF(BC39=0,VALUE(SUBSTITUTE(BC37,"*","")),VALUE(LEFT(SUBSTITUTE(BC37,"*",""),BC39-1)))</f>
        <v>980</v>
      </c>
      <c r="BD40" s="49">
        <f t="shared" ref="BD40" ca="1" si="77">IF(BD39=0,VALUE(SUBSTITUTE(BD37,"*","")),VALUE(LEFT(SUBSTITUTE(BD37,"*",""),BD39-1)))</f>
        <v>980</v>
      </c>
      <c r="BE40" s="49">
        <f t="shared" ref="BE40" ca="1" si="78">IF(BE39=0,VALUE(SUBSTITUTE(BE37,"*","")),VALUE(LEFT(SUBSTITUTE(BE37,"*",""),BE39-1)))</f>
        <v>980</v>
      </c>
      <c r="BF40" s="49">
        <f t="shared" ref="BF40" ca="1" si="79">IF(BF39=0,VALUE(SUBSTITUTE(BF37,"*","")),VALUE(LEFT(SUBSTITUTE(BF37,"*",""),BF39-1)))</f>
        <v>980</v>
      </c>
      <c r="BG40" s="49">
        <f t="shared" ref="BG40" ca="1" si="80">IF(BG39=0,VALUE(SUBSTITUTE(BG37,"*","")),VALUE(LEFT(SUBSTITUTE(BG37,"*",""),BG39-1)))</f>
        <v>980</v>
      </c>
      <c r="BH40" s="49">
        <f t="shared" ref="BH40" ca="1" si="81">IF(BH39=0,VALUE(SUBSTITUTE(BH37,"*","")),VALUE(LEFT(SUBSTITUTE(BH37,"*",""),BH39-1)))</f>
        <v>980</v>
      </c>
      <c r="BI40" s="49">
        <f t="shared" ref="BI40" ca="1" si="82">IF(BI39=0,VALUE(SUBSTITUTE(BI37,"*","")),VALUE(LEFT(SUBSTITUTE(BI37,"*",""),BI39-1)))</f>
        <v>980</v>
      </c>
      <c r="BJ40" s="49">
        <f t="shared" ref="BJ40" ca="1" si="83">IF(BJ39=0,VALUE(SUBSTITUTE(BJ37,"*","")),VALUE(LEFT(SUBSTITUTE(BJ37,"*",""),BJ39-1)))</f>
        <v>980</v>
      </c>
      <c r="BK40" s="49">
        <f t="shared" ref="BK40" ca="1" si="84">IF(BK39=0,VALUE(SUBSTITUTE(BK37,"*","")),VALUE(LEFT(SUBSTITUTE(BK37,"*",""),BK39-1)))</f>
        <v>960</v>
      </c>
      <c r="BL40" s="49">
        <f t="shared" ref="BL40" ca="1" si="85">IF(BL39=0,VALUE(SUBSTITUTE(BL37,"*","")),VALUE(LEFT(SUBSTITUTE(BL37,"*",""),BL39-1)))</f>
        <v>960</v>
      </c>
      <c r="BM40" s="49">
        <f t="shared" ref="BM40" ca="1" si="86">IF(BM39=0,VALUE(SUBSTITUTE(BM37,"*","")),VALUE(LEFT(SUBSTITUTE(BM37,"*",""),BM39-1)))</f>
        <v>960</v>
      </c>
      <c r="BN40" s="49">
        <f t="shared" ref="BN40" ca="1" si="87">IF(BN39=0,VALUE(SUBSTITUTE(BN37,"*","")),VALUE(LEFT(SUBSTITUTE(BN37,"*",""),BN39-1)))</f>
        <v>960</v>
      </c>
      <c r="BO40" s="49">
        <f t="shared" ref="BO40" ca="1" si="88">IF(BO39=0,VALUE(SUBSTITUTE(BO37,"*","")),VALUE(LEFT(SUBSTITUTE(BO37,"*",""),BO39-1)))</f>
        <v>960</v>
      </c>
      <c r="BP40" s="49">
        <f t="shared" ref="BP40" ca="1" si="89">IF(BP39=0,VALUE(SUBSTITUTE(BP37,"*","")),VALUE(LEFT(SUBSTITUTE(BP37,"*",""),BP39-1)))</f>
        <v>930</v>
      </c>
      <c r="BQ40" s="49">
        <f t="shared" ref="BQ40" ca="1" si="90">IF(BQ39=0,VALUE(SUBSTITUTE(BQ37,"*","")),VALUE(LEFT(SUBSTITUTE(BQ37,"*",""),BQ39-1)))</f>
        <v>920</v>
      </c>
      <c r="BR40" s="49">
        <f t="shared" ref="BR40" ca="1" si="91">IF(BR39=0,VALUE(SUBSTITUTE(BR37,"*","")),VALUE(LEFT(SUBSTITUTE(BR37,"*",""),BR39-1)))</f>
        <v>920</v>
      </c>
      <c r="BS40" s="49">
        <f t="shared" ref="BS40" ca="1" si="92">IF(BS39=0,VALUE(SUBSTITUTE(BS37,"*","")),VALUE(LEFT(SUBSTITUTE(BS37,"*",""),BS39-1)))</f>
        <v>920</v>
      </c>
      <c r="BT40" s="49">
        <f t="shared" ref="BT40" ca="1" si="93">IF(BT39=0,VALUE(SUBSTITUTE(BT37,"*","")),VALUE(LEFT(SUBSTITUTE(BT37,"*",""),BT39-1)))</f>
        <v>900</v>
      </c>
      <c r="BU40" s="49">
        <f t="shared" ref="BU40" ca="1" si="94">IF(BU39=0,VALUE(SUBSTITUTE(BU37,"*","")),VALUE(LEFT(SUBSTITUTE(BU37,"*",""),BU39-1)))</f>
        <v>900</v>
      </c>
      <c r="BV40" s="49">
        <f t="shared" ref="BV40" ca="1" si="95">IF(BV39=0,VALUE(SUBSTITUTE(BV37,"*","")),VALUE(LEFT(SUBSTITUTE(BV37,"*",""),BV39-1)))</f>
        <v>890</v>
      </c>
      <c r="BW40" s="49">
        <f t="shared" ref="BW40" ca="1" si="96">IF(BW39=0,VALUE(SUBSTITUTE(BW37,"*","")),VALUE(LEFT(SUBSTITUTE(BW37,"*",""),BW39-1)))</f>
        <v>890</v>
      </c>
      <c r="BX40" s="49">
        <f t="shared" ref="BX40" ca="1" si="97">IF(BX39=0,VALUE(SUBSTITUTE(BX37,"*","")),VALUE(LEFT(SUBSTITUTE(BX37,"*",""),BX39-1)))</f>
        <v>870</v>
      </c>
      <c r="BY40" s="49">
        <f t="shared" ref="BY40" ca="1" si="98">IF(BY39=0,VALUE(SUBSTITUTE(BY37,"*","")),VALUE(LEFT(SUBSTITUTE(BY37,"*",""),BY39-1)))</f>
        <v>870</v>
      </c>
      <c r="BZ40" s="49">
        <f t="shared" ref="BZ40" ca="1" si="99">IF(BZ39=0,VALUE(SUBSTITUTE(BZ37,"*","")),VALUE(LEFT(SUBSTITUTE(BZ37,"*",""),BZ39-1)))</f>
        <v>870</v>
      </c>
      <c r="CA40" s="49">
        <f t="shared" ref="CA40" ca="1" si="100">IF(CA39=0,VALUE(SUBSTITUTE(CA37,"*","")),VALUE(LEFT(SUBSTITUTE(CA37,"*",""),CA39-1)))</f>
        <v>870</v>
      </c>
      <c r="CB40" s="49">
        <f t="shared" ref="CB40" ca="1" si="101">IF(CB39=0,VALUE(SUBSTITUTE(CB37,"*","")),VALUE(LEFT(SUBSTITUTE(CB37,"*",""),CB39-1)))</f>
        <v>870</v>
      </c>
      <c r="CC40" s="49">
        <f t="shared" ref="CC40" ca="1" si="102">IF(CC39=0,VALUE(SUBSTITUTE(CC37,"*","")),VALUE(LEFT(SUBSTITUTE(CC37,"*",""),CC39-1)))</f>
        <v>890</v>
      </c>
      <c r="CD40" s="49">
        <f t="shared" ref="CD40" ca="1" si="103">IF(CD39=0,VALUE(SUBSTITUTE(CD37,"*","")),VALUE(LEFT(SUBSTITUTE(CD37,"*",""),CD39-1)))</f>
        <v>890</v>
      </c>
      <c r="CE40" s="49">
        <f t="shared" ref="CE40" ca="1" si="104">IF(CE39=0,VALUE(SUBSTITUTE(CE37,"*","")),VALUE(LEFT(SUBSTITUTE(CE37,"*",""),CE39-1)))</f>
        <v>890</v>
      </c>
      <c r="CF40" s="49">
        <f t="shared" ref="CF40" ca="1" si="105">IF(CF39=0,VALUE(SUBSTITUTE(CF37,"*","")),VALUE(LEFT(SUBSTITUTE(CF37,"*",""),CF39-1)))</f>
        <v>890</v>
      </c>
      <c r="CG40" s="49">
        <f t="shared" ref="CG40" ca="1" si="106">IF(CG39=0,VALUE(SUBSTITUTE(CG37,"*","")),VALUE(LEFT(SUBSTITUTE(CG37,"*",""),CG39-1)))</f>
        <v>890</v>
      </c>
      <c r="CH40" s="49">
        <f t="shared" ref="CH40" ca="1" si="107">IF(CH39=0,VALUE(SUBSTITUTE(CH37,"*","")),VALUE(LEFT(SUBSTITUTE(CH37,"*",""),CH39-1)))</f>
        <v>890</v>
      </c>
      <c r="CI40" s="49">
        <f t="shared" ref="CI40" ca="1" si="108">IF(CI39=0,VALUE(SUBSTITUTE(CI37,"*","")),VALUE(LEFT(SUBSTITUTE(CI37,"*",""),CI39-1)))</f>
        <v>890</v>
      </c>
      <c r="CJ40" s="49">
        <f t="shared" ref="CJ40" ca="1" si="109">IF(CJ39=0,VALUE(SUBSTITUTE(CJ37,"*","")),VALUE(LEFT(SUBSTITUTE(CJ37,"*",""),CJ39-1)))</f>
        <v>890</v>
      </c>
      <c r="CK40" s="49">
        <f t="shared" ref="CK40" ca="1" si="110">IF(CK39=0,VALUE(SUBSTITUTE(CK37,"*","")),VALUE(LEFT(SUBSTITUTE(CK37,"*",""),CK39-1)))</f>
        <v>900</v>
      </c>
      <c r="CL40" s="49">
        <f t="shared" ref="CL40" ca="1" si="111">IF(CL39=0,VALUE(SUBSTITUTE(CL37,"*","")),VALUE(LEFT(SUBSTITUTE(CL37,"*",""),CL39-1)))</f>
        <v>900</v>
      </c>
      <c r="CM40" s="49">
        <f t="shared" ref="CM40" ca="1" si="112">IF(CM39=0,VALUE(SUBSTITUTE(CM37,"*","")),VALUE(LEFT(SUBSTITUTE(CM37,"*",""),CM39-1)))</f>
        <v>900</v>
      </c>
      <c r="CN40" s="49">
        <f t="shared" ref="CN40" ca="1" si="113">IF(CN39=0,VALUE(SUBSTITUTE(CN37,"*","")),VALUE(LEFT(SUBSTITUTE(CN37,"*",""),CN39-1)))</f>
        <v>900</v>
      </c>
      <c r="CO40" s="49">
        <f t="shared" ref="CO40:CZ40" ca="1" si="114">IF(CO39=0,VALUE(SUBSTITUTE(CO37,"*","")),VALUE(LEFT(SUBSTITUTE(CO37,"*",""),CO39-1)))</f>
        <v>1200</v>
      </c>
      <c r="CP40" s="49">
        <f t="shared" ca="1" si="114"/>
        <v>1200</v>
      </c>
      <c r="CQ40" s="49">
        <f t="shared" ca="1" si="114"/>
        <v>1350</v>
      </c>
      <c r="CR40" s="49">
        <f t="shared" ca="1" si="114"/>
        <v>1700</v>
      </c>
      <c r="CS40" s="49">
        <f t="shared" ca="1" si="114"/>
        <v>1800</v>
      </c>
      <c r="CT40" s="49">
        <f t="shared" ca="1" si="114"/>
        <v>1750</v>
      </c>
      <c r="CU40" s="49">
        <f t="shared" ca="1" si="114"/>
        <v>1750</v>
      </c>
      <c r="CV40" s="49">
        <f t="shared" ca="1" si="114"/>
        <v>1750</v>
      </c>
      <c r="CW40" s="49">
        <f t="shared" ca="1" si="114"/>
        <v>1750</v>
      </c>
      <c r="CX40" s="49">
        <f t="shared" ca="1" si="114"/>
        <v>1700</v>
      </c>
      <c r="CY40" s="49">
        <f t="shared" ca="1" si="114"/>
        <v>1700</v>
      </c>
      <c r="CZ40" s="49">
        <f t="shared" ca="1" si="114"/>
        <v>1650</v>
      </c>
      <c r="DA40" s="49">
        <f ca="1">IF(DA39=0,VALUE(SUBSTITUTE(DA37,"*","")),VALUE(LEFT(SUBSTITUTE(DA37,"*",""),DA39-1)))</f>
        <v>1650</v>
      </c>
      <c r="DB40" s="49">
        <f t="shared" ref="DB40:DE40" ca="1" si="115">IF(DB39=0,VALUE(SUBSTITUTE(DB37,"*","")),VALUE(LEFT(SUBSTITUTE(DB37,"*",""),DB39-1)))</f>
        <v>0</v>
      </c>
      <c r="DC40" s="49">
        <f t="shared" ca="1" si="115"/>
        <v>0</v>
      </c>
      <c r="DD40" s="49">
        <f t="shared" ca="1" si="115"/>
        <v>0</v>
      </c>
      <c r="DE40" s="49">
        <f t="shared" ca="1" si="115"/>
        <v>0</v>
      </c>
    </row>
    <row r="41" spans="4:109" x14ac:dyDescent="0.25">
      <c r="D41" s="49">
        <f t="shared" ref="D41:BO41" ca="1" si="116">IF(D39=0,VALUE(SUBSTITUTE(D37,"*","")),VALUE(RIGHT(SUBSTITUTE(D37,"*",""),LEN(SUBSTITUTE(D37,"*",""))-D39)))</f>
        <v>1250</v>
      </c>
      <c r="E41" s="49">
        <f t="shared" ca="1" si="116"/>
        <v>1250</v>
      </c>
      <c r="F41" s="49">
        <f t="shared" ca="1" si="116"/>
        <v>1250</v>
      </c>
      <c r="G41" s="49">
        <f t="shared" ca="1" si="116"/>
        <v>1250</v>
      </c>
      <c r="H41" s="49">
        <f t="shared" ca="1" si="116"/>
        <v>1250</v>
      </c>
      <c r="I41" s="49">
        <f t="shared" ca="1" si="116"/>
        <v>1250</v>
      </c>
      <c r="J41" s="49">
        <f t="shared" ca="1" si="116"/>
        <v>1250</v>
      </c>
      <c r="K41" s="49">
        <f t="shared" ca="1" si="116"/>
        <v>1270</v>
      </c>
      <c r="L41" s="49">
        <f t="shared" ca="1" si="116"/>
        <v>1270</v>
      </c>
      <c r="M41" s="49">
        <f t="shared" ca="1" si="116"/>
        <v>1300</v>
      </c>
      <c r="N41" s="49">
        <f t="shared" ca="1" si="116"/>
        <v>1300</v>
      </c>
      <c r="O41" s="49">
        <f t="shared" ca="1" si="116"/>
        <v>1300</v>
      </c>
      <c r="P41" s="49">
        <f t="shared" ca="1" si="116"/>
        <v>1300</v>
      </c>
      <c r="Q41" s="49" t="e">
        <f t="shared" ca="1" si="116"/>
        <v>#REF!</v>
      </c>
      <c r="R41" s="49">
        <f t="shared" ca="1" si="116"/>
        <v>1250</v>
      </c>
      <c r="S41" s="49">
        <f t="shared" ca="1" si="116"/>
        <v>1230</v>
      </c>
      <c r="T41" s="49">
        <f t="shared" ca="1" si="116"/>
        <v>1250</v>
      </c>
      <c r="U41" s="49">
        <f t="shared" ca="1" si="116"/>
        <v>1250</v>
      </c>
      <c r="V41" s="49">
        <f t="shared" ca="1" si="116"/>
        <v>1200</v>
      </c>
      <c r="W41" s="49">
        <f t="shared" ca="1" si="116"/>
        <v>1200</v>
      </c>
      <c r="X41" s="49">
        <f t="shared" ca="1" si="116"/>
        <v>1200</v>
      </c>
      <c r="Y41" s="49">
        <f t="shared" ca="1" si="116"/>
        <v>1180</v>
      </c>
      <c r="Z41" s="49">
        <f t="shared" ca="1" si="116"/>
        <v>1180</v>
      </c>
      <c r="AA41" s="49">
        <f t="shared" ca="1" si="116"/>
        <v>1160</v>
      </c>
      <c r="AB41" s="49">
        <f t="shared" ca="1" si="116"/>
        <v>1160</v>
      </c>
      <c r="AC41" s="49">
        <f t="shared" ca="1" si="116"/>
        <v>1160</v>
      </c>
      <c r="AD41" s="49">
        <f t="shared" ca="1" si="116"/>
        <v>1160</v>
      </c>
      <c r="AE41" s="49">
        <f t="shared" ca="1" si="116"/>
        <v>1150</v>
      </c>
      <c r="AF41" s="49">
        <f t="shared" ca="1" si="116"/>
        <v>1150</v>
      </c>
      <c r="AG41" s="49">
        <f t="shared" ca="1" si="116"/>
        <v>1150</v>
      </c>
      <c r="AH41" s="49">
        <f t="shared" ca="1" si="116"/>
        <v>1200</v>
      </c>
      <c r="AI41" s="49">
        <f t="shared" ca="1" si="116"/>
        <v>1200</v>
      </c>
      <c r="AJ41" s="49">
        <f t="shared" ca="1" si="116"/>
        <v>1200</v>
      </c>
      <c r="AK41" s="49">
        <f t="shared" ca="1" si="116"/>
        <v>1200</v>
      </c>
      <c r="AL41" s="49">
        <f t="shared" ca="1" si="116"/>
        <v>1220</v>
      </c>
      <c r="AM41" s="49">
        <f t="shared" ca="1" si="116"/>
        <v>1230</v>
      </c>
      <c r="AN41" s="49">
        <f t="shared" ca="1" si="116"/>
        <v>1230</v>
      </c>
      <c r="AO41" s="49">
        <f t="shared" ca="1" si="116"/>
        <v>1230</v>
      </c>
      <c r="AP41" s="49">
        <f t="shared" ca="1" si="116"/>
        <v>1230</v>
      </c>
      <c r="AQ41" s="49">
        <f t="shared" ca="1" si="116"/>
        <v>1200</v>
      </c>
      <c r="AR41" s="49">
        <f t="shared" ca="1" si="116"/>
        <v>1200</v>
      </c>
      <c r="AS41" s="49">
        <f t="shared" ca="1" si="116"/>
        <v>1200</v>
      </c>
      <c r="AT41" s="49">
        <f t="shared" ca="1" si="116"/>
        <v>1200</v>
      </c>
      <c r="AU41" s="49">
        <f t="shared" ca="1" si="116"/>
        <v>1120</v>
      </c>
      <c r="AV41" s="49">
        <f t="shared" ca="1" si="116"/>
        <v>1120</v>
      </c>
      <c r="AW41" s="49">
        <f t="shared" ca="1" si="116"/>
        <v>1120</v>
      </c>
      <c r="AX41" s="49">
        <f t="shared" ca="1" si="116"/>
        <v>1100</v>
      </c>
      <c r="AY41" s="49">
        <f t="shared" ca="1" si="116"/>
        <v>1100</v>
      </c>
      <c r="AZ41" s="49">
        <f t="shared" ca="1" si="116"/>
        <v>1100</v>
      </c>
      <c r="BA41" s="49">
        <f t="shared" ca="1" si="116"/>
        <v>1080</v>
      </c>
      <c r="BB41" s="49">
        <f t="shared" ca="1" si="116"/>
        <v>1080</v>
      </c>
      <c r="BC41" s="49">
        <f t="shared" ca="1" si="116"/>
        <v>1050</v>
      </c>
      <c r="BD41" s="49">
        <f t="shared" ca="1" si="116"/>
        <v>1050</v>
      </c>
      <c r="BE41" s="49">
        <f t="shared" ca="1" si="116"/>
        <v>1050</v>
      </c>
      <c r="BF41" s="49">
        <f t="shared" ca="1" si="116"/>
        <v>1050</v>
      </c>
      <c r="BG41" s="49">
        <f t="shared" ca="1" si="116"/>
        <v>1050</v>
      </c>
      <c r="BH41" s="49">
        <f t="shared" ca="1" si="116"/>
        <v>1050</v>
      </c>
      <c r="BI41" s="49">
        <f t="shared" ca="1" si="116"/>
        <v>1050</v>
      </c>
      <c r="BJ41" s="49">
        <f t="shared" ca="1" si="116"/>
        <v>1050</v>
      </c>
      <c r="BK41" s="49">
        <f t="shared" ca="1" si="116"/>
        <v>1030</v>
      </c>
      <c r="BL41" s="49">
        <f t="shared" ca="1" si="116"/>
        <v>1040</v>
      </c>
      <c r="BM41" s="49">
        <f t="shared" ca="1" si="116"/>
        <v>1040</v>
      </c>
      <c r="BN41" s="49">
        <f t="shared" ca="1" si="116"/>
        <v>1040</v>
      </c>
      <c r="BO41" s="49">
        <f t="shared" ca="1" si="116"/>
        <v>1040</v>
      </c>
      <c r="BP41" s="49">
        <f t="shared" ref="BP41:CN41" ca="1" si="117">IF(BP39=0,VALUE(SUBSTITUTE(BP37,"*","")),VALUE(RIGHT(SUBSTITUTE(BP37,"*",""),LEN(SUBSTITUTE(BP37,"*",""))-BP39)))</f>
        <v>1020</v>
      </c>
      <c r="BQ41" s="49">
        <f t="shared" ca="1" si="117"/>
        <v>1000</v>
      </c>
      <c r="BR41" s="49">
        <f t="shared" ca="1" si="117"/>
        <v>1000</v>
      </c>
      <c r="BS41" s="49">
        <f t="shared" ca="1" si="117"/>
        <v>1000</v>
      </c>
      <c r="BT41" s="49">
        <f t="shared" ca="1" si="117"/>
        <v>980</v>
      </c>
      <c r="BU41" s="49">
        <f t="shared" ca="1" si="117"/>
        <v>960</v>
      </c>
      <c r="BV41" s="49">
        <f t="shared" ca="1" si="117"/>
        <v>960</v>
      </c>
      <c r="BW41" s="49">
        <f t="shared" ca="1" si="117"/>
        <v>960</v>
      </c>
      <c r="BX41" s="49">
        <f t="shared" ca="1" si="117"/>
        <v>960</v>
      </c>
      <c r="BY41" s="49">
        <f t="shared" ca="1" si="117"/>
        <v>960</v>
      </c>
      <c r="BZ41" s="49">
        <f t="shared" ca="1" si="117"/>
        <v>960</v>
      </c>
      <c r="CA41" s="49">
        <f t="shared" ca="1" si="117"/>
        <v>960</v>
      </c>
      <c r="CB41" s="49">
        <f t="shared" ca="1" si="117"/>
        <v>960</v>
      </c>
      <c r="CC41" s="49">
        <f t="shared" ca="1" si="117"/>
        <v>970</v>
      </c>
      <c r="CD41" s="49">
        <f t="shared" ca="1" si="117"/>
        <v>970</v>
      </c>
      <c r="CE41" s="49">
        <f t="shared" ca="1" si="117"/>
        <v>970</v>
      </c>
      <c r="CF41" s="49">
        <f t="shared" ca="1" si="117"/>
        <v>970</v>
      </c>
      <c r="CG41" s="49">
        <f t="shared" ca="1" si="117"/>
        <v>970</v>
      </c>
      <c r="CH41" s="49">
        <f t="shared" ca="1" si="117"/>
        <v>970</v>
      </c>
      <c r="CI41" s="49">
        <f t="shared" ca="1" si="117"/>
        <v>970</v>
      </c>
      <c r="CJ41" s="49">
        <f t="shared" ca="1" si="117"/>
        <v>970</v>
      </c>
      <c r="CK41" s="49">
        <f t="shared" ca="1" si="117"/>
        <v>970</v>
      </c>
      <c r="CL41" s="49">
        <f t="shared" ca="1" si="117"/>
        <v>1000</v>
      </c>
      <c r="CM41" s="49">
        <f t="shared" ca="1" si="117"/>
        <v>1000</v>
      </c>
      <c r="CN41" s="49">
        <f t="shared" ca="1" si="117"/>
        <v>1000</v>
      </c>
      <c r="CO41" s="49">
        <f t="shared" ref="CO41:CZ41" ca="1" si="118">IF(CO39=0,VALUE(SUBSTITUTE(CO37,"*","")),VALUE(RIGHT(SUBSTITUTE(CO37,"*",""),LEN(SUBSTITUTE(CO37,"*",""))-CO39)))</f>
        <v>1300</v>
      </c>
      <c r="CP41" s="49">
        <f t="shared" ca="1" si="118"/>
        <v>1450</v>
      </c>
      <c r="CQ41" s="49">
        <f t="shared" ca="1" si="118"/>
        <v>1550</v>
      </c>
      <c r="CR41" s="49">
        <f t="shared" ca="1" si="118"/>
        <v>2000</v>
      </c>
      <c r="CS41" s="49">
        <f t="shared" ca="1" si="118"/>
        <v>1870</v>
      </c>
      <c r="CT41" s="49">
        <f t="shared" ca="1" si="118"/>
        <v>1900</v>
      </c>
      <c r="CU41" s="49">
        <f t="shared" ca="1" si="118"/>
        <v>2050</v>
      </c>
      <c r="CV41" s="49">
        <f t="shared" ca="1" si="118"/>
        <v>2050</v>
      </c>
      <c r="CW41" s="49">
        <f t="shared" ca="1" si="118"/>
        <v>2050</v>
      </c>
      <c r="CX41" s="49">
        <f t="shared" ca="1" si="118"/>
        <v>2000</v>
      </c>
      <c r="CY41" s="49">
        <f t="shared" ca="1" si="118"/>
        <v>2000</v>
      </c>
      <c r="CZ41" s="49">
        <f t="shared" ca="1" si="118"/>
        <v>1900</v>
      </c>
      <c r="DA41" s="49">
        <f ca="1">IF(DA39=0,VALUE(SUBSTITUTE(DA37,"*","")),VALUE(RIGHT(SUBSTITUTE(DA37,"*",""),LEN(SUBSTITUTE(DA37,"*",""))-DA39)))</f>
        <v>1900</v>
      </c>
      <c r="DB41" s="49">
        <f t="shared" ref="DB41:DE41" ca="1" si="119">IF(DB39=0,VALUE(SUBSTITUTE(DB37,"*","")),VALUE(RIGHT(SUBSTITUTE(DB37,"*",""),LEN(SUBSTITUTE(DB37,"*",""))-DB39)))</f>
        <v>0</v>
      </c>
      <c r="DC41" s="49">
        <f t="shared" ca="1" si="119"/>
        <v>0</v>
      </c>
      <c r="DD41" s="49">
        <f t="shared" ca="1" si="119"/>
        <v>0</v>
      </c>
      <c r="DE41" s="49">
        <f t="shared" ca="1" si="119"/>
        <v>0</v>
      </c>
    </row>
    <row r="42" spans="4:109" x14ac:dyDescent="0.25">
      <c r="D42" s="49">
        <f t="shared" ref="D42" ca="1" si="120">IFERROR(IF(AVERAGE(D40:D41)=0,NA(),AVERAGE(D40:D41)),NA())</f>
        <v>1225</v>
      </c>
      <c r="E42" s="49">
        <f t="shared" ref="E42" ca="1" si="121">IFERROR(IF(AVERAGE(E40:E41)=0,NA(),AVERAGE(E40:E41)),NA())</f>
        <v>1200</v>
      </c>
      <c r="F42" s="49">
        <f t="shared" ref="F42" ca="1" si="122">IFERROR(IF(AVERAGE(F40:F41)=0,NA(),AVERAGE(F40:F41)),NA())</f>
        <v>1200</v>
      </c>
      <c r="G42" s="49">
        <f t="shared" ref="G42" ca="1" si="123">IFERROR(IF(AVERAGE(G40:G41)=0,NA(),AVERAGE(G40:G41)),NA())</f>
        <v>1200</v>
      </c>
      <c r="H42" s="49">
        <f t="shared" ref="H42" ca="1" si="124">IFERROR(IF(AVERAGE(H40:H41)=0,NA(),AVERAGE(H40:H41)),NA())</f>
        <v>1200</v>
      </c>
      <c r="I42" s="49">
        <f t="shared" ref="I42" ca="1" si="125">IFERROR(IF(AVERAGE(I40:I41)=0,NA(),AVERAGE(I40:I41)),NA())</f>
        <v>1200</v>
      </c>
      <c r="J42" s="49">
        <f t="shared" ref="J42" ca="1" si="126">IFERROR(IF(AVERAGE(J40:J41)=0,NA(),AVERAGE(J40:J41)),NA())</f>
        <v>1200</v>
      </c>
      <c r="K42" s="49">
        <f t="shared" ref="K42" ca="1" si="127">IFERROR(IF(AVERAGE(K40:K41)=0,NA(),AVERAGE(K40:K41)),NA())</f>
        <v>1225</v>
      </c>
      <c r="L42" s="49">
        <f t="shared" ref="L42" ca="1" si="128">IFERROR(IF(AVERAGE(L40:L41)=0,NA(),AVERAGE(L40:L41)),NA())</f>
        <v>1235</v>
      </c>
      <c r="M42" s="49">
        <f t="shared" ref="M42" ca="1" si="129">IFERROR(IF(AVERAGE(M40:M41)=0,NA(),AVERAGE(M40:M41)),NA())</f>
        <v>1275</v>
      </c>
      <c r="N42" s="49">
        <f t="shared" ref="N42" ca="1" si="130">IFERROR(IF(AVERAGE(N40:N41)=0,NA(),AVERAGE(N40:N41)),NA())</f>
        <v>1275</v>
      </c>
      <c r="O42" s="49">
        <f t="shared" ref="O42" ca="1" si="131">IFERROR(IF(AVERAGE(O40:O41)=0,NA(),AVERAGE(O40:O41)),NA())</f>
        <v>1275</v>
      </c>
      <c r="P42" s="49">
        <f t="shared" ref="P42" ca="1" si="132">IFERROR(IF(AVERAGE(P40:P41)=0,NA(),AVERAGE(P40:P41)),NA())</f>
        <v>1275</v>
      </c>
      <c r="Q42" s="49" t="e">
        <f t="shared" ref="Q42" ca="1" si="133">IFERROR(IF(AVERAGE(Q40:Q41)=0,NA(),AVERAGE(Q40:Q41)),NA())</f>
        <v>#N/A</v>
      </c>
      <c r="R42" s="49">
        <f t="shared" ref="R42" ca="1" si="134">IFERROR(IF(AVERAGE(R40:R41)=0,NA(),AVERAGE(R40:R41)),NA())</f>
        <v>1225</v>
      </c>
      <c r="S42" s="49">
        <f t="shared" ref="S42" ca="1" si="135">IFERROR(IF(AVERAGE(S40:S41)=0,NA(),AVERAGE(S40:S41)),NA())</f>
        <v>1215</v>
      </c>
      <c r="T42" s="49">
        <f t="shared" ref="T42" ca="1" si="136">IFERROR(IF(AVERAGE(T40:T41)=0,NA(),AVERAGE(T40:T41)),NA())</f>
        <v>1215</v>
      </c>
      <c r="U42" s="49">
        <f t="shared" ref="U42" ca="1" si="137">IFERROR(IF(AVERAGE(U40:U41)=0,NA(),AVERAGE(U40:U41)),NA())</f>
        <v>1215</v>
      </c>
      <c r="V42" s="49">
        <f t="shared" ref="V42" ca="1" si="138">IFERROR(IF(AVERAGE(V40:V41)=0,NA(),AVERAGE(V40:V41)),NA())</f>
        <v>1165</v>
      </c>
      <c r="W42" s="49">
        <f t="shared" ref="W42" ca="1" si="139">IFERROR(IF(AVERAGE(W40:W41)=0,NA(),AVERAGE(W40:W41)),NA())</f>
        <v>1165</v>
      </c>
      <c r="X42" s="49">
        <f t="shared" ref="X42" ca="1" si="140">IFERROR(IF(AVERAGE(X40:X41)=0,NA(),AVERAGE(X40:X41)),NA())</f>
        <v>1160</v>
      </c>
      <c r="Y42" s="49">
        <f t="shared" ref="Y42" ca="1" si="141">IFERROR(IF(AVERAGE(Y40:Y41)=0,NA(),AVERAGE(Y40:Y41)),NA())</f>
        <v>1140</v>
      </c>
      <c r="Z42" s="49">
        <f t="shared" ref="Z42" ca="1" si="142">IFERROR(IF(AVERAGE(Z40:Z41)=0,NA(),AVERAGE(Z40:Z41)),NA())</f>
        <v>1140</v>
      </c>
      <c r="AA42" s="49">
        <f t="shared" ref="AA42" ca="1" si="143">IFERROR(IF(AVERAGE(AA40:AA41)=0,NA(),AVERAGE(AA40:AA41)),NA())</f>
        <v>1120</v>
      </c>
      <c r="AB42" s="49">
        <f t="shared" ref="AB42" ca="1" si="144">IFERROR(IF(AVERAGE(AB40:AB41)=0,NA(),AVERAGE(AB40:AB41)),NA())</f>
        <v>1110</v>
      </c>
      <c r="AC42" s="49">
        <f t="shared" ref="AC42" ca="1" si="145">IFERROR(IF(AVERAGE(AC40:AC41)=0,NA(),AVERAGE(AC40:AC41)),NA())</f>
        <v>1110</v>
      </c>
      <c r="AD42" s="49">
        <f t="shared" ref="AD42" ca="1" si="146">IFERROR(IF(AVERAGE(AD40:AD41)=0,NA(),AVERAGE(AD40:AD41)),NA())</f>
        <v>1110</v>
      </c>
      <c r="AE42" s="49">
        <f t="shared" ref="AE42" ca="1" si="147">IFERROR(IF(AVERAGE(AE40:AE41)=0,NA(),AVERAGE(AE40:AE41)),NA())</f>
        <v>1105</v>
      </c>
      <c r="AF42" s="49">
        <f t="shared" ref="AF42" ca="1" si="148">IFERROR(IF(AVERAGE(AF40:AF41)=0,NA(),AVERAGE(AF40:AF41)),NA())</f>
        <v>1105</v>
      </c>
      <c r="AG42" s="49">
        <f t="shared" ref="AG42" ca="1" si="149">IFERROR(IF(AVERAGE(AG40:AG41)=0,NA(),AVERAGE(AG40:AG41)),NA())</f>
        <v>1105</v>
      </c>
      <c r="AH42" s="49">
        <f t="shared" ref="AH42" ca="1" si="150">IFERROR(IF(AVERAGE(AH40:AH41)=0,NA(),AVERAGE(AH40:AH41)),NA())</f>
        <v>1135</v>
      </c>
      <c r="AI42" s="49">
        <f t="shared" ref="AI42" ca="1" si="151">IFERROR(IF(AVERAGE(AI40:AI41)=0,NA(),AVERAGE(AI40:AI41)),NA())</f>
        <v>1135</v>
      </c>
      <c r="AJ42" s="49">
        <f t="shared" ref="AJ42" ca="1" si="152">IFERROR(IF(AVERAGE(AJ40:AJ41)=0,NA(),AVERAGE(AJ40:AJ41)),NA())</f>
        <v>1135</v>
      </c>
      <c r="AK42" s="49">
        <f t="shared" ref="AK42" ca="1" si="153">IFERROR(IF(AVERAGE(AK40:AK41)=0,NA(),AVERAGE(AK40:AK41)),NA())</f>
        <v>1135</v>
      </c>
      <c r="AL42" s="49">
        <f t="shared" ref="AL42" ca="1" si="154">IFERROR(IF(AVERAGE(AL40:AL41)=0,NA(),AVERAGE(AL40:AL41)),NA())</f>
        <v>1160</v>
      </c>
      <c r="AM42" s="49">
        <f t="shared" ref="AM42" ca="1" si="155">IFERROR(IF(AVERAGE(AM40:AM41)=0,NA(),AVERAGE(AM40:AM41)),NA())</f>
        <v>1165</v>
      </c>
      <c r="AN42" s="49">
        <f t="shared" ref="AN42" ca="1" si="156">IFERROR(IF(AVERAGE(AN40:AN41)=0,NA(),AVERAGE(AN40:AN41)),NA())</f>
        <v>1165</v>
      </c>
      <c r="AO42" s="49">
        <f t="shared" ref="AO42" ca="1" si="157">IFERROR(IF(AVERAGE(AO40:AO41)=0,NA(),AVERAGE(AO40:AO41)),NA())</f>
        <v>1165</v>
      </c>
      <c r="AP42" s="49">
        <f t="shared" ref="AP42" ca="1" si="158">IFERROR(IF(AVERAGE(AP40:AP41)=0,NA(),AVERAGE(AP40:AP41)),NA())</f>
        <v>1165</v>
      </c>
      <c r="AQ42" s="49">
        <f t="shared" ref="AQ42" ca="1" si="159">IFERROR(IF(AVERAGE(AQ40:AQ41)=0,NA(),AVERAGE(AQ40:AQ41)),NA())</f>
        <v>1150</v>
      </c>
      <c r="AR42" s="49">
        <f t="shared" ref="AR42" ca="1" si="160">IFERROR(IF(AVERAGE(AR40:AR41)=0,NA(),AVERAGE(AR40:AR41)),NA())</f>
        <v>1150</v>
      </c>
      <c r="AS42" s="49">
        <f t="shared" ref="AS42" ca="1" si="161">IFERROR(IF(AVERAGE(AS40:AS41)=0,NA(),AVERAGE(AS40:AS41)),NA())</f>
        <v>1150</v>
      </c>
      <c r="AT42" s="49">
        <f t="shared" ref="AT42" ca="1" si="162">IFERROR(IF(AVERAGE(AT40:AT41)=0,NA(),AVERAGE(AT40:AT41)),NA())</f>
        <v>1150</v>
      </c>
      <c r="AU42" s="49">
        <f t="shared" ref="AU42" ca="1" si="163">IFERROR(IF(AVERAGE(AU40:AU41)=0,NA(),AVERAGE(AU40:AU41)),NA())</f>
        <v>1075</v>
      </c>
      <c r="AV42" s="49">
        <f t="shared" ref="AV42" ca="1" si="164">IFERROR(IF(AVERAGE(AV40:AV41)=0,NA(),AVERAGE(AV40:AV41)),NA())</f>
        <v>1075</v>
      </c>
      <c r="AW42" s="49">
        <f t="shared" ref="AW42" ca="1" si="165">IFERROR(IF(AVERAGE(AW40:AW41)=0,NA(),AVERAGE(AW40:AW41)),NA())</f>
        <v>1075</v>
      </c>
      <c r="AX42" s="49">
        <f t="shared" ref="AX42" ca="1" si="166">IFERROR(IF(AVERAGE(AX40:AX41)=0,NA(),AVERAGE(AX40:AX41)),NA())</f>
        <v>1060</v>
      </c>
      <c r="AY42" s="49">
        <f t="shared" ref="AY42" ca="1" si="167">IFERROR(IF(AVERAGE(AY40:AY41)=0,NA(),AVERAGE(AY40:AY41)),NA())</f>
        <v>1060</v>
      </c>
      <c r="AZ42" s="49">
        <f t="shared" ref="AZ42" ca="1" si="168">IFERROR(IF(AVERAGE(AZ40:AZ41)=0,NA(),AVERAGE(AZ40:AZ41)),NA())</f>
        <v>1060</v>
      </c>
      <c r="BA42" s="49">
        <f t="shared" ref="BA42" ca="1" si="169">IFERROR(IF(AVERAGE(BA40:BA41)=0,NA(),AVERAGE(BA40:BA41)),NA())</f>
        <v>1040</v>
      </c>
      <c r="BB42" s="49">
        <f t="shared" ref="BB42" ca="1" si="170">IFERROR(IF(AVERAGE(BB40:BB41)=0,NA(),AVERAGE(BB40:BB41)),NA())</f>
        <v>1040</v>
      </c>
      <c r="BC42" s="49">
        <f t="shared" ref="BC42" ca="1" si="171">IFERROR(IF(AVERAGE(BC40:BC41)=0,NA(),AVERAGE(BC40:BC41)),NA())</f>
        <v>1015</v>
      </c>
      <c r="BD42" s="49">
        <f t="shared" ref="BD42" ca="1" si="172">IFERROR(IF(AVERAGE(BD40:BD41)=0,NA(),AVERAGE(BD40:BD41)),NA())</f>
        <v>1015</v>
      </c>
      <c r="BE42" s="49">
        <f t="shared" ref="BE42" ca="1" si="173">IFERROR(IF(AVERAGE(BE40:BE41)=0,NA(),AVERAGE(BE40:BE41)),NA())</f>
        <v>1015</v>
      </c>
      <c r="BF42" s="49">
        <f t="shared" ref="BF42" ca="1" si="174">IFERROR(IF(AVERAGE(BF40:BF41)=0,NA(),AVERAGE(BF40:BF41)),NA())</f>
        <v>1015</v>
      </c>
      <c r="BG42" s="49">
        <f t="shared" ref="BG42" ca="1" si="175">IFERROR(IF(AVERAGE(BG40:BG41)=0,NA(),AVERAGE(BG40:BG41)),NA())</f>
        <v>1015</v>
      </c>
      <c r="BH42" s="49">
        <f t="shared" ref="BH42" ca="1" si="176">IFERROR(IF(AVERAGE(BH40:BH41)=0,NA(),AVERAGE(BH40:BH41)),NA())</f>
        <v>1015</v>
      </c>
      <c r="BI42" s="49">
        <f t="shared" ref="BI42" ca="1" si="177">IFERROR(IF(AVERAGE(BI40:BI41)=0,NA(),AVERAGE(BI40:BI41)),NA())</f>
        <v>1015</v>
      </c>
      <c r="BJ42" s="49">
        <f t="shared" ref="BJ42" ca="1" si="178">IFERROR(IF(AVERAGE(BJ40:BJ41)=0,NA(),AVERAGE(BJ40:BJ41)),NA())</f>
        <v>1015</v>
      </c>
      <c r="BK42" s="49">
        <f t="shared" ref="BK42" ca="1" si="179">IFERROR(IF(AVERAGE(BK40:BK41)=0,NA(),AVERAGE(BK40:BK41)),NA())</f>
        <v>995</v>
      </c>
      <c r="BL42" s="49">
        <f t="shared" ref="BL42" ca="1" si="180">IFERROR(IF(AVERAGE(BL40:BL41)=0,NA(),AVERAGE(BL40:BL41)),NA())</f>
        <v>1000</v>
      </c>
      <c r="BM42" s="49">
        <f t="shared" ref="BM42" ca="1" si="181">IFERROR(IF(AVERAGE(BM40:BM41)=0,NA(),AVERAGE(BM40:BM41)),NA())</f>
        <v>1000</v>
      </c>
      <c r="BN42" s="49">
        <f t="shared" ref="BN42" ca="1" si="182">IFERROR(IF(AVERAGE(BN40:BN41)=0,NA(),AVERAGE(BN40:BN41)),NA())</f>
        <v>1000</v>
      </c>
      <c r="BO42" s="49">
        <f t="shared" ref="BO42" ca="1" si="183">IFERROR(IF(AVERAGE(BO40:BO41)=0,NA(),AVERAGE(BO40:BO41)),NA())</f>
        <v>1000</v>
      </c>
      <c r="BP42" s="49">
        <f t="shared" ref="BP42" ca="1" si="184">IFERROR(IF(AVERAGE(BP40:BP41)=0,NA(),AVERAGE(BP40:BP41)),NA())</f>
        <v>975</v>
      </c>
      <c r="BQ42" s="49">
        <f t="shared" ref="BQ42" ca="1" si="185">IFERROR(IF(AVERAGE(BQ40:BQ41)=0,NA(),AVERAGE(BQ40:BQ41)),NA())</f>
        <v>960</v>
      </c>
      <c r="BR42" s="49">
        <f t="shared" ref="BR42" ca="1" si="186">IFERROR(IF(AVERAGE(BR40:BR41)=0,NA(),AVERAGE(BR40:BR41)),NA())</f>
        <v>960</v>
      </c>
      <c r="BS42" s="49">
        <f t="shared" ref="BS42" ca="1" si="187">IFERROR(IF(AVERAGE(BS40:BS41)=0,NA(),AVERAGE(BS40:BS41)),NA())</f>
        <v>960</v>
      </c>
      <c r="BT42" s="49">
        <f t="shared" ref="BT42" ca="1" si="188">IFERROR(IF(AVERAGE(BT40:BT41)=0,NA(),AVERAGE(BT40:BT41)),NA())</f>
        <v>940</v>
      </c>
      <c r="BU42" s="49">
        <f t="shared" ref="BU42" ca="1" si="189">IFERROR(IF(AVERAGE(BU40:BU41)=0,NA(),AVERAGE(BU40:BU41)),NA())</f>
        <v>930</v>
      </c>
      <c r="BV42" s="49">
        <f t="shared" ref="BV42" ca="1" si="190">IFERROR(IF(AVERAGE(BV40:BV41)=0,NA(),AVERAGE(BV40:BV41)),NA())</f>
        <v>925</v>
      </c>
      <c r="BW42" s="49">
        <f t="shared" ref="BW42" ca="1" si="191">IFERROR(IF(AVERAGE(BW40:BW41)=0,NA(),AVERAGE(BW40:BW41)),NA())</f>
        <v>925</v>
      </c>
      <c r="BX42" s="49">
        <f t="shared" ref="BX42" ca="1" si="192">IFERROR(IF(AVERAGE(BX40:BX41)=0,NA(),AVERAGE(BX40:BX41)),NA())</f>
        <v>915</v>
      </c>
      <c r="BY42" s="49">
        <f t="shared" ref="BY42" ca="1" si="193">IFERROR(IF(AVERAGE(BY40:BY41)=0,NA(),AVERAGE(BY40:BY41)),NA())</f>
        <v>915</v>
      </c>
      <c r="BZ42" s="49">
        <f t="shared" ref="BZ42" ca="1" si="194">IFERROR(IF(AVERAGE(BZ40:BZ41)=0,NA(),AVERAGE(BZ40:BZ41)),NA())</f>
        <v>915</v>
      </c>
      <c r="CA42" s="49">
        <f t="shared" ref="CA42" ca="1" si="195">IFERROR(IF(AVERAGE(CA40:CA41)=0,NA(),AVERAGE(CA40:CA41)),NA())</f>
        <v>915</v>
      </c>
      <c r="CB42" s="49">
        <f t="shared" ref="CB42" ca="1" si="196">IFERROR(IF(AVERAGE(CB40:CB41)=0,NA(),AVERAGE(CB40:CB41)),NA())</f>
        <v>915</v>
      </c>
      <c r="CC42" s="49">
        <f t="shared" ref="CC42" ca="1" si="197">IFERROR(IF(AVERAGE(CC40:CC41)=0,NA(),AVERAGE(CC40:CC41)),NA())</f>
        <v>930</v>
      </c>
      <c r="CD42" s="49">
        <f t="shared" ref="CD42" ca="1" si="198">IFERROR(IF(AVERAGE(CD40:CD41)=0,NA(),AVERAGE(CD40:CD41)),NA())</f>
        <v>930</v>
      </c>
      <c r="CE42" s="49">
        <f t="shared" ref="CE42" ca="1" si="199">IFERROR(IF(AVERAGE(CE40:CE41)=0,NA(),AVERAGE(CE40:CE41)),NA())</f>
        <v>930</v>
      </c>
      <c r="CF42" s="49">
        <f t="shared" ref="CF42" ca="1" si="200">IFERROR(IF(AVERAGE(CF40:CF41)=0,NA(),AVERAGE(CF40:CF41)),NA())</f>
        <v>930</v>
      </c>
      <c r="CG42" s="49">
        <f t="shared" ref="CG42" ca="1" si="201">IFERROR(IF(AVERAGE(CG40:CG41)=0,NA(),AVERAGE(CG40:CG41)),NA())</f>
        <v>930</v>
      </c>
      <c r="CH42" s="49">
        <f t="shared" ref="CH42" ca="1" si="202">IFERROR(IF(AVERAGE(CH40:CH41)=0,NA(),AVERAGE(CH40:CH41)),NA())</f>
        <v>930</v>
      </c>
      <c r="CI42" s="49">
        <f t="shared" ref="CI42" ca="1" si="203">IFERROR(IF(AVERAGE(CI40:CI41)=0,NA(),AVERAGE(CI40:CI41)),NA())</f>
        <v>930</v>
      </c>
      <c r="CJ42" s="49">
        <f t="shared" ref="CJ42" ca="1" si="204">IFERROR(IF(AVERAGE(CJ40:CJ41)=0,NA(),AVERAGE(CJ40:CJ41)),NA())</f>
        <v>930</v>
      </c>
      <c r="CK42" s="49">
        <f t="shared" ref="CK42" ca="1" si="205">IFERROR(IF(AVERAGE(CK40:CK41)=0,NA(),AVERAGE(CK40:CK41)),NA())</f>
        <v>935</v>
      </c>
      <c r="CL42" s="49">
        <f t="shared" ref="CL42" ca="1" si="206">IFERROR(IF(AVERAGE(CL40:CL41)=0,NA(),AVERAGE(CL40:CL41)),NA())</f>
        <v>950</v>
      </c>
      <c r="CM42" s="49">
        <f t="shared" ref="CM42" ca="1" si="207">IFERROR(IF(AVERAGE(CM40:CM41)=0,NA(),AVERAGE(CM40:CM41)),NA())</f>
        <v>950</v>
      </c>
      <c r="CN42" s="49">
        <f t="shared" ref="CN42" ca="1" si="208">IFERROR(IF(AVERAGE(CN40:CN41)=0,NA(),AVERAGE(CN40:CN41)),NA())</f>
        <v>950</v>
      </c>
      <c r="CO42" s="49">
        <f t="shared" ref="CO42:CZ42" ca="1" si="209">IFERROR(IF(AVERAGE(CO40:CO41)=0,NA(),AVERAGE(CO40:CO41)),NA())</f>
        <v>1250</v>
      </c>
      <c r="CP42" s="49">
        <f t="shared" ca="1" si="209"/>
        <v>1325</v>
      </c>
      <c r="CQ42" s="49">
        <f t="shared" ca="1" si="209"/>
        <v>1450</v>
      </c>
      <c r="CR42" s="49">
        <f t="shared" ca="1" si="209"/>
        <v>1850</v>
      </c>
      <c r="CS42" s="49">
        <f t="shared" ca="1" si="209"/>
        <v>1835</v>
      </c>
      <c r="CT42" s="49">
        <f t="shared" ca="1" si="209"/>
        <v>1825</v>
      </c>
      <c r="CU42" s="49">
        <f t="shared" ca="1" si="209"/>
        <v>1900</v>
      </c>
      <c r="CV42" s="49">
        <f t="shared" ca="1" si="209"/>
        <v>1900</v>
      </c>
      <c r="CW42" s="49">
        <f t="shared" ca="1" si="209"/>
        <v>1900</v>
      </c>
      <c r="CX42" s="49">
        <f t="shared" ca="1" si="209"/>
        <v>1850</v>
      </c>
      <c r="CY42" s="49">
        <f t="shared" ca="1" si="209"/>
        <v>1850</v>
      </c>
      <c r="CZ42" s="49">
        <f t="shared" ca="1" si="209"/>
        <v>1775</v>
      </c>
      <c r="DA42" s="49">
        <f ca="1">IFERROR(IF(AVERAGE(DA40:DA41)=0,NA(),AVERAGE(DA40:DA41)),NA())</f>
        <v>1775</v>
      </c>
      <c r="DB42" s="49" t="e">
        <f t="shared" ref="DB42:DE42" ca="1" si="210">IFERROR(IF(AVERAGE(DB40:DB41)=0,NA(),AVERAGE(DB40:DB41)),NA())</f>
        <v>#N/A</v>
      </c>
      <c r="DC42" s="49" t="e">
        <f t="shared" ca="1" si="210"/>
        <v>#N/A</v>
      </c>
      <c r="DD42" s="49" t="e">
        <f t="shared" ca="1" si="210"/>
        <v>#N/A</v>
      </c>
      <c r="DE42" s="49" t="e">
        <f t="shared" ca="1" si="210"/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8"/>
  <sheetViews>
    <sheetView topLeftCell="F10" workbookViewId="0">
      <selection activeCell="X39" sqref="X39"/>
    </sheetView>
  </sheetViews>
  <sheetFormatPr defaultRowHeight="15" x14ac:dyDescent="0.25"/>
  <cols>
    <col min="1" max="1" width="15.28515625" bestFit="1" customWidth="1"/>
    <col min="2" max="2" width="21" bestFit="1" customWidth="1"/>
    <col min="3" max="3" width="9.85546875" bestFit="1" customWidth="1"/>
  </cols>
  <sheetData>
    <row r="1" spans="1:28" x14ac:dyDescent="0.25">
      <c r="A1">
        <v>277</v>
      </c>
    </row>
    <row r="9" spans="1:28" x14ac:dyDescent="0.25">
      <c r="D9">
        <v>1</v>
      </c>
      <c r="E9">
        <v>2</v>
      </c>
      <c r="F9">
        <v>3</v>
      </c>
      <c r="G9">
        <v>4</v>
      </c>
      <c r="H9">
        <v>5</v>
      </c>
      <c r="I9">
        <v>6</v>
      </c>
      <c r="J9">
        <v>7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28" x14ac:dyDescent="0.25">
      <c r="C10">
        <f>INDEX(Database!$D$1:$XFD$36,1,$A$1)</f>
        <v>2026</v>
      </c>
      <c r="D10">
        <f>INDEX(Database!$D$1:$XFD$36,1,$A$1+D9)</f>
        <v>2026</v>
      </c>
      <c r="E10">
        <f>INDEX(Database!$D$1:$XFD$36,1,$A$1+E9)</f>
        <v>2026</v>
      </c>
      <c r="F10">
        <f>INDEX(Database!$D$1:$XFD$36,1,$A$1+F9)</f>
        <v>2026</v>
      </c>
      <c r="G10">
        <f>INDEX(Database!$D$1:$XFD$36,1,$A$1+G9)</f>
        <v>2026</v>
      </c>
      <c r="H10">
        <f>INDEX(Database!$D$1:$XFD$36,1,$A$1+H9)</f>
        <v>2026</v>
      </c>
      <c r="I10">
        <f>INDEX(Database!$D$1:$XFD$36,1,$A$1+I9)</f>
        <v>2026</v>
      </c>
      <c r="J10">
        <f>INDEX(Database!$D$1:$XFD$36,1,$A$1+J9)</f>
        <v>2026</v>
      </c>
      <c r="K10">
        <f>INDEX(Database!$D$1:$XFD$36,1,$A$1+K9)</f>
        <v>2026</v>
      </c>
      <c r="L10">
        <f>INDEX(Database!$D$1:$XFD$36,1,$A$1+L9)</f>
        <v>2026</v>
      </c>
      <c r="M10">
        <f>INDEX(Database!$D$1:$XFD$36,1,$A$1+M9)</f>
        <v>2026</v>
      </c>
      <c r="N10">
        <f>INDEX(Database!$D$1:$XFD$36,1,$A$1+N9)</f>
        <v>2026</v>
      </c>
      <c r="O10">
        <f>INDEX(Database!$D$1:$XFD$36,1,$A$1+O9)</f>
        <v>2026</v>
      </c>
      <c r="P10">
        <f>INDEX(Database!$D$1:$XFD$36,1,$A$1+P9)</f>
        <v>2026</v>
      </c>
      <c r="Q10">
        <f>INDEX(Database!$D$1:$XFD$36,1,$A$1+Q9)</f>
        <v>2026</v>
      </c>
      <c r="R10">
        <f>INDEX(Database!$D$1:$XFD$36,1,$A$1+R9)</f>
        <v>2026</v>
      </c>
      <c r="S10">
        <f>INDEX(Database!$D$1:$XFD$36,1,$A$1+S9)</f>
        <v>2026</v>
      </c>
      <c r="T10">
        <f>INDEX(Database!$D$1:$XFD$36,1,$A$1+T9)</f>
        <v>2026</v>
      </c>
      <c r="U10">
        <f>INDEX(Database!$D$1:$XFD$36,1,$A$1+U9)</f>
        <v>2026</v>
      </c>
      <c r="V10">
        <f>INDEX(Database!$D$1:$XFD$36,1,$A$1+V9)</f>
        <v>2026</v>
      </c>
      <c r="W10">
        <f>INDEX(Database!$D$1:$XFD$36,1,$A$1+W9)</f>
        <v>2026</v>
      </c>
      <c r="X10">
        <f>INDEX(Database!$D$1:$XFD$36,1,$A$1+X9)</f>
        <v>2026</v>
      </c>
      <c r="Y10">
        <f>INDEX(Database!$D$1:$XFD$36,1,$A$1+Y9)</f>
        <v>2026</v>
      </c>
      <c r="Z10">
        <f>INDEX(Database!$D$1:$XFD$36,1,$A$1+Z9)</f>
        <v>2026</v>
      </c>
      <c r="AA10">
        <f>INDEX(Database!$D$1:$XFD$36,1,$A$1+AA9)</f>
        <v>2026</v>
      </c>
      <c r="AB10">
        <f>INDEX(Database!$D$1:$XFD$36,1,$A$1+AB9)</f>
        <v>0</v>
      </c>
    </row>
    <row r="11" spans="1:28" x14ac:dyDescent="0.25">
      <c r="C11" t="str">
        <f>INDEX(Database!$D$2:$XFD$36,1,$A$1)</f>
        <v>Jan 8</v>
      </c>
      <c r="D11" t="str">
        <f>INDEX(Database!$D$2:$XFD$36,1,$A$1+D9)</f>
        <v>Jan 15</v>
      </c>
      <c r="E11" t="str">
        <f>INDEX(Database!$D$2:$XFD$36,1,$A$1+E9)</f>
        <v>Jan 22</v>
      </c>
      <c r="F11" t="str">
        <f>INDEX(Database!$D$2:$XFD$36,1,$A$1+F9)</f>
        <v>Jan 29</v>
      </c>
      <c r="G11" t="str">
        <f>INDEX(Database!$D$2:$XFD$36,1,$A$1+G9)</f>
        <v>Feb 5</v>
      </c>
      <c r="H11" t="str">
        <f>INDEX(Database!$D$2:$XFD$36,1,$A$1+H9)</f>
        <v>Feb 12</v>
      </c>
      <c r="I11" t="str">
        <f>INDEX(Database!$D$2:$XFD$36,1,$A$1+I9)</f>
        <v>Feb 19</v>
      </c>
      <c r="J11" t="str">
        <f>INDEX(Database!$D$2:$XFD$36,1,$A$1+J9)</f>
        <v>Feb 26</v>
      </c>
      <c r="K11" t="str">
        <f>INDEX(Database!$D$2:$XFD$36,1,$A$1+K9)</f>
        <v>Mar 5</v>
      </c>
      <c r="L11" t="str">
        <f>INDEX(Database!$D$2:$XFD$36,1,$A$1+L9)</f>
        <v>Mar 12</v>
      </c>
      <c r="M11" t="str">
        <f>INDEX(Database!$D$2:$XFD$36,1,$A$1+M9)</f>
        <v>Mar 19</v>
      </c>
      <c r="N11" t="str">
        <f>INDEX(Database!$D$2:$XFD$36,1,$A$1+N9)</f>
        <v>Mar 26</v>
      </c>
      <c r="O11" t="str">
        <f>INDEX(Database!$D$2:$XFD$36,1,$A$1+O9)</f>
        <v>Apr 2</v>
      </c>
      <c r="P11" t="str">
        <f>INDEX(Database!$D$2:$XFD$36,1,$A$1+P9)</f>
        <v>Apr 9</v>
      </c>
      <c r="Q11" t="str">
        <f>INDEX(Database!$D$2:$XFD$36,1,$A$1+Q9)</f>
        <v>Apr 16</v>
      </c>
      <c r="R11" t="str">
        <f>INDEX(Database!$D$2:$XFD$36,1,$A$1+R9)</f>
        <v>Apr 23</v>
      </c>
      <c r="S11" t="str">
        <f>INDEX(Database!$D$2:$XFD$36,1,$A$1+S9)</f>
        <v>Apr 29</v>
      </c>
      <c r="T11" t="str">
        <f>INDEX(Database!$D$2:$XFD$36,1,$A$1+T9)</f>
        <v>May 7</v>
      </c>
      <c r="U11" t="str">
        <f>INDEX(Database!$D$2:$XFD$36,1,$A$1+U9)</f>
        <v>May 14</v>
      </c>
      <c r="V11" t="str">
        <f>INDEX(Database!$D$2:$XFD$36,1,$A$1+V9)</f>
        <v>May 21</v>
      </c>
      <c r="W11" t="str">
        <f>INDEX(Database!$D$2:$XFD$36,1,$A$1+W9)</f>
        <v>May 28</v>
      </c>
      <c r="X11" t="str">
        <f>INDEX(Database!$D$2:$XFD$36,1,$A$1+X9)</f>
        <v>June 4</v>
      </c>
      <c r="Y11" t="str">
        <f>INDEX(Database!$D$2:$XFD$36,1,$A$1+Y9)</f>
        <v>June 11</v>
      </c>
      <c r="Z11" t="str">
        <f>INDEX(Database!$D$2:$XFD$36,1,$A$1+Z9)</f>
        <v>June 18</v>
      </c>
      <c r="AA11" t="str">
        <f>INDEX(Database!$D$2:$XFD$36,1,$A$1+AA9)</f>
        <v>June 25</v>
      </c>
      <c r="AB11">
        <f>INDEX(Database!$D$2:$XFD$36,1,$A$1+AB9)</f>
        <v>0</v>
      </c>
    </row>
    <row r="12" spans="1:28" x14ac:dyDescent="0.25">
      <c r="B12" t="s">
        <v>87</v>
      </c>
      <c r="C12">
        <f>INDEX(Database!$D$2:$XFD$36,7,$A$1)</f>
        <v>489</v>
      </c>
      <c r="D12">
        <f>INDEX(Database!$D$2:$XFD$36,7,$A$1+D9)</f>
        <v>536</v>
      </c>
      <c r="E12">
        <f>INDEX(Database!$D$2:$XFD$36,7,$A$1+E9)</f>
        <v>531</v>
      </c>
      <c r="F12">
        <f>INDEX(Database!$D$2:$XFD$36,7,$A$1+F9)</f>
        <v>548</v>
      </c>
      <c r="G12">
        <f>INDEX(Database!$D$2:$XFD$36,7,$A$1+G9)</f>
        <v>558</v>
      </c>
      <c r="H12">
        <f>INDEX(Database!$D$2:$XFD$36,7,$A$1+H9)</f>
        <v>575</v>
      </c>
      <c r="I12">
        <f>INDEX(Database!$D$2:$XFD$36,7,$A$1+I9)</f>
        <v>558</v>
      </c>
      <c r="J12">
        <f>INDEX(Database!$D$2:$XFD$36,7,$A$1+J9)</f>
        <v>575</v>
      </c>
      <c r="K12">
        <f>INDEX(Database!$D$2:$XFD$36,7,$A$1+K9)</f>
        <v>671</v>
      </c>
      <c r="L12">
        <f>INDEX(Database!$D$2:$XFD$36,7,$A$1+L9)</f>
        <v>768</v>
      </c>
      <c r="M12">
        <f>INDEX(Database!$D$2:$XFD$36,7,$A$1+M9)</f>
        <v>951</v>
      </c>
      <c r="N12">
        <f>INDEX(Database!$D$2:$XFD$36,7,$A$1+N9)</f>
        <v>895</v>
      </c>
      <c r="O12">
        <f>INDEX(Database!$D$2:$XFD$36,7,$A$1+O9)</f>
        <v>938</v>
      </c>
      <c r="P12">
        <f>INDEX(Database!$D$2:$XFD$36,7,$A$1+P9)</f>
        <v>895</v>
      </c>
      <c r="Q12">
        <f>INDEX(Database!$D$2:$XFD$36,7,$A$1+Q9)</f>
        <v>889</v>
      </c>
      <c r="R12">
        <f>INDEX(Database!$D$2:$XFD$36,7,$A$1+R9)</f>
        <v>934</v>
      </c>
      <c r="S12">
        <f>INDEX(Database!$D$2:$XFD$36,7,$A$1+S9)</f>
        <v>981.75</v>
      </c>
      <c r="T12">
        <f>INDEX(Database!$D$2:$XFD$36,7,$A$1+T9)</f>
        <v>885</v>
      </c>
      <c r="U12">
        <f>INDEX(Database!$D$2:$XFD$36,7,$A$1+U9)</f>
        <v>930</v>
      </c>
      <c r="V12">
        <f>INDEX(Database!$D$2:$XFD$36,7,$A$1+V9)</f>
        <v>870</v>
      </c>
      <c r="W12">
        <f>INDEX(Database!$D$2:$XFD$36,7,$A$1+W9)</f>
        <v>751.75</v>
      </c>
      <c r="X12">
        <f>INDEX(Database!$D$2:$XFD$36,7,$A$1+X9)</f>
        <v>750</v>
      </c>
      <c r="Y12">
        <f>INDEX(Database!$D$2:$XFD$36,7,$A$1+Y9)</f>
        <v>0</v>
      </c>
      <c r="Z12">
        <f>INDEX(Database!$D$2:$XFD$36,7,$A$1+Z9)</f>
        <v>0</v>
      </c>
      <c r="AA12">
        <f>INDEX(Database!$D$2:$XFD$36,7,$A$1+AA9)</f>
        <v>0</v>
      </c>
      <c r="AB12">
        <f>INDEX(Database!$D$2:$XFD$36,7,$A$1+AB9)</f>
        <v>0</v>
      </c>
    </row>
    <row r="13" spans="1:28" x14ac:dyDescent="0.25">
      <c r="B13" t="s">
        <v>88</v>
      </c>
      <c r="C13">
        <f>INDEX(Database!$D$2:$XFD$36,11,$A$1)</f>
        <v>489</v>
      </c>
      <c r="D13">
        <f>INDEX(Database!$D$2:$XFD$36,11,$A$1+D9)</f>
        <v>488</v>
      </c>
      <c r="E13">
        <f>INDEX(Database!$D$2:$XFD$36,11,$A$1+E9)</f>
        <v>497</v>
      </c>
      <c r="F13">
        <f>INDEX(Database!$D$2:$XFD$36,11,$A$1+F9)</f>
        <v>509</v>
      </c>
      <c r="G13">
        <f>INDEX(Database!$D$2:$XFD$36,11,$A$1+G9)</f>
        <v>521</v>
      </c>
      <c r="H13">
        <f>INDEX(Database!$D$2:$XFD$36,11,$A$1+H9)</f>
        <v>553</v>
      </c>
      <c r="I13">
        <f>INDEX(Database!$D$2:$XFD$36,11,$A$1+I9)</f>
        <v>511</v>
      </c>
      <c r="J13">
        <f>INDEX(Database!$D$2:$XFD$36,11,$A$1+J9)</f>
        <v>551</v>
      </c>
      <c r="K13">
        <f>INDEX(Database!$D$2:$XFD$36,11,$A$1+K9)</f>
        <v>690</v>
      </c>
      <c r="L13">
        <f>INDEX(Database!$D$2:$XFD$36,11,$A$1+L9)</f>
        <v>771</v>
      </c>
      <c r="M13">
        <f>INDEX(Database!$D$2:$XFD$36,11,$A$1+M9)</f>
        <v>927</v>
      </c>
      <c r="N13">
        <f>INDEX(Database!$D$2:$XFD$36,11,$A$1+N9)</f>
        <v>845</v>
      </c>
      <c r="O13">
        <f>INDEX(Database!$D$2:$XFD$36,11,$A$1+O9)</f>
        <v>884</v>
      </c>
      <c r="P13">
        <f>INDEX(Database!$D$2:$XFD$36,11,$A$1+P9)</f>
        <v>781</v>
      </c>
      <c r="Q13">
        <f>INDEX(Database!$D$2:$XFD$36,11,$A$1+Q9)</f>
        <v>655</v>
      </c>
      <c r="R13">
        <f>INDEX(Database!$D$2:$XFD$36,11,$A$1+R9)</f>
        <v>639</v>
      </c>
      <c r="S13">
        <f>INDEX(Database!$D$2:$XFD$36,11,$A$1+S9)</f>
        <v>662</v>
      </c>
      <c r="T13">
        <f>INDEX(Database!$D$2:$XFD$36,11,$A$1+T9)</f>
        <v>620</v>
      </c>
      <c r="U13">
        <f>INDEX(Database!$D$2:$XFD$36,11,$A$1+U9)</f>
        <v>663</v>
      </c>
      <c r="V13">
        <f>INDEX(Database!$D$2:$XFD$36,11,$A$1+V9)</f>
        <v>602</v>
      </c>
      <c r="W13">
        <f>INDEX(Database!$D$2:$XFD$36,11,$A$1+W9)</f>
        <v>585</v>
      </c>
      <c r="X13">
        <f>INDEX(Database!$D$2:$XFD$36,11,$A$1+X9)</f>
        <v>618</v>
      </c>
      <c r="Y13">
        <f>INDEX(Database!$D$2:$XFD$36,11,$A$1+Y9)</f>
        <v>0</v>
      </c>
      <c r="Z13">
        <f>INDEX(Database!$D$2:$XFD$36,11,$A$1+Z9)</f>
        <v>0</v>
      </c>
      <c r="AA13">
        <f>INDEX(Database!$D$2:$XFD$36,11,$A$1+AA9)</f>
        <v>0</v>
      </c>
      <c r="AB13">
        <f>INDEX(Database!$D$2:$XFD$36,11,$A$1+AB9)</f>
        <v>0</v>
      </c>
    </row>
    <row r="14" spans="1:28" x14ac:dyDescent="0.25">
      <c r="B14" t="s">
        <v>89</v>
      </c>
      <c r="C14">
        <f>INDEX(Database!$D$2:$XFD$36,12,$A$1)</f>
        <v>449</v>
      </c>
      <c r="D14">
        <f>INDEX(Database!$D$2:$XFD$36,12,$A$1+D9)</f>
        <v>506</v>
      </c>
      <c r="E14">
        <f>INDEX(Database!$D$2:$XFD$36,12,$A$1+E9)</f>
        <v>491</v>
      </c>
      <c r="F14">
        <f>INDEX(Database!$D$2:$XFD$36,12,$A$1+F9)</f>
        <v>504</v>
      </c>
      <c r="G14">
        <f>INDEX(Database!$D$2:$XFD$36,12,$A$1+G9)</f>
        <v>511</v>
      </c>
      <c r="H14">
        <f>INDEX(Database!$D$2:$XFD$36,12,$A$1+H9)</f>
        <v>527</v>
      </c>
      <c r="I14">
        <f>INDEX(Database!$D$2:$XFD$36,12,$A$1+I9)</f>
        <v>485</v>
      </c>
      <c r="J14">
        <f>INDEX(Database!$D$2:$XFD$36,12,$A$1+J9)</f>
        <v>507</v>
      </c>
      <c r="K14">
        <f>INDEX(Database!$D$2:$XFD$36,12,$A$1+K9)</f>
        <v>587</v>
      </c>
      <c r="L14">
        <f>INDEX(Database!$D$2:$XFD$36,12,$A$1+L9)</f>
        <v>687</v>
      </c>
      <c r="M14">
        <f>INDEX(Database!$D$2:$XFD$36,12,$A$1+M9)</f>
        <v>862</v>
      </c>
      <c r="N14">
        <f>INDEX(Database!$D$2:$XFD$36,12,$A$1+N9)</f>
        <v>859</v>
      </c>
      <c r="O14">
        <f>INDEX(Database!$D$2:$XFD$36,12,$A$1+O9)</f>
        <v>925</v>
      </c>
      <c r="P14">
        <f>INDEX(Database!$D$2:$XFD$36,12,$A$1+P9)</f>
        <v>874</v>
      </c>
      <c r="Q14">
        <f>INDEX(Database!$D$2:$XFD$36,12,$A$1+Q9)</f>
        <v>783</v>
      </c>
      <c r="R14">
        <f>INDEX(Database!$D$2:$XFD$36,12,$A$1+R9)</f>
        <v>813</v>
      </c>
      <c r="S14">
        <f>INDEX(Database!$D$2:$XFD$36,12,$A$1+S9)</f>
        <v>883</v>
      </c>
      <c r="T14">
        <f>INDEX(Database!$D$2:$XFD$36,12,$A$1+T9)</f>
        <v>783</v>
      </c>
      <c r="U14">
        <f>INDEX(Database!$D$2:$XFD$36,12,$A$1+U9)</f>
        <v>823</v>
      </c>
      <c r="V14">
        <f>INDEX(Database!$D$2:$XFD$36,12,$A$1+V9)</f>
        <v>763</v>
      </c>
      <c r="W14">
        <f>INDEX(Database!$D$2:$XFD$36,12,$A$1+W9)</f>
        <v>658</v>
      </c>
      <c r="X14">
        <f>INDEX(Database!$D$2:$XFD$36,12,$A$1+X9)</f>
        <v>655</v>
      </c>
      <c r="Y14">
        <f>INDEX(Database!$D$2:$XFD$36,12,$A$1+Y9)</f>
        <v>0</v>
      </c>
      <c r="Z14">
        <f>INDEX(Database!$D$2:$XFD$36,12,$A$1+Z9)</f>
        <v>0</v>
      </c>
      <c r="AA14">
        <f>INDEX(Database!$D$2:$XFD$36,12,$A$1+AA9)</f>
        <v>0</v>
      </c>
      <c r="AB14">
        <f>INDEX(Database!$D$2:$XFD$36,12,$A$1+AB9)</f>
        <v>0</v>
      </c>
    </row>
    <row r="17" spans="2:29" x14ac:dyDescent="0.25">
      <c r="B17" s="49"/>
      <c r="C17" s="49">
        <f>IFERROR(FIND("—",SUBSTITUTE(C12,"*","")),0)</f>
        <v>0</v>
      </c>
      <c r="D17" s="49">
        <f t="shared" ref="D17:AB17" si="0">IFERROR(FIND("—",SUBSTITUTE(D12,"*","")),0)</f>
        <v>0</v>
      </c>
      <c r="E17" s="49">
        <f t="shared" si="0"/>
        <v>0</v>
      </c>
      <c r="F17" s="49">
        <f t="shared" si="0"/>
        <v>0</v>
      </c>
      <c r="G17" s="49">
        <f t="shared" si="0"/>
        <v>0</v>
      </c>
      <c r="H17" s="49">
        <f t="shared" si="0"/>
        <v>0</v>
      </c>
      <c r="I17" s="49">
        <f t="shared" si="0"/>
        <v>0</v>
      </c>
      <c r="J17" s="49">
        <f t="shared" si="0"/>
        <v>0</v>
      </c>
      <c r="K17" s="49">
        <f t="shared" si="0"/>
        <v>0</v>
      </c>
      <c r="L17" s="49">
        <f t="shared" si="0"/>
        <v>0</v>
      </c>
      <c r="M17" s="49">
        <f t="shared" si="0"/>
        <v>0</v>
      </c>
      <c r="N17" s="49">
        <f t="shared" si="0"/>
        <v>0</v>
      </c>
      <c r="O17" s="49">
        <f t="shared" si="0"/>
        <v>0</v>
      </c>
      <c r="P17" s="49">
        <f t="shared" si="0"/>
        <v>0</v>
      </c>
      <c r="Q17" s="49">
        <f t="shared" si="0"/>
        <v>0</v>
      </c>
      <c r="R17" s="49">
        <f t="shared" si="0"/>
        <v>0</v>
      </c>
      <c r="S17" s="49">
        <f t="shared" si="0"/>
        <v>0</v>
      </c>
      <c r="T17" s="49">
        <f t="shared" si="0"/>
        <v>0</v>
      </c>
      <c r="U17" s="49">
        <f t="shared" si="0"/>
        <v>0</v>
      </c>
      <c r="V17" s="49">
        <f t="shared" si="0"/>
        <v>0</v>
      </c>
      <c r="W17" s="49">
        <f t="shared" si="0"/>
        <v>0</v>
      </c>
      <c r="X17" s="49">
        <f t="shared" si="0"/>
        <v>0</v>
      </c>
      <c r="Y17" s="49">
        <f t="shared" si="0"/>
        <v>0</v>
      </c>
      <c r="Z17" s="49">
        <f t="shared" si="0"/>
        <v>0</v>
      </c>
      <c r="AA17" s="49">
        <f t="shared" si="0"/>
        <v>0</v>
      </c>
      <c r="AB17" s="49">
        <f t="shared" si="0"/>
        <v>0</v>
      </c>
    </row>
    <row r="18" spans="2:29" x14ac:dyDescent="0.25">
      <c r="B18" t="s">
        <v>87</v>
      </c>
      <c r="C18" s="49">
        <f>IF(C17=0,VALUE(SUBSTITUTE(C12,"*","")),VALUE(LEFT(SUBSTITUTE(C12,"*",""),C17-1)))</f>
        <v>489</v>
      </c>
      <c r="D18" s="49">
        <f t="shared" ref="D18:AB18" si="1">IF(D17=0,VALUE(SUBSTITUTE(D12,"*","")),VALUE(LEFT(SUBSTITUTE(D12,"*",""),D17-1)))</f>
        <v>536</v>
      </c>
      <c r="E18" s="49">
        <f t="shared" si="1"/>
        <v>531</v>
      </c>
      <c r="F18" s="49">
        <f t="shared" si="1"/>
        <v>548</v>
      </c>
      <c r="G18" s="49">
        <f t="shared" si="1"/>
        <v>558</v>
      </c>
      <c r="H18" s="49">
        <f t="shared" si="1"/>
        <v>575</v>
      </c>
      <c r="I18" s="49">
        <f t="shared" si="1"/>
        <v>558</v>
      </c>
      <c r="J18" s="49">
        <f t="shared" si="1"/>
        <v>575</v>
      </c>
      <c r="K18" s="49">
        <f t="shared" si="1"/>
        <v>671</v>
      </c>
      <c r="L18" s="49">
        <f t="shared" si="1"/>
        <v>768</v>
      </c>
      <c r="M18" s="49">
        <f t="shared" si="1"/>
        <v>951</v>
      </c>
      <c r="N18" s="49">
        <f t="shared" si="1"/>
        <v>895</v>
      </c>
      <c r="O18" s="49">
        <f t="shared" si="1"/>
        <v>938</v>
      </c>
      <c r="P18" s="49">
        <f t="shared" si="1"/>
        <v>895</v>
      </c>
      <c r="Q18" s="49">
        <f t="shared" si="1"/>
        <v>889</v>
      </c>
      <c r="R18" s="49">
        <f t="shared" si="1"/>
        <v>934</v>
      </c>
      <c r="S18" s="49">
        <f t="shared" si="1"/>
        <v>981.75</v>
      </c>
      <c r="T18" s="49">
        <f t="shared" si="1"/>
        <v>885</v>
      </c>
      <c r="U18" s="49">
        <f t="shared" si="1"/>
        <v>930</v>
      </c>
      <c r="V18" s="49">
        <f t="shared" si="1"/>
        <v>870</v>
      </c>
      <c r="W18" s="49">
        <f t="shared" si="1"/>
        <v>751.75</v>
      </c>
      <c r="X18" s="49">
        <f t="shared" si="1"/>
        <v>750</v>
      </c>
      <c r="Y18" s="49">
        <f t="shared" si="1"/>
        <v>0</v>
      </c>
      <c r="Z18" s="49">
        <f t="shared" si="1"/>
        <v>0</v>
      </c>
      <c r="AA18" s="49">
        <f t="shared" si="1"/>
        <v>0</v>
      </c>
      <c r="AB18" s="49">
        <f t="shared" si="1"/>
        <v>0</v>
      </c>
    </row>
    <row r="19" spans="2:29" x14ac:dyDescent="0.25">
      <c r="B19" t="s">
        <v>87</v>
      </c>
      <c r="C19" s="49">
        <f>IF(C17=0,VALUE(SUBSTITUTE(C12,"*","")),VALUE(RIGHT(SUBSTITUTE(C12,"*",""),LEN(SUBSTITUTE(C12,"*",""))-C17)))</f>
        <v>489</v>
      </c>
      <c r="D19" s="49">
        <f t="shared" ref="D19:AB19" si="2">IF(D17=0,VALUE(SUBSTITUTE(D12,"*","")),VALUE(RIGHT(SUBSTITUTE(D12,"*",""),LEN(SUBSTITUTE(D12,"*",""))-D17)))</f>
        <v>536</v>
      </c>
      <c r="E19" s="49">
        <f t="shared" si="2"/>
        <v>531</v>
      </c>
      <c r="F19" s="49">
        <f t="shared" si="2"/>
        <v>548</v>
      </c>
      <c r="G19" s="49">
        <f t="shared" si="2"/>
        <v>558</v>
      </c>
      <c r="H19" s="49">
        <f t="shared" si="2"/>
        <v>575</v>
      </c>
      <c r="I19" s="49">
        <f t="shared" si="2"/>
        <v>558</v>
      </c>
      <c r="J19" s="49">
        <f t="shared" si="2"/>
        <v>575</v>
      </c>
      <c r="K19" s="49">
        <f t="shared" si="2"/>
        <v>671</v>
      </c>
      <c r="L19" s="49">
        <f t="shared" si="2"/>
        <v>768</v>
      </c>
      <c r="M19" s="49">
        <f t="shared" si="2"/>
        <v>951</v>
      </c>
      <c r="N19" s="49">
        <f t="shared" si="2"/>
        <v>895</v>
      </c>
      <c r="O19" s="49">
        <f t="shared" si="2"/>
        <v>938</v>
      </c>
      <c r="P19" s="49">
        <f t="shared" si="2"/>
        <v>895</v>
      </c>
      <c r="Q19" s="49">
        <f t="shared" si="2"/>
        <v>889</v>
      </c>
      <c r="R19" s="49">
        <f t="shared" si="2"/>
        <v>934</v>
      </c>
      <c r="S19" s="49">
        <f t="shared" si="2"/>
        <v>981.75</v>
      </c>
      <c r="T19" s="49">
        <f t="shared" si="2"/>
        <v>885</v>
      </c>
      <c r="U19" s="49">
        <f t="shared" si="2"/>
        <v>930</v>
      </c>
      <c r="V19" s="49">
        <f t="shared" si="2"/>
        <v>870</v>
      </c>
      <c r="W19" s="49">
        <f t="shared" si="2"/>
        <v>751.75</v>
      </c>
      <c r="X19" s="49">
        <f t="shared" si="2"/>
        <v>750</v>
      </c>
      <c r="Y19" s="49">
        <f t="shared" si="2"/>
        <v>0</v>
      </c>
      <c r="Z19" s="49">
        <f t="shared" si="2"/>
        <v>0</v>
      </c>
      <c r="AA19" s="49">
        <f t="shared" si="2"/>
        <v>0</v>
      </c>
      <c r="AB19" s="49">
        <f t="shared" si="2"/>
        <v>0</v>
      </c>
    </row>
    <row r="20" spans="2:29" x14ac:dyDescent="0.25">
      <c r="B20" t="s">
        <v>87</v>
      </c>
      <c r="C20" s="49">
        <f>IFERROR(IF(AVERAGE(C18:C19)=0,NA(),AVERAGE(C18:C19)),NA())</f>
        <v>489</v>
      </c>
      <c r="D20" s="49">
        <f t="shared" ref="D20:F20" si="3">IFERROR(IF(AVERAGE(D18:D19)=0,NA(),AVERAGE(D18:D19)),NA())</f>
        <v>536</v>
      </c>
      <c r="E20" s="49">
        <f t="shared" si="3"/>
        <v>531</v>
      </c>
      <c r="F20" s="49">
        <f t="shared" si="3"/>
        <v>548</v>
      </c>
      <c r="G20" s="49">
        <f t="shared" ref="G20" si="4">IFERROR(IF(AVERAGE(G18:G19)=0,NA(),AVERAGE(G18:G19)),NA())</f>
        <v>558</v>
      </c>
      <c r="H20" s="49">
        <f t="shared" ref="H20:I20" si="5">IFERROR(IF(AVERAGE(H18:H19)=0,NA(),AVERAGE(H18:H19)),NA())</f>
        <v>575</v>
      </c>
      <c r="I20" s="49">
        <f t="shared" si="5"/>
        <v>558</v>
      </c>
      <c r="J20" s="49">
        <f t="shared" ref="J20" si="6">IFERROR(IF(AVERAGE(J18:J19)=0,NA(),AVERAGE(J18:J19)),NA())</f>
        <v>575</v>
      </c>
      <c r="K20" s="49">
        <f t="shared" ref="K20:L20" si="7">IFERROR(IF(AVERAGE(K18:K19)=0,NA(),AVERAGE(K18:K19)),NA())</f>
        <v>671</v>
      </c>
      <c r="L20" s="49">
        <f t="shared" si="7"/>
        <v>768</v>
      </c>
      <c r="M20" s="49">
        <f t="shared" ref="M20" si="8">IFERROR(IF(AVERAGE(M18:M19)=0,NA(),AVERAGE(M18:M19)),NA())</f>
        <v>951</v>
      </c>
      <c r="N20" s="49">
        <f t="shared" ref="N20:O20" si="9">IFERROR(IF(AVERAGE(N18:N19)=0,NA(),AVERAGE(N18:N19)),NA())</f>
        <v>895</v>
      </c>
      <c r="O20" s="49">
        <f t="shared" si="9"/>
        <v>938</v>
      </c>
      <c r="P20" s="49">
        <f t="shared" ref="P20" si="10">IFERROR(IF(AVERAGE(P18:P19)=0,NA(),AVERAGE(P18:P19)),NA())</f>
        <v>895</v>
      </c>
      <c r="Q20" s="49">
        <f t="shared" ref="Q20:R20" si="11">IFERROR(IF(AVERAGE(Q18:Q19)=0,NA(),AVERAGE(Q18:Q19)),NA())</f>
        <v>889</v>
      </c>
      <c r="R20" s="49">
        <f t="shared" si="11"/>
        <v>934</v>
      </c>
      <c r="S20" s="49">
        <f t="shared" ref="S20" si="12">IFERROR(IF(AVERAGE(S18:S19)=0,NA(),AVERAGE(S18:S19)),NA())</f>
        <v>981.75</v>
      </c>
      <c r="T20" s="49">
        <f t="shared" ref="T20:U20" si="13">IFERROR(IF(AVERAGE(T18:T19)=0,NA(),AVERAGE(T18:T19)),NA())</f>
        <v>885</v>
      </c>
      <c r="U20" s="49">
        <f t="shared" si="13"/>
        <v>930</v>
      </c>
      <c r="V20" s="49">
        <f t="shared" ref="V20" si="14">IFERROR(IF(AVERAGE(V18:V19)=0,NA(),AVERAGE(V18:V19)),NA())</f>
        <v>870</v>
      </c>
      <c r="W20" s="49">
        <f t="shared" ref="W20:X20" si="15">IFERROR(IF(AVERAGE(W18:W19)=0,NA(),AVERAGE(W18:W19)),NA())</f>
        <v>751.75</v>
      </c>
      <c r="X20" s="49">
        <f t="shared" si="15"/>
        <v>750</v>
      </c>
      <c r="Y20" s="49" t="e">
        <f t="shared" ref="Y20" si="16">IFERROR(IF(AVERAGE(Y18:Y19)=0,NA(),AVERAGE(Y18:Y19)),NA())</f>
        <v>#N/A</v>
      </c>
      <c r="Z20" s="49" t="e">
        <f t="shared" ref="Z20:AA20" si="17">IFERROR(IF(AVERAGE(Z18:Z19)=0,NA(),AVERAGE(Z18:Z19)),NA())</f>
        <v>#N/A</v>
      </c>
      <c r="AA20" s="49" t="e">
        <f t="shared" si="17"/>
        <v>#N/A</v>
      </c>
      <c r="AB20" s="49" t="e">
        <f t="shared" ref="AB20" si="18">IFERROR(IF(AVERAGE(AB18:AB19)=0,NA(),AVERAGE(AB18:AB19)),NA())</f>
        <v>#N/A</v>
      </c>
      <c r="AC20" s="49"/>
    </row>
    <row r="21" spans="2:29" x14ac:dyDescent="0.25"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 spans="2:29" x14ac:dyDescent="0.25">
      <c r="B22" s="49"/>
      <c r="C22" s="49">
        <f>IFERROR(FIND("—",SUBSTITUTE(C13,"*","")),0)</f>
        <v>0</v>
      </c>
      <c r="D22" s="49">
        <f t="shared" ref="D22:AB22" si="19">IFERROR(FIND("—",SUBSTITUTE(D13,"*","")),0)</f>
        <v>0</v>
      </c>
      <c r="E22" s="49">
        <f t="shared" si="19"/>
        <v>0</v>
      </c>
      <c r="F22" s="49">
        <f t="shared" si="19"/>
        <v>0</v>
      </c>
      <c r="G22" s="49">
        <f t="shared" si="19"/>
        <v>0</v>
      </c>
      <c r="H22" s="49">
        <f t="shared" si="19"/>
        <v>0</v>
      </c>
      <c r="I22" s="49">
        <f t="shared" si="19"/>
        <v>0</v>
      </c>
      <c r="J22" s="49">
        <f t="shared" si="19"/>
        <v>0</v>
      </c>
      <c r="K22" s="49">
        <f t="shared" si="19"/>
        <v>0</v>
      </c>
      <c r="L22" s="49">
        <f t="shared" si="19"/>
        <v>0</v>
      </c>
      <c r="M22" s="49">
        <f t="shared" si="19"/>
        <v>0</v>
      </c>
      <c r="N22" s="49">
        <f t="shared" si="19"/>
        <v>0</v>
      </c>
      <c r="O22" s="49">
        <f t="shared" si="19"/>
        <v>0</v>
      </c>
      <c r="P22" s="49">
        <f t="shared" si="19"/>
        <v>0</v>
      </c>
      <c r="Q22" s="49">
        <f t="shared" si="19"/>
        <v>0</v>
      </c>
      <c r="R22" s="49">
        <f t="shared" si="19"/>
        <v>0</v>
      </c>
      <c r="S22" s="49">
        <f t="shared" si="19"/>
        <v>0</v>
      </c>
      <c r="T22" s="49">
        <f t="shared" si="19"/>
        <v>0</v>
      </c>
      <c r="U22" s="49">
        <f t="shared" si="19"/>
        <v>0</v>
      </c>
      <c r="V22" s="49">
        <f t="shared" si="19"/>
        <v>0</v>
      </c>
      <c r="W22" s="49">
        <f t="shared" si="19"/>
        <v>0</v>
      </c>
      <c r="X22" s="49">
        <f t="shared" si="19"/>
        <v>0</v>
      </c>
      <c r="Y22" s="49">
        <f t="shared" si="19"/>
        <v>0</v>
      </c>
      <c r="Z22" s="49">
        <f t="shared" si="19"/>
        <v>0</v>
      </c>
      <c r="AA22" s="49">
        <f t="shared" si="19"/>
        <v>0</v>
      </c>
      <c r="AB22" s="49">
        <f t="shared" si="19"/>
        <v>0</v>
      </c>
    </row>
    <row r="23" spans="2:29" x14ac:dyDescent="0.25">
      <c r="B23" t="s">
        <v>88</v>
      </c>
      <c r="C23" s="49">
        <f>IF(C22=0,VALUE(SUBSTITUTE(C13,"*","")),VALUE(LEFT(SUBSTITUTE(C13,"*",""),C22-1)))</f>
        <v>489</v>
      </c>
      <c r="D23" s="49">
        <f t="shared" ref="D23:AB23" si="20">IF(D22=0,VALUE(SUBSTITUTE(D13,"*","")),VALUE(LEFT(SUBSTITUTE(D13,"*",""),D22-1)))</f>
        <v>488</v>
      </c>
      <c r="E23" s="49">
        <f t="shared" si="20"/>
        <v>497</v>
      </c>
      <c r="F23" s="49">
        <f t="shared" si="20"/>
        <v>509</v>
      </c>
      <c r="G23" s="49">
        <f t="shared" si="20"/>
        <v>521</v>
      </c>
      <c r="H23" s="49">
        <f t="shared" si="20"/>
        <v>553</v>
      </c>
      <c r="I23" s="49">
        <f t="shared" si="20"/>
        <v>511</v>
      </c>
      <c r="J23" s="49">
        <f t="shared" si="20"/>
        <v>551</v>
      </c>
      <c r="K23" s="49">
        <f t="shared" si="20"/>
        <v>690</v>
      </c>
      <c r="L23" s="49">
        <f t="shared" si="20"/>
        <v>771</v>
      </c>
      <c r="M23" s="49">
        <f t="shared" si="20"/>
        <v>927</v>
      </c>
      <c r="N23" s="49">
        <f t="shared" si="20"/>
        <v>845</v>
      </c>
      <c r="O23" s="49">
        <f t="shared" si="20"/>
        <v>884</v>
      </c>
      <c r="P23" s="49">
        <f t="shared" si="20"/>
        <v>781</v>
      </c>
      <c r="Q23" s="49">
        <f t="shared" si="20"/>
        <v>655</v>
      </c>
      <c r="R23" s="49">
        <f t="shared" si="20"/>
        <v>639</v>
      </c>
      <c r="S23" s="49">
        <f t="shared" si="20"/>
        <v>662</v>
      </c>
      <c r="T23" s="49">
        <f t="shared" si="20"/>
        <v>620</v>
      </c>
      <c r="U23" s="49">
        <f t="shared" si="20"/>
        <v>663</v>
      </c>
      <c r="V23" s="49">
        <f t="shared" si="20"/>
        <v>602</v>
      </c>
      <c r="W23" s="49">
        <f t="shared" si="20"/>
        <v>585</v>
      </c>
      <c r="X23" s="49">
        <f t="shared" si="20"/>
        <v>618</v>
      </c>
      <c r="Y23" s="49">
        <f t="shared" si="20"/>
        <v>0</v>
      </c>
      <c r="Z23" s="49">
        <f t="shared" si="20"/>
        <v>0</v>
      </c>
      <c r="AA23" s="49">
        <f t="shared" si="20"/>
        <v>0</v>
      </c>
      <c r="AB23" s="49">
        <f t="shared" si="20"/>
        <v>0</v>
      </c>
    </row>
    <row r="24" spans="2:29" x14ac:dyDescent="0.25">
      <c r="B24" t="s">
        <v>88</v>
      </c>
      <c r="C24" s="49">
        <f>IF(C22=0,VALUE(SUBSTITUTE(C13,"*","")),VALUE(RIGHT(SUBSTITUTE(C13,"*",""),LEN(SUBSTITUTE(C13,"*",""))-C22)))</f>
        <v>489</v>
      </c>
      <c r="D24" s="49">
        <f t="shared" ref="D24:AB24" si="21">IF(D22=0,VALUE(SUBSTITUTE(D13,"*","")),VALUE(RIGHT(SUBSTITUTE(D13,"*",""),LEN(SUBSTITUTE(D13,"*",""))-D22)))</f>
        <v>488</v>
      </c>
      <c r="E24" s="49">
        <f t="shared" si="21"/>
        <v>497</v>
      </c>
      <c r="F24" s="49">
        <f t="shared" si="21"/>
        <v>509</v>
      </c>
      <c r="G24" s="49">
        <f t="shared" si="21"/>
        <v>521</v>
      </c>
      <c r="H24" s="49">
        <f t="shared" si="21"/>
        <v>553</v>
      </c>
      <c r="I24" s="49">
        <f t="shared" si="21"/>
        <v>511</v>
      </c>
      <c r="J24" s="49">
        <f t="shared" si="21"/>
        <v>551</v>
      </c>
      <c r="K24" s="49">
        <f t="shared" si="21"/>
        <v>690</v>
      </c>
      <c r="L24" s="49">
        <f t="shared" si="21"/>
        <v>771</v>
      </c>
      <c r="M24" s="49">
        <f t="shared" si="21"/>
        <v>927</v>
      </c>
      <c r="N24" s="49">
        <f t="shared" si="21"/>
        <v>845</v>
      </c>
      <c r="O24" s="49">
        <f t="shared" si="21"/>
        <v>884</v>
      </c>
      <c r="P24" s="49">
        <f t="shared" si="21"/>
        <v>781</v>
      </c>
      <c r="Q24" s="49">
        <f t="shared" si="21"/>
        <v>655</v>
      </c>
      <c r="R24" s="49">
        <f t="shared" si="21"/>
        <v>639</v>
      </c>
      <c r="S24" s="49">
        <f t="shared" si="21"/>
        <v>662</v>
      </c>
      <c r="T24" s="49">
        <f t="shared" si="21"/>
        <v>620</v>
      </c>
      <c r="U24" s="49">
        <f t="shared" si="21"/>
        <v>663</v>
      </c>
      <c r="V24" s="49">
        <f t="shared" si="21"/>
        <v>602</v>
      </c>
      <c r="W24" s="49">
        <f t="shared" si="21"/>
        <v>585</v>
      </c>
      <c r="X24" s="49">
        <f t="shared" si="21"/>
        <v>618</v>
      </c>
      <c r="Y24" s="49">
        <f t="shared" si="21"/>
        <v>0</v>
      </c>
      <c r="Z24" s="49">
        <f t="shared" si="21"/>
        <v>0</v>
      </c>
      <c r="AA24" s="49">
        <f t="shared" si="21"/>
        <v>0</v>
      </c>
      <c r="AB24" s="49">
        <f t="shared" si="21"/>
        <v>0</v>
      </c>
    </row>
    <row r="25" spans="2:29" x14ac:dyDescent="0.25">
      <c r="B25" t="s">
        <v>88</v>
      </c>
      <c r="C25" s="49">
        <f>IFERROR(IF(AVERAGE(C23:C24)=0,NA(),AVERAGE(C23:C24)),NA())</f>
        <v>489</v>
      </c>
      <c r="D25" s="49">
        <f t="shared" ref="D25:AB25" si="22">IFERROR(IF(AVERAGE(D23:D24)=0,NA(),AVERAGE(D23:D24)),NA())</f>
        <v>488</v>
      </c>
      <c r="E25" s="49">
        <f t="shared" si="22"/>
        <v>497</v>
      </c>
      <c r="F25" s="49">
        <f t="shared" si="22"/>
        <v>509</v>
      </c>
      <c r="G25" s="49">
        <f t="shared" si="22"/>
        <v>521</v>
      </c>
      <c r="H25" s="49">
        <f t="shared" si="22"/>
        <v>553</v>
      </c>
      <c r="I25" s="49">
        <f t="shared" si="22"/>
        <v>511</v>
      </c>
      <c r="J25" s="49">
        <f t="shared" si="22"/>
        <v>551</v>
      </c>
      <c r="K25" s="49">
        <f t="shared" si="22"/>
        <v>690</v>
      </c>
      <c r="L25" s="49">
        <f t="shared" si="22"/>
        <v>771</v>
      </c>
      <c r="M25" s="49">
        <f t="shared" si="22"/>
        <v>927</v>
      </c>
      <c r="N25" s="49">
        <f t="shared" si="22"/>
        <v>845</v>
      </c>
      <c r="O25" s="49">
        <f t="shared" si="22"/>
        <v>884</v>
      </c>
      <c r="P25" s="49">
        <f t="shared" si="22"/>
        <v>781</v>
      </c>
      <c r="Q25" s="49">
        <f t="shared" si="22"/>
        <v>655</v>
      </c>
      <c r="R25" s="49">
        <f t="shared" si="22"/>
        <v>639</v>
      </c>
      <c r="S25" s="49">
        <f t="shared" si="22"/>
        <v>662</v>
      </c>
      <c r="T25" s="49">
        <f t="shared" si="22"/>
        <v>620</v>
      </c>
      <c r="U25" s="49">
        <f t="shared" si="22"/>
        <v>663</v>
      </c>
      <c r="V25" s="49">
        <f t="shared" si="22"/>
        <v>602</v>
      </c>
      <c r="W25" s="49">
        <f t="shared" si="22"/>
        <v>585</v>
      </c>
      <c r="X25" s="49">
        <f t="shared" si="22"/>
        <v>618</v>
      </c>
      <c r="Y25" s="49" t="e">
        <f t="shared" si="22"/>
        <v>#N/A</v>
      </c>
      <c r="Z25" s="49" t="e">
        <f t="shared" si="22"/>
        <v>#N/A</v>
      </c>
      <c r="AA25" s="49" t="e">
        <f t="shared" si="22"/>
        <v>#N/A</v>
      </c>
      <c r="AB25" s="49" t="e">
        <f t="shared" si="22"/>
        <v>#N/A</v>
      </c>
    </row>
    <row r="26" spans="2:29" x14ac:dyDescent="0.25"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</row>
    <row r="27" spans="2:29" x14ac:dyDescent="0.25">
      <c r="B27" s="49"/>
      <c r="C27" s="49">
        <f>IFERROR(FIND("—",SUBSTITUTE(C14,"*","")),0)</f>
        <v>0</v>
      </c>
      <c r="D27" s="49">
        <f t="shared" ref="D27:AB27" si="23">IFERROR(FIND("—",SUBSTITUTE(D14,"*","")),0)</f>
        <v>0</v>
      </c>
      <c r="E27" s="49">
        <f t="shared" si="23"/>
        <v>0</v>
      </c>
      <c r="F27" s="49">
        <f t="shared" si="23"/>
        <v>0</v>
      </c>
      <c r="G27" s="49">
        <f t="shared" si="23"/>
        <v>0</v>
      </c>
      <c r="H27" s="49">
        <f t="shared" si="23"/>
        <v>0</v>
      </c>
      <c r="I27" s="49">
        <f t="shared" si="23"/>
        <v>0</v>
      </c>
      <c r="J27" s="49">
        <f t="shared" si="23"/>
        <v>0</v>
      </c>
      <c r="K27" s="49">
        <f t="shared" si="23"/>
        <v>0</v>
      </c>
      <c r="L27" s="49">
        <f t="shared" si="23"/>
        <v>0</v>
      </c>
      <c r="M27" s="49">
        <f t="shared" si="23"/>
        <v>0</v>
      </c>
      <c r="N27" s="49">
        <f t="shared" si="23"/>
        <v>0</v>
      </c>
      <c r="O27" s="49">
        <f t="shared" si="23"/>
        <v>0</v>
      </c>
      <c r="P27" s="49">
        <f t="shared" si="23"/>
        <v>0</v>
      </c>
      <c r="Q27" s="49">
        <f t="shared" si="23"/>
        <v>0</v>
      </c>
      <c r="R27" s="49">
        <f t="shared" si="23"/>
        <v>0</v>
      </c>
      <c r="S27" s="49">
        <f t="shared" si="23"/>
        <v>0</v>
      </c>
      <c r="T27" s="49">
        <f t="shared" si="23"/>
        <v>0</v>
      </c>
      <c r="U27" s="49">
        <f t="shared" si="23"/>
        <v>0</v>
      </c>
      <c r="V27" s="49">
        <f t="shared" si="23"/>
        <v>0</v>
      </c>
      <c r="W27" s="49">
        <f t="shared" si="23"/>
        <v>0</v>
      </c>
      <c r="X27" s="49">
        <f t="shared" si="23"/>
        <v>0</v>
      </c>
      <c r="Y27" s="49">
        <f t="shared" si="23"/>
        <v>0</v>
      </c>
      <c r="Z27" s="49">
        <f t="shared" si="23"/>
        <v>0</v>
      </c>
      <c r="AA27" s="49">
        <f>IFERROR(FIND("—",SUBSTITUTE(AA14,"*","")),0)</f>
        <v>0</v>
      </c>
      <c r="AB27" s="49">
        <f t="shared" si="23"/>
        <v>0</v>
      </c>
    </row>
    <row r="28" spans="2:29" x14ac:dyDescent="0.25">
      <c r="B28" t="s">
        <v>89</v>
      </c>
      <c r="C28" s="49">
        <f>IF(C27=0,VALUE(SUBSTITUTE(C14,"*","")),VALUE(LEFT(SUBSTITUTE(C14,"*",""),C27-1)))</f>
        <v>449</v>
      </c>
      <c r="D28" s="49">
        <f>IF(D27=0,VALUE(SUBSTITUTE(D14,"*","")),VALUE(LEFT(SUBSTITUTE(D14,"*",""),D27-1)))</f>
        <v>506</v>
      </c>
      <c r="E28" s="49">
        <f>IF(E27=0,VALUE(SUBSTITUTE(E14,"*","")),VALUE(LEFT(SUBSTITUTE(E14,"*",""),E27-1)))</f>
        <v>491</v>
      </c>
      <c r="F28" s="49">
        <f t="shared" ref="F28:AB28" si="24">IF(F27=0,VALUE(SUBSTITUTE(F14,"*","")),VALUE(LEFT(SUBSTITUTE(F14,"*",""),F27-1)))</f>
        <v>504</v>
      </c>
      <c r="G28" s="49">
        <f t="shared" si="24"/>
        <v>511</v>
      </c>
      <c r="H28" s="49">
        <f t="shared" si="24"/>
        <v>527</v>
      </c>
      <c r="I28" s="49">
        <f t="shared" si="24"/>
        <v>485</v>
      </c>
      <c r="J28" s="49">
        <f t="shared" si="24"/>
        <v>507</v>
      </c>
      <c r="K28" s="49">
        <f t="shared" si="24"/>
        <v>587</v>
      </c>
      <c r="L28" s="49">
        <f t="shared" si="24"/>
        <v>687</v>
      </c>
      <c r="M28" s="49">
        <f t="shared" si="24"/>
        <v>862</v>
      </c>
      <c r="N28" s="49">
        <f t="shared" si="24"/>
        <v>859</v>
      </c>
      <c r="O28" s="49">
        <f t="shared" si="24"/>
        <v>925</v>
      </c>
      <c r="P28" s="49">
        <f t="shared" si="24"/>
        <v>874</v>
      </c>
      <c r="Q28" s="49">
        <f t="shared" si="24"/>
        <v>783</v>
      </c>
      <c r="R28" s="49">
        <f t="shared" si="24"/>
        <v>813</v>
      </c>
      <c r="S28" s="49">
        <f t="shared" si="24"/>
        <v>883</v>
      </c>
      <c r="T28" s="49">
        <f t="shared" si="24"/>
        <v>783</v>
      </c>
      <c r="U28" s="49">
        <f t="shared" si="24"/>
        <v>823</v>
      </c>
      <c r="V28" s="49">
        <f t="shared" si="24"/>
        <v>763</v>
      </c>
      <c r="W28" s="49">
        <f t="shared" si="24"/>
        <v>658</v>
      </c>
      <c r="X28" s="49">
        <f t="shared" si="24"/>
        <v>655</v>
      </c>
      <c r="Y28" s="49">
        <f t="shared" si="24"/>
        <v>0</v>
      </c>
      <c r="Z28" s="49">
        <f t="shared" si="24"/>
        <v>0</v>
      </c>
      <c r="AA28" s="49">
        <f t="shared" si="24"/>
        <v>0</v>
      </c>
      <c r="AB28" s="49">
        <f t="shared" si="24"/>
        <v>0</v>
      </c>
    </row>
    <row r="29" spans="2:29" x14ac:dyDescent="0.25">
      <c r="B29" t="s">
        <v>89</v>
      </c>
      <c r="C29" s="49">
        <f>IF(C27=0,VALUE(SUBSTITUTE(C14,"*","")),VALUE(RIGHT(SUBSTITUTE(C14,"*",""),LEN(SUBSTITUTE(C14,"*",""))-C27)))</f>
        <v>449</v>
      </c>
      <c r="D29" s="49">
        <f>IF(D27=0,VALUE(SUBSTITUTE(D14,"*","")),VALUE(RIGHT(SUBSTITUTE(D14,"*",""),LEN(SUBSTITUTE(D14,"*",""))-D27)))</f>
        <v>506</v>
      </c>
      <c r="E29" s="49">
        <f>IF(E27=0,VALUE(SUBSTITUTE(E14,"*","")),VALUE(RIGHT(SUBSTITUTE(E14,"*",""),LEN(SUBSTITUTE(E14,"*",""))-E27)))</f>
        <v>491</v>
      </c>
      <c r="F29" s="49">
        <f t="shared" ref="F29:AB29" si="25">IF(F27=0,VALUE(SUBSTITUTE(F14,"*","")),VALUE(RIGHT(SUBSTITUTE(F14,"*",""),LEN(SUBSTITUTE(F14,"*",""))-F27)))</f>
        <v>504</v>
      </c>
      <c r="G29" s="49">
        <f t="shared" si="25"/>
        <v>511</v>
      </c>
      <c r="H29" s="49">
        <f t="shared" si="25"/>
        <v>527</v>
      </c>
      <c r="I29" s="49">
        <f t="shared" si="25"/>
        <v>485</v>
      </c>
      <c r="J29" s="49">
        <f t="shared" si="25"/>
        <v>507</v>
      </c>
      <c r="K29" s="49">
        <f t="shared" si="25"/>
        <v>587</v>
      </c>
      <c r="L29" s="49">
        <f t="shared" si="25"/>
        <v>687</v>
      </c>
      <c r="M29" s="49">
        <f t="shared" si="25"/>
        <v>862</v>
      </c>
      <c r="N29" s="49">
        <f t="shared" si="25"/>
        <v>859</v>
      </c>
      <c r="O29" s="49">
        <f t="shared" si="25"/>
        <v>925</v>
      </c>
      <c r="P29" s="49">
        <f t="shared" si="25"/>
        <v>874</v>
      </c>
      <c r="Q29" s="49">
        <f t="shared" si="25"/>
        <v>783</v>
      </c>
      <c r="R29" s="49">
        <f t="shared" si="25"/>
        <v>813</v>
      </c>
      <c r="S29" s="49">
        <f t="shared" si="25"/>
        <v>883</v>
      </c>
      <c r="T29" s="49">
        <f t="shared" si="25"/>
        <v>783</v>
      </c>
      <c r="U29" s="49">
        <f t="shared" si="25"/>
        <v>823</v>
      </c>
      <c r="V29" s="49">
        <f t="shared" si="25"/>
        <v>763</v>
      </c>
      <c r="W29" s="49">
        <f t="shared" si="25"/>
        <v>658</v>
      </c>
      <c r="X29" s="49">
        <f t="shared" si="25"/>
        <v>655</v>
      </c>
      <c r="Y29" s="49">
        <f t="shared" si="25"/>
        <v>0</v>
      </c>
      <c r="Z29" s="49">
        <f t="shared" si="25"/>
        <v>0</v>
      </c>
      <c r="AA29" s="49">
        <f t="shared" si="25"/>
        <v>0</v>
      </c>
      <c r="AB29" s="49">
        <f t="shared" si="25"/>
        <v>0</v>
      </c>
    </row>
    <row r="30" spans="2:29" x14ac:dyDescent="0.25">
      <c r="B30" t="s">
        <v>89</v>
      </c>
      <c r="C30" s="49">
        <f>IFERROR(IF(AVERAGE(C28:C29)=0,NA(),AVERAGE(C28:C29)),NA())</f>
        <v>449</v>
      </c>
      <c r="D30" s="49">
        <f>IFERROR(IF(AVERAGE(D28:D29)=0,NA(),AVERAGE(D28:D29)),NA())</f>
        <v>506</v>
      </c>
      <c r="E30" s="49">
        <f t="shared" ref="E30:AB30" si="26">IFERROR(IF(AVERAGE(E28:E29)=0,NA(),AVERAGE(E28:E29)),NA())</f>
        <v>491</v>
      </c>
      <c r="F30" s="49">
        <f t="shared" si="26"/>
        <v>504</v>
      </c>
      <c r="G30" s="49">
        <f t="shared" si="26"/>
        <v>511</v>
      </c>
      <c r="H30" s="49">
        <f t="shared" si="26"/>
        <v>527</v>
      </c>
      <c r="I30" s="49">
        <f t="shared" si="26"/>
        <v>485</v>
      </c>
      <c r="J30" s="49">
        <f t="shared" si="26"/>
        <v>507</v>
      </c>
      <c r="K30" s="49">
        <f t="shared" si="26"/>
        <v>587</v>
      </c>
      <c r="L30" s="49">
        <f t="shared" si="26"/>
        <v>687</v>
      </c>
      <c r="M30" s="49">
        <f t="shared" si="26"/>
        <v>862</v>
      </c>
      <c r="N30" s="49">
        <f t="shared" si="26"/>
        <v>859</v>
      </c>
      <c r="O30" s="49">
        <f t="shared" si="26"/>
        <v>925</v>
      </c>
      <c r="P30" s="49">
        <f t="shared" si="26"/>
        <v>874</v>
      </c>
      <c r="Q30" s="49">
        <f t="shared" si="26"/>
        <v>783</v>
      </c>
      <c r="R30" s="49">
        <f t="shared" si="26"/>
        <v>813</v>
      </c>
      <c r="S30" s="49">
        <f t="shared" si="26"/>
        <v>883</v>
      </c>
      <c r="T30" s="49">
        <f t="shared" si="26"/>
        <v>783</v>
      </c>
      <c r="U30" s="49">
        <f t="shared" si="26"/>
        <v>823</v>
      </c>
      <c r="V30" s="49">
        <f t="shared" si="26"/>
        <v>763</v>
      </c>
      <c r="W30" s="49">
        <f t="shared" si="26"/>
        <v>658</v>
      </c>
      <c r="X30" s="49">
        <f t="shared" si="26"/>
        <v>655</v>
      </c>
      <c r="Y30" s="49" t="e">
        <f t="shared" si="26"/>
        <v>#N/A</v>
      </c>
      <c r="Z30" s="49" t="e">
        <f t="shared" si="26"/>
        <v>#N/A</v>
      </c>
      <c r="AA30" s="49" t="e">
        <f t="shared" si="26"/>
        <v>#N/A</v>
      </c>
      <c r="AB30" s="49" t="e">
        <f t="shared" si="26"/>
        <v>#N/A</v>
      </c>
    </row>
    <row r="31" spans="2:29" x14ac:dyDescent="0.25"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spans="2:29" x14ac:dyDescent="0.25">
      <c r="B32" t="s">
        <v>420</v>
      </c>
      <c r="C32">
        <f>INDEX(Database!$D$2:$XFD$36,6,$A$1)</f>
        <v>670</v>
      </c>
      <c r="D32">
        <f>INDEX(Database!$D$2:$XFD$36,6,$A$1+D9)</f>
        <v>697</v>
      </c>
      <c r="E32">
        <f>INDEX(Database!$D$2:$XFD$36,6,$A$1+E9)</f>
        <v>705</v>
      </c>
      <c r="F32">
        <f>INDEX(Database!$D$2:$XFD$36,6,$A$1+F9)</f>
        <v>734</v>
      </c>
      <c r="G32">
        <f>INDEX(Database!$D$2:$XFD$36,6,$A$1+G9)</f>
        <v>735</v>
      </c>
      <c r="H32">
        <f>INDEX(Database!$D$2:$XFD$36,6,$A$1+H9)</f>
        <v>752</v>
      </c>
      <c r="I32">
        <f>INDEX(Database!$D$2:$XFD$36,6,$A$1+I9)</f>
        <v>778</v>
      </c>
      <c r="J32">
        <f>INDEX(Database!$D$2:$XFD$36,6,$A$1+J9)</f>
        <v>840</v>
      </c>
      <c r="K32">
        <f>INDEX(Database!$D$2:$XFD$36,6,$A$1+K9)</f>
        <v>905</v>
      </c>
      <c r="L32">
        <f>INDEX(Database!$D$2:$XFD$36,6,$A$1+L9)</f>
        <v>1024</v>
      </c>
      <c r="M32">
        <f>INDEX(Database!$D$2:$XFD$36,6,$A$1+M9)</f>
        <v>1180</v>
      </c>
      <c r="N32">
        <f>INDEX(Database!$D$2:$XFD$36,6,$A$1+N9)</f>
        <v>1325</v>
      </c>
      <c r="O32">
        <f>INDEX(Database!$D$2:$XFD$36,6,$A$1+O9)</f>
        <v>1400</v>
      </c>
      <c r="P32">
        <f>INDEX(Database!$D$2:$XFD$36,6,$A$1+P9)</f>
        <v>1810</v>
      </c>
      <c r="Q32">
        <f>INDEX(Database!$D$2:$XFD$36,6,$A$1+Q9)</f>
        <v>1810</v>
      </c>
      <c r="R32">
        <f>INDEX(Database!$D$2:$XFD$36,6,$A$1+R9)</f>
        <v>1508</v>
      </c>
      <c r="S32">
        <f>INDEX(Database!$D$2:$XFD$36,6,$A$1+S9)</f>
        <v>1505</v>
      </c>
      <c r="T32">
        <f>INDEX(Database!$D$2:$XFD$36,6,$A$1+T9)</f>
        <v>1749</v>
      </c>
      <c r="U32">
        <f>INDEX(Database!$D$2:$XFD$36,6,$A$1+U9)</f>
        <v>1729</v>
      </c>
      <c r="V32">
        <f>INDEX(Database!$D$2:$XFD$36,6,$A$1+V9)</f>
        <v>1650</v>
      </c>
      <c r="W32">
        <f>INDEX(Database!$D$2:$XFD$36,6,$A$1+W9)</f>
        <v>1420</v>
      </c>
      <c r="X32">
        <f>INDEX(Database!$D$2:$XFD$36,6,$A$1+X9)</f>
        <v>1322</v>
      </c>
      <c r="Y32">
        <f>INDEX(Database!$D$2:$XFD$36,6,$A$1+Y9)</f>
        <v>0</v>
      </c>
      <c r="Z32">
        <f>INDEX(Database!$D$2:$XFD$36,6,$A$1+Z9)</f>
        <v>0</v>
      </c>
      <c r="AA32">
        <f>INDEX(Database!$D$2:$XFD$36,6,$A$1+AA9)</f>
        <v>0</v>
      </c>
      <c r="AB32">
        <f>INDEX(Database!$D$2:$XFD$36,6,$A$1+AB9)</f>
        <v>0</v>
      </c>
    </row>
    <row r="33" spans="2:30" x14ac:dyDescent="0.25">
      <c r="B33" t="s">
        <v>421</v>
      </c>
      <c r="C33">
        <f>INDEX(Database!$D$2:$XFD$36,18,$A$1)</f>
        <v>745</v>
      </c>
      <c r="D33">
        <f>INDEX(Database!$D$2:$XFD$36,18,$A$1+D9)</f>
        <v>770</v>
      </c>
      <c r="E33">
        <f>INDEX(Database!$D$2:$XFD$36,18,$A$1+E9)</f>
        <v>785</v>
      </c>
      <c r="F33">
        <f>INDEX(Database!$D$2:$XFD$36,18,$A$1+F9)</f>
        <v>820</v>
      </c>
      <c r="G33">
        <f>INDEX(Database!$D$2:$XFD$36,18,$A$1+G9)</f>
        <v>825</v>
      </c>
      <c r="H33">
        <f>INDEX(Database!$D$2:$XFD$36,18,$A$1+H9)</f>
        <v>825</v>
      </c>
      <c r="I33">
        <f>INDEX(Database!$D$2:$XFD$36,18,$A$1+I9)</f>
        <v>825</v>
      </c>
      <c r="J33">
        <f>INDEX(Database!$D$2:$XFD$36,18,$A$1+J9)</f>
        <v>840</v>
      </c>
      <c r="K33">
        <f>INDEX(Database!$D$2:$XFD$36,18,$A$1+K9)</f>
        <v>890</v>
      </c>
      <c r="L33">
        <f>INDEX(Database!$D$2:$XFD$36,18,$A$1+L9)</f>
        <v>1100</v>
      </c>
      <c r="M33">
        <f>INDEX(Database!$D$2:$XFD$36,18,$A$1+M9)</f>
        <v>1100</v>
      </c>
      <c r="N33">
        <f>INDEX(Database!$D$2:$XFD$36,18,$A$1+N9)</f>
        <v>1280</v>
      </c>
      <c r="O33">
        <f>INDEX(Database!$D$2:$XFD$36,18,$A$1+O9)</f>
        <v>1290</v>
      </c>
      <c r="P33">
        <f>INDEX(Database!$D$2:$XFD$36,18,$A$1+P9)</f>
        <v>1330</v>
      </c>
      <c r="Q33">
        <f>INDEX(Database!$D$2:$XFD$36,18,$A$1+Q9)</f>
        <v>1340</v>
      </c>
      <c r="R33">
        <f>INDEX(Database!$D$2:$XFD$36,18,$A$1+R9)</f>
        <v>1330</v>
      </c>
      <c r="S33">
        <f>INDEX(Database!$D$2:$XFD$36,18,$A$1+S9)</f>
        <v>1340</v>
      </c>
      <c r="T33">
        <f>INDEX(Database!$D$2:$XFD$36,18,$A$1+T9)</f>
        <v>1270</v>
      </c>
      <c r="U33">
        <f>INDEX(Database!$D$2:$XFD$36,18,$A$1+U9)</f>
        <v>1280</v>
      </c>
      <c r="V33">
        <f>INDEX(Database!$D$2:$XFD$36,18,$A$1+V9)</f>
        <v>1250</v>
      </c>
      <c r="W33">
        <f>INDEX(Database!$D$2:$XFD$36,18,$A$1+W9)</f>
        <v>1210</v>
      </c>
      <c r="X33">
        <f>INDEX(Database!$D$2:$XFD$36,18,$A$1+X9)</f>
        <v>1150</v>
      </c>
      <c r="Y33">
        <f>INDEX(Database!$D$2:$XFD$36,18,$A$1+Y9)</f>
        <v>0</v>
      </c>
      <c r="Z33">
        <f>INDEX(Database!$D$2:$XFD$36,18,$A$1+Z9)</f>
        <v>0</v>
      </c>
      <c r="AA33">
        <f>INDEX(Database!$D$2:$XFD$36,18,$A$1+AA9)</f>
        <v>0</v>
      </c>
      <c r="AB33">
        <f>INDEX(Database!$D$2:$XFD$36,18,$A$1+AB9)</f>
        <v>0</v>
      </c>
    </row>
    <row r="34" spans="2:30" x14ac:dyDescent="0.25">
      <c r="B34" s="128" t="s">
        <v>14</v>
      </c>
      <c r="C34">
        <f>INDEX(Database!$D$2:$XFD$41,40,$A$1)</f>
        <v>0.86</v>
      </c>
      <c r="D34">
        <f>INDEX(Database!$D$2:$XFD$41,40,$A$1+D9)</f>
        <v>0.86</v>
      </c>
      <c r="E34">
        <f>INDEX(Database!$D$2:$XFD$41,40,$A$1+E9)</f>
        <v>0.86</v>
      </c>
      <c r="F34">
        <f>INDEX(Database!$D$2:$XFD$41,40,$A$1+F9)</f>
        <v>0.84</v>
      </c>
      <c r="G34">
        <f>INDEX(Database!$D$2:$XFD$41,40,$A$1+G9)</f>
        <v>0.85</v>
      </c>
      <c r="H34">
        <f>INDEX(Database!$D$2:$XFD$41,40,$A$1+H9)</f>
        <v>0.84</v>
      </c>
      <c r="I34">
        <f>INDEX(Database!$D$2:$XFD$41,40,$A$1+I9)</f>
        <v>0.85</v>
      </c>
      <c r="J34">
        <f>INDEX(Database!$D$2:$XFD$41,40,$A$1+J9)</f>
        <v>0.85</v>
      </c>
      <c r="K34">
        <f>INDEX(Database!$D$2:$XFD$41,40,$A$1+K9)</f>
        <v>0.86</v>
      </c>
      <c r="L34">
        <f>INDEX(Database!$D$2:$XFD$41,40,$A$1+L9)</f>
        <v>0.87</v>
      </c>
      <c r="M34">
        <f>INDEX(Database!$D$2:$XFD$41,40,$A$1+M9)</f>
        <v>0.87</v>
      </c>
      <c r="N34">
        <f>INDEX(Database!$D$2:$XFD$41,40,$A$1+N9)</f>
        <v>0.87</v>
      </c>
      <c r="O34">
        <f>INDEX(Database!$D$2:$XFD$41,40,$A$1+O9)</f>
        <v>0.87</v>
      </c>
      <c r="P34">
        <f>INDEX(Database!$D$2:$XFD$41,40,$A$1+P9)</f>
        <v>0.86</v>
      </c>
      <c r="Q34">
        <f>INDEX(Database!$D$2:$XFD$41,40,$A$1+Q9)</f>
        <v>0.85</v>
      </c>
      <c r="R34">
        <f>INDEX(Database!$D$2:$XFD$41,40,$A$1+R9)</f>
        <v>0.85</v>
      </c>
      <c r="S34">
        <f>INDEX(Database!$D$2:$XFD$41,40,$A$1+S9)</f>
        <v>0.85</v>
      </c>
      <c r="T34">
        <f>INDEX(Database!$D$2:$XFD$41,40,$A$1+T9)</f>
        <v>0.85</v>
      </c>
      <c r="U34">
        <f>INDEX(Database!$D$2:$XFD$41,40,$A$1+U9)</f>
        <v>0.85</v>
      </c>
      <c r="V34">
        <f>INDEX(Database!$D$2:$XFD$41,40,$A$1+V9)</f>
        <v>0.86</v>
      </c>
      <c r="W34">
        <f>INDEX(Database!$D$2:$XFD$41,40,$A$1+W9)</f>
        <v>0.86</v>
      </c>
      <c r="X34">
        <f>INDEX(Database!$D$2:$XFD$41,40,$A$1+X9)</f>
        <v>0.86</v>
      </c>
      <c r="Y34">
        <f>INDEX(Database!$D$2:$XFD$41,40,$A$1+Y9)</f>
        <v>0</v>
      </c>
      <c r="Z34">
        <f>INDEX(Database!$D$2:$XFD$41,40,$A$1+Z9)</f>
        <v>0</v>
      </c>
      <c r="AA34">
        <f>INDEX(Database!$D$2:$XFD$41,40,$A$1+AA9)</f>
        <v>0</v>
      </c>
      <c r="AB34">
        <f>INDEX(Database!$D$2:$XFD$41,40,$A$1+AB9)</f>
        <v>0</v>
      </c>
    </row>
    <row r="36" spans="2:30" x14ac:dyDescent="0.25">
      <c r="B36" s="49"/>
      <c r="C36" s="49">
        <f t="shared" ref="C36:AB36" si="27">IFERROR(FIND("—",SUBSTITUTE(C32,"*","")),0)</f>
        <v>0</v>
      </c>
      <c r="D36" s="49">
        <f t="shared" si="27"/>
        <v>0</v>
      </c>
      <c r="E36" s="49">
        <f t="shared" si="27"/>
        <v>0</v>
      </c>
      <c r="F36" s="49">
        <f t="shared" si="27"/>
        <v>0</v>
      </c>
      <c r="G36" s="49">
        <f t="shared" si="27"/>
        <v>0</v>
      </c>
      <c r="H36" s="49">
        <f t="shared" si="27"/>
        <v>0</v>
      </c>
      <c r="I36" s="49">
        <f t="shared" si="27"/>
        <v>0</v>
      </c>
      <c r="J36" s="49">
        <f t="shared" si="27"/>
        <v>0</v>
      </c>
      <c r="K36" s="49">
        <f t="shared" si="27"/>
        <v>0</v>
      </c>
      <c r="L36" s="49">
        <f t="shared" si="27"/>
        <v>0</v>
      </c>
      <c r="M36" s="49">
        <f t="shared" si="27"/>
        <v>0</v>
      </c>
      <c r="N36" s="49">
        <f t="shared" si="27"/>
        <v>0</v>
      </c>
      <c r="O36" s="49">
        <f t="shared" si="27"/>
        <v>0</v>
      </c>
      <c r="P36" s="49">
        <f t="shared" si="27"/>
        <v>0</v>
      </c>
      <c r="Q36" s="49">
        <f t="shared" si="27"/>
        <v>0</v>
      </c>
      <c r="R36" s="49">
        <f t="shared" si="27"/>
        <v>0</v>
      </c>
      <c r="S36" s="49">
        <f t="shared" si="27"/>
        <v>0</v>
      </c>
      <c r="T36" s="49">
        <f t="shared" si="27"/>
        <v>0</v>
      </c>
      <c r="U36" s="49">
        <f t="shared" si="27"/>
        <v>0</v>
      </c>
      <c r="V36" s="49">
        <f t="shared" si="27"/>
        <v>0</v>
      </c>
      <c r="W36" s="49">
        <f t="shared" si="27"/>
        <v>0</v>
      </c>
      <c r="X36" s="49">
        <f t="shared" si="27"/>
        <v>0</v>
      </c>
      <c r="Y36" s="49">
        <f t="shared" si="27"/>
        <v>0</v>
      </c>
      <c r="Z36" s="49">
        <f t="shared" si="27"/>
        <v>0</v>
      </c>
      <c r="AA36" s="49">
        <f t="shared" si="27"/>
        <v>0</v>
      </c>
      <c r="AB36" s="49">
        <f t="shared" si="27"/>
        <v>0</v>
      </c>
    </row>
    <row r="37" spans="2:30" x14ac:dyDescent="0.25">
      <c r="B37" s="49" t="s">
        <v>420</v>
      </c>
      <c r="C37" s="49">
        <f t="shared" ref="C37:AB37" si="28">IF(C36=0,VALUE(SUBSTITUTE(C32,"*","")),VALUE(LEFT(SUBSTITUTE(C32,"*",""),C36-1)))</f>
        <v>670</v>
      </c>
      <c r="D37" s="49">
        <f t="shared" si="28"/>
        <v>697</v>
      </c>
      <c r="E37" s="49">
        <f t="shared" si="28"/>
        <v>705</v>
      </c>
      <c r="F37" s="49">
        <f t="shared" si="28"/>
        <v>734</v>
      </c>
      <c r="G37" s="49">
        <f t="shared" si="28"/>
        <v>735</v>
      </c>
      <c r="H37" s="49">
        <f t="shared" si="28"/>
        <v>752</v>
      </c>
      <c r="I37" s="49">
        <f t="shared" si="28"/>
        <v>778</v>
      </c>
      <c r="J37" s="49">
        <f t="shared" si="28"/>
        <v>840</v>
      </c>
      <c r="K37" s="49">
        <f t="shared" si="28"/>
        <v>905</v>
      </c>
      <c r="L37" s="49">
        <f t="shared" si="28"/>
        <v>1024</v>
      </c>
      <c r="M37" s="49">
        <f t="shared" si="28"/>
        <v>1180</v>
      </c>
      <c r="N37" s="49">
        <f t="shared" si="28"/>
        <v>1325</v>
      </c>
      <c r="O37" s="49">
        <f t="shared" si="28"/>
        <v>1400</v>
      </c>
      <c r="P37" s="49">
        <f t="shared" si="28"/>
        <v>1810</v>
      </c>
      <c r="Q37" s="49">
        <f t="shared" si="28"/>
        <v>1810</v>
      </c>
      <c r="R37" s="49">
        <f t="shared" si="28"/>
        <v>1508</v>
      </c>
      <c r="S37" s="49">
        <f t="shared" si="28"/>
        <v>1505</v>
      </c>
      <c r="T37" s="49">
        <f t="shared" si="28"/>
        <v>1749</v>
      </c>
      <c r="U37" s="49">
        <f t="shared" si="28"/>
        <v>1729</v>
      </c>
      <c r="V37" s="49">
        <f t="shared" si="28"/>
        <v>1650</v>
      </c>
      <c r="W37" s="49">
        <f t="shared" si="28"/>
        <v>1420</v>
      </c>
      <c r="X37" s="49">
        <f t="shared" si="28"/>
        <v>1322</v>
      </c>
      <c r="Y37" s="49">
        <f t="shared" si="28"/>
        <v>0</v>
      </c>
      <c r="Z37" s="49">
        <f t="shared" si="28"/>
        <v>0</v>
      </c>
      <c r="AA37" s="49">
        <f t="shared" si="28"/>
        <v>0</v>
      </c>
      <c r="AB37" s="49">
        <f t="shared" si="28"/>
        <v>0</v>
      </c>
    </row>
    <row r="38" spans="2:30" x14ac:dyDescent="0.25">
      <c r="B38" s="49" t="s">
        <v>420</v>
      </c>
      <c r="C38" s="49">
        <f t="shared" ref="C38:AB38" si="29">IF(C36=0,VALUE(SUBSTITUTE(C32,"*","")),VALUE(RIGHT(SUBSTITUTE(C32,"*",""),LEN(SUBSTITUTE(C32,"*",""))-C36)))</f>
        <v>670</v>
      </c>
      <c r="D38" s="49">
        <f t="shared" si="29"/>
        <v>697</v>
      </c>
      <c r="E38" s="49">
        <f t="shared" si="29"/>
        <v>705</v>
      </c>
      <c r="F38" s="49">
        <f t="shared" si="29"/>
        <v>734</v>
      </c>
      <c r="G38" s="49">
        <f t="shared" si="29"/>
        <v>735</v>
      </c>
      <c r="H38" s="49">
        <f t="shared" si="29"/>
        <v>752</v>
      </c>
      <c r="I38" s="49">
        <f t="shared" si="29"/>
        <v>778</v>
      </c>
      <c r="J38" s="49">
        <f t="shared" si="29"/>
        <v>840</v>
      </c>
      <c r="K38" s="49">
        <f t="shared" si="29"/>
        <v>905</v>
      </c>
      <c r="L38" s="49">
        <f t="shared" si="29"/>
        <v>1024</v>
      </c>
      <c r="M38" s="49">
        <f t="shared" si="29"/>
        <v>1180</v>
      </c>
      <c r="N38" s="49">
        <f t="shared" si="29"/>
        <v>1325</v>
      </c>
      <c r="O38" s="49">
        <f t="shared" si="29"/>
        <v>1400</v>
      </c>
      <c r="P38" s="49">
        <f t="shared" si="29"/>
        <v>1810</v>
      </c>
      <c r="Q38" s="49">
        <f t="shared" si="29"/>
        <v>1810</v>
      </c>
      <c r="R38" s="49">
        <f t="shared" si="29"/>
        <v>1508</v>
      </c>
      <c r="S38" s="49">
        <f t="shared" si="29"/>
        <v>1505</v>
      </c>
      <c r="T38" s="49">
        <f t="shared" si="29"/>
        <v>1749</v>
      </c>
      <c r="U38" s="49">
        <f t="shared" si="29"/>
        <v>1729</v>
      </c>
      <c r="V38" s="49">
        <f t="shared" si="29"/>
        <v>1650</v>
      </c>
      <c r="W38" s="49">
        <f t="shared" si="29"/>
        <v>1420</v>
      </c>
      <c r="X38" s="49">
        <f t="shared" si="29"/>
        <v>1322</v>
      </c>
      <c r="Y38" s="49">
        <f t="shared" si="29"/>
        <v>0</v>
      </c>
      <c r="Z38" s="49">
        <f t="shared" si="29"/>
        <v>0</v>
      </c>
      <c r="AA38" s="49">
        <f t="shared" si="29"/>
        <v>0</v>
      </c>
      <c r="AB38" s="49">
        <f t="shared" si="29"/>
        <v>0</v>
      </c>
    </row>
    <row r="39" spans="2:30" x14ac:dyDescent="0.25">
      <c r="B39" s="49" t="s">
        <v>679</v>
      </c>
      <c r="C39" s="129">
        <f>IFERROR(IF(AVERAGE(C37:C38)=0,NA(),AVERAGE(C37:C38)/C34),NA())</f>
        <v>779.06976744186045</v>
      </c>
      <c r="D39" s="129">
        <f t="shared" ref="D39:AB39" si="30">IFERROR(IF(AVERAGE(D37:D38)=0,NA(),AVERAGE(D37:D38)/D34),NA())</f>
        <v>810.46511627906978</v>
      </c>
      <c r="E39" s="129">
        <f t="shared" si="30"/>
        <v>819.76744186046517</v>
      </c>
      <c r="F39" s="129">
        <f t="shared" si="30"/>
        <v>873.80952380952385</v>
      </c>
      <c r="G39" s="129">
        <f t="shared" si="30"/>
        <v>864.70588235294122</v>
      </c>
      <c r="H39" s="129">
        <f t="shared" si="30"/>
        <v>895.2380952380953</v>
      </c>
      <c r="I39" s="129">
        <f t="shared" si="30"/>
        <v>915.2941176470589</v>
      </c>
      <c r="J39" s="129">
        <f t="shared" si="30"/>
        <v>988.23529411764707</v>
      </c>
      <c r="K39" s="129">
        <f t="shared" si="30"/>
        <v>1052.3255813953488</v>
      </c>
      <c r="L39" s="129">
        <f t="shared" si="30"/>
        <v>1177.0114942528735</v>
      </c>
      <c r="M39" s="129">
        <f t="shared" si="30"/>
        <v>1356.3218390804598</v>
      </c>
      <c r="N39" s="129">
        <f t="shared" si="30"/>
        <v>1522.9885057471265</v>
      </c>
      <c r="O39" s="129">
        <f t="shared" si="30"/>
        <v>1609.1954022988507</v>
      </c>
      <c r="P39" s="129">
        <f t="shared" si="30"/>
        <v>2104.6511627906975</v>
      </c>
      <c r="Q39" s="129">
        <f t="shared" si="30"/>
        <v>2129.4117647058824</v>
      </c>
      <c r="R39" s="129">
        <f t="shared" si="30"/>
        <v>1774.1176470588236</v>
      </c>
      <c r="S39" s="129">
        <f t="shared" si="30"/>
        <v>1770.5882352941178</v>
      </c>
      <c r="T39" s="129">
        <f t="shared" si="30"/>
        <v>2057.6470588235293</v>
      </c>
      <c r="U39" s="129">
        <f t="shared" si="30"/>
        <v>2034.1176470588236</v>
      </c>
      <c r="V39" s="129">
        <f t="shared" si="30"/>
        <v>1918.6046511627908</v>
      </c>
      <c r="W39" s="129">
        <f t="shared" si="30"/>
        <v>1651.1627906976744</v>
      </c>
      <c r="X39" s="129">
        <f t="shared" si="30"/>
        <v>1537.2093023255813</v>
      </c>
      <c r="Y39" s="129" t="e">
        <f t="shared" si="30"/>
        <v>#N/A</v>
      </c>
      <c r="Z39" s="129" t="e">
        <f t="shared" si="30"/>
        <v>#N/A</v>
      </c>
      <c r="AA39" s="129" t="e">
        <f t="shared" si="30"/>
        <v>#N/A</v>
      </c>
      <c r="AB39" s="129" t="e">
        <f t="shared" si="30"/>
        <v>#N/A</v>
      </c>
      <c r="AD39" s="52"/>
    </row>
    <row r="40" spans="2:30" x14ac:dyDescent="0.25"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 spans="2:30" x14ac:dyDescent="0.25">
      <c r="B41" s="49"/>
      <c r="C41" s="49">
        <f t="shared" ref="C41:AB41" si="31">IFERROR(FIND("—",SUBSTITUTE(C33,"*","")),0)</f>
        <v>0</v>
      </c>
      <c r="D41" s="49">
        <f t="shared" si="31"/>
        <v>0</v>
      </c>
      <c r="E41" s="49">
        <f t="shared" si="31"/>
        <v>0</v>
      </c>
      <c r="F41" s="49">
        <f t="shared" si="31"/>
        <v>0</v>
      </c>
      <c r="G41" s="49">
        <f t="shared" si="31"/>
        <v>0</v>
      </c>
      <c r="H41" s="49">
        <f t="shared" si="31"/>
        <v>0</v>
      </c>
      <c r="I41" s="49">
        <f t="shared" si="31"/>
        <v>0</v>
      </c>
      <c r="J41" s="49">
        <f t="shared" si="31"/>
        <v>0</v>
      </c>
      <c r="K41" s="49">
        <f t="shared" si="31"/>
        <v>0</v>
      </c>
      <c r="L41" s="49">
        <f t="shared" si="31"/>
        <v>0</v>
      </c>
      <c r="M41" s="49">
        <f t="shared" si="31"/>
        <v>0</v>
      </c>
      <c r="N41" s="49">
        <f t="shared" si="31"/>
        <v>0</v>
      </c>
      <c r="O41" s="49">
        <f t="shared" si="31"/>
        <v>0</v>
      </c>
      <c r="P41" s="49">
        <f t="shared" si="31"/>
        <v>0</v>
      </c>
      <c r="Q41" s="49">
        <f t="shared" si="31"/>
        <v>0</v>
      </c>
      <c r="R41" s="49">
        <f t="shared" si="31"/>
        <v>0</v>
      </c>
      <c r="S41" s="49">
        <f t="shared" si="31"/>
        <v>0</v>
      </c>
      <c r="T41" s="49">
        <f t="shared" si="31"/>
        <v>0</v>
      </c>
      <c r="U41" s="49">
        <f t="shared" si="31"/>
        <v>0</v>
      </c>
      <c r="V41" s="49">
        <f t="shared" si="31"/>
        <v>0</v>
      </c>
      <c r="W41" s="49">
        <f t="shared" si="31"/>
        <v>0</v>
      </c>
      <c r="X41" s="49">
        <f t="shared" si="31"/>
        <v>0</v>
      </c>
      <c r="Y41" s="49">
        <f t="shared" si="31"/>
        <v>0</v>
      </c>
      <c r="Z41" s="49">
        <f t="shared" si="31"/>
        <v>0</v>
      </c>
      <c r="AA41" s="49">
        <f t="shared" si="31"/>
        <v>0</v>
      </c>
      <c r="AB41" s="49">
        <f t="shared" si="31"/>
        <v>0</v>
      </c>
    </row>
    <row r="42" spans="2:30" x14ac:dyDescent="0.25">
      <c r="B42" s="49" t="s">
        <v>421</v>
      </c>
      <c r="C42" s="49">
        <f t="shared" ref="C42:AB42" si="32">IF(C41=0,VALUE(SUBSTITUTE(C33,"*","")),VALUE(LEFT(SUBSTITUTE(C33,"*",""),C41-1)))</f>
        <v>745</v>
      </c>
      <c r="D42" s="49">
        <f t="shared" si="32"/>
        <v>770</v>
      </c>
      <c r="E42" s="49">
        <f t="shared" si="32"/>
        <v>785</v>
      </c>
      <c r="F42" s="49">
        <f t="shared" si="32"/>
        <v>820</v>
      </c>
      <c r="G42" s="49">
        <f t="shared" si="32"/>
        <v>825</v>
      </c>
      <c r="H42" s="49">
        <f t="shared" si="32"/>
        <v>825</v>
      </c>
      <c r="I42" s="49">
        <f t="shared" si="32"/>
        <v>825</v>
      </c>
      <c r="J42" s="49">
        <f t="shared" si="32"/>
        <v>840</v>
      </c>
      <c r="K42" s="49">
        <f t="shared" si="32"/>
        <v>890</v>
      </c>
      <c r="L42" s="49">
        <f t="shared" si="32"/>
        <v>1100</v>
      </c>
      <c r="M42" s="49">
        <f t="shared" si="32"/>
        <v>1100</v>
      </c>
      <c r="N42" s="49">
        <f t="shared" si="32"/>
        <v>1280</v>
      </c>
      <c r="O42" s="49">
        <f t="shared" si="32"/>
        <v>1290</v>
      </c>
      <c r="P42" s="49">
        <f t="shared" si="32"/>
        <v>1330</v>
      </c>
      <c r="Q42" s="49">
        <f t="shared" si="32"/>
        <v>1340</v>
      </c>
      <c r="R42" s="49">
        <f t="shared" si="32"/>
        <v>1330</v>
      </c>
      <c r="S42" s="49">
        <f t="shared" si="32"/>
        <v>1340</v>
      </c>
      <c r="T42" s="49">
        <f t="shared" si="32"/>
        <v>1270</v>
      </c>
      <c r="U42" s="49">
        <f t="shared" si="32"/>
        <v>1280</v>
      </c>
      <c r="V42" s="49">
        <f t="shared" si="32"/>
        <v>1250</v>
      </c>
      <c r="W42" s="49">
        <f t="shared" si="32"/>
        <v>1210</v>
      </c>
      <c r="X42" s="49">
        <f t="shared" si="32"/>
        <v>1150</v>
      </c>
      <c r="Y42" s="49">
        <f t="shared" si="32"/>
        <v>0</v>
      </c>
      <c r="Z42" s="49">
        <f t="shared" si="32"/>
        <v>0</v>
      </c>
      <c r="AA42" s="49">
        <f t="shared" si="32"/>
        <v>0</v>
      </c>
      <c r="AB42" s="49">
        <f t="shared" si="32"/>
        <v>0</v>
      </c>
    </row>
    <row r="43" spans="2:30" x14ac:dyDescent="0.25">
      <c r="B43" s="49" t="s">
        <v>421</v>
      </c>
      <c r="C43" s="49">
        <f t="shared" ref="C43:AB43" si="33">IF(C41=0,VALUE(SUBSTITUTE(C33,"*","")),VALUE(RIGHT(SUBSTITUTE(C33,"*",""),LEN(SUBSTITUTE(C33,"*",""))-C41)))</f>
        <v>745</v>
      </c>
      <c r="D43" s="49">
        <f t="shared" si="33"/>
        <v>770</v>
      </c>
      <c r="E43" s="49">
        <f t="shared" si="33"/>
        <v>785</v>
      </c>
      <c r="F43" s="49">
        <f t="shared" si="33"/>
        <v>820</v>
      </c>
      <c r="G43" s="49">
        <f t="shared" si="33"/>
        <v>825</v>
      </c>
      <c r="H43" s="49">
        <f t="shared" si="33"/>
        <v>825</v>
      </c>
      <c r="I43" s="49">
        <f t="shared" si="33"/>
        <v>825</v>
      </c>
      <c r="J43" s="49">
        <f t="shared" si="33"/>
        <v>840</v>
      </c>
      <c r="K43" s="49">
        <f t="shared" si="33"/>
        <v>890</v>
      </c>
      <c r="L43" s="49">
        <f t="shared" si="33"/>
        <v>1100</v>
      </c>
      <c r="M43" s="49">
        <f t="shared" si="33"/>
        <v>1100</v>
      </c>
      <c r="N43" s="49">
        <f t="shared" si="33"/>
        <v>1280</v>
      </c>
      <c r="O43" s="49">
        <f t="shared" si="33"/>
        <v>1290</v>
      </c>
      <c r="P43" s="49">
        <f t="shared" si="33"/>
        <v>1330</v>
      </c>
      <c r="Q43" s="49">
        <f t="shared" si="33"/>
        <v>1340</v>
      </c>
      <c r="R43" s="49">
        <f t="shared" si="33"/>
        <v>1330</v>
      </c>
      <c r="S43" s="49">
        <f t="shared" si="33"/>
        <v>1340</v>
      </c>
      <c r="T43" s="49">
        <f t="shared" si="33"/>
        <v>1270</v>
      </c>
      <c r="U43" s="49">
        <f t="shared" si="33"/>
        <v>1280</v>
      </c>
      <c r="V43" s="49">
        <f t="shared" si="33"/>
        <v>1250</v>
      </c>
      <c r="W43" s="49">
        <f t="shared" si="33"/>
        <v>1210</v>
      </c>
      <c r="X43" s="49">
        <f t="shared" si="33"/>
        <v>1150</v>
      </c>
      <c r="Y43" s="49">
        <f t="shared" si="33"/>
        <v>0</v>
      </c>
      <c r="Z43" s="49">
        <f t="shared" si="33"/>
        <v>0</v>
      </c>
      <c r="AA43" s="49">
        <f t="shared" si="33"/>
        <v>0</v>
      </c>
      <c r="AB43" s="49">
        <f t="shared" si="33"/>
        <v>0</v>
      </c>
    </row>
    <row r="44" spans="2:30" x14ac:dyDescent="0.25">
      <c r="B44" s="49" t="s">
        <v>421</v>
      </c>
      <c r="C44" s="49">
        <f>IFERROR(IF(AVERAGE(C42:C43)=0,NA(),AVERAGE(C42:C43)),NA())</f>
        <v>745</v>
      </c>
      <c r="D44" s="49">
        <f t="shared" ref="D44:AB44" si="34">IFERROR(IF(AVERAGE(D42:D43)=0,NA(),AVERAGE(D42:D43)),NA())</f>
        <v>770</v>
      </c>
      <c r="E44" s="49">
        <f t="shared" si="34"/>
        <v>785</v>
      </c>
      <c r="F44" s="49">
        <f t="shared" si="34"/>
        <v>820</v>
      </c>
      <c r="G44" s="49">
        <f t="shared" si="34"/>
        <v>825</v>
      </c>
      <c r="H44" s="49">
        <f t="shared" si="34"/>
        <v>825</v>
      </c>
      <c r="I44" s="49">
        <f t="shared" si="34"/>
        <v>825</v>
      </c>
      <c r="J44" s="49">
        <f t="shared" si="34"/>
        <v>840</v>
      </c>
      <c r="K44" s="49">
        <f t="shared" si="34"/>
        <v>890</v>
      </c>
      <c r="L44" s="49">
        <f t="shared" si="34"/>
        <v>1100</v>
      </c>
      <c r="M44" s="49">
        <f t="shared" si="34"/>
        <v>1100</v>
      </c>
      <c r="N44" s="49">
        <f t="shared" si="34"/>
        <v>1280</v>
      </c>
      <c r="O44" s="49">
        <f t="shared" si="34"/>
        <v>1290</v>
      </c>
      <c r="P44" s="49">
        <f t="shared" si="34"/>
        <v>1330</v>
      </c>
      <c r="Q44" s="49">
        <f t="shared" si="34"/>
        <v>1340</v>
      </c>
      <c r="R44" s="49">
        <f t="shared" si="34"/>
        <v>1330</v>
      </c>
      <c r="S44" s="49">
        <f t="shared" si="34"/>
        <v>1340</v>
      </c>
      <c r="T44" s="49">
        <f t="shared" si="34"/>
        <v>1270</v>
      </c>
      <c r="U44" s="49">
        <f t="shared" si="34"/>
        <v>1280</v>
      </c>
      <c r="V44" s="49">
        <f t="shared" si="34"/>
        <v>1250</v>
      </c>
      <c r="W44" s="49">
        <f t="shared" si="34"/>
        <v>1210</v>
      </c>
      <c r="X44" s="49">
        <f t="shared" si="34"/>
        <v>1150</v>
      </c>
      <c r="Y44" s="49" t="e">
        <f t="shared" si="34"/>
        <v>#N/A</v>
      </c>
      <c r="Z44" s="49" t="e">
        <f t="shared" si="34"/>
        <v>#N/A</v>
      </c>
      <c r="AA44" s="49" t="e">
        <f t="shared" si="34"/>
        <v>#N/A</v>
      </c>
      <c r="AB44" s="49" t="e">
        <f t="shared" si="34"/>
        <v>#N/A</v>
      </c>
    </row>
    <row r="45" spans="2:30" x14ac:dyDescent="0.25"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8" spans="2:30" x14ac:dyDescent="0.25">
      <c r="B48" t="s">
        <v>435</v>
      </c>
      <c r="C48" t="str">
        <f>INDEX(Database!$D$2:$XFD$36,20,$A$1)</f>
        <v>755—780</v>
      </c>
      <c r="D48" t="str">
        <f>INDEX(Database!$D$2:$XFD$36,20,$A$1+D9)</f>
        <v>750—780</v>
      </c>
      <c r="E48" t="str">
        <f>INDEX(Database!$D$2:$XFD$36,20,$A$1+E9)</f>
        <v>755—780</v>
      </c>
      <c r="F48" t="str">
        <f>INDEX(Database!$D$2:$XFD$36,20,$A$1+F9)</f>
        <v>750—770</v>
      </c>
      <c r="G48" t="str">
        <f>INDEX(Database!$D$2:$XFD$36,20,$A$1+G9)</f>
        <v>755—775</v>
      </c>
      <c r="H48" t="str">
        <f>INDEX(Database!$D$2:$XFD$36,20,$A$1+H9)</f>
        <v>755—775</v>
      </c>
      <c r="I48" t="str">
        <f>INDEX(Database!$D$2:$XFD$36,20,$A$1+I9)</f>
        <v>770—820</v>
      </c>
      <c r="J48" t="str">
        <f>INDEX(Database!$D$2:$XFD$36,20,$A$1+J9)</f>
        <v>770—820</v>
      </c>
      <c r="K48" t="str">
        <f>INDEX(Database!$D$2:$XFD$36,20,$A$1+K9)</f>
        <v>770—820</v>
      </c>
      <c r="L48" t="str">
        <f>INDEX(Database!$D$2:$XFD$36,20,$A$1+L9)</f>
        <v>1,100—1,180</v>
      </c>
      <c r="M48" t="str">
        <f>INDEX(Database!$D$2:$XFD$36,20,$A$1+M9)</f>
        <v>1,100—1,180</v>
      </c>
      <c r="N48" t="str">
        <f>INDEX(Database!$D$2:$XFD$36,20,$A$1+N9)</f>
        <v>1,150—1,210</v>
      </c>
      <c r="O48" t="str">
        <f>INDEX(Database!$D$2:$XFD$36,20,$A$1+O9)</f>
        <v>1,150—1,210</v>
      </c>
      <c r="P48" t="str">
        <f>INDEX(Database!$D$2:$XFD$36,20,$A$1+P9)</f>
        <v>1,200—1,300</v>
      </c>
      <c r="Q48" t="str">
        <f>INDEX(Database!$D$2:$XFD$36,20,$A$1+Q9)</f>
        <v>1,200—1,300</v>
      </c>
      <c r="R48" t="str">
        <f>INDEX(Database!$D$2:$XFD$36,20,$A$1+R9)</f>
        <v>1,200—1,300</v>
      </c>
      <c r="S48" t="str">
        <f>INDEX(Database!$D$2:$XFD$36,20,$A$1+S9)</f>
        <v>1,200—1,300</v>
      </c>
      <c r="T48" t="str">
        <f>INDEX(Database!$D$2:$XFD$36,20,$A$1+T9)</f>
        <v>1,200—1,300</v>
      </c>
      <c r="U48" t="str">
        <f>INDEX(Database!$D$2:$XFD$36,20,$A$1+U9)</f>
        <v>1,210—1,300</v>
      </c>
      <c r="V48" t="str">
        <f>INDEX(Database!$D$2:$XFD$36,20,$A$1+V9)</f>
        <v>1,210—1,280</v>
      </c>
      <c r="W48" t="str">
        <f>INDEX(Database!$D$2:$XFD$36,20,$A$1+W9)</f>
        <v>1,210—1,280</v>
      </c>
      <c r="X48" t="str">
        <f>INDEX(Database!$D$2:$XFD$36,20,$A$1+X9)</f>
        <v>1,200—1,250</v>
      </c>
      <c r="Y48">
        <f>INDEX(Database!$D$2:$XFD$36,20,$A$1+Y9)</f>
        <v>0</v>
      </c>
      <c r="Z48">
        <f>INDEX(Database!$D$2:$XFD$36,20,$A$1+Z9)</f>
        <v>0</v>
      </c>
      <c r="AA48">
        <f>INDEX(Database!$D$2:$XFD$36,20,$A$1+AA9)</f>
        <v>0</v>
      </c>
      <c r="AB48">
        <f>INDEX(Database!$D$2:$XFD$36,20,$A$1+AB9)</f>
        <v>0</v>
      </c>
    </row>
    <row r="49" spans="2:28" x14ac:dyDescent="0.25">
      <c r="B49" t="s">
        <v>256</v>
      </c>
      <c r="C49">
        <f>INDEX(Database!$D$2:$XFD$36,17,$A$1)</f>
        <v>534</v>
      </c>
      <c r="D49">
        <f>INDEX(Database!$D$2:$XFD$36,17,$A$1+D9)</f>
        <v>560</v>
      </c>
      <c r="E49">
        <f>INDEX(Database!$D$2:$XFD$36,17,$A$1+E9)</f>
        <v>559</v>
      </c>
      <c r="F49">
        <f>INDEX(Database!$D$2:$XFD$36,17,$A$1+F9)</f>
        <v>585</v>
      </c>
      <c r="G49">
        <f>INDEX(Database!$D$2:$XFD$36,17,$A$1+G9)</f>
        <v>598</v>
      </c>
      <c r="H49">
        <f>INDEX(Database!$D$2:$XFD$36,17,$A$1+H9)</f>
        <v>612</v>
      </c>
      <c r="I49">
        <f>INDEX(Database!$D$2:$XFD$36,17,$A$1+I9)</f>
        <v>594</v>
      </c>
      <c r="J49">
        <f>INDEX(Database!$D$2:$XFD$36,17,$A$1+J9)</f>
        <v>616</v>
      </c>
      <c r="K49">
        <f>INDEX(Database!$D$2:$XFD$36,17,$A$1+K9)</f>
        <v>777</v>
      </c>
      <c r="L49">
        <f>INDEX(Database!$D$2:$XFD$36,17,$A$1+L9)</f>
        <v>875</v>
      </c>
      <c r="M49">
        <f>INDEX(Database!$D$2:$XFD$36,17,$A$1+M9)</f>
        <v>1039</v>
      </c>
      <c r="N49">
        <f>INDEX(Database!$D$2:$XFD$36,17,$A$1+N9)</f>
        <v>998</v>
      </c>
      <c r="O49">
        <f>INDEX(Database!$D$2:$XFD$36,17,$A$1+O9)</f>
        <v>1093</v>
      </c>
      <c r="P49">
        <f>INDEX(Database!$D$2:$XFD$36,17,$A$1+P9)</f>
        <v>1003</v>
      </c>
      <c r="Q49">
        <f>INDEX(Database!$D$2:$XFD$36,17,$A$1+Q9)</f>
        <v>991</v>
      </c>
      <c r="R49">
        <f>INDEX(Database!$D$2:$XFD$36,17,$A$1+R9)</f>
        <v>959</v>
      </c>
      <c r="S49">
        <f>INDEX(Database!$D$2:$XFD$36,17,$A$1+S9)</f>
        <v>1039</v>
      </c>
      <c r="T49">
        <f>INDEX(Database!$D$2:$XFD$36,17,$A$1+T9)</f>
        <v>972</v>
      </c>
      <c r="U49">
        <f>INDEX(Database!$D$2:$XFD$36,17,$A$1+U9)</f>
        <v>1021</v>
      </c>
      <c r="V49">
        <f>INDEX(Database!$D$2:$XFD$36,17,$A$1+V9)</f>
        <v>970</v>
      </c>
      <c r="W49">
        <f>INDEX(Database!$D$2:$XFD$36,17,$A$1+W9)</f>
        <v>835</v>
      </c>
      <c r="X49">
        <f>INDEX(Database!$D$2:$XFD$36,17,$A$1+X9)</f>
        <v>808</v>
      </c>
      <c r="Y49">
        <f>INDEX(Database!$D$2:$XFD$36,17,$A$1+Y9)</f>
        <v>0</v>
      </c>
      <c r="Z49">
        <f>INDEX(Database!$D$2:$XFD$36,17,$A$1+Z9)</f>
        <v>0</v>
      </c>
      <c r="AA49">
        <f>INDEX(Database!$D$2:$XFD$36,17,$A$1+AA9)</f>
        <v>0</v>
      </c>
      <c r="AB49">
        <f>INDEX(Database!$D$2:$XFD$36,17,$A$1+AB9)</f>
        <v>0</v>
      </c>
    </row>
    <row r="52" spans="2:28" x14ac:dyDescent="0.25">
      <c r="B52" s="49"/>
      <c r="C52" s="49">
        <f t="shared" ref="C52:AB52" si="35">IFERROR(FIND("—",SUBSTITUTE(C48,"*","")),0)</f>
        <v>4</v>
      </c>
      <c r="D52" s="49">
        <f t="shared" si="35"/>
        <v>4</v>
      </c>
      <c r="E52" s="49">
        <f t="shared" si="35"/>
        <v>4</v>
      </c>
      <c r="F52" s="49">
        <f t="shared" si="35"/>
        <v>4</v>
      </c>
      <c r="G52" s="49">
        <f t="shared" si="35"/>
        <v>4</v>
      </c>
      <c r="H52" s="49">
        <f t="shared" si="35"/>
        <v>4</v>
      </c>
      <c r="I52" s="49">
        <f t="shared" si="35"/>
        <v>4</v>
      </c>
      <c r="J52" s="49">
        <f t="shared" si="35"/>
        <v>4</v>
      </c>
      <c r="K52" s="49">
        <f t="shared" si="35"/>
        <v>4</v>
      </c>
      <c r="L52" s="49">
        <f t="shared" si="35"/>
        <v>6</v>
      </c>
      <c r="M52" s="49">
        <f t="shared" si="35"/>
        <v>6</v>
      </c>
      <c r="N52" s="49">
        <f t="shared" si="35"/>
        <v>6</v>
      </c>
      <c r="O52" s="49">
        <f t="shared" si="35"/>
        <v>6</v>
      </c>
      <c r="P52" s="49">
        <f t="shared" si="35"/>
        <v>6</v>
      </c>
      <c r="Q52" s="49">
        <f t="shared" si="35"/>
        <v>6</v>
      </c>
      <c r="R52" s="49">
        <f t="shared" si="35"/>
        <v>6</v>
      </c>
      <c r="S52" s="49">
        <f t="shared" si="35"/>
        <v>6</v>
      </c>
      <c r="T52" s="49">
        <f t="shared" si="35"/>
        <v>6</v>
      </c>
      <c r="U52" s="49">
        <f t="shared" si="35"/>
        <v>6</v>
      </c>
      <c r="V52" s="49">
        <f t="shared" si="35"/>
        <v>6</v>
      </c>
      <c r="W52" s="49">
        <f t="shared" si="35"/>
        <v>6</v>
      </c>
      <c r="X52" s="49">
        <f t="shared" si="35"/>
        <v>6</v>
      </c>
      <c r="Y52" s="49">
        <f t="shared" si="35"/>
        <v>0</v>
      </c>
      <c r="Z52" s="49">
        <f t="shared" si="35"/>
        <v>0</v>
      </c>
      <c r="AA52" s="49">
        <f t="shared" si="35"/>
        <v>0</v>
      </c>
      <c r="AB52" s="49">
        <f t="shared" si="35"/>
        <v>0</v>
      </c>
    </row>
    <row r="53" spans="2:28" x14ac:dyDescent="0.25">
      <c r="B53" s="49" t="s">
        <v>435</v>
      </c>
      <c r="C53" s="49">
        <f t="shared" ref="C53:AB53" si="36">IF(C52=0,VALUE(SUBSTITUTE(C48,"*","")),VALUE(LEFT(SUBSTITUTE(C48,"*",""),C52-1)))</f>
        <v>755</v>
      </c>
      <c r="D53" s="49">
        <f t="shared" si="36"/>
        <v>750</v>
      </c>
      <c r="E53" s="49">
        <f t="shared" si="36"/>
        <v>755</v>
      </c>
      <c r="F53" s="49">
        <f t="shared" si="36"/>
        <v>750</v>
      </c>
      <c r="G53" s="49">
        <f t="shared" si="36"/>
        <v>755</v>
      </c>
      <c r="H53" s="49">
        <f t="shared" si="36"/>
        <v>755</v>
      </c>
      <c r="I53" s="49">
        <f t="shared" si="36"/>
        <v>770</v>
      </c>
      <c r="J53" s="49">
        <f t="shared" si="36"/>
        <v>770</v>
      </c>
      <c r="K53" s="49">
        <f t="shared" si="36"/>
        <v>770</v>
      </c>
      <c r="L53" s="49">
        <f t="shared" si="36"/>
        <v>1100</v>
      </c>
      <c r="M53" s="49">
        <f t="shared" si="36"/>
        <v>1100</v>
      </c>
      <c r="N53" s="49">
        <f t="shared" si="36"/>
        <v>1150</v>
      </c>
      <c r="O53" s="49">
        <f t="shared" si="36"/>
        <v>1150</v>
      </c>
      <c r="P53" s="49">
        <f t="shared" si="36"/>
        <v>1200</v>
      </c>
      <c r="Q53" s="49">
        <f t="shared" si="36"/>
        <v>1200</v>
      </c>
      <c r="R53" s="49">
        <f t="shared" si="36"/>
        <v>1200</v>
      </c>
      <c r="S53" s="49">
        <f t="shared" si="36"/>
        <v>1200</v>
      </c>
      <c r="T53" s="49">
        <f t="shared" si="36"/>
        <v>1200</v>
      </c>
      <c r="U53" s="49">
        <f t="shared" si="36"/>
        <v>1210</v>
      </c>
      <c r="V53" s="49">
        <f t="shared" si="36"/>
        <v>1210</v>
      </c>
      <c r="W53" s="49">
        <f t="shared" si="36"/>
        <v>1210</v>
      </c>
      <c r="X53" s="49">
        <f t="shared" si="36"/>
        <v>1200</v>
      </c>
      <c r="Y53" s="49">
        <f t="shared" si="36"/>
        <v>0</v>
      </c>
      <c r="Z53" s="49">
        <f t="shared" si="36"/>
        <v>0</v>
      </c>
      <c r="AA53" s="49">
        <f t="shared" si="36"/>
        <v>0</v>
      </c>
      <c r="AB53" s="49">
        <f t="shared" si="36"/>
        <v>0</v>
      </c>
    </row>
    <row r="54" spans="2:28" x14ac:dyDescent="0.25">
      <c r="B54" s="49" t="s">
        <v>435</v>
      </c>
      <c r="C54" s="49">
        <f t="shared" ref="C54:AB54" si="37">IF(C52=0,VALUE(SUBSTITUTE(C48,"*","")),VALUE(RIGHT(SUBSTITUTE(C48,"*",""),LEN(SUBSTITUTE(C48,"*",""))-C52)))</f>
        <v>780</v>
      </c>
      <c r="D54" s="49">
        <f t="shared" si="37"/>
        <v>780</v>
      </c>
      <c r="E54" s="49">
        <f t="shared" si="37"/>
        <v>780</v>
      </c>
      <c r="F54" s="49">
        <f t="shared" si="37"/>
        <v>770</v>
      </c>
      <c r="G54" s="49">
        <f t="shared" si="37"/>
        <v>775</v>
      </c>
      <c r="H54" s="49">
        <f t="shared" si="37"/>
        <v>775</v>
      </c>
      <c r="I54" s="49">
        <f t="shared" si="37"/>
        <v>820</v>
      </c>
      <c r="J54" s="49">
        <f t="shared" si="37"/>
        <v>820</v>
      </c>
      <c r="K54" s="49">
        <f t="shared" si="37"/>
        <v>820</v>
      </c>
      <c r="L54" s="49">
        <f t="shared" si="37"/>
        <v>1180</v>
      </c>
      <c r="M54" s="49">
        <f t="shared" si="37"/>
        <v>1180</v>
      </c>
      <c r="N54" s="49">
        <f t="shared" si="37"/>
        <v>1210</v>
      </c>
      <c r="O54" s="49">
        <f t="shared" si="37"/>
        <v>1210</v>
      </c>
      <c r="P54" s="49">
        <f t="shared" si="37"/>
        <v>1300</v>
      </c>
      <c r="Q54" s="49">
        <f t="shared" si="37"/>
        <v>1300</v>
      </c>
      <c r="R54" s="49">
        <f t="shared" si="37"/>
        <v>1300</v>
      </c>
      <c r="S54" s="49">
        <f t="shared" si="37"/>
        <v>1300</v>
      </c>
      <c r="T54" s="49">
        <f t="shared" si="37"/>
        <v>1300</v>
      </c>
      <c r="U54" s="49">
        <f t="shared" si="37"/>
        <v>1300</v>
      </c>
      <c r="V54" s="49">
        <f t="shared" si="37"/>
        <v>1280</v>
      </c>
      <c r="W54" s="49">
        <f t="shared" si="37"/>
        <v>1280</v>
      </c>
      <c r="X54" s="49">
        <f t="shared" si="37"/>
        <v>1250</v>
      </c>
      <c r="Y54" s="49">
        <f t="shared" si="37"/>
        <v>0</v>
      </c>
      <c r="Z54" s="49">
        <f t="shared" si="37"/>
        <v>0</v>
      </c>
      <c r="AA54" s="49">
        <f t="shared" si="37"/>
        <v>0</v>
      </c>
      <c r="AB54" s="49">
        <f t="shared" si="37"/>
        <v>0</v>
      </c>
    </row>
    <row r="55" spans="2:28" x14ac:dyDescent="0.25">
      <c r="B55" s="49" t="s">
        <v>435</v>
      </c>
      <c r="C55" s="49">
        <f>IFERROR(IF(AVERAGE(C53:C54)=0,NA(),AVERAGE(C53:C54)),NA())</f>
        <v>767.5</v>
      </c>
      <c r="D55" s="49">
        <f t="shared" ref="D55:AB55" si="38">IFERROR(IF(AVERAGE(D53:D54)=0,NA(),AVERAGE(D53:D54)),NA())</f>
        <v>765</v>
      </c>
      <c r="E55" s="49">
        <f t="shared" si="38"/>
        <v>767.5</v>
      </c>
      <c r="F55" s="49">
        <f t="shared" si="38"/>
        <v>760</v>
      </c>
      <c r="G55" s="49">
        <f t="shared" si="38"/>
        <v>765</v>
      </c>
      <c r="H55" s="49">
        <f t="shared" si="38"/>
        <v>765</v>
      </c>
      <c r="I55" s="49">
        <f t="shared" si="38"/>
        <v>795</v>
      </c>
      <c r="J55" s="49">
        <f t="shared" si="38"/>
        <v>795</v>
      </c>
      <c r="K55" s="49">
        <f t="shared" si="38"/>
        <v>795</v>
      </c>
      <c r="L55" s="49">
        <f t="shared" si="38"/>
        <v>1140</v>
      </c>
      <c r="M55" s="49">
        <f t="shared" si="38"/>
        <v>1140</v>
      </c>
      <c r="N55" s="49">
        <f t="shared" si="38"/>
        <v>1180</v>
      </c>
      <c r="O55" s="49">
        <f t="shared" si="38"/>
        <v>1180</v>
      </c>
      <c r="P55" s="49">
        <f t="shared" si="38"/>
        <v>1250</v>
      </c>
      <c r="Q55" s="49">
        <f t="shared" si="38"/>
        <v>1250</v>
      </c>
      <c r="R55" s="49">
        <f t="shared" si="38"/>
        <v>1250</v>
      </c>
      <c r="S55" s="49">
        <f t="shared" si="38"/>
        <v>1250</v>
      </c>
      <c r="T55" s="49">
        <f t="shared" si="38"/>
        <v>1250</v>
      </c>
      <c r="U55" s="49">
        <f t="shared" si="38"/>
        <v>1255</v>
      </c>
      <c r="V55" s="49">
        <f t="shared" si="38"/>
        <v>1245</v>
      </c>
      <c r="W55" s="49">
        <f t="shared" si="38"/>
        <v>1245</v>
      </c>
      <c r="X55" s="49">
        <f t="shared" si="38"/>
        <v>1225</v>
      </c>
      <c r="Y55" s="49" t="e">
        <f t="shared" si="38"/>
        <v>#N/A</v>
      </c>
      <c r="Z55" s="49" t="e">
        <f t="shared" si="38"/>
        <v>#N/A</v>
      </c>
      <c r="AA55" s="49" t="e">
        <f t="shared" si="38"/>
        <v>#N/A</v>
      </c>
      <c r="AB55" s="49" t="e">
        <f t="shared" si="38"/>
        <v>#N/A</v>
      </c>
    </row>
    <row r="56" spans="2:28" x14ac:dyDescent="0.25"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spans="2:28" x14ac:dyDescent="0.25"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2:28" x14ac:dyDescent="0.25">
      <c r="B58" s="49"/>
      <c r="C58" s="49">
        <f t="shared" ref="C58:AB58" si="39">IFERROR(FIND("—",SUBSTITUTE(C49,"*","")),0)</f>
        <v>0</v>
      </c>
      <c r="D58" s="49">
        <f t="shared" si="39"/>
        <v>0</v>
      </c>
      <c r="E58" s="49">
        <f t="shared" si="39"/>
        <v>0</v>
      </c>
      <c r="F58" s="49">
        <f t="shared" si="39"/>
        <v>0</v>
      </c>
      <c r="G58" s="49">
        <f t="shared" si="39"/>
        <v>0</v>
      </c>
      <c r="H58" s="49">
        <f t="shared" si="39"/>
        <v>0</v>
      </c>
      <c r="I58" s="49">
        <f t="shared" si="39"/>
        <v>0</v>
      </c>
      <c r="J58" s="49">
        <f t="shared" si="39"/>
        <v>0</v>
      </c>
      <c r="K58" s="49">
        <f t="shared" si="39"/>
        <v>0</v>
      </c>
      <c r="L58" s="49">
        <f t="shared" si="39"/>
        <v>0</v>
      </c>
      <c r="M58" s="49">
        <f t="shared" si="39"/>
        <v>0</v>
      </c>
      <c r="N58" s="49">
        <f t="shared" si="39"/>
        <v>0</v>
      </c>
      <c r="O58" s="49">
        <f t="shared" si="39"/>
        <v>0</v>
      </c>
      <c r="P58" s="49">
        <f t="shared" si="39"/>
        <v>0</v>
      </c>
      <c r="Q58" s="49">
        <f t="shared" si="39"/>
        <v>0</v>
      </c>
      <c r="R58" s="49">
        <f t="shared" si="39"/>
        <v>0</v>
      </c>
      <c r="S58" s="49">
        <f t="shared" si="39"/>
        <v>0</v>
      </c>
      <c r="T58" s="49">
        <f t="shared" si="39"/>
        <v>0</v>
      </c>
      <c r="U58" s="49">
        <f t="shared" si="39"/>
        <v>0</v>
      </c>
      <c r="V58" s="49">
        <f t="shared" si="39"/>
        <v>0</v>
      </c>
      <c r="W58" s="49">
        <f t="shared" si="39"/>
        <v>0</v>
      </c>
      <c r="X58" s="49">
        <f t="shared" si="39"/>
        <v>0</v>
      </c>
      <c r="Y58" s="49">
        <f t="shared" si="39"/>
        <v>0</v>
      </c>
      <c r="Z58" s="49">
        <f t="shared" si="39"/>
        <v>0</v>
      </c>
      <c r="AA58" s="49">
        <f t="shared" si="39"/>
        <v>0</v>
      </c>
      <c r="AB58" s="49">
        <f t="shared" si="39"/>
        <v>0</v>
      </c>
    </row>
    <row r="59" spans="2:28" x14ac:dyDescent="0.25">
      <c r="B59" s="49" t="s">
        <v>40</v>
      </c>
      <c r="C59" s="49">
        <f t="shared" ref="C59:AB59" si="40">IF(C58=0,VALUE(SUBSTITUTE(C49,"*","")),VALUE(LEFT(SUBSTITUTE(C49,"*",""),C58-1)))</f>
        <v>534</v>
      </c>
      <c r="D59" s="49">
        <f t="shared" si="40"/>
        <v>560</v>
      </c>
      <c r="E59" s="49">
        <f t="shared" si="40"/>
        <v>559</v>
      </c>
      <c r="F59" s="49">
        <f t="shared" si="40"/>
        <v>585</v>
      </c>
      <c r="G59" s="49">
        <f t="shared" si="40"/>
        <v>598</v>
      </c>
      <c r="H59" s="49">
        <f t="shared" si="40"/>
        <v>612</v>
      </c>
      <c r="I59" s="49">
        <f t="shared" si="40"/>
        <v>594</v>
      </c>
      <c r="J59" s="49">
        <f t="shared" si="40"/>
        <v>616</v>
      </c>
      <c r="K59" s="49">
        <f t="shared" si="40"/>
        <v>777</v>
      </c>
      <c r="L59" s="49">
        <f t="shared" si="40"/>
        <v>875</v>
      </c>
      <c r="M59" s="49">
        <f t="shared" si="40"/>
        <v>1039</v>
      </c>
      <c r="N59" s="49">
        <f t="shared" si="40"/>
        <v>998</v>
      </c>
      <c r="O59" s="49">
        <f t="shared" si="40"/>
        <v>1093</v>
      </c>
      <c r="P59" s="49">
        <f t="shared" si="40"/>
        <v>1003</v>
      </c>
      <c r="Q59" s="49">
        <f t="shared" si="40"/>
        <v>991</v>
      </c>
      <c r="R59" s="49">
        <f t="shared" si="40"/>
        <v>959</v>
      </c>
      <c r="S59" s="49">
        <f t="shared" si="40"/>
        <v>1039</v>
      </c>
      <c r="T59" s="49">
        <f t="shared" si="40"/>
        <v>972</v>
      </c>
      <c r="U59" s="49">
        <f t="shared" si="40"/>
        <v>1021</v>
      </c>
      <c r="V59" s="49">
        <f t="shared" si="40"/>
        <v>970</v>
      </c>
      <c r="W59" s="49">
        <f t="shared" si="40"/>
        <v>835</v>
      </c>
      <c r="X59" s="49">
        <f t="shared" si="40"/>
        <v>808</v>
      </c>
      <c r="Y59" s="49">
        <f t="shared" si="40"/>
        <v>0</v>
      </c>
      <c r="Z59" s="49">
        <f t="shared" si="40"/>
        <v>0</v>
      </c>
      <c r="AA59" s="49">
        <f t="shared" si="40"/>
        <v>0</v>
      </c>
      <c r="AB59" s="49">
        <f t="shared" si="40"/>
        <v>0</v>
      </c>
    </row>
    <row r="60" spans="2:28" x14ac:dyDescent="0.25">
      <c r="B60" s="49" t="s">
        <v>40</v>
      </c>
      <c r="C60" s="49">
        <f t="shared" ref="C60:AB60" si="41">IF(C58=0,VALUE(SUBSTITUTE(C49,"*","")),VALUE(RIGHT(SUBSTITUTE(C49,"*",""),LEN(SUBSTITUTE(C49,"*",""))-C58)))</f>
        <v>534</v>
      </c>
      <c r="D60" s="49">
        <f t="shared" si="41"/>
        <v>560</v>
      </c>
      <c r="E60" s="49">
        <f t="shared" si="41"/>
        <v>559</v>
      </c>
      <c r="F60" s="49">
        <f t="shared" si="41"/>
        <v>585</v>
      </c>
      <c r="G60" s="49">
        <f t="shared" si="41"/>
        <v>598</v>
      </c>
      <c r="H60" s="49">
        <f t="shared" si="41"/>
        <v>612</v>
      </c>
      <c r="I60" s="49">
        <f t="shared" si="41"/>
        <v>594</v>
      </c>
      <c r="J60" s="49">
        <f t="shared" si="41"/>
        <v>616</v>
      </c>
      <c r="K60" s="49">
        <f t="shared" si="41"/>
        <v>777</v>
      </c>
      <c r="L60" s="49">
        <f t="shared" si="41"/>
        <v>875</v>
      </c>
      <c r="M60" s="49">
        <f t="shared" si="41"/>
        <v>1039</v>
      </c>
      <c r="N60" s="49">
        <f t="shared" si="41"/>
        <v>998</v>
      </c>
      <c r="O60" s="49">
        <f t="shared" si="41"/>
        <v>1093</v>
      </c>
      <c r="P60" s="49">
        <f t="shared" si="41"/>
        <v>1003</v>
      </c>
      <c r="Q60" s="49">
        <f t="shared" si="41"/>
        <v>991</v>
      </c>
      <c r="R60" s="49">
        <f t="shared" si="41"/>
        <v>959</v>
      </c>
      <c r="S60" s="49">
        <f t="shared" si="41"/>
        <v>1039</v>
      </c>
      <c r="T60" s="49">
        <f t="shared" si="41"/>
        <v>972</v>
      </c>
      <c r="U60" s="49">
        <f t="shared" si="41"/>
        <v>1021</v>
      </c>
      <c r="V60" s="49">
        <f t="shared" si="41"/>
        <v>970</v>
      </c>
      <c r="W60" s="49">
        <f t="shared" si="41"/>
        <v>835</v>
      </c>
      <c r="X60" s="49">
        <f t="shared" si="41"/>
        <v>808</v>
      </c>
      <c r="Y60" s="49">
        <f t="shared" si="41"/>
        <v>0</v>
      </c>
      <c r="Z60" s="49">
        <f t="shared" si="41"/>
        <v>0</v>
      </c>
      <c r="AA60" s="49">
        <f t="shared" si="41"/>
        <v>0</v>
      </c>
      <c r="AB60" s="49">
        <f t="shared" si="41"/>
        <v>0</v>
      </c>
    </row>
    <row r="61" spans="2:28" x14ac:dyDescent="0.25">
      <c r="B61" s="49" t="s">
        <v>40</v>
      </c>
      <c r="C61" s="49">
        <f>IFERROR(IF(AVERAGE(C59:C60)=0,NA(),AVERAGE(C59:C60)),NA())</f>
        <v>534</v>
      </c>
      <c r="D61" s="49">
        <f t="shared" ref="D61:AB61" si="42">IFERROR(IF(AVERAGE(D59:D60)=0,NA(),AVERAGE(D59:D60)),NA())</f>
        <v>560</v>
      </c>
      <c r="E61" s="49">
        <f t="shared" si="42"/>
        <v>559</v>
      </c>
      <c r="F61" s="49">
        <f t="shared" si="42"/>
        <v>585</v>
      </c>
      <c r="G61" s="49">
        <f t="shared" si="42"/>
        <v>598</v>
      </c>
      <c r="H61" s="49">
        <f t="shared" si="42"/>
        <v>612</v>
      </c>
      <c r="I61" s="49">
        <f t="shared" si="42"/>
        <v>594</v>
      </c>
      <c r="J61" s="49">
        <f t="shared" si="42"/>
        <v>616</v>
      </c>
      <c r="K61" s="49">
        <f t="shared" si="42"/>
        <v>777</v>
      </c>
      <c r="L61" s="49">
        <f t="shared" si="42"/>
        <v>875</v>
      </c>
      <c r="M61" s="49">
        <f t="shared" si="42"/>
        <v>1039</v>
      </c>
      <c r="N61" s="49">
        <f t="shared" si="42"/>
        <v>998</v>
      </c>
      <c r="O61" s="49">
        <f t="shared" si="42"/>
        <v>1093</v>
      </c>
      <c r="P61" s="49">
        <f t="shared" si="42"/>
        <v>1003</v>
      </c>
      <c r="Q61" s="49">
        <f t="shared" si="42"/>
        <v>991</v>
      </c>
      <c r="R61" s="49">
        <f t="shared" si="42"/>
        <v>959</v>
      </c>
      <c r="S61" s="49">
        <f t="shared" si="42"/>
        <v>1039</v>
      </c>
      <c r="T61" s="49">
        <f t="shared" si="42"/>
        <v>972</v>
      </c>
      <c r="U61" s="49">
        <f t="shared" si="42"/>
        <v>1021</v>
      </c>
      <c r="V61" s="49">
        <f t="shared" si="42"/>
        <v>970</v>
      </c>
      <c r="W61" s="49">
        <f t="shared" si="42"/>
        <v>835</v>
      </c>
      <c r="X61" s="49">
        <f t="shared" si="42"/>
        <v>808</v>
      </c>
      <c r="Y61" s="49" t="e">
        <f t="shared" si="42"/>
        <v>#N/A</v>
      </c>
      <c r="Z61" s="49" t="e">
        <f t="shared" si="42"/>
        <v>#N/A</v>
      </c>
      <c r="AA61" s="49" t="e">
        <f t="shared" si="42"/>
        <v>#N/A</v>
      </c>
      <c r="AB61" s="49" t="e">
        <f t="shared" si="42"/>
        <v>#N/A</v>
      </c>
    </row>
    <row r="65" spans="2:28" x14ac:dyDescent="0.25">
      <c r="B65" t="s">
        <v>422</v>
      </c>
      <c r="C65">
        <f>INDEX(Database!$D$2:$XFD$36,32,$A$1)</f>
        <v>0</v>
      </c>
      <c r="D65">
        <f>INDEX(Database!$D$2:$XFD$36,32,$A$1+D9)</f>
        <v>0</v>
      </c>
      <c r="E65">
        <f>INDEX(Database!$D$2:$XFD$36,32,$A$1+E9)</f>
        <v>0</v>
      </c>
      <c r="F65">
        <f>INDEX(Database!$D$2:$XFD$36,32,$A$1+F9)</f>
        <v>0</v>
      </c>
      <c r="G65">
        <f>INDEX(Database!$D$2:$XFD$36,32,$A$1+G9)</f>
        <v>0</v>
      </c>
      <c r="H65">
        <f>INDEX(Database!$D$2:$XFD$36,32,$A$1+H9)</f>
        <v>0</v>
      </c>
      <c r="I65">
        <f>INDEX(Database!$D$2:$XFD$36,32,$A$1+I9)</f>
        <v>0</v>
      </c>
      <c r="J65">
        <f>INDEX(Database!$D$2:$XFD$36,32,$A$1+J9)</f>
        <v>0</v>
      </c>
      <c r="K65">
        <f>INDEX(Database!$D$2:$XFD$36,32,$A$1+K9)</f>
        <v>0</v>
      </c>
      <c r="L65">
        <f>INDEX(Database!$D$2:$XFD$36,32,$A$1+L9)</f>
        <v>0</v>
      </c>
      <c r="M65">
        <f>INDEX(Database!$D$2:$XFD$36,32,$A$1+M9)</f>
        <v>0</v>
      </c>
      <c r="N65">
        <f>INDEX(Database!$D$2:$XFD$36,32,$A$1+N9)</f>
        <v>0</v>
      </c>
      <c r="O65">
        <f>INDEX(Database!$D$2:$XFD$36,32,$A$1+O9)</f>
        <v>0</v>
      </c>
      <c r="P65">
        <f>INDEX(Database!$D$2:$XFD$36,32,$A$1+P9)</f>
        <v>0</v>
      </c>
      <c r="Q65">
        <f>INDEX(Database!$D$2:$XFD$36,32,$A$1+Q9)</f>
        <v>0</v>
      </c>
      <c r="R65">
        <f>INDEX(Database!$D$2:$XFD$36,32,$A$1+R9)</f>
        <v>0</v>
      </c>
      <c r="S65">
        <f>INDEX(Database!$D$2:$XFD$36,32,$A$1+S9)</f>
        <v>0</v>
      </c>
      <c r="T65">
        <f>INDEX(Database!$D$2:$XFD$36,32,$A$1+T9)</f>
        <v>0</v>
      </c>
      <c r="U65">
        <f>INDEX(Database!$D$2:$XFD$36,32,$A$1+U9)</f>
        <v>0</v>
      </c>
      <c r="V65">
        <f>INDEX(Database!$D$2:$XFD$36,32,$A$1+V9)</f>
        <v>0</v>
      </c>
      <c r="W65">
        <f>INDEX(Database!$D$2:$XFD$36,32,$A$1+W9)</f>
        <v>0</v>
      </c>
      <c r="X65">
        <f>INDEX(Database!$D$2:$XFD$36,32,$A$1+X9)</f>
        <v>0</v>
      </c>
      <c r="Y65">
        <f>INDEX(Database!$D$2:$XFD$36,32,$A$1+Y9)</f>
        <v>0</v>
      </c>
      <c r="Z65">
        <f>INDEX(Database!$D$2:$XFD$36,32,$A$1+Z9)</f>
        <v>0</v>
      </c>
      <c r="AA65">
        <f>INDEX(Database!$D$2:$XFD$36,32,$A$1+AA9)</f>
        <v>0</v>
      </c>
      <c r="AB65">
        <f>INDEX(Database!$D$2:$XFD$36,32,$A$1+AB9)</f>
        <v>0</v>
      </c>
    </row>
    <row r="68" spans="2:28" x14ac:dyDescent="0.25">
      <c r="B68" s="49"/>
      <c r="C68" s="49">
        <f>IFERROR(FIND("—",SUBSTITUTE(C65,"*","")),0)</f>
        <v>0</v>
      </c>
      <c r="D68" s="49">
        <f t="shared" ref="D68:AB68" si="43">IFERROR(FIND("—",SUBSTITUTE(D65,"*","")),0)</f>
        <v>0</v>
      </c>
      <c r="E68" s="49">
        <f t="shared" si="43"/>
        <v>0</v>
      </c>
      <c r="F68" s="49">
        <f t="shared" si="43"/>
        <v>0</v>
      </c>
      <c r="G68" s="49">
        <f t="shared" si="43"/>
        <v>0</v>
      </c>
      <c r="H68" s="49">
        <f t="shared" si="43"/>
        <v>0</v>
      </c>
      <c r="I68" s="49">
        <f t="shared" si="43"/>
        <v>0</v>
      </c>
      <c r="J68" s="49">
        <f t="shared" si="43"/>
        <v>0</v>
      </c>
      <c r="K68" s="49">
        <f t="shared" si="43"/>
        <v>0</v>
      </c>
      <c r="L68" s="49">
        <f t="shared" si="43"/>
        <v>0</v>
      </c>
      <c r="M68" s="49">
        <f t="shared" si="43"/>
        <v>0</v>
      </c>
      <c r="N68" s="49">
        <f t="shared" si="43"/>
        <v>0</v>
      </c>
      <c r="O68" s="49">
        <f t="shared" si="43"/>
        <v>0</v>
      </c>
      <c r="P68" s="49">
        <f t="shared" si="43"/>
        <v>0</v>
      </c>
      <c r="Q68" s="49">
        <f t="shared" si="43"/>
        <v>0</v>
      </c>
      <c r="R68" s="49">
        <f t="shared" si="43"/>
        <v>0</v>
      </c>
      <c r="S68" s="49">
        <f t="shared" si="43"/>
        <v>0</v>
      </c>
      <c r="T68" s="49">
        <f t="shared" si="43"/>
        <v>0</v>
      </c>
      <c r="U68" s="49">
        <f t="shared" si="43"/>
        <v>0</v>
      </c>
      <c r="V68" s="49">
        <f t="shared" si="43"/>
        <v>0</v>
      </c>
      <c r="W68" s="49">
        <f t="shared" si="43"/>
        <v>0</v>
      </c>
      <c r="X68" s="49">
        <f t="shared" si="43"/>
        <v>0</v>
      </c>
      <c r="Y68" s="49">
        <f t="shared" si="43"/>
        <v>0</v>
      </c>
      <c r="Z68" s="49">
        <f t="shared" si="43"/>
        <v>0</v>
      </c>
      <c r="AA68" s="49">
        <f t="shared" si="43"/>
        <v>0</v>
      </c>
      <c r="AB68" s="49">
        <f t="shared" si="43"/>
        <v>0</v>
      </c>
    </row>
    <row r="69" spans="2:28" x14ac:dyDescent="0.25">
      <c r="B69" s="49" t="s">
        <v>422</v>
      </c>
      <c r="C69" s="49">
        <f>IF(C68=0,VALUE(SUBSTITUTE(C65,"*","")),VALUE(LEFT(SUBSTITUTE(C65,"*",""),C68-1)))</f>
        <v>0</v>
      </c>
      <c r="D69" s="49">
        <f t="shared" ref="D69:AB69" si="44">IF(D68=0,VALUE(SUBSTITUTE(D65,"*","")),VALUE(LEFT(SUBSTITUTE(D65,"*",""),D68-1)))</f>
        <v>0</v>
      </c>
      <c r="E69" s="49">
        <f t="shared" si="44"/>
        <v>0</v>
      </c>
      <c r="F69" s="49">
        <f t="shared" si="44"/>
        <v>0</v>
      </c>
      <c r="G69" s="49">
        <f t="shared" si="44"/>
        <v>0</v>
      </c>
      <c r="H69" s="49">
        <f t="shared" si="44"/>
        <v>0</v>
      </c>
      <c r="I69" s="49">
        <f t="shared" si="44"/>
        <v>0</v>
      </c>
      <c r="J69" s="49">
        <f t="shared" si="44"/>
        <v>0</v>
      </c>
      <c r="K69" s="49">
        <f t="shared" si="44"/>
        <v>0</v>
      </c>
      <c r="L69" s="49">
        <f t="shared" si="44"/>
        <v>0</v>
      </c>
      <c r="M69" s="49">
        <f t="shared" si="44"/>
        <v>0</v>
      </c>
      <c r="N69" s="49">
        <f t="shared" si="44"/>
        <v>0</v>
      </c>
      <c r="O69" s="49">
        <f t="shared" si="44"/>
        <v>0</v>
      </c>
      <c r="P69" s="49">
        <f t="shared" si="44"/>
        <v>0</v>
      </c>
      <c r="Q69" s="49">
        <f t="shared" si="44"/>
        <v>0</v>
      </c>
      <c r="R69" s="49">
        <f t="shared" si="44"/>
        <v>0</v>
      </c>
      <c r="S69" s="49">
        <f t="shared" si="44"/>
        <v>0</v>
      </c>
      <c r="T69" s="49">
        <f t="shared" si="44"/>
        <v>0</v>
      </c>
      <c r="U69" s="49">
        <f t="shared" si="44"/>
        <v>0</v>
      </c>
      <c r="V69" s="49">
        <f t="shared" si="44"/>
        <v>0</v>
      </c>
      <c r="W69" s="49">
        <f t="shared" si="44"/>
        <v>0</v>
      </c>
      <c r="X69" s="49">
        <f t="shared" si="44"/>
        <v>0</v>
      </c>
      <c r="Y69" s="49">
        <f t="shared" si="44"/>
        <v>0</v>
      </c>
      <c r="Z69" s="49">
        <f t="shared" si="44"/>
        <v>0</v>
      </c>
      <c r="AA69" s="49">
        <f t="shared" si="44"/>
        <v>0</v>
      </c>
      <c r="AB69" s="49">
        <f t="shared" si="44"/>
        <v>0</v>
      </c>
    </row>
    <row r="70" spans="2:28" x14ac:dyDescent="0.25">
      <c r="B70" s="49" t="s">
        <v>422</v>
      </c>
      <c r="C70" s="49">
        <f>IF(C68=0,VALUE(SUBSTITUTE(C65,"*","")),VALUE(RIGHT(SUBSTITUTE(C65,"*",""),LEN(SUBSTITUTE(C65,"*",""))-C68)))</f>
        <v>0</v>
      </c>
      <c r="D70" s="49">
        <f t="shared" ref="D70:AB70" si="45">IF(D68=0,VALUE(SUBSTITUTE(D65,"*","")),VALUE(RIGHT(SUBSTITUTE(D65,"*",""),LEN(SUBSTITUTE(D65,"*",""))-D68)))</f>
        <v>0</v>
      </c>
      <c r="E70" s="49">
        <f t="shared" si="45"/>
        <v>0</v>
      </c>
      <c r="F70" s="49">
        <f t="shared" si="45"/>
        <v>0</v>
      </c>
      <c r="G70" s="49">
        <f t="shared" si="45"/>
        <v>0</v>
      </c>
      <c r="H70" s="49">
        <f t="shared" si="45"/>
        <v>0</v>
      </c>
      <c r="I70" s="49">
        <f t="shared" si="45"/>
        <v>0</v>
      </c>
      <c r="J70" s="49">
        <f t="shared" si="45"/>
        <v>0</v>
      </c>
      <c r="K70" s="49">
        <f t="shared" si="45"/>
        <v>0</v>
      </c>
      <c r="L70" s="49">
        <f t="shared" si="45"/>
        <v>0</v>
      </c>
      <c r="M70" s="49">
        <f t="shared" si="45"/>
        <v>0</v>
      </c>
      <c r="N70" s="49">
        <f t="shared" si="45"/>
        <v>0</v>
      </c>
      <c r="O70" s="49">
        <f t="shared" si="45"/>
        <v>0</v>
      </c>
      <c r="P70" s="49">
        <f t="shared" si="45"/>
        <v>0</v>
      </c>
      <c r="Q70" s="49">
        <f t="shared" si="45"/>
        <v>0</v>
      </c>
      <c r="R70" s="49">
        <f t="shared" si="45"/>
        <v>0</v>
      </c>
      <c r="S70" s="49">
        <f t="shared" si="45"/>
        <v>0</v>
      </c>
      <c r="T70" s="49">
        <f t="shared" si="45"/>
        <v>0</v>
      </c>
      <c r="U70" s="49">
        <f t="shared" si="45"/>
        <v>0</v>
      </c>
      <c r="V70" s="49">
        <f t="shared" si="45"/>
        <v>0</v>
      </c>
      <c r="W70" s="49">
        <f t="shared" si="45"/>
        <v>0</v>
      </c>
      <c r="X70" s="49">
        <f t="shared" si="45"/>
        <v>0</v>
      </c>
      <c r="Y70" s="49">
        <f t="shared" si="45"/>
        <v>0</v>
      </c>
      <c r="Z70" s="49">
        <f t="shared" si="45"/>
        <v>0</v>
      </c>
      <c r="AA70" s="49">
        <f t="shared" si="45"/>
        <v>0</v>
      </c>
      <c r="AB70" s="49">
        <f t="shared" si="45"/>
        <v>0</v>
      </c>
    </row>
    <row r="71" spans="2:28" x14ac:dyDescent="0.25">
      <c r="B71" s="49" t="s">
        <v>422</v>
      </c>
      <c r="C71" s="49" t="e">
        <f>IFERROR(IF(AVERAGE(C69:C70)=0,NA(),AVERAGE(C69:C70)),NA())</f>
        <v>#N/A</v>
      </c>
      <c r="D71" s="49" t="e">
        <f t="shared" ref="D71:AB71" si="46">IFERROR(IF(AVERAGE(D69:D70)=0,NA(),AVERAGE(D69:D70)),NA())</f>
        <v>#N/A</v>
      </c>
      <c r="E71" s="49" t="e">
        <f t="shared" si="46"/>
        <v>#N/A</v>
      </c>
      <c r="F71" s="49" t="e">
        <f t="shared" si="46"/>
        <v>#N/A</v>
      </c>
      <c r="G71" s="49" t="e">
        <f t="shared" si="46"/>
        <v>#N/A</v>
      </c>
      <c r="H71" s="49" t="e">
        <f t="shared" si="46"/>
        <v>#N/A</v>
      </c>
      <c r="I71" s="49" t="e">
        <f t="shared" si="46"/>
        <v>#N/A</v>
      </c>
      <c r="J71" s="49" t="e">
        <f t="shared" si="46"/>
        <v>#N/A</v>
      </c>
      <c r="K71" s="49" t="e">
        <f t="shared" si="46"/>
        <v>#N/A</v>
      </c>
      <c r="L71" s="49" t="e">
        <f t="shared" si="46"/>
        <v>#N/A</v>
      </c>
      <c r="M71" s="49" t="e">
        <f t="shared" si="46"/>
        <v>#N/A</v>
      </c>
      <c r="N71" s="49" t="e">
        <f t="shared" si="46"/>
        <v>#N/A</v>
      </c>
      <c r="O71" s="49" t="e">
        <f t="shared" si="46"/>
        <v>#N/A</v>
      </c>
      <c r="P71" s="49" t="e">
        <f t="shared" si="46"/>
        <v>#N/A</v>
      </c>
      <c r="Q71" s="49" t="e">
        <f t="shared" si="46"/>
        <v>#N/A</v>
      </c>
      <c r="R71" s="49" t="e">
        <f t="shared" si="46"/>
        <v>#N/A</v>
      </c>
      <c r="S71" s="49" t="e">
        <f t="shared" si="46"/>
        <v>#N/A</v>
      </c>
      <c r="T71" s="49" t="e">
        <f t="shared" si="46"/>
        <v>#N/A</v>
      </c>
      <c r="U71" s="49" t="e">
        <f t="shared" si="46"/>
        <v>#N/A</v>
      </c>
      <c r="V71" s="49" t="e">
        <f t="shared" si="46"/>
        <v>#N/A</v>
      </c>
      <c r="W71" s="49" t="e">
        <f t="shared" si="46"/>
        <v>#N/A</v>
      </c>
      <c r="X71" s="49" t="e">
        <f t="shared" si="46"/>
        <v>#N/A</v>
      </c>
      <c r="Y71" s="49" t="e">
        <f t="shared" si="46"/>
        <v>#N/A</v>
      </c>
      <c r="Z71" s="49" t="e">
        <f t="shared" si="46"/>
        <v>#N/A</v>
      </c>
      <c r="AA71" s="49" t="e">
        <f t="shared" si="46"/>
        <v>#N/A</v>
      </c>
      <c r="AB71" s="49" t="e">
        <f t="shared" si="46"/>
        <v>#N/A</v>
      </c>
    </row>
    <row r="74" spans="2:28" x14ac:dyDescent="0.25">
      <c r="B74" t="s">
        <v>17</v>
      </c>
      <c r="C74">
        <f>INDEX(Database!$D$2:$XFD$36,27,$A$1)</f>
        <v>0</v>
      </c>
      <c r="D74">
        <f>INDEX(Database!$D$2:$XFD$36,27,$A$1+D9)</f>
        <v>0</v>
      </c>
      <c r="E74">
        <f>INDEX(Database!$D$2:$XFD$36,27,$A$1+E9)</f>
        <v>0</v>
      </c>
      <c r="F74">
        <f>INDEX(Database!$D$2:$XFD$36,27,$A$1+F9)</f>
        <v>0</v>
      </c>
      <c r="G74">
        <f>INDEX(Database!$D$2:$XFD$36,27,$A$1+G9)</f>
        <v>0</v>
      </c>
      <c r="H74">
        <f>INDEX(Database!$D$2:$XFD$36,27,$A$1+H9)</f>
        <v>0</v>
      </c>
      <c r="I74">
        <f>INDEX(Database!$D$2:$XFD$36,27,$A$1+I9)</f>
        <v>0</v>
      </c>
      <c r="J74">
        <f>INDEX(Database!$D$2:$XFD$36,27,$A$1+J9)</f>
        <v>0</v>
      </c>
      <c r="K74">
        <f>INDEX(Database!$D$2:$XFD$36,27,$A$1+K9)</f>
        <v>0</v>
      </c>
      <c r="L74">
        <f>INDEX(Database!$D$2:$XFD$36,27,$A$1+L9)</f>
        <v>0</v>
      </c>
      <c r="M74">
        <f>INDEX(Database!$D$2:$XFD$36,27,$A$1+M9)</f>
        <v>0</v>
      </c>
      <c r="N74">
        <f>INDEX(Database!$D$2:$XFD$36,27,$A$1+N9)</f>
        <v>0</v>
      </c>
      <c r="O74">
        <f>INDEX(Database!$D$2:$XFD$36,27,$A$1+O9)</f>
        <v>0</v>
      </c>
      <c r="P74">
        <f>INDEX(Database!$D$2:$XFD$36,27,$A$1+P9)</f>
        <v>0</v>
      </c>
      <c r="Q74">
        <f>INDEX(Database!$D$2:$XFD$36,27,$A$1+Q9)</f>
        <v>0</v>
      </c>
      <c r="R74">
        <f>INDEX(Database!$D$2:$XFD$36,27,$A$1+R9)</f>
        <v>0</v>
      </c>
      <c r="S74">
        <f>INDEX(Database!$D$2:$XFD$36,27,$A$1+S9)</f>
        <v>0</v>
      </c>
      <c r="T74">
        <f>INDEX(Database!$D$2:$XFD$36,27,$A$1+T9)</f>
        <v>0</v>
      </c>
      <c r="U74">
        <f>INDEX(Database!$D$2:$XFD$36,27,$A$1+U9)</f>
        <v>0</v>
      </c>
      <c r="V74">
        <f>INDEX(Database!$D$2:$XFD$36,27,$A$1+V9)</f>
        <v>0</v>
      </c>
      <c r="W74">
        <f>INDEX(Database!$D$2:$XFD$36,27,$A$1+W9)</f>
        <v>0</v>
      </c>
      <c r="X74">
        <f>INDEX(Database!$D$2:$XFD$36,27,$A$1+X9)</f>
        <v>0</v>
      </c>
      <c r="Y74">
        <f>INDEX(Database!$D$2:$XFD$36,27,$A$1+Y9)</f>
        <v>0</v>
      </c>
      <c r="Z74">
        <f>INDEX(Database!$D$2:$XFD$36,27,$A$1+Z9)</f>
        <v>0</v>
      </c>
      <c r="AA74">
        <f>INDEX(Database!$D$2:$XFD$36,27,$A$1+AA9)</f>
        <v>0</v>
      </c>
      <c r="AB74">
        <f>INDEX(Database!$D$2:$XFD$36,27,$A$1+AB9)</f>
        <v>0</v>
      </c>
    </row>
    <row r="75" spans="2:28" x14ac:dyDescent="0.25">
      <c r="B75" t="s">
        <v>14</v>
      </c>
      <c r="C75" t="str">
        <f>INDEX(Database!$D$2:$XFD$36,13,$A$1)</f>
        <v>890—970</v>
      </c>
      <c r="D75" t="str">
        <f>INDEX(Database!$D$2:$XFD$36,13,$A$1+D9)</f>
        <v>890—970</v>
      </c>
      <c r="E75" t="str">
        <f>INDEX(Database!$D$2:$XFD$36,13,$A$1+E9)</f>
        <v>890—970</v>
      </c>
      <c r="F75" t="str">
        <f>INDEX(Database!$D$2:$XFD$36,13,$A$1+F9)</f>
        <v>890—970</v>
      </c>
      <c r="G75" t="str">
        <f>INDEX(Database!$D$2:$XFD$36,13,$A$1+G9)</f>
        <v>890—970</v>
      </c>
      <c r="H75" t="str">
        <f>INDEX(Database!$D$2:$XFD$36,13,$A$1+H9)</f>
        <v>900—970</v>
      </c>
      <c r="I75" t="str">
        <f>INDEX(Database!$D$2:$XFD$36,13,$A$1+I9)</f>
        <v>900—1,000</v>
      </c>
      <c r="J75" t="str">
        <f>INDEX(Database!$D$2:$XFD$36,13,$A$1+J9)</f>
        <v>900—1,000</v>
      </c>
      <c r="K75" t="str">
        <f>INDEX(Database!$D$2:$XFD$36,13,$A$1+K9)</f>
        <v>900—1,000</v>
      </c>
      <c r="L75" t="str">
        <f>INDEX(Database!$D$2:$XFD$36,13,$A$1+L9)</f>
        <v>1,200—1,300</v>
      </c>
      <c r="M75" t="str">
        <f>INDEX(Database!$D$2:$XFD$36,13,$A$1+M9)</f>
        <v>1,200—1,450</v>
      </c>
      <c r="N75" t="str">
        <f>INDEX(Database!$D$2:$XFD$36,13,$A$1+N9)</f>
        <v>1,350—1,550</v>
      </c>
      <c r="O75" t="str">
        <f>INDEX(Database!$D$2:$XFD$36,13,$A$1+O9)</f>
        <v>1,700—2,000</v>
      </c>
      <c r="P75" t="str">
        <f>INDEX(Database!$D$2:$XFD$36,13,$A$1+P9)</f>
        <v>1,800—1,870</v>
      </c>
      <c r="Q75" t="str">
        <f>INDEX(Database!$D$2:$XFD$36,13,$A$1+Q9)</f>
        <v>1,750—1,900</v>
      </c>
      <c r="R75" t="str">
        <f>INDEX(Database!$D$2:$XFD$36,13,$A$1+R9)</f>
        <v>1,750—2,050</v>
      </c>
      <c r="S75" t="str">
        <f>INDEX(Database!$D$2:$XFD$36,13,$A$1+S9)</f>
        <v>1,750—2,050</v>
      </c>
      <c r="T75" t="str">
        <f>INDEX(Database!$D$2:$XFD$36,13,$A$1+T9)</f>
        <v>1,750—2,050</v>
      </c>
      <c r="U75" t="str">
        <f>INDEX(Database!$D$2:$XFD$36,13,$A$1+U9)</f>
        <v>1,700—2,000</v>
      </c>
      <c r="V75" t="str">
        <f>INDEX(Database!$D$2:$XFD$36,13,$A$1+V9)</f>
        <v>1,700—2,000</v>
      </c>
      <c r="W75" t="str">
        <f>INDEX(Database!$D$2:$XFD$36,13,$A$1+W9)</f>
        <v>1,650—1,900</v>
      </c>
      <c r="X75" t="str">
        <f>INDEX(Database!$D$2:$XFD$36,13,$A$1+X9)</f>
        <v>1,650—1,900</v>
      </c>
      <c r="Y75">
        <f>INDEX(Database!$D$2:$XFD$36,13,$A$1+Y9)</f>
        <v>0</v>
      </c>
      <c r="Z75">
        <f>INDEX(Database!$D$2:$XFD$36,13,$A$1+Z9)</f>
        <v>0</v>
      </c>
      <c r="AA75">
        <f>INDEX(Database!$D$2:$XFD$36,13,$A$1+AA9)</f>
        <v>0</v>
      </c>
      <c r="AB75">
        <f>INDEX(Database!$D$2:$XFD$36,13,$A$1+AB9)</f>
        <v>0</v>
      </c>
    </row>
    <row r="77" spans="2:28" x14ac:dyDescent="0.25">
      <c r="B77" s="49"/>
      <c r="C77" s="49">
        <f>IFERROR(FIND("—",SUBSTITUTE(C74,"*","")),0)</f>
        <v>0</v>
      </c>
      <c r="D77" s="49">
        <f t="shared" ref="D77:AB77" si="47">IFERROR(FIND("—",SUBSTITUTE(D74,"*","")),0)</f>
        <v>0</v>
      </c>
      <c r="E77" s="49">
        <f t="shared" si="47"/>
        <v>0</v>
      </c>
      <c r="F77" s="49">
        <f t="shared" si="47"/>
        <v>0</v>
      </c>
      <c r="G77" s="49">
        <f t="shared" si="47"/>
        <v>0</v>
      </c>
      <c r="H77" s="49">
        <f t="shared" si="47"/>
        <v>0</v>
      </c>
      <c r="I77" s="49">
        <f t="shared" si="47"/>
        <v>0</v>
      </c>
      <c r="J77" s="49">
        <f t="shared" si="47"/>
        <v>0</v>
      </c>
      <c r="K77" s="49">
        <f t="shared" si="47"/>
        <v>0</v>
      </c>
      <c r="L77" s="49">
        <f t="shared" si="47"/>
        <v>0</v>
      </c>
      <c r="M77" s="49">
        <f t="shared" si="47"/>
        <v>0</v>
      </c>
      <c r="N77" s="49">
        <f t="shared" si="47"/>
        <v>0</v>
      </c>
      <c r="O77" s="49">
        <f t="shared" si="47"/>
        <v>0</v>
      </c>
      <c r="P77" s="49">
        <f t="shared" si="47"/>
        <v>0</v>
      </c>
      <c r="Q77" s="49">
        <f t="shared" si="47"/>
        <v>0</v>
      </c>
      <c r="R77" s="49">
        <f t="shared" si="47"/>
        <v>0</v>
      </c>
      <c r="S77" s="49">
        <f t="shared" si="47"/>
        <v>0</v>
      </c>
      <c r="T77" s="49">
        <f t="shared" si="47"/>
        <v>0</v>
      </c>
      <c r="U77" s="49">
        <f t="shared" si="47"/>
        <v>0</v>
      </c>
      <c r="V77" s="49">
        <f t="shared" si="47"/>
        <v>0</v>
      </c>
      <c r="W77" s="49">
        <f t="shared" si="47"/>
        <v>0</v>
      </c>
      <c r="X77" s="49">
        <f t="shared" si="47"/>
        <v>0</v>
      </c>
      <c r="Y77" s="49">
        <f t="shared" si="47"/>
        <v>0</v>
      </c>
      <c r="Z77" s="49">
        <f t="shared" si="47"/>
        <v>0</v>
      </c>
      <c r="AA77" s="49">
        <f t="shared" si="47"/>
        <v>0</v>
      </c>
      <c r="AB77" s="49">
        <f t="shared" si="47"/>
        <v>0</v>
      </c>
    </row>
    <row r="78" spans="2:28" x14ac:dyDescent="0.25">
      <c r="B78" s="49" t="s">
        <v>17</v>
      </c>
      <c r="C78" s="49">
        <f>IF(C77=0,VALUE(SUBSTITUTE(C74,"*","")),VALUE(LEFT(SUBSTITUTE(C74,"*",""),C77-1)))</f>
        <v>0</v>
      </c>
      <c r="D78" s="49">
        <f t="shared" ref="D78:AB78" si="48">IF(D77=0,VALUE(SUBSTITUTE(D74,"*","")),VALUE(LEFT(SUBSTITUTE(D74,"*",""),D77-1)))</f>
        <v>0</v>
      </c>
      <c r="E78" s="49">
        <f t="shared" si="48"/>
        <v>0</v>
      </c>
      <c r="F78" s="49">
        <f t="shared" si="48"/>
        <v>0</v>
      </c>
      <c r="G78" s="49">
        <f t="shared" si="48"/>
        <v>0</v>
      </c>
      <c r="H78" s="49">
        <f t="shared" si="48"/>
        <v>0</v>
      </c>
      <c r="I78" s="49">
        <f t="shared" si="48"/>
        <v>0</v>
      </c>
      <c r="J78" s="49">
        <f t="shared" si="48"/>
        <v>0</v>
      </c>
      <c r="K78" s="49">
        <f t="shared" si="48"/>
        <v>0</v>
      </c>
      <c r="L78" s="49">
        <f t="shared" si="48"/>
        <v>0</v>
      </c>
      <c r="M78" s="49">
        <f t="shared" si="48"/>
        <v>0</v>
      </c>
      <c r="N78" s="49">
        <f t="shared" si="48"/>
        <v>0</v>
      </c>
      <c r="O78" s="49">
        <f t="shared" si="48"/>
        <v>0</v>
      </c>
      <c r="P78" s="49">
        <f t="shared" si="48"/>
        <v>0</v>
      </c>
      <c r="Q78" s="49">
        <f t="shared" si="48"/>
        <v>0</v>
      </c>
      <c r="R78" s="49">
        <f t="shared" si="48"/>
        <v>0</v>
      </c>
      <c r="S78" s="49">
        <f t="shared" si="48"/>
        <v>0</v>
      </c>
      <c r="T78" s="49">
        <f t="shared" si="48"/>
        <v>0</v>
      </c>
      <c r="U78" s="49">
        <f t="shared" si="48"/>
        <v>0</v>
      </c>
      <c r="V78" s="49">
        <f t="shared" si="48"/>
        <v>0</v>
      </c>
      <c r="W78" s="49">
        <f t="shared" si="48"/>
        <v>0</v>
      </c>
      <c r="X78" s="49">
        <f t="shared" si="48"/>
        <v>0</v>
      </c>
      <c r="Y78" s="49">
        <f t="shared" si="48"/>
        <v>0</v>
      </c>
      <c r="Z78" s="49">
        <f t="shared" si="48"/>
        <v>0</v>
      </c>
      <c r="AA78" s="49">
        <f t="shared" si="48"/>
        <v>0</v>
      </c>
      <c r="AB78" s="49">
        <f t="shared" si="48"/>
        <v>0</v>
      </c>
    </row>
    <row r="79" spans="2:28" x14ac:dyDescent="0.25">
      <c r="B79" s="49" t="s">
        <v>17</v>
      </c>
      <c r="C79" s="49">
        <f>IF(C77=0,VALUE(SUBSTITUTE(C74,"*","")),VALUE(RIGHT(SUBSTITUTE(C74,"*",""),LEN(SUBSTITUTE(C74,"*",""))-C77)))</f>
        <v>0</v>
      </c>
      <c r="D79" s="49">
        <f t="shared" ref="D79:AB79" si="49">IF(D77=0,VALUE(SUBSTITUTE(D74,"*","")),VALUE(RIGHT(SUBSTITUTE(D74,"*",""),LEN(SUBSTITUTE(D74,"*",""))-D77)))</f>
        <v>0</v>
      </c>
      <c r="E79" s="49">
        <f t="shared" si="49"/>
        <v>0</v>
      </c>
      <c r="F79" s="49">
        <f t="shared" si="49"/>
        <v>0</v>
      </c>
      <c r="G79" s="49">
        <f t="shared" si="49"/>
        <v>0</v>
      </c>
      <c r="H79" s="49">
        <f t="shared" si="49"/>
        <v>0</v>
      </c>
      <c r="I79" s="49">
        <f t="shared" si="49"/>
        <v>0</v>
      </c>
      <c r="J79" s="49">
        <f t="shared" si="49"/>
        <v>0</v>
      </c>
      <c r="K79" s="49">
        <f t="shared" si="49"/>
        <v>0</v>
      </c>
      <c r="L79" s="49">
        <f t="shared" si="49"/>
        <v>0</v>
      </c>
      <c r="M79" s="49">
        <f t="shared" si="49"/>
        <v>0</v>
      </c>
      <c r="N79" s="49">
        <f t="shared" si="49"/>
        <v>0</v>
      </c>
      <c r="O79" s="49">
        <f t="shared" si="49"/>
        <v>0</v>
      </c>
      <c r="P79" s="49">
        <f t="shared" si="49"/>
        <v>0</v>
      </c>
      <c r="Q79" s="49">
        <f t="shared" si="49"/>
        <v>0</v>
      </c>
      <c r="R79" s="49">
        <f t="shared" si="49"/>
        <v>0</v>
      </c>
      <c r="S79" s="49">
        <f t="shared" si="49"/>
        <v>0</v>
      </c>
      <c r="T79" s="49">
        <f t="shared" si="49"/>
        <v>0</v>
      </c>
      <c r="U79" s="49">
        <f t="shared" si="49"/>
        <v>0</v>
      </c>
      <c r="V79" s="49">
        <f t="shared" si="49"/>
        <v>0</v>
      </c>
      <c r="W79" s="49">
        <f t="shared" si="49"/>
        <v>0</v>
      </c>
      <c r="X79" s="49">
        <f t="shared" si="49"/>
        <v>0</v>
      </c>
      <c r="Y79" s="49">
        <f t="shared" si="49"/>
        <v>0</v>
      </c>
      <c r="Z79" s="49">
        <f t="shared" si="49"/>
        <v>0</v>
      </c>
      <c r="AA79" s="49">
        <f t="shared" si="49"/>
        <v>0</v>
      </c>
      <c r="AB79" s="49">
        <f t="shared" si="49"/>
        <v>0</v>
      </c>
    </row>
    <row r="80" spans="2:28" x14ac:dyDescent="0.25">
      <c r="B80" s="49" t="s">
        <v>17</v>
      </c>
      <c r="C80" s="49" t="e">
        <f>IFERROR(IF(AVERAGE(C78:C79)=0,NA(),AVERAGE(C78:C79)),NA())</f>
        <v>#N/A</v>
      </c>
      <c r="D80" s="49" t="e">
        <f t="shared" ref="D80:AB80" si="50">IFERROR(IF(AVERAGE(D78:D79)=0,NA(),AVERAGE(D78:D79)),NA())</f>
        <v>#N/A</v>
      </c>
      <c r="E80" s="49" t="e">
        <f t="shared" si="50"/>
        <v>#N/A</v>
      </c>
      <c r="F80" s="49" t="e">
        <f t="shared" si="50"/>
        <v>#N/A</v>
      </c>
      <c r="G80" s="49" t="e">
        <f t="shared" si="50"/>
        <v>#N/A</v>
      </c>
      <c r="H80" s="49" t="e">
        <f t="shared" si="50"/>
        <v>#N/A</v>
      </c>
      <c r="I80" s="49" t="e">
        <f t="shared" si="50"/>
        <v>#N/A</v>
      </c>
      <c r="J80" s="49" t="e">
        <f t="shared" si="50"/>
        <v>#N/A</v>
      </c>
      <c r="K80" s="49" t="e">
        <f t="shared" si="50"/>
        <v>#N/A</v>
      </c>
      <c r="L80" s="49" t="e">
        <f t="shared" si="50"/>
        <v>#N/A</v>
      </c>
      <c r="M80" s="49" t="e">
        <f t="shared" si="50"/>
        <v>#N/A</v>
      </c>
      <c r="N80" s="49" t="e">
        <f t="shared" si="50"/>
        <v>#N/A</v>
      </c>
      <c r="O80" s="49" t="e">
        <f t="shared" si="50"/>
        <v>#N/A</v>
      </c>
      <c r="P80" s="49" t="e">
        <f t="shared" si="50"/>
        <v>#N/A</v>
      </c>
      <c r="Q80" s="49" t="e">
        <f t="shared" si="50"/>
        <v>#N/A</v>
      </c>
      <c r="R80" s="49" t="e">
        <f t="shared" si="50"/>
        <v>#N/A</v>
      </c>
      <c r="S80" s="49" t="e">
        <f t="shared" si="50"/>
        <v>#N/A</v>
      </c>
      <c r="T80" s="49" t="e">
        <f t="shared" si="50"/>
        <v>#N/A</v>
      </c>
      <c r="U80" s="49" t="e">
        <f t="shared" si="50"/>
        <v>#N/A</v>
      </c>
      <c r="V80" s="49" t="e">
        <f t="shared" si="50"/>
        <v>#N/A</v>
      </c>
      <c r="W80" s="49" t="e">
        <f t="shared" si="50"/>
        <v>#N/A</v>
      </c>
      <c r="X80" s="49" t="e">
        <f t="shared" si="50"/>
        <v>#N/A</v>
      </c>
      <c r="Y80" s="49" t="e">
        <f t="shared" si="50"/>
        <v>#N/A</v>
      </c>
      <c r="Z80" s="49" t="e">
        <f t="shared" si="50"/>
        <v>#N/A</v>
      </c>
      <c r="AA80" s="49" t="e">
        <f t="shared" si="50"/>
        <v>#N/A</v>
      </c>
      <c r="AB80" s="49" t="e">
        <f t="shared" si="50"/>
        <v>#N/A</v>
      </c>
    </row>
    <row r="81" spans="2:28" x14ac:dyDescent="0.25">
      <c r="B81" s="49" t="s">
        <v>17</v>
      </c>
      <c r="C81" t="e">
        <f>C80/C75</f>
        <v>#N/A</v>
      </c>
      <c r="D81" t="e">
        <f t="shared" ref="D81:AB81" si="51">D80/D75</f>
        <v>#N/A</v>
      </c>
      <c r="E81" t="e">
        <f t="shared" si="51"/>
        <v>#N/A</v>
      </c>
      <c r="F81" t="e">
        <f t="shared" si="51"/>
        <v>#N/A</v>
      </c>
      <c r="G81" t="e">
        <f t="shared" si="51"/>
        <v>#N/A</v>
      </c>
      <c r="H81" t="e">
        <f t="shared" si="51"/>
        <v>#N/A</v>
      </c>
      <c r="I81" t="e">
        <f t="shared" si="51"/>
        <v>#N/A</v>
      </c>
      <c r="J81" t="e">
        <f t="shared" si="51"/>
        <v>#N/A</v>
      </c>
      <c r="K81" t="e">
        <f t="shared" si="51"/>
        <v>#N/A</v>
      </c>
      <c r="L81" t="e">
        <f t="shared" si="51"/>
        <v>#N/A</v>
      </c>
      <c r="M81" t="e">
        <f t="shared" si="51"/>
        <v>#N/A</v>
      </c>
      <c r="N81" t="e">
        <f t="shared" si="51"/>
        <v>#N/A</v>
      </c>
      <c r="O81" t="e">
        <f t="shared" si="51"/>
        <v>#N/A</v>
      </c>
      <c r="P81" t="e">
        <f t="shared" si="51"/>
        <v>#N/A</v>
      </c>
      <c r="Q81" t="e">
        <f t="shared" si="51"/>
        <v>#N/A</v>
      </c>
      <c r="R81" t="e">
        <f t="shared" si="51"/>
        <v>#N/A</v>
      </c>
      <c r="S81" t="e">
        <f t="shared" si="51"/>
        <v>#N/A</v>
      </c>
      <c r="T81" t="e">
        <f t="shared" si="51"/>
        <v>#N/A</v>
      </c>
      <c r="U81" t="e">
        <f t="shared" si="51"/>
        <v>#N/A</v>
      </c>
      <c r="V81" t="e">
        <f t="shared" si="51"/>
        <v>#N/A</v>
      </c>
      <c r="W81" t="e">
        <f t="shared" si="51"/>
        <v>#N/A</v>
      </c>
      <c r="X81" t="e">
        <f t="shared" si="51"/>
        <v>#N/A</v>
      </c>
      <c r="Y81" t="e">
        <f t="shared" si="51"/>
        <v>#N/A</v>
      </c>
      <c r="Z81" t="e">
        <f t="shared" si="51"/>
        <v>#N/A</v>
      </c>
      <c r="AA81" t="e">
        <f t="shared" si="51"/>
        <v>#N/A</v>
      </c>
      <c r="AB81" t="e">
        <f t="shared" si="51"/>
        <v>#N/A</v>
      </c>
    </row>
    <row r="85" spans="2:28" x14ac:dyDescent="0.25">
      <c r="B85" t="s">
        <v>88</v>
      </c>
      <c r="C85">
        <f>INDEX(Database!$D$2:$XFD$36,11,$A$1)</f>
        <v>489</v>
      </c>
      <c r="D85">
        <f>INDEX(Database!$D$2:$XFD$36,11,$A$1+D9)</f>
        <v>488</v>
      </c>
      <c r="E85">
        <f>INDEX(Database!$D$2:$XFD$36,11,$A$1+E9)</f>
        <v>497</v>
      </c>
      <c r="F85">
        <f>INDEX(Database!$D$2:$XFD$36,11,$A$1+F9)</f>
        <v>509</v>
      </c>
      <c r="G85">
        <f>INDEX(Database!$D$2:$XFD$36,11,$A$1+G9)</f>
        <v>521</v>
      </c>
      <c r="H85">
        <f>INDEX(Database!$D$2:$XFD$36,11,$A$1+H9)</f>
        <v>553</v>
      </c>
      <c r="I85">
        <f>INDEX(Database!$D$2:$XFD$36,11,$A$1+I9)</f>
        <v>511</v>
      </c>
      <c r="J85">
        <f>INDEX(Database!$D$2:$XFD$36,11,$A$1+J9)</f>
        <v>551</v>
      </c>
      <c r="K85">
        <f>INDEX(Database!$D$2:$XFD$36,11,$A$1+K9)</f>
        <v>690</v>
      </c>
      <c r="L85">
        <f>INDEX(Database!$D$2:$XFD$36,11,$A$1+L9)</f>
        <v>771</v>
      </c>
      <c r="M85">
        <f>INDEX(Database!$D$2:$XFD$36,11,$A$1+M9)</f>
        <v>927</v>
      </c>
      <c r="N85">
        <f>INDEX(Database!$D$2:$XFD$36,11,$A$1+N9)</f>
        <v>845</v>
      </c>
      <c r="O85">
        <f>INDEX(Database!$D$2:$XFD$36,11,$A$1+O9)</f>
        <v>884</v>
      </c>
      <c r="P85">
        <f>INDEX(Database!$D$2:$XFD$36,11,$A$1+P9)</f>
        <v>781</v>
      </c>
      <c r="Q85">
        <f>INDEX(Database!$D$2:$XFD$36,11,$A$1+Q9)</f>
        <v>655</v>
      </c>
      <c r="R85">
        <f>INDEX(Database!$D$2:$XFD$36,11,$A$1+R9)</f>
        <v>639</v>
      </c>
      <c r="S85">
        <f>INDEX(Database!$D$2:$XFD$36,11,$A$1+S9)</f>
        <v>662</v>
      </c>
      <c r="T85">
        <f>INDEX(Database!$D$2:$XFD$36,11,$A$1+T9)</f>
        <v>620</v>
      </c>
      <c r="U85">
        <f>INDEX(Database!$D$2:$XFD$36,11,$A$1+U9)</f>
        <v>663</v>
      </c>
      <c r="V85">
        <f>INDEX(Database!$D$2:$XFD$36,11,$A$1+V9)</f>
        <v>602</v>
      </c>
      <c r="W85">
        <f>INDEX(Database!$D$2:$XFD$36,11,$A$1+W9)</f>
        <v>585</v>
      </c>
      <c r="X85">
        <f>INDEX(Database!$D$2:$XFD$36,11,$A$1+X9)</f>
        <v>618</v>
      </c>
      <c r="Y85">
        <f>INDEX(Database!$D$2:$XFD$36,11,$A$1+Y9)</f>
        <v>0</v>
      </c>
      <c r="Z85">
        <f>INDEX(Database!$D$2:$XFD$36,11,$A$1+Z9)</f>
        <v>0</v>
      </c>
      <c r="AA85">
        <f>INDEX(Database!$D$2:$XFD$36,11,$A$1+AA9)</f>
        <v>0</v>
      </c>
      <c r="AB85">
        <f>INDEX(Database!$D$2:$XFD$36,11,$A$1+AB9)</f>
        <v>0</v>
      </c>
    </row>
    <row r="86" spans="2:28" x14ac:dyDescent="0.25">
      <c r="B86" t="s">
        <v>89</v>
      </c>
      <c r="C86">
        <f>INDEX(Database!$D$2:$XFD$36,12,$A$1)</f>
        <v>449</v>
      </c>
      <c r="D86">
        <f>INDEX(Database!$D$2:$XFD$36,12,$A$1+D9)</f>
        <v>506</v>
      </c>
      <c r="E86">
        <f>INDEX(Database!$D$2:$XFD$36,12,$A$1+E9)</f>
        <v>491</v>
      </c>
      <c r="F86">
        <f>INDEX(Database!$D$2:$XFD$36,12,$A$1+F9)</f>
        <v>504</v>
      </c>
      <c r="G86">
        <f>INDEX(Database!$D$2:$XFD$36,12,$A$1+G9)</f>
        <v>511</v>
      </c>
      <c r="H86">
        <f>INDEX(Database!$D$2:$XFD$36,12,$A$1+H9)</f>
        <v>527</v>
      </c>
      <c r="I86">
        <f>INDEX(Database!$D$2:$XFD$36,12,$A$1+I9)</f>
        <v>485</v>
      </c>
      <c r="J86">
        <f>INDEX(Database!$D$2:$XFD$36,12,$A$1+J9)</f>
        <v>507</v>
      </c>
      <c r="K86">
        <f>INDEX(Database!$D$2:$XFD$36,12,$A$1+K9)</f>
        <v>587</v>
      </c>
      <c r="L86">
        <f>INDEX(Database!$D$2:$XFD$36,12,$A$1+L9)</f>
        <v>687</v>
      </c>
      <c r="M86">
        <f>INDEX(Database!$D$2:$XFD$36,12,$A$1+M9)</f>
        <v>862</v>
      </c>
      <c r="N86">
        <f>INDEX(Database!$D$2:$XFD$36,12,$A$1+N9)</f>
        <v>859</v>
      </c>
      <c r="O86">
        <f>INDEX(Database!$D$2:$XFD$36,12,$A$1+O9)</f>
        <v>925</v>
      </c>
      <c r="P86">
        <f>INDEX(Database!$D$2:$XFD$36,12,$A$1+P9)</f>
        <v>874</v>
      </c>
      <c r="Q86">
        <f>INDEX(Database!$D$2:$XFD$36,12,$A$1+Q9)</f>
        <v>783</v>
      </c>
      <c r="R86">
        <f>INDEX(Database!$D$2:$XFD$36,12,$A$1+R9)</f>
        <v>813</v>
      </c>
      <c r="S86">
        <f>INDEX(Database!$D$2:$XFD$36,12,$A$1+S9)</f>
        <v>883</v>
      </c>
      <c r="T86">
        <f>INDEX(Database!$D$2:$XFD$36,12,$A$1+T9)</f>
        <v>783</v>
      </c>
      <c r="U86">
        <f>INDEX(Database!$D$2:$XFD$36,12,$A$1+U9)</f>
        <v>823</v>
      </c>
      <c r="V86">
        <f>INDEX(Database!$D$2:$XFD$36,12,$A$1+V9)</f>
        <v>763</v>
      </c>
      <c r="W86">
        <f>INDEX(Database!$D$2:$XFD$36,12,$A$1+W9)</f>
        <v>658</v>
      </c>
      <c r="X86">
        <f>INDEX(Database!$D$2:$XFD$36,12,$A$1+X9)</f>
        <v>655</v>
      </c>
      <c r="Y86">
        <f>INDEX(Database!$D$2:$XFD$36,12,$A$1+Y9)</f>
        <v>0</v>
      </c>
      <c r="Z86">
        <f>INDEX(Database!$D$2:$XFD$36,12,$A$1+Z9)</f>
        <v>0</v>
      </c>
      <c r="AA86">
        <f>INDEX(Database!$D$2:$XFD$36,12,$A$1+AA9)</f>
        <v>0</v>
      </c>
      <c r="AB86">
        <f>INDEX(Database!$D$2:$XFD$36,12,$A$1+AB9)</f>
        <v>0</v>
      </c>
    </row>
    <row r="88" spans="2:28" x14ac:dyDescent="0.25">
      <c r="B88" s="49"/>
      <c r="C88" s="49">
        <f>IFERROR(FIND("—",SUBSTITUTE(C85,"*","")),0)</f>
        <v>0</v>
      </c>
      <c r="D88" s="49">
        <f t="shared" ref="D88:AB88" si="52">IFERROR(FIND("—",SUBSTITUTE(D85,"*","")),0)</f>
        <v>0</v>
      </c>
      <c r="E88" s="49">
        <f t="shared" si="52"/>
        <v>0</v>
      </c>
      <c r="F88" s="49">
        <f t="shared" si="52"/>
        <v>0</v>
      </c>
      <c r="G88" s="49">
        <f t="shared" si="52"/>
        <v>0</v>
      </c>
      <c r="H88" s="49">
        <f t="shared" si="52"/>
        <v>0</v>
      </c>
      <c r="I88" s="49">
        <f t="shared" si="52"/>
        <v>0</v>
      </c>
      <c r="J88" s="49">
        <f t="shared" si="52"/>
        <v>0</v>
      </c>
      <c r="K88" s="49">
        <f t="shared" si="52"/>
        <v>0</v>
      </c>
      <c r="L88" s="49">
        <f t="shared" si="52"/>
        <v>0</v>
      </c>
      <c r="M88" s="49">
        <f t="shared" si="52"/>
        <v>0</v>
      </c>
      <c r="N88" s="49">
        <f t="shared" si="52"/>
        <v>0</v>
      </c>
      <c r="O88" s="49">
        <f t="shared" si="52"/>
        <v>0</v>
      </c>
      <c r="P88" s="49">
        <f t="shared" si="52"/>
        <v>0</v>
      </c>
      <c r="Q88" s="49">
        <f t="shared" si="52"/>
        <v>0</v>
      </c>
      <c r="R88" s="49">
        <f t="shared" si="52"/>
        <v>0</v>
      </c>
      <c r="S88" s="49">
        <f t="shared" si="52"/>
        <v>0</v>
      </c>
      <c r="T88" s="49">
        <f t="shared" si="52"/>
        <v>0</v>
      </c>
      <c r="U88" s="49">
        <f t="shared" si="52"/>
        <v>0</v>
      </c>
      <c r="V88" s="49">
        <f t="shared" si="52"/>
        <v>0</v>
      </c>
      <c r="W88" s="49">
        <f t="shared" si="52"/>
        <v>0</v>
      </c>
      <c r="X88" s="49">
        <f t="shared" si="52"/>
        <v>0</v>
      </c>
      <c r="Y88" s="49">
        <f t="shared" si="52"/>
        <v>0</v>
      </c>
      <c r="Z88" s="49">
        <f t="shared" si="52"/>
        <v>0</v>
      </c>
      <c r="AA88" s="49">
        <f t="shared" si="52"/>
        <v>0</v>
      </c>
      <c r="AB88" s="49">
        <f t="shared" si="52"/>
        <v>0</v>
      </c>
    </row>
    <row r="89" spans="2:28" x14ac:dyDescent="0.25">
      <c r="B89" s="49" t="s">
        <v>88</v>
      </c>
      <c r="C89" s="49">
        <f>IF(C88=0,VALUE(SUBSTITUTE(C85,"*","")),VALUE(LEFT(SUBSTITUTE(C85,"*",""),C88-1)))</f>
        <v>489</v>
      </c>
      <c r="D89" s="49">
        <f t="shared" ref="D89:AB89" si="53">IF(D88=0,VALUE(SUBSTITUTE(D85,"*","")),VALUE(LEFT(SUBSTITUTE(D85,"*",""),D88-1)))</f>
        <v>488</v>
      </c>
      <c r="E89" s="49">
        <f t="shared" si="53"/>
        <v>497</v>
      </c>
      <c r="F89" s="49">
        <f t="shared" si="53"/>
        <v>509</v>
      </c>
      <c r="G89" s="49">
        <f t="shared" si="53"/>
        <v>521</v>
      </c>
      <c r="H89" s="49">
        <f t="shared" si="53"/>
        <v>553</v>
      </c>
      <c r="I89" s="49">
        <f t="shared" si="53"/>
        <v>511</v>
      </c>
      <c r="J89" s="49">
        <f t="shared" si="53"/>
        <v>551</v>
      </c>
      <c r="K89" s="49">
        <f t="shared" si="53"/>
        <v>690</v>
      </c>
      <c r="L89" s="49">
        <f t="shared" si="53"/>
        <v>771</v>
      </c>
      <c r="M89" s="49">
        <f t="shared" si="53"/>
        <v>927</v>
      </c>
      <c r="N89" s="49">
        <f t="shared" si="53"/>
        <v>845</v>
      </c>
      <c r="O89" s="49">
        <f t="shared" si="53"/>
        <v>884</v>
      </c>
      <c r="P89" s="49">
        <f t="shared" si="53"/>
        <v>781</v>
      </c>
      <c r="Q89" s="49">
        <f t="shared" si="53"/>
        <v>655</v>
      </c>
      <c r="R89" s="49">
        <f t="shared" si="53"/>
        <v>639</v>
      </c>
      <c r="S89" s="49">
        <f t="shared" si="53"/>
        <v>662</v>
      </c>
      <c r="T89" s="49">
        <f t="shared" si="53"/>
        <v>620</v>
      </c>
      <c r="U89" s="49">
        <f t="shared" si="53"/>
        <v>663</v>
      </c>
      <c r="V89" s="49">
        <f t="shared" si="53"/>
        <v>602</v>
      </c>
      <c r="W89" s="49">
        <f t="shared" si="53"/>
        <v>585</v>
      </c>
      <c r="X89" s="49">
        <f t="shared" si="53"/>
        <v>618</v>
      </c>
      <c r="Y89" s="49">
        <f t="shared" si="53"/>
        <v>0</v>
      </c>
      <c r="Z89" s="49">
        <f t="shared" si="53"/>
        <v>0</v>
      </c>
      <c r="AA89" s="49">
        <f t="shared" si="53"/>
        <v>0</v>
      </c>
      <c r="AB89" s="49">
        <f t="shared" si="53"/>
        <v>0</v>
      </c>
    </row>
    <row r="90" spans="2:28" x14ac:dyDescent="0.25">
      <c r="B90" s="49" t="s">
        <v>88</v>
      </c>
      <c r="C90" s="49">
        <f>IF(C88=0,VALUE(SUBSTITUTE(C85,"*","")),VALUE(RIGHT(SUBSTITUTE(C85,"*",""),LEN(SUBSTITUTE(C85,"*",""))-C88)))</f>
        <v>489</v>
      </c>
      <c r="D90" s="49">
        <f t="shared" ref="D90:AB90" si="54">IF(D88=0,VALUE(SUBSTITUTE(D85,"*","")),VALUE(RIGHT(SUBSTITUTE(D85,"*",""),LEN(SUBSTITUTE(D85,"*",""))-D88)))</f>
        <v>488</v>
      </c>
      <c r="E90" s="49">
        <f t="shared" si="54"/>
        <v>497</v>
      </c>
      <c r="F90" s="49">
        <f t="shared" si="54"/>
        <v>509</v>
      </c>
      <c r="G90" s="49">
        <f t="shared" si="54"/>
        <v>521</v>
      </c>
      <c r="H90" s="49">
        <f t="shared" si="54"/>
        <v>553</v>
      </c>
      <c r="I90" s="49">
        <f t="shared" si="54"/>
        <v>511</v>
      </c>
      <c r="J90" s="49">
        <f t="shared" si="54"/>
        <v>551</v>
      </c>
      <c r="K90" s="49">
        <f t="shared" si="54"/>
        <v>690</v>
      </c>
      <c r="L90" s="49">
        <f t="shared" si="54"/>
        <v>771</v>
      </c>
      <c r="M90" s="49">
        <f t="shared" si="54"/>
        <v>927</v>
      </c>
      <c r="N90" s="49">
        <f t="shared" si="54"/>
        <v>845</v>
      </c>
      <c r="O90" s="49">
        <f t="shared" si="54"/>
        <v>884</v>
      </c>
      <c r="P90" s="49">
        <f t="shared" si="54"/>
        <v>781</v>
      </c>
      <c r="Q90" s="49">
        <f t="shared" si="54"/>
        <v>655</v>
      </c>
      <c r="R90" s="49">
        <f t="shared" si="54"/>
        <v>639</v>
      </c>
      <c r="S90" s="49">
        <f t="shared" si="54"/>
        <v>662</v>
      </c>
      <c r="T90" s="49">
        <f t="shared" si="54"/>
        <v>620</v>
      </c>
      <c r="U90" s="49">
        <f t="shared" si="54"/>
        <v>663</v>
      </c>
      <c r="V90" s="49">
        <f t="shared" si="54"/>
        <v>602</v>
      </c>
      <c r="W90" s="49">
        <f t="shared" si="54"/>
        <v>585</v>
      </c>
      <c r="X90" s="49">
        <f t="shared" si="54"/>
        <v>618</v>
      </c>
      <c r="Y90" s="49">
        <f t="shared" si="54"/>
        <v>0</v>
      </c>
      <c r="Z90" s="49">
        <f t="shared" si="54"/>
        <v>0</v>
      </c>
      <c r="AA90" s="49">
        <f t="shared" si="54"/>
        <v>0</v>
      </c>
      <c r="AB90" s="49">
        <f t="shared" si="54"/>
        <v>0</v>
      </c>
    </row>
    <row r="91" spans="2:28" x14ac:dyDescent="0.25">
      <c r="B91" s="49" t="s">
        <v>88</v>
      </c>
      <c r="C91" s="49">
        <f>IFERROR(IF(AVERAGE(C89:C90)=0,NA(),AVERAGE(C89:C90)),NA())</f>
        <v>489</v>
      </c>
      <c r="D91" s="49">
        <f t="shared" ref="D91:AB91" si="55">IFERROR(IF(AVERAGE(D89:D90)=0,NA(),AVERAGE(D89:D90)),NA())</f>
        <v>488</v>
      </c>
      <c r="E91" s="49">
        <f t="shared" si="55"/>
        <v>497</v>
      </c>
      <c r="F91" s="49">
        <f t="shared" si="55"/>
        <v>509</v>
      </c>
      <c r="G91" s="49">
        <f t="shared" si="55"/>
        <v>521</v>
      </c>
      <c r="H91" s="49">
        <f t="shared" si="55"/>
        <v>553</v>
      </c>
      <c r="I91" s="49">
        <f t="shared" si="55"/>
        <v>511</v>
      </c>
      <c r="J91" s="49">
        <f t="shared" si="55"/>
        <v>551</v>
      </c>
      <c r="K91" s="49">
        <f t="shared" si="55"/>
        <v>690</v>
      </c>
      <c r="L91" s="49">
        <f t="shared" si="55"/>
        <v>771</v>
      </c>
      <c r="M91" s="49">
        <f t="shared" si="55"/>
        <v>927</v>
      </c>
      <c r="N91" s="49">
        <f t="shared" si="55"/>
        <v>845</v>
      </c>
      <c r="O91" s="49">
        <f t="shared" si="55"/>
        <v>884</v>
      </c>
      <c r="P91" s="49">
        <f t="shared" si="55"/>
        <v>781</v>
      </c>
      <c r="Q91" s="49">
        <f t="shared" si="55"/>
        <v>655</v>
      </c>
      <c r="R91" s="49">
        <f t="shared" si="55"/>
        <v>639</v>
      </c>
      <c r="S91" s="49">
        <f t="shared" si="55"/>
        <v>662</v>
      </c>
      <c r="T91" s="49">
        <f t="shared" si="55"/>
        <v>620</v>
      </c>
      <c r="U91" s="49">
        <f t="shared" si="55"/>
        <v>663</v>
      </c>
      <c r="V91" s="49">
        <f t="shared" si="55"/>
        <v>602</v>
      </c>
      <c r="W91" s="49">
        <f t="shared" si="55"/>
        <v>585</v>
      </c>
      <c r="X91" s="49">
        <f t="shared" si="55"/>
        <v>618</v>
      </c>
      <c r="Y91" s="49" t="e">
        <f t="shared" si="55"/>
        <v>#N/A</v>
      </c>
      <c r="Z91" s="49" t="e">
        <f t="shared" si="55"/>
        <v>#N/A</v>
      </c>
      <c r="AA91" s="49" t="e">
        <f t="shared" si="55"/>
        <v>#N/A</v>
      </c>
      <c r="AB91" s="49" t="e">
        <f t="shared" si="55"/>
        <v>#N/A</v>
      </c>
    </row>
    <row r="93" spans="2:28" x14ac:dyDescent="0.25">
      <c r="B93" s="49"/>
      <c r="C93" s="49">
        <f>IFERROR(FIND("—",SUBSTITUTE(C86,"*","")),0)</f>
        <v>0</v>
      </c>
      <c r="D93" s="49">
        <f t="shared" ref="D93:AB93" si="56">IFERROR(FIND("—",SUBSTITUTE(D86,"*","")),0)</f>
        <v>0</v>
      </c>
      <c r="E93" s="49">
        <f t="shared" si="56"/>
        <v>0</v>
      </c>
      <c r="F93" s="49">
        <f t="shared" si="56"/>
        <v>0</v>
      </c>
      <c r="G93" s="49">
        <f t="shared" si="56"/>
        <v>0</v>
      </c>
      <c r="H93" s="49">
        <f t="shared" si="56"/>
        <v>0</v>
      </c>
      <c r="I93" s="49">
        <f t="shared" si="56"/>
        <v>0</v>
      </c>
      <c r="J93" s="49">
        <f t="shared" si="56"/>
        <v>0</v>
      </c>
      <c r="K93" s="49">
        <f t="shared" si="56"/>
        <v>0</v>
      </c>
      <c r="L93" s="49">
        <f t="shared" si="56"/>
        <v>0</v>
      </c>
      <c r="M93" s="49">
        <f t="shared" si="56"/>
        <v>0</v>
      </c>
      <c r="N93" s="49">
        <f t="shared" si="56"/>
        <v>0</v>
      </c>
      <c r="O93" s="49">
        <f t="shared" si="56"/>
        <v>0</v>
      </c>
      <c r="P93" s="49">
        <f t="shared" si="56"/>
        <v>0</v>
      </c>
      <c r="Q93" s="49">
        <f t="shared" si="56"/>
        <v>0</v>
      </c>
      <c r="R93" s="49">
        <f t="shared" si="56"/>
        <v>0</v>
      </c>
      <c r="S93" s="49">
        <f t="shared" si="56"/>
        <v>0</v>
      </c>
      <c r="T93" s="49">
        <f t="shared" si="56"/>
        <v>0</v>
      </c>
      <c r="U93" s="49">
        <f t="shared" si="56"/>
        <v>0</v>
      </c>
      <c r="V93" s="49">
        <f t="shared" si="56"/>
        <v>0</v>
      </c>
      <c r="W93" s="49">
        <f t="shared" si="56"/>
        <v>0</v>
      </c>
      <c r="X93" s="49">
        <f t="shared" si="56"/>
        <v>0</v>
      </c>
      <c r="Y93" s="49">
        <f t="shared" si="56"/>
        <v>0</v>
      </c>
      <c r="Z93" s="49">
        <f t="shared" si="56"/>
        <v>0</v>
      </c>
      <c r="AA93" s="49">
        <f t="shared" si="56"/>
        <v>0</v>
      </c>
      <c r="AB93" s="49">
        <f t="shared" si="56"/>
        <v>0</v>
      </c>
    </row>
    <row r="94" spans="2:28" x14ac:dyDescent="0.25">
      <c r="B94" s="49" t="s">
        <v>89</v>
      </c>
      <c r="C94" s="49">
        <f>IF(C93=0,VALUE(SUBSTITUTE(C86,"*","")),VALUE(LEFT(SUBSTITUTE(C86,"*",""),C93-1)))</f>
        <v>449</v>
      </c>
      <c r="D94" s="49">
        <f t="shared" ref="D94:AB94" si="57">IF(D93=0,VALUE(SUBSTITUTE(D86,"*","")),VALUE(LEFT(SUBSTITUTE(D86,"*",""),D93-1)))</f>
        <v>506</v>
      </c>
      <c r="E94" s="49">
        <f t="shared" si="57"/>
        <v>491</v>
      </c>
      <c r="F94" s="49">
        <f t="shared" si="57"/>
        <v>504</v>
      </c>
      <c r="G94" s="49">
        <f t="shared" si="57"/>
        <v>511</v>
      </c>
      <c r="H94" s="49">
        <f t="shared" si="57"/>
        <v>527</v>
      </c>
      <c r="I94" s="49">
        <f t="shared" si="57"/>
        <v>485</v>
      </c>
      <c r="J94" s="49">
        <f t="shared" si="57"/>
        <v>507</v>
      </c>
      <c r="K94" s="49">
        <f t="shared" si="57"/>
        <v>587</v>
      </c>
      <c r="L94" s="49">
        <f t="shared" si="57"/>
        <v>687</v>
      </c>
      <c r="M94" s="49">
        <f t="shared" si="57"/>
        <v>862</v>
      </c>
      <c r="N94" s="49">
        <f t="shared" si="57"/>
        <v>859</v>
      </c>
      <c r="O94" s="49">
        <f t="shared" si="57"/>
        <v>925</v>
      </c>
      <c r="P94" s="49">
        <f t="shared" si="57"/>
        <v>874</v>
      </c>
      <c r="Q94" s="49">
        <f t="shared" si="57"/>
        <v>783</v>
      </c>
      <c r="R94" s="49">
        <f t="shared" si="57"/>
        <v>813</v>
      </c>
      <c r="S94" s="49">
        <f t="shared" si="57"/>
        <v>883</v>
      </c>
      <c r="T94" s="49">
        <f t="shared" si="57"/>
        <v>783</v>
      </c>
      <c r="U94" s="49">
        <f t="shared" si="57"/>
        <v>823</v>
      </c>
      <c r="V94" s="49">
        <f t="shared" si="57"/>
        <v>763</v>
      </c>
      <c r="W94" s="49">
        <f t="shared" si="57"/>
        <v>658</v>
      </c>
      <c r="X94" s="49">
        <f t="shared" si="57"/>
        <v>655</v>
      </c>
      <c r="Y94" s="49">
        <f t="shared" si="57"/>
        <v>0</v>
      </c>
      <c r="Z94" s="49">
        <f t="shared" si="57"/>
        <v>0</v>
      </c>
      <c r="AA94" s="49">
        <f t="shared" si="57"/>
        <v>0</v>
      </c>
      <c r="AB94" s="49">
        <f t="shared" si="57"/>
        <v>0</v>
      </c>
    </row>
    <row r="95" spans="2:28" x14ac:dyDescent="0.25">
      <c r="B95" s="49" t="s">
        <v>89</v>
      </c>
      <c r="C95" s="49">
        <f>IF(C93=0,VALUE(SUBSTITUTE(C86,"*","")),VALUE(RIGHT(SUBSTITUTE(C86,"*",""),LEN(SUBSTITUTE(C86,"*",""))-C93)))</f>
        <v>449</v>
      </c>
      <c r="D95" s="49">
        <f t="shared" ref="D95:AB95" si="58">IF(D93=0,VALUE(SUBSTITUTE(D86,"*","")),VALUE(RIGHT(SUBSTITUTE(D86,"*",""),LEN(SUBSTITUTE(D86,"*",""))-D93)))</f>
        <v>506</v>
      </c>
      <c r="E95" s="49">
        <f t="shared" si="58"/>
        <v>491</v>
      </c>
      <c r="F95" s="49">
        <f t="shared" si="58"/>
        <v>504</v>
      </c>
      <c r="G95" s="49">
        <f t="shared" si="58"/>
        <v>511</v>
      </c>
      <c r="H95" s="49">
        <f t="shared" si="58"/>
        <v>527</v>
      </c>
      <c r="I95" s="49">
        <f t="shared" si="58"/>
        <v>485</v>
      </c>
      <c r="J95" s="49">
        <f t="shared" si="58"/>
        <v>507</v>
      </c>
      <c r="K95" s="49">
        <f t="shared" si="58"/>
        <v>587</v>
      </c>
      <c r="L95" s="49">
        <f t="shared" si="58"/>
        <v>687</v>
      </c>
      <c r="M95" s="49">
        <f t="shared" si="58"/>
        <v>862</v>
      </c>
      <c r="N95" s="49">
        <f t="shared" si="58"/>
        <v>859</v>
      </c>
      <c r="O95" s="49">
        <f t="shared" si="58"/>
        <v>925</v>
      </c>
      <c r="P95" s="49">
        <f t="shared" si="58"/>
        <v>874</v>
      </c>
      <c r="Q95" s="49">
        <f t="shared" si="58"/>
        <v>783</v>
      </c>
      <c r="R95" s="49">
        <f t="shared" si="58"/>
        <v>813</v>
      </c>
      <c r="S95" s="49">
        <f t="shared" si="58"/>
        <v>883</v>
      </c>
      <c r="T95" s="49">
        <f t="shared" si="58"/>
        <v>783</v>
      </c>
      <c r="U95" s="49">
        <f t="shared" si="58"/>
        <v>823</v>
      </c>
      <c r="V95" s="49">
        <f t="shared" si="58"/>
        <v>763</v>
      </c>
      <c r="W95" s="49">
        <f t="shared" si="58"/>
        <v>658</v>
      </c>
      <c r="X95" s="49">
        <f t="shared" si="58"/>
        <v>655</v>
      </c>
      <c r="Y95" s="49">
        <f t="shared" si="58"/>
        <v>0</v>
      </c>
      <c r="Z95" s="49">
        <f t="shared" si="58"/>
        <v>0</v>
      </c>
      <c r="AA95" s="49">
        <f t="shared" si="58"/>
        <v>0</v>
      </c>
      <c r="AB95" s="49">
        <f t="shared" si="58"/>
        <v>0</v>
      </c>
    </row>
    <row r="96" spans="2:28" x14ac:dyDescent="0.25">
      <c r="B96" s="49" t="s">
        <v>89</v>
      </c>
      <c r="C96" s="49">
        <f>IFERROR(IF(AVERAGE(C94:C95)=0,NA(),AVERAGE(C94:C95)),NA())</f>
        <v>449</v>
      </c>
      <c r="D96" s="49">
        <f t="shared" ref="D96:AB96" si="59">IFERROR(IF(AVERAGE(D94:D95)=0,NA(),AVERAGE(D94:D95)),NA())</f>
        <v>506</v>
      </c>
      <c r="E96" s="49">
        <f t="shared" si="59"/>
        <v>491</v>
      </c>
      <c r="F96" s="49">
        <f t="shared" si="59"/>
        <v>504</v>
      </c>
      <c r="G96" s="49">
        <f t="shared" si="59"/>
        <v>511</v>
      </c>
      <c r="H96" s="49">
        <f t="shared" si="59"/>
        <v>527</v>
      </c>
      <c r="I96" s="49">
        <f t="shared" si="59"/>
        <v>485</v>
      </c>
      <c r="J96" s="49">
        <f t="shared" si="59"/>
        <v>507</v>
      </c>
      <c r="K96" s="49">
        <f t="shared" si="59"/>
        <v>587</v>
      </c>
      <c r="L96" s="49">
        <f t="shared" si="59"/>
        <v>687</v>
      </c>
      <c r="M96" s="49">
        <f t="shared" si="59"/>
        <v>862</v>
      </c>
      <c r="N96" s="49">
        <f t="shared" si="59"/>
        <v>859</v>
      </c>
      <c r="O96" s="49">
        <f t="shared" si="59"/>
        <v>925</v>
      </c>
      <c r="P96" s="49">
        <f t="shared" si="59"/>
        <v>874</v>
      </c>
      <c r="Q96" s="49">
        <f t="shared" si="59"/>
        <v>783</v>
      </c>
      <c r="R96" s="49">
        <f t="shared" si="59"/>
        <v>813</v>
      </c>
      <c r="S96" s="49">
        <f t="shared" si="59"/>
        <v>883</v>
      </c>
      <c r="T96" s="49">
        <f t="shared" si="59"/>
        <v>783</v>
      </c>
      <c r="U96" s="49">
        <f t="shared" si="59"/>
        <v>823</v>
      </c>
      <c r="V96" s="49">
        <f t="shared" si="59"/>
        <v>763</v>
      </c>
      <c r="W96" s="49">
        <f t="shared" si="59"/>
        <v>658</v>
      </c>
      <c r="X96" s="49">
        <f t="shared" si="59"/>
        <v>655</v>
      </c>
      <c r="Y96" s="49" t="e">
        <f t="shared" si="59"/>
        <v>#N/A</v>
      </c>
      <c r="Z96" s="49" t="e">
        <f t="shared" si="59"/>
        <v>#N/A</v>
      </c>
      <c r="AA96" s="49" t="e">
        <f t="shared" si="59"/>
        <v>#N/A</v>
      </c>
      <c r="AB96" s="49" t="e">
        <f t="shared" si="59"/>
        <v>#N/A</v>
      </c>
    </row>
    <row r="100" spans="2:28" x14ac:dyDescent="0.25">
      <c r="B100" t="s">
        <v>42</v>
      </c>
      <c r="C100" t="e">
        <f>INDEX(Database!$D$2:$XFD$36,41,$A$1)</f>
        <v>#REF!</v>
      </c>
      <c r="D100" t="e">
        <f>INDEX(Database!$D$2:$XFD$36,41,$A$1+D9)</f>
        <v>#REF!</v>
      </c>
      <c r="E100" t="e">
        <f>INDEX(Database!$D$2:$XFD$36,41,$A$1+E9)</f>
        <v>#REF!</v>
      </c>
      <c r="F100" t="e">
        <f>INDEX(Database!$D$2:$XFD$36,41,$A$1+F9)</f>
        <v>#REF!</v>
      </c>
      <c r="G100" t="e">
        <f>INDEX(Database!$D$2:$XFD$36,41,$A$1+G9)</f>
        <v>#REF!</v>
      </c>
      <c r="H100" t="e">
        <f>INDEX(Database!$D$2:$XFD$36,41,$A$1+H9)</f>
        <v>#REF!</v>
      </c>
      <c r="I100" t="e">
        <f>INDEX(Database!$D$2:$XFD$36,41,$A$1+I9)</f>
        <v>#REF!</v>
      </c>
      <c r="J100" t="e">
        <f>INDEX(Database!$D$2:$XFD$36,41,$A$1+J9)</f>
        <v>#REF!</v>
      </c>
      <c r="K100" t="e">
        <f>INDEX(Database!$D$2:$XFD$36,41,$A$1+K9)</f>
        <v>#REF!</v>
      </c>
      <c r="L100" t="e">
        <f>INDEX(Database!$D$2:$XFD$36,41,$A$1+L9)</f>
        <v>#REF!</v>
      </c>
      <c r="M100" t="e">
        <f>INDEX(Database!$D$2:$XFD$36,41,$A$1+M9)</f>
        <v>#REF!</v>
      </c>
      <c r="N100" t="e">
        <f>INDEX(Database!$D$2:$XFD$36,41,$A$1+N9)</f>
        <v>#REF!</v>
      </c>
      <c r="O100" t="e">
        <f>INDEX(Database!$D$2:$XFD$36,41,$A$1+O9)</f>
        <v>#REF!</v>
      </c>
      <c r="P100" t="e">
        <f>INDEX(Database!$D$2:$XFD$36,41,$A$1+P9)</f>
        <v>#REF!</v>
      </c>
      <c r="Q100" t="e">
        <f>INDEX(Database!$D$2:$XFD$36,41,$A$1+Q9)</f>
        <v>#REF!</v>
      </c>
      <c r="R100" t="e">
        <f>INDEX(Database!$D$2:$XFD$36,41,$A$1+R9)</f>
        <v>#REF!</v>
      </c>
      <c r="S100" t="e">
        <f>INDEX(Database!$D$2:$XFD$36,41,$A$1+S9)</f>
        <v>#REF!</v>
      </c>
      <c r="T100" t="e">
        <f>INDEX(Database!$D$2:$XFD$36,41,$A$1+T9)</f>
        <v>#REF!</v>
      </c>
      <c r="U100" t="e">
        <f>INDEX(Database!$D$2:$XFD$36,41,$A$1+U9)</f>
        <v>#REF!</v>
      </c>
      <c r="V100" t="e">
        <f>INDEX(Database!$D$2:$XFD$36,41,$A$1+V9)</f>
        <v>#REF!</v>
      </c>
      <c r="W100" t="e">
        <f>INDEX(Database!$D$2:$XFD$36,41,$A$1+W9)</f>
        <v>#REF!</v>
      </c>
      <c r="X100" t="e">
        <f>INDEX(Database!$D$2:$XFD$36,41,$A$1+X9)</f>
        <v>#REF!</v>
      </c>
      <c r="Y100" t="e">
        <f>INDEX(Database!$D$2:$XFD$36,41,$A$1+Y9)</f>
        <v>#REF!</v>
      </c>
      <c r="Z100" t="e">
        <f>INDEX(Database!$D$2:$XFD$36,41,$A$1+Z9)</f>
        <v>#REF!</v>
      </c>
      <c r="AA100" t="e">
        <f>INDEX(Database!$D$2:$XFD$36,41,$A$1+AA9)</f>
        <v>#REF!</v>
      </c>
      <c r="AB100" t="e">
        <f>INDEX(Database!$D$2:$XFD$36,41,$A$1+AB9)</f>
        <v>#REF!</v>
      </c>
    </row>
    <row r="101" spans="2:28" x14ac:dyDescent="0.25">
      <c r="B101" t="s">
        <v>32</v>
      </c>
      <c r="C101" t="e">
        <f>INDEX(Database!$D$2:$XFD$36,43,$A$1)</f>
        <v>#REF!</v>
      </c>
      <c r="D101" t="e">
        <f>INDEX(Database!$D$2:$XFD$36,43,$A$1+D9)</f>
        <v>#REF!</v>
      </c>
      <c r="E101" t="e">
        <f>INDEX(Database!$D$2:$XFD$36,43,$A$1+E9)</f>
        <v>#REF!</v>
      </c>
      <c r="F101" t="e">
        <f>INDEX(Database!$D$2:$XFD$36,43,$A$1+F9)</f>
        <v>#REF!</v>
      </c>
      <c r="G101" t="e">
        <f>INDEX(Database!$D$2:$XFD$36,43,$A$1+G9)</f>
        <v>#REF!</v>
      </c>
      <c r="H101" t="e">
        <f>INDEX(Database!$D$2:$XFD$36,43,$A$1+H9)</f>
        <v>#REF!</v>
      </c>
      <c r="I101" t="e">
        <f>INDEX(Database!$D$2:$XFD$36,43,$A$1+I9)</f>
        <v>#REF!</v>
      </c>
      <c r="J101" t="e">
        <f>INDEX(Database!$D$2:$XFD$36,43,$A$1+J9)</f>
        <v>#REF!</v>
      </c>
      <c r="K101" t="e">
        <f>INDEX(Database!$D$2:$XFD$36,43,$A$1+K9)</f>
        <v>#REF!</v>
      </c>
      <c r="L101" t="e">
        <f>INDEX(Database!$D$2:$XFD$36,43,$A$1+L9)</f>
        <v>#REF!</v>
      </c>
      <c r="M101" t="e">
        <f>INDEX(Database!$D$2:$XFD$36,43,$A$1+M9)</f>
        <v>#REF!</v>
      </c>
      <c r="N101" t="e">
        <f>INDEX(Database!$D$2:$XFD$36,43,$A$1+N9)</f>
        <v>#REF!</v>
      </c>
      <c r="O101" t="e">
        <f>INDEX(Database!$D$2:$XFD$36,43,$A$1+O9)</f>
        <v>#REF!</v>
      </c>
      <c r="P101" t="e">
        <f>INDEX(Database!$D$2:$XFD$36,43,$A$1+P9)</f>
        <v>#REF!</v>
      </c>
      <c r="Q101" t="e">
        <f>INDEX(Database!$D$2:$XFD$36,43,$A$1+Q9)</f>
        <v>#REF!</v>
      </c>
      <c r="R101" t="e">
        <f>INDEX(Database!$D$2:$XFD$36,43,$A$1+R9)</f>
        <v>#REF!</v>
      </c>
      <c r="S101" t="e">
        <f>INDEX(Database!$D$2:$XFD$36,43,$A$1+S9)</f>
        <v>#REF!</v>
      </c>
      <c r="T101" t="e">
        <f>INDEX(Database!$D$2:$XFD$36,43,$A$1+T9)</f>
        <v>#REF!</v>
      </c>
      <c r="U101" t="e">
        <f>INDEX(Database!$D$2:$XFD$36,43,$A$1+U9)</f>
        <v>#REF!</v>
      </c>
      <c r="V101" t="e">
        <f>INDEX(Database!$D$2:$XFD$36,43,$A$1+V9)</f>
        <v>#REF!</v>
      </c>
      <c r="W101" t="e">
        <f>INDEX(Database!$D$2:$XFD$36,43,$A$1+W9)</f>
        <v>#REF!</v>
      </c>
      <c r="X101" t="e">
        <f>INDEX(Database!$D$2:$XFD$36,43,$A$1+X9)</f>
        <v>#REF!</v>
      </c>
      <c r="Y101" t="e">
        <f>INDEX(Database!$D$2:$XFD$36,43,$A$1+Y9)</f>
        <v>#REF!</v>
      </c>
      <c r="Z101" t="e">
        <f>INDEX(Database!$D$2:$XFD$36,43,$A$1+Z9)</f>
        <v>#REF!</v>
      </c>
      <c r="AA101" t="e">
        <f>INDEX(Database!$D$2:$XFD$36,43,$A$1+AA9)</f>
        <v>#REF!</v>
      </c>
      <c r="AB101" t="e">
        <f>INDEX(Database!$D$2:$XFD$36,43,$A$1+AB9)</f>
        <v>#REF!</v>
      </c>
    </row>
    <row r="103" spans="2:28" x14ac:dyDescent="0.25">
      <c r="B103" s="49"/>
      <c r="C103" s="49">
        <f>IFERROR(FIND("—",SUBSTITUTE(C100,"*","")),0)</f>
        <v>0</v>
      </c>
      <c r="D103" s="49">
        <f t="shared" ref="D103:AB103" si="60">IFERROR(FIND("—",SUBSTITUTE(D100,"*","")),0)</f>
        <v>0</v>
      </c>
      <c r="E103" s="49">
        <f t="shared" si="60"/>
        <v>0</v>
      </c>
      <c r="F103" s="49">
        <f t="shared" si="60"/>
        <v>0</v>
      </c>
      <c r="G103" s="49">
        <f t="shared" si="60"/>
        <v>0</v>
      </c>
      <c r="H103" s="49">
        <f t="shared" si="60"/>
        <v>0</v>
      </c>
      <c r="I103" s="49">
        <f t="shared" si="60"/>
        <v>0</v>
      </c>
      <c r="J103" s="49">
        <f t="shared" si="60"/>
        <v>0</v>
      </c>
      <c r="K103" s="49">
        <f t="shared" si="60"/>
        <v>0</v>
      </c>
      <c r="L103" s="49">
        <f t="shared" si="60"/>
        <v>0</v>
      </c>
      <c r="M103" s="49">
        <f t="shared" si="60"/>
        <v>0</v>
      </c>
      <c r="N103" s="49">
        <f t="shared" si="60"/>
        <v>0</v>
      </c>
      <c r="O103" s="49">
        <f t="shared" si="60"/>
        <v>0</v>
      </c>
      <c r="P103" s="49">
        <f t="shared" si="60"/>
        <v>0</v>
      </c>
      <c r="Q103" s="49">
        <f t="shared" si="60"/>
        <v>0</v>
      </c>
      <c r="R103" s="49">
        <f t="shared" si="60"/>
        <v>0</v>
      </c>
      <c r="S103" s="49">
        <f t="shared" si="60"/>
        <v>0</v>
      </c>
      <c r="T103" s="49">
        <f t="shared" si="60"/>
        <v>0</v>
      </c>
      <c r="U103" s="49">
        <f t="shared" si="60"/>
        <v>0</v>
      </c>
      <c r="V103" s="49">
        <f t="shared" si="60"/>
        <v>0</v>
      </c>
      <c r="W103" s="49">
        <f t="shared" si="60"/>
        <v>0</v>
      </c>
      <c r="X103" s="49">
        <f t="shared" si="60"/>
        <v>0</v>
      </c>
      <c r="Y103" s="49">
        <f t="shared" si="60"/>
        <v>0</v>
      </c>
      <c r="Z103" s="49">
        <f t="shared" si="60"/>
        <v>0</v>
      </c>
      <c r="AA103" s="49">
        <f t="shared" si="60"/>
        <v>0</v>
      </c>
      <c r="AB103" s="49">
        <f t="shared" si="60"/>
        <v>0</v>
      </c>
    </row>
    <row r="104" spans="2:28" x14ac:dyDescent="0.25">
      <c r="B104" s="49" t="s">
        <v>42</v>
      </c>
      <c r="C104" s="49" t="e">
        <f>IF(C103=0,VALUE(SUBSTITUTE(C100,"*","")),VALUE(LEFT(SUBSTITUTE(C100,"*",""),C103-1)))</f>
        <v>#REF!</v>
      </c>
      <c r="D104" s="49" t="e">
        <f t="shared" ref="D104:AB104" si="61">IF(D103=0,VALUE(SUBSTITUTE(D100,"*","")),VALUE(LEFT(SUBSTITUTE(D100,"*",""),D103-1)))</f>
        <v>#REF!</v>
      </c>
      <c r="E104" s="49" t="e">
        <f t="shared" si="61"/>
        <v>#REF!</v>
      </c>
      <c r="F104" s="49" t="e">
        <f t="shared" si="61"/>
        <v>#REF!</v>
      </c>
      <c r="G104" s="49" t="e">
        <f t="shared" si="61"/>
        <v>#REF!</v>
      </c>
      <c r="H104" s="49" t="e">
        <f t="shared" si="61"/>
        <v>#REF!</v>
      </c>
      <c r="I104" s="49" t="e">
        <f t="shared" si="61"/>
        <v>#REF!</v>
      </c>
      <c r="J104" s="49" t="e">
        <f t="shared" si="61"/>
        <v>#REF!</v>
      </c>
      <c r="K104" s="49" t="e">
        <f t="shared" si="61"/>
        <v>#REF!</v>
      </c>
      <c r="L104" s="49" t="e">
        <f t="shared" si="61"/>
        <v>#REF!</v>
      </c>
      <c r="M104" s="49" t="e">
        <f t="shared" si="61"/>
        <v>#REF!</v>
      </c>
      <c r="N104" s="49" t="e">
        <f t="shared" si="61"/>
        <v>#REF!</v>
      </c>
      <c r="O104" s="49" t="e">
        <f t="shared" si="61"/>
        <v>#REF!</v>
      </c>
      <c r="P104" s="49" t="e">
        <f t="shared" si="61"/>
        <v>#REF!</v>
      </c>
      <c r="Q104" s="49" t="e">
        <f t="shared" si="61"/>
        <v>#REF!</v>
      </c>
      <c r="R104" s="49" t="e">
        <f t="shared" si="61"/>
        <v>#REF!</v>
      </c>
      <c r="S104" s="49" t="e">
        <f t="shared" si="61"/>
        <v>#REF!</v>
      </c>
      <c r="T104" s="49" t="e">
        <f t="shared" si="61"/>
        <v>#REF!</v>
      </c>
      <c r="U104" s="49" t="e">
        <f t="shared" si="61"/>
        <v>#REF!</v>
      </c>
      <c r="V104" s="49" t="e">
        <f t="shared" si="61"/>
        <v>#REF!</v>
      </c>
      <c r="W104" s="49" t="e">
        <f t="shared" si="61"/>
        <v>#REF!</v>
      </c>
      <c r="X104" s="49" t="e">
        <f t="shared" si="61"/>
        <v>#REF!</v>
      </c>
      <c r="Y104" s="49" t="e">
        <f t="shared" si="61"/>
        <v>#REF!</v>
      </c>
      <c r="Z104" s="49" t="e">
        <f t="shared" si="61"/>
        <v>#REF!</v>
      </c>
      <c r="AA104" s="49" t="e">
        <f t="shared" si="61"/>
        <v>#REF!</v>
      </c>
      <c r="AB104" s="49" t="e">
        <f t="shared" si="61"/>
        <v>#REF!</v>
      </c>
    </row>
    <row r="105" spans="2:28" x14ac:dyDescent="0.25">
      <c r="B105" s="49" t="s">
        <v>42</v>
      </c>
      <c r="C105" s="49" t="e">
        <f>IF(C103=0,VALUE(SUBSTITUTE(C100,"*","")),VALUE(RIGHT(SUBSTITUTE(C100,"*",""),LEN(SUBSTITUTE(C100,"*",""))-C103)))</f>
        <v>#REF!</v>
      </c>
      <c r="D105" s="49" t="e">
        <f t="shared" ref="D105:AB105" si="62">IF(D103=0,VALUE(SUBSTITUTE(D100,"*","")),VALUE(RIGHT(SUBSTITUTE(D100,"*",""),LEN(SUBSTITUTE(D100,"*",""))-D103)))</f>
        <v>#REF!</v>
      </c>
      <c r="E105" s="49" t="e">
        <f t="shared" si="62"/>
        <v>#REF!</v>
      </c>
      <c r="F105" s="49" t="e">
        <f t="shared" si="62"/>
        <v>#REF!</v>
      </c>
      <c r="G105" s="49" t="e">
        <f t="shared" si="62"/>
        <v>#REF!</v>
      </c>
      <c r="H105" s="49" t="e">
        <f t="shared" si="62"/>
        <v>#REF!</v>
      </c>
      <c r="I105" s="49" t="e">
        <f t="shared" si="62"/>
        <v>#REF!</v>
      </c>
      <c r="J105" s="49" t="e">
        <f t="shared" si="62"/>
        <v>#REF!</v>
      </c>
      <c r="K105" s="49" t="e">
        <f t="shared" si="62"/>
        <v>#REF!</v>
      </c>
      <c r="L105" s="49" t="e">
        <f t="shared" si="62"/>
        <v>#REF!</v>
      </c>
      <c r="M105" s="49" t="e">
        <f t="shared" si="62"/>
        <v>#REF!</v>
      </c>
      <c r="N105" s="49" t="e">
        <f t="shared" si="62"/>
        <v>#REF!</v>
      </c>
      <c r="O105" s="49" t="e">
        <f t="shared" si="62"/>
        <v>#REF!</v>
      </c>
      <c r="P105" s="49" t="e">
        <f t="shared" si="62"/>
        <v>#REF!</v>
      </c>
      <c r="Q105" s="49" t="e">
        <f t="shared" si="62"/>
        <v>#REF!</v>
      </c>
      <c r="R105" s="49" t="e">
        <f t="shared" si="62"/>
        <v>#REF!</v>
      </c>
      <c r="S105" s="49" t="e">
        <f t="shared" si="62"/>
        <v>#REF!</v>
      </c>
      <c r="T105" s="49" t="e">
        <f t="shared" si="62"/>
        <v>#REF!</v>
      </c>
      <c r="U105" s="49" t="e">
        <f t="shared" si="62"/>
        <v>#REF!</v>
      </c>
      <c r="V105" s="49" t="e">
        <f t="shared" si="62"/>
        <v>#REF!</v>
      </c>
      <c r="W105" s="49" t="e">
        <f t="shared" si="62"/>
        <v>#REF!</v>
      </c>
      <c r="X105" s="49" t="e">
        <f t="shared" si="62"/>
        <v>#REF!</v>
      </c>
      <c r="Y105" s="49" t="e">
        <f t="shared" si="62"/>
        <v>#REF!</v>
      </c>
      <c r="Z105" s="49" t="e">
        <f t="shared" si="62"/>
        <v>#REF!</v>
      </c>
      <c r="AA105" s="49" t="e">
        <f t="shared" si="62"/>
        <v>#REF!</v>
      </c>
      <c r="AB105" s="49" t="e">
        <f t="shared" si="62"/>
        <v>#REF!</v>
      </c>
    </row>
    <row r="106" spans="2:28" x14ac:dyDescent="0.25">
      <c r="B106" s="49" t="s">
        <v>42</v>
      </c>
      <c r="C106" s="49" t="e">
        <f>IFERROR(IF(AVERAGE(C104:C105)=0,NA(),AVERAGE(C104:C105)),NA())</f>
        <v>#N/A</v>
      </c>
      <c r="D106" s="49" t="e">
        <f t="shared" ref="D106:AB106" si="63">IFERROR(IF(AVERAGE(D104:D105)=0,NA(),AVERAGE(D104:D105)),NA())</f>
        <v>#N/A</v>
      </c>
      <c r="E106" s="49" t="e">
        <f t="shared" si="63"/>
        <v>#N/A</v>
      </c>
      <c r="F106" s="49" t="e">
        <f t="shared" si="63"/>
        <v>#N/A</v>
      </c>
      <c r="G106" s="49" t="e">
        <f t="shared" si="63"/>
        <v>#N/A</v>
      </c>
      <c r="H106" s="49" t="e">
        <f t="shared" si="63"/>
        <v>#N/A</v>
      </c>
      <c r="I106" s="49" t="e">
        <f t="shared" si="63"/>
        <v>#N/A</v>
      </c>
      <c r="J106" s="49" t="e">
        <f t="shared" si="63"/>
        <v>#N/A</v>
      </c>
      <c r="K106" s="49" t="e">
        <f t="shared" si="63"/>
        <v>#N/A</v>
      </c>
      <c r="L106" s="49" t="e">
        <f t="shared" si="63"/>
        <v>#N/A</v>
      </c>
      <c r="M106" s="49" t="e">
        <f t="shared" si="63"/>
        <v>#N/A</v>
      </c>
      <c r="N106" s="49" t="e">
        <f t="shared" si="63"/>
        <v>#N/A</v>
      </c>
      <c r="O106" s="49" t="e">
        <f t="shared" si="63"/>
        <v>#N/A</v>
      </c>
      <c r="P106" s="49" t="e">
        <f t="shared" si="63"/>
        <v>#N/A</v>
      </c>
      <c r="Q106" s="49" t="e">
        <f t="shared" si="63"/>
        <v>#N/A</v>
      </c>
      <c r="R106" s="49" t="e">
        <f t="shared" si="63"/>
        <v>#N/A</v>
      </c>
      <c r="S106" s="49" t="e">
        <f t="shared" si="63"/>
        <v>#N/A</v>
      </c>
      <c r="T106" s="49" t="e">
        <f t="shared" si="63"/>
        <v>#N/A</v>
      </c>
      <c r="U106" s="49" t="e">
        <f t="shared" si="63"/>
        <v>#N/A</v>
      </c>
      <c r="V106" s="49" t="e">
        <f t="shared" si="63"/>
        <v>#N/A</v>
      </c>
      <c r="W106" s="49" t="e">
        <f t="shared" si="63"/>
        <v>#N/A</v>
      </c>
      <c r="X106" s="49" t="e">
        <f t="shared" si="63"/>
        <v>#N/A</v>
      </c>
      <c r="Y106" s="49" t="e">
        <f t="shared" si="63"/>
        <v>#N/A</v>
      </c>
      <c r="Z106" s="49" t="e">
        <f t="shared" si="63"/>
        <v>#N/A</v>
      </c>
      <c r="AA106" s="49" t="e">
        <f t="shared" si="63"/>
        <v>#N/A</v>
      </c>
      <c r="AB106" s="49" t="e">
        <f t="shared" si="63"/>
        <v>#N/A</v>
      </c>
    </row>
    <row r="108" spans="2:28" x14ac:dyDescent="0.25">
      <c r="B108" s="49"/>
      <c r="C108" s="49">
        <f>IFERROR(FIND("—",SUBSTITUTE(C101,"*","")),0)</f>
        <v>0</v>
      </c>
      <c r="D108" s="49">
        <f t="shared" ref="D108:AB108" si="64">IFERROR(FIND("—",SUBSTITUTE(D101,"*","")),0)</f>
        <v>0</v>
      </c>
      <c r="E108" s="49">
        <f t="shared" si="64"/>
        <v>0</v>
      </c>
      <c r="F108" s="49">
        <f t="shared" si="64"/>
        <v>0</v>
      </c>
      <c r="G108" s="49">
        <f t="shared" si="64"/>
        <v>0</v>
      </c>
      <c r="H108" s="49">
        <f t="shared" si="64"/>
        <v>0</v>
      </c>
      <c r="I108" s="49">
        <f t="shared" si="64"/>
        <v>0</v>
      </c>
      <c r="J108" s="49">
        <f t="shared" si="64"/>
        <v>0</v>
      </c>
      <c r="K108" s="49">
        <f t="shared" si="64"/>
        <v>0</v>
      </c>
      <c r="L108" s="49">
        <f t="shared" si="64"/>
        <v>0</v>
      </c>
      <c r="M108" s="49">
        <f t="shared" si="64"/>
        <v>0</v>
      </c>
      <c r="N108" s="49">
        <f t="shared" si="64"/>
        <v>0</v>
      </c>
      <c r="O108" s="49">
        <f t="shared" si="64"/>
        <v>0</v>
      </c>
      <c r="P108" s="49">
        <f t="shared" si="64"/>
        <v>0</v>
      </c>
      <c r="Q108" s="49">
        <f t="shared" si="64"/>
        <v>0</v>
      </c>
      <c r="R108" s="49">
        <f t="shared" si="64"/>
        <v>0</v>
      </c>
      <c r="S108" s="49">
        <f t="shared" si="64"/>
        <v>0</v>
      </c>
      <c r="T108" s="49">
        <f t="shared" si="64"/>
        <v>0</v>
      </c>
      <c r="U108" s="49">
        <f t="shared" si="64"/>
        <v>0</v>
      </c>
      <c r="V108" s="49">
        <f t="shared" si="64"/>
        <v>0</v>
      </c>
      <c r="W108" s="49">
        <f t="shared" si="64"/>
        <v>0</v>
      </c>
      <c r="X108" s="49">
        <f t="shared" si="64"/>
        <v>0</v>
      </c>
      <c r="Y108" s="49">
        <f t="shared" si="64"/>
        <v>0</v>
      </c>
      <c r="Z108" s="49">
        <f t="shared" si="64"/>
        <v>0</v>
      </c>
      <c r="AA108" s="49">
        <f t="shared" si="64"/>
        <v>0</v>
      </c>
      <c r="AB108" s="49">
        <f t="shared" si="64"/>
        <v>0</v>
      </c>
    </row>
    <row r="109" spans="2:28" x14ac:dyDescent="0.25">
      <c r="B109" s="49" t="s">
        <v>32</v>
      </c>
      <c r="C109" s="49" t="e">
        <f>IF(C108=0,VALUE(SUBSTITUTE(C101,"*","")),VALUE(LEFT(SUBSTITUTE(C101,"*",""),C108-1)))</f>
        <v>#REF!</v>
      </c>
      <c r="D109" s="49" t="e">
        <f t="shared" ref="D109:AB109" si="65">IF(D108=0,VALUE(SUBSTITUTE(D101,"*","")),VALUE(LEFT(SUBSTITUTE(D101,"*",""),D108-1)))</f>
        <v>#REF!</v>
      </c>
      <c r="E109" s="49" t="e">
        <f t="shared" si="65"/>
        <v>#REF!</v>
      </c>
      <c r="F109" s="49" t="e">
        <f t="shared" si="65"/>
        <v>#REF!</v>
      </c>
      <c r="G109" s="49" t="e">
        <f t="shared" si="65"/>
        <v>#REF!</v>
      </c>
      <c r="H109" s="49" t="e">
        <f t="shared" si="65"/>
        <v>#REF!</v>
      </c>
      <c r="I109" s="49" t="e">
        <f t="shared" si="65"/>
        <v>#REF!</v>
      </c>
      <c r="J109" s="49" t="e">
        <f t="shared" si="65"/>
        <v>#REF!</v>
      </c>
      <c r="K109" s="49" t="e">
        <f t="shared" si="65"/>
        <v>#REF!</v>
      </c>
      <c r="L109" s="49" t="e">
        <f t="shared" si="65"/>
        <v>#REF!</v>
      </c>
      <c r="M109" s="49" t="e">
        <f t="shared" si="65"/>
        <v>#REF!</v>
      </c>
      <c r="N109" s="49" t="e">
        <f t="shared" si="65"/>
        <v>#REF!</v>
      </c>
      <c r="O109" s="49" t="e">
        <f t="shared" si="65"/>
        <v>#REF!</v>
      </c>
      <c r="P109" s="49" t="e">
        <f t="shared" si="65"/>
        <v>#REF!</v>
      </c>
      <c r="Q109" s="49" t="e">
        <f t="shared" si="65"/>
        <v>#REF!</v>
      </c>
      <c r="R109" s="49" t="e">
        <f t="shared" si="65"/>
        <v>#REF!</v>
      </c>
      <c r="S109" s="49" t="e">
        <f t="shared" si="65"/>
        <v>#REF!</v>
      </c>
      <c r="T109" s="49" t="e">
        <f t="shared" si="65"/>
        <v>#REF!</v>
      </c>
      <c r="U109" s="49" t="e">
        <f t="shared" si="65"/>
        <v>#REF!</v>
      </c>
      <c r="V109" s="49" t="e">
        <f t="shared" si="65"/>
        <v>#REF!</v>
      </c>
      <c r="W109" s="49" t="e">
        <f t="shared" si="65"/>
        <v>#REF!</v>
      </c>
      <c r="X109" s="49" t="e">
        <f t="shared" si="65"/>
        <v>#REF!</v>
      </c>
      <c r="Y109" s="49" t="e">
        <f t="shared" si="65"/>
        <v>#REF!</v>
      </c>
      <c r="Z109" s="49" t="e">
        <f t="shared" si="65"/>
        <v>#REF!</v>
      </c>
      <c r="AA109" s="49" t="e">
        <f t="shared" si="65"/>
        <v>#REF!</v>
      </c>
      <c r="AB109" s="49" t="e">
        <f t="shared" si="65"/>
        <v>#REF!</v>
      </c>
    </row>
    <row r="110" spans="2:28" x14ac:dyDescent="0.25">
      <c r="B110" s="49" t="s">
        <v>32</v>
      </c>
      <c r="C110" s="49" t="e">
        <f>IF(C108=0,VALUE(SUBSTITUTE(C101,"*","")),VALUE(RIGHT(SUBSTITUTE(C101,"*",""),LEN(SUBSTITUTE(C101,"*",""))-C108)))</f>
        <v>#REF!</v>
      </c>
      <c r="D110" s="49" t="e">
        <f t="shared" ref="D110:AB110" si="66">IF(D108=0,VALUE(SUBSTITUTE(D101,"*","")),VALUE(RIGHT(SUBSTITUTE(D101,"*",""),LEN(SUBSTITUTE(D101,"*",""))-D108)))</f>
        <v>#REF!</v>
      </c>
      <c r="E110" s="49" t="e">
        <f t="shared" si="66"/>
        <v>#REF!</v>
      </c>
      <c r="F110" s="49" t="e">
        <f t="shared" si="66"/>
        <v>#REF!</v>
      </c>
      <c r="G110" s="49" t="e">
        <f t="shared" si="66"/>
        <v>#REF!</v>
      </c>
      <c r="H110" s="49" t="e">
        <f t="shared" si="66"/>
        <v>#REF!</v>
      </c>
      <c r="I110" s="49" t="e">
        <f t="shared" si="66"/>
        <v>#REF!</v>
      </c>
      <c r="J110" s="49" t="e">
        <f t="shared" si="66"/>
        <v>#REF!</v>
      </c>
      <c r="K110" s="49" t="e">
        <f t="shared" si="66"/>
        <v>#REF!</v>
      </c>
      <c r="L110" s="49" t="e">
        <f t="shared" si="66"/>
        <v>#REF!</v>
      </c>
      <c r="M110" s="49" t="e">
        <f t="shared" si="66"/>
        <v>#REF!</v>
      </c>
      <c r="N110" s="49" t="e">
        <f t="shared" si="66"/>
        <v>#REF!</v>
      </c>
      <c r="O110" s="49" t="e">
        <f t="shared" si="66"/>
        <v>#REF!</v>
      </c>
      <c r="P110" s="49" t="e">
        <f t="shared" si="66"/>
        <v>#REF!</v>
      </c>
      <c r="Q110" s="49" t="e">
        <f t="shared" si="66"/>
        <v>#REF!</v>
      </c>
      <c r="R110" s="49" t="e">
        <f t="shared" si="66"/>
        <v>#REF!</v>
      </c>
      <c r="S110" s="49" t="e">
        <f t="shared" si="66"/>
        <v>#REF!</v>
      </c>
      <c r="T110" s="49" t="e">
        <f t="shared" si="66"/>
        <v>#REF!</v>
      </c>
      <c r="U110" s="49" t="e">
        <f t="shared" si="66"/>
        <v>#REF!</v>
      </c>
      <c r="V110" s="49" t="e">
        <f t="shared" si="66"/>
        <v>#REF!</v>
      </c>
      <c r="W110" s="49" t="e">
        <f t="shared" si="66"/>
        <v>#REF!</v>
      </c>
      <c r="X110" s="49" t="e">
        <f t="shared" si="66"/>
        <v>#REF!</v>
      </c>
      <c r="Y110" s="49" t="e">
        <f t="shared" si="66"/>
        <v>#REF!</v>
      </c>
      <c r="Z110" s="49" t="e">
        <f t="shared" si="66"/>
        <v>#REF!</v>
      </c>
      <c r="AA110" s="49" t="e">
        <f t="shared" si="66"/>
        <v>#REF!</v>
      </c>
      <c r="AB110" s="49" t="e">
        <f t="shared" si="66"/>
        <v>#REF!</v>
      </c>
    </row>
    <row r="111" spans="2:28" x14ac:dyDescent="0.25">
      <c r="B111" s="49" t="s">
        <v>32</v>
      </c>
      <c r="C111" s="49" t="e">
        <f>IFERROR(IF(AVERAGE(C109:C110)=0,NA(),AVERAGE(C109:C110)),NA())</f>
        <v>#N/A</v>
      </c>
      <c r="D111" s="49" t="e">
        <f t="shared" ref="D111:AB111" si="67">IFERROR(IF(AVERAGE(D109:D110)=0,NA(),AVERAGE(D109:D110)),NA())</f>
        <v>#N/A</v>
      </c>
      <c r="E111" s="49" t="e">
        <f t="shared" si="67"/>
        <v>#N/A</v>
      </c>
      <c r="F111" s="49" t="e">
        <f t="shared" si="67"/>
        <v>#N/A</v>
      </c>
      <c r="G111" s="49" t="e">
        <f t="shared" si="67"/>
        <v>#N/A</v>
      </c>
      <c r="H111" s="49" t="e">
        <f t="shared" si="67"/>
        <v>#N/A</v>
      </c>
      <c r="I111" s="49" t="e">
        <f t="shared" si="67"/>
        <v>#N/A</v>
      </c>
      <c r="J111" s="49" t="e">
        <f t="shared" si="67"/>
        <v>#N/A</v>
      </c>
      <c r="K111" s="49" t="e">
        <f t="shared" si="67"/>
        <v>#N/A</v>
      </c>
      <c r="L111" s="49" t="e">
        <f t="shared" si="67"/>
        <v>#N/A</v>
      </c>
      <c r="M111" s="49" t="e">
        <f t="shared" si="67"/>
        <v>#N/A</v>
      </c>
      <c r="N111" s="49" t="e">
        <f t="shared" si="67"/>
        <v>#N/A</v>
      </c>
      <c r="O111" s="49" t="e">
        <f t="shared" si="67"/>
        <v>#N/A</v>
      </c>
      <c r="P111" s="49" t="e">
        <f t="shared" si="67"/>
        <v>#N/A</v>
      </c>
      <c r="Q111" s="49" t="e">
        <f t="shared" si="67"/>
        <v>#N/A</v>
      </c>
      <c r="R111" s="49" t="e">
        <f t="shared" si="67"/>
        <v>#N/A</v>
      </c>
      <c r="S111" s="49" t="e">
        <f t="shared" si="67"/>
        <v>#N/A</v>
      </c>
      <c r="T111" s="49" t="e">
        <f t="shared" si="67"/>
        <v>#N/A</v>
      </c>
      <c r="U111" s="49" t="e">
        <f t="shared" si="67"/>
        <v>#N/A</v>
      </c>
      <c r="V111" s="49" t="e">
        <f t="shared" si="67"/>
        <v>#N/A</v>
      </c>
      <c r="W111" s="49" t="e">
        <f t="shared" si="67"/>
        <v>#N/A</v>
      </c>
      <c r="X111" s="49" t="e">
        <f t="shared" si="67"/>
        <v>#N/A</v>
      </c>
      <c r="Y111" s="49" t="e">
        <f t="shared" si="67"/>
        <v>#N/A</v>
      </c>
      <c r="Z111" s="49" t="e">
        <f t="shared" si="67"/>
        <v>#N/A</v>
      </c>
      <c r="AA111" s="49" t="e">
        <f t="shared" si="67"/>
        <v>#N/A</v>
      </c>
      <c r="AB111" s="49" t="e">
        <f t="shared" si="67"/>
        <v>#N/A</v>
      </c>
    </row>
    <row r="115" spans="2:28" x14ac:dyDescent="0.25">
      <c r="B115" t="s">
        <v>33</v>
      </c>
      <c r="C115" t="e">
        <f>INDEX(Database!$D$2:$XFD$36,46,$A$1)</f>
        <v>#REF!</v>
      </c>
      <c r="D115" t="e">
        <f>INDEX(Database!$D$2:$XFD$36,46,$A$1+D9)</f>
        <v>#REF!</v>
      </c>
      <c r="E115" t="e">
        <f>INDEX(Database!$D$2:$XFD$36,46,$A$1+E9)</f>
        <v>#REF!</v>
      </c>
      <c r="F115" t="e">
        <f>INDEX(Database!$D$2:$XFD$36,46,$A$1+F9)</f>
        <v>#REF!</v>
      </c>
      <c r="G115" t="e">
        <f>INDEX(Database!$D$2:$XFD$36,46,$A$1+G9)</f>
        <v>#REF!</v>
      </c>
      <c r="H115" t="e">
        <f>INDEX(Database!$D$2:$XFD$36,46,$A$1+H9)</f>
        <v>#REF!</v>
      </c>
      <c r="I115" t="e">
        <f>INDEX(Database!$D$2:$XFD$36,46,$A$1+I9)</f>
        <v>#REF!</v>
      </c>
      <c r="J115" t="e">
        <f>INDEX(Database!$D$2:$XFD$36,46,$A$1+J9)</f>
        <v>#REF!</v>
      </c>
      <c r="K115" t="e">
        <f>INDEX(Database!$D$2:$XFD$36,46,$A$1+K9)</f>
        <v>#REF!</v>
      </c>
      <c r="L115" t="e">
        <f>INDEX(Database!$D$2:$XFD$36,46,$A$1+L9)</f>
        <v>#REF!</v>
      </c>
      <c r="M115" t="e">
        <f>INDEX(Database!$D$2:$XFD$36,46,$A$1+M9)</f>
        <v>#REF!</v>
      </c>
      <c r="N115" t="e">
        <f>INDEX(Database!$D$2:$XFD$36,46,$A$1+N9)</f>
        <v>#REF!</v>
      </c>
      <c r="O115" t="e">
        <f>INDEX(Database!$D$2:$XFD$36,46,$A$1+O9)</f>
        <v>#REF!</v>
      </c>
      <c r="P115" t="e">
        <f>INDEX(Database!$D$2:$XFD$36,46,$A$1+P9)</f>
        <v>#REF!</v>
      </c>
      <c r="Q115" t="e">
        <f>INDEX(Database!$D$2:$XFD$36,46,$A$1+Q9)</f>
        <v>#REF!</v>
      </c>
      <c r="R115" t="e">
        <f>INDEX(Database!$D$2:$XFD$36,46,$A$1+R9)</f>
        <v>#REF!</v>
      </c>
      <c r="S115" t="e">
        <f>INDEX(Database!$D$2:$XFD$36,46,$A$1+S9)</f>
        <v>#REF!</v>
      </c>
      <c r="T115" t="e">
        <f>INDEX(Database!$D$2:$XFD$36,46,$A$1+T9)</f>
        <v>#REF!</v>
      </c>
      <c r="U115" t="e">
        <f>INDEX(Database!$D$2:$XFD$36,46,$A$1+U9)</f>
        <v>#REF!</v>
      </c>
      <c r="V115" t="e">
        <f>INDEX(Database!$D$2:$XFD$36,46,$A$1+V9)</f>
        <v>#REF!</v>
      </c>
      <c r="W115" t="e">
        <f>INDEX(Database!$D$2:$XFD$36,46,$A$1+W9)</f>
        <v>#REF!</v>
      </c>
      <c r="X115" t="e">
        <f>INDEX(Database!$D$2:$XFD$36,46,$A$1+X9)</f>
        <v>#REF!</v>
      </c>
      <c r="Y115" t="e">
        <f>INDEX(Database!$D$2:$XFD$36,46,$A$1+Y9)</f>
        <v>#REF!</v>
      </c>
      <c r="Z115" t="e">
        <f>INDEX(Database!$D$2:$XFD$36,46,$A$1+Z9)</f>
        <v>#REF!</v>
      </c>
      <c r="AA115" t="e">
        <f>INDEX(Database!$D$2:$XFD$36,46,$A$1+AA9)</f>
        <v>#REF!</v>
      </c>
      <c r="AB115" t="e">
        <f>INDEX(Database!$D$2:$XFD$36,46,$A$1+AB9)</f>
        <v>#REF!</v>
      </c>
    </row>
    <row r="116" spans="2:28" x14ac:dyDescent="0.25">
      <c r="B116" s="13"/>
    </row>
    <row r="117" spans="2:28" x14ac:dyDescent="0.25">
      <c r="B117" s="49"/>
      <c r="C117" s="49">
        <f>IFERROR(FIND("—",SUBSTITUTE(C115,"*","")),0)</f>
        <v>0</v>
      </c>
      <c r="D117" s="49">
        <f t="shared" ref="D117:AB117" si="68">IFERROR(FIND("—",SUBSTITUTE(D115,"*","")),0)</f>
        <v>0</v>
      </c>
      <c r="E117" s="49">
        <f t="shared" si="68"/>
        <v>0</v>
      </c>
      <c r="F117" s="49">
        <f t="shared" si="68"/>
        <v>0</v>
      </c>
      <c r="G117" s="49">
        <f t="shared" si="68"/>
        <v>0</v>
      </c>
      <c r="H117" s="49">
        <f t="shared" si="68"/>
        <v>0</v>
      </c>
      <c r="I117" s="49">
        <f t="shared" si="68"/>
        <v>0</v>
      </c>
      <c r="J117" s="49">
        <f t="shared" si="68"/>
        <v>0</v>
      </c>
      <c r="K117" s="49">
        <f t="shared" si="68"/>
        <v>0</v>
      </c>
      <c r="L117" s="49">
        <f t="shared" si="68"/>
        <v>0</v>
      </c>
      <c r="M117" s="49">
        <f t="shared" si="68"/>
        <v>0</v>
      </c>
      <c r="N117" s="49">
        <f t="shared" si="68"/>
        <v>0</v>
      </c>
      <c r="O117" s="49">
        <f t="shared" si="68"/>
        <v>0</v>
      </c>
      <c r="P117" s="49">
        <f t="shared" si="68"/>
        <v>0</v>
      </c>
      <c r="Q117" s="49">
        <f t="shared" si="68"/>
        <v>0</v>
      </c>
      <c r="R117" s="49">
        <f t="shared" si="68"/>
        <v>0</v>
      </c>
      <c r="S117" s="49">
        <f t="shared" si="68"/>
        <v>0</v>
      </c>
      <c r="T117" s="49">
        <f t="shared" si="68"/>
        <v>0</v>
      </c>
      <c r="U117" s="49">
        <f t="shared" si="68"/>
        <v>0</v>
      </c>
      <c r="V117" s="49">
        <f t="shared" si="68"/>
        <v>0</v>
      </c>
      <c r="W117" s="49">
        <f t="shared" si="68"/>
        <v>0</v>
      </c>
      <c r="X117" s="49">
        <f t="shared" si="68"/>
        <v>0</v>
      </c>
      <c r="Y117" s="49">
        <f t="shared" si="68"/>
        <v>0</v>
      </c>
      <c r="Z117" s="49">
        <f t="shared" si="68"/>
        <v>0</v>
      </c>
      <c r="AA117" s="49">
        <f t="shared" si="68"/>
        <v>0</v>
      </c>
      <c r="AB117" s="49">
        <f t="shared" si="68"/>
        <v>0</v>
      </c>
    </row>
    <row r="118" spans="2:28" x14ac:dyDescent="0.25">
      <c r="B118" s="49" t="s">
        <v>33</v>
      </c>
      <c r="C118" s="49" t="e">
        <f>IF(C117=0,VALUE(SUBSTITUTE(C115,"*","")),VALUE(LEFT(SUBSTITUTE(C115,"*",""),C117-1)))</f>
        <v>#REF!</v>
      </c>
      <c r="D118" s="49" t="e">
        <f t="shared" ref="D118:AB118" si="69">IF(D117=0,VALUE(SUBSTITUTE(D115,"*","")),VALUE(LEFT(SUBSTITUTE(D115,"*",""),D117-1)))</f>
        <v>#REF!</v>
      </c>
      <c r="E118" s="49" t="e">
        <f t="shared" si="69"/>
        <v>#REF!</v>
      </c>
      <c r="F118" s="49" t="e">
        <f t="shared" si="69"/>
        <v>#REF!</v>
      </c>
      <c r="G118" s="49" t="e">
        <f t="shared" si="69"/>
        <v>#REF!</v>
      </c>
      <c r="H118" s="49" t="e">
        <f t="shared" si="69"/>
        <v>#REF!</v>
      </c>
      <c r="I118" s="49" t="e">
        <f t="shared" si="69"/>
        <v>#REF!</v>
      </c>
      <c r="J118" s="49" t="e">
        <f t="shared" si="69"/>
        <v>#REF!</v>
      </c>
      <c r="K118" s="49" t="e">
        <f t="shared" si="69"/>
        <v>#REF!</v>
      </c>
      <c r="L118" s="49" t="e">
        <f t="shared" si="69"/>
        <v>#REF!</v>
      </c>
      <c r="M118" s="49" t="e">
        <f t="shared" si="69"/>
        <v>#REF!</v>
      </c>
      <c r="N118" s="49" t="e">
        <f t="shared" si="69"/>
        <v>#REF!</v>
      </c>
      <c r="O118" s="49" t="e">
        <f t="shared" si="69"/>
        <v>#REF!</v>
      </c>
      <c r="P118" s="49" t="e">
        <f t="shared" si="69"/>
        <v>#REF!</v>
      </c>
      <c r="Q118" s="49" t="e">
        <f t="shared" si="69"/>
        <v>#REF!</v>
      </c>
      <c r="R118" s="49" t="e">
        <f t="shared" si="69"/>
        <v>#REF!</v>
      </c>
      <c r="S118" s="49" t="e">
        <f t="shared" si="69"/>
        <v>#REF!</v>
      </c>
      <c r="T118" s="49" t="e">
        <f t="shared" si="69"/>
        <v>#REF!</v>
      </c>
      <c r="U118" s="49" t="e">
        <f t="shared" si="69"/>
        <v>#REF!</v>
      </c>
      <c r="V118" s="49" t="e">
        <f t="shared" si="69"/>
        <v>#REF!</v>
      </c>
      <c r="W118" s="49" t="e">
        <f t="shared" si="69"/>
        <v>#REF!</v>
      </c>
      <c r="X118" s="49" t="e">
        <f t="shared" si="69"/>
        <v>#REF!</v>
      </c>
      <c r="Y118" s="49" t="e">
        <f t="shared" si="69"/>
        <v>#REF!</v>
      </c>
      <c r="Z118" s="49" t="e">
        <f t="shared" si="69"/>
        <v>#REF!</v>
      </c>
      <c r="AA118" s="49" t="e">
        <f t="shared" si="69"/>
        <v>#REF!</v>
      </c>
      <c r="AB118" s="49" t="e">
        <f t="shared" si="69"/>
        <v>#REF!</v>
      </c>
    </row>
    <row r="119" spans="2:28" x14ac:dyDescent="0.25">
      <c r="B119" s="49" t="s">
        <v>33</v>
      </c>
      <c r="C119" s="49" t="e">
        <f>IF(C117=0,VALUE(SUBSTITUTE(C115,"*","")),VALUE(RIGHT(SUBSTITUTE(C115,"*",""),LEN(SUBSTITUTE(C115,"*",""))-C117)))</f>
        <v>#REF!</v>
      </c>
      <c r="D119" s="49" t="e">
        <f t="shared" ref="D119:AB119" si="70">IF(D117=0,VALUE(SUBSTITUTE(D115,"*","")),VALUE(RIGHT(SUBSTITUTE(D115,"*",""),LEN(SUBSTITUTE(D115,"*",""))-D117)))</f>
        <v>#REF!</v>
      </c>
      <c r="E119" s="49" t="e">
        <f t="shared" si="70"/>
        <v>#REF!</v>
      </c>
      <c r="F119" s="49" t="e">
        <f t="shared" si="70"/>
        <v>#REF!</v>
      </c>
      <c r="G119" s="49" t="e">
        <f t="shared" si="70"/>
        <v>#REF!</v>
      </c>
      <c r="H119" s="49" t="e">
        <f t="shared" si="70"/>
        <v>#REF!</v>
      </c>
      <c r="I119" s="49" t="e">
        <f t="shared" si="70"/>
        <v>#REF!</v>
      </c>
      <c r="J119" s="49" t="e">
        <f t="shared" si="70"/>
        <v>#REF!</v>
      </c>
      <c r="K119" s="49" t="e">
        <f t="shared" si="70"/>
        <v>#REF!</v>
      </c>
      <c r="L119" s="49" t="e">
        <f t="shared" si="70"/>
        <v>#REF!</v>
      </c>
      <c r="M119" s="49" t="e">
        <f t="shared" si="70"/>
        <v>#REF!</v>
      </c>
      <c r="N119" s="49" t="e">
        <f t="shared" si="70"/>
        <v>#REF!</v>
      </c>
      <c r="O119" s="49" t="e">
        <f t="shared" si="70"/>
        <v>#REF!</v>
      </c>
      <c r="P119" s="49" t="e">
        <f t="shared" si="70"/>
        <v>#REF!</v>
      </c>
      <c r="Q119" s="49" t="e">
        <f t="shared" si="70"/>
        <v>#REF!</v>
      </c>
      <c r="R119" s="49" t="e">
        <f t="shared" si="70"/>
        <v>#REF!</v>
      </c>
      <c r="S119" s="49" t="e">
        <f t="shared" si="70"/>
        <v>#REF!</v>
      </c>
      <c r="T119" s="49" t="e">
        <f t="shared" si="70"/>
        <v>#REF!</v>
      </c>
      <c r="U119" s="49" t="e">
        <f t="shared" si="70"/>
        <v>#REF!</v>
      </c>
      <c r="V119" s="49" t="e">
        <f t="shared" si="70"/>
        <v>#REF!</v>
      </c>
      <c r="W119" s="49" t="e">
        <f t="shared" si="70"/>
        <v>#REF!</v>
      </c>
      <c r="X119" s="49" t="e">
        <f t="shared" si="70"/>
        <v>#REF!</v>
      </c>
      <c r="Y119" s="49" t="e">
        <f t="shared" si="70"/>
        <v>#REF!</v>
      </c>
      <c r="Z119" s="49" t="e">
        <f t="shared" si="70"/>
        <v>#REF!</v>
      </c>
      <c r="AA119" s="49" t="e">
        <f t="shared" si="70"/>
        <v>#REF!</v>
      </c>
      <c r="AB119" s="49" t="e">
        <f t="shared" si="70"/>
        <v>#REF!</v>
      </c>
    </row>
    <row r="120" spans="2:28" x14ac:dyDescent="0.25">
      <c r="B120" s="49" t="s">
        <v>33</v>
      </c>
      <c r="C120" s="49" t="e">
        <f>IFERROR(IF(AVERAGE(C118:C119)=0,NA(),AVERAGE(C118:C119)),NA())</f>
        <v>#N/A</v>
      </c>
      <c r="D120" s="49" t="e">
        <f t="shared" ref="D120:AB120" si="71">IFERROR(IF(AVERAGE(D118:D119)=0,NA(),AVERAGE(D118:D119)),NA())</f>
        <v>#N/A</v>
      </c>
      <c r="E120" s="49" t="e">
        <f t="shared" si="71"/>
        <v>#N/A</v>
      </c>
      <c r="F120" s="49" t="e">
        <f t="shared" si="71"/>
        <v>#N/A</v>
      </c>
      <c r="G120" s="49" t="e">
        <f t="shared" si="71"/>
        <v>#N/A</v>
      </c>
      <c r="H120" s="49" t="e">
        <f t="shared" si="71"/>
        <v>#N/A</v>
      </c>
      <c r="I120" s="49" t="e">
        <f t="shared" si="71"/>
        <v>#N/A</v>
      </c>
      <c r="J120" s="49" t="e">
        <f t="shared" si="71"/>
        <v>#N/A</v>
      </c>
      <c r="K120" s="49" t="e">
        <f t="shared" si="71"/>
        <v>#N/A</v>
      </c>
      <c r="L120" s="49" t="e">
        <f t="shared" si="71"/>
        <v>#N/A</v>
      </c>
      <c r="M120" s="49" t="e">
        <f t="shared" si="71"/>
        <v>#N/A</v>
      </c>
      <c r="N120" s="49" t="e">
        <f t="shared" si="71"/>
        <v>#N/A</v>
      </c>
      <c r="O120" s="49" t="e">
        <f t="shared" si="71"/>
        <v>#N/A</v>
      </c>
      <c r="P120" s="49" t="e">
        <f t="shared" si="71"/>
        <v>#N/A</v>
      </c>
      <c r="Q120" s="49" t="e">
        <f t="shared" si="71"/>
        <v>#N/A</v>
      </c>
      <c r="R120" s="49" t="e">
        <f t="shared" si="71"/>
        <v>#N/A</v>
      </c>
      <c r="S120" s="49" t="e">
        <f t="shared" si="71"/>
        <v>#N/A</v>
      </c>
      <c r="T120" s="49" t="e">
        <f t="shared" si="71"/>
        <v>#N/A</v>
      </c>
      <c r="U120" s="49" t="e">
        <f t="shared" si="71"/>
        <v>#N/A</v>
      </c>
      <c r="V120" s="49" t="e">
        <f t="shared" si="71"/>
        <v>#N/A</v>
      </c>
      <c r="W120" s="49" t="e">
        <f t="shared" si="71"/>
        <v>#N/A</v>
      </c>
      <c r="X120" s="49" t="e">
        <f t="shared" si="71"/>
        <v>#N/A</v>
      </c>
      <c r="Y120" s="49" t="e">
        <f t="shared" si="71"/>
        <v>#N/A</v>
      </c>
      <c r="Z120" s="49" t="e">
        <f t="shared" si="71"/>
        <v>#N/A</v>
      </c>
      <c r="AA120" s="49" t="e">
        <f t="shared" si="71"/>
        <v>#N/A</v>
      </c>
      <c r="AB120" s="49" t="e">
        <f t="shared" si="71"/>
        <v>#N/A</v>
      </c>
    </row>
    <row r="123" spans="2:28" x14ac:dyDescent="0.25">
      <c r="B123" t="s">
        <v>8</v>
      </c>
      <c r="C123" s="52">
        <f>IFERROR(IF(INDEX(Database!$D$2:$XFD$36,2,$A$1)=0,NA(),INDEX(Database!$D$2:$XFD$36,2,$A$1)),NA())</f>
        <v>78.23</v>
      </c>
      <c r="D123" s="52">
        <f>IFERROR(IF(INDEX(Database!$D$2:$XFD$36,2,$A$1+D9)=0,NA(),INDEX(Database!$D$2:$XFD$36,2,$A$1+D9)),NA())</f>
        <v>78.569999999999993</v>
      </c>
      <c r="E123" s="52">
        <f>IFERROR(IF(INDEX(Database!$D$2:$XFD$36,2,$A$1+E9)=0,NA(),INDEX(Database!$D$2:$XFD$36,2,$A$1+E9)),NA())</f>
        <v>77.52</v>
      </c>
      <c r="F123" s="52">
        <f>IFERROR(IF(INDEX(Database!$D$2:$XFD$36,2,$A$1+F9)=0,NA(),INDEX(Database!$D$2:$XFD$36,2,$A$1+F9)),NA())</f>
        <v>76.27</v>
      </c>
      <c r="G123" s="52">
        <f>IFERROR(IF(INDEX(Database!$D$2:$XFD$36,2,$A$1+G9)=0,NA(),INDEX(Database!$D$2:$XFD$36,2,$A$1+G9)),NA())</f>
        <v>76.91</v>
      </c>
      <c r="H123" s="52">
        <f>IFERROR(IF(INDEX(Database!$D$2:$XFD$36,2,$A$1+H9)=0,NA(),INDEX(Database!$D$2:$XFD$36,2,$A$1+H9)),NA())</f>
        <v>77.459999999999994</v>
      </c>
      <c r="I123" s="52">
        <f>IFERROR(IF(INDEX(Database!$D$2:$XFD$36,2,$A$1+I9)=0,NA(),INDEX(Database!$D$2:$XFD$36,2,$A$1+I9)),NA())</f>
        <v>76.150000000000006</v>
      </c>
      <c r="J123" s="52">
        <f>IFERROR(IF(INDEX(Database!$D$2:$XFD$36,2,$A$1+J9)=0,NA(),INDEX(Database!$D$2:$XFD$36,2,$A$1+J9)),NA())</f>
        <v>76.47</v>
      </c>
      <c r="K123" s="52">
        <f>IFERROR(IF(INDEX(Database!$D$2:$XFD$36,2,$A$1+K9)=0,NA(),INDEX(Database!$D$2:$XFD$36,2,$A$1+K9)),NA())</f>
        <v>77.8</v>
      </c>
      <c r="L123" s="52">
        <f>IFERROR(IF(INDEX(Database!$D$2:$XFD$36,2,$A$1+L9)=0,NA(),INDEX(Database!$D$2:$XFD$36,2,$A$1+L9)),NA())</f>
        <v>79.069999999999993</v>
      </c>
      <c r="M123" s="52">
        <f>IFERROR(IF(INDEX(Database!$D$2:$XFD$36,2,$A$1+M9)=0,NA(),INDEX(Database!$D$2:$XFD$36,2,$A$1+M9)),NA())</f>
        <v>83.13</v>
      </c>
      <c r="N123" s="52">
        <f>IFERROR(IF(INDEX(Database!$D$2:$XFD$36,2,$A$1+N9)=0,NA(),INDEX(Database!$D$2:$XFD$36,2,$A$1+N9)),NA())</f>
        <v>80.72</v>
      </c>
      <c r="O123" s="52">
        <f>IFERROR(IF(INDEX(Database!$D$2:$XFD$36,2,$A$1+O9)=0,NA(),INDEX(Database!$D$2:$XFD$36,2,$A$1+O9)),NA())</f>
        <v>80.62</v>
      </c>
      <c r="P123" s="52">
        <f>IFERROR(IF(INDEX(Database!$D$2:$XFD$36,2,$A$1+P9)=0,NA(),INDEX(Database!$D$2:$XFD$36,2,$A$1+P9)),NA())</f>
        <v>78.3</v>
      </c>
      <c r="Q123" s="52">
        <f>IFERROR(IF(INDEX(Database!$D$2:$XFD$36,2,$A$1+Q9)=0,NA(),INDEX(Database!$D$2:$XFD$36,2,$A$1+Q9)),NA())</f>
        <v>75.23</v>
      </c>
      <c r="R123" s="52">
        <f>IFERROR(IF(INDEX(Database!$D$2:$XFD$36,2,$A$1+R9)=0,NA(),INDEX(Database!$D$2:$XFD$36,2,$A$1+R9)),NA())</f>
        <v>75</v>
      </c>
      <c r="S123" s="52">
        <f>IFERROR(IF(INDEX(Database!$D$2:$XFD$36,2,$A$1+S9)=0,NA(),INDEX(Database!$D$2:$XFD$36,2,$A$1+S9)),NA())</f>
        <v>74.69</v>
      </c>
      <c r="T123" s="52">
        <f>IFERROR(IF(INDEX(Database!$D$2:$XFD$36,2,$A$1+T9)=0,NA(),INDEX(Database!$D$2:$XFD$36,2,$A$1+T9)),NA())</f>
        <v>75.22</v>
      </c>
      <c r="U123" s="52">
        <f>IFERROR(IF(INDEX(Database!$D$2:$XFD$36,2,$A$1+U9)=0,NA(),INDEX(Database!$D$2:$XFD$36,2,$A$1+U9)),NA())</f>
        <v>73.34</v>
      </c>
      <c r="V123" s="52">
        <f>IFERROR(IF(INDEX(Database!$D$2:$XFD$36,2,$A$1+V9)=0,NA(),INDEX(Database!$D$2:$XFD$36,2,$A$1+V9)),NA())</f>
        <v>70.95</v>
      </c>
      <c r="W123" s="52">
        <f>IFERROR(IF(INDEX(Database!$D$2:$XFD$36,2,$A$1+W9)=0,NA(),INDEX(Database!$D$2:$XFD$36,2,$A$1+W9)),NA())</f>
        <v>70.900000000000006</v>
      </c>
      <c r="X123" s="52">
        <f>IFERROR(IF(INDEX(Database!$D$2:$XFD$36,2,$A$1+X9)=0,NA(),INDEX(Database!$D$2:$XFD$36,2,$A$1+X9)),NA())</f>
        <v>73.34</v>
      </c>
      <c r="Y123" s="52" t="e">
        <f>IFERROR(IF(INDEX(Database!$D$2:$XFD$36,2,$A$1+Y9)=0,NA(),INDEX(Database!$D$2:$XFD$36,2,$A$1+Y9)),NA())</f>
        <v>#N/A</v>
      </c>
      <c r="Z123" s="52" t="e">
        <f>IFERROR(IF(INDEX(Database!$D$2:$XFD$36,2,$A$1+Z9)=0,NA(),INDEX(Database!$D$2:$XFD$36,2,$A$1+Z9)),NA())</f>
        <v>#N/A</v>
      </c>
      <c r="AA123" s="52" t="e">
        <f>IFERROR(IF(INDEX(Database!$D$2:$XFD$36,2,$A$1+AA9)=0,NA(),INDEX(Database!$D$2:$XFD$36,2,$A$1+AA9)),NA())</f>
        <v>#N/A</v>
      </c>
      <c r="AB123" s="52" t="e">
        <f>IFERROR(IF(INDEX(Database!$D$2:$XFD$36,2,$A$1+AB9)=0,NA(),INDEX(Database!$D$2:$XFD$36,2,$A$1+AB9)),NA())</f>
        <v>#N/A</v>
      </c>
    </row>
    <row r="126" spans="2:28" x14ac:dyDescent="0.25">
      <c r="B126" t="s">
        <v>38</v>
      </c>
      <c r="C126" t="str">
        <f>INDEX(Database!$D$2:$XFD$36,21,$A$1)</f>
        <v>765—790</v>
      </c>
      <c r="D126" t="str">
        <f>INDEX(Database!$D$2:$XFD$36,21,$A$1+D9)</f>
        <v>770—790</v>
      </c>
      <c r="E126" t="str">
        <f>INDEX(Database!$D$2:$XFD$36,21,$A$1+E9)</f>
        <v>765—800</v>
      </c>
      <c r="F126" t="str">
        <f>INDEX(Database!$D$2:$XFD$36,21,$A$1+F9)</f>
        <v>765—790</v>
      </c>
      <c r="G126" t="str">
        <f>INDEX(Database!$D$2:$XFD$36,21,$A$1+G9)</f>
        <v>770—795</v>
      </c>
      <c r="H126" t="str">
        <f>INDEX(Database!$D$2:$XFD$36,21,$A$1+H9)</f>
        <v>770—795</v>
      </c>
      <c r="I126" t="str">
        <f>INDEX(Database!$D$2:$XFD$36,21,$A$1+I9)</f>
        <v>800—880</v>
      </c>
      <c r="J126" t="str">
        <f>INDEX(Database!$D$2:$XFD$36,21,$A$1+J9)</f>
        <v>800—880</v>
      </c>
      <c r="K126" t="str">
        <f>INDEX(Database!$D$2:$XFD$36,21,$A$1+K9)</f>
        <v>800—900</v>
      </c>
      <c r="L126" t="str">
        <f>INDEX(Database!$D$2:$XFD$36,21,$A$1+L9)</f>
        <v>1,150—1,250</v>
      </c>
      <c r="M126" t="str">
        <f>INDEX(Database!$D$2:$XFD$36,21,$A$1+M9)</f>
        <v>1,150—1,250</v>
      </c>
      <c r="N126" t="str">
        <f>INDEX(Database!$D$2:$XFD$36,21,$A$1+N9)</f>
        <v>1,150—1,270</v>
      </c>
      <c r="O126" t="str">
        <f>INDEX(Database!$D$2:$XFD$36,21,$A$1+O9)</f>
        <v>1,150—1,270</v>
      </c>
      <c r="P126" t="str">
        <f>INDEX(Database!$D$2:$XFD$36,21,$A$1+P9)</f>
        <v>1,250—1,280</v>
      </c>
      <c r="Q126" t="str">
        <f>INDEX(Database!$D$2:$XFD$36,21,$A$1+Q9)</f>
        <v>1,250—1,280</v>
      </c>
      <c r="R126" t="str">
        <f>INDEX(Database!$D$2:$XFD$36,21,$A$1+R9)</f>
        <v>1,250—1,300</v>
      </c>
      <c r="S126" t="str">
        <f>INDEX(Database!$D$2:$XFD$36,21,$A$1+S9)</f>
        <v>1,250—1,300</v>
      </c>
      <c r="T126" t="str">
        <f>INDEX(Database!$D$2:$XFD$36,21,$A$1+T9)</f>
        <v>1,250—1,300</v>
      </c>
      <c r="U126" t="str">
        <f>INDEX(Database!$D$2:$XFD$36,21,$A$1+U9)</f>
        <v>1,250—1,300</v>
      </c>
      <c r="V126" t="str">
        <f>INDEX(Database!$D$2:$XFD$36,21,$A$1+V9)</f>
        <v>1,250—1,300</v>
      </c>
      <c r="W126" t="str">
        <f>INDEX(Database!$D$2:$XFD$36,21,$A$1+W9)</f>
        <v>1,250—1,300</v>
      </c>
      <c r="X126" t="str">
        <f>INDEX(Database!$D$2:$XFD$36,21,$A$1+X9)</f>
        <v>1,220—1,270</v>
      </c>
      <c r="Y126">
        <f>INDEX(Database!$D$2:$XFD$36,21,$A$1+Y9)</f>
        <v>0</v>
      </c>
      <c r="Z126">
        <f>INDEX(Database!$D$2:$XFD$36,21,$A$1+Z9)</f>
        <v>0</v>
      </c>
      <c r="AA126">
        <f>INDEX(Database!$D$2:$XFD$36,21,$A$1+AA9)</f>
        <v>0</v>
      </c>
      <c r="AB126">
        <f>INDEX(Database!$D$2:$XFD$36,21,$A$1+AB9)</f>
        <v>0</v>
      </c>
    </row>
    <row r="127" spans="2:28" x14ac:dyDescent="0.25">
      <c r="B127" t="s">
        <v>39</v>
      </c>
      <c r="C127">
        <f>INDEX(Database!$D$2:$XFD$36,22,$A$1)</f>
        <v>710</v>
      </c>
      <c r="D127">
        <f>INDEX(Database!$D$2:$XFD$36,22,$A$1+D9)</f>
        <v>710</v>
      </c>
      <c r="E127">
        <f>INDEX(Database!$D$2:$XFD$36,22,$A$1+E9)</f>
        <v>720</v>
      </c>
      <c r="F127">
        <f>INDEX(Database!$D$2:$XFD$36,22,$A$1+F9)</f>
        <v>740</v>
      </c>
      <c r="G127">
        <f>INDEX(Database!$D$2:$XFD$36,22,$A$1+G9)</f>
        <v>760</v>
      </c>
      <c r="H127">
        <f>INDEX(Database!$D$2:$XFD$36,22,$A$1+H9)</f>
        <v>775</v>
      </c>
      <c r="I127">
        <f>INDEX(Database!$D$2:$XFD$36,22,$A$1+I9)</f>
        <v>775</v>
      </c>
      <c r="J127">
        <f>INDEX(Database!$D$2:$XFD$36,22,$A$1+J9)</f>
        <v>785</v>
      </c>
      <c r="K127">
        <f>INDEX(Database!$D$2:$XFD$36,22,$A$1+K9)</f>
        <v>845</v>
      </c>
      <c r="L127">
        <f>INDEX(Database!$D$2:$XFD$36,22,$A$1+L9)</f>
        <v>1045</v>
      </c>
      <c r="M127">
        <f>INDEX(Database!$D$2:$XFD$36,22,$A$1+M9)</f>
        <v>1030</v>
      </c>
      <c r="N127">
        <f>INDEX(Database!$D$2:$XFD$36,22,$A$1+N9)</f>
        <v>1060</v>
      </c>
      <c r="O127">
        <f>INDEX(Database!$D$2:$XFD$36,22,$A$1+O9)</f>
        <v>1135</v>
      </c>
      <c r="P127">
        <f>INDEX(Database!$D$2:$XFD$36,22,$A$1+P9)</f>
        <v>1185</v>
      </c>
      <c r="Q127">
        <f>INDEX(Database!$D$2:$XFD$36,22,$A$1+Q9)</f>
        <v>1135</v>
      </c>
      <c r="R127">
        <f>INDEX(Database!$D$2:$XFD$36,22,$A$1+R9)</f>
        <v>1085</v>
      </c>
      <c r="S127">
        <f>INDEX(Database!$D$2:$XFD$36,22,$A$1+S9)</f>
        <v>1085</v>
      </c>
      <c r="T127">
        <f>INDEX(Database!$D$2:$XFD$36,22,$A$1+T9)</f>
        <v>1080</v>
      </c>
      <c r="U127">
        <f>INDEX(Database!$D$2:$XFD$36,22,$A$1+U9)</f>
        <v>1030</v>
      </c>
      <c r="V127">
        <f>INDEX(Database!$D$2:$XFD$36,22,$A$1+V9)</f>
        <v>1050</v>
      </c>
      <c r="W127">
        <f>INDEX(Database!$D$2:$XFD$36,22,$A$1+W9)</f>
        <v>1000</v>
      </c>
      <c r="X127">
        <f>INDEX(Database!$D$2:$XFD$36,22,$A$1+X9)</f>
        <v>990</v>
      </c>
      <c r="Y127">
        <f>INDEX(Database!$D$2:$XFD$36,22,$A$1+Y9)</f>
        <v>0</v>
      </c>
      <c r="Z127">
        <f>INDEX(Database!$D$2:$XFD$36,22,$A$1+Z9)</f>
        <v>0</v>
      </c>
      <c r="AA127">
        <f>INDEX(Database!$D$2:$XFD$36,22,$A$1+AA9)</f>
        <v>0</v>
      </c>
      <c r="AB127">
        <f>INDEX(Database!$D$2:$XFD$36,22,$A$1+AB9)</f>
        <v>0</v>
      </c>
    </row>
    <row r="130" spans="2:28" x14ac:dyDescent="0.25">
      <c r="B130" s="49"/>
      <c r="C130" s="49">
        <f>IFERROR(FIND("—",SUBSTITUTE(C126,"*","")),0)</f>
        <v>4</v>
      </c>
      <c r="D130" s="49">
        <f t="shared" ref="D130:AB130" si="72">IFERROR(FIND("—",SUBSTITUTE(D126,"*","")),0)</f>
        <v>4</v>
      </c>
      <c r="E130" s="49">
        <f t="shared" si="72"/>
        <v>4</v>
      </c>
      <c r="F130" s="49">
        <f t="shared" si="72"/>
        <v>4</v>
      </c>
      <c r="G130" s="49">
        <f t="shared" si="72"/>
        <v>4</v>
      </c>
      <c r="H130" s="49">
        <f t="shared" si="72"/>
        <v>4</v>
      </c>
      <c r="I130" s="49">
        <f t="shared" si="72"/>
        <v>4</v>
      </c>
      <c r="J130" s="49">
        <f t="shared" si="72"/>
        <v>4</v>
      </c>
      <c r="K130" s="49">
        <f t="shared" si="72"/>
        <v>4</v>
      </c>
      <c r="L130" s="49">
        <f t="shared" si="72"/>
        <v>6</v>
      </c>
      <c r="M130" s="49">
        <f t="shared" si="72"/>
        <v>6</v>
      </c>
      <c r="N130" s="49">
        <f t="shared" si="72"/>
        <v>6</v>
      </c>
      <c r="O130" s="49">
        <f t="shared" si="72"/>
        <v>6</v>
      </c>
      <c r="P130" s="49">
        <f t="shared" si="72"/>
        <v>6</v>
      </c>
      <c r="Q130" s="49">
        <f t="shared" si="72"/>
        <v>6</v>
      </c>
      <c r="R130" s="49">
        <f t="shared" si="72"/>
        <v>6</v>
      </c>
      <c r="S130" s="49">
        <f t="shared" si="72"/>
        <v>6</v>
      </c>
      <c r="T130" s="49">
        <f t="shared" si="72"/>
        <v>6</v>
      </c>
      <c r="U130" s="49">
        <f t="shared" si="72"/>
        <v>6</v>
      </c>
      <c r="V130" s="49">
        <f t="shared" si="72"/>
        <v>6</v>
      </c>
      <c r="W130" s="49">
        <f t="shared" si="72"/>
        <v>6</v>
      </c>
      <c r="X130" s="49">
        <f t="shared" si="72"/>
        <v>6</v>
      </c>
      <c r="Y130" s="49">
        <f t="shared" si="72"/>
        <v>0</v>
      </c>
      <c r="Z130" s="49">
        <f t="shared" si="72"/>
        <v>0</v>
      </c>
      <c r="AA130" s="49">
        <f t="shared" si="72"/>
        <v>0</v>
      </c>
      <c r="AB130" s="49">
        <f t="shared" si="72"/>
        <v>0</v>
      </c>
    </row>
    <row r="131" spans="2:28" x14ac:dyDescent="0.25">
      <c r="B131" s="49" t="s">
        <v>38</v>
      </c>
      <c r="C131" s="49">
        <f>IF(C130=0,VALUE(SUBSTITUTE(C126,"*","")),VALUE(LEFT(SUBSTITUTE(C126,"*",""),C130-1)))</f>
        <v>765</v>
      </c>
      <c r="D131" s="49">
        <f t="shared" ref="D131:AB131" si="73">IF(D130=0,VALUE(SUBSTITUTE(D126,"*","")),VALUE(LEFT(SUBSTITUTE(D126,"*",""),D130-1)))</f>
        <v>770</v>
      </c>
      <c r="E131" s="49">
        <f t="shared" si="73"/>
        <v>765</v>
      </c>
      <c r="F131" s="49">
        <f t="shared" si="73"/>
        <v>765</v>
      </c>
      <c r="G131" s="49">
        <f t="shared" si="73"/>
        <v>770</v>
      </c>
      <c r="H131" s="49">
        <f t="shared" si="73"/>
        <v>770</v>
      </c>
      <c r="I131" s="49">
        <f t="shared" si="73"/>
        <v>800</v>
      </c>
      <c r="J131" s="49">
        <f t="shared" si="73"/>
        <v>800</v>
      </c>
      <c r="K131" s="49">
        <f t="shared" si="73"/>
        <v>800</v>
      </c>
      <c r="L131" s="49">
        <f t="shared" si="73"/>
        <v>1150</v>
      </c>
      <c r="M131" s="49">
        <f t="shared" si="73"/>
        <v>1150</v>
      </c>
      <c r="N131" s="49">
        <f t="shared" si="73"/>
        <v>1150</v>
      </c>
      <c r="O131" s="49">
        <f t="shared" si="73"/>
        <v>1150</v>
      </c>
      <c r="P131" s="49">
        <f t="shared" si="73"/>
        <v>1250</v>
      </c>
      <c r="Q131" s="49">
        <f t="shared" si="73"/>
        <v>1250</v>
      </c>
      <c r="R131" s="49">
        <f t="shared" si="73"/>
        <v>1250</v>
      </c>
      <c r="S131" s="49">
        <f t="shared" si="73"/>
        <v>1250</v>
      </c>
      <c r="T131" s="49">
        <f t="shared" si="73"/>
        <v>1250</v>
      </c>
      <c r="U131" s="49">
        <f t="shared" si="73"/>
        <v>1250</v>
      </c>
      <c r="V131" s="49">
        <f t="shared" si="73"/>
        <v>1250</v>
      </c>
      <c r="W131" s="49">
        <f t="shared" si="73"/>
        <v>1250</v>
      </c>
      <c r="X131" s="49">
        <f t="shared" si="73"/>
        <v>1220</v>
      </c>
      <c r="Y131" s="49">
        <f t="shared" si="73"/>
        <v>0</v>
      </c>
      <c r="Z131" s="49">
        <f t="shared" si="73"/>
        <v>0</v>
      </c>
      <c r="AA131" s="49">
        <f t="shared" si="73"/>
        <v>0</v>
      </c>
      <c r="AB131" s="49">
        <f t="shared" si="73"/>
        <v>0</v>
      </c>
    </row>
    <row r="132" spans="2:28" x14ac:dyDescent="0.25">
      <c r="B132" s="49" t="s">
        <v>38</v>
      </c>
      <c r="C132" s="49">
        <f>IF(C130=0,VALUE(SUBSTITUTE(C126,"*","")),VALUE(RIGHT(SUBSTITUTE(C126,"*",""),LEN(SUBSTITUTE(C126,"*",""))-C130)))</f>
        <v>790</v>
      </c>
      <c r="D132" s="49">
        <f t="shared" ref="D132:AB132" si="74">IF(D130=0,VALUE(SUBSTITUTE(D126,"*","")),VALUE(RIGHT(SUBSTITUTE(D126,"*",""),LEN(SUBSTITUTE(D126,"*",""))-D130)))</f>
        <v>790</v>
      </c>
      <c r="E132" s="49">
        <f t="shared" si="74"/>
        <v>800</v>
      </c>
      <c r="F132" s="49">
        <f t="shared" si="74"/>
        <v>790</v>
      </c>
      <c r="G132" s="49">
        <f t="shared" si="74"/>
        <v>795</v>
      </c>
      <c r="H132" s="49">
        <f t="shared" si="74"/>
        <v>795</v>
      </c>
      <c r="I132" s="49">
        <f t="shared" si="74"/>
        <v>880</v>
      </c>
      <c r="J132" s="49">
        <f t="shared" si="74"/>
        <v>880</v>
      </c>
      <c r="K132" s="49">
        <f t="shared" si="74"/>
        <v>900</v>
      </c>
      <c r="L132" s="49">
        <f t="shared" si="74"/>
        <v>1250</v>
      </c>
      <c r="M132" s="49">
        <f t="shared" si="74"/>
        <v>1250</v>
      </c>
      <c r="N132" s="49">
        <f t="shared" si="74"/>
        <v>1270</v>
      </c>
      <c r="O132" s="49">
        <f t="shared" si="74"/>
        <v>1270</v>
      </c>
      <c r="P132" s="49">
        <f t="shared" si="74"/>
        <v>1280</v>
      </c>
      <c r="Q132" s="49">
        <f t="shared" si="74"/>
        <v>1280</v>
      </c>
      <c r="R132" s="49">
        <f t="shared" si="74"/>
        <v>1300</v>
      </c>
      <c r="S132" s="49">
        <f t="shared" si="74"/>
        <v>1300</v>
      </c>
      <c r="T132" s="49">
        <f t="shared" si="74"/>
        <v>1300</v>
      </c>
      <c r="U132" s="49">
        <f t="shared" si="74"/>
        <v>1300</v>
      </c>
      <c r="V132" s="49">
        <f t="shared" si="74"/>
        <v>1300</v>
      </c>
      <c r="W132" s="49">
        <f t="shared" si="74"/>
        <v>1300</v>
      </c>
      <c r="X132" s="49">
        <f t="shared" si="74"/>
        <v>1270</v>
      </c>
      <c r="Y132" s="49">
        <f t="shared" si="74"/>
        <v>0</v>
      </c>
      <c r="Z132" s="49">
        <f t="shared" si="74"/>
        <v>0</v>
      </c>
      <c r="AA132" s="49">
        <f t="shared" si="74"/>
        <v>0</v>
      </c>
      <c r="AB132" s="49">
        <f t="shared" si="74"/>
        <v>0</v>
      </c>
    </row>
    <row r="133" spans="2:28" x14ac:dyDescent="0.25">
      <c r="B133" s="49" t="s">
        <v>38</v>
      </c>
      <c r="C133" s="49">
        <f>IFERROR(IF(AVERAGE(C131:C132)=0,NA(),AVERAGE(C131:C132)),NA())</f>
        <v>777.5</v>
      </c>
      <c r="D133" s="49">
        <f t="shared" ref="D133:AB133" si="75">IFERROR(IF(AVERAGE(D131:D132)=0,NA(),AVERAGE(D131:D132)),NA())</f>
        <v>780</v>
      </c>
      <c r="E133" s="49">
        <f t="shared" si="75"/>
        <v>782.5</v>
      </c>
      <c r="F133" s="49">
        <f t="shared" si="75"/>
        <v>777.5</v>
      </c>
      <c r="G133" s="49">
        <f t="shared" si="75"/>
        <v>782.5</v>
      </c>
      <c r="H133" s="49">
        <f t="shared" si="75"/>
        <v>782.5</v>
      </c>
      <c r="I133" s="49">
        <f t="shared" si="75"/>
        <v>840</v>
      </c>
      <c r="J133" s="49">
        <f t="shared" si="75"/>
        <v>840</v>
      </c>
      <c r="K133" s="49">
        <f t="shared" si="75"/>
        <v>850</v>
      </c>
      <c r="L133" s="49">
        <f t="shared" si="75"/>
        <v>1200</v>
      </c>
      <c r="M133" s="49">
        <f t="shared" si="75"/>
        <v>1200</v>
      </c>
      <c r="N133" s="49">
        <f t="shared" si="75"/>
        <v>1210</v>
      </c>
      <c r="O133" s="49">
        <f t="shared" si="75"/>
        <v>1210</v>
      </c>
      <c r="P133" s="49">
        <f t="shared" si="75"/>
        <v>1265</v>
      </c>
      <c r="Q133" s="49">
        <f t="shared" si="75"/>
        <v>1265</v>
      </c>
      <c r="R133" s="49">
        <f t="shared" si="75"/>
        <v>1275</v>
      </c>
      <c r="S133" s="49">
        <f t="shared" si="75"/>
        <v>1275</v>
      </c>
      <c r="T133" s="49">
        <f t="shared" si="75"/>
        <v>1275</v>
      </c>
      <c r="U133" s="49">
        <f t="shared" si="75"/>
        <v>1275</v>
      </c>
      <c r="V133" s="49">
        <f t="shared" si="75"/>
        <v>1275</v>
      </c>
      <c r="W133" s="49">
        <f t="shared" si="75"/>
        <v>1275</v>
      </c>
      <c r="X133" s="49">
        <f t="shared" si="75"/>
        <v>1245</v>
      </c>
      <c r="Y133" s="49" t="e">
        <f t="shared" si="75"/>
        <v>#N/A</v>
      </c>
      <c r="Z133" s="49" t="e">
        <f t="shared" si="75"/>
        <v>#N/A</v>
      </c>
      <c r="AA133" s="49" t="e">
        <f t="shared" si="75"/>
        <v>#N/A</v>
      </c>
      <c r="AB133" s="49" t="e">
        <f t="shared" si="75"/>
        <v>#N/A</v>
      </c>
    </row>
    <row r="134" spans="2:28" x14ac:dyDescent="0.25">
      <c r="B134" s="49"/>
    </row>
    <row r="135" spans="2:28" x14ac:dyDescent="0.25">
      <c r="B135" s="49"/>
      <c r="C135" s="49">
        <f>IFERROR(FIND("—",SUBSTITUTE(C127,"*","")),0)</f>
        <v>0</v>
      </c>
      <c r="D135" s="49">
        <f t="shared" ref="D135:AB135" si="76">IFERROR(FIND("—",SUBSTITUTE(D127,"*","")),0)</f>
        <v>0</v>
      </c>
      <c r="E135" s="49">
        <f t="shared" si="76"/>
        <v>0</v>
      </c>
      <c r="F135" s="49">
        <f t="shared" si="76"/>
        <v>0</v>
      </c>
      <c r="G135" s="49">
        <f t="shared" si="76"/>
        <v>0</v>
      </c>
      <c r="H135" s="49">
        <f t="shared" si="76"/>
        <v>0</v>
      </c>
      <c r="I135" s="49">
        <f t="shared" si="76"/>
        <v>0</v>
      </c>
      <c r="J135" s="49">
        <f t="shared" si="76"/>
        <v>0</v>
      </c>
      <c r="K135" s="49">
        <f t="shared" si="76"/>
        <v>0</v>
      </c>
      <c r="L135" s="49">
        <f t="shared" si="76"/>
        <v>0</v>
      </c>
      <c r="M135" s="49">
        <f t="shared" si="76"/>
        <v>0</v>
      </c>
      <c r="N135" s="49">
        <f t="shared" si="76"/>
        <v>0</v>
      </c>
      <c r="O135" s="49">
        <f t="shared" si="76"/>
        <v>0</v>
      </c>
      <c r="P135" s="49">
        <f t="shared" si="76"/>
        <v>0</v>
      </c>
      <c r="Q135" s="49">
        <f t="shared" si="76"/>
        <v>0</v>
      </c>
      <c r="R135" s="49">
        <f t="shared" si="76"/>
        <v>0</v>
      </c>
      <c r="S135" s="49">
        <f t="shared" si="76"/>
        <v>0</v>
      </c>
      <c r="T135" s="49">
        <f t="shared" si="76"/>
        <v>0</v>
      </c>
      <c r="U135" s="49">
        <f t="shared" si="76"/>
        <v>0</v>
      </c>
      <c r="V135" s="49">
        <f t="shared" si="76"/>
        <v>0</v>
      </c>
      <c r="W135" s="49">
        <f t="shared" si="76"/>
        <v>0</v>
      </c>
      <c r="X135" s="49">
        <f t="shared" si="76"/>
        <v>0</v>
      </c>
      <c r="Y135" s="49">
        <f t="shared" si="76"/>
        <v>0</v>
      </c>
      <c r="Z135" s="49">
        <f t="shared" si="76"/>
        <v>0</v>
      </c>
      <c r="AA135" s="49">
        <f t="shared" si="76"/>
        <v>0</v>
      </c>
      <c r="AB135" s="49">
        <f t="shared" si="76"/>
        <v>0</v>
      </c>
    </row>
    <row r="136" spans="2:28" x14ac:dyDescent="0.25">
      <c r="B136" s="49" t="s">
        <v>39</v>
      </c>
      <c r="C136" s="49">
        <f>IF(C135=0,VALUE(SUBSTITUTE(C127,"*","")),VALUE(LEFT(SUBSTITUTE(C127,"*",""),C135-1)))</f>
        <v>710</v>
      </c>
      <c r="D136" s="49">
        <f t="shared" ref="D136:AB136" si="77">IF(D135=0,VALUE(SUBSTITUTE(D127,"*","")),VALUE(LEFT(SUBSTITUTE(D127,"*",""),D135-1)))</f>
        <v>710</v>
      </c>
      <c r="E136" s="49">
        <f t="shared" si="77"/>
        <v>720</v>
      </c>
      <c r="F136" s="49">
        <f t="shared" si="77"/>
        <v>740</v>
      </c>
      <c r="G136" s="49">
        <f t="shared" si="77"/>
        <v>760</v>
      </c>
      <c r="H136" s="49">
        <f t="shared" si="77"/>
        <v>775</v>
      </c>
      <c r="I136" s="49">
        <f t="shared" si="77"/>
        <v>775</v>
      </c>
      <c r="J136" s="49">
        <f t="shared" si="77"/>
        <v>785</v>
      </c>
      <c r="K136" s="49">
        <f t="shared" si="77"/>
        <v>845</v>
      </c>
      <c r="L136" s="49">
        <f t="shared" si="77"/>
        <v>1045</v>
      </c>
      <c r="M136" s="49">
        <f t="shared" si="77"/>
        <v>1030</v>
      </c>
      <c r="N136" s="49">
        <f t="shared" si="77"/>
        <v>1060</v>
      </c>
      <c r="O136" s="49">
        <f t="shared" si="77"/>
        <v>1135</v>
      </c>
      <c r="P136" s="49">
        <f t="shared" si="77"/>
        <v>1185</v>
      </c>
      <c r="Q136" s="49">
        <f t="shared" si="77"/>
        <v>1135</v>
      </c>
      <c r="R136" s="49">
        <f t="shared" si="77"/>
        <v>1085</v>
      </c>
      <c r="S136" s="49">
        <f t="shared" si="77"/>
        <v>1085</v>
      </c>
      <c r="T136" s="49">
        <f t="shared" si="77"/>
        <v>1080</v>
      </c>
      <c r="U136" s="49">
        <f t="shared" si="77"/>
        <v>1030</v>
      </c>
      <c r="V136" s="49">
        <f t="shared" si="77"/>
        <v>1050</v>
      </c>
      <c r="W136" s="49">
        <f t="shared" si="77"/>
        <v>1000</v>
      </c>
      <c r="X136" s="49">
        <f t="shared" si="77"/>
        <v>990</v>
      </c>
      <c r="Y136" s="49">
        <f t="shared" si="77"/>
        <v>0</v>
      </c>
      <c r="Z136" s="49">
        <f t="shared" si="77"/>
        <v>0</v>
      </c>
      <c r="AA136" s="49">
        <f t="shared" si="77"/>
        <v>0</v>
      </c>
      <c r="AB136" s="49">
        <f t="shared" si="77"/>
        <v>0</v>
      </c>
    </row>
    <row r="137" spans="2:28" x14ac:dyDescent="0.25">
      <c r="B137" s="49" t="s">
        <v>39</v>
      </c>
      <c r="C137" s="49">
        <f>IF(C135=0,VALUE(SUBSTITUTE(C127,"*","")),VALUE(RIGHT(SUBSTITUTE(C127,"*",""),LEN(SUBSTITUTE(C127,"*",""))-C135)))</f>
        <v>710</v>
      </c>
      <c r="D137" s="49">
        <f t="shared" ref="D137:AB137" si="78">IF(D135=0,VALUE(SUBSTITUTE(D127,"*","")),VALUE(RIGHT(SUBSTITUTE(D127,"*",""),LEN(SUBSTITUTE(D127,"*",""))-D135)))</f>
        <v>710</v>
      </c>
      <c r="E137" s="49">
        <f t="shared" si="78"/>
        <v>720</v>
      </c>
      <c r="F137" s="49">
        <f t="shared" si="78"/>
        <v>740</v>
      </c>
      <c r="G137" s="49">
        <f t="shared" si="78"/>
        <v>760</v>
      </c>
      <c r="H137" s="49">
        <f t="shared" si="78"/>
        <v>775</v>
      </c>
      <c r="I137" s="49">
        <f t="shared" si="78"/>
        <v>775</v>
      </c>
      <c r="J137" s="49">
        <f t="shared" si="78"/>
        <v>785</v>
      </c>
      <c r="K137" s="49">
        <f t="shared" si="78"/>
        <v>845</v>
      </c>
      <c r="L137" s="49">
        <f t="shared" si="78"/>
        <v>1045</v>
      </c>
      <c r="M137" s="49">
        <f t="shared" si="78"/>
        <v>1030</v>
      </c>
      <c r="N137" s="49">
        <f t="shared" si="78"/>
        <v>1060</v>
      </c>
      <c r="O137" s="49">
        <f t="shared" si="78"/>
        <v>1135</v>
      </c>
      <c r="P137" s="49">
        <f t="shared" si="78"/>
        <v>1185</v>
      </c>
      <c r="Q137" s="49">
        <f t="shared" si="78"/>
        <v>1135</v>
      </c>
      <c r="R137" s="49">
        <f t="shared" si="78"/>
        <v>1085</v>
      </c>
      <c r="S137" s="49">
        <f t="shared" si="78"/>
        <v>1085</v>
      </c>
      <c r="T137" s="49">
        <f t="shared" si="78"/>
        <v>1080</v>
      </c>
      <c r="U137" s="49">
        <f t="shared" si="78"/>
        <v>1030</v>
      </c>
      <c r="V137" s="49">
        <f t="shared" si="78"/>
        <v>1050</v>
      </c>
      <c r="W137" s="49">
        <f t="shared" si="78"/>
        <v>1000</v>
      </c>
      <c r="X137" s="49">
        <f t="shared" si="78"/>
        <v>990</v>
      </c>
      <c r="Y137" s="49">
        <f t="shared" si="78"/>
        <v>0</v>
      </c>
      <c r="Z137" s="49">
        <f t="shared" si="78"/>
        <v>0</v>
      </c>
      <c r="AA137" s="49">
        <f t="shared" si="78"/>
        <v>0</v>
      </c>
      <c r="AB137" s="49">
        <f t="shared" si="78"/>
        <v>0</v>
      </c>
    </row>
    <row r="138" spans="2:28" x14ac:dyDescent="0.25">
      <c r="B138" s="49" t="s">
        <v>39</v>
      </c>
      <c r="C138" s="49">
        <f>IFERROR(IF(AVERAGE(C136:C137)=0,NA(),AVERAGE(C136:C137)),NA())</f>
        <v>710</v>
      </c>
      <c r="D138" s="49">
        <f>IFERROR(IF(AVERAGE(D136:D137)=0,NA(),AVERAGE(D136:D137)),NA())</f>
        <v>710</v>
      </c>
      <c r="E138" s="49">
        <f t="shared" ref="E138:AB138" si="79">IFERROR(IF(AVERAGE(E136:E137)=0,NA(),AVERAGE(E136:E137)),NA())</f>
        <v>720</v>
      </c>
      <c r="F138" s="49">
        <f t="shared" si="79"/>
        <v>740</v>
      </c>
      <c r="G138" s="49">
        <f t="shared" si="79"/>
        <v>760</v>
      </c>
      <c r="H138" s="49">
        <f t="shared" si="79"/>
        <v>775</v>
      </c>
      <c r="I138" s="49">
        <f t="shared" si="79"/>
        <v>775</v>
      </c>
      <c r="J138" s="49">
        <f t="shared" si="79"/>
        <v>785</v>
      </c>
      <c r="K138" s="49">
        <f t="shared" si="79"/>
        <v>845</v>
      </c>
      <c r="L138" s="49">
        <f t="shared" si="79"/>
        <v>1045</v>
      </c>
      <c r="M138" s="49">
        <f t="shared" si="79"/>
        <v>1030</v>
      </c>
      <c r="N138" s="49">
        <f t="shared" si="79"/>
        <v>1060</v>
      </c>
      <c r="O138" s="49">
        <f t="shared" si="79"/>
        <v>1135</v>
      </c>
      <c r="P138" s="49">
        <f t="shared" si="79"/>
        <v>1185</v>
      </c>
      <c r="Q138" s="49">
        <f t="shared" si="79"/>
        <v>1135</v>
      </c>
      <c r="R138" s="49">
        <f t="shared" si="79"/>
        <v>1085</v>
      </c>
      <c r="S138" s="49">
        <f t="shared" si="79"/>
        <v>1085</v>
      </c>
      <c r="T138" s="49">
        <f t="shared" si="79"/>
        <v>1080</v>
      </c>
      <c r="U138" s="49">
        <f t="shared" si="79"/>
        <v>1030</v>
      </c>
      <c r="V138" s="49">
        <f t="shared" si="79"/>
        <v>1050</v>
      </c>
      <c r="W138" s="49">
        <f t="shared" si="79"/>
        <v>1000</v>
      </c>
      <c r="X138" s="49">
        <f t="shared" si="79"/>
        <v>990</v>
      </c>
      <c r="Y138" s="49" t="e">
        <f t="shared" si="79"/>
        <v>#N/A</v>
      </c>
      <c r="Z138" s="49" t="e">
        <f t="shared" si="79"/>
        <v>#N/A</v>
      </c>
      <c r="AA138" s="49" t="e">
        <f t="shared" si="79"/>
        <v>#N/A</v>
      </c>
      <c r="AB138" s="49" t="e">
        <f t="shared" si="79"/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1:BX41"/>
  <sheetViews>
    <sheetView zoomScaleNormal="100" workbookViewId="0">
      <selection activeCell="G11" sqref="G11"/>
    </sheetView>
  </sheetViews>
  <sheetFormatPr defaultRowHeight="15" x14ac:dyDescent="0.25"/>
  <cols>
    <col min="2" max="2" width="8.85546875" customWidth="1"/>
    <col min="6" max="7" width="15.5703125" customWidth="1"/>
  </cols>
  <sheetData>
    <row r="11" spans="6:8" x14ac:dyDescent="0.25">
      <c r="F11" s="30"/>
      <c r="G11" s="30"/>
    </row>
    <row r="12" spans="6:8" x14ac:dyDescent="0.25">
      <c r="F12" s="30"/>
      <c r="G12" s="30"/>
    </row>
    <row r="13" spans="6:8" x14ac:dyDescent="0.25">
      <c r="H13" s="89"/>
    </row>
    <row r="14" spans="6:8" x14ac:dyDescent="0.25">
      <c r="H14" s="89"/>
    </row>
    <row r="25" spans="2:76" x14ac:dyDescent="0.25">
      <c r="C25">
        <v>2020</v>
      </c>
      <c r="D25">
        <v>2020</v>
      </c>
      <c r="E25">
        <v>2020</v>
      </c>
      <c r="F25">
        <v>2020</v>
      </c>
      <c r="G25">
        <v>2021</v>
      </c>
      <c r="H25">
        <v>2021</v>
      </c>
      <c r="I25">
        <v>2021</v>
      </c>
      <c r="J25">
        <v>2021</v>
      </c>
      <c r="K25">
        <v>2021</v>
      </c>
      <c r="L25">
        <v>2021</v>
      </c>
      <c r="M25">
        <v>2021</v>
      </c>
      <c r="N25">
        <v>2021</v>
      </c>
      <c r="O25">
        <v>2021</v>
      </c>
      <c r="P25">
        <v>2021</v>
      </c>
      <c r="Q25">
        <v>2021</v>
      </c>
      <c r="R25">
        <v>2021</v>
      </c>
      <c r="S25">
        <v>2022</v>
      </c>
      <c r="T25">
        <v>2022</v>
      </c>
      <c r="U25">
        <v>2022</v>
      </c>
      <c r="V25">
        <v>2022</v>
      </c>
      <c r="W25">
        <v>2022</v>
      </c>
      <c r="X25">
        <v>2022</v>
      </c>
      <c r="Y25">
        <v>2022</v>
      </c>
      <c r="Z25">
        <v>2022</v>
      </c>
      <c r="AA25">
        <v>2022</v>
      </c>
      <c r="AB25">
        <v>2022</v>
      </c>
      <c r="AC25">
        <v>2022</v>
      </c>
      <c r="AD25">
        <v>2022</v>
      </c>
      <c r="AE25">
        <v>2023</v>
      </c>
      <c r="AF25">
        <v>2023</v>
      </c>
      <c r="AG25">
        <v>2023</v>
      </c>
      <c r="AH25">
        <v>2023</v>
      </c>
      <c r="AI25">
        <v>2023</v>
      </c>
      <c r="AJ25">
        <v>2023</v>
      </c>
      <c r="AK25">
        <v>2023</v>
      </c>
      <c r="AL25">
        <v>2023</v>
      </c>
      <c r="AM25">
        <v>2023</v>
      </c>
      <c r="AN25">
        <v>2023</v>
      </c>
      <c r="AO25">
        <v>2023</v>
      </c>
      <c r="AP25">
        <v>2023</v>
      </c>
      <c r="AQ25">
        <v>2024</v>
      </c>
      <c r="AR25">
        <v>2024</v>
      </c>
      <c r="AS25">
        <v>2024</v>
      </c>
      <c r="AT25">
        <v>2024</v>
      </c>
      <c r="AU25">
        <v>2024</v>
      </c>
      <c r="AV25">
        <v>2024</v>
      </c>
      <c r="BC25">
        <v>2025</v>
      </c>
      <c r="BO25">
        <v>2026</v>
      </c>
    </row>
    <row r="26" spans="2:76" x14ac:dyDescent="0.25">
      <c r="E26" t="s">
        <v>35</v>
      </c>
      <c r="F26" t="s">
        <v>84</v>
      </c>
      <c r="G26" t="s">
        <v>85</v>
      </c>
      <c r="H26" t="s">
        <v>249</v>
      </c>
      <c r="I26" t="s">
        <v>261</v>
      </c>
      <c r="J26" t="s">
        <v>262</v>
      </c>
      <c r="K26" t="s">
        <v>263</v>
      </c>
      <c r="L26" t="s">
        <v>269</v>
      </c>
      <c r="M26" t="s">
        <v>270</v>
      </c>
      <c r="N26" t="s">
        <v>266</v>
      </c>
      <c r="O26" t="s">
        <v>271</v>
      </c>
      <c r="P26" t="s">
        <v>268</v>
      </c>
      <c r="Q26" t="s">
        <v>35</v>
      </c>
      <c r="R26" t="s">
        <v>84</v>
      </c>
      <c r="S26" t="s">
        <v>85</v>
      </c>
      <c r="T26" t="s">
        <v>249</v>
      </c>
      <c r="U26" t="s">
        <v>261</v>
      </c>
      <c r="V26" t="s">
        <v>262</v>
      </c>
      <c r="W26" t="s">
        <v>263</v>
      </c>
      <c r="X26" t="s">
        <v>269</v>
      </c>
      <c r="Y26" t="s">
        <v>270</v>
      </c>
      <c r="Z26" t="s">
        <v>266</v>
      </c>
      <c r="AA26" t="s">
        <v>271</v>
      </c>
      <c r="AB26" t="s">
        <v>268</v>
      </c>
      <c r="AC26" t="s">
        <v>35</v>
      </c>
      <c r="AD26" t="s">
        <v>84</v>
      </c>
      <c r="AE26" t="s">
        <v>85</v>
      </c>
      <c r="AF26" t="s">
        <v>249</v>
      </c>
      <c r="AG26" t="s">
        <v>261</v>
      </c>
      <c r="AH26" t="s">
        <v>262</v>
      </c>
      <c r="AI26" t="s">
        <v>263</v>
      </c>
      <c r="AJ26" t="s">
        <v>269</v>
      </c>
      <c r="AK26" t="s">
        <v>270</v>
      </c>
      <c r="AL26" t="s">
        <v>266</v>
      </c>
      <c r="AM26" t="s">
        <v>271</v>
      </c>
      <c r="AN26" t="s">
        <v>268</v>
      </c>
      <c r="AO26" t="s">
        <v>35</v>
      </c>
      <c r="AP26" t="s">
        <v>84</v>
      </c>
      <c r="AR26" t="s">
        <v>249</v>
      </c>
      <c r="AS26" t="s">
        <v>261</v>
      </c>
      <c r="AT26" t="s">
        <v>262</v>
      </c>
      <c r="AU26" t="s">
        <v>263</v>
      </c>
      <c r="AV26" t="s">
        <v>269</v>
      </c>
      <c r="AX26" t="s">
        <v>266</v>
      </c>
      <c r="AZ26" t="s">
        <v>268</v>
      </c>
      <c r="BB26" t="s">
        <v>84</v>
      </c>
      <c r="BD26" t="s">
        <v>249</v>
      </c>
      <c r="BF26" t="s">
        <v>262</v>
      </c>
      <c r="BH26" t="s">
        <v>269</v>
      </c>
      <c r="BJ26" t="s">
        <v>266</v>
      </c>
      <c r="BL26" t="s">
        <v>268</v>
      </c>
      <c r="BN26" t="s">
        <v>84</v>
      </c>
      <c r="BP26" t="s">
        <v>249</v>
      </c>
      <c r="BR26" t="s">
        <v>262</v>
      </c>
      <c r="BT26" t="s">
        <v>269</v>
      </c>
      <c r="BV26" t="s">
        <v>266</v>
      </c>
      <c r="BX26" t="s">
        <v>268</v>
      </c>
    </row>
    <row r="27" spans="2:76" x14ac:dyDescent="0.25">
      <c r="B27" t="s">
        <v>389</v>
      </c>
      <c r="C27">
        <v>930</v>
      </c>
      <c r="D27">
        <v>930</v>
      </c>
      <c r="E27">
        <v>930</v>
      </c>
      <c r="F27">
        <v>1015</v>
      </c>
      <c r="G27">
        <v>1200</v>
      </c>
      <c r="H27">
        <v>1530</v>
      </c>
      <c r="I27">
        <v>1875</v>
      </c>
      <c r="J27">
        <v>2100</v>
      </c>
      <c r="K27">
        <v>1950</v>
      </c>
      <c r="L27">
        <v>1650</v>
      </c>
      <c r="M27">
        <v>1625</v>
      </c>
      <c r="N27">
        <v>1575</v>
      </c>
      <c r="O27">
        <v>1575</v>
      </c>
      <c r="P27">
        <v>1600</v>
      </c>
      <c r="Q27">
        <v>1735</v>
      </c>
      <c r="R27">
        <v>1700</v>
      </c>
      <c r="S27">
        <v>1700</v>
      </c>
      <c r="T27">
        <v>1700</v>
      </c>
      <c r="U27">
        <v>1820</v>
      </c>
      <c r="V27">
        <v>2025</v>
      </c>
      <c r="W27">
        <v>1870</v>
      </c>
      <c r="X27">
        <v>1700</v>
      </c>
      <c r="Y27">
        <v>1375</v>
      </c>
      <c r="Z27">
        <v>1305</v>
      </c>
      <c r="AA27">
        <v>1260</v>
      </c>
      <c r="AB27">
        <v>1260</v>
      </c>
      <c r="AC27">
        <v>1275</v>
      </c>
      <c r="AD27">
        <v>1240</v>
      </c>
      <c r="AE27">
        <v>1155</v>
      </c>
      <c r="AF27">
        <v>1200</v>
      </c>
      <c r="AG27">
        <v>1260</v>
      </c>
      <c r="AH27">
        <v>1260</v>
      </c>
      <c r="AI27">
        <v>1200</v>
      </c>
      <c r="AJ27">
        <v>1065</v>
      </c>
      <c r="AK27">
        <v>1000</v>
      </c>
      <c r="AL27">
        <v>1000</v>
      </c>
      <c r="AM27">
        <v>1050</v>
      </c>
      <c r="AN27">
        <v>1155</v>
      </c>
      <c r="AO27">
        <v>1075</v>
      </c>
      <c r="AP27">
        <v>1055</v>
      </c>
      <c r="AQ27">
        <v>1115</v>
      </c>
      <c r="AR27">
        <v>1285</v>
      </c>
      <c r="AS27">
        <v>1325</v>
      </c>
      <c r="AT27">
        <v>1285</v>
      </c>
      <c r="AU27">
        <v>1225</v>
      </c>
      <c r="AV27">
        <v>1200</v>
      </c>
      <c r="AW27">
        <v>1225</v>
      </c>
      <c r="AX27">
        <v>1275</v>
      </c>
      <c r="AY27">
        <v>1215</v>
      </c>
      <c r="AZ27">
        <v>1140</v>
      </c>
      <c r="BA27">
        <v>1110</v>
      </c>
      <c r="BB27">
        <v>1105</v>
      </c>
      <c r="BC27">
        <v>1135</v>
      </c>
      <c r="BD27">
        <v>1165</v>
      </c>
      <c r="BE27">
        <v>1150</v>
      </c>
      <c r="BF27">
        <v>1075</v>
      </c>
      <c r="BG27">
        <v>1040</v>
      </c>
      <c r="BH27">
        <v>1015</v>
      </c>
      <c r="BI27">
        <v>1015</v>
      </c>
      <c r="BJ27">
        <v>1000</v>
      </c>
      <c r="BK27">
        <v>960</v>
      </c>
      <c r="BL27">
        <v>925</v>
      </c>
      <c r="BM27">
        <v>915</v>
      </c>
      <c r="BN27">
        <v>930</v>
      </c>
      <c r="BO27">
        <v>930</v>
      </c>
      <c r="BP27">
        <v>950</v>
      </c>
      <c r="BQ27">
        <v>1450</v>
      </c>
      <c r="BR27">
        <v>1900</v>
      </c>
      <c r="BS27">
        <v>1775</v>
      </c>
      <c r="BT27">
        <v>1775</v>
      </c>
    </row>
    <row r="28" spans="2:76" x14ac:dyDescent="0.25">
      <c r="B28" t="s">
        <v>390</v>
      </c>
      <c r="C28">
        <v>732.5</v>
      </c>
      <c r="D28">
        <v>720</v>
      </c>
      <c r="E28">
        <v>720</v>
      </c>
      <c r="F28">
        <v>735</v>
      </c>
      <c r="G28">
        <v>800</v>
      </c>
      <c r="H28">
        <v>885</v>
      </c>
      <c r="I28">
        <v>970</v>
      </c>
      <c r="J28">
        <v>1015</v>
      </c>
      <c r="K28">
        <v>1025</v>
      </c>
      <c r="L28">
        <v>1065</v>
      </c>
      <c r="M28">
        <v>1115</v>
      </c>
      <c r="N28">
        <v>1173</v>
      </c>
      <c r="O28">
        <v>1168</v>
      </c>
      <c r="P28">
        <v>1193</v>
      </c>
      <c r="Q28">
        <v>1288</v>
      </c>
      <c r="R28">
        <v>1288</v>
      </c>
      <c r="S28">
        <v>1288</v>
      </c>
      <c r="T28">
        <v>1355</v>
      </c>
      <c r="U28">
        <v>1450</v>
      </c>
      <c r="V28">
        <v>1675</v>
      </c>
      <c r="W28">
        <v>1610</v>
      </c>
      <c r="X28">
        <v>1600</v>
      </c>
      <c r="Y28">
        <v>1480</v>
      </c>
      <c r="Z28">
        <v>1395</v>
      </c>
      <c r="AA28">
        <v>1230</v>
      </c>
      <c r="AB28">
        <v>1180</v>
      </c>
      <c r="AC28">
        <v>1200</v>
      </c>
      <c r="AD28">
        <v>1170</v>
      </c>
      <c r="AE28">
        <v>1075</v>
      </c>
      <c r="AF28">
        <v>1155</v>
      </c>
      <c r="AG28">
        <v>1185</v>
      </c>
      <c r="AH28">
        <v>1145</v>
      </c>
      <c r="AI28">
        <v>1130</v>
      </c>
      <c r="AJ28">
        <v>1050</v>
      </c>
      <c r="AK28">
        <v>1000</v>
      </c>
      <c r="AL28">
        <v>1000</v>
      </c>
      <c r="AM28">
        <v>1060</v>
      </c>
      <c r="AN28">
        <v>1120</v>
      </c>
      <c r="AO28">
        <v>1080</v>
      </c>
      <c r="AP28">
        <v>1050</v>
      </c>
      <c r="AQ28">
        <v>1050</v>
      </c>
      <c r="AR28">
        <v>1065</v>
      </c>
      <c r="AS28">
        <v>1100</v>
      </c>
      <c r="AT28">
        <v>1145</v>
      </c>
      <c r="AU28">
        <v>1135</v>
      </c>
      <c r="AV28">
        <v>1105</v>
      </c>
      <c r="AW28">
        <v>1105</v>
      </c>
      <c r="AX28">
        <v>1125</v>
      </c>
      <c r="AY28">
        <v>1095</v>
      </c>
      <c r="AZ28">
        <v>1060</v>
      </c>
      <c r="BA28">
        <v>1085</v>
      </c>
      <c r="BB28">
        <v>1075</v>
      </c>
      <c r="BC28">
        <v>1075</v>
      </c>
      <c r="BD28">
        <v>1127.5</v>
      </c>
      <c r="BE28">
        <v>1135</v>
      </c>
      <c r="BF28">
        <v>1080</v>
      </c>
      <c r="BG28">
        <v>1015</v>
      </c>
      <c r="BH28">
        <v>1015</v>
      </c>
      <c r="BI28">
        <v>1015</v>
      </c>
      <c r="BJ28">
        <v>1005</v>
      </c>
      <c r="BK28">
        <v>1005</v>
      </c>
      <c r="BL28">
        <v>1005</v>
      </c>
      <c r="BM28">
        <v>980</v>
      </c>
      <c r="BN28">
        <v>980</v>
      </c>
      <c r="BO28">
        <v>950</v>
      </c>
      <c r="BP28">
        <v>965</v>
      </c>
      <c r="BQ28">
        <v>1000</v>
      </c>
      <c r="BR28">
        <v>1465</v>
      </c>
      <c r="BS28">
        <v>1585</v>
      </c>
      <c r="BT28">
        <v>1555</v>
      </c>
    </row>
    <row r="29" spans="2:76" x14ac:dyDescent="0.25">
      <c r="B29" t="s">
        <v>391</v>
      </c>
      <c r="C29">
        <f>C34*C35</f>
        <v>321.64</v>
      </c>
      <c r="D29">
        <f t="shared" ref="D29:Y29" si="0">D34*D35</f>
        <v>301.86</v>
      </c>
      <c r="E29">
        <f t="shared" si="0"/>
        <v>330.96</v>
      </c>
      <c r="F29">
        <f t="shared" si="0"/>
        <v>359.97999999999996</v>
      </c>
      <c r="G29">
        <f t="shared" si="0"/>
        <v>414.91999999999996</v>
      </c>
      <c r="H29">
        <f t="shared" si="0"/>
        <v>488.71999999999997</v>
      </c>
      <c r="I29">
        <f t="shared" si="0"/>
        <v>474.3</v>
      </c>
      <c r="J29">
        <f t="shared" si="0"/>
        <v>483.06</v>
      </c>
      <c r="K29">
        <f t="shared" si="0"/>
        <v>493.64</v>
      </c>
      <c r="L29">
        <f t="shared" si="0"/>
        <v>556.07999999999993</v>
      </c>
      <c r="M29">
        <f t="shared" si="0"/>
        <v>569.52</v>
      </c>
      <c r="N29">
        <f t="shared" si="0"/>
        <v>552.5</v>
      </c>
      <c r="O29">
        <f t="shared" si="0"/>
        <v>614.04</v>
      </c>
      <c r="P29">
        <f t="shared" si="0"/>
        <v>664.78</v>
      </c>
      <c r="Q29">
        <f t="shared" si="0"/>
        <v>658.6</v>
      </c>
      <c r="R29">
        <f t="shared" si="0"/>
        <v>625.67999999999995</v>
      </c>
      <c r="S29">
        <f t="shared" si="0"/>
        <v>725.35</v>
      </c>
      <c r="T29">
        <f t="shared" si="0"/>
        <v>781.42</v>
      </c>
      <c r="U29">
        <f t="shared" si="0"/>
        <v>889.2</v>
      </c>
      <c r="V29">
        <f t="shared" si="0"/>
        <v>847.4</v>
      </c>
      <c r="W29">
        <f t="shared" si="0"/>
        <v>799.93999999999994</v>
      </c>
      <c r="X29">
        <f t="shared" si="0"/>
        <v>767.04</v>
      </c>
      <c r="Y29">
        <f t="shared" si="0"/>
        <v>732.6</v>
      </c>
      <c r="Z29">
        <v>664</v>
      </c>
      <c r="AA29">
        <v>632</v>
      </c>
      <c r="AB29">
        <v>679.5</v>
      </c>
      <c r="AC29">
        <v>647</v>
      </c>
      <c r="AD29">
        <v>591</v>
      </c>
      <c r="AE29">
        <v>729</v>
      </c>
      <c r="AF29">
        <v>723</v>
      </c>
      <c r="AG29">
        <v>683</v>
      </c>
      <c r="AH29">
        <v>649</v>
      </c>
      <c r="AI29">
        <v>621</v>
      </c>
      <c r="AJ29">
        <f>AJ33*AJ32</f>
        <v>470.47</v>
      </c>
      <c r="AK29">
        <f t="shared" ref="AK29:BT29" si="1">AK33*AK32</f>
        <v>550.80000000000007</v>
      </c>
      <c r="AL29">
        <f t="shared" si="1"/>
        <v>595.24</v>
      </c>
      <c r="AM29">
        <f t="shared" si="1"/>
        <v>678.3</v>
      </c>
      <c r="AN29">
        <f t="shared" si="1"/>
        <v>608.94999999999993</v>
      </c>
      <c r="AO29">
        <f t="shared" si="1"/>
        <v>573.30000000000007</v>
      </c>
      <c r="AP29">
        <f t="shared" si="1"/>
        <v>596.05000000000007</v>
      </c>
      <c r="AQ29">
        <f t="shared" si="1"/>
        <v>590.64</v>
      </c>
      <c r="AR29">
        <f t="shared" si="1"/>
        <v>622.84</v>
      </c>
      <c r="AS29">
        <f t="shared" si="1"/>
        <v>653.79000000000008</v>
      </c>
      <c r="AT29">
        <f t="shared" si="1"/>
        <v>638.91000000000008</v>
      </c>
      <c r="AU29">
        <f t="shared" si="1"/>
        <v>611.80000000000007</v>
      </c>
      <c r="AV29">
        <f t="shared" si="1"/>
        <v>641.70000000000005</v>
      </c>
      <c r="AW29">
        <f t="shared" si="1"/>
        <v>639.4</v>
      </c>
      <c r="AX29">
        <f t="shared" si="1"/>
        <v>585.9</v>
      </c>
      <c r="AY29">
        <f t="shared" si="1"/>
        <v>574.20000000000005</v>
      </c>
      <c r="AZ29">
        <f t="shared" si="1"/>
        <v>587.88</v>
      </c>
      <c r="BA29">
        <f t="shared" si="1"/>
        <v>570</v>
      </c>
      <c r="BB29">
        <f t="shared" si="1"/>
        <v>599.04</v>
      </c>
      <c r="BC29">
        <f t="shared" si="1"/>
        <v>616.31999999999994</v>
      </c>
      <c r="BD29">
        <f t="shared" si="1"/>
        <v>617.5</v>
      </c>
      <c r="BE29">
        <f t="shared" si="1"/>
        <v>575.67000000000007</v>
      </c>
      <c r="BF29">
        <f t="shared" si="1"/>
        <v>485.76</v>
      </c>
      <c r="BG29">
        <f t="shared" si="1"/>
        <v>479.71</v>
      </c>
      <c r="BH29">
        <f t="shared" si="1"/>
        <v>459</v>
      </c>
      <c r="BI29">
        <f t="shared" si="1"/>
        <v>514.16999999999996</v>
      </c>
      <c r="BJ29">
        <f t="shared" si="1"/>
        <v>486.97499999999997</v>
      </c>
      <c r="BK29">
        <f t="shared" si="1"/>
        <v>484.5</v>
      </c>
      <c r="BL29">
        <f t="shared" si="1"/>
        <v>463.54</v>
      </c>
      <c r="BM29">
        <f t="shared" si="1"/>
        <v>438.59999999999997</v>
      </c>
      <c r="BN29">
        <f t="shared" si="1"/>
        <v>430.95</v>
      </c>
      <c r="BO29">
        <f t="shared" si="1"/>
        <v>460.32</v>
      </c>
      <c r="BP29">
        <f t="shared" si="1"/>
        <v>488.75</v>
      </c>
      <c r="BQ29">
        <f t="shared" si="1"/>
        <v>778.65</v>
      </c>
      <c r="BR29">
        <f t="shared" si="1"/>
        <v>834.48749999999995</v>
      </c>
      <c r="BS29">
        <f t="shared" si="1"/>
        <v>646.505</v>
      </c>
      <c r="BT29">
        <f t="shared" si="1"/>
        <v>645</v>
      </c>
    </row>
    <row r="30" spans="2:76" x14ac:dyDescent="0.25">
      <c r="B30" t="s">
        <v>1420</v>
      </c>
      <c r="BT30">
        <v>1555</v>
      </c>
      <c r="BU30">
        <v>1403</v>
      </c>
      <c r="BV30">
        <v>1425</v>
      </c>
      <c r="BW30">
        <v>1414</v>
      </c>
      <c r="BX30">
        <v>1378</v>
      </c>
    </row>
    <row r="32" spans="2:76" x14ac:dyDescent="0.25">
      <c r="C32" t="s">
        <v>360</v>
      </c>
      <c r="D32" t="s">
        <v>360</v>
      </c>
      <c r="E32" t="s">
        <v>360</v>
      </c>
      <c r="F32" t="s">
        <v>362</v>
      </c>
      <c r="G32" t="s">
        <v>232</v>
      </c>
      <c r="H32" t="s">
        <v>365</v>
      </c>
      <c r="I32" t="s">
        <v>366</v>
      </c>
      <c r="J32" t="s">
        <v>368</v>
      </c>
      <c r="K32" t="s">
        <v>370</v>
      </c>
      <c r="L32" t="s">
        <v>371</v>
      </c>
      <c r="M32" t="s">
        <v>372</v>
      </c>
      <c r="N32" t="s">
        <v>374</v>
      </c>
      <c r="O32" t="s">
        <v>374</v>
      </c>
      <c r="P32" t="s">
        <v>373</v>
      </c>
      <c r="Q32" t="s">
        <v>376</v>
      </c>
      <c r="R32" t="s">
        <v>377</v>
      </c>
      <c r="S32" t="s">
        <v>377</v>
      </c>
      <c r="T32" t="s">
        <v>377</v>
      </c>
      <c r="U32" t="s">
        <v>380</v>
      </c>
      <c r="V32" t="s">
        <v>381</v>
      </c>
      <c r="W32" t="s">
        <v>383</v>
      </c>
      <c r="X32" t="s">
        <v>377</v>
      </c>
      <c r="Y32" t="s">
        <v>86</v>
      </c>
      <c r="Z32" t="s">
        <v>388</v>
      </c>
      <c r="AJ32">
        <v>517</v>
      </c>
      <c r="AK32">
        <v>612</v>
      </c>
      <c r="AL32">
        <v>647</v>
      </c>
      <c r="AM32">
        <v>714</v>
      </c>
      <c r="AN32">
        <v>641</v>
      </c>
      <c r="AO32">
        <v>630</v>
      </c>
      <c r="AP32">
        <v>655</v>
      </c>
      <c r="AQ32">
        <v>642</v>
      </c>
      <c r="AR32">
        <v>677</v>
      </c>
      <c r="AS32">
        <v>703</v>
      </c>
      <c r="AT32">
        <v>687</v>
      </c>
      <c r="AU32">
        <v>665</v>
      </c>
      <c r="AV32">
        <v>690</v>
      </c>
      <c r="AW32">
        <v>695</v>
      </c>
      <c r="AX32">
        <v>651</v>
      </c>
      <c r="AY32">
        <v>638</v>
      </c>
      <c r="AZ32">
        <v>639</v>
      </c>
      <c r="BA32">
        <v>600</v>
      </c>
      <c r="BB32">
        <v>624</v>
      </c>
      <c r="BC32">
        <v>642</v>
      </c>
      <c r="BD32">
        <v>650</v>
      </c>
      <c r="BE32">
        <v>619</v>
      </c>
      <c r="BF32">
        <v>552</v>
      </c>
      <c r="BG32">
        <v>539</v>
      </c>
      <c r="BH32">
        <v>540</v>
      </c>
      <c r="BI32">
        <v>591</v>
      </c>
      <c r="BJ32">
        <v>566.25</v>
      </c>
      <c r="BK32">
        <v>570</v>
      </c>
      <c r="BL32">
        <v>539</v>
      </c>
      <c r="BM32">
        <v>510</v>
      </c>
      <c r="BN32">
        <v>507</v>
      </c>
      <c r="BO32">
        <v>548</v>
      </c>
      <c r="BP32">
        <v>575</v>
      </c>
      <c r="BQ32">
        <v>895</v>
      </c>
      <c r="BR32">
        <v>981.75</v>
      </c>
      <c r="BS32">
        <v>751.75</v>
      </c>
      <c r="BT32">
        <v>750</v>
      </c>
    </row>
    <row r="33" spans="3:72" x14ac:dyDescent="0.25">
      <c r="AJ33">
        <v>0.91</v>
      </c>
      <c r="AK33">
        <v>0.9</v>
      </c>
      <c r="AL33">
        <v>0.92</v>
      </c>
      <c r="AM33">
        <v>0.95</v>
      </c>
      <c r="AN33">
        <v>0.95</v>
      </c>
      <c r="AO33">
        <v>0.91</v>
      </c>
      <c r="AP33">
        <v>0.91</v>
      </c>
      <c r="AQ33">
        <v>0.92</v>
      </c>
      <c r="AR33">
        <v>0.92</v>
      </c>
      <c r="AS33">
        <v>0.93</v>
      </c>
      <c r="AT33">
        <v>0.93</v>
      </c>
      <c r="AU33">
        <v>0.92</v>
      </c>
      <c r="AV33">
        <v>0.93</v>
      </c>
      <c r="AW33">
        <v>0.92</v>
      </c>
      <c r="AX33">
        <v>0.9</v>
      </c>
      <c r="AY33">
        <v>0.9</v>
      </c>
      <c r="AZ33">
        <v>0.92</v>
      </c>
      <c r="BA33">
        <v>0.95</v>
      </c>
      <c r="BB33">
        <v>0.96</v>
      </c>
      <c r="BC33">
        <v>0.96</v>
      </c>
      <c r="BD33">
        <v>0.95</v>
      </c>
      <c r="BE33">
        <v>0.93</v>
      </c>
      <c r="BF33">
        <v>0.88</v>
      </c>
      <c r="BG33">
        <v>0.89</v>
      </c>
      <c r="BH33">
        <v>0.85</v>
      </c>
      <c r="BI33">
        <v>0.87</v>
      </c>
      <c r="BJ33">
        <v>0.86</v>
      </c>
      <c r="BK33">
        <v>0.85</v>
      </c>
      <c r="BL33">
        <v>0.86</v>
      </c>
      <c r="BM33">
        <v>0.86</v>
      </c>
      <c r="BN33">
        <v>0.85</v>
      </c>
      <c r="BO33">
        <v>0.84</v>
      </c>
      <c r="BP33">
        <v>0.85</v>
      </c>
      <c r="BQ33">
        <v>0.87</v>
      </c>
      <c r="BR33">
        <v>0.85</v>
      </c>
      <c r="BS33">
        <v>0.86</v>
      </c>
      <c r="BT33">
        <v>0.86</v>
      </c>
    </row>
    <row r="34" spans="3:72" x14ac:dyDescent="0.25">
      <c r="C34">
        <v>374</v>
      </c>
      <c r="D34">
        <v>351</v>
      </c>
      <c r="E34">
        <v>394</v>
      </c>
      <c r="F34">
        <v>439</v>
      </c>
      <c r="G34">
        <v>506</v>
      </c>
      <c r="H34">
        <v>596</v>
      </c>
      <c r="I34">
        <v>558</v>
      </c>
      <c r="J34">
        <v>582</v>
      </c>
      <c r="K34">
        <v>602</v>
      </c>
      <c r="L34">
        <v>662</v>
      </c>
      <c r="M34">
        <v>678</v>
      </c>
      <c r="N34">
        <v>650</v>
      </c>
      <c r="O34">
        <v>714</v>
      </c>
      <c r="P34">
        <v>773</v>
      </c>
      <c r="Q34">
        <v>740</v>
      </c>
      <c r="R34">
        <v>711</v>
      </c>
      <c r="S34">
        <v>815</v>
      </c>
      <c r="T34">
        <v>878</v>
      </c>
      <c r="U34">
        <v>988</v>
      </c>
      <c r="V34">
        <v>892</v>
      </c>
      <c r="W34">
        <v>851</v>
      </c>
      <c r="X34">
        <v>799</v>
      </c>
      <c r="Y34">
        <v>740</v>
      </c>
      <c r="Z34">
        <v>647</v>
      </c>
      <c r="AA34">
        <v>610</v>
      </c>
    </row>
    <row r="35" spans="3:72" x14ac:dyDescent="0.25">
      <c r="C35">
        <v>0.86</v>
      </c>
      <c r="D35">
        <v>0.86</v>
      </c>
      <c r="E35">
        <v>0.84</v>
      </c>
      <c r="F35">
        <v>0.82</v>
      </c>
      <c r="G35">
        <v>0.82</v>
      </c>
      <c r="H35">
        <v>0.82</v>
      </c>
      <c r="I35">
        <v>0.85</v>
      </c>
      <c r="J35">
        <v>0.83</v>
      </c>
      <c r="K35">
        <v>0.82</v>
      </c>
      <c r="L35">
        <v>0.84</v>
      </c>
      <c r="M35">
        <v>0.84</v>
      </c>
      <c r="N35">
        <v>0.85</v>
      </c>
      <c r="O35">
        <v>0.86</v>
      </c>
      <c r="P35">
        <v>0.86</v>
      </c>
      <c r="Q35">
        <v>0.89</v>
      </c>
      <c r="R35">
        <v>0.88</v>
      </c>
      <c r="S35">
        <v>0.89</v>
      </c>
      <c r="T35">
        <v>0.89</v>
      </c>
      <c r="U35">
        <v>0.9</v>
      </c>
      <c r="V35">
        <v>0.95</v>
      </c>
      <c r="W35">
        <v>0.94</v>
      </c>
      <c r="X35">
        <v>0.96</v>
      </c>
      <c r="Y35">
        <v>0.99</v>
      </c>
      <c r="Z35">
        <v>1</v>
      </c>
      <c r="AA35">
        <v>1</v>
      </c>
    </row>
    <row r="39" spans="3:72" x14ac:dyDescent="0.25">
      <c r="C39">
        <f>CORREL(C27:Z27,C28:Z28)</f>
        <v>0.62214746279999866</v>
      </c>
    </row>
    <row r="41" spans="3:72" x14ac:dyDescent="0.25">
      <c r="C41">
        <f>CORREL(C28:Z28,C29:Z29)</f>
        <v>0.95749751036665753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Гадская табличка</vt:lpstr>
      <vt:lpstr>Title page</vt:lpstr>
      <vt:lpstr>Propylene EU and US</vt:lpstr>
      <vt:lpstr>Propylene Asia</vt:lpstr>
      <vt:lpstr>Charts</vt:lpstr>
      <vt:lpstr>Database</vt:lpstr>
      <vt:lpstr>calc_MCP</vt:lpstr>
      <vt:lpstr>calc_Charts</vt:lpstr>
      <vt:lpstr>Title_page</vt:lpstr>
      <vt:lpstr>Лист1</vt:lpstr>
      <vt:lpstr>'Propylene Asia'!OLE_LINK1</vt:lpstr>
      <vt:lpstr>'Propylene EU and US'!OLE_LINK1</vt:lpstr>
      <vt:lpstr>'Propylene Asia'!OLE_LINK2</vt:lpstr>
      <vt:lpstr>'Propylene EU and US'!OLE_LINK2</vt:lpstr>
      <vt:lpstr>'Propylene EU and US'!OLE_LINK3</vt:lpstr>
      <vt:lpstr>'Propylene EU and US'!OLE_LINK4</vt:lpstr>
      <vt:lpstr>'Propylene EU and US'!SM_Europe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ezubov</dc:creator>
  <cp:lastModifiedBy>gbelimenko</cp:lastModifiedBy>
  <dcterms:created xsi:type="dcterms:W3CDTF">2021-01-20T08:25:31Z</dcterms:created>
  <dcterms:modified xsi:type="dcterms:W3CDTF">2026-06-04T12:50:09Z</dcterms:modified>
</cp:coreProperties>
</file>